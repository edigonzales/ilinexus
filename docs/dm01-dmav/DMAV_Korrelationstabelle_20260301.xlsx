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nnections+xml" PartName="/xl/connections.xml"/>
  <Override ContentType="application/vnd.openxmlformats-officedocument.spreadsheetml.customProperty" PartName="/xl/customProperty1.bin"/>
  <Override ContentType="application/vnd.openxmlformats-officedocument.spreadsheetml.sheetMetadata+xml" PartName="/xl/metadata.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DieseArbeitsmappe"/>
  <mc:AlternateContent xmlns:mc="http://schemas.openxmlformats.org/markup-compatibility/2006">
    <mc:Choice Requires="x15">
      <x15ac:absPath xmlns:x15ac="http://schemas.microsoft.com/office/spreadsheetml/2010/11/ac" url="M:\Appl\DATA\PROD\vermessung\Amtliche Vermessung\Grundlagen Datenmodelle\02_Datenmodell\01_ILI-Modell\DMAV_V20260201\"/>
    </mc:Choice>
  </mc:AlternateContent>
  <xr:revisionPtr revIDLastSave="0" documentId="13_ncr:1_{4BF248AC-2C56-45E7-B2D1-6D4AF748C4AA}" xr6:coauthVersionLast="47" xr6:coauthVersionMax="47" xr10:uidLastSave="{00000000-0000-0000-0000-000000000000}"/>
  <bookViews>
    <workbookView xWindow="15210" yWindow="2205" windowWidth="34740" windowHeight="18735" xr2:uid="{00000000-000D-0000-FFFF-FFFF00000000}"/>
  </bookViews>
  <sheets>
    <sheet name="Erklärungen" sheetId="10" r:id="rId1"/>
    <sheet name="Transformation" sheetId="8" r:id="rId2"/>
    <sheet name="DMAV_Doku" sheetId="1" r:id="rId3"/>
    <sheet name="DMAV_Modell" sheetId="2" r:id="rId4"/>
    <sheet name="DMAV_Dienste" sheetId="14" r:id="rId5"/>
    <sheet name="DM01-AV-CH" sheetId="4" r:id="rId6"/>
    <sheet name="Korrelation" sheetId="7" state="hidden" r:id="rId7"/>
  </sheets>
  <definedNames>
    <definedName name="_xlnm._FilterDatabase" localSheetId="5" hidden="1">'DM01-AV-CH'!$A$5:$Z$834</definedName>
    <definedName name="_xlnm._FilterDatabase" localSheetId="4" hidden="1">DMAV_Dienste!$B$5:$Z$140</definedName>
    <definedName name="_xlnm._FilterDatabase" localSheetId="2" hidden="1">DMAV_Doku!$A$5:$AH$483</definedName>
    <definedName name="_xlnm._FilterDatabase" localSheetId="3" hidden="1">DMAV_Modell!$A$5:$BB$838</definedName>
    <definedName name="_xlnm._FilterDatabase" localSheetId="6" hidden="1">Korrelation!$A$3:$B$1123</definedName>
    <definedName name="_xlnm._FilterDatabase" localSheetId="1" hidden="1">Transformation!$J$5:$AI$3155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 i="10" l="1"/>
  <c r="C52" i="10" a="1"/>
  <c r="C52" i="10" s="1"/>
  <c r="C179" i="10" a="1"/>
  <c r="C179" i="10" s="1"/>
  <c r="B179" i="10"/>
  <c r="C178" i="10" a="1"/>
  <c r="C178" i="10" s="1"/>
  <c r="B178" i="10"/>
  <c r="C177" i="10" a="1"/>
  <c r="C177" i="10" s="1"/>
  <c r="B177" i="10"/>
  <c r="C176" i="10" a="1"/>
  <c r="C176" i="10" s="1"/>
  <c r="B176" i="10"/>
  <c r="C175" i="10" a="1"/>
  <c r="C175" i="10" s="1"/>
  <c r="B175" i="10"/>
  <c r="C174" i="10" a="1"/>
  <c r="C174" i="10" s="1"/>
  <c r="B174" i="10"/>
  <c r="C173" i="10" a="1"/>
  <c r="C173" i="10" s="1"/>
  <c r="B173" i="10"/>
  <c r="C172" i="10" a="1"/>
  <c r="C172" i="10" s="1"/>
  <c r="B172" i="10"/>
  <c r="C171" i="10" a="1"/>
  <c r="C171" i="10" s="1"/>
  <c r="B171" i="10"/>
  <c r="C170" i="10" a="1"/>
  <c r="C170" i="10" s="1"/>
  <c r="B170" i="10"/>
  <c r="C169" i="10" a="1"/>
  <c r="C169" i="10" s="1"/>
  <c r="B169" i="10"/>
  <c r="C168" i="10" a="1"/>
  <c r="C168" i="10" s="1"/>
  <c r="B168" i="10"/>
  <c r="C167" i="10" a="1"/>
  <c r="C167" i="10" s="1"/>
  <c r="B167" i="10"/>
  <c r="C166" i="10" a="1"/>
  <c r="C166" i="10" s="1"/>
  <c r="B166" i="10"/>
  <c r="C165" i="10" a="1"/>
  <c r="C165" i="10" s="1"/>
  <c r="B165" i="10"/>
  <c r="C164" i="10" a="1"/>
  <c r="C164" i="10" s="1"/>
  <c r="B164" i="10"/>
  <c r="C163" i="10" a="1"/>
  <c r="C163" i="10" s="1"/>
  <c r="B163" i="10"/>
  <c r="C162" i="10" a="1"/>
  <c r="C162" i="10" s="1"/>
  <c r="B162" i="10"/>
  <c r="C161" i="10" a="1"/>
  <c r="C161" i="10" s="1"/>
  <c r="B161" i="10"/>
  <c r="C160" i="10" a="1"/>
  <c r="C160" i="10" s="1"/>
  <c r="B160" i="10"/>
  <c r="C159" i="10" a="1"/>
  <c r="C159" i="10" s="1"/>
  <c r="B159" i="10"/>
  <c r="C158" i="10" a="1"/>
  <c r="C158" i="10" s="1"/>
  <c r="B158" i="10"/>
  <c r="B157" i="10"/>
  <c r="C157" i="10" a="1"/>
  <c r="C157" i="10" s="1"/>
  <c r="C153" i="10" a="1"/>
  <c r="C153" i="10" s="1"/>
  <c r="B153" i="10"/>
  <c r="C152" i="10" a="1"/>
  <c r="C152" i="10" s="1"/>
  <c r="B152" i="10"/>
  <c r="C151" i="10" a="1"/>
  <c r="C151" i="10" s="1"/>
  <c r="B151" i="10"/>
  <c r="C150" i="10" a="1"/>
  <c r="C150" i="10" s="1"/>
  <c r="B150" i="10"/>
  <c r="C149" i="10" a="1"/>
  <c r="C149" i="10" s="1"/>
  <c r="B149" i="10"/>
  <c r="C148" i="10" a="1"/>
  <c r="C148" i="10" s="1"/>
  <c r="B148" i="10"/>
  <c r="C147" i="10" a="1"/>
  <c r="C147" i="10" s="1"/>
  <c r="B147" i="10"/>
  <c r="C146" i="10" a="1"/>
  <c r="C146" i="10" s="1"/>
  <c r="B146" i="10"/>
  <c r="C145" i="10" a="1"/>
  <c r="C145" i="10" s="1"/>
  <c r="B145" i="10"/>
  <c r="C144" i="10" a="1"/>
  <c r="C144" i="10" s="1"/>
  <c r="B144" i="10"/>
  <c r="C143" i="10" a="1"/>
  <c r="C143" i="10" s="1"/>
  <c r="B143" i="10"/>
  <c r="C142" i="10" a="1"/>
  <c r="C142" i="10" s="1"/>
  <c r="B142" i="10"/>
  <c r="C141" i="10" a="1"/>
  <c r="C141" i="10" s="1"/>
  <c r="B141" i="10"/>
  <c r="C140" i="10" a="1"/>
  <c r="C140" i="10" s="1"/>
  <c r="B140" i="10"/>
  <c r="C139" i="10" a="1"/>
  <c r="C139" i="10" s="1"/>
  <c r="B139" i="10"/>
  <c r="C138" i="10" a="1"/>
  <c r="C138" i="10" s="1"/>
  <c r="B138" i="10"/>
  <c r="C137" i="10" a="1"/>
  <c r="C137" i="10" s="1"/>
  <c r="B137" i="10"/>
  <c r="C136" i="10" a="1"/>
  <c r="C136" i="10" s="1"/>
  <c r="B136" i="10"/>
  <c r="C135" i="10" a="1"/>
  <c r="C135" i="10" s="1"/>
  <c r="B135" i="10"/>
  <c r="C134" i="10" a="1"/>
  <c r="C134" i="10" s="1"/>
  <c r="B134" i="10"/>
  <c r="C133" i="10" a="1"/>
  <c r="C133" i="10" s="1"/>
  <c r="B133" i="10"/>
  <c r="C132" i="10" a="1"/>
  <c r="C132" i="10" s="1"/>
  <c r="B132" i="10"/>
  <c r="C131" i="10" a="1"/>
  <c r="C131" i="10" s="1"/>
  <c r="B131" i="10"/>
  <c r="C130" i="10" a="1"/>
  <c r="C130" i="10" s="1"/>
  <c r="B130" i="10"/>
  <c r="C129" i="10" a="1"/>
  <c r="C129" i="10" s="1"/>
  <c r="B129" i="10"/>
  <c r="C128" i="10" a="1"/>
  <c r="C128" i="10" s="1"/>
  <c r="B128" i="10"/>
  <c r="C127" i="10" a="1"/>
  <c r="C127" i="10" s="1"/>
  <c r="B127" i="10"/>
  <c r="C126" i="10" a="1"/>
  <c r="C126" i="10" s="1"/>
  <c r="B126" i="10"/>
  <c r="C125" i="10" a="1"/>
  <c r="C125" i="10" s="1"/>
  <c r="B125" i="10"/>
  <c r="C124" i="10" a="1"/>
  <c r="C124" i="10" s="1"/>
  <c r="B124" i="10"/>
  <c r="C123" i="10" a="1"/>
  <c r="C123" i="10" s="1"/>
  <c r="B123" i="10"/>
  <c r="C122" i="10" a="1"/>
  <c r="C122" i="10" s="1"/>
  <c r="B122" i="10"/>
  <c r="C121" i="10" a="1"/>
  <c r="C121" i="10" s="1"/>
  <c r="B121" i="10"/>
  <c r="C120" i="10" a="1"/>
  <c r="C120" i="10" s="1"/>
  <c r="B120" i="10"/>
  <c r="C119" i="10" a="1"/>
  <c r="C119" i="10" s="1"/>
  <c r="B119" i="10"/>
  <c r="C118" i="10" a="1"/>
  <c r="C118" i="10" s="1"/>
  <c r="B118" i="10"/>
  <c r="C117" i="10" a="1"/>
  <c r="C117" i="10" s="1"/>
  <c r="B117" i="10"/>
  <c r="C116" i="10" a="1"/>
  <c r="C116" i="10" s="1"/>
  <c r="B116" i="10"/>
  <c r="C115" i="10" a="1"/>
  <c r="C115" i="10" s="1"/>
  <c r="B115" i="10"/>
  <c r="C114" i="10" a="1"/>
  <c r="C114" i="10" s="1"/>
  <c r="B114" i="10"/>
  <c r="C113" i="10" a="1"/>
  <c r="C113" i="10" s="1"/>
  <c r="B113" i="10"/>
  <c r="C112" i="10" a="1"/>
  <c r="C112" i="10" s="1"/>
  <c r="B112" i="10"/>
  <c r="C111" i="10" a="1"/>
  <c r="C111" i="10" s="1"/>
  <c r="B111" i="10"/>
  <c r="C110" i="10" a="1"/>
  <c r="C110" i="10" s="1"/>
  <c r="B110" i="10"/>
  <c r="C109" i="10" a="1"/>
  <c r="C109" i="10" s="1"/>
  <c r="B109" i="10"/>
  <c r="B105" i="10"/>
  <c r="C105" i="10" a="1"/>
  <c r="C105" i="10" s="1"/>
  <c r="C104" i="10" a="1"/>
  <c r="C104" i="10" s="1"/>
  <c r="C103" i="10" a="1"/>
  <c r="C103" i="10" s="1"/>
  <c r="C102" i="10" a="1"/>
  <c r="C102" i="10" s="1"/>
  <c r="C101" i="10" a="1"/>
  <c r="C101" i="10" s="1"/>
  <c r="C100" i="10" a="1"/>
  <c r="C100" i="10" s="1"/>
  <c r="C99" i="10" a="1"/>
  <c r="C99" i="10" s="1"/>
  <c r="C98" i="10" a="1"/>
  <c r="C98" i="10" s="1"/>
  <c r="C97" i="10" a="1"/>
  <c r="C97" i="10" s="1"/>
  <c r="C96" i="10" a="1"/>
  <c r="C96" i="10" s="1"/>
  <c r="C95" i="10" a="1"/>
  <c r="C95" i="10" s="1"/>
  <c r="C94" i="10" a="1"/>
  <c r="C94" i="10" s="1"/>
  <c r="C93" i="10" a="1"/>
  <c r="C93" i="10" s="1"/>
  <c r="C92" i="10" a="1"/>
  <c r="C92" i="10" s="1"/>
  <c r="C91" i="10" a="1"/>
  <c r="C91" i="10" s="1"/>
  <c r="C90" i="10" a="1"/>
  <c r="C90" i="10" s="1"/>
  <c r="C89" i="10" a="1"/>
  <c r="C89" i="10" s="1"/>
  <c r="C88" i="10" a="1"/>
  <c r="C88" i="10" s="1"/>
  <c r="C87" i="10" a="1"/>
  <c r="C87" i="10" s="1"/>
  <c r="C86" i="10" a="1"/>
  <c r="C86" i="10" s="1"/>
  <c r="C85" i="10" a="1"/>
  <c r="C85" i="10" s="1"/>
  <c r="C84" i="10" a="1"/>
  <c r="C84" i="10" s="1"/>
  <c r="C83" i="10" a="1"/>
  <c r="C83" i="10" s="1"/>
  <c r="C82" i="10" a="1"/>
  <c r="C82" i="10" s="1"/>
  <c r="C81" i="10" a="1"/>
  <c r="C81" i="10" s="1"/>
  <c r="C80" i="10" a="1"/>
  <c r="C80" i="10" s="1"/>
  <c r="C79" i="10" a="1"/>
  <c r="C79" i="10" s="1"/>
  <c r="C78" i="10" a="1"/>
  <c r="C78" i="10" s="1"/>
  <c r="C77" i="10" a="1"/>
  <c r="C77" i="10" s="1"/>
  <c r="C76" i="10" a="1"/>
  <c r="C76" i="10" s="1"/>
  <c r="C75" i="10" a="1"/>
  <c r="C75" i="10" s="1"/>
  <c r="C74" i="10" a="1"/>
  <c r="C74" i="10" s="1"/>
  <c r="C73" i="10" a="1"/>
  <c r="C73" i="10" s="1"/>
  <c r="C72" i="10" a="1"/>
  <c r="C72" i="10" s="1"/>
  <c r="C71" i="10" a="1"/>
  <c r="C71" i="10" s="1"/>
  <c r="C70" i="10" a="1"/>
  <c r="C70" i="10" s="1"/>
  <c r="C69" i="10" a="1"/>
  <c r="C69" i="10" s="1"/>
  <c r="C68" i="10" a="1"/>
  <c r="C68" i="10" s="1"/>
  <c r="C67" i="10" a="1"/>
  <c r="C67" i="10" s="1"/>
  <c r="C66" i="10" a="1"/>
  <c r="C66" i="10" s="1"/>
  <c r="C65" i="10" a="1"/>
  <c r="C65" i="10" s="1"/>
  <c r="C64" i="10" a="1"/>
  <c r="C64" i="10" s="1"/>
  <c r="C63" i="10" a="1"/>
  <c r="C63" i="10" s="1"/>
  <c r="C62" i="10" a="1"/>
  <c r="C62" i="10" s="1"/>
  <c r="C61" i="10" a="1"/>
  <c r="C61" i="10" s="1"/>
  <c r="C60" i="10" a="1"/>
  <c r="C60" i="10" s="1"/>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C56" i="10" a="1"/>
  <c r="C56" i="10" s="1"/>
  <c r="B56" i="10"/>
  <c r="C55" i="10" a="1"/>
  <c r="C55" i="10" s="1"/>
  <c r="B55" i="10"/>
  <c r="C54" i="10" a="1"/>
  <c r="C54" i="10" s="1"/>
  <c r="B54" i="10"/>
  <c r="C53" i="10" a="1"/>
  <c r="C53" i="10" s="1"/>
  <c r="B53" i="10"/>
  <c r="C51" i="10" a="1"/>
  <c r="C51" i="10" s="1"/>
  <c r="B51" i="10"/>
  <c r="C50" i="10" a="1"/>
  <c r="C50" i="10" s="1"/>
  <c r="B50" i="10"/>
  <c r="C49" i="10" a="1"/>
  <c r="C49" i="10" s="1"/>
  <c r="B49" i="10"/>
  <c r="C48" i="10" a="1"/>
  <c r="C48" i="10" s="1"/>
  <c r="B48" i="10"/>
  <c r="C47" i="10" a="1"/>
  <c r="C47" i="10" s="1"/>
  <c r="B47" i="10"/>
  <c r="C46" i="10" a="1"/>
  <c r="C46" i="10" s="1"/>
  <c r="B46" i="10"/>
  <c r="C45" i="10" a="1"/>
  <c r="C45" i="10" s="1"/>
  <c r="B45" i="10"/>
  <c r="C44" i="10" a="1"/>
  <c r="C44" i="10" s="1"/>
  <c r="B44" i="10"/>
  <c r="C43" i="10" a="1"/>
  <c r="C43" i="10" s="1"/>
  <c r="B43" i="10"/>
  <c r="C42" i="10" a="1"/>
  <c r="C42" i="10" s="1"/>
  <c r="B42" i="10"/>
  <c r="C41" i="10" a="1"/>
  <c r="C41" i="10" s="1"/>
  <c r="B41" i="10"/>
  <c r="C40" i="10" a="1"/>
  <c r="C40" i="10" s="1"/>
  <c r="B40" i="10"/>
  <c r="C39" i="10" a="1"/>
  <c r="C39" i="10" s="1"/>
  <c r="B39" i="10"/>
  <c r="C38" i="10" a="1"/>
  <c r="C38" i="10" s="1"/>
  <c r="B38" i="10"/>
  <c r="C37" i="10" a="1"/>
  <c r="C37" i="10" s="1"/>
  <c r="B37" i="10"/>
  <c r="C36" i="10" a="1"/>
  <c r="C36" i="10" s="1"/>
  <c r="B36" i="10"/>
  <c r="C35" i="10" a="1"/>
  <c r="C35" i="10" s="1"/>
  <c r="B35" i="10"/>
  <c r="C34" i="10" a="1"/>
  <c r="C34" i="10" s="1"/>
  <c r="B34" i="10"/>
  <c r="C33" i="10" a="1"/>
  <c r="C33" i="10" s="1"/>
  <c r="B33" i="10"/>
  <c r="C32" i="10" a="1"/>
  <c r="C32" i="10" s="1"/>
  <c r="B32" i="10"/>
  <c r="C31" i="10" a="1"/>
  <c r="C31" i="10" s="1"/>
  <c r="B31" i="10"/>
  <c r="C30" i="10" a="1"/>
  <c r="C30" i="10" s="1"/>
  <c r="B30" i="10"/>
  <c r="C26" i="10" a="1"/>
  <c r="C26" i="10" s="1"/>
  <c r="B26" i="10"/>
  <c r="C25" i="10" a="1"/>
  <c r="C25" i="10" s="1"/>
  <c r="B25" i="10"/>
  <c r="C24" i="10" a="1"/>
  <c r="C24" i="10" s="1"/>
  <c r="B24" i="10"/>
  <c r="C23" i="10" a="1"/>
  <c r="C23" i="10" s="1"/>
  <c r="B23" i="10"/>
  <c r="C22" i="10" a="1"/>
  <c r="C22" i="10" s="1"/>
  <c r="B22" i="10"/>
  <c r="C21" i="10" a="1"/>
  <c r="C21" i="10" s="1"/>
  <c r="B21" i="10"/>
  <c r="C20" i="10" a="1"/>
  <c r="C20" i="10" s="1"/>
  <c r="B20" i="10"/>
  <c r="C19" i="10" a="1"/>
  <c r="C19" i="10" s="1"/>
  <c r="B19" i="10"/>
  <c r="C18" i="10" a="1"/>
  <c r="C18" i="10" s="1"/>
  <c r="B18" i="10"/>
  <c r="C17" i="10" a="1"/>
  <c r="C17" i="10" s="1"/>
  <c r="B17" i="10"/>
  <c r="C16" i="10" a="1"/>
  <c r="C16" i="10" s="1"/>
  <c r="B16" i="10"/>
  <c r="C15" i="10" a="1"/>
  <c r="C15" i="10" s="1"/>
  <c r="B15" i="10"/>
  <c r="C14" i="10" a="1"/>
  <c r="C14" i="10" s="1"/>
  <c r="B14" i="10"/>
  <c r="C13" i="10" a="1"/>
  <c r="C13" i="10" s="1"/>
  <c r="B13" i="10"/>
  <c r="C12" i="10" a="1"/>
  <c r="C12" i="10" s="1"/>
  <c r="B12" i="10"/>
  <c r="C11" i="10" a="1"/>
  <c r="C11" i="10" s="1"/>
  <c r="B11" i="10"/>
  <c r="C10" i="10" a="1"/>
  <c r="C10" i="10" s="1"/>
  <c r="B10" i="10"/>
  <c r="C9" i="10" a="1"/>
  <c r="C9" i="10" s="1"/>
  <c r="B9" i="10"/>
  <c r="C8" i="10" a="1"/>
  <c r="C8" i="10" s="1"/>
  <c r="B8" i="10"/>
  <c r="C7" i="10" a="1"/>
  <c r="C7" i="10" s="1"/>
  <c r="B7" i="10"/>
  <c r="C6" i="10" a="1"/>
  <c r="C6" i="10" s="1"/>
  <c r="B6" i="10"/>
  <c r="H1199" i="8"/>
  <c r="G1199" i="8"/>
  <c r="F1199" i="8"/>
  <c r="E1199" i="8"/>
  <c r="D1199" i="8"/>
  <c r="C1199" i="8"/>
  <c r="H1198" i="8"/>
  <c r="AI1198" i="8" s="1" a="1"/>
  <c r="AI1198" i="8" s="1"/>
  <c r="G1198" i="8"/>
  <c r="F1198" i="8"/>
  <c r="E1198" i="8"/>
  <c r="D1198" i="8"/>
  <c r="C1198" i="8"/>
  <c r="H1197" i="8"/>
  <c r="AF1197" i="8" s="1" a="1"/>
  <c r="G1197" i="8"/>
  <c r="F1197" i="8"/>
  <c r="E1197" i="8"/>
  <c r="D1197" i="8"/>
  <c r="C1197" i="8"/>
  <c r="H1196" i="8"/>
  <c r="AG1196" i="8" s="1" a="1"/>
  <c r="AG1196" i="8" s="1"/>
  <c r="G1196" i="8"/>
  <c r="F1196" i="8"/>
  <c r="E1196" i="8"/>
  <c r="D1196" i="8"/>
  <c r="C1196" i="8"/>
  <c r="H1195" i="8"/>
  <c r="AF1195" i="8" s="1" a="1"/>
  <c r="G1195" i="8"/>
  <c r="F1195" i="8"/>
  <c r="E1195" i="8"/>
  <c r="D1195" i="8"/>
  <c r="C1195" i="8"/>
  <c r="H1194" i="8"/>
  <c r="AG1194" i="8" s="1" a="1"/>
  <c r="AG1194" i="8" s="1"/>
  <c r="G1194" i="8"/>
  <c r="F1194" i="8"/>
  <c r="E1194" i="8"/>
  <c r="H1193" i="8"/>
  <c r="AI1193" i="8" s="1" a="1"/>
  <c r="AI1193" i="8" s="1"/>
  <c r="G1193" i="8"/>
  <c r="F1193" i="8"/>
  <c r="E1193" i="8"/>
  <c r="H1192" i="8"/>
  <c r="G1192" i="8"/>
  <c r="F1192" i="8"/>
  <c r="E1192" i="8"/>
  <c r="H1191" i="8"/>
  <c r="AH1191" i="8" s="1" a="1"/>
  <c r="AH1191" i="8" s="1"/>
  <c r="G1191" i="8"/>
  <c r="F1191" i="8"/>
  <c r="E1191" i="8"/>
  <c r="H1190" i="8"/>
  <c r="G1190" i="8"/>
  <c r="F1190" i="8"/>
  <c r="E1190" i="8"/>
  <c r="H1189" i="8"/>
  <c r="G1189" i="8"/>
  <c r="F1189" i="8"/>
  <c r="E1189" i="8"/>
  <c r="D1189" i="8"/>
  <c r="C1189" i="8"/>
  <c r="B1189" i="8"/>
  <c r="H1188" i="8"/>
  <c r="G1188" i="8"/>
  <c r="F1188" i="8"/>
  <c r="E1188" i="8"/>
  <c r="D1188" i="8"/>
  <c r="P1188" i="8" s="1" a="1"/>
  <c r="H1187" i="8"/>
  <c r="G1187" i="8"/>
  <c r="F1187" i="8"/>
  <c r="E1187" i="8"/>
  <c r="D1187" i="8"/>
  <c r="H1186" i="8"/>
  <c r="G1186" i="8"/>
  <c r="F1186" i="8"/>
  <c r="E1186" i="8"/>
  <c r="D1186" i="8"/>
  <c r="H1185" i="8"/>
  <c r="G1185" i="8"/>
  <c r="F1185" i="8"/>
  <c r="E1185" i="8"/>
  <c r="H1184" i="8"/>
  <c r="G1184" i="8"/>
  <c r="F1184" i="8"/>
  <c r="E1184" i="8"/>
  <c r="H1183" i="8"/>
  <c r="AG1183" i="8" s="1" a="1"/>
  <c r="AG1183" i="8" s="1"/>
  <c r="G1183" i="8"/>
  <c r="F1183" i="8"/>
  <c r="E1183" i="8"/>
  <c r="H1182" i="8"/>
  <c r="G1182" i="8"/>
  <c r="F1182" i="8"/>
  <c r="E1182" i="8"/>
  <c r="H1181" i="8"/>
  <c r="G1181" i="8"/>
  <c r="F1181" i="8"/>
  <c r="E1181" i="8"/>
  <c r="H1180" i="8"/>
  <c r="G1180" i="8"/>
  <c r="F1180" i="8"/>
  <c r="E1180" i="8"/>
  <c r="H1179" i="8"/>
  <c r="AG1179" i="8" s="1" a="1"/>
  <c r="AG1179" i="8" s="1"/>
  <c r="G1179" i="8"/>
  <c r="F1179" i="8"/>
  <c r="E1179" i="8"/>
  <c r="D1179" i="8"/>
  <c r="C1179" i="8"/>
  <c r="H1178" i="8"/>
  <c r="G1178" i="8"/>
  <c r="F1178" i="8"/>
  <c r="E1178" i="8"/>
  <c r="D1178" i="8"/>
  <c r="H1177" i="8"/>
  <c r="AI1177" i="8" s="1" a="1"/>
  <c r="AI1177" i="8" s="1"/>
  <c r="G1177" i="8"/>
  <c r="F1177" i="8"/>
  <c r="E1177" i="8"/>
  <c r="D1177" i="8"/>
  <c r="H1176" i="8"/>
  <c r="G1176" i="8"/>
  <c r="F1176" i="8"/>
  <c r="E1176" i="8"/>
  <c r="D1176" i="8"/>
  <c r="H1175" i="8"/>
  <c r="G1175" i="8"/>
  <c r="F1175" i="8"/>
  <c r="E1175" i="8"/>
  <c r="D1175" i="8"/>
  <c r="H1174" i="8"/>
  <c r="G1174" i="8"/>
  <c r="F1174" i="8"/>
  <c r="E1174" i="8"/>
  <c r="D1174" i="8"/>
  <c r="C1174" i="8"/>
  <c r="B1174" i="8"/>
  <c r="H1173" i="8"/>
  <c r="AG1173" i="8" s="1" a="1"/>
  <c r="AG1173" i="8" s="1"/>
  <c r="G1173" i="8"/>
  <c r="F1173" i="8"/>
  <c r="E1173" i="8"/>
  <c r="D1173" i="8"/>
  <c r="C1173" i="8"/>
  <c r="H1172" i="8"/>
  <c r="G1172" i="8"/>
  <c r="F1172" i="8"/>
  <c r="E1172" i="8"/>
  <c r="D1172" i="8"/>
  <c r="C1172" i="8"/>
  <c r="H1171" i="8"/>
  <c r="G1171" i="8"/>
  <c r="F1171" i="8"/>
  <c r="E1171" i="8"/>
  <c r="D1171" i="8"/>
  <c r="C1171" i="8"/>
  <c r="H1170" i="8"/>
  <c r="G1170" i="8"/>
  <c r="F1170" i="8"/>
  <c r="E1170" i="8"/>
  <c r="D1170" i="8"/>
  <c r="C1170" i="8"/>
  <c r="H1169" i="8"/>
  <c r="G1169" i="8"/>
  <c r="F1169" i="8"/>
  <c r="E1169" i="8"/>
  <c r="D1169" i="8"/>
  <c r="C1169" i="8"/>
  <c r="H1168" i="8"/>
  <c r="AH1168" i="8" s="1" a="1"/>
  <c r="AH1168" i="8" s="1"/>
  <c r="G1168" i="8"/>
  <c r="F1168" i="8"/>
  <c r="E1168" i="8"/>
  <c r="D1168" i="8"/>
  <c r="C1168" i="8"/>
  <c r="H1167" i="8"/>
  <c r="AH1167" i="8" s="1" a="1"/>
  <c r="AH1167" i="8" s="1"/>
  <c r="G1167" i="8"/>
  <c r="F1167" i="8"/>
  <c r="E1167" i="8"/>
  <c r="D1167" i="8"/>
  <c r="C1167" i="8"/>
  <c r="H1166" i="8"/>
  <c r="AG1166" i="8" s="1" a="1"/>
  <c r="AG1166" i="8" s="1"/>
  <c r="G1166" i="8"/>
  <c r="F1166" i="8"/>
  <c r="E1166" i="8"/>
  <c r="D1166" i="8"/>
  <c r="C1166" i="8"/>
  <c r="H1165" i="8"/>
  <c r="G1165" i="8"/>
  <c r="F1165" i="8"/>
  <c r="E1165" i="8"/>
  <c r="D1165" i="8"/>
  <c r="C1165" i="8"/>
  <c r="H1164" i="8"/>
  <c r="G1164" i="8"/>
  <c r="F1164" i="8"/>
  <c r="E1164" i="8"/>
  <c r="D1164" i="8"/>
  <c r="C1164" i="8"/>
  <c r="H1163" i="8"/>
  <c r="AI1163" i="8" s="1" a="1"/>
  <c r="AI1163" i="8" s="1"/>
  <c r="G1163" i="8"/>
  <c r="F1163" i="8"/>
  <c r="E1163" i="8"/>
  <c r="D1163" i="8"/>
  <c r="C1163" i="8"/>
  <c r="H1162" i="8"/>
  <c r="G1162" i="8"/>
  <c r="F1162" i="8"/>
  <c r="E1162" i="8"/>
  <c r="D1162" i="8"/>
  <c r="C1162" i="8"/>
  <c r="H1161" i="8"/>
  <c r="G1161" i="8"/>
  <c r="F1161" i="8"/>
  <c r="E1161" i="8"/>
  <c r="D1161" i="8"/>
  <c r="C1161" i="8"/>
  <c r="H1160" i="8"/>
  <c r="G1160" i="8"/>
  <c r="F1160" i="8"/>
  <c r="E1160" i="8"/>
  <c r="D1160" i="8"/>
  <c r="C1160" i="8"/>
  <c r="H1159" i="8"/>
  <c r="G1159" i="8"/>
  <c r="F1159" i="8"/>
  <c r="E1159" i="8"/>
  <c r="D1159" i="8"/>
  <c r="H1158" i="8"/>
  <c r="G1158" i="8"/>
  <c r="F1158" i="8"/>
  <c r="E1158" i="8"/>
  <c r="D1158" i="8"/>
  <c r="C1158" i="8"/>
  <c r="H1157" i="8"/>
  <c r="G1157" i="8"/>
  <c r="F1157" i="8"/>
  <c r="E1157" i="8"/>
  <c r="D1157" i="8"/>
  <c r="C1157" i="8"/>
  <c r="H1156" i="8"/>
  <c r="AG1156" i="8" s="1" a="1"/>
  <c r="AG1156" i="8" s="1"/>
  <c r="G1156" i="8"/>
  <c r="F1156" i="8"/>
  <c r="E1156" i="8"/>
  <c r="D1156" i="8"/>
  <c r="C1156" i="8"/>
  <c r="H1155" i="8"/>
  <c r="G1155" i="8"/>
  <c r="F1155" i="8"/>
  <c r="E1155" i="8"/>
  <c r="D1155" i="8"/>
  <c r="C1155" i="8"/>
  <c r="H1154" i="8"/>
  <c r="AH1154" i="8" s="1" a="1"/>
  <c r="AH1154" i="8" s="1"/>
  <c r="G1154" i="8"/>
  <c r="F1154" i="8"/>
  <c r="E1154" i="8"/>
  <c r="D1154" i="8"/>
  <c r="C1154" i="8"/>
  <c r="H1153" i="8"/>
  <c r="G1153" i="8"/>
  <c r="F1153" i="8"/>
  <c r="E1153" i="8"/>
  <c r="D1153" i="8"/>
  <c r="H1152" i="8"/>
  <c r="AH1152" i="8" s="1" a="1"/>
  <c r="AH1152" i="8" s="1"/>
  <c r="G1152" i="8"/>
  <c r="F1152" i="8"/>
  <c r="E1152" i="8"/>
  <c r="D1152" i="8"/>
  <c r="H1151" i="8"/>
  <c r="AG1151" i="8" s="1" a="1"/>
  <c r="AG1151" i="8" s="1"/>
  <c r="G1151" i="8"/>
  <c r="F1151" i="8"/>
  <c r="E1151" i="8"/>
  <c r="D1151" i="8"/>
  <c r="H1150" i="8"/>
  <c r="AH1150" i="8" s="1" a="1"/>
  <c r="AH1150" i="8" s="1"/>
  <c r="G1150" i="8"/>
  <c r="F1150" i="8"/>
  <c r="E1150" i="8"/>
  <c r="D1150" i="8"/>
  <c r="H1149" i="8"/>
  <c r="AH1149" i="8" s="1" a="1"/>
  <c r="AH1149" i="8" s="1"/>
  <c r="G1149" i="8"/>
  <c r="F1149" i="8"/>
  <c r="E1149" i="8"/>
  <c r="D1149" i="8"/>
  <c r="C1149" i="8"/>
  <c r="O1149" i="8" s="1" a="1"/>
  <c r="H1148" i="8"/>
  <c r="G1148" i="8"/>
  <c r="F1148" i="8"/>
  <c r="E1148" i="8"/>
  <c r="D1148" i="8"/>
  <c r="C1148" i="8"/>
  <c r="H1147" i="8"/>
  <c r="G1147" i="8"/>
  <c r="F1147" i="8"/>
  <c r="E1147" i="8"/>
  <c r="D1147" i="8"/>
  <c r="H1146" i="8"/>
  <c r="G1146" i="8"/>
  <c r="F1146" i="8"/>
  <c r="E1146" i="8"/>
  <c r="D1146" i="8"/>
  <c r="C1146" i="8"/>
  <c r="H1145" i="8"/>
  <c r="G1145" i="8"/>
  <c r="F1145" i="8"/>
  <c r="E1145" i="8"/>
  <c r="D1145" i="8"/>
  <c r="H1144" i="8"/>
  <c r="AI1144" i="8" s="1" a="1"/>
  <c r="AI1144" i="8" s="1"/>
  <c r="G1144" i="8"/>
  <c r="F1144" i="8"/>
  <c r="E1144" i="8"/>
  <c r="D1144" i="8"/>
  <c r="C1144" i="8"/>
  <c r="H1143" i="8"/>
  <c r="AI1143" i="8" s="1" a="1"/>
  <c r="AI1143" i="8" s="1"/>
  <c r="G1143" i="8"/>
  <c r="F1143" i="8"/>
  <c r="E1143" i="8"/>
  <c r="H1142" i="8"/>
  <c r="AG1142" i="8" s="1" a="1"/>
  <c r="AG1142" i="8" s="1"/>
  <c r="G1142" i="8"/>
  <c r="F1142" i="8"/>
  <c r="E1142" i="8"/>
  <c r="H1141" i="8"/>
  <c r="G1141" i="8"/>
  <c r="F1141" i="8"/>
  <c r="E1141" i="8"/>
  <c r="H1140" i="8"/>
  <c r="G1140" i="8"/>
  <c r="F1140" i="8"/>
  <c r="E1140" i="8"/>
  <c r="H1139" i="8"/>
  <c r="G1139" i="8"/>
  <c r="F1139" i="8"/>
  <c r="E1139" i="8"/>
  <c r="H1138" i="8"/>
  <c r="G1138" i="8"/>
  <c r="F1138" i="8"/>
  <c r="E1138" i="8"/>
  <c r="H1137" i="8"/>
  <c r="AI1137" i="8" s="1" a="1"/>
  <c r="AI1137" i="8" s="1"/>
  <c r="G1137" i="8"/>
  <c r="F1137" i="8"/>
  <c r="E1137" i="8"/>
  <c r="D1137" i="8"/>
  <c r="C1137" i="8"/>
  <c r="B1137" i="8"/>
  <c r="H1136" i="8"/>
  <c r="AG1136" i="8" s="1" a="1"/>
  <c r="AG1136" i="8" s="1"/>
  <c r="G1136" i="8"/>
  <c r="F1136" i="8"/>
  <c r="E1136" i="8"/>
  <c r="D1136" i="8"/>
  <c r="C1136" i="8"/>
  <c r="H1135" i="8"/>
  <c r="AH1135" i="8" s="1" a="1"/>
  <c r="AH1135" i="8" s="1"/>
  <c r="G1135" i="8"/>
  <c r="F1135" i="8"/>
  <c r="E1135" i="8"/>
  <c r="D1135" i="8"/>
  <c r="C1135" i="8"/>
  <c r="B1135" i="8"/>
  <c r="H1134" i="8"/>
  <c r="G1134" i="8"/>
  <c r="F1134" i="8"/>
  <c r="E1134" i="8"/>
  <c r="H1133" i="8"/>
  <c r="G1133" i="8"/>
  <c r="F1133" i="8"/>
  <c r="E1133" i="8"/>
  <c r="H1132" i="8"/>
  <c r="G1132" i="8"/>
  <c r="F1132" i="8"/>
  <c r="E1132" i="8"/>
  <c r="H1131" i="8"/>
  <c r="G1131" i="8"/>
  <c r="F1131" i="8"/>
  <c r="E1131" i="8"/>
  <c r="H1130" i="8"/>
  <c r="G1130" i="8"/>
  <c r="F1130" i="8"/>
  <c r="E1130" i="8"/>
  <c r="H1129" i="8"/>
  <c r="AI1129" i="8" s="1" a="1"/>
  <c r="AI1129" i="8" s="1"/>
  <c r="G1129" i="8"/>
  <c r="F1129" i="8"/>
  <c r="E1129" i="8"/>
  <c r="H1128" i="8"/>
  <c r="G1128" i="8"/>
  <c r="F1128" i="8"/>
  <c r="E1128" i="8"/>
  <c r="D1128" i="8"/>
  <c r="C1128" i="8"/>
  <c r="H1127" i="8"/>
  <c r="G1127" i="8"/>
  <c r="F1127" i="8"/>
  <c r="E1127" i="8"/>
  <c r="D1127" i="8"/>
  <c r="C1127" i="8"/>
  <c r="O1127" i="8" s="1" a="1"/>
  <c r="H1126" i="8"/>
  <c r="G1126" i="8"/>
  <c r="F1126" i="8"/>
  <c r="E1126" i="8"/>
  <c r="D1126" i="8"/>
  <c r="C1126" i="8"/>
  <c r="H1125" i="8"/>
  <c r="G1125" i="8"/>
  <c r="F1125" i="8"/>
  <c r="E1125" i="8"/>
  <c r="D1125" i="8"/>
  <c r="H1124" i="8"/>
  <c r="AG1124" i="8" s="1" a="1"/>
  <c r="AG1124" i="8" s="1"/>
  <c r="G1124" i="8"/>
  <c r="F1124" i="8"/>
  <c r="E1124" i="8"/>
  <c r="D1124" i="8"/>
  <c r="C1124" i="8"/>
  <c r="H1123" i="8"/>
  <c r="G1123" i="8"/>
  <c r="F1123" i="8"/>
  <c r="E1123" i="8"/>
  <c r="D1123" i="8"/>
  <c r="C1123" i="8"/>
  <c r="H1122" i="8"/>
  <c r="G1122" i="8"/>
  <c r="F1122" i="8"/>
  <c r="E1122" i="8"/>
  <c r="D1122" i="8"/>
  <c r="C1122" i="8"/>
  <c r="O1122" i="8" s="1" a="1"/>
  <c r="H1121" i="8"/>
  <c r="AH1121" i="8" s="1" a="1"/>
  <c r="AH1121" i="8" s="1"/>
  <c r="G1121" i="8"/>
  <c r="F1121" i="8"/>
  <c r="E1121" i="8"/>
  <c r="D1121" i="8"/>
  <c r="C1121" i="8"/>
  <c r="H1120" i="8"/>
  <c r="AI1120" i="8" s="1" a="1"/>
  <c r="AI1120" i="8" s="1"/>
  <c r="G1120" i="8"/>
  <c r="F1120" i="8"/>
  <c r="E1120" i="8"/>
  <c r="D1120" i="8"/>
  <c r="C1120" i="8"/>
  <c r="H1119" i="8"/>
  <c r="AG1119" i="8" s="1" a="1"/>
  <c r="AG1119" i="8" s="1"/>
  <c r="G1119" i="8"/>
  <c r="F1119" i="8"/>
  <c r="E1119" i="8"/>
  <c r="D1119" i="8"/>
  <c r="C1119" i="8"/>
  <c r="H1118" i="8"/>
  <c r="G1118" i="8"/>
  <c r="F1118" i="8"/>
  <c r="E1118" i="8"/>
  <c r="D1118" i="8"/>
  <c r="C1118" i="8"/>
  <c r="H1117" i="8"/>
  <c r="G1117" i="8"/>
  <c r="F1117" i="8"/>
  <c r="E1117" i="8"/>
  <c r="D1117" i="8"/>
  <c r="H1116" i="8"/>
  <c r="G1116" i="8"/>
  <c r="F1116" i="8"/>
  <c r="E1116" i="8"/>
  <c r="D1116" i="8"/>
  <c r="C1116" i="8"/>
  <c r="H1115" i="8"/>
  <c r="G1115" i="8"/>
  <c r="F1115" i="8"/>
  <c r="E1115" i="8"/>
  <c r="D1115" i="8"/>
  <c r="C1115" i="8"/>
  <c r="H1114" i="8"/>
  <c r="G1114" i="8"/>
  <c r="F1114" i="8"/>
  <c r="E1114" i="8"/>
  <c r="D1114" i="8"/>
  <c r="C1114" i="8"/>
  <c r="H1113" i="8"/>
  <c r="G1113" i="8"/>
  <c r="F1113" i="8"/>
  <c r="E1113" i="8"/>
  <c r="D1113" i="8"/>
  <c r="C1113" i="8"/>
  <c r="H1112" i="8"/>
  <c r="AG1112" i="8" s="1" a="1"/>
  <c r="AG1112" i="8" s="1"/>
  <c r="G1112" i="8"/>
  <c r="F1112" i="8"/>
  <c r="E1112" i="8"/>
  <c r="D1112" i="8"/>
  <c r="C1112" i="8"/>
  <c r="H1111" i="8"/>
  <c r="AH1111" i="8" s="1" a="1"/>
  <c r="AH1111" i="8" s="1"/>
  <c r="G1111" i="8"/>
  <c r="F1111" i="8"/>
  <c r="E1111" i="8"/>
  <c r="D1111" i="8"/>
  <c r="C1111" i="8"/>
  <c r="H1110" i="8"/>
  <c r="G1110" i="8"/>
  <c r="F1110" i="8"/>
  <c r="E1110" i="8"/>
  <c r="D1110" i="8"/>
  <c r="C1110" i="8"/>
  <c r="H1109" i="8"/>
  <c r="AI1109" i="8" s="1" a="1"/>
  <c r="AI1109" i="8" s="1"/>
  <c r="G1109" i="8"/>
  <c r="F1109" i="8"/>
  <c r="E1109" i="8"/>
  <c r="D1109" i="8"/>
  <c r="C1109" i="8"/>
  <c r="H1108" i="8"/>
  <c r="AG1108" i="8" s="1" a="1"/>
  <c r="AG1108" i="8" s="1"/>
  <c r="G1108" i="8"/>
  <c r="F1108" i="8"/>
  <c r="E1108" i="8"/>
  <c r="D1108" i="8"/>
  <c r="C1108" i="8"/>
  <c r="H1107" i="8"/>
  <c r="AH1107" i="8" s="1" a="1"/>
  <c r="AH1107" i="8" s="1"/>
  <c r="G1107" i="8"/>
  <c r="F1107" i="8"/>
  <c r="E1107" i="8"/>
  <c r="D1107" i="8"/>
  <c r="C1107" i="8"/>
  <c r="H1106" i="8"/>
  <c r="G1106" i="8"/>
  <c r="F1106" i="8"/>
  <c r="E1106" i="8"/>
  <c r="D1106" i="8"/>
  <c r="C1106" i="8"/>
  <c r="H1105" i="8"/>
  <c r="G1105" i="8"/>
  <c r="F1105" i="8"/>
  <c r="E1105" i="8"/>
  <c r="D1105" i="8"/>
  <c r="C1105" i="8"/>
  <c r="H1104" i="8"/>
  <c r="G1104" i="8"/>
  <c r="F1104" i="8"/>
  <c r="E1104" i="8"/>
  <c r="D1104" i="8"/>
  <c r="C1104" i="8"/>
  <c r="H1103" i="8"/>
  <c r="AI1103" i="8" s="1" a="1"/>
  <c r="AI1103" i="8" s="1"/>
  <c r="G1103" i="8"/>
  <c r="F1103" i="8"/>
  <c r="E1103" i="8"/>
  <c r="D1103" i="8"/>
  <c r="C1103" i="8"/>
  <c r="H1102" i="8"/>
  <c r="G1102" i="8"/>
  <c r="F1102" i="8"/>
  <c r="E1102" i="8"/>
  <c r="D1102" i="8"/>
  <c r="C1102" i="8"/>
  <c r="H1101" i="8"/>
  <c r="AF1101" i="8" s="1" a="1"/>
  <c r="G1101" i="8"/>
  <c r="F1101" i="8"/>
  <c r="E1101" i="8"/>
  <c r="D1101" i="8"/>
  <c r="C1101" i="8"/>
  <c r="H1100" i="8"/>
  <c r="AF1100" i="8" s="1" a="1"/>
  <c r="G1100" i="8"/>
  <c r="F1100" i="8"/>
  <c r="E1100" i="8"/>
  <c r="D1100" i="8"/>
  <c r="C1100" i="8"/>
  <c r="H1099" i="8"/>
  <c r="AF1099" i="8" s="1" a="1"/>
  <c r="G1099" i="8"/>
  <c r="F1099" i="8"/>
  <c r="D1099" i="8"/>
  <c r="C1099" i="8"/>
  <c r="B1099" i="8"/>
  <c r="H1098" i="8"/>
  <c r="G1098" i="8"/>
  <c r="F1098" i="8"/>
  <c r="D1098" i="8"/>
  <c r="C1098" i="8"/>
  <c r="B1098" i="8"/>
  <c r="H1097" i="8"/>
  <c r="G1097" i="8"/>
  <c r="F1097" i="8"/>
  <c r="D1097" i="8"/>
  <c r="C1097" i="8"/>
  <c r="B1097" i="8"/>
  <c r="H1096" i="8"/>
  <c r="G1096" i="8"/>
  <c r="F1096" i="8"/>
  <c r="D1096" i="8"/>
  <c r="C1096" i="8"/>
  <c r="B1096" i="8"/>
  <c r="H1095" i="8"/>
  <c r="G1095" i="8"/>
  <c r="F1095" i="8"/>
  <c r="D1095" i="8"/>
  <c r="C1095" i="8"/>
  <c r="B1095" i="8"/>
  <c r="H1094" i="8"/>
  <c r="G1094" i="8"/>
  <c r="F1094" i="8"/>
  <c r="D1094" i="8"/>
  <c r="C1094" i="8"/>
  <c r="B1094" i="8"/>
  <c r="H1093" i="8"/>
  <c r="AG1093" i="8" s="1" a="1"/>
  <c r="AG1093" i="8" s="1"/>
  <c r="G1093" i="8"/>
  <c r="F1093" i="8"/>
  <c r="D1093" i="8"/>
  <c r="C1093" i="8"/>
  <c r="B1093" i="8"/>
  <c r="H1092" i="8"/>
  <c r="G1092" i="8"/>
  <c r="F1092" i="8"/>
  <c r="D1092" i="8"/>
  <c r="C1092" i="8"/>
  <c r="B1092" i="8"/>
  <c r="H1091" i="8"/>
  <c r="G1091" i="8"/>
  <c r="F1091" i="8"/>
  <c r="D1091" i="8"/>
  <c r="C1091" i="8"/>
  <c r="B1091" i="8"/>
  <c r="H1090" i="8"/>
  <c r="G1090" i="8"/>
  <c r="F1090" i="8"/>
  <c r="E1090" i="8"/>
  <c r="D1090" i="8"/>
  <c r="C1090" i="8"/>
  <c r="B1090" i="8"/>
  <c r="H1089" i="8"/>
  <c r="G1089" i="8"/>
  <c r="F1089" i="8"/>
  <c r="E1089" i="8"/>
  <c r="D1089" i="8"/>
  <c r="C1089" i="8"/>
  <c r="B1089" i="8"/>
  <c r="H1088" i="8"/>
  <c r="AI1088" i="8" s="1" a="1"/>
  <c r="AI1088" i="8" s="1"/>
  <c r="G1088" i="8"/>
  <c r="F1088" i="8"/>
  <c r="E1088" i="8"/>
  <c r="D1088" i="8"/>
  <c r="C1088" i="8"/>
  <c r="B1088" i="8"/>
  <c r="H1087" i="8"/>
  <c r="G1087" i="8"/>
  <c r="F1087" i="8"/>
  <c r="E1087" i="8"/>
  <c r="D1087" i="8"/>
  <c r="C1087" i="8"/>
  <c r="B1087" i="8"/>
  <c r="H1086" i="8"/>
  <c r="G1086" i="8"/>
  <c r="F1086" i="8"/>
  <c r="E1086" i="8"/>
  <c r="D1086" i="8"/>
  <c r="C1086" i="8"/>
  <c r="B1086" i="8"/>
  <c r="H1085" i="8"/>
  <c r="G1085" i="8"/>
  <c r="F1085" i="8"/>
  <c r="E1085" i="8"/>
  <c r="D1085" i="8"/>
  <c r="C1085" i="8"/>
  <c r="B1085" i="8"/>
  <c r="H1084" i="8"/>
  <c r="AG1084" i="8" s="1" a="1"/>
  <c r="AG1084" i="8" s="1"/>
  <c r="G1084" i="8"/>
  <c r="F1084" i="8"/>
  <c r="E1084" i="8"/>
  <c r="D1084" i="8"/>
  <c r="C1084" i="8"/>
  <c r="B1084" i="8"/>
  <c r="H1083" i="8"/>
  <c r="AH1083" i="8" s="1" a="1"/>
  <c r="AH1083" i="8" s="1"/>
  <c r="G1083" i="8"/>
  <c r="F1083" i="8"/>
  <c r="E1083" i="8"/>
  <c r="D1083" i="8"/>
  <c r="C1083" i="8"/>
  <c r="B1083" i="8"/>
  <c r="H1082" i="8"/>
  <c r="G1082" i="8"/>
  <c r="F1082" i="8"/>
  <c r="E1082" i="8"/>
  <c r="D1082" i="8"/>
  <c r="C1082" i="8"/>
  <c r="B1082" i="8"/>
  <c r="H1081" i="8"/>
  <c r="G1081" i="8"/>
  <c r="F1081" i="8"/>
  <c r="E1081" i="8"/>
  <c r="D1081" i="8"/>
  <c r="C1081" i="8"/>
  <c r="B1081" i="8"/>
  <c r="H1080" i="8"/>
  <c r="AH1080" i="8" s="1" a="1"/>
  <c r="AH1080" i="8" s="1"/>
  <c r="G1080" i="8"/>
  <c r="F1080" i="8"/>
  <c r="E1080" i="8"/>
  <c r="D1080" i="8"/>
  <c r="C1080" i="8"/>
  <c r="B1080" i="8"/>
  <c r="H1079" i="8"/>
  <c r="AG1079" i="8" s="1" a="1"/>
  <c r="AG1079" i="8" s="1"/>
  <c r="G1079" i="8"/>
  <c r="F1079" i="8"/>
  <c r="E1079" i="8"/>
  <c r="D1079" i="8"/>
  <c r="C1079" i="8"/>
  <c r="B1079" i="8"/>
  <c r="H1078" i="8"/>
  <c r="AI1078" i="8" s="1" a="1"/>
  <c r="AI1078" i="8" s="1"/>
  <c r="G1078" i="8"/>
  <c r="F1078" i="8"/>
  <c r="E1078" i="8"/>
  <c r="D1078" i="8"/>
  <c r="C1078" i="8"/>
  <c r="B1078" i="8"/>
  <c r="H1077" i="8"/>
  <c r="G1077" i="8"/>
  <c r="F1077" i="8"/>
  <c r="E1077" i="8"/>
  <c r="D1077" i="8"/>
  <c r="C1077" i="8"/>
  <c r="B1077" i="8"/>
  <c r="H1076" i="8"/>
  <c r="G1076" i="8"/>
  <c r="F1076" i="8"/>
  <c r="D1076" i="8"/>
  <c r="C1076" i="8"/>
  <c r="B1076" i="8"/>
  <c r="H1075" i="8"/>
  <c r="G1075" i="8"/>
  <c r="F1075" i="8"/>
  <c r="D1075" i="8"/>
  <c r="C1075" i="8"/>
  <c r="B1075" i="8"/>
  <c r="H1074" i="8"/>
  <c r="G1074" i="8"/>
  <c r="F1074" i="8"/>
  <c r="D1074" i="8"/>
  <c r="C1074" i="8"/>
  <c r="B1074" i="8"/>
  <c r="H1073" i="8"/>
  <c r="G1073" i="8"/>
  <c r="F1073" i="8"/>
  <c r="D1073" i="8"/>
  <c r="C1073" i="8"/>
  <c r="B1073" i="8"/>
  <c r="H1072" i="8"/>
  <c r="G1072" i="8"/>
  <c r="F1072" i="8"/>
  <c r="D1072" i="8"/>
  <c r="C1072" i="8"/>
  <c r="B1072" i="8"/>
  <c r="H1071" i="8"/>
  <c r="AH1071" i="8" s="1" a="1"/>
  <c r="AH1071" i="8" s="1"/>
  <c r="G1071" i="8"/>
  <c r="F1071" i="8"/>
  <c r="D1071" i="8"/>
  <c r="C1071" i="8"/>
  <c r="B1071" i="8"/>
  <c r="H1070" i="8"/>
  <c r="G1070" i="8"/>
  <c r="F1070" i="8"/>
  <c r="E1070" i="8"/>
  <c r="D1070" i="8"/>
  <c r="C1070" i="8"/>
  <c r="B1070" i="8"/>
  <c r="H1069" i="8"/>
  <c r="G1069" i="8"/>
  <c r="F1069" i="8"/>
  <c r="E1069" i="8"/>
  <c r="D1069" i="8"/>
  <c r="C1069" i="8"/>
  <c r="B1069" i="8"/>
  <c r="H1068" i="8"/>
  <c r="G1068" i="8"/>
  <c r="F1068" i="8"/>
  <c r="D1068" i="8"/>
  <c r="C1068" i="8"/>
  <c r="B1068" i="8"/>
  <c r="H1067" i="8"/>
  <c r="G1067" i="8"/>
  <c r="F1067" i="8"/>
  <c r="D1067" i="8"/>
  <c r="C1067" i="8"/>
  <c r="B1067" i="8"/>
  <c r="H1066" i="8"/>
  <c r="AH1066" i="8" s="1" a="1"/>
  <c r="AH1066" i="8" s="1"/>
  <c r="G1066" i="8"/>
  <c r="F1066" i="8"/>
  <c r="D1066" i="8"/>
  <c r="C1066" i="8"/>
  <c r="B1066" i="8"/>
  <c r="H1065" i="8"/>
  <c r="AI1065" i="8" s="1" a="1"/>
  <c r="AI1065" i="8" s="1"/>
  <c r="G1065" i="8"/>
  <c r="F1065" i="8"/>
  <c r="D1065" i="8"/>
  <c r="C1065" i="8"/>
  <c r="B1065" i="8"/>
  <c r="H1064" i="8"/>
  <c r="AI1064" i="8" s="1" a="1"/>
  <c r="AI1064" i="8" s="1"/>
  <c r="G1064" i="8"/>
  <c r="F1064" i="8"/>
  <c r="D1064" i="8"/>
  <c r="C1064" i="8"/>
  <c r="B1064" i="8"/>
  <c r="H1063" i="8"/>
  <c r="G1063" i="8"/>
  <c r="F1063" i="8"/>
  <c r="E1063" i="8"/>
  <c r="D1063" i="8"/>
  <c r="C1063" i="8"/>
  <c r="B1063" i="8"/>
  <c r="H1062" i="8"/>
  <c r="G1062" i="8"/>
  <c r="F1062" i="8"/>
  <c r="E1062" i="8"/>
  <c r="D1062" i="8"/>
  <c r="C1062" i="8"/>
  <c r="B1062" i="8"/>
  <c r="H1061" i="8"/>
  <c r="G1061" i="8"/>
  <c r="F1061" i="8"/>
  <c r="E1061" i="8"/>
  <c r="D1061" i="8"/>
  <c r="C1061" i="8"/>
  <c r="B1061" i="8"/>
  <c r="H1060" i="8"/>
  <c r="G1060" i="8"/>
  <c r="F1060" i="8"/>
  <c r="E1060" i="8"/>
  <c r="D1060" i="8"/>
  <c r="C1060" i="8"/>
  <c r="B1060" i="8"/>
  <c r="H1059" i="8"/>
  <c r="G1059" i="8"/>
  <c r="F1059" i="8"/>
  <c r="E1059" i="8"/>
  <c r="D1059" i="8"/>
  <c r="C1059" i="8"/>
  <c r="B1059" i="8"/>
  <c r="H1058" i="8"/>
  <c r="G1058" i="8"/>
  <c r="F1058" i="8"/>
  <c r="E1058" i="8"/>
  <c r="D1058" i="8"/>
  <c r="C1058" i="8"/>
  <c r="B1058" i="8"/>
  <c r="H1057" i="8"/>
  <c r="G1057" i="8"/>
  <c r="F1057" i="8"/>
  <c r="E1057" i="8"/>
  <c r="D1057" i="8"/>
  <c r="C1057" i="8"/>
  <c r="B1057" i="8"/>
  <c r="H1056" i="8"/>
  <c r="G1056" i="8"/>
  <c r="F1056" i="8"/>
  <c r="E1056" i="8"/>
  <c r="D1056" i="8"/>
  <c r="C1056" i="8"/>
  <c r="B1056" i="8"/>
  <c r="H1055" i="8"/>
  <c r="G1055" i="8"/>
  <c r="F1055" i="8"/>
  <c r="E1055" i="8"/>
  <c r="D1055" i="8"/>
  <c r="C1055" i="8"/>
  <c r="B1055" i="8"/>
  <c r="H1054" i="8"/>
  <c r="AG1054" i="8" s="1" a="1"/>
  <c r="AG1054" i="8" s="1"/>
  <c r="G1054" i="8"/>
  <c r="F1054" i="8"/>
  <c r="E1054" i="8"/>
  <c r="D1054" i="8"/>
  <c r="C1054" i="8"/>
  <c r="B1054" i="8"/>
  <c r="H1053" i="8"/>
  <c r="AI1053" i="8" s="1" a="1"/>
  <c r="AI1053" i="8" s="1"/>
  <c r="G1053" i="8"/>
  <c r="F1053" i="8"/>
  <c r="E1053" i="8"/>
  <c r="D1053" i="8"/>
  <c r="C1053" i="8"/>
  <c r="H1052" i="8"/>
  <c r="AF1052" i="8" s="1" a="1"/>
  <c r="G1052" i="8"/>
  <c r="F1052" i="8"/>
  <c r="D1052" i="8"/>
  <c r="C1052" i="8"/>
  <c r="H1051" i="8"/>
  <c r="AG1051" i="8" s="1" a="1"/>
  <c r="AG1051" i="8" s="1"/>
  <c r="G1051" i="8"/>
  <c r="F1051" i="8"/>
  <c r="D1051" i="8"/>
  <c r="C1051" i="8"/>
  <c r="B1051" i="8"/>
  <c r="H1050" i="8"/>
  <c r="G1050" i="8"/>
  <c r="F1050" i="8"/>
  <c r="E1050" i="8"/>
  <c r="D1050" i="8"/>
  <c r="C1050" i="8"/>
  <c r="H1049" i="8"/>
  <c r="G1049" i="8"/>
  <c r="F1049" i="8"/>
  <c r="E1049" i="8"/>
  <c r="D1049" i="8"/>
  <c r="C1049" i="8"/>
  <c r="H1048" i="8"/>
  <c r="G1048" i="8"/>
  <c r="F1048" i="8"/>
  <c r="E1048" i="8"/>
  <c r="D1048" i="8"/>
  <c r="C1048" i="8"/>
  <c r="B1048" i="8"/>
  <c r="H1047" i="8"/>
  <c r="G1047" i="8"/>
  <c r="F1047" i="8"/>
  <c r="E1047" i="8"/>
  <c r="D1047" i="8"/>
  <c r="C1047" i="8"/>
  <c r="B1047" i="8"/>
  <c r="H1046" i="8"/>
  <c r="G1046" i="8"/>
  <c r="F1046" i="8"/>
  <c r="E1046" i="8"/>
  <c r="D1046" i="8"/>
  <c r="C1046" i="8"/>
  <c r="B1046" i="8"/>
  <c r="H1045" i="8"/>
  <c r="G1045" i="8"/>
  <c r="F1045" i="8"/>
  <c r="E1045" i="8"/>
  <c r="D1045" i="8"/>
  <c r="C1045" i="8"/>
  <c r="H1044" i="8"/>
  <c r="G1044" i="8"/>
  <c r="F1044" i="8"/>
  <c r="E1044" i="8"/>
  <c r="D1044" i="8"/>
  <c r="C1044" i="8"/>
  <c r="H1043" i="8"/>
  <c r="G1043" i="8"/>
  <c r="F1043" i="8"/>
  <c r="E1043" i="8"/>
  <c r="D1043" i="8"/>
  <c r="C1043" i="8"/>
  <c r="B1043" i="8"/>
  <c r="H1042" i="8"/>
  <c r="G1042" i="8"/>
  <c r="F1042" i="8"/>
  <c r="E1042" i="8"/>
  <c r="D1042" i="8"/>
  <c r="C1042" i="8"/>
  <c r="H1041" i="8"/>
  <c r="AI1041" i="8" s="1" a="1"/>
  <c r="AI1041" i="8" s="1"/>
  <c r="G1041" i="8"/>
  <c r="F1041" i="8"/>
  <c r="E1041" i="8"/>
  <c r="D1041" i="8"/>
  <c r="C1041" i="8"/>
  <c r="H1040" i="8"/>
  <c r="AG1040" i="8" s="1" a="1"/>
  <c r="AG1040" i="8" s="1"/>
  <c r="G1040" i="8"/>
  <c r="F1040" i="8"/>
  <c r="E1040" i="8"/>
  <c r="D1040" i="8"/>
  <c r="C1040" i="8"/>
  <c r="H1039" i="8"/>
  <c r="G1039" i="8"/>
  <c r="F1039" i="8"/>
  <c r="E1039" i="8"/>
  <c r="D1039" i="8"/>
  <c r="C1039" i="8"/>
  <c r="H1038" i="8"/>
  <c r="AH1038" i="8" s="1" a="1"/>
  <c r="AH1038" i="8" s="1"/>
  <c r="G1038" i="8"/>
  <c r="F1038" i="8"/>
  <c r="E1038" i="8"/>
  <c r="D1038" i="8"/>
  <c r="C1038" i="8"/>
  <c r="H1037" i="8"/>
  <c r="AI1037" i="8" s="1" a="1"/>
  <c r="AI1037" i="8" s="1"/>
  <c r="G1037" i="8"/>
  <c r="F1037" i="8"/>
  <c r="E1037" i="8"/>
  <c r="D1037" i="8"/>
  <c r="C1037" i="8"/>
  <c r="H1036" i="8"/>
  <c r="AI1036" i="8" s="1" a="1"/>
  <c r="AI1036" i="8" s="1"/>
  <c r="G1036" i="8"/>
  <c r="F1036" i="8"/>
  <c r="E1036" i="8"/>
  <c r="D1036" i="8"/>
  <c r="C1036" i="8"/>
  <c r="H1035" i="8"/>
  <c r="AF1035" i="8" s="1" a="1"/>
  <c r="G1035" i="8"/>
  <c r="F1035" i="8"/>
  <c r="E1035" i="8"/>
  <c r="D1035" i="8"/>
  <c r="C1035" i="8"/>
  <c r="H1034" i="8"/>
  <c r="AF1034" i="8" s="1" a="1"/>
  <c r="G1034" i="8"/>
  <c r="F1034" i="8"/>
  <c r="E1034" i="8"/>
  <c r="D1034" i="8"/>
  <c r="C1034" i="8"/>
  <c r="H1033" i="8"/>
  <c r="G1033" i="8"/>
  <c r="F1033" i="8"/>
  <c r="E1033" i="8"/>
  <c r="D1033" i="8"/>
  <c r="C1033" i="8"/>
  <c r="H1032" i="8"/>
  <c r="AH1032" i="8" s="1" a="1"/>
  <c r="AH1032" i="8" s="1"/>
  <c r="G1032" i="8"/>
  <c r="F1032" i="8"/>
  <c r="E1032" i="8"/>
  <c r="D1032" i="8"/>
  <c r="C1032" i="8"/>
  <c r="H1031" i="8"/>
  <c r="G1031" i="8"/>
  <c r="F1031" i="8"/>
  <c r="E1031" i="8"/>
  <c r="D1031" i="8"/>
  <c r="C1031" i="8"/>
  <c r="H1030" i="8"/>
  <c r="G1030" i="8"/>
  <c r="F1030" i="8"/>
  <c r="E1030" i="8"/>
  <c r="D1030" i="8"/>
  <c r="C1030" i="8"/>
  <c r="H1029" i="8"/>
  <c r="G1029" i="8"/>
  <c r="F1029" i="8"/>
  <c r="E1029" i="8"/>
  <c r="D1029" i="8"/>
  <c r="C1029" i="8"/>
  <c r="H1028" i="8"/>
  <c r="AI1028" i="8" s="1" a="1"/>
  <c r="AI1028" i="8" s="1"/>
  <c r="G1028" i="8"/>
  <c r="F1028" i="8"/>
  <c r="E1028" i="8"/>
  <c r="D1028" i="8"/>
  <c r="C1028" i="8"/>
  <c r="H1027" i="8"/>
  <c r="AG1027" i="8" s="1" a="1"/>
  <c r="AG1027" i="8" s="1"/>
  <c r="G1027" i="8"/>
  <c r="F1027" i="8"/>
  <c r="E1027" i="8"/>
  <c r="D1027" i="8"/>
  <c r="C1027" i="8"/>
  <c r="H1026" i="8"/>
  <c r="G1026" i="8"/>
  <c r="F1026" i="8"/>
  <c r="E1026" i="8"/>
  <c r="D1026" i="8"/>
  <c r="C1026" i="8"/>
  <c r="H1025" i="8"/>
  <c r="G1025" i="8"/>
  <c r="F1025" i="8"/>
  <c r="E1025" i="8"/>
  <c r="D1025" i="8"/>
  <c r="C1025" i="8"/>
  <c r="H1024" i="8"/>
  <c r="AG1024" i="8" s="1" a="1"/>
  <c r="AG1024" i="8" s="1"/>
  <c r="G1024" i="8"/>
  <c r="F1024" i="8"/>
  <c r="E1024" i="8"/>
  <c r="D1024" i="8"/>
  <c r="C1024" i="8"/>
  <c r="H1023" i="8"/>
  <c r="G1023" i="8"/>
  <c r="F1023" i="8"/>
  <c r="E1023" i="8"/>
  <c r="D1023" i="8"/>
  <c r="C1023" i="8"/>
  <c r="H1022" i="8"/>
  <c r="AG1022" i="8" s="1" a="1"/>
  <c r="AG1022" i="8" s="1"/>
  <c r="G1022" i="8"/>
  <c r="F1022" i="8"/>
  <c r="E1022" i="8"/>
  <c r="D1022" i="8"/>
  <c r="C1022" i="8"/>
  <c r="H1021" i="8"/>
  <c r="G1021" i="8"/>
  <c r="F1021" i="8"/>
  <c r="E1021" i="8"/>
  <c r="D1021" i="8"/>
  <c r="C1021" i="8"/>
  <c r="H1020" i="8"/>
  <c r="G1020" i="8"/>
  <c r="F1020" i="8"/>
  <c r="E1020" i="8"/>
  <c r="D1020" i="8"/>
  <c r="C1020" i="8"/>
  <c r="H1019" i="8"/>
  <c r="AG1019" i="8" s="1" a="1"/>
  <c r="AG1019" i="8" s="1"/>
  <c r="G1019" i="8"/>
  <c r="F1019" i="8"/>
  <c r="E1019" i="8"/>
  <c r="D1019" i="8"/>
  <c r="C1019" i="8"/>
  <c r="H1018" i="8"/>
  <c r="AI1018" i="8" s="1" a="1"/>
  <c r="AI1018" i="8" s="1"/>
  <c r="G1018" i="8"/>
  <c r="F1018" i="8"/>
  <c r="E1018" i="8"/>
  <c r="D1018" i="8"/>
  <c r="C1018" i="8"/>
  <c r="H1017" i="8"/>
  <c r="G1017" i="8"/>
  <c r="F1017" i="8"/>
  <c r="E1017" i="8"/>
  <c r="D1017" i="8"/>
  <c r="C1017" i="8"/>
  <c r="H1016" i="8"/>
  <c r="G1016" i="8"/>
  <c r="F1016" i="8"/>
  <c r="E1016" i="8"/>
  <c r="D1016" i="8"/>
  <c r="C1016" i="8"/>
  <c r="H1015" i="8"/>
  <c r="G1015" i="8"/>
  <c r="F1015" i="8"/>
  <c r="E1015" i="8"/>
  <c r="D1015" i="8"/>
  <c r="C1015" i="8"/>
  <c r="H1014" i="8"/>
  <c r="AG1014" i="8" s="1" a="1"/>
  <c r="AG1014" i="8" s="1"/>
  <c r="G1014" i="8"/>
  <c r="F1014" i="8"/>
  <c r="E1014" i="8"/>
  <c r="D1014" i="8"/>
  <c r="C1014" i="8"/>
  <c r="H1013" i="8"/>
  <c r="G1013" i="8"/>
  <c r="F1013" i="8"/>
  <c r="E1013" i="8"/>
  <c r="H1012" i="8"/>
  <c r="AI1012" i="8" s="1" a="1"/>
  <c r="AI1012" i="8" s="1"/>
  <c r="G1012" i="8"/>
  <c r="F1012" i="8"/>
  <c r="E1012" i="8"/>
  <c r="H1011" i="8"/>
  <c r="G1011" i="8"/>
  <c r="F1011" i="8"/>
  <c r="E1011" i="8"/>
  <c r="H1010" i="8"/>
  <c r="G1010" i="8"/>
  <c r="F1010" i="8"/>
  <c r="E1010" i="8"/>
  <c r="H1009" i="8"/>
  <c r="AG1009" i="8" s="1" a="1"/>
  <c r="AG1009" i="8" s="1"/>
  <c r="G1009" i="8"/>
  <c r="F1009" i="8"/>
  <c r="E1009" i="8"/>
  <c r="D1009" i="8"/>
  <c r="H1008" i="8"/>
  <c r="G1008" i="8"/>
  <c r="F1008" i="8"/>
  <c r="E1008" i="8"/>
  <c r="D1008" i="8"/>
  <c r="H1007" i="8"/>
  <c r="G1007" i="8"/>
  <c r="F1007" i="8"/>
  <c r="E1007" i="8"/>
  <c r="D1007" i="8"/>
  <c r="P1007" i="8" s="1" a="1"/>
  <c r="H1006" i="8"/>
  <c r="G1006" i="8"/>
  <c r="F1006" i="8"/>
  <c r="E1006" i="8"/>
  <c r="D1006" i="8"/>
  <c r="C1006" i="8"/>
  <c r="H1005" i="8"/>
  <c r="G1005" i="8"/>
  <c r="F1005" i="8"/>
  <c r="E1005" i="8"/>
  <c r="D1005" i="8"/>
  <c r="C1005" i="8"/>
  <c r="O1005" i="8" s="1" a="1"/>
  <c r="H1004" i="8"/>
  <c r="G1004" i="8"/>
  <c r="F1004" i="8"/>
  <c r="E1004" i="8"/>
  <c r="D1004" i="8"/>
  <c r="C1004" i="8"/>
  <c r="H1003" i="8"/>
  <c r="AG1003" i="8" s="1" a="1"/>
  <c r="AG1003" i="8" s="1"/>
  <c r="G1003" i="8"/>
  <c r="F1003" i="8"/>
  <c r="E1003" i="8"/>
  <c r="D1003" i="8"/>
  <c r="C1003" i="8"/>
  <c r="H1002" i="8"/>
  <c r="G1002" i="8"/>
  <c r="F1002" i="8"/>
  <c r="E1002" i="8"/>
  <c r="D1002" i="8"/>
  <c r="C1002" i="8"/>
  <c r="H1001" i="8"/>
  <c r="AG1001" i="8" s="1" a="1"/>
  <c r="AG1001" i="8" s="1"/>
  <c r="G1001" i="8"/>
  <c r="F1001" i="8"/>
  <c r="E1001" i="8"/>
  <c r="D1001" i="8"/>
  <c r="C1001" i="8"/>
  <c r="H1000" i="8"/>
  <c r="G1000" i="8"/>
  <c r="F1000" i="8"/>
  <c r="E1000" i="8"/>
  <c r="D1000" i="8"/>
  <c r="C1000" i="8"/>
  <c r="H999" i="8"/>
  <c r="G999" i="8"/>
  <c r="F999" i="8"/>
  <c r="E999" i="8"/>
  <c r="D999" i="8"/>
  <c r="C999" i="8"/>
  <c r="H998" i="8"/>
  <c r="AI998" i="8" s="1" a="1"/>
  <c r="AI998" i="8" s="1"/>
  <c r="G998" i="8"/>
  <c r="F998" i="8"/>
  <c r="E998" i="8"/>
  <c r="D998" i="8"/>
  <c r="C998" i="8"/>
  <c r="H997" i="8"/>
  <c r="AI997" i="8" s="1" a="1"/>
  <c r="AI997" i="8" s="1"/>
  <c r="G997" i="8"/>
  <c r="F997" i="8"/>
  <c r="E997" i="8"/>
  <c r="D997" i="8"/>
  <c r="C997" i="8"/>
  <c r="H996" i="8"/>
  <c r="AH996" i="8" s="1" a="1"/>
  <c r="AH996" i="8" s="1"/>
  <c r="G996" i="8"/>
  <c r="F996" i="8"/>
  <c r="E996" i="8"/>
  <c r="D996" i="8"/>
  <c r="C996" i="8"/>
  <c r="H995" i="8"/>
  <c r="AI995" i="8" s="1" a="1"/>
  <c r="AI995" i="8" s="1"/>
  <c r="G995" i="8"/>
  <c r="F995" i="8"/>
  <c r="E995" i="8"/>
  <c r="H994" i="8"/>
  <c r="AH994" i="8" s="1" a="1"/>
  <c r="AH994" i="8" s="1"/>
  <c r="G994" i="8"/>
  <c r="F994" i="8"/>
  <c r="E994" i="8"/>
  <c r="H993" i="8"/>
  <c r="G993" i="8"/>
  <c r="F993" i="8"/>
  <c r="E993" i="8"/>
  <c r="H992" i="8"/>
  <c r="G992" i="8"/>
  <c r="F992" i="8"/>
  <c r="E992" i="8"/>
  <c r="H991" i="8"/>
  <c r="G991" i="8"/>
  <c r="F991" i="8"/>
  <c r="E991" i="8"/>
  <c r="H990" i="8"/>
  <c r="G990" i="8"/>
  <c r="F990" i="8"/>
  <c r="E990" i="8"/>
  <c r="D990" i="8"/>
  <c r="H989" i="8"/>
  <c r="G989" i="8"/>
  <c r="F989" i="8"/>
  <c r="E989" i="8"/>
  <c r="D989" i="8"/>
  <c r="P989" i="8" s="1" a="1"/>
  <c r="H988" i="8"/>
  <c r="G988" i="8"/>
  <c r="F988" i="8"/>
  <c r="E988" i="8"/>
  <c r="D988" i="8"/>
  <c r="H987" i="8"/>
  <c r="G987" i="8"/>
  <c r="F987" i="8"/>
  <c r="E987" i="8"/>
  <c r="D987" i="8"/>
  <c r="H986" i="8"/>
  <c r="G986" i="8"/>
  <c r="F986" i="8"/>
  <c r="E986" i="8"/>
  <c r="D986" i="8"/>
  <c r="H985" i="8"/>
  <c r="G985" i="8"/>
  <c r="F985" i="8"/>
  <c r="E985" i="8"/>
  <c r="D985" i="8"/>
  <c r="H984" i="8"/>
  <c r="AI984" i="8" s="1" a="1"/>
  <c r="AI984" i="8" s="1"/>
  <c r="G984" i="8"/>
  <c r="F984" i="8"/>
  <c r="E984" i="8"/>
  <c r="D984" i="8"/>
  <c r="C984" i="8"/>
  <c r="H983" i="8"/>
  <c r="G983" i="8"/>
  <c r="F983" i="8"/>
  <c r="E983" i="8"/>
  <c r="D983" i="8"/>
  <c r="H982" i="8"/>
  <c r="AI982" i="8" s="1" a="1"/>
  <c r="AI982" i="8" s="1"/>
  <c r="G982" i="8"/>
  <c r="F982" i="8"/>
  <c r="E982" i="8"/>
  <c r="D982" i="8"/>
  <c r="H981" i="8"/>
  <c r="AH981" i="8" s="1" a="1"/>
  <c r="AH981" i="8" s="1"/>
  <c r="G981" i="8"/>
  <c r="F981" i="8"/>
  <c r="E981" i="8"/>
  <c r="D981" i="8"/>
  <c r="C981" i="8"/>
  <c r="B981" i="8"/>
  <c r="H980" i="8"/>
  <c r="G980" i="8"/>
  <c r="F980" i="8"/>
  <c r="E980" i="8"/>
  <c r="D980" i="8"/>
  <c r="H979" i="8"/>
  <c r="G979" i="8"/>
  <c r="F979" i="8"/>
  <c r="E979" i="8"/>
  <c r="D979" i="8"/>
  <c r="H978" i="8"/>
  <c r="AG978" i="8" s="1" a="1"/>
  <c r="AG978" i="8" s="1"/>
  <c r="G978" i="8"/>
  <c r="F978" i="8"/>
  <c r="E978" i="8"/>
  <c r="D978" i="8"/>
  <c r="C978" i="8"/>
  <c r="H977" i="8"/>
  <c r="AI977" i="8" s="1" a="1"/>
  <c r="AI977" i="8" s="1"/>
  <c r="G977" i="8"/>
  <c r="F977" i="8"/>
  <c r="E977" i="8"/>
  <c r="D977" i="8"/>
  <c r="C977" i="8"/>
  <c r="H976" i="8"/>
  <c r="G976" i="8"/>
  <c r="F976" i="8"/>
  <c r="E976" i="8"/>
  <c r="D976" i="8"/>
  <c r="C976" i="8"/>
  <c r="H975" i="8"/>
  <c r="G975" i="8"/>
  <c r="F975" i="8"/>
  <c r="E975" i="8"/>
  <c r="D975" i="8"/>
  <c r="C975" i="8"/>
  <c r="H974" i="8"/>
  <c r="G974" i="8"/>
  <c r="F974" i="8"/>
  <c r="E974" i="8"/>
  <c r="D974" i="8"/>
  <c r="C974" i="8"/>
  <c r="H973" i="8"/>
  <c r="AG973" i="8" s="1" a="1"/>
  <c r="AG973" i="8" s="1"/>
  <c r="G973" i="8"/>
  <c r="F973" i="8"/>
  <c r="E973" i="8"/>
  <c r="D973" i="8"/>
  <c r="C973" i="8"/>
  <c r="H972" i="8"/>
  <c r="AI972" i="8" s="1" a="1"/>
  <c r="AI972" i="8" s="1"/>
  <c r="G972" i="8"/>
  <c r="F972" i="8"/>
  <c r="E972" i="8"/>
  <c r="D972" i="8"/>
  <c r="C972" i="8"/>
  <c r="H971" i="8"/>
  <c r="G971" i="8"/>
  <c r="F971" i="8"/>
  <c r="E971" i="8"/>
  <c r="D971" i="8"/>
  <c r="C971" i="8"/>
  <c r="H970" i="8"/>
  <c r="AG970" i="8" s="1" a="1"/>
  <c r="AG970" i="8" s="1"/>
  <c r="G970" i="8"/>
  <c r="F970" i="8"/>
  <c r="E970" i="8"/>
  <c r="D970" i="8"/>
  <c r="C970" i="8"/>
  <c r="H969" i="8"/>
  <c r="G969" i="8"/>
  <c r="F969" i="8"/>
  <c r="E969" i="8"/>
  <c r="D969" i="8"/>
  <c r="C969" i="8"/>
  <c r="H968" i="8"/>
  <c r="G968" i="8"/>
  <c r="F968" i="8"/>
  <c r="E968" i="8"/>
  <c r="D968" i="8"/>
  <c r="C968" i="8"/>
  <c r="H967" i="8"/>
  <c r="AI967" i="8" s="1" a="1"/>
  <c r="AI967" i="8" s="1"/>
  <c r="G967" i="8"/>
  <c r="F967" i="8"/>
  <c r="E967" i="8"/>
  <c r="D967" i="8"/>
  <c r="C967" i="8"/>
  <c r="H966" i="8"/>
  <c r="AG966" i="8" s="1" a="1"/>
  <c r="AG966" i="8" s="1"/>
  <c r="G966" i="8"/>
  <c r="F966" i="8"/>
  <c r="E966" i="8"/>
  <c r="D966" i="8"/>
  <c r="C966" i="8"/>
  <c r="H965" i="8"/>
  <c r="AG965" i="8" s="1" a="1"/>
  <c r="AG965" i="8" s="1"/>
  <c r="G965" i="8"/>
  <c r="F965" i="8"/>
  <c r="E965" i="8"/>
  <c r="D965" i="8"/>
  <c r="C965" i="8"/>
  <c r="H964" i="8"/>
  <c r="G964" i="8"/>
  <c r="F964" i="8"/>
  <c r="E964" i="8"/>
  <c r="D964" i="8"/>
  <c r="C964" i="8"/>
  <c r="H963" i="8"/>
  <c r="G963" i="8"/>
  <c r="F963" i="8"/>
  <c r="E963" i="8"/>
  <c r="D963" i="8"/>
  <c r="C963" i="8"/>
  <c r="H962" i="8"/>
  <c r="G962" i="8"/>
  <c r="F962" i="8"/>
  <c r="E962" i="8"/>
  <c r="D962" i="8"/>
  <c r="C962" i="8"/>
  <c r="H961" i="8"/>
  <c r="AG961" i="8" s="1" a="1"/>
  <c r="AG961" i="8" s="1"/>
  <c r="G961" i="8"/>
  <c r="F961" i="8"/>
  <c r="E961" i="8"/>
  <c r="D961" i="8"/>
  <c r="C961" i="8"/>
  <c r="H960" i="8"/>
  <c r="G960" i="8"/>
  <c r="F960" i="8"/>
  <c r="E960" i="8"/>
  <c r="D960" i="8"/>
  <c r="C960" i="8"/>
  <c r="H959" i="8"/>
  <c r="AI959" i="8" s="1" a="1"/>
  <c r="AI959" i="8" s="1"/>
  <c r="G959" i="8"/>
  <c r="F959" i="8"/>
  <c r="E959" i="8"/>
  <c r="D959" i="8"/>
  <c r="C959" i="8"/>
  <c r="H958" i="8"/>
  <c r="G958" i="8"/>
  <c r="F958" i="8"/>
  <c r="E958" i="8"/>
  <c r="D958" i="8"/>
  <c r="C958" i="8"/>
  <c r="H957" i="8"/>
  <c r="G957" i="8"/>
  <c r="F957" i="8"/>
  <c r="E957" i="8"/>
  <c r="D957" i="8"/>
  <c r="C957" i="8"/>
  <c r="H956" i="8"/>
  <c r="G956" i="8"/>
  <c r="F956" i="8"/>
  <c r="E956" i="8"/>
  <c r="D956" i="8"/>
  <c r="C956" i="8"/>
  <c r="H955" i="8"/>
  <c r="AG955" i="8" s="1" a="1"/>
  <c r="AG955" i="8" s="1"/>
  <c r="G955" i="8"/>
  <c r="F955" i="8"/>
  <c r="E955" i="8"/>
  <c r="D955" i="8"/>
  <c r="C955" i="8"/>
  <c r="H954" i="8"/>
  <c r="AI954" i="8" s="1" a="1"/>
  <c r="AI954" i="8" s="1"/>
  <c r="G954" i="8"/>
  <c r="F954" i="8"/>
  <c r="E954" i="8"/>
  <c r="D954" i="8"/>
  <c r="C954" i="8"/>
  <c r="H953" i="8"/>
  <c r="AI953" i="8" s="1" a="1"/>
  <c r="AI953" i="8" s="1"/>
  <c r="G953" i="8"/>
  <c r="F953" i="8"/>
  <c r="E953" i="8"/>
  <c r="D953" i="8"/>
  <c r="C953" i="8"/>
  <c r="H952" i="8"/>
  <c r="AF952" i="8" s="1" a="1"/>
  <c r="G952" i="8"/>
  <c r="F952" i="8"/>
  <c r="E952" i="8"/>
  <c r="D952" i="8"/>
  <c r="C952" i="8"/>
  <c r="H951" i="8"/>
  <c r="AF951" i="8" s="1" a="1"/>
  <c r="G951" i="8"/>
  <c r="F951" i="8"/>
  <c r="E951" i="8"/>
  <c r="D951" i="8"/>
  <c r="C951" i="8"/>
  <c r="H950" i="8"/>
  <c r="AF950" i="8" s="1" a="1"/>
  <c r="G950" i="8"/>
  <c r="F950" i="8"/>
  <c r="E950" i="8"/>
  <c r="D950" i="8"/>
  <c r="C950" i="8"/>
  <c r="H949" i="8"/>
  <c r="G949" i="8"/>
  <c r="F949" i="8"/>
  <c r="E949" i="8"/>
  <c r="D949" i="8"/>
  <c r="C949" i="8"/>
  <c r="H948" i="8"/>
  <c r="G948" i="8"/>
  <c r="F948" i="8"/>
  <c r="E948" i="8"/>
  <c r="D948" i="8"/>
  <c r="C948" i="8"/>
  <c r="H947" i="8"/>
  <c r="G947" i="8"/>
  <c r="F947" i="8"/>
  <c r="E947" i="8"/>
  <c r="D947" i="8"/>
  <c r="C947" i="8"/>
  <c r="H946" i="8"/>
  <c r="AI946" i="8" s="1" a="1"/>
  <c r="AI946" i="8" s="1"/>
  <c r="G946" i="8"/>
  <c r="F946" i="8"/>
  <c r="E946" i="8"/>
  <c r="D946" i="8"/>
  <c r="C946" i="8"/>
  <c r="H945" i="8"/>
  <c r="G945" i="8"/>
  <c r="F945" i="8"/>
  <c r="E945" i="8"/>
  <c r="D945" i="8"/>
  <c r="C945" i="8"/>
  <c r="H944" i="8"/>
  <c r="G944" i="8"/>
  <c r="F944" i="8"/>
  <c r="E944" i="8"/>
  <c r="D944" i="8"/>
  <c r="C944" i="8"/>
  <c r="H943" i="8"/>
  <c r="G943" i="8"/>
  <c r="F943" i="8"/>
  <c r="E943" i="8"/>
  <c r="D943" i="8"/>
  <c r="C943" i="8"/>
  <c r="H942" i="8"/>
  <c r="G942" i="8"/>
  <c r="F942" i="8"/>
  <c r="E942" i="8"/>
  <c r="D942" i="8"/>
  <c r="C942" i="8"/>
  <c r="H941" i="8"/>
  <c r="AG941" i="8" s="1" a="1"/>
  <c r="AG941" i="8" s="1"/>
  <c r="G941" i="8"/>
  <c r="F941" i="8"/>
  <c r="E941" i="8"/>
  <c r="D941" i="8"/>
  <c r="C941" i="8"/>
  <c r="H940" i="8"/>
  <c r="AI940" i="8" s="1" a="1"/>
  <c r="AI940" i="8" s="1"/>
  <c r="G940" i="8"/>
  <c r="F940" i="8"/>
  <c r="E940" i="8"/>
  <c r="D940" i="8"/>
  <c r="C940" i="8"/>
  <c r="H939" i="8"/>
  <c r="G939" i="8"/>
  <c r="F939" i="8"/>
  <c r="E939" i="8"/>
  <c r="D939" i="8"/>
  <c r="C939" i="8"/>
  <c r="H938" i="8"/>
  <c r="G938" i="8"/>
  <c r="F938" i="8"/>
  <c r="E938" i="8"/>
  <c r="D938" i="8"/>
  <c r="C938" i="8"/>
  <c r="H937" i="8"/>
  <c r="G937" i="8"/>
  <c r="F937" i="8"/>
  <c r="E937" i="8"/>
  <c r="D937" i="8"/>
  <c r="C937" i="8"/>
  <c r="H936" i="8"/>
  <c r="G936" i="8"/>
  <c r="F936" i="8"/>
  <c r="E936" i="8"/>
  <c r="D936" i="8"/>
  <c r="C936" i="8"/>
  <c r="H935" i="8"/>
  <c r="G935" i="8"/>
  <c r="F935" i="8"/>
  <c r="E935" i="8"/>
  <c r="D935" i="8"/>
  <c r="C935" i="8"/>
  <c r="H934" i="8"/>
  <c r="G934" i="8"/>
  <c r="F934" i="8"/>
  <c r="E934" i="8"/>
  <c r="D934" i="8"/>
  <c r="C934" i="8"/>
  <c r="H933" i="8"/>
  <c r="G933" i="8"/>
  <c r="F933" i="8"/>
  <c r="E933" i="8"/>
  <c r="D933" i="8"/>
  <c r="C933" i="8"/>
  <c r="H932" i="8"/>
  <c r="G932" i="8"/>
  <c r="F932" i="8"/>
  <c r="E932" i="8"/>
  <c r="D932" i="8"/>
  <c r="C932" i="8"/>
  <c r="H931" i="8"/>
  <c r="AI931" i="8" s="1" a="1"/>
  <c r="AI931" i="8" s="1"/>
  <c r="G931" i="8"/>
  <c r="F931" i="8"/>
  <c r="E931" i="8"/>
  <c r="D931" i="8"/>
  <c r="C931" i="8"/>
  <c r="H930" i="8"/>
  <c r="AI930" i="8" s="1" a="1"/>
  <c r="AI930" i="8" s="1"/>
  <c r="G930" i="8"/>
  <c r="F930" i="8"/>
  <c r="E930" i="8"/>
  <c r="D930" i="8"/>
  <c r="H929" i="8"/>
  <c r="AI929" i="8" s="1" a="1"/>
  <c r="AI929" i="8" s="1"/>
  <c r="G929" i="8"/>
  <c r="F929" i="8"/>
  <c r="E929" i="8"/>
  <c r="D929" i="8"/>
  <c r="H928" i="8"/>
  <c r="AF928" i="8" s="1" a="1"/>
  <c r="G928" i="8"/>
  <c r="F928" i="8"/>
  <c r="E928" i="8"/>
  <c r="D928" i="8"/>
  <c r="H927" i="8"/>
  <c r="AG927" i="8" s="1" a="1"/>
  <c r="AG927" i="8" s="1"/>
  <c r="G927" i="8"/>
  <c r="F927" i="8"/>
  <c r="E927" i="8"/>
  <c r="D927" i="8"/>
  <c r="H926" i="8"/>
  <c r="G926" i="8"/>
  <c r="F926" i="8"/>
  <c r="E926" i="8"/>
  <c r="D926" i="8"/>
  <c r="H925" i="8"/>
  <c r="AG925" i="8" s="1" a="1"/>
  <c r="AG925" i="8" s="1"/>
  <c r="G925" i="8"/>
  <c r="F925" i="8"/>
  <c r="E925" i="8"/>
  <c r="H924" i="8"/>
  <c r="G924" i="8"/>
  <c r="F924" i="8"/>
  <c r="E924" i="8"/>
  <c r="H923" i="8"/>
  <c r="G923" i="8"/>
  <c r="F923" i="8"/>
  <c r="E923" i="8"/>
  <c r="H922" i="8"/>
  <c r="G922" i="8"/>
  <c r="F922" i="8"/>
  <c r="E922" i="8"/>
  <c r="H921" i="8"/>
  <c r="G921" i="8"/>
  <c r="F921" i="8"/>
  <c r="E921" i="8"/>
  <c r="H920" i="8"/>
  <c r="AG920" i="8" s="1" a="1"/>
  <c r="AG920" i="8" s="1"/>
  <c r="G920" i="8"/>
  <c r="F920" i="8"/>
  <c r="E920" i="8"/>
  <c r="H919" i="8"/>
  <c r="G919" i="8"/>
  <c r="F919" i="8"/>
  <c r="E919" i="8"/>
  <c r="H918" i="8"/>
  <c r="AI918" i="8" s="1" a="1"/>
  <c r="AI918" i="8" s="1"/>
  <c r="G918" i="8"/>
  <c r="F918" i="8"/>
  <c r="E918" i="8"/>
  <c r="H917" i="8"/>
  <c r="AI917" i="8" s="1" a="1"/>
  <c r="AI917" i="8" s="1"/>
  <c r="G917" i="8"/>
  <c r="F917" i="8"/>
  <c r="E917" i="8"/>
  <c r="H916" i="8"/>
  <c r="AH916" i="8" s="1" a="1"/>
  <c r="AH916" i="8" s="1"/>
  <c r="G916" i="8"/>
  <c r="F916" i="8"/>
  <c r="E916" i="8"/>
  <c r="H915" i="8"/>
  <c r="G915" i="8"/>
  <c r="F915" i="8"/>
  <c r="E915" i="8"/>
  <c r="H914" i="8"/>
  <c r="AI914" i="8" s="1" a="1"/>
  <c r="AI914" i="8" s="1"/>
  <c r="G914" i="8"/>
  <c r="F914" i="8"/>
  <c r="E914" i="8"/>
  <c r="H913" i="8"/>
  <c r="AH913" i="8" s="1" a="1"/>
  <c r="AH913" i="8" s="1"/>
  <c r="G913" i="8"/>
  <c r="F913" i="8"/>
  <c r="E913" i="8"/>
  <c r="H912" i="8"/>
  <c r="G912" i="8"/>
  <c r="F912" i="8"/>
  <c r="E912" i="8"/>
  <c r="H911" i="8"/>
  <c r="AI911" i="8" s="1" a="1"/>
  <c r="AI911" i="8" s="1"/>
  <c r="G911" i="8"/>
  <c r="F911" i="8"/>
  <c r="E911" i="8"/>
  <c r="H910" i="8"/>
  <c r="G910" i="8"/>
  <c r="F910" i="8"/>
  <c r="E910" i="8"/>
  <c r="H909" i="8"/>
  <c r="AG909" i="8" s="1" a="1"/>
  <c r="AG909" i="8" s="1"/>
  <c r="G909" i="8"/>
  <c r="F909" i="8"/>
  <c r="E909" i="8"/>
  <c r="H908" i="8"/>
  <c r="G908" i="8"/>
  <c r="F908" i="8"/>
  <c r="E908" i="8"/>
  <c r="H907" i="8"/>
  <c r="G907" i="8"/>
  <c r="F907" i="8"/>
  <c r="E907" i="8"/>
  <c r="D907" i="8"/>
  <c r="C907" i="8"/>
  <c r="B907" i="8"/>
  <c r="H906" i="8"/>
  <c r="G906" i="8"/>
  <c r="F906" i="8"/>
  <c r="E906" i="8"/>
  <c r="H905" i="8"/>
  <c r="G905" i="8"/>
  <c r="F905" i="8"/>
  <c r="E905" i="8"/>
  <c r="H904" i="8"/>
  <c r="G904" i="8"/>
  <c r="F904" i="8"/>
  <c r="E904" i="8"/>
  <c r="D904" i="8"/>
  <c r="C904" i="8"/>
  <c r="B904" i="8"/>
  <c r="H903" i="8"/>
  <c r="AH903" i="8" s="1" a="1"/>
  <c r="AH903" i="8" s="1"/>
  <c r="G903" i="8"/>
  <c r="F903" i="8"/>
  <c r="E903" i="8"/>
  <c r="D903" i="8"/>
  <c r="H902" i="8"/>
  <c r="AG902" i="8" s="1" a="1"/>
  <c r="AG902" i="8" s="1"/>
  <c r="G902" i="8"/>
  <c r="F902" i="8"/>
  <c r="E902" i="8"/>
  <c r="D902" i="8"/>
  <c r="C902" i="8"/>
  <c r="H901" i="8"/>
  <c r="AI901" i="8" s="1" a="1"/>
  <c r="AI901" i="8" s="1"/>
  <c r="G901" i="8"/>
  <c r="F901" i="8"/>
  <c r="E901" i="8"/>
  <c r="H900" i="8"/>
  <c r="G900" i="8"/>
  <c r="F900" i="8"/>
  <c r="E900" i="8"/>
  <c r="H899" i="8"/>
  <c r="AH899" i="8" s="1" a="1"/>
  <c r="AH899" i="8" s="1"/>
  <c r="G899" i="8"/>
  <c r="F899" i="8"/>
  <c r="E899" i="8"/>
  <c r="H898" i="8"/>
  <c r="AH898" i="8" s="1" a="1"/>
  <c r="AH898" i="8" s="1"/>
  <c r="G898" i="8"/>
  <c r="F898" i="8"/>
  <c r="E898" i="8"/>
  <c r="D898" i="8"/>
  <c r="H897" i="8"/>
  <c r="AG897" i="8" s="1" a="1"/>
  <c r="AG897" i="8" s="1"/>
  <c r="G897" i="8"/>
  <c r="F897" i="8"/>
  <c r="E897" i="8"/>
  <c r="D897" i="8"/>
  <c r="H896" i="8"/>
  <c r="G896" i="8"/>
  <c r="F896" i="8"/>
  <c r="E896" i="8"/>
  <c r="D896" i="8"/>
  <c r="C896" i="8"/>
  <c r="H895" i="8"/>
  <c r="G895" i="8"/>
  <c r="F895" i="8"/>
  <c r="E895" i="8"/>
  <c r="D895" i="8"/>
  <c r="C895" i="8"/>
  <c r="H894" i="8"/>
  <c r="G894" i="8"/>
  <c r="F894" i="8"/>
  <c r="E894" i="8"/>
  <c r="H893" i="8"/>
  <c r="G893" i="8"/>
  <c r="F893" i="8"/>
  <c r="E893" i="8"/>
  <c r="H892" i="8"/>
  <c r="G892" i="8"/>
  <c r="F892" i="8"/>
  <c r="E892" i="8"/>
  <c r="D892" i="8"/>
  <c r="C892" i="8"/>
  <c r="H891" i="8"/>
  <c r="G891" i="8"/>
  <c r="F891" i="8"/>
  <c r="E891" i="8"/>
  <c r="D891" i="8"/>
  <c r="H890" i="8"/>
  <c r="G890" i="8"/>
  <c r="F890" i="8"/>
  <c r="E890" i="8"/>
  <c r="D890" i="8"/>
  <c r="C890" i="8"/>
  <c r="H889" i="8"/>
  <c r="G889" i="8"/>
  <c r="F889" i="8"/>
  <c r="E889" i="8"/>
  <c r="D889" i="8"/>
  <c r="C889" i="8"/>
  <c r="H888" i="8"/>
  <c r="AH888" i="8" s="1" a="1"/>
  <c r="AH888" i="8" s="1"/>
  <c r="G888" i="8"/>
  <c r="F888" i="8"/>
  <c r="E888" i="8"/>
  <c r="D888" i="8"/>
  <c r="C888" i="8"/>
  <c r="H887" i="8"/>
  <c r="G887" i="8"/>
  <c r="F887" i="8"/>
  <c r="E887" i="8"/>
  <c r="D887" i="8"/>
  <c r="H886" i="8"/>
  <c r="AI886" i="8" s="1" a="1"/>
  <c r="AI886" i="8" s="1"/>
  <c r="G886" i="8"/>
  <c r="F886" i="8"/>
  <c r="E886" i="8"/>
  <c r="D886" i="8"/>
  <c r="C886" i="8"/>
  <c r="H885" i="8"/>
  <c r="AG885" i="8" s="1" a="1"/>
  <c r="AG885" i="8" s="1"/>
  <c r="G885" i="8"/>
  <c r="F885" i="8"/>
  <c r="E885" i="8"/>
  <c r="D885" i="8"/>
  <c r="H884" i="8"/>
  <c r="AG884" i="8" s="1" a="1"/>
  <c r="AG884" i="8" s="1"/>
  <c r="G884" i="8"/>
  <c r="F884" i="8"/>
  <c r="E884" i="8"/>
  <c r="D884" i="8"/>
  <c r="C884" i="8"/>
  <c r="H883" i="8"/>
  <c r="AI883" i="8" s="1" a="1"/>
  <c r="AI883" i="8" s="1"/>
  <c r="G883" i="8"/>
  <c r="F883" i="8"/>
  <c r="E883" i="8"/>
  <c r="D883" i="8"/>
  <c r="C883" i="8"/>
  <c r="H882" i="8"/>
  <c r="G882" i="8"/>
  <c r="F882" i="8"/>
  <c r="E882" i="8"/>
  <c r="D882" i="8"/>
  <c r="C882" i="8"/>
  <c r="H881" i="8"/>
  <c r="G881" i="8"/>
  <c r="F881" i="8"/>
  <c r="E881" i="8"/>
  <c r="D881" i="8"/>
  <c r="C881" i="8"/>
  <c r="H880" i="8"/>
  <c r="G880" i="8"/>
  <c r="F880" i="8"/>
  <c r="E880" i="8"/>
  <c r="D880" i="8"/>
  <c r="C880" i="8"/>
  <c r="H879" i="8"/>
  <c r="AI879" i="8" s="1" a="1"/>
  <c r="AI879" i="8" s="1"/>
  <c r="G879" i="8"/>
  <c r="F879" i="8"/>
  <c r="E879" i="8"/>
  <c r="D879" i="8"/>
  <c r="C879" i="8"/>
  <c r="H878" i="8"/>
  <c r="G878" i="8"/>
  <c r="F878" i="8"/>
  <c r="E878" i="8"/>
  <c r="D878" i="8"/>
  <c r="C878" i="8"/>
  <c r="H877" i="8"/>
  <c r="G877" i="8"/>
  <c r="F877" i="8"/>
  <c r="E877" i="8"/>
  <c r="D877" i="8"/>
  <c r="C877" i="8"/>
  <c r="H876" i="8"/>
  <c r="G876" i="8"/>
  <c r="F876" i="8"/>
  <c r="E876" i="8"/>
  <c r="D876" i="8"/>
  <c r="C876" i="8"/>
  <c r="H875" i="8"/>
  <c r="AH875" i="8" s="1" a="1"/>
  <c r="AH875" i="8" s="1"/>
  <c r="G875" i="8"/>
  <c r="F875" i="8"/>
  <c r="E875" i="8"/>
  <c r="D875" i="8"/>
  <c r="C875" i="8"/>
  <c r="H874" i="8"/>
  <c r="G874" i="8"/>
  <c r="F874" i="8"/>
  <c r="E874" i="8"/>
  <c r="D874" i="8"/>
  <c r="C874" i="8"/>
  <c r="H873" i="8"/>
  <c r="AI873" i="8" s="1" a="1"/>
  <c r="AI873" i="8" s="1"/>
  <c r="G873" i="8"/>
  <c r="F873" i="8"/>
  <c r="E873" i="8"/>
  <c r="D873" i="8"/>
  <c r="C873" i="8"/>
  <c r="H872" i="8"/>
  <c r="G872" i="8"/>
  <c r="F872" i="8"/>
  <c r="E872" i="8"/>
  <c r="D872" i="8"/>
  <c r="C872" i="8"/>
  <c r="H871" i="8"/>
  <c r="AI871" i="8" s="1" a="1"/>
  <c r="AI871" i="8" s="1"/>
  <c r="G871" i="8"/>
  <c r="F871" i="8"/>
  <c r="E871" i="8"/>
  <c r="D871" i="8"/>
  <c r="C871" i="8"/>
  <c r="H870" i="8"/>
  <c r="G870" i="8"/>
  <c r="F870" i="8"/>
  <c r="E870" i="8"/>
  <c r="D870" i="8"/>
  <c r="C870" i="8"/>
  <c r="H869" i="8"/>
  <c r="AG869" i="8" s="1" a="1"/>
  <c r="AG869" i="8" s="1"/>
  <c r="G869" i="8"/>
  <c r="F869" i="8"/>
  <c r="E869" i="8"/>
  <c r="D869" i="8"/>
  <c r="C869" i="8"/>
  <c r="H868" i="8"/>
  <c r="G868" i="8"/>
  <c r="F868" i="8"/>
  <c r="E868" i="8"/>
  <c r="D868" i="8"/>
  <c r="C868" i="8"/>
  <c r="H867" i="8"/>
  <c r="G867" i="8"/>
  <c r="F867" i="8"/>
  <c r="E867" i="8"/>
  <c r="D867" i="8"/>
  <c r="C867" i="8"/>
  <c r="H866" i="8"/>
  <c r="G866" i="8"/>
  <c r="F866" i="8"/>
  <c r="E866" i="8"/>
  <c r="D866" i="8"/>
  <c r="C866" i="8"/>
  <c r="H865" i="8"/>
  <c r="AH865" i="8" s="1" a="1"/>
  <c r="AH865" i="8" s="1"/>
  <c r="G865" i="8"/>
  <c r="F865" i="8"/>
  <c r="E865" i="8"/>
  <c r="D865" i="8"/>
  <c r="C865" i="8"/>
  <c r="H864" i="8"/>
  <c r="G864" i="8"/>
  <c r="F864" i="8"/>
  <c r="E864" i="8"/>
  <c r="D864" i="8"/>
  <c r="C864" i="8"/>
  <c r="H863" i="8"/>
  <c r="G863" i="8"/>
  <c r="F863" i="8"/>
  <c r="E863" i="8"/>
  <c r="D863" i="8"/>
  <c r="C863" i="8"/>
  <c r="H862" i="8"/>
  <c r="G862" i="8"/>
  <c r="F862" i="8"/>
  <c r="E862" i="8"/>
  <c r="D862" i="8"/>
  <c r="C862" i="8"/>
  <c r="H861" i="8"/>
  <c r="AG861" i="8" s="1" a="1"/>
  <c r="AG861" i="8" s="1"/>
  <c r="G861" i="8"/>
  <c r="F861" i="8"/>
  <c r="E861" i="8"/>
  <c r="D861" i="8"/>
  <c r="C861" i="8"/>
  <c r="H860" i="8"/>
  <c r="G860" i="8"/>
  <c r="F860" i="8"/>
  <c r="E860" i="8"/>
  <c r="D860" i="8"/>
  <c r="C860" i="8"/>
  <c r="H859" i="8"/>
  <c r="AH859" i="8" s="1" a="1"/>
  <c r="AH859" i="8" s="1"/>
  <c r="G859" i="8"/>
  <c r="F859" i="8"/>
  <c r="E859" i="8"/>
  <c r="D859" i="8"/>
  <c r="C859" i="8"/>
  <c r="H858" i="8"/>
  <c r="G858" i="8"/>
  <c r="F858" i="8"/>
  <c r="E858" i="8"/>
  <c r="D858" i="8"/>
  <c r="C858" i="8"/>
  <c r="H857" i="8"/>
  <c r="G857" i="8"/>
  <c r="F857" i="8"/>
  <c r="E857" i="8"/>
  <c r="D857" i="8"/>
  <c r="C857" i="8"/>
  <c r="H856" i="8"/>
  <c r="AG856" i="8" s="1" a="1"/>
  <c r="AG856" i="8" s="1"/>
  <c r="G856" i="8"/>
  <c r="F856" i="8"/>
  <c r="E856" i="8"/>
  <c r="D856" i="8"/>
  <c r="C856" i="8"/>
  <c r="H855" i="8"/>
  <c r="AG855" i="8" s="1" a="1"/>
  <c r="AG855" i="8" s="1"/>
  <c r="G855" i="8"/>
  <c r="F855" i="8"/>
  <c r="E855" i="8"/>
  <c r="D855" i="8"/>
  <c r="C855" i="8"/>
  <c r="H854" i="8"/>
  <c r="AI854" i="8" s="1" a="1"/>
  <c r="AI854" i="8" s="1"/>
  <c r="G854" i="8"/>
  <c r="F854" i="8"/>
  <c r="E854" i="8"/>
  <c r="D854" i="8"/>
  <c r="C854" i="8"/>
  <c r="H853" i="8"/>
  <c r="G853" i="8"/>
  <c r="F853" i="8"/>
  <c r="E853" i="8"/>
  <c r="D853" i="8"/>
  <c r="C853" i="8"/>
  <c r="H852" i="8"/>
  <c r="G852" i="8"/>
  <c r="F852" i="8"/>
  <c r="E852" i="8"/>
  <c r="D852" i="8"/>
  <c r="C852" i="8"/>
  <c r="H851" i="8"/>
  <c r="AI851" i="8" s="1" a="1"/>
  <c r="AI851" i="8" s="1"/>
  <c r="G851" i="8"/>
  <c r="F851" i="8"/>
  <c r="E851" i="8"/>
  <c r="D851" i="8"/>
  <c r="C851" i="8"/>
  <c r="H850" i="8"/>
  <c r="G850" i="8"/>
  <c r="F850" i="8"/>
  <c r="E850" i="8"/>
  <c r="D850" i="8"/>
  <c r="C850" i="8"/>
  <c r="H849" i="8"/>
  <c r="G849" i="8"/>
  <c r="F849" i="8"/>
  <c r="E849" i="8"/>
  <c r="D849" i="8"/>
  <c r="C849" i="8"/>
  <c r="H848" i="8"/>
  <c r="G848" i="8"/>
  <c r="F848" i="8"/>
  <c r="E848" i="8"/>
  <c r="D848" i="8"/>
  <c r="C848" i="8"/>
  <c r="H847" i="8"/>
  <c r="AI847" i="8" s="1" a="1"/>
  <c r="AI847" i="8" s="1"/>
  <c r="G847" i="8"/>
  <c r="F847" i="8"/>
  <c r="E847" i="8"/>
  <c r="D847" i="8"/>
  <c r="C847" i="8"/>
  <c r="H846" i="8"/>
  <c r="AI846" i="8" s="1" a="1"/>
  <c r="AI846" i="8" s="1"/>
  <c r="G846" i="8"/>
  <c r="F846" i="8"/>
  <c r="E846" i="8"/>
  <c r="D846" i="8"/>
  <c r="C846" i="8"/>
  <c r="H845" i="8"/>
  <c r="G845" i="8"/>
  <c r="F845" i="8"/>
  <c r="E845" i="8"/>
  <c r="D845" i="8"/>
  <c r="C845" i="8"/>
  <c r="H844" i="8"/>
  <c r="AG844" i="8" s="1" a="1"/>
  <c r="AG844" i="8" s="1"/>
  <c r="G844" i="8"/>
  <c r="F844" i="8"/>
  <c r="E844" i="8"/>
  <c r="D844" i="8"/>
  <c r="C844" i="8"/>
  <c r="H843" i="8"/>
  <c r="AI843" i="8" s="1" a="1"/>
  <c r="AI843" i="8" s="1"/>
  <c r="G843" i="8"/>
  <c r="F843" i="8"/>
  <c r="E843" i="8"/>
  <c r="D843" i="8"/>
  <c r="C843" i="8"/>
  <c r="H842" i="8"/>
  <c r="G842" i="8"/>
  <c r="F842" i="8"/>
  <c r="E842" i="8"/>
  <c r="D842" i="8"/>
  <c r="C842" i="8"/>
  <c r="H841" i="8"/>
  <c r="AI841" i="8" s="1" a="1"/>
  <c r="AI841" i="8" s="1"/>
  <c r="G841" i="8"/>
  <c r="F841" i="8"/>
  <c r="E841" i="8"/>
  <c r="D841" i="8"/>
  <c r="C841" i="8"/>
  <c r="H840" i="8"/>
  <c r="G840" i="8"/>
  <c r="F840" i="8"/>
  <c r="E840" i="8"/>
  <c r="D840" i="8"/>
  <c r="C840" i="8"/>
  <c r="H839" i="8"/>
  <c r="G839" i="8"/>
  <c r="F839" i="8"/>
  <c r="E839" i="8"/>
  <c r="D839" i="8"/>
  <c r="C839" i="8"/>
  <c r="H838" i="8"/>
  <c r="G838" i="8"/>
  <c r="F838" i="8"/>
  <c r="E838" i="8"/>
  <c r="D838" i="8"/>
  <c r="C838" i="8"/>
  <c r="H837" i="8"/>
  <c r="G837" i="8"/>
  <c r="F837" i="8"/>
  <c r="E837" i="8"/>
  <c r="D837" i="8"/>
  <c r="C837" i="8"/>
  <c r="H836" i="8"/>
  <c r="G836" i="8"/>
  <c r="F836" i="8"/>
  <c r="E836" i="8"/>
  <c r="D836" i="8"/>
  <c r="C836" i="8"/>
  <c r="H835" i="8"/>
  <c r="G835" i="8"/>
  <c r="F835" i="8"/>
  <c r="E835" i="8"/>
  <c r="D835" i="8"/>
  <c r="C835" i="8"/>
  <c r="H834" i="8"/>
  <c r="AI834" i="8" s="1" a="1"/>
  <c r="AI834" i="8" s="1"/>
  <c r="G834" i="8"/>
  <c r="F834" i="8"/>
  <c r="E834" i="8"/>
  <c r="D834" i="8"/>
  <c r="C834" i="8"/>
  <c r="H833" i="8"/>
  <c r="AF833" i="8" s="1" a="1"/>
  <c r="G833" i="8"/>
  <c r="F833" i="8"/>
  <c r="E833" i="8"/>
  <c r="D833" i="8"/>
  <c r="C833" i="8"/>
  <c r="H832" i="8"/>
  <c r="AF832" i="8" s="1" a="1"/>
  <c r="G832" i="8"/>
  <c r="F832" i="8"/>
  <c r="E832" i="8"/>
  <c r="D832" i="8"/>
  <c r="C832" i="8"/>
  <c r="H831" i="8"/>
  <c r="AF831" i="8" s="1" a="1"/>
  <c r="G831" i="8"/>
  <c r="F831" i="8"/>
  <c r="E831" i="8"/>
  <c r="D831" i="8"/>
  <c r="C831" i="8"/>
  <c r="H830" i="8"/>
  <c r="G830" i="8"/>
  <c r="F830" i="8"/>
  <c r="E830" i="8"/>
  <c r="D830" i="8"/>
  <c r="C830" i="8"/>
  <c r="H829" i="8"/>
  <c r="AH829" i="8" s="1" a="1"/>
  <c r="AH829" i="8" s="1"/>
  <c r="G829" i="8"/>
  <c r="F829" i="8"/>
  <c r="E829" i="8"/>
  <c r="D829" i="8"/>
  <c r="C829" i="8"/>
  <c r="H828" i="8"/>
  <c r="AH828" i="8" s="1" a="1"/>
  <c r="AH828" i="8" s="1"/>
  <c r="G828" i="8"/>
  <c r="F828" i="8"/>
  <c r="E828" i="8"/>
  <c r="D828" i="8"/>
  <c r="C828" i="8"/>
  <c r="H827" i="8"/>
  <c r="AI827" i="8" s="1" a="1"/>
  <c r="AI827" i="8" s="1"/>
  <c r="G827" i="8"/>
  <c r="F827" i="8"/>
  <c r="E827" i="8"/>
  <c r="D827" i="8"/>
  <c r="C827" i="8"/>
  <c r="H826" i="8"/>
  <c r="G826" i="8"/>
  <c r="F826" i="8"/>
  <c r="E826" i="8"/>
  <c r="D826" i="8"/>
  <c r="C826" i="8"/>
  <c r="H825" i="8"/>
  <c r="G825" i="8"/>
  <c r="F825" i="8"/>
  <c r="E825" i="8"/>
  <c r="D825" i="8"/>
  <c r="C825" i="8"/>
  <c r="H824" i="8"/>
  <c r="AI824" i="8" s="1" a="1"/>
  <c r="AI824" i="8" s="1"/>
  <c r="G824" i="8"/>
  <c r="F824" i="8"/>
  <c r="E824" i="8"/>
  <c r="D824" i="8"/>
  <c r="C824" i="8"/>
  <c r="H823" i="8"/>
  <c r="AG823" i="8" s="1" a="1"/>
  <c r="AG823" i="8" s="1"/>
  <c r="G823" i="8"/>
  <c r="F823" i="8"/>
  <c r="E823" i="8"/>
  <c r="D823" i="8"/>
  <c r="C823" i="8"/>
  <c r="H822" i="8"/>
  <c r="G822" i="8"/>
  <c r="F822" i="8"/>
  <c r="E822" i="8"/>
  <c r="D822" i="8"/>
  <c r="C822" i="8"/>
  <c r="H821" i="8"/>
  <c r="G821" i="8"/>
  <c r="F821" i="8"/>
  <c r="E821" i="8"/>
  <c r="D821" i="8"/>
  <c r="C821" i="8"/>
  <c r="H820" i="8"/>
  <c r="G820" i="8"/>
  <c r="F820" i="8"/>
  <c r="E820" i="8"/>
  <c r="D820" i="8"/>
  <c r="C820" i="8"/>
  <c r="H819" i="8"/>
  <c r="AI819" i="8" s="1" a="1"/>
  <c r="AI819" i="8" s="1"/>
  <c r="G819" i="8"/>
  <c r="F819" i="8"/>
  <c r="E819" i="8"/>
  <c r="D819" i="8"/>
  <c r="C819" i="8"/>
  <c r="H818" i="8"/>
  <c r="AI818" i="8" s="1" a="1"/>
  <c r="AI818" i="8" s="1"/>
  <c r="G818" i="8"/>
  <c r="F818" i="8"/>
  <c r="E818" i="8"/>
  <c r="D818" i="8"/>
  <c r="C818" i="8"/>
  <c r="H817" i="8"/>
  <c r="G817" i="8"/>
  <c r="F817" i="8"/>
  <c r="E817" i="8"/>
  <c r="D817" i="8"/>
  <c r="C817" i="8"/>
  <c r="B817" i="8"/>
  <c r="J817" i="8" s="1" a="1"/>
  <c r="H816" i="8"/>
  <c r="AG816" i="8" s="1" a="1"/>
  <c r="AG816" i="8" s="1"/>
  <c r="G816" i="8"/>
  <c r="F816" i="8"/>
  <c r="E816" i="8"/>
  <c r="D816" i="8"/>
  <c r="C816" i="8"/>
  <c r="H815" i="8"/>
  <c r="AG815" i="8" s="1" a="1"/>
  <c r="AG815" i="8" s="1"/>
  <c r="G815" i="8"/>
  <c r="F815" i="8"/>
  <c r="E815" i="8"/>
  <c r="D815" i="8"/>
  <c r="C815" i="8"/>
  <c r="H814" i="8"/>
  <c r="AI814" i="8" s="1" a="1"/>
  <c r="AI814" i="8" s="1"/>
  <c r="G814" i="8"/>
  <c r="F814" i="8"/>
  <c r="E814" i="8"/>
  <c r="D814" i="8"/>
  <c r="C814" i="8"/>
  <c r="H813" i="8"/>
  <c r="AI813" i="8" s="1" a="1"/>
  <c r="AI813" i="8" s="1"/>
  <c r="G813" i="8"/>
  <c r="F813" i="8"/>
  <c r="E813" i="8"/>
  <c r="D813" i="8"/>
  <c r="C813" i="8"/>
  <c r="H812" i="8"/>
  <c r="AH812" i="8" s="1" a="1"/>
  <c r="AH812" i="8" s="1"/>
  <c r="G812" i="8"/>
  <c r="F812" i="8"/>
  <c r="E812" i="8"/>
  <c r="D812" i="8"/>
  <c r="C812" i="8"/>
  <c r="H811" i="8"/>
  <c r="AF811" i="8" s="1" a="1"/>
  <c r="G811" i="8"/>
  <c r="F811" i="8"/>
  <c r="E811" i="8"/>
  <c r="D811" i="8"/>
  <c r="C811" i="8"/>
  <c r="H810" i="8"/>
  <c r="AF810" i="8" s="1" a="1"/>
  <c r="G810" i="8"/>
  <c r="F810" i="8"/>
  <c r="E810" i="8"/>
  <c r="D810" i="8"/>
  <c r="C810" i="8"/>
  <c r="H809" i="8"/>
  <c r="AF809" i="8" s="1" a="1"/>
  <c r="G809" i="8"/>
  <c r="F809" i="8"/>
  <c r="E809" i="8"/>
  <c r="D809" i="8"/>
  <c r="C809" i="8"/>
  <c r="H808" i="8"/>
  <c r="G808" i="8"/>
  <c r="F808" i="8"/>
  <c r="E808" i="8"/>
  <c r="H807" i="8"/>
  <c r="G807" i="8"/>
  <c r="F807" i="8"/>
  <c r="E807" i="8"/>
  <c r="H806" i="8"/>
  <c r="G806" i="8"/>
  <c r="F806" i="8"/>
  <c r="E806" i="8"/>
  <c r="D806" i="8"/>
  <c r="H805" i="8"/>
  <c r="G805" i="8"/>
  <c r="F805" i="8"/>
  <c r="E805" i="8"/>
  <c r="D805" i="8"/>
  <c r="H804" i="8"/>
  <c r="G804" i="8"/>
  <c r="F804" i="8"/>
  <c r="E804" i="8"/>
  <c r="D804" i="8"/>
  <c r="P804" i="8" s="1" a="1"/>
  <c r="C804" i="8"/>
  <c r="H803" i="8"/>
  <c r="G803" i="8"/>
  <c r="F803" i="8"/>
  <c r="E803" i="8"/>
  <c r="H802" i="8"/>
  <c r="G802" i="8"/>
  <c r="F802" i="8"/>
  <c r="E802" i="8"/>
  <c r="H801" i="8"/>
  <c r="AI801" i="8" s="1" a="1"/>
  <c r="AI801" i="8" s="1"/>
  <c r="G801" i="8"/>
  <c r="F801" i="8"/>
  <c r="E801" i="8"/>
  <c r="H800" i="8"/>
  <c r="G800" i="8"/>
  <c r="F800" i="8"/>
  <c r="E800" i="8"/>
  <c r="H799" i="8"/>
  <c r="AH799" i="8" s="1" a="1"/>
  <c r="AH799" i="8" s="1"/>
  <c r="G799" i="8"/>
  <c r="F799" i="8"/>
  <c r="E799" i="8"/>
  <c r="H798" i="8"/>
  <c r="AG798" i="8" s="1" a="1"/>
  <c r="AG798" i="8" s="1"/>
  <c r="G798" i="8"/>
  <c r="F798" i="8"/>
  <c r="E798" i="8"/>
  <c r="D798" i="8"/>
  <c r="C798" i="8"/>
  <c r="H797" i="8"/>
  <c r="G797" i="8"/>
  <c r="F797" i="8"/>
  <c r="E797" i="8"/>
  <c r="D797" i="8"/>
  <c r="H796" i="8"/>
  <c r="G796" i="8"/>
  <c r="F796" i="8"/>
  <c r="E796" i="8"/>
  <c r="D796" i="8"/>
  <c r="C796" i="8"/>
  <c r="B796" i="8"/>
  <c r="H795" i="8"/>
  <c r="G795" i="8"/>
  <c r="F795" i="8"/>
  <c r="E795" i="8"/>
  <c r="H794" i="8"/>
  <c r="AI794" i="8" s="1" a="1"/>
  <c r="AI794" i="8" s="1"/>
  <c r="G794" i="8"/>
  <c r="F794" i="8"/>
  <c r="E794" i="8"/>
  <c r="H793" i="8"/>
  <c r="G793" i="8"/>
  <c r="F793" i="8"/>
  <c r="E793" i="8"/>
  <c r="H792" i="8"/>
  <c r="AG792" i="8" s="1" a="1"/>
  <c r="AG792" i="8" s="1"/>
  <c r="G792" i="8"/>
  <c r="F792" i="8"/>
  <c r="E792" i="8"/>
  <c r="H791" i="8"/>
  <c r="AH791" i="8" s="1" a="1"/>
  <c r="AH791" i="8" s="1"/>
  <c r="G791" i="8"/>
  <c r="F791" i="8"/>
  <c r="E791" i="8"/>
  <c r="H790" i="8"/>
  <c r="AG790" i="8" s="1" a="1"/>
  <c r="AG790" i="8" s="1"/>
  <c r="G790" i="8"/>
  <c r="F790" i="8"/>
  <c r="E790" i="8"/>
  <c r="D790" i="8"/>
  <c r="C790" i="8"/>
  <c r="B790" i="8"/>
  <c r="H789" i="8"/>
  <c r="G789" i="8"/>
  <c r="F789" i="8"/>
  <c r="E789" i="8"/>
  <c r="D789" i="8"/>
  <c r="H788" i="8"/>
  <c r="AG788" i="8" s="1" a="1"/>
  <c r="AG788" i="8" s="1"/>
  <c r="G788" i="8"/>
  <c r="F788" i="8"/>
  <c r="E788" i="8"/>
  <c r="D788" i="8"/>
  <c r="C788" i="8"/>
  <c r="H787" i="8"/>
  <c r="G787" i="8"/>
  <c r="F787" i="8"/>
  <c r="E787" i="8"/>
  <c r="D787" i="8"/>
  <c r="C787" i="8"/>
  <c r="H786" i="8"/>
  <c r="AG786" i="8" s="1" a="1"/>
  <c r="AG786" i="8" s="1"/>
  <c r="G786" i="8"/>
  <c r="F786" i="8"/>
  <c r="E786" i="8"/>
  <c r="H785" i="8"/>
  <c r="AG785" i="8" s="1" a="1"/>
  <c r="AG785" i="8" s="1"/>
  <c r="G785" i="8"/>
  <c r="F785" i="8"/>
  <c r="E785" i="8"/>
  <c r="H784" i="8"/>
  <c r="G784" i="8"/>
  <c r="F784" i="8"/>
  <c r="E784" i="8"/>
  <c r="H783" i="8"/>
  <c r="G783" i="8"/>
  <c r="F783" i="8"/>
  <c r="E783" i="8"/>
  <c r="H782" i="8"/>
  <c r="G782" i="8"/>
  <c r="F782" i="8"/>
  <c r="E782" i="8"/>
  <c r="H781" i="8"/>
  <c r="AH781" i="8" s="1" a="1"/>
  <c r="AH781" i="8" s="1"/>
  <c r="G781" i="8"/>
  <c r="F781" i="8"/>
  <c r="E781" i="8"/>
  <c r="D781" i="8"/>
  <c r="P781" i="8" s="1" a="1"/>
  <c r="C781" i="8"/>
  <c r="B781" i="8"/>
  <c r="J781" i="8" s="1" a="1"/>
  <c r="H780" i="8"/>
  <c r="G780" i="8"/>
  <c r="F780" i="8"/>
  <c r="E780" i="8"/>
  <c r="D780" i="8"/>
  <c r="H779" i="8"/>
  <c r="AI779" i="8" s="1" a="1"/>
  <c r="AI779" i="8" s="1"/>
  <c r="G779" i="8"/>
  <c r="F779" i="8"/>
  <c r="E779" i="8"/>
  <c r="D779" i="8"/>
  <c r="C779" i="8"/>
  <c r="H778" i="8"/>
  <c r="AI778" i="8" s="1" a="1"/>
  <c r="AI778" i="8" s="1"/>
  <c r="G778" i="8"/>
  <c r="F778" i="8"/>
  <c r="E778" i="8"/>
  <c r="D778" i="8"/>
  <c r="C778" i="8"/>
  <c r="B778" i="8"/>
  <c r="H777" i="8"/>
  <c r="G777" i="8"/>
  <c r="F777" i="8"/>
  <c r="E777" i="8"/>
  <c r="D777" i="8"/>
  <c r="C777" i="8"/>
  <c r="B777" i="8"/>
  <c r="H776" i="8"/>
  <c r="AH776" i="8" s="1" a="1"/>
  <c r="AH776" i="8" s="1"/>
  <c r="G776" i="8"/>
  <c r="F776" i="8"/>
  <c r="E776" i="8"/>
  <c r="D776" i="8"/>
  <c r="C776" i="8"/>
  <c r="B776" i="8"/>
  <c r="H775" i="8"/>
  <c r="G775" i="8"/>
  <c r="F775" i="8"/>
  <c r="E775" i="8"/>
  <c r="D775" i="8"/>
  <c r="C775" i="8"/>
  <c r="B775" i="8"/>
  <c r="H774" i="8"/>
  <c r="G774" i="8"/>
  <c r="F774" i="8"/>
  <c r="E774" i="8"/>
  <c r="D774" i="8"/>
  <c r="C774" i="8"/>
  <c r="B774" i="8"/>
  <c r="H773" i="8"/>
  <c r="AG773" i="8" s="1" a="1"/>
  <c r="AG773" i="8" s="1"/>
  <c r="G773" i="8"/>
  <c r="F773" i="8"/>
  <c r="E773" i="8"/>
  <c r="D773" i="8"/>
  <c r="C773" i="8"/>
  <c r="B773" i="8"/>
  <c r="H772" i="8"/>
  <c r="AG772" i="8" s="1" a="1"/>
  <c r="AG772" i="8" s="1"/>
  <c r="G772" i="8"/>
  <c r="F772" i="8"/>
  <c r="E772" i="8"/>
  <c r="D772" i="8"/>
  <c r="C772" i="8"/>
  <c r="B772" i="8"/>
  <c r="H771" i="8"/>
  <c r="AG771" i="8" s="1" a="1"/>
  <c r="AG771" i="8" s="1"/>
  <c r="G771" i="8"/>
  <c r="F771" i="8"/>
  <c r="E771" i="8"/>
  <c r="D771" i="8"/>
  <c r="C771" i="8"/>
  <c r="B771" i="8"/>
  <c r="H770" i="8"/>
  <c r="G770" i="8"/>
  <c r="F770" i="8"/>
  <c r="E770" i="8"/>
  <c r="D770" i="8"/>
  <c r="C770" i="8"/>
  <c r="B770" i="8"/>
  <c r="H769" i="8"/>
  <c r="G769" i="8"/>
  <c r="F769" i="8"/>
  <c r="E769" i="8"/>
  <c r="D769" i="8"/>
  <c r="C769" i="8"/>
  <c r="B769" i="8"/>
  <c r="H768" i="8"/>
  <c r="G768" i="8"/>
  <c r="F768" i="8"/>
  <c r="E768" i="8"/>
  <c r="D768" i="8"/>
  <c r="C768" i="8"/>
  <c r="B768" i="8"/>
  <c r="H767" i="8"/>
  <c r="G767" i="8"/>
  <c r="F767" i="8"/>
  <c r="E767" i="8"/>
  <c r="D767" i="8"/>
  <c r="C767" i="8"/>
  <c r="B767" i="8"/>
  <c r="H766" i="8"/>
  <c r="G766" i="8"/>
  <c r="F766" i="8"/>
  <c r="E766" i="8"/>
  <c r="D766" i="8"/>
  <c r="C766" i="8"/>
  <c r="B766" i="8"/>
  <c r="H765" i="8"/>
  <c r="G765" i="8"/>
  <c r="F765" i="8"/>
  <c r="E765" i="8"/>
  <c r="D765" i="8"/>
  <c r="C765" i="8"/>
  <c r="B765" i="8"/>
  <c r="H764" i="8"/>
  <c r="G764" i="8"/>
  <c r="F764" i="8"/>
  <c r="E764" i="8"/>
  <c r="D764" i="8"/>
  <c r="C764" i="8"/>
  <c r="B764" i="8"/>
  <c r="H763" i="8"/>
  <c r="AG763" i="8" s="1" a="1"/>
  <c r="AG763" i="8" s="1"/>
  <c r="G763" i="8"/>
  <c r="F763" i="8"/>
  <c r="E763" i="8"/>
  <c r="D763" i="8"/>
  <c r="C763" i="8"/>
  <c r="B763" i="8"/>
  <c r="H762" i="8"/>
  <c r="G762" i="8"/>
  <c r="F762" i="8"/>
  <c r="E762" i="8"/>
  <c r="D762" i="8"/>
  <c r="C762" i="8"/>
  <c r="B762" i="8"/>
  <c r="H761" i="8"/>
  <c r="G761" i="8"/>
  <c r="F761" i="8"/>
  <c r="E761" i="8"/>
  <c r="D761" i="8"/>
  <c r="C761" i="8"/>
  <c r="B761" i="8"/>
  <c r="H760" i="8"/>
  <c r="G760" i="8"/>
  <c r="F760" i="8"/>
  <c r="E760" i="8"/>
  <c r="D760" i="8"/>
  <c r="C760" i="8"/>
  <c r="B760" i="8"/>
  <c r="H759" i="8"/>
  <c r="G759" i="8"/>
  <c r="F759" i="8"/>
  <c r="E759" i="8"/>
  <c r="D759" i="8"/>
  <c r="C759" i="8"/>
  <c r="B759" i="8"/>
  <c r="H758" i="8"/>
  <c r="G758" i="8"/>
  <c r="F758" i="8"/>
  <c r="E758" i="8"/>
  <c r="D758" i="8"/>
  <c r="C758" i="8"/>
  <c r="B758" i="8"/>
  <c r="H757" i="8"/>
  <c r="AI757" i="8" s="1" a="1"/>
  <c r="AI757" i="8" s="1"/>
  <c r="G757" i="8"/>
  <c r="F757" i="8"/>
  <c r="E757" i="8"/>
  <c r="D757" i="8"/>
  <c r="H756" i="8"/>
  <c r="G756" i="8"/>
  <c r="F756" i="8"/>
  <c r="E756" i="8"/>
  <c r="D756" i="8"/>
  <c r="C756" i="8"/>
  <c r="H755" i="8"/>
  <c r="G755" i="8"/>
  <c r="F755" i="8"/>
  <c r="E755" i="8"/>
  <c r="D755" i="8"/>
  <c r="H754" i="8"/>
  <c r="AH754" i="8" s="1" a="1"/>
  <c r="AH754" i="8" s="1"/>
  <c r="G754" i="8"/>
  <c r="F754" i="8"/>
  <c r="E754" i="8"/>
  <c r="D754" i="8"/>
  <c r="C754" i="8"/>
  <c r="H753" i="8"/>
  <c r="AG753" i="8" s="1" a="1"/>
  <c r="AG753" i="8" s="1"/>
  <c r="G753" i="8"/>
  <c r="F753" i="8"/>
  <c r="E753" i="8"/>
  <c r="D753" i="8"/>
  <c r="C753" i="8"/>
  <c r="H752" i="8"/>
  <c r="G752" i="8"/>
  <c r="F752" i="8"/>
  <c r="E752" i="8"/>
  <c r="D752" i="8"/>
  <c r="C752" i="8"/>
  <c r="H751" i="8"/>
  <c r="AI751" i="8" s="1" a="1"/>
  <c r="AI751" i="8" s="1"/>
  <c r="G751" i="8"/>
  <c r="F751" i="8"/>
  <c r="E751" i="8"/>
  <c r="D751" i="8"/>
  <c r="C751" i="8"/>
  <c r="B751" i="8"/>
  <c r="H750" i="8"/>
  <c r="AI750" i="8" s="1" a="1"/>
  <c r="AI750" i="8" s="1"/>
  <c r="G750" i="8"/>
  <c r="F750" i="8"/>
  <c r="E750" i="8"/>
  <c r="D750" i="8"/>
  <c r="C750" i="8"/>
  <c r="H749" i="8"/>
  <c r="G749" i="8"/>
  <c r="F749" i="8"/>
  <c r="E749" i="8"/>
  <c r="D749" i="8"/>
  <c r="C749" i="8"/>
  <c r="H748" i="8"/>
  <c r="G748" i="8"/>
  <c r="F748" i="8"/>
  <c r="E748" i="8"/>
  <c r="D748" i="8"/>
  <c r="C748" i="8"/>
  <c r="H747" i="8"/>
  <c r="AH747" i="8" s="1" a="1"/>
  <c r="AH747" i="8" s="1"/>
  <c r="G747" i="8"/>
  <c r="F747" i="8"/>
  <c r="E747" i="8"/>
  <c r="D747" i="8"/>
  <c r="C747" i="8"/>
  <c r="H746" i="8"/>
  <c r="AG746" i="8" s="1" a="1"/>
  <c r="AG746" i="8" s="1"/>
  <c r="G746" i="8"/>
  <c r="F746" i="8"/>
  <c r="E746" i="8"/>
  <c r="D746" i="8"/>
  <c r="C746" i="8"/>
  <c r="H745" i="8"/>
  <c r="G745" i="8"/>
  <c r="F745" i="8"/>
  <c r="E745" i="8"/>
  <c r="D745" i="8"/>
  <c r="C745" i="8"/>
  <c r="H744" i="8"/>
  <c r="AG744" i="8" s="1" a="1"/>
  <c r="AG744" i="8" s="1"/>
  <c r="G744" i="8"/>
  <c r="F744" i="8"/>
  <c r="E744" i="8"/>
  <c r="D744" i="8"/>
  <c r="C744" i="8"/>
  <c r="H743" i="8"/>
  <c r="AH743" i="8" s="1" a="1"/>
  <c r="AH743" i="8" s="1"/>
  <c r="G743" i="8"/>
  <c r="F743" i="8"/>
  <c r="E743" i="8"/>
  <c r="D743" i="8"/>
  <c r="C743" i="8"/>
  <c r="H742" i="8"/>
  <c r="AH742" i="8" s="1" a="1"/>
  <c r="AH742" i="8" s="1"/>
  <c r="G742" i="8"/>
  <c r="F742" i="8"/>
  <c r="E742" i="8"/>
  <c r="D742" i="8"/>
  <c r="C742" i="8"/>
  <c r="H741" i="8"/>
  <c r="G741" i="8"/>
  <c r="F741" i="8"/>
  <c r="E741" i="8"/>
  <c r="D741" i="8"/>
  <c r="C741" i="8"/>
  <c r="H740" i="8"/>
  <c r="G740" i="8"/>
  <c r="F740" i="8"/>
  <c r="E740" i="8"/>
  <c r="D740" i="8"/>
  <c r="C740" i="8"/>
  <c r="H739" i="8"/>
  <c r="AH739" i="8" s="1" a="1"/>
  <c r="AH739" i="8" s="1"/>
  <c r="G739" i="8"/>
  <c r="F739" i="8"/>
  <c r="E739" i="8"/>
  <c r="D739" i="8"/>
  <c r="C739" i="8"/>
  <c r="H738" i="8"/>
  <c r="AI738" i="8" s="1" a="1"/>
  <c r="AI738" i="8" s="1"/>
  <c r="G738" i="8"/>
  <c r="F738" i="8"/>
  <c r="E738" i="8"/>
  <c r="D738" i="8"/>
  <c r="C738" i="8"/>
  <c r="H737" i="8"/>
  <c r="G737" i="8"/>
  <c r="F737" i="8"/>
  <c r="E737" i="8"/>
  <c r="D737" i="8"/>
  <c r="C737" i="8"/>
  <c r="H736" i="8"/>
  <c r="G736" i="8"/>
  <c r="F736" i="8"/>
  <c r="E736" i="8"/>
  <c r="D736" i="8"/>
  <c r="C736" i="8"/>
  <c r="H735" i="8"/>
  <c r="G735" i="8"/>
  <c r="F735" i="8"/>
  <c r="E735" i="8"/>
  <c r="D735" i="8"/>
  <c r="C735" i="8"/>
  <c r="H734" i="8"/>
  <c r="G734" i="8"/>
  <c r="F734" i="8"/>
  <c r="E734" i="8"/>
  <c r="D734" i="8"/>
  <c r="C734" i="8"/>
  <c r="H733" i="8"/>
  <c r="G733" i="8"/>
  <c r="F733" i="8"/>
  <c r="E733" i="8"/>
  <c r="D733" i="8"/>
  <c r="C733" i="8"/>
  <c r="H732" i="8"/>
  <c r="AH732" i="8" s="1" a="1"/>
  <c r="AH732" i="8" s="1"/>
  <c r="G732" i="8"/>
  <c r="F732" i="8"/>
  <c r="E732" i="8"/>
  <c r="D732" i="8"/>
  <c r="C732" i="8"/>
  <c r="H731" i="8"/>
  <c r="G731" i="8"/>
  <c r="F731" i="8"/>
  <c r="E731" i="8"/>
  <c r="D731" i="8"/>
  <c r="C731" i="8"/>
  <c r="H730" i="8"/>
  <c r="AG730" i="8" s="1" a="1"/>
  <c r="AG730" i="8" s="1"/>
  <c r="G730" i="8"/>
  <c r="F730" i="8"/>
  <c r="E730" i="8"/>
  <c r="D730" i="8"/>
  <c r="C730" i="8"/>
  <c r="H729" i="8"/>
  <c r="AG729" i="8" s="1" a="1"/>
  <c r="AG729" i="8" s="1"/>
  <c r="G729" i="8"/>
  <c r="F729" i="8"/>
  <c r="E729" i="8"/>
  <c r="D729" i="8"/>
  <c r="C729" i="8"/>
  <c r="H728" i="8"/>
  <c r="G728" i="8"/>
  <c r="F728" i="8"/>
  <c r="E728" i="8"/>
  <c r="D728" i="8"/>
  <c r="C728" i="8"/>
  <c r="H727" i="8"/>
  <c r="AI727" i="8" s="1" a="1"/>
  <c r="AI727" i="8" s="1"/>
  <c r="G727" i="8"/>
  <c r="F727" i="8"/>
  <c r="E727" i="8"/>
  <c r="D727" i="8"/>
  <c r="C727" i="8"/>
  <c r="H726" i="8"/>
  <c r="G726" i="8"/>
  <c r="F726" i="8"/>
  <c r="E726" i="8"/>
  <c r="D726" i="8"/>
  <c r="C726" i="8"/>
  <c r="H725" i="8"/>
  <c r="AI725" i="8" s="1" a="1"/>
  <c r="AI725" i="8" s="1"/>
  <c r="G725" i="8"/>
  <c r="F725" i="8"/>
  <c r="E725" i="8"/>
  <c r="D725" i="8"/>
  <c r="C725" i="8"/>
  <c r="H724" i="8"/>
  <c r="G724" i="8"/>
  <c r="F724" i="8"/>
  <c r="E724" i="8"/>
  <c r="D724" i="8"/>
  <c r="C724" i="8"/>
  <c r="H723" i="8"/>
  <c r="G723" i="8"/>
  <c r="F723" i="8"/>
  <c r="E723" i="8"/>
  <c r="D723" i="8"/>
  <c r="C723" i="8"/>
  <c r="H722" i="8"/>
  <c r="G722" i="8"/>
  <c r="F722" i="8"/>
  <c r="E722" i="8"/>
  <c r="D722" i="8"/>
  <c r="C722" i="8"/>
  <c r="H721" i="8"/>
  <c r="G721" i="8"/>
  <c r="F721" i="8"/>
  <c r="E721" i="8"/>
  <c r="D721" i="8"/>
  <c r="C721" i="8"/>
  <c r="H720" i="8"/>
  <c r="AI720" i="8" s="1" a="1"/>
  <c r="AI720" i="8" s="1"/>
  <c r="G720" i="8"/>
  <c r="F720" i="8"/>
  <c r="E720" i="8"/>
  <c r="D720" i="8"/>
  <c r="C720" i="8"/>
  <c r="H719" i="8"/>
  <c r="G719" i="8"/>
  <c r="F719" i="8"/>
  <c r="E719" i="8"/>
  <c r="D719" i="8"/>
  <c r="C719" i="8"/>
  <c r="H718" i="8"/>
  <c r="AG718" i="8" s="1" a="1"/>
  <c r="AG718" i="8" s="1"/>
  <c r="G718" i="8"/>
  <c r="F718" i="8"/>
  <c r="E718" i="8"/>
  <c r="D718" i="8"/>
  <c r="C718" i="8"/>
  <c r="H717" i="8"/>
  <c r="AH717" i="8" s="1" a="1"/>
  <c r="AH717" i="8" s="1"/>
  <c r="G717" i="8"/>
  <c r="F717" i="8"/>
  <c r="E717" i="8"/>
  <c r="D717" i="8"/>
  <c r="C717" i="8"/>
  <c r="H716" i="8"/>
  <c r="AF716" i="8" s="1" a="1"/>
  <c r="G716" i="8"/>
  <c r="F716" i="8"/>
  <c r="E716" i="8"/>
  <c r="D716" i="8"/>
  <c r="C716" i="8"/>
  <c r="H715" i="8"/>
  <c r="AH715" i="8" s="1" a="1"/>
  <c r="AH715" i="8" s="1"/>
  <c r="G715" i="8"/>
  <c r="F715" i="8"/>
  <c r="E715" i="8"/>
  <c r="D715" i="8"/>
  <c r="C715" i="8"/>
  <c r="H714" i="8"/>
  <c r="AF714" i="8" s="1" a="1"/>
  <c r="G714" i="8"/>
  <c r="F714" i="8"/>
  <c r="E714" i="8"/>
  <c r="D714" i="8"/>
  <c r="C714" i="8"/>
  <c r="H713" i="8"/>
  <c r="G713" i="8"/>
  <c r="F713" i="8"/>
  <c r="E713" i="8"/>
  <c r="D713" i="8"/>
  <c r="C713" i="8"/>
  <c r="B713" i="8"/>
  <c r="H712" i="8"/>
  <c r="G712" i="8"/>
  <c r="F712" i="8"/>
  <c r="E712" i="8"/>
  <c r="H711" i="8"/>
  <c r="AH711" i="8" s="1" a="1"/>
  <c r="AH711" i="8" s="1"/>
  <c r="G711" i="8"/>
  <c r="F711" i="8"/>
  <c r="E711" i="8"/>
  <c r="H710" i="8"/>
  <c r="AG710" i="8" s="1" a="1"/>
  <c r="AG710" i="8" s="1"/>
  <c r="G710" i="8"/>
  <c r="F710" i="8"/>
  <c r="E710" i="8"/>
  <c r="H709" i="8"/>
  <c r="G709" i="8"/>
  <c r="F709" i="8"/>
  <c r="E709" i="8"/>
  <c r="H708" i="8"/>
  <c r="G708" i="8"/>
  <c r="F708" i="8"/>
  <c r="E708" i="8"/>
  <c r="H707" i="8"/>
  <c r="G707" i="8"/>
  <c r="F707" i="8"/>
  <c r="E707" i="8"/>
  <c r="D707" i="8"/>
  <c r="C707" i="8"/>
  <c r="B707" i="8"/>
  <c r="H706" i="8"/>
  <c r="G706" i="8"/>
  <c r="F706" i="8"/>
  <c r="E706" i="8"/>
  <c r="D706" i="8"/>
  <c r="H705" i="8"/>
  <c r="G705" i="8"/>
  <c r="F705" i="8"/>
  <c r="E705" i="8"/>
  <c r="D705" i="8"/>
  <c r="C705" i="8"/>
  <c r="H704" i="8"/>
  <c r="AH704" i="8" s="1" a="1"/>
  <c r="AH704" i="8" s="1"/>
  <c r="G704" i="8"/>
  <c r="F704" i="8"/>
  <c r="E704" i="8"/>
  <c r="D704" i="8"/>
  <c r="C704" i="8"/>
  <c r="H703" i="8"/>
  <c r="G703" i="8"/>
  <c r="F703" i="8"/>
  <c r="E703" i="8"/>
  <c r="D703" i="8"/>
  <c r="C703" i="8"/>
  <c r="B703" i="8"/>
  <c r="H702" i="8"/>
  <c r="AG702" i="8" s="1" a="1"/>
  <c r="AG702" i="8" s="1"/>
  <c r="G702" i="8"/>
  <c r="F702" i="8"/>
  <c r="E702" i="8"/>
  <c r="D702" i="8"/>
  <c r="C702" i="8"/>
  <c r="H701" i="8"/>
  <c r="AI701" i="8" s="1" a="1"/>
  <c r="AI701" i="8" s="1"/>
  <c r="G701" i="8"/>
  <c r="F701" i="8"/>
  <c r="E701" i="8"/>
  <c r="D701" i="8"/>
  <c r="C701" i="8"/>
  <c r="H700" i="8"/>
  <c r="G700" i="8"/>
  <c r="F700" i="8"/>
  <c r="E700" i="8"/>
  <c r="D700" i="8"/>
  <c r="C700" i="8"/>
  <c r="B700" i="8"/>
  <c r="H699" i="8"/>
  <c r="AG699" i="8" s="1" a="1"/>
  <c r="AG699" i="8" s="1"/>
  <c r="G699" i="8"/>
  <c r="F699" i="8"/>
  <c r="E699" i="8"/>
  <c r="H698" i="8"/>
  <c r="G698" i="8"/>
  <c r="F698" i="8"/>
  <c r="E698" i="8"/>
  <c r="H697" i="8"/>
  <c r="G697" i="8"/>
  <c r="F697" i="8"/>
  <c r="E697" i="8"/>
  <c r="H696" i="8"/>
  <c r="G696" i="8"/>
  <c r="F696" i="8"/>
  <c r="E696" i="8"/>
  <c r="H695" i="8"/>
  <c r="AG695" i="8" s="1" a="1"/>
  <c r="AG695" i="8" s="1"/>
  <c r="G695" i="8"/>
  <c r="F695" i="8"/>
  <c r="E695" i="8"/>
  <c r="H694" i="8"/>
  <c r="G694" i="8"/>
  <c r="F694" i="8"/>
  <c r="E694" i="8"/>
  <c r="D694" i="8"/>
  <c r="C694" i="8"/>
  <c r="B694" i="8"/>
  <c r="H693" i="8"/>
  <c r="AH693" i="8" s="1" a="1"/>
  <c r="AH693" i="8" s="1"/>
  <c r="G693" i="8"/>
  <c r="F693" i="8"/>
  <c r="E693" i="8"/>
  <c r="D693" i="8"/>
  <c r="P693" i="8" s="1" a="1"/>
  <c r="H692" i="8"/>
  <c r="AI692" i="8" s="1" a="1"/>
  <c r="AI692" i="8" s="1"/>
  <c r="G692" i="8"/>
  <c r="F692" i="8"/>
  <c r="E692" i="8"/>
  <c r="D692" i="8"/>
  <c r="C692" i="8"/>
  <c r="H691" i="8"/>
  <c r="G691" i="8"/>
  <c r="F691" i="8"/>
  <c r="E691" i="8"/>
  <c r="D691" i="8"/>
  <c r="C691" i="8"/>
  <c r="H690" i="8"/>
  <c r="G690" i="8"/>
  <c r="F690" i="8"/>
  <c r="E690" i="8"/>
  <c r="D690" i="8"/>
  <c r="C690" i="8"/>
  <c r="H689" i="8"/>
  <c r="AG689" i="8" s="1" a="1"/>
  <c r="AG689" i="8" s="1"/>
  <c r="G689" i="8"/>
  <c r="F689" i="8"/>
  <c r="E689" i="8"/>
  <c r="D689" i="8"/>
  <c r="C689" i="8"/>
  <c r="B689" i="8"/>
  <c r="H688" i="8"/>
  <c r="AH688" i="8" s="1" a="1"/>
  <c r="AH688" i="8" s="1"/>
  <c r="G688" i="8"/>
  <c r="F688" i="8"/>
  <c r="E688" i="8"/>
  <c r="D688" i="8"/>
  <c r="C688" i="8"/>
  <c r="H687" i="8"/>
  <c r="AI687" i="8" s="1" a="1"/>
  <c r="AI687" i="8" s="1"/>
  <c r="G687" i="8"/>
  <c r="F687" i="8"/>
  <c r="E687" i="8"/>
  <c r="D687" i="8"/>
  <c r="C687" i="8"/>
  <c r="H686" i="8"/>
  <c r="G686" i="8"/>
  <c r="F686" i="8"/>
  <c r="E686" i="8"/>
  <c r="D686" i="8"/>
  <c r="C686" i="8"/>
  <c r="B686" i="8"/>
  <c r="H685" i="8"/>
  <c r="AG685" i="8" s="1" a="1"/>
  <c r="AG685" i="8" s="1"/>
  <c r="G685" i="8"/>
  <c r="F685" i="8"/>
  <c r="E685" i="8"/>
  <c r="H684" i="8"/>
  <c r="AG684" i="8" s="1" a="1"/>
  <c r="AG684" i="8" s="1"/>
  <c r="G684" i="8"/>
  <c r="F684" i="8"/>
  <c r="E684" i="8"/>
  <c r="H683" i="8"/>
  <c r="AI683" i="8" s="1" a="1"/>
  <c r="AI683" i="8" s="1"/>
  <c r="G683" i="8"/>
  <c r="F683" i="8"/>
  <c r="E683" i="8"/>
  <c r="H682" i="8"/>
  <c r="AG682" i="8" s="1" a="1"/>
  <c r="AG682" i="8" s="1"/>
  <c r="G682" i="8"/>
  <c r="F682" i="8"/>
  <c r="E682" i="8"/>
  <c r="H681" i="8"/>
  <c r="G681" i="8"/>
  <c r="F681" i="8"/>
  <c r="E681" i="8"/>
  <c r="H680" i="8"/>
  <c r="G680" i="8"/>
  <c r="F680" i="8"/>
  <c r="E680" i="8"/>
  <c r="D680" i="8"/>
  <c r="C680" i="8"/>
  <c r="O680" i="8" s="1" a="1"/>
  <c r="B680" i="8"/>
  <c r="H679" i="8"/>
  <c r="G679" i="8"/>
  <c r="F679" i="8"/>
  <c r="E679" i="8"/>
  <c r="D679" i="8"/>
  <c r="H678" i="8"/>
  <c r="AG678" i="8" s="1" a="1"/>
  <c r="AG678" i="8" s="1"/>
  <c r="G678" i="8"/>
  <c r="F678" i="8"/>
  <c r="E678" i="8"/>
  <c r="D678" i="8"/>
  <c r="C678" i="8"/>
  <c r="H677" i="8"/>
  <c r="AH677" i="8" s="1" a="1"/>
  <c r="AH677" i="8" s="1"/>
  <c r="G677" i="8"/>
  <c r="F677" i="8"/>
  <c r="E677" i="8"/>
  <c r="D677" i="8"/>
  <c r="C677" i="8"/>
  <c r="H676" i="8"/>
  <c r="AG676" i="8" s="1" a="1"/>
  <c r="AG676" i="8" s="1"/>
  <c r="G676" i="8"/>
  <c r="F676" i="8"/>
  <c r="E676" i="8"/>
  <c r="D676" i="8"/>
  <c r="C676" i="8"/>
  <c r="H675" i="8"/>
  <c r="AI675" i="8" s="1" a="1"/>
  <c r="AI675" i="8" s="1"/>
  <c r="G675" i="8"/>
  <c r="F675" i="8"/>
  <c r="E675" i="8"/>
  <c r="D675" i="8"/>
  <c r="C675" i="8"/>
  <c r="B675" i="8"/>
  <c r="H674" i="8"/>
  <c r="AH674" i="8" s="1" a="1"/>
  <c r="AH674" i="8" s="1"/>
  <c r="G674" i="8"/>
  <c r="F674" i="8"/>
  <c r="E674" i="8"/>
  <c r="D674" i="8"/>
  <c r="C674" i="8"/>
  <c r="H673" i="8"/>
  <c r="AH673" i="8" s="1" a="1"/>
  <c r="AH673" i="8" s="1"/>
  <c r="G673" i="8"/>
  <c r="F673" i="8"/>
  <c r="E673" i="8"/>
  <c r="D673" i="8"/>
  <c r="C673" i="8"/>
  <c r="H672" i="8"/>
  <c r="AH672" i="8" s="1" a="1"/>
  <c r="AH672" i="8" s="1"/>
  <c r="G672" i="8"/>
  <c r="F672" i="8"/>
  <c r="E672" i="8"/>
  <c r="D672" i="8"/>
  <c r="C672" i="8"/>
  <c r="H671" i="8"/>
  <c r="AG671" i="8" s="1" a="1"/>
  <c r="AG671" i="8" s="1"/>
  <c r="G671" i="8"/>
  <c r="F671" i="8"/>
  <c r="E671" i="8"/>
  <c r="D671" i="8"/>
  <c r="C671" i="8"/>
  <c r="H670" i="8"/>
  <c r="G670" i="8"/>
  <c r="F670" i="8"/>
  <c r="E670" i="8"/>
  <c r="D670" i="8"/>
  <c r="C670" i="8"/>
  <c r="H669" i="8"/>
  <c r="G669" i="8"/>
  <c r="F669" i="8"/>
  <c r="E669" i="8"/>
  <c r="D669" i="8"/>
  <c r="C669" i="8"/>
  <c r="H668" i="8"/>
  <c r="AH668" i="8" s="1" a="1"/>
  <c r="AH668" i="8" s="1"/>
  <c r="G668" i="8"/>
  <c r="F668" i="8"/>
  <c r="E668" i="8"/>
  <c r="D668" i="8"/>
  <c r="C668" i="8"/>
  <c r="H667" i="8"/>
  <c r="G667" i="8"/>
  <c r="F667" i="8"/>
  <c r="E667" i="8"/>
  <c r="D667" i="8"/>
  <c r="C667" i="8"/>
  <c r="H666" i="8"/>
  <c r="G666" i="8"/>
  <c r="F666" i="8"/>
  <c r="E666" i="8"/>
  <c r="D666" i="8"/>
  <c r="C666" i="8"/>
  <c r="H665" i="8"/>
  <c r="AH665" i="8" s="1" a="1"/>
  <c r="AH665" i="8" s="1"/>
  <c r="G665" i="8"/>
  <c r="F665" i="8"/>
  <c r="E665" i="8"/>
  <c r="D665" i="8"/>
  <c r="C665" i="8"/>
  <c r="H664" i="8"/>
  <c r="G664" i="8"/>
  <c r="F664" i="8"/>
  <c r="E664" i="8"/>
  <c r="D664" i="8"/>
  <c r="C664" i="8"/>
  <c r="H663" i="8"/>
  <c r="AI663" i="8" s="1" a="1"/>
  <c r="AI663" i="8" s="1"/>
  <c r="G663" i="8"/>
  <c r="F663" i="8"/>
  <c r="E663" i="8"/>
  <c r="D663" i="8"/>
  <c r="C663" i="8"/>
  <c r="H662" i="8"/>
  <c r="AH662" i="8" s="1" a="1"/>
  <c r="AH662" i="8" s="1"/>
  <c r="G662" i="8"/>
  <c r="F662" i="8"/>
  <c r="E662" i="8"/>
  <c r="D662" i="8"/>
  <c r="C662" i="8"/>
  <c r="H661" i="8"/>
  <c r="AF661" i="8" s="1" a="1"/>
  <c r="AF661" i="8" s="1"/>
  <c r="G661" i="8"/>
  <c r="F661" i="8"/>
  <c r="E661" i="8"/>
  <c r="D661" i="8"/>
  <c r="C661" i="8"/>
  <c r="H660" i="8"/>
  <c r="AI660" i="8" s="1" a="1"/>
  <c r="AI660" i="8" s="1"/>
  <c r="G660" i="8"/>
  <c r="F660" i="8"/>
  <c r="E660" i="8"/>
  <c r="D660" i="8"/>
  <c r="C660" i="8"/>
  <c r="H659" i="8"/>
  <c r="AG659" i="8" s="1" a="1"/>
  <c r="AG659" i="8" s="1"/>
  <c r="G659" i="8"/>
  <c r="F659" i="8"/>
  <c r="E659" i="8"/>
  <c r="D659" i="8"/>
  <c r="C659" i="8"/>
  <c r="H658" i="8"/>
  <c r="AF658" i="8" s="1" a="1"/>
  <c r="G658" i="8"/>
  <c r="F658" i="8"/>
  <c r="E658" i="8"/>
  <c r="D658" i="8"/>
  <c r="C658" i="8"/>
  <c r="H657" i="8"/>
  <c r="G657" i="8"/>
  <c r="F657" i="8"/>
  <c r="E657" i="8"/>
  <c r="H656" i="8"/>
  <c r="G656" i="8"/>
  <c r="F656" i="8"/>
  <c r="E656" i="8"/>
  <c r="H655" i="8"/>
  <c r="G655" i="8"/>
  <c r="F655" i="8"/>
  <c r="E655" i="8"/>
  <c r="H654" i="8"/>
  <c r="G654" i="8"/>
  <c r="F654" i="8"/>
  <c r="E654" i="8"/>
  <c r="H653" i="8"/>
  <c r="G653" i="8"/>
  <c r="F653" i="8"/>
  <c r="E653" i="8"/>
  <c r="H652" i="8"/>
  <c r="G652" i="8"/>
  <c r="F652" i="8"/>
  <c r="E652" i="8"/>
  <c r="D652" i="8"/>
  <c r="C652" i="8"/>
  <c r="B652" i="8"/>
  <c r="H651" i="8"/>
  <c r="G651" i="8"/>
  <c r="F651" i="8"/>
  <c r="E651" i="8"/>
  <c r="D651" i="8"/>
  <c r="H650" i="8"/>
  <c r="AG650" i="8" s="1" a="1"/>
  <c r="AG650" i="8" s="1"/>
  <c r="G650" i="8"/>
  <c r="F650" i="8"/>
  <c r="E650" i="8"/>
  <c r="D650" i="8"/>
  <c r="P650" i="8" s="1" a="1"/>
  <c r="C650" i="8"/>
  <c r="B650" i="8"/>
  <c r="H649" i="8"/>
  <c r="AH649" i="8" s="1" a="1"/>
  <c r="AH649" i="8" s="1"/>
  <c r="G649" i="8"/>
  <c r="F649" i="8"/>
  <c r="E649" i="8"/>
  <c r="D649" i="8"/>
  <c r="C649" i="8"/>
  <c r="H648" i="8"/>
  <c r="AI648" i="8" s="1" a="1"/>
  <c r="AI648" i="8" s="1"/>
  <c r="G648" i="8"/>
  <c r="F648" i="8"/>
  <c r="E648" i="8"/>
  <c r="D648" i="8"/>
  <c r="C648" i="8"/>
  <c r="O648" i="8" s="1" a="1"/>
  <c r="H647" i="8"/>
  <c r="AI647" i="8" s="1" a="1"/>
  <c r="AI647" i="8" s="1"/>
  <c r="G647" i="8"/>
  <c r="F647" i="8"/>
  <c r="E647" i="8"/>
  <c r="D647" i="8"/>
  <c r="C647" i="8"/>
  <c r="H646" i="8"/>
  <c r="AI646" i="8" s="1" a="1"/>
  <c r="AI646" i="8" s="1"/>
  <c r="G646" i="8"/>
  <c r="F646" i="8"/>
  <c r="E646" i="8"/>
  <c r="D646" i="8"/>
  <c r="C646" i="8"/>
  <c r="H645" i="8"/>
  <c r="AI645" i="8" s="1" a="1"/>
  <c r="AI645" i="8" s="1"/>
  <c r="G645" i="8"/>
  <c r="F645" i="8"/>
  <c r="E645" i="8"/>
  <c r="D645" i="8"/>
  <c r="C645" i="8"/>
  <c r="H644" i="8"/>
  <c r="G644" i="8"/>
  <c r="F644" i="8"/>
  <c r="E644" i="8"/>
  <c r="D644" i="8"/>
  <c r="C644" i="8"/>
  <c r="H643" i="8"/>
  <c r="G643" i="8"/>
  <c r="F643" i="8"/>
  <c r="E643" i="8"/>
  <c r="D643" i="8"/>
  <c r="C643" i="8"/>
  <c r="H642" i="8"/>
  <c r="G642" i="8"/>
  <c r="F642" i="8"/>
  <c r="E642" i="8"/>
  <c r="D642" i="8"/>
  <c r="C642" i="8"/>
  <c r="H641" i="8"/>
  <c r="G641" i="8"/>
  <c r="F641" i="8"/>
  <c r="E641" i="8"/>
  <c r="D641" i="8"/>
  <c r="C641" i="8"/>
  <c r="H640" i="8"/>
  <c r="G640" i="8"/>
  <c r="F640" i="8"/>
  <c r="E640" i="8"/>
  <c r="D640" i="8"/>
  <c r="C640" i="8"/>
  <c r="H639" i="8"/>
  <c r="G639" i="8"/>
  <c r="F639" i="8"/>
  <c r="E639" i="8"/>
  <c r="D639" i="8"/>
  <c r="C639" i="8"/>
  <c r="H638" i="8"/>
  <c r="G638" i="8"/>
  <c r="F638" i="8"/>
  <c r="E638" i="8"/>
  <c r="D638" i="8"/>
  <c r="C638" i="8"/>
  <c r="H637" i="8"/>
  <c r="AG637" i="8" s="1" a="1"/>
  <c r="AG637" i="8" s="1"/>
  <c r="G637" i="8"/>
  <c r="F637" i="8"/>
  <c r="E637" i="8"/>
  <c r="D637" i="8"/>
  <c r="C637" i="8"/>
  <c r="H636" i="8"/>
  <c r="AH636" i="8" s="1" a="1"/>
  <c r="AH636" i="8" s="1"/>
  <c r="G636" i="8"/>
  <c r="F636" i="8"/>
  <c r="E636" i="8"/>
  <c r="D636" i="8"/>
  <c r="C636" i="8"/>
  <c r="H635" i="8"/>
  <c r="AI635" i="8" s="1" a="1"/>
  <c r="AI635" i="8" s="1"/>
  <c r="G635" i="8"/>
  <c r="F635" i="8"/>
  <c r="E635" i="8"/>
  <c r="D635" i="8"/>
  <c r="C635" i="8"/>
  <c r="H634" i="8"/>
  <c r="G634" i="8"/>
  <c r="F634" i="8"/>
  <c r="E634" i="8"/>
  <c r="D634" i="8"/>
  <c r="C634" i="8"/>
  <c r="H633" i="8"/>
  <c r="AH633" i="8" s="1" a="1"/>
  <c r="AH633" i="8" s="1"/>
  <c r="G633" i="8"/>
  <c r="F633" i="8"/>
  <c r="E633" i="8"/>
  <c r="D633" i="8"/>
  <c r="C633" i="8"/>
  <c r="H632" i="8"/>
  <c r="AG632" i="8" s="1" a="1"/>
  <c r="AG632" i="8" s="1"/>
  <c r="G632" i="8"/>
  <c r="F632" i="8"/>
  <c r="E632" i="8"/>
  <c r="D632" i="8"/>
  <c r="C632" i="8"/>
  <c r="H631" i="8"/>
  <c r="AH631" i="8" s="1" a="1"/>
  <c r="AH631" i="8" s="1"/>
  <c r="G631" i="8"/>
  <c r="F631" i="8"/>
  <c r="E631" i="8"/>
  <c r="D631" i="8"/>
  <c r="C631" i="8"/>
  <c r="H630" i="8"/>
  <c r="G630" i="8"/>
  <c r="F630" i="8"/>
  <c r="E630" i="8"/>
  <c r="D630" i="8"/>
  <c r="C630" i="8"/>
  <c r="H629" i="8"/>
  <c r="G629" i="8"/>
  <c r="F629" i="8"/>
  <c r="E629" i="8"/>
  <c r="D629" i="8"/>
  <c r="C629" i="8"/>
  <c r="H628" i="8"/>
  <c r="G628" i="8"/>
  <c r="F628" i="8"/>
  <c r="E628" i="8"/>
  <c r="D628" i="8"/>
  <c r="H627" i="8"/>
  <c r="AI627" i="8" s="1" a="1"/>
  <c r="AI627" i="8" s="1"/>
  <c r="G627" i="8"/>
  <c r="F627" i="8"/>
  <c r="E627" i="8"/>
  <c r="D627" i="8"/>
  <c r="H626" i="8"/>
  <c r="AF626" i="8" s="1" a="1"/>
  <c r="AF626" i="8" s="1"/>
  <c r="G626" i="8"/>
  <c r="F626" i="8"/>
  <c r="E626" i="8"/>
  <c r="D626" i="8"/>
  <c r="H625" i="8"/>
  <c r="AF625" i="8" s="1" a="1"/>
  <c r="AF625" i="8" s="1"/>
  <c r="G625" i="8"/>
  <c r="F625" i="8"/>
  <c r="E625" i="8"/>
  <c r="D625" i="8"/>
  <c r="H624" i="8"/>
  <c r="G624" i="8"/>
  <c r="F624" i="8"/>
  <c r="E624" i="8"/>
  <c r="D624" i="8"/>
  <c r="C624" i="8"/>
  <c r="O624" i="8" s="1" a="1"/>
  <c r="H623" i="8"/>
  <c r="AH623" i="8" s="1" a="1"/>
  <c r="AH623" i="8" s="1"/>
  <c r="G623" i="8"/>
  <c r="F623" i="8"/>
  <c r="E623" i="8"/>
  <c r="D623" i="8"/>
  <c r="C623" i="8"/>
  <c r="H622" i="8"/>
  <c r="AI622" i="8" s="1" a="1"/>
  <c r="AI622" i="8" s="1"/>
  <c r="G622" i="8"/>
  <c r="F622" i="8"/>
  <c r="E622" i="8"/>
  <c r="D622" i="8"/>
  <c r="C622" i="8"/>
  <c r="O622" i="8" s="1" a="1"/>
  <c r="H621" i="8"/>
  <c r="AH621" i="8" s="1" a="1"/>
  <c r="AH621" i="8" s="1"/>
  <c r="G621" i="8"/>
  <c r="F621" i="8"/>
  <c r="E621" i="8"/>
  <c r="D621" i="8"/>
  <c r="C621" i="8"/>
  <c r="H620" i="8"/>
  <c r="G620" i="8"/>
  <c r="F620" i="8"/>
  <c r="E620" i="8"/>
  <c r="D620" i="8"/>
  <c r="C620" i="8"/>
  <c r="H619" i="8"/>
  <c r="AI619" i="8" s="1" a="1"/>
  <c r="AI619" i="8" s="1"/>
  <c r="G619" i="8"/>
  <c r="F619" i="8"/>
  <c r="E619" i="8"/>
  <c r="D619" i="8"/>
  <c r="C619" i="8"/>
  <c r="H618" i="8"/>
  <c r="AI618" i="8" s="1" a="1"/>
  <c r="AI618" i="8" s="1"/>
  <c r="G618" i="8"/>
  <c r="F618" i="8"/>
  <c r="E618" i="8"/>
  <c r="D618" i="8"/>
  <c r="C618" i="8"/>
  <c r="H617" i="8"/>
  <c r="AF617" i="8" s="1" a="1"/>
  <c r="AF617" i="8" s="1"/>
  <c r="G617" i="8"/>
  <c r="F617" i="8"/>
  <c r="E617" i="8"/>
  <c r="D617" i="8"/>
  <c r="C617" i="8"/>
  <c r="H616" i="8"/>
  <c r="AG616" i="8" s="1" a="1"/>
  <c r="AG616" i="8" s="1"/>
  <c r="G616" i="8"/>
  <c r="F616" i="8"/>
  <c r="E616" i="8"/>
  <c r="D616" i="8"/>
  <c r="C616" i="8"/>
  <c r="H615" i="8"/>
  <c r="AI615" i="8" s="1" a="1"/>
  <c r="AI615" i="8" s="1"/>
  <c r="G615" i="8"/>
  <c r="F615" i="8"/>
  <c r="E615" i="8"/>
  <c r="D615" i="8"/>
  <c r="C615" i="8"/>
  <c r="H614" i="8"/>
  <c r="G614" i="8"/>
  <c r="F614" i="8"/>
  <c r="E614" i="8"/>
  <c r="D614" i="8"/>
  <c r="C614" i="8"/>
  <c r="H613" i="8"/>
  <c r="G613" i="8"/>
  <c r="F613" i="8"/>
  <c r="E613" i="8"/>
  <c r="D613" i="8"/>
  <c r="C613" i="8"/>
  <c r="H612" i="8"/>
  <c r="AI612" i="8" s="1" a="1"/>
  <c r="AI612" i="8" s="1"/>
  <c r="G612" i="8"/>
  <c r="F612" i="8"/>
  <c r="E612" i="8"/>
  <c r="D612" i="8"/>
  <c r="C612" i="8"/>
  <c r="H611" i="8"/>
  <c r="G611" i="8"/>
  <c r="F611" i="8"/>
  <c r="E611" i="8"/>
  <c r="D611" i="8"/>
  <c r="C611" i="8"/>
  <c r="H610" i="8"/>
  <c r="AH610" i="8" s="1" a="1"/>
  <c r="AH610" i="8" s="1"/>
  <c r="G610" i="8"/>
  <c r="F610" i="8"/>
  <c r="E610" i="8"/>
  <c r="D610" i="8"/>
  <c r="C610" i="8"/>
  <c r="H609" i="8"/>
  <c r="G609" i="8"/>
  <c r="F609" i="8"/>
  <c r="E609" i="8"/>
  <c r="D609" i="8"/>
  <c r="C609" i="8"/>
  <c r="H608" i="8"/>
  <c r="AF608" i="8" s="1" a="1"/>
  <c r="AF608" i="8" s="1"/>
  <c r="G608" i="8"/>
  <c r="F608" i="8"/>
  <c r="E608" i="8"/>
  <c r="D608" i="8"/>
  <c r="C608" i="8"/>
  <c r="H607" i="8"/>
  <c r="AI607" i="8" s="1" a="1"/>
  <c r="AI607" i="8" s="1"/>
  <c r="G607" i="8"/>
  <c r="F607" i="8"/>
  <c r="E607" i="8"/>
  <c r="D607" i="8"/>
  <c r="C607" i="8"/>
  <c r="H606" i="8"/>
  <c r="G606" i="8"/>
  <c r="F606" i="8"/>
  <c r="E606" i="8"/>
  <c r="D606" i="8"/>
  <c r="C606" i="8"/>
  <c r="H605" i="8"/>
  <c r="AI605" i="8" s="1" a="1"/>
  <c r="AI605" i="8" s="1"/>
  <c r="G605" i="8"/>
  <c r="F605" i="8"/>
  <c r="E605" i="8"/>
  <c r="D605" i="8"/>
  <c r="C605" i="8"/>
  <c r="H604" i="8"/>
  <c r="AI604" i="8" s="1" a="1"/>
  <c r="AI604" i="8" s="1"/>
  <c r="G604" i="8"/>
  <c r="F604" i="8"/>
  <c r="E604" i="8"/>
  <c r="D604" i="8"/>
  <c r="C604" i="8"/>
  <c r="H603" i="8"/>
  <c r="AI603" i="8" s="1" a="1"/>
  <c r="AI603" i="8" s="1"/>
  <c r="G603" i="8"/>
  <c r="F603" i="8"/>
  <c r="E603" i="8"/>
  <c r="D603" i="8"/>
  <c r="C603" i="8"/>
  <c r="H602" i="8"/>
  <c r="G602" i="8"/>
  <c r="F602" i="8"/>
  <c r="E602" i="8"/>
  <c r="D602" i="8"/>
  <c r="C602" i="8"/>
  <c r="H601" i="8"/>
  <c r="G601" i="8"/>
  <c r="F601" i="8"/>
  <c r="E601" i="8"/>
  <c r="D601" i="8"/>
  <c r="C601" i="8"/>
  <c r="H600" i="8"/>
  <c r="G600" i="8"/>
  <c r="F600" i="8"/>
  <c r="E600" i="8"/>
  <c r="D600" i="8"/>
  <c r="C600" i="8"/>
  <c r="H599" i="8"/>
  <c r="AH599" i="8" s="1" a="1"/>
  <c r="AH599" i="8" s="1"/>
  <c r="G599" i="8"/>
  <c r="F599" i="8"/>
  <c r="E599" i="8"/>
  <c r="D599" i="8"/>
  <c r="C599" i="8"/>
  <c r="H598" i="8"/>
  <c r="G598" i="8"/>
  <c r="F598" i="8"/>
  <c r="E598" i="8"/>
  <c r="D598" i="8"/>
  <c r="C598" i="8"/>
  <c r="H597" i="8"/>
  <c r="G597" i="8"/>
  <c r="F597" i="8"/>
  <c r="E597" i="8"/>
  <c r="D597" i="8"/>
  <c r="C597" i="8"/>
  <c r="H596" i="8"/>
  <c r="AI596" i="8" s="1" a="1"/>
  <c r="AI596" i="8" s="1"/>
  <c r="G596" i="8"/>
  <c r="F596" i="8"/>
  <c r="E596" i="8"/>
  <c r="D596" i="8"/>
  <c r="C596" i="8"/>
  <c r="H595" i="8"/>
  <c r="AG595" i="8" s="1" a="1"/>
  <c r="AG595" i="8" s="1"/>
  <c r="G595" i="8"/>
  <c r="F595" i="8"/>
  <c r="E595" i="8"/>
  <c r="D595" i="8"/>
  <c r="C595" i="8"/>
  <c r="H594" i="8"/>
  <c r="AI594" i="8" s="1" a="1"/>
  <c r="AI594" i="8" s="1"/>
  <c r="G594" i="8"/>
  <c r="F594" i="8"/>
  <c r="E594" i="8"/>
  <c r="D594" i="8"/>
  <c r="C594" i="8"/>
  <c r="H593" i="8"/>
  <c r="G593" i="8"/>
  <c r="F593" i="8"/>
  <c r="E593" i="8"/>
  <c r="D593" i="8"/>
  <c r="C593" i="8"/>
  <c r="H592" i="8"/>
  <c r="AH592" i="8" s="1" a="1"/>
  <c r="AH592" i="8" s="1"/>
  <c r="G592" i="8"/>
  <c r="F592" i="8"/>
  <c r="E592" i="8"/>
  <c r="D592" i="8"/>
  <c r="C592" i="8"/>
  <c r="H591" i="8"/>
  <c r="AF591" i="8" s="1" a="1"/>
  <c r="G591" i="8"/>
  <c r="F591" i="8"/>
  <c r="E591" i="8"/>
  <c r="D591" i="8"/>
  <c r="C591" i="8"/>
  <c r="H590" i="8"/>
  <c r="AI590" i="8" s="1" a="1"/>
  <c r="AI590" i="8" s="1"/>
  <c r="G590" i="8"/>
  <c r="F590" i="8"/>
  <c r="E590" i="8"/>
  <c r="D590" i="8"/>
  <c r="C590" i="8"/>
  <c r="H589" i="8"/>
  <c r="AH589" i="8" s="1" a="1"/>
  <c r="AH589" i="8" s="1"/>
  <c r="G589" i="8"/>
  <c r="F589" i="8"/>
  <c r="E589" i="8"/>
  <c r="D589" i="8"/>
  <c r="C589" i="8"/>
  <c r="H588" i="8"/>
  <c r="G588" i="8"/>
  <c r="F588" i="8"/>
  <c r="E588" i="8"/>
  <c r="D588" i="8"/>
  <c r="C588" i="8"/>
  <c r="H587" i="8"/>
  <c r="G587" i="8"/>
  <c r="F587" i="8"/>
  <c r="E587" i="8"/>
  <c r="D587" i="8"/>
  <c r="C587" i="8"/>
  <c r="H586" i="8"/>
  <c r="G586" i="8"/>
  <c r="F586" i="8"/>
  <c r="E586" i="8"/>
  <c r="D586" i="8"/>
  <c r="C586" i="8"/>
  <c r="H585" i="8"/>
  <c r="AH585" i="8" s="1" a="1"/>
  <c r="AH585" i="8" s="1"/>
  <c r="G585" i="8"/>
  <c r="F585" i="8"/>
  <c r="E585" i="8"/>
  <c r="D585" i="8"/>
  <c r="C585" i="8"/>
  <c r="B585" i="8"/>
  <c r="H584" i="8"/>
  <c r="G584" i="8"/>
  <c r="F584" i="8"/>
  <c r="E584" i="8"/>
  <c r="D584" i="8"/>
  <c r="C584" i="8"/>
  <c r="H583" i="8"/>
  <c r="G583" i="8"/>
  <c r="F583" i="8"/>
  <c r="E583" i="8"/>
  <c r="D583" i="8"/>
  <c r="C583" i="8"/>
  <c r="H582" i="8"/>
  <c r="G582" i="8"/>
  <c r="F582" i="8"/>
  <c r="E582" i="8"/>
  <c r="D582" i="8"/>
  <c r="C582" i="8"/>
  <c r="H581" i="8"/>
  <c r="AG581" i="8" s="1" a="1"/>
  <c r="AG581" i="8" s="1"/>
  <c r="G581" i="8"/>
  <c r="F581" i="8"/>
  <c r="E581" i="8"/>
  <c r="D581" i="8"/>
  <c r="C581" i="8"/>
  <c r="H580" i="8"/>
  <c r="AH580" i="8" s="1" a="1"/>
  <c r="AH580" i="8" s="1"/>
  <c r="G580" i="8"/>
  <c r="F580" i="8"/>
  <c r="E580" i="8"/>
  <c r="D580" i="8"/>
  <c r="C580" i="8"/>
  <c r="H579" i="8"/>
  <c r="G579" i="8"/>
  <c r="F579" i="8"/>
  <c r="E579" i="8"/>
  <c r="D579" i="8"/>
  <c r="C579" i="8"/>
  <c r="H578" i="8"/>
  <c r="AF578" i="8" s="1" a="1"/>
  <c r="AF578" i="8" s="1"/>
  <c r="G578" i="8"/>
  <c r="F578" i="8"/>
  <c r="E578" i="8"/>
  <c r="D578" i="8"/>
  <c r="C578" i="8"/>
  <c r="H577" i="8"/>
  <c r="G577" i="8"/>
  <c r="F577" i="8"/>
  <c r="E577" i="8"/>
  <c r="D577" i="8"/>
  <c r="C577" i="8"/>
  <c r="H576" i="8"/>
  <c r="AI576" i="8" s="1" a="1"/>
  <c r="AI576" i="8" s="1"/>
  <c r="G576" i="8"/>
  <c r="F576" i="8"/>
  <c r="E576" i="8"/>
  <c r="D576" i="8"/>
  <c r="C576" i="8"/>
  <c r="H575" i="8"/>
  <c r="AF575" i="8" s="1" a="1"/>
  <c r="G575" i="8"/>
  <c r="F575" i="8"/>
  <c r="E575" i="8"/>
  <c r="D575" i="8"/>
  <c r="C575" i="8"/>
  <c r="H574" i="8"/>
  <c r="AF574" i="8" s="1" a="1"/>
  <c r="G574" i="8"/>
  <c r="F574" i="8"/>
  <c r="E574" i="8"/>
  <c r="D574" i="8"/>
  <c r="C574" i="8"/>
  <c r="H573" i="8"/>
  <c r="AG573" i="8" s="1" a="1"/>
  <c r="AG573" i="8" s="1"/>
  <c r="G573" i="8"/>
  <c r="F573" i="8"/>
  <c r="E573" i="8"/>
  <c r="D573" i="8"/>
  <c r="C573" i="8"/>
  <c r="H572" i="8"/>
  <c r="G572" i="8"/>
  <c r="F572" i="8"/>
  <c r="E572" i="8"/>
  <c r="D572" i="8"/>
  <c r="C572" i="8"/>
  <c r="H571" i="8"/>
  <c r="G571" i="8"/>
  <c r="F571" i="8"/>
  <c r="E571" i="8"/>
  <c r="D571" i="8"/>
  <c r="C571" i="8"/>
  <c r="H570" i="8"/>
  <c r="AG570" i="8" s="1" a="1"/>
  <c r="AG570" i="8" s="1"/>
  <c r="G570" i="8"/>
  <c r="F570" i="8"/>
  <c r="E570" i="8"/>
  <c r="D570" i="8"/>
  <c r="C570" i="8"/>
  <c r="H569" i="8"/>
  <c r="G569" i="8"/>
  <c r="F569" i="8"/>
  <c r="E569" i="8"/>
  <c r="D569" i="8"/>
  <c r="C569" i="8"/>
  <c r="B569" i="8"/>
  <c r="H568" i="8"/>
  <c r="G568" i="8"/>
  <c r="F568" i="8"/>
  <c r="E568" i="8"/>
  <c r="D568" i="8"/>
  <c r="C568" i="8"/>
  <c r="H567" i="8"/>
  <c r="G567" i="8"/>
  <c r="F567" i="8"/>
  <c r="E567" i="8"/>
  <c r="D567" i="8"/>
  <c r="C567" i="8"/>
  <c r="H566" i="8"/>
  <c r="AI566" i="8" s="1" a="1"/>
  <c r="AI566" i="8" s="1"/>
  <c r="G566" i="8"/>
  <c r="F566" i="8"/>
  <c r="E566" i="8"/>
  <c r="D566" i="8"/>
  <c r="C566" i="8"/>
  <c r="H565" i="8"/>
  <c r="AI565" i="8" s="1" a="1"/>
  <c r="AI565" i="8" s="1"/>
  <c r="G565" i="8"/>
  <c r="F565" i="8"/>
  <c r="E565" i="8"/>
  <c r="D565" i="8"/>
  <c r="C565" i="8"/>
  <c r="H564" i="8"/>
  <c r="AH564" i="8" s="1" a="1"/>
  <c r="AH564" i="8" s="1"/>
  <c r="G564" i="8"/>
  <c r="F564" i="8"/>
  <c r="E564" i="8"/>
  <c r="D564" i="8"/>
  <c r="C564" i="8"/>
  <c r="H563" i="8"/>
  <c r="AH563" i="8" s="1" a="1"/>
  <c r="AH563" i="8" s="1"/>
  <c r="G563" i="8"/>
  <c r="F563" i="8"/>
  <c r="E563" i="8"/>
  <c r="D563" i="8"/>
  <c r="C563" i="8"/>
  <c r="H562" i="8"/>
  <c r="AI562" i="8" s="1" a="1"/>
  <c r="AI562" i="8" s="1"/>
  <c r="G562" i="8"/>
  <c r="F562" i="8"/>
  <c r="E562" i="8"/>
  <c r="D562" i="8"/>
  <c r="C562" i="8"/>
  <c r="H561" i="8"/>
  <c r="AF561" i="8" s="1" a="1"/>
  <c r="AF561" i="8" s="1"/>
  <c r="G561" i="8"/>
  <c r="F561" i="8"/>
  <c r="E561" i="8"/>
  <c r="D561" i="8"/>
  <c r="C561" i="8"/>
  <c r="H560" i="8"/>
  <c r="AI560" i="8" s="1" a="1"/>
  <c r="AI560" i="8" s="1"/>
  <c r="G560" i="8"/>
  <c r="F560" i="8"/>
  <c r="E560" i="8"/>
  <c r="D560" i="8"/>
  <c r="C560" i="8"/>
  <c r="H559" i="8"/>
  <c r="G559" i="8"/>
  <c r="F559" i="8"/>
  <c r="E559" i="8"/>
  <c r="D559" i="8"/>
  <c r="C559" i="8"/>
  <c r="H558" i="8"/>
  <c r="AF558" i="8" s="1" a="1"/>
  <c r="G558" i="8"/>
  <c r="F558" i="8"/>
  <c r="E558" i="8"/>
  <c r="D558" i="8"/>
  <c r="C558" i="8"/>
  <c r="H557" i="8"/>
  <c r="AG557" i="8" s="1" a="1"/>
  <c r="AG557" i="8" s="1"/>
  <c r="G557" i="8"/>
  <c r="F557" i="8"/>
  <c r="E557" i="8"/>
  <c r="D557" i="8"/>
  <c r="C557" i="8"/>
  <c r="H556" i="8"/>
  <c r="AI556" i="8" s="1" a="1"/>
  <c r="AI556" i="8" s="1"/>
  <c r="G556" i="8"/>
  <c r="F556" i="8"/>
  <c r="E556" i="8"/>
  <c r="D556" i="8"/>
  <c r="C556" i="8"/>
  <c r="H555" i="8"/>
  <c r="G555" i="8"/>
  <c r="F555" i="8"/>
  <c r="E555" i="8"/>
  <c r="D555" i="8"/>
  <c r="C555" i="8"/>
  <c r="H554" i="8"/>
  <c r="G554" i="8"/>
  <c r="F554" i="8"/>
  <c r="E554" i="8"/>
  <c r="D554" i="8"/>
  <c r="C554" i="8"/>
  <c r="H553" i="8"/>
  <c r="AG553" i="8" s="1" a="1"/>
  <c r="AG553" i="8" s="1"/>
  <c r="G553" i="8"/>
  <c r="F553" i="8"/>
  <c r="E553" i="8"/>
  <c r="D553" i="8"/>
  <c r="C553" i="8"/>
  <c r="H552" i="8"/>
  <c r="G552" i="8"/>
  <c r="F552" i="8"/>
  <c r="E552" i="8"/>
  <c r="D552" i="8"/>
  <c r="C552" i="8"/>
  <c r="H551" i="8"/>
  <c r="AG551" i="8" s="1" a="1"/>
  <c r="AG551" i="8" s="1"/>
  <c r="G551" i="8"/>
  <c r="F551" i="8"/>
  <c r="E551" i="8"/>
  <c r="D551" i="8"/>
  <c r="C551" i="8"/>
  <c r="B551" i="8"/>
  <c r="H550" i="8"/>
  <c r="G550" i="8"/>
  <c r="F550" i="8"/>
  <c r="E550" i="8"/>
  <c r="D550" i="8"/>
  <c r="C550" i="8"/>
  <c r="H549" i="8"/>
  <c r="G549" i="8"/>
  <c r="F549" i="8"/>
  <c r="E549" i="8"/>
  <c r="D549" i="8"/>
  <c r="C549" i="8"/>
  <c r="H548" i="8"/>
  <c r="AI548" i="8" s="1" a="1"/>
  <c r="AI548" i="8" s="1"/>
  <c r="G548" i="8"/>
  <c r="F548" i="8"/>
  <c r="E548" i="8"/>
  <c r="D548" i="8"/>
  <c r="C548" i="8"/>
  <c r="H547" i="8"/>
  <c r="AI547" i="8" s="1" a="1"/>
  <c r="AI547" i="8" s="1"/>
  <c r="G547" i="8"/>
  <c r="F547" i="8"/>
  <c r="E547" i="8"/>
  <c r="D547" i="8"/>
  <c r="C547" i="8"/>
  <c r="H546" i="8"/>
  <c r="AI546" i="8" s="1" a="1"/>
  <c r="AI546" i="8" s="1"/>
  <c r="G546" i="8"/>
  <c r="F546" i="8"/>
  <c r="E546" i="8"/>
  <c r="D546" i="8"/>
  <c r="C546" i="8"/>
  <c r="H545" i="8"/>
  <c r="G545" i="8"/>
  <c r="F545" i="8"/>
  <c r="E545" i="8"/>
  <c r="D545" i="8"/>
  <c r="C545" i="8"/>
  <c r="H544" i="8"/>
  <c r="G544" i="8"/>
  <c r="F544" i="8"/>
  <c r="E544" i="8"/>
  <c r="D544" i="8"/>
  <c r="C544" i="8"/>
  <c r="H543" i="8"/>
  <c r="G543" i="8"/>
  <c r="F543" i="8"/>
  <c r="E543" i="8"/>
  <c r="D543" i="8"/>
  <c r="C543" i="8"/>
  <c r="H542" i="8"/>
  <c r="AF542" i="8" s="1" a="1"/>
  <c r="G542" i="8"/>
  <c r="F542" i="8"/>
  <c r="E542" i="8"/>
  <c r="D542" i="8"/>
  <c r="C542" i="8"/>
  <c r="H541" i="8"/>
  <c r="AH541" i="8" s="1" a="1"/>
  <c r="AH541" i="8" s="1"/>
  <c r="G541" i="8"/>
  <c r="F541" i="8"/>
  <c r="E541" i="8"/>
  <c r="D541" i="8"/>
  <c r="C541" i="8"/>
  <c r="H540" i="8"/>
  <c r="AF540" i="8" s="1" a="1"/>
  <c r="G540" i="8"/>
  <c r="F540" i="8"/>
  <c r="E540" i="8"/>
  <c r="D540" i="8"/>
  <c r="C540" i="8"/>
  <c r="H539" i="8"/>
  <c r="G539" i="8"/>
  <c r="F539" i="8"/>
  <c r="E539" i="8"/>
  <c r="D539" i="8"/>
  <c r="C539" i="8"/>
  <c r="H538" i="8"/>
  <c r="G538" i="8"/>
  <c r="F538" i="8"/>
  <c r="E538" i="8"/>
  <c r="D538" i="8"/>
  <c r="C538" i="8"/>
  <c r="H537" i="8"/>
  <c r="G537" i="8"/>
  <c r="F537" i="8"/>
  <c r="E537" i="8"/>
  <c r="H536" i="8"/>
  <c r="G536" i="8"/>
  <c r="F536" i="8"/>
  <c r="E536" i="8"/>
  <c r="H535" i="8"/>
  <c r="AI535" i="8" s="1" a="1"/>
  <c r="AI535" i="8" s="1"/>
  <c r="G535" i="8"/>
  <c r="F535" i="8"/>
  <c r="E535" i="8"/>
  <c r="H534" i="8"/>
  <c r="AI534" i="8" s="1" a="1"/>
  <c r="AI534" i="8" s="1"/>
  <c r="G534" i="8"/>
  <c r="F534" i="8"/>
  <c r="E534" i="8"/>
  <c r="H533" i="8"/>
  <c r="AI533" i="8" s="1" a="1"/>
  <c r="AI533" i="8" s="1"/>
  <c r="G533" i="8"/>
  <c r="F533" i="8"/>
  <c r="E533" i="8"/>
  <c r="H532" i="8"/>
  <c r="G532" i="8"/>
  <c r="F532" i="8"/>
  <c r="E532" i="8"/>
  <c r="H531" i="8"/>
  <c r="G531" i="8"/>
  <c r="F531" i="8"/>
  <c r="E531" i="8"/>
  <c r="D531" i="8"/>
  <c r="C531" i="8"/>
  <c r="B531" i="8"/>
  <c r="H530" i="8"/>
  <c r="AH530" i="8" s="1" a="1"/>
  <c r="AH530" i="8" s="1"/>
  <c r="G530" i="8"/>
  <c r="F530" i="8"/>
  <c r="E530" i="8"/>
  <c r="D530" i="8"/>
  <c r="H529" i="8"/>
  <c r="G529" i="8"/>
  <c r="F529" i="8"/>
  <c r="E529" i="8"/>
  <c r="D529" i="8"/>
  <c r="C529" i="8"/>
  <c r="H528" i="8"/>
  <c r="G528" i="8"/>
  <c r="F528" i="8"/>
  <c r="E528" i="8"/>
  <c r="D528" i="8"/>
  <c r="C528" i="8"/>
  <c r="H527" i="8"/>
  <c r="G527" i="8"/>
  <c r="F527" i="8"/>
  <c r="E527" i="8"/>
  <c r="D527" i="8"/>
  <c r="C527" i="8"/>
  <c r="H526" i="8"/>
  <c r="G526" i="8"/>
  <c r="F526" i="8"/>
  <c r="E526" i="8"/>
  <c r="D526" i="8"/>
  <c r="C526" i="8"/>
  <c r="H525" i="8"/>
  <c r="G525" i="8"/>
  <c r="F525" i="8"/>
  <c r="E525" i="8"/>
  <c r="D525" i="8"/>
  <c r="C525" i="8"/>
  <c r="H524" i="8"/>
  <c r="G524" i="8"/>
  <c r="F524" i="8"/>
  <c r="E524" i="8"/>
  <c r="D524" i="8"/>
  <c r="C524" i="8"/>
  <c r="H523" i="8"/>
  <c r="AG523" i="8" s="1" a="1"/>
  <c r="AG523" i="8" s="1"/>
  <c r="G523" i="8"/>
  <c r="F523" i="8"/>
  <c r="E523" i="8"/>
  <c r="D523" i="8"/>
  <c r="C523" i="8"/>
  <c r="B523" i="8"/>
  <c r="H522" i="8"/>
  <c r="AH522" i="8" s="1" a="1"/>
  <c r="AH522" i="8" s="1"/>
  <c r="G522" i="8"/>
  <c r="F522" i="8"/>
  <c r="E522" i="8"/>
  <c r="D522" i="8"/>
  <c r="C522" i="8"/>
  <c r="B522" i="8"/>
  <c r="H521" i="8"/>
  <c r="AH521" i="8" s="1" a="1"/>
  <c r="AH521" i="8" s="1"/>
  <c r="G521" i="8"/>
  <c r="F521" i="8"/>
  <c r="E521" i="8"/>
  <c r="D521" i="8"/>
  <c r="C521" i="8"/>
  <c r="B521" i="8"/>
  <c r="H520" i="8"/>
  <c r="AH520" i="8" s="1" a="1"/>
  <c r="AH520" i="8" s="1"/>
  <c r="G520" i="8"/>
  <c r="F520" i="8"/>
  <c r="E520" i="8"/>
  <c r="D520" i="8"/>
  <c r="C520" i="8"/>
  <c r="B520" i="8"/>
  <c r="H519" i="8"/>
  <c r="AG519" i="8" s="1" a="1"/>
  <c r="AG519" i="8" s="1"/>
  <c r="G519" i="8"/>
  <c r="F519" i="8"/>
  <c r="E519" i="8"/>
  <c r="D519" i="8"/>
  <c r="C519" i="8"/>
  <c r="B519" i="8"/>
  <c r="H518" i="8"/>
  <c r="G518" i="8"/>
  <c r="F518" i="8"/>
  <c r="E518" i="8"/>
  <c r="D518" i="8"/>
  <c r="C518" i="8"/>
  <c r="B518" i="8"/>
  <c r="H517" i="8"/>
  <c r="G517" i="8"/>
  <c r="F517" i="8"/>
  <c r="E517" i="8"/>
  <c r="D517" i="8"/>
  <c r="C517" i="8"/>
  <c r="B517" i="8"/>
  <c r="H516" i="8"/>
  <c r="G516" i="8"/>
  <c r="F516" i="8"/>
  <c r="E516" i="8"/>
  <c r="D516" i="8"/>
  <c r="C516" i="8"/>
  <c r="B516" i="8"/>
  <c r="H515" i="8"/>
  <c r="AG515" i="8" s="1" a="1"/>
  <c r="AG515" i="8" s="1"/>
  <c r="G515" i="8"/>
  <c r="F515" i="8"/>
  <c r="E515" i="8"/>
  <c r="D515" i="8"/>
  <c r="C515" i="8"/>
  <c r="B515" i="8"/>
  <c r="H514" i="8"/>
  <c r="AG514" i="8" s="1" a="1"/>
  <c r="AG514" i="8" s="1"/>
  <c r="G514" i="8"/>
  <c r="F514" i="8"/>
  <c r="E514" i="8"/>
  <c r="D514" i="8"/>
  <c r="C514" i="8"/>
  <c r="B514" i="8"/>
  <c r="H513" i="8"/>
  <c r="AG513" i="8" s="1" a="1"/>
  <c r="AG513" i="8" s="1"/>
  <c r="G513" i="8"/>
  <c r="F513" i="8"/>
  <c r="E513" i="8"/>
  <c r="D513" i="8"/>
  <c r="C513" i="8"/>
  <c r="B513" i="8"/>
  <c r="H512" i="8"/>
  <c r="G512" i="8"/>
  <c r="F512" i="8"/>
  <c r="E512" i="8"/>
  <c r="D512" i="8"/>
  <c r="C512" i="8"/>
  <c r="B512" i="8"/>
  <c r="H511" i="8"/>
  <c r="AI511" i="8" s="1" a="1"/>
  <c r="AI511" i="8" s="1"/>
  <c r="G511" i="8"/>
  <c r="F511" i="8"/>
  <c r="E511" i="8"/>
  <c r="D511" i="8"/>
  <c r="C511" i="8"/>
  <c r="B511" i="8"/>
  <c r="H510" i="8"/>
  <c r="AI510" i="8" s="1" a="1"/>
  <c r="AI510" i="8" s="1"/>
  <c r="G510" i="8"/>
  <c r="F510" i="8"/>
  <c r="E510" i="8"/>
  <c r="D510" i="8"/>
  <c r="C510" i="8"/>
  <c r="B510" i="8"/>
  <c r="H509" i="8"/>
  <c r="G509" i="8"/>
  <c r="F509" i="8"/>
  <c r="E509" i="8"/>
  <c r="D509" i="8"/>
  <c r="C509" i="8"/>
  <c r="B509" i="8"/>
  <c r="H508" i="8"/>
  <c r="AH508" i="8" s="1" a="1"/>
  <c r="AH508" i="8" s="1"/>
  <c r="G508" i="8"/>
  <c r="F508" i="8"/>
  <c r="E508" i="8"/>
  <c r="D508" i="8"/>
  <c r="C508" i="8"/>
  <c r="B508" i="8"/>
  <c r="H507" i="8"/>
  <c r="AI507" i="8" s="1" a="1"/>
  <c r="AI507" i="8" s="1"/>
  <c r="G507" i="8"/>
  <c r="F507" i="8"/>
  <c r="E507" i="8"/>
  <c r="D507" i="8"/>
  <c r="C507" i="8"/>
  <c r="B507" i="8"/>
  <c r="H506" i="8"/>
  <c r="AI506" i="8" s="1" a="1"/>
  <c r="AI506" i="8" s="1"/>
  <c r="G506" i="8"/>
  <c r="F506" i="8"/>
  <c r="E506" i="8"/>
  <c r="D506" i="8"/>
  <c r="C506" i="8"/>
  <c r="B506" i="8"/>
  <c r="H505" i="8"/>
  <c r="AH505" i="8" s="1" a="1"/>
  <c r="AH505" i="8" s="1"/>
  <c r="G505" i="8"/>
  <c r="F505" i="8"/>
  <c r="E505" i="8"/>
  <c r="D505" i="8"/>
  <c r="C505" i="8"/>
  <c r="B505" i="8"/>
  <c r="H504" i="8"/>
  <c r="G504" i="8"/>
  <c r="F504" i="8"/>
  <c r="E504" i="8"/>
  <c r="D504" i="8"/>
  <c r="C504" i="8"/>
  <c r="B504" i="8"/>
  <c r="H503" i="8"/>
  <c r="AH503" i="8" s="1" a="1"/>
  <c r="AH503" i="8" s="1"/>
  <c r="G503" i="8"/>
  <c r="F503" i="8"/>
  <c r="E503" i="8"/>
  <c r="D503" i="8"/>
  <c r="C503" i="8"/>
  <c r="B503" i="8"/>
  <c r="H502" i="8"/>
  <c r="G502" i="8"/>
  <c r="F502" i="8"/>
  <c r="E502" i="8"/>
  <c r="D502" i="8"/>
  <c r="C502" i="8"/>
  <c r="B502" i="8"/>
  <c r="H501" i="8"/>
  <c r="G501" i="8"/>
  <c r="F501" i="8"/>
  <c r="E501" i="8"/>
  <c r="D501" i="8"/>
  <c r="C501" i="8"/>
  <c r="B501" i="8"/>
  <c r="H500" i="8"/>
  <c r="G500" i="8"/>
  <c r="F500" i="8"/>
  <c r="E500" i="8"/>
  <c r="D500" i="8"/>
  <c r="C500" i="8"/>
  <c r="B500" i="8"/>
  <c r="H499" i="8"/>
  <c r="G499" i="8"/>
  <c r="F499" i="8"/>
  <c r="E499" i="8"/>
  <c r="D499" i="8"/>
  <c r="C499" i="8"/>
  <c r="B499" i="8"/>
  <c r="H498" i="8"/>
  <c r="G498" i="8"/>
  <c r="F498" i="8"/>
  <c r="E498" i="8"/>
  <c r="D498" i="8"/>
  <c r="C498" i="8"/>
  <c r="B498" i="8"/>
  <c r="H497" i="8"/>
  <c r="G497" i="8"/>
  <c r="F497" i="8"/>
  <c r="E497" i="8"/>
  <c r="D497" i="8"/>
  <c r="C497" i="8"/>
  <c r="B497" i="8"/>
  <c r="H496" i="8"/>
  <c r="G496" i="8"/>
  <c r="F496" i="8"/>
  <c r="E496" i="8"/>
  <c r="D496" i="8"/>
  <c r="C496" i="8"/>
  <c r="B496" i="8"/>
  <c r="H495" i="8"/>
  <c r="AH495" i="8" s="1" a="1"/>
  <c r="AH495" i="8" s="1"/>
  <c r="G495" i="8"/>
  <c r="F495" i="8"/>
  <c r="E495" i="8"/>
  <c r="D495" i="8"/>
  <c r="C495" i="8"/>
  <c r="B495" i="8"/>
  <c r="H494" i="8"/>
  <c r="G494" i="8"/>
  <c r="F494" i="8"/>
  <c r="E494" i="8"/>
  <c r="D494" i="8"/>
  <c r="C494" i="8"/>
  <c r="B494" i="8"/>
  <c r="H493" i="8"/>
  <c r="AI493" i="8" s="1" a="1"/>
  <c r="AI493" i="8" s="1"/>
  <c r="G493" i="8"/>
  <c r="F493" i="8"/>
  <c r="E493" i="8"/>
  <c r="D493" i="8"/>
  <c r="C493" i="8"/>
  <c r="B493" i="8"/>
  <c r="H492" i="8"/>
  <c r="AH492" i="8" s="1" a="1"/>
  <c r="AH492" i="8" s="1"/>
  <c r="G492" i="8"/>
  <c r="F492" i="8"/>
  <c r="E492" i="8"/>
  <c r="D492" i="8"/>
  <c r="C492" i="8"/>
  <c r="H491" i="8"/>
  <c r="AI491" i="8" s="1" a="1"/>
  <c r="AI491" i="8" s="1"/>
  <c r="G491" i="8"/>
  <c r="F491" i="8"/>
  <c r="E491" i="8"/>
  <c r="D491" i="8"/>
  <c r="C491" i="8"/>
  <c r="H490" i="8"/>
  <c r="G490" i="8"/>
  <c r="F490" i="8"/>
  <c r="E490" i="8"/>
  <c r="D490" i="8"/>
  <c r="C490" i="8"/>
  <c r="H489" i="8"/>
  <c r="G489" i="8"/>
  <c r="F489" i="8"/>
  <c r="E489" i="8"/>
  <c r="D489" i="8"/>
  <c r="C489" i="8"/>
  <c r="H488" i="8"/>
  <c r="AH488" i="8" s="1" a="1"/>
  <c r="AH488" i="8" s="1"/>
  <c r="G488" i="8"/>
  <c r="F488" i="8"/>
  <c r="E488" i="8"/>
  <c r="D488" i="8"/>
  <c r="C488" i="8"/>
  <c r="H487" i="8"/>
  <c r="AF487" i="8" s="1" a="1"/>
  <c r="G487" i="8"/>
  <c r="F487" i="8"/>
  <c r="E487" i="8"/>
  <c r="D487" i="8"/>
  <c r="C487" i="8"/>
  <c r="H486" i="8"/>
  <c r="AF486" i="8" s="1" a="1"/>
  <c r="G486" i="8"/>
  <c r="F486" i="8"/>
  <c r="E486" i="8"/>
  <c r="D486" i="8"/>
  <c r="C486" i="8"/>
  <c r="H485" i="8"/>
  <c r="AF485" i="8" s="1" a="1"/>
  <c r="G485" i="8"/>
  <c r="F485" i="8"/>
  <c r="E485" i="8"/>
  <c r="D485" i="8"/>
  <c r="C485" i="8"/>
  <c r="H484" i="8"/>
  <c r="AF484" i="8" s="1" a="1"/>
  <c r="G484" i="8"/>
  <c r="F484" i="8"/>
  <c r="E484" i="8"/>
  <c r="D484" i="8"/>
  <c r="C484" i="8"/>
  <c r="H483" i="8"/>
  <c r="AG483" i="8" s="1" a="1"/>
  <c r="AG483" i="8" s="1"/>
  <c r="G483" i="8"/>
  <c r="F483" i="8"/>
  <c r="E483" i="8"/>
  <c r="D483" i="8"/>
  <c r="C483" i="8"/>
  <c r="H482" i="8"/>
  <c r="AG482" i="8" s="1" a="1"/>
  <c r="AG482" i="8" s="1"/>
  <c r="G482" i="8"/>
  <c r="F482" i="8"/>
  <c r="E482" i="8"/>
  <c r="D482" i="8"/>
  <c r="C482" i="8"/>
  <c r="H481" i="8"/>
  <c r="AI481" i="8" s="1" a="1"/>
  <c r="AI481" i="8" s="1"/>
  <c r="G481" i="8"/>
  <c r="F481" i="8"/>
  <c r="E481" i="8"/>
  <c r="D481" i="8"/>
  <c r="C481" i="8"/>
  <c r="H480" i="8"/>
  <c r="AI480" i="8" s="1" a="1"/>
  <c r="AI480" i="8" s="1"/>
  <c r="G480" i="8"/>
  <c r="F480" i="8"/>
  <c r="E480" i="8"/>
  <c r="D480" i="8"/>
  <c r="C480" i="8"/>
  <c r="B480" i="8"/>
  <c r="H479" i="8"/>
  <c r="AI479" i="8" s="1" a="1"/>
  <c r="AI479" i="8" s="1"/>
  <c r="G479" i="8"/>
  <c r="F479" i="8"/>
  <c r="E479" i="8"/>
  <c r="D479" i="8"/>
  <c r="C479" i="8"/>
  <c r="B479" i="8"/>
  <c r="H478" i="8"/>
  <c r="AI478" i="8" s="1" a="1"/>
  <c r="AI478" i="8" s="1"/>
  <c r="G478" i="8"/>
  <c r="F478" i="8"/>
  <c r="E478" i="8"/>
  <c r="D478" i="8"/>
  <c r="C478" i="8"/>
  <c r="B478" i="8"/>
  <c r="H477" i="8"/>
  <c r="AH477" i="8" s="1" a="1"/>
  <c r="AH477" i="8" s="1"/>
  <c r="G477" i="8"/>
  <c r="F477" i="8"/>
  <c r="E477" i="8"/>
  <c r="D477" i="8"/>
  <c r="C477" i="8"/>
  <c r="B477" i="8"/>
  <c r="H476" i="8"/>
  <c r="G476" i="8"/>
  <c r="F476" i="8"/>
  <c r="E476" i="8"/>
  <c r="D476" i="8"/>
  <c r="C476" i="8"/>
  <c r="B476" i="8"/>
  <c r="H475" i="8"/>
  <c r="G475" i="8"/>
  <c r="F475" i="8"/>
  <c r="E475" i="8"/>
  <c r="D475" i="8"/>
  <c r="C475" i="8"/>
  <c r="B475" i="8"/>
  <c r="H474" i="8"/>
  <c r="G474" i="8"/>
  <c r="F474" i="8"/>
  <c r="E474" i="8"/>
  <c r="D474" i="8"/>
  <c r="C474" i="8"/>
  <c r="H473" i="8"/>
  <c r="G473" i="8"/>
  <c r="F473" i="8"/>
  <c r="E473" i="8"/>
  <c r="D473" i="8"/>
  <c r="C473" i="8"/>
  <c r="H472" i="8"/>
  <c r="AF472" i="8" s="1" a="1"/>
  <c r="G472" i="8"/>
  <c r="F472" i="8"/>
  <c r="E472" i="8"/>
  <c r="D472" i="8"/>
  <c r="C472" i="8"/>
  <c r="H471" i="8"/>
  <c r="AI471" i="8" s="1" a="1"/>
  <c r="AI471" i="8" s="1"/>
  <c r="G471" i="8"/>
  <c r="F471" i="8"/>
  <c r="E471" i="8"/>
  <c r="D471" i="8"/>
  <c r="C471" i="8"/>
  <c r="H470" i="8"/>
  <c r="AF470" i="8" s="1" a="1"/>
  <c r="G470" i="8"/>
  <c r="F470" i="8"/>
  <c r="E470" i="8"/>
  <c r="D470" i="8"/>
  <c r="C470" i="8"/>
  <c r="H469" i="8"/>
  <c r="AF469" i="8" s="1" a="1"/>
  <c r="AF469" i="8" s="1"/>
  <c r="G469" i="8"/>
  <c r="F469" i="8"/>
  <c r="E469" i="8"/>
  <c r="D469" i="8"/>
  <c r="C469" i="8"/>
  <c r="H468" i="8"/>
  <c r="AI468" i="8" s="1" a="1"/>
  <c r="AI468" i="8" s="1"/>
  <c r="G468" i="8"/>
  <c r="F468" i="8"/>
  <c r="E468" i="8"/>
  <c r="D468" i="8"/>
  <c r="C468" i="8"/>
  <c r="H467" i="8"/>
  <c r="AH467" i="8" s="1" a="1"/>
  <c r="AH467" i="8" s="1"/>
  <c r="G467" i="8"/>
  <c r="F467" i="8"/>
  <c r="E467" i="8"/>
  <c r="D467" i="8"/>
  <c r="C467" i="8"/>
  <c r="H466" i="8"/>
  <c r="G466" i="8"/>
  <c r="F466" i="8"/>
  <c r="E466" i="8"/>
  <c r="D466" i="8"/>
  <c r="C466" i="8"/>
  <c r="H465" i="8"/>
  <c r="AG465" i="8" s="1" a="1"/>
  <c r="AG465" i="8" s="1"/>
  <c r="G465" i="8"/>
  <c r="F465" i="8"/>
  <c r="E465" i="8"/>
  <c r="D465" i="8"/>
  <c r="C465" i="8"/>
  <c r="H464" i="8"/>
  <c r="AI464" i="8" s="1" a="1"/>
  <c r="AI464" i="8" s="1"/>
  <c r="G464" i="8"/>
  <c r="F464" i="8"/>
  <c r="E464" i="8"/>
  <c r="D464" i="8"/>
  <c r="C464" i="8"/>
  <c r="H463" i="8"/>
  <c r="AG463" i="8" s="1" a="1"/>
  <c r="AG463" i="8" s="1"/>
  <c r="G463" i="8"/>
  <c r="F463" i="8"/>
  <c r="E463" i="8"/>
  <c r="D463" i="8"/>
  <c r="C463" i="8"/>
  <c r="H462" i="8"/>
  <c r="AG462" i="8" s="1" a="1"/>
  <c r="AG462" i="8" s="1"/>
  <c r="G462" i="8"/>
  <c r="F462" i="8"/>
  <c r="E462" i="8"/>
  <c r="D462" i="8"/>
  <c r="C462" i="8"/>
  <c r="B462" i="8"/>
  <c r="H461" i="8"/>
  <c r="G461" i="8"/>
  <c r="F461" i="8"/>
  <c r="E461" i="8"/>
  <c r="D461" i="8"/>
  <c r="C461" i="8"/>
  <c r="H460" i="8"/>
  <c r="G460" i="8"/>
  <c r="F460" i="8"/>
  <c r="E460" i="8"/>
  <c r="D460" i="8"/>
  <c r="C460" i="8"/>
  <c r="H459" i="8"/>
  <c r="G459" i="8"/>
  <c r="F459" i="8"/>
  <c r="E459" i="8"/>
  <c r="D459" i="8"/>
  <c r="C459" i="8"/>
  <c r="H458" i="8"/>
  <c r="G458" i="8"/>
  <c r="F458" i="8"/>
  <c r="E458" i="8"/>
  <c r="D458" i="8"/>
  <c r="C458" i="8"/>
  <c r="H457" i="8"/>
  <c r="G457" i="8"/>
  <c r="F457" i="8"/>
  <c r="E457" i="8"/>
  <c r="D457" i="8"/>
  <c r="C457" i="8"/>
  <c r="B457" i="8"/>
  <c r="H456" i="8"/>
  <c r="AF456" i="8" s="1" a="1"/>
  <c r="AF456" i="8" s="1"/>
  <c r="G456" i="8"/>
  <c r="F456" i="8"/>
  <c r="E456" i="8"/>
  <c r="D456" i="8"/>
  <c r="C456" i="8"/>
  <c r="H455" i="8"/>
  <c r="G455" i="8"/>
  <c r="F455" i="8"/>
  <c r="E455" i="8"/>
  <c r="D455" i="8"/>
  <c r="C455" i="8"/>
  <c r="H454" i="8"/>
  <c r="AI454" i="8" s="1" a="1"/>
  <c r="AI454" i="8" s="1"/>
  <c r="G454" i="8"/>
  <c r="F454" i="8"/>
  <c r="E454" i="8"/>
  <c r="D454" i="8"/>
  <c r="C454" i="8"/>
  <c r="H453" i="8"/>
  <c r="AI453" i="8" s="1" a="1"/>
  <c r="AI453" i="8" s="1"/>
  <c r="G453" i="8"/>
  <c r="F453" i="8"/>
  <c r="E453" i="8"/>
  <c r="D453" i="8"/>
  <c r="C453" i="8"/>
  <c r="H452" i="8"/>
  <c r="AI452" i="8" s="1" a="1"/>
  <c r="AI452" i="8" s="1"/>
  <c r="G452" i="8"/>
  <c r="F452" i="8"/>
  <c r="E452" i="8"/>
  <c r="D452" i="8"/>
  <c r="C452" i="8"/>
  <c r="H451" i="8"/>
  <c r="AI451" i="8" s="1" a="1"/>
  <c r="AI451" i="8" s="1"/>
  <c r="G451" i="8"/>
  <c r="F451" i="8"/>
  <c r="E451" i="8"/>
  <c r="D451" i="8"/>
  <c r="C451" i="8"/>
  <c r="H450" i="8"/>
  <c r="AI450" i="8" s="1" a="1"/>
  <c r="AI450" i="8" s="1"/>
  <c r="G450" i="8"/>
  <c r="F450" i="8"/>
  <c r="E450" i="8"/>
  <c r="D450" i="8"/>
  <c r="C450" i="8"/>
  <c r="H449" i="8"/>
  <c r="AH449" i="8" s="1" a="1"/>
  <c r="AH449" i="8" s="1"/>
  <c r="G449" i="8"/>
  <c r="F449" i="8"/>
  <c r="E449" i="8"/>
  <c r="D449" i="8"/>
  <c r="C449" i="8"/>
  <c r="H448" i="8"/>
  <c r="G448" i="8"/>
  <c r="F448" i="8"/>
  <c r="E448" i="8"/>
  <c r="D448" i="8"/>
  <c r="C448" i="8"/>
  <c r="H447" i="8"/>
  <c r="G447" i="8"/>
  <c r="F447" i="8"/>
  <c r="E447" i="8"/>
  <c r="D447" i="8"/>
  <c r="C447" i="8"/>
  <c r="B447" i="8"/>
  <c r="H446" i="8"/>
  <c r="G446" i="8"/>
  <c r="F446" i="8"/>
  <c r="E446" i="8"/>
  <c r="D446" i="8"/>
  <c r="C446" i="8"/>
  <c r="B446" i="8"/>
  <c r="H445" i="8"/>
  <c r="AI445" i="8" s="1" a="1"/>
  <c r="AI445" i="8" s="1"/>
  <c r="G445" i="8"/>
  <c r="F445" i="8"/>
  <c r="E445" i="8"/>
  <c r="D445" i="8"/>
  <c r="C445" i="8"/>
  <c r="B445" i="8"/>
  <c r="H444" i="8"/>
  <c r="AH444" i="8" s="1" a="1"/>
  <c r="AH444" i="8" s="1"/>
  <c r="G444" i="8"/>
  <c r="F444" i="8"/>
  <c r="E444" i="8"/>
  <c r="D444" i="8"/>
  <c r="C444" i="8"/>
  <c r="H443" i="8"/>
  <c r="G443" i="8"/>
  <c r="F443" i="8"/>
  <c r="E443" i="8"/>
  <c r="D443" i="8"/>
  <c r="C443" i="8"/>
  <c r="H442" i="8"/>
  <c r="G442" i="8"/>
  <c r="F442" i="8"/>
  <c r="E442" i="8"/>
  <c r="D442" i="8"/>
  <c r="C442" i="8"/>
  <c r="H441" i="8"/>
  <c r="G441" i="8"/>
  <c r="F441" i="8"/>
  <c r="E441" i="8"/>
  <c r="D441" i="8"/>
  <c r="C441" i="8"/>
  <c r="H440" i="8"/>
  <c r="AF440" i="8" s="1" a="1"/>
  <c r="AF440" i="8" s="1"/>
  <c r="G440" i="8"/>
  <c r="F440" i="8"/>
  <c r="E440" i="8"/>
  <c r="D440" i="8"/>
  <c r="C440" i="8"/>
  <c r="H439" i="8"/>
  <c r="AH439" i="8" s="1" a="1"/>
  <c r="AH439" i="8" s="1"/>
  <c r="G439" i="8"/>
  <c r="F439" i="8"/>
  <c r="E439" i="8"/>
  <c r="D439" i="8"/>
  <c r="C439" i="8"/>
  <c r="H438" i="8"/>
  <c r="AF438" i="8" s="1" a="1"/>
  <c r="AF438" i="8" s="1"/>
  <c r="G438" i="8"/>
  <c r="F438" i="8"/>
  <c r="E438" i="8"/>
  <c r="D438" i="8"/>
  <c r="C438" i="8"/>
  <c r="H437" i="8"/>
  <c r="AG437" i="8" s="1" a="1"/>
  <c r="AG437" i="8" s="1"/>
  <c r="G437" i="8"/>
  <c r="F437" i="8"/>
  <c r="E437" i="8"/>
  <c r="D437" i="8"/>
  <c r="C437" i="8"/>
  <c r="H436" i="8"/>
  <c r="AI436" i="8" s="1" a="1"/>
  <c r="AI436" i="8" s="1"/>
  <c r="G436" i="8"/>
  <c r="F436" i="8"/>
  <c r="E436" i="8"/>
  <c r="D436" i="8"/>
  <c r="C436" i="8"/>
  <c r="H435" i="8"/>
  <c r="AI435" i="8" s="1" a="1"/>
  <c r="AI435" i="8" s="1"/>
  <c r="G435" i="8"/>
  <c r="F435" i="8"/>
  <c r="E435" i="8"/>
  <c r="D435" i="8"/>
  <c r="C435" i="8"/>
  <c r="H434" i="8"/>
  <c r="AF434" i="8" s="1" a="1"/>
  <c r="AF434" i="8" s="1"/>
  <c r="G434" i="8"/>
  <c r="F434" i="8"/>
  <c r="E434" i="8"/>
  <c r="D434" i="8"/>
  <c r="C434" i="8"/>
  <c r="H433" i="8"/>
  <c r="AG433" i="8" s="1" a="1"/>
  <c r="AG433" i="8" s="1"/>
  <c r="G433" i="8"/>
  <c r="F433" i="8"/>
  <c r="E433" i="8"/>
  <c r="D433" i="8"/>
  <c r="C433" i="8"/>
  <c r="H432" i="8"/>
  <c r="AF432" i="8" s="1" a="1"/>
  <c r="G432" i="8"/>
  <c r="F432" i="8"/>
  <c r="E432" i="8"/>
  <c r="D432" i="8"/>
  <c r="C432" i="8"/>
  <c r="H431" i="8"/>
  <c r="AG431" i="8" s="1" a="1"/>
  <c r="AG431" i="8" s="1"/>
  <c r="G431" i="8"/>
  <c r="F431" i="8"/>
  <c r="E431" i="8"/>
  <c r="D431" i="8"/>
  <c r="C431" i="8"/>
  <c r="H430" i="8"/>
  <c r="AG430" i="8" s="1" a="1"/>
  <c r="AG430" i="8" s="1"/>
  <c r="G430" i="8"/>
  <c r="F430" i="8"/>
  <c r="E430" i="8"/>
  <c r="D430" i="8"/>
  <c r="C430" i="8"/>
  <c r="H429" i="8"/>
  <c r="G429" i="8"/>
  <c r="F429" i="8"/>
  <c r="E429" i="8"/>
  <c r="D429" i="8"/>
  <c r="C429" i="8"/>
  <c r="H428" i="8"/>
  <c r="G428" i="8"/>
  <c r="F428" i="8"/>
  <c r="E428" i="8"/>
  <c r="D428" i="8"/>
  <c r="C428" i="8"/>
  <c r="H427" i="8"/>
  <c r="AI427" i="8" s="1" a="1"/>
  <c r="AI427" i="8" s="1"/>
  <c r="G427" i="8"/>
  <c r="F427" i="8"/>
  <c r="E427" i="8"/>
  <c r="D427" i="8"/>
  <c r="C427" i="8"/>
  <c r="H426" i="8"/>
  <c r="G426" i="8"/>
  <c r="F426" i="8"/>
  <c r="E426" i="8"/>
  <c r="D426" i="8"/>
  <c r="C426" i="8"/>
  <c r="H425" i="8"/>
  <c r="G425" i="8"/>
  <c r="F425" i="8"/>
  <c r="E425" i="8"/>
  <c r="D425" i="8"/>
  <c r="C425" i="8"/>
  <c r="H424" i="8"/>
  <c r="AG424" i="8" s="1" a="1"/>
  <c r="AG424" i="8" s="1"/>
  <c r="G424" i="8"/>
  <c r="F424" i="8"/>
  <c r="E424" i="8"/>
  <c r="D424" i="8"/>
  <c r="C424" i="8"/>
  <c r="H423" i="8"/>
  <c r="AI423" i="8" s="1" a="1"/>
  <c r="AI423" i="8" s="1"/>
  <c r="G423" i="8"/>
  <c r="F423" i="8"/>
  <c r="E423" i="8"/>
  <c r="D423" i="8"/>
  <c r="C423" i="8"/>
  <c r="H422" i="8"/>
  <c r="AI422" i="8" s="1" a="1"/>
  <c r="AI422" i="8" s="1"/>
  <c r="G422" i="8"/>
  <c r="F422" i="8"/>
  <c r="E422" i="8"/>
  <c r="D422" i="8"/>
  <c r="C422" i="8"/>
  <c r="H421" i="8"/>
  <c r="AH421" i="8" s="1" a="1"/>
  <c r="AH421" i="8" s="1"/>
  <c r="G421" i="8"/>
  <c r="F421" i="8"/>
  <c r="E421" i="8"/>
  <c r="D421" i="8"/>
  <c r="C421" i="8"/>
  <c r="H420" i="8"/>
  <c r="AI420" i="8" s="1" a="1"/>
  <c r="AI420" i="8" s="1"/>
  <c r="G420" i="8"/>
  <c r="F420" i="8"/>
  <c r="E420" i="8"/>
  <c r="D420" i="8"/>
  <c r="C420" i="8"/>
  <c r="H419" i="8"/>
  <c r="G419" i="8"/>
  <c r="F419" i="8"/>
  <c r="E419" i="8"/>
  <c r="D419" i="8"/>
  <c r="C419" i="8"/>
  <c r="H418" i="8"/>
  <c r="G418" i="8"/>
  <c r="F418" i="8"/>
  <c r="E418" i="8"/>
  <c r="D418" i="8"/>
  <c r="C418" i="8"/>
  <c r="H417" i="8"/>
  <c r="G417" i="8"/>
  <c r="F417" i="8"/>
  <c r="E417" i="8"/>
  <c r="D417" i="8"/>
  <c r="C417" i="8"/>
  <c r="H416" i="8"/>
  <c r="AG416" i="8" s="1" a="1"/>
  <c r="AG416" i="8" s="1"/>
  <c r="G416" i="8"/>
  <c r="F416" i="8"/>
  <c r="E416" i="8"/>
  <c r="D416" i="8"/>
  <c r="C416" i="8"/>
  <c r="H415" i="8"/>
  <c r="G415" i="8"/>
  <c r="F415" i="8"/>
  <c r="E415" i="8"/>
  <c r="D415" i="8"/>
  <c r="C415" i="8"/>
  <c r="H414" i="8"/>
  <c r="AI414" i="8" s="1" a="1"/>
  <c r="AI414" i="8" s="1"/>
  <c r="G414" i="8"/>
  <c r="F414" i="8"/>
  <c r="E414" i="8"/>
  <c r="D414" i="8"/>
  <c r="C414" i="8"/>
  <c r="H413" i="8"/>
  <c r="AH413" i="8" s="1" a="1"/>
  <c r="AH413" i="8" s="1"/>
  <c r="G413" i="8"/>
  <c r="F413" i="8"/>
  <c r="E413" i="8"/>
  <c r="D413" i="8"/>
  <c r="C413" i="8"/>
  <c r="H412" i="8"/>
  <c r="AG412" i="8" s="1" a="1"/>
  <c r="AG412" i="8" s="1"/>
  <c r="G412" i="8"/>
  <c r="F412" i="8"/>
  <c r="E412" i="8"/>
  <c r="D412" i="8"/>
  <c r="C412" i="8"/>
  <c r="H411" i="8"/>
  <c r="AI411" i="8" s="1" a="1"/>
  <c r="AI411" i="8" s="1"/>
  <c r="G411" i="8"/>
  <c r="F411" i="8"/>
  <c r="E411" i="8"/>
  <c r="D411" i="8"/>
  <c r="C411" i="8"/>
  <c r="H410" i="8"/>
  <c r="AG410" i="8" s="1" a="1"/>
  <c r="AG410" i="8" s="1"/>
  <c r="G410" i="8"/>
  <c r="F410" i="8"/>
  <c r="E410" i="8"/>
  <c r="D410" i="8"/>
  <c r="C410" i="8"/>
  <c r="H409" i="8"/>
  <c r="G409" i="8"/>
  <c r="F409" i="8"/>
  <c r="E409" i="8"/>
  <c r="D409" i="8"/>
  <c r="C409" i="8"/>
  <c r="H408" i="8"/>
  <c r="AF408" i="8" s="1" a="1"/>
  <c r="G408" i="8"/>
  <c r="F408" i="8"/>
  <c r="E408" i="8"/>
  <c r="D408" i="8"/>
  <c r="C408" i="8"/>
  <c r="H407" i="8"/>
  <c r="AG407" i="8" s="1" a="1"/>
  <c r="AG407" i="8" s="1"/>
  <c r="G407" i="8"/>
  <c r="F407" i="8"/>
  <c r="E407" i="8"/>
  <c r="D407" i="8"/>
  <c r="C407" i="8"/>
  <c r="H406" i="8"/>
  <c r="AF406" i="8" s="1" a="1"/>
  <c r="G406" i="8"/>
  <c r="F406" i="8"/>
  <c r="E406" i="8"/>
  <c r="D406" i="8"/>
  <c r="C406" i="8"/>
  <c r="H405" i="8"/>
  <c r="AH405" i="8" s="1" a="1"/>
  <c r="AH405" i="8" s="1"/>
  <c r="G405" i="8"/>
  <c r="F405" i="8"/>
  <c r="E405" i="8"/>
  <c r="D405" i="8"/>
  <c r="C405" i="8"/>
  <c r="H404" i="8"/>
  <c r="AI404" i="8" s="1" a="1"/>
  <c r="AI404" i="8" s="1"/>
  <c r="G404" i="8"/>
  <c r="F404" i="8"/>
  <c r="E404" i="8"/>
  <c r="D404" i="8"/>
  <c r="C404" i="8"/>
  <c r="H403" i="8"/>
  <c r="G403" i="8"/>
  <c r="F403" i="8"/>
  <c r="E403" i="8"/>
  <c r="D403" i="8"/>
  <c r="C403" i="8"/>
  <c r="H402" i="8"/>
  <c r="G402" i="8"/>
  <c r="F402" i="8"/>
  <c r="E402" i="8"/>
  <c r="D402" i="8"/>
  <c r="C402" i="8"/>
  <c r="H401" i="8"/>
  <c r="G401" i="8"/>
  <c r="F401" i="8"/>
  <c r="E401" i="8"/>
  <c r="D401" i="8"/>
  <c r="C401" i="8"/>
  <c r="B401" i="8"/>
  <c r="H400" i="8"/>
  <c r="G400" i="8"/>
  <c r="F400" i="8"/>
  <c r="E400" i="8"/>
  <c r="D400" i="8"/>
  <c r="C400" i="8"/>
  <c r="B400" i="8"/>
  <c r="H399" i="8"/>
  <c r="AF399" i="8" s="1" a="1"/>
  <c r="AF399" i="8" s="1"/>
  <c r="G399" i="8"/>
  <c r="F399" i="8"/>
  <c r="E399" i="8"/>
  <c r="D399" i="8"/>
  <c r="C399" i="8"/>
  <c r="H398" i="8"/>
  <c r="G398" i="8"/>
  <c r="F398" i="8"/>
  <c r="E398" i="8"/>
  <c r="D398" i="8"/>
  <c r="C398" i="8"/>
  <c r="H397" i="8"/>
  <c r="AI397" i="8" s="1" a="1"/>
  <c r="AI397" i="8" s="1"/>
  <c r="G397" i="8"/>
  <c r="F397" i="8"/>
  <c r="E397" i="8"/>
  <c r="D397" i="8"/>
  <c r="C397" i="8"/>
  <c r="H396" i="8"/>
  <c r="AF396" i="8" s="1" a="1"/>
  <c r="AF396" i="8" s="1"/>
  <c r="G396" i="8"/>
  <c r="F396" i="8"/>
  <c r="E396" i="8"/>
  <c r="D396" i="8"/>
  <c r="C396" i="8"/>
  <c r="H395" i="8"/>
  <c r="AF395" i="8" s="1" a="1"/>
  <c r="AF395" i="8" s="1"/>
  <c r="G395" i="8"/>
  <c r="F395" i="8"/>
  <c r="E395" i="8"/>
  <c r="D395" i="8"/>
  <c r="C395" i="8"/>
  <c r="H394" i="8"/>
  <c r="AG394" i="8" s="1" a="1"/>
  <c r="AG394" i="8" s="1"/>
  <c r="G394" i="8"/>
  <c r="F394" i="8"/>
  <c r="E394" i="8"/>
  <c r="D394" i="8"/>
  <c r="C394" i="8"/>
  <c r="H393" i="8"/>
  <c r="AH393" i="8" s="1" a="1"/>
  <c r="AH393" i="8" s="1"/>
  <c r="G393" i="8"/>
  <c r="F393" i="8"/>
  <c r="E393" i="8"/>
  <c r="D393" i="8"/>
  <c r="C393" i="8"/>
  <c r="H392" i="8"/>
  <c r="G392" i="8"/>
  <c r="F392" i="8"/>
  <c r="E392" i="8"/>
  <c r="D392" i="8"/>
  <c r="C392" i="8"/>
  <c r="H391" i="8"/>
  <c r="AH391" i="8" s="1" a="1"/>
  <c r="AH391" i="8" s="1"/>
  <c r="G391" i="8"/>
  <c r="F391" i="8"/>
  <c r="E391" i="8"/>
  <c r="D391" i="8"/>
  <c r="C391" i="8"/>
  <c r="H390" i="8"/>
  <c r="G390" i="8"/>
  <c r="F390" i="8"/>
  <c r="E390" i="8"/>
  <c r="D390" i="8"/>
  <c r="C390" i="8"/>
  <c r="H389" i="8"/>
  <c r="G389" i="8"/>
  <c r="F389" i="8"/>
  <c r="E389" i="8"/>
  <c r="D389" i="8"/>
  <c r="C389" i="8"/>
  <c r="H388" i="8"/>
  <c r="AG388" i="8" s="1" a="1"/>
  <c r="AG388" i="8" s="1"/>
  <c r="G388" i="8"/>
  <c r="F388" i="8"/>
  <c r="E388" i="8"/>
  <c r="D388" i="8"/>
  <c r="C388" i="8"/>
  <c r="H387" i="8"/>
  <c r="G387" i="8"/>
  <c r="F387" i="8"/>
  <c r="E387" i="8"/>
  <c r="D387" i="8"/>
  <c r="C387" i="8"/>
  <c r="H386" i="8"/>
  <c r="AH386" i="8" s="1" a="1"/>
  <c r="AH386" i="8" s="1"/>
  <c r="G386" i="8"/>
  <c r="F386" i="8"/>
  <c r="E386" i="8"/>
  <c r="D386" i="8"/>
  <c r="C386" i="8"/>
  <c r="H385" i="8"/>
  <c r="AH385" i="8" s="1" a="1"/>
  <c r="AH385" i="8" s="1"/>
  <c r="G385" i="8"/>
  <c r="F385" i="8"/>
  <c r="E385" i="8"/>
  <c r="D385" i="8"/>
  <c r="C385" i="8"/>
  <c r="H384" i="8"/>
  <c r="AI384" i="8" s="1" a="1"/>
  <c r="AI384" i="8" s="1"/>
  <c r="G384" i="8"/>
  <c r="F384" i="8"/>
  <c r="E384" i="8"/>
  <c r="D384" i="8"/>
  <c r="C384" i="8"/>
  <c r="H383" i="8"/>
  <c r="G383" i="8"/>
  <c r="F383" i="8"/>
  <c r="E383" i="8"/>
  <c r="D383" i="8"/>
  <c r="C383" i="8"/>
  <c r="H382" i="8"/>
  <c r="AI382" i="8" s="1" a="1"/>
  <c r="AI382" i="8" s="1"/>
  <c r="G382" i="8"/>
  <c r="F382" i="8"/>
  <c r="E382" i="8"/>
  <c r="D382" i="8"/>
  <c r="C382" i="8"/>
  <c r="H381" i="8"/>
  <c r="AH381" i="8" s="1" a="1"/>
  <c r="AH381" i="8" s="1"/>
  <c r="G381" i="8"/>
  <c r="F381" i="8"/>
  <c r="E381" i="8"/>
  <c r="D381" i="8"/>
  <c r="C381" i="8"/>
  <c r="H380" i="8"/>
  <c r="AG380" i="8" s="1" a="1"/>
  <c r="AG380" i="8" s="1"/>
  <c r="G380" i="8"/>
  <c r="F380" i="8"/>
  <c r="E380" i="8"/>
  <c r="D380" i="8"/>
  <c r="C380" i="8"/>
  <c r="H379" i="8"/>
  <c r="AG379" i="8" s="1" a="1"/>
  <c r="AG379" i="8" s="1"/>
  <c r="G379" i="8"/>
  <c r="F379" i="8"/>
  <c r="E379" i="8"/>
  <c r="D379" i="8"/>
  <c r="C379" i="8"/>
  <c r="H378" i="8"/>
  <c r="G378" i="8"/>
  <c r="F378" i="8"/>
  <c r="E378" i="8"/>
  <c r="D378" i="8"/>
  <c r="C378" i="8"/>
  <c r="B378" i="8"/>
  <c r="H377" i="8"/>
  <c r="G377" i="8"/>
  <c r="F377" i="8"/>
  <c r="E377" i="8"/>
  <c r="D377" i="8"/>
  <c r="C377" i="8"/>
  <c r="B377" i="8"/>
  <c r="H376" i="8"/>
  <c r="G376" i="8"/>
  <c r="F376" i="8"/>
  <c r="E376" i="8"/>
  <c r="D376" i="8"/>
  <c r="C376" i="8"/>
  <c r="H375" i="8"/>
  <c r="AF375" i="8" s="1" a="1"/>
  <c r="AF375" i="8" s="1"/>
  <c r="G375" i="8"/>
  <c r="F375" i="8"/>
  <c r="E375" i="8"/>
  <c r="D375" i="8"/>
  <c r="C375" i="8"/>
  <c r="H374" i="8"/>
  <c r="G374" i="8"/>
  <c r="F374" i="8"/>
  <c r="E374" i="8"/>
  <c r="D374" i="8"/>
  <c r="C374" i="8"/>
  <c r="H373" i="8"/>
  <c r="G373" i="8"/>
  <c r="F373" i="8"/>
  <c r="E373" i="8"/>
  <c r="D373" i="8"/>
  <c r="C373" i="8"/>
  <c r="H372" i="8"/>
  <c r="G372" i="8"/>
  <c r="F372" i="8"/>
  <c r="E372" i="8"/>
  <c r="D372" i="8"/>
  <c r="C372" i="8"/>
  <c r="H371" i="8"/>
  <c r="AF371" i="8" s="1" a="1"/>
  <c r="G371" i="8"/>
  <c r="F371" i="8"/>
  <c r="E371" i="8"/>
  <c r="D371" i="8"/>
  <c r="C371" i="8"/>
  <c r="H370" i="8"/>
  <c r="AF370" i="8" s="1" a="1"/>
  <c r="G370" i="8"/>
  <c r="F370" i="8"/>
  <c r="E370" i="8"/>
  <c r="D370" i="8"/>
  <c r="C370" i="8"/>
  <c r="H369" i="8"/>
  <c r="AF369" i="8" s="1" a="1"/>
  <c r="G369" i="8"/>
  <c r="F369" i="8"/>
  <c r="E369" i="8"/>
  <c r="D369" i="8"/>
  <c r="C369" i="8"/>
  <c r="H368" i="8"/>
  <c r="AF368" i="8" s="1" a="1"/>
  <c r="G368" i="8"/>
  <c r="F368" i="8"/>
  <c r="E368" i="8"/>
  <c r="D368" i="8"/>
  <c r="C368" i="8"/>
  <c r="H367" i="8"/>
  <c r="AG367" i="8" s="1" a="1"/>
  <c r="AG367" i="8" s="1"/>
  <c r="G367" i="8"/>
  <c r="F367" i="8"/>
  <c r="E367" i="8"/>
  <c r="D367" i="8"/>
  <c r="C367" i="8"/>
  <c r="H366" i="8"/>
  <c r="AI366" i="8" s="1" a="1"/>
  <c r="AI366" i="8" s="1"/>
  <c r="G366" i="8"/>
  <c r="F366" i="8"/>
  <c r="E366" i="8"/>
  <c r="D366" i="8"/>
  <c r="C366" i="8"/>
  <c r="H365" i="8"/>
  <c r="AI365" i="8" s="1" a="1"/>
  <c r="AI365" i="8" s="1"/>
  <c r="G365" i="8"/>
  <c r="F365" i="8"/>
  <c r="E365" i="8"/>
  <c r="D365" i="8"/>
  <c r="C365" i="8"/>
  <c r="H364" i="8"/>
  <c r="G364" i="8"/>
  <c r="F364" i="8"/>
  <c r="E364" i="8"/>
  <c r="D364" i="8"/>
  <c r="C364" i="8"/>
  <c r="H363" i="8"/>
  <c r="G363" i="8"/>
  <c r="F363" i="8"/>
  <c r="E363" i="8"/>
  <c r="D363" i="8"/>
  <c r="C363" i="8"/>
  <c r="B363" i="8"/>
  <c r="H362" i="8"/>
  <c r="AG362" i="8" s="1" a="1"/>
  <c r="AG362" i="8" s="1"/>
  <c r="G362" i="8"/>
  <c r="F362" i="8"/>
  <c r="E362" i="8"/>
  <c r="D362" i="8"/>
  <c r="C362" i="8"/>
  <c r="B362" i="8"/>
  <c r="H361" i="8"/>
  <c r="AG361" i="8" s="1" a="1"/>
  <c r="AG361" i="8" s="1"/>
  <c r="G361" i="8"/>
  <c r="F361" i="8"/>
  <c r="E361" i="8"/>
  <c r="D361" i="8"/>
  <c r="C361" i="8"/>
  <c r="B361" i="8"/>
  <c r="H360" i="8"/>
  <c r="G360" i="8"/>
  <c r="F360" i="8"/>
  <c r="E360" i="8"/>
  <c r="D360" i="8"/>
  <c r="C360" i="8"/>
  <c r="B360" i="8"/>
  <c r="H359" i="8"/>
  <c r="G359" i="8"/>
  <c r="F359" i="8"/>
  <c r="E359" i="8"/>
  <c r="D359" i="8"/>
  <c r="C359" i="8"/>
  <c r="B359" i="8"/>
  <c r="H358" i="8"/>
  <c r="G358" i="8"/>
  <c r="F358" i="8"/>
  <c r="E358" i="8"/>
  <c r="D358" i="8"/>
  <c r="C358" i="8"/>
  <c r="B358" i="8"/>
  <c r="H357" i="8"/>
  <c r="AG357" i="8" s="1" a="1"/>
  <c r="AG357" i="8" s="1"/>
  <c r="G357" i="8"/>
  <c r="F357" i="8"/>
  <c r="E357" i="8"/>
  <c r="D357" i="8"/>
  <c r="C357" i="8"/>
  <c r="B357" i="8"/>
  <c r="H356" i="8"/>
  <c r="AH356" i="8" s="1" a="1"/>
  <c r="AH356" i="8" s="1"/>
  <c r="G356" i="8"/>
  <c r="F356" i="8"/>
  <c r="E356" i="8"/>
  <c r="D356" i="8"/>
  <c r="C356" i="8"/>
  <c r="B356" i="8"/>
  <c r="H355" i="8"/>
  <c r="G355" i="8"/>
  <c r="F355" i="8"/>
  <c r="E355" i="8"/>
  <c r="D355" i="8"/>
  <c r="C355" i="8"/>
  <c r="B355" i="8"/>
  <c r="H354" i="8"/>
  <c r="AI354" i="8" s="1" a="1"/>
  <c r="AI354" i="8" s="1"/>
  <c r="G354" i="8"/>
  <c r="F354" i="8"/>
  <c r="E354" i="8"/>
  <c r="D354" i="8"/>
  <c r="C354" i="8"/>
  <c r="B354" i="8"/>
  <c r="H353" i="8"/>
  <c r="AI353" i="8" s="1" a="1"/>
  <c r="AI353" i="8" s="1"/>
  <c r="G353" i="8"/>
  <c r="F353" i="8"/>
  <c r="E353" i="8"/>
  <c r="D353" i="8"/>
  <c r="C353" i="8"/>
  <c r="B353" i="8"/>
  <c r="H352" i="8"/>
  <c r="AH352" i="8" s="1" a="1"/>
  <c r="AH352" i="8" s="1"/>
  <c r="G352" i="8"/>
  <c r="F352" i="8"/>
  <c r="E352" i="8"/>
  <c r="D352" i="8"/>
  <c r="C352" i="8"/>
  <c r="B352" i="8"/>
  <c r="H351" i="8"/>
  <c r="AI351" i="8" s="1" a="1"/>
  <c r="AI351" i="8" s="1"/>
  <c r="G351" i="8"/>
  <c r="F351" i="8"/>
  <c r="E351" i="8"/>
  <c r="D351" i="8"/>
  <c r="C351" i="8"/>
  <c r="B351" i="8"/>
  <c r="H350" i="8"/>
  <c r="G350" i="8"/>
  <c r="F350" i="8"/>
  <c r="E350" i="8"/>
  <c r="D350" i="8"/>
  <c r="C350" i="8"/>
  <c r="B350" i="8"/>
  <c r="H349" i="8"/>
  <c r="AI349" i="8" s="1" a="1"/>
  <c r="AI349" i="8" s="1"/>
  <c r="G349" i="8"/>
  <c r="F349" i="8"/>
  <c r="E349" i="8"/>
  <c r="D349" i="8"/>
  <c r="C349" i="8"/>
  <c r="B349" i="8"/>
  <c r="H348" i="8"/>
  <c r="G348" i="8"/>
  <c r="F348" i="8"/>
  <c r="E348" i="8"/>
  <c r="D348" i="8"/>
  <c r="C348" i="8"/>
  <c r="H347" i="8"/>
  <c r="G347" i="8"/>
  <c r="F347" i="8"/>
  <c r="E347" i="8"/>
  <c r="D347" i="8"/>
  <c r="C347" i="8"/>
  <c r="H346" i="8"/>
  <c r="G346" i="8"/>
  <c r="F346" i="8"/>
  <c r="E346" i="8"/>
  <c r="D346" i="8"/>
  <c r="C346" i="8"/>
  <c r="H345" i="8"/>
  <c r="G345" i="8"/>
  <c r="F345" i="8"/>
  <c r="E345" i="8"/>
  <c r="D345" i="8"/>
  <c r="C345" i="8"/>
  <c r="H344" i="8"/>
  <c r="AI344" i="8" s="1" a="1"/>
  <c r="AI344" i="8" s="1"/>
  <c r="G344" i="8"/>
  <c r="F344" i="8"/>
  <c r="E344" i="8"/>
  <c r="D344" i="8"/>
  <c r="C344" i="8"/>
  <c r="H343" i="8"/>
  <c r="G343" i="8"/>
  <c r="F343" i="8"/>
  <c r="E343" i="8"/>
  <c r="D343" i="8"/>
  <c r="C343" i="8"/>
  <c r="H342" i="8"/>
  <c r="G342" i="8"/>
  <c r="F342" i="8"/>
  <c r="E342" i="8"/>
  <c r="D342" i="8"/>
  <c r="C342" i="8"/>
  <c r="H341" i="8"/>
  <c r="AI341" i="8" s="1" a="1"/>
  <c r="AI341" i="8" s="1"/>
  <c r="G341" i="8"/>
  <c r="F341" i="8"/>
  <c r="E341" i="8"/>
  <c r="D341" i="8"/>
  <c r="C341" i="8"/>
  <c r="H340" i="8"/>
  <c r="G340" i="8"/>
  <c r="F340" i="8"/>
  <c r="E340" i="8"/>
  <c r="D340" i="8"/>
  <c r="C340" i="8"/>
  <c r="H339" i="8"/>
  <c r="AI339" i="8" s="1" a="1"/>
  <c r="AI339" i="8" s="1"/>
  <c r="G339" i="8"/>
  <c r="F339" i="8"/>
  <c r="E339" i="8"/>
  <c r="D339" i="8"/>
  <c r="C339" i="8"/>
  <c r="H338" i="8"/>
  <c r="AI338" i="8" s="1" a="1"/>
  <c r="AI338" i="8" s="1"/>
  <c r="G338" i="8"/>
  <c r="F338" i="8"/>
  <c r="D338" i="8"/>
  <c r="C338" i="8"/>
  <c r="B338" i="8"/>
  <c r="H337" i="8"/>
  <c r="AI337" i="8" s="1" a="1"/>
  <c r="AI337" i="8" s="1"/>
  <c r="G337" i="8"/>
  <c r="F337" i="8"/>
  <c r="D337" i="8"/>
  <c r="C337" i="8"/>
  <c r="B337" i="8"/>
  <c r="H336" i="8"/>
  <c r="AG336" i="8" s="1" a="1"/>
  <c r="AG336" i="8" s="1"/>
  <c r="G336" i="8"/>
  <c r="F336" i="8"/>
  <c r="D336" i="8"/>
  <c r="C336" i="8"/>
  <c r="B336" i="8"/>
  <c r="H335" i="8"/>
  <c r="AF335" i="8" s="1" a="1"/>
  <c r="G335" i="8"/>
  <c r="F335" i="8"/>
  <c r="E335" i="8"/>
  <c r="D335" i="8"/>
  <c r="C335" i="8"/>
  <c r="H334" i="8"/>
  <c r="G334" i="8"/>
  <c r="F334" i="8"/>
  <c r="E334" i="8"/>
  <c r="D334" i="8"/>
  <c r="C334" i="8"/>
  <c r="H333" i="8"/>
  <c r="AH333" i="8" s="1" a="1"/>
  <c r="AH333" i="8" s="1"/>
  <c r="G333" i="8"/>
  <c r="F333" i="8"/>
  <c r="E333" i="8"/>
  <c r="H332" i="8"/>
  <c r="G332" i="8"/>
  <c r="F332" i="8"/>
  <c r="E332" i="8"/>
  <c r="H331" i="8"/>
  <c r="G331" i="8"/>
  <c r="F331" i="8"/>
  <c r="E331" i="8"/>
  <c r="H330" i="8"/>
  <c r="G330" i="8"/>
  <c r="F330" i="8"/>
  <c r="E330" i="8"/>
  <c r="H329" i="8"/>
  <c r="AI329" i="8" s="1" a="1"/>
  <c r="AI329" i="8" s="1"/>
  <c r="G329" i="8"/>
  <c r="F329" i="8"/>
  <c r="E329" i="8"/>
  <c r="D329" i="8"/>
  <c r="C329" i="8"/>
  <c r="B329" i="8"/>
  <c r="H328" i="8"/>
  <c r="AF328" i="8" s="1" a="1"/>
  <c r="G328" i="8"/>
  <c r="F328" i="8"/>
  <c r="E328" i="8"/>
  <c r="D328" i="8"/>
  <c r="H327" i="8"/>
  <c r="G327" i="8"/>
  <c r="F327" i="8"/>
  <c r="E327" i="8"/>
  <c r="D327" i="8"/>
  <c r="C327" i="8"/>
  <c r="H326" i="8"/>
  <c r="AG326" i="8" s="1" a="1"/>
  <c r="AG326" i="8" s="1"/>
  <c r="G326" i="8"/>
  <c r="F326" i="8"/>
  <c r="E326" i="8"/>
  <c r="D326" i="8"/>
  <c r="C326" i="8"/>
  <c r="H325" i="8"/>
  <c r="AI325" i="8" s="1" a="1"/>
  <c r="AI325" i="8" s="1"/>
  <c r="G325" i="8"/>
  <c r="F325" i="8"/>
  <c r="E325" i="8"/>
  <c r="D325" i="8"/>
  <c r="C325" i="8"/>
  <c r="H324" i="8"/>
  <c r="AH324" i="8" s="1" a="1"/>
  <c r="AH324" i="8" s="1"/>
  <c r="G324" i="8"/>
  <c r="F324" i="8"/>
  <c r="E324" i="8"/>
  <c r="D324" i="8"/>
  <c r="C324" i="8"/>
  <c r="H323" i="8"/>
  <c r="AG323" i="8" s="1" a="1"/>
  <c r="AG323" i="8" s="1"/>
  <c r="G323" i="8"/>
  <c r="F323" i="8"/>
  <c r="E323" i="8"/>
  <c r="D323" i="8"/>
  <c r="C323" i="8"/>
  <c r="H322" i="8"/>
  <c r="G322" i="8"/>
  <c r="F322" i="8"/>
  <c r="E322" i="8"/>
  <c r="D322" i="8"/>
  <c r="C322" i="8"/>
  <c r="H321" i="8"/>
  <c r="G321" i="8"/>
  <c r="F321" i="8"/>
  <c r="E321" i="8"/>
  <c r="D321" i="8"/>
  <c r="C321" i="8"/>
  <c r="H320" i="8"/>
  <c r="G320" i="8"/>
  <c r="F320" i="8"/>
  <c r="E320" i="8"/>
  <c r="D320" i="8"/>
  <c r="C320" i="8"/>
  <c r="H319" i="8"/>
  <c r="AH319" i="8" s="1" a="1"/>
  <c r="AH319" i="8" s="1"/>
  <c r="G319" i="8"/>
  <c r="F319" i="8"/>
  <c r="E319" i="8"/>
  <c r="D319" i="8"/>
  <c r="C319" i="8"/>
  <c r="B319" i="8"/>
  <c r="H318" i="8"/>
  <c r="AH318" i="8" s="1" a="1"/>
  <c r="AH318" i="8" s="1"/>
  <c r="G318" i="8"/>
  <c r="F318" i="8"/>
  <c r="E318" i="8"/>
  <c r="D318" i="8"/>
  <c r="C318" i="8"/>
  <c r="H317" i="8"/>
  <c r="G317" i="8"/>
  <c r="F317" i="8"/>
  <c r="E317" i="8"/>
  <c r="D317" i="8"/>
  <c r="C317" i="8"/>
  <c r="H316" i="8"/>
  <c r="G316" i="8"/>
  <c r="F316" i="8"/>
  <c r="E316" i="8"/>
  <c r="D316" i="8"/>
  <c r="C316" i="8"/>
  <c r="H315" i="8"/>
  <c r="AI315" i="8" s="1" a="1"/>
  <c r="AI315" i="8" s="1"/>
  <c r="G315" i="8"/>
  <c r="F315" i="8"/>
  <c r="E315" i="8"/>
  <c r="D315" i="8"/>
  <c r="C315" i="8"/>
  <c r="H314" i="8"/>
  <c r="G314" i="8"/>
  <c r="F314" i="8"/>
  <c r="E314" i="8"/>
  <c r="D314" i="8"/>
  <c r="C314" i="8"/>
  <c r="H313" i="8"/>
  <c r="AH313" i="8" s="1" a="1"/>
  <c r="AH313" i="8" s="1"/>
  <c r="G313" i="8"/>
  <c r="F313" i="8"/>
  <c r="E313" i="8"/>
  <c r="D313" i="8"/>
  <c r="C313" i="8"/>
  <c r="H312" i="8"/>
  <c r="AI312" i="8" s="1" a="1"/>
  <c r="AI312" i="8" s="1"/>
  <c r="G312" i="8"/>
  <c r="F312" i="8"/>
  <c r="E312" i="8"/>
  <c r="D312" i="8"/>
  <c r="C312" i="8"/>
  <c r="H311" i="8"/>
  <c r="AH311" i="8" s="1" a="1"/>
  <c r="AH311" i="8" s="1"/>
  <c r="G311" i="8"/>
  <c r="F311" i="8"/>
  <c r="E311" i="8"/>
  <c r="D311" i="8"/>
  <c r="C311" i="8"/>
  <c r="H310" i="8"/>
  <c r="AI310" i="8" s="1" a="1"/>
  <c r="AI310" i="8" s="1"/>
  <c r="G310" i="8"/>
  <c r="F310" i="8"/>
  <c r="E310" i="8"/>
  <c r="D310" i="8"/>
  <c r="C310" i="8"/>
  <c r="H309" i="8"/>
  <c r="AF309" i="8" s="1" a="1"/>
  <c r="G309" i="8"/>
  <c r="F309" i="8"/>
  <c r="E309" i="8"/>
  <c r="D309" i="8"/>
  <c r="C309" i="8"/>
  <c r="H308" i="8"/>
  <c r="AI308" i="8" s="1" a="1"/>
  <c r="AI308" i="8" s="1"/>
  <c r="G308" i="8"/>
  <c r="F308" i="8"/>
  <c r="E308" i="8"/>
  <c r="D308" i="8"/>
  <c r="C308" i="8"/>
  <c r="H307" i="8"/>
  <c r="G307" i="8"/>
  <c r="F307" i="8"/>
  <c r="E307" i="8"/>
  <c r="D307" i="8"/>
  <c r="C307" i="8"/>
  <c r="H306" i="8"/>
  <c r="G306" i="8"/>
  <c r="F306" i="8"/>
  <c r="E306" i="8"/>
  <c r="H305" i="8"/>
  <c r="AG305" i="8" s="1" a="1"/>
  <c r="AG305" i="8" s="1"/>
  <c r="G305" i="8"/>
  <c r="F305" i="8"/>
  <c r="E305" i="8"/>
  <c r="H304" i="8"/>
  <c r="AI304" i="8" s="1" a="1"/>
  <c r="AI304" i="8" s="1"/>
  <c r="G304" i="8"/>
  <c r="F304" i="8"/>
  <c r="E304" i="8"/>
  <c r="H303" i="8"/>
  <c r="AI303" i="8" s="1" a="1"/>
  <c r="AI303" i="8" s="1"/>
  <c r="G303" i="8"/>
  <c r="F303" i="8"/>
  <c r="E303" i="8"/>
  <c r="H302" i="8"/>
  <c r="G302" i="8"/>
  <c r="F302" i="8"/>
  <c r="E302" i="8"/>
  <c r="D302" i="8"/>
  <c r="C302" i="8"/>
  <c r="B302" i="8"/>
  <c r="H301" i="8"/>
  <c r="AH301" i="8" s="1" a="1"/>
  <c r="AH301" i="8" s="1"/>
  <c r="G301" i="8"/>
  <c r="F301" i="8"/>
  <c r="E301" i="8"/>
  <c r="D301" i="8"/>
  <c r="H300" i="8"/>
  <c r="AG300" i="8" s="1" a="1"/>
  <c r="AG300" i="8" s="1"/>
  <c r="G300" i="8"/>
  <c r="F300" i="8"/>
  <c r="E300" i="8"/>
  <c r="D300" i="8"/>
  <c r="C300" i="8"/>
  <c r="H299" i="8"/>
  <c r="G299" i="8"/>
  <c r="F299" i="8"/>
  <c r="E299" i="8"/>
  <c r="D299" i="8"/>
  <c r="C299" i="8"/>
  <c r="B299" i="8"/>
  <c r="H298" i="8"/>
  <c r="AI298" i="8" s="1" a="1"/>
  <c r="AI298" i="8" s="1"/>
  <c r="G298" i="8"/>
  <c r="F298" i="8"/>
  <c r="E298" i="8"/>
  <c r="D298" i="8"/>
  <c r="C298" i="8"/>
  <c r="B298" i="8"/>
  <c r="H297" i="8"/>
  <c r="AI297" i="8" s="1" a="1"/>
  <c r="AI297" i="8" s="1"/>
  <c r="G297" i="8"/>
  <c r="F297" i="8"/>
  <c r="E297" i="8"/>
  <c r="D297" i="8"/>
  <c r="C297" i="8"/>
  <c r="H296" i="8"/>
  <c r="AF296" i="8" s="1" a="1"/>
  <c r="G296" i="8"/>
  <c r="F296" i="8"/>
  <c r="E296" i="8"/>
  <c r="D296" i="8"/>
  <c r="C296" i="8"/>
  <c r="H295" i="8"/>
  <c r="AH295" i="8" s="1" a="1"/>
  <c r="AH295" i="8" s="1"/>
  <c r="G295" i="8"/>
  <c r="F295" i="8"/>
  <c r="E295" i="8"/>
  <c r="D295" i="8"/>
  <c r="C295" i="8"/>
  <c r="H294" i="8"/>
  <c r="AG294" i="8" s="1" a="1"/>
  <c r="AG294" i="8" s="1"/>
  <c r="G294" i="8"/>
  <c r="F294" i="8"/>
  <c r="E294" i="8"/>
  <c r="D294" i="8"/>
  <c r="C294" i="8"/>
  <c r="H293" i="8"/>
  <c r="G293" i="8"/>
  <c r="F293" i="8"/>
  <c r="E293" i="8"/>
  <c r="D293" i="8"/>
  <c r="C293" i="8"/>
  <c r="H292" i="8"/>
  <c r="AI292" i="8" s="1" a="1"/>
  <c r="AI292" i="8" s="1"/>
  <c r="G292" i="8"/>
  <c r="F292" i="8"/>
  <c r="E292" i="8"/>
  <c r="D292" i="8"/>
  <c r="C292" i="8"/>
  <c r="H291" i="8"/>
  <c r="G291" i="8"/>
  <c r="F291" i="8"/>
  <c r="E291" i="8"/>
  <c r="D291" i="8"/>
  <c r="C291" i="8"/>
  <c r="H290" i="8"/>
  <c r="G290" i="8"/>
  <c r="F290" i="8"/>
  <c r="E290" i="8"/>
  <c r="D290" i="8"/>
  <c r="C290" i="8"/>
  <c r="H289" i="8"/>
  <c r="AI289" i="8" s="1" a="1"/>
  <c r="AI289" i="8" s="1"/>
  <c r="G289" i="8"/>
  <c r="F289" i="8"/>
  <c r="E289" i="8"/>
  <c r="D289" i="8"/>
  <c r="C289" i="8"/>
  <c r="H288" i="8"/>
  <c r="AI288" i="8" s="1" a="1"/>
  <c r="AI288" i="8" s="1"/>
  <c r="G288" i="8"/>
  <c r="F288" i="8"/>
  <c r="E288" i="8"/>
  <c r="D288" i="8"/>
  <c r="C288" i="8"/>
  <c r="H287" i="8"/>
  <c r="AH287" i="8" s="1" a="1"/>
  <c r="AH287" i="8" s="1"/>
  <c r="G287" i="8"/>
  <c r="F287" i="8"/>
  <c r="E287" i="8"/>
  <c r="D287" i="8"/>
  <c r="C287" i="8"/>
  <c r="H286" i="8"/>
  <c r="AH286" i="8" s="1" a="1"/>
  <c r="AH286" i="8" s="1"/>
  <c r="G286" i="8"/>
  <c r="F286" i="8"/>
  <c r="E286" i="8"/>
  <c r="D286" i="8"/>
  <c r="C286" i="8"/>
  <c r="H285" i="8"/>
  <c r="AH285" i="8" s="1" a="1"/>
  <c r="AH285" i="8" s="1"/>
  <c r="G285" i="8"/>
  <c r="F285" i="8"/>
  <c r="E285" i="8"/>
  <c r="D285" i="8"/>
  <c r="C285" i="8"/>
  <c r="H284" i="8"/>
  <c r="G284" i="8"/>
  <c r="F284" i="8"/>
  <c r="E284" i="8"/>
  <c r="D284" i="8"/>
  <c r="C284" i="8"/>
  <c r="H283" i="8"/>
  <c r="AH283" i="8" s="1" a="1"/>
  <c r="AH283" i="8" s="1"/>
  <c r="G283" i="8"/>
  <c r="F283" i="8"/>
  <c r="E283" i="8"/>
  <c r="D283" i="8"/>
  <c r="C283" i="8"/>
  <c r="B283" i="8"/>
  <c r="H282" i="8"/>
  <c r="AI282" i="8" s="1" a="1"/>
  <c r="AI282" i="8" s="1"/>
  <c r="G282" i="8"/>
  <c r="F282" i="8"/>
  <c r="E282" i="8"/>
  <c r="D282" i="8"/>
  <c r="C282" i="8"/>
  <c r="H281" i="8"/>
  <c r="AI281" i="8" s="1" a="1"/>
  <c r="AI281" i="8" s="1"/>
  <c r="G281" i="8"/>
  <c r="F281" i="8"/>
  <c r="E281" i="8"/>
  <c r="D281" i="8"/>
  <c r="C281" i="8"/>
  <c r="H280" i="8"/>
  <c r="G280" i="8"/>
  <c r="F280" i="8"/>
  <c r="E280" i="8"/>
  <c r="D280" i="8"/>
  <c r="C280" i="8"/>
  <c r="H279" i="8"/>
  <c r="G279" i="8"/>
  <c r="F279" i="8"/>
  <c r="E279" i="8"/>
  <c r="D279" i="8"/>
  <c r="C279" i="8"/>
  <c r="H278" i="8"/>
  <c r="G278" i="8"/>
  <c r="F278" i="8"/>
  <c r="E278" i="8"/>
  <c r="D278" i="8"/>
  <c r="C278" i="8"/>
  <c r="H277" i="8"/>
  <c r="G277" i="8"/>
  <c r="F277" i="8"/>
  <c r="E277" i="8"/>
  <c r="D277" i="8"/>
  <c r="C277" i="8"/>
  <c r="H276" i="8"/>
  <c r="AH276" i="8" s="1" a="1"/>
  <c r="AH276" i="8" s="1"/>
  <c r="G276" i="8"/>
  <c r="F276" i="8"/>
  <c r="E276" i="8"/>
  <c r="D276" i="8"/>
  <c r="C276" i="8"/>
  <c r="H275" i="8"/>
  <c r="G275" i="8"/>
  <c r="F275" i="8"/>
  <c r="E275" i="8"/>
  <c r="D275" i="8"/>
  <c r="C275" i="8"/>
  <c r="H274" i="8"/>
  <c r="G274" i="8"/>
  <c r="F274" i="8"/>
  <c r="E274" i="8"/>
  <c r="D274" i="8"/>
  <c r="C274" i="8"/>
  <c r="H273" i="8"/>
  <c r="G273" i="8"/>
  <c r="F273" i="8"/>
  <c r="E273" i="8"/>
  <c r="D273" i="8"/>
  <c r="C273" i="8"/>
  <c r="H272" i="8"/>
  <c r="AH272" i="8" s="1" a="1"/>
  <c r="AH272" i="8" s="1"/>
  <c r="G272" i="8"/>
  <c r="F272" i="8"/>
  <c r="E272" i="8"/>
  <c r="D272" i="8"/>
  <c r="C272" i="8"/>
  <c r="H271" i="8"/>
  <c r="AH271" i="8" s="1" a="1"/>
  <c r="AH271" i="8" s="1"/>
  <c r="G271" i="8"/>
  <c r="F271" i="8"/>
  <c r="E271" i="8"/>
  <c r="D271" i="8"/>
  <c r="C271" i="8"/>
  <c r="H270" i="8"/>
  <c r="AF270" i="8" s="1" a="1"/>
  <c r="AF270" i="8" s="1"/>
  <c r="G270" i="8"/>
  <c r="F270" i="8"/>
  <c r="E270" i="8"/>
  <c r="D270" i="8"/>
  <c r="C270" i="8"/>
  <c r="H269" i="8"/>
  <c r="AH269" i="8" s="1" a="1"/>
  <c r="AH269" i="8" s="1"/>
  <c r="G269" i="8"/>
  <c r="F269" i="8"/>
  <c r="E269" i="8"/>
  <c r="D269" i="8"/>
  <c r="C269" i="8"/>
  <c r="H268" i="8"/>
  <c r="AI268" i="8" s="1" a="1"/>
  <c r="AI268" i="8" s="1"/>
  <c r="G268" i="8"/>
  <c r="F268" i="8"/>
  <c r="E268" i="8"/>
  <c r="D268" i="8"/>
  <c r="C268" i="8"/>
  <c r="H267" i="8"/>
  <c r="AG267" i="8" s="1" a="1"/>
  <c r="AG267" i="8" s="1"/>
  <c r="G267" i="8"/>
  <c r="F267" i="8"/>
  <c r="E267" i="8"/>
  <c r="D267" i="8"/>
  <c r="C267" i="8"/>
  <c r="H266" i="8"/>
  <c r="G266" i="8"/>
  <c r="F266" i="8"/>
  <c r="E266" i="8"/>
  <c r="D266" i="8"/>
  <c r="C266" i="8"/>
  <c r="H265" i="8"/>
  <c r="G265" i="8"/>
  <c r="F265" i="8"/>
  <c r="E265" i="8"/>
  <c r="D265" i="8"/>
  <c r="C265" i="8"/>
  <c r="H264" i="8"/>
  <c r="G264" i="8"/>
  <c r="F264" i="8"/>
  <c r="E264" i="8"/>
  <c r="D264" i="8"/>
  <c r="C264" i="8"/>
  <c r="H263" i="8"/>
  <c r="AG263" i="8" s="1" a="1"/>
  <c r="AG263" i="8" s="1"/>
  <c r="G263" i="8"/>
  <c r="F263" i="8"/>
  <c r="D263" i="8"/>
  <c r="C263" i="8"/>
  <c r="B263" i="8"/>
  <c r="H262" i="8"/>
  <c r="G262" i="8"/>
  <c r="F262" i="8"/>
  <c r="D262" i="8"/>
  <c r="C262" i="8"/>
  <c r="B262" i="8"/>
  <c r="H261" i="8"/>
  <c r="G261" i="8"/>
  <c r="F261" i="8"/>
  <c r="D261" i="8"/>
  <c r="C261" i="8"/>
  <c r="B261" i="8"/>
  <c r="H260" i="8"/>
  <c r="G260" i="8"/>
  <c r="F260" i="8"/>
  <c r="D260" i="8"/>
  <c r="C260" i="8"/>
  <c r="B260" i="8"/>
  <c r="H259" i="8"/>
  <c r="AI259" i="8" s="1" a="1"/>
  <c r="AI259" i="8" s="1"/>
  <c r="G259" i="8"/>
  <c r="F259" i="8"/>
  <c r="D259" i="8"/>
  <c r="C259" i="8"/>
  <c r="B259" i="8"/>
  <c r="H258" i="8"/>
  <c r="G258" i="8"/>
  <c r="F258" i="8"/>
  <c r="D258" i="8"/>
  <c r="C258" i="8"/>
  <c r="B258" i="8"/>
  <c r="H257" i="8"/>
  <c r="G257" i="8"/>
  <c r="F257" i="8"/>
  <c r="D257" i="8"/>
  <c r="C257" i="8"/>
  <c r="B257" i="8"/>
  <c r="H256" i="8"/>
  <c r="AI256" i="8" s="1" a="1"/>
  <c r="AI256" i="8" s="1"/>
  <c r="G256" i="8"/>
  <c r="F256" i="8"/>
  <c r="D256" i="8"/>
  <c r="C256" i="8"/>
  <c r="B256" i="8"/>
  <c r="H255" i="8"/>
  <c r="AG255" i="8" s="1" a="1"/>
  <c r="AG255" i="8" s="1"/>
  <c r="G255" i="8"/>
  <c r="F255" i="8"/>
  <c r="D255" i="8"/>
  <c r="C255" i="8"/>
  <c r="B255" i="8"/>
  <c r="H254" i="8"/>
  <c r="AF254" i="8" s="1" a="1"/>
  <c r="AF254" i="8" s="1"/>
  <c r="G254" i="8"/>
  <c r="F254" i="8"/>
  <c r="D254" i="8"/>
  <c r="C254" i="8"/>
  <c r="B254" i="8"/>
  <c r="H253" i="8"/>
  <c r="AI253" i="8" s="1" a="1"/>
  <c r="AI253" i="8" s="1"/>
  <c r="G253" i="8"/>
  <c r="F253" i="8"/>
  <c r="D253" i="8"/>
  <c r="C253" i="8"/>
  <c r="B253" i="8"/>
  <c r="H252" i="8"/>
  <c r="AF252" i="8" s="1" a="1"/>
  <c r="G252" i="8"/>
  <c r="F252" i="8"/>
  <c r="D252" i="8"/>
  <c r="C252" i="8"/>
  <c r="B252" i="8"/>
  <c r="H251" i="8"/>
  <c r="AF251" i="8" s="1" a="1"/>
  <c r="G251" i="8"/>
  <c r="F251" i="8"/>
  <c r="D251" i="8"/>
  <c r="C251" i="8"/>
  <c r="B251" i="8"/>
  <c r="H250" i="8"/>
  <c r="AF250" i="8" s="1" a="1"/>
  <c r="G250" i="8"/>
  <c r="F250" i="8"/>
  <c r="D250" i="8"/>
  <c r="C250" i="8"/>
  <c r="B250" i="8"/>
  <c r="H249" i="8"/>
  <c r="AF249" i="8" s="1" a="1"/>
  <c r="G249" i="8"/>
  <c r="F249" i="8"/>
  <c r="D249" i="8"/>
  <c r="C249" i="8"/>
  <c r="B249" i="8"/>
  <c r="H248" i="8"/>
  <c r="AF248" i="8" s="1" a="1"/>
  <c r="G248" i="8"/>
  <c r="F248" i="8"/>
  <c r="D248" i="8"/>
  <c r="C248" i="8"/>
  <c r="B248" i="8"/>
  <c r="H247" i="8"/>
  <c r="AF247" i="8" s="1" a="1"/>
  <c r="G247" i="8"/>
  <c r="F247" i="8"/>
  <c r="D247" i="8"/>
  <c r="C247" i="8"/>
  <c r="B247" i="8"/>
  <c r="H246" i="8"/>
  <c r="G246" i="8"/>
  <c r="F246" i="8"/>
  <c r="E246" i="8"/>
  <c r="D246" i="8"/>
  <c r="C246" i="8"/>
  <c r="B246" i="8"/>
  <c r="H245" i="8"/>
  <c r="AI245" i="8" s="1" a="1"/>
  <c r="AI245" i="8" s="1"/>
  <c r="G245" i="8"/>
  <c r="F245" i="8"/>
  <c r="E245" i="8"/>
  <c r="D245" i="8"/>
  <c r="C245" i="8"/>
  <c r="B245" i="8"/>
  <c r="H244" i="8"/>
  <c r="AG244" i="8" s="1" a="1"/>
  <c r="AG244" i="8" s="1"/>
  <c r="G244" i="8"/>
  <c r="F244" i="8"/>
  <c r="E244" i="8"/>
  <c r="D244" i="8"/>
  <c r="C244" i="8"/>
  <c r="B244" i="8"/>
  <c r="H243" i="8"/>
  <c r="AI243" i="8" s="1" a="1"/>
  <c r="AI243" i="8" s="1"/>
  <c r="G243" i="8"/>
  <c r="F243" i="8"/>
  <c r="E243" i="8"/>
  <c r="D243" i="8"/>
  <c r="C243" i="8"/>
  <c r="B243" i="8"/>
  <c r="H242" i="8"/>
  <c r="AH242" i="8" s="1" a="1"/>
  <c r="AH242" i="8" s="1"/>
  <c r="G242" i="8"/>
  <c r="F242" i="8"/>
  <c r="E242" i="8"/>
  <c r="D242" i="8"/>
  <c r="C242" i="8"/>
  <c r="B242" i="8"/>
  <c r="H241" i="8"/>
  <c r="AI241" i="8" s="1" a="1"/>
  <c r="AI241" i="8" s="1"/>
  <c r="G241" i="8"/>
  <c r="F241" i="8"/>
  <c r="E241" i="8"/>
  <c r="D241" i="8"/>
  <c r="C241" i="8"/>
  <c r="B241" i="8"/>
  <c r="H240" i="8"/>
  <c r="AH240" i="8" s="1" a="1"/>
  <c r="AH240" i="8" s="1"/>
  <c r="G240" i="8"/>
  <c r="F240" i="8"/>
  <c r="D240" i="8"/>
  <c r="C240" i="8"/>
  <c r="B240" i="8"/>
  <c r="H239" i="8"/>
  <c r="AH239" i="8" s="1" a="1"/>
  <c r="AH239" i="8" s="1"/>
  <c r="G239" i="8"/>
  <c r="F239" i="8"/>
  <c r="D239" i="8"/>
  <c r="C239" i="8"/>
  <c r="B239" i="8"/>
  <c r="H238" i="8"/>
  <c r="G238" i="8"/>
  <c r="F238" i="8"/>
  <c r="D238" i="8"/>
  <c r="C238" i="8"/>
  <c r="B238" i="8"/>
  <c r="H237" i="8"/>
  <c r="G237" i="8"/>
  <c r="F237" i="8"/>
  <c r="D237" i="8"/>
  <c r="C237" i="8"/>
  <c r="B237" i="8"/>
  <c r="H236" i="8"/>
  <c r="G236" i="8"/>
  <c r="F236" i="8"/>
  <c r="D236" i="8"/>
  <c r="C236" i="8"/>
  <c r="B236" i="8"/>
  <c r="H235" i="8"/>
  <c r="G235" i="8"/>
  <c r="F235" i="8"/>
  <c r="D235" i="8"/>
  <c r="C235" i="8"/>
  <c r="B235" i="8"/>
  <c r="H234" i="8"/>
  <c r="AH234" i="8" s="1" a="1"/>
  <c r="AH234" i="8" s="1"/>
  <c r="G234" i="8"/>
  <c r="F234" i="8"/>
  <c r="D234" i="8"/>
  <c r="C234" i="8"/>
  <c r="B234" i="8"/>
  <c r="H233" i="8"/>
  <c r="AF233" i="8" s="1" a="1"/>
  <c r="G233" i="8"/>
  <c r="F233" i="8"/>
  <c r="D233" i="8"/>
  <c r="C233" i="8"/>
  <c r="B233" i="8"/>
  <c r="H232" i="8"/>
  <c r="G232" i="8"/>
  <c r="F232" i="8"/>
  <c r="D232" i="8"/>
  <c r="C232" i="8"/>
  <c r="B232" i="8"/>
  <c r="H231" i="8"/>
  <c r="AF231" i="8" s="1" a="1"/>
  <c r="G231" i="8"/>
  <c r="F231" i="8"/>
  <c r="D231" i="8"/>
  <c r="C231" i="8"/>
  <c r="B231" i="8"/>
  <c r="H230" i="8"/>
  <c r="AF230" i="8" s="1" a="1"/>
  <c r="G230" i="8"/>
  <c r="F230" i="8"/>
  <c r="D230" i="8"/>
  <c r="C230" i="8"/>
  <c r="B230" i="8"/>
  <c r="H229" i="8"/>
  <c r="AF229" i="8" s="1" a="1"/>
  <c r="G229" i="8"/>
  <c r="F229" i="8"/>
  <c r="D229" i="8"/>
  <c r="C229" i="8"/>
  <c r="B229" i="8"/>
  <c r="H228" i="8"/>
  <c r="AI228" i="8" s="1" a="1"/>
  <c r="AI228" i="8" s="1"/>
  <c r="G228" i="8"/>
  <c r="F228" i="8"/>
  <c r="D228" i="8"/>
  <c r="C228" i="8"/>
  <c r="B228" i="8"/>
  <c r="H227" i="8"/>
  <c r="AI227" i="8" s="1" a="1"/>
  <c r="AI227" i="8" s="1"/>
  <c r="G227" i="8"/>
  <c r="F227" i="8"/>
  <c r="D227" i="8"/>
  <c r="C227" i="8"/>
  <c r="B227" i="8"/>
  <c r="H226" i="8"/>
  <c r="AI226" i="8" s="1" a="1"/>
  <c r="AI226" i="8" s="1"/>
  <c r="G226" i="8"/>
  <c r="F226" i="8"/>
  <c r="D226" i="8"/>
  <c r="C226" i="8"/>
  <c r="B226" i="8"/>
  <c r="H225" i="8"/>
  <c r="AG225" i="8" s="1" a="1"/>
  <c r="AG225" i="8" s="1"/>
  <c r="G225" i="8"/>
  <c r="F225" i="8"/>
  <c r="D225" i="8"/>
  <c r="C225" i="8"/>
  <c r="B225" i="8"/>
  <c r="H224" i="8"/>
  <c r="G224" i="8"/>
  <c r="F224" i="8"/>
  <c r="D224" i="8"/>
  <c r="C224" i="8"/>
  <c r="B224" i="8"/>
  <c r="H223" i="8"/>
  <c r="AI223" i="8" s="1" a="1"/>
  <c r="AI223" i="8" s="1"/>
  <c r="G223" i="8"/>
  <c r="F223" i="8"/>
  <c r="D223" i="8"/>
  <c r="C223" i="8"/>
  <c r="B223" i="8"/>
  <c r="H222" i="8"/>
  <c r="AI222" i="8" s="1" a="1"/>
  <c r="AI222" i="8" s="1"/>
  <c r="G222" i="8"/>
  <c r="F222" i="8"/>
  <c r="D222" i="8"/>
  <c r="C222" i="8"/>
  <c r="B222" i="8"/>
  <c r="H221" i="8"/>
  <c r="G221" i="8"/>
  <c r="F221" i="8"/>
  <c r="D221" i="8"/>
  <c r="C221" i="8"/>
  <c r="B221" i="8"/>
  <c r="H220" i="8"/>
  <c r="AF220" i="8" s="1" a="1"/>
  <c r="G220" i="8"/>
  <c r="F220" i="8"/>
  <c r="D220" i="8"/>
  <c r="C220" i="8"/>
  <c r="B220" i="8"/>
  <c r="H219" i="8"/>
  <c r="G219" i="8"/>
  <c r="F219" i="8"/>
  <c r="D219" i="8"/>
  <c r="C219" i="8"/>
  <c r="B219" i="8"/>
  <c r="H218" i="8"/>
  <c r="AG218" i="8" s="1" a="1"/>
  <c r="AG218" i="8" s="1"/>
  <c r="G218" i="8"/>
  <c r="F218" i="8"/>
  <c r="D218" i="8"/>
  <c r="C218" i="8"/>
  <c r="B218" i="8"/>
  <c r="H217" i="8"/>
  <c r="AG217" i="8" s="1" a="1"/>
  <c r="AG217" i="8" s="1"/>
  <c r="G217" i="8"/>
  <c r="F217" i="8"/>
  <c r="D217" i="8"/>
  <c r="C217" i="8"/>
  <c r="B217" i="8"/>
  <c r="H216" i="8"/>
  <c r="AH216" i="8" s="1" a="1"/>
  <c r="AH216" i="8" s="1"/>
  <c r="G216" i="8"/>
  <c r="F216" i="8"/>
  <c r="D216" i="8"/>
  <c r="C216" i="8"/>
  <c r="B216" i="8"/>
  <c r="H215" i="8"/>
  <c r="AI215" i="8" s="1" a="1"/>
  <c r="AI215" i="8" s="1"/>
  <c r="G215" i="8"/>
  <c r="F215" i="8"/>
  <c r="D215" i="8"/>
  <c r="C215" i="8"/>
  <c r="B215" i="8"/>
  <c r="H214" i="8"/>
  <c r="AI214" i="8" s="1" a="1"/>
  <c r="AI214" i="8" s="1"/>
  <c r="G214" i="8"/>
  <c r="F214" i="8"/>
  <c r="D214" i="8"/>
  <c r="C214" i="8"/>
  <c r="B214" i="8"/>
  <c r="H213" i="8"/>
  <c r="AH213" i="8" s="1" a="1"/>
  <c r="AH213" i="8" s="1"/>
  <c r="G213" i="8"/>
  <c r="F213" i="8"/>
  <c r="D213" i="8"/>
  <c r="C213" i="8"/>
  <c r="B213" i="8"/>
  <c r="H212" i="8"/>
  <c r="AH212" i="8" s="1" a="1"/>
  <c r="AH212" i="8" s="1"/>
  <c r="G212" i="8"/>
  <c r="F212" i="8"/>
  <c r="D212" i="8"/>
  <c r="C212" i="8"/>
  <c r="B212" i="8"/>
  <c r="H211" i="8"/>
  <c r="AG211" i="8" s="1" a="1"/>
  <c r="AG211" i="8" s="1"/>
  <c r="G211" i="8"/>
  <c r="F211" i="8"/>
  <c r="D211" i="8"/>
  <c r="C211" i="8"/>
  <c r="B211" i="8"/>
  <c r="H210" i="8"/>
  <c r="AF210" i="8" s="1" a="1"/>
  <c r="G210" i="8"/>
  <c r="F210" i="8"/>
  <c r="D210" i="8"/>
  <c r="C210" i="8"/>
  <c r="B210" i="8"/>
  <c r="H209" i="8"/>
  <c r="AF209" i="8" s="1" a="1"/>
  <c r="G209" i="8"/>
  <c r="F209" i="8"/>
  <c r="D209" i="8"/>
  <c r="C209" i="8"/>
  <c r="B209" i="8"/>
  <c r="H208" i="8"/>
  <c r="AF208" i="8" s="1" a="1"/>
  <c r="G208" i="8"/>
  <c r="F208" i="8"/>
  <c r="D208" i="8"/>
  <c r="C208" i="8"/>
  <c r="B208" i="8"/>
  <c r="H207" i="8"/>
  <c r="AF207" i="8" s="1" a="1"/>
  <c r="G207" i="8"/>
  <c r="F207" i="8"/>
  <c r="D207" i="8"/>
  <c r="C207" i="8"/>
  <c r="B207" i="8"/>
  <c r="H206" i="8"/>
  <c r="G206" i="8"/>
  <c r="F206" i="8"/>
  <c r="E206" i="8"/>
  <c r="D206" i="8"/>
  <c r="C206" i="8"/>
  <c r="B206" i="8"/>
  <c r="H205" i="8"/>
  <c r="G205" i="8"/>
  <c r="F205" i="8"/>
  <c r="E205" i="8"/>
  <c r="D205" i="8"/>
  <c r="C205" i="8"/>
  <c r="B205" i="8"/>
  <c r="H204" i="8"/>
  <c r="AG204" i="8" s="1" a="1"/>
  <c r="AG204" i="8" s="1"/>
  <c r="G204" i="8"/>
  <c r="F204" i="8"/>
  <c r="E204" i="8"/>
  <c r="D204" i="8"/>
  <c r="C204" i="8"/>
  <c r="B204" i="8"/>
  <c r="H203" i="8"/>
  <c r="G203" i="8"/>
  <c r="F203" i="8"/>
  <c r="E203" i="8"/>
  <c r="D203" i="8"/>
  <c r="C203" i="8"/>
  <c r="B203" i="8"/>
  <c r="H202" i="8"/>
  <c r="G202" i="8"/>
  <c r="F202" i="8"/>
  <c r="E202" i="8"/>
  <c r="D202" i="8"/>
  <c r="C202" i="8"/>
  <c r="B202" i="8"/>
  <c r="H201" i="8"/>
  <c r="AG201" i="8" s="1" a="1"/>
  <c r="AG201" i="8" s="1"/>
  <c r="G201" i="8"/>
  <c r="F201" i="8"/>
  <c r="E201" i="8"/>
  <c r="D201" i="8"/>
  <c r="C201" i="8"/>
  <c r="B201" i="8"/>
  <c r="H200" i="8"/>
  <c r="AH200" i="8" s="1" a="1"/>
  <c r="AH200" i="8" s="1"/>
  <c r="G200" i="8"/>
  <c r="F200" i="8"/>
  <c r="E200" i="8"/>
  <c r="D200" i="8"/>
  <c r="C200" i="8"/>
  <c r="B200" i="8"/>
  <c r="H199" i="8"/>
  <c r="AH199" i="8" s="1" a="1"/>
  <c r="AH199" i="8" s="1"/>
  <c r="G199" i="8"/>
  <c r="F199" i="8"/>
  <c r="E199" i="8"/>
  <c r="D199" i="8"/>
  <c r="C199" i="8"/>
  <c r="B199" i="8"/>
  <c r="H198" i="8"/>
  <c r="AH198" i="8" s="1" a="1"/>
  <c r="AH198" i="8" s="1"/>
  <c r="G198" i="8"/>
  <c r="F198" i="8"/>
  <c r="E198" i="8"/>
  <c r="D198" i="8"/>
  <c r="C198" i="8"/>
  <c r="B198" i="8"/>
  <c r="H197" i="8"/>
  <c r="AI197" i="8" s="1" a="1"/>
  <c r="AI197" i="8" s="1"/>
  <c r="G197" i="8"/>
  <c r="F197" i="8"/>
  <c r="D197" i="8"/>
  <c r="C197" i="8"/>
  <c r="B197" i="8"/>
  <c r="H196" i="8"/>
  <c r="G196" i="8"/>
  <c r="F196" i="8"/>
  <c r="D196" i="8"/>
  <c r="C196" i="8"/>
  <c r="B196" i="8"/>
  <c r="H195" i="8"/>
  <c r="G195" i="8"/>
  <c r="F195" i="8"/>
  <c r="D195" i="8"/>
  <c r="C195" i="8"/>
  <c r="B195" i="8"/>
  <c r="H194" i="8"/>
  <c r="G194" i="8"/>
  <c r="F194" i="8"/>
  <c r="D194" i="8"/>
  <c r="C194" i="8"/>
  <c r="B194" i="8"/>
  <c r="H193" i="8"/>
  <c r="G193" i="8"/>
  <c r="F193" i="8"/>
  <c r="D193" i="8"/>
  <c r="C193" i="8"/>
  <c r="B193" i="8"/>
  <c r="H192" i="8"/>
  <c r="G192" i="8"/>
  <c r="F192" i="8"/>
  <c r="D192" i="8"/>
  <c r="C192" i="8"/>
  <c r="B192" i="8"/>
  <c r="H191" i="8"/>
  <c r="G191" i="8"/>
  <c r="F191" i="8"/>
  <c r="D191" i="8"/>
  <c r="C191" i="8"/>
  <c r="B191" i="8"/>
  <c r="H190" i="8"/>
  <c r="AF190" i="8" s="1" a="1"/>
  <c r="G190" i="8"/>
  <c r="F190" i="8"/>
  <c r="D190" i="8"/>
  <c r="C190" i="8"/>
  <c r="B190" i="8"/>
  <c r="H189" i="8"/>
  <c r="AF189" i="8" s="1" a="1"/>
  <c r="G189" i="8"/>
  <c r="F189" i="8"/>
  <c r="D189" i="8"/>
  <c r="C189" i="8"/>
  <c r="B189" i="8"/>
  <c r="H188" i="8"/>
  <c r="AG188" i="8" s="1" a="1"/>
  <c r="AG188" i="8" s="1"/>
  <c r="G188" i="8"/>
  <c r="F188" i="8"/>
  <c r="D188" i="8"/>
  <c r="C188" i="8"/>
  <c r="B188" i="8"/>
  <c r="H187" i="8"/>
  <c r="AH187" i="8" s="1" a="1"/>
  <c r="AH187" i="8" s="1"/>
  <c r="G187" i="8"/>
  <c r="F187" i="8"/>
  <c r="D187" i="8"/>
  <c r="C187" i="8"/>
  <c r="B187" i="8"/>
  <c r="H186" i="8"/>
  <c r="AI186" i="8" s="1" a="1"/>
  <c r="AI186" i="8" s="1"/>
  <c r="G186" i="8"/>
  <c r="F186" i="8"/>
  <c r="D186" i="8"/>
  <c r="C186" i="8"/>
  <c r="B186" i="8"/>
  <c r="H185" i="8"/>
  <c r="AG185" i="8" s="1" a="1"/>
  <c r="AG185" i="8" s="1"/>
  <c r="G185" i="8"/>
  <c r="F185" i="8"/>
  <c r="D185" i="8"/>
  <c r="C185" i="8"/>
  <c r="B185" i="8"/>
  <c r="H184" i="8"/>
  <c r="AH184" i="8" s="1" a="1"/>
  <c r="AH184" i="8" s="1"/>
  <c r="G184" i="8"/>
  <c r="F184" i="8"/>
  <c r="D184" i="8"/>
  <c r="C184" i="8"/>
  <c r="B184" i="8"/>
  <c r="H183" i="8"/>
  <c r="AI183" i="8" s="1" a="1"/>
  <c r="AI183" i="8" s="1"/>
  <c r="G183" i="8"/>
  <c r="F183" i="8"/>
  <c r="D183" i="8"/>
  <c r="C183" i="8"/>
  <c r="B183" i="8"/>
  <c r="H182" i="8"/>
  <c r="G182" i="8"/>
  <c r="F182" i="8"/>
  <c r="D182" i="8"/>
  <c r="C182" i="8"/>
  <c r="B182" i="8"/>
  <c r="H181" i="8"/>
  <c r="G181" i="8"/>
  <c r="F181" i="8"/>
  <c r="D181" i="8"/>
  <c r="C181" i="8"/>
  <c r="B181" i="8"/>
  <c r="H180" i="8"/>
  <c r="G180" i="8"/>
  <c r="F180" i="8"/>
  <c r="D180" i="8"/>
  <c r="C180" i="8"/>
  <c r="B180" i="8"/>
  <c r="H179" i="8"/>
  <c r="AH179" i="8" s="1" a="1"/>
  <c r="AH179" i="8" s="1"/>
  <c r="G179" i="8"/>
  <c r="F179" i="8"/>
  <c r="D179" i="8"/>
  <c r="C179" i="8"/>
  <c r="B179" i="8"/>
  <c r="H178" i="8"/>
  <c r="G178" i="8"/>
  <c r="F178" i="8"/>
  <c r="D178" i="8"/>
  <c r="C178" i="8"/>
  <c r="B178" i="8"/>
  <c r="H177" i="8"/>
  <c r="G177" i="8"/>
  <c r="F177" i="8"/>
  <c r="D177" i="8"/>
  <c r="C177" i="8"/>
  <c r="B177" i="8"/>
  <c r="H176" i="8"/>
  <c r="AI176" i="8" s="1" a="1"/>
  <c r="AI176" i="8" s="1"/>
  <c r="G176" i="8"/>
  <c r="F176" i="8"/>
  <c r="D176" i="8"/>
  <c r="C176" i="8"/>
  <c r="B176" i="8"/>
  <c r="H175" i="8"/>
  <c r="AF175" i="8" s="1" a="1"/>
  <c r="G175" i="8"/>
  <c r="F175" i="8"/>
  <c r="D175" i="8"/>
  <c r="C175" i="8"/>
  <c r="B175" i="8"/>
  <c r="H174" i="8"/>
  <c r="G174" i="8"/>
  <c r="F174" i="8"/>
  <c r="D174" i="8"/>
  <c r="C174" i="8"/>
  <c r="B174" i="8"/>
  <c r="H173" i="8"/>
  <c r="AI173" i="8" s="1" a="1"/>
  <c r="AI173" i="8" s="1"/>
  <c r="G173" i="8"/>
  <c r="F173" i="8"/>
  <c r="D173" i="8"/>
  <c r="C173" i="8"/>
  <c r="B173" i="8"/>
  <c r="H172" i="8"/>
  <c r="AG172" i="8" s="1" a="1"/>
  <c r="AG172" i="8" s="1"/>
  <c r="G172" i="8"/>
  <c r="F172" i="8"/>
  <c r="D172" i="8"/>
  <c r="C172" i="8"/>
  <c r="B172" i="8"/>
  <c r="H171" i="8"/>
  <c r="AI171" i="8" s="1" a="1"/>
  <c r="AI171" i="8" s="1"/>
  <c r="G171" i="8"/>
  <c r="F171" i="8"/>
  <c r="D171" i="8"/>
  <c r="C171" i="8"/>
  <c r="B171" i="8"/>
  <c r="H170" i="8"/>
  <c r="AI170" i="8" s="1" a="1"/>
  <c r="AI170" i="8" s="1"/>
  <c r="G170" i="8"/>
  <c r="F170" i="8"/>
  <c r="D170" i="8"/>
  <c r="C170" i="8"/>
  <c r="B170" i="8"/>
  <c r="H169" i="8"/>
  <c r="AI169" i="8" s="1" a="1"/>
  <c r="AI169" i="8" s="1"/>
  <c r="G169" i="8"/>
  <c r="F169" i="8"/>
  <c r="D169" i="8"/>
  <c r="C169" i="8"/>
  <c r="B169" i="8"/>
  <c r="H168" i="8"/>
  <c r="AG168" i="8" s="1" a="1"/>
  <c r="AG168" i="8" s="1"/>
  <c r="G168" i="8"/>
  <c r="F168" i="8"/>
  <c r="D168" i="8"/>
  <c r="C168" i="8"/>
  <c r="B168" i="8"/>
  <c r="H167" i="8"/>
  <c r="AF167" i="8" s="1" a="1"/>
  <c r="G167" i="8"/>
  <c r="F167" i="8"/>
  <c r="D167" i="8"/>
  <c r="C167" i="8"/>
  <c r="B167" i="8"/>
  <c r="H166" i="8"/>
  <c r="AI166" i="8" s="1" a="1"/>
  <c r="AI166" i="8" s="1"/>
  <c r="G166" i="8"/>
  <c r="F166" i="8"/>
  <c r="D166" i="8"/>
  <c r="C166" i="8"/>
  <c r="B166" i="8"/>
  <c r="H165" i="8"/>
  <c r="AF165" i="8" s="1" a="1"/>
  <c r="AF165" i="8" s="1"/>
  <c r="G165" i="8"/>
  <c r="F165" i="8"/>
  <c r="D165" i="8"/>
  <c r="C165" i="8"/>
  <c r="B165" i="8"/>
  <c r="H164" i="8"/>
  <c r="AI164" i="8" s="1" a="1"/>
  <c r="AI164" i="8" s="1"/>
  <c r="G164" i="8"/>
  <c r="F164" i="8"/>
  <c r="D164" i="8"/>
  <c r="C164" i="8"/>
  <c r="B164" i="8"/>
  <c r="H163" i="8"/>
  <c r="AI163" i="8" s="1" a="1"/>
  <c r="AI163" i="8" s="1"/>
  <c r="G163" i="8"/>
  <c r="F163" i="8"/>
  <c r="D163" i="8"/>
  <c r="C163" i="8"/>
  <c r="B163" i="8"/>
  <c r="H162" i="8"/>
  <c r="AI162" i="8" s="1" a="1"/>
  <c r="AI162" i="8" s="1"/>
  <c r="G162" i="8"/>
  <c r="F162" i="8"/>
  <c r="D162" i="8"/>
  <c r="C162" i="8"/>
  <c r="B162" i="8"/>
  <c r="H161" i="8"/>
  <c r="AH161" i="8" s="1" a="1"/>
  <c r="AH161" i="8" s="1"/>
  <c r="G161" i="8"/>
  <c r="F161" i="8"/>
  <c r="E161" i="8"/>
  <c r="D161" i="8"/>
  <c r="C161" i="8"/>
  <c r="B161" i="8"/>
  <c r="H160" i="8"/>
  <c r="AH160" i="8" s="1" a="1"/>
  <c r="AH160" i="8" s="1"/>
  <c r="G160" i="8"/>
  <c r="F160" i="8"/>
  <c r="D160" i="8"/>
  <c r="C160" i="8"/>
  <c r="B160" i="8"/>
  <c r="H159" i="8"/>
  <c r="AI159" i="8" s="1" a="1"/>
  <c r="AI159" i="8" s="1"/>
  <c r="G159" i="8"/>
  <c r="F159" i="8"/>
  <c r="D159" i="8"/>
  <c r="C159" i="8"/>
  <c r="B159" i="8"/>
  <c r="H158" i="8"/>
  <c r="AG158" i="8" s="1" a="1"/>
  <c r="AG158" i="8" s="1"/>
  <c r="G158" i="8"/>
  <c r="F158" i="8"/>
  <c r="D158" i="8"/>
  <c r="C158" i="8"/>
  <c r="B158" i="8"/>
  <c r="H157" i="8"/>
  <c r="AG157" i="8" s="1" a="1"/>
  <c r="AG157" i="8" s="1"/>
  <c r="G157" i="8"/>
  <c r="F157" i="8"/>
  <c r="D157" i="8"/>
  <c r="C157" i="8"/>
  <c r="B157" i="8"/>
  <c r="H156" i="8"/>
  <c r="AH156" i="8" s="1" a="1"/>
  <c r="AH156" i="8" s="1"/>
  <c r="G156" i="8"/>
  <c r="F156" i="8"/>
  <c r="D156" i="8"/>
  <c r="C156" i="8"/>
  <c r="B156" i="8"/>
  <c r="H155" i="8"/>
  <c r="AF155" i="8" s="1" a="1"/>
  <c r="AF155" i="8" s="1"/>
  <c r="G155" i="8"/>
  <c r="F155" i="8"/>
  <c r="D155" i="8"/>
  <c r="C155" i="8"/>
  <c r="B155" i="8"/>
  <c r="H154" i="8"/>
  <c r="AG154" i="8" s="1" a="1"/>
  <c r="AG154" i="8" s="1"/>
  <c r="G154" i="8"/>
  <c r="F154" i="8"/>
  <c r="D154" i="8"/>
  <c r="C154" i="8"/>
  <c r="B154" i="8"/>
  <c r="H153" i="8"/>
  <c r="AI153" i="8" s="1" a="1"/>
  <c r="AI153" i="8" s="1"/>
  <c r="G153" i="8"/>
  <c r="F153" i="8"/>
  <c r="D153" i="8"/>
  <c r="C153" i="8"/>
  <c r="B153" i="8"/>
  <c r="H152" i="8"/>
  <c r="AF152" i="8" s="1" a="1"/>
  <c r="G152" i="8"/>
  <c r="F152" i="8"/>
  <c r="D152" i="8"/>
  <c r="C152" i="8"/>
  <c r="B152" i="8"/>
  <c r="H151" i="8"/>
  <c r="AF151" i="8" s="1" a="1"/>
  <c r="G151" i="8"/>
  <c r="F151" i="8"/>
  <c r="D151" i="8"/>
  <c r="C151" i="8"/>
  <c r="B151" i="8"/>
  <c r="H150" i="8"/>
  <c r="AF150" i="8" s="1" a="1"/>
  <c r="G150" i="8"/>
  <c r="F150" i="8"/>
  <c r="D150" i="8"/>
  <c r="C150" i="8"/>
  <c r="B150" i="8"/>
  <c r="H149" i="8"/>
  <c r="AG149" i="8" s="1" a="1"/>
  <c r="AG149" i="8" s="1"/>
  <c r="G149" i="8"/>
  <c r="F149" i="8"/>
  <c r="D149" i="8"/>
  <c r="C149" i="8"/>
  <c r="B149" i="8"/>
  <c r="H148" i="8"/>
  <c r="G148" i="8"/>
  <c r="F148" i="8"/>
  <c r="D148" i="8"/>
  <c r="C148" i="8"/>
  <c r="B148" i="8"/>
  <c r="H147" i="8"/>
  <c r="AI147" i="8" s="1" a="1"/>
  <c r="AI147" i="8" s="1"/>
  <c r="G147" i="8"/>
  <c r="F147" i="8"/>
  <c r="D147" i="8"/>
  <c r="C147" i="8"/>
  <c r="B147" i="8"/>
  <c r="H146" i="8"/>
  <c r="AG146" i="8" s="1" a="1"/>
  <c r="AG146" i="8" s="1"/>
  <c r="G146" i="8"/>
  <c r="F146" i="8"/>
  <c r="D146" i="8"/>
  <c r="C146" i="8"/>
  <c r="B146" i="8"/>
  <c r="H145" i="8"/>
  <c r="G145" i="8"/>
  <c r="F145" i="8"/>
  <c r="D145" i="8"/>
  <c r="C145" i="8"/>
  <c r="B145" i="8"/>
  <c r="H144" i="8"/>
  <c r="G144" i="8"/>
  <c r="F144" i="8"/>
  <c r="D144" i="8"/>
  <c r="C144" i="8"/>
  <c r="B144" i="8"/>
  <c r="H143" i="8"/>
  <c r="G143" i="8"/>
  <c r="F143" i="8"/>
  <c r="D143" i="8"/>
  <c r="C143" i="8"/>
  <c r="B143" i="8"/>
  <c r="H142" i="8"/>
  <c r="G142" i="8"/>
  <c r="F142" i="8"/>
  <c r="D142" i="8"/>
  <c r="C142" i="8"/>
  <c r="B142" i="8"/>
  <c r="H141" i="8"/>
  <c r="G141" i="8"/>
  <c r="F141" i="8"/>
  <c r="D141" i="8"/>
  <c r="C141" i="8"/>
  <c r="B141" i="8"/>
  <c r="H140" i="8"/>
  <c r="AF140" i="8" s="1" a="1"/>
  <c r="AF140" i="8" s="1"/>
  <c r="G140" i="8"/>
  <c r="F140" i="8"/>
  <c r="D140" i="8"/>
  <c r="C140" i="8"/>
  <c r="B140" i="8"/>
  <c r="H139" i="8"/>
  <c r="AG139" i="8" s="1" a="1"/>
  <c r="AG139" i="8" s="1"/>
  <c r="G139" i="8"/>
  <c r="F139" i="8"/>
  <c r="D139" i="8"/>
  <c r="C139" i="8"/>
  <c r="B139" i="8"/>
  <c r="H138" i="8"/>
  <c r="G138" i="8"/>
  <c r="F138" i="8"/>
  <c r="E138" i="8"/>
  <c r="D138" i="8"/>
  <c r="C138" i="8"/>
  <c r="B138" i="8"/>
  <c r="H137" i="8"/>
  <c r="AG137" i="8" s="1" a="1"/>
  <c r="AG137" i="8" s="1"/>
  <c r="G137" i="8"/>
  <c r="F137" i="8"/>
  <c r="E137" i="8"/>
  <c r="D137" i="8"/>
  <c r="C137" i="8"/>
  <c r="B137" i="8"/>
  <c r="H136" i="8"/>
  <c r="G136" i="8"/>
  <c r="F136" i="8"/>
  <c r="E136" i="8"/>
  <c r="D136" i="8"/>
  <c r="C136" i="8"/>
  <c r="B136" i="8"/>
  <c r="H135" i="8"/>
  <c r="G135" i="8"/>
  <c r="F135" i="8"/>
  <c r="E135" i="8"/>
  <c r="D135" i="8"/>
  <c r="C135" i="8"/>
  <c r="B135" i="8"/>
  <c r="H134" i="8"/>
  <c r="G134" i="8"/>
  <c r="F134" i="8"/>
  <c r="E134" i="8"/>
  <c r="D134" i="8"/>
  <c r="C134" i="8"/>
  <c r="B134" i="8"/>
  <c r="H133" i="8"/>
  <c r="G133" i="8"/>
  <c r="F133" i="8"/>
  <c r="D133" i="8"/>
  <c r="C133" i="8"/>
  <c r="B133" i="8"/>
  <c r="H132" i="8"/>
  <c r="G132" i="8"/>
  <c r="F132" i="8"/>
  <c r="D132" i="8"/>
  <c r="C132" i="8"/>
  <c r="B132" i="8"/>
  <c r="H131" i="8"/>
  <c r="AH131" i="8" s="1" a="1"/>
  <c r="AH131" i="8" s="1"/>
  <c r="G131" i="8"/>
  <c r="F131" i="8"/>
  <c r="D131" i="8"/>
  <c r="C131" i="8"/>
  <c r="B131" i="8"/>
  <c r="H130" i="8"/>
  <c r="G130" i="8"/>
  <c r="F130" i="8"/>
  <c r="D130" i="8"/>
  <c r="C130" i="8"/>
  <c r="B130" i="8"/>
  <c r="H129" i="8"/>
  <c r="G129" i="8"/>
  <c r="F129" i="8"/>
  <c r="D129" i="8"/>
  <c r="C129" i="8"/>
  <c r="B129" i="8"/>
  <c r="H128" i="8"/>
  <c r="AH128" i="8" s="1" a="1"/>
  <c r="AH128" i="8" s="1"/>
  <c r="G128" i="8"/>
  <c r="F128" i="8"/>
  <c r="D128" i="8"/>
  <c r="C128" i="8"/>
  <c r="B128" i="8"/>
  <c r="H127" i="8"/>
  <c r="G127" i="8"/>
  <c r="F127" i="8"/>
  <c r="D127" i="8"/>
  <c r="C127" i="8"/>
  <c r="B127" i="8"/>
  <c r="H126" i="8"/>
  <c r="AI126" i="8" s="1" a="1"/>
  <c r="AI126" i="8" s="1"/>
  <c r="G126" i="8"/>
  <c r="F126" i="8"/>
  <c r="D126" i="8"/>
  <c r="C126" i="8"/>
  <c r="B126" i="8"/>
  <c r="H125" i="8"/>
  <c r="G125" i="8"/>
  <c r="F125" i="8"/>
  <c r="D125" i="8"/>
  <c r="C125" i="8"/>
  <c r="B125" i="8"/>
  <c r="H124" i="8"/>
  <c r="AI124" i="8" s="1" a="1"/>
  <c r="AI124" i="8" s="1"/>
  <c r="G124" i="8"/>
  <c r="F124" i="8"/>
  <c r="D124" i="8"/>
  <c r="C124" i="8"/>
  <c r="B124" i="8"/>
  <c r="H123" i="8"/>
  <c r="G123" i="8"/>
  <c r="F123" i="8"/>
  <c r="D123" i="8"/>
  <c r="C123" i="8"/>
  <c r="B123" i="8"/>
  <c r="H122" i="8"/>
  <c r="AI122" i="8" s="1" a="1"/>
  <c r="AI122" i="8" s="1"/>
  <c r="G122" i="8"/>
  <c r="F122" i="8"/>
  <c r="D122" i="8"/>
  <c r="C122" i="8"/>
  <c r="B122" i="8"/>
  <c r="H121" i="8"/>
  <c r="AI121" i="8" s="1" a="1"/>
  <c r="AI121" i="8" s="1"/>
  <c r="G121" i="8"/>
  <c r="F121" i="8"/>
  <c r="D121" i="8"/>
  <c r="C121" i="8"/>
  <c r="B121" i="8"/>
  <c r="H120" i="8"/>
  <c r="AH120" i="8" s="1" a="1"/>
  <c r="AH120" i="8" s="1"/>
  <c r="G120" i="8"/>
  <c r="F120" i="8"/>
  <c r="D120" i="8"/>
  <c r="C120" i="8"/>
  <c r="B120" i="8"/>
  <c r="H119" i="8"/>
  <c r="AH119" i="8" s="1" a="1"/>
  <c r="AH119" i="8" s="1"/>
  <c r="G119" i="8"/>
  <c r="F119" i="8"/>
  <c r="D119" i="8"/>
  <c r="C119" i="8"/>
  <c r="B119" i="8"/>
  <c r="H118" i="8"/>
  <c r="AH118" i="8" s="1" a="1"/>
  <c r="AH118" i="8" s="1"/>
  <c r="G118" i="8"/>
  <c r="F118" i="8"/>
  <c r="D118" i="8"/>
  <c r="C118" i="8"/>
  <c r="B118" i="8"/>
  <c r="H117" i="8"/>
  <c r="AI117" i="8" s="1" a="1"/>
  <c r="AI117" i="8" s="1"/>
  <c r="G117" i="8"/>
  <c r="F117" i="8"/>
  <c r="E117" i="8"/>
  <c r="D117" i="8"/>
  <c r="C117" i="8"/>
  <c r="B117" i="8"/>
  <c r="H116" i="8"/>
  <c r="G116" i="8"/>
  <c r="F116" i="8"/>
  <c r="E116" i="8"/>
  <c r="D116" i="8"/>
  <c r="C116" i="8"/>
  <c r="B116" i="8"/>
  <c r="H115" i="8"/>
  <c r="AG115" i="8" s="1" a="1"/>
  <c r="AG115" i="8" s="1"/>
  <c r="G115" i="8"/>
  <c r="F115" i="8"/>
  <c r="E115" i="8"/>
  <c r="D115" i="8"/>
  <c r="C115" i="8"/>
  <c r="B115" i="8"/>
  <c r="H114" i="8"/>
  <c r="G114" i="8"/>
  <c r="F114" i="8"/>
  <c r="E114" i="8"/>
  <c r="D114" i="8"/>
  <c r="C114" i="8"/>
  <c r="B114" i="8"/>
  <c r="H113" i="8"/>
  <c r="G113" i="8"/>
  <c r="F113" i="8"/>
  <c r="E113" i="8"/>
  <c r="D113" i="8"/>
  <c r="C113" i="8"/>
  <c r="B113" i="8"/>
  <c r="H112" i="8"/>
  <c r="G112" i="8"/>
  <c r="F112" i="8"/>
  <c r="E112" i="8"/>
  <c r="D112" i="8"/>
  <c r="C112" i="8"/>
  <c r="B112" i="8"/>
  <c r="H111" i="8"/>
  <c r="G111" i="8"/>
  <c r="F111" i="8"/>
  <c r="E111" i="8"/>
  <c r="D111" i="8"/>
  <c r="C111" i="8"/>
  <c r="B111" i="8"/>
  <c r="H110" i="8"/>
  <c r="AG110" i="8" s="1" a="1"/>
  <c r="AG110" i="8" s="1"/>
  <c r="G110" i="8"/>
  <c r="F110" i="8"/>
  <c r="E110" i="8"/>
  <c r="D110" i="8"/>
  <c r="C110" i="8"/>
  <c r="B110" i="8"/>
  <c r="H109" i="8"/>
  <c r="G109" i="8"/>
  <c r="F109" i="8"/>
  <c r="E109" i="8"/>
  <c r="D109" i="8"/>
  <c r="C109" i="8"/>
  <c r="B109" i="8"/>
  <c r="H108" i="8"/>
  <c r="G108" i="8"/>
  <c r="F108" i="8"/>
  <c r="E108" i="8"/>
  <c r="D108" i="8"/>
  <c r="C108" i="8"/>
  <c r="B108" i="8"/>
  <c r="H107" i="8"/>
  <c r="G107" i="8"/>
  <c r="F107" i="8"/>
  <c r="E107" i="8"/>
  <c r="D107" i="8"/>
  <c r="C107" i="8"/>
  <c r="B107" i="8"/>
  <c r="H106" i="8"/>
  <c r="AH106" i="8" s="1" a="1"/>
  <c r="AH106" i="8" s="1"/>
  <c r="G106" i="8"/>
  <c r="F106" i="8"/>
  <c r="E106" i="8"/>
  <c r="D106" i="8"/>
  <c r="C106" i="8"/>
  <c r="B106" i="8"/>
  <c r="H105" i="8"/>
  <c r="G105" i="8"/>
  <c r="F105" i="8"/>
  <c r="E105" i="8"/>
  <c r="D105" i="8"/>
  <c r="C105" i="8"/>
  <c r="B105" i="8"/>
  <c r="H104" i="8"/>
  <c r="G104" i="8"/>
  <c r="F104" i="8"/>
  <c r="E104" i="8"/>
  <c r="D104" i="8"/>
  <c r="C104" i="8"/>
  <c r="B104" i="8"/>
  <c r="H103" i="8"/>
  <c r="AI103" i="8" s="1" a="1"/>
  <c r="AI103" i="8" s="1"/>
  <c r="G103" i="8"/>
  <c r="F103" i="8"/>
  <c r="D103" i="8"/>
  <c r="C103" i="8"/>
  <c r="B103" i="8"/>
  <c r="H102" i="8"/>
  <c r="G102" i="8"/>
  <c r="F102" i="8"/>
  <c r="D102" i="8"/>
  <c r="C102" i="8"/>
  <c r="B102" i="8"/>
  <c r="H101" i="8"/>
  <c r="AF101" i="8" s="1" a="1"/>
  <c r="AF101" i="8" s="1"/>
  <c r="G101" i="8"/>
  <c r="F101" i="8"/>
  <c r="D101" i="8"/>
  <c r="C101" i="8"/>
  <c r="B101" i="8"/>
  <c r="H100" i="8"/>
  <c r="G100" i="8"/>
  <c r="F100" i="8"/>
  <c r="D100" i="8"/>
  <c r="C100" i="8"/>
  <c r="B100" i="8"/>
  <c r="H99" i="8"/>
  <c r="G99" i="8"/>
  <c r="F99" i="8"/>
  <c r="D99" i="8"/>
  <c r="C99" i="8"/>
  <c r="B99" i="8"/>
  <c r="H98" i="8"/>
  <c r="AG98" i="8" s="1" a="1"/>
  <c r="AG98" i="8" s="1"/>
  <c r="G98" i="8"/>
  <c r="F98" i="8"/>
  <c r="D98" i="8"/>
  <c r="C98" i="8"/>
  <c r="B98" i="8"/>
  <c r="H97" i="8"/>
  <c r="G97" i="8"/>
  <c r="F97" i="8"/>
  <c r="D97" i="8"/>
  <c r="C97" i="8"/>
  <c r="B97" i="8"/>
  <c r="H96" i="8"/>
  <c r="G96" i="8"/>
  <c r="F96" i="8"/>
  <c r="D96" i="8"/>
  <c r="C96" i="8"/>
  <c r="B96" i="8"/>
  <c r="H95" i="8"/>
  <c r="G95" i="8"/>
  <c r="F95" i="8"/>
  <c r="D95" i="8"/>
  <c r="C95" i="8"/>
  <c r="B95" i="8"/>
  <c r="H94" i="8"/>
  <c r="AI94" i="8" s="1" a="1"/>
  <c r="AI94" i="8" s="1"/>
  <c r="G94" i="8"/>
  <c r="F94" i="8"/>
  <c r="D94" i="8"/>
  <c r="C94" i="8"/>
  <c r="B94" i="8"/>
  <c r="H93" i="8"/>
  <c r="G93" i="8"/>
  <c r="F93" i="8"/>
  <c r="D93" i="8"/>
  <c r="C93" i="8"/>
  <c r="B93" i="8"/>
  <c r="H92" i="8"/>
  <c r="G92" i="8"/>
  <c r="F92" i="8"/>
  <c r="D92" i="8"/>
  <c r="C92" i="8"/>
  <c r="B92" i="8"/>
  <c r="H91" i="8"/>
  <c r="AH91" i="8" s="1" a="1"/>
  <c r="AH91" i="8" s="1"/>
  <c r="G91" i="8"/>
  <c r="F91" i="8"/>
  <c r="D91" i="8"/>
  <c r="C91" i="8"/>
  <c r="B91" i="8"/>
  <c r="H90" i="8"/>
  <c r="AG90" i="8" s="1" a="1"/>
  <c r="AG90" i="8" s="1"/>
  <c r="G90" i="8"/>
  <c r="F90" i="8"/>
  <c r="D90" i="8"/>
  <c r="C90" i="8"/>
  <c r="B90" i="8"/>
  <c r="H89" i="8"/>
  <c r="AH89" i="8" s="1" a="1"/>
  <c r="AH89" i="8" s="1"/>
  <c r="G89" i="8"/>
  <c r="F89" i="8"/>
  <c r="D89" i="8"/>
  <c r="C89" i="8"/>
  <c r="B89" i="8"/>
  <c r="H88" i="8"/>
  <c r="AH88" i="8" s="1" a="1"/>
  <c r="AH88" i="8" s="1"/>
  <c r="G88" i="8"/>
  <c r="F88" i="8"/>
  <c r="D88" i="8"/>
  <c r="C88" i="8"/>
  <c r="B88" i="8"/>
  <c r="H87" i="8"/>
  <c r="G87" i="8"/>
  <c r="F87" i="8"/>
  <c r="E87" i="8"/>
  <c r="D87" i="8"/>
  <c r="C87" i="8"/>
  <c r="B87" i="8"/>
  <c r="H86" i="8"/>
  <c r="G86" i="8"/>
  <c r="F86" i="8"/>
  <c r="E86" i="8"/>
  <c r="D86" i="8"/>
  <c r="C86" i="8"/>
  <c r="B86" i="8"/>
  <c r="H85" i="8"/>
  <c r="AH85" i="8" s="1" a="1"/>
  <c r="AH85" i="8" s="1"/>
  <c r="G85" i="8"/>
  <c r="F85" i="8"/>
  <c r="E85" i="8"/>
  <c r="D85" i="8"/>
  <c r="C85" i="8"/>
  <c r="B85" i="8"/>
  <c r="H84" i="8"/>
  <c r="AG84" i="8" s="1" a="1"/>
  <c r="AG84" i="8" s="1"/>
  <c r="G84" i="8"/>
  <c r="F84" i="8"/>
  <c r="E84" i="8"/>
  <c r="D84" i="8"/>
  <c r="C84" i="8"/>
  <c r="B84" i="8"/>
  <c r="H83" i="8"/>
  <c r="G83" i="8"/>
  <c r="F83" i="8"/>
  <c r="E83" i="8"/>
  <c r="D83" i="8"/>
  <c r="C83" i="8"/>
  <c r="B83" i="8"/>
  <c r="H82" i="8"/>
  <c r="AH82" i="8" s="1" a="1"/>
  <c r="AH82" i="8" s="1"/>
  <c r="G82" i="8"/>
  <c r="F82" i="8"/>
  <c r="E82" i="8"/>
  <c r="D82" i="8"/>
  <c r="C82" i="8"/>
  <c r="B82" i="8"/>
  <c r="H81" i="8"/>
  <c r="G81" i="8"/>
  <c r="F81" i="8"/>
  <c r="E81" i="8"/>
  <c r="D81" i="8"/>
  <c r="C81" i="8"/>
  <c r="B81" i="8"/>
  <c r="H80" i="8"/>
  <c r="G80" i="8"/>
  <c r="F80" i="8"/>
  <c r="D80" i="8"/>
  <c r="C80" i="8"/>
  <c r="B80" i="8"/>
  <c r="H79" i="8"/>
  <c r="G79" i="8"/>
  <c r="F79" i="8"/>
  <c r="D79" i="8"/>
  <c r="C79" i="8"/>
  <c r="B79" i="8"/>
  <c r="H78" i="8"/>
  <c r="G78" i="8"/>
  <c r="F78" i="8"/>
  <c r="D78" i="8"/>
  <c r="C78" i="8"/>
  <c r="B78" i="8"/>
  <c r="H77" i="8"/>
  <c r="G77" i="8"/>
  <c r="F77" i="8"/>
  <c r="E77" i="8"/>
  <c r="D77" i="8"/>
  <c r="C77" i="8"/>
  <c r="H76" i="8"/>
  <c r="G76" i="8"/>
  <c r="F76" i="8"/>
  <c r="E76" i="8"/>
  <c r="D76" i="8"/>
  <c r="C76" i="8"/>
  <c r="H75" i="8"/>
  <c r="AI75" i="8" s="1" a="1"/>
  <c r="AI75" i="8" s="1"/>
  <c r="G75" i="8"/>
  <c r="F75" i="8"/>
  <c r="E75" i="8"/>
  <c r="D75" i="8"/>
  <c r="C75" i="8"/>
  <c r="H74" i="8"/>
  <c r="G74" i="8"/>
  <c r="F74" i="8"/>
  <c r="E74" i="8"/>
  <c r="D74" i="8"/>
  <c r="C74" i="8"/>
  <c r="H73" i="8"/>
  <c r="G73" i="8"/>
  <c r="F73" i="8"/>
  <c r="E73" i="8"/>
  <c r="D73" i="8"/>
  <c r="C73" i="8"/>
  <c r="H72" i="8"/>
  <c r="G72" i="8"/>
  <c r="F72" i="8"/>
  <c r="E72" i="8"/>
  <c r="D72" i="8"/>
  <c r="C72" i="8"/>
  <c r="H71" i="8"/>
  <c r="AG71" i="8" s="1" a="1"/>
  <c r="AG71" i="8" s="1"/>
  <c r="G71" i="8"/>
  <c r="F71" i="8"/>
  <c r="E71" i="8"/>
  <c r="D71" i="8"/>
  <c r="C71" i="8"/>
  <c r="H70" i="8"/>
  <c r="G70" i="8"/>
  <c r="F70" i="8"/>
  <c r="E70" i="8"/>
  <c r="D70" i="8"/>
  <c r="C70" i="8"/>
  <c r="H69" i="8"/>
  <c r="AI69" i="8" s="1" a="1"/>
  <c r="AI69" i="8" s="1"/>
  <c r="G69" i="8"/>
  <c r="F69" i="8"/>
  <c r="E69" i="8"/>
  <c r="D69" i="8"/>
  <c r="C69" i="8"/>
  <c r="H68" i="8"/>
  <c r="G68" i="8"/>
  <c r="F68" i="8"/>
  <c r="E68" i="8"/>
  <c r="D68" i="8"/>
  <c r="C68" i="8"/>
  <c r="H67" i="8"/>
  <c r="G67" i="8"/>
  <c r="F67" i="8"/>
  <c r="E67" i="8"/>
  <c r="D67" i="8"/>
  <c r="C67" i="8"/>
  <c r="H66" i="8"/>
  <c r="AH66" i="8" s="1" a="1"/>
  <c r="AH66" i="8" s="1"/>
  <c r="G66" i="8"/>
  <c r="F66" i="8"/>
  <c r="E66" i="8"/>
  <c r="D66" i="8"/>
  <c r="C66" i="8"/>
  <c r="H65" i="8"/>
  <c r="G65" i="8"/>
  <c r="F65" i="8"/>
  <c r="E65" i="8"/>
  <c r="D65" i="8"/>
  <c r="C65" i="8"/>
  <c r="H64" i="8"/>
  <c r="G64" i="8"/>
  <c r="F64" i="8"/>
  <c r="E64" i="8"/>
  <c r="D64" i="8"/>
  <c r="C64" i="8"/>
  <c r="H63" i="8"/>
  <c r="AI63" i="8" s="1" a="1"/>
  <c r="AI63" i="8" s="1"/>
  <c r="G63" i="8"/>
  <c r="F63" i="8"/>
  <c r="E63" i="8"/>
  <c r="D63" i="8"/>
  <c r="C63" i="8"/>
  <c r="H62" i="8"/>
  <c r="G62" i="8"/>
  <c r="F62" i="8"/>
  <c r="E62" i="8"/>
  <c r="D62" i="8"/>
  <c r="C62" i="8"/>
  <c r="H61" i="8"/>
  <c r="AG61" i="8" s="1" a="1"/>
  <c r="AG61" i="8" s="1"/>
  <c r="G61" i="8"/>
  <c r="F61" i="8"/>
  <c r="E61" i="8"/>
  <c r="D61" i="8"/>
  <c r="C61" i="8"/>
  <c r="H60" i="8"/>
  <c r="G60" i="8"/>
  <c r="F60" i="8"/>
  <c r="E60" i="8"/>
  <c r="D60" i="8"/>
  <c r="C60" i="8"/>
  <c r="H59" i="8"/>
  <c r="G59" i="8"/>
  <c r="F59" i="8"/>
  <c r="E59" i="8"/>
  <c r="D59" i="8"/>
  <c r="C59" i="8"/>
  <c r="B59" i="8"/>
  <c r="H58" i="8"/>
  <c r="G58" i="8"/>
  <c r="F58" i="8"/>
  <c r="E58" i="8"/>
  <c r="D58" i="8"/>
  <c r="C58" i="8"/>
  <c r="B58" i="8"/>
  <c r="H57" i="8"/>
  <c r="AH57" i="8" s="1" a="1"/>
  <c r="AH57" i="8" s="1"/>
  <c r="G57" i="8"/>
  <c r="F57" i="8"/>
  <c r="E57" i="8"/>
  <c r="D57" i="8"/>
  <c r="C57" i="8"/>
  <c r="H56" i="8"/>
  <c r="G56" i="8"/>
  <c r="F56" i="8"/>
  <c r="E56" i="8"/>
  <c r="D56" i="8"/>
  <c r="C56" i="8"/>
  <c r="B56" i="8"/>
  <c r="H55" i="8"/>
  <c r="G55" i="8"/>
  <c r="F55" i="8"/>
  <c r="E55" i="8"/>
  <c r="D55" i="8"/>
  <c r="C55" i="8"/>
  <c r="H54" i="8"/>
  <c r="G54" i="8"/>
  <c r="F54" i="8"/>
  <c r="E54" i="8"/>
  <c r="D54" i="8"/>
  <c r="C54" i="8"/>
  <c r="B54" i="8"/>
  <c r="H53" i="8"/>
  <c r="AI53" i="8" s="1" a="1"/>
  <c r="AI53" i="8" s="1"/>
  <c r="G53" i="8"/>
  <c r="F53" i="8"/>
  <c r="E53" i="8"/>
  <c r="D53" i="8"/>
  <c r="C53" i="8"/>
  <c r="B53" i="8"/>
  <c r="H52" i="8"/>
  <c r="G52" i="8"/>
  <c r="F52" i="8"/>
  <c r="E52" i="8"/>
  <c r="D52" i="8"/>
  <c r="C52" i="8"/>
  <c r="H51" i="8"/>
  <c r="G51" i="8"/>
  <c r="F51" i="8"/>
  <c r="E51" i="8"/>
  <c r="D51" i="8"/>
  <c r="C51" i="8"/>
  <c r="H50" i="8"/>
  <c r="G50" i="8"/>
  <c r="F50" i="8"/>
  <c r="E50" i="8"/>
  <c r="D50" i="8"/>
  <c r="C50" i="8"/>
  <c r="H49" i="8"/>
  <c r="AF49" i="8" s="1" a="1"/>
  <c r="AF49" i="8" s="1"/>
  <c r="G49" i="8"/>
  <c r="F49" i="8"/>
  <c r="E49" i="8"/>
  <c r="D49" i="8"/>
  <c r="C49" i="8"/>
  <c r="H48" i="8"/>
  <c r="G48" i="8"/>
  <c r="F48" i="8"/>
  <c r="E48" i="8"/>
  <c r="D48" i="8"/>
  <c r="C48" i="8"/>
  <c r="H47" i="8"/>
  <c r="AG47" i="8" s="1" a="1"/>
  <c r="AG47" i="8" s="1"/>
  <c r="G47" i="8"/>
  <c r="F47" i="8"/>
  <c r="E47" i="8"/>
  <c r="D47" i="8"/>
  <c r="C47" i="8"/>
  <c r="H46" i="8"/>
  <c r="G46" i="8"/>
  <c r="F46" i="8"/>
  <c r="E46" i="8"/>
  <c r="D46" i="8"/>
  <c r="C46" i="8"/>
  <c r="H45" i="8"/>
  <c r="AF45" i="8" s="1" a="1"/>
  <c r="AF45" i="8" s="1"/>
  <c r="G45" i="8"/>
  <c r="F45" i="8"/>
  <c r="E45" i="8"/>
  <c r="D45" i="8"/>
  <c r="C45" i="8"/>
  <c r="H44" i="8"/>
  <c r="AI44" i="8" s="1" a="1"/>
  <c r="AI44" i="8" s="1"/>
  <c r="G44" i="8"/>
  <c r="F44" i="8"/>
  <c r="E44" i="8"/>
  <c r="D44" i="8"/>
  <c r="C44" i="8"/>
  <c r="H43" i="8"/>
  <c r="G43" i="8"/>
  <c r="F43" i="8"/>
  <c r="E43" i="8"/>
  <c r="D43" i="8"/>
  <c r="C43" i="8"/>
  <c r="H42" i="8"/>
  <c r="AH42" i="8" s="1" a="1"/>
  <c r="AH42" i="8" s="1"/>
  <c r="G42" i="8"/>
  <c r="F42" i="8"/>
  <c r="E42" i="8"/>
  <c r="D42" i="8"/>
  <c r="C42" i="8"/>
  <c r="H41" i="8"/>
  <c r="G41" i="8"/>
  <c r="F41" i="8"/>
  <c r="E41" i="8"/>
  <c r="D41" i="8"/>
  <c r="C41" i="8"/>
  <c r="H40" i="8"/>
  <c r="AI40" i="8" s="1" a="1"/>
  <c r="AI40" i="8" s="1"/>
  <c r="G40" i="8"/>
  <c r="F40" i="8"/>
  <c r="E40" i="8"/>
  <c r="D40" i="8"/>
  <c r="C40" i="8"/>
  <c r="H39" i="8"/>
  <c r="G39" i="8"/>
  <c r="F39" i="8"/>
  <c r="E39" i="8"/>
  <c r="D39" i="8"/>
  <c r="C39" i="8"/>
  <c r="H38" i="8"/>
  <c r="G38" i="8"/>
  <c r="F38" i="8"/>
  <c r="E38" i="8"/>
  <c r="D38" i="8"/>
  <c r="C38" i="8"/>
  <c r="H37" i="8"/>
  <c r="G37" i="8"/>
  <c r="F37" i="8"/>
  <c r="E37" i="8"/>
  <c r="D37" i="8"/>
  <c r="C37" i="8"/>
  <c r="H36" i="8"/>
  <c r="G36" i="8"/>
  <c r="F36" i="8"/>
  <c r="E36" i="8"/>
  <c r="D36" i="8"/>
  <c r="C36" i="8"/>
  <c r="H35" i="8"/>
  <c r="G35" i="8"/>
  <c r="F35" i="8"/>
  <c r="E35" i="8"/>
  <c r="D35" i="8"/>
  <c r="C35" i="8"/>
  <c r="B35" i="8"/>
  <c r="H34" i="8"/>
  <c r="AI34" i="8" s="1" a="1"/>
  <c r="AI34" i="8" s="1"/>
  <c r="G34" i="8"/>
  <c r="F34" i="8"/>
  <c r="E34" i="8"/>
  <c r="D34" i="8"/>
  <c r="C34" i="8"/>
  <c r="B34" i="8"/>
  <c r="H33" i="8"/>
  <c r="G33" i="8"/>
  <c r="F33" i="8"/>
  <c r="E33" i="8"/>
  <c r="D33" i="8"/>
  <c r="C33" i="8"/>
  <c r="B33" i="8"/>
  <c r="H32" i="8"/>
  <c r="AI32" i="8" s="1" a="1"/>
  <c r="AI32" i="8" s="1"/>
  <c r="G32" i="8"/>
  <c r="F32" i="8"/>
  <c r="E32" i="8"/>
  <c r="D32" i="8"/>
  <c r="C32" i="8"/>
  <c r="H31" i="8"/>
  <c r="AI31" i="8" s="1" a="1"/>
  <c r="AI31" i="8" s="1"/>
  <c r="G31" i="8"/>
  <c r="F31" i="8"/>
  <c r="E31" i="8"/>
  <c r="D31" i="8"/>
  <c r="C31" i="8"/>
  <c r="H30" i="8"/>
  <c r="G30" i="8"/>
  <c r="F30" i="8"/>
  <c r="E30" i="8"/>
  <c r="D30" i="8"/>
  <c r="C30" i="8"/>
  <c r="H29" i="8"/>
  <c r="G29" i="8"/>
  <c r="F29" i="8"/>
  <c r="E29" i="8"/>
  <c r="D29" i="8"/>
  <c r="C29" i="8"/>
  <c r="H28" i="8"/>
  <c r="AG28" i="8" s="1" a="1"/>
  <c r="AG28" i="8" s="1"/>
  <c r="G28" i="8"/>
  <c r="F28" i="8"/>
  <c r="E28" i="8"/>
  <c r="D28" i="8"/>
  <c r="C28" i="8"/>
  <c r="H27" i="8"/>
  <c r="AH27" i="8" s="1" a="1"/>
  <c r="AH27" i="8" s="1"/>
  <c r="G27" i="8"/>
  <c r="F27" i="8"/>
  <c r="E27" i="8"/>
  <c r="D27" i="8"/>
  <c r="C27" i="8"/>
  <c r="H26" i="8"/>
  <c r="G26" i="8"/>
  <c r="F26" i="8"/>
  <c r="E26" i="8"/>
  <c r="D26" i="8"/>
  <c r="C26" i="8"/>
  <c r="H25" i="8"/>
  <c r="AG25" i="8" s="1" a="1"/>
  <c r="AG25" i="8" s="1"/>
  <c r="G25" i="8"/>
  <c r="F25" i="8"/>
  <c r="E25" i="8"/>
  <c r="D25" i="8"/>
  <c r="C25" i="8"/>
  <c r="H24" i="8"/>
  <c r="AI24" i="8" s="1" a="1"/>
  <c r="AI24" i="8" s="1"/>
  <c r="G24" i="8"/>
  <c r="F24" i="8"/>
  <c r="E24" i="8"/>
  <c r="D24" i="8"/>
  <c r="C24" i="8"/>
  <c r="H23" i="8"/>
  <c r="G23" i="8"/>
  <c r="F23" i="8"/>
  <c r="E23" i="8"/>
  <c r="D23" i="8"/>
  <c r="C23" i="8"/>
  <c r="B23" i="8"/>
  <c r="H22" i="8"/>
  <c r="G22" i="8"/>
  <c r="F22" i="8"/>
  <c r="E22" i="8"/>
  <c r="D22" i="8"/>
  <c r="C22" i="8"/>
  <c r="B22" i="8"/>
  <c r="H21" i="8"/>
  <c r="AI21" i="8" s="1" a="1"/>
  <c r="AI21" i="8" s="1"/>
  <c r="G21" i="8"/>
  <c r="F21" i="8"/>
  <c r="E21" i="8"/>
  <c r="D21" i="8"/>
  <c r="C21" i="8"/>
  <c r="H20" i="8"/>
  <c r="AI20" i="8" s="1" a="1"/>
  <c r="AI20" i="8" s="1"/>
  <c r="G20" i="8"/>
  <c r="F20" i="8"/>
  <c r="E20" i="8"/>
  <c r="D20" i="8"/>
  <c r="C20" i="8"/>
  <c r="H19" i="8"/>
  <c r="G19" i="8"/>
  <c r="F19" i="8"/>
  <c r="E19" i="8"/>
  <c r="D19" i="8"/>
  <c r="C19" i="8"/>
  <c r="H18" i="8"/>
  <c r="AI18" i="8" s="1" a="1"/>
  <c r="AI18" i="8" s="1"/>
  <c r="G18" i="8"/>
  <c r="F18" i="8"/>
  <c r="E18" i="8"/>
  <c r="D18" i="8"/>
  <c r="C18" i="8"/>
  <c r="H17" i="8"/>
  <c r="AI17" i="8" s="1" a="1"/>
  <c r="AI17" i="8" s="1"/>
  <c r="G17" i="8"/>
  <c r="F17" i="8"/>
  <c r="E17" i="8"/>
  <c r="D17" i="8"/>
  <c r="C17" i="8"/>
  <c r="H16" i="8"/>
  <c r="G16" i="8"/>
  <c r="F16" i="8"/>
  <c r="E16" i="8"/>
  <c r="D16" i="8"/>
  <c r="C16" i="8"/>
  <c r="H15" i="8"/>
  <c r="G15" i="8"/>
  <c r="F15" i="8"/>
  <c r="E15" i="8"/>
  <c r="D15" i="8"/>
  <c r="C15" i="8"/>
  <c r="H14" i="8"/>
  <c r="G14" i="8"/>
  <c r="F14" i="8"/>
  <c r="E14" i="8"/>
  <c r="D14" i="8"/>
  <c r="C14" i="8"/>
  <c r="H13" i="8"/>
  <c r="AG13" i="8" s="1" a="1"/>
  <c r="AG13" i="8" s="1"/>
  <c r="G13" i="8"/>
  <c r="F13" i="8"/>
  <c r="E13" i="8"/>
  <c r="D13" i="8"/>
  <c r="C13" i="8"/>
  <c r="H12" i="8"/>
  <c r="G12" i="8"/>
  <c r="F12" i="8"/>
  <c r="E12" i="8"/>
  <c r="D12" i="8"/>
  <c r="C12" i="8"/>
  <c r="H11" i="8"/>
  <c r="G11" i="8"/>
  <c r="F11" i="8"/>
  <c r="E11" i="8"/>
  <c r="D11" i="8"/>
  <c r="C11" i="8"/>
  <c r="H10" i="8"/>
  <c r="AG10" i="8" s="1" a="1"/>
  <c r="AG10" i="8" s="1"/>
  <c r="G10" i="8"/>
  <c r="F10" i="8"/>
  <c r="E10" i="8"/>
  <c r="D10" i="8"/>
  <c r="C10" i="8"/>
  <c r="H9" i="8"/>
  <c r="G9" i="8"/>
  <c r="F9" i="8"/>
  <c r="E9" i="8"/>
  <c r="D9" i="8"/>
  <c r="C9" i="8"/>
  <c r="H8" i="8"/>
  <c r="G8" i="8"/>
  <c r="F8" i="8"/>
  <c r="E8" i="8"/>
  <c r="D8" i="8"/>
  <c r="C8" i="8"/>
  <c r="H7" i="8"/>
  <c r="AG7" i="8" s="1" a="1"/>
  <c r="AG7" i="8" s="1"/>
  <c r="G7" i="8"/>
  <c r="F7" i="8"/>
  <c r="E7" i="8"/>
  <c r="D7" i="8"/>
  <c r="C7" i="8"/>
  <c r="G6" i="8"/>
  <c r="F6" i="8"/>
  <c r="E6" i="8"/>
  <c r="AI1204" i="8" a="1"/>
  <c r="AI1204" i="8" s="1"/>
  <c r="AH1204" i="8" a="1"/>
  <c r="AH1204" i="8" s="1"/>
  <c r="AG1204" i="8" a="1"/>
  <c r="AG1204" i="8" s="1"/>
  <c r="AF1204" i="8" a="1"/>
  <c r="AF1204" i="8" s="1"/>
  <c r="AI1203" i="8" a="1"/>
  <c r="AI1203" i="8" s="1"/>
  <c r="AH1203" i="8" a="1"/>
  <c r="AH1203" i="8" s="1"/>
  <c r="AG1203" i="8" a="1"/>
  <c r="AG1203" i="8" s="1"/>
  <c r="AF1203" i="8" a="1"/>
  <c r="AF1203" i="8" s="1"/>
  <c r="AI1202" i="8" a="1"/>
  <c r="AI1202" i="8" s="1"/>
  <c r="AH1202" i="8" a="1"/>
  <c r="AH1202" i="8" s="1"/>
  <c r="AG1202" i="8" a="1"/>
  <c r="AG1202" i="8" s="1"/>
  <c r="AF1202" i="8" a="1"/>
  <c r="AF1202" i="8" s="1"/>
  <c r="AI1201" i="8" a="1"/>
  <c r="AI1201" i="8" s="1"/>
  <c r="AH1201" i="8" a="1"/>
  <c r="AH1201" i="8" s="1"/>
  <c r="AG1201" i="8" a="1"/>
  <c r="AG1201" i="8" s="1"/>
  <c r="AF1201" i="8" a="1"/>
  <c r="AF1201" i="8" s="1"/>
  <c r="AI1200" i="8" a="1"/>
  <c r="AI1200" i="8" s="1"/>
  <c r="AH1200" i="8" a="1"/>
  <c r="AH1200" i="8" s="1"/>
  <c r="AG1200" i="8" a="1"/>
  <c r="AG1200" i="8" s="1"/>
  <c r="AF1200" i="8" a="1"/>
  <c r="AF1200" i="8" s="1"/>
  <c r="G7" i="14"/>
  <c r="H7" i="14"/>
  <c r="G8" i="14"/>
  <c r="H8" i="14"/>
  <c r="G9" i="14"/>
  <c r="H9" i="14"/>
  <c r="G10" i="14"/>
  <c r="E10" i="14" s="1" a="1"/>
  <c r="E10" i="14" s="1"/>
  <c r="H10" i="14"/>
  <c r="G11" i="14"/>
  <c r="H11" i="14"/>
  <c r="G17" i="14"/>
  <c r="H17" i="14"/>
  <c r="G18" i="14"/>
  <c r="H18" i="14"/>
  <c r="G19" i="14"/>
  <c r="H19" i="14"/>
  <c r="G20" i="14"/>
  <c r="H20" i="14"/>
  <c r="G21" i="14"/>
  <c r="H21" i="14"/>
  <c r="G22" i="14"/>
  <c r="H22" i="14"/>
  <c r="G23" i="14"/>
  <c r="H23" i="14"/>
  <c r="G24" i="14"/>
  <c r="H24" i="14"/>
  <c r="G25" i="14"/>
  <c r="H25" i="14"/>
  <c r="G26" i="14"/>
  <c r="H26" i="14"/>
  <c r="G27" i="14"/>
  <c r="H27" i="14"/>
  <c r="G33" i="14"/>
  <c r="H33" i="14"/>
  <c r="G34" i="14"/>
  <c r="E34" i="14" s="1" a="1"/>
  <c r="E34" i="14" s="1"/>
  <c r="H34" i="14"/>
  <c r="G35" i="14"/>
  <c r="H35" i="14"/>
  <c r="G37" i="14"/>
  <c r="E37" i="14" s="1" a="1"/>
  <c r="E37" i="14" s="1"/>
  <c r="H37" i="14"/>
  <c r="G38" i="14"/>
  <c r="H38" i="14"/>
  <c r="G39" i="14"/>
  <c r="H39" i="14"/>
  <c r="G40" i="14"/>
  <c r="H40" i="14"/>
  <c r="G41" i="14"/>
  <c r="H41" i="14"/>
  <c r="G42" i="14"/>
  <c r="H42" i="14"/>
  <c r="G44" i="14"/>
  <c r="H44" i="14"/>
  <c r="G45" i="14"/>
  <c r="H45" i="14"/>
  <c r="G46" i="14"/>
  <c r="H46" i="14"/>
  <c r="G47" i="14"/>
  <c r="H47" i="14"/>
  <c r="G48" i="14"/>
  <c r="H48" i="14"/>
  <c r="G49" i="14"/>
  <c r="H49" i="14"/>
  <c r="G50" i="14"/>
  <c r="H50" i="14"/>
  <c r="G51" i="14"/>
  <c r="H51" i="14"/>
  <c r="G52" i="14"/>
  <c r="H52" i="14"/>
  <c r="G53" i="14"/>
  <c r="H53" i="14"/>
  <c r="G54" i="14"/>
  <c r="H54" i="14"/>
  <c r="G55" i="14"/>
  <c r="H55" i="14"/>
  <c r="G56" i="14"/>
  <c r="H56" i="14"/>
  <c r="G57" i="14"/>
  <c r="H57" i="14"/>
  <c r="G58" i="14"/>
  <c r="H58" i="14"/>
  <c r="G59" i="14"/>
  <c r="H59" i="14"/>
  <c r="G60" i="14"/>
  <c r="H60" i="14"/>
  <c r="G61" i="14"/>
  <c r="H61" i="14"/>
  <c r="G62" i="14"/>
  <c r="H62" i="14"/>
  <c r="G63" i="14"/>
  <c r="H63" i="14"/>
  <c r="G64" i="14"/>
  <c r="H64" i="14"/>
  <c r="G65" i="14"/>
  <c r="H65" i="14"/>
  <c r="G66" i="14"/>
  <c r="H66" i="14"/>
  <c r="G67" i="14"/>
  <c r="H67" i="14"/>
  <c r="G68" i="14"/>
  <c r="H68" i="14"/>
  <c r="G69" i="14"/>
  <c r="H69" i="14"/>
  <c r="G70" i="14"/>
  <c r="H70" i="14"/>
  <c r="G71" i="14"/>
  <c r="H71" i="14"/>
  <c r="G72" i="14"/>
  <c r="H72" i="14"/>
  <c r="G73" i="14"/>
  <c r="H73" i="14"/>
  <c r="G74" i="14"/>
  <c r="H74" i="14"/>
  <c r="G75" i="14"/>
  <c r="H75" i="14"/>
  <c r="G76" i="14"/>
  <c r="H76" i="14"/>
  <c r="G77" i="14"/>
  <c r="H77" i="14"/>
  <c r="G78" i="14"/>
  <c r="H78" i="14"/>
  <c r="G79" i="14"/>
  <c r="H79" i="14"/>
  <c r="G80" i="14"/>
  <c r="H80" i="14"/>
  <c r="G81" i="14"/>
  <c r="H81" i="14"/>
  <c r="G82" i="14"/>
  <c r="H82" i="14"/>
  <c r="G83" i="14"/>
  <c r="H83" i="14"/>
  <c r="G84" i="14"/>
  <c r="H84" i="14"/>
  <c r="G85" i="14"/>
  <c r="H85" i="14"/>
  <c r="G86" i="14"/>
  <c r="H86" i="14"/>
  <c r="G87" i="14"/>
  <c r="H87" i="14"/>
  <c r="G88" i="14"/>
  <c r="H88" i="14"/>
  <c r="G89" i="14"/>
  <c r="H89" i="14"/>
  <c r="G90" i="14"/>
  <c r="H90" i="14"/>
  <c r="G91" i="14"/>
  <c r="H91" i="14"/>
  <c r="G92" i="14"/>
  <c r="H92" i="14"/>
  <c r="G93" i="14"/>
  <c r="H93" i="14"/>
  <c r="G94" i="14"/>
  <c r="H94" i="14"/>
  <c r="G96" i="14"/>
  <c r="H96" i="14"/>
  <c r="G97" i="14"/>
  <c r="H97" i="14"/>
  <c r="G98" i="14"/>
  <c r="H98" i="14"/>
  <c r="G99" i="14"/>
  <c r="H99" i="14"/>
  <c r="G100" i="14"/>
  <c r="E100" i="14" s="1" a="1"/>
  <c r="E100" i="14" s="1"/>
  <c r="H100" i="14"/>
  <c r="G101" i="14"/>
  <c r="H101" i="14"/>
  <c r="G102" i="14"/>
  <c r="H102" i="14"/>
  <c r="G103" i="14"/>
  <c r="H103" i="14"/>
  <c r="G105" i="14"/>
  <c r="H105" i="14"/>
  <c r="G107" i="14"/>
  <c r="H107" i="14"/>
  <c r="G110" i="14"/>
  <c r="H110" i="14"/>
  <c r="G111" i="14"/>
  <c r="H111" i="14"/>
  <c r="G112" i="14"/>
  <c r="H112" i="14"/>
  <c r="G113" i="14"/>
  <c r="H113" i="14"/>
  <c r="G114" i="14"/>
  <c r="H114" i="14"/>
  <c r="G115" i="14"/>
  <c r="H115" i="14"/>
  <c r="G116" i="14"/>
  <c r="H116" i="14"/>
  <c r="G117" i="14"/>
  <c r="H117" i="14"/>
  <c r="G118" i="14"/>
  <c r="H118" i="14"/>
  <c r="G119" i="14"/>
  <c r="H119" i="14"/>
  <c r="G120" i="14"/>
  <c r="H120" i="14"/>
  <c r="G121" i="14"/>
  <c r="H121" i="14"/>
  <c r="G123" i="14"/>
  <c r="H123" i="14"/>
  <c r="G124" i="14"/>
  <c r="H124" i="14"/>
  <c r="G125" i="14"/>
  <c r="H125" i="14"/>
  <c r="G126" i="14"/>
  <c r="E126" i="14" s="1" a="1"/>
  <c r="E126" i="14" s="1"/>
  <c r="H126" i="14"/>
  <c r="G127" i="14"/>
  <c r="H127" i="14"/>
  <c r="G128" i="14"/>
  <c r="E128" i="14" s="1" a="1"/>
  <c r="E128" i="14" s="1"/>
  <c r="H128" i="14"/>
  <c r="G129" i="14"/>
  <c r="H129" i="14"/>
  <c r="G130" i="14"/>
  <c r="H130" i="14"/>
  <c r="G131" i="14"/>
  <c r="H131" i="14"/>
  <c r="G132" i="14"/>
  <c r="H132" i="14"/>
  <c r="G133" i="14"/>
  <c r="E133" i="14" s="1" a="1"/>
  <c r="E133" i="14" s="1"/>
  <c r="H133" i="14"/>
  <c r="G134" i="14"/>
  <c r="H134" i="14"/>
  <c r="G135" i="14"/>
  <c r="E135" i="14" s="1" a="1"/>
  <c r="E135" i="14" s="1"/>
  <c r="H135" i="14"/>
  <c r="G136" i="14"/>
  <c r="H136" i="14"/>
  <c r="G137" i="14"/>
  <c r="H137" i="14"/>
  <c r="G138" i="14"/>
  <c r="H138" i="14"/>
  <c r="G139" i="14"/>
  <c r="H139" i="14"/>
  <c r="G140" i="14"/>
  <c r="E140" i="14" s="1" a="1"/>
  <c r="E140" i="14" s="1"/>
  <c r="H140" i="14"/>
  <c r="H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G6" i="14"/>
  <c r="E6" i="14" s="1" a="1"/>
  <c r="E6" i="14" s="1"/>
  <c r="W124" i="14" a="1"/>
  <c r="W124" i="14" s="1"/>
  <c r="W126" i="14" a="1"/>
  <c r="W126" i="14" s="1"/>
  <c r="W128" i="14" a="1"/>
  <c r="W128" i="14" s="1"/>
  <c r="W130" i="14" a="1"/>
  <c r="W130" i="14" s="1"/>
  <c r="W132" i="14" a="1"/>
  <c r="W132" i="14"/>
  <c r="W135" i="14" a="1"/>
  <c r="W135" i="14"/>
  <c r="H6" i="8"/>
  <c r="D6" i="8"/>
  <c r="C6" i="8"/>
  <c r="AF1098" i="8" a="1"/>
  <c r="AF1033" i="8" a="1"/>
  <c r="AF949" i="8" a="1"/>
  <c r="AF1074" i="8" a="1"/>
  <c r="AF1050" i="8" a="1"/>
  <c r="AF1020" i="8" a="1"/>
  <c r="AF948" i="8" a="1"/>
  <c r="AF554" i="8" a="1"/>
  <c r="AF538" i="8" a="1"/>
  <c r="AF1005" i="8" a="1"/>
  <c r="AF1097" i="8" a="1"/>
  <c r="AF1096" i="8" a="1"/>
  <c r="AF1076" i="8" a="1"/>
  <c r="AF1042" i="8" a="1"/>
  <c r="AF1016" i="8" a="1"/>
  <c r="AF820" i="8" a="1"/>
  <c r="AF1073" i="8" a="1"/>
  <c r="AF1049" i="8" a="1"/>
  <c r="AF969" i="8" a="1"/>
  <c r="AF947" i="8" a="1"/>
  <c r="AF1113" i="8" a="1"/>
  <c r="AF824" i="8" a="1"/>
  <c r="AF754" i="8" a="1"/>
  <c r="AF466" i="8" a="1"/>
  <c r="AF787" i="8" a="1"/>
  <c r="AF645" i="8" a="1"/>
  <c r="AF688" i="8" a="1"/>
  <c r="AF1114" i="8" a="1"/>
  <c r="AF887" i="8" a="1"/>
  <c r="AF679" i="8" a="1"/>
  <c r="AF968" i="8" a="1"/>
  <c r="AF889" i="8" a="1"/>
  <c r="AF755" i="8" a="1"/>
  <c r="AF892" i="8" a="1"/>
  <c r="AF1027" i="8" a="1"/>
  <c r="AF967" i="8" a="1"/>
  <c r="AF530" i="8" a="1"/>
  <c r="AF1003" i="8" a="1"/>
  <c r="AF701" i="8" a="1"/>
  <c r="AF705" i="8" a="1"/>
  <c r="AF1129" i="8" a="1"/>
  <c r="AF757" i="8" a="1"/>
  <c r="AF977" i="8" a="1"/>
  <c r="AF651" i="8" a="1"/>
  <c r="AF885" i="8" a="1"/>
  <c r="AF965" i="8" a="1"/>
  <c r="AF687" i="8" a="1"/>
  <c r="AF890" i="8" a="1"/>
  <c r="AF756" i="8" a="1"/>
  <c r="AF1161" i="8" a="1"/>
  <c r="AF678" i="8" a="1"/>
  <c r="AF971" i="8" a="1"/>
  <c r="AF893" i="8" a="1"/>
  <c r="AF996" i="8" a="1"/>
  <c r="AF1118" i="8" a="1"/>
  <c r="AF966" i="8" a="1"/>
  <c r="AF1117" i="8" a="1"/>
  <c r="AF886" i="8" a="1"/>
  <c r="AF693" i="8" a="1"/>
  <c r="AF884" i="8" a="1"/>
  <c r="AF1116" i="8" a="1"/>
  <c r="AF1119" i="8" a="1"/>
  <c r="AF1115" i="8" a="1"/>
  <c r="AF706" i="8" a="1"/>
  <c r="AF1120" i="8" a="1"/>
  <c r="AF566" i="8" a="1"/>
  <c r="AF891" i="8" a="1"/>
  <c r="AF972" i="8" a="1"/>
  <c r="E63" i="14" l="1" a="1"/>
  <c r="E63" i="14" s="1"/>
  <c r="E21" i="14" a="1"/>
  <c r="E21" i="14" s="1"/>
  <c r="E56" i="14" a="1"/>
  <c r="E56" i="14" s="1"/>
  <c r="E91" i="14" a="1"/>
  <c r="E91" i="14" s="1"/>
  <c r="E20" i="14" a="1"/>
  <c r="E20" i="14" s="1"/>
  <c r="E84" i="14" a="1"/>
  <c r="E84" i="14" s="1"/>
  <c r="E77" i="14" a="1"/>
  <c r="E77" i="14" s="1"/>
  <c r="E49" i="14" a="1"/>
  <c r="E49" i="14" s="1"/>
  <c r="E76" i="14" a="1"/>
  <c r="E76" i="14" s="1"/>
  <c r="E8" i="14" a="1"/>
  <c r="E8" i="14" s="1"/>
  <c r="E97" i="14" a="1"/>
  <c r="E97" i="14" s="1"/>
  <c r="E19" i="14" a="1"/>
  <c r="E19" i="14" s="1"/>
  <c r="E136" i="14" a="1"/>
  <c r="E136" i="14" s="1"/>
  <c r="E129" i="14" a="1"/>
  <c r="E129" i="14" s="1"/>
  <c r="E121" i="14" a="1"/>
  <c r="E121" i="14" s="1"/>
  <c r="E114" i="14" a="1"/>
  <c r="E114" i="14" s="1"/>
  <c r="E38" i="14" a="1"/>
  <c r="E38" i="14" s="1"/>
  <c r="E90" i="14" a="1"/>
  <c r="E90" i="14" s="1"/>
  <c r="E48" i="14" a="1"/>
  <c r="E48" i="14" s="1"/>
  <c r="E107" i="14" a="1"/>
  <c r="E107" i="14" s="1"/>
  <c r="E83" i="14" a="1"/>
  <c r="E83" i="14" s="1"/>
  <c r="E55" i="14" a="1"/>
  <c r="E55" i="14" s="1"/>
  <c r="E27" i="14" a="1"/>
  <c r="E27" i="14" s="1"/>
  <c r="P780" i="8" a="1"/>
  <c r="E98" i="14" a="1"/>
  <c r="E98" i="14" s="1"/>
  <c r="E69" i="14" a="1"/>
  <c r="E69" i="14" s="1"/>
  <c r="E105" i="14" a="1"/>
  <c r="E105" i="14" s="1"/>
  <c r="E119" i="14" a="1"/>
  <c r="E119" i="14" s="1"/>
  <c r="E112" i="14" a="1"/>
  <c r="E112" i="14" s="1"/>
  <c r="E93" i="14" a="1"/>
  <c r="E93" i="14" s="1"/>
  <c r="E86" i="14" a="1"/>
  <c r="E86" i="14" s="1"/>
  <c r="E79" i="14" a="1"/>
  <c r="E79" i="14" s="1"/>
  <c r="E72" i="14" a="1"/>
  <c r="E72" i="14" s="1"/>
  <c r="E65" i="14" a="1"/>
  <c r="E65" i="14" s="1"/>
  <c r="E58" i="14" a="1"/>
  <c r="E58" i="14" s="1"/>
  <c r="E51" i="14" a="1"/>
  <c r="E51" i="14" s="1"/>
  <c r="E44" i="14" a="1"/>
  <c r="E44" i="14" s="1"/>
  <c r="J652" i="8" a="1"/>
  <c r="P679" i="8" a="1"/>
  <c r="J776" i="8" a="1"/>
  <c r="J776" i="8" s="1"/>
  <c r="E70" i="14" a="1"/>
  <c r="E70" i="14" s="1"/>
  <c r="E62" i="14" a="1"/>
  <c r="E62" i="14" s="1"/>
  <c r="E26" i="14" a="1"/>
  <c r="E26" i="14" s="1"/>
  <c r="O531" i="8" a="1"/>
  <c r="O804" i="8" a="1"/>
  <c r="P897" i="8" a="1"/>
  <c r="E111" i="14" a="1"/>
  <c r="E111" i="14" s="1"/>
  <c r="E17" i="14" a="1"/>
  <c r="E17" i="14" s="1"/>
  <c r="E139" i="14" a="1"/>
  <c r="E139" i="14" s="1"/>
  <c r="E132" i="14" a="1"/>
  <c r="E132" i="14" s="1"/>
  <c r="E125" i="14" a="1"/>
  <c r="E125" i="14" s="1"/>
  <c r="E23" i="14" a="1"/>
  <c r="E23" i="14" s="1"/>
  <c r="E7" i="14" a="1"/>
  <c r="E7" i="14" s="1"/>
  <c r="E118" i="14" a="1"/>
  <c r="E118" i="14" s="1"/>
  <c r="E24" i="14" a="1"/>
  <c r="E24" i="14" s="1"/>
  <c r="E41" i="14" a="1"/>
  <c r="E41" i="14" s="1"/>
  <c r="E33" i="14" a="1"/>
  <c r="E33" i="14" s="1"/>
  <c r="O676" i="8" a="1"/>
  <c r="O676" i="8" s="1"/>
  <c r="P788" i="8" a="1"/>
  <c r="P788" i="8" s="1"/>
  <c r="P896" i="8" a="1"/>
  <c r="P896" i="8" s="1"/>
  <c r="E40" i="14" a="1"/>
  <c r="E40" i="14" s="1"/>
  <c r="O1128" i="8" a="1"/>
  <c r="E134" i="14" a="1"/>
  <c r="E134" i="14" s="1"/>
  <c r="E92" i="14" a="1"/>
  <c r="E92" i="14" s="1"/>
  <c r="E78" i="14" a="1"/>
  <c r="E78" i="14" s="1"/>
  <c r="E64" i="14" a="1"/>
  <c r="E64" i="14" s="1"/>
  <c r="E50" i="14" a="1"/>
  <c r="E50" i="14" s="1"/>
  <c r="E9" i="14" a="1"/>
  <c r="E9" i="14" s="1"/>
  <c r="J551" i="8" a="1"/>
  <c r="J551" i="8" s="1"/>
  <c r="P1187" i="8" a="1"/>
  <c r="P1187" i="8" s="1"/>
  <c r="E127" i="14" a="1"/>
  <c r="E127" i="14" s="1"/>
  <c r="E120" i="14" a="1"/>
  <c r="E120" i="14" s="1"/>
  <c r="E113" i="14" a="1"/>
  <c r="E113" i="14" s="1"/>
  <c r="E99" i="14" a="1"/>
  <c r="E99" i="14" s="1"/>
  <c r="E85" i="14" a="1"/>
  <c r="E85" i="14" s="1"/>
  <c r="E71" i="14" a="1"/>
  <c r="E71" i="14" s="1"/>
  <c r="E57" i="14" a="1"/>
  <c r="E57" i="14" s="1"/>
  <c r="E35" i="14" a="1"/>
  <c r="E35" i="14" s="1"/>
  <c r="J707" i="8" a="1"/>
  <c r="J707" i="8" s="1"/>
  <c r="E42" i="14" a="1"/>
  <c r="E42" i="14" s="1"/>
  <c r="E25" i="14" a="1"/>
  <c r="E25" i="14" s="1"/>
  <c r="E18" i="14" a="1"/>
  <c r="E18" i="14" s="1"/>
  <c r="P891" i="8" a="1"/>
  <c r="P891" i="8" s="1"/>
  <c r="P1009" i="8" a="1"/>
  <c r="P1009" i="8" s="1"/>
  <c r="O1126" i="8" a="1"/>
  <c r="O1126" i="8" s="1"/>
  <c r="E138" i="14" a="1"/>
  <c r="E138" i="14" s="1"/>
  <c r="E124" i="14" a="1"/>
  <c r="E124" i="14" s="1"/>
  <c r="E110" i="14" a="1"/>
  <c r="E110" i="14" s="1"/>
  <c r="E89" i="14" a="1"/>
  <c r="E89" i="14" s="1"/>
  <c r="E68" i="14" a="1"/>
  <c r="E68" i="14" s="1"/>
  <c r="E61" i="14" a="1"/>
  <c r="E61" i="14" s="1"/>
  <c r="E137" i="14" a="1"/>
  <c r="E137" i="14" s="1"/>
  <c r="E130" i="14" a="1"/>
  <c r="E130" i="14" s="1"/>
  <c r="E123" i="14" a="1"/>
  <c r="E123" i="14" s="1"/>
  <c r="E116" i="14" a="1"/>
  <c r="E116" i="14" s="1"/>
  <c r="E102" i="14" a="1"/>
  <c r="E102" i="14" s="1"/>
  <c r="E88" i="14" a="1"/>
  <c r="E88" i="14" s="1"/>
  <c r="E81" i="14" a="1"/>
  <c r="E81" i="14" s="1"/>
  <c r="E74" i="14" a="1"/>
  <c r="E74" i="14" s="1"/>
  <c r="E67" i="14" a="1"/>
  <c r="E67" i="14" s="1"/>
  <c r="E60" i="14" a="1"/>
  <c r="E60" i="14" s="1"/>
  <c r="E53" i="14" a="1"/>
  <c r="E53" i="14" s="1"/>
  <c r="E46" i="14" a="1"/>
  <c r="E46" i="14" s="1"/>
  <c r="O527" i="8" a="1"/>
  <c r="O781" i="8" a="1"/>
  <c r="J796" i="8" a="1"/>
  <c r="J796" i="8" s="1"/>
  <c r="P1127" i="8" a="1"/>
  <c r="P1127" i="8" s="1"/>
  <c r="J1174" i="8" a="1"/>
  <c r="J1174" i="8" s="1"/>
  <c r="E131" i="14" a="1"/>
  <c r="E131" i="14" s="1"/>
  <c r="E103" i="14" a="1"/>
  <c r="E103" i="14" s="1"/>
  <c r="E75" i="14" a="1"/>
  <c r="E75" i="14" s="1"/>
  <c r="E47" i="14" a="1"/>
  <c r="E47" i="14" s="1"/>
  <c r="E39" i="14" a="1"/>
  <c r="E39" i="14" s="1"/>
  <c r="P706" i="8" a="1"/>
  <c r="P706" i="8" s="1"/>
  <c r="O890" i="8" a="1"/>
  <c r="O890" i="8" s="1"/>
  <c r="O984" i="8" a="1"/>
  <c r="O984" i="8" s="1"/>
  <c r="E96" i="14" a="1"/>
  <c r="E96" i="14" s="1"/>
  <c r="E22" i="14" a="1"/>
  <c r="E22" i="14" s="1"/>
  <c r="E115" i="14" a="1"/>
  <c r="E115" i="14" s="1"/>
  <c r="E101" i="14" a="1"/>
  <c r="E101" i="14" s="1"/>
  <c r="E94" i="14" a="1"/>
  <c r="E94" i="14" s="1"/>
  <c r="E87" i="14" a="1"/>
  <c r="E87" i="14" s="1"/>
  <c r="E80" i="14" a="1"/>
  <c r="E80" i="14" s="1"/>
  <c r="E73" i="14" a="1"/>
  <c r="E73" i="14" s="1"/>
  <c r="E66" i="14" a="1"/>
  <c r="E66" i="14" s="1"/>
  <c r="E59" i="14" a="1"/>
  <c r="E59" i="14" s="1"/>
  <c r="E52" i="14" a="1"/>
  <c r="E52" i="14" s="1"/>
  <c r="E45" i="14" a="1"/>
  <c r="E45" i="14" s="1"/>
  <c r="E11" i="14" a="1"/>
  <c r="E11" i="14" s="1"/>
  <c r="P680" i="8" a="1"/>
  <c r="P680" i="8" s="1"/>
  <c r="O790" i="8" a="1"/>
  <c r="O790" i="8" s="1"/>
  <c r="P805" i="8" a="1"/>
  <c r="P890" i="8" a="1"/>
  <c r="P890" i="8" s="1"/>
  <c r="E117" i="14" a="1"/>
  <c r="E117" i="14" s="1"/>
  <c r="E82" i="14" a="1"/>
  <c r="E82" i="14" s="1"/>
  <c r="E54" i="14" a="1"/>
  <c r="E54" i="14" s="1"/>
  <c r="J521" i="8" a="1"/>
  <c r="J521" i="8" s="1"/>
  <c r="J569" i="8" a="1"/>
  <c r="J569" i="8" s="1"/>
  <c r="O678" i="8" a="1"/>
  <c r="O678" i="8" s="1"/>
  <c r="O888" i="8" a="1"/>
  <c r="O888" i="8" s="1"/>
  <c r="O907" i="8" a="1"/>
  <c r="O907" i="8" s="1"/>
  <c r="O1189" i="8" a="1"/>
  <c r="O1189" i="8" s="1"/>
  <c r="P530" i="8" a="1"/>
  <c r="P530" i="8" s="1"/>
  <c r="P651" i="8" a="1"/>
  <c r="P651" i="8" s="1"/>
  <c r="P678" i="8" a="1"/>
  <c r="P678" i="8" s="1"/>
  <c r="J689" i="8" a="1"/>
  <c r="O788" i="8" a="1"/>
  <c r="O788" i="8" s="1"/>
  <c r="O896" i="8" a="1"/>
  <c r="O896" i="8" s="1"/>
  <c r="P1189" i="8" a="1"/>
  <c r="P1189" i="8" s="1"/>
  <c r="P907" i="8" a="1"/>
  <c r="P907" i="8" s="1"/>
  <c r="O650" i="8" a="1"/>
  <c r="O650" i="8" s="1"/>
  <c r="P529" i="8" a="1"/>
  <c r="P529" i="8" s="1"/>
  <c r="O623" i="8" a="1"/>
  <c r="O623" i="8" s="1"/>
  <c r="J680" i="8" a="1"/>
  <c r="J680" i="8" s="1"/>
  <c r="O694" i="8" a="1"/>
  <c r="O694" i="8" s="1"/>
  <c r="O707" i="8" a="1"/>
  <c r="O707" i="8" s="1"/>
  <c r="O529" i="8" a="1"/>
  <c r="O529" i="8" s="1"/>
  <c r="J523" i="8" a="1"/>
  <c r="J523" i="8" s="1"/>
  <c r="P789" i="8" a="1"/>
  <c r="P789" i="8" s="1"/>
  <c r="P1126" i="8" a="1"/>
  <c r="P1126" i="8" s="1"/>
  <c r="P1128" i="8" a="1"/>
  <c r="P1128" i="8" s="1"/>
  <c r="O1148" i="8" a="1"/>
  <c r="O1148" i="8" s="1"/>
  <c r="P694" i="8" a="1"/>
  <c r="P694" i="8" s="1"/>
  <c r="P707" i="8" a="1"/>
  <c r="P707" i="8" s="1"/>
  <c r="J777" i="8" a="1"/>
  <c r="J777" i="8" s="1"/>
  <c r="O779" i="8" a="1"/>
  <c r="O779" i="8" s="1"/>
  <c r="P990" i="8" a="1"/>
  <c r="P990" i="8" s="1"/>
  <c r="P1008" i="8" a="1"/>
  <c r="P1008" i="8" s="1"/>
  <c r="O692" i="8" a="1"/>
  <c r="O692" i="8" s="1"/>
  <c r="O705" i="8" a="1"/>
  <c r="O705" i="8" s="1"/>
  <c r="O777" i="8" a="1"/>
  <c r="O777" i="8" s="1"/>
  <c r="P779" i="8" a="1"/>
  <c r="P779" i="8" s="1"/>
  <c r="J522" i="8" a="1"/>
  <c r="J522" i="8" s="1"/>
  <c r="O652" i="8" a="1"/>
  <c r="O652" i="8" s="1"/>
  <c r="P692" i="8" a="1"/>
  <c r="P692" i="8" s="1"/>
  <c r="J703" i="8" a="1"/>
  <c r="J703" i="8" s="1"/>
  <c r="P705" i="8" a="1"/>
  <c r="P705" i="8" s="1"/>
  <c r="P790" i="8" a="1"/>
  <c r="P790" i="8" s="1"/>
  <c r="P988" i="8" a="1"/>
  <c r="P988" i="8" s="1"/>
  <c r="P531" i="8" a="1"/>
  <c r="P531" i="8" s="1"/>
  <c r="J650" i="8" a="1"/>
  <c r="J650" i="8" s="1"/>
  <c r="P652" i="8" a="1"/>
  <c r="P652" i="8" s="1"/>
  <c r="O690" i="8" a="1"/>
  <c r="O690" i="8" s="1"/>
  <c r="O703" i="8" a="1"/>
  <c r="O703" i="8" s="1"/>
  <c r="M907" i="8" a="1"/>
  <c r="M907" i="8" s="1"/>
  <c r="L680" i="8" a="1"/>
  <c r="L680" i="8" s="1"/>
  <c r="N777" i="8" a="1"/>
  <c r="N777" i="8" s="1"/>
  <c r="N790" i="8" a="1"/>
  <c r="N790" i="8" s="1"/>
  <c r="M523" i="8" a="1"/>
  <c r="M523" i="8" s="1"/>
  <c r="L569" i="8" a="1"/>
  <c r="L569" i="8" s="1"/>
  <c r="K796" i="8" a="1"/>
  <c r="K796" i="8" s="1"/>
  <c r="J18" i="14" a="1"/>
  <c r="J18" i="14" s="1"/>
  <c r="AI828" i="8" a="1"/>
  <c r="AI828" i="8" s="1"/>
  <c r="AF1042" i="8"/>
  <c r="AF1152" i="8" a="1"/>
  <c r="AF1152" i="8" s="1"/>
  <c r="AF1036" i="8" a="1"/>
  <c r="AF1036" i="8" s="1"/>
  <c r="AG1088" i="8" a="1"/>
  <c r="AG1088" i="8" s="1"/>
  <c r="AF1196" i="8" a="1"/>
  <c r="AF1196" i="8" s="1"/>
  <c r="AI1194" i="8" a="1"/>
  <c r="AI1194" i="8" s="1"/>
  <c r="AG1192" i="8" a="1"/>
  <c r="AG1192" i="8" s="1"/>
  <c r="AI1084" i="8" a="1"/>
  <c r="AI1084" i="8" s="1"/>
  <c r="AG800" i="8" a="1"/>
  <c r="AG800" i="8" s="1"/>
  <c r="AG408" i="8" a="1"/>
  <c r="AG408" i="8" s="1"/>
  <c r="AG618" i="8" a="1"/>
  <c r="AG618" i="8" s="1"/>
  <c r="AI702" i="8" a="1"/>
  <c r="AI702" i="8" s="1"/>
  <c r="AH788" i="8" a="1"/>
  <c r="AH788" i="8" s="1"/>
  <c r="AH1108" i="8" a="1"/>
  <c r="AH1108" i="8" s="1"/>
  <c r="AI788" i="8" a="1"/>
  <c r="AI788" i="8" s="1"/>
  <c r="AI1136" i="8" a="1"/>
  <c r="AI1136" i="8" s="1"/>
  <c r="AH1098" i="8" a="1"/>
  <c r="AH1098" i="8" s="1"/>
  <c r="AF436" i="8" a="1"/>
  <c r="AF436" i="8" s="1"/>
  <c r="AG478" i="8" a="1"/>
  <c r="AG478" i="8" s="1"/>
  <c r="AI791" i="8" a="1"/>
  <c r="AI791" i="8" s="1"/>
  <c r="AI396" i="8" a="1"/>
  <c r="AI396" i="8" s="1"/>
  <c r="AG521" i="8" a="1"/>
  <c r="AG521" i="8" s="1"/>
  <c r="AG757" i="8" a="1"/>
  <c r="AG757" i="8" s="1"/>
  <c r="AH408" i="8" a="1"/>
  <c r="AH408" i="8" s="1"/>
  <c r="AI1051" i="8" a="1"/>
  <c r="AI1051" i="8" s="1"/>
  <c r="AI947" i="8" a="1"/>
  <c r="AI947" i="8" s="1"/>
  <c r="AG1167" i="8" a="1"/>
  <c r="AG1167" i="8" s="1"/>
  <c r="AG1121" i="8" a="1"/>
  <c r="AG1121" i="8" s="1"/>
  <c r="AI1121" i="8" a="1"/>
  <c r="AI1121" i="8" s="1"/>
  <c r="AI1027" i="8" a="1"/>
  <c r="AI1027" i="8" s="1"/>
  <c r="AI859" i="8" a="1"/>
  <c r="AI859" i="8" s="1"/>
  <c r="AH436" i="8" a="1"/>
  <c r="AH436" i="8" s="1"/>
  <c r="AI869" i="8" a="1"/>
  <c r="AI869" i="8" s="1"/>
  <c r="AG1111" i="8" a="1"/>
  <c r="AG1111" i="8" s="1"/>
  <c r="AG859" i="8" a="1"/>
  <c r="AG859" i="8" s="1"/>
  <c r="AH869" i="8" a="1"/>
  <c r="AH869" i="8" s="1"/>
  <c r="AI1149" i="8" a="1"/>
  <c r="AI1149" i="8" s="1"/>
  <c r="AG871" i="8" a="1"/>
  <c r="AG871" i="8" s="1"/>
  <c r="AG883" i="8" a="1"/>
  <c r="AG883" i="8" s="1"/>
  <c r="AI1009" i="8" a="1"/>
  <c r="AI1009" i="8" s="1"/>
  <c r="AH729" i="8" a="1"/>
  <c r="AH729" i="8" s="1"/>
  <c r="AH1023" i="8" a="1"/>
  <c r="AH1023" i="8" s="1"/>
  <c r="AI551" i="8" a="1"/>
  <c r="AI551" i="8" s="1"/>
  <c r="AF581" i="8" a="1"/>
  <c r="AF581" i="8" s="1"/>
  <c r="AH211" i="8" a="1"/>
  <c r="AH211" i="8" s="1"/>
  <c r="AH581" i="8" a="1"/>
  <c r="AH581" i="8" s="1"/>
  <c r="AI561" i="8" a="1"/>
  <c r="AI561" i="8" s="1"/>
  <c r="AG1023" i="8" a="1"/>
  <c r="AG1023" i="8" s="1"/>
  <c r="AI413" i="8" a="1"/>
  <c r="AI413" i="8" s="1"/>
  <c r="AH871" i="8" a="1"/>
  <c r="AH871" i="8" s="1"/>
  <c r="P809" i="8" a="1"/>
  <c r="P809" i="8" s="1"/>
  <c r="P827" i="8" a="1"/>
  <c r="P827" i="8" s="1"/>
  <c r="O1064" i="8" a="1"/>
  <c r="O1064" i="8" s="1"/>
  <c r="AG561" i="8" a="1"/>
  <c r="AG561" i="8" s="1"/>
  <c r="AH843" i="8" a="1"/>
  <c r="AH843" i="8" s="1"/>
  <c r="AI1054" i="8" a="1"/>
  <c r="AI1054" i="8" s="1"/>
  <c r="P1000" i="8" a="1"/>
  <c r="P1000" i="8" s="1"/>
  <c r="P1162" i="8" a="1"/>
  <c r="P1162" i="8" s="1"/>
  <c r="AG241" i="8" a="1"/>
  <c r="AG241" i="8" s="1"/>
  <c r="AG271" i="8" a="1"/>
  <c r="AG271" i="8" s="1"/>
  <c r="AH953" i="8" a="1"/>
  <c r="AH953" i="8" s="1"/>
  <c r="O971" i="8" a="1"/>
  <c r="O971" i="8" s="1"/>
  <c r="AF927" i="8" a="1"/>
  <c r="AF927" i="8" s="1"/>
  <c r="AH1065" i="8" a="1"/>
  <c r="AH1065" i="8" s="1"/>
  <c r="P734" i="8" a="1"/>
  <c r="P734" i="8" s="1"/>
  <c r="AI211" i="8" a="1"/>
  <c r="AI211" i="8" s="1"/>
  <c r="AF384" i="8" a="1"/>
  <c r="AF384" i="8" s="1"/>
  <c r="AG791" i="8" a="1"/>
  <c r="AG791" i="8" s="1"/>
  <c r="AH1079" i="8" a="1"/>
  <c r="AH1079" i="8" s="1"/>
  <c r="AI538" i="8" a="1"/>
  <c r="AI538" i="8" s="1"/>
  <c r="O338" i="8" a="1"/>
  <c r="O338" i="8" s="1"/>
  <c r="AH939" i="8" a="1"/>
  <c r="AH939" i="8" s="1"/>
  <c r="AH241" i="8" a="1"/>
  <c r="AH241" i="8" s="1"/>
  <c r="AI799" i="8" a="1"/>
  <c r="AI799" i="8" s="1"/>
  <c r="AI939" i="8" a="1"/>
  <c r="AI939" i="8" s="1"/>
  <c r="AI1107" i="8" a="1"/>
  <c r="AI1107" i="8" s="1"/>
  <c r="AG576" i="8" a="1"/>
  <c r="AG576" i="8" s="1"/>
  <c r="AF953" i="8" a="1"/>
  <c r="AF953" i="8" s="1"/>
  <c r="AG1065" i="8" a="1"/>
  <c r="AG1065" i="8" s="1"/>
  <c r="AG534" i="8" a="1"/>
  <c r="AG534" i="8" s="1"/>
  <c r="AI269" i="8" a="1"/>
  <c r="AI269" i="8" s="1"/>
  <c r="AG827" i="8" a="1"/>
  <c r="AG827" i="8" s="1"/>
  <c r="AG953" i="8" a="1"/>
  <c r="AG953" i="8" s="1"/>
  <c r="AI1111" i="8" a="1"/>
  <c r="AI1111" i="8" s="1"/>
  <c r="AG452" i="8" a="1"/>
  <c r="AG452" i="8" s="1"/>
  <c r="AH576" i="8" a="1"/>
  <c r="AH576" i="8" s="1"/>
  <c r="AF217" i="8" a="1"/>
  <c r="AF217" i="8" s="1"/>
  <c r="AI729" i="8" a="1"/>
  <c r="AI729" i="8" s="1"/>
  <c r="AG799" i="8" a="1"/>
  <c r="AG799" i="8" s="1"/>
  <c r="AH1051" i="8" a="1"/>
  <c r="AH1051" i="8" s="1"/>
  <c r="AH1163" i="8" a="1"/>
  <c r="AH1163" i="8" s="1"/>
  <c r="O21" i="8" a="1"/>
  <c r="O21" i="8" s="1"/>
  <c r="O23" i="8" a="1"/>
  <c r="O23" i="8" s="1"/>
  <c r="O25" i="8" a="1"/>
  <c r="O25" i="8" s="1"/>
  <c r="O67" i="8" a="1"/>
  <c r="O67" i="8" s="1"/>
  <c r="O143" i="8" a="1"/>
  <c r="O143" i="8" s="1"/>
  <c r="O179" i="8" a="1"/>
  <c r="O179" i="8" s="1"/>
  <c r="O195" i="8" a="1"/>
  <c r="O195" i="8" s="1"/>
  <c r="O217" i="8" a="1"/>
  <c r="O217" i="8" s="1"/>
  <c r="O219" i="8" a="1"/>
  <c r="O219" i="8" s="1"/>
  <c r="O221" i="8" a="1"/>
  <c r="O221" i="8" s="1"/>
  <c r="O245" i="8" a="1"/>
  <c r="O245" i="8" s="1"/>
  <c r="O247" i="8" a="1"/>
  <c r="O247" i="8" s="1"/>
  <c r="J768" i="8" a="1"/>
  <c r="J768" i="8" s="1"/>
  <c r="AF631" i="8" a="1"/>
  <c r="AF631" i="8" s="1"/>
  <c r="AH382" i="8" a="1"/>
  <c r="AH382" i="8" s="1"/>
  <c r="AF450" i="8" a="1"/>
  <c r="AF450" i="8" s="1"/>
  <c r="AG281" i="8" a="1"/>
  <c r="AG281" i="8" s="1"/>
  <c r="AG548" i="8" a="1"/>
  <c r="AG548" i="8" s="1"/>
  <c r="AG649" i="8" a="1"/>
  <c r="AG649" i="8" s="1"/>
  <c r="AH771" i="8" a="1"/>
  <c r="AH771" i="8" s="1"/>
  <c r="AG967" i="8" a="1"/>
  <c r="AG967" i="8" s="1"/>
  <c r="AI1079" i="8" a="1"/>
  <c r="AI1079" i="8" s="1"/>
  <c r="AI677" i="8" a="1"/>
  <c r="AI677" i="8" s="1"/>
  <c r="AH281" i="8" a="1"/>
  <c r="AH281" i="8" s="1"/>
  <c r="AH551" i="8" a="1"/>
  <c r="AH551" i="8" s="1"/>
  <c r="AI649" i="8" a="1"/>
  <c r="AI649" i="8" s="1"/>
  <c r="AI771" i="8" a="1"/>
  <c r="AI771" i="8" s="1"/>
  <c r="AI855" i="8" a="1"/>
  <c r="AI855" i="8" s="1"/>
  <c r="AH967" i="8" a="1"/>
  <c r="AH967" i="8" s="1"/>
  <c r="AI1195" i="8" a="1"/>
  <c r="AI1195" i="8" s="1"/>
  <c r="AG801" i="8" a="1"/>
  <c r="AG801" i="8" s="1"/>
  <c r="P673" i="8" a="1"/>
  <c r="P673" i="8" s="1"/>
  <c r="P757" i="8" a="1"/>
  <c r="P757" i="8" s="1"/>
  <c r="P759" i="8" a="1"/>
  <c r="P759" i="8" s="1"/>
  <c r="P761" i="8" a="1"/>
  <c r="P761" i="8" s="1"/>
  <c r="P763" i="8" a="1"/>
  <c r="P763" i="8" s="1"/>
  <c r="P767" i="8" a="1"/>
  <c r="P767" i="8" s="1"/>
  <c r="P775" i="8" a="1"/>
  <c r="P775" i="8" s="1"/>
  <c r="AG631" i="8" a="1"/>
  <c r="AG631" i="8" s="1"/>
  <c r="P364" i="8" a="1"/>
  <c r="P364" i="8" s="1"/>
  <c r="AH185" i="8" a="1"/>
  <c r="AH185" i="8" s="1"/>
  <c r="AI380" i="8" a="1"/>
  <c r="AI380" i="8" s="1"/>
  <c r="AI659" i="8" a="1"/>
  <c r="AI659" i="8" s="1"/>
  <c r="AH785" i="8" a="1"/>
  <c r="AH785" i="8" s="1"/>
  <c r="AH757" i="8" a="1"/>
  <c r="AH757" i="8" s="1"/>
  <c r="AH534" i="8" a="1"/>
  <c r="AH534" i="8" s="1"/>
  <c r="AH659" i="8" a="1"/>
  <c r="AH659" i="8" s="1"/>
  <c r="AH605" i="8" a="1"/>
  <c r="AH605" i="8" s="1"/>
  <c r="AF590" i="8" a="1"/>
  <c r="AF590" i="8" s="1"/>
  <c r="AI200" i="8" a="1"/>
  <c r="AI200" i="8" s="1"/>
  <c r="AF382" i="8" a="1"/>
  <c r="AF382" i="8" s="1"/>
  <c r="AH561" i="8" a="1"/>
  <c r="AH561" i="8" s="1"/>
  <c r="AH692" i="8" a="1"/>
  <c r="AH692" i="8" s="1"/>
  <c r="AI785" i="8" a="1"/>
  <c r="AI785" i="8" s="1"/>
  <c r="AH1009" i="8" a="1"/>
  <c r="AH1009" i="8" s="1"/>
  <c r="O394" i="8" a="1"/>
  <c r="O394" i="8" s="1"/>
  <c r="O462" i="8" a="1"/>
  <c r="O462" i="8" s="1"/>
  <c r="AG421" i="8" a="1"/>
  <c r="AG421" i="8" s="1"/>
  <c r="O28" i="8" a="1"/>
  <c r="O28" i="8" s="1"/>
  <c r="O40" i="8" a="1"/>
  <c r="O40" i="8" s="1"/>
  <c r="O42" i="8" a="1"/>
  <c r="O42" i="8" s="1"/>
  <c r="O78" i="8" a="1"/>
  <c r="O78" i="8" s="1"/>
  <c r="O80" i="8" a="1"/>
  <c r="O80" i="8" s="1"/>
  <c r="O88" i="8" a="1"/>
  <c r="O88" i="8" s="1"/>
  <c r="P963" i="8" a="1"/>
  <c r="P963" i="8" s="1"/>
  <c r="P967" i="8" a="1"/>
  <c r="P967" i="8" s="1"/>
  <c r="P969" i="8" a="1"/>
  <c r="P969" i="8" s="1"/>
  <c r="P977" i="8" a="1"/>
  <c r="P977" i="8" s="1"/>
  <c r="AI271" i="8" a="1"/>
  <c r="AI271" i="8" s="1"/>
  <c r="AG589" i="8" a="1"/>
  <c r="AG589" i="8" s="1"/>
  <c r="AH702" i="8" a="1"/>
  <c r="AH702" i="8" s="1"/>
  <c r="AG535" i="8" a="1"/>
  <c r="AG535" i="8" s="1"/>
  <c r="P52" i="8" a="1"/>
  <c r="P52" i="8" s="1"/>
  <c r="P78" i="8" a="1"/>
  <c r="P78" i="8" s="1"/>
  <c r="AH351" i="8" a="1"/>
  <c r="AH351" i="8" s="1"/>
  <c r="AG467" i="8" a="1"/>
  <c r="AG467" i="8" s="1"/>
  <c r="AI1083" i="8" a="1"/>
  <c r="AI1083" i="8" s="1"/>
  <c r="AG563" i="8" a="1"/>
  <c r="AG563" i="8" s="1"/>
  <c r="AI563" i="8" a="1"/>
  <c r="AI563" i="8" s="1"/>
  <c r="AH632" i="8" a="1"/>
  <c r="AH632" i="8" s="1"/>
  <c r="AG981" i="8" a="1"/>
  <c r="AG981" i="8" s="1"/>
  <c r="O936" i="8" a="1"/>
  <c r="O936" i="8" s="1"/>
  <c r="O940" i="8" a="1"/>
  <c r="O940" i="8" s="1"/>
  <c r="AH465" i="8" a="1"/>
  <c r="AH465" i="8" s="1"/>
  <c r="AI1023" i="8" a="1"/>
  <c r="AI1023" i="8" s="1"/>
  <c r="AG1135" i="8" a="1"/>
  <c r="AG1135" i="8" s="1"/>
  <c r="AG240" i="8" a="1"/>
  <c r="AG240" i="8" s="1"/>
  <c r="AH575" i="8" a="1"/>
  <c r="AH575" i="8" s="1"/>
  <c r="AI981" i="8" a="1"/>
  <c r="AI981" i="8" s="1"/>
  <c r="AH1037" i="8" a="1"/>
  <c r="AH1037" i="8" s="1"/>
  <c r="AH1093" i="8" a="1"/>
  <c r="AH1093" i="8" s="1"/>
  <c r="AI1135" i="8" a="1"/>
  <c r="AI1135" i="8" s="1"/>
  <c r="AI993" i="8" a="1"/>
  <c r="AI993" i="8" s="1"/>
  <c r="AH855" i="8" a="1"/>
  <c r="AH855" i="8" s="1"/>
  <c r="AG604" i="8" a="1"/>
  <c r="AG604" i="8" s="1"/>
  <c r="P323" i="8" a="1"/>
  <c r="P323" i="8" s="1"/>
  <c r="P337" i="8" a="1"/>
  <c r="P337" i="8" s="1"/>
  <c r="P615" i="8" a="1"/>
  <c r="P615" i="8" s="1"/>
  <c r="AG1037" i="8" a="1"/>
  <c r="AG1037" i="8" s="1"/>
  <c r="AI575" i="8" a="1"/>
  <c r="AI575" i="8" s="1"/>
  <c r="AG841" i="8" a="1"/>
  <c r="AG841" i="8" s="1"/>
  <c r="AG995" i="8" a="1"/>
  <c r="AG995" i="8" s="1"/>
  <c r="AI1093" i="8" a="1"/>
  <c r="AI1093" i="8" s="1"/>
  <c r="AG646" i="8" a="1"/>
  <c r="AG646" i="8" s="1"/>
  <c r="O373" i="8" a="1"/>
  <c r="O373" i="8" s="1"/>
  <c r="AI467" i="8" a="1"/>
  <c r="AI467" i="8" s="1"/>
  <c r="AF491" i="8" a="1"/>
  <c r="AF491" i="8" s="1"/>
  <c r="AG575" i="8" a="1"/>
  <c r="AG575" i="8" s="1"/>
  <c r="AH646" i="8" a="1"/>
  <c r="AH646" i="8" s="1"/>
  <c r="AF1151" i="8" a="1"/>
  <c r="AF1151" i="8" s="1"/>
  <c r="AH841" i="8" a="1"/>
  <c r="AH841" i="8" s="1"/>
  <c r="AH995" i="8" a="1"/>
  <c r="AH995" i="8" s="1"/>
  <c r="AG1107" i="8" a="1"/>
  <c r="AG1107" i="8" s="1"/>
  <c r="AG1149" i="8" a="1"/>
  <c r="AG1149" i="8" s="1"/>
  <c r="AH718" i="8" a="1"/>
  <c r="AH718" i="8" s="1"/>
  <c r="P67" i="8" a="1"/>
  <c r="P67" i="8" s="1"/>
  <c r="AG939" i="8" a="1"/>
  <c r="AG939" i="8" s="1"/>
  <c r="AF563" i="8" a="1"/>
  <c r="AF563" i="8" s="1"/>
  <c r="AF271" i="8" a="1"/>
  <c r="AF271" i="8" s="1"/>
  <c r="L1043" i="8" a="1"/>
  <c r="L1043" i="8" s="1"/>
  <c r="K1061" i="8" a="1"/>
  <c r="K1061" i="8" s="1"/>
  <c r="AH365" i="8" a="1"/>
  <c r="AH365" i="8" s="1"/>
  <c r="O164" i="8" a="1"/>
  <c r="O164" i="8" s="1"/>
  <c r="AF367" i="8" a="1"/>
  <c r="AF367" i="8" s="1"/>
  <c r="AF663" i="8" a="1"/>
  <c r="AF663" i="8" s="1"/>
  <c r="AG1163" i="8" a="1"/>
  <c r="AG1163" i="8" s="1"/>
  <c r="AH675" i="8" a="1"/>
  <c r="AH675" i="8" s="1"/>
  <c r="AH407" i="8" a="1"/>
  <c r="AH407" i="8" s="1"/>
  <c r="AH533" i="8" a="1"/>
  <c r="AH533" i="8" s="1"/>
  <c r="AF604" i="8" a="1"/>
  <c r="AF604" i="8" s="1"/>
  <c r="AG1191" i="8" a="1"/>
  <c r="AG1191" i="8" s="1"/>
  <c r="O405" i="8" a="1"/>
  <c r="O405" i="8" s="1"/>
  <c r="AI185" i="8" a="1"/>
  <c r="AI185" i="8" s="1"/>
  <c r="AG351" i="8" a="1"/>
  <c r="AG351" i="8" s="1"/>
  <c r="AI407" i="8" a="1"/>
  <c r="AI407" i="8" s="1"/>
  <c r="AI449" i="8" a="1"/>
  <c r="AI449" i="8" s="1"/>
  <c r="AH604" i="8" a="1"/>
  <c r="AH604" i="8" s="1"/>
  <c r="AH689" i="8" a="1"/>
  <c r="AH689" i="8" s="1"/>
  <c r="AI1191" i="8" a="1"/>
  <c r="AI1191" i="8" s="1"/>
  <c r="AG811" i="8" a="1"/>
  <c r="AG811" i="8" s="1"/>
  <c r="M86" i="8" a="1"/>
  <c r="M86" i="8" s="1"/>
  <c r="L106" i="8" a="1"/>
  <c r="L106" i="8" s="1"/>
  <c r="M114" i="8" a="1"/>
  <c r="M114" i="8" s="1"/>
  <c r="M116" i="8" a="1"/>
  <c r="M116" i="8" s="1"/>
  <c r="K202" i="8" a="1"/>
  <c r="K202" i="8" s="1"/>
  <c r="N204" i="8" a="1"/>
  <c r="N204" i="8" s="1"/>
  <c r="P375" i="8" a="1"/>
  <c r="P375" i="8" s="1"/>
  <c r="P377" i="8" a="1"/>
  <c r="P377" i="8" s="1"/>
  <c r="L477" i="8" a="1"/>
  <c r="L477" i="8" s="1"/>
  <c r="J479" i="8" a="1"/>
  <c r="J479" i="8" s="1"/>
  <c r="P637" i="8" a="1"/>
  <c r="P637" i="8" s="1"/>
  <c r="P865" i="8" a="1"/>
  <c r="P865" i="8" s="1"/>
  <c r="O1032" i="8" a="1"/>
  <c r="O1032" i="8" s="1"/>
  <c r="O1048" i="8" a="1"/>
  <c r="O1048" i="8" s="1"/>
  <c r="M1061" i="8" a="1"/>
  <c r="M1061" i="8" s="1"/>
  <c r="P280" i="8" a="1"/>
  <c r="P280" i="8" s="1"/>
  <c r="P282" i="8" a="1"/>
  <c r="P282" i="8" s="1"/>
  <c r="P292" i="8" a="1"/>
  <c r="P292" i="8" s="1"/>
  <c r="O316" i="8" a="1"/>
  <c r="O316" i="8" s="1"/>
  <c r="O374" i="8" a="1"/>
  <c r="O374" i="8" s="1"/>
  <c r="P1074" i="8" a="1"/>
  <c r="P1074" i="8" s="1"/>
  <c r="P1156" i="8" a="1"/>
  <c r="P1156" i="8" s="1"/>
  <c r="P489" i="8" a="1"/>
  <c r="P489" i="8" s="1"/>
  <c r="AF659" i="8" a="1"/>
  <c r="AF659" i="8" s="1"/>
  <c r="AG673" i="8" a="1"/>
  <c r="AG673" i="8" s="1"/>
  <c r="AF449" i="8" a="1"/>
  <c r="AF449" i="8" s="1"/>
  <c r="AF435" i="8" a="1"/>
  <c r="AF435" i="8" s="1"/>
  <c r="AH883" i="8" a="1"/>
  <c r="AH883" i="8" s="1"/>
  <c r="AF431" i="8" a="1"/>
  <c r="AF431" i="8" s="1"/>
  <c r="AH379" i="8" a="1"/>
  <c r="AH379" i="8" s="1"/>
  <c r="AI631" i="8" a="1"/>
  <c r="AI631" i="8" s="1"/>
  <c r="AF234" i="8" a="1"/>
  <c r="AF234" i="8" s="1"/>
  <c r="AG435" i="8" a="1"/>
  <c r="AG435" i="8" s="1"/>
  <c r="P545" i="8" a="1"/>
  <c r="P545" i="8" s="1"/>
  <c r="AF407" i="8" a="1"/>
  <c r="AF407" i="8" s="1"/>
  <c r="AG633" i="8" a="1"/>
  <c r="AG633" i="8" s="1"/>
  <c r="AI790" i="8" a="1"/>
  <c r="AI790" i="8" s="1"/>
  <c r="O862" i="8" a="1"/>
  <c r="O862" i="8" s="1"/>
  <c r="AF188" i="8" a="1"/>
  <c r="AF188" i="8" s="1"/>
  <c r="AF297" i="8" a="1"/>
  <c r="AF297" i="8" s="1"/>
  <c r="AF211" i="8" a="1"/>
  <c r="AF211" i="8" s="1"/>
  <c r="AH309" i="8" a="1"/>
  <c r="AH309" i="8" s="1"/>
  <c r="AG436" i="8" a="1"/>
  <c r="AG436" i="8" s="1"/>
  <c r="AI519" i="8" a="1"/>
  <c r="AI519" i="8" s="1"/>
  <c r="AF603" i="8" a="1"/>
  <c r="AF603" i="8" s="1"/>
  <c r="AI673" i="8" a="1"/>
  <c r="AI673" i="8" s="1"/>
  <c r="AI1167" i="8" a="1"/>
  <c r="AI1167" i="8" s="1"/>
  <c r="AH1136" i="8" a="1"/>
  <c r="AH1136" i="8" s="1"/>
  <c r="AI655" i="8" a="1"/>
  <c r="AI655" i="8" s="1"/>
  <c r="AI283" i="8" a="1"/>
  <c r="AI283" i="8" s="1"/>
  <c r="P7" i="8" a="1"/>
  <c r="P7" i="8" s="1"/>
  <c r="P89" i="8" a="1"/>
  <c r="P89" i="8" s="1"/>
  <c r="P91" i="8" a="1"/>
  <c r="P91" i="8" s="1"/>
  <c r="P167" i="8" a="1"/>
  <c r="P167" i="8" s="1"/>
  <c r="P217" i="8" a="1"/>
  <c r="P217" i="8" s="1"/>
  <c r="P219" i="8" a="1"/>
  <c r="P219" i="8" s="1"/>
  <c r="P237" i="8" a="1"/>
  <c r="P237" i="8" s="1"/>
  <c r="P243" i="8" a="1"/>
  <c r="P243" i="8" s="1"/>
  <c r="O287" i="8" a="1"/>
  <c r="O287" i="8" s="1"/>
  <c r="P464" i="8" a="1"/>
  <c r="P464" i="8" s="1"/>
  <c r="P480" i="8" a="1"/>
  <c r="P480" i="8" s="1"/>
  <c r="P498" i="8" a="1"/>
  <c r="P498" i="8" s="1"/>
  <c r="P502" i="8" a="1"/>
  <c r="P502" i="8" s="1"/>
  <c r="P506" i="8" a="1"/>
  <c r="P506" i="8" s="1"/>
  <c r="P508" i="8" a="1"/>
  <c r="P508" i="8" s="1"/>
  <c r="P510" i="8" a="1"/>
  <c r="P510" i="8" s="1"/>
  <c r="P524" i="8" a="1"/>
  <c r="P524" i="8" s="1"/>
  <c r="P526" i="8" a="1"/>
  <c r="P526" i="8" s="1"/>
  <c r="P862" i="8" a="1"/>
  <c r="P862" i="8" s="1"/>
  <c r="O864" i="8" a="1"/>
  <c r="O864" i="8" s="1"/>
  <c r="AI379" i="8" a="1"/>
  <c r="AI379" i="8" s="1"/>
  <c r="AF339" i="8" a="1"/>
  <c r="AF339" i="8" s="1"/>
  <c r="AF366" i="8" a="1"/>
  <c r="AF366" i="8" s="1"/>
  <c r="AG155" i="8" a="1"/>
  <c r="AG155" i="8" s="1"/>
  <c r="AI242" i="8" a="1"/>
  <c r="AI242" i="8" s="1"/>
  <c r="AI324" i="8" a="1"/>
  <c r="AI324" i="8" s="1"/>
  <c r="AI521" i="8" a="1"/>
  <c r="AI521" i="8" s="1"/>
  <c r="AG603" i="8" a="1"/>
  <c r="AG603" i="8" s="1"/>
  <c r="AG1177" i="8" a="1"/>
  <c r="AG1177" i="8" s="1"/>
  <c r="AI592" i="8" a="1"/>
  <c r="AI592" i="8" s="1"/>
  <c r="P287" i="8" a="1"/>
  <c r="P287" i="8" s="1"/>
  <c r="O325" i="8" a="1"/>
  <c r="O325" i="8" s="1"/>
  <c r="P1157" i="8" a="1"/>
  <c r="P1157" i="8" s="1"/>
  <c r="P1159" i="8" a="1"/>
  <c r="P1159" i="8" s="1"/>
  <c r="AH596" i="8" a="1"/>
  <c r="AH596" i="8" s="1"/>
  <c r="AG170" i="8" a="1"/>
  <c r="AG170" i="8" s="1"/>
  <c r="AH254" i="8" a="1"/>
  <c r="AH254" i="8" s="1"/>
  <c r="AG339" i="8" a="1"/>
  <c r="AG339" i="8" s="1"/>
  <c r="AI522" i="8" a="1"/>
  <c r="AI522" i="8" s="1"/>
  <c r="AH603" i="8" a="1"/>
  <c r="AH603" i="8" s="1"/>
  <c r="AG645" i="8" a="1"/>
  <c r="AG645" i="8" s="1"/>
  <c r="AG677" i="8" a="1"/>
  <c r="AG677" i="8" s="1"/>
  <c r="AH1177" i="8" a="1"/>
  <c r="AH1177" i="8" s="1"/>
  <c r="AH830" i="8" a="1"/>
  <c r="AH830" i="8" s="1"/>
  <c r="AI744" i="8" a="1"/>
  <c r="AI744" i="8" s="1"/>
  <c r="O43" i="8" a="1"/>
  <c r="O43" i="8" s="1"/>
  <c r="O105" i="8" a="1"/>
  <c r="O105" i="8" s="1"/>
  <c r="O811" i="8" a="1"/>
  <c r="O811" i="8" s="1"/>
  <c r="AG365" i="8" a="1"/>
  <c r="AG365" i="8" s="1"/>
  <c r="P717" i="8" a="1"/>
  <c r="P717" i="8" s="1"/>
  <c r="AG309" i="8" a="1"/>
  <c r="AG309" i="8" s="1"/>
  <c r="AH519" i="8" a="1"/>
  <c r="AH519" i="8" s="1"/>
  <c r="AH170" i="8" a="1"/>
  <c r="AH170" i="8" s="1"/>
  <c r="AH256" i="8" a="1"/>
  <c r="AH256" i="8" s="1"/>
  <c r="AH339" i="8" a="1"/>
  <c r="AH339" i="8" s="1"/>
  <c r="AG449" i="8" a="1"/>
  <c r="AG449" i="8" s="1"/>
  <c r="AG533" i="8" a="1"/>
  <c r="AG533" i="8" s="1"/>
  <c r="AH645" i="8" a="1"/>
  <c r="AH645" i="8" s="1"/>
  <c r="AF576" i="8" a="1"/>
  <c r="AF576" i="8" s="1"/>
  <c r="O728" i="8" a="1"/>
  <c r="O728" i="8" s="1"/>
  <c r="O734" i="8" a="1"/>
  <c r="O734" i="8" s="1"/>
  <c r="M1058" i="8" a="1"/>
  <c r="M1058" i="8" s="1"/>
  <c r="P1016" i="8" a="1"/>
  <c r="P1016" i="8" s="1"/>
  <c r="P1020" i="8" a="1"/>
  <c r="P1020" i="8" s="1"/>
  <c r="P1028" i="8" a="1"/>
  <c r="P1028" i="8" s="1"/>
  <c r="P1032" i="8" a="1"/>
  <c r="P1032" i="8" s="1"/>
  <c r="P1040" i="8" a="1"/>
  <c r="P1040" i="8" s="1"/>
  <c r="P1042" i="8" a="1"/>
  <c r="P1042" i="8" s="1"/>
  <c r="P1048" i="8" a="1"/>
  <c r="P1048" i="8" s="1"/>
  <c r="P604" i="8" a="1"/>
  <c r="P604" i="8" s="1"/>
  <c r="P623" i="8" a="1"/>
  <c r="P623" i="8" s="1"/>
  <c r="O700" i="8" a="1"/>
  <c r="O700" i="8" s="1"/>
  <c r="P949" i="8" a="1"/>
  <c r="P949" i="8" s="1"/>
  <c r="P951" i="8" a="1"/>
  <c r="P951" i="8" s="1"/>
  <c r="P953" i="8" a="1"/>
  <c r="P953" i="8" s="1"/>
  <c r="P1056" i="8" a="1"/>
  <c r="P1056" i="8" s="1"/>
  <c r="N1062" i="8" a="1"/>
  <c r="N1062" i="8" s="1"/>
  <c r="K504" i="8" a="1"/>
  <c r="K504" i="8" s="1"/>
  <c r="N506" i="8" a="1"/>
  <c r="N506" i="8" s="1"/>
  <c r="L518" i="8" a="1"/>
  <c r="L518" i="8" s="1"/>
  <c r="O559" i="8" a="1"/>
  <c r="O559" i="8" s="1"/>
  <c r="O569" i="8" a="1"/>
  <c r="O569" i="8" s="1"/>
  <c r="O608" i="8" a="1"/>
  <c r="O608" i="8" s="1"/>
  <c r="P690" i="8" a="1"/>
  <c r="P690" i="8" s="1"/>
  <c r="P702" i="8" a="1"/>
  <c r="P702" i="8" s="1"/>
  <c r="O714" i="8" a="1"/>
  <c r="O714" i="8" s="1"/>
  <c r="O716" i="8" a="1"/>
  <c r="O716" i="8" s="1"/>
  <c r="O743" i="8" a="1"/>
  <c r="O743" i="8" s="1"/>
  <c r="O745" i="8" a="1"/>
  <c r="O745" i="8" s="1"/>
  <c r="M775" i="8" a="1"/>
  <c r="M775" i="8" s="1"/>
  <c r="O814" i="8" a="1"/>
  <c r="O814" i="8" s="1"/>
  <c r="O816" i="8" a="1"/>
  <c r="O816" i="8" s="1"/>
  <c r="O882" i="8" a="1"/>
  <c r="O882" i="8" s="1"/>
  <c r="AF632" i="8" a="1"/>
  <c r="AF632" i="8" s="1"/>
  <c r="AF336" i="8" a="1"/>
  <c r="AF336" i="8" s="1"/>
  <c r="AF636" i="8" a="1"/>
  <c r="AF636" i="8" s="1"/>
  <c r="AF310" i="8" a="1"/>
  <c r="AF310" i="8" s="1"/>
  <c r="AG701" i="8" a="1"/>
  <c r="AG701" i="8" s="1"/>
  <c r="AG481" i="8" a="1"/>
  <c r="AG481" i="8" s="1"/>
  <c r="AG903" i="8" a="1"/>
  <c r="AG903" i="8" s="1"/>
  <c r="AH298" i="8" a="1"/>
  <c r="AH298" i="8" s="1"/>
  <c r="AG450" i="8" a="1"/>
  <c r="AG450" i="8" s="1"/>
  <c r="AG493" i="8" a="1"/>
  <c r="AG493" i="8" s="1"/>
  <c r="AH282" i="8" a="1"/>
  <c r="AH282" i="8" s="1"/>
  <c r="AG491" i="8" a="1"/>
  <c r="AG491" i="8" s="1"/>
  <c r="O315" i="8" a="1"/>
  <c r="O315" i="8" s="1"/>
  <c r="AH159" i="8" a="1"/>
  <c r="AH159" i="8" s="1"/>
  <c r="AF267" i="8" a="1"/>
  <c r="AF267" i="8" s="1"/>
  <c r="AH897" i="8" a="1"/>
  <c r="AH897" i="8" s="1"/>
  <c r="AH998" i="8" a="1"/>
  <c r="AH998" i="8" s="1"/>
  <c r="P627" i="8" a="1"/>
  <c r="P627" i="8" s="1"/>
  <c r="AH225" i="8" a="1"/>
  <c r="AH225" i="8" s="1"/>
  <c r="AH267" i="8" a="1"/>
  <c r="AH267" i="8" s="1"/>
  <c r="AG354" i="8" a="1"/>
  <c r="AG354" i="8" s="1"/>
  <c r="AF422" i="8" a="1"/>
  <c r="AF422" i="8" s="1"/>
  <c r="AH450" i="8" a="1"/>
  <c r="AH450" i="8" s="1"/>
  <c r="AG505" i="8" a="1"/>
  <c r="AG505" i="8" s="1"/>
  <c r="AH535" i="8" a="1"/>
  <c r="AH535" i="8" s="1"/>
  <c r="AG580" i="8" a="1"/>
  <c r="AG580" i="8" s="1"/>
  <c r="AI897" i="8" a="1"/>
  <c r="AI897" i="8" s="1"/>
  <c r="AI689" i="8" a="1"/>
  <c r="AI689" i="8" s="1"/>
  <c r="AI572" i="8" a="1"/>
  <c r="AI572" i="8" s="1"/>
  <c r="AF263" i="8" a="1"/>
  <c r="AF263" i="8" s="1"/>
  <c r="P13" i="8" a="1"/>
  <c r="P13" i="8" s="1"/>
  <c r="P21" i="8" a="1"/>
  <c r="P21" i="8" s="1"/>
  <c r="P29" i="8" a="1"/>
  <c r="P29" i="8" s="1"/>
  <c r="O35" i="8" a="1"/>
  <c r="O35" i="8" s="1"/>
  <c r="O41" i="8" a="1"/>
  <c r="O41" i="8" s="1"/>
  <c r="P138" i="8" a="1"/>
  <c r="P138" i="8" s="1"/>
  <c r="P142" i="8" a="1"/>
  <c r="P142" i="8" s="1"/>
  <c r="O144" i="8" a="1"/>
  <c r="O144" i="8" s="1"/>
  <c r="O148" i="8" a="1"/>
  <c r="O148" i="8" s="1"/>
  <c r="O156" i="8" a="1"/>
  <c r="O156" i="8" s="1"/>
  <c r="O184" i="8" a="1"/>
  <c r="O184" i="8" s="1"/>
  <c r="O192" i="8" a="1"/>
  <c r="O192" i="8" s="1"/>
  <c r="O268" i="8" a="1"/>
  <c r="O268" i="8" s="1"/>
  <c r="L349" i="8" a="1"/>
  <c r="L349" i="8" s="1"/>
  <c r="L353" i="8" a="1"/>
  <c r="L353" i="8" s="1"/>
  <c r="O435" i="8" a="1"/>
  <c r="O435" i="8" s="1"/>
  <c r="O471" i="8" a="1"/>
  <c r="O471" i="8" s="1"/>
  <c r="P777" i="8" a="1"/>
  <c r="P777" i="8" s="1"/>
  <c r="O809" i="8" a="1"/>
  <c r="O809" i="8" s="1"/>
  <c r="O948" i="8" a="1"/>
  <c r="O948" i="8" s="1"/>
  <c r="P119" i="8" a="1"/>
  <c r="P119" i="8" s="1"/>
  <c r="AF483" i="8" a="1"/>
  <c r="AF483" i="8" s="1"/>
  <c r="AH163" i="8" a="1"/>
  <c r="AH163" i="8" s="1"/>
  <c r="AI225" i="8" a="1"/>
  <c r="AI225" i="8" s="1"/>
  <c r="AI267" i="8" a="1"/>
  <c r="AI267" i="8" s="1"/>
  <c r="AH354" i="8" a="1"/>
  <c r="AH354" i="8" s="1"/>
  <c r="AF424" i="8" a="1"/>
  <c r="AF424" i="8" s="1"/>
  <c r="AG451" i="8" a="1"/>
  <c r="AG451" i="8" s="1"/>
  <c r="AI505" i="8" a="1"/>
  <c r="AI505" i="8" s="1"/>
  <c r="AI676" i="8" a="1"/>
  <c r="AI676" i="8" s="1"/>
  <c r="AG715" i="8" a="1"/>
  <c r="AG715" i="8" s="1"/>
  <c r="AH827" i="8" a="1"/>
  <c r="AH827" i="8" s="1"/>
  <c r="P144" i="8" a="1"/>
  <c r="P144" i="8" s="1"/>
  <c r="P146" i="8" a="1"/>
  <c r="P146" i="8" s="1"/>
  <c r="P148" i="8" a="1"/>
  <c r="P148" i="8" s="1"/>
  <c r="P246" i="8" a="1"/>
  <c r="P246" i="8" s="1"/>
  <c r="P254" i="8" a="1"/>
  <c r="P254" i="8" s="1"/>
  <c r="P260" i="8" a="1"/>
  <c r="P260" i="8" s="1"/>
  <c r="P262" i="8" a="1"/>
  <c r="P262" i="8" s="1"/>
  <c r="P264" i="8" a="1"/>
  <c r="P264" i="8" s="1"/>
  <c r="P268" i="8" a="1"/>
  <c r="P268" i="8" s="1"/>
  <c r="O282" i="8" a="1"/>
  <c r="O282" i="8" s="1"/>
  <c r="O288" i="8" a="1"/>
  <c r="O288" i="8" s="1"/>
  <c r="O445" i="8" a="1"/>
  <c r="O445" i="8" s="1"/>
  <c r="O447" i="8" a="1"/>
  <c r="O447" i="8" s="1"/>
  <c r="P475" i="8" a="1"/>
  <c r="P475" i="8" s="1"/>
  <c r="P736" i="8" a="1"/>
  <c r="P736" i="8" s="1"/>
  <c r="O738" i="8" a="1"/>
  <c r="O738" i="8" s="1"/>
  <c r="P950" i="8" a="1"/>
  <c r="P950" i="8" s="1"/>
  <c r="P952" i="8" a="1"/>
  <c r="P952" i="8" s="1"/>
  <c r="P1106" i="8" a="1"/>
  <c r="P1106" i="8" s="1"/>
  <c r="O1136" i="8" a="1"/>
  <c r="O1136" i="8" s="1"/>
  <c r="AF286" i="8" a="1"/>
  <c r="AF286" i="8" s="1"/>
  <c r="AF381" i="8" a="1"/>
  <c r="AF381" i="8" s="1"/>
  <c r="AG169" i="8" a="1"/>
  <c r="AG169" i="8" s="1"/>
  <c r="AI424" i="8" a="1"/>
  <c r="AI424" i="8" s="1"/>
  <c r="AG464" i="8" a="1"/>
  <c r="AG464" i="8" s="1"/>
  <c r="AG507" i="8" a="1"/>
  <c r="AG507" i="8" s="1"/>
  <c r="AF547" i="8" a="1"/>
  <c r="AF547" i="8" s="1"/>
  <c r="AG562" i="8" a="1"/>
  <c r="AG562" i="8" s="1"/>
  <c r="AI715" i="8" a="1"/>
  <c r="AI715" i="8" s="1"/>
  <c r="AI903" i="8" a="1"/>
  <c r="AI903" i="8" s="1"/>
  <c r="O140" i="8" a="1"/>
  <c r="O140" i="8" s="1"/>
  <c r="L242" i="8" a="1"/>
  <c r="L242" i="8" s="1"/>
  <c r="P343" i="8" a="1"/>
  <c r="P343" i="8" s="1"/>
  <c r="P441" i="8" a="1"/>
  <c r="P441" i="8" s="1"/>
  <c r="P445" i="8" a="1"/>
  <c r="P445" i="8" s="1"/>
  <c r="P451" i="8" a="1"/>
  <c r="P451" i="8" s="1"/>
  <c r="O461" i="8" a="1"/>
  <c r="O461" i="8" s="1"/>
  <c r="P701" i="8" a="1"/>
  <c r="P701" i="8" s="1"/>
  <c r="AH169" i="8" a="1"/>
  <c r="AH169" i="8" s="1"/>
  <c r="AI229" i="8" a="1"/>
  <c r="AI229" i="8" s="1"/>
  <c r="AG310" i="8" a="1"/>
  <c r="AG310" i="8" s="1"/>
  <c r="AF397" i="8" a="1"/>
  <c r="AF397" i="8" s="1"/>
  <c r="AH464" i="8" a="1"/>
  <c r="AH464" i="8" s="1"/>
  <c r="AH507" i="8" a="1"/>
  <c r="AH507" i="8" s="1"/>
  <c r="AG547" i="8" a="1"/>
  <c r="AG547" i="8" s="1"/>
  <c r="P49" i="8" a="1"/>
  <c r="P49" i="8" s="1"/>
  <c r="O497" i="8" a="1"/>
  <c r="O497" i="8" s="1"/>
  <c r="O501" i="8" a="1"/>
  <c r="O501" i="8" s="1"/>
  <c r="O509" i="8" a="1"/>
  <c r="O509" i="8" s="1"/>
  <c r="O511" i="8" a="1"/>
  <c r="O511" i="8" s="1"/>
  <c r="O515" i="8" a="1"/>
  <c r="O515" i="8" s="1"/>
  <c r="P632" i="8" a="1"/>
  <c r="P632" i="8" s="1"/>
  <c r="M686" i="8" a="1"/>
  <c r="M686" i="8" s="1"/>
  <c r="O746" i="8" a="1"/>
  <c r="O746" i="8" s="1"/>
  <c r="O844" i="8" a="1"/>
  <c r="O844" i="8" s="1"/>
  <c r="O846" i="8" a="1"/>
  <c r="O846" i="8" s="1"/>
  <c r="O1051" i="8" a="1"/>
  <c r="O1051" i="8" s="1"/>
  <c r="P77" i="8" a="1"/>
  <c r="P77" i="8" s="1"/>
  <c r="AG282" i="8" a="1"/>
  <c r="AG282" i="8" s="1"/>
  <c r="AH701" i="8" a="1"/>
  <c r="AH701" i="8" s="1"/>
  <c r="O432" i="8" a="1"/>
  <c r="O432" i="8" s="1"/>
  <c r="O438" i="8" a="1"/>
  <c r="O438" i="8" s="1"/>
  <c r="P844" i="8" a="1"/>
  <c r="P844" i="8" s="1"/>
  <c r="AI632" i="8" a="1"/>
  <c r="AI632" i="8" s="1"/>
  <c r="P151" i="8" a="1"/>
  <c r="P151" i="8" s="1"/>
  <c r="P205" i="8" a="1"/>
  <c r="P205" i="8" s="1"/>
  <c r="P209" i="8" a="1"/>
  <c r="P209" i="8" s="1"/>
  <c r="P211" i="8" a="1"/>
  <c r="P211" i="8" s="1"/>
  <c r="AF149" i="8" a="1"/>
  <c r="AF149" i="8" s="1"/>
  <c r="AF715" i="8" a="1"/>
  <c r="AF715" i="8" s="1"/>
  <c r="AI239" i="8" a="1"/>
  <c r="AI239" i="8" s="1"/>
  <c r="AG324" i="8" a="1"/>
  <c r="AG324" i="8" s="1"/>
  <c r="AG397" i="8" a="1"/>
  <c r="AG397" i="8" s="1"/>
  <c r="AH547" i="8" a="1"/>
  <c r="AH547" i="8" s="1"/>
  <c r="AH925" i="8" a="1"/>
  <c r="AH925" i="8" s="1"/>
  <c r="O69" i="8" a="1"/>
  <c r="O69" i="8" s="1"/>
  <c r="O436" i="8" a="1"/>
  <c r="O436" i="8" s="1"/>
  <c r="P772" i="8" a="1"/>
  <c r="P772" i="8" s="1"/>
  <c r="O848" i="8" a="1"/>
  <c r="O848" i="8" s="1"/>
  <c r="AH435" i="8" a="1"/>
  <c r="AH435" i="8" s="1"/>
  <c r="AI465" i="8" a="1"/>
  <c r="AI465" i="8" s="1"/>
  <c r="AG508" i="8" a="1"/>
  <c r="AG508" i="8" s="1"/>
  <c r="AI925" i="8" a="1"/>
  <c r="AI925" i="8" s="1"/>
  <c r="AH746" i="8" a="1"/>
  <c r="AH746" i="8" s="1"/>
  <c r="AH368" i="8" a="1"/>
  <c r="AH368" i="8" s="1"/>
  <c r="O57" i="8" a="1"/>
  <c r="O57" i="8" s="1"/>
  <c r="O837" i="8" a="1"/>
  <c r="O837" i="8" s="1"/>
  <c r="P850" i="8" a="1"/>
  <c r="P850" i="8" s="1"/>
  <c r="P852" i="8" a="1"/>
  <c r="P852" i="8" s="1"/>
  <c r="O880" i="8" a="1"/>
  <c r="O880" i="8" s="1"/>
  <c r="O978" i="8" a="1"/>
  <c r="O978" i="8" s="1"/>
  <c r="P65" i="8" a="1"/>
  <c r="P65" i="8" s="1"/>
  <c r="P100" i="8" a="1"/>
  <c r="P100" i="8" s="1"/>
  <c r="O108" i="8" a="1"/>
  <c r="O108" i="8" s="1"/>
  <c r="O110" i="8" a="1"/>
  <c r="O110" i="8" s="1"/>
  <c r="O112" i="8" a="1"/>
  <c r="O112" i="8" s="1"/>
  <c r="O114" i="8" a="1"/>
  <c r="O114" i="8" s="1"/>
  <c r="O191" i="8" a="1"/>
  <c r="O191" i="8" s="1"/>
  <c r="O193" i="8" a="1"/>
  <c r="O193" i="8" s="1"/>
  <c r="O356" i="8" a="1"/>
  <c r="O356" i="8" s="1"/>
  <c r="O364" i="8" a="1"/>
  <c r="O364" i="8" s="1"/>
  <c r="AH437" i="8" a="1"/>
  <c r="AH437" i="8" s="1"/>
  <c r="AI437" i="8" a="1"/>
  <c r="AI437" i="8" s="1"/>
  <c r="P812" i="8" a="1"/>
  <c r="P812" i="8" s="1"/>
  <c r="AG492" i="8" a="1"/>
  <c r="AG492" i="8" s="1"/>
  <c r="AI212" i="8" a="1"/>
  <c r="AI212" i="8" s="1"/>
  <c r="M531" i="8" a="1"/>
  <c r="M531" i="8" s="1"/>
  <c r="N531" i="8" a="1"/>
  <c r="N531" i="8" s="1"/>
  <c r="O181" i="8" a="1"/>
  <c r="O181" i="8" s="1"/>
  <c r="AF813" i="8" a="1"/>
  <c r="AF813" i="8" s="1"/>
  <c r="O32" i="8" a="1"/>
  <c r="O32" i="8" s="1"/>
  <c r="AI311" i="8" a="1"/>
  <c r="AI311" i="8" s="1"/>
  <c r="AI410" i="8" a="1"/>
  <c r="AI410" i="8" s="1"/>
  <c r="AG813" i="8" a="1"/>
  <c r="AG813" i="8" s="1"/>
  <c r="AG208" i="8" a="1"/>
  <c r="AG208" i="8" s="1"/>
  <c r="P46" i="8" a="1"/>
  <c r="P46" i="8" s="1"/>
  <c r="M56" i="8" a="1"/>
  <c r="M56" i="8" s="1"/>
  <c r="O166" i="8" a="1"/>
  <c r="O166" i="8" s="1"/>
  <c r="AH284" i="8" a="1"/>
  <c r="AH284" i="8" s="1"/>
  <c r="AI284" i="8" a="1"/>
  <c r="AI284" i="8" s="1"/>
  <c r="P310" i="8" a="1"/>
  <c r="P310" i="8" s="1"/>
  <c r="P312" i="8" a="1"/>
  <c r="P312" i="8" s="1"/>
  <c r="P314" i="8" a="1"/>
  <c r="P314" i="8" s="1"/>
  <c r="P787" i="8" a="1"/>
  <c r="P787" i="8" s="1"/>
  <c r="P857" i="8" a="1"/>
  <c r="P857" i="8" s="1"/>
  <c r="O873" i="8" a="1"/>
  <c r="O873" i="8" s="1"/>
  <c r="P961" i="8" a="1"/>
  <c r="P961" i="8" s="1"/>
  <c r="AF492" i="8" a="1"/>
  <c r="AF492" i="8" s="1"/>
  <c r="AI408" i="8" a="1"/>
  <c r="AI408" i="8" s="1"/>
  <c r="AF186" i="8" a="1"/>
  <c r="AF186" i="8" s="1"/>
  <c r="AI150" i="8" a="1"/>
  <c r="AI150" i="8" s="1"/>
  <c r="AF171" i="8" a="1"/>
  <c r="AF171" i="8" s="1"/>
  <c r="AG214" i="8" a="1"/>
  <c r="AG214" i="8" s="1"/>
  <c r="AH253" i="8" a="1"/>
  <c r="AH253" i="8" s="1"/>
  <c r="AF393" i="8" a="1"/>
  <c r="AF393" i="8" s="1"/>
  <c r="AF437" i="8" a="1"/>
  <c r="AF437" i="8" s="1"/>
  <c r="AG477" i="8" a="1"/>
  <c r="AG477" i="8" s="1"/>
  <c r="AH813" i="8" a="1"/>
  <c r="AH813" i="8" s="1"/>
  <c r="O79" i="8" a="1"/>
  <c r="O79" i="8" s="1"/>
  <c r="P162" i="8" a="1"/>
  <c r="P162" i="8" s="1"/>
  <c r="P164" i="8" a="1"/>
  <c r="P164" i="8" s="1"/>
  <c r="O324" i="8" a="1"/>
  <c r="O324" i="8" s="1"/>
  <c r="AF660" i="8" a="1"/>
  <c r="AF660" i="8" s="1"/>
  <c r="AI688" i="8" a="1"/>
  <c r="AI688" i="8" s="1"/>
  <c r="AF295" i="8" a="1"/>
  <c r="AF295" i="8" s="1"/>
  <c r="AG151" i="8" a="1"/>
  <c r="AG151" i="8" s="1"/>
  <c r="AG171" i="8" a="1"/>
  <c r="AG171" i="8" s="1"/>
  <c r="AI216" i="8" a="1"/>
  <c r="AI216" i="8" s="1"/>
  <c r="AI477" i="8" a="1"/>
  <c r="AI477" i="8" s="1"/>
  <c r="AG660" i="8" a="1"/>
  <c r="AG660" i="8" s="1"/>
  <c r="AH186" i="8" a="1"/>
  <c r="AH186" i="8" s="1"/>
  <c r="O73" i="8" a="1"/>
  <c r="O73" i="8" s="1"/>
  <c r="O75" i="8" a="1"/>
  <c r="O75" i="8" s="1"/>
  <c r="AF311" i="8" a="1"/>
  <c r="AF311" i="8" s="1"/>
  <c r="L522" i="8" a="1"/>
  <c r="L522" i="8" s="1"/>
  <c r="M522" i="8" a="1"/>
  <c r="M522" i="8" s="1"/>
  <c r="AI309" i="8" a="1"/>
  <c r="AI309" i="8" s="1"/>
  <c r="AI492" i="8" a="1"/>
  <c r="AI492" i="8" s="1"/>
  <c r="AH171" i="8" a="1"/>
  <c r="AH171" i="8" s="1"/>
  <c r="P184" i="8" a="1"/>
  <c r="P184" i="8" s="1"/>
  <c r="P351" i="8" a="1"/>
  <c r="P351" i="8" s="1"/>
  <c r="AI395" i="8" a="1"/>
  <c r="AI395" i="8" s="1"/>
  <c r="AG395" i="8" a="1"/>
  <c r="AG395" i="8" s="1"/>
  <c r="P738" i="8" a="1"/>
  <c r="P738" i="8" s="1"/>
  <c r="N776" i="8" a="1"/>
  <c r="N776" i="8" s="1"/>
  <c r="M776" i="8" a="1"/>
  <c r="M776" i="8" s="1"/>
  <c r="L776" i="8" a="1"/>
  <c r="L776" i="8" s="1"/>
  <c r="K776" i="8" a="1"/>
  <c r="K776" i="8" s="1"/>
  <c r="O1156" i="8" a="1"/>
  <c r="O1156" i="8" s="1"/>
  <c r="O92" i="8" a="1"/>
  <c r="O92" i="8" s="1"/>
  <c r="AG270" i="8" a="1"/>
  <c r="AG270" i="8" s="1"/>
  <c r="AH270" i="8" a="1"/>
  <c r="AH270" i="8" s="1"/>
  <c r="AF157" i="8" a="1"/>
  <c r="AF157" i="8" s="1"/>
  <c r="AI326" i="8" a="1"/>
  <c r="AI326" i="8" s="1"/>
  <c r="AH423" i="8" a="1"/>
  <c r="AH423" i="8" s="1"/>
  <c r="AG479" i="8" a="1"/>
  <c r="AG479" i="8" s="1"/>
  <c r="AG590" i="8" a="1"/>
  <c r="AG590" i="8" s="1"/>
  <c r="AH911" i="8" a="1"/>
  <c r="AH911" i="8" s="1"/>
  <c r="AH479" i="8" a="1"/>
  <c r="AH479" i="8" s="1"/>
  <c r="O68" i="8" a="1"/>
  <c r="O68" i="8" s="1"/>
  <c r="P81" i="8" a="1"/>
  <c r="P81" i="8" s="1"/>
  <c r="O87" i="8" a="1"/>
  <c r="O87" i="8" s="1"/>
  <c r="P210" i="8" a="1"/>
  <c r="P210" i="8" s="1"/>
  <c r="O256" i="8" a="1"/>
  <c r="O256" i="8" s="1"/>
  <c r="O297" i="8" a="1"/>
  <c r="O297" i="8" s="1"/>
  <c r="O299" i="8" a="1"/>
  <c r="O299" i="8" s="1"/>
  <c r="AH326" i="8" a="1"/>
  <c r="AH326" i="8" s="1"/>
  <c r="AH155" i="8" a="1"/>
  <c r="AH155" i="8" s="1"/>
  <c r="AG911" i="8" a="1"/>
  <c r="AG911" i="8" s="1"/>
  <c r="AF212" i="8" a="1"/>
  <c r="AF212" i="8" s="1"/>
  <c r="AF385" i="8" a="1"/>
  <c r="AF385" i="8" s="1"/>
  <c r="AH157" i="8" a="1"/>
  <c r="AH157" i="8" s="1"/>
  <c r="AG295" i="8" a="1"/>
  <c r="AG295" i="8" s="1"/>
  <c r="AH590" i="8" a="1"/>
  <c r="AH590" i="8" s="1"/>
  <c r="AH619" i="8" a="1"/>
  <c r="AH619" i="8" s="1"/>
  <c r="M33" i="8" a="1"/>
  <c r="M33" i="8" s="1"/>
  <c r="P93" i="8" a="1"/>
  <c r="P93" i="8" s="1"/>
  <c r="P145" i="8" a="1"/>
  <c r="P145" i="8" s="1"/>
  <c r="P155" i="8" a="1"/>
  <c r="P155" i="8" s="1"/>
  <c r="M161" i="8" a="1"/>
  <c r="M161" i="8" s="1"/>
  <c r="P334" i="8" a="1"/>
  <c r="P334" i="8" s="1"/>
  <c r="P336" i="8" a="1"/>
  <c r="P336" i="8" s="1"/>
  <c r="P1069" i="8" a="1"/>
  <c r="P1069" i="8" s="1"/>
  <c r="P1073" i="8" a="1"/>
  <c r="P1073" i="8" s="1"/>
  <c r="O1099" i="8" a="1"/>
  <c r="O1099" i="8" s="1"/>
  <c r="O98" i="8" a="1"/>
  <c r="O98" i="8" s="1"/>
  <c r="AI157" i="8" a="1"/>
  <c r="AI157" i="8" s="1"/>
  <c r="AI674" i="8" a="1"/>
  <c r="AI674" i="8" s="1"/>
  <c r="P74" i="8" a="1"/>
  <c r="P74" i="8" s="1"/>
  <c r="J82" i="8" a="1"/>
  <c r="J82" i="8" s="1"/>
  <c r="J86" i="8" a="1"/>
  <c r="J86" i="8" s="1"/>
  <c r="O159" i="8" a="1"/>
  <c r="O159" i="8" s="1"/>
  <c r="O163" i="8" a="1"/>
  <c r="O163" i="8" s="1"/>
  <c r="O171" i="8" a="1"/>
  <c r="O171" i="8" s="1"/>
  <c r="J1048" i="8" a="1"/>
  <c r="J1048" i="8" s="1"/>
  <c r="P944" i="8" a="1"/>
  <c r="P944" i="8" s="1"/>
  <c r="P1067" i="8" a="1"/>
  <c r="P1067" i="8" s="1"/>
  <c r="O1069" i="8" a="1"/>
  <c r="O1069" i="8" s="1"/>
  <c r="O1071" i="8" a="1"/>
  <c r="O1071" i="8" s="1"/>
  <c r="O1073" i="8" a="1"/>
  <c r="O1073" i="8" s="1"/>
  <c r="O1154" i="8" a="1"/>
  <c r="O1154" i="8" s="1"/>
  <c r="P40" i="8" a="1"/>
  <c r="P40" i="8" s="1"/>
  <c r="P42" i="8" a="1"/>
  <c r="P42" i="8" s="1"/>
  <c r="P51" i="8" a="1"/>
  <c r="P51" i="8" s="1"/>
  <c r="P59" i="8" a="1"/>
  <c r="P59" i="8" s="1"/>
  <c r="O132" i="8" a="1"/>
  <c r="O132" i="8" s="1"/>
  <c r="P187" i="8" a="1"/>
  <c r="P187" i="8" s="1"/>
  <c r="P193" i="8" a="1"/>
  <c r="P193" i="8" s="1"/>
  <c r="O201" i="8" a="1"/>
  <c r="O201" i="8" s="1"/>
  <c r="O209" i="8" a="1"/>
  <c r="O209" i="8" s="1"/>
  <c r="P274" i="8" a="1"/>
  <c r="P274" i="8" s="1"/>
  <c r="P297" i="8" a="1"/>
  <c r="P297" i="8" s="1"/>
  <c r="P299" i="8" a="1"/>
  <c r="P299" i="8" s="1"/>
  <c r="O309" i="8" a="1"/>
  <c r="O309" i="8" s="1"/>
  <c r="P413" i="8" a="1"/>
  <c r="P413" i="8" s="1"/>
  <c r="P430" i="8" a="1"/>
  <c r="P430" i="8" s="1"/>
  <c r="P481" i="8" a="1"/>
  <c r="P481" i="8" s="1"/>
  <c r="P614" i="8" a="1"/>
  <c r="P614" i="8" s="1"/>
  <c r="P724" i="8" a="1"/>
  <c r="P724" i="8" s="1"/>
  <c r="P729" i="8" a="1"/>
  <c r="P729" i="8" s="1"/>
  <c r="O733" i="8" a="1"/>
  <c r="O733" i="8" s="1"/>
  <c r="O839" i="8" a="1"/>
  <c r="O839" i="8" s="1"/>
  <c r="O856" i="8" a="1"/>
  <c r="O856" i="8" s="1"/>
  <c r="O1024" i="8" a="1"/>
  <c r="O1024" i="8" s="1"/>
  <c r="O1026" i="8" a="1"/>
  <c r="O1026" i="8" s="1"/>
  <c r="O1028" i="8" a="1"/>
  <c r="O1028" i="8" s="1"/>
  <c r="O1062" i="8" a="1"/>
  <c r="O1062" i="8" s="1"/>
  <c r="P1170" i="8" a="1"/>
  <c r="P1170" i="8" s="1"/>
  <c r="P1172" i="8" a="1"/>
  <c r="P1172" i="8" s="1"/>
  <c r="P203" i="8" a="1"/>
  <c r="P203" i="8" s="1"/>
  <c r="P307" i="8" a="1"/>
  <c r="P307" i="8" s="1"/>
  <c r="O347" i="8" a="1"/>
  <c r="O347" i="8" s="1"/>
  <c r="L359" i="8" a="1"/>
  <c r="L359" i="8" s="1"/>
  <c r="O417" i="8" a="1"/>
  <c r="O417" i="8" s="1"/>
  <c r="O421" i="8" a="1"/>
  <c r="O421" i="8" s="1"/>
  <c r="P440" i="8" a="1"/>
  <c r="P440" i="8" s="1"/>
  <c r="P548" i="8" a="1"/>
  <c r="P548" i="8" s="1"/>
  <c r="O618" i="8" a="1"/>
  <c r="O618" i="8" s="1"/>
  <c r="P625" i="8" a="1"/>
  <c r="P625" i="8" s="1"/>
  <c r="O631" i="8" a="1"/>
  <c r="O631" i="8" s="1"/>
  <c r="P661" i="8" a="1"/>
  <c r="P661" i="8" s="1"/>
  <c r="P731" i="8" a="1"/>
  <c r="P731" i="8" s="1"/>
  <c r="P748" i="8" a="1"/>
  <c r="P748" i="8" s="1"/>
  <c r="P750" i="8" a="1"/>
  <c r="P750" i="8" s="1"/>
  <c r="P839" i="8" a="1"/>
  <c r="P839" i="8" s="1"/>
  <c r="P904" i="8" a="1"/>
  <c r="P904" i="8" s="1"/>
  <c r="P397" i="8" a="1"/>
  <c r="P397" i="8" s="1"/>
  <c r="P399" i="8" a="1"/>
  <c r="P399" i="8" s="1"/>
  <c r="O454" i="8" a="1"/>
  <c r="O454" i="8" s="1"/>
  <c r="N513" i="8" a="1"/>
  <c r="N513" i="8" s="1"/>
  <c r="P550" i="8" a="1"/>
  <c r="P550" i="8" s="1"/>
  <c r="P558" i="8" a="1"/>
  <c r="P558" i="8" s="1"/>
  <c r="P603" i="8" a="1"/>
  <c r="P603" i="8" s="1"/>
  <c r="P616" i="8" a="1"/>
  <c r="P616" i="8" s="1"/>
  <c r="O620" i="8" a="1"/>
  <c r="O620" i="8" s="1"/>
  <c r="O872" i="8" a="1"/>
  <c r="O872" i="8" s="1"/>
  <c r="P987" i="8" a="1"/>
  <c r="P987" i="8" s="1"/>
  <c r="O1195" i="8" a="1"/>
  <c r="O1195" i="8" s="1"/>
  <c r="O1197" i="8" a="1"/>
  <c r="O1197" i="8" s="1"/>
  <c r="O1084" i="8" a="1"/>
  <c r="O1084" i="8" s="1"/>
  <c r="O1088" i="8" a="1"/>
  <c r="O1088" i="8" s="1"/>
  <c r="O1090" i="8" a="1"/>
  <c r="O1090" i="8" s="1"/>
  <c r="P1151" i="8" a="1"/>
  <c r="P1151" i="8" s="1"/>
  <c r="O1157" i="8" a="1"/>
  <c r="O1157" i="8" s="1"/>
  <c r="O943" i="8" a="1"/>
  <c r="O943" i="8" s="1"/>
  <c r="O1033" i="8" a="1"/>
  <c r="O1033" i="8" s="1"/>
  <c r="O1039" i="8" a="1"/>
  <c r="O1039" i="8" s="1"/>
  <c r="O1041" i="8" a="1"/>
  <c r="O1041" i="8" s="1"/>
  <c r="O1043" i="8" a="1"/>
  <c r="O1043" i="8" s="1"/>
  <c r="O1047" i="8" a="1"/>
  <c r="O1047" i="8" s="1"/>
  <c r="O1066" i="8" a="1"/>
  <c r="O1066" i="8" s="1"/>
  <c r="O1068" i="8" a="1"/>
  <c r="O1068" i="8" s="1"/>
  <c r="P1078" i="8" a="1"/>
  <c r="P1078" i="8" s="1"/>
  <c r="P1080" i="8" a="1"/>
  <c r="P1080" i="8" s="1"/>
  <c r="P1084" i="8" a="1"/>
  <c r="P1084" i="8" s="1"/>
  <c r="P1102" i="8" a="1"/>
  <c r="P1102" i="8" s="1"/>
  <c r="P1104" i="8" a="1"/>
  <c r="P1104" i="8" s="1"/>
  <c r="O1118" i="8" a="1"/>
  <c r="O1118" i="8" s="1"/>
  <c r="O468" i="8" a="1"/>
  <c r="O468" i="8" s="1"/>
  <c r="O480" i="8" a="1"/>
  <c r="O480" i="8" s="1"/>
  <c r="P525" i="8" a="1"/>
  <c r="P525" i="8" s="1"/>
  <c r="P584" i="8" a="1"/>
  <c r="P584" i="8" s="1"/>
  <c r="P586" i="8" a="1"/>
  <c r="P586" i="8" s="1"/>
  <c r="P666" i="8" a="1"/>
  <c r="P666" i="8" s="1"/>
  <c r="P668" i="8" a="1"/>
  <c r="P668" i="8" s="1"/>
  <c r="P676" i="8" a="1"/>
  <c r="P676" i="8" s="1"/>
  <c r="P1015" i="8" a="1"/>
  <c r="P1015" i="8" s="1"/>
  <c r="P1017" i="8" a="1"/>
  <c r="P1017" i="8" s="1"/>
  <c r="P1027" i="8" a="1"/>
  <c r="P1027" i="8" s="1"/>
  <c r="P1039" i="8" a="1"/>
  <c r="P1039" i="8" s="1"/>
  <c r="P1043" i="8" a="1"/>
  <c r="P1043" i="8" s="1"/>
  <c r="P1045" i="8" a="1"/>
  <c r="P1045" i="8" s="1"/>
  <c r="P1116" i="8" a="1"/>
  <c r="P1116" i="8" s="1"/>
  <c r="P1118" i="8" a="1"/>
  <c r="P1118" i="8" s="1"/>
  <c r="P402" i="8" a="1"/>
  <c r="P402" i="8" s="1"/>
  <c r="P468" i="8" a="1"/>
  <c r="P468" i="8" s="1"/>
  <c r="P470" i="8" a="1"/>
  <c r="P470" i="8" s="1"/>
  <c r="P472" i="8" a="1"/>
  <c r="P472" i="8" s="1"/>
  <c r="P478" i="8" a="1"/>
  <c r="P478" i="8" s="1"/>
  <c r="P596" i="8" a="1"/>
  <c r="P596" i="8" s="1"/>
  <c r="P598" i="8" a="1"/>
  <c r="P598" i="8" s="1"/>
  <c r="O715" i="8" a="1"/>
  <c r="O715" i="8" s="1"/>
  <c r="O721" i="8" a="1"/>
  <c r="O721" i="8" s="1"/>
  <c r="N763" i="8" a="1"/>
  <c r="N763" i="8" s="1"/>
  <c r="P813" i="8" a="1"/>
  <c r="P813" i="8" s="1"/>
  <c r="P815" i="8" a="1"/>
  <c r="P815" i="8" s="1"/>
  <c r="O825" i="8" a="1"/>
  <c r="O825" i="8" s="1"/>
  <c r="O964" i="8" a="1"/>
  <c r="O964" i="8" s="1"/>
  <c r="O966" i="8" a="1"/>
  <c r="O966" i="8" s="1"/>
  <c r="O968" i="8" a="1"/>
  <c r="O968" i="8" s="1"/>
  <c r="M1063" i="8" a="1"/>
  <c r="M1063" i="8" s="1"/>
  <c r="O1165" i="8" a="1"/>
  <c r="O1165" i="8" s="1"/>
  <c r="O1167" i="8" a="1"/>
  <c r="O1167" i="8" s="1"/>
  <c r="O214" i="8" a="1"/>
  <c r="O214" i="8" s="1"/>
  <c r="O216" i="8" a="1"/>
  <c r="O216" i="8" s="1"/>
  <c r="P255" i="8" a="1"/>
  <c r="P255" i="8" s="1"/>
  <c r="O302" i="8" a="1"/>
  <c r="O302" i="8" s="1"/>
  <c r="P327" i="8" a="1"/>
  <c r="P327" i="8" s="1"/>
  <c r="P342" i="8" a="1"/>
  <c r="P342" i="8" s="1"/>
  <c r="M377" i="8" a="1"/>
  <c r="M377" i="8" s="1"/>
  <c r="O423" i="8" a="1"/>
  <c r="O423" i="8" s="1"/>
  <c r="P433" i="8" a="1"/>
  <c r="P433" i="8" s="1"/>
  <c r="P521" i="8" a="1"/>
  <c r="P521" i="8" s="1"/>
  <c r="O523" i="8" a="1"/>
  <c r="O523" i="8" s="1"/>
  <c r="O615" i="8" a="1"/>
  <c r="O615" i="8" s="1"/>
  <c r="O666" i="8" a="1"/>
  <c r="O666" i="8" s="1"/>
  <c r="P713" i="8" a="1"/>
  <c r="P713" i="8" s="1"/>
  <c r="P715" i="8" a="1"/>
  <c r="P715" i="8" s="1"/>
  <c r="O732" i="8" a="1"/>
  <c r="O732" i="8" s="1"/>
  <c r="O836" i="8" a="1"/>
  <c r="O836" i="8" s="1"/>
  <c r="O838" i="8" a="1"/>
  <c r="O838" i="8" s="1"/>
  <c r="P843" i="8" a="1"/>
  <c r="P843" i="8" s="1"/>
  <c r="P964" i="8" a="1"/>
  <c r="P964" i="8" s="1"/>
  <c r="O1063" i="8" a="1"/>
  <c r="O1063" i="8" s="1"/>
  <c r="O632" i="8" a="1"/>
  <c r="O632" i="8" s="1"/>
  <c r="O647" i="8" a="1"/>
  <c r="O647" i="8" s="1"/>
  <c r="O944" i="8" a="1"/>
  <c r="O944" i="8" s="1"/>
  <c r="O1163" i="8" a="1"/>
  <c r="O1163" i="8" s="1"/>
  <c r="AH296" i="8" a="1"/>
  <c r="AH296" i="8" s="1"/>
  <c r="AG296" i="8" a="1"/>
  <c r="AG296" i="8" s="1"/>
  <c r="AH617" i="8" a="1"/>
  <c r="AH617" i="8" s="1"/>
  <c r="AG617" i="8" a="1"/>
  <c r="AG617" i="8" s="1"/>
  <c r="AI199" i="8" a="1"/>
  <c r="AI199" i="8" s="1"/>
  <c r="AG256" i="8" a="1"/>
  <c r="AG256" i="8" s="1"/>
  <c r="AI589" i="8" a="1"/>
  <c r="AI589" i="8" s="1"/>
  <c r="AI617" i="8" a="1"/>
  <c r="AI617" i="8" s="1"/>
  <c r="O48" i="8" a="1"/>
  <c r="O48" i="8" s="1"/>
  <c r="M54" i="8" a="1"/>
  <c r="M54" i="8" s="1"/>
  <c r="O178" i="8" a="1"/>
  <c r="O178" i="8" s="1"/>
  <c r="P17" i="8" a="1"/>
  <c r="P17" i="8" s="1"/>
  <c r="L244" i="8" a="1"/>
  <c r="L244" i="8" s="1"/>
  <c r="K244" i="8" a="1"/>
  <c r="K244" i="8" s="1"/>
  <c r="AG338" i="8" a="1"/>
  <c r="AG338" i="8" s="1"/>
  <c r="AF409" i="8" a="1"/>
  <c r="AF409" i="8" s="1"/>
  <c r="AI409" i="8" a="1"/>
  <c r="AI409" i="8" s="1"/>
  <c r="AG577" i="8" a="1"/>
  <c r="AG577" i="8" s="1"/>
  <c r="AF577" i="8" a="1"/>
  <c r="AF577" i="8" s="1"/>
  <c r="AF185" i="8" a="1"/>
  <c r="AF185" i="8" s="1"/>
  <c r="AG606" i="8" a="1"/>
  <c r="AG606" i="8" s="1"/>
  <c r="AH606" i="8" a="1"/>
  <c r="AH606" i="8" s="1"/>
  <c r="AF294" i="8" a="1"/>
  <c r="AF294" i="8" s="1"/>
  <c r="O170" i="8" a="1"/>
  <c r="O170" i="8" s="1"/>
  <c r="AH201" i="8" a="1"/>
  <c r="AH201" i="8" s="1"/>
  <c r="AG228" i="8" a="1"/>
  <c r="AG228" i="8" s="1"/>
  <c r="P60" i="8" a="1"/>
  <c r="P60" i="8" s="1"/>
  <c r="AF213" i="8" a="1"/>
  <c r="AF213" i="8" s="1"/>
  <c r="AG213" i="8" a="1"/>
  <c r="AG213" i="8" s="1"/>
  <c r="O410" i="8" a="1"/>
  <c r="O410" i="8" s="1"/>
  <c r="O578" i="8" a="1"/>
  <c r="O578" i="8" s="1"/>
  <c r="O580" i="8" a="1"/>
  <c r="O580" i="8" s="1"/>
  <c r="P1034" i="8" a="1"/>
  <c r="P1034" i="8" s="1"/>
  <c r="AH228" i="8" a="1"/>
  <c r="AH228" i="8" s="1"/>
  <c r="AG413" i="8" a="1"/>
  <c r="AG413" i="8" s="1"/>
  <c r="AH338" i="8" a="1"/>
  <c r="AH338" i="8" s="1"/>
  <c r="O39" i="8" a="1"/>
  <c r="O39" i="8" s="1"/>
  <c r="AH172" i="8" a="1"/>
  <c r="AH172" i="8" s="1"/>
  <c r="AI172" i="8" a="1"/>
  <c r="AI172" i="8" s="1"/>
  <c r="AI367" i="8" a="1"/>
  <c r="AI367" i="8" s="1"/>
  <c r="AH367" i="8" a="1"/>
  <c r="AH367" i="8" s="1"/>
  <c r="AH687" i="8" a="1"/>
  <c r="AH687" i="8" s="1"/>
  <c r="AG687" i="8" a="1"/>
  <c r="AG687" i="8" s="1"/>
  <c r="O477" i="8" a="1"/>
  <c r="O477" i="8" s="1"/>
  <c r="AH310" i="8" a="1"/>
  <c r="AH310" i="8" s="1"/>
  <c r="AF156" i="8" a="1"/>
  <c r="AF156" i="8" s="1"/>
  <c r="AH323" i="8" a="1"/>
  <c r="AH323" i="8" s="1"/>
  <c r="AF256" i="8" a="1"/>
  <c r="AF256" i="8" s="1"/>
  <c r="P35" i="8" a="1"/>
  <c r="P35" i="8" s="1"/>
  <c r="P37" i="8" a="1"/>
  <c r="P37" i="8" s="1"/>
  <c r="P147" i="8" a="1"/>
  <c r="P147" i="8" s="1"/>
  <c r="AG227" i="8" a="1"/>
  <c r="AG227" i="8" s="1"/>
  <c r="AH227" i="8" a="1"/>
  <c r="AH227" i="8" s="1"/>
  <c r="AG229" i="8" a="1"/>
  <c r="AG229" i="8" s="1"/>
  <c r="AH229" i="8" a="1"/>
  <c r="AH229" i="8" s="1"/>
  <c r="J244" i="8" a="1"/>
  <c r="J244" i="8" s="1"/>
  <c r="AG340" i="8" a="1"/>
  <c r="AG340" i="8" s="1"/>
  <c r="AF340" i="8" a="1"/>
  <c r="AF340" i="8" s="1"/>
  <c r="AI340" i="8" a="1"/>
  <c r="AI340" i="8" s="1"/>
  <c r="O479" i="8" a="1"/>
  <c r="O479" i="8" s="1"/>
  <c r="AG156" i="8" a="1"/>
  <c r="AG156" i="8" s="1"/>
  <c r="AI323" i="8" a="1"/>
  <c r="AI323" i="8" s="1"/>
  <c r="AH463" i="8" a="1"/>
  <c r="AH463" i="8" s="1"/>
  <c r="AG506" i="8" a="1"/>
  <c r="AG506" i="8" s="1"/>
  <c r="AG242" i="8" a="1"/>
  <c r="AG242" i="8" s="1"/>
  <c r="AF154" i="8" a="1"/>
  <c r="AF154" i="8" s="1"/>
  <c r="AF312" i="8" a="1"/>
  <c r="AF312" i="8" s="1"/>
  <c r="AI156" i="8" a="1"/>
  <c r="AI156" i="8" s="1"/>
  <c r="AI295" i="8" a="1"/>
  <c r="AI295" i="8" s="1"/>
  <c r="AI463" i="8" a="1"/>
  <c r="AI463" i="8" s="1"/>
  <c r="AH506" i="8" a="1"/>
  <c r="AH506" i="8" s="1"/>
  <c r="O81" i="8" a="1"/>
  <c r="O81" i="8" s="1"/>
  <c r="P122" i="8" a="1"/>
  <c r="P122" i="8" s="1"/>
  <c r="P126" i="8" a="1"/>
  <c r="P126" i="8" s="1"/>
  <c r="P347" i="8" a="1"/>
  <c r="P347" i="8" s="1"/>
  <c r="AI352" i="8" a="1"/>
  <c r="AI352" i="8" s="1"/>
  <c r="AG352" i="8" a="1"/>
  <c r="AG352" i="8" s="1"/>
  <c r="AF383" i="8" a="1"/>
  <c r="AF383" i="8" s="1"/>
  <c r="AG383" i="8" a="1"/>
  <c r="AG383" i="8" s="1"/>
  <c r="P391" i="8" a="1"/>
  <c r="P391" i="8" s="1"/>
  <c r="P393" i="8" a="1"/>
  <c r="P393" i="8" s="1"/>
  <c r="AF463" i="8" a="1"/>
  <c r="AF463" i="8" s="1"/>
  <c r="AG179" i="8" a="1"/>
  <c r="AG179" i="8" s="1"/>
  <c r="AI296" i="8" a="1"/>
  <c r="AI296" i="8" s="1"/>
  <c r="AI577" i="8" a="1"/>
  <c r="AI577" i="8" s="1"/>
  <c r="O45" i="8" a="1"/>
  <c r="O45" i="8" s="1"/>
  <c r="N106" i="8" a="1"/>
  <c r="N106" i="8" s="1"/>
  <c r="M112" i="8" a="1"/>
  <c r="M112" i="8" s="1"/>
  <c r="AI393" i="8" a="1"/>
  <c r="AI393" i="8" s="1"/>
  <c r="AG393" i="8" a="1"/>
  <c r="AG393" i="8" s="1"/>
  <c r="O403" i="8" a="1"/>
  <c r="O403" i="8" s="1"/>
  <c r="O475" i="8" a="1"/>
  <c r="O475" i="8" s="1"/>
  <c r="AF420" i="8" a="1"/>
  <c r="AF420" i="8" s="1"/>
  <c r="AG409" i="8" a="1"/>
  <c r="AG409" i="8" s="1"/>
  <c r="AI201" i="8" a="1"/>
  <c r="AI201" i="8" s="1"/>
  <c r="O91" i="8" a="1"/>
  <c r="O91" i="8" s="1"/>
  <c r="P378" i="8" a="1"/>
  <c r="P378" i="8" s="1"/>
  <c r="N510" i="8" a="1"/>
  <c r="N510" i="8" s="1"/>
  <c r="M510" i="8" a="1"/>
  <c r="M510" i="8" s="1"/>
  <c r="L510" i="8" a="1"/>
  <c r="L510" i="8" s="1"/>
  <c r="AI743" i="8" a="1"/>
  <c r="AI743" i="8" s="1"/>
  <c r="AG743" i="8" a="1"/>
  <c r="AG743" i="8" s="1"/>
  <c r="AH183" i="8" a="1"/>
  <c r="AH183" i="8" s="1"/>
  <c r="O74" i="8" a="1"/>
  <c r="O74" i="8" s="1"/>
  <c r="P244" i="8" a="1"/>
  <c r="P244" i="8" s="1"/>
  <c r="O308" i="8" a="1"/>
  <c r="O308" i="8" s="1"/>
  <c r="O314" i="8" a="1"/>
  <c r="O314" i="8" s="1"/>
  <c r="P424" i="8" a="1"/>
  <c r="P424" i="8" s="1"/>
  <c r="P426" i="8" a="1"/>
  <c r="P426" i="8" s="1"/>
  <c r="O494" i="8" a="1"/>
  <c r="O494" i="8" s="1"/>
  <c r="O510" i="8" a="1"/>
  <c r="O510" i="8" s="1"/>
  <c r="N652" i="8" a="1"/>
  <c r="N652" i="8" s="1"/>
  <c r="M652" i="8" a="1"/>
  <c r="M652" i="8" s="1"/>
  <c r="O26" i="8" a="1"/>
  <c r="O26" i="8" s="1"/>
  <c r="O52" i="8" a="1"/>
  <c r="O52" i="8" s="1"/>
  <c r="O54" i="8" a="1"/>
  <c r="O54" i="8" s="1"/>
  <c r="O65" i="8" a="1"/>
  <c r="O65" i="8" s="1"/>
  <c r="O72" i="8" a="1"/>
  <c r="O72" i="8" s="1"/>
  <c r="P118" i="8" a="1"/>
  <c r="P118" i="8" s="1"/>
  <c r="O120" i="8" a="1"/>
  <c r="O120" i="8" s="1"/>
  <c r="P176" i="8" a="1"/>
  <c r="P176" i="8" s="1"/>
  <c r="P178" i="8" a="1"/>
  <c r="P178" i="8" s="1"/>
  <c r="L201" i="8" a="1"/>
  <c r="L201" i="8" s="1"/>
  <c r="P213" i="8" a="1"/>
  <c r="P213" i="8" s="1"/>
  <c r="P215" i="8" a="1"/>
  <c r="P215" i="8" s="1"/>
  <c r="O248" i="8" a="1"/>
  <c r="O248" i="8" s="1"/>
  <c r="P293" i="8" a="1"/>
  <c r="P293" i="8" s="1"/>
  <c r="O318" i="8" a="1"/>
  <c r="O318" i="8" s="1"/>
  <c r="P383" i="8" a="1"/>
  <c r="P383" i="8" s="1"/>
  <c r="P385" i="8" a="1"/>
  <c r="P385" i="8" s="1"/>
  <c r="P409" i="8" a="1"/>
  <c r="P409" i="8" s="1"/>
  <c r="P411" i="8" a="1"/>
  <c r="P411" i="8" s="1"/>
  <c r="P443" i="8" a="1"/>
  <c r="P443" i="8" s="1"/>
  <c r="P456" i="8" a="1"/>
  <c r="P456" i="8" s="1"/>
  <c r="J475" i="8" a="1"/>
  <c r="J475" i="8" s="1"/>
  <c r="N496" i="8" a="1"/>
  <c r="N496" i="8" s="1"/>
  <c r="O555" i="8" a="1"/>
  <c r="O555" i="8" s="1"/>
  <c r="P578" i="8" a="1"/>
  <c r="P578" i="8" s="1"/>
  <c r="O641" i="8" a="1"/>
  <c r="O641" i="8" s="1"/>
  <c r="P665" i="8" a="1"/>
  <c r="P665" i="8" s="1"/>
  <c r="O953" i="8" a="1"/>
  <c r="O953" i="8" s="1"/>
  <c r="P1121" i="8" a="1"/>
  <c r="P1121" i="8" s="1"/>
  <c r="O225" i="8" a="1"/>
  <c r="O225" i="8" s="1"/>
  <c r="J329" i="8" a="1"/>
  <c r="J329" i="8" s="1"/>
  <c r="O353" i="8" a="1"/>
  <c r="O353" i="8" s="1"/>
  <c r="P366" i="8" a="1"/>
  <c r="P366" i="8" s="1"/>
  <c r="P483" i="8" a="1"/>
  <c r="P483" i="8" s="1"/>
  <c r="P485" i="8" a="1"/>
  <c r="P485" i="8" s="1"/>
  <c r="P641" i="8" a="1"/>
  <c r="P641" i="8" s="1"/>
  <c r="K652" i="8" a="1"/>
  <c r="K652" i="8" s="1"/>
  <c r="L686" i="8" a="1"/>
  <c r="L686" i="8" s="1"/>
  <c r="O15" i="8" a="1"/>
  <c r="O15" i="8" s="1"/>
  <c r="O58" i="8" a="1"/>
  <c r="O58" i="8" s="1"/>
  <c r="P221" i="8" a="1"/>
  <c r="P221" i="8" s="1"/>
  <c r="P320" i="8" a="1"/>
  <c r="P320" i="8" s="1"/>
  <c r="O365" i="8" a="1"/>
  <c r="O365" i="8" s="1"/>
  <c r="P421" i="8" a="1"/>
  <c r="P421" i="8" s="1"/>
  <c r="L652" i="8" a="1"/>
  <c r="L652" i="8" s="1"/>
  <c r="P876" i="8" a="1"/>
  <c r="P876" i="8" s="1"/>
  <c r="P976" i="8" a="1"/>
  <c r="P976" i="8" s="1"/>
  <c r="O1023" i="8" a="1"/>
  <c r="O1023" i="8" s="1"/>
  <c r="O961" i="8" a="1"/>
  <c r="O961" i="8" s="1"/>
  <c r="P1021" i="8" a="1"/>
  <c r="P1021" i="8" s="1"/>
  <c r="O27" i="8" a="1"/>
  <c r="O27" i="8" s="1"/>
  <c r="O165" i="8" a="1"/>
  <c r="O165" i="8" s="1"/>
  <c r="K198" i="8" a="1"/>
  <c r="K198" i="8" s="1"/>
  <c r="P359" i="8" a="1"/>
  <c r="P359" i="8" s="1"/>
  <c r="O361" i="8" a="1"/>
  <c r="O361" i="8" s="1"/>
  <c r="P382" i="8" a="1"/>
  <c r="P382" i="8" s="1"/>
  <c r="L476" i="8" a="1"/>
  <c r="L476" i="8" s="1"/>
  <c r="P621" i="8" a="1"/>
  <c r="P621" i="8" s="1"/>
  <c r="P1092" i="8" a="1"/>
  <c r="P1092" i="8" s="1"/>
  <c r="P1100" i="8" a="1"/>
  <c r="P1100" i="8" s="1"/>
  <c r="P1165" i="8" a="1"/>
  <c r="P1165" i="8" s="1"/>
  <c r="P1167" i="8" a="1"/>
  <c r="P1167" i="8" s="1"/>
  <c r="P1169" i="8" a="1"/>
  <c r="P1169" i="8" s="1"/>
  <c r="P31" i="8" a="1"/>
  <c r="P31" i="8" s="1"/>
  <c r="O38" i="8" a="1"/>
  <c r="O38" i="8" s="1"/>
  <c r="P55" i="8" a="1"/>
  <c r="P55" i="8" s="1"/>
  <c r="O90" i="8" a="1"/>
  <c r="O90" i="8" s="1"/>
  <c r="O103" i="8" a="1"/>
  <c r="O103" i="8" s="1"/>
  <c r="P123" i="8" a="1"/>
  <c r="P123" i="8" s="1"/>
  <c r="P125" i="8" a="1"/>
  <c r="P125" i="8" s="1"/>
  <c r="P154" i="8" a="1"/>
  <c r="P154" i="8" s="1"/>
  <c r="P179" i="8" a="1"/>
  <c r="P179" i="8" s="1"/>
  <c r="O198" i="8" a="1"/>
  <c r="O198" i="8" s="1"/>
  <c r="O218" i="8" a="1"/>
  <c r="O218" i="8" s="1"/>
  <c r="P247" i="8" a="1"/>
  <c r="P247" i="8" s="1"/>
  <c r="O352" i="8" a="1"/>
  <c r="O352" i="8" s="1"/>
  <c r="J356" i="8" a="1"/>
  <c r="J356" i="8" s="1"/>
  <c r="P423" i="8" a="1"/>
  <c r="P423" i="8" s="1"/>
  <c r="O453" i="8" a="1"/>
  <c r="O453" i="8" s="1"/>
  <c r="O455" i="8" a="1"/>
  <c r="O455" i="8" s="1"/>
  <c r="O476" i="8" a="1"/>
  <c r="O476" i="8" s="1"/>
  <c r="P743" i="8" a="1"/>
  <c r="P743" i="8" s="1"/>
  <c r="O747" i="8" a="1"/>
  <c r="O747" i="8" s="1"/>
  <c r="O12" i="8" a="1"/>
  <c r="O12" i="8" s="1"/>
  <c r="O29" i="8" a="1"/>
  <c r="O29" i="8" s="1"/>
  <c r="O49" i="8" a="1"/>
  <c r="O49" i="8" s="1"/>
  <c r="P57" i="8" a="1"/>
  <c r="P57" i="8" s="1"/>
  <c r="O66" i="8" a="1"/>
  <c r="O66" i="8" s="1"/>
  <c r="P101" i="8" a="1"/>
  <c r="P101" i="8" s="1"/>
  <c r="O111" i="8" a="1"/>
  <c r="O111" i="8" s="1"/>
  <c r="N135" i="8" a="1"/>
  <c r="N135" i="8" s="1"/>
  <c r="L137" i="8" a="1"/>
  <c r="L137" i="8" s="1"/>
  <c r="P173" i="8" a="1"/>
  <c r="P173" i="8" s="1"/>
  <c r="P181" i="8" a="1"/>
  <c r="P181" i="8" s="1"/>
  <c r="O208" i="8" a="1"/>
  <c r="O208" i="8" s="1"/>
  <c r="P230" i="8" a="1"/>
  <c r="P230" i="8" s="1"/>
  <c r="O238" i="8" a="1"/>
  <c r="O238" i="8" s="1"/>
  <c r="K242" i="8" a="1"/>
  <c r="K242" i="8" s="1"/>
  <c r="O422" i="8" a="1"/>
  <c r="O422" i="8" s="1"/>
  <c r="P459" i="8" a="1"/>
  <c r="P459" i="8" s="1"/>
  <c r="P461" i="8" a="1"/>
  <c r="P461" i="8" s="1"/>
  <c r="P474" i="8" a="1"/>
  <c r="P474" i="8" s="1"/>
  <c r="P495" i="8" a="1"/>
  <c r="P495" i="8" s="1"/>
  <c r="P499" i="8" a="1"/>
  <c r="P499" i="8" s="1"/>
  <c r="O525" i="8" a="1"/>
  <c r="O525" i="8" s="1"/>
  <c r="P585" i="8" a="1"/>
  <c r="P585" i="8" s="1"/>
  <c r="P589" i="8" a="1"/>
  <c r="P589" i="8" s="1"/>
  <c r="P609" i="8" a="1"/>
  <c r="P609" i="8" s="1"/>
  <c r="O751" i="8" a="1"/>
  <c r="O751" i="8" s="1"/>
  <c r="O763" i="8" a="1"/>
  <c r="O763" i="8" s="1"/>
  <c r="O767" i="8" a="1"/>
  <c r="O767" i="8" s="1"/>
  <c r="P820" i="8" a="1"/>
  <c r="P820" i="8" s="1"/>
  <c r="P8" i="8" a="1"/>
  <c r="P8" i="8" s="1"/>
  <c r="P16" i="8" a="1"/>
  <c r="P16" i="8" s="1"/>
  <c r="O20" i="8" a="1"/>
  <c r="O20" i="8" s="1"/>
  <c r="M22" i="8" a="1"/>
  <c r="M22" i="8" s="1"/>
  <c r="O51" i="8" a="1"/>
  <c r="O51" i="8" s="1"/>
  <c r="O71" i="8" a="1"/>
  <c r="O71" i="8" s="1"/>
  <c r="O100" i="8" a="1"/>
  <c r="O100" i="8" s="1"/>
  <c r="P109" i="8" a="1"/>
  <c r="P109" i="8" s="1"/>
  <c r="P115" i="8" a="1"/>
  <c r="P115" i="8" s="1"/>
  <c r="O135" i="8" a="1"/>
  <c r="O135" i="8" s="1"/>
  <c r="O154" i="8" a="1"/>
  <c r="O154" i="8" s="1"/>
  <c r="O160" i="8" a="1"/>
  <c r="O160" i="8" s="1"/>
  <c r="O162" i="8" a="1"/>
  <c r="O162" i="8" s="1"/>
  <c r="P279" i="8" a="1"/>
  <c r="P279" i="8" s="1"/>
  <c r="O345" i="8" a="1"/>
  <c r="O345" i="8" s="1"/>
  <c r="P356" i="8" a="1"/>
  <c r="P356" i="8" s="1"/>
  <c r="O367" i="8" a="1"/>
  <c r="O367" i="8" s="1"/>
  <c r="O381" i="8" a="1"/>
  <c r="O381" i="8" s="1"/>
  <c r="O387" i="8" a="1"/>
  <c r="O387" i="8" s="1"/>
  <c r="O400" i="8" a="1"/>
  <c r="O400" i="8" s="1"/>
  <c r="P422" i="8" a="1"/>
  <c r="P422" i="8" s="1"/>
  <c r="O446" i="8" a="1"/>
  <c r="O446" i="8" s="1"/>
  <c r="O450" i="8" a="1"/>
  <c r="O450" i="8" s="1"/>
  <c r="P482" i="8" a="1"/>
  <c r="P482" i="8" s="1"/>
  <c r="P523" i="8" a="1"/>
  <c r="P523" i="8" s="1"/>
  <c r="P593" i="8" a="1"/>
  <c r="P593" i="8" s="1"/>
  <c r="P646" i="8" a="1"/>
  <c r="P646" i="8" s="1"/>
  <c r="P732" i="8" a="1"/>
  <c r="P732" i="8" s="1"/>
  <c r="P881" i="8" a="1"/>
  <c r="P881" i="8" s="1"/>
  <c r="P888" i="8" a="1"/>
  <c r="P888" i="8" s="1"/>
  <c r="O661" i="8" a="1"/>
  <c r="O661" i="8" s="1"/>
  <c r="P749" i="8" a="1"/>
  <c r="P749" i="8" s="1"/>
  <c r="P833" i="8" a="1"/>
  <c r="P833" i="8" s="1"/>
  <c r="P845" i="8" a="1"/>
  <c r="P845" i="8" s="1"/>
  <c r="O868" i="8" a="1"/>
  <c r="O868" i="8" s="1"/>
  <c r="O876" i="8" a="1"/>
  <c r="O876" i="8" s="1"/>
  <c r="O878" i="8" a="1"/>
  <c r="O878" i="8" s="1"/>
  <c r="O974" i="8" a="1"/>
  <c r="O974" i="8" s="1"/>
  <c r="P978" i="8" a="1"/>
  <c r="P978" i="8" s="1"/>
  <c r="O1002" i="8" a="1"/>
  <c r="O1002" i="8" s="1"/>
  <c r="O1094" i="8" a="1"/>
  <c r="O1094" i="8" s="1"/>
  <c r="O1114" i="8" a="1"/>
  <c r="O1114" i="8" s="1"/>
  <c r="P1158" i="8" a="1"/>
  <c r="P1158" i="8" s="1"/>
  <c r="P1179" i="8" a="1"/>
  <c r="P1179" i="8" s="1"/>
  <c r="P938" i="8" a="1"/>
  <c r="P938" i="8" s="1"/>
  <c r="O957" i="8" a="1"/>
  <c r="O957" i="8" s="1"/>
  <c r="N1054" i="8" a="1"/>
  <c r="N1054" i="8" s="1"/>
  <c r="N1137" i="8" a="1"/>
  <c r="N1137" i="8" s="1"/>
  <c r="O1162" i="8" a="1"/>
  <c r="O1162" i="8" s="1"/>
  <c r="P606" i="8" a="1"/>
  <c r="P606" i="8" s="1"/>
  <c r="O610" i="8" a="1"/>
  <c r="O610" i="8" s="1"/>
  <c r="P631" i="8" a="1"/>
  <c r="P631" i="8" s="1"/>
  <c r="P645" i="8" a="1"/>
  <c r="P645" i="8" s="1"/>
  <c r="P726" i="8" a="1"/>
  <c r="P726" i="8" s="1"/>
  <c r="O863" i="8" a="1"/>
  <c r="O863" i="8" s="1"/>
  <c r="P880" i="8" a="1"/>
  <c r="P880" i="8" s="1"/>
  <c r="P929" i="8" a="1"/>
  <c r="P929" i="8" s="1"/>
  <c r="O1025" i="8" a="1"/>
  <c r="O1025" i="8" s="1"/>
  <c r="P1083" i="8" a="1"/>
  <c r="P1083" i="8" s="1"/>
  <c r="P1089" i="8" a="1"/>
  <c r="P1089" i="8" s="1"/>
  <c r="P1101" i="8" a="1"/>
  <c r="P1101" i="8" s="1"/>
  <c r="O1199" i="8" a="1"/>
  <c r="O1199" i="8" s="1"/>
  <c r="P516" i="8" a="1"/>
  <c r="P516" i="8" s="1"/>
  <c r="P518" i="8" a="1"/>
  <c r="P518" i="8" s="1"/>
  <c r="O566" i="8" a="1"/>
  <c r="O566" i="8" s="1"/>
  <c r="P577" i="8" a="1"/>
  <c r="P577" i="8" s="1"/>
  <c r="O642" i="8" a="1"/>
  <c r="O642" i="8" s="1"/>
  <c r="P658" i="8" a="1"/>
  <c r="P658" i="8" s="1"/>
  <c r="P810" i="8" a="1"/>
  <c r="P810" i="8" s="1"/>
  <c r="P825" i="8" a="1"/>
  <c r="P825" i="8" s="1"/>
  <c r="P834" i="8" a="1"/>
  <c r="P834" i="8" s="1"/>
  <c r="M1087" i="8" a="1"/>
  <c r="M1087" i="8" s="1"/>
  <c r="P1199" i="8" a="1"/>
  <c r="P1199" i="8" s="1"/>
  <c r="O249" i="8" a="1"/>
  <c r="O249" i="8" s="1"/>
  <c r="P277" i="8" a="1"/>
  <c r="P277" i="8" s="1"/>
  <c r="P324" i="8" a="1"/>
  <c r="P324" i="8" s="1"/>
  <c r="O348" i="8" a="1"/>
  <c r="O348" i="8" s="1"/>
  <c r="O357" i="8" a="1"/>
  <c r="O357" i="8" s="1"/>
  <c r="P365" i="8" a="1"/>
  <c r="P365" i="8" s="1"/>
  <c r="P388" i="8" a="1"/>
  <c r="P388" i="8" s="1"/>
  <c r="P390" i="8" a="1"/>
  <c r="P390" i="8" s="1"/>
  <c r="L401" i="8" a="1"/>
  <c r="L401" i="8" s="1"/>
  <c r="P436" i="8" a="1"/>
  <c r="P436" i="8" s="1"/>
  <c r="P438" i="8" a="1"/>
  <c r="P438" i="8" s="1"/>
  <c r="O460" i="8" a="1"/>
  <c r="O460" i="8" s="1"/>
  <c r="O483" i="8" a="1"/>
  <c r="O483" i="8" s="1"/>
  <c r="O487" i="8" a="1"/>
  <c r="O487" i="8" s="1"/>
  <c r="P527" i="8" a="1"/>
  <c r="P527" i="8" s="1"/>
  <c r="P562" i="8" a="1"/>
  <c r="P562" i="8" s="1"/>
  <c r="P566" i="8" a="1"/>
  <c r="P566" i="8" s="1"/>
  <c r="P671" i="8" a="1"/>
  <c r="P671" i="8" s="1"/>
  <c r="M680" i="8" a="1"/>
  <c r="M680" i="8" s="1"/>
  <c r="O841" i="8" a="1"/>
  <c r="O841" i="8" s="1"/>
  <c r="O850" i="8" a="1"/>
  <c r="O850" i="8" s="1"/>
  <c r="P856" i="8" a="1"/>
  <c r="P856" i="8" s="1"/>
  <c r="O865" i="8" a="1"/>
  <c r="O865" i="8" s="1"/>
  <c r="O877" i="8" a="1"/>
  <c r="O877" i="8" s="1"/>
  <c r="O946" i="8" a="1"/>
  <c r="O946" i="8" s="1"/>
  <c r="O954" i="8" a="1"/>
  <c r="O954" i="8" s="1"/>
  <c r="P962" i="8" a="1"/>
  <c r="P962" i="8" s="1"/>
  <c r="P983" i="8" a="1"/>
  <c r="P983" i="8" s="1"/>
  <c r="P985" i="8" a="1"/>
  <c r="P985" i="8" s="1"/>
  <c r="P996" i="8" a="1"/>
  <c r="P996" i="8" s="1"/>
  <c r="P1014" i="8" a="1"/>
  <c r="P1014" i="8" s="1"/>
  <c r="O1020" i="8" a="1"/>
  <c r="O1020" i="8" s="1"/>
  <c r="O1107" i="8" a="1"/>
  <c r="O1107" i="8" s="1"/>
  <c r="O1113" i="8" a="1"/>
  <c r="O1113" i="8" s="1"/>
  <c r="P1124" i="8" a="1"/>
  <c r="P1124" i="8" s="1"/>
  <c r="P568" i="8" a="1"/>
  <c r="P568" i="8" s="1"/>
  <c r="O572" i="8" a="1"/>
  <c r="O572" i="8" s="1"/>
  <c r="O585" i="8" a="1"/>
  <c r="O585" i="8" s="1"/>
  <c r="O587" i="8" a="1"/>
  <c r="O587" i="8" s="1"/>
  <c r="O614" i="8" a="1"/>
  <c r="O614" i="8" s="1"/>
  <c r="P662" i="8" a="1"/>
  <c r="P662" i="8" s="1"/>
  <c r="P664" i="8" a="1"/>
  <c r="P664" i="8" s="1"/>
  <c r="P718" i="8" a="1"/>
  <c r="P718" i="8" s="1"/>
  <c r="P728" i="8" a="1"/>
  <c r="P728" i="8" s="1"/>
  <c r="N774" i="8" a="1"/>
  <c r="N774" i="8" s="1"/>
  <c r="O860" i="8" a="1"/>
  <c r="O860" i="8" s="1"/>
  <c r="P877" i="8" a="1"/>
  <c r="P877" i="8" s="1"/>
  <c r="P948" i="8" a="1"/>
  <c r="P948" i="8" s="1"/>
  <c r="O952" i="8" a="1"/>
  <c r="O952" i="8" s="1"/>
  <c r="O956" i="8" a="1"/>
  <c r="O956" i="8" s="1"/>
  <c r="O960" i="8" a="1"/>
  <c r="O960" i="8" s="1"/>
  <c r="P1037" i="8" a="1"/>
  <c r="P1037" i="8" s="1"/>
  <c r="N1061" i="8" a="1"/>
  <c r="N1061" i="8" s="1"/>
  <c r="P1107" i="8" a="1"/>
  <c r="P1107" i="8" s="1"/>
  <c r="P1120" i="8" a="1"/>
  <c r="P1120" i="8" s="1"/>
  <c r="P758" i="8" a="1"/>
  <c r="P758" i="8" s="1"/>
  <c r="P766" i="8" a="1"/>
  <c r="P766" i="8" s="1"/>
  <c r="P860" i="8" a="1"/>
  <c r="P860" i="8" s="1"/>
  <c r="O884" i="8" a="1"/>
  <c r="O884" i="8" s="1"/>
  <c r="P956" i="8" a="1"/>
  <c r="P956" i="8" s="1"/>
  <c r="O1057" i="8" a="1"/>
  <c r="O1057" i="8" s="1"/>
  <c r="O1061" i="8" a="1"/>
  <c r="O1061" i="8" s="1"/>
  <c r="O1074" i="8" a="1"/>
  <c r="O1074" i="8" s="1"/>
  <c r="P943" i="8" a="1"/>
  <c r="P943" i="8" s="1"/>
  <c r="O970" i="8" a="1"/>
  <c r="O970" i="8" s="1"/>
  <c r="P1051" i="8" a="1"/>
  <c r="P1051" i="8" s="1"/>
  <c r="P1055" i="8" a="1"/>
  <c r="P1055" i="8" s="1"/>
  <c r="P1059" i="8" a="1"/>
  <c r="P1059" i="8" s="1"/>
  <c r="P1061" i="8" a="1"/>
  <c r="P1061" i="8" s="1"/>
  <c r="K1080" i="8" a="1"/>
  <c r="K1080" i="8" s="1"/>
  <c r="P1119" i="8" a="1"/>
  <c r="P1119" i="8" s="1"/>
  <c r="J507" i="8" a="1"/>
  <c r="J507" i="8" s="1"/>
  <c r="N507" i="8" a="1"/>
  <c r="N507" i="8" s="1"/>
  <c r="M515" i="8" a="1"/>
  <c r="M515" i="8" s="1"/>
  <c r="K515" i="8" a="1"/>
  <c r="K515" i="8" s="1"/>
  <c r="K551" i="8" a="1"/>
  <c r="K551" i="8" s="1"/>
  <c r="N551" i="8" a="1"/>
  <c r="N551" i="8" s="1"/>
  <c r="AF451" i="8" a="1"/>
  <c r="AF451" i="8" s="1"/>
  <c r="AG183" i="8" a="1"/>
  <c r="AG183" i="8" s="1"/>
  <c r="AG298" i="8" a="1"/>
  <c r="AG298" i="8" s="1"/>
  <c r="AI421" i="8" a="1"/>
  <c r="AI421" i="8" s="1"/>
  <c r="AH491" i="8" a="1"/>
  <c r="AH491" i="8" s="1"/>
  <c r="AI815" i="8" a="1"/>
  <c r="AI815" i="8" s="1"/>
  <c r="O44" i="8" a="1"/>
  <c r="O44" i="8" s="1"/>
  <c r="P53" i="8" a="1"/>
  <c r="P53" i="8" s="1"/>
  <c r="O94" i="8" a="1"/>
  <c r="O94" i="8" s="1"/>
  <c r="P159" i="8" a="1"/>
  <c r="P159" i="8" s="1"/>
  <c r="P250" i="8" a="1"/>
  <c r="P250" i="8" s="1"/>
  <c r="P286" i="8" a="1"/>
  <c r="P286" i="8" s="1"/>
  <c r="P329" i="8" a="1"/>
  <c r="P329" i="8" s="1"/>
  <c r="O369" i="8" a="1"/>
  <c r="O369" i="8" s="1"/>
  <c r="N675" i="8" a="1"/>
  <c r="N675" i="8" s="1"/>
  <c r="M675" i="8" a="1"/>
  <c r="M675" i="8" s="1"/>
  <c r="AG366" i="8" a="1"/>
  <c r="AG366" i="8" s="1"/>
  <c r="J161" i="8" a="1"/>
  <c r="J161" i="8" s="1"/>
  <c r="AF308" i="8" a="1"/>
  <c r="AF308" i="8" s="1"/>
  <c r="AF268" i="8" a="1"/>
  <c r="AF268" i="8" s="1"/>
  <c r="AH366" i="8" a="1"/>
  <c r="AH366" i="8" s="1"/>
  <c r="AG422" i="8" a="1"/>
  <c r="AG422" i="8" s="1"/>
  <c r="AH451" i="8" a="1"/>
  <c r="AH451" i="8" s="1"/>
  <c r="AG674" i="8" a="1"/>
  <c r="AG674" i="8" s="1"/>
  <c r="O76" i="8" a="1"/>
  <c r="O76" i="8" s="1"/>
  <c r="O127" i="8" a="1"/>
  <c r="O127" i="8" s="1"/>
  <c r="P197" i="8" a="1"/>
  <c r="P197" i="8" s="1"/>
  <c r="P199" i="8" a="1"/>
  <c r="P199" i="8" s="1"/>
  <c r="P239" i="8" a="1"/>
  <c r="P239" i="8" s="1"/>
  <c r="O241" i="8" a="1"/>
  <c r="O241" i="8" s="1"/>
  <c r="N245" i="8" a="1"/>
  <c r="N245" i="8" s="1"/>
  <c r="M245" i="8" a="1"/>
  <c r="M245" i="8" s="1"/>
  <c r="L245" i="8" a="1"/>
  <c r="L245" i="8" s="1"/>
  <c r="P345" i="8" a="1"/>
  <c r="P345" i="8" s="1"/>
  <c r="P447" i="8" a="1"/>
  <c r="P447" i="8" s="1"/>
  <c r="AG268" i="8" a="1"/>
  <c r="AG268" i="8" s="1"/>
  <c r="P224" i="8" a="1"/>
  <c r="P224" i="8" s="1"/>
  <c r="P228" i="8" a="1"/>
  <c r="P228" i="8" s="1"/>
  <c r="O258" i="8" a="1"/>
  <c r="O258" i="8" s="1"/>
  <c r="O424" i="8" a="1"/>
  <c r="O424" i="8" s="1"/>
  <c r="O426" i="8" a="1"/>
  <c r="O426" i="8" s="1"/>
  <c r="P496" i="8" a="1"/>
  <c r="P496" i="8" s="1"/>
  <c r="P754" i="8" a="1"/>
  <c r="P754" i="8" s="1"/>
  <c r="O125" i="8" a="1"/>
  <c r="O125" i="8" s="1"/>
  <c r="O185" i="8" a="1"/>
  <c r="O185" i="8" s="1"/>
  <c r="M507" i="8" a="1"/>
  <c r="M507" i="8" s="1"/>
  <c r="O17" i="8" a="1"/>
  <c r="O17" i="8" s="1"/>
  <c r="O118" i="8" a="1"/>
  <c r="O118" i="8" s="1"/>
  <c r="AF482" i="8" a="1"/>
  <c r="AF482" i="8" s="1"/>
  <c r="AH268" i="8" a="1"/>
  <c r="AH268" i="8" s="1"/>
  <c r="AF423" i="8" a="1"/>
  <c r="AF423" i="8" s="1"/>
  <c r="AH660" i="8" a="1"/>
  <c r="AH660" i="8" s="1"/>
  <c r="AH802" i="8" a="1"/>
  <c r="AH802" i="8" s="1"/>
  <c r="AI287" i="8" a="1"/>
  <c r="AI287" i="8" s="1"/>
  <c r="O8" i="8" a="1"/>
  <c r="O8" i="8" s="1"/>
  <c r="P15" i="8" a="1"/>
  <c r="P15" i="8" s="1"/>
  <c r="L22" i="8" a="1"/>
  <c r="L22" i="8" s="1"/>
  <c r="P48" i="8" a="1"/>
  <c r="P48" i="8" s="1"/>
  <c r="O86" i="8" a="1"/>
  <c r="O86" i="8" s="1"/>
  <c r="O95" i="8" a="1"/>
  <c r="O95" i="8" s="1"/>
  <c r="O97" i="8" a="1"/>
  <c r="O97" i="8" s="1"/>
  <c r="O129" i="8" a="1"/>
  <c r="O129" i="8" s="1"/>
  <c r="P135" i="8" a="1"/>
  <c r="P135" i="8" s="1"/>
  <c r="P137" i="8" a="1"/>
  <c r="P137" i="8" s="1"/>
  <c r="P245" i="8" a="1"/>
  <c r="P245" i="8" s="1"/>
  <c r="P258" i="8" a="1"/>
  <c r="P258" i="8" s="1"/>
  <c r="O262" i="8" a="1"/>
  <c r="O262" i="8" s="1"/>
  <c r="O269" i="8" a="1"/>
  <c r="O269" i="8" s="1"/>
  <c r="O271" i="8" a="1"/>
  <c r="O271" i="8" s="1"/>
  <c r="O294" i="8" a="1"/>
  <c r="O294" i="8" s="1"/>
  <c r="P354" i="8" a="1"/>
  <c r="P354" i="8" s="1"/>
  <c r="L515" i="8" a="1"/>
  <c r="L515" i="8" s="1"/>
  <c r="L551" i="8" a="1"/>
  <c r="L551" i="8" s="1"/>
  <c r="P581" i="8" a="1"/>
  <c r="P581" i="8" s="1"/>
  <c r="P583" i="8" a="1"/>
  <c r="P583" i="8" s="1"/>
  <c r="AF421" i="8" a="1"/>
  <c r="AF421" i="8" s="1"/>
  <c r="K352" i="8" a="1"/>
  <c r="K352" i="8" s="1"/>
  <c r="AH422" i="8" a="1"/>
  <c r="AH422" i="8" s="1"/>
  <c r="O19" i="8" a="1"/>
  <c r="O19" i="8" s="1"/>
  <c r="O116" i="8" a="1"/>
  <c r="O116" i="8" s="1"/>
  <c r="AF153" i="8" a="1"/>
  <c r="AF153" i="8" s="1"/>
  <c r="AG325" i="8" a="1"/>
  <c r="AG325" i="8" s="1"/>
  <c r="AG423" i="8" a="1"/>
  <c r="AG423" i="8" s="1"/>
  <c r="AG688" i="8" a="1"/>
  <c r="AG688" i="8" s="1"/>
  <c r="AG747" i="8" a="1"/>
  <c r="AG747" i="8" s="1"/>
  <c r="M551" i="8" a="1"/>
  <c r="M551" i="8" s="1"/>
  <c r="AG198" i="8" a="1"/>
  <c r="AG198" i="8" s="1"/>
  <c r="AH325" i="8" a="1"/>
  <c r="AH325" i="8" s="1"/>
  <c r="AG520" i="8" a="1"/>
  <c r="AG520" i="8" s="1"/>
  <c r="AF158" i="8" a="1"/>
  <c r="AF158" i="8" s="1"/>
  <c r="AH158" i="8" a="1"/>
  <c r="AH158" i="8" s="1"/>
  <c r="AI198" i="8" a="1"/>
  <c r="AI198" i="8" s="1"/>
  <c r="AG353" i="8" a="1"/>
  <c r="AG353" i="8" s="1"/>
  <c r="AH395" i="8" a="1"/>
  <c r="AH395" i="8" s="1"/>
  <c r="AG480" i="8" a="1"/>
  <c r="AG480" i="8" s="1"/>
  <c r="AI520" i="8" a="1"/>
  <c r="AI520" i="8" s="1"/>
  <c r="P12" i="8" a="1"/>
  <c r="P12" i="8" s="1"/>
  <c r="K23" i="8" a="1"/>
  <c r="K23" i="8" s="1"/>
  <c r="P25" i="8" a="1"/>
  <c r="P25" i="8" s="1"/>
  <c r="J34" i="8" a="1"/>
  <c r="J34" i="8" s="1"/>
  <c r="M58" i="8" a="1"/>
  <c r="M58" i="8" s="1"/>
  <c r="P90" i="8" a="1"/>
  <c r="P90" i="8" s="1"/>
  <c r="P97" i="8" a="1"/>
  <c r="P97" i="8" s="1"/>
  <c r="L107" i="8" a="1"/>
  <c r="L107" i="8" s="1"/>
  <c r="P175" i="8" a="1"/>
  <c r="P175" i="8" s="1"/>
  <c r="O200" i="8" a="1"/>
  <c r="O200" i="8" s="1"/>
  <c r="O202" i="8" a="1"/>
  <c r="O202" i="8" s="1"/>
  <c r="N242" i="8" a="1"/>
  <c r="N242" i="8" s="1"/>
  <c r="P253" i="8" a="1"/>
  <c r="P253" i="8" s="1"/>
  <c r="O320" i="8" a="1"/>
  <c r="O320" i="8" s="1"/>
  <c r="P520" i="8" a="1"/>
  <c r="P520" i="8" s="1"/>
  <c r="P522" i="8" a="1"/>
  <c r="P522" i="8" s="1"/>
  <c r="P602" i="8" a="1"/>
  <c r="P602" i="8" s="1"/>
  <c r="AI158" i="8" a="1"/>
  <c r="AI158" i="8" s="1"/>
  <c r="AF172" i="8" a="1"/>
  <c r="AF172" i="8" s="1"/>
  <c r="AG199" i="8" a="1"/>
  <c r="AG199" i="8" s="1"/>
  <c r="AG239" i="8" a="1"/>
  <c r="AG239" i="8" s="1"/>
  <c r="AH480" i="8" a="1"/>
  <c r="AH480" i="8" s="1"/>
  <c r="AI318" i="8" a="1"/>
  <c r="AI318" i="8" s="1"/>
  <c r="O36" i="8" a="1"/>
  <c r="O36" i="8" s="1"/>
  <c r="L56" i="8" a="1"/>
  <c r="L56" i="8" s="1"/>
  <c r="P103" i="8" a="1"/>
  <c r="P103" i="8" s="1"/>
  <c r="P153" i="8" a="1"/>
  <c r="P153" i="8" s="1"/>
  <c r="O168" i="8" a="1"/>
  <c r="O168" i="8" s="1"/>
  <c r="M246" i="8" a="1"/>
  <c r="M246" i="8" s="1"/>
  <c r="P357" i="8" a="1"/>
  <c r="P357" i="8" s="1"/>
  <c r="O407" i="8" a="1"/>
  <c r="O407" i="8" s="1"/>
  <c r="P450" i="8" a="1"/>
  <c r="P450" i="8" s="1"/>
  <c r="O452" i="8" a="1"/>
  <c r="O452" i="8" s="1"/>
  <c r="O465" i="8" a="1"/>
  <c r="O465" i="8" s="1"/>
  <c r="O526" i="8" a="1"/>
  <c r="O526" i="8" s="1"/>
  <c r="L777" i="8" a="1"/>
  <c r="L777" i="8" s="1"/>
  <c r="O14" i="8" a="1"/>
  <c r="O14" i="8" s="1"/>
  <c r="O16" i="8" a="1"/>
  <c r="O16" i="8" s="1"/>
  <c r="O18" i="8" a="1"/>
  <c r="O18" i="8" s="1"/>
  <c r="O47" i="8" a="1"/>
  <c r="O47" i="8" s="1"/>
  <c r="P75" i="8" a="1"/>
  <c r="P75" i="8" s="1"/>
  <c r="P79" i="8" a="1"/>
  <c r="P79" i="8" s="1"/>
  <c r="L81" i="8" a="1"/>
  <c r="L81" i="8" s="1"/>
  <c r="L83" i="8" a="1"/>
  <c r="L83" i="8" s="1"/>
  <c r="L86" i="8" a="1"/>
  <c r="L86" i="8" s="1"/>
  <c r="P251" i="8" a="1"/>
  <c r="P251" i="8" s="1"/>
  <c r="K302" i="8" a="1"/>
  <c r="K302" i="8" s="1"/>
  <c r="O398" i="8" a="1"/>
  <c r="O398" i="8" s="1"/>
  <c r="N400" i="8" a="1"/>
  <c r="N400" i="8" s="1"/>
  <c r="O486" i="8" a="1"/>
  <c r="O486" i="8" s="1"/>
  <c r="O488" i="8" a="1"/>
  <c r="O488" i="8" s="1"/>
  <c r="P714" i="8" a="1"/>
  <c r="P714" i="8" s="1"/>
  <c r="P45" i="8" a="1"/>
  <c r="P45" i="8" s="1"/>
  <c r="N116" i="8" a="1"/>
  <c r="N116" i="8" s="1"/>
  <c r="O155" i="8" a="1"/>
  <c r="O155" i="8" s="1"/>
  <c r="P166" i="8" a="1"/>
  <c r="P166" i="8" s="1"/>
  <c r="O180" i="8" a="1"/>
  <c r="O180" i="8" s="1"/>
  <c r="P195" i="8" a="1"/>
  <c r="P195" i="8" s="1"/>
  <c r="O199" i="8" a="1"/>
  <c r="O199" i="8" s="1"/>
  <c r="O236" i="8" a="1"/>
  <c r="O236" i="8" s="1"/>
  <c r="P248" i="8" a="1"/>
  <c r="P248" i="8" s="1"/>
  <c r="P289" i="8" a="1"/>
  <c r="P289" i="8" s="1"/>
  <c r="O291" i="8" a="1"/>
  <c r="O291" i="8" s="1"/>
  <c r="M299" i="8" a="1"/>
  <c r="M299" i="8" s="1"/>
  <c r="P344" i="8" a="1"/>
  <c r="P344" i="8" s="1"/>
  <c r="P352" i="8" a="1"/>
  <c r="P352" i="8" s="1"/>
  <c r="O354" i="8" a="1"/>
  <c r="O354" i="8" s="1"/>
  <c r="P361" i="8" a="1"/>
  <c r="P361" i="8" s="1"/>
  <c r="O378" i="8" a="1"/>
  <c r="O378" i="8" s="1"/>
  <c r="O443" i="8" a="1"/>
  <c r="O443" i="8" s="1"/>
  <c r="P454" i="8" a="1"/>
  <c r="P454" i="8" s="1"/>
  <c r="P457" i="8" a="1"/>
  <c r="P457" i="8" s="1"/>
  <c r="P513" i="8" a="1"/>
  <c r="P513" i="8" s="1"/>
  <c r="P515" i="8" a="1"/>
  <c r="P515" i="8" s="1"/>
  <c r="K522" i="8" a="1"/>
  <c r="K522" i="8" s="1"/>
  <c r="P553" i="8" a="1"/>
  <c r="P553" i="8" s="1"/>
  <c r="O583" i="8" a="1"/>
  <c r="O583" i="8" s="1"/>
  <c r="O606" i="8" a="1"/>
  <c r="O606" i="8" s="1"/>
  <c r="K686" i="8" a="1"/>
  <c r="K686" i="8" s="1"/>
  <c r="O601" i="8" a="1"/>
  <c r="O601" i="8" s="1"/>
  <c r="O730" i="8" a="1"/>
  <c r="O730" i="8" s="1"/>
  <c r="O754" i="8" a="1"/>
  <c r="O754" i="8" s="1"/>
  <c r="P816" i="8" a="1"/>
  <c r="P816" i="8" s="1"/>
  <c r="O1081" i="8" a="1"/>
  <c r="O1081" i="8" s="1"/>
  <c r="O1083" i="8" a="1"/>
  <c r="O1083" i="8" s="1"/>
  <c r="O1085" i="8" a="1"/>
  <c r="O1085" i="8" s="1"/>
  <c r="O30" i="8" a="1"/>
  <c r="O30" i="8" s="1"/>
  <c r="P47" i="8" a="1"/>
  <c r="P47" i="8" s="1"/>
  <c r="O61" i="8" a="1"/>
  <c r="O61" i="8" s="1"/>
  <c r="P69" i="8" a="1"/>
  <c r="P69" i="8" s="1"/>
  <c r="O83" i="8" a="1"/>
  <c r="O83" i="8" s="1"/>
  <c r="O96" i="8" a="1"/>
  <c r="O96" i="8" s="1"/>
  <c r="O107" i="8" a="1"/>
  <c r="O107" i="8" s="1"/>
  <c r="O109" i="8" a="1"/>
  <c r="O109" i="8" s="1"/>
  <c r="P131" i="8" a="1"/>
  <c r="P131" i="8" s="1"/>
  <c r="K137" i="8" a="1"/>
  <c r="K137" i="8" s="1"/>
  <c r="O139" i="8" a="1"/>
  <c r="O139" i="8" s="1"/>
  <c r="P168" i="8" a="1"/>
  <c r="P168" i="8" s="1"/>
  <c r="O186" i="8" a="1"/>
  <c r="O186" i="8" s="1"/>
  <c r="O188" i="8" a="1"/>
  <c r="O188" i="8" s="1"/>
  <c r="K199" i="8" a="1"/>
  <c r="K199" i="8" s="1"/>
  <c r="P214" i="8" a="1"/>
  <c r="P214" i="8" s="1"/>
  <c r="P216" i="8" a="1"/>
  <c r="P216" i="8" s="1"/>
  <c r="P223" i="8" a="1"/>
  <c r="P223" i="8" s="1"/>
  <c r="P225" i="8" a="1"/>
  <c r="P225" i="8" s="1"/>
  <c r="O227" i="8" a="1"/>
  <c r="O227" i="8" s="1"/>
  <c r="O229" i="8" a="1"/>
  <c r="O229" i="8" s="1"/>
  <c r="P238" i="8" a="1"/>
  <c r="P238" i="8" s="1"/>
  <c r="P240" i="8" a="1"/>
  <c r="P240" i="8" s="1"/>
  <c r="O242" i="8" a="1"/>
  <c r="O242" i="8" s="1"/>
  <c r="O252" i="8" a="1"/>
  <c r="O252" i="8" s="1"/>
  <c r="O257" i="8" a="1"/>
  <c r="O257" i="8" s="1"/>
  <c r="P266" i="8" a="1"/>
  <c r="P266" i="8" s="1"/>
  <c r="O281" i="8" a="1"/>
  <c r="O281" i="8" s="1"/>
  <c r="O296" i="8" a="1"/>
  <c r="O296" i="8" s="1"/>
  <c r="O336" i="8" a="1"/>
  <c r="O336" i="8" s="1"/>
  <c r="P350" i="8" a="1"/>
  <c r="P350" i="8" s="1"/>
  <c r="O358" i="8" a="1"/>
  <c r="O358" i="8" s="1"/>
  <c r="P367" i="8" a="1"/>
  <c r="P367" i="8" s="1"/>
  <c r="O385" i="8" a="1"/>
  <c r="O385" i="8" s="1"/>
  <c r="O408" i="8" a="1"/>
  <c r="O408" i="8" s="1"/>
  <c r="O409" i="8" a="1"/>
  <c r="O409" i="8" s="1"/>
  <c r="P494" i="8" a="1"/>
  <c r="P494" i="8" s="1"/>
  <c r="O500" i="8" a="1"/>
  <c r="O500" i="8" s="1"/>
  <c r="N522" i="8" a="1"/>
  <c r="N522" i="8" s="1"/>
  <c r="P574" i="8" a="1"/>
  <c r="P574" i="8" s="1"/>
  <c r="O576" i="8" a="1"/>
  <c r="O576" i="8" s="1"/>
  <c r="P622" i="8" a="1"/>
  <c r="P622" i="8" s="1"/>
  <c r="O11" i="8" a="1"/>
  <c r="O11" i="8" s="1"/>
  <c r="P18" i="8" a="1"/>
  <c r="P18" i="8" s="1"/>
  <c r="P30" i="8" a="1"/>
  <c r="P30" i="8" s="1"/>
  <c r="P33" i="8" a="1"/>
  <c r="P33" i="8" s="1"/>
  <c r="O46" i="8" a="1"/>
  <c r="O46" i="8" s="1"/>
  <c r="P68" i="8" a="1"/>
  <c r="P68" i="8" s="1"/>
  <c r="P71" i="8" a="1"/>
  <c r="P71" i="8" s="1"/>
  <c r="P83" i="8" a="1"/>
  <c r="P83" i="8" s="1"/>
  <c r="P107" i="8" a="1"/>
  <c r="P107" i="8" s="1"/>
  <c r="O128" i="8" a="1"/>
  <c r="O128" i="8" s="1"/>
  <c r="O133" i="8" a="1"/>
  <c r="O133" i="8" s="1"/>
  <c r="P170" i="8" a="1"/>
  <c r="P170" i="8" s="1"/>
  <c r="P177" i="8" a="1"/>
  <c r="P177" i="8" s="1"/>
  <c r="P186" i="8" a="1"/>
  <c r="P186" i="8" s="1"/>
  <c r="P227" i="8" a="1"/>
  <c r="P227" i="8" s="1"/>
  <c r="P229" i="8" a="1"/>
  <c r="P229" i="8" s="1"/>
  <c r="P242" i="8" a="1"/>
  <c r="P242" i="8" s="1"/>
  <c r="N244" i="8" a="1"/>
  <c r="N244" i="8" s="1"/>
  <c r="P252" i="8" a="1"/>
  <c r="P252" i="8" s="1"/>
  <c r="P257" i="8" a="1"/>
  <c r="P257" i="8" s="1"/>
  <c r="L283" i="8" a="1"/>
  <c r="L283" i="8" s="1"/>
  <c r="P301" i="8" a="1"/>
  <c r="P301" i="8" s="1"/>
  <c r="P313" i="8" a="1"/>
  <c r="P313" i="8" s="1"/>
  <c r="O346" i="8" a="1"/>
  <c r="O346" i="8" s="1"/>
  <c r="N349" i="8" a="1"/>
  <c r="N349" i="8" s="1"/>
  <c r="O362" i="8" a="1"/>
  <c r="O362" i="8" s="1"/>
  <c r="P394" i="8" a="1"/>
  <c r="P394" i="8" s="1"/>
  <c r="O401" i="8" a="1"/>
  <c r="O401" i="8" s="1"/>
  <c r="P408" i="8" a="1"/>
  <c r="P408" i="8" s="1"/>
  <c r="P476" i="8" a="1"/>
  <c r="P476" i="8" s="1"/>
  <c r="P487" i="8" a="1"/>
  <c r="P487" i="8" s="1"/>
  <c r="N523" i="8" a="1"/>
  <c r="N523" i="8" s="1"/>
  <c r="L523" i="8" a="1"/>
  <c r="L523" i="8" s="1"/>
  <c r="K523" i="8" a="1"/>
  <c r="K523" i="8" s="1"/>
  <c r="O638" i="8" a="1"/>
  <c r="O638" i="8" s="1"/>
  <c r="L1077" i="8" a="1"/>
  <c r="L1077" i="8" s="1"/>
  <c r="M1077" i="8" a="1"/>
  <c r="M1077" i="8" s="1"/>
  <c r="O82" i="8" a="1"/>
  <c r="O82" i="8" s="1"/>
  <c r="O84" i="8" a="1"/>
  <c r="O84" i="8" s="1"/>
  <c r="M104" i="8" a="1"/>
  <c r="M104" i="8" s="1"/>
  <c r="P117" i="8" a="1"/>
  <c r="P117" i="8" s="1"/>
  <c r="P132" i="8" a="1"/>
  <c r="P132" i="8" s="1"/>
  <c r="M134" i="8" a="1"/>
  <c r="M134" i="8" s="1"/>
  <c r="N136" i="8" a="1"/>
  <c r="N136" i="8" s="1"/>
  <c r="P190" i="8" a="1"/>
  <c r="P190" i="8" s="1"/>
  <c r="P192" i="8" a="1"/>
  <c r="P192" i="8" s="1"/>
  <c r="P218" i="8" a="1"/>
  <c r="P218" i="8" s="1"/>
  <c r="O222" i="8" a="1"/>
  <c r="O222" i="8" s="1"/>
  <c r="P256" i="8" a="1"/>
  <c r="P256" i="8" s="1"/>
  <c r="P270" i="8" a="1"/>
  <c r="P270" i="8" s="1"/>
  <c r="P308" i="8" a="1"/>
  <c r="P308" i="8" s="1"/>
  <c r="O317" i="8" a="1"/>
  <c r="O317" i="8" s="1"/>
  <c r="P322" i="8" a="1"/>
  <c r="P322" i="8" s="1"/>
  <c r="P325" i="8" a="1"/>
  <c r="P325" i="8" s="1"/>
  <c r="P335" i="8" a="1"/>
  <c r="P335" i="8" s="1"/>
  <c r="O386" i="8" a="1"/>
  <c r="O386" i="8" s="1"/>
  <c r="P389" i="8" a="1"/>
  <c r="P389" i="8" s="1"/>
  <c r="O396" i="8" a="1"/>
  <c r="O396" i="8" s="1"/>
  <c r="O415" i="8" a="1"/>
  <c r="O415" i="8" s="1"/>
  <c r="O514" i="8" a="1"/>
  <c r="O514" i="8" s="1"/>
  <c r="P580" i="8" a="1"/>
  <c r="P580" i="8" s="1"/>
  <c r="P635" i="8" a="1"/>
  <c r="P635" i="8" s="1"/>
  <c r="O719" i="8" a="1"/>
  <c r="O719" i="8" s="1"/>
  <c r="O24" i="8" a="1"/>
  <c r="O24" i="8" s="1"/>
  <c r="P27" i="8" a="1"/>
  <c r="P27" i="8" s="1"/>
  <c r="P43" i="8" a="1"/>
  <c r="P43" i="8" s="1"/>
  <c r="O50" i="8" a="1"/>
  <c r="O50" i="8" s="1"/>
  <c r="O60" i="8" a="1"/>
  <c r="O60" i="8" s="1"/>
  <c r="P70" i="8" a="1"/>
  <c r="P70" i="8" s="1"/>
  <c r="P82" i="8" a="1"/>
  <c r="P82" i="8" s="1"/>
  <c r="P84" i="8" a="1"/>
  <c r="P84" i="8" s="1"/>
  <c r="O104" i="8" a="1"/>
  <c r="O104" i="8" s="1"/>
  <c r="O119" i="8" a="1"/>
  <c r="O119" i="8" s="1"/>
  <c r="O134" i="8" a="1"/>
  <c r="O134" i="8" s="1"/>
  <c r="O136" i="8" a="1"/>
  <c r="O136" i="8" s="1"/>
  <c r="O145" i="8" a="1"/>
  <c r="O145" i="8" s="1"/>
  <c r="O149" i="8" a="1"/>
  <c r="O149" i="8" s="1"/>
  <c r="O151" i="8" a="1"/>
  <c r="O151" i="8" s="1"/>
  <c r="P172" i="8" a="1"/>
  <c r="P172" i="8" s="1"/>
  <c r="O183" i="8" a="1"/>
  <c r="O183" i="8" s="1"/>
  <c r="P194" i="8" a="1"/>
  <c r="P194" i="8" s="1"/>
  <c r="N200" i="8" a="1"/>
  <c r="N200" i="8" s="1"/>
  <c r="K205" i="8" a="1"/>
  <c r="K205" i="8" s="1"/>
  <c r="O211" i="8" a="1"/>
  <c r="O211" i="8" s="1"/>
  <c r="P222" i="8" a="1"/>
  <c r="P222" i="8" s="1"/>
  <c r="P259" i="8" a="1"/>
  <c r="P259" i="8" s="1"/>
  <c r="J319" i="8" a="1"/>
  <c r="J319" i="8" s="1"/>
  <c r="O337" i="8" a="1"/>
  <c r="O337" i="8" s="1"/>
  <c r="P340" i="8" a="1"/>
  <c r="P340" i="8" s="1"/>
  <c r="O377" i="8" a="1"/>
  <c r="O377" i="8" s="1"/>
  <c r="P384" i="8" a="1"/>
  <c r="P384" i="8" s="1"/>
  <c r="P386" i="8" a="1"/>
  <c r="P386" i="8" s="1"/>
  <c r="O391" i="8" a="1"/>
  <c r="O391" i="8" s="1"/>
  <c r="O393" i="8" a="1"/>
  <c r="O393" i="8" s="1"/>
  <c r="P396" i="8" a="1"/>
  <c r="P396" i="8" s="1"/>
  <c r="P401" i="8" a="1"/>
  <c r="P401" i="8" s="1"/>
  <c r="P420" i="8" a="1"/>
  <c r="P420" i="8" s="1"/>
  <c r="O448" i="8" a="1"/>
  <c r="O448" i="8" s="1"/>
  <c r="P455" i="8" a="1"/>
  <c r="P455" i="8" s="1"/>
  <c r="P467" i="8" a="1"/>
  <c r="P467" i="8" s="1"/>
  <c r="O473" i="8" a="1"/>
  <c r="O473" i="8" s="1"/>
  <c r="P571" i="8" a="1"/>
  <c r="P571" i="8" s="1"/>
  <c r="O616" i="8" a="1"/>
  <c r="O616" i="8" s="1"/>
  <c r="O671" i="8" a="1"/>
  <c r="O671" i="8" s="1"/>
  <c r="N689" i="8" a="1"/>
  <c r="N689" i="8" s="1"/>
  <c r="M689" i="8" a="1"/>
  <c r="M689" i="8" s="1"/>
  <c r="L689" i="8" a="1"/>
  <c r="L689" i="8" s="1"/>
  <c r="K689" i="8" a="1"/>
  <c r="K689" i="8" s="1"/>
  <c r="P719" i="8" a="1"/>
  <c r="P719" i="8" s="1"/>
  <c r="O949" i="8" a="1"/>
  <c r="O949" i="8" s="1"/>
  <c r="P34" i="8" a="1"/>
  <c r="P34" i="8" s="1"/>
  <c r="P36" i="8" a="1"/>
  <c r="P36" i="8" s="1"/>
  <c r="P50" i="8" a="1"/>
  <c r="P50" i="8" s="1"/>
  <c r="O53" i="8" a="1"/>
  <c r="O53" i="8" s="1"/>
  <c r="P62" i="8" a="1"/>
  <c r="P62" i="8" s="1"/>
  <c r="O64" i="8" a="1"/>
  <c r="O64" i="8" s="1"/>
  <c r="N84" i="8" a="1"/>
  <c r="N84" i="8" s="1"/>
  <c r="P104" i="8" a="1"/>
  <c r="P104" i="8" s="1"/>
  <c r="O106" i="8" a="1"/>
  <c r="O106" i="8" s="1"/>
  <c r="M108" i="8" a="1"/>
  <c r="M108" i="8" s="1"/>
  <c r="J110" i="8" a="1"/>
  <c r="J110" i="8" s="1"/>
  <c r="J112" i="8" a="1"/>
  <c r="J112" i="8" s="1"/>
  <c r="P113" i="8" a="1"/>
  <c r="P113" i="8" s="1"/>
  <c r="O117" i="8" a="1"/>
  <c r="O117" i="8" s="1"/>
  <c r="P121" i="8" a="1"/>
  <c r="P121" i="8" s="1"/>
  <c r="O147" i="8" a="1"/>
  <c r="O147" i="8" s="1"/>
  <c r="P158" i="8" a="1"/>
  <c r="P158" i="8" s="1"/>
  <c r="P163" i="8" a="1"/>
  <c r="P163" i="8" s="1"/>
  <c r="P174" i="8" a="1"/>
  <c r="P174" i="8" s="1"/>
  <c r="P183" i="8" a="1"/>
  <c r="P183" i="8" s="1"/>
  <c r="O190" i="8" a="1"/>
  <c r="O190" i="8" s="1"/>
  <c r="O205" i="8" a="1"/>
  <c r="O205" i="8" s="1"/>
  <c r="O213" i="8" a="1"/>
  <c r="O213" i="8" s="1"/>
  <c r="O215" i="8" a="1"/>
  <c r="O215" i="8" s="1"/>
  <c r="O224" i="8" a="1"/>
  <c r="O224" i="8" s="1"/>
  <c r="P235" i="8" a="1"/>
  <c r="P235" i="8" s="1"/>
  <c r="O237" i="8" a="1"/>
  <c r="O237" i="8" s="1"/>
  <c r="O239" i="8" a="1"/>
  <c r="O239" i="8" s="1"/>
  <c r="P272" i="8" a="1"/>
  <c r="P272" i="8" s="1"/>
  <c r="P285" i="8" a="1"/>
  <c r="P285" i="8" s="1"/>
  <c r="O312" i="8" a="1"/>
  <c r="O312" i="8" s="1"/>
  <c r="O322" i="8" a="1"/>
  <c r="O322" i="8" s="1"/>
  <c r="O379" i="8" a="1"/>
  <c r="O379" i="8" s="1"/>
  <c r="O389" i="8" a="1"/>
  <c r="O389" i="8" s="1"/>
  <c r="O425" i="8" a="1"/>
  <c r="O425" i="8" s="1"/>
  <c r="P582" i="8" a="1"/>
  <c r="P582" i="8" s="1"/>
  <c r="P607" i="8" a="1"/>
  <c r="P607" i="8" s="1"/>
  <c r="P687" i="8" a="1"/>
  <c r="P687" i="8" s="1"/>
  <c r="O595" i="8" a="1"/>
  <c r="O595" i="8" s="1"/>
  <c r="P600" i="8" a="1"/>
  <c r="P600" i="8" s="1"/>
  <c r="P620" i="8" a="1"/>
  <c r="P620" i="8" s="1"/>
  <c r="P642" i="8" a="1"/>
  <c r="P642" i="8" s="1"/>
  <c r="P725" i="8" a="1"/>
  <c r="P725" i="8" s="1"/>
  <c r="P733" i="8" a="1"/>
  <c r="P733" i="8" s="1"/>
  <c r="O828" i="8" a="1"/>
  <c r="O828" i="8" s="1"/>
  <c r="O859" i="8" a="1"/>
  <c r="O859" i="8" s="1"/>
  <c r="O938" i="8" a="1"/>
  <c r="O938" i="8" s="1"/>
  <c r="P309" i="8" a="1"/>
  <c r="P309" i="8" s="1"/>
  <c r="P318" i="8" a="1"/>
  <c r="P318" i="8" s="1"/>
  <c r="O323" i="8" a="1"/>
  <c r="O323" i="8" s="1"/>
  <c r="O355" i="8" a="1"/>
  <c r="O355" i="8" s="1"/>
  <c r="O366" i="8" a="1"/>
  <c r="O366" i="8" s="1"/>
  <c r="P392" i="8" a="1"/>
  <c r="P392" i="8" s="1"/>
  <c r="P425" i="8" a="1"/>
  <c r="P425" i="8" s="1"/>
  <c r="O429" i="8" a="1"/>
  <c r="O429" i="8" s="1"/>
  <c r="O434" i="8" a="1"/>
  <c r="O434" i="8" s="1"/>
  <c r="O437" i="8" a="1"/>
  <c r="O437" i="8" s="1"/>
  <c r="O444" i="8" a="1"/>
  <c r="O444" i="8" s="1"/>
  <c r="P458" i="8" a="1"/>
  <c r="P458" i="8" s="1"/>
  <c r="P463" i="8" a="1"/>
  <c r="P463" i="8" s="1"/>
  <c r="O470" i="8" a="1"/>
  <c r="O470" i="8" s="1"/>
  <c r="O472" i="8" a="1"/>
  <c r="O472" i="8" s="1"/>
  <c r="P509" i="8" a="1"/>
  <c r="P509" i="8" s="1"/>
  <c r="O539" i="8" a="1"/>
  <c r="O539" i="8" s="1"/>
  <c r="P555" i="8" a="1"/>
  <c r="P555" i="8" s="1"/>
  <c r="P557" i="8" a="1"/>
  <c r="P557" i="8" s="1"/>
  <c r="P570" i="8" a="1"/>
  <c r="P570" i="8" s="1"/>
  <c r="P572" i="8" a="1"/>
  <c r="P572" i="8" s="1"/>
  <c r="P612" i="8" a="1"/>
  <c r="P612" i="8" s="1"/>
  <c r="O629" i="8" a="1"/>
  <c r="O629" i="8" s="1"/>
  <c r="O634" i="8" a="1"/>
  <c r="O634" i="8" s="1"/>
  <c r="O644" i="8" a="1"/>
  <c r="O644" i="8" s="1"/>
  <c r="O672" i="8" a="1"/>
  <c r="O672" i="8" s="1"/>
  <c r="P751" i="8" a="1"/>
  <c r="P751" i="8" s="1"/>
  <c r="P753" i="8" a="1"/>
  <c r="P753" i="8" s="1"/>
  <c r="P796" i="8" a="1"/>
  <c r="P796" i="8" s="1"/>
  <c r="P828" i="8" a="1"/>
  <c r="P828" i="8" s="1"/>
  <c r="O845" i="8" a="1"/>
  <c r="O845" i="8" s="1"/>
  <c r="O931" i="8" a="1"/>
  <c r="O931" i="8" s="1"/>
  <c r="N353" i="8" a="1"/>
  <c r="N353" i="8" s="1"/>
  <c r="O380" i="8" a="1"/>
  <c r="O380" i="8" s="1"/>
  <c r="O406" i="8" a="1"/>
  <c r="O406" i="8" s="1"/>
  <c r="P414" i="8" a="1"/>
  <c r="P414" i="8" s="1"/>
  <c r="P417" i="8" a="1"/>
  <c r="P417" i="8" s="1"/>
  <c r="O427" i="8" a="1"/>
  <c r="O427" i="8" s="1"/>
  <c r="P429" i="8" a="1"/>
  <c r="P429" i="8" s="1"/>
  <c r="P434" i="8" a="1"/>
  <c r="P434" i="8" s="1"/>
  <c r="P437" i="8" a="1"/>
  <c r="P437" i="8" s="1"/>
  <c r="P444" i="8" a="1"/>
  <c r="P444" i="8" s="1"/>
  <c r="P449" i="8" a="1"/>
  <c r="P449" i="8" s="1"/>
  <c r="M494" i="8" a="1"/>
  <c r="M494" i="8" s="1"/>
  <c r="M496" i="8" a="1"/>
  <c r="M496" i="8" s="1"/>
  <c r="L511" i="8" a="1"/>
  <c r="L511" i="8" s="1"/>
  <c r="P552" i="8" a="1"/>
  <c r="P552" i="8" s="1"/>
  <c r="O592" i="8" a="1"/>
  <c r="O592" i="8" s="1"/>
  <c r="O617" i="8" a="1"/>
  <c r="O617" i="8" s="1"/>
  <c r="P629" i="8" a="1"/>
  <c r="P629" i="8" s="1"/>
  <c r="P634" i="8" a="1"/>
  <c r="P634" i="8" s="1"/>
  <c r="P691" i="8" a="1"/>
  <c r="P691" i="8" s="1"/>
  <c r="P735" i="8" a="1"/>
  <c r="P735" i="8" s="1"/>
  <c r="P764" i="8" a="1"/>
  <c r="P764" i="8" s="1"/>
  <c r="P768" i="8" a="1"/>
  <c r="P768" i="8" s="1"/>
  <c r="O772" i="8" a="1"/>
  <c r="O772" i="8" s="1"/>
  <c r="O776" i="8" a="1"/>
  <c r="O776" i="8" s="1"/>
  <c r="P798" i="8" a="1"/>
  <c r="P798" i="8" s="1"/>
  <c r="O817" i="8" a="1"/>
  <c r="O817" i="8" s="1"/>
  <c r="P1122" i="8" a="1"/>
  <c r="P1122" i="8" s="1"/>
  <c r="O724" i="8" a="1"/>
  <c r="O724" i="8" s="1"/>
  <c r="O727" i="8" a="1"/>
  <c r="O727" i="8" s="1"/>
  <c r="O737" i="8" a="1"/>
  <c r="O737" i="8" s="1"/>
  <c r="P740" i="8" a="1"/>
  <c r="P740" i="8" s="1"/>
  <c r="P832" i="8" a="1"/>
  <c r="P832" i="8" s="1"/>
  <c r="O950" i="8" a="1"/>
  <c r="O950" i="8" s="1"/>
  <c r="N1189" i="8" a="1"/>
  <c r="N1189" i="8" s="1"/>
  <c r="M1189" i="8" a="1"/>
  <c r="M1189" i="8" s="1"/>
  <c r="K1189" i="8" a="1"/>
  <c r="K1189" i="8" s="1"/>
  <c r="L981" i="8" a="1"/>
  <c r="L981" i="8" s="1"/>
  <c r="N981" i="8" a="1"/>
  <c r="N981" i="8" s="1"/>
  <c r="M981" i="8" a="1"/>
  <c r="M981" i="8" s="1"/>
  <c r="K981" i="8" a="1"/>
  <c r="K981" i="8" s="1"/>
  <c r="P769" i="8" a="1"/>
  <c r="P769" i="8" s="1"/>
  <c r="O413" i="8" a="1"/>
  <c r="O413" i="8" s="1"/>
  <c r="P415" i="8" a="1"/>
  <c r="P415" i="8" s="1"/>
  <c r="O418" i="8" a="1"/>
  <c r="O418" i="8" s="1"/>
  <c r="P428" i="8" a="1"/>
  <c r="P428" i="8" s="1"/>
  <c r="P469" i="8" a="1"/>
  <c r="P469" i="8" s="1"/>
  <c r="O482" i="8" a="1"/>
  <c r="O482" i="8" s="1"/>
  <c r="K495" i="8" a="1"/>
  <c r="K495" i="8" s="1"/>
  <c r="P544" i="8" a="1"/>
  <c r="P544" i="8" s="1"/>
  <c r="P546" i="8" a="1"/>
  <c r="P546" i="8" s="1"/>
  <c r="O562" i="8" a="1"/>
  <c r="O562" i="8" s="1"/>
  <c r="O593" i="8" a="1"/>
  <c r="O593" i="8" s="1"/>
  <c r="O596" i="8" a="1"/>
  <c r="O596" i="8" s="1"/>
  <c r="P628" i="8" a="1"/>
  <c r="P628" i="8" s="1"/>
  <c r="O659" i="8" a="1"/>
  <c r="O659" i="8" s="1"/>
  <c r="O723" i="8" a="1"/>
  <c r="O723" i="8" s="1"/>
  <c r="P778" i="8" a="1"/>
  <c r="P778" i="8" s="1"/>
  <c r="O818" i="8" a="1"/>
  <c r="O818" i="8" s="1"/>
  <c r="P864" i="8" a="1"/>
  <c r="P864" i="8" s="1"/>
  <c r="O870" i="8" a="1"/>
  <c r="O870" i="8" s="1"/>
  <c r="P883" i="8" a="1"/>
  <c r="P883" i="8" s="1"/>
  <c r="J1087" i="8" a="1"/>
  <c r="J1087" i="8" s="1"/>
  <c r="P486" i="8" a="1"/>
  <c r="P486" i="8" s="1"/>
  <c r="P488" i="8" a="1"/>
  <c r="P488" i="8" s="1"/>
  <c r="P563" i="8" a="1"/>
  <c r="P563" i="8" s="1"/>
  <c r="P565" i="8" a="1"/>
  <c r="P565" i="8" s="1"/>
  <c r="O581" i="8" a="1"/>
  <c r="O581" i="8" s="1"/>
  <c r="O600" i="8" a="1"/>
  <c r="O600" i="8" s="1"/>
  <c r="P611" i="8" a="1"/>
  <c r="P611" i="8" s="1"/>
  <c r="P626" i="8" a="1"/>
  <c r="P626" i="8" s="1"/>
  <c r="O701" i="8" a="1"/>
  <c r="O701" i="8" s="1"/>
  <c r="P720" i="8" a="1"/>
  <c r="P720" i="8" s="1"/>
  <c r="P742" i="8" a="1"/>
  <c r="P742" i="8" s="1"/>
  <c r="K772" i="8" a="1"/>
  <c r="K772" i="8" s="1"/>
  <c r="O812" i="8" a="1"/>
  <c r="O812" i="8" s="1"/>
  <c r="P822" i="8" a="1"/>
  <c r="P822" i="8" s="1"/>
  <c r="P824" i="8" a="1"/>
  <c r="P824" i="8" s="1"/>
  <c r="P826" i="8" a="1"/>
  <c r="P826" i="8" s="1"/>
  <c r="O831" i="8" a="1"/>
  <c r="O831" i="8" s="1"/>
  <c r="P846" i="8" a="1"/>
  <c r="P846" i="8" s="1"/>
  <c r="P853" i="8" a="1"/>
  <c r="P853" i="8" s="1"/>
  <c r="O855" i="8" a="1"/>
  <c r="O855" i="8" s="1"/>
  <c r="O869" i="8" a="1"/>
  <c r="O869" i="8" s="1"/>
  <c r="P945" i="8" a="1"/>
  <c r="P945" i="8" s="1"/>
  <c r="O947" i="8" a="1"/>
  <c r="O947" i="8" s="1"/>
  <c r="P1018" i="8" a="1"/>
  <c r="P1018" i="8" s="1"/>
  <c r="M1062" i="8" a="1"/>
  <c r="M1062" i="8" s="1"/>
  <c r="O1072" i="8" a="1"/>
  <c r="O1072" i="8" s="1"/>
  <c r="O1160" i="8" a="1"/>
  <c r="O1160" i="8" s="1"/>
  <c r="P497" i="8" a="1"/>
  <c r="P497" i="8" s="1"/>
  <c r="P503" i="8" a="1"/>
  <c r="P503" i="8" s="1"/>
  <c r="O505" i="8" a="1"/>
  <c r="O505" i="8" s="1"/>
  <c r="O507" i="8" a="1"/>
  <c r="O507" i="8" s="1"/>
  <c r="P514" i="8" a="1"/>
  <c r="P514" i="8" s="1"/>
  <c r="P528" i="8" a="1"/>
  <c r="P528" i="8" s="1"/>
  <c r="P540" i="8" a="1"/>
  <c r="P540" i="8" s="1"/>
  <c r="P592" i="8" a="1"/>
  <c r="P592" i="8" s="1"/>
  <c r="P610" i="8" a="1"/>
  <c r="P610" i="8" s="1"/>
  <c r="P618" i="8" a="1"/>
  <c r="P618" i="8" s="1"/>
  <c r="P638" i="8" a="1"/>
  <c r="P638" i="8" s="1"/>
  <c r="P669" i="8" a="1"/>
  <c r="P669" i="8" s="1"/>
  <c r="O674" i="8" a="1"/>
  <c r="O674" i="8" s="1"/>
  <c r="P688" i="8" a="1"/>
  <c r="P688" i="8" s="1"/>
  <c r="O720" i="8" a="1"/>
  <c r="O720" i="8" s="1"/>
  <c r="P746" i="8" a="1"/>
  <c r="P746" i="8" s="1"/>
  <c r="P774" i="8" a="1"/>
  <c r="P774" i="8" s="1"/>
  <c r="P797" i="8" a="1"/>
  <c r="P797" i="8" s="1"/>
  <c r="O822" i="8" a="1"/>
  <c r="O822" i="8" s="1"/>
  <c r="O824" i="8" a="1"/>
  <c r="O824" i="8" s="1"/>
  <c r="O826" i="8" a="1"/>
  <c r="O826" i="8" s="1"/>
  <c r="O857" i="8" a="1"/>
  <c r="O857" i="8" s="1"/>
  <c r="O871" i="8" a="1"/>
  <c r="O871" i="8" s="1"/>
  <c r="O874" i="8" a="1"/>
  <c r="O874" i="8" s="1"/>
  <c r="P968" i="8" a="1"/>
  <c r="P968" i="8" s="1"/>
  <c r="O999" i="8" a="1"/>
  <c r="O999" i="8" s="1"/>
  <c r="P1054" i="8" a="1"/>
  <c r="P1054" i="8" s="1"/>
  <c r="J1061" i="8" a="1"/>
  <c r="J1061" i="8" s="1"/>
  <c r="M1070" i="8" a="1"/>
  <c r="M1070" i="8" s="1"/>
  <c r="L1061" i="8" a="1"/>
  <c r="L1061" i="8" s="1"/>
  <c r="P1063" i="8" a="1"/>
  <c r="P1063" i="8" s="1"/>
  <c r="P886" i="8" a="1"/>
  <c r="P886" i="8" s="1"/>
  <c r="O902" i="8" a="1"/>
  <c r="O902" i="8" s="1"/>
  <c r="O996" i="8" a="1"/>
  <c r="O996" i="8" s="1"/>
  <c r="M1043" i="8" a="1"/>
  <c r="M1043" i="8" s="1"/>
  <c r="L1047" i="8" a="1"/>
  <c r="L1047" i="8" s="1"/>
  <c r="P1058" i="8" a="1"/>
  <c r="P1058" i="8" s="1"/>
  <c r="O1166" i="8" a="1"/>
  <c r="O1166" i="8" s="1"/>
  <c r="N1055" i="8" a="1"/>
  <c r="N1055" i="8" s="1"/>
  <c r="O1098" i="8" a="1"/>
  <c r="O1098" i="8" s="1"/>
  <c r="P1152" i="8" a="1"/>
  <c r="P1152" i="8" s="1"/>
  <c r="N1077" i="8" a="1"/>
  <c r="N1077" i="8" s="1"/>
  <c r="P1098" i="8" a="1"/>
  <c r="P1098" i="8" s="1"/>
  <c r="P672" i="8" a="1"/>
  <c r="P672" i="8" s="1"/>
  <c r="P675" i="8" a="1"/>
  <c r="P675" i="8" s="1"/>
  <c r="N686" i="8" a="1"/>
  <c r="N686" i="8" s="1"/>
  <c r="O718" i="8" a="1"/>
  <c r="O718" i="8" s="1"/>
  <c r="P721" i="8" a="1"/>
  <c r="P721" i="8" s="1"/>
  <c r="O749" i="8" a="1"/>
  <c r="O749" i="8" s="1"/>
  <c r="O760" i="8" a="1"/>
  <c r="O760" i="8" s="1"/>
  <c r="O829" i="8" a="1"/>
  <c r="O829" i="8" s="1"/>
  <c r="P879" i="8" a="1"/>
  <c r="P879" i="8" s="1"/>
  <c r="P984" i="8" a="1"/>
  <c r="P984" i="8" s="1"/>
  <c r="O1016" i="8" a="1"/>
  <c r="O1016" i="8" s="1"/>
  <c r="O1018" i="8" a="1"/>
  <c r="O1018" i="8" s="1"/>
  <c r="P1030" i="8" a="1"/>
  <c r="P1030" i="8" s="1"/>
  <c r="P1114" i="8" a="1"/>
  <c r="P1114" i="8" s="1"/>
  <c r="P1178" i="8" a="1"/>
  <c r="P1178" i="8" s="1"/>
  <c r="N1082" i="8" a="1"/>
  <c r="N1082" i="8" s="1"/>
  <c r="O1106" i="8" a="1"/>
  <c r="O1106" i="8" s="1"/>
  <c r="O1116" i="8" a="1"/>
  <c r="O1116" i="8" s="1"/>
  <c r="O840" i="8" a="1"/>
  <c r="O840" i="8" s="1"/>
  <c r="P842" i="8" a="1"/>
  <c r="P842" i="8" s="1"/>
  <c r="P849" i="8" a="1"/>
  <c r="P849" i="8" s="1"/>
  <c r="O854" i="8" a="1"/>
  <c r="O854" i="8" s="1"/>
  <c r="P959" i="8" a="1"/>
  <c r="P959" i="8" s="1"/>
  <c r="O969" i="8" a="1"/>
  <c r="O969" i="8" s="1"/>
  <c r="P980" i="8" a="1"/>
  <c r="P980" i="8" s="1"/>
  <c r="O997" i="8" a="1"/>
  <c r="O997" i="8" s="1"/>
  <c r="P1024" i="8" a="1"/>
  <c r="P1024" i="8" s="1"/>
  <c r="P1026" i="8" a="1"/>
  <c r="P1026" i="8" s="1"/>
  <c r="P1033" i="8" a="1"/>
  <c r="P1033" i="8" s="1"/>
  <c r="O1050" i="8" a="1"/>
  <c r="O1050" i="8" s="1"/>
  <c r="O1080" i="8" a="1"/>
  <c r="O1080" i="8" s="1"/>
  <c r="P1088" i="8" a="1"/>
  <c r="P1088" i="8" s="1"/>
  <c r="P1103" i="8" a="1"/>
  <c r="P1103" i="8" s="1"/>
  <c r="P1195" i="8" a="1"/>
  <c r="P1195" i="8" s="1"/>
  <c r="P1197" i="8" a="1"/>
  <c r="P1197" i="8" s="1"/>
  <c r="P942" i="8" a="1"/>
  <c r="P942" i="8" s="1"/>
  <c r="P946" i="8" a="1"/>
  <c r="P946" i="8" s="1"/>
  <c r="O958" i="8" a="1"/>
  <c r="O958" i="8" s="1"/>
  <c r="O962" i="8" a="1"/>
  <c r="O962" i="8" s="1"/>
  <c r="O975" i="8" a="1"/>
  <c r="O975" i="8" s="1"/>
  <c r="P997" i="8" a="1"/>
  <c r="P997" i="8" s="1"/>
  <c r="P1023" i="8" a="1"/>
  <c r="P1023" i="8" s="1"/>
  <c r="P1050" i="8" a="1"/>
  <c r="P1050" i="8" s="1"/>
  <c r="O1059" i="8" a="1"/>
  <c r="O1059" i="8" s="1"/>
  <c r="P1064" i="8" a="1"/>
  <c r="P1064" i="8" s="1"/>
  <c r="P1075" i="8" a="1"/>
  <c r="P1075" i="8" s="1"/>
  <c r="O1096" i="8" a="1"/>
  <c r="O1096" i="8" s="1"/>
  <c r="O1105" i="8" a="1"/>
  <c r="O1105" i="8" s="1"/>
  <c r="O1120" i="8" a="1"/>
  <c r="O1120" i="8" s="1"/>
  <c r="O1135" i="8" a="1"/>
  <c r="O1135" i="8" s="1"/>
  <c r="O1144" i="8" a="1"/>
  <c r="O1144" i="8" s="1"/>
  <c r="O1164" i="8" a="1"/>
  <c r="O1164" i="8" s="1"/>
  <c r="P863" i="8" a="1"/>
  <c r="P863" i="8" s="1"/>
  <c r="P875" i="8" a="1"/>
  <c r="P875" i="8" s="1"/>
  <c r="O886" i="8" a="1"/>
  <c r="O886" i="8" s="1"/>
  <c r="P903" i="8" a="1"/>
  <c r="P903" i="8" s="1"/>
  <c r="P927" i="8" a="1"/>
  <c r="P927" i="8" s="1"/>
  <c r="O939" i="8" a="1"/>
  <c r="O939" i="8" s="1"/>
  <c r="O955" i="8" a="1"/>
  <c r="O955" i="8" s="1"/>
  <c r="O1014" i="8" a="1"/>
  <c r="O1014" i="8" s="1"/>
  <c r="P1044" i="8" a="1"/>
  <c r="P1044" i="8" s="1"/>
  <c r="P1046" i="8" a="1"/>
  <c r="P1046" i="8" s="1"/>
  <c r="P1077" i="8" a="1"/>
  <c r="P1077" i="8" s="1"/>
  <c r="P1094" i="8" a="1"/>
  <c r="P1094" i="8" s="1"/>
  <c r="P1096" i="8" a="1"/>
  <c r="P1096" i="8" s="1"/>
  <c r="P1148" i="8" a="1"/>
  <c r="P1148" i="8" s="1"/>
  <c r="P1164" i="8" a="1"/>
  <c r="P1164" i="8" s="1"/>
  <c r="P1173" i="8" a="1"/>
  <c r="P1173" i="8" s="1"/>
  <c r="P1177" i="8" a="1"/>
  <c r="P1177" i="8" s="1"/>
  <c r="P1150" i="8" a="1"/>
  <c r="P1150" i="8" s="1"/>
  <c r="O1158" i="8" a="1"/>
  <c r="O1158" i="8" s="1"/>
  <c r="P1166" i="8" a="1"/>
  <c r="P1166" i="8" s="1"/>
  <c r="O967" i="8" a="1"/>
  <c r="O967" i="8" s="1"/>
  <c r="P1001" i="8" a="1"/>
  <c r="P1001" i="8" s="1"/>
  <c r="O1003" i="8" a="1"/>
  <c r="O1003" i="8" s="1"/>
  <c r="P1036" i="8" a="1"/>
  <c r="P1036" i="8" s="1"/>
  <c r="O1053" i="8" a="1"/>
  <c r="O1053" i="8" s="1"/>
  <c r="M1055" i="8" a="1"/>
  <c r="M1055" i="8" s="1"/>
  <c r="O1067" i="8" a="1"/>
  <c r="O1067" i="8" s="1"/>
  <c r="P1070" i="8" a="1"/>
  <c r="P1070" i="8" s="1"/>
  <c r="P1076" i="8" a="1"/>
  <c r="P1076" i="8" s="1"/>
  <c r="P1093" i="8" a="1"/>
  <c r="P1093" i="8" s="1"/>
  <c r="P1095" i="8" a="1"/>
  <c r="P1095" i="8" s="1"/>
  <c r="P1097" i="8" a="1"/>
  <c r="P1097" i="8" s="1"/>
  <c r="P1112" i="8" a="1"/>
  <c r="P1112" i="8" s="1"/>
  <c r="O1121" i="8" a="1"/>
  <c r="O1121" i="8" s="1"/>
  <c r="P1147" i="8" a="1"/>
  <c r="P1147" i="8" s="1"/>
  <c r="P1149" i="8" a="1"/>
  <c r="P1149" i="8" s="1"/>
  <c r="P1155" i="8" a="1"/>
  <c r="P1155" i="8" s="1"/>
  <c r="P1160" i="8" a="1"/>
  <c r="P1160" i="8" s="1"/>
  <c r="P1186" i="8" a="1"/>
  <c r="P1186" i="8" s="1"/>
  <c r="L707" i="8" a="1"/>
  <c r="L707" i="8" s="1"/>
  <c r="N707" i="8" a="1"/>
  <c r="N707" i="8" s="1"/>
  <c r="M707" i="8" a="1"/>
  <c r="M707" i="8" s="1"/>
  <c r="AG312" i="8" a="1"/>
  <c r="AG312" i="8" s="1"/>
  <c r="M203" i="8" a="1"/>
  <c r="M203" i="8" s="1"/>
  <c r="L203" i="8" a="1"/>
  <c r="L203" i="8" s="1"/>
  <c r="N501" i="8" a="1"/>
  <c r="N501" i="8" s="1"/>
  <c r="M501" i="8" a="1"/>
  <c r="M501" i="8" s="1"/>
  <c r="K501" i="8" a="1"/>
  <c r="K501" i="8" s="1"/>
  <c r="L501" i="8" a="1"/>
  <c r="L501" i="8" s="1"/>
  <c r="J501" i="8" a="1"/>
  <c r="J501" i="8" s="1"/>
  <c r="AI184" i="8" a="1"/>
  <c r="AI184" i="8" s="1"/>
  <c r="AI213" i="8" a="1"/>
  <c r="AI213" i="8" s="1"/>
  <c r="AI438" i="8" a="1"/>
  <c r="AI438" i="8" s="1"/>
  <c r="O34" i="8" a="1"/>
  <c r="O34" i="8" s="1"/>
  <c r="O56" i="8" a="1"/>
  <c r="O56" i="8" s="1"/>
  <c r="N82" i="8" a="1"/>
  <c r="N82" i="8" s="1"/>
  <c r="O93" i="8" a="1"/>
  <c r="O93" i="8" s="1"/>
  <c r="P96" i="8" a="1"/>
  <c r="P96" i="8" s="1"/>
  <c r="N104" i="8" a="1"/>
  <c r="N104" i="8" s="1"/>
  <c r="N110" i="8" a="1"/>
  <c r="N110" i="8" s="1"/>
  <c r="O121" i="8" a="1"/>
  <c r="O121" i="8" s="1"/>
  <c r="J135" i="8" a="1"/>
  <c r="J135" i="8" s="1"/>
  <c r="P152" i="8" a="1"/>
  <c r="P152" i="8" s="1"/>
  <c r="P188" i="8" a="1"/>
  <c r="P188" i="8" s="1"/>
  <c r="O203" i="8" a="1"/>
  <c r="O203" i="8" s="1"/>
  <c r="P294" i="8" a="1"/>
  <c r="P294" i="8" s="1"/>
  <c r="J503" i="8" a="1"/>
  <c r="J503" i="8" s="1"/>
  <c r="K503" i="8" a="1"/>
  <c r="K503" i="8" s="1"/>
  <c r="AF253" i="8" a="1"/>
  <c r="AF253" i="8" s="1"/>
  <c r="O9" i="8" a="1"/>
  <c r="O9" i="8" s="1"/>
  <c r="O22" i="8" a="1"/>
  <c r="O22" i="8" s="1"/>
  <c r="P26" i="8" a="1"/>
  <c r="P26" i="8" s="1"/>
  <c r="O31" i="8" a="1"/>
  <c r="O31" i="8" s="1"/>
  <c r="P56" i="8" a="1"/>
  <c r="P56" i="8" s="1"/>
  <c r="O62" i="8" a="1"/>
  <c r="O62" i="8" s="1"/>
  <c r="O63" i="8" a="1"/>
  <c r="O63" i="8" s="1"/>
  <c r="J84" i="8" a="1"/>
  <c r="J84" i="8" s="1"/>
  <c r="L84" i="8" a="1"/>
  <c r="L84" i="8" s="1"/>
  <c r="O85" i="8" a="1"/>
  <c r="O85" i="8" s="1"/>
  <c r="J106" i="8" a="1"/>
  <c r="J106" i="8" s="1"/>
  <c r="L116" i="8" a="1"/>
  <c r="L116" i="8" s="1"/>
  <c r="K135" i="8" a="1"/>
  <c r="K135" i="8" s="1"/>
  <c r="O142" i="8" a="1"/>
  <c r="O142" i="8" s="1"/>
  <c r="O146" i="8" a="1"/>
  <c r="O146" i="8" s="1"/>
  <c r="P149" i="8" a="1"/>
  <c r="P149" i="8" s="1"/>
  <c r="P200" i="8" a="1"/>
  <c r="P200" i="8" s="1"/>
  <c r="M201" i="8" a="1"/>
  <c r="M201" i="8" s="1"/>
  <c r="M356" i="8" a="1"/>
  <c r="M356" i="8" s="1"/>
  <c r="O419" i="8" a="1"/>
  <c r="O419" i="8" s="1"/>
  <c r="J512" i="8" a="1"/>
  <c r="J512" i="8" s="1"/>
  <c r="L512" i="8" a="1"/>
  <c r="L512" i="8" s="1"/>
  <c r="K512" i="8" a="1"/>
  <c r="K512" i="8" s="1"/>
  <c r="N512" i="8" a="1"/>
  <c r="N512" i="8" s="1"/>
  <c r="M512" i="8" a="1"/>
  <c r="M512" i="8" s="1"/>
  <c r="N761" i="8" a="1"/>
  <c r="N761" i="8" s="1"/>
  <c r="L761" i="8" a="1"/>
  <c r="L761" i="8" s="1"/>
  <c r="M761" i="8" a="1"/>
  <c r="M761" i="8" s="1"/>
  <c r="K761" i="8" a="1"/>
  <c r="K761" i="8" s="1"/>
  <c r="J761" i="8" a="1"/>
  <c r="J761" i="8" s="1"/>
  <c r="AG253" i="8" a="1"/>
  <c r="AG253" i="8" s="1"/>
  <c r="P9" i="8" a="1"/>
  <c r="P9" i="8" s="1"/>
  <c r="P19" i="8" a="1"/>
  <c r="P19" i="8" s="1"/>
  <c r="M34" i="8" a="1"/>
  <c r="M34" i="8" s="1"/>
  <c r="O37" i="8" a="1"/>
  <c r="O37" i="8" s="1"/>
  <c r="P63" i="8" a="1"/>
  <c r="P63" i="8" s="1"/>
  <c r="P85" i="8" a="1"/>
  <c r="P85" i="8" s="1"/>
  <c r="O99" i="8" a="1"/>
  <c r="O99" i="8" s="1"/>
  <c r="L135" i="8" a="1"/>
  <c r="L135" i="8" s="1"/>
  <c r="O152" i="8" a="1"/>
  <c r="O152" i="8" s="1"/>
  <c r="N201" i="8" a="1"/>
  <c r="N201" i="8" s="1"/>
  <c r="P233" i="8" a="1"/>
  <c r="P233" i="8" s="1"/>
  <c r="O243" i="8" a="1"/>
  <c r="O243" i="8" s="1"/>
  <c r="P355" i="8" a="1"/>
  <c r="P355" i="8" s="1"/>
  <c r="N356" i="8" a="1"/>
  <c r="N356" i="8" s="1"/>
  <c r="K462" i="8" a="1"/>
  <c r="K462" i="8" s="1"/>
  <c r="N462" i="8" a="1"/>
  <c r="N462" i="8" s="1"/>
  <c r="L462" i="8" a="1"/>
  <c r="L462" i="8" s="1"/>
  <c r="L767" i="8" a="1"/>
  <c r="L767" i="8" s="1"/>
  <c r="M767" i="8" a="1"/>
  <c r="M767" i="8" s="1"/>
  <c r="N457" i="8" a="1"/>
  <c r="N457" i="8" s="1"/>
  <c r="K457" i="8" a="1"/>
  <c r="K457" i="8" s="1"/>
  <c r="M478" i="8" a="1"/>
  <c r="M478" i="8" s="1"/>
  <c r="N478" i="8" a="1"/>
  <c r="N478" i="8" s="1"/>
  <c r="M650" i="8" a="1"/>
  <c r="M650" i="8" s="1"/>
  <c r="K650" i="8" a="1"/>
  <c r="K650" i="8" s="1"/>
  <c r="N650" i="8" a="1"/>
  <c r="N650" i="8" s="1"/>
  <c r="L650" i="8" a="1"/>
  <c r="L650" i="8" s="1"/>
  <c r="AF394" i="8" a="1"/>
  <c r="AF394" i="8" s="1"/>
  <c r="P14" i="8" a="1"/>
  <c r="P14" i="8" s="1"/>
  <c r="M23" i="8" a="1"/>
  <c r="M23" i="8" s="1"/>
  <c r="P66" i="8" a="1"/>
  <c r="P66" i="8" s="1"/>
  <c r="L82" i="8" a="1"/>
  <c r="L82" i="8" s="1"/>
  <c r="P92" i="8" a="1"/>
  <c r="P92" i="8" s="1"/>
  <c r="L110" i="8" a="1"/>
  <c r="L110" i="8" s="1"/>
  <c r="P112" i="8" a="1"/>
  <c r="P112" i="8" s="1"/>
  <c r="P120" i="8" a="1"/>
  <c r="P120" i="8" s="1"/>
  <c r="P139" i="8" a="1"/>
  <c r="P139" i="8" s="1"/>
  <c r="O173" i="8" a="1"/>
  <c r="O173" i="8" s="1"/>
  <c r="O182" i="8" a="1"/>
  <c r="O182" i="8" s="1"/>
  <c r="O187" i="8" a="1"/>
  <c r="O187" i="8" s="1"/>
  <c r="O223" i="8" a="1"/>
  <c r="O223" i="8" s="1"/>
  <c r="O290" i="8" a="1"/>
  <c r="O290" i="8" s="1"/>
  <c r="L357" i="8" a="1"/>
  <c r="L357" i="8" s="1"/>
  <c r="N357" i="8" a="1"/>
  <c r="N357" i="8" s="1"/>
  <c r="J104" i="8" a="1"/>
  <c r="J104" i="8" s="1"/>
  <c r="L104" i="8" a="1"/>
  <c r="L104" i="8" s="1"/>
  <c r="M135" i="8" a="1"/>
  <c r="M135" i="8" s="1"/>
  <c r="AF197" i="8" a="1"/>
  <c r="AF197" i="8" s="1"/>
  <c r="AH312" i="8" a="1"/>
  <c r="AH312" i="8" s="1"/>
  <c r="AG337" i="8" a="1"/>
  <c r="AG337" i="8" s="1"/>
  <c r="AH394" i="8" a="1"/>
  <c r="AH394" i="8" s="1"/>
  <c r="P11" i="8" a="1"/>
  <c r="P11" i="8" s="1"/>
  <c r="L33" i="8" a="1"/>
  <c r="L33" i="8" s="1"/>
  <c r="P44" i="8" a="1"/>
  <c r="P44" i="8" s="1"/>
  <c r="O70" i="8" a="1"/>
  <c r="O70" i="8" s="1"/>
  <c r="P87" i="8" a="1"/>
  <c r="P87" i="8" s="1"/>
  <c r="O101" i="8" a="1"/>
  <c r="O101" i="8" s="1"/>
  <c r="N112" i="8" a="1"/>
  <c r="N112" i="8" s="1"/>
  <c r="O115" i="8" a="1"/>
  <c r="O115" i="8" s="1"/>
  <c r="O122" i="8" a="1"/>
  <c r="O122" i="8" s="1"/>
  <c r="O176" i="8" a="1"/>
  <c r="O176" i="8" s="1"/>
  <c r="P182" i="8" a="1"/>
  <c r="P182" i="8" s="1"/>
  <c r="M199" i="8" a="1"/>
  <c r="M199" i="8" s="1"/>
  <c r="O272" i="8" a="1"/>
  <c r="O272" i="8" s="1"/>
  <c r="L302" i="8" a="1"/>
  <c r="L302" i="8" s="1"/>
  <c r="M302" i="8" a="1"/>
  <c r="M302" i="8" s="1"/>
  <c r="N302" i="8" a="1"/>
  <c r="N302" i="8" s="1"/>
  <c r="J302" i="8" a="1"/>
  <c r="J302" i="8" s="1"/>
  <c r="P379" i="8" a="1"/>
  <c r="P379" i="8" s="1"/>
  <c r="AG197" i="8" a="1"/>
  <c r="AG197" i="8" s="1"/>
  <c r="AF240" i="8" a="1"/>
  <c r="AF240" i="8" s="1"/>
  <c r="AH337" i="8" a="1"/>
  <c r="AH337" i="8" s="1"/>
  <c r="AI394" i="8" a="1"/>
  <c r="AI394" i="8" s="1"/>
  <c r="L34" i="8" a="1"/>
  <c r="L34" i="8" s="1"/>
  <c r="O55" i="8" a="1"/>
  <c r="O55" i="8" s="1"/>
  <c r="J58" i="8" a="1"/>
  <c r="J58" i="8" s="1"/>
  <c r="L58" i="8" a="1"/>
  <c r="L58" i="8" s="1"/>
  <c r="M82" i="8" a="1"/>
  <c r="M82" i="8" s="1"/>
  <c r="M110" i="8" a="1"/>
  <c r="M110" i="8" s="1"/>
  <c r="J114" i="8" a="1"/>
  <c r="J114" i="8" s="1"/>
  <c r="L114" i="8" a="1"/>
  <c r="L114" i="8" s="1"/>
  <c r="O131" i="8" a="1"/>
  <c r="O131" i="8" s="1"/>
  <c r="N203" i="8" a="1"/>
  <c r="N203" i="8" s="1"/>
  <c r="N246" i="8" a="1"/>
  <c r="N246" i="8" s="1"/>
  <c r="K246" i="8" a="1"/>
  <c r="K246" i="8" s="1"/>
  <c r="J54" i="8" a="1"/>
  <c r="J54" i="8" s="1"/>
  <c r="L54" i="8" a="1"/>
  <c r="L54" i="8" s="1"/>
  <c r="J108" i="8" a="1"/>
  <c r="J108" i="8" s="1"/>
  <c r="L108" i="8" a="1"/>
  <c r="L108" i="8" s="1"/>
  <c r="AG184" i="8" a="1"/>
  <c r="AG184" i="8" s="1"/>
  <c r="AH197" i="8" a="1"/>
  <c r="AH197" i="8" s="1"/>
  <c r="AF255" i="8" a="1"/>
  <c r="AF255" i="8" s="1"/>
  <c r="M242" i="8" a="1"/>
  <c r="M242" i="8" s="1"/>
  <c r="J242" i="8" a="1"/>
  <c r="J242" i="8" s="1"/>
  <c r="AH255" i="8" a="1"/>
  <c r="AH255" i="8" s="1"/>
  <c r="P58" i="8" a="1"/>
  <c r="P58" i="8" s="1"/>
  <c r="P64" i="8" a="1"/>
  <c r="P64" i="8" s="1"/>
  <c r="P105" i="8" a="1"/>
  <c r="P105" i="8" s="1"/>
  <c r="L111" i="8" a="1"/>
  <c r="L111" i="8" s="1"/>
  <c r="P114" i="8" a="1"/>
  <c r="P114" i="8" s="1"/>
  <c r="O130" i="8" a="1"/>
  <c r="O130" i="8" s="1"/>
  <c r="O141" i="8" a="1"/>
  <c r="O141" i="8" s="1"/>
  <c r="M204" i="8" a="1"/>
  <c r="M204" i="8" s="1"/>
  <c r="L204" i="8" a="1"/>
  <c r="L204" i="8" s="1"/>
  <c r="K204" i="8" a="1"/>
  <c r="K204" i="8" s="1"/>
  <c r="J204" i="8" a="1"/>
  <c r="J204" i="8" s="1"/>
  <c r="N298" i="8" a="1"/>
  <c r="N298" i="8" s="1"/>
  <c r="L298" i="8" a="1"/>
  <c r="L298" i="8" s="1"/>
  <c r="M298" i="8" a="1"/>
  <c r="M298" i="8" s="1"/>
  <c r="K298" i="8" a="1"/>
  <c r="K298" i="8" s="1"/>
  <c r="J298" i="8" a="1"/>
  <c r="J298" i="8" s="1"/>
  <c r="AI155" i="8" a="1"/>
  <c r="AI155" i="8" s="1"/>
  <c r="AG212" i="8" a="1"/>
  <c r="AG212" i="8" s="1"/>
  <c r="AG226" i="8" a="1"/>
  <c r="AG226" i="8" s="1"/>
  <c r="AI240" i="8" a="1"/>
  <c r="AI240" i="8" s="1"/>
  <c r="AI255" i="8" a="1"/>
  <c r="AI255" i="8" s="1"/>
  <c r="AF269" i="8" a="1"/>
  <c r="AF269" i="8" s="1"/>
  <c r="O7" i="8" a="1"/>
  <c r="O7" i="8" s="1"/>
  <c r="O13" i="8" a="1"/>
  <c r="O13" i="8" s="1"/>
  <c r="P20" i="8" a="1"/>
  <c r="P20" i="8" s="1"/>
  <c r="P28" i="8" a="1"/>
  <c r="P28" i="8" s="1"/>
  <c r="O33" i="8" a="1"/>
  <c r="O33" i="8" s="1"/>
  <c r="P38" i="8" a="1"/>
  <c r="P38" i="8" s="1"/>
  <c r="P39" i="8" a="1"/>
  <c r="P39" i="8" s="1"/>
  <c r="P54" i="8" a="1"/>
  <c r="P54" i="8" s="1"/>
  <c r="M84" i="8" a="1"/>
  <c r="M84" i="8" s="1"/>
  <c r="P88" i="8" a="1"/>
  <c r="P88" i="8" s="1"/>
  <c r="P95" i="8" a="1"/>
  <c r="P95" i="8" s="1"/>
  <c r="O102" i="8" a="1"/>
  <c r="O102" i="8" s="1"/>
  <c r="M106" i="8" a="1"/>
  <c r="M106" i="8" s="1"/>
  <c r="P108" i="8" a="1"/>
  <c r="P108" i="8" s="1"/>
  <c r="L112" i="8" a="1"/>
  <c r="L112" i="8" s="1"/>
  <c r="N114" i="8" a="1"/>
  <c r="N114" i="8" s="1"/>
  <c r="O124" i="8" a="1"/>
  <c r="O124" i="8" s="1"/>
  <c r="P130" i="8" a="1"/>
  <c r="P130" i="8" s="1"/>
  <c r="P133" i="8" a="1"/>
  <c r="P133" i="8" s="1"/>
  <c r="P161" i="8" a="1"/>
  <c r="P161" i="8" s="1"/>
  <c r="O204" i="8" a="1"/>
  <c r="O204" i="8" s="1"/>
  <c r="P234" i="8" a="1"/>
  <c r="P234" i="8" s="1"/>
  <c r="P263" i="8" a="1"/>
  <c r="P263" i="8" s="1"/>
  <c r="O274" i="8" a="1"/>
  <c r="O274" i="8" s="1"/>
  <c r="O298" i="8" a="1"/>
  <c r="O298" i="8" s="1"/>
  <c r="P346" i="8" a="1"/>
  <c r="P346" i="8" s="1"/>
  <c r="O10" i="8" a="1"/>
  <c r="O10" i="8" s="1"/>
  <c r="P24" i="8" a="1"/>
  <c r="P24" i="8" s="1"/>
  <c r="J116" i="8" a="1"/>
  <c r="J116" i="8" s="1"/>
  <c r="P136" i="8" a="1"/>
  <c r="P136" i="8" s="1"/>
  <c r="O161" i="8" a="1"/>
  <c r="O161" i="8" s="1"/>
  <c r="O175" i="8" a="1"/>
  <c r="O175" i="8" s="1"/>
  <c r="AG163" i="8" a="1"/>
  <c r="AG163" i="8" s="1"/>
  <c r="AG269" i="8" a="1"/>
  <c r="AG269" i="8" s="1"/>
  <c r="AG284" i="8" a="1"/>
  <c r="AG284" i="8" s="1"/>
  <c r="L23" i="8" a="1"/>
  <c r="L23" i="8" s="1"/>
  <c r="P32" i="8" a="1"/>
  <c r="P32" i="8" s="1"/>
  <c r="P61" i="8" a="1"/>
  <c r="P61" i="8" s="1"/>
  <c r="P94" i="8" a="1"/>
  <c r="P94" i="8" s="1"/>
  <c r="P102" i="8" a="1"/>
  <c r="P102" i="8" s="1"/>
  <c r="N108" i="8" a="1"/>
  <c r="N108" i="8" s="1"/>
  <c r="P116" i="8" a="1"/>
  <c r="P116" i="8" s="1"/>
  <c r="P124" i="8" a="1"/>
  <c r="P124" i="8" s="1"/>
  <c r="O158" i="8" a="1"/>
  <c r="O158" i="8" s="1"/>
  <c r="P169" i="8" a="1"/>
  <c r="P169" i="8" s="1"/>
  <c r="O172" i="8" a="1"/>
  <c r="O172" i="8" s="1"/>
  <c r="P201" i="8" a="1"/>
  <c r="P201" i="8" s="1"/>
  <c r="L246" i="8" a="1"/>
  <c r="L246" i="8" s="1"/>
  <c r="O295" i="8" a="1"/>
  <c r="O295" i="8" s="1"/>
  <c r="J457" i="8" a="1"/>
  <c r="J457" i="8" s="1"/>
  <c r="K479" i="8" a="1"/>
  <c r="K479" i="8" s="1"/>
  <c r="N479" i="8" a="1"/>
  <c r="N479" i="8" s="1"/>
  <c r="M479" i="8" a="1"/>
  <c r="M479" i="8" s="1"/>
  <c r="L479" i="8" a="1"/>
  <c r="L479" i="8" s="1"/>
  <c r="P204" i="8" a="1"/>
  <c r="P204" i="8" s="1"/>
  <c r="O207" i="8" a="1"/>
  <c r="O207" i="8" s="1"/>
  <c r="P220" i="8" a="1"/>
  <c r="P220" i="8" s="1"/>
  <c r="P269" i="8" a="1"/>
  <c r="P269" i="8" s="1"/>
  <c r="O273" i="8" a="1"/>
  <c r="O273" i="8" s="1"/>
  <c r="P278" i="8" a="1"/>
  <c r="P278" i="8" s="1"/>
  <c r="P298" i="8" a="1"/>
  <c r="P298" i="8" s="1"/>
  <c r="P302" i="8" a="1"/>
  <c r="P302" i="8" s="1"/>
  <c r="P317" i="8" a="1"/>
  <c r="P317" i="8" s="1"/>
  <c r="P326" i="8" a="1"/>
  <c r="P326" i="8" s="1"/>
  <c r="P341" i="8" a="1"/>
  <c r="P341" i="8" s="1"/>
  <c r="J352" i="8" a="1"/>
  <c r="J352" i="8" s="1"/>
  <c r="N352" i="8" a="1"/>
  <c r="N352" i="8" s="1"/>
  <c r="L352" i="8" a="1"/>
  <c r="L352" i="8" s="1"/>
  <c r="L358" i="8" a="1"/>
  <c r="L358" i="8" s="1"/>
  <c r="L362" i="8" a="1"/>
  <c r="L362" i="8" s="1"/>
  <c r="N362" i="8" a="1"/>
  <c r="N362" i="8" s="1"/>
  <c r="J401" i="8" a="1"/>
  <c r="J401" i="8" s="1"/>
  <c r="K401" i="8" a="1"/>
  <c r="K401" i="8" s="1"/>
  <c r="P407" i="8" a="1"/>
  <c r="P407" i="8" s="1"/>
  <c r="O412" i="8" a="1"/>
  <c r="O412" i="8" s="1"/>
  <c r="O449" i="8" a="1"/>
  <c r="O449" i="8" s="1"/>
  <c r="P462" i="8" a="1"/>
  <c r="P462" i="8" s="1"/>
  <c r="N769" i="8" a="1"/>
  <c r="N769" i="8" s="1"/>
  <c r="J769" i="8" a="1"/>
  <c r="J769" i="8" s="1"/>
  <c r="K769" i="8" a="1"/>
  <c r="K769" i="8" s="1"/>
  <c r="P207" i="8" a="1"/>
  <c r="P207" i="8" s="1"/>
  <c r="O210" i="8" a="1"/>
  <c r="O210" i="8" s="1"/>
  <c r="O228" i="8" a="1"/>
  <c r="O228" i="8" s="1"/>
  <c r="P249" i="8" a="1"/>
  <c r="P249" i="8" s="1"/>
  <c r="O253" i="8" a="1"/>
  <c r="O253" i="8" s="1"/>
  <c r="P273" i="8" a="1"/>
  <c r="P273" i="8" s="1"/>
  <c r="O284" i="8" a="1"/>
  <c r="O284" i="8" s="1"/>
  <c r="P291" i="8" a="1"/>
  <c r="P291" i="8" s="1"/>
  <c r="O430" i="8" a="1"/>
  <c r="O430" i="8" s="1"/>
  <c r="J498" i="8" a="1"/>
  <c r="J498" i="8" s="1"/>
  <c r="K498" i="8" a="1"/>
  <c r="K498" i="8" s="1"/>
  <c r="M498" i="8" a="1"/>
  <c r="M498" i="8" s="1"/>
  <c r="P505" i="8" a="1"/>
  <c r="P505" i="8" s="1"/>
  <c r="N521" i="8" a="1"/>
  <c r="N521" i="8" s="1"/>
  <c r="L521" i="8" a="1"/>
  <c r="L521" i="8" s="1"/>
  <c r="K521" i="8" a="1"/>
  <c r="K521" i="8" s="1"/>
  <c r="P479" i="8" a="1"/>
  <c r="P479" i="8" s="1"/>
  <c r="N773" i="8" a="1"/>
  <c r="N773" i="8" s="1"/>
  <c r="M773" i="8" a="1"/>
  <c r="M773" i="8" s="1"/>
  <c r="N760" i="8" a="1"/>
  <c r="N760" i="8" s="1"/>
  <c r="L760" i="8" a="1"/>
  <c r="L760" i="8" s="1"/>
  <c r="J760" i="8" a="1"/>
  <c r="J760" i="8" s="1"/>
  <c r="K760" i="8" a="1"/>
  <c r="K760" i="8" s="1"/>
  <c r="N796" i="8" a="1"/>
  <c r="N796" i="8" s="1"/>
  <c r="M796" i="8" a="1"/>
  <c r="M796" i="8" s="1"/>
  <c r="L796" i="8" a="1"/>
  <c r="L796" i="8" s="1"/>
  <c r="L202" i="8" a="1"/>
  <c r="L202" i="8" s="1"/>
  <c r="J202" i="8" a="1"/>
  <c r="J202" i="8" s="1"/>
  <c r="O459" i="8" a="1"/>
  <c r="O459" i="8" s="1"/>
  <c r="M504" i="8" a="1"/>
  <c r="M504" i="8" s="1"/>
  <c r="L504" i="8" a="1"/>
  <c r="L504" i="8" s="1"/>
  <c r="J504" i="8" a="1"/>
  <c r="J504" i="8" s="1"/>
  <c r="N504" i="8" a="1"/>
  <c r="N504" i="8" s="1"/>
  <c r="P831" i="8" a="1"/>
  <c r="P831" i="8" s="1"/>
  <c r="L768" i="8" a="1"/>
  <c r="L768" i="8" s="1"/>
  <c r="K768" i="8" a="1"/>
  <c r="K768" i="8" s="1"/>
  <c r="L775" i="8" a="1"/>
  <c r="L775" i="8" s="1"/>
  <c r="J775" i="8" a="1"/>
  <c r="J775" i="8" s="1"/>
  <c r="K775" i="8" a="1"/>
  <c r="K775" i="8" s="1"/>
  <c r="N775" i="8" a="1"/>
  <c r="N775" i="8" s="1"/>
  <c r="P41" i="8" a="1"/>
  <c r="P41" i="8" s="1"/>
  <c r="J56" i="8" a="1"/>
  <c r="J56" i="8" s="1"/>
  <c r="P86" i="8" a="1"/>
  <c r="P86" i="8" s="1"/>
  <c r="P106" i="8" a="1"/>
  <c r="P106" i="8" s="1"/>
  <c r="L109" i="8" a="1"/>
  <c r="L109" i="8" s="1"/>
  <c r="O113" i="8" a="1"/>
  <c r="O113" i="8" s="1"/>
  <c r="O123" i="8" a="1"/>
  <c r="O123" i="8" s="1"/>
  <c r="O126" i="8" a="1"/>
  <c r="O126" i="8" s="1"/>
  <c r="P127" i="8" a="1"/>
  <c r="P127" i="8" s="1"/>
  <c r="O150" i="8" a="1"/>
  <c r="O150" i="8" s="1"/>
  <c r="P157" i="8" a="1"/>
  <c r="P157" i="8" s="1"/>
  <c r="P202" i="8" a="1"/>
  <c r="P202" i="8" s="1"/>
  <c r="O206" i="8" a="1"/>
  <c r="O206" i="8" s="1"/>
  <c r="M244" i="8" a="1"/>
  <c r="M244" i="8" s="1"/>
  <c r="J246" i="8" a="1"/>
  <c r="J246" i="8" s="1"/>
  <c r="O255" i="8" a="1"/>
  <c r="O255" i="8" s="1"/>
  <c r="O267" i="8" a="1"/>
  <c r="O267" i="8" s="1"/>
  <c r="O293" i="8" a="1"/>
  <c r="O293" i="8" s="1"/>
  <c r="P300" i="8" a="1"/>
  <c r="P300" i="8" s="1"/>
  <c r="O335" i="8" a="1"/>
  <c r="O335" i="8" s="1"/>
  <c r="O351" i="8" a="1"/>
  <c r="O351" i="8" s="1"/>
  <c r="M352" i="8" a="1"/>
  <c r="M352" i="8" s="1"/>
  <c r="N354" i="8" a="1"/>
  <c r="N354" i="8" s="1"/>
  <c r="K354" i="8" a="1"/>
  <c r="K354" i="8" s="1"/>
  <c r="P395" i="8" a="1"/>
  <c r="P395" i="8" s="1"/>
  <c r="N447" i="8" a="1"/>
  <c r="N447" i="8" s="1"/>
  <c r="L447" i="8" a="1"/>
  <c r="L447" i="8" s="1"/>
  <c r="J447" i="8" a="1"/>
  <c r="J447" i="8" s="1"/>
  <c r="K447" i="8" a="1"/>
  <c r="K447" i="8" s="1"/>
  <c r="L703" i="8" a="1"/>
  <c r="L703" i="8" s="1"/>
  <c r="M703" i="8" a="1"/>
  <c r="M703" i="8" s="1"/>
  <c r="K703" i="8" a="1"/>
  <c r="K703" i="8" s="1"/>
  <c r="N703" i="8" a="1"/>
  <c r="N703" i="8" s="1"/>
  <c r="K773" i="8" a="1"/>
  <c r="K773" i="8" s="1"/>
  <c r="N137" i="8" a="1"/>
  <c r="N137" i="8" s="1"/>
  <c r="O138" i="8" a="1"/>
  <c r="O138" i="8" s="1"/>
  <c r="P140" i="8" a="1"/>
  <c r="P140" i="8" s="1"/>
  <c r="P150" i="8" a="1"/>
  <c r="P150" i="8" s="1"/>
  <c r="O189" i="8" a="1"/>
  <c r="O189" i="8" s="1"/>
  <c r="N202" i="8" a="1"/>
  <c r="N202" i="8" s="1"/>
  <c r="O212" i="8" a="1"/>
  <c r="O212" i="8" s="1"/>
  <c r="P231" i="8" a="1"/>
  <c r="P231" i="8" s="1"/>
  <c r="O235" i="8" a="1"/>
  <c r="O235" i="8" s="1"/>
  <c r="O246" i="8" a="1"/>
  <c r="O246" i="8" s="1"/>
  <c r="P267" i="8" a="1"/>
  <c r="P267" i="8" s="1"/>
  <c r="P275" i="8" a="1"/>
  <c r="P275" i="8" s="1"/>
  <c r="P315" i="8" a="1"/>
  <c r="P315" i="8" s="1"/>
  <c r="O319" i="8" a="1"/>
  <c r="O319" i="8" s="1"/>
  <c r="P338" i="8" a="1"/>
  <c r="P338" i="8" s="1"/>
  <c r="O363" i="8" a="1"/>
  <c r="O363" i="8" s="1"/>
  <c r="P372" i="8" a="1"/>
  <c r="P372" i="8" s="1"/>
  <c r="P381" i="8" a="1"/>
  <c r="P381" i="8" s="1"/>
  <c r="M508" i="8" a="1"/>
  <c r="M508" i="8" s="1"/>
  <c r="K508" i="8" a="1"/>
  <c r="K508" i="8" s="1"/>
  <c r="N508" i="8" a="1"/>
  <c r="N508" i="8" s="1"/>
  <c r="L508" i="8" a="1"/>
  <c r="L508" i="8" s="1"/>
  <c r="J508" i="8" a="1"/>
  <c r="J508" i="8" s="1"/>
  <c r="M521" i="8" a="1"/>
  <c r="M521" i="8" s="1"/>
  <c r="L773" i="8" a="1"/>
  <c r="L773" i="8" s="1"/>
  <c r="L161" i="8" a="1"/>
  <c r="L161" i="8" s="1"/>
  <c r="O167" i="8" a="1"/>
  <c r="O167" i="8" s="1"/>
  <c r="P171" i="8" a="1"/>
  <c r="P171" i="8" s="1"/>
  <c r="O174" i="8" a="1"/>
  <c r="O174" i="8" s="1"/>
  <c r="P189" i="8" a="1"/>
  <c r="P189" i="8" s="1"/>
  <c r="P196" i="8" a="1"/>
  <c r="P196" i="8" s="1"/>
  <c r="P198" i="8" a="1"/>
  <c r="P198" i="8" s="1"/>
  <c r="P208" i="8" a="1"/>
  <c r="P208" i="8" s="1"/>
  <c r="P212" i="8" a="1"/>
  <c r="P212" i="8" s="1"/>
  <c r="O234" i="8" a="1"/>
  <c r="O234" i="8" s="1"/>
  <c r="O263" i="8" a="1"/>
  <c r="O263" i="8" s="1"/>
  <c r="O289" i="8" a="1"/>
  <c r="O289" i="8" s="1"/>
  <c r="O292" i="8" a="1"/>
  <c r="O292" i="8" s="1"/>
  <c r="N299" i="8" a="1"/>
  <c r="N299" i="8" s="1"/>
  <c r="P387" i="8" a="1"/>
  <c r="P387" i="8" s="1"/>
  <c r="O411" i="8" a="1"/>
  <c r="O411" i="8" s="1"/>
  <c r="O442" i="8" a="1"/>
  <c r="O442" i="8" s="1"/>
  <c r="P452" i="8" a="1"/>
  <c r="P452" i="8" s="1"/>
  <c r="O646" i="8" a="1"/>
  <c r="O646" i="8" s="1"/>
  <c r="P348" i="8" a="1"/>
  <c r="P348" i="8" s="1"/>
  <c r="P368" i="8" a="1"/>
  <c r="P368" i="8" s="1"/>
  <c r="O404" i="8" a="1"/>
  <c r="O404" i="8" s="1"/>
  <c r="O414" i="8" a="1"/>
  <c r="O414" i="8" s="1"/>
  <c r="P418" i="8" a="1"/>
  <c r="P418" i="8" s="1"/>
  <c r="P432" i="8" a="1"/>
  <c r="P432" i="8" s="1"/>
  <c r="P460" i="8" a="1"/>
  <c r="P460" i="8" s="1"/>
  <c r="P466" i="8" a="1"/>
  <c r="P466" i="8" s="1"/>
  <c r="O469" i="8" a="1"/>
  <c r="O469" i="8" s="1"/>
  <c r="O484" i="8" a="1"/>
  <c r="O484" i="8" s="1"/>
  <c r="O519" i="8" a="1"/>
  <c r="O519" i="8" s="1"/>
  <c r="O521" i="8" a="1"/>
  <c r="O521" i="8" s="1"/>
  <c r="P556" i="8" a="1"/>
  <c r="P556" i="8" s="1"/>
  <c r="O573" i="8" a="1"/>
  <c r="O573" i="8" s="1"/>
  <c r="P587" i="8" a="1"/>
  <c r="P587" i="8" s="1"/>
  <c r="O590" i="8" a="1"/>
  <c r="O590" i="8" s="1"/>
  <c r="O605" i="8" a="1"/>
  <c r="O605" i="8" s="1"/>
  <c r="O662" i="8" a="1"/>
  <c r="O662" i="8" s="1"/>
  <c r="O688" i="8" a="1"/>
  <c r="O688" i="8" s="1"/>
  <c r="O744" i="8" a="1"/>
  <c r="O744" i="8" s="1"/>
  <c r="N751" i="8" a="1"/>
  <c r="N751" i="8" s="1"/>
  <c r="M751" i="8" a="1"/>
  <c r="M751" i="8" s="1"/>
  <c r="K763" i="8" a="1"/>
  <c r="K763" i="8" s="1"/>
  <c r="L763" i="8" a="1"/>
  <c r="L763" i="8" s="1"/>
  <c r="J763" i="8" a="1"/>
  <c r="J763" i="8" s="1"/>
  <c r="M763" i="8" a="1"/>
  <c r="M763" i="8" s="1"/>
  <c r="O343" i="8" a="1"/>
  <c r="O343" i="8" s="1"/>
  <c r="O344" i="8" a="1"/>
  <c r="O344" i="8" s="1"/>
  <c r="O350" i="8" a="1"/>
  <c r="O350" i="8" s="1"/>
  <c r="P353" i="8" a="1"/>
  <c r="P353" i="8" s="1"/>
  <c r="O359" i="8" a="1"/>
  <c r="O359" i="8" s="1"/>
  <c r="P371" i="8" a="1"/>
  <c r="P371" i="8" s="1"/>
  <c r="P404" i="8" a="1"/>
  <c r="P404" i="8" s="1"/>
  <c r="P405" i="8" a="1"/>
  <c r="P405" i="8" s="1"/>
  <c r="P435" i="8" a="1"/>
  <c r="P435" i="8" s="1"/>
  <c r="O441" i="8" a="1"/>
  <c r="O441" i="8" s="1"/>
  <c r="O463" i="8" a="1"/>
  <c r="O463" i="8" s="1"/>
  <c r="L480" i="8" a="1"/>
  <c r="L480" i="8" s="1"/>
  <c r="N480" i="8" a="1"/>
  <c r="N480" i="8" s="1"/>
  <c r="P484" i="8" a="1"/>
  <c r="P484" i="8" s="1"/>
  <c r="L497" i="8" a="1"/>
  <c r="L497" i="8" s="1"/>
  <c r="M497" i="8" a="1"/>
  <c r="M497" i="8" s="1"/>
  <c r="K500" i="8" a="1"/>
  <c r="K500" i="8" s="1"/>
  <c r="M500" i="8" a="1"/>
  <c r="M500" i="8" s="1"/>
  <c r="J500" i="8" a="1"/>
  <c r="J500" i="8" s="1"/>
  <c r="M516" i="8" a="1"/>
  <c r="M516" i="8" s="1"/>
  <c r="J516" i="8" a="1"/>
  <c r="J516" i="8" s="1"/>
  <c r="P519" i="8" a="1"/>
  <c r="P519" i="8" s="1"/>
  <c r="P559" i="8" a="1"/>
  <c r="P559" i="8" s="1"/>
  <c r="P590" i="8" a="1"/>
  <c r="P590" i="8" s="1"/>
  <c r="P608" i="8" a="1"/>
  <c r="P608" i="8" s="1"/>
  <c r="P624" i="8" a="1"/>
  <c r="P624" i="8" s="1"/>
  <c r="P639" i="8" a="1"/>
  <c r="P639" i="8" s="1"/>
  <c r="O853" i="8" a="1"/>
  <c r="O853" i="8" s="1"/>
  <c r="P866" i="8" a="1"/>
  <c r="P866" i="8" s="1"/>
  <c r="O517" i="8" a="1"/>
  <c r="O517" i="8" s="1"/>
  <c r="P597" i="8" a="1"/>
  <c r="P597" i="8" s="1"/>
  <c r="P659" i="8" a="1"/>
  <c r="P659" i="8" s="1"/>
  <c r="M765" i="8" a="1"/>
  <c r="M765" i="8" s="1"/>
  <c r="K765" i="8" a="1"/>
  <c r="K765" i="8" s="1"/>
  <c r="N781" i="8" a="1"/>
  <c r="N781" i="8" s="1"/>
  <c r="K781" i="8" a="1"/>
  <c r="K781" i="8" s="1"/>
  <c r="L781" i="8" a="1"/>
  <c r="L781" i="8" s="1"/>
  <c r="O383" i="8" a="1"/>
  <c r="O383" i="8" s="1"/>
  <c r="O456" i="8" a="1"/>
  <c r="O456" i="8" s="1"/>
  <c r="P465" i="8" a="1"/>
  <c r="P465" i="8" s="1"/>
  <c r="O513" i="8" a="1"/>
  <c r="O513" i="8" s="1"/>
  <c r="J515" i="8" a="1"/>
  <c r="J515" i="8" s="1"/>
  <c r="N515" i="8" a="1"/>
  <c r="N515" i="8" s="1"/>
  <c r="K518" i="8" a="1"/>
  <c r="K518" i="8" s="1"/>
  <c r="N518" i="8" a="1"/>
  <c r="N518" i="8" s="1"/>
  <c r="J518" i="8" a="1"/>
  <c r="J518" i="8" s="1"/>
  <c r="P567" i="8" a="1"/>
  <c r="P567" i="8" s="1"/>
  <c r="P756" i="8" a="1"/>
  <c r="P756" i="8" s="1"/>
  <c r="P403" i="8" a="1"/>
  <c r="P403" i="8" s="1"/>
  <c r="O416" i="8" a="1"/>
  <c r="O416" i="8" s="1"/>
  <c r="P431" i="8" a="1"/>
  <c r="P431" i="8" s="1"/>
  <c r="P492" i="8" a="1"/>
  <c r="P492" i="8" s="1"/>
  <c r="N511" i="8" a="1"/>
  <c r="N511" i="8" s="1"/>
  <c r="K511" i="8" a="1"/>
  <c r="K511" i="8" s="1"/>
  <c r="J511" i="8" a="1"/>
  <c r="J511" i="8" s="1"/>
  <c r="K569" i="8" a="1"/>
  <c r="K569" i="8" s="1"/>
  <c r="M569" i="8" a="1"/>
  <c r="M569" i="8" s="1"/>
  <c r="O726" i="8" a="1"/>
  <c r="O726" i="8" s="1"/>
  <c r="P134" i="8" a="1"/>
  <c r="P134" i="8" s="1"/>
  <c r="P141" i="8" a="1"/>
  <c r="P141" i="8" s="1"/>
  <c r="O153" i="8" a="1"/>
  <c r="O153" i="8" s="1"/>
  <c r="P160" i="8" a="1"/>
  <c r="P160" i="8" s="1"/>
  <c r="O177" i="8" a="1"/>
  <c r="O177" i="8" s="1"/>
  <c r="P185" i="8" a="1"/>
  <c r="P185" i="8" s="1"/>
  <c r="P191" i="8" a="1"/>
  <c r="P191" i="8" s="1"/>
  <c r="P226" i="8" a="1"/>
  <c r="P226" i="8" s="1"/>
  <c r="O233" i="8" a="1"/>
  <c r="O233" i="8" s="1"/>
  <c r="P236" i="8" a="1"/>
  <c r="P236" i="8" s="1"/>
  <c r="O251" i="8" a="1"/>
  <c r="O251" i="8" s="1"/>
  <c r="P288" i="8" a="1"/>
  <c r="P288" i="8" s="1"/>
  <c r="P296" i="8" a="1"/>
  <c r="P296" i="8" s="1"/>
  <c r="O300" i="8" a="1"/>
  <c r="O300" i="8" s="1"/>
  <c r="O313" i="8" a="1"/>
  <c r="O313" i="8" s="1"/>
  <c r="O321" i="8" a="1"/>
  <c r="O321" i="8" s="1"/>
  <c r="O372" i="8" a="1"/>
  <c r="O372" i="8" s="1"/>
  <c r="P380" i="8" a="1"/>
  <c r="P380" i="8" s="1"/>
  <c r="O399" i="8" a="1"/>
  <c r="O399" i="8" s="1"/>
  <c r="M401" i="8" a="1"/>
  <c r="M401" i="8" s="1"/>
  <c r="O402" i="8" a="1"/>
  <c r="O402" i="8" s="1"/>
  <c r="O431" i="8" a="1"/>
  <c r="O431" i="8" s="1"/>
  <c r="O478" i="8" a="1"/>
  <c r="O478" i="8" s="1"/>
  <c r="J480" i="8" a="1"/>
  <c r="J480" i="8" s="1"/>
  <c r="O491" i="8" a="1"/>
  <c r="O491" i="8" s="1"/>
  <c r="J497" i="8" a="1"/>
  <c r="J497" i="8" s="1"/>
  <c r="L500" i="8" a="1"/>
  <c r="L500" i="8" s="1"/>
  <c r="L506" i="8" a="1"/>
  <c r="L506" i="8" s="1"/>
  <c r="O508" i="8" a="1"/>
  <c r="O508" i="8" s="1"/>
  <c r="K516" i="8" a="1"/>
  <c r="K516" i="8" s="1"/>
  <c r="P539" i="8" a="1"/>
  <c r="P539" i="8" s="1"/>
  <c r="P543" i="8" a="1"/>
  <c r="P543" i="8" s="1"/>
  <c r="O557" i="8" a="1"/>
  <c r="O557" i="8" s="1"/>
  <c r="P569" i="8" a="1"/>
  <c r="P569" i="8" s="1"/>
  <c r="O577" i="8" a="1"/>
  <c r="O577" i="8" s="1"/>
  <c r="O673" i="8" a="1"/>
  <c r="O673" i="8" s="1"/>
  <c r="P867" i="8" a="1"/>
  <c r="P867" i="8" s="1"/>
  <c r="P491" i="8" a="1"/>
  <c r="P491" i="8" s="1"/>
  <c r="K497" i="8" a="1"/>
  <c r="K497" i="8" s="1"/>
  <c r="N499" i="8" a="1"/>
  <c r="N499" i="8" s="1"/>
  <c r="M506" i="8" a="1"/>
  <c r="M506" i="8" s="1"/>
  <c r="M511" i="8" a="1"/>
  <c r="M511" i="8" s="1"/>
  <c r="L516" i="8" a="1"/>
  <c r="L516" i="8" s="1"/>
  <c r="P538" i="8" a="1"/>
  <c r="P538" i="8" s="1"/>
  <c r="O560" i="8" a="1"/>
  <c r="O560" i="8" s="1"/>
  <c r="P594" i="8" a="1"/>
  <c r="P594" i="8" s="1"/>
  <c r="O645" i="8" a="1"/>
  <c r="O645" i="8" s="1"/>
  <c r="O663" i="8" a="1"/>
  <c r="O663" i="8" s="1"/>
  <c r="P674" i="8" a="1"/>
  <c r="P674" i="8" s="1"/>
  <c r="P722" i="8" a="1"/>
  <c r="P722" i="8" s="1"/>
  <c r="N764" i="8" a="1"/>
  <c r="N764" i="8" s="1"/>
  <c r="J764" i="8" a="1"/>
  <c r="J764" i="8" s="1"/>
  <c r="J765" i="8" a="1"/>
  <c r="J765" i="8" s="1"/>
  <c r="M777" i="8" a="1"/>
  <c r="M777" i="8" s="1"/>
  <c r="K777" i="8" a="1"/>
  <c r="K777" i="8" s="1"/>
  <c r="P10" i="8" a="1"/>
  <c r="P10" i="8" s="1"/>
  <c r="P22" i="8" a="1"/>
  <c r="P22" i="8" s="1"/>
  <c r="P23" i="8" a="1"/>
  <c r="P23" i="8" s="1"/>
  <c r="O59" i="8" a="1"/>
  <c r="O59" i="8" s="1"/>
  <c r="P72" i="8" a="1"/>
  <c r="P72" i="8" s="1"/>
  <c r="P73" i="8" a="1"/>
  <c r="P73" i="8" s="1"/>
  <c r="P76" i="8" a="1"/>
  <c r="P76" i="8" s="1"/>
  <c r="O77" i="8" a="1"/>
  <c r="O77" i="8" s="1"/>
  <c r="P80" i="8" a="1"/>
  <c r="P80" i="8" s="1"/>
  <c r="N86" i="8" a="1"/>
  <c r="N86" i="8" s="1"/>
  <c r="O89" i="8" a="1"/>
  <c r="O89" i="8" s="1"/>
  <c r="P98" i="8" a="1"/>
  <c r="P98" i="8" s="1"/>
  <c r="P99" i="8" a="1"/>
  <c r="P99" i="8" s="1"/>
  <c r="P110" i="8" a="1"/>
  <c r="P110" i="8" s="1"/>
  <c r="P111" i="8" a="1"/>
  <c r="P111" i="8" s="1"/>
  <c r="P128" i="8" a="1"/>
  <c r="P128" i="8" s="1"/>
  <c r="P129" i="8" a="1"/>
  <c r="P129" i="8" s="1"/>
  <c r="O137" i="8" a="1"/>
  <c r="O137" i="8" s="1"/>
  <c r="P143" i="8" a="1"/>
  <c r="P143" i="8" s="1"/>
  <c r="P156" i="8" a="1"/>
  <c r="P156" i="8" s="1"/>
  <c r="O169" i="8" a="1"/>
  <c r="O169" i="8" s="1"/>
  <c r="P180" i="8" a="1"/>
  <c r="P180" i="8" s="1"/>
  <c r="O197" i="8" a="1"/>
  <c r="O197" i="8" s="1"/>
  <c r="L200" i="8" a="1"/>
  <c r="L200" i="8" s="1"/>
  <c r="P206" i="8" a="1"/>
  <c r="P206" i="8" s="1"/>
  <c r="P232" i="8" a="1"/>
  <c r="P232" i="8" s="1"/>
  <c r="O250" i="8" a="1"/>
  <c r="O250" i="8" s="1"/>
  <c r="P261" i="8" a="1"/>
  <c r="P261" i="8" s="1"/>
  <c r="P265" i="8" a="1"/>
  <c r="P265" i="8" s="1"/>
  <c r="P276" i="8" a="1"/>
  <c r="P276" i="8" s="1"/>
  <c r="P281" i="8" a="1"/>
  <c r="P281" i="8" s="1"/>
  <c r="P284" i="8" a="1"/>
  <c r="P284" i="8" s="1"/>
  <c r="P319" i="8" a="1"/>
  <c r="P319" i="8" s="1"/>
  <c r="O349" i="8" a="1"/>
  <c r="O349" i="8" s="1"/>
  <c r="P360" i="8" a="1"/>
  <c r="P360" i="8" s="1"/>
  <c r="O368" i="8" a="1"/>
  <c r="O368" i="8" s="1"/>
  <c r="P373" i="8" a="1"/>
  <c r="P373" i="8" s="1"/>
  <c r="O375" i="8" a="1"/>
  <c r="O375" i="8" s="1"/>
  <c r="O384" i="8" a="1"/>
  <c r="O384" i="8" s="1"/>
  <c r="P412" i="8" a="1"/>
  <c r="P412" i="8" s="1"/>
  <c r="P427" i="8" a="1"/>
  <c r="P427" i="8" s="1"/>
  <c r="O433" i="8" a="1"/>
  <c r="O433" i="8" s="1"/>
  <c r="P442" i="8" a="1"/>
  <c r="P442" i="8" s="1"/>
  <c r="P448" i="8" a="1"/>
  <c r="P448" i="8" s="1"/>
  <c r="O451" i="8" a="1"/>
  <c r="O451" i="8" s="1"/>
  <c r="M475" i="8" a="1"/>
  <c r="M475" i="8" s="1"/>
  <c r="N497" i="8" a="1"/>
  <c r="N497" i="8" s="1"/>
  <c r="N500" i="8" a="1"/>
  <c r="N500" i="8" s="1"/>
  <c r="N516" i="8" a="1"/>
  <c r="N516" i="8" s="1"/>
  <c r="O522" i="8" a="1"/>
  <c r="O522" i="8" s="1"/>
  <c r="P542" i="8" a="1"/>
  <c r="P542" i="8" s="1"/>
  <c r="P560" i="8" a="1"/>
  <c r="P560" i="8" s="1"/>
  <c r="O563" i="8" a="1"/>
  <c r="O563" i="8" s="1"/>
  <c r="O603" i="8" a="1"/>
  <c r="O603" i="8" s="1"/>
  <c r="P613" i="8" a="1"/>
  <c r="P613" i="8" s="1"/>
  <c r="P619" i="8" a="1"/>
  <c r="P619" i="8" s="1"/>
  <c r="O636" i="8" a="1"/>
  <c r="O636" i="8" s="1"/>
  <c r="P643" i="8" a="1"/>
  <c r="P643" i="8" s="1"/>
  <c r="P663" i="8" a="1"/>
  <c r="P663" i="8" s="1"/>
  <c r="M700" i="8" a="1"/>
  <c r="M700" i="8" s="1"/>
  <c r="P716" i="8" a="1"/>
  <c r="P716" i="8" s="1"/>
  <c r="P747" i="8" a="1"/>
  <c r="P747" i="8" s="1"/>
  <c r="O764" i="8" a="1"/>
  <c r="O764" i="8" s="1"/>
  <c r="M781" i="8" a="1"/>
  <c r="M781" i="8" s="1"/>
  <c r="O810" i="8" a="1"/>
  <c r="O810" i="8" s="1"/>
  <c r="O815" i="8" a="1"/>
  <c r="O815" i="8" s="1"/>
  <c r="P847" i="8" a="1"/>
  <c r="P847" i="8" s="1"/>
  <c r="P872" i="8" a="1"/>
  <c r="P872" i="8" s="1"/>
  <c r="P811" i="8" a="1"/>
  <c r="P811" i="8" s="1"/>
  <c r="O832" i="8" a="1"/>
  <c r="O832" i="8" s="1"/>
  <c r="O849" i="8" a="1"/>
  <c r="O849" i="8" s="1"/>
  <c r="P855" i="8" a="1"/>
  <c r="P855" i="8" s="1"/>
  <c r="O861" i="8" a="1"/>
  <c r="O861" i="8" s="1"/>
  <c r="P869" i="8" a="1"/>
  <c r="P869" i="8" s="1"/>
  <c r="O875" i="8" a="1"/>
  <c r="O875" i="8" s="1"/>
  <c r="P926" i="8" a="1"/>
  <c r="P926" i="8" s="1"/>
  <c r="O965" i="8" a="1"/>
  <c r="O965" i="8" s="1"/>
  <c r="L1058" i="8" a="1"/>
  <c r="L1058" i="8" s="1"/>
  <c r="K1058" i="8" a="1"/>
  <c r="K1058" i="8" s="1"/>
  <c r="P648" i="8" a="1"/>
  <c r="P648" i="8" s="1"/>
  <c r="P649" i="8" a="1"/>
  <c r="P649" i="8" s="1"/>
  <c r="P686" i="8" a="1"/>
  <c r="P686" i="8" s="1"/>
  <c r="P704" i="8" a="1"/>
  <c r="P704" i="8" s="1"/>
  <c r="O713" i="8" a="1"/>
  <c r="O713" i="8" s="1"/>
  <c r="O725" i="8" a="1"/>
  <c r="O725" i="8" s="1"/>
  <c r="N817" i="8" a="1"/>
  <c r="N817" i="8" s="1"/>
  <c r="M817" i="8" a="1"/>
  <c r="M817" i="8" s="1"/>
  <c r="K817" i="8" a="1"/>
  <c r="K817" i="8" s="1"/>
  <c r="P823" i="8" a="1"/>
  <c r="P823" i="8" s="1"/>
  <c r="P837" i="8" a="1"/>
  <c r="P837" i="8" s="1"/>
  <c r="P841" i="8" a="1"/>
  <c r="P841" i="8" s="1"/>
  <c r="O858" i="8" a="1"/>
  <c r="O858" i="8" s="1"/>
  <c r="P939" i="8" a="1"/>
  <c r="P939" i="8" s="1"/>
  <c r="P931" i="8" a="1"/>
  <c r="P931" i="8" s="1"/>
  <c r="N1058" i="8" a="1"/>
  <c r="N1058" i="8" s="1"/>
  <c r="K1081" i="8" a="1"/>
  <c r="K1081" i="8" s="1"/>
  <c r="L1081" i="8" a="1"/>
  <c r="L1081" i="8" s="1"/>
  <c r="J1081" i="8" a="1"/>
  <c r="J1081" i="8" s="1"/>
  <c r="O640" i="8" a="1"/>
  <c r="O640" i="8" s="1"/>
  <c r="P741" i="8" a="1"/>
  <c r="P741" i="8" s="1"/>
  <c r="M760" i="8" a="1"/>
  <c r="M760" i="8" s="1"/>
  <c r="P773" i="8" a="1"/>
  <c r="P773" i="8" s="1"/>
  <c r="O842" i="8" a="1"/>
  <c r="O842" i="8" s="1"/>
  <c r="P930" i="8" a="1"/>
  <c r="P930" i="8" s="1"/>
  <c r="P941" i="8" a="1"/>
  <c r="P941" i="8" s="1"/>
  <c r="P957" i="8" a="1"/>
  <c r="P957" i="8" s="1"/>
  <c r="P311" i="8" a="1"/>
  <c r="P311" i="8" s="1"/>
  <c r="O326" i="8" a="1"/>
  <c r="O326" i="8" s="1"/>
  <c r="K356" i="8" a="1"/>
  <c r="K356" i="8" s="1"/>
  <c r="O395" i="8" a="1"/>
  <c r="O395" i="8" s="1"/>
  <c r="P398" i="8" a="1"/>
  <c r="P398" i="8" s="1"/>
  <c r="P406" i="8" a="1"/>
  <c r="P406" i="8" s="1"/>
  <c r="P471" i="8" a="1"/>
  <c r="P471" i="8" s="1"/>
  <c r="O490" i="8" a="1"/>
  <c r="O490" i="8" s="1"/>
  <c r="O503" i="8" a="1"/>
  <c r="O503" i="8" s="1"/>
  <c r="O518" i="8" a="1"/>
  <c r="O518" i="8" s="1"/>
  <c r="O540" i="8" a="1"/>
  <c r="O540" i="8" s="1"/>
  <c r="P541" i="8" a="1"/>
  <c r="P541" i="8" s="1"/>
  <c r="P549" i="8" a="1"/>
  <c r="P549" i="8" s="1"/>
  <c r="O558" i="8" a="1"/>
  <c r="O558" i="8" s="1"/>
  <c r="P579" i="8" a="1"/>
  <c r="P579" i="8" s="1"/>
  <c r="O594" i="8" a="1"/>
  <c r="O594" i="8" s="1"/>
  <c r="O604" i="8" a="1"/>
  <c r="O604" i="8" s="1"/>
  <c r="O633" i="8" a="1"/>
  <c r="O633" i="8" s="1"/>
  <c r="O643" i="8" a="1"/>
  <c r="O643" i="8" s="1"/>
  <c r="P647" i="8" a="1"/>
  <c r="P647" i="8" s="1"/>
  <c r="O664" i="8" a="1"/>
  <c r="O664" i="8" s="1"/>
  <c r="O670" i="8" a="1"/>
  <c r="O670" i="8" s="1"/>
  <c r="O731" i="8" a="1"/>
  <c r="O731" i="8" s="1"/>
  <c r="P737" i="8" a="1"/>
  <c r="P737" i="8" s="1"/>
  <c r="O753" i="8" a="1"/>
  <c r="O753" i="8" s="1"/>
  <c r="L817" i="8" a="1"/>
  <c r="L817" i="8" s="1"/>
  <c r="P836" i="8" a="1"/>
  <c r="P836" i="8" s="1"/>
  <c r="P838" i="8" a="1"/>
  <c r="P838" i="8" s="1"/>
  <c r="P851" i="8" a="1"/>
  <c r="P851" i="8" s="1"/>
  <c r="P935" i="8" a="1"/>
  <c r="P935" i="8" s="1"/>
  <c r="P966" i="8" a="1"/>
  <c r="P966" i="8" s="1"/>
  <c r="O976" i="8" a="1"/>
  <c r="O976" i="8" s="1"/>
  <c r="P670" i="8" a="1"/>
  <c r="P670" i="8" s="1"/>
  <c r="O750" i="8" a="1"/>
  <c r="O750" i="8" s="1"/>
  <c r="P765" i="8" a="1"/>
  <c r="P765" i="8" s="1"/>
  <c r="J772" i="8" a="1"/>
  <c r="J772" i="8" s="1"/>
  <c r="N772" i="8" a="1"/>
  <c r="N772" i="8" s="1"/>
  <c r="O775" i="8" a="1"/>
  <c r="O775" i="8" s="1"/>
  <c r="O827" i="8" a="1"/>
  <c r="O827" i="8" s="1"/>
  <c r="M1174" i="8" a="1"/>
  <c r="M1174" i="8" s="1"/>
  <c r="K1174" i="8" a="1"/>
  <c r="K1174" i="8" s="1"/>
  <c r="L1174" i="8" a="1"/>
  <c r="L1174" i="8" s="1"/>
  <c r="O261" i="8" a="1"/>
  <c r="O261" i="8" s="1"/>
  <c r="O270" i="8" a="1"/>
  <c r="O270" i="8" s="1"/>
  <c r="P271" i="8" a="1"/>
  <c r="P271" i="8" s="1"/>
  <c r="P283" i="8" a="1"/>
  <c r="P283" i="8" s="1"/>
  <c r="P290" i="8" a="1"/>
  <c r="P290" i="8" s="1"/>
  <c r="P295" i="8" a="1"/>
  <c r="P295" i="8" s="1"/>
  <c r="P316" i="8" a="1"/>
  <c r="P316" i="8" s="1"/>
  <c r="P339" i="8" a="1"/>
  <c r="P339" i="8" s="1"/>
  <c r="P369" i="8" a="1"/>
  <c r="P369" i="8" s="1"/>
  <c r="O376" i="8" a="1"/>
  <c r="O376" i="8" s="1"/>
  <c r="K400" i="8" a="1"/>
  <c r="K400" i="8" s="1"/>
  <c r="P416" i="8" a="1"/>
  <c r="P416" i="8" s="1"/>
  <c r="O420" i="8" a="1"/>
  <c r="O420" i="8" s="1"/>
  <c r="O428" i="8" a="1"/>
  <c r="O428" i="8" s="1"/>
  <c r="O439" i="8" a="1"/>
  <c r="O439" i="8" s="1"/>
  <c r="P453" i="8" a="1"/>
  <c r="P453" i="8" s="1"/>
  <c r="O457" i="8" a="1"/>
  <c r="O457" i="8" s="1"/>
  <c r="N476" i="8" a="1"/>
  <c r="N476" i="8" s="1"/>
  <c r="P477" i="8" a="1"/>
  <c r="P477" i="8" s="1"/>
  <c r="O499" i="8" a="1"/>
  <c r="O499" i="8" s="1"/>
  <c r="K514" i="8" a="1"/>
  <c r="K514" i="8" s="1"/>
  <c r="N514" i="8" a="1"/>
  <c r="N514" i="8" s="1"/>
  <c r="M514" i="8" a="1"/>
  <c r="M514" i="8" s="1"/>
  <c r="O520" i="8" a="1"/>
  <c r="O520" i="8" s="1"/>
  <c r="P564" i="8" a="1"/>
  <c r="P564" i="8" s="1"/>
  <c r="O570" i="8" a="1"/>
  <c r="O570" i="8" s="1"/>
  <c r="P573" i="8" a="1"/>
  <c r="P573" i="8" s="1"/>
  <c r="P576" i="8" a="1"/>
  <c r="P576" i="8" s="1"/>
  <c r="P588" i="8" a="1"/>
  <c r="P588" i="8" s="1"/>
  <c r="P591" i="8" a="1"/>
  <c r="P591" i="8" s="1"/>
  <c r="P630" i="8" a="1"/>
  <c r="P630" i="8" s="1"/>
  <c r="P636" i="8" a="1"/>
  <c r="P636" i="8" s="1"/>
  <c r="P660" i="8" a="1"/>
  <c r="P660" i="8" s="1"/>
  <c r="P667" i="8" a="1"/>
  <c r="P667" i="8" s="1"/>
  <c r="O770" i="8" a="1"/>
  <c r="O770" i="8" s="1"/>
  <c r="P835" i="8" a="1"/>
  <c r="P835" i="8" s="1"/>
  <c r="O951" i="8" a="1"/>
  <c r="O951" i="8" s="1"/>
  <c r="M1048" i="8" a="1"/>
  <c r="M1048" i="8" s="1"/>
  <c r="N1048" i="8" a="1"/>
  <c r="N1048" i="8" s="1"/>
  <c r="O1060" i="8" a="1"/>
  <c r="O1060" i="8" s="1"/>
  <c r="P1079" i="8" a="1"/>
  <c r="P1079" i="8" s="1"/>
  <c r="P1081" i="8" a="1"/>
  <c r="P1081" i="8" s="1"/>
  <c r="O866" i="8" a="1"/>
  <c r="O866" i="8" s="1"/>
  <c r="O879" i="8" a="1"/>
  <c r="O879" i="8" s="1"/>
  <c r="O883" i="8" a="1"/>
  <c r="O883" i="8" s="1"/>
  <c r="P895" i="8" a="1"/>
  <c r="P895" i="8" s="1"/>
  <c r="O932" i="8" a="1"/>
  <c r="O932" i="8" s="1"/>
  <c r="P940" i="8" a="1"/>
  <c r="P940" i="8" s="1"/>
  <c r="P970" i="8" a="1"/>
  <c r="P970" i="8" s="1"/>
  <c r="O973" i="8" a="1"/>
  <c r="O973" i="8" s="1"/>
  <c r="O1017" i="8" a="1"/>
  <c r="O1017" i="8" s="1"/>
  <c r="O1022" i="8" a="1"/>
  <c r="O1022" i="8" s="1"/>
  <c r="P1060" i="8" a="1"/>
  <c r="P1060" i="8" s="1"/>
  <c r="K1063" i="8" a="1"/>
  <c r="K1063" i="8" s="1"/>
  <c r="J1063" i="8" a="1"/>
  <c r="J1063" i="8" s="1"/>
  <c r="P1099" i="8" a="1"/>
  <c r="P1099" i="8" s="1"/>
  <c r="P973" i="8" a="1"/>
  <c r="P973" i="8" s="1"/>
  <c r="P1022" i="8" a="1"/>
  <c r="P1022" i="8" s="1"/>
  <c r="L1048" i="8" a="1"/>
  <c r="L1048" i="8" s="1"/>
  <c r="L1054" i="8" a="1"/>
  <c r="L1054" i="8" s="1"/>
  <c r="K1054" i="8" a="1"/>
  <c r="K1054" i="8" s="1"/>
  <c r="O1076" i="8" a="1"/>
  <c r="O1076" i="8" s="1"/>
  <c r="O729" i="8" a="1"/>
  <c r="O729" i="8" s="1"/>
  <c r="P739" i="8" a="1"/>
  <c r="P739" i="8" s="1"/>
  <c r="O740" i="8" a="1"/>
  <c r="O740" i="8" s="1"/>
  <c r="O759" i="8" a="1"/>
  <c r="O759" i="8" s="1"/>
  <c r="P830" i="8" a="1"/>
  <c r="P830" i="8" s="1"/>
  <c r="O834" i="8" a="1"/>
  <c r="O834" i="8" s="1"/>
  <c r="P848" i="8" a="1"/>
  <c r="P848" i="8" s="1"/>
  <c r="P885" i="8" a="1"/>
  <c r="P885" i="8" s="1"/>
  <c r="O933" i="8" a="1"/>
  <c r="O933" i="8" s="1"/>
  <c r="P972" i="8" a="1"/>
  <c r="P972" i="8" s="1"/>
  <c r="P1047" i="8" a="1"/>
  <c r="P1047" i="8" s="1"/>
  <c r="O1091" i="8" a="1"/>
  <c r="O1091" i="8" s="1"/>
  <c r="O329" i="8" a="1"/>
  <c r="O329" i="8" s="1"/>
  <c r="O340" i="8" a="1"/>
  <c r="O340" i="8" s="1"/>
  <c r="O341" i="8" a="1"/>
  <c r="O341" i="8" s="1"/>
  <c r="P358" i="8" a="1"/>
  <c r="P358" i="8" s="1"/>
  <c r="O360" i="8" a="1"/>
  <c r="O360" i="8" s="1"/>
  <c r="P362" i="8" a="1"/>
  <c r="P362" i="8" s="1"/>
  <c r="O370" i="8" a="1"/>
  <c r="O370" i="8" s="1"/>
  <c r="O371" i="8" a="1"/>
  <c r="O371" i="8" s="1"/>
  <c r="P374" i="8" a="1"/>
  <c r="P374" i="8" s="1"/>
  <c r="O392" i="8" a="1"/>
  <c r="O392" i="8" s="1"/>
  <c r="O397" i="8" a="1"/>
  <c r="O397" i="8" s="1"/>
  <c r="P400" i="8" a="1"/>
  <c r="P400" i="8" s="1"/>
  <c r="P410" i="8" a="1"/>
  <c r="P410" i="8" s="1"/>
  <c r="P419" i="8" a="1"/>
  <c r="P419" i="8" s="1"/>
  <c r="P439" i="8" a="1"/>
  <c r="P439" i="8" s="1"/>
  <c r="P446" i="8" a="1"/>
  <c r="P446" i="8" s="1"/>
  <c r="O458" i="8" a="1"/>
  <c r="O458" i="8" s="1"/>
  <c r="O466" i="8" a="1"/>
  <c r="O466" i="8" s="1"/>
  <c r="P473" i="8" a="1"/>
  <c r="P473" i="8" s="1"/>
  <c r="O489" i="8" a="1"/>
  <c r="O489" i="8" s="1"/>
  <c r="O493" i="8" a="1"/>
  <c r="O493" i="8" s="1"/>
  <c r="P500" i="8" a="1"/>
  <c r="P500" i="8" s="1"/>
  <c r="P504" i="8" a="1"/>
  <c r="P504" i="8" s="1"/>
  <c r="P511" i="8" a="1"/>
  <c r="P511" i="8" s="1"/>
  <c r="L513" i="8" a="1"/>
  <c r="L513" i="8" s="1"/>
  <c r="O543" i="8" a="1"/>
  <c r="O543" i="8" s="1"/>
  <c r="P554" i="8" a="1"/>
  <c r="P554" i="8" s="1"/>
  <c r="O571" i="8" a="1"/>
  <c r="O571" i="8" s="1"/>
  <c r="O588" i="8" a="1"/>
  <c r="O588" i="8" s="1"/>
  <c r="P599" i="8" a="1"/>
  <c r="P599" i="8" s="1"/>
  <c r="O602" i="8" a="1"/>
  <c r="O602" i="8" s="1"/>
  <c r="O613" i="8" a="1"/>
  <c r="O613" i="8" s="1"/>
  <c r="O621" i="8" a="1"/>
  <c r="O621" i="8" s="1"/>
  <c r="P644" i="8" a="1"/>
  <c r="P644" i="8" s="1"/>
  <c r="O742" i="8" a="1"/>
  <c r="O742" i="8" s="1"/>
  <c r="P745" i="8" a="1"/>
  <c r="P745" i="8" s="1"/>
  <c r="O768" i="8" a="1"/>
  <c r="O768" i="8" s="1"/>
  <c r="P771" i="8" a="1"/>
  <c r="P771" i="8" s="1"/>
  <c r="O820" i="8" a="1"/>
  <c r="O820" i="8" s="1"/>
  <c r="O823" i="8" a="1"/>
  <c r="O823" i="8" s="1"/>
  <c r="O830" i="8" a="1"/>
  <c r="O830" i="8" s="1"/>
  <c r="P861" i="8" a="1"/>
  <c r="P861" i="8" s="1"/>
  <c r="O867" i="8" a="1"/>
  <c r="O867" i="8" s="1"/>
  <c r="P873" i="8" a="1"/>
  <c r="P873" i="8" s="1"/>
  <c r="P889" i="8" a="1"/>
  <c r="P889" i="8" s="1"/>
  <c r="P902" i="8" a="1"/>
  <c r="P902" i="8" s="1"/>
  <c r="P960" i="8" a="1"/>
  <c r="P960" i="8" s="1"/>
  <c r="P999" i="8" a="1"/>
  <c r="P999" i="8" s="1"/>
  <c r="O1030" i="8" a="1"/>
  <c r="O1030" i="8" s="1"/>
  <c r="O1042" i="8" a="1"/>
  <c r="O1042" i="8" s="1"/>
  <c r="L1063" i="8" a="1"/>
  <c r="L1063" i="8" s="1"/>
  <c r="K1077" i="8" a="1"/>
  <c r="K1077" i="8" s="1"/>
  <c r="O1093" i="8" a="1"/>
  <c r="O1093" i="8" s="1"/>
  <c r="O1108" i="8" a="1"/>
  <c r="O1108" i="8" s="1"/>
  <c r="P490" i="8" a="1"/>
  <c r="P490" i="8" s="1"/>
  <c r="P507" i="8" a="1"/>
  <c r="P507" i="8" s="1"/>
  <c r="J510" i="8" a="1"/>
  <c r="J510" i="8" s="1"/>
  <c r="O516" i="8" a="1"/>
  <c r="O516" i="8" s="1"/>
  <c r="P517" i="8" a="1"/>
  <c r="P517" i="8" s="1"/>
  <c r="O542" i="8" a="1"/>
  <c r="O542" i="8" s="1"/>
  <c r="O550" i="8" a="1"/>
  <c r="O550" i="8" s="1"/>
  <c r="P561" i="8" a="1"/>
  <c r="P561" i="8" s="1"/>
  <c r="O567" i="8" a="1"/>
  <c r="O567" i="8" s="1"/>
  <c r="O574" i="8" a="1"/>
  <c r="O574" i="8" s="1"/>
  <c r="O584" i="8" a="1"/>
  <c r="O584" i="8" s="1"/>
  <c r="O591" i="8" a="1"/>
  <c r="O591" i="8" s="1"/>
  <c r="P595" i="8" a="1"/>
  <c r="P595" i="8" s="1"/>
  <c r="P605" i="8" a="1"/>
  <c r="P605" i="8" s="1"/>
  <c r="O612" i="8" a="1"/>
  <c r="O612" i="8" s="1"/>
  <c r="P617" i="8" a="1"/>
  <c r="P617" i="8" s="1"/>
  <c r="O630" i="8" a="1"/>
  <c r="O630" i="8" s="1"/>
  <c r="P633" i="8" a="1"/>
  <c r="P633" i="8" s="1"/>
  <c r="P640" i="8" a="1"/>
  <c r="P640" i="8" s="1"/>
  <c r="O660" i="8" a="1"/>
  <c r="O660" i="8" s="1"/>
  <c r="O668" i="8" a="1"/>
  <c r="O668" i="8" s="1"/>
  <c r="P689" i="8" a="1"/>
  <c r="P689" i="8" s="1"/>
  <c r="P723" i="8" a="1"/>
  <c r="P723" i="8" s="1"/>
  <c r="P755" i="8" a="1"/>
  <c r="P755" i="8" s="1"/>
  <c r="O765" i="8" a="1"/>
  <c r="O765" i="8" s="1"/>
  <c r="M768" i="8" a="1"/>
  <c r="M768" i="8" s="1"/>
  <c r="J773" i="8" a="1"/>
  <c r="J773" i="8" s="1"/>
  <c r="L774" i="8" a="1"/>
  <c r="L774" i="8" s="1"/>
  <c r="O835" i="8" a="1"/>
  <c r="O835" i="8" s="1"/>
  <c r="P840" i="8" a="1"/>
  <c r="P840" i="8" s="1"/>
  <c r="P854" i="8" a="1"/>
  <c r="P854" i="8" s="1"/>
  <c r="P928" i="8" a="1"/>
  <c r="P928" i="8" s="1"/>
  <c r="O935" i="8" a="1"/>
  <c r="O935" i="8" s="1"/>
  <c r="P955" i="8" a="1"/>
  <c r="P955" i="8" s="1"/>
  <c r="P974" i="8" a="1"/>
  <c r="P974" i="8" s="1"/>
  <c r="P979" i="8" a="1"/>
  <c r="P979" i="8" s="1"/>
  <c r="P1005" i="8" a="1"/>
  <c r="P1005" i="8" s="1"/>
  <c r="N1063" i="8" a="1"/>
  <c r="N1063" i="8" s="1"/>
  <c r="O1102" i="8" a="1"/>
  <c r="O1102" i="8" s="1"/>
  <c r="P1113" i="8" a="1"/>
  <c r="P1113" i="8" s="1"/>
  <c r="O1000" i="8" a="1"/>
  <c r="O1000" i="8" s="1"/>
  <c r="O1015" i="8" a="1"/>
  <c r="O1015" i="8" s="1"/>
  <c r="O1027" i="8" a="1"/>
  <c r="O1027" i="8" s="1"/>
  <c r="P1057" i="8" a="1"/>
  <c r="P1057" i="8" s="1"/>
  <c r="M1060" i="8" a="1"/>
  <c r="M1060" i="8" s="1"/>
  <c r="K1069" i="8" a="1"/>
  <c r="K1069" i="8" s="1"/>
  <c r="P1072" i="8" a="1"/>
  <c r="P1072" i="8" s="1"/>
  <c r="P1108" i="8" a="1"/>
  <c r="P1108" i="8" s="1"/>
  <c r="O1110" i="8" a="1"/>
  <c r="O1110" i="8" s="1"/>
  <c r="P1123" i="8" a="1"/>
  <c r="P1123" i="8" s="1"/>
  <c r="P1004" i="8" a="1"/>
  <c r="P1004" i="8" s="1"/>
  <c r="O972" i="8" a="1"/>
  <c r="O972" i="8" s="1"/>
  <c r="O977" i="8" a="1"/>
  <c r="O977" i="8" s="1"/>
  <c r="P1002" i="8" a="1"/>
  <c r="P1002" i="8" s="1"/>
  <c r="O1021" i="8" a="1"/>
  <c r="O1021" i="8" s="1"/>
  <c r="O1029" i="8" a="1"/>
  <c r="O1029" i="8" s="1"/>
  <c r="P1035" i="8" a="1"/>
  <c r="P1035" i="8" s="1"/>
  <c r="P1038" i="8" a="1"/>
  <c r="P1038" i="8" s="1"/>
  <c r="O1040" i="8" a="1"/>
  <c r="O1040" i="8" s="1"/>
  <c r="O1056" i="8" a="1"/>
  <c r="O1056" i="8" s="1"/>
  <c r="P1085" i="8" a="1"/>
  <c r="P1085" i="8" s="1"/>
  <c r="N1087" i="8" a="1"/>
  <c r="N1087" i="8" s="1"/>
  <c r="L1087" i="8" a="1"/>
  <c r="L1087" i="8" s="1"/>
  <c r="K1087" i="8" a="1"/>
  <c r="K1087" i="8" s="1"/>
  <c r="P1125" i="8" a="1"/>
  <c r="P1125" i="8" s="1"/>
  <c r="P1137" i="8" a="1"/>
  <c r="P1137" i="8" s="1"/>
  <c r="P1196" i="8" a="1"/>
  <c r="P1196" i="8" s="1"/>
  <c r="O658" i="8" a="1"/>
  <c r="O658" i="8" s="1"/>
  <c r="O686" i="8" a="1"/>
  <c r="O686" i="8" s="1"/>
  <c r="P703" i="8" a="1"/>
  <c r="P703" i="8" s="1"/>
  <c r="O722" i="8" a="1"/>
  <c r="O722" i="8" s="1"/>
  <c r="P727" i="8" a="1"/>
  <c r="P727" i="8" s="1"/>
  <c r="O735" i="8" a="1"/>
  <c r="O735" i="8" s="1"/>
  <c r="O739" i="8" a="1"/>
  <c r="O739" i="8" s="1"/>
  <c r="P762" i="8" a="1"/>
  <c r="P762" i="8" s="1"/>
  <c r="P770" i="8" a="1"/>
  <c r="P770" i="8" s="1"/>
  <c r="O796" i="8" a="1"/>
  <c r="O796" i="8" s="1"/>
  <c r="P819" i="8" a="1"/>
  <c r="P819" i="8" s="1"/>
  <c r="O833" i="8" a="1"/>
  <c r="O833" i="8" s="1"/>
  <c r="O941" i="8" a="1"/>
  <c r="O941" i="8" s="1"/>
  <c r="P954" i="8" a="1"/>
  <c r="P954" i="8" s="1"/>
  <c r="O959" i="8" a="1"/>
  <c r="O959" i="8" s="1"/>
  <c r="P971" i="8" a="1"/>
  <c r="P971" i="8" s="1"/>
  <c r="P981" i="8" a="1"/>
  <c r="P981" i="8" s="1"/>
  <c r="P1003" i="8" a="1"/>
  <c r="P1003" i="8" s="1"/>
  <c r="P1006" i="8" a="1"/>
  <c r="P1006" i="8" s="1"/>
  <c r="O1019" i="8" a="1"/>
  <c r="O1019" i="8" s="1"/>
  <c r="O1035" i="8" a="1"/>
  <c r="O1035" i="8" s="1"/>
  <c r="M1046" i="8" a="1"/>
  <c r="M1046" i="8" s="1"/>
  <c r="N1069" i="8" a="1"/>
  <c r="N1069" i="8" s="1"/>
  <c r="L1082" i="8" a="1"/>
  <c r="L1082" i="8" s="1"/>
  <c r="P1087" i="8" a="1"/>
  <c r="P1087" i="8" s="1"/>
  <c r="P1090" i="8" a="1"/>
  <c r="P1090" i="8" s="1"/>
  <c r="O1146" i="8" a="1"/>
  <c r="O1146" i="8" s="1"/>
  <c r="O1174" i="8" a="1"/>
  <c r="O1174" i="8" s="1"/>
  <c r="O998" i="8" a="1"/>
  <c r="O998" i="8" s="1"/>
  <c r="O1001" i="8" a="1"/>
  <c r="O1001" i="8" s="1"/>
  <c r="P1019" i="8" a="1"/>
  <c r="P1019" i="8" s="1"/>
  <c r="O1031" i="8" a="1"/>
  <c r="O1031" i="8" s="1"/>
  <c r="O1034" i="8" a="1"/>
  <c r="O1034" i="8" s="1"/>
  <c r="O1046" i="8" a="1"/>
  <c r="O1046" i="8" s="1"/>
  <c r="P1049" i="8" a="1"/>
  <c r="P1049" i="8" s="1"/>
  <c r="O1052" i="8" a="1"/>
  <c r="O1052" i="8" s="1"/>
  <c r="O1065" i="8" a="1"/>
  <c r="O1065" i="8" s="1"/>
  <c r="O1082" i="8" a="1"/>
  <c r="O1082" i="8" s="1"/>
  <c r="P1109" i="8" a="1"/>
  <c r="P1109" i="8" s="1"/>
  <c r="P1111" i="8" a="1"/>
  <c r="P1111" i="8" s="1"/>
  <c r="P1146" i="8" a="1"/>
  <c r="P1146" i="8" s="1"/>
  <c r="O1161" i="8" a="1"/>
  <c r="O1161" i="8" s="1"/>
  <c r="P1174" i="8" a="1"/>
  <c r="P1174" i="8" s="1"/>
  <c r="O689" i="8" a="1"/>
  <c r="O689" i="8" s="1"/>
  <c r="P700" i="8" a="1"/>
  <c r="P700" i="8" s="1"/>
  <c r="O702" i="8" a="1"/>
  <c r="O702" i="8" s="1"/>
  <c r="O758" i="8" a="1"/>
  <c r="O758" i="8" s="1"/>
  <c r="J771" i="8" a="1"/>
  <c r="J771" i="8" s="1"/>
  <c r="P776" i="8" a="1"/>
  <c r="P776" i="8" s="1"/>
  <c r="O821" i="8" a="1"/>
  <c r="O821" i="8" s="1"/>
  <c r="O852" i="8" a="1"/>
  <c r="O852" i="8" s="1"/>
  <c r="P868" i="8" a="1"/>
  <c r="P868" i="8" s="1"/>
  <c r="P871" i="8" a="1"/>
  <c r="P871" i="8" s="1"/>
  <c r="P882" i="8" a="1"/>
  <c r="P882" i="8" s="1"/>
  <c r="O934" i="8" a="1"/>
  <c r="O934" i="8" s="1"/>
  <c r="O942" i="8" a="1"/>
  <c r="O942" i="8" s="1"/>
  <c r="P998" i="8" a="1"/>
  <c r="P998" i="8" s="1"/>
  <c r="P1029" i="8" a="1"/>
  <c r="P1029" i="8" s="1"/>
  <c r="P1031" i="8" a="1"/>
  <c r="P1031" i="8" s="1"/>
  <c r="O1037" i="8" a="1"/>
  <c r="O1037" i="8" s="1"/>
  <c r="O1044" i="8" a="1"/>
  <c r="O1044" i="8" s="1"/>
  <c r="O1079" i="8" a="1"/>
  <c r="O1079" i="8" s="1"/>
  <c r="O1087" i="8" a="1"/>
  <c r="O1087" i="8" s="1"/>
  <c r="O1089" i="8" a="1"/>
  <c r="O1089" i="8" s="1"/>
  <c r="O1104" i="8" a="1"/>
  <c r="O1104" i="8" s="1"/>
  <c r="P1117" i="8" a="1"/>
  <c r="P1117" i="8" s="1"/>
  <c r="P1154" i="8" a="1"/>
  <c r="P1154" i="8" s="1"/>
  <c r="P1161" i="8" a="1"/>
  <c r="P1161" i="8" s="1"/>
  <c r="O1170" i="8" a="1"/>
  <c r="O1170" i="8" s="1"/>
  <c r="O1179" i="8" a="1"/>
  <c r="O1179" i="8" s="1"/>
  <c r="P1198" i="8" a="1"/>
  <c r="P1198" i="8" s="1"/>
  <c r="O1038" i="8" a="1"/>
  <c r="O1038" i="8" s="1"/>
  <c r="P1041" i="8" a="1"/>
  <c r="P1041" i="8" s="1"/>
  <c r="O1045" i="8" a="1"/>
  <c r="O1045" i="8" s="1"/>
  <c r="P1052" i="8" a="1"/>
  <c r="P1052" i="8" s="1"/>
  <c r="O1055" i="8" a="1"/>
  <c r="O1055" i="8" s="1"/>
  <c r="P1062" i="8" a="1"/>
  <c r="P1062" i="8" s="1"/>
  <c r="P1071" i="8" a="1"/>
  <c r="P1071" i="8" s="1"/>
  <c r="O1078" i="8" a="1"/>
  <c r="O1078" i="8" s="1"/>
  <c r="P1086" i="8" a="1"/>
  <c r="P1086" i="8" s="1"/>
  <c r="O1101" i="8" a="1"/>
  <c r="O1101" i="8" s="1"/>
  <c r="P1110" i="8" a="1"/>
  <c r="P1110" i="8" s="1"/>
  <c r="O1112" i="8" a="1"/>
  <c r="O1112" i="8" s="1"/>
  <c r="P1135" i="8" a="1"/>
  <c r="P1135" i="8" s="1"/>
  <c r="P1145" i="8" a="1"/>
  <c r="P1145" i="8" s="1"/>
  <c r="P1153" i="8" a="1"/>
  <c r="P1153" i="8" s="1"/>
  <c r="O1168" i="8" a="1"/>
  <c r="O1168" i="8" s="1"/>
  <c r="P1171" i="8" a="1"/>
  <c r="P1171" i="8" s="1"/>
  <c r="P1175" i="8" a="1"/>
  <c r="P1175" i="8" s="1"/>
  <c r="O1054" i="8" a="1"/>
  <c r="O1054" i="8" s="1"/>
  <c r="P1065" i="8" a="1"/>
  <c r="P1065" i="8" s="1"/>
  <c r="O1077" i="8" a="1"/>
  <c r="O1077" i="8" s="1"/>
  <c r="O1086" i="8" a="1"/>
  <c r="O1086" i="8" s="1"/>
  <c r="P1091" i="8" a="1"/>
  <c r="P1091" i="8" s="1"/>
  <c r="O1092" i="8" a="1"/>
  <c r="O1092" i="8" s="1"/>
  <c r="O1100" i="8" a="1"/>
  <c r="O1100" i="8" s="1"/>
  <c r="P1105" i="8" a="1"/>
  <c r="P1105" i="8" s="1"/>
  <c r="P1115" i="8" a="1"/>
  <c r="P1115" i="8" s="1"/>
  <c r="O1119" i="8" a="1"/>
  <c r="O1119" i="8" s="1"/>
  <c r="O1137" i="8" a="1"/>
  <c r="O1137" i="8" s="1"/>
  <c r="P1168" i="8" a="1"/>
  <c r="P1168" i="8" s="1"/>
  <c r="O1196" i="8" a="1"/>
  <c r="O1196" i="8" s="1"/>
  <c r="P1163" i="8" a="1"/>
  <c r="P1163" i="8" s="1"/>
  <c r="O1169" i="8" a="1"/>
  <c r="O1169" i="8" s="1"/>
  <c r="P1144" i="8" a="1"/>
  <c r="P1144" i="8" s="1"/>
  <c r="O1155" i="8" a="1"/>
  <c r="O1155" i="8" s="1"/>
  <c r="O1173" i="8" a="1"/>
  <c r="O1173" i="8" s="1"/>
  <c r="P1176" i="8" a="1"/>
  <c r="P1176" i="8" s="1"/>
  <c r="O531" i="8"/>
  <c r="J689" i="8"/>
  <c r="J652" i="8"/>
  <c r="O624" i="8"/>
  <c r="O527" i="8"/>
  <c r="O622" i="8"/>
  <c r="P679" i="8"/>
  <c r="O680" i="8"/>
  <c r="O648" i="8"/>
  <c r="P650" i="8"/>
  <c r="J817" i="8"/>
  <c r="O804" i="8"/>
  <c r="P781" i="8"/>
  <c r="P804" i="8"/>
  <c r="P805" i="8"/>
  <c r="J781" i="8"/>
  <c r="P693" i="8"/>
  <c r="P780" i="8"/>
  <c r="O781" i="8"/>
  <c r="P897" i="8"/>
  <c r="O1005" i="8"/>
  <c r="O1128" i="8"/>
  <c r="P1007" i="8"/>
  <c r="P989" i="8"/>
  <c r="O1127" i="8"/>
  <c r="O1122" i="8"/>
  <c r="P1188" i="8"/>
  <c r="O1149" i="8"/>
  <c r="L87" i="8" a="1"/>
  <c r="L87" i="8" s="1"/>
  <c r="L115" i="8" a="1"/>
  <c r="L115" i="8" s="1"/>
  <c r="M138" i="8" a="1"/>
  <c r="M138" i="8" s="1"/>
  <c r="L53" i="8" a="1"/>
  <c r="L53" i="8" s="1"/>
  <c r="M83" i="8" a="1"/>
  <c r="M83" i="8" s="1"/>
  <c r="K83" i="8" a="1"/>
  <c r="K83" i="8" s="1"/>
  <c r="J83" i="8" a="1"/>
  <c r="J83" i="8" s="1"/>
  <c r="N83" i="8" a="1"/>
  <c r="N83" i="8" s="1"/>
  <c r="M111" i="8" a="1"/>
  <c r="M111" i="8" s="1"/>
  <c r="K111" i="8" a="1"/>
  <c r="K111" i="8" s="1"/>
  <c r="J111" i="8" a="1"/>
  <c r="J111" i="8" s="1"/>
  <c r="N111" i="8" a="1"/>
  <c r="N111" i="8" s="1"/>
  <c r="J23" i="8" a="1"/>
  <c r="J23" i="8" s="1"/>
  <c r="L35" i="8" a="1"/>
  <c r="L35" i="8" s="1"/>
  <c r="M87" i="8" a="1"/>
  <c r="M87" i="8" s="1"/>
  <c r="K87" i="8" a="1"/>
  <c r="K87" i="8" s="1"/>
  <c r="J87" i="8" a="1"/>
  <c r="J87" i="8" s="1"/>
  <c r="N87" i="8" a="1"/>
  <c r="N87" i="8" s="1"/>
  <c r="M115" i="8" a="1"/>
  <c r="M115" i="8" s="1"/>
  <c r="K115" i="8" a="1"/>
  <c r="K115" i="8" s="1"/>
  <c r="J115" i="8" a="1"/>
  <c r="J115" i="8" s="1"/>
  <c r="N115" i="8" a="1"/>
  <c r="N115" i="8" s="1"/>
  <c r="L138" i="8" a="1"/>
  <c r="L138" i="8" s="1"/>
  <c r="K138" i="8" a="1"/>
  <c r="K138" i="8" s="1"/>
  <c r="J138" i="8" a="1"/>
  <c r="J138" i="8" s="1"/>
  <c r="K243" i="8" a="1"/>
  <c r="K243" i="8" s="1"/>
  <c r="J243" i="8" a="1"/>
  <c r="J243" i="8" s="1"/>
  <c r="M243" i="8" a="1"/>
  <c r="M243" i="8" s="1"/>
  <c r="L243" i="8" a="1"/>
  <c r="L243" i="8" s="1"/>
  <c r="N243" i="8" a="1"/>
  <c r="N243" i="8" s="1"/>
  <c r="M53" i="8" a="1"/>
  <c r="M53" i="8" s="1"/>
  <c r="K53" i="8" a="1"/>
  <c r="K53" i="8" s="1"/>
  <c r="J53" i="8" a="1"/>
  <c r="J53" i="8" s="1"/>
  <c r="K35" i="8" a="1"/>
  <c r="K35" i="8" s="1"/>
  <c r="J35" i="8" a="1"/>
  <c r="J35" i="8" s="1"/>
  <c r="M105" i="8" a="1"/>
  <c r="M105" i="8" s="1"/>
  <c r="L105" i="8" a="1"/>
  <c r="L105" i="8" s="1"/>
  <c r="K105" i="8" a="1"/>
  <c r="K105" i="8" s="1"/>
  <c r="J105" i="8" a="1"/>
  <c r="J105" i="8" s="1"/>
  <c r="N105" i="8" a="1"/>
  <c r="N105" i="8" s="1"/>
  <c r="L59" i="8" a="1"/>
  <c r="L59" i="8" s="1"/>
  <c r="L85" i="8" a="1"/>
  <c r="L85" i="8" s="1"/>
  <c r="L113" i="8" a="1"/>
  <c r="L113" i="8" s="1"/>
  <c r="L136" i="8" a="1"/>
  <c r="L136" i="8" s="1"/>
  <c r="K136" i="8" a="1"/>
  <c r="K136" i="8" s="1"/>
  <c r="J136" i="8" a="1"/>
  <c r="J136" i="8" s="1"/>
  <c r="M136" i="8" a="1"/>
  <c r="M136" i="8" s="1"/>
  <c r="O157" i="8" a="1"/>
  <c r="O157" i="8" s="1"/>
  <c r="K33" i="8" a="1"/>
  <c r="K33" i="8" s="1"/>
  <c r="J33" i="8" a="1"/>
  <c r="J33" i="8" s="1"/>
  <c r="M81" i="8" a="1"/>
  <c r="M81" i="8" s="1"/>
  <c r="K81" i="8" a="1"/>
  <c r="K81" i="8" s="1"/>
  <c r="J81" i="8" a="1"/>
  <c r="J81" i="8" s="1"/>
  <c r="N81" i="8" a="1"/>
  <c r="N81" i="8" s="1"/>
  <c r="M109" i="8" a="1"/>
  <c r="M109" i="8" s="1"/>
  <c r="K109" i="8" a="1"/>
  <c r="K109" i="8" s="1"/>
  <c r="J109" i="8" a="1"/>
  <c r="J109" i="8" s="1"/>
  <c r="N109" i="8" a="1"/>
  <c r="N109" i="8" s="1"/>
  <c r="L117" i="8" a="1"/>
  <c r="L117" i="8" s="1"/>
  <c r="L206" i="8" a="1"/>
  <c r="L206" i="8" s="1"/>
  <c r="J206" i="8" a="1"/>
  <c r="J206" i="8" s="1"/>
  <c r="N206" i="8" a="1"/>
  <c r="N206" i="8" s="1"/>
  <c r="M206" i="8" a="1"/>
  <c r="M206" i="8" s="1"/>
  <c r="K206" i="8" a="1"/>
  <c r="K206" i="8" s="1"/>
  <c r="J22" i="8" a="1"/>
  <c r="J22" i="8" s="1"/>
  <c r="N22" i="8" a="1"/>
  <c r="N22" i="8" s="1"/>
  <c r="K22" i="8" a="1"/>
  <c r="K22" i="8" s="1"/>
  <c r="M59" i="8" a="1"/>
  <c r="M59" i="8" s="1"/>
  <c r="K59" i="8" a="1"/>
  <c r="K59" i="8" s="1"/>
  <c r="J59" i="8" a="1"/>
  <c r="J59" i="8" s="1"/>
  <c r="M85" i="8" a="1"/>
  <c r="M85" i="8" s="1"/>
  <c r="K85" i="8" a="1"/>
  <c r="K85" i="8" s="1"/>
  <c r="J85" i="8" a="1"/>
  <c r="J85" i="8" s="1"/>
  <c r="N85" i="8" a="1"/>
  <c r="N85" i="8" s="1"/>
  <c r="M113" i="8" a="1"/>
  <c r="M113" i="8" s="1"/>
  <c r="K113" i="8" a="1"/>
  <c r="K113" i="8" s="1"/>
  <c r="J113" i="8" a="1"/>
  <c r="J113" i="8" s="1"/>
  <c r="N113" i="8" a="1"/>
  <c r="N113" i="8" s="1"/>
  <c r="K134" i="8" a="1"/>
  <c r="K134" i="8" s="1"/>
  <c r="J134" i="8" a="1"/>
  <c r="J134" i="8" s="1"/>
  <c r="N134" i="8" a="1"/>
  <c r="N134" i="8" s="1"/>
  <c r="L134" i="8" a="1"/>
  <c r="L134" i="8" s="1"/>
  <c r="K241" i="8" a="1"/>
  <c r="K241" i="8" s="1"/>
  <c r="J241" i="8" a="1"/>
  <c r="J241" i="8" s="1"/>
  <c r="M241" i="8" a="1"/>
  <c r="M241" i="8" s="1"/>
  <c r="N241" i="8" a="1"/>
  <c r="N241" i="8" s="1"/>
  <c r="L241" i="8" a="1"/>
  <c r="L241" i="8" s="1"/>
  <c r="M35" i="8" a="1"/>
  <c r="M35" i="8" s="1"/>
  <c r="M117" i="8" a="1"/>
  <c r="M117" i="8" s="1"/>
  <c r="K117" i="8" a="1"/>
  <c r="K117" i="8" s="1"/>
  <c r="J117" i="8" a="1"/>
  <c r="J117" i="8" s="1"/>
  <c r="N117" i="8" a="1"/>
  <c r="N117" i="8" s="1"/>
  <c r="M107" i="8" a="1"/>
  <c r="M107" i="8" s="1"/>
  <c r="K107" i="8" a="1"/>
  <c r="K107" i="8" s="1"/>
  <c r="J107" i="8" a="1"/>
  <c r="J107" i="8" s="1"/>
  <c r="N107" i="8" a="1"/>
  <c r="N107" i="8" s="1"/>
  <c r="N23" i="8" a="1"/>
  <c r="N23" i="8" s="1"/>
  <c r="N33" i="8" a="1"/>
  <c r="N33" i="8" s="1"/>
  <c r="N35" i="8" a="1"/>
  <c r="N35" i="8" s="1"/>
  <c r="N53" i="8" a="1"/>
  <c r="N53" i="8" s="1"/>
  <c r="N59" i="8" a="1"/>
  <c r="N59" i="8" s="1"/>
  <c r="P165" i="8" a="1"/>
  <c r="P165" i="8" s="1"/>
  <c r="O196" i="8" a="1"/>
  <c r="O196" i="8" s="1"/>
  <c r="M198" i="8" a="1"/>
  <c r="M198" i="8" s="1"/>
  <c r="J205" i="8" a="1"/>
  <c r="J205" i="8" s="1"/>
  <c r="M205" i="8" a="1"/>
  <c r="M205" i="8" s="1"/>
  <c r="N205" i="8" a="1"/>
  <c r="N205" i="8" s="1"/>
  <c r="K283" i="8" a="1"/>
  <c r="K283" i="8" s="1"/>
  <c r="J283" i="8" a="1"/>
  <c r="J283" i="8" s="1"/>
  <c r="N283" i="8" a="1"/>
  <c r="N283" i="8" s="1"/>
  <c r="M283" i="8" a="1"/>
  <c r="M283" i="8" s="1"/>
  <c r="K34" i="8" a="1"/>
  <c r="K34" i="8" s="1"/>
  <c r="K54" i="8" a="1"/>
  <c r="K54" i="8" s="1"/>
  <c r="K56" i="8" a="1"/>
  <c r="K56" i="8" s="1"/>
  <c r="K58" i="8" a="1"/>
  <c r="K58" i="8" s="1"/>
  <c r="K82" i="8" a="1"/>
  <c r="K82" i="8" s="1"/>
  <c r="K84" i="8" a="1"/>
  <c r="K84" i="8" s="1"/>
  <c r="K86" i="8" a="1"/>
  <c r="K86" i="8" s="1"/>
  <c r="K104" i="8" a="1"/>
  <c r="K104" i="8" s="1"/>
  <c r="K106" i="8" a="1"/>
  <c r="K106" i="8" s="1"/>
  <c r="K108" i="8" a="1"/>
  <c r="K108" i="8" s="1"/>
  <c r="K110" i="8" a="1"/>
  <c r="K110" i="8" s="1"/>
  <c r="K112" i="8" a="1"/>
  <c r="K112" i="8" s="1"/>
  <c r="K114" i="8" a="1"/>
  <c r="K114" i="8" s="1"/>
  <c r="K116" i="8" a="1"/>
  <c r="K116" i="8" s="1"/>
  <c r="J137" i="8" a="1"/>
  <c r="J137" i="8" s="1"/>
  <c r="N138" i="8" a="1"/>
  <c r="N138" i="8" s="1"/>
  <c r="K161" i="8" a="1"/>
  <c r="K161" i="8" s="1"/>
  <c r="N198" i="8" a="1"/>
  <c r="N198" i="8" s="1"/>
  <c r="L199" i="8" a="1"/>
  <c r="L199" i="8" s="1"/>
  <c r="O283" i="8" a="1"/>
  <c r="O283" i="8" s="1"/>
  <c r="M137" i="8" a="1"/>
  <c r="M137" i="8" s="1"/>
  <c r="N161" i="8" a="1"/>
  <c r="N161" i="8" s="1"/>
  <c r="P241" i="8" a="1"/>
  <c r="P241" i="8" s="1"/>
  <c r="N34" i="8" a="1"/>
  <c r="N34" i="8" s="1"/>
  <c r="N54" i="8" a="1"/>
  <c r="N54" i="8" s="1"/>
  <c r="N56" i="8" a="1"/>
  <c r="N56" i="8" s="1"/>
  <c r="N58" i="8" a="1"/>
  <c r="N58" i="8" s="1"/>
  <c r="J201" i="8" a="1"/>
  <c r="J201" i="8" s="1"/>
  <c r="K201" i="8" a="1"/>
  <c r="K201" i="8" s="1"/>
  <c r="O194" i="8" a="1"/>
  <c r="O194" i="8" s="1"/>
  <c r="J198" i="8" a="1"/>
  <c r="J198" i="8" s="1"/>
  <c r="M200" i="8" a="1"/>
  <c r="M200" i="8" s="1"/>
  <c r="K200" i="8" a="1"/>
  <c r="K200" i="8" s="1"/>
  <c r="J203" i="8" a="1"/>
  <c r="J203" i="8" s="1"/>
  <c r="K203" i="8" a="1"/>
  <c r="K203" i="8" s="1"/>
  <c r="L205" i="8" a="1"/>
  <c r="L205" i="8" s="1"/>
  <c r="L198" i="8" a="1"/>
  <c r="L198" i="8" s="1"/>
  <c r="J200" i="8" a="1"/>
  <c r="J200" i="8" s="1"/>
  <c r="O231" i="8" a="1"/>
  <c r="O231" i="8" s="1"/>
  <c r="O232" i="8" a="1"/>
  <c r="O232" i="8" s="1"/>
  <c r="O264" i="8" a="1"/>
  <c r="O264" i="8" s="1"/>
  <c r="J199" i="8" a="1"/>
  <c r="J199" i="8" s="1"/>
  <c r="M202" i="8" a="1"/>
  <c r="M202" i="8" s="1"/>
  <c r="O226" i="8" a="1"/>
  <c r="O226" i="8" s="1"/>
  <c r="O254" i="8" a="1"/>
  <c r="O254" i="8" s="1"/>
  <c r="O260" i="8" a="1"/>
  <c r="O260" i="8" s="1"/>
  <c r="O277" i="8" a="1"/>
  <c r="O277" i="8" s="1"/>
  <c r="O278" i="8" a="1"/>
  <c r="O278" i="8" s="1"/>
  <c r="O311" i="8" a="1"/>
  <c r="O311" i="8" s="1"/>
  <c r="O327" i="8" a="1"/>
  <c r="O327" i="8" s="1"/>
  <c r="P328" i="8" a="1"/>
  <c r="P328" i="8" s="1"/>
  <c r="O334" i="8" a="1"/>
  <c r="O334" i="8" s="1"/>
  <c r="M351" i="8" a="1"/>
  <c r="M351" i="8" s="1"/>
  <c r="K351" i="8" a="1"/>
  <c r="K351" i="8" s="1"/>
  <c r="J351" i="8" a="1"/>
  <c r="J351" i="8" s="1"/>
  <c r="L351" i="8" a="1"/>
  <c r="L351" i="8" s="1"/>
  <c r="N351" i="8" a="1"/>
  <c r="N351" i="8" s="1"/>
  <c r="N378" i="8" a="1"/>
  <c r="N378" i="8" s="1"/>
  <c r="J378" i="8" a="1"/>
  <c r="J378" i="8" s="1"/>
  <c r="L378" i="8" a="1"/>
  <c r="L378" i="8" s="1"/>
  <c r="O240" i="8" a="1"/>
  <c r="O240" i="8" s="1"/>
  <c r="K245" i="8" a="1"/>
  <c r="K245" i="8" s="1"/>
  <c r="J245" i="8" a="1"/>
  <c r="J245" i="8" s="1"/>
  <c r="O279" i="8" a="1"/>
  <c r="O279" i="8" s="1"/>
  <c r="O280" i="8" a="1"/>
  <c r="O280" i="8" s="1"/>
  <c r="L299" i="8" a="1"/>
  <c r="L299" i="8" s="1"/>
  <c r="N377" i="8" a="1"/>
  <c r="N377" i="8" s="1"/>
  <c r="K377" i="8" a="1"/>
  <c r="K377" i="8" s="1"/>
  <c r="L377" i="8" a="1"/>
  <c r="L377" i="8" s="1"/>
  <c r="J377" i="8" a="1"/>
  <c r="J377" i="8" s="1"/>
  <c r="O220" i="8" a="1"/>
  <c r="O220" i="8" s="1"/>
  <c r="O285" i="8" a="1"/>
  <c r="O285" i="8" s="1"/>
  <c r="O286" i="8" a="1"/>
  <c r="O286" i="8" s="1"/>
  <c r="O307" i="8" a="1"/>
  <c r="O307" i="8" s="1"/>
  <c r="P321" i="8" a="1"/>
  <c r="P321" i="8" s="1"/>
  <c r="M378" i="8" a="1"/>
  <c r="M378" i="8" s="1"/>
  <c r="M350" i="8" a="1"/>
  <c r="M350" i="8" s="1"/>
  <c r="L350" i="8" a="1"/>
  <c r="L350" i="8" s="1"/>
  <c r="K350" i="8" a="1"/>
  <c r="K350" i="8" s="1"/>
  <c r="N363" i="8" a="1"/>
  <c r="N363" i="8" s="1"/>
  <c r="M363" i="8" a="1"/>
  <c r="M363" i="8" s="1"/>
  <c r="L363" i="8" a="1"/>
  <c r="L363" i="8" s="1"/>
  <c r="K363" i="8" a="1"/>
  <c r="K363" i="8" s="1"/>
  <c r="J363" i="8" a="1"/>
  <c r="J363" i="8" s="1"/>
  <c r="M361" i="8" a="1"/>
  <c r="M361" i="8" s="1"/>
  <c r="J361" i="8" a="1"/>
  <c r="J361" i="8" s="1"/>
  <c r="O265" i="8" a="1"/>
  <c r="O265" i="8" s="1"/>
  <c r="O266" i="8" a="1"/>
  <c r="O266" i="8" s="1"/>
  <c r="K299" i="8" a="1"/>
  <c r="K299" i="8" s="1"/>
  <c r="J299" i="8" a="1"/>
  <c r="J299" i="8" s="1"/>
  <c r="O339" i="8" a="1"/>
  <c r="O339" i="8" s="1"/>
  <c r="O342" i="8" a="1"/>
  <c r="O342" i="8" s="1"/>
  <c r="P349" i="8" a="1"/>
  <c r="P349" i="8" s="1"/>
  <c r="N350" i="8" a="1"/>
  <c r="N350" i="8" s="1"/>
  <c r="N358" i="8" a="1"/>
  <c r="N358" i="8" s="1"/>
  <c r="M358" i="8" a="1"/>
  <c r="M358" i="8" s="1"/>
  <c r="K358" i="8" a="1"/>
  <c r="K358" i="8" s="1"/>
  <c r="J360" i="8" a="1"/>
  <c r="J360" i="8" s="1"/>
  <c r="K360" i="8" a="1"/>
  <c r="K360" i="8" s="1"/>
  <c r="N360" i="8" a="1"/>
  <c r="N360" i="8" s="1"/>
  <c r="M360" i="8" a="1"/>
  <c r="M360" i="8" s="1"/>
  <c r="L360" i="8" a="1"/>
  <c r="L360" i="8" s="1"/>
  <c r="N319" i="8" a="1"/>
  <c r="N319" i="8" s="1"/>
  <c r="M319" i="8" a="1"/>
  <c r="M319" i="8" s="1"/>
  <c r="L319" i="8" a="1"/>
  <c r="L319" i="8" s="1"/>
  <c r="K319" i="8" a="1"/>
  <c r="K319" i="8" s="1"/>
  <c r="M329" i="8" a="1"/>
  <c r="M329" i="8" s="1"/>
  <c r="N329" i="8" a="1"/>
  <c r="N329" i="8" s="1"/>
  <c r="L329" i="8" a="1"/>
  <c r="L329" i="8" s="1"/>
  <c r="K329" i="8" a="1"/>
  <c r="K329" i="8" s="1"/>
  <c r="N199" i="8" a="1"/>
  <c r="N199" i="8" s="1"/>
  <c r="O230" i="8" a="1"/>
  <c r="O230" i="8" s="1"/>
  <c r="O244" i="8" a="1"/>
  <c r="O244" i="8" s="1"/>
  <c r="O259" i="8" a="1"/>
  <c r="O259" i="8" s="1"/>
  <c r="O275" i="8" a="1"/>
  <c r="O275" i="8" s="1"/>
  <c r="O276" i="8" a="1"/>
  <c r="O276" i="8" s="1"/>
  <c r="O310" i="8" a="1"/>
  <c r="O310" i="8" s="1"/>
  <c r="K446" i="8" a="1"/>
  <c r="K446" i="8" s="1"/>
  <c r="J446" i="8" a="1"/>
  <c r="J446" i="8" s="1"/>
  <c r="M446" i="8" a="1"/>
  <c r="M446" i="8" s="1"/>
  <c r="L446" i="8" a="1"/>
  <c r="L446" i="8" s="1"/>
  <c r="N446" i="8" a="1"/>
  <c r="N446" i="8" s="1"/>
  <c r="M349" i="8" a="1"/>
  <c r="M349" i="8" s="1"/>
  <c r="K349" i="8" a="1"/>
  <c r="K349" i="8" s="1"/>
  <c r="J349" i="8" a="1"/>
  <c r="J349" i="8" s="1"/>
  <c r="J350" i="8" a="1"/>
  <c r="J350" i="8" s="1"/>
  <c r="L356" i="8" a="1"/>
  <c r="L356" i="8" s="1"/>
  <c r="N361" i="8" a="1"/>
  <c r="N361" i="8" s="1"/>
  <c r="L361" i="8" a="1"/>
  <c r="L361" i="8" s="1"/>
  <c r="K361" i="8" a="1"/>
  <c r="K361" i="8" s="1"/>
  <c r="P370" i="8" a="1"/>
  <c r="P370" i="8" s="1"/>
  <c r="O388" i="8" a="1"/>
  <c r="O388" i="8" s="1"/>
  <c r="O390" i="8" a="1"/>
  <c r="O390" i="8" s="1"/>
  <c r="O464" i="8" a="1"/>
  <c r="O464" i="8" s="1"/>
  <c r="M359" i="8" a="1"/>
  <c r="M359" i="8" s="1"/>
  <c r="K359" i="8" a="1"/>
  <c r="K359" i="8" s="1"/>
  <c r="J359" i="8" a="1"/>
  <c r="J359" i="8" s="1"/>
  <c r="M355" i="8" a="1"/>
  <c r="M355" i="8" s="1"/>
  <c r="K355" i="8" a="1"/>
  <c r="K355" i="8" s="1"/>
  <c r="J355" i="8" a="1"/>
  <c r="J355" i="8" s="1"/>
  <c r="P363" i="8" a="1"/>
  <c r="P363" i="8" s="1"/>
  <c r="P376" i="8" a="1"/>
  <c r="P376" i="8" s="1"/>
  <c r="O382" i="8" a="1"/>
  <c r="O382" i="8" s="1"/>
  <c r="L354" i="8" a="1"/>
  <c r="L354" i="8" s="1"/>
  <c r="J362" i="8" a="1"/>
  <c r="J362" i="8" s="1"/>
  <c r="N445" i="8" a="1"/>
  <c r="N445" i="8" s="1"/>
  <c r="K445" i="8" a="1"/>
  <c r="K445" i="8" s="1"/>
  <c r="J445" i="8" a="1"/>
  <c r="J445" i="8" s="1"/>
  <c r="M445" i="8" a="1"/>
  <c r="M445" i="8" s="1"/>
  <c r="L445" i="8" a="1"/>
  <c r="L445" i="8" s="1"/>
  <c r="K362" i="8" a="1"/>
  <c r="K362" i="8" s="1"/>
  <c r="M354" i="8" a="1"/>
  <c r="M354" i="8" s="1"/>
  <c r="L355" i="8" a="1"/>
  <c r="L355" i="8" s="1"/>
  <c r="M357" i="8" a="1"/>
  <c r="M357" i="8" s="1"/>
  <c r="K357" i="8" a="1"/>
  <c r="K357" i="8" s="1"/>
  <c r="J357" i="8" a="1"/>
  <c r="J357" i="8" s="1"/>
  <c r="J358" i="8" a="1"/>
  <c r="J358" i="8" s="1"/>
  <c r="O440" i="8" a="1"/>
  <c r="O440" i="8" s="1"/>
  <c r="M362" i="8" a="1"/>
  <c r="M362" i="8" s="1"/>
  <c r="M353" i="8" a="1"/>
  <c r="M353" i="8" s="1"/>
  <c r="K353" i="8" a="1"/>
  <c r="K353" i="8" s="1"/>
  <c r="J353" i="8" a="1"/>
  <c r="J353" i="8" s="1"/>
  <c r="J354" i="8" a="1"/>
  <c r="J354" i="8" s="1"/>
  <c r="N355" i="8" a="1"/>
  <c r="N355" i="8" s="1"/>
  <c r="J520" i="8" a="1"/>
  <c r="J520" i="8" s="1"/>
  <c r="K520" i="8" a="1"/>
  <c r="K520" i="8" s="1"/>
  <c r="N520" i="8" a="1"/>
  <c r="N520" i="8" s="1"/>
  <c r="L520" i="8" a="1"/>
  <c r="L520" i="8" s="1"/>
  <c r="M520" i="8" a="1"/>
  <c r="M520" i="8" s="1"/>
  <c r="N359" i="8" a="1"/>
  <c r="N359" i="8" s="1"/>
  <c r="L400" i="8" a="1"/>
  <c r="L400" i="8" s="1"/>
  <c r="M476" i="8" a="1"/>
  <c r="M476" i="8" s="1"/>
  <c r="L502" i="8" a="1"/>
  <c r="L502" i="8" s="1"/>
  <c r="K502" i="8" a="1"/>
  <c r="K502" i="8" s="1"/>
  <c r="J502" i="8" a="1"/>
  <c r="J502" i="8" s="1"/>
  <c r="M502" i="8" a="1"/>
  <c r="M502" i="8" s="1"/>
  <c r="P512" i="8" a="1"/>
  <c r="P512" i="8" s="1"/>
  <c r="K477" i="8" a="1"/>
  <c r="K477" i="8" s="1"/>
  <c r="K496" i="8" a="1"/>
  <c r="K496" i="8" s="1"/>
  <c r="J496" i="8" a="1"/>
  <c r="J496" i="8" s="1"/>
  <c r="L496" i="8" a="1"/>
  <c r="L496" i="8" s="1"/>
  <c r="O502" i="8" a="1"/>
  <c r="O502" i="8" s="1"/>
  <c r="M400" i="8" a="1"/>
  <c r="M400" i="8" s="1"/>
  <c r="O496" i="8" a="1"/>
  <c r="O496" i="8" s="1"/>
  <c r="O474" i="8" a="1"/>
  <c r="O474" i="8" s="1"/>
  <c r="N494" i="8" a="1"/>
  <c r="N494" i="8" s="1"/>
  <c r="J494" i="8" a="1"/>
  <c r="J494" i="8" s="1"/>
  <c r="L509" i="8" a="1"/>
  <c r="L509" i="8" s="1"/>
  <c r="M509" i="8" a="1"/>
  <c r="M509" i="8" s="1"/>
  <c r="K509" i="8" a="1"/>
  <c r="K509" i="8" s="1"/>
  <c r="J509" i="8" a="1"/>
  <c r="J509" i="8" s="1"/>
  <c r="N509" i="8" a="1"/>
  <c r="N509" i="8" s="1"/>
  <c r="J462" i="8" a="1"/>
  <c r="J462" i="8" s="1"/>
  <c r="K476" i="8" a="1"/>
  <c r="K476" i="8" s="1"/>
  <c r="J476" i="8" a="1"/>
  <c r="J476" i="8" s="1"/>
  <c r="K493" i="8" a="1"/>
  <c r="K493" i="8" s="1"/>
  <c r="L493" i="8" a="1"/>
  <c r="L493" i="8" s="1"/>
  <c r="J493" i="8" a="1"/>
  <c r="J493" i="8" s="1"/>
  <c r="M493" i="8" a="1"/>
  <c r="M493" i="8" s="1"/>
  <c r="O495" i="8" a="1"/>
  <c r="O495" i="8" s="1"/>
  <c r="L503" i="8" a="1"/>
  <c r="L503" i="8" s="1"/>
  <c r="N477" i="8" a="1"/>
  <c r="N477" i="8" s="1"/>
  <c r="M477" i="8" a="1"/>
  <c r="M477" i="8" s="1"/>
  <c r="M447" i="8" a="1"/>
  <c r="M447" i="8" s="1"/>
  <c r="L475" i="8" a="1"/>
  <c r="L475" i="8" s="1"/>
  <c r="N475" i="8" a="1"/>
  <c r="N475" i="8" s="1"/>
  <c r="K478" i="8" a="1"/>
  <c r="K478" i="8" s="1"/>
  <c r="J478" i="8" a="1"/>
  <c r="J478" i="8" s="1"/>
  <c r="L478" i="8" a="1"/>
  <c r="L478" i="8" s="1"/>
  <c r="P493" i="8" a="1"/>
  <c r="P493" i="8" s="1"/>
  <c r="N495" i="8" a="1"/>
  <c r="N495" i="8" s="1"/>
  <c r="M495" i="8" a="1"/>
  <c r="M495" i="8" s="1"/>
  <c r="L495" i="8" a="1"/>
  <c r="L495" i="8" s="1"/>
  <c r="J495" i="8" a="1"/>
  <c r="J495" i="8" s="1"/>
  <c r="M499" i="8" a="1"/>
  <c r="M499" i="8" s="1"/>
  <c r="N502" i="8" a="1"/>
  <c r="N502" i="8" s="1"/>
  <c r="M503" i="8" a="1"/>
  <c r="M503" i="8" s="1"/>
  <c r="L457" i="8" a="1"/>
  <c r="L457" i="8" s="1"/>
  <c r="M462" i="8" a="1"/>
  <c r="M462" i="8" s="1"/>
  <c r="O467" i="8" a="1"/>
  <c r="O467" i="8" s="1"/>
  <c r="N503" i="8" a="1"/>
  <c r="N503" i="8" s="1"/>
  <c r="N517" i="8" a="1"/>
  <c r="N517" i="8" s="1"/>
  <c r="L517" i="8" a="1"/>
  <c r="L517" i="8" s="1"/>
  <c r="K378" i="8" a="1"/>
  <c r="K378" i="8" s="1"/>
  <c r="N401" i="8" a="1"/>
  <c r="N401" i="8" s="1"/>
  <c r="M457" i="8" a="1"/>
  <c r="M457" i="8" s="1"/>
  <c r="J505" i="8" a="1"/>
  <c r="J505" i="8" s="1"/>
  <c r="M505" i="8" a="1"/>
  <c r="M505" i="8" s="1"/>
  <c r="L505" i="8" a="1"/>
  <c r="L505" i="8" s="1"/>
  <c r="K505" i="8" a="1"/>
  <c r="K505" i="8" s="1"/>
  <c r="N505" i="8" a="1"/>
  <c r="N505" i="8" s="1"/>
  <c r="M519" i="8" a="1"/>
  <c r="M519" i="8" s="1"/>
  <c r="N519" i="8" a="1"/>
  <c r="N519" i="8" s="1"/>
  <c r="L519" i="8" a="1"/>
  <c r="L519" i="8" s="1"/>
  <c r="K519" i="8" a="1"/>
  <c r="K519" i="8" s="1"/>
  <c r="J519" i="8" a="1"/>
  <c r="J519" i="8" s="1"/>
  <c r="K480" i="8" a="1"/>
  <c r="K480" i="8" s="1"/>
  <c r="M480" i="8" a="1"/>
  <c r="M480" i="8" s="1"/>
  <c r="K494" i="8" a="1"/>
  <c r="K494" i="8" s="1"/>
  <c r="J400" i="8" a="1"/>
  <c r="J400" i="8" s="1"/>
  <c r="N493" i="8" a="1"/>
  <c r="N493" i="8" s="1"/>
  <c r="M517" i="8" a="1"/>
  <c r="M517" i="8" s="1"/>
  <c r="K475" i="8" a="1"/>
  <c r="K475" i="8" s="1"/>
  <c r="J477" i="8" a="1"/>
  <c r="J477" i="8" s="1"/>
  <c r="O481" i="8" a="1"/>
  <c r="O481" i="8" s="1"/>
  <c r="O485" i="8" a="1"/>
  <c r="O485" i="8" s="1"/>
  <c r="L494" i="8" a="1"/>
  <c r="L494" i="8" s="1"/>
  <c r="J499" i="8" a="1"/>
  <c r="J499" i="8" s="1"/>
  <c r="L499" i="8" a="1"/>
  <c r="L499" i="8" s="1"/>
  <c r="K499" i="8" a="1"/>
  <c r="K499" i="8" s="1"/>
  <c r="N498" i="8" a="1"/>
  <c r="N498" i="8" s="1"/>
  <c r="O512" i="8" a="1"/>
  <c r="O512" i="8" s="1"/>
  <c r="L514" i="8" a="1"/>
  <c r="L514" i="8" s="1"/>
  <c r="M518" i="8" a="1"/>
  <c r="M518" i="8" s="1"/>
  <c r="O553" i="8" a="1"/>
  <c r="O553" i="8" s="1"/>
  <c r="O565" i="8" a="1"/>
  <c r="O565" i="8" s="1"/>
  <c r="O498" i="8" a="1"/>
  <c r="O498" i="8" s="1"/>
  <c r="P501" i="8" a="1"/>
  <c r="P501" i="8" s="1"/>
  <c r="K506" i="8" a="1"/>
  <c r="K506" i="8" s="1"/>
  <c r="K510" i="8" a="1"/>
  <c r="K510" i="8" s="1"/>
  <c r="M513" i="8" a="1"/>
  <c r="M513" i="8" s="1"/>
  <c r="O548" i="8" a="1"/>
  <c r="O548" i="8" s="1"/>
  <c r="O552" i="8" a="1"/>
  <c r="O552" i="8" s="1"/>
  <c r="P547" i="8" a="1"/>
  <c r="P547" i="8" s="1"/>
  <c r="O564" i="8" a="1"/>
  <c r="O564" i="8" s="1"/>
  <c r="P575" i="8" a="1"/>
  <c r="P575" i="8" s="1"/>
  <c r="P601" i="8" a="1"/>
  <c r="P601" i="8" s="1"/>
  <c r="O541" i="8" a="1"/>
  <c r="O541" i="8" s="1"/>
  <c r="P551" i="8" a="1"/>
  <c r="P551" i="8" s="1"/>
  <c r="O579" i="8" a="1"/>
  <c r="O579" i="8" s="1"/>
  <c r="K585" i="8" a="1"/>
  <c r="K585" i="8" s="1"/>
  <c r="M585" i="8" a="1"/>
  <c r="M585" i="8" s="1"/>
  <c r="L585" i="8" a="1"/>
  <c r="L585" i="8" s="1"/>
  <c r="K531" i="8" a="1"/>
  <c r="K531" i="8" s="1"/>
  <c r="L498" i="8" a="1"/>
  <c r="L498" i="8" s="1"/>
  <c r="L507" i="8" a="1"/>
  <c r="L507" i="8" s="1"/>
  <c r="K507" i="8" a="1"/>
  <c r="K507" i="8" s="1"/>
  <c r="J513" i="8" a="1"/>
  <c r="J513" i="8" s="1"/>
  <c r="K513" i="8" a="1"/>
  <c r="K513" i="8" s="1"/>
  <c r="N585" i="8" a="1"/>
  <c r="N585" i="8" s="1"/>
  <c r="O504" i="8" a="1"/>
  <c r="O504" i="8" s="1"/>
  <c r="J506" i="8" a="1"/>
  <c r="J506" i="8" s="1"/>
  <c r="J514" i="8" a="1"/>
  <c r="J514" i="8" s="1"/>
  <c r="J517" i="8" a="1"/>
  <c r="J517" i="8" s="1"/>
  <c r="K517" i="8" a="1"/>
  <c r="K517" i="8" s="1"/>
  <c r="L531" i="8" a="1"/>
  <c r="L531" i="8" s="1"/>
  <c r="O545" i="8" a="1"/>
  <c r="O545" i="8" s="1"/>
  <c r="O546" i="8" a="1"/>
  <c r="O546" i="8" s="1"/>
  <c r="O554" i="8" a="1"/>
  <c r="O554" i="8" s="1"/>
  <c r="L770" i="8" a="1"/>
  <c r="L770" i="8" s="1"/>
  <c r="K770" i="8" a="1"/>
  <c r="K770" i="8" s="1"/>
  <c r="J770" i="8" a="1"/>
  <c r="J770" i="8" s="1"/>
  <c r="M770" i="8" a="1"/>
  <c r="M770" i="8" s="1"/>
  <c r="N770" i="8" a="1"/>
  <c r="N770" i="8" s="1"/>
  <c r="O492" i="8" a="1"/>
  <c r="O492" i="8" s="1"/>
  <c r="O506" i="8" a="1"/>
  <c r="O506" i="8" s="1"/>
  <c r="O524" i="8" a="1"/>
  <c r="O524" i="8" s="1"/>
  <c r="O538" i="8" a="1"/>
  <c r="O538" i="8" s="1"/>
  <c r="O551" i="8" a="1"/>
  <c r="O551" i="8" s="1"/>
  <c r="O561" i="8" a="1"/>
  <c r="O561" i="8" s="1"/>
  <c r="O568" i="8" a="1"/>
  <c r="O568" i="8" s="1"/>
  <c r="O575" i="8" a="1"/>
  <c r="O575" i="8" s="1"/>
  <c r="O582" i="8" a="1"/>
  <c r="O582" i="8" s="1"/>
  <c r="O589" i="8" a="1"/>
  <c r="O589" i="8" s="1"/>
  <c r="O598" i="8" a="1"/>
  <c r="O598" i="8" s="1"/>
  <c r="O609" i="8" a="1"/>
  <c r="O609" i="8" s="1"/>
  <c r="O637" i="8" a="1"/>
  <c r="O637" i="8" s="1"/>
  <c r="K675" i="8" a="1"/>
  <c r="K675" i="8" s="1"/>
  <c r="L675" i="8" a="1"/>
  <c r="L675" i="8" s="1"/>
  <c r="O544" i="8" a="1"/>
  <c r="O544" i="8" s="1"/>
  <c r="O556" i="8" a="1"/>
  <c r="O556" i="8" s="1"/>
  <c r="O599" i="8" a="1"/>
  <c r="O599" i="8" s="1"/>
  <c r="O607" i="8" a="1"/>
  <c r="O607" i="8" s="1"/>
  <c r="O635" i="8" a="1"/>
  <c r="O635" i="8" s="1"/>
  <c r="O675" i="8" a="1"/>
  <c r="O675" i="8" s="1"/>
  <c r="P677" i="8" a="1"/>
  <c r="P677" i="8" s="1"/>
  <c r="L713" i="8" a="1"/>
  <c r="L713" i="8" s="1"/>
  <c r="K713" i="8" a="1"/>
  <c r="K713" i="8" s="1"/>
  <c r="M713" i="8" a="1"/>
  <c r="M713" i="8" s="1"/>
  <c r="O762" i="8" a="1"/>
  <c r="O762" i="8" s="1"/>
  <c r="O549" i="8" a="1"/>
  <c r="O549" i="8" s="1"/>
  <c r="O586" i="8" a="1"/>
  <c r="O586" i="8" s="1"/>
  <c r="L694" i="8" a="1"/>
  <c r="L694" i="8" s="1"/>
  <c r="M694" i="8" a="1"/>
  <c r="M694" i="8" s="1"/>
  <c r="K694" i="8" a="1"/>
  <c r="K694" i="8" s="1"/>
  <c r="N694" i="8" a="1"/>
  <c r="N694" i="8" s="1"/>
  <c r="O619" i="8" a="1"/>
  <c r="O619" i="8" s="1"/>
  <c r="M758" i="8" a="1"/>
  <c r="M758" i="8" s="1"/>
  <c r="J758" i="8" a="1"/>
  <c r="J758" i="8" s="1"/>
  <c r="L758" i="8" a="1"/>
  <c r="L758" i="8" s="1"/>
  <c r="K758" i="8" a="1"/>
  <c r="K758" i="8" s="1"/>
  <c r="O547" i="8" a="1"/>
  <c r="O547" i="8" s="1"/>
  <c r="N569" i="8" a="1"/>
  <c r="N569" i="8" s="1"/>
  <c r="O597" i="8" a="1"/>
  <c r="O597" i="8" s="1"/>
  <c r="O611" i="8" a="1"/>
  <c r="O611" i="8" s="1"/>
  <c r="O639" i="8" a="1"/>
  <c r="O639" i="8" s="1"/>
  <c r="N713" i="8" a="1"/>
  <c r="N713" i="8" s="1"/>
  <c r="N700" i="8" a="1"/>
  <c r="N700" i="8" s="1"/>
  <c r="L751" i="8" a="1"/>
  <c r="L751" i="8" s="1"/>
  <c r="K759" i="8" a="1"/>
  <c r="K759" i="8" s="1"/>
  <c r="J759" i="8" a="1"/>
  <c r="J759" i="8" s="1"/>
  <c r="O761" i="8" a="1"/>
  <c r="O761" i="8" s="1"/>
  <c r="J762" i="8" a="1"/>
  <c r="J762" i="8" s="1"/>
  <c r="L762" i="8" a="1"/>
  <c r="L762" i="8" s="1"/>
  <c r="K762" i="8" a="1"/>
  <c r="K762" i="8" s="1"/>
  <c r="M762" i="8" a="1"/>
  <c r="M762" i="8" s="1"/>
  <c r="O766" i="8" a="1"/>
  <c r="O766" i="8" s="1"/>
  <c r="O665" i="8" a="1"/>
  <c r="O665" i="8" s="1"/>
  <c r="K680" i="8" a="1"/>
  <c r="K680" i="8" s="1"/>
  <c r="O687" i="8" a="1"/>
  <c r="O687" i="8" s="1"/>
  <c r="O748" i="8" a="1"/>
  <c r="O748" i="8" s="1"/>
  <c r="N758" i="8" a="1"/>
  <c r="N758" i="8" s="1"/>
  <c r="N680" i="8" a="1"/>
  <c r="N680" i="8" s="1"/>
  <c r="N762" i="8" a="1"/>
  <c r="N762" i="8" s="1"/>
  <c r="K771" i="8" a="1"/>
  <c r="K771" i="8" s="1"/>
  <c r="L759" i="8" a="1"/>
  <c r="L759" i="8" s="1"/>
  <c r="L771" i="8" a="1"/>
  <c r="L771" i="8" s="1"/>
  <c r="K700" i="8" a="1"/>
  <c r="K700" i="8" s="1"/>
  <c r="M759" i="8" a="1"/>
  <c r="M759" i="8" s="1"/>
  <c r="L778" i="8" a="1"/>
  <c r="L778" i="8" s="1"/>
  <c r="K778" i="8" a="1"/>
  <c r="K778" i="8" s="1"/>
  <c r="M778" i="8" a="1"/>
  <c r="M778" i="8" s="1"/>
  <c r="N778" i="8" a="1"/>
  <c r="N778" i="8" s="1"/>
  <c r="L790" i="8" a="1"/>
  <c r="L790" i="8" s="1"/>
  <c r="K790" i="8" a="1"/>
  <c r="K790" i="8" s="1"/>
  <c r="M790" i="8" a="1"/>
  <c r="M790" i="8" s="1"/>
  <c r="L700" i="8" a="1"/>
  <c r="L700" i="8" s="1"/>
  <c r="K707" i="8" a="1"/>
  <c r="K707" i="8" s="1"/>
  <c r="N767" i="8" a="1"/>
  <c r="N767" i="8" s="1"/>
  <c r="K767" i="8" a="1"/>
  <c r="K767" i="8" s="1"/>
  <c r="J767" i="8" a="1"/>
  <c r="J767" i="8" s="1"/>
  <c r="M771" i="8" a="1"/>
  <c r="M771" i="8" s="1"/>
  <c r="O669" i="8" a="1"/>
  <c r="O669" i="8" s="1"/>
  <c r="N759" i="8" a="1"/>
  <c r="N759" i="8" s="1"/>
  <c r="N771" i="8" a="1"/>
  <c r="N771" i="8" s="1"/>
  <c r="K751" i="8" a="1"/>
  <c r="K751" i="8" s="1"/>
  <c r="O667" i="8" a="1"/>
  <c r="O667" i="8" s="1"/>
  <c r="M766" i="8" a="1"/>
  <c r="M766" i="8" s="1"/>
  <c r="N766" i="8" a="1"/>
  <c r="N766" i="8" s="1"/>
  <c r="K766" i="8" a="1"/>
  <c r="K766" i="8" s="1"/>
  <c r="J766" i="8" a="1"/>
  <c r="J766" i="8" s="1"/>
  <c r="L766" i="8" a="1"/>
  <c r="L766" i="8" s="1"/>
  <c r="O774" i="8" a="1"/>
  <c r="O774" i="8" s="1"/>
  <c r="P752" i="8" a="1"/>
  <c r="P752" i="8" s="1"/>
  <c r="O773" i="8" a="1"/>
  <c r="O773" i="8" s="1"/>
  <c r="O819" i="8" a="1"/>
  <c r="O819" i="8" s="1"/>
  <c r="P859" i="8" a="1"/>
  <c r="P859" i="8" s="1"/>
  <c r="N765" i="8" a="1"/>
  <c r="N765" i="8" s="1"/>
  <c r="O769" i="8" a="1"/>
  <c r="O769" i="8" s="1"/>
  <c r="M774" i="8" a="1"/>
  <c r="M774" i="8" s="1"/>
  <c r="O798" i="8" a="1"/>
  <c r="O798" i="8" s="1"/>
  <c r="P858" i="8" a="1"/>
  <c r="P858" i="8" s="1"/>
  <c r="P874" i="8" a="1"/>
  <c r="P874" i="8" s="1"/>
  <c r="P887" i="8" a="1"/>
  <c r="P887" i="8" s="1"/>
  <c r="N904" i="8" a="1"/>
  <c r="N904" i="8" s="1"/>
  <c r="L904" i="8" a="1"/>
  <c r="L904" i="8" s="1"/>
  <c r="K904" i="8" a="1"/>
  <c r="K904" i="8" s="1"/>
  <c r="M904" i="8" a="1"/>
  <c r="M904" i="8" s="1"/>
  <c r="L769" i="8" a="1"/>
  <c r="L769" i="8" s="1"/>
  <c r="M772" i="8" a="1"/>
  <c r="M772" i="8" s="1"/>
  <c r="L772" i="8" a="1"/>
  <c r="L772" i="8" s="1"/>
  <c r="J774" i="8" a="1"/>
  <c r="J774" i="8" s="1"/>
  <c r="L764" i="8" a="1"/>
  <c r="L764" i="8" s="1"/>
  <c r="M764" i="8" a="1"/>
  <c r="M764" i="8" s="1"/>
  <c r="K764" i="8" a="1"/>
  <c r="K764" i="8" s="1"/>
  <c r="L765" i="8" a="1"/>
  <c r="L765" i="8" s="1"/>
  <c r="N768" i="8" a="1"/>
  <c r="N768" i="8" s="1"/>
  <c r="M769" i="8" a="1"/>
  <c r="M769" i="8" s="1"/>
  <c r="P817" i="8" a="1"/>
  <c r="P817" i="8" s="1"/>
  <c r="K907" i="8" a="1"/>
  <c r="K907" i="8" s="1"/>
  <c r="N907" i="8" a="1"/>
  <c r="N907" i="8" s="1"/>
  <c r="L907" i="8" a="1"/>
  <c r="L907" i="8" s="1"/>
  <c r="K774" i="8" a="1"/>
  <c r="K774" i="8" s="1"/>
  <c r="O937" i="8" a="1"/>
  <c r="O937" i="8" s="1"/>
  <c r="O736" i="8" a="1"/>
  <c r="O736" i="8" s="1"/>
  <c r="O752" i="8" a="1"/>
  <c r="O752" i="8" s="1"/>
  <c r="O756" i="8" a="1"/>
  <c r="O756" i="8" s="1"/>
  <c r="P760" i="8" a="1"/>
  <c r="P760" i="8" s="1"/>
  <c r="P818" i="8" a="1"/>
  <c r="P818" i="8" s="1"/>
  <c r="P937" i="8" a="1"/>
  <c r="P937" i="8" s="1"/>
  <c r="P932" i="8" a="1"/>
  <c r="P932" i="8" s="1"/>
  <c r="P934" i="8" a="1"/>
  <c r="P934" i="8" s="1"/>
  <c r="P936" i="8" a="1"/>
  <c r="P936" i="8" s="1"/>
  <c r="L1083" i="8" a="1"/>
  <c r="L1083" i="8" s="1"/>
  <c r="M1083" i="8" a="1"/>
  <c r="M1083" i="8" s="1"/>
  <c r="J1083" i="8" a="1"/>
  <c r="J1083" i="8" s="1"/>
  <c r="K1083" i="8" a="1"/>
  <c r="K1083" i="8" s="1"/>
  <c r="N1083" i="8" a="1"/>
  <c r="N1083" i="8" s="1"/>
  <c r="O843" i="8" a="1"/>
  <c r="O843" i="8" s="1"/>
  <c r="O847" i="8" a="1"/>
  <c r="O847" i="8" s="1"/>
  <c r="P884" i="8" a="1"/>
  <c r="P884" i="8" s="1"/>
  <c r="P947" i="8" a="1"/>
  <c r="P947" i="8" s="1"/>
  <c r="O813" i="8" a="1"/>
  <c r="O813" i="8" s="1"/>
  <c r="P829" i="8" a="1"/>
  <c r="P829" i="8" s="1"/>
  <c r="O881" i="8" a="1"/>
  <c r="O881" i="8" s="1"/>
  <c r="O981" i="8" a="1"/>
  <c r="O981" i="8" s="1"/>
  <c r="N1057" i="8" a="1"/>
  <c r="N1057" i="8" s="1"/>
  <c r="J1057" i="8" a="1"/>
  <c r="J1057" i="8" s="1"/>
  <c r="K1057" i="8" a="1"/>
  <c r="K1057" i="8" s="1"/>
  <c r="P730" i="8" a="1"/>
  <c r="P730" i="8" s="1"/>
  <c r="O741" i="8" a="1"/>
  <c r="O741" i="8" s="1"/>
  <c r="O771" i="8" a="1"/>
  <c r="O771" i="8" s="1"/>
  <c r="P958" i="8" a="1"/>
  <c r="P958" i="8" s="1"/>
  <c r="O963" i="8" a="1"/>
  <c r="O963" i="8" s="1"/>
  <c r="N1084" i="8" a="1"/>
  <c r="N1084" i="8" s="1"/>
  <c r="M1084" i="8" a="1"/>
  <c r="M1084" i="8" s="1"/>
  <c r="K1084" i="8" a="1"/>
  <c r="K1084" i="8" s="1"/>
  <c r="O717" i="8" a="1"/>
  <c r="O717" i="8" s="1"/>
  <c r="P744" i="8" a="1"/>
  <c r="P744" i="8" s="1"/>
  <c r="P814" i="8" a="1"/>
  <c r="P814" i="8" s="1"/>
  <c r="O851" i="8" a="1"/>
  <c r="O851" i="8" s="1"/>
  <c r="P878" i="8" a="1"/>
  <c r="P878" i="8" s="1"/>
  <c r="P965" i="8" a="1"/>
  <c r="P965" i="8" s="1"/>
  <c r="P986" i="8" a="1"/>
  <c r="P986" i="8" s="1"/>
  <c r="O1049" i="8" a="1"/>
  <c r="O1049" i="8" s="1"/>
  <c r="J1086" i="8" a="1"/>
  <c r="J1086" i="8" s="1"/>
  <c r="N1086" i="8" a="1"/>
  <c r="N1086" i="8" s="1"/>
  <c r="K1086" i="8" a="1"/>
  <c r="K1086" i="8" s="1"/>
  <c r="M1086" i="8" a="1"/>
  <c r="M1086" i="8" s="1"/>
  <c r="L1086" i="8" a="1"/>
  <c r="L1086" i="8" s="1"/>
  <c r="P933" i="8" a="1"/>
  <c r="P933" i="8" s="1"/>
  <c r="N1043" i="8" a="1"/>
  <c r="N1043" i="8" s="1"/>
  <c r="N1047" i="8" a="1"/>
  <c r="N1047" i="8" s="1"/>
  <c r="J1047" i="8" a="1"/>
  <c r="J1047" i="8" s="1"/>
  <c r="M1047" i="8" a="1"/>
  <c r="M1047" i="8" s="1"/>
  <c r="N1088" i="8" a="1"/>
  <c r="N1088" i="8" s="1"/>
  <c r="M1088" i="8" a="1"/>
  <c r="M1088" i="8" s="1"/>
  <c r="O945" i="8" a="1"/>
  <c r="O945" i="8" s="1"/>
  <c r="P975" i="8" a="1"/>
  <c r="P975" i="8" s="1"/>
  <c r="P821" i="8" a="1"/>
  <c r="P821" i="8" s="1"/>
  <c r="P870" i="8" a="1"/>
  <c r="P870" i="8" s="1"/>
  <c r="P982" i="8" a="1"/>
  <c r="P982" i="8" s="1"/>
  <c r="L1046" i="8" a="1"/>
  <c r="L1046" i="8" s="1"/>
  <c r="K1046" i="8" a="1"/>
  <c r="K1046" i="8" s="1"/>
  <c r="J1046" i="8" a="1"/>
  <c r="J1046" i="8" s="1"/>
  <c r="N1046" i="8" a="1"/>
  <c r="N1046" i="8" s="1"/>
  <c r="N1135" i="8" a="1"/>
  <c r="N1135" i="8" s="1"/>
  <c r="K1135" i="8" a="1"/>
  <c r="K1135" i="8" s="1"/>
  <c r="M1135" i="8" a="1"/>
  <c r="M1135" i="8" s="1"/>
  <c r="L1135" i="8" a="1"/>
  <c r="L1135" i="8" s="1"/>
  <c r="O1004" i="8" a="1"/>
  <c r="O1004" i="8" s="1"/>
  <c r="L1056" i="8" a="1"/>
  <c r="L1056" i="8" s="1"/>
  <c r="N1056" i="8" a="1"/>
  <c r="N1056" i="8" s="1"/>
  <c r="K1056" i="8" a="1"/>
  <c r="K1056" i="8" s="1"/>
  <c r="L1079" i="8" a="1"/>
  <c r="L1079" i="8" s="1"/>
  <c r="K1079" i="8" a="1"/>
  <c r="K1079" i="8" s="1"/>
  <c r="N1079" i="8" a="1"/>
  <c r="N1079" i="8" s="1"/>
  <c r="L1090" i="8" a="1"/>
  <c r="L1090" i="8" s="1"/>
  <c r="K1090" i="8" a="1"/>
  <c r="K1090" i="8" s="1"/>
  <c r="J1090" i="8" a="1"/>
  <c r="J1090" i="8" s="1"/>
  <c r="N1090" i="8" a="1"/>
  <c r="N1090" i="8" s="1"/>
  <c r="M1090" i="8" a="1"/>
  <c r="M1090" i="8" s="1"/>
  <c r="P1068" i="8" a="1"/>
  <c r="P1068" i="8" s="1"/>
  <c r="J1056" i="8" a="1"/>
  <c r="J1056" i="8" s="1"/>
  <c r="K1060" i="8" a="1"/>
  <c r="K1060" i="8" s="1"/>
  <c r="L1060" i="8" a="1"/>
  <c r="L1060" i="8" s="1"/>
  <c r="J1060" i="8" a="1"/>
  <c r="J1060" i="8" s="1"/>
  <c r="N1060" i="8" a="1"/>
  <c r="N1060" i="8" s="1"/>
  <c r="N1078" i="8" a="1"/>
  <c r="N1078" i="8" s="1"/>
  <c r="M1078" i="8" a="1"/>
  <c r="M1078" i="8" s="1"/>
  <c r="K1078" i="8" a="1"/>
  <c r="K1078" i="8" s="1"/>
  <c r="L1078" i="8" a="1"/>
  <c r="L1078" i="8" s="1"/>
  <c r="N1089" i="8" a="1"/>
  <c r="N1089" i="8" s="1"/>
  <c r="J1089" i="8" a="1"/>
  <c r="J1089" i="8" s="1"/>
  <c r="M1089" i="8" a="1"/>
  <c r="M1089" i="8" s="1"/>
  <c r="L1089" i="8" a="1"/>
  <c r="L1089" i="8" s="1"/>
  <c r="K1089" i="8" a="1"/>
  <c r="K1089" i="8" s="1"/>
  <c r="M1056" i="8" a="1"/>
  <c r="M1056" i="8" s="1"/>
  <c r="P1025" i="8" a="1"/>
  <c r="P1025" i="8" s="1"/>
  <c r="K1062" i="8" a="1"/>
  <c r="K1062" i="8" s="1"/>
  <c r="J1062" i="8" a="1"/>
  <c r="J1062" i="8" s="1"/>
  <c r="M1085" i="8" a="1"/>
  <c r="M1085" i="8" s="1"/>
  <c r="K1085" i="8" a="1"/>
  <c r="K1085" i="8" s="1"/>
  <c r="J1085" i="8" a="1"/>
  <c r="J1085" i="8" s="1"/>
  <c r="N1085" i="8" a="1"/>
  <c r="N1085" i="8" s="1"/>
  <c r="L1085" i="8" a="1"/>
  <c r="L1085" i="8" s="1"/>
  <c r="L1070" i="8" a="1"/>
  <c r="L1070" i="8" s="1"/>
  <c r="N1070" i="8" a="1"/>
  <c r="N1070" i="8" s="1"/>
  <c r="K1070" i="8" a="1"/>
  <c r="K1070" i="8" s="1"/>
  <c r="M1079" i="8" a="1"/>
  <c r="M1079" i="8" s="1"/>
  <c r="O1036" i="8" a="1"/>
  <c r="O1036" i="8" s="1"/>
  <c r="O1070" i="8" a="1"/>
  <c r="O1070" i="8" s="1"/>
  <c r="O1058" i="8" a="1"/>
  <c r="O1058" i="8" s="1"/>
  <c r="N1080" i="8" a="1"/>
  <c r="N1080" i="8" s="1"/>
  <c r="M1080" i="8" a="1"/>
  <c r="M1080" i="8" s="1"/>
  <c r="L1080" i="8" a="1"/>
  <c r="L1080" i="8" s="1"/>
  <c r="J1080" i="8" a="1"/>
  <c r="J1080" i="8" s="1"/>
  <c r="P1053" i="8" a="1"/>
  <c r="P1053" i="8" s="1"/>
  <c r="M1054" i="8" a="1"/>
  <c r="M1054" i="8" s="1"/>
  <c r="N1059" i="8" a="1"/>
  <c r="N1059" i="8" s="1"/>
  <c r="K1059" i="8" a="1"/>
  <c r="K1059" i="8" s="1"/>
  <c r="P1066" i="8" a="1"/>
  <c r="P1066" i="8" s="1"/>
  <c r="L1069" i="8" a="1"/>
  <c r="L1069" i="8" s="1"/>
  <c r="M1069" i="8" a="1"/>
  <c r="M1069" i="8" s="1"/>
  <c r="L1055" i="8" a="1"/>
  <c r="L1055" i="8" s="1"/>
  <c r="K1048" i="8" a="1"/>
  <c r="K1048" i="8" s="1"/>
  <c r="K1047" i="8" a="1"/>
  <c r="K1047" i="8" s="1"/>
  <c r="M1057" i="8" a="1"/>
  <c r="M1057" i="8" s="1"/>
  <c r="L1057" i="8" a="1"/>
  <c r="L1057" i="8" s="1"/>
  <c r="J1059" i="8" a="1"/>
  <c r="J1059" i="8" s="1"/>
  <c r="O1075" i="8" a="1"/>
  <c r="O1075" i="8" s="1"/>
  <c r="K1043" i="8" a="1"/>
  <c r="K1043" i="8" s="1"/>
  <c r="L1059" i="8" a="1"/>
  <c r="L1059" i="8" s="1"/>
  <c r="K1055" i="8" a="1"/>
  <c r="K1055" i="8" s="1"/>
  <c r="M1059" i="8" a="1"/>
  <c r="M1059" i="8" s="1"/>
  <c r="K1082" i="8" a="1"/>
  <c r="K1082" i="8" s="1"/>
  <c r="J1082" i="8" a="1"/>
  <c r="J1082" i="8" s="1"/>
  <c r="M1082" i="8" a="1"/>
  <c r="M1082" i="8" s="1"/>
  <c r="P1136" i="8" a="1"/>
  <c r="P1136" i="8" s="1"/>
  <c r="P1082" i="8" a="1"/>
  <c r="P1082" i="8" s="1"/>
  <c r="L1084" i="8" a="1"/>
  <c r="L1084" i="8" s="1"/>
  <c r="J1084" i="8" a="1"/>
  <c r="J1084" i="8" s="1"/>
  <c r="K1088" i="8" a="1"/>
  <c r="K1088" i="8" s="1"/>
  <c r="J1088" i="8" a="1"/>
  <c r="J1088" i="8" s="1"/>
  <c r="L1088" i="8" a="1"/>
  <c r="L1088" i="8" s="1"/>
  <c r="L1062" i="8" a="1"/>
  <c r="L1062" i="8" s="1"/>
  <c r="J1058" i="8" a="1"/>
  <c r="J1058" i="8" s="1"/>
  <c r="M1081" i="8" a="1"/>
  <c r="M1081" i="8" s="1"/>
  <c r="O1115" i="8" a="1"/>
  <c r="O1115" i="8" s="1"/>
  <c r="N1081" i="8" a="1"/>
  <c r="N1081" i="8" s="1"/>
  <c r="L1137" i="8" a="1"/>
  <c r="L1137" i="8" s="1"/>
  <c r="K1137" i="8" a="1"/>
  <c r="K1137" i="8" s="1"/>
  <c r="M1137" i="8" a="1"/>
  <c r="M1137" i="8" s="1"/>
  <c r="O1172" i="8" a="1"/>
  <c r="O1172" i="8" s="1"/>
  <c r="O1095" i="8" a="1"/>
  <c r="O1095" i="8" s="1"/>
  <c r="O1109" i="8" a="1"/>
  <c r="O1109" i="8" s="1"/>
  <c r="O1097" i="8" a="1"/>
  <c r="O1097" i="8" s="1"/>
  <c r="O1111" i="8" a="1"/>
  <c r="O1111" i="8" s="1"/>
  <c r="O1103" i="8" a="1"/>
  <c r="O1103" i="8" s="1"/>
  <c r="O1171" i="8" a="1"/>
  <c r="O1171" i="8" s="1"/>
  <c r="L1189" i="8" a="1"/>
  <c r="L1189" i="8" s="1"/>
  <c r="N1174" i="8" a="1"/>
  <c r="N1174" i="8" s="1"/>
  <c r="O1198" i="8" a="1"/>
  <c r="O1198" i="8" s="1"/>
  <c r="AF705" i="8"/>
  <c r="AF566" i="8"/>
  <c r="AF645" i="8"/>
  <c r="AF545" i="8" a="1"/>
  <c r="AF545" i="8" s="1"/>
  <c r="AH545" i="8" a="1"/>
  <c r="AH545" i="8" s="1"/>
  <c r="AI167" i="8" a="1"/>
  <c r="AI167" i="8" s="1"/>
  <c r="AH167" i="8" a="1"/>
  <c r="AH167" i="8" s="1"/>
  <c r="AH866" i="8" a="1"/>
  <c r="AH866" i="8" s="1"/>
  <c r="AG866" i="8" a="1"/>
  <c r="AG866" i="8" s="1"/>
  <c r="AF628" i="8" a="1"/>
  <c r="AF628" i="8" s="1"/>
  <c r="AG628" i="8" a="1"/>
  <c r="AG628" i="8" s="1"/>
  <c r="AI460" i="8" a="1"/>
  <c r="AI460" i="8" s="1"/>
  <c r="AH460" i="8" a="1"/>
  <c r="AH460" i="8" s="1"/>
  <c r="AG460" i="8" a="1"/>
  <c r="AG460" i="8" s="1"/>
  <c r="AI446" i="8" a="1"/>
  <c r="AI446" i="8" s="1"/>
  <c r="AG250" i="8" a="1"/>
  <c r="AG250" i="8" s="1"/>
  <c r="AH250" i="8" a="1"/>
  <c r="AH250" i="8" s="1"/>
  <c r="AG875" i="8" a="1"/>
  <c r="AG875" i="8" s="1"/>
  <c r="AH1084" i="8" a="1"/>
  <c r="AH1084" i="8" s="1"/>
  <c r="AF1198" i="8" a="1"/>
  <c r="AF1198" i="8" s="1"/>
  <c r="AG738" i="8" a="1"/>
  <c r="AG738" i="8" s="1"/>
  <c r="AH738" i="8" a="1"/>
  <c r="AH738" i="8" s="1"/>
  <c r="AF640" i="8" a="1"/>
  <c r="AF640" i="8" s="1"/>
  <c r="AI640" i="8" a="1"/>
  <c r="AI640" i="8" s="1"/>
  <c r="AI472" i="8" a="1"/>
  <c r="AI472" i="8" s="1"/>
  <c r="AH472" i="8" a="1"/>
  <c r="AH472" i="8" s="1"/>
  <c r="AG472" i="8" a="1"/>
  <c r="AG472" i="8" s="1"/>
  <c r="AH332" i="8" a="1"/>
  <c r="AH332" i="8" s="1"/>
  <c r="AI332" i="8" a="1"/>
  <c r="AI332" i="8" s="1"/>
  <c r="AH765" i="8" a="1"/>
  <c r="AH765" i="8" s="1"/>
  <c r="AI765" i="8" a="1"/>
  <c r="AI765" i="8" s="1"/>
  <c r="AI709" i="8" a="1"/>
  <c r="AI709" i="8" s="1"/>
  <c r="AI401" i="8" a="1"/>
  <c r="AI401" i="8" s="1"/>
  <c r="AH401" i="8" a="1"/>
  <c r="AH401" i="8" s="1"/>
  <c r="AG359" i="8" a="1"/>
  <c r="AG359" i="8" s="1"/>
  <c r="AH359" i="8" a="1"/>
  <c r="AH359" i="8" s="1"/>
  <c r="AI345" i="8" a="1"/>
  <c r="AI345" i="8" s="1"/>
  <c r="AG345" i="8" a="1"/>
  <c r="AG345" i="8" s="1"/>
  <c r="AH764" i="8" a="1"/>
  <c r="AH764" i="8" s="1"/>
  <c r="AG764" i="8" a="1"/>
  <c r="AG764" i="8" s="1"/>
  <c r="AI764" i="8" a="1"/>
  <c r="AI764" i="8" s="1"/>
  <c r="AF596" i="8" a="1"/>
  <c r="AF596" i="8" s="1"/>
  <c r="AG596" i="8" a="1"/>
  <c r="AG596" i="8" s="1"/>
  <c r="AI274" i="8" a="1"/>
  <c r="AI274" i="8" s="1"/>
  <c r="AH274" i="8" a="1"/>
  <c r="AH274" i="8" s="1"/>
  <c r="AI1057" i="8" a="1"/>
  <c r="AI1057" i="8" s="1"/>
  <c r="AH1057" i="8" a="1"/>
  <c r="AH1057" i="8" s="1"/>
  <c r="AI987" i="8" a="1"/>
  <c r="AI987" i="8" s="1"/>
  <c r="AG987" i="8" a="1"/>
  <c r="AG987" i="8" s="1"/>
  <c r="AH987" i="8" a="1"/>
  <c r="AH987" i="8" s="1"/>
  <c r="AI889" i="8" a="1"/>
  <c r="AI889" i="8" s="1"/>
  <c r="AH889" i="8" a="1"/>
  <c r="AH889" i="8" s="1"/>
  <c r="AG889" i="8" a="1"/>
  <c r="AG889" i="8" s="1"/>
  <c r="AG805" i="8" a="1"/>
  <c r="AG805" i="8" s="1"/>
  <c r="AI805" i="8" a="1"/>
  <c r="AI805" i="8" s="1"/>
  <c r="AI721" i="8" a="1"/>
  <c r="AI721" i="8" s="1"/>
  <c r="AH721" i="8" a="1"/>
  <c r="AH721" i="8" s="1"/>
  <c r="AG721" i="8" a="1"/>
  <c r="AG721" i="8" s="1"/>
  <c r="AI539" i="8" a="1"/>
  <c r="AI539" i="8" s="1"/>
  <c r="AG539" i="8" a="1"/>
  <c r="AG539" i="8" s="1"/>
  <c r="AH539" i="8" a="1"/>
  <c r="AH539" i="8" s="1"/>
  <c r="AI525" i="8" a="1"/>
  <c r="AI525" i="8" s="1"/>
  <c r="AG525" i="8" a="1"/>
  <c r="AG525" i="8" s="1"/>
  <c r="AI497" i="8" a="1"/>
  <c r="AI497" i="8" s="1"/>
  <c r="AH497" i="8" a="1"/>
  <c r="AH497" i="8" s="1"/>
  <c r="AH441" i="8" a="1"/>
  <c r="AH441" i="8" s="1"/>
  <c r="AI441" i="8" a="1"/>
  <c r="AI441" i="8" s="1"/>
  <c r="AF427" i="8" a="1"/>
  <c r="AF427" i="8" s="1"/>
  <c r="AH427" i="8" a="1"/>
  <c r="AH427" i="8" s="1"/>
  <c r="AG427" i="8" a="1"/>
  <c r="AG427" i="8" s="1"/>
  <c r="AF259" i="8" a="1"/>
  <c r="AF259" i="8" s="1"/>
  <c r="AG259" i="8" a="1"/>
  <c r="AG259" i="8" s="1"/>
  <c r="AH175" i="8" a="1"/>
  <c r="AH175" i="8" s="1"/>
  <c r="AG175" i="8" a="1"/>
  <c r="AG175" i="8" s="1"/>
  <c r="AI175" i="8" a="1"/>
  <c r="AI175" i="8" s="1"/>
  <c r="AH426" i="8" a="1"/>
  <c r="AH426" i="8" s="1"/>
  <c r="AG370" i="8" a="1"/>
  <c r="AG370" i="8" s="1"/>
  <c r="AI370" i="8" a="1"/>
  <c r="AI370" i="8" s="1"/>
  <c r="AH370" i="8" a="1"/>
  <c r="AH370" i="8" s="1"/>
  <c r="AG342" i="8" a="1"/>
  <c r="AG342" i="8" s="1"/>
  <c r="AH342" i="8" a="1"/>
  <c r="AH342" i="8" s="1"/>
  <c r="AI328" i="8" a="1"/>
  <c r="AI328" i="8" s="1"/>
  <c r="AH328" i="8" a="1"/>
  <c r="AH328" i="8" s="1"/>
  <c r="AG328" i="8" a="1"/>
  <c r="AG328" i="8" s="1"/>
  <c r="AI258" i="8" a="1"/>
  <c r="AI258" i="8" s="1"/>
  <c r="AG258" i="8" a="1"/>
  <c r="AG258" i="8" s="1"/>
  <c r="AF258" i="8" a="1"/>
  <c r="AF258" i="8" s="1"/>
  <c r="AH258" i="8" a="1"/>
  <c r="AH258" i="8" s="1"/>
  <c r="AH230" i="8" a="1"/>
  <c r="AH230" i="8" s="1"/>
  <c r="AI230" i="8" a="1"/>
  <c r="AI230" i="8" s="1"/>
  <c r="AG230" i="8" a="1"/>
  <c r="AG230" i="8" s="1"/>
  <c r="AH202" i="8" a="1"/>
  <c r="AH202" i="8" s="1"/>
  <c r="AI202" i="8" a="1"/>
  <c r="AI202" i="8" s="1"/>
  <c r="AG202" i="8" a="1"/>
  <c r="AG202" i="8" s="1"/>
  <c r="AI391" i="8" a="1"/>
  <c r="AI391" i="8" s="1"/>
  <c r="AH188" i="8" a="1"/>
  <c r="AH188" i="8" s="1"/>
  <c r="AG414" i="8" a="1"/>
  <c r="AG414" i="8" s="1"/>
  <c r="AH433" i="8" a="1"/>
  <c r="AH433" i="8" s="1"/>
  <c r="AG440" i="8" a="1"/>
  <c r="AG440" i="8" s="1"/>
  <c r="AG454" i="8" a="1"/>
  <c r="AG454" i="8" s="1"/>
  <c r="AG566" i="8" a="1"/>
  <c r="AG566" i="8" s="1"/>
  <c r="AI581" i="8" a="1"/>
  <c r="AI581" i="8" s="1"/>
  <c r="AH622" i="8" a="1"/>
  <c r="AH622" i="8" s="1"/>
  <c r="AH164" i="8" a="1"/>
  <c r="AH164" i="8" s="1"/>
  <c r="AI188" i="8" a="1"/>
  <c r="AI188" i="8" s="1"/>
  <c r="AG401" i="8" a="1"/>
  <c r="AG401" i="8" s="1"/>
  <c r="AH440" i="8" a="1"/>
  <c r="AH440" i="8" s="1"/>
  <c r="AH454" i="8" a="1"/>
  <c r="AH454" i="8" s="1"/>
  <c r="AH566" i="8" a="1"/>
  <c r="AH566" i="8" s="1"/>
  <c r="AH977" i="8" a="1"/>
  <c r="AH977" i="8" s="1"/>
  <c r="AH1183" i="8" a="1"/>
  <c r="AH1183" i="8" s="1"/>
  <c r="AG986" i="8" a="1"/>
  <c r="AG986" i="8" s="1"/>
  <c r="AI986" i="8" a="1"/>
  <c r="AI986" i="8" s="1"/>
  <c r="AH986" i="8" a="1"/>
  <c r="AH986" i="8" s="1"/>
  <c r="AI860" i="8" a="1"/>
  <c r="AI860" i="8" s="1"/>
  <c r="AH860" i="8" a="1"/>
  <c r="AH860" i="8" s="1"/>
  <c r="AG860" i="8" a="1"/>
  <c r="AG860" i="8" s="1"/>
  <c r="AI650" i="8" a="1"/>
  <c r="AI650" i="8" s="1"/>
  <c r="AH650" i="8" a="1"/>
  <c r="AH650" i="8" s="1"/>
  <c r="AG636" i="8" a="1"/>
  <c r="AG636" i="8" s="1"/>
  <c r="AI636" i="8" a="1"/>
  <c r="AI636" i="8" s="1"/>
  <c r="AG192" i="8" a="1"/>
  <c r="AG192" i="8" s="1"/>
  <c r="AI440" i="8" a="1"/>
  <c r="AI440" i="8" s="1"/>
  <c r="AG779" i="8" a="1"/>
  <c r="AG779" i="8" s="1"/>
  <c r="AH834" i="8" a="1"/>
  <c r="AH834" i="8" s="1"/>
  <c r="AI1183" i="8" a="1"/>
  <c r="AI1183" i="8" s="1"/>
  <c r="AH192" i="8" a="1"/>
  <c r="AH192" i="8" s="1"/>
  <c r="AF441" i="8" a="1"/>
  <c r="AF441" i="8" s="1"/>
  <c r="AH779" i="8" a="1"/>
  <c r="AH779" i="8" s="1"/>
  <c r="AH902" i="8" a="1"/>
  <c r="AH902" i="8" s="1"/>
  <c r="AI1072" i="8" a="1"/>
  <c r="AI1072" i="8" s="1"/>
  <c r="AG1072" i="8" a="1"/>
  <c r="AG1072" i="8" s="1"/>
  <c r="AI890" i="8" a="1"/>
  <c r="AI890" i="8" s="1"/>
  <c r="AH890" i="8" a="1"/>
  <c r="AH890" i="8" s="1"/>
  <c r="AH70" i="8" a="1"/>
  <c r="AH70" i="8" s="1"/>
  <c r="AF70" i="8" a="1"/>
  <c r="AF70" i="8" s="1"/>
  <c r="AI152" i="8" a="1"/>
  <c r="AI152" i="8" s="1"/>
  <c r="AG152" i="8" a="1"/>
  <c r="AG152" i="8" s="1"/>
  <c r="AI192" i="8" a="1"/>
  <c r="AI192" i="8" s="1"/>
  <c r="AH259" i="8" a="1"/>
  <c r="AH259" i="8" s="1"/>
  <c r="AG441" i="8" a="1"/>
  <c r="AG441" i="8" s="1"/>
  <c r="AH805" i="8" a="1"/>
  <c r="AH805" i="8" s="1"/>
  <c r="AI902" i="8" a="1"/>
  <c r="AI902" i="8" s="1"/>
  <c r="AG249" i="8" a="1"/>
  <c r="AG249" i="8" s="1"/>
  <c r="AI249" i="8" a="1"/>
  <c r="AI249" i="8" s="1"/>
  <c r="AI1125" i="8" a="1"/>
  <c r="AI1125" i="8" s="1"/>
  <c r="AH1125" i="8" a="1"/>
  <c r="AH1125" i="8" s="1"/>
  <c r="AG1125" i="8" a="1"/>
  <c r="AG1125" i="8" s="1"/>
  <c r="AI1097" i="8" a="1"/>
  <c r="AI1097" i="8" s="1"/>
  <c r="AG1097" i="8" a="1"/>
  <c r="AG1097" i="8" s="1"/>
  <c r="AH1041" i="8" a="1"/>
  <c r="AH1041" i="8" s="1"/>
  <c r="AG1041" i="8" a="1"/>
  <c r="AG1041" i="8" s="1"/>
  <c r="AH1013" i="8" a="1"/>
  <c r="AH1013" i="8" s="1"/>
  <c r="AI1013" i="8" a="1"/>
  <c r="AI1013" i="8" s="1"/>
  <c r="AG1013" i="8" a="1"/>
  <c r="AG1013" i="8" s="1"/>
  <c r="AI957" i="8" a="1"/>
  <c r="AI957" i="8" s="1"/>
  <c r="AG957" i="8" a="1"/>
  <c r="AG957" i="8" s="1"/>
  <c r="AG901" i="8" a="1"/>
  <c r="AG901" i="8" s="1"/>
  <c r="AH901" i="8" a="1"/>
  <c r="AH901" i="8" s="1"/>
  <c r="AG873" i="8" a="1"/>
  <c r="AG873" i="8" s="1"/>
  <c r="AH873" i="8" a="1"/>
  <c r="AH873" i="8" s="1"/>
  <c r="AH761" i="8" a="1"/>
  <c r="AH761" i="8" s="1"/>
  <c r="AG761" i="8" a="1"/>
  <c r="AG761" i="8" s="1"/>
  <c r="AI733" i="8" a="1"/>
  <c r="AI733" i="8" s="1"/>
  <c r="AH733" i="8" a="1"/>
  <c r="AH733" i="8" s="1"/>
  <c r="AG733" i="8" a="1"/>
  <c r="AG733" i="8" s="1"/>
  <c r="AI705" i="8" a="1"/>
  <c r="AI705" i="8" s="1"/>
  <c r="AH705" i="8" a="1"/>
  <c r="AH705" i="8" s="1"/>
  <c r="AG705" i="8" a="1"/>
  <c r="AG705" i="8" s="1"/>
  <c r="AI523" i="8" a="1"/>
  <c r="AI523" i="8" s="1"/>
  <c r="AH523" i="8" a="1"/>
  <c r="AH523" i="8" s="1"/>
  <c r="AG509" i="8" a="1"/>
  <c r="AG509" i="8" s="1"/>
  <c r="AI509" i="8" a="1"/>
  <c r="AI509" i="8" s="1"/>
  <c r="AH509" i="8" a="1"/>
  <c r="AH509" i="8" s="1"/>
  <c r="AI495" i="8" a="1"/>
  <c r="AI495" i="8" s="1"/>
  <c r="AI369" i="8" a="1"/>
  <c r="AI369" i="8" s="1"/>
  <c r="AH369" i="8" a="1"/>
  <c r="AH369" i="8" s="1"/>
  <c r="AG369" i="8" a="1"/>
  <c r="AG369" i="8" s="1"/>
  <c r="AI355" i="8" a="1"/>
  <c r="AI355" i="8" s="1"/>
  <c r="AH355" i="8" a="1"/>
  <c r="AH355" i="8" s="1"/>
  <c r="AI299" i="8" a="1"/>
  <c r="AI299" i="8" s="1"/>
  <c r="AH299" i="8" a="1"/>
  <c r="AH299" i="8" s="1"/>
  <c r="AG299" i="8" a="1"/>
  <c r="AG299" i="8" s="1"/>
  <c r="AI285" i="8" a="1"/>
  <c r="AI285" i="8" s="1"/>
  <c r="AG285" i="8" a="1"/>
  <c r="AG285" i="8" s="1"/>
  <c r="AG187" i="8" a="1"/>
  <c r="AG187" i="8" s="1"/>
  <c r="AH341" i="8" a="1"/>
  <c r="AH341" i="8" s="1"/>
  <c r="AH481" i="8" a="1"/>
  <c r="AH481" i="8" s="1"/>
  <c r="AG663" i="8" a="1"/>
  <c r="AG663" i="8" s="1"/>
  <c r="AH1027" i="8" a="1"/>
  <c r="AH1027" i="8" s="1"/>
  <c r="AG243" i="8" a="1"/>
  <c r="AG243" i="8" s="1"/>
  <c r="AH663" i="8" a="1"/>
  <c r="AH663" i="8" s="1"/>
  <c r="AI187" i="8" a="1"/>
  <c r="AI187" i="8" s="1"/>
  <c r="AH243" i="8" a="1"/>
  <c r="AH243" i="8" s="1"/>
  <c r="AG355" i="8" a="1"/>
  <c r="AG355" i="8" s="1"/>
  <c r="AG333" i="8" a="1"/>
  <c r="AG333" i="8" s="1"/>
  <c r="AH1040" i="8" a="1"/>
  <c r="AH1040" i="8" s="1"/>
  <c r="AI45" i="8" a="1"/>
  <c r="AI45" i="8" s="1"/>
  <c r="AF39" i="8" a="1"/>
  <c r="AF39" i="8" s="1"/>
  <c r="AI39" i="8" a="1"/>
  <c r="AI39" i="8" s="1"/>
  <c r="AH39" i="8" a="1"/>
  <c r="AH39" i="8" s="1"/>
  <c r="AF46" i="8" a="1"/>
  <c r="AF46" i="8" s="1"/>
  <c r="AI46" i="8" a="1"/>
  <c r="AI46" i="8" s="1"/>
  <c r="AH46" i="8" a="1"/>
  <c r="AH46" i="8" s="1"/>
  <c r="AH60" i="8" a="1"/>
  <c r="AH60" i="8" s="1"/>
  <c r="AG60" i="8" a="1"/>
  <c r="AG60" i="8" s="1"/>
  <c r="AF60" i="8" a="1"/>
  <c r="AF60" i="8" s="1"/>
  <c r="AG67" i="8" a="1"/>
  <c r="AG67" i="8" s="1"/>
  <c r="AI67" i="8" a="1"/>
  <c r="AI67" i="8" s="1"/>
  <c r="AF74" i="8" a="1"/>
  <c r="AF74" i="8" s="1"/>
  <c r="AI74" i="8" a="1"/>
  <c r="AI74" i="8" s="1"/>
  <c r="AG74" i="8" a="1"/>
  <c r="AG74" i="8" s="1"/>
  <c r="AH81" i="8" a="1"/>
  <c r="AH81" i="8" s="1"/>
  <c r="AI81" i="8" a="1"/>
  <c r="AI81" i="8" s="1"/>
  <c r="AG81" i="8" a="1"/>
  <c r="AG81" i="8" s="1"/>
  <c r="AH95" i="8" a="1"/>
  <c r="AH95" i="8" s="1"/>
  <c r="AI95" i="8" a="1"/>
  <c r="AI95" i="8" s="1"/>
  <c r="AF102" i="8" a="1"/>
  <c r="AF102" i="8" s="1"/>
  <c r="AH102" i="8" a="1"/>
  <c r="AH102" i="8" s="1"/>
  <c r="AH109" i="8" a="1"/>
  <c r="AH109" i="8" s="1"/>
  <c r="AI109" i="8" a="1"/>
  <c r="AI109" i="8" s="1"/>
  <c r="AH116" i="8" a="1"/>
  <c r="AH116" i="8" s="1"/>
  <c r="AI116" i="8" a="1"/>
  <c r="AI116" i="8" s="1"/>
  <c r="AH123" i="8" a="1"/>
  <c r="AH123" i="8" s="1"/>
  <c r="AG123" i="8" a="1"/>
  <c r="AG123" i="8" s="1"/>
  <c r="AI123" i="8" a="1"/>
  <c r="AI123" i="8" s="1"/>
  <c r="AG130" i="8" a="1"/>
  <c r="AG130" i="8" s="1"/>
  <c r="AI130" i="8" a="1"/>
  <c r="AI130" i="8" s="1"/>
  <c r="AH130" i="8" a="1"/>
  <c r="AH130" i="8" s="1"/>
  <c r="AH49" i="8" a="1"/>
  <c r="AH49" i="8" s="1"/>
  <c r="AG8" i="8" a="1"/>
  <c r="AG8" i="8" s="1"/>
  <c r="AI8" i="8" a="1"/>
  <c r="AI8" i="8" s="1"/>
  <c r="AH8" i="8" a="1"/>
  <c r="AH8" i="8" s="1"/>
  <c r="AF8" i="8" a="1"/>
  <c r="AF8" i="8" s="1"/>
  <c r="AI15" i="8" a="1"/>
  <c r="AI15" i="8" s="1"/>
  <c r="AG15" i="8" a="1"/>
  <c r="AG15" i="8" s="1"/>
  <c r="AH22" i="8" a="1"/>
  <c r="AH22" i="8" s="1"/>
  <c r="AG22" i="8" a="1"/>
  <c r="AG22" i="8" s="1"/>
  <c r="AG29" i="8" a="1"/>
  <c r="AG29" i="8" s="1"/>
  <c r="AH29" i="8" a="1"/>
  <c r="AH29" i="8" s="1"/>
  <c r="AI29" i="8" a="1"/>
  <c r="AI29" i="8" s="1"/>
  <c r="AF29" i="8" a="1"/>
  <c r="AF29" i="8" s="1"/>
  <c r="AG66" i="8" a="1"/>
  <c r="AG66" i="8" s="1"/>
  <c r="AH151" i="8" a="1"/>
  <c r="AH151" i="8" s="1"/>
  <c r="AG99" i="8" a="1"/>
  <c r="AG99" i="8" s="1"/>
  <c r="AI99" i="8" a="1"/>
  <c r="AI99" i="8" s="1"/>
  <c r="AF99" i="8" a="1"/>
  <c r="AF99" i="8" s="1"/>
  <c r="AH134" i="8" a="1"/>
  <c r="AH134" i="8" s="1"/>
  <c r="AI134" i="8" a="1"/>
  <c r="AI134" i="8" s="1"/>
  <c r="AG134" i="8" a="1"/>
  <c r="AG134" i="8" s="1"/>
  <c r="AI54" i="8" a="1"/>
  <c r="AI54" i="8" s="1"/>
  <c r="AH54" i="8" a="1"/>
  <c r="AH54" i="8" s="1"/>
  <c r="AG54" i="8" a="1"/>
  <c r="AG54" i="8" s="1"/>
  <c r="AG68" i="8" a="1"/>
  <c r="AG68" i="8" s="1"/>
  <c r="AI68" i="8" a="1"/>
  <c r="AI68" i="8" s="1"/>
  <c r="AG96" i="8" a="1"/>
  <c r="AG96" i="8" s="1"/>
  <c r="AH96" i="8" a="1"/>
  <c r="AH96" i="8" s="1"/>
  <c r="AI70" i="8" a="1"/>
  <c r="AI70" i="8" s="1"/>
  <c r="AG50" i="8" a="1"/>
  <c r="AG50" i="8" s="1"/>
  <c r="AI50" i="8" a="1"/>
  <c r="AI50" i="8" s="1"/>
  <c r="AH50" i="8" a="1"/>
  <c r="AH50" i="8" s="1"/>
  <c r="AI92" i="8" a="1"/>
  <c r="AI92" i="8" s="1"/>
  <c r="AG92" i="8" a="1"/>
  <c r="AG92" i="8" s="1"/>
  <c r="AI19" i="8" a="1"/>
  <c r="AI19" i="8" s="1"/>
  <c r="AF19" i="8" a="1"/>
  <c r="AF19" i="8" s="1"/>
  <c r="AI9" i="8" a="1"/>
  <c r="AI9" i="8" s="1"/>
  <c r="AH9" i="8" a="1"/>
  <c r="AH9" i="8" s="1"/>
  <c r="AF9" i="8" a="1"/>
  <c r="AF9" i="8" s="1"/>
  <c r="AH16" i="8" a="1"/>
  <c r="AH16" i="8" s="1"/>
  <c r="AI16" i="8" a="1"/>
  <c r="AI16" i="8" s="1"/>
  <c r="AF16" i="8" a="1"/>
  <c r="AF16" i="8" s="1"/>
  <c r="AG23" i="8" a="1"/>
  <c r="AG23" i="8" s="1"/>
  <c r="AH23" i="8" a="1"/>
  <c r="AH23" i="8" s="1"/>
  <c r="AI30" i="8" a="1"/>
  <c r="AI30" i="8" s="1"/>
  <c r="AH30" i="8" a="1"/>
  <c r="AH30" i="8" s="1"/>
  <c r="AH138" i="8" a="1"/>
  <c r="AH138" i="8" s="1"/>
  <c r="AG138" i="8" a="1"/>
  <c r="AG138" i="8" s="1"/>
  <c r="AG145" i="8" a="1"/>
  <c r="AG145" i="8" s="1"/>
  <c r="AI145" i="8" a="1"/>
  <c r="AI145" i="8" s="1"/>
  <c r="AG88" i="8" a="1"/>
  <c r="AG88" i="8" s="1"/>
  <c r="AI127" i="8" a="1"/>
  <c r="AI127" i="8" s="1"/>
  <c r="AH127" i="8" a="1"/>
  <c r="AH127" i="8" s="1"/>
  <c r="AG127" i="8" a="1"/>
  <c r="AG127" i="8" s="1"/>
  <c r="AF127" i="8" a="1"/>
  <c r="AF127" i="8" s="1"/>
  <c r="AI33" i="8" a="1"/>
  <c r="AI33" i="8" s="1"/>
  <c r="AH33" i="8" a="1"/>
  <c r="AH33" i="8" s="1"/>
  <c r="AG33" i="8" a="1"/>
  <c r="AG33" i="8" s="1"/>
  <c r="AH141" i="8" a="1"/>
  <c r="AH141" i="8" s="1"/>
  <c r="AG141" i="8" a="1"/>
  <c r="AG141" i="8" s="1"/>
  <c r="AI37" i="8" a="1"/>
  <c r="AI37" i="8" s="1"/>
  <c r="AG37" i="8" a="1"/>
  <c r="AG37" i="8" s="1"/>
  <c r="AH51" i="8" a="1"/>
  <c r="AH51" i="8" s="1"/>
  <c r="AG51" i="8" a="1"/>
  <c r="AG51" i="8" s="1"/>
  <c r="AI58" i="8" a="1"/>
  <c r="AI58" i="8" s="1"/>
  <c r="AG58" i="8" a="1"/>
  <c r="AG58" i="8" s="1"/>
  <c r="AH65" i="8" a="1"/>
  <c r="AH65" i="8" s="1"/>
  <c r="AG65" i="8" a="1"/>
  <c r="AG65" i="8" s="1"/>
  <c r="AH72" i="8" a="1"/>
  <c r="AH72" i="8" s="1"/>
  <c r="AG72" i="8" a="1"/>
  <c r="AG72" i="8" s="1"/>
  <c r="AI86" i="8" a="1"/>
  <c r="AI86" i="8" s="1"/>
  <c r="AG86" i="8" a="1"/>
  <c r="AG86" i="8" s="1"/>
  <c r="AI93" i="8" a="1"/>
  <c r="AI93" i="8" s="1"/>
  <c r="AG93" i="8" a="1"/>
  <c r="AG93" i="8" s="1"/>
  <c r="AG100" i="8" a="1"/>
  <c r="AG100" i="8" s="1"/>
  <c r="AI100" i="8" a="1"/>
  <c r="AI100" i="8" s="1"/>
  <c r="AH107" i="8" a="1"/>
  <c r="AH107" i="8" s="1"/>
  <c r="AI107" i="8" a="1"/>
  <c r="AI107" i="8" s="1"/>
  <c r="AI114" i="8" a="1"/>
  <c r="AI114" i="8" s="1"/>
  <c r="AH114" i="8" a="1"/>
  <c r="AH114" i="8" s="1"/>
  <c r="AG114" i="8" a="1"/>
  <c r="AG114" i="8" s="1"/>
  <c r="AG135" i="8" a="1"/>
  <c r="AG135" i="8" s="1"/>
  <c r="AH135" i="8" a="1"/>
  <c r="AH135" i="8" s="1"/>
  <c r="AH92" i="8" a="1"/>
  <c r="AH92" i="8" s="1"/>
  <c r="AI22" i="8" a="1"/>
  <c r="AI22" i="8" s="1"/>
  <c r="AF100" i="8" a="1"/>
  <c r="AF100" i="8" s="1"/>
  <c r="AF36" i="8" a="1"/>
  <c r="AF36" i="8" s="1"/>
  <c r="AH36" i="8" a="1"/>
  <c r="AH36" i="8" s="1"/>
  <c r="AG36" i="8" a="1"/>
  <c r="AG36" i="8" s="1"/>
  <c r="AI36" i="8" a="1"/>
  <c r="AI36" i="8" s="1"/>
  <c r="AG78" i="8" a="1"/>
  <c r="AG78" i="8" s="1"/>
  <c r="AI78" i="8" a="1"/>
  <c r="AI78" i="8" s="1"/>
  <c r="AF78" i="8" a="1"/>
  <c r="AF78" i="8" s="1"/>
  <c r="AH113" i="8" a="1"/>
  <c r="AH113" i="8" s="1"/>
  <c r="AI113" i="8" a="1"/>
  <c r="AI113" i="8" s="1"/>
  <c r="AF41" i="8" a="1"/>
  <c r="AF41" i="8" s="1"/>
  <c r="AG41" i="8" a="1"/>
  <c r="AG41" i="8" s="1"/>
  <c r="AF48" i="8" a="1"/>
  <c r="AF48" i="8" s="1"/>
  <c r="AI48" i="8" a="1"/>
  <c r="AI48" i="8" s="1"/>
  <c r="AH55" i="8" a="1"/>
  <c r="AH55" i="8" s="1"/>
  <c r="AG55" i="8" a="1"/>
  <c r="AG55" i="8" s="1"/>
  <c r="AG76" i="8" a="1"/>
  <c r="AG76" i="8" s="1"/>
  <c r="AF76" i="8" a="1"/>
  <c r="AF76" i="8" s="1"/>
  <c r="AI83" i="8" a="1"/>
  <c r="AI83" i="8" s="1"/>
  <c r="AH83" i="8" a="1"/>
  <c r="AH83" i="8" s="1"/>
  <c r="AH104" i="8" a="1"/>
  <c r="AH104" i="8" s="1"/>
  <c r="AI104" i="8" a="1"/>
  <c r="AI104" i="8" s="1"/>
  <c r="AG104" i="8" a="1"/>
  <c r="AG104" i="8" s="1"/>
  <c r="AH125" i="8" a="1"/>
  <c r="AH125" i="8" s="1"/>
  <c r="AI125" i="8" a="1"/>
  <c r="AI125" i="8" s="1"/>
  <c r="AG132" i="8" a="1"/>
  <c r="AG132" i="8" s="1"/>
  <c r="AH132" i="8" a="1"/>
  <c r="AH132" i="8" s="1"/>
  <c r="AI23" i="8" a="1"/>
  <c r="AI23" i="8" s="1"/>
  <c r="AH100" i="8" a="1"/>
  <c r="AH100" i="8" s="1"/>
  <c r="AI11" i="8" a="1"/>
  <c r="AI11" i="8" s="1"/>
  <c r="AG11" i="8" a="1"/>
  <c r="AG11" i="8" s="1"/>
  <c r="AH43" i="8" a="1"/>
  <c r="AH43" i="8" s="1"/>
  <c r="AG43" i="8" a="1"/>
  <c r="AG43" i="8" s="1"/>
  <c r="AF43" i="8" a="1"/>
  <c r="AF43" i="8" s="1"/>
  <c r="AH64" i="8" a="1"/>
  <c r="AH64" i="8" s="1"/>
  <c r="AG64" i="8" a="1"/>
  <c r="AG64" i="8" s="1"/>
  <c r="AI64" i="8" a="1"/>
  <c r="AI64" i="8" s="1"/>
  <c r="AI12" i="8" a="1"/>
  <c r="AI12" i="8" s="1"/>
  <c r="AG12" i="8" a="1"/>
  <c r="AG12" i="8" s="1"/>
  <c r="AG26" i="8" a="1"/>
  <c r="AG26" i="8" s="1"/>
  <c r="AI26" i="8" a="1"/>
  <c r="AI26" i="8" s="1"/>
  <c r="AF148" i="8" a="1"/>
  <c r="AF148" i="8" s="1"/>
  <c r="AI148" i="8" a="1"/>
  <c r="AI148" i="8" s="1"/>
  <c r="AF26" i="8" a="1"/>
  <c r="AF26" i="8" s="1"/>
  <c r="AH26" i="8" a="1"/>
  <c r="AH26" i="8" s="1"/>
  <c r="AH1157" i="8" a="1"/>
  <c r="AH1157" i="8" s="1"/>
  <c r="AG1157" i="8" a="1"/>
  <c r="AG1157" i="8" s="1"/>
  <c r="AI87" i="8" a="1"/>
  <c r="AI87" i="8" s="1"/>
  <c r="AG87" i="8" a="1"/>
  <c r="AG87" i="8" s="1"/>
  <c r="AH129" i="8" a="1"/>
  <c r="AH129" i="8" s="1"/>
  <c r="AG129" i="8" a="1"/>
  <c r="AG129" i="8" s="1"/>
  <c r="AI14" i="8" a="1"/>
  <c r="AI14" i="8" s="1"/>
  <c r="AG14" i="8" a="1"/>
  <c r="AG14" i="8" s="1"/>
  <c r="AG35" i="8" a="1"/>
  <c r="AG35" i="8" s="1"/>
  <c r="AH35" i="8" a="1"/>
  <c r="AH35" i="8" s="1"/>
  <c r="AH136" i="8" a="1"/>
  <c r="AH136" i="8" s="1"/>
  <c r="AI136" i="8" a="1"/>
  <c r="AI136" i="8" s="1"/>
  <c r="AG143" i="8" a="1"/>
  <c r="AG143" i="8" s="1"/>
  <c r="AF143" i="8" a="1"/>
  <c r="AF143" i="8" s="1"/>
  <c r="AG42" i="8" a="1"/>
  <c r="AG42" i="8" s="1"/>
  <c r="AH121" i="8" a="1"/>
  <c r="AH121" i="8" s="1"/>
  <c r="AG38" i="8" a="1"/>
  <c r="AG38" i="8" s="1"/>
  <c r="AI38" i="8" a="1"/>
  <c r="AI38" i="8" s="1"/>
  <c r="AH52" i="8" a="1"/>
  <c r="AH52" i="8" s="1"/>
  <c r="AI52" i="8" a="1"/>
  <c r="AI52" i="8" s="1"/>
  <c r="AH59" i="8" a="1"/>
  <c r="AH59" i="8" s="1"/>
  <c r="AG59" i="8" a="1"/>
  <c r="AG59" i="8" s="1"/>
  <c r="AI73" i="8" a="1"/>
  <c r="AI73" i="8" s="1"/>
  <c r="AF73" i="8" a="1"/>
  <c r="AF73" i="8" s="1"/>
  <c r="AH73" i="8" a="1"/>
  <c r="AH73" i="8" s="1"/>
  <c r="AI80" i="8" a="1"/>
  <c r="AI80" i="8" s="1"/>
  <c r="AG80" i="8" a="1"/>
  <c r="AG80" i="8" s="1"/>
  <c r="AH108" i="8" a="1"/>
  <c r="AH108" i="8" s="1"/>
  <c r="AI108" i="8" a="1"/>
  <c r="AI108" i="8" s="1"/>
  <c r="AH56" i="8" a="1"/>
  <c r="AH56" i="8" s="1"/>
  <c r="AG56" i="8" a="1"/>
  <c r="AG56" i="8" s="1"/>
  <c r="AH77" i="8" a="1"/>
  <c r="AH77" i="8" s="1"/>
  <c r="AI77" i="8" a="1"/>
  <c r="AI77" i="8" s="1"/>
  <c r="AF77" i="8" a="1"/>
  <c r="AF77" i="8" s="1"/>
  <c r="AI105" i="8" a="1"/>
  <c r="AI105" i="8" s="1"/>
  <c r="AH105" i="8" a="1"/>
  <c r="AH105" i="8" s="1"/>
  <c r="AH112" i="8" a="1"/>
  <c r="AH112" i="8" s="1"/>
  <c r="AG112" i="8" a="1"/>
  <c r="AG112" i="8" s="1"/>
  <c r="AI119" i="8" a="1"/>
  <c r="AI119" i="8" s="1"/>
  <c r="AG119" i="8" a="1"/>
  <c r="AG119" i="8" s="1"/>
  <c r="AH133" i="8" a="1"/>
  <c r="AH133" i="8" s="1"/>
  <c r="AG133" i="8" a="1"/>
  <c r="AG133" i="8" s="1"/>
  <c r="AI43" i="8" a="1"/>
  <c r="AI43" i="8" s="1"/>
  <c r="AH122" i="8" a="1"/>
  <c r="AH122" i="8" s="1"/>
  <c r="AH1049" i="8" a="1"/>
  <c r="AH1049" i="8" s="1"/>
  <c r="AG1049" i="8" a="1"/>
  <c r="AG1049" i="8" s="1"/>
  <c r="AH587" i="8" a="1"/>
  <c r="AH587" i="8" s="1"/>
  <c r="AG587" i="8" a="1"/>
  <c r="AG587" i="8" s="1"/>
  <c r="AI754" i="8" a="1"/>
  <c r="AI754" i="8" s="1"/>
  <c r="AG754" i="8" a="1"/>
  <c r="AG754" i="8" s="1"/>
  <c r="AI656" i="8" a="1"/>
  <c r="AI656" i="8" s="1"/>
  <c r="AG656" i="8" a="1"/>
  <c r="AG656" i="8" s="1"/>
  <c r="AI502" i="8" a="1"/>
  <c r="AI502" i="8" s="1"/>
  <c r="AG502" i="8" a="1"/>
  <c r="AG502" i="8" s="1"/>
  <c r="AF488" i="8" a="1"/>
  <c r="AF488" i="8" s="1"/>
  <c r="AG488" i="8" a="1"/>
  <c r="AG488" i="8" s="1"/>
  <c r="AI488" i="8" a="1"/>
  <c r="AI488" i="8" s="1"/>
  <c r="AG1103" i="8" a="1"/>
  <c r="AG1103" i="8" s="1"/>
  <c r="AH1103" i="8" a="1"/>
  <c r="AH1103" i="8" s="1"/>
  <c r="AI935" i="8" a="1"/>
  <c r="AI935" i="8" s="1"/>
  <c r="AH935" i="8" a="1"/>
  <c r="AH935" i="8" s="1"/>
  <c r="AG935" i="8" a="1"/>
  <c r="AG935" i="8" s="1"/>
  <c r="AI739" i="8" a="1"/>
  <c r="AI739" i="8" s="1"/>
  <c r="AG739" i="8" a="1"/>
  <c r="AG739" i="8" s="1"/>
  <c r="AF641" i="8" a="1"/>
  <c r="AF641" i="8" s="1"/>
  <c r="AH641" i="8" a="1"/>
  <c r="AH641" i="8" s="1"/>
  <c r="AG641" i="8" a="1"/>
  <c r="AG641" i="8" s="1"/>
  <c r="AI529" i="8" a="1"/>
  <c r="AI529" i="8" s="1"/>
  <c r="AH529" i="8" a="1"/>
  <c r="AH529" i="8" s="1"/>
  <c r="AG501" i="8" a="1"/>
  <c r="AG501" i="8" s="1"/>
  <c r="AI501" i="8" a="1"/>
  <c r="AI501" i="8" s="1"/>
  <c r="AH501" i="8" a="1"/>
  <c r="AH501" i="8" s="1"/>
  <c r="AH345" i="8" a="1"/>
  <c r="AH345" i="8" s="1"/>
  <c r="AG765" i="8" a="1"/>
  <c r="AG765" i="8" s="1"/>
  <c r="AF618" i="8" a="1"/>
  <c r="AF618" i="8" s="1"/>
  <c r="AH618" i="8" a="1"/>
  <c r="AH618" i="8" s="1"/>
  <c r="AF562" i="8" a="1"/>
  <c r="AF562" i="8" s="1"/>
  <c r="AH562" i="8" a="1"/>
  <c r="AH562" i="8" s="1"/>
  <c r="AH548" i="8" a="1"/>
  <c r="AH548" i="8" s="1"/>
  <c r="AH478" i="8" a="1"/>
  <c r="AH478" i="8" s="1"/>
  <c r="AF380" i="8" a="1"/>
  <c r="AF380" i="8" s="1"/>
  <c r="AH380" i="8" a="1"/>
  <c r="AH380" i="8" s="1"/>
  <c r="AG254" i="8" a="1"/>
  <c r="AG254" i="8" s="1"/>
  <c r="AI254" i="8" a="1"/>
  <c r="AI254" i="8" s="1"/>
  <c r="AF226" i="8" a="1"/>
  <c r="AF226" i="8" s="1"/>
  <c r="AH226" i="8" a="1"/>
  <c r="AH226" i="8" s="1"/>
  <c r="AH814" i="8" a="1"/>
  <c r="AH814" i="8" s="1"/>
  <c r="AI700" i="8" a="1"/>
  <c r="AI700" i="8" s="1"/>
  <c r="AG700" i="8" a="1"/>
  <c r="AG700" i="8" s="1"/>
  <c r="AH263" i="8" a="1"/>
  <c r="AH263" i="8" s="1"/>
  <c r="AI433" i="8" a="1"/>
  <c r="AI433" i="8" s="1"/>
  <c r="AH10" i="8" a="1"/>
  <c r="AH10" i="8" s="1"/>
  <c r="AH25" i="8" a="1"/>
  <c r="AH25" i="8" s="1"/>
  <c r="AI89" i="8" a="1"/>
  <c r="AI89" i="8" s="1"/>
  <c r="AG140" i="8" a="1"/>
  <c r="AG140" i="8" s="1"/>
  <c r="AH7" i="8" a="1"/>
  <c r="AH7" i="8" s="1"/>
  <c r="AI10" i="8" a="1"/>
  <c r="AI10" i="8" s="1"/>
  <c r="AG16" i="8" a="1"/>
  <c r="AG16" i="8" s="1"/>
  <c r="AG19" i="8" a="1"/>
  <c r="AG19" i="8" s="1"/>
  <c r="AI25" i="8" a="1"/>
  <c r="AI25" i="8" s="1"/>
  <c r="AH28" i="8" a="1"/>
  <c r="AH28" i="8" s="1"/>
  <c r="AG32" i="8" a="1"/>
  <c r="AG32" i="8" s="1"/>
  <c r="AI35" i="8" a="1"/>
  <c r="AI35" i="8" s="1"/>
  <c r="AH38" i="8" a="1"/>
  <c r="AH38" i="8" s="1"/>
  <c r="AH41" i="8" a="1"/>
  <c r="AH41" i="8" s="1"/>
  <c r="AG45" i="8" a="1"/>
  <c r="AG45" i="8" s="1"/>
  <c r="AG53" i="8" a="1"/>
  <c r="AG53" i="8" s="1"/>
  <c r="AH58" i="8" a="1"/>
  <c r="AH58" i="8" s="1"/>
  <c r="AG63" i="8" a="1"/>
  <c r="AG63" i="8" s="1"/>
  <c r="AH68" i="8" a="1"/>
  <c r="AH68" i="8" s="1"/>
  <c r="AH76" i="8" a="1"/>
  <c r="AH76" i="8" s="1"/>
  <c r="AH80" i="8" a="1"/>
  <c r="AH80" i="8" s="1"/>
  <c r="AH90" i="8" a="1"/>
  <c r="AH90" i="8" s="1"/>
  <c r="AG95" i="8" a="1"/>
  <c r="AG95" i="8" s="1"/>
  <c r="AI102" i="8" a="1"/>
  <c r="AI102" i="8" s="1"/>
  <c r="AI112" i="8" a="1"/>
  <c r="AI112" i="8" s="1"/>
  <c r="AG117" i="8" a="1"/>
  <c r="AG117" i="8" s="1"/>
  <c r="AI132" i="8" a="1"/>
  <c r="AI132" i="8" s="1"/>
  <c r="AH140" i="8" a="1"/>
  <c r="AH140" i="8" s="1"/>
  <c r="AF145" i="8" a="1"/>
  <c r="AF145" i="8" s="1"/>
  <c r="AH154" i="8" a="1"/>
  <c r="AH154" i="8" s="1"/>
  <c r="AF592" i="8" a="1"/>
  <c r="AF592" i="8" s="1"/>
  <c r="AF605" i="8" a="1"/>
  <c r="AF605" i="8" s="1"/>
  <c r="AI661" i="8" a="1"/>
  <c r="AI661" i="8" s="1"/>
  <c r="AI746" i="8" a="1"/>
  <c r="AI746" i="8" s="1"/>
  <c r="AI829" i="8" a="1"/>
  <c r="AI829" i="8" s="1"/>
  <c r="AF954" i="8" a="1"/>
  <c r="AF954" i="8" s="1"/>
  <c r="AH103" i="8" a="1"/>
  <c r="AH103" i="8" s="1"/>
  <c r="AF103" i="8" a="1"/>
  <c r="AF103" i="8" s="1"/>
  <c r="AH13" i="8" a="1"/>
  <c r="AH13" i="8" s="1"/>
  <c r="AI72" i="8" a="1"/>
  <c r="AI72" i="8" s="1"/>
  <c r="AF72" i="8" a="1"/>
  <c r="AF72" i="8" s="1"/>
  <c r="AI79" i="8" a="1"/>
  <c r="AI79" i="8" s="1"/>
  <c r="AF79" i="8" a="1"/>
  <c r="AF79" i="8" s="1"/>
  <c r="AI7" i="8" a="1"/>
  <c r="AI7" i="8" s="1"/>
  <c r="AF11" i="8" a="1"/>
  <c r="AF11" i="8" s="1"/>
  <c r="AI13" i="8" a="1"/>
  <c r="AI13" i="8" s="1"/>
  <c r="AH19" i="8" a="1"/>
  <c r="AH19" i="8" s="1"/>
  <c r="AI28" i="8" a="1"/>
  <c r="AI28" i="8" s="1"/>
  <c r="AH32" i="8" a="1"/>
  <c r="AH32" i="8" s="1"/>
  <c r="AI41" i="8" a="1"/>
  <c r="AI41" i="8" s="1"/>
  <c r="AH45" i="8" a="1"/>
  <c r="AH45" i="8" s="1"/>
  <c r="AG49" i="8" a="1"/>
  <c r="AG49" i="8" s="1"/>
  <c r="AH53" i="8" a="1"/>
  <c r="AH53" i="8" s="1"/>
  <c r="AH63" i="8" a="1"/>
  <c r="AH63" i="8" s="1"/>
  <c r="AI76" i="8" a="1"/>
  <c r="AI76" i="8" s="1"/>
  <c r="AI90" i="8" a="1"/>
  <c r="AI90" i="8" s="1"/>
  <c r="AH99" i="8" a="1"/>
  <c r="AH99" i="8" s="1"/>
  <c r="AG103" i="8" a="1"/>
  <c r="AG103" i="8" s="1"/>
  <c r="AG108" i="8" a="1"/>
  <c r="AG108" i="8" s="1"/>
  <c r="AG113" i="8" a="1"/>
  <c r="AG113" i="8" s="1"/>
  <c r="AH117" i="8" a="1"/>
  <c r="AH117" i="8" s="1"/>
  <c r="AG122" i="8" a="1"/>
  <c r="AG122" i="8" s="1"/>
  <c r="AG126" i="8" a="1"/>
  <c r="AG126" i="8" s="1"/>
  <c r="AF133" i="8" a="1"/>
  <c r="AF133" i="8" s="1"/>
  <c r="AH137" i="8" a="1"/>
  <c r="AH137" i="8" s="1"/>
  <c r="AI140" i="8" a="1"/>
  <c r="AI140" i="8" s="1"/>
  <c r="AH145" i="8" a="1"/>
  <c r="AH145" i="8" s="1"/>
  <c r="AH149" i="8" a="1"/>
  <c r="AH149" i="8" s="1"/>
  <c r="AI154" i="8" a="1"/>
  <c r="AI154" i="8" s="1"/>
  <c r="AG592" i="8" a="1"/>
  <c r="AG592" i="8" s="1"/>
  <c r="AG605" i="8" a="1"/>
  <c r="AG605" i="8" s="1"/>
  <c r="AI662" i="8" a="1"/>
  <c r="AI662" i="8" s="1"/>
  <c r="AI718" i="8" a="1"/>
  <c r="AI718" i="8" s="1"/>
  <c r="AH801" i="8" a="1"/>
  <c r="AH801" i="8" s="1"/>
  <c r="AI1151" i="8" a="1"/>
  <c r="AI1151" i="8" s="1"/>
  <c r="AI149" i="8" a="1"/>
  <c r="AI149" i="8" s="1"/>
  <c r="AI62" i="8" a="1"/>
  <c r="AI62" i="8" s="1"/>
  <c r="AG62" i="8" a="1"/>
  <c r="AG62" i="8" s="1"/>
  <c r="AH69" i="8" a="1"/>
  <c r="AH69" i="8" s="1"/>
  <c r="AF69" i="8" a="1"/>
  <c r="AF69" i="8" s="1"/>
  <c r="AG97" i="8" a="1"/>
  <c r="AG97" i="8" s="1"/>
  <c r="AI97" i="8" a="1"/>
  <c r="AI97" i="8" s="1"/>
  <c r="AI111" i="8" a="1"/>
  <c r="AI111" i="8" s="1"/>
  <c r="AG111" i="8" a="1"/>
  <c r="AG111" i="8" s="1"/>
  <c r="AI118" i="8" a="1"/>
  <c r="AI118" i="8" s="1"/>
  <c r="AG118" i="8" a="1"/>
  <c r="AG118" i="8" s="1"/>
  <c r="AH11" i="8" a="1"/>
  <c r="AH11" i="8" s="1"/>
  <c r="AF14" i="8" a="1"/>
  <c r="AF14" i="8" s="1"/>
  <c r="AF17" i="8" a="1"/>
  <c r="AF17" i="8" s="1"/>
  <c r="AG39" i="8" a="1"/>
  <c r="AG39" i="8" s="1"/>
  <c r="AG46" i="8" a="1"/>
  <c r="AG46" i="8" s="1"/>
  <c r="AI49" i="8" a="1"/>
  <c r="AI49" i="8" s="1"/>
  <c r="AI59" i="8" a="1"/>
  <c r="AI59" i="8" s="1"/>
  <c r="AG69" i="8" a="1"/>
  <c r="AG69" i="8" s="1"/>
  <c r="AG73" i="8" a="1"/>
  <c r="AG73" i="8" s="1"/>
  <c r="AG77" i="8" a="1"/>
  <c r="AG77" i="8" s="1"/>
  <c r="AH86" i="8" a="1"/>
  <c r="AH86" i="8" s="1"/>
  <c r="AG109" i="8" a="1"/>
  <c r="AG109" i="8" s="1"/>
  <c r="AF130" i="8" a="1"/>
  <c r="AF130" i="8" s="1"/>
  <c r="AI133" i="8" a="1"/>
  <c r="AI133" i="8" s="1"/>
  <c r="AI137" i="8" a="1"/>
  <c r="AI137" i="8" s="1"/>
  <c r="AF146" i="8" a="1"/>
  <c r="AF146" i="8" s="1"/>
  <c r="AG522" i="8" a="1"/>
  <c r="AG522" i="8" s="1"/>
  <c r="AH676" i="8" a="1"/>
  <c r="AH676" i="8" s="1"/>
  <c r="AI802" i="8" a="1"/>
  <c r="AI802" i="8" s="1"/>
  <c r="AG998" i="8" a="1"/>
  <c r="AG998" i="8" s="1"/>
  <c r="AH1194" i="8" a="1"/>
  <c r="AH1194" i="8" s="1"/>
  <c r="AH142" i="8" a="1"/>
  <c r="AH142" i="8" s="1"/>
  <c r="AF142" i="8" a="1"/>
  <c r="AF142" i="8" s="1"/>
  <c r="AG17" i="8" a="1"/>
  <c r="AG17" i="8" s="1"/>
  <c r="AG1180" i="8" a="1"/>
  <c r="AG1180" i="8" s="1"/>
  <c r="AH1180" i="8" a="1"/>
  <c r="AH1180" i="8" s="1"/>
  <c r="AI1152" i="8" a="1"/>
  <c r="AI1152" i="8" s="1"/>
  <c r="AG1152" i="8" a="1"/>
  <c r="AG1152" i="8" s="1"/>
  <c r="AG1138" i="8" a="1"/>
  <c r="AG1138" i="8" s="1"/>
  <c r="AH1138" i="8" a="1"/>
  <c r="AH1138" i="8" s="1"/>
  <c r="AH1110" i="8" a="1"/>
  <c r="AH1110" i="8" s="1"/>
  <c r="AG1110" i="8" a="1"/>
  <c r="AG1110" i="8" s="1"/>
  <c r="AG1096" i="8" a="1"/>
  <c r="AG1096" i="8" s="1"/>
  <c r="AI1096" i="8" a="1"/>
  <c r="AI1096" i="8" s="1"/>
  <c r="AI1068" i="8" a="1"/>
  <c r="AI1068" i="8" s="1"/>
  <c r="AG1068" i="8" a="1"/>
  <c r="AG1068" i="8" s="1"/>
  <c r="AI956" i="8" a="1"/>
  <c r="AI956" i="8" s="1"/>
  <c r="AG956" i="8" a="1"/>
  <c r="AG956" i="8" s="1"/>
  <c r="AH942" i="8" a="1"/>
  <c r="AH942" i="8" s="1"/>
  <c r="AI942" i="8" a="1"/>
  <c r="AI942" i="8" s="1"/>
  <c r="AG942" i="8" a="1"/>
  <c r="AG942" i="8" s="1"/>
  <c r="AG928" i="8" a="1"/>
  <c r="AG928" i="8" s="1"/>
  <c r="AI928" i="8" a="1"/>
  <c r="AI928" i="8" s="1"/>
  <c r="AH928" i="8" a="1"/>
  <c r="AH928" i="8" s="1"/>
  <c r="AI900" i="8" a="1"/>
  <c r="AI900" i="8" s="1"/>
  <c r="AG900" i="8" a="1"/>
  <c r="AG900" i="8" s="1"/>
  <c r="AG886" i="8" a="1"/>
  <c r="AG886" i="8" s="1"/>
  <c r="AH886" i="8" a="1"/>
  <c r="AH886" i="8" s="1"/>
  <c r="AI858" i="8" a="1"/>
  <c r="AI858" i="8" s="1"/>
  <c r="AH858" i="8" a="1"/>
  <c r="AH858" i="8" s="1"/>
  <c r="AG858" i="8" a="1"/>
  <c r="AG858" i="8" s="1"/>
  <c r="AI830" i="8" a="1"/>
  <c r="AI830" i="8" s="1"/>
  <c r="AG830" i="8" a="1"/>
  <c r="AG830" i="8" s="1"/>
  <c r="AH816" i="8" a="1"/>
  <c r="AH816" i="8" s="1"/>
  <c r="AG774" i="8" a="1"/>
  <c r="AG774" i="8" s="1"/>
  <c r="AH774" i="8" a="1"/>
  <c r="AH774" i="8" s="1"/>
  <c r="AG760" i="8" a="1"/>
  <c r="AG760" i="8" s="1"/>
  <c r="AI760" i="8" a="1"/>
  <c r="AI760" i="8" s="1"/>
  <c r="AI704" i="8" a="1"/>
  <c r="AI704" i="8" s="1"/>
  <c r="AG704" i="8" a="1"/>
  <c r="AG704" i="8" s="1"/>
  <c r="AI690" i="8" a="1"/>
  <c r="AI690" i="8" s="1"/>
  <c r="AH690" i="8" a="1"/>
  <c r="AH690" i="8" s="1"/>
  <c r="AG690" i="8" a="1"/>
  <c r="AG690" i="8" s="1"/>
  <c r="AF634" i="8" a="1"/>
  <c r="AF634" i="8" s="1"/>
  <c r="AI634" i="8" a="1"/>
  <c r="AI634" i="8" s="1"/>
  <c r="AF620" i="8" a="1"/>
  <c r="AF620" i="8" s="1"/>
  <c r="AH620" i="8" a="1"/>
  <c r="AH620" i="8" s="1"/>
  <c r="AG620" i="8" a="1"/>
  <c r="AG620" i="8" s="1"/>
  <c r="AI606" i="8" a="1"/>
  <c r="AI606" i="8" s="1"/>
  <c r="AF606" i="8" a="1"/>
  <c r="AF606" i="8" s="1"/>
  <c r="AH578" i="8" a="1"/>
  <c r="AH578" i="8" s="1"/>
  <c r="AG578" i="8" a="1"/>
  <c r="AG578" i="8" s="1"/>
  <c r="AH536" i="8" a="1"/>
  <c r="AH536" i="8" s="1"/>
  <c r="AI536" i="8" a="1"/>
  <c r="AI536" i="8" s="1"/>
  <c r="AI494" i="8" a="1"/>
  <c r="AI494" i="8" s="1"/>
  <c r="AH466" i="8" a="1"/>
  <c r="AH466" i="8" s="1"/>
  <c r="AI466" i="8" a="1"/>
  <c r="AI466" i="8" s="1"/>
  <c r="AI129" i="8" a="1"/>
  <c r="AI129" i="8" s="1"/>
  <c r="AF129" i="8" a="1"/>
  <c r="AF129" i="8" s="1"/>
  <c r="AH14" i="8" a="1"/>
  <c r="AH14" i="8" s="1"/>
  <c r="AH17" i="8" a="1"/>
  <c r="AH17" i="8" s="1"/>
  <c r="AG20" i="8" a="1"/>
  <c r="AG20" i="8" s="1"/>
  <c r="AG82" i="8" a="1"/>
  <c r="AG82" i="8" s="1"/>
  <c r="AI96" i="8" a="1"/>
  <c r="AI96" i="8" s="1"/>
  <c r="AG142" i="8" a="1"/>
  <c r="AG142" i="8" s="1"/>
  <c r="AH146" i="8" a="1"/>
  <c r="AH146" i="8" s="1"/>
  <c r="AI816" i="8" a="1"/>
  <c r="AI816" i="8" s="1"/>
  <c r="AG1193" i="8" a="1"/>
  <c r="AG1193" i="8" s="1"/>
  <c r="AH1193" i="8" a="1"/>
  <c r="AH1193" i="8" s="1"/>
  <c r="AG1123" i="8" a="1"/>
  <c r="AG1123" i="8" s="1"/>
  <c r="AI1123" i="8" a="1"/>
  <c r="AI1123" i="8" s="1"/>
  <c r="AG1095" i="8" a="1"/>
  <c r="AG1095" i="8" s="1"/>
  <c r="AI1095" i="8" a="1"/>
  <c r="AI1095" i="8" s="1"/>
  <c r="AH1095" i="8" a="1"/>
  <c r="AH1095" i="8" s="1"/>
  <c r="AH1081" i="8" a="1"/>
  <c r="AH1081" i="8" s="1"/>
  <c r="AI1081" i="8" a="1"/>
  <c r="AI1081" i="8" s="1"/>
  <c r="AG1081" i="8" a="1"/>
  <c r="AG1081" i="8" s="1"/>
  <c r="AH1067" i="8" a="1"/>
  <c r="AH1067" i="8" s="1"/>
  <c r="AI1067" i="8" a="1"/>
  <c r="AI1067" i="8" s="1"/>
  <c r="AG1067" i="8" a="1"/>
  <c r="AG1067" i="8" s="1"/>
  <c r="AG1039" i="8" a="1"/>
  <c r="AG1039" i="8" s="1"/>
  <c r="AI1039" i="8" a="1"/>
  <c r="AI1039" i="8" s="1"/>
  <c r="AH1039" i="8" a="1"/>
  <c r="AH1039" i="8" s="1"/>
  <c r="AI1011" i="8" a="1"/>
  <c r="AI1011" i="8" s="1"/>
  <c r="AG1011" i="8" a="1"/>
  <c r="AG1011" i="8" s="1"/>
  <c r="AH997" i="8" a="1"/>
  <c r="AH997" i="8" s="1"/>
  <c r="AG997" i="8" a="1"/>
  <c r="AG997" i="8" s="1"/>
  <c r="AH983" i="8" a="1"/>
  <c r="AH983" i="8" s="1"/>
  <c r="AG983" i="8" a="1"/>
  <c r="AG983" i="8" s="1"/>
  <c r="AH969" i="8" a="1"/>
  <c r="AH969" i="8" s="1"/>
  <c r="AG969" i="8" a="1"/>
  <c r="AG969" i="8" s="1"/>
  <c r="AH955" i="8" a="1"/>
  <c r="AH955" i="8" s="1"/>
  <c r="AI955" i="8" a="1"/>
  <c r="AI955" i="8" s="1"/>
  <c r="AI927" i="8" a="1"/>
  <c r="AI927" i="8" s="1"/>
  <c r="AH927" i="8" a="1"/>
  <c r="AH927" i="8" s="1"/>
  <c r="AI913" i="8" a="1"/>
  <c r="AI913" i="8" s="1"/>
  <c r="AG913" i="8" a="1"/>
  <c r="AG913" i="8" s="1"/>
  <c r="AG857" i="8" a="1"/>
  <c r="AG857" i="8" s="1"/>
  <c r="AI857" i="8" a="1"/>
  <c r="AI857" i="8" s="1"/>
  <c r="AH857" i="8" a="1"/>
  <c r="AH857" i="8" s="1"/>
  <c r="AH815" i="8" a="1"/>
  <c r="AH815" i="8" s="1"/>
  <c r="AH787" i="8" a="1"/>
  <c r="AH787" i="8" s="1"/>
  <c r="AI787" i="8" a="1"/>
  <c r="AI787" i="8" s="1"/>
  <c r="AG787" i="8" a="1"/>
  <c r="AG787" i="8" s="1"/>
  <c r="AI773" i="8" a="1"/>
  <c r="AI773" i="8" s="1"/>
  <c r="AH773" i="8" a="1"/>
  <c r="AH773" i="8" s="1"/>
  <c r="AI759" i="8" a="1"/>
  <c r="AI759" i="8" s="1"/>
  <c r="AH759" i="8" a="1"/>
  <c r="AH759" i="8" s="1"/>
  <c r="AG745" i="8" a="1"/>
  <c r="AG745" i="8" s="1"/>
  <c r="AI745" i="8" a="1"/>
  <c r="AI745" i="8" s="1"/>
  <c r="AH731" i="8" a="1"/>
  <c r="AH731" i="8" s="1"/>
  <c r="AI731" i="8" a="1"/>
  <c r="AI731" i="8" s="1"/>
  <c r="AI703" i="8" a="1"/>
  <c r="AI703" i="8" s="1"/>
  <c r="AH703" i="8" a="1"/>
  <c r="AH703" i="8" s="1"/>
  <c r="AG703" i="8" a="1"/>
  <c r="AG703" i="8" s="1"/>
  <c r="AH647" i="8" a="1"/>
  <c r="AH647" i="8" s="1"/>
  <c r="AG647" i="8" a="1"/>
  <c r="AG647" i="8" s="1"/>
  <c r="AF633" i="8" a="1"/>
  <c r="AF633" i="8" s="1"/>
  <c r="AI633" i="8" a="1"/>
  <c r="AI633" i="8" s="1"/>
  <c r="AF619" i="8" a="1"/>
  <c r="AF619" i="8" s="1"/>
  <c r="AG619" i="8" a="1"/>
  <c r="AG619" i="8" s="1"/>
  <c r="AG591" i="8" a="1"/>
  <c r="AG591" i="8" s="1"/>
  <c r="AI591" i="8" a="1"/>
  <c r="AI591" i="8" s="1"/>
  <c r="AH591" i="8" a="1"/>
  <c r="AH591" i="8" s="1"/>
  <c r="AI549" i="8" a="1"/>
  <c r="AI549" i="8" s="1"/>
  <c r="AH549" i="8" a="1"/>
  <c r="AH549" i="8" s="1"/>
  <c r="AG549" i="8" a="1"/>
  <c r="AG549" i="8" s="1"/>
  <c r="AF40" i="8" a="1"/>
  <c r="AF40" i="8" s="1"/>
  <c r="AI82" i="8" a="1"/>
  <c r="AI82" i="8" s="1"/>
  <c r="AH87" i="8" a="1"/>
  <c r="AH87" i="8" s="1"/>
  <c r="AI142" i="8" a="1"/>
  <c r="AI142" i="8" s="1"/>
  <c r="AI146" i="8" a="1"/>
  <c r="AI146" i="8" s="1"/>
  <c r="AH1068" i="8" a="1"/>
  <c r="AH1068" i="8" s="1"/>
  <c r="AI1180" i="8" a="1"/>
  <c r="AI1180" i="8" s="1"/>
  <c r="AI1192" i="8" a="1"/>
  <c r="AI1192" i="8" s="1"/>
  <c r="AH1192" i="8" a="1"/>
  <c r="AH1192" i="8" s="1"/>
  <c r="AG1178" i="8" a="1"/>
  <c r="AG1178" i="8" s="1"/>
  <c r="AI1178" i="8" a="1"/>
  <c r="AI1178" i="8" s="1"/>
  <c r="AH1178" i="8" a="1"/>
  <c r="AH1178" i="8" s="1"/>
  <c r="AH1164" i="8" a="1"/>
  <c r="AH1164" i="8" s="1"/>
  <c r="AG1164" i="8" a="1"/>
  <c r="AG1164" i="8" s="1"/>
  <c r="AI1150" i="8" a="1"/>
  <c r="AI1150" i="8" s="1"/>
  <c r="AG1150" i="8" a="1"/>
  <c r="AG1150" i="8" s="1"/>
  <c r="AI1122" i="8" a="1"/>
  <c r="AI1122" i="8" s="1"/>
  <c r="AH1122" i="8" a="1"/>
  <c r="AH1122" i="8" s="1"/>
  <c r="AH1094" i="8" a="1"/>
  <c r="AH1094" i="8" s="1"/>
  <c r="AI1094" i="8" a="1"/>
  <c r="AI1094" i="8" s="1"/>
  <c r="AG1080" i="8" a="1"/>
  <c r="AG1080" i="8" s="1"/>
  <c r="AI1080" i="8" a="1"/>
  <c r="AI1080" i="8" s="1"/>
  <c r="AG1066" i="8" a="1"/>
  <c r="AG1066" i="8" s="1"/>
  <c r="AI1066" i="8" a="1"/>
  <c r="AI1066" i="8" s="1"/>
  <c r="AI1052" i="8" a="1"/>
  <c r="AI1052" i="8" s="1"/>
  <c r="AH1052" i="8" a="1"/>
  <c r="AH1052" i="8" s="1"/>
  <c r="AG1052" i="8" a="1"/>
  <c r="AG1052" i="8" s="1"/>
  <c r="AG1038" i="8" a="1"/>
  <c r="AG1038" i="8" s="1"/>
  <c r="AI1038" i="8" a="1"/>
  <c r="AI1038" i="8" s="1"/>
  <c r="AI1024" i="8" a="1"/>
  <c r="AI1024" i="8" s="1"/>
  <c r="AH1024" i="8" a="1"/>
  <c r="AH1024" i="8" s="1"/>
  <c r="AI1010" i="8" a="1"/>
  <c r="AI1010" i="8" s="1"/>
  <c r="AH1010" i="8" a="1"/>
  <c r="AH1010" i="8" s="1"/>
  <c r="AG996" i="8" a="1"/>
  <c r="AG996" i="8" s="1"/>
  <c r="AI996" i="8" a="1"/>
  <c r="AI996" i="8" s="1"/>
  <c r="AH982" i="8" a="1"/>
  <c r="AH982" i="8" s="1"/>
  <c r="AG982" i="8" a="1"/>
  <c r="AG982" i="8" s="1"/>
  <c r="AI968" i="8" a="1"/>
  <c r="AI968" i="8" s="1"/>
  <c r="AH968" i="8" a="1"/>
  <c r="AH968" i="8" s="1"/>
  <c r="AH954" i="8" a="1"/>
  <c r="AH954" i="8" s="1"/>
  <c r="AG954" i="8" a="1"/>
  <c r="AG954" i="8" s="1"/>
  <c r="AI926" i="8" a="1"/>
  <c r="AI926" i="8" s="1"/>
  <c r="AH926" i="8" a="1"/>
  <c r="AH926" i="8" s="1"/>
  <c r="AI912" i="8" a="1"/>
  <c r="AI912" i="8" s="1"/>
  <c r="AH912" i="8" a="1"/>
  <c r="AH912" i="8" s="1"/>
  <c r="AG912" i="8" a="1"/>
  <c r="AG912" i="8" s="1"/>
  <c r="AG898" i="8" a="1"/>
  <c r="AG898" i="8" s="1"/>
  <c r="AI898" i="8" a="1"/>
  <c r="AI898" i="8" s="1"/>
  <c r="AI884" i="8" a="1"/>
  <c r="AI884" i="8" s="1"/>
  <c r="AH884" i="8" a="1"/>
  <c r="AH884" i="8" s="1"/>
  <c r="AI870" i="8" a="1"/>
  <c r="AI870" i="8" s="1"/>
  <c r="AH870" i="8" a="1"/>
  <c r="AH870" i="8" s="1"/>
  <c r="AG870" i="8" a="1"/>
  <c r="AG870" i="8" s="1"/>
  <c r="AI856" i="8" a="1"/>
  <c r="AI856" i="8" s="1"/>
  <c r="AH856" i="8" a="1"/>
  <c r="AH856" i="8" s="1"/>
  <c r="AI842" i="8" a="1"/>
  <c r="AI842" i="8" s="1"/>
  <c r="AG842" i="8" a="1"/>
  <c r="AG842" i="8" s="1"/>
  <c r="AG814" i="8" a="1"/>
  <c r="AG814" i="8" s="1"/>
  <c r="AI800" i="8" a="1"/>
  <c r="AI800" i="8" s="1"/>
  <c r="AH800" i="8" a="1"/>
  <c r="AH800" i="8" s="1"/>
  <c r="AI786" i="8" a="1"/>
  <c r="AI786" i="8" s="1"/>
  <c r="AH786" i="8" a="1"/>
  <c r="AH786" i="8" s="1"/>
  <c r="AI772" i="8" a="1"/>
  <c r="AI772" i="8" s="1"/>
  <c r="AH772" i="8" a="1"/>
  <c r="AH772" i="8" s="1"/>
  <c r="AI758" i="8" a="1"/>
  <c r="AI758" i="8" s="1"/>
  <c r="AG758" i="8" a="1"/>
  <c r="AG758" i="8" s="1"/>
  <c r="AI716" i="8" a="1"/>
  <c r="AI716" i="8" s="1"/>
  <c r="AH716" i="8" a="1"/>
  <c r="AH716" i="8" s="1"/>
  <c r="AG716" i="8" a="1"/>
  <c r="AG716" i="8" s="1"/>
  <c r="AH150" i="8" a="1"/>
  <c r="AH150" i="8" s="1"/>
  <c r="AG150" i="8" a="1"/>
  <c r="AG150" i="8" s="1"/>
  <c r="AF42" i="8" a="1"/>
  <c r="AF42" i="8" s="1"/>
  <c r="AI42" i="8" a="1"/>
  <c r="AI42" i="8" s="1"/>
  <c r="AI91" i="8" a="1"/>
  <c r="AI91" i="8" s="1"/>
  <c r="AG91" i="8" a="1"/>
  <c r="AG91" i="8" s="1"/>
  <c r="AH126" i="8" a="1"/>
  <c r="AH126" i="8" s="1"/>
  <c r="AF126" i="8" a="1"/>
  <c r="AF126" i="8" s="1"/>
  <c r="AG9" i="8" a="1"/>
  <c r="AG9" i="8" s="1"/>
  <c r="AF12" i="8" a="1"/>
  <c r="AF12" i="8" s="1"/>
  <c r="AF15" i="8" a="1"/>
  <c r="AF15" i="8" s="1"/>
  <c r="AH20" i="8" a="1"/>
  <c r="AH20" i="8" s="1"/>
  <c r="AG24" i="8" a="1"/>
  <c r="AG24" i="8" s="1"/>
  <c r="AG27" i="8" a="1"/>
  <c r="AG27" i="8" s="1"/>
  <c r="AG30" i="8" a="1"/>
  <c r="AG30" i="8" s="1"/>
  <c r="AG34" i="8" a="1"/>
  <c r="AG34" i="8" s="1"/>
  <c r="AF37" i="8" a="1"/>
  <c r="AF37" i="8" s="1"/>
  <c r="AG40" i="8" a="1"/>
  <c r="AG40" i="8" s="1"/>
  <c r="AF47" i="8" a="1"/>
  <c r="AF47" i="8" s="1"/>
  <c r="AI55" i="8" a="1"/>
  <c r="AI55" i="8" s="1"/>
  <c r="AI60" i="8" a="1"/>
  <c r="AI60" i="8" s="1"/>
  <c r="AI65" i="8" a="1"/>
  <c r="AI65" i="8" s="1"/>
  <c r="AG70" i="8" a="1"/>
  <c r="AG70" i="8" s="1"/>
  <c r="AH74" i="8" a="1"/>
  <c r="AH74" i="8" s="1"/>
  <c r="AH78" i="8" a="1"/>
  <c r="AH78" i="8" s="1"/>
  <c r="AG83" i="8" a="1"/>
  <c r="AG83" i="8" s="1"/>
  <c r="AH97" i="8" a="1"/>
  <c r="AH97" i="8" s="1"/>
  <c r="AG101" i="8" a="1"/>
  <c r="AG101" i="8" s="1"/>
  <c r="AG105" i="8" a="1"/>
  <c r="AG105" i="8" s="1"/>
  <c r="AH110" i="8" a="1"/>
  <c r="AH110" i="8" s="1"/>
  <c r="AG124" i="8" a="1"/>
  <c r="AG124" i="8" s="1"/>
  <c r="AF131" i="8" a="1"/>
  <c r="AF131" i="8" s="1"/>
  <c r="AI138" i="8" a="1"/>
  <c r="AI138" i="8" s="1"/>
  <c r="AI151" i="8" a="1"/>
  <c r="AI151" i="8" s="1"/>
  <c r="AH941" i="8" a="1"/>
  <c r="AH941" i="8" s="1"/>
  <c r="AI983" i="8" a="1"/>
  <c r="AI983" i="8" s="1"/>
  <c r="AI1138" i="8" a="1"/>
  <c r="AI1138" i="8" s="1"/>
  <c r="AF20" i="8" a="1"/>
  <c r="AF20" i="8" s="1"/>
  <c r="AH12" i="8" a="1"/>
  <c r="AH12" i="8" s="1"/>
  <c r="AH15" i="8" a="1"/>
  <c r="AH15" i="8" s="1"/>
  <c r="AF18" i="8" a="1"/>
  <c r="AF18" i="8" s="1"/>
  <c r="AF21" i="8" a="1"/>
  <c r="AF21" i="8" s="1"/>
  <c r="AH24" i="8" a="1"/>
  <c r="AH24" i="8" s="1"/>
  <c r="AI27" i="8" a="1"/>
  <c r="AI27" i="8" s="1"/>
  <c r="AH34" i="8" a="1"/>
  <c r="AH34" i="8" s="1"/>
  <c r="AH37" i="8" a="1"/>
  <c r="AH37" i="8" s="1"/>
  <c r="AH40" i="8" a="1"/>
  <c r="AH40" i="8" s="1"/>
  <c r="AF44" i="8" a="1"/>
  <c r="AF44" i="8" s="1"/>
  <c r="AI47" i="8" a="1"/>
  <c r="AI47" i="8" s="1"/>
  <c r="AI51" i="8" a="1"/>
  <c r="AI51" i="8" s="1"/>
  <c r="AH61" i="8" a="1"/>
  <c r="AH61" i="8" s="1"/>
  <c r="AF71" i="8" a="1"/>
  <c r="AF71" i="8" s="1"/>
  <c r="AF75" i="8" a="1"/>
  <c r="AF75" i="8" s="1"/>
  <c r="AI88" i="8" a="1"/>
  <c r="AI88" i="8" s="1"/>
  <c r="AH93" i="8" a="1"/>
  <c r="AH93" i="8" s="1"/>
  <c r="AH101" i="8" a="1"/>
  <c r="AH101" i="8" s="1"/>
  <c r="AH115" i="8" a="1"/>
  <c r="AH115" i="8" s="1"/>
  <c r="AG120" i="8" a="1"/>
  <c r="AG120" i="8" s="1"/>
  <c r="AH124" i="8" a="1"/>
  <c r="AH124" i="8" s="1"/>
  <c r="AF128" i="8" a="1"/>
  <c r="AF128" i="8" s="1"/>
  <c r="AI135" i="8" a="1"/>
  <c r="AI135" i="8" s="1"/>
  <c r="AH143" i="8" a="1"/>
  <c r="AH143" i="8" s="1"/>
  <c r="AH152" i="8" a="1"/>
  <c r="AH152" i="8" s="1"/>
  <c r="AG634" i="8" a="1"/>
  <c r="AG634" i="8" s="1"/>
  <c r="AH730" i="8" a="1"/>
  <c r="AH730" i="8" s="1"/>
  <c r="AH744" i="8" a="1"/>
  <c r="AH744" i="8" s="1"/>
  <c r="AH758" i="8" a="1"/>
  <c r="AH758" i="8" s="1"/>
  <c r="AI774" i="8" a="1"/>
  <c r="AI774" i="8" s="1"/>
  <c r="AH900" i="8" a="1"/>
  <c r="AH900" i="8" s="1"/>
  <c r="AG1094" i="8" a="1"/>
  <c r="AG1094" i="8" s="1"/>
  <c r="AF144" i="8" a="1"/>
  <c r="AF144" i="8" s="1"/>
  <c r="AI144" i="8" a="1"/>
  <c r="AI144" i="8" s="1"/>
  <c r="AG18" i="8" a="1"/>
  <c r="AG18" i="8" s="1"/>
  <c r="AG21" i="8" a="1"/>
  <c r="AG21" i="8" s="1"/>
  <c r="AG31" i="8" a="1"/>
  <c r="AG31" i="8" s="1"/>
  <c r="AG44" i="8" a="1"/>
  <c r="AG44" i="8" s="1"/>
  <c r="AG48" i="8" a="1"/>
  <c r="AG48" i="8" s="1"/>
  <c r="AG52" i="8" a="1"/>
  <c r="AG52" i="8" s="1"/>
  <c r="AI56" i="8" a="1"/>
  <c r="AI56" i="8" s="1"/>
  <c r="AI61" i="8" a="1"/>
  <c r="AI61" i="8" s="1"/>
  <c r="AI66" i="8" a="1"/>
  <c r="AI66" i="8" s="1"/>
  <c r="AG75" i="8" a="1"/>
  <c r="AG75" i="8" s="1"/>
  <c r="AG79" i="8" a="1"/>
  <c r="AG79" i="8" s="1"/>
  <c r="AG89" i="8" a="1"/>
  <c r="AG89" i="8" s="1"/>
  <c r="AF98" i="8" a="1"/>
  <c r="AF98" i="8" s="1"/>
  <c r="AI101" i="8" a="1"/>
  <c r="AI101" i="8" s="1"/>
  <c r="AG106" i="8" a="1"/>
  <c r="AG106" i="8" s="1"/>
  <c r="AH111" i="8" a="1"/>
  <c r="AH111" i="8" s="1"/>
  <c r="AI115" i="8" a="1"/>
  <c r="AI115" i="8" s="1"/>
  <c r="AG125" i="8" a="1"/>
  <c r="AG125" i="8" s="1"/>
  <c r="AG128" i="8" a="1"/>
  <c r="AG128" i="8" s="1"/>
  <c r="AI131" i="8" a="1"/>
  <c r="AI131" i="8" s="1"/>
  <c r="AG136" i="8" a="1"/>
  <c r="AG136" i="8" s="1"/>
  <c r="AH139" i="8" a="1"/>
  <c r="AH139" i="8" s="1"/>
  <c r="AI143" i="8" a="1"/>
  <c r="AI143" i="8" s="1"/>
  <c r="AG148" i="8" a="1"/>
  <c r="AG148" i="8" s="1"/>
  <c r="AG153" i="8" a="1"/>
  <c r="AG153" i="8" s="1"/>
  <c r="AH634" i="8" a="1"/>
  <c r="AH634" i="8" s="1"/>
  <c r="AI730" i="8" a="1"/>
  <c r="AI730" i="8" s="1"/>
  <c r="AG759" i="8" a="1"/>
  <c r="AG759" i="8" s="1"/>
  <c r="AH842" i="8" a="1"/>
  <c r="AH842" i="8" s="1"/>
  <c r="AH1011" i="8" a="1"/>
  <c r="AH1011" i="8" s="1"/>
  <c r="AI1164" i="8" a="1"/>
  <c r="AI1164" i="8" s="1"/>
  <c r="AH147" i="8" a="1"/>
  <c r="AH147" i="8" s="1"/>
  <c r="AG147" i="8" a="1"/>
  <c r="AG147" i="8" s="1"/>
  <c r="AF139" i="8" a="1"/>
  <c r="AF139" i="8" s="1"/>
  <c r="AI85" i="8" a="1"/>
  <c r="AI85" i="8" s="1"/>
  <c r="AG85" i="8" a="1"/>
  <c r="AG85" i="8" s="1"/>
  <c r="AF7" i="8" a="1"/>
  <c r="AF7" i="8" s="1"/>
  <c r="AF10" i="8" a="1"/>
  <c r="AF10" i="8" s="1"/>
  <c r="AF13" i="8" a="1"/>
  <c r="AF13" i="8" s="1"/>
  <c r="AH18" i="8" a="1"/>
  <c r="AH18" i="8" s="1"/>
  <c r="AH21" i="8" a="1"/>
  <c r="AH21" i="8" s="1"/>
  <c r="AF25" i="8" a="1"/>
  <c r="AF25" i="8" s="1"/>
  <c r="AF28" i="8" a="1"/>
  <c r="AF28" i="8" s="1"/>
  <c r="AH31" i="8" a="1"/>
  <c r="AH31" i="8" s="1"/>
  <c r="AF38" i="8" a="1"/>
  <c r="AF38" i="8" s="1"/>
  <c r="AH44" i="8" a="1"/>
  <c r="AH44" i="8" s="1"/>
  <c r="AG57" i="8" a="1"/>
  <c r="AG57" i="8" s="1"/>
  <c r="AH62" i="8" a="1"/>
  <c r="AH62" i="8" s="1"/>
  <c r="AH71" i="8" a="1"/>
  <c r="AH71" i="8" s="1"/>
  <c r="AH75" i="8" a="1"/>
  <c r="AH75" i="8" s="1"/>
  <c r="AH79" i="8" a="1"/>
  <c r="AH79" i="8" s="1"/>
  <c r="AH84" i="8" a="1"/>
  <c r="AH84" i="8" s="1"/>
  <c r="AG94" i="8" a="1"/>
  <c r="AG94" i="8" s="1"/>
  <c r="AH98" i="8" a="1"/>
  <c r="AH98" i="8" s="1"/>
  <c r="AI106" i="8" a="1"/>
  <c r="AI106" i="8" s="1"/>
  <c r="AI120" i="8" a="1"/>
  <c r="AI120" i="8" s="1"/>
  <c r="AI128" i="8" a="1"/>
  <c r="AI128" i="8" s="1"/>
  <c r="AF132" i="8" a="1"/>
  <c r="AF132" i="8" s="1"/>
  <c r="AI139" i="8" a="1"/>
  <c r="AI139" i="8" s="1"/>
  <c r="AG144" i="8" a="1"/>
  <c r="AG144" i="8" s="1"/>
  <c r="AG494" i="8" a="1"/>
  <c r="AG494" i="8" s="1"/>
  <c r="AI717" i="8" a="1"/>
  <c r="AI717" i="8" s="1"/>
  <c r="AG731" i="8" a="1"/>
  <c r="AG731" i="8" s="1"/>
  <c r="AH760" i="8" a="1"/>
  <c r="AH760" i="8" s="1"/>
  <c r="AG968" i="8" a="1"/>
  <c r="AG968" i="8" s="1"/>
  <c r="AG1012" i="8" a="1"/>
  <c r="AG1012" i="8" s="1"/>
  <c r="AG1122" i="8" a="1"/>
  <c r="AG1122" i="8" s="1"/>
  <c r="AH47" i="8" a="1"/>
  <c r="AH47" i="8" s="1"/>
  <c r="AI110" i="8" a="1"/>
  <c r="AI110" i="8" s="1"/>
  <c r="AG131" i="8" a="1"/>
  <c r="AG131" i="8" s="1"/>
  <c r="AF147" i="8" a="1"/>
  <c r="AF147" i="8" s="1"/>
  <c r="AF141" i="8" a="1"/>
  <c r="AF141" i="8" s="1"/>
  <c r="AI141" i="8" a="1"/>
  <c r="AI141" i="8" s="1"/>
  <c r="AH48" i="8" a="1"/>
  <c r="AH48" i="8" s="1"/>
  <c r="AI57" i="8" a="1"/>
  <c r="AI57" i="8" s="1"/>
  <c r="AH67" i="8" a="1"/>
  <c r="AH67" i="8" s="1"/>
  <c r="AI71" i="8" a="1"/>
  <c r="AI71" i="8" s="1"/>
  <c r="AF80" i="8" a="1"/>
  <c r="AF80" i="8" s="1"/>
  <c r="AI84" i="8" a="1"/>
  <c r="AI84" i="8" s="1"/>
  <c r="AH94" i="8" a="1"/>
  <c r="AH94" i="8" s="1"/>
  <c r="AI98" i="8" a="1"/>
  <c r="AI98" i="8" s="1"/>
  <c r="AG102" i="8" a="1"/>
  <c r="AG102" i="8" s="1"/>
  <c r="AG107" i="8" a="1"/>
  <c r="AG107" i="8" s="1"/>
  <c r="AG116" i="8" a="1"/>
  <c r="AG116" i="8" s="1"/>
  <c r="AG121" i="8" a="1"/>
  <c r="AG121" i="8" s="1"/>
  <c r="AH144" i="8" a="1"/>
  <c r="AH144" i="8" s="1"/>
  <c r="AH148" i="8" a="1"/>
  <c r="AH148" i="8" s="1"/>
  <c r="AH153" i="8" a="1"/>
  <c r="AH153" i="8" s="1"/>
  <c r="AH494" i="8" a="1"/>
  <c r="AH494" i="8" s="1"/>
  <c r="AH577" i="8" a="1"/>
  <c r="AH577" i="8" s="1"/>
  <c r="AI732" i="8" a="1"/>
  <c r="AI732" i="8" s="1"/>
  <c r="AH745" i="8" a="1"/>
  <c r="AH745" i="8" s="1"/>
  <c r="AG828" i="8" a="1"/>
  <c r="AG828" i="8" s="1"/>
  <c r="AG843" i="8" a="1"/>
  <c r="AG843" i="8" s="1"/>
  <c r="AG926" i="8" a="1"/>
  <c r="AG926" i="8" s="1"/>
  <c r="AI969" i="8" a="1"/>
  <c r="AI969" i="8" s="1"/>
  <c r="AH1012" i="8" a="1"/>
  <c r="AH1012" i="8" s="1"/>
  <c r="AH1054" i="8" a="1"/>
  <c r="AH1054" i="8" s="1"/>
  <c r="AH1123" i="8" a="1"/>
  <c r="AH1123" i="8" s="1"/>
  <c r="AI368" i="8" a="1"/>
  <c r="AI368" i="8" s="1"/>
  <c r="AF410" i="8" a="1"/>
  <c r="AF410" i="8" s="1"/>
  <c r="AH410" i="8" a="1"/>
  <c r="AH410" i="8" s="1"/>
  <c r="AG382" i="8" a="1"/>
  <c r="AG382" i="8" s="1"/>
  <c r="AH424" i="8" a="1"/>
  <c r="AH424" i="8" s="1"/>
  <c r="AH452" i="8" a="1"/>
  <c r="AH452" i="8" s="1"/>
  <c r="AH196" i="8" a="1"/>
  <c r="AH196" i="8" s="1"/>
  <c r="AG196" i="8" a="1"/>
  <c r="AG196" i="8" s="1"/>
  <c r="AI196" i="8" a="1"/>
  <c r="AI196" i="8" s="1"/>
  <c r="AI182" i="8" a="1"/>
  <c r="AI182" i="8" s="1"/>
  <c r="AG182" i="8" a="1"/>
  <c r="AG182" i="8" s="1"/>
  <c r="AH182" i="8" a="1"/>
  <c r="AH182" i="8" s="1"/>
  <c r="AH961" i="8" a="1"/>
  <c r="AH961" i="8" s="1"/>
  <c r="AI961" i="8" a="1"/>
  <c r="AI961" i="8" s="1"/>
  <c r="AH933" i="8" a="1"/>
  <c r="AH933" i="8" s="1"/>
  <c r="AI933" i="8" a="1"/>
  <c r="AI933" i="8" s="1"/>
  <c r="AG933" i="8" a="1"/>
  <c r="AG933" i="8" s="1"/>
  <c r="AG919" i="8" a="1"/>
  <c r="AG919" i="8" s="1"/>
  <c r="AH919" i="8" a="1"/>
  <c r="AH919" i="8" s="1"/>
  <c r="AI195" i="8" a="1"/>
  <c r="AI195" i="8" s="1"/>
  <c r="AH195" i="8" a="1"/>
  <c r="AH195" i="8" s="1"/>
  <c r="AG905" i="8" a="1"/>
  <c r="AG905" i="8" s="1"/>
  <c r="AI905" i="8" a="1"/>
  <c r="AI905" i="8" s="1"/>
  <c r="AH905" i="8" a="1"/>
  <c r="AH905" i="8" s="1"/>
  <c r="AI238" i="8" a="1"/>
  <c r="AI238" i="8" s="1"/>
  <c r="AH238" i="8" a="1"/>
  <c r="AH238" i="8" s="1"/>
  <c r="AG238" i="8" a="1"/>
  <c r="AG238" i="8" s="1"/>
  <c r="AG207" i="8" a="1"/>
  <c r="AG207" i="8" s="1"/>
  <c r="AH207" i="8" a="1"/>
  <c r="AH207" i="8" s="1"/>
  <c r="AI207" i="8" a="1"/>
  <c r="AI207" i="8" s="1"/>
  <c r="AH877" i="8" a="1"/>
  <c r="AH877" i="8" s="1"/>
  <c r="AI877" i="8" a="1"/>
  <c r="AI877" i="8" s="1"/>
  <c r="AG877" i="8" a="1"/>
  <c r="AG877" i="8" s="1"/>
  <c r="AI190" i="8" a="1"/>
  <c r="AI190" i="8" s="1"/>
  <c r="AG190" i="8" a="1"/>
  <c r="AG190" i="8" s="1"/>
  <c r="AH190" i="8" a="1"/>
  <c r="AH190" i="8" s="1"/>
  <c r="AH349" i="8" a="1"/>
  <c r="AH349" i="8" s="1"/>
  <c r="AG420" i="8" a="1"/>
  <c r="AG420" i="8" s="1"/>
  <c r="AF541" i="8" a="1"/>
  <c r="AF541" i="8" s="1"/>
  <c r="AH556" i="8" a="1"/>
  <c r="AH556" i="8" s="1"/>
  <c r="AH570" i="8" a="1"/>
  <c r="AH570" i="8" s="1"/>
  <c r="AG585" i="8" a="1"/>
  <c r="AG585" i="8" s="1"/>
  <c r="AG612" i="8" a="1"/>
  <c r="AG612" i="8" s="1"/>
  <c r="AH625" i="8" a="1"/>
  <c r="AH625" i="8" s="1"/>
  <c r="AG711" i="8" a="1"/>
  <c r="AG711" i="8" s="1"/>
  <c r="AG727" i="8" a="1"/>
  <c r="AG727" i="8" s="1"/>
  <c r="AG751" i="8" a="1"/>
  <c r="AG751" i="8" s="1"/>
  <c r="AG993" i="8" a="1"/>
  <c r="AG993" i="8" s="1"/>
  <c r="AG1129" i="8" a="1"/>
  <c r="AG1129" i="8" s="1"/>
  <c r="AI1142" i="8" a="1"/>
  <c r="AI1142" i="8" s="1"/>
  <c r="AI891" i="8" a="1"/>
  <c r="AI891" i="8" s="1"/>
  <c r="AG891" i="8" a="1"/>
  <c r="AG891" i="8" s="1"/>
  <c r="AH891" i="8" a="1"/>
  <c r="AH891" i="8" s="1"/>
  <c r="AH1190" i="8" a="1"/>
  <c r="AH1190" i="8" s="1"/>
  <c r="AI1190" i="8" a="1"/>
  <c r="AI1190" i="8" s="1"/>
  <c r="AG1190" i="8" a="1"/>
  <c r="AG1190" i="8" s="1"/>
  <c r="AH1162" i="8" a="1"/>
  <c r="AH1162" i="8" s="1"/>
  <c r="AI1162" i="8" a="1"/>
  <c r="AI1162" i="8" s="1"/>
  <c r="AG1162" i="8" a="1"/>
  <c r="AG1162" i="8" s="1"/>
  <c r="AH1092" i="8" a="1"/>
  <c r="AH1092" i="8" s="1"/>
  <c r="AI1092" i="8" a="1"/>
  <c r="AI1092" i="8" s="1"/>
  <c r="AG1092" i="8" a="1"/>
  <c r="AG1092" i="8" s="1"/>
  <c r="AH1078" i="8" a="1"/>
  <c r="AH1078" i="8" s="1"/>
  <c r="AG1078" i="8" a="1"/>
  <c r="AG1078" i="8" s="1"/>
  <c r="AH1050" i="8" a="1"/>
  <c r="AH1050" i="8" s="1"/>
  <c r="AI1050" i="8" a="1"/>
  <c r="AI1050" i="8" s="1"/>
  <c r="AG1050" i="8" a="1"/>
  <c r="AG1050" i="8" s="1"/>
  <c r="AI1022" i="8" a="1"/>
  <c r="AI1022" i="8" s="1"/>
  <c r="AH1022" i="8" a="1"/>
  <c r="AH1022" i="8" s="1"/>
  <c r="AH1008" i="8" a="1"/>
  <c r="AH1008" i="8" s="1"/>
  <c r="AG1008" i="8" a="1"/>
  <c r="AG1008" i="8" s="1"/>
  <c r="AI1008" i="8" a="1"/>
  <c r="AI1008" i="8" s="1"/>
  <c r="AI980" i="8" a="1"/>
  <c r="AI980" i="8" s="1"/>
  <c r="AH980" i="8" a="1"/>
  <c r="AH980" i="8" s="1"/>
  <c r="AG980" i="8" a="1"/>
  <c r="AG980" i="8" s="1"/>
  <c r="AG952" i="8" a="1"/>
  <c r="AG952" i="8" s="1"/>
  <c r="AI952" i="8" a="1"/>
  <c r="AI952" i="8" s="1"/>
  <c r="AH952" i="8" a="1"/>
  <c r="AH952" i="8" s="1"/>
  <c r="AG924" i="8" a="1"/>
  <c r="AG924" i="8" s="1"/>
  <c r="AI924" i="8" a="1"/>
  <c r="AI924" i="8" s="1"/>
  <c r="AH924" i="8" a="1"/>
  <c r="AH924" i="8" s="1"/>
  <c r="AI896" i="8" a="1"/>
  <c r="AI896" i="8" s="1"/>
  <c r="AG896" i="8" a="1"/>
  <c r="AG896" i="8" s="1"/>
  <c r="AH896" i="8" a="1"/>
  <c r="AH896" i="8" s="1"/>
  <c r="AI868" i="8" a="1"/>
  <c r="AI868" i="8" s="1"/>
  <c r="AH868" i="8" a="1"/>
  <c r="AH868" i="8" s="1"/>
  <c r="AG868" i="8" a="1"/>
  <c r="AG868" i="8" s="1"/>
  <c r="AG840" i="8" a="1"/>
  <c r="AG840" i="8" s="1"/>
  <c r="AG784" i="8" a="1"/>
  <c r="AG784" i="8" s="1"/>
  <c r="AI784" i="8" a="1"/>
  <c r="AI784" i="8" s="1"/>
  <c r="AH784" i="8" a="1"/>
  <c r="AH784" i="8" s="1"/>
  <c r="AH756" i="8" a="1"/>
  <c r="AH756" i="8" s="1"/>
  <c r="AG756" i="8" a="1"/>
  <c r="AG756" i="8" s="1"/>
  <c r="AI756" i="8" a="1"/>
  <c r="AI756" i="8" s="1"/>
  <c r="AI714" i="8" a="1"/>
  <c r="AI714" i="8" s="1"/>
  <c r="AH714" i="8" a="1"/>
  <c r="AH714" i="8" s="1"/>
  <c r="AG714" i="8" a="1"/>
  <c r="AG714" i="8" s="1"/>
  <c r="AH686" i="8" a="1"/>
  <c r="AH686" i="8" s="1"/>
  <c r="AI686" i="8" a="1"/>
  <c r="AI686" i="8" s="1"/>
  <c r="AG686" i="8" a="1"/>
  <c r="AG686" i="8" s="1"/>
  <c r="AG658" i="8" a="1"/>
  <c r="AG658" i="8" s="1"/>
  <c r="AH658" i="8" a="1"/>
  <c r="AH658" i="8" s="1"/>
  <c r="AF630" i="8" a="1"/>
  <c r="AF630" i="8" s="1"/>
  <c r="AI630" i="8" a="1"/>
  <c r="AI630" i="8" s="1"/>
  <c r="AG630" i="8" a="1"/>
  <c r="AG630" i="8" s="1"/>
  <c r="AI602" i="8" a="1"/>
  <c r="AI602" i="8" s="1"/>
  <c r="AH602" i="8" a="1"/>
  <c r="AH602" i="8" s="1"/>
  <c r="AI574" i="8" a="1"/>
  <c r="AI574" i="8" s="1"/>
  <c r="AH574" i="8" a="1"/>
  <c r="AH574" i="8" s="1"/>
  <c r="AG574" i="8" a="1"/>
  <c r="AG574" i="8" s="1"/>
  <c r="AH532" i="8" a="1"/>
  <c r="AH532" i="8" s="1"/>
  <c r="AI532" i="8" a="1"/>
  <c r="AI532" i="8" s="1"/>
  <c r="AG532" i="8" a="1"/>
  <c r="AG532" i="8" s="1"/>
  <c r="AG504" i="8" a="1"/>
  <c r="AG504" i="8" s="1"/>
  <c r="AH504" i="8" a="1"/>
  <c r="AH504" i="8" s="1"/>
  <c r="AI504" i="8" a="1"/>
  <c r="AI504" i="8" s="1"/>
  <c r="AG476" i="8" a="1"/>
  <c r="AG476" i="8" s="1"/>
  <c r="AI476" i="8" a="1"/>
  <c r="AI476" i="8" s="1"/>
  <c r="AG406" i="8" a="1"/>
  <c r="AG406" i="8" s="1"/>
  <c r="AI406" i="8" a="1"/>
  <c r="AI406" i="8" s="1"/>
  <c r="AH406" i="8" a="1"/>
  <c r="AH406" i="8" s="1"/>
  <c r="AG392" i="8" a="1"/>
  <c r="AG392" i="8" s="1"/>
  <c r="AF392" i="8" a="1"/>
  <c r="AF392" i="8" s="1"/>
  <c r="AH378" i="8" a="1"/>
  <c r="AH378" i="8" s="1"/>
  <c r="AG378" i="8" a="1"/>
  <c r="AG378" i="8" s="1"/>
  <c r="AI378" i="8" a="1"/>
  <c r="AI378" i="8" s="1"/>
  <c r="AI364" i="8" a="1"/>
  <c r="AI364" i="8" s="1"/>
  <c r="AG364" i="8" a="1"/>
  <c r="AG364" i="8" s="1"/>
  <c r="AH364" i="8" a="1"/>
  <c r="AH364" i="8" s="1"/>
  <c r="AG350" i="8" a="1"/>
  <c r="AG350" i="8" s="1"/>
  <c r="AI350" i="8" a="1"/>
  <c r="AI350" i="8" s="1"/>
  <c r="AH350" i="8" a="1"/>
  <c r="AH350" i="8" s="1"/>
  <c r="AH322" i="8" a="1"/>
  <c r="AH322" i="8" s="1"/>
  <c r="AG322" i="8" a="1"/>
  <c r="AG322" i="8" s="1"/>
  <c r="AH280" i="8" a="1"/>
  <c r="AH280" i="8" s="1"/>
  <c r="AH266" i="8" a="1"/>
  <c r="AH266" i="8" s="1"/>
  <c r="AF266" i="8" a="1"/>
  <c r="AF266" i="8" s="1"/>
  <c r="AG266" i="8" a="1"/>
  <c r="AG266" i="8" s="1"/>
  <c r="AH252" i="8" a="1"/>
  <c r="AH252" i="8" s="1"/>
  <c r="AG252" i="8" a="1"/>
  <c r="AG252" i="8" s="1"/>
  <c r="AI252" i="8" a="1"/>
  <c r="AI252" i="8" s="1"/>
  <c r="AI210" i="8" a="1"/>
  <c r="AI210" i="8" s="1"/>
  <c r="AH210" i="8" a="1"/>
  <c r="AH210" i="8" s="1"/>
  <c r="AG210" i="8" a="1"/>
  <c r="AG210" i="8" s="1"/>
  <c r="AF616" i="8" a="1"/>
  <c r="AF616" i="8" s="1"/>
  <c r="AI1189" i="8" a="1"/>
  <c r="AI1189" i="8" s="1"/>
  <c r="AH1189" i="8" a="1"/>
  <c r="AH1189" i="8" s="1"/>
  <c r="AG1189" i="8" a="1"/>
  <c r="AG1189" i="8" s="1"/>
  <c r="AH1175" i="8" a="1"/>
  <c r="AH1175" i="8" s="1"/>
  <c r="AG1175" i="8" a="1"/>
  <c r="AG1175" i="8" s="1"/>
  <c r="AG1161" i="8" a="1"/>
  <c r="AG1161" i="8" s="1"/>
  <c r="AH1161" i="8" a="1"/>
  <c r="AH1161" i="8" s="1"/>
  <c r="AI1161" i="8" a="1"/>
  <c r="AI1161" i="8" s="1"/>
  <c r="AH1147" i="8" a="1"/>
  <c r="AH1147" i="8" s="1"/>
  <c r="AG1147" i="8" a="1"/>
  <c r="AG1147" i="8" s="1"/>
  <c r="AI1147" i="8" a="1"/>
  <c r="AI1147" i="8" s="1"/>
  <c r="AI1133" i="8" a="1"/>
  <c r="AI1133" i="8" s="1"/>
  <c r="AG1133" i="8" a="1"/>
  <c r="AG1133" i="8" s="1"/>
  <c r="AI1105" i="8" a="1"/>
  <c r="AI1105" i="8" s="1"/>
  <c r="AH1105" i="8" a="1"/>
  <c r="AH1105" i="8" s="1"/>
  <c r="AG1105" i="8" a="1"/>
  <c r="AG1105" i="8" s="1"/>
  <c r="AH1091" i="8" a="1"/>
  <c r="AH1091" i="8" s="1"/>
  <c r="AG1091" i="8" a="1"/>
  <c r="AG1091" i="8" s="1"/>
  <c r="AI1091" i="8" a="1"/>
  <c r="AI1091" i="8" s="1"/>
  <c r="AG1077" i="8" a="1"/>
  <c r="AG1077" i="8" s="1"/>
  <c r="AH1077" i="8" a="1"/>
  <c r="AH1077" i="8" s="1"/>
  <c r="AI1077" i="8" a="1"/>
  <c r="AI1077" i="8" s="1"/>
  <c r="AH1063" i="8" a="1"/>
  <c r="AH1063" i="8" s="1"/>
  <c r="AI1063" i="8" a="1"/>
  <c r="AI1063" i="8" s="1"/>
  <c r="AG1063" i="8" a="1"/>
  <c r="AG1063" i="8" s="1"/>
  <c r="AH1035" i="8" a="1"/>
  <c r="AH1035" i="8" s="1"/>
  <c r="AG1035" i="8" a="1"/>
  <c r="AG1035" i="8" s="1"/>
  <c r="AH1021" i="8" a="1"/>
  <c r="AH1021" i="8" s="1"/>
  <c r="AI1021" i="8" a="1"/>
  <c r="AI1021" i="8" s="1"/>
  <c r="AG1021" i="8" a="1"/>
  <c r="AG1021" i="8" s="1"/>
  <c r="AH1007" i="8" a="1"/>
  <c r="AH1007" i="8" s="1"/>
  <c r="AG1007" i="8" a="1"/>
  <c r="AG1007" i="8" s="1"/>
  <c r="AG979" i="8" a="1"/>
  <c r="AG979" i="8" s="1"/>
  <c r="AI979" i="8" a="1"/>
  <c r="AI979" i="8" s="1"/>
  <c r="AH979" i="8" a="1"/>
  <c r="AH979" i="8" s="1"/>
  <c r="AI951" i="8" a="1"/>
  <c r="AI951" i="8" s="1"/>
  <c r="AH951" i="8" a="1"/>
  <c r="AH951" i="8" s="1"/>
  <c r="AG937" i="8" a="1"/>
  <c r="AG937" i="8" s="1"/>
  <c r="AI937" i="8" a="1"/>
  <c r="AI937" i="8" s="1"/>
  <c r="AH937" i="8" a="1"/>
  <c r="AH937" i="8" s="1"/>
  <c r="AG923" i="8" a="1"/>
  <c r="AG923" i="8" s="1"/>
  <c r="AI923" i="8" a="1"/>
  <c r="AI923" i="8" s="1"/>
  <c r="AH923" i="8" a="1"/>
  <c r="AH923" i="8" s="1"/>
  <c r="AI909" i="8" a="1"/>
  <c r="AI909" i="8" s="1"/>
  <c r="AH909" i="8" a="1"/>
  <c r="AH909" i="8" s="1"/>
  <c r="AI895" i="8" a="1"/>
  <c r="AI895" i="8" s="1"/>
  <c r="AG895" i="8" a="1"/>
  <c r="AG895" i="8" s="1"/>
  <c r="AH881" i="8" a="1"/>
  <c r="AH881" i="8" s="1"/>
  <c r="AG881" i="8" a="1"/>
  <c r="AG881" i="8" s="1"/>
  <c r="AI881" i="8" a="1"/>
  <c r="AI881" i="8" s="1"/>
  <c r="AH867" i="8" a="1"/>
  <c r="AH867" i="8" s="1"/>
  <c r="AI867" i="8" a="1"/>
  <c r="AI867" i="8" s="1"/>
  <c r="AH853" i="8" a="1"/>
  <c r="AH853" i="8" s="1"/>
  <c r="AG853" i="8" a="1"/>
  <c r="AG853" i="8" s="1"/>
  <c r="AI853" i="8" a="1"/>
  <c r="AI853" i="8" s="1"/>
  <c r="AI839" i="8" a="1"/>
  <c r="AI839" i="8" s="1"/>
  <c r="AH839" i="8" a="1"/>
  <c r="AH839" i="8" s="1"/>
  <c r="AG839" i="8" a="1"/>
  <c r="AG839" i="8" s="1"/>
  <c r="AH825" i="8" a="1"/>
  <c r="AH825" i="8" s="1"/>
  <c r="AI825" i="8" a="1"/>
  <c r="AI825" i="8" s="1"/>
  <c r="AG825" i="8" a="1"/>
  <c r="AG825" i="8" s="1"/>
  <c r="AI797" i="8" a="1"/>
  <c r="AI797" i="8" s="1"/>
  <c r="AH797" i="8" a="1"/>
  <c r="AH797" i="8" s="1"/>
  <c r="AG797" i="8" a="1"/>
  <c r="AG797" i="8" s="1"/>
  <c r="AG783" i="8" a="1"/>
  <c r="AG783" i="8" s="1"/>
  <c r="AH783" i="8" a="1"/>
  <c r="AH783" i="8" s="1"/>
  <c r="AI783" i="8" a="1"/>
  <c r="AI783" i="8" s="1"/>
  <c r="AG769" i="8" a="1"/>
  <c r="AG769" i="8" s="1"/>
  <c r="AI769" i="8" a="1"/>
  <c r="AI769" i="8" s="1"/>
  <c r="AI755" i="8" a="1"/>
  <c r="AI755" i="8" s="1"/>
  <c r="AH755" i="8" a="1"/>
  <c r="AH755" i="8" s="1"/>
  <c r="AG755" i="8" a="1"/>
  <c r="AG755" i="8" s="1"/>
  <c r="AH741" i="8" a="1"/>
  <c r="AH741" i="8" s="1"/>
  <c r="AI741" i="8" a="1"/>
  <c r="AI741" i="8" s="1"/>
  <c r="AG741" i="8" a="1"/>
  <c r="AG741" i="8" s="1"/>
  <c r="AG713" i="8" a="1"/>
  <c r="AG713" i="8" s="1"/>
  <c r="AI713" i="8" a="1"/>
  <c r="AI713" i="8" s="1"/>
  <c r="AH713" i="8" a="1"/>
  <c r="AH713" i="8" s="1"/>
  <c r="AI671" i="8" a="1"/>
  <c r="AI671" i="8" s="1"/>
  <c r="AH671" i="8" a="1"/>
  <c r="AH671" i="8" s="1"/>
  <c r="AI657" i="8" a="1"/>
  <c r="AI657" i="8" s="1"/>
  <c r="AH657" i="8" a="1"/>
  <c r="AH657" i="8" s="1"/>
  <c r="AG657" i="8" a="1"/>
  <c r="AG657" i="8" s="1"/>
  <c r="AI643" i="8" a="1"/>
  <c r="AI643" i="8" s="1"/>
  <c r="AG643" i="8" a="1"/>
  <c r="AG643" i="8" s="1"/>
  <c r="AH643" i="8" a="1"/>
  <c r="AH643" i="8" s="1"/>
  <c r="AI629" i="8" a="1"/>
  <c r="AI629" i="8" s="1"/>
  <c r="AH629" i="8" a="1"/>
  <c r="AH629" i="8" s="1"/>
  <c r="AG629" i="8" a="1"/>
  <c r="AG629" i="8" s="1"/>
  <c r="AF629" i="8" a="1"/>
  <c r="AF629" i="8" s="1"/>
  <c r="AH615" i="8" a="1"/>
  <c r="AH615" i="8" s="1"/>
  <c r="AG615" i="8" a="1"/>
  <c r="AG615" i="8" s="1"/>
  <c r="AF615" i="8" a="1"/>
  <c r="AF615" i="8" s="1"/>
  <c r="AI601" i="8" a="1"/>
  <c r="AI601" i="8" s="1"/>
  <c r="AH601" i="8" a="1"/>
  <c r="AH601" i="8" s="1"/>
  <c r="AG601" i="8" a="1"/>
  <c r="AG601" i="8" s="1"/>
  <c r="AI573" i="8" a="1"/>
  <c r="AI573" i="8" s="1"/>
  <c r="AH573" i="8" a="1"/>
  <c r="AH573" i="8" s="1"/>
  <c r="AG559" i="8" a="1"/>
  <c r="AG559" i="8" s="1"/>
  <c r="AF559" i="8" a="1"/>
  <c r="AF559" i="8" s="1"/>
  <c r="AI559" i="8" a="1"/>
  <c r="AI559" i="8" s="1"/>
  <c r="AH559" i="8" a="1"/>
  <c r="AH559" i="8" s="1"/>
  <c r="AG531" i="8" a="1"/>
  <c r="AG531" i="8" s="1"/>
  <c r="AH531" i="8" a="1"/>
  <c r="AH531" i="8" s="1"/>
  <c r="AI531" i="8" a="1"/>
  <c r="AI531" i="8" s="1"/>
  <c r="AG517" i="8" a="1"/>
  <c r="AG517" i="8" s="1"/>
  <c r="AH517" i="8" a="1"/>
  <c r="AH517" i="8" s="1"/>
  <c r="AI489" i="8" a="1"/>
  <c r="AI489" i="8" s="1"/>
  <c r="AH489" i="8" a="1"/>
  <c r="AH489" i="8" s="1"/>
  <c r="AH475" i="8" a="1"/>
  <c r="AH475" i="8" s="1"/>
  <c r="AG475" i="8" a="1"/>
  <c r="AG475" i="8" s="1"/>
  <c r="AH461" i="8" a="1"/>
  <c r="AH461" i="8" s="1"/>
  <c r="AG461" i="8" a="1"/>
  <c r="AG461" i="8" s="1"/>
  <c r="AH447" i="8" a="1"/>
  <c r="AH447" i="8" s="1"/>
  <c r="AG447" i="8" a="1"/>
  <c r="AG447" i="8" s="1"/>
  <c r="AI447" i="8" a="1"/>
  <c r="AI447" i="8" s="1"/>
  <c r="AG419" i="8" a="1"/>
  <c r="AG419" i="8" s="1"/>
  <c r="AF419" i="8" a="1"/>
  <c r="AF419" i="8" s="1"/>
  <c r="AI419" i="8" a="1"/>
  <c r="AI419" i="8" s="1"/>
  <c r="AI405" i="8" a="1"/>
  <c r="AI405" i="8" s="1"/>
  <c r="AG405" i="8" a="1"/>
  <c r="AG405" i="8" s="1"/>
  <c r="AF391" i="8" a="1"/>
  <c r="AF391" i="8" s="1"/>
  <c r="AG391" i="8" a="1"/>
  <c r="AG391" i="8" s="1"/>
  <c r="AI377" i="8" a="1"/>
  <c r="AI377" i="8" s="1"/>
  <c r="AG377" i="8" a="1"/>
  <c r="AG377" i="8" s="1"/>
  <c r="AH377" i="8" a="1"/>
  <c r="AH377" i="8" s="1"/>
  <c r="AH363" i="8" a="1"/>
  <c r="AH363" i="8" s="1"/>
  <c r="AG363" i="8" a="1"/>
  <c r="AG363" i="8" s="1"/>
  <c r="AI363" i="8" a="1"/>
  <c r="AI363" i="8" s="1"/>
  <c r="AH335" i="8" a="1"/>
  <c r="AH335" i="8" s="1"/>
  <c r="AG335" i="8" a="1"/>
  <c r="AG335" i="8" s="1"/>
  <c r="AI335" i="8" a="1"/>
  <c r="AI335" i="8" s="1"/>
  <c r="AI321" i="8" a="1"/>
  <c r="AI321" i="8" s="1"/>
  <c r="AG321" i="8" a="1"/>
  <c r="AG321" i="8" s="1"/>
  <c r="AH321" i="8" a="1"/>
  <c r="AH321" i="8" s="1"/>
  <c r="AF307" i="8" a="1"/>
  <c r="AF307" i="8" s="1"/>
  <c r="AI307" i="8" a="1"/>
  <c r="AI307" i="8" s="1"/>
  <c r="AH307" i="8" a="1"/>
  <c r="AH307" i="8" s="1"/>
  <c r="AG307" i="8" a="1"/>
  <c r="AG307" i="8" s="1"/>
  <c r="AI293" i="8" a="1"/>
  <c r="AI293" i="8" s="1"/>
  <c r="AH293" i="8" a="1"/>
  <c r="AH293" i="8" s="1"/>
  <c r="AI279" i="8" a="1"/>
  <c r="AI279" i="8" s="1"/>
  <c r="AH279" i="8" a="1"/>
  <c r="AH279" i="8" s="1"/>
  <c r="AG279" i="8" a="1"/>
  <c r="AG279" i="8" s="1"/>
  <c r="AF265" i="8" a="1"/>
  <c r="AF265" i="8" s="1"/>
  <c r="AH265" i="8" a="1"/>
  <c r="AH265" i="8" s="1"/>
  <c r="AG265" i="8" a="1"/>
  <c r="AG265" i="8" s="1"/>
  <c r="AI265" i="8" a="1"/>
  <c r="AI265" i="8" s="1"/>
  <c r="AI251" i="8" a="1"/>
  <c r="AI251" i="8" s="1"/>
  <c r="AH251" i="8" a="1"/>
  <c r="AH251" i="8" s="1"/>
  <c r="AI237" i="8" a="1"/>
  <c r="AI237" i="8" s="1"/>
  <c r="AH237" i="8" a="1"/>
  <c r="AH237" i="8" s="1"/>
  <c r="AG237" i="8" a="1"/>
  <c r="AG237" i="8" s="1"/>
  <c r="AH209" i="8" a="1"/>
  <c r="AH209" i="8" s="1"/>
  <c r="AI209" i="8" a="1"/>
  <c r="AI209" i="8" s="1"/>
  <c r="AI181" i="8" a="1"/>
  <c r="AI181" i="8" s="1"/>
  <c r="AG181" i="8" a="1"/>
  <c r="AG181" i="8" s="1"/>
  <c r="AF181" i="8" a="1"/>
  <c r="AF181" i="8" s="1"/>
  <c r="AH181" i="8" a="1"/>
  <c r="AH181" i="8" s="1"/>
  <c r="AG293" i="8" a="1"/>
  <c r="AG293" i="8" s="1"/>
  <c r="AI545" i="8" a="1"/>
  <c r="AI545" i="8" s="1"/>
  <c r="AI587" i="8" a="1"/>
  <c r="AI587" i="8" s="1"/>
  <c r="AH616" i="8" a="1"/>
  <c r="AH616" i="8" s="1"/>
  <c r="AG672" i="8" a="1"/>
  <c r="AG672" i="8" s="1"/>
  <c r="AH685" i="8" a="1"/>
  <c r="AH685" i="8" s="1"/>
  <c r="AH895" i="8" a="1"/>
  <c r="AH895" i="8" s="1"/>
  <c r="AI1035" i="8" a="1"/>
  <c r="AI1035" i="8" s="1"/>
  <c r="AI1049" i="8" a="1"/>
  <c r="AI1049" i="8" s="1"/>
  <c r="AH1188" i="8" a="1"/>
  <c r="AH1188" i="8" s="1"/>
  <c r="AG1188" i="8" a="1"/>
  <c r="AG1188" i="8" s="1"/>
  <c r="AI1188" i="8" a="1"/>
  <c r="AI1188" i="8" s="1"/>
  <c r="AH1174" i="8" a="1"/>
  <c r="AH1174" i="8" s="1"/>
  <c r="AG1174" i="8" a="1"/>
  <c r="AG1174" i="8" s="1"/>
  <c r="AI1174" i="8" a="1"/>
  <c r="AI1174" i="8" s="1"/>
  <c r="AH1160" i="8" a="1"/>
  <c r="AH1160" i="8" s="1"/>
  <c r="AG1160" i="8" a="1"/>
  <c r="AG1160" i="8" s="1"/>
  <c r="AI1160" i="8" a="1"/>
  <c r="AI1160" i="8" s="1"/>
  <c r="AG1146" i="8" a="1"/>
  <c r="AG1146" i="8" s="1"/>
  <c r="AI1146" i="8" a="1"/>
  <c r="AI1146" i="8" s="1"/>
  <c r="AH1146" i="8" a="1"/>
  <c r="AH1146" i="8" s="1"/>
  <c r="AG1132" i="8" a="1"/>
  <c r="AG1132" i="8" s="1"/>
  <c r="AI1132" i="8" a="1"/>
  <c r="AI1132" i="8" s="1"/>
  <c r="AH1132" i="8" a="1"/>
  <c r="AH1132" i="8" s="1"/>
  <c r="AH1118" i="8" a="1"/>
  <c r="AH1118" i="8" s="1"/>
  <c r="AG1118" i="8" a="1"/>
  <c r="AG1118" i="8" s="1"/>
  <c r="AI1118" i="8" a="1"/>
  <c r="AI1118" i="8" s="1"/>
  <c r="AI1104" i="8" a="1"/>
  <c r="AI1104" i="8" s="1"/>
  <c r="AI1090" i="8" a="1"/>
  <c r="AI1090" i="8" s="1"/>
  <c r="AH1090" i="8" a="1"/>
  <c r="AH1090" i="8" s="1"/>
  <c r="AG1090" i="8" a="1"/>
  <c r="AG1090" i="8" s="1"/>
  <c r="AG1076" i="8" a="1"/>
  <c r="AG1076" i="8" s="1"/>
  <c r="AH1076" i="8" a="1"/>
  <c r="AH1076" i="8" s="1"/>
  <c r="AI1076" i="8" a="1"/>
  <c r="AI1076" i="8" s="1"/>
  <c r="AG1062" i="8" a="1"/>
  <c r="AG1062" i="8" s="1"/>
  <c r="AI1062" i="8" a="1"/>
  <c r="AI1062" i="8" s="1"/>
  <c r="AH1062" i="8" a="1"/>
  <c r="AH1062" i="8" s="1"/>
  <c r="AH1048" i="8" a="1"/>
  <c r="AH1048" i="8" s="1"/>
  <c r="AG1048" i="8" a="1"/>
  <c r="AG1048" i="8" s="1"/>
  <c r="AI1034" i="8" a="1"/>
  <c r="AI1034" i="8" s="1"/>
  <c r="AH1034" i="8" a="1"/>
  <c r="AH1034" i="8" s="1"/>
  <c r="AG1034" i="8" a="1"/>
  <c r="AG1034" i="8" s="1"/>
  <c r="AH1020" i="8" a="1"/>
  <c r="AH1020" i="8" s="1"/>
  <c r="AI1020" i="8" a="1"/>
  <c r="AI1020" i="8" s="1"/>
  <c r="AH1006" i="8" a="1"/>
  <c r="AH1006" i="8" s="1"/>
  <c r="AG1006" i="8" a="1"/>
  <c r="AG1006" i="8" s="1"/>
  <c r="AI992" i="8" a="1"/>
  <c r="AI992" i="8" s="1"/>
  <c r="AG992" i="8" a="1"/>
  <c r="AG992" i="8" s="1"/>
  <c r="AH978" i="8" a="1"/>
  <c r="AH978" i="8" s="1"/>
  <c r="AI978" i="8" a="1"/>
  <c r="AI978" i="8" s="1"/>
  <c r="AG964" i="8" a="1"/>
  <c r="AG964" i="8" s="1"/>
  <c r="AH964" i="8" a="1"/>
  <c r="AH964" i="8" s="1"/>
  <c r="AI964" i="8" a="1"/>
  <c r="AI964" i="8" s="1"/>
  <c r="AI950" i="8" a="1"/>
  <c r="AI950" i="8" s="1"/>
  <c r="AG950" i="8" a="1"/>
  <c r="AG950" i="8" s="1"/>
  <c r="AH950" i="8" a="1"/>
  <c r="AH950" i="8" s="1"/>
  <c r="AI936" i="8" a="1"/>
  <c r="AI936" i="8" s="1"/>
  <c r="AG936" i="8" a="1"/>
  <c r="AG936" i="8" s="1"/>
  <c r="AH936" i="8" a="1"/>
  <c r="AH936" i="8" s="1"/>
  <c r="AI922" i="8" a="1"/>
  <c r="AI922" i="8" s="1"/>
  <c r="AH922" i="8" a="1"/>
  <c r="AH922" i="8" s="1"/>
  <c r="AG922" i="8" a="1"/>
  <c r="AG922" i="8" s="1"/>
  <c r="AH908" i="8" a="1"/>
  <c r="AH908" i="8" s="1"/>
  <c r="AG908" i="8" a="1"/>
  <c r="AG908" i="8" s="1"/>
  <c r="AI894" i="8" a="1"/>
  <c r="AI894" i="8" s="1"/>
  <c r="AG894" i="8" a="1"/>
  <c r="AG894" i="8" s="1"/>
  <c r="AH894" i="8" a="1"/>
  <c r="AH894" i="8" s="1"/>
  <c r="AI880" i="8" a="1"/>
  <c r="AI880" i="8" s="1"/>
  <c r="AH880" i="8" a="1"/>
  <c r="AH880" i="8" s="1"/>
  <c r="AG880" i="8" a="1"/>
  <c r="AG880" i="8" s="1"/>
  <c r="AH852" i="8" a="1"/>
  <c r="AH852" i="8" s="1"/>
  <c r="AI852" i="8" a="1"/>
  <c r="AI852" i="8" s="1"/>
  <c r="AG852" i="8" a="1"/>
  <c r="AG852" i="8" s="1"/>
  <c r="AI838" i="8" a="1"/>
  <c r="AI838" i="8" s="1"/>
  <c r="AH838" i="8" a="1"/>
  <c r="AH838" i="8" s="1"/>
  <c r="AG838" i="8" a="1"/>
  <c r="AG838" i="8" s="1"/>
  <c r="AG810" i="8" a="1"/>
  <c r="AG810" i="8" s="1"/>
  <c r="AH810" i="8" a="1"/>
  <c r="AH810" i="8" s="1"/>
  <c r="AI810" i="8" a="1"/>
  <c r="AI810" i="8" s="1"/>
  <c r="AH796" i="8" a="1"/>
  <c r="AH796" i="8" s="1"/>
  <c r="AI796" i="8" a="1"/>
  <c r="AI796" i="8" s="1"/>
  <c r="AG796" i="8" a="1"/>
  <c r="AG796" i="8" s="1"/>
  <c r="AI782" i="8" a="1"/>
  <c r="AI782" i="8" s="1"/>
  <c r="AH782" i="8" a="1"/>
  <c r="AH782" i="8" s="1"/>
  <c r="AG782" i="8" a="1"/>
  <c r="AG782" i="8" s="1"/>
  <c r="AI768" i="8" a="1"/>
  <c r="AI768" i="8" s="1"/>
  <c r="AG768" i="8" a="1"/>
  <c r="AG768" i="8" s="1"/>
  <c r="AI740" i="8" a="1"/>
  <c r="AI740" i="8" s="1"/>
  <c r="AG740" i="8" a="1"/>
  <c r="AG740" i="8" s="1"/>
  <c r="AH740" i="8" a="1"/>
  <c r="AH740" i="8" s="1"/>
  <c r="AI726" i="8" a="1"/>
  <c r="AI726" i="8" s="1"/>
  <c r="AH726" i="8" a="1"/>
  <c r="AH726" i="8" s="1"/>
  <c r="AG712" i="8" a="1"/>
  <c r="AG712" i="8" s="1"/>
  <c r="AH712" i="8" a="1"/>
  <c r="AH712" i="8" s="1"/>
  <c r="AI712" i="8" a="1"/>
  <c r="AI712" i="8" s="1"/>
  <c r="AG698" i="8" a="1"/>
  <c r="AG698" i="8" s="1"/>
  <c r="AI698" i="8" a="1"/>
  <c r="AI698" i="8" s="1"/>
  <c r="AH698" i="8" a="1"/>
  <c r="AH698" i="8" s="1"/>
  <c r="AI684" i="8" a="1"/>
  <c r="AI684" i="8" s="1"/>
  <c r="AH684" i="8" a="1"/>
  <c r="AH684" i="8" s="1"/>
  <c r="AI670" i="8" a="1"/>
  <c r="AI670" i="8" s="1"/>
  <c r="AH670" i="8" a="1"/>
  <c r="AH670" i="8" s="1"/>
  <c r="AG670" i="8" a="1"/>
  <c r="AG670" i="8" s="1"/>
  <c r="AI642" i="8" a="1"/>
  <c r="AI642" i="8" s="1"/>
  <c r="AG642" i="8" a="1"/>
  <c r="AG642" i="8" s="1"/>
  <c r="AF642" i="8" a="1"/>
  <c r="AF642" i="8" s="1"/>
  <c r="AH642" i="8" a="1"/>
  <c r="AH642" i="8" s="1"/>
  <c r="AH628" i="8" a="1"/>
  <c r="AH628" i="8" s="1"/>
  <c r="AI628" i="8" a="1"/>
  <c r="AI628" i="8" s="1"/>
  <c r="AF614" i="8" a="1"/>
  <c r="AF614" i="8" s="1"/>
  <c r="AI614" i="8" a="1"/>
  <c r="AI614" i="8" s="1"/>
  <c r="AG614" i="8" a="1"/>
  <c r="AG614" i="8" s="1"/>
  <c r="AH614" i="8" a="1"/>
  <c r="AH614" i="8" s="1"/>
  <c r="AF600" i="8" a="1"/>
  <c r="AF600" i="8" s="1"/>
  <c r="AI600" i="8" a="1"/>
  <c r="AI600" i="8" s="1"/>
  <c r="AH600" i="8" a="1"/>
  <c r="AH600" i="8" s="1"/>
  <c r="AG600" i="8" a="1"/>
  <c r="AG600" i="8" s="1"/>
  <c r="AI586" i="8" a="1"/>
  <c r="AI586" i="8" s="1"/>
  <c r="AG586" i="8" a="1"/>
  <c r="AG586" i="8" s="1"/>
  <c r="AH586" i="8" a="1"/>
  <c r="AH586" i="8" s="1"/>
  <c r="AH572" i="8" a="1"/>
  <c r="AH572" i="8" s="1"/>
  <c r="AG572" i="8" a="1"/>
  <c r="AG572" i="8" s="1"/>
  <c r="AI558" i="8" a="1"/>
  <c r="AI558" i="8" s="1"/>
  <c r="AG558" i="8" a="1"/>
  <c r="AG558" i="8" s="1"/>
  <c r="AH558" i="8" a="1"/>
  <c r="AH558" i="8" s="1"/>
  <c r="AH544" i="8" a="1"/>
  <c r="AH544" i="8" s="1"/>
  <c r="AF544" i="8" a="1"/>
  <c r="AF544" i="8" s="1"/>
  <c r="AG544" i="8" a="1"/>
  <c r="AG544" i="8" s="1"/>
  <c r="AG530" i="8" a="1"/>
  <c r="AG530" i="8" s="1"/>
  <c r="AI530" i="8" a="1"/>
  <c r="AI530" i="8" s="1"/>
  <c r="AH474" i="8" a="1"/>
  <c r="AH474" i="8" s="1"/>
  <c r="AG474" i="8" a="1"/>
  <c r="AG474" i="8" s="1"/>
  <c r="AI474" i="8" a="1"/>
  <c r="AI474" i="8" s="1"/>
  <c r="AI432" i="8" a="1"/>
  <c r="AI432" i="8" s="1"/>
  <c r="AH432" i="8" a="1"/>
  <c r="AH432" i="8" s="1"/>
  <c r="AH418" i="8" a="1"/>
  <c r="AH418" i="8" s="1"/>
  <c r="AI418" i="8" a="1"/>
  <c r="AI418" i="8" s="1"/>
  <c r="AH390" i="8" a="1"/>
  <c r="AH390" i="8" s="1"/>
  <c r="AI390" i="8" a="1"/>
  <c r="AI390" i="8" s="1"/>
  <c r="AG390" i="8" a="1"/>
  <c r="AG390" i="8" s="1"/>
  <c r="AF390" i="8" a="1"/>
  <c r="AF390" i="8" s="1"/>
  <c r="AF376" i="8" a="1"/>
  <c r="AF376" i="8" s="1"/>
  <c r="AI376" i="8" a="1"/>
  <c r="AI376" i="8" s="1"/>
  <c r="AH376" i="8" a="1"/>
  <c r="AH376" i="8" s="1"/>
  <c r="AI362" i="8" a="1"/>
  <c r="AI362" i="8" s="1"/>
  <c r="AH362" i="8" a="1"/>
  <c r="AH362" i="8" s="1"/>
  <c r="AH348" i="8" a="1"/>
  <c r="AH348" i="8" s="1"/>
  <c r="AG348" i="8" a="1"/>
  <c r="AG348" i="8" s="1"/>
  <c r="AG334" i="8" a="1"/>
  <c r="AG334" i="8" s="1"/>
  <c r="AH334" i="8" a="1"/>
  <c r="AH334" i="8" s="1"/>
  <c r="AI334" i="8" a="1"/>
  <c r="AI334" i="8" s="1"/>
  <c r="AF334" i="8" a="1"/>
  <c r="AF334" i="8" s="1"/>
  <c r="AH320" i="8" a="1"/>
  <c r="AH320" i="8" s="1"/>
  <c r="AI320" i="8" a="1"/>
  <c r="AI320" i="8" s="1"/>
  <c r="AG320" i="8" a="1"/>
  <c r="AG320" i="8" s="1"/>
  <c r="AI306" i="8" a="1"/>
  <c r="AI306" i="8" s="1"/>
  <c r="AG306" i="8" a="1"/>
  <c r="AG306" i="8" s="1"/>
  <c r="AH306" i="8" a="1"/>
  <c r="AH306" i="8" s="1"/>
  <c r="AH292" i="8" a="1"/>
  <c r="AH292" i="8" s="1"/>
  <c r="AG292" i="8" a="1"/>
  <c r="AG292" i="8" s="1"/>
  <c r="AG278" i="8" a="1"/>
  <c r="AG278" i="8" s="1"/>
  <c r="AI264" i="8" a="1"/>
  <c r="AI264" i="8" s="1"/>
  <c r="AH264" i="8" a="1"/>
  <c r="AH264" i="8" s="1"/>
  <c r="AG236" i="8" a="1"/>
  <c r="AG236" i="8" s="1"/>
  <c r="AI236" i="8" a="1"/>
  <c r="AI236" i="8" s="1"/>
  <c r="AH236" i="8" a="1"/>
  <c r="AH236" i="8" s="1"/>
  <c r="AI194" i="8" a="1"/>
  <c r="AI194" i="8" s="1"/>
  <c r="AH194" i="8" a="1"/>
  <c r="AH194" i="8" s="1"/>
  <c r="AG180" i="8" a="1"/>
  <c r="AG180" i="8" s="1"/>
  <c r="AI250" i="8" a="1"/>
  <c r="AI250" i="8" s="1"/>
  <c r="AI280" i="8" a="1"/>
  <c r="AI280" i="8" s="1"/>
  <c r="AH392" i="8" a="1"/>
  <c r="AH392" i="8" s="1"/>
  <c r="AI517" i="8" a="1"/>
  <c r="AI517" i="8" s="1"/>
  <c r="AG947" i="8" a="1"/>
  <c r="AG947" i="8" s="1"/>
  <c r="AG1036" i="8" a="1"/>
  <c r="AG1036" i="8" s="1"/>
  <c r="AG1104" i="8" a="1"/>
  <c r="AG1104" i="8" s="1"/>
  <c r="AI1187" i="8" a="1"/>
  <c r="AI1187" i="8" s="1"/>
  <c r="AH1187" i="8" a="1"/>
  <c r="AH1187" i="8" s="1"/>
  <c r="AG1187" i="8" a="1"/>
  <c r="AG1187" i="8" s="1"/>
  <c r="AH1159" i="8" a="1"/>
  <c r="AH1159" i="8" s="1"/>
  <c r="AG1159" i="8" a="1"/>
  <c r="AG1159" i="8" s="1"/>
  <c r="AI1159" i="8" a="1"/>
  <c r="AI1159" i="8" s="1"/>
  <c r="AI1131" i="8" a="1"/>
  <c r="AI1131" i="8" s="1"/>
  <c r="AH1131" i="8" a="1"/>
  <c r="AH1131" i="8" s="1"/>
  <c r="AG1131" i="8" a="1"/>
  <c r="AG1131" i="8" s="1"/>
  <c r="AH1075" i="8" a="1"/>
  <c r="AH1075" i="8" s="1"/>
  <c r="AG1075" i="8" a="1"/>
  <c r="AG1075" i="8" s="1"/>
  <c r="AI1075" i="8" a="1"/>
  <c r="AI1075" i="8" s="1"/>
  <c r="AG1061" i="8" a="1"/>
  <c r="AG1061" i="8" s="1"/>
  <c r="AH1061" i="8" a="1"/>
  <c r="AH1061" i="8" s="1"/>
  <c r="AI1061" i="8" a="1"/>
  <c r="AI1061" i="8" s="1"/>
  <c r="AG1033" i="8" a="1"/>
  <c r="AG1033" i="8" s="1"/>
  <c r="AI1033" i="8" a="1"/>
  <c r="AI1033" i="8" s="1"/>
  <c r="AH1033" i="8" a="1"/>
  <c r="AH1033" i="8" s="1"/>
  <c r="AI1005" i="8" a="1"/>
  <c r="AI1005" i="8" s="1"/>
  <c r="AH1005" i="8" a="1"/>
  <c r="AH1005" i="8" s="1"/>
  <c r="AG1005" i="8" a="1"/>
  <c r="AG1005" i="8" s="1"/>
  <c r="AI991" i="8" a="1"/>
  <c r="AI991" i="8" s="1"/>
  <c r="AH991" i="8" a="1"/>
  <c r="AH991" i="8" s="1"/>
  <c r="AH963" i="8" a="1"/>
  <c r="AH963" i="8" s="1"/>
  <c r="AI963" i="8" a="1"/>
  <c r="AI963" i="8" s="1"/>
  <c r="AG963" i="8" a="1"/>
  <c r="AG963" i="8" s="1"/>
  <c r="AH907" i="8" a="1"/>
  <c r="AH907" i="8" s="1"/>
  <c r="AG907" i="8" a="1"/>
  <c r="AG907" i="8" s="1"/>
  <c r="AI907" i="8" a="1"/>
  <c r="AI907" i="8" s="1"/>
  <c r="AI893" i="8" a="1"/>
  <c r="AI893" i="8" s="1"/>
  <c r="AH893" i="8" a="1"/>
  <c r="AH893" i="8" s="1"/>
  <c r="AG893" i="8" a="1"/>
  <c r="AG893" i="8" s="1"/>
  <c r="AI865" i="8" a="1"/>
  <c r="AI865" i="8" s="1"/>
  <c r="AG865" i="8" a="1"/>
  <c r="AG865" i="8" s="1"/>
  <c r="AI837" i="8" a="1"/>
  <c r="AI837" i="8" s="1"/>
  <c r="AH837" i="8" a="1"/>
  <c r="AH837" i="8" s="1"/>
  <c r="AG837" i="8" a="1"/>
  <c r="AG837" i="8" s="1"/>
  <c r="AG809" i="8" a="1"/>
  <c r="AG809" i="8" s="1"/>
  <c r="AI809" i="8" a="1"/>
  <c r="AI809" i="8" s="1"/>
  <c r="AH809" i="8" a="1"/>
  <c r="AH809" i="8" s="1"/>
  <c r="AG781" i="8" a="1"/>
  <c r="AG781" i="8" s="1"/>
  <c r="AI781" i="8" a="1"/>
  <c r="AI781" i="8" s="1"/>
  <c r="AH683" i="8" a="1"/>
  <c r="AH683" i="8" s="1"/>
  <c r="AG683" i="8" a="1"/>
  <c r="AG683" i="8" s="1"/>
  <c r="AH655" i="8" a="1"/>
  <c r="AH655" i="8" s="1"/>
  <c r="AG655" i="8" a="1"/>
  <c r="AG655" i="8" s="1"/>
  <c r="AG627" i="8" a="1"/>
  <c r="AG627" i="8" s="1"/>
  <c r="AF627" i="8" a="1"/>
  <c r="AF627" i="8" s="1"/>
  <c r="AF599" i="8" a="1"/>
  <c r="AF599" i="8" s="1"/>
  <c r="AI599" i="8" a="1"/>
  <c r="AI599" i="8" s="1"/>
  <c r="AI571" i="8" a="1"/>
  <c r="AI571" i="8" s="1"/>
  <c r="AH571" i="8" a="1"/>
  <c r="AH571" i="8" s="1"/>
  <c r="AG571" i="8" a="1"/>
  <c r="AG571" i="8" s="1"/>
  <c r="AH515" i="8" a="1"/>
  <c r="AH515" i="8" s="1"/>
  <c r="AI515" i="8" a="1"/>
  <c r="AI515" i="8" s="1"/>
  <c r="AG487" i="8" a="1"/>
  <c r="AG487" i="8" s="1"/>
  <c r="AI487" i="8" a="1"/>
  <c r="AI487" i="8" s="1"/>
  <c r="AH487" i="8" a="1"/>
  <c r="AH487" i="8" s="1"/>
  <c r="AI459" i="8" a="1"/>
  <c r="AI459" i="8" s="1"/>
  <c r="AG459" i="8" a="1"/>
  <c r="AG459" i="8" s="1"/>
  <c r="AH445" i="8" a="1"/>
  <c r="AH445" i="8" s="1"/>
  <c r="AG445" i="8" a="1"/>
  <c r="AG445" i="8" s="1"/>
  <c r="AH417" i="8" a="1"/>
  <c r="AH417" i="8" s="1"/>
  <c r="AG417" i="8" a="1"/>
  <c r="AG417" i="8" s="1"/>
  <c r="AF417" i="8" a="1"/>
  <c r="AF417" i="8" s="1"/>
  <c r="AH389" i="8" a="1"/>
  <c r="AH389" i="8" s="1"/>
  <c r="AI389" i="8" a="1"/>
  <c r="AI389" i="8" s="1"/>
  <c r="AG319" i="8" a="1"/>
  <c r="AG319" i="8" s="1"/>
  <c r="AI319" i="8" a="1"/>
  <c r="AI319" i="8" s="1"/>
  <c r="AH291" i="8" a="1"/>
  <c r="AH291" i="8" s="1"/>
  <c r="AG291" i="8" a="1"/>
  <c r="AG291" i="8" s="1"/>
  <c r="AI291" i="8" a="1"/>
  <c r="AI291" i="8" s="1"/>
  <c r="AI277" i="8" a="1"/>
  <c r="AI277" i="8" s="1"/>
  <c r="AG277" i="8" a="1"/>
  <c r="AG277" i="8" s="1"/>
  <c r="AH277" i="8" a="1"/>
  <c r="AH277" i="8" s="1"/>
  <c r="AH235" i="8" a="1"/>
  <c r="AH235" i="8" s="1"/>
  <c r="AI221" i="8" a="1"/>
  <c r="AI221" i="8" s="1"/>
  <c r="AH221" i="8" a="1"/>
  <c r="AH221" i="8" s="1"/>
  <c r="AG221" i="8" a="1"/>
  <c r="AG221" i="8" s="1"/>
  <c r="AI179" i="8" a="1"/>
  <c r="AI179" i="8" s="1"/>
  <c r="AG251" i="8" a="1"/>
  <c r="AG251" i="8" s="1"/>
  <c r="AH308" i="8" a="1"/>
  <c r="AH308" i="8" s="1"/>
  <c r="AF404" i="8" a="1"/>
  <c r="AF404" i="8" s="1"/>
  <c r="AH446" i="8" a="1"/>
  <c r="AH446" i="8" s="1"/>
  <c r="AG489" i="8" a="1"/>
  <c r="AG489" i="8" s="1"/>
  <c r="AI641" i="8" a="1"/>
  <c r="AI641" i="8" s="1"/>
  <c r="AG742" i="8" a="1"/>
  <c r="AG742" i="8" s="1"/>
  <c r="AH824" i="8" a="1"/>
  <c r="AH824" i="8" s="1"/>
  <c r="AI866" i="8" a="1"/>
  <c r="AI866" i="8" s="1"/>
  <c r="AH965" i="8" a="1"/>
  <c r="AH965" i="8" s="1"/>
  <c r="AI1006" i="8" a="1"/>
  <c r="AI1006" i="8" s="1"/>
  <c r="AH1036" i="8" a="1"/>
  <c r="AH1036" i="8" s="1"/>
  <c r="AG1064" i="8" a="1"/>
  <c r="AG1064" i="8" s="1"/>
  <c r="AH1186" i="8" a="1"/>
  <c r="AH1186" i="8" s="1"/>
  <c r="AI1186" i="8" a="1"/>
  <c r="AI1186" i="8" s="1"/>
  <c r="AG1186" i="8" a="1"/>
  <c r="AG1186" i="8" s="1"/>
  <c r="AH1158" i="8" a="1"/>
  <c r="AH1158" i="8" s="1"/>
  <c r="AG1158" i="8" a="1"/>
  <c r="AG1158" i="8" s="1"/>
  <c r="AH1130" i="8" a="1"/>
  <c r="AH1130" i="8" s="1"/>
  <c r="AG1130" i="8" a="1"/>
  <c r="AG1130" i="8" s="1"/>
  <c r="AI1130" i="8" a="1"/>
  <c r="AI1130" i="8" s="1"/>
  <c r="AI1116" i="8" a="1"/>
  <c r="AI1116" i="8" s="1"/>
  <c r="AG1116" i="8" a="1"/>
  <c r="AG1116" i="8" s="1"/>
  <c r="AH1116" i="8" a="1"/>
  <c r="AH1116" i="8" s="1"/>
  <c r="AF1102" i="8" a="1"/>
  <c r="AF1102" i="8" s="1"/>
  <c r="AH1102" i="8" a="1"/>
  <c r="AH1102" i="8" s="1"/>
  <c r="AG1102" i="8" a="1"/>
  <c r="AG1102" i="8" s="1"/>
  <c r="AI1074" i="8" a="1"/>
  <c r="AI1074" i="8" s="1"/>
  <c r="AH1074" i="8" a="1"/>
  <c r="AH1074" i="8" s="1"/>
  <c r="AG1074" i="8" a="1"/>
  <c r="AG1074" i="8" s="1"/>
  <c r="AH1046" i="8" a="1"/>
  <c r="AH1046" i="8" s="1"/>
  <c r="AG1046" i="8" a="1"/>
  <c r="AG1046" i="8" s="1"/>
  <c r="AI1004" i="8" a="1"/>
  <c r="AI1004" i="8" s="1"/>
  <c r="AG1004" i="8" a="1"/>
  <c r="AG1004" i="8" s="1"/>
  <c r="AH1004" i="8" a="1"/>
  <c r="AH1004" i="8" s="1"/>
  <c r="AH976" i="8" a="1"/>
  <c r="AH976" i="8" s="1"/>
  <c r="AI976" i="8" a="1"/>
  <c r="AI976" i="8" s="1"/>
  <c r="AG976" i="8" a="1"/>
  <c r="AG976" i="8" s="1"/>
  <c r="AI962" i="8" a="1"/>
  <c r="AI962" i="8" s="1"/>
  <c r="AH962" i="8" a="1"/>
  <c r="AH962" i="8" s="1"/>
  <c r="AG962" i="8" a="1"/>
  <c r="AG962" i="8" s="1"/>
  <c r="AH934" i="8" a="1"/>
  <c r="AH934" i="8" s="1"/>
  <c r="AG934" i="8" a="1"/>
  <c r="AG934" i="8" s="1"/>
  <c r="AI934" i="8" a="1"/>
  <c r="AI934" i="8" s="1"/>
  <c r="AG906" i="8" a="1"/>
  <c r="AG906" i="8" s="1"/>
  <c r="AI906" i="8" a="1"/>
  <c r="AI906" i="8" s="1"/>
  <c r="AI878" i="8" a="1"/>
  <c r="AI878" i="8" s="1"/>
  <c r="AH878" i="8" a="1"/>
  <c r="AH878" i="8" s="1"/>
  <c r="AG878" i="8" a="1"/>
  <c r="AG878" i="8" s="1"/>
  <c r="AG850" i="8" a="1"/>
  <c r="AG850" i="8" s="1"/>
  <c r="AI850" i="8" a="1"/>
  <c r="AI850" i="8" s="1"/>
  <c r="AH850" i="8" a="1"/>
  <c r="AH850" i="8" s="1"/>
  <c r="AI822" i="8" a="1"/>
  <c r="AI822" i="8" s="1"/>
  <c r="AG822" i="8" a="1"/>
  <c r="AG822" i="8" s="1"/>
  <c r="AH822" i="8" a="1"/>
  <c r="AH822" i="8" s="1"/>
  <c r="AI808" i="8" a="1"/>
  <c r="AI808" i="8" s="1"/>
  <c r="AH808" i="8" a="1"/>
  <c r="AH808" i="8" s="1"/>
  <c r="AG808" i="8" a="1"/>
  <c r="AG808" i="8" s="1"/>
  <c r="AH780" i="8" a="1"/>
  <c r="AH780" i="8" s="1"/>
  <c r="AG780" i="8" a="1"/>
  <c r="AG780" i="8" s="1"/>
  <c r="AI780" i="8" a="1"/>
  <c r="AI780" i="8" s="1"/>
  <c r="AH584" i="8" a="1"/>
  <c r="AH584" i="8" s="1"/>
  <c r="AG584" i="8" a="1"/>
  <c r="AG584" i="8" s="1"/>
  <c r="AI584" i="8" a="1"/>
  <c r="AI584" i="8" s="1"/>
  <c r="AG542" i="8" a="1"/>
  <c r="AG542" i="8" s="1"/>
  <c r="AI542" i="8" a="1"/>
  <c r="AI542" i="8" s="1"/>
  <c r="AH542" i="8" a="1"/>
  <c r="AH542" i="8" s="1"/>
  <c r="AI486" i="8" a="1"/>
  <c r="AI486" i="8" s="1"/>
  <c r="AH486" i="8" a="1"/>
  <c r="AH486" i="8" s="1"/>
  <c r="AG486" i="8" a="1"/>
  <c r="AG486" i="8" s="1"/>
  <c r="AI458" i="8" a="1"/>
  <c r="AI458" i="8" s="1"/>
  <c r="AH458" i="8" a="1"/>
  <c r="AH458" i="8" s="1"/>
  <c r="AG458" i="8" a="1"/>
  <c r="AG458" i="8" s="1"/>
  <c r="AI430" i="8" a="1"/>
  <c r="AI430" i="8" s="1"/>
  <c r="AH430" i="8" a="1"/>
  <c r="AH430" i="8" s="1"/>
  <c r="AF430" i="8" a="1"/>
  <c r="AF430" i="8" s="1"/>
  <c r="AH402" i="8" a="1"/>
  <c r="AH402" i="8" s="1"/>
  <c r="AI402" i="8" a="1"/>
  <c r="AI402" i="8" s="1"/>
  <c r="AG402" i="8" a="1"/>
  <c r="AG402" i="8" s="1"/>
  <c r="AI388" i="8" a="1"/>
  <c r="AI388" i="8" s="1"/>
  <c r="AH388" i="8" a="1"/>
  <c r="AH388" i="8" s="1"/>
  <c r="AI374" i="8" a="1"/>
  <c r="AI374" i="8" s="1"/>
  <c r="AH374" i="8" a="1"/>
  <c r="AH374" i="8" s="1"/>
  <c r="AG304" i="8" a="1"/>
  <c r="AG304" i="8" s="1"/>
  <c r="AH304" i="8" a="1"/>
  <c r="AH304" i="8" s="1"/>
  <c r="AI290" i="8" a="1"/>
  <c r="AI290" i="8" s="1"/>
  <c r="AH290" i="8" a="1"/>
  <c r="AH290" i="8" s="1"/>
  <c r="AG290" i="8" a="1"/>
  <c r="AG290" i="8" s="1"/>
  <c r="AG276" i="8" a="1"/>
  <c r="AG276" i="8" s="1"/>
  <c r="AI276" i="8" a="1"/>
  <c r="AI276" i="8" s="1"/>
  <c r="AI262" i="8" a="1"/>
  <c r="AI262" i="8" s="1"/>
  <c r="AG262" i="8" a="1"/>
  <c r="AG262" i="8" s="1"/>
  <c r="AF262" i="8" a="1"/>
  <c r="AF262" i="8" s="1"/>
  <c r="AH262" i="8" a="1"/>
  <c r="AH262" i="8" s="1"/>
  <c r="AI248" i="8" a="1"/>
  <c r="AI248" i="8" s="1"/>
  <c r="AH248" i="8" a="1"/>
  <c r="AH248" i="8" s="1"/>
  <c r="AI234" i="8" a="1"/>
  <c r="AI234" i="8" s="1"/>
  <c r="AG234" i="8" a="1"/>
  <c r="AG234" i="8" s="1"/>
  <c r="AG220" i="8" a="1"/>
  <c r="AG220" i="8" s="1"/>
  <c r="AI220" i="8" a="1"/>
  <c r="AI220" i="8" s="1"/>
  <c r="AH220" i="8" a="1"/>
  <c r="AH220" i="8" s="1"/>
  <c r="AH206" i="8" a="1"/>
  <c r="AH206" i="8" s="1"/>
  <c r="AG206" i="8" a="1"/>
  <c r="AG206" i="8" s="1"/>
  <c r="AH178" i="8" a="1"/>
  <c r="AH178" i="8" s="1"/>
  <c r="AI178" i="8" a="1"/>
  <c r="AI178" i="8" s="1"/>
  <c r="AG178" i="8" a="1"/>
  <c r="AG178" i="8" s="1"/>
  <c r="AH180" i="8" a="1"/>
  <c r="AH180" i="8" s="1"/>
  <c r="AI263" i="8" a="1"/>
  <c r="AI263" i="8" s="1"/>
  <c r="AI322" i="8" a="1"/>
  <c r="AI322" i="8" s="1"/>
  <c r="AI333" i="8" a="1"/>
  <c r="AI333" i="8" s="1"/>
  <c r="AI392" i="8" a="1"/>
  <c r="AI392" i="8" s="1"/>
  <c r="AG404" i="8" a="1"/>
  <c r="AG404" i="8" s="1"/>
  <c r="AI417" i="8" a="1"/>
  <c r="AI417" i="8" s="1"/>
  <c r="AH476" i="8" a="1"/>
  <c r="AH476" i="8" s="1"/>
  <c r="AG503" i="8" a="1"/>
  <c r="AG503" i="8" s="1"/>
  <c r="AH947" i="8" a="1"/>
  <c r="AH947" i="8" s="1"/>
  <c r="AH1199" i="8" a="1"/>
  <c r="AH1199" i="8" s="1"/>
  <c r="AG1199" i="8" a="1"/>
  <c r="AG1199" i="8" s="1"/>
  <c r="AI1199" i="8" a="1"/>
  <c r="AI1199" i="8" s="1"/>
  <c r="AF1199" i="8" a="1"/>
  <c r="AF1199" i="8" s="1"/>
  <c r="AG1185" i="8" a="1"/>
  <c r="AG1185" i="8" s="1"/>
  <c r="AI1185" i="8" a="1"/>
  <c r="AI1185" i="8" s="1"/>
  <c r="AI1171" i="8" a="1"/>
  <c r="AI1171" i="8" s="1"/>
  <c r="AH1171" i="8" a="1"/>
  <c r="AH1171" i="8" s="1"/>
  <c r="AG1171" i="8" a="1"/>
  <c r="AG1171" i="8" s="1"/>
  <c r="AI1157" i="8" a="1"/>
  <c r="AI1157" i="8" s="1"/>
  <c r="AI1115" i="8" a="1"/>
  <c r="AI1115" i="8" s="1"/>
  <c r="AG1115" i="8" a="1"/>
  <c r="AG1115" i="8" s="1"/>
  <c r="AH1115" i="8" a="1"/>
  <c r="AH1115" i="8" s="1"/>
  <c r="AH1101" i="8" a="1"/>
  <c r="AH1101" i="8" s="1"/>
  <c r="AG1101" i="8" a="1"/>
  <c r="AG1101" i="8" s="1"/>
  <c r="AI1101" i="8" a="1"/>
  <c r="AI1101" i="8" s="1"/>
  <c r="AH1087" i="8" a="1"/>
  <c r="AH1087" i="8" s="1"/>
  <c r="AI1087" i="8" a="1"/>
  <c r="AI1087" i="8" s="1"/>
  <c r="AI1073" i="8" a="1"/>
  <c r="AI1073" i="8" s="1"/>
  <c r="AH1073" i="8" a="1"/>
  <c r="AH1073" i="8" s="1"/>
  <c r="AG1073" i="8" a="1"/>
  <c r="AG1073" i="8" s="1"/>
  <c r="AH1059" i="8" a="1"/>
  <c r="AH1059" i="8" s="1"/>
  <c r="AI1059" i="8" a="1"/>
  <c r="AI1059" i="8" s="1"/>
  <c r="AG1059" i="8" a="1"/>
  <c r="AG1059" i="8" s="1"/>
  <c r="AG1045" i="8" a="1"/>
  <c r="AG1045" i="8" s="1"/>
  <c r="AI1045" i="8" a="1"/>
  <c r="AI1045" i="8" s="1"/>
  <c r="AH1045" i="8" a="1"/>
  <c r="AH1045" i="8" s="1"/>
  <c r="AI1031" i="8" a="1"/>
  <c r="AI1031" i="8" s="1"/>
  <c r="AG1031" i="8" a="1"/>
  <c r="AG1031" i="8" s="1"/>
  <c r="AH1031" i="8" a="1"/>
  <c r="AH1031" i="8" s="1"/>
  <c r="AI1017" i="8" a="1"/>
  <c r="AI1017" i="8" s="1"/>
  <c r="AH1017" i="8" a="1"/>
  <c r="AH1017" i="8" s="1"/>
  <c r="AG1017" i="8" a="1"/>
  <c r="AG1017" i="8" s="1"/>
  <c r="AH1003" i="8" a="1"/>
  <c r="AH1003" i="8" s="1"/>
  <c r="AI1003" i="8" a="1"/>
  <c r="AI1003" i="8" s="1"/>
  <c r="AG989" i="8" a="1"/>
  <c r="AG989" i="8" s="1"/>
  <c r="AI989" i="8" a="1"/>
  <c r="AI989" i="8" s="1"/>
  <c r="AH989" i="8" a="1"/>
  <c r="AH989" i="8" s="1"/>
  <c r="AG975" i="8" a="1"/>
  <c r="AG975" i="8" s="1"/>
  <c r="AI975" i="8" a="1"/>
  <c r="AI975" i="8" s="1"/>
  <c r="AH975" i="8" a="1"/>
  <c r="AH975" i="8" s="1"/>
  <c r="AG807" i="8" a="1"/>
  <c r="AG807" i="8" s="1"/>
  <c r="AH807" i="8" a="1"/>
  <c r="AH807" i="8" s="1"/>
  <c r="AI807" i="8" a="1"/>
  <c r="AI807" i="8" s="1"/>
  <c r="AI793" i="8" a="1"/>
  <c r="AI793" i="8" s="1"/>
  <c r="AH793" i="8" a="1"/>
  <c r="AH793" i="8" s="1"/>
  <c r="AG793" i="8" a="1"/>
  <c r="AG793" i="8" s="1"/>
  <c r="AI737" i="8" a="1"/>
  <c r="AI737" i="8" s="1"/>
  <c r="AH737" i="8" a="1"/>
  <c r="AH737" i="8" s="1"/>
  <c r="AG737" i="8" a="1"/>
  <c r="AG737" i="8" s="1"/>
  <c r="AG723" i="8" a="1"/>
  <c r="AG723" i="8" s="1"/>
  <c r="AI723" i="8" a="1"/>
  <c r="AI723" i="8" s="1"/>
  <c r="AH723" i="8" a="1"/>
  <c r="AH723" i="8" s="1"/>
  <c r="AH681" i="8" a="1"/>
  <c r="AH681" i="8" s="1"/>
  <c r="AI681" i="8" a="1"/>
  <c r="AI681" i="8" s="1"/>
  <c r="AG681" i="8" a="1"/>
  <c r="AG681" i="8" s="1"/>
  <c r="AI667" i="8" a="1"/>
  <c r="AI667" i="8" s="1"/>
  <c r="AH667" i="8" a="1"/>
  <c r="AH667" i="8" s="1"/>
  <c r="AF597" i="8" a="1"/>
  <c r="AF597" i="8" s="1"/>
  <c r="AI597" i="8" a="1"/>
  <c r="AI597" i="8" s="1"/>
  <c r="AH555" i="8" a="1"/>
  <c r="AH555" i="8" s="1"/>
  <c r="AI555" i="8" a="1"/>
  <c r="AI555" i="8" s="1"/>
  <c r="AG555" i="8" a="1"/>
  <c r="AG555" i="8" s="1"/>
  <c r="AH527" i="8" a="1"/>
  <c r="AH527" i="8" s="1"/>
  <c r="AI527" i="8" a="1"/>
  <c r="AI527" i="8" s="1"/>
  <c r="AG527" i="8" a="1"/>
  <c r="AG527" i="8" s="1"/>
  <c r="AI499" i="8" a="1"/>
  <c r="AI499" i="8" s="1"/>
  <c r="AG499" i="8" a="1"/>
  <c r="AG499" i="8" s="1"/>
  <c r="AH499" i="8" a="1"/>
  <c r="AH499" i="8" s="1"/>
  <c r="AI485" i="8" a="1"/>
  <c r="AI485" i="8" s="1"/>
  <c r="AH485" i="8" a="1"/>
  <c r="AH485" i="8" s="1"/>
  <c r="AG485" i="8" a="1"/>
  <c r="AG485" i="8" s="1"/>
  <c r="AI457" i="8" a="1"/>
  <c r="AI457" i="8" s="1"/>
  <c r="AH457" i="8" a="1"/>
  <c r="AH457" i="8" s="1"/>
  <c r="AG457" i="8" a="1"/>
  <c r="AG457" i="8" s="1"/>
  <c r="AF429" i="8" a="1"/>
  <c r="AF429" i="8" s="1"/>
  <c r="AG429" i="8" a="1"/>
  <c r="AG429" i="8" s="1"/>
  <c r="AH429" i="8" a="1"/>
  <c r="AH429" i="8" s="1"/>
  <c r="AI429" i="8" a="1"/>
  <c r="AI429" i="8" s="1"/>
  <c r="AH415" i="8" a="1"/>
  <c r="AH415" i="8" s="1"/>
  <c r="AI415" i="8" a="1"/>
  <c r="AI415" i="8" s="1"/>
  <c r="AG415" i="8" a="1"/>
  <c r="AG415" i="8" s="1"/>
  <c r="AG331" i="8" a="1"/>
  <c r="AG331" i="8" s="1"/>
  <c r="AH331" i="8" a="1"/>
  <c r="AH331" i="8" s="1"/>
  <c r="AF275" i="8" a="1"/>
  <c r="AF275" i="8" s="1"/>
  <c r="AI275" i="8" a="1"/>
  <c r="AI275" i="8" s="1"/>
  <c r="AG261" i="8" a="1"/>
  <c r="AG261" i="8" s="1"/>
  <c r="AI261" i="8" a="1"/>
  <c r="AI261" i="8" s="1"/>
  <c r="AH261" i="8" a="1"/>
  <c r="AH261" i="8" s="1"/>
  <c r="AF261" i="8" a="1"/>
  <c r="AF261" i="8" s="1"/>
  <c r="AH247" i="8" a="1"/>
  <c r="AH247" i="8" s="1"/>
  <c r="AI247" i="8" a="1"/>
  <c r="AI247" i="8" s="1"/>
  <c r="AG247" i="8" a="1"/>
  <c r="AG247" i="8" s="1"/>
  <c r="AH233" i="8" a="1"/>
  <c r="AH233" i="8" s="1"/>
  <c r="AI233" i="8" a="1"/>
  <c r="AI233" i="8" s="1"/>
  <c r="AG233" i="8" a="1"/>
  <c r="AG233" i="8" s="1"/>
  <c r="AG219" i="8" a="1"/>
  <c r="AG219" i="8" s="1"/>
  <c r="AF219" i="8" a="1"/>
  <c r="AF219" i="8" s="1"/>
  <c r="AI219" i="8" a="1"/>
  <c r="AI219" i="8" s="1"/>
  <c r="AH219" i="8" a="1"/>
  <c r="AH219" i="8" s="1"/>
  <c r="AI205" i="8" a="1"/>
  <c r="AI205" i="8" s="1"/>
  <c r="AH205" i="8" a="1"/>
  <c r="AH205" i="8" s="1"/>
  <c r="AG205" i="8" a="1"/>
  <c r="AG205" i="8" s="1"/>
  <c r="AI191" i="8" a="1"/>
  <c r="AI191" i="8" s="1"/>
  <c r="AG191" i="8" a="1"/>
  <c r="AG191" i="8" s="1"/>
  <c r="AF191" i="8" a="1"/>
  <c r="AF191" i="8" s="1"/>
  <c r="AH191" i="8" a="1"/>
  <c r="AH191" i="8" s="1"/>
  <c r="AG194" i="8" a="1"/>
  <c r="AG194" i="8" s="1"/>
  <c r="AI206" i="8" a="1"/>
  <c r="AI206" i="8" s="1"/>
  <c r="AI359" i="8" a="1"/>
  <c r="AI359" i="8" s="1"/>
  <c r="AF374" i="8" a="1"/>
  <c r="AF374" i="8" s="1"/>
  <c r="AH404" i="8" a="1"/>
  <c r="AH404" i="8" s="1"/>
  <c r="AF418" i="8" a="1"/>
  <c r="AF418" i="8" s="1"/>
  <c r="AI658" i="8" a="1"/>
  <c r="AI658" i="8" s="1"/>
  <c r="AG709" i="8" a="1"/>
  <c r="AG709" i="8" s="1"/>
  <c r="AI742" i="8" a="1"/>
  <c r="AI742" i="8" s="1"/>
  <c r="AG812" i="8" a="1"/>
  <c r="AG812" i="8" s="1"/>
  <c r="AG835" i="8" a="1"/>
  <c r="AG835" i="8" s="1"/>
  <c r="AG867" i="8" a="1"/>
  <c r="AG867" i="8" s="1"/>
  <c r="AI965" i="8" a="1"/>
  <c r="AI965" i="8" s="1"/>
  <c r="AG991" i="8" a="1"/>
  <c r="AG991" i="8" s="1"/>
  <c r="AI1184" i="8" a="1"/>
  <c r="AI1184" i="8" s="1"/>
  <c r="AG1184" i="8" a="1"/>
  <c r="AG1184" i="8" s="1"/>
  <c r="AI1114" i="8" a="1"/>
  <c r="AI1114" i="8" s="1"/>
  <c r="AH1114" i="8" a="1"/>
  <c r="AH1114" i="8" s="1"/>
  <c r="AG1114" i="8" a="1"/>
  <c r="AG1114" i="8" s="1"/>
  <c r="AI1044" i="8" a="1"/>
  <c r="AI1044" i="8" s="1"/>
  <c r="AH1044" i="8" a="1"/>
  <c r="AH1044" i="8" s="1"/>
  <c r="AG1044" i="8" a="1"/>
  <c r="AG1044" i="8" s="1"/>
  <c r="AH1030" i="8" a="1"/>
  <c r="AH1030" i="8" s="1"/>
  <c r="AG1030" i="8" a="1"/>
  <c r="AG1030" i="8" s="1"/>
  <c r="AI1030" i="8" a="1"/>
  <c r="AI1030" i="8" s="1"/>
  <c r="AI1002" i="8" a="1"/>
  <c r="AI1002" i="8" s="1"/>
  <c r="AH1002" i="8" a="1"/>
  <c r="AH1002" i="8" s="1"/>
  <c r="AG1002" i="8" a="1"/>
  <c r="AG1002" i="8" s="1"/>
  <c r="AI974" i="8" a="1"/>
  <c r="AI974" i="8" s="1"/>
  <c r="AH974" i="8" a="1"/>
  <c r="AH974" i="8" s="1"/>
  <c r="AG974" i="8" a="1"/>
  <c r="AG974" i="8" s="1"/>
  <c r="AI960" i="8" a="1"/>
  <c r="AI960" i="8" s="1"/>
  <c r="AH960" i="8" a="1"/>
  <c r="AH960" i="8" s="1"/>
  <c r="AG960" i="8" a="1"/>
  <c r="AG960" i="8" s="1"/>
  <c r="AH946" i="8" a="1"/>
  <c r="AH946" i="8" s="1"/>
  <c r="AG946" i="8" a="1"/>
  <c r="AG946" i="8" s="1"/>
  <c r="AH932" i="8" a="1"/>
  <c r="AH932" i="8" s="1"/>
  <c r="AG932" i="8" a="1"/>
  <c r="AG932" i="8" s="1"/>
  <c r="AI904" i="8" a="1"/>
  <c r="AI904" i="8" s="1"/>
  <c r="AH904" i="8" a="1"/>
  <c r="AH904" i="8" s="1"/>
  <c r="AG904" i="8" a="1"/>
  <c r="AG904" i="8" s="1"/>
  <c r="AG876" i="8" a="1"/>
  <c r="AG876" i="8" s="1"/>
  <c r="AI876" i="8" a="1"/>
  <c r="AI876" i="8" s="1"/>
  <c r="AH876" i="8" a="1"/>
  <c r="AH876" i="8" s="1"/>
  <c r="AI848" i="8" a="1"/>
  <c r="AI848" i="8" s="1"/>
  <c r="AH848" i="8" a="1"/>
  <c r="AH848" i="8" s="1"/>
  <c r="AG848" i="8" a="1"/>
  <c r="AG848" i="8" s="1"/>
  <c r="AI820" i="8" a="1"/>
  <c r="AI820" i="8" s="1"/>
  <c r="AH820" i="8" a="1"/>
  <c r="AH820" i="8" s="1"/>
  <c r="AI792" i="8" a="1"/>
  <c r="AI792" i="8" s="1"/>
  <c r="AG736" i="8" a="1"/>
  <c r="AG736" i="8" s="1"/>
  <c r="AI736" i="8" a="1"/>
  <c r="AI736" i="8" s="1"/>
  <c r="AH736" i="8" a="1"/>
  <c r="AH736" i="8" s="1"/>
  <c r="AH708" i="8" a="1"/>
  <c r="AH708" i="8" s="1"/>
  <c r="AG708" i="8" a="1"/>
  <c r="AG708" i="8" s="1"/>
  <c r="AI708" i="8" a="1"/>
  <c r="AI708" i="8" s="1"/>
  <c r="AI680" i="8" a="1"/>
  <c r="AI680" i="8" s="1"/>
  <c r="AG680" i="8" a="1"/>
  <c r="AG680" i="8" s="1"/>
  <c r="AH680" i="8" a="1"/>
  <c r="AH680" i="8" s="1"/>
  <c r="AI652" i="8" a="1"/>
  <c r="AI652" i="8" s="1"/>
  <c r="AG652" i="8" a="1"/>
  <c r="AG652" i="8" s="1"/>
  <c r="AH652" i="8" a="1"/>
  <c r="AH652" i="8" s="1"/>
  <c r="AF624" i="8" a="1"/>
  <c r="AF624" i="8" s="1"/>
  <c r="AI624" i="8" a="1"/>
  <c r="AI624" i="8" s="1"/>
  <c r="AH624" i="8" a="1"/>
  <c r="AH624" i="8" s="1"/>
  <c r="AG624" i="8" a="1"/>
  <c r="AG624" i="8" s="1"/>
  <c r="AG582" i="8" a="1"/>
  <c r="AG582" i="8" s="1"/>
  <c r="AI582" i="8" a="1"/>
  <c r="AI582" i="8" s="1"/>
  <c r="AH582" i="8" a="1"/>
  <c r="AH582" i="8" s="1"/>
  <c r="AG568" i="8" a="1"/>
  <c r="AG568" i="8" s="1"/>
  <c r="AI568" i="8" a="1"/>
  <c r="AI568" i="8" s="1"/>
  <c r="AH568" i="8" a="1"/>
  <c r="AH568" i="8" s="1"/>
  <c r="AI540" i="8" a="1"/>
  <c r="AI540" i="8" s="1"/>
  <c r="AG540" i="8" a="1"/>
  <c r="AG540" i="8" s="1"/>
  <c r="AH540" i="8" a="1"/>
  <c r="AH540" i="8" s="1"/>
  <c r="AI512" i="8" a="1"/>
  <c r="AI512" i="8" s="1"/>
  <c r="AH512" i="8" a="1"/>
  <c r="AH512" i="8" s="1"/>
  <c r="AH484" i="8" a="1"/>
  <c r="AH484" i="8" s="1"/>
  <c r="AG484" i="8" a="1"/>
  <c r="AG484" i="8" s="1"/>
  <c r="AI484" i="8" a="1"/>
  <c r="AI484" i="8" s="1"/>
  <c r="AI456" i="8" a="1"/>
  <c r="AI456" i="8" s="1"/>
  <c r="AH456" i="8" a="1"/>
  <c r="AH456" i="8" s="1"/>
  <c r="AG456" i="8" a="1"/>
  <c r="AG456" i="8" s="1"/>
  <c r="AG428" i="8" a="1"/>
  <c r="AG428" i="8" s="1"/>
  <c r="AF428" i="8" a="1"/>
  <c r="AF428" i="8" s="1"/>
  <c r="AI428" i="8" a="1"/>
  <c r="AI428" i="8" s="1"/>
  <c r="AH428" i="8" a="1"/>
  <c r="AH428" i="8" s="1"/>
  <c r="AI400" i="8" a="1"/>
  <c r="AI400" i="8" s="1"/>
  <c r="AI386" i="8" a="1"/>
  <c r="AI386" i="8" s="1"/>
  <c r="AG386" i="8" a="1"/>
  <c r="AG386" i="8" s="1"/>
  <c r="AF386" i="8" a="1"/>
  <c r="AF386" i="8" s="1"/>
  <c r="AI372" i="8" a="1"/>
  <c r="AI372" i="8" s="1"/>
  <c r="AG372" i="8" a="1"/>
  <c r="AG372" i="8" s="1"/>
  <c r="AF372" i="8" a="1"/>
  <c r="AF372" i="8" s="1"/>
  <c r="AH372" i="8" a="1"/>
  <c r="AH372" i="8" s="1"/>
  <c r="AI358" i="8" a="1"/>
  <c r="AI358" i="8" s="1"/>
  <c r="AH358" i="8" a="1"/>
  <c r="AH358" i="8" s="1"/>
  <c r="AG358" i="8" a="1"/>
  <c r="AG358" i="8" s="1"/>
  <c r="AH330" i="8" a="1"/>
  <c r="AH330" i="8" s="1"/>
  <c r="AI330" i="8" a="1"/>
  <c r="AI330" i="8" s="1"/>
  <c r="AG330" i="8" a="1"/>
  <c r="AG330" i="8" s="1"/>
  <c r="AH316" i="8" a="1"/>
  <c r="AH316" i="8" s="1"/>
  <c r="AG316" i="8" a="1"/>
  <c r="AG316" i="8" s="1"/>
  <c r="AH302" i="8" a="1"/>
  <c r="AH302" i="8" s="1"/>
  <c r="AI302" i="8" a="1"/>
  <c r="AI302" i="8" s="1"/>
  <c r="AG302" i="8" a="1"/>
  <c r="AG302" i="8" s="1"/>
  <c r="AH288" i="8" a="1"/>
  <c r="AH288" i="8" s="1"/>
  <c r="AG288" i="8" a="1"/>
  <c r="AG288" i="8" s="1"/>
  <c r="AF274" i="8" a="1"/>
  <c r="AF274" i="8" s="1"/>
  <c r="AG274" i="8" a="1"/>
  <c r="AG274" i="8" s="1"/>
  <c r="AI246" i="8" a="1"/>
  <c r="AI246" i="8" s="1"/>
  <c r="AH246" i="8" a="1"/>
  <c r="AH246" i="8" s="1"/>
  <c r="AI232" i="8" a="1"/>
  <c r="AI232" i="8" s="1"/>
  <c r="AH232" i="8" a="1"/>
  <c r="AH232" i="8" s="1"/>
  <c r="AH218" i="8" a="1"/>
  <c r="AH218" i="8" s="1"/>
  <c r="AF218" i="8" a="1"/>
  <c r="AF218" i="8" s="1"/>
  <c r="AI218" i="8" a="1"/>
  <c r="AI218" i="8" s="1"/>
  <c r="AI204" i="8" a="1"/>
  <c r="AI204" i="8" s="1"/>
  <c r="AH204" i="8" a="1"/>
  <c r="AH204" i="8" s="1"/>
  <c r="AI180" i="8" a="1"/>
  <c r="AI180" i="8" s="1"/>
  <c r="AF222" i="8" a="1"/>
  <c r="AF222" i="8" s="1"/>
  <c r="AG374" i="8" a="1"/>
  <c r="AG374" i="8" s="1"/>
  <c r="AG418" i="8" a="1"/>
  <c r="AG418" i="8" s="1"/>
  <c r="AI503" i="8" a="1"/>
  <c r="AI503" i="8" s="1"/>
  <c r="AG597" i="8" a="1"/>
  <c r="AG597" i="8" s="1"/>
  <c r="AH695" i="8" a="1"/>
  <c r="AH695" i="8" s="1"/>
  <c r="AH709" i="8" a="1"/>
  <c r="AH709" i="8" s="1"/>
  <c r="AH768" i="8" a="1"/>
  <c r="AH768" i="8" s="1"/>
  <c r="AH792" i="8" a="1"/>
  <c r="AH792" i="8" s="1"/>
  <c r="AI812" i="8" a="1"/>
  <c r="AI812" i="8" s="1"/>
  <c r="AH835" i="8" a="1"/>
  <c r="AH835" i="8" s="1"/>
  <c r="AG854" i="8" a="1"/>
  <c r="AG854" i="8" s="1"/>
  <c r="AH906" i="8" a="1"/>
  <c r="AH906" i="8" s="1"/>
  <c r="AH1018" i="8" a="1"/>
  <c r="AH1018" i="8" s="1"/>
  <c r="AG1120" i="8" a="1"/>
  <c r="AG1120" i="8" s="1"/>
  <c r="AH1173" i="8" a="1"/>
  <c r="AH1173" i="8" s="1"/>
  <c r="AH343" i="8" a="1"/>
  <c r="AH343" i="8" s="1"/>
  <c r="AI343" i="8" a="1"/>
  <c r="AI343" i="8" s="1"/>
  <c r="AG343" i="8" a="1"/>
  <c r="AG343" i="8" s="1"/>
  <c r="AG195" i="8" a="1"/>
  <c r="AG195" i="8" s="1"/>
  <c r="AG222" i="8" a="1"/>
  <c r="AG222" i="8" s="1"/>
  <c r="AF232" i="8" a="1"/>
  <c r="AF232" i="8" s="1"/>
  <c r="AI266" i="8" a="1"/>
  <c r="AI266" i="8" s="1"/>
  <c r="AH275" i="8" a="1"/>
  <c r="AH275" i="8" s="1"/>
  <c r="AI348" i="8" a="1"/>
  <c r="AI348" i="8" s="1"/>
  <c r="AH361" i="8" a="1"/>
  <c r="AH361" i="8" s="1"/>
  <c r="AG375" i="8" a="1"/>
  <c r="AG375" i="8" s="1"/>
  <c r="AG556" i="8" a="1"/>
  <c r="AG556" i="8" s="1"/>
  <c r="AH710" i="8" a="1"/>
  <c r="AH710" i="8" s="1"/>
  <c r="AG726" i="8" a="1"/>
  <c r="AG726" i="8" s="1"/>
  <c r="AH769" i="8" a="1"/>
  <c r="AH769" i="8" s="1"/>
  <c r="AH854" i="8" a="1"/>
  <c r="AH854" i="8" s="1"/>
  <c r="AG879" i="8" a="1"/>
  <c r="AG879" i="8" s="1"/>
  <c r="AI908" i="8" a="1"/>
  <c r="AI908" i="8" s="1"/>
  <c r="AG918" i="8" a="1"/>
  <c r="AG918" i="8" s="1"/>
  <c r="AG951" i="8" a="1"/>
  <c r="AG951" i="8" s="1"/>
  <c r="AH966" i="8" a="1"/>
  <c r="AH966" i="8" s="1"/>
  <c r="AH992" i="8" a="1"/>
  <c r="AH992" i="8" s="1"/>
  <c r="AH1072" i="8" a="1"/>
  <c r="AH1072" i="8" s="1"/>
  <c r="AI1173" i="8" a="1"/>
  <c r="AI1173" i="8" s="1"/>
  <c r="AH208" i="8" a="1"/>
  <c r="AH208" i="8" s="1"/>
  <c r="AH222" i="8" a="1"/>
  <c r="AH222" i="8" s="1"/>
  <c r="AG232" i="8" a="1"/>
  <c r="AG232" i="8" s="1"/>
  <c r="AF276" i="8" a="1"/>
  <c r="AF276" i="8" s="1"/>
  <c r="AI361" i="8" a="1"/>
  <c r="AI361" i="8" s="1"/>
  <c r="AH375" i="8" a="1"/>
  <c r="AH375" i="8" s="1"/>
  <c r="AF388" i="8" a="1"/>
  <c r="AF388" i="8" s="1"/>
  <c r="AH419" i="8" a="1"/>
  <c r="AH419" i="8" s="1"/>
  <c r="AG512" i="8" a="1"/>
  <c r="AG512" i="8" s="1"/>
  <c r="AG599" i="8" a="1"/>
  <c r="AG599" i="8" s="1"/>
  <c r="AF612" i="8" a="1"/>
  <c r="AF612" i="8" s="1"/>
  <c r="AG625" i="8" a="1"/>
  <c r="AG625" i="8" s="1"/>
  <c r="AI695" i="8" a="1"/>
  <c r="AI695" i="8" s="1"/>
  <c r="AI710" i="8" a="1"/>
  <c r="AI710" i="8" s="1"/>
  <c r="AH879" i="8" a="1"/>
  <c r="AH879" i="8" s="1"/>
  <c r="AI966" i="8" a="1"/>
  <c r="AI966" i="8" s="1"/>
  <c r="AI1046" i="8" a="1"/>
  <c r="AI1046" i="8" s="1"/>
  <c r="AG176" i="8" a="1"/>
  <c r="AG176" i="8" s="1"/>
  <c r="AI208" i="8" a="1"/>
  <c r="AI208" i="8" s="1"/>
  <c r="AG223" i="8" a="1"/>
  <c r="AG223" i="8" s="1"/>
  <c r="AG235" i="8" a="1"/>
  <c r="AG235" i="8" s="1"/>
  <c r="AG246" i="8" a="1"/>
  <c r="AG246" i="8" s="1"/>
  <c r="AG303" i="8" a="1"/>
  <c r="AG303" i="8" s="1"/>
  <c r="AI316" i="8" a="1"/>
  <c r="AI316" i="8" s="1"/>
  <c r="AI375" i="8" a="1"/>
  <c r="AI375" i="8" s="1"/>
  <c r="AF389" i="8" a="1"/>
  <c r="AF389" i="8" s="1"/>
  <c r="AG400" i="8" a="1"/>
  <c r="AG400" i="8" s="1"/>
  <c r="AH420" i="8" a="1"/>
  <c r="AH420" i="8" s="1"/>
  <c r="AG471" i="8" a="1"/>
  <c r="AG471" i="8" s="1"/>
  <c r="AF601" i="8" a="1"/>
  <c r="AF601" i="8" s="1"/>
  <c r="AH612" i="8" a="1"/>
  <c r="AH612" i="8" s="1"/>
  <c r="AI625" i="8" a="1"/>
  <c r="AI625" i="8" s="1"/>
  <c r="AG640" i="8" a="1"/>
  <c r="AG640" i="8" s="1"/>
  <c r="AH682" i="8" a="1"/>
  <c r="AH682" i="8" s="1"/>
  <c r="AH699" i="8" a="1"/>
  <c r="AH699" i="8" s="1"/>
  <c r="AH727" i="8" a="1"/>
  <c r="AH727" i="8" s="1"/>
  <c r="AH751" i="8" a="1"/>
  <c r="AH751" i="8" s="1"/>
  <c r="AG778" i="8" a="1"/>
  <c r="AG778" i="8" s="1"/>
  <c r="AG820" i="8" a="1"/>
  <c r="AG820" i="8" s="1"/>
  <c r="AH840" i="8" a="1"/>
  <c r="AH840" i="8" s="1"/>
  <c r="AI919" i="8" a="1"/>
  <c r="AI919" i="8" s="1"/>
  <c r="AH993" i="8" a="1"/>
  <c r="AH993" i="8" s="1"/>
  <c r="AH1129" i="8" a="1"/>
  <c r="AH1129" i="8" s="1"/>
  <c r="AG1143" i="8" a="1"/>
  <c r="AG1143" i="8" s="1"/>
  <c r="AI1175" i="8" a="1"/>
  <c r="AI1175" i="8" s="1"/>
  <c r="AH1184" i="8" a="1"/>
  <c r="AH1184" i="8" s="1"/>
  <c r="AG209" i="8" a="1"/>
  <c r="AG209" i="8" s="1"/>
  <c r="AG248" i="8" a="1"/>
  <c r="AG248" i="8" s="1"/>
  <c r="AH278" i="8" a="1"/>
  <c r="AH278" i="8" s="1"/>
  <c r="AG289" i="8" a="1"/>
  <c r="AG289" i="8" s="1"/>
  <c r="AH303" i="8" a="1"/>
  <c r="AH303" i="8" s="1"/>
  <c r="AI331" i="8" a="1"/>
  <c r="AI331" i="8" s="1"/>
  <c r="AG376" i="8" a="1"/>
  <c r="AG376" i="8" s="1"/>
  <c r="AG389" i="8" a="1"/>
  <c r="AG389" i="8" s="1"/>
  <c r="AG432" i="8" a="1"/>
  <c r="AG432" i="8" s="1"/>
  <c r="AH471" i="8" a="1"/>
  <c r="AH471" i="8" s="1"/>
  <c r="AH514" i="8" a="1"/>
  <c r="AH514" i="8" s="1"/>
  <c r="AG529" i="8" a="1"/>
  <c r="AG529" i="8" s="1"/>
  <c r="AI544" i="8" a="1"/>
  <c r="AI544" i="8" s="1"/>
  <c r="AI570" i="8" a="1"/>
  <c r="AI570" i="8" s="1"/>
  <c r="AF602" i="8" a="1"/>
  <c r="AF602" i="8" s="1"/>
  <c r="AG667" i="8" a="1"/>
  <c r="AG667" i="8" s="1"/>
  <c r="AI699" i="8" a="1"/>
  <c r="AI699" i="8" s="1"/>
  <c r="AI711" i="8" a="1"/>
  <c r="AI711" i="8" s="1"/>
  <c r="AH778" i="8" a="1"/>
  <c r="AH778" i="8" s="1"/>
  <c r="AG977" i="8" a="1"/>
  <c r="AG977" i="8" s="1"/>
  <c r="AG1020" i="8" a="1"/>
  <c r="AG1020" i="8" s="1"/>
  <c r="AI1048" i="8" a="1"/>
  <c r="AI1048" i="8" s="1"/>
  <c r="AG1087" i="8" a="1"/>
  <c r="AG1087" i="8" s="1"/>
  <c r="AI1102" i="8" a="1"/>
  <c r="AI1102" i="8" s="1"/>
  <c r="AH1143" i="8" a="1"/>
  <c r="AH1143" i="8" s="1"/>
  <c r="AH1185" i="8" a="1"/>
  <c r="AH1185" i="8" s="1"/>
  <c r="AH1176" i="8" a="1"/>
  <c r="AH1176" i="8" s="1"/>
  <c r="AI1176" i="8" a="1"/>
  <c r="AI1176" i="8" s="1"/>
  <c r="AG1176" i="8" a="1"/>
  <c r="AG1176" i="8" s="1"/>
  <c r="AH1148" i="8" a="1"/>
  <c r="AH1148" i="8" s="1"/>
  <c r="AG1148" i="8" a="1"/>
  <c r="AG1148" i="8" s="1"/>
  <c r="AI1148" i="8" a="1"/>
  <c r="AI1148" i="8" s="1"/>
  <c r="AG1134" i="8" a="1"/>
  <c r="AG1134" i="8" s="1"/>
  <c r="AI1134" i="8" a="1"/>
  <c r="AI1134" i="8" s="1"/>
  <c r="AH1134" i="8" a="1"/>
  <c r="AH1134" i="8" s="1"/>
  <c r="AH1106" i="8" a="1"/>
  <c r="AH1106" i="8" s="1"/>
  <c r="AG1106" i="8" a="1"/>
  <c r="AG1106" i="8" s="1"/>
  <c r="AI1106" i="8" a="1"/>
  <c r="AI1106" i="8" s="1"/>
  <c r="AG994" i="8" a="1"/>
  <c r="AG994" i="8" s="1"/>
  <c r="AI994" i="8" a="1"/>
  <c r="AI994" i="8" s="1"/>
  <c r="AG938" i="8" a="1"/>
  <c r="AG938" i="8" s="1"/>
  <c r="AI938" i="8" a="1"/>
  <c r="AI938" i="8" s="1"/>
  <c r="AH938" i="8" a="1"/>
  <c r="AH938" i="8" s="1"/>
  <c r="AH910" i="8" a="1"/>
  <c r="AH910" i="8" s="1"/>
  <c r="AG910" i="8" a="1"/>
  <c r="AG910" i="8" s="1"/>
  <c r="AI910" i="8" a="1"/>
  <c r="AI910" i="8" s="1"/>
  <c r="AG882" i="8" a="1"/>
  <c r="AG882" i="8" s="1"/>
  <c r="AI882" i="8" a="1"/>
  <c r="AI882" i="8" s="1"/>
  <c r="AH882" i="8" a="1"/>
  <c r="AH882" i="8" s="1"/>
  <c r="AG826" i="8" a="1"/>
  <c r="AG826" i="8" s="1"/>
  <c r="AH826" i="8" a="1"/>
  <c r="AH826" i="8" s="1"/>
  <c r="AI826" i="8" a="1"/>
  <c r="AI826" i="8" s="1"/>
  <c r="AI798" i="8" a="1"/>
  <c r="AI798" i="8" s="1"/>
  <c r="AH798" i="8" a="1"/>
  <c r="AH798" i="8" s="1"/>
  <c r="AH770" i="8" a="1"/>
  <c r="AH770" i="8" s="1"/>
  <c r="AI770" i="8" a="1"/>
  <c r="AI770" i="8" s="1"/>
  <c r="AG770" i="8" a="1"/>
  <c r="AG770" i="8" s="1"/>
  <c r="AH728" i="8" a="1"/>
  <c r="AH728" i="8" s="1"/>
  <c r="AI728" i="8" a="1"/>
  <c r="AI728" i="8" s="1"/>
  <c r="AG728" i="8" a="1"/>
  <c r="AG728" i="8" s="1"/>
  <c r="AG644" i="8" a="1"/>
  <c r="AG644" i="8" s="1"/>
  <c r="AI644" i="8" a="1"/>
  <c r="AI644" i="8" s="1"/>
  <c r="AH644" i="8" a="1"/>
  <c r="AH644" i="8" s="1"/>
  <c r="AI588" i="8" a="1"/>
  <c r="AI588" i="8" s="1"/>
  <c r="AH588" i="8" a="1"/>
  <c r="AH588" i="8" s="1"/>
  <c r="AF560" i="8" a="1"/>
  <c r="AF560" i="8" s="1"/>
  <c r="AH560" i="8" a="1"/>
  <c r="AH560" i="8" s="1"/>
  <c r="AG560" i="8" a="1"/>
  <c r="AG560" i="8" s="1"/>
  <c r="AG546" i="8" a="1"/>
  <c r="AG546" i="8" s="1"/>
  <c r="AF546" i="8" a="1"/>
  <c r="AF546" i="8" s="1"/>
  <c r="AI518" i="8" a="1"/>
  <c r="AI518" i="8" s="1"/>
  <c r="AG518" i="8" a="1"/>
  <c r="AG518" i="8" s="1"/>
  <c r="AF490" i="8" a="1"/>
  <c r="AF490" i="8" s="1"/>
  <c r="AI490" i="8" a="1"/>
  <c r="AI490" i="8" s="1"/>
  <c r="AH490" i="8" a="1"/>
  <c r="AH490" i="8" s="1"/>
  <c r="AG490" i="8" a="1"/>
  <c r="AG490" i="8" s="1"/>
  <c r="AH462" i="8" a="1"/>
  <c r="AH462" i="8" s="1"/>
  <c r="AI462" i="8" a="1"/>
  <c r="AI462" i="8" s="1"/>
  <c r="AI448" i="8" a="1"/>
  <c r="AI448" i="8" s="1"/>
  <c r="AG448" i="8" a="1"/>
  <c r="AG448" i="8" s="1"/>
  <c r="AH448" i="8" a="1"/>
  <c r="AH448" i="8" s="1"/>
  <c r="AH434" i="8" a="1"/>
  <c r="AH434" i="8" s="1"/>
  <c r="AG434" i="8" a="1"/>
  <c r="AG434" i="8" s="1"/>
  <c r="AI434" i="8" a="1"/>
  <c r="AI434" i="8" s="1"/>
  <c r="AG224" i="8" a="1"/>
  <c r="AG224" i="8" s="1"/>
  <c r="AI224" i="8" a="1"/>
  <c r="AI224" i="8" s="1"/>
  <c r="AH224" i="8" a="1"/>
  <c r="AH224" i="8" s="1"/>
  <c r="AG280" i="8" a="1"/>
  <c r="AG280" i="8" s="1"/>
  <c r="AH700" i="8" a="1"/>
  <c r="AH700" i="8" s="1"/>
  <c r="AH516" i="8" a="1"/>
  <c r="AH516" i="8" s="1"/>
  <c r="AG516" i="8" a="1"/>
  <c r="AG516" i="8" s="1"/>
  <c r="AI516" i="8" a="1"/>
  <c r="AI516" i="8" s="1"/>
  <c r="AH294" i="8" a="1"/>
  <c r="AH294" i="8" s="1"/>
  <c r="AG308" i="8" a="1"/>
  <c r="AG308" i="8" s="1"/>
  <c r="AG446" i="8" a="1"/>
  <c r="AG446" i="8" s="1"/>
  <c r="AI461" i="8" a="1"/>
  <c r="AI461" i="8" s="1"/>
  <c r="AI475" i="8" a="1"/>
  <c r="AI475" i="8" s="1"/>
  <c r="AF489" i="8" a="1"/>
  <c r="AF489" i="8" s="1"/>
  <c r="AH546" i="8" a="1"/>
  <c r="AH546" i="8" s="1"/>
  <c r="AG588" i="8" a="1"/>
  <c r="AG588" i="8" s="1"/>
  <c r="AI616" i="8" a="1"/>
  <c r="AI616" i="8" s="1"/>
  <c r="AH630" i="8" a="1"/>
  <c r="AH630" i="8" s="1"/>
  <c r="AH656" i="8" a="1"/>
  <c r="AH656" i="8" s="1"/>
  <c r="AI685" i="8" a="1"/>
  <c r="AI685" i="8" s="1"/>
  <c r="AH811" i="8" a="1"/>
  <c r="AH811" i="8" s="1"/>
  <c r="AG824" i="8" a="1"/>
  <c r="AG824" i="8" s="1"/>
  <c r="AH1145" i="8" a="1"/>
  <c r="AH1145" i="8" s="1"/>
  <c r="AG1145" i="8" a="1"/>
  <c r="AG1145" i="8" s="1"/>
  <c r="AI1145" i="8" a="1"/>
  <c r="AI1145" i="8" s="1"/>
  <c r="AI1117" i="8" a="1"/>
  <c r="AI1117" i="8" s="1"/>
  <c r="AG1117" i="8" a="1"/>
  <c r="AG1117" i="8" s="1"/>
  <c r="AH1117" i="8" a="1"/>
  <c r="AH1117" i="8" s="1"/>
  <c r="AH1089" i="8" a="1"/>
  <c r="AH1089" i="8" s="1"/>
  <c r="AI1089" i="8" a="1"/>
  <c r="AI1089" i="8" s="1"/>
  <c r="AG1089" i="8" a="1"/>
  <c r="AG1089" i="8" s="1"/>
  <c r="AI1047" i="8" a="1"/>
  <c r="AI1047" i="8" s="1"/>
  <c r="AH1047" i="8" a="1"/>
  <c r="AH1047" i="8" s="1"/>
  <c r="AG1047" i="8" a="1"/>
  <c r="AG1047" i="8" s="1"/>
  <c r="AI1019" i="8" a="1"/>
  <c r="AI1019" i="8" s="1"/>
  <c r="AH1019" i="8" a="1"/>
  <c r="AH1019" i="8" s="1"/>
  <c r="AG949" i="8" a="1"/>
  <c r="AG949" i="8" s="1"/>
  <c r="AI949" i="8" a="1"/>
  <c r="AI949" i="8" s="1"/>
  <c r="AH949" i="8" a="1"/>
  <c r="AH949" i="8" s="1"/>
  <c r="AI921" i="8" a="1"/>
  <c r="AI921" i="8" s="1"/>
  <c r="AH921" i="8" a="1"/>
  <c r="AH921" i="8" s="1"/>
  <c r="AH851" i="8" a="1"/>
  <c r="AH851" i="8" s="1"/>
  <c r="AG851" i="8" a="1"/>
  <c r="AG851" i="8" s="1"/>
  <c r="AI823" i="8" a="1"/>
  <c r="AI823" i="8" s="1"/>
  <c r="AH823" i="8" a="1"/>
  <c r="AH823" i="8" s="1"/>
  <c r="AI795" i="8" a="1"/>
  <c r="AI795" i="8" s="1"/>
  <c r="AH795" i="8" a="1"/>
  <c r="AH795" i="8" s="1"/>
  <c r="AG767" i="8" a="1"/>
  <c r="AG767" i="8" s="1"/>
  <c r="AI767" i="8" a="1"/>
  <c r="AI767" i="8" s="1"/>
  <c r="AH767" i="8" a="1"/>
  <c r="AH767" i="8" s="1"/>
  <c r="AI753" i="8" a="1"/>
  <c r="AI753" i="8" s="1"/>
  <c r="AH753" i="8" a="1"/>
  <c r="AH753" i="8" s="1"/>
  <c r="AG725" i="8" a="1"/>
  <c r="AG725" i="8" s="1"/>
  <c r="AH725" i="8" a="1"/>
  <c r="AH725" i="8" s="1"/>
  <c r="AH697" i="8" a="1"/>
  <c r="AH697" i="8" s="1"/>
  <c r="AI697" i="8" a="1"/>
  <c r="AI697" i="8" s="1"/>
  <c r="AG697" i="8" a="1"/>
  <c r="AG697" i="8" s="1"/>
  <c r="AG669" i="8" a="1"/>
  <c r="AG669" i="8" s="1"/>
  <c r="AI669" i="8" a="1"/>
  <c r="AI669" i="8" s="1"/>
  <c r="AH669" i="8" a="1"/>
  <c r="AH669" i="8" s="1"/>
  <c r="AF613" i="8" a="1"/>
  <c r="AF613" i="8" s="1"/>
  <c r="AI613" i="8" a="1"/>
  <c r="AI613" i="8" s="1"/>
  <c r="AH613" i="8" a="1"/>
  <c r="AH613" i="8" s="1"/>
  <c r="AG613" i="8" a="1"/>
  <c r="AG613" i="8" s="1"/>
  <c r="AI585" i="8" a="1"/>
  <c r="AI585" i="8" s="1"/>
  <c r="AI557" i="8" a="1"/>
  <c r="AI557" i="8" s="1"/>
  <c r="AH557" i="8" a="1"/>
  <c r="AH557" i="8" s="1"/>
  <c r="AI543" i="8" a="1"/>
  <c r="AI543" i="8" s="1"/>
  <c r="AG543" i="8" a="1"/>
  <c r="AG543" i="8" s="1"/>
  <c r="AH543" i="8" a="1"/>
  <c r="AH543" i="8" s="1"/>
  <c r="AF543" i="8" a="1"/>
  <c r="AF543" i="8" s="1"/>
  <c r="AH473" i="8" a="1"/>
  <c r="AH473" i="8" s="1"/>
  <c r="AG473" i="8" a="1"/>
  <c r="AG473" i="8" s="1"/>
  <c r="AI473" i="8" a="1"/>
  <c r="AI473" i="8" s="1"/>
  <c r="AI431" i="8" a="1"/>
  <c r="AI431" i="8" s="1"/>
  <c r="AH431" i="8" a="1"/>
  <c r="AH431" i="8" s="1"/>
  <c r="AF403" i="8" a="1"/>
  <c r="AF403" i="8" s="1"/>
  <c r="AH403" i="8" a="1"/>
  <c r="AH403" i="8" s="1"/>
  <c r="AG403" i="8" a="1"/>
  <c r="AG403" i="8" s="1"/>
  <c r="AI403" i="8" a="1"/>
  <c r="AI403" i="8" s="1"/>
  <c r="AG347" i="8" a="1"/>
  <c r="AG347" i="8" s="1"/>
  <c r="AI347" i="8" a="1"/>
  <c r="AI347" i="8" s="1"/>
  <c r="AI305" i="8" a="1"/>
  <c r="AI305" i="8" s="1"/>
  <c r="AH305" i="8" a="1"/>
  <c r="AH305" i="8" s="1"/>
  <c r="AI193" i="8" a="1"/>
  <c r="AI193" i="8" s="1"/>
  <c r="AG193" i="8" a="1"/>
  <c r="AG193" i="8" s="1"/>
  <c r="AH193" i="8" a="1"/>
  <c r="AH193" i="8" s="1"/>
  <c r="AI294" i="8" a="1"/>
  <c r="AI294" i="8" s="1"/>
  <c r="AH502" i="8" a="1"/>
  <c r="AH502" i="8" s="1"/>
  <c r="AH518" i="8" a="1"/>
  <c r="AH518" i="8" s="1"/>
  <c r="AI672" i="8" a="1"/>
  <c r="AI672" i="8" s="1"/>
  <c r="AI811" i="8" a="1"/>
  <c r="AI811" i="8" s="1"/>
  <c r="AG1172" i="8" a="1"/>
  <c r="AG1172" i="8" s="1"/>
  <c r="AI1172" i="8" a="1"/>
  <c r="AI1172" i="8" s="1"/>
  <c r="AH1172" i="8" a="1"/>
  <c r="AH1172" i="8" s="1"/>
  <c r="AH1144" i="8" a="1"/>
  <c r="AH1144" i="8" s="1"/>
  <c r="AG1144" i="8" a="1"/>
  <c r="AG1144" i="8" s="1"/>
  <c r="AG1060" i="8" a="1"/>
  <c r="AG1060" i="8" s="1"/>
  <c r="AI1060" i="8" a="1"/>
  <c r="AI1060" i="8" s="1"/>
  <c r="AH1060" i="8" a="1"/>
  <c r="AH1060" i="8" s="1"/>
  <c r="AG1032" i="8" a="1"/>
  <c r="AG1032" i="8" s="1"/>
  <c r="AI1032" i="8" a="1"/>
  <c r="AI1032" i="8" s="1"/>
  <c r="AG1018" i="8" a="1"/>
  <c r="AG1018" i="8" s="1"/>
  <c r="AH990" i="8" a="1"/>
  <c r="AH990" i="8" s="1"/>
  <c r="AI990" i="8" a="1"/>
  <c r="AI990" i="8" s="1"/>
  <c r="AG990" i="8" a="1"/>
  <c r="AG990" i="8" s="1"/>
  <c r="AH948" i="8" a="1"/>
  <c r="AH948" i="8" s="1"/>
  <c r="AG948" i="8" a="1"/>
  <c r="AG948" i="8" s="1"/>
  <c r="AI948" i="8" a="1"/>
  <c r="AI948" i="8" s="1"/>
  <c r="AI920" i="8" a="1"/>
  <c r="AI920" i="8" s="1"/>
  <c r="AH920" i="8" a="1"/>
  <c r="AH920" i="8" s="1"/>
  <c r="AG892" i="8" a="1"/>
  <c r="AG892" i="8" s="1"/>
  <c r="AI892" i="8" a="1"/>
  <c r="AI892" i="8" s="1"/>
  <c r="AH892" i="8" a="1"/>
  <c r="AH892" i="8" s="1"/>
  <c r="AI864" i="8" a="1"/>
  <c r="AI864" i="8" s="1"/>
  <c r="AG864" i="8" a="1"/>
  <c r="AG864" i="8" s="1"/>
  <c r="AH864" i="8" a="1"/>
  <c r="AH864" i="8" s="1"/>
  <c r="AI836" i="8" a="1"/>
  <c r="AI836" i="8" s="1"/>
  <c r="AH836" i="8" a="1"/>
  <c r="AH836" i="8" s="1"/>
  <c r="AG836" i="8" a="1"/>
  <c r="AG836" i="8" s="1"/>
  <c r="AG794" i="8" a="1"/>
  <c r="AG794" i="8" s="1"/>
  <c r="AH794" i="8" a="1"/>
  <c r="AH794" i="8" s="1"/>
  <c r="AI766" i="8" a="1"/>
  <c r="AI766" i="8" s="1"/>
  <c r="AH766" i="8" a="1"/>
  <c r="AH766" i="8" s="1"/>
  <c r="AG766" i="8" a="1"/>
  <c r="AG766" i="8" s="1"/>
  <c r="AI752" i="8" a="1"/>
  <c r="AI752" i="8" s="1"/>
  <c r="AH752" i="8" a="1"/>
  <c r="AH752" i="8" s="1"/>
  <c r="AG724" i="8" a="1"/>
  <c r="AG724" i="8" s="1"/>
  <c r="AI724" i="8" a="1"/>
  <c r="AI724" i="8" s="1"/>
  <c r="AH724" i="8" a="1"/>
  <c r="AH724" i="8" s="1"/>
  <c r="AH696" i="8" a="1"/>
  <c r="AH696" i="8" s="1"/>
  <c r="AI696" i="8" a="1"/>
  <c r="AI696" i="8" s="1"/>
  <c r="AG696" i="8" a="1"/>
  <c r="AG696" i="8" s="1"/>
  <c r="AG668" i="8" a="1"/>
  <c r="AG668" i="8" s="1"/>
  <c r="AI668" i="8" a="1"/>
  <c r="AI668" i="8" s="1"/>
  <c r="AI654" i="8" a="1"/>
  <c r="AI654" i="8" s="1"/>
  <c r="AH654" i="8" a="1"/>
  <c r="AH654" i="8" s="1"/>
  <c r="AI626" i="8" a="1"/>
  <c r="AI626" i="8" s="1"/>
  <c r="AH626" i="8" a="1"/>
  <c r="AH626" i="8" s="1"/>
  <c r="AG626" i="8" a="1"/>
  <c r="AG626" i="8" s="1"/>
  <c r="AG598" i="8" a="1"/>
  <c r="AG598" i="8" s="1"/>
  <c r="AF598" i="8" a="1"/>
  <c r="AF598" i="8" s="1"/>
  <c r="AI598" i="8" a="1"/>
  <c r="AI598" i="8" s="1"/>
  <c r="AH598" i="8" a="1"/>
  <c r="AH598" i="8" s="1"/>
  <c r="AG528" i="8" a="1"/>
  <c r="AG528" i="8" s="1"/>
  <c r="AI528" i="8" a="1"/>
  <c r="AI528" i="8" s="1"/>
  <c r="AH528" i="8" a="1"/>
  <c r="AH528" i="8" s="1"/>
  <c r="AG500" i="8" a="1"/>
  <c r="AG500" i="8" s="1"/>
  <c r="AH500" i="8" a="1"/>
  <c r="AH500" i="8" s="1"/>
  <c r="AI500" i="8" a="1"/>
  <c r="AI500" i="8" s="1"/>
  <c r="AG444" i="8" a="1"/>
  <c r="AG444" i="8" s="1"/>
  <c r="AI416" i="8" a="1"/>
  <c r="AI416" i="8" s="1"/>
  <c r="AF416" i="8" a="1"/>
  <c r="AF416" i="8" s="1"/>
  <c r="AH416" i="8" a="1"/>
  <c r="AH416" i="8" s="1"/>
  <c r="AG360" i="8" a="1"/>
  <c r="AG360" i="8" s="1"/>
  <c r="AI360" i="8" a="1"/>
  <c r="AI360" i="8" s="1"/>
  <c r="AH360" i="8" a="1"/>
  <c r="AH360" i="8" s="1"/>
  <c r="AG346" i="8" a="1"/>
  <c r="AG346" i="8" s="1"/>
  <c r="AH346" i="8" a="1"/>
  <c r="AH346" i="8" s="1"/>
  <c r="AI346" i="8" a="1"/>
  <c r="AI346" i="8" s="1"/>
  <c r="AG318" i="8" a="1"/>
  <c r="AG318" i="8" s="1"/>
  <c r="AF812" i="8" a="1"/>
  <c r="AF812" i="8" s="1"/>
  <c r="AH1064" i="8" a="1"/>
  <c r="AH1064" i="8" s="1"/>
  <c r="AH1104" i="8" a="1"/>
  <c r="AH1104" i="8" s="1"/>
  <c r="AH1119" i="8" a="1"/>
  <c r="AH1119" i="8" s="1"/>
  <c r="AI863" i="8" a="1"/>
  <c r="AI863" i="8" s="1"/>
  <c r="AH863" i="8" a="1"/>
  <c r="AH863" i="8" s="1"/>
  <c r="AG863" i="8" a="1"/>
  <c r="AG863" i="8" s="1"/>
  <c r="AH849" i="8" a="1"/>
  <c r="AH849" i="8" s="1"/>
  <c r="AG849" i="8" a="1"/>
  <c r="AG849" i="8" s="1"/>
  <c r="AI849" i="8" a="1"/>
  <c r="AI849" i="8" s="1"/>
  <c r="AH821" i="8" a="1"/>
  <c r="AH821" i="8" s="1"/>
  <c r="AI821" i="8" a="1"/>
  <c r="AI821" i="8" s="1"/>
  <c r="AG653" i="8" a="1"/>
  <c r="AG653" i="8" s="1"/>
  <c r="AI653" i="8" a="1"/>
  <c r="AI653" i="8" s="1"/>
  <c r="AH653" i="8" a="1"/>
  <c r="AH653" i="8" s="1"/>
  <c r="AH639" i="8" a="1"/>
  <c r="AH639" i="8" s="1"/>
  <c r="AG639" i="8" a="1"/>
  <c r="AG639" i="8" s="1"/>
  <c r="AF639" i="8" a="1"/>
  <c r="AF639" i="8" s="1"/>
  <c r="AI639" i="8" a="1"/>
  <c r="AI639" i="8" s="1"/>
  <c r="AF611" i="8" a="1"/>
  <c r="AF611" i="8" s="1"/>
  <c r="AH611" i="8" a="1"/>
  <c r="AH611" i="8" s="1"/>
  <c r="AG611" i="8" a="1"/>
  <c r="AG611" i="8" s="1"/>
  <c r="AH583" i="8" a="1"/>
  <c r="AH583" i="8" s="1"/>
  <c r="AI583" i="8" a="1"/>
  <c r="AI583" i="8" s="1"/>
  <c r="AG583" i="8" a="1"/>
  <c r="AG583" i="8" s="1"/>
  <c r="AI569" i="8" a="1"/>
  <c r="AI569" i="8" s="1"/>
  <c r="AH569" i="8" a="1"/>
  <c r="AH569" i="8" s="1"/>
  <c r="AG569" i="8" a="1"/>
  <c r="AG569" i="8" s="1"/>
  <c r="AG541" i="8" a="1"/>
  <c r="AG541" i="8" s="1"/>
  <c r="AI541" i="8" a="1"/>
  <c r="AI541" i="8" s="1"/>
  <c r="AI513" i="8" a="1"/>
  <c r="AI513" i="8" s="1"/>
  <c r="AH513" i="8" a="1"/>
  <c r="AH513" i="8" s="1"/>
  <c r="AH443" i="8" a="1"/>
  <c r="AH443" i="8" s="1"/>
  <c r="AG443" i="8" a="1"/>
  <c r="AG443" i="8" s="1"/>
  <c r="AI443" i="8" a="1"/>
  <c r="AI443" i="8" s="1"/>
  <c r="AI387" i="8" a="1"/>
  <c r="AI387" i="8" s="1"/>
  <c r="AH387" i="8" a="1"/>
  <c r="AH387" i="8" s="1"/>
  <c r="AG387" i="8" a="1"/>
  <c r="AG387" i="8" s="1"/>
  <c r="AF387" i="8" a="1"/>
  <c r="AF387" i="8" s="1"/>
  <c r="AI373" i="8" a="1"/>
  <c r="AI373" i="8" s="1"/>
  <c r="AF373" i="8" a="1"/>
  <c r="AF373" i="8" s="1"/>
  <c r="AH373" i="8" a="1"/>
  <c r="AH373" i="8" s="1"/>
  <c r="AG373" i="8" a="1"/>
  <c r="AG373" i="8" s="1"/>
  <c r="AH317" i="8" a="1"/>
  <c r="AH317" i="8" s="1"/>
  <c r="AI317" i="8" a="1"/>
  <c r="AI317" i="8" s="1"/>
  <c r="AG317" i="8" a="1"/>
  <c r="AG317" i="8" s="1"/>
  <c r="AI177" i="8" a="1"/>
  <c r="AI177" i="8" s="1"/>
  <c r="AG177" i="8" a="1"/>
  <c r="AG177" i="8" s="1"/>
  <c r="AF177" i="8" a="1"/>
  <c r="AF177" i="8" s="1"/>
  <c r="AH177" i="8" a="1"/>
  <c r="AH177" i="8" s="1"/>
  <c r="AF264" i="8" a="1"/>
  <c r="AF264" i="8" s="1"/>
  <c r="AH336" i="8" a="1"/>
  <c r="AH336" i="8" s="1"/>
  <c r="AI1007" i="8" a="1"/>
  <c r="AI1007" i="8" s="1"/>
  <c r="AI1119" i="8" a="1"/>
  <c r="AI1119" i="8" s="1"/>
  <c r="AI1158" i="8" a="1"/>
  <c r="AI1158" i="8" s="1"/>
  <c r="AG1198" i="8" a="1"/>
  <c r="AG1198" i="8" s="1"/>
  <c r="AH1198" i="8" a="1"/>
  <c r="AH1198" i="8" s="1"/>
  <c r="AH1170" i="8" a="1"/>
  <c r="AH1170" i="8" s="1"/>
  <c r="AG1170" i="8" a="1"/>
  <c r="AG1170" i="8" s="1"/>
  <c r="AI1170" i="8" a="1"/>
  <c r="AI1170" i="8" s="1"/>
  <c r="AH1156" i="8" a="1"/>
  <c r="AH1156" i="8" s="1"/>
  <c r="AI1156" i="8" a="1"/>
  <c r="AI1156" i="8" s="1"/>
  <c r="AH1128" i="8" a="1"/>
  <c r="AH1128" i="8" s="1"/>
  <c r="AI1128" i="8" a="1"/>
  <c r="AI1128" i="8" s="1"/>
  <c r="AG1128" i="8" a="1"/>
  <c r="AG1128" i="8" s="1"/>
  <c r="AI1100" i="8" a="1"/>
  <c r="AI1100" i="8" s="1"/>
  <c r="AH1100" i="8" a="1"/>
  <c r="AH1100" i="8" s="1"/>
  <c r="AG1100" i="8" a="1"/>
  <c r="AG1100" i="8" s="1"/>
  <c r="AG1086" i="8" a="1"/>
  <c r="AG1086" i="8" s="1"/>
  <c r="AI1086" i="8" a="1"/>
  <c r="AI1086" i="8" s="1"/>
  <c r="AH1086" i="8" a="1"/>
  <c r="AH1086" i="8" s="1"/>
  <c r="AI1058" i="8" a="1"/>
  <c r="AI1058" i="8" s="1"/>
  <c r="AG1058" i="8" a="1"/>
  <c r="AG1058" i="8" s="1"/>
  <c r="AH1058" i="8" a="1"/>
  <c r="AH1058" i="8" s="1"/>
  <c r="AH1016" i="8" a="1"/>
  <c r="AH1016" i="8" s="1"/>
  <c r="AG1016" i="8" a="1"/>
  <c r="AG1016" i="8" s="1"/>
  <c r="AI1016" i="8" a="1"/>
  <c r="AI1016" i="8" s="1"/>
  <c r="AG988" i="8" a="1"/>
  <c r="AG988" i="8" s="1"/>
  <c r="AI988" i="8" a="1"/>
  <c r="AI988" i="8" s="1"/>
  <c r="AH988" i="8" a="1"/>
  <c r="AH988" i="8" s="1"/>
  <c r="AH862" i="8" a="1"/>
  <c r="AH862" i="8" s="1"/>
  <c r="AI862" i="8" a="1"/>
  <c r="AI862" i="8" s="1"/>
  <c r="AG862" i="8" a="1"/>
  <c r="AG862" i="8" s="1"/>
  <c r="AG834" i="8" a="1"/>
  <c r="AG834" i="8" s="1"/>
  <c r="AF834" i="8" a="1"/>
  <c r="AF834" i="8" s="1"/>
  <c r="AH806" i="8" a="1"/>
  <c r="AH806" i="8" s="1"/>
  <c r="AI806" i="8" a="1"/>
  <c r="AI806" i="8" s="1"/>
  <c r="AG806" i="8" a="1"/>
  <c r="AG806" i="8" s="1"/>
  <c r="AH750" i="8" a="1"/>
  <c r="AH750" i="8" s="1"/>
  <c r="AG750" i="8" a="1"/>
  <c r="AG750" i="8" s="1"/>
  <c r="AH722" i="8" a="1"/>
  <c r="AH722" i="8" s="1"/>
  <c r="AI722" i="8" a="1"/>
  <c r="AI722" i="8" s="1"/>
  <c r="AG722" i="8" a="1"/>
  <c r="AG722" i="8" s="1"/>
  <c r="AI694" i="8" a="1"/>
  <c r="AI694" i="8" s="1"/>
  <c r="AH694" i="8" a="1"/>
  <c r="AH694" i="8" s="1"/>
  <c r="AG694" i="8" a="1"/>
  <c r="AG694" i="8" s="1"/>
  <c r="AI666" i="8" a="1"/>
  <c r="AI666" i="8" s="1"/>
  <c r="AG666" i="8" a="1"/>
  <c r="AG666" i="8" s="1"/>
  <c r="AG638" i="8" a="1"/>
  <c r="AG638" i="8" s="1"/>
  <c r="AI638" i="8" a="1"/>
  <c r="AI638" i="8" s="1"/>
  <c r="AH638" i="8" a="1"/>
  <c r="AH638" i="8" s="1"/>
  <c r="AF638" i="8" a="1"/>
  <c r="AF638" i="8" s="1"/>
  <c r="AF610" i="8" a="1"/>
  <c r="AF610" i="8" s="1"/>
  <c r="AG610" i="8" a="1"/>
  <c r="AG610" i="8" s="1"/>
  <c r="AI610" i="8" a="1"/>
  <c r="AI610" i="8" s="1"/>
  <c r="AH554" i="8" a="1"/>
  <c r="AH554" i="8" s="1"/>
  <c r="AI554" i="8" a="1"/>
  <c r="AI554" i="8" s="1"/>
  <c r="AG554" i="8" a="1"/>
  <c r="AG554" i="8" s="1"/>
  <c r="AH526" i="8" a="1"/>
  <c r="AH526" i="8" s="1"/>
  <c r="AI526" i="8" a="1"/>
  <c r="AI526" i="8" s="1"/>
  <c r="AG526" i="8" a="1"/>
  <c r="AG526" i="8" s="1"/>
  <c r="AG498" i="8" a="1"/>
  <c r="AG498" i="8" s="1"/>
  <c r="AH498" i="8" a="1"/>
  <c r="AH498" i="8" s="1"/>
  <c r="AI498" i="8" a="1"/>
  <c r="AI498" i="8" s="1"/>
  <c r="AG470" i="8" a="1"/>
  <c r="AG470" i="8" s="1"/>
  <c r="AI470" i="8" a="1"/>
  <c r="AI470" i="8" s="1"/>
  <c r="AH470" i="8" a="1"/>
  <c r="AH470" i="8" s="1"/>
  <c r="AG442" i="8" a="1"/>
  <c r="AG442" i="8" s="1"/>
  <c r="AH442" i="8" a="1"/>
  <c r="AH442" i="8" s="1"/>
  <c r="AF442" i="8" a="1"/>
  <c r="AF442" i="8" s="1"/>
  <c r="AI442" i="8" a="1"/>
  <c r="AI442" i="8" s="1"/>
  <c r="AH414" i="8" a="1"/>
  <c r="AH414" i="8" s="1"/>
  <c r="AG344" i="8" a="1"/>
  <c r="AG344" i="8" s="1"/>
  <c r="AH344" i="8" a="1"/>
  <c r="AH344" i="8" s="1"/>
  <c r="AH260" i="8" a="1"/>
  <c r="AH260" i="8" s="1"/>
  <c r="AG260" i="8" a="1"/>
  <c r="AG260" i="8" s="1"/>
  <c r="AI260" i="8" a="1"/>
  <c r="AI260" i="8" s="1"/>
  <c r="AG264" i="8" a="1"/>
  <c r="AG264" i="8" s="1"/>
  <c r="AG275" i="8" a="1"/>
  <c r="AG275" i="8" s="1"/>
  <c r="AI336" i="8" a="1"/>
  <c r="AI336" i="8" s="1"/>
  <c r="AH347" i="8" a="1"/>
  <c r="AH347" i="8" s="1"/>
  <c r="AH597" i="8" a="1"/>
  <c r="AH597" i="8" s="1"/>
  <c r="AI611" i="8" a="1"/>
  <c r="AI611" i="8" s="1"/>
  <c r="AH666" i="8" a="1"/>
  <c r="AH666" i="8" s="1"/>
  <c r="AG349" i="8" a="1"/>
  <c r="AG349" i="8" s="1"/>
  <c r="AF405" i="8" a="1"/>
  <c r="AF405" i="8" s="1"/>
  <c r="AG795" i="8" a="1"/>
  <c r="AG795" i="8" s="1"/>
  <c r="AI835" i="8" a="1"/>
  <c r="AI835" i="8" s="1"/>
  <c r="AH918" i="8" a="1"/>
  <c r="AH918" i="8" s="1"/>
  <c r="AH1120" i="8" a="1"/>
  <c r="AH1120" i="8" s="1"/>
  <c r="AH1142" i="8" a="1"/>
  <c r="AH1142" i="8" s="1"/>
  <c r="AH176" i="8" a="1"/>
  <c r="AH176" i="8" s="1"/>
  <c r="AH223" i="8" a="1"/>
  <c r="AH223" i="8" s="1"/>
  <c r="AI235" i="8" a="1"/>
  <c r="AI235" i="8" s="1"/>
  <c r="AH249" i="8" a="1"/>
  <c r="AH249" i="8" s="1"/>
  <c r="AF260" i="8" a="1"/>
  <c r="AF260" i="8" s="1"/>
  <c r="AI278" i="8" a="1"/>
  <c r="AI278" i="8" s="1"/>
  <c r="AH289" i="8" a="1"/>
  <c r="AH289" i="8" s="1"/>
  <c r="AG332" i="8" a="1"/>
  <c r="AG332" i="8" s="1"/>
  <c r="AH400" i="8" a="1"/>
  <c r="AH400" i="8" s="1"/>
  <c r="AF433" i="8" a="1"/>
  <c r="AF433" i="8" s="1"/>
  <c r="AI444" i="8" a="1"/>
  <c r="AI444" i="8" s="1"/>
  <c r="AH459" i="8" a="1"/>
  <c r="AH459" i="8" s="1"/>
  <c r="AI514" i="8" a="1"/>
  <c r="AI514" i="8" s="1"/>
  <c r="AG545" i="8" a="1"/>
  <c r="AG545" i="8" s="1"/>
  <c r="AF557" i="8" a="1"/>
  <c r="AF557" i="8" s="1"/>
  <c r="AG602" i="8" a="1"/>
  <c r="AG602" i="8" s="1"/>
  <c r="AH627" i="8" a="1"/>
  <c r="AH627" i="8" s="1"/>
  <c r="AH640" i="8" a="1"/>
  <c r="AH640" i="8" s="1"/>
  <c r="AG654" i="8" a="1"/>
  <c r="AG654" i="8" s="1"/>
  <c r="AI682" i="8" a="1"/>
  <c r="AI682" i="8" s="1"/>
  <c r="AG752" i="8" a="1"/>
  <c r="AG752" i="8" s="1"/>
  <c r="AG821" i="8" a="1"/>
  <c r="AG821" i="8" s="1"/>
  <c r="AI840" i="8" a="1"/>
  <c r="AI840" i="8" s="1"/>
  <c r="AG890" i="8" a="1"/>
  <c r="AG890" i="8" s="1"/>
  <c r="AG921" i="8" a="1"/>
  <c r="AG921" i="8" s="1"/>
  <c r="AI932" i="8" a="1"/>
  <c r="AI932" i="8" s="1"/>
  <c r="AH1088" i="8" a="1"/>
  <c r="AH1088" i="8" s="1"/>
  <c r="AH1133" i="8" a="1"/>
  <c r="AH1133" i="8" s="1"/>
  <c r="AI168" i="8" a="1"/>
  <c r="AI168" i="8" s="1"/>
  <c r="AH168" i="8" a="1"/>
  <c r="AH168" i="8" s="1"/>
  <c r="AF168" i="8" a="1"/>
  <c r="AF168" i="8" s="1"/>
  <c r="AI165" i="8" a="1"/>
  <c r="AI165" i="8" s="1"/>
  <c r="AH165" i="8" a="1"/>
  <c r="AH165" i="8" s="1"/>
  <c r="AF164" i="8" a="1"/>
  <c r="AF164" i="8" s="1"/>
  <c r="AG164" i="8" a="1"/>
  <c r="AG164" i="8" s="1"/>
  <c r="AH162" i="8" a="1"/>
  <c r="AH162" i="8" s="1"/>
  <c r="AG162" i="8" a="1"/>
  <c r="AG162" i="8" s="1"/>
  <c r="AG161" i="8" a="1"/>
  <c r="AG161" i="8" s="1"/>
  <c r="AF166" i="8" a="1"/>
  <c r="AF166" i="8" s="1"/>
  <c r="AF173" i="8" a="1"/>
  <c r="AF173" i="8" s="1"/>
  <c r="AH315" i="8" a="1"/>
  <c r="AH315" i="8" s="1"/>
  <c r="AH329" i="8" a="1"/>
  <c r="AH329" i="8" s="1"/>
  <c r="AI342" i="8" a="1"/>
  <c r="AI342" i="8" s="1"/>
  <c r="AH357" i="8" a="1"/>
  <c r="AH357" i="8" s="1"/>
  <c r="AI385" i="8" a="1"/>
  <c r="AI385" i="8" s="1"/>
  <c r="AH397" i="8" a="1"/>
  <c r="AH397" i="8" s="1"/>
  <c r="AF412" i="8" a="1"/>
  <c r="AF412" i="8" s="1"/>
  <c r="AG453" i="8" a="1"/>
  <c r="AG453" i="8" s="1"/>
  <c r="AG468" i="8" a="1"/>
  <c r="AG468" i="8" s="1"/>
  <c r="AH510" i="8" a="1"/>
  <c r="AH510" i="8" s="1"/>
  <c r="AH552" i="8" a="1"/>
  <c r="AH552" i="8" s="1"/>
  <c r="AG608" i="8" a="1"/>
  <c r="AG608" i="8" s="1"/>
  <c r="AG623" i="8" a="1"/>
  <c r="AG623" i="8" s="1"/>
  <c r="AH637" i="8" a="1"/>
  <c r="AH637" i="8" s="1"/>
  <c r="AI761" i="8" a="1"/>
  <c r="AI761" i="8" s="1"/>
  <c r="AI861" i="8" a="1"/>
  <c r="AI861" i="8" s="1"/>
  <c r="AI1001" i="8" a="1"/>
  <c r="AI1001" i="8" s="1"/>
  <c r="AH1014" i="8" a="1"/>
  <c r="AH1014" i="8" s="1"/>
  <c r="AH1097" i="8" a="1"/>
  <c r="AH1097" i="8" s="1"/>
  <c r="AG1154" i="8" a="1"/>
  <c r="AG1154" i="8" s="1"/>
  <c r="AG1168" i="8" a="1"/>
  <c r="AG1168" i="8" s="1"/>
  <c r="AI1197" i="8" a="1"/>
  <c r="AI1197" i="8" s="1"/>
  <c r="AH1197" i="8" a="1"/>
  <c r="AH1197" i="8" s="1"/>
  <c r="AG1197" i="8" a="1"/>
  <c r="AG1197" i="8" s="1"/>
  <c r="AI1169" i="8" a="1"/>
  <c r="AI1169" i="8" s="1"/>
  <c r="AH1169" i="8" a="1"/>
  <c r="AH1169" i="8" s="1"/>
  <c r="AG1141" i="8" a="1"/>
  <c r="AG1141" i="8" s="1"/>
  <c r="AH1141" i="8" a="1"/>
  <c r="AH1141" i="8" s="1"/>
  <c r="AI1141" i="8" a="1"/>
  <c r="AI1141" i="8" s="1"/>
  <c r="AI1127" i="8" a="1"/>
  <c r="AI1127" i="8" s="1"/>
  <c r="AH1127" i="8" a="1"/>
  <c r="AH1127" i="8" s="1"/>
  <c r="AG1127" i="8" a="1"/>
  <c r="AG1127" i="8" s="1"/>
  <c r="AH1099" i="8" a="1"/>
  <c r="AH1099" i="8" s="1"/>
  <c r="AG1099" i="8" a="1"/>
  <c r="AG1099" i="8" s="1"/>
  <c r="AI1099" i="8" a="1"/>
  <c r="AI1099" i="8" s="1"/>
  <c r="AI1071" i="8" a="1"/>
  <c r="AI1071" i="8" s="1"/>
  <c r="AG1071" i="8" a="1"/>
  <c r="AG1071" i="8" s="1"/>
  <c r="AH1043" i="8" a="1"/>
  <c r="AH1043" i="8" s="1"/>
  <c r="AG1043" i="8" a="1"/>
  <c r="AG1043" i="8" s="1"/>
  <c r="AI1015" i="8" a="1"/>
  <c r="AI1015" i="8" s="1"/>
  <c r="AH1015" i="8" a="1"/>
  <c r="AH1015" i="8" s="1"/>
  <c r="AG1015" i="8" a="1"/>
  <c r="AG1015" i="8" s="1"/>
  <c r="AH959" i="8" a="1"/>
  <c r="AH959" i="8" s="1"/>
  <c r="AG959" i="8" a="1"/>
  <c r="AG959" i="8" s="1"/>
  <c r="AH945" i="8" a="1"/>
  <c r="AH945" i="8" s="1"/>
  <c r="AI945" i="8" a="1"/>
  <c r="AI945" i="8" s="1"/>
  <c r="AG945" i="8" a="1"/>
  <c r="AG945" i="8" s="1"/>
  <c r="AG917" i="8" a="1"/>
  <c r="AG917" i="8" s="1"/>
  <c r="AH917" i="8" a="1"/>
  <c r="AH917" i="8" s="1"/>
  <c r="AH847" i="8" a="1"/>
  <c r="AH847" i="8" s="1"/>
  <c r="AG847" i="8" a="1"/>
  <c r="AG847" i="8" s="1"/>
  <c r="AI735" i="8" a="1"/>
  <c r="AI735" i="8" s="1"/>
  <c r="AG735" i="8" a="1"/>
  <c r="AG735" i="8" s="1"/>
  <c r="AI693" i="8" a="1"/>
  <c r="AI693" i="8" s="1"/>
  <c r="AG693" i="8" a="1"/>
  <c r="AG693" i="8" s="1"/>
  <c r="AH651" i="8" a="1"/>
  <c r="AH651" i="8" s="1"/>
  <c r="AG651" i="8" a="1"/>
  <c r="AG651" i="8" s="1"/>
  <c r="AI651" i="8" a="1"/>
  <c r="AI651" i="8" s="1"/>
  <c r="AH609" i="8" a="1"/>
  <c r="AH609" i="8" s="1"/>
  <c r="AG609" i="8" a="1"/>
  <c r="AG609" i="8" s="1"/>
  <c r="AF609" i="8" a="1"/>
  <c r="AF609" i="8" s="1"/>
  <c r="AG567" i="8" a="1"/>
  <c r="AG567" i="8" s="1"/>
  <c r="AH567" i="8" a="1"/>
  <c r="AH567" i="8" s="1"/>
  <c r="AH483" i="8" a="1"/>
  <c r="AH483" i="8" s="1"/>
  <c r="AI483" i="8" a="1"/>
  <c r="AI483" i="8" s="1"/>
  <c r="AI469" i="8" a="1"/>
  <c r="AI469" i="8" s="1"/>
  <c r="AH469" i="8" a="1"/>
  <c r="AH469" i="8" s="1"/>
  <c r="AG469" i="8" a="1"/>
  <c r="AG469" i="8" s="1"/>
  <c r="AH399" i="8" a="1"/>
  <c r="AH399" i="8" s="1"/>
  <c r="AG399" i="8" a="1"/>
  <c r="AG399" i="8" s="1"/>
  <c r="AI399" i="8" a="1"/>
  <c r="AI399" i="8" s="1"/>
  <c r="AG371" i="8" a="1"/>
  <c r="AG371" i="8" s="1"/>
  <c r="AI371" i="8" a="1"/>
  <c r="AI371" i="8" s="1"/>
  <c r="AH371" i="8" a="1"/>
  <c r="AH371" i="8" s="1"/>
  <c r="AF301" i="8" a="1"/>
  <c r="AF301" i="8" s="1"/>
  <c r="AG301" i="8" a="1"/>
  <c r="AG301" i="8" s="1"/>
  <c r="AH273" i="8" a="1"/>
  <c r="AH273" i="8" s="1"/>
  <c r="AI273" i="8" a="1"/>
  <c r="AI273" i="8" s="1"/>
  <c r="AG245" i="8" a="1"/>
  <c r="AG245" i="8" s="1"/>
  <c r="AH245" i="8" a="1"/>
  <c r="AH245" i="8" s="1"/>
  <c r="AI231" i="8" a="1"/>
  <c r="AI231" i="8" s="1"/>
  <c r="AG231" i="8" a="1"/>
  <c r="AG231" i="8" s="1"/>
  <c r="AH231" i="8" a="1"/>
  <c r="AH231" i="8" s="1"/>
  <c r="AH217" i="8" a="1"/>
  <c r="AH217" i="8" s="1"/>
  <c r="AI217" i="8" a="1"/>
  <c r="AI217" i="8" s="1"/>
  <c r="AI203" i="8" a="1"/>
  <c r="AI203" i="8" s="1"/>
  <c r="AG203" i="8" a="1"/>
  <c r="AG203" i="8" s="1"/>
  <c r="AH203" i="8" a="1"/>
  <c r="AH203" i="8" s="1"/>
  <c r="AG165" i="8" a="1"/>
  <c r="AG165" i="8" s="1"/>
  <c r="AH525" i="8" a="1"/>
  <c r="AH525" i="8" s="1"/>
  <c r="AI567" i="8" a="1"/>
  <c r="AI567" i="8" s="1"/>
  <c r="AF637" i="8" a="1"/>
  <c r="AF637" i="8" s="1"/>
  <c r="AH1126" i="8" a="1"/>
  <c r="AH1126" i="8" s="1"/>
  <c r="AG1126" i="8" a="1"/>
  <c r="AG1126" i="8" s="1"/>
  <c r="AI1126" i="8" a="1"/>
  <c r="AI1126" i="8" s="1"/>
  <c r="AG1056" i="8" a="1"/>
  <c r="AG1056" i="8" s="1"/>
  <c r="AI1056" i="8" a="1"/>
  <c r="AI1056" i="8" s="1"/>
  <c r="AH1056" i="8" a="1"/>
  <c r="AH1056" i="8" s="1"/>
  <c r="AH1028" i="8" a="1"/>
  <c r="AH1028" i="8" s="1"/>
  <c r="AG1028" i="8" a="1"/>
  <c r="AG1028" i="8" s="1"/>
  <c r="AG958" i="8" a="1"/>
  <c r="AG958" i="8" s="1"/>
  <c r="AI958" i="8" a="1"/>
  <c r="AI958" i="8" s="1"/>
  <c r="AH958" i="8" a="1"/>
  <c r="AH958" i="8" s="1"/>
  <c r="AH930" i="8" a="1"/>
  <c r="AH930" i="8" s="1"/>
  <c r="AG930" i="8" a="1"/>
  <c r="AG930" i="8" s="1"/>
  <c r="AI832" i="8" a="1"/>
  <c r="AI832" i="8" s="1"/>
  <c r="AH832" i="8" a="1"/>
  <c r="AH832" i="8" s="1"/>
  <c r="AG832" i="8" a="1"/>
  <c r="AG832" i="8" s="1"/>
  <c r="AG748" i="8" a="1"/>
  <c r="AG748" i="8" s="1"/>
  <c r="AH748" i="8" a="1"/>
  <c r="AH748" i="8" s="1"/>
  <c r="AI748" i="8" a="1"/>
  <c r="AI748" i="8" s="1"/>
  <c r="AH706" i="8" a="1"/>
  <c r="AH706" i="8" s="1"/>
  <c r="AG706" i="8" a="1"/>
  <c r="AG706" i="8" s="1"/>
  <c r="AI678" i="8" a="1"/>
  <c r="AI678" i="8" s="1"/>
  <c r="AH678" i="8" a="1"/>
  <c r="AH678" i="8" s="1"/>
  <c r="AF664" i="8" a="1"/>
  <c r="AF664" i="8" s="1"/>
  <c r="AI664" i="8" a="1"/>
  <c r="AI664" i="8" s="1"/>
  <c r="AH664" i="8" a="1"/>
  <c r="AH664" i="8" s="1"/>
  <c r="AI580" i="8" a="1"/>
  <c r="AI580" i="8" s="1"/>
  <c r="AF580" i="8" a="1"/>
  <c r="AF580" i="8" s="1"/>
  <c r="AI496" i="8" a="1"/>
  <c r="AI496" i="8" s="1"/>
  <c r="AG496" i="8" a="1"/>
  <c r="AG496" i="8" s="1"/>
  <c r="AH496" i="8" a="1"/>
  <c r="AH496" i="8" s="1"/>
  <c r="AI426" i="8" a="1"/>
  <c r="AI426" i="8" s="1"/>
  <c r="AG426" i="8" a="1"/>
  <c r="AG426" i="8" s="1"/>
  <c r="AI160" i="8" a="1"/>
  <c r="AI160" i="8" s="1"/>
  <c r="AG160" i="8" a="1"/>
  <c r="AG160" i="8" s="1"/>
  <c r="AF160" i="8" a="1"/>
  <c r="AF160" i="8" s="1"/>
  <c r="AG329" i="8" a="1"/>
  <c r="AG329" i="8" s="1"/>
  <c r="AG510" i="8" a="1"/>
  <c r="AG510" i="8" s="1"/>
  <c r="AG552" i="8" a="1"/>
  <c r="AG552" i="8" s="1"/>
  <c r="AF623" i="8" a="1"/>
  <c r="AF623" i="8" s="1"/>
  <c r="AI875" i="8" a="1"/>
  <c r="AI875" i="8" s="1"/>
  <c r="AI1181" i="8" a="1"/>
  <c r="AI1181" i="8" s="1"/>
  <c r="AH1181" i="8" a="1"/>
  <c r="AH1181" i="8" s="1"/>
  <c r="AG1181" i="8" a="1"/>
  <c r="AG1181" i="8" s="1"/>
  <c r="AH1153" i="8" a="1"/>
  <c r="AH1153" i="8" s="1"/>
  <c r="AF1153" i="8" a="1"/>
  <c r="AF1153" i="8" s="1"/>
  <c r="AI1153" i="8" a="1"/>
  <c r="AI1153" i="8" s="1"/>
  <c r="AG1153" i="8" a="1"/>
  <c r="AG1153" i="8" s="1"/>
  <c r="AH985" i="8" a="1"/>
  <c r="AH985" i="8" s="1"/>
  <c r="AI985" i="8" a="1"/>
  <c r="AI985" i="8" s="1"/>
  <c r="AG985" i="8" a="1"/>
  <c r="AG985" i="8" s="1"/>
  <c r="AG943" i="8" a="1"/>
  <c r="AG943" i="8" s="1"/>
  <c r="AH943" i="8" a="1"/>
  <c r="AH943" i="8" s="1"/>
  <c r="AI943" i="8" a="1"/>
  <c r="AI943" i="8" s="1"/>
  <c r="AH831" i="8" a="1"/>
  <c r="AH831" i="8" s="1"/>
  <c r="AG831" i="8" a="1"/>
  <c r="AG831" i="8" s="1"/>
  <c r="AH803" i="8" a="1"/>
  <c r="AH803" i="8" s="1"/>
  <c r="AI803" i="8" a="1"/>
  <c r="AI803" i="8" s="1"/>
  <c r="AG803" i="8" a="1"/>
  <c r="AG803" i="8" s="1"/>
  <c r="AI775" i="8" a="1"/>
  <c r="AI775" i="8" s="1"/>
  <c r="AH775" i="8" a="1"/>
  <c r="AH775" i="8" s="1"/>
  <c r="AG775" i="8" a="1"/>
  <c r="AG775" i="8" s="1"/>
  <c r="AH719" i="8" a="1"/>
  <c r="AH719" i="8" s="1"/>
  <c r="AI719" i="8" a="1"/>
  <c r="AI719" i="8" s="1"/>
  <c r="AG719" i="8" a="1"/>
  <c r="AG719" i="8" s="1"/>
  <c r="AH691" i="8" a="1"/>
  <c r="AH691" i="8" s="1"/>
  <c r="AG691" i="8" a="1"/>
  <c r="AG691" i="8" s="1"/>
  <c r="AF607" i="8" a="1"/>
  <c r="AF607" i="8" s="1"/>
  <c r="AH607" i="8" a="1"/>
  <c r="AH607" i="8" s="1"/>
  <c r="AG607" i="8" a="1"/>
  <c r="AG607" i="8" s="1"/>
  <c r="AG579" i="8" a="1"/>
  <c r="AG579" i="8" s="1"/>
  <c r="AF579" i="8" a="1"/>
  <c r="AF579" i="8" s="1"/>
  <c r="AI579" i="8" a="1"/>
  <c r="AI579" i="8" s="1"/>
  <c r="AH579" i="8" a="1"/>
  <c r="AH579" i="8" s="1"/>
  <c r="AG425" i="8" a="1"/>
  <c r="AG425" i="8" s="1"/>
  <c r="AG166" i="8" a="1"/>
  <c r="AG166" i="8" s="1"/>
  <c r="AG286" i="8" a="1"/>
  <c r="AG286" i="8" s="1"/>
  <c r="AI357" i="8" a="1"/>
  <c r="AI357" i="8" s="1"/>
  <c r="AH608" i="8" a="1"/>
  <c r="AH608" i="8" s="1"/>
  <c r="AI161" i="8" a="1"/>
  <c r="AI161" i="8" s="1"/>
  <c r="AH166" i="8" a="1"/>
  <c r="AH166" i="8" s="1"/>
  <c r="AG215" i="8" a="1"/>
  <c r="AG215" i="8" s="1"/>
  <c r="AG273" i="8" a="1"/>
  <c r="AG273" i="8" s="1"/>
  <c r="AI286" i="8" a="1"/>
  <c r="AI286" i="8" s="1"/>
  <c r="AF413" i="8" a="1"/>
  <c r="AF413" i="8" s="1"/>
  <c r="AH425" i="8" a="1"/>
  <c r="AH425" i="8" s="1"/>
  <c r="AH453" i="8" a="1"/>
  <c r="AH453" i="8" s="1"/>
  <c r="AG538" i="8" a="1"/>
  <c r="AG538" i="8" s="1"/>
  <c r="AI552" i="8" a="1"/>
  <c r="AI552" i="8" s="1"/>
  <c r="AH595" i="8" a="1"/>
  <c r="AH595" i="8" s="1"/>
  <c r="AI608" i="8" a="1"/>
  <c r="AI608" i="8" s="1"/>
  <c r="AG664" i="8" a="1"/>
  <c r="AG664" i="8" s="1"/>
  <c r="AI691" i="8" a="1"/>
  <c r="AI691" i="8" s="1"/>
  <c r="AI747" i="8" a="1"/>
  <c r="AI747" i="8" s="1"/>
  <c r="AH763" i="8" a="1"/>
  <c r="AH763" i="8" s="1"/>
  <c r="AH819" i="8" a="1"/>
  <c r="AH819" i="8" s="1"/>
  <c r="AI831" i="8" a="1"/>
  <c r="AI831" i="8" s="1"/>
  <c r="AI1168" i="8" a="1"/>
  <c r="AI1168" i="8" s="1"/>
  <c r="AI1155" i="8" a="1"/>
  <c r="AI1155" i="8" s="1"/>
  <c r="AH1155" i="8" a="1"/>
  <c r="AH1155" i="8" s="1"/>
  <c r="AG1155" i="8" a="1"/>
  <c r="AG1155" i="8" s="1"/>
  <c r="AI1113" i="8" a="1"/>
  <c r="AI1113" i="8" s="1"/>
  <c r="AH1113" i="8" a="1"/>
  <c r="AH1113" i="8" s="1"/>
  <c r="AG1113" i="8" a="1"/>
  <c r="AG1113" i="8" s="1"/>
  <c r="AI1085" i="8" a="1"/>
  <c r="AI1085" i="8" s="1"/>
  <c r="AH1085" i="8" a="1"/>
  <c r="AH1085" i="8" s="1"/>
  <c r="AG1085" i="8" a="1"/>
  <c r="AG1085" i="8" s="1"/>
  <c r="AG1057" i="8" a="1"/>
  <c r="AG1057" i="8" s="1"/>
  <c r="AH1029" i="8" a="1"/>
  <c r="AH1029" i="8" s="1"/>
  <c r="AG1029" i="8" a="1"/>
  <c r="AG1029" i="8" s="1"/>
  <c r="AI1029" i="8" a="1"/>
  <c r="AI1029" i="8" s="1"/>
  <c r="AI973" i="8" a="1"/>
  <c r="AI973" i="8" s="1"/>
  <c r="AH973" i="8" a="1"/>
  <c r="AH973" i="8" s="1"/>
  <c r="AH931" i="8" a="1"/>
  <c r="AH931" i="8" s="1"/>
  <c r="AG931" i="8" a="1"/>
  <c r="AG931" i="8" s="1"/>
  <c r="AI833" i="8" a="1"/>
  <c r="AI833" i="8" s="1"/>
  <c r="AH833" i="8" a="1"/>
  <c r="AH833" i="8" s="1"/>
  <c r="AG833" i="8" a="1"/>
  <c r="AG833" i="8" s="1"/>
  <c r="AI777" i="8" a="1"/>
  <c r="AI777" i="8" s="1"/>
  <c r="AH777" i="8" a="1"/>
  <c r="AH777" i="8" s="1"/>
  <c r="AG777" i="8" a="1"/>
  <c r="AG777" i="8" s="1"/>
  <c r="AH749" i="8" a="1"/>
  <c r="AH749" i="8" s="1"/>
  <c r="AG749" i="8" a="1"/>
  <c r="AG749" i="8" s="1"/>
  <c r="AG707" i="8" a="1"/>
  <c r="AG707" i="8" s="1"/>
  <c r="AI707" i="8" a="1"/>
  <c r="AI707" i="8" s="1"/>
  <c r="AH707" i="8" a="1"/>
  <c r="AH707" i="8" s="1"/>
  <c r="AG679" i="8" a="1"/>
  <c r="AG679" i="8" s="1"/>
  <c r="AH679" i="8" a="1"/>
  <c r="AH679" i="8" s="1"/>
  <c r="AI679" i="8" a="1"/>
  <c r="AI679" i="8" s="1"/>
  <c r="AG665" i="8" a="1"/>
  <c r="AG665" i="8" s="1"/>
  <c r="AF665" i="8" a="1"/>
  <c r="AF665" i="8" s="1"/>
  <c r="AI665" i="8" a="1"/>
  <c r="AI665" i="8" s="1"/>
  <c r="AI553" i="8" a="1"/>
  <c r="AI553" i="8" s="1"/>
  <c r="AH553" i="8" a="1"/>
  <c r="AH553" i="8" s="1"/>
  <c r="AG497" i="8" a="1"/>
  <c r="AG497" i="8" s="1"/>
  <c r="AI455" i="8" a="1"/>
  <c r="AI455" i="8" s="1"/>
  <c r="AG455" i="8" a="1"/>
  <c r="AG455" i="8" s="1"/>
  <c r="AH455" i="8" a="1"/>
  <c r="AH455" i="8" s="1"/>
  <c r="AH189" i="8" a="1"/>
  <c r="AH189" i="8" s="1"/>
  <c r="AG189" i="8" a="1"/>
  <c r="AG189" i="8" s="1"/>
  <c r="AI189" i="8" a="1"/>
  <c r="AI189" i="8" s="1"/>
  <c r="AG315" i="8" a="1"/>
  <c r="AG315" i="8" s="1"/>
  <c r="AG385" i="8" a="1"/>
  <c r="AG385" i="8" s="1"/>
  <c r="AH735" i="8" a="1"/>
  <c r="AH735" i="8" s="1"/>
  <c r="AI1196" i="8" a="1"/>
  <c r="AI1196" i="8" s="1"/>
  <c r="AH1196" i="8" a="1"/>
  <c r="AH1196" i="8" s="1"/>
  <c r="AH1182" i="8" a="1"/>
  <c r="AH1182" i="8" s="1"/>
  <c r="AI1182" i="8" a="1"/>
  <c r="AI1182" i="8" s="1"/>
  <c r="AG1182" i="8" a="1"/>
  <c r="AG1182" i="8" s="1"/>
  <c r="AF1154" i="8" a="1"/>
  <c r="AF1154" i="8" s="1"/>
  <c r="AI1154" i="8" a="1"/>
  <c r="AI1154" i="8" s="1"/>
  <c r="AG1140" i="8" a="1"/>
  <c r="AG1140" i="8" s="1"/>
  <c r="AI1140" i="8" a="1"/>
  <c r="AI1140" i="8" s="1"/>
  <c r="AI1112" i="8" a="1"/>
  <c r="AI1112" i="8" s="1"/>
  <c r="AH1112" i="8" a="1"/>
  <c r="AH1112" i="8" s="1"/>
  <c r="AG1098" i="8" a="1"/>
  <c r="AG1098" i="8" s="1"/>
  <c r="AI1098" i="8" a="1"/>
  <c r="AI1098" i="8" s="1"/>
  <c r="AG1070" i="8" a="1"/>
  <c r="AG1070" i="8" s="1"/>
  <c r="AH1070" i="8" a="1"/>
  <c r="AH1070" i="8" s="1"/>
  <c r="AI1070" i="8" a="1"/>
  <c r="AI1070" i="8" s="1"/>
  <c r="AI1042" i="8" a="1"/>
  <c r="AI1042" i="8" s="1"/>
  <c r="AH1042" i="8" a="1"/>
  <c r="AH1042" i="8" s="1"/>
  <c r="AG1042" i="8" a="1"/>
  <c r="AG1042" i="8" s="1"/>
  <c r="AH1000" i="8" a="1"/>
  <c r="AH1000" i="8" s="1"/>
  <c r="AI1000" i="8" a="1"/>
  <c r="AI1000" i="8" s="1"/>
  <c r="AG1000" i="8" a="1"/>
  <c r="AG1000" i="8" s="1"/>
  <c r="AH972" i="8" a="1"/>
  <c r="AH972" i="8" s="1"/>
  <c r="AG972" i="8" a="1"/>
  <c r="AG972" i="8" s="1"/>
  <c r="AI944" i="8" a="1"/>
  <c r="AI944" i="8" s="1"/>
  <c r="AH944" i="8" a="1"/>
  <c r="AH944" i="8" s="1"/>
  <c r="AG944" i="8" a="1"/>
  <c r="AG944" i="8" s="1"/>
  <c r="AG916" i="8" a="1"/>
  <c r="AG916" i="8" s="1"/>
  <c r="AI916" i="8" a="1"/>
  <c r="AI916" i="8" s="1"/>
  <c r="AI888" i="8" a="1"/>
  <c r="AI888" i="8" s="1"/>
  <c r="AG888" i="8" a="1"/>
  <c r="AG888" i="8" s="1"/>
  <c r="AG874" i="8" a="1"/>
  <c r="AG874" i="8" s="1"/>
  <c r="AI874" i="8" a="1"/>
  <c r="AI874" i="8" s="1"/>
  <c r="AH874" i="8" a="1"/>
  <c r="AH874" i="8" s="1"/>
  <c r="AH846" i="8" a="1"/>
  <c r="AH846" i="8" s="1"/>
  <c r="AG846" i="8" a="1"/>
  <c r="AG846" i="8" s="1"/>
  <c r="AH818" i="8" a="1"/>
  <c r="AH818" i="8" s="1"/>
  <c r="AG818" i="8" a="1"/>
  <c r="AG818" i="8" s="1"/>
  <c r="AI804" i="8" a="1"/>
  <c r="AI804" i="8" s="1"/>
  <c r="AH804" i="8" a="1"/>
  <c r="AH804" i="8" s="1"/>
  <c r="AG804" i="8" a="1"/>
  <c r="AG804" i="8" s="1"/>
  <c r="AG776" i="8" a="1"/>
  <c r="AG776" i="8" s="1"/>
  <c r="AI776" i="8" a="1"/>
  <c r="AI776" i="8" s="1"/>
  <c r="AH762" i="8" a="1"/>
  <c r="AH762" i="8" s="1"/>
  <c r="AG762" i="8" a="1"/>
  <c r="AG762" i="8" s="1"/>
  <c r="AI734" i="8" a="1"/>
  <c r="AI734" i="8" s="1"/>
  <c r="AH734" i="8" a="1"/>
  <c r="AH734" i="8" s="1"/>
  <c r="AG734" i="8" a="1"/>
  <c r="AG734" i="8" s="1"/>
  <c r="AH720" i="8" a="1"/>
  <c r="AH720" i="8" s="1"/>
  <c r="AG720" i="8" a="1"/>
  <c r="AG720" i="8" s="1"/>
  <c r="AF622" i="8" a="1"/>
  <c r="AF622" i="8" s="1"/>
  <c r="AG622" i="8" a="1"/>
  <c r="AG622" i="8" s="1"/>
  <c r="AH594" i="8" a="1"/>
  <c r="AH594" i="8" s="1"/>
  <c r="AF594" i="8" a="1"/>
  <c r="AF594" i="8" s="1"/>
  <c r="AG594" i="8" a="1"/>
  <c r="AG594" i="8" s="1"/>
  <c r="AH524" i="8" a="1"/>
  <c r="AH524" i="8" s="1"/>
  <c r="AI524" i="8" a="1"/>
  <c r="AI524" i="8" s="1"/>
  <c r="AG524" i="8" a="1"/>
  <c r="AG524" i="8" s="1"/>
  <c r="AH482" i="8" a="1"/>
  <c r="AH482" i="8" s="1"/>
  <c r="AI482" i="8" a="1"/>
  <c r="AI482" i="8" s="1"/>
  <c r="AI412" i="8" a="1"/>
  <c r="AI412" i="8" s="1"/>
  <c r="AH412" i="8" a="1"/>
  <c r="AH412" i="8" s="1"/>
  <c r="AF398" i="8" a="1"/>
  <c r="AF398" i="8" s="1"/>
  <c r="AI398" i="8" a="1"/>
  <c r="AI398" i="8" s="1"/>
  <c r="AH398" i="8" a="1"/>
  <c r="AH398" i="8" s="1"/>
  <c r="AH384" i="8" a="1"/>
  <c r="AH384" i="8" s="1"/>
  <c r="AG384" i="8" a="1"/>
  <c r="AG384" i="8" s="1"/>
  <c r="AG356" i="8" a="1"/>
  <c r="AG356" i="8" s="1"/>
  <c r="AI356" i="8" a="1"/>
  <c r="AI356" i="8" s="1"/>
  <c r="AI314" i="8" a="1"/>
  <c r="AI314" i="8" s="1"/>
  <c r="AH314" i="8" a="1"/>
  <c r="AH314" i="8" s="1"/>
  <c r="AG314" i="8" a="1"/>
  <c r="AG314" i="8" s="1"/>
  <c r="AH300" i="8" a="1"/>
  <c r="AH300" i="8" s="1"/>
  <c r="AI300" i="8" a="1"/>
  <c r="AI300" i="8" s="1"/>
  <c r="AI272" i="8" a="1"/>
  <c r="AI272" i="8" s="1"/>
  <c r="AG272" i="8" a="1"/>
  <c r="AG272" i="8" s="1"/>
  <c r="AF272" i="8" a="1"/>
  <c r="AF272" i="8" s="1"/>
  <c r="AI244" i="8" a="1"/>
  <c r="AI244" i="8" s="1"/>
  <c r="AH244" i="8" a="1"/>
  <c r="AH244" i="8" s="1"/>
  <c r="AG216" i="8" a="1"/>
  <c r="AG216" i="8" s="1"/>
  <c r="AF216" i="8" a="1"/>
  <c r="AF216" i="8" s="1"/>
  <c r="AG174" i="8" a="1"/>
  <c r="AG174" i="8" s="1"/>
  <c r="AF174" i="8" a="1"/>
  <c r="AF174" i="8" s="1"/>
  <c r="AI174" i="8" a="1"/>
  <c r="AI174" i="8" s="1"/>
  <c r="AH174" i="8" a="1"/>
  <c r="AH174" i="8" s="1"/>
  <c r="AI706" i="8" a="1"/>
  <c r="AI706" i="8" s="1"/>
  <c r="AH861" i="8" a="1"/>
  <c r="AH861" i="8" s="1"/>
  <c r="AF930" i="8" a="1"/>
  <c r="AF930" i="8" s="1"/>
  <c r="AH1001" i="8" a="1"/>
  <c r="AH1001" i="8" s="1"/>
  <c r="AI1043" i="8" a="1"/>
  <c r="AI1043" i="8" s="1"/>
  <c r="AG1195" i="8" a="1"/>
  <c r="AG1195" i="8" s="1"/>
  <c r="AH1195" i="8" a="1"/>
  <c r="AH1195" i="8" s="1"/>
  <c r="AG1139" i="8" a="1"/>
  <c r="AG1139" i="8" s="1"/>
  <c r="AI1139" i="8" a="1"/>
  <c r="AI1139" i="8" s="1"/>
  <c r="AH1139" i="8" a="1"/>
  <c r="AH1139" i="8" s="1"/>
  <c r="AI1069" i="8" a="1"/>
  <c r="AI1069" i="8" s="1"/>
  <c r="AG1069" i="8" a="1"/>
  <c r="AG1069" i="8" s="1"/>
  <c r="AI1055" i="8" a="1"/>
  <c r="AI1055" i="8" s="1"/>
  <c r="AH1055" i="8" a="1"/>
  <c r="AH1055" i="8" s="1"/>
  <c r="AG1055" i="8" a="1"/>
  <c r="AG1055" i="8" s="1"/>
  <c r="AG999" i="8" a="1"/>
  <c r="AG999" i="8" s="1"/>
  <c r="AI999" i="8" a="1"/>
  <c r="AI999" i="8" s="1"/>
  <c r="AH999" i="8" a="1"/>
  <c r="AH999" i="8" s="1"/>
  <c r="AG971" i="8" a="1"/>
  <c r="AG971" i="8" s="1"/>
  <c r="AI971" i="8" a="1"/>
  <c r="AI971" i="8" s="1"/>
  <c r="AH971" i="8" a="1"/>
  <c r="AH971" i="8" s="1"/>
  <c r="AH957" i="8" a="1"/>
  <c r="AH957" i="8" s="1"/>
  <c r="AF929" i="8" a="1"/>
  <c r="AF929" i="8" s="1"/>
  <c r="AH929" i="8" a="1"/>
  <c r="AH929" i="8" s="1"/>
  <c r="AG929" i="8" a="1"/>
  <c r="AG929" i="8" s="1"/>
  <c r="AH915" i="8" a="1"/>
  <c r="AH915" i="8" s="1"/>
  <c r="AG915" i="8" a="1"/>
  <c r="AG915" i="8" s="1"/>
  <c r="AI915" i="8" a="1"/>
  <c r="AI915" i="8" s="1"/>
  <c r="AH887" i="8" a="1"/>
  <c r="AH887" i="8" s="1"/>
  <c r="AG887" i="8" a="1"/>
  <c r="AG887" i="8" s="1"/>
  <c r="AI887" i="8" a="1"/>
  <c r="AI887" i="8" s="1"/>
  <c r="AI845" i="8" a="1"/>
  <c r="AI845" i="8" s="1"/>
  <c r="AH845" i="8" a="1"/>
  <c r="AH845" i="8" s="1"/>
  <c r="AG845" i="8" a="1"/>
  <c r="AG845" i="8" s="1"/>
  <c r="AH817" i="8" a="1"/>
  <c r="AH817" i="8" s="1"/>
  <c r="AI817" i="8" a="1"/>
  <c r="AI817" i="8" s="1"/>
  <c r="AG817" i="8" a="1"/>
  <c r="AG817" i="8" s="1"/>
  <c r="AH789" i="8" a="1"/>
  <c r="AH789" i="8" s="1"/>
  <c r="AG789" i="8" a="1"/>
  <c r="AG789" i="8" s="1"/>
  <c r="AI789" i="8" a="1"/>
  <c r="AI789" i="8" s="1"/>
  <c r="AH635" i="8" a="1"/>
  <c r="AH635" i="8" s="1"/>
  <c r="AG635" i="8" a="1"/>
  <c r="AG635" i="8" s="1"/>
  <c r="AF635" i="8" a="1"/>
  <c r="AF635" i="8" s="1"/>
  <c r="AF621" i="8" a="1"/>
  <c r="AF621" i="8" s="1"/>
  <c r="AG621" i="8" a="1"/>
  <c r="AG621" i="8" s="1"/>
  <c r="AI621" i="8" a="1"/>
  <c r="AI621" i="8" s="1"/>
  <c r="AI593" i="8" a="1"/>
  <c r="AI593" i="8" s="1"/>
  <c r="AH593" i="8" a="1"/>
  <c r="AH593" i="8" s="1"/>
  <c r="AG593" i="8" a="1"/>
  <c r="AG593" i="8" s="1"/>
  <c r="AF593" i="8" a="1"/>
  <c r="AF593" i="8" s="1"/>
  <c r="AH565" i="8" a="1"/>
  <c r="AH565" i="8" s="1"/>
  <c r="AG565" i="8" a="1"/>
  <c r="AG565" i="8" s="1"/>
  <c r="AF565" i="8" a="1"/>
  <c r="AF565" i="8" s="1"/>
  <c r="AG537" i="8" a="1"/>
  <c r="AG537" i="8" s="1"/>
  <c r="AH537" i="8" a="1"/>
  <c r="AH537" i="8" s="1"/>
  <c r="AG439" i="8" a="1"/>
  <c r="AG439" i="8" s="1"/>
  <c r="AF439" i="8" a="1"/>
  <c r="AF439" i="8" s="1"/>
  <c r="AI439" i="8" a="1"/>
  <c r="AI439" i="8" s="1"/>
  <c r="AH411" i="8" a="1"/>
  <c r="AH411" i="8" s="1"/>
  <c r="AG411" i="8" a="1"/>
  <c r="AG411" i="8" s="1"/>
  <c r="AF411" i="8" a="1"/>
  <c r="AF411" i="8" s="1"/>
  <c r="AH383" i="8" a="1"/>
  <c r="AH383" i="8" s="1"/>
  <c r="AI383" i="8" a="1"/>
  <c r="AI383" i="8" s="1"/>
  <c r="AG341" i="8" a="1"/>
  <c r="AG341" i="8" s="1"/>
  <c r="AF341" i="8" a="1"/>
  <c r="AF341" i="8" s="1"/>
  <c r="AI327" i="8" a="1"/>
  <c r="AI327" i="8" s="1"/>
  <c r="AG327" i="8" a="1"/>
  <c r="AG327" i="8" s="1"/>
  <c r="AH327" i="8" a="1"/>
  <c r="AH327" i="8" s="1"/>
  <c r="AG313" i="8" a="1"/>
  <c r="AG313" i="8" s="1"/>
  <c r="AI313" i="8" a="1"/>
  <c r="AI313" i="8" s="1"/>
  <c r="AI257" i="8" a="1"/>
  <c r="AI257" i="8" s="1"/>
  <c r="AH257" i="8" a="1"/>
  <c r="AH257" i="8" s="1"/>
  <c r="AG257" i="8" a="1"/>
  <c r="AG257" i="8" s="1"/>
  <c r="AG159" i="8" a="1"/>
  <c r="AG159" i="8" s="1"/>
  <c r="AF159" i="8" a="1"/>
  <c r="AF159" i="8" s="1"/>
  <c r="AG173" i="8" a="1"/>
  <c r="AG173" i="8" s="1"/>
  <c r="AF273" i="8" a="1"/>
  <c r="AF273" i="8" s="1"/>
  <c r="AI301" i="8" a="1"/>
  <c r="AI301" i="8" s="1"/>
  <c r="AH468" i="8" a="1"/>
  <c r="AH468" i="8" s="1"/>
  <c r="AG511" i="8" a="1"/>
  <c r="AG511" i="8" s="1"/>
  <c r="AI537" i="8" a="1"/>
  <c r="AI537" i="8" s="1"/>
  <c r="AF595" i="8" a="1"/>
  <c r="AF595" i="8" s="1"/>
  <c r="AI623" i="8" a="1"/>
  <c r="AI623" i="8" s="1"/>
  <c r="AI637" i="8" a="1"/>
  <c r="AI637" i="8" s="1"/>
  <c r="AI762" i="8" a="1"/>
  <c r="AI762" i="8" s="1"/>
  <c r="AG819" i="8" a="1"/>
  <c r="AG819" i="8" s="1"/>
  <c r="AI1014" i="8" a="1"/>
  <c r="AI1014" i="8" s="1"/>
  <c r="AF162" i="8" a="1"/>
  <c r="AF162" i="8" s="1"/>
  <c r="AG167" i="8" a="1"/>
  <c r="AG167" i="8" s="1"/>
  <c r="AH173" i="8" a="1"/>
  <c r="AH173" i="8" s="1"/>
  <c r="AF187" i="8" a="1"/>
  <c r="AF187" i="8" s="1"/>
  <c r="AH215" i="8" a="1"/>
  <c r="AH215" i="8" s="1"/>
  <c r="AF257" i="8" a="1"/>
  <c r="AF257" i="8" s="1"/>
  <c r="AG287" i="8" a="1"/>
  <c r="AG287" i="8" s="1"/>
  <c r="AG398" i="8" a="1"/>
  <c r="AG398" i="8" s="1"/>
  <c r="AI425" i="8" a="1"/>
  <c r="AI425" i="8" s="1"/>
  <c r="AG495" i="8" a="1"/>
  <c r="AG495" i="8" s="1"/>
  <c r="AH511" i="8" a="1"/>
  <c r="AH511" i="8" s="1"/>
  <c r="AH538" i="8" a="1"/>
  <c r="AH538" i="8" s="1"/>
  <c r="AI595" i="8" a="1"/>
  <c r="AI595" i="8" s="1"/>
  <c r="AI609" i="8" a="1"/>
  <c r="AI609" i="8" s="1"/>
  <c r="AG692" i="8" a="1"/>
  <c r="AG692" i="8" s="1"/>
  <c r="AI749" i="8" a="1"/>
  <c r="AI749" i="8" s="1"/>
  <c r="AI763" i="8" a="1"/>
  <c r="AI763" i="8" s="1"/>
  <c r="AH790" i="8" a="1"/>
  <c r="AH790" i="8" s="1"/>
  <c r="AH1069" i="8" a="1"/>
  <c r="AH1069" i="8" s="1"/>
  <c r="AG1083" i="8" a="1"/>
  <c r="AG1083" i="8" s="1"/>
  <c r="AH1140" i="8" a="1"/>
  <c r="AH1140" i="8" s="1"/>
  <c r="AG1169" i="8" a="1"/>
  <c r="AG1169" i="8" s="1"/>
  <c r="AH1166" i="8" a="1"/>
  <c r="AH1166" i="8" s="1"/>
  <c r="AI1166" i="8" a="1"/>
  <c r="AI1166" i="8" s="1"/>
  <c r="AH1082" i="8" a="1"/>
  <c r="AH1082" i="8" s="1"/>
  <c r="AI1082" i="8" a="1"/>
  <c r="AI1082" i="8" s="1"/>
  <c r="AG1082" i="8" a="1"/>
  <c r="AG1082" i="8" s="1"/>
  <c r="AI1040" i="8" a="1"/>
  <c r="AI1040" i="8" s="1"/>
  <c r="AH1026" i="8" a="1"/>
  <c r="AH1026" i="8" s="1"/>
  <c r="AI1026" i="8" a="1"/>
  <c r="AI1026" i="8" s="1"/>
  <c r="AI844" i="8" a="1"/>
  <c r="AI844" i="8" s="1"/>
  <c r="AH844" i="8" a="1"/>
  <c r="AH844" i="8" s="1"/>
  <c r="AG662" i="8" a="1"/>
  <c r="AG662" i="8" s="1"/>
  <c r="AF662" i="8" a="1"/>
  <c r="AF662" i="8" s="1"/>
  <c r="AG564" i="8" a="1"/>
  <c r="AG564" i="8" s="1"/>
  <c r="AF564" i="8" a="1"/>
  <c r="AF564" i="8" s="1"/>
  <c r="AI564" i="8" a="1"/>
  <c r="AI564" i="8" s="1"/>
  <c r="AI550" i="8" a="1"/>
  <c r="AI550" i="8" s="1"/>
  <c r="AH550" i="8" a="1"/>
  <c r="AH550" i="8" s="1"/>
  <c r="AH214" i="8" a="1"/>
  <c r="AH214" i="8" s="1"/>
  <c r="AI508" i="8" a="1"/>
  <c r="AI508" i="8" s="1"/>
  <c r="AI620" i="8" a="1"/>
  <c r="AI620" i="8" s="1"/>
  <c r="AH1165" i="8" a="1"/>
  <c r="AH1165" i="8" s="1"/>
  <c r="AG1165" i="8" a="1"/>
  <c r="AG1165" i="8" s="1"/>
  <c r="AH1109" i="8" a="1"/>
  <c r="AH1109" i="8" s="1"/>
  <c r="AG1109" i="8" a="1"/>
  <c r="AG1109" i="8" s="1"/>
  <c r="AH1053" i="8" a="1"/>
  <c r="AH1053" i="8" s="1"/>
  <c r="AG1053" i="8" a="1"/>
  <c r="AG1053" i="8" s="1"/>
  <c r="AG1025" i="8" a="1"/>
  <c r="AG1025" i="8" s="1"/>
  <c r="AI1025" i="8" a="1"/>
  <c r="AI1025" i="8" s="1"/>
  <c r="AH1025" i="8" a="1"/>
  <c r="AH1025" i="8" s="1"/>
  <c r="AG899" i="8" a="1"/>
  <c r="AG899" i="8" s="1"/>
  <c r="AI899" i="8" a="1"/>
  <c r="AI899" i="8" s="1"/>
  <c r="AH885" i="8" a="1"/>
  <c r="AH885" i="8" s="1"/>
  <c r="AI885" i="8" a="1"/>
  <c r="AI885" i="8" s="1"/>
  <c r="AF717" i="8" a="1"/>
  <c r="AF717" i="8" s="1"/>
  <c r="AG717" i="8" a="1"/>
  <c r="AG717" i="8" s="1"/>
  <c r="AI381" i="8" a="1"/>
  <c r="AI381" i="8" s="1"/>
  <c r="AG381" i="8" a="1"/>
  <c r="AG381" i="8" s="1"/>
  <c r="AH297" i="8" a="1"/>
  <c r="AH297" i="8" s="1"/>
  <c r="AG297" i="8" a="1"/>
  <c r="AG297" i="8" s="1"/>
  <c r="AH1124" i="8" a="1"/>
  <c r="AH1124" i="8" s="1"/>
  <c r="AI1124" i="8" a="1"/>
  <c r="AI1124" i="8" s="1"/>
  <c r="AG186" i="8" a="1"/>
  <c r="AG186" i="8" s="1"/>
  <c r="AG200" i="8" a="1"/>
  <c r="AG200" i="8" s="1"/>
  <c r="AI270" i="8" a="1"/>
  <c r="AI270" i="8" s="1"/>
  <c r="AG311" i="8" a="1"/>
  <c r="AG311" i="8" s="1"/>
  <c r="AH353" i="8" a="1"/>
  <c r="AH353" i="8" s="1"/>
  <c r="AG368" i="8" a="1"/>
  <c r="AG368" i="8" s="1"/>
  <c r="AG396" i="8" a="1"/>
  <c r="AG396" i="8" s="1"/>
  <c r="AH409" i="8" a="1"/>
  <c r="AH409" i="8" s="1"/>
  <c r="AH438" i="8" a="1"/>
  <c r="AH438" i="8" s="1"/>
  <c r="AG536" i="8" a="1"/>
  <c r="AG536" i="8" s="1"/>
  <c r="AG550" i="8" a="1"/>
  <c r="AG550" i="8" s="1"/>
  <c r="AI578" i="8" a="1"/>
  <c r="AI578" i="8" s="1"/>
  <c r="AG661" i="8" a="1"/>
  <c r="AG661" i="8" s="1"/>
  <c r="AG675" i="8" a="1"/>
  <c r="AG675" i="8" s="1"/>
  <c r="AG732" i="8" a="1"/>
  <c r="AG732" i="8" s="1"/>
  <c r="AG802" i="8" a="1"/>
  <c r="AG802" i="8" s="1"/>
  <c r="AG829" i="8" a="1"/>
  <c r="AG829" i="8" s="1"/>
  <c r="AI941" i="8" a="1"/>
  <c r="AI941" i="8" s="1"/>
  <c r="AG984" i="8" a="1"/>
  <c r="AG984" i="8" s="1"/>
  <c r="AI1110" i="8" a="1"/>
  <c r="AI1110" i="8" s="1"/>
  <c r="AG1137" i="8" a="1"/>
  <c r="AG1137" i="8" s="1"/>
  <c r="AH970" i="8" a="1"/>
  <c r="AH970" i="8" s="1"/>
  <c r="AI970" i="8" a="1"/>
  <c r="AI970" i="8" s="1"/>
  <c r="AG914" i="8" a="1"/>
  <c r="AG914" i="8" s="1"/>
  <c r="AH914" i="8" a="1"/>
  <c r="AH914" i="8" s="1"/>
  <c r="AG872" i="8" a="1"/>
  <c r="AG872" i="8" s="1"/>
  <c r="AI872" i="8" a="1"/>
  <c r="AI872" i="8" s="1"/>
  <c r="AG648" i="8" a="1"/>
  <c r="AG648" i="8" s="1"/>
  <c r="AH648" i="8" a="1"/>
  <c r="AH648" i="8" s="1"/>
  <c r="AH340" i="8" a="1"/>
  <c r="AH340" i="8" s="1"/>
  <c r="AG438" i="8" a="1"/>
  <c r="AG438" i="8" s="1"/>
  <c r="AG466" i="8" a="1"/>
  <c r="AG466" i="8" s="1"/>
  <c r="AH956" i="8" a="1"/>
  <c r="AH956" i="8" s="1"/>
  <c r="AH1179" i="8" a="1"/>
  <c r="AH1179" i="8" s="1"/>
  <c r="AI1179" i="8" a="1"/>
  <c r="AI1179" i="8" s="1"/>
  <c r="AG283" i="8" a="1"/>
  <c r="AG283" i="8" s="1"/>
  <c r="AH396" i="8" a="1"/>
  <c r="AH396" i="8" s="1"/>
  <c r="AH493" i="8" a="1"/>
  <c r="AH493" i="8" s="1"/>
  <c r="AH661" i="8" a="1"/>
  <c r="AH661" i="8" s="1"/>
  <c r="AH872" i="8" a="1"/>
  <c r="AH872" i="8" s="1"/>
  <c r="AH984" i="8" a="1"/>
  <c r="AH984" i="8" s="1"/>
  <c r="AG1026" i="8" a="1"/>
  <c r="AG1026" i="8" s="1"/>
  <c r="AH1096" i="8" a="1"/>
  <c r="AH1096" i="8" s="1"/>
  <c r="AH1137" i="8" a="1"/>
  <c r="AH1137" i="8" s="1"/>
  <c r="AH1151" i="8" a="1"/>
  <c r="AH1151" i="8" s="1"/>
  <c r="AI1165" i="8" a="1"/>
  <c r="AI1165" i="8" s="1"/>
  <c r="AI1108" i="8" a="1"/>
  <c r="AI1108" i="8" s="1"/>
  <c r="AG940" i="8" a="1"/>
  <c r="AG940" i="8" s="1"/>
  <c r="AH940" i="8" a="1"/>
  <c r="AH940" i="8" s="1"/>
  <c r="AG1010" i="8" a="1"/>
  <c r="AG1010" i="8" s="1"/>
  <c r="AF229" i="8"/>
  <c r="AF208" i="8"/>
  <c r="AF406" i="8"/>
  <c r="AF209" i="8"/>
  <c r="AF540" i="8"/>
  <c r="AF250" i="8"/>
  <c r="AF651" i="8"/>
  <c r="AF231" i="8"/>
  <c r="AF486" i="8"/>
  <c r="AF887" i="8"/>
  <c r="AF189" i="8"/>
  <c r="AF210" i="8"/>
  <c r="AF408" i="8"/>
  <c r="AF554" i="8"/>
  <c r="AF207" i="8"/>
  <c r="AF249" i="8"/>
  <c r="AF151" i="8"/>
  <c r="AF233" i="8"/>
  <c r="AF252" i="8"/>
  <c r="AF371" i="8"/>
  <c r="AF716" i="8"/>
  <c r="AF757" i="8"/>
  <c r="AF152" i="8"/>
  <c r="AF369" i="8"/>
  <c r="AF693" i="8"/>
  <c r="AF484" i="8"/>
  <c r="AF175" i="8"/>
  <c r="AF230" i="8"/>
  <c r="AF678" i="8"/>
  <c r="AF167" i="8"/>
  <c r="AF150" i="8"/>
  <c r="AF220" i="8"/>
  <c r="AF248" i="8"/>
  <c r="AF575" i="8"/>
  <c r="AF701" i="8"/>
  <c r="AF755" i="8"/>
  <c r="AF889" i="8"/>
  <c r="AF538" i="8"/>
  <c r="AF542" i="8"/>
  <c r="AF247" i="8"/>
  <c r="AF296" i="8"/>
  <c r="AF706" i="8"/>
  <c r="AF574" i="8"/>
  <c r="AF687" i="8"/>
  <c r="AF1005" i="8"/>
  <c r="AF591" i="8"/>
  <c r="AF658" i="8"/>
  <c r="AF787" i="8"/>
  <c r="AF432" i="8"/>
  <c r="AF470" i="8"/>
  <c r="AF472" i="8"/>
  <c r="AF487" i="8"/>
  <c r="AF833" i="8"/>
  <c r="AF951" i="8"/>
  <c r="AF251" i="8"/>
  <c r="AF328" i="8"/>
  <c r="AF335" i="8"/>
  <c r="AF370" i="8"/>
  <c r="AF485" i="8"/>
  <c r="AF466" i="8"/>
  <c r="AF190" i="8"/>
  <c r="AF309" i="8"/>
  <c r="AF558" i="8"/>
  <c r="AF831" i="8"/>
  <c r="AF949" i="8"/>
  <c r="AF968" i="8"/>
  <c r="AF886" i="8"/>
  <c r="AF1034" i="8"/>
  <c r="AF1114" i="8"/>
  <c r="AF810" i="8"/>
  <c r="AF714" i="8"/>
  <c r="AF885" i="8"/>
  <c r="AF950" i="8"/>
  <c r="AF1003" i="8"/>
  <c r="AF756" i="8"/>
  <c r="AF948" i="8"/>
  <c r="AF996" i="8"/>
  <c r="AF530" i="8"/>
  <c r="AF820" i="8"/>
  <c r="AF972" i="8"/>
  <c r="AF368" i="8"/>
  <c r="AF679" i="8"/>
  <c r="AF688" i="8"/>
  <c r="AF928" i="8"/>
  <c r="AF977" i="8"/>
  <c r="AF893" i="8"/>
  <c r="AF969" i="8"/>
  <c r="AF971" i="8"/>
  <c r="AF1033" i="8"/>
  <c r="AF1050" i="8"/>
  <c r="AF1115" i="8"/>
  <c r="AF884" i="8"/>
  <c r="AF891" i="8"/>
  <c r="AF947" i="8"/>
  <c r="AF1195" i="8"/>
  <c r="AF754" i="8"/>
  <c r="AF1119" i="8"/>
  <c r="AF832" i="8"/>
  <c r="AF965" i="8"/>
  <c r="AF967" i="8"/>
  <c r="AF1098" i="8"/>
  <c r="AF1096" i="8"/>
  <c r="AF1129" i="8"/>
  <c r="AF809" i="8"/>
  <c r="AF824" i="8"/>
  <c r="AF890" i="8"/>
  <c r="AF1027" i="8"/>
  <c r="AF1074" i="8"/>
  <c r="AF1100" i="8"/>
  <c r="AF1113" i="8"/>
  <c r="AF1116" i="8"/>
  <c r="AF811" i="8"/>
  <c r="AF892" i="8"/>
  <c r="AF1049" i="8"/>
  <c r="AF1016" i="8"/>
  <c r="AF1117" i="8"/>
  <c r="AF1197" i="8"/>
  <c r="AF1161" i="8"/>
  <c r="AF1035" i="8"/>
  <c r="AF1052" i="8"/>
  <c r="AF1073" i="8"/>
  <c r="AF1020" i="8"/>
  <c r="AF1099" i="8"/>
  <c r="AF1101" i="8"/>
  <c r="AF1120" i="8"/>
  <c r="AF952" i="8"/>
  <c r="AF966" i="8"/>
  <c r="AF1076" i="8"/>
  <c r="AF1097" i="8"/>
  <c r="AF1118" i="8"/>
  <c r="P6" i="8" a="1"/>
  <c r="P6" i="8" s="1"/>
  <c r="AI6" i="8" a="1"/>
  <c r="AI6" i="8" s="1"/>
  <c r="AG6" i="8" a="1"/>
  <c r="AG6" i="8" s="1"/>
  <c r="AH6" i="8" a="1"/>
  <c r="AH6" i="8" s="1"/>
  <c r="AF6" i="8" a="1"/>
  <c r="AF6" i="8" s="1"/>
  <c r="O6" i="8" a="1"/>
  <c r="O6" i="8" s="1"/>
  <c r="J1055" i="8" a="1"/>
  <c r="AF1051" i="8" a="1"/>
  <c r="J1079" i="8" a="1"/>
  <c r="AF995" i="8" a="1"/>
  <c r="AF994" i="8" a="1"/>
  <c r="J1137" i="8" a="1"/>
  <c r="AF1012" i="8" a="1"/>
  <c r="AF970" i="8" a="1"/>
  <c r="AF1032" i="8" a="1"/>
  <c r="O1124" i="8" a="1"/>
  <c r="J1054" i="8" a="1"/>
  <c r="J1078" i="8" a="1"/>
  <c r="J1070" i="8" a="1"/>
  <c r="J751" i="8" a="1"/>
  <c r="O528" i="8" a="1"/>
  <c r="J778" i="8" a="1"/>
  <c r="AF786" i="8" a="1"/>
  <c r="P898" i="8" a="1"/>
  <c r="O691" i="8" a="1"/>
  <c r="O892" i="8" a="1"/>
  <c r="AF1160" i="8" a="1"/>
  <c r="AF1031" i="8" a="1"/>
  <c r="AF806" i="8" a="1"/>
  <c r="O904" i="8" a="1"/>
  <c r="AF1019" i="8" a="1"/>
  <c r="J686" i="8" a="1"/>
  <c r="P892" i="8" a="1"/>
  <c r="J700" i="8" a="1"/>
  <c r="J1077" i="8" a="1"/>
  <c r="O1123" i="8" a="1"/>
  <c r="O677" i="8" a="1"/>
  <c r="O649" i="8" a="1"/>
  <c r="J904" i="8" a="1"/>
  <c r="AF888" i="8" a="1"/>
  <c r="O895" i="8" a="1"/>
  <c r="P806" i="8" a="1"/>
  <c r="J1043" i="8" a="1"/>
  <c r="O787" i="8" a="1"/>
  <c r="AF1011" i="8" a="1"/>
  <c r="O778" i="8" a="1"/>
  <c r="AF1064" i="8" a="1"/>
  <c r="AF702" i="8" a="1"/>
  <c r="O704" i="8" a="1"/>
  <c r="O1006" i="8" a="1"/>
  <c r="O889" i="8" a="1"/>
  <c r="J1069" i="8" a="1"/>
  <c r="AF1105" i="8" a="1"/>
  <c r="AF815" i="8" a="1"/>
  <c r="J907" i="8" a="1"/>
  <c r="J1189" i="8" a="1"/>
  <c r="AF584" i="8" a="1"/>
  <c r="AF720" i="8" a="1"/>
  <c r="AF567" i="8" a="1"/>
  <c r="AF823" i="8" a="1"/>
  <c r="AF814" i="8" a="1"/>
  <c r="J713" i="8" a="1"/>
  <c r="J531" i="8" a="1"/>
  <c r="AF938" i="8" a="1"/>
  <c r="AF1029" i="8" a="1"/>
  <c r="J1135" i="8" a="1"/>
  <c r="AF666" i="8" a="1"/>
  <c r="AF718" i="8" a="1"/>
  <c r="AF1028" i="8" a="1"/>
  <c r="AF548" i="8" a="1"/>
  <c r="AF1157" i="8" a="1"/>
  <c r="AF1158" i="8" a="1"/>
  <c r="AF937" i="8" a="1"/>
  <c r="AF1030" i="8" a="1"/>
  <c r="AF582" i="8" a="1"/>
  <c r="AF934" i="8" a="1"/>
  <c r="AF568" i="8" a="1"/>
  <c r="AF583" i="8" a="1"/>
  <c r="AF719" i="8" a="1"/>
  <c r="AF946" i="8" a="1"/>
  <c r="AF1104" i="8" a="1"/>
  <c r="AF667" i="8" a="1"/>
  <c r="J694" i="8" a="1"/>
  <c r="AF550" i="8" a="1"/>
  <c r="AF668" i="8" a="1"/>
  <c r="AF1106" i="8" a="1"/>
  <c r="J585" i="8" a="1"/>
  <c r="J790" i="8" a="1"/>
  <c r="AF549" i="8" a="1"/>
  <c r="AF1103" i="8" a="1"/>
  <c r="AF644" i="8" a="1"/>
  <c r="J675" i="8" a="1"/>
  <c r="J981" i="8" a="1"/>
  <c r="AF1159" i="8" a="1"/>
  <c r="AF643" i="8" a="1"/>
  <c r="AF1155" i="8" a="1"/>
  <c r="AF1156" i="8" a="1"/>
  <c r="AF945" i="8" a="1"/>
  <c r="AF816" i="8" a="1"/>
  <c r="AF119" i="8" a="1"/>
  <c r="AF725" i="8" a="1"/>
  <c r="AF988" i="8" a="1"/>
  <c r="AF782" i="8" a="1"/>
  <c r="AF1040" i="8" a="1"/>
  <c r="AF732" i="8" a="1"/>
  <c r="AF1081" i="8" a="1"/>
  <c r="AF55" i="8" a="1"/>
  <c r="AF1000" i="8" a="1"/>
  <c r="AF359" i="8" a="1"/>
  <c r="AF837" i="8" a="1"/>
  <c r="AF94" i="8" a="1"/>
  <c r="AF1178" i="8" a="1"/>
  <c r="AF515" i="8" a="1"/>
  <c r="AF801" i="8" a="1"/>
  <c r="AF453" i="8" a="1"/>
  <c r="AF763" i="8" a="1"/>
  <c r="AF1146" i="8" a="1"/>
  <c r="AF894" i="8" a="1"/>
  <c r="AF880" i="8" a="1"/>
  <c r="AF452" i="8" a="1"/>
  <c r="AF184" i="8" a="1"/>
  <c r="AF104" i="8" a="1"/>
  <c r="AF1194" i="8" a="1"/>
  <c r="AF976" i="8" a="1"/>
  <c r="AF87" i="8" a="1"/>
  <c r="AF855" i="8" a="1"/>
  <c r="AF1141" i="8" a="1"/>
  <c r="AF791" i="8" a="1"/>
  <c r="AF225" i="8" a="1"/>
  <c r="AF324" i="8" a="1"/>
  <c r="AF770" i="8" a="1"/>
  <c r="AF696" i="8" a="1"/>
  <c r="AF882" i="8" a="1"/>
  <c r="AF1132" i="8" a="1"/>
  <c r="AF856" i="8" a="1"/>
  <c r="AF1137" i="8" a="1"/>
  <c r="AF355" i="8" a="1"/>
  <c r="AF121" i="8" a="1"/>
  <c r="AF23" i="8" a="1"/>
  <c r="AF698" i="8" a="1"/>
  <c r="AF1075" i="8" a="1"/>
  <c r="AF859" i="8" a="1"/>
  <c r="AF360" i="8" a="1"/>
  <c r="AF1065" i="8" a="1"/>
  <c r="AF1068" i="8" a="1"/>
  <c r="AF465" i="8" a="1"/>
  <c r="AF1138" i="8" a="1"/>
  <c r="AF985" i="8" a="1"/>
  <c r="AF285" i="8" a="1"/>
  <c r="AF735" i="8" a="1"/>
  <c r="AF24" i="8" a="1"/>
  <c r="AF745" i="8" a="1"/>
  <c r="AF647" i="8" a="1"/>
  <c r="AF850" i="8" a="1"/>
  <c r="AF669" i="8" a="1"/>
  <c r="AF902" i="8" a="1"/>
  <c r="AF84" i="8" a="1"/>
  <c r="AF729" i="8" a="1"/>
  <c r="AF587" i="8" a="1"/>
  <c r="AF477" i="8" a="1"/>
  <c r="AF1182" i="8" a="1"/>
  <c r="AF202" i="8" a="1"/>
  <c r="AF697" i="8" a="1"/>
  <c r="AF958" i="8" a="1"/>
  <c r="AF302" i="8" a="1"/>
  <c r="AF1191" i="8" a="1"/>
  <c r="AF62" i="8" a="1"/>
  <c r="AF237" i="8" a="1"/>
  <c r="AF723" i="8" a="1"/>
  <c r="AF1048" i="8" a="1"/>
  <c r="AF244" i="8" a="1"/>
  <c r="AF500" i="8" a="1"/>
  <c r="AF657" i="8" a="1"/>
  <c r="AF836" i="8" a="1"/>
  <c r="AF1056" i="8" a="1"/>
  <c r="AF992" i="8" a="1"/>
  <c r="AF941" i="8" a="1"/>
  <c r="AF512" i="8" a="1"/>
  <c r="AF874" i="8" a="1"/>
  <c r="AF455" i="8" a="1"/>
  <c r="AF794" i="8" a="1"/>
  <c r="AF918" i="8" a="1"/>
  <c r="AF722" i="8" a="1"/>
  <c r="AF1174" i="8" a="1"/>
  <c r="AF906" i="8" a="1"/>
  <c r="AF778" i="8" a="1"/>
  <c r="AF1168" i="8" a="1"/>
  <c r="AF1045" i="8" a="1"/>
  <c r="AF447" i="8" a="1"/>
  <c r="AF332" i="8" a="1"/>
  <c r="AF789" i="8" a="1"/>
  <c r="AF939" i="8" a="1"/>
  <c r="AF907" i="8" a="1"/>
  <c r="AF30" i="8" a="1"/>
  <c r="AF1002" i="8" a="1"/>
  <c r="AF900" i="8" a="1"/>
  <c r="AF85" i="8" a="1"/>
  <c r="AF1173" i="8" a="1"/>
  <c r="AF1085" i="8" a="1"/>
  <c r="AF93" i="8" a="1"/>
  <c r="AF973" i="8" a="1"/>
  <c r="AF1026" i="8" a="1"/>
  <c r="AF879" i="8" a="1"/>
  <c r="AF337" i="8" a="1"/>
  <c r="AF1172" i="8" a="1"/>
  <c r="AF1038" i="8" a="1"/>
  <c r="AF1069" i="8" a="1"/>
  <c r="AF589" i="8" a="1"/>
  <c r="AF243" i="8" a="1"/>
  <c r="AF1181" i="8" a="1"/>
  <c r="AF415" i="8" a="1"/>
  <c r="AF671" i="8" a="1"/>
  <c r="AF474" i="8" a="1"/>
  <c r="AF356" i="8" a="1"/>
  <c r="AF1007" i="8" a="1"/>
  <c r="AF912" i="8" a="1"/>
  <c r="AF462" i="8" a="1"/>
  <c r="AF1010" i="8" a="1"/>
  <c r="AF913" i="8" a="1"/>
  <c r="AF1133" i="8" a="1"/>
  <c r="AF916" i="8" a="1"/>
  <c r="AF1039" i="8" a="1"/>
  <c r="AF523" i="8" a="1"/>
  <c r="AF479" i="8" a="1"/>
  <c r="AF163" i="8" a="1"/>
  <c r="AF318" i="8" a="1"/>
  <c r="AF771" i="8" a="1"/>
  <c r="AF858" i="8" a="1"/>
  <c r="AF943" i="8" a="1"/>
  <c r="AF876" i="8" a="1"/>
  <c r="AF498" i="8" a="1"/>
  <c r="AF908" i="8" a="1"/>
  <c r="AF319" i="8" a="1"/>
  <c r="AF536" i="8" a="1"/>
  <c r="AF798" i="8" a="1"/>
  <c r="AF65" i="8" a="1"/>
  <c r="AF279" i="8" a="1"/>
  <c r="AF468" i="8" a="1"/>
  <c r="AF304" i="8" a="1"/>
  <c r="AF728" i="8" a="1"/>
  <c r="AF97" i="8" a="1"/>
  <c r="AF919" i="8" a="1"/>
  <c r="AF105" i="8" a="1"/>
  <c r="AF57" i="8" a="1"/>
  <c r="AF342" i="8" a="1"/>
  <c r="AF96" i="8" a="1"/>
  <c r="AF344" i="8" a="1"/>
  <c r="AF203" i="8" a="1"/>
  <c r="AF116" i="8" a="1"/>
  <c r="AF134" i="8" a="1"/>
  <c r="AF899" i="8" a="1"/>
  <c r="AF730" i="8" a="1"/>
  <c r="AF1148" i="8" a="1"/>
  <c r="AF63" i="8" a="1"/>
  <c r="AF877" i="8" a="1"/>
  <c r="AF313" i="8" a="1"/>
  <c r="AF848" i="8" a="1"/>
  <c r="AF507" i="8" a="1"/>
  <c r="AF524" i="8" a="1"/>
  <c r="AF445" i="8" a="1"/>
  <c r="AF303" i="8" a="1"/>
  <c r="AF573" i="8" a="1"/>
  <c r="AF125" i="8" a="1"/>
  <c r="AF1046" i="8" a="1"/>
  <c r="AF652" i="8" a="1"/>
  <c r="AF975" i="8" a="1"/>
  <c r="AF804" i="8" a="1"/>
  <c r="AF1094" i="8" a="1"/>
  <c r="AF520" i="8" a="1"/>
  <c r="AF1066" i="8" a="1"/>
  <c r="AF991" i="8" a="1"/>
  <c r="AF357" i="8" a="1"/>
  <c r="AF1093" i="8" a="1"/>
  <c r="AF1006" i="8" a="1"/>
  <c r="AF1134" i="8" a="1"/>
  <c r="AF830" i="8" a="1"/>
  <c r="AF655" i="8" a="1"/>
  <c r="AF1058" i="8" a="1"/>
  <c r="AF839" i="8" a="1"/>
  <c r="AF775" i="8" a="1"/>
  <c r="AF915" i="8" a="1"/>
  <c r="AF896" i="8" a="1"/>
  <c r="AF920" i="8" a="1"/>
  <c r="AF292" i="8" a="1"/>
  <c r="AF689" i="8" a="1"/>
  <c r="AF759" i="8" a="1"/>
  <c r="AF750" i="8" a="1"/>
  <c r="AF556" i="8" a="1"/>
  <c r="AF873" i="8" a="1"/>
  <c r="AF1023" i="8" a="1"/>
  <c r="AF193" i="8" a="1"/>
  <c r="AF785" i="8" a="1"/>
  <c r="AF288" i="8" a="1"/>
  <c r="AF710" i="8" a="1"/>
  <c r="AF749" i="8" a="1"/>
  <c r="AF570" i="8" a="1"/>
  <c r="AF861" i="8" a="1"/>
  <c r="AF499" i="8" a="1"/>
  <c r="AF743" i="8" a="1"/>
  <c r="AF871" i="8" a="1"/>
  <c r="AF744" i="8" a="1"/>
  <c r="AF446" i="8" a="1"/>
  <c r="AF901" i="8" a="1"/>
  <c r="AF205" i="8" a="1"/>
  <c r="AF117" i="8" a="1"/>
  <c r="AF713" i="8" a="1"/>
  <c r="AF586" i="8" a="1"/>
  <c r="AF50" i="8" a="1"/>
  <c r="AF1013" i="8" a="1"/>
  <c r="AF480" i="8" a="1"/>
  <c r="AF980" i="8" a="1"/>
  <c r="AF532" i="8" a="1"/>
  <c r="AF805" i="8" a="1"/>
  <c r="AF979" i="8" a="1"/>
  <c r="AF1015" i="8" a="1"/>
  <c r="AF496" i="8" a="1"/>
  <c r="AF475" i="8" a="1"/>
  <c r="AF962" i="8" a="1"/>
  <c r="AF459" i="8" a="1"/>
  <c r="AF1111" i="8" a="1"/>
  <c r="AF526" i="8" a="1"/>
  <c r="AF1109" i="8" a="1"/>
  <c r="AF840" i="8" a="1"/>
  <c r="AF691" i="8" a="1"/>
  <c r="AF246" i="8" a="1"/>
  <c r="AF1112" i="8" a="1"/>
  <c r="AF235" i="8" a="1"/>
  <c r="AF1110" i="8" a="1"/>
  <c r="AF922" i="8" a="1"/>
  <c r="AF290" i="8" a="1"/>
  <c r="AF351" i="8" a="1"/>
  <c r="AF1017" i="8" a="1"/>
  <c r="AF772" i="8" a="1"/>
  <c r="AF552" i="8" a="1"/>
  <c r="AF846" i="8" a="1"/>
  <c r="AF192" i="8" a="1"/>
  <c r="AF1193" i="8" a="1"/>
  <c r="AF1001" i="8" a="1"/>
  <c r="AF793" i="8" a="1"/>
  <c r="AF52" i="8" a="1"/>
  <c r="AF1043" i="8" a="1"/>
  <c r="AF1126" i="8" a="1"/>
  <c r="AF818" i="8" a="1"/>
  <c r="AF1095" i="8" a="1"/>
  <c r="AF881" i="8" a="1"/>
  <c r="AF653" i="8" a="1"/>
  <c r="AF425" i="8" a="1"/>
  <c r="AF685" i="8" a="1"/>
  <c r="AF1135" i="8" a="1"/>
  <c r="AF852" i="8" a="1"/>
  <c r="AF67" i="8" a="1"/>
  <c r="AF1164" i="8" a="1"/>
  <c r="AF703" i="8" a="1"/>
  <c r="AF828" i="8" a="1"/>
  <c r="AF739" i="8" a="1"/>
  <c r="AF917" i="8" a="1"/>
  <c r="AF364" i="8" a="1"/>
  <c r="AF180" i="8" a="1"/>
  <c r="AF348" i="8" a="1"/>
  <c r="AF1180" i="8" a="1"/>
  <c r="AF1071" i="8" a="1"/>
  <c r="AF89" i="8" a="1"/>
  <c r="AF700" i="8" a="1"/>
  <c r="AF521" i="8" a="1"/>
  <c r="AF1009" i="8" a="1"/>
  <c r="AF940" i="8" a="1"/>
  <c r="AF1139" i="8" a="1"/>
  <c r="AF114" i="8" a="1"/>
  <c r="AF752" i="8" a="1"/>
  <c r="AF1070" i="8" a="1"/>
  <c r="AF316" i="8" a="1"/>
  <c r="AF361" i="8" a="1"/>
  <c r="AF862" i="8" a="1"/>
  <c r="AF838" i="8" a="1"/>
  <c r="AF1053" i="8" a="1"/>
  <c r="AF751" i="8" a="1"/>
  <c r="AF959" i="8" a="1"/>
  <c r="AF204" i="8" a="1"/>
  <c r="AF1086" i="8" a="1"/>
  <c r="AF844" i="8" a="1"/>
  <c r="AF457" i="8" a="1"/>
  <c r="AF799" i="8" a="1"/>
  <c r="AF869" i="8" a="1"/>
  <c r="AF1163" i="8" a="1"/>
  <c r="AF1136" i="8" a="1"/>
  <c r="AF1124" i="8" a="1"/>
  <c r="AF379" i="8" a="1"/>
  <c r="AF1055" i="8" a="1"/>
  <c r="AF1021" i="8" a="1"/>
  <c r="AF107" i="8" a="1"/>
  <c r="AF800" i="8" a="1"/>
  <c r="AF1189" i="8" a="1"/>
  <c r="AF27" i="8" a="1"/>
  <c r="AF683" i="8" a="1"/>
  <c r="AF921" i="8" a="1"/>
  <c r="AF704" i="8" a="1"/>
  <c r="AF1092" i="8" a="1"/>
  <c r="AF821" i="8" a="1"/>
  <c r="AF1149" i="8" a="1"/>
  <c r="AF194" i="8" a="1"/>
  <c r="AF525" i="8" a="1"/>
  <c r="AF747" i="8" a="1"/>
  <c r="AF961" i="8" a="1"/>
  <c r="AF95" i="8" a="1"/>
  <c r="AF529" i="8" a="1"/>
  <c r="AF329" i="8" a="1"/>
  <c r="AF993" i="8" a="1"/>
  <c r="AF654" i="8" a="1"/>
  <c r="AF326" i="8" a="1"/>
  <c r="AF974" i="8" a="1"/>
  <c r="AF681" i="8" a="1"/>
  <c r="AF522" i="8" a="1"/>
  <c r="AF115" i="8" a="1"/>
  <c r="AF843" i="8" a="1"/>
  <c r="AF1183" i="8" a="1"/>
  <c r="AF444" i="8" a="1"/>
  <c r="AF281" i="8" a="1"/>
  <c r="AF910" i="8" a="1"/>
  <c r="B4" i="8" a="1"/>
  <c r="AF1061" i="8" a="1"/>
  <c r="AF1170" i="8" a="1"/>
  <c r="AF767" i="8" a="1"/>
  <c r="AF551" i="8" a="1"/>
  <c r="AF740" i="8" a="1"/>
  <c r="AF819" i="8" a="1"/>
  <c r="AF779" i="8" a="1"/>
  <c r="AF92" i="8" a="1"/>
  <c r="AF826" i="8" a="1"/>
  <c r="AF200" i="8" a="1"/>
  <c r="AF1062" i="8" a="1"/>
  <c r="AF306" i="8" a="1"/>
  <c r="AF898" i="8" a="1"/>
  <c r="AF784" i="8" a="1"/>
  <c r="AF984" i="8" a="1"/>
  <c r="AF201" i="8" a="1"/>
  <c r="AF860" i="8" a="1"/>
  <c r="AF904" i="8" a="1"/>
  <c r="AF377" i="8" a="1"/>
  <c r="AF314" i="8" a="1"/>
  <c r="AF502" i="8" a="1"/>
  <c r="AF978" i="8" a="1"/>
  <c r="AF1127" i="8" a="1"/>
  <c r="AF195" i="8" a="1"/>
  <c r="AF471" i="8" a="1"/>
  <c r="AF1184" i="8" a="1"/>
  <c r="AF692" i="8" a="1"/>
  <c r="AF503" i="8" a="1"/>
  <c r="AF1083" i="8" a="1"/>
  <c r="AF179" i="8" a="1"/>
  <c r="AF674" i="8" a="1"/>
  <c r="AF183" i="8" a="1"/>
  <c r="AF765" i="8" a="1"/>
  <c r="AF783" i="8" a="1"/>
  <c r="AF866" i="8" a="1"/>
  <c r="AF707" i="8" a="1"/>
  <c r="AF476" i="8" a="1"/>
  <c r="AF1059" i="8" a="1"/>
  <c r="AF1145" i="8" a="1"/>
  <c r="AF516" i="8" a="1"/>
  <c r="AF224" i="8" a="1"/>
  <c r="AF1107" i="8" a="1"/>
  <c r="AF1077" i="8" a="1"/>
  <c r="AF672" i="8" a="1"/>
  <c r="AF684" i="8" a="1"/>
  <c r="AF673" i="8" a="1"/>
  <c r="AF842" i="8" a="1"/>
  <c r="AF695" i="8" a="1"/>
  <c r="AF769" i="8" a="1"/>
  <c r="AF1079" i="8" a="1"/>
  <c r="AF648" i="8" a="1"/>
  <c r="AF680" i="8" a="1"/>
  <c r="AF228" i="8" a="1"/>
  <c r="AF1167" i="8" a="1"/>
  <c r="AF83" i="8" a="1"/>
  <c r="H4" i="8" a="1"/>
  <c r="AF797" i="8" a="1"/>
  <c r="AF1165" i="8" a="1"/>
  <c r="AF1108" i="8" a="1"/>
  <c r="AF511" i="8" a="1"/>
  <c r="AF990" i="8" a="1"/>
  <c r="AF68" i="8" a="1"/>
  <c r="AF90" i="8" a="1"/>
  <c r="AF676" i="8" a="1"/>
  <c r="AF531" i="8" a="1"/>
  <c r="AF780" i="8" a="1"/>
  <c r="AF82" i="8" a="1"/>
  <c r="AF764" i="8" a="1"/>
  <c r="AF461" i="8" a="1"/>
  <c r="AF278" i="8" a="1"/>
  <c r="AF870" i="8" a="1"/>
  <c r="AF865" i="8" a="1"/>
  <c r="AF788" i="8" a="1"/>
  <c r="AF955" i="8" a="1"/>
  <c r="AF768" i="8" a="1"/>
  <c r="AF738" i="8" a="1"/>
  <c r="AF245" i="8" a="1"/>
  <c r="AF727" i="8" a="1"/>
  <c r="AF497" i="8" a="1"/>
  <c r="AF91" i="8" a="1"/>
  <c r="AF1131" i="8" a="1"/>
  <c r="AF215" i="8" a="1"/>
  <c r="AF170" i="8" a="1"/>
  <c r="AF528" i="8" a="1"/>
  <c r="AF1123" i="8" a="1"/>
  <c r="AF827" i="8" a="1"/>
  <c r="AF1054" i="8" a="1"/>
  <c r="AF86" i="8" a="1"/>
  <c r="AF849" i="8" a="1"/>
  <c r="AF494" i="8" a="1"/>
  <c r="AF504" i="8" a="1"/>
  <c r="AF825" i="8" a="1"/>
  <c r="AF110" i="8" a="1"/>
  <c r="AF464" i="8" a="1"/>
  <c r="AF963" i="8" a="1"/>
  <c r="AF656" i="8" a="1"/>
  <c r="AF748" i="8" a="1"/>
  <c r="AF362" i="8" a="1"/>
  <c r="AF1008" i="8" a="1"/>
  <c r="AF796" i="8" a="1"/>
  <c r="AF925" i="8" a="1"/>
  <c r="AF841" i="8" a="1"/>
  <c r="AF1067" i="8" a="1"/>
  <c r="AF22" i="8" a="1"/>
  <c r="AF448" i="8" a="1"/>
  <c r="AF555" i="8" a="1"/>
  <c r="AF517" i="8" a="1"/>
  <c r="AF1004" i="8" a="1"/>
  <c r="AF238" i="8" a="1"/>
  <c r="AF305" i="8" a="1"/>
  <c r="AF588" i="8" a="1"/>
  <c r="AF242" i="8" a="1"/>
  <c r="AF923" i="8" a="1"/>
  <c r="AF982" i="8" a="1"/>
  <c r="AF999" i="8" a="1"/>
  <c r="AF1125" i="8" a="1"/>
  <c r="AF699" i="8" a="1"/>
  <c r="AF291" i="8" a="1"/>
  <c r="AF845" i="8" a="1"/>
  <c r="AF909" i="8" a="1"/>
  <c r="AF135" i="8" a="1"/>
  <c r="AF458" i="8" a="1"/>
  <c r="AF724" i="8" a="1"/>
  <c r="AF936" i="8" a="1"/>
  <c r="AF726" i="8" a="1"/>
  <c r="AF315" i="8" a="1"/>
  <c r="AF535" i="8" a="1"/>
  <c r="AF981" i="8" a="1"/>
  <c r="AF1037" i="8" a="1"/>
  <c r="AF734" i="8" a="1"/>
  <c r="AF1060" i="8" a="1"/>
  <c r="AF137" i="8" a="1"/>
  <c r="AF534" i="8" a="1"/>
  <c r="AF851" i="8" a="1"/>
  <c r="AF867" i="8" a="1"/>
  <c r="AF857" i="8" a="1"/>
  <c r="AF795" i="8" a="1"/>
  <c r="AF282" i="8" a="1"/>
  <c r="AF829" i="8" a="1"/>
  <c r="AF1192" i="8" a="1"/>
  <c r="AF113" i="8" a="1"/>
  <c r="AF792" i="8" a="1"/>
  <c r="AF670" i="8" a="1"/>
  <c r="AF931" i="8" a="1"/>
  <c r="AF854" i="8" a="1"/>
  <c r="AF414" i="8" a="1"/>
  <c r="AF223" i="8" a="1"/>
  <c r="AF299" i="8" a="1"/>
  <c r="AF721" i="8" a="1"/>
  <c r="AF277" i="8" a="1"/>
  <c r="AF322" i="8" a="1"/>
  <c r="AF510" i="8" a="1"/>
  <c r="AF533" i="8" a="1"/>
  <c r="AF808" i="8" a="1"/>
  <c r="AF501" i="8" a="1"/>
  <c r="AF506" i="8" a="1"/>
  <c r="AF124" i="8" a="1"/>
  <c r="AF198" i="8" a="1"/>
  <c r="AF426" i="8" a="1"/>
  <c r="AF321" i="8" a="1"/>
  <c r="AF1090" i="8" a="1"/>
  <c r="AF776" i="8" a="1"/>
  <c r="AF1179" i="8" a="1"/>
  <c r="AF781" i="8" a="1"/>
  <c r="AF1187" i="8" a="1"/>
  <c r="AF345" i="8" a="1"/>
  <c r="AF120" i="8" a="1"/>
  <c r="AF300" i="8" a="1"/>
  <c r="AF122" i="8" a="1"/>
  <c r="AF987" i="8" a="1"/>
  <c r="AF650" i="8" a="1"/>
  <c r="AF762" i="8" a="1"/>
  <c r="AF289" i="8" a="1"/>
  <c r="AF863" i="8" a="1"/>
  <c r="AF343" i="8" a="1"/>
  <c r="AF1177" i="8" a="1"/>
  <c r="AF790" i="8" a="1"/>
  <c r="AF895" i="8" a="1"/>
  <c r="AF1018" i="8" a="1"/>
  <c r="AF736" i="8" a="1"/>
  <c r="AF1166" i="8" a="1"/>
  <c r="AF1142" i="8" a="1"/>
  <c r="AF478" i="8" a="1"/>
  <c r="AF1122" i="8" a="1"/>
  <c r="AF112" i="8" a="1"/>
  <c r="AF118" i="8" a="1"/>
  <c r="AF1091" i="8" a="1"/>
  <c r="AF196" i="8" a="1"/>
  <c r="AF331" i="8" a="1"/>
  <c r="AF346" i="8" a="1"/>
  <c r="AF363" i="8" a="1"/>
  <c r="AF1185" i="8" a="1"/>
  <c r="AF31" i="8" a="1"/>
  <c r="AF287" i="8" a="1"/>
  <c r="AF33" i="8" a="1"/>
  <c r="AF1143" i="8" a="1"/>
  <c r="AF365" i="8" a="1"/>
  <c r="AF1171" i="8" a="1"/>
  <c r="AF1022" i="8" a="1"/>
  <c r="AF935" i="8" a="1"/>
  <c r="AF1063" i="8" a="1"/>
  <c r="AF333" i="8" a="1"/>
  <c r="AF777" i="8" a="1"/>
  <c r="AF690" i="8" a="1"/>
  <c r="AF330" i="8" a="1"/>
  <c r="AF741" i="8" a="1"/>
  <c r="AF878" i="8" a="1"/>
  <c r="AF138" i="8" a="1"/>
  <c r="AF161" i="8" a="1"/>
  <c r="AF572" i="8" a="1"/>
  <c r="AF649" i="8" a="1"/>
  <c r="AF742" i="8" a="1"/>
  <c r="AF221" i="8" a="1"/>
  <c r="AF682" i="8" a="1"/>
  <c r="AF109" i="8" a="1"/>
  <c r="AF737" i="8" a="1"/>
  <c r="AF54" i="8" a="1"/>
  <c r="AF283" i="8" a="1"/>
  <c r="AF807" i="8" a="1"/>
  <c r="E4" i="8" a="1"/>
  <c r="AF64" i="8" a="1"/>
  <c r="AF182" i="8" a="1"/>
  <c r="AF989" i="8" a="1"/>
  <c r="AF761" i="8" a="1"/>
  <c r="AF1128" i="8" a="1"/>
  <c r="AF56" i="8" a="1"/>
  <c r="AF646" i="8" a="1"/>
  <c r="AF964" i="8" a="1"/>
  <c r="AF709" i="8" a="1"/>
  <c r="AF1140" i="8" a="1"/>
  <c r="AF227" i="8" a="1"/>
  <c r="AF53" i="8" a="1"/>
  <c r="AF401" i="8" a="1"/>
  <c r="AF712" i="8" a="1"/>
  <c r="AF942" i="8" a="1"/>
  <c r="AF1025" i="8" a="1"/>
  <c r="AF32" i="8" a="1"/>
  <c r="AF495" i="8" a="1"/>
  <c r="AF1041" i="8" a="1"/>
  <c r="AF514" i="8" a="1"/>
  <c r="AF108" i="8" a="1"/>
  <c r="AF760" i="8" a="1"/>
  <c r="AF236" i="8" a="1"/>
  <c r="AF513" i="8" a="1"/>
  <c r="AF325" i="8" a="1"/>
  <c r="AF354" i="8" a="1"/>
  <c r="AF106" i="8" a="1"/>
  <c r="AF1044" i="8" a="1"/>
  <c r="AF111" i="8" a="1"/>
  <c r="AF883" i="8" a="1"/>
  <c r="AF1190" i="8" a="1"/>
  <c r="AF983" i="8" a="1"/>
  <c r="AF169" i="8" a="1"/>
  <c r="AF1130" i="8" a="1"/>
  <c r="AF708" i="8" a="1"/>
  <c r="AF847" i="8" a="1"/>
  <c r="AF136" i="8" a="1"/>
  <c r="AF1176" i="8" a="1"/>
  <c r="AF875" i="8" a="1"/>
  <c r="AF905" i="8" a="1"/>
  <c r="AF1084" i="8" a="1"/>
  <c r="AF349" i="8" a="1"/>
  <c r="AF460" i="8" a="1"/>
  <c r="AF853" i="8" a="1"/>
  <c r="AF802" i="8" a="1"/>
  <c r="AF353" i="8" a="1"/>
  <c r="AF241" i="8" a="1"/>
  <c r="AF926" i="8" a="1"/>
  <c r="AF903" i="8" a="1"/>
  <c r="AF493" i="8" a="1"/>
  <c r="AF911" i="8" a="1"/>
  <c r="AF1057" i="8" a="1"/>
  <c r="AF518" i="8" a="1"/>
  <c r="AF774" i="8" a="1"/>
  <c r="AF1162" i="8" a="1"/>
  <c r="AF320" i="8" a="1"/>
  <c r="AF731" i="8" a="1"/>
  <c r="AF835" i="8" a="1"/>
  <c r="AF986" i="8" a="1"/>
  <c r="AF58" i="8" a="1"/>
  <c r="AF35" i="8" a="1"/>
  <c r="AF585" i="8" a="1"/>
  <c r="AF51" i="8" a="1"/>
  <c r="AF1024" i="8" a="1"/>
  <c r="AF323" i="8" a="1"/>
  <c r="AF897" i="8" a="1"/>
  <c r="AF214" i="8" a="1"/>
  <c r="AF358" i="8" a="1"/>
  <c r="AF1175" i="8" a="1"/>
  <c r="AF317" i="8" a="1"/>
  <c r="AF350" i="8" a="1"/>
  <c r="AF868" i="8" a="1"/>
  <c r="AF467" i="8" a="1"/>
  <c r="AF338" i="8" a="1"/>
  <c r="AF924" i="8" a="1"/>
  <c r="AF298" i="8" a="1"/>
  <c r="AF686" i="8" a="1"/>
  <c r="AF509" i="8" a="1"/>
  <c r="AF571" i="8" a="1"/>
  <c r="AF822" i="8" a="1"/>
  <c r="AF997" i="8" a="1"/>
  <c r="AF88" i="8" a="1"/>
  <c r="AF753" i="8" a="1"/>
  <c r="AF1147" i="8" a="1"/>
  <c r="AF123" i="8" a="1"/>
  <c r="AF400" i="8" a="1"/>
  <c r="AF178" i="8" a="1"/>
  <c r="AF293" i="8" a="1"/>
  <c r="AF773" i="8" a="1"/>
  <c r="AF1078" i="8" a="1"/>
  <c r="AF569" i="8" a="1"/>
  <c r="AF933" i="8" a="1"/>
  <c r="AF378" i="8" a="1"/>
  <c r="AF34" i="8" a="1"/>
  <c r="AF1047" i="8" a="1"/>
  <c r="AF872" i="8" a="1"/>
  <c r="AF1014" i="8" a="1"/>
  <c r="AF1072" i="8" a="1"/>
  <c r="AF66" i="8" a="1"/>
  <c r="AF1150" i="8" a="1"/>
  <c r="AF864" i="8" a="1"/>
  <c r="AF1080" i="8" a="1"/>
  <c r="AF944" i="8" a="1"/>
  <c r="AF766" i="8" a="1"/>
  <c r="AF284" i="8" a="1"/>
  <c r="AF553" i="8" a="1"/>
  <c r="AF519" i="8" a="1"/>
  <c r="AF402" i="8" a="1"/>
  <c r="AF1082" i="8" a="1"/>
  <c r="AF1169" i="8" a="1"/>
  <c r="AF746" i="8" a="1"/>
  <c r="AF443" i="8" a="1"/>
  <c r="AF758" i="8" a="1"/>
  <c r="AF960" i="8" a="1"/>
  <c r="AF454" i="8" a="1"/>
  <c r="AF1144" i="8" a="1"/>
  <c r="AF998" i="8" a="1"/>
  <c r="AF957" i="8" a="1"/>
  <c r="AF537" i="8" a="1"/>
  <c r="AF327" i="8" a="1"/>
  <c r="AF539" i="8" a="1"/>
  <c r="AF473" i="8" a="1"/>
  <c r="AF914" i="8" a="1"/>
  <c r="AF694" i="8" a="1"/>
  <c r="AF176" i="8" a="1"/>
  <c r="AF1087" i="8" a="1"/>
  <c r="AF347" i="8" a="1"/>
  <c r="AF675" i="8" a="1"/>
  <c r="AF206" i="8" a="1"/>
  <c r="AF1186" i="8" a="1"/>
  <c r="AF677" i="8" a="1"/>
  <c r="AF239" i="8" a="1"/>
  <c r="AF81" i="8" a="1"/>
  <c r="AF932" i="8" a="1"/>
  <c r="AF711" i="8" a="1"/>
  <c r="AF956" i="8" a="1"/>
  <c r="AF1121" i="8" a="1"/>
  <c r="AF508" i="8" a="1"/>
  <c r="AF61" i="8" a="1"/>
  <c r="AF817" i="8" a="1"/>
  <c r="AF481" i="8" a="1"/>
  <c r="AF280" i="8" a="1"/>
  <c r="AF352" i="8" a="1"/>
  <c r="AF505" i="8" a="1"/>
  <c r="AF803" i="8" a="1"/>
  <c r="AF733" i="8" a="1"/>
  <c r="AF199" i="8" a="1"/>
  <c r="AF527" i="8" a="1"/>
  <c r="AF1089" i="8" a="1"/>
  <c r="AF59" i="8" a="1"/>
  <c r="AF1188" i="8" a="1"/>
  <c r="AF1088" i="8" a="1"/>
  <c r="AF455" i="8" l="1"/>
  <c r="AF1168" i="8"/>
  <c r="AF1180" i="8"/>
  <c r="AF124" i="8"/>
  <c r="AF91" i="8"/>
  <c r="AF1124" i="8"/>
  <c r="AF1146" i="8"/>
  <c r="AF896" i="8"/>
  <c r="AF780" i="8"/>
  <c r="AF775" i="8"/>
  <c r="AF54" i="8"/>
  <c r="AF864" i="8"/>
  <c r="AF875" i="8"/>
  <c r="AF588" i="8"/>
  <c r="AF1048" i="8"/>
  <c r="AF319" i="8"/>
  <c r="AF1047" i="8"/>
  <c r="AF106" i="8"/>
  <c r="AF473" i="8"/>
  <c r="AF1164" i="8"/>
  <c r="AF539" i="8"/>
  <c r="AF313" i="8"/>
  <c r="AF963" i="8"/>
  <c r="AF134" i="8"/>
  <c r="AF110" i="8"/>
  <c r="AF710" i="8"/>
  <c r="AF867" i="8"/>
  <c r="AF52" i="8"/>
  <c r="AF87" i="8"/>
  <c r="AF686" i="8"/>
  <c r="AF759" i="8"/>
  <c r="AF724" i="8"/>
  <c r="AF471" i="8"/>
  <c r="AF1109" i="8"/>
  <c r="AF322" i="8"/>
  <c r="AF1069" i="8"/>
  <c r="AF1062" i="8"/>
  <c r="AF973" i="8"/>
  <c r="AF1165" i="8"/>
  <c r="AF1138" i="8"/>
  <c r="AF83" i="8"/>
  <c r="AF1192" i="8"/>
  <c r="AF285" i="8"/>
  <c r="AF895" i="8"/>
  <c r="AF1134" i="8"/>
  <c r="AF281" i="8"/>
  <c r="AF874" i="8"/>
  <c r="AF352" i="8"/>
  <c r="AF53" i="8"/>
  <c r="AF958" i="8"/>
  <c r="AF862" i="8"/>
  <c r="AF729" i="8"/>
  <c r="AF767" i="8"/>
  <c r="AF31" i="8"/>
  <c r="AF672" i="8"/>
  <c r="AF523" i="8"/>
  <c r="AF880" i="8"/>
  <c r="AF1175" i="8"/>
  <c r="AF943" i="8"/>
  <c r="AF765" i="8"/>
  <c r="AF379" i="8"/>
  <c r="AF652" i="8"/>
  <c r="AF1004" i="8"/>
  <c r="AF515" i="8"/>
  <c r="AF511" i="8"/>
  <c r="AF55" i="8"/>
  <c r="AF1009" i="8"/>
  <c r="AF97" i="8"/>
  <c r="AF993" i="8"/>
  <c r="AF692" i="8"/>
  <c r="AF206" i="8"/>
  <c r="AF35" i="8"/>
  <c r="AF298" i="8"/>
  <c r="AF921" i="8"/>
  <c r="AF791" i="8"/>
  <c r="AF912" i="8"/>
  <c r="AF788" i="8"/>
  <c r="AF998" i="8"/>
  <c r="AF793" i="8"/>
  <c r="AF746" i="8"/>
  <c r="AF351" i="8"/>
  <c r="AF331" i="8"/>
  <c r="AF1071" i="8"/>
  <c r="AF114" i="8"/>
  <c r="AF847" i="8"/>
  <c r="AF1130" i="8"/>
  <c r="AF868" i="8"/>
  <c r="AF1188" i="8"/>
  <c r="AF703" i="8"/>
  <c r="AF657" i="8"/>
  <c r="AF904" i="8"/>
  <c r="AF353" i="8"/>
  <c r="AF1013" i="8"/>
  <c r="AF853" i="8"/>
  <c r="AF744" i="8"/>
  <c r="AF1142" i="8"/>
  <c r="AF288" i="8"/>
  <c r="AF738" i="8"/>
  <c r="AF225" i="8"/>
  <c r="AF734" i="8"/>
  <c r="AF214" i="8"/>
  <c r="AF138" i="8"/>
  <c r="AF239" i="8"/>
  <c r="AF104" i="8"/>
  <c r="AF844" i="8"/>
  <c r="AF964" i="8"/>
  <c r="AF1143" i="8"/>
  <c r="AF182" i="8"/>
  <c r="AF753" i="8"/>
  <c r="AF343" i="8"/>
  <c r="AF332" i="8"/>
  <c r="AF509" i="8"/>
  <c r="AF914" i="8"/>
  <c r="AF1054" i="8"/>
  <c r="AF198" i="8"/>
  <c r="AF333" i="8"/>
  <c r="AF1162" i="8"/>
  <c r="AF1087" i="8"/>
  <c r="AF653" i="8"/>
  <c r="AF22" i="8"/>
  <c r="AF740" i="8"/>
  <c r="AF362" i="8"/>
  <c r="AF57" i="8"/>
  <c r="AF1187" i="8"/>
  <c r="AF830" i="8"/>
  <c r="AF1123" i="8"/>
  <c r="AF876" i="8"/>
  <c r="AF516" i="8"/>
  <c r="AF883" i="8"/>
  <c r="AF1006" i="8"/>
  <c r="AF236" i="8"/>
  <c r="AF911" i="8"/>
  <c r="AF496" i="8"/>
  <c r="AF461" i="8"/>
  <c r="AF730" i="8"/>
  <c r="AF90" i="8"/>
  <c r="AF1002" i="8"/>
  <c r="AF113" i="8"/>
  <c r="AF279" i="8"/>
  <c r="AF480" i="8"/>
  <c r="AF501" i="8"/>
  <c r="AF747" i="8"/>
  <c r="AF315" i="8"/>
  <c r="AF163" i="8"/>
  <c r="AF845" i="8"/>
  <c r="AF32" i="8"/>
  <c r="AF859" i="8"/>
  <c r="AF784" i="8"/>
  <c r="AF879" i="8"/>
  <c r="AF92" i="8"/>
  <c r="AF745" i="8"/>
  <c r="AF282" i="8"/>
  <c r="AF1091" i="8"/>
  <c r="AF749" i="8"/>
  <c r="AF510" i="8"/>
  <c r="AF1072" i="8"/>
  <c r="AF827" i="8"/>
  <c r="AF918" i="8"/>
  <c r="AF170" i="8"/>
  <c r="AF923" i="8"/>
  <c r="AF524" i="8"/>
  <c r="AF751" i="8"/>
  <c r="AF477" i="8"/>
  <c r="AF1070" i="8"/>
  <c r="AF725" i="8"/>
  <c r="B4" i="8"/>
  <c r="AF338" i="8"/>
  <c r="AF1021" i="8"/>
  <c r="AF323" i="8"/>
  <c r="AF939" i="8"/>
  <c r="AF707" i="8"/>
  <c r="AF770" i="8"/>
  <c r="AF1083" i="8"/>
  <c r="AF727" i="8"/>
  <c r="AF1181" i="8"/>
  <c r="AF1126" i="8"/>
  <c r="AF1139" i="8"/>
  <c r="AF192" i="8"/>
  <c r="AF284" i="8"/>
  <c r="AF673" i="8"/>
  <c r="AF289" i="8"/>
  <c r="AF650" i="8"/>
  <c r="AF1023" i="8"/>
  <c r="AF803" i="8"/>
  <c r="AF821" i="8"/>
  <c r="AF81" i="8"/>
  <c r="AF800" i="8"/>
  <c r="AF1127" i="8"/>
  <c r="AF62" i="8"/>
  <c r="AF532" i="8"/>
  <c r="AF359" i="8"/>
  <c r="AF713" i="8"/>
  <c r="AF1084" i="8"/>
  <c r="AF974" i="8"/>
  <c r="AF776" i="8"/>
  <c r="AF552" i="8"/>
  <c r="AF137" i="8"/>
  <c r="AF997" i="8"/>
  <c r="AF649" i="8"/>
  <c r="AF731" i="8"/>
  <c r="AF364" i="8"/>
  <c r="AF1136" i="8"/>
  <c r="AF763" i="8"/>
  <c r="AF365" i="8"/>
  <c r="AF772" i="8"/>
  <c r="AF33" i="8"/>
  <c r="AF737" i="8"/>
  <c r="AF1088" i="8"/>
  <c r="AF1176" i="8"/>
  <c r="AF848" i="8"/>
  <c r="AF514" i="8"/>
  <c r="AF908" i="8"/>
  <c r="AF527" i="8"/>
  <c r="AF354" i="8"/>
  <c r="AF199" i="8"/>
  <c r="AF67" i="8"/>
  <c r="AF327" i="8"/>
  <c r="AF877" i="8"/>
  <c r="AF758" i="8"/>
  <c r="AF116" i="8"/>
  <c r="AF825" i="8"/>
  <c r="AF1014" i="8"/>
  <c r="AF851" i="8"/>
  <c r="AF502" i="8"/>
  <c r="AF1122" i="8"/>
  <c r="AF112" i="8"/>
  <c r="AF1068" i="8"/>
  <c r="AF458" i="8"/>
  <c r="AF1065" i="8"/>
  <c r="AF526" i="8"/>
  <c r="AF926" i="8"/>
  <c r="AF1038" i="8"/>
  <c r="AF901" i="8"/>
  <c r="AF93" i="8"/>
  <c r="AF797" i="8"/>
  <c r="AF741" i="8"/>
  <c r="AF849" i="8"/>
  <c r="AF915" i="8"/>
  <c r="AF1060" i="8"/>
  <c r="AF467" i="8"/>
  <c r="AF822" i="8"/>
  <c r="AF769" i="8"/>
  <c r="AF1066" i="8"/>
  <c r="AF360" i="8"/>
  <c r="AF227" i="8"/>
  <c r="AF697" i="8"/>
  <c r="AF802" i="8"/>
  <c r="AF84" i="8"/>
  <c r="AF1170" i="8"/>
  <c r="AF655" i="8"/>
  <c r="AF1077" i="8"/>
  <c r="AF205" i="8"/>
  <c r="AF712" i="8"/>
  <c r="AF358" i="8"/>
  <c r="AF858" i="8"/>
  <c r="AF183" i="8"/>
  <c r="AF916" i="8"/>
  <c r="AF1046" i="8"/>
  <c r="AF517" i="8"/>
  <c r="AF1178" i="8"/>
  <c r="AF761" i="8"/>
  <c r="AF1081" i="8"/>
  <c r="AF521" i="8"/>
  <c r="AF728" i="8"/>
  <c r="AF329" i="8"/>
  <c r="AF739" i="8"/>
  <c r="AF1125" i="8"/>
  <c r="AF321" i="8"/>
  <c r="AF906" i="8"/>
  <c r="AF683" i="8"/>
  <c r="AF512" i="8"/>
  <c r="AF1007" i="8"/>
  <c r="AF865" i="8"/>
  <c r="AF1144" i="8"/>
  <c r="AF1075" i="8"/>
  <c r="AF1169" i="8"/>
  <c r="AF290" i="8"/>
  <c r="AF778" i="8"/>
  <c r="AF735" i="8"/>
  <c r="AF869" i="8"/>
  <c r="AF320" i="8"/>
  <c r="AF169" i="8"/>
  <c r="AF882" i="8"/>
  <c r="AF348" i="8"/>
  <c r="AF1141" i="8"/>
  <c r="AF500" i="8"/>
  <c r="AF860" i="8"/>
  <c r="AF721" i="8"/>
  <c r="AF796" i="8"/>
  <c r="AF854" i="8"/>
  <c r="AF871" i="8"/>
  <c r="AF924" i="8"/>
  <c r="AF872" i="8"/>
  <c r="AF1148" i="8"/>
  <c r="AF689" i="8"/>
  <c r="AF1037" i="8"/>
  <c r="AF122" i="8"/>
  <c r="AF34" i="8"/>
  <c r="AF677" i="8"/>
  <c r="AF184" i="8"/>
  <c r="AF1086" i="8"/>
  <c r="AF646" i="8"/>
  <c r="AF96" i="8"/>
  <c r="AF64" i="8"/>
  <c r="AF287" i="8"/>
  <c r="AF350" i="8"/>
  <c r="AF330" i="8"/>
  <c r="AF856" i="8"/>
  <c r="AF1131" i="8"/>
  <c r="AF680" i="8"/>
  <c r="AF986" i="8"/>
  <c r="AF773" i="8"/>
  <c r="AF774" i="8"/>
  <c r="AF176" i="8"/>
  <c r="AF881" i="8"/>
  <c r="AF1067" i="8"/>
  <c r="AF531" i="8"/>
  <c r="AF748" i="8"/>
  <c r="AF105" i="8"/>
  <c r="AF781" i="8"/>
  <c r="AF88" i="8"/>
  <c r="AF481" i="8"/>
  <c r="AF305" i="8"/>
  <c r="AF1145" i="8"/>
  <c r="AF111" i="8"/>
  <c r="AF1093" i="8"/>
  <c r="AF760" i="8"/>
  <c r="AF533" i="8"/>
  <c r="AF1015" i="8"/>
  <c r="AF764" i="8"/>
  <c r="AF200" i="8"/>
  <c r="AF68" i="8"/>
  <c r="AF30" i="8"/>
  <c r="AF905" i="8"/>
  <c r="AF65" i="8"/>
  <c r="AF878" i="8"/>
  <c r="AF86" i="8"/>
  <c r="AF525" i="8"/>
  <c r="AF726" i="8"/>
  <c r="AF479" i="8"/>
  <c r="AF291" i="8"/>
  <c r="AF1025" i="8"/>
  <c r="AF1171" i="8"/>
  <c r="AF898" i="8"/>
  <c r="AF85" i="8"/>
  <c r="AF779" i="8"/>
  <c r="AF24" i="8"/>
  <c r="AF795" i="8"/>
  <c r="AF355" i="8"/>
  <c r="AF522" i="8"/>
  <c r="AF1132" i="8"/>
  <c r="AF1110" i="8"/>
  <c r="AF1079" i="8"/>
  <c r="AF794" i="8"/>
  <c r="AF695" i="8"/>
  <c r="AF242" i="8"/>
  <c r="AF507" i="8"/>
  <c r="AF1053" i="8"/>
  <c r="AF850" i="8"/>
  <c r="AF752" i="8"/>
  <c r="AF119" i="8"/>
  <c r="AF89" i="8"/>
  <c r="AF736" i="8"/>
  <c r="AF337" i="8"/>
  <c r="AF1184" i="8"/>
  <c r="AF1112" i="8"/>
  <c r="AF866" i="8"/>
  <c r="AF324" i="8"/>
  <c r="AF503" i="8"/>
  <c r="AF245" i="8"/>
  <c r="AF243" i="8"/>
  <c r="AF1043" i="8"/>
  <c r="AF782" i="8"/>
  <c r="AF846" i="8"/>
  <c r="AF766" i="8"/>
  <c r="AF843" i="8"/>
  <c r="AF762" i="8"/>
  <c r="AF1135" i="8"/>
  <c r="AF768" i="8"/>
  <c r="AF777" i="8"/>
  <c r="AF1092" i="8"/>
  <c r="AF120" i="8"/>
  <c r="AF107" i="8"/>
  <c r="AF978" i="8"/>
  <c r="AF1191" i="8"/>
  <c r="AF980" i="8"/>
  <c r="AF361" i="8"/>
  <c r="AF117" i="8"/>
  <c r="AF944" i="8"/>
  <c r="AF326" i="8"/>
  <c r="AF51" i="8"/>
  <c r="AF344" i="8"/>
  <c r="AF23" i="8"/>
  <c r="AF698" i="8"/>
  <c r="AF907" i="8"/>
  <c r="AF506" i="8"/>
  <c r="AF917" i="8"/>
  <c r="AF1163" i="8"/>
  <c r="AF453" i="8"/>
  <c r="AF123" i="8"/>
  <c r="AF519" i="8"/>
  <c r="AF1045" i="8"/>
  <c r="AF109" i="8"/>
  <c r="AF221" i="8"/>
  <c r="AF136" i="8"/>
  <c r="AF293" i="8"/>
  <c r="AF513" i="8"/>
  <c r="AF498" i="8"/>
  <c r="AF789" i="8"/>
  <c r="AF325" i="8"/>
  <c r="AF873" i="8"/>
  <c r="AF852" i="8"/>
  <c r="AF537" i="8"/>
  <c r="AF63" i="8"/>
  <c r="AF349" i="8"/>
  <c r="AF203" i="8"/>
  <c r="AF504" i="8"/>
  <c r="AF59" i="8"/>
  <c r="AF534" i="8"/>
  <c r="AF783" i="8"/>
  <c r="AF1107" i="8"/>
  <c r="AF1137" i="8"/>
  <c r="AF1078" i="8"/>
  <c r="AF135" i="8"/>
  <c r="AF1063" i="8"/>
  <c r="AF1111" i="8"/>
  <c r="AF241" i="8"/>
  <c r="AF1172" i="8"/>
  <c r="AF1001" i="8"/>
  <c r="AF1085" i="8"/>
  <c r="H4" i="8"/>
  <c r="AF733" i="8"/>
  <c r="AF1167" i="8"/>
  <c r="AF985" i="8"/>
  <c r="AF95" i="8"/>
  <c r="AF790" i="8"/>
  <c r="AF508" i="8"/>
  <c r="AF528" i="8"/>
  <c r="AF520" i="8"/>
  <c r="AF920" i="8"/>
  <c r="AF1140" i="8"/>
  <c r="AF202" i="8"/>
  <c r="AF283" i="8"/>
  <c r="AF902" i="8"/>
  <c r="AF1061" i="8"/>
  <c r="AF1185" i="8"/>
  <c r="AF115" i="8"/>
  <c r="AF1182" i="8"/>
  <c r="AF742" i="8"/>
  <c r="AF987" i="8"/>
  <c r="AF771" i="8"/>
  <c r="AF674" i="8"/>
  <c r="AF1133" i="8"/>
  <c r="AF125" i="8"/>
  <c r="AF555" i="8"/>
  <c r="AF94" i="8"/>
  <c r="AF50" i="8"/>
  <c r="AF732" i="8"/>
  <c r="AF700" i="8"/>
  <c r="AF304" i="8"/>
  <c r="AF529" i="8"/>
  <c r="AF1090" i="8"/>
  <c r="AF1089" i="8"/>
  <c r="AF58" i="8"/>
  <c r="AF1174" i="8"/>
  <c r="AF27" i="8"/>
  <c r="AF941" i="8"/>
  <c r="AF356" i="8"/>
  <c r="AF870" i="8"/>
  <c r="AF454" i="8"/>
  <c r="AF1147" i="8"/>
  <c r="AF1082" i="8"/>
  <c r="AF922" i="8"/>
  <c r="AF121" i="8"/>
  <c r="AF66" i="8"/>
  <c r="AF459" i="8"/>
  <c r="AF465" i="8"/>
  <c r="AF983" i="8"/>
  <c r="AF1177" i="8"/>
  <c r="AF572" i="8"/>
  <c r="AF855" i="8"/>
  <c r="AF244" i="8"/>
  <c r="AF201" i="8"/>
  <c r="AF299" i="8"/>
  <c r="AF464" i="8"/>
  <c r="AF460" i="8"/>
  <c r="AF743" i="8"/>
  <c r="AF1121" i="8"/>
  <c r="AF785" i="8"/>
  <c r="AF1173" i="8"/>
  <c r="AF61" i="8"/>
  <c r="AF981" i="8"/>
  <c r="AF897" i="8"/>
  <c r="AF246" i="8"/>
  <c r="AF1186" i="8"/>
  <c r="AF452" i="8"/>
  <c r="AF204" i="8"/>
  <c r="AF56" i="8"/>
  <c r="AF899" i="8"/>
  <c r="E4" i="8"/>
  <c r="AF499" i="8"/>
  <c r="AF863" i="8"/>
  <c r="AF750" i="8"/>
  <c r="AF1094" i="8"/>
  <c r="AF536" i="8"/>
  <c r="AF910" i="8"/>
  <c r="AF835" i="8"/>
  <c r="AF505" i="8"/>
  <c r="AF518" i="8"/>
  <c r="AF694" i="8"/>
  <c r="AF1095" i="8"/>
  <c r="AF841" i="8"/>
  <c r="AF306" i="8"/>
  <c r="AF656" i="8"/>
  <c r="AF861" i="8"/>
  <c r="AF1179" i="8"/>
  <c r="AF363" i="8"/>
  <c r="AF857" i="8"/>
  <c r="AF118" i="8"/>
  <c r="AF1059" i="8"/>
  <c r="AF1044" i="8"/>
  <c r="AF357" i="8"/>
  <c r="AF108" i="8"/>
  <c r="AF493" i="8"/>
  <c r="AF979" i="8"/>
  <c r="AF82" i="8"/>
  <c r="AF955" i="8"/>
  <c r="AF836" i="8"/>
  <c r="AF956" i="8"/>
  <c r="AF801" i="8"/>
  <c r="AF1150" i="8"/>
  <c r="AF932" i="8"/>
  <c r="AF931" i="8"/>
  <c r="AF589" i="8"/>
  <c r="AF573" i="8"/>
  <c r="AF556" i="8"/>
  <c r="AF799" i="8"/>
  <c r="AF984" i="8"/>
  <c r="AF925" i="8"/>
  <c r="AF995" i="8"/>
  <c r="AF1194" i="8"/>
  <c r="J1079" i="8"/>
  <c r="AF808" i="8"/>
  <c r="AF1051" i="8"/>
  <c r="J1055" i="8"/>
  <c r="AF1024" i="8"/>
  <c r="AF1149" i="8"/>
  <c r="J1070" i="8"/>
  <c r="J1078" i="8"/>
  <c r="AF699" i="8"/>
  <c r="AF685" i="8"/>
  <c r="AF798" i="8"/>
  <c r="AF1193" i="8"/>
  <c r="J1054" i="8"/>
  <c r="AF587" i="8"/>
  <c r="O1124" i="8"/>
  <c r="AF676" i="8"/>
  <c r="AF1032" i="8"/>
  <c r="AF970" i="8"/>
  <c r="AF1012" i="8"/>
  <c r="AF571" i="8"/>
  <c r="J1137" i="8"/>
  <c r="AF940" i="8"/>
  <c r="AF829" i="8"/>
  <c r="AF807" i="8"/>
  <c r="AF994" i="8"/>
  <c r="AF553" i="8"/>
  <c r="AF586" i="8"/>
  <c r="J1069" i="8"/>
  <c r="O889" i="8"/>
  <c r="AF982" i="8"/>
  <c r="O1006" i="8"/>
  <c r="O704" i="8"/>
  <c r="AF702" i="8"/>
  <c r="AF648" i="8"/>
  <c r="AF1183" i="8"/>
  <c r="AF1064" i="8"/>
  <c r="AF894" i="8"/>
  <c r="AF690" i="8"/>
  <c r="O778" i="8"/>
  <c r="AF828" i="8"/>
  <c r="AF551" i="8"/>
  <c r="AF675" i="8"/>
  <c r="AF1011" i="8"/>
  <c r="O787" i="8"/>
  <c r="J1043" i="8"/>
  <c r="P806" i="8"/>
  <c r="O895" i="8"/>
  <c r="AF888" i="8"/>
  <c r="J904" i="8"/>
  <c r="O649" i="8"/>
  <c r="O677" i="8"/>
  <c r="O1123" i="8"/>
  <c r="J1077" i="8"/>
  <c r="J700" i="8"/>
  <c r="P892" i="8"/>
  <c r="J686" i="8"/>
  <c r="AF711" i="8"/>
  <c r="AF1019" i="8"/>
  <c r="AF913" i="8"/>
  <c r="AF817" i="8"/>
  <c r="O904" i="8"/>
  <c r="AF535" i="8"/>
  <c r="AF903" i="8"/>
  <c r="AF806" i="8"/>
  <c r="AF1031" i="8"/>
  <c r="AF936" i="8"/>
  <c r="AF1160" i="8"/>
  <c r="AF1022" i="8"/>
  <c r="O892" i="8"/>
  <c r="O691" i="8"/>
  <c r="AF684" i="8"/>
  <c r="P898" i="8"/>
  <c r="AF786" i="8"/>
  <c r="AF570" i="8"/>
  <c r="J778" i="8"/>
  <c r="O528" i="8"/>
  <c r="J751" i="8"/>
  <c r="AF468" i="8"/>
  <c r="J1189" i="8"/>
  <c r="J531" i="8"/>
  <c r="J1135" i="8"/>
  <c r="J675" i="8"/>
  <c r="J981" i="8"/>
  <c r="J907" i="8"/>
  <c r="J790" i="8"/>
  <c r="J713" i="8"/>
  <c r="J694" i="8"/>
  <c r="J585" i="8"/>
  <c r="AF1029" i="8"/>
  <c r="AF999" i="8"/>
  <c r="AF823" i="8"/>
  <c r="AF235" i="8"/>
  <c r="AF292" i="8"/>
  <c r="AF1104" i="8"/>
  <c r="AF447" i="8"/>
  <c r="AF842" i="8"/>
  <c r="AF900" i="8"/>
  <c r="AF1040" i="8"/>
  <c r="AF448" i="8"/>
  <c r="AF195" i="8"/>
  <c r="AF1055" i="8"/>
  <c r="AF300" i="8"/>
  <c r="AF1000" i="8"/>
  <c r="AF1056" i="8"/>
  <c r="AF567" i="8"/>
  <c r="AF988" i="8"/>
  <c r="AF194" i="8"/>
  <c r="AF444" i="8"/>
  <c r="AF654" i="8"/>
  <c r="AF224" i="8"/>
  <c r="AF644" i="8"/>
  <c r="AF1106" i="8"/>
  <c r="AF457" i="8"/>
  <c r="AF934" i="8"/>
  <c r="AF1158" i="8"/>
  <c r="AF548" i="8"/>
  <c r="AF446" i="8"/>
  <c r="AF302" i="8"/>
  <c r="AF826" i="8"/>
  <c r="AF497" i="8"/>
  <c r="AF722" i="8"/>
  <c r="AF318" i="8"/>
  <c r="AF723" i="8"/>
  <c r="AF237" i="8"/>
  <c r="AF474" i="8"/>
  <c r="AF840" i="8"/>
  <c r="AF682" i="8"/>
  <c r="AF582" i="8"/>
  <c r="AF347" i="8"/>
  <c r="AF975" i="8"/>
  <c r="AF277" i="8"/>
  <c r="AF180" i="8"/>
  <c r="AF838" i="8"/>
  <c r="AF815" i="8"/>
  <c r="AF495" i="8"/>
  <c r="AF401" i="8"/>
  <c r="AF792" i="8"/>
  <c r="AF476" i="8"/>
  <c r="AF445" i="8"/>
  <c r="AF837" i="8"/>
  <c r="AF991" i="8"/>
  <c r="AF196" i="8"/>
  <c r="AF708" i="8"/>
  <c r="AF193" i="8"/>
  <c r="AF814" i="8"/>
  <c r="AF670" i="8"/>
  <c r="AF377" i="8"/>
  <c r="AF475" i="8"/>
  <c r="AF643" i="8"/>
  <c r="AF919" i="8"/>
  <c r="AF816" i="8"/>
  <c r="AF1010" i="8"/>
  <c r="AF342" i="8"/>
  <c r="AF1008" i="8"/>
  <c r="AF415" i="8"/>
  <c r="AF691" i="8"/>
  <c r="AF425" i="8"/>
  <c r="AF1028" i="8"/>
  <c r="AF1041" i="8"/>
  <c r="AF426" i="8"/>
  <c r="AF720" i="8"/>
  <c r="AF819" i="8"/>
  <c r="AF667" i="8"/>
  <c r="AF478" i="8"/>
  <c r="AF161" i="8"/>
  <c r="AF1108" i="8"/>
  <c r="AF1103" i="8"/>
  <c r="AF583" i="8"/>
  <c r="AF942" i="8"/>
  <c r="AF346" i="8"/>
  <c r="AF400" i="8"/>
  <c r="AF314" i="8"/>
  <c r="AF402" i="8"/>
  <c r="AF962" i="8"/>
  <c r="AF584" i="8"/>
  <c r="AF992" i="8"/>
  <c r="AF804" i="8"/>
  <c r="AF946" i="8"/>
  <c r="AF1159" i="8"/>
  <c r="AF1189" i="8"/>
  <c r="AF549" i="8"/>
  <c r="AF935" i="8"/>
  <c r="AF818" i="8"/>
  <c r="AF414" i="8"/>
  <c r="AF303" i="8"/>
  <c r="AF718" i="8"/>
  <c r="AF709" i="8"/>
  <c r="AF278" i="8"/>
  <c r="AF671" i="8"/>
  <c r="AF223" i="8"/>
  <c r="AF961" i="8"/>
  <c r="AF1026" i="8"/>
  <c r="AF945" i="8"/>
  <c r="AF1057" i="8"/>
  <c r="AF443" i="8"/>
  <c r="AF909" i="8"/>
  <c r="AF316" i="8"/>
  <c r="AF1128" i="8"/>
  <c r="AF178" i="8"/>
  <c r="AF957" i="8"/>
  <c r="AF317" i="8"/>
  <c r="AF585" i="8"/>
  <c r="AF989" i="8"/>
  <c r="AF839" i="8"/>
  <c r="AF378" i="8"/>
  <c r="AF719" i="8"/>
  <c r="AF1058" i="8"/>
  <c r="AF1156" i="8"/>
  <c r="AF990" i="8"/>
  <c r="AF462" i="8"/>
  <c r="AF568" i="8"/>
  <c r="AF1030" i="8"/>
  <c r="AF1157" i="8"/>
  <c r="AF280" i="8"/>
  <c r="AF933" i="8"/>
  <c r="AF1166" i="8"/>
  <c r="AF805" i="8"/>
  <c r="AF1017" i="8"/>
  <c r="AF569" i="8"/>
  <c r="AF1018" i="8"/>
  <c r="AF669" i="8"/>
  <c r="AF647" i="8"/>
  <c r="AF704" i="8"/>
  <c r="AF959" i="8"/>
  <c r="AF668" i="8"/>
  <c r="AF550" i="8"/>
  <c r="AF215" i="8"/>
  <c r="AF666" i="8"/>
  <c r="AF696" i="8"/>
  <c r="AF938" i="8"/>
  <c r="AF960" i="8"/>
  <c r="AF1105" i="8"/>
  <c r="AF1080" i="8"/>
  <c r="AF345" i="8"/>
  <c r="AF228" i="8"/>
  <c r="AF1155" i="8"/>
  <c r="AF681" i="8"/>
  <c r="AF976" i="8"/>
  <c r="AF179" i="8"/>
  <c r="AF937" i="8"/>
  <c r="AF1190" i="8"/>
  <c r="AF238" i="8"/>
  <c r="AF1039" i="8"/>
  <c r="AF494" i="8"/>
  <c r="F6" i="14"/>
  <c r="H18" i="2"/>
  <c r="E18" i="2" s="1" a="1"/>
  <c r="E18" i="2" s="1"/>
  <c r="H19" i="2"/>
  <c r="E19" i="2" s="1" a="1"/>
  <c r="E19" i="2" s="1"/>
  <c r="H20" i="2"/>
  <c r="E20" i="2" s="1" a="1"/>
  <c r="E20" i="2" s="1"/>
  <c r="H21" i="2"/>
  <c r="E21" i="2" s="1" a="1"/>
  <c r="E21" i="2" s="1"/>
  <c r="H22" i="2"/>
  <c r="E22" i="2" s="1" a="1"/>
  <c r="E22" i="2" s="1"/>
  <c r="H23" i="2"/>
  <c r="E23" i="2" s="1" a="1"/>
  <c r="E23" i="2" s="1"/>
  <c r="H24" i="2"/>
  <c r="E24" i="2" s="1" a="1"/>
  <c r="E24" i="2" s="1"/>
  <c r="H25" i="2"/>
  <c r="E25" i="2" s="1" a="1"/>
  <c r="E25" i="2" s="1"/>
  <c r="H26" i="2"/>
  <c r="E26" i="2" s="1" a="1"/>
  <c r="E26" i="2" s="1"/>
  <c r="H27" i="2"/>
  <c r="E27" i="2" s="1" a="1"/>
  <c r="E27" i="2" s="1"/>
  <c r="H28" i="2"/>
  <c r="E28" i="2" s="1" a="1"/>
  <c r="E28" i="2" s="1"/>
  <c r="H29" i="2"/>
  <c r="E29" i="2" s="1" a="1"/>
  <c r="E29" i="2" s="1"/>
  <c r="H30" i="2"/>
  <c r="E30" i="2" s="1" a="1"/>
  <c r="E30" i="2" s="1"/>
  <c r="H31" i="2"/>
  <c r="E31" i="2" s="1" a="1"/>
  <c r="E31" i="2" s="1"/>
  <c r="H35" i="2"/>
  <c r="E35" i="2" s="1" a="1"/>
  <c r="E35" i="2" s="1"/>
  <c r="H36" i="2"/>
  <c r="E36" i="2" s="1" a="1"/>
  <c r="E36" i="2" s="1"/>
  <c r="H37" i="2"/>
  <c r="E37" i="2" s="1" a="1"/>
  <c r="E37" i="2" s="1"/>
  <c r="H38" i="2"/>
  <c r="E38" i="2" s="1" a="1"/>
  <c r="E38" i="2" s="1"/>
  <c r="H41" i="2"/>
  <c r="E41" i="2" s="1" a="1"/>
  <c r="E41" i="2" s="1"/>
  <c r="H42" i="2"/>
  <c r="E42" i="2" s="1" a="1"/>
  <c r="E42" i="2" s="1"/>
  <c r="H43" i="2"/>
  <c r="E43" i="2" s="1" a="1"/>
  <c r="E43" i="2" s="1"/>
  <c r="H44" i="2"/>
  <c r="E44" i="2" s="1" a="1"/>
  <c r="E44" i="2" s="1"/>
  <c r="H45" i="2"/>
  <c r="E45" i="2" s="1" a="1"/>
  <c r="E45" i="2" s="1"/>
  <c r="H46" i="2"/>
  <c r="E46" i="2" s="1" a="1"/>
  <c r="E46" i="2" s="1"/>
  <c r="H47" i="2"/>
  <c r="E47" i="2" s="1" a="1"/>
  <c r="E47" i="2" s="1"/>
  <c r="H48" i="2"/>
  <c r="E48" i="2" s="1" a="1"/>
  <c r="E48" i="2" s="1"/>
  <c r="H49" i="2"/>
  <c r="E49" i="2" s="1" a="1"/>
  <c r="E49" i="2" s="1"/>
  <c r="H50" i="2"/>
  <c r="E50" i="2" s="1" a="1"/>
  <c r="E50" i="2" s="1"/>
  <c r="H51" i="2"/>
  <c r="E51" i="2" s="1" a="1"/>
  <c r="E51" i="2" s="1"/>
  <c r="H52" i="2"/>
  <c r="E52" i="2" s="1" a="1"/>
  <c r="E52" i="2" s="1"/>
  <c r="H53" i="2"/>
  <c r="E53" i="2" s="1" a="1"/>
  <c r="E53" i="2" s="1"/>
  <c r="H54" i="2"/>
  <c r="E54" i="2" s="1" a="1"/>
  <c r="E54" i="2" s="1"/>
  <c r="H55" i="2"/>
  <c r="E55" i="2" s="1" a="1"/>
  <c r="E55" i="2" s="1"/>
  <c r="H56" i="2"/>
  <c r="E56" i="2" s="1" a="1"/>
  <c r="E56" i="2" s="1"/>
  <c r="H57" i="2"/>
  <c r="E57" i="2" s="1" a="1"/>
  <c r="E57" i="2" s="1"/>
  <c r="H58" i="2"/>
  <c r="E58" i="2" s="1" a="1"/>
  <c r="E58" i="2" s="1"/>
  <c r="H59" i="2"/>
  <c r="E59" i="2" s="1" a="1"/>
  <c r="E59" i="2" s="1"/>
  <c r="H60" i="2"/>
  <c r="E60" i="2" s="1" a="1"/>
  <c r="E60" i="2" s="1"/>
  <c r="H61" i="2"/>
  <c r="E61" i="2" s="1" a="1"/>
  <c r="E61" i="2" s="1"/>
  <c r="H62" i="2"/>
  <c r="E62" i="2" s="1" a="1"/>
  <c r="E62" i="2" s="1"/>
  <c r="H63" i="2"/>
  <c r="E63" i="2" s="1" a="1"/>
  <c r="E63" i="2" s="1"/>
  <c r="H64" i="2"/>
  <c r="E64" i="2" s="1" a="1"/>
  <c r="E64" i="2" s="1"/>
  <c r="H65" i="2"/>
  <c r="E65" i="2" s="1" a="1"/>
  <c r="E65" i="2" s="1"/>
  <c r="H66" i="2"/>
  <c r="E66" i="2" s="1" a="1"/>
  <c r="E66" i="2" s="1"/>
  <c r="H67" i="2"/>
  <c r="E67" i="2" s="1" a="1"/>
  <c r="E67" i="2" s="1"/>
  <c r="H72" i="2"/>
  <c r="E72" i="2" s="1" a="1"/>
  <c r="E72" i="2" s="1"/>
  <c r="H73" i="2"/>
  <c r="E73" i="2" s="1" a="1"/>
  <c r="E73" i="2" s="1"/>
  <c r="H74" i="2"/>
  <c r="E74" i="2" s="1" a="1"/>
  <c r="E74" i="2" s="1"/>
  <c r="H75" i="2"/>
  <c r="E75" i="2" s="1" a="1"/>
  <c r="E75" i="2" s="1"/>
  <c r="H76" i="2"/>
  <c r="E76" i="2" s="1" a="1"/>
  <c r="E76" i="2" s="1"/>
  <c r="H77" i="2"/>
  <c r="E77" i="2" s="1" a="1"/>
  <c r="E77" i="2" s="1"/>
  <c r="H78" i="2"/>
  <c r="E78" i="2" s="1" a="1"/>
  <c r="E78" i="2" s="1"/>
  <c r="H79" i="2"/>
  <c r="E79" i="2" s="1" a="1"/>
  <c r="E79" i="2" s="1"/>
  <c r="H80" i="2"/>
  <c r="E80" i="2" s="1" a="1"/>
  <c r="E80" i="2" s="1"/>
  <c r="H81" i="2"/>
  <c r="E81" i="2" s="1" a="1"/>
  <c r="E81" i="2" s="1"/>
  <c r="H82" i="2"/>
  <c r="E82" i="2" s="1" a="1"/>
  <c r="E82" i="2" s="1"/>
  <c r="H83" i="2"/>
  <c r="E83" i="2" s="1" a="1"/>
  <c r="E83" i="2" s="1"/>
  <c r="H84" i="2"/>
  <c r="E84" i="2" s="1" a="1"/>
  <c r="E84" i="2" s="1"/>
  <c r="H85" i="2"/>
  <c r="E85" i="2" s="1" a="1"/>
  <c r="E85" i="2" s="1"/>
  <c r="H86" i="2"/>
  <c r="E86" i="2" s="1" a="1"/>
  <c r="E86" i="2" s="1"/>
  <c r="H88" i="2"/>
  <c r="E88" i="2" s="1" a="1"/>
  <c r="E88" i="2" s="1"/>
  <c r="H97" i="2"/>
  <c r="E97" i="2" s="1" a="1"/>
  <c r="E97" i="2" s="1"/>
  <c r="H98" i="2"/>
  <c r="E98" i="2" s="1" a="1"/>
  <c r="E98" i="2" s="1"/>
  <c r="H101" i="2"/>
  <c r="E101" i="2" s="1" a="1"/>
  <c r="E101" i="2" s="1"/>
  <c r="H102" i="2"/>
  <c r="E102" i="2" s="1" a="1"/>
  <c r="E102" i="2" s="1"/>
  <c r="H103" i="2"/>
  <c r="E103" i="2" s="1" a="1"/>
  <c r="E103" i="2" s="1"/>
  <c r="H104" i="2"/>
  <c r="E104" i="2" s="1" a="1"/>
  <c r="E104" i="2" s="1"/>
  <c r="H105" i="2"/>
  <c r="E105" i="2" s="1" a="1"/>
  <c r="E105" i="2" s="1"/>
  <c r="H106" i="2"/>
  <c r="E106" i="2" s="1" a="1"/>
  <c r="E106" i="2" s="1"/>
  <c r="H107" i="2"/>
  <c r="E107" i="2" s="1" a="1"/>
  <c r="E107" i="2" s="1"/>
  <c r="H108" i="2"/>
  <c r="E108" i="2" s="1" a="1"/>
  <c r="E108" i="2" s="1"/>
  <c r="H109" i="2"/>
  <c r="E109" i="2" s="1" a="1"/>
  <c r="E109" i="2" s="1"/>
  <c r="H110" i="2"/>
  <c r="E110" i="2" s="1" a="1"/>
  <c r="E110" i="2" s="1"/>
  <c r="H111" i="2"/>
  <c r="E111" i="2" s="1" a="1"/>
  <c r="E111" i="2" s="1"/>
  <c r="H112" i="2"/>
  <c r="E112" i="2" s="1" a="1"/>
  <c r="E112" i="2" s="1"/>
  <c r="H113" i="2"/>
  <c r="E113" i="2" s="1" a="1"/>
  <c r="E113" i="2" s="1"/>
  <c r="H114" i="2"/>
  <c r="E114" i="2" s="1" a="1"/>
  <c r="E114" i="2" s="1"/>
  <c r="H121" i="2"/>
  <c r="E121" i="2" s="1" a="1"/>
  <c r="E121" i="2" s="1"/>
  <c r="H122" i="2"/>
  <c r="E122" i="2" s="1" a="1"/>
  <c r="E122" i="2" s="1"/>
  <c r="H123" i="2"/>
  <c r="E123" i="2" s="1" a="1"/>
  <c r="E123" i="2" s="1"/>
  <c r="H124" i="2"/>
  <c r="E124" i="2" s="1" a="1"/>
  <c r="E124" i="2" s="1"/>
  <c r="H126" i="2"/>
  <c r="E126" i="2" s="1" a="1"/>
  <c r="E126" i="2" s="1"/>
  <c r="H127" i="2"/>
  <c r="E127" i="2" s="1" a="1"/>
  <c r="E127" i="2" s="1"/>
  <c r="H128" i="2"/>
  <c r="E128" i="2" s="1" a="1"/>
  <c r="E128" i="2" s="1"/>
  <c r="H129" i="2"/>
  <c r="E129" i="2" s="1" a="1"/>
  <c r="E129" i="2" s="1"/>
  <c r="H130" i="2"/>
  <c r="E130" i="2" s="1" a="1"/>
  <c r="E130" i="2" s="1"/>
  <c r="H131" i="2"/>
  <c r="E131" i="2" s="1" a="1"/>
  <c r="E131" i="2" s="1"/>
  <c r="H132" i="2"/>
  <c r="E132" i="2" s="1" a="1"/>
  <c r="E132" i="2" s="1"/>
  <c r="H133" i="2"/>
  <c r="E133" i="2" s="1" a="1"/>
  <c r="E133" i="2" s="1"/>
  <c r="H134" i="2"/>
  <c r="E134" i="2" s="1" a="1"/>
  <c r="E134" i="2" s="1"/>
  <c r="H135" i="2"/>
  <c r="E135" i="2" s="1" a="1"/>
  <c r="E135" i="2" s="1"/>
  <c r="H136" i="2"/>
  <c r="E136" i="2" s="1" a="1"/>
  <c r="E136" i="2" s="1"/>
  <c r="H137" i="2"/>
  <c r="E137" i="2" s="1" a="1"/>
  <c r="E137" i="2" s="1"/>
  <c r="H138" i="2"/>
  <c r="E138" i="2" s="1" a="1"/>
  <c r="E138" i="2" s="1"/>
  <c r="H139" i="2"/>
  <c r="E139" i="2" s="1" a="1"/>
  <c r="E139" i="2" s="1"/>
  <c r="H140" i="2"/>
  <c r="E140" i="2" s="1" a="1"/>
  <c r="E140" i="2" s="1"/>
  <c r="H141" i="2"/>
  <c r="E141" i="2" s="1" a="1"/>
  <c r="E141" i="2" s="1"/>
  <c r="H142" i="2"/>
  <c r="E142" i="2" s="1" a="1"/>
  <c r="E142" i="2" s="1"/>
  <c r="H143" i="2"/>
  <c r="E143" i="2" s="1" a="1"/>
  <c r="E143" i="2" s="1"/>
  <c r="H144" i="2"/>
  <c r="E144" i="2" s="1" a="1"/>
  <c r="E144" i="2" s="1"/>
  <c r="H145" i="2"/>
  <c r="E145" i="2" s="1" a="1"/>
  <c r="E145" i="2" s="1"/>
  <c r="H146" i="2"/>
  <c r="E146" i="2" s="1" a="1"/>
  <c r="E146" i="2" s="1"/>
  <c r="H147" i="2"/>
  <c r="E147" i="2" s="1" a="1"/>
  <c r="E147" i="2" s="1"/>
  <c r="H148" i="2"/>
  <c r="E148" i="2" s="1" a="1"/>
  <c r="E148" i="2" s="1"/>
  <c r="H149" i="2"/>
  <c r="E149" i="2" s="1" a="1"/>
  <c r="E149" i="2" s="1"/>
  <c r="H150" i="2"/>
  <c r="E150" i="2" s="1" a="1"/>
  <c r="E150" i="2" s="1"/>
  <c r="H151" i="2"/>
  <c r="E151" i="2" s="1" a="1"/>
  <c r="E151" i="2" s="1"/>
  <c r="H152" i="2"/>
  <c r="E152" i="2" s="1" a="1"/>
  <c r="E152" i="2" s="1"/>
  <c r="H153" i="2"/>
  <c r="E153" i="2" s="1" a="1"/>
  <c r="E153" i="2" s="1"/>
  <c r="H154" i="2"/>
  <c r="E154" i="2" s="1" a="1"/>
  <c r="E154" i="2" s="1"/>
  <c r="H155" i="2"/>
  <c r="E155" i="2" s="1" a="1"/>
  <c r="E155" i="2" s="1"/>
  <c r="H156" i="2"/>
  <c r="E156" i="2" s="1" a="1"/>
  <c r="E156" i="2" s="1"/>
  <c r="H157" i="2"/>
  <c r="E157" i="2" s="1" a="1"/>
  <c r="E157" i="2" s="1"/>
  <c r="H158" i="2"/>
  <c r="E158" i="2" s="1" a="1"/>
  <c r="E158" i="2" s="1"/>
  <c r="H159" i="2"/>
  <c r="E159" i="2" s="1" a="1"/>
  <c r="E159" i="2" s="1"/>
  <c r="H160" i="2"/>
  <c r="E160" i="2" s="1" a="1"/>
  <c r="E160" i="2" s="1"/>
  <c r="H161" i="2"/>
  <c r="E161" i="2" s="1" a="1"/>
  <c r="E161" i="2" s="1"/>
  <c r="H162" i="2"/>
  <c r="E162" i="2" s="1" a="1"/>
  <c r="E162" i="2" s="1"/>
  <c r="H163" i="2"/>
  <c r="E163" i="2" s="1" a="1"/>
  <c r="E163" i="2" s="1"/>
  <c r="H164" i="2"/>
  <c r="E164" i="2" s="1" a="1"/>
  <c r="E164" i="2" s="1"/>
  <c r="H165" i="2"/>
  <c r="E165" i="2" s="1" a="1"/>
  <c r="E165" i="2" s="1"/>
  <c r="H166" i="2"/>
  <c r="E166" i="2" s="1" a="1"/>
  <c r="E166" i="2" s="1"/>
  <c r="H167" i="2"/>
  <c r="E167" i="2" s="1" a="1"/>
  <c r="E167" i="2" s="1"/>
  <c r="H168" i="2"/>
  <c r="E168" i="2" s="1" a="1"/>
  <c r="E168" i="2" s="1"/>
  <c r="H169" i="2"/>
  <c r="E169" i="2" s="1" a="1"/>
  <c r="E169" i="2" s="1"/>
  <c r="H170" i="2"/>
  <c r="E170" i="2" s="1" a="1"/>
  <c r="E170" i="2" s="1"/>
  <c r="H171" i="2"/>
  <c r="E171" i="2" s="1" a="1"/>
  <c r="E171" i="2" s="1"/>
  <c r="H172" i="2"/>
  <c r="E172" i="2" s="1" a="1"/>
  <c r="E172" i="2" s="1"/>
  <c r="H173" i="2"/>
  <c r="E173" i="2" s="1" a="1"/>
  <c r="E173" i="2" s="1"/>
  <c r="H174" i="2"/>
  <c r="E174" i="2" s="1" a="1"/>
  <c r="E174" i="2" s="1"/>
  <c r="H175" i="2"/>
  <c r="E175" i="2" s="1" a="1"/>
  <c r="E175" i="2" s="1"/>
  <c r="H176" i="2"/>
  <c r="E176" i="2" s="1" a="1"/>
  <c r="E176" i="2" s="1"/>
  <c r="H177" i="2"/>
  <c r="E177" i="2" s="1" a="1"/>
  <c r="E177" i="2" s="1"/>
  <c r="H178" i="2"/>
  <c r="E178" i="2" s="1" a="1"/>
  <c r="E178" i="2" s="1"/>
  <c r="H179" i="2"/>
  <c r="E179" i="2" s="1" a="1"/>
  <c r="E179" i="2" s="1"/>
  <c r="H180" i="2"/>
  <c r="E180" i="2" s="1" a="1"/>
  <c r="E180" i="2" s="1"/>
  <c r="H181" i="2"/>
  <c r="E181" i="2" s="1" a="1"/>
  <c r="E181" i="2" s="1"/>
  <c r="H182" i="2"/>
  <c r="E182" i="2" s="1" a="1"/>
  <c r="E182" i="2" s="1"/>
  <c r="H183" i="2"/>
  <c r="E183" i="2" s="1" a="1"/>
  <c r="E183" i="2" s="1"/>
  <c r="H184" i="2"/>
  <c r="E184" i="2" s="1" a="1"/>
  <c r="E184" i="2" s="1"/>
  <c r="H185" i="2"/>
  <c r="E185" i="2" s="1" a="1"/>
  <c r="E185" i="2" s="1"/>
  <c r="H186" i="2"/>
  <c r="E186" i="2" s="1" a="1"/>
  <c r="E186" i="2" s="1"/>
  <c r="H187" i="2"/>
  <c r="E187" i="2" s="1" a="1"/>
  <c r="E187" i="2" s="1"/>
  <c r="H188" i="2"/>
  <c r="E188" i="2" s="1" a="1"/>
  <c r="E188" i="2" s="1"/>
  <c r="H189" i="2"/>
  <c r="E189" i="2" s="1" a="1"/>
  <c r="E189" i="2" s="1"/>
  <c r="H190" i="2"/>
  <c r="E190" i="2" s="1" a="1"/>
  <c r="E190" i="2" s="1"/>
  <c r="H191" i="2"/>
  <c r="E191" i="2" s="1" a="1"/>
  <c r="E191" i="2" s="1"/>
  <c r="H192" i="2"/>
  <c r="E192" i="2" s="1" a="1"/>
  <c r="E192" i="2" s="1"/>
  <c r="H193" i="2"/>
  <c r="E193" i="2" s="1" a="1"/>
  <c r="E193" i="2" s="1"/>
  <c r="H194" i="2"/>
  <c r="E194" i="2" s="1" a="1"/>
  <c r="E194" i="2" s="1"/>
  <c r="H195" i="2"/>
  <c r="E195" i="2" s="1" a="1"/>
  <c r="E195" i="2" s="1"/>
  <c r="H196" i="2"/>
  <c r="E196" i="2" s="1" a="1"/>
  <c r="E196" i="2" s="1"/>
  <c r="H197" i="2"/>
  <c r="E197" i="2" s="1" a="1"/>
  <c r="E197" i="2" s="1"/>
  <c r="H198" i="2"/>
  <c r="E198" i="2" s="1" a="1"/>
  <c r="E198" i="2" s="1"/>
  <c r="H199" i="2"/>
  <c r="E199" i="2" s="1" a="1"/>
  <c r="E199" i="2" s="1"/>
  <c r="H200" i="2"/>
  <c r="E200" i="2" s="1" a="1"/>
  <c r="E200" i="2" s="1"/>
  <c r="H201" i="2"/>
  <c r="E201" i="2" s="1" a="1"/>
  <c r="E201" i="2" s="1"/>
  <c r="H207" i="2"/>
  <c r="E207" i="2" s="1" a="1"/>
  <c r="E207" i="2" s="1"/>
  <c r="H208" i="2"/>
  <c r="E208" i="2" s="1" a="1"/>
  <c r="E208" i="2" s="1"/>
  <c r="H209" i="2"/>
  <c r="E209" i="2" s="1" a="1"/>
  <c r="E209" i="2" s="1"/>
  <c r="H210" i="2"/>
  <c r="E210" i="2" s="1" a="1"/>
  <c r="E210" i="2" s="1"/>
  <c r="H211" i="2"/>
  <c r="E211" i="2" s="1" a="1"/>
  <c r="E211" i="2" s="1"/>
  <c r="H212" i="2"/>
  <c r="E212" i="2" s="1" a="1"/>
  <c r="E212" i="2" s="1"/>
  <c r="H213" i="2"/>
  <c r="E213" i="2" s="1" a="1"/>
  <c r="E213" i="2" s="1"/>
  <c r="H214" i="2"/>
  <c r="E214" i="2" s="1" a="1"/>
  <c r="E214" i="2" s="1"/>
  <c r="H215" i="2"/>
  <c r="E215" i="2" s="1" a="1"/>
  <c r="E215" i="2" s="1"/>
  <c r="H216" i="2"/>
  <c r="E216" i="2" s="1" a="1"/>
  <c r="E216" i="2" s="1"/>
  <c r="H218" i="2"/>
  <c r="E218" i="2" s="1" a="1"/>
  <c r="E218" i="2" s="1"/>
  <c r="H219" i="2"/>
  <c r="E219" i="2" s="1" a="1"/>
  <c r="E219" i="2" s="1"/>
  <c r="H220" i="2"/>
  <c r="E220" i="2" s="1" a="1"/>
  <c r="E220" i="2" s="1"/>
  <c r="H221" i="2"/>
  <c r="E221" i="2" s="1" a="1"/>
  <c r="E221" i="2" s="1"/>
  <c r="H222" i="2"/>
  <c r="E222" i="2" s="1" a="1"/>
  <c r="E222" i="2" s="1"/>
  <c r="H229" i="2"/>
  <c r="E229" i="2" s="1" a="1"/>
  <c r="E229" i="2" s="1"/>
  <c r="H230" i="2"/>
  <c r="E230" i="2" s="1" a="1"/>
  <c r="E230" i="2" s="1"/>
  <c r="H231" i="2"/>
  <c r="E231" i="2" s="1" a="1"/>
  <c r="E231" i="2" s="1"/>
  <c r="H233" i="2"/>
  <c r="E233" i="2" s="1" a="1"/>
  <c r="E233" i="2" s="1"/>
  <c r="H234" i="2"/>
  <c r="E234" i="2" s="1" a="1"/>
  <c r="E234" i="2" s="1"/>
  <c r="H235" i="2"/>
  <c r="E235" i="2" s="1" a="1"/>
  <c r="E235" i="2" s="1"/>
  <c r="H236" i="2"/>
  <c r="E236" i="2" s="1" a="1"/>
  <c r="E236" i="2" s="1"/>
  <c r="H237" i="2"/>
  <c r="E237" i="2" s="1" a="1"/>
  <c r="E237" i="2" s="1"/>
  <c r="H238" i="2"/>
  <c r="E238" i="2" s="1" a="1"/>
  <c r="E238" i="2" s="1"/>
  <c r="H239" i="2"/>
  <c r="E239" i="2" s="1" a="1"/>
  <c r="E239" i="2" s="1"/>
  <c r="H240" i="2"/>
  <c r="E240" i="2" s="1" a="1"/>
  <c r="E240" i="2" s="1"/>
  <c r="H241" i="2"/>
  <c r="E241" i="2" s="1" a="1"/>
  <c r="E241" i="2" s="1"/>
  <c r="H242" i="2"/>
  <c r="E242" i="2" s="1" a="1"/>
  <c r="E242" i="2" s="1"/>
  <c r="H243" i="2"/>
  <c r="E243" i="2" s="1" a="1"/>
  <c r="E243" i="2" s="1"/>
  <c r="H244" i="2"/>
  <c r="E244" i="2" s="1" a="1"/>
  <c r="E244" i="2" s="1"/>
  <c r="H245" i="2"/>
  <c r="E245" i="2" s="1" a="1"/>
  <c r="E245" i="2" s="1"/>
  <c r="H246" i="2"/>
  <c r="E246" i="2" s="1" a="1"/>
  <c r="E246" i="2" s="1"/>
  <c r="H247" i="2"/>
  <c r="E247" i="2" s="1" a="1"/>
  <c r="E247" i="2" s="1"/>
  <c r="H248" i="2"/>
  <c r="E248" i="2" s="1" a="1"/>
  <c r="E248" i="2" s="1"/>
  <c r="H251" i="2"/>
  <c r="E251" i="2" s="1" a="1"/>
  <c r="E251" i="2" s="1"/>
  <c r="H252" i="2"/>
  <c r="E252" i="2" s="1" a="1"/>
  <c r="E252" i="2" s="1"/>
  <c r="H253" i="2"/>
  <c r="E253" i="2" s="1" a="1"/>
  <c r="E253" i="2" s="1"/>
  <c r="H254" i="2"/>
  <c r="E254" i="2" s="1" a="1"/>
  <c r="E254" i="2" s="1"/>
  <c r="H255" i="2"/>
  <c r="E255" i="2" s="1" a="1"/>
  <c r="E255" i="2" s="1"/>
  <c r="H256" i="2"/>
  <c r="E256" i="2" s="1" a="1"/>
  <c r="E256" i="2" s="1"/>
  <c r="H257" i="2"/>
  <c r="E257" i="2" s="1" a="1"/>
  <c r="E257" i="2" s="1"/>
  <c r="H258" i="2"/>
  <c r="E258" i="2" s="1" a="1"/>
  <c r="E258" i="2" s="1"/>
  <c r="H259" i="2"/>
  <c r="E259" i="2" s="1" a="1"/>
  <c r="E259" i="2" s="1"/>
  <c r="H260" i="2"/>
  <c r="E260" i="2" s="1" a="1"/>
  <c r="E260" i="2" s="1"/>
  <c r="H261" i="2"/>
  <c r="E261" i="2" s="1" a="1"/>
  <c r="E261" i="2" s="1"/>
  <c r="H262" i="2"/>
  <c r="E262" i="2" s="1" a="1"/>
  <c r="E262" i="2" s="1"/>
  <c r="H263" i="2"/>
  <c r="E263" i="2" s="1" a="1"/>
  <c r="E263" i="2" s="1"/>
  <c r="H264" i="2"/>
  <c r="E264" i="2" s="1" a="1"/>
  <c r="E264" i="2" s="1"/>
  <c r="H265" i="2"/>
  <c r="E265" i="2" s="1" a="1"/>
  <c r="E265" i="2" s="1"/>
  <c r="H266" i="2"/>
  <c r="E266" i="2" s="1" a="1"/>
  <c r="E266" i="2" s="1"/>
  <c r="H267" i="2"/>
  <c r="E267" i="2" s="1" a="1"/>
  <c r="E267" i="2" s="1"/>
  <c r="H268" i="2"/>
  <c r="E268" i="2" s="1" a="1"/>
  <c r="E268" i="2" s="1"/>
  <c r="H270" i="2"/>
  <c r="E270" i="2" s="1" a="1"/>
  <c r="E270" i="2" s="1"/>
  <c r="H271" i="2"/>
  <c r="E271" i="2" s="1" a="1"/>
  <c r="E271" i="2" s="1"/>
  <c r="H272" i="2"/>
  <c r="E272" i="2" s="1" a="1"/>
  <c r="E272" i="2" s="1"/>
  <c r="H273" i="2"/>
  <c r="E273" i="2" s="1" a="1"/>
  <c r="E273" i="2" s="1"/>
  <c r="H274" i="2"/>
  <c r="E274" i="2" s="1" a="1"/>
  <c r="E274" i="2" s="1"/>
  <c r="H275" i="2"/>
  <c r="E275" i="2" s="1" a="1"/>
  <c r="E275" i="2" s="1"/>
  <c r="H276" i="2"/>
  <c r="E276" i="2" s="1" a="1"/>
  <c r="E276" i="2" s="1"/>
  <c r="H277" i="2"/>
  <c r="E277" i="2" s="1" a="1"/>
  <c r="E277" i="2" s="1"/>
  <c r="H278" i="2"/>
  <c r="E278" i="2" s="1" a="1"/>
  <c r="E278" i="2" s="1"/>
  <c r="H279" i="2"/>
  <c r="E279" i="2" s="1" a="1"/>
  <c r="E279" i="2" s="1"/>
  <c r="H280" i="2"/>
  <c r="E280" i="2" s="1" a="1"/>
  <c r="E280" i="2" s="1"/>
  <c r="H281" i="2"/>
  <c r="E281" i="2" s="1" a="1"/>
  <c r="E281" i="2" s="1"/>
  <c r="H282" i="2"/>
  <c r="E282" i="2" s="1" a="1"/>
  <c r="E282" i="2" s="1"/>
  <c r="H283" i="2"/>
  <c r="E283" i="2" s="1" a="1"/>
  <c r="E283" i="2" s="1"/>
  <c r="H284" i="2"/>
  <c r="E284" i="2" s="1" a="1"/>
  <c r="E284" i="2" s="1"/>
  <c r="H285" i="2"/>
  <c r="E285" i="2" s="1" a="1"/>
  <c r="E285" i="2" s="1"/>
  <c r="H286" i="2"/>
  <c r="E286" i="2" s="1" a="1"/>
  <c r="E286" i="2" s="1"/>
  <c r="H287" i="2"/>
  <c r="E287" i="2" s="1" a="1"/>
  <c r="E287" i="2" s="1"/>
  <c r="H288" i="2"/>
  <c r="E288" i="2" s="1" a="1"/>
  <c r="E288" i="2" s="1"/>
  <c r="H289" i="2"/>
  <c r="E289" i="2" s="1" a="1"/>
  <c r="E289" i="2" s="1"/>
  <c r="H290" i="2"/>
  <c r="E290" i="2" s="1" a="1"/>
  <c r="E290" i="2" s="1"/>
  <c r="H291" i="2"/>
  <c r="E291" i="2" s="1" a="1"/>
  <c r="E291" i="2" s="1"/>
  <c r="H292" i="2"/>
  <c r="E292" i="2" s="1" a="1"/>
  <c r="E292" i="2" s="1"/>
  <c r="H293" i="2"/>
  <c r="E293" i="2" s="1" a="1"/>
  <c r="E293" i="2" s="1"/>
  <c r="H294" i="2"/>
  <c r="E294" i="2" s="1" a="1"/>
  <c r="E294" i="2" s="1"/>
  <c r="H295" i="2"/>
  <c r="E295" i="2" s="1" a="1"/>
  <c r="E295" i="2" s="1"/>
  <c r="H296" i="2"/>
  <c r="E296" i="2" s="1" a="1"/>
  <c r="E296" i="2" s="1"/>
  <c r="H297" i="2"/>
  <c r="E297" i="2" s="1" a="1"/>
  <c r="E297" i="2" s="1"/>
  <c r="H298" i="2"/>
  <c r="E298" i="2" s="1" a="1"/>
  <c r="E298" i="2" s="1"/>
  <c r="H299" i="2"/>
  <c r="E299" i="2" s="1" a="1"/>
  <c r="E299" i="2" s="1"/>
  <c r="H300" i="2"/>
  <c r="E300" i="2" s="1" a="1"/>
  <c r="E300" i="2" s="1"/>
  <c r="H301" i="2"/>
  <c r="E301" i="2" s="1" a="1"/>
  <c r="E301" i="2" s="1"/>
  <c r="H302" i="2"/>
  <c r="E302" i="2" s="1" a="1"/>
  <c r="E302" i="2" s="1"/>
  <c r="H303" i="2"/>
  <c r="E303" i="2" s="1" a="1"/>
  <c r="E303" i="2" s="1"/>
  <c r="H304" i="2"/>
  <c r="E304" i="2" s="1" a="1"/>
  <c r="E304" i="2" s="1"/>
  <c r="H305" i="2"/>
  <c r="E305" i="2" s="1" a="1"/>
  <c r="E305" i="2" s="1"/>
  <c r="H306" i="2"/>
  <c r="E306" i="2" s="1" a="1"/>
  <c r="E306" i="2" s="1"/>
  <c r="H307" i="2"/>
  <c r="E307" i="2" s="1" a="1"/>
  <c r="E307" i="2" s="1"/>
  <c r="H308" i="2"/>
  <c r="E308" i="2" s="1" a="1"/>
  <c r="E308" i="2" s="1"/>
  <c r="H309" i="2"/>
  <c r="E309" i="2" s="1" a="1"/>
  <c r="E309" i="2" s="1"/>
  <c r="H310" i="2"/>
  <c r="E310" i="2" s="1" a="1"/>
  <c r="E310" i="2" s="1"/>
  <c r="H311" i="2"/>
  <c r="E311" i="2" s="1" a="1"/>
  <c r="E311" i="2" s="1"/>
  <c r="H312" i="2"/>
  <c r="E312" i="2" s="1" a="1"/>
  <c r="E312" i="2" s="1"/>
  <c r="H315" i="2"/>
  <c r="E315" i="2" s="1" a="1"/>
  <c r="E315" i="2" s="1"/>
  <c r="H316" i="2"/>
  <c r="E316" i="2" s="1" a="1"/>
  <c r="E316" i="2" s="1"/>
  <c r="H317" i="2"/>
  <c r="E317" i="2" s="1" a="1"/>
  <c r="E317" i="2" s="1"/>
  <c r="H318" i="2"/>
  <c r="E318" i="2" s="1" a="1"/>
  <c r="E318" i="2" s="1"/>
  <c r="H319" i="2"/>
  <c r="E319" i="2" s="1" a="1"/>
  <c r="E319" i="2" s="1"/>
  <c r="H320" i="2"/>
  <c r="E320" i="2" s="1" a="1"/>
  <c r="E320" i="2" s="1"/>
  <c r="H321" i="2"/>
  <c r="E321" i="2" s="1" a="1"/>
  <c r="E321" i="2" s="1"/>
  <c r="H322" i="2"/>
  <c r="E322" i="2" s="1" a="1"/>
  <c r="E322" i="2" s="1"/>
  <c r="H323" i="2"/>
  <c r="E323" i="2" s="1" a="1"/>
  <c r="E323" i="2" s="1"/>
  <c r="H324" i="2"/>
  <c r="E324" i="2" s="1" a="1"/>
  <c r="E324" i="2" s="1"/>
  <c r="H325" i="2"/>
  <c r="E325" i="2" s="1" a="1"/>
  <c r="E325" i="2" s="1"/>
  <c r="H326" i="2"/>
  <c r="E326" i="2" s="1" a="1"/>
  <c r="E326" i="2" s="1"/>
  <c r="H328" i="2"/>
  <c r="E328" i="2" s="1" a="1"/>
  <c r="E328" i="2" s="1"/>
  <c r="H329" i="2"/>
  <c r="E329" i="2" s="1" a="1"/>
  <c r="E329" i="2" s="1"/>
  <c r="H330" i="2"/>
  <c r="E330" i="2" s="1" a="1"/>
  <c r="E330" i="2" s="1"/>
  <c r="H331" i="2"/>
  <c r="E331" i="2" s="1" a="1"/>
  <c r="E331" i="2" s="1"/>
  <c r="H333" i="2"/>
  <c r="E333" i="2" s="1" a="1"/>
  <c r="E333" i="2" s="1"/>
  <c r="H339" i="2"/>
  <c r="E339" i="2" s="1" a="1"/>
  <c r="E339" i="2" s="1"/>
  <c r="H340" i="2"/>
  <c r="E340" i="2" s="1" a="1"/>
  <c r="E340" i="2" s="1"/>
  <c r="H341" i="2"/>
  <c r="E341" i="2" s="1" a="1"/>
  <c r="E341" i="2" s="1"/>
  <c r="H342" i="2"/>
  <c r="E342" i="2" s="1" a="1"/>
  <c r="E342" i="2" s="1"/>
  <c r="H343" i="2"/>
  <c r="E343" i="2" s="1" a="1"/>
  <c r="E343" i="2" s="1"/>
  <c r="H344" i="2"/>
  <c r="E344" i="2" s="1" a="1"/>
  <c r="E344" i="2" s="1"/>
  <c r="H345" i="2"/>
  <c r="E345" i="2" s="1" a="1"/>
  <c r="E345" i="2" s="1"/>
  <c r="H346" i="2"/>
  <c r="E346" i="2" s="1" a="1"/>
  <c r="E346" i="2" s="1"/>
  <c r="H347" i="2"/>
  <c r="E347" i="2" s="1" a="1"/>
  <c r="E347" i="2" s="1"/>
  <c r="H348" i="2"/>
  <c r="E348" i="2" s="1" a="1"/>
  <c r="E348" i="2" s="1"/>
  <c r="H350" i="2"/>
  <c r="E350" i="2" s="1" a="1"/>
  <c r="E350" i="2" s="1"/>
  <c r="H351" i="2"/>
  <c r="E351" i="2" s="1" a="1"/>
  <c r="E351" i="2" s="1"/>
  <c r="H352" i="2"/>
  <c r="E352" i="2" s="1" a="1"/>
  <c r="E352" i="2" s="1"/>
  <c r="H353" i="2"/>
  <c r="E353" i="2" s="1" a="1"/>
  <c r="E353" i="2" s="1"/>
  <c r="H354" i="2"/>
  <c r="E354" i="2" s="1" a="1"/>
  <c r="E354" i="2" s="1"/>
  <c r="H355" i="2"/>
  <c r="E355" i="2" s="1" a="1"/>
  <c r="E355" i="2" s="1"/>
  <c r="H356" i="2"/>
  <c r="E356" i="2" s="1" a="1"/>
  <c r="E356" i="2" s="1"/>
  <c r="H357" i="2"/>
  <c r="E357" i="2" s="1" a="1"/>
  <c r="E357" i="2" s="1"/>
  <c r="H358" i="2"/>
  <c r="E358" i="2" s="1" a="1"/>
  <c r="E358" i="2" s="1"/>
  <c r="H359" i="2"/>
  <c r="E359" i="2" s="1" a="1"/>
  <c r="E359" i="2" s="1"/>
  <c r="H361" i="2"/>
  <c r="E361" i="2" s="1" a="1"/>
  <c r="E361" i="2" s="1"/>
  <c r="H362" i="2"/>
  <c r="E362" i="2" s="1" a="1"/>
  <c r="E362" i="2" s="1"/>
  <c r="H363" i="2"/>
  <c r="E363" i="2" s="1" a="1"/>
  <c r="E363" i="2" s="1"/>
  <c r="H364" i="2"/>
  <c r="E364" i="2" s="1" a="1"/>
  <c r="E364" i="2" s="1"/>
  <c r="H365" i="2"/>
  <c r="E365" i="2" s="1" a="1"/>
  <c r="E365" i="2" s="1"/>
  <c r="H366" i="2"/>
  <c r="E366" i="2" s="1" a="1"/>
  <c r="E366" i="2" s="1"/>
  <c r="H367" i="2"/>
  <c r="E367" i="2" s="1" a="1"/>
  <c r="E367" i="2" s="1"/>
  <c r="H368" i="2"/>
  <c r="E368" i="2" s="1" a="1"/>
  <c r="E368" i="2" s="1"/>
  <c r="H369" i="2"/>
  <c r="E369" i="2" s="1" a="1"/>
  <c r="E369" i="2" s="1"/>
  <c r="H370" i="2"/>
  <c r="E370" i="2" s="1" a="1"/>
  <c r="E370" i="2" s="1"/>
  <c r="H372" i="2"/>
  <c r="E372" i="2" s="1" a="1"/>
  <c r="E372" i="2" s="1"/>
  <c r="H373" i="2"/>
  <c r="E373" i="2" s="1" a="1"/>
  <c r="E373" i="2" s="1"/>
  <c r="H374" i="2"/>
  <c r="E374" i="2" s="1" a="1"/>
  <c r="E374" i="2" s="1"/>
  <c r="H375" i="2"/>
  <c r="E375" i="2" s="1" a="1"/>
  <c r="E375" i="2" s="1"/>
  <c r="H376" i="2"/>
  <c r="E376" i="2" s="1" a="1"/>
  <c r="E376" i="2" s="1"/>
  <c r="H377" i="2"/>
  <c r="E377" i="2" s="1" a="1"/>
  <c r="E377" i="2" s="1"/>
  <c r="H378" i="2"/>
  <c r="E378" i="2" s="1" a="1"/>
  <c r="E378" i="2" s="1"/>
  <c r="H379" i="2"/>
  <c r="E379" i="2" s="1" a="1"/>
  <c r="E379" i="2" s="1"/>
  <c r="H381" i="2"/>
  <c r="E381" i="2" s="1" a="1"/>
  <c r="E381" i="2" s="1"/>
  <c r="H382" i="2"/>
  <c r="E382" i="2" s="1" a="1"/>
  <c r="E382" i="2" s="1"/>
  <c r="H383" i="2"/>
  <c r="E383" i="2" s="1" a="1"/>
  <c r="E383" i="2" s="1"/>
  <c r="H384" i="2"/>
  <c r="E384" i="2" s="1" a="1"/>
  <c r="E384" i="2" s="1"/>
  <c r="H385" i="2"/>
  <c r="E385" i="2" s="1" a="1"/>
  <c r="E385" i="2" s="1"/>
  <c r="H387" i="2"/>
  <c r="E387" i="2" s="1" a="1"/>
  <c r="E387" i="2" s="1"/>
  <c r="H388" i="2"/>
  <c r="E388" i="2" s="1" a="1"/>
  <c r="E388" i="2" s="1"/>
  <c r="H389" i="2"/>
  <c r="E389" i="2" s="1" a="1"/>
  <c r="E389" i="2" s="1"/>
  <c r="H390" i="2"/>
  <c r="E390" i="2" s="1" a="1"/>
  <c r="E390" i="2" s="1"/>
  <c r="H392" i="2"/>
  <c r="E392" i="2" s="1" a="1"/>
  <c r="E392" i="2" s="1"/>
  <c r="H393" i="2"/>
  <c r="E393" i="2" s="1" a="1"/>
  <c r="E393" i="2" s="1"/>
  <c r="H394" i="2"/>
  <c r="E394" i="2" s="1" a="1"/>
  <c r="E394" i="2" s="1"/>
  <c r="H399" i="2"/>
  <c r="E399" i="2" s="1" a="1"/>
  <c r="E399" i="2" s="1"/>
  <c r="H400" i="2"/>
  <c r="E400" i="2" s="1" a="1"/>
  <c r="E400" i="2" s="1"/>
  <c r="H401" i="2"/>
  <c r="E401" i="2" s="1" a="1"/>
  <c r="E401" i="2" s="1"/>
  <c r="H402" i="2"/>
  <c r="E402" i="2" s="1" a="1"/>
  <c r="E402" i="2" s="1"/>
  <c r="H403" i="2"/>
  <c r="E403" i="2" s="1" a="1"/>
  <c r="E403" i="2" s="1"/>
  <c r="H404" i="2"/>
  <c r="E404" i="2" s="1" a="1"/>
  <c r="E404" i="2" s="1"/>
  <c r="H405" i="2"/>
  <c r="E405" i="2" s="1" a="1"/>
  <c r="E405" i="2" s="1"/>
  <c r="H406" i="2"/>
  <c r="E406" i="2" s="1" a="1"/>
  <c r="E406" i="2" s="1"/>
  <c r="H407" i="2"/>
  <c r="E407" i="2" s="1" a="1"/>
  <c r="E407" i="2" s="1"/>
  <c r="H408" i="2"/>
  <c r="E408" i="2" s="1" a="1"/>
  <c r="E408" i="2" s="1"/>
  <c r="H409" i="2"/>
  <c r="E409" i="2" s="1" a="1"/>
  <c r="E409" i="2" s="1"/>
  <c r="H410" i="2"/>
  <c r="E410" i="2" s="1" a="1"/>
  <c r="E410" i="2" s="1"/>
  <c r="H411" i="2"/>
  <c r="E411" i="2" s="1" a="1"/>
  <c r="E411" i="2" s="1"/>
  <c r="H412" i="2"/>
  <c r="E412" i="2" s="1" a="1"/>
  <c r="E412" i="2" s="1"/>
  <c r="H413" i="2"/>
  <c r="E413" i="2" s="1" a="1"/>
  <c r="E413" i="2" s="1"/>
  <c r="H414" i="2"/>
  <c r="E414" i="2" s="1" a="1"/>
  <c r="E414" i="2" s="1"/>
  <c r="H415" i="2"/>
  <c r="E415" i="2" s="1" a="1"/>
  <c r="E415" i="2" s="1"/>
  <c r="H416" i="2"/>
  <c r="E416" i="2" s="1" a="1"/>
  <c r="E416" i="2" s="1"/>
  <c r="H417" i="2"/>
  <c r="E417" i="2" s="1" a="1"/>
  <c r="E417" i="2" s="1"/>
  <c r="H418" i="2"/>
  <c r="E418" i="2" s="1" a="1"/>
  <c r="E418" i="2" s="1"/>
  <c r="H419" i="2"/>
  <c r="E419" i="2" s="1" a="1"/>
  <c r="E419" i="2" s="1"/>
  <c r="H420" i="2"/>
  <c r="E420" i="2" s="1" a="1"/>
  <c r="E420" i="2" s="1"/>
  <c r="H421" i="2"/>
  <c r="E421" i="2" s="1" a="1"/>
  <c r="E421" i="2" s="1"/>
  <c r="H422" i="2"/>
  <c r="E422" i="2" s="1" a="1"/>
  <c r="E422" i="2" s="1"/>
  <c r="H423" i="2"/>
  <c r="E423" i="2" s="1" a="1"/>
  <c r="E423" i="2" s="1"/>
  <c r="H424" i="2"/>
  <c r="E424" i="2" s="1" a="1"/>
  <c r="E424" i="2" s="1"/>
  <c r="H425" i="2"/>
  <c r="E425" i="2" s="1" a="1"/>
  <c r="E425" i="2" s="1"/>
  <c r="H426" i="2"/>
  <c r="E426" i="2" s="1" a="1"/>
  <c r="E426" i="2" s="1"/>
  <c r="H427" i="2"/>
  <c r="E427" i="2" s="1" a="1"/>
  <c r="E427" i="2" s="1"/>
  <c r="H428" i="2"/>
  <c r="E428" i="2" s="1" a="1"/>
  <c r="E428" i="2" s="1"/>
  <c r="H429" i="2"/>
  <c r="E429" i="2" s="1" a="1"/>
  <c r="E429" i="2" s="1"/>
  <c r="H430" i="2"/>
  <c r="E430" i="2" s="1" a="1"/>
  <c r="E430" i="2" s="1"/>
  <c r="H432" i="2"/>
  <c r="E432" i="2" s="1" a="1"/>
  <c r="E432" i="2" s="1"/>
  <c r="H434" i="2"/>
  <c r="E434" i="2" s="1" a="1"/>
  <c r="E434" i="2" s="1"/>
  <c r="H437" i="2"/>
  <c r="E437" i="2" s="1" a="1"/>
  <c r="E437" i="2" s="1"/>
  <c r="H441" i="2"/>
  <c r="E441" i="2" s="1" a="1"/>
  <c r="E441" i="2" s="1"/>
  <c r="H443" i="2"/>
  <c r="E443" i="2" s="1" a="1"/>
  <c r="E443" i="2" s="1"/>
  <c r="H444" i="2"/>
  <c r="E444" i="2" s="1" a="1"/>
  <c r="E444" i="2" s="1"/>
  <c r="H445" i="2"/>
  <c r="E445" i="2" s="1" a="1"/>
  <c r="E445" i="2" s="1"/>
  <c r="H446" i="2"/>
  <c r="E446" i="2" s="1" a="1"/>
  <c r="E446" i="2" s="1"/>
  <c r="H447" i="2"/>
  <c r="E447" i="2" s="1" a="1"/>
  <c r="E447" i="2" s="1"/>
  <c r="H448" i="2"/>
  <c r="E448" i="2" s="1" a="1"/>
  <c r="E448" i="2" s="1"/>
  <c r="H449" i="2"/>
  <c r="E449" i="2" s="1" a="1"/>
  <c r="E449" i="2" s="1"/>
  <c r="H450" i="2"/>
  <c r="E450" i="2" s="1" a="1"/>
  <c r="E450" i="2" s="1"/>
  <c r="H451" i="2"/>
  <c r="E451" i="2" s="1" a="1"/>
  <c r="E451" i="2" s="1"/>
  <c r="H452" i="2"/>
  <c r="E452" i="2" s="1" a="1"/>
  <c r="E452" i="2" s="1"/>
  <c r="H458" i="2"/>
  <c r="E458" i="2" s="1" a="1"/>
  <c r="E458" i="2" s="1"/>
  <c r="H459" i="2"/>
  <c r="E459" i="2" s="1" a="1"/>
  <c r="E459" i="2" s="1"/>
  <c r="H460" i="2"/>
  <c r="E460" i="2" s="1" a="1"/>
  <c r="E460" i="2" s="1"/>
  <c r="H461" i="2"/>
  <c r="E461" i="2" s="1" a="1"/>
  <c r="E461" i="2" s="1"/>
  <c r="H462" i="2"/>
  <c r="E462" i="2" s="1" a="1"/>
  <c r="E462" i="2" s="1"/>
  <c r="H463" i="2"/>
  <c r="E463" i="2" s="1" a="1"/>
  <c r="E463" i="2" s="1"/>
  <c r="H468" i="2"/>
  <c r="E468" i="2" s="1" a="1"/>
  <c r="E468" i="2" s="1"/>
  <c r="H469" i="2"/>
  <c r="E469" i="2" s="1" a="1"/>
  <c r="E469" i="2" s="1"/>
  <c r="H470" i="2"/>
  <c r="E470" i="2" s="1" a="1"/>
  <c r="E470" i="2" s="1"/>
  <c r="H471" i="2"/>
  <c r="E471" i="2" s="1" a="1"/>
  <c r="E471" i="2" s="1"/>
  <c r="H472" i="2"/>
  <c r="E472" i="2" s="1" a="1"/>
  <c r="E472" i="2" s="1"/>
  <c r="H473" i="2"/>
  <c r="E473" i="2" s="1" a="1"/>
  <c r="E473" i="2" s="1"/>
  <c r="H474" i="2"/>
  <c r="E474" i="2" s="1" a="1"/>
  <c r="E474" i="2" s="1"/>
  <c r="H475" i="2"/>
  <c r="E475" i="2" s="1" a="1"/>
  <c r="E475" i="2" s="1"/>
  <c r="H476" i="2"/>
  <c r="E476" i="2" s="1" a="1"/>
  <c r="E476" i="2" s="1"/>
  <c r="H477" i="2"/>
  <c r="E477" i="2" s="1" a="1"/>
  <c r="E477" i="2" s="1"/>
  <c r="H478" i="2"/>
  <c r="E478" i="2" s="1" a="1"/>
  <c r="E478" i="2" s="1"/>
  <c r="H479" i="2"/>
  <c r="E479" i="2" s="1" a="1"/>
  <c r="E479" i="2" s="1"/>
  <c r="H480" i="2"/>
  <c r="E480" i="2" s="1" a="1"/>
  <c r="E480" i="2" s="1"/>
  <c r="H481" i="2"/>
  <c r="E481" i="2" s="1" a="1"/>
  <c r="E481" i="2" s="1"/>
  <c r="H482" i="2"/>
  <c r="E482" i="2" s="1" a="1"/>
  <c r="E482" i="2" s="1"/>
  <c r="H483" i="2"/>
  <c r="E483" i="2" s="1" a="1"/>
  <c r="E483" i="2" s="1"/>
  <c r="H484" i="2"/>
  <c r="E484" i="2" s="1" a="1"/>
  <c r="E484" i="2" s="1"/>
  <c r="H485" i="2"/>
  <c r="E485" i="2" s="1" a="1"/>
  <c r="E485" i="2" s="1"/>
  <c r="H486" i="2"/>
  <c r="E486" i="2" s="1" a="1"/>
  <c r="E486" i="2" s="1"/>
  <c r="H487" i="2"/>
  <c r="E487" i="2" s="1" a="1"/>
  <c r="E487" i="2" s="1"/>
  <c r="H488" i="2"/>
  <c r="E488" i="2" s="1" a="1"/>
  <c r="E488" i="2" s="1"/>
  <c r="H489" i="2"/>
  <c r="E489" i="2" s="1" a="1"/>
  <c r="E489" i="2" s="1"/>
  <c r="H490" i="2"/>
  <c r="E490" i="2" s="1" a="1"/>
  <c r="E490" i="2" s="1"/>
  <c r="H491" i="2"/>
  <c r="E491" i="2" s="1" a="1"/>
  <c r="E491" i="2" s="1"/>
  <c r="H492" i="2"/>
  <c r="E492" i="2" s="1" a="1"/>
  <c r="E492" i="2" s="1"/>
  <c r="H493" i="2"/>
  <c r="E493" i="2" s="1" a="1"/>
  <c r="E493" i="2" s="1"/>
  <c r="H494" i="2"/>
  <c r="E494" i="2" s="1" a="1"/>
  <c r="E494" i="2" s="1"/>
  <c r="H495" i="2"/>
  <c r="E495" i="2" s="1" a="1"/>
  <c r="E495" i="2" s="1"/>
  <c r="H496" i="2"/>
  <c r="E496" i="2" s="1" a="1"/>
  <c r="E496" i="2" s="1"/>
  <c r="H497" i="2"/>
  <c r="E497" i="2" s="1" a="1"/>
  <c r="E497" i="2" s="1"/>
  <c r="H498" i="2"/>
  <c r="E498" i="2" s="1" a="1"/>
  <c r="E498" i="2" s="1"/>
  <c r="H499" i="2"/>
  <c r="E499" i="2" s="1" a="1"/>
  <c r="E499" i="2" s="1"/>
  <c r="H500" i="2"/>
  <c r="E500" i="2" s="1" a="1"/>
  <c r="E500" i="2" s="1"/>
  <c r="H501" i="2"/>
  <c r="E501" i="2" s="1" a="1"/>
  <c r="E501" i="2" s="1"/>
  <c r="H502" i="2"/>
  <c r="E502" i="2" s="1" a="1"/>
  <c r="E502" i="2" s="1"/>
  <c r="H503" i="2"/>
  <c r="E503" i="2" s="1" a="1"/>
  <c r="E503" i="2" s="1"/>
  <c r="H504" i="2"/>
  <c r="E504" i="2" s="1" a="1"/>
  <c r="E504" i="2" s="1"/>
  <c r="H505" i="2"/>
  <c r="E505" i="2" s="1" a="1"/>
  <c r="E505" i="2" s="1"/>
  <c r="H506" i="2"/>
  <c r="E506" i="2" s="1" a="1"/>
  <c r="E506" i="2" s="1"/>
  <c r="H507" i="2"/>
  <c r="E507" i="2" s="1" a="1"/>
  <c r="E507" i="2" s="1"/>
  <c r="H508" i="2"/>
  <c r="E508" i="2" s="1" a="1"/>
  <c r="E508" i="2" s="1"/>
  <c r="H509" i="2"/>
  <c r="E509" i="2" s="1" a="1"/>
  <c r="E509" i="2" s="1"/>
  <c r="H510" i="2"/>
  <c r="E510" i="2" s="1" a="1"/>
  <c r="E510" i="2" s="1"/>
  <c r="H511" i="2"/>
  <c r="E511" i="2" s="1" a="1"/>
  <c r="E511" i="2" s="1"/>
  <c r="H512" i="2"/>
  <c r="E512" i="2" s="1" a="1"/>
  <c r="E512" i="2" s="1"/>
  <c r="H513" i="2"/>
  <c r="E513" i="2" s="1" a="1"/>
  <c r="E513" i="2" s="1"/>
  <c r="H514" i="2"/>
  <c r="E514" i="2" s="1" a="1"/>
  <c r="E514" i="2" s="1"/>
  <c r="H515" i="2"/>
  <c r="E515" i="2" s="1" a="1"/>
  <c r="E515" i="2" s="1"/>
  <c r="H517" i="2"/>
  <c r="E517" i="2" s="1" a="1"/>
  <c r="E517" i="2" s="1"/>
  <c r="H519" i="2"/>
  <c r="E519" i="2" s="1" a="1"/>
  <c r="E519" i="2" s="1"/>
  <c r="H521" i="2"/>
  <c r="E521" i="2" s="1" a="1"/>
  <c r="E521" i="2" s="1"/>
  <c r="H523" i="2"/>
  <c r="E523" i="2" s="1" a="1"/>
  <c r="E523" i="2" s="1"/>
  <c r="H532" i="2"/>
  <c r="E532" i="2" s="1" a="1"/>
  <c r="E532" i="2" s="1"/>
  <c r="H534" i="2"/>
  <c r="E534" i="2" s="1" a="1"/>
  <c r="E534" i="2" s="1"/>
  <c r="H535" i="2"/>
  <c r="E535" i="2" s="1" a="1"/>
  <c r="E535" i="2" s="1"/>
  <c r="H536" i="2"/>
  <c r="E536" i="2" s="1" a="1"/>
  <c r="E536" i="2" s="1"/>
  <c r="H537" i="2"/>
  <c r="E537" i="2" s="1" a="1"/>
  <c r="E537" i="2" s="1"/>
  <c r="H538" i="2"/>
  <c r="E538" i="2" s="1" a="1"/>
  <c r="E538" i="2" s="1"/>
  <c r="H544" i="2"/>
  <c r="E544" i="2" s="1" a="1"/>
  <c r="E544" i="2" s="1"/>
  <c r="H545" i="2"/>
  <c r="E545" i="2" s="1" a="1"/>
  <c r="E545" i="2" s="1"/>
  <c r="H546" i="2"/>
  <c r="E546" i="2" s="1" a="1"/>
  <c r="E546" i="2" s="1"/>
  <c r="H547" i="2"/>
  <c r="E547" i="2" s="1" a="1"/>
  <c r="E547" i="2" s="1"/>
  <c r="H548" i="2"/>
  <c r="E548" i="2" s="1" a="1"/>
  <c r="E548" i="2" s="1"/>
  <c r="H549" i="2"/>
  <c r="E549" i="2" s="1" a="1"/>
  <c r="E549" i="2" s="1"/>
  <c r="H555" i="2"/>
  <c r="E555" i="2" s="1" a="1"/>
  <c r="E555" i="2" s="1"/>
  <c r="H556" i="2"/>
  <c r="E556" i="2" s="1" a="1"/>
  <c r="E556" i="2" s="1"/>
  <c r="H557" i="2"/>
  <c r="E557" i="2" s="1" a="1"/>
  <c r="E557" i="2" s="1"/>
  <c r="H558" i="2"/>
  <c r="E558" i="2" s="1" a="1"/>
  <c r="E558" i="2" s="1"/>
  <c r="H559" i="2"/>
  <c r="E559" i="2" s="1" a="1"/>
  <c r="E559" i="2" s="1"/>
  <c r="H560" i="2"/>
  <c r="E560" i="2" s="1" a="1"/>
  <c r="E560" i="2" s="1"/>
  <c r="H561" i="2"/>
  <c r="E561" i="2" s="1" a="1"/>
  <c r="E561" i="2" s="1"/>
  <c r="H562" i="2"/>
  <c r="E562" i="2" s="1" a="1"/>
  <c r="E562" i="2" s="1"/>
  <c r="H563" i="2"/>
  <c r="E563" i="2" s="1" a="1"/>
  <c r="E563" i="2" s="1"/>
  <c r="H564" i="2"/>
  <c r="E564" i="2" s="1" a="1"/>
  <c r="E564" i="2" s="1"/>
  <c r="H565" i="2"/>
  <c r="E565" i="2" s="1" a="1"/>
  <c r="E565" i="2" s="1"/>
  <c r="H566" i="2"/>
  <c r="E566" i="2" s="1" a="1"/>
  <c r="E566" i="2" s="1"/>
  <c r="H567" i="2"/>
  <c r="E567" i="2" s="1" a="1"/>
  <c r="E567" i="2" s="1"/>
  <c r="H568" i="2"/>
  <c r="E568" i="2" s="1" a="1"/>
  <c r="E568" i="2" s="1"/>
  <c r="H571" i="2"/>
  <c r="E571" i="2" s="1" a="1"/>
  <c r="E571" i="2" s="1"/>
  <c r="H579" i="2"/>
  <c r="E579" i="2" s="1" a="1"/>
  <c r="E579" i="2" s="1"/>
  <c r="H580" i="2"/>
  <c r="E580" i="2" s="1" a="1"/>
  <c r="E580" i="2" s="1"/>
  <c r="H581" i="2"/>
  <c r="E581" i="2" s="1" a="1"/>
  <c r="E581" i="2" s="1"/>
  <c r="H582" i="2"/>
  <c r="E582" i="2" s="1" a="1"/>
  <c r="E582" i="2" s="1"/>
  <c r="H583" i="2"/>
  <c r="E583" i="2" s="1" a="1"/>
  <c r="E583" i="2" s="1"/>
  <c r="H584" i="2"/>
  <c r="E584" i="2" s="1" a="1"/>
  <c r="E584" i="2" s="1"/>
  <c r="H588" i="2"/>
  <c r="E588" i="2" s="1" a="1"/>
  <c r="E588" i="2" s="1"/>
  <c r="H591" i="2"/>
  <c r="E591" i="2" s="1" a="1"/>
  <c r="E591" i="2" s="1"/>
  <c r="H592" i="2"/>
  <c r="E592" i="2" s="1" a="1"/>
  <c r="E592" i="2" s="1"/>
  <c r="H593" i="2"/>
  <c r="E593" i="2" s="1" a="1"/>
  <c r="E593" i="2" s="1"/>
  <c r="H594" i="2"/>
  <c r="E594" i="2" s="1" a="1"/>
  <c r="E594" i="2" s="1"/>
  <c r="H600" i="2"/>
  <c r="E600" i="2" s="1" a="1"/>
  <c r="E600" i="2" s="1"/>
  <c r="H601" i="2"/>
  <c r="E601" i="2" s="1" a="1"/>
  <c r="E601" i="2" s="1"/>
  <c r="H602" i="2"/>
  <c r="E602" i="2" s="1" a="1"/>
  <c r="E602" i="2" s="1"/>
  <c r="H603" i="2"/>
  <c r="E603" i="2" s="1" a="1"/>
  <c r="E603" i="2" s="1"/>
  <c r="H604" i="2"/>
  <c r="E604" i="2" s="1" a="1"/>
  <c r="E604" i="2" s="1"/>
  <c r="H605" i="2"/>
  <c r="E605" i="2" s="1" a="1"/>
  <c r="E605" i="2" s="1"/>
  <c r="H606" i="2"/>
  <c r="E606" i="2" s="1" a="1"/>
  <c r="E606" i="2" s="1"/>
  <c r="H607" i="2"/>
  <c r="E607" i="2" s="1" a="1"/>
  <c r="E607" i="2" s="1"/>
  <c r="H608" i="2"/>
  <c r="E608" i="2" s="1" a="1"/>
  <c r="E608" i="2" s="1"/>
  <c r="H609" i="2"/>
  <c r="E609" i="2" s="1" a="1"/>
  <c r="E609" i="2" s="1"/>
  <c r="H610" i="2"/>
  <c r="E610" i="2" s="1" a="1"/>
  <c r="E610" i="2" s="1"/>
  <c r="H611" i="2"/>
  <c r="E611" i="2" s="1" a="1"/>
  <c r="E611" i="2" s="1"/>
  <c r="H612" i="2"/>
  <c r="E612" i="2" s="1" a="1"/>
  <c r="E612" i="2" s="1"/>
  <c r="H613" i="2"/>
  <c r="E613" i="2" s="1" a="1"/>
  <c r="E613" i="2" s="1"/>
  <c r="H614" i="2"/>
  <c r="E614" i="2" s="1" a="1"/>
  <c r="E614" i="2" s="1"/>
  <c r="H615" i="2"/>
  <c r="E615" i="2" s="1" a="1"/>
  <c r="E615" i="2" s="1"/>
  <c r="H616" i="2"/>
  <c r="E616" i="2" s="1" a="1"/>
  <c r="E616" i="2" s="1"/>
  <c r="H617" i="2"/>
  <c r="E617" i="2" s="1" a="1"/>
  <c r="E617" i="2" s="1"/>
  <c r="H618" i="2"/>
  <c r="E618" i="2" s="1" a="1"/>
  <c r="E618" i="2" s="1"/>
  <c r="H621" i="2"/>
  <c r="E621" i="2" s="1" a="1"/>
  <c r="E621" i="2" s="1"/>
  <c r="H622" i="2"/>
  <c r="E622" i="2" s="1" a="1"/>
  <c r="E622" i="2" s="1"/>
  <c r="H623" i="2"/>
  <c r="E623" i="2" s="1" a="1"/>
  <c r="E623" i="2" s="1"/>
  <c r="H624" i="2"/>
  <c r="E624" i="2" s="1" a="1"/>
  <c r="E624" i="2" s="1"/>
  <c r="H625" i="2"/>
  <c r="E625" i="2" s="1" a="1"/>
  <c r="E625" i="2" s="1"/>
  <c r="H626" i="2"/>
  <c r="E626" i="2" s="1" a="1"/>
  <c r="E626" i="2" s="1"/>
  <c r="H627" i="2"/>
  <c r="E627" i="2" s="1" a="1"/>
  <c r="E627" i="2" s="1"/>
  <c r="H628" i="2"/>
  <c r="E628" i="2" s="1" a="1"/>
  <c r="E628" i="2" s="1"/>
  <c r="H629" i="2"/>
  <c r="E629" i="2" s="1" a="1"/>
  <c r="E629" i="2" s="1"/>
  <c r="H630" i="2"/>
  <c r="E630" i="2" s="1" a="1"/>
  <c r="E630" i="2" s="1"/>
  <c r="H631" i="2"/>
  <c r="E631" i="2" s="1" a="1"/>
  <c r="E631" i="2" s="1"/>
  <c r="H632" i="2"/>
  <c r="E632" i="2" s="1" a="1"/>
  <c r="E632" i="2" s="1"/>
  <c r="H635" i="2"/>
  <c r="E635" i="2" s="1" a="1"/>
  <c r="E635" i="2" s="1"/>
  <c r="H636" i="2"/>
  <c r="E636" i="2" s="1" a="1"/>
  <c r="E636" i="2" s="1"/>
  <c r="H637" i="2"/>
  <c r="E637" i="2" s="1" a="1"/>
  <c r="E637" i="2" s="1"/>
  <c r="H638" i="2"/>
  <c r="E638" i="2" s="1" a="1"/>
  <c r="E638" i="2" s="1"/>
  <c r="H639" i="2"/>
  <c r="E639" i="2" s="1" a="1"/>
  <c r="E639" i="2" s="1"/>
  <c r="H640" i="2"/>
  <c r="E640" i="2" s="1" a="1"/>
  <c r="E640" i="2" s="1"/>
  <c r="H642" i="2"/>
  <c r="E642" i="2" s="1" a="1"/>
  <c r="E642" i="2" s="1"/>
  <c r="H643" i="2"/>
  <c r="E643" i="2" s="1" a="1"/>
  <c r="E643" i="2" s="1"/>
  <c r="H644" i="2"/>
  <c r="E644" i="2" s="1" a="1"/>
  <c r="E644" i="2" s="1"/>
  <c r="H645" i="2"/>
  <c r="E645" i="2" s="1" a="1"/>
  <c r="E645" i="2" s="1"/>
  <c r="H649" i="2"/>
  <c r="E649" i="2" s="1" a="1"/>
  <c r="E649" i="2" s="1"/>
  <c r="H650" i="2"/>
  <c r="E650" i="2" s="1" a="1"/>
  <c r="E650" i="2" s="1"/>
  <c r="H651" i="2"/>
  <c r="E651" i="2" s="1" a="1"/>
  <c r="E651" i="2" s="1"/>
  <c r="H652" i="2"/>
  <c r="E652" i="2" s="1" a="1"/>
  <c r="E652" i="2" s="1"/>
  <c r="H653" i="2"/>
  <c r="E653" i="2" s="1" a="1"/>
  <c r="E653" i="2" s="1"/>
  <c r="H654" i="2"/>
  <c r="E654" i="2" s="1" a="1"/>
  <c r="E654" i="2" s="1"/>
  <c r="H655" i="2"/>
  <c r="E655" i="2" s="1" a="1"/>
  <c r="E655" i="2" s="1"/>
  <c r="H658" i="2"/>
  <c r="E658" i="2" s="1" a="1"/>
  <c r="E658" i="2" s="1"/>
  <c r="H661" i="2"/>
  <c r="E661" i="2" s="1" a="1"/>
  <c r="E661" i="2" s="1"/>
  <c r="H662" i="2"/>
  <c r="E662" i="2" s="1" a="1"/>
  <c r="E662" i="2" s="1"/>
  <c r="H663" i="2"/>
  <c r="E663" i="2" s="1" a="1"/>
  <c r="E663" i="2" s="1"/>
  <c r="H664" i="2"/>
  <c r="E664" i="2" s="1" a="1"/>
  <c r="E664" i="2" s="1"/>
  <c r="H665" i="2"/>
  <c r="E665" i="2" s="1" a="1"/>
  <c r="E665" i="2" s="1"/>
  <c r="H666" i="2"/>
  <c r="E666" i="2" s="1" a="1"/>
  <c r="E666" i="2" s="1"/>
  <c r="H667" i="2"/>
  <c r="E667" i="2" s="1" a="1"/>
  <c r="E667" i="2" s="1"/>
  <c r="H668" i="2"/>
  <c r="E668" i="2" s="1" a="1"/>
  <c r="E668" i="2" s="1"/>
  <c r="H669" i="2"/>
  <c r="E669" i="2" s="1" a="1"/>
  <c r="E669" i="2" s="1"/>
  <c r="H673" i="2"/>
  <c r="E673" i="2" s="1" a="1"/>
  <c r="E673" i="2" s="1"/>
  <c r="H674" i="2"/>
  <c r="E674" i="2" s="1" a="1"/>
  <c r="E674" i="2" s="1"/>
  <c r="H675" i="2"/>
  <c r="E675" i="2" s="1" a="1"/>
  <c r="E675" i="2" s="1"/>
  <c r="H676" i="2"/>
  <c r="E676" i="2" s="1" a="1"/>
  <c r="E676" i="2" s="1"/>
  <c r="H677" i="2"/>
  <c r="E677" i="2" s="1" a="1"/>
  <c r="E677" i="2" s="1"/>
  <c r="G7" i="2"/>
  <c r="G8" i="2"/>
  <c r="G9" i="2"/>
  <c r="G10" i="2"/>
  <c r="G11" i="2"/>
  <c r="G12" i="2"/>
  <c r="G13" i="2"/>
  <c r="G14" i="2"/>
  <c r="G15" i="2"/>
  <c r="G16" i="2"/>
  <c r="G17" i="2"/>
  <c r="I17" i="2" s="1"/>
  <c r="F17" i="2" s="1" a="1"/>
  <c r="F17" i="2" s="1"/>
  <c r="G18" i="2"/>
  <c r="I18" i="2" s="1"/>
  <c r="F18" i="2" s="1" a="1"/>
  <c r="F18" i="2" s="1"/>
  <c r="G19" i="2"/>
  <c r="G20" i="2"/>
  <c r="I20" i="2" s="1"/>
  <c r="F20" i="2" s="1" a="1"/>
  <c r="F20" i="2" s="1"/>
  <c r="G21" i="2"/>
  <c r="I21" i="2" s="1"/>
  <c r="F21" i="2" s="1" a="1"/>
  <c r="F21" i="2" s="1"/>
  <c r="G22" i="2"/>
  <c r="I22" i="2" s="1"/>
  <c r="F22" i="2" s="1" a="1"/>
  <c r="F22" i="2" s="1"/>
  <c r="G23" i="2"/>
  <c r="I23" i="2" s="1"/>
  <c r="F23" i="2" s="1" a="1"/>
  <c r="F23" i="2" s="1"/>
  <c r="G24" i="2"/>
  <c r="I24" i="2" s="1"/>
  <c r="F24" i="2" s="1" a="1"/>
  <c r="F24" i="2" s="1"/>
  <c r="G25" i="2"/>
  <c r="I25" i="2" s="1"/>
  <c r="F25" i="2" s="1" a="1"/>
  <c r="F25" i="2" s="1"/>
  <c r="G26" i="2"/>
  <c r="G27" i="2"/>
  <c r="G28" i="2"/>
  <c r="G29" i="2"/>
  <c r="G30" i="2"/>
  <c r="G31" i="2"/>
  <c r="G32" i="2"/>
  <c r="G33" i="2"/>
  <c r="G34" i="2"/>
  <c r="G35" i="2"/>
  <c r="G36" i="2"/>
  <c r="G37" i="2"/>
  <c r="G38" i="2"/>
  <c r="G39" i="2"/>
  <c r="G40" i="2"/>
  <c r="G41" i="2"/>
  <c r="I41" i="2" s="1"/>
  <c r="F41" i="2" s="1" a="1"/>
  <c r="F41" i="2" s="1"/>
  <c r="G42" i="2"/>
  <c r="I42" i="2" s="1"/>
  <c r="F42" i="2" s="1" a="1"/>
  <c r="F42" i="2" s="1"/>
  <c r="G43" i="2"/>
  <c r="I43" i="2" s="1"/>
  <c r="F43" i="2" s="1" a="1"/>
  <c r="F43" i="2" s="1"/>
  <c r="G44" i="2"/>
  <c r="I44" i="2" s="1"/>
  <c r="F44" i="2" s="1" a="1"/>
  <c r="F44" i="2" s="1"/>
  <c r="G45" i="2"/>
  <c r="I45" i="2" s="1"/>
  <c r="F45" i="2" s="1" a="1"/>
  <c r="F45" i="2" s="1"/>
  <c r="G46" i="2"/>
  <c r="I46" i="2" s="1"/>
  <c r="F46" i="2" s="1" a="1"/>
  <c r="F46" i="2" s="1"/>
  <c r="G47" i="2"/>
  <c r="G48" i="2"/>
  <c r="G49" i="2"/>
  <c r="G50" i="2"/>
  <c r="G51" i="2"/>
  <c r="G52" i="2"/>
  <c r="G53" i="2"/>
  <c r="G54" i="2"/>
  <c r="G55" i="2"/>
  <c r="G56" i="2"/>
  <c r="G57" i="2"/>
  <c r="G58" i="2"/>
  <c r="I58" i="2" s="1"/>
  <c r="F58" i="2" s="1" a="1"/>
  <c r="F58" i="2" s="1"/>
  <c r="G59" i="2"/>
  <c r="I59" i="2" s="1"/>
  <c r="F59" i="2" s="1" a="1"/>
  <c r="F59" i="2" s="1"/>
  <c r="G60" i="2"/>
  <c r="G61" i="2"/>
  <c r="G62" i="2"/>
  <c r="G63" i="2"/>
  <c r="G64" i="2"/>
  <c r="G65" i="2"/>
  <c r="G66" i="2"/>
  <c r="G67" i="2"/>
  <c r="I67" i="2" s="1"/>
  <c r="F67" i="2" s="1" a="1"/>
  <c r="F67" i="2" s="1"/>
  <c r="G68" i="2"/>
  <c r="I68" i="2" s="1"/>
  <c r="F68" i="2" s="1" a="1"/>
  <c r="F68" i="2" s="1"/>
  <c r="G69" i="2"/>
  <c r="I69" i="2" s="1"/>
  <c r="F69" i="2" s="1" a="1"/>
  <c r="F69" i="2" s="1"/>
  <c r="G70" i="2"/>
  <c r="I70" i="2" s="1"/>
  <c r="F70" i="2" s="1" a="1"/>
  <c r="F70" i="2" s="1"/>
  <c r="G71" i="2"/>
  <c r="I71" i="2" s="1"/>
  <c r="F71" i="2" s="1" a="1"/>
  <c r="F71" i="2" s="1"/>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I101" i="2" s="1"/>
  <c r="F101" i="2" s="1" a="1"/>
  <c r="F101" i="2" s="1"/>
  <c r="G102" i="2"/>
  <c r="I102" i="2" s="1"/>
  <c r="F102" i="2" s="1" a="1"/>
  <c r="F102" i="2" s="1"/>
  <c r="G103" i="2"/>
  <c r="I103" i="2" s="1"/>
  <c r="F103" i="2" s="1" a="1"/>
  <c r="F103" i="2" s="1"/>
  <c r="G104" i="2"/>
  <c r="I104" i="2" s="1"/>
  <c r="F104" i="2" s="1" a="1"/>
  <c r="F104" i="2" s="1"/>
  <c r="G105" i="2"/>
  <c r="I105" i="2" s="1"/>
  <c r="F105" i="2" s="1" a="1"/>
  <c r="F105" i="2" s="1"/>
  <c r="G106" i="2"/>
  <c r="I106" i="2" s="1"/>
  <c r="F106" i="2" s="1" a="1"/>
  <c r="F106" i="2" s="1"/>
  <c r="G107" i="2"/>
  <c r="G108" i="2"/>
  <c r="G109" i="2"/>
  <c r="G110" i="2"/>
  <c r="G111" i="2"/>
  <c r="G112" i="2"/>
  <c r="G113" i="2"/>
  <c r="G114" i="2"/>
  <c r="G115" i="2"/>
  <c r="G116" i="2"/>
  <c r="G117" i="2"/>
  <c r="G118" i="2"/>
  <c r="G119" i="2"/>
  <c r="G120" i="2"/>
  <c r="G121" i="2"/>
  <c r="I121" i="2" s="1"/>
  <c r="F121" i="2" s="1" a="1"/>
  <c r="F121" i="2" s="1"/>
  <c r="G122" i="2"/>
  <c r="I122" i="2" s="1"/>
  <c r="F122" i="2" s="1" a="1"/>
  <c r="F122" i="2" s="1"/>
  <c r="G123" i="2"/>
  <c r="I123" i="2" s="1"/>
  <c r="F123" i="2" s="1" a="1"/>
  <c r="F123" i="2" s="1"/>
  <c r="G124" i="2"/>
  <c r="I124" i="2" s="1"/>
  <c r="F124" i="2" s="1" a="1"/>
  <c r="F124" i="2" s="1"/>
  <c r="G125" i="2"/>
  <c r="I125" i="2" s="1"/>
  <c r="F125" i="2" s="1" a="1"/>
  <c r="F125" i="2" s="1"/>
  <c r="G126" i="2"/>
  <c r="G127" i="2"/>
  <c r="G128" i="2"/>
  <c r="G129" i="2"/>
  <c r="G130" i="2"/>
  <c r="G131" i="2"/>
  <c r="G132" i="2"/>
  <c r="G133" i="2"/>
  <c r="G134" i="2"/>
  <c r="G135" i="2"/>
  <c r="I135" i="2" s="1"/>
  <c r="F135" i="2" s="1" a="1"/>
  <c r="F135" i="2" s="1"/>
  <c r="G136" i="2"/>
  <c r="I136" i="2" s="1"/>
  <c r="F136" i="2" s="1" a="1"/>
  <c r="F136" i="2" s="1"/>
  <c r="G137" i="2"/>
  <c r="I137" i="2" s="1"/>
  <c r="F137" i="2" s="1" a="1"/>
  <c r="F137" i="2" s="1"/>
  <c r="G138" i="2"/>
  <c r="I138" i="2" s="1"/>
  <c r="F138" i="2" s="1" a="1"/>
  <c r="F138" i="2" s="1"/>
  <c r="G139" i="2"/>
  <c r="I139" i="2" s="1"/>
  <c r="F139" i="2" s="1" a="1"/>
  <c r="F139" i="2" s="1"/>
  <c r="G140" i="2"/>
  <c r="I140" i="2" s="1"/>
  <c r="F140" i="2" s="1" a="1"/>
  <c r="F140" i="2" s="1"/>
  <c r="G141" i="2"/>
  <c r="I141" i="2" s="1"/>
  <c r="F141" i="2" s="1" a="1"/>
  <c r="F141" i="2" s="1"/>
  <c r="G142" i="2"/>
  <c r="I142" i="2" s="1"/>
  <c r="F142" i="2" s="1" a="1"/>
  <c r="F142" i="2" s="1"/>
  <c r="G143" i="2"/>
  <c r="I143" i="2" s="1"/>
  <c r="F143" i="2" s="1" a="1"/>
  <c r="F143" i="2" s="1"/>
  <c r="G144" i="2"/>
  <c r="I144" i="2" s="1"/>
  <c r="F144" i="2" s="1" a="1"/>
  <c r="F144" i="2" s="1"/>
  <c r="G145" i="2"/>
  <c r="G146" i="2"/>
  <c r="G147" i="2"/>
  <c r="G148" i="2"/>
  <c r="G149" i="2"/>
  <c r="G150" i="2"/>
  <c r="I150" i="2" s="1"/>
  <c r="F150" i="2" s="1" a="1"/>
  <c r="F150" i="2" s="1"/>
  <c r="G151" i="2"/>
  <c r="I151" i="2" s="1"/>
  <c r="F151" i="2" s="1" a="1"/>
  <c r="F151" i="2" s="1"/>
  <c r="G152" i="2"/>
  <c r="I152" i="2" s="1"/>
  <c r="F152" i="2" s="1" a="1"/>
  <c r="F152" i="2" s="1"/>
  <c r="G153" i="2"/>
  <c r="I153" i="2" s="1"/>
  <c r="F153" i="2" s="1" a="1"/>
  <c r="F153" i="2" s="1"/>
  <c r="G154" i="2"/>
  <c r="I154" i="2" s="1"/>
  <c r="F154" i="2" s="1" a="1"/>
  <c r="F154" i="2" s="1"/>
  <c r="G155" i="2"/>
  <c r="I155" i="2" s="1"/>
  <c r="F155" i="2" s="1" a="1"/>
  <c r="F155" i="2" s="1"/>
  <c r="G156" i="2"/>
  <c r="I156" i="2" s="1"/>
  <c r="F156" i="2" s="1" a="1"/>
  <c r="F156" i="2" s="1"/>
  <c r="G157" i="2"/>
  <c r="I157" i="2" s="1"/>
  <c r="F157" i="2" s="1" a="1"/>
  <c r="F157" i="2" s="1"/>
  <c r="G158" i="2"/>
  <c r="I158" i="2" s="1"/>
  <c r="F158" i="2" s="1" a="1"/>
  <c r="F158" i="2" s="1"/>
  <c r="G159" i="2"/>
  <c r="I159" i="2" s="1"/>
  <c r="F159" i="2" s="1" a="1"/>
  <c r="F159" i="2" s="1"/>
  <c r="G160" i="2"/>
  <c r="I160" i="2" s="1"/>
  <c r="F160" i="2" s="1" a="1"/>
  <c r="F160" i="2" s="1"/>
  <c r="G161" i="2"/>
  <c r="I161" i="2" s="1"/>
  <c r="F161" i="2" s="1" a="1"/>
  <c r="F161" i="2" s="1"/>
  <c r="G162" i="2"/>
  <c r="I162" i="2" s="1"/>
  <c r="F162" i="2" s="1" a="1"/>
  <c r="F162" i="2" s="1"/>
  <c r="G163" i="2"/>
  <c r="I163" i="2" s="1"/>
  <c r="F163" i="2" s="1" a="1"/>
  <c r="F163" i="2" s="1"/>
  <c r="G164" i="2"/>
  <c r="I164" i="2" s="1"/>
  <c r="F164" i="2" s="1" a="1"/>
  <c r="F164" i="2" s="1"/>
  <c r="G165" i="2"/>
  <c r="I165" i="2" s="1"/>
  <c r="F165" i="2" s="1" a="1"/>
  <c r="F165" i="2" s="1"/>
  <c r="G166" i="2"/>
  <c r="G167" i="2"/>
  <c r="I167" i="2" s="1"/>
  <c r="F167" i="2" s="1" a="1"/>
  <c r="F167" i="2" s="1"/>
  <c r="G168" i="2"/>
  <c r="I168" i="2" s="1"/>
  <c r="F168" i="2" s="1" a="1"/>
  <c r="F168" i="2" s="1"/>
  <c r="G169" i="2"/>
  <c r="I169" i="2" s="1"/>
  <c r="F169" i="2" s="1" a="1"/>
  <c r="F169" i="2" s="1"/>
  <c r="G170" i="2"/>
  <c r="I170" i="2" s="1"/>
  <c r="F170" i="2" s="1" a="1"/>
  <c r="F170" i="2" s="1"/>
  <c r="G171" i="2"/>
  <c r="I171" i="2" s="1"/>
  <c r="F171" i="2" s="1" a="1"/>
  <c r="F171" i="2" s="1"/>
  <c r="G172" i="2"/>
  <c r="I172" i="2" s="1"/>
  <c r="F172" i="2" s="1" a="1"/>
  <c r="F172" i="2" s="1"/>
  <c r="G173" i="2"/>
  <c r="I173" i="2" s="1"/>
  <c r="F173" i="2" s="1" a="1"/>
  <c r="F173" i="2" s="1"/>
  <c r="G174" i="2"/>
  <c r="I174" i="2" s="1"/>
  <c r="F174" i="2" s="1" a="1"/>
  <c r="F174" i="2" s="1"/>
  <c r="G175" i="2"/>
  <c r="I175" i="2" s="1"/>
  <c r="F175" i="2" s="1" a="1"/>
  <c r="F175" i="2" s="1"/>
  <c r="G176" i="2"/>
  <c r="I176" i="2" s="1"/>
  <c r="F176" i="2" s="1" a="1"/>
  <c r="F176" i="2" s="1"/>
  <c r="G177" i="2"/>
  <c r="I177" i="2" s="1"/>
  <c r="F177" i="2" s="1" a="1"/>
  <c r="F177" i="2" s="1"/>
  <c r="G178" i="2"/>
  <c r="G179" i="2"/>
  <c r="G180" i="2"/>
  <c r="I180" i="2" s="1"/>
  <c r="F180" i="2" s="1" a="1"/>
  <c r="F180" i="2" s="1"/>
  <c r="G181" i="2"/>
  <c r="I181" i="2" s="1"/>
  <c r="F181" i="2" s="1" a="1"/>
  <c r="F181" i="2" s="1"/>
  <c r="G182" i="2"/>
  <c r="I182" i="2" s="1"/>
  <c r="F182" i="2" s="1" a="1"/>
  <c r="F182" i="2" s="1"/>
  <c r="G183" i="2"/>
  <c r="I183" i="2" s="1"/>
  <c r="F183" i="2" s="1" a="1"/>
  <c r="F183" i="2" s="1"/>
  <c r="G184" i="2"/>
  <c r="I184" i="2" s="1"/>
  <c r="F184" i="2" s="1" a="1"/>
  <c r="F184" i="2" s="1"/>
  <c r="G185" i="2"/>
  <c r="I185" i="2" s="1"/>
  <c r="F185" i="2" s="1" a="1"/>
  <c r="F185" i="2" s="1"/>
  <c r="G186" i="2"/>
  <c r="I186" i="2" s="1"/>
  <c r="F186" i="2" s="1" a="1"/>
  <c r="F186" i="2" s="1"/>
  <c r="G187" i="2"/>
  <c r="I187" i="2" s="1"/>
  <c r="F187" i="2" s="1" a="1"/>
  <c r="F187" i="2" s="1"/>
  <c r="G188" i="2"/>
  <c r="I188" i="2" s="1"/>
  <c r="F188" i="2" s="1" a="1"/>
  <c r="F188" i="2" s="1"/>
  <c r="G189" i="2"/>
  <c r="G190" i="2"/>
  <c r="G191" i="2"/>
  <c r="I191" i="2" s="1"/>
  <c r="F191" i="2" s="1" a="1"/>
  <c r="F191" i="2" s="1"/>
  <c r="G192" i="2"/>
  <c r="I192" i="2" s="1"/>
  <c r="F192" i="2" s="1" a="1"/>
  <c r="F192" i="2" s="1"/>
  <c r="G193" i="2"/>
  <c r="I193" i="2" s="1"/>
  <c r="F193" i="2" s="1" a="1"/>
  <c r="F193" i="2" s="1"/>
  <c r="G194" i="2"/>
  <c r="I194" i="2" s="1"/>
  <c r="F194" i="2" s="1" a="1"/>
  <c r="F194" i="2" s="1"/>
  <c r="G195" i="2"/>
  <c r="I195" i="2" s="1"/>
  <c r="F195" i="2" s="1" a="1"/>
  <c r="F195" i="2" s="1"/>
  <c r="G196" i="2"/>
  <c r="I196" i="2" s="1"/>
  <c r="F196" i="2" s="1" a="1"/>
  <c r="F196" i="2" s="1"/>
  <c r="G197" i="2"/>
  <c r="I197" i="2" s="1"/>
  <c r="F197" i="2" s="1" a="1"/>
  <c r="F197" i="2" s="1"/>
  <c r="G198" i="2"/>
  <c r="I198" i="2" s="1"/>
  <c r="F198" i="2" s="1" a="1"/>
  <c r="F198" i="2" s="1"/>
  <c r="G199" i="2"/>
  <c r="I199" i="2" s="1"/>
  <c r="F199" i="2" s="1" a="1"/>
  <c r="F199" i="2" s="1"/>
  <c r="G200" i="2"/>
  <c r="I200" i="2" s="1"/>
  <c r="F200" i="2" s="1" a="1"/>
  <c r="F200" i="2" s="1"/>
  <c r="G201" i="2"/>
  <c r="I201" i="2" s="1"/>
  <c r="F201" i="2" s="1" a="1"/>
  <c r="F201" i="2" s="1"/>
  <c r="G202" i="2"/>
  <c r="I202" i="2" s="1"/>
  <c r="F202" i="2" s="1" a="1"/>
  <c r="F202" i="2" s="1"/>
  <c r="G203" i="2"/>
  <c r="I203" i="2" s="1"/>
  <c r="F203" i="2" s="1" a="1"/>
  <c r="F203" i="2" s="1"/>
  <c r="G204" i="2"/>
  <c r="I204" i="2" s="1"/>
  <c r="F204" i="2" s="1" a="1"/>
  <c r="F204" i="2" s="1"/>
  <c r="G205" i="2"/>
  <c r="I205" i="2" s="1"/>
  <c r="F205" i="2" s="1" a="1"/>
  <c r="F205" i="2" s="1"/>
  <c r="G206" i="2"/>
  <c r="I206" i="2" s="1"/>
  <c r="F206" i="2" s="1" a="1"/>
  <c r="F206" i="2" s="1"/>
  <c r="G207" i="2"/>
  <c r="G208" i="2"/>
  <c r="G209" i="2"/>
  <c r="G210" i="2"/>
  <c r="I210" i="2" s="1"/>
  <c r="F210" i="2" s="1" a="1"/>
  <c r="F210" i="2" s="1"/>
  <c r="G211" i="2"/>
  <c r="I211" i="2" s="1"/>
  <c r="F211" i="2" s="1" a="1"/>
  <c r="F211" i="2" s="1"/>
  <c r="G212" i="2"/>
  <c r="I212" i="2" s="1"/>
  <c r="F212" i="2" s="1" a="1"/>
  <c r="F212" i="2" s="1"/>
  <c r="G213" i="2"/>
  <c r="G214" i="2"/>
  <c r="G215" i="2"/>
  <c r="G216" i="2"/>
  <c r="G217" i="2"/>
  <c r="G218" i="2"/>
  <c r="G219" i="2"/>
  <c r="G220" i="2"/>
  <c r="G221" i="2"/>
  <c r="G222" i="2"/>
  <c r="G223" i="2"/>
  <c r="G224" i="2"/>
  <c r="G225" i="2"/>
  <c r="G226" i="2"/>
  <c r="G227" i="2"/>
  <c r="G228" i="2"/>
  <c r="G229" i="2"/>
  <c r="G230" i="2"/>
  <c r="G231" i="2"/>
  <c r="G232" i="2"/>
  <c r="G233" i="2"/>
  <c r="I233" i="2" s="1"/>
  <c r="F233" i="2" s="1" a="1"/>
  <c r="F233" i="2" s="1"/>
  <c r="G234" i="2"/>
  <c r="I234" i="2" s="1"/>
  <c r="F234" i="2" s="1" a="1"/>
  <c r="F234" i="2" s="1"/>
  <c r="G235" i="2"/>
  <c r="I235" i="2" s="1"/>
  <c r="F235" i="2" s="1" a="1"/>
  <c r="F235" i="2" s="1"/>
  <c r="G236" i="2"/>
  <c r="I236" i="2" s="1"/>
  <c r="F236" i="2" s="1" a="1"/>
  <c r="F236" i="2" s="1"/>
  <c r="G237" i="2"/>
  <c r="I237" i="2" s="1"/>
  <c r="F237" i="2" s="1" a="1"/>
  <c r="F237" i="2" s="1"/>
  <c r="G238" i="2"/>
  <c r="I238" i="2" s="1"/>
  <c r="F238" i="2" s="1" a="1"/>
  <c r="F238" i="2" s="1"/>
  <c r="G239" i="2"/>
  <c r="I239" i="2" s="1"/>
  <c r="F239" i="2" s="1" a="1"/>
  <c r="F239" i="2" s="1"/>
  <c r="G240" i="2"/>
  <c r="I240" i="2" s="1"/>
  <c r="F240" i="2" s="1" a="1"/>
  <c r="F240" i="2" s="1"/>
  <c r="G241" i="2"/>
  <c r="I241" i="2" s="1"/>
  <c r="F241" i="2" s="1" a="1"/>
  <c r="F241" i="2" s="1"/>
  <c r="G242" i="2"/>
  <c r="I242" i="2" s="1"/>
  <c r="F242" i="2" s="1" a="1"/>
  <c r="F242" i="2" s="1"/>
  <c r="G243" i="2"/>
  <c r="I243" i="2" s="1"/>
  <c r="F243" i="2" s="1" a="1"/>
  <c r="F243" i="2" s="1"/>
  <c r="G244" i="2"/>
  <c r="G245" i="2"/>
  <c r="G246" i="2"/>
  <c r="G247" i="2"/>
  <c r="G248" i="2"/>
  <c r="G249" i="2"/>
  <c r="G250" i="2"/>
  <c r="G251" i="2"/>
  <c r="G252" i="2"/>
  <c r="G253" i="2"/>
  <c r="I253" i="2" s="1"/>
  <c r="F253" i="2" s="1" a="1"/>
  <c r="F253" i="2" s="1"/>
  <c r="G254" i="2"/>
  <c r="I254" i="2" s="1"/>
  <c r="F254" i="2" s="1" a="1"/>
  <c r="F254" i="2" s="1"/>
  <c r="G255" i="2"/>
  <c r="I255" i="2" s="1"/>
  <c r="F255" i="2" s="1" a="1"/>
  <c r="F255" i="2" s="1"/>
  <c r="G256" i="2"/>
  <c r="I256" i="2" s="1"/>
  <c r="F256" i="2" s="1" a="1"/>
  <c r="F256" i="2" s="1"/>
  <c r="G257" i="2"/>
  <c r="I257" i="2" s="1"/>
  <c r="F257" i="2" s="1" a="1"/>
  <c r="F257" i="2" s="1"/>
  <c r="G258" i="2"/>
  <c r="I258" i="2" s="1"/>
  <c r="F258" i="2" s="1" a="1"/>
  <c r="F258" i="2" s="1"/>
  <c r="G259" i="2"/>
  <c r="I259" i="2" s="1"/>
  <c r="F259" i="2" s="1" a="1"/>
  <c r="F259" i="2" s="1"/>
  <c r="G260" i="2"/>
  <c r="I260" i="2" s="1"/>
  <c r="F260" i="2" s="1" a="1"/>
  <c r="F260" i="2" s="1"/>
  <c r="G261" i="2"/>
  <c r="I261" i="2" s="1"/>
  <c r="F261" i="2" s="1" a="1"/>
  <c r="F261" i="2" s="1"/>
  <c r="G262" i="2"/>
  <c r="I262" i="2" s="1"/>
  <c r="F262" i="2" s="1" a="1"/>
  <c r="F262" i="2" s="1"/>
  <c r="G263" i="2"/>
  <c r="I263" i="2" s="1"/>
  <c r="F263" i="2" s="1" a="1"/>
  <c r="F263" i="2" s="1"/>
  <c r="G264" i="2"/>
  <c r="G265" i="2"/>
  <c r="G266" i="2"/>
  <c r="G267" i="2"/>
  <c r="G268" i="2"/>
  <c r="G269" i="2"/>
  <c r="G270" i="2"/>
  <c r="I270" i="2" s="1"/>
  <c r="F270" i="2" s="1" a="1"/>
  <c r="F270" i="2" s="1"/>
  <c r="G271" i="2"/>
  <c r="I271" i="2" s="1"/>
  <c r="F271" i="2" s="1" a="1"/>
  <c r="F271" i="2" s="1"/>
  <c r="G272" i="2"/>
  <c r="I272" i="2" s="1"/>
  <c r="F272" i="2" s="1" a="1"/>
  <c r="F272" i="2" s="1"/>
  <c r="G273" i="2"/>
  <c r="I273" i="2" s="1"/>
  <c r="F273" i="2" s="1" a="1"/>
  <c r="F273" i="2" s="1"/>
  <c r="G274" i="2"/>
  <c r="I274" i="2" s="1"/>
  <c r="F274" i="2" s="1" a="1"/>
  <c r="F274" i="2" s="1"/>
  <c r="G275" i="2"/>
  <c r="I275" i="2" s="1"/>
  <c r="F275" i="2" s="1" a="1"/>
  <c r="F275" i="2" s="1"/>
  <c r="G276" i="2"/>
  <c r="I276" i="2" s="1"/>
  <c r="F276" i="2" s="1" a="1"/>
  <c r="F276" i="2" s="1"/>
  <c r="G277" i="2"/>
  <c r="I277" i="2" s="1"/>
  <c r="F277" i="2" s="1" a="1"/>
  <c r="F277" i="2" s="1"/>
  <c r="G278" i="2"/>
  <c r="I278" i="2" s="1"/>
  <c r="F278" i="2" s="1" a="1"/>
  <c r="F278" i="2" s="1"/>
  <c r="G279" i="2"/>
  <c r="I279" i="2" s="1"/>
  <c r="F279" i="2" s="1" a="1"/>
  <c r="F279" i="2" s="1"/>
  <c r="G280" i="2"/>
  <c r="I280" i="2" s="1"/>
  <c r="F280" i="2" s="1" a="1"/>
  <c r="F280" i="2" s="1"/>
  <c r="G281" i="2"/>
  <c r="G282" i="2"/>
  <c r="G283" i="2"/>
  <c r="G284" i="2"/>
  <c r="G285" i="2"/>
  <c r="G286" i="2"/>
  <c r="I286" i="2" s="1"/>
  <c r="F286" i="2" s="1" a="1"/>
  <c r="F286" i="2" s="1"/>
  <c r="G287" i="2"/>
  <c r="I287" i="2" s="1"/>
  <c r="F287" i="2" s="1" a="1"/>
  <c r="F287" i="2" s="1"/>
  <c r="G288" i="2"/>
  <c r="I288" i="2" s="1"/>
  <c r="F288" i="2" s="1" a="1"/>
  <c r="F288" i="2" s="1"/>
  <c r="G289" i="2"/>
  <c r="I289" i="2" s="1"/>
  <c r="F289" i="2" s="1" a="1"/>
  <c r="F289" i="2" s="1"/>
  <c r="G290" i="2"/>
  <c r="I290" i="2" s="1"/>
  <c r="F290" i="2" s="1" a="1"/>
  <c r="F290" i="2" s="1"/>
  <c r="G291" i="2"/>
  <c r="I291" i="2" s="1"/>
  <c r="F291" i="2" s="1" a="1"/>
  <c r="F291" i="2" s="1"/>
  <c r="G292" i="2"/>
  <c r="I292" i="2" s="1"/>
  <c r="F292" i="2" s="1" a="1"/>
  <c r="F292" i="2" s="1"/>
  <c r="G293" i="2"/>
  <c r="I293" i="2" s="1"/>
  <c r="F293" i="2" s="1" a="1"/>
  <c r="F293" i="2" s="1"/>
  <c r="G294" i="2"/>
  <c r="I294" i="2" s="1"/>
  <c r="F294" i="2" s="1" a="1"/>
  <c r="F294" i="2" s="1"/>
  <c r="G295" i="2"/>
  <c r="I295" i="2" s="1"/>
  <c r="F295" i="2" s="1" a="1"/>
  <c r="F295" i="2" s="1"/>
  <c r="G296" i="2"/>
  <c r="G297" i="2"/>
  <c r="G298" i="2"/>
  <c r="G299" i="2"/>
  <c r="G300" i="2"/>
  <c r="I300" i="2" s="1"/>
  <c r="F300" i="2" s="1" a="1"/>
  <c r="F300" i="2" s="1"/>
  <c r="G301" i="2"/>
  <c r="I301" i="2" s="1"/>
  <c r="F301" i="2" s="1" a="1"/>
  <c r="F301" i="2" s="1"/>
  <c r="G302" i="2"/>
  <c r="I302" i="2" s="1"/>
  <c r="F302" i="2" s="1" a="1"/>
  <c r="F302" i="2" s="1"/>
  <c r="G303" i="2"/>
  <c r="I303" i="2" s="1"/>
  <c r="F303" i="2" s="1" a="1"/>
  <c r="F303" i="2" s="1"/>
  <c r="G304" i="2"/>
  <c r="I304" i="2" s="1"/>
  <c r="F304" i="2" s="1" a="1"/>
  <c r="F304" i="2" s="1"/>
  <c r="G305" i="2"/>
  <c r="I305" i="2" s="1"/>
  <c r="F305" i="2" s="1" a="1"/>
  <c r="F305" i="2" s="1"/>
  <c r="G306" i="2"/>
  <c r="I306" i="2" s="1"/>
  <c r="F306" i="2" s="1" a="1"/>
  <c r="F306" i="2" s="1"/>
  <c r="G307" i="2"/>
  <c r="I307" i="2" s="1"/>
  <c r="F307" i="2" s="1" a="1"/>
  <c r="F307" i="2" s="1"/>
  <c r="G308" i="2"/>
  <c r="I308" i="2" s="1"/>
  <c r="F308" i="2" s="1" a="1"/>
  <c r="F308" i="2" s="1"/>
  <c r="G309" i="2"/>
  <c r="I309" i="2" s="1"/>
  <c r="F309" i="2" s="1" a="1"/>
  <c r="F309" i="2" s="1"/>
  <c r="G310" i="2"/>
  <c r="I310" i="2" s="1"/>
  <c r="F310" i="2" s="1" a="1"/>
  <c r="F310" i="2" s="1"/>
  <c r="G311" i="2"/>
  <c r="I311" i="2" s="1"/>
  <c r="F311" i="2" s="1" a="1"/>
  <c r="F311" i="2" s="1"/>
  <c r="G312" i="2"/>
  <c r="I312" i="2" s="1"/>
  <c r="F312" i="2" s="1" a="1"/>
  <c r="F312" i="2" s="1"/>
  <c r="G313" i="2"/>
  <c r="I313" i="2" s="1"/>
  <c r="F313" i="2" s="1" a="1"/>
  <c r="F313" i="2" s="1"/>
  <c r="G314" i="2"/>
  <c r="I314" i="2" s="1"/>
  <c r="F314" i="2" s="1" a="1"/>
  <c r="F314" i="2" s="1"/>
  <c r="G315" i="2"/>
  <c r="G316" i="2"/>
  <c r="G317" i="2"/>
  <c r="G318" i="2"/>
  <c r="G319" i="2"/>
  <c r="G320" i="2"/>
  <c r="G321" i="2"/>
  <c r="G322" i="2"/>
  <c r="G323" i="2"/>
  <c r="G324" i="2"/>
  <c r="G325" i="2"/>
  <c r="G326" i="2"/>
  <c r="G327" i="2"/>
  <c r="G328" i="2"/>
  <c r="G329" i="2"/>
  <c r="G330" i="2"/>
  <c r="G331" i="2"/>
  <c r="G332" i="2"/>
  <c r="G333" i="2"/>
  <c r="G334" i="2"/>
  <c r="G335" i="2"/>
  <c r="G336" i="2"/>
  <c r="G337" i="2"/>
  <c r="G338" i="2"/>
  <c r="G339" i="2"/>
  <c r="I339" i="2" s="1"/>
  <c r="F339" i="2" s="1" a="1"/>
  <c r="F339" i="2" s="1"/>
  <c r="G340" i="2"/>
  <c r="I340" i="2" s="1"/>
  <c r="F340" i="2" s="1" a="1"/>
  <c r="F340" i="2" s="1"/>
  <c r="G341" i="2"/>
  <c r="I341" i="2" s="1"/>
  <c r="F341" i="2" s="1" a="1"/>
  <c r="F341" i="2" s="1"/>
  <c r="G342" i="2"/>
  <c r="I342" i="2" s="1"/>
  <c r="F342" i="2" s="1" a="1"/>
  <c r="F342" i="2" s="1"/>
  <c r="G343" i="2"/>
  <c r="I343" i="2" s="1"/>
  <c r="F343" i="2" s="1" a="1"/>
  <c r="F343" i="2" s="1"/>
  <c r="G344" i="2"/>
  <c r="I344" i="2" s="1"/>
  <c r="F344" i="2" s="1" a="1"/>
  <c r="F344" i="2" s="1"/>
  <c r="G345" i="2"/>
  <c r="I345" i="2" s="1"/>
  <c r="F345" i="2" s="1" a="1"/>
  <c r="F345" i="2" s="1"/>
  <c r="G346" i="2"/>
  <c r="I346" i="2" s="1"/>
  <c r="F346" i="2" s="1" a="1"/>
  <c r="F346" i="2" s="1"/>
  <c r="G347" i="2"/>
  <c r="I347" i="2" s="1"/>
  <c r="F347" i="2" s="1" a="1"/>
  <c r="F347" i="2" s="1"/>
  <c r="G348" i="2"/>
  <c r="I348" i="2" s="1"/>
  <c r="F348" i="2" s="1" a="1"/>
  <c r="F348" i="2" s="1"/>
  <c r="G349" i="2"/>
  <c r="I349" i="2" s="1"/>
  <c r="F349" i="2" s="1" a="1"/>
  <c r="F349" i="2" s="1"/>
  <c r="G350" i="2"/>
  <c r="G351" i="2"/>
  <c r="G352" i="2"/>
  <c r="G353" i="2"/>
  <c r="G354" i="2"/>
  <c r="G355" i="2"/>
  <c r="G356" i="2"/>
  <c r="G357" i="2"/>
  <c r="G358" i="2"/>
  <c r="G359" i="2"/>
  <c r="G360" i="2"/>
  <c r="G361" i="2"/>
  <c r="I361" i="2" s="1"/>
  <c r="F361" i="2" s="1" a="1"/>
  <c r="F361" i="2" s="1"/>
  <c r="G362" i="2"/>
  <c r="I362" i="2" s="1"/>
  <c r="F362" i="2" s="1" a="1"/>
  <c r="F362" i="2" s="1"/>
  <c r="G363" i="2"/>
  <c r="I363" i="2" s="1"/>
  <c r="F363" i="2" s="1" a="1"/>
  <c r="F363" i="2" s="1"/>
  <c r="G364" i="2"/>
  <c r="I364" i="2" s="1"/>
  <c r="F364" i="2" s="1" a="1"/>
  <c r="F364" i="2" s="1"/>
  <c r="G365" i="2"/>
  <c r="I365" i="2" s="1"/>
  <c r="F365" i="2" s="1" a="1"/>
  <c r="F365" i="2" s="1"/>
  <c r="G366" i="2"/>
  <c r="I366" i="2" s="1"/>
  <c r="F366" i="2" s="1" a="1"/>
  <c r="F366" i="2" s="1"/>
  <c r="G367" i="2"/>
  <c r="I367" i="2" s="1"/>
  <c r="F367" i="2" s="1" a="1"/>
  <c r="F367" i="2" s="1"/>
  <c r="G368" i="2"/>
  <c r="I368" i="2" s="1"/>
  <c r="F368" i="2" s="1" a="1"/>
  <c r="F368" i="2" s="1"/>
  <c r="G369" i="2"/>
  <c r="I369" i="2" s="1"/>
  <c r="F369" i="2" s="1" a="1"/>
  <c r="F369" i="2" s="1"/>
  <c r="G370" i="2"/>
  <c r="I370" i="2" s="1"/>
  <c r="F370" i="2" s="1" a="1"/>
  <c r="F370" i="2" s="1"/>
  <c r="G371" i="2"/>
  <c r="I371" i="2" s="1"/>
  <c r="F371" i="2" s="1" a="1"/>
  <c r="F371" i="2" s="1"/>
  <c r="G372" i="2"/>
  <c r="G373" i="2"/>
  <c r="G374" i="2"/>
  <c r="G375" i="2"/>
  <c r="G376" i="2"/>
  <c r="G377" i="2"/>
  <c r="G378" i="2"/>
  <c r="G379" i="2"/>
  <c r="G380" i="2"/>
  <c r="G381" i="2"/>
  <c r="I381" i="2" s="1"/>
  <c r="F381" i="2" s="1" a="1"/>
  <c r="F381" i="2" s="1"/>
  <c r="G382" i="2"/>
  <c r="I382" i="2" s="1"/>
  <c r="F382" i="2" s="1" a="1"/>
  <c r="F382" i="2" s="1"/>
  <c r="G383" i="2"/>
  <c r="G384" i="2"/>
  <c r="G385" i="2"/>
  <c r="G386" i="2"/>
  <c r="G387" i="2"/>
  <c r="I387" i="2" s="1"/>
  <c r="F387" i="2" s="1" a="1"/>
  <c r="F387" i="2" s="1"/>
  <c r="G388" i="2"/>
  <c r="I388" i="2" s="1"/>
  <c r="F388" i="2" s="1" a="1"/>
  <c r="F388" i="2" s="1"/>
  <c r="G389" i="2"/>
  <c r="G390" i="2"/>
  <c r="G391" i="2"/>
  <c r="G392" i="2"/>
  <c r="I392" i="2" s="1"/>
  <c r="F392" i="2" s="1" a="1"/>
  <c r="F392" i="2" s="1"/>
  <c r="G393" i="2"/>
  <c r="I393" i="2" s="1"/>
  <c r="F393" i="2" s="1" a="1"/>
  <c r="F393" i="2" s="1"/>
  <c r="G394" i="2"/>
  <c r="I394" i="2" s="1"/>
  <c r="F394" i="2" s="1" a="1"/>
  <c r="F394" i="2" s="1"/>
  <c r="G395" i="2"/>
  <c r="I395" i="2" s="1"/>
  <c r="F395" i="2" s="1" a="1"/>
  <c r="F395" i="2" s="1"/>
  <c r="G396" i="2"/>
  <c r="I396" i="2" s="1"/>
  <c r="F396" i="2" s="1" a="1"/>
  <c r="F396" i="2" s="1"/>
  <c r="G397" i="2"/>
  <c r="I397" i="2" s="1"/>
  <c r="F397" i="2" s="1" a="1"/>
  <c r="F397" i="2" s="1"/>
  <c r="G398" i="2"/>
  <c r="I398" i="2" s="1"/>
  <c r="F398" i="2" s="1" a="1"/>
  <c r="F398" i="2" s="1"/>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I443" i="2" s="1"/>
  <c r="F443" i="2" s="1" a="1"/>
  <c r="F443" i="2" s="1"/>
  <c r="G444" i="2"/>
  <c r="I444" i="2" s="1"/>
  <c r="F444" i="2" s="1" a="1"/>
  <c r="F444" i="2" s="1"/>
  <c r="G445" i="2"/>
  <c r="I445" i="2" s="1"/>
  <c r="F445" i="2" s="1" a="1"/>
  <c r="F445" i="2" s="1"/>
  <c r="G446" i="2"/>
  <c r="I446" i="2" s="1"/>
  <c r="F446" i="2" s="1" a="1"/>
  <c r="F446" i="2" s="1"/>
  <c r="G447" i="2"/>
  <c r="I447" i="2" s="1"/>
  <c r="F447" i="2" s="1" a="1"/>
  <c r="F447" i="2" s="1"/>
  <c r="G448" i="2"/>
  <c r="I448" i="2" s="1"/>
  <c r="F448" i="2" s="1" a="1"/>
  <c r="F448" i="2" s="1"/>
  <c r="G449" i="2"/>
  <c r="I449" i="2" s="1"/>
  <c r="F449" i="2" s="1" a="1"/>
  <c r="F449" i="2" s="1"/>
  <c r="G450" i="2"/>
  <c r="I450" i="2" s="1"/>
  <c r="F450" i="2" s="1" a="1"/>
  <c r="F450" i="2" s="1"/>
  <c r="G451" i="2"/>
  <c r="G452" i="2"/>
  <c r="G453" i="2"/>
  <c r="G454" i="2"/>
  <c r="G455" i="2"/>
  <c r="G456" i="2"/>
  <c r="G457" i="2"/>
  <c r="G458" i="2"/>
  <c r="G459" i="2"/>
  <c r="I459" i="2" s="1"/>
  <c r="F459" i="2" s="1" a="1"/>
  <c r="F459" i="2" s="1"/>
  <c r="G460" i="2"/>
  <c r="I460" i="2" s="1"/>
  <c r="F460" i="2" s="1" a="1"/>
  <c r="F460" i="2" s="1"/>
  <c r="G461" i="2"/>
  <c r="I461" i="2" s="1"/>
  <c r="F461" i="2" s="1" a="1"/>
  <c r="F461" i="2" s="1"/>
  <c r="G462" i="2"/>
  <c r="I462" i="2" s="1"/>
  <c r="F462" i="2" s="1" a="1"/>
  <c r="F462" i="2" s="1"/>
  <c r="G463" i="2"/>
  <c r="I463" i="2" s="1"/>
  <c r="F463" i="2" s="1" a="1"/>
  <c r="F463" i="2" s="1"/>
  <c r="G464" i="2"/>
  <c r="I464" i="2" s="1"/>
  <c r="F464" i="2" s="1" a="1"/>
  <c r="F464" i="2" s="1"/>
  <c r="G465" i="2"/>
  <c r="I465" i="2" s="1"/>
  <c r="F465" i="2" s="1" a="1"/>
  <c r="F465" i="2" s="1"/>
  <c r="G466" i="2"/>
  <c r="I466" i="2" s="1"/>
  <c r="F466" i="2" s="1" a="1"/>
  <c r="F466" i="2" s="1"/>
  <c r="G467" i="2"/>
  <c r="I467" i="2" s="1"/>
  <c r="F467" i="2" s="1" a="1"/>
  <c r="F467" i="2" s="1"/>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I534" i="2" s="1"/>
  <c r="F534" i="2" s="1" a="1"/>
  <c r="F534" i="2" s="1"/>
  <c r="G535" i="2"/>
  <c r="I535" i="2" s="1"/>
  <c r="F535" i="2" s="1" a="1"/>
  <c r="F535" i="2" s="1"/>
  <c r="G536" i="2"/>
  <c r="I536" i="2" s="1"/>
  <c r="F536" i="2" s="1" a="1"/>
  <c r="F536" i="2" s="1"/>
  <c r="G537" i="2"/>
  <c r="G538" i="2"/>
  <c r="G539" i="2"/>
  <c r="G540" i="2"/>
  <c r="G541" i="2"/>
  <c r="G542" i="2"/>
  <c r="G543" i="2"/>
  <c r="G544" i="2"/>
  <c r="G545" i="2"/>
  <c r="I545" i="2" s="1"/>
  <c r="F545" i="2" s="1" a="1"/>
  <c r="F545" i="2" s="1"/>
  <c r="G546" i="2"/>
  <c r="I546" i="2" s="1"/>
  <c r="F546" i="2" s="1" a="1"/>
  <c r="F546" i="2" s="1"/>
  <c r="G547" i="2"/>
  <c r="I547" i="2" s="1"/>
  <c r="F547" i="2" s="1" a="1"/>
  <c r="F547" i="2" s="1"/>
  <c r="G548" i="2"/>
  <c r="I548" i="2" s="1"/>
  <c r="F548" i="2" s="1" a="1"/>
  <c r="F548" i="2" s="1"/>
  <c r="G549" i="2"/>
  <c r="I549" i="2" s="1"/>
  <c r="F549" i="2" s="1" a="1"/>
  <c r="F549" i="2" s="1"/>
  <c r="G550" i="2"/>
  <c r="I550" i="2" s="1"/>
  <c r="F550" i="2" s="1" a="1"/>
  <c r="F550" i="2" s="1"/>
  <c r="G551" i="2"/>
  <c r="I551" i="2" s="1"/>
  <c r="F551" i="2" s="1" a="1"/>
  <c r="F551" i="2" s="1"/>
  <c r="G552" i="2"/>
  <c r="I552" i="2" s="1"/>
  <c r="F552" i="2" s="1" a="1"/>
  <c r="F552" i="2" s="1"/>
  <c r="G553" i="2"/>
  <c r="I553" i="2" s="1"/>
  <c r="F553" i="2" s="1" a="1"/>
  <c r="F553" i="2" s="1"/>
  <c r="G554" i="2"/>
  <c r="I554" i="2" s="1"/>
  <c r="F554" i="2" s="1" a="1"/>
  <c r="F554" i="2" s="1"/>
  <c r="G555" i="2"/>
  <c r="G556" i="2"/>
  <c r="G557" i="2"/>
  <c r="G558" i="2"/>
  <c r="G559" i="2"/>
  <c r="G560" i="2"/>
  <c r="G561" i="2"/>
  <c r="G562" i="2"/>
  <c r="G563" i="2"/>
  <c r="G564" i="2"/>
  <c r="G565" i="2"/>
  <c r="I565" i="2" s="1"/>
  <c r="F565" i="2" s="1" a="1"/>
  <c r="F565" i="2" s="1"/>
  <c r="G566" i="2"/>
  <c r="G567" i="2"/>
  <c r="G568" i="2"/>
  <c r="G569" i="2"/>
  <c r="G570" i="2"/>
  <c r="G571" i="2"/>
  <c r="G572" i="2"/>
  <c r="G573" i="2"/>
  <c r="G574" i="2"/>
  <c r="G575" i="2"/>
  <c r="G576" i="2"/>
  <c r="G577" i="2"/>
  <c r="G578" i="2"/>
  <c r="G579" i="2"/>
  <c r="I579" i="2" s="1"/>
  <c r="F579" i="2" s="1" a="1"/>
  <c r="F579" i="2" s="1"/>
  <c r="G580" i="2"/>
  <c r="I580" i="2" s="1"/>
  <c r="F580" i="2" s="1" a="1"/>
  <c r="F580" i="2" s="1"/>
  <c r="G581" i="2"/>
  <c r="I581" i="2" s="1"/>
  <c r="F581" i="2" s="1" a="1"/>
  <c r="F581" i="2" s="1"/>
  <c r="G582" i="2"/>
  <c r="G583" i="2"/>
  <c r="G584" i="2"/>
  <c r="G585" i="2"/>
  <c r="G586" i="2"/>
  <c r="G587" i="2"/>
  <c r="G588" i="2"/>
  <c r="G589" i="2"/>
  <c r="G590" i="2"/>
  <c r="G591" i="2"/>
  <c r="I591" i="2" s="1"/>
  <c r="F591" i="2" s="1" a="1"/>
  <c r="F591" i="2" s="1"/>
  <c r="G592" i="2"/>
  <c r="I592" i="2" s="1"/>
  <c r="F592" i="2" s="1" a="1"/>
  <c r="F592" i="2" s="1"/>
  <c r="G593" i="2"/>
  <c r="G594" i="2"/>
  <c r="G595" i="2"/>
  <c r="G596" i="2"/>
  <c r="G597" i="2"/>
  <c r="G598" i="2"/>
  <c r="G599" i="2"/>
  <c r="G600" i="2"/>
  <c r="G601" i="2"/>
  <c r="I601" i="2" s="1"/>
  <c r="F601" i="2" s="1" a="1"/>
  <c r="F601" i="2" s="1"/>
  <c r="G602" i="2"/>
  <c r="I602" i="2" s="1"/>
  <c r="F602" i="2" s="1" a="1"/>
  <c r="F602" i="2" s="1"/>
  <c r="G603" i="2"/>
  <c r="I603" i="2" s="1"/>
  <c r="F603" i="2" s="1" a="1"/>
  <c r="F603" i="2" s="1"/>
  <c r="G604" i="2"/>
  <c r="I604" i="2" s="1"/>
  <c r="F604" i="2" s="1" a="1"/>
  <c r="F604" i="2" s="1"/>
  <c r="G605" i="2"/>
  <c r="I605" i="2" s="1"/>
  <c r="F605" i="2" s="1" a="1"/>
  <c r="F605" i="2" s="1"/>
  <c r="G606" i="2"/>
  <c r="G607" i="2"/>
  <c r="G608" i="2"/>
  <c r="G609" i="2"/>
  <c r="G610" i="2"/>
  <c r="G611" i="2"/>
  <c r="G612" i="2"/>
  <c r="G613" i="2"/>
  <c r="G614" i="2"/>
  <c r="G615" i="2"/>
  <c r="G616" i="2"/>
  <c r="I616" i="2" s="1"/>
  <c r="F616" i="2" s="1" a="1"/>
  <c r="F616" i="2" s="1"/>
  <c r="G617" i="2"/>
  <c r="I617" i="2" s="1"/>
  <c r="F617" i="2" s="1" a="1"/>
  <c r="F617" i="2" s="1"/>
  <c r="G618" i="2"/>
  <c r="I618" i="2" s="1"/>
  <c r="F618" i="2" s="1" a="1"/>
  <c r="F618" i="2" s="1"/>
  <c r="G619" i="2"/>
  <c r="I619" i="2" s="1"/>
  <c r="F619" i="2" s="1" a="1"/>
  <c r="F619" i="2" s="1"/>
  <c r="G620" i="2"/>
  <c r="I620" i="2" s="1"/>
  <c r="F620" i="2" s="1" a="1"/>
  <c r="F620" i="2" s="1"/>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I649" i="2" s="1"/>
  <c r="F649" i="2" s="1" a="1"/>
  <c r="F649" i="2" s="1"/>
  <c r="G650" i="2"/>
  <c r="I650" i="2" s="1"/>
  <c r="F650" i="2" s="1" a="1"/>
  <c r="F650" i="2" s="1"/>
  <c r="G651" i="2"/>
  <c r="I651" i="2" s="1"/>
  <c r="F651" i="2" s="1" a="1"/>
  <c r="F651" i="2" s="1"/>
  <c r="G652" i="2"/>
  <c r="I652" i="2" s="1"/>
  <c r="F652" i="2" s="1" a="1"/>
  <c r="F652" i="2" s="1"/>
  <c r="G653" i="2"/>
  <c r="G654" i="2"/>
  <c r="G655" i="2"/>
  <c r="G656" i="2"/>
  <c r="G657" i="2"/>
  <c r="G658" i="2"/>
  <c r="G659" i="2"/>
  <c r="G660" i="2"/>
  <c r="G661" i="2"/>
  <c r="G662" i="2"/>
  <c r="G663" i="2"/>
  <c r="G664" i="2"/>
  <c r="G665" i="2"/>
  <c r="G666" i="2"/>
  <c r="G667" i="2"/>
  <c r="G668" i="2"/>
  <c r="G669" i="2"/>
  <c r="G670" i="2"/>
  <c r="G671" i="2"/>
  <c r="G672" i="2"/>
  <c r="G673" i="2"/>
  <c r="I673" i="2" s="1"/>
  <c r="F673" i="2" s="1" a="1"/>
  <c r="F673" i="2" s="1"/>
  <c r="G674" i="2"/>
  <c r="I674" i="2" s="1"/>
  <c r="F674" i="2" s="1" a="1"/>
  <c r="F674" i="2" s="1"/>
  <c r="G675" i="2"/>
  <c r="I675" i="2" s="1"/>
  <c r="F675" i="2" s="1" a="1"/>
  <c r="F675" i="2" s="1"/>
  <c r="G676" i="2"/>
  <c r="I676" i="2" s="1"/>
  <c r="F676" i="2" s="1" a="1"/>
  <c r="F676" i="2" s="1"/>
  <c r="G677" i="2"/>
  <c r="I677" i="2" s="1"/>
  <c r="F677" i="2" s="1" a="1"/>
  <c r="F677" i="2" s="1"/>
  <c r="G6" i="2"/>
  <c r="E337" i="8" l="1"/>
  <c r="E263" i="8"/>
  <c r="E261" i="8"/>
  <c r="E259" i="8"/>
  <c r="E257" i="8"/>
  <c r="E255" i="8"/>
  <c r="E253" i="8"/>
  <c r="E251" i="8"/>
  <c r="E249" i="8"/>
  <c r="E247" i="8"/>
  <c r="E239" i="8"/>
  <c r="E237" i="8"/>
  <c r="E235" i="8"/>
  <c r="E233" i="8"/>
  <c r="E231" i="8"/>
  <c r="E229" i="8"/>
  <c r="E227" i="8"/>
  <c r="E225" i="8"/>
  <c r="E223" i="8"/>
  <c r="E221" i="8"/>
  <c r="E219" i="8"/>
  <c r="E217" i="8"/>
  <c r="E215" i="8"/>
  <c r="E213" i="8"/>
  <c r="E211" i="8"/>
  <c r="E209" i="8"/>
  <c r="E207" i="8"/>
  <c r="E197" i="8"/>
  <c r="E195" i="8"/>
  <c r="E193" i="8"/>
  <c r="E191" i="8"/>
  <c r="E189" i="8"/>
  <c r="E187" i="8"/>
  <c r="E185" i="8"/>
  <c r="E183" i="8"/>
  <c r="E181" i="8"/>
  <c r="E179" i="8"/>
  <c r="E177" i="8"/>
  <c r="E175" i="8"/>
  <c r="E173" i="8"/>
  <c r="E171" i="8"/>
  <c r="E169" i="8"/>
  <c r="E167" i="8"/>
  <c r="E165" i="8"/>
  <c r="E163" i="8"/>
  <c r="E159" i="8"/>
  <c r="E157" i="8"/>
  <c r="E155" i="8"/>
  <c r="E153" i="8"/>
  <c r="E151" i="8"/>
  <c r="E149" i="8"/>
  <c r="E147" i="8"/>
  <c r="E145" i="8"/>
  <c r="E143" i="8"/>
  <c r="E141" i="8"/>
  <c r="E139" i="8"/>
  <c r="E133" i="8"/>
  <c r="E131" i="8"/>
  <c r="E129" i="8"/>
  <c r="E127" i="8"/>
  <c r="E125" i="8"/>
  <c r="E123" i="8"/>
  <c r="E121" i="8"/>
  <c r="E119" i="8"/>
  <c r="E103" i="8"/>
  <c r="E101" i="8"/>
  <c r="E99" i="8"/>
  <c r="E97" i="8"/>
  <c r="E95" i="8"/>
  <c r="E93" i="8"/>
  <c r="E91" i="8"/>
  <c r="E89" i="8"/>
  <c r="E79" i="8"/>
  <c r="H36" i="14"/>
  <c r="E258" i="8"/>
  <c r="E238" i="8"/>
  <c r="E226" i="8"/>
  <c r="E214" i="8"/>
  <c r="E1099" i="8"/>
  <c r="E1097" i="8"/>
  <c r="E1095" i="8"/>
  <c r="E1093" i="8"/>
  <c r="E1091" i="8"/>
  <c r="E1075" i="8"/>
  <c r="E1073" i="8"/>
  <c r="E1071" i="8"/>
  <c r="E1067" i="8"/>
  <c r="E1065" i="8"/>
  <c r="H30" i="14"/>
  <c r="H109" i="14"/>
  <c r="E338" i="8"/>
  <c r="E254" i="8"/>
  <c r="E232" i="8"/>
  <c r="E220" i="8"/>
  <c r="E212" i="8"/>
  <c r="G108" i="14"/>
  <c r="E108" i="14" s="1" a="1"/>
  <c r="E108" i="14" s="1"/>
  <c r="G122" i="14"/>
  <c r="E1052" i="8"/>
  <c r="E262" i="8"/>
  <c r="E250" i="8"/>
  <c r="E230" i="8"/>
  <c r="E218" i="8"/>
  <c r="H28" i="14"/>
  <c r="H108" i="14"/>
  <c r="H122" i="14"/>
  <c r="H95" i="14"/>
  <c r="H14" i="14"/>
  <c r="E256" i="8"/>
  <c r="E248" i="8"/>
  <c r="E234" i="8"/>
  <c r="E228" i="8"/>
  <c r="E222" i="8"/>
  <c r="H12" i="14"/>
  <c r="H29" i="14"/>
  <c r="G95" i="14"/>
  <c r="G109" i="14"/>
  <c r="H13" i="14"/>
  <c r="H31" i="14"/>
  <c r="E336" i="8"/>
  <c r="E260" i="8"/>
  <c r="E252" i="8"/>
  <c r="E240" i="8"/>
  <c r="E236" i="8"/>
  <c r="E224" i="8"/>
  <c r="E216" i="8"/>
  <c r="E210" i="8"/>
  <c r="E1051" i="8"/>
  <c r="G106" i="14"/>
  <c r="E1068" i="8"/>
  <c r="E174" i="8"/>
  <c r="E144" i="8"/>
  <c r="E98" i="8"/>
  <c r="H104" i="14"/>
  <c r="E176" i="8"/>
  <c r="E100" i="8"/>
  <c r="H32" i="14"/>
  <c r="E132" i="8"/>
  <c r="E1072" i="8"/>
  <c r="E146" i="8"/>
  <c r="E90" i="8"/>
  <c r="E1074" i="8"/>
  <c r="E178" i="8"/>
  <c r="E148" i="8"/>
  <c r="E102" i="8"/>
  <c r="E192" i="8"/>
  <c r="E88" i="8"/>
  <c r="E166" i="8"/>
  <c r="E92" i="8"/>
  <c r="E170" i="8"/>
  <c r="E1076" i="8"/>
  <c r="E180" i="8"/>
  <c r="E150" i="8"/>
  <c r="E118" i="8"/>
  <c r="H106" i="14"/>
  <c r="E1092" i="8"/>
  <c r="E182" i="8"/>
  <c r="E152" i="8"/>
  <c r="E120" i="8"/>
  <c r="E1094" i="8"/>
  <c r="E184" i="8"/>
  <c r="E154" i="8"/>
  <c r="E122" i="8"/>
  <c r="H15" i="14"/>
  <c r="E186" i="8"/>
  <c r="E156" i="8"/>
  <c r="E124" i="8"/>
  <c r="H16" i="14"/>
  <c r="H43" i="14"/>
  <c r="E188" i="8"/>
  <c r="E158" i="8"/>
  <c r="E190" i="8"/>
  <c r="E162" i="8"/>
  <c r="E128" i="8"/>
  <c r="E78" i="8"/>
  <c r="E164" i="8"/>
  <c r="E130" i="8"/>
  <c r="E80" i="8"/>
  <c r="E194" i="8"/>
  <c r="E196" i="8"/>
  <c r="E168" i="8"/>
  <c r="E1064" i="8"/>
  <c r="E140" i="8"/>
  <c r="E94" i="8"/>
  <c r="E1066" i="8"/>
  <c r="E208" i="8"/>
  <c r="E172" i="8"/>
  <c r="E142" i="8"/>
  <c r="E96" i="8"/>
  <c r="G104" i="14"/>
  <c r="E104" i="14" s="1" a="1"/>
  <c r="E104" i="14" s="1"/>
  <c r="E1096" i="8"/>
  <c r="E160" i="8"/>
  <c r="E1098" i="8"/>
  <c r="E126" i="8"/>
  <c r="C1182" i="8"/>
  <c r="C1175" i="8"/>
  <c r="B1164" i="8"/>
  <c r="C1145" i="8"/>
  <c r="B948" i="8"/>
  <c r="B946" i="8"/>
  <c r="D916" i="8"/>
  <c r="B901" i="8"/>
  <c r="C898" i="8"/>
  <c r="D1184" i="8"/>
  <c r="B1175" i="8"/>
  <c r="B1101" i="8"/>
  <c r="C1007" i="8"/>
  <c r="D905" i="8"/>
  <c r="C903" i="8"/>
  <c r="B898" i="8"/>
  <c r="B886" i="8"/>
  <c r="D802" i="8"/>
  <c r="C1184" i="8"/>
  <c r="C1177" i="8"/>
  <c r="C1159" i="8"/>
  <c r="C1147" i="8"/>
  <c r="D1140" i="8"/>
  <c r="D1138" i="8"/>
  <c r="B1033" i="8"/>
  <c r="B1031" i="8"/>
  <c r="B1029" i="8"/>
  <c r="D924" i="8"/>
  <c r="C905" i="8"/>
  <c r="B830" i="8"/>
  <c r="B828" i="8"/>
  <c r="B826" i="8"/>
  <c r="B756" i="8"/>
  <c r="B754" i="8"/>
  <c r="D1142" i="8"/>
  <c r="C1140" i="8"/>
  <c r="C1138" i="8"/>
  <c r="C1009" i="8"/>
  <c r="B977" i="8"/>
  <c r="C924" i="8"/>
  <c r="C797" i="8"/>
  <c r="C1142" i="8"/>
  <c r="B1140" i="8"/>
  <c r="B1107" i="8"/>
  <c r="B1009" i="8"/>
  <c r="C979" i="8"/>
  <c r="D913" i="8"/>
  <c r="D799" i="8"/>
  <c r="D1181" i="8"/>
  <c r="B1142" i="8"/>
  <c r="B1127" i="8"/>
  <c r="B1118" i="8"/>
  <c r="B970" i="8"/>
  <c r="D915" i="8"/>
  <c r="C913" i="8"/>
  <c r="B895" i="8"/>
  <c r="C799" i="8"/>
  <c r="C1181" i="8"/>
  <c r="B1120" i="8"/>
  <c r="B1050" i="8"/>
  <c r="B936" i="8"/>
  <c r="C915" i="8"/>
  <c r="B913" i="8"/>
  <c r="B892" i="8"/>
  <c r="D801" i="8"/>
  <c r="D1183" i="8"/>
  <c r="C983" i="8"/>
  <c r="B949" i="8"/>
  <c r="B947" i="8"/>
  <c r="B945" i="8"/>
  <c r="D917" i="8"/>
  <c r="B915" i="8"/>
  <c r="C885" i="8"/>
  <c r="C806" i="8"/>
  <c r="C801" i="8"/>
  <c r="C1183" i="8"/>
  <c r="C1176" i="8"/>
  <c r="B1113" i="8"/>
  <c r="B1102" i="8"/>
  <c r="B1100" i="8"/>
  <c r="B999" i="8"/>
  <c r="B974" i="8"/>
  <c r="D923" i="8"/>
  <c r="C917" i="8"/>
  <c r="C887" i="8"/>
  <c r="B806" i="8"/>
  <c r="C757" i="8"/>
  <c r="C755" i="8"/>
  <c r="D1185" i="8"/>
  <c r="B1158" i="8"/>
  <c r="D1139" i="8"/>
  <c r="B1032" i="8"/>
  <c r="B1030" i="8"/>
  <c r="C985" i="8"/>
  <c r="C923" i="8"/>
  <c r="B917" i="8"/>
  <c r="B829" i="8"/>
  <c r="B827" i="8"/>
  <c r="B757" i="8"/>
  <c r="B755" i="8"/>
  <c r="C1185" i="8"/>
  <c r="C1178" i="8"/>
  <c r="D1141" i="8"/>
  <c r="C1139" i="8"/>
  <c r="C990" i="8"/>
  <c r="B967" i="8"/>
  <c r="D925" i="8"/>
  <c r="B923" i="8"/>
  <c r="D906" i="8"/>
  <c r="B889" i="8"/>
  <c r="D803" i="8"/>
  <c r="D1180" i="8"/>
  <c r="D1143" i="8"/>
  <c r="C1141" i="8"/>
  <c r="B1139" i="8"/>
  <c r="C1117" i="8"/>
  <c r="B1108" i="8"/>
  <c r="B1106" i="8"/>
  <c r="B1016" i="8"/>
  <c r="B990" i="8"/>
  <c r="C925" i="8"/>
  <c r="C1180" i="8"/>
  <c r="C1150" i="8"/>
  <c r="C1143" i="8"/>
  <c r="B1128" i="8"/>
  <c r="B1126" i="8"/>
  <c r="C980" i="8"/>
  <c r="D914" i="8"/>
  <c r="D901" i="8"/>
  <c r="D800" i="8"/>
  <c r="D1182" i="8"/>
  <c r="B1171" i="8"/>
  <c r="B1049" i="8"/>
  <c r="C982" i="8"/>
  <c r="C914" i="8"/>
  <c r="C901" i="8"/>
  <c r="C800" i="8"/>
  <c r="B787" i="8"/>
  <c r="G14" i="14"/>
  <c r="G28" i="14"/>
  <c r="G31" i="14"/>
  <c r="G32" i="14"/>
  <c r="D994" i="8"/>
  <c r="P994" i="8" s="1" a="1"/>
  <c r="D922" i="8"/>
  <c r="D910" i="8"/>
  <c r="D808" i="8"/>
  <c r="D712" i="8"/>
  <c r="D684" i="8"/>
  <c r="D1194" i="8"/>
  <c r="P1194" i="8" s="1" a="1"/>
  <c r="D1132" i="8"/>
  <c r="P1132" i="8" s="1" a="1"/>
  <c r="D1010" i="8"/>
  <c r="P1010" i="8" s="1" a="1"/>
  <c r="D992" i="8"/>
  <c r="P992" i="8" s="1" a="1"/>
  <c r="D918" i="8"/>
  <c r="P918" i="8" s="1" a="1"/>
  <c r="D912" i="8"/>
  <c r="P912" i="8" s="1" a="1"/>
  <c r="D894" i="8"/>
  <c r="D792" i="8"/>
  <c r="D784" i="8"/>
  <c r="P784" i="8" s="1" a="1"/>
  <c r="D708" i="8"/>
  <c r="D696" i="8"/>
  <c r="D682" i="8"/>
  <c r="D656" i="8"/>
  <c r="D534" i="8"/>
  <c r="B6" i="8"/>
  <c r="D1192" i="8"/>
  <c r="P1192" i="8" s="1" a="1"/>
  <c r="D1190" i="8"/>
  <c r="P1190" i="8" s="1" a="1"/>
  <c r="D1134" i="8"/>
  <c r="P1134" i="8" s="1" a="1"/>
  <c r="D1130" i="8"/>
  <c r="P1130" i="8" s="1" a="1"/>
  <c r="D1012" i="8"/>
  <c r="P1012" i="8" s="1" a="1"/>
  <c r="D920" i="8"/>
  <c r="D908" i="8"/>
  <c r="P908" i="8" s="1" a="1"/>
  <c r="D900" i="8"/>
  <c r="D794" i="8"/>
  <c r="D786" i="8"/>
  <c r="D782" i="8"/>
  <c r="P782" i="8" s="1" a="1"/>
  <c r="D710" i="8"/>
  <c r="D698" i="8"/>
  <c r="D654" i="8"/>
  <c r="D536" i="8"/>
  <c r="D532" i="8"/>
  <c r="D332" i="8"/>
  <c r="D330" i="8"/>
  <c r="D306" i="8"/>
  <c r="D304" i="8"/>
  <c r="G36" i="14"/>
  <c r="G43" i="14"/>
  <c r="G29" i="14"/>
  <c r="G15" i="14"/>
  <c r="C1132" i="8"/>
  <c r="B1130" i="8"/>
  <c r="B1124" i="8"/>
  <c r="B1122" i="8"/>
  <c r="B1116" i="8"/>
  <c r="B1114" i="8"/>
  <c r="B1112" i="8"/>
  <c r="B1110" i="8"/>
  <c r="B1104" i="8"/>
  <c r="B1052" i="8"/>
  <c r="B1044" i="8"/>
  <c r="J1044" i="8" s="1" a="1"/>
  <c r="B1042" i="8"/>
  <c r="B1040" i="8"/>
  <c r="B1038" i="8"/>
  <c r="B1036" i="8"/>
  <c r="B1034" i="8"/>
  <c r="B1028" i="8"/>
  <c r="B1026" i="8"/>
  <c r="J1026" i="8" s="1" a="1"/>
  <c r="B1024" i="8"/>
  <c r="J1024" i="8" s="1" a="1"/>
  <c r="B1022" i="8"/>
  <c r="J1022" i="8" s="1" a="1"/>
  <c r="B1020" i="8"/>
  <c r="B1018" i="8"/>
  <c r="B1014" i="8"/>
  <c r="D921" i="8"/>
  <c r="C919" i="8"/>
  <c r="C808" i="8"/>
  <c r="C802" i="8"/>
  <c r="B794" i="8"/>
  <c r="D711" i="8"/>
  <c r="C709" i="8"/>
  <c r="B705" i="8"/>
  <c r="B701" i="8"/>
  <c r="B699" i="8"/>
  <c r="C654" i="8"/>
  <c r="C628" i="8"/>
  <c r="C626" i="8"/>
  <c r="B536" i="8"/>
  <c r="D305" i="8"/>
  <c r="C303" i="8"/>
  <c r="C301" i="8"/>
  <c r="C1134" i="8"/>
  <c r="B1132" i="8"/>
  <c r="D991" i="8"/>
  <c r="P991" i="8" s="1" a="1"/>
  <c r="C921" i="8"/>
  <c r="B919" i="8"/>
  <c r="C894" i="8"/>
  <c r="O894" i="8" s="1" a="1"/>
  <c r="B808" i="8"/>
  <c r="B804" i="8"/>
  <c r="B802" i="8"/>
  <c r="B800" i="8"/>
  <c r="B798" i="8"/>
  <c r="J798" i="8" s="1" a="1"/>
  <c r="C711" i="8"/>
  <c r="B709" i="8"/>
  <c r="C656" i="8"/>
  <c r="B654" i="8"/>
  <c r="B648" i="8"/>
  <c r="B646" i="8"/>
  <c r="B644" i="8"/>
  <c r="B642" i="8"/>
  <c r="B640" i="8"/>
  <c r="B638" i="8"/>
  <c r="B636" i="8"/>
  <c r="B634" i="8"/>
  <c r="B632" i="8"/>
  <c r="B630" i="8"/>
  <c r="B628" i="8"/>
  <c r="B626" i="8"/>
  <c r="B624" i="8"/>
  <c r="B622" i="8"/>
  <c r="B620" i="8"/>
  <c r="B618" i="8"/>
  <c r="B616" i="8"/>
  <c r="B614" i="8"/>
  <c r="B612" i="8"/>
  <c r="B610" i="8"/>
  <c r="B608" i="8"/>
  <c r="B606" i="8"/>
  <c r="B604" i="8"/>
  <c r="B602" i="8"/>
  <c r="B600" i="8"/>
  <c r="B598" i="8"/>
  <c r="B596" i="8"/>
  <c r="B594" i="8"/>
  <c r="B592" i="8"/>
  <c r="B590" i="8"/>
  <c r="B588" i="8"/>
  <c r="B586" i="8"/>
  <c r="B584" i="8"/>
  <c r="B582" i="8"/>
  <c r="B580" i="8"/>
  <c r="B578" i="8"/>
  <c r="B576" i="8"/>
  <c r="B574" i="8"/>
  <c r="B572" i="8"/>
  <c r="B570" i="8"/>
  <c r="B568" i="8"/>
  <c r="B566" i="8"/>
  <c r="B564" i="8"/>
  <c r="B562" i="8"/>
  <c r="B560" i="8"/>
  <c r="B558" i="8"/>
  <c r="B556" i="8"/>
  <c r="B554" i="8"/>
  <c r="B552" i="8"/>
  <c r="B550" i="8"/>
  <c r="B548" i="8"/>
  <c r="B546" i="8"/>
  <c r="B544" i="8"/>
  <c r="B542" i="8"/>
  <c r="B540" i="8"/>
  <c r="B538" i="8"/>
  <c r="C305" i="8"/>
  <c r="B303" i="8"/>
  <c r="B301" i="8"/>
  <c r="B297" i="8"/>
  <c r="B295" i="8"/>
  <c r="B293" i="8"/>
  <c r="B291" i="8"/>
  <c r="B289" i="8"/>
  <c r="B287" i="8"/>
  <c r="B285" i="8"/>
  <c r="B281" i="8"/>
  <c r="B279" i="8"/>
  <c r="B277" i="8"/>
  <c r="B275" i="8"/>
  <c r="B273" i="8"/>
  <c r="B271" i="8"/>
  <c r="B269" i="8"/>
  <c r="B267" i="8"/>
  <c r="B265" i="8"/>
  <c r="B77" i="8"/>
  <c r="B75" i="8"/>
  <c r="B73" i="8"/>
  <c r="B71" i="8"/>
  <c r="B69" i="8"/>
  <c r="B67" i="8"/>
  <c r="B65" i="8"/>
  <c r="B63" i="8"/>
  <c r="B61" i="8"/>
  <c r="B57" i="8"/>
  <c r="B55" i="8"/>
  <c r="B51" i="8"/>
  <c r="B49" i="8"/>
  <c r="B47" i="8"/>
  <c r="B45" i="8"/>
  <c r="B43" i="8"/>
  <c r="B41" i="8"/>
  <c r="B39" i="8"/>
  <c r="B37" i="8"/>
  <c r="B31" i="8"/>
  <c r="B29" i="8"/>
  <c r="B27" i="8"/>
  <c r="B25" i="8"/>
  <c r="B21" i="8"/>
  <c r="B19" i="8"/>
  <c r="B17" i="8"/>
  <c r="B15" i="8"/>
  <c r="B13" i="8"/>
  <c r="B11" i="8"/>
  <c r="B9" i="8"/>
  <c r="B7" i="8"/>
  <c r="G13" i="14"/>
  <c r="C1190" i="8"/>
  <c r="C1188" i="8"/>
  <c r="C1186" i="8"/>
  <c r="O1186" i="8" s="1" a="1"/>
  <c r="C1152" i="8"/>
  <c r="O1152" i="8" s="1" a="1"/>
  <c r="B1134" i="8"/>
  <c r="D993" i="8"/>
  <c r="P993" i="8" s="1" a="1"/>
  <c r="C991" i="8"/>
  <c r="C989" i="8"/>
  <c r="C987" i="8"/>
  <c r="C929" i="8"/>
  <c r="O929" i="8" s="1" a="1"/>
  <c r="C927" i="8"/>
  <c r="O927" i="8" s="1" a="1"/>
  <c r="B921" i="8"/>
  <c r="C900" i="8"/>
  <c r="B894" i="8"/>
  <c r="J894" i="8" s="1" a="1"/>
  <c r="B890" i="8"/>
  <c r="B888" i="8"/>
  <c r="B884" i="8"/>
  <c r="B882" i="8"/>
  <c r="B880" i="8"/>
  <c r="B878" i="8"/>
  <c r="B876" i="8"/>
  <c r="B874" i="8"/>
  <c r="B872" i="8"/>
  <c r="B870" i="8"/>
  <c r="B868" i="8"/>
  <c r="B866" i="8"/>
  <c r="B864" i="8"/>
  <c r="B862" i="8"/>
  <c r="B860" i="8"/>
  <c r="B858" i="8"/>
  <c r="B856" i="8"/>
  <c r="B854" i="8"/>
  <c r="B852" i="8"/>
  <c r="B850" i="8"/>
  <c r="B848" i="8"/>
  <c r="B846" i="8"/>
  <c r="B844" i="8"/>
  <c r="B842" i="8"/>
  <c r="B840" i="8"/>
  <c r="B838" i="8"/>
  <c r="B836" i="8"/>
  <c r="B834" i="8"/>
  <c r="B832" i="8"/>
  <c r="B824" i="8"/>
  <c r="B822" i="8"/>
  <c r="B820" i="8"/>
  <c r="B818" i="8"/>
  <c r="B816" i="8"/>
  <c r="B814" i="8"/>
  <c r="B812" i="8"/>
  <c r="B810" i="8"/>
  <c r="D783" i="8"/>
  <c r="P783" i="8" s="1" a="1"/>
  <c r="B711" i="8"/>
  <c r="C682" i="8"/>
  <c r="C1192" i="8"/>
  <c r="B1190" i="8"/>
  <c r="B1188" i="8"/>
  <c r="B1186" i="8"/>
  <c r="B1184" i="8"/>
  <c r="B1182" i="8"/>
  <c r="B1180" i="8"/>
  <c r="B1178" i="8"/>
  <c r="B1176" i="8"/>
  <c r="B1172" i="8"/>
  <c r="B1170" i="8"/>
  <c r="B1168" i="8"/>
  <c r="B1166" i="8"/>
  <c r="B1162" i="8"/>
  <c r="J1162" i="8" s="1" a="1"/>
  <c r="B1160" i="8"/>
  <c r="B1156" i="8"/>
  <c r="B1154" i="8"/>
  <c r="B1152" i="8"/>
  <c r="B1150" i="8"/>
  <c r="B1148" i="8"/>
  <c r="J1148" i="8" s="1" a="1"/>
  <c r="B1146" i="8"/>
  <c r="J1146" i="8" s="1" a="1"/>
  <c r="B1144" i="8"/>
  <c r="J1144" i="8" s="1" a="1"/>
  <c r="B1138" i="8"/>
  <c r="B1136" i="8"/>
  <c r="J1136" i="8" s="1" a="1"/>
  <c r="D995" i="8"/>
  <c r="P995" i="8" s="1" a="1"/>
  <c r="C993" i="8"/>
  <c r="B991" i="8"/>
  <c r="B989" i="8"/>
  <c r="B987" i="8"/>
  <c r="B985" i="8"/>
  <c r="B983" i="8"/>
  <c r="B979" i="8"/>
  <c r="B975" i="8"/>
  <c r="B973" i="8"/>
  <c r="J973" i="8" s="1" a="1"/>
  <c r="B971" i="8"/>
  <c r="B969" i="8"/>
  <c r="B965" i="8"/>
  <c r="B963" i="8"/>
  <c r="B961" i="8"/>
  <c r="B959" i="8"/>
  <c r="B957" i="8"/>
  <c r="B955" i="8"/>
  <c r="B953" i="8"/>
  <c r="B951" i="8"/>
  <c r="B943" i="8"/>
  <c r="J943" i="8" s="1" a="1"/>
  <c r="B941" i="8"/>
  <c r="J941" i="8" s="1" a="1"/>
  <c r="B939" i="8"/>
  <c r="B937" i="8"/>
  <c r="B935" i="8"/>
  <c r="B933" i="8"/>
  <c r="B931" i="8"/>
  <c r="J931" i="8" s="1" a="1"/>
  <c r="B929" i="8"/>
  <c r="B927" i="8"/>
  <c r="B925" i="8"/>
  <c r="C908" i="8"/>
  <c r="C906" i="8"/>
  <c r="B900" i="8"/>
  <c r="B896" i="8"/>
  <c r="D785" i="8"/>
  <c r="P785" i="8" s="1" a="1"/>
  <c r="C783" i="8"/>
  <c r="O783" i="8" s="1" a="1"/>
  <c r="B779" i="8"/>
  <c r="J779" i="8" s="1" a="1"/>
  <c r="B753" i="8"/>
  <c r="B749" i="8"/>
  <c r="B747" i="8"/>
  <c r="B745" i="8"/>
  <c r="B743" i="8"/>
  <c r="B741" i="8"/>
  <c r="B739" i="8"/>
  <c r="B737" i="8"/>
  <c r="B735" i="8"/>
  <c r="B733" i="8"/>
  <c r="B731" i="8"/>
  <c r="B729" i="8"/>
  <c r="C1194" i="8"/>
  <c r="B1192" i="8"/>
  <c r="D1011" i="8"/>
  <c r="P1011" i="8" s="1" a="1"/>
  <c r="C995" i="8"/>
  <c r="O995" i="8" s="1" a="1"/>
  <c r="B993" i="8"/>
  <c r="C910" i="8"/>
  <c r="O910" i="8" s="1" a="1"/>
  <c r="B908" i="8"/>
  <c r="B906" i="8"/>
  <c r="B902" i="8"/>
  <c r="J902" i="8" s="1" a="1"/>
  <c r="D791" i="8"/>
  <c r="C785" i="8"/>
  <c r="O785" i="8" s="1" a="1"/>
  <c r="B783" i="8"/>
  <c r="B1194" i="8"/>
  <c r="D1129" i="8"/>
  <c r="P1129" i="8" s="1" a="1"/>
  <c r="D1013" i="8"/>
  <c r="P1013" i="8" s="1" a="1"/>
  <c r="C1011" i="8"/>
  <c r="O1011" i="8" s="1" a="1"/>
  <c r="B1007" i="8"/>
  <c r="B1005" i="8"/>
  <c r="B1003" i="8"/>
  <c r="B1001" i="8"/>
  <c r="B997" i="8"/>
  <c r="J997" i="8" s="1" a="1"/>
  <c r="B995" i="8"/>
  <c r="C912" i="8"/>
  <c r="O912" i="8" s="1" a="1"/>
  <c r="B910" i="8"/>
  <c r="J910" i="8" s="1" a="1"/>
  <c r="D793" i="8"/>
  <c r="C791" i="8"/>
  <c r="C789" i="8"/>
  <c r="D1193" i="8"/>
  <c r="P1193" i="8" s="1" a="1"/>
  <c r="C1191" i="8"/>
  <c r="B1187" i="8"/>
  <c r="B1185" i="8"/>
  <c r="B1183" i="8"/>
  <c r="B1181" i="8"/>
  <c r="B1179" i="8"/>
  <c r="J1179" i="8" s="1" a="1"/>
  <c r="B1177" i="8"/>
  <c r="B1173" i="8"/>
  <c r="B1169" i="8"/>
  <c r="B1167" i="8"/>
  <c r="B1165" i="8"/>
  <c r="B1163" i="8"/>
  <c r="J1163" i="8" s="1" a="1"/>
  <c r="B1161" i="8"/>
  <c r="B1159" i="8"/>
  <c r="B1157" i="8"/>
  <c r="B1155" i="8"/>
  <c r="B1153" i="8"/>
  <c r="B1151" i="8"/>
  <c r="B1149" i="8"/>
  <c r="J1149" i="8" s="1" a="1"/>
  <c r="B1147" i="8"/>
  <c r="B1145" i="8"/>
  <c r="B1143" i="8"/>
  <c r="B1141" i="8"/>
  <c r="C994" i="8"/>
  <c r="O994" i="8" s="1" a="1"/>
  <c r="B992" i="8"/>
  <c r="B988" i="8"/>
  <c r="J988" i="8" s="1" a="1"/>
  <c r="B986" i="8"/>
  <c r="B984" i="8"/>
  <c r="J984" i="8" s="1" a="1"/>
  <c r="B982" i="8"/>
  <c r="B980" i="8"/>
  <c r="B978" i="8"/>
  <c r="J978" i="8" s="1" a="1"/>
  <c r="B976" i="8"/>
  <c r="B972" i="8"/>
  <c r="B968" i="8"/>
  <c r="B966" i="8"/>
  <c r="B964" i="8"/>
  <c r="B962" i="8"/>
  <c r="J962" i="8" s="1" a="1"/>
  <c r="B960" i="8"/>
  <c r="B958" i="8"/>
  <c r="B956" i="8"/>
  <c r="B954" i="8"/>
  <c r="B952" i="8"/>
  <c r="B950" i="8"/>
  <c r="B944" i="8"/>
  <c r="J944" i="8" s="1" a="1"/>
  <c r="B942" i="8"/>
  <c r="J942" i="8" s="1" a="1"/>
  <c r="B940" i="8"/>
  <c r="J940" i="8" s="1" a="1"/>
  <c r="B938" i="8"/>
  <c r="B934" i="8"/>
  <c r="B932" i="8"/>
  <c r="B930" i="8"/>
  <c r="B928" i="8"/>
  <c r="B926" i="8"/>
  <c r="B924" i="8"/>
  <c r="D909" i="8"/>
  <c r="P909" i="8" s="1" a="1"/>
  <c r="B899" i="8"/>
  <c r="J899" i="8" s="1" a="1"/>
  <c r="B897" i="8"/>
  <c r="J897" i="8" s="1" a="1"/>
  <c r="C784" i="8"/>
  <c r="O784" i="8" s="1" a="1"/>
  <c r="B782" i="8"/>
  <c r="J782" i="8" s="1" a="1"/>
  <c r="B780" i="8"/>
  <c r="J780" i="8" s="1" a="1"/>
  <c r="B752" i="8"/>
  <c r="B750" i="8"/>
  <c r="B748" i="8"/>
  <c r="B746" i="8"/>
  <c r="B744" i="8"/>
  <c r="B742" i="8"/>
  <c r="B740" i="8"/>
  <c r="B738" i="8"/>
  <c r="B736" i="8"/>
  <c r="B734" i="8"/>
  <c r="B732" i="8"/>
  <c r="B730" i="8"/>
  <c r="B728" i="8"/>
  <c r="B726" i="8"/>
  <c r="B724" i="8"/>
  <c r="B722" i="8"/>
  <c r="B720" i="8"/>
  <c r="B718" i="8"/>
  <c r="B716" i="8"/>
  <c r="B714" i="8"/>
  <c r="D695" i="8"/>
  <c r="D685" i="8"/>
  <c r="C683" i="8"/>
  <c r="B681" i="8"/>
  <c r="B679" i="8"/>
  <c r="B1121" i="8"/>
  <c r="J1121" i="8" s="1" a="1"/>
  <c r="B1119" i="8"/>
  <c r="B1117" i="8"/>
  <c r="B1025" i="8"/>
  <c r="J1025" i="8" s="1" a="1"/>
  <c r="B1012" i="8"/>
  <c r="C911" i="8"/>
  <c r="D899" i="8"/>
  <c r="P899" i="8" s="1" a="1"/>
  <c r="C897" i="8"/>
  <c r="O897" i="8" s="1" a="1"/>
  <c r="B869" i="8"/>
  <c r="B841" i="8"/>
  <c r="B789" i="8"/>
  <c r="B717" i="8"/>
  <c r="B710" i="8"/>
  <c r="D699" i="8"/>
  <c r="B697" i="8"/>
  <c r="B682" i="8"/>
  <c r="B653" i="8"/>
  <c r="B651" i="8"/>
  <c r="B649" i="8"/>
  <c r="B625" i="8"/>
  <c r="B597" i="8"/>
  <c r="B541" i="8"/>
  <c r="C532" i="8"/>
  <c r="C530" i="8"/>
  <c r="B332" i="8"/>
  <c r="D303" i="8"/>
  <c r="B288" i="8"/>
  <c r="B72" i="8"/>
  <c r="B40" i="8"/>
  <c r="C1129" i="8"/>
  <c r="O1129" i="8" s="1" a="1"/>
  <c r="C1125" i="8"/>
  <c r="O1125" i="8" s="1" a="1"/>
  <c r="B1123" i="8"/>
  <c r="B1027" i="8"/>
  <c r="B994" i="8"/>
  <c r="C986" i="8"/>
  <c r="B911" i="8"/>
  <c r="C899" i="8"/>
  <c r="O899" i="8" s="1" a="1"/>
  <c r="B871" i="8"/>
  <c r="B843" i="8"/>
  <c r="B809" i="8"/>
  <c r="B791" i="8"/>
  <c r="B719" i="8"/>
  <c r="C699" i="8"/>
  <c r="D655" i="8"/>
  <c r="C627" i="8"/>
  <c r="B599" i="8"/>
  <c r="B571" i="8"/>
  <c r="B543" i="8"/>
  <c r="C534" i="8"/>
  <c r="B532" i="8"/>
  <c r="B530" i="8"/>
  <c r="B528" i="8"/>
  <c r="B526" i="8"/>
  <c r="B524" i="8"/>
  <c r="B492" i="8"/>
  <c r="B490" i="8"/>
  <c r="B488" i="8"/>
  <c r="B486" i="8"/>
  <c r="B484" i="8"/>
  <c r="B482" i="8"/>
  <c r="B474" i="8"/>
  <c r="B472" i="8"/>
  <c r="B470" i="8"/>
  <c r="B468" i="8"/>
  <c r="B466" i="8"/>
  <c r="B464" i="8"/>
  <c r="B460" i="8"/>
  <c r="B458" i="8"/>
  <c r="B456" i="8"/>
  <c r="B454" i="8"/>
  <c r="B452" i="8"/>
  <c r="B1129" i="8"/>
  <c r="B1125" i="8"/>
  <c r="C922" i="8"/>
  <c r="B873" i="8"/>
  <c r="B845" i="8"/>
  <c r="B811" i="8"/>
  <c r="B784" i="8"/>
  <c r="B721" i="8"/>
  <c r="C684" i="8"/>
  <c r="C655" i="8"/>
  <c r="B627" i="8"/>
  <c r="B601" i="8"/>
  <c r="B573" i="8"/>
  <c r="B545" i="8"/>
  <c r="B534" i="8"/>
  <c r="B292" i="8"/>
  <c r="B76" i="8"/>
  <c r="B44" i="8"/>
  <c r="B10" i="8"/>
  <c r="D1131" i="8"/>
  <c r="P1131" i="8" s="1" a="1"/>
  <c r="B1035" i="8"/>
  <c r="B922" i="8"/>
  <c r="B875" i="8"/>
  <c r="B847" i="8"/>
  <c r="B813" i="8"/>
  <c r="C793" i="8"/>
  <c r="B723" i="8"/>
  <c r="C712" i="8"/>
  <c r="B684" i="8"/>
  <c r="D657" i="8"/>
  <c r="B655" i="8"/>
  <c r="B603" i="8"/>
  <c r="B575" i="8"/>
  <c r="B547" i="8"/>
  <c r="C536" i="8"/>
  <c r="B305" i="8"/>
  <c r="B294" i="8"/>
  <c r="B264" i="8"/>
  <c r="B1191" i="8"/>
  <c r="B1131" i="8"/>
  <c r="B1039" i="8"/>
  <c r="B1011" i="8"/>
  <c r="B879" i="8"/>
  <c r="B851" i="8"/>
  <c r="D795" i="8"/>
  <c r="C786" i="8"/>
  <c r="O786" i="8" s="1" a="1"/>
  <c r="B727" i="8"/>
  <c r="D709" i="8"/>
  <c r="C696" i="8"/>
  <c r="B692" i="8"/>
  <c r="B690" i="8"/>
  <c r="B688" i="8"/>
  <c r="D681" i="8"/>
  <c r="C679" i="8"/>
  <c r="B677" i="8"/>
  <c r="B673" i="8"/>
  <c r="B671" i="8"/>
  <c r="B669" i="8"/>
  <c r="B667" i="8"/>
  <c r="B665" i="8"/>
  <c r="B663" i="8"/>
  <c r="B661" i="8"/>
  <c r="B659" i="8"/>
  <c r="B657" i="8"/>
  <c r="B631" i="8"/>
  <c r="B607" i="8"/>
  <c r="B579" i="8"/>
  <c r="D331" i="8"/>
  <c r="B300" i="8"/>
  <c r="B268" i="8"/>
  <c r="B50" i="8"/>
  <c r="B16" i="8"/>
  <c r="G12" i="14"/>
  <c r="B1198" i="8"/>
  <c r="D1133" i="8"/>
  <c r="P1133" i="8" s="1" a="1"/>
  <c r="B996" i="8"/>
  <c r="C926" i="8"/>
  <c r="O926" i="8" s="1" a="1"/>
  <c r="B905" i="8"/>
  <c r="B881" i="8"/>
  <c r="J881" i="8" s="1" a="1"/>
  <c r="C795" i="8"/>
  <c r="C698" i="8"/>
  <c r="C681" i="8"/>
  <c r="B581" i="8"/>
  <c r="B553" i="8"/>
  <c r="B1196" i="8"/>
  <c r="B1041" i="8"/>
  <c r="B903" i="8"/>
  <c r="B853" i="8"/>
  <c r="B819" i="8"/>
  <c r="B786" i="8"/>
  <c r="B696" i="8"/>
  <c r="B633" i="8"/>
  <c r="B609" i="8"/>
  <c r="C1133" i="8"/>
  <c r="C1013" i="8"/>
  <c r="O1013" i="8" s="1" a="1"/>
  <c r="B1000" i="8"/>
  <c r="B998" i="8"/>
  <c r="B883" i="8"/>
  <c r="B855" i="8"/>
  <c r="B821" i="8"/>
  <c r="B797" i="8"/>
  <c r="B795" i="8"/>
  <c r="B788" i="8"/>
  <c r="J788" i="8" s="1" a="1"/>
  <c r="B698" i="8"/>
  <c r="B635" i="8"/>
  <c r="B611" i="8"/>
  <c r="B583" i="8"/>
  <c r="B555" i="8"/>
  <c r="D533" i="8"/>
  <c r="B1193" i="8"/>
  <c r="B1103" i="8"/>
  <c r="B1053" i="8"/>
  <c r="J1053" i="8" s="1" a="1"/>
  <c r="B1004" i="8"/>
  <c r="C928" i="8"/>
  <c r="O928" i="8" s="1" a="1"/>
  <c r="C918" i="8"/>
  <c r="O918" i="8" s="1" a="1"/>
  <c r="C916" i="8"/>
  <c r="C893" i="8"/>
  <c r="C891" i="8"/>
  <c r="B859" i="8"/>
  <c r="B831" i="8"/>
  <c r="B825" i="8"/>
  <c r="B801" i="8"/>
  <c r="C792" i="8"/>
  <c r="B683" i="8"/>
  <c r="B639" i="8"/>
  <c r="B615" i="8"/>
  <c r="B587" i="8"/>
  <c r="C1130" i="8"/>
  <c r="O1130" i="8" s="1" a="1"/>
  <c r="B1109" i="8"/>
  <c r="B1105" i="8"/>
  <c r="B1017" i="8"/>
  <c r="B1015" i="8"/>
  <c r="C1010" i="8"/>
  <c r="C1008" i="8"/>
  <c r="B1006" i="8"/>
  <c r="J1006" i="8" s="1" a="1"/>
  <c r="C992" i="8"/>
  <c r="B918" i="8"/>
  <c r="J918" i="8" s="1" a="1"/>
  <c r="B916" i="8"/>
  <c r="B914" i="8"/>
  <c r="C909" i="8"/>
  <c r="O909" i="8" s="1" a="1"/>
  <c r="B893" i="8"/>
  <c r="B891" i="8"/>
  <c r="B861" i="8"/>
  <c r="B833" i="8"/>
  <c r="D807" i="8"/>
  <c r="C803" i="8"/>
  <c r="B792" i="8"/>
  <c r="C780" i="8"/>
  <c r="O780" i="8" s="1" a="1"/>
  <c r="C708" i="8"/>
  <c r="C706" i="8"/>
  <c r="B704" i="8"/>
  <c r="B702" i="8"/>
  <c r="C685" i="8"/>
  <c r="B656" i="8"/>
  <c r="B641" i="8"/>
  <c r="B617" i="8"/>
  <c r="B589" i="8"/>
  <c r="B561" i="8"/>
  <c r="D537" i="8"/>
  <c r="B535" i="8"/>
  <c r="B278" i="8"/>
  <c r="B64" i="8"/>
  <c r="B28" i="8"/>
  <c r="G16" i="14"/>
  <c r="C1153" i="8"/>
  <c r="O1153" i="8" s="1" a="1"/>
  <c r="B1045" i="8"/>
  <c r="J1045" i="8" s="1" a="1"/>
  <c r="B1023" i="8"/>
  <c r="J1023" i="8" s="1" a="1"/>
  <c r="B1002" i="8"/>
  <c r="D919" i="8"/>
  <c r="P919" i="8" s="1" a="1"/>
  <c r="C695" i="8"/>
  <c r="C693" i="8"/>
  <c r="B691" i="8"/>
  <c r="B668" i="8"/>
  <c r="C657" i="8"/>
  <c r="B645" i="8"/>
  <c r="B613" i="8"/>
  <c r="C533" i="8"/>
  <c r="B473" i="8"/>
  <c r="C331" i="8"/>
  <c r="B327" i="8"/>
  <c r="B325" i="8"/>
  <c r="B323" i="8"/>
  <c r="B321" i="8"/>
  <c r="B317" i="8"/>
  <c r="B315" i="8"/>
  <c r="B313" i="8"/>
  <c r="B311" i="8"/>
  <c r="B309" i="8"/>
  <c r="B307" i="8"/>
  <c r="B284" i="8"/>
  <c r="B282" i="8"/>
  <c r="B24" i="8"/>
  <c r="B331" i="8"/>
  <c r="B407" i="8"/>
  <c r="B381" i="8"/>
  <c r="B369" i="8"/>
  <c r="B345" i="8"/>
  <c r="B335" i="8"/>
  <c r="B539" i="8"/>
  <c r="B440" i="8"/>
  <c r="B410" i="8"/>
  <c r="B388" i="8"/>
  <c r="B368" i="8"/>
  <c r="B557" i="8"/>
  <c r="D1191" i="8"/>
  <c r="P1191" i="8" s="1" a="1"/>
  <c r="B1133" i="8"/>
  <c r="B887" i="8"/>
  <c r="B885" i="8"/>
  <c r="C710" i="8"/>
  <c r="B695" i="8"/>
  <c r="B693" i="8"/>
  <c r="B670" i="8"/>
  <c r="B647" i="8"/>
  <c r="B629" i="8"/>
  <c r="B533" i="8"/>
  <c r="B481" i="8"/>
  <c r="C304" i="8"/>
  <c r="B286" i="8"/>
  <c r="B26" i="8"/>
  <c r="B405" i="8"/>
  <c r="B387" i="8"/>
  <c r="B383" i="8"/>
  <c r="B371" i="8"/>
  <c r="B365" i="8"/>
  <c r="B341" i="8"/>
  <c r="B333" i="8"/>
  <c r="B290" i="8"/>
  <c r="B30" i="8"/>
  <c r="C1187" i="8"/>
  <c r="B1115" i="8"/>
  <c r="B527" i="8"/>
  <c r="B461" i="8"/>
  <c r="B68" i="8"/>
  <c r="B14" i="8"/>
  <c r="B593" i="8"/>
  <c r="B444" i="8"/>
  <c r="B428" i="8"/>
  <c r="B422" i="8"/>
  <c r="B408" i="8"/>
  <c r="B390" i="8"/>
  <c r="B370" i="8"/>
  <c r="B346" i="8"/>
  <c r="B664" i="8"/>
  <c r="B595" i="8"/>
  <c r="B46" i="8"/>
  <c r="B912" i="8"/>
  <c r="J912" i="8" s="1" a="1"/>
  <c r="B559" i="8"/>
  <c r="B280" i="8"/>
  <c r="B835" i="8"/>
  <c r="B799" i="8"/>
  <c r="C794" i="8"/>
  <c r="B715" i="8"/>
  <c r="B672" i="8"/>
  <c r="B563" i="8"/>
  <c r="B483" i="8"/>
  <c r="D333" i="8"/>
  <c r="B304" i="8"/>
  <c r="B52" i="8"/>
  <c r="B403" i="8"/>
  <c r="B385" i="8"/>
  <c r="B375" i="8"/>
  <c r="B343" i="8"/>
  <c r="B339" i="8"/>
  <c r="B467" i="8"/>
  <c r="B426" i="8"/>
  <c r="B412" i="8"/>
  <c r="B396" i="8"/>
  <c r="B348" i="8"/>
  <c r="B865" i="8"/>
  <c r="B849" i="8"/>
  <c r="B48" i="8"/>
  <c r="C1151" i="8"/>
  <c r="O1151" i="8" s="1" a="1"/>
  <c r="B837" i="8"/>
  <c r="B676" i="8"/>
  <c r="B674" i="8"/>
  <c r="D653" i="8"/>
  <c r="C651" i="8"/>
  <c r="B565" i="8"/>
  <c r="B485" i="8"/>
  <c r="C333" i="8"/>
  <c r="B409" i="8"/>
  <c r="B389" i="8"/>
  <c r="B379" i="8"/>
  <c r="B373" i="8"/>
  <c r="B347" i="8"/>
  <c r="B266" i="8"/>
  <c r="B60" i="8"/>
  <c r="B272" i="8"/>
  <c r="B66" i="8"/>
  <c r="B12" i="8"/>
  <c r="B920" i="8"/>
  <c r="J920" i="8" s="1" a="1"/>
  <c r="B706" i="8"/>
  <c r="B537" i="8"/>
  <c r="C332" i="8"/>
  <c r="B296" i="8"/>
  <c r="B42" i="8"/>
  <c r="C1012" i="8"/>
  <c r="O1012" i="8" s="1" a="1"/>
  <c r="B725" i="8"/>
  <c r="B450" i="8"/>
  <c r="B430" i="8"/>
  <c r="B414" i="8"/>
  <c r="B398" i="8"/>
  <c r="B382" i="8"/>
  <c r="B374" i="8"/>
  <c r="B340" i="8"/>
  <c r="B1197" i="8"/>
  <c r="C930" i="8"/>
  <c r="O930" i="8" s="1" a="1"/>
  <c r="B687" i="8"/>
  <c r="B577" i="8"/>
  <c r="B18" i="8"/>
  <c r="B867" i="8"/>
  <c r="B74" i="8"/>
  <c r="D911" i="8"/>
  <c r="P911" i="8" s="1" a="1"/>
  <c r="B839" i="8"/>
  <c r="B815" i="8"/>
  <c r="D697" i="8"/>
  <c r="B678" i="8"/>
  <c r="C653" i="8"/>
  <c r="B567" i="8"/>
  <c r="D535" i="8"/>
  <c r="B487" i="8"/>
  <c r="B451" i="8"/>
  <c r="B449" i="8"/>
  <c r="B443" i="8"/>
  <c r="B441" i="8"/>
  <c r="B439" i="8"/>
  <c r="B437" i="8"/>
  <c r="B435" i="8"/>
  <c r="B433" i="8"/>
  <c r="B431" i="8"/>
  <c r="B429" i="8"/>
  <c r="B427" i="8"/>
  <c r="B425" i="8"/>
  <c r="B423" i="8"/>
  <c r="B421" i="8"/>
  <c r="B419" i="8"/>
  <c r="B417" i="8"/>
  <c r="B415" i="8"/>
  <c r="B413" i="8"/>
  <c r="B411" i="8"/>
  <c r="B399" i="8"/>
  <c r="B397" i="8"/>
  <c r="B395" i="8"/>
  <c r="B393" i="8"/>
  <c r="B391" i="8"/>
  <c r="B367" i="8"/>
  <c r="B658" i="8"/>
  <c r="B463" i="8"/>
  <c r="B662" i="8"/>
  <c r="B434" i="8"/>
  <c r="B424" i="8"/>
  <c r="B418" i="8"/>
  <c r="B406" i="8"/>
  <c r="B394" i="8"/>
  <c r="B1021" i="8"/>
  <c r="B643" i="8"/>
  <c r="B471" i="8"/>
  <c r="B20" i="8"/>
  <c r="B1008" i="8"/>
  <c r="C988" i="8"/>
  <c r="O988" i="8" s="1" a="1"/>
  <c r="D893" i="8"/>
  <c r="P893" i="8" s="1" a="1"/>
  <c r="C697" i="8"/>
  <c r="D683" i="8"/>
  <c r="B619" i="8"/>
  <c r="C535" i="8"/>
  <c r="B489" i="8"/>
  <c r="B453" i="8"/>
  <c r="C306" i="8"/>
  <c r="B62" i="8"/>
  <c r="B36" i="8"/>
  <c r="B32" i="8"/>
  <c r="B8" i="8"/>
  <c r="B436" i="8"/>
  <c r="B402" i="8"/>
  <c r="B384" i="8"/>
  <c r="B372" i="8"/>
  <c r="B344" i="8"/>
  <c r="B666" i="8"/>
  <c r="C1193" i="8"/>
  <c r="B1013" i="8"/>
  <c r="J1013" i="8" s="1" a="1"/>
  <c r="B1010" i="8"/>
  <c r="B857" i="8"/>
  <c r="B803" i="8"/>
  <c r="C782" i="8"/>
  <c r="O782" i="8" s="1" a="1"/>
  <c r="B712" i="8"/>
  <c r="B621" i="8"/>
  <c r="B549" i="8"/>
  <c r="B491" i="8"/>
  <c r="B455" i="8"/>
  <c r="C330" i="8"/>
  <c r="C328" i="8"/>
  <c r="B306" i="8"/>
  <c r="B38" i="8"/>
  <c r="B448" i="8"/>
  <c r="B909" i="8"/>
  <c r="J909" i="8" s="1" a="1"/>
  <c r="B1111" i="8"/>
  <c r="J1111" i="8" s="1" a="1"/>
  <c r="C807" i="8"/>
  <c r="C805" i="8"/>
  <c r="O805" i="8" s="1" a="1"/>
  <c r="B793" i="8"/>
  <c r="B785" i="8"/>
  <c r="B623" i="8"/>
  <c r="B605" i="8"/>
  <c r="B330" i="8"/>
  <c r="B328" i="8"/>
  <c r="B326" i="8"/>
  <c r="B324" i="8"/>
  <c r="B322" i="8"/>
  <c r="B320" i="8"/>
  <c r="B318" i="8"/>
  <c r="B316" i="8"/>
  <c r="B314" i="8"/>
  <c r="B312" i="8"/>
  <c r="B310" i="8"/>
  <c r="B308" i="8"/>
  <c r="B270" i="8"/>
  <c r="B442" i="8"/>
  <c r="B420" i="8"/>
  <c r="B386" i="8"/>
  <c r="B366" i="8"/>
  <c r="B334" i="8"/>
  <c r="B469" i="8"/>
  <c r="B1037" i="8"/>
  <c r="C920" i="8"/>
  <c r="O920" i="8" s="1" a="1"/>
  <c r="B877" i="8"/>
  <c r="B807" i="8"/>
  <c r="B805" i="8"/>
  <c r="J805" i="8" s="1" a="1"/>
  <c r="B637" i="8"/>
  <c r="C625" i="8"/>
  <c r="C537" i="8"/>
  <c r="B525" i="8"/>
  <c r="B459" i="8"/>
  <c r="B274" i="8"/>
  <c r="B863" i="8"/>
  <c r="B432" i="8"/>
  <c r="B380" i="8"/>
  <c r="B364" i="8"/>
  <c r="B1019" i="8"/>
  <c r="B1199" i="8"/>
  <c r="C1131" i="8"/>
  <c r="B823" i="8"/>
  <c r="B708" i="8"/>
  <c r="B685" i="8"/>
  <c r="B660" i="8"/>
  <c r="B591" i="8"/>
  <c r="B529" i="8"/>
  <c r="B465" i="8"/>
  <c r="B276" i="8"/>
  <c r="B70" i="8"/>
  <c r="G30" i="14"/>
  <c r="B438" i="8"/>
  <c r="B416" i="8"/>
  <c r="B404" i="8"/>
  <c r="B392" i="8"/>
  <c r="B376" i="8"/>
  <c r="B342" i="8"/>
  <c r="B1195" i="8"/>
  <c r="H657" i="2"/>
  <c r="E657" i="2" s="1" a="1"/>
  <c r="E657" i="2" s="1"/>
  <c r="H671" i="2"/>
  <c r="E671" i="2" s="1" a="1"/>
  <c r="E671" i="2" s="1"/>
  <c r="H456" i="2"/>
  <c r="E456" i="2" s="1" a="1"/>
  <c r="E456" i="2" s="1"/>
  <c r="H659" i="2"/>
  <c r="E659" i="2" s="1" a="1"/>
  <c r="E659" i="2" s="1"/>
  <c r="H574" i="2"/>
  <c r="E574" i="2" s="1" a="1"/>
  <c r="E574" i="2" s="1"/>
  <c r="H530" i="2"/>
  <c r="E530" i="2" s="1" a="1"/>
  <c r="E530" i="2" s="1"/>
  <c r="H360" i="2"/>
  <c r="E360" i="2" s="1" a="1"/>
  <c r="E360" i="2" s="1"/>
  <c r="H203" i="2"/>
  <c r="E203" i="2" s="1" a="1"/>
  <c r="E203" i="2" s="1"/>
  <c r="H118" i="2"/>
  <c r="E118" i="2" s="1" a="1"/>
  <c r="E118" i="2" s="1"/>
  <c r="H89" i="2"/>
  <c r="E89" i="2" s="1" a="1"/>
  <c r="E89" i="2" s="1"/>
  <c r="H32" i="2"/>
  <c r="E32" i="2" s="1" a="1"/>
  <c r="E32" i="2" s="1"/>
  <c r="H672" i="2"/>
  <c r="E672" i="2" s="1" a="1"/>
  <c r="E672" i="2" s="1"/>
  <c r="H587" i="2"/>
  <c r="E587" i="2" s="1" a="1"/>
  <c r="E587" i="2" s="1"/>
  <c r="H573" i="2"/>
  <c r="E573" i="2" s="1" a="1"/>
  <c r="E573" i="2" s="1"/>
  <c r="H529" i="2"/>
  <c r="E529" i="2" s="1" a="1"/>
  <c r="E529" i="2" s="1"/>
  <c r="H232" i="2"/>
  <c r="E232" i="2" s="1" a="1"/>
  <c r="E232" i="2" s="1"/>
  <c r="H217" i="2"/>
  <c r="E217" i="2" s="1" a="1"/>
  <c r="E217" i="2" s="1"/>
  <c r="H202" i="2"/>
  <c r="E202" i="2" s="1" a="1"/>
  <c r="E202" i="2" s="1"/>
  <c r="H117" i="2"/>
  <c r="E117" i="2" s="1" a="1"/>
  <c r="E117" i="2" s="1"/>
  <c r="H17" i="2"/>
  <c r="E17" i="2" s="1" a="1"/>
  <c r="E17" i="2" s="1"/>
  <c r="H670" i="2"/>
  <c r="E670" i="2" s="1" a="1"/>
  <c r="E670" i="2" s="1"/>
  <c r="H641" i="2"/>
  <c r="E641" i="2" s="1" a="1"/>
  <c r="E641" i="2" s="1"/>
  <c r="H599" i="2"/>
  <c r="E599" i="2" s="1" a="1"/>
  <c r="E599" i="2" s="1"/>
  <c r="H570" i="2"/>
  <c r="E570" i="2" s="1" a="1"/>
  <c r="E570" i="2" s="1"/>
  <c r="H540" i="2"/>
  <c r="E540" i="2" s="1" a="1"/>
  <c r="E540" i="2" s="1"/>
  <c r="H525" i="2"/>
  <c r="E525" i="2" s="1" a="1"/>
  <c r="E525" i="2" s="1"/>
  <c r="H454" i="2"/>
  <c r="E454" i="2" s="1" a="1"/>
  <c r="E454" i="2" s="1"/>
  <c r="H440" i="2"/>
  <c r="E440" i="2" s="1" a="1"/>
  <c r="E440" i="2" s="1"/>
  <c r="H398" i="2"/>
  <c r="E398" i="2" s="1" a="1"/>
  <c r="E398" i="2" s="1"/>
  <c r="H327" i="2"/>
  <c r="E327" i="2" s="1" a="1"/>
  <c r="E327" i="2" s="1"/>
  <c r="H313" i="2"/>
  <c r="E313" i="2" s="1" a="1"/>
  <c r="E313" i="2" s="1"/>
  <c r="H100" i="2"/>
  <c r="E100" i="2" s="1" a="1"/>
  <c r="E100" i="2" s="1"/>
  <c r="H71" i="2"/>
  <c r="E71" i="2" s="1" a="1"/>
  <c r="E71" i="2" s="1"/>
  <c r="H14" i="2"/>
  <c r="E14" i="2" s="1" a="1"/>
  <c r="E14" i="2" s="1"/>
  <c r="H585" i="2"/>
  <c r="E585" i="2" s="1" a="1"/>
  <c r="E585" i="2" s="1"/>
  <c r="H526" i="2"/>
  <c r="E526" i="2" s="1" a="1"/>
  <c r="E526" i="2" s="1"/>
  <c r="H455" i="2"/>
  <c r="E455" i="2" s="1" a="1"/>
  <c r="E455" i="2" s="1"/>
  <c r="H371" i="2"/>
  <c r="E371" i="2" s="1" a="1"/>
  <c r="E371" i="2" s="1"/>
  <c r="H598" i="2"/>
  <c r="E598" i="2" s="1" a="1"/>
  <c r="E598" i="2" s="1"/>
  <c r="H554" i="2"/>
  <c r="E554" i="2" s="1" a="1"/>
  <c r="E554" i="2" s="1"/>
  <c r="H539" i="2"/>
  <c r="E539" i="2" s="1" a="1"/>
  <c r="E539" i="2" s="1"/>
  <c r="H524" i="2"/>
  <c r="E524" i="2" s="1" a="1"/>
  <c r="E524" i="2" s="1"/>
  <c r="H453" i="2"/>
  <c r="E453" i="2" s="1" a="1"/>
  <c r="E453" i="2" s="1"/>
  <c r="H439" i="2"/>
  <c r="E439" i="2" s="1" a="1"/>
  <c r="E439" i="2" s="1"/>
  <c r="H397" i="2"/>
  <c r="E397" i="2" s="1" a="1"/>
  <c r="E397" i="2" s="1"/>
  <c r="H228" i="2"/>
  <c r="E228" i="2" s="1" a="1"/>
  <c r="E228" i="2" s="1"/>
  <c r="H99" i="2"/>
  <c r="E99" i="2" s="1" a="1"/>
  <c r="E99" i="2" s="1"/>
  <c r="H70" i="2"/>
  <c r="E70" i="2" s="1" a="1"/>
  <c r="E70" i="2" s="1"/>
  <c r="H12" i="2"/>
  <c r="E12" i="2" s="1" a="1"/>
  <c r="E12" i="2" s="1"/>
  <c r="H656" i="2"/>
  <c r="E656" i="2" s="1" a="1"/>
  <c r="E656" i="2" s="1"/>
  <c r="H542" i="2"/>
  <c r="E542" i="2" s="1" a="1"/>
  <c r="E542" i="2" s="1"/>
  <c r="H314" i="2"/>
  <c r="E314" i="2" s="1" a="1"/>
  <c r="E314" i="2" s="1"/>
  <c r="H115" i="2"/>
  <c r="E115" i="2" s="1" a="1"/>
  <c r="E115" i="2" s="1"/>
  <c r="H15" i="2"/>
  <c r="E15" i="2" s="1" a="1"/>
  <c r="E15" i="2" s="1"/>
  <c r="H596" i="2"/>
  <c r="E596" i="2" s="1" a="1"/>
  <c r="E596" i="2" s="1"/>
  <c r="H553" i="2"/>
  <c r="E553" i="2" s="1" a="1"/>
  <c r="E553" i="2" s="1"/>
  <c r="H467" i="2"/>
  <c r="E467" i="2" s="1" a="1"/>
  <c r="E467" i="2" s="1"/>
  <c r="H438" i="2"/>
  <c r="E438" i="2" s="1" a="1"/>
  <c r="E438" i="2" s="1"/>
  <c r="H396" i="2"/>
  <c r="E396" i="2" s="1" a="1"/>
  <c r="E396" i="2" s="1"/>
  <c r="H269" i="2"/>
  <c r="E269" i="2" s="1" a="1"/>
  <c r="E269" i="2" s="1"/>
  <c r="H227" i="2"/>
  <c r="E227" i="2" s="1" a="1"/>
  <c r="E227" i="2" s="1"/>
  <c r="H68" i="2"/>
  <c r="E68" i="2" s="1" a="1"/>
  <c r="E68" i="2" s="1"/>
  <c r="H40" i="2"/>
  <c r="E40" i="2" s="1" a="1"/>
  <c r="E40" i="2" s="1"/>
  <c r="H11" i="2"/>
  <c r="E11" i="2" s="1" a="1"/>
  <c r="E11" i="2" s="1"/>
  <c r="H595" i="2"/>
  <c r="E595" i="2" s="1" a="1"/>
  <c r="E595" i="2" s="1"/>
  <c r="H552" i="2"/>
  <c r="E552" i="2" s="1" a="1"/>
  <c r="E552" i="2" s="1"/>
  <c r="H522" i="2"/>
  <c r="E522" i="2" s="1" a="1"/>
  <c r="E522" i="2" s="1"/>
  <c r="H466" i="2"/>
  <c r="E466" i="2" s="1" a="1"/>
  <c r="E466" i="2" s="1"/>
  <c r="H395" i="2"/>
  <c r="E395" i="2" s="1" a="1"/>
  <c r="E395" i="2" s="1"/>
  <c r="H226" i="2"/>
  <c r="E226" i="2" s="1" a="1"/>
  <c r="E226" i="2" s="1"/>
  <c r="H39" i="2"/>
  <c r="E39" i="2" s="1" a="1"/>
  <c r="E39" i="2" s="1"/>
  <c r="H10" i="2"/>
  <c r="E10" i="2" s="1" a="1"/>
  <c r="E10" i="2" s="1"/>
  <c r="H551" i="2"/>
  <c r="E551" i="2" s="1" a="1"/>
  <c r="E551" i="2" s="1"/>
  <c r="H465" i="2"/>
  <c r="E465" i="2" s="1" a="1"/>
  <c r="E465" i="2" s="1"/>
  <c r="H436" i="2"/>
  <c r="E436" i="2" s="1" a="1"/>
  <c r="E436" i="2" s="1"/>
  <c r="H380" i="2"/>
  <c r="E380" i="2" s="1" a="1"/>
  <c r="E380" i="2" s="1"/>
  <c r="H338" i="2"/>
  <c r="E338" i="2" s="1" a="1"/>
  <c r="E338" i="2" s="1"/>
  <c r="H225" i="2"/>
  <c r="E225" i="2" s="1" a="1"/>
  <c r="E225" i="2" s="1"/>
  <c r="H96" i="2"/>
  <c r="E96" i="2" s="1" a="1"/>
  <c r="E96" i="2" s="1"/>
  <c r="H8" i="2"/>
  <c r="E8" i="2" s="1" a="1"/>
  <c r="E8" i="2" s="1"/>
  <c r="H572" i="2"/>
  <c r="E572" i="2" s="1" a="1"/>
  <c r="E572" i="2" s="1"/>
  <c r="H6" i="2"/>
  <c r="E6" i="2" s="1" a="1"/>
  <c r="E6" i="2" s="1"/>
  <c r="H550" i="2"/>
  <c r="E550" i="2" s="1" a="1"/>
  <c r="E550" i="2" s="1"/>
  <c r="H520" i="2"/>
  <c r="E520" i="2" s="1" a="1"/>
  <c r="E520" i="2" s="1"/>
  <c r="H464" i="2"/>
  <c r="E464" i="2" s="1" a="1"/>
  <c r="E464" i="2" s="1"/>
  <c r="H435" i="2"/>
  <c r="E435" i="2" s="1" a="1"/>
  <c r="E435" i="2" s="1"/>
  <c r="H337" i="2"/>
  <c r="E337" i="2" s="1" a="1"/>
  <c r="E337" i="2" s="1"/>
  <c r="H224" i="2"/>
  <c r="E224" i="2" s="1" a="1"/>
  <c r="E224" i="2" s="1"/>
  <c r="H95" i="2"/>
  <c r="E95" i="2" s="1" a="1"/>
  <c r="E95" i="2" s="1"/>
  <c r="H7" i="2"/>
  <c r="E7" i="2" s="1" a="1"/>
  <c r="E7" i="2" s="1"/>
  <c r="H578" i="2"/>
  <c r="E578" i="2" s="1" a="1"/>
  <c r="E578" i="2" s="1"/>
  <c r="H336" i="2"/>
  <c r="E336" i="2" s="1" a="1"/>
  <c r="E336" i="2" s="1"/>
  <c r="H94" i="2"/>
  <c r="E94" i="2" s="1" a="1"/>
  <c r="E94" i="2" s="1"/>
  <c r="H543" i="2"/>
  <c r="E543" i="2" s="1" a="1"/>
  <c r="E543" i="2" s="1"/>
  <c r="H442" i="2"/>
  <c r="E442" i="2" s="1" a="1"/>
  <c r="E442" i="2" s="1"/>
  <c r="H648" i="2"/>
  <c r="E648" i="2" s="1" a="1"/>
  <c r="E648" i="2" s="1"/>
  <c r="H634" i="2"/>
  <c r="E634" i="2" s="1" a="1"/>
  <c r="E634" i="2" s="1"/>
  <c r="H620" i="2"/>
  <c r="E620" i="2" s="1" a="1"/>
  <c r="E620" i="2" s="1"/>
  <c r="H577" i="2"/>
  <c r="E577" i="2" s="1" a="1"/>
  <c r="E577" i="2" s="1"/>
  <c r="H533" i="2"/>
  <c r="E533" i="2" s="1" a="1"/>
  <c r="E533" i="2" s="1"/>
  <c r="H518" i="2"/>
  <c r="E518" i="2" s="1" a="1"/>
  <c r="E518" i="2" s="1"/>
  <c r="H433" i="2"/>
  <c r="E433" i="2" s="1" a="1"/>
  <c r="E433" i="2" s="1"/>
  <c r="H391" i="2"/>
  <c r="E391" i="2" s="1" a="1"/>
  <c r="E391" i="2" s="1"/>
  <c r="H349" i="2"/>
  <c r="E349" i="2" s="1" a="1"/>
  <c r="E349" i="2" s="1"/>
  <c r="H334" i="2"/>
  <c r="E334" i="2" s="1" a="1"/>
  <c r="E334" i="2" s="1"/>
  <c r="H250" i="2"/>
  <c r="E250" i="2" s="1" a="1"/>
  <c r="E250" i="2" s="1"/>
  <c r="H92" i="2"/>
  <c r="E92" i="2" s="1" a="1"/>
  <c r="E92" i="2" s="1"/>
  <c r="H647" i="2"/>
  <c r="E647" i="2" s="1" a="1"/>
  <c r="E647" i="2" s="1"/>
  <c r="H633" i="2"/>
  <c r="E633" i="2" s="1" a="1"/>
  <c r="E633" i="2" s="1"/>
  <c r="H619" i="2"/>
  <c r="E619" i="2" s="1" a="1"/>
  <c r="E619" i="2" s="1"/>
  <c r="H590" i="2"/>
  <c r="E590" i="2" s="1" a="1"/>
  <c r="E590" i="2" s="1"/>
  <c r="H576" i="2"/>
  <c r="E576" i="2" s="1" a="1"/>
  <c r="E576" i="2" s="1"/>
  <c r="H249" i="2"/>
  <c r="E249" i="2" s="1" a="1"/>
  <c r="E249" i="2" s="1"/>
  <c r="H206" i="2"/>
  <c r="E206" i="2" s="1" a="1"/>
  <c r="E206" i="2" s="1"/>
  <c r="H120" i="2"/>
  <c r="E120" i="2" s="1" a="1"/>
  <c r="E120" i="2" s="1"/>
  <c r="H91" i="2"/>
  <c r="E91" i="2" s="1" a="1"/>
  <c r="E91" i="2" s="1"/>
  <c r="H34" i="2"/>
  <c r="E34" i="2" s="1" a="1"/>
  <c r="E34" i="2" s="1"/>
  <c r="H586" i="2"/>
  <c r="E586" i="2" s="1" a="1"/>
  <c r="E586" i="2" s="1"/>
  <c r="H528" i="2"/>
  <c r="E528" i="2" s="1" a="1"/>
  <c r="E528" i="2" s="1"/>
  <c r="H386" i="2"/>
  <c r="E386" i="2" s="1" a="1"/>
  <c r="E386" i="2" s="1"/>
  <c r="H116" i="2"/>
  <c r="E116" i="2" s="1" a="1"/>
  <c r="E116" i="2" s="1"/>
  <c r="H87" i="2"/>
  <c r="E87" i="2" s="1" a="1"/>
  <c r="E87" i="2" s="1"/>
  <c r="H16" i="2"/>
  <c r="E16" i="2" s="1" a="1"/>
  <c r="E16" i="2" s="1"/>
  <c r="H9" i="2"/>
  <c r="E9" i="2" s="1" a="1"/>
  <c r="E9" i="2" s="1"/>
  <c r="H93" i="2"/>
  <c r="E93" i="2" s="1" a="1"/>
  <c r="E93" i="2" s="1"/>
  <c r="H205" i="2"/>
  <c r="E205" i="2" s="1" a="1"/>
  <c r="E205" i="2" s="1"/>
  <c r="H457" i="2"/>
  <c r="E457" i="2" s="1" a="1"/>
  <c r="E457" i="2" s="1"/>
  <c r="H527" i="2"/>
  <c r="E527" i="2" s="1" a="1"/>
  <c r="E527" i="2" s="1"/>
  <c r="H541" i="2"/>
  <c r="E541" i="2" s="1" a="1"/>
  <c r="E541" i="2" s="1"/>
  <c r="H569" i="2"/>
  <c r="E569" i="2" s="1" a="1"/>
  <c r="E569" i="2" s="1"/>
  <c r="H597" i="2"/>
  <c r="E597" i="2" s="1" a="1"/>
  <c r="E597" i="2" s="1"/>
  <c r="H13" i="2"/>
  <c r="E13" i="2" s="1" a="1"/>
  <c r="E13" i="2" s="1"/>
  <c r="H69" i="2"/>
  <c r="E69" i="2" s="1" a="1"/>
  <c r="E69" i="2" s="1"/>
  <c r="H125" i="2"/>
  <c r="E125" i="2" s="1" a="1"/>
  <c r="E125" i="2" s="1"/>
  <c r="H223" i="2"/>
  <c r="E223" i="2" s="1" a="1"/>
  <c r="E223" i="2" s="1"/>
  <c r="H335" i="2"/>
  <c r="E335" i="2" s="1" a="1"/>
  <c r="E335" i="2" s="1"/>
  <c r="H660" i="2"/>
  <c r="E660" i="2" s="1" a="1"/>
  <c r="E660" i="2" s="1"/>
  <c r="H646" i="2"/>
  <c r="E646" i="2" s="1" a="1"/>
  <c r="E646" i="2" s="1"/>
  <c r="H589" i="2"/>
  <c r="E589" i="2" s="1" a="1"/>
  <c r="E589" i="2" s="1"/>
  <c r="H575" i="2"/>
  <c r="E575" i="2" s="1" a="1"/>
  <c r="E575" i="2" s="1"/>
  <c r="H531" i="2"/>
  <c r="E531" i="2" s="1" a="1"/>
  <c r="E531" i="2" s="1"/>
  <c r="H516" i="2"/>
  <c r="E516" i="2" s="1" a="1"/>
  <c r="E516" i="2" s="1"/>
  <c r="H431" i="2"/>
  <c r="E431" i="2" s="1" a="1"/>
  <c r="E431" i="2" s="1"/>
  <c r="H332" i="2"/>
  <c r="E332" i="2" s="1" a="1"/>
  <c r="E332" i="2" s="1"/>
  <c r="H204" i="2"/>
  <c r="E204" i="2" s="1" a="1"/>
  <c r="E204" i="2" s="1"/>
  <c r="H119" i="2"/>
  <c r="E119" i="2" s="1" a="1"/>
  <c r="E119" i="2" s="1"/>
  <c r="H90" i="2"/>
  <c r="E90" i="2" s="1" a="1"/>
  <c r="E90" i="2" s="1"/>
  <c r="H33" i="2"/>
  <c r="E33" i="2" s="1" a="1"/>
  <c r="E33" i="2" s="1"/>
  <c r="P894" i="8" a="1"/>
  <c r="P920" i="8" a="1"/>
  <c r="J1186" i="8" a="1"/>
  <c r="J1040" i="8" a="1"/>
  <c r="P910" i="8" a="1"/>
  <c r="P786" i="8" a="1"/>
  <c r="J1130" i="8" a="1"/>
  <c r="J1064" i="8" a="1"/>
  <c r="J195" i="8" a="1"/>
  <c r="J338" i="8" a="1"/>
  <c r="J98" i="8" a="1"/>
  <c r="J78" i="8" a="1"/>
  <c r="J186" i="8" a="1"/>
  <c r="J130" i="8" a="1"/>
  <c r="J91" i="8" a="1"/>
  <c r="J254" i="8" a="1"/>
  <c r="J337" i="8" a="1"/>
  <c r="J196" i="8" a="1"/>
  <c r="J258" i="8" a="1"/>
  <c r="J209" i="8" a="1"/>
  <c r="J188" i="8" a="1"/>
  <c r="J1068" i="8" a="1"/>
  <c r="J99" i="8" a="1"/>
  <c r="J208" i="8" a="1"/>
  <c r="J149" i="8" a="1"/>
  <c r="J124" i="8" a="1"/>
  <c r="J261" i="8" a="1"/>
  <c r="J143" i="8" a="1"/>
  <c r="J88" i="8" a="1"/>
  <c r="J132" i="8" a="1"/>
  <c r="J158" i="8" a="1"/>
  <c r="J192" i="8" a="1"/>
  <c r="J90" i="8" a="1"/>
  <c r="J183" i="8" a="1"/>
  <c r="J213" i="8" a="1"/>
  <c r="J146" i="8" a="1"/>
  <c r="J171" i="8" a="1"/>
  <c r="J181" i="8" a="1"/>
  <c r="J216" i="8" a="1"/>
  <c r="J150" i="8" a="1"/>
  <c r="J122" i="8" a="1"/>
  <c r="J231" i="8" a="1"/>
  <c r="J101" i="8" a="1"/>
  <c r="J259" i="8" a="1"/>
  <c r="J252" i="8" a="1"/>
  <c r="J256" i="8" a="1"/>
  <c r="J247" i="8" a="1"/>
  <c r="J232" i="8" a="1"/>
  <c r="J257" i="8" a="1"/>
  <c r="J178" i="8" a="1"/>
  <c r="J1076" i="8" a="1"/>
  <c r="J194" i="8" a="1"/>
  <c r="J1072" i="8" a="1"/>
  <c r="J127" i="8" a="1"/>
  <c r="J145" i="8" a="1"/>
  <c r="J139" i="8" a="1"/>
  <c r="J1093" i="8" a="1"/>
  <c r="J1075" i="8" a="1"/>
  <c r="J169" i="8" a="1"/>
  <c r="J165" i="8" a="1"/>
  <c r="J1091" i="8" a="1"/>
  <c r="J166" i="8" a="1"/>
  <c r="J217" i="8" a="1"/>
  <c r="J234" i="8" a="1"/>
  <c r="J176" i="8" a="1"/>
  <c r="J180" i="8" a="1"/>
  <c r="J187" i="8" a="1"/>
  <c r="J95" i="8" a="1"/>
  <c r="J1073" i="8" a="1"/>
  <c r="J214" i="8" a="1"/>
  <c r="J80" i="8" a="1"/>
  <c r="J336" i="8" a="1"/>
  <c r="J210" i="8" a="1"/>
  <c r="J1096" i="8" a="1"/>
  <c r="J168" i="8" a="1"/>
  <c r="J172" i="8" a="1"/>
  <c r="J228" i="8" a="1"/>
  <c r="J151" i="8" a="1"/>
  <c r="J162" i="8" a="1"/>
  <c r="J262" i="8" a="1"/>
  <c r="J212" i="8" a="1"/>
  <c r="J226" i="8" a="1"/>
  <c r="J170" i="8" a="1"/>
  <c r="J156" i="8" a="1"/>
  <c r="J1098" i="8" a="1"/>
  <c r="J1067" i="8" a="1"/>
  <c r="J233" i="8" a="1"/>
  <c r="J207" i="8" a="1"/>
  <c r="J97" i="8" a="1"/>
  <c r="J167" i="8" a="1"/>
  <c r="J129" i="8" a="1"/>
  <c r="J225" i="8" a="1"/>
  <c r="J155" i="8" a="1"/>
  <c r="J248" i="8" a="1"/>
  <c r="J236" i="8" a="1"/>
  <c r="J120" i="8" a="1"/>
  <c r="J1092" i="8" a="1"/>
  <c r="J1099" i="8" a="1"/>
  <c r="J177" i="8" a="1"/>
  <c r="J223" i="8" a="1"/>
  <c r="J102" i="8" a="1"/>
  <c r="J128" i="8" a="1"/>
  <c r="J251" i="8" a="1"/>
  <c r="J89" i="8" a="1"/>
  <c r="J250" i="8" a="1"/>
  <c r="J125" i="8" a="1"/>
  <c r="J121" i="8" a="1"/>
  <c r="J255" i="8" a="1"/>
  <c r="J237" i="8" a="1"/>
  <c r="J230" i="8" a="1"/>
  <c r="J159" i="8" a="1"/>
  <c r="J94" i="8" a="1"/>
  <c r="J211" i="8" a="1"/>
  <c r="J190" i="8" a="1"/>
  <c r="J224" i="8" a="1"/>
  <c r="J215" i="8" a="1"/>
  <c r="J193" i="8" a="1"/>
  <c r="J1097" i="8" a="1"/>
  <c r="J79" i="8" a="1"/>
  <c r="J229" i="8" a="1"/>
  <c r="J220" i="8" a="1"/>
  <c r="J133" i="8" a="1"/>
  <c r="J182" i="8" a="1"/>
  <c r="J1074" i="8" a="1"/>
  <c r="J141" i="8" a="1"/>
  <c r="J1094" i="8" a="1"/>
  <c r="J96" i="8" a="1"/>
  <c r="J222" i="8" a="1"/>
  <c r="J1095" i="8" a="1"/>
  <c r="J249" i="8" a="1"/>
  <c r="J118" i="8" a="1"/>
  <c r="J153" i="8" a="1"/>
  <c r="J163" i="8" a="1"/>
  <c r="J239" i="8" a="1"/>
  <c r="J173" i="8" a="1"/>
  <c r="J131" i="8" a="1"/>
  <c r="J227" i="8" a="1"/>
  <c r="J144" i="8" a="1"/>
  <c r="J219" i="8" a="1"/>
  <c r="J197" i="8" a="1"/>
  <c r="J100" i="8" a="1"/>
  <c r="J174" i="8" a="1"/>
  <c r="J1065" i="8" a="1"/>
  <c r="J157" i="8" a="1"/>
  <c r="J147" i="8" a="1"/>
  <c r="J175" i="8" a="1"/>
  <c r="J119" i="8" a="1"/>
  <c r="J154" i="8" a="1"/>
  <c r="J221" i="8" a="1"/>
  <c r="J103" i="8" a="1"/>
  <c r="J1066" i="8" a="1"/>
  <c r="J240" i="8" a="1"/>
  <c r="J123" i="8" a="1"/>
  <c r="J160" i="8" a="1"/>
  <c r="J140" i="8" a="1"/>
  <c r="J191" i="8" a="1"/>
  <c r="J263" i="8" a="1"/>
  <c r="J164" i="8" a="1"/>
  <c r="J238" i="8" a="1"/>
  <c r="J218" i="8" a="1"/>
  <c r="J184" i="8" a="1"/>
  <c r="J189" i="8" a="1"/>
  <c r="J142" i="8" a="1"/>
  <c r="J185" i="8" a="1"/>
  <c r="J235" i="8" a="1"/>
  <c r="J148" i="8" a="1"/>
  <c r="J152" i="8" a="1"/>
  <c r="J1051" i="8" a="1"/>
  <c r="J92" i="8" a="1"/>
  <c r="J179" i="8" a="1"/>
  <c r="J126" i="8" a="1"/>
  <c r="J260" i="8" a="1"/>
  <c r="J1071" i="8" a="1"/>
  <c r="J253" i="8" a="1"/>
  <c r="J93" i="8" a="1"/>
  <c r="E122" i="14" l="1" a="1"/>
  <c r="E122" i="14" s="1"/>
  <c r="J224" i="8"/>
  <c r="J248" i="8"/>
  <c r="J212" i="8"/>
  <c r="J1095" i="8"/>
  <c r="J99" i="8"/>
  <c r="J145" i="8"/>
  <c r="J175" i="8"/>
  <c r="J211" i="8"/>
  <c r="J239" i="8"/>
  <c r="J93" i="8"/>
  <c r="J171" i="8"/>
  <c r="J256" i="8"/>
  <c r="J220" i="8"/>
  <c r="J1097" i="8"/>
  <c r="J101" i="8"/>
  <c r="J147" i="8"/>
  <c r="J177" i="8"/>
  <c r="J213" i="8"/>
  <c r="J247" i="8"/>
  <c r="J216" i="8"/>
  <c r="J252" i="8"/>
  <c r="J232" i="8"/>
  <c r="J1099" i="8"/>
  <c r="J103" i="8"/>
  <c r="J149" i="8"/>
  <c r="J179" i="8"/>
  <c r="J215" i="8"/>
  <c r="J249" i="8"/>
  <c r="J169" i="8"/>
  <c r="J1064" i="8"/>
  <c r="J207" i="8"/>
  <c r="J126" i="8"/>
  <c r="J240" i="8"/>
  <c r="J1096" i="8"/>
  <c r="J130" i="8"/>
  <c r="J122" i="8"/>
  <c r="J92" i="8"/>
  <c r="J176" i="8"/>
  <c r="J260" i="8"/>
  <c r="J254" i="8"/>
  <c r="J214" i="8"/>
  <c r="J119" i="8"/>
  <c r="J151" i="8"/>
  <c r="J181" i="8"/>
  <c r="J217" i="8"/>
  <c r="J251" i="8"/>
  <c r="J210" i="8"/>
  <c r="J118" i="8"/>
  <c r="J235" i="8"/>
  <c r="J150" i="8"/>
  <c r="J1093" i="8"/>
  <c r="J180" i="8"/>
  <c r="J1076" i="8"/>
  <c r="J164" i="8"/>
  <c r="J154" i="8"/>
  <c r="J166" i="8"/>
  <c r="J336" i="8"/>
  <c r="J338" i="8"/>
  <c r="J226" i="8"/>
  <c r="J121" i="8"/>
  <c r="J153" i="8"/>
  <c r="J183" i="8"/>
  <c r="J219" i="8"/>
  <c r="J253" i="8"/>
  <c r="J233" i="8"/>
  <c r="J228" i="8"/>
  <c r="J143" i="8"/>
  <c r="J196" i="8"/>
  <c r="J194" i="8"/>
  <c r="J170" i="8"/>
  <c r="J96" i="8"/>
  <c r="J78" i="8"/>
  <c r="J184" i="8"/>
  <c r="J88" i="8"/>
  <c r="J98" i="8"/>
  <c r="J238" i="8"/>
  <c r="J123" i="8"/>
  <c r="J155" i="8"/>
  <c r="J185" i="8"/>
  <c r="J221" i="8"/>
  <c r="J255" i="8"/>
  <c r="J222" i="8"/>
  <c r="J146" i="8"/>
  <c r="J237" i="8"/>
  <c r="J142" i="8"/>
  <c r="J128" i="8"/>
  <c r="J1094" i="8"/>
  <c r="J192" i="8"/>
  <c r="J144" i="8"/>
  <c r="J258" i="8"/>
  <c r="J125" i="8"/>
  <c r="J157" i="8"/>
  <c r="J187" i="8"/>
  <c r="J223" i="8"/>
  <c r="J257" i="8"/>
  <c r="J90" i="8"/>
  <c r="J141" i="8"/>
  <c r="J124" i="8"/>
  <c r="J209" i="8"/>
  <c r="J132" i="8"/>
  <c r="J1098" i="8"/>
  <c r="J160" i="8"/>
  <c r="J172" i="8"/>
  <c r="J162" i="8"/>
  <c r="J120" i="8"/>
  <c r="J102" i="8"/>
  <c r="J174" i="8"/>
  <c r="J218" i="8"/>
  <c r="J1065" i="8"/>
  <c r="J127" i="8"/>
  <c r="J159" i="8"/>
  <c r="J189" i="8"/>
  <c r="J225" i="8"/>
  <c r="J259" i="8"/>
  <c r="J140" i="8"/>
  <c r="J139" i="8"/>
  <c r="J168" i="8"/>
  <c r="J173" i="8"/>
  <c r="J236" i="8"/>
  <c r="J100" i="8"/>
  <c r="J208" i="8"/>
  <c r="J190" i="8"/>
  <c r="J152" i="8"/>
  <c r="J148" i="8"/>
  <c r="J1068" i="8"/>
  <c r="J230" i="8"/>
  <c r="J1067" i="8"/>
  <c r="J79" i="8"/>
  <c r="J129" i="8"/>
  <c r="J163" i="8"/>
  <c r="J191" i="8"/>
  <c r="J227" i="8"/>
  <c r="J261" i="8"/>
  <c r="J197" i="8"/>
  <c r="J1091" i="8"/>
  <c r="J1072" i="8"/>
  <c r="J97" i="8"/>
  <c r="J156" i="8"/>
  <c r="J186" i="8"/>
  <c r="J80" i="8"/>
  <c r="J1066" i="8"/>
  <c r="J158" i="8"/>
  <c r="J182" i="8"/>
  <c r="J178" i="8"/>
  <c r="J250" i="8"/>
  <c r="J1071" i="8"/>
  <c r="J89" i="8"/>
  <c r="J131" i="8"/>
  <c r="J165" i="8"/>
  <c r="J193" i="8"/>
  <c r="J229" i="8"/>
  <c r="J263" i="8"/>
  <c r="J1075" i="8"/>
  <c r="J95" i="8"/>
  <c r="J234" i="8"/>
  <c r="J94" i="8"/>
  <c r="J188" i="8"/>
  <c r="J1092" i="8"/>
  <c r="J1074" i="8"/>
  <c r="J1051" i="8"/>
  <c r="J262" i="8"/>
  <c r="J1073" i="8"/>
  <c r="J91" i="8"/>
  <c r="J133" i="8"/>
  <c r="J167" i="8"/>
  <c r="J195" i="8"/>
  <c r="J231" i="8"/>
  <c r="J337" i="8"/>
  <c r="L224" i="8" a="1"/>
  <c r="L224" i="8" s="1"/>
  <c r="K224" i="8" a="1"/>
  <c r="K224" i="8" s="1"/>
  <c r="M224" i="8" a="1"/>
  <c r="M224" i="8" s="1"/>
  <c r="N224" i="8" a="1"/>
  <c r="N224" i="8" s="1"/>
  <c r="N248" i="8" a="1"/>
  <c r="N248" i="8" s="1"/>
  <c r="L248" i="8" a="1"/>
  <c r="L248" i="8" s="1"/>
  <c r="M248" i="8" a="1"/>
  <c r="M248" i="8" s="1"/>
  <c r="K248" i="8" a="1"/>
  <c r="K248" i="8" s="1"/>
  <c r="N212" i="8" a="1"/>
  <c r="N212" i="8" s="1"/>
  <c r="M212" i="8" a="1"/>
  <c r="M212" i="8" s="1"/>
  <c r="K212" i="8" a="1"/>
  <c r="K212" i="8" s="1"/>
  <c r="L212" i="8" a="1"/>
  <c r="L212" i="8" s="1"/>
  <c r="K1095" i="8" a="1"/>
  <c r="K1095" i="8" s="1"/>
  <c r="M1095" i="8" a="1"/>
  <c r="M1095" i="8" s="1"/>
  <c r="L1095" i="8" a="1"/>
  <c r="L1095" i="8" s="1"/>
  <c r="N1095" i="8" a="1"/>
  <c r="N1095" i="8" s="1"/>
  <c r="N99" i="8" a="1"/>
  <c r="N99" i="8" s="1"/>
  <c r="M99" i="8" a="1"/>
  <c r="M99" i="8" s="1"/>
  <c r="L99" i="8" a="1"/>
  <c r="L99" i="8" s="1"/>
  <c r="K99" i="8" a="1"/>
  <c r="K99" i="8" s="1"/>
  <c r="K145" i="8" a="1"/>
  <c r="K145" i="8" s="1"/>
  <c r="N145" i="8" a="1"/>
  <c r="N145" i="8" s="1"/>
  <c r="M145" i="8" a="1"/>
  <c r="M145" i="8" s="1"/>
  <c r="L145" i="8" a="1"/>
  <c r="L145" i="8" s="1"/>
  <c r="M175" i="8" a="1"/>
  <c r="M175" i="8" s="1"/>
  <c r="K175" i="8" a="1"/>
  <c r="K175" i="8" s="1"/>
  <c r="L175" i="8" a="1"/>
  <c r="L175" i="8" s="1"/>
  <c r="N175" i="8" a="1"/>
  <c r="N175" i="8" s="1"/>
  <c r="M211" i="8" a="1"/>
  <c r="M211" i="8" s="1"/>
  <c r="N211" i="8" a="1"/>
  <c r="N211" i="8" s="1"/>
  <c r="K211" i="8" a="1"/>
  <c r="K211" i="8" s="1"/>
  <c r="L211" i="8" a="1"/>
  <c r="L211" i="8" s="1"/>
  <c r="M239" i="8" a="1"/>
  <c r="M239" i="8" s="1"/>
  <c r="N239" i="8" a="1"/>
  <c r="N239" i="8" s="1"/>
  <c r="K239" i="8" a="1"/>
  <c r="K239" i="8" s="1"/>
  <c r="L239" i="8" a="1"/>
  <c r="L239" i="8" s="1"/>
  <c r="M93" i="8" a="1"/>
  <c r="M93" i="8" s="1"/>
  <c r="K93" i="8" a="1"/>
  <c r="K93" i="8" s="1"/>
  <c r="L93" i="8" a="1"/>
  <c r="L93" i="8" s="1"/>
  <c r="N93" i="8" a="1"/>
  <c r="N93" i="8" s="1"/>
  <c r="M171" i="8" a="1"/>
  <c r="M171" i="8" s="1"/>
  <c r="L171" i="8" a="1"/>
  <c r="L171" i="8" s="1"/>
  <c r="N171" i="8" a="1"/>
  <c r="N171" i="8" s="1"/>
  <c r="K171" i="8" a="1"/>
  <c r="K171" i="8" s="1"/>
  <c r="K256" i="8" a="1"/>
  <c r="K256" i="8" s="1"/>
  <c r="N256" i="8" a="1"/>
  <c r="N256" i="8" s="1"/>
  <c r="L256" i="8" a="1"/>
  <c r="L256" i="8" s="1"/>
  <c r="M256" i="8" a="1"/>
  <c r="M256" i="8" s="1"/>
  <c r="N220" i="8" a="1"/>
  <c r="N220" i="8" s="1"/>
  <c r="L220" i="8" a="1"/>
  <c r="L220" i="8" s="1"/>
  <c r="K220" i="8" a="1"/>
  <c r="K220" i="8" s="1"/>
  <c r="M220" i="8" a="1"/>
  <c r="M220" i="8" s="1"/>
  <c r="N1097" i="8" a="1"/>
  <c r="N1097" i="8" s="1"/>
  <c r="M1097" i="8" a="1"/>
  <c r="M1097" i="8" s="1"/>
  <c r="L1097" i="8" a="1"/>
  <c r="L1097" i="8" s="1"/>
  <c r="K1097" i="8" a="1"/>
  <c r="K1097" i="8" s="1"/>
  <c r="M101" i="8" a="1"/>
  <c r="M101" i="8" s="1"/>
  <c r="L101" i="8" a="1"/>
  <c r="L101" i="8" s="1"/>
  <c r="K101" i="8" a="1"/>
  <c r="K101" i="8" s="1"/>
  <c r="N101" i="8" a="1"/>
  <c r="N101" i="8" s="1"/>
  <c r="L147" i="8" a="1"/>
  <c r="L147" i="8" s="1"/>
  <c r="K147" i="8" a="1"/>
  <c r="K147" i="8" s="1"/>
  <c r="M147" i="8" a="1"/>
  <c r="M147" i="8" s="1"/>
  <c r="N147" i="8" a="1"/>
  <c r="N147" i="8" s="1"/>
  <c r="K177" i="8" a="1"/>
  <c r="K177" i="8" s="1"/>
  <c r="L177" i="8" a="1"/>
  <c r="L177" i="8" s="1"/>
  <c r="N177" i="8" a="1"/>
  <c r="N177" i="8" s="1"/>
  <c r="M177" i="8" a="1"/>
  <c r="M177" i="8" s="1"/>
  <c r="M213" i="8" a="1"/>
  <c r="M213" i="8" s="1"/>
  <c r="L213" i="8" a="1"/>
  <c r="L213" i="8" s="1"/>
  <c r="N213" i="8" a="1"/>
  <c r="N213" i="8" s="1"/>
  <c r="K213" i="8" a="1"/>
  <c r="K213" i="8" s="1"/>
  <c r="M247" i="8" a="1"/>
  <c r="M247" i="8" s="1"/>
  <c r="K247" i="8" a="1"/>
  <c r="K247" i="8" s="1"/>
  <c r="N247" i="8" a="1"/>
  <c r="N247" i="8" s="1"/>
  <c r="L247" i="8" a="1"/>
  <c r="L247" i="8" s="1"/>
  <c r="M216" i="8" a="1"/>
  <c r="M216" i="8" s="1"/>
  <c r="K216" i="8" a="1"/>
  <c r="K216" i="8" s="1"/>
  <c r="N216" i="8" a="1"/>
  <c r="N216" i="8" s="1"/>
  <c r="L216" i="8" a="1"/>
  <c r="L216" i="8" s="1"/>
  <c r="N252" i="8" a="1"/>
  <c r="N252" i="8" s="1"/>
  <c r="L252" i="8" a="1"/>
  <c r="L252" i="8" s="1"/>
  <c r="K252" i="8" a="1"/>
  <c r="K252" i="8" s="1"/>
  <c r="M252" i="8" a="1"/>
  <c r="M252" i="8" s="1"/>
  <c r="N232" i="8" a="1"/>
  <c r="N232" i="8" s="1"/>
  <c r="K232" i="8" a="1"/>
  <c r="K232" i="8" s="1"/>
  <c r="M232" i="8" a="1"/>
  <c r="M232" i="8" s="1"/>
  <c r="L232" i="8" a="1"/>
  <c r="L232" i="8" s="1"/>
  <c r="K1099" i="8" a="1"/>
  <c r="K1099" i="8" s="1"/>
  <c r="N1099" i="8" a="1"/>
  <c r="N1099" i="8" s="1"/>
  <c r="L1099" i="8" a="1"/>
  <c r="L1099" i="8" s="1"/>
  <c r="M1099" i="8" a="1"/>
  <c r="M1099" i="8" s="1"/>
  <c r="M103" i="8" a="1"/>
  <c r="M103" i="8" s="1"/>
  <c r="L103" i="8" a="1"/>
  <c r="L103" i="8" s="1"/>
  <c r="K103" i="8" a="1"/>
  <c r="K103" i="8" s="1"/>
  <c r="N103" i="8" a="1"/>
  <c r="N103" i="8" s="1"/>
  <c r="K149" i="8" a="1"/>
  <c r="K149" i="8" s="1"/>
  <c r="L149" i="8" a="1"/>
  <c r="L149" i="8" s="1"/>
  <c r="N149" i="8" a="1"/>
  <c r="N149" i="8" s="1"/>
  <c r="M149" i="8" a="1"/>
  <c r="M149" i="8" s="1"/>
  <c r="M179" i="8" a="1"/>
  <c r="M179" i="8" s="1"/>
  <c r="L179" i="8" a="1"/>
  <c r="L179" i="8" s="1"/>
  <c r="K179" i="8" a="1"/>
  <c r="K179" i="8" s="1"/>
  <c r="N179" i="8" a="1"/>
  <c r="N179" i="8" s="1"/>
  <c r="K215" i="8" a="1"/>
  <c r="K215" i="8" s="1"/>
  <c r="M215" i="8" a="1"/>
  <c r="M215" i="8" s="1"/>
  <c r="N215" i="8" a="1"/>
  <c r="N215" i="8" s="1"/>
  <c r="L215" i="8" a="1"/>
  <c r="L215" i="8" s="1"/>
  <c r="L249" i="8" a="1"/>
  <c r="L249" i="8" s="1"/>
  <c r="N249" i="8" a="1"/>
  <c r="N249" i="8" s="1"/>
  <c r="K249" i="8" a="1"/>
  <c r="K249" i="8" s="1"/>
  <c r="M249" i="8" a="1"/>
  <c r="M249" i="8" s="1"/>
  <c r="L169" i="8" a="1"/>
  <c r="L169" i="8" s="1"/>
  <c r="M169" i="8" a="1"/>
  <c r="M169" i="8" s="1"/>
  <c r="K169" i="8" a="1"/>
  <c r="K169" i="8" s="1"/>
  <c r="N169" i="8" a="1"/>
  <c r="N169" i="8" s="1"/>
  <c r="N1064" i="8" a="1"/>
  <c r="N1064" i="8" s="1"/>
  <c r="M1064" i="8" a="1"/>
  <c r="M1064" i="8" s="1"/>
  <c r="K1064" i="8" a="1"/>
  <c r="K1064" i="8" s="1"/>
  <c r="L1064" i="8" a="1"/>
  <c r="L1064" i="8" s="1"/>
  <c r="L207" i="8" a="1"/>
  <c r="L207" i="8" s="1"/>
  <c r="N207" i="8" a="1"/>
  <c r="N207" i="8" s="1"/>
  <c r="K207" i="8" a="1"/>
  <c r="K207" i="8" s="1"/>
  <c r="M207" i="8" a="1"/>
  <c r="M207" i="8" s="1"/>
  <c r="L126" i="8" a="1"/>
  <c r="L126" i="8" s="1"/>
  <c r="M126" i="8" a="1"/>
  <c r="M126" i="8" s="1"/>
  <c r="K126" i="8" a="1"/>
  <c r="K126" i="8" s="1"/>
  <c r="N126" i="8" a="1"/>
  <c r="N126" i="8" s="1"/>
  <c r="L240" i="8" a="1"/>
  <c r="L240" i="8" s="1"/>
  <c r="K240" i="8" a="1"/>
  <c r="K240" i="8" s="1"/>
  <c r="M240" i="8" a="1"/>
  <c r="M240" i="8" s="1"/>
  <c r="N240" i="8" a="1"/>
  <c r="N240" i="8" s="1"/>
  <c r="K1096" i="8" a="1"/>
  <c r="K1096" i="8" s="1"/>
  <c r="N1096" i="8" a="1"/>
  <c r="N1096" i="8" s="1"/>
  <c r="L1096" i="8" a="1"/>
  <c r="L1096" i="8" s="1"/>
  <c r="M1096" i="8" a="1"/>
  <c r="M1096" i="8" s="1"/>
  <c r="M130" i="8" a="1"/>
  <c r="M130" i="8" s="1"/>
  <c r="L130" i="8" a="1"/>
  <c r="L130" i="8" s="1"/>
  <c r="N130" i="8" a="1"/>
  <c r="N130" i="8" s="1"/>
  <c r="K130" i="8" a="1"/>
  <c r="K130" i="8" s="1"/>
  <c r="K122" i="8" a="1"/>
  <c r="K122" i="8" s="1"/>
  <c r="N122" i="8" a="1"/>
  <c r="N122" i="8" s="1"/>
  <c r="M122" i="8" a="1"/>
  <c r="M122" i="8" s="1"/>
  <c r="L122" i="8" a="1"/>
  <c r="L122" i="8" s="1"/>
  <c r="L92" i="8" a="1"/>
  <c r="L92" i="8" s="1"/>
  <c r="K92" i="8" a="1"/>
  <c r="K92" i="8" s="1"/>
  <c r="N92" i="8" a="1"/>
  <c r="N92" i="8" s="1"/>
  <c r="M92" i="8" a="1"/>
  <c r="M92" i="8" s="1"/>
  <c r="M176" i="8" a="1"/>
  <c r="M176" i="8" s="1"/>
  <c r="L176" i="8" a="1"/>
  <c r="L176" i="8" s="1"/>
  <c r="K176" i="8" a="1"/>
  <c r="K176" i="8" s="1"/>
  <c r="N176" i="8" a="1"/>
  <c r="N176" i="8" s="1"/>
  <c r="L260" i="8" a="1"/>
  <c r="L260" i="8" s="1"/>
  <c r="M260" i="8" a="1"/>
  <c r="M260" i="8" s="1"/>
  <c r="K260" i="8" a="1"/>
  <c r="K260" i="8" s="1"/>
  <c r="N260" i="8" a="1"/>
  <c r="N260" i="8" s="1"/>
  <c r="M254" i="8" a="1"/>
  <c r="M254" i="8" s="1"/>
  <c r="L254" i="8" a="1"/>
  <c r="L254" i="8" s="1"/>
  <c r="K254" i="8" a="1"/>
  <c r="K254" i="8" s="1"/>
  <c r="N254" i="8" a="1"/>
  <c r="N254" i="8" s="1"/>
  <c r="M214" i="8" a="1"/>
  <c r="M214" i="8" s="1"/>
  <c r="K214" i="8" a="1"/>
  <c r="K214" i="8" s="1"/>
  <c r="N214" i="8" a="1"/>
  <c r="N214" i="8" s="1"/>
  <c r="L214" i="8" a="1"/>
  <c r="L214" i="8" s="1"/>
  <c r="N119" i="8" a="1"/>
  <c r="N119" i="8" s="1"/>
  <c r="L119" i="8" a="1"/>
  <c r="L119" i="8" s="1"/>
  <c r="M119" i="8" a="1"/>
  <c r="M119" i="8" s="1"/>
  <c r="K119" i="8" a="1"/>
  <c r="K119" i="8" s="1"/>
  <c r="L151" i="8" a="1"/>
  <c r="L151" i="8" s="1"/>
  <c r="K151" i="8" a="1"/>
  <c r="K151" i="8" s="1"/>
  <c r="M151" i="8" a="1"/>
  <c r="M151" i="8" s="1"/>
  <c r="N151" i="8" a="1"/>
  <c r="N151" i="8" s="1"/>
  <c r="M181" i="8" a="1"/>
  <c r="M181" i="8" s="1"/>
  <c r="N181" i="8" a="1"/>
  <c r="N181" i="8" s="1"/>
  <c r="K181" i="8" a="1"/>
  <c r="K181" i="8" s="1"/>
  <c r="L181" i="8" a="1"/>
  <c r="L181" i="8" s="1"/>
  <c r="L217" i="8" a="1"/>
  <c r="L217" i="8" s="1"/>
  <c r="M217" i="8" a="1"/>
  <c r="M217" i="8" s="1"/>
  <c r="K217" i="8" a="1"/>
  <c r="K217" i="8" s="1"/>
  <c r="N217" i="8" a="1"/>
  <c r="N217" i="8" s="1"/>
  <c r="K251" i="8" a="1"/>
  <c r="K251" i="8" s="1"/>
  <c r="L251" i="8" a="1"/>
  <c r="L251" i="8" s="1"/>
  <c r="M251" i="8" a="1"/>
  <c r="M251" i="8" s="1"/>
  <c r="N251" i="8" a="1"/>
  <c r="N251" i="8" s="1"/>
  <c r="M210" i="8" a="1"/>
  <c r="M210" i="8" s="1"/>
  <c r="L210" i="8" a="1"/>
  <c r="L210" i="8" s="1"/>
  <c r="K210" i="8" a="1"/>
  <c r="K210" i="8" s="1"/>
  <c r="N210" i="8" a="1"/>
  <c r="N210" i="8" s="1"/>
  <c r="K118" i="8" a="1"/>
  <c r="K118" i="8" s="1"/>
  <c r="M118" i="8" a="1"/>
  <c r="M118" i="8" s="1"/>
  <c r="L118" i="8" a="1"/>
  <c r="L118" i="8" s="1"/>
  <c r="N118" i="8" a="1"/>
  <c r="N118" i="8" s="1"/>
  <c r="M235" i="8" a="1"/>
  <c r="M235" i="8" s="1"/>
  <c r="N235" i="8" a="1"/>
  <c r="N235" i="8" s="1"/>
  <c r="L235" i="8" a="1"/>
  <c r="L235" i="8" s="1"/>
  <c r="K235" i="8" a="1"/>
  <c r="K235" i="8" s="1"/>
  <c r="K150" i="8" a="1"/>
  <c r="K150" i="8" s="1"/>
  <c r="L150" i="8" a="1"/>
  <c r="L150" i="8" s="1"/>
  <c r="N150" i="8" a="1"/>
  <c r="N150" i="8" s="1"/>
  <c r="M150" i="8" a="1"/>
  <c r="M150" i="8" s="1"/>
  <c r="L1093" i="8" a="1"/>
  <c r="L1093" i="8" s="1"/>
  <c r="K1093" i="8" a="1"/>
  <c r="K1093" i="8" s="1"/>
  <c r="M1093" i="8" a="1"/>
  <c r="M1093" i="8" s="1"/>
  <c r="N1093" i="8" a="1"/>
  <c r="N1093" i="8" s="1"/>
  <c r="L180" i="8" a="1"/>
  <c r="L180" i="8" s="1"/>
  <c r="N180" i="8" a="1"/>
  <c r="N180" i="8" s="1"/>
  <c r="K180" i="8" a="1"/>
  <c r="K180" i="8" s="1"/>
  <c r="M180" i="8" a="1"/>
  <c r="M180" i="8" s="1"/>
  <c r="M1076" i="8" a="1"/>
  <c r="M1076" i="8" s="1"/>
  <c r="K1076" i="8" a="1"/>
  <c r="K1076" i="8" s="1"/>
  <c r="L1076" i="8" a="1"/>
  <c r="L1076" i="8" s="1"/>
  <c r="N1076" i="8" a="1"/>
  <c r="N1076" i="8" s="1"/>
  <c r="N164" i="8" a="1"/>
  <c r="N164" i="8" s="1"/>
  <c r="L164" i="8" a="1"/>
  <c r="L164" i="8" s="1"/>
  <c r="K164" i="8" a="1"/>
  <c r="K164" i="8" s="1"/>
  <c r="M164" i="8" a="1"/>
  <c r="M164" i="8" s="1"/>
  <c r="M154" i="8" a="1"/>
  <c r="M154" i="8" s="1"/>
  <c r="K154" i="8" a="1"/>
  <c r="K154" i="8" s="1"/>
  <c r="L154" i="8" a="1"/>
  <c r="L154" i="8" s="1"/>
  <c r="N154" i="8" a="1"/>
  <c r="N154" i="8" s="1"/>
  <c r="K166" i="8" a="1"/>
  <c r="K166" i="8" s="1"/>
  <c r="N166" i="8" a="1"/>
  <c r="N166" i="8" s="1"/>
  <c r="M166" i="8" a="1"/>
  <c r="M166" i="8" s="1"/>
  <c r="L166" i="8" a="1"/>
  <c r="L166" i="8" s="1"/>
  <c r="M336" i="8" a="1"/>
  <c r="M336" i="8" s="1"/>
  <c r="N336" i="8" a="1"/>
  <c r="N336" i="8" s="1"/>
  <c r="K336" i="8" a="1"/>
  <c r="K336" i="8" s="1"/>
  <c r="L336" i="8" a="1"/>
  <c r="L336" i="8" s="1"/>
  <c r="K338" i="8" a="1"/>
  <c r="K338" i="8" s="1"/>
  <c r="M338" i="8" a="1"/>
  <c r="M338" i="8" s="1"/>
  <c r="N338" i="8" a="1"/>
  <c r="N338" i="8" s="1"/>
  <c r="L338" i="8" a="1"/>
  <c r="L338" i="8" s="1"/>
  <c r="L226" i="8" a="1"/>
  <c r="L226" i="8" s="1"/>
  <c r="K226" i="8" a="1"/>
  <c r="K226" i="8" s="1"/>
  <c r="N226" i="8" a="1"/>
  <c r="N226" i="8" s="1"/>
  <c r="M226" i="8" a="1"/>
  <c r="M226" i="8" s="1"/>
  <c r="N121" i="8" a="1"/>
  <c r="N121" i="8" s="1"/>
  <c r="M121" i="8" a="1"/>
  <c r="M121" i="8" s="1"/>
  <c r="K121" i="8" a="1"/>
  <c r="K121" i="8" s="1"/>
  <c r="L121" i="8" a="1"/>
  <c r="L121" i="8" s="1"/>
  <c r="K153" i="8" a="1"/>
  <c r="K153" i="8" s="1"/>
  <c r="L153" i="8" a="1"/>
  <c r="L153" i="8" s="1"/>
  <c r="M153" i="8" a="1"/>
  <c r="M153" i="8" s="1"/>
  <c r="N153" i="8" a="1"/>
  <c r="N153" i="8" s="1"/>
  <c r="N183" i="8" a="1"/>
  <c r="N183" i="8" s="1"/>
  <c r="L183" i="8" a="1"/>
  <c r="L183" i="8" s="1"/>
  <c r="K183" i="8" a="1"/>
  <c r="K183" i="8" s="1"/>
  <c r="M183" i="8" a="1"/>
  <c r="M183" i="8" s="1"/>
  <c r="K219" i="8" a="1"/>
  <c r="K219" i="8" s="1"/>
  <c r="M219" i="8" a="1"/>
  <c r="M219" i="8" s="1"/>
  <c r="N219" i="8" a="1"/>
  <c r="N219" i="8" s="1"/>
  <c r="L219" i="8" a="1"/>
  <c r="L219" i="8" s="1"/>
  <c r="K253" i="8" a="1"/>
  <c r="K253" i="8" s="1"/>
  <c r="L253" i="8" a="1"/>
  <c r="L253" i="8" s="1"/>
  <c r="M253" i="8" a="1"/>
  <c r="M253" i="8" s="1"/>
  <c r="N253" i="8" a="1"/>
  <c r="N253" i="8" s="1"/>
  <c r="N233" i="8" a="1"/>
  <c r="N233" i="8" s="1"/>
  <c r="L233" i="8" a="1"/>
  <c r="L233" i="8" s="1"/>
  <c r="M233" i="8" a="1"/>
  <c r="M233" i="8" s="1"/>
  <c r="K233" i="8" a="1"/>
  <c r="K233" i="8" s="1"/>
  <c r="M228" i="8" a="1"/>
  <c r="M228" i="8" s="1"/>
  <c r="N228" i="8" a="1"/>
  <c r="N228" i="8" s="1"/>
  <c r="L228" i="8" a="1"/>
  <c r="L228" i="8" s="1"/>
  <c r="K228" i="8" a="1"/>
  <c r="K228" i="8" s="1"/>
  <c r="N143" i="8" a="1"/>
  <c r="N143" i="8" s="1"/>
  <c r="L143" i="8" a="1"/>
  <c r="L143" i="8" s="1"/>
  <c r="K143" i="8" a="1"/>
  <c r="K143" i="8" s="1"/>
  <c r="M143" i="8" a="1"/>
  <c r="M143" i="8" s="1"/>
  <c r="N196" i="8" a="1"/>
  <c r="N196" i="8" s="1"/>
  <c r="M196" i="8" a="1"/>
  <c r="M196" i="8" s="1"/>
  <c r="L196" i="8" a="1"/>
  <c r="L196" i="8" s="1"/>
  <c r="K196" i="8" a="1"/>
  <c r="K196" i="8" s="1"/>
  <c r="M194" i="8" a="1"/>
  <c r="M194" i="8" s="1"/>
  <c r="L194" i="8" a="1"/>
  <c r="L194" i="8" s="1"/>
  <c r="N194" i="8" a="1"/>
  <c r="N194" i="8" s="1"/>
  <c r="K194" i="8" a="1"/>
  <c r="K194" i="8" s="1"/>
  <c r="M170" i="8" a="1"/>
  <c r="M170" i="8" s="1"/>
  <c r="N170" i="8" a="1"/>
  <c r="N170" i="8" s="1"/>
  <c r="L170" i="8" a="1"/>
  <c r="L170" i="8" s="1"/>
  <c r="K170" i="8" a="1"/>
  <c r="K170" i="8" s="1"/>
  <c r="M96" i="8" a="1"/>
  <c r="M96" i="8" s="1"/>
  <c r="K96" i="8" a="1"/>
  <c r="K96" i="8" s="1"/>
  <c r="L96" i="8" a="1"/>
  <c r="L96" i="8" s="1"/>
  <c r="N96" i="8" a="1"/>
  <c r="N96" i="8" s="1"/>
  <c r="N78" i="8" a="1"/>
  <c r="N78" i="8" s="1"/>
  <c r="M78" i="8" a="1"/>
  <c r="M78" i="8" s="1"/>
  <c r="K78" i="8" a="1"/>
  <c r="K78" i="8" s="1"/>
  <c r="L78" i="8" a="1"/>
  <c r="L78" i="8" s="1"/>
  <c r="N184" i="8" a="1"/>
  <c r="N184" i="8" s="1"/>
  <c r="L184" i="8" a="1"/>
  <c r="L184" i="8" s="1"/>
  <c r="K184" i="8" a="1"/>
  <c r="K184" i="8" s="1"/>
  <c r="M184" i="8" a="1"/>
  <c r="M184" i="8" s="1"/>
  <c r="K88" i="8" a="1"/>
  <c r="K88" i="8" s="1"/>
  <c r="N88" i="8" a="1"/>
  <c r="N88" i="8" s="1"/>
  <c r="M88" i="8" a="1"/>
  <c r="M88" i="8" s="1"/>
  <c r="L88" i="8" a="1"/>
  <c r="L88" i="8" s="1"/>
  <c r="M98" i="8" a="1"/>
  <c r="M98" i="8" s="1"/>
  <c r="L98" i="8" a="1"/>
  <c r="L98" i="8" s="1"/>
  <c r="K98" i="8" a="1"/>
  <c r="K98" i="8" s="1"/>
  <c r="N98" i="8" a="1"/>
  <c r="N98" i="8" s="1"/>
  <c r="L238" i="8" a="1"/>
  <c r="L238" i="8" s="1"/>
  <c r="M238" i="8" a="1"/>
  <c r="M238" i="8" s="1"/>
  <c r="N238" i="8" a="1"/>
  <c r="N238" i="8" s="1"/>
  <c r="K238" i="8" a="1"/>
  <c r="K238" i="8" s="1"/>
  <c r="L123" i="8" a="1"/>
  <c r="L123" i="8" s="1"/>
  <c r="M123" i="8" a="1"/>
  <c r="M123" i="8" s="1"/>
  <c r="K123" i="8" a="1"/>
  <c r="K123" i="8" s="1"/>
  <c r="N123" i="8" a="1"/>
  <c r="N123" i="8" s="1"/>
  <c r="M155" i="8" a="1"/>
  <c r="M155" i="8" s="1"/>
  <c r="N155" i="8" a="1"/>
  <c r="N155" i="8" s="1"/>
  <c r="L155" i="8" a="1"/>
  <c r="L155" i="8" s="1"/>
  <c r="K155" i="8" a="1"/>
  <c r="K155" i="8" s="1"/>
  <c r="M185" i="8" a="1"/>
  <c r="M185" i="8" s="1"/>
  <c r="L185" i="8" a="1"/>
  <c r="L185" i="8" s="1"/>
  <c r="K185" i="8" a="1"/>
  <c r="K185" i="8" s="1"/>
  <c r="N185" i="8" a="1"/>
  <c r="N185" i="8" s="1"/>
  <c r="K221" i="8" a="1"/>
  <c r="K221" i="8" s="1"/>
  <c r="N221" i="8" a="1"/>
  <c r="N221" i="8" s="1"/>
  <c r="M221" i="8" a="1"/>
  <c r="M221" i="8" s="1"/>
  <c r="L221" i="8" a="1"/>
  <c r="L221" i="8" s="1"/>
  <c r="K255" i="8" a="1"/>
  <c r="K255" i="8" s="1"/>
  <c r="L255" i="8" a="1"/>
  <c r="L255" i="8" s="1"/>
  <c r="N255" i="8" a="1"/>
  <c r="N255" i="8" s="1"/>
  <c r="M255" i="8" a="1"/>
  <c r="M255" i="8" s="1"/>
  <c r="M222" i="8" a="1"/>
  <c r="M222" i="8" s="1"/>
  <c r="N222" i="8" a="1"/>
  <c r="N222" i="8" s="1"/>
  <c r="L222" i="8" a="1"/>
  <c r="L222" i="8" s="1"/>
  <c r="K222" i="8" a="1"/>
  <c r="K222" i="8" s="1"/>
  <c r="M146" i="8" a="1"/>
  <c r="M146" i="8" s="1"/>
  <c r="L146" i="8" a="1"/>
  <c r="L146" i="8" s="1"/>
  <c r="N146" i="8" a="1"/>
  <c r="N146" i="8" s="1"/>
  <c r="K146" i="8" a="1"/>
  <c r="K146" i="8" s="1"/>
  <c r="L237" i="8" a="1"/>
  <c r="L237" i="8" s="1"/>
  <c r="M237" i="8" a="1"/>
  <c r="M237" i="8" s="1"/>
  <c r="K237" i="8" a="1"/>
  <c r="K237" i="8" s="1"/>
  <c r="N237" i="8" a="1"/>
  <c r="N237" i="8" s="1"/>
  <c r="K142" i="8" a="1"/>
  <c r="K142" i="8" s="1"/>
  <c r="L142" i="8" a="1"/>
  <c r="L142" i="8" s="1"/>
  <c r="N142" i="8" a="1"/>
  <c r="N142" i="8" s="1"/>
  <c r="M142" i="8" a="1"/>
  <c r="M142" i="8" s="1"/>
  <c r="K128" i="8" a="1"/>
  <c r="K128" i="8" s="1"/>
  <c r="L128" i="8" a="1"/>
  <c r="L128" i="8" s="1"/>
  <c r="M128" i="8" a="1"/>
  <c r="M128" i="8" s="1"/>
  <c r="N128" i="8" a="1"/>
  <c r="N128" i="8" s="1"/>
  <c r="M1094" i="8" a="1"/>
  <c r="M1094" i="8" s="1"/>
  <c r="L1094" i="8" a="1"/>
  <c r="L1094" i="8" s="1"/>
  <c r="N1094" i="8" a="1"/>
  <c r="N1094" i="8" s="1"/>
  <c r="K1094" i="8" a="1"/>
  <c r="K1094" i="8" s="1"/>
  <c r="N192" i="8" a="1"/>
  <c r="N192" i="8" s="1"/>
  <c r="L192" i="8" a="1"/>
  <c r="L192" i="8" s="1"/>
  <c r="M192" i="8" a="1"/>
  <c r="M192" i="8" s="1"/>
  <c r="K192" i="8" a="1"/>
  <c r="K192" i="8" s="1"/>
  <c r="L144" i="8" a="1"/>
  <c r="L144" i="8" s="1"/>
  <c r="K144" i="8" a="1"/>
  <c r="K144" i="8" s="1"/>
  <c r="N144" i="8" a="1"/>
  <c r="N144" i="8" s="1"/>
  <c r="M144" i="8" a="1"/>
  <c r="M144" i="8" s="1"/>
  <c r="N258" i="8" a="1"/>
  <c r="N258" i="8" s="1"/>
  <c r="L258" i="8" a="1"/>
  <c r="L258" i="8" s="1"/>
  <c r="K258" i="8" a="1"/>
  <c r="K258" i="8" s="1"/>
  <c r="M258" i="8" a="1"/>
  <c r="M258" i="8" s="1"/>
  <c r="M125" i="8" a="1"/>
  <c r="M125" i="8" s="1"/>
  <c r="K125" i="8" a="1"/>
  <c r="K125" i="8" s="1"/>
  <c r="N125" i="8" a="1"/>
  <c r="N125" i="8" s="1"/>
  <c r="L125" i="8" a="1"/>
  <c r="L125" i="8" s="1"/>
  <c r="L157" i="8" a="1"/>
  <c r="L157" i="8" s="1"/>
  <c r="K157" i="8" a="1"/>
  <c r="K157" i="8" s="1"/>
  <c r="M157" i="8" a="1"/>
  <c r="M157" i="8" s="1"/>
  <c r="N157" i="8" a="1"/>
  <c r="N157" i="8" s="1"/>
  <c r="N187" i="8" a="1"/>
  <c r="N187" i="8" s="1"/>
  <c r="L187" i="8" a="1"/>
  <c r="L187" i="8" s="1"/>
  <c r="K187" i="8" a="1"/>
  <c r="K187" i="8" s="1"/>
  <c r="M187" i="8" a="1"/>
  <c r="M187" i="8" s="1"/>
  <c r="L223" i="8" a="1"/>
  <c r="L223" i="8" s="1"/>
  <c r="K223" i="8" a="1"/>
  <c r="K223" i="8" s="1"/>
  <c r="N223" i="8" a="1"/>
  <c r="N223" i="8" s="1"/>
  <c r="M223" i="8" a="1"/>
  <c r="M223" i="8" s="1"/>
  <c r="K257" i="8" a="1"/>
  <c r="K257" i="8" s="1"/>
  <c r="N257" i="8" a="1"/>
  <c r="N257" i="8" s="1"/>
  <c r="M257" i="8" a="1"/>
  <c r="M257" i="8" s="1"/>
  <c r="L257" i="8" a="1"/>
  <c r="L257" i="8" s="1"/>
  <c r="K90" i="8" a="1"/>
  <c r="K90" i="8" s="1"/>
  <c r="L90" i="8" a="1"/>
  <c r="L90" i="8" s="1"/>
  <c r="M90" i="8" a="1"/>
  <c r="M90" i="8" s="1"/>
  <c r="N90" i="8" a="1"/>
  <c r="N90" i="8" s="1"/>
  <c r="K141" i="8" a="1"/>
  <c r="K141" i="8" s="1"/>
  <c r="L141" i="8" a="1"/>
  <c r="L141" i="8" s="1"/>
  <c r="N141" i="8" a="1"/>
  <c r="N141" i="8" s="1"/>
  <c r="M141" i="8" a="1"/>
  <c r="M141" i="8" s="1"/>
  <c r="K124" i="8" a="1"/>
  <c r="K124" i="8" s="1"/>
  <c r="M124" i="8" a="1"/>
  <c r="M124" i="8" s="1"/>
  <c r="L124" i="8" a="1"/>
  <c r="L124" i="8" s="1"/>
  <c r="N124" i="8" a="1"/>
  <c r="N124" i="8" s="1"/>
  <c r="L209" i="8" a="1"/>
  <c r="L209" i="8" s="1"/>
  <c r="N209" i="8" a="1"/>
  <c r="N209" i="8" s="1"/>
  <c r="K209" i="8" a="1"/>
  <c r="K209" i="8" s="1"/>
  <c r="M209" i="8" a="1"/>
  <c r="M209" i="8" s="1"/>
  <c r="M132" i="8" a="1"/>
  <c r="M132" i="8" s="1"/>
  <c r="L132" i="8" a="1"/>
  <c r="L132" i="8" s="1"/>
  <c r="K132" i="8" a="1"/>
  <c r="K132" i="8" s="1"/>
  <c r="N132" i="8" a="1"/>
  <c r="N132" i="8" s="1"/>
  <c r="L1098" i="8" a="1"/>
  <c r="L1098" i="8" s="1"/>
  <c r="K1098" i="8" a="1"/>
  <c r="K1098" i="8" s="1"/>
  <c r="N1098" i="8" a="1"/>
  <c r="N1098" i="8" s="1"/>
  <c r="M1098" i="8" a="1"/>
  <c r="M1098" i="8" s="1"/>
  <c r="L160" i="8" a="1"/>
  <c r="L160" i="8" s="1"/>
  <c r="N160" i="8" a="1"/>
  <c r="N160" i="8" s="1"/>
  <c r="K160" i="8" a="1"/>
  <c r="K160" i="8" s="1"/>
  <c r="M160" i="8" a="1"/>
  <c r="M160" i="8" s="1"/>
  <c r="K172" i="8" a="1"/>
  <c r="K172" i="8" s="1"/>
  <c r="M172" i="8" a="1"/>
  <c r="M172" i="8" s="1"/>
  <c r="L172" i="8" a="1"/>
  <c r="L172" i="8" s="1"/>
  <c r="N172" i="8" a="1"/>
  <c r="N172" i="8" s="1"/>
  <c r="N162" i="8" a="1"/>
  <c r="N162" i="8" s="1"/>
  <c r="K162" i="8" a="1"/>
  <c r="K162" i="8" s="1"/>
  <c r="L162" i="8" a="1"/>
  <c r="L162" i="8" s="1"/>
  <c r="M162" i="8" a="1"/>
  <c r="M162" i="8" s="1"/>
  <c r="K120" i="8" a="1"/>
  <c r="K120" i="8" s="1"/>
  <c r="N120" i="8" a="1"/>
  <c r="N120" i="8" s="1"/>
  <c r="L120" i="8" a="1"/>
  <c r="L120" i="8" s="1"/>
  <c r="M120" i="8" a="1"/>
  <c r="M120" i="8" s="1"/>
  <c r="M102" i="8" a="1"/>
  <c r="M102" i="8" s="1"/>
  <c r="L102" i="8" a="1"/>
  <c r="L102" i="8" s="1"/>
  <c r="N102" i="8" a="1"/>
  <c r="N102" i="8" s="1"/>
  <c r="K102" i="8" a="1"/>
  <c r="K102" i="8" s="1"/>
  <c r="K174" i="8" a="1"/>
  <c r="K174" i="8" s="1"/>
  <c r="N174" i="8" a="1"/>
  <c r="N174" i="8" s="1"/>
  <c r="M174" i="8" a="1"/>
  <c r="M174" i="8" s="1"/>
  <c r="L174" i="8" a="1"/>
  <c r="L174" i="8" s="1"/>
  <c r="E109" i="14" a="1"/>
  <c r="E109" i="14" s="1"/>
  <c r="M218" i="8" a="1"/>
  <c r="M218" i="8" s="1"/>
  <c r="L218" i="8" a="1"/>
  <c r="L218" i="8" s="1"/>
  <c r="K218" i="8" a="1"/>
  <c r="K218" i="8" s="1"/>
  <c r="N218" i="8" a="1"/>
  <c r="N218" i="8" s="1"/>
  <c r="M1065" i="8" a="1"/>
  <c r="M1065" i="8" s="1"/>
  <c r="K1065" i="8" a="1"/>
  <c r="K1065" i="8" s="1"/>
  <c r="N1065" i="8" a="1"/>
  <c r="N1065" i="8" s="1"/>
  <c r="L1065" i="8" a="1"/>
  <c r="L1065" i="8" s="1"/>
  <c r="M127" i="8" a="1"/>
  <c r="M127" i="8" s="1"/>
  <c r="K127" i="8" a="1"/>
  <c r="K127" i="8" s="1"/>
  <c r="N127" i="8" a="1"/>
  <c r="N127" i="8" s="1"/>
  <c r="L127" i="8" a="1"/>
  <c r="L127" i="8" s="1"/>
  <c r="M159" i="8" a="1"/>
  <c r="M159" i="8" s="1"/>
  <c r="K159" i="8" a="1"/>
  <c r="K159" i="8" s="1"/>
  <c r="L159" i="8" a="1"/>
  <c r="L159" i="8" s="1"/>
  <c r="N159" i="8" a="1"/>
  <c r="N159" i="8" s="1"/>
  <c r="K189" i="8" a="1"/>
  <c r="K189" i="8" s="1"/>
  <c r="M189" i="8" a="1"/>
  <c r="M189" i="8" s="1"/>
  <c r="N189" i="8" a="1"/>
  <c r="N189" i="8" s="1"/>
  <c r="L189" i="8" a="1"/>
  <c r="L189" i="8" s="1"/>
  <c r="N225" i="8" a="1"/>
  <c r="N225" i="8" s="1"/>
  <c r="L225" i="8" a="1"/>
  <c r="L225" i="8" s="1"/>
  <c r="M225" i="8" a="1"/>
  <c r="M225" i="8" s="1"/>
  <c r="K225" i="8" a="1"/>
  <c r="K225" i="8" s="1"/>
  <c r="N259" i="8" a="1"/>
  <c r="N259" i="8" s="1"/>
  <c r="M259" i="8" a="1"/>
  <c r="M259" i="8" s="1"/>
  <c r="L259" i="8" a="1"/>
  <c r="L259" i="8" s="1"/>
  <c r="K259" i="8" a="1"/>
  <c r="K259" i="8" s="1"/>
  <c r="M140" i="8" a="1"/>
  <c r="M140" i="8" s="1"/>
  <c r="K140" i="8" a="1"/>
  <c r="K140" i="8" s="1"/>
  <c r="N140" i="8" a="1"/>
  <c r="N140" i="8" s="1"/>
  <c r="L140" i="8" a="1"/>
  <c r="L140" i="8" s="1"/>
  <c r="K139" i="8" a="1"/>
  <c r="K139" i="8" s="1"/>
  <c r="N139" i="8" a="1"/>
  <c r="N139" i="8" s="1"/>
  <c r="M139" i="8" a="1"/>
  <c r="M139" i="8" s="1"/>
  <c r="L139" i="8" a="1"/>
  <c r="L139" i="8" s="1"/>
  <c r="K168" i="8" a="1"/>
  <c r="K168" i="8" s="1"/>
  <c r="N168" i="8" a="1"/>
  <c r="N168" i="8" s="1"/>
  <c r="M168" i="8" a="1"/>
  <c r="M168" i="8" s="1"/>
  <c r="L168" i="8" a="1"/>
  <c r="L168" i="8" s="1"/>
  <c r="L173" i="8" a="1"/>
  <c r="L173" i="8" s="1"/>
  <c r="M173" i="8" a="1"/>
  <c r="M173" i="8" s="1"/>
  <c r="N173" i="8" a="1"/>
  <c r="N173" i="8" s="1"/>
  <c r="K173" i="8" a="1"/>
  <c r="K173" i="8" s="1"/>
  <c r="M236" i="8" a="1"/>
  <c r="M236" i="8" s="1"/>
  <c r="K236" i="8" a="1"/>
  <c r="K236" i="8" s="1"/>
  <c r="L236" i="8" a="1"/>
  <c r="L236" i="8" s="1"/>
  <c r="N236" i="8" a="1"/>
  <c r="N236" i="8" s="1"/>
  <c r="M100" i="8" a="1"/>
  <c r="M100" i="8" s="1"/>
  <c r="L100" i="8" a="1"/>
  <c r="L100" i="8" s="1"/>
  <c r="K100" i="8" a="1"/>
  <c r="K100" i="8" s="1"/>
  <c r="N100" i="8" a="1"/>
  <c r="N100" i="8" s="1"/>
  <c r="L208" i="8" a="1"/>
  <c r="L208" i="8" s="1"/>
  <c r="N208" i="8" a="1"/>
  <c r="N208" i="8" s="1"/>
  <c r="M208" i="8" a="1"/>
  <c r="M208" i="8" s="1"/>
  <c r="K208" i="8" a="1"/>
  <c r="K208" i="8" s="1"/>
  <c r="N190" i="8" a="1"/>
  <c r="N190" i="8" s="1"/>
  <c r="L190" i="8" a="1"/>
  <c r="L190" i="8" s="1"/>
  <c r="M190" i="8" a="1"/>
  <c r="M190" i="8" s="1"/>
  <c r="K190" i="8" a="1"/>
  <c r="K190" i="8" s="1"/>
  <c r="L152" i="8" a="1"/>
  <c r="L152" i="8" s="1"/>
  <c r="K152" i="8" a="1"/>
  <c r="K152" i="8" s="1"/>
  <c r="M152" i="8" a="1"/>
  <c r="M152" i="8" s="1"/>
  <c r="N152" i="8" a="1"/>
  <c r="N152" i="8" s="1"/>
  <c r="M148" i="8" a="1"/>
  <c r="M148" i="8" s="1"/>
  <c r="K148" i="8" a="1"/>
  <c r="K148" i="8" s="1"/>
  <c r="N148" i="8" a="1"/>
  <c r="N148" i="8" s="1"/>
  <c r="L148" i="8" a="1"/>
  <c r="L148" i="8" s="1"/>
  <c r="K1068" i="8" a="1"/>
  <c r="K1068" i="8" s="1"/>
  <c r="L1068" i="8" a="1"/>
  <c r="L1068" i="8" s="1"/>
  <c r="M1068" i="8" a="1"/>
  <c r="M1068" i="8" s="1"/>
  <c r="N1068" i="8" a="1"/>
  <c r="N1068" i="8" s="1"/>
  <c r="E95" i="14" a="1"/>
  <c r="E95" i="14" s="1"/>
  <c r="L230" i="8" a="1"/>
  <c r="L230" i="8" s="1"/>
  <c r="N230" i="8" a="1"/>
  <c r="N230" i="8" s="1"/>
  <c r="K230" i="8" a="1"/>
  <c r="K230" i="8" s="1"/>
  <c r="M230" i="8" a="1"/>
  <c r="M230" i="8" s="1"/>
  <c r="K1067" i="8" a="1"/>
  <c r="K1067" i="8" s="1"/>
  <c r="N1067" i="8" a="1"/>
  <c r="N1067" i="8" s="1"/>
  <c r="L1067" i="8" a="1"/>
  <c r="L1067" i="8" s="1"/>
  <c r="M1067" i="8" a="1"/>
  <c r="M1067" i="8" s="1"/>
  <c r="L79" i="8" a="1"/>
  <c r="L79" i="8" s="1"/>
  <c r="N79" i="8" a="1"/>
  <c r="N79" i="8" s="1"/>
  <c r="M79" i="8" a="1"/>
  <c r="M79" i="8" s="1"/>
  <c r="K79" i="8" a="1"/>
  <c r="K79" i="8" s="1"/>
  <c r="L129" i="8" a="1"/>
  <c r="L129" i="8" s="1"/>
  <c r="K129" i="8" a="1"/>
  <c r="K129" i="8" s="1"/>
  <c r="N129" i="8" a="1"/>
  <c r="N129" i="8" s="1"/>
  <c r="M129" i="8" a="1"/>
  <c r="M129" i="8" s="1"/>
  <c r="N163" i="8" a="1"/>
  <c r="N163" i="8" s="1"/>
  <c r="L163" i="8" a="1"/>
  <c r="L163" i="8" s="1"/>
  <c r="K163" i="8" a="1"/>
  <c r="K163" i="8" s="1"/>
  <c r="M163" i="8" a="1"/>
  <c r="M163" i="8" s="1"/>
  <c r="L191" i="8" a="1"/>
  <c r="L191" i="8" s="1"/>
  <c r="K191" i="8" a="1"/>
  <c r="K191" i="8" s="1"/>
  <c r="N191" i="8" a="1"/>
  <c r="N191" i="8" s="1"/>
  <c r="M191" i="8" a="1"/>
  <c r="M191" i="8" s="1"/>
  <c r="K227" i="8" a="1"/>
  <c r="K227" i="8" s="1"/>
  <c r="N227" i="8" a="1"/>
  <c r="N227" i="8" s="1"/>
  <c r="M227" i="8" a="1"/>
  <c r="M227" i="8" s="1"/>
  <c r="L227" i="8" a="1"/>
  <c r="L227" i="8" s="1"/>
  <c r="L261" i="8" a="1"/>
  <c r="L261" i="8" s="1"/>
  <c r="K261" i="8" a="1"/>
  <c r="K261" i="8" s="1"/>
  <c r="N261" i="8" a="1"/>
  <c r="N261" i="8" s="1"/>
  <c r="M261" i="8" a="1"/>
  <c r="M261" i="8" s="1"/>
  <c r="N197" i="8" a="1"/>
  <c r="N197" i="8" s="1"/>
  <c r="K197" i="8" a="1"/>
  <c r="K197" i="8" s="1"/>
  <c r="L197" i="8" a="1"/>
  <c r="L197" i="8" s="1"/>
  <c r="M197" i="8" a="1"/>
  <c r="M197" i="8" s="1"/>
  <c r="K1091" i="8" a="1"/>
  <c r="K1091" i="8" s="1"/>
  <c r="M1091" i="8" a="1"/>
  <c r="M1091" i="8" s="1"/>
  <c r="N1091" i="8" a="1"/>
  <c r="N1091" i="8" s="1"/>
  <c r="L1091" i="8" a="1"/>
  <c r="L1091" i="8" s="1"/>
  <c r="K1072" i="8" a="1"/>
  <c r="K1072" i="8" s="1"/>
  <c r="N1072" i="8" a="1"/>
  <c r="N1072" i="8" s="1"/>
  <c r="M1072" i="8" a="1"/>
  <c r="M1072" i="8" s="1"/>
  <c r="L1072" i="8" a="1"/>
  <c r="L1072" i="8" s="1"/>
  <c r="M97" i="8" a="1"/>
  <c r="M97" i="8" s="1"/>
  <c r="L97" i="8" a="1"/>
  <c r="L97" i="8" s="1"/>
  <c r="K97" i="8" a="1"/>
  <c r="K97" i="8" s="1"/>
  <c r="N97" i="8" a="1"/>
  <c r="N97" i="8" s="1"/>
  <c r="M156" i="8" a="1"/>
  <c r="M156" i="8" s="1"/>
  <c r="K156" i="8" a="1"/>
  <c r="K156" i="8" s="1"/>
  <c r="N156" i="8" a="1"/>
  <c r="N156" i="8" s="1"/>
  <c r="L156" i="8" a="1"/>
  <c r="L156" i="8" s="1"/>
  <c r="L186" i="8" a="1"/>
  <c r="L186" i="8" s="1"/>
  <c r="K186" i="8" a="1"/>
  <c r="K186" i="8" s="1"/>
  <c r="M186" i="8" a="1"/>
  <c r="M186" i="8" s="1"/>
  <c r="N186" i="8" a="1"/>
  <c r="N186" i="8" s="1"/>
  <c r="N80" i="8" a="1"/>
  <c r="N80" i="8" s="1"/>
  <c r="K80" i="8" a="1"/>
  <c r="K80" i="8" s="1"/>
  <c r="M80" i="8" a="1"/>
  <c r="M80" i="8" s="1"/>
  <c r="L80" i="8" a="1"/>
  <c r="L80" i="8" s="1"/>
  <c r="M1066" i="8" a="1"/>
  <c r="M1066" i="8" s="1"/>
  <c r="K1066" i="8" a="1"/>
  <c r="K1066" i="8" s="1"/>
  <c r="L1066" i="8" a="1"/>
  <c r="L1066" i="8" s="1"/>
  <c r="N1066" i="8" a="1"/>
  <c r="N1066" i="8" s="1"/>
  <c r="K158" i="8" a="1"/>
  <c r="K158" i="8" s="1"/>
  <c r="N158" i="8" a="1"/>
  <c r="N158" i="8" s="1"/>
  <c r="L158" i="8" a="1"/>
  <c r="L158" i="8" s="1"/>
  <c r="M158" i="8" a="1"/>
  <c r="M158" i="8" s="1"/>
  <c r="N182" i="8" a="1"/>
  <c r="N182" i="8" s="1"/>
  <c r="K182" i="8" a="1"/>
  <c r="K182" i="8" s="1"/>
  <c r="L182" i="8" a="1"/>
  <c r="L182" i="8" s="1"/>
  <c r="M182" i="8" a="1"/>
  <c r="M182" i="8" s="1"/>
  <c r="N178" i="8" a="1"/>
  <c r="N178" i="8" s="1"/>
  <c r="M178" i="8" a="1"/>
  <c r="M178" i="8" s="1"/>
  <c r="K178" i="8" a="1"/>
  <c r="K178" i="8" s="1"/>
  <c r="L178" i="8" a="1"/>
  <c r="L178" i="8" s="1"/>
  <c r="E106" i="14" a="1"/>
  <c r="E106" i="14" s="1"/>
  <c r="K250" i="8" a="1"/>
  <c r="K250" i="8" s="1"/>
  <c r="N250" i="8" a="1"/>
  <c r="N250" i="8" s="1"/>
  <c r="M250" i="8" a="1"/>
  <c r="M250" i="8" s="1"/>
  <c r="L250" i="8" a="1"/>
  <c r="L250" i="8" s="1"/>
  <c r="M1071" i="8" a="1"/>
  <c r="M1071" i="8" s="1"/>
  <c r="L1071" i="8" a="1"/>
  <c r="L1071" i="8" s="1"/>
  <c r="N1071" i="8" a="1"/>
  <c r="N1071" i="8" s="1"/>
  <c r="K1071" i="8" a="1"/>
  <c r="K1071" i="8" s="1"/>
  <c r="K89" i="8" a="1"/>
  <c r="K89" i="8" s="1"/>
  <c r="N89" i="8" a="1"/>
  <c r="N89" i="8" s="1"/>
  <c r="L89" i="8" a="1"/>
  <c r="L89" i="8" s="1"/>
  <c r="M89" i="8" a="1"/>
  <c r="M89" i="8" s="1"/>
  <c r="M131" i="8" a="1"/>
  <c r="M131" i="8" s="1"/>
  <c r="K131" i="8" a="1"/>
  <c r="K131" i="8" s="1"/>
  <c r="N131" i="8" a="1"/>
  <c r="N131" i="8" s="1"/>
  <c r="L131" i="8" a="1"/>
  <c r="L131" i="8" s="1"/>
  <c r="K165" i="8" a="1"/>
  <c r="K165" i="8" s="1"/>
  <c r="M165" i="8" a="1"/>
  <c r="M165" i="8" s="1"/>
  <c r="N165" i="8" a="1"/>
  <c r="N165" i="8" s="1"/>
  <c r="L165" i="8" a="1"/>
  <c r="L165" i="8" s="1"/>
  <c r="N193" i="8" a="1"/>
  <c r="N193" i="8" s="1"/>
  <c r="M193" i="8" a="1"/>
  <c r="M193" i="8" s="1"/>
  <c r="K193" i="8" a="1"/>
  <c r="K193" i="8" s="1"/>
  <c r="L193" i="8" a="1"/>
  <c r="L193" i="8" s="1"/>
  <c r="L229" i="8" a="1"/>
  <c r="L229" i="8" s="1"/>
  <c r="N229" i="8" a="1"/>
  <c r="N229" i="8" s="1"/>
  <c r="M229" i="8" a="1"/>
  <c r="M229" i="8" s="1"/>
  <c r="K229" i="8" a="1"/>
  <c r="K229" i="8" s="1"/>
  <c r="N263" i="8" a="1"/>
  <c r="N263" i="8" s="1"/>
  <c r="K263" i="8" a="1"/>
  <c r="K263" i="8" s="1"/>
  <c r="L263" i="8" a="1"/>
  <c r="L263" i="8" s="1"/>
  <c r="M263" i="8" a="1"/>
  <c r="M263" i="8" s="1"/>
  <c r="L1075" i="8" a="1"/>
  <c r="L1075" i="8" s="1"/>
  <c r="M1075" i="8" a="1"/>
  <c r="M1075" i="8" s="1"/>
  <c r="K1075" i="8" a="1"/>
  <c r="K1075" i="8" s="1"/>
  <c r="N1075" i="8" a="1"/>
  <c r="N1075" i="8" s="1"/>
  <c r="L95" i="8" a="1"/>
  <c r="L95" i="8" s="1"/>
  <c r="K95" i="8" a="1"/>
  <c r="K95" i="8" s="1"/>
  <c r="M95" i="8" a="1"/>
  <c r="M95" i="8" s="1"/>
  <c r="N95" i="8" a="1"/>
  <c r="N95" i="8" s="1"/>
  <c r="K234" i="8" a="1"/>
  <c r="K234" i="8" s="1"/>
  <c r="M234" i="8" a="1"/>
  <c r="M234" i="8" s="1"/>
  <c r="L234" i="8" a="1"/>
  <c r="L234" i="8" s="1"/>
  <c r="N234" i="8" a="1"/>
  <c r="N234" i="8" s="1"/>
  <c r="K94" i="8" a="1"/>
  <c r="K94" i="8" s="1"/>
  <c r="M94" i="8" a="1"/>
  <c r="M94" i="8" s="1"/>
  <c r="N94" i="8" a="1"/>
  <c r="N94" i="8" s="1"/>
  <c r="L94" i="8" a="1"/>
  <c r="L94" i="8" s="1"/>
  <c r="M188" i="8" a="1"/>
  <c r="M188" i="8" s="1"/>
  <c r="N188" i="8" a="1"/>
  <c r="N188" i="8" s="1"/>
  <c r="K188" i="8" a="1"/>
  <c r="K188" i="8" s="1"/>
  <c r="L188" i="8" a="1"/>
  <c r="L188" i="8" s="1"/>
  <c r="N1092" i="8" a="1"/>
  <c r="N1092" i="8" s="1"/>
  <c r="M1092" i="8" a="1"/>
  <c r="M1092" i="8" s="1"/>
  <c r="L1092" i="8" a="1"/>
  <c r="L1092" i="8" s="1"/>
  <c r="K1092" i="8" a="1"/>
  <c r="K1092" i="8" s="1"/>
  <c r="N1074" i="8" a="1"/>
  <c r="N1074" i="8" s="1"/>
  <c r="L1074" i="8" a="1"/>
  <c r="L1074" i="8" s="1"/>
  <c r="K1074" i="8" a="1"/>
  <c r="K1074" i="8" s="1"/>
  <c r="M1074" i="8" a="1"/>
  <c r="M1074" i="8" s="1"/>
  <c r="M1051" i="8" a="1"/>
  <c r="M1051" i="8" s="1"/>
  <c r="K1051" i="8" a="1"/>
  <c r="K1051" i="8" s="1"/>
  <c r="L1051" i="8" a="1"/>
  <c r="L1051" i="8" s="1"/>
  <c r="N1051" i="8" a="1"/>
  <c r="N1051" i="8" s="1"/>
  <c r="L262" i="8" a="1"/>
  <c r="L262" i="8" s="1"/>
  <c r="N262" i="8" a="1"/>
  <c r="N262" i="8" s="1"/>
  <c r="K262" i="8" a="1"/>
  <c r="K262" i="8" s="1"/>
  <c r="M262" i="8" a="1"/>
  <c r="M262" i="8" s="1"/>
  <c r="N1073" i="8" a="1"/>
  <c r="N1073" i="8" s="1"/>
  <c r="L1073" i="8" a="1"/>
  <c r="L1073" i="8" s="1"/>
  <c r="M1073" i="8" a="1"/>
  <c r="M1073" i="8" s="1"/>
  <c r="K1073" i="8" a="1"/>
  <c r="K1073" i="8" s="1"/>
  <c r="M91" i="8" a="1"/>
  <c r="M91" i="8" s="1"/>
  <c r="K91" i="8" a="1"/>
  <c r="K91" i="8" s="1"/>
  <c r="N91" i="8" a="1"/>
  <c r="N91" i="8" s="1"/>
  <c r="L91" i="8" a="1"/>
  <c r="L91" i="8" s="1"/>
  <c r="L133" i="8" a="1"/>
  <c r="L133" i="8" s="1"/>
  <c r="M133" i="8" a="1"/>
  <c r="M133" i="8" s="1"/>
  <c r="K133" i="8" a="1"/>
  <c r="K133" i="8" s="1"/>
  <c r="N133" i="8" a="1"/>
  <c r="N133" i="8" s="1"/>
  <c r="K167" i="8" a="1"/>
  <c r="K167" i="8" s="1"/>
  <c r="L167" i="8" a="1"/>
  <c r="L167" i="8" s="1"/>
  <c r="M167" i="8" a="1"/>
  <c r="M167" i="8" s="1"/>
  <c r="N167" i="8" a="1"/>
  <c r="N167" i="8" s="1"/>
  <c r="M195" i="8" a="1"/>
  <c r="M195" i="8" s="1"/>
  <c r="K195" i="8" a="1"/>
  <c r="K195" i="8" s="1"/>
  <c r="L195" i="8" a="1"/>
  <c r="L195" i="8" s="1"/>
  <c r="N195" i="8" a="1"/>
  <c r="N195" i="8" s="1"/>
  <c r="K231" i="8" a="1"/>
  <c r="K231" i="8" s="1"/>
  <c r="L231" i="8" a="1"/>
  <c r="L231" i="8" s="1"/>
  <c r="N231" i="8" a="1"/>
  <c r="N231" i="8" s="1"/>
  <c r="M231" i="8" a="1"/>
  <c r="M231" i="8" s="1"/>
  <c r="K337" i="8" a="1"/>
  <c r="K337" i="8" s="1"/>
  <c r="L337" i="8" a="1"/>
  <c r="L337" i="8" s="1"/>
  <c r="M337" i="8" a="1"/>
  <c r="M337" i="8" s="1"/>
  <c r="N337" i="8" a="1"/>
  <c r="N337" i="8" s="1"/>
  <c r="N1126" i="8" a="1"/>
  <c r="N1126" i="8" s="1"/>
  <c r="L1126" i="8" a="1"/>
  <c r="L1126" i="8" s="1"/>
  <c r="K1126" i="8" a="1"/>
  <c r="K1126" i="8" s="1"/>
  <c r="M1126" i="8" a="1"/>
  <c r="M1126" i="8" s="1"/>
  <c r="M827" i="8" a="1"/>
  <c r="M827" i="8" s="1"/>
  <c r="N827" i="8" a="1"/>
  <c r="N827" i="8" s="1"/>
  <c r="K827" i="8" a="1"/>
  <c r="K827" i="8" s="1"/>
  <c r="L827" i="8" a="1"/>
  <c r="L827" i="8" s="1"/>
  <c r="N945" i="8" a="1"/>
  <c r="N945" i="8" s="1"/>
  <c r="K945" i="8" a="1"/>
  <c r="K945" i="8" s="1"/>
  <c r="M945" i="8" a="1"/>
  <c r="M945" i="8" s="1"/>
  <c r="L945" i="8" a="1"/>
  <c r="L945" i="8" s="1"/>
  <c r="L895" i="8" a="1"/>
  <c r="L895" i="8" s="1"/>
  <c r="M895" i="8" a="1"/>
  <c r="M895" i="8" s="1"/>
  <c r="N895" i="8" a="1"/>
  <c r="N895" i="8" s="1"/>
  <c r="K895" i="8" a="1"/>
  <c r="K895" i="8" s="1"/>
  <c r="M1128" i="8" a="1"/>
  <c r="M1128" i="8" s="1"/>
  <c r="L1128" i="8" a="1"/>
  <c r="L1128" i="8" s="1"/>
  <c r="K1128" i="8" a="1"/>
  <c r="K1128" i="8" s="1"/>
  <c r="N1128" i="8" a="1"/>
  <c r="N1128" i="8" s="1"/>
  <c r="L829" i="8" a="1"/>
  <c r="L829" i="8" s="1"/>
  <c r="K829" i="8" a="1"/>
  <c r="K829" i="8" s="1"/>
  <c r="M829" i="8" a="1"/>
  <c r="M829" i="8" s="1"/>
  <c r="N829" i="8" a="1"/>
  <c r="N829" i="8" s="1"/>
  <c r="L947" i="8" a="1"/>
  <c r="L947" i="8" s="1"/>
  <c r="N947" i="8" a="1"/>
  <c r="N947" i="8" s="1"/>
  <c r="M947" i="8" a="1"/>
  <c r="M947" i="8" s="1"/>
  <c r="K947" i="8" a="1"/>
  <c r="K947" i="8" s="1"/>
  <c r="K1029" i="8" a="1"/>
  <c r="K1029" i="8" s="1"/>
  <c r="N1029" i="8" a="1"/>
  <c r="N1029" i="8" s="1"/>
  <c r="L1029" i="8" a="1"/>
  <c r="L1029" i="8" s="1"/>
  <c r="M1029" i="8" a="1"/>
  <c r="M1029" i="8" s="1"/>
  <c r="L787" i="8" a="1"/>
  <c r="L787" i="8" s="1"/>
  <c r="K787" i="8" a="1"/>
  <c r="K787" i="8" s="1"/>
  <c r="M787" i="8" a="1"/>
  <c r="M787" i="8" s="1"/>
  <c r="N787" i="8" a="1"/>
  <c r="N787" i="8" s="1"/>
  <c r="M889" i="8" a="1"/>
  <c r="M889" i="8" s="1"/>
  <c r="K889" i="8" a="1"/>
  <c r="K889" i="8" s="1"/>
  <c r="N889" i="8" a="1"/>
  <c r="N889" i="8" s="1"/>
  <c r="L889" i="8" a="1"/>
  <c r="L889" i="8" s="1"/>
  <c r="M917" i="8" a="1"/>
  <c r="M917" i="8" s="1"/>
  <c r="L917" i="8" a="1"/>
  <c r="L917" i="8" s="1"/>
  <c r="K917" i="8" a="1"/>
  <c r="K917" i="8" s="1"/>
  <c r="N917" i="8" a="1"/>
  <c r="N917" i="8" s="1"/>
  <c r="N974" i="8" a="1"/>
  <c r="N974" i="8" s="1"/>
  <c r="M974" i="8" a="1"/>
  <c r="M974" i="8" s="1"/>
  <c r="L974" i="8" a="1"/>
  <c r="L974" i="8" s="1"/>
  <c r="K974" i="8" a="1"/>
  <c r="K974" i="8" s="1"/>
  <c r="N949" i="8" a="1"/>
  <c r="N949" i="8" s="1"/>
  <c r="L949" i="8" a="1"/>
  <c r="L949" i="8" s="1"/>
  <c r="K949" i="8" a="1"/>
  <c r="K949" i="8" s="1"/>
  <c r="M949" i="8" a="1"/>
  <c r="M949" i="8" s="1"/>
  <c r="K1031" i="8" a="1"/>
  <c r="K1031" i="8" s="1"/>
  <c r="M1031" i="8" a="1"/>
  <c r="M1031" i="8" s="1"/>
  <c r="N1031" i="8" a="1"/>
  <c r="N1031" i="8" s="1"/>
  <c r="L1031" i="8" a="1"/>
  <c r="L1031" i="8" s="1"/>
  <c r="L1101" i="8" a="1"/>
  <c r="L1101" i="8" s="1"/>
  <c r="K1101" i="8" a="1"/>
  <c r="K1101" i="8" s="1"/>
  <c r="M1101" i="8" a="1"/>
  <c r="M1101" i="8" s="1"/>
  <c r="N1101" i="8" a="1"/>
  <c r="N1101" i="8" s="1"/>
  <c r="L999" i="8" a="1"/>
  <c r="L999" i="8" s="1"/>
  <c r="K999" i="8" a="1"/>
  <c r="K999" i="8" s="1"/>
  <c r="M999" i="8" a="1"/>
  <c r="M999" i="8" s="1"/>
  <c r="N999" i="8" a="1"/>
  <c r="N999" i="8" s="1"/>
  <c r="K970" i="8" a="1"/>
  <c r="K970" i="8" s="1"/>
  <c r="N970" i="8" a="1"/>
  <c r="N970" i="8" s="1"/>
  <c r="L970" i="8" a="1"/>
  <c r="L970" i="8" s="1"/>
  <c r="M970" i="8" a="1"/>
  <c r="M970" i="8" s="1"/>
  <c r="L977" i="8" a="1"/>
  <c r="L977" i="8" s="1"/>
  <c r="N977" i="8" a="1"/>
  <c r="N977" i="8" s="1"/>
  <c r="M977" i="8" a="1"/>
  <c r="M977" i="8" s="1"/>
  <c r="K977" i="8" a="1"/>
  <c r="K977" i="8" s="1"/>
  <c r="K1033" i="8" a="1"/>
  <c r="K1033" i="8" s="1"/>
  <c r="M1033" i="8" a="1"/>
  <c r="M1033" i="8" s="1"/>
  <c r="N1033" i="8" a="1"/>
  <c r="N1033" i="8" s="1"/>
  <c r="L1033" i="8" a="1"/>
  <c r="L1033" i="8" s="1"/>
  <c r="L1175" i="8" a="1"/>
  <c r="L1175" i="8" s="1"/>
  <c r="K1175" i="8" a="1"/>
  <c r="K1175" i="8" s="1"/>
  <c r="N1175" i="8" a="1"/>
  <c r="N1175" i="8" s="1"/>
  <c r="M1175" i="8" a="1"/>
  <c r="M1175" i="8" s="1"/>
  <c r="N923" i="8" a="1"/>
  <c r="N923" i="8" s="1"/>
  <c r="K923" i="8" a="1"/>
  <c r="K923" i="8" s="1"/>
  <c r="M923" i="8" a="1"/>
  <c r="M923" i="8" s="1"/>
  <c r="L923" i="8" a="1"/>
  <c r="L923" i="8" s="1"/>
  <c r="N1100" i="8" a="1"/>
  <c r="N1100" i="8" s="1"/>
  <c r="M1100" i="8" a="1"/>
  <c r="M1100" i="8" s="1"/>
  <c r="L1100" i="8" a="1"/>
  <c r="L1100" i="8" s="1"/>
  <c r="K1100" i="8" a="1"/>
  <c r="K1100" i="8" s="1"/>
  <c r="L1118" i="8" a="1"/>
  <c r="L1118" i="8" s="1"/>
  <c r="K1118" i="8" a="1"/>
  <c r="K1118" i="8" s="1"/>
  <c r="M1118" i="8" a="1"/>
  <c r="M1118" i="8" s="1"/>
  <c r="N1118" i="8" a="1"/>
  <c r="N1118" i="8" s="1"/>
  <c r="M1030" i="8" a="1"/>
  <c r="M1030" i="8" s="1"/>
  <c r="K1030" i="8" a="1"/>
  <c r="K1030" i="8" s="1"/>
  <c r="N1030" i="8" a="1"/>
  <c r="N1030" i="8" s="1"/>
  <c r="L1030" i="8" a="1"/>
  <c r="L1030" i="8" s="1"/>
  <c r="L1102" i="8" a="1"/>
  <c r="L1102" i="8" s="1"/>
  <c r="K1102" i="8" a="1"/>
  <c r="K1102" i="8" s="1"/>
  <c r="M1102" i="8" a="1"/>
  <c r="M1102" i="8" s="1"/>
  <c r="N1102" i="8" a="1"/>
  <c r="N1102" i="8" s="1"/>
  <c r="K1127" i="8" a="1"/>
  <c r="K1127" i="8" s="1"/>
  <c r="N1127" i="8" a="1"/>
  <c r="N1127" i="8" s="1"/>
  <c r="L1127" i="8" a="1"/>
  <c r="L1127" i="8" s="1"/>
  <c r="M1127" i="8" a="1"/>
  <c r="M1127" i="8" s="1"/>
  <c r="L990" i="8" a="1"/>
  <c r="L990" i="8" s="1"/>
  <c r="N990" i="8" a="1"/>
  <c r="N990" i="8" s="1"/>
  <c r="K990" i="8" a="1"/>
  <c r="K990" i="8" s="1"/>
  <c r="M990" i="8" a="1"/>
  <c r="M990" i="8" s="1"/>
  <c r="N967" i="8" a="1"/>
  <c r="N967" i="8" s="1"/>
  <c r="L967" i="8" a="1"/>
  <c r="L967" i="8" s="1"/>
  <c r="K967" i="8" a="1"/>
  <c r="K967" i="8" s="1"/>
  <c r="M967" i="8" a="1"/>
  <c r="M967" i="8" s="1"/>
  <c r="K1032" i="8" a="1"/>
  <c r="K1032" i="8" s="1"/>
  <c r="L1032" i="8" a="1"/>
  <c r="L1032" i="8" s="1"/>
  <c r="M1032" i="8" a="1"/>
  <c r="M1032" i="8" s="1"/>
  <c r="N1032" i="8" a="1"/>
  <c r="N1032" i="8" s="1"/>
  <c r="K1113" i="8" a="1"/>
  <c r="K1113" i="8" s="1"/>
  <c r="N1113" i="8" a="1"/>
  <c r="N1113" i="8" s="1"/>
  <c r="M1113" i="8" a="1"/>
  <c r="M1113" i="8" s="1"/>
  <c r="L1113" i="8" a="1"/>
  <c r="L1113" i="8" s="1"/>
  <c r="M892" i="8" a="1"/>
  <c r="M892" i="8" s="1"/>
  <c r="L892" i="8" a="1"/>
  <c r="L892" i="8" s="1"/>
  <c r="K892" i="8" a="1"/>
  <c r="K892" i="8" s="1"/>
  <c r="N892" i="8" a="1"/>
  <c r="N892" i="8" s="1"/>
  <c r="K1142" i="8" a="1"/>
  <c r="K1142" i="8" s="1"/>
  <c r="M1142" i="8" a="1"/>
  <c r="M1142" i="8" s="1"/>
  <c r="L1142" i="8" a="1"/>
  <c r="L1142" i="8" s="1"/>
  <c r="N1142" i="8" a="1"/>
  <c r="N1142" i="8" s="1"/>
  <c r="N901" i="8" a="1"/>
  <c r="N901" i="8" s="1"/>
  <c r="M901" i="8" a="1"/>
  <c r="M901" i="8" s="1"/>
  <c r="K901" i="8" a="1"/>
  <c r="K901" i="8" s="1"/>
  <c r="L901" i="8" a="1"/>
  <c r="L901" i="8" s="1"/>
  <c r="L1049" i="8" a="1"/>
  <c r="L1049" i="8" s="1"/>
  <c r="K1049" i="8" a="1"/>
  <c r="K1049" i="8" s="1"/>
  <c r="N1049" i="8" a="1"/>
  <c r="N1049" i="8" s="1"/>
  <c r="M1049" i="8" a="1"/>
  <c r="M1049" i="8" s="1"/>
  <c r="N1016" i="8" a="1"/>
  <c r="N1016" i="8" s="1"/>
  <c r="M1016" i="8" a="1"/>
  <c r="M1016" i="8" s="1"/>
  <c r="L1016" i="8" a="1"/>
  <c r="L1016" i="8" s="1"/>
  <c r="K1016" i="8" a="1"/>
  <c r="K1016" i="8" s="1"/>
  <c r="N913" i="8" a="1"/>
  <c r="N913" i="8" s="1"/>
  <c r="K913" i="8" a="1"/>
  <c r="K913" i="8" s="1"/>
  <c r="M913" i="8" a="1"/>
  <c r="M913" i="8" s="1"/>
  <c r="L913" i="8" a="1"/>
  <c r="L913" i="8" s="1"/>
  <c r="N1171" i="8" a="1"/>
  <c r="N1171" i="8" s="1"/>
  <c r="K1171" i="8" a="1"/>
  <c r="K1171" i="8" s="1"/>
  <c r="M1171" i="8" a="1"/>
  <c r="M1171" i="8" s="1"/>
  <c r="L1171" i="8" a="1"/>
  <c r="L1171" i="8" s="1"/>
  <c r="N1106" i="8" a="1"/>
  <c r="N1106" i="8" s="1"/>
  <c r="K1106" i="8" a="1"/>
  <c r="K1106" i="8" s="1"/>
  <c r="L1106" i="8" a="1"/>
  <c r="L1106" i="8" s="1"/>
  <c r="M1106" i="8" a="1"/>
  <c r="M1106" i="8" s="1"/>
  <c r="N1158" i="8" a="1"/>
  <c r="N1158" i="8" s="1"/>
  <c r="M1158" i="8" a="1"/>
  <c r="M1158" i="8" s="1"/>
  <c r="K1158" i="8" a="1"/>
  <c r="K1158" i="8" s="1"/>
  <c r="L1158" i="8" a="1"/>
  <c r="L1158" i="8" s="1"/>
  <c r="N754" i="8" a="1"/>
  <c r="N754" i="8" s="1"/>
  <c r="L754" i="8" a="1"/>
  <c r="L754" i="8" s="1"/>
  <c r="K754" i="8" a="1"/>
  <c r="K754" i="8" s="1"/>
  <c r="M754" i="8" a="1"/>
  <c r="M754" i="8" s="1"/>
  <c r="N946" i="8" a="1"/>
  <c r="N946" i="8" s="1"/>
  <c r="K946" i="8" a="1"/>
  <c r="K946" i="8" s="1"/>
  <c r="M946" i="8" a="1"/>
  <c r="M946" i="8" s="1"/>
  <c r="L946" i="8" a="1"/>
  <c r="L946" i="8" s="1"/>
  <c r="N1108" i="8" a="1"/>
  <c r="N1108" i="8" s="1"/>
  <c r="M1108" i="8" a="1"/>
  <c r="M1108" i="8" s="1"/>
  <c r="L1108" i="8" a="1"/>
  <c r="L1108" i="8" s="1"/>
  <c r="K1108" i="8" a="1"/>
  <c r="K1108" i="8" s="1"/>
  <c r="N936" i="8" a="1"/>
  <c r="N936" i="8" s="1"/>
  <c r="L936" i="8" a="1"/>
  <c r="L936" i="8" s="1"/>
  <c r="K936" i="8" a="1"/>
  <c r="K936" i="8" s="1"/>
  <c r="M936" i="8" a="1"/>
  <c r="M936" i="8" s="1"/>
  <c r="N756" i="8" a="1"/>
  <c r="N756" i="8" s="1"/>
  <c r="L756" i="8" a="1"/>
  <c r="L756" i="8" s="1"/>
  <c r="M756" i="8" a="1"/>
  <c r="M756" i="8" s="1"/>
  <c r="K756" i="8" a="1"/>
  <c r="K756" i="8" s="1"/>
  <c r="K948" i="8" a="1"/>
  <c r="K948" i="8" s="1"/>
  <c r="M948" i="8" a="1"/>
  <c r="M948" i="8" s="1"/>
  <c r="N948" i="8" a="1"/>
  <c r="N948" i="8" s="1"/>
  <c r="L948" i="8" a="1"/>
  <c r="L948" i="8" s="1"/>
  <c r="K1050" i="8" a="1"/>
  <c r="K1050" i="8" s="1"/>
  <c r="L1050" i="8" a="1"/>
  <c r="L1050" i="8" s="1"/>
  <c r="N1050" i="8" a="1"/>
  <c r="N1050" i="8" s="1"/>
  <c r="M1050" i="8" a="1"/>
  <c r="M1050" i="8" s="1"/>
  <c r="M826" i="8" a="1"/>
  <c r="M826" i="8" s="1"/>
  <c r="K826" i="8" a="1"/>
  <c r="K826" i="8" s="1"/>
  <c r="N826" i="8" a="1"/>
  <c r="N826" i="8" s="1"/>
  <c r="L826" i="8" a="1"/>
  <c r="L826" i="8" s="1"/>
  <c r="L1139" i="8" a="1"/>
  <c r="L1139" i="8" s="1"/>
  <c r="N1139" i="8" a="1"/>
  <c r="N1139" i="8" s="1"/>
  <c r="M1139" i="8" a="1"/>
  <c r="M1139" i="8" s="1"/>
  <c r="K1139" i="8" a="1"/>
  <c r="K1139" i="8" s="1"/>
  <c r="K1120" i="8" a="1"/>
  <c r="K1120" i="8" s="1"/>
  <c r="M1120" i="8" a="1"/>
  <c r="M1120" i="8" s="1"/>
  <c r="L1120" i="8" a="1"/>
  <c r="L1120" i="8" s="1"/>
  <c r="N1120" i="8" a="1"/>
  <c r="N1120" i="8" s="1"/>
  <c r="M1009" i="8" a="1"/>
  <c r="M1009" i="8" s="1"/>
  <c r="K1009" i="8" a="1"/>
  <c r="K1009" i="8" s="1"/>
  <c r="N1009" i="8" a="1"/>
  <c r="N1009" i="8" s="1"/>
  <c r="L1009" i="8" a="1"/>
  <c r="L1009" i="8" s="1"/>
  <c r="N828" i="8" a="1"/>
  <c r="N828" i="8" s="1"/>
  <c r="K828" i="8" a="1"/>
  <c r="K828" i="8" s="1"/>
  <c r="M828" i="8" a="1"/>
  <c r="M828" i="8" s="1"/>
  <c r="L828" i="8" a="1"/>
  <c r="L828" i="8" s="1"/>
  <c r="N886" i="8" a="1"/>
  <c r="N886" i="8" s="1"/>
  <c r="L886" i="8" a="1"/>
  <c r="L886" i="8" s="1"/>
  <c r="K886" i="8" a="1"/>
  <c r="K886" i="8" s="1"/>
  <c r="M886" i="8" a="1"/>
  <c r="M886" i="8" s="1"/>
  <c r="L1164" i="8" a="1"/>
  <c r="L1164" i="8" s="1"/>
  <c r="N1164" i="8" a="1"/>
  <c r="N1164" i="8" s="1"/>
  <c r="M1164" i="8" a="1"/>
  <c r="M1164" i="8" s="1"/>
  <c r="K1164" i="8" a="1"/>
  <c r="K1164" i="8" s="1"/>
  <c r="N755" i="8" a="1"/>
  <c r="N755" i="8" s="1"/>
  <c r="L755" i="8" a="1"/>
  <c r="L755" i="8" s="1"/>
  <c r="M755" i="8" a="1"/>
  <c r="M755" i="8" s="1"/>
  <c r="K755" i="8" a="1"/>
  <c r="K755" i="8" s="1"/>
  <c r="K806" i="8" a="1"/>
  <c r="K806" i="8" s="1"/>
  <c r="M806" i="8" a="1"/>
  <c r="M806" i="8" s="1"/>
  <c r="N806" i="8" a="1"/>
  <c r="N806" i="8" s="1"/>
  <c r="L806" i="8" a="1"/>
  <c r="L806" i="8" s="1"/>
  <c r="K915" i="8" a="1"/>
  <c r="K915" i="8" s="1"/>
  <c r="N915" i="8" a="1"/>
  <c r="N915" i="8" s="1"/>
  <c r="M915" i="8" a="1"/>
  <c r="M915" i="8" s="1"/>
  <c r="L915" i="8" a="1"/>
  <c r="L915" i="8" s="1"/>
  <c r="L1107" i="8" a="1"/>
  <c r="L1107" i="8" s="1"/>
  <c r="M1107" i="8" a="1"/>
  <c r="M1107" i="8" s="1"/>
  <c r="K1107" i="8" a="1"/>
  <c r="K1107" i="8" s="1"/>
  <c r="N1107" i="8" a="1"/>
  <c r="N1107" i="8" s="1"/>
  <c r="K830" i="8" a="1"/>
  <c r="K830" i="8" s="1"/>
  <c r="L830" i="8" a="1"/>
  <c r="L830" i="8" s="1"/>
  <c r="M830" i="8" a="1"/>
  <c r="M830" i="8" s="1"/>
  <c r="N830" i="8" a="1"/>
  <c r="N830" i="8" s="1"/>
  <c r="M898" i="8" a="1"/>
  <c r="M898" i="8" s="1"/>
  <c r="L898" i="8" a="1"/>
  <c r="L898" i="8" s="1"/>
  <c r="K898" i="8" a="1"/>
  <c r="K898" i="8" s="1"/>
  <c r="N898" i="8" a="1"/>
  <c r="N898" i="8" s="1"/>
  <c r="M757" i="8" a="1"/>
  <c r="M757" i="8" s="1"/>
  <c r="N757" i="8" a="1"/>
  <c r="N757" i="8" s="1"/>
  <c r="K757" i="8" a="1"/>
  <c r="K757" i="8" s="1"/>
  <c r="L757" i="8" a="1"/>
  <c r="L757" i="8" s="1"/>
  <c r="N1140" i="8" a="1"/>
  <c r="N1140" i="8" s="1"/>
  <c r="L1140" i="8" a="1"/>
  <c r="L1140" i="8" s="1"/>
  <c r="M1140" i="8" a="1"/>
  <c r="M1140" i="8" s="1"/>
  <c r="K1140" i="8" a="1"/>
  <c r="K1140" i="8" s="1"/>
  <c r="P893" i="8"/>
  <c r="J920" i="8"/>
  <c r="O1153" i="8"/>
  <c r="J918" i="8"/>
  <c r="O1013" i="8"/>
  <c r="P909" i="8"/>
  <c r="J988" i="8"/>
  <c r="J1163" i="8"/>
  <c r="P1134" i="8"/>
  <c r="P992" i="8"/>
  <c r="O988" i="8"/>
  <c r="O785" i="8"/>
  <c r="J1162" i="8"/>
  <c r="J1022" i="8"/>
  <c r="P1190" i="8"/>
  <c r="P1010" i="8"/>
  <c r="J881" i="8"/>
  <c r="O994" i="8"/>
  <c r="J910" i="8"/>
  <c r="O927" i="8"/>
  <c r="J1024" i="8"/>
  <c r="P1192" i="8"/>
  <c r="P1132" i="8"/>
  <c r="J912" i="8"/>
  <c r="O780" i="8"/>
  <c r="O899" i="8"/>
  <c r="J962" i="8"/>
  <c r="O912" i="8"/>
  <c r="J902" i="8"/>
  <c r="P783" i="8"/>
  <c r="O929" i="8"/>
  <c r="O894" i="8"/>
  <c r="J1026" i="8"/>
  <c r="P1194" i="8"/>
  <c r="P1191" i="8"/>
  <c r="O926" i="8"/>
  <c r="O897" i="8"/>
  <c r="P995" i="8"/>
  <c r="J1006" i="8"/>
  <c r="J805" i="8"/>
  <c r="O805" i="8"/>
  <c r="O782" i="8"/>
  <c r="O1151" i="8"/>
  <c r="P1131" i="8"/>
  <c r="P899" i="8"/>
  <c r="J997" i="8"/>
  <c r="J1136" i="8"/>
  <c r="J1130" i="8"/>
  <c r="P911" i="8"/>
  <c r="J788" i="8"/>
  <c r="P1133" i="8"/>
  <c r="J1179" i="8"/>
  <c r="O910" i="8"/>
  <c r="J931" i="8"/>
  <c r="P991" i="8"/>
  <c r="P782" i="8"/>
  <c r="J1111" i="8"/>
  <c r="O786" i="8"/>
  <c r="J1149" i="8"/>
  <c r="J1144" i="8"/>
  <c r="P993" i="8"/>
  <c r="P786" i="8"/>
  <c r="P910" i="8"/>
  <c r="O920" i="8"/>
  <c r="J909" i="8"/>
  <c r="O1012" i="8"/>
  <c r="O918" i="8"/>
  <c r="J1025" i="8"/>
  <c r="J940" i="8"/>
  <c r="O995" i="8"/>
  <c r="J1146" i="8"/>
  <c r="J1040" i="8"/>
  <c r="O1130" i="8"/>
  <c r="O928" i="8"/>
  <c r="O1125" i="8"/>
  <c r="J780" i="8"/>
  <c r="J942" i="8"/>
  <c r="J978" i="8"/>
  <c r="P1011" i="8"/>
  <c r="J973" i="8"/>
  <c r="J1148" i="8"/>
  <c r="O1152" i="8"/>
  <c r="P784" i="8"/>
  <c r="P994" i="8"/>
  <c r="J1013" i="8"/>
  <c r="P919" i="8"/>
  <c r="O1129" i="8"/>
  <c r="J782" i="8"/>
  <c r="J944" i="8"/>
  <c r="O1011" i="8"/>
  <c r="J779" i="8"/>
  <c r="O1186" i="8"/>
  <c r="J1044" i="8"/>
  <c r="P908" i="8"/>
  <c r="O909" i="8"/>
  <c r="J1053" i="8"/>
  <c r="J1121" i="8"/>
  <c r="O784" i="8"/>
  <c r="P1013" i="8"/>
  <c r="O783" i="8"/>
  <c r="J941" i="8"/>
  <c r="J1186" i="8"/>
  <c r="P920" i="8"/>
  <c r="P894" i="8"/>
  <c r="O930" i="8"/>
  <c r="J1023" i="8"/>
  <c r="J897" i="8"/>
  <c r="J984" i="8"/>
  <c r="P1193" i="8"/>
  <c r="P1129" i="8"/>
  <c r="P785" i="8"/>
  <c r="J943" i="8"/>
  <c r="J798" i="8"/>
  <c r="P1012" i="8"/>
  <c r="P912" i="8"/>
  <c r="J1045" i="8"/>
  <c r="J899" i="8"/>
  <c r="J894" i="8"/>
  <c r="P1130" i="8"/>
  <c r="P918" i="8"/>
  <c r="M529" i="8" a="1"/>
  <c r="M529" i="8" s="1"/>
  <c r="K529" i="8" a="1"/>
  <c r="K529" i="8" s="1"/>
  <c r="L529" i="8" a="1"/>
  <c r="L529" i="8" s="1"/>
  <c r="N529" i="8" a="1"/>
  <c r="N529" i="8" s="1"/>
  <c r="K459" i="8" a="1"/>
  <c r="K459" i="8" s="1"/>
  <c r="N459" i="8" a="1"/>
  <c r="N459" i="8" s="1"/>
  <c r="M459" i="8" a="1"/>
  <c r="M459" i="8" s="1"/>
  <c r="L459" i="8" a="1"/>
  <c r="L459" i="8" s="1"/>
  <c r="L420" i="8" a="1"/>
  <c r="L420" i="8" s="1"/>
  <c r="K420" i="8" a="1"/>
  <c r="K420" i="8" s="1"/>
  <c r="M420" i="8" a="1"/>
  <c r="M420" i="8" s="1"/>
  <c r="N420" i="8" a="1"/>
  <c r="N420" i="8" s="1"/>
  <c r="L330" i="8" a="1"/>
  <c r="L330" i="8" s="1"/>
  <c r="M330" i="8" a="1"/>
  <c r="M330" i="8" s="1"/>
  <c r="N330" i="8" a="1"/>
  <c r="N330" i="8" s="1"/>
  <c r="K330" i="8" a="1"/>
  <c r="K330" i="8" s="1"/>
  <c r="M455" i="8" a="1"/>
  <c r="M455" i="8" s="1"/>
  <c r="N455" i="8" a="1"/>
  <c r="N455" i="8" s="1"/>
  <c r="L455" i="8" a="1"/>
  <c r="L455" i="8" s="1"/>
  <c r="K455" i="8" a="1"/>
  <c r="K455" i="8" s="1"/>
  <c r="M384" i="8" a="1"/>
  <c r="M384" i="8" s="1"/>
  <c r="K384" i="8" a="1"/>
  <c r="K384" i="8" s="1"/>
  <c r="N384" i="8" a="1"/>
  <c r="N384" i="8" s="1"/>
  <c r="L384" i="8" a="1"/>
  <c r="L384" i="8" s="1"/>
  <c r="M658" i="8" a="1"/>
  <c r="M658" i="8" s="1"/>
  <c r="K658" i="8" a="1"/>
  <c r="K658" i="8" s="1"/>
  <c r="N658" i="8" a="1"/>
  <c r="N658" i="8" s="1"/>
  <c r="L658" i="8" a="1"/>
  <c r="L658" i="8" s="1"/>
  <c r="N425" i="8" a="1"/>
  <c r="N425" i="8" s="1"/>
  <c r="L425" i="8" a="1"/>
  <c r="L425" i="8" s="1"/>
  <c r="K425" i="8" a="1"/>
  <c r="K425" i="8" s="1"/>
  <c r="M425" i="8" a="1"/>
  <c r="M425" i="8" s="1"/>
  <c r="N567" i="8" a="1"/>
  <c r="N567" i="8" s="1"/>
  <c r="L567" i="8" a="1"/>
  <c r="L567" i="8" s="1"/>
  <c r="K567" i="8" a="1"/>
  <c r="K567" i="8" s="1"/>
  <c r="M567" i="8" a="1"/>
  <c r="M567" i="8" s="1"/>
  <c r="L340" i="8" a="1"/>
  <c r="L340" i="8" s="1"/>
  <c r="M340" i="8" a="1"/>
  <c r="M340" i="8" s="1"/>
  <c r="N340" i="8" a="1"/>
  <c r="N340" i="8" s="1"/>
  <c r="K340" i="8" a="1"/>
  <c r="K340" i="8" s="1"/>
  <c r="N920" i="8" a="1"/>
  <c r="N920" i="8" s="1"/>
  <c r="M920" i="8" a="1"/>
  <c r="M920" i="8" s="1"/>
  <c r="L920" i="8" a="1"/>
  <c r="L920" i="8" s="1"/>
  <c r="K920" i="8" a="1"/>
  <c r="K920" i="8" s="1"/>
  <c r="K339" i="8" a="1"/>
  <c r="K339" i="8" s="1"/>
  <c r="N339" i="8" a="1"/>
  <c r="N339" i="8" s="1"/>
  <c r="L339" i="8" a="1"/>
  <c r="L339" i="8" s="1"/>
  <c r="M339" i="8" a="1"/>
  <c r="M339" i="8" s="1"/>
  <c r="L835" i="8" a="1"/>
  <c r="L835" i="8" s="1"/>
  <c r="M835" i="8" a="1"/>
  <c r="M835" i="8" s="1"/>
  <c r="K835" i="8" a="1"/>
  <c r="K835" i="8" s="1"/>
  <c r="N835" i="8" a="1"/>
  <c r="N835" i="8" s="1"/>
  <c r="K593" i="8" a="1"/>
  <c r="K593" i="8" s="1"/>
  <c r="N593" i="8" a="1"/>
  <c r="N593" i="8" s="1"/>
  <c r="L593" i="8" a="1"/>
  <c r="L593" i="8" s="1"/>
  <c r="M593" i="8" a="1"/>
  <c r="M593" i="8" s="1"/>
  <c r="K387" i="8" a="1"/>
  <c r="K387" i="8" s="1"/>
  <c r="N387" i="8" a="1"/>
  <c r="N387" i="8" s="1"/>
  <c r="L387" i="8" a="1"/>
  <c r="L387" i="8" s="1"/>
  <c r="M387" i="8" a="1"/>
  <c r="M387" i="8" s="1"/>
  <c r="N887" i="8" a="1"/>
  <c r="N887" i="8" s="1"/>
  <c r="M887" i="8" a="1"/>
  <c r="M887" i="8" s="1"/>
  <c r="K887" i="8" a="1"/>
  <c r="K887" i="8" s="1"/>
  <c r="L887" i="8" a="1"/>
  <c r="L887" i="8" s="1"/>
  <c r="M331" i="8" a="1"/>
  <c r="M331" i="8" s="1"/>
  <c r="K331" i="8" a="1"/>
  <c r="K331" i="8" s="1"/>
  <c r="L331" i="8" a="1"/>
  <c r="L331" i="8" s="1"/>
  <c r="N331" i="8" a="1"/>
  <c r="N331" i="8" s="1"/>
  <c r="L704" i="8" a="1"/>
  <c r="L704" i="8" s="1"/>
  <c r="K704" i="8" a="1"/>
  <c r="K704" i="8" s="1"/>
  <c r="N704" i="8" a="1"/>
  <c r="N704" i="8" s="1"/>
  <c r="M704" i="8" a="1"/>
  <c r="M704" i="8" s="1"/>
  <c r="K918" i="8" a="1"/>
  <c r="K918" i="8" s="1"/>
  <c r="M918" i="8" a="1"/>
  <c r="M918" i="8" s="1"/>
  <c r="L918" i="8" a="1"/>
  <c r="L918" i="8" s="1"/>
  <c r="N918" i="8" a="1"/>
  <c r="N918" i="8" s="1"/>
  <c r="L579" i="8" a="1"/>
  <c r="L579" i="8" s="1"/>
  <c r="M579" i="8" a="1"/>
  <c r="M579" i="8" s="1"/>
  <c r="K579" i="8" a="1"/>
  <c r="K579" i="8" s="1"/>
  <c r="N579" i="8" a="1"/>
  <c r="N579" i="8" s="1"/>
  <c r="N1191" i="8" a="1"/>
  <c r="N1191" i="8" s="1"/>
  <c r="M1191" i="8" a="1"/>
  <c r="M1191" i="8" s="1"/>
  <c r="L1191" i="8" a="1"/>
  <c r="L1191" i="8" s="1"/>
  <c r="K1191" i="8" a="1"/>
  <c r="K1191" i="8" s="1"/>
  <c r="L813" i="8" a="1"/>
  <c r="L813" i="8" s="1"/>
  <c r="K813" i="8" a="1"/>
  <c r="K813" i="8" s="1"/>
  <c r="N813" i="8" a="1"/>
  <c r="N813" i="8" s="1"/>
  <c r="M813" i="8" a="1"/>
  <c r="M813" i="8" s="1"/>
  <c r="L627" i="8" a="1"/>
  <c r="L627" i="8" s="1"/>
  <c r="N627" i="8" a="1"/>
  <c r="N627" i="8" s="1"/>
  <c r="M627" i="8" a="1"/>
  <c r="M627" i="8" s="1"/>
  <c r="K627" i="8" a="1"/>
  <c r="K627" i="8" s="1"/>
  <c r="N458" i="8" a="1"/>
  <c r="N458" i="8" s="1"/>
  <c r="M458" i="8" a="1"/>
  <c r="M458" i="8" s="1"/>
  <c r="K458" i="8" a="1"/>
  <c r="K458" i="8" s="1"/>
  <c r="L458" i="8" a="1"/>
  <c r="L458" i="8" s="1"/>
  <c r="K524" i="8" a="1"/>
  <c r="K524" i="8" s="1"/>
  <c r="L524" i="8" a="1"/>
  <c r="L524" i="8" s="1"/>
  <c r="N524" i="8" a="1"/>
  <c r="N524" i="8" s="1"/>
  <c r="M524" i="8" a="1"/>
  <c r="M524" i="8" s="1"/>
  <c r="K809" i="8" a="1"/>
  <c r="K809" i="8" s="1"/>
  <c r="M809" i="8" a="1"/>
  <c r="M809" i="8" s="1"/>
  <c r="L809" i="8" a="1"/>
  <c r="L809" i="8" s="1"/>
  <c r="N809" i="8" a="1"/>
  <c r="N809" i="8" s="1"/>
  <c r="K717" i="8" a="1"/>
  <c r="K717" i="8" s="1"/>
  <c r="L717" i="8" a="1"/>
  <c r="L717" i="8" s="1"/>
  <c r="N717" i="8" a="1"/>
  <c r="N717" i="8" s="1"/>
  <c r="M717" i="8" a="1"/>
  <c r="M717" i="8" s="1"/>
  <c r="K736" i="8" a="1"/>
  <c r="K736" i="8" s="1"/>
  <c r="M736" i="8" a="1"/>
  <c r="M736" i="8" s="1"/>
  <c r="L736" i="8" a="1"/>
  <c r="L736" i="8" s="1"/>
  <c r="N736" i="8" a="1"/>
  <c r="N736" i="8" s="1"/>
  <c r="K956" i="8" a="1"/>
  <c r="K956" i="8" s="1"/>
  <c r="N956" i="8" a="1"/>
  <c r="N956" i="8" s="1"/>
  <c r="L956" i="8" a="1"/>
  <c r="L956" i="8" s="1"/>
  <c r="M956" i="8" a="1"/>
  <c r="M956" i="8" s="1"/>
  <c r="N988" i="8" a="1"/>
  <c r="N988" i="8" s="1"/>
  <c r="M988" i="8" a="1"/>
  <c r="M988" i="8" s="1"/>
  <c r="L988" i="8" a="1"/>
  <c r="L988" i="8" s="1"/>
  <c r="K988" i="8" a="1"/>
  <c r="K988" i="8" s="1"/>
  <c r="L1163" i="8" a="1"/>
  <c r="L1163" i="8" s="1"/>
  <c r="N1163" i="8" a="1"/>
  <c r="N1163" i="8" s="1"/>
  <c r="M1163" i="8" a="1"/>
  <c r="M1163" i="8" s="1"/>
  <c r="K1163" i="8" a="1"/>
  <c r="K1163" i="8" s="1"/>
  <c r="M783" i="8" a="1"/>
  <c r="M783" i="8" s="1"/>
  <c r="N783" i="8" a="1"/>
  <c r="N783" i="8" s="1"/>
  <c r="K783" i="8" a="1"/>
  <c r="K783" i="8" s="1"/>
  <c r="L783" i="8" a="1"/>
  <c r="L783" i="8" s="1"/>
  <c r="K733" i="8" a="1"/>
  <c r="K733" i="8" s="1"/>
  <c r="L733" i="8" a="1"/>
  <c r="L733" i="8" s="1"/>
  <c r="N733" i="8" a="1"/>
  <c r="N733" i="8" s="1"/>
  <c r="M733" i="8" a="1"/>
  <c r="M733" i="8" s="1"/>
  <c r="K900" i="8" a="1"/>
  <c r="K900" i="8" s="1"/>
  <c r="L900" i="8" a="1"/>
  <c r="L900" i="8" s="1"/>
  <c r="N900" i="8" a="1"/>
  <c r="N900" i="8" s="1"/>
  <c r="M900" i="8" a="1"/>
  <c r="M900" i="8" s="1"/>
  <c r="N953" i="8" a="1"/>
  <c r="N953" i="8" s="1"/>
  <c r="K953" i="8" a="1"/>
  <c r="K953" i="8" s="1"/>
  <c r="L953" i="8" a="1"/>
  <c r="L953" i="8" s="1"/>
  <c r="M953" i="8" a="1"/>
  <c r="M953" i="8" s="1"/>
  <c r="K987" i="8" a="1"/>
  <c r="K987" i="8" s="1"/>
  <c r="N987" i="8" a="1"/>
  <c r="N987" i="8" s="1"/>
  <c r="M987" i="8" a="1"/>
  <c r="M987" i="8" s="1"/>
  <c r="L987" i="8" a="1"/>
  <c r="L987" i="8" s="1"/>
  <c r="L1160" i="8" a="1"/>
  <c r="L1160" i="8" s="1"/>
  <c r="K1160" i="8" a="1"/>
  <c r="K1160" i="8" s="1"/>
  <c r="M1160" i="8" a="1"/>
  <c r="M1160" i="8" s="1"/>
  <c r="N1160" i="8" a="1"/>
  <c r="N1160" i="8" s="1"/>
  <c r="N836" i="8" a="1"/>
  <c r="N836" i="8" s="1"/>
  <c r="K836" i="8" a="1"/>
  <c r="K836" i="8" s="1"/>
  <c r="M836" i="8" a="1"/>
  <c r="M836" i="8" s="1"/>
  <c r="L836" i="8" a="1"/>
  <c r="L836" i="8" s="1"/>
  <c r="N864" i="8" a="1"/>
  <c r="N864" i="8" s="1"/>
  <c r="L864" i="8" a="1"/>
  <c r="L864" i="8" s="1"/>
  <c r="K864" i="8" a="1"/>
  <c r="K864" i="8" s="1"/>
  <c r="M864" i="8" a="1"/>
  <c r="M864" i="8" s="1"/>
  <c r="L7" i="8" a="1"/>
  <c r="L7" i="8" s="1"/>
  <c r="M7" i="8" a="1"/>
  <c r="M7" i="8" s="1"/>
  <c r="K7" i="8" a="1"/>
  <c r="K7" i="8" s="1"/>
  <c r="N7" i="8" a="1"/>
  <c r="N7" i="8" s="1"/>
  <c r="L41" i="8" a="1"/>
  <c r="L41" i="8" s="1"/>
  <c r="K41" i="8" a="1"/>
  <c r="K41" i="8" s="1"/>
  <c r="M41" i="8" a="1"/>
  <c r="M41" i="8" s="1"/>
  <c r="N41" i="8" a="1"/>
  <c r="N41" i="8" s="1"/>
  <c r="L73" i="8" a="1"/>
  <c r="L73" i="8" s="1"/>
  <c r="M73" i="8" a="1"/>
  <c r="M73" i="8" s="1"/>
  <c r="K73" i="8" a="1"/>
  <c r="K73" i="8" s="1"/>
  <c r="N73" i="8" a="1"/>
  <c r="N73" i="8" s="1"/>
  <c r="N289" i="8" a="1"/>
  <c r="N289" i="8" s="1"/>
  <c r="M289" i="8" a="1"/>
  <c r="M289" i="8" s="1"/>
  <c r="K289" i="8" a="1"/>
  <c r="K289" i="8" s="1"/>
  <c r="L289" i="8" a="1"/>
  <c r="L289" i="8" s="1"/>
  <c r="L550" i="8" a="1"/>
  <c r="L550" i="8" s="1"/>
  <c r="K550" i="8" a="1"/>
  <c r="K550" i="8" s="1"/>
  <c r="N550" i="8" a="1"/>
  <c r="N550" i="8" s="1"/>
  <c r="M550" i="8" a="1"/>
  <c r="M550" i="8" s="1"/>
  <c r="M578" i="8" a="1"/>
  <c r="M578" i="8" s="1"/>
  <c r="L578" i="8" a="1"/>
  <c r="L578" i="8" s="1"/>
  <c r="K578" i="8" a="1"/>
  <c r="K578" i="8" s="1"/>
  <c r="N578" i="8" a="1"/>
  <c r="N578" i="8" s="1"/>
  <c r="M606" i="8" a="1"/>
  <c r="M606" i="8" s="1"/>
  <c r="L606" i="8" a="1"/>
  <c r="L606" i="8" s="1"/>
  <c r="K606" i="8" a="1"/>
  <c r="K606" i="8" s="1"/>
  <c r="N606" i="8" a="1"/>
  <c r="N606" i="8" s="1"/>
  <c r="N634" i="8" a="1"/>
  <c r="N634" i="8" s="1"/>
  <c r="L634" i="8" a="1"/>
  <c r="L634" i="8" s="1"/>
  <c r="K634" i="8" a="1"/>
  <c r="K634" i="8" s="1"/>
  <c r="M634" i="8" a="1"/>
  <c r="M634" i="8" s="1"/>
  <c r="M802" i="8" a="1"/>
  <c r="M802" i="8" s="1"/>
  <c r="L802" i="8" a="1"/>
  <c r="L802" i="8" s="1"/>
  <c r="N802" i="8" a="1"/>
  <c r="N802" i="8" s="1"/>
  <c r="K802" i="8" a="1"/>
  <c r="K802" i="8" s="1"/>
  <c r="N1020" i="8" a="1"/>
  <c r="N1020" i="8" s="1"/>
  <c r="L1020" i="8" a="1"/>
  <c r="L1020" i="8" s="1"/>
  <c r="K1020" i="8" a="1"/>
  <c r="K1020" i="8" s="1"/>
  <c r="M1020" i="8" a="1"/>
  <c r="M1020" i="8" s="1"/>
  <c r="M1112" i="8" a="1"/>
  <c r="M1112" i="8" s="1"/>
  <c r="L1112" i="8" a="1"/>
  <c r="L1112" i="8" s="1"/>
  <c r="N1112" i="8" a="1"/>
  <c r="N1112" i="8" s="1"/>
  <c r="K1112" i="8" a="1"/>
  <c r="K1112" i="8" s="1"/>
  <c r="L591" i="8" a="1"/>
  <c r="L591" i="8" s="1"/>
  <c r="N591" i="8" a="1"/>
  <c r="N591" i="8" s="1"/>
  <c r="M591" i="8" a="1"/>
  <c r="M591" i="8" s="1"/>
  <c r="K591" i="8" a="1"/>
  <c r="K591" i="8" s="1"/>
  <c r="N525" i="8" a="1"/>
  <c r="N525" i="8" s="1"/>
  <c r="L525" i="8" a="1"/>
  <c r="L525" i="8" s="1"/>
  <c r="K525" i="8" a="1"/>
  <c r="K525" i="8" s="1"/>
  <c r="M525" i="8" a="1"/>
  <c r="M525" i="8" s="1"/>
  <c r="N442" i="8" a="1"/>
  <c r="N442" i="8" s="1"/>
  <c r="K442" i="8" a="1"/>
  <c r="K442" i="8" s="1"/>
  <c r="M442" i="8" a="1"/>
  <c r="M442" i="8" s="1"/>
  <c r="L442" i="8" a="1"/>
  <c r="L442" i="8" s="1"/>
  <c r="M605" i="8" a="1"/>
  <c r="M605" i="8" s="1"/>
  <c r="N605" i="8" a="1"/>
  <c r="N605" i="8" s="1"/>
  <c r="K605" i="8" a="1"/>
  <c r="K605" i="8" s="1"/>
  <c r="L605" i="8" a="1"/>
  <c r="L605" i="8" s="1"/>
  <c r="L491" i="8" a="1"/>
  <c r="L491" i="8" s="1"/>
  <c r="M491" i="8" a="1"/>
  <c r="M491" i="8" s="1"/>
  <c r="N491" i="8" a="1"/>
  <c r="N491" i="8" s="1"/>
  <c r="K491" i="8" a="1"/>
  <c r="K491" i="8" s="1"/>
  <c r="N402" i="8" a="1"/>
  <c r="N402" i="8" s="1"/>
  <c r="K402" i="8" a="1"/>
  <c r="K402" i="8" s="1"/>
  <c r="L402" i="8" a="1"/>
  <c r="L402" i="8" s="1"/>
  <c r="M402" i="8" a="1"/>
  <c r="M402" i="8" s="1"/>
  <c r="L367" i="8" a="1"/>
  <c r="L367" i="8" s="1"/>
  <c r="K367" i="8" a="1"/>
  <c r="K367" i="8" s="1"/>
  <c r="M367" i="8" a="1"/>
  <c r="M367" i="8" s="1"/>
  <c r="N367" i="8" a="1"/>
  <c r="N367" i="8" s="1"/>
  <c r="N427" i="8" a="1"/>
  <c r="N427" i="8" s="1"/>
  <c r="K427" i="8" a="1"/>
  <c r="K427" i="8" s="1"/>
  <c r="L427" i="8" a="1"/>
  <c r="L427" i="8" s="1"/>
  <c r="M427" i="8" a="1"/>
  <c r="M427" i="8" s="1"/>
  <c r="L374" i="8" a="1"/>
  <c r="L374" i="8" s="1"/>
  <c r="K374" i="8" a="1"/>
  <c r="K374" i="8" s="1"/>
  <c r="N374" i="8" a="1"/>
  <c r="N374" i="8" s="1"/>
  <c r="M374" i="8" a="1"/>
  <c r="M374" i="8" s="1"/>
  <c r="M12" i="8" a="1"/>
  <c r="M12" i="8" s="1"/>
  <c r="K12" i="8" a="1"/>
  <c r="K12" i="8" s="1"/>
  <c r="L12" i="8" a="1"/>
  <c r="L12" i="8" s="1"/>
  <c r="N12" i="8" a="1"/>
  <c r="N12" i="8" s="1"/>
  <c r="M343" i="8" a="1"/>
  <c r="M343" i="8" s="1"/>
  <c r="L343" i="8" a="1"/>
  <c r="L343" i="8" s="1"/>
  <c r="N343" i="8" a="1"/>
  <c r="N343" i="8" s="1"/>
  <c r="K343" i="8" a="1"/>
  <c r="K343" i="8" s="1"/>
  <c r="N280" i="8" a="1"/>
  <c r="N280" i="8" s="1"/>
  <c r="M280" i="8" a="1"/>
  <c r="M280" i="8" s="1"/>
  <c r="L280" i="8" a="1"/>
  <c r="L280" i="8" s="1"/>
  <c r="K280" i="8" a="1"/>
  <c r="K280" i="8" s="1"/>
  <c r="M14" i="8" a="1"/>
  <c r="M14" i="8" s="1"/>
  <c r="L14" i="8" a="1"/>
  <c r="L14" i="8" s="1"/>
  <c r="N14" i="8" a="1"/>
  <c r="N14" i="8" s="1"/>
  <c r="K14" i="8" a="1"/>
  <c r="K14" i="8" s="1"/>
  <c r="N405" i="8" a="1"/>
  <c r="N405" i="8" s="1"/>
  <c r="K405" i="8" a="1"/>
  <c r="K405" i="8" s="1"/>
  <c r="M405" i="8" a="1"/>
  <c r="M405" i="8" s="1"/>
  <c r="L405" i="8" a="1"/>
  <c r="L405" i="8" s="1"/>
  <c r="M1133" i="8" a="1"/>
  <c r="M1133" i="8" s="1"/>
  <c r="N1133" i="8" a="1"/>
  <c r="N1133" i="8" s="1"/>
  <c r="K1133" i="8" a="1"/>
  <c r="K1133" i="8" s="1"/>
  <c r="L1133" i="8" a="1"/>
  <c r="L1133" i="8" s="1"/>
  <c r="M24" i="8" a="1"/>
  <c r="M24" i="8" s="1"/>
  <c r="L24" i="8" a="1"/>
  <c r="L24" i="8" s="1"/>
  <c r="K24" i="8" a="1"/>
  <c r="K24" i="8" s="1"/>
  <c r="N24" i="8" a="1"/>
  <c r="N24" i="8" s="1"/>
  <c r="N473" i="8" a="1"/>
  <c r="N473" i="8" s="1"/>
  <c r="L473" i="8" a="1"/>
  <c r="L473" i="8" s="1"/>
  <c r="K473" i="8" a="1"/>
  <c r="K473" i="8" s="1"/>
  <c r="M473" i="8" a="1"/>
  <c r="M473" i="8" s="1"/>
  <c r="M801" i="8" a="1"/>
  <c r="M801" i="8" s="1"/>
  <c r="N801" i="8" a="1"/>
  <c r="N801" i="8" s="1"/>
  <c r="L801" i="8" a="1"/>
  <c r="L801" i="8" s="1"/>
  <c r="K801" i="8" a="1"/>
  <c r="K801" i="8" s="1"/>
  <c r="N555" i="8" a="1"/>
  <c r="N555" i="8" s="1"/>
  <c r="L555" i="8" a="1"/>
  <c r="L555" i="8" s="1"/>
  <c r="M555" i="8" a="1"/>
  <c r="M555" i="8" s="1"/>
  <c r="K555" i="8" a="1"/>
  <c r="K555" i="8" s="1"/>
  <c r="N607" i="8" a="1"/>
  <c r="N607" i="8" s="1"/>
  <c r="M607" i="8" a="1"/>
  <c r="M607" i="8" s="1"/>
  <c r="K607" i="8" a="1"/>
  <c r="K607" i="8" s="1"/>
  <c r="L607" i="8" a="1"/>
  <c r="L607" i="8" s="1"/>
  <c r="M688" i="8" a="1"/>
  <c r="M688" i="8" s="1"/>
  <c r="N688" i="8" a="1"/>
  <c r="N688" i="8" s="1"/>
  <c r="L688" i="8" a="1"/>
  <c r="L688" i="8" s="1"/>
  <c r="K688" i="8" a="1"/>
  <c r="K688" i="8" s="1"/>
  <c r="N264" i="8" a="1"/>
  <c r="N264" i="8" s="1"/>
  <c r="M264" i="8" a="1"/>
  <c r="M264" i="8" s="1"/>
  <c r="L264" i="8" a="1"/>
  <c r="L264" i="8" s="1"/>
  <c r="K264" i="8" a="1"/>
  <c r="K264" i="8" s="1"/>
  <c r="K847" i="8" a="1"/>
  <c r="K847" i="8" s="1"/>
  <c r="M847" i="8" a="1"/>
  <c r="M847" i="8" s="1"/>
  <c r="L847" i="8" a="1"/>
  <c r="L847" i="8" s="1"/>
  <c r="N847" i="8" a="1"/>
  <c r="N847" i="8" s="1"/>
  <c r="L460" i="8" a="1"/>
  <c r="L460" i="8" s="1"/>
  <c r="K460" i="8" a="1"/>
  <c r="K460" i="8" s="1"/>
  <c r="M460" i="8" a="1"/>
  <c r="M460" i="8" s="1"/>
  <c r="N460" i="8" a="1"/>
  <c r="N460" i="8" s="1"/>
  <c r="L526" i="8" a="1"/>
  <c r="L526" i="8" s="1"/>
  <c r="M526" i="8" a="1"/>
  <c r="M526" i="8" s="1"/>
  <c r="N526" i="8" a="1"/>
  <c r="N526" i="8" s="1"/>
  <c r="K526" i="8" a="1"/>
  <c r="K526" i="8" s="1"/>
  <c r="L843" i="8" a="1"/>
  <c r="L843" i="8" s="1"/>
  <c r="M843" i="8" a="1"/>
  <c r="M843" i="8" s="1"/>
  <c r="N843" i="8" a="1"/>
  <c r="N843" i="8" s="1"/>
  <c r="K843" i="8" a="1"/>
  <c r="K843" i="8" s="1"/>
  <c r="M332" i="8" a="1"/>
  <c r="M332" i="8" s="1"/>
  <c r="N332" i="8" a="1"/>
  <c r="N332" i="8" s="1"/>
  <c r="K332" i="8" a="1"/>
  <c r="K332" i="8" s="1"/>
  <c r="L332" i="8" a="1"/>
  <c r="L332" i="8" s="1"/>
  <c r="L789" i="8" a="1"/>
  <c r="L789" i="8" s="1"/>
  <c r="M789" i="8" a="1"/>
  <c r="M789" i="8" s="1"/>
  <c r="N789" i="8" a="1"/>
  <c r="N789" i="8" s="1"/>
  <c r="K789" i="8" a="1"/>
  <c r="K789" i="8" s="1"/>
  <c r="L738" i="8" a="1"/>
  <c r="L738" i="8" s="1"/>
  <c r="N738" i="8" a="1"/>
  <c r="N738" i="8" s="1"/>
  <c r="K738" i="8" a="1"/>
  <c r="K738" i="8" s="1"/>
  <c r="M738" i="8" a="1"/>
  <c r="M738" i="8" s="1"/>
  <c r="K924" i="8" a="1"/>
  <c r="K924" i="8" s="1"/>
  <c r="M924" i="8" a="1"/>
  <c r="M924" i="8" s="1"/>
  <c r="L924" i="8" a="1"/>
  <c r="L924" i="8" s="1"/>
  <c r="N924" i="8" a="1"/>
  <c r="N924" i="8" s="1"/>
  <c r="L958" i="8" a="1"/>
  <c r="L958" i="8" s="1"/>
  <c r="K958" i="8" a="1"/>
  <c r="K958" i="8" s="1"/>
  <c r="N958" i="8" a="1"/>
  <c r="N958" i="8" s="1"/>
  <c r="M958" i="8" a="1"/>
  <c r="M958" i="8" s="1"/>
  <c r="N992" i="8" a="1"/>
  <c r="N992" i="8" s="1"/>
  <c r="M992" i="8" a="1"/>
  <c r="M992" i="8" s="1"/>
  <c r="K992" i="8" a="1"/>
  <c r="K992" i="8" s="1"/>
  <c r="L992" i="8" a="1"/>
  <c r="L992" i="8" s="1"/>
  <c r="M1165" i="8" a="1"/>
  <c r="M1165" i="8" s="1"/>
  <c r="L1165" i="8" a="1"/>
  <c r="L1165" i="8" s="1"/>
  <c r="K1165" i="8" a="1"/>
  <c r="K1165" i="8" s="1"/>
  <c r="N1165" i="8" a="1"/>
  <c r="N1165" i="8" s="1"/>
  <c r="N735" i="8" a="1"/>
  <c r="N735" i="8" s="1"/>
  <c r="M735" i="8" a="1"/>
  <c r="M735" i="8" s="1"/>
  <c r="L735" i="8" a="1"/>
  <c r="L735" i="8" s="1"/>
  <c r="K735" i="8" a="1"/>
  <c r="K735" i="8" s="1"/>
  <c r="K955" i="8" a="1"/>
  <c r="K955" i="8" s="1"/>
  <c r="N955" i="8" a="1"/>
  <c r="N955" i="8" s="1"/>
  <c r="M955" i="8" a="1"/>
  <c r="M955" i="8" s="1"/>
  <c r="L955" i="8" a="1"/>
  <c r="L955" i="8" s="1"/>
  <c r="N989" i="8" a="1"/>
  <c r="N989" i="8" s="1"/>
  <c r="M989" i="8" a="1"/>
  <c r="M989" i="8" s="1"/>
  <c r="L989" i="8" a="1"/>
  <c r="L989" i="8" s="1"/>
  <c r="K989" i="8" a="1"/>
  <c r="K989" i="8" s="1"/>
  <c r="M1162" i="8" a="1"/>
  <c r="M1162" i="8" s="1"/>
  <c r="N1162" i="8" a="1"/>
  <c r="N1162" i="8" s="1"/>
  <c r="L1162" i="8" a="1"/>
  <c r="L1162" i="8" s="1"/>
  <c r="K1162" i="8" a="1"/>
  <c r="K1162" i="8" s="1"/>
  <c r="N838" i="8" a="1"/>
  <c r="N838" i="8" s="1"/>
  <c r="K838" i="8" a="1"/>
  <c r="K838" i="8" s="1"/>
  <c r="M838" i="8" a="1"/>
  <c r="M838" i="8" s="1"/>
  <c r="L838" i="8" a="1"/>
  <c r="L838" i="8" s="1"/>
  <c r="K866" i="8" a="1"/>
  <c r="K866" i="8" s="1"/>
  <c r="M866" i="8" a="1"/>
  <c r="M866" i="8" s="1"/>
  <c r="L866" i="8" a="1"/>
  <c r="L866" i="8" s="1"/>
  <c r="N866" i="8" a="1"/>
  <c r="N866" i="8" s="1"/>
  <c r="M921" i="8" a="1"/>
  <c r="M921" i="8" s="1"/>
  <c r="L921" i="8" a="1"/>
  <c r="L921" i="8" s="1"/>
  <c r="K921" i="8" a="1"/>
  <c r="K921" i="8" s="1"/>
  <c r="N921" i="8" a="1"/>
  <c r="N921" i="8" s="1"/>
  <c r="L9" i="8" a="1"/>
  <c r="L9" i="8" s="1"/>
  <c r="M9" i="8" a="1"/>
  <c r="M9" i="8" s="1"/>
  <c r="K9" i="8" a="1"/>
  <c r="K9" i="8" s="1"/>
  <c r="N9" i="8" a="1"/>
  <c r="N9" i="8" s="1"/>
  <c r="L43" i="8" a="1"/>
  <c r="L43" i="8" s="1"/>
  <c r="K43" i="8" a="1"/>
  <c r="K43" i="8" s="1"/>
  <c r="M43" i="8" a="1"/>
  <c r="M43" i="8" s="1"/>
  <c r="N43" i="8" a="1"/>
  <c r="N43" i="8" s="1"/>
  <c r="L75" i="8" a="1"/>
  <c r="L75" i="8" s="1"/>
  <c r="M75" i="8" a="1"/>
  <c r="M75" i="8" s="1"/>
  <c r="K75" i="8" a="1"/>
  <c r="K75" i="8" s="1"/>
  <c r="N75" i="8" a="1"/>
  <c r="N75" i="8" s="1"/>
  <c r="N291" i="8" a="1"/>
  <c r="N291" i="8" s="1"/>
  <c r="M291" i="8" a="1"/>
  <c r="M291" i="8" s="1"/>
  <c r="L291" i="8" a="1"/>
  <c r="L291" i="8" s="1"/>
  <c r="K291" i="8" a="1"/>
  <c r="K291" i="8" s="1"/>
  <c r="L552" i="8" a="1"/>
  <c r="L552" i="8" s="1"/>
  <c r="N552" i="8" a="1"/>
  <c r="N552" i="8" s="1"/>
  <c r="M552" i="8" a="1"/>
  <c r="M552" i="8" s="1"/>
  <c r="K552" i="8" a="1"/>
  <c r="K552" i="8" s="1"/>
  <c r="N580" i="8" a="1"/>
  <c r="N580" i="8" s="1"/>
  <c r="K580" i="8" a="1"/>
  <c r="K580" i="8" s="1"/>
  <c r="M580" i="8" a="1"/>
  <c r="M580" i="8" s="1"/>
  <c r="L580" i="8" a="1"/>
  <c r="L580" i="8" s="1"/>
  <c r="K608" i="8" a="1"/>
  <c r="K608" i="8" s="1"/>
  <c r="N608" i="8" a="1"/>
  <c r="N608" i="8" s="1"/>
  <c r="L608" i="8" a="1"/>
  <c r="L608" i="8" s="1"/>
  <c r="M608" i="8" a="1"/>
  <c r="M608" i="8" s="1"/>
  <c r="N636" i="8" a="1"/>
  <c r="N636" i="8" s="1"/>
  <c r="K636" i="8" a="1"/>
  <c r="K636" i="8" s="1"/>
  <c r="L636" i="8" a="1"/>
  <c r="L636" i="8" s="1"/>
  <c r="M636" i="8" a="1"/>
  <c r="M636" i="8" s="1"/>
  <c r="M804" i="8" a="1"/>
  <c r="M804" i="8" s="1"/>
  <c r="N804" i="8" a="1"/>
  <c r="N804" i="8" s="1"/>
  <c r="L804" i="8" a="1"/>
  <c r="L804" i="8" s="1"/>
  <c r="K804" i="8" a="1"/>
  <c r="K804" i="8" s="1"/>
  <c r="L1022" i="8" a="1"/>
  <c r="L1022" i="8" s="1"/>
  <c r="M1022" i="8" a="1"/>
  <c r="M1022" i="8" s="1"/>
  <c r="K1022" i="8" a="1"/>
  <c r="K1022" i="8" s="1"/>
  <c r="N1022" i="8" a="1"/>
  <c r="N1022" i="8" s="1"/>
  <c r="K1114" i="8" a="1"/>
  <c r="K1114" i="8" s="1"/>
  <c r="M1114" i="8" a="1"/>
  <c r="M1114" i="8" s="1"/>
  <c r="L1114" i="8" a="1"/>
  <c r="L1114" i="8" s="1"/>
  <c r="N1114" i="8" a="1"/>
  <c r="N1114" i="8" s="1"/>
  <c r="K436" i="8" a="1"/>
  <c r="K436" i="8" s="1"/>
  <c r="L436" i="8" a="1"/>
  <c r="L436" i="8" s="1"/>
  <c r="N436" i="8" a="1"/>
  <c r="N436" i="8" s="1"/>
  <c r="M436" i="8" a="1"/>
  <c r="M436" i="8" s="1"/>
  <c r="N1008" i="8" a="1"/>
  <c r="N1008" i="8" s="1"/>
  <c r="M1008" i="8" a="1"/>
  <c r="M1008" i="8" s="1"/>
  <c r="K1008" i="8" a="1"/>
  <c r="K1008" i="8" s="1"/>
  <c r="L1008" i="8" a="1"/>
  <c r="L1008" i="8" s="1"/>
  <c r="N382" i="8" a="1"/>
  <c r="N382" i="8" s="1"/>
  <c r="M382" i="8" a="1"/>
  <c r="M382" i="8" s="1"/>
  <c r="L382" i="8" a="1"/>
  <c r="L382" i="8" s="1"/>
  <c r="K382" i="8" a="1"/>
  <c r="K382" i="8" s="1"/>
  <c r="L68" i="8" a="1"/>
  <c r="L68" i="8" s="1"/>
  <c r="M68" i="8" a="1"/>
  <c r="M68" i="8" s="1"/>
  <c r="N68" i="8" a="1"/>
  <c r="N68" i="8" s="1"/>
  <c r="K68" i="8" a="1"/>
  <c r="K68" i="8" s="1"/>
  <c r="K282" i="8" a="1"/>
  <c r="K282" i="8" s="1"/>
  <c r="N282" i="8" a="1"/>
  <c r="N282" i="8" s="1"/>
  <c r="M282" i="8" a="1"/>
  <c r="M282" i="8" s="1"/>
  <c r="L282" i="8" a="1"/>
  <c r="L282" i="8" s="1"/>
  <c r="M28" i="8" a="1"/>
  <c r="M28" i="8" s="1"/>
  <c r="L28" i="8" a="1"/>
  <c r="L28" i="8" s="1"/>
  <c r="K28" i="8" a="1"/>
  <c r="K28" i="8" s="1"/>
  <c r="N28" i="8" a="1"/>
  <c r="N28" i="8" s="1"/>
  <c r="N825" i="8" a="1"/>
  <c r="N825" i="8" s="1"/>
  <c r="L825" i="8" a="1"/>
  <c r="L825" i="8" s="1"/>
  <c r="K825" i="8" a="1"/>
  <c r="K825" i="8" s="1"/>
  <c r="M825" i="8" a="1"/>
  <c r="M825" i="8" s="1"/>
  <c r="M609" i="8" a="1"/>
  <c r="M609" i="8" s="1"/>
  <c r="N609" i="8" a="1"/>
  <c r="N609" i="8" s="1"/>
  <c r="K609" i="8" a="1"/>
  <c r="K609" i="8" s="1"/>
  <c r="L609" i="8" a="1"/>
  <c r="L609" i="8" s="1"/>
  <c r="M881" i="8" a="1"/>
  <c r="M881" i="8" s="1"/>
  <c r="N881" i="8" a="1"/>
  <c r="N881" i="8" s="1"/>
  <c r="L881" i="8" a="1"/>
  <c r="L881" i="8" s="1"/>
  <c r="K881" i="8" a="1"/>
  <c r="K881" i="8" s="1"/>
  <c r="M631" i="8" a="1"/>
  <c r="M631" i="8" s="1"/>
  <c r="K631" i="8" a="1"/>
  <c r="K631" i="8" s="1"/>
  <c r="L631" i="8" a="1"/>
  <c r="L631" i="8" s="1"/>
  <c r="N631" i="8" a="1"/>
  <c r="N631" i="8" s="1"/>
  <c r="K690" i="8" a="1"/>
  <c r="K690" i="8" s="1"/>
  <c r="M690" i="8" a="1"/>
  <c r="M690" i="8" s="1"/>
  <c r="L690" i="8" a="1"/>
  <c r="L690" i="8" s="1"/>
  <c r="N690" i="8" a="1"/>
  <c r="N690" i="8" s="1"/>
  <c r="L294" i="8" a="1"/>
  <c r="L294" i="8" s="1"/>
  <c r="N294" i="8" a="1"/>
  <c r="N294" i="8" s="1"/>
  <c r="M294" i="8" a="1"/>
  <c r="M294" i="8" s="1"/>
  <c r="K294" i="8" a="1"/>
  <c r="K294" i="8" s="1"/>
  <c r="M875" i="8" a="1"/>
  <c r="M875" i="8" s="1"/>
  <c r="L875" i="8" a="1"/>
  <c r="L875" i="8" s="1"/>
  <c r="K875" i="8" a="1"/>
  <c r="K875" i="8" s="1"/>
  <c r="N875" i="8" a="1"/>
  <c r="N875" i="8" s="1"/>
  <c r="N464" i="8" a="1"/>
  <c r="N464" i="8" s="1"/>
  <c r="M464" i="8" a="1"/>
  <c r="M464" i="8" s="1"/>
  <c r="K464" i="8" a="1"/>
  <c r="K464" i="8" s="1"/>
  <c r="L464" i="8" a="1"/>
  <c r="L464" i="8" s="1"/>
  <c r="K528" i="8" a="1"/>
  <c r="K528" i="8" s="1"/>
  <c r="N528" i="8" a="1"/>
  <c r="N528" i="8" s="1"/>
  <c r="L528" i="8" a="1"/>
  <c r="L528" i="8" s="1"/>
  <c r="M528" i="8" a="1"/>
  <c r="M528" i="8" s="1"/>
  <c r="N871" i="8" a="1"/>
  <c r="N871" i="8" s="1"/>
  <c r="M871" i="8" a="1"/>
  <c r="M871" i="8" s="1"/>
  <c r="K871" i="8" a="1"/>
  <c r="K871" i="8" s="1"/>
  <c r="L871" i="8" a="1"/>
  <c r="L871" i="8" s="1"/>
  <c r="N841" i="8" a="1"/>
  <c r="N841" i="8" s="1"/>
  <c r="K841" i="8" a="1"/>
  <c r="K841" i="8" s="1"/>
  <c r="M841" i="8" a="1"/>
  <c r="M841" i="8" s="1"/>
  <c r="L841" i="8" a="1"/>
  <c r="L841" i="8" s="1"/>
  <c r="M740" i="8" a="1"/>
  <c r="M740" i="8" s="1"/>
  <c r="K740" i="8" a="1"/>
  <c r="K740" i="8" s="1"/>
  <c r="N740" i="8" a="1"/>
  <c r="N740" i="8" s="1"/>
  <c r="L740" i="8" a="1"/>
  <c r="L740" i="8" s="1"/>
  <c r="N926" i="8" a="1"/>
  <c r="N926" i="8" s="1"/>
  <c r="M926" i="8" a="1"/>
  <c r="M926" i="8" s="1"/>
  <c r="L926" i="8" a="1"/>
  <c r="L926" i="8" s="1"/>
  <c r="K926" i="8" a="1"/>
  <c r="K926" i="8" s="1"/>
  <c r="M960" i="8" a="1"/>
  <c r="M960" i="8" s="1"/>
  <c r="K960" i="8" a="1"/>
  <c r="K960" i="8" s="1"/>
  <c r="L960" i="8" a="1"/>
  <c r="L960" i="8" s="1"/>
  <c r="N960" i="8" a="1"/>
  <c r="N960" i="8" s="1"/>
  <c r="N1167" i="8" a="1"/>
  <c r="N1167" i="8" s="1"/>
  <c r="L1167" i="8" a="1"/>
  <c r="L1167" i="8" s="1"/>
  <c r="M1167" i="8" a="1"/>
  <c r="M1167" i="8" s="1"/>
  <c r="K1167" i="8" a="1"/>
  <c r="K1167" i="8" s="1"/>
  <c r="L910" i="8" a="1"/>
  <c r="L910" i="8" s="1"/>
  <c r="K910" i="8" a="1"/>
  <c r="K910" i="8" s="1"/>
  <c r="N910" i="8" a="1"/>
  <c r="N910" i="8" s="1"/>
  <c r="M910" i="8" a="1"/>
  <c r="M910" i="8" s="1"/>
  <c r="K737" i="8" a="1"/>
  <c r="K737" i="8" s="1"/>
  <c r="M737" i="8" a="1"/>
  <c r="M737" i="8" s="1"/>
  <c r="N737" i="8" a="1"/>
  <c r="N737" i="8" s="1"/>
  <c r="L737" i="8" a="1"/>
  <c r="L737" i="8" s="1"/>
  <c r="N957" i="8" a="1"/>
  <c r="N957" i="8" s="1"/>
  <c r="K957" i="8" a="1"/>
  <c r="K957" i="8" s="1"/>
  <c r="L957" i="8" a="1"/>
  <c r="L957" i="8" s="1"/>
  <c r="M957" i="8" a="1"/>
  <c r="M957" i="8" s="1"/>
  <c r="N991" i="8" a="1"/>
  <c r="N991" i="8" s="1"/>
  <c r="L991" i="8" a="1"/>
  <c r="L991" i="8" s="1"/>
  <c r="K991" i="8" a="1"/>
  <c r="K991" i="8" s="1"/>
  <c r="M991" i="8" a="1"/>
  <c r="M991" i="8" s="1"/>
  <c r="L1166" i="8" a="1"/>
  <c r="L1166" i="8" s="1"/>
  <c r="M1166" i="8" a="1"/>
  <c r="M1166" i="8" s="1"/>
  <c r="K1166" i="8" a="1"/>
  <c r="K1166" i="8" s="1"/>
  <c r="N1166" i="8" a="1"/>
  <c r="N1166" i="8" s="1"/>
  <c r="M711" i="8" a="1"/>
  <c r="M711" i="8" s="1"/>
  <c r="L711" i="8" a="1"/>
  <c r="L711" i="8" s="1"/>
  <c r="N711" i="8" a="1"/>
  <c r="N711" i="8" s="1"/>
  <c r="K711" i="8" a="1"/>
  <c r="K711" i="8" s="1"/>
  <c r="M840" i="8" a="1"/>
  <c r="M840" i="8" s="1"/>
  <c r="L840" i="8" a="1"/>
  <c r="L840" i="8" s="1"/>
  <c r="K840" i="8" a="1"/>
  <c r="K840" i="8" s="1"/>
  <c r="N840" i="8" a="1"/>
  <c r="N840" i="8" s="1"/>
  <c r="L868" i="8" a="1"/>
  <c r="L868" i="8" s="1"/>
  <c r="N868" i="8" a="1"/>
  <c r="N868" i="8" s="1"/>
  <c r="M868" i="8" a="1"/>
  <c r="M868" i="8" s="1"/>
  <c r="K868" i="8" a="1"/>
  <c r="K868" i="8" s="1"/>
  <c r="L11" i="8" a="1"/>
  <c r="L11" i="8" s="1"/>
  <c r="K11" i="8" a="1"/>
  <c r="K11" i="8" s="1"/>
  <c r="M11" i="8" a="1"/>
  <c r="M11" i="8" s="1"/>
  <c r="N11" i="8" a="1"/>
  <c r="N11" i="8" s="1"/>
  <c r="L45" i="8" a="1"/>
  <c r="L45" i="8" s="1"/>
  <c r="K45" i="8" a="1"/>
  <c r="K45" i="8" s="1"/>
  <c r="M45" i="8" a="1"/>
  <c r="M45" i="8" s="1"/>
  <c r="N45" i="8" a="1"/>
  <c r="N45" i="8" s="1"/>
  <c r="L77" i="8" a="1"/>
  <c r="L77" i="8" s="1"/>
  <c r="K77" i="8" a="1"/>
  <c r="K77" i="8" s="1"/>
  <c r="M77" i="8" a="1"/>
  <c r="M77" i="8" s="1"/>
  <c r="N77" i="8" a="1"/>
  <c r="N77" i="8" s="1"/>
  <c r="N293" i="8" a="1"/>
  <c r="N293" i="8" s="1"/>
  <c r="M293" i="8" a="1"/>
  <c r="M293" i="8" s="1"/>
  <c r="K293" i="8" a="1"/>
  <c r="K293" i="8" s="1"/>
  <c r="L293" i="8" a="1"/>
  <c r="L293" i="8" s="1"/>
  <c r="M554" i="8" a="1"/>
  <c r="M554" i="8" s="1"/>
  <c r="L554" i="8" a="1"/>
  <c r="L554" i="8" s="1"/>
  <c r="N554" i="8" a="1"/>
  <c r="N554" i="8" s="1"/>
  <c r="K554" i="8" a="1"/>
  <c r="K554" i="8" s="1"/>
  <c r="L582" i="8" a="1"/>
  <c r="L582" i="8" s="1"/>
  <c r="N582" i="8" a="1"/>
  <c r="N582" i="8" s="1"/>
  <c r="M582" i="8" a="1"/>
  <c r="M582" i="8" s="1"/>
  <c r="K582" i="8" a="1"/>
  <c r="K582" i="8" s="1"/>
  <c r="M610" i="8" a="1"/>
  <c r="M610" i="8" s="1"/>
  <c r="K610" i="8" a="1"/>
  <c r="K610" i="8" s="1"/>
  <c r="N610" i="8" a="1"/>
  <c r="N610" i="8" s="1"/>
  <c r="L610" i="8" a="1"/>
  <c r="L610" i="8" s="1"/>
  <c r="N638" i="8" a="1"/>
  <c r="N638" i="8" s="1"/>
  <c r="M638" i="8" a="1"/>
  <c r="M638" i="8" s="1"/>
  <c r="K638" i="8" a="1"/>
  <c r="K638" i="8" s="1"/>
  <c r="L638" i="8" a="1"/>
  <c r="L638" i="8" s="1"/>
  <c r="K808" i="8" a="1"/>
  <c r="K808" i="8" s="1"/>
  <c r="L808" i="8" a="1"/>
  <c r="L808" i="8" s="1"/>
  <c r="N808" i="8" a="1"/>
  <c r="N808" i="8" s="1"/>
  <c r="M808" i="8" a="1"/>
  <c r="M808" i="8" s="1"/>
  <c r="K699" i="8" a="1"/>
  <c r="K699" i="8" s="1"/>
  <c r="L699" i="8" a="1"/>
  <c r="L699" i="8" s="1"/>
  <c r="M699" i="8" a="1"/>
  <c r="M699" i="8" s="1"/>
  <c r="N699" i="8" a="1"/>
  <c r="N699" i="8" s="1"/>
  <c r="N1024" i="8" a="1"/>
  <c r="N1024" i="8" s="1"/>
  <c r="M1024" i="8" a="1"/>
  <c r="M1024" i="8" s="1"/>
  <c r="L1024" i="8" a="1"/>
  <c r="L1024" i="8" s="1"/>
  <c r="K1024" i="8" a="1"/>
  <c r="K1024" i="8" s="1"/>
  <c r="N1116" i="8" a="1"/>
  <c r="N1116" i="8" s="1"/>
  <c r="M1116" i="8" a="1"/>
  <c r="M1116" i="8" s="1"/>
  <c r="K1116" i="8" a="1"/>
  <c r="K1116" i="8" s="1"/>
  <c r="L1116" i="8" a="1"/>
  <c r="L1116" i="8" s="1"/>
  <c r="N270" i="8" a="1"/>
  <c r="N270" i="8" s="1"/>
  <c r="K270" i="8" a="1"/>
  <c r="K270" i="8" s="1"/>
  <c r="L270" i="8" a="1"/>
  <c r="L270" i="8" s="1"/>
  <c r="M270" i="8" a="1"/>
  <c r="M270" i="8" s="1"/>
  <c r="N429" i="8" a="1"/>
  <c r="N429" i="8" s="1"/>
  <c r="K429" i="8" a="1"/>
  <c r="K429" i="8" s="1"/>
  <c r="M429" i="8" a="1"/>
  <c r="M429" i="8" s="1"/>
  <c r="L429" i="8" a="1"/>
  <c r="L429" i="8" s="1"/>
  <c r="M66" i="8" a="1"/>
  <c r="M66" i="8" s="1"/>
  <c r="L66" i="8" a="1"/>
  <c r="L66" i="8" s="1"/>
  <c r="N66" i="8" a="1"/>
  <c r="N66" i="8" s="1"/>
  <c r="K66" i="8" a="1"/>
  <c r="K66" i="8" s="1"/>
  <c r="M26" i="8" a="1"/>
  <c r="M26" i="8" s="1"/>
  <c r="L26" i="8" a="1"/>
  <c r="L26" i="8" s="1"/>
  <c r="K26" i="8" a="1"/>
  <c r="K26" i="8" s="1"/>
  <c r="N26" i="8" a="1"/>
  <c r="N26" i="8" s="1"/>
  <c r="M1195" i="8" a="1"/>
  <c r="M1195" i="8" s="1"/>
  <c r="N1195" i="8" a="1"/>
  <c r="N1195" i="8" s="1"/>
  <c r="K1195" i="8" a="1"/>
  <c r="K1195" i="8" s="1"/>
  <c r="L1195" i="8" a="1"/>
  <c r="L1195" i="8" s="1"/>
  <c r="N685" i="8" a="1"/>
  <c r="N685" i="8" s="1"/>
  <c r="K685" i="8" a="1"/>
  <c r="K685" i="8" s="1"/>
  <c r="L685" i="8" a="1"/>
  <c r="L685" i="8" s="1"/>
  <c r="M685" i="8" a="1"/>
  <c r="M685" i="8" s="1"/>
  <c r="N308" i="8" a="1"/>
  <c r="N308" i="8" s="1"/>
  <c r="L308" i="8" a="1"/>
  <c r="L308" i="8" s="1"/>
  <c r="M308" i="8" a="1"/>
  <c r="M308" i="8" s="1"/>
  <c r="K308" i="8" a="1"/>
  <c r="K308" i="8" s="1"/>
  <c r="M785" i="8" a="1"/>
  <c r="M785" i="8" s="1"/>
  <c r="K785" i="8" a="1"/>
  <c r="K785" i="8" s="1"/>
  <c r="N785" i="8" a="1"/>
  <c r="N785" i="8" s="1"/>
  <c r="L785" i="8" a="1"/>
  <c r="L785" i="8" s="1"/>
  <c r="M621" i="8" a="1"/>
  <c r="M621" i="8" s="1"/>
  <c r="N621" i="8" a="1"/>
  <c r="N621" i="8" s="1"/>
  <c r="L621" i="8" a="1"/>
  <c r="L621" i="8" s="1"/>
  <c r="K621" i="8" a="1"/>
  <c r="K621" i="8" s="1"/>
  <c r="M8" i="8" a="1"/>
  <c r="M8" i="8" s="1"/>
  <c r="L8" i="8" a="1"/>
  <c r="L8" i="8" s="1"/>
  <c r="K8" i="8" a="1"/>
  <c r="K8" i="8" s="1"/>
  <c r="N8" i="8" a="1"/>
  <c r="N8" i="8" s="1"/>
  <c r="L20" i="8" a="1"/>
  <c r="L20" i="8" s="1"/>
  <c r="M20" i="8" a="1"/>
  <c r="M20" i="8" s="1"/>
  <c r="N20" i="8" a="1"/>
  <c r="N20" i="8" s="1"/>
  <c r="K20" i="8" a="1"/>
  <c r="K20" i="8" s="1"/>
  <c r="N393" i="8" a="1"/>
  <c r="N393" i="8" s="1"/>
  <c r="M393" i="8" a="1"/>
  <c r="M393" i="8" s="1"/>
  <c r="K393" i="8" a="1"/>
  <c r="K393" i="8" s="1"/>
  <c r="L393" i="8" a="1"/>
  <c r="L393" i="8" s="1"/>
  <c r="N431" i="8" a="1"/>
  <c r="N431" i="8" s="1"/>
  <c r="K431" i="8" a="1"/>
  <c r="K431" i="8" s="1"/>
  <c r="M431" i="8" a="1"/>
  <c r="M431" i="8" s="1"/>
  <c r="L431" i="8" a="1"/>
  <c r="L431" i="8" s="1"/>
  <c r="K398" i="8" a="1"/>
  <c r="K398" i="8" s="1"/>
  <c r="N398" i="8" a="1"/>
  <c r="N398" i="8" s="1"/>
  <c r="L398" i="8" a="1"/>
  <c r="L398" i="8" s="1"/>
  <c r="M398" i="8" a="1"/>
  <c r="M398" i="8" s="1"/>
  <c r="N272" i="8" a="1"/>
  <c r="N272" i="8" s="1"/>
  <c r="L272" i="8" a="1"/>
  <c r="L272" i="8" s="1"/>
  <c r="M272" i="8" a="1"/>
  <c r="M272" i="8" s="1"/>
  <c r="K272" i="8" a="1"/>
  <c r="K272" i="8" s="1"/>
  <c r="N676" i="8" a="1"/>
  <c r="N676" i="8" s="1"/>
  <c r="L676" i="8" a="1"/>
  <c r="L676" i="8" s="1"/>
  <c r="K676" i="8" a="1"/>
  <c r="K676" i="8" s="1"/>
  <c r="M676" i="8" a="1"/>
  <c r="M676" i="8" s="1"/>
  <c r="L385" i="8" a="1"/>
  <c r="L385" i="8" s="1"/>
  <c r="N385" i="8" a="1"/>
  <c r="N385" i="8" s="1"/>
  <c r="K385" i="8" a="1"/>
  <c r="K385" i="8" s="1"/>
  <c r="M385" i="8" a="1"/>
  <c r="M385" i="8" s="1"/>
  <c r="M912" i="8" a="1"/>
  <c r="M912" i="8" s="1"/>
  <c r="L912" i="8" a="1"/>
  <c r="L912" i="8" s="1"/>
  <c r="K912" i="8" a="1"/>
  <c r="K912" i="8" s="1"/>
  <c r="N912" i="8" a="1"/>
  <c r="N912" i="8" s="1"/>
  <c r="L461" i="8" a="1"/>
  <c r="L461" i="8" s="1"/>
  <c r="N461" i="8" a="1"/>
  <c r="N461" i="8" s="1"/>
  <c r="K461" i="8" a="1"/>
  <c r="K461" i="8" s="1"/>
  <c r="M461" i="8" a="1"/>
  <c r="M461" i="8" s="1"/>
  <c r="N286" i="8" a="1"/>
  <c r="N286" i="8" s="1"/>
  <c r="M286" i="8" a="1"/>
  <c r="M286" i="8" s="1"/>
  <c r="L286" i="8" a="1"/>
  <c r="L286" i="8" s="1"/>
  <c r="K286" i="8" a="1"/>
  <c r="K286" i="8" s="1"/>
  <c r="L557" i="8" a="1"/>
  <c r="L557" i="8" s="1"/>
  <c r="K557" i="8" a="1"/>
  <c r="K557" i="8" s="1"/>
  <c r="M557" i="8" a="1"/>
  <c r="M557" i="8" s="1"/>
  <c r="N557" i="8" a="1"/>
  <c r="N557" i="8" s="1"/>
  <c r="M284" i="8" a="1"/>
  <c r="M284" i="8" s="1"/>
  <c r="N284" i="8" a="1"/>
  <c r="N284" i="8" s="1"/>
  <c r="L284" i="8" a="1"/>
  <c r="L284" i="8" s="1"/>
  <c r="K284" i="8" a="1"/>
  <c r="K284" i="8" s="1"/>
  <c r="N613" i="8" a="1"/>
  <c r="N613" i="8" s="1"/>
  <c r="M613" i="8" a="1"/>
  <c r="M613" i="8" s="1"/>
  <c r="K613" i="8" a="1"/>
  <c r="K613" i="8" s="1"/>
  <c r="L613" i="8" a="1"/>
  <c r="L613" i="8" s="1"/>
  <c r="L64" i="8" a="1"/>
  <c r="L64" i="8" s="1"/>
  <c r="M64" i="8" a="1"/>
  <c r="M64" i="8" s="1"/>
  <c r="N64" i="8" a="1"/>
  <c r="N64" i="8" s="1"/>
  <c r="K64" i="8" a="1"/>
  <c r="K64" i="8" s="1"/>
  <c r="K831" i="8" a="1"/>
  <c r="K831" i="8" s="1"/>
  <c r="M831" i="8" a="1"/>
  <c r="M831" i="8" s="1"/>
  <c r="L831" i="8" a="1"/>
  <c r="L831" i="8" s="1"/>
  <c r="N831" i="8" a="1"/>
  <c r="N831" i="8" s="1"/>
  <c r="N611" i="8" a="1"/>
  <c r="N611" i="8" s="1"/>
  <c r="M611" i="8" a="1"/>
  <c r="M611" i="8" s="1"/>
  <c r="L611" i="8" a="1"/>
  <c r="L611" i="8" s="1"/>
  <c r="K611" i="8" a="1"/>
  <c r="K611" i="8" s="1"/>
  <c r="N633" i="8" a="1"/>
  <c r="N633" i="8" s="1"/>
  <c r="M633" i="8" a="1"/>
  <c r="M633" i="8" s="1"/>
  <c r="K633" i="8" a="1"/>
  <c r="K633" i="8" s="1"/>
  <c r="L633" i="8" a="1"/>
  <c r="L633" i="8" s="1"/>
  <c r="K905" i="8" a="1"/>
  <c r="K905" i="8" s="1"/>
  <c r="M905" i="8" a="1"/>
  <c r="M905" i="8" s="1"/>
  <c r="L905" i="8" a="1"/>
  <c r="L905" i="8" s="1"/>
  <c r="N905" i="8" a="1"/>
  <c r="N905" i="8" s="1"/>
  <c r="N657" i="8" a="1"/>
  <c r="N657" i="8" s="1"/>
  <c r="M657" i="8" a="1"/>
  <c r="M657" i="8" s="1"/>
  <c r="L657" i="8" a="1"/>
  <c r="L657" i="8" s="1"/>
  <c r="K657" i="8" a="1"/>
  <c r="K657" i="8" s="1"/>
  <c r="M692" i="8" a="1"/>
  <c r="M692" i="8" s="1"/>
  <c r="K692" i="8" a="1"/>
  <c r="K692" i="8" s="1"/>
  <c r="L692" i="8" a="1"/>
  <c r="L692" i="8" s="1"/>
  <c r="N692" i="8" a="1"/>
  <c r="N692" i="8" s="1"/>
  <c r="N305" i="8" a="1"/>
  <c r="N305" i="8" s="1"/>
  <c r="L305" i="8" a="1"/>
  <c r="L305" i="8" s="1"/>
  <c r="K305" i="8" a="1"/>
  <c r="K305" i="8" s="1"/>
  <c r="M305" i="8" a="1"/>
  <c r="M305" i="8" s="1"/>
  <c r="L922" i="8" a="1"/>
  <c r="L922" i="8" s="1"/>
  <c r="M922" i="8" a="1"/>
  <c r="M922" i="8" s="1"/>
  <c r="N922" i="8" a="1"/>
  <c r="N922" i="8" s="1"/>
  <c r="K922" i="8" a="1"/>
  <c r="K922" i="8" s="1"/>
  <c r="K721" i="8" a="1"/>
  <c r="K721" i="8" s="1"/>
  <c r="N721" i="8" a="1"/>
  <c r="N721" i="8" s="1"/>
  <c r="M721" i="8" a="1"/>
  <c r="M721" i="8" s="1"/>
  <c r="L721" i="8" a="1"/>
  <c r="L721" i="8" s="1"/>
  <c r="N466" i="8" a="1"/>
  <c r="N466" i="8" s="1"/>
  <c r="K466" i="8" a="1"/>
  <c r="K466" i="8" s="1"/>
  <c r="M466" i="8" a="1"/>
  <c r="M466" i="8" s="1"/>
  <c r="L466" i="8" a="1"/>
  <c r="L466" i="8" s="1"/>
  <c r="L530" i="8" a="1"/>
  <c r="L530" i="8" s="1"/>
  <c r="M530" i="8" a="1"/>
  <c r="M530" i="8" s="1"/>
  <c r="N530" i="8" a="1"/>
  <c r="N530" i="8" s="1"/>
  <c r="K530" i="8" a="1"/>
  <c r="K530" i="8" s="1"/>
  <c r="M869" i="8" a="1"/>
  <c r="M869" i="8" s="1"/>
  <c r="N869" i="8" a="1"/>
  <c r="N869" i="8" s="1"/>
  <c r="L869" i="8" a="1"/>
  <c r="L869" i="8" s="1"/>
  <c r="K869" i="8" a="1"/>
  <c r="K869" i="8" s="1"/>
  <c r="M714" i="8" a="1"/>
  <c r="M714" i="8" s="1"/>
  <c r="K714" i="8" a="1"/>
  <c r="K714" i="8" s="1"/>
  <c r="L714" i="8" a="1"/>
  <c r="L714" i="8" s="1"/>
  <c r="N714" i="8" a="1"/>
  <c r="N714" i="8" s="1"/>
  <c r="K742" i="8" a="1"/>
  <c r="K742" i="8" s="1"/>
  <c r="M742" i="8" a="1"/>
  <c r="M742" i="8" s="1"/>
  <c r="L742" i="8" a="1"/>
  <c r="L742" i="8" s="1"/>
  <c r="N742" i="8" a="1"/>
  <c r="N742" i="8" s="1"/>
  <c r="N928" i="8" a="1"/>
  <c r="N928" i="8" s="1"/>
  <c r="K928" i="8" a="1"/>
  <c r="K928" i="8" s="1"/>
  <c r="L928" i="8" a="1"/>
  <c r="L928" i="8" s="1"/>
  <c r="M928" i="8" a="1"/>
  <c r="M928" i="8" s="1"/>
  <c r="K962" i="8" a="1"/>
  <c r="K962" i="8" s="1"/>
  <c r="M962" i="8" a="1"/>
  <c r="M962" i="8" s="1"/>
  <c r="L962" i="8" a="1"/>
  <c r="L962" i="8" s="1"/>
  <c r="N962" i="8" a="1"/>
  <c r="N962" i="8" s="1"/>
  <c r="N1141" i="8" a="1"/>
  <c r="N1141" i="8" s="1"/>
  <c r="M1141" i="8" a="1"/>
  <c r="M1141" i="8" s="1"/>
  <c r="K1141" i="8" a="1"/>
  <c r="K1141" i="8" s="1"/>
  <c r="L1141" i="8" a="1"/>
  <c r="L1141" i="8" s="1"/>
  <c r="K1169" i="8" a="1"/>
  <c r="K1169" i="8" s="1"/>
  <c r="N1169" i="8" a="1"/>
  <c r="N1169" i="8" s="1"/>
  <c r="M1169" i="8" a="1"/>
  <c r="M1169" i="8" s="1"/>
  <c r="L1169" i="8" a="1"/>
  <c r="L1169" i="8" s="1"/>
  <c r="L902" i="8" a="1"/>
  <c r="L902" i="8" s="1"/>
  <c r="K902" i="8" a="1"/>
  <c r="K902" i="8" s="1"/>
  <c r="N902" i="8" a="1"/>
  <c r="N902" i="8" s="1"/>
  <c r="M902" i="8" a="1"/>
  <c r="M902" i="8" s="1"/>
  <c r="N739" i="8" a="1"/>
  <c r="N739" i="8" s="1"/>
  <c r="K739" i="8" a="1"/>
  <c r="K739" i="8" s="1"/>
  <c r="M739" i="8" a="1"/>
  <c r="M739" i="8" s="1"/>
  <c r="L739" i="8" a="1"/>
  <c r="L739" i="8" s="1"/>
  <c r="L925" i="8" a="1"/>
  <c r="L925" i="8" s="1"/>
  <c r="K925" i="8" a="1"/>
  <c r="K925" i="8" s="1"/>
  <c r="N925" i="8" a="1"/>
  <c r="N925" i="8" s="1"/>
  <c r="M925" i="8" a="1"/>
  <c r="M925" i="8" s="1"/>
  <c r="N959" i="8" a="1"/>
  <c r="N959" i="8" s="1"/>
  <c r="L959" i="8" a="1"/>
  <c r="L959" i="8" s="1"/>
  <c r="M959" i="8" a="1"/>
  <c r="M959" i="8" s="1"/>
  <c r="K959" i="8" a="1"/>
  <c r="K959" i="8" s="1"/>
  <c r="L1168" i="8" a="1"/>
  <c r="L1168" i="8" s="1"/>
  <c r="N1168" i="8" a="1"/>
  <c r="N1168" i="8" s="1"/>
  <c r="K1168" i="8" a="1"/>
  <c r="K1168" i="8" s="1"/>
  <c r="M1168" i="8" a="1"/>
  <c r="M1168" i="8" s="1"/>
  <c r="K842" i="8" a="1"/>
  <c r="K842" i="8" s="1"/>
  <c r="L842" i="8" a="1"/>
  <c r="L842" i="8" s="1"/>
  <c r="N842" i="8" a="1"/>
  <c r="N842" i="8" s="1"/>
  <c r="M842" i="8" a="1"/>
  <c r="M842" i="8" s="1"/>
  <c r="M870" i="8" a="1"/>
  <c r="M870" i="8" s="1"/>
  <c r="L870" i="8" a="1"/>
  <c r="L870" i="8" s="1"/>
  <c r="K870" i="8" a="1"/>
  <c r="K870" i="8" s="1"/>
  <c r="N870" i="8" a="1"/>
  <c r="N870" i="8" s="1"/>
  <c r="L13" i="8" a="1"/>
  <c r="L13" i="8" s="1"/>
  <c r="K13" i="8" a="1"/>
  <c r="K13" i="8" s="1"/>
  <c r="M13" i="8" a="1"/>
  <c r="M13" i="8" s="1"/>
  <c r="N13" i="8" a="1"/>
  <c r="N13" i="8" s="1"/>
  <c r="K47" i="8" a="1"/>
  <c r="K47" i="8" s="1"/>
  <c r="L47" i="8" a="1"/>
  <c r="L47" i="8" s="1"/>
  <c r="M47" i="8" a="1"/>
  <c r="M47" i="8" s="1"/>
  <c r="N47" i="8" a="1"/>
  <c r="N47" i="8" s="1"/>
  <c r="N265" i="8" a="1"/>
  <c r="N265" i="8" s="1"/>
  <c r="L265" i="8" a="1"/>
  <c r="L265" i="8" s="1"/>
  <c r="M265" i="8" a="1"/>
  <c r="M265" i="8" s="1"/>
  <c r="K265" i="8" a="1"/>
  <c r="K265" i="8" s="1"/>
  <c r="N295" i="8" a="1"/>
  <c r="N295" i="8" s="1"/>
  <c r="M295" i="8" a="1"/>
  <c r="M295" i="8" s="1"/>
  <c r="K295" i="8" a="1"/>
  <c r="K295" i="8" s="1"/>
  <c r="L295" i="8" a="1"/>
  <c r="L295" i="8" s="1"/>
  <c r="N556" i="8" a="1"/>
  <c r="N556" i="8" s="1"/>
  <c r="M556" i="8" a="1"/>
  <c r="M556" i="8" s="1"/>
  <c r="K556" i="8" a="1"/>
  <c r="K556" i="8" s="1"/>
  <c r="L556" i="8" a="1"/>
  <c r="L556" i="8" s="1"/>
  <c r="M584" i="8" a="1"/>
  <c r="M584" i="8" s="1"/>
  <c r="L584" i="8" a="1"/>
  <c r="L584" i="8" s="1"/>
  <c r="K584" i="8" a="1"/>
  <c r="K584" i="8" s="1"/>
  <c r="N584" i="8" a="1"/>
  <c r="N584" i="8" s="1"/>
  <c r="K612" i="8" a="1"/>
  <c r="K612" i="8" s="1"/>
  <c r="M612" i="8" a="1"/>
  <c r="M612" i="8" s="1"/>
  <c r="L612" i="8" a="1"/>
  <c r="L612" i="8" s="1"/>
  <c r="N612" i="8" a="1"/>
  <c r="N612" i="8" s="1"/>
  <c r="N640" i="8" a="1"/>
  <c r="N640" i="8" s="1"/>
  <c r="M640" i="8" a="1"/>
  <c r="M640" i="8" s="1"/>
  <c r="K640" i="8" a="1"/>
  <c r="K640" i="8" s="1"/>
  <c r="L640" i="8" a="1"/>
  <c r="L640" i="8" s="1"/>
  <c r="N701" i="8" a="1"/>
  <c r="N701" i="8" s="1"/>
  <c r="M701" i="8" a="1"/>
  <c r="M701" i="8" s="1"/>
  <c r="K701" i="8" a="1"/>
  <c r="K701" i="8" s="1"/>
  <c r="L701" i="8" a="1"/>
  <c r="L701" i="8" s="1"/>
  <c r="M1026" i="8" a="1"/>
  <c r="M1026" i="8" s="1"/>
  <c r="K1026" i="8" a="1"/>
  <c r="K1026" i="8" s="1"/>
  <c r="L1026" i="8" a="1"/>
  <c r="L1026" i="8" s="1"/>
  <c r="N1026" i="8" a="1"/>
  <c r="N1026" i="8" s="1"/>
  <c r="L1122" i="8" a="1"/>
  <c r="L1122" i="8" s="1"/>
  <c r="K1122" i="8" a="1"/>
  <c r="K1122" i="8" s="1"/>
  <c r="M1122" i="8" a="1"/>
  <c r="M1122" i="8" s="1"/>
  <c r="N1122" i="8" a="1"/>
  <c r="N1122" i="8" s="1"/>
  <c r="M6" i="8" a="1"/>
  <c r="M6" i="8" s="1"/>
  <c r="K6" i="8" a="1"/>
  <c r="K6" i="8" s="1"/>
  <c r="N6" i="8" a="1"/>
  <c r="N6" i="8" s="1"/>
  <c r="L6" i="8" a="1"/>
  <c r="L6" i="8" s="1"/>
  <c r="N549" i="8" a="1"/>
  <c r="N549" i="8" s="1"/>
  <c r="L549" i="8" a="1"/>
  <c r="L549" i="8" s="1"/>
  <c r="M549" i="8" a="1"/>
  <c r="M549" i="8" s="1"/>
  <c r="K549" i="8" a="1"/>
  <c r="K549" i="8" s="1"/>
  <c r="L391" i="8" a="1"/>
  <c r="L391" i="8" s="1"/>
  <c r="K391" i="8" a="1"/>
  <c r="K391" i="8" s="1"/>
  <c r="M391" i="8" a="1"/>
  <c r="M391" i="8" s="1"/>
  <c r="N391" i="8" a="1"/>
  <c r="N391" i="8" s="1"/>
  <c r="N674" i="8" a="1"/>
  <c r="N674" i="8" s="1"/>
  <c r="L674" i="8" a="1"/>
  <c r="L674" i="8" s="1"/>
  <c r="K674" i="8" a="1"/>
  <c r="K674" i="8" s="1"/>
  <c r="M674" i="8" a="1"/>
  <c r="M674" i="8" s="1"/>
  <c r="L583" i="8" a="1"/>
  <c r="L583" i="8" s="1"/>
  <c r="M583" i="8" a="1"/>
  <c r="M583" i="8" s="1"/>
  <c r="N583" i="8" a="1"/>
  <c r="N583" i="8" s="1"/>
  <c r="K583" i="8" a="1"/>
  <c r="K583" i="8" s="1"/>
  <c r="K342" i="8" a="1"/>
  <c r="K342" i="8" s="1"/>
  <c r="L342" i="8" a="1"/>
  <c r="L342" i="8" s="1"/>
  <c r="M342" i="8" a="1"/>
  <c r="M342" i="8" s="1"/>
  <c r="N342" i="8" a="1"/>
  <c r="N342" i="8" s="1"/>
  <c r="M708" i="8" a="1"/>
  <c r="M708" i="8" s="1"/>
  <c r="L708" i="8" a="1"/>
  <c r="L708" i="8" s="1"/>
  <c r="N708" i="8" a="1"/>
  <c r="N708" i="8" s="1"/>
  <c r="K708" i="8" a="1"/>
  <c r="K708" i="8" s="1"/>
  <c r="N637" i="8" a="1"/>
  <c r="N637" i="8" s="1"/>
  <c r="M637" i="8" a="1"/>
  <c r="M637" i="8" s="1"/>
  <c r="K637" i="8" a="1"/>
  <c r="K637" i="8" s="1"/>
  <c r="L637" i="8" a="1"/>
  <c r="L637" i="8" s="1"/>
  <c r="N310" i="8" a="1"/>
  <c r="N310" i="8" s="1"/>
  <c r="M310" i="8" a="1"/>
  <c r="M310" i="8" s="1"/>
  <c r="L310" i="8" a="1"/>
  <c r="L310" i="8" s="1"/>
  <c r="K310" i="8" a="1"/>
  <c r="K310" i="8" s="1"/>
  <c r="K793" i="8" a="1"/>
  <c r="K793" i="8" s="1"/>
  <c r="N793" i="8" a="1"/>
  <c r="N793" i="8" s="1"/>
  <c r="L793" i="8" a="1"/>
  <c r="L793" i="8" s="1"/>
  <c r="M793" i="8" a="1"/>
  <c r="M793" i="8" s="1"/>
  <c r="K712" i="8" a="1"/>
  <c r="K712" i="8" s="1"/>
  <c r="N712" i="8" a="1"/>
  <c r="N712" i="8" s="1"/>
  <c r="L712" i="8" a="1"/>
  <c r="L712" i="8" s="1"/>
  <c r="M712" i="8" a="1"/>
  <c r="M712" i="8" s="1"/>
  <c r="M32" i="8" a="1"/>
  <c r="M32" i="8" s="1"/>
  <c r="L32" i="8" a="1"/>
  <c r="L32" i="8" s="1"/>
  <c r="N32" i="8" a="1"/>
  <c r="N32" i="8" s="1"/>
  <c r="K32" i="8" a="1"/>
  <c r="K32" i="8" s="1"/>
  <c r="N471" i="8" a="1"/>
  <c r="N471" i="8" s="1"/>
  <c r="K471" i="8" a="1"/>
  <c r="K471" i="8" s="1"/>
  <c r="L471" i="8" a="1"/>
  <c r="L471" i="8" s="1"/>
  <c r="M471" i="8" a="1"/>
  <c r="M471" i="8" s="1"/>
  <c r="K395" i="8" a="1"/>
  <c r="K395" i="8" s="1"/>
  <c r="L395" i="8" a="1"/>
  <c r="L395" i="8" s="1"/>
  <c r="N395" i="8" a="1"/>
  <c r="N395" i="8" s="1"/>
  <c r="M395" i="8" a="1"/>
  <c r="M395" i="8" s="1"/>
  <c r="L433" i="8" a="1"/>
  <c r="L433" i="8" s="1"/>
  <c r="N433" i="8" a="1"/>
  <c r="N433" i="8" s="1"/>
  <c r="M433" i="8" a="1"/>
  <c r="M433" i="8" s="1"/>
  <c r="K433" i="8" a="1"/>
  <c r="K433" i="8" s="1"/>
  <c r="N815" i="8" a="1"/>
  <c r="N815" i="8" s="1"/>
  <c r="L815" i="8" a="1"/>
  <c r="L815" i="8" s="1"/>
  <c r="K815" i="8" a="1"/>
  <c r="K815" i="8" s="1"/>
  <c r="M815" i="8" a="1"/>
  <c r="M815" i="8" s="1"/>
  <c r="K414" i="8" a="1"/>
  <c r="K414" i="8" s="1"/>
  <c r="N414" i="8" a="1"/>
  <c r="N414" i="8" s="1"/>
  <c r="M414" i="8" a="1"/>
  <c r="M414" i="8" s="1"/>
  <c r="L414" i="8" a="1"/>
  <c r="L414" i="8" s="1"/>
  <c r="L60" i="8" a="1"/>
  <c r="L60" i="8" s="1"/>
  <c r="M60" i="8" a="1"/>
  <c r="M60" i="8" s="1"/>
  <c r="N60" i="8" a="1"/>
  <c r="N60" i="8" s="1"/>
  <c r="K60" i="8" a="1"/>
  <c r="K60" i="8" s="1"/>
  <c r="K837" i="8" a="1"/>
  <c r="K837" i="8" s="1"/>
  <c r="L837" i="8" a="1"/>
  <c r="L837" i="8" s="1"/>
  <c r="M837" i="8" a="1"/>
  <c r="M837" i="8" s="1"/>
  <c r="N837" i="8" a="1"/>
  <c r="N837" i="8" s="1"/>
  <c r="M403" i="8" a="1"/>
  <c r="M403" i="8" s="1"/>
  <c r="L403" i="8" a="1"/>
  <c r="L403" i="8" s="1"/>
  <c r="K403" i="8" a="1"/>
  <c r="K403" i="8" s="1"/>
  <c r="N403" i="8" a="1"/>
  <c r="N403" i="8" s="1"/>
  <c r="M46" i="8" a="1"/>
  <c r="M46" i="8" s="1"/>
  <c r="L46" i="8" a="1"/>
  <c r="L46" i="8" s="1"/>
  <c r="K46" i="8" a="1"/>
  <c r="K46" i="8" s="1"/>
  <c r="N46" i="8" a="1"/>
  <c r="N46" i="8" s="1"/>
  <c r="M527" i="8" a="1"/>
  <c r="M527" i="8" s="1"/>
  <c r="N527" i="8" a="1"/>
  <c r="N527" i="8" s="1"/>
  <c r="K527" i="8" a="1"/>
  <c r="K527" i="8" s="1"/>
  <c r="L527" i="8" a="1"/>
  <c r="L527" i="8" s="1"/>
  <c r="M368" i="8" a="1"/>
  <c r="M368" i="8" s="1"/>
  <c r="L368" i="8" a="1"/>
  <c r="L368" i="8" s="1"/>
  <c r="N368" i="8" a="1"/>
  <c r="N368" i="8" s="1"/>
  <c r="K368" i="8" a="1"/>
  <c r="K368" i="8" s="1"/>
  <c r="K307" i="8" a="1"/>
  <c r="K307" i="8" s="1"/>
  <c r="M307" i="8" a="1"/>
  <c r="M307" i="8" s="1"/>
  <c r="N307" i="8" a="1"/>
  <c r="N307" i="8" s="1"/>
  <c r="L307" i="8" a="1"/>
  <c r="L307" i="8" s="1"/>
  <c r="M645" i="8" a="1"/>
  <c r="M645" i="8" s="1"/>
  <c r="N645" i="8" a="1"/>
  <c r="N645" i="8" s="1"/>
  <c r="K645" i="8" a="1"/>
  <c r="K645" i="8" s="1"/>
  <c r="L645" i="8" a="1"/>
  <c r="L645" i="8" s="1"/>
  <c r="M278" i="8" a="1"/>
  <c r="M278" i="8" s="1"/>
  <c r="N278" i="8" a="1"/>
  <c r="N278" i="8" s="1"/>
  <c r="L278" i="8" a="1"/>
  <c r="L278" i="8" s="1"/>
  <c r="K278" i="8" a="1"/>
  <c r="K278" i="8" s="1"/>
  <c r="K792" i="8" a="1"/>
  <c r="K792" i="8" s="1"/>
  <c r="N792" i="8" a="1"/>
  <c r="N792" i="8" s="1"/>
  <c r="M792" i="8" a="1"/>
  <c r="M792" i="8" s="1"/>
  <c r="L792" i="8" a="1"/>
  <c r="L792" i="8" s="1"/>
  <c r="L859" i="8" a="1"/>
  <c r="L859" i="8" s="1"/>
  <c r="N859" i="8" a="1"/>
  <c r="N859" i="8" s="1"/>
  <c r="M859" i="8" a="1"/>
  <c r="M859" i="8" s="1"/>
  <c r="K859" i="8" a="1"/>
  <c r="K859" i="8" s="1"/>
  <c r="M635" i="8" a="1"/>
  <c r="M635" i="8" s="1"/>
  <c r="N635" i="8" a="1"/>
  <c r="N635" i="8" s="1"/>
  <c r="K635" i="8" a="1"/>
  <c r="K635" i="8" s="1"/>
  <c r="L635" i="8" a="1"/>
  <c r="L635" i="8" s="1"/>
  <c r="M696" i="8" a="1"/>
  <c r="M696" i="8" s="1"/>
  <c r="K696" i="8" a="1"/>
  <c r="K696" i="8" s="1"/>
  <c r="L696" i="8" a="1"/>
  <c r="L696" i="8" s="1"/>
  <c r="N696" i="8" a="1"/>
  <c r="N696" i="8" s="1"/>
  <c r="N659" i="8" a="1"/>
  <c r="N659" i="8" s="1"/>
  <c r="M659" i="8" a="1"/>
  <c r="M659" i="8" s="1"/>
  <c r="K659" i="8" a="1"/>
  <c r="K659" i="8" s="1"/>
  <c r="L659" i="8" a="1"/>
  <c r="L659" i="8" s="1"/>
  <c r="K1035" i="8" a="1"/>
  <c r="K1035" i="8" s="1"/>
  <c r="N1035" i="8" a="1"/>
  <c r="N1035" i="8" s="1"/>
  <c r="L1035" i="8" a="1"/>
  <c r="L1035" i="8" s="1"/>
  <c r="M1035" i="8" a="1"/>
  <c r="M1035" i="8" s="1"/>
  <c r="L784" i="8" a="1"/>
  <c r="L784" i="8" s="1"/>
  <c r="M784" i="8" a="1"/>
  <c r="M784" i="8" s="1"/>
  <c r="K784" i="8" a="1"/>
  <c r="K784" i="8" s="1"/>
  <c r="N784" i="8" a="1"/>
  <c r="N784" i="8" s="1"/>
  <c r="K468" i="8" a="1"/>
  <c r="K468" i="8" s="1"/>
  <c r="M468" i="8" a="1"/>
  <c r="M468" i="8" s="1"/>
  <c r="N468" i="8" a="1"/>
  <c r="N468" i="8" s="1"/>
  <c r="L468" i="8" a="1"/>
  <c r="L468" i="8" s="1"/>
  <c r="M532" i="8" a="1"/>
  <c r="M532" i="8" s="1"/>
  <c r="N532" i="8" a="1"/>
  <c r="N532" i="8" s="1"/>
  <c r="K532" i="8" a="1"/>
  <c r="K532" i="8" s="1"/>
  <c r="L532" i="8" a="1"/>
  <c r="L532" i="8" s="1"/>
  <c r="K911" i="8" a="1"/>
  <c r="K911" i="8" s="1"/>
  <c r="M911" i="8" a="1"/>
  <c r="M911" i="8" s="1"/>
  <c r="L911" i="8" a="1"/>
  <c r="L911" i="8" s="1"/>
  <c r="N911" i="8" a="1"/>
  <c r="N911" i="8" s="1"/>
  <c r="M541" i="8" a="1"/>
  <c r="M541" i="8" s="1"/>
  <c r="N541" i="8" a="1"/>
  <c r="N541" i="8" s="1"/>
  <c r="K541" i="8" a="1"/>
  <c r="K541" i="8" s="1"/>
  <c r="L541" i="8" a="1"/>
  <c r="L541" i="8" s="1"/>
  <c r="N716" i="8" a="1"/>
  <c r="N716" i="8" s="1"/>
  <c r="M716" i="8" a="1"/>
  <c r="M716" i="8" s="1"/>
  <c r="K716" i="8" a="1"/>
  <c r="K716" i="8" s="1"/>
  <c r="L716" i="8" a="1"/>
  <c r="L716" i="8" s="1"/>
  <c r="N744" i="8" a="1"/>
  <c r="N744" i="8" s="1"/>
  <c r="L744" i="8" a="1"/>
  <c r="L744" i="8" s="1"/>
  <c r="M744" i="8" a="1"/>
  <c r="M744" i="8" s="1"/>
  <c r="K744" i="8" a="1"/>
  <c r="K744" i="8" s="1"/>
  <c r="M930" i="8" a="1"/>
  <c r="M930" i="8" s="1"/>
  <c r="K930" i="8" a="1"/>
  <c r="K930" i="8" s="1"/>
  <c r="N930" i="8" a="1"/>
  <c r="N930" i="8" s="1"/>
  <c r="L930" i="8" a="1"/>
  <c r="L930" i="8" s="1"/>
  <c r="K964" i="8" a="1"/>
  <c r="K964" i="8" s="1"/>
  <c r="M964" i="8" a="1"/>
  <c r="M964" i="8" s="1"/>
  <c r="L964" i="8" a="1"/>
  <c r="L964" i="8" s="1"/>
  <c r="N964" i="8" a="1"/>
  <c r="N964" i="8" s="1"/>
  <c r="L1143" i="8" a="1"/>
  <c r="L1143" i="8" s="1"/>
  <c r="N1143" i="8" a="1"/>
  <c r="N1143" i="8" s="1"/>
  <c r="K1143" i="8" a="1"/>
  <c r="K1143" i="8" s="1"/>
  <c r="M1143" i="8" a="1"/>
  <c r="M1143" i="8" s="1"/>
  <c r="N1173" i="8" a="1"/>
  <c r="N1173" i="8" s="1"/>
  <c r="K1173" i="8" a="1"/>
  <c r="K1173" i="8" s="1"/>
  <c r="M1173" i="8" a="1"/>
  <c r="M1173" i="8" s="1"/>
  <c r="L1173" i="8" a="1"/>
  <c r="L1173" i="8" s="1"/>
  <c r="L995" i="8" a="1"/>
  <c r="L995" i="8" s="1"/>
  <c r="M995" i="8" a="1"/>
  <c r="M995" i="8" s="1"/>
  <c r="N995" i="8" a="1"/>
  <c r="N995" i="8" s="1"/>
  <c r="K995" i="8" a="1"/>
  <c r="K995" i="8" s="1"/>
  <c r="L906" i="8" a="1"/>
  <c r="L906" i="8" s="1"/>
  <c r="K906" i="8" a="1"/>
  <c r="K906" i="8" s="1"/>
  <c r="N906" i="8" a="1"/>
  <c r="N906" i="8" s="1"/>
  <c r="M906" i="8" a="1"/>
  <c r="M906" i="8" s="1"/>
  <c r="L741" i="8" a="1"/>
  <c r="L741" i="8" s="1"/>
  <c r="K741" i="8" a="1"/>
  <c r="K741" i="8" s="1"/>
  <c r="M741" i="8" a="1"/>
  <c r="M741" i="8" s="1"/>
  <c r="N741" i="8" a="1"/>
  <c r="N741" i="8" s="1"/>
  <c r="L927" i="8" a="1"/>
  <c r="L927" i="8" s="1"/>
  <c r="N927" i="8" a="1"/>
  <c r="N927" i="8" s="1"/>
  <c r="K927" i="8" a="1"/>
  <c r="K927" i="8" s="1"/>
  <c r="M927" i="8" a="1"/>
  <c r="M927" i="8" s="1"/>
  <c r="N961" i="8" a="1"/>
  <c r="N961" i="8" s="1"/>
  <c r="M961" i="8" a="1"/>
  <c r="M961" i="8" s="1"/>
  <c r="K961" i="8" a="1"/>
  <c r="K961" i="8" s="1"/>
  <c r="L961" i="8" a="1"/>
  <c r="L961" i="8" s="1"/>
  <c r="N1170" i="8" a="1"/>
  <c r="N1170" i="8" s="1"/>
  <c r="M1170" i="8" a="1"/>
  <c r="M1170" i="8" s="1"/>
  <c r="L1170" i="8" a="1"/>
  <c r="L1170" i="8" s="1"/>
  <c r="K1170" i="8" a="1"/>
  <c r="K1170" i="8" s="1"/>
  <c r="L810" i="8" a="1"/>
  <c r="L810" i="8" s="1"/>
  <c r="M810" i="8" a="1"/>
  <c r="M810" i="8" s="1"/>
  <c r="K810" i="8" a="1"/>
  <c r="K810" i="8" s="1"/>
  <c r="N810" i="8" a="1"/>
  <c r="N810" i="8" s="1"/>
  <c r="M844" i="8" a="1"/>
  <c r="M844" i="8" s="1"/>
  <c r="L844" i="8" a="1"/>
  <c r="L844" i="8" s="1"/>
  <c r="K844" i="8" a="1"/>
  <c r="K844" i="8" s="1"/>
  <c r="N844" i="8" a="1"/>
  <c r="N844" i="8" s="1"/>
  <c r="M872" i="8" a="1"/>
  <c r="M872" i="8" s="1"/>
  <c r="L872" i="8" a="1"/>
  <c r="L872" i="8" s="1"/>
  <c r="K872" i="8" a="1"/>
  <c r="K872" i="8" s="1"/>
  <c r="N872" i="8" a="1"/>
  <c r="N872" i="8" s="1"/>
  <c r="L15" i="8" a="1"/>
  <c r="L15" i="8" s="1"/>
  <c r="M15" i="8" a="1"/>
  <c r="M15" i="8" s="1"/>
  <c r="K15" i="8" a="1"/>
  <c r="K15" i="8" s="1"/>
  <c r="N15" i="8" a="1"/>
  <c r="N15" i="8" s="1"/>
  <c r="L49" i="8" a="1"/>
  <c r="L49" i="8" s="1"/>
  <c r="K49" i="8" a="1"/>
  <c r="K49" i="8" s="1"/>
  <c r="M49" i="8" a="1"/>
  <c r="M49" i="8" s="1"/>
  <c r="N49" i="8" a="1"/>
  <c r="N49" i="8" s="1"/>
  <c r="M267" i="8" a="1"/>
  <c r="M267" i="8" s="1"/>
  <c r="N267" i="8" a="1"/>
  <c r="N267" i="8" s="1"/>
  <c r="L267" i="8" a="1"/>
  <c r="L267" i="8" s="1"/>
  <c r="K267" i="8" a="1"/>
  <c r="K267" i="8" s="1"/>
  <c r="N297" i="8" a="1"/>
  <c r="N297" i="8" s="1"/>
  <c r="M297" i="8" a="1"/>
  <c r="M297" i="8" s="1"/>
  <c r="L297" i="8" a="1"/>
  <c r="L297" i="8" s="1"/>
  <c r="K297" i="8" a="1"/>
  <c r="K297" i="8" s="1"/>
  <c r="M558" i="8" a="1"/>
  <c r="M558" i="8" s="1"/>
  <c r="N558" i="8" a="1"/>
  <c r="N558" i="8" s="1"/>
  <c r="L558" i="8" a="1"/>
  <c r="L558" i="8" s="1"/>
  <c r="K558" i="8" a="1"/>
  <c r="K558" i="8" s="1"/>
  <c r="N586" i="8" a="1"/>
  <c r="N586" i="8" s="1"/>
  <c r="M586" i="8" a="1"/>
  <c r="M586" i="8" s="1"/>
  <c r="K586" i="8" a="1"/>
  <c r="K586" i="8" s="1"/>
  <c r="L586" i="8" a="1"/>
  <c r="L586" i="8" s="1"/>
  <c r="N614" i="8" a="1"/>
  <c r="N614" i="8" s="1"/>
  <c r="L614" i="8" a="1"/>
  <c r="L614" i="8" s="1"/>
  <c r="K614" i="8" a="1"/>
  <c r="K614" i="8" s="1"/>
  <c r="M614" i="8" a="1"/>
  <c r="M614" i="8" s="1"/>
  <c r="L642" i="8" a="1"/>
  <c r="L642" i="8" s="1"/>
  <c r="M642" i="8" a="1"/>
  <c r="M642" i="8" s="1"/>
  <c r="N642" i="8" a="1"/>
  <c r="N642" i="8" s="1"/>
  <c r="K642" i="8" a="1"/>
  <c r="K642" i="8" s="1"/>
  <c r="M919" i="8" a="1"/>
  <c r="M919" i="8" s="1"/>
  <c r="N919" i="8" a="1"/>
  <c r="N919" i="8" s="1"/>
  <c r="L919" i="8" a="1"/>
  <c r="L919" i="8" s="1"/>
  <c r="K919" i="8" a="1"/>
  <c r="K919" i="8" s="1"/>
  <c r="N705" i="8" a="1"/>
  <c r="N705" i="8" s="1"/>
  <c r="K705" i="8" a="1"/>
  <c r="K705" i="8" s="1"/>
  <c r="M705" i="8" a="1"/>
  <c r="M705" i="8" s="1"/>
  <c r="L705" i="8" a="1"/>
  <c r="L705" i="8" s="1"/>
  <c r="N1028" i="8" a="1"/>
  <c r="N1028" i="8" s="1"/>
  <c r="K1028" i="8" a="1"/>
  <c r="K1028" i="8" s="1"/>
  <c r="M1028" i="8" a="1"/>
  <c r="M1028" i="8" s="1"/>
  <c r="L1028" i="8" a="1"/>
  <c r="L1028" i="8" s="1"/>
  <c r="N1124" i="8" a="1"/>
  <c r="N1124" i="8" s="1"/>
  <c r="L1124" i="8" a="1"/>
  <c r="L1124" i="8" s="1"/>
  <c r="K1124" i="8" a="1"/>
  <c r="K1124" i="8" s="1"/>
  <c r="M1124" i="8" a="1"/>
  <c r="M1124" i="8" s="1"/>
  <c r="K660" i="8" a="1"/>
  <c r="K660" i="8" s="1"/>
  <c r="M660" i="8" a="1"/>
  <c r="M660" i="8" s="1"/>
  <c r="N660" i="8" a="1"/>
  <c r="N660" i="8" s="1"/>
  <c r="L660" i="8" a="1"/>
  <c r="L660" i="8" s="1"/>
  <c r="K623" i="8" a="1"/>
  <c r="K623" i="8" s="1"/>
  <c r="L623" i="8" a="1"/>
  <c r="L623" i="8" s="1"/>
  <c r="M623" i="8" a="1"/>
  <c r="M623" i="8" s="1"/>
  <c r="N623" i="8" a="1"/>
  <c r="N623" i="8" s="1"/>
  <c r="N678" i="8" a="1"/>
  <c r="N678" i="8" s="1"/>
  <c r="K678" i="8" a="1"/>
  <c r="K678" i="8" s="1"/>
  <c r="L678" i="8" a="1"/>
  <c r="L678" i="8" s="1"/>
  <c r="M678" i="8" a="1"/>
  <c r="M678" i="8" s="1"/>
  <c r="N375" i="8" a="1"/>
  <c r="N375" i="8" s="1"/>
  <c r="K375" i="8" a="1"/>
  <c r="K375" i="8" s="1"/>
  <c r="L375" i="8" a="1"/>
  <c r="L375" i="8" s="1"/>
  <c r="M375" i="8" a="1"/>
  <c r="M375" i="8" s="1"/>
  <c r="M559" i="8" a="1"/>
  <c r="M559" i="8" s="1"/>
  <c r="L559" i="8" a="1"/>
  <c r="L559" i="8" s="1"/>
  <c r="K559" i="8" a="1"/>
  <c r="K559" i="8" s="1"/>
  <c r="N559" i="8" a="1"/>
  <c r="N559" i="8" s="1"/>
  <c r="M1006" i="8" a="1"/>
  <c r="M1006" i="8" s="1"/>
  <c r="L1006" i="8" a="1"/>
  <c r="L1006" i="8" s="1"/>
  <c r="K1006" i="8" a="1"/>
  <c r="K1006" i="8" s="1"/>
  <c r="N1006" i="8" a="1"/>
  <c r="N1006" i="8" s="1"/>
  <c r="K376" i="8" a="1"/>
  <c r="K376" i="8" s="1"/>
  <c r="N376" i="8" a="1"/>
  <c r="N376" i="8" s="1"/>
  <c r="L376" i="8" a="1"/>
  <c r="L376" i="8" s="1"/>
  <c r="M376" i="8" a="1"/>
  <c r="M376" i="8" s="1"/>
  <c r="K823" i="8" a="1"/>
  <c r="K823" i="8" s="1"/>
  <c r="L823" i="8" a="1"/>
  <c r="L823" i="8" s="1"/>
  <c r="N823" i="8" a="1"/>
  <c r="N823" i="8" s="1"/>
  <c r="M823" i="8" a="1"/>
  <c r="M823" i="8" s="1"/>
  <c r="N805" i="8" a="1"/>
  <c r="N805" i="8" s="1"/>
  <c r="M805" i="8" a="1"/>
  <c r="M805" i="8" s="1"/>
  <c r="L805" i="8" a="1"/>
  <c r="L805" i="8" s="1"/>
  <c r="K805" i="8" a="1"/>
  <c r="K805" i="8" s="1"/>
  <c r="N312" i="8" a="1"/>
  <c r="N312" i="8" s="1"/>
  <c r="L312" i="8" a="1"/>
  <c r="L312" i="8" s="1"/>
  <c r="K312" i="8" a="1"/>
  <c r="K312" i="8" s="1"/>
  <c r="M312" i="8" a="1"/>
  <c r="M312" i="8" s="1"/>
  <c r="L36" i="8" a="1"/>
  <c r="L36" i="8" s="1"/>
  <c r="M36" i="8" a="1"/>
  <c r="M36" i="8" s="1"/>
  <c r="N36" i="8" a="1"/>
  <c r="N36" i="8" s="1"/>
  <c r="K36" i="8" a="1"/>
  <c r="K36" i="8" s="1"/>
  <c r="M643" i="8" a="1"/>
  <c r="M643" i="8" s="1"/>
  <c r="N643" i="8" a="1"/>
  <c r="N643" i="8" s="1"/>
  <c r="L643" i="8" a="1"/>
  <c r="L643" i="8" s="1"/>
  <c r="K643" i="8" a="1"/>
  <c r="K643" i="8" s="1"/>
  <c r="L397" i="8" a="1"/>
  <c r="L397" i="8" s="1"/>
  <c r="N397" i="8" a="1"/>
  <c r="N397" i="8" s="1"/>
  <c r="K397" i="8" a="1"/>
  <c r="K397" i="8" s="1"/>
  <c r="M397" i="8" a="1"/>
  <c r="M397" i="8" s="1"/>
  <c r="L435" i="8" a="1"/>
  <c r="L435" i="8" s="1"/>
  <c r="K435" i="8" a="1"/>
  <c r="K435" i="8" s="1"/>
  <c r="M435" i="8" a="1"/>
  <c r="M435" i="8" s="1"/>
  <c r="N435" i="8" a="1"/>
  <c r="N435" i="8" s="1"/>
  <c r="L839" i="8" a="1"/>
  <c r="L839" i="8" s="1"/>
  <c r="M839" i="8" a="1"/>
  <c r="M839" i="8" s="1"/>
  <c r="N839" i="8" a="1"/>
  <c r="N839" i="8" s="1"/>
  <c r="K839" i="8" a="1"/>
  <c r="K839" i="8" s="1"/>
  <c r="M430" i="8" a="1"/>
  <c r="M430" i="8" s="1"/>
  <c r="K430" i="8" a="1"/>
  <c r="K430" i="8" s="1"/>
  <c r="N430" i="8" a="1"/>
  <c r="N430" i="8" s="1"/>
  <c r="L430" i="8" a="1"/>
  <c r="L430" i="8" s="1"/>
  <c r="N266" i="8" a="1"/>
  <c r="N266" i="8" s="1"/>
  <c r="K266" i="8" a="1"/>
  <c r="K266" i="8" s="1"/>
  <c r="L266" i="8" a="1"/>
  <c r="L266" i="8" s="1"/>
  <c r="M266" i="8" a="1"/>
  <c r="M266" i="8" s="1"/>
  <c r="L52" i="8" a="1"/>
  <c r="L52" i="8" s="1"/>
  <c r="M52" i="8" a="1"/>
  <c r="M52" i="8" s="1"/>
  <c r="K52" i="8" a="1"/>
  <c r="K52" i="8" s="1"/>
  <c r="N52" i="8" a="1"/>
  <c r="N52" i="8" s="1"/>
  <c r="N595" i="8" a="1"/>
  <c r="N595" i="8" s="1"/>
  <c r="M595" i="8" a="1"/>
  <c r="M595" i="8" s="1"/>
  <c r="L595" i="8" a="1"/>
  <c r="L595" i="8" s="1"/>
  <c r="K595" i="8" a="1"/>
  <c r="K595" i="8" s="1"/>
  <c r="N1115" i="8" a="1"/>
  <c r="N1115" i="8" s="1"/>
  <c r="L1115" i="8" a="1"/>
  <c r="L1115" i="8" s="1"/>
  <c r="K1115" i="8" a="1"/>
  <c r="K1115" i="8" s="1"/>
  <c r="M1115" i="8" a="1"/>
  <c r="M1115" i="8" s="1"/>
  <c r="M481" i="8" a="1"/>
  <c r="M481" i="8" s="1"/>
  <c r="K481" i="8" a="1"/>
  <c r="K481" i="8" s="1"/>
  <c r="N481" i="8" a="1"/>
  <c r="N481" i="8" s="1"/>
  <c r="L481" i="8" a="1"/>
  <c r="L481" i="8" s="1"/>
  <c r="N388" i="8" a="1"/>
  <c r="N388" i="8" s="1"/>
  <c r="L388" i="8" a="1"/>
  <c r="L388" i="8" s="1"/>
  <c r="K388" i="8" a="1"/>
  <c r="K388" i="8" s="1"/>
  <c r="M388" i="8" a="1"/>
  <c r="M388" i="8" s="1"/>
  <c r="N309" i="8" a="1"/>
  <c r="N309" i="8" s="1"/>
  <c r="L309" i="8" a="1"/>
  <c r="L309" i="8" s="1"/>
  <c r="M309" i="8" a="1"/>
  <c r="M309" i="8" s="1"/>
  <c r="K309" i="8" a="1"/>
  <c r="K309" i="8" s="1"/>
  <c r="M535" i="8" a="1"/>
  <c r="M535" i="8" s="1"/>
  <c r="L535" i="8" a="1"/>
  <c r="L535" i="8" s="1"/>
  <c r="K535" i="8" a="1"/>
  <c r="K535" i="8" s="1"/>
  <c r="N535" i="8" a="1"/>
  <c r="N535" i="8" s="1"/>
  <c r="K1015" i="8" a="1"/>
  <c r="K1015" i="8" s="1"/>
  <c r="M1015" i="8" a="1"/>
  <c r="M1015" i="8" s="1"/>
  <c r="L1015" i="8" a="1"/>
  <c r="L1015" i="8" s="1"/>
  <c r="N1015" i="8" a="1"/>
  <c r="N1015" i="8" s="1"/>
  <c r="M698" i="8" a="1"/>
  <c r="M698" i="8" s="1"/>
  <c r="N698" i="8" a="1"/>
  <c r="N698" i="8" s="1"/>
  <c r="L698" i="8" a="1"/>
  <c r="L698" i="8" s="1"/>
  <c r="K698" i="8" a="1"/>
  <c r="K698" i="8" s="1"/>
  <c r="L786" i="8" a="1"/>
  <c r="L786" i="8" s="1"/>
  <c r="M786" i="8" a="1"/>
  <c r="M786" i="8" s="1"/>
  <c r="K786" i="8" a="1"/>
  <c r="K786" i="8" s="1"/>
  <c r="N786" i="8" a="1"/>
  <c r="N786" i="8" s="1"/>
  <c r="K996" i="8" a="1"/>
  <c r="K996" i="8" s="1"/>
  <c r="N996" i="8" a="1"/>
  <c r="N996" i="8" s="1"/>
  <c r="M996" i="8" a="1"/>
  <c r="M996" i="8" s="1"/>
  <c r="L996" i="8" a="1"/>
  <c r="L996" i="8" s="1"/>
  <c r="N661" i="8" a="1"/>
  <c r="N661" i="8" s="1"/>
  <c r="M661" i="8" a="1"/>
  <c r="M661" i="8" s="1"/>
  <c r="L661" i="8" a="1"/>
  <c r="L661" i="8" s="1"/>
  <c r="K661" i="8" a="1"/>
  <c r="K661" i="8" s="1"/>
  <c r="K547" i="8" a="1"/>
  <c r="K547" i="8" s="1"/>
  <c r="L547" i="8" a="1"/>
  <c r="L547" i="8" s="1"/>
  <c r="M547" i="8" a="1"/>
  <c r="M547" i="8" s="1"/>
  <c r="N547" i="8" a="1"/>
  <c r="N547" i="8" s="1"/>
  <c r="L811" i="8" a="1"/>
  <c r="L811" i="8" s="1"/>
  <c r="N811" i="8" a="1"/>
  <c r="N811" i="8" s="1"/>
  <c r="M811" i="8" a="1"/>
  <c r="M811" i="8" s="1"/>
  <c r="K811" i="8" a="1"/>
  <c r="K811" i="8" s="1"/>
  <c r="N470" i="8" a="1"/>
  <c r="N470" i="8" s="1"/>
  <c r="K470" i="8" a="1"/>
  <c r="K470" i="8" s="1"/>
  <c r="M470" i="8" a="1"/>
  <c r="M470" i="8" s="1"/>
  <c r="L470" i="8" a="1"/>
  <c r="L470" i="8" s="1"/>
  <c r="N597" i="8" a="1"/>
  <c r="N597" i="8" s="1"/>
  <c r="M597" i="8" a="1"/>
  <c r="M597" i="8" s="1"/>
  <c r="L597" i="8" a="1"/>
  <c r="L597" i="8" s="1"/>
  <c r="K597" i="8" a="1"/>
  <c r="K597" i="8" s="1"/>
  <c r="K718" i="8" a="1"/>
  <c r="K718" i="8" s="1"/>
  <c r="N718" i="8" a="1"/>
  <c r="N718" i="8" s="1"/>
  <c r="M718" i="8" a="1"/>
  <c r="M718" i="8" s="1"/>
  <c r="L718" i="8" a="1"/>
  <c r="L718" i="8" s="1"/>
  <c r="N746" i="8" a="1"/>
  <c r="N746" i="8" s="1"/>
  <c r="M746" i="8" a="1"/>
  <c r="M746" i="8" s="1"/>
  <c r="K746" i="8" a="1"/>
  <c r="K746" i="8" s="1"/>
  <c r="L746" i="8" a="1"/>
  <c r="L746" i="8" s="1"/>
  <c r="M932" i="8" a="1"/>
  <c r="M932" i="8" s="1"/>
  <c r="L932" i="8" a="1"/>
  <c r="L932" i="8" s="1"/>
  <c r="K932" i="8" a="1"/>
  <c r="K932" i="8" s="1"/>
  <c r="N932" i="8" a="1"/>
  <c r="N932" i="8" s="1"/>
  <c r="K966" i="8" a="1"/>
  <c r="K966" i="8" s="1"/>
  <c r="N966" i="8" a="1"/>
  <c r="N966" i="8" s="1"/>
  <c r="M966" i="8" a="1"/>
  <c r="M966" i="8" s="1"/>
  <c r="L966" i="8" a="1"/>
  <c r="L966" i="8" s="1"/>
  <c r="L1145" i="8" a="1"/>
  <c r="L1145" i="8" s="1"/>
  <c r="M1145" i="8" a="1"/>
  <c r="M1145" i="8" s="1"/>
  <c r="N1145" i="8" a="1"/>
  <c r="N1145" i="8" s="1"/>
  <c r="K1145" i="8" a="1"/>
  <c r="K1145" i="8" s="1"/>
  <c r="M1177" i="8" a="1"/>
  <c r="M1177" i="8" s="1"/>
  <c r="K1177" i="8" a="1"/>
  <c r="K1177" i="8" s="1"/>
  <c r="L1177" i="8" a="1"/>
  <c r="L1177" i="8" s="1"/>
  <c r="N1177" i="8" a="1"/>
  <c r="N1177" i="8" s="1"/>
  <c r="K997" i="8" a="1"/>
  <c r="K997" i="8" s="1"/>
  <c r="N997" i="8" a="1"/>
  <c r="N997" i="8" s="1"/>
  <c r="M997" i="8" a="1"/>
  <c r="M997" i="8" s="1"/>
  <c r="L997" i="8" a="1"/>
  <c r="L997" i="8" s="1"/>
  <c r="L908" i="8" a="1"/>
  <c r="L908" i="8" s="1"/>
  <c r="K908" i="8" a="1"/>
  <c r="K908" i="8" s="1"/>
  <c r="M908" i="8" a="1"/>
  <c r="M908" i="8" s="1"/>
  <c r="N908" i="8" a="1"/>
  <c r="N908" i="8" s="1"/>
  <c r="L743" i="8" a="1"/>
  <c r="L743" i="8" s="1"/>
  <c r="K743" i="8" a="1"/>
  <c r="K743" i="8" s="1"/>
  <c r="N743" i="8" a="1"/>
  <c r="N743" i="8" s="1"/>
  <c r="M743" i="8" a="1"/>
  <c r="M743" i="8" s="1"/>
  <c r="N929" i="8" a="1"/>
  <c r="N929" i="8" s="1"/>
  <c r="L929" i="8" a="1"/>
  <c r="L929" i="8" s="1"/>
  <c r="K929" i="8" a="1"/>
  <c r="K929" i="8" s="1"/>
  <c r="M929" i="8" a="1"/>
  <c r="M929" i="8" s="1"/>
  <c r="K963" i="8" a="1"/>
  <c r="K963" i="8" s="1"/>
  <c r="N963" i="8" a="1"/>
  <c r="N963" i="8" s="1"/>
  <c r="M963" i="8" a="1"/>
  <c r="M963" i="8" s="1"/>
  <c r="L963" i="8" a="1"/>
  <c r="L963" i="8" s="1"/>
  <c r="N1136" i="8" a="1"/>
  <c r="N1136" i="8" s="1"/>
  <c r="L1136" i="8" a="1"/>
  <c r="L1136" i="8" s="1"/>
  <c r="M1136" i="8" a="1"/>
  <c r="M1136" i="8" s="1"/>
  <c r="K1136" i="8" a="1"/>
  <c r="K1136" i="8" s="1"/>
  <c r="K1172" i="8" a="1"/>
  <c r="K1172" i="8" s="1"/>
  <c r="M1172" i="8" a="1"/>
  <c r="M1172" i="8" s="1"/>
  <c r="L1172" i="8" a="1"/>
  <c r="L1172" i="8" s="1"/>
  <c r="N1172" i="8" a="1"/>
  <c r="N1172" i="8" s="1"/>
  <c r="K812" i="8" a="1"/>
  <c r="K812" i="8" s="1"/>
  <c r="L812" i="8" a="1"/>
  <c r="L812" i="8" s="1"/>
  <c r="M812" i="8" a="1"/>
  <c r="M812" i="8" s="1"/>
  <c r="N812" i="8" a="1"/>
  <c r="N812" i="8" s="1"/>
  <c r="M846" i="8" a="1"/>
  <c r="M846" i="8" s="1"/>
  <c r="K846" i="8" a="1"/>
  <c r="K846" i="8" s="1"/>
  <c r="N846" i="8" a="1"/>
  <c r="N846" i="8" s="1"/>
  <c r="L846" i="8" a="1"/>
  <c r="L846" i="8" s="1"/>
  <c r="M874" i="8" a="1"/>
  <c r="M874" i="8" s="1"/>
  <c r="K874" i="8" a="1"/>
  <c r="K874" i="8" s="1"/>
  <c r="L874" i="8" a="1"/>
  <c r="L874" i="8" s="1"/>
  <c r="N874" i="8" a="1"/>
  <c r="N874" i="8" s="1"/>
  <c r="K17" i="8" a="1"/>
  <c r="K17" i="8" s="1"/>
  <c r="L17" i="8" a="1"/>
  <c r="L17" i="8" s="1"/>
  <c r="M17" i="8" a="1"/>
  <c r="M17" i="8" s="1"/>
  <c r="N17" i="8" a="1"/>
  <c r="N17" i="8" s="1"/>
  <c r="K51" i="8" a="1"/>
  <c r="K51" i="8" s="1"/>
  <c r="M51" i="8" a="1"/>
  <c r="M51" i="8" s="1"/>
  <c r="L51" i="8" a="1"/>
  <c r="L51" i="8" s="1"/>
  <c r="N51" i="8" a="1"/>
  <c r="N51" i="8" s="1"/>
  <c r="N269" i="8" a="1"/>
  <c r="N269" i="8" s="1"/>
  <c r="L269" i="8" a="1"/>
  <c r="L269" i="8" s="1"/>
  <c r="M269" i="8" a="1"/>
  <c r="M269" i="8" s="1"/>
  <c r="K269" i="8" a="1"/>
  <c r="K269" i="8" s="1"/>
  <c r="M301" i="8" a="1"/>
  <c r="M301" i="8" s="1"/>
  <c r="N301" i="8" a="1"/>
  <c r="N301" i="8" s="1"/>
  <c r="L301" i="8" a="1"/>
  <c r="L301" i="8" s="1"/>
  <c r="K301" i="8" a="1"/>
  <c r="K301" i="8" s="1"/>
  <c r="K560" i="8" a="1"/>
  <c r="K560" i="8" s="1"/>
  <c r="M560" i="8" a="1"/>
  <c r="M560" i="8" s="1"/>
  <c r="N560" i="8" a="1"/>
  <c r="N560" i="8" s="1"/>
  <c r="L560" i="8" a="1"/>
  <c r="L560" i="8" s="1"/>
  <c r="M588" i="8" a="1"/>
  <c r="M588" i="8" s="1"/>
  <c r="K588" i="8" a="1"/>
  <c r="K588" i="8" s="1"/>
  <c r="L588" i="8" a="1"/>
  <c r="L588" i="8" s="1"/>
  <c r="N588" i="8" a="1"/>
  <c r="N588" i="8" s="1"/>
  <c r="L616" i="8" a="1"/>
  <c r="L616" i="8" s="1"/>
  <c r="M616" i="8" a="1"/>
  <c r="M616" i="8" s="1"/>
  <c r="K616" i="8" a="1"/>
  <c r="K616" i="8" s="1"/>
  <c r="N616" i="8" a="1"/>
  <c r="N616" i="8" s="1"/>
  <c r="L644" i="8" a="1"/>
  <c r="L644" i="8" s="1"/>
  <c r="M644" i="8" a="1"/>
  <c r="M644" i="8" s="1"/>
  <c r="N644" i="8" a="1"/>
  <c r="N644" i="8" s="1"/>
  <c r="K644" i="8" a="1"/>
  <c r="K644" i="8" s="1"/>
  <c r="L1034" i="8" a="1"/>
  <c r="L1034" i="8" s="1"/>
  <c r="K1034" i="8" a="1"/>
  <c r="K1034" i="8" s="1"/>
  <c r="M1034" i="8" a="1"/>
  <c r="M1034" i="8" s="1"/>
  <c r="N1034" i="8" a="1"/>
  <c r="N1034" i="8" s="1"/>
  <c r="L1130" i="8" a="1"/>
  <c r="L1130" i="8" s="1"/>
  <c r="M1130" i="8" a="1"/>
  <c r="M1130" i="8" s="1"/>
  <c r="N1130" i="8" a="1"/>
  <c r="N1130" i="8" s="1"/>
  <c r="K1130" i="8" a="1"/>
  <c r="K1130" i="8" s="1"/>
  <c r="L392" i="8" a="1"/>
  <c r="L392" i="8" s="1"/>
  <c r="K392" i="8" a="1"/>
  <c r="K392" i="8" s="1"/>
  <c r="M392" i="8" a="1"/>
  <c r="M392" i="8" s="1"/>
  <c r="N392" i="8" a="1"/>
  <c r="N392" i="8" s="1"/>
  <c r="L807" i="8" a="1"/>
  <c r="L807" i="8" s="1"/>
  <c r="K807" i="8" a="1"/>
  <c r="K807" i="8" s="1"/>
  <c r="N807" i="8" a="1"/>
  <c r="N807" i="8" s="1"/>
  <c r="M807" i="8" a="1"/>
  <c r="M807" i="8" s="1"/>
  <c r="M314" i="8" a="1"/>
  <c r="M314" i="8" s="1"/>
  <c r="K314" i="8" a="1"/>
  <c r="K314" i="8" s="1"/>
  <c r="L314" i="8" a="1"/>
  <c r="L314" i="8" s="1"/>
  <c r="N314" i="8" a="1"/>
  <c r="N314" i="8" s="1"/>
  <c r="M803" i="8" a="1"/>
  <c r="M803" i="8" s="1"/>
  <c r="N803" i="8" a="1"/>
  <c r="N803" i="8" s="1"/>
  <c r="L803" i="8" a="1"/>
  <c r="L803" i="8" s="1"/>
  <c r="K803" i="8" a="1"/>
  <c r="K803" i="8" s="1"/>
  <c r="N62" i="8" a="1"/>
  <c r="N62" i="8" s="1"/>
  <c r="M62" i="8" a="1"/>
  <c r="M62" i="8" s="1"/>
  <c r="L62" i="8" a="1"/>
  <c r="L62" i="8" s="1"/>
  <c r="K62" i="8" a="1"/>
  <c r="K62" i="8" s="1"/>
  <c r="M1021" i="8" a="1"/>
  <c r="M1021" i="8" s="1"/>
  <c r="N1021" i="8" a="1"/>
  <c r="N1021" i="8" s="1"/>
  <c r="L1021" i="8" a="1"/>
  <c r="L1021" i="8" s="1"/>
  <c r="K1021" i="8" a="1"/>
  <c r="K1021" i="8" s="1"/>
  <c r="L399" i="8" a="1"/>
  <c r="L399" i="8" s="1"/>
  <c r="N399" i="8" a="1"/>
  <c r="N399" i="8" s="1"/>
  <c r="M399" i="8" a="1"/>
  <c r="M399" i="8" s="1"/>
  <c r="K399" i="8" a="1"/>
  <c r="K399" i="8" s="1"/>
  <c r="N437" i="8" a="1"/>
  <c r="N437" i="8" s="1"/>
  <c r="M437" i="8" a="1"/>
  <c r="M437" i="8" s="1"/>
  <c r="L437" i="8" a="1"/>
  <c r="L437" i="8" s="1"/>
  <c r="K437" i="8" a="1"/>
  <c r="K437" i="8" s="1"/>
  <c r="L450" i="8" a="1"/>
  <c r="L450" i="8" s="1"/>
  <c r="K450" i="8" a="1"/>
  <c r="K450" i="8" s="1"/>
  <c r="N450" i="8" a="1"/>
  <c r="N450" i="8" s="1"/>
  <c r="M450" i="8" a="1"/>
  <c r="M450" i="8" s="1"/>
  <c r="L347" i="8" a="1"/>
  <c r="L347" i="8" s="1"/>
  <c r="K347" i="8" a="1"/>
  <c r="K347" i="8" s="1"/>
  <c r="M347" i="8" a="1"/>
  <c r="M347" i="8" s="1"/>
  <c r="N347" i="8" a="1"/>
  <c r="N347" i="8" s="1"/>
  <c r="M48" i="8" a="1"/>
  <c r="M48" i="8" s="1"/>
  <c r="L48" i="8" a="1"/>
  <c r="L48" i="8" s="1"/>
  <c r="K48" i="8" a="1"/>
  <c r="K48" i="8" s="1"/>
  <c r="N48" i="8" a="1"/>
  <c r="N48" i="8" s="1"/>
  <c r="N304" i="8" a="1"/>
  <c r="N304" i="8" s="1"/>
  <c r="M304" i="8" a="1"/>
  <c r="M304" i="8" s="1"/>
  <c r="K304" i="8" a="1"/>
  <c r="K304" i="8" s="1"/>
  <c r="L304" i="8" a="1"/>
  <c r="L304" i="8" s="1"/>
  <c r="L664" i="8" a="1"/>
  <c r="L664" i="8" s="1"/>
  <c r="N664" i="8" a="1"/>
  <c r="N664" i="8" s="1"/>
  <c r="K664" i="8" a="1"/>
  <c r="K664" i="8" s="1"/>
  <c r="M664" i="8" a="1"/>
  <c r="M664" i="8" s="1"/>
  <c r="K533" i="8" a="1"/>
  <c r="K533" i="8" s="1"/>
  <c r="L533" i="8" a="1"/>
  <c r="L533" i="8" s="1"/>
  <c r="M533" i="8" a="1"/>
  <c r="M533" i="8" s="1"/>
  <c r="N533" i="8" a="1"/>
  <c r="N533" i="8" s="1"/>
  <c r="K410" i="8" a="1"/>
  <c r="K410" i="8" s="1"/>
  <c r="L410" i="8" a="1"/>
  <c r="L410" i="8" s="1"/>
  <c r="N410" i="8" a="1"/>
  <c r="N410" i="8" s="1"/>
  <c r="M410" i="8" a="1"/>
  <c r="M410" i="8" s="1"/>
  <c r="N311" i="8" a="1"/>
  <c r="N311" i="8" s="1"/>
  <c r="L311" i="8" a="1"/>
  <c r="L311" i="8" s="1"/>
  <c r="K311" i="8" a="1"/>
  <c r="K311" i="8" s="1"/>
  <c r="M311" i="8" a="1"/>
  <c r="M311" i="8" s="1"/>
  <c r="N668" i="8" a="1"/>
  <c r="N668" i="8" s="1"/>
  <c r="K668" i="8" a="1"/>
  <c r="K668" i="8" s="1"/>
  <c r="L668" i="8" a="1"/>
  <c r="L668" i="8" s="1"/>
  <c r="M668" i="8" a="1"/>
  <c r="M668" i="8" s="1"/>
  <c r="K1017" i="8" a="1"/>
  <c r="K1017" i="8" s="1"/>
  <c r="N1017" i="8" a="1"/>
  <c r="N1017" i="8" s="1"/>
  <c r="M1017" i="8" a="1"/>
  <c r="M1017" i="8" s="1"/>
  <c r="L1017" i="8" a="1"/>
  <c r="L1017" i="8" s="1"/>
  <c r="N788" i="8" a="1"/>
  <c r="N788" i="8" s="1"/>
  <c r="K788" i="8" a="1"/>
  <c r="K788" i="8" s="1"/>
  <c r="M788" i="8" a="1"/>
  <c r="M788" i="8" s="1"/>
  <c r="L788" i="8" a="1"/>
  <c r="L788" i="8" s="1"/>
  <c r="K819" i="8" a="1"/>
  <c r="K819" i="8" s="1"/>
  <c r="N819" i="8" a="1"/>
  <c r="N819" i="8" s="1"/>
  <c r="L819" i="8" a="1"/>
  <c r="L819" i="8" s="1"/>
  <c r="M819" i="8" a="1"/>
  <c r="M819" i="8" s="1"/>
  <c r="N663" i="8" a="1"/>
  <c r="N663" i="8" s="1"/>
  <c r="M663" i="8" a="1"/>
  <c r="M663" i="8" s="1"/>
  <c r="K663" i="8" a="1"/>
  <c r="K663" i="8" s="1"/>
  <c r="L663" i="8" a="1"/>
  <c r="L663" i="8" s="1"/>
  <c r="N727" i="8" a="1"/>
  <c r="N727" i="8" s="1"/>
  <c r="L727" i="8" a="1"/>
  <c r="L727" i="8" s="1"/>
  <c r="K727" i="8" a="1"/>
  <c r="K727" i="8" s="1"/>
  <c r="M727" i="8" a="1"/>
  <c r="M727" i="8" s="1"/>
  <c r="K575" i="8" a="1"/>
  <c r="K575" i="8" s="1"/>
  <c r="N575" i="8" a="1"/>
  <c r="N575" i="8" s="1"/>
  <c r="L575" i="8" a="1"/>
  <c r="L575" i="8" s="1"/>
  <c r="M575" i="8" a="1"/>
  <c r="M575" i="8" s="1"/>
  <c r="L10" i="8" a="1"/>
  <c r="L10" i="8" s="1"/>
  <c r="M10" i="8" a="1"/>
  <c r="M10" i="8" s="1"/>
  <c r="N10" i="8" a="1"/>
  <c r="N10" i="8" s="1"/>
  <c r="K10" i="8" a="1"/>
  <c r="K10" i="8" s="1"/>
  <c r="N845" i="8" a="1"/>
  <c r="N845" i="8" s="1"/>
  <c r="K845" i="8" a="1"/>
  <c r="K845" i="8" s="1"/>
  <c r="L845" i="8" a="1"/>
  <c r="L845" i="8" s="1"/>
  <c r="M845" i="8" a="1"/>
  <c r="M845" i="8" s="1"/>
  <c r="L472" i="8" a="1"/>
  <c r="L472" i="8" s="1"/>
  <c r="K472" i="8" a="1"/>
  <c r="K472" i="8" s="1"/>
  <c r="M472" i="8" a="1"/>
  <c r="M472" i="8" s="1"/>
  <c r="N472" i="8" a="1"/>
  <c r="N472" i="8" s="1"/>
  <c r="L543" i="8" a="1"/>
  <c r="L543" i="8" s="1"/>
  <c r="K543" i="8" a="1"/>
  <c r="K543" i="8" s="1"/>
  <c r="M543" i="8" a="1"/>
  <c r="M543" i="8" s="1"/>
  <c r="N543" i="8" a="1"/>
  <c r="N543" i="8" s="1"/>
  <c r="K994" i="8" a="1"/>
  <c r="K994" i="8" s="1"/>
  <c r="L994" i="8" a="1"/>
  <c r="L994" i="8" s="1"/>
  <c r="M994" i="8" a="1"/>
  <c r="M994" i="8" s="1"/>
  <c r="N994" i="8" a="1"/>
  <c r="N994" i="8" s="1"/>
  <c r="N625" i="8" a="1"/>
  <c r="N625" i="8" s="1"/>
  <c r="M625" i="8" a="1"/>
  <c r="M625" i="8" s="1"/>
  <c r="L625" i="8" a="1"/>
  <c r="L625" i="8" s="1"/>
  <c r="K625" i="8" a="1"/>
  <c r="K625" i="8" s="1"/>
  <c r="K720" i="8" a="1"/>
  <c r="K720" i="8" s="1"/>
  <c r="L720" i="8" a="1"/>
  <c r="L720" i="8" s="1"/>
  <c r="N720" i="8" a="1"/>
  <c r="N720" i="8" s="1"/>
  <c r="M720" i="8" a="1"/>
  <c r="M720" i="8" s="1"/>
  <c r="L748" i="8" a="1"/>
  <c r="L748" i="8" s="1"/>
  <c r="N748" i="8" a="1"/>
  <c r="N748" i="8" s="1"/>
  <c r="M748" i="8" a="1"/>
  <c r="M748" i="8" s="1"/>
  <c r="K748" i="8" a="1"/>
  <c r="K748" i="8" s="1"/>
  <c r="M934" i="8" a="1"/>
  <c r="M934" i="8" s="1"/>
  <c r="K934" i="8" a="1"/>
  <c r="K934" i="8" s="1"/>
  <c r="L934" i="8" a="1"/>
  <c r="L934" i="8" s="1"/>
  <c r="N934" i="8" a="1"/>
  <c r="N934" i="8" s="1"/>
  <c r="N968" i="8" a="1"/>
  <c r="N968" i="8" s="1"/>
  <c r="L968" i="8" a="1"/>
  <c r="L968" i="8" s="1"/>
  <c r="K968" i="8" a="1"/>
  <c r="K968" i="8" s="1"/>
  <c r="M968" i="8" a="1"/>
  <c r="M968" i="8" s="1"/>
  <c r="L1147" i="8" a="1"/>
  <c r="L1147" i="8" s="1"/>
  <c r="N1147" i="8" a="1"/>
  <c r="N1147" i="8" s="1"/>
  <c r="M1147" i="8" a="1"/>
  <c r="M1147" i="8" s="1"/>
  <c r="K1147" i="8" a="1"/>
  <c r="K1147" i="8" s="1"/>
  <c r="L1179" i="8" a="1"/>
  <c r="L1179" i="8" s="1"/>
  <c r="K1179" i="8" a="1"/>
  <c r="K1179" i="8" s="1"/>
  <c r="N1179" i="8" a="1"/>
  <c r="N1179" i="8" s="1"/>
  <c r="M1179" i="8" a="1"/>
  <c r="M1179" i="8" s="1"/>
  <c r="N1001" i="8" a="1"/>
  <c r="N1001" i="8" s="1"/>
  <c r="K1001" i="8" a="1"/>
  <c r="K1001" i="8" s="1"/>
  <c r="M1001" i="8" a="1"/>
  <c r="M1001" i="8" s="1"/>
  <c r="L1001" i="8" a="1"/>
  <c r="L1001" i="8" s="1"/>
  <c r="M745" i="8" a="1"/>
  <c r="M745" i="8" s="1"/>
  <c r="N745" i="8" a="1"/>
  <c r="N745" i="8" s="1"/>
  <c r="L745" i="8" a="1"/>
  <c r="L745" i="8" s="1"/>
  <c r="K745" i="8" a="1"/>
  <c r="K745" i="8" s="1"/>
  <c r="N931" i="8" a="1"/>
  <c r="N931" i="8" s="1"/>
  <c r="M931" i="8" a="1"/>
  <c r="M931" i="8" s="1"/>
  <c r="K931" i="8" a="1"/>
  <c r="K931" i="8" s="1"/>
  <c r="L931" i="8" a="1"/>
  <c r="L931" i="8" s="1"/>
  <c r="L965" i="8" a="1"/>
  <c r="L965" i="8" s="1"/>
  <c r="N965" i="8" a="1"/>
  <c r="N965" i="8" s="1"/>
  <c r="K965" i="8" a="1"/>
  <c r="K965" i="8" s="1"/>
  <c r="M965" i="8" a="1"/>
  <c r="M965" i="8" s="1"/>
  <c r="K1138" i="8" a="1"/>
  <c r="K1138" i="8" s="1"/>
  <c r="M1138" i="8" a="1"/>
  <c r="M1138" i="8" s="1"/>
  <c r="N1138" i="8" a="1"/>
  <c r="N1138" i="8" s="1"/>
  <c r="L1138" i="8" a="1"/>
  <c r="L1138" i="8" s="1"/>
  <c r="M1176" i="8" a="1"/>
  <c r="M1176" i="8" s="1"/>
  <c r="K1176" i="8" a="1"/>
  <c r="K1176" i="8" s="1"/>
  <c r="N1176" i="8" a="1"/>
  <c r="N1176" i="8" s="1"/>
  <c r="L1176" i="8" a="1"/>
  <c r="L1176" i="8" s="1"/>
  <c r="K814" i="8" a="1"/>
  <c r="K814" i="8" s="1"/>
  <c r="M814" i="8" a="1"/>
  <c r="M814" i="8" s="1"/>
  <c r="L814" i="8" a="1"/>
  <c r="L814" i="8" s="1"/>
  <c r="N814" i="8" a="1"/>
  <c r="N814" i="8" s="1"/>
  <c r="K848" i="8" a="1"/>
  <c r="K848" i="8" s="1"/>
  <c r="M848" i="8" a="1"/>
  <c r="M848" i="8" s="1"/>
  <c r="L848" i="8" a="1"/>
  <c r="L848" i="8" s="1"/>
  <c r="N848" i="8" a="1"/>
  <c r="N848" i="8" s="1"/>
  <c r="K876" i="8" a="1"/>
  <c r="K876" i="8" s="1"/>
  <c r="N876" i="8" a="1"/>
  <c r="N876" i="8" s="1"/>
  <c r="M876" i="8" a="1"/>
  <c r="M876" i="8" s="1"/>
  <c r="L876" i="8" a="1"/>
  <c r="L876" i="8" s="1"/>
  <c r="M19" i="8" a="1"/>
  <c r="M19" i="8" s="1"/>
  <c r="L19" i="8" a="1"/>
  <c r="L19" i="8" s="1"/>
  <c r="K19" i="8" a="1"/>
  <c r="K19" i="8" s="1"/>
  <c r="N19" i="8" a="1"/>
  <c r="N19" i="8" s="1"/>
  <c r="L55" i="8" a="1"/>
  <c r="L55" i="8" s="1"/>
  <c r="M55" i="8" a="1"/>
  <c r="M55" i="8" s="1"/>
  <c r="K55" i="8" a="1"/>
  <c r="K55" i="8" s="1"/>
  <c r="N55" i="8" a="1"/>
  <c r="N55" i="8" s="1"/>
  <c r="M271" i="8" a="1"/>
  <c r="M271" i="8" s="1"/>
  <c r="N271" i="8" a="1"/>
  <c r="N271" i="8" s="1"/>
  <c r="L271" i="8" a="1"/>
  <c r="L271" i="8" s="1"/>
  <c r="K271" i="8" a="1"/>
  <c r="K271" i="8" s="1"/>
  <c r="N303" i="8" a="1"/>
  <c r="N303" i="8" s="1"/>
  <c r="M303" i="8" a="1"/>
  <c r="M303" i="8" s="1"/>
  <c r="K303" i="8" a="1"/>
  <c r="K303" i="8" s="1"/>
  <c r="L303" i="8" a="1"/>
  <c r="L303" i="8" s="1"/>
  <c r="L562" i="8" a="1"/>
  <c r="L562" i="8" s="1"/>
  <c r="M562" i="8" a="1"/>
  <c r="M562" i="8" s="1"/>
  <c r="K562" i="8" a="1"/>
  <c r="K562" i="8" s="1"/>
  <c r="N562" i="8" a="1"/>
  <c r="N562" i="8" s="1"/>
  <c r="M590" i="8" a="1"/>
  <c r="M590" i="8" s="1"/>
  <c r="K590" i="8" a="1"/>
  <c r="K590" i="8" s="1"/>
  <c r="L590" i="8" a="1"/>
  <c r="L590" i="8" s="1"/>
  <c r="N590" i="8" a="1"/>
  <c r="N590" i="8" s="1"/>
  <c r="K618" i="8" a="1"/>
  <c r="K618" i="8" s="1"/>
  <c r="L618" i="8" a="1"/>
  <c r="L618" i="8" s="1"/>
  <c r="N618" i="8" a="1"/>
  <c r="N618" i="8" s="1"/>
  <c r="M618" i="8" a="1"/>
  <c r="M618" i="8" s="1"/>
  <c r="M646" i="8" a="1"/>
  <c r="M646" i="8" s="1"/>
  <c r="K646" i="8" a="1"/>
  <c r="K646" i="8" s="1"/>
  <c r="N646" i="8" a="1"/>
  <c r="N646" i="8" s="1"/>
  <c r="L646" i="8" a="1"/>
  <c r="L646" i="8" s="1"/>
  <c r="L1036" i="8" a="1"/>
  <c r="L1036" i="8" s="1"/>
  <c r="N1036" i="8" a="1"/>
  <c r="N1036" i="8" s="1"/>
  <c r="M1036" i="8" a="1"/>
  <c r="M1036" i="8" s="1"/>
  <c r="K1036" i="8" a="1"/>
  <c r="K1036" i="8" s="1"/>
  <c r="L404" i="8" a="1"/>
  <c r="L404" i="8" s="1"/>
  <c r="K404" i="8" a="1"/>
  <c r="K404" i="8" s="1"/>
  <c r="M404" i="8" a="1"/>
  <c r="M404" i="8" s="1"/>
  <c r="N404" i="8" a="1"/>
  <c r="N404" i="8" s="1"/>
  <c r="N1199" i="8" a="1"/>
  <c r="N1199" i="8" s="1"/>
  <c r="L1199" i="8" a="1"/>
  <c r="L1199" i="8" s="1"/>
  <c r="M1199" i="8" a="1"/>
  <c r="M1199" i="8" s="1"/>
  <c r="K1199" i="8" a="1"/>
  <c r="K1199" i="8" s="1"/>
  <c r="K877" i="8" a="1"/>
  <c r="K877" i="8" s="1"/>
  <c r="N877" i="8" a="1"/>
  <c r="N877" i="8" s="1"/>
  <c r="M877" i="8" a="1"/>
  <c r="M877" i="8" s="1"/>
  <c r="L877" i="8" a="1"/>
  <c r="L877" i="8" s="1"/>
  <c r="L316" i="8" a="1"/>
  <c r="L316" i="8" s="1"/>
  <c r="N316" i="8" a="1"/>
  <c r="N316" i="8" s="1"/>
  <c r="M316" i="8" a="1"/>
  <c r="M316" i="8" s="1"/>
  <c r="K316" i="8" a="1"/>
  <c r="K316" i="8" s="1"/>
  <c r="N1111" i="8" a="1"/>
  <c r="N1111" i="8" s="1"/>
  <c r="L1111" i="8" a="1"/>
  <c r="L1111" i="8" s="1"/>
  <c r="K1111" i="8" a="1"/>
  <c r="K1111" i="8" s="1"/>
  <c r="M1111" i="8" a="1"/>
  <c r="M1111" i="8" s="1"/>
  <c r="N857" i="8" a="1"/>
  <c r="N857" i="8" s="1"/>
  <c r="K857" i="8" a="1"/>
  <c r="K857" i="8" s="1"/>
  <c r="L857" i="8" a="1"/>
  <c r="L857" i="8" s="1"/>
  <c r="M857" i="8" a="1"/>
  <c r="M857" i="8" s="1"/>
  <c r="K394" i="8" a="1"/>
  <c r="K394" i="8" s="1"/>
  <c r="L394" i="8" a="1"/>
  <c r="L394" i="8" s="1"/>
  <c r="N394" i="8" a="1"/>
  <c r="N394" i="8" s="1"/>
  <c r="M394" i="8" a="1"/>
  <c r="M394" i="8" s="1"/>
  <c r="L411" i="8" a="1"/>
  <c r="L411" i="8" s="1"/>
  <c r="M411" i="8" a="1"/>
  <c r="M411" i="8" s="1"/>
  <c r="K411" i="8" a="1"/>
  <c r="K411" i="8" s="1"/>
  <c r="N411" i="8" a="1"/>
  <c r="N411" i="8" s="1"/>
  <c r="N439" i="8" a="1"/>
  <c r="N439" i="8" s="1"/>
  <c r="K439" i="8" a="1"/>
  <c r="K439" i="8" s="1"/>
  <c r="M439" i="8" a="1"/>
  <c r="M439" i="8" s="1"/>
  <c r="L439" i="8" a="1"/>
  <c r="L439" i="8" s="1"/>
  <c r="N74" i="8" a="1"/>
  <c r="N74" i="8" s="1"/>
  <c r="L74" i="8" a="1"/>
  <c r="L74" i="8" s="1"/>
  <c r="M74" i="8" a="1"/>
  <c r="M74" i="8" s="1"/>
  <c r="K74" i="8" a="1"/>
  <c r="K74" i="8" s="1"/>
  <c r="N725" i="8" a="1"/>
  <c r="N725" i="8" s="1"/>
  <c r="L725" i="8" a="1"/>
  <c r="L725" i="8" s="1"/>
  <c r="K725" i="8" a="1"/>
  <c r="K725" i="8" s="1"/>
  <c r="M725" i="8" a="1"/>
  <c r="M725" i="8" s="1"/>
  <c r="M373" i="8" a="1"/>
  <c r="M373" i="8" s="1"/>
  <c r="K373" i="8" a="1"/>
  <c r="K373" i="8" s="1"/>
  <c r="L373" i="8" a="1"/>
  <c r="L373" i="8" s="1"/>
  <c r="N373" i="8" a="1"/>
  <c r="N373" i="8" s="1"/>
  <c r="M849" i="8" a="1"/>
  <c r="M849" i="8" s="1"/>
  <c r="K849" i="8" a="1"/>
  <c r="K849" i="8" s="1"/>
  <c r="N849" i="8" a="1"/>
  <c r="N849" i="8" s="1"/>
  <c r="L849" i="8" a="1"/>
  <c r="L849" i="8" s="1"/>
  <c r="K346" i="8" a="1"/>
  <c r="K346" i="8" s="1"/>
  <c r="N346" i="8" a="1"/>
  <c r="N346" i="8" s="1"/>
  <c r="M346" i="8" a="1"/>
  <c r="M346" i="8" s="1"/>
  <c r="L346" i="8" a="1"/>
  <c r="L346" i="8" s="1"/>
  <c r="L30" i="8" a="1"/>
  <c r="L30" i="8" s="1"/>
  <c r="M30" i="8" a="1"/>
  <c r="M30" i="8" s="1"/>
  <c r="K30" i="8" a="1"/>
  <c r="K30" i="8" s="1"/>
  <c r="N30" i="8" a="1"/>
  <c r="N30" i="8" s="1"/>
  <c r="M629" i="8" a="1"/>
  <c r="M629" i="8" s="1"/>
  <c r="N629" i="8" a="1"/>
  <c r="N629" i="8" s="1"/>
  <c r="K629" i="8" a="1"/>
  <c r="K629" i="8" s="1"/>
  <c r="L629" i="8" a="1"/>
  <c r="L629" i="8" s="1"/>
  <c r="M440" i="8" a="1"/>
  <c r="M440" i="8" s="1"/>
  <c r="K440" i="8" a="1"/>
  <c r="K440" i="8" s="1"/>
  <c r="L440" i="8" a="1"/>
  <c r="L440" i="8" s="1"/>
  <c r="N440" i="8" a="1"/>
  <c r="N440" i="8" s="1"/>
  <c r="M313" i="8" a="1"/>
  <c r="M313" i="8" s="1"/>
  <c r="N313" i="8" a="1"/>
  <c r="N313" i="8" s="1"/>
  <c r="L313" i="8" a="1"/>
  <c r="L313" i="8" s="1"/>
  <c r="K313" i="8" a="1"/>
  <c r="K313" i="8" s="1"/>
  <c r="K691" i="8" a="1"/>
  <c r="K691" i="8" s="1"/>
  <c r="M691" i="8" a="1"/>
  <c r="M691" i="8" s="1"/>
  <c r="N691" i="8" a="1"/>
  <c r="N691" i="8" s="1"/>
  <c r="L691" i="8" a="1"/>
  <c r="L691" i="8" s="1"/>
  <c r="L561" i="8" a="1"/>
  <c r="L561" i="8" s="1"/>
  <c r="K561" i="8" a="1"/>
  <c r="K561" i="8" s="1"/>
  <c r="M561" i="8" a="1"/>
  <c r="M561" i="8" s="1"/>
  <c r="N561" i="8" a="1"/>
  <c r="N561" i="8" s="1"/>
  <c r="M833" i="8" a="1"/>
  <c r="M833" i="8" s="1"/>
  <c r="N833" i="8" a="1"/>
  <c r="N833" i="8" s="1"/>
  <c r="L833" i="8" a="1"/>
  <c r="L833" i="8" s="1"/>
  <c r="K833" i="8" a="1"/>
  <c r="K833" i="8" s="1"/>
  <c r="K1105" i="8" a="1"/>
  <c r="K1105" i="8" s="1"/>
  <c r="N1105" i="8" a="1"/>
  <c r="N1105" i="8" s="1"/>
  <c r="L1105" i="8" a="1"/>
  <c r="L1105" i="8" s="1"/>
  <c r="M1105" i="8" a="1"/>
  <c r="M1105" i="8" s="1"/>
  <c r="N795" i="8" a="1"/>
  <c r="N795" i="8" s="1"/>
  <c r="L795" i="8" a="1"/>
  <c r="L795" i="8" s="1"/>
  <c r="M795" i="8" a="1"/>
  <c r="M795" i="8" s="1"/>
  <c r="K795" i="8" a="1"/>
  <c r="K795" i="8" s="1"/>
  <c r="N853" i="8" a="1"/>
  <c r="N853" i="8" s="1"/>
  <c r="K853" i="8" a="1"/>
  <c r="K853" i="8" s="1"/>
  <c r="L853" i="8" a="1"/>
  <c r="L853" i="8" s="1"/>
  <c r="M853" i="8" a="1"/>
  <c r="M853" i="8" s="1"/>
  <c r="K1198" i="8" a="1"/>
  <c r="K1198" i="8" s="1"/>
  <c r="L1198" i="8" a="1"/>
  <c r="L1198" i="8" s="1"/>
  <c r="N1198" i="8" a="1"/>
  <c r="N1198" i="8" s="1"/>
  <c r="M1198" i="8" a="1"/>
  <c r="M1198" i="8" s="1"/>
  <c r="M665" i="8" a="1"/>
  <c r="M665" i="8" s="1"/>
  <c r="K665" i="8" a="1"/>
  <c r="K665" i="8" s="1"/>
  <c r="L665" i="8" a="1"/>
  <c r="L665" i="8" s="1"/>
  <c r="N665" i="8" a="1"/>
  <c r="N665" i="8" s="1"/>
  <c r="M603" i="8" a="1"/>
  <c r="M603" i="8" s="1"/>
  <c r="N603" i="8" a="1"/>
  <c r="N603" i="8" s="1"/>
  <c r="K603" i="8" a="1"/>
  <c r="K603" i="8" s="1"/>
  <c r="L603" i="8" a="1"/>
  <c r="L603" i="8" s="1"/>
  <c r="L44" i="8" a="1"/>
  <c r="L44" i="8" s="1"/>
  <c r="M44" i="8" a="1"/>
  <c r="M44" i="8" s="1"/>
  <c r="N44" i="8" a="1"/>
  <c r="N44" i="8" s="1"/>
  <c r="K44" i="8" a="1"/>
  <c r="K44" i="8" s="1"/>
  <c r="M873" i="8" a="1"/>
  <c r="M873" i="8" s="1"/>
  <c r="N873" i="8" a="1"/>
  <c r="N873" i="8" s="1"/>
  <c r="K873" i="8" a="1"/>
  <c r="K873" i="8" s="1"/>
  <c r="L873" i="8" a="1"/>
  <c r="L873" i="8" s="1"/>
  <c r="N474" i="8" a="1"/>
  <c r="N474" i="8" s="1"/>
  <c r="L474" i="8" a="1"/>
  <c r="L474" i="8" s="1"/>
  <c r="K474" i="8" a="1"/>
  <c r="K474" i="8" s="1"/>
  <c r="M474" i="8" a="1"/>
  <c r="M474" i="8" s="1"/>
  <c r="K571" i="8" a="1"/>
  <c r="K571" i="8" s="1"/>
  <c r="M571" i="8" a="1"/>
  <c r="M571" i="8" s="1"/>
  <c r="L571" i="8" a="1"/>
  <c r="L571" i="8" s="1"/>
  <c r="N571" i="8" a="1"/>
  <c r="N571" i="8" s="1"/>
  <c r="M1027" i="8" a="1"/>
  <c r="M1027" i="8" s="1"/>
  <c r="N1027" i="8" a="1"/>
  <c r="N1027" i="8" s="1"/>
  <c r="K1027" i="8" a="1"/>
  <c r="K1027" i="8" s="1"/>
  <c r="L1027" i="8" a="1"/>
  <c r="L1027" i="8" s="1"/>
  <c r="N649" i="8" a="1"/>
  <c r="N649" i="8" s="1"/>
  <c r="M649" i="8" a="1"/>
  <c r="M649" i="8" s="1"/>
  <c r="K649" i="8" a="1"/>
  <c r="K649" i="8" s="1"/>
  <c r="L649" i="8" a="1"/>
  <c r="L649" i="8" s="1"/>
  <c r="N1012" i="8" a="1"/>
  <c r="N1012" i="8" s="1"/>
  <c r="K1012" i="8" a="1"/>
  <c r="K1012" i="8" s="1"/>
  <c r="L1012" i="8" a="1"/>
  <c r="L1012" i="8" s="1"/>
  <c r="M1012" i="8" a="1"/>
  <c r="M1012" i="8" s="1"/>
  <c r="M722" i="8" a="1"/>
  <c r="M722" i="8" s="1"/>
  <c r="N722" i="8" a="1"/>
  <c r="N722" i="8" s="1"/>
  <c r="L722" i="8" a="1"/>
  <c r="L722" i="8" s="1"/>
  <c r="K722" i="8" a="1"/>
  <c r="K722" i="8" s="1"/>
  <c r="L750" i="8" a="1"/>
  <c r="L750" i="8" s="1"/>
  <c r="N750" i="8" a="1"/>
  <c r="N750" i="8" s="1"/>
  <c r="M750" i="8" a="1"/>
  <c r="M750" i="8" s="1"/>
  <c r="K750" i="8" a="1"/>
  <c r="K750" i="8" s="1"/>
  <c r="L938" i="8" a="1"/>
  <c r="L938" i="8" s="1"/>
  <c r="N938" i="8" a="1"/>
  <c r="N938" i="8" s="1"/>
  <c r="K938" i="8" a="1"/>
  <c r="K938" i="8" s="1"/>
  <c r="M938" i="8" a="1"/>
  <c r="M938" i="8" s="1"/>
  <c r="M972" i="8" a="1"/>
  <c r="M972" i="8" s="1"/>
  <c r="K972" i="8" a="1"/>
  <c r="K972" i="8" s="1"/>
  <c r="L972" i="8" a="1"/>
  <c r="L972" i="8" s="1"/>
  <c r="N972" i="8" a="1"/>
  <c r="N972" i="8" s="1"/>
  <c r="M1149" i="8" a="1"/>
  <c r="M1149" i="8" s="1"/>
  <c r="N1149" i="8" a="1"/>
  <c r="N1149" i="8" s="1"/>
  <c r="L1149" i="8" a="1"/>
  <c r="L1149" i="8" s="1"/>
  <c r="K1149" i="8" a="1"/>
  <c r="K1149" i="8" s="1"/>
  <c r="N1181" i="8" a="1"/>
  <c r="N1181" i="8" s="1"/>
  <c r="L1181" i="8" a="1"/>
  <c r="L1181" i="8" s="1"/>
  <c r="M1181" i="8" a="1"/>
  <c r="M1181" i="8" s="1"/>
  <c r="K1181" i="8" a="1"/>
  <c r="K1181" i="8" s="1"/>
  <c r="M1003" i="8" a="1"/>
  <c r="M1003" i="8" s="1"/>
  <c r="L1003" i="8" a="1"/>
  <c r="L1003" i="8" s="1"/>
  <c r="N1003" i="8" a="1"/>
  <c r="N1003" i="8" s="1"/>
  <c r="K1003" i="8" a="1"/>
  <c r="K1003" i="8" s="1"/>
  <c r="M993" i="8" a="1"/>
  <c r="M993" i="8" s="1"/>
  <c r="N993" i="8" a="1"/>
  <c r="N993" i="8" s="1"/>
  <c r="K993" i="8" a="1"/>
  <c r="K993" i="8" s="1"/>
  <c r="L993" i="8" a="1"/>
  <c r="L993" i="8" s="1"/>
  <c r="L747" i="8" a="1"/>
  <c r="L747" i="8" s="1"/>
  <c r="N747" i="8" a="1"/>
  <c r="N747" i="8" s="1"/>
  <c r="K747" i="8" a="1"/>
  <c r="K747" i="8" s="1"/>
  <c r="M747" i="8" a="1"/>
  <c r="M747" i="8" s="1"/>
  <c r="N933" i="8" a="1"/>
  <c r="N933" i="8" s="1"/>
  <c r="K933" i="8" a="1"/>
  <c r="K933" i="8" s="1"/>
  <c r="M933" i="8" a="1"/>
  <c r="M933" i="8" s="1"/>
  <c r="L933" i="8" a="1"/>
  <c r="L933" i="8" s="1"/>
  <c r="K969" i="8" a="1"/>
  <c r="K969" i="8" s="1"/>
  <c r="M969" i="8" a="1"/>
  <c r="M969" i="8" s="1"/>
  <c r="N969" i="8" a="1"/>
  <c r="N969" i="8" s="1"/>
  <c r="L969" i="8" a="1"/>
  <c r="L969" i="8" s="1"/>
  <c r="N1144" i="8" a="1"/>
  <c r="N1144" i="8" s="1"/>
  <c r="L1144" i="8" a="1"/>
  <c r="L1144" i="8" s="1"/>
  <c r="M1144" i="8" a="1"/>
  <c r="M1144" i="8" s="1"/>
  <c r="K1144" i="8" a="1"/>
  <c r="K1144" i="8" s="1"/>
  <c r="K1178" i="8" a="1"/>
  <c r="K1178" i="8" s="1"/>
  <c r="M1178" i="8" a="1"/>
  <c r="M1178" i="8" s="1"/>
  <c r="N1178" i="8" a="1"/>
  <c r="N1178" i="8" s="1"/>
  <c r="L1178" i="8" a="1"/>
  <c r="L1178" i="8" s="1"/>
  <c r="L816" i="8" a="1"/>
  <c r="L816" i="8" s="1"/>
  <c r="M816" i="8" a="1"/>
  <c r="M816" i="8" s="1"/>
  <c r="N816" i="8" a="1"/>
  <c r="N816" i="8" s="1"/>
  <c r="K816" i="8" a="1"/>
  <c r="K816" i="8" s="1"/>
  <c r="M850" i="8" a="1"/>
  <c r="M850" i="8" s="1"/>
  <c r="K850" i="8" a="1"/>
  <c r="K850" i="8" s="1"/>
  <c r="L850" i="8" a="1"/>
  <c r="L850" i="8" s="1"/>
  <c r="N850" i="8" a="1"/>
  <c r="N850" i="8" s="1"/>
  <c r="L878" i="8" a="1"/>
  <c r="L878" i="8" s="1"/>
  <c r="M878" i="8" a="1"/>
  <c r="M878" i="8" s="1"/>
  <c r="K878" i="8" a="1"/>
  <c r="K878" i="8" s="1"/>
  <c r="N878" i="8" a="1"/>
  <c r="N878" i="8" s="1"/>
  <c r="K21" i="8" a="1"/>
  <c r="K21" i="8" s="1"/>
  <c r="M21" i="8" a="1"/>
  <c r="M21" i="8" s="1"/>
  <c r="L21" i="8" a="1"/>
  <c r="L21" i="8" s="1"/>
  <c r="N21" i="8" a="1"/>
  <c r="N21" i="8" s="1"/>
  <c r="L57" i="8" a="1"/>
  <c r="L57" i="8" s="1"/>
  <c r="M57" i="8" a="1"/>
  <c r="M57" i="8" s="1"/>
  <c r="K57" i="8" a="1"/>
  <c r="K57" i="8" s="1"/>
  <c r="N57" i="8" a="1"/>
  <c r="N57" i="8" s="1"/>
  <c r="M273" i="8" a="1"/>
  <c r="M273" i="8" s="1"/>
  <c r="N273" i="8" a="1"/>
  <c r="N273" i="8" s="1"/>
  <c r="L273" i="8" a="1"/>
  <c r="L273" i="8" s="1"/>
  <c r="K273" i="8" a="1"/>
  <c r="K273" i="8" s="1"/>
  <c r="N564" i="8" a="1"/>
  <c r="N564" i="8" s="1"/>
  <c r="M564" i="8" a="1"/>
  <c r="M564" i="8" s="1"/>
  <c r="L564" i="8" a="1"/>
  <c r="L564" i="8" s="1"/>
  <c r="K564" i="8" a="1"/>
  <c r="K564" i="8" s="1"/>
  <c r="M592" i="8" a="1"/>
  <c r="M592" i="8" s="1"/>
  <c r="L592" i="8" a="1"/>
  <c r="L592" i="8" s="1"/>
  <c r="N592" i="8" a="1"/>
  <c r="N592" i="8" s="1"/>
  <c r="K592" i="8" a="1"/>
  <c r="K592" i="8" s="1"/>
  <c r="L620" i="8" a="1"/>
  <c r="L620" i="8" s="1"/>
  <c r="K620" i="8" a="1"/>
  <c r="K620" i="8" s="1"/>
  <c r="N620" i="8" a="1"/>
  <c r="N620" i="8" s="1"/>
  <c r="M620" i="8" a="1"/>
  <c r="M620" i="8" s="1"/>
  <c r="M648" i="8" a="1"/>
  <c r="M648" i="8" s="1"/>
  <c r="K648" i="8" a="1"/>
  <c r="K648" i="8" s="1"/>
  <c r="L648" i="8" a="1"/>
  <c r="L648" i="8" s="1"/>
  <c r="N648" i="8" a="1"/>
  <c r="N648" i="8" s="1"/>
  <c r="L1132" i="8" a="1"/>
  <c r="L1132" i="8" s="1"/>
  <c r="K1132" i="8" a="1"/>
  <c r="K1132" i="8" s="1"/>
  <c r="N1132" i="8" a="1"/>
  <c r="N1132" i="8" s="1"/>
  <c r="M1132" i="8" a="1"/>
  <c r="M1132" i="8" s="1"/>
  <c r="M794" i="8" a="1"/>
  <c r="M794" i="8" s="1"/>
  <c r="N794" i="8" a="1"/>
  <c r="N794" i="8" s="1"/>
  <c r="K794" i="8" a="1"/>
  <c r="K794" i="8" s="1"/>
  <c r="L794" i="8" a="1"/>
  <c r="L794" i="8" s="1"/>
  <c r="K1038" i="8" a="1"/>
  <c r="K1038" i="8" s="1"/>
  <c r="L1038" i="8" a="1"/>
  <c r="L1038" i="8" s="1"/>
  <c r="M1038" i="8" a="1"/>
  <c r="M1038" i="8" s="1"/>
  <c r="N1038" i="8" a="1"/>
  <c r="N1038" i="8" s="1"/>
  <c r="N416" i="8" a="1"/>
  <c r="N416" i="8" s="1"/>
  <c r="K416" i="8" a="1"/>
  <c r="K416" i="8" s="1"/>
  <c r="M416" i="8" a="1"/>
  <c r="M416" i="8" s="1"/>
  <c r="L416" i="8" a="1"/>
  <c r="L416" i="8" s="1"/>
  <c r="K1019" i="8" a="1"/>
  <c r="K1019" i="8" s="1"/>
  <c r="N1019" i="8" a="1"/>
  <c r="N1019" i="8" s="1"/>
  <c r="M1019" i="8" a="1"/>
  <c r="M1019" i="8" s="1"/>
  <c r="L1019" i="8" a="1"/>
  <c r="L1019" i="8" s="1"/>
  <c r="L318" i="8" a="1"/>
  <c r="L318" i="8" s="1"/>
  <c r="M318" i="8" a="1"/>
  <c r="M318" i="8" s="1"/>
  <c r="N318" i="8" a="1"/>
  <c r="N318" i="8" s="1"/>
  <c r="K318" i="8" a="1"/>
  <c r="K318" i="8" s="1"/>
  <c r="L909" i="8" a="1"/>
  <c r="L909" i="8" s="1"/>
  <c r="N909" i="8" a="1"/>
  <c r="N909" i="8" s="1"/>
  <c r="K909" i="8" a="1"/>
  <c r="K909" i="8" s="1"/>
  <c r="M909" i="8" a="1"/>
  <c r="M909" i="8" s="1"/>
  <c r="K1010" i="8" a="1"/>
  <c r="K1010" i="8" s="1"/>
  <c r="L1010" i="8" a="1"/>
  <c r="L1010" i="8" s="1"/>
  <c r="N1010" i="8" a="1"/>
  <c r="N1010" i="8" s="1"/>
  <c r="M1010" i="8" a="1"/>
  <c r="M1010" i="8" s="1"/>
  <c r="N453" i="8" a="1"/>
  <c r="N453" i="8" s="1"/>
  <c r="L453" i="8" a="1"/>
  <c r="L453" i="8" s="1"/>
  <c r="K453" i="8" a="1"/>
  <c r="K453" i="8" s="1"/>
  <c r="M453" i="8" a="1"/>
  <c r="M453" i="8" s="1"/>
  <c r="K406" i="8" a="1"/>
  <c r="K406" i="8" s="1"/>
  <c r="M406" i="8" a="1"/>
  <c r="M406" i="8" s="1"/>
  <c r="L406" i="8" a="1"/>
  <c r="L406" i="8" s="1"/>
  <c r="N406" i="8" a="1"/>
  <c r="N406" i="8" s="1"/>
  <c r="L413" i="8" a="1"/>
  <c r="L413" i="8" s="1"/>
  <c r="N413" i="8" a="1"/>
  <c r="N413" i="8" s="1"/>
  <c r="K413" i="8" a="1"/>
  <c r="K413" i="8" s="1"/>
  <c r="M413" i="8" a="1"/>
  <c r="M413" i="8" s="1"/>
  <c r="M441" i="8" a="1"/>
  <c r="M441" i="8" s="1"/>
  <c r="L441" i="8" a="1"/>
  <c r="L441" i="8" s="1"/>
  <c r="K441" i="8" a="1"/>
  <c r="K441" i="8" s="1"/>
  <c r="N441" i="8" a="1"/>
  <c r="N441" i="8" s="1"/>
  <c r="N867" i="8" a="1"/>
  <c r="N867" i="8" s="1"/>
  <c r="L867" i="8" a="1"/>
  <c r="L867" i="8" s="1"/>
  <c r="K867" i="8" a="1"/>
  <c r="K867" i="8" s="1"/>
  <c r="M867" i="8" a="1"/>
  <c r="M867" i="8" s="1"/>
  <c r="N379" i="8" a="1"/>
  <c r="N379" i="8" s="1"/>
  <c r="M379" i="8" a="1"/>
  <c r="M379" i="8" s="1"/>
  <c r="K379" i="8" a="1"/>
  <c r="K379" i="8" s="1"/>
  <c r="L379" i="8" a="1"/>
  <c r="L379" i="8" s="1"/>
  <c r="M865" i="8" a="1"/>
  <c r="M865" i="8" s="1"/>
  <c r="N865" i="8" a="1"/>
  <c r="N865" i="8" s="1"/>
  <c r="K865" i="8" a="1"/>
  <c r="K865" i="8" s="1"/>
  <c r="L865" i="8" a="1"/>
  <c r="L865" i="8" s="1"/>
  <c r="M483" i="8" a="1"/>
  <c r="M483" i="8" s="1"/>
  <c r="N483" i="8" a="1"/>
  <c r="N483" i="8" s="1"/>
  <c r="L483" i="8" a="1"/>
  <c r="L483" i="8" s="1"/>
  <c r="K483" i="8" a="1"/>
  <c r="K483" i="8" s="1"/>
  <c r="N370" i="8" a="1"/>
  <c r="N370" i="8" s="1"/>
  <c r="M370" i="8" a="1"/>
  <c r="M370" i="8" s="1"/>
  <c r="L370" i="8" a="1"/>
  <c r="L370" i="8" s="1"/>
  <c r="K370" i="8" a="1"/>
  <c r="K370" i="8" s="1"/>
  <c r="M290" i="8" a="1"/>
  <c r="M290" i="8" s="1"/>
  <c r="N290" i="8" a="1"/>
  <c r="N290" i="8" s="1"/>
  <c r="K290" i="8" a="1"/>
  <c r="K290" i="8" s="1"/>
  <c r="L290" i="8" a="1"/>
  <c r="L290" i="8" s="1"/>
  <c r="N647" i="8" a="1"/>
  <c r="N647" i="8" s="1"/>
  <c r="M647" i="8" a="1"/>
  <c r="M647" i="8" s="1"/>
  <c r="L647" i="8" a="1"/>
  <c r="L647" i="8" s="1"/>
  <c r="K647" i="8" a="1"/>
  <c r="K647" i="8" s="1"/>
  <c r="N539" i="8" a="1"/>
  <c r="N539" i="8" s="1"/>
  <c r="K539" i="8" a="1"/>
  <c r="K539" i="8" s="1"/>
  <c r="L539" i="8" a="1"/>
  <c r="L539" i="8" s="1"/>
  <c r="M539" i="8" a="1"/>
  <c r="M539" i="8" s="1"/>
  <c r="K315" i="8" a="1"/>
  <c r="K315" i="8" s="1"/>
  <c r="M315" i="8" a="1"/>
  <c r="M315" i="8" s="1"/>
  <c r="L315" i="8" a="1"/>
  <c r="L315" i="8" s="1"/>
  <c r="N315" i="8" a="1"/>
  <c r="N315" i="8" s="1"/>
  <c r="N589" i="8" a="1"/>
  <c r="N589" i="8" s="1"/>
  <c r="M589" i="8" a="1"/>
  <c r="M589" i="8" s="1"/>
  <c r="K589" i="8" a="1"/>
  <c r="K589" i="8" s="1"/>
  <c r="L589" i="8" a="1"/>
  <c r="L589" i="8" s="1"/>
  <c r="M861" i="8" a="1"/>
  <c r="M861" i="8" s="1"/>
  <c r="L861" i="8" a="1"/>
  <c r="L861" i="8" s="1"/>
  <c r="N861" i="8" a="1"/>
  <c r="N861" i="8" s="1"/>
  <c r="K861" i="8" a="1"/>
  <c r="K861" i="8" s="1"/>
  <c r="M1109" i="8" a="1"/>
  <c r="M1109" i="8" s="1"/>
  <c r="K1109" i="8" a="1"/>
  <c r="K1109" i="8" s="1"/>
  <c r="N1109" i="8" a="1"/>
  <c r="N1109" i="8" s="1"/>
  <c r="L1109" i="8" a="1"/>
  <c r="L1109" i="8" s="1"/>
  <c r="K797" i="8" a="1"/>
  <c r="K797" i="8" s="1"/>
  <c r="M797" i="8" a="1"/>
  <c r="M797" i="8" s="1"/>
  <c r="L797" i="8" a="1"/>
  <c r="L797" i="8" s="1"/>
  <c r="N797" i="8" a="1"/>
  <c r="N797" i="8" s="1"/>
  <c r="L903" i="8" a="1"/>
  <c r="L903" i="8" s="1"/>
  <c r="M903" i="8" a="1"/>
  <c r="M903" i="8" s="1"/>
  <c r="K903" i="8" a="1"/>
  <c r="K903" i="8" s="1"/>
  <c r="N903" i="8" a="1"/>
  <c r="N903" i="8" s="1"/>
  <c r="N667" i="8" a="1"/>
  <c r="N667" i="8" s="1"/>
  <c r="M667" i="8" a="1"/>
  <c r="M667" i="8" s="1"/>
  <c r="K667" i="8" a="1"/>
  <c r="K667" i="8" s="1"/>
  <c r="L667" i="8" a="1"/>
  <c r="L667" i="8" s="1"/>
  <c r="N655" i="8" a="1"/>
  <c r="N655" i="8" s="1"/>
  <c r="M655" i="8" a="1"/>
  <c r="M655" i="8" s="1"/>
  <c r="K655" i="8" a="1"/>
  <c r="K655" i="8" s="1"/>
  <c r="L655" i="8" a="1"/>
  <c r="L655" i="8" s="1"/>
  <c r="N76" i="8" a="1"/>
  <c r="N76" i="8" s="1"/>
  <c r="M76" i="8" a="1"/>
  <c r="M76" i="8" s="1"/>
  <c r="L76" i="8" a="1"/>
  <c r="L76" i="8" s="1"/>
  <c r="K76" i="8" a="1"/>
  <c r="K76" i="8" s="1"/>
  <c r="K482" i="8" a="1"/>
  <c r="K482" i="8" s="1"/>
  <c r="M482" i="8" a="1"/>
  <c r="M482" i="8" s="1"/>
  <c r="N482" i="8" a="1"/>
  <c r="N482" i="8" s="1"/>
  <c r="L482" i="8" a="1"/>
  <c r="L482" i="8" s="1"/>
  <c r="L599" i="8" a="1"/>
  <c r="L599" i="8" s="1"/>
  <c r="N599" i="8" a="1"/>
  <c r="N599" i="8" s="1"/>
  <c r="M599" i="8" a="1"/>
  <c r="M599" i="8" s="1"/>
  <c r="K599" i="8" a="1"/>
  <c r="K599" i="8" s="1"/>
  <c r="M1123" i="8" a="1"/>
  <c r="M1123" i="8" s="1"/>
  <c r="N1123" i="8" a="1"/>
  <c r="N1123" i="8" s="1"/>
  <c r="K1123" i="8" a="1"/>
  <c r="K1123" i="8" s="1"/>
  <c r="L1123" i="8" a="1"/>
  <c r="L1123" i="8" s="1"/>
  <c r="N651" i="8" a="1"/>
  <c r="N651" i="8" s="1"/>
  <c r="M651" i="8" a="1"/>
  <c r="M651" i="8" s="1"/>
  <c r="L651" i="8" a="1"/>
  <c r="L651" i="8" s="1"/>
  <c r="K651" i="8" a="1"/>
  <c r="K651" i="8" s="1"/>
  <c r="M1025" i="8" a="1"/>
  <c r="M1025" i="8" s="1"/>
  <c r="K1025" i="8" a="1"/>
  <c r="K1025" i="8" s="1"/>
  <c r="L1025" i="8" a="1"/>
  <c r="L1025" i="8" s="1"/>
  <c r="N1025" i="8" a="1"/>
  <c r="N1025" i="8" s="1"/>
  <c r="L724" i="8" a="1"/>
  <c r="L724" i="8" s="1"/>
  <c r="N724" i="8" a="1"/>
  <c r="N724" i="8" s="1"/>
  <c r="M724" i="8" a="1"/>
  <c r="M724" i="8" s="1"/>
  <c r="K724" i="8" a="1"/>
  <c r="K724" i="8" s="1"/>
  <c r="L752" i="8" a="1"/>
  <c r="L752" i="8" s="1"/>
  <c r="M752" i="8" a="1"/>
  <c r="M752" i="8" s="1"/>
  <c r="N752" i="8" a="1"/>
  <c r="N752" i="8" s="1"/>
  <c r="K752" i="8" a="1"/>
  <c r="K752" i="8" s="1"/>
  <c r="N940" i="8" a="1"/>
  <c r="N940" i="8" s="1"/>
  <c r="M940" i="8" a="1"/>
  <c r="M940" i="8" s="1"/>
  <c r="L940" i="8" a="1"/>
  <c r="L940" i="8" s="1"/>
  <c r="K940" i="8" a="1"/>
  <c r="K940" i="8" s="1"/>
  <c r="M976" i="8" a="1"/>
  <c r="M976" i="8" s="1"/>
  <c r="K976" i="8" a="1"/>
  <c r="K976" i="8" s="1"/>
  <c r="N976" i="8" a="1"/>
  <c r="N976" i="8" s="1"/>
  <c r="L976" i="8" a="1"/>
  <c r="L976" i="8" s="1"/>
  <c r="N1151" i="8" a="1"/>
  <c r="N1151" i="8" s="1"/>
  <c r="M1151" i="8" a="1"/>
  <c r="M1151" i="8" s="1"/>
  <c r="L1151" i="8" a="1"/>
  <c r="L1151" i="8" s="1"/>
  <c r="K1151" i="8" a="1"/>
  <c r="K1151" i="8" s="1"/>
  <c r="N1183" i="8" a="1"/>
  <c r="N1183" i="8" s="1"/>
  <c r="M1183" i="8" a="1"/>
  <c r="M1183" i="8" s="1"/>
  <c r="L1183" i="8" a="1"/>
  <c r="L1183" i="8" s="1"/>
  <c r="K1183" i="8" a="1"/>
  <c r="K1183" i="8" s="1"/>
  <c r="K1005" i="8" a="1"/>
  <c r="K1005" i="8" s="1"/>
  <c r="L1005" i="8" a="1"/>
  <c r="L1005" i="8" s="1"/>
  <c r="N1005" i="8" a="1"/>
  <c r="N1005" i="8" s="1"/>
  <c r="M1005" i="8" a="1"/>
  <c r="M1005" i="8" s="1"/>
  <c r="N749" i="8" a="1"/>
  <c r="N749" i="8" s="1"/>
  <c r="M749" i="8" a="1"/>
  <c r="M749" i="8" s="1"/>
  <c r="K749" i="8" a="1"/>
  <c r="K749" i="8" s="1"/>
  <c r="L749" i="8" a="1"/>
  <c r="L749" i="8" s="1"/>
  <c r="L935" i="8" a="1"/>
  <c r="L935" i="8" s="1"/>
  <c r="N935" i="8" a="1"/>
  <c r="N935" i="8" s="1"/>
  <c r="M935" i="8" a="1"/>
  <c r="M935" i="8" s="1"/>
  <c r="K935" i="8" a="1"/>
  <c r="K935" i="8" s="1"/>
  <c r="M971" i="8" a="1"/>
  <c r="M971" i="8" s="1"/>
  <c r="L971" i="8" a="1"/>
  <c r="L971" i="8" s="1"/>
  <c r="K971" i="8" a="1"/>
  <c r="K971" i="8" s="1"/>
  <c r="N971" i="8" a="1"/>
  <c r="N971" i="8" s="1"/>
  <c r="M1146" i="8" a="1"/>
  <c r="M1146" i="8" s="1"/>
  <c r="L1146" i="8" a="1"/>
  <c r="L1146" i="8" s="1"/>
  <c r="N1146" i="8" a="1"/>
  <c r="N1146" i="8" s="1"/>
  <c r="K1146" i="8" a="1"/>
  <c r="K1146" i="8" s="1"/>
  <c r="L1180" i="8" a="1"/>
  <c r="L1180" i="8" s="1"/>
  <c r="M1180" i="8" a="1"/>
  <c r="M1180" i="8" s="1"/>
  <c r="K1180" i="8" a="1"/>
  <c r="K1180" i="8" s="1"/>
  <c r="N1180" i="8" a="1"/>
  <c r="N1180" i="8" s="1"/>
  <c r="L818" i="8" a="1"/>
  <c r="L818" i="8" s="1"/>
  <c r="M818" i="8" a="1"/>
  <c r="M818" i="8" s="1"/>
  <c r="K818" i="8" a="1"/>
  <c r="K818" i="8" s="1"/>
  <c r="N818" i="8" a="1"/>
  <c r="N818" i="8" s="1"/>
  <c r="N852" i="8" a="1"/>
  <c r="N852" i="8" s="1"/>
  <c r="M852" i="8" a="1"/>
  <c r="M852" i="8" s="1"/>
  <c r="K852" i="8" a="1"/>
  <c r="K852" i="8" s="1"/>
  <c r="L852" i="8" a="1"/>
  <c r="L852" i="8" s="1"/>
  <c r="N880" i="8" a="1"/>
  <c r="N880" i="8" s="1"/>
  <c r="M880" i="8" a="1"/>
  <c r="M880" i="8" s="1"/>
  <c r="K880" i="8" a="1"/>
  <c r="K880" i="8" s="1"/>
  <c r="L880" i="8" a="1"/>
  <c r="L880" i="8" s="1"/>
  <c r="K1134" i="8" a="1"/>
  <c r="K1134" i="8" s="1"/>
  <c r="L1134" i="8" a="1"/>
  <c r="L1134" i="8" s="1"/>
  <c r="M1134" i="8" a="1"/>
  <c r="M1134" i="8" s="1"/>
  <c r="N1134" i="8" a="1"/>
  <c r="N1134" i="8" s="1"/>
  <c r="L25" i="8" a="1"/>
  <c r="L25" i="8" s="1"/>
  <c r="K25" i="8" a="1"/>
  <c r="K25" i="8" s="1"/>
  <c r="M25" i="8" a="1"/>
  <c r="M25" i="8" s="1"/>
  <c r="N25" i="8" a="1"/>
  <c r="N25" i="8" s="1"/>
  <c r="M61" i="8" a="1"/>
  <c r="M61" i="8" s="1"/>
  <c r="L61" i="8" a="1"/>
  <c r="L61" i="8" s="1"/>
  <c r="K61" i="8" a="1"/>
  <c r="K61" i="8" s="1"/>
  <c r="N61" i="8" a="1"/>
  <c r="N61" i="8" s="1"/>
  <c r="N275" i="8" a="1"/>
  <c r="N275" i="8" s="1"/>
  <c r="L275" i="8" a="1"/>
  <c r="L275" i="8" s="1"/>
  <c r="M275" i="8" a="1"/>
  <c r="M275" i="8" s="1"/>
  <c r="K275" i="8" a="1"/>
  <c r="K275" i="8" s="1"/>
  <c r="N538" i="8" a="1"/>
  <c r="N538" i="8" s="1"/>
  <c r="K538" i="8" a="1"/>
  <c r="K538" i="8" s="1"/>
  <c r="M538" i="8" a="1"/>
  <c r="M538" i="8" s="1"/>
  <c r="L538" i="8" a="1"/>
  <c r="L538" i="8" s="1"/>
  <c r="L566" i="8" a="1"/>
  <c r="L566" i="8" s="1"/>
  <c r="K566" i="8" a="1"/>
  <c r="K566" i="8" s="1"/>
  <c r="M566" i="8" a="1"/>
  <c r="M566" i="8" s="1"/>
  <c r="N566" i="8" a="1"/>
  <c r="N566" i="8" s="1"/>
  <c r="M594" i="8" a="1"/>
  <c r="M594" i="8" s="1"/>
  <c r="N594" i="8" a="1"/>
  <c r="N594" i="8" s="1"/>
  <c r="L594" i="8" a="1"/>
  <c r="L594" i="8" s="1"/>
  <c r="K594" i="8" a="1"/>
  <c r="K594" i="8" s="1"/>
  <c r="L622" i="8" a="1"/>
  <c r="L622" i="8" s="1"/>
  <c r="M622" i="8" a="1"/>
  <c r="M622" i="8" s="1"/>
  <c r="N622" i="8" a="1"/>
  <c r="N622" i="8" s="1"/>
  <c r="K622" i="8" a="1"/>
  <c r="K622" i="8" s="1"/>
  <c r="N654" i="8" a="1"/>
  <c r="N654" i="8" s="1"/>
  <c r="L654" i="8" a="1"/>
  <c r="L654" i="8" s="1"/>
  <c r="M654" i="8" a="1"/>
  <c r="M654" i="8" s="1"/>
  <c r="K654" i="8" a="1"/>
  <c r="K654" i="8" s="1"/>
  <c r="L1040" i="8" a="1"/>
  <c r="L1040" i="8" s="1"/>
  <c r="N1040" i="8" a="1"/>
  <c r="N1040" i="8" s="1"/>
  <c r="K1040" i="8" a="1"/>
  <c r="K1040" i="8" s="1"/>
  <c r="M1040" i="8" a="1"/>
  <c r="M1040" i="8" s="1"/>
  <c r="L418" i="8" a="1"/>
  <c r="L418" i="8" s="1"/>
  <c r="N418" i="8" a="1"/>
  <c r="N418" i="8" s="1"/>
  <c r="M418" i="8" a="1"/>
  <c r="M418" i="8" s="1"/>
  <c r="K418" i="8" a="1"/>
  <c r="K418" i="8" s="1"/>
  <c r="N415" i="8" a="1"/>
  <c r="N415" i="8" s="1"/>
  <c r="L415" i="8" a="1"/>
  <c r="L415" i="8" s="1"/>
  <c r="K415" i="8" a="1"/>
  <c r="K415" i="8" s="1"/>
  <c r="M415" i="8" a="1"/>
  <c r="M415" i="8" s="1"/>
  <c r="K443" i="8" a="1"/>
  <c r="K443" i="8" s="1"/>
  <c r="N443" i="8" a="1"/>
  <c r="N443" i="8" s="1"/>
  <c r="L443" i="8" a="1"/>
  <c r="L443" i="8" s="1"/>
  <c r="M443" i="8" a="1"/>
  <c r="M443" i="8" s="1"/>
  <c r="M18" i="8" a="1"/>
  <c r="M18" i="8" s="1"/>
  <c r="L18" i="8" a="1"/>
  <c r="L18" i="8" s="1"/>
  <c r="N18" i="8" a="1"/>
  <c r="N18" i="8" s="1"/>
  <c r="K18" i="8" a="1"/>
  <c r="K18" i="8" s="1"/>
  <c r="L42" i="8" a="1"/>
  <c r="L42" i="8" s="1"/>
  <c r="M42" i="8" a="1"/>
  <c r="M42" i="8" s="1"/>
  <c r="N42" i="8" a="1"/>
  <c r="N42" i="8" s="1"/>
  <c r="K42" i="8" a="1"/>
  <c r="K42" i="8" s="1"/>
  <c r="N389" i="8" a="1"/>
  <c r="N389" i="8" s="1"/>
  <c r="K389" i="8" a="1"/>
  <c r="K389" i="8" s="1"/>
  <c r="M389" i="8" a="1"/>
  <c r="M389" i="8" s="1"/>
  <c r="L389" i="8" a="1"/>
  <c r="L389" i="8" s="1"/>
  <c r="N348" i="8" a="1"/>
  <c r="N348" i="8" s="1"/>
  <c r="K348" i="8" a="1"/>
  <c r="K348" i="8" s="1"/>
  <c r="M348" i="8" a="1"/>
  <c r="M348" i="8" s="1"/>
  <c r="L348" i="8" a="1"/>
  <c r="L348" i="8" s="1"/>
  <c r="K563" i="8" a="1"/>
  <c r="K563" i="8" s="1"/>
  <c r="M563" i="8" a="1"/>
  <c r="M563" i="8" s="1"/>
  <c r="L563" i="8" a="1"/>
  <c r="L563" i="8" s="1"/>
  <c r="N563" i="8" a="1"/>
  <c r="N563" i="8" s="1"/>
  <c r="L390" i="8" a="1"/>
  <c r="L390" i="8" s="1"/>
  <c r="N390" i="8" a="1"/>
  <c r="N390" i="8" s="1"/>
  <c r="K390" i="8" a="1"/>
  <c r="K390" i="8" s="1"/>
  <c r="M390" i="8" a="1"/>
  <c r="M390" i="8" s="1"/>
  <c r="M333" i="8" a="1"/>
  <c r="M333" i="8" s="1"/>
  <c r="L333" i="8" a="1"/>
  <c r="L333" i="8" s="1"/>
  <c r="K333" i="8" a="1"/>
  <c r="K333" i="8" s="1"/>
  <c r="N333" i="8" a="1"/>
  <c r="N333" i="8" s="1"/>
  <c r="M670" i="8" a="1"/>
  <c r="M670" i="8" s="1"/>
  <c r="K670" i="8" a="1"/>
  <c r="K670" i="8" s="1"/>
  <c r="L670" i="8" a="1"/>
  <c r="L670" i="8" s="1"/>
  <c r="N670" i="8" a="1"/>
  <c r="N670" i="8" s="1"/>
  <c r="K335" i="8" a="1"/>
  <c r="K335" i="8" s="1"/>
  <c r="N335" i="8" a="1"/>
  <c r="N335" i="8" s="1"/>
  <c r="L335" i="8" a="1"/>
  <c r="L335" i="8" s="1"/>
  <c r="M335" i="8" a="1"/>
  <c r="M335" i="8" s="1"/>
  <c r="M317" i="8" a="1"/>
  <c r="M317" i="8" s="1"/>
  <c r="N317" i="8" a="1"/>
  <c r="N317" i="8" s="1"/>
  <c r="L317" i="8" a="1"/>
  <c r="L317" i="8" s="1"/>
  <c r="K317" i="8" a="1"/>
  <c r="K317" i="8" s="1"/>
  <c r="N617" i="8" a="1"/>
  <c r="N617" i="8" s="1"/>
  <c r="M617" i="8" a="1"/>
  <c r="M617" i="8" s="1"/>
  <c r="K617" i="8" a="1"/>
  <c r="K617" i="8" s="1"/>
  <c r="L617" i="8" a="1"/>
  <c r="L617" i="8" s="1"/>
  <c r="N891" i="8" a="1"/>
  <c r="N891" i="8" s="1"/>
  <c r="M891" i="8" a="1"/>
  <c r="M891" i="8" s="1"/>
  <c r="K891" i="8" a="1"/>
  <c r="K891" i="8" s="1"/>
  <c r="L891" i="8" a="1"/>
  <c r="L891" i="8" s="1"/>
  <c r="L821" i="8" a="1"/>
  <c r="L821" i="8" s="1"/>
  <c r="M821" i="8" a="1"/>
  <c r="M821" i="8" s="1"/>
  <c r="K821" i="8" a="1"/>
  <c r="K821" i="8" s="1"/>
  <c r="N821" i="8" a="1"/>
  <c r="N821" i="8" s="1"/>
  <c r="N1041" i="8" a="1"/>
  <c r="N1041" i="8" s="1"/>
  <c r="K1041" i="8" a="1"/>
  <c r="K1041" i="8" s="1"/>
  <c r="M1041" i="8" a="1"/>
  <c r="M1041" i="8" s="1"/>
  <c r="L1041" i="8" a="1"/>
  <c r="L1041" i="8" s="1"/>
  <c r="M16" i="8" a="1"/>
  <c r="M16" i="8" s="1"/>
  <c r="L16" i="8" a="1"/>
  <c r="L16" i="8" s="1"/>
  <c r="K16" i="8" a="1"/>
  <c r="K16" i="8" s="1"/>
  <c r="N16" i="8" a="1"/>
  <c r="N16" i="8" s="1"/>
  <c r="K669" i="8" a="1"/>
  <c r="K669" i="8" s="1"/>
  <c r="N669" i="8" a="1"/>
  <c r="N669" i="8" s="1"/>
  <c r="L669" i="8" a="1"/>
  <c r="L669" i="8" s="1"/>
  <c r="M669" i="8" a="1"/>
  <c r="M669" i="8" s="1"/>
  <c r="M851" i="8" a="1"/>
  <c r="M851" i="8" s="1"/>
  <c r="K851" i="8" a="1"/>
  <c r="K851" i="8" s="1"/>
  <c r="N851" i="8" a="1"/>
  <c r="N851" i="8" s="1"/>
  <c r="L851" i="8" a="1"/>
  <c r="L851" i="8" s="1"/>
  <c r="N292" i="8" a="1"/>
  <c r="N292" i="8" s="1"/>
  <c r="M292" i="8" a="1"/>
  <c r="M292" i="8" s="1"/>
  <c r="L292" i="8" a="1"/>
  <c r="L292" i="8" s="1"/>
  <c r="K292" i="8" a="1"/>
  <c r="K292" i="8" s="1"/>
  <c r="L1125" i="8" a="1"/>
  <c r="L1125" i="8" s="1"/>
  <c r="N1125" i="8" a="1"/>
  <c r="N1125" i="8" s="1"/>
  <c r="K1125" i="8" a="1"/>
  <c r="K1125" i="8" s="1"/>
  <c r="M1125" i="8" a="1"/>
  <c r="M1125" i="8" s="1"/>
  <c r="N484" i="8" a="1"/>
  <c r="N484" i="8" s="1"/>
  <c r="L484" i="8" a="1"/>
  <c r="L484" i="8" s="1"/>
  <c r="K484" i="8" a="1"/>
  <c r="K484" i="8" s="1"/>
  <c r="M484" i="8" a="1"/>
  <c r="M484" i="8" s="1"/>
  <c r="N653" i="8" a="1"/>
  <c r="N653" i="8" s="1"/>
  <c r="M653" i="8" a="1"/>
  <c r="M653" i="8" s="1"/>
  <c r="K653" i="8" a="1"/>
  <c r="K653" i="8" s="1"/>
  <c r="L653" i="8" a="1"/>
  <c r="L653" i="8" s="1"/>
  <c r="K1117" i="8" a="1"/>
  <c r="K1117" i="8" s="1"/>
  <c r="N1117" i="8" a="1"/>
  <c r="N1117" i="8" s="1"/>
  <c r="L1117" i="8" a="1"/>
  <c r="L1117" i="8" s="1"/>
  <c r="M1117" i="8" a="1"/>
  <c r="M1117" i="8" s="1"/>
  <c r="L726" i="8" a="1"/>
  <c r="L726" i="8" s="1"/>
  <c r="N726" i="8" a="1"/>
  <c r="N726" i="8" s="1"/>
  <c r="K726" i="8" a="1"/>
  <c r="K726" i="8" s="1"/>
  <c r="M726" i="8" a="1"/>
  <c r="M726" i="8" s="1"/>
  <c r="L780" i="8" a="1"/>
  <c r="L780" i="8" s="1"/>
  <c r="K780" i="8" a="1"/>
  <c r="K780" i="8" s="1"/>
  <c r="N780" i="8" a="1"/>
  <c r="N780" i="8" s="1"/>
  <c r="M780" i="8" a="1"/>
  <c r="M780" i="8" s="1"/>
  <c r="N942" i="8" a="1"/>
  <c r="N942" i="8" s="1"/>
  <c r="L942" i="8" a="1"/>
  <c r="L942" i="8" s="1"/>
  <c r="M942" i="8" a="1"/>
  <c r="M942" i="8" s="1"/>
  <c r="K942" i="8" a="1"/>
  <c r="K942" i="8" s="1"/>
  <c r="L978" i="8" a="1"/>
  <c r="L978" i="8" s="1"/>
  <c r="M978" i="8" a="1"/>
  <c r="M978" i="8" s="1"/>
  <c r="K978" i="8" a="1"/>
  <c r="K978" i="8" s="1"/>
  <c r="N978" i="8" a="1"/>
  <c r="N978" i="8" s="1"/>
  <c r="K1153" i="8" a="1"/>
  <c r="K1153" i="8" s="1"/>
  <c r="L1153" i="8" a="1"/>
  <c r="L1153" i="8" s="1"/>
  <c r="M1153" i="8" a="1"/>
  <c r="M1153" i="8" s="1"/>
  <c r="N1153" i="8" a="1"/>
  <c r="N1153" i="8" s="1"/>
  <c r="M1185" i="8" a="1"/>
  <c r="M1185" i="8" s="1"/>
  <c r="N1185" i="8" a="1"/>
  <c r="N1185" i="8" s="1"/>
  <c r="L1185" i="8" a="1"/>
  <c r="L1185" i="8" s="1"/>
  <c r="K1185" i="8" a="1"/>
  <c r="K1185" i="8" s="1"/>
  <c r="L1007" i="8" a="1"/>
  <c r="L1007" i="8" s="1"/>
  <c r="K1007" i="8" a="1"/>
  <c r="K1007" i="8" s="1"/>
  <c r="N1007" i="8" a="1"/>
  <c r="N1007" i="8" s="1"/>
  <c r="M1007" i="8" a="1"/>
  <c r="M1007" i="8" s="1"/>
  <c r="N753" i="8" a="1"/>
  <c r="N753" i="8" s="1"/>
  <c r="K753" i="8" a="1"/>
  <c r="K753" i="8" s="1"/>
  <c r="L753" i="8" a="1"/>
  <c r="L753" i="8" s="1"/>
  <c r="M753" i="8" a="1"/>
  <c r="M753" i="8" s="1"/>
  <c r="M937" i="8" a="1"/>
  <c r="M937" i="8" s="1"/>
  <c r="L937" i="8" a="1"/>
  <c r="L937" i="8" s="1"/>
  <c r="K937" i="8" a="1"/>
  <c r="K937" i="8" s="1"/>
  <c r="N937" i="8" a="1"/>
  <c r="N937" i="8" s="1"/>
  <c r="M973" i="8" a="1"/>
  <c r="M973" i="8" s="1"/>
  <c r="L973" i="8" a="1"/>
  <c r="L973" i="8" s="1"/>
  <c r="K973" i="8" a="1"/>
  <c r="K973" i="8" s="1"/>
  <c r="N973" i="8" a="1"/>
  <c r="N973" i="8" s="1"/>
  <c r="N1148" i="8" a="1"/>
  <c r="N1148" i="8" s="1"/>
  <c r="L1148" i="8" a="1"/>
  <c r="L1148" i="8" s="1"/>
  <c r="K1148" i="8" a="1"/>
  <c r="K1148" i="8" s="1"/>
  <c r="M1148" i="8" a="1"/>
  <c r="M1148" i="8" s="1"/>
  <c r="M1182" i="8" a="1"/>
  <c r="M1182" i="8" s="1"/>
  <c r="L1182" i="8" a="1"/>
  <c r="L1182" i="8" s="1"/>
  <c r="K1182" i="8" a="1"/>
  <c r="K1182" i="8" s="1"/>
  <c r="N1182" i="8" a="1"/>
  <c r="N1182" i="8" s="1"/>
  <c r="K820" i="8" a="1"/>
  <c r="K820" i="8" s="1"/>
  <c r="M820" i="8" a="1"/>
  <c r="M820" i="8" s="1"/>
  <c r="N820" i="8" a="1"/>
  <c r="N820" i="8" s="1"/>
  <c r="L820" i="8" a="1"/>
  <c r="L820" i="8" s="1"/>
  <c r="L854" i="8" a="1"/>
  <c r="L854" i="8" s="1"/>
  <c r="N854" i="8" a="1"/>
  <c r="N854" i="8" s="1"/>
  <c r="M854" i="8" a="1"/>
  <c r="M854" i="8" s="1"/>
  <c r="K854" i="8" a="1"/>
  <c r="K854" i="8" s="1"/>
  <c r="K882" i="8" a="1"/>
  <c r="K882" i="8" s="1"/>
  <c r="M882" i="8" a="1"/>
  <c r="M882" i="8" s="1"/>
  <c r="N882" i="8" a="1"/>
  <c r="N882" i="8" s="1"/>
  <c r="L882" i="8" a="1"/>
  <c r="L882" i="8" s="1"/>
  <c r="M27" i="8" a="1"/>
  <c r="M27" i="8" s="1"/>
  <c r="L27" i="8" a="1"/>
  <c r="L27" i="8" s="1"/>
  <c r="K27" i="8" a="1"/>
  <c r="K27" i="8" s="1"/>
  <c r="N27" i="8" a="1"/>
  <c r="N27" i="8" s="1"/>
  <c r="M63" i="8" a="1"/>
  <c r="M63" i="8" s="1"/>
  <c r="N63" i="8" a="1"/>
  <c r="N63" i="8" s="1"/>
  <c r="K63" i="8" a="1"/>
  <c r="K63" i="8" s="1"/>
  <c r="L63" i="8" a="1"/>
  <c r="L63" i="8" s="1"/>
  <c r="M277" i="8" a="1"/>
  <c r="M277" i="8" s="1"/>
  <c r="N277" i="8" a="1"/>
  <c r="N277" i="8" s="1"/>
  <c r="L277" i="8" a="1"/>
  <c r="L277" i="8" s="1"/>
  <c r="K277" i="8" a="1"/>
  <c r="K277" i="8" s="1"/>
  <c r="L540" i="8" a="1"/>
  <c r="L540" i="8" s="1"/>
  <c r="K540" i="8" a="1"/>
  <c r="K540" i="8" s="1"/>
  <c r="M540" i="8" a="1"/>
  <c r="M540" i="8" s="1"/>
  <c r="N540" i="8" a="1"/>
  <c r="N540" i="8" s="1"/>
  <c r="L568" i="8" a="1"/>
  <c r="L568" i="8" s="1"/>
  <c r="N568" i="8" a="1"/>
  <c r="N568" i="8" s="1"/>
  <c r="M568" i="8" a="1"/>
  <c r="M568" i="8" s="1"/>
  <c r="K568" i="8" a="1"/>
  <c r="K568" i="8" s="1"/>
  <c r="M596" i="8" a="1"/>
  <c r="M596" i="8" s="1"/>
  <c r="K596" i="8" a="1"/>
  <c r="K596" i="8" s="1"/>
  <c r="N596" i="8" a="1"/>
  <c r="N596" i="8" s="1"/>
  <c r="L596" i="8" a="1"/>
  <c r="L596" i="8" s="1"/>
  <c r="N624" i="8" a="1"/>
  <c r="N624" i="8" s="1"/>
  <c r="K624" i="8" a="1"/>
  <c r="K624" i="8" s="1"/>
  <c r="M624" i="8" a="1"/>
  <c r="M624" i="8" s="1"/>
  <c r="L624" i="8" a="1"/>
  <c r="L624" i="8" s="1"/>
  <c r="L1042" i="8" a="1"/>
  <c r="L1042" i="8" s="1"/>
  <c r="N1042" i="8" a="1"/>
  <c r="N1042" i="8" s="1"/>
  <c r="K1042" i="8" a="1"/>
  <c r="K1042" i="8" s="1"/>
  <c r="M1042" i="8" a="1"/>
  <c r="M1042" i="8" s="1"/>
  <c r="K438" i="8" a="1"/>
  <c r="K438" i="8" s="1"/>
  <c r="M438" i="8" a="1"/>
  <c r="M438" i="8" s="1"/>
  <c r="L438" i="8" a="1"/>
  <c r="L438" i="8" s="1"/>
  <c r="N438" i="8" a="1"/>
  <c r="N438" i="8" s="1"/>
  <c r="M364" i="8" a="1"/>
  <c r="M364" i="8" s="1"/>
  <c r="L364" i="8" a="1"/>
  <c r="L364" i="8" s="1"/>
  <c r="K364" i="8" a="1"/>
  <c r="K364" i="8" s="1"/>
  <c r="N364" i="8" a="1"/>
  <c r="N364" i="8" s="1"/>
  <c r="N1037" i="8" a="1"/>
  <c r="N1037" i="8" s="1"/>
  <c r="K1037" i="8" a="1"/>
  <c r="K1037" i="8" s="1"/>
  <c r="L1037" i="8" a="1"/>
  <c r="L1037" i="8" s="1"/>
  <c r="M1037" i="8" a="1"/>
  <c r="M1037" i="8" s="1"/>
  <c r="L320" i="8" a="1"/>
  <c r="L320" i="8" s="1"/>
  <c r="K320" i="8" a="1"/>
  <c r="K320" i="8" s="1"/>
  <c r="M320" i="8" a="1"/>
  <c r="M320" i="8" s="1"/>
  <c r="N320" i="8" a="1"/>
  <c r="N320" i="8" s="1"/>
  <c r="K448" i="8" a="1"/>
  <c r="K448" i="8" s="1"/>
  <c r="L448" i="8" a="1"/>
  <c r="L448" i="8" s="1"/>
  <c r="N448" i="8" a="1"/>
  <c r="N448" i="8" s="1"/>
  <c r="M448" i="8" a="1"/>
  <c r="M448" i="8" s="1"/>
  <c r="M1013" i="8" a="1"/>
  <c r="M1013" i="8" s="1"/>
  <c r="L1013" i="8" a="1"/>
  <c r="L1013" i="8" s="1"/>
  <c r="K1013" i="8" a="1"/>
  <c r="K1013" i="8" s="1"/>
  <c r="N1013" i="8" a="1"/>
  <c r="N1013" i="8" s="1"/>
  <c r="N489" i="8" a="1"/>
  <c r="N489" i="8" s="1"/>
  <c r="K489" i="8" a="1"/>
  <c r="K489" i="8" s="1"/>
  <c r="M489" i="8" a="1"/>
  <c r="M489" i="8" s="1"/>
  <c r="L489" i="8" a="1"/>
  <c r="L489" i="8" s="1"/>
  <c r="N380" i="8" a="1"/>
  <c r="N380" i="8" s="1"/>
  <c r="K380" i="8" a="1"/>
  <c r="K380" i="8" s="1"/>
  <c r="M380" i="8" a="1"/>
  <c r="M380" i="8" s="1"/>
  <c r="L380" i="8" a="1"/>
  <c r="L380" i="8" s="1"/>
  <c r="N469" i="8" a="1"/>
  <c r="N469" i="8" s="1"/>
  <c r="L469" i="8" a="1"/>
  <c r="L469" i="8" s="1"/>
  <c r="M469" i="8" a="1"/>
  <c r="M469" i="8" s="1"/>
  <c r="K469" i="8" a="1"/>
  <c r="K469" i="8" s="1"/>
  <c r="K322" i="8" a="1"/>
  <c r="K322" i="8" s="1"/>
  <c r="L322" i="8" a="1"/>
  <c r="L322" i="8" s="1"/>
  <c r="M322" i="8" a="1"/>
  <c r="M322" i="8" s="1"/>
  <c r="N322" i="8" a="1"/>
  <c r="N322" i="8" s="1"/>
  <c r="M38" i="8" a="1"/>
  <c r="M38" i="8" s="1"/>
  <c r="L38" i="8" a="1"/>
  <c r="L38" i="8" s="1"/>
  <c r="N38" i="8" a="1"/>
  <c r="N38" i="8" s="1"/>
  <c r="K38" i="8" a="1"/>
  <c r="K38" i="8" s="1"/>
  <c r="K424" i="8" a="1"/>
  <c r="K424" i="8" s="1"/>
  <c r="L424" i="8" a="1"/>
  <c r="L424" i="8" s="1"/>
  <c r="N424" i="8" a="1"/>
  <c r="N424" i="8" s="1"/>
  <c r="M424" i="8" a="1"/>
  <c r="M424" i="8" s="1"/>
  <c r="L417" i="8" a="1"/>
  <c r="L417" i="8" s="1"/>
  <c r="M417" i="8" a="1"/>
  <c r="M417" i="8" s="1"/>
  <c r="N417" i="8" a="1"/>
  <c r="N417" i="8" s="1"/>
  <c r="K417" i="8" a="1"/>
  <c r="K417" i="8" s="1"/>
  <c r="L449" i="8" a="1"/>
  <c r="L449" i="8" s="1"/>
  <c r="N449" i="8" a="1"/>
  <c r="N449" i="8" s="1"/>
  <c r="K449" i="8" a="1"/>
  <c r="K449" i="8" s="1"/>
  <c r="M449" i="8" a="1"/>
  <c r="M449" i="8" s="1"/>
  <c r="K577" i="8" a="1"/>
  <c r="K577" i="8" s="1"/>
  <c r="M577" i="8" a="1"/>
  <c r="M577" i="8" s="1"/>
  <c r="L577" i="8" a="1"/>
  <c r="L577" i="8" s="1"/>
  <c r="N577" i="8" a="1"/>
  <c r="N577" i="8" s="1"/>
  <c r="M296" i="8" a="1"/>
  <c r="M296" i="8" s="1"/>
  <c r="K296" i="8" a="1"/>
  <c r="K296" i="8" s="1"/>
  <c r="L296" i="8" a="1"/>
  <c r="L296" i="8" s="1"/>
  <c r="N296" i="8" a="1"/>
  <c r="N296" i="8" s="1"/>
  <c r="N409" i="8" a="1"/>
  <c r="N409" i="8" s="1"/>
  <c r="M409" i="8" a="1"/>
  <c r="M409" i="8" s="1"/>
  <c r="K409" i="8" a="1"/>
  <c r="K409" i="8" s="1"/>
  <c r="L409" i="8" a="1"/>
  <c r="L409" i="8" s="1"/>
  <c r="M396" i="8" a="1"/>
  <c r="M396" i="8" s="1"/>
  <c r="K396" i="8" a="1"/>
  <c r="K396" i="8" s="1"/>
  <c r="L396" i="8" a="1"/>
  <c r="L396" i="8" s="1"/>
  <c r="N396" i="8" a="1"/>
  <c r="N396" i="8" s="1"/>
  <c r="M672" i="8" a="1"/>
  <c r="M672" i="8" s="1"/>
  <c r="K672" i="8" a="1"/>
  <c r="K672" i="8" s="1"/>
  <c r="L672" i="8" a="1"/>
  <c r="L672" i="8" s="1"/>
  <c r="N672" i="8" a="1"/>
  <c r="N672" i="8" s="1"/>
  <c r="N408" i="8" a="1"/>
  <c r="N408" i="8" s="1"/>
  <c r="M408" i="8" a="1"/>
  <c r="M408" i="8" s="1"/>
  <c r="K408" i="8" a="1"/>
  <c r="K408" i="8" s="1"/>
  <c r="L408" i="8" a="1"/>
  <c r="L408" i="8" s="1"/>
  <c r="N341" i="8" a="1"/>
  <c r="N341" i="8" s="1"/>
  <c r="M341" i="8" a="1"/>
  <c r="M341" i="8" s="1"/>
  <c r="L341" i="8" a="1"/>
  <c r="L341" i="8" s="1"/>
  <c r="K341" i="8" a="1"/>
  <c r="K341" i="8" s="1"/>
  <c r="M693" i="8" a="1"/>
  <c r="M693" i="8" s="1"/>
  <c r="L693" i="8" a="1"/>
  <c r="L693" i="8" s="1"/>
  <c r="N693" i="8" a="1"/>
  <c r="N693" i="8" s="1"/>
  <c r="K693" i="8" a="1"/>
  <c r="K693" i="8" s="1"/>
  <c r="M345" i="8" a="1"/>
  <c r="M345" i="8" s="1"/>
  <c r="L345" i="8" a="1"/>
  <c r="L345" i="8" s="1"/>
  <c r="K345" i="8" a="1"/>
  <c r="K345" i="8" s="1"/>
  <c r="N345" i="8" a="1"/>
  <c r="N345" i="8" s="1"/>
  <c r="L321" i="8" a="1"/>
  <c r="L321" i="8" s="1"/>
  <c r="M321" i="8" a="1"/>
  <c r="M321" i="8" s="1"/>
  <c r="N321" i="8" a="1"/>
  <c r="N321" i="8" s="1"/>
  <c r="K321" i="8" a="1"/>
  <c r="K321" i="8" s="1"/>
  <c r="M641" i="8" a="1"/>
  <c r="M641" i="8" s="1"/>
  <c r="N641" i="8" a="1"/>
  <c r="N641" i="8" s="1"/>
  <c r="K641" i="8" a="1"/>
  <c r="K641" i="8" s="1"/>
  <c r="L641" i="8" a="1"/>
  <c r="L641" i="8" s="1"/>
  <c r="K893" i="8" a="1"/>
  <c r="K893" i="8" s="1"/>
  <c r="M893" i="8" a="1"/>
  <c r="M893" i="8" s="1"/>
  <c r="N893" i="8" a="1"/>
  <c r="N893" i="8" s="1"/>
  <c r="L893" i="8" a="1"/>
  <c r="L893" i="8" s="1"/>
  <c r="M587" i="8" a="1"/>
  <c r="M587" i="8" s="1"/>
  <c r="K587" i="8" a="1"/>
  <c r="K587" i="8" s="1"/>
  <c r="N587" i="8" a="1"/>
  <c r="N587" i="8" s="1"/>
  <c r="L587" i="8" a="1"/>
  <c r="L587" i="8" s="1"/>
  <c r="K1004" i="8" a="1"/>
  <c r="K1004" i="8" s="1"/>
  <c r="M1004" i="8" a="1"/>
  <c r="M1004" i="8" s="1"/>
  <c r="L1004" i="8" a="1"/>
  <c r="L1004" i="8" s="1"/>
  <c r="N1004" i="8" a="1"/>
  <c r="N1004" i="8" s="1"/>
  <c r="L855" i="8" a="1"/>
  <c r="L855" i="8" s="1"/>
  <c r="K855" i="8" a="1"/>
  <c r="K855" i="8" s="1"/>
  <c r="N855" i="8" a="1"/>
  <c r="N855" i="8" s="1"/>
  <c r="M855" i="8" a="1"/>
  <c r="M855" i="8" s="1"/>
  <c r="N1196" i="8" a="1"/>
  <c r="N1196" i="8" s="1"/>
  <c r="L1196" i="8" a="1"/>
  <c r="L1196" i="8" s="1"/>
  <c r="K1196" i="8" a="1"/>
  <c r="K1196" i="8" s="1"/>
  <c r="M1196" i="8" a="1"/>
  <c r="M1196" i="8" s="1"/>
  <c r="M50" i="8" a="1"/>
  <c r="M50" i="8" s="1"/>
  <c r="L50" i="8" a="1"/>
  <c r="L50" i="8" s="1"/>
  <c r="K50" i="8" a="1"/>
  <c r="K50" i="8" s="1"/>
  <c r="N50" i="8" a="1"/>
  <c r="N50" i="8" s="1"/>
  <c r="K671" i="8" a="1"/>
  <c r="K671" i="8" s="1"/>
  <c r="M671" i="8" a="1"/>
  <c r="M671" i="8" s="1"/>
  <c r="L671" i="8" a="1"/>
  <c r="L671" i="8" s="1"/>
  <c r="N671" i="8" a="1"/>
  <c r="N671" i="8" s="1"/>
  <c r="M879" i="8" a="1"/>
  <c r="M879" i="8" s="1"/>
  <c r="L879" i="8" a="1"/>
  <c r="L879" i="8" s="1"/>
  <c r="N879" i="8" a="1"/>
  <c r="N879" i="8" s="1"/>
  <c r="K879" i="8" a="1"/>
  <c r="K879" i="8" s="1"/>
  <c r="M684" i="8" a="1"/>
  <c r="M684" i="8" s="1"/>
  <c r="N684" i="8" a="1"/>
  <c r="N684" i="8" s="1"/>
  <c r="K684" i="8" a="1"/>
  <c r="K684" i="8" s="1"/>
  <c r="L684" i="8" a="1"/>
  <c r="L684" i="8" s="1"/>
  <c r="M534" i="8" a="1"/>
  <c r="M534" i="8" s="1"/>
  <c r="L534" i="8" a="1"/>
  <c r="L534" i="8" s="1"/>
  <c r="N534" i="8" a="1"/>
  <c r="N534" i="8" s="1"/>
  <c r="K534" i="8" a="1"/>
  <c r="K534" i="8" s="1"/>
  <c r="N1129" i="8" a="1"/>
  <c r="N1129" i="8" s="1"/>
  <c r="K1129" i="8" a="1"/>
  <c r="K1129" i="8" s="1"/>
  <c r="L1129" i="8" a="1"/>
  <c r="L1129" i="8" s="1"/>
  <c r="M1129" i="8" a="1"/>
  <c r="M1129" i="8" s="1"/>
  <c r="K486" i="8" a="1"/>
  <c r="K486" i="8" s="1"/>
  <c r="L486" i="8" a="1"/>
  <c r="L486" i="8" s="1"/>
  <c r="M486" i="8" a="1"/>
  <c r="M486" i="8" s="1"/>
  <c r="N486" i="8" a="1"/>
  <c r="N486" i="8" s="1"/>
  <c r="M682" i="8" a="1"/>
  <c r="M682" i="8" s="1"/>
  <c r="N682" i="8" a="1"/>
  <c r="N682" i="8" s="1"/>
  <c r="L682" i="8" a="1"/>
  <c r="L682" i="8" s="1"/>
  <c r="K682" i="8" a="1"/>
  <c r="K682" i="8" s="1"/>
  <c r="L1119" i="8" a="1"/>
  <c r="L1119" i="8" s="1"/>
  <c r="K1119" i="8" a="1"/>
  <c r="K1119" i="8" s="1"/>
  <c r="M1119" i="8" a="1"/>
  <c r="M1119" i="8" s="1"/>
  <c r="N1119" i="8" a="1"/>
  <c r="N1119" i="8" s="1"/>
  <c r="N728" i="8" a="1"/>
  <c r="N728" i="8" s="1"/>
  <c r="L728" i="8" a="1"/>
  <c r="L728" i="8" s="1"/>
  <c r="K728" i="8" a="1"/>
  <c r="K728" i="8" s="1"/>
  <c r="M728" i="8" a="1"/>
  <c r="M728" i="8" s="1"/>
  <c r="K782" i="8" a="1"/>
  <c r="K782" i="8" s="1"/>
  <c r="N782" i="8" a="1"/>
  <c r="N782" i="8" s="1"/>
  <c r="M782" i="8" a="1"/>
  <c r="M782" i="8" s="1"/>
  <c r="L782" i="8" a="1"/>
  <c r="L782" i="8" s="1"/>
  <c r="L944" i="8" a="1"/>
  <c r="L944" i="8" s="1"/>
  <c r="M944" i="8" a="1"/>
  <c r="M944" i="8" s="1"/>
  <c r="K944" i="8" a="1"/>
  <c r="K944" i="8" s="1"/>
  <c r="N944" i="8" a="1"/>
  <c r="N944" i="8" s="1"/>
  <c r="M980" i="8" a="1"/>
  <c r="M980" i="8" s="1"/>
  <c r="K980" i="8" a="1"/>
  <c r="K980" i="8" s="1"/>
  <c r="L980" i="8" a="1"/>
  <c r="L980" i="8" s="1"/>
  <c r="N980" i="8" a="1"/>
  <c r="N980" i="8" s="1"/>
  <c r="N1155" i="8" a="1"/>
  <c r="N1155" i="8" s="1"/>
  <c r="K1155" i="8" a="1"/>
  <c r="K1155" i="8" s="1"/>
  <c r="M1155" i="8" a="1"/>
  <c r="M1155" i="8" s="1"/>
  <c r="L1155" i="8" a="1"/>
  <c r="L1155" i="8" s="1"/>
  <c r="N1187" i="8" a="1"/>
  <c r="N1187" i="8" s="1"/>
  <c r="L1187" i="8" a="1"/>
  <c r="L1187" i="8" s="1"/>
  <c r="M1187" i="8" a="1"/>
  <c r="M1187" i="8" s="1"/>
  <c r="K1187" i="8" a="1"/>
  <c r="K1187" i="8" s="1"/>
  <c r="N1192" i="8" a="1"/>
  <c r="N1192" i="8" s="1"/>
  <c r="L1192" i="8" a="1"/>
  <c r="L1192" i="8" s="1"/>
  <c r="K1192" i="8" a="1"/>
  <c r="K1192" i="8" s="1"/>
  <c r="M1192" i="8" a="1"/>
  <c r="M1192" i="8" s="1"/>
  <c r="L779" i="8" a="1"/>
  <c r="L779" i="8" s="1"/>
  <c r="M779" i="8" a="1"/>
  <c r="M779" i="8" s="1"/>
  <c r="N779" i="8" a="1"/>
  <c r="N779" i="8" s="1"/>
  <c r="K779" i="8" a="1"/>
  <c r="K779" i="8" s="1"/>
  <c r="M939" i="8" a="1"/>
  <c r="M939" i="8" s="1"/>
  <c r="K939" i="8" a="1"/>
  <c r="K939" i="8" s="1"/>
  <c r="N939" i="8" a="1"/>
  <c r="N939" i="8" s="1"/>
  <c r="L939" i="8" a="1"/>
  <c r="L939" i="8" s="1"/>
  <c r="L975" i="8" a="1"/>
  <c r="L975" i="8" s="1"/>
  <c r="N975" i="8" a="1"/>
  <c r="N975" i="8" s="1"/>
  <c r="K975" i="8" a="1"/>
  <c r="K975" i="8" s="1"/>
  <c r="M975" i="8" a="1"/>
  <c r="M975" i="8" s="1"/>
  <c r="K1150" i="8" a="1"/>
  <c r="K1150" i="8" s="1"/>
  <c r="M1150" i="8" a="1"/>
  <c r="M1150" i="8" s="1"/>
  <c r="L1150" i="8" a="1"/>
  <c r="L1150" i="8" s="1"/>
  <c r="N1150" i="8" a="1"/>
  <c r="N1150" i="8" s="1"/>
  <c r="L1184" i="8" a="1"/>
  <c r="L1184" i="8" s="1"/>
  <c r="M1184" i="8" a="1"/>
  <c r="M1184" i="8" s="1"/>
  <c r="K1184" i="8" a="1"/>
  <c r="K1184" i="8" s="1"/>
  <c r="N1184" i="8" a="1"/>
  <c r="N1184" i="8" s="1"/>
  <c r="K822" i="8" a="1"/>
  <c r="K822" i="8" s="1"/>
  <c r="N822" i="8" a="1"/>
  <c r="N822" i="8" s="1"/>
  <c r="M822" i="8" a="1"/>
  <c r="M822" i="8" s="1"/>
  <c r="L822" i="8" a="1"/>
  <c r="L822" i="8" s="1"/>
  <c r="M856" i="8" a="1"/>
  <c r="M856" i="8" s="1"/>
  <c r="N856" i="8" a="1"/>
  <c r="N856" i="8" s="1"/>
  <c r="K856" i="8" a="1"/>
  <c r="K856" i="8" s="1"/>
  <c r="L856" i="8" a="1"/>
  <c r="L856" i="8" s="1"/>
  <c r="M884" i="8" a="1"/>
  <c r="M884" i="8" s="1"/>
  <c r="K884" i="8" a="1"/>
  <c r="K884" i="8" s="1"/>
  <c r="N884" i="8" a="1"/>
  <c r="N884" i="8" s="1"/>
  <c r="L884" i="8" a="1"/>
  <c r="L884" i="8" s="1"/>
  <c r="L29" i="8" a="1"/>
  <c r="L29" i="8" s="1"/>
  <c r="K29" i="8" a="1"/>
  <c r="K29" i="8" s="1"/>
  <c r="M29" i="8" a="1"/>
  <c r="M29" i="8" s="1"/>
  <c r="N29" i="8" a="1"/>
  <c r="N29" i="8" s="1"/>
  <c r="M65" i="8" a="1"/>
  <c r="M65" i="8" s="1"/>
  <c r="K65" i="8" a="1"/>
  <c r="K65" i="8" s="1"/>
  <c r="L65" i="8" a="1"/>
  <c r="L65" i="8" s="1"/>
  <c r="N65" i="8" a="1"/>
  <c r="N65" i="8" s="1"/>
  <c r="N279" i="8" a="1"/>
  <c r="N279" i="8" s="1"/>
  <c r="L279" i="8" a="1"/>
  <c r="L279" i="8" s="1"/>
  <c r="M279" i="8" a="1"/>
  <c r="M279" i="8" s="1"/>
  <c r="K279" i="8" a="1"/>
  <c r="K279" i="8" s="1"/>
  <c r="M542" i="8" a="1"/>
  <c r="M542" i="8" s="1"/>
  <c r="K542" i="8" a="1"/>
  <c r="K542" i="8" s="1"/>
  <c r="N542" i="8" a="1"/>
  <c r="N542" i="8" s="1"/>
  <c r="L542" i="8" a="1"/>
  <c r="L542" i="8" s="1"/>
  <c r="L570" i="8" a="1"/>
  <c r="L570" i="8" s="1"/>
  <c r="K570" i="8" a="1"/>
  <c r="K570" i="8" s="1"/>
  <c r="M570" i="8" a="1"/>
  <c r="M570" i="8" s="1"/>
  <c r="N570" i="8" a="1"/>
  <c r="N570" i="8" s="1"/>
  <c r="M598" i="8" a="1"/>
  <c r="M598" i="8" s="1"/>
  <c r="K598" i="8" a="1"/>
  <c r="K598" i="8" s="1"/>
  <c r="N598" i="8" a="1"/>
  <c r="N598" i="8" s="1"/>
  <c r="L598" i="8" a="1"/>
  <c r="L598" i="8" s="1"/>
  <c r="M626" i="8" a="1"/>
  <c r="M626" i="8" s="1"/>
  <c r="L626" i="8" a="1"/>
  <c r="L626" i="8" s="1"/>
  <c r="N626" i="8" a="1"/>
  <c r="N626" i="8" s="1"/>
  <c r="K626" i="8" a="1"/>
  <c r="K626" i="8" s="1"/>
  <c r="L709" i="8" a="1"/>
  <c r="L709" i="8" s="1"/>
  <c r="M709" i="8" a="1"/>
  <c r="M709" i="8" s="1"/>
  <c r="N709" i="8" a="1"/>
  <c r="N709" i="8" s="1"/>
  <c r="K709" i="8" a="1"/>
  <c r="K709" i="8" s="1"/>
  <c r="K1044" i="8" a="1"/>
  <c r="K1044" i="8" s="1"/>
  <c r="N1044" i="8" a="1"/>
  <c r="N1044" i="8" s="1"/>
  <c r="M1044" i="8" a="1"/>
  <c r="M1044" i="8" s="1"/>
  <c r="L1044" i="8" a="1"/>
  <c r="L1044" i="8" s="1"/>
  <c r="K451" i="8" a="1"/>
  <c r="K451" i="8" s="1"/>
  <c r="M451" i="8" a="1"/>
  <c r="M451" i="8" s="1"/>
  <c r="L451" i="8" a="1"/>
  <c r="L451" i="8" s="1"/>
  <c r="N451" i="8" a="1"/>
  <c r="N451" i="8" s="1"/>
  <c r="N687" i="8" a="1"/>
  <c r="N687" i="8" s="1"/>
  <c r="M687" i="8" a="1"/>
  <c r="M687" i="8" s="1"/>
  <c r="K687" i="8" a="1"/>
  <c r="K687" i="8" s="1"/>
  <c r="L687" i="8" a="1"/>
  <c r="L687" i="8" s="1"/>
  <c r="K412" i="8" a="1"/>
  <c r="K412" i="8" s="1"/>
  <c r="N412" i="8" a="1"/>
  <c r="N412" i="8" s="1"/>
  <c r="L412" i="8" a="1"/>
  <c r="L412" i="8" s="1"/>
  <c r="M412" i="8" a="1"/>
  <c r="M412" i="8" s="1"/>
  <c r="K715" i="8" a="1"/>
  <c r="K715" i="8" s="1"/>
  <c r="L715" i="8" a="1"/>
  <c r="L715" i="8" s="1"/>
  <c r="N715" i="8" a="1"/>
  <c r="N715" i="8" s="1"/>
  <c r="M715" i="8" a="1"/>
  <c r="M715" i="8" s="1"/>
  <c r="K422" i="8" a="1"/>
  <c r="K422" i="8" s="1"/>
  <c r="M422" i="8" a="1"/>
  <c r="M422" i="8" s="1"/>
  <c r="L422" i="8" a="1"/>
  <c r="L422" i="8" s="1"/>
  <c r="N422" i="8" a="1"/>
  <c r="N422" i="8" s="1"/>
  <c r="N365" i="8" a="1"/>
  <c r="N365" i="8" s="1"/>
  <c r="L365" i="8" a="1"/>
  <c r="L365" i="8" s="1"/>
  <c r="K365" i="8" a="1"/>
  <c r="K365" i="8" s="1"/>
  <c r="M365" i="8" a="1"/>
  <c r="M365" i="8" s="1"/>
  <c r="N695" i="8" a="1"/>
  <c r="N695" i="8" s="1"/>
  <c r="L695" i="8" a="1"/>
  <c r="L695" i="8" s="1"/>
  <c r="M695" i="8" a="1"/>
  <c r="M695" i="8" s="1"/>
  <c r="K695" i="8" a="1"/>
  <c r="K695" i="8" s="1"/>
  <c r="L369" i="8" a="1"/>
  <c r="L369" i="8" s="1"/>
  <c r="M369" i="8" a="1"/>
  <c r="M369" i="8" s="1"/>
  <c r="K369" i="8" a="1"/>
  <c r="K369" i="8" s="1"/>
  <c r="N369" i="8" a="1"/>
  <c r="N369" i="8" s="1"/>
  <c r="N323" i="8" a="1"/>
  <c r="N323" i="8" s="1"/>
  <c r="M323" i="8" a="1"/>
  <c r="M323" i="8" s="1"/>
  <c r="L323" i="8" a="1"/>
  <c r="L323" i="8" s="1"/>
  <c r="K323" i="8" a="1"/>
  <c r="K323" i="8" s="1"/>
  <c r="K1002" i="8" a="1"/>
  <c r="K1002" i="8" s="1"/>
  <c r="M1002" i="8" a="1"/>
  <c r="M1002" i="8" s="1"/>
  <c r="L1002" i="8" a="1"/>
  <c r="L1002" i="8" s="1"/>
  <c r="N1002" i="8" a="1"/>
  <c r="N1002" i="8" s="1"/>
  <c r="N656" i="8" a="1"/>
  <c r="N656" i="8" s="1"/>
  <c r="M656" i="8" a="1"/>
  <c r="M656" i="8" s="1"/>
  <c r="K656" i="8" a="1"/>
  <c r="K656" i="8" s="1"/>
  <c r="L656" i="8" a="1"/>
  <c r="L656" i="8" s="1"/>
  <c r="M615" i="8" a="1"/>
  <c r="M615" i="8" s="1"/>
  <c r="N615" i="8" a="1"/>
  <c r="N615" i="8" s="1"/>
  <c r="K615" i="8" a="1"/>
  <c r="K615" i="8" s="1"/>
  <c r="L615" i="8" a="1"/>
  <c r="L615" i="8" s="1"/>
  <c r="N1053" i="8" a="1"/>
  <c r="N1053" i="8" s="1"/>
  <c r="L1053" i="8" a="1"/>
  <c r="L1053" i="8" s="1"/>
  <c r="K1053" i="8" a="1"/>
  <c r="K1053" i="8" s="1"/>
  <c r="M1053" i="8" a="1"/>
  <c r="M1053" i="8" s="1"/>
  <c r="N883" i="8" a="1"/>
  <c r="N883" i="8" s="1"/>
  <c r="K883" i="8" a="1"/>
  <c r="K883" i="8" s="1"/>
  <c r="M883" i="8" a="1"/>
  <c r="M883" i="8" s="1"/>
  <c r="L883" i="8" a="1"/>
  <c r="L883" i="8" s="1"/>
  <c r="N553" i="8" a="1"/>
  <c r="N553" i="8" s="1"/>
  <c r="L553" i="8" a="1"/>
  <c r="L553" i="8" s="1"/>
  <c r="K553" i="8" a="1"/>
  <c r="K553" i="8" s="1"/>
  <c r="M553" i="8" a="1"/>
  <c r="M553" i="8" s="1"/>
  <c r="M268" i="8" a="1"/>
  <c r="M268" i="8" s="1"/>
  <c r="L268" i="8" a="1"/>
  <c r="L268" i="8" s="1"/>
  <c r="N268" i="8" a="1"/>
  <c r="N268" i="8" s="1"/>
  <c r="K268" i="8" a="1"/>
  <c r="K268" i="8" s="1"/>
  <c r="M673" i="8" a="1"/>
  <c r="M673" i="8" s="1"/>
  <c r="L673" i="8" a="1"/>
  <c r="L673" i="8" s="1"/>
  <c r="N673" i="8" a="1"/>
  <c r="N673" i="8" s="1"/>
  <c r="K673" i="8" a="1"/>
  <c r="K673" i="8" s="1"/>
  <c r="M1011" i="8" a="1"/>
  <c r="M1011" i="8" s="1"/>
  <c r="N1011" i="8" a="1"/>
  <c r="N1011" i="8" s="1"/>
  <c r="K1011" i="8" a="1"/>
  <c r="K1011" i="8" s="1"/>
  <c r="L1011" i="8" a="1"/>
  <c r="L1011" i="8" s="1"/>
  <c r="N545" i="8" a="1"/>
  <c r="N545" i="8" s="1"/>
  <c r="L545" i="8" a="1"/>
  <c r="L545" i="8" s="1"/>
  <c r="M545" i="8" a="1"/>
  <c r="M545" i="8" s="1"/>
  <c r="K545" i="8" a="1"/>
  <c r="K545" i="8" s="1"/>
  <c r="L452" i="8" a="1"/>
  <c r="L452" i="8" s="1"/>
  <c r="K452" i="8" a="1"/>
  <c r="K452" i="8" s="1"/>
  <c r="M452" i="8" a="1"/>
  <c r="M452" i="8" s="1"/>
  <c r="N452" i="8" a="1"/>
  <c r="N452" i="8" s="1"/>
  <c r="L488" i="8" a="1"/>
  <c r="L488" i="8" s="1"/>
  <c r="M488" i="8" a="1"/>
  <c r="M488" i="8" s="1"/>
  <c r="K488" i="8" a="1"/>
  <c r="K488" i="8" s="1"/>
  <c r="N488" i="8" a="1"/>
  <c r="N488" i="8" s="1"/>
  <c r="M40" i="8" a="1"/>
  <c r="M40" i="8" s="1"/>
  <c r="L40" i="8" a="1"/>
  <c r="L40" i="8" s="1"/>
  <c r="N40" i="8" a="1"/>
  <c r="N40" i="8" s="1"/>
  <c r="K40" i="8" a="1"/>
  <c r="K40" i="8" s="1"/>
  <c r="M697" i="8" a="1"/>
  <c r="M697" i="8" s="1"/>
  <c r="K697" i="8" a="1"/>
  <c r="K697" i="8" s="1"/>
  <c r="L697" i="8" a="1"/>
  <c r="L697" i="8" s="1"/>
  <c r="N697" i="8" a="1"/>
  <c r="N697" i="8" s="1"/>
  <c r="K1121" i="8" a="1"/>
  <c r="K1121" i="8" s="1"/>
  <c r="L1121" i="8" a="1"/>
  <c r="L1121" i="8" s="1"/>
  <c r="M1121" i="8" a="1"/>
  <c r="M1121" i="8" s="1"/>
  <c r="N1121" i="8" a="1"/>
  <c r="N1121" i="8" s="1"/>
  <c r="L730" i="8" a="1"/>
  <c r="L730" i="8" s="1"/>
  <c r="N730" i="8" a="1"/>
  <c r="N730" i="8" s="1"/>
  <c r="K730" i="8" a="1"/>
  <c r="K730" i="8" s="1"/>
  <c r="M730" i="8" a="1"/>
  <c r="M730" i="8" s="1"/>
  <c r="M950" i="8" a="1"/>
  <c r="M950" i="8" s="1"/>
  <c r="N950" i="8" a="1"/>
  <c r="N950" i="8" s="1"/>
  <c r="L950" i="8" a="1"/>
  <c r="L950" i="8" s="1"/>
  <c r="K950" i="8" a="1"/>
  <c r="K950" i="8" s="1"/>
  <c r="K982" i="8" a="1"/>
  <c r="K982" i="8" s="1"/>
  <c r="N982" i="8" a="1"/>
  <c r="N982" i="8" s="1"/>
  <c r="M982" i="8" a="1"/>
  <c r="M982" i="8" s="1"/>
  <c r="L982" i="8" a="1"/>
  <c r="L982" i="8" s="1"/>
  <c r="L1157" i="8" a="1"/>
  <c r="L1157" i="8" s="1"/>
  <c r="M1157" i="8" a="1"/>
  <c r="M1157" i="8" s="1"/>
  <c r="N1157" i="8" a="1"/>
  <c r="N1157" i="8" s="1"/>
  <c r="K1157" i="8" a="1"/>
  <c r="K1157" i="8" s="1"/>
  <c r="M941" i="8" a="1"/>
  <c r="M941" i="8" s="1"/>
  <c r="N941" i="8" a="1"/>
  <c r="N941" i="8" s="1"/>
  <c r="K941" i="8" a="1"/>
  <c r="K941" i="8" s="1"/>
  <c r="L941" i="8" a="1"/>
  <c r="L941" i="8" s="1"/>
  <c r="M979" i="8" a="1"/>
  <c r="M979" i="8" s="1"/>
  <c r="N979" i="8" a="1"/>
  <c r="N979" i="8" s="1"/>
  <c r="L979" i="8" a="1"/>
  <c r="L979" i="8" s="1"/>
  <c r="K979" i="8" a="1"/>
  <c r="K979" i="8" s="1"/>
  <c r="L1152" i="8" a="1"/>
  <c r="L1152" i="8" s="1"/>
  <c r="N1152" i="8" a="1"/>
  <c r="N1152" i="8" s="1"/>
  <c r="M1152" i="8" a="1"/>
  <c r="M1152" i="8" s="1"/>
  <c r="K1152" i="8" a="1"/>
  <c r="K1152" i="8" s="1"/>
  <c r="M1186" i="8" a="1"/>
  <c r="M1186" i="8" s="1"/>
  <c r="L1186" i="8" a="1"/>
  <c r="L1186" i="8" s="1"/>
  <c r="N1186" i="8" a="1"/>
  <c r="N1186" i="8" s="1"/>
  <c r="K1186" i="8" a="1"/>
  <c r="K1186" i="8" s="1"/>
  <c r="M824" i="8" a="1"/>
  <c r="M824" i="8" s="1"/>
  <c r="K824" i="8" a="1"/>
  <c r="K824" i="8" s="1"/>
  <c r="L824" i="8" a="1"/>
  <c r="L824" i="8" s="1"/>
  <c r="N824" i="8" a="1"/>
  <c r="N824" i="8" s="1"/>
  <c r="L858" i="8" a="1"/>
  <c r="L858" i="8" s="1"/>
  <c r="M858" i="8" a="1"/>
  <c r="M858" i="8" s="1"/>
  <c r="N858" i="8" a="1"/>
  <c r="N858" i="8" s="1"/>
  <c r="K858" i="8" a="1"/>
  <c r="K858" i="8" s="1"/>
  <c r="N888" i="8" a="1"/>
  <c r="N888" i="8" s="1"/>
  <c r="M888" i="8" a="1"/>
  <c r="M888" i="8" s="1"/>
  <c r="K888" i="8" a="1"/>
  <c r="K888" i="8" s="1"/>
  <c r="L888" i="8" a="1"/>
  <c r="L888" i="8" s="1"/>
  <c r="K31" i="8" a="1"/>
  <c r="K31" i="8" s="1"/>
  <c r="L31" i="8" a="1"/>
  <c r="L31" i="8" s="1"/>
  <c r="M31" i="8" a="1"/>
  <c r="M31" i="8" s="1"/>
  <c r="N31" i="8" a="1"/>
  <c r="N31" i="8" s="1"/>
  <c r="L67" i="8" a="1"/>
  <c r="L67" i="8" s="1"/>
  <c r="M67" i="8" a="1"/>
  <c r="M67" i="8" s="1"/>
  <c r="K67" i="8" a="1"/>
  <c r="K67" i="8" s="1"/>
  <c r="N67" i="8" a="1"/>
  <c r="N67" i="8" s="1"/>
  <c r="M281" i="8" a="1"/>
  <c r="M281" i="8" s="1"/>
  <c r="N281" i="8" a="1"/>
  <c r="N281" i="8" s="1"/>
  <c r="L281" i="8" a="1"/>
  <c r="L281" i="8" s="1"/>
  <c r="K281" i="8" a="1"/>
  <c r="K281" i="8" s="1"/>
  <c r="L544" i="8" a="1"/>
  <c r="L544" i="8" s="1"/>
  <c r="N544" i="8" a="1"/>
  <c r="N544" i="8" s="1"/>
  <c r="M544" i="8" a="1"/>
  <c r="M544" i="8" s="1"/>
  <c r="K544" i="8" a="1"/>
  <c r="K544" i="8" s="1"/>
  <c r="N572" i="8" a="1"/>
  <c r="N572" i="8" s="1"/>
  <c r="M572" i="8" a="1"/>
  <c r="M572" i="8" s="1"/>
  <c r="K572" i="8" a="1"/>
  <c r="K572" i="8" s="1"/>
  <c r="L572" i="8" a="1"/>
  <c r="L572" i="8" s="1"/>
  <c r="N600" i="8" a="1"/>
  <c r="N600" i="8" s="1"/>
  <c r="K600" i="8" a="1"/>
  <c r="K600" i="8" s="1"/>
  <c r="M600" i="8" a="1"/>
  <c r="M600" i="8" s="1"/>
  <c r="L600" i="8" a="1"/>
  <c r="L600" i="8" s="1"/>
  <c r="K628" i="8" a="1"/>
  <c r="K628" i="8" s="1"/>
  <c r="M628" i="8" a="1"/>
  <c r="M628" i="8" s="1"/>
  <c r="L628" i="8" a="1"/>
  <c r="L628" i="8" s="1"/>
  <c r="N628" i="8" a="1"/>
  <c r="N628" i="8" s="1"/>
  <c r="L1052" i="8" a="1"/>
  <c r="L1052" i="8" s="1"/>
  <c r="K1052" i="8" a="1"/>
  <c r="K1052" i="8" s="1"/>
  <c r="N1052" i="8" a="1"/>
  <c r="N1052" i="8" s="1"/>
  <c r="M1052" i="8" a="1"/>
  <c r="M1052" i="8" s="1"/>
  <c r="L70" i="8" a="1"/>
  <c r="L70" i="8" s="1"/>
  <c r="N70" i="8" a="1"/>
  <c r="N70" i="8" s="1"/>
  <c r="M70" i="8" a="1"/>
  <c r="M70" i="8" s="1"/>
  <c r="K70" i="8" a="1"/>
  <c r="K70" i="8" s="1"/>
  <c r="K432" i="8" a="1"/>
  <c r="K432" i="8" s="1"/>
  <c r="N432" i="8" a="1"/>
  <c r="N432" i="8" s="1"/>
  <c r="M432" i="8" a="1"/>
  <c r="M432" i="8" s="1"/>
  <c r="L432" i="8" a="1"/>
  <c r="L432" i="8" s="1"/>
  <c r="M334" i="8" a="1"/>
  <c r="M334" i="8" s="1"/>
  <c r="L334" i="8" a="1"/>
  <c r="L334" i="8" s="1"/>
  <c r="K334" i="8" a="1"/>
  <c r="K334" i="8" s="1"/>
  <c r="N334" i="8" a="1"/>
  <c r="N334" i="8" s="1"/>
  <c r="M324" i="8" a="1"/>
  <c r="M324" i="8" s="1"/>
  <c r="K324" i="8" a="1"/>
  <c r="K324" i="8" s="1"/>
  <c r="L324" i="8" a="1"/>
  <c r="L324" i="8" s="1"/>
  <c r="N324" i="8" a="1"/>
  <c r="N324" i="8" s="1"/>
  <c r="L306" i="8" a="1"/>
  <c r="L306" i="8" s="1"/>
  <c r="M306" i="8" a="1"/>
  <c r="M306" i="8" s="1"/>
  <c r="N306" i="8" a="1"/>
  <c r="N306" i="8" s="1"/>
  <c r="K306" i="8" a="1"/>
  <c r="K306" i="8" s="1"/>
  <c r="L666" i="8" a="1"/>
  <c r="L666" i="8" s="1"/>
  <c r="N666" i="8" a="1"/>
  <c r="N666" i="8" s="1"/>
  <c r="M666" i="8" a="1"/>
  <c r="M666" i="8" s="1"/>
  <c r="K666" i="8" a="1"/>
  <c r="K666" i="8" s="1"/>
  <c r="M619" i="8" a="1"/>
  <c r="M619" i="8" s="1"/>
  <c r="N619" i="8" a="1"/>
  <c r="N619" i="8" s="1"/>
  <c r="K619" i="8" a="1"/>
  <c r="K619" i="8" s="1"/>
  <c r="L619" i="8" a="1"/>
  <c r="L619" i="8" s="1"/>
  <c r="K434" i="8" a="1"/>
  <c r="K434" i="8" s="1"/>
  <c r="N434" i="8" a="1"/>
  <c r="N434" i="8" s="1"/>
  <c r="L434" i="8" a="1"/>
  <c r="L434" i="8" s="1"/>
  <c r="M434" i="8" a="1"/>
  <c r="M434" i="8" s="1"/>
  <c r="N419" i="8" a="1"/>
  <c r="N419" i="8" s="1"/>
  <c r="K419" i="8" a="1"/>
  <c r="K419" i="8" s="1"/>
  <c r="L419" i="8" a="1"/>
  <c r="L419" i="8" s="1"/>
  <c r="M419" i="8" a="1"/>
  <c r="M419" i="8" s="1"/>
  <c r="L276" i="8" a="1"/>
  <c r="L276" i="8" s="1"/>
  <c r="K276" i="8" a="1"/>
  <c r="K276" i="8" s="1"/>
  <c r="M276" i="8" a="1"/>
  <c r="M276" i="8" s="1"/>
  <c r="N276" i="8" a="1"/>
  <c r="N276" i="8" s="1"/>
  <c r="L863" i="8" a="1"/>
  <c r="L863" i="8" s="1"/>
  <c r="M863" i="8" a="1"/>
  <c r="M863" i="8" s="1"/>
  <c r="K863" i="8" a="1"/>
  <c r="K863" i="8" s="1"/>
  <c r="N863" i="8" a="1"/>
  <c r="N863" i="8" s="1"/>
  <c r="K366" i="8" a="1"/>
  <c r="K366" i="8" s="1"/>
  <c r="N366" i="8" a="1"/>
  <c r="N366" i="8" s="1"/>
  <c r="M366" i="8" a="1"/>
  <c r="M366" i="8" s="1"/>
  <c r="L366" i="8" a="1"/>
  <c r="L366" i="8" s="1"/>
  <c r="K326" i="8" a="1"/>
  <c r="K326" i="8" s="1"/>
  <c r="L326" i="8" a="1"/>
  <c r="L326" i="8" s="1"/>
  <c r="M326" i="8" a="1"/>
  <c r="M326" i="8" s="1"/>
  <c r="N326" i="8" a="1"/>
  <c r="N326" i="8" s="1"/>
  <c r="N344" i="8" a="1"/>
  <c r="N344" i="8" s="1"/>
  <c r="M344" i="8" a="1"/>
  <c r="M344" i="8" s="1"/>
  <c r="L344" i="8" a="1"/>
  <c r="L344" i="8" s="1"/>
  <c r="K344" i="8" a="1"/>
  <c r="K344" i="8" s="1"/>
  <c r="K662" i="8" a="1"/>
  <c r="K662" i="8" s="1"/>
  <c r="N662" i="8" a="1"/>
  <c r="N662" i="8" s="1"/>
  <c r="L662" i="8" a="1"/>
  <c r="L662" i="8" s="1"/>
  <c r="M662" i="8" a="1"/>
  <c r="M662" i="8" s="1"/>
  <c r="N421" i="8" a="1"/>
  <c r="N421" i="8" s="1"/>
  <c r="L421" i="8" a="1"/>
  <c r="L421" i="8" s="1"/>
  <c r="K421" i="8" a="1"/>
  <c r="K421" i="8" s="1"/>
  <c r="M421" i="8" a="1"/>
  <c r="M421" i="8" s="1"/>
  <c r="M487" i="8" a="1"/>
  <c r="M487" i="8" s="1"/>
  <c r="L487" i="8" a="1"/>
  <c r="L487" i="8" s="1"/>
  <c r="N487" i="8" a="1"/>
  <c r="N487" i="8" s="1"/>
  <c r="K487" i="8" a="1"/>
  <c r="K487" i="8" s="1"/>
  <c r="N537" i="8" a="1"/>
  <c r="N537" i="8" s="1"/>
  <c r="L537" i="8" a="1"/>
  <c r="L537" i="8" s="1"/>
  <c r="K537" i="8" a="1"/>
  <c r="K537" i="8" s="1"/>
  <c r="M537" i="8" a="1"/>
  <c r="M537" i="8" s="1"/>
  <c r="N485" i="8" a="1"/>
  <c r="N485" i="8" s="1"/>
  <c r="M485" i="8" a="1"/>
  <c r="M485" i="8" s="1"/>
  <c r="K485" i="8" a="1"/>
  <c r="K485" i="8" s="1"/>
  <c r="L485" i="8" a="1"/>
  <c r="L485" i="8" s="1"/>
  <c r="K426" i="8" a="1"/>
  <c r="K426" i="8" s="1"/>
  <c r="N426" i="8" a="1"/>
  <c r="N426" i="8" s="1"/>
  <c r="L426" i="8" a="1"/>
  <c r="L426" i="8" s="1"/>
  <c r="M426" i="8" a="1"/>
  <c r="M426" i="8" s="1"/>
  <c r="M428" i="8" a="1"/>
  <c r="M428" i="8" s="1"/>
  <c r="K428" i="8" a="1"/>
  <c r="K428" i="8" s="1"/>
  <c r="L428" i="8" a="1"/>
  <c r="L428" i="8" s="1"/>
  <c r="N428" i="8" a="1"/>
  <c r="N428" i="8" s="1"/>
  <c r="N371" i="8" a="1"/>
  <c r="N371" i="8" s="1"/>
  <c r="K371" i="8" a="1"/>
  <c r="K371" i="8" s="1"/>
  <c r="M371" i="8" a="1"/>
  <c r="M371" i="8" s="1"/>
  <c r="L371" i="8" a="1"/>
  <c r="L371" i="8" s="1"/>
  <c r="L381" i="8" a="1"/>
  <c r="L381" i="8" s="1"/>
  <c r="K381" i="8" a="1"/>
  <c r="K381" i="8" s="1"/>
  <c r="M381" i="8" a="1"/>
  <c r="M381" i="8" s="1"/>
  <c r="N381" i="8" a="1"/>
  <c r="N381" i="8" s="1"/>
  <c r="N325" i="8" a="1"/>
  <c r="N325" i="8" s="1"/>
  <c r="L325" i="8" a="1"/>
  <c r="L325" i="8" s="1"/>
  <c r="K325" i="8" a="1"/>
  <c r="K325" i="8" s="1"/>
  <c r="M325" i="8" a="1"/>
  <c r="M325" i="8" s="1"/>
  <c r="K1023" i="8" a="1"/>
  <c r="K1023" i="8" s="1"/>
  <c r="N1023" i="8" a="1"/>
  <c r="N1023" i="8" s="1"/>
  <c r="M1023" i="8" a="1"/>
  <c r="M1023" i="8" s="1"/>
  <c r="L1023" i="8" a="1"/>
  <c r="L1023" i="8" s="1"/>
  <c r="K914" i="8" a="1"/>
  <c r="K914" i="8" s="1"/>
  <c r="L914" i="8" a="1"/>
  <c r="L914" i="8" s="1"/>
  <c r="M914" i="8" a="1"/>
  <c r="M914" i="8" s="1"/>
  <c r="N914" i="8" a="1"/>
  <c r="N914" i="8" s="1"/>
  <c r="N639" i="8" a="1"/>
  <c r="N639" i="8" s="1"/>
  <c r="M639" i="8" a="1"/>
  <c r="M639" i="8" s="1"/>
  <c r="L639" i="8" a="1"/>
  <c r="L639" i="8" s="1"/>
  <c r="K639" i="8" a="1"/>
  <c r="K639" i="8" s="1"/>
  <c r="N1103" i="8" a="1"/>
  <c r="N1103" i="8" s="1"/>
  <c r="L1103" i="8" a="1"/>
  <c r="L1103" i="8" s="1"/>
  <c r="K1103" i="8" a="1"/>
  <c r="K1103" i="8" s="1"/>
  <c r="M1103" i="8" a="1"/>
  <c r="M1103" i="8" s="1"/>
  <c r="N998" i="8" a="1"/>
  <c r="N998" i="8" s="1"/>
  <c r="M998" i="8" a="1"/>
  <c r="M998" i="8" s="1"/>
  <c r="K998" i="8" a="1"/>
  <c r="K998" i="8" s="1"/>
  <c r="L998" i="8" a="1"/>
  <c r="L998" i="8" s="1"/>
  <c r="M581" i="8" a="1"/>
  <c r="M581" i="8" s="1"/>
  <c r="L581" i="8" a="1"/>
  <c r="L581" i="8" s="1"/>
  <c r="N581" i="8" a="1"/>
  <c r="N581" i="8" s="1"/>
  <c r="K581" i="8" a="1"/>
  <c r="K581" i="8" s="1"/>
  <c r="N300" i="8" a="1"/>
  <c r="N300" i="8" s="1"/>
  <c r="L300" i="8" a="1"/>
  <c r="L300" i="8" s="1"/>
  <c r="K300" i="8" a="1"/>
  <c r="K300" i="8" s="1"/>
  <c r="M300" i="8" a="1"/>
  <c r="M300" i="8" s="1"/>
  <c r="N677" i="8" a="1"/>
  <c r="N677" i="8" s="1"/>
  <c r="K677" i="8" a="1"/>
  <c r="K677" i="8" s="1"/>
  <c r="L677" i="8" a="1"/>
  <c r="L677" i="8" s="1"/>
  <c r="M677" i="8" a="1"/>
  <c r="M677" i="8" s="1"/>
  <c r="N1039" i="8" a="1"/>
  <c r="N1039" i="8" s="1"/>
  <c r="K1039" i="8" a="1"/>
  <c r="K1039" i="8" s="1"/>
  <c r="M1039" i="8" a="1"/>
  <c r="M1039" i="8" s="1"/>
  <c r="L1039" i="8" a="1"/>
  <c r="L1039" i="8" s="1"/>
  <c r="N723" i="8" a="1"/>
  <c r="N723" i="8" s="1"/>
  <c r="L723" i="8" a="1"/>
  <c r="L723" i="8" s="1"/>
  <c r="M723" i="8" a="1"/>
  <c r="M723" i="8" s="1"/>
  <c r="K723" i="8" a="1"/>
  <c r="K723" i="8" s="1"/>
  <c r="L573" i="8" a="1"/>
  <c r="L573" i="8" s="1"/>
  <c r="M573" i="8" a="1"/>
  <c r="M573" i="8" s="1"/>
  <c r="K573" i="8" a="1"/>
  <c r="K573" i="8" s="1"/>
  <c r="N573" i="8" a="1"/>
  <c r="N573" i="8" s="1"/>
  <c r="K454" i="8" a="1"/>
  <c r="K454" i="8" s="1"/>
  <c r="M454" i="8" a="1"/>
  <c r="M454" i="8" s="1"/>
  <c r="L454" i="8" a="1"/>
  <c r="L454" i="8" s="1"/>
  <c r="N454" i="8" a="1"/>
  <c r="N454" i="8" s="1"/>
  <c r="N490" i="8" a="1"/>
  <c r="N490" i="8" s="1"/>
  <c r="L490" i="8" a="1"/>
  <c r="L490" i="8" s="1"/>
  <c r="M490" i="8" a="1"/>
  <c r="M490" i="8" s="1"/>
  <c r="K490" i="8" a="1"/>
  <c r="K490" i="8" s="1"/>
  <c r="N719" i="8" a="1"/>
  <c r="N719" i="8" s="1"/>
  <c r="M719" i="8" a="1"/>
  <c r="M719" i="8" s="1"/>
  <c r="L719" i="8" a="1"/>
  <c r="L719" i="8" s="1"/>
  <c r="K719" i="8" a="1"/>
  <c r="K719" i="8" s="1"/>
  <c r="N72" i="8" a="1"/>
  <c r="N72" i="8" s="1"/>
  <c r="M72" i="8" a="1"/>
  <c r="M72" i="8" s="1"/>
  <c r="L72" i="8" a="1"/>
  <c r="L72" i="8" s="1"/>
  <c r="K72" i="8" a="1"/>
  <c r="K72" i="8" s="1"/>
  <c r="M679" i="8" a="1"/>
  <c r="M679" i="8" s="1"/>
  <c r="L679" i="8" a="1"/>
  <c r="L679" i="8" s="1"/>
  <c r="K679" i="8" a="1"/>
  <c r="K679" i="8" s="1"/>
  <c r="N679" i="8" a="1"/>
  <c r="N679" i="8" s="1"/>
  <c r="L732" i="8" a="1"/>
  <c r="L732" i="8" s="1"/>
  <c r="K732" i="8" a="1"/>
  <c r="K732" i="8" s="1"/>
  <c r="M732" i="8" a="1"/>
  <c r="M732" i="8" s="1"/>
  <c r="N732" i="8" a="1"/>
  <c r="N732" i="8" s="1"/>
  <c r="K897" i="8" a="1"/>
  <c r="K897" i="8" s="1"/>
  <c r="L897" i="8" a="1"/>
  <c r="L897" i="8" s="1"/>
  <c r="N897" i="8" a="1"/>
  <c r="N897" i="8" s="1"/>
  <c r="M897" i="8" a="1"/>
  <c r="M897" i="8" s="1"/>
  <c r="N952" i="8" a="1"/>
  <c r="N952" i="8" s="1"/>
  <c r="L952" i="8" a="1"/>
  <c r="L952" i="8" s="1"/>
  <c r="K952" i="8" a="1"/>
  <c r="K952" i="8" s="1"/>
  <c r="M952" i="8" a="1"/>
  <c r="M952" i="8" s="1"/>
  <c r="L984" i="8" a="1"/>
  <c r="L984" i="8" s="1"/>
  <c r="M984" i="8" a="1"/>
  <c r="M984" i="8" s="1"/>
  <c r="N984" i="8" a="1"/>
  <c r="N984" i="8" s="1"/>
  <c r="K984" i="8" a="1"/>
  <c r="K984" i="8" s="1"/>
  <c r="K1159" i="8" a="1"/>
  <c r="K1159" i="8" s="1"/>
  <c r="N1159" i="8" a="1"/>
  <c r="N1159" i="8" s="1"/>
  <c r="M1159" i="8" a="1"/>
  <c r="M1159" i="8" s="1"/>
  <c r="L1159" i="8" a="1"/>
  <c r="L1159" i="8" s="1"/>
  <c r="L729" i="8" a="1"/>
  <c r="L729" i="8" s="1"/>
  <c r="M729" i="8" a="1"/>
  <c r="M729" i="8" s="1"/>
  <c r="N729" i="8" a="1"/>
  <c r="N729" i="8" s="1"/>
  <c r="K729" i="8" a="1"/>
  <c r="K729" i="8" s="1"/>
  <c r="N943" i="8" a="1"/>
  <c r="N943" i="8" s="1"/>
  <c r="L943" i="8" a="1"/>
  <c r="L943" i="8" s="1"/>
  <c r="M943" i="8" a="1"/>
  <c r="M943" i="8" s="1"/>
  <c r="K943" i="8" a="1"/>
  <c r="K943" i="8" s="1"/>
  <c r="M983" i="8" a="1"/>
  <c r="M983" i="8" s="1"/>
  <c r="L983" i="8" a="1"/>
  <c r="L983" i="8" s="1"/>
  <c r="K983" i="8" a="1"/>
  <c r="K983" i="8" s="1"/>
  <c r="N983" i="8" a="1"/>
  <c r="N983" i="8" s="1"/>
  <c r="K1154" i="8" a="1"/>
  <c r="K1154" i="8" s="1"/>
  <c r="N1154" i="8" a="1"/>
  <c r="N1154" i="8" s="1"/>
  <c r="L1154" i="8" a="1"/>
  <c r="L1154" i="8" s="1"/>
  <c r="M1154" i="8" a="1"/>
  <c r="M1154" i="8" s="1"/>
  <c r="L1188" i="8" a="1"/>
  <c r="L1188" i="8" s="1"/>
  <c r="N1188" i="8" a="1"/>
  <c r="N1188" i="8" s="1"/>
  <c r="K1188" i="8" a="1"/>
  <c r="K1188" i="8" s="1"/>
  <c r="M1188" i="8" a="1"/>
  <c r="M1188" i="8" s="1"/>
  <c r="M832" i="8" a="1"/>
  <c r="M832" i="8" s="1"/>
  <c r="L832" i="8" a="1"/>
  <c r="L832" i="8" s="1"/>
  <c r="K832" i="8" a="1"/>
  <c r="K832" i="8" s="1"/>
  <c r="N832" i="8" a="1"/>
  <c r="N832" i="8" s="1"/>
  <c r="M860" i="8" a="1"/>
  <c r="M860" i="8" s="1"/>
  <c r="N860" i="8" a="1"/>
  <c r="N860" i="8" s="1"/>
  <c r="K860" i="8" a="1"/>
  <c r="K860" i="8" s="1"/>
  <c r="L860" i="8" a="1"/>
  <c r="L860" i="8" s="1"/>
  <c r="K890" i="8" a="1"/>
  <c r="K890" i="8" s="1"/>
  <c r="N890" i="8" a="1"/>
  <c r="N890" i="8" s="1"/>
  <c r="M890" i="8" a="1"/>
  <c r="M890" i="8" s="1"/>
  <c r="L890" i="8" a="1"/>
  <c r="L890" i="8" s="1"/>
  <c r="L37" i="8" a="1"/>
  <c r="L37" i="8" s="1"/>
  <c r="M37" i="8" a="1"/>
  <c r="M37" i="8" s="1"/>
  <c r="K37" i="8" a="1"/>
  <c r="K37" i="8" s="1"/>
  <c r="N37" i="8" a="1"/>
  <c r="N37" i="8" s="1"/>
  <c r="K69" i="8" a="1"/>
  <c r="K69" i="8" s="1"/>
  <c r="L69" i="8" a="1"/>
  <c r="L69" i="8" s="1"/>
  <c r="M69" i="8" a="1"/>
  <c r="M69" i="8" s="1"/>
  <c r="N69" i="8" a="1"/>
  <c r="N69" i="8" s="1"/>
  <c r="N285" i="8" a="1"/>
  <c r="N285" i="8" s="1"/>
  <c r="K285" i="8" a="1"/>
  <c r="K285" i="8" s="1"/>
  <c r="M285" i="8" a="1"/>
  <c r="M285" i="8" s="1"/>
  <c r="L285" i="8" a="1"/>
  <c r="L285" i="8" s="1"/>
  <c r="L546" i="8" a="1"/>
  <c r="L546" i="8" s="1"/>
  <c r="M546" i="8" a="1"/>
  <c r="M546" i="8" s="1"/>
  <c r="K546" i="8" a="1"/>
  <c r="K546" i="8" s="1"/>
  <c r="N546" i="8" a="1"/>
  <c r="N546" i="8" s="1"/>
  <c r="N574" i="8" a="1"/>
  <c r="N574" i="8" s="1"/>
  <c r="L574" i="8" a="1"/>
  <c r="L574" i="8" s="1"/>
  <c r="K574" i="8" a="1"/>
  <c r="K574" i="8" s="1"/>
  <c r="M574" i="8" a="1"/>
  <c r="M574" i="8" s="1"/>
  <c r="L602" i="8" a="1"/>
  <c r="L602" i="8" s="1"/>
  <c r="M602" i="8" a="1"/>
  <c r="M602" i="8" s="1"/>
  <c r="K602" i="8" a="1"/>
  <c r="K602" i="8" s="1"/>
  <c r="N602" i="8" a="1"/>
  <c r="N602" i="8" s="1"/>
  <c r="M630" i="8" a="1"/>
  <c r="M630" i="8" s="1"/>
  <c r="N630" i="8" a="1"/>
  <c r="N630" i="8" s="1"/>
  <c r="K630" i="8" a="1"/>
  <c r="K630" i="8" s="1"/>
  <c r="L630" i="8" a="1"/>
  <c r="L630" i="8" s="1"/>
  <c r="K798" i="8" a="1"/>
  <c r="K798" i="8" s="1"/>
  <c r="L798" i="8" a="1"/>
  <c r="L798" i="8" s="1"/>
  <c r="N798" i="8" a="1"/>
  <c r="N798" i="8" s="1"/>
  <c r="M798" i="8" a="1"/>
  <c r="M798" i="8" s="1"/>
  <c r="M536" i="8" a="1"/>
  <c r="M536" i="8" s="1"/>
  <c r="K536" i="8" a="1"/>
  <c r="K536" i="8" s="1"/>
  <c r="N536" i="8" a="1"/>
  <c r="N536" i="8" s="1"/>
  <c r="L536" i="8" a="1"/>
  <c r="L536" i="8" s="1"/>
  <c r="L1014" i="8" a="1"/>
  <c r="L1014" i="8" s="1"/>
  <c r="K1014" i="8" a="1"/>
  <c r="K1014" i="8" s="1"/>
  <c r="M1014" i="8" a="1"/>
  <c r="M1014" i="8" s="1"/>
  <c r="N1014" i="8" a="1"/>
  <c r="N1014" i="8" s="1"/>
  <c r="N1104" i="8" a="1"/>
  <c r="N1104" i="8" s="1"/>
  <c r="M1104" i="8" a="1"/>
  <c r="M1104" i="8" s="1"/>
  <c r="K1104" i="8" a="1"/>
  <c r="K1104" i="8" s="1"/>
  <c r="L1104" i="8" a="1"/>
  <c r="L1104" i="8" s="1"/>
  <c r="K465" i="8" a="1"/>
  <c r="K465" i="8" s="1"/>
  <c r="L465" i="8" a="1"/>
  <c r="L465" i="8" s="1"/>
  <c r="N465" i="8" a="1"/>
  <c r="N465" i="8" s="1"/>
  <c r="M465" i="8" a="1"/>
  <c r="M465" i="8" s="1"/>
  <c r="K274" i="8" a="1"/>
  <c r="K274" i="8" s="1"/>
  <c r="M274" i="8" a="1"/>
  <c r="M274" i="8" s="1"/>
  <c r="N274" i="8" a="1"/>
  <c r="N274" i="8" s="1"/>
  <c r="L274" i="8" a="1"/>
  <c r="L274" i="8" s="1"/>
  <c r="K386" i="8" a="1"/>
  <c r="K386" i="8" s="1"/>
  <c r="M386" i="8" a="1"/>
  <c r="M386" i="8" s="1"/>
  <c r="N386" i="8" a="1"/>
  <c r="N386" i="8" s="1"/>
  <c r="L386" i="8" a="1"/>
  <c r="L386" i="8" s="1"/>
  <c r="K328" i="8" a="1"/>
  <c r="K328" i="8" s="1"/>
  <c r="M328" i="8" a="1"/>
  <c r="M328" i="8" s="1"/>
  <c r="L328" i="8" a="1"/>
  <c r="L328" i="8" s="1"/>
  <c r="N328" i="8" a="1"/>
  <c r="N328" i="8" s="1"/>
  <c r="M372" i="8" a="1"/>
  <c r="M372" i="8" s="1"/>
  <c r="K372" i="8" a="1"/>
  <c r="K372" i="8" s="1"/>
  <c r="N372" i="8" a="1"/>
  <c r="N372" i="8" s="1"/>
  <c r="L372" i="8" a="1"/>
  <c r="L372" i="8" s="1"/>
  <c r="L463" i="8" a="1"/>
  <c r="L463" i="8" s="1"/>
  <c r="K463" i="8" a="1"/>
  <c r="K463" i="8" s="1"/>
  <c r="N463" i="8" a="1"/>
  <c r="N463" i="8" s="1"/>
  <c r="M463" i="8" a="1"/>
  <c r="M463" i="8" s="1"/>
  <c r="L423" i="8" a="1"/>
  <c r="L423" i="8" s="1"/>
  <c r="N423" i="8" a="1"/>
  <c r="N423" i="8" s="1"/>
  <c r="M423" i="8" a="1"/>
  <c r="M423" i="8" s="1"/>
  <c r="K423" i="8" a="1"/>
  <c r="K423" i="8" s="1"/>
  <c r="K1197" i="8" a="1"/>
  <c r="K1197" i="8" s="1"/>
  <c r="N1197" i="8" a="1"/>
  <c r="N1197" i="8" s="1"/>
  <c r="M1197" i="8" a="1"/>
  <c r="M1197" i="8" s="1"/>
  <c r="L1197" i="8" a="1"/>
  <c r="L1197" i="8" s="1"/>
  <c r="K706" i="8" a="1"/>
  <c r="K706" i="8" s="1"/>
  <c r="N706" i="8" a="1"/>
  <c r="N706" i="8" s="1"/>
  <c r="M706" i="8" a="1"/>
  <c r="M706" i="8" s="1"/>
  <c r="L706" i="8" a="1"/>
  <c r="L706" i="8" s="1"/>
  <c r="M565" i="8" a="1"/>
  <c r="M565" i="8" s="1"/>
  <c r="K565" i="8" a="1"/>
  <c r="K565" i="8" s="1"/>
  <c r="N565" i="8" a="1"/>
  <c r="N565" i="8" s="1"/>
  <c r="L565" i="8" a="1"/>
  <c r="L565" i="8" s="1"/>
  <c r="K467" i="8" a="1"/>
  <c r="K467" i="8" s="1"/>
  <c r="L467" i="8" a="1"/>
  <c r="L467" i="8" s="1"/>
  <c r="N467" i="8" a="1"/>
  <c r="N467" i="8" s="1"/>
  <c r="M467" i="8" a="1"/>
  <c r="M467" i="8" s="1"/>
  <c r="K799" i="8" a="1"/>
  <c r="K799" i="8" s="1"/>
  <c r="N799" i="8" a="1"/>
  <c r="N799" i="8" s="1"/>
  <c r="L799" i="8" a="1"/>
  <c r="L799" i="8" s="1"/>
  <c r="M799" i="8" a="1"/>
  <c r="M799" i="8" s="1"/>
  <c r="N444" i="8" a="1"/>
  <c r="N444" i="8" s="1"/>
  <c r="K444" i="8" a="1"/>
  <c r="K444" i="8" s="1"/>
  <c r="M444" i="8" a="1"/>
  <c r="M444" i="8" s="1"/>
  <c r="L444" i="8" a="1"/>
  <c r="L444" i="8" s="1"/>
  <c r="M383" i="8" a="1"/>
  <c r="M383" i="8" s="1"/>
  <c r="N383" i="8" a="1"/>
  <c r="N383" i="8" s="1"/>
  <c r="L383" i="8" a="1"/>
  <c r="L383" i="8" s="1"/>
  <c r="K383" i="8" a="1"/>
  <c r="K383" i="8" s="1"/>
  <c r="N885" i="8" a="1"/>
  <c r="N885" i="8" s="1"/>
  <c r="K885" i="8" a="1"/>
  <c r="K885" i="8" s="1"/>
  <c r="M885" i="8" a="1"/>
  <c r="M885" i="8" s="1"/>
  <c r="L885" i="8" a="1"/>
  <c r="L885" i="8" s="1"/>
  <c r="N407" i="8" a="1"/>
  <c r="N407" i="8" s="1"/>
  <c r="M407" i="8" a="1"/>
  <c r="M407" i="8" s="1"/>
  <c r="L407" i="8" a="1"/>
  <c r="L407" i="8" s="1"/>
  <c r="K407" i="8" a="1"/>
  <c r="K407" i="8" s="1"/>
  <c r="M327" i="8" a="1"/>
  <c r="M327" i="8" s="1"/>
  <c r="N327" i="8" a="1"/>
  <c r="N327" i="8" s="1"/>
  <c r="L327" i="8" a="1"/>
  <c r="L327" i="8" s="1"/>
  <c r="K327" i="8" a="1"/>
  <c r="K327" i="8" s="1"/>
  <c r="K1045" i="8" a="1"/>
  <c r="K1045" i="8" s="1"/>
  <c r="N1045" i="8" a="1"/>
  <c r="N1045" i="8" s="1"/>
  <c r="M1045" i="8" a="1"/>
  <c r="M1045" i="8" s="1"/>
  <c r="L1045" i="8" a="1"/>
  <c r="L1045" i="8" s="1"/>
  <c r="N702" i="8" a="1"/>
  <c r="N702" i="8" s="1"/>
  <c r="L702" i="8" a="1"/>
  <c r="L702" i="8" s="1"/>
  <c r="K702" i="8" a="1"/>
  <c r="K702" i="8" s="1"/>
  <c r="M702" i="8" a="1"/>
  <c r="M702" i="8" s="1"/>
  <c r="M916" i="8" a="1"/>
  <c r="M916" i="8" s="1"/>
  <c r="N916" i="8" a="1"/>
  <c r="N916" i="8" s="1"/>
  <c r="L916" i="8" a="1"/>
  <c r="L916" i="8" s="1"/>
  <c r="K916" i="8" a="1"/>
  <c r="K916" i="8" s="1"/>
  <c r="K683" i="8" a="1"/>
  <c r="K683" i="8" s="1"/>
  <c r="N683" i="8" a="1"/>
  <c r="N683" i="8" s="1"/>
  <c r="L683" i="8" a="1"/>
  <c r="L683" i="8" s="1"/>
  <c r="M683" i="8" a="1"/>
  <c r="M683" i="8" s="1"/>
  <c r="K1193" i="8" a="1"/>
  <c r="K1193" i="8" s="1"/>
  <c r="N1193" i="8" a="1"/>
  <c r="N1193" i="8" s="1"/>
  <c r="M1193" i="8" a="1"/>
  <c r="M1193" i="8" s="1"/>
  <c r="L1193" i="8" a="1"/>
  <c r="L1193" i="8" s="1"/>
  <c r="N1000" i="8" a="1"/>
  <c r="N1000" i="8" s="1"/>
  <c r="K1000" i="8" a="1"/>
  <c r="K1000" i="8" s="1"/>
  <c r="M1000" i="8" a="1"/>
  <c r="M1000" i="8" s="1"/>
  <c r="L1000" i="8" a="1"/>
  <c r="L1000" i="8" s="1"/>
  <c r="M1131" i="8" a="1"/>
  <c r="M1131" i="8" s="1"/>
  <c r="L1131" i="8" a="1"/>
  <c r="L1131" i="8" s="1"/>
  <c r="N1131" i="8" a="1"/>
  <c r="N1131" i="8" s="1"/>
  <c r="K1131" i="8" a="1"/>
  <c r="K1131" i="8" s="1"/>
  <c r="N601" i="8" a="1"/>
  <c r="N601" i="8" s="1"/>
  <c r="M601" i="8" a="1"/>
  <c r="M601" i="8" s="1"/>
  <c r="K601" i="8" a="1"/>
  <c r="K601" i="8" s="1"/>
  <c r="L601" i="8" a="1"/>
  <c r="L601" i="8" s="1"/>
  <c r="N456" i="8" a="1"/>
  <c r="N456" i="8" s="1"/>
  <c r="L456" i="8" a="1"/>
  <c r="L456" i="8" s="1"/>
  <c r="K456" i="8" a="1"/>
  <c r="K456" i="8" s="1"/>
  <c r="M456" i="8" a="1"/>
  <c r="M456" i="8" s="1"/>
  <c r="N492" i="8" a="1"/>
  <c r="N492" i="8" s="1"/>
  <c r="K492" i="8" a="1"/>
  <c r="K492" i="8" s="1"/>
  <c r="L492" i="8" a="1"/>
  <c r="L492" i="8" s="1"/>
  <c r="M492" i="8" a="1"/>
  <c r="M492" i="8" s="1"/>
  <c r="L791" i="8" a="1"/>
  <c r="L791" i="8" s="1"/>
  <c r="M791" i="8" a="1"/>
  <c r="M791" i="8" s="1"/>
  <c r="K791" i="8" a="1"/>
  <c r="K791" i="8" s="1"/>
  <c r="N791" i="8" a="1"/>
  <c r="N791" i="8" s="1"/>
  <c r="K288" i="8" a="1"/>
  <c r="K288" i="8" s="1"/>
  <c r="L288" i="8" a="1"/>
  <c r="L288" i="8" s="1"/>
  <c r="N288" i="8" a="1"/>
  <c r="N288" i="8" s="1"/>
  <c r="M288" i="8" a="1"/>
  <c r="M288" i="8" s="1"/>
  <c r="L710" i="8" a="1"/>
  <c r="L710" i="8" s="1"/>
  <c r="N710" i="8" a="1"/>
  <c r="N710" i="8" s="1"/>
  <c r="M710" i="8" a="1"/>
  <c r="M710" i="8" s="1"/>
  <c r="K710" i="8" a="1"/>
  <c r="K710" i="8" s="1"/>
  <c r="L681" i="8" a="1"/>
  <c r="L681" i="8" s="1"/>
  <c r="N681" i="8" a="1"/>
  <c r="N681" i="8" s="1"/>
  <c r="M681" i="8" a="1"/>
  <c r="M681" i="8" s="1"/>
  <c r="K681" i="8" a="1"/>
  <c r="K681" i="8" s="1"/>
  <c r="M734" i="8" a="1"/>
  <c r="M734" i="8" s="1"/>
  <c r="L734" i="8" a="1"/>
  <c r="L734" i="8" s="1"/>
  <c r="K734" i="8" a="1"/>
  <c r="K734" i="8" s="1"/>
  <c r="N734" i="8" a="1"/>
  <c r="N734" i="8" s="1"/>
  <c r="M899" i="8" a="1"/>
  <c r="M899" i="8" s="1"/>
  <c r="L899" i="8" a="1"/>
  <c r="L899" i="8" s="1"/>
  <c r="K899" i="8" a="1"/>
  <c r="K899" i="8" s="1"/>
  <c r="N899" i="8" a="1"/>
  <c r="N899" i="8" s="1"/>
  <c r="N954" i="8" a="1"/>
  <c r="N954" i="8" s="1"/>
  <c r="K954" i="8" a="1"/>
  <c r="K954" i="8" s="1"/>
  <c r="M954" i="8" a="1"/>
  <c r="M954" i="8" s="1"/>
  <c r="L954" i="8" a="1"/>
  <c r="L954" i="8" s="1"/>
  <c r="M986" i="8" a="1"/>
  <c r="M986" i="8" s="1"/>
  <c r="K986" i="8" a="1"/>
  <c r="K986" i="8" s="1"/>
  <c r="L986" i="8" a="1"/>
  <c r="L986" i="8" s="1"/>
  <c r="N986" i="8" a="1"/>
  <c r="N986" i="8" s="1"/>
  <c r="L1161" i="8" a="1"/>
  <c r="L1161" i="8" s="1"/>
  <c r="N1161" i="8" a="1"/>
  <c r="N1161" i="8" s="1"/>
  <c r="M1161" i="8" a="1"/>
  <c r="M1161" i="8" s="1"/>
  <c r="K1161" i="8" a="1"/>
  <c r="K1161" i="8" s="1"/>
  <c r="N1194" i="8" a="1"/>
  <c r="N1194" i="8" s="1"/>
  <c r="M1194" i="8" a="1"/>
  <c r="M1194" i="8" s="1"/>
  <c r="K1194" i="8" a="1"/>
  <c r="K1194" i="8" s="1"/>
  <c r="L1194" i="8" a="1"/>
  <c r="L1194" i="8" s="1"/>
  <c r="K731" i="8" a="1"/>
  <c r="K731" i="8" s="1"/>
  <c r="L731" i="8" a="1"/>
  <c r="L731" i="8" s="1"/>
  <c r="N731" i="8" a="1"/>
  <c r="N731" i="8" s="1"/>
  <c r="M731" i="8" a="1"/>
  <c r="M731" i="8" s="1"/>
  <c r="L896" i="8" a="1"/>
  <c r="L896" i="8" s="1"/>
  <c r="N896" i="8" a="1"/>
  <c r="N896" i="8" s="1"/>
  <c r="K896" i="8" a="1"/>
  <c r="K896" i="8" s="1"/>
  <c r="M896" i="8" a="1"/>
  <c r="M896" i="8" s="1"/>
  <c r="M951" i="8" a="1"/>
  <c r="M951" i="8" s="1"/>
  <c r="L951" i="8" a="1"/>
  <c r="L951" i="8" s="1"/>
  <c r="N951" i="8" a="1"/>
  <c r="N951" i="8" s="1"/>
  <c r="K951" i="8" a="1"/>
  <c r="K951" i="8" s="1"/>
  <c r="K985" i="8" a="1"/>
  <c r="K985" i="8" s="1"/>
  <c r="N985" i="8" a="1"/>
  <c r="N985" i="8" s="1"/>
  <c r="M985" i="8" a="1"/>
  <c r="M985" i="8" s="1"/>
  <c r="L985" i="8" a="1"/>
  <c r="L985" i="8" s="1"/>
  <c r="L1156" i="8" a="1"/>
  <c r="L1156" i="8" s="1"/>
  <c r="K1156" i="8" a="1"/>
  <c r="K1156" i="8" s="1"/>
  <c r="M1156" i="8" a="1"/>
  <c r="M1156" i="8" s="1"/>
  <c r="N1156" i="8" a="1"/>
  <c r="N1156" i="8" s="1"/>
  <c r="L1190" i="8" a="1"/>
  <c r="L1190" i="8" s="1"/>
  <c r="K1190" i="8" a="1"/>
  <c r="K1190" i="8" s="1"/>
  <c r="N1190" i="8" a="1"/>
  <c r="N1190" i="8" s="1"/>
  <c r="M1190" i="8" a="1"/>
  <c r="M1190" i="8" s="1"/>
  <c r="N834" i="8" a="1"/>
  <c r="N834" i="8" s="1"/>
  <c r="L834" i="8" a="1"/>
  <c r="L834" i="8" s="1"/>
  <c r="K834" i="8" a="1"/>
  <c r="K834" i="8" s="1"/>
  <c r="M834" i="8" a="1"/>
  <c r="M834" i="8" s="1"/>
  <c r="L862" i="8" a="1"/>
  <c r="L862" i="8" s="1"/>
  <c r="N862" i="8" a="1"/>
  <c r="N862" i="8" s="1"/>
  <c r="M862" i="8" a="1"/>
  <c r="M862" i="8" s="1"/>
  <c r="K862" i="8" a="1"/>
  <c r="K862" i="8" s="1"/>
  <c r="N894" i="8" a="1"/>
  <c r="N894" i="8" s="1"/>
  <c r="M894" i="8" a="1"/>
  <c r="M894" i="8" s="1"/>
  <c r="K894" i="8" a="1"/>
  <c r="K894" i="8" s="1"/>
  <c r="L894" i="8" a="1"/>
  <c r="L894" i="8" s="1"/>
  <c r="M39" i="8" a="1"/>
  <c r="M39" i="8" s="1"/>
  <c r="L39" i="8" a="1"/>
  <c r="L39" i="8" s="1"/>
  <c r="K39" i="8" a="1"/>
  <c r="K39" i="8" s="1"/>
  <c r="N39" i="8" a="1"/>
  <c r="N39" i="8" s="1"/>
  <c r="K71" i="8" a="1"/>
  <c r="K71" i="8" s="1"/>
  <c r="L71" i="8" a="1"/>
  <c r="L71" i="8" s="1"/>
  <c r="M71" i="8" a="1"/>
  <c r="M71" i="8" s="1"/>
  <c r="N71" i="8" a="1"/>
  <c r="N71" i="8" s="1"/>
  <c r="N287" i="8" a="1"/>
  <c r="N287" i="8" s="1"/>
  <c r="M287" i="8" a="1"/>
  <c r="M287" i="8" s="1"/>
  <c r="L287" i="8" a="1"/>
  <c r="L287" i="8" s="1"/>
  <c r="K287" i="8" a="1"/>
  <c r="K287" i="8" s="1"/>
  <c r="N548" i="8" a="1"/>
  <c r="N548" i="8" s="1"/>
  <c r="M548" i="8" a="1"/>
  <c r="M548" i="8" s="1"/>
  <c r="K548" i="8" a="1"/>
  <c r="K548" i="8" s="1"/>
  <c r="L548" i="8" a="1"/>
  <c r="L548" i="8" s="1"/>
  <c r="K576" i="8" a="1"/>
  <c r="K576" i="8" s="1"/>
  <c r="M576" i="8" a="1"/>
  <c r="M576" i="8" s="1"/>
  <c r="L576" i="8" a="1"/>
  <c r="L576" i="8" s="1"/>
  <c r="N576" i="8" a="1"/>
  <c r="N576" i="8" s="1"/>
  <c r="M604" i="8" a="1"/>
  <c r="M604" i="8" s="1"/>
  <c r="N604" i="8" a="1"/>
  <c r="N604" i="8" s="1"/>
  <c r="L604" i="8" a="1"/>
  <c r="L604" i="8" s="1"/>
  <c r="K604" i="8" a="1"/>
  <c r="K604" i="8" s="1"/>
  <c r="K632" i="8" a="1"/>
  <c r="K632" i="8" s="1"/>
  <c r="N632" i="8" a="1"/>
  <c r="N632" i="8" s="1"/>
  <c r="L632" i="8" a="1"/>
  <c r="L632" i="8" s="1"/>
  <c r="M632" i="8" a="1"/>
  <c r="M632" i="8" s="1"/>
  <c r="M800" i="8" a="1"/>
  <c r="M800" i="8" s="1"/>
  <c r="N800" i="8" a="1"/>
  <c r="N800" i="8" s="1"/>
  <c r="L800" i="8" a="1"/>
  <c r="L800" i="8" s="1"/>
  <c r="K800" i="8" a="1"/>
  <c r="K800" i="8" s="1"/>
  <c r="N1018" i="8" a="1"/>
  <c r="N1018" i="8" s="1"/>
  <c r="K1018" i="8" a="1"/>
  <c r="K1018" i="8" s="1"/>
  <c r="M1018" i="8" a="1"/>
  <c r="M1018" i="8" s="1"/>
  <c r="L1018" i="8" a="1"/>
  <c r="L1018" i="8" s="1"/>
  <c r="N1110" i="8" a="1"/>
  <c r="N1110" i="8" s="1"/>
  <c r="M1110" i="8" a="1"/>
  <c r="M1110" i="8" s="1"/>
  <c r="K1110" i="8" a="1"/>
  <c r="K1110" i="8" s="1"/>
  <c r="L1110" i="8" a="1"/>
  <c r="L1110" i="8" s="1"/>
  <c r="I38" i="1"/>
  <c r="F38" i="1" s="1" a="1"/>
  <c r="F38" i="1" s="1"/>
  <c r="I41" i="1"/>
  <c r="F41" i="1" s="1" a="1"/>
  <c r="F41" i="1" s="1"/>
  <c r="I42" i="1"/>
  <c r="F42" i="1" s="1" a="1"/>
  <c r="F42" i="1" s="1"/>
  <c r="I43" i="1"/>
  <c r="F43" i="1" s="1" a="1"/>
  <c r="F43" i="1" s="1"/>
  <c r="I44" i="1"/>
  <c r="F44" i="1" s="1" a="1"/>
  <c r="F44" i="1" s="1"/>
  <c r="I45" i="1"/>
  <c r="F45" i="1" s="1" a="1"/>
  <c r="F45" i="1" s="1"/>
  <c r="I46" i="1"/>
  <c r="F46" i="1" s="1" a="1"/>
  <c r="F46" i="1" s="1"/>
  <c r="I47" i="1"/>
  <c r="F47" i="1" s="1" a="1"/>
  <c r="F47" i="1" s="1"/>
  <c r="I48" i="1"/>
  <c r="F48" i="1" s="1" a="1"/>
  <c r="F48" i="1" s="1"/>
  <c r="I49" i="1"/>
  <c r="F49" i="1" s="1" a="1"/>
  <c r="F49" i="1" s="1"/>
  <c r="I50" i="1"/>
  <c r="F50" i="1" s="1" a="1"/>
  <c r="F50" i="1" s="1"/>
  <c r="I51" i="1"/>
  <c r="F51" i="1" s="1" a="1"/>
  <c r="F51" i="1" s="1"/>
  <c r="I52" i="1"/>
  <c r="F52" i="1" s="1" a="1"/>
  <c r="F52" i="1" s="1"/>
  <c r="I53" i="1"/>
  <c r="F53" i="1" s="1" a="1"/>
  <c r="F53" i="1" s="1"/>
  <c r="I54" i="1"/>
  <c r="F54" i="1" s="1" a="1"/>
  <c r="F54" i="1" s="1"/>
  <c r="I55" i="1"/>
  <c r="F55" i="1" s="1" a="1"/>
  <c r="F55" i="1" s="1"/>
  <c r="I56" i="1"/>
  <c r="F56" i="1" s="1" a="1"/>
  <c r="F56" i="1" s="1"/>
  <c r="I57" i="1"/>
  <c r="F57" i="1" s="1" a="1"/>
  <c r="F57" i="1" s="1"/>
  <c r="I58" i="1"/>
  <c r="F58" i="1" s="1" a="1"/>
  <c r="F58" i="1" s="1"/>
  <c r="I59" i="1"/>
  <c r="F59" i="1" s="1" a="1"/>
  <c r="F59" i="1" s="1"/>
  <c r="I60" i="1"/>
  <c r="F60" i="1" s="1" a="1"/>
  <c r="F60" i="1" s="1"/>
  <c r="I61" i="1"/>
  <c r="F61" i="1" s="1" a="1"/>
  <c r="F61" i="1" s="1"/>
  <c r="I63" i="1"/>
  <c r="F63" i="1" s="1" a="1"/>
  <c r="F63" i="1" s="1"/>
  <c r="I64" i="1"/>
  <c r="F64" i="1" s="1" a="1"/>
  <c r="F64" i="1" s="1"/>
  <c r="I65" i="1"/>
  <c r="F65" i="1" s="1" a="1"/>
  <c r="F65" i="1" s="1"/>
  <c r="I66" i="1"/>
  <c r="F66" i="1" s="1" a="1"/>
  <c r="F66" i="1" s="1"/>
  <c r="I67" i="1"/>
  <c r="F67" i="1" s="1" a="1"/>
  <c r="F67" i="1" s="1"/>
  <c r="I68" i="1"/>
  <c r="F68" i="1" s="1" a="1"/>
  <c r="F68" i="1" s="1"/>
  <c r="I69" i="1"/>
  <c r="F69" i="1" s="1" a="1"/>
  <c r="F69" i="1" s="1"/>
  <c r="I70" i="1"/>
  <c r="F70" i="1" s="1" a="1"/>
  <c r="F70" i="1" s="1"/>
  <c r="I71" i="1"/>
  <c r="F71" i="1" s="1" a="1"/>
  <c r="F71" i="1" s="1"/>
  <c r="I72" i="1"/>
  <c r="F72" i="1" s="1" a="1"/>
  <c r="F72" i="1" s="1"/>
  <c r="I73" i="1"/>
  <c r="F73" i="1" s="1" a="1"/>
  <c r="F73" i="1" s="1"/>
  <c r="I74" i="1"/>
  <c r="F74" i="1" s="1" a="1"/>
  <c r="F74" i="1" s="1"/>
  <c r="I75" i="1"/>
  <c r="F75" i="1" s="1" a="1"/>
  <c r="F75" i="1" s="1"/>
  <c r="I76" i="1"/>
  <c r="F76" i="1" s="1" a="1"/>
  <c r="F76" i="1" s="1"/>
  <c r="I77" i="1"/>
  <c r="F77" i="1" s="1" a="1"/>
  <c r="F77" i="1" s="1"/>
  <c r="I78" i="1"/>
  <c r="F78" i="1" s="1" a="1"/>
  <c r="F78" i="1" s="1"/>
  <c r="I79" i="1"/>
  <c r="F79" i="1" s="1" a="1"/>
  <c r="F79" i="1" s="1"/>
  <c r="I80" i="1"/>
  <c r="F80" i="1" s="1" a="1"/>
  <c r="F80" i="1" s="1"/>
  <c r="I82" i="1"/>
  <c r="F82" i="1" s="1" a="1"/>
  <c r="F82" i="1" s="1"/>
  <c r="I83" i="1"/>
  <c r="F83" i="1" s="1" a="1"/>
  <c r="F83" i="1" s="1"/>
  <c r="I84" i="1"/>
  <c r="F84" i="1" s="1" a="1"/>
  <c r="F84" i="1" s="1"/>
  <c r="I85" i="1"/>
  <c r="F85" i="1" s="1" a="1"/>
  <c r="F85" i="1" s="1"/>
  <c r="I86" i="1"/>
  <c r="F86" i="1" s="1" a="1"/>
  <c r="F86" i="1" s="1"/>
  <c r="I87" i="1"/>
  <c r="F87" i="1" s="1" a="1"/>
  <c r="F87" i="1" s="1"/>
  <c r="I91" i="1"/>
  <c r="F91" i="1" s="1" a="1"/>
  <c r="F91" i="1" s="1"/>
  <c r="I92" i="1"/>
  <c r="F92" i="1" s="1" a="1"/>
  <c r="F92" i="1" s="1"/>
  <c r="I93" i="1"/>
  <c r="F93" i="1" s="1" a="1"/>
  <c r="F93" i="1" s="1"/>
  <c r="I95" i="1"/>
  <c r="F95" i="1" s="1" a="1"/>
  <c r="F95" i="1" s="1"/>
  <c r="I96" i="1"/>
  <c r="F96" i="1" s="1" a="1"/>
  <c r="F96" i="1" s="1"/>
  <c r="I97" i="1"/>
  <c r="F97" i="1" s="1" a="1"/>
  <c r="F97" i="1" s="1"/>
  <c r="I98" i="1"/>
  <c r="F98" i="1" s="1" a="1"/>
  <c r="F98" i="1" s="1"/>
  <c r="I99" i="1"/>
  <c r="F99" i="1" s="1" a="1"/>
  <c r="F99" i="1" s="1"/>
  <c r="I100" i="1"/>
  <c r="F100" i="1" s="1" a="1"/>
  <c r="F100" i="1" s="1"/>
  <c r="I101" i="1"/>
  <c r="F101" i="1" s="1" a="1"/>
  <c r="F101" i="1" s="1"/>
  <c r="I102" i="1"/>
  <c r="F102" i="1" s="1" a="1"/>
  <c r="F102" i="1" s="1"/>
  <c r="I103" i="1"/>
  <c r="F103" i="1" s="1" a="1"/>
  <c r="F103" i="1" s="1"/>
  <c r="I104" i="1"/>
  <c r="F104" i="1" s="1" a="1"/>
  <c r="F104" i="1" s="1"/>
  <c r="I105" i="1"/>
  <c r="F105" i="1" s="1" a="1"/>
  <c r="F105" i="1" s="1"/>
  <c r="I106" i="1"/>
  <c r="F106" i="1" s="1" a="1"/>
  <c r="F106" i="1" s="1"/>
  <c r="I107" i="1"/>
  <c r="F107" i="1" s="1" a="1"/>
  <c r="F107" i="1" s="1"/>
  <c r="I109" i="1"/>
  <c r="F109" i="1" s="1" a="1"/>
  <c r="F109" i="1" s="1"/>
  <c r="I110" i="1"/>
  <c r="F110" i="1" s="1" a="1"/>
  <c r="F110" i="1" s="1"/>
  <c r="I111" i="1"/>
  <c r="F111" i="1" s="1" a="1"/>
  <c r="F111" i="1" s="1"/>
  <c r="I112" i="1"/>
  <c r="F112" i="1" s="1" a="1"/>
  <c r="F112" i="1" s="1"/>
  <c r="I113" i="1"/>
  <c r="F113" i="1" s="1" a="1"/>
  <c r="F113" i="1" s="1"/>
  <c r="I114" i="1"/>
  <c r="F114" i="1" s="1" a="1"/>
  <c r="F114" i="1" s="1"/>
  <c r="I115" i="1"/>
  <c r="F115" i="1" s="1" a="1"/>
  <c r="F115" i="1" s="1"/>
  <c r="I116" i="1"/>
  <c r="F116" i="1" s="1" a="1"/>
  <c r="F116" i="1" s="1"/>
  <c r="I117" i="1"/>
  <c r="F117" i="1" s="1" a="1"/>
  <c r="F117" i="1" s="1"/>
  <c r="I118" i="1"/>
  <c r="F118" i="1" s="1" a="1"/>
  <c r="F118" i="1" s="1"/>
  <c r="I119" i="1"/>
  <c r="F119" i="1" s="1" a="1"/>
  <c r="F119" i="1" s="1"/>
  <c r="I120" i="1"/>
  <c r="F120" i="1" s="1" a="1"/>
  <c r="F120" i="1" s="1"/>
  <c r="I121" i="1"/>
  <c r="F121" i="1" s="1" a="1"/>
  <c r="F121" i="1" s="1"/>
  <c r="I122" i="1"/>
  <c r="F122" i="1" s="1" a="1"/>
  <c r="F122" i="1" s="1"/>
  <c r="I123" i="1"/>
  <c r="F123" i="1" s="1" a="1"/>
  <c r="F123" i="1" s="1"/>
  <c r="I124" i="1"/>
  <c r="F124" i="1" s="1" a="1"/>
  <c r="F124" i="1" s="1"/>
  <c r="I125" i="1"/>
  <c r="F125" i="1" s="1" a="1"/>
  <c r="F125" i="1" s="1"/>
  <c r="I126" i="1"/>
  <c r="F126" i="1" s="1" a="1"/>
  <c r="F126" i="1" s="1"/>
  <c r="I127" i="1"/>
  <c r="F127" i="1" s="1" a="1"/>
  <c r="F127" i="1" s="1"/>
  <c r="I128" i="1"/>
  <c r="F128" i="1" s="1" a="1"/>
  <c r="F128" i="1" s="1"/>
  <c r="I130" i="1"/>
  <c r="F130" i="1" s="1" a="1"/>
  <c r="F130" i="1" s="1"/>
  <c r="I132" i="1"/>
  <c r="F132" i="1" s="1" a="1"/>
  <c r="F132" i="1" s="1"/>
  <c r="I133" i="1"/>
  <c r="F133" i="1" s="1" a="1"/>
  <c r="F133" i="1" s="1"/>
  <c r="I134" i="1"/>
  <c r="F134" i="1" s="1" a="1"/>
  <c r="F134" i="1" s="1"/>
  <c r="I135" i="1"/>
  <c r="F135" i="1" s="1" a="1"/>
  <c r="F135" i="1" s="1"/>
  <c r="I136" i="1"/>
  <c r="F136" i="1" s="1" a="1"/>
  <c r="F136" i="1" s="1"/>
  <c r="I137" i="1"/>
  <c r="F137" i="1" s="1" a="1"/>
  <c r="F137" i="1" s="1"/>
  <c r="I139" i="1"/>
  <c r="F139" i="1" s="1" a="1"/>
  <c r="F139" i="1" s="1"/>
  <c r="I140" i="1"/>
  <c r="F140" i="1" s="1" a="1"/>
  <c r="F140" i="1" s="1"/>
  <c r="I141" i="1"/>
  <c r="F141" i="1" s="1" a="1"/>
  <c r="F141" i="1" s="1"/>
  <c r="I142" i="1"/>
  <c r="F142" i="1" s="1" a="1"/>
  <c r="F142" i="1" s="1"/>
  <c r="I143" i="1"/>
  <c r="F143" i="1" s="1" a="1"/>
  <c r="F143" i="1" s="1"/>
  <c r="I144" i="1"/>
  <c r="F144" i="1" s="1" a="1"/>
  <c r="F144" i="1" s="1"/>
  <c r="I146" i="1"/>
  <c r="F146" i="1" s="1" a="1"/>
  <c r="F146" i="1" s="1"/>
  <c r="I147" i="1"/>
  <c r="F147" i="1" s="1" a="1"/>
  <c r="F147" i="1" s="1"/>
  <c r="I149" i="1"/>
  <c r="F149" i="1" s="1" a="1"/>
  <c r="F149" i="1" s="1"/>
  <c r="I150" i="1"/>
  <c r="F150" i="1" s="1" a="1"/>
  <c r="F150" i="1" s="1"/>
  <c r="I151" i="1"/>
  <c r="F151" i="1" s="1" a="1"/>
  <c r="F151" i="1" s="1"/>
  <c r="I152" i="1"/>
  <c r="F152" i="1" s="1" a="1"/>
  <c r="F152" i="1" s="1"/>
  <c r="I153" i="1"/>
  <c r="F153" i="1" s="1" a="1"/>
  <c r="F153" i="1" s="1"/>
  <c r="I155" i="1"/>
  <c r="F155" i="1" s="1" a="1"/>
  <c r="F155" i="1" s="1"/>
  <c r="I156" i="1"/>
  <c r="F156" i="1" s="1" a="1"/>
  <c r="F156" i="1" s="1"/>
  <c r="I157" i="1"/>
  <c r="F157" i="1" s="1" a="1"/>
  <c r="F157" i="1" s="1"/>
  <c r="I158" i="1"/>
  <c r="F158" i="1" s="1" a="1"/>
  <c r="F158" i="1" s="1"/>
  <c r="I159" i="1"/>
  <c r="F159" i="1" s="1" a="1"/>
  <c r="F159" i="1" s="1"/>
  <c r="I160" i="1"/>
  <c r="F160" i="1" s="1" a="1"/>
  <c r="F160" i="1" s="1"/>
  <c r="I161" i="1"/>
  <c r="F161" i="1" s="1" a="1"/>
  <c r="F161" i="1" s="1"/>
  <c r="I162" i="1"/>
  <c r="F162" i="1" s="1" a="1"/>
  <c r="F162" i="1" s="1"/>
  <c r="I163" i="1"/>
  <c r="F163" i="1" s="1" a="1"/>
  <c r="F163" i="1" s="1"/>
  <c r="I164" i="1"/>
  <c r="F164" i="1" s="1" a="1"/>
  <c r="F164" i="1" s="1"/>
  <c r="I165" i="1"/>
  <c r="F165" i="1" s="1" a="1"/>
  <c r="F165" i="1" s="1"/>
  <c r="I166" i="1"/>
  <c r="F166" i="1" s="1" a="1"/>
  <c r="F166" i="1" s="1"/>
  <c r="I167" i="1"/>
  <c r="F167" i="1" s="1" a="1"/>
  <c r="F167" i="1" s="1"/>
  <c r="I168" i="1"/>
  <c r="F168" i="1" s="1" a="1"/>
  <c r="F168" i="1" s="1"/>
  <c r="I169" i="1"/>
  <c r="F169" i="1" s="1" a="1"/>
  <c r="F169" i="1" s="1"/>
  <c r="I170" i="1"/>
  <c r="F170" i="1" s="1" a="1"/>
  <c r="F170" i="1" s="1"/>
  <c r="I171" i="1"/>
  <c r="F171" i="1" s="1" a="1"/>
  <c r="F171" i="1" s="1"/>
  <c r="I172" i="1"/>
  <c r="F172" i="1" s="1" a="1"/>
  <c r="F172" i="1" s="1"/>
  <c r="I173" i="1"/>
  <c r="F173" i="1" s="1" a="1"/>
  <c r="F173" i="1" s="1"/>
  <c r="I175" i="1"/>
  <c r="F175" i="1" s="1" a="1"/>
  <c r="F175" i="1" s="1"/>
  <c r="I176" i="1"/>
  <c r="F176" i="1" s="1" a="1"/>
  <c r="F176" i="1" s="1"/>
  <c r="I177" i="1"/>
  <c r="F177" i="1" s="1" a="1"/>
  <c r="F177" i="1" s="1"/>
  <c r="I178" i="1"/>
  <c r="F178" i="1" s="1" a="1"/>
  <c r="F178" i="1" s="1"/>
  <c r="I179" i="1"/>
  <c r="F179" i="1" s="1" a="1"/>
  <c r="F179" i="1" s="1"/>
  <c r="I180" i="1"/>
  <c r="F180" i="1" s="1" a="1"/>
  <c r="F180" i="1" s="1"/>
  <c r="I181" i="1"/>
  <c r="F181" i="1" s="1" a="1"/>
  <c r="F181" i="1" s="1"/>
  <c r="I182" i="1"/>
  <c r="F182" i="1" s="1" a="1"/>
  <c r="F182" i="1" s="1"/>
  <c r="I183" i="1"/>
  <c r="F183" i="1" s="1" a="1"/>
  <c r="F183" i="1" s="1"/>
  <c r="I184" i="1"/>
  <c r="F184" i="1" s="1" a="1"/>
  <c r="F184" i="1" s="1"/>
  <c r="I185" i="1"/>
  <c r="F185" i="1" s="1" a="1"/>
  <c r="F185" i="1" s="1"/>
  <c r="I186" i="1"/>
  <c r="F186" i="1" s="1" a="1"/>
  <c r="F186" i="1" s="1"/>
  <c r="I187" i="1"/>
  <c r="F187" i="1" s="1" a="1"/>
  <c r="F187" i="1" s="1"/>
  <c r="I188" i="1"/>
  <c r="F188" i="1" s="1" a="1"/>
  <c r="F188" i="1" s="1"/>
  <c r="I189" i="1"/>
  <c r="F189" i="1" s="1" a="1"/>
  <c r="F189" i="1" s="1"/>
  <c r="I190" i="1"/>
  <c r="F190" i="1" s="1" a="1"/>
  <c r="F190" i="1" s="1"/>
  <c r="I191" i="1"/>
  <c r="F191" i="1" s="1" a="1"/>
  <c r="F191" i="1" s="1"/>
  <c r="I192" i="1"/>
  <c r="F192" i="1" s="1" a="1"/>
  <c r="F192" i="1" s="1"/>
  <c r="I193" i="1"/>
  <c r="F193" i="1" s="1" a="1"/>
  <c r="F193" i="1" s="1"/>
  <c r="I194" i="1"/>
  <c r="F194" i="1" s="1" a="1"/>
  <c r="F194" i="1" s="1"/>
  <c r="I195" i="1"/>
  <c r="F195" i="1" s="1" a="1"/>
  <c r="F195" i="1" s="1"/>
  <c r="I196" i="1"/>
  <c r="F196" i="1" s="1" a="1"/>
  <c r="F196" i="1" s="1"/>
  <c r="I197" i="1"/>
  <c r="F197" i="1" s="1" a="1"/>
  <c r="F197" i="1" s="1"/>
  <c r="I203" i="1"/>
  <c r="F203" i="1" s="1" a="1"/>
  <c r="F203" i="1" s="1"/>
  <c r="I204" i="1"/>
  <c r="F204" i="1" s="1" a="1"/>
  <c r="F204" i="1" s="1"/>
  <c r="I205" i="1"/>
  <c r="F205" i="1" s="1" a="1"/>
  <c r="F205" i="1" s="1"/>
  <c r="I206" i="1"/>
  <c r="F206" i="1" s="1" a="1"/>
  <c r="F206" i="1" s="1"/>
  <c r="I207" i="1"/>
  <c r="F207" i="1" s="1" a="1"/>
  <c r="F207" i="1" s="1"/>
  <c r="I208" i="1"/>
  <c r="F208" i="1" s="1" a="1"/>
  <c r="F208" i="1" s="1"/>
  <c r="I209" i="1"/>
  <c r="F209" i="1" s="1" a="1"/>
  <c r="F209" i="1" s="1"/>
  <c r="I210" i="1"/>
  <c r="F210" i="1" s="1" a="1"/>
  <c r="F210" i="1" s="1"/>
  <c r="I211" i="1"/>
  <c r="F211" i="1" s="1" a="1"/>
  <c r="F211" i="1" s="1"/>
  <c r="I212" i="1"/>
  <c r="F212" i="1" s="1" a="1"/>
  <c r="F212" i="1" s="1"/>
  <c r="I214" i="1"/>
  <c r="F214" i="1" s="1" a="1"/>
  <c r="F214" i="1" s="1"/>
  <c r="I215" i="1"/>
  <c r="F215" i="1" s="1" a="1"/>
  <c r="F215" i="1" s="1"/>
  <c r="I216" i="1"/>
  <c r="F216" i="1" s="1" a="1"/>
  <c r="F216" i="1" s="1"/>
  <c r="I217" i="1"/>
  <c r="F217" i="1" s="1" a="1"/>
  <c r="F217" i="1" s="1"/>
  <c r="I218" i="1"/>
  <c r="F218" i="1" s="1" a="1"/>
  <c r="F218" i="1" s="1"/>
  <c r="I219" i="1"/>
  <c r="F219" i="1" s="1" a="1"/>
  <c r="F219" i="1" s="1"/>
  <c r="I220" i="1"/>
  <c r="F220" i="1" s="1" a="1"/>
  <c r="F220" i="1" s="1"/>
  <c r="I221" i="1"/>
  <c r="F221" i="1" s="1" a="1"/>
  <c r="F221" i="1" s="1"/>
  <c r="I223" i="1"/>
  <c r="F223" i="1" s="1" a="1"/>
  <c r="F223" i="1" s="1"/>
  <c r="I224" i="1"/>
  <c r="F224" i="1" s="1" a="1"/>
  <c r="F224" i="1" s="1"/>
  <c r="I225" i="1"/>
  <c r="F225" i="1" s="1" a="1"/>
  <c r="F225" i="1" s="1"/>
  <c r="I227" i="1"/>
  <c r="F227" i="1" s="1" a="1"/>
  <c r="F227" i="1" s="1"/>
  <c r="I228" i="1"/>
  <c r="F228" i="1" s="1" a="1"/>
  <c r="F228" i="1" s="1"/>
  <c r="I230" i="1"/>
  <c r="F230" i="1" s="1" a="1"/>
  <c r="F230" i="1" s="1"/>
  <c r="I231" i="1"/>
  <c r="F231" i="1" s="1" a="1"/>
  <c r="F231" i="1" s="1"/>
  <c r="I232" i="1"/>
  <c r="F232" i="1" s="1" a="1"/>
  <c r="F232" i="1" s="1"/>
  <c r="I233" i="1"/>
  <c r="F233" i="1" s="1" a="1"/>
  <c r="F233" i="1" s="1"/>
  <c r="I234" i="1"/>
  <c r="F234" i="1" s="1" a="1"/>
  <c r="F234" i="1" s="1"/>
  <c r="I235" i="1"/>
  <c r="F235" i="1" s="1" a="1"/>
  <c r="F235" i="1" s="1"/>
  <c r="I236" i="1"/>
  <c r="F236" i="1" s="1" a="1"/>
  <c r="F236" i="1" s="1"/>
  <c r="I237" i="1"/>
  <c r="F237" i="1" s="1" a="1"/>
  <c r="F237" i="1" s="1"/>
  <c r="I238" i="1"/>
  <c r="F238" i="1" s="1" a="1"/>
  <c r="F238" i="1" s="1"/>
  <c r="I239" i="1"/>
  <c r="F239" i="1" s="1" a="1"/>
  <c r="F239" i="1" s="1"/>
  <c r="I240" i="1"/>
  <c r="F240" i="1" s="1" a="1"/>
  <c r="F240" i="1" s="1"/>
  <c r="I241" i="1"/>
  <c r="F241" i="1" s="1" a="1"/>
  <c r="F241" i="1" s="1"/>
  <c r="I242" i="1"/>
  <c r="F242" i="1" s="1" a="1"/>
  <c r="F242" i="1" s="1"/>
  <c r="I243" i="1"/>
  <c r="F243" i="1" s="1" a="1"/>
  <c r="F243" i="1" s="1"/>
  <c r="I244" i="1"/>
  <c r="F244" i="1" s="1" a="1"/>
  <c r="F244" i="1" s="1"/>
  <c r="I245" i="1"/>
  <c r="F245" i="1" s="1" a="1"/>
  <c r="F245" i="1" s="1"/>
  <c r="I246" i="1"/>
  <c r="F246" i="1" s="1" a="1"/>
  <c r="F246" i="1" s="1"/>
  <c r="I247" i="1"/>
  <c r="F247" i="1" s="1" a="1"/>
  <c r="F247" i="1" s="1"/>
  <c r="I248" i="1"/>
  <c r="F248" i="1" s="1" a="1"/>
  <c r="F248" i="1" s="1"/>
  <c r="I249" i="1"/>
  <c r="F249" i="1" s="1" a="1"/>
  <c r="F249" i="1" s="1"/>
  <c r="I250" i="1"/>
  <c r="F250" i="1" s="1" a="1"/>
  <c r="F250" i="1" s="1"/>
  <c r="I251" i="1"/>
  <c r="F251" i="1" s="1" a="1"/>
  <c r="F251" i="1" s="1"/>
  <c r="I252" i="1"/>
  <c r="F252" i="1" s="1" a="1"/>
  <c r="F252" i="1" s="1"/>
  <c r="I253" i="1"/>
  <c r="F253" i="1" s="1" a="1"/>
  <c r="F253" i="1" s="1"/>
  <c r="I254" i="1"/>
  <c r="F254" i="1" s="1" a="1"/>
  <c r="F254" i="1" s="1"/>
  <c r="I255" i="1"/>
  <c r="F255" i="1" s="1" a="1"/>
  <c r="F255" i="1" s="1"/>
  <c r="I256" i="1"/>
  <c r="F256" i="1" s="1" a="1"/>
  <c r="F256" i="1" s="1"/>
  <c r="I257" i="1"/>
  <c r="F257" i="1" s="1" a="1"/>
  <c r="F257" i="1" s="1"/>
  <c r="I258" i="1"/>
  <c r="F258" i="1" s="1" a="1"/>
  <c r="F258" i="1" s="1"/>
  <c r="I259" i="1"/>
  <c r="F259" i="1" s="1" a="1"/>
  <c r="F259" i="1" s="1"/>
  <c r="I261" i="1"/>
  <c r="F261" i="1" s="1" a="1"/>
  <c r="F261" i="1" s="1"/>
  <c r="I263" i="1"/>
  <c r="F263" i="1" s="1" a="1"/>
  <c r="F263" i="1" s="1"/>
  <c r="I264" i="1"/>
  <c r="F264" i="1" s="1" a="1"/>
  <c r="F264" i="1" s="1"/>
  <c r="I265" i="1"/>
  <c r="F265" i="1" s="1" a="1"/>
  <c r="F265" i="1" s="1"/>
  <c r="I266" i="1"/>
  <c r="F266" i="1" s="1" a="1"/>
  <c r="F266" i="1" s="1"/>
  <c r="I267" i="1"/>
  <c r="F267" i="1" s="1" a="1"/>
  <c r="F267" i="1" s="1"/>
  <c r="I269" i="1"/>
  <c r="F269" i="1" s="1" a="1"/>
  <c r="F269" i="1" s="1"/>
  <c r="I271" i="1"/>
  <c r="F271" i="1" s="1" a="1"/>
  <c r="F271" i="1" s="1"/>
  <c r="I274" i="1"/>
  <c r="F274" i="1" s="1" a="1"/>
  <c r="F274" i="1" s="1"/>
  <c r="I277" i="1"/>
  <c r="F277" i="1" s="1" a="1"/>
  <c r="F277" i="1" s="1"/>
  <c r="I278" i="1"/>
  <c r="F278" i="1" s="1" a="1"/>
  <c r="F278" i="1" s="1"/>
  <c r="I279" i="1"/>
  <c r="F279" i="1" s="1" a="1"/>
  <c r="F279" i="1" s="1"/>
  <c r="I280" i="1"/>
  <c r="F280" i="1" s="1" a="1"/>
  <c r="F280" i="1" s="1"/>
  <c r="I281" i="1"/>
  <c r="F281" i="1" s="1" a="1"/>
  <c r="F281" i="1" s="1"/>
  <c r="I282" i="1"/>
  <c r="F282" i="1" s="1" a="1"/>
  <c r="F282" i="1" s="1"/>
  <c r="I283" i="1"/>
  <c r="F283" i="1" s="1" a="1"/>
  <c r="F283" i="1" s="1"/>
  <c r="I284" i="1"/>
  <c r="F284" i="1" s="1" a="1"/>
  <c r="F284" i="1" s="1"/>
  <c r="I285" i="1"/>
  <c r="F285" i="1" s="1" a="1"/>
  <c r="F285" i="1" s="1"/>
  <c r="I286" i="1"/>
  <c r="F286" i="1" s="1" a="1"/>
  <c r="F286" i="1" s="1"/>
  <c r="I287" i="1"/>
  <c r="F287" i="1" s="1" a="1"/>
  <c r="F287" i="1" s="1"/>
  <c r="I288" i="1"/>
  <c r="F288" i="1" s="1" a="1"/>
  <c r="F288" i="1" s="1"/>
  <c r="I289" i="1"/>
  <c r="F289" i="1" s="1" a="1"/>
  <c r="F289" i="1" s="1"/>
  <c r="I290" i="1"/>
  <c r="F290" i="1" s="1" a="1"/>
  <c r="F290" i="1" s="1"/>
  <c r="I291" i="1"/>
  <c r="F291" i="1" s="1" a="1"/>
  <c r="F291" i="1" s="1"/>
  <c r="I292" i="1"/>
  <c r="F292" i="1" s="1" a="1"/>
  <c r="F292" i="1" s="1"/>
  <c r="I293" i="1"/>
  <c r="F293" i="1" s="1" a="1"/>
  <c r="F293" i="1" s="1"/>
  <c r="I294" i="1"/>
  <c r="F294" i="1" s="1" a="1"/>
  <c r="F294" i="1" s="1"/>
  <c r="I295" i="1"/>
  <c r="F295" i="1" s="1" a="1"/>
  <c r="F295" i="1" s="1"/>
  <c r="I296" i="1"/>
  <c r="F296" i="1" s="1" a="1"/>
  <c r="F296" i="1" s="1"/>
  <c r="I297" i="1"/>
  <c r="F297" i="1" s="1" a="1"/>
  <c r="F297" i="1" s="1"/>
  <c r="I298" i="1"/>
  <c r="F298" i="1" s="1" a="1"/>
  <c r="F298" i="1" s="1"/>
  <c r="I299" i="1"/>
  <c r="F299" i="1" s="1" a="1"/>
  <c r="F299" i="1" s="1"/>
  <c r="I300" i="1"/>
  <c r="F300" i="1" s="1" a="1"/>
  <c r="F300" i="1" s="1"/>
  <c r="I301" i="1"/>
  <c r="F301" i="1" s="1" a="1"/>
  <c r="F301" i="1" s="1"/>
  <c r="I302" i="1"/>
  <c r="F302" i="1" s="1" a="1"/>
  <c r="F302" i="1" s="1"/>
  <c r="I303" i="1"/>
  <c r="F303" i="1" s="1" a="1"/>
  <c r="F303" i="1" s="1"/>
  <c r="I304" i="1"/>
  <c r="F304" i="1" s="1" a="1"/>
  <c r="F304" i="1" s="1"/>
  <c r="I305" i="1"/>
  <c r="F305" i="1" s="1" a="1"/>
  <c r="F305" i="1" s="1"/>
  <c r="I306" i="1"/>
  <c r="F306" i="1" s="1" a="1"/>
  <c r="F306" i="1" s="1"/>
  <c r="I307" i="1"/>
  <c r="F307" i="1" s="1" a="1"/>
  <c r="F307" i="1" s="1"/>
  <c r="I308" i="1"/>
  <c r="F308" i="1" s="1" a="1"/>
  <c r="F308" i="1" s="1"/>
  <c r="I309" i="1"/>
  <c r="F309" i="1" s="1" a="1"/>
  <c r="F309" i="1" s="1"/>
  <c r="I310" i="1"/>
  <c r="F310" i="1" s="1" a="1"/>
  <c r="F310" i="1" s="1"/>
  <c r="I311" i="1"/>
  <c r="F311" i="1" s="1" a="1"/>
  <c r="F311" i="1" s="1"/>
  <c r="I312" i="1"/>
  <c r="F312" i="1" s="1" a="1"/>
  <c r="F312" i="1" s="1"/>
  <c r="I313" i="1"/>
  <c r="F313" i="1" s="1" a="1"/>
  <c r="F313" i="1" s="1"/>
  <c r="I314" i="1"/>
  <c r="F314" i="1" s="1" a="1"/>
  <c r="F314" i="1" s="1"/>
  <c r="I315" i="1"/>
  <c r="F315" i="1" s="1" a="1"/>
  <c r="F315" i="1" s="1"/>
  <c r="I316" i="1"/>
  <c r="F316" i="1" s="1" a="1"/>
  <c r="F316" i="1" s="1"/>
  <c r="I317" i="1"/>
  <c r="F317" i="1" s="1" a="1"/>
  <c r="F317" i="1" s="1"/>
  <c r="I318" i="1"/>
  <c r="F318" i="1" s="1" a="1"/>
  <c r="F318" i="1" s="1"/>
  <c r="I319" i="1"/>
  <c r="F319" i="1" s="1" a="1"/>
  <c r="F319" i="1" s="1"/>
  <c r="I320" i="1"/>
  <c r="F320" i="1" s="1" a="1"/>
  <c r="F320" i="1" s="1"/>
  <c r="I321" i="1"/>
  <c r="F321" i="1" s="1" a="1"/>
  <c r="F321" i="1" s="1"/>
  <c r="I322" i="1"/>
  <c r="F322" i="1" s="1" a="1"/>
  <c r="F322" i="1" s="1"/>
  <c r="I323" i="1"/>
  <c r="F323" i="1" s="1" a="1"/>
  <c r="F323" i="1" s="1"/>
  <c r="I324" i="1"/>
  <c r="F324" i="1" s="1" a="1"/>
  <c r="F324" i="1" s="1"/>
  <c r="I325" i="1"/>
  <c r="F325" i="1" s="1" a="1"/>
  <c r="F325" i="1" s="1"/>
  <c r="I326" i="1"/>
  <c r="F326" i="1" s="1" a="1"/>
  <c r="F326" i="1" s="1"/>
  <c r="I327" i="1"/>
  <c r="F327" i="1" s="1" a="1"/>
  <c r="F327" i="1" s="1"/>
  <c r="I328" i="1"/>
  <c r="F328" i="1" s="1" a="1"/>
  <c r="F328" i="1" s="1"/>
  <c r="I329" i="1"/>
  <c r="F329" i="1" s="1" a="1"/>
  <c r="F329" i="1" s="1"/>
  <c r="I330" i="1"/>
  <c r="F330" i="1" s="1" a="1"/>
  <c r="F330" i="1" s="1"/>
  <c r="I332" i="1"/>
  <c r="F332" i="1" s="1" a="1"/>
  <c r="F332" i="1" s="1"/>
  <c r="I334" i="1"/>
  <c r="F334" i="1" s="1" a="1"/>
  <c r="F334" i="1" s="1"/>
  <c r="I335" i="1"/>
  <c r="F335" i="1" s="1" a="1"/>
  <c r="F335" i="1" s="1"/>
  <c r="I336" i="1"/>
  <c r="F336" i="1" s="1" a="1"/>
  <c r="F336" i="1" s="1"/>
  <c r="I338" i="1"/>
  <c r="F338" i="1" s="1" a="1"/>
  <c r="F338" i="1" s="1"/>
  <c r="I340" i="1"/>
  <c r="F340" i="1" s="1" a="1"/>
  <c r="F340" i="1" s="1"/>
  <c r="I341" i="1"/>
  <c r="F341" i="1" s="1" a="1"/>
  <c r="F341" i="1" s="1"/>
  <c r="I342" i="1"/>
  <c r="F342" i="1" s="1" a="1"/>
  <c r="F342" i="1" s="1"/>
  <c r="I343" i="1"/>
  <c r="F343" i="1" s="1" a="1"/>
  <c r="F343" i="1" s="1"/>
  <c r="I344" i="1"/>
  <c r="F344" i="1" s="1" a="1"/>
  <c r="F344" i="1" s="1"/>
  <c r="I352" i="1"/>
  <c r="F352" i="1" s="1" a="1"/>
  <c r="F352" i="1" s="1"/>
  <c r="I354" i="1"/>
  <c r="F354" i="1" s="1" a="1"/>
  <c r="F354" i="1" s="1"/>
  <c r="I355" i="1"/>
  <c r="F355" i="1" s="1" a="1"/>
  <c r="F355" i="1" s="1"/>
  <c r="I356" i="1"/>
  <c r="F356" i="1" s="1" a="1"/>
  <c r="F356" i="1" s="1"/>
  <c r="I357" i="1"/>
  <c r="F357" i="1" s="1" a="1"/>
  <c r="F357" i="1" s="1"/>
  <c r="I358" i="1"/>
  <c r="F358" i="1" s="1" a="1"/>
  <c r="F358" i="1" s="1"/>
  <c r="I359" i="1"/>
  <c r="F359" i="1" s="1" a="1"/>
  <c r="F359" i="1" s="1"/>
  <c r="I360" i="1"/>
  <c r="F360" i="1" s="1" a="1"/>
  <c r="F360" i="1" s="1"/>
  <c r="I361" i="1"/>
  <c r="F361" i="1" s="1" a="1"/>
  <c r="F361" i="1" s="1"/>
  <c r="I362" i="1"/>
  <c r="F362" i="1" s="1" a="1"/>
  <c r="F362" i="1" s="1"/>
  <c r="I363" i="1"/>
  <c r="F363" i="1" s="1" a="1"/>
  <c r="F363" i="1" s="1"/>
  <c r="I364" i="1"/>
  <c r="F364" i="1" s="1" a="1"/>
  <c r="F364" i="1" s="1"/>
  <c r="I365" i="1"/>
  <c r="F365" i="1" s="1" a="1"/>
  <c r="F365" i="1" s="1"/>
  <c r="I366" i="1"/>
  <c r="F366" i="1" s="1" a="1"/>
  <c r="F366" i="1" s="1"/>
  <c r="I367" i="1"/>
  <c r="F367" i="1" s="1" a="1"/>
  <c r="F367" i="1" s="1"/>
  <c r="I368" i="1"/>
  <c r="F368" i="1" s="1" a="1"/>
  <c r="F368" i="1" s="1"/>
  <c r="I369" i="1"/>
  <c r="F369" i="1" s="1" a="1"/>
  <c r="F369" i="1" s="1"/>
  <c r="I370" i="1"/>
  <c r="F370" i="1" s="1" a="1"/>
  <c r="F370" i="1" s="1"/>
  <c r="I371" i="1"/>
  <c r="F371" i="1" s="1" a="1"/>
  <c r="F371" i="1" s="1"/>
  <c r="I372" i="1"/>
  <c r="F372" i="1" s="1" a="1"/>
  <c r="F372" i="1" s="1"/>
  <c r="I373" i="1"/>
  <c r="F373" i="1" s="1" a="1"/>
  <c r="F373" i="1" s="1"/>
  <c r="I374" i="1"/>
  <c r="F374" i="1" s="1" a="1"/>
  <c r="F374" i="1" s="1"/>
  <c r="I375" i="1"/>
  <c r="F375" i="1" s="1" a="1"/>
  <c r="F375" i="1" s="1"/>
  <c r="I376" i="1"/>
  <c r="F376" i="1" s="1" a="1"/>
  <c r="F376" i="1" s="1"/>
  <c r="I377" i="1"/>
  <c r="F377" i="1" s="1" a="1"/>
  <c r="F377" i="1" s="1"/>
  <c r="I378" i="1"/>
  <c r="F378" i="1" s="1" a="1"/>
  <c r="F378" i="1" s="1"/>
  <c r="I379" i="1"/>
  <c r="F379" i="1" s="1" a="1"/>
  <c r="F379" i="1" s="1"/>
  <c r="I380" i="1"/>
  <c r="F380" i="1" s="1" a="1"/>
  <c r="F380" i="1" s="1"/>
  <c r="I381" i="1"/>
  <c r="F381" i="1" s="1" a="1"/>
  <c r="F381" i="1" s="1"/>
  <c r="I382" i="1"/>
  <c r="F382" i="1" s="1" a="1"/>
  <c r="F382" i="1" s="1"/>
  <c r="I384" i="1"/>
  <c r="F384" i="1" s="1" a="1"/>
  <c r="F384" i="1" s="1"/>
  <c r="I391" i="1"/>
  <c r="F391" i="1" s="1" a="1"/>
  <c r="F391" i="1" s="1"/>
  <c r="I394" i="1"/>
  <c r="F394" i="1" s="1" a="1"/>
  <c r="F394" i="1" s="1"/>
  <c r="I396" i="1"/>
  <c r="F396" i="1" s="1" a="1"/>
  <c r="F396" i="1" s="1"/>
  <c r="I398" i="1"/>
  <c r="F398" i="1" s="1" a="1"/>
  <c r="F398" i="1" s="1"/>
  <c r="I400" i="1"/>
  <c r="F400" i="1" s="1" a="1"/>
  <c r="F400" i="1" s="1"/>
  <c r="I401" i="1"/>
  <c r="F401" i="1" s="1" a="1"/>
  <c r="F401" i="1" s="1"/>
  <c r="I402" i="1"/>
  <c r="F402" i="1" s="1" a="1"/>
  <c r="F402" i="1" s="1"/>
  <c r="I403" i="1"/>
  <c r="F403" i="1" s="1" a="1"/>
  <c r="F403" i="1" s="1"/>
  <c r="I404" i="1"/>
  <c r="F404" i="1" s="1" a="1"/>
  <c r="F404" i="1" s="1"/>
  <c r="I405" i="1"/>
  <c r="F405" i="1" s="1" a="1"/>
  <c r="F405" i="1" s="1"/>
  <c r="I406" i="1"/>
  <c r="F406" i="1" s="1" a="1"/>
  <c r="F406" i="1" s="1"/>
  <c r="I407" i="1"/>
  <c r="F407" i="1" s="1" a="1"/>
  <c r="F407" i="1" s="1"/>
  <c r="I408" i="1"/>
  <c r="F408" i="1" s="1" a="1"/>
  <c r="F408" i="1" s="1"/>
  <c r="I409" i="1"/>
  <c r="F409" i="1" s="1" a="1"/>
  <c r="F409" i="1" s="1"/>
  <c r="I410" i="1"/>
  <c r="F410" i="1" s="1" a="1"/>
  <c r="F410" i="1" s="1"/>
  <c r="I411" i="1"/>
  <c r="F411" i="1" s="1" a="1"/>
  <c r="F411" i="1" s="1"/>
  <c r="I412" i="1"/>
  <c r="F412" i="1" s="1" a="1"/>
  <c r="F412" i="1" s="1"/>
  <c r="I413" i="1"/>
  <c r="F413" i="1" s="1" a="1"/>
  <c r="F413" i="1" s="1"/>
  <c r="I414" i="1"/>
  <c r="F414" i="1" s="1" a="1"/>
  <c r="F414" i="1" s="1"/>
  <c r="I415" i="1"/>
  <c r="F415" i="1" s="1" a="1"/>
  <c r="F415" i="1" s="1"/>
  <c r="I416" i="1"/>
  <c r="F416" i="1" s="1" a="1"/>
  <c r="F416" i="1" s="1"/>
  <c r="I417" i="1"/>
  <c r="F417" i="1" s="1" a="1"/>
  <c r="F417" i="1" s="1"/>
  <c r="I418" i="1"/>
  <c r="F418" i="1" s="1" a="1"/>
  <c r="F418" i="1" s="1"/>
  <c r="I419" i="1"/>
  <c r="F419" i="1" s="1" a="1"/>
  <c r="F419" i="1" s="1"/>
  <c r="I421" i="1"/>
  <c r="F421" i="1" s="1" a="1"/>
  <c r="F421" i="1" s="1"/>
  <c r="I422" i="1"/>
  <c r="F422" i="1" s="1" a="1"/>
  <c r="F422" i="1" s="1"/>
  <c r="I423" i="1"/>
  <c r="F423" i="1" s="1" a="1"/>
  <c r="F423" i="1" s="1"/>
  <c r="I424" i="1"/>
  <c r="F424" i="1" s="1" a="1"/>
  <c r="F424" i="1" s="1"/>
  <c r="I425" i="1"/>
  <c r="F425" i="1" s="1" a="1"/>
  <c r="F425" i="1" s="1"/>
  <c r="I426" i="1"/>
  <c r="F426" i="1" s="1" a="1"/>
  <c r="F426" i="1" s="1"/>
  <c r="I427" i="1"/>
  <c r="F427" i="1" s="1" a="1"/>
  <c r="F427" i="1" s="1"/>
  <c r="I428" i="1"/>
  <c r="F428" i="1" s="1" a="1"/>
  <c r="F428" i="1" s="1"/>
  <c r="I429" i="1"/>
  <c r="F429" i="1" s="1" a="1"/>
  <c r="F429" i="1" s="1"/>
  <c r="I430" i="1"/>
  <c r="F430" i="1" s="1" a="1"/>
  <c r="F430" i="1" s="1"/>
  <c r="I431" i="1"/>
  <c r="F431" i="1" s="1" a="1"/>
  <c r="F431" i="1" s="1"/>
  <c r="I432" i="1"/>
  <c r="F432" i="1" s="1" a="1"/>
  <c r="F432" i="1" s="1"/>
  <c r="I433" i="1"/>
  <c r="F433" i="1" s="1" a="1"/>
  <c r="F433" i="1" s="1"/>
  <c r="I434" i="1"/>
  <c r="F434" i="1" s="1" a="1"/>
  <c r="F434" i="1" s="1"/>
  <c r="I435" i="1"/>
  <c r="F435" i="1" s="1" a="1"/>
  <c r="F435" i="1" s="1"/>
  <c r="I436" i="1"/>
  <c r="F436" i="1" s="1" a="1"/>
  <c r="F436" i="1" s="1"/>
  <c r="I437" i="1"/>
  <c r="F437" i="1" s="1" a="1"/>
  <c r="F437" i="1" s="1"/>
  <c r="I438" i="1"/>
  <c r="F438" i="1" s="1" a="1"/>
  <c r="F438" i="1" s="1"/>
  <c r="I439" i="1"/>
  <c r="F439" i="1" s="1" a="1"/>
  <c r="F439" i="1" s="1"/>
  <c r="I440" i="1"/>
  <c r="F440" i="1" s="1" a="1"/>
  <c r="F440" i="1" s="1"/>
  <c r="I441" i="1"/>
  <c r="F441" i="1" s="1" a="1"/>
  <c r="F441" i="1" s="1"/>
  <c r="I443" i="1"/>
  <c r="F443" i="1" s="1" a="1"/>
  <c r="F443" i="1" s="1"/>
  <c r="I444" i="1"/>
  <c r="F444" i="1" s="1" a="1"/>
  <c r="F444" i="1" s="1"/>
  <c r="I445" i="1"/>
  <c r="F445" i="1" s="1" a="1"/>
  <c r="F445" i="1" s="1"/>
  <c r="I448" i="1"/>
  <c r="F448" i="1" s="1" a="1"/>
  <c r="F448" i="1" s="1"/>
  <c r="I449" i="1"/>
  <c r="F449" i="1" s="1" a="1"/>
  <c r="F449" i="1" s="1"/>
  <c r="I450" i="1"/>
  <c r="F450" i="1" s="1" a="1"/>
  <c r="F450" i="1" s="1"/>
  <c r="I453" i="1"/>
  <c r="F453" i="1" s="1" a="1"/>
  <c r="F453" i="1" s="1"/>
  <c r="I454" i="1"/>
  <c r="F454" i="1" s="1" a="1"/>
  <c r="F454" i="1" s="1"/>
  <c r="I455" i="1"/>
  <c r="F455" i="1" s="1" a="1"/>
  <c r="F455" i="1" s="1"/>
  <c r="I456" i="1"/>
  <c r="F456" i="1" s="1" a="1"/>
  <c r="F456" i="1" s="1"/>
  <c r="I457" i="1"/>
  <c r="F457" i="1" s="1" a="1"/>
  <c r="F457" i="1" s="1"/>
  <c r="I458" i="1"/>
  <c r="F458" i="1" s="1" a="1"/>
  <c r="F458" i="1" s="1"/>
  <c r="I459" i="1"/>
  <c r="F459" i="1" s="1" a="1"/>
  <c r="F459" i="1" s="1"/>
  <c r="I460" i="1"/>
  <c r="F460" i="1" s="1" a="1"/>
  <c r="F460" i="1" s="1"/>
  <c r="I466" i="1"/>
  <c r="F466" i="1" s="1" a="1"/>
  <c r="F466" i="1" s="1"/>
  <c r="I467" i="1"/>
  <c r="F467" i="1" s="1" a="1"/>
  <c r="F467" i="1" s="1"/>
  <c r="I468" i="1"/>
  <c r="F468" i="1" s="1" a="1"/>
  <c r="F468" i="1" s="1"/>
  <c r="I470" i="1"/>
  <c r="F470" i="1" s="1" a="1"/>
  <c r="F470" i="1" s="1"/>
  <c r="I471" i="1"/>
  <c r="F471" i="1" s="1" a="1"/>
  <c r="F471" i="1" s="1"/>
  <c r="I476" i="1"/>
  <c r="F476" i="1" s="1" a="1"/>
  <c r="F476" i="1" s="1"/>
  <c r="I477" i="1"/>
  <c r="F477" i="1" s="1" a="1"/>
  <c r="F477" i="1" s="1"/>
  <c r="I478" i="1"/>
  <c r="F478" i="1" s="1" a="1"/>
  <c r="F478" i="1" s="1"/>
  <c r="I479" i="1"/>
  <c r="F479" i="1" s="1" a="1"/>
  <c r="F479" i="1" s="1"/>
  <c r="I480" i="1"/>
  <c r="F480" i="1" s="1" a="1"/>
  <c r="F480" i="1" s="1"/>
  <c r="I481" i="1"/>
  <c r="F481" i="1" s="1" a="1"/>
  <c r="F481" i="1" s="1"/>
  <c r="I482" i="1"/>
  <c r="F482" i="1" s="1" a="1"/>
  <c r="F482" i="1" s="1"/>
  <c r="I7" i="1"/>
  <c r="F7" i="1" s="1" a="1"/>
  <c r="F7" i="1" s="1"/>
  <c r="I8" i="1"/>
  <c r="F8" i="1" s="1" a="1"/>
  <c r="F8" i="1" s="1"/>
  <c r="I9" i="1"/>
  <c r="F9" i="1" s="1" a="1"/>
  <c r="F9" i="1" s="1"/>
  <c r="I10" i="1"/>
  <c r="F10" i="1" s="1" a="1"/>
  <c r="F10" i="1" s="1"/>
  <c r="I11" i="1"/>
  <c r="F11" i="1" s="1" a="1"/>
  <c r="F11" i="1" s="1"/>
  <c r="I12" i="1"/>
  <c r="F12" i="1" s="1" a="1"/>
  <c r="F12" i="1" s="1"/>
  <c r="I13" i="1"/>
  <c r="F13" i="1" s="1" a="1"/>
  <c r="F13" i="1" s="1"/>
  <c r="I14" i="1"/>
  <c r="F14" i="1" s="1" a="1"/>
  <c r="F14" i="1" s="1"/>
  <c r="I15" i="1"/>
  <c r="F15" i="1" s="1" a="1"/>
  <c r="F15" i="1" s="1"/>
  <c r="I16" i="1"/>
  <c r="F16" i="1" s="1" a="1"/>
  <c r="F16" i="1" s="1"/>
  <c r="I17" i="1"/>
  <c r="F17" i="1" s="1" a="1"/>
  <c r="F17" i="1" s="1"/>
  <c r="I18" i="1"/>
  <c r="F18" i="1" s="1" a="1"/>
  <c r="F18" i="1" s="1"/>
  <c r="I19" i="1"/>
  <c r="F19" i="1" s="1" a="1"/>
  <c r="F19" i="1" s="1"/>
  <c r="I20" i="1"/>
  <c r="F20" i="1" s="1" a="1"/>
  <c r="F20" i="1" s="1"/>
  <c r="I21" i="1"/>
  <c r="F21" i="1" s="1" a="1"/>
  <c r="F21" i="1" s="1"/>
  <c r="I22" i="1"/>
  <c r="F22" i="1" s="1" a="1"/>
  <c r="F22" i="1" s="1"/>
  <c r="I23" i="1"/>
  <c r="F23" i="1" s="1" a="1"/>
  <c r="F23" i="1" s="1"/>
  <c r="I24" i="1"/>
  <c r="F24" i="1" s="1" a="1"/>
  <c r="F24" i="1" s="1"/>
  <c r="I25" i="1"/>
  <c r="F25" i="1" s="1" a="1"/>
  <c r="F25" i="1" s="1"/>
  <c r="I26" i="1"/>
  <c r="F26" i="1" s="1" a="1"/>
  <c r="F26" i="1" s="1"/>
  <c r="I27" i="1"/>
  <c r="F27" i="1" s="1" a="1"/>
  <c r="F27" i="1" s="1"/>
  <c r="I28" i="1"/>
  <c r="F28" i="1" s="1" a="1"/>
  <c r="F28" i="1" s="1"/>
  <c r="I29" i="1"/>
  <c r="F29" i="1" s="1" a="1"/>
  <c r="F29" i="1" s="1"/>
  <c r="I30" i="1"/>
  <c r="F30" i="1" s="1" a="1"/>
  <c r="F30" i="1" s="1"/>
  <c r="I31" i="1"/>
  <c r="F31" i="1" s="1" a="1"/>
  <c r="F31" i="1" s="1"/>
  <c r="I32" i="1"/>
  <c r="F32" i="1" s="1" a="1"/>
  <c r="F32" i="1" s="1"/>
  <c r="I33" i="1"/>
  <c r="F33" i="1" s="1" a="1"/>
  <c r="F33" i="1" s="1"/>
  <c r="I34" i="1"/>
  <c r="F34" i="1" s="1" a="1"/>
  <c r="F34" i="1" s="1"/>
  <c r="I35" i="1"/>
  <c r="F35" i="1" s="1" a="1"/>
  <c r="F35" i="1" s="1"/>
  <c r="I37" i="1"/>
  <c r="F37" i="1" s="1" a="1"/>
  <c r="F37" i="1" s="1"/>
  <c r="I6" i="1"/>
  <c r="F6" i="1" s="1" a="1"/>
  <c r="F6" i="1" s="1"/>
  <c r="H7" i="1"/>
  <c r="J7" i="1" s="1"/>
  <c r="H8" i="1"/>
  <c r="J8" i="1" s="1"/>
  <c r="H9" i="1"/>
  <c r="J9" i="1" s="1"/>
  <c r="H10" i="1"/>
  <c r="J10" i="1" s="1"/>
  <c r="H11" i="1"/>
  <c r="J11" i="1" s="1"/>
  <c r="H12" i="1"/>
  <c r="J12" i="1" s="1"/>
  <c r="H13" i="1"/>
  <c r="J13" i="1" s="1"/>
  <c r="H14" i="1"/>
  <c r="J14" i="1" s="1"/>
  <c r="H15" i="1"/>
  <c r="J15" i="1" s="1"/>
  <c r="H16" i="1"/>
  <c r="J16" i="1" s="1"/>
  <c r="H17" i="1"/>
  <c r="J17" i="1" s="1"/>
  <c r="H18" i="1"/>
  <c r="J18" i="1" s="1"/>
  <c r="H19" i="1"/>
  <c r="J19" i="1" s="1"/>
  <c r="H20" i="1"/>
  <c r="J20" i="1" s="1"/>
  <c r="H21" i="1"/>
  <c r="J21" i="1" s="1"/>
  <c r="H22" i="1"/>
  <c r="J22" i="1" s="1"/>
  <c r="H23" i="1"/>
  <c r="J23" i="1" s="1"/>
  <c r="H24" i="1"/>
  <c r="J24" i="1" s="1"/>
  <c r="H25" i="1"/>
  <c r="J25" i="1" s="1"/>
  <c r="H26" i="1"/>
  <c r="J26" i="1" s="1"/>
  <c r="H27" i="1"/>
  <c r="J27" i="1" s="1"/>
  <c r="H28" i="1"/>
  <c r="J28" i="1" s="1"/>
  <c r="H29" i="1"/>
  <c r="J29" i="1" s="1"/>
  <c r="H30" i="1"/>
  <c r="J30" i="1" s="1"/>
  <c r="H31" i="1"/>
  <c r="J31" i="1" s="1"/>
  <c r="H32" i="1"/>
  <c r="J32" i="1" s="1"/>
  <c r="H33" i="1"/>
  <c r="J33" i="1" s="1"/>
  <c r="H34" i="1"/>
  <c r="J34" i="1" s="1"/>
  <c r="H35" i="1"/>
  <c r="J35" i="1" s="1"/>
  <c r="H36" i="1"/>
  <c r="J36" i="1" s="1"/>
  <c r="H37" i="1"/>
  <c r="J37" i="1" s="1"/>
  <c r="H38" i="1"/>
  <c r="J38" i="1" s="1"/>
  <c r="H39" i="1"/>
  <c r="J39" i="1" s="1"/>
  <c r="H40" i="1"/>
  <c r="J40" i="1" s="1"/>
  <c r="H41" i="1"/>
  <c r="J41" i="1" s="1"/>
  <c r="H42" i="1"/>
  <c r="J42" i="1" s="1"/>
  <c r="H43" i="1"/>
  <c r="J43" i="1" s="1"/>
  <c r="H44" i="1"/>
  <c r="J44" i="1" s="1"/>
  <c r="H45" i="1"/>
  <c r="J45" i="1" s="1"/>
  <c r="H46" i="1"/>
  <c r="J46" i="1" s="1"/>
  <c r="H47" i="1"/>
  <c r="J47" i="1" s="1"/>
  <c r="H48" i="1"/>
  <c r="J48" i="1" s="1"/>
  <c r="H49" i="1"/>
  <c r="J49" i="1" s="1"/>
  <c r="H50" i="1"/>
  <c r="J50" i="1" s="1"/>
  <c r="H51" i="1"/>
  <c r="J51" i="1" s="1"/>
  <c r="G51" i="1" s="1" a="1"/>
  <c r="G51" i="1" s="1"/>
  <c r="H52" i="1"/>
  <c r="J52" i="1" s="1"/>
  <c r="G52" i="1" s="1" a="1"/>
  <c r="G52" i="1" s="1"/>
  <c r="H53" i="1"/>
  <c r="J53" i="1" s="1"/>
  <c r="G53" i="1" s="1" a="1"/>
  <c r="G53" i="1" s="1"/>
  <c r="H54" i="1"/>
  <c r="J54" i="1" s="1"/>
  <c r="G54" i="1" s="1" a="1"/>
  <c r="G54" i="1" s="1"/>
  <c r="H55" i="1"/>
  <c r="J55" i="1" s="1"/>
  <c r="G55" i="1" s="1" a="1"/>
  <c r="G55" i="1" s="1"/>
  <c r="H56" i="1"/>
  <c r="J56" i="1" s="1"/>
  <c r="G56" i="1" s="1" a="1"/>
  <c r="G56" i="1" s="1"/>
  <c r="H57" i="1"/>
  <c r="J57" i="1" s="1"/>
  <c r="G57" i="1" s="1" a="1"/>
  <c r="G57" i="1" s="1"/>
  <c r="H58" i="1"/>
  <c r="J58" i="1" s="1"/>
  <c r="G58" i="1" s="1" a="1"/>
  <c r="G58" i="1" s="1"/>
  <c r="H59" i="1"/>
  <c r="J59" i="1" s="1"/>
  <c r="G59" i="1" s="1" a="1"/>
  <c r="G59" i="1" s="1"/>
  <c r="H60" i="1"/>
  <c r="J60" i="1" s="1"/>
  <c r="G60" i="1" s="1" a="1"/>
  <c r="G60" i="1" s="1"/>
  <c r="H61" i="1"/>
  <c r="J61" i="1" s="1"/>
  <c r="G61" i="1" s="1" a="1"/>
  <c r="G61" i="1" s="1"/>
  <c r="H62" i="1"/>
  <c r="J62" i="1" s="1"/>
  <c r="G62" i="1" s="1" a="1"/>
  <c r="G62" i="1" s="1"/>
  <c r="H63" i="1"/>
  <c r="J63" i="1" s="1"/>
  <c r="G63" i="1" s="1" a="1"/>
  <c r="G63" i="1" s="1"/>
  <c r="H64" i="1"/>
  <c r="J64" i="1" s="1"/>
  <c r="G64" i="1" s="1" a="1"/>
  <c r="G64" i="1" s="1"/>
  <c r="H65" i="1"/>
  <c r="J65" i="1" s="1"/>
  <c r="G65" i="1" s="1" a="1"/>
  <c r="G65" i="1" s="1"/>
  <c r="H66" i="1"/>
  <c r="J66" i="1" s="1"/>
  <c r="H67" i="1"/>
  <c r="J67" i="1" s="1"/>
  <c r="H68" i="1"/>
  <c r="J68" i="1" s="1"/>
  <c r="H69" i="1"/>
  <c r="J69" i="1" s="1"/>
  <c r="H70" i="1"/>
  <c r="J70" i="1" s="1"/>
  <c r="H71" i="1"/>
  <c r="J71" i="1" s="1"/>
  <c r="H72" i="1"/>
  <c r="J72" i="1" s="1"/>
  <c r="H73" i="1"/>
  <c r="J73" i="1" s="1"/>
  <c r="H74" i="1"/>
  <c r="J74" i="1" s="1"/>
  <c r="H75" i="1"/>
  <c r="J75" i="1" s="1"/>
  <c r="H76" i="1"/>
  <c r="J76" i="1" s="1"/>
  <c r="H77" i="1"/>
  <c r="J77" i="1" s="1"/>
  <c r="H78" i="1"/>
  <c r="J78" i="1" s="1"/>
  <c r="H79" i="1"/>
  <c r="J79" i="1" s="1"/>
  <c r="H80" i="1"/>
  <c r="J80" i="1" s="1"/>
  <c r="H81" i="1"/>
  <c r="J81" i="1" s="1"/>
  <c r="H82" i="1"/>
  <c r="J82" i="1" s="1"/>
  <c r="H83" i="1"/>
  <c r="J83" i="1" s="1"/>
  <c r="H84" i="1"/>
  <c r="J84" i="1" s="1"/>
  <c r="H85" i="1"/>
  <c r="J85" i="1" s="1"/>
  <c r="H86" i="1"/>
  <c r="J86" i="1" s="1"/>
  <c r="H87" i="1"/>
  <c r="J87" i="1" s="1"/>
  <c r="H88" i="1"/>
  <c r="J88" i="1" s="1"/>
  <c r="H89" i="1"/>
  <c r="J89" i="1" s="1"/>
  <c r="H90" i="1"/>
  <c r="J90" i="1" s="1"/>
  <c r="H91" i="1"/>
  <c r="J91" i="1" s="1"/>
  <c r="H92" i="1"/>
  <c r="J92" i="1" s="1"/>
  <c r="H93" i="1"/>
  <c r="J93" i="1" s="1"/>
  <c r="H94" i="1"/>
  <c r="J94" i="1" s="1"/>
  <c r="H95" i="1"/>
  <c r="J95" i="1" s="1"/>
  <c r="H96" i="1"/>
  <c r="J96" i="1" s="1"/>
  <c r="H97" i="1"/>
  <c r="J97" i="1" s="1"/>
  <c r="H98" i="1"/>
  <c r="J98" i="1" s="1"/>
  <c r="H99" i="1"/>
  <c r="J99" i="1" s="1"/>
  <c r="H100" i="1"/>
  <c r="J100" i="1" s="1"/>
  <c r="H101" i="1"/>
  <c r="J101" i="1" s="1"/>
  <c r="H102" i="1"/>
  <c r="J102" i="1" s="1"/>
  <c r="H103" i="1"/>
  <c r="J103" i="1" s="1"/>
  <c r="H104" i="1"/>
  <c r="J104" i="1" s="1"/>
  <c r="H105" i="1"/>
  <c r="J105" i="1" s="1"/>
  <c r="H106" i="1"/>
  <c r="J106" i="1" s="1"/>
  <c r="H107" i="1"/>
  <c r="J107" i="1" s="1"/>
  <c r="H108" i="1"/>
  <c r="J108" i="1" s="1"/>
  <c r="H109" i="1"/>
  <c r="J109" i="1" s="1"/>
  <c r="G109" i="1" s="1" a="1"/>
  <c r="G109" i="1" s="1"/>
  <c r="H110" i="1"/>
  <c r="J110" i="1" s="1"/>
  <c r="G110" i="1" s="1" a="1"/>
  <c r="G110" i="1" s="1"/>
  <c r="H111" i="1"/>
  <c r="J111" i="1" s="1"/>
  <c r="G111" i="1" s="1" a="1"/>
  <c r="G111" i="1" s="1"/>
  <c r="H112" i="1"/>
  <c r="J112" i="1" s="1"/>
  <c r="G112" i="1" s="1" a="1"/>
  <c r="G112" i="1" s="1"/>
  <c r="H113" i="1"/>
  <c r="J113" i="1" s="1"/>
  <c r="H114" i="1"/>
  <c r="J114" i="1" s="1"/>
  <c r="H115" i="1"/>
  <c r="J115" i="1" s="1"/>
  <c r="H116" i="1"/>
  <c r="J116" i="1" s="1"/>
  <c r="H117" i="1"/>
  <c r="J117" i="1" s="1"/>
  <c r="H118" i="1"/>
  <c r="J118" i="1" s="1"/>
  <c r="H119" i="1"/>
  <c r="J119" i="1" s="1"/>
  <c r="H120" i="1"/>
  <c r="J120" i="1" s="1"/>
  <c r="H121" i="1"/>
  <c r="J121" i="1" s="1"/>
  <c r="H122" i="1"/>
  <c r="J122" i="1" s="1"/>
  <c r="H123" i="1"/>
  <c r="J123" i="1" s="1"/>
  <c r="H124" i="1"/>
  <c r="J124" i="1" s="1"/>
  <c r="H125" i="1"/>
  <c r="J125" i="1" s="1"/>
  <c r="H126" i="1"/>
  <c r="J126" i="1" s="1"/>
  <c r="H127" i="1"/>
  <c r="J127" i="1" s="1"/>
  <c r="H128" i="1"/>
  <c r="J128" i="1" s="1"/>
  <c r="H129" i="1"/>
  <c r="J129" i="1" s="1"/>
  <c r="H130" i="1"/>
  <c r="J130" i="1" s="1"/>
  <c r="H131" i="1"/>
  <c r="J131" i="1" s="1"/>
  <c r="H132" i="1"/>
  <c r="J132" i="1" s="1"/>
  <c r="H133" i="1"/>
  <c r="J133" i="1" s="1"/>
  <c r="H134" i="1"/>
  <c r="J134" i="1" s="1"/>
  <c r="H135" i="1"/>
  <c r="J135" i="1" s="1"/>
  <c r="H136" i="1"/>
  <c r="J136" i="1" s="1"/>
  <c r="H137" i="1"/>
  <c r="J137" i="1" s="1"/>
  <c r="H138" i="1"/>
  <c r="J138" i="1" s="1"/>
  <c r="H139" i="1"/>
  <c r="J139" i="1" s="1"/>
  <c r="H140" i="1"/>
  <c r="J140" i="1" s="1"/>
  <c r="H141" i="1"/>
  <c r="J141" i="1" s="1"/>
  <c r="H142" i="1"/>
  <c r="J142" i="1" s="1"/>
  <c r="H143" i="1"/>
  <c r="J143" i="1" s="1"/>
  <c r="H144" i="1"/>
  <c r="J144" i="1" s="1"/>
  <c r="H145" i="1"/>
  <c r="J145" i="1" s="1"/>
  <c r="H146" i="1"/>
  <c r="J146" i="1" s="1"/>
  <c r="H147" i="1"/>
  <c r="J147" i="1" s="1"/>
  <c r="H148" i="1"/>
  <c r="J148" i="1" s="1"/>
  <c r="H149" i="1"/>
  <c r="J149" i="1" s="1"/>
  <c r="H150" i="1"/>
  <c r="J150" i="1" s="1"/>
  <c r="H151" i="1"/>
  <c r="J151" i="1" s="1"/>
  <c r="H152" i="1"/>
  <c r="J152" i="1" s="1"/>
  <c r="H153" i="1"/>
  <c r="J153" i="1" s="1"/>
  <c r="H154" i="1"/>
  <c r="J154" i="1" s="1"/>
  <c r="H155" i="1"/>
  <c r="J155" i="1" s="1"/>
  <c r="H156" i="1"/>
  <c r="J156" i="1" s="1"/>
  <c r="H157" i="1"/>
  <c r="J157" i="1" s="1"/>
  <c r="H158" i="1"/>
  <c r="J158" i="1" s="1"/>
  <c r="H159" i="1"/>
  <c r="J159" i="1" s="1"/>
  <c r="H160" i="1"/>
  <c r="J160" i="1" s="1"/>
  <c r="H161" i="1"/>
  <c r="J161" i="1" s="1"/>
  <c r="H162" i="1"/>
  <c r="J162" i="1" s="1"/>
  <c r="H163" i="1"/>
  <c r="J163" i="1" s="1"/>
  <c r="H164" i="1"/>
  <c r="J164" i="1" s="1"/>
  <c r="H165" i="1"/>
  <c r="J165" i="1" s="1"/>
  <c r="H166" i="1"/>
  <c r="J166" i="1" s="1"/>
  <c r="H167" i="1"/>
  <c r="J167" i="1" s="1"/>
  <c r="H168" i="1"/>
  <c r="J168" i="1" s="1"/>
  <c r="H169" i="1"/>
  <c r="J169" i="1" s="1"/>
  <c r="H170" i="1"/>
  <c r="J170" i="1" s="1"/>
  <c r="H171" i="1"/>
  <c r="J171" i="1" s="1"/>
  <c r="H172" i="1"/>
  <c r="J172" i="1" s="1"/>
  <c r="H173" i="1"/>
  <c r="J173" i="1" s="1"/>
  <c r="H174" i="1"/>
  <c r="J174" i="1" s="1"/>
  <c r="H175" i="1"/>
  <c r="J175" i="1" s="1"/>
  <c r="H176" i="1"/>
  <c r="J176" i="1" s="1"/>
  <c r="H177" i="1"/>
  <c r="J177" i="1" s="1"/>
  <c r="H178" i="1"/>
  <c r="J178" i="1" s="1"/>
  <c r="H179" i="1"/>
  <c r="J179" i="1" s="1"/>
  <c r="H180" i="1"/>
  <c r="J180" i="1" s="1"/>
  <c r="H181" i="1"/>
  <c r="J181" i="1" s="1"/>
  <c r="H182" i="1"/>
  <c r="J182" i="1" s="1"/>
  <c r="H183" i="1"/>
  <c r="J183" i="1" s="1"/>
  <c r="H184" i="1"/>
  <c r="J184" i="1" s="1"/>
  <c r="H185" i="1"/>
  <c r="J185" i="1" s="1"/>
  <c r="H186" i="1"/>
  <c r="J186" i="1" s="1"/>
  <c r="H187" i="1"/>
  <c r="J187" i="1" s="1"/>
  <c r="H188" i="1"/>
  <c r="J188" i="1" s="1"/>
  <c r="H189" i="1"/>
  <c r="J189" i="1" s="1"/>
  <c r="H190" i="1"/>
  <c r="J190" i="1" s="1"/>
  <c r="H191" i="1"/>
  <c r="J191" i="1" s="1"/>
  <c r="H192" i="1"/>
  <c r="J192" i="1" s="1"/>
  <c r="H193" i="1"/>
  <c r="J193" i="1" s="1"/>
  <c r="H194" i="1"/>
  <c r="J194" i="1" s="1"/>
  <c r="H195" i="1"/>
  <c r="J195" i="1" s="1"/>
  <c r="H196" i="1"/>
  <c r="J196" i="1" s="1"/>
  <c r="H197" i="1"/>
  <c r="J197" i="1" s="1"/>
  <c r="H198" i="1"/>
  <c r="J198" i="1" s="1"/>
  <c r="H199" i="1"/>
  <c r="J199" i="1" s="1"/>
  <c r="H200" i="1"/>
  <c r="J200" i="1" s="1"/>
  <c r="H201" i="1"/>
  <c r="J201" i="1" s="1"/>
  <c r="H202" i="1"/>
  <c r="J202" i="1" s="1"/>
  <c r="H203" i="1"/>
  <c r="J203" i="1" s="1"/>
  <c r="H204" i="1"/>
  <c r="J204" i="1" s="1"/>
  <c r="H205" i="1"/>
  <c r="J205" i="1" s="1"/>
  <c r="H206" i="1"/>
  <c r="J206" i="1" s="1"/>
  <c r="H207" i="1"/>
  <c r="J207" i="1" s="1"/>
  <c r="H208" i="1"/>
  <c r="J208" i="1" s="1"/>
  <c r="H209" i="1"/>
  <c r="J209" i="1" s="1"/>
  <c r="H210" i="1"/>
  <c r="J210" i="1" s="1"/>
  <c r="H211" i="1"/>
  <c r="J211" i="1" s="1"/>
  <c r="H212" i="1"/>
  <c r="J212" i="1" s="1"/>
  <c r="H213" i="1"/>
  <c r="J213" i="1" s="1"/>
  <c r="H214" i="1"/>
  <c r="J214" i="1" s="1"/>
  <c r="H215" i="1"/>
  <c r="J215" i="1" s="1"/>
  <c r="H216" i="1"/>
  <c r="J216" i="1" s="1"/>
  <c r="H217" i="1"/>
  <c r="J217" i="1" s="1"/>
  <c r="H218" i="1"/>
  <c r="J218" i="1" s="1"/>
  <c r="H219" i="1"/>
  <c r="J219" i="1" s="1"/>
  <c r="H220" i="1"/>
  <c r="J220" i="1" s="1"/>
  <c r="H221" i="1"/>
  <c r="J221" i="1" s="1"/>
  <c r="H222" i="1"/>
  <c r="J222" i="1" s="1"/>
  <c r="H223" i="1"/>
  <c r="J223" i="1" s="1"/>
  <c r="H224" i="1"/>
  <c r="J224" i="1" s="1"/>
  <c r="H225" i="1"/>
  <c r="J225" i="1" s="1"/>
  <c r="H226" i="1"/>
  <c r="J226" i="1" s="1"/>
  <c r="H227" i="1"/>
  <c r="J227" i="1" s="1"/>
  <c r="H228" i="1"/>
  <c r="J228" i="1" s="1"/>
  <c r="H229" i="1"/>
  <c r="J229" i="1" s="1"/>
  <c r="H230" i="1"/>
  <c r="J230" i="1" s="1"/>
  <c r="H231" i="1"/>
  <c r="J231" i="1" s="1"/>
  <c r="H232" i="1"/>
  <c r="J232" i="1" s="1"/>
  <c r="H233" i="1"/>
  <c r="J233" i="1" s="1"/>
  <c r="H234" i="1"/>
  <c r="J234" i="1" s="1"/>
  <c r="H235" i="1"/>
  <c r="J235" i="1" s="1"/>
  <c r="H236" i="1"/>
  <c r="J236" i="1" s="1"/>
  <c r="H237" i="1"/>
  <c r="J237" i="1" s="1"/>
  <c r="H238" i="1"/>
  <c r="J238" i="1" s="1"/>
  <c r="H239" i="1"/>
  <c r="J239" i="1" s="1"/>
  <c r="H240" i="1"/>
  <c r="J240" i="1" s="1"/>
  <c r="H241" i="1"/>
  <c r="J241" i="1" s="1"/>
  <c r="H242" i="1"/>
  <c r="J242" i="1" s="1"/>
  <c r="H243" i="1"/>
  <c r="J243" i="1" s="1"/>
  <c r="H244" i="1"/>
  <c r="J244" i="1" s="1"/>
  <c r="H245" i="1"/>
  <c r="J245" i="1" s="1"/>
  <c r="H246" i="1"/>
  <c r="J246" i="1" s="1"/>
  <c r="H247" i="1"/>
  <c r="J247" i="1" s="1"/>
  <c r="H248" i="1"/>
  <c r="J248" i="1" s="1"/>
  <c r="H249" i="1"/>
  <c r="J249" i="1" s="1"/>
  <c r="H250" i="1"/>
  <c r="J250" i="1" s="1"/>
  <c r="H251" i="1"/>
  <c r="J251" i="1" s="1"/>
  <c r="H252" i="1"/>
  <c r="J252" i="1" s="1"/>
  <c r="H253" i="1"/>
  <c r="J253" i="1" s="1"/>
  <c r="H254" i="1"/>
  <c r="J254" i="1" s="1"/>
  <c r="H255" i="1"/>
  <c r="J255" i="1" s="1"/>
  <c r="H256" i="1"/>
  <c r="J256" i="1" s="1"/>
  <c r="G256" i="1" s="1" a="1"/>
  <c r="G256" i="1" s="1"/>
  <c r="H257" i="1"/>
  <c r="J257" i="1" s="1"/>
  <c r="G257" i="1" s="1" a="1"/>
  <c r="G257" i="1" s="1"/>
  <c r="H258" i="1"/>
  <c r="J258" i="1" s="1"/>
  <c r="G258" i="1" s="1" a="1"/>
  <c r="G258" i="1" s="1"/>
  <c r="H259" i="1"/>
  <c r="J259" i="1" s="1"/>
  <c r="H260" i="1"/>
  <c r="J260" i="1" s="1"/>
  <c r="H261" i="1"/>
  <c r="J261" i="1" s="1"/>
  <c r="H262" i="1"/>
  <c r="J262" i="1" s="1"/>
  <c r="H263" i="1"/>
  <c r="J263" i="1" s="1"/>
  <c r="H264" i="1"/>
  <c r="J264" i="1" s="1"/>
  <c r="H265" i="1"/>
  <c r="J265" i="1" s="1"/>
  <c r="H266" i="1"/>
  <c r="J266" i="1" s="1"/>
  <c r="H267" i="1"/>
  <c r="J267" i="1" s="1"/>
  <c r="H268" i="1"/>
  <c r="J268" i="1" s="1"/>
  <c r="H269" i="1"/>
  <c r="J269" i="1" s="1"/>
  <c r="H270" i="1"/>
  <c r="J270" i="1" s="1"/>
  <c r="H271" i="1"/>
  <c r="J271" i="1" s="1"/>
  <c r="H272" i="1"/>
  <c r="J272" i="1" s="1"/>
  <c r="H273" i="1"/>
  <c r="J273" i="1" s="1"/>
  <c r="H274" i="1"/>
  <c r="J274" i="1" s="1"/>
  <c r="H275" i="1"/>
  <c r="J275" i="1" s="1"/>
  <c r="H276" i="1"/>
  <c r="J276" i="1" s="1"/>
  <c r="H277" i="1"/>
  <c r="J277" i="1" s="1"/>
  <c r="H278" i="1"/>
  <c r="J278" i="1" s="1"/>
  <c r="H279" i="1"/>
  <c r="J279" i="1" s="1"/>
  <c r="H280" i="1"/>
  <c r="J280" i="1" s="1"/>
  <c r="H281" i="1"/>
  <c r="J281" i="1" s="1"/>
  <c r="H282" i="1"/>
  <c r="J282" i="1" s="1"/>
  <c r="H283" i="1"/>
  <c r="J283" i="1" s="1"/>
  <c r="H284" i="1"/>
  <c r="J284" i="1" s="1"/>
  <c r="H285" i="1"/>
  <c r="J285" i="1" s="1"/>
  <c r="H286" i="1"/>
  <c r="J286" i="1" s="1"/>
  <c r="H287" i="1"/>
  <c r="J287" i="1" s="1"/>
  <c r="H288" i="1"/>
  <c r="J288" i="1" s="1"/>
  <c r="H289" i="1"/>
  <c r="J289" i="1" s="1"/>
  <c r="H290" i="1"/>
  <c r="J290" i="1" s="1"/>
  <c r="H291" i="1"/>
  <c r="J291" i="1" s="1"/>
  <c r="H292" i="1"/>
  <c r="J292" i="1" s="1"/>
  <c r="H293" i="1"/>
  <c r="J293" i="1" s="1"/>
  <c r="H294" i="1"/>
  <c r="J294" i="1" s="1"/>
  <c r="H295" i="1"/>
  <c r="J295" i="1" s="1"/>
  <c r="H296" i="1"/>
  <c r="J296" i="1" s="1"/>
  <c r="H297" i="1"/>
  <c r="J297" i="1" s="1"/>
  <c r="H298" i="1"/>
  <c r="J298" i="1" s="1"/>
  <c r="H299" i="1"/>
  <c r="J299" i="1" s="1"/>
  <c r="H300" i="1"/>
  <c r="J300" i="1" s="1"/>
  <c r="H301" i="1"/>
  <c r="J301" i="1" s="1"/>
  <c r="H302" i="1"/>
  <c r="J302" i="1" s="1"/>
  <c r="H303" i="1"/>
  <c r="J303" i="1" s="1"/>
  <c r="H304" i="1"/>
  <c r="J304" i="1" s="1"/>
  <c r="H305" i="1"/>
  <c r="J305" i="1" s="1"/>
  <c r="H306" i="1"/>
  <c r="J306" i="1" s="1"/>
  <c r="H307" i="1"/>
  <c r="J307" i="1" s="1"/>
  <c r="H308" i="1"/>
  <c r="J308" i="1" s="1"/>
  <c r="H309" i="1"/>
  <c r="J309" i="1" s="1"/>
  <c r="H310" i="1"/>
  <c r="J310" i="1" s="1"/>
  <c r="H311" i="1"/>
  <c r="J311" i="1" s="1"/>
  <c r="H312" i="1"/>
  <c r="J312" i="1" s="1"/>
  <c r="H313" i="1"/>
  <c r="J313" i="1" s="1"/>
  <c r="H314" i="1"/>
  <c r="J314" i="1" s="1"/>
  <c r="H315" i="1"/>
  <c r="J315" i="1" s="1"/>
  <c r="H316" i="1"/>
  <c r="J316" i="1" s="1"/>
  <c r="H317" i="1"/>
  <c r="J317" i="1" s="1"/>
  <c r="H318" i="1"/>
  <c r="J318" i="1" s="1"/>
  <c r="H319" i="1"/>
  <c r="J319" i="1" s="1"/>
  <c r="H320" i="1"/>
  <c r="J320" i="1" s="1"/>
  <c r="H321" i="1"/>
  <c r="J321" i="1" s="1"/>
  <c r="H322" i="1"/>
  <c r="J322" i="1" s="1"/>
  <c r="H323" i="1"/>
  <c r="J323" i="1" s="1"/>
  <c r="H324" i="1"/>
  <c r="J324" i="1" s="1"/>
  <c r="H325" i="1"/>
  <c r="J325" i="1" s="1"/>
  <c r="H326" i="1"/>
  <c r="J326" i="1" s="1"/>
  <c r="H327" i="1"/>
  <c r="J327" i="1" s="1"/>
  <c r="G327" i="1" s="1" a="1"/>
  <c r="G327" i="1" s="1"/>
  <c r="H328" i="1"/>
  <c r="J328" i="1" s="1"/>
  <c r="G328" i="1" s="1" a="1"/>
  <c r="G328" i="1" s="1"/>
  <c r="H329" i="1"/>
  <c r="J329" i="1" s="1"/>
  <c r="G329" i="1" s="1" a="1"/>
  <c r="G329" i="1" s="1"/>
  <c r="H330" i="1"/>
  <c r="J330" i="1" s="1"/>
  <c r="H331" i="1"/>
  <c r="J331" i="1" s="1"/>
  <c r="H332" i="1"/>
  <c r="J332" i="1" s="1"/>
  <c r="H333" i="1"/>
  <c r="J333" i="1" s="1"/>
  <c r="H334" i="1"/>
  <c r="J334" i="1" s="1"/>
  <c r="H335" i="1"/>
  <c r="J335" i="1" s="1"/>
  <c r="H336" i="1"/>
  <c r="J336" i="1" s="1"/>
  <c r="H337" i="1"/>
  <c r="J337" i="1" s="1"/>
  <c r="H338" i="1"/>
  <c r="J338" i="1" s="1"/>
  <c r="H339" i="1"/>
  <c r="J339" i="1" s="1"/>
  <c r="H340" i="1"/>
  <c r="J340" i="1" s="1"/>
  <c r="H341" i="1"/>
  <c r="J341" i="1" s="1"/>
  <c r="H342" i="1"/>
  <c r="J342" i="1" s="1"/>
  <c r="H343" i="1"/>
  <c r="J343" i="1" s="1"/>
  <c r="H344" i="1"/>
  <c r="J344" i="1" s="1"/>
  <c r="H345" i="1"/>
  <c r="J345" i="1" s="1"/>
  <c r="H346" i="1"/>
  <c r="J346" i="1" s="1"/>
  <c r="H347" i="1"/>
  <c r="J347" i="1" s="1"/>
  <c r="H348" i="1"/>
  <c r="J348" i="1" s="1"/>
  <c r="H349" i="1"/>
  <c r="J349" i="1" s="1"/>
  <c r="H350" i="1"/>
  <c r="J350" i="1" s="1"/>
  <c r="H351" i="1"/>
  <c r="J351" i="1" s="1"/>
  <c r="H352" i="1"/>
  <c r="J352" i="1" s="1"/>
  <c r="H353" i="1"/>
  <c r="J353" i="1" s="1"/>
  <c r="H354" i="1"/>
  <c r="J354" i="1" s="1"/>
  <c r="H355" i="1"/>
  <c r="J355" i="1" s="1"/>
  <c r="H356" i="1"/>
  <c r="J356" i="1" s="1"/>
  <c r="H357" i="1"/>
  <c r="J357" i="1" s="1"/>
  <c r="H358" i="1"/>
  <c r="J358" i="1" s="1"/>
  <c r="H359" i="1"/>
  <c r="J359" i="1" s="1"/>
  <c r="H360" i="1"/>
  <c r="J360" i="1" s="1"/>
  <c r="H361" i="1"/>
  <c r="J361" i="1" s="1"/>
  <c r="H362" i="1"/>
  <c r="J362" i="1" s="1"/>
  <c r="H363" i="1"/>
  <c r="J363" i="1" s="1"/>
  <c r="H364" i="1"/>
  <c r="J364" i="1" s="1"/>
  <c r="H365" i="1"/>
  <c r="J365" i="1" s="1"/>
  <c r="G365" i="1" s="1" a="1"/>
  <c r="G365" i="1" s="1"/>
  <c r="H366" i="1"/>
  <c r="J366" i="1" s="1"/>
  <c r="G366" i="1" s="1" a="1"/>
  <c r="G366" i="1" s="1"/>
  <c r="H367" i="1"/>
  <c r="J367" i="1" s="1"/>
  <c r="G367" i="1" s="1" a="1"/>
  <c r="G367" i="1" s="1"/>
  <c r="H368" i="1"/>
  <c r="J368" i="1" s="1"/>
  <c r="G368" i="1" s="1" a="1"/>
  <c r="G368" i="1" s="1"/>
  <c r="H369" i="1"/>
  <c r="J369" i="1" s="1"/>
  <c r="G369" i="1" s="1" a="1"/>
  <c r="G369" i="1" s="1"/>
  <c r="H370" i="1"/>
  <c r="J370" i="1" s="1"/>
  <c r="G370" i="1" s="1" a="1"/>
  <c r="G370" i="1" s="1"/>
  <c r="H371" i="1"/>
  <c r="J371" i="1" s="1"/>
  <c r="H372" i="1"/>
  <c r="J372" i="1" s="1"/>
  <c r="H373" i="1"/>
  <c r="J373" i="1" s="1"/>
  <c r="H374" i="1"/>
  <c r="J374" i="1" s="1"/>
  <c r="H375" i="1"/>
  <c r="J375" i="1" s="1"/>
  <c r="H376" i="1"/>
  <c r="J376" i="1" s="1"/>
  <c r="H377" i="1"/>
  <c r="J377" i="1" s="1"/>
  <c r="H378" i="1"/>
  <c r="J378" i="1" s="1"/>
  <c r="H379" i="1"/>
  <c r="J379" i="1" s="1"/>
  <c r="H380" i="1"/>
  <c r="J380" i="1" s="1"/>
  <c r="H381" i="1"/>
  <c r="J381" i="1" s="1"/>
  <c r="H382" i="1"/>
  <c r="J382" i="1" s="1"/>
  <c r="H383" i="1"/>
  <c r="J383" i="1" s="1"/>
  <c r="H384" i="1"/>
  <c r="J384" i="1" s="1"/>
  <c r="H385" i="1"/>
  <c r="J385" i="1" s="1"/>
  <c r="H386" i="1"/>
  <c r="J386" i="1" s="1"/>
  <c r="H387" i="1"/>
  <c r="J387" i="1" s="1"/>
  <c r="H388" i="1"/>
  <c r="J388" i="1" s="1"/>
  <c r="H389" i="1"/>
  <c r="J389" i="1" s="1"/>
  <c r="H390" i="1"/>
  <c r="J390" i="1" s="1"/>
  <c r="H391" i="1"/>
  <c r="J391" i="1" s="1"/>
  <c r="H392" i="1"/>
  <c r="J392" i="1" s="1"/>
  <c r="H393" i="1"/>
  <c r="J393" i="1" s="1"/>
  <c r="H394" i="1"/>
  <c r="J394" i="1" s="1"/>
  <c r="H395" i="1"/>
  <c r="J395" i="1" s="1"/>
  <c r="H396" i="1"/>
  <c r="J396" i="1" s="1"/>
  <c r="H397" i="1"/>
  <c r="J397" i="1" s="1"/>
  <c r="H398" i="1"/>
  <c r="J398" i="1" s="1"/>
  <c r="H399" i="1"/>
  <c r="J399" i="1" s="1"/>
  <c r="H400" i="1"/>
  <c r="J400" i="1" s="1"/>
  <c r="H401" i="1"/>
  <c r="J401" i="1" s="1"/>
  <c r="H402" i="1"/>
  <c r="J402" i="1" s="1"/>
  <c r="H403" i="1"/>
  <c r="J403" i="1" s="1"/>
  <c r="H404" i="1"/>
  <c r="J404" i="1" s="1"/>
  <c r="H405" i="1"/>
  <c r="J405" i="1" s="1"/>
  <c r="H406" i="1"/>
  <c r="J406" i="1" s="1"/>
  <c r="H407" i="1"/>
  <c r="J407" i="1" s="1"/>
  <c r="H408" i="1"/>
  <c r="J408" i="1" s="1"/>
  <c r="G408" i="1" s="1" a="1"/>
  <c r="G408" i="1" s="1"/>
  <c r="H409" i="1"/>
  <c r="J409" i="1" s="1"/>
  <c r="G409" i="1" s="1" a="1"/>
  <c r="G409" i="1" s="1"/>
  <c r="H410" i="1"/>
  <c r="J410" i="1" s="1"/>
  <c r="G410" i="1" s="1" a="1"/>
  <c r="G410" i="1" s="1"/>
  <c r="H411" i="1"/>
  <c r="J411" i="1" s="1"/>
  <c r="G411" i="1" s="1" a="1"/>
  <c r="G411" i="1" s="1"/>
  <c r="H412" i="1"/>
  <c r="J412" i="1" s="1"/>
  <c r="G412" i="1" s="1" a="1"/>
  <c r="G412" i="1" s="1"/>
  <c r="H413" i="1"/>
  <c r="J413" i="1" s="1"/>
  <c r="H414" i="1"/>
  <c r="J414" i="1" s="1"/>
  <c r="H415" i="1"/>
  <c r="J415" i="1" s="1"/>
  <c r="H416" i="1"/>
  <c r="J416" i="1" s="1"/>
  <c r="H417" i="1"/>
  <c r="J417" i="1" s="1"/>
  <c r="H418" i="1"/>
  <c r="J418" i="1" s="1"/>
  <c r="H419" i="1"/>
  <c r="J419" i="1" s="1"/>
  <c r="H420" i="1"/>
  <c r="J420" i="1" s="1"/>
  <c r="H421" i="1"/>
  <c r="J421" i="1" s="1"/>
  <c r="H422" i="1"/>
  <c r="J422" i="1" s="1"/>
  <c r="H423" i="1"/>
  <c r="J423" i="1" s="1"/>
  <c r="G423" i="1" s="1" a="1"/>
  <c r="G423" i="1" s="1"/>
  <c r="H424" i="1"/>
  <c r="J424" i="1" s="1"/>
  <c r="G424" i="1" s="1" a="1"/>
  <c r="G424" i="1" s="1"/>
  <c r="H425" i="1"/>
  <c r="J425" i="1" s="1"/>
  <c r="G425" i="1" s="1" a="1"/>
  <c r="G425" i="1" s="1"/>
  <c r="H426" i="1"/>
  <c r="J426" i="1" s="1"/>
  <c r="G426" i="1" s="1" a="1"/>
  <c r="G426" i="1" s="1"/>
  <c r="H427" i="1"/>
  <c r="J427" i="1" s="1"/>
  <c r="G427" i="1" s="1" a="1"/>
  <c r="G427" i="1" s="1"/>
  <c r="H428" i="1"/>
  <c r="J428" i="1" s="1"/>
  <c r="G428" i="1" s="1" a="1"/>
  <c r="G428" i="1" s="1"/>
  <c r="H429" i="1"/>
  <c r="J429" i="1" s="1"/>
  <c r="G429" i="1" s="1" a="1"/>
  <c r="G429" i="1" s="1"/>
  <c r="H430" i="1"/>
  <c r="J430" i="1" s="1"/>
  <c r="G430" i="1" s="1" a="1"/>
  <c r="G430" i="1" s="1"/>
  <c r="H431" i="1"/>
  <c r="J431" i="1" s="1"/>
  <c r="G431" i="1" s="1" a="1"/>
  <c r="G431" i="1" s="1"/>
  <c r="H432" i="1"/>
  <c r="J432" i="1" s="1"/>
  <c r="G432" i="1" s="1" a="1"/>
  <c r="G432" i="1" s="1"/>
  <c r="H433" i="1"/>
  <c r="J433" i="1" s="1"/>
  <c r="H434" i="1"/>
  <c r="J434" i="1" s="1"/>
  <c r="H435" i="1"/>
  <c r="J435" i="1" s="1"/>
  <c r="H436" i="1"/>
  <c r="J436" i="1" s="1"/>
  <c r="H437" i="1"/>
  <c r="J437" i="1" s="1"/>
  <c r="G437" i="1" s="1" a="1"/>
  <c r="G437" i="1" s="1"/>
  <c r="H438" i="1"/>
  <c r="J438" i="1" s="1"/>
  <c r="G438" i="1" s="1" a="1"/>
  <c r="G438" i="1" s="1"/>
  <c r="H439" i="1"/>
  <c r="J439" i="1" s="1"/>
  <c r="G439" i="1" s="1" a="1"/>
  <c r="G439" i="1" s="1"/>
  <c r="H440" i="1"/>
  <c r="J440" i="1" s="1"/>
  <c r="H441" i="1"/>
  <c r="J441" i="1" s="1"/>
  <c r="H442" i="1"/>
  <c r="J442" i="1" s="1"/>
  <c r="H443" i="1"/>
  <c r="J443" i="1" s="1"/>
  <c r="H444" i="1"/>
  <c r="J444" i="1" s="1"/>
  <c r="H445" i="1"/>
  <c r="J445" i="1" s="1"/>
  <c r="H446" i="1"/>
  <c r="J446" i="1" s="1"/>
  <c r="H447" i="1"/>
  <c r="J447" i="1" s="1"/>
  <c r="H448" i="1"/>
  <c r="J448" i="1" s="1"/>
  <c r="H449" i="1"/>
  <c r="J449" i="1" s="1"/>
  <c r="H450" i="1"/>
  <c r="J450" i="1" s="1"/>
  <c r="H451" i="1"/>
  <c r="J451" i="1" s="1"/>
  <c r="H452" i="1"/>
  <c r="J452" i="1" s="1"/>
  <c r="H453" i="1"/>
  <c r="J453" i="1" s="1"/>
  <c r="H454" i="1"/>
  <c r="J454" i="1" s="1"/>
  <c r="H455" i="1"/>
  <c r="J455" i="1" s="1"/>
  <c r="H456" i="1"/>
  <c r="J456" i="1" s="1"/>
  <c r="H457" i="1"/>
  <c r="J457" i="1" s="1"/>
  <c r="H458" i="1"/>
  <c r="J458" i="1" s="1"/>
  <c r="H459" i="1"/>
  <c r="J459" i="1" s="1"/>
  <c r="H460" i="1"/>
  <c r="J460" i="1" s="1"/>
  <c r="H461" i="1"/>
  <c r="J461" i="1" s="1"/>
  <c r="H462" i="1"/>
  <c r="J462" i="1" s="1"/>
  <c r="H463" i="1"/>
  <c r="J463" i="1" s="1"/>
  <c r="H464" i="1"/>
  <c r="J464" i="1" s="1"/>
  <c r="H465" i="1"/>
  <c r="J465" i="1" s="1"/>
  <c r="H466" i="1"/>
  <c r="J466" i="1" s="1"/>
  <c r="H467" i="1"/>
  <c r="J467" i="1" s="1"/>
  <c r="H468" i="1"/>
  <c r="J468" i="1" s="1"/>
  <c r="H469" i="1"/>
  <c r="J469" i="1" s="1"/>
  <c r="H470" i="1"/>
  <c r="J470" i="1" s="1"/>
  <c r="H471" i="1"/>
  <c r="J471" i="1" s="1"/>
  <c r="H472" i="1"/>
  <c r="J472" i="1" s="1"/>
  <c r="H473" i="1"/>
  <c r="J473" i="1" s="1"/>
  <c r="H474" i="1"/>
  <c r="J474" i="1" s="1"/>
  <c r="H475" i="1"/>
  <c r="J475" i="1" s="1"/>
  <c r="H476" i="1"/>
  <c r="J476" i="1" s="1"/>
  <c r="H477" i="1"/>
  <c r="J477" i="1" s="1"/>
  <c r="H478" i="1"/>
  <c r="J478" i="1" s="1"/>
  <c r="H479" i="1"/>
  <c r="J479" i="1" s="1"/>
  <c r="H480" i="1"/>
  <c r="J480" i="1" s="1"/>
  <c r="H481" i="1"/>
  <c r="J481" i="1" s="1"/>
  <c r="H482" i="1"/>
  <c r="J482" i="1" s="1"/>
  <c r="H483" i="1"/>
  <c r="J483" i="1" s="1"/>
  <c r="H6" i="1"/>
  <c r="I666" i="2" l="1"/>
  <c r="I608" i="2"/>
  <c r="I356" i="2"/>
  <c r="I495" i="2"/>
  <c r="I131" i="2"/>
  <c r="I326" i="2"/>
  <c r="I577" i="2"/>
  <c r="I269" i="2"/>
  <c r="I562" i="2"/>
  <c r="I268" i="2"/>
  <c r="I646" i="2"/>
  <c r="I379" i="2"/>
  <c r="I621" i="2"/>
  <c r="I588" i="2"/>
  <c r="I322" i="2"/>
  <c r="I433" i="2"/>
  <c r="I55" i="2"/>
  <c r="I250" i="2"/>
  <c r="I629" i="2"/>
  <c r="I572" i="2"/>
  <c r="I543" i="2"/>
  <c r="I221" i="2"/>
  <c r="I598" i="2"/>
  <c r="I374" i="2"/>
  <c r="I667" i="2"/>
  <c r="I471" i="2"/>
  <c r="I79" i="2"/>
  <c r="I372" i="2"/>
  <c r="I50" i="2"/>
  <c r="I455" i="2"/>
  <c r="I133" i="2"/>
  <c r="I638" i="2"/>
  <c r="I594" i="2"/>
  <c r="I328" i="2"/>
  <c r="I481" i="2"/>
  <c r="I117" i="2"/>
  <c r="I298" i="2"/>
  <c r="I563" i="2"/>
  <c r="I227" i="2"/>
  <c r="I520" i="2"/>
  <c r="I226" i="2"/>
  <c r="I645" i="2"/>
  <c r="I351" i="2"/>
  <c r="I523" i="2"/>
  <c r="I574" i="2"/>
  <c r="I266" i="2"/>
  <c r="I419" i="2"/>
  <c r="I27" i="2"/>
  <c r="I222" i="2"/>
  <c r="I615" i="2"/>
  <c r="I558" i="2"/>
  <c r="I529" i="2"/>
  <c r="I207" i="2"/>
  <c r="I584" i="2"/>
  <c r="I360" i="2"/>
  <c r="I653" i="2"/>
  <c r="I457" i="2"/>
  <c r="I65" i="2"/>
  <c r="I36" i="2"/>
  <c r="I441" i="2"/>
  <c r="I119" i="2"/>
  <c r="I624" i="2"/>
  <c r="I566" i="2"/>
  <c r="I244" i="2"/>
  <c r="I453" i="2"/>
  <c r="I89" i="2"/>
  <c r="I284" i="2"/>
  <c r="I521" i="2"/>
  <c r="I213" i="2"/>
  <c r="I506" i="2"/>
  <c r="I128" i="2"/>
  <c r="I631" i="2"/>
  <c r="I337" i="2"/>
  <c r="I648" i="2"/>
  <c r="I560" i="2"/>
  <c r="I252" i="2"/>
  <c r="I405" i="2"/>
  <c r="I13" i="2"/>
  <c r="I208" i="2"/>
  <c r="I587" i="2"/>
  <c r="I544" i="2"/>
  <c r="I515" i="2"/>
  <c r="I179" i="2"/>
  <c r="I570" i="2"/>
  <c r="I332" i="2"/>
  <c r="I639" i="2"/>
  <c r="I429" i="2"/>
  <c r="I51" i="2"/>
  <c r="I330" i="2"/>
  <c r="I8" i="2"/>
  <c r="I427" i="2"/>
  <c r="I91" i="2"/>
  <c r="I61" i="2"/>
  <c r="I493" i="2"/>
  <c r="I610" i="2"/>
  <c r="I538" i="2"/>
  <c r="I230" i="2"/>
  <c r="I439" i="2"/>
  <c r="I75" i="2"/>
  <c r="I228" i="2"/>
  <c r="I507" i="2"/>
  <c r="I129" i="2"/>
  <c r="I492" i="2"/>
  <c r="I114" i="2"/>
  <c r="I589" i="2"/>
  <c r="I323" i="2"/>
  <c r="I606" i="2"/>
  <c r="I532" i="2"/>
  <c r="I224" i="2"/>
  <c r="I391" i="2"/>
  <c r="I502" i="2"/>
  <c r="I166" i="2"/>
  <c r="I573" i="2"/>
  <c r="I530" i="2"/>
  <c r="I501" i="2"/>
  <c r="I109" i="2"/>
  <c r="I556" i="2"/>
  <c r="I318" i="2"/>
  <c r="I625" i="2"/>
  <c r="I415" i="2"/>
  <c r="I37" i="2"/>
  <c r="I316" i="2"/>
  <c r="I637" i="2"/>
  <c r="I413" i="2"/>
  <c r="I77" i="2"/>
  <c r="J6" i="1"/>
  <c r="I425" i="2"/>
  <c r="I214" i="2"/>
  <c r="I115" i="2"/>
  <c r="I478" i="2"/>
  <c r="I100" i="2"/>
  <c r="I281" i="2"/>
  <c r="I518" i="2"/>
  <c r="I126" i="2"/>
  <c r="I488" i="2"/>
  <c r="I559" i="2"/>
  <c r="I487" i="2"/>
  <c r="I95" i="2"/>
  <c r="I248" i="2"/>
  <c r="I401" i="2"/>
  <c r="I246" i="2"/>
  <c r="I623" i="2"/>
  <c r="I63" i="2"/>
  <c r="I596" i="2"/>
  <c r="I524" i="2"/>
  <c r="I216" i="2"/>
  <c r="I575" i="2"/>
  <c r="I564" i="2"/>
  <c r="I377" i="2"/>
  <c r="I110" i="2"/>
  <c r="I516" i="2"/>
  <c r="I542" i="2"/>
  <c r="I611" i="2"/>
  <c r="I9" i="2"/>
  <c r="I399" i="2"/>
  <c r="I582" i="2"/>
  <c r="I510" i="2"/>
  <c r="I146" i="2"/>
  <c r="I411" i="2"/>
  <c r="I47" i="2"/>
  <c r="I130" i="2"/>
  <c r="I479" i="2"/>
  <c r="I87" i="2"/>
  <c r="I436" i="2"/>
  <c r="I86" i="2"/>
  <c r="I561" i="2"/>
  <c r="I267" i="2"/>
  <c r="I508" i="2"/>
  <c r="I504" i="2"/>
  <c r="I112" i="2"/>
  <c r="I335" i="2"/>
  <c r="I474" i="2"/>
  <c r="I96" i="2"/>
  <c r="I531" i="2"/>
  <c r="I669" i="2"/>
  <c r="I473" i="2"/>
  <c r="I81" i="2"/>
  <c r="I528" i="2"/>
  <c r="I220" i="2"/>
  <c r="I597" i="2"/>
  <c r="I373" i="2"/>
  <c r="I498" i="2"/>
  <c r="I232" i="2"/>
  <c r="I609" i="2"/>
  <c r="I385" i="2"/>
  <c r="I49" i="2"/>
  <c r="I568" i="2"/>
  <c r="I496" i="2"/>
  <c r="I132" i="2"/>
  <c r="I383" i="2"/>
  <c r="I33" i="2"/>
  <c r="I116" i="2"/>
  <c r="I451" i="2"/>
  <c r="I73" i="2"/>
  <c r="I422" i="2"/>
  <c r="I72" i="2"/>
  <c r="I533" i="2"/>
  <c r="I225" i="2"/>
  <c r="I661" i="2"/>
  <c r="I490" i="2"/>
  <c r="I98" i="2"/>
  <c r="I321" i="2"/>
  <c r="I432" i="2"/>
  <c r="I82" i="2"/>
  <c r="I517" i="2"/>
  <c r="I655" i="2"/>
  <c r="I431" i="2"/>
  <c r="I53" i="2"/>
  <c r="I514" i="2"/>
  <c r="I178" i="2"/>
  <c r="I583" i="2"/>
  <c r="I359" i="2"/>
  <c r="I484" i="2"/>
  <c r="I218" i="2"/>
  <c r="I595" i="2"/>
  <c r="I357" i="2"/>
  <c r="I35" i="2"/>
  <c r="I540" i="2"/>
  <c r="I482" i="2"/>
  <c r="I118" i="2"/>
  <c r="I355" i="2"/>
  <c r="I19" i="2"/>
  <c r="I88" i="2"/>
  <c r="I437" i="2"/>
  <c r="I31" i="2"/>
  <c r="I408" i="2"/>
  <c r="I30" i="2"/>
  <c r="I519" i="2"/>
  <c r="I127" i="2"/>
  <c r="I633" i="2"/>
  <c r="I476" i="2"/>
  <c r="I84" i="2"/>
  <c r="I265" i="2"/>
  <c r="I418" i="2"/>
  <c r="I54" i="2"/>
  <c r="I670" i="2"/>
  <c r="I641" i="2"/>
  <c r="I417" i="2"/>
  <c r="I39" i="2"/>
  <c r="I500" i="2"/>
  <c r="I108" i="2"/>
  <c r="I569" i="2"/>
  <c r="I331" i="2"/>
  <c r="I470" i="2"/>
  <c r="I190" i="2"/>
  <c r="I567" i="2"/>
  <c r="I329" i="2"/>
  <c r="I7" i="2"/>
  <c r="I148" i="2"/>
  <c r="I526" i="2"/>
  <c r="I468" i="2"/>
  <c r="I90" i="2"/>
  <c r="I327" i="2"/>
  <c r="I480" i="2"/>
  <c r="I74" i="2"/>
  <c r="I423" i="2"/>
  <c r="I663" i="2"/>
  <c r="I380" i="2"/>
  <c r="I16" i="2"/>
  <c r="I505" i="2"/>
  <c r="I113" i="2"/>
  <c r="I660" i="2"/>
  <c r="I434" i="2"/>
  <c r="I56" i="2"/>
  <c r="I251" i="2"/>
  <c r="I404" i="2"/>
  <c r="I40" i="2"/>
  <c r="I656" i="2"/>
  <c r="I627" i="2"/>
  <c r="I403" i="2"/>
  <c r="I11" i="2"/>
  <c r="I486" i="2"/>
  <c r="I94" i="2"/>
  <c r="I555" i="2"/>
  <c r="I317" i="2"/>
  <c r="I456" i="2"/>
  <c r="I539" i="2"/>
  <c r="I315" i="2"/>
  <c r="I6" i="2"/>
  <c r="I512" i="2"/>
  <c r="I454" i="2"/>
  <c r="I76" i="2"/>
  <c r="I299" i="2"/>
  <c r="I452" i="2"/>
  <c r="I60" i="2"/>
  <c r="I409" i="2"/>
  <c r="I593" i="2"/>
  <c r="I352" i="2"/>
  <c r="I635" i="2"/>
  <c r="I491" i="2"/>
  <c r="I99" i="2"/>
  <c r="I659" i="2"/>
  <c r="I420" i="2"/>
  <c r="I28" i="2"/>
  <c r="I223" i="2"/>
  <c r="I390" i="2"/>
  <c r="I26" i="2"/>
  <c r="I642" i="2"/>
  <c r="I613" i="2"/>
  <c r="I389" i="2"/>
  <c r="I668" i="2"/>
  <c r="I472" i="2"/>
  <c r="I80" i="2"/>
  <c r="I541" i="2"/>
  <c r="I247" i="2"/>
  <c r="I442" i="2"/>
  <c r="I134" i="2"/>
  <c r="I525" i="2"/>
  <c r="I245" i="2"/>
  <c r="I48" i="2"/>
  <c r="I632" i="2"/>
  <c r="I634" i="2"/>
  <c r="I57" i="2"/>
  <c r="I378" i="2"/>
  <c r="I111" i="2"/>
  <c r="I671" i="2"/>
  <c r="I665" i="2"/>
  <c r="I440" i="2"/>
  <c r="I62" i="2"/>
  <c r="I285" i="2"/>
  <c r="I438" i="2"/>
  <c r="I32" i="2"/>
  <c r="I353" i="2"/>
  <c r="I537" i="2"/>
  <c r="I338" i="2"/>
  <c r="I607" i="2"/>
  <c r="I477" i="2"/>
  <c r="I85" i="2"/>
  <c r="I672" i="2"/>
  <c r="I406" i="2"/>
  <c r="I14" i="2"/>
  <c r="I209" i="2"/>
  <c r="I376" i="2"/>
  <c r="I12" i="2"/>
  <c r="I628" i="2"/>
  <c r="I599" i="2"/>
  <c r="I375" i="2"/>
  <c r="I654" i="2"/>
  <c r="I458" i="2"/>
  <c r="I66" i="2"/>
  <c r="I527" i="2"/>
  <c r="I219" i="2"/>
  <c r="I428" i="2"/>
  <c r="I120" i="2"/>
  <c r="I511" i="2"/>
  <c r="I231" i="2"/>
  <c r="I426" i="2"/>
  <c r="I229" i="2"/>
  <c r="I424" i="2"/>
  <c r="I662" i="2"/>
  <c r="I325" i="2"/>
  <c r="I324" i="2"/>
  <c r="I435" i="2"/>
  <c r="I658" i="2"/>
  <c r="I503" i="2"/>
  <c r="I334" i="2"/>
  <c r="I614" i="2"/>
  <c r="I585" i="2"/>
  <c r="I664" i="2"/>
  <c r="I636" i="2"/>
  <c r="I412" i="2"/>
  <c r="I34" i="2"/>
  <c r="I215" i="2"/>
  <c r="I410" i="2"/>
  <c r="I522" i="2"/>
  <c r="I297" i="2"/>
  <c r="I590" i="2"/>
  <c r="I296" i="2"/>
  <c r="I578" i="2"/>
  <c r="I421" i="2"/>
  <c r="I29" i="2"/>
  <c r="I644" i="2"/>
  <c r="I350" i="2"/>
  <c r="I489" i="2"/>
  <c r="I97" i="2"/>
  <c r="I320" i="2"/>
  <c r="I657" i="2"/>
  <c r="I600" i="2"/>
  <c r="I571" i="2"/>
  <c r="I319" i="2"/>
  <c r="I626" i="2"/>
  <c r="I416" i="2"/>
  <c r="I38" i="2"/>
  <c r="I499" i="2"/>
  <c r="I107" i="2"/>
  <c r="I400" i="2"/>
  <c r="I78" i="2"/>
  <c r="I483" i="2"/>
  <c r="I189" i="2"/>
  <c r="I622" i="2"/>
  <c r="I384" i="2"/>
  <c r="I509" i="2"/>
  <c r="I145" i="2"/>
  <c r="I354" i="2"/>
  <c r="I494" i="2"/>
  <c r="I283" i="2"/>
  <c r="I576" i="2"/>
  <c r="I282" i="2"/>
  <c r="I647" i="2"/>
  <c r="I407" i="2"/>
  <c r="I15" i="2"/>
  <c r="I630" i="2"/>
  <c r="I336" i="2"/>
  <c r="I475" i="2"/>
  <c r="I83" i="2"/>
  <c r="I264" i="2"/>
  <c r="I643" i="2"/>
  <c r="I586" i="2"/>
  <c r="I557" i="2"/>
  <c r="I249" i="2"/>
  <c r="I612" i="2"/>
  <c r="I402" i="2"/>
  <c r="I10" i="2"/>
  <c r="I485" i="2"/>
  <c r="I93" i="2"/>
  <c r="I386" i="2"/>
  <c r="I64" i="2"/>
  <c r="I469" i="2"/>
  <c r="I147" i="2"/>
  <c r="I358" i="2"/>
  <c r="I333" i="2"/>
  <c r="I640" i="2"/>
  <c r="I430" i="2"/>
  <c r="I414" i="2"/>
  <c r="I52" i="2"/>
  <c r="I92" i="2"/>
  <c r="I513" i="2"/>
  <c r="I149" i="2"/>
  <c r="I497" i="2"/>
  <c r="I217" i="2"/>
  <c r="I94" i="1"/>
  <c r="F94" i="1" s="1" a="1"/>
  <c r="F94" i="1" s="1"/>
  <c r="I154" i="1"/>
  <c r="F154" i="1" s="1" a="1"/>
  <c r="F154" i="1" s="1"/>
  <c r="I260" i="1"/>
  <c r="F260" i="1" s="1" a="1"/>
  <c r="F260" i="1" s="1"/>
  <c r="I129" i="1"/>
  <c r="F129" i="1" s="1" a="1"/>
  <c r="F129" i="1" s="1"/>
  <c r="I198" i="1"/>
  <c r="F198" i="1" s="1" a="1"/>
  <c r="F198" i="1" s="1"/>
  <c r="I36" i="1"/>
  <c r="F36" i="1" s="1" a="1"/>
  <c r="F36" i="1" s="1"/>
  <c r="I387" i="1"/>
  <c r="F387" i="1" s="1" a="1"/>
  <c r="F387" i="1" s="1"/>
  <c r="I345" i="1"/>
  <c r="F345" i="1" s="1" a="1"/>
  <c r="F345" i="1" s="1"/>
  <c r="I331" i="1"/>
  <c r="F331" i="1" s="1" a="1"/>
  <c r="F331" i="1" s="1"/>
  <c r="I275" i="1"/>
  <c r="F275" i="1" s="1" a="1"/>
  <c r="F275" i="1" s="1"/>
  <c r="I442" i="1"/>
  <c r="F442" i="1" s="1" a="1"/>
  <c r="F442" i="1" s="1"/>
  <c r="I386" i="1"/>
  <c r="F386" i="1" s="1" a="1"/>
  <c r="F386" i="1" s="1"/>
  <c r="I148" i="1"/>
  <c r="F148" i="1" s="1" a="1"/>
  <c r="F148" i="1" s="1"/>
  <c r="I483" i="1"/>
  <c r="F483" i="1" s="1" a="1"/>
  <c r="F483" i="1" s="1"/>
  <c r="I469" i="1"/>
  <c r="F469" i="1" s="1" a="1"/>
  <c r="F469" i="1" s="1"/>
  <c r="I399" i="1"/>
  <c r="F399" i="1" s="1" a="1"/>
  <c r="F399" i="1" s="1"/>
  <c r="I385" i="1"/>
  <c r="F385" i="1" s="1" a="1"/>
  <c r="F385" i="1" s="1"/>
  <c r="I273" i="1"/>
  <c r="F273" i="1" s="1" a="1"/>
  <c r="F273" i="1" s="1"/>
  <c r="I272" i="1"/>
  <c r="F272" i="1" s="1" a="1"/>
  <c r="F272" i="1" s="1"/>
  <c r="I202" i="1"/>
  <c r="F202" i="1" s="1" a="1"/>
  <c r="F202" i="1" s="1"/>
  <c r="I174" i="1"/>
  <c r="F174" i="1" s="1" a="1"/>
  <c r="F174" i="1" s="1"/>
  <c r="I90" i="1"/>
  <c r="F90" i="1" s="1" a="1"/>
  <c r="F90" i="1" s="1"/>
  <c r="I62" i="1"/>
  <c r="F62" i="1" s="1" a="1"/>
  <c r="F62" i="1" s="1"/>
  <c r="I397" i="1"/>
  <c r="F397" i="1" s="1" a="1"/>
  <c r="F397" i="1" s="1"/>
  <c r="I383" i="1"/>
  <c r="F383" i="1" s="1" a="1"/>
  <c r="F383" i="1" s="1"/>
  <c r="I229" i="1"/>
  <c r="F229" i="1" s="1" a="1"/>
  <c r="F229" i="1" s="1"/>
  <c r="I201" i="1"/>
  <c r="F201" i="1" s="1" a="1"/>
  <c r="F201" i="1" s="1"/>
  <c r="I145" i="1"/>
  <c r="F145" i="1" s="1" a="1"/>
  <c r="F145" i="1" s="1"/>
  <c r="I131" i="1"/>
  <c r="F131" i="1" s="1" a="1"/>
  <c r="F131" i="1" s="1"/>
  <c r="I89" i="1"/>
  <c r="F89" i="1" s="1" a="1"/>
  <c r="F89" i="1" s="1"/>
  <c r="I452" i="1"/>
  <c r="F452" i="1" s="1" a="1"/>
  <c r="F452" i="1" s="1"/>
  <c r="I270" i="1"/>
  <c r="F270" i="1" s="1" a="1"/>
  <c r="F270" i="1" s="1"/>
  <c r="I200" i="1"/>
  <c r="F200" i="1" s="1" a="1"/>
  <c r="F200" i="1" s="1"/>
  <c r="I88" i="1"/>
  <c r="F88" i="1" s="1" a="1"/>
  <c r="F88" i="1" s="1"/>
  <c r="I465" i="1"/>
  <c r="F465" i="1" s="1" a="1"/>
  <c r="F465" i="1" s="1"/>
  <c r="I451" i="1"/>
  <c r="F451" i="1" s="1" a="1"/>
  <c r="F451" i="1" s="1"/>
  <c r="I395" i="1"/>
  <c r="F395" i="1" s="1" a="1"/>
  <c r="F395" i="1" s="1"/>
  <c r="I353" i="1"/>
  <c r="F353" i="1" s="1" a="1"/>
  <c r="F353" i="1" s="1"/>
  <c r="I339" i="1"/>
  <c r="F339" i="1" s="1" a="1"/>
  <c r="F339" i="1" s="1"/>
  <c r="I213" i="1"/>
  <c r="F213" i="1" s="1" a="1"/>
  <c r="F213" i="1" s="1"/>
  <c r="I199" i="1"/>
  <c r="F199" i="1" s="1" a="1"/>
  <c r="F199" i="1" s="1"/>
  <c r="I464" i="1"/>
  <c r="F464" i="1" s="1" a="1"/>
  <c r="F464" i="1" s="1"/>
  <c r="I268" i="1"/>
  <c r="F268" i="1" s="1" a="1"/>
  <c r="F268" i="1" s="1"/>
  <c r="I226" i="1"/>
  <c r="F226" i="1" s="1" a="1"/>
  <c r="F226" i="1" s="1"/>
  <c r="I463" i="1"/>
  <c r="F463" i="1" s="1" a="1"/>
  <c r="F463" i="1" s="1"/>
  <c r="I393" i="1"/>
  <c r="F393" i="1" s="1" a="1"/>
  <c r="F393" i="1" s="1"/>
  <c r="I351" i="1"/>
  <c r="F351" i="1" s="1" a="1"/>
  <c r="F351" i="1" s="1"/>
  <c r="I337" i="1"/>
  <c r="F337" i="1" s="1" a="1"/>
  <c r="F337" i="1" s="1"/>
  <c r="I462" i="1"/>
  <c r="F462" i="1" s="1" a="1"/>
  <c r="F462" i="1" s="1"/>
  <c r="I420" i="1"/>
  <c r="F420" i="1" s="1" a="1"/>
  <c r="F420" i="1" s="1"/>
  <c r="I392" i="1"/>
  <c r="F392" i="1" s="1" a="1"/>
  <c r="F392" i="1" s="1"/>
  <c r="I350" i="1"/>
  <c r="F350" i="1" s="1" a="1"/>
  <c r="F350" i="1" s="1"/>
  <c r="I475" i="1"/>
  <c r="F475" i="1" s="1" a="1"/>
  <c r="F475" i="1" s="1"/>
  <c r="I461" i="1"/>
  <c r="F461" i="1" s="1" a="1"/>
  <c r="F461" i="1" s="1"/>
  <c r="I447" i="1"/>
  <c r="F447" i="1" s="1" a="1"/>
  <c r="F447" i="1" s="1"/>
  <c r="I349" i="1"/>
  <c r="F349" i="1" s="1" a="1"/>
  <c r="F349" i="1" s="1"/>
  <c r="I474" i="1"/>
  <c r="F474" i="1" s="1" a="1"/>
  <c r="F474" i="1" s="1"/>
  <c r="I446" i="1"/>
  <c r="F446" i="1" s="1" a="1"/>
  <c r="F446" i="1" s="1"/>
  <c r="I390" i="1"/>
  <c r="F390" i="1" s="1" a="1"/>
  <c r="F390" i="1" s="1"/>
  <c r="I348" i="1"/>
  <c r="F348" i="1" s="1" a="1"/>
  <c r="F348" i="1" s="1"/>
  <c r="I222" i="1"/>
  <c r="F222" i="1" s="1" a="1"/>
  <c r="F222" i="1" s="1"/>
  <c r="I138" i="1"/>
  <c r="F138" i="1" s="1" a="1"/>
  <c r="F138" i="1" s="1"/>
  <c r="I40" i="1"/>
  <c r="F40" i="1" s="1" a="1"/>
  <c r="F40" i="1" s="1"/>
  <c r="I473" i="1"/>
  <c r="F473" i="1" s="1" a="1"/>
  <c r="F473" i="1" s="1"/>
  <c r="I389" i="1"/>
  <c r="F389" i="1" s="1" a="1"/>
  <c r="F389" i="1" s="1"/>
  <c r="I347" i="1"/>
  <c r="F347" i="1" s="1" a="1"/>
  <c r="F347" i="1" s="1"/>
  <c r="I333" i="1"/>
  <c r="F333" i="1" s="1" a="1"/>
  <c r="F333" i="1" s="1"/>
  <c r="I81" i="1"/>
  <c r="F81" i="1" s="1" a="1"/>
  <c r="F81" i="1" s="1"/>
  <c r="I39" i="1"/>
  <c r="F39" i="1" s="1" a="1"/>
  <c r="F39" i="1" s="1"/>
  <c r="I472" i="1"/>
  <c r="F472" i="1" s="1" a="1"/>
  <c r="F472" i="1" s="1"/>
  <c r="I388" i="1"/>
  <c r="F388" i="1" s="1" a="1"/>
  <c r="F388" i="1" s="1"/>
  <c r="I346" i="1"/>
  <c r="F346" i="1" s="1" a="1"/>
  <c r="F346" i="1" s="1"/>
  <c r="I276" i="1"/>
  <c r="F276" i="1" s="1" a="1"/>
  <c r="F276" i="1" s="1"/>
  <c r="I262" i="1"/>
  <c r="F262" i="1" s="1" a="1"/>
  <c r="F262" i="1" s="1"/>
  <c r="I108" i="1"/>
  <c r="F108" i="1" s="1" a="1"/>
  <c r="F108" i="1" s="1"/>
  <c r="E28" i="14" a="1"/>
  <c r="G75" i="1" a="1"/>
  <c r="O537" i="8" a="1"/>
  <c r="G73" i="1" a="1"/>
  <c r="J487" i="8" a="1"/>
  <c r="J1143" i="8" a="1"/>
  <c r="P709" i="8" a="1"/>
  <c r="G19" i="1" a="1"/>
  <c r="P1142" i="8" a="1"/>
  <c r="J722" i="8" a="1"/>
  <c r="O1190" i="8" a="1"/>
  <c r="J432" i="8" a="1"/>
  <c r="F166" i="2" a="1"/>
  <c r="O925" i="8" a="1"/>
  <c r="J825" i="8" a="1"/>
  <c r="F496" i="2" a="1"/>
  <c r="J691" i="8" a="1"/>
  <c r="F492" i="2" a="1"/>
  <c r="J296" i="8" a="1"/>
  <c r="G298" i="1" a="1"/>
  <c r="G287" i="1" a="1"/>
  <c r="G455" i="1" a="1"/>
  <c r="J1106" i="8" a="1"/>
  <c r="J553" i="8" a="1"/>
  <c r="G229" i="1" a="1"/>
  <c r="O800" i="8" a="1"/>
  <c r="F430" i="2" a="1"/>
  <c r="F249" i="2" a="1"/>
  <c r="G450" i="1" a="1"/>
  <c r="G185" i="1" a="1"/>
  <c r="G406" i="1" a="1"/>
  <c r="F587" i="2" a="1"/>
  <c r="F664" i="2" a="1"/>
  <c r="J607" i="8" a="1"/>
  <c r="G272" i="1" a="1"/>
  <c r="O332" i="8" a="1"/>
  <c r="O789" i="8" a="1"/>
  <c r="J307" i="8" a="1"/>
  <c r="G90" i="1" a="1"/>
  <c r="J934" i="8" a="1"/>
  <c r="J913" i="8" a="1"/>
  <c r="J964" i="8" a="1"/>
  <c r="J706" i="8" a="1"/>
  <c r="P685" i="8" a="1"/>
  <c r="F359" i="2" a="1"/>
  <c r="F419" i="2" a="1"/>
  <c r="F385" i="2" a="1"/>
  <c r="G78" i="1" a="1"/>
  <c r="F66" i="2" a="1"/>
  <c r="O708" i="8" a="1"/>
  <c r="F660" i="2" a="1"/>
  <c r="J347" i="8" a="1"/>
  <c r="F487" i="2" a="1"/>
  <c r="F63" i="2" a="1"/>
  <c r="J416" i="8" a="1"/>
  <c r="F562" i="2" a="1"/>
  <c r="G413" i="1" a="1"/>
  <c r="O683" i="8" a="1"/>
  <c r="O681" i="8" a="1"/>
  <c r="G402" i="1" a="1"/>
  <c r="J459" i="8" a="1"/>
  <c r="J389" i="8" a="1"/>
  <c r="J297" i="8" a="1"/>
  <c r="G358" i="1" a="1"/>
  <c r="P712" i="8" a="1"/>
  <c r="J977" i="8" a="1"/>
  <c r="J852" i="8" a="1"/>
  <c r="F532" i="2" a="1"/>
  <c r="P698" i="8" a="1"/>
  <c r="J295" i="8" a="1"/>
  <c r="J465" i="8" a="1"/>
  <c r="G164" i="1" a="1"/>
  <c r="J1015" i="8" a="1"/>
  <c r="J423" i="8" a="1"/>
  <c r="F473" i="2" a="1"/>
  <c r="J57" i="8" a="1"/>
  <c r="P534" i="8" a="1"/>
  <c r="P303" i="8" a="1"/>
  <c r="J300" i="8" a="1"/>
  <c r="G385" i="1" a="1"/>
  <c r="P654" i="8" a="1"/>
  <c r="G470" i="1" a="1"/>
  <c r="G232" i="1" a="1"/>
  <c r="G186" i="1" a="1"/>
  <c r="G190" i="1" a="1"/>
  <c r="G237" i="1" a="1"/>
  <c r="J967" i="8" a="1"/>
  <c r="G415" i="1" a="1"/>
  <c r="J440" i="8" a="1"/>
  <c r="G176" i="1" a="1"/>
  <c r="G85" i="1" a="1"/>
  <c r="J1001" i="8" a="1"/>
  <c r="G401" i="1" a="1"/>
  <c r="J971" i="8" a="1"/>
  <c r="F427" i="2" a="1"/>
  <c r="G456" i="1" a="1"/>
  <c r="G87" i="1" a="1"/>
  <c r="J804" i="8" a="1"/>
  <c r="J12" i="8" a="1"/>
  <c r="F110" i="2" a="1"/>
  <c r="J77" i="8" a="1"/>
  <c r="J975" i="8" a="1"/>
  <c r="G311" i="1" a="1"/>
  <c r="O1008" i="8" a="1"/>
  <c r="J794" i="8" a="1"/>
  <c r="J67" i="8" a="1"/>
  <c r="G318" i="1" a="1"/>
  <c r="F577" i="2" a="1"/>
  <c r="F116" i="2" a="1"/>
  <c r="J853" i="8" a="1"/>
  <c r="G334" i="1" a="1"/>
  <c r="F356" i="2" a="1"/>
  <c r="J1195" i="8" a="1"/>
  <c r="O980" i="8" a="1"/>
  <c r="F100" i="2" a="1"/>
  <c r="J845" i="8" a="1"/>
  <c r="G477" i="1" a="1"/>
  <c r="J1138" i="8" a="1"/>
  <c r="P537" i="8" a="1"/>
  <c r="F533" i="2" a="1"/>
  <c r="G276" i="1" a="1"/>
  <c r="J1153" i="8" a="1"/>
  <c r="J683" i="8" a="1"/>
  <c r="O1183" i="8" a="1"/>
  <c r="J14" i="8" a="1"/>
  <c r="J485" i="8" a="1"/>
  <c r="J699" i="8" a="1"/>
  <c r="J272" i="8" a="1"/>
  <c r="F113" i="2" a="1"/>
  <c r="G89" i="1" a="1"/>
  <c r="G418" i="1" a="1"/>
  <c r="J1052" i="8" a="1"/>
  <c r="J921" i="8" a="1"/>
  <c r="F432" i="2" a="1"/>
  <c r="O982" i="8" a="1"/>
  <c r="F522" i="2" a="1"/>
  <c r="G381" i="1" a="1"/>
  <c r="J735" i="8" a="1"/>
  <c r="O304" i="8" a="1"/>
  <c r="F653" i="2" a="1"/>
  <c r="G132" i="1" a="1"/>
  <c r="G49" i="1" a="1"/>
  <c r="F590" i="2" a="1"/>
  <c r="F639" i="2" a="1"/>
  <c r="F401" i="2" a="1"/>
  <c r="P533" i="8" a="1"/>
  <c r="J280" i="8" a="1"/>
  <c r="P1138" i="8" a="1"/>
  <c r="G235" i="1" a="1"/>
  <c r="G160" i="1" a="1"/>
  <c r="J903" i="8" a="1"/>
  <c r="F566" i="2" a="1"/>
  <c r="J1019" i="8" a="1"/>
  <c r="F658" i="2" a="1"/>
  <c r="F633" i="2" a="1"/>
  <c r="O989" i="8" a="1"/>
  <c r="F324" i="2" a="1"/>
  <c r="J367" i="8" a="1"/>
  <c r="F222" i="2" a="1"/>
  <c r="F354" i="2" a="1"/>
  <c r="J582" i="8" a="1"/>
  <c r="J266" i="8" a="1"/>
  <c r="J812" i="8" a="1"/>
  <c r="J422" i="8" a="1"/>
  <c r="G214" i="1" a="1"/>
  <c r="F515" i="2" a="1"/>
  <c r="F411" i="2" a="1"/>
  <c r="J438" i="8" a="1"/>
  <c r="G317" i="1" a="1"/>
  <c r="J276" i="8" a="1"/>
  <c r="G221" i="1" a="1"/>
  <c r="G93" i="1" a="1"/>
  <c r="J678" i="8" a="1"/>
  <c r="J742" i="8" a="1"/>
  <c r="J1101" i="8" a="1"/>
  <c r="P915" i="8" a="1"/>
  <c r="J606" i="8" a="1"/>
  <c r="J292" i="8" a="1"/>
  <c r="G222" i="1" a="1"/>
  <c r="F514" i="2" a="1"/>
  <c r="J524" i="8" a="1"/>
  <c r="J737" i="8" a="1"/>
  <c r="J47" i="8" a="1"/>
  <c r="J1127" i="8" a="1"/>
  <c r="F621" i="2" a="1"/>
  <c r="J484" i="8" a="1"/>
  <c r="G179" i="1" a="1"/>
  <c r="G419" i="1" a="1"/>
  <c r="G88" i="1" a="1"/>
  <c r="F654" i="2" a="1"/>
  <c r="G46" i="1" a="1"/>
  <c r="J623" i="8" a="1"/>
  <c r="O802" i="8" a="1"/>
  <c r="J829" i="8" a="1"/>
  <c r="F405" i="2" a="1"/>
  <c r="F322" i="2" a="1"/>
  <c r="F655" i="2" a="1"/>
  <c r="F425" i="2" a="1"/>
  <c r="G236" i="1" a="1"/>
  <c r="F130" i="2" a="1"/>
  <c r="J729" i="8" a="1"/>
  <c r="J348" i="8" a="1"/>
  <c r="J841" i="8" a="1"/>
  <c r="F320" i="2" a="1"/>
  <c r="G315" i="1" a="1"/>
  <c r="J1104" i="8" a="1"/>
  <c r="F426" i="2" a="1"/>
  <c r="G271" i="1" a="1"/>
  <c r="G355" i="1" a="1"/>
  <c r="J46" i="8" a="1"/>
  <c r="G390" i="1" a="1"/>
  <c r="J27" i="8" a="1"/>
  <c r="F645" i="2" a="1"/>
  <c r="G204" i="1" a="1"/>
  <c r="F529" i="2" a="1"/>
  <c r="F420" i="2" a="1"/>
  <c r="G143" i="1" a="1"/>
  <c r="J873" i="8" a="1"/>
  <c r="G239" i="1" a="1"/>
  <c r="G277" i="1" a="1"/>
  <c r="F244" i="2" a="1"/>
  <c r="P803" i="8" a="1"/>
  <c r="J365" i="8" a="1"/>
  <c r="J969" i="8" a="1"/>
  <c r="J1008" i="8" a="1"/>
  <c r="J341" i="8" a="1"/>
  <c r="J467" i="8" a="1"/>
  <c r="F36" i="2" a="1"/>
  <c r="J957" i="8" a="1"/>
  <c r="G392" i="1" a="1"/>
  <c r="J320" i="8" a="1"/>
  <c r="G307" i="1" a="1"/>
  <c r="F77" i="2" a="1"/>
  <c r="J864" i="8" a="1"/>
  <c r="O916" i="8" a="1"/>
  <c r="J429" i="8" a="1"/>
  <c r="G269" i="1" a="1"/>
  <c r="G242" i="1" a="1"/>
  <c r="F81" i="2" a="1"/>
  <c r="J955" i="8" a="1"/>
  <c r="G18" i="1" a="1"/>
  <c r="J48" i="8" a="1"/>
  <c r="G337" i="1" a="1"/>
  <c r="F569" i="2" a="1"/>
  <c r="G346" i="1" a="1"/>
  <c r="J744" i="8" a="1"/>
  <c r="E29" i="14" a="1"/>
  <c r="G20" i="1" a="1"/>
  <c r="F421" i="2" a="1"/>
  <c r="G206" i="1" a="1"/>
  <c r="J305" i="8" a="1"/>
  <c r="J564" i="8" a="1"/>
  <c r="J622" i="8" a="1"/>
  <c r="G306" i="1" a="1"/>
  <c r="F215" i="2" a="1"/>
  <c r="J555" i="8" a="1"/>
  <c r="J393" i="8" a="1"/>
  <c r="J381" i="8" a="1"/>
  <c r="F506" i="2" a="1"/>
  <c r="J637" i="8" a="1"/>
  <c r="G407" i="1" a="1"/>
  <c r="J647" i="8" a="1"/>
  <c r="J721" i="8" a="1"/>
  <c r="J410" i="8" a="1"/>
  <c r="J658" i="8" a="1"/>
  <c r="F608" i="2" a="1"/>
  <c r="G22" i="1" a="1"/>
  <c r="G121" i="1" a="1"/>
  <c r="J488" i="8" a="1"/>
  <c r="J657" i="8" a="1"/>
  <c r="F250" i="2" a="1"/>
  <c r="J869" i="8" a="1"/>
  <c r="G187" i="1" a="1"/>
  <c r="F434" i="2" a="1"/>
  <c r="F671" i="2" a="1"/>
  <c r="G241" i="1" a="1"/>
  <c r="P795" i="8" a="1"/>
  <c r="G68" i="1" a="1"/>
  <c r="J1030" i="8" a="1"/>
  <c r="F588" i="2" a="1"/>
  <c r="F50" i="2" a="1"/>
  <c r="J306" i="8" a="1"/>
  <c r="G472" i="1" a="1"/>
  <c r="J543" i="8" a="1"/>
  <c r="F190" i="2" a="1"/>
  <c r="J968" i="8" a="1"/>
  <c r="J835" i="8" a="1"/>
  <c r="O921" i="8" a="1"/>
  <c r="F469" i="2" a="1"/>
  <c r="J301" i="8" a="1"/>
  <c r="F91" i="2" a="1"/>
  <c r="G274" i="1" a="1"/>
  <c r="J669" i="8" a="1"/>
  <c r="P801" i="8" a="1"/>
  <c r="J656" i="8" a="1"/>
  <c r="J1131" i="8" a="1"/>
  <c r="F107" i="2" a="1"/>
  <c r="J633" i="8" a="1"/>
  <c r="J51" i="8" a="1"/>
  <c r="F559" i="2" a="1"/>
  <c r="G283" i="1" a="1"/>
  <c r="G447" i="1" a="1"/>
  <c r="G67" i="1" a="1"/>
  <c r="F52" i="2" a="1"/>
  <c r="G223" i="1" a="1"/>
  <c r="J277" i="8" a="1"/>
  <c r="O898" i="8" a="1"/>
  <c r="O913" i="8" a="1"/>
  <c r="O532" i="8" a="1"/>
  <c r="G108" i="1" a="1"/>
  <c r="G117" i="1" a="1"/>
  <c r="J1185" i="8" a="1"/>
  <c r="F62" i="2" a="1"/>
  <c r="J66" i="8" a="1"/>
  <c r="G373" i="1" a="1"/>
  <c r="J526" i="8" a="1"/>
  <c r="O656" i="8" a="1"/>
  <c r="G249" i="1" a="1"/>
  <c r="O331" i="8" a="1"/>
  <c r="F133" i="2" a="1"/>
  <c r="F672" i="2" a="1"/>
  <c r="J833" i="8" a="1"/>
  <c r="O693" i="8" a="1"/>
  <c r="F399" i="2" a="1"/>
  <c r="J823" i="8" a="1"/>
  <c r="J924" i="8" a="1"/>
  <c r="F73" i="2" a="1"/>
  <c r="F386" i="2" a="1"/>
  <c r="F269" i="2" a="1"/>
  <c r="F491" i="2" a="1"/>
  <c r="F504" i="2" a="1"/>
  <c r="G347" i="1" a="1"/>
  <c r="J29" i="8" a="1"/>
  <c r="G39" i="1" a="1"/>
  <c r="J443" i="8" a="1"/>
  <c r="J784" i="8" a="1"/>
  <c r="J369" i="8" a="1"/>
  <c r="G76" i="1" a="1"/>
  <c r="O1159" i="8" a="1"/>
  <c r="J908" i="8" a="1"/>
  <c r="J374" i="8" a="1"/>
  <c r="F670" i="2" a="1"/>
  <c r="J998" i="8" a="1"/>
  <c r="F665" i="2" a="1"/>
  <c r="J974" i="8" a="1"/>
  <c r="G481" i="1" a="1"/>
  <c r="J529" i="8" a="1"/>
  <c r="J10" i="8" a="1"/>
  <c r="J454" i="8" a="1"/>
  <c r="G123" i="1" a="1"/>
  <c r="J55" i="8" a="1"/>
  <c r="F389" i="2" a="1"/>
  <c r="J989" i="8" a="1"/>
  <c r="G199" i="1" a="1"/>
  <c r="G320" i="1" a="1"/>
  <c r="J458" i="8" a="1"/>
  <c r="F315" i="2" a="1"/>
  <c r="J787" i="8" a="1"/>
  <c r="J639" i="8" a="1"/>
  <c r="J668" i="8" a="1"/>
  <c r="G181" i="1" a="1"/>
  <c r="J391" i="8" a="1"/>
  <c r="J929" i="8" a="1"/>
  <c r="F84" i="2" a="1"/>
  <c r="G440" i="1" a="1"/>
  <c r="J71" i="8" a="1"/>
  <c r="J939" i="8" a="1"/>
  <c r="J985" i="8" a="1"/>
  <c r="O992" i="8" a="1"/>
  <c r="J1128" i="8" a="1"/>
  <c r="J310" i="8" a="1"/>
  <c r="J425" i="8" a="1"/>
  <c r="J408" i="8" a="1"/>
  <c r="J850" i="8" a="1"/>
  <c r="J746" i="8" a="1"/>
  <c r="J949" i="8" a="1"/>
  <c r="F82" i="2" a="1"/>
  <c r="G37" i="1" a="1"/>
  <c r="F264" i="2" a="1"/>
  <c r="J390" i="8" a="1"/>
  <c r="J681" i="8" a="1"/>
  <c r="G178" i="1" a="1"/>
  <c r="F90" i="2" a="1"/>
  <c r="J865" i="8" a="1"/>
  <c r="J979" i="8" a="1"/>
  <c r="J1159" i="8" a="1"/>
  <c r="O710" i="8" a="1"/>
  <c r="J409" i="8" a="1"/>
  <c r="J1184" i="8" a="1"/>
  <c r="G41" i="1" a="1"/>
  <c r="J741" i="8" a="1"/>
  <c r="J15" i="8" a="1"/>
  <c r="F127" i="2" a="1"/>
  <c r="G208" i="1" a="1"/>
  <c r="F109" i="2" a="1"/>
  <c r="F352" i="2" a="1"/>
  <c r="F585" i="2" a="1"/>
  <c r="G310" i="1" a="1"/>
  <c r="G295" i="1" a="1"/>
  <c r="F26" i="2" a="1"/>
  <c r="F598" i="2" a="1"/>
  <c r="F179" i="2" a="1"/>
  <c r="P800" i="8" a="1"/>
  <c r="J1152" i="8" a="1"/>
  <c r="J740" i="8" a="1"/>
  <c r="P535" i="8" a="1"/>
  <c r="F78" i="2" a="1"/>
  <c r="F516" i="2" a="1"/>
  <c r="F56" i="2" a="1"/>
  <c r="G323" i="1" a="1"/>
  <c r="J972" i="8" a="1"/>
  <c r="J1012" i="8" a="1"/>
  <c r="J595" i="8" a="1"/>
  <c r="O303" i="8" a="1"/>
  <c r="G443" i="1" a="1"/>
  <c r="J547" i="8" a="1"/>
  <c r="J756" i="8" a="1"/>
  <c r="O1134" i="8" a="1"/>
  <c r="F281" i="2" a="1"/>
  <c r="F538" i="2" a="1"/>
  <c r="P917" i="8" a="1"/>
  <c r="G147" i="1" a="1"/>
  <c r="O1141" i="8" a="1"/>
  <c r="J859" i="8" a="1"/>
  <c r="F528" i="2" a="1"/>
  <c r="P1182" i="8" a="1"/>
  <c r="J821" i="8" a="1"/>
  <c r="J481" i="8" a="1"/>
  <c r="J986" i="8" a="1"/>
  <c r="J598" i="8" a="1"/>
  <c r="G245" i="1" a="1"/>
  <c r="G216" i="1" a="1"/>
  <c r="F666" i="2" a="1"/>
  <c r="G286" i="1" a="1"/>
  <c r="G220" i="1" a="1"/>
  <c r="J76" i="8" a="1"/>
  <c r="F99" i="2" a="1"/>
  <c r="J662" i="8" a="1"/>
  <c r="G361" i="1" a="1"/>
  <c r="P808" i="8" a="1"/>
  <c r="J802" i="8" a="1"/>
  <c r="G12" i="1" a="1"/>
  <c r="F61" i="2" a="1"/>
  <c r="E14" i="14" a="1"/>
  <c r="J492" i="8" a="1"/>
  <c r="G300" i="1" a="1"/>
  <c r="J290" i="8" a="1"/>
  <c r="G189" i="1" a="1"/>
  <c r="J316" i="8" a="1"/>
  <c r="O923" i="8" a="1"/>
  <c r="J594" i="8" a="1"/>
  <c r="J549" i="8" a="1"/>
  <c r="F480" i="2" a="1"/>
  <c r="J824" i="8" a="1"/>
  <c r="O985" i="8" a="1"/>
  <c r="J993" i="8" a="1"/>
  <c r="F231" i="2" a="1"/>
  <c r="P331" i="8" a="1"/>
  <c r="O793" i="8" a="1"/>
  <c r="G479" i="1" a="1"/>
  <c r="O993" i="8" a="1"/>
  <c r="G191" i="1" a="1"/>
  <c r="F28" i="2" a="1"/>
  <c r="J655" i="8" a="1"/>
  <c r="F402" i="2" a="1"/>
  <c r="G42" i="1" a="1"/>
  <c r="J576" i="8" a="1"/>
  <c r="G268" i="1" a="1"/>
  <c r="G193" i="1" a="1"/>
  <c r="G252" i="1" a="1"/>
  <c r="O799" i="8" a="1"/>
  <c r="F265" i="2" a="1"/>
  <c r="E43" i="14" a="1"/>
  <c r="G395" i="1" a="1"/>
  <c r="J919" i="8" a="1"/>
  <c r="G384" i="1" a="1"/>
  <c r="J930" i="8" a="1"/>
  <c r="J663" i="8" a="1"/>
  <c r="G260" i="1" a="1"/>
  <c r="J900" i="8" a="1"/>
  <c r="J370" i="8" a="1"/>
  <c r="J893" i="8" a="1"/>
  <c r="F414" i="2" a="1"/>
  <c r="F612" i="2" a="1"/>
  <c r="G211" i="1" a="1"/>
  <c r="G262" i="1" a="1"/>
  <c r="J586" i="8" a="1"/>
  <c r="J1124" i="8" a="1"/>
  <c r="F246" i="2" a="1"/>
  <c r="G359" i="1" a="1"/>
  <c r="F218" i="2" a="1"/>
  <c r="G140" i="1" a="1"/>
  <c r="G7" i="1" a="1"/>
  <c r="J434" i="8" a="1"/>
  <c r="O712" i="8" a="1"/>
  <c r="J293" i="8" a="1"/>
  <c r="F525" i="2" a="1"/>
  <c r="J333" i="8" a="1"/>
  <c r="F72" i="2" a="1"/>
  <c r="G13" i="1" a="1"/>
  <c r="G332" i="1" a="1"/>
  <c r="J793" i="8" a="1"/>
  <c r="F531" i="2" a="1"/>
  <c r="F646" i="2" a="1"/>
  <c r="F10" i="2" a="1"/>
  <c r="F375" i="2" a="1"/>
  <c r="J999" i="8" a="1"/>
  <c r="G169" i="1" a="1"/>
  <c r="F213" i="2" a="1"/>
  <c r="G259" i="1" a="1"/>
  <c r="G372" i="1" a="1"/>
  <c r="J847" i="8" a="1"/>
  <c r="G263" i="1" a="1"/>
  <c r="G253" i="1" a="1"/>
  <c r="J860" i="8" a="1"/>
  <c r="F567" i="2" a="1"/>
  <c r="G371" i="1" a="1"/>
  <c r="J537" i="8" a="1"/>
  <c r="G303" i="1" a="1"/>
  <c r="J334" i="8" a="1"/>
  <c r="F404" i="2" a="1"/>
  <c r="P1140" i="8" a="1"/>
  <c r="J270" i="8" a="1"/>
  <c r="J646" i="8" a="1"/>
  <c r="G92" i="1" a="1"/>
  <c r="F410" i="2" a="1"/>
  <c r="O1117" i="8" a="1"/>
  <c r="J828" i="8" a="1"/>
  <c r="F351" i="2" a="1"/>
  <c r="E15" i="14" a="1"/>
  <c r="G282" i="1" a="1"/>
  <c r="P532" i="8" a="1"/>
  <c r="G459" i="1" a="1"/>
  <c r="F494" i="2" a="1"/>
  <c r="F541" i="2" a="1"/>
  <c r="F87" i="2" a="1"/>
  <c r="J1038" i="8" a="1"/>
  <c r="J455" i="8" a="1"/>
  <c r="J1161" i="8" a="1"/>
  <c r="G30" i="1" a="1"/>
  <c r="J643" i="8" a="1"/>
  <c r="J838" i="8" a="1"/>
  <c r="O915" i="8" a="1"/>
  <c r="J1000" i="8" a="1"/>
  <c r="G86" i="1" a="1"/>
  <c r="G152" i="1" a="1"/>
  <c r="G446" i="1" a="1"/>
  <c r="O903" i="8" a="1"/>
  <c r="J789" i="8" a="1"/>
  <c r="O699" i="8" a="1"/>
  <c r="J1140" i="8" a="1"/>
  <c r="O791" i="8" a="1"/>
  <c r="G379" i="1" a="1"/>
  <c r="J1049" i="8" a="1"/>
  <c r="G247" i="1" a="1"/>
  <c r="F208" i="2" a="1"/>
  <c r="J545" i="8" a="1"/>
  <c r="F129" i="2" a="1"/>
  <c r="G14" i="1" a="1"/>
  <c r="J436" i="8" a="1"/>
  <c r="G72" i="1" a="1"/>
  <c r="F557" i="2" a="1"/>
  <c r="G203" i="1" a="1"/>
  <c r="J433" i="8" a="1"/>
  <c r="J470" i="8" a="1"/>
  <c r="F92" i="2" a="1"/>
  <c r="F570" i="2" a="1"/>
  <c r="J588" i="8" a="1"/>
  <c r="G182" i="1" a="1"/>
  <c r="J413" i="8" a="1"/>
  <c r="F95" i="2" a="1"/>
  <c r="O1142" i="8" a="1"/>
  <c r="F86" i="2" a="1"/>
  <c r="P708" i="8" a="1"/>
  <c r="J631" i="8" a="1"/>
  <c r="O1188" i="8" a="1"/>
  <c r="F647" i="2" a="1"/>
  <c r="F454" i="2" a="1"/>
  <c r="J609" i="8" a="1"/>
  <c r="J830" i="8" a="1"/>
  <c r="E36" i="14" a="1"/>
  <c r="J31" i="8" a="1"/>
  <c r="F455" i="2" a="1"/>
  <c r="G170" i="1" a="1"/>
  <c r="G386" i="1" a="1"/>
  <c r="P922" i="8" a="1"/>
  <c r="J951" i="8" a="1"/>
  <c r="G434" i="1" a="1"/>
  <c r="F48" i="2" a="1"/>
  <c r="J1145" i="8" a="1"/>
  <c r="F542" i="2" a="1"/>
  <c r="G348" i="1" a="1"/>
  <c r="F568" i="2" a="1"/>
  <c r="F299" i="2" a="1"/>
  <c r="J568" i="8" a="1"/>
  <c r="F380" i="2" a="1"/>
  <c r="F622" i="2" a="1"/>
  <c r="J818" i="8" a="1"/>
  <c r="J1102" i="8" a="1"/>
  <c r="J282" i="8" a="1"/>
  <c r="F578" i="2" a="1"/>
  <c r="G48" i="1" a="1"/>
  <c r="G338" i="1" a="1"/>
  <c r="O1181" i="8" a="1"/>
  <c r="J1141" i="8" a="1"/>
  <c r="F9" i="2" a="1"/>
  <c r="J599" i="8" a="1"/>
  <c r="J1029" i="8" a="1"/>
  <c r="J693" i="8" a="1"/>
  <c r="F284" i="2" a="1"/>
  <c r="G26" i="1" a="1"/>
  <c r="G133" i="1" a="1"/>
  <c r="J895" i="8" a="1"/>
  <c r="F383" i="2" a="1"/>
  <c r="F391" i="2" a="1"/>
  <c r="J314" i="8" a="1"/>
  <c r="J867" i="8" a="1"/>
  <c r="O917" i="8" a="1"/>
  <c r="J959" i="8" a="1"/>
  <c r="G356" i="1" a="1"/>
  <c r="J605" i="8" a="1"/>
  <c r="J601" i="8" a="1"/>
  <c r="J1155" i="8" a="1"/>
  <c r="F571" i="2" a="1"/>
  <c r="O1180" i="8" a="1"/>
  <c r="P807" i="8" a="1"/>
  <c r="J866" i="8" a="1"/>
  <c r="J755" i="8" a="1"/>
  <c r="J666" i="8" a="1"/>
  <c r="J898" i="8" a="1"/>
  <c r="G228" i="1" a="1"/>
  <c r="J490" i="8" a="1"/>
  <c r="G255" i="1" a="1"/>
  <c r="J265" i="8" a="1"/>
  <c r="F297" i="2" a="1"/>
  <c r="J671" i="8" a="1"/>
  <c r="F94" i="2" a="1"/>
  <c r="G264" i="1" a="1"/>
  <c r="G400" i="1" a="1"/>
  <c r="G458" i="1" a="1"/>
  <c r="J317" i="8" a="1"/>
  <c r="G475" i="1" a="1"/>
  <c r="J383" i="8" a="1"/>
  <c r="F431" i="2" a="1"/>
  <c r="J891" i="8" a="1"/>
  <c r="J344" i="8" a="1"/>
  <c r="J326" i="8" a="1"/>
  <c r="F316" i="2" a="1"/>
  <c r="F596" i="2" a="1"/>
  <c r="J682" i="8" a="1"/>
  <c r="G168" i="1" a="1"/>
  <c r="J592" i="8" a="1"/>
  <c r="F669" i="2" a="1"/>
  <c r="F470" i="2" a="1"/>
  <c r="J435" i="8" a="1"/>
  <c r="J1123" i="8" a="1"/>
  <c r="G445" i="1" a="1"/>
  <c r="J52" i="8" a="1"/>
  <c r="J1018" i="8" a="1"/>
  <c r="G158" i="1" a="1"/>
  <c r="F85" i="2" a="1"/>
  <c r="J819" i="8" a="1"/>
  <c r="F74" i="2" a="1"/>
  <c r="F458" i="2" a="1"/>
  <c r="F119" i="2" a="1"/>
  <c r="P655" i="8" a="1"/>
  <c r="J687" i="8" a="1"/>
  <c r="G11" i="1" a="1"/>
  <c r="O1145" i="8" a="1"/>
  <c r="J690" i="8" a="1"/>
  <c r="G94" i="1" a="1"/>
  <c r="O757" i="8" a="1"/>
  <c r="J13" i="8" a="1"/>
  <c r="F8" i="2" a="1"/>
  <c r="O626" i="8" a="1"/>
  <c r="J719" i="8" a="1"/>
  <c r="J688" i="8" a="1"/>
  <c r="P924" i="8" a="1"/>
  <c r="J382" i="8" a="1"/>
  <c r="F626" i="2" a="1"/>
  <c r="J397" i="8" a="1"/>
  <c r="J589" i="8" a="1"/>
  <c r="J1165" i="8" a="1"/>
  <c r="G227" i="1" a="1"/>
  <c r="P696" i="8" a="1"/>
  <c r="J676" i="8" a="1"/>
  <c r="J532" i="8" a="1"/>
  <c r="O695" i="8" a="1"/>
  <c r="O908" i="8" a="1"/>
  <c r="G462" i="1" a="1"/>
  <c r="J556" i="8" a="1"/>
  <c r="P923" i="8" a="1"/>
  <c r="G224" i="1" a="1"/>
  <c r="O533" i="8" a="1"/>
  <c r="J325" i="8" a="1"/>
  <c r="J636" i="8" a="1"/>
  <c r="F583" i="2" a="1"/>
  <c r="J72" i="8" a="1"/>
  <c r="J60" i="8" a="1"/>
  <c r="G35" i="1" a="1"/>
  <c r="G383" i="1" a="1"/>
  <c r="F337" i="2" a="1"/>
  <c r="J966" i="8" a="1"/>
  <c r="F589" i="2" a="1"/>
  <c r="G184" i="1" a="1"/>
  <c r="F486" i="2" a="1"/>
  <c r="J875" i="8" a="1"/>
  <c r="J953" i="8" a="1"/>
  <c r="F118" i="2" a="1"/>
  <c r="G15" i="1" a="1"/>
  <c r="F667" i="2" a="1"/>
  <c r="F83" i="2" a="1"/>
  <c r="O1193" i="8" a="1"/>
  <c r="J428" i="8" a="1"/>
  <c r="J587" i="8" a="1"/>
  <c r="F384" i="2" a="1"/>
  <c r="P799" i="8" a="1"/>
  <c r="J1033" i="8" a="1"/>
  <c r="P305" i="8" a="1"/>
  <c r="F539" i="2" a="1"/>
  <c r="F76" i="2" a="1"/>
  <c r="O979" i="8" a="1"/>
  <c r="J1016" i="8" a="1"/>
  <c r="G388" i="1" a="1"/>
  <c r="F267" i="2" a="1"/>
  <c r="G21" i="1" a="1"/>
  <c r="O1176" i="8" a="1"/>
  <c r="J613" i="8" a="1"/>
  <c r="J332" i="8" a="1"/>
  <c r="J1007" i="8" a="1"/>
  <c r="F475" i="2" a="1"/>
  <c r="J464" i="8" a="1"/>
  <c r="F517" i="2" a="1"/>
  <c r="F390" i="2" a="1"/>
  <c r="J736" i="8" a="1"/>
  <c r="G226" i="1" a="1"/>
  <c r="F423" i="2" a="1"/>
  <c r="G202" i="1" a="1"/>
  <c r="G24" i="1" a="1"/>
  <c r="F54" i="2" a="1"/>
  <c r="G114" i="1" a="1"/>
  <c r="G290" i="1" a="1"/>
  <c r="G44" i="1" a="1"/>
  <c r="F329" i="2" a="1"/>
  <c r="F511" i="2" a="1"/>
  <c r="G163" i="1" a="1"/>
  <c r="J1103" i="8" a="1"/>
  <c r="J792" i="8" a="1"/>
  <c r="J561" i="8" a="1"/>
  <c r="G128" i="1" a="1"/>
  <c r="G466" i="1" a="1"/>
  <c r="J441" i="8" a="1"/>
  <c r="F537" i="2" a="1"/>
  <c r="J375" i="8" a="1"/>
  <c r="G183" i="1" a="1"/>
  <c r="F630" i="2" a="1"/>
  <c r="F328" i="2" a="1"/>
  <c r="O991" i="8" a="1"/>
  <c r="J871" i="8" a="1"/>
  <c r="F493" i="2" a="1"/>
  <c r="F228" i="2" a="1"/>
  <c r="J837" i="8" a="1"/>
  <c r="J976" i="8" a="1"/>
  <c r="G131" i="1" a="1"/>
  <c r="J1117" i="8" a="1"/>
  <c r="F317" i="2" a="1"/>
  <c r="G201" i="1" a="1"/>
  <c r="F40" i="2" a="1"/>
  <c r="G433" i="1" a="1"/>
  <c r="G449" i="1" a="1"/>
  <c r="J621" i="8" a="1"/>
  <c r="E16" i="14" a="1"/>
  <c r="J712" i="8" a="1"/>
  <c r="F472" i="2" a="1"/>
  <c r="F471" i="2" a="1"/>
  <c r="G70" i="1" a="1"/>
  <c r="J932" i="8" a="1"/>
  <c r="O1132" i="8" a="1"/>
  <c r="F436" i="2" a="1"/>
  <c r="G218" i="1" a="1"/>
  <c r="G330" i="1" a="1"/>
  <c r="F37" i="2" a="1"/>
  <c r="J411" i="8" a="1"/>
  <c r="J701" i="8" a="1"/>
  <c r="F55" i="2" a="1"/>
  <c r="G382" i="1" a="1"/>
  <c r="F209" i="2" a="1"/>
  <c r="J664" i="8" a="1"/>
  <c r="O709" i="8" a="1"/>
  <c r="F510" i="2" a="1"/>
  <c r="F563" i="2" a="1"/>
  <c r="J1150" i="8" a="1"/>
  <c r="F27" i="2" a="1"/>
  <c r="J405" i="8" a="1"/>
  <c r="G151" i="1" a="1"/>
  <c r="J630" i="8" a="1"/>
  <c r="F338" i="2" a="1"/>
  <c r="F643" i="2" a="1"/>
  <c r="J308" i="8" a="1"/>
  <c r="O655" i="8" a="1"/>
  <c r="G103" i="1" a="1"/>
  <c r="O657" i="8" a="1"/>
  <c r="G196" i="1" a="1"/>
  <c r="G246" i="1" a="1"/>
  <c r="G452" i="1" a="1"/>
  <c r="F49" i="2" a="1"/>
  <c r="F126" i="2" a="1"/>
  <c r="G32" i="1" a="1"/>
  <c r="F438" i="2" a="1"/>
  <c r="J1156" i="8" a="1"/>
  <c r="J600" i="8" a="1"/>
  <c r="F439" i="2" a="1"/>
  <c r="F331" i="2" a="1"/>
  <c r="J602" i="8" a="1"/>
  <c r="F415" i="2" a="1"/>
  <c r="P656" i="8" a="1"/>
  <c r="J620" i="8" a="1"/>
  <c r="J726" i="8" a="1"/>
  <c r="G396" i="1" a="1"/>
  <c r="J372" i="8" a="1"/>
  <c r="G342" i="1" a="1"/>
  <c r="O755" i="8" a="1"/>
  <c r="J810" i="8" a="1"/>
  <c r="O900" i="8" a="1"/>
  <c r="G441" i="1" a="1"/>
  <c r="G380" i="1" a="1"/>
  <c r="J1125" i="8" a="1"/>
  <c r="F628" i="2" a="1"/>
  <c r="J889" i="8" a="1"/>
  <c r="F519" i="2" a="1"/>
  <c r="G482" i="1" a="1"/>
  <c r="J826" i="8" a="1"/>
  <c r="F543" i="2" a="1"/>
  <c r="F108" i="2" a="1"/>
  <c r="O911" i="8" a="1"/>
  <c r="G374" i="1" a="1"/>
  <c r="G194" i="1" a="1"/>
  <c r="J667" i="8" a="1"/>
  <c r="E12" i="14" a="1"/>
  <c r="F544" i="2" a="1"/>
  <c r="E32" i="14" a="1"/>
  <c r="G251" i="1" a="1"/>
  <c r="F120" i="2" a="1"/>
  <c r="F594" i="2" a="1"/>
  <c r="G353" i="1" a="1"/>
  <c r="G281" i="1" a="1"/>
  <c r="P901" i="8" a="1"/>
  <c r="G297" i="1" a="1"/>
  <c r="J399" i="8" a="1"/>
  <c r="J1176" i="8" a="1"/>
  <c r="J614" i="8" a="1"/>
  <c r="J448" i="8" a="1"/>
  <c r="G6" i="1" a="1"/>
  <c r="G350" i="1" a="1"/>
  <c r="F440" i="2" a="1"/>
  <c r="F499" i="2" a="1"/>
  <c r="F584" i="2" a="1"/>
  <c r="J618" i="8" a="1"/>
  <c r="G473" i="1" a="1"/>
  <c r="J892" i="8" a="1"/>
  <c r="J1171" i="8" a="1"/>
  <c r="G98" i="1" a="1"/>
  <c r="F79" i="2" a="1"/>
  <c r="F334" i="2" a="1"/>
  <c r="G149" i="1" a="1"/>
  <c r="F428" i="2" a="1"/>
  <c r="F32" i="2" a="1"/>
  <c r="J855" i="8" a="1"/>
  <c r="G344" i="1" a="1"/>
  <c r="J544" i="8" a="1"/>
  <c r="P697" i="8" a="1"/>
  <c r="G219" i="1" a="1"/>
  <c r="G444" i="1" a="1"/>
  <c r="J402" i="8" a="1"/>
  <c r="F648" i="2" a="1"/>
  <c r="F593" i="2" a="1"/>
  <c r="G476" i="1" a="1"/>
  <c r="F12" i="2" a="1"/>
  <c r="J925" i="8" a="1"/>
  <c r="J786" i="8" a="1"/>
  <c r="J692" i="8" a="1"/>
  <c r="G261" i="1" a="1"/>
  <c r="P921" i="8" a="1"/>
  <c r="J528" i="8" a="1"/>
  <c r="J364" i="8" a="1"/>
  <c r="J884" i="8" a="1"/>
  <c r="F485" i="2" a="1"/>
  <c r="J651" i="8" a="1"/>
  <c r="J1196" i="8" a="1"/>
  <c r="F637" i="2" a="1"/>
  <c r="F117" i="2" a="1"/>
  <c r="G273" i="1" a="1"/>
  <c r="J474" i="8" a="1"/>
  <c r="O1185" i="8" a="1"/>
  <c r="G301" i="1" a="1"/>
  <c r="F251" i="2" a="1"/>
  <c r="G69" i="1" a="1"/>
  <c r="J739" i="8" a="1"/>
  <c r="J916" i="8" a="1"/>
  <c r="F610" i="2" a="1"/>
  <c r="J580" i="8" a="1"/>
  <c r="J752" i="8" a="1"/>
  <c r="J628" i="8" a="1"/>
  <c r="O924" i="8" a="1"/>
  <c r="G403" i="1" a="1"/>
  <c r="J608" i="8" a="1"/>
  <c r="J546" i="8" a="1"/>
  <c r="J856" i="8" a="1"/>
  <c r="J813" i="8" a="1"/>
  <c r="G304" i="1" a="1"/>
  <c r="G280" i="1" a="1"/>
  <c r="F479" i="2" a="1"/>
  <c r="O301" i="8" a="1"/>
  <c r="J665" i="8" a="1"/>
  <c r="J617" i="8" a="1"/>
  <c r="E31" i="14" a="1"/>
  <c r="F659" i="2" a="1"/>
  <c r="J563" i="8" a="1"/>
  <c r="J994" i="8" a="1"/>
  <c r="J590" i="8" a="1"/>
  <c r="G270" i="1" a="1"/>
  <c r="G414" i="1" a="1"/>
  <c r="G233" i="1" a="1"/>
  <c r="J747" i="8" a="1"/>
  <c r="J16" i="8" a="1"/>
  <c r="J1158" i="8" a="1"/>
  <c r="G326" i="1" a="1"/>
  <c r="J407" i="8" a="1"/>
  <c r="J486" i="8" a="1"/>
  <c r="P925" i="8" a="1"/>
  <c r="G288" i="1" a="1"/>
  <c r="J1129" i="8" a="1"/>
  <c r="G210" i="1" a="1"/>
  <c r="J1050" i="8" a="1"/>
  <c r="F502" i="2" a="1"/>
  <c r="F582" i="2" a="1"/>
  <c r="O1192" i="8" a="1"/>
  <c r="J468" i="8" a="1"/>
  <c r="F230" i="2" a="1"/>
  <c r="J421" i="8" a="1"/>
  <c r="G483" i="1" a="1"/>
  <c r="J715" i="8" a="1"/>
  <c r="F564" i="2" a="1"/>
  <c r="G166" i="1" a="1"/>
  <c r="J366" i="8" a="1"/>
  <c r="O685" i="8" a="1"/>
  <c r="F437" i="2" a="1"/>
  <c r="G91" i="1" a="1"/>
  <c r="G349" i="1" a="1"/>
  <c r="J879" i="8" a="1"/>
  <c r="G398" i="1" a="1"/>
  <c r="J554" i="8" a="1"/>
  <c r="J846" i="8" a="1"/>
  <c r="J1194" i="8" a="1"/>
  <c r="G31" i="1" a="1"/>
  <c r="J1115" i="8" a="1"/>
  <c r="J982" i="8" a="1"/>
  <c r="G200" i="1" a="1"/>
  <c r="O534" i="8" a="1"/>
  <c r="J463" i="8" a="1"/>
  <c r="J268" i="8" a="1"/>
  <c r="F373" i="2" a="1"/>
  <c r="J714" i="8" a="1"/>
  <c r="G122" i="1" a="1"/>
  <c r="J677" i="8" a="1"/>
  <c r="F632" i="2" a="1"/>
  <c r="J371" i="8" a="1"/>
  <c r="J70" i="8" a="1"/>
  <c r="J30" i="8" a="1"/>
  <c r="O1131" i="8" a="1"/>
  <c r="O801" i="8" a="1"/>
  <c r="J861" i="8" a="1"/>
  <c r="O535" i="8" a="1"/>
  <c r="J809" i="8" a="1"/>
  <c r="J379" i="8" a="1"/>
  <c r="P304" i="8" a="1"/>
  <c r="J1164" i="8" a="1"/>
  <c r="J797" i="8" a="1"/>
  <c r="G17" i="1" a="1"/>
  <c r="F406" i="2" a="1"/>
  <c r="J442" i="8" a="1"/>
  <c r="G289" i="1" a="1"/>
  <c r="G139" i="1" a="1"/>
  <c r="O914" i="8" a="1"/>
  <c r="G240" i="1" a="1"/>
  <c r="J935" i="8" a="1"/>
  <c r="F575" i="2" a="1"/>
  <c r="F668" i="2" a="1"/>
  <c r="J808" i="8" a="1"/>
  <c r="J836" i="8" a="1"/>
  <c r="J1112" i="8" a="1"/>
  <c r="G47" i="1" a="1"/>
  <c r="J1119" i="8" a="1"/>
  <c r="G293" i="1" a="1"/>
  <c r="G469" i="1" a="1"/>
  <c r="F599" i="2" a="1"/>
  <c r="J8" i="8" a="1"/>
  <c r="J431" i="8" a="1"/>
  <c r="F252" i="2" a="1"/>
  <c r="F416" i="2" a="1"/>
  <c r="O682" i="8" a="1"/>
  <c r="J38" i="8" a="1"/>
  <c r="J535" i="8" a="1"/>
  <c r="F477" i="2" a="1"/>
  <c r="F408" i="2" a="1"/>
  <c r="G267" i="1" a="1"/>
  <c r="J720" i="8" a="1"/>
  <c r="P1139" i="8" a="1"/>
  <c r="J625" i="8" a="1"/>
  <c r="G405" i="1" a="1"/>
  <c r="P1181" i="8" a="1"/>
  <c r="J63" i="8" a="1"/>
  <c r="J937" i="8" a="1"/>
  <c r="J43" i="8" a="1"/>
  <c r="F600" i="2" a="1"/>
  <c r="J1173" i="8" a="1"/>
  <c r="O654" i="8" a="1"/>
  <c r="G339" i="1" a="1"/>
  <c r="J1100" i="8" a="1"/>
  <c r="F132" i="2" a="1"/>
  <c r="G171" i="1" a="1"/>
  <c r="G95" i="1" a="1"/>
  <c r="F424" i="2" a="1"/>
  <c r="G107" i="1" a="1"/>
  <c r="J384" i="8" a="1"/>
  <c r="J634" i="8" a="1"/>
  <c r="F523" i="2" a="1"/>
  <c r="J343" i="8" a="1"/>
  <c r="G363" i="1" a="1"/>
  <c r="F503" i="2" a="1"/>
  <c r="J834" i="8" a="1"/>
  <c r="J738" i="8" a="1"/>
  <c r="F574" i="2" a="1"/>
  <c r="F217" i="2" a="1"/>
  <c r="F15" i="2" a="1"/>
  <c r="O628" i="8" a="1"/>
  <c r="F530" i="2" a="1"/>
  <c r="J339" i="8" a="1"/>
  <c r="O333" i="8" a="1"/>
  <c r="P793" i="8" a="1"/>
  <c r="J716" i="8" a="1"/>
  <c r="J851" i="8" a="1"/>
  <c r="J42" i="8" a="1"/>
  <c r="O651" i="8" a="1"/>
  <c r="O891" i="8" a="1"/>
  <c r="J385" i="8" a="1"/>
  <c r="P1185" i="8" a="1"/>
  <c r="J278" i="8" a="1"/>
  <c r="F282" i="2" a="1"/>
  <c r="P332" i="8" a="1"/>
  <c r="F134" i="2" a="1"/>
  <c r="F558" i="2" a="1"/>
  <c r="J1120" i="8" a="1"/>
  <c r="J313" i="8" a="1"/>
  <c r="F629" i="2" a="1"/>
  <c r="J345" i="8" a="1"/>
  <c r="G82" i="1" a="1"/>
  <c r="F573" i="2" a="1"/>
  <c r="J565" i="8" a="1"/>
  <c r="J733" i="8" a="1"/>
  <c r="G40" i="1" a="1"/>
  <c r="J37" i="8" a="1"/>
  <c r="J695" i="8" a="1"/>
  <c r="J26" i="8" a="1"/>
  <c r="J635" i="8" a="1"/>
  <c r="F358" i="2" a="1"/>
  <c r="J1105" i="8" a="1"/>
  <c r="O905" i="8" a="1"/>
  <c r="F98" i="2" a="1"/>
  <c r="J961" i="8" a="1"/>
  <c r="F505" i="2" a="1"/>
  <c r="J641" i="8" a="1"/>
  <c r="P683" i="8" a="1"/>
  <c r="J862" i="8" a="1"/>
  <c r="O792" i="8" a="1"/>
  <c r="F147" i="2" a="1"/>
  <c r="J923" i="8" a="1"/>
  <c r="J525" i="8" a="1"/>
  <c r="J885" i="8" a="1"/>
  <c r="J1151" i="8" a="1"/>
  <c r="J730" i="8" a="1"/>
  <c r="G322" i="1" a="1"/>
  <c r="P1183" i="8" a="1"/>
  <c r="F433" i="2" a="1"/>
  <c r="J451" i="8" a="1"/>
  <c r="J387" i="8" a="1"/>
  <c r="J711" i="8" a="1"/>
  <c r="J877" i="8" a="1"/>
  <c r="O1143" i="8" a="1"/>
  <c r="J1116" i="8" a="1"/>
  <c r="O1184" i="8" a="1"/>
  <c r="G299" i="1" a="1"/>
  <c r="J854" i="8" a="1"/>
  <c r="J559" i="8" a="1"/>
  <c r="J806" i="8" a="1"/>
  <c r="J392" i="8" a="1"/>
  <c r="J673" i="8" a="1"/>
  <c r="F327" i="2" a="1"/>
  <c r="J449" i="8" a="1"/>
  <c r="J386" i="8" a="1"/>
  <c r="J473" i="8" a="1"/>
  <c r="J960" i="8" a="1"/>
  <c r="F14" i="2" a="1"/>
  <c r="G115" i="1" a="1"/>
  <c r="F560" i="2" a="1"/>
  <c r="O306" i="8" a="1"/>
  <c r="J288" i="8" a="1"/>
  <c r="J956" i="8" a="1"/>
  <c r="J938" i="8" a="1"/>
  <c r="J552" i="8" a="1"/>
  <c r="J1113" i="8" a="1"/>
  <c r="J17" i="8" a="1"/>
  <c r="G333" i="1" a="1"/>
  <c r="O797" i="8" a="1"/>
  <c r="J1010" i="8" a="1"/>
  <c r="J430" i="8" a="1"/>
  <c r="J1110" i="8" a="1"/>
  <c r="J591" i="8" a="1"/>
  <c r="G102" i="1" a="1"/>
  <c r="J1183" i="8" a="1"/>
  <c r="J20" i="8" a="1"/>
  <c r="P711" i="8" a="1"/>
  <c r="G165" i="1" a="1"/>
  <c r="O328" i="8" a="1"/>
  <c r="J318" i="8" a="1"/>
  <c r="J1017" i="8" a="1"/>
  <c r="J419" i="8" a="1"/>
  <c r="J45" i="8" a="1"/>
  <c r="J872" i="8" a="1"/>
  <c r="G243" i="1" a="1"/>
  <c r="J827" i="8" a="1"/>
  <c r="G457" i="1" a="1"/>
  <c r="G343" i="1" a="1"/>
  <c r="J567" i="8" a="1"/>
  <c r="J887" i="8" a="1"/>
  <c r="J996" i="8" a="1"/>
  <c r="G308" i="1" a="1"/>
  <c r="G292" i="1" a="1"/>
  <c r="F219" i="2" a="1"/>
  <c r="J915" i="8" a="1"/>
  <c r="O1177" i="8" a="1"/>
  <c r="J727" i="8" a="1"/>
  <c r="J883" i="8" a="1"/>
  <c r="P916" i="8" a="1"/>
  <c r="G422" i="1" a="1"/>
  <c r="J638" i="8" a="1"/>
  <c r="J696" i="8" a="1"/>
  <c r="O698" i="8" a="1"/>
  <c r="F556" i="2" a="1"/>
  <c r="F606" i="2" a="1"/>
  <c r="J950" i="8" a="1"/>
  <c r="G38" i="1" a="1"/>
  <c r="F248" i="2" a="1"/>
  <c r="J527" i="8" a="1"/>
  <c r="J578" i="8" a="1"/>
  <c r="G136" i="1" a="1"/>
  <c r="J417" i="8" a="1"/>
  <c r="G142" i="1" a="1"/>
  <c r="G471" i="1" a="1"/>
  <c r="J660" i="8" a="1"/>
  <c r="J460" i="8" a="1"/>
  <c r="F501" i="2" a="1"/>
  <c r="F232" i="2" a="1"/>
  <c r="F452" i="2" a="1"/>
  <c r="F96" i="2" a="1"/>
  <c r="J489" i="8" a="1"/>
  <c r="J426" i="8" a="1"/>
  <c r="J670" i="8" a="1"/>
  <c r="J395" i="8" a="1"/>
  <c r="F131" i="2" a="1"/>
  <c r="J330" i="8" a="1"/>
  <c r="F207" i="2" a="1"/>
  <c r="O1175" i="8" a="1"/>
  <c r="O1010" i="8" a="1"/>
  <c r="J533" i="8" a="1"/>
  <c r="F507" i="2" a="1"/>
  <c r="F11" i="2" a="1"/>
  <c r="G465" i="1" a="1"/>
  <c r="J264" i="8" a="1"/>
  <c r="F39" i="2" a="1"/>
  <c r="J403" i="8" a="1"/>
  <c r="G134" i="1" a="1"/>
  <c r="E13" i="14" a="1"/>
  <c r="F111" i="2" a="1"/>
  <c r="J1180" i="8" a="1"/>
  <c r="J404" i="8" a="1"/>
  <c r="J645" i="8" a="1"/>
  <c r="G99" i="1" a="1"/>
  <c r="P657" i="8" a="1"/>
  <c r="G192" i="1" a="1"/>
  <c r="J285" i="8" a="1"/>
  <c r="O794" i="8" a="1"/>
  <c r="G188" i="1" a="1"/>
  <c r="P792" i="8" a="1"/>
  <c r="F93" i="2" a="1"/>
  <c r="J1002" i="8" a="1"/>
  <c r="G360" i="1" a="1"/>
  <c r="G8" i="1" a="1"/>
  <c r="O627" i="8" a="1"/>
  <c r="J649" i="8" a="1"/>
  <c r="J1041" i="8" a="1"/>
  <c r="G364" i="1" a="1"/>
  <c r="F13" i="2" a="1"/>
  <c r="J579" i="8" a="1"/>
  <c r="J748" i="8" a="1"/>
  <c r="P699" i="8" a="1"/>
  <c r="G387" i="1" a="1"/>
  <c r="F631" i="2" a="1"/>
  <c r="J538" i="8" a="1"/>
  <c r="J1188" i="8" a="1"/>
  <c r="J289" i="8" a="1"/>
  <c r="O1139" i="8" a="1"/>
  <c r="J632" i="8" a="1"/>
  <c r="F379" i="2" a="1"/>
  <c r="J933" i="8" a="1"/>
  <c r="F216" i="2" a="1"/>
  <c r="J757" i="8" a="1"/>
  <c r="G27" i="1" a="1"/>
  <c r="J603" i="8" a="1"/>
  <c r="F484" i="2" a="1"/>
  <c r="F441" i="2" a="1"/>
  <c r="O330" i="8" a="1"/>
  <c r="F595" i="2" a="1"/>
  <c r="G159" i="1" a="1"/>
  <c r="F128" i="2" a="1"/>
  <c r="J471" i="8" a="1"/>
  <c r="F34" i="2" a="1"/>
  <c r="J1009" i="8" a="1"/>
  <c r="J992" i="8" a="1"/>
  <c r="F7" i="2" a="1"/>
  <c r="J1114" i="8" a="1"/>
  <c r="F615" i="2" a="1"/>
  <c r="J21" i="8" a="1"/>
  <c r="J1032" i="8" a="1"/>
  <c r="F607" i="2" a="1"/>
  <c r="J1036" i="8" a="1"/>
  <c r="G124" i="1" a="1"/>
  <c r="J886" i="8" a="1"/>
  <c r="P791" i="8" a="1"/>
  <c r="P684" i="8" a="1"/>
  <c r="O803" i="8" a="1"/>
  <c r="J698" i="8" a="1"/>
  <c r="J952" i="8" a="1"/>
  <c r="G436" i="1" a="1"/>
  <c r="O1138" i="8" a="1"/>
  <c r="J1177" i="8" a="1"/>
  <c r="J273" i="8" a="1"/>
  <c r="G50" i="1" a="1"/>
  <c r="J661" i="8" a="1"/>
  <c r="J876" i="8" a="1"/>
  <c r="F524" i="2" a="1"/>
  <c r="F266" i="2" a="1"/>
  <c r="F33" i="2" a="1"/>
  <c r="J870" i="8" a="1"/>
  <c r="G195" i="1" a="1"/>
  <c r="J1028" i="8" a="1"/>
  <c r="G291" i="1" a="1"/>
  <c r="F88" i="2" a="1"/>
  <c r="J583" i="8" a="1"/>
  <c r="J62" i="8" a="1"/>
  <c r="J936" i="8" a="1"/>
  <c r="J674" i="8" a="1"/>
  <c r="J990" i="8" a="1"/>
  <c r="G468" i="1" a="1"/>
  <c r="F611" i="2" a="1"/>
  <c r="G83" i="1" a="1"/>
  <c r="G451" i="1" a="1"/>
  <c r="J291" i="8" a="1"/>
  <c r="J596" i="8" a="1"/>
  <c r="F357" i="2" a="1"/>
  <c r="J6" i="8" a="1"/>
  <c r="P333" i="8" a="1"/>
  <c r="J659" i="8" a="1"/>
  <c r="G154" i="1" a="1"/>
  <c r="O906" i="8" a="1"/>
  <c r="F481" i="2" a="1"/>
  <c r="G325" i="1" a="1"/>
  <c r="F518" i="2" a="1"/>
  <c r="J1031" i="8" a="1"/>
  <c r="F661" i="2" a="1"/>
  <c r="G96" i="1" a="1"/>
  <c r="J734" i="8" a="1"/>
  <c r="P914" i="8" a="1"/>
  <c r="J11" i="8" a="1"/>
  <c r="J604" i="8" a="1"/>
  <c r="J791" i="8" a="1"/>
  <c r="J560" i="8" a="1"/>
  <c r="J1027" i="8" a="1"/>
  <c r="F350" i="2" a="1"/>
  <c r="F227" i="2" a="1"/>
  <c r="F283" i="2" a="1"/>
  <c r="J717" i="8" a="1"/>
  <c r="F333" i="2" a="1"/>
  <c r="J274" i="8" a="1"/>
  <c r="G435" i="1" a="1"/>
  <c r="J427" i="8" a="1"/>
  <c r="F478" i="2" a="1"/>
  <c r="J1182" i="8" a="1"/>
  <c r="G104" i="1" a="1"/>
  <c r="F29" i="2" a="1"/>
  <c r="G10" i="1" a="1"/>
  <c r="J1172" i="8" a="1"/>
  <c r="J815" i="8" a="1"/>
  <c r="G230" i="1" a="1"/>
  <c r="J843" i="8" a="1"/>
  <c r="J1157" i="8" a="1"/>
  <c r="J946" i="8" a="1"/>
  <c r="J868" i="8" a="1"/>
  <c r="F146" i="2" a="1"/>
  <c r="J1187" i="8" a="1"/>
  <c r="G97" i="1" a="1"/>
  <c r="P906" i="8" a="1"/>
  <c r="G324" i="1" a="1"/>
  <c r="J536" i="8" a="1"/>
  <c r="J844" i="8" a="1"/>
  <c r="G404" i="1" a="1"/>
  <c r="J615" i="8" a="1"/>
  <c r="J74" i="8" a="1"/>
  <c r="O684" i="8" a="1"/>
  <c r="O1147" i="8" a="1"/>
  <c r="J461" i="8" a="1"/>
  <c r="J65" i="8" a="1"/>
  <c r="J753" i="8" a="1"/>
  <c r="F80" i="2" a="1"/>
  <c r="G354" i="1" a="1"/>
  <c r="F520" i="2" a="1"/>
  <c r="J284" i="8" a="1"/>
  <c r="G461" i="1" a="1"/>
  <c r="J1004" i="8" a="1"/>
  <c r="J1197" i="8" a="1"/>
  <c r="J1193" i="8" a="1"/>
  <c r="O1009" i="8" a="1"/>
  <c r="J888" i="8" a="1"/>
  <c r="J728" i="8" a="1"/>
  <c r="J612" i="8" a="1"/>
  <c r="G331" i="1" a="1"/>
  <c r="J36" i="8" a="1"/>
  <c r="G393" i="1" a="1"/>
  <c r="F526" i="2" a="1"/>
  <c r="J424" i="8" a="1"/>
  <c r="G126" i="1" a="1"/>
  <c r="J450" i="8" a="1"/>
  <c r="O807" i="8" a="1"/>
  <c r="J439" i="8" a="1"/>
  <c r="J654" i="8" a="1"/>
  <c r="J1133" i="8" a="1"/>
  <c r="O919" i="8" a="1"/>
  <c r="G79" i="1" a="1"/>
  <c r="F326" i="2" a="1"/>
  <c r="J40" i="8" a="1"/>
  <c r="F417" i="2" a="1"/>
  <c r="F323" i="2" a="1"/>
  <c r="J271" i="8" a="1"/>
  <c r="F296" i="2" a="1"/>
  <c r="G116" i="1" a="1"/>
  <c r="J304" i="8" a="1"/>
  <c r="G45" i="1" a="1"/>
  <c r="G144" i="1" a="1"/>
  <c r="G294" i="1" a="1"/>
  <c r="F451" i="2" a="1"/>
  <c r="G265" i="1" a="1"/>
  <c r="O1007" i="8" a="1"/>
  <c r="G119" i="1" a="1"/>
  <c r="J1192" i="8" a="1"/>
  <c r="J679" i="8" a="1"/>
  <c r="F378" i="2" a="1"/>
  <c r="P900" i="8" a="1"/>
  <c r="J398" i="8" a="1"/>
  <c r="F285" i="2" a="1"/>
  <c r="G238" i="1" a="1"/>
  <c r="G66" i="1" a="1"/>
  <c r="G74" i="1" a="1"/>
  <c r="F223" i="2" a="1"/>
  <c r="P536" i="8" a="1"/>
  <c r="J610" i="8" a="1"/>
  <c r="G391" i="1" a="1"/>
  <c r="F561" i="2" a="1"/>
  <c r="J406" i="8" a="1"/>
  <c r="F412" i="2" a="1"/>
  <c r="J702" i="8" a="1"/>
  <c r="O795" i="8" a="1"/>
  <c r="J380" i="8" a="1"/>
  <c r="G478" i="1" a="1"/>
  <c r="G130" i="1" a="1"/>
  <c r="J303" i="8" a="1"/>
  <c r="F644" i="2" a="1"/>
  <c r="O653" i="8" a="1"/>
  <c r="J28" i="8" a="1"/>
  <c r="F642" i="2" a="1"/>
  <c r="J963" i="8" a="1"/>
  <c r="F623" i="2" a="1"/>
  <c r="F656" i="2" a="1"/>
  <c r="F662" i="2" a="1"/>
  <c r="G71" i="1" a="1"/>
  <c r="F635" i="2" a="1"/>
  <c r="J1170" i="8" a="1"/>
  <c r="G464" i="1" a="1"/>
  <c r="J25" i="8" a="1"/>
  <c r="J540" i="8" a="1"/>
  <c r="F483" i="2" a="1"/>
  <c r="P681" i="8" a="1"/>
  <c r="G335" i="1" a="1"/>
  <c r="J418" i="8" a="1"/>
  <c r="G275" i="1" a="1"/>
  <c r="J1166" i="8" a="1"/>
  <c r="G250" i="1" a="1"/>
  <c r="J896" i="8" a="1"/>
  <c r="J1181" i="8" a="1"/>
  <c r="J611" i="8" a="1"/>
  <c r="F353" i="2" a="1"/>
  <c r="J1020" i="8" a="1"/>
  <c r="J619" i="8" a="1"/>
  <c r="J1190" i="8" a="1"/>
  <c r="J453" i="8" a="1"/>
  <c r="O1194" i="8" a="1"/>
  <c r="G313" i="1" a="1"/>
  <c r="G480" i="1" a="1"/>
  <c r="G153" i="1" a="1"/>
  <c r="J980" i="8" a="1"/>
  <c r="J1198" i="8" a="1"/>
  <c r="F418" i="2" a="1"/>
  <c r="J1122" i="8" a="1"/>
  <c r="F64" i="2" a="1"/>
  <c r="P1184" i="8" a="1"/>
  <c r="F149" i="2" a="1"/>
  <c r="J267" i="8" a="1"/>
  <c r="F527" i="2" a="1"/>
  <c r="F474" i="2" a="1"/>
  <c r="J342" i="8" a="1"/>
  <c r="J948" i="8" a="1"/>
  <c r="J927" i="8" a="1"/>
  <c r="J724" i="8" a="1"/>
  <c r="J1147" i="8" a="1"/>
  <c r="J911" i="8" a="1"/>
  <c r="F115" i="2" a="1"/>
  <c r="G345" i="1" a="1"/>
  <c r="J1142" i="8" a="1"/>
  <c r="J743" i="8" a="1"/>
  <c r="G453" i="1" a="1"/>
  <c r="J412" i="8" a="1"/>
  <c r="J437" i="8" a="1"/>
  <c r="G397" i="1" a="1"/>
  <c r="F636" i="2" a="1"/>
  <c r="P1141" i="8" a="1"/>
  <c r="P1180" i="8" a="1"/>
  <c r="J571" i="8" a="1"/>
  <c r="J970" i="8" a="1"/>
  <c r="G321" i="1" a="1"/>
  <c r="J575" i="8" a="1"/>
  <c r="J954" i="8" a="1"/>
  <c r="P1143" i="8" a="1"/>
  <c r="G225" i="1" a="1"/>
  <c r="G212" i="1" a="1"/>
  <c r="J562" i="8" a="1"/>
  <c r="J1005" i="8" a="1"/>
  <c r="O706" i="8" a="1"/>
  <c r="J705" i="8" a="1"/>
  <c r="J550" i="8" a="1"/>
  <c r="P653" i="8" a="1"/>
  <c r="G84" i="1" a="1"/>
  <c r="G352" i="1" a="1"/>
  <c r="F641" i="2" a="1"/>
  <c r="J9" i="8" a="1"/>
  <c r="G309" i="1" a="1"/>
  <c r="J1035" i="8" a="1"/>
  <c r="F377" i="2" a="1"/>
  <c r="J1039" i="8" a="1"/>
  <c r="J75" i="8" a="1"/>
  <c r="J312" i="8" a="1"/>
  <c r="J905" i="8" a="1"/>
  <c r="J1108" i="8" a="1"/>
  <c r="G234" i="1" a="1"/>
  <c r="G174" i="1" a="1"/>
  <c r="J1199" i="8" a="1"/>
  <c r="G442" i="1" a="1"/>
  <c r="O1182" i="8" a="1"/>
  <c r="J947" i="8" a="1"/>
  <c r="O885" i="8" a="1"/>
  <c r="J581" i="8" a="1"/>
  <c r="J785" i="8" a="1"/>
  <c r="J616" i="8" a="1"/>
  <c r="F47" i="2" a="1"/>
  <c r="F65" i="2" a="1"/>
  <c r="F497" i="2" a="1"/>
  <c r="F298" i="2" a="1"/>
  <c r="G29" i="1" a="1"/>
  <c r="J1021" i="8" a="1"/>
  <c r="G421" i="1" a="1"/>
  <c r="F226" i="2" a="1"/>
  <c r="J340" i="8" a="1"/>
  <c r="O1150" i="8" a="1"/>
  <c r="P682" i="8" a="1"/>
  <c r="G362" i="1" a="1"/>
  <c r="F500" i="2" a="1"/>
  <c r="J831" i="8" a="1"/>
  <c r="G9" i="1" a="1"/>
  <c r="F407" i="2" a="1"/>
  <c r="J754" i="8" a="1"/>
  <c r="F372" i="2" a="1"/>
  <c r="F624" i="2" a="1"/>
  <c r="F178" i="2" a="1"/>
  <c r="F38" i="2" a="1"/>
  <c r="F360" i="2" a="1"/>
  <c r="J1014" i="8" a="1"/>
  <c r="G420" i="1" a="1"/>
  <c r="P913" i="8" a="1"/>
  <c r="J41" i="8" a="1"/>
  <c r="G157" i="1" a="1"/>
  <c r="O987" i="8" a="1"/>
  <c r="J328" i="8" a="1"/>
  <c r="F318" i="2" a="1"/>
  <c r="J573" i="8" a="1"/>
  <c r="J945" i="8" a="1"/>
  <c r="J394" i="8" a="1"/>
  <c r="J732" i="8" a="1"/>
  <c r="F614" i="2" a="1"/>
  <c r="J415" i="8" a="1"/>
  <c r="O901" i="8" a="1"/>
  <c r="J839" i="8" a="1"/>
  <c r="F53" i="2" a="1"/>
  <c r="J1154" i="8" a="1"/>
  <c r="F509" i="2" a="1"/>
  <c r="J848" i="8" a="1"/>
  <c r="O893" i="8" a="1"/>
  <c r="G244" i="1" a="1"/>
  <c r="G248" i="1" a="1"/>
  <c r="G28" i="1" a="1"/>
  <c r="G467" i="1" a="1"/>
  <c r="J269" i="8" a="1"/>
  <c r="J1034" i="8" a="1"/>
  <c r="J584" i="8" a="1"/>
  <c r="P710" i="8" a="1"/>
  <c r="G314" i="1" a="1"/>
  <c r="G375" i="1" a="1"/>
  <c r="O679" i="8" a="1"/>
  <c r="J723" i="8" a="1"/>
  <c r="J648" i="8" a="1"/>
  <c r="F634" i="2" a="1"/>
  <c r="G129" i="1" a="1"/>
  <c r="F512" i="2" a="1"/>
  <c r="J368" i="8" a="1"/>
  <c r="F321" i="2" a="1"/>
  <c r="P802" i="8" a="1"/>
  <c r="G180" i="1" a="1"/>
  <c r="G77" i="1" a="1"/>
  <c r="F374" i="2" a="1"/>
  <c r="F429" i="2" a="1"/>
  <c r="J983" i="8" a="1"/>
  <c r="J570" i="8" a="1"/>
  <c r="G376" i="1" a="1"/>
  <c r="O697" i="8" a="1"/>
  <c r="J574" i="8" a="1"/>
  <c r="G105" i="1" a="1"/>
  <c r="J858" i="8" a="1"/>
  <c r="J725" i="8" a="1"/>
  <c r="F51" i="2" a="1"/>
  <c r="G34" i="1" a="1"/>
  <c r="F376" i="2" a="1"/>
  <c r="G416" i="1" a="1"/>
  <c r="G81" i="1" a="1"/>
  <c r="O711" i="8" a="1"/>
  <c r="J482" i="8" a="1"/>
  <c r="P905" i="8" a="1"/>
  <c r="E30" i="14" a="1"/>
  <c r="F332" i="2" a="1"/>
  <c r="J324" i="8" a="1"/>
  <c r="J1109" i="8" a="1"/>
  <c r="G172" i="1" a="1"/>
  <c r="O1178" i="8" a="1"/>
  <c r="G377" i="1" a="1"/>
  <c r="J917" i="8" a="1"/>
  <c r="J710" i="8" a="1"/>
  <c r="F355" i="2" a="1"/>
  <c r="J287" i="8" a="1"/>
  <c r="O1133" i="8" a="1"/>
  <c r="J331" i="8" a="1"/>
  <c r="F498" i="2" a="1"/>
  <c r="P794" i="8" a="1"/>
  <c r="J322" i="8" a="1"/>
  <c r="O536" i="8" a="1"/>
  <c r="G145" i="1" a="1"/>
  <c r="J965" i="8" a="1"/>
  <c r="G167" i="1" a="1"/>
  <c r="F220" i="2" a="1"/>
  <c r="J1191" i="8" a="1"/>
  <c r="J901" i="8" a="1"/>
  <c r="J1107" i="8" a="1"/>
  <c r="G138" i="1" a="1"/>
  <c r="J914" i="8" a="1"/>
  <c r="G155" i="1" a="1"/>
  <c r="J840" i="8" a="1"/>
  <c r="G23" i="1" a="1"/>
  <c r="G33" i="1" a="1"/>
  <c r="F597" i="2" a="1"/>
  <c r="J626" i="8" a="1"/>
  <c r="F245" i="2" a="1"/>
  <c r="J50" i="8" a="1"/>
  <c r="J7" i="8" a="1"/>
  <c r="G213" i="1" a="1"/>
  <c r="F456" i="2" a="1"/>
  <c r="J327" i="8" a="1"/>
  <c r="J39" i="8" a="1"/>
  <c r="G175" i="1" a="1"/>
  <c r="F609" i="2" a="1"/>
  <c r="F442" i="2" a="1"/>
  <c r="F453" i="2" a="1"/>
  <c r="F576" i="2" a="1"/>
  <c r="P695" i="8" a="1"/>
  <c r="G177" i="1" a="1"/>
  <c r="J472" i="8" a="1"/>
  <c r="J624" i="8" a="1"/>
  <c r="F247" i="2" a="1"/>
  <c r="G357" i="1" a="1"/>
  <c r="G474" i="1" a="1"/>
  <c r="G173" i="1" a="1"/>
  <c r="G217" i="1" a="1"/>
  <c r="F6" i="2" a="1"/>
  <c r="J539" i="8" a="1"/>
  <c r="O696" i="8" a="1"/>
  <c r="J709" i="8" a="1"/>
  <c r="G25" i="1" a="1"/>
  <c r="J653" i="8" a="1"/>
  <c r="J281" i="8" a="1"/>
  <c r="G254" i="1" a="1"/>
  <c r="O887" i="8" a="1"/>
  <c r="G336" i="1" a="1"/>
  <c r="F330" i="2" a="1"/>
  <c r="O922" i="8" a="1"/>
  <c r="J414" i="8" a="1"/>
  <c r="F409" i="2" a="1"/>
  <c r="F214" i="2" a="1"/>
  <c r="J718" i="8" a="1"/>
  <c r="J704" i="8" a="1"/>
  <c r="F540" i="2" a="1"/>
  <c r="G162" i="1" a="1"/>
  <c r="G296" i="1" a="1"/>
  <c r="O986" i="8" a="1"/>
  <c r="J750" i="8" a="1"/>
  <c r="G266" i="1" a="1"/>
  <c r="J388" i="8" a="1"/>
  <c r="J286" i="8" a="1"/>
  <c r="J1042" i="8" a="1"/>
  <c r="G312" i="1" a="1"/>
  <c r="O983" i="8" a="1"/>
  <c r="J275" i="8" a="1"/>
  <c r="J541" i="8" a="1"/>
  <c r="J795" i="8" a="1"/>
  <c r="J19" i="8" a="1"/>
  <c r="F31" i="2" a="1"/>
  <c r="G284" i="1" a="1"/>
  <c r="J857" i="8" a="1"/>
  <c r="F508" i="2" a="1"/>
  <c r="F225" i="2" a="1"/>
  <c r="F268" i="2" a="1"/>
  <c r="F422" i="2" a="1"/>
  <c r="G148" i="1" a="1"/>
  <c r="F663" i="2" a="1"/>
  <c r="G351" i="1" a="1"/>
  <c r="J466" i="8" a="1"/>
  <c r="F97" i="2" a="1"/>
  <c r="F114" i="2" a="1"/>
  <c r="O625" i="8" a="1"/>
  <c r="J335" i="8" a="1"/>
  <c r="F468" i="2" a="1"/>
  <c r="J483" i="8" a="1"/>
  <c r="J321" i="8" a="1"/>
  <c r="O990" i="8" a="1"/>
  <c r="G448" i="1" a="1"/>
  <c r="F489" i="2" a="1"/>
  <c r="G231" i="1" a="1"/>
  <c r="J958" i="8" a="1"/>
  <c r="F488" i="2" a="1"/>
  <c r="J807" i="8" a="1"/>
  <c r="J444" i="8" a="1"/>
  <c r="J783" i="8" a="1"/>
  <c r="F495" i="2" a="1"/>
  <c r="G125" i="1" a="1"/>
  <c r="G156" i="1" a="1"/>
  <c r="G198" i="1" a="1"/>
  <c r="J816" i="8" a="1"/>
  <c r="J315" i="8" a="1"/>
  <c r="J548" i="8" a="1"/>
  <c r="F513" i="2" a="1"/>
  <c r="J452" i="8" a="1"/>
  <c r="O530" i="8" a="1"/>
  <c r="J69" i="8" a="1"/>
  <c r="J323" i="8" a="1"/>
  <c r="F19" i="2" a="1"/>
  <c r="J61" i="8" a="1"/>
  <c r="J373" i="8" a="1"/>
  <c r="G394" i="1" a="1"/>
  <c r="F482" i="2" a="1"/>
  <c r="P306" i="8" a="1"/>
  <c r="J530" i="8" a="1"/>
  <c r="J882" i="8" a="1"/>
  <c r="G305" i="1" a="1"/>
  <c r="J557" i="8" a="1"/>
  <c r="G378" i="1" a="1"/>
  <c r="J1178" i="8" a="1"/>
  <c r="J878" i="8" a="1"/>
  <c r="J68" i="8" a="1"/>
  <c r="J731" i="8" a="1"/>
  <c r="G389" i="1" a="1"/>
  <c r="G417" i="1" a="1"/>
  <c r="J697" i="8" a="1"/>
  <c r="G141" i="1" a="1"/>
  <c r="J279" i="8" a="1"/>
  <c r="F555" i="2" a="1"/>
  <c r="J874" i="8" a="1"/>
  <c r="J491" i="8" a="1"/>
  <c r="O1191" i="8" a="1"/>
  <c r="J811" i="8" a="1"/>
  <c r="J928" i="8" a="1"/>
  <c r="G207" i="1" a="1"/>
  <c r="F229" i="2" a="1"/>
  <c r="J822" i="8" a="1"/>
  <c r="J849" i="8" a="1"/>
  <c r="J566" i="8" a="1"/>
  <c r="F112" i="2" a="1"/>
  <c r="J799" i="8" a="1"/>
  <c r="J801" i="8" a="1"/>
  <c r="J1118" i="8" a="1"/>
  <c r="F57" i="2" a="1"/>
  <c r="J1134" i="8" a="1"/>
  <c r="J991" i="8" a="1"/>
  <c r="G278" i="1" a="1"/>
  <c r="J542" i="8" a="1"/>
  <c r="J1169" i="8" a="1"/>
  <c r="J32" i="8" a="1"/>
  <c r="G215" i="1" a="1"/>
  <c r="J311" i="8" a="1"/>
  <c r="J309" i="8" a="1"/>
  <c r="G146" i="1" a="1"/>
  <c r="F435" i="2" a="1"/>
  <c r="F572" i="2" a="1"/>
  <c r="J987" i="8" a="1"/>
  <c r="F625" i="2" a="1"/>
  <c r="J1139" i="8" a="1"/>
  <c r="G302" i="1" a="1"/>
  <c r="F476" i="2" a="1"/>
  <c r="G106" i="1" a="1"/>
  <c r="J1011" i="8" a="1"/>
  <c r="G100" i="1" a="1"/>
  <c r="J1037" i="8" a="1"/>
  <c r="G120" i="1" a="1"/>
  <c r="J346" i="8" a="1"/>
  <c r="J44" i="8" a="1"/>
  <c r="F30" i="2" a="1"/>
  <c r="G341" i="1" a="1"/>
  <c r="J803" i="8" a="1"/>
  <c r="J832" i="8" a="1"/>
  <c r="J640" i="8" a="1"/>
  <c r="J64" i="8" a="1"/>
  <c r="J396" i="8" a="1"/>
  <c r="F60" i="2" a="1"/>
  <c r="J376" i="8" a="1"/>
  <c r="J1003" i="8" a="1"/>
  <c r="J708" i="8" a="1"/>
  <c r="J842" i="8" a="1"/>
  <c r="J572" i="8" a="1"/>
  <c r="G135" i="1" a="1"/>
  <c r="J995" i="8" a="1"/>
  <c r="F221" i="2" a="1"/>
  <c r="J629" i="8" a="1"/>
  <c r="J294" i="8" a="1"/>
  <c r="G285" i="1" a="1"/>
  <c r="J820" i="8" a="1"/>
  <c r="F457" i="2" a="1"/>
  <c r="G161" i="1" a="1"/>
  <c r="G454" i="1" a="1"/>
  <c r="J1167" i="8" a="1"/>
  <c r="F336" i="2" a="1"/>
  <c r="G209" i="1" a="1"/>
  <c r="G205" i="1" a="1"/>
  <c r="J597" i="8" a="1"/>
  <c r="F657" i="2" a="1"/>
  <c r="G101" i="1" a="1"/>
  <c r="G43" i="1" a="1"/>
  <c r="J890" i="8" a="1"/>
  <c r="F640" i="2" a="1"/>
  <c r="G399" i="1" a="1"/>
  <c r="J863" i="8" a="1"/>
  <c r="G113" i="1" a="1"/>
  <c r="F145" i="2" a="1"/>
  <c r="G197" i="1" a="1"/>
  <c r="F403" i="2" a="1"/>
  <c r="G279" i="1" a="1"/>
  <c r="J577" i="8" a="1"/>
  <c r="J642" i="8" a="1"/>
  <c r="J906" i="8" a="1"/>
  <c r="O808" i="8" a="1"/>
  <c r="J1175" i="8" a="1"/>
  <c r="J73" i="8" a="1"/>
  <c r="F89" i="2" a="1"/>
  <c r="J749" i="8" a="1"/>
  <c r="F319" i="2" a="1"/>
  <c r="J24" i="8" a="1"/>
  <c r="J558" i="8" a="1"/>
  <c r="F16" i="2" a="1"/>
  <c r="G340" i="1" a="1"/>
  <c r="F413" i="2" a="1"/>
  <c r="F148" i="2" a="1"/>
  <c r="F325" i="2" a="1"/>
  <c r="F638" i="2" a="1"/>
  <c r="G118" i="1" a="1"/>
  <c r="G80" i="1" a="1"/>
  <c r="O806" i="8" a="1"/>
  <c r="O1140" i="8" a="1"/>
  <c r="O305" i="8" a="1"/>
  <c r="F613" i="2" a="1"/>
  <c r="F400" i="2" a="1"/>
  <c r="G36" i="1" a="1"/>
  <c r="J1160" i="8" a="1"/>
  <c r="G16" i="1" a="1"/>
  <c r="J49" i="8" a="1"/>
  <c r="J18" i="8" a="1"/>
  <c r="F521" i="2" a="1"/>
  <c r="J1126" i="8" a="1"/>
  <c r="F224" i="2" a="1"/>
  <c r="F335" i="2" a="1"/>
  <c r="G127" i="1" a="1"/>
  <c r="F75" i="2" a="1"/>
  <c r="G316" i="1" a="1"/>
  <c r="F586" i="2" a="1"/>
  <c r="J922" i="8" a="1"/>
  <c r="J644" i="8" a="1"/>
  <c r="F627" i="2" a="1"/>
  <c r="F189" i="2" a="1"/>
  <c r="J926" i="8" a="1"/>
  <c r="J672" i="8" a="1"/>
  <c r="J1132" i="8" a="1"/>
  <c r="J420" i="8" a="1"/>
  <c r="G460" i="1" a="1"/>
  <c r="J534" i="8" a="1"/>
  <c r="J800" i="8" a="1"/>
  <c r="G137" i="1" a="1"/>
  <c r="J593" i="8" a="1"/>
  <c r="F35" i="2" a="1"/>
  <c r="O1187" i="8" a="1"/>
  <c r="J814" i="8" a="1"/>
  <c r="J880" i="8" a="1"/>
  <c r="J685" i="8" a="1"/>
  <c r="J627" i="8" a="1"/>
  <c r="J745" i="8" a="1"/>
  <c r="J469" i="8" a="1"/>
  <c r="P330" i="8" a="1"/>
  <c r="J1168" i="8" a="1"/>
  <c r="J684" i="8" a="1"/>
  <c r="G319" i="1" a="1"/>
  <c r="F490" i="2" a="1"/>
  <c r="G463" i="1" a="1"/>
  <c r="J456" i="8" a="1"/>
  <c r="G150" i="1" a="1"/>
  <c r="G150" i="1" l="1"/>
  <c r="J456" i="8"/>
  <c r="G463" i="1"/>
  <c r="F490" i="2"/>
  <c r="G319" i="1"/>
  <c r="J684" i="8"/>
  <c r="J1168" i="8"/>
  <c r="P330" i="8"/>
  <c r="J469" i="8"/>
  <c r="J745" i="8"/>
  <c r="J627" i="8"/>
  <c r="J685" i="8"/>
  <c r="J880" i="8"/>
  <c r="J814" i="8"/>
  <c r="O1187" i="8"/>
  <c r="F35" i="2"/>
  <c r="J593" i="8"/>
  <c r="G137" i="1"/>
  <c r="J800" i="8"/>
  <c r="J534" i="8"/>
  <c r="G460" i="1"/>
  <c r="J420" i="8"/>
  <c r="J1132" i="8"/>
  <c r="J672" i="8"/>
  <c r="J926" i="8"/>
  <c r="F189" i="2"/>
  <c r="F627" i="2"/>
  <c r="J644" i="8"/>
  <c r="J922" i="8"/>
  <c r="F586" i="2"/>
  <c r="G316" i="1"/>
  <c r="F75" i="2"/>
  <c r="G127" i="1"/>
  <c r="F335" i="2"/>
  <c r="F224" i="2"/>
  <c r="J1126" i="8"/>
  <c r="F521" i="2"/>
  <c r="J18" i="8"/>
  <c r="J49" i="8"/>
  <c r="G16" i="1"/>
  <c r="J1160" i="8"/>
  <c r="G36" i="1"/>
  <c r="F400" i="2"/>
  <c r="F613" i="2"/>
  <c r="O305" i="8"/>
  <c r="O1140" i="8"/>
  <c r="O806" i="8"/>
  <c r="G80" i="1"/>
  <c r="G118" i="1"/>
  <c r="F638" i="2"/>
  <c r="F325" i="2"/>
  <c r="F148" i="2"/>
  <c r="F413" i="2"/>
  <c r="G340" i="1"/>
  <c r="F16" i="2"/>
  <c r="J558" i="8"/>
  <c r="J24" i="8"/>
  <c r="F319" i="2"/>
  <c r="J749" i="8"/>
  <c r="F89" i="2"/>
  <c r="J73" i="8"/>
  <c r="J1175" i="8"/>
  <c r="O808" i="8"/>
  <c r="J906" i="8"/>
  <c r="J642" i="8"/>
  <c r="J577" i="8"/>
  <c r="G279" i="1"/>
  <c r="F403" i="2"/>
  <c r="G197" i="1"/>
  <c r="F145" i="2"/>
  <c r="G113" i="1"/>
  <c r="J863" i="8"/>
  <c r="G399" i="1"/>
  <c r="F640" i="2"/>
  <c r="J890" i="8"/>
  <c r="G43" i="1"/>
  <c r="G101" i="1"/>
  <c r="F657" i="2"/>
  <c r="J597" i="8"/>
  <c r="G205" i="1"/>
  <c r="G209" i="1"/>
  <c r="F336" i="2"/>
  <c r="J1167" i="8"/>
  <c r="G454" i="1"/>
  <c r="G161" i="1"/>
  <c r="F457" i="2"/>
  <c r="J820" i="8"/>
  <c r="G285" i="1"/>
  <c r="J294" i="8"/>
  <c r="J629" i="8"/>
  <c r="F221" i="2"/>
  <c r="J995" i="8"/>
  <c r="G135" i="1"/>
  <c r="J572" i="8"/>
  <c r="J842" i="8"/>
  <c r="J708" i="8"/>
  <c r="J1003" i="8"/>
  <c r="J376" i="8"/>
  <c r="F60" i="2"/>
  <c r="J396" i="8"/>
  <c r="J64" i="8"/>
  <c r="J640" i="8"/>
  <c r="J832" i="8"/>
  <c r="J803" i="8"/>
  <c r="G341" i="1"/>
  <c r="F30" i="2"/>
  <c r="J44" i="8"/>
  <c r="J346" i="8"/>
  <c r="G120" i="1"/>
  <c r="J1037" i="8"/>
  <c r="G100" i="1"/>
  <c r="J1011" i="8"/>
  <c r="G106" i="1"/>
  <c r="F476" i="2"/>
  <c r="G302" i="1"/>
  <c r="J1139" i="8"/>
  <c r="F625" i="2"/>
  <c r="J987" i="8"/>
  <c r="F572" i="2"/>
  <c r="F435" i="2"/>
  <c r="G146" i="1"/>
  <c r="J309" i="8"/>
  <c r="J311" i="8"/>
  <c r="G215" i="1"/>
  <c r="J32" i="8"/>
  <c r="J1169" i="8"/>
  <c r="J542" i="8"/>
  <c r="G278" i="1"/>
  <c r="J991" i="8"/>
  <c r="J1134" i="8"/>
  <c r="F57" i="2"/>
  <c r="J1118" i="8"/>
  <c r="J801" i="8"/>
  <c r="J799" i="8"/>
  <c r="F112" i="2"/>
  <c r="J566" i="8"/>
  <c r="J849" i="8"/>
  <c r="J822" i="8"/>
  <c r="F229" i="2"/>
  <c r="G207" i="1"/>
  <c r="J928" i="8"/>
  <c r="J811" i="8"/>
  <c r="O1191" i="8"/>
  <c r="J491" i="8"/>
  <c r="J874" i="8"/>
  <c r="F555" i="2"/>
  <c r="J279" i="8"/>
  <c r="G141" i="1"/>
  <c r="J697" i="8"/>
  <c r="G417" i="1"/>
  <c r="G389" i="1"/>
  <c r="J731" i="8"/>
  <c r="J68" i="8"/>
  <c r="J878" i="8"/>
  <c r="J1178" i="8"/>
  <c r="G378" i="1"/>
  <c r="J557" i="8"/>
  <c r="G305" i="1"/>
  <c r="J882" i="8"/>
  <c r="J530" i="8"/>
  <c r="P306" i="8"/>
  <c r="F482" i="2"/>
  <c r="G394" i="1"/>
  <c r="J373" i="8"/>
  <c r="J61" i="8"/>
  <c r="F19" i="2"/>
  <c r="J323" i="8"/>
  <c r="J69" i="8"/>
  <c r="O530" i="8"/>
  <c r="J452" i="8"/>
  <c r="F513" i="2"/>
  <c r="J548" i="8"/>
  <c r="J315" i="8"/>
  <c r="J816" i="8"/>
  <c r="G198" i="1"/>
  <c r="G156" i="1"/>
  <c r="G125" i="1"/>
  <c r="F495" i="2"/>
  <c r="J783" i="8"/>
  <c r="J444" i="8"/>
  <c r="J807" i="8"/>
  <c r="F488" i="2"/>
  <c r="J958" i="8"/>
  <c r="G231" i="1"/>
  <c r="F489" i="2"/>
  <c r="G448" i="1"/>
  <c r="O990" i="8"/>
  <c r="J321" i="8"/>
  <c r="J483" i="8"/>
  <c r="F468" i="2"/>
  <c r="J335" i="8"/>
  <c r="O625" i="8"/>
  <c r="F114" i="2"/>
  <c r="F97" i="2"/>
  <c r="J466" i="8"/>
  <c r="G351" i="1"/>
  <c r="F663" i="2"/>
  <c r="G148" i="1"/>
  <c r="F422" i="2"/>
  <c r="F268" i="2"/>
  <c r="F225" i="2"/>
  <c r="F508" i="2"/>
  <c r="J857" i="8"/>
  <c r="G284" i="1"/>
  <c r="F31" i="2"/>
  <c r="J19" i="8"/>
  <c r="J795" i="8"/>
  <c r="J541" i="8"/>
  <c r="J275" i="8"/>
  <c r="O983" i="8"/>
  <c r="G312" i="1"/>
  <c r="J1042" i="8"/>
  <c r="J286" i="8"/>
  <c r="J388" i="8"/>
  <c r="G266" i="1"/>
  <c r="J750" i="8"/>
  <c r="O986" i="8"/>
  <c r="G296" i="1"/>
  <c r="G162" i="1"/>
  <c r="F540" i="2"/>
  <c r="J704" i="8"/>
  <c r="J718" i="8"/>
  <c r="F214" i="2"/>
  <c r="F409" i="2"/>
  <c r="J414" i="8"/>
  <c r="O922" i="8"/>
  <c r="F330" i="2"/>
  <c r="G336" i="1"/>
  <c r="O887" i="8"/>
  <c r="G254" i="1"/>
  <c r="J281" i="8"/>
  <c r="J653" i="8"/>
  <c r="G25" i="1"/>
  <c r="J709" i="8"/>
  <c r="O696" i="8"/>
  <c r="J539" i="8"/>
  <c r="F6" i="2"/>
  <c r="G217" i="1"/>
  <c r="G173" i="1"/>
  <c r="G474" i="1"/>
  <c r="G357" i="1"/>
  <c r="F247" i="2"/>
  <c r="J624" i="8"/>
  <c r="J472" i="8"/>
  <c r="G177" i="1"/>
  <c r="P695" i="8"/>
  <c r="F576" i="2"/>
  <c r="F453" i="2"/>
  <c r="F442" i="2"/>
  <c r="F609" i="2"/>
  <c r="G175" i="1"/>
  <c r="J39" i="8"/>
  <c r="J327" i="8"/>
  <c r="F456" i="2"/>
  <c r="G213" i="1"/>
  <c r="J7" i="8"/>
  <c r="J50" i="8"/>
  <c r="F245" i="2"/>
  <c r="J626" i="8"/>
  <c r="F597" i="2"/>
  <c r="G33" i="1"/>
  <c r="G23" i="1"/>
  <c r="J840" i="8"/>
  <c r="G155" i="1"/>
  <c r="J914" i="8"/>
  <c r="G138" i="1"/>
  <c r="J1107" i="8"/>
  <c r="J901" i="8"/>
  <c r="J1191" i="8"/>
  <c r="F220" i="2"/>
  <c r="G167" i="1"/>
  <c r="J965" i="8"/>
  <c r="G145" i="1"/>
  <c r="O536" i="8"/>
  <c r="J322" i="8"/>
  <c r="P794" i="8"/>
  <c r="F498" i="2"/>
  <c r="J331" i="8"/>
  <c r="O1133" i="8"/>
  <c r="J287" i="8"/>
  <c r="F355" i="2"/>
  <c r="J710" i="8"/>
  <c r="J917" i="8"/>
  <c r="G377" i="1"/>
  <c r="O1178" i="8"/>
  <c r="G172" i="1"/>
  <c r="J1109" i="8"/>
  <c r="J324" i="8"/>
  <c r="F332" i="2"/>
  <c r="E30" i="14"/>
  <c r="P905" i="8"/>
  <c r="J482" i="8"/>
  <c r="O711" i="8"/>
  <c r="G81" i="1"/>
  <c r="G416" i="1"/>
  <c r="F376" i="2"/>
  <c r="G34" i="1"/>
  <c r="F51" i="2"/>
  <c r="J725" i="8"/>
  <c r="J858" i="8"/>
  <c r="G105" i="1"/>
  <c r="J574" i="8"/>
  <c r="O697" i="8"/>
  <c r="G376" i="1"/>
  <c r="J570" i="8"/>
  <c r="J983" i="8"/>
  <c r="F429" i="2"/>
  <c r="F374" i="2"/>
  <c r="G77" i="1"/>
  <c r="G180" i="1"/>
  <c r="P802" i="8"/>
  <c r="F321" i="2"/>
  <c r="J368" i="8"/>
  <c r="F512" i="2"/>
  <c r="G129" i="1"/>
  <c r="F634" i="2"/>
  <c r="J648" i="8"/>
  <c r="J723" i="8"/>
  <c r="O679" i="8"/>
  <c r="G375" i="1"/>
  <c r="G314" i="1"/>
  <c r="P710" i="8"/>
  <c r="J584" i="8"/>
  <c r="J1034" i="8"/>
  <c r="J269" i="8"/>
  <c r="G467" i="1"/>
  <c r="G28" i="1"/>
  <c r="G248" i="1"/>
  <c r="G244" i="1"/>
  <c r="O893" i="8"/>
  <c r="J848" i="8"/>
  <c r="F509" i="2"/>
  <c r="J1154" i="8"/>
  <c r="F53" i="2"/>
  <c r="J839" i="8"/>
  <c r="O901" i="8"/>
  <c r="J415" i="8"/>
  <c r="F614" i="2"/>
  <c r="J732" i="8"/>
  <c r="J394" i="8"/>
  <c r="J945" i="8"/>
  <c r="J573" i="8"/>
  <c r="F318" i="2"/>
  <c r="J328" i="8"/>
  <c r="O987" i="8"/>
  <c r="G157" i="1"/>
  <c r="J41" i="8"/>
  <c r="P913" i="8"/>
  <c r="G420" i="1"/>
  <c r="J1014" i="8"/>
  <c r="F360" i="2"/>
  <c r="F38" i="2"/>
  <c r="F178" i="2"/>
  <c r="F624" i="2"/>
  <c r="F372" i="2"/>
  <c r="J754" i="8"/>
  <c r="F407" i="2"/>
  <c r="G9" i="1"/>
  <c r="J831" i="8"/>
  <c r="F500" i="2"/>
  <c r="G362" i="1"/>
  <c r="P682" i="8"/>
  <c r="O1150" i="8"/>
  <c r="J340" i="8"/>
  <c r="F226" i="2"/>
  <c r="G421" i="1"/>
  <c r="J1021" i="8"/>
  <c r="G29" i="1"/>
  <c r="F298" i="2"/>
  <c r="F497" i="2"/>
  <c r="F65" i="2"/>
  <c r="F47" i="2"/>
  <c r="J616" i="8"/>
  <c r="J785" i="8"/>
  <c r="J581" i="8"/>
  <c r="O885" i="8"/>
  <c r="J947" i="8"/>
  <c r="O1182" i="8"/>
  <c r="G442" i="1"/>
  <c r="J1199" i="8"/>
  <c r="G174" i="1"/>
  <c r="G234" i="1"/>
  <c r="J1108" i="8"/>
  <c r="J905" i="8"/>
  <c r="J312" i="8"/>
  <c r="J75" i="8"/>
  <c r="J1039" i="8"/>
  <c r="F377" i="2"/>
  <c r="J1035" i="8"/>
  <c r="G309" i="1"/>
  <c r="J9" i="8"/>
  <c r="F641" i="2"/>
  <c r="G352" i="1"/>
  <c r="G84" i="1"/>
  <c r="P653" i="8"/>
  <c r="J550" i="8"/>
  <c r="J705" i="8"/>
  <c r="O706" i="8"/>
  <c r="J1005" i="8"/>
  <c r="J562" i="8"/>
  <c r="G212" i="1"/>
  <c r="G225" i="1"/>
  <c r="P1143" i="8"/>
  <c r="J954" i="8"/>
  <c r="J575" i="8"/>
  <c r="G321" i="1"/>
  <c r="J970" i="8"/>
  <c r="J571" i="8"/>
  <c r="P1180" i="8"/>
  <c r="P1141" i="8"/>
  <c r="F636" i="2"/>
  <c r="G397" i="1"/>
  <c r="J437" i="8"/>
  <c r="J412" i="8"/>
  <c r="G453" i="1"/>
  <c r="J743" i="8"/>
  <c r="J1142" i="8"/>
  <c r="G345" i="1"/>
  <c r="F115" i="2"/>
  <c r="J911" i="8"/>
  <c r="J1147" i="8"/>
  <c r="J724" i="8"/>
  <c r="J927" i="8"/>
  <c r="J948" i="8"/>
  <c r="J342" i="8"/>
  <c r="F474" i="2"/>
  <c r="F527" i="2"/>
  <c r="J267" i="8"/>
  <c r="F149" i="2"/>
  <c r="P1184" i="8"/>
  <c r="F64" i="2"/>
  <c r="J1122" i="8"/>
  <c r="F418" i="2"/>
  <c r="J1198" i="8"/>
  <c r="J980" i="8"/>
  <c r="G153" i="1"/>
  <c r="G480" i="1"/>
  <c r="G313" i="1"/>
  <c r="O1194" i="8"/>
  <c r="J453" i="8"/>
  <c r="J1190" i="8"/>
  <c r="J619" i="8"/>
  <c r="J1020" i="8"/>
  <c r="F353" i="2"/>
  <c r="J611" i="8"/>
  <c r="J1181" i="8"/>
  <c r="J896" i="8"/>
  <c r="G250" i="1"/>
  <c r="J1166" i="8"/>
  <c r="G275" i="1"/>
  <c r="J418" i="8"/>
  <c r="G335" i="1"/>
  <c r="P681" i="8"/>
  <c r="F483" i="2"/>
  <c r="J540" i="8"/>
  <c r="J25" i="8"/>
  <c r="G464" i="1"/>
  <c r="J1170" i="8"/>
  <c r="F635" i="2"/>
  <c r="G71" i="1"/>
  <c r="F662" i="2"/>
  <c r="F656" i="2"/>
  <c r="F623" i="2"/>
  <c r="J963" i="8"/>
  <c r="F642" i="2"/>
  <c r="J28" i="8"/>
  <c r="O653" i="8"/>
  <c r="F644" i="2"/>
  <c r="J303" i="8"/>
  <c r="G130" i="1"/>
  <c r="G478" i="1"/>
  <c r="J380" i="8"/>
  <c r="O795" i="8"/>
  <c r="J702" i="8"/>
  <c r="F412" i="2"/>
  <c r="J406" i="8"/>
  <c r="F561" i="2"/>
  <c r="G391" i="1"/>
  <c r="J610" i="8"/>
  <c r="P536" i="8"/>
  <c r="F223" i="2"/>
  <c r="G74" i="1"/>
  <c r="G66" i="1"/>
  <c r="G238" i="1"/>
  <c r="F285" i="2"/>
  <c r="J398" i="8"/>
  <c r="P900" i="8"/>
  <c r="F378" i="2"/>
  <c r="J679" i="8"/>
  <c r="J1192" i="8"/>
  <c r="G119" i="1"/>
  <c r="O1007" i="8"/>
  <c r="G265" i="1"/>
  <c r="F451" i="2"/>
  <c r="G294" i="1"/>
  <c r="G144" i="1"/>
  <c r="G45" i="1"/>
  <c r="J304" i="8"/>
  <c r="G116" i="1"/>
  <c r="F296" i="2"/>
  <c r="J271" i="8"/>
  <c r="F323" i="2"/>
  <c r="F417" i="2"/>
  <c r="J40" i="8"/>
  <c r="F326" i="2"/>
  <c r="G79" i="1"/>
  <c r="O919" i="8"/>
  <c r="J1133" i="8"/>
  <c r="J654" i="8"/>
  <c r="J439" i="8"/>
  <c r="O807" i="8"/>
  <c r="J450" i="8"/>
  <c r="G126" i="1"/>
  <c r="J424" i="8"/>
  <c r="F526" i="2"/>
  <c r="G393" i="1"/>
  <c r="J36" i="8"/>
  <c r="G331" i="1"/>
  <c r="J612" i="8"/>
  <c r="J728" i="8"/>
  <c r="J888" i="8"/>
  <c r="O1009" i="8"/>
  <c r="J1193" i="8"/>
  <c r="J1197" i="8"/>
  <c r="J1004" i="8"/>
  <c r="G461" i="1"/>
  <c r="J284" i="8"/>
  <c r="F520" i="2"/>
  <c r="G354" i="1"/>
  <c r="F80" i="2"/>
  <c r="J753" i="8"/>
  <c r="J65" i="8"/>
  <c r="J461" i="8"/>
  <c r="O1147" i="8"/>
  <c r="O684" i="8"/>
  <c r="J74" i="8"/>
  <c r="J615" i="8"/>
  <c r="G404" i="1"/>
  <c r="J844" i="8"/>
  <c r="J536" i="8"/>
  <c r="G324" i="1"/>
  <c r="P906" i="8"/>
  <c r="G97" i="1"/>
  <c r="J1187" i="8"/>
  <c r="F146" i="2"/>
  <c r="J868" i="8"/>
  <c r="J946" i="8"/>
  <c r="J1157" i="8"/>
  <c r="J843" i="8"/>
  <c r="G230" i="1"/>
  <c r="J815" i="8"/>
  <c r="J1172" i="8"/>
  <c r="G10" i="1"/>
  <c r="F29" i="2"/>
  <c r="G104" i="1"/>
  <c r="J1182" i="8"/>
  <c r="F478" i="2"/>
  <c r="J427" i="8"/>
  <c r="G435" i="1"/>
  <c r="J274" i="8"/>
  <c r="F333" i="2"/>
  <c r="J717" i="8"/>
  <c r="F283" i="2"/>
  <c r="F227" i="2"/>
  <c r="F350" i="2"/>
  <c r="J1027" i="8"/>
  <c r="J560" i="8"/>
  <c r="J791" i="8"/>
  <c r="J604" i="8"/>
  <c r="J11" i="8"/>
  <c r="P914" i="8"/>
  <c r="J734" i="8"/>
  <c r="G96" i="1"/>
  <c r="F661" i="2"/>
  <c r="J1031" i="8"/>
  <c r="F518" i="2"/>
  <c r="G325" i="1"/>
  <c r="F481" i="2"/>
  <c r="O906" i="8"/>
  <c r="G154" i="1"/>
  <c r="J659" i="8"/>
  <c r="P333" i="8"/>
  <c r="J6" i="8"/>
  <c r="F357" i="2"/>
  <c r="J596" i="8"/>
  <c r="J291" i="8"/>
  <c r="G451" i="1"/>
  <c r="G83" i="1"/>
  <c r="F611" i="2"/>
  <c r="G468" i="1"/>
  <c r="J990" i="8"/>
  <c r="J674" i="8"/>
  <c r="J936" i="8"/>
  <c r="J62" i="8"/>
  <c r="J583" i="8"/>
  <c r="F88" i="2"/>
  <c r="G291" i="1"/>
  <c r="J1028" i="8"/>
  <c r="G195" i="1"/>
  <c r="J870" i="8"/>
  <c r="F33" i="2"/>
  <c r="F266" i="2"/>
  <c r="F524" i="2"/>
  <c r="J876" i="8"/>
  <c r="J661" i="8"/>
  <c r="G50" i="1"/>
  <c r="J273" i="8"/>
  <c r="J1177" i="8"/>
  <c r="O1138" i="8"/>
  <c r="G436" i="1"/>
  <c r="J952" i="8"/>
  <c r="J698" i="8"/>
  <c r="O803" i="8"/>
  <c r="P684" i="8"/>
  <c r="P791" i="8"/>
  <c r="J886" i="8"/>
  <c r="G124" i="1"/>
  <c r="J1036" i="8"/>
  <c r="F607" i="2"/>
  <c r="J1032" i="8"/>
  <c r="J21" i="8"/>
  <c r="F615" i="2"/>
  <c r="J1114" i="8"/>
  <c r="F7" i="2"/>
  <c r="J992" i="8"/>
  <c r="J1009" i="8"/>
  <c r="F34" i="2"/>
  <c r="J471" i="8"/>
  <c r="F128" i="2"/>
  <c r="G159" i="1"/>
  <c r="F595" i="2"/>
  <c r="O330" i="8"/>
  <c r="F441" i="2"/>
  <c r="F484" i="2"/>
  <c r="J603" i="8"/>
  <c r="G27" i="1"/>
  <c r="J757" i="8"/>
  <c r="F216" i="2"/>
  <c r="J933" i="8"/>
  <c r="F379" i="2"/>
  <c r="J632" i="8"/>
  <c r="O1139" i="8"/>
  <c r="J289" i="8"/>
  <c r="J1188" i="8"/>
  <c r="J538" i="8"/>
  <c r="F631" i="2"/>
  <c r="G387" i="1"/>
  <c r="P699" i="8"/>
  <c r="J748" i="8"/>
  <c r="J579" i="8"/>
  <c r="F13" i="2"/>
  <c r="G364" i="1"/>
  <c r="J1041" i="8"/>
  <c r="J649" i="8"/>
  <c r="O627" i="8"/>
  <c r="G8" i="1"/>
  <c r="G360" i="1"/>
  <c r="J1002" i="8"/>
  <c r="F93" i="2"/>
  <c r="P792" i="8"/>
  <c r="G188" i="1"/>
  <c r="O794" i="8"/>
  <c r="J285" i="8"/>
  <c r="G192" i="1"/>
  <c r="P657" i="8"/>
  <c r="G99" i="1"/>
  <c r="J645" i="8"/>
  <c r="J404" i="8"/>
  <c r="J1180" i="8"/>
  <c r="F111" i="2"/>
  <c r="E13" i="14"/>
  <c r="G134" i="1"/>
  <c r="J403" i="8"/>
  <c r="F39" i="2"/>
  <c r="J264" i="8"/>
  <c r="G465" i="1"/>
  <c r="F11" i="2"/>
  <c r="F507" i="2"/>
  <c r="J533" i="8"/>
  <c r="O1010" i="8"/>
  <c r="O1175" i="8"/>
  <c r="F207" i="2"/>
  <c r="J330" i="8"/>
  <c r="F131" i="2"/>
  <c r="J395" i="8"/>
  <c r="J670" i="8"/>
  <c r="J426" i="8"/>
  <c r="J489" i="8"/>
  <c r="F96" i="2"/>
  <c r="F452" i="2"/>
  <c r="F232" i="2"/>
  <c r="F501" i="2"/>
  <c r="J460" i="8"/>
  <c r="J660" i="8"/>
  <c r="G471" i="1"/>
  <c r="G142" i="1"/>
  <c r="J417" i="8"/>
  <c r="G136" i="1"/>
  <c r="J578" i="8"/>
  <c r="J527" i="8"/>
  <c r="F248" i="2"/>
  <c r="G38" i="1"/>
  <c r="J950" i="8"/>
  <c r="F606" i="2"/>
  <c r="F556" i="2"/>
  <c r="O698" i="8"/>
  <c r="J696" i="8"/>
  <c r="J638" i="8"/>
  <c r="G422" i="1"/>
  <c r="P916" i="8"/>
  <c r="J883" i="8"/>
  <c r="J727" i="8"/>
  <c r="O1177" i="8"/>
  <c r="J915" i="8"/>
  <c r="F219" i="2"/>
  <c r="G292" i="1"/>
  <c r="G308" i="1"/>
  <c r="J996" i="8"/>
  <c r="J887" i="8"/>
  <c r="J567" i="8"/>
  <c r="G343" i="1"/>
  <c r="G457" i="1"/>
  <c r="J827" i="8"/>
  <c r="G243" i="1"/>
  <c r="J872" i="8"/>
  <c r="J45" i="8"/>
  <c r="J419" i="8"/>
  <c r="J1017" i="8"/>
  <c r="J318" i="8"/>
  <c r="O328" i="8"/>
  <c r="G165" i="1"/>
  <c r="P711" i="8"/>
  <c r="J20" i="8"/>
  <c r="J1183" i="8"/>
  <c r="G102" i="1"/>
  <c r="J591" i="8"/>
  <c r="J1110" i="8"/>
  <c r="J430" i="8"/>
  <c r="J1010" i="8"/>
  <c r="O797" i="8"/>
  <c r="G333" i="1"/>
  <c r="J17" i="8"/>
  <c r="J1113" i="8"/>
  <c r="J552" i="8"/>
  <c r="J938" i="8"/>
  <c r="J956" i="8"/>
  <c r="J288" i="8"/>
  <c r="O306" i="8"/>
  <c r="F560" i="2"/>
  <c r="G115" i="1"/>
  <c r="F14" i="2"/>
  <c r="J960" i="8"/>
  <c r="J473" i="8"/>
  <c r="J386" i="8"/>
  <c r="J449" i="8"/>
  <c r="F327" i="2"/>
  <c r="J673" i="8"/>
  <c r="J392" i="8"/>
  <c r="J806" i="8"/>
  <c r="J559" i="8"/>
  <c r="J854" i="8"/>
  <c r="G299" i="1"/>
  <c r="O1184" i="8"/>
  <c r="J1116" i="8"/>
  <c r="O1143" i="8"/>
  <c r="J877" i="8"/>
  <c r="J711" i="8"/>
  <c r="J387" i="8"/>
  <c r="J451" i="8"/>
  <c r="F433" i="2"/>
  <c r="P1183" i="8"/>
  <c r="G322" i="1"/>
  <c r="J730" i="8"/>
  <c r="J1151" i="8"/>
  <c r="J885" i="8"/>
  <c r="J525" i="8"/>
  <c r="J923" i="8"/>
  <c r="F147" i="2"/>
  <c r="O792" i="8"/>
  <c r="J862" i="8"/>
  <c r="P683" i="8"/>
  <c r="J641" i="8"/>
  <c r="F505" i="2"/>
  <c r="J961" i="8"/>
  <c r="F98" i="2"/>
  <c r="O905" i="8"/>
  <c r="J1105" i="8"/>
  <c r="F358" i="2"/>
  <c r="J635" i="8"/>
  <c r="J26" i="8"/>
  <c r="J695" i="8"/>
  <c r="J37" i="8"/>
  <c r="G40" i="1"/>
  <c r="J733" i="8"/>
  <c r="J565" i="8"/>
  <c r="F573" i="2"/>
  <c r="G82" i="1"/>
  <c r="J345" i="8"/>
  <c r="F629" i="2"/>
  <c r="J313" i="8"/>
  <c r="J1120" i="8"/>
  <c r="F558" i="2"/>
  <c r="F134" i="2"/>
  <c r="P332" i="8"/>
  <c r="F282" i="2"/>
  <c r="J278" i="8"/>
  <c r="P1185" i="8"/>
  <c r="J385" i="8"/>
  <c r="O891" i="8"/>
  <c r="O651" i="8"/>
  <c r="J42" i="8"/>
  <c r="J851" i="8"/>
  <c r="J716" i="8"/>
  <c r="P793" i="8"/>
  <c r="O333" i="8"/>
  <c r="J339" i="8"/>
  <c r="F530" i="2"/>
  <c r="O628" i="8"/>
  <c r="F15" i="2"/>
  <c r="F217" i="2"/>
  <c r="F574" i="2"/>
  <c r="J738" i="8"/>
  <c r="J834" i="8"/>
  <c r="F503" i="2"/>
  <c r="G363" i="1"/>
  <c r="J343" i="8"/>
  <c r="F523" i="2"/>
  <c r="J634" i="8"/>
  <c r="J384" i="8"/>
  <c r="G107" i="1"/>
  <c r="F424" i="2"/>
  <c r="G95" i="1"/>
  <c r="G171" i="1"/>
  <c r="F132" i="2"/>
  <c r="J1100" i="8"/>
  <c r="G339" i="1"/>
  <c r="O654" i="8"/>
  <c r="J1173" i="8"/>
  <c r="F600" i="2"/>
  <c r="J43" i="8"/>
  <c r="J937" i="8"/>
  <c r="J63" i="8"/>
  <c r="P1181" i="8"/>
  <c r="G405" i="1"/>
  <c r="J625" i="8"/>
  <c r="P1139" i="8"/>
  <c r="J720" i="8"/>
  <c r="G267" i="1"/>
  <c r="F408" i="2"/>
  <c r="F477" i="2"/>
  <c r="J535" i="8"/>
  <c r="J38" i="8"/>
  <c r="O682" i="8"/>
  <c r="F416" i="2"/>
  <c r="F252" i="2"/>
  <c r="J431" i="8"/>
  <c r="J8" i="8"/>
  <c r="F599" i="2"/>
  <c r="G469" i="1"/>
  <c r="G293" i="1"/>
  <c r="J1119" i="8"/>
  <c r="G47" i="1"/>
  <c r="J1112" i="8"/>
  <c r="J836" i="8"/>
  <c r="J808" i="8"/>
  <c r="F668" i="2"/>
  <c r="F575" i="2"/>
  <c r="J935" i="8"/>
  <c r="G240" i="1"/>
  <c r="O914" i="8"/>
  <c r="G139" i="1"/>
  <c r="G289" i="1"/>
  <c r="J442" i="8"/>
  <c r="F406" i="2"/>
  <c r="G17" i="1"/>
  <c r="J797" i="8"/>
  <c r="J1164" i="8"/>
  <c r="P304" i="8"/>
  <c r="J379" i="8"/>
  <c r="J809" i="8"/>
  <c r="O535" i="8"/>
  <c r="J861" i="8"/>
  <c r="O801" i="8"/>
  <c r="O1131" i="8"/>
  <c r="J30" i="8"/>
  <c r="J70" i="8"/>
  <c r="J371" i="8"/>
  <c r="F632" i="2"/>
  <c r="J677" i="8"/>
  <c r="G122" i="1"/>
  <c r="J714" i="8"/>
  <c r="F373" i="2"/>
  <c r="J268" i="8"/>
  <c r="J463" i="8"/>
  <c r="O534" i="8"/>
  <c r="G200" i="1"/>
  <c r="J982" i="8"/>
  <c r="J1115" i="8"/>
  <c r="G31" i="1"/>
  <c r="J1194" i="8"/>
  <c r="J846" i="8"/>
  <c r="J554" i="8"/>
  <c r="G398" i="1"/>
  <c r="J879" i="8"/>
  <c r="G349" i="1"/>
  <c r="G91" i="1"/>
  <c r="F437" i="2"/>
  <c r="O685" i="8"/>
  <c r="J366" i="8"/>
  <c r="G166" i="1"/>
  <c r="F564" i="2"/>
  <c r="J715" i="8"/>
  <c r="G483" i="1"/>
  <c r="J421" i="8"/>
  <c r="F230" i="2"/>
  <c r="J468" i="8"/>
  <c r="O1192" i="8"/>
  <c r="F582" i="2"/>
  <c r="F502" i="2"/>
  <c r="J1050" i="8"/>
  <c r="G210" i="1"/>
  <c r="J1129" i="8"/>
  <c r="G288" i="1"/>
  <c r="P925" i="8"/>
  <c r="J486" i="8"/>
  <c r="J407" i="8"/>
  <c r="G326" i="1"/>
  <c r="J1158" i="8"/>
  <c r="J16" i="8"/>
  <c r="J747" i="8"/>
  <c r="G233" i="1"/>
  <c r="G414" i="1"/>
  <c r="G270" i="1"/>
  <c r="J590" i="8"/>
  <c r="J994" i="8"/>
  <c r="J563" i="8"/>
  <c r="F659" i="2"/>
  <c r="E31" i="14"/>
  <c r="J617" i="8"/>
  <c r="J665" i="8"/>
  <c r="O301" i="8"/>
  <c r="F479" i="2"/>
  <c r="G280" i="1"/>
  <c r="G304" i="1"/>
  <c r="J813" i="8"/>
  <c r="J856" i="8"/>
  <c r="J546" i="8"/>
  <c r="J608" i="8"/>
  <c r="G403" i="1"/>
  <c r="O924" i="8"/>
  <c r="J628" i="8"/>
  <c r="J752" i="8"/>
  <c r="J580" i="8"/>
  <c r="F610" i="2"/>
  <c r="J916" i="8"/>
  <c r="J739" i="8"/>
  <c r="G69" i="1"/>
  <c r="F251" i="2"/>
  <c r="G301" i="1"/>
  <c r="O1185" i="8"/>
  <c r="J474" i="8"/>
  <c r="G273" i="1"/>
  <c r="F117" i="2"/>
  <c r="F637" i="2"/>
  <c r="J1196" i="8"/>
  <c r="J651" i="8"/>
  <c r="F485" i="2"/>
  <c r="J884" i="8"/>
  <c r="J364" i="8"/>
  <c r="J528" i="8"/>
  <c r="P921" i="8"/>
  <c r="G261" i="1"/>
  <c r="J692" i="8"/>
  <c r="J786" i="8"/>
  <c r="J925" i="8"/>
  <c r="F12" i="2"/>
  <c r="G476" i="1"/>
  <c r="F593" i="2"/>
  <c r="F648" i="2"/>
  <c r="J402" i="8"/>
  <c r="G444" i="1"/>
  <c r="G219" i="1"/>
  <c r="P697" i="8"/>
  <c r="J544" i="8"/>
  <c r="G344" i="1"/>
  <c r="J855" i="8"/>
  <c r="F32" i="2"/>
  <c r="F428" i="2"/>
  <c r="G149" i="1"/>
  <c r="F334" i="2"/>
  <c r="F79" i="2"/>
  <c r="G98" i="1"/>
  <c r="J1171" i="8"/>
  <c r="J892" i="8"/>
  <c r="G473" i="1"/>
  <c r="J618" i="8"/>
  <c r="F584" i="2"/>
  <c r="F499" i="2"/>
  <c r="F440" i="2"/>
  <c r="G350" i="1"/>
  <c r="G6" i="1"/>
  <c r="J448" i="8"/>
  <c r="J614" i="8"/>
  <c r="J1176" i="8"/>
  <c r="J399" i="8"/>
  <c r="G297" i="1"/>
  <c r="P901" i="8"/>
  <c r="G281" i="1"/>
  <c r="G353" i="1"/>
  <c r="F594" i="2"/>
  <c r="F120" i="2"/>
  <c r="G251" i="1"/>
  <c r="E32" i="14"/>
  <c r="F544" i="2"/>
  <c r="E12" i="14"/>
  <c r="J667" i="8"/>
  <c r="G194" i="1"/>
  <c r="G374" i="1"/>
  <c r="O911" i="8"/>
  <c r="F108" i="2"/>
  <c r="F543" i="2"/>
  <c r="J826" i="8"/>
  <c r="G482" i="1"/>
  <c r="F519" i="2"/>
  <c r="J889" i="8"/>
  <c r="F628" i="2"/>
  <c r="J1125" i="8"/>
  <c r="G380" i="1"/>
  <c r="G441" i="1"/>
  <c r="O900" i="8"/>
  <c r="J810" i="8"/>
  <c r="O755" i="8"/>
  <c r="G342" i="1"/>
  <c r="J372" i="8"/>
  <c r="G396" i="1"/>
  <c r="J726" i="8"/>
  <c r="J620" i="8"/>
  <c r="P656" i="8"/>
  <c r="F415" i="2"/>
  <c r="J602" i="8"/>
  <c r="F331" i="2"/>
  <c r="F439" i="2"/>
  <c r="J600" i="8"/>
  <c r="J1156" i="8"/>
  <c r="F438" i="2"/>
  <c r="G32" i="1"/>
  <c r="F126" i="2"/>
  <c r="F49" i="2"/>
  <c r="G452" i="1"/>
  <c r="G246" i="1"/>
  <c r="G196" i="1"/>
  <c r="O657" i="8"/>
  <c r="G103" i="1"/>
  <c r="O655" i="8"/>
  <c r="J308" i="8"/>
  <c r="F643" i="2"/>
  <c r="F338" i="2"/>
  <c r="J630" i="8"/>
  <c r="G151" i="1"/>
  <c r="J405" i="8"/>
  <c r="F27" i="2"/>
  <c r="J1150" i="8"/>
  <c r="F563" i="2"/>
  <c r="F510" i="2"/>
  <c r="O709" i="8"/>
  <c r="J664" i="8"/>
  <c r="F209" i="2"/>
  <c r="G382" i="1"/>
  <c r="F55" i="2"/>
  <c r="J701" i="8"/>
  <c r="J411" i="8"/>
  <c r="F37" i="2"/>
  <c r="G330" i="1"/>
  <c r="G218" i="1"/>
  <c r="F436" i="2"/>
  <c r="O1132" i="8"/>
  <c r="J932" i="8"/>
  <c r="G70" i="1"/>
  <c r="F471" i="2"/>
  <c r="F472" i="2"/>
  <c r="J712" i="8"/>
  <c r="E16" i="14"/>
  <c r="J621" i="8"/>
  <c r="G449" i="1"/>
  <c r="G433" i="1"/>
  <c r="F40" i="2"/>
  <c r="G201" i="1"/>
  <c r="F317" i="2"/>
  <c r="J1117" i="8"/>
  <c r="G131" i="1"/>
  <c r="J976" i="8"/>
  <c r="J837" i="8"/>
  <c r="F228" i="2"/>
  <c r="F493" i="2"/>
  <c r="J871" i="8"/>
  <c r="O991" i="8"/>
  <c r="F328" i="2"/>
  <c r="F630" i="2"/>
  <c r="G183" i="1"/>
  <c r="J375" i="8"/>
  <c r="F537" i="2"/>
  <c r="J441" i="8"/>
  <c r="G466" i="1"/>
  <c r="G128" i="1"/>
  <c r="J561" i="8"/>
  <c r="J792" i="8"/>
  <c r="J1103" i="8"/>
  <c r="G163" i="1"/>
  <c r="F511" i="2"/>
  <c r="F329" i="2"/>
  <c r="G44" i="1"/>
  <c r="G290" i="1"/>
  <c r="G114" i="1"/>
  <c r="F54" i="2"/>
  <c r="G24" i="1"/>
  <c r="G202" i="1"/>
  <c r="F423" i="2"/>
  <c r="G226" i="1"/>
  <c r="J736" i="8"/>
  <c r="F390" i="2"/>
  <c r="F517" i="2"/>
  <c r="J464" i="8"/>
  <c r="F475" i="2"/>
  <c r="J1007" i="8"/>
  <c r="J332" i="8"/>
  <c r="J613" i="8"/>
  <c r="O1176" i="8"/>
  <c r="G21" i="1"/>
  <c r="F267" i="2"/>
  <c r="G388" i="1"/>
  <c r="J1016" i="8"/>
  <c r="O979" i="8"/>
  <c r="F76" i="2"/>
  <c r="F539" i="2"/>
  <c r="P305" i="8"/>
  <c r="J1033" i="8"/>
  <c r="P799" i="8"/>
  <c r="F384" i="2"/>
  <c r="J587" i="8"/>
  <c r="J428" i="8"/>
  <c r="O1193" i="8"/>
  <c r="F83" i="2"/>
  <c r="F667" i="2"/>
  <c r="G15" i="1"/>
  <c r="F118" i="2"/>
  <c r="J953" i="8"/>
  <c r="J875" i="8"/>
  <c r="F486" i="2"/>
  <c r="G184" i="1"/>
  <c r="F589" i="2"/>
  <c r="J966" i="8"/>
  <c r="F337" i="2"/>
  <c r="G383" i="1"/>
  <c r="G35" i="1"/>
  <c r="J60" i="8"/>
  <c r="J72" i="8"/>
  <c r="F583" i="2"/>
  <c r="J636" i="8"/>
  <c r="J325" i="8"/>
  <c r="O533" i="8"/>
  <c r="G224" i="1"/>
  <c r="P923" i="8"/>
  <c r="J556" i="8"/>
  <c r="G462" i="1"/>
  <c r="O908" i="8"/>
  <c r="O695" i="8"/>
  <c r="J532" i="8"/>
  <c r="J676" i="8"/>
  <c r="P696" i="8"/>
  <c r="G227" i="1"/>
  <c r="J1165" i="8"/>
  <c r="J589" i="8"/>
  <c r="J397" i="8"/>
  <c r="F626" i="2"/>
  <c r="J382" i="8"/>
  <c r="P924" i="8"/>
  <c r="J688" i="8"/>
  <c r="J719" i="8"/>
  <c r="O626" i="8"/>
  <c r="F8" i="2"/>
  <c r="J13" i="8"/>
  <c r="O757" i="8"/>
  <c r="G94" i="1"/>
  <c r="J690" i="8"/>
  <c r="O1145" i="8"/>
  <c r="G11" i="1"/>
  <c r="J687" i="8"/>
  <c r="P655" i="8"/>
  <c r="F119" i="2"/>
  <c r="F458" i="2"/>
  <c r="F74" i="2"/>
  <c r="J819" i="8"/>
  <c r="F85" i="2"/>
  <c r="G158" i="1"/>
  <c r="J1018" i="8"/>
  <c r="J52" i="8"/>
  <c r="G445" i="1"/>
  <c r="J1123" i="8"/>
  <c r="J435" i="8"/>
  <c r="F470" i="2"/>
  <c r="F669" i="2"/>
  <c r="J592" i="8"/>
  <c r="G168" i="1"/>
  <c r="J682" i="8"/>
  <c r="F596" i="2"/>
  <c r="F316" i="2"/>
  <c r="J326" i="8"/>
  <c r="J344" i="8"/>
  <c r="J891" i="8"/>
  <c r="F431" i="2"/>
  <c r="J383" i="8"/>
  <c r="G475" i="1"/>
  <c r="J317" i="8"/>
  <c r="G458" i="1"/>
  <c r="G400" i="1"/>
  <c r="G264" i="1"/>
  <c r="F94" i="2"/>
  <c r="J671" i="8"/>
  <c r="F297" i="2"/>
  <c r="J265" i="8"/>
  <c r="G255" i="1"/>
  <c r="J490" i="8"/>
  <c r="G228" i="1"/>
  <c r="J898" i="8"/>
  <c r="J666" i="8"/>
  <c r="J755" i="8"/>
  <c r="J866" i="8"/>
  <c r="P807" i="8"/>
  <c r="O1180" i="8"/>
  <c r="F571" i="2"/>
  <c r="J1155" i="8"/>
  <c r="J601" i="8"/>
  <c r="J605" i="8"/>
  <c r="G356" i="1"/>
  <c r="J959" i="8"/>
  <c r="O917" i="8"/>
  <c r="J867" i="8"/>
  <c r="J314" i="8"/>
  <c r="F391" i="2"/>
  <c r="F383" i="2"/>
  <c r="J895" i="8"/>
  <c r="G133" i="1"/>
  <c r="G26" i="1"/>
  <c r="F284" i="2"/>
  <c r="J693" i="8"/>
  <c r="J1029" i="8"/>
  <c r="J599" i="8"/>
  <c r="F9" i="2"/>
  <c r="J1141" i="8"/>
  <c r="O1181" i="8"/>
  <c r="G338" i="1"/>
  <c r="G48" i="1"/>
  <c r="F578" i="2"/>
  <c r="J282" i="8"/>
  <c r="J1102" i="8"/>
  <c r="J818" i="8"/>
  <c r="F622" i="2"/>
  <c r="F380" i="2"/>
  <c r="J568" i="8"/>
  <c r="F299" i="2"/>
  <c r="F568" i="2"/>
  <c r="G348" i="1"/>
  <c r="F542" i="2"/>
  <c r="J1145" i="8"/>
  <c r="F48" i="2"/>
  <c r="G434" i="1"/>
  <c r="J951" i="8"/>
  <c r="P922" i="8"/>
  <c r="G386" i="1"/>
  <c r="G170" i="1"/>
  <c r="F455" i="2"/>
  <c r="J31" i="8"/>
  <c r="E36" i="14"/>
  <c r="J830" i="8"/>
  <c r="J609" i="8"/>
  <c r="F454" i="2"/>
  <c r="F647" i="2"/>
  <c r="O1188" i="8"/>
  <c r="J631" i="8"/>
  <c r="P708" i="8"/>
  <c r="F86" i="2"/>
  <c r="O1142" i="8"/>
  <c r="F95" i="2"/>
  <c r="J413" i="8"/>
  <c r="G182" i="1"/>
  <c r="J588" i="8"/>
  <c r="F570" i="2"/>
  <c r="F92" i="2"/>
  <c r="J470" i="8"/>
  <c r="J433" i="8"/>
  <c r="G203" i="1"/>
  <c r="F557" i="2"/>
  <c r="G72" i="1"/>
  <c r="J436" i="8"/>
  <c r="G14" i="1"/>
  <c r="F129" i="2"/>
  <c r="J545" i="8"/>
  <c r="F208" i="2"/>
  <c r="G247" i="1"/>
  <c r="J1049" i="8"/>
  <c r="G379" i="1"/>
  <c r="O791" i="8"/>
  <c r="J1140" i="8"/>
  <c r="O699" i="8"/>
  <c r="J789" i="8"/>
  <c r="O903" i="8"/>
  <c r="G446" i="1"/>
  <c r="G152" i="1"/>
  <c r="G86" i="1"/>
  <c r="J1000" i="8"/>
  <c r="O915" i="8"/>
  <c r="J838" i="8"/>
  <c r="J643" i="8"/>
  <c r="G30" i="1"/>
  <c r="J1161" i="8"/>
  <c r="J455" i="8"/>
  <c r="J1038" i="8"/>
  <c r="F87" i="2"/>
  <c r="F541" i="2"/>
  <c r="F494" i="2"/>
  <c r="G459" i="1"/>
  <c r="P532" i="8"/>
  <c r="G282" i="1"/>
  <c r="E15" i="14"/>
  <c r="F351" i="2"/>
  <c r="J828" i="8"/>
  <c r="O1117" i="8"/>
  <c r="F410" i="2"/>
  <c r="G92" i="1"/>
  <c r="J646" i="8"/>
  <c r="J270" i="8"/>
  <c r="P1140" i="8"/>
  <c r="F404" i="2"/>
  <c r="J334" i="8"/>
  <c r="G303" i="1"/>
  <c r="J537" i="8"/>
  <c r="G371" i="1"/>
  <c r="F567" i="2"/>
  <c r="J860" i="8"/>
  <c r="G253" i="1"/>
  <c r="G263" i="1"/>
  <c r="J847" i="8"/>
  <c r="G372" i="1"/>
  <c r="G259" i="1"/>
  <c r="F213" i="2"/>
  <c r="G169" i="1"/>
  <c r="J999" i="8"/>
  <c r="F375" i="2"/>
  <c r="F10" i="2"/>
  <c r="F646" i="2"/>
  <c r="F531" i="2"/>
  <c r="J793" i="8"/>
  <c r="G332" i="1"/>
  <c r="G13" i="1"/>
  <c r="F72" i="2"/>
  <c r="J333" i="8"/>
  <c r="F525" i="2"/>
  <c r="J293" i="8"/>
  <c r="O712" i="8"/>
  <c r="J434" i="8"/>
  <c r="G7" i="1"/>
  <c r="G140" i="1"/>
  <c r="F218" i="2"/>
  <c r="G359" i="1"/>
  <c r="F246" i="2"/>
  <c r="J1124" i="8"/>
  <c r="J586" i="8"/>
  <c r="G262" i="1"/>
  <c r="G211" i="1"/>
  <c r="F612" i="2"/>
  <c r="F414" i="2"/>
  <c r="J893" i="8"/>
  <c r="J370" i="8"/>
  <c r="J900" i="8"/>
  <c r="G260" i="1"/>
  <c r="J663" i="8"/>
  <c r="J930" i="8"/>
  <c r="G384" i="1"/>
  <c r="J919" i="8"/>
  <c r="G395" i="1"/>
  <c r="E43" i="14"/>
  <c r="F265" i="2"/>
  <c r="O799" i="8"/>
  <c r="G252" i="1"/>
  <c r="G193" i="1"/>
  <c r="G268" i="1"/>
  <c r="J576" i="8"/>
  <c r="G42" i="1"/>
  <c r="F402" i="2"/>
  <c r="J655" i="8"/>
  <c r="F28" i="2"/>
  <c r="G191" i="1"/>
  <c r="O993" i="8"/>
  <c r="G479" i="1"/>
  <c r="O793" i="8"/>
  <c r="P331" i="8"/>
  <c r="F231" i="2"/>
  <c r="J993" i="8"/>
  <c r="O985" i="8"/>
  <c r="J824" i="8"/>
  <c r="F480" i="2"/>
  <c r="J549" i="8"/>
  <c r="J594" i="8"/>
  <c r="O923" i="8"/>
  <c r="J316" i="8"/>
  <c r="G189" i="1"/>
  <c r="J290" i="8"/>
  <c r="G300" i="1"/>
  <c r="J492" i="8"/>
  <c r="E14" i="14"/>
  <c r="F61" i="2"/>
  <c r="G12" i="1"/>
  <c r="J802" i="8"/>
  <c r="P808" i="8"/>
  <c r="G361" i="1"/>
  <c r="J662" i="8"/>
  <c r="F99" i="2"/>
  <c r="J76" i="8"/>
  <c r="G220" i="1"/>
  <c r="G286" i="1"/>
  <c r="F666" i="2"/>
  <c r="G216" i="1"/>
  <c r="G245" i="1"/>
  <c r="J598" i="8"/>
  <c r="J986" i="8"/>
  <c r="J481" i="8"/>
  <c r="J821" i="8"/>
  <c r="P1182" i="8"/>
  <c r="F528" i="2"/>
  <c r="J859" i="8"/>
  <c r="O1141" i="8"/>
  <c r="G147" i="1"/>
  <c r="P917" i="8"/>
  <c r="F538" i="2"/>
  <c r="F281" i="2"/>
  <c r="O1134" i="8"/>
  <c r="J756" i="8"/>
  <c r="J547" i="8"/>
  <c r="G443" i="1"/>
  <c r="O303" i="8"/>
  <c r="J595" i="8"/>
  <c r="J1012" i="8"/>
  <c r="J972" i="8"/>
  <c r="G323" i="1"/>
  <c r="F56" i="2"/>
  <c r="F516" i="2"/>
  <c r="F78" i="2"/>
  <c r="P535" i="8"/>
  <c r="J740" i="8"/>
  <c r="J1152" i="8"/>
  <c r="P800" i="8"/>
  <c r="F179" i="2"/>
  <c r="F598" i="2"/>
  <c r="F26" i="2"/>
  <c r="G295" i="1"/>
  <c r="G310" i="1"/>
  <c r="F585" i="2"/>
  <c r="F352" i="2"/>
  <c r="F109" i="2"/>
  <c r="G208" i="1"/>
  <c r="F127" i="2"/>
  <c r="J15" i="8"/>
  <c r="J741" i="8"/>
  <c r="G41" i="1"/>
  <c r="J1184" i="8"/>
  <c r="J409" i="8"/>
  <c r="O710" i="8"/>
  <c r="J1159" i="8"/>
  <c r="J979" i="8"/>
  <c r="J865" i="8"/>
  <c r="F90" i="2"/>
  <c r="G178" i="1"/>
  <c r="J681" i="8"/>
  <c r="J390" i="8"/>
  <c r="F264" i="2"/>
  <c r="G37" i="1"/>
  <c r="F82" i="2"/>
  <c r="J949" i="8"/>
  <c r="J746" i="8"/>
  <c r="J850" i="8"/>
  <c r="J408" i="8"/>
  <c r="J425" i="8"/>
  <c r="J310" i="8"/>
  <c r="J1128" i="8"/>
  <c r="O992" i="8"/>
  <c r="J985" i="8"/>
  <c r="J939" i="8"/>
  <c r="J71" i="8"/>
  <c r="G440" i="1"/>
  <c r="F84" i="2"/>
  <c r="J929" i="8"/>
  <c r="J391" i="8"/>
  <c r="G181" i="1"/>
  <c r="J668" i="8"/>
  <c r="J639" i="8"/>
  <c r="J787" i="8"/>
  <c r="F315" i="2"/>
  <c r="J458" i="8"/>
  <c r="G320" i="1"/>
  <c r="G199" i="1"/>
  <c r="J989" i="8"/>
  <c r="F389" i="2"/>
  <c r="J55" i="8"/>
  <c r="G123" i="1"/>
  <c r="J454" i="8"/>
  <c r="J10" i="8"/>
  <c r="J529" i="8"/>
  <c r="G481" i="1"/>
  <c r="J974" i="8"/>
  <c r="F665" i="2"/>
  <c r="J998" i="8"/>
  <c r="F670" i="2"/>
  <c r="J374" i="8"/>
  <c r="J908" i="8"/>
  <c r="O1159" i="8"/>
  <c r="G76" i="1"/>
  <c r="J369" i="8"/>
  <c r="J784" i="8"/>
  <c r="J443" i="8"/>
  <c r="G39" i="1"/>
  <c r="J29" i="8"/>
  <c r="G347" i="1"/>
  <c r="F504" i="2"/>
  <c r="F491" i="2"/>
  <c r="F269" i="2"/>
  <c r="F386" i="2"/>
  <c r="F73" i="2"/>
  <c r="J924" i="8"/>
  <c r="J823" i="8"/>
  <c r="F399" i="2"/>
  <c r="O693" i="8"/>
  <c r="J833" i="8"/>
  <c r="F672" i="2"/>
  <c r="F133" i="2"/>
  <c r="O331" i="8"/>
  <c r="G249" i="1"/>
  <c r="O656" i="8"/>
  <c r="J526" i="8"/>
  <c r="G373" i="1"/>
  <c r="J66" i="8"/>
  <c r="F62" i="2"/>
  <c r="J1185" i="8"/>
  <c r="G117" i="1"/>
  <c r="G108" i="1"/>
  <c r="O532" i="8"/>
  <c r="O913" i="8"/>
  <c r="O898" i="8"/>
  <c r="J277" i="8"/>
  <c r="G223" i="1"/>
  <c r="F52" i="2"/>
  <c r="G67" i="1"/>
  <c r="G447" i="1"/>
  <c r="G283" i="1"/>
  <c r="F559" i="2"/>
  <c r="J51" i="8"/>
  <c r="J633" i="8"/>
  <c r="F107" i="2"/>
  <c r="J1131" i="8"/>
  <c r="J656" i="8"/>
  <c r="P801" i="8"/>
  <c r="J669" i="8"/>
  <c r="G274" i="1"/>
  <c r="F91" i="2"/>
  <c r="J301" i="8"/>
  <c r="F469" i="2"/>
  <c r="O921" i="8"/>
  <c r="J835" i="8"/>
  <c r="J968" i="8"/>
  <c r="F190" i="2"/>
  <c r="J543" i="8"/>
  <c r="G472" i="1"/>
  <c r="J306" i="8"/>
  <c r="F50" i="2"/>
  <c r="F588" i="2"/>
  <c r="J1030" i="8"/>
  <c r="G68" i="1"/>
  <c r="P795" i="8"/>
  <c r="G241" i="1"/>
  <c r="F671" i="2"/>
  <c r="F434" i="2"/>
  <c r="G187" i="1"/>
  <c r="J869" i="8"/>
  <c r="F250" i="2"/>
  <c r="J657" i="8"/>
  <c r="J488" i="8"/>
  <c r="G121" i="1"/>
  <c r="G22" i="1"/>
  <c r="F608" i="2"/>
  <c r="J658" i="8"/>
  <c r="J410" i="8"/>
  <c r="J721" i="8"/>
  <c r="J647" i="8"/>
  <c r="G407" i="1"/>
  <c r="J637" i="8"/>
  <c r="F506" i="2"/>
  <c r="J381" i="8"/>
  <c r="J393" i="8"/>
  <c r="J555" i="8"/>
  <c r="F215" i="2"/>
  <c r="G306" i="1"/>
  <c r="J622" i="8"/>
  <c r="J564" i="8"/>
  <c r="J305" i="8"/>
  <c r="G206" i="1"/>
  <c r="F421" i="2"/>
  <c r="G20" i="1"/>
  <c r="E29" i="14"/>
  <c r="J744" i="8"/>
  <c r="G346" i="1"/>
  <c r="F569" i="2"/>
  <c r="G337" i="1"/>
  <c r="J48" i="8"/>
  <c r="G18" i="1"/>
  <c r="J955" i="8"/>
  <c r="F81" i="2"/>
  <c r="G242" i="1"/>
  <c r="G269" i="1"/>
  <c r="J429" i="8"/>
  <c r="O916" i="8"/>
  <c r="J864" i="8"/>
  <c r="F77" i="2"/>
  <c r="G307" i="1"/>
  <c r="J320" i="8"/>
  <c r="G392" i="1"/>
  <c r="J957" i="8"/>
  <c r="F36" i="2"/>
  <c r="J467" i="8"/>
  <c r="J341" i="8"/>
  <c r="J1008" i="8"/>
  <c r="J969" i="8"/>
  <c r="J365" i="8"/>
  <c r="P803" i="8"/>
  <c r="F244" i="2"/>
  <c r="G277" i="1"/>
  <c r="G239" i="1"/>
  <c r="J873" i="8"/>
  <c r="G143" i="1"/>
  <c r="F420" i="2"/>
  <c r="F529" i="2"/>
  <c r="G204" i="1"/>
  <c r="F645" i="2"/>
  <c r="J27" i="8"/>
  <c r="G390" i="1"/>
  <c r="J46" i="8"/>
  <c r="G355" i="1"/>
  <c r="G271" i="1"/>
  <c r="F426" i="2"/>
  <c r="J1104" i="8"/>
  <c r="G315" i="1"/>
  <c r="F320" i="2"/>
  <c r="J841" i="8"/>
  <c r="J348" i="8"/>
  <c r="J729" i="8"/>
  <c r="F130" i="2"/>
  <c r="G236" i="1"/>
  <c r="F425" i="2"/>
  <c r="F655" i="2"/>
  <c r="F322" i="2"/>
  <c r="F405" i="2"/>
  <c r="J829" i="8"/>
  <c r="O802" i="8"/>
  <c r="J623" i="8"/>
  <c r="G46" i="1"/>
  <c r="F654" i="2"/>
  <c r="G88" i="1"/>
  <c r="G419" i="1"/>
  <c r="G179" i="1"/>
  <c r="J484" i="8"/>
  <c r="F621" i="2"/>
  <c r="J1127" i="8"/>
  <c r="J47" i="8"/>
  <c r="J737" i="8"/>
  <c r="J524" i="8"/>
  <c r="F514" i="2"/>
  <c r="G222" i="1"/>
  <c r="J292" i="8"/>
  <c r="J606" i="8"/>
  <c r="P915" i="8"/>
  <c r="J1101" i="8"/>
  <c r="J742" i="8"/>
  <c r="J678" i="8"/>
  <c r="G93" i="1"/>
  <c r="G221" i="1"/>
  <c r="J276" i="8"/>
  <c r="G317" i="1"/>
  <c r="J438" i="8"/>
  <c r="F411" i="2"/>
  <c r="F515" i="2"/>
  <c r="G214" i="1"/>
  <c r="J422" i="8"/>
  <c r="J812" i="8"/>
  <c r="J266" i="8"/>
  <c r="J582" i="8"/>
  <c r="F354" i="2"/>
  <c r="F222" i="2"/>
  <c r="J367" i="8"/>
  <c r="F324" i="2"/>
  <c r="O989" i="8"/>
  <c r="F633" i="2"/>
  <c r="F658" i="2"/>
  <c r="J1019" i="8"/>
  <c r="F566" i="2"/>
  <c r="J903" i="8"/>
  <c r="G160" i="1"/>
  <c r="G235" i="1"/>
  <c r="P1138" i="8"/>
  <c r="J280" i="8"/>
  <c r="P533" i="8"/>
  <c r="F401" i="2"/>
  <c r="F639" i="2"/>
  <c r="F590" i="2"/>
  <c r="G49" i="1"/>
  <c r="G132" i="1"/>
  <c r="F653" i="2"/>
  <c r="O304" i="8"/>
  <c r="J735" i="8"/>
  <c r="G381" i="1"/>
  <c r="F522" i="2"/>
  <c r="O982" i="8"/>
  <c r="F432" i="2"/>
  <c r="J921" i="8"/>
  <c r="J1052" i="8"/>
  <c r="G418" i="1"/>
  <c r="G89" i="1"/>
  <c r="F113" i="2"/>
  <c r="J272" i="8"/>
  <c r="J699" i="8"/>
  <c r="J485" i="8"/>
  <c r="J14" i="8"/>
  <c r="O1183" i="8"/>
  <c r="J683" i="8"/>
  <c r="J1153" i="8"/>
  <c r="G276" i="1"/>
  <c r="F533" i="2"/>
  <c r="P537" i="8"/>
  <c r="J1138" i="8"/>
  <c r="G477" i="1"/>
  <c r="J845" i="8"/>
  <c r="F100" i="2"/>
  <c r="O980" i="8"/>
  <c r="J1195" i="8"/>
  <c r="F356" i="2"/>
  <c r="G334" i="1"/>
  <c r="J853" i="8"/>
  <c r="F116" i="2"/>
  <c r="F577" i="2"/>
  <c r="G318" i="1"/>
  <c r="J67" i="8"/>
  <c r="J794" i="8"/>
  <c r="O1008" i="8"/>
  <c r="G311" i="1"/>
  <c r="J975" i="8"/>
  <c r="J77" i="8"/>
  <c r="F110" i="2"/>
  <c r="J12" i="8"/>
  <c r="J804" i="8"/>
  <c r="G87" i="1"/>
  <c r="G456" i="1"/>
  <c r="F427" i="2"/>
  <c r="J971" i="8"/>
  <c r="G401" i="1"/>
  <c r="J1001" i="8"/>
  <c r="G85" i="1"/>
  <c r="G176" i="1"/>
  <c r="J440" i="8"/>
  <c r="G415" i="1"/>
  <c r="J967" i="8"/>
  <c r="G237" i="1"/>
  <c r="G190" i="1"/>
  <c r="G186" i="1"/>
  <c r="G232" i="1"/>
  <c r="G470" i="1"/>
  <c r="P654" i="8"/>
  <c r="G385" i="1"/>
  <c r="J300" i="8"/>
  <c r="P303" i="8"/>
  <c r="P534" i="8"/>
  <c r="J57" i="8"/>
  <c r="F473" i="2"/>
  <c r="J423" i="8"/>
  <c r="J1015" i="8"/>
  <c r="G164" i="1"/>
  <c r="J465" i="8"/>
  <c r="J295" i="8"/>
  <c r="P698" i="8"/>
  <c r="F532" i="2"/>
  <c r="J852" i="8"/>
  <c r="J977" i="8"/>
  <c r="P712" i="8"/>
  <c r="G358" i="1"/>
  <c r="J297" i="8"/>
  <c r="J389" i="8"/>
  <c r="J459" i="8"/>
  <c r="G402" i="1"/>
  <c r="O681" i="8"/>
  <c r="O683" i="8"/>
  <c r="G413" i="1"/>
  <c r="F562" i="2"/>
  <c r="J416" i="8"/>
  <c r="F63" i="2"/>
  <c r="F487" i="2"/>
  <c r="J347" i="8"/>
  <c r="F660" i="2"/>
  <c r="O708" i="8"/>
  <c r="F66" i="2"/>
  <c r="G78" i="1"/>
  <c r="F385" i="2"/>
  <c r="F419" i="2"/>
  <c r="F359" i="2"/>
  <c r="P685" i="8"/>
  <c r="J706" i="8"/>
  <c r="J964" i="8"/>
  <c r="J913" i="8"/>
  <c r="J934" i="8"/>
  <c r="G90" i="1"/>
  <c r="J307" i="8"/>
  <c r="O789" i="8"/>
  <c r="O332" i="8"/>
  <c r="G272" i="1"/>
  <c r="J607" i="8"/>
  <c r="F664" i="2"/>
  <c r="F587" i="2"/>
  <c r="G406" i="1"/>
  <c r="G185" i="1"/>
  <c r="G450" i="1"/>
  <c r="F249" i="2"/>
  <c r="F430" i="2"/>
  <c r="O800" i="8"/>
  <c r="G229" i="1"/>
  <c r="J553" i="8"/>
  <c r="J1106" i="8"/>
  <c r="G455" i="1"/>
  <c r="G287" i="1"/>
  <c r="G298" i="1"/>
  <c r="J296" i="8"/>
  <c r="F492" i="2"/>
  <c r="J691" i="8"/>
  <c r="F496" i="2"/>
  <c r="J825" i="8"/>
  <c r="O925" i="8"/>
  <c r="F166" i="2"/>
  <c r="J432" i="8"/>
  <c r="O1190" i="8"/>
  <c r="J722" i="8"/>
  <c r="P1142" i="8"/>
  <c r="G19" i="1"/>
  <c r="P709" i="8"/>
  <c r="J1143" i="8"/>
  <c r="J487" i="8"/>
  <c r="G73" i="1"/>
  <c r="O537" i="8"/>
  <c r="G75" i="1"/>
  <c r="E28"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75A9B3-589B-4206-A4CA-064F45BB6754}" keepAlive="1" name="Abfrage - FPDatenservice_HFP1" description="Verbindung mit der Abfrage 'FPDatenservice_HFP1' in der Arbeitsmappe." type="5" refreshedVersion="7" background="1" saveData="1">
    <dbPr connection="Provider=Microsoft.Mashup.OleDb.1;Data Source=$Workbook$;Location=FPDatenservice_HFP1;Extended Properties=&quot;&quot;" command="SELECT * FROM [FPDatenservice_HFP1]"/>
  </connection>
  <connection id="2" xr16:uid="{F53E3ABD-DB71-436A-A698-14EF4EDF81E1}" keepAlive="1" name="Abfrage - FPDatenservice_LFP1" description="Verbindung mit der Abfrage 'FPDatenservice_LFP1' in der Arbeitsmappe." type="5" refreshedVersion="7" background="1" saveData="1">
    <dbPr connection="Provider=Microsoft.Mashup.OleDb.1;Data Source=$Workbook$;Location=FPDatenservice_LFP1;Extended Properties=&quot;&quot;" command="SELECT * FROM [FPDatenservice_LFP1]"/>
  </connection>
  <connection id="3" xr16:uid="{C5687CF0-0B24-4103-982F-DEB7754AB611}" keepAlive="1" name="Abfrage - PLZOrtschaft" description="Verbindung mit der Abfrage 'PLZOrtschaft' in der Arbeitsmappe." type="5" refreshedVersion="7" background="1" saveData="1">
    <dbPr connection="Provider=Microsoft.Mashup.OleDb.1;Data Source=$Workbook$;Location=PLZOrtschaft;Extended Properties=&quot;&quot;" command="SELECT * FROM [PLZOrtschaf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<sst xmlns="http://schemas.openxmlformats.org/spreadsheetml/2006/main" count="50542" uniqueCount="7274">
  <si>
    <t>Nr.</t>
  </si>
  <si>
    <t>Datei</t>
  </si>
  <si>
    <t>Modell</t>
  </si>
  <si>
    <t>Topic</t>
  </si>
  <si>
    <t>Typ</t>
  </si>
  <si>
    <t>Name</t>
  </si>
  <si>
    <t>ID</t>
  </si>
  <si>
    <t>Attribut</t>
  </si>
  <si>
    <t>Default</t>
  </si>
  <si>
    <t>Kommentar</t>
  </si>
  <si>
    <t>Modellierungsgrundsätze</t>
  </si>
  <si>
    <t>FixpunkteLV</t>
  </si>
  <si>
    <t>FixpunkteAVKategorie2</t>
  </si>
  <si>
    <t>FixpunkteAVKategorie3</t>
  </si>
  <si>
    <t>HoheitsgrenzenLV</t>
  </si>
  <si>
    <t>HoheitsgrenzenAV</t>
  </si>
  <si>
    <t>Grundstuecke</t>
  </si>
  <si>
    <t>DauerndeBodenverschiebungen</t>
  </si>
  <si>
    <t>Nomenklatur</t>
  </si>
  <si>
    <t>Bodenbedeckung</t>
  </si>
  <si>
    <t>Einzelobjekte</t>
  </si>
  <si>
    <t>Rohrleitungen</t>
  </si>
  <si>
    <t>Toleranzstufen</t>
  </si>
  <si>
    <t>PLZOrtschaft</t>
  </si>
  <si>
    <t>Gebaeudeadressen</t>
  </si>
  <si>
    <t>Import</t>
  </si>
  <si>
    <t>Fixpunkte amtliche Vermessung Kategorie 2</t>
  </si>
  <si>
    <t>Fixpunkte amtliche Vermessung Kategorie 3</t>
  </si>
  <si>
    <t>Hoheitsgrenzen amtliche Vermessung</t>
  </si>
  <si>
    <t>Grundstücke</t>
  </si>
  <si>
    <t>Dauernde Bodenverschiebungen</t>
  </si>
  <si>
    <t>Nomenklatur amtliche Vermessung</t>
  </si>
  <si>
    <t>Rohrleitungen amtliche Vermessung</t>
  </si>
  <si>
    <t>Gebäudeadressen</t>
  </si>
  <si>
    <t>Domain</t>
  </si>
  <si>
    <t>AV93</t>
  </si>
  <si>
    <t>Amtliche Vermessung im Standard AV93 gemäss VAV und VAV-VBS</t>
  </si>
  <si>
    <t>PN</t>
  </si>
  <si>
    <t>Provisorische Numerisierung als besondere Massnahme zum Erhalt der Parzellarvermessung gemäss VAV-VBS</t>
  </si>
  <si>
    <t>Versicherungsart</t>
  </si>
  <si>
    <t>Stein</t>
  </si>
  <si>
    <t>Einbetonierter oder den Vorschriften entsprechender Granitstein</t>
  </si>
  <si>
    <t>Kunststoffzeichen</t>
  </si>
  <si>
    <t>Aus Kunststoff bestehender oder mit Anker versehener Stein</t>
  </si>
  <si>
    <t>Bolzen</t>
  </si>
  <si>
    <t>Metall- oder Messingbolzen, der den Vorschriften entspricht</t>
  </si>
  <si>
    <t>Rohr</t>
  </si>
  <si>
    <t>Langes Eisenrohr</t>
  </si>
  <si>
    <t>Pfahl</t>
  </si>
  <si>
    <t>Langer Holzpfahl</t>
  </si>
  <si>
    <t>Kreuz</t>
  </si>
  <si>
    <t>In einen soliden Stein eingefrästes oder gemeisseltes Kreuz</t>
  </si>
  <si>
    <t>unversichert</t>
  </si>
  <si>
    <t>Nichtmaterialisierter Punkt</t>
  </si>
  <si>
    <t>weitere</t>
  </si>
  <si>
    <t>Kennzeichnung des Punktes durch eine besondere Versicherungsart</t>
  </si>
  <si>
    <t>DarstellungIn</t>
  </si>
  <si>
    <t>PlanFuerDasGrundbuch</t>
  </si>
  <si>
    <t>Basisplan</t>
  </si>
  <si>
    <t>Schriftgroesse</t>
  </si>
  <si>
    <t>Klein</t>
  </si>
  <si>
    <t>Der Text ist in kleiner Schriftgrösse darzustellen.</t>
  </si>
  <si>
    <t>Mittel</t>
  </si>
  <si>
    <t>Der Text ist in mittlerer Schriftgrösse darzustellen.</t>
  </si>
  <si>
    <t>Gross</t>
  </si>
  <si>
    <t>Der Text ist in grosser Schriftgrösse darzustellen.</t>
  </si>
  <si>
    <t>Structure</t>
  </si>
  <si>
    <t>Symbolposition</t>
  </si>
  <si>
    <t>Position</t>
  </si>
  <si>
    <t>Coord2</t>
  </si>
  <si>
    <t>Position des Symbols.</t>
  </si>
  <si>
    <t>Orientierung</t>
  </si>
  <si>
    <t>0..1</t>
  </si>
  <si>
    <t>0.0 .. 399.9</t>
  </si>
  <si>
    <t>Ausrichtung des Symbols.</t>
  </si>
  <si>
    <t>WB DarstellungIn</t>
  </si>
  <si>
    <t>Symbolposition gilt für die Darstellung im entsprechenden abgeleiteten Produkt der amtlichen Vermessung.</t>
  </si>
  <si>
    <t>Textposition</t>
  </si>
  <si>
    <t>Position des Textes.</t>
  </si>
  <si>
    <t>Ausrichtung des Textes.</t>
  </si>
  <si>
    <t>Textposition gilt für die Darstellung im entsprechenden abgeleiteten Produkt der amtlichen Vermessung.</t>
  </si>
  <si>
    <t>Textgroesse</t>
  </si>
  <si>
    <t>WB Schriftgroesse</t>
  </si>
  <si>
    <t>Schriftgrösse des Textes.</t>
  </si>
  <si>
    <t>HReferenzpunkt</t>
  </si>
  <si>
    <t>HAlignment</t>
  </si>
  <si>
    <t>Left</t>
  </si>
  <si>
    <t>Referenzpunkt der Textposition in der Horizontalen.</t>
  </si>
  <si>
    <t>VReferenzpunkt</t>
  </si>
  <si>
    <t>VAlignment</t>
  </si>
  <si>
    <t>Bottom</t>
  </si>
  <si>
    <t>Referenzpunkt der Textposition in der Vertikalen.</t>
  </si>
  <si>
    <t>Hinweisstrich</t>
  </si>
  <si>
    <t>LineWithoutArcs</t>
  </si>
  <si>
    <t>Gemäss Datenmodell «GeometryCHLV95_V2» aus dem Model Repository «CHBase_Part1_GEOMETRY_V2.ili».</t>
  </si>
  <si>
    <t>Class</t>
  </si>
  <si>
    <t>NBIdent</t>
  </si>
  <si>
    <t>Text*12</t>
  </si>
  <si>
    <t>Teil des Benutzerschlüssels.</t>
  </si>
  <si>
    <t>Identifikator</t>
  </si>
  <si>
    <t>Identifikation der Mutation, z.B. Nummer des technischen Dossiers.</t>
  </si>
  <si>
    <t>Beschreibung</t>
  </si>
  <si>
    <t>Text*60</t>
  </si>
  <si>
    <t>Kurzbeschreibung des auslösenden Auftrags.</t>
  </si>
  <si>
    <t>Perimeter</t>
  </si>
  <si>
    <t>SURFACE WITH (STRAIGHTS, ARCS) VERTEX Coord2 WITHOUT OVERLAPS &gt; 0.002</t>
  </si>
  <si>
    <t>Gemäss Datenmodell «GeometryCHLV95_V2» aus dem Model Repository «CHBase_Part1_GEOMETRY_V2.ili».
Approximative geografische Abgrenzung des Gebiets, das von der Nachführung betroffen ist. Die Stützpunkte der Fläche kommen nur einmal in der Flächendefinition vor.</t>
  </si>
  <si>
    <t>GueltigerEintrag</t>
  </si>
  <si>
    <t>XMLDateTime</t>
  </si>
  <si>
    <t>Datum und Zeit des gültigen Eintrages des technischen Dossiers.</t>
  </si>
  <si>
    <t>Mutationsart</t>
  </si>
  <si>
    <t>Normal</t>
  </si>
  <si>
    <t>Es handelt sich um eine ordentliche Mutation oder Büromutation mit zurückgestellter Vermarkung.</t>
  </si>
  <si>
    <t>Projektmutation</t>
  </si>
  <si>
    <t>Die Mutation basiert aufgrund einer geplanten Überbauung. Die Vermarkung ist zurückgestellt und erfolgt erst nach der Realisierung der Überbauung. In der Regel ist die Vermarkung durch die Bauarbeiten gefährdet und die Grenzziehung kann sich aufgrund geometrischer Bedingungen (z.B. Grenze entlang der Mauer) ändern.</t>
  </si>
  <si>
    <t>AbschlussProjektmutation</t>
  </si>
  <si>
    <t>Abschluss einer Projektmutation, welche ohne externe Mitwirkung (z.B. eines Notariats) vollzogen werden kann. Die Grenzziehung und die Vermarkung der Grenzpunkte werden definitiv vollzogen.</t>
  </si>
  <si>
    <t>WB Mutationsart</t>
  </si>
  <si>
    <t>Nur für Grundstücksmutation.
Festlegung, nach welchen Grundsätzen die Grundstücksmutation bearbeitet wird.</t>
  </si>
  <si>
    <t>Datum des gültigen Eintrages des technischen Dossiers. Zur Sicherstellung der Chronologie der Mutation sind das Datum wie auch die Zeit in Stunden, Minuten und Sekunden zu erfassen.</t>
  </si>
  <si>
    <t>LFP1</t>
  </si>
  <si>
    <t>Nummer</t>
  </si>
  <si>
    <t>Punktnummer.</t>
  </si>
  <si>
    <t>Geometrie</t>
  </si>
  <si>
    <t>Lagekoordinate.</t>
  </si>
  <si>
    <t>Hoehengeometrie</t>
  </si>
  <si>
    <t>-200.000 .. 5000.000</t>
  </si>
  <si>
    <t>Darf nicht 0.000 sein.
Liegt die «Hoehengeometrie» vor, sind für die «Hoehengenauigkeit» und «IstHoehenzuverlaessig» Werte zu erfassen.</t>
  </si>
  <si>
    <t>Lagegenauigkeit</t>
  </si>
  <si>
    <t>0.001 .. 7.000</t>
  </si>
  <si>
    <t>IstLagezuverlaessig</t>
  </si>
  <si>
    <t>BOOLEAN</t>
  </si>
  <si>
    <t>Hoehengenauigkeit</t>
  </si>
  <si>
    <t>IstHoehenzuverlaessig</t>
  </si>
  <si>
    <t>Punktzeichen</t>
  </si>
  <si>
    <t>Text*30</t>
  </si>
  <si>
    <t>Begehbar</t>
  </si>
  <si>
    <t>HFP1</t>
  </si>
  <si>
    <t>Schutzart</t>
  </si>
  <si>
    <t>keinSchutz</t>
  </si>
  <si>
    <t>Der Fixpunkt ist nicht geschützt.</t>
  </si>
  <si>
    <t>Schacht</t>
  </si>
  <si>
    <t>Der Fixpunkt ist durch einen Schacht geschützt.</t>
  </si>
  <si>
    <t>ueberdeckt</t>
  </si>
  <si>
    <t>Der Fixpunkt ist zugedeckt und befindet sich unterhalb des Terrains.</t>
  </si>
  <si>
    <t>LFP2</t>
  </si>
  <si>
    <t>WB Versicherungsart</t>
  </si>
  <si>
    <t>WB Schutzart</t>
  </si>
  <si>
    <t>Protokoll</t>
  </si>
  <si>
    <t>SymbolOri</t>
  </si>
  <si>
    <t>HFP2</t>
  </si>
  <si>
    <t>Darf nicht 0.000 sein.</t>
  </si>
  <si>
    <t>LFPArt</t>
  </si>
  <si>
    <t>LFP3</t>
  </si>
  <si>
    <t>Lagefixpunkt Kategorie 3.</t>
  </si>
  <si>
    <t>Hilfsfixpunkt</t>
  </si>
  <si>
    <t>Lage-Hilfsfixpunkt.</t>
  </si>
  <si>
    <t>Grenzpunktfunktion</t>
  </si>
  <si>
    <t>keine</t>
  </si>
  <si>
    <t>Der Fixpunkt übernimmt keine Funktion als Grenzpunkt.</t>
  </si>
  <si>
    <t>Grenzpunkt</t>
  </si>
  <si>
    <t>Der Fixpunkt übernimmt zusätzlich die Funktion als Grenzpunkt.</t>
  </si>
  <si>
    <t>Hoheitsgrenzpunkt</t>
  </si>
  <si>
    <t>Der Fixpunkt übernimmt zusätzlich die Funktion als Grenzpunkt und Hoheitsgrenzpunkt.</t>
  </si>
  <si>
    <t>LFP3Nachfuehrung</t>
  </si>
  <si>
    <t>WB LFPArt</t>
  </si>
  <si>
    <t>Art des Fixpunktes.</t>
  </si>
  <si>
    <t>Lagekoordinaten des Fixpunktes LFP3 resp. Hilfsfixpunktes.</t>
  </si>
  <si>
    <t>Höhe des Fixpunktes LFP3 resp. Hilfsfixpunktes.</t>
  </si>
  <si>
    <t>Lagegenauigkeit des Fixpunktes LFP3 resp. Hilfsfixpunktes.</t>
  </si>
  <si>
    <t>Lage des Fixpunktes LFP3 resp. Hilfsfixpunktes ist zuverlässig.</t>
  </si>
  <si>
    <t>Ist «TRUE», wenn die Lage des Fixpunktes LFP3 resp. Hilfsfixpunktes zuverlässig erfasst wurde.
Ist «FALSE», wenn die Lage des Fixpunktes LFP3 resp. Hilfsfixpunktes unzuverlässig bestimmt wurde.</t>
  </si>
  <si>
    <t>Höhengenauigkeit des Fixpunktes LFP3 resp. Hilfsfixpunktes.</t>
  </si>
  <si>
    <t>Sofern eine «Hoehengeometrie» für den Fixpunkt LFP3 resp. Hilfsfixpunkt erfasst wurde, ist obligatorisch ein Wert für das Attribut «Hoehengenauigkeit» zu erfassen. Wenn keine «Hoehengeometrie» erfasst wurde, darf keine «Hoehengenauigkeit» erfasst werden.</t>
  </si>
  <si>
    <t>Die Höhe des Fixpunktes LFP3 resp. Hilfsfixpunktes ist zuverlässig.</t>
  </si>
  <si>
    <t>Sofern eine «Hoehengeometrie» für den Fixpunkt LFP3 resp. Hilfsfixpunkt erfasst wurde, ist obligatorisch ein Wert für das Attribut «IstHoehenzuverlaessig» zu erfassen. Wenn keine «Hoehengeometrie» erfasst wurde, darf kein Wert für «IstHoehenzuverlaessig» erfasst werden.</t>
  </si>
  <si>
    <t>Der Attributwert «unversichert» ist nur für Hilfsfixpunkte zulässig.</t>
  </si>
  <si>
    <t>Durch welche Massnahmen ist der Fixpunkt LFP3 resp. Hilfsfixpunkt geschützt.</t>
  </si>
  <si>
    <t>WB Grenzpunktfunktion</t>
  </si>
  <si>
    <t>Der Hilfsfixpunkt übernimmt die Funktion als Grenzpunkt.
Fixpunkte LFP3 übernehmen in auserlesenen Fällen die Funktion als Grenz- oder Hoheitsgrenzpunkt.</t>
  </si>
  <si>
    <t>AktiverUnterhalt</t>
  </si>
  <si>
    <t>Art des Unterhalts des Fixpunktes LFP3.</t>
  </si>
  <si>
    <t>Nur Fixpunkte LFP3 können aktiv unterhalten werden.
Ist «TRUE», wenn der Fixpunkt LFP3 aktiv unterhalten wird.
Ist «FALSE», wenn der Fixpunkt nicht unterhalten wird.
Hilfsfixpunkte werden nicht unterhalten.</t>
  </si>
  <si>
    <t>Ausrichtung des Symbols des Fixpunktes LFP3 resp. Hilfsfixpunktes für die Darstellung auf analogen und digitalen Auszügen.</t>
  </si>
  <si>
    <t>HFP3Nachfuehrung</t>
  </si>
  <si>
    <t>HFP3</t>
  </si>
  <si>
    <t>Lagekoordinate des Fixpunktes HFP3.</t>
  </si>
  <si>
    <t>Höhe des Fixpunktes HFP3.</t>
  </si>
  <si>
    <t>Lagegenauigkeit des Fixpunktes HFP3.</t>
  </si>
  <si>
    <t>Lage des Fixpunktes HFP3 ist zuverlässig.</t>
  </si>
  <si>
    <t>Ist «TRUE», wenn die Lage des Fixpunktes HFP3 zuverlässig erfasst wurde.
Ist «FALSE», wenn die Lage des Fixpunktes HFP3 unzuverlässig bestimmt wurde.</t>
  </si>
  <si>
    <t>Höhengenauigkeit des Fixpunktes HFP3.</t>
  </si>
  <si>
    <t>Die Höhe des Fixpunktes HFP3 ist zuverlässig.</t>
  </si>
  <si>
    <t>Gueltigkeit</t>
  </si>
  <si>
    <t>provisorisch</t>
  </si>
  <si>
    <t>streitig</t>
  </si>
  <si>
    <t>rechtskraeftig</t>
  </si>
  <si>
    <t>Landesgrenze</t>
  </si>
  <si>
    <t>Line</t>
  </si>
  <si>
    <t>WB Gueltigkeit</t>
  </si>
  <si>
    <t>Die Gemeindefläche oder der Grenzabschnitt ist rechtskräftig und wiedergibt die rechtsgültige Situation.</t>
  </si>
  <si>
    <t>Die neue Gemeindefläche oder der neue Grenzabschnitt ist bestritten.</t>
  </si>
  <si>
    <t>Die Hoheitsgrenze ist definiert, liegt aber in qualitativ ungenügender Form vor.</t>
  </si>
  <si>
    <t>undefiniert</t>
  </si>
  <si>
    <t>Pseudoabschluss einer Hohheitsgrenze (z.B. wenn die Hoheitsgrenze durch einen See verläuft).</t>
  </si>
  <si>
    <t>HHGNachfuehrung</t>
  </si>
  <si>
    <t>GenehmigtAm</t>
  </si>
  <si>
    <t>Gemeinde</t>
  </si>
  <si>
    <t>Offizielle Bezeichnung der Gemeinde.</t>
  </si>
  <si>
    <t>BFSNummer</t>
  </si>
  <si>
    <t>CHMunicipalityCode</t>
  </si>
  <si>
    <t>Gemeinde-Nummer gemäss Bundesamt für Statistik (BFS).</t>
  </si>
  <si>
    <t>Gemäss Datenmodell «CHAdminCodes_V1» aus dem Model Repository «CHBase_Part4_ADMINISTRATIVEUNITS_V1.ili».</t>
  </si>
  <si>
    <t>Fiktiv</t>
  </si>
  <si>
    <t>FALSE</t>
  </si>
  <si>
    <t>Dient zur Unterscheidung, ob die Daten für die Schliessung von Lücken in der flächendeckenden Definition der Gemeindegrenze verwendet werden.</t>
  </si>
  <si>
    <t>Gemeindegrenze</t>
  </si>
  <si>
    <t>Gemäss Datenmodell «GeometryCHLV95_V2» aus dem Model Repository «CHBase_Part1_GEOMETRY_V2.ili».
Die als gültig attribuierten Gemeindegrenzen erfüllen die Konsistenzbedingungen von Geometriedaten des Typs «AREA» (siehe Dokument «Modellierungsgrundsätze: Geodatenmodell der amtlichen Vermessung DMAV»).
Als Stützpunkte der Geometrie sind ausschliesslich LFP3 (inkl. Hilfsfixpunkte) und Grenzpunkte, die als Hoheitsgrenzpunkt attribuiert sind, zulässig.</t>
  </si>
  <si>
    <t>Streitig</t>
  </si>
  <si>
    <t>MultiLine</t>
  </si>
  <si>
    <t>Abschnitte der streitigen Gemeindegrenze.</t>
  </si>
  <si>
    <t>Gemäss Datenmodell «GeometryCHLV95_V2» aus dem Model Repository «CHBase_Part1_GEOMETRY_V2.ili».
Die Geometrie dieser Linie verläuft entlang der streitigen Gemeindegrenze und ist im bestrittenen Abschnitt deckungsgleich.</t>
  </si>
  <si>
    <t>Ist «TRUE», wenn in der Klasse «Gemeinde» im Attribut «Fiktiv» ebenfalls «TRUE» erfasst ist.</t>
  </si>
  <si>
    <t>ProjGemeindegrenzabschnitt</t>
  </si>
  <si>
    <t>Polylinie, bestehend aus Strecken und Kreisbögen.</t>
  </si>
  <si>
    <t>Gemäss Datenmodell «GeometryCHLV95_V2» aus dem Model Repository «CHBase_Part1_GEOMETRY_V2.ili».
Als Stützpunkte der Geometrie sind ausschliesslich LFP3 (inkl. Hilfsfixpunkte) und Grenzpunkte, die als Hoheitsgrenzpunkt attribuiert sind, zulässig.</t>
  </si>
  <si>
    <t>Bezirksgrenzabschnitt</t>
  </si>
  <si>
    <t>Gültigkeit des Bezirksgrenzabschnittes.</t>
  </si>
  <si>
    <t>Kantonsgrenzabschnitt</t>
  </si>
  <si>
    <t>Gültigkeit des Kantonsgrenzabschnittes.</t>
  </si>
  <si>
    <t>Grundstuecksart</t>
  </si>
  <si>
    <t>Liegenschaft</t>
  </si>
  <si>
    <t>Fläche mit genügend bestimmten Grenzen.</t>
  </si>
  <si>
    <t>SelbstaendigesDauerndesRecht</t>
  </si>
  <si>
    <t>Recht am gesamten Grundstück oder an Teilen eines Grundstücks.</t>
  </si>
  <si>
    <t>Bergwerk</t>
  </si>
  <si>
    <t>Recht zur bergbautechnischen Ausbeutung der im Erdinnern befindlichen Rohstoffe, Industrieminerale, Energierohstoffe und Erze.</t>
  </si>
  <si>
    <t>GSNachfuehrung</t>
  </si>
  <si>
    <t>Grundbucheintrag</t>
  </si>
  <si>
    <t>Grundstueck</t>
  </si>
  <si>
    <t>EGRID</t>
  </si>
  <si>
    <t>Text*14</t>
  </si>
  <si>
    <t>Objektidentifikator und Fremdschlüssel für das Grundstückinformationssystem.</t>
  </si>
  <si>
    <t>Nummer des Grundstücks.</t>
  </si>
  <si>
    <t>Grundstücksart.</t>
  </si>
  <si>
    <t>IstStreitig</t>
  </si>
  <si>
    <t>Gültigkeit des Grundstücks.</t>
  </si>
  <si>
    <t>Ist «TRUE», wenn das Objekt und die Grenzziehung bestritten sind. Das Objekt und die Grenzziehung sind somit nicht rechtskräftig.
Ist «FALSE», wenn das Objekt die rechtsgültige Situation wiedergibt.</t>
  </si>
  <si>
    <t>IstVollstaendig</t>
  </si>
  <si>
    <t>Vollständigkeit des Grundstücks.</t>
  </si>
  <si>
    <t>Struktur Textposition</t>
  </si>
  <si>
    <t>Textposition der Grundstücksnummer gemäss Dokument «Modellierungsgrundsätze: Geodatenmodell der amtlichen Vermessung DMAV».</t>
  </si>
  <si>
    <t>Strukturiertes Attribut gemäss Dokument «Modellierungsgrundsätze: Geodatenmodell der amtlichen Vermessung DMAV».</t>
  </si>
  <si>
    <t>Dient zur Unterscheidung, ob das Objekt zur Schliessung von Lücken im Flächennetz der Liegenschaften verwendet wird oder nicht (Sicherstellung der Flächenkonsistenz).</t>
  </si>
  <si>
    <t>Ist «TRUE», wenn das Objekt «Grundstueck» als «Grundstuecksart» «Liegenschaft» attribuiert ist und es sich um ein fiktives Grundstück handelt. Das entsprechende Objekt der Klasse «Liegenschaft» ist in einem solchen Fall ebenfalls als «Fiktiv» «TRUE» zu attribuieren.
Ist «FALSE», wenn es sich um ein reales Grundstück handelt.</t>
  </si>
  <si>
    <t>Gesamtflaechenmass</t>
  </si>
  <si>
    <t>1 .. 999999999</t>
  </si>
  <si>
    <t>Totalfläche des Grundstücks.</t>
  </si>
  <si>
    <t>Das Gesamtflächenmass ist zu erfassen, wenn im Attribut «IstVollstaendig» der Wert «FALSE» erfasst ist.
Ist das Grundstück als «IstVollstaendig» «TRUE» attribuiert, ist kein Gesamtflächenmass zu erfassen.</t>
  </si>
  <si>
    <t>NummerTeilgrundstueck</t>
  </si>
  <si>
    <t>Nummer der Liegenschaft.</t>
  </si>
  <si>
    <t>Ist nur zu erfassen, wenn im Objekt der Klasse «Grundstuecke» im Attribut «IstVollstaendig» der Wert «FALSE» erfasst ist. Ansonsten ist keine «Teilgrundstuecknummer» zu erfassen.
Die Nummer des Teilgrundstücks muss innerhalb des Objekts «Grundstueck» eindeutig sein.</t>
  </si>
  <si>
    <t>Gemäss Datenmodell «GeometryCHLV95_V2» aus dem Model Repository «CHBase_Part1_GEOMETRY_V2.ili».
Die als gültig attribuierten Liegenschaften erfüllen die Konsistenzbedingungen von Geometriedaten des Typs «AREA» (siehe Dokument «Modellierungsgrundsätze: Geodatenmodell der amtlichen Vermessung DMAV»). Jedem Stützpunkt der Liegenschafsgeometrie liegt ein LFP3 (inkl. Hilfsfixpunkt), Hoheits- oder Liegenschaftsgrenzpunkt zu Grunde.</t>
  </si>
  <si>
    <t>Abschnitte der streitigen Liegenschaftsgrenze.</t>
  </si>
  <si>
    <t>Gemäss Datenmodell «GeometryCHLV95_V2» aus dem Model Repository «CHBase_Part1_GEOMETRY_V2.ili».
Die Geometrie dieser Linie verläuft entlang der streitigen Liegenschaftsgrenze und ist im bestrittenen Abschnitt deckungsgleich.</t>
  </si>
  <si>
    <t>Qualitaetsstandard</t>
  </si>
  <si>
    <t>Erreichter Qualitätsstandard</t>
  </si>
  <si>
    <t>Die Liegenschaft liegt ausschliesslich im Qualitätsstandard «AV93» oder «PN» vor.</t>
  </si>
  <si>
    <t>Dient zur Unterscheidung, ob das Objekt für die Schliessung von Lücken im Netz der Liegenschaften verwendet wird oder nicht.</t>
  </si>
  <si>
    <t>Ist «TRUE», wenn das ensprechende Objekt der Klasse «Grundstuecke» ebenfalls als «Fiktiv» «TRUE» attribuiert ist.</t>
  </si>
  <si>
    <t>Flaechenmass</t>
  </si>
  <si>
    <t>Im Grundbuch eingetragene Fläche der Liegenschaft.</t>
  </si>
  <si>
    <t>Nummer des selbständigen und dauernden Rechts.</t>
  </si>
  <si>
    <t>Ist nur zu erfassen, wenn im Objekt der Klasse «Grundstuecke» im Attribut «IstVollstaendig» der Wert «FALSE» erfasst ist. Ansonsten ist keine «Teilgrundstuecknummer» zu erfassen.
Die Nummer des Teilgrundstückes muss innerhalb des Objekts «Grundstuecke» eindeutig sein.</t>
  </si>
  <si>
    <t>Gemäss Datenmodell «GeometryCHLV95_V2» aus dem Model Repository «CHBase_Part1_GEOMETRY_V2.ili».
Jedem Stützpunkt der Flächengeometrie des selbständigen und dauernden Rechts liegt ein LFP3 (inkl. Hilfsfixpunkt), Hoheits- oder Liegenschaftsgrenzpunkt zu grunde.</t>
  </si>
  <si>
    <t>Abschnitte der streitigen Grenze des selbständigen und dauernden Rechts.</t>
  </si>
  <si>
    <t>Gemäss Datenmodell «GeometryCHLV95_V2» aus dem Model Repository «CHBase_Part1_GEOMETRY_V2.ili».
Die Geometrie dieser Linie verläuft entlang der streitigen Grenze des selbständigen und dauernden Rechts und ist im bestrittenen Abschnitt deckungsgleich.</t>
  </si>
  <si>
    <t>Im Grundbuch eingetragene Fläche des selbständigen und dauernden Rechts.</t>
  </si>
  <si>
    <t>Nummer des Bergwerkes.</t>
  </si>
  <si>
    <t>Gemäss Datenmodell «GeometryCHLV95_V2» aus dem Model Repository «CHBase_Part1_GEOMETRY_V2.ili».
Jedem Stützpunkt der Geometrie des Bergwerkes liegt ein LFP3 (inkl. Hilfsfixpunk), Hoheits- oder Liegenschaftsgrenzpunkt zu Grunde.</t>
  </si>
  <si>
    <t>Abschnitte der streitigen Grenze des Bergwerkes.</t>
  </si>
  <si>
    <t>Gemäss Datenmodell «GeometryCHLV95_V2» aus dem Model Repository «CHBase_Part1_GEOMETRY_V2.ili».
Die Geometrie dieser Linie verläuft entlang der streitigen Grenze des Bergwerkes und ist im bestrittenen Abschnitt deckungsgleich.</t>
  </si>
  <si>
    <t>Im Grundbuch eingetragene Fläche des Bergwerks.</t>
  </si>
  <si>
    <t>Die Vergabe der Punktnummer ist optional. Am Perimeterrand ist jedoch zu beachten, dass die Praxis und Bezeichnung bezüglich der Punktnummer aus der benachbarten geografischen Einheit übernommen werden.</t>
  </si>
  <si>
    <t>Koordinaten des Grenzpunktes.</t>
  </si>
  <si>
    <t>Lagegenauigkeit des Grenzpunktes.</t>
  </si>
  <si>
    <t>Ist «TRUE», wenn die Lage des Grenzpunktes zuverlässig erfasst wurde.
Grenzpunkte, die unzuverlässig bestimmt oder aufgrund einer Berechnung resp. Konstruktion entstehen, sind als «unzuverlässig» resp. mit dem Wert «FALSE» zu erfassen, bis sie auf dem Feld vermarkt und kontrolliert erfasst wurden.</t>
  </si>
  <si>
    <t>Sofern eine «Hoehengeometrie» für den Grenzpunkt erfasst wurde, ist obligatorisch ein Wert für das Attribut «Hoehengenauigkeit» zu erfassen. Wenn keine «Hoehengeometrie» erfasst wurde, darf keine «Hoehengenauigkeit» erfasst werden.</t>
  </si>
  <si>
    <t>Ist «TRUE», wenn die Höhe des Grenzpunktes zuverlässig bestimmt wurde.
Ist «FALSE», wenn die Höhe des Grenzpunktes unzuverlässig bestimmt wurde.
Sofern eine «Hoehengeometrie» für den Grenzpunkt erfasst wurde, ist obligatorisch ein Wert für das Attribut «IstHoehenzuverlaessig» zu erfassen. Wenn keine «Hoehengeometrie» erfasst wurde, darf kein Wert für «IstHoehenzuverlaessig» erfasst werden.</t>
  </si>
  <si>
    <t>Versicherungsart des Grenzpunktes (gemäss Dokument «Modellierungsgrundsätze: Geodatenmodell der amtlichen Vermessung DMAV»).</t>
  </si>
  <si>
    <t>Grenzpunkte, die als «IstExaktDefiniert» «FALSE» attribuiert sind, dürfen ausschliesslich als «Punktzeichen» «unversichert» erfasst werden.</t>
  </si>
  <si>
    <t>IstHoheitsgrenzpunkt</t>
  </si>
  <si>
    <t>Funktion des Grenzpunktes als Hoheitsgrenzpunkt.</t>
  </si>
  <si>
    <t>Ist «TRUE», wenn der Grenzpunkt ein Hoheitsgrenzpunkt ist und als Stützpunkt einer Hoheitsgrenze verwendet wird.
Ist «FALSE», wenn es sich um einen Liegenschaftsgrenzpunkt handelt.</t>
  </si>
  <si>
    <t>IstHoheitsgrenzsteinAlt</t>
  </si>
  <si>
    <t>Handelt es sich um einen alten, historischen Hoheitsgrenzstein.</t>
  </si>
  <si>
    <t>Ist «TRUE», wenn es sich um einen alten Hoheitsgrenzstein handelt.
Ist «FALSE», wenn es sich nicht um einen alten Hoheitsgrenzstein handelt.</t>
  </si>
  <si>
    <t>IstExaktDefiniert</t>
  </si>
  <si>
    <t>Feststellgenauigkeit des Grenzpunktes.</t>
  </si>
  <si>
    <t>Ist «TRUE», wenn der Grenzpunkt exakt festgestellt und erfasst wurde.
Ist «FALSE», wenn der Grenzpunkt anhand von Hilfsmitteln entlang von natürlichen Grenzen festgelegt wurde.</t>
  </si>
  <si>
    <t>Ausrichtung des Grenzpunktsymbols (z.B. Kreuz) für die Darstellung auf analogen und digitalen Auszügen.</t>
  </si>
  <si>
    <t>Bestehend aus Strecken und Kreisbögen. Überlappungen in der Definition der Surface dürfen nicht grösser als 2 mm sein.</t>
  </si>
  <si>
    <t>Linienelement</t>
  </si>
  <si>
    <t>Bestehend aus Strecken und Kreisbögen.</t>
  </si>
  <si>
    <t>Punktelement</t>
  </si>
  <si>
    <t>Position des Punktelements.</t>
  </si>
  <si>
    <t>Ausrichtung des Punktelements für die Darstellung.</t>
  </si>
  <si>
    <t>DiBNachfuehrung</t>
  </si>
  <si>
    <t>EREID</t>
  </si>
  <si>
    <t>Text*22</t>
  </si>
  <si>
    <t>Dienstbarkeitsnummer</t>
  </si>
  <si>
    <t>Nummer der Dienstbarkeit.</t>
  </si>
  <si>
    <t>Dienstbarkeitsart</t>
  </si>
  <si>
    <t>Art der Dienstbarkeit.</t>
  </si>
  <si>
    <t>Hoehe</t>
  </si>
  <si>
    <t>Die Dienstbarkeit ist vollständig oder unvollständig erfasst.</t>
  </si>
  <si>
    <t>Ist «TRUE», wenn die Dienstbarkeit vollständig erfasst ist.
Ist «FALSE», wenn die Dienstbarkeit unvollständig erfasst ist.</t>
  </si>
  <si>
    <t>Flaechenelement</t>
  </si>
  <si>
    <t>Flächenelement der Dienstbarkeit.</t>
  </si>
  <si>
    <t>Die Dienstbarkeit muss mindestens ein Flächen-, ein Linien- oder ein Punktelement enthalten.</t>
  </si>
  <si>
    <t>Struktur Linienelement</t>
  </si>
  <si>
    <t>Linienelement der Dienstbarkeit.</t>
  </si>
  <si>
    <t>Die Dienstbarkeit muss mindestens ein Flächen-, ein Linien- oder Punktelement enthalten.</t>
  </si>
  <si>
    <t>Struktur Punktelement</t>
  </si>
  <si>
    <t>Punktelement der Dienstbarkeit.</t>
  </si>
  <si>
    <t>Die Dienstbarkeit muss mindestens ein Flächen-, ein Linien- oder einPunktelement enthalten.</t>
  </si>
  <si>
    <t>Position und Orientierung der Nummer der Dienstbarkeit.</t>
  </si>
  <si>
    <t>Siehe Dokument «Modellierungsgrundsätze: Geodatenmodell der amtlichen Vermessung DMAV».</t>
  </si>
  <si>
    <t>DBVNachfuehrung</t>
  </si>
  <si>
    <t>DauerndeBodenverschiebung</t>
  </si>
  <si>
    <t>z.B. Nummer des technischen Dossiers.</t>
  </si>
  <si>
    <t>Genauere Bezeichnung des Perimeters mit dauernder Bodenverschiebung.</t>
  </si>
  <si>
    <t>Textposition der Beschreibung gemäss Dokument «Modellierungsgrundsätze: Geodatenmodell der amtlichen Vermessung DMAV».</t>
  </si>
  <si>
    <t>NKNachfuehrung</t>
  </si>
  <si>
    <t>Ortsname</t>
  </si>
  <si>
    <t>Ortsname.</t>
  </si>
  <si>
    <t>Sofern es notwendig ist, kann der Ortsname detaillierter klassifiziert werden.</t>
  </si>
  <si>
    <t>Textposition des Namens gemäss Dokument «Modellierungsgrundsätze: Geodatenmodell der amtlichen Vermessung DMAV».</t>
  </si>
  <si>
    <t>Flurname</t>
  </si>
  <si>
    <t>Flurname.</t>
  </si>
  <si>
    <t>Dient zur Unterscheidung, ob die Daten für die Schliessung von Lücken im flächendeckenden Nomenklaturnetz verwendet werden.</t>
  </si>
  <si>
    <t>Ist «TRUE», wenn es sich um ein fiktives Objekt der Klasse «Flurname» handelt.
Ist «FALSE», wenn es sich um ein reales Objekt der Klasse «Flurname» handelt.</t>
  </si>
  <si>
    <t>Gelaendename</t>
  </si>
  <si>
    <t>Geländename.</t>
  </si>
  <si>
    <t>Bodenbedeckungsart</t>
  </si>
  <si>
    <t>Strasse_Weg</t>
  </si>
  <si>
    <t>Flächen mit Erschliessungsfunktion für Fussgänger- und/oder Fahrzeugverkehr.</t>
  </si>
  <si>
    <t>Trottoir</t>
  </si>
  <si>
    <t>Von der Strasse abgetrennte Flächen, die vorwiegend den Fussgängern dienen und von Motorfahrzeugen nicht befahren werden dürfen.</t>
  </si>
  <si>
    <t>Verkehrsinsel</t>
  </si>
  <si>
    <t>Künstliche Erhöhung in der Fahrbahn, die umfahren werden muss. Verkehrsinseln befinden sich bei Kreuzungen und Fussgängerstreifen.</t>
  </si>
  <si>
    <t>Bahn</t>
  </si>
  <si>
    <t>Gesamte Geleisanlage inklusive Kofferung, mit Kies oder Sand belegte Flächen, Bahnsteige, die zwischen oder neben den Geleisen liegen.</t>
  </si>
  <si>
    <t>Flugplatz</t>
  </si>
  <si>
    <t>Künstlich befestigte Pisten, Rollwege, Abstellflächen für Flugzeuge.</t>
  </si>
  <si>
    <t>Wasserbecken</t>
  </si>
  <si>
    <t>Künstliche Anlage samt Umrandung, Schwimm- und Sprungbecken öffentlicher Badeanstalten, öffentliche und private Bassins, Klärbecken der ARA, Löschbecken.</t>
  </si>
  <si>
    <t>uebrige_befestigte</t>
  </si>
  <si>
    <t>Parkplätze, Verkehrserschliessung zu Gebäuden, Abstell-, Rast- und Vorplätze, Sportanlagen ohne Rasenflächen.</t>
  </si>
  <si>
    <t>Acker_Wiese_Weide</t>
  </si>
  <si>
    <t>Flächen, die in eine Fruchtfolge einbezogen sind, der Futtergewinnung oder als Weide dienen.</t>
  </si>
  <si>
    <t>Reben</t>
  </si>
  <si>
    <t>Rebflächen.</t>
  </si>
  <si>
    <t>uebrige_Intensivkultur</t>
  </si>
  <si>
    <t>Obstkulturen und Gärtnereien.</t>
  </si>
  <si>
    <t>Gartenanlage</t>
  </si>
  <si>
    <t>Freizeitgärten, Parkanlagen, Kinderspielplätze, Gebüsche, Gartenbestockung, Rasen, Hausumschwung.</t>
  </si>
  <si>
    <t>Hoch_Flachmoor</t>
  </si>
  <si>
    <t>Flächen, die in den eidgenössischen, kantonalen und kommunalen Schutzverordnungen aufgeführt sind.</t>
  </si>
  <si>
    <t>uebrige_humusierte</t>
  </si>
  <si>
    <t>Grünstreifen bei Verkehrsanlagen, Bachborde.</t>
  </si>
  <si>
    <t>stehendes_Gewaesser</t>
  </si>
  <si>
    <t>Seen, Weiher, Biotope.</t>
  </si>
  <si>
    <t>fliessendes_Gewaesser</t>
  </si>
  <si>
    <t>Flüsse, Bäche, Kanäle.</t>
  </si>
  <si>
    <t>Schilfguertel</t>
  </si>
  <si>
    <t>Mit Schilf bedeckte Flächen zwischen offenem Gewässer und landseitiger Bodenbedeckung.</t>
  </si>
  <si>
    <t>geschlossener_Wald</t>
  </si>
  <si>
    <t>Wytweide_dicht</t>
  </si>
  <si>
    <t>Wytweide_offen</t>
  </si>
  <si>
    <t>Definition gemäss der eidgenössischen Waldverordnung. Flächen, die mosaikartig, abwechselnd für die Viehhaltung und Forstwirtschaft, genutzt werden. Die landwirtschaftliche Nutzung überwiegt die forstwirtschaftliche Nutzung.</t>
  </si>
  <si>
    <t>uebrige_bestockte</t>
  </si>
  <si>
    <t>Weidwälder, Selven, Bestockung von Ufer- und Bachzonen, Mischzonen zwischen Wald und Weide, Fels, Geröll. Übergangszonen zur klimatischen Waldgrenze.</t>
  </si>
  <si>
    <t>Fels</t>
  </si>
  <si>
    <t>Markante Felsbänder, die der Orientierung dienen.</t>
  </si>
  <si>
    <t>Gletscher_Firn</t>
  </si>
  <si>
    <t>Firn beinhaltet Schneeflächen des Hochgebirges, die über mehrere Jahre hinweg auftauen und wieder einfrieren. Beim Gletscher handelt es sich um permanent vereiste Flächen.</t>
  </si>
  <si>
    <t>Geroell_Sand</t>
  </si>
  <si>
    <t>Natürliche Ansammlung von losen Steinen (z.B. Seitenmoränen).</t>
  </si>
  <si>
    <t>Abbau_Deponie</t>
  </si>
  <si>
    <t>Bewirtschaftete Deponien zur Ablagerung und Gewinnung von Rohstoffen.</t>
  </si>
  <si>
    <t>uebrige_vegetationslose</t>
  </si>
  <si>
    <t>Mischzonen bei der klimatischen Pflanzengrenze, die schwer zu unterscheiden sind (Gras, Fels, Geröll, verbuschte Flächen).</t>
  </si>
  <si>
    <t>Objektstatus</t>
  </si>
  <si>
    <t>projektiert</t>
  </si>
  <si>
    <t>Das neue Objekt ist in den Daten erfasst, jedoch noch nicht realisiert.</t>
  </si>
  <si>
    <t>real</t>
  </si>
  <si>
    <t>Das Objekt ist realisiert und entspricht der aktuellen Situation.</t>
  </si>
  <si>
    <t>vergangen</t>
  </si>
  <si>
    <t>Das Objekt ist abgebrochen oder vergangen und existiert nicht mehr.</t>
  </si>
  <si>
    <t>Objektnummer</t>
  </si>
  <si>
    <t>Nummer des Objekts.</t>
  </si>
  <si>
    <t>Textposition der Objektnummer gemäss Dokument «Modellierungsgrundsätze: Geodatenmodell der amtlichen Vermessung DMAV».</t>
  </si>
  <si>
    <t>Objektname</t>
  </si>
  <si>
    <t>Name / Bezeichnung des Objekts.</t>
  </si>
  <si>
    <t>Textposition des Objektnamens gemäss Dokument «Modellierungsgrundsätze: Geodatenmodell der amtlichen Vermessung DMAV».</t>
  </si>
  <si>
    <t>BBNachfuehrung</t>
  </si>
  <si>
    <t>WB Bodenbedeckungsart</t>
  </si>
  <si>
    <t>Klassifizierung des Objektes «Bodenbedeckung» gemäss Wertebereichsdefinition.</t>
  </si>
  <si>
    <t>Sofern das Objekt als «Fiktiv» «TRUE» attribuiert ist, ist auf die Erfassung der Bodenbedeckungsart zu verzichten. Ansonsten ist die Bodenbedeckungsart zwingend zu erfassen.</t>
  </si>
  <si>
    <t>Dient zur Unterscheidung, ob das Objekt zur Schliessung von Lücken im Flächennetz der Bodenbedeckung verwendet wird oder nicht.</t>
  </si>
  <si>
    <t>Ist «TRUE», wenn es sich um ein fiktives Objekt der Bodenbedeckung handelt.
Ist «FALSE», wenn es sich um ein reales Objekt der Bodenbedeckung handelt.</t>
  </si>
  <si>
    <t>Gemäss Datenmodell «GeometryCHLV95_V2» aus dem Model Repository «CHBase_Part1_GEOMETRY_V2.ili».
Die als gültig attribuierten Bodenbedeckungen erfüllen die Konsistenzbedingungen von Geometriedaten des Typs «AREA» (siehe Dokument «Modellierungsgrundsätze: Geodatenmodell der amtlichen Vermessung DMAV»).</t>
  </si>
  <si>
    <t>WB Objektstatus</t>
  </si>
  <si>
    <t>Status des Objekts</t>
  </si>
  <si>
    <t>Struktur Objektnummer</t>
  </si>
  <si>
    <t>EGID</t>
  </si>
  <si>
    <t>1 .. 900000000</t>
  </si>
  <si>
    <t>Struktur Objektname</t>
  </si>
  <si>
    <t>Name des Objekts.</t>
  </si>
  <si>
    <t>Struktur Symbolposition</t>
  </si>
  <si>
    <t>Angaben für die Darstellung von Symbolen auf den grafischen Auszügen (siehe Dokument «Modellierungsgrundsätze: Geodaten der amtlichen Vermessung DMAV»).</t>
  </si>
  <si>
    <t>Messpunkt</t>
  </si>
  <si>
    <t>Koordinaten des Messpunktes.</t>
  </si>
  <si>
    <t>Höhe des Messpunktes.</t>
  </si>
  <si>
    <t>Lagegenauigkeit des Messpunktes.</t>
  </si>
  <si>
    <t>Lage des Messpunktes ist zuverlässig.</t>
  </si>
  <si>
    <t>Ist «TRUE», wenn der Messpunkt zuverlässig erfasst wurde.
Messpunkte, die unzuverlässig bestimmt oder aufgrund einer Berechnung resp. Konstruktion entstehen, sind als «unzuverlässig» resp. mit dem Wert «FALSE» zu erfassen.</t>
  </si>
  <si>
    <t>Höhengenauigkeit des Messpunktes.</t>
  </si>
  <si>
    <t>Sofern eine «Hoehengeometrie» für den Messpunkt erfasst wurde, ist obligatorisch ein Wert für das Attribut «Hoehengenauigkeit» zu erfassen. Wenn keine «Hoehengeometrie» erfasst wurde, darf keine «Hoehengenauigkeit» erfasst werden.</t>
  </si>
  <si>
    <t>Höhe des Messpunktes ist zuverlässig.</t>
  </si>
  <si>
    <t>Ist «TRUE», wenn die Höhe zuverlässig bestimmt wurde.
Ist «FALSE», wenn die Höhe unzuverlässig bestimmt wurde.
Sofern eine «Hoehengeometrie» für den Messpunkt erfasst wurde, ist obligatorisch ein Wert für das Attribut «IstHoehenzuverlaessig» zu erfassen. Wenn keine «Hoehengeometrie» erfasst wurde, darf kein Wert für «IstHoehenzuverlaessig» erfasst werden.</t>
  </si>
  <si>
    <t>Feststellgenauigkeit des Messpunktes.</t>
  </si>
  <si>
    <t>Ist «TRUE», wenn der Messpunkt mit besonderer Sorgfalt bestimmt wurde (z.B. Gebäudeecken).
Ist «FALSE», wenn der Messpunkt nur ungefähr bestimmt wurde (z.B. für Acker, Wiese, Weide).</t>
  </si>
  <si>
    <t>Einzelobjektart</t>
  </si>
  <si>
    <t>Mauer</t>
  </si>
  <si>
    <t>unterirdisches_Gebaeude</t>
  </si>
  <si>
    <t>uebriger_Gebaeudeteil</t>
  </si>
  <si>
    <t>eingedoltes_oeffentliches_Gewaesser</t>
  </si>
  <si>
    <t>wichtige_Treppe</t>
  </si>
  <si>
    <t>Treppen bei öffentlichen Gebäuden, Anlagen und Fusswegen. Mauern, die in Zusammenhang mit der Treppe stehen, sind der Treppe zuzuordnen.</t>
  </si>
  <si>
    <t>Tunnel_Unterfuehrung_Galerie</t>
  </si>
  <si>
    <t>Bruecke_Passerelle</t>
  </si>
  <si>
    <t>Verbindungselement zwischen Flächen der Bodenbedeckungsarten «Strasse_Weg», «Bahn» und den Einzelobjektarten «Tunnel_Unterführung_Galerie» und «Schmaler_Weg».</t>
  </si>
  <si>
    <t>Bahnsteig</t>
  </si>
  <si>
    <t>Brunnen</t>
  </si>
  <si>
    <t>Öffentliche Brunnen</t>
  </si>
  <si>
    <t>Reservoir</t>
  </si>
  <si>
    <t>Unterirdische Wasserreservoire</t>
  </si>
  <si>
    <t>Pfeiler</t>
  </si>
  <si>
    <t>Massive Stützpfeiler von Brücken und Unterständen</t>
  </si>
  <si>
    <t>Unterstand</t>
  </si>
  <si>
    <t>Silo_Turm_Gasometer</t>
  </si>
  <si>
    <t>Oberirdische Türme mit festem Standort</t>
  </si>
  <si>
    <t>Hochkamin</t>
  </si>
  <si>
    <t>Auffällige Kamine</t>
  </si>
  <si>
    <t>Denkmal</t>
  </si>
  <si>
    <t>Mast_Antenne</t>
  </si>
  <si>
    <t>Aussichtsturm</t>
  </si>
  <si>
    <t>Aussichtsplattformen und -türme</t>
  </si>
  <si>
    <t>Uferverbauung</t>
  </si>
  <si>
    <t>Uferverbauungen wie Blockwürfe und Blocksatz</t>
  </si>
  <si>
    <t>Schwelle</t>
  </si>
  <si>
    <t>Verbauungen in Fliessgewässern zur Brechung der Wasserkraft</t>
  </si>
  <si>
    <t>Lawinenverbauung</t>
  </si>
  <si>
    <t>In der Anrisszone stehende Bauten zur Verhinderung der Lawinenauslösung</t>
  </si>
  <si>
    <t>massiver_Sockel</t>
  </si>
  <si>
    <t>Massive, markante Sockel</t>
  </si>
  <si>
    <t>Ruine_archaeologisches_Objekt</t>
  </si>
  <si>
    <t>Landungssteg</t>
  </si>
  <si>
    <t>einzelner_Fels</t>
  </si>
  <si>
    <t>schmale_bestockte_Flaeche</t>
  </si>
  <si>
    <t>Hecken und Feldgehölze, welche als Orientierungshilfe ausserhalb des besiedelten Gebietes nützlich sind</t>
  </si>
  <si>
    <t>Rinnsal</t>
  </si>
  <si>
    <t>Schmale, fliessende Gewässer mit zeitweiliger oder ständiger Wasserführung</t>
  </si>
  <si>
    <t>schmaler_Weg</t>
  </si>
  <si>
    <t>Hochspannungsfreileitung</t>
  </si>
  <si>
    <t>Druckleitung</t>
  </si>
  <si>
    <t>Oberirdische Leitungen der Wasserkraft- und Fernwärmewerke</t>
  </si>
  <si>
    <t>Bahngeleise</t>
  </si>
  <si>
    <t>Achse der Geleise</t>
  </si>
  <si>
    <t>Luftseilbahn</t>
  </si>
  <si>
    <t>Achse der Linienführung der Luftseilbahn (Achse zwischen den Seilen)</t>
  </si>
  <si>
    <t>Gondelbahn_Sesselbahn</t>
  </si>
  <si>
    <t>Achse der Linienführung der Gondel- oder Sesselbahn (Achse zwischen den Seilen)</t>
  </si>
  <si>
    <t>Materialseilbahn</t>
  </si>
  <si>
    <t>Achse der Linienführung der Materialseilbahn (Achse zwischen den Seilen)</t>
  </si>
  <si>
    <t>Skilift</t>
  </si>
  <si>
    <t>Achse der Linienführung des Skilifts (Achse zwischen den Seilen)</t>
  </si>
  <si>
    <t>Faehre</t>
  </si>
  <si>
    <t>Laufseil der Fähre über das Gewässer</t>
  </si>
  <si>
    <t>Grotte_Hoehleneingang</t>
  </si>
  <si>
    <t>Eingang der Grotte oder der Höhle</t>
  </si>
  <si>
    <t>Achse</t>
  </si>
  <si>
    <t>Förderbänder, Schusslinien, Rodelbahnen, Rutschbahnen</t>
  </si>
  <si>
    <t>wichtiger_Einzelbaum</t>
  </si>
  <si>
    <t>Einzelbäume, die durch öffentliches Recht geschützt sind</t>
  </si>
  <si>
    <t>Bildstock_Kruzifix</t>
  </si>
  <si>
    <t>Nichtbegehbare Bildstöcke und Kruzifixe</t>
  </si>
  <si>
    <t>Quelle</t>
  </si>
  <si>
    <t>Austritts- oder Fassungspunkt der Quelle</t>
  </si>
  <si>
    <t>Bezugspunkt</t>
  </si>
  <si>
    <t>Historische Kilometersteine, Tafeln oder Räumliches Basisbezugssystem (RBBS) des Schweizerischen Verbands der Strassen- und Verkehrsfachleute (VSS)</t>
  </si>
  <si>
    <t>Jauchengrube_Mistlege</t>
  </si>
  <si>
    <t>Geschlossene und offene Jauchengrube resp. Mistlege</t>
  </si>
  <si>
    <t>Position des Symbols des Flächenelements gemäss Dokument «Modellierungsgrundsätze: Geodatenmodell der amtlichen Vermessung DMAV».</t>
  </si>
  <si>
    <t>Nummer des Einzelobjekts.</t>
  </si>
  <si>
    <t>EONachfuehrung</t>
  </si>
  <si>
    <t>Einzelobjekt</t>
  </si>
  <si>
    <t>WB Einzelobjektart</t>
  </si>
  <si>
    <t>Klassifizierung des Objektes «Einzelobjekt amtliche Vermessung» gemäss Wertebereichsdefinition.</t>
  </si>
  <si>
    <t>Flächenelement des Einzelobjekts.</t>
  </si>
  <si>
    <t>Tabelle 2 enthält die Aufzählung der Arten von Einzelobjekten, welche Flächenelemente enthalten dürfen.</t>
  </si>
  <si>
    <t>Linienelement des Einzelobjekts.</t>
  </si>
  <si>
    <t>Tabelle 2 enthält die Aufzählung der Arten von Einzelobjekten, welche Linienelemente enthalten dürfen.</t>
  </si>
  <si>
    <t>Punktelement des Einzelobjekts.</t>
  </si>
  <si>
    <t>Tabelle 2 enthält die Aufzählung der Arten von Einzelobjekten, welche Punktelemente enthalten dürfen.</t>
  </si>
  <si>
    <t>Name / Bezeichnung des Einzelobjekts.</t>
  </si>
  <si>
    <t>Ist «TRUE», wenn die Lage des Messpunktes zuverlässig erfasst wurde.
Messpunkte, die unzuverlässig bestimmt wurden oder aufgrund einer Berechnung resp. Konstruktion entstehen, sind als «unzuverlässig» resp. mit dem Wert «FALSE» zu erfassen.</t>
  </si>
  <si>
    <t>Ist «TRUE», wenn die Höhe des Messpunktes zuverlässig bestimmt wurde.
Ist «FALSE», wenn die Höhe des Messpunktes unzuverlässig bestimmt wurde.
Sofern eine «Hoehengeometrie» für den Messpunkt erfasst wurde, ist obligatorisch ein Wert für das Attribut «IstHoehenzuverlaessig» zu erfassen. Wenn keine «Hoehengeometrie» erfasst wurde, darf kein Wert für «IstHoehenzuverlaessig» erfasst werden.</t>
  </si>
  <si>
    <t>Ist «TRUE», wenn der Messpunkt mit besonderer Sorgfalt bestimmt wurde (z.B. Mauerecken).
Ist «FALSE», wenn der Messpunkt nur ungefähr bestimmt wurde (z.B. schmales Rinnsal).</t>
  </si>
  <si>
    <t>Medium</t>
  </si>
  <si>
    <t>Gas</t>
  </si>
  <si>
    <t>Beim vorliegenden Objekt handelt es sich um eine Gasleitung.</t>
  </si>
  <si>
    <t>Oel</t>
  </si>
  <si>
    <t>Beim vorliegenden Objekt handelt es sich um eine Ölleitung.</t>
  </si>
  <si>
    <t>Beim vorliegenden Objekt handelt es sich weder um eine Gas- noch eine Ölleitung.</t>
  </si>
  <si>
    <t>Signalart</t>
  </si>
  <si>
    <t>Signal</t>
  </si>
  <si>
    <t>Beim vorliegenden Punkt handelt es sich um ein Signal zur Markierung der Leitung.</t>
  </si>
  <si>
    <t>Tafel_Stein</t>
  </si>
  <si>
    <t>Beim vorliegenden Punkt handelt es sich um eine Tafel oder einen Stein zur Markierung der Leitung.</t>
  </si>
  <si>
    <t>Die Leitung ist durch eine weitere Kennzeichnung markiert.</t>
  </si>
  <si>
    <t>Das neue Objekt der Rohrleitungen ist erfasst, jedoch noch nicht realisiert.</t>
  </si>
  <si>
    <t>Das Objekt der Rohrleitungen ist realisiert und wiedergibt die aktuelle Situation.</t>
  </si>
  <si>
    <t>Das Objekt der Rohrleitungen ist abgebrochen oder vergangen und existiert nicht mehr.</t>
  </si>
  <si>
    <t>Sichtbar</t>
  </si>
  <si>
    <t>Erfassung von Abschnitten der Leitungsobjekte, die in der Realwelt sichtbar sind.</t>
  </si>
  <si>
    <t>IstSichtbar</t>
  </si>
  <si>
    <t>Erfassung, ob das Linienelement in der Realwelt sichtbar resp. unsichtbar ist.</t>
  </si>
  <si>
    <t>Ist «TRUE», wenn das Objekt sichtbar ist.
Ist «FALSE», wenn das Objekt unter der Erde oder nicht sichtbar ist.</t>
  </si>
  <si>
    <t>HoeheGeom</t>
  </si>
  <si>
    <t>Höhe des Punktelements.</t>
  </si>
  <si>
    <t>«HoeheGeom» darf nicht 0.000 sein.</t>
  </si>
  <si>
    <t>Ausrichtung des Punktelements.</t>
  </si>
  <si>
    <t>RLNachfuehrung</t>
  </si>
  <si>
    <t>Leitungsobjekt</t>
  </si>
  <si>
    <t>WB Medium</t>
  </si>
  <si>
    <t>Art der Rohrleitung.</t>
  </si>
  <si>
    <t>Betreiber</t>
  </si>
  <si>
    <t>Betreiber der Rohrleitung.</t>
  </si>
  <si>
    <t>Qualitätsstandard des Objektes gemäss Dokument «Modellierungsgrundsätze: Geodatenmodell der amtlichen Vermessung DMAV».</t>
  </si>
  <si>
    <t>Element mit flächenförmiger Ausdehnung (z.B. Fundamentsockel).</t>
  </si>
  <si>
    <t>Im Objekt «Leitungsobjekt» ist mindestens ein Flächen-, Linien- oder Punktelement zu erfassen.</t>
  </si>
  <si>
    <t>Element mit linienförmiger Ausdehnung (z.B. Leitungsrohr).</t>
  </si>
  <si>
    <t>Punktförmiges Objekt.</t>
  </si>
  <si>
    <t>Im Objekt «Leitungsobjekt» ist mindestens ein Flächen-, Linien- oder Punkteelement zu erfassen.</t>
  </si>
  <si>
    <t>Status des Objekts.</t>
  </si>
  <si>
    <t>Textposition zur Beschriftung des Betreibers. Definition gemäss Dokument «Modellierungsgrundsätze: Geodatenmodell der amtlichen Vermessung DMAV».</t>
  </si>
  <si>
    <t>Punktnummer oder Bezeichnung des Signales.</t>
  </si>
  <si>
    <t>WB Signalart</t>
  </si>
  <si>
    <t>Art des Signals (Tafel, Stein etc.).</t>
  </si>
  <si>
    <t>Lagekoordinaten des Signals.</t>
  </si>
  <si>
    <t>Ausrichtung des Symboles bei der Darstellung.</t>
  </si>
  <si>
    <t>Textposition zur Beschriftung des Signals. Definition gemäss Dokument «Modellierungsgrundsätze: Geodatenmodell der amtlichen Vermessung DMAV».</t>
  </si>
  <si>
    <t>Ist «TRUE», wenn die Lage des Messpunktes zuverlässig erfasst wurde.
Messpunkte, die unzuverlässig bestimmt oder aufgrund einer Berechnung resp. Konstruktion entstehen, sind als «unzuverlässig» resp. mit dem Wert «FALSE» zu erfassen.</t>
  </si>
  <si>
    <t>Ist «TRUE», wenn der Messpunkt mit besonderer Sorgfalt bestimmt wurde.
Ist «FALSE», wenn der Messpunkt nur ungefähr bestimmt wurde.</t>
  </si>
  <si>
    <t>Toleranzstufe</t>
  </si>
  <si>
    <t>TS1</t>
  </si>
  <si>
    <t>Toleranzstufe 1.</t>
  </si>
  <si>
    <t>TS2</t>
  </si>
  <si>
    <t>Toleranzstufe 2.</t>
  </si>
  <si>
    <t>TS3</t>
  </si>
  <si>
    <t>Toleranzstufe 3.</t>
  </si>
  <si>
    <t>TS4</t>
  </si>
  <si>
    <t>Toleranzstufe 4.</t>
  </si>
  <si>
    <t>TS5</t>
  </si>
  <si>
    <t>Toleranzstufe 5.</t>
  </si>
  <si>
    <t>TSNachfuehrung</t>
  </si>
  <si>
    <t>WB Toleranzstufe</t>
  </si>
  <si>
    <t>Toleranzstufe gemäss VAV-VBS.</t>
  </si>
  <si>
    <t>Dient zur Unterscheidung, ob die Daten für die Schliessung von Lücken im flächendeckenden Netz der Toleranzstufen verwendet werden.</t>
  </si>
  <si>
    <t>Ist «TRUE», wenn es sich um ein fiktives Objekt der Toleranzstufen handelt.
Ist «FALSE», wenn es sich um ein reales Objekt der Toleranzstufen handelt.</t>
  </si>
  <si>
    <t>Ortschaft</t>
  </si>
  <si>
    <t>AmtlicherOrtschaftsname</t>
  </si>
  <si>
    <t>PLZ</t>
  </si>
  <si>
    <t>PLZ4</t>
  </si>
  <si>
    <t>1000 .. 9999</t>
  </si>
  <si>
    <t>Zusatzziffer</t>
  </si>
  <si>
    <t>0 .. 99</t>
  </si>
  <si>
    <t>ImModul</t>
  </si>
  <si>
    <t>Der Gebäudeeingang gehört zu einer Baute, die in den Daten im Modul «Bodenbedeckung» erfasst ist (Kapitel 1.3).</t>
  </si>
  <si>
    <t>Der Gebäudeeingang gehört zu einer Baute, die in den Daten im Modul «Einzelobjekte» erfasst ist (Kapitel 1.3).</t>
  </si>
  <si>
    <t>Lokalisationsart</t>
  </si>
  <si>
    <t>Platz</t>
  </si>
  <si>
    <t>Eine freie Fläche, die in der Regel von Gebäuden umgeben ist.</t>
  </si>
  <si>
    <t>Strasse</t>
  </si>
  <si>
    <t>Verkehrsbauwerk, das von Fahrzeugen und/oder Personen genutzt wird, um von einem Ort zum nächsten zu gelangen.</t>
  </si>
  <si>
    <t>BenanntesGebiet</t>
  </si>
  <si>
    <t>Überbaute Flurbereiche oder Areale, in dem keine Strassen oder Plätze bezeichnet sind.</t>
  </si>
  <si>
    <t>Nummerierungsprinzip</t>
  </si>
  <si>
    <t>keineNummern</t>
  </si>
  <si>
    <t>Ausschliesslich ein Nummerierungsprinzip für Gebäudeadressen, welche in Zusammenhang mit der Lokalisationsart «BenanntesGebiet» stehen und ein ausnahmsweiser Verzicht auf die Adressierung der Gebäude erlaubt ist.</t>
  </si>
  <si>
    <t>beliebig</t>
  </si>
  <si>
    <t>Für die Gebäudeadressierung ist kein Nummerierungsprinzip festgelegt.</t>
  </si>
  <si>
    <t>aufsteigend</t>
  </si>
  <si>
    <t>Ausschliessliches Nummerierungsprinzip für Gebäudeadressen, welche in Zusammenhang mit der Lokalisationsart «Platz» stehen. Die Geometrie der Lokalisationsart «Platz» legt den Drehsinn fest, in welchem die Nummerierung «aufsteigend» erfolgt.</t>
  </si>
  <si>
    <t>ungeradelinks</t>
  </si>
  <si>
    <t>Ausschliesslich ein Nummerierungsprinzip für Gebäudeadressen, welche in Zusammenhang mit der Lokalisationsart «Strasse» stehen. Die Geometrie der Lokalisationsart «Strasse» ist gerichtet. Mit der Attribuierung «ungeradelinks» wird festgelegt, dass die linke Seite der Strasse ungerade Hausnummern enthält.</t>
  </si>
  <si>
    <t>geradelinks</t>
  </si>
  <si>
    <t>Ausschliesslich ein Nummerierungsprinzip für Gebäudeadressen, welche in Zusammenhang mit der Lokalisationsart «Strasse» stehen. Die Geometrie der Lokalisationsart «Strasse» ist gerichtet. Mit der Attribuierung «geradelinks» wird festgelegt, dass die linke Seite der Strasse gerade Hausnummern enthält.</t>
  </si>
  <si>
    <t>Sprache</t>
  </si>
  <si>
    <t>de</t>
  </si>
  <si>
    <t>Deutsch</t>
  </si>
  <si>
    <t>fr</t>
  </si>
  <si>
    <t>Französisch</t>
  </si>
  <si>
    <t>it</t>
  </si>
  <si>
    <t>Italienisch</t>
  </si>
  <si>
    <t>rm</t>
  </si>
  <si>
    <t>Rätoromanisch</t>
  </si>
  <si>
    <t>Das neue Objekt ist erfasst, jedoch noch nicht realisiert.</t>
  </si>
  <si>
    <t>Das Objekt ist realisiert und wiedergibt die aktuelle Situation.</t>
  </si>
  <si>
    <t>Gemäss Datenmodell «GeometryCHLV95_V2» aus dem Modell Repository «CHBase_Part1_GEOMETRY_V2.ili».</t>
  </si>
  <si>
    <t>Text*100</t>
  </si>
  <si>
    <t>Beschreibung der Baute.</t>
  </si>
  <si>
    <t>WB Sprache</t>
  </si>
  <si>
    <t>Sprache, in der die Beschreibung der Baute erfasst ist.</t>
  </si>
  <si>
    <t>Name der Baute.</t>
  </si>
  <si>
    <t>NameKurz</t>
  </si>
  <si>
    <t>Text*24</t>
  </si>
  <si>
    <t>Kurzer Name der Baute.</t>
  </si>
  <si>
    <t>NameAlsIndex</t>
  </si>
  <si>
    <t>Text*16</t>
  </si>
  <si>
    <t>Name der Baute als Index.</t>
  </si>
  <si>
    <t>Sprache, in der der Name der Baute erfasst ist.</t>
  </si>
  <si>
    <t>Textposition des Gebäudenamens gemäss Dokument «Modellierungsgrundsätze: Geodatenmodell der amtlichen Vermessung DMAV».</t>
  </si>
  <si>
    <t>LokalisationName</t>
  </si>
  <si>
    <t>Name der Lokalisation (z.B. Conrad-Ferdinand-Meyer-Strasse).</t>
  </si>
  <si>
    <t>Kurzbezeichnung der Lokalisation (z.B. CF Meyer Strasse).</t>
  </si>
  <si>
    <t>Name der Lokalisation für einen Index (z.B. CFMStr).</t>
  </si>
  <si>
    <t>Sprache, in der der Lokalisationsname erfasst ist.</t>
  </si>
  <si>
    <t>Textposition des Lokalisationsnamens gemäss Dokument «Modellierungsgrundsätze: Geodatenmodell der amtlichen Vermessung DMAV».</t>
  </si>
  <si>
    <t>Strassenstueck</t>
  </si>
  <si>
    <t>IstAchse</t>
  </si>
  <si>
    <t>Dient zur Unterscheidung, ob es sich bei der vorliegenden Geometrie um eine Achse handelt oder nicht (z.B. bei Strassen, welche mittig entlang einer Hoheitsgrenze verlaufen).</t>
  </si>
  <si>
    <t>Ist «TRUE», wenn es sich beim Strassenstück um eine Strassenachse handelt.
Ist «FALSE», wenn es sich beim vorliegenden Strassenstück um einen Platz oder keine Strassenachse handelt.</t>
  </si>
  <si>
    <t>DirectedLine</t>
  </si>
  <si>
    <t>Geometrie der Lokalisationen Platz oder Strassenstück.</t>
  </si>
  <si>
    <t>GANachfuehrung</t>
  </si>
  <si>
    <t>Lokalisation</t>
  </si>
  <si>
    <t>LokalisationNummer</t>
  </si>
  <si>
    <t>Nummer der Lokalisation.</t>
  </si>
  <si>
    <t>Struktur Lokalisationsname</t>
  </si>
  <si>
    <t>Offizieller Name resp. Bezeichnung der Lokalität. Der Lokalisationsname kann in mehreren Sprachen offiziell sein.</t>
  </si>
  <si>
    <t>WB Lokalisationsart</t>
  </si>
  <si>
    <t>Grundsatz der Adressierung der Lokalisation (gemäss Platz, Strasse oder benanntes Gebiet).</t>
  </si>
  <si>
    <t>WB Nummerierungsprinzip</t>
  </si>
  <si>
    <t>Regelung des Nummerierungsprinzips der Gebäudeadresse.</t>
  </si>
  <si>
    <t>Sach- und Geometriedaten der Lokalisationsarten Platz und Strasse.</t>
  </si>
  <si>
    <t>Ist im Attribut «Lokalisationsart» «Platz» oder «Strasse» erfasst, ist im Attribut «Strassenstueck» die Lokalisation zu erfassen.</t>
  </si>
  <si>
    <t>Struktur BenanntesGebiet</t>
  </si>
  <si>
    <t>Sach- und Geometriedaten der Lokalisationsart Benanntes Gebiet.</t>
  </si>
  <si>
    <t>Ist im Attribut «Lokalisationsart» «BenanntesGebiet» erfasst, ist im Attribut «BenanntesGebiet» die Lokalisation zu erfassen.</t>
  </si>
  <si>
    <t>IstOffizielleBezeichnung</t>
  </si>
  <si>
    <t>Handelt es sich um eine offizielle Lokalisation.</t>
  </si>
  <si>
    <t>Ist «TRUE», wenn die Lokalisation offiziell ist.
Ist «FALSE», wenn die Lokalisation inoffiziell ist.</t>
  </si>
  <si>
    <t>InAenderung</t>
  </si>
  <si>
    <t>Wird die Lokalisation überarbeitet.</t>
  </si>
  <si>
    <t>Ist «TRUE», wenn die Lokalisation überarbeitet wird.
Ist «FALSE», wenn die Lokalisation gültig ist.</t>
  </si>
  <si>
    <t>AttributeProvisorisch</t>
  </si>
  <si>
    <t>Sind die Attribute provisorisch erfasst.</t>
  </si>
  <si>
    <t>Lokalisationsstatus</t>
  </si>
  <si>
    <t>Gültigkeit des Objekts «Lokalisation».</t>
  </si>
  <si>
    <t>Anforderungen siehe Kapitel 5.</t>
  </si>
  <si>
    <t>ESID</t>
  </si>
  <si>
    <t>10000000 .. 90000000</t>
  </si>
  <si>
    <t>Identifikator der Lokalisation und Fremdschlüssel für den Datenaustausch mit dem Eidg. Gebäude- und Wohnungsregister (GWR).</t>
  </si>
  <si>
    <t>Gebaeudeeingang</t>
  </si>
  <si>
    <t>Hausnummer</t>
  </si>
  <si>
    <t>GebaeudeName</t>
  </si>
  <si>
    <t>Name oder offizielle Bezeichnung des Gebäudes.</t>
  </si>
  <si>
    <t>GebaeudeBeschreibung</t>
  </si>
  <si>
    <t>Beschreibung des Gebäudes.</t>
  </si>
  <si>
    <t>Gebaeudestatus</t>
  </si>
  <si>
    <t>Status des Gebäudes.</t>
  </si>
  <si>
    <t>WB ImModul</t>
  </si>
  <si>
    <t>Bezieht sich der Eingang auf ein Objekt des Moduls «Bodenbedeckung» oder «Einzelobjekte».</t>
  </si>
  <si>
    <t>Lagekoordinaten des Eingangs.</t>
  </si>
  <si>
    <t>HoeheUeberGrund</t>
  </si>
  <si>
    <t>-99 .. 99</t>
  </si>
  <si>
    <t>Höhe des Gebäudeeingangs, wenn das Gebäude am gleichen Ort auf unterschiedlicher Höhe betreten wird.</t>
  </si>
  <si>
    <t>Wird die Adresse offiziell verwendet (ja) oder handelt es sich um eine interne Adresse (nein).</t>
  </si>
  <si>
    <t>Der Gebäudeeingang resp. seine Adresse wird überarbeitet.</t>
  </si>
  <si>
    <t>Die Attribute sind provisorisch erfasst.</t>
  </si>
  <si>
    <t>EDID</t>
  </si>
  <si>
    <t>0 .. 90</t>
  </si>
  <si>
    <t>Eingangsidentifikator und Fremdschlüssel für den Datenaustausch mit dem Eidg. Gebäude- und Wohnungsregister (GWR).</t>
  </si>
  <si>
    <t>Textposition der Hausnummer gemäss Dokument «Modellierungsgrundsätze: Geodatenmodell der amtlichen Vermessung DMAV».</t>
  </si>
  <si>
    <t>MAN.</t>
  </si>
  <si>
    <t>Wert</t>
  </si>
  <si>
    <t>Dokument</t>
  </si>
  <si>
    <t>Document</t>
  </si>
  <si>
    <t>Nom</t>
  </si>
  <si>
    <t>PointsFixesMOCategorie3</t>
  </si>
  <si>
    <t>LimitesTerritorialesMO</t>
  </si>
  <si>
    <t>Immeubles</t>
  </si>
  <si>
    <t>Nomenclature</t>
  </si>
  <si>
    <t>ObjetsDivers</t>
  </si>
  <si>
    <t>Conduites</t>
  </si>
  <si>
    <t>NiveauxTolerance</t>
  </si>
  <si>
    <t>AdressesDeBatiments</t>
  </si>
  <si>
    <t>StandardQualite</t>
  </si>
  <si>
    <t>MO93</t>
  </si>
  <si>
    <t>NP</t>
  </si>
  <si>
    <t>GenreAbornement</t>
  </si>
  <si>
    <t>Borne</t>
  </si>
  <si>
    <t>Cheville</t>
  </si>
  <si>
    <t>Tuyau</t>
  </si>
  <si>
    <t>Pieu</t>
  </si>
  <si>
    <t>Croix</t>
  </si>
  <si>
    <t>RepresentationSur</t>
  </si>
  <si>
    <t>PlanDuRegistreFoncier</t>
  </si>
  <si>
    <t>PlanDeBase</t>
  </si>
  <si>
    <t>TailleCaracteres</t>
  </si>
  <si>
    <t>Petite</t>
  </si>
  <si>
    <t>Moyenne</t>
  </si>
  <si>
    <t>Grande</t>
  </si>
  <si>
    <t>PositionSymbole</t>
  </si>
  <si>
    <t>Orientation</t>
  </si>
  <si>
    <t>PositionTexte</t>
  </si>
  <si>
    <t>PointReferenceH</t>
  </si>
  <si>
    <t>PointReferenceV</t>
  </si>
  <si>
    <t>TraitIndicateur</t>
  </si>
  <si>
    <t>IdentDN</t>
  </si>
  <si>
    <t>Identification</t>
  </si>
  <si>
    <t>Description</t>
  </si>
  <si>
    <t>Perimetre</t>
  </si>
  <si>
    <t>EnVigueur</t>
  </si>
  <si>
    <t>GenreMutation</t>
  </si>
  <si>
    <t>MutationProjet</t>
  </si>
  <si>
    <t>ClotureMutationProjet</t>
  </si>
  <si>
    <t>PFP1</t>
  </si>
  <si>
    <t>Numero</t>
  </si>
  <si>
    <t>GeometrieAltitude</t>
  </si>
  <si>
    <t>PrecisionPlanimetrie</t>
  </si>
  <si>
    <t>EstFiablePlanimetrie</t>
  </si>
  <si>
    <t>PrecisionAltimetrie</t>
  </si>
  <si>
    <t>EstFiableAltimetrie</t>
  </si>
  <si>
    <t>Signe</t>
  </si>
  <si>
    <t>PFA1</t>
  </si>
  <si>
    <t>GenreProtection</t>
  </si>
  <si>
    <t>sans_protection</t>
  </si>
  <si>
    <t>regard</t>
  </si>
  <si>
    <t>recouvert</t>
  </si>
  <si>
    <t>PFP2</t>
  </si>
  <si>
    <t>Fiche</t>
  </si>
  <si>
    <t>OriSymbole</t>
  </si>
  <si>
    <t>PFA2</t>
  </si>
  <si>
    <t>GenrePFP</t>
  </si>
  <si>
    <t>PFP3</t>
  </si>
  <si>
    <t>point_fixe_auxiliaire</t>
  </si>
  <si>
    <t>FonctionPointLimite</t>
  </si>
  <si>
    <t>aucune</t>
  </si>
  <si>
    <t>point_limite</t>
  </si>
  <si>
    <t>point_limite_territoriale</t>
  </si>
  <si>
    <t>MiseAJourPFP3</t>
  </si>
  <si>
    <t>EntretienActif</t>
  </si>
  <si>
    <t>MiseAJourPFA3</t>
  </si>
  <si>
    <t>PFA3</t>
  </si>
  <si>
    <t>Validite</t>
  </si>
  <si>
    <t>provisoire</t>
  </si>
  <si>
    <t>MiseAJourLT</t>
  </si>
  <si>
    <t>ApprouveeLe</t>
  </si>
  <si>
    <t>Commune</t>
  </si>
  <si>
    <t>NumeroOFS</t>
  </si>
  <si>
    <t>Fictif</t>
  </si>
  <si>
    <t>LimiteCommune</t>
  </si>
  <si>
    <t>PartieLimiteCommuneProj</t>
  </si>
  <si>
    <t>PartieLimiteDistrict</t>
  </si>
  <si>
    <t>PartieLimiteCanton</t>
  </si>
  <si>
    <t>GenreImmeuble</t>
  </si>
  <si>
    <t>bien_fonds</t>
  </si>
  <si>
    <t>droit_distinct_permanent</t>
  </si>
  <si>
    <t>mine</t>
  </si>
  <si>
    <t>MiseAJourIM</t>
  </si>
  <si>
    <t>InscriptionRegistreFoncier</t>
  </si>
  <si>
    <t>Immeuble</t>
  </si>
  <si>
    <t>EstLitigieux</t>
  </si>
  <si>
    <t>SuperficieTotale</t>
  </si>
  <si>
    <t>BienFonds</t>
  </si>
  <si>
    <t>NumeroImmeublePartiel</t>
  </si>
  <si>
    <t>Litigieux</t>
  </si>
  <si>
    <t>Superficie</t>
  </si>
  <si>
    <t>DroitDistinctPermanent</t>
  </si>
  <si>
    <t>Mine</t>
  </si>
  <si>
    <t>PointLimite</t>
  </si>
  <si>
    <t>EstAncBorneSpeciale</t>
  </si>
  <si>
    <t>EstDefiniExactement</t>
  </si>
  <si>
    <t>ElementSurfacique</t>
  </si>
  <si>
    <t>ElementLineaire</t>
  </si>
  <si>
    <t>ElementPonctuel</t>
  </si>
  <si>
    <t>NumeroServitude</t>
  </si>
  <si>
    <t>GenreServitude</t>
  </si>
  <si>
    <t>Altitude</t>
  </si>
  <si>
    <t>EstComplete</t>
  </si>
  <si>
    <t>MiseAJourTMP</t>
  </si>
  <si>
    <t>TerritoireMouvementPermanent</t>
  </si>
  <si>
    <t>MiseAJourNC</t>
  </si>
  <si>
    <t>NomLieu</t>
  </si>
  <si>
    <t>Type</t>
  </si>
  <si>
    <t>NomLocal</t>
  </si>
  <si>
    <t>Lieudit</t>
  </si>
  <si>
    <t>GenreCouvertureSol</t>
  </si>
  <si>
    <t>batiment</t>
  </si>
  <si>
    <t>StatutObjet</t>
  </si>
  <si>
    <t>projete</t>
  </si>
  <si>
    <t>reel</t>
  </si>
  <si>
    <t>caduc</t>
  </si>
  <si>
    <t>NumeroObjet</t>
  </si>
  <si>
    <t>NomObjet</t>
  </si>
  <si>
    <t>MiseAJourCS</t>
  </si>
  <si>
    <t>CouvertureSol</t>
  </si>
  <si>
    <t>PointMesure</t>
  </si>
  <si>
    <t>GenreObjetDivers</t>
  </si>
  <si>
    <t>mur</t>
  </si>
  <si>
    <t>batiment_souterrain</t>
  </si>
  <si>
    <t>autre_corps_de_batiment</t>
  </si>
  <si>
    <t>eau_canalisee_souterraine</t>
  </si>
  <si>
    <t>escalier_important</t>
  </si>
  <si>
    <t>tunnel_passage_inferieur_galerie</t>
  </si>
  <si>
    <t>pont_passerelle</t>
  </si>
  <si>
    <t>quai</t>
  </si>
  <si>
    <t>fontaine</t>
  </si>
  <si>
    <t>reservoir</t>
  </si>
  <si>
    <t>pilier</t>
  </si>
  <si>
    <t>couvert_independant</t>
  </si>
  <si>
    <t>silo_tour_gazometre</t>
  </si>
  <si>
    <t>cheminee</t>
  </si>
  <si>
    <t>monument</t>
  </si>
  <si>
    <t>mat_antenne</t>
  </si>
  <si>
    <t>tour_panoramique</t>
  </si>
  <si>
    <t>ouvrage_de_protection_des_rives</t>
  </si>
  <si>
    <t>seuil</t>
  </si>
  <si>
    <t>paravalanche</t>
  </si>
  <si>
    <t>socle_massif</t>
  </si>
  <si>
    <t>ruine_objet_archeologique</t>
  </si>
  <si>
    <t>debarcadere</t>
  </si>
  <si>
    <t>bloc_erratique</t>
  </si>
  <si>
    <t>cordon_boise</t>
  </si>
  <si>
    <t>ru</t>
  </si>
  <si>
    <t>sentier</t>
  </si>
  <si>
    <t>ligne_aerienne_a_haute_tension</t>
  </si>
  <si>
    <t>conduite_forcee</t>
  </si>
  <si>
    <t>voie_ferree</t>
  </si>
  <si>
    <t>telepherique</t>
  </si>
  <si>
    <t>telecabine_telesiege</t>
  </si>
  <si>
    <t>telepherique_de_chantier</t>
  </si>
  <si>
    <t>skilift</t>
  </si>
  <si>
    <t>bac</t>
  </si>
  <si>
    <t>grotte_entree_de_caverne</t>
  </si>
  <si>
    <t>axe</t>
  </si>
  <si>
    <t>arbre_isole_important</t>
  </si>
  <si>
    <t>statue_crucifix</t>
  </si>
  <si>
    <t>source</t>
  </si>
  <si>
    <t>point_de_reference</t>
  </si>
  <si>
    <t>fosse_purin_tas_fumier</t>
  </si>
  <si>
    <t>MiseAJourOD</t>
  </si>
  <si>
    <t>ObjetDivers</t>
  </si>
  <si>
    <t>Matiere</t>
  </si>
  <si>
    <t>gaz</t>
  </si>
  <si>
    <t>petrole</t>
  </si>
  <si>
    <t>autre</t>
  </si>
  <si>
    <t>GenreSignal</t>
  </si>
  <si>
    <t>Visible</t>
  </si>
  <si>
    <t>EstVisible</t>
  </si>
  <si>
    <t>GeomAlt</t>
  </si>
  <si>
    <t>MiseAJourCON</t>
  </si>
  <si>
    <t>ElementConduite</t>
  </si>
  <si>
    <t>Exploitant</t>
  </si>
  <si>
    <t>NiveauTolerance</t>
  </si>
  <si>
    <t>MiseAJourNT</t>
  </si>
  <si>
    <t>Localite</t>
  </si>
  <si>
    <t>NPA</t>
  </si>
  <si>
    <t>DansModule</t>
  </si>
  <si>
    <t>GenreLocalisation</t>
  </si>
  <si>
    <t>PrincipeNumerotation</t>
  </si>
  <si>
    <t>Langue</t>
  </si>
  <si>
    <t>LieuDenomme</t>
  </si>
  <si>
    <t>DescriptionBatiment</t>
  </si>
  <si>
    <t>NomBatiment</t>
  </si>
  <si>
    <t>NomAbrege</t>
  </si>
  <si>
    <t>NomCommeIndex</t>
  </si>
  <si>
    <t>NomLocalisation</t>
  </si>
  <si>
    <t>EstAxe</t>
  </si>
  <si>
    <t>TronconRue</t>
  </si>
  <si>
    <t>MiseAJourAB</t>
  </si>
  <si>
    <t>Localisation</t>
  </si>
  <si>
    <t>NumeroLocalisation</t>
  </si>
  <si>
    <t>EstDesignationOfficielle</t>
  </si>
  <si>
    <t>EnCoursModification</t>
  </si>
  <si>
    <t>AttributsProvisoires</t>
  </si>
  <si>
    <t>StatutLocalisation</t>
  </si>
  <si>
    <t>EntreeBatiment</t>
  </si>
  <si>
    <t>NumeroMaison</t>
  </si>
  <si>
    <t>StatutBatiment</t>
  </si>
  <si>
    <t>HauteurAuDessusSol</t>
  </si>
  <si>
    <t>EstAdresseOfficielle</t>
  </si>
  <si>
    <t>Comentaire</t>
  </si>
  <si>
    <t>DMAVTYM_Alles_V1_0.ili</t>
  </si>
  <si>
    <t>DMAVTYM_Alles_V1_0</t>
  </si>
  <si>
    <t>IMPORTS</t>
  </si>
  <si>
    <t>DMAV_Bodenbedeckung_V1_0</t>
  </si>
  <si>
    <t>DMAV_DauerndeBodenverschiebungen_V1_0</t>
  </si>
  <si>
    <t>DMAV_Einzelobjekte_V1_0</t>
  </si>
  <si>
    <t>DMAV_FixpunkteAVKategorie2_V1_0</t>
  </si>
  <si>
    <t>DMAV_FixpunkteAVKategorie3_V1_0</t>
  </si>
  <si>
    <t>DMAV_FixpunkteLV_V1_0</t>
  </si>
  <si>
    <t>DMAV_Gebaeudeadressen_V1_0</t>
  </si>
  <si>
    <t>DMAV_Grundstuecke_V1_0</t>
  </si>
  <si>
    <t>DMAV_HoheitsgrenzenAV_V1_0</t>
  </si>
  <si>
    <t>DMAV_HoheitsgrenzenLV_V1_0</t>
  </si>
  <si>
    <t>DMAV_Nomenklatur_V1_0</t>
  </si>
  <si>
    <t>DMAV_PLZ_Ortschaft_V1_0</t>
  </si>
  <si>
    <t>DMAV_Rohrleitungen_V1_0</t>
  </si>
  <si>
    <t>DMAV_Toleranzstufen_V1_0</t>
  </si>
  <si>
    <t>DMAVTYM_Geometrie_V1_0.ili</t>
  </si>
  <si>
    <t>DMAVTYM_Geometrie_V1_0</t>
  </si>
  <si>
    <t>DOMAIN</t>
  </si>
  <si>
    <t>-200.000 .. 5000.000 [INTERLIS.m]</t>
  </si>
  <si>
    <t>DMAVTYM_Grafik_V1_0.ili</t>
  </si>
  <si>
    <t>DMAVTYM_Grafik_V1_0</t>
  </si>
  <si>
    <t>Units</t>
  </si>
  <si>
    <t>GeometryCHLV95_V2</t>
  </si>
  <si>
    <t>Rotation</t>
  </si>
  <si>
    <t>0.0 .. 399.9 [Units.Gon]</t>
  </si>
  <si>
    <t>DMAVTYM_Modinfo_V1_0.ili</t>
  </si>
  <si>
    <t>DMAVTYM_Modinfo_V1_0</t>
  </si>
  <si>
    <t>DMAVTYM_Qualitaet_V1_0.ili</t>
  </si>
  <si>
    <t>DMAVTYM_Qualitaet_V1_0</t>
  </si>
  <si>
    <t>Genauigkeit</t>
  </si>
  <si>
    <t>0.001 .. 7.000 [INTERLIS.m]</t>
  </si>
  <si>
    <t>Zuverlaessigkeit</t>
  </si>
  <si>
    <t>DMAVTYM_Topologie_V1_0.ili</t>
  </si>
  <si>
    <t>DMAVTYM_Topologie_V1_0</t>
  </si>
  <si>
    <t>FUNCTION</t>
  </si>
  <si>
    <t>covers</t>
  </si>
  <si>
    <t>DMAVTYM_Vermarkung_V1_0.ili</t>
  </si>
  <si>
    <t>DMAVTYM_Vermarkung_V1_0</t>
  </si>
  <si>
    <t>DMAV_FixpunkteLV_V1_0.ili</t>
  </si>
  <si>
    <t>CLASS</t>
  </si>
  <si>
    <t>x</t>
  </si>
  <si>
    <t>TEXT*12</t>
  </si>
  <si>
    <t>GeometryCHLV95_V2.Coord2</t>
  </si>
  <si>
    <t>DMAVTYM_Geometrie_V1_0.Hoehe</t>
  </si>
  <si>
    <t>DMAVTYM_Qualitaet_V1_0.Genauigkeit</t>
  </si>
  <si>
    <t>DMAVTYM_Qualitaet_V1_0.Zuverlaessigkeit</t>
  </si>
  <si>
    <t>TEXT*30</t>
  </si>
  <si>
    <t>CLASS.CONSTRAINT</t>
  </si>
  <si>
    <t>DMAV_FixpunkteAVKategorie2_V1_0.ili</t>
  </si>
  <si>
    <t>1) ID+</t>
  </si>
  <si>
    <t>DMAVTYM_Vermarkung_V1_0.Versicherungsart</t>
  </si>
  <si>
    <t>DMAVTYM_Grafik_V1_0.Rotation</t>
  </si>
  <si>
    <t>2) ID+</t>
  </si>
  <si>
    <t>DMAV_FixpunkteAVKategorie3_V1_0.ili</t>
  </si>
  <si>
    <t>TEXT*60</t>
  </si>
  <si>
    <t>SURFACE WITH (STRAIGHTS, ARCS) VERTEX GeometryCHLV95_V2.Coord2 WITHOUT OVERLAPS &gt; 0.002</t>
  </si>
  <si>
    <t>INTERLIS.XMLDateTime</t>
  </si>
  <si>
    <t>ASSOCIATION</t>
  </si>
  <si>
    <t>Entstehung_LFP3</t>
  </si>
  <si>
    <t>Entstehung</t>
  </si>
  <si>
    <t>-- {1}</t>
  </si>
  <si>
    <t>entstehender_LFP3</t>
  </si>
  <si>
    <t>-- {0..*}</t>
  </si>
  <si>
    <t>Untergang_LFP3</t>
  </si>
  <si>
    <t>Untergang</t>
  </si>
  <si>
    <t>-- {0..1}</t>
  </si>
  <si>
    <t>untergehendes_LFP3</t>
  </si>
  <si>
    <t>VIEW</t>
  </si>
  <si>
    <t>LFP3_Gueltig</t>
  </si>
  <si>
    <t>PROJECTION OF</t>
  </si>
  <si>
    <t>WHERE DEFINED(@PH1@) AND NOT(DEFINED(@PH2@))</t>
  </si>
  <si>
    <t>@PH1@: LFP3-&gt;Entstehung_x000D_
@PH2@: LFP3-&gt;Untergang</t>
  </si>
  <si>
    <t>= ALL OF</t>
  </si>
  <si>
    <t>Entstehung_HFP3</t>
  </si>
  <si>
    <t>entstehender_HFP3</t>
  </si>
  <si>
    <t>Untergang_HFP3</t>
  </si>
  <si>
    <t>untergehendes_HFP3</t>
  </si>
  <si>
    <t>HFP3_Gueltig</t>
  </si>
  <si>
    <t>@PH1@: HFP3-&gt;Entstehung_x000D_
@PH2@: HFP3-&gt;Untergang</t>
  </si>
  <si>
    <t>DMAV_HoheitsgrenzenLV_V1_0.ili</t>
  </si>
  <si>
    <t>GeometryCHLV95_V2.Line</t>
  </si>
  <si>
    <t>DMAV_HoheitsgrenzenAV_V1_0.ili</t>
  </si>
  <si>
    <t>CHAdminCodes_V2</t>
  </si>
  <si>
    <t>CHAdminCodes_V2.CHMunicipalityCode</t>
  </si>
  <si>
    <t>Entstehung_Gemeinde</t>
  </si>
  <si>
    <t>entstehende_Gemeinde</t>
  </si>
  <si>
    <t>Untergang_Gemeinde</t>
  </si>
  <si>
    <t>untergehende_Gemeinde</t>
  </si>
  <si>
    <t>Vorgaenger_Nachfolger_Gemeinde</t>
  </si>
  <si>
    <t>Vorgaenger</t>
  </si>
  <si>
    <t>Nachfolger</t>
  </si>
  <si>
    <t>Gemeinde_Gueltig</t>
  </si>
  <si>
    <t>WHERE DEFINED(@PH1@) AND DEFINED(@PH2@) AND (NOT(DEFINED(@PH3@)) OR NOT(DEFINED(@PH4@)))</t>
  </si>
  <si>
    <t>@PH1@: Gemeinde-&gt;Entstehung_x000D_
@PH2@: Gemeinde-&gt;Entstehung-&gt;GenehmigtAm_x000D_
@PH3@: Gemeinde-&gt;Untergang_x000D_
@PH4@: Gemeinde-&gt;Untergang-&gt;GenehmigtAm</t>
  </si>
  <si>
    <t>GeometryCHLV95_V2.MultiLine</t>
  </si>
  <si>
    <t>Entstehung_Gemeindegrenze</t>
  </si>
  <si>
    <t>entstehende_Gemeindegrenze</t>
  </si>
  <si>
    <t>Untergang_Gemeindegrenze</t>
  </si>
  <si>
    <t>untergehende_Gemeindegrenze</t>
  </si>
  <si>
    <t>Vorgaenger_Nachfolger_Gemeindegrenze</t>
  </si>
  <si>
    <t>Gemeindegrenze_Gueltig</t>
  </si>
  <si>
    <t>@PH1@: Gemeindegrenze-&gt;Entstehung_x000D_
@PH2@: Gemeindegrenze-&gt;Entstehung-&gt;GenehmigtAm_x000D_
@PH3@: Gemeindegrenze-&gt;Untergang_x000D_
@PH4@: Gemeindegrenze-&gt;Untergang-&gt;GenehmigtAm</t>
  </si>
  <si>
    <t>VIEW.CONSTRAINT</t>
  </si>
  <si>
    <t>GemeindeGemeindegrenze</t>
  </si>
  <si>
    <t>-- {1..*}</t>
  </si>
  <si>
    <t>ASSOCIATION.CONSTRAINT</t>
  </si>
  <si>
    <t>Entstehung_ProjGemeindegrenzabschnitt</t>
  </si>
  <si>
    <t>entstehender_ProjGemeindegrenzabschnitt</t>
  </si>
  <si>
    <t>Untergang_ProjGemeindegrenzabschnitt</t>
  </si>
  <si>
    <t>untergehender_ProjGemeindegrenzabschnitt</t>
  </si>
  <si>
    <t>GemeindeProjGemeindegrenzabschnitt</t>
  </si>
  <si>
    <t>ProjGemeindeGrenzabschnitt</t>
  </si>
  <si>
    <t>Vorgaenger_Nachfolger_ProjGemeindegrenzabschnitt</t>
  </si>
  <si>
    <t>Gemeindegrenzabschnitt_Projektiert</t>
  </si>
  <si>
    <t>@PH1@: ProjGemeindegrenzabschnitt-&gt;Entstehung_x000D_
@PH2@: ProjGemeindegrenzabschnitt-&gt;Entstehung-&gt;GenehmigtAm</t>
  </si>
  <si>
    <t>Entstehung_Bezirksgrenzabschnitt</t>
  </si>
  <si>
    <t>entstehender_Bezirksgrenzabschnitt</t>
  </si>
  <si>
    <t>Untergang_Bezirksgrenzabschnitt</t>
  </si>
  <si>
    <t>untergehender_Bezirksgrenzabschnitt</t>
  </si>
  <si>
    <t>Vorgaenger_Nachfolger_Bezirksgrenzabschnitt</t>
  </si>
  <si>
    <t>Bezirksgrenzabschnitt_Gueltig</t>
  </si>
  <si>
    <t>@PH1@: Bezirksgrenzabschnitt-&gt;Entstehung_x000D_
@PH2@: Bezirksgrenzabschnitt-&gt;Entstehung-&gt;GenehmigtAm_x000D_
@PH3@: Bezirksgrenzabschnitt-&gt;Untergang_x000D_
@PH4@: Bezirksgrenzabschnitt-&gt;Untergang-&gt;GenehmigtAm</t>
  </si>
  <si>
    <t>Entstehung_Kantonsgrenzabschnitt</t>
  </si>
  <si>
    <t>entstehender_Kantonsgrenzabschnitt</t>
  </si>
  <si>
    <t>Untergang_Kantonsgrenzabschnitt</t>
  </si>
  <si>
    <t>untergehender_Kantonsgrenzabschnitt</t>
  </si>
  <si>
    <t>Vorgaenger_Nachfolger_Kantonsgrenzabschnitt</t>
  </si>
  <si>
    <t>Kantonsgrenzabschnitt_Gueltig</t>
  </si>
  <si>
    <t>@PH1@: Kantonsgrenzabschnitt-&gt;Entstehung_x000D_
@PH2@: Kantonsgrenzabschnitt-&gt;Entstehung-&gt;GenehmigtAm_x000D_
@PH3@: Kantonsgrenzabschnitt-&gt;Untergang_x000D_
@PH4@: Kantonsgrenzabschnitt-&gt;Untergang-&gt;GenehmigtAm</t>
  </si>
  <si>
    <t>DMAV_Grundstuecke_V1_0.ili</t>
  </si>
  <si>
    <t>Entstehung_Grenzpunkt</t>
  </si>
  <si>
    <t>entstehender_Grenzpunkt</t>
  </si>
  <si>
    <t>Untergang_Grenzpunkt</t>
  </si>
  <si>
    <t>untergehender_Grenzpunkt</t>
  </si>
  <si>
    <t>Vorgaenger_Nachfolger_Grenzpunkt</t>
  </si>
  <si>
    <t>Grenzpunkt_Gueltig</t>
  </si>
  <si>
    <t>@PH1@: Grenzpunkt-&gt;Entstehung_x000D_
@PH2@: Grenzpunkt-&gt;Entstehung-&gt;Grundbucheintrag_x000D_
@PH3@: Grenzpunkt-&gt;Untergang_x000D_
@PH4@: Grenzpunkt-&gt;Untergang-&gt;Grundbucheintrag</t>
  </si>
  <si>
    <t>TEXT*14</t>
  </si>
  <si>
    <t>1 .. 999999999 [Units.m2]</t>
  </si>
  <si>
    <t>Entstehung_Grundstueck</t>
  </si>
  <si>
    <t>entstehendes_Grundstueck</t>
  </si>
  <si>
    <t>Untergang_Grundstueck</t>
  </si>
  <si>
    <t>untergehendes_Grundstueck</t>
  </si>
  <si>
    <t>Vorgaenger_Nachfolger_Grundstueck</t>
  </si>
  <si>
    <t>Grundstueck_Gueltig</t>
  </si>
  <si>
    <t>@PH1@: Grundstueck-&gt;Entstehung_x000D_
@PH2@: Grundstueck-&gt;Entstehung-&gt;Grundbucheintrag_x000D_
@PH3@: Grundstueck-&gt;Untergang_x000D_
@PH4@: Grundstueck-&gt;Untergang-&gt;Grundbucheintrag</t>
  </si>
  <si>
    <t>DMAVTYM_Qualitaet_V1_0.Qualitaetsstandard</t>
  </si>
  <si>
    <t>GrundstueckLiegenschaft</t>
  </si>
  <si>
    <t>-&lt;#&gt; {1}</t>
  </si>
  <si>
    <t>Liegenschaft_Gueltig</t>
  </si>
  <si>
    <t>@PH1@: Liegenschaft-&gt;Grundstueck-&gt;Entstehung_x000D_
@PH2@: Liegenschaft-&gt;Grundstueck-&gt;Entstehung-&gt;Grundbucheintrag_x000D_
@PH3@: Liegenschaft-&gt;Grundstueck-&gt;Untergang_x000D_
@PH4@: Liegenschaft-&gt;Grundstueck-&gt;Untergang-&gt;Grundbucheintrag</t>
  </si>
  <si>
    <t>GrundstueckSelbstaendigesDauerndesRecht</t>
  </si>
  <si>
    <t>SelbstaendigesDauerndesRecht_Gueltig</t>
  </si>
  <si>
    <t>@PH1@: SelbstaendigesDauerndesRecht-&gt;Grundstueck-&gt;Entstehung_x000D_
@PH2@: SelbstaendigesDauerndesRecht-&gt;Grundstueck-&gt;Entstehung-&gt;Grundbucheintrag_x000D_
@PH3@: SelbstaendigesDauerndesRecht-&gt;Grundstueck-&gt;Untergang_x000D_
@PH4@: SelbstaendigesDauerndesRecht-&gt;Grundstueck-&gt;Untergang-&gt;Grundbucheintrag</t>
  </si>
  <si>
    <t>GrundstueckBergwerk</t>
  </si>
  <si>
    <t>Bergwerk_Gueltig</t>
  </si>
  <si>
    <t>@PH1@: Bergwerk-&gt;Grundstueck-&gt;Entstehung_x000D_
@PH2@: Bergwerk-&gt;Grundstueck-&gt;Entstehung-&gt;Grundbucheintrag_x000D_
@PH3@: Bergwerk-&gt;Grundstueck-&gt;Untergang_x000D_
@PH4@: Bergwerk-&gt;Grundstueck-&gt;Untergang-&gt;Grundbucheintrag</t>
  </si>
  <si>
    <t>STRUCTURE</t>
  </si>
  <si>
    <t>STRUCTURE.CONSTRAINT</t>
  </si>
  <si>
    <t>TEXT*22</t>
  </si>
  <si>
    <t>DMAV_DauerndeBodenverschiebungen_V1_0.ili</t>
  </si>
  <si>
    <t>Entstehung_DauerndeBodenverschiebung</t>
  </si>
  <si>
    <t>entstehende_DauerndeBodenverschiebung</t>
  </si>
  <si>
    <t>Untergang_DauerndeBodenverschiebung</t>
  </si>
  <si>
    <t>untergehende_DauerndeBodenverschiebung</t>
  </si>
  <si>
    <t>Vorgaenger_Nachfolger_DauerndeBodenverschiebung</t>
  </si>
  <si>
    <t>DauerndeBodenverschiebung_Gueltig</t>
  </si>
  <si>
    <t>@PH1@: DauerndeBodenverschiebung-&gt;Entstehung_x000D_
@PH2@: DauerndeBodenverschiebung-&gt;Entstehung-&gt;GenehmigtAm_x000D_
@PH3@: DauerndeBodenverschiebung-&gt;Untergang_x000D_
@PH4@: DauerndeBodenverschiebung-&gt;Untergang-&gt;GenehmigtAm</t>
  </si>
  <si>
    <t>DMAV_Nomenklatur_V1_0.ili</t>
  </si>
  <si>
    <t>Entstehung_Flurname</t>
  </si>
  <si>
    <t>entstehender_Flurname</t>
  </si>
  <si>
    <t>Untergang_Flurname</t>
  </si>
  <si>
    <t>untergehendes_Flurname</t>
  </si>
  <si>
    <t>Flurname_Gueltig</t>
  </si>
  <si>
    <t>@PH1@: Flurname-&gt;Entstehung_x000D_
@PH2@: Flurname-&gt;Untergang</t>
  </si>
  <si>
    <t>Entstehung_Ortsname</t>
  </si>
  <si>
    <t>entstehender_Ortsname</t>
  </si>
  <si>
    <t>Untergang_Ortsname</t>
  </si>
  <si>
    <t>untergehendes_Ortsname</t>
  </si>
  <si>
    <t>Ortsname_Gueltig</t>
  </si>
  <si>
    <t>@PH1@: Ortsname-&gt;Entstehung_x000D_
@PH2@: Ortsname-&gt;Untergang</t>
  </si>
  <si>
    <t>Entstehung_Gelaendename</t>
  </si>
  <si>
    <t>entstehender_Gelaendename</t>
  </si>
  <si>
    <t>Untergang_Gelaendename</t>
  </si>
  <si>
    <t>untergehendes_Gelaendename</t>
  </si>
  <si>
    <t>Gelaendename_Gueltig</t>
  </si>
  <si>
    <t>@PH1@: Gelaendename-&gt;Entstehung_x000D_
@PH2@: Gelaendename-&gt;Untergang</t>
  </si>
  <si>
    <t>DMAV_Bodenbedeckung_V1_0.ili</t>
  </si>
  <si>
    <t>Gebaeude</t>
  </si>
  <si>
    <t>befestigt.Strasse_Weg</t>
  </si>
  <si>
    <t>befestigt.Trottoir</t>
  </si>
  <si>
    <t>befestigt.Verkehrsinsel</t>
  </si>
  <si>
    <t>befestigt.Bahn</t>
  </si>
  <si>
    <t>befestigt.Flugplatz</t>
  </si>
  <si>
    <t>befestigt.Wasserbecken</t>
  </si>
  <si>
    <t>befestigt.uebrige_befestigte</t>
  </si>
  <si>
    <t>humusiert.Acker_Wiese_Weide</t>
  </si>
  <si>
    <t>humusiert.Intensivkultur.Reben</t>
  </si>
  <si>
    <t>humusiert.Intensivkultur.uebrige_Intensivkultur</t>
  </si>
  <si>
    <t>humusiert.Gartenanlage</t>
  </si>
  <si>
    <t>humusiert.Hoch_Flachmoor</t>
  </si>
  <si>
    <t>humusiert.uebrige_humusierte</t>
  </si>
  <si>
    <t>Gewaesser.stehendes_Gewaesser</t>
  </si>
  <si>
    <t>Gewaesser.fliessendes_Gewaesser</t>
  </si>
  <si>
    <t>Gewaesser.Schilfguertel</t>
  </si>
  <si>
    <t>bestockt.geschlossener_Wald</t>
  </si>
  <si>
    <t>bestockt.Wytweide.Wytweide_dicht</t>
  </si>
  <si>
    <t>bestockt.Wytweide.Wytweide_offen</t>
  </si>
  <si>
    <t>bestockt.uebrige_bestockte</t>
  </si>
  <si>
    <t>vegetationslos.Fels</t>
  </si>
  <si>
    <t>vegetationslos.Gletscher_Firn</t>
  </si>
  <si>
    <t>vegetationslos.Geroell_Sand</t>
  </si>
  <si>
    <t>vegetationslos.Abbau_Deponie</t>
  </si>
  <si>
    <t>vegetationslos.uebrige_vegetationslose</t>
  </si>
  <si>
    <t>DMAVTYM_Modinfo_V1_0.Objektstatus</t>
  </si>
  <si>
    <t>Entstehung_Bodenbedeckung</t>
  </si>
  <si>
    <t>entstehende_BoFlaeche</t>
  </si>
  <si>
    <t>Untergang_Bodenbedeckung</t>
  </si>
  <si>
    <t>untergehende_BoFlaeche</t>
  </si>
  <si>
    <t>Vorgaenger_Nachfolger_Bodenbedeckung</t>
  </si>
  <si>
    <t>Bodenbedeckung_Gueltig</t>
  </si>
  <si>
    <t>Entstehung_Messpunkt</t>
  </si>
  <si>
    <t>entstehender_Messpunkt</t>
  </si>
  <si>
    <t>DMAV_Einzelobjekte_V1_0.ili</t>
  </si>
  <si>
    <t>Entstehung_Einzelobjekt</t>
  </si>
  <si>
    <t>entstehendes_Einzelobjekt</t>
  </si>
  <si>
    <t>Untergang_Einzelobjekt</t>
  </si>
  <si>
    <t>untergehendes_Einzelobjekt</t>
  </si>
  <si>
    <t>Vorgaenger_Nachfolger_Einzelobjekt</t>
  </si>
  <si>
    <t>Einzelobjekt_Gueltig</t>
  </si>
  <si>
    <t>@PH1@: Einzelobjekt-&gt;Entstehung_x000D_
@PH2@: Einzelobjekt-&gt;Untergang</t>
  </si>
  <si>
    <t>DMAV_Rohrleitungen_V1_0.ili</t>
  </si>
  <si>
    <t>Entstehung_Leitungsobjekt</t>
  </si>
  <si>
    <t>entstehendes_Leitungsobjekt</t>
  </si>
  <si>
    <t>Untergang_Leitungsobjekt</t>
  </si>
  <si>
    <t>untergehendes_Leitungsobjekt</t>
  </si>
  <si>
    <t>Vorgaenger_Nachfolger_Leitungsobjekt</t>
  </si>
  <si>
    <t>Leitungsobjekt_Gueltig</t>
  </si>
  <si>
    <t>@PH1@: Leitungsobjekt-&gt;Entstehung_x000D_
@PH2@: Leitungsobjekt-&gt;Untergang</t>
  </si>
  <si>
    <t>Entstehung_Signal</t>
  </si>
  <si>
    <t>entstehendes_Signal</t>
  </si>
  <si>
    <t>Untergang_Signal</t>
  </si>
  <si>
    <t>untergehendes_Signal</t>
  </si>
  <si>
    <t>Vorgaenger_Nachfolger_Signal</t>
  </si>
  <si>
    <t>Signal_Gueltig</t>
  </si>
  <si>
    <t>@PH1@: Signal-&gt;Entstehung_x000D_
@PH2@: Signal-&gt;Untergang</t>
  </si>
  <si>
    <t>DMAV_Toleranzstufen_V1_0.ili</t>
  </si>
  <si>
    <t>Entstehung_Toleranzstufe</t>
  </si>
  <si>
    <t>entstehende_Toleranzstufe</t>
  </si>
  <si>
    <t>Untergang_Toleranzstufe</t>
  </si>
  <si>
    <t>untergehendes_Toleranzstufe</t>
  </si>
  <si>
    <t>Toleranzstufe_Gueltig</t>
  </si>
  <si>
    <t>TS~Toleranzstufe</t>
  </si>
  <si>
    <t>@PH1@: TS-&gt;Entstehung_x000D_
@PH2@: TS-&gt;Untergang</t>
  </si>
  <si>
    <t>TS</t>
  </si>
  <si>
    <t>DMAV_PLZ_Ortschaft_V1_0.ili</t>
  </si>
  <si>
    <t>PLZ_Ortschaft</t>
  </si>
  <si>
    <t>GeometryCHLV95_V2.MultiSurface</t>
  </si>
  <si>
    <t>TEXT*40</t>
  </si>
  <si>
    <t>OrtschaftPLZ</t>
  </si>
  <si>
    <t>DMAV_Gebaeudeadressen_V1_0.ili</t>
  </si>
  <si>
    <t>Lokalisationsname</t>
  </si>
  <si>
    <t>TEXT*24</t>
  </si>
  <si>
    <t>TEXT*16</t>
  </si>
  <si>
    <t>GeometryCHLV95_V2.DirectedLine</t>
  </si>
  <si>
    <t>Entstehung_Lokalisation</t>
  </si>
  <si>
    <t>entstehende_Lokalisation</t>
  </si>
  <si>
    <t>Untergang_Lokalisation</t>
  </si>
  <si>
    <t>untergehende_Lokalisation</t>
  </si>
  <si>
    <t>Vorgaenger_Nachfolger_Lokalisation</t>
  </si>
  <si>
    <t>Lokalisation_Gueltig</t>
  </si>
  <si>
    <t>@PH1@: Lokalisation-&gt;Entstehung_x000D_
@PH2@: Lokalisation-&gt;Untergang</t>
  </si>
  <si>
    <t>Gebaeudename</t>
  </si>
  <si>
    <t>Gebaeudebeschreibung</t>
  </si>
  <si>
    <t>TEXT*100</t>
  </si>
  <si>
    <t>IstOffizielleGebaeudeadresse</t>
  </si>
  <si>
    <t>-99 .. 99 [INTERLIS.m]</t>
  </si>
  <si>
    <t>(Bodenbedeckung, Einzelobjekte)</t>
  </si>
  <si>
    <t>Entstehung_Gebaeudeeingang</t>
  </si>
  <si>
    <t>entstehender_Gebaeudeeingang</t>
  </si>
  <si>
    <t>Untergang_Gebaeudeeingang</t>
  </si>
  <si>
    <t>untergehender_Gebaeudeeingang</t>
  </si>
  <si>
    <t>Vorgaenger_Nachfolger_Gebaeudeeingang</t>
  </si>
  <si>
    <t>Gebaeudeeingang_Gueltig</t>
  </si>
  <si>
    <t>@PH1@: Gebaeudeeingang-&gt;Entstehung_x000D_
@PH2@: Gebaeudeeingang-&gt;Untergang</t>
  </si>
  <si>
    <t>LokalisationGebaeudeeingang</t>
  </si>
  <si>
    <t>-&lt;&gt; {0..1}</t>
  </si>
  <si>
    <t>DMAV Modelldokumentation (Objektkatalog)</t>
  </si>
  <si>
    <t>Werte</t>
  </si>
  <si>
    <t>HALIGNMENT</t>
  </si>
  <si>
    <t>VALIGNMENT</t>
  </si>
  <si>
    <t>GeometryCHLV95_V2.LineWithoutArcs</t>
  </si>
  <si>
    <t>Nr</t>
  </si>
  <si>
    <t>Genere_crocetta</t>
  </si>
  <si>
    <t>Genere</t>
  </si>
  <si>
    <t>Crocetta_reticolo</t>
  </si>
  <si>
    <t>Margine_del_piano</t>
  </si>
  <si>
    <t>Genre_croix</t>
  </si>
  <si>
    <t>Genre</t>
  </si>
  <si>
    <t>Croix_filet</t>
  </si>
  <si>
    <t>Bords_de_plan</t>
  </si>
  <si>
    <t>Kreuzart</t>
  </si>
  <si>
    <t>Art</t>
  </si>
  <si>
    <t>Netzkreuz</t>
  </si>
  <si>
    <t>Planrahmen</t>
  </si>
  <si>
    <t>A</t>
  </si>
  <si>
    <t>Rotazione</t>
  </si>
  <si>
    <t>Ori</t>
  </si>
  <si>
    <t>CoordP</t>
  </si>
  <si>
    <t>Pos</t>
  </si>
  <si>
    <t>LKoord</t>
  </si>
  <si>
    <t>ID+</t>
  </si>
  <si>
    <t>relazione 1-mc</t>
  </si>
  <si>
    <t>-&gt; Layout_del_piano</t>
  </si>
  <si>
    <t>Crocetta_reticolo_di</t>
  </si>
  <si>
    <t>relation 1-mc</t>
  </si>
  <si>
    <t>-&gt; Bord_de_plan</t>
  </si>
  <si>
    <t>Croix_filet_de</t>
  </si>
  <si>
    <t>Beziehung 1-mc</t>
  </si>
  <si>
    <t>-&gt; PlanLayout</t>
  </si>
  <si>
    <t>Netzkreuz_von</t>
  </si>
  <si>
    <t>Genere_simbolo</t>
  </si>
  <si>
    <t>SimboloLayout_del_piano</t>
  </si>
  <si>
    <t>Genre_symbole</t>
  </si>
  <si>
    <t>SymboleBord_de_plan</t>
  </si>
  <si>
    <t>Symbolart</t>
  </si>
  <si>
    <t>PlanLayoutSymbol</t>
  </si>
  <si>
    <t>SimbLayout_del_piano_di</t>
  </si>
  <si>
    <t>SymboleBord_de_plan_de</t>
  </si>
  <si>
    <t>PlanLayoutSymbol_von</t>
  </si>
  <si>
    <t>Scelta_rappresentazione</t>
  </si>
  <si>
    <t>Superficie_disegno</t>
  </si>
  <si>
    <t>Choix_representation</t>
  </si>
  <si>
    <t>Surface_representation</t>
  </si>
  <si>
    <t>Auswahlart</t>
  </si>
  <si>
    <t>Darstellungsflaeche</t>
  </si>
  <si>
    <t>SURFACE WITH (STRAIGHTS, ARCS) VERTEX CoordP WITHOUT OVERLAPS &gt; 0.050</t>
  </si>
  <si>
    <t>Geometria</t>
  </si>
  <si>
    <t>SURFACE WITH (STRAIGHTS, ARCS) VERTEX LKoord WITHOUT OVERLAPS &gt; 0.050</t>
  </si>
  <si>
    <t>Superficie_disegno_di</t>
  </si>
  <si>
    <t>Surface_representation_de</t>
  </si>
  <si>
    <t>Darstellungsflaeche_von</t>
  </si>
  <si>
    <t>POLYLINE WITH (STRAIGHTS) VERTEX CoordP</t>
  </si>
  <si>
    <t>Linea_coordinate</t>
  </si>
  <si>
    <t>Ligne_coordonnees</t>
  </si>
  <si>
    <t>POLYLINE WITH (STRAIGHTS) VERTEX LKoord</t>
  </si>
  <si>
    <t>KoordinatenLinie</t>
  </si>
  <si>
    <t>Linea_coordinate_di</t>
  </si>
  <si>
    <t>Ligne_coordonnees_de</t>
  </si>
  <si>
    <t>KoordinatenLinie_von</t>
  </si>
  <si>
    <t>Genere_linea</t>
  </si>
  <si>
    <t>Elemento_lineare</t>
  </si>
  <si>
    <t>Type_ligne</t>
  </si>
  <si>
    <t>Element_lineaire</t>
  </si>
  <si>
    <t>Linientyp</t>
  </si>
  <si>
    <t>Linienobjekt</t>
  </si>
  <si>
    <t>POLYLINE WITH (STRAIGHTS, ARCS) VERTEX CoordP</t>
  </si>
  <si>
    <t>POLYLINE WITH (STRAIGHTS, ARCS) VERTEX LKoord</t>
  </si>
  <si>
    <t>Elemento_lineare_di</t>
  </si>
  <si>
    <t>Element_lineaire_de</t>
  </si>
  <si>
    <t>Linienobjekt_von</t>
  </si>
  <si>
    <t>medio</t>
  </si>
  <si>
    <t>DimensioneCarattere</t>
  </si>
  <si>
    <t>Dimensione</t>
  </si>
  <si>
    <t>PosIndicazioneCoordinate</t>
  </si>
  <si>
    <t>moyenne</t>
  </si>
  <si>
    <t>GrandeurEcriture</t>
  </si>
  <si>
    <t>Grandeur</t>
  </si>
  <si>
    <t>PosIndication_coord</t>
  </si>
  <si>
    <t>mittel</t>
  </si>
  <si>
    <t>Groesse</t>
  </si>
  <si>
    <t>KoordinatenanschriftPos</t>
  </si>
  <si>
    <t>Half</t>
  </si>
  <si>
    <t>VAli</t>
  </si>
  <si>
    <t>Center</t>
  </si>
  <si>
    <t>HAli</t>
  </si>
  <si>
    <t>K</t>
  </si>
  <si>
    <t>relazione 1-m</t>
  </si>
  <si>
    <t>-&gt; Indicazione_coordinate</t>
  </si>
  <si>
    <t>PosIndicazione_coord_di</t>
  </si>
  <si>
    <t>-&gt; Indication_coordonnees</t>
  </si>
  <si>
    <t>PosIndication_coord_de</t>
  </si>
  <si>
    <t>-&gt; Koordinatenanschrift</t>
  </si>
  <si>
    <t>KoordinatenanschriftPos_von</t>
  </si>
  <si>
    <t>Descrizione</t>
  </si>
  <si>
    <t>Indicazione_coordinate</t>
  </si>
  <si>
    <t>Indication_coordonnees</t>
  </si>
  <si>
    <t>Beschriftung</t>
  </si>
  <si>
    <t>Koordinatenanschrift</t>
  </si>
  <si>
    <t>Indicazione_coord_di</t>
  </si>
  <si>
    <t>Indication_coordonnees_de</t>
  </si>
  <si>
    <t>Koordinatenanschrift_von</t>
  </si>
  <si>
    <t>PosTesto_del_piano</t>
  </si>
  <si>
    <t>PosDescription_plan</t>
  </si>
  <si>
    <t>PlanbeschriftungPos</t>
  </si>
  <si>
    <t>-&gt; Testo_del_piano</t>
  </si>
  <si>
    <t>PosTesto_del_piano_di</t>
  </si>
  <si>
    <t>-&gt; Description_plan</t>
  </si>
  <si>
    <t>PosDescription_plan_de</t>
  </si>
  <si>
    <t>-&gt; Planbeschriftung</t>
  </si>
  <si>
    <t>PlanbeschriftungPos_von</t>
  </si>
  <si>
    <t>Genere_testo</t>
  </si>
  <si>
    <t>Testo_del_piano</t>
  </si>
  <si>
    <t>Genre_description</t>
  </si>
  <si>
    <t>Description_plan</t>
  </si>
  <si>
    <t>Beschriftungsart</t>
  </si>
  <si>
    <t>Planbeschriftung</t>
  </si>
  <si>
    <t>Testo</t>
  </si>
  <si>
    <t>Testo_del_piano_di</t>
  </si>
  <si>
    <t>Origine</t>
  </si>
  <si>
    <t>Planbeschriftung_von</t>
  </si>
  <si>
    <t>[fornito] [da generare]</t>
  </si>
  <si>
    <t>Con_reticolo_coord</t>
  </si>
  <si>
    <t>Layout_del_piano</t>
  </si>
  <si>
    <t>[livre avec] [a generer]</t>
  </si>
  <si>
    <t>Avec_reseau_coord</t>
  </si>
  <si>
    <t>Bord_de_plan</t>
  </si>
  <si>
    <t>[mitgeliefert] [zu generieren]</t>
  </si>
  <si>
    <t>Mit_Koordinatennetz</t>
  </si>
  <si>
    <t>PlanLayout</t>
  </si>
  <si>
    <t>Origine_piano_sinottico</t>
  </si>
  <si>
    <t>Origine_plan_synoptique</t>
  </si>
  <si>
    <t>UebersichtPlannullpunkt</t>
  </si>
  <si>
    <t>Tipo_scala</t>
  </si>
  <si>
    <t>Scala_piano_sinottico</t>
  </si>
  <si>
    <t>Type_echelle</t>
  </si>
  <si>
    <t>Nombre_echelle_plan_synoptique</t>
  </si>
  <si>
    <t>Massstabstyp</t>
  </si>
  <si>
    <t>UebersichtMassstabszahl</t>
  </si>
  <si>
    <t>Azimut 100 = E</t>
  </si>
  <si>
    <t>E_Azimut</t>
  </si>
  <si>
    <t>Azimut 100 est E</t>
  </si>
  <si>
    <t>Azimut 100 ist E</t>
  </si>
  <si>
    <t>Origine_piano</t>
  </si>
  <si>
    <t>Origine_plan</t>
  </si>
  <si>
    <t>Plannullpunkt</t>
  </si>
  <si>
    <t>Scala</t>
  </si>
  <si>
    <t>Nombre_echelle</t>
  </si>
  <si>
    <t>Massstabszahl</t>
  </si>
  <si>
    <t>DATE</t>
  </si>
  <si>
    <t>Data_aggiornamento</t>
  </si>
  <si>
    <t>Date_MAJ</t>
  </si>
  <si>
    <t>Nachfuehrungsdatum</t>
  </si>
  <si>
    <t>Nome_geometra_revisore</t>
  </si>
  <si>
    <t>Nom_geometre_conservateur</t>
  </si>
  <si>
    <t>NachfuehrungsGeometername</t>
  </si>
  <si>
    <t>Data_allestimento</t>
  </si>
  <si>
    <t>Date_etablissement</t>
  </si>
  <si>
    <t>Erstellungsdatum</t>
  </si>
  <si>
    <t>Nome_geometra</t>
  </si>
  <si>
    <t>Nom_geometre</t>
  </si>
  <si>
    <t>Geometername</t>
  </si>
  <si>
    <t>Nome_comune</t>
  </si>
  <si>
    <t>Nom_commune</t>
  </si>
  <si>
    <t>Gemeindename</t>
  </si>
  <si>
    <t>Numero_del_piano</t>
  </si>
  <si>
    <t>Numero_du_plan</t>
  </si>
  <si>
    <t>Plannummer</t>
  </si>
  <si>
    <t>definizione del layout del piano impiegato</t>
  </si>
  <si>
    <t>TEXT*20</t>
  </si>
  <si>
    <t>Tipo_layout</t>
  </si>
  <si>
    <t>definition du type de bord de plan</t>
  </si>
  <si>
    <t>Type_bord_de_plan</t>
  </si>
  <si>
    <t>Definition des verwendeten Planspiegels</t>
  </si>
  <si>
    <t>Layouttyp</t>
  </si>
  <si>
    <t>TEXT*32</t>
  </si>
  <si>
    <t>Identificatore</t>
  </si>
  <si>
    <t>relazione 1-m con Area_di_numerazione</t>
  </si>
  <si>
    <t>IdentAN</t>
  </si>
  <si>
    <t>relation 1-m avec Domaine_numerotation</t>
  </si>
  <si>
    <t>Beziehung 1-m zu Nummerierungsbereich</t>
  </si>
  <si>
    <t>Nessun oggetto nella categoria altro, unicamente per le estensioni</t>
  </si>
  <si>
    <t>altro</t>
  </si>
  <si>
    <t>Pas d'objet dans la categorie autre, uniquement pour extensions</t>
  </si>
  <si>
    <t>Keine Objekte in der Kategorie weitere, nur fuer Erweiterungen</t>
  </si>
  <si>
    <t>D</t>
  </si>
  <si>
    <t>segno_reticolo</t>
  </si>
  <si>
    <t>marque_filet</t>
  </si>
  <si>
    <t>Netzmarkierung</t>
  </si>
  <si>
    <t>crocetta_reticolo</t>
  </si>
  <si>
    <t>croix_filet</t>
  </si>
  <si>
    <t>crocetta_coord</t>
  </si>
  <si>
    <t>croix_coord</t>
  </si>
  <si>
    <t>Koord_Kreuz</t>
  </si>
  <si>
    <t>freccia_nord</t>
  </si>
  <si>
    <t>flecheNord</t>
  </si>
  <si>
    <t>Nordpfeil</t>
  </si>
  <si>
    <t>standard</t>
  </si>
  <si>
    <t>noUFS</t>
  </si>
  <si>
    <t>noOFS</t>
  </si>
  <si>
    <t>BFSNr</t>
  </si>
  <si>
    <t>no_CN</t>
  </si>
  <si>
    <t>LK_Nr</t>
  </si>
  <si>
    <t>direzione_strada</t>
  </si>
  <si>
    <t>direction_route</t>
  </si>
  <si>
    <t>Strassenrichtung</t>
  </si>
  <si>
    <t>piani contigui, comune, distretto, cantone o nazione nel piano sinottico</t>
  </si>
  <si>
    <t>vicini_piano_sinottico</t>
  </si>
  <si>
    <t>plans voisins, commune, district, canton ou pays</t>
  </si>
  <si>
    <t>plan_synoptique</t>
  </si>
  <si>
    <t>Nachbarplaene, Gemeinde, Bezirk, Kanton oder Land im Uebersichtsfenster</t>
  </si>
  <si>
    <t>UebersichtNachbarn</t>
  </si>
  <si>
    <t>piani contigui nella situazione</t>
  </si>
  <si>
    <t>piano_contiguo</t>
  </si>
  <si>
    <t>plans voisins en situation</t>
  </si>
  <si>
    <t>plan_voisin</t>
  </si>
  <si>
    <t>Nachbarplaene in der Situation</t>
  </si>
  <si>
    <t>Nachbarplan</t>
  </si>
  <si>
    <t>comune, distretto, cantone o nazione</t>
  </si>
  <si>
    <t>vicini</t>
  </si>
  <si>
    <t>commune, district, canton ou pays</t>
  </si>
  <si>
    <t>voisins</t>
  </si>
  <si>
    <t>Gemeinde, Bezirk, Kanton oder Land</t>
  </si>
  <si>
    <t>Nachbarn</t>
  </si>
  <si>
    <t>[1 .. 1000000]</t>
  </si>
  <si>
    <t>TipoLingua</t>
  </si>
  <si>
    <t>Lingua</t>
  </si>
  <si>
    <t>Descrizione_edificio</t>
  </si>
  <si>
    <t>Indirizzi_degli_edifici</t>
  </si>
  <si>
    <t>TypeLangue</t>
  </si>
  <si>
    <t>Description_batiment</t>
  </si>
  <si>
    <t>Adresses_des_batiments</t>
  </si>
  <si>
    <t>Sprachtyp</t>
  </si>
  <si>
    <t>Texte</t>
  </si>
  <si>
    <t>Text</t>
  </si>
  <si>
    <t>-&gt; Entrata_edificio</t>
  </si>
  <si>
    <t>Descrizione_edificio_di</t>
  </si>
  <si>
    <t>-&gt; Entree_batiment</t>
  </si>
  <si>
    <t>Description_batiment_de</t>
  </si>
  <si>
    <t>-&gt; Gebaeudeeingang</t>
  </si>
  <si>
    <t>GebaeudeBeschreibung_von</t>
  </si>
  <si>
    <t>Linea_ausiliaria</t>
  </si>
  <si>
    <t>PosNome_Edificio</t>
  </si>
  <si>
    <t>Ligne_auxiliaire</t>
  </si>
  <si>
    <t>PosNom_batiment</t>
  </si>
  <si>
    <t>Hilfslinie</t>
  </si>
  <si>
    <t>GebaeudeNamePos</t>
  </si>
  <si>
    <t>tratto di collegamento</t>
  </si>
  <si>
    <t>Trait de rappel</t>
  </si>
  <si>
    <t>-&gt; Nome_edificio</t>
  </si>
  <si>
    <t>PosNome_Edificio_di</t>
  </si>
  <si>
    <t>relation 1-m</t>
  </si>
  <si>
    <t>-&gt; Nom_batiment</t>
  </si>
  <si>
    <t>PosNom_batiment_de</t>
  </si>
  <si>
    <t>Beziehung 1-m</t>
  </si>
  <si>
    <t>-&gt; GebaeudeName</t>
  </si>
  <si>
    <t>GebaeudeNamePos_von</t>
  </si>
  <si>
    <t>Nome_edificio</t>
  </si>
  <si>
    <t>Nom_batiment</t>
  </si>
  <si>
    <t>Testo_indicizzato</t>
  </si>
  <si>
    <t>Texte_index</t>
  </si>
  <si>
    <t>IndexText</t>
  </si>
  <si>
    <t>Testo_abbreviato</t>
  </si>
  <si>
    <t>Texte_abrege</t>
  </si>
  <si>
    <t>KurzText</t>
  </si>
  <si>
    <t>Nome_edificio_di</t>
  </si>
  <si>
    <t>Nom_batiment_de</t>
  </si>
  <si>
    <t>GebaeudeName_von</t>
  </si>
  <si>
    <t>PosNumero_casa</t>
  </si>
  <si>
    <t>PosNumero_maison</t>
  </si>
  <si>
    <t>HausnummerPos</t>
  </si>
  <si>
    <t>relazione 1-mc;</t>
  </si>
  <si>
    <t>PosNumero_casa_di</t>
  </si>
  <si>
    <t>PosNumero_batiment_de</t>
  </si>
  <si>
    <t>Beziehung 1-mc;</t>
  </si>
  <si>
    <t>HausnummerPos_von</t>
  </si>
  <si>
    <t>[0..99]</t>
  </si>
  <si>
    <t>REA_EDID</t>
  </si>
  <si>
    <t>Entrata_edificio</t>
  </si>
  <si>
    <t>RegBL_EDID</t>
  </si>
  <si>
    <t>Entree_batiment</t>
  </si>
  <si>
    <t>GWR_EDID</t>
  </si>
  <si>
    <t>[1..999999999]</t>
  </si>
  <si>
    <t>REA_EGID</t>
  </si>
  <si>
    <t>RegBL_EGID</t>
  </si>
  <si>
    <t>GWR_EGID</t>
  </si>
  <si>
    <t>Identificatore di Edificio del REA, quando disponibile, vedi commento cap. 3.18.2</t>
  </si>
  <si>
    <t>Eidg. Gebäude-Identifikator wenn verfügbar, siehe Erklärung Kapitel 3.18.2</t>
  </si>
  <si>
    <t>(CS, OS)</t>
  </si>
  <si>
    <t>In_edificio</t>
  </si>
  <si>
    <t>(CS, OD)</t>
  </si>
  <si>
    <t>Dans_batiment</t>
  </si>
  <si>
    <t>(BB, EO)</t>
  </si>
  <si>
    <t>Im_Gebaeude</t>
  </si>
  <si>
    <t>Numero_casa</t>
  </si>
  <si>
    <t>Numero_maison</t>
  </si>
  <si>
    <t>[-99..99]</t>
  </si>
  <si>
    <t>Quota</t>
  </si>
  <si>
    <t>[-99 .. 99]</t>
  </si>
  <si>
    <t>Niveau</t>
  </si>
  <si>
    <t>HoehenLage</t>
  </si>
  <si>
    <t>Posizione interna di CS.Edificio, elementi OS (ed. sotterraneo, etc)</t>
  </si>
  <si>
    <t>Pos a l'int. de CS.Batiment, elements OD (bat souterrain, etc)</t>
  </si>
  <si>
    <t>Lage innerhalb BB.Gebaeude, EO-Elemente (unterirdisches_Gebaeude usw.)</t>
  </si>
  <si>
    <t>Lage</t>
  </si>
  <si>
    <t>(si,no)</t>
  </si>
  <si>
    <t>Designazione_ufficiale</t>
  </si>
  <si>
    <t>(oui, non)</t>
  </si>
  <si>
    <t>Est_designation_officielle</t>
  </si>
  <si>
    <t>(ja, nein)</t>
  </si>
  <si>
    <t>Attributi_provvisori</t>
  </si>
  <si>
    <t>Attributs_provisoires</t>
  </si>
  <si>
    <t>Modifiche_in_corso</t>
  </si>
  <si>
    <t>En_cours_modification</t>
  </si>
  <si>
    <t>Stato_IE</t>
  </si>
  <si>
    <t>Validita</t>
  </si>
  <si>
    <t>Statut_mise_a_jour_AB</t>
  </si>
  <si>
    <t>Status_GA</t>
  </si>
  <si>
    <t>Status</t>
  </si>
  <si>
    <t>relazione c-mc</t>
  </si>
  <si>
    <t>relation c-mc</t>
  </si>
  <si>
    <t>Beziehung c-mc</t>
  </si>
  <si>
    <t>-&gt; Localizzazione</t>
  </si>
  <si>
    <t>Entrata_edificio_di</t>
  </si>
  <si>
    <t>-&gt; Localisation</t>
  </si>
  <si>
    <t>Entree_batiment_de</t>
  </si>
  <si>
    <t>-&gt; Lokalisation</t>
  </si>
  <si>
    <t>Gebaeudeeingang_von</t>
  </si>
  <si>
    <t>-&gt; Tenuta_a_giornoEdifici</t>
  </si>
  <si>
    <t>-&gt; Mise_a_jourBAT</t>
  </si>
  <si>
    <t>-&gt; GEBNachfuehrung</t>
  </si>
  <si>
    <t>Asse</t>
  </si>
  <si>
    <t>Tronco_di_strada</t>
  </si>
  <si>
    <t>Est_axe</t>
  </si>
  <si>
    <t>Troncon_rue</t>
  </si>
  <si>
    <t>[1..999]</t>
  </si>
  <si>
    <t>Ordine</t>
  </si>
  <si>
    <t>[1 .. 999]</t>
  </si>
  <si>
    <t>Ordre</t>
  </si>
  <si>
    <t>Ordnung</t>
  </si>
  <si>
    <t>Punto_partenza</t>
  </si>
  <si>
    <t>Point_depart</t>
  </si>
  <si>
    <t>Anfangspunkt</t>
  </si>
  <si>
    <t>Tronco_di_strada_di</t>
  </si>
  <si>
    <t>Troncon_rue_de</t>
  </si>
  <si>
    <t>Strassenstueck_von</t>
  </si>
  <si>
    <t>Zona_denominata</t>
  </si>
  <si>
    <t>Lieu_denomme</t>
  </si>
  <si>
    <t>SURFACE WITH (STRAIGHTS, ARCS) VERTEX CoordP WITHOUT OVERLAPS &gt; 0.500</t>
  </si>
  <si>
    <t>SURFACE WITH (STRAIGHTS, ARCS) VERTEX LKoord WITHOUT OVERLAPS &gt; 0.500</t>
  </si>
  <si>
    <t>Flaeche</t>
  </si>
  <si>
    <t>Zona_denominata_di</t>
  </si>
  <si>
    <t>Lieu_denomme_de</t>
  </si>
  <si>
    <t>BenanntesGebiet_von</t>
  </si>
  <si>
    <t>PosNome_localizzazione</t>
  </si>
  <si>
    <t>PosNom_localisation</t>
  </si>
  <si>
    <t>LokalisationsNamePos</t>
  </si>
  <si>
    <t>ultimo carattere</t>
  </si>
  <si>
    <t>[1 .. 60]</t>
  </si>
  <si>
    <t>Indice_finale</t>
  </si>
  <si>
    <t>dernier caractere</t>
  </si>
  <si>
    <t>Indice_fin</t>
  </si>
  <si>
    <t>letztes Zeichen</t>
  </si>
  <si>
    <t>EndIndex</t>
  </si>
  <si>
    <t>Indice_iniziale</t>
  </si>
  <si>
    <t>Indice_deb</t>
  </si>
  <si>
    <t>AnfIndex</t>
  </si>
  <si>
    <t>-&gt; Nome_localizzazione</t>
  </si>
  <si>
    <t>PosNomeLocalizzazione_di</t>
  </si>
  <si>
    <t>-&gt; Nom_localisation</t>
  </si>
  <si>
    <t>PosNom_localisation_de</t>
  </si>
  <si>
    <t>-&gt; LokalisationsName</t>
  </si>
  <si>
    <t>LokalisationsNamePos_von</t>
  </si>
  <si>
    <t>Nome_localizzazione</t>
  </si>
  <si>
    <t>Nom_localisation</t>
  </si>
  <si>
    <t>LokalisationsName</t>
  </si>
  <si>
    <t>Nome_localizzazione_di</t>
  </si>
  <si>
    <t>Nom_localisation_de</t>
  </si>
  <si>
    <t>Benannte</t>
  </si>
  <si>
    <t>Esempio per Testo, Testo_Abbreviato e Testo_Indicizzato: Testo (Nome completo): Via Serafino Balestra Testo_abbreviato (utilizzato per indirizzo postale): Via S. Balestra Testo_indicizzato (per Indice): Balestra, Via Serafino</t>
  </si>
  <si>
    <t>Localizzazione</t>
  </si>
  <si>
    <t>Exemple pour Texte, Texte_abrege et Texte_index: Texte (Nom complet): Conrad-Ferdinand-Meyer-Strasse Texte_abrege (ecriture presente sur une adresse postale): CF Meyer Str Texte_index (pour index): Meyer CF Str</t>
  </si>
  <si>
    <t>Beispiel für Text, KurzText und IndexText: Text (Vollständiger Name): Conrad-Ferdinand-Meyer-Strasse KurzText (Schreibweise in der Postadresse): CF Meyer Str IndexText (Für Index): Meyer CF Str</t>
  </si>
  <si>
    <t>Numero_localizzazione</t>
  </si>
  <si>
    <t>Numero_localisation</t>
  </si>
  <si>
    <t>Principio_di_numerazione</t>
  </si>
  <si>
    <t>Principe_numerotation</t>
  </si>
  <si>
    <t>In_vigore</t>
  </si>
  <si>
    <t>Tenuta_a_giornoEdifici</t>
  </si>
  <si>
    <t>En_vigueur</t>
  </si>
  <si>
    <t>Mise_a_jourBAT</t>
  </si>
  <si>
    <t>GEBNachfuehrung</t>
  </si>
  <si>
    <t>Stato</t>
  </si>
  <si>
    <t>Statut</t>
  </si>
  <si>
    <t>[MD01: in aggiunta a SN]</t>
  </si>
  <si>
    <t>Perimetro</t>
  </si>
  <si>
    <t>[MD01: en plus de SN]</t>
  </si>
  <si>
    <t>[DM01: zusaetzlich zur SN]</t>
  </si>
  <si>
    <t>per es. numero dell'incarto tecnico</t>
  </si>
  <si>
    <t>z.B. Nummer des technischen Dossiers</t>
  </si>
  <si>
    <t>Cifre_supplementari</t>
  </si>
  <si>
    <t>CAP6</t>
  </si>
  <si>
    <t>CAP_localita</t>
  </si>
  <si>
    <t>[0 .. 99]</t>
  </si>
  <si>
    <t>Chiffres_supplementaires</t>
  </si>
  <si>
    <t>NPA6</t>
  </si>
  <si>
    <t>NPA_Localite</t>
  </si>
  <si>
    <t>Zusatzziffern</t>
  </si>
  <si>
    <t>PLZ6</t>
  </si>
  <si>
    <t>[1000..9999]</t>
  </si>
  <si>
    <t>CAP</t>
  </si>
  <si>
    <t>[1000 .. 9999]</t>
  </si>
  <si>
    <t>Si plusieurs codes postaux a six chiffres sont affectes a une meme localite, une surface doit etre affectee a chacun d'entre eux et doit etre incluse en totalite dans les limites de la surface de la localite. Les NPA6 reels sont de type AREA</t>
  </si>
  <si>
    <t>Sind einer Ortschaft mehrere sechsstellige Postleitzahlen zugeordnet, muss für jede derselben eine Fläche definiert sein, und alle diese Flächen müssen innerhalb der Fläche der Ortschaft liegen. Die realen PLZ6 sind vom Typ AREA.</t>
  </si>
  <si>
    <t>-&gt; Localita</t>
  </si>
  <si>
    <t>CAP6_di</t>
  </si>
  <si>
    <t>-&gt; Localite</t>
  </si>
  <si>
    <t>NPA6_de</t>
  </si>
  <si>
    <t>-&gt; Ortschaft</t>
  </si>
  <si>
    <t>PLZ6_von</t>
  </si>
  <si>
    <t>-&gt; Tenuta_a_giornoCAP6</t>
  </si>
  <si>
    <t>-&gt; Mise_a_jourNPA6</t>
  </si>
  <si>
    <t>-&gt; PLZ6Nachfuehrung</t>
  </si>
  <si>
    <t>PLZ6Nachfuehrung</t>
  </si>
  <si>
    <t>Tenuta_a_giornoCAP6</t>
  </si>
  <si>
    <t>Mise_a_jourNPA6</t>
  </si>
  <si>
    <t>PosNome_localita</t>
  </si>
  <si>
    <t>PosNom_localite</t>
  </si>
  <si>
    <t>OrtschaftsName_Pos</t>
  </si>
  <si>
    <t>-&gt; Nome_localita</t>
  </si>
  <si>
    <t>PosNome_localita_di</t>
  </si>
  <si>
    <t>-&gt; Nom_localite</t>
  </si>
  <si>
    <t>PosNom_localite_de</t>
  </si>
  <si>
    <t>-&gt; OrtschaftsName</t>
  </si>
  <si>
    <t>OrtschaftsName_Pos_von</t>
  </si>
  <si>
    <t>Nome_localita</t>
  </si>
  <si>
    <t>Nom_localite</t>
  </si>
  <si>
    <t>OrtschaftsName</t>
  </si>
  <si>
    <t>TEXT*18</t>
  </si>
  <si>
    <t>Nome_localita_di</t>
  </si>
  <si>
    <t>Nom_localite_de</t>
  </si>
  <si>
    <t>OrtschaftsName_von</t>
  </si>
  <si>
    <t>Esempio per Testo, Testo_Abbreviato e Testo_Indicizzato: Testo (Nome completo): La Chaux-de-Fonds Testo_abbreviato (utilizzato per indirizzo postale): La Chx-de-Fds Testo_indicizzato (per Indice): Chaux-de-Fonds</t>
  </si>
  <si>
    <t>Localita</t>
  </si>
  <si>
    <t>Exemple pour Texte, Texte_abrege et Texte_index: Texte (Nom complet): La Chaux-de-Fonds Texte_abrege (ecriture presente sur une adresse postale): La Chx-de-Fds Texte_index (pour index): Chaux-de-Fonds</t>
  </si>
  <si>
    <t>Beispiel für Text, KurzText und IndexText: Text (Vollständiger Name): La Chaux-de-Fonds KurzText (Schreibweise in der Postadresse): La Chx-de-Fds IndexText (Für Index): Chaux-de-Fonds</t>
  </si>
  <si>
    <t>relazione c-m</t>
  </si>
  <si>
    <t>-&gt; Insieme_di_localita</t>
  </si>
  <si>
    <t>Localita_di</t>
  </si>
  <si>
    <t>relation c-m</t>
  </si>
  <si>
    <t>-&gt; Groupement_de_Localite</t>
  </si>
  <si>
    <t>Localite_de</t>
  </si>
  <si>
    <t>Beziehung c-m</t>
  </si>
  <si>
    <t>-&gt; OrtschaftsVerbund</t>
  </si>
  <si>
    <t>Ortschaft_von</t>
  </si>
  <si>
    <t>-&gt; Tenuta_a_giornoLocalita</t>
  </si>
  <si>
    <t>-&gt; Mise_a_jourLoc</t>
  </si>
  <si>
    <t>-&gt; OSNachfuehrung</t>
  </si>
  <si>
    <t>TestoInsieme_di_localita</t>
  </si>
  <si>
    <t>Texte_Groupement_de_Localite</t>
  </si>
  <si>
    <t>OrtschaftsVerbundText</t>
  </si>
  <si>
    <t>TEXT*200</t>
  </si>
  <si>
    <t>TestoInsieme_di_Loc_di</t>
  </si>
  <si>
    <t>Texte_Groupement_de_Localite_de</t>
  </si>
  <si>
    <t>OrtschaftsVerbundText_von</t>
  </si>
  <si>
    <t>Insieme_di_localita</t>
  </si>
  <si>
    <t>Groupement_de_Localite</t>
  </si>
  <si>
    <t>TEXT*1</t>
  </si>
  <si>
    <t>Vuoto</t>
  </si>
  <si>
    <t>Vide</t>
  </si>
  <si>
    <t>Leer</t>
  </si>
  <si>
    <t>OrtschaftsVerbund</t>
  </si>
  <si>
    <t>Dieses Attribut ist nur nötig, um eine gültige Syntax im INTERLIS 1 zu haben</t>
  </si>
  <si>
    <t>Tenuta_a_giornoLocalita</t>
  </si>
  <si>
    <t>Mise_a_jourLoc</t>
  </si>
  <si>
    <t>OSNachfuehrung</t>
  </si>
  <si>
    <t>PosMovimento</t>
  </si>
  <si>
    <t>Zone_di_movimento</t>
  </si>
  <si>
    <t>PosGlissement</t>
  </si>
  <si>
    <t>Zones_glissement</t>
  </si>
  <si>
    <t>RutschungPos</t>
  </si>
  <si>
    <t>Rutschgebiete</t>
  </si>
  <si>
    <t>Pos interna al Movimento</t>
  </si>
  <si>
    <t>Pos dans Glissement</t>
  </si>
  <si>
    <t>Pos innerhalb Rutschung</t>
  </si>
  <si>
    <t>relazione 1-mc; iscrizione del Nome</t>
  </si>
  <si>
    <t>-&gt; Movimento</t>
  </si>
  <si>
    <t>PosMovimento_di</t>
  </si>
  <si>
    <t>relation 1-mc; inscription de Nom</t>
  </si>
  <si>
    <t>-&gt; Glissement</t>
  </si>
  <si>
    <t>PosGlissement_de</t>
  </si>
  <si>
    <t>Beziehung 1-mc; beschriftet Name</t>
  </si>
  <si>
    <t>-&gt; Rutschung</t>
  </si>
  <si>
    <t>RutschungPos_von</t>
  </si>
  <si>
    <t>Movimento</t>
  </si>
  <si>
    <t>Glissement</t>
  </si>
  <si>
    <t>Rutschung</t>
  </si>
  <si>
    <t>SURFACE WITH (STRAIGHTS, ARCS) VERTEX CoordP WITHOUT OVERLAPS &gt; 0.200</t>
  </si>
  <si>
    <t>SURFACE WITH (STRAIGHTS, ARCS) VERTEX LKoord WITHOUT OVERLAPS &gt; 0.200</t>
  </si>
  <si>
    <t>Nome proprio</t>
  </si>
  <si>
    <t>Nome</t>
  </si>
  <si>
    <t>Nom particulier</t>
  </si>
  <si>
    <t>eigener Name</t>
  </si>
  <si>
    <t>PosGrado_di_tolleranza</t>
  </si>
  <si>
    <t>RipartizioneGT</t>
  </si>
  <si>
    <t>PosNiveau_tolerance</t>
  </si>
  <si>
    <t>RepartitionNT</t>
  </si>
  <si>
    <t>ToleranzstufePos</t>
  </si>
  <si>
    <t>TSEinteilung</t>
  </si>
  <si>
    <t>Pos interna al Grado_di_tolleranza</t>
  </si>
  <si>
    <t>Pos dans Niveau_tolerance</t>
  </si>
  <si>
    <t>Pos innerhalb Toleranzstufe</t>
  </si>
  <si>
    <t>-&gt; Grado_di_tolleranza</t>
  </si>
  <si>
    <t>PosGradoDiTolleranza_di</t>
  </si>
  <si>
    <t>-&gt; Niveau_tolerance</t>
  </si>
  <si>
    <t>PosNiveau_tolerance_de</t>
  </si>
  <si>
    <t>-&gt; Toleranzstufe</t>
  </si>
  <si>
    <t>ToleranzstufePos_von</t>
  </si>
  <si>
    <t>Grado_di_tolleranza</t>
  </si>
  <si>
    <t>Niveau_tolerance</t>
  </si>
  <si>
    <t>AREA WITH (STRAIGHTS, ARCS) VERTEX CoordP WITHOUT OVERLAPS &gt; 0.200</t>
  </si>
  <si>
    <t>AREA WITH (STRAIGHTS, ARCS) VERTEX LKoord WITHOUT OVERLAPS &gt; 0.200</t>
  </si>
  <si>
    <t>PosPiano</t>
  </si>
  <si>
    <t>Ripartizione_dei_piani</t>
  </si>
  <si>
    <t>Posplan</t>
  </si>
  <si>
    <t>Repartitions_plans</t>
  </si>
  <si>
    <t>PlanPos</t>
  </si>
  <si>
    <t>Planeinteilungen</t>
  </si>
  <si>
    <t>Pos interna alla Geometria_Piano</t>
  </si>
  <si>
    <t>Pos dans Geometrie_plan</t>
  </si>
  <si>
    <t>Pos innerhalb Plangeometrie</t>
  </si>
  <si>
    <t>relazione 1-mc; iscrizione del Numero</t>
  </si>
  <si>
    <t>-&gt; Piano</t>
  </si>
  <si>
    <t>PosPiano_di</t>
  </si>
  <si>
    <t>relation 1-mc; inscription de Numero</t>
  </si>
  <si>
    <t>-&gt; Plan</t>
  </si>
  <si>
    <t>Posplan_de</t>
  </si>
  <si>
    <t>Beziehung 1-mc; beschriftet Nummer</t>
  </si>
  <si>
    <t>PlanPos_von</t>
  </si>
  <si>
    <t>AREA WITH (STRAIGHTS, ARCS) VERTEX CoordP WITHOUT OVERLAPS &gt; 0.050</t>
  </si>
  <si>
    <t>Geometria_Piano</t>
  </si>
  <si>
    <t>Geometrie_plan</t>
  </si>
  <si>
    <t>AREA WITH (STRAIGHTS, ARCS) VERTEX LKoord WITHOUT OVERLAPS &gt; 0.050</t>
  </si>
  <si>
    <t>Plangeometrie</t>
  </si>
  <si>
    <t>Geometria_Piano_di</t>
  </si>
  <si>
    <t>Geometrie_plan_de</t>
  </si>
  <si>
    <t>Plangeometrie_von</t>
  </si>
  <si>
    <t>Piano</t>
  </si>
  <si>
    <t>Plan</t>
  </si>
  <si>
    <t>IncartoTecnico</t>
  </si>
  <si>
    <t>DossierTech</t>
  </si>
  <si>
    <t>TechDossier</t>
  </si>
  <si>
    <t>[confine esatto della misurazione ufficiale] [confine contestato] [confine definito ma di qualita insufficiente] [per es. definizione sconosciuta in un lago]</t>
  </si>
  <si>
    <t>Parte_confine_nazionale</t>
  </si>
  <si>
    <t>Confini_nazionali</t>
  </si>
  <si>
    <t>[limite exacte de la mensuration officielle] [limite litigieuse] [limite definitive mais qualitativement insuffisante] [par ex. jonction inconnue dans un lac]</t>
  </si>
  <si>
    <t>Partie_limite_nationale</t>
  </si>
  <si>
    <t>Limites_nationales</t>
  </si>
  <si>
    <t>[exakte Grenze aus Amtl. Vermessung] [streitige Grenze] [definierte Grenze, aber qualitativ ungenuegend] [z.B. unbekannter Seeabschluss]</t>
  </si>
  <si>
    <t>Landesgrenzabschnitt</t>
  </si>
  <si>
    <t>Landesgrenzen</t>
  </si>
  <si>
    <t>Geometria solo PCGiurisdizionale</t>
  </si>
  <si>
    <t>POLYLINE WITH (STRAIGHTS, ARCS) VERTEX CoordP BASE</t>
  </si>
  <si>
    <t>Geometrie uniquement Point_limite_ter</t>
  </si>
  <si>
    <t>Geometrie nur Hoheitsgrenzpunkt</t>
  </si>
  <si>
    <t>POLYLINE WITH (STRAIGHTS, ARCS) VERTEX LKoord BASE</t>
  </si>
  <si>
    <t>Parte_confine_cantonale</t>
  </si>
  <si>
    <t>Confini_cantonali</t>
  </si>
  <si>
    <t>Partie_limite_canton</t>
  </si>
  <si>
    <t>Limites_canton</t>
  </si>
  <si>
    <t>Kantonsgrenzen</t>
  </si>
  <si>
    <t>ParteConfineDistrettuale</t>
  </si>
  <si>
    <t>Confini_distrettuali</t>
  </si>
  <si>
    <t>Partie_limite_district</t>
  </si>
  <si>
    <t>Limites_district</t>
  </si>
  <si>
    <t>Bezirksgrenzen</t>
  </si>
  <si>
    <t>in_vigore o contestato, [confine esatto della misurazione ufficiale] [confine contestato] [confine definito ma di qualita insufficiente] [per es. definizione sconosciuta in un lago]</t>
  </si>
  <si>
    <t>Confine_comunale</t>
  </si>
  <si>
    <t>Confini_comunali</t>
  </si>
  <si>
    <t>en_vigueur ou litigieux, [limite exacte de la mensuration officielle] [limite litigieuse] [limite definitive mais qualitativement insuffisante] [par ex. jonction inconnue dans un lac]</t>
  </si>
  <si>
    <t>Limite_commune</t>
  </si>
  <si>
    <t>Limites_commune</t>
  </si>
  <si>
    <t>rechtskraeftig oder streitig, [exakte Grenze aus Amtl. Vermessung] [streitige Grenze] [definierte Grenze, aber qualitativ ungenuegend] [z.B. unbekannter Seeabschluss]</t>
  </si>
  <si>
    <t>Gemeindegrenzen</t>
  </si>
  <si>
    <t>-&gt; Comune</t>
  </si>
  <si>
    <t>Confine_comunale_di</t>
  </si>
  <si>
    <t>-&gt; Commune</t>
  </si>
  <si>
    <t>Limite_commune_de</t>
  </si>
  <si>
    <t>-&gt; Gemeinde</t>
  </si>
  <si>
    <t>Gemeindegrenze_von</t>
  </si>
  <si>
    <t>valevole, [relazione 1-mc]</t>
  </si>
  <si>
    <t>-&gt; Tenuta_a_giorno_Comune</t>
  </si>
  <si>
    <t>valable, [relation 1-mc]</t>
  </si>
  <si>
    <t>-&gt; Mise_a_jourCOM</t>
  </si>
  <si>
    <t>gueltig, [Beziehung 1-mc]</t>
  </si>
  <si>
    <t>-&gt; GEMNachfuehrung</t>
  </si>
  <si>
    <t>POLYLINE WITH (STRAIGHTS, ARCS) VERTEX CoordP BASE WITHOUT OVERLAPS &gt; 0.050</t>
  </si>
  <si>
    <t>Confine_comunaleProg</t>
  </si>
  <si>
    <t>Limite_communeProj</t>
  </si>
  <si>
    <t>POLYLINE WITH (STRAIGHTS, ARCS) VERTEX LKoord BASE WITHOUT OVERLAPS &gt; 0.050</t>
  </si>
  <si>
    <t>ProjGemeindegrenze</t>
  </si>
  <si>
    <t>Confine_comunaleProg_di</t>
  </si>
  <si>
    <t>Limite_communeProj_de</t>
  </si>
  <si>
    <t>ProjGemeindegrenze_von</t>
  </si>
  <si>
    <t>in_progetto, [relazione 1-mc]</t>
  </si>
  <si>
    <t>projete, [relation 1-mc]</t>
  </si>
  <si>
    <t>projektiert, [Beziehung 1-mc]</t>
  </si>
  <si>
    <t>[1 .. 9999]</t>
  </si>
  <si>
    <t>NoUFS</t>
  </si>
  <si>
    <t>Comune</t>
  </si>
  <si>
    <t>NoOFS</t>
  </si>
  <si>
    <t>SimboloPCGiurisdizionale</t>
  </si>
  <si>
    <t>SymbolePoint_limite_ter</t>
  </si>
  <si>
    <t>HoheitsgrenzpunktSymbol</t>
  </si>
  <si>
    <t>relazione 1-c</t>
  </si>
  <si>
    <t>-&gt; PCGiurisdizionale</t>
  </si>
  <si>
    <t>SimbPCGiurisdizionale_di</t>
  </si>
  <si>
    <t>relation 1-c</t>
  </si>
  <si>
    <t>-&gt; Point_limite_ter</t>
  </si>
  <si>
    <t>SymbolePoint_limite_ter_de</t>
  </si>
  <si>
    <t>Beziehung 1-c</t>
  </si>
  <si>
    <t>-&gt; Hoheitsgrenzpunkt</t>
  </si>
  <si>
    <t>HoheitsgrenzpunktSymbol_von</t>
  </si>
  <si>
    <t>PosPCGiurisdizionale</t>
  </si>
  <si>
    <t>PosPoint_limite_ter</t>
  </si>
  <si>
    <t>HoheitsgrenzpunktPos</t>
  </si>
  <si>
    <t>PosPCGiurisdizionale_di</t>
  </si>
  <si>
    <t>relation 1-c;</t>
  </si>
  <si>
    <t>PosPoint_limite_ter_de</t>
  </si>
  <si>
    <t>HoheitsgrenzpunktPos_von</t>
  </si>
  <si>
    <t>tenere conto delle tolleranze prescritte nell'OTEMU</t>
  </si>
  <si>
    <t>Definito_esattamente</t>
  </si>
  <si>
    <t>PCGiurisdizionale</t>
  </si>
  <si>
    <t>tenir compte des tolerances selon OTEMO</t>
  </si>
  <si>
    <t>Defini_exactement</t>
  </si>
  <si>
    <t>Point_limite_ter</t>
  </si>
  <si>
    <t>Toleranzvorschriften gemäss TVAV beachten</t>
  </si>
  <si>
    <t>ExaktDefiniert</t>
  </si>
  <si>
    <t>indicazione sul tipo di materializzazione</t>
  </si>
  <si>
    <t>Cippo_giurisdizionale</t>
  </si>
  <si>
    <t>indication de la materialisation</t>
  </si>
  <si>
    <t>Borne_territoriale</t>
  </si>
  <si>
    <t>Materialangabe</t>
  </si>
  <si>
    <t>Hoheitsgrenzstein</t>
  </si>
  <si>
    <t>Materiale</t>
  </si>
  <si>
    <t>Segno</t>
  </si>
  <si>
    <t>Materiel</t>
  </si>
  <si>
    <t>Attendibilita</t>
  </si>
  <si>
    <t>AttendPlan</t>
  </si>
  <si>
    <t>Fiabilite</t>
  </si>
  <si>
    <t>FiabPlan</t>
  </si>
  <si>
    <t>LageZuv</t>
  </si>
  <si>
    <t>Precisione</t>
  </si>
  <si>
    <t>PrecPlan</t>
  </si>
  <si>
    <t>Precision</t>
  </si>
  <si>
    <t>LageGen</t>
  </si>
  <si>
    <t>Num_PCGiurisdizionale</t>
  </si>
  <si>
    <t>Num_Point_limite_territorial</t>
  </si>
  <si>
    <t>Hoheitsgrenzpunktnummer</t>
  </si>
  <si>
    <t>per es. elaborazione tecnica</t>
  </si>
  <si>
    <t>Data1</t>
  </si>
  <si>
    <t>Tenuta_a_giorno_Comune</t>
  </si>
  <si>
    <t>par ex. date de mise en service</t>
  </si>
  <si>
    <t>Date1</t>
  </si>
  <si>
    <t>Mise_a_jourCOM</t>
  </si>
  <si>
    <t>z.B. Datum des gültigen Eintrags</t>
  </si>
  <si>
    <t>Datum1</t>
  </si>
  <si>
    <t>GEMNachfuehrung</t>
  </si>
  <si>
    <t>Per gli aggiornamenti futuri, la data da inserire e In_vigore. Data1 corrisponde ai vecchi aggiornamenti e non viene piu usato. Nelle prossime revisioni del modello dei dati, Data1 sara soppresso e In_vigore diventera obbligatorio.</t>
  </si>
  <si>
    <t>Für zukünftige Nachführungen ist das Attribut GültigerEintrag zu erfassen. Datum1 betrifft die alten Nachführungen und wird nicht mehr angewendet. In der nächsten Revision des Datenmodells wird das Attribut Datum1 gelöscht und das Attribut GültigerEintrag wird obligatorisch.</t>
  </si>
  <si>
    <t>PosArea_di_numerazione</t>
  </si>
  <si>
    <t>Aree_di_numerazione</t>
  </si>
  <si>
    <t>PosDomaine_numerotation</t>
  </si>
  <si>
    <t>Domaines_numerotation</t>
  </si>
  <si>
    <t>NummerierungsbereichPos</t>
  </si>
  <si>
    <t>Nummerierungsbereiche</t>
  </si>
  <si>
    <t>Pos interna alla GeometriaAN</t>
  </si>
  <si>
    <t>position dans GeometrieDN</t>
  </si>
  <si>
    <t>Pos innerhalb NBGeometrie</t>
  </si>
  <si>
    <t>-&gt; Area_di_numerazione</t>
  </si>
  <si>
    <t>PosAN_di</t>
  </si>
  <si>
    <t>-&gt; Domaine_numerotation</t>
  </si>
  <si>
    <t>PosDomaine_numerotation_de</t>
  </si>
  <si>
    <t>-&gt; Nummerierungsbereich</t>
  </si>
  <si>
    <t>NummerierungsbereichPos_von</t>
  </si>
  <si>
    <t>GeometriaAN</t>
  </si>
  <si>
    <t>GeometrieDN</t>
  </si>
  <si>
    <t>NBGeometrie</t>
  </si>
  <si>
    <t>GeometriaAN_di</t>
  </si>
  <si>
    <t>GeometrieDN_de</t>
  </si>
  <si>
    <t>NBGeometrie_von</t>
  </si>
  <si>
    <t>fornisce la chiave-utilizzatore IdentAN</t>
  </si>
  <si>
    <t>Area_di_numerazione</t>
  </si>
  <si>
    <t>Domaine_numerotation</t>
  </si>
  <si>
    <t>ergibt Benutzerschlüssel NBIdent</t>
  </si>
  <si>
    <t>Nummerierungsbereich</t>
  </si>
  <si>
    <t>TEXT*10</t>
  </si>
  <si>
    <t>NumeroAN</t>
  </si>
  <si>
    <t>NumeroDN</t>
  </si>
  <si>
    <t>NBNummer</t>
  </si>
  <si>
    <t>Abbreviazione_cantonale</t>
  </si>
  <si>
    <t>Ct</t>
  </si>
  <si>
    <t>Abreviation_cantonale</t>
  </si>
  <si>
    <t>Kantonskuerzel</t>
  </si>
  <si>
    <t>Kt</t>
  </si>
  <si>
    <t>ordine dell'UFS, completato con FL e CH</t>
  </si>
  <si>
    <t>CH</t>
  </si>
  <si>
    <t>ordre de l'OFS, completee avec FL et CH</t>
  </si>
  <si>
    <t>BFS-Ordnung, ergaenzt mit FL und CH</t>
  </si>
  <si>
    <t>FL</t>
  </si>
  <si>
    <t>JU</t>
  </si>
  <si>
    <t>GE</t>
  </si>
  <si>
    <t>NE</t>
  </si>
  <si>
    <t>VS</t>
  </si>
  <si>
    <t>VD</t>
  </si>
  <si>
    <t>TI</t>
  </si>
  <si>
    <t>TG</t>
  </si>
  <si>
    <t>AG</t>
  </si>
  <si>
    <t>GR</t>
  </si>
  <si>
    <t>SG</t>
  </si>
  <si>
    <t>AI</t>
  </si>
  <si>
    <t>AR</t>
  </si>
  <si>
    <t>SH</t>
  </si>
  <si>
    <t>BL</t>
  </si>
  <si>
    <t>BS</t>
  </si>
  <si>
    <t>SO</t>
  </si>
  <si>
    <t>FR</t>
  </si>
  <si>
    <t>ZG</t>
  </si>
  <si>
    <t>GL</t>
  </si>
  <si>
    <t>NW</t>
  </si>
  <si>
    <t>OW</t>
  </si>
  <si>
    <t>SZ</t>
  </si>
  <si>
    <t>UR</t>
  </si>
  <si>
    <t>LU</t>
  </si>
  <si>
    <t>BE</t>
  </si>
  <si>
    <t>ZH</t>
  </si>
  <si>
    <t>PosPunto_singolo</t>
  </si>
  <si>
    <t>Condotte</t>
  </si>
  <si>
    <t>PosPoint_particulier</t>
  </si>
  <si>
    <t>EinzelpunktPos</t>
  </si>
  <si>
    <t>-&gt; Punto_singolo</t>
  </si>
  <si>
    <t>PosPunto_singolo_di</t>
  </si>
  <si>
    <t>-&gt; Point_particulier</t>
  </si>
  <si>
    <t>PosPoint_particulier_de</t>
  </si>
  <si>
    <t>-&gt; Einzelpunkt</t>
  </si>
  <si>
    <t>EinzelpunktPos_von</t>
  </si>
  <si>
    <t>Punto_singolo</t>
  </si>
  <si>
    <t>Point_particulier</t>
  </si>
  <si>
    <t>Einzelpunkt</t>
  </si>
  <si>
    <t>non PFP1, PFP2, PFP3, Punto_di_confine o PCGiurisdizionale</t>
  </si>
  <si>
    <t>pas de PFP1, PFP2, PFP3, Point_limite ou Point_limite_ter</t>
  </si>
  <si>
    <t>nicht zugleich LFP1, LFP2, LFP3, Grenzpunkt oder Hoheitsgrenzpunkt</t>
  </si>
  <si>
    <t>-&gt; Tenuta_a_giornoCO</t>
  </si>
  <si>
    <t>-&gt; Mise_a_jourCO</t>
  </si>
  <si>
    <t>-&gt; RLNachfuehrung</t>
  </si>
  <si>
    <t>PosSegnale</t>
  </si>
  <si>
    <t>PosSignal</t>
  </si>
  <si>
    <t>SignalpunktPos</t>
  </si>
  <si>
    <t>relazione 1-c; iscrizione del Numero</t>
  </si>
  <si>
    <t>-&gt; Segnale</t>
  </si>
  <si>
    <t>PosSegnale_di</t>
  </si>
  <si>
    <t>relation 1-c; inscription de Numero</t>
  </si>
  <si>
    <t>-&gt; Signal</t>
  </si>
  <si>
    <t>PosSignal_de</t>
  </si>
  <si>
    <t>Beziehung 1-c; beschriftet Nummer</t>
  </si>
  <si>
    <t>-&gt; Signalpunkt</t>
  </si>
  <si>
    <t>SignalpunktPos_von</t>
  </si>
  <si>
    <t>[Nessun oggetto nella categoria altro, unicamente per le estensioni]</t>
  </si>
  <si>
    <t>Genere_del_punto</t>
  </si>
  <si>
    <t>Segnale</t>
  </si>
  <si>
    <t>[Pas d'objet dans la categorie autre, uniquement pour extensions]</t>
  </si>
  <si>
    <t>Genre_point</t>
  </si>
  <si>
    <t>[Keine Objekte in der Kategorie weitere, nur fuer Erweiterungen]</t>
  </si>
  <si>
    <t>Punktart</t>
  </si>
  <si>
    <t>Signalpunkt</t>
  </si>
  <si>
    <t>Sostanza</t>
  </si>
  <si>
    <t>StandardQualita</t>
  </si>
  <si>
    <t>Qualita</t>
  </si>
  <si>
    <t>Qualite</t>
  </si>
  <si>
    <t>Qualitaet</t>
  </si>
  <si>
    <t>Gestore</t>
  </si>
  <si>
    <t>Elemento_puntiforme</t>
  </si>
  <si>
    <t>Element_ponctuel</t>
  </si>
  <si>
    <t>-&gt; Oggetto_condotta</t>
  </si>
  <si>
    <t>Elemento_puntiforme_di</t>
  </si>
  <si>
    <t>-&gt; Element_conduite</t>
  </si>
  <si>
    <t>Element_ponctuel_de</t>
  </si>
  <si>
    <t>-&gt; Leitungsobjekt</t>
  </si>
  <si>
    <t>Punktelement_von</t>
  </si>
  <si>
    <t>L'attributo Genere_di_linea non deve essere definito ad eccezione del valore visibile.</t>
  </si>
  <si>
    <t>L'attribut Genre_ligne doit etre principalement reference comme indefini a l'exception de la valeur visible.</t>
  </si>
  <si>
    <t>Linienart-Werte sollen grundsätzlich als undefiniert ausgegeben werden, ausgenommen Wert sichtbar.</t>
  </si>
  <si>
    <t>Genere_di_linea</t>
  </si>
  <si>
    <t>Genre_ligne</t>
  </si>
  <si>
    <t>Linienart</t>
  </si>
  <si>
    <t>Linienelement_von</t>
  </si>
  <si>
    <t>Elemento_con_superficie</t>
  </si>
  <si>
    <t>Element_surfacique</t>
  </si>
  <si>
    <t>El_con_superficie_di</t>
  </si>
  <si>
    <t>Element_surfacique_de</t>
  </si>
  <si>
    <t>Flaechenelement_von</t>
  </si>
  <si>
    <t>PosOggetto_condotta</t>
  </si>
  <si>
    <t>PosElement_conduite</t>
  </si>
  <si>
    <t>LeitungsobjektPos</t>
  </si>
  <si>
    <t>PosOggetto_condotta_di</t>
  </si>
  <si>
    <t>PosElement_conduite_de</t>
  </si>
  <si>
    <t>LeitungsobjektPos_von</t>
  </si>
  <si>
    <t>Oggetto_condotta</t>
  </si>
  <si>
    <t>Element_conduite</t>
  </si>
  <si>
    <t>Tenuta_a_giornoCO</t>
  </si>
  <si>
    <t>Mise_a_jourCO</t>
  </si>
  <si>
    <t>Per gli aggiornamenti futuri, la data da inserire e In_vigore. Data1 corrisponde ai vecchi aggiornamenti e non viene piu usato. Nelle prossime revisioni del modello dei dati Data1 sara soppresso e In_vigore diventera obbligatorio.</t>
  </si>
  <si>
    <t>gas</t>
  </si>
  <si>
    <t>petrolio</t>
  </si>
  <si>
    <t>DIM2 1 999999999</t>
  </si>
  <si>
    <t>Miniera</t>
  </si>
  <si>
    <t>Beni_immobili</t>
  </si>
  <si>
    <t>Biens_fonds</t>
  </si>
  <si>
    <t>Liegenschaften</t>
  </si>
  <si>
    <t>Geometria solo PFP1, PFP2, PFP3, Punto_di_confine o PCGiurisdizionale, [non_definito vuol dire in vigore e completo]</t>
  </si>
  <si>
    <t>Geometrie uniquement PFP1, PFP2, PFP3, Point_limite ou Point_limite_ter, [indefini pour en vigueur et complet]</t>
  </si>
  <si>
    <t>Geometrie nur LFP1, LFP2, LFP3, Grenzpunkt oder Hoheitsgrenzpunkt, [undefiniert bedeutet rechtskraeftig und vollstaendig]</t>
  </si>
  <si>
    <t>NumeroParteFondo</t>
  </si>
  <si>
    <t>PartieNumeroImmeuble</t>
  </si>
  <si>
    <t>NummerTeilGrundstueck</t>
  </si>
  <si>
    <t>NumeroParteFondo e necessario per parte di Fondo</t>
  </si>
  <si>
    <t>Numero_ PartieNumeroImmeuble si necessaire partie d'immeuble</t>
  </si>
  <si>
    <t>NummerTeilGrundstück ist für Teil Grundstück nötig</t>
  </si>
  <si>
    <t>miniera, relazione 1-mc</t>
  </si>
  <si>
    <t>-&gt; Fondo</t>
  </si>
  <si>
    <t>Miniera_di</t>
  </si>
  <si>
    <t>mine, relation 1-mc</t>
  </si>
  <si>
    <t>-&gt; Immeuble</t>
  </si>
  <si>
    <t>Mine_de</t>
  </si>
  <si>
    <t>Bergwerk, Beziehung 1-mc</t>
  </si>
  <si>
    <t>-&gt; Grundstueck</t>
  </si>
  <si>
    <t>Bergwerk_von</t>
  </si>
  <si>
    <t>DPSSP</t>
  </si>
  <si>
    <t>DDP</t>
  </si>
  <si>
    <t>SelbstRecht</t>
  </si>
  <si>
    <t>Geometria solo PFP1, PFP2, PFP3, Punto_di_confine o PCGiurisdizionale, [non_definito significa in vigore e completo]</t>
  </si>
  <si>
    <t>DPSSP_di</t>
  </si>
  <si>
    <t>DDP_de</t>
  </si>
  <si>
    <t>SelbstRecht_von</t>
  </si>
  <si>
    <t>Bene_immobile</t>
  </si>
  <si>
    <t>Si un DDP n'a pas de surface, alors il n'existe aussi pas d'objet. Une inscription avec une localisation dans PosImmeuble est tout de meme possible.</t>
  </si>
  <si>
    <t>Bien_fonds</t>
  </si>
  <si>
    <t>Falls bei SelbstRecht keine Fläche vorhanden ist, existiert hier auch kein Objekt. Eine Beschriftung und Lokalisierung in GrundstückPos ist trotzdem möglich.</t>
  </si>
  <si>
    <t>bene_immobile, relazione 1-mc</t>
  </si>
  <si>
    <t>Bene_immobile_di</t>
  </si>
  <si>
    <t>bien_fonds, relation 1-mc</t>
  </si>
  <si>
    <t>Bien_fonds_de</t>
  </si>
  <si>
    <t>Liegenschaft, Beziehung 1-mc</t>
  </si>
  <si>
    <t>Liegenschaft_von</t>
  </si>
  <si>
    <t>tratto di collegamento del fondo con il suo numero</t>
  </si>
  <si>
    <t>PosFondo</t>
  </si>
  <si>
    <t>trait de rappel pour numero d'immeuble</t>
  </si>
  <si>
    <t>PosImmeuble</t>
  </si>
  <si>
    <t>Hinweisstriche für Grundstücksnummer</t>
  </si>
  <si>
    <t>GrundstueckPos</t>
  </si>
  <si>
    <t>relazione 1-m; iscrizione del Numero</t>
  </si>
  <si>
    <t>PosFondo_di</t>
  </si>
  <si>
    <t>relation 1-m; inscription de Numero</t>
  </si>
  <si>
    <t>PosImmeuble_de</t>
  </si>
  <si>
    <t>Beziehung 1-m; beschriftet Nummer</t>
  </si>
  <si>
    <t>GrundstueckPos_von</t>
  </si>
  <si>
    <t>Superficie_totale</t>
  </si>
  <si>
    <t>Fondo</t>
  </si>
  <si>
    <t>GesamteFlaechenmass</t>
  </si>
  <si>
    <t>Superficie_totale viene utilizzato solamente nel caso dove esistono piu parti di fondo,vale a dire dove piu oggetti Bene_immobile, DPSSP o Miniera formano un oggetto Fondo.</t>
  </si>
  <si>
    <t>GesamteFlächenmass wird nur benutzt, falls TeilGrundstüke existieren. Das heisst mehrere Objekte Liegenschaft, SelbstRecht oder Bergwerk werden zu einem Objekt Grundstück.</t>
  </si>
  <si>
    <t>Genere_Fondo</t>
  </si>
  <si>
    <t>Genre_Immeuble</t>
  </si>
  <si>
    <t>Integralita</t>
  </si>
  <si>
    <t>Integralite</t>
  </si>
  <si>
    <t>Vollstaendigkeit</t>
  </si>
  <si>
    <t>incompleto se per es. una parte del fondo si trova fuori dal perimetro.</t>
  </si>
  <si>
    <t>unvollständig, falls z.B. das Grundstück teilweise ausserhalb des Perimeters liegt.</t>
  </si>
  <si>
    <t>attributo derivato: contestato nel caso in cui il Bene_immobile, il DPSSP o la Miniera sono contestati;</t>
  </si>
  <si>
    <t>Contenu de l'attribut: doit etre litigieux si le bien-fonds, le DDP ou la Mine est litigieux;</t>
  </si>
  <si>
    <t>abgeleitetes Attribut: muss streitig sein, falls Liegenschaft, SelbstRechtvoder Bergwerk streitig;</t>
  </si>
  <si>
    <t>EGRIS_EGRID</t>
  </si>
  <si>
    <t>Identificatore del sistema elettronico d'informazione fondiaria</t>
  </si>
  <si>
    <t>Elektronisches Grundstückinformationssystem</t>
  </si>
  <si>
    <t>-&gt; Tenuta_a_giornoBI</t>
  </si>
  <si>
    <t>-&gt; Mise_a_jourBF</t>
  </si>
  <si>
    <t>-&gt; LSNachfuehrung</t>
  </si>
  <si>
    <t>MinieraProg</t>
  </si>
  <si>
    <t>MineProj</t>
  </si>
  <si>
    <t>ProjBergwerk</t>
  </si>
  <si>
    <t>Geometrie nur LFP1, LFP2, LFP3, Grenzpunkt oder Hoheitsgrenzpunkt,[undefiniert bedeutet rechtskraeftig und vollstaendig]</t>
  </si>
  <si>
    <t>NumeroParteFondo e necessario per parte di FondoProg</t>
  </si>
  <si>
    <t>Numero_ PartieNumeroImmeuble si necessaire partie d'immeubleProj</t>
  </si>
  <si>
    <t>NummerTeilGrundstück ist für Teil ProjGrundstück nötig</t>
  </si>
  <si>
    <t>-&gt; FondoProg</t>
  </si>
  <si>
    <t>MinieraProg_di</t>
  </si>
  <si>
    <t>-&gt; ImmeubleProj</t>
  </si>
  <si>
    <t>MineProj_de</t>
  </si>
  <si>
    <t>-&gt; ProjGrundstueck</t>
  </si>
  <si>
    <t>ProjBergwerk_von</t>
  </si>
  <si>
    <t>DPSSPProg</t>
  </si>
  <si>
    <t>DDPProj</t>
  </si>
  <si>
    <t>ProjSelbstRecht</t>
  </si>
  <si>
    <t>DPSSPProg_di</t>
  </si>
  <si>
    <t>DDPProj_de</t>
  </si>
  <si>
    <t>ProjSelbstRecht_von</t>
  </si>
  <si>
    <t>Bene_immobileProg</t>
  </si>
  <si>
    <t>Bien_fondsProj</t>
  </si>
  <si>
    <t>ProjLiegenschaft</t>
  </si>
  <si>
    <t>bene_immobile</t>
  </si>
  <si>
    <t>Bene_immobileProg_di</t>
  </si>
  <si>
    <t>Bien_fondsProj_de</t>
  </si>
  <si>
    <t>ProjLiegenschaft_von</t>
  </si>
  <si>
    <t>PosFondoProg</t>
  </si>
  <si>
    <t>PosImmeubleProj</t>
  </si>
  <si>
    <t>Hinweisstriche für Grundstücknummer</t>
  </si>
  <si>
    <t>ProjGrundstueckPos</t>
  </si>
  <si>
    <t>PosFondoProg_di</t>
  </si>
  <si>
    <t>PosImmeubleProj_de</t>
  </si>
  <si>
    <t>ProjGrundstueckPos_von</t>
  </si>
  <si>
    <t>FondoProg</t>
  </si>
  <si>
    <t>ImmeubleProj</t>
  </si>
  <si>
    <t>ProjGrundstueck</t>
  </si>
  <si>
    <t>Superficie_totale viene utilizzato solamente nel caso dove esistono piu parti di fondo,vale a dire dove piu oggetti Bene_immobileProg, DPSSPProg o MinieraProg formano un oggetto FondoProg.</t>
  </si>
  <si>
    <t>GesamteFlächenmass wird nur benutzt, falls TeilGrundstüke existieren. Das heisst mehrere Objekte ProjLiegenschaft, ProjSelbstRecht oder ProjBergwerk werden zu einem Objekt ProjGrundstück.</t>
  </si>
  <si>
    <t>unvollständig, falls z.B. das ProjGrundstück teilweise ausserhalb des Perimeters liegt.</t>
  </si>
  <si>
    <t>SimboloPunto_di_confine</t>
  </si>
  <si>
    <t>SymbolePoint_limite</t>
  </si>
  <si>
    <t>GrenzpunktSymbol</t>
  </si>
  <si>
    <t>-&gt; Punto_di_confine</t>
  </si>
  <si>
    <t>SimbPunto_di_confine_di</t>
  </si>
  <si>
    <t>-&gt; Point_limite</t>
  </si>
  <si>
    <t>SymbolePoint_limite_de</t>
  </si>
  <si>
    <t>-&gt; Grenzpunkt</t>
  </si>
  <si>
    <t>GrenzpunktSymbol_von</t>
  </si>
  <si>
    <t>PosPunto_di_confine</t>
  </si>
  <si>
    <t>PosPoint_limite</t>
  </si>
  <si>
    <t>GrenzpunktPos</t>
  </si>
  <si>
    <t>PosPunto_di_confine_di</t>
  </si>
  <si>
    <t>PosPoint_limite_de</t>
  </si>
  <si>
    <t>GrenzpunktPos_von</t>
  </si>
  <si>
    <t>Vecchio_cippo_speciale</t>
  </si>
  <si>
    <t>Punto_di_confine</t>
  </si>
  <si>
    <t>Anc_borne_speciale</t>
  </si>
  <si>
    <t>Point_limite</t>
  </si>
  <si>
    <t>HoheitsgrenzsteinAlt</t>
  </si>
  <si>
    <t>Wenn ein "hübscher" alter Hoheitsgrenzstein heruntergestuft wurde und lediglich die Funktion eines Grenzpunkts hat (siehe auch Erklärungen Kap. 3.11).</t>
  </si>
  <si>
    <t>tenir compte des tolerances selon l'OTEMO</t>
  </si>
  <si>
    <t>Tenuta_a_giornoBI</t>
  </si>
  <si>
    <t>Mise_a_jourBF</t>
  </si>
  <si>
    <t>Data2</t>
  </si>
  <si>
    <t>attribution par le canton</t>
  </si>
  <si>
    <t>Date2</t>
  </si>
  <si>
    <t>Datum2</t>
  </si>
  <si>
    <t>LSNachfuehrung</t>
  </si>
  <si>
    <t>Iscrizione_RF</t>
  </si>
  <si>
    <t>Enregistrement_RF</t>
  </si>
  <si>
    <t>GBEintrag</t>
  </si>
  <si>
    <t>Per gli aggiornamenti futuri, le date da inserire sono In_vigore e Iscrizione_RF. Data1 e Data2 corrispondono ai vecchi aggiornamenti e non vengono piu usati. Nelle prossime revisioni del modello dei dati Data1 e Data2 saranno soppressi e In_vigore e Iscrizione_RF diventeranno obbligatorie.</t>
  </si>
  <si>
    <t>Für zukünftige Nachführungen sind die Attribute GültigerEintrag und GBEintrag zu erfassen. Datum1 und Datum2 betreffen die alten Nachführungen und werden nicht mehr angewendet. In der nächsten Revision des Datenmodells werden die Attribute Datum1 und Datum2 gelöscht und die Attribute GültigerEintrag und GBEintrag werden obligatorisch.</t>
  </si>
  <si>
    <t>miniera</t>
  </si>
  <si>
    <t>diritto_per_se_stante_e_permanente.altro</t>
  </si>
  <si>
    <t>DDP.autre</t>
  </si>
  <si>
    <t>SelbstRecht.weitere</t>
  </si>
  <si>
    <t>diritto_per_se_stante_e_permanente.concessione</t>
  </si>
  <si>
    <t>DDP.concession</t>
  </si>
  <si>
    <t>SelbstRecht.Konzessionsrecht</t>
  </si>
  <si>
    <t>diritto_per_se_stante_e_permanente.sorgente</t>
  </si>
  <si>
    <t>DDP.source</t>
  </si>
  <si>
    <t>SelbstRecht.Quellenrecht</t>
  </si>
  <si>
    <t>diritto_per_se_stante_e_permanente.superficie</t>
  </si>
  <si>
    <t>DDP.superficie</t>
  </si>
  <si>
    <t>SelbstRecht.Baurecht</t>
  </si>
  <si>
    <t>normale</t>
  </si>
  <si>
    <t>StileScrittura</t>
  </si>
  <si>
    <t>Stile</t>
  </si>
  <si>
    <t>PosNome_del_luogo</t>
  </si>
  <si>
    <t>Nomenclatura</t>
  </si>
  <si>
    <t>normal</t>
  </si>
  <si>
    <t>StyleEcriture</t>
  </si>
  <si>
    <t>Style</t>
  </si>
  <si>
    <t>PosLieudit</t>
  </si>
  <si>
    <t>Schriftstil</t>
  </si>
  <si>
    <t>Stil</t>
  </si>
  <si>
    <t>GelaendenamePos</t>
  </si>
  <si>
    <t>relazione 1-m; iscrizione del Nome</t>
  </si>
  <si>
    <t>-&gt; Nome_del_luogo</t>
  </si>
  <si>
    <t>PosNome_del_luogo_di</t>
  </si>
  <si>
    <t>relation 1-m; inscription de Nom</t>
  </si>
  <si>
    <t>-&gt; Lieudit</t>
  </si>
  <si>
    <t>PosLieudit_de</t>
  </si>
  <si>
    <t>Beziehung 1-m; beschriftet Name</t>
  </si>
  <si>
    <t>-&gt; Gelaendename</t>
  </si>
  <si>
    <t>GelaendenamePos_von</t>
  </si>
  <si>
    <t>Nome_del_luogo</t>
  </si>
  <si>
    <t>-&gt; Tenuta_a_giornoNO</t>
  </si>
  <si>
    <t>-&gt; Mise_a_jourNO</t>
  </si>
  <si>
    <t>-&gt; NKNachfuehrung</t>
  </si>
  <si>
    <t>PosNome_di_localita</t>
  </si>
  <si>
    <t>PosNom_de_lieu</t>
  </si>
  <si>
    <t>OrtsnamePos</t>
  </si>
  <si>
    <t>-&gt; Nome_di_localita</t>
  </si>
  <si>
    <t>PosNome_di_localita_di</t>
  </si>
  <si>
    <t>-&gt; Nom_de_lieu</t>
  </si>
  <si>
    <t>PosNom_de_lieu_de</t>
  </si>
  <si>
    <t>-&gt; Ortsname</t>
  </si>
  <si>
    <t>OrtsnamePos_von</t>
  </si>
  <si>
    <t>assegnato dal cantone</t>
  </si>
  <si>
    <t>Tipo</t>
  </si>
  <si>
    <t>Nome_di_localita</t>
  </si>
  <si>
    <t>Nom_de_lieu</t>
  </si>
  <si>
    <t>Vergabe durch Kanton</t>
  </si>
  <si>
    <t>PosNome_locale</t>
  </si>
  <si>
    <t>PosNom_local</t>
  </si>
  <si>
    <t>FlurnamePos</t>
  </si>
  <si>
    <t>-&gt; Nome_locale</t>
  </si>
  <si>
    <t>PosNome_locale_di</t>
  </si>
  <si>
    <t>-&gt; Nom_local</t>
  </si>
  <si>
    <t>PosNom_local_de</t>
  </si>
  <si>
    <t>-&gt; Flurname</t>
  </si>
  <si>
    <t>FlurnamePos_von</t>
  </si>
  <si>
    <t>Nome_locale</t>
  </si>
  <si>
    <t>Nom_local</t>
  </si>
  <si>
    <t>per es. data dell'elaborazione</t>
  </si>
  <si>
    <t>Tenuta_a_giornoNO</t>
  </si>
  <si>
    <t>Mise_a_jourNO</t>
  </si>
  <si>
    <t>Superficie_vuota</t>
  </si>
  <si>
    <t>Altimetria</t>
  </si>
  <si>
    <t>Surface_vide</t>
  </si>
  <si>
    <t>Altimetrie</t>
  </si>
  <si>
    <t>Aussparung</t>
  </si>
  <si>
    <t>Hoehen</t>
  </si>
  <si>
    <t>SURFACE WITH (STRAIGHTS, ARCS) VERTEX CoordP</t>
  </si>
  <si>
    <t>SURFACE WITH (STRAIGHTS, ARCS) VERTEX LKoord</t>
  </si>
  <si>
    <t>-&gt; Tenuta_a_giornoAL</t>
  </si>
  <si>
    <t>-&gt; Mise_a_jourAL</t>
  </si>
  <si>
    <t>-&gt; HONachfuehrung</t>
  </si>
  <si>
    <t>Linea</t>
  </si>
  <si>
    <t>Arete</t>
  </si>
  <si>
    <t>Gelaendekante</t>
  </si>
  <si>
    <t>senza ARCS !</t>
  </si>
  <si>
    <t>POLYLINE WITH (STRAIGHTS) VERTEX CoordA</t>
  </si>
  <si>
    <t>sans ARCS !</t>
  </si>
  <si>
    <t>ohne ARCS!</t>
  </si>
  <si>
    <t>POLYLINE WITH (STRAIGHTS) VERTEX HKoord</t>
  </si>
  <si>
    <t>PosPunto_quotato</t>
  </si>
  <si>
    <t>PosPoint_cote</t>
  </si>
  <si>
    <t>HoehenpunktPos</t>
  </si>
  <si>
    <t>-&gt; Punto_quotato</t>
  </si>
  <si>
    <t>PosPunto_quotato_di</t>
  </si>
  <si>
    <t>-&gt; Point_cote</t>
  </si>
  <si>
    <t>PosPoint_cote_de</t>
  </si>
  <si>
    <t>-&gt; Hoehenpunkt</t>
  </si>
  <si>
    <t>HoehenpunktPos_von</t>
  </si>
  <si>
    <t>Punto_quotato</t>
  </si>
  <si>
    <t>Point_cote</t>
  </si>
  <si>
    <t>Hoehenpunkt</t>
  </si>
  <si>
    <t>CoordA</t>
  </si>
  <si>
    <t>HKoord</t>
  </si>
  <si>
    <t>Tenuta_a_giornoAL</t>
  </si>
  <si>
    <t>Mise_a_jourAL</t>
  </si>
  <si>
    <t>HONachfuehrung</t>
  </si>
  <si>
    <t>Oggetti_singoli</t>
  </si>
  <si>
    <t>Objets_divers</t>
  </si>
  <si>
    <t>-&gt; Tenuta_a_giornoOS</t>
  </si>
  <si>
    <t>-&gt; Mise_a_jourOD</t>
  </si>
  <si>
    <t>-&gt; EONachfuehrung</t>
  </si>
  <si>
    <t>PosNumero_Oggetto</t>
  </si>
  <si>
    <t>PosNumero_Objet</t>
  </si>
  <si>
    <t>ObjektnummerPos</t>
  </si>
  <si>
    <t>-&gt; Numero_Oggetto</t>
  </si>
  <si>
    <t>PosNumero_Oggetto_di</t>
  </si>
  <si>
    <t>-&gt; Numero_Objet</t>
  </si>
  <si>
    <t>PosNumero_Objet_de</t>
  </si>
  <si>
    <t>-&gt; Objektnummer</t>
  </si>
  <si>
    <t>ObjektnummerPos_von</t>
  </si>
  <si>
    <t>Numero_Oggetto</t>
  </si>
  <si>
    <t>Numero_Objet</t>
  </si>
  <si>
    <t>RegBL_EGID si la definition du batiment correspond a celle de l'OFS</t>
  </si>
  <si>
    <t>GWR_EGID falls die Definition der Gebäude mit jener des BFS übereinstimmt</t>
  </si>
  <si>
    <t>-&gt; Oggetto_singolo</t>
  </si>
  <si>
    <t>Numero_Oggetto_di</t>
  </si>
  <si>
    <t>-&gt; Objet_divers</t>
  </si>
  <si>
    <t>Numero_Objet_de</t>
  </si>
  <si>
    <t>-&gt; Einzelobjekt</t>
  </si>
  <si>
    <t>Objektnummer_von</t>
  </si>
  <si>
    <t>PosNome_Oggetto</t>
  </si>
  <si>
    <t>PosNom_Objet</t>
  </si>
  <si>
    <t>ObjektnamePos</t>
  </si>
  <si>
    <t>-&gt; Nome_Oggetto</t>
  </si>
  <si>
    <t>PosNome_Oggetto_di</t>
  </si>
  <si>
    <t>-&gt; Nom_Objet</t>
  </si>
  <si>
    <t>PosNom_Objet_de</t>
  </si>
  <si>
    <t>-&gt; Objektname</t>
  </si>
  <si>
    <t>ObjektnamePos_von</t>
  </si>
  <si>
    <t>Nome_Oggetto</t>
  </si>
  <si>
    <t>Nom_Objet</t>
  </si>
  <si>
    <t>Nome_Oggetto_di</t>
  </si>
  <si>
    <t>Nom_Objet_de</t>
  </si>
  <si>
    <t>Objektname_von</t>
  </si>
  <si>
    <t>SimboloElemento_lineare</t>
  </si>
  <si>
    <t>SymboleElement_lineaire</t>
  </si>
  <si>
    <t>LinienelementSymbol</t>
  </si>
  <si>
    <t>-&gt; Elemento_lineare</t>
  </si>
  <si>
    <t>SimboloEl_lineare_di</t>
  </si>
  <si>
    <t>-&gt; Element_lineaire</t>
  </si>
  <si>
    <t>SymboleElement_lineaire_de</t>
  </si>
  <si>
    <t>-&gt; Linienelement</t>
  </si>
  <si>
    <t>LinienelementSymbol_von</t>
  </si>
  <si>
    <t>SimboloEl_con_superficie</t>
  </si>
  <si>
    <t>SymboleElement_surf</t>
  </si>
  <si>
    <t>FlaechenelementSymbol</t>
  </si>
  <si>
    <t>-&gt; Elemento_con_superficie</t>
  </si>
  <si>
    <t>SimboloEl_con_sup_di</t>
  </si>
  <si>
    <t>-&gt; Element_surfacique</t>
  </si>
  <si>
    <t>SymboleElement_surf_de</t>
  </si>
  <si>
    <t>-&gt; Flaechenelement</t>
  </si>
  <si>
    <t>FlaechenelementSymbol_von</t>
  </si>
  <si>
    <t>Elemento_con_sup_di</t>
  </si>
  <si>
    <t>Genere_OS</t>
  </si>
  <si>
    <t>Oggetto_singolo</t>
  </si>
  <si>
    <t>Genre_OD</t>
  </si>
  <si>
    <t>Objet_divers</t>
  </si>
  <si>
    <t>EOArt</t>
  </si>
  <si>
    <t>Tenuta_a_giornoOS</t>
  </si>
  <si>
    <t>Mise_a_jourOD</t>
  </si>
  <si>
    <t>punto_di_riferimento</t>
  </si>
  <si>
    <t>sorgente</t>
  </si>
  <si>
    <t>cappella_statua_crocifisso</t>
  </si>
  <si>
    <t>albero_importante</t>
  </si>
  <si>
    <t>asse</t>
  </si>
  <si>
    <t>grotta_entrata_di_caverna</t>
  </si>
  <si>
    <t>traghetto</t>
  </si>
  <si>
    <t>scilift</t>
  </si>
  <si>
    <t>teleferica_per_il_materiale</t>
  </si>
  <si>
    <t>telecabina_seggiovia</t>
  </si>
  <si>
    <t>teleferica</t>
  </si>
  <si>
    <t>binari_ferrovia</t>
  </si>
  <si>
    <t>condotta_forzata</t>
  </si>
  <si>
    <t>linea_aerea_ad_alta_tensione</t>
  </si>
  <si>
    <t>sentiero</t>
  </si>
  <si>
    <t>ruscello</t>
  </si>
  <si>
    <t>fascia_boscata</t>
  </si>
  <si>
    <t>masso_erratico</t>
  </si>
  <si>
    <t>debarcadero</t>
  </si>
  <si>
    <t>rovina_oggetto_archeologico</t>
  </si>
  <si>
    <t>zoccolo_massiccio</t>
  </si>
  <si>
    <t>riparo_antivalanghe</t>
  </si>
  <si>
    <t>briglia</t>
  </si>
  <si>
    <t>arginatura</t>
  </si>
  <si>
    <t>torre_panoramica</t>
  </si>
  <si>
    <t>palo_antenna</t>
  </si>
  <si>
    <t>monumento</t>
  </si>
  <si>
    <t>ciminiera</t>
  </si>
  <si>
    <t>silo_torre_gasometro</t>
  </si>
  <si>
    <t>riparo</t>
  </si>
  <si>
    <t>pilastro</t>
  </si>
  <si>
    <t>serbatoio</t>
  </si>
  <si>
    <t>fontana</t>
  </si>
  <si>
    <t>banchina ferroviaria</t>
  </si>
  <si>
    <t>banchina</t>
  </si>
  <si>
    <t>quai de chemin de fer</t>
  </si>
  <si>
    <t>ponte_passerella</t>
  </si>
  <si>
    <t>tunnel_sottopassaggio_galleria</t>
  </si>
  <si>
    <t>scala_importante</t>
  </si>
  <si>
    <t>acqua_sotterranea_canalizzata</t>
  </si>
  <si>
    <t>altra_parte_di_edificio</t>
  </si>
  <si>
    <t>edificio_sotterraneo</t>
  </si>
  <si>
    <t>muro</t>
  </si>
  <si>
    <t>Copertura_del_suolo</t>
  </si>
  <si>
    <t>Couverture_du_sol</t>
  </si>
  <si>
    <t>-&gt; Tenuta_a_giornoCS</t>
  </si>
  <si>
    <t>-&gt; Mise_a_jourCS</t>
  </si>
  <si>
    <t>-&gt; BBNachfuehrung</t>
  </si>
  <si>
    <t>SimboloSuperficieCS</t>
  </si>
  <si>
    <t>SymboleSurfaceCS</t>
  </si>
  <si>
    <t>BoFlaecheSymbol</t>
  </si>
  <si>
    <t>Pos interna alla SuperficieCS</t>
  </si>
  <si>
    <t>Pos dans SurfaceCS</t>
  </si>
  <si>
    <t>Pos innerhalb BoFlaeche</t>
  </si>
  <si>
    <t>-&gt; SuperficieCS</t>
  </si>
  <si>
    <t>SimboloSuperficieCS_di</t>
  </si>
  <si>
    <t>-&gt; SurfaceCS</t>
  </si>
  <si>
    <t>SymboleSurfaceCS_de</t>
  </si>
  <si>
    <t>-&gt; BoFlaeche</t>
  </si>
  <si>
    <t>BoFlaecheSymbol_von</t>
  </si>
  <si>
    <t>PosNom_objet</t>
  </si>
  <si>
    <t>-&gt; Nom_objet</t>
  </si>
  <si>
    <t>PosNom_objet_de</t>
  </si>
  <si>
    <t>Nom_objet</t>
  </si>
  <si>
    <t>Nom_objet_de</t>
  </si>
  <si>
    <t>PosNumero_di_edificio</t>
  </si>
  <si>
    <t>PosNumero_de_batiment</t>
  </si>
  <si>
    <t>GebaeudenummerPos</t>
  </si>
  <si>
    <t>-&gt; Numero_di_edificio</t>
  </si>
  <si>
    <t>PosNumero_di_edificio_di</t>
  </si>
  <si>
    <t>-&gt; Numero_de_batiment</t>
  </si>
  <si>
    <t>PosNumero_de_batiment_de</t>
  </si>
  <si>
    <t>-&gt; Gebaeudenummer</t>
  </si>
  <si>
    <t>GebaeudenummerPos_von</t>
  </si>
  <si>
    <t>Numero_di_edificio</t>
  </si>
  <si>
    <t>Numero_de_batiment</t>
  </si>
  <si>
    <t>Gebaeudenummer</t>
  </si>
  <si>
    <t>edificio</t>
  </si>
  <si>
    <t>Numero_di_edificio_di</t>
  </si>
  <si>
    <t>batiment, relation 1-mc</t>
  </si>
  <si>
    <t>Numero_de_batiment_de</t>
  </si>
  <si>
    <t>Gebaeude, Beziehung 1-mc</t>
  </si>
  <si>
    <t>Gebaeudenummer_von</t>
  </si>
  <si>
    <t>Genere_CS</t>
  </si>
  <si>
    <t>SuperficieCS</t>
  </si>
  <si>
    <t>Genre_CS</t>
  </si>
  <si>
    <t>SurfaceCS</t>
  </si>
  <si>
    <t>BBArt</t>
  </si>
  <si>
    <t>BoFlaeche</t>
  </si>
  <si>
    <t>SimboloSuperficieCSProg</t>
  </si>
  <si>
    <t>SymboleSurfaceCSProj</t>
  </si>
  <si>
    <t>ProjBoFlaecheSymbol</t>
  </si>
  <si>
    <t>Pos interna alla SuperficieCSProg</t>
  </si>
  <si>
    <t>Pos dans SurfaceCSProj</t>
  </si>
  <si>
    <t>Pos innerhalb ProjBoFlaeche</t>
  </si>
  <si>
    <t>-&gt; SuperficieCSProg</t>
  </si>
  <si>
    <t>SimboloSupCSProg_di</t>
  </si>
  <si>
    <t>-&gt; SurfaceCSProj</t>
  </si>
  <si>
    <t>SymboleSurfCSProj_de</t>
  </si>
  <si>
    <t>-&gt; ProjBoFlaeche</t>
  </si>
  <si>
    <t>ProjBoFlaecheSymbol_von</t>
  </si>
  <si>
    <t>PosNomeOggettoProg</t>
  </si>
  <si>
    <t>PosNomObjetProj</t>
  </si>
  <si>
    <t>ProjObjektnamePos</t>
  </si>
  <si>
    <t>-&gt; NomeOggettoProg</t>
  </si>
  <si>
    <t>PosNomeOggettoProg_di</t>
  </si>
  <si>
    <t>-&gt; NomObjetProj</t>
  </si>
  <si>
    <t>PosNomObjetProj_de</t>
  </si>
  <si>
    <t>-&gt; ProjObjektname</t>
  </si>
  <si>
    <t>ProjObjektnamePos_von</t>
  </si>
  <si>
    <t>NomeOggettoProg</t>
  </si>
  <si>
    <t>NomObjetProj</t>
  </si>
  <si>
    <t>ProjObjektname</t>
  </si>
  <si>
    <t>NomeOggettoProg_di</t>
  </si>
  <si>
    <t>NomObjetProj_de</t>
  </si>
  <si>
    <t>ProjObjektname_von</t>
  </si>
  <si>
    <t>PosNumeroEdificioProg</t>
  </si>
  <si>
    <t>PosNumeroBatimentProj</t>
  </si>
  <si>
    <t>ProjGebaeudenummerPos</t>
  </si>
  <si>
    <t>-&gt; NumeroEdificioProg</t>
  </si>
  <si>
    <t>PosNumeroEdificioProg_di</t>
  </si>
  <si>
    <t>-&gt; NumeroBatimentProj</t>
  </si>
  <si>
    <t>PosNumeroBatimentProj_de</t>
  </si>
  <si>
    <t>-&gt; ProjGebaeudenummer</t>
  </si>
  <si>
    <t>ProjGebaeudenummerPos_von</t>
  </si>
  <si>
    <t>NumeroEdificioProg</t>
  </si>
  <si>
    <t>NumeroBatimentProj</t>
  </si>
  <si>
    <t>ProjGebaeudenummer</t>
  </si>
  <si>
    <t>assegnato dal cantone (risp. dal comune)</t>
  </si>
  <si>
    <t>attribution par le canton (resp. la commune)</t>
  </si>
  <si>
    <t>Vergabe durch Kanton (bzw. Gemeinde)</t>
  </si>
  <si>
    <t>NumeroEdificioProg_di</t>
  </si>
  <si>
    <t>NumeroBatimentProj_de</t>
  </si>
  <si>
    <t>Gebaeude, [Beziehung 1-mc]</t>
  </si>
  <si>
    <t>ProjGebaeudenummer_von</t>
  </si>
  <si>
    <t>SuperficieCSProg</t>
  </si>
  <si>
    <t>SurfaceCSProj</t>
  </si>
  <si>
    <t>ProjBoFlaeche</t>
  </si>
  <si>
    <t>Tenuta_a_giornoCS</t>
  </si>
  <si>
    <t>Mise_a_jourCS</t>
  </si>
  <si>
    <t>senza_vegetazione.altra_senza_vegetazione</t>
  </si>
  <si>
    <t>sans_vegetation.autre_sans_vegetation</t>
  </si>
  <si>
    <t>senza_vegetazione.cava_di_ghiaia_discarica</t>
  </si>
  <si>
    <t>sans_vegetation.graviere_decharge</t>
  </si>
  <si>
    <t>senza_vegetazione.pietraia_sabbia</t>
  </si>
  <si>
    <t>sans_vegetation.eboulis_sable</t>
  </si>
  <si>
    <t>senza_vegetazione.ghiacciaio_nevaio</t>
  </si>
  <si>
    <t>sans_vegetation.glacier_neve</t>
  </si>
  <si>
    <t>senza_vegetazione.roccia</t>
  </si>
  <si>
    <t>sans_vegetation.rocher</t>
  </si>
  <si>
    <t>bosco.altro_bosco</t>
  </si>
  <si>
    <t>boisee.autre_boisee</t>
  </si>
  <si>
    <t>vedi commento cap. 3.4</t>
  </si>
  <si>
    <t>bosco.pascolo_boscato.pascolo_boscato_rado</t>
  </si>
  <si>
    <t>voir explications chap. 3.4</t>
  </si>
  <si>
    <t>boisee.paturage_boise.paturage_boise_ouvert</t>
  </si>
  <si>
    <t>Wytweide = bestockte Weide, Erklaerungen Kap. 3.4</t>
  </si>
  <si>
    <t>bosco.pascolo_boscato.pascolo_boscato_fitto</t>
  </si>
  <si>
    <t>boisee.paturage_boise.paturage_boise_dense</t>
  </si>
  <si>
    <t>bosco.bosco_fitto</t>
  </si>
  <si>
    <t>boisee.foret_dense</t>
  </si>
  <si>
    <t>acque.canneti</t>
  </si>
  <si>
    <t>eau.roseliere</t>
  </si>
  <si>
    <t>acque.corso_acqua</t>
  </si>
  <si>
    <t>eau.cours_eau</t>
  </si>
  <si>
    <t>Gewaesser.fliessendes</t>
  </si>
  <si>
    <t>acque.specchio_acqua</t>
  </si>
  <si>
    <t>eau.eau_stagnante</t>
  </si>
  <si>
    <t>Gewaesser.stehendes</t>
  </si>
  <si>
    <t>humus.altro_humus</t>
  </si>
  <si>
    <t>verte.autre_verte</t>
  </si>
  <si>
    <t>humus.torbiera</t>
  </si>
  <si>
    <t>verte.tourbiere</t>
  </si>
  <si>
    <t>humus.giardino</t>
  </si>
  <si>
    <t>verte.jardin</t>
  </si>
  <si>
    <t>humus.coltura_intensiva.altra_coltura_intensiva</t>
  </si>
  <si>
    <t>verte.culture_intensive.autre_culture_intensive</t>
  </si>
  <si>
    <t>humus.coltura_intensiva.vigna</t>
  </si>
  <si>
    <t>verte.culture_intensive.vigne</t>
  </si>
  <si>
    <t>humus.campo_prato_pascolo</t>
  </si>
  <si>
    <t>verte.champ_pre_paturage</t>
  </si>
  <si>
    <t>rivestimento_duro.altro_rivestimento_duro</t>
  </si>
  <si>
    <t>revetement_dur.autre_revetement_dur</t>
  </si>
  <si>
    <t>rivestimento_duro.bacino_idrico</t>
  </si>
  <si>
    <t>revetement_dur.bassin</t>
  </si>
  <si>
    <t>rivestimento_duro.aeroporto</t>
  </si>
  <si>
    <t>revetement_dur.place_aviation</t>
  </si>
  <si>
    <t>rivestimento_duro.ferrovia</t>
  </si>
  <si>
    <t>revetement_dur.chemin_de_fer</t>
  </si>
  <si>
    <t>rivestimento_duro.spartitraffico</t>
  </si>
  <si>
    <t>revetement_dur.ilot</t>
  </si>
  <si>
    <t>rivestimento_duro.marciapiede</t>
  </si>
  <si>
    <t>revetement_dur.trottoir</t>
  </si>
  <si>
    <t>rivestimento_duro.strada_sentiero</t>
  </si>
  <si>
    <t>revetement_dur.route_chemin</t>
  </si>
  <si>
    <t>PosPFA3</t>
  </si>
  <si>
    <t>Punti_fissiCategoria3</t>
  </si>
  <si>
    <t>Points_fixesCategorie3</t>
  </si>
  <si>
    <t>HFP3Pos</t>
  </si>
  <si>
    <t>FixpunkteKategorie3</t>
  </si>
  <si>
    <t>relazione 1-1; iscrizione del Numero</t>
  </si>
  <si>
    <t>-&gt; PFA3</t>
  </si>
  <si>
    <t>PosPFA3_di</t>
  </si>
  <si>
    <t>relation 1-1; inscription de Numero</t>
  </si>
  <si>
    <t>PosPFA3_de</t>
  </si>
  <si>
    <t>Beziehung 1-1; beschriftet Nummer</t>
  </si>
  <si>
    <t>-&gt; HFP3</t>
  </si>
  <si>
    <t>HFP3Pos_von</t>
  </si>
  <si>
    <t>AttendAlt</t>
  </si>
  <si>
    <t>FiabAlt</t>
  </si>
  <si>
    <t>HoeheZuv</t>
  </si>
  <si>
    <t>PrecAlt</t>
  </si>
  <si>
    <t>HoeheGen</t>
  </si>
  <si>
    <t>-&gt; Tenuta_a_giornoPFA3</t>
  </si>
  <si>
    <t>-&gt; Mise_a_jourPFA3</t>
  </si>
  <si>
    <t>-&gt; HFP3Nachfuehrung</t>
  </si>
  <si>
    <t>Tenuta_a_giornoPFA3</t>
  </si>
  <si>
    <t>Mise_a_jourPFA3</t>
  </si>
  <si>
    <t>SimboloPFP3</t>
  </si>
  <si>
    <t>SymbolePFP3</t>
  </si>
  <si>
    <t>LFP3Symbol</t>
  </si>
  <si>
    <t>-&gt; PFP3</t>
  </si>
  <si>
    <t>SimboloPFP3_di</t>
  </si>
  <si>
    <t>SymbolePFP3_de</t>
  </si>
  <si>
    <t>-&gt; LFP3</t>
  </si>
  <si>
    <t>LFP3Symbol_von</t>
  </si>
  <si>
    <t>PosPFP3</t>
  </si>
  <si>
    <t>LFP3Pos</t>
  </si>
  <si>
    <t>PosPFP3_di</t>
  </si>
  <si>
    <t>PosPFP3_de</t>
  </si>
  <si>
    <t>LFP3Pos_von</t>
  </si>
  <si>
    <t>Protocollo</t>
  </si>
  <si>
    <t>Solamente non_materializzato non ammesso</t>
  </si>
  <si>
    <t>Seul Non materialise pas permis</t>
  </si>
  <si>
    <t>nur unversichert nicht zugelassen</t>
  </si>
  <si>
    <t>dipendente da GeomAlt</t>
  </si>
  <si>
    <t>dependant de GeomAlt</t>
  </si>
  <si>
    <t>abhängig von HöheGeom</t>
  </si>
  <si>
    <t>-&gt; Tenuta_a_giornoPFP3</t>
  </si>
  <si>
    <t>-&gt; Mise_a_jourPFP3</t>
  </si>
  <si>
    <t>-&gt; LFP3Nachfuehrung</t>
  </si>
  <si>
    <t>Tenuta_a_giornoPFP3</t>
  </si>
  <si>
    <t>Mise_a_jourPFP3</t>
  </si>
  <si>
    <t>PosPFA2</t>
  </si>
  <si>
    <t>Punti_fissiCategoria2</t>
  </si>
  <si>
    <t>Points_fixesCategorie2</t>
  </si>
  <si>
    <t>HFP2Pos</t>
  </si>
  <si>
    <t>FixpunkteKategorie2</t>
  </si>
  <si>
    <t>-&gt; PFA2</t>
  </si>
  <si>
    <t>PosPFA2_di</t>
  </si>
  <si>
    <t>PosPFA2_de</t>
  </si>
  <si>
    <t>-&gt; HFP2</t>
  </si>
  <si>
    <t>HFP2Pos_von</t>
  </si>
  <si>
    <t>-&gt; Tenuta_a_giornoPFA2</t>
  </si>
  <si>
    <t>-&gt; Mise_a_jourPFA2</t>
  </si>
  <si>
    <t>-&gt; HFP2Nachfuehrung</t>
  </si>
  <si>
    <t>Tenuta_a_giornoPFA2</t>
  </si>
  <si>
    <t>Mise_a_jourPFA2</t>
  </si>
  <si>
    <t>HFP2Nachfuehrung</t>
  </si>
  <si>
    <t>SimboloPFP2</t>
  </si>
  <si>
    <t>SymbolePFP2</t>
  </si>
  <si>
    <t>LFP2Symbol</t>
  </si>
  <si>
    <t>-&gt; PFP2</t>
  </si>
  <si>
    <t>SimboloPFP2_di</t>
  </si>
  <si>
    <t>SymbolePFP2_de</t>
  </si>
  <si>
    <t>-&gt; LFP2</t>
  </si>
  <si>
    <t>LFP2Symbol_von</t>
  </si>
  <si>
    <t>PosPFP2</t>
  </si>
  <si>
    <t>LFP2Pos</t>
  </si>
  <si>
    <t>PosPFP2_di</t>
  </si>
  <si>
    <t>PosPFP2_de</t>
  </si>
  <si>
    <t>LFP2Pos_von</t>
  </si>
  <si>
    <t>Accessibilita</t>
  </si>
  <si>
    <t>Accessibilite</t>
  </si>
  <si>
    <t>Begehbarkeit</t>
  </si>
  <si>
    <t>assegnato da swisstopo</t>
  </si>
  <si>
    <t>attribution par swisstopo</t>
  </si>
  <si>
    <t>Vergabe durch swisstopo</t>
  </si>
  <si>
    <t>-&gt; Tenuta_a_giornoPFP2</t>
  </si>
  <si>
    <t>-&gt; Mise_a_jourPFP2</t>
  </si>
  <si>
    <t>-&gt; LFP2Nachfuehrung</t>
  </si>
  <si>
    <t>Tenuta_a_giornoPFP2</t>
  </si>
  <si>
    <t>Mise_a_jourPFP2</t>
  </si>
  <si>
    <t>LFP2Nachfuehrung</t>
  </si>
  <si>
    <t>PosPFA1</t>
  </si>
  <si>
    <t>Punti_fissiCategoria1</t>
  </si>
  <si>
    <t>Points_fixesCategorie1</t>
  </si>
  <si>
    <t>HFP1Pos</t>
  </si>
  <si>
    <t>FixpunkteKategorie1</t>
  </si>
  <si>
    <t>-&gt; PFA1</t>
  </si>
  <si>
    <t>PosPFA1_di</t>
  </si>
  <si>
    <t>PosPFA1_de</t>
  </si>
  <si>
    <t>-&gt; HFP1</t>
  </si>
  <si>
    <t>HFP1Pos_von</t>
  </si>
  <si>
    <t>-&gt; Tenuta_a_giornoPFA1</t>
  </si>
  <si>
    <t>-&gt; Mise_a_jourPFA1</t>
  </si>
  <si>
    <t>-&gt; HFP1Nachfuehrung</t>
  </si>
  <si>
    <t>Tenuta_a_giornoPFA1</t>
  </si>
  <si>
    <t>Mise_a_jourPFA1</t>
  </si>
  <si>
    <t>HFP1Nachfuehrung</t>
  </si>
  <si>
    <t>SimboloPFP1</t>
  </si>
  <si>
    <t>SymbolePFP1</t>
  </si>
  <si>
    <t>LFP1Symbol</t>
  </si>
  <si>
    <t>-&gt; PFP1</t>
  </si>
  <si>
    <t>SimboloPFP1_di</t>
  </si>
  <si>
    <t>SymbolePFP1_de</t>
  </si>
  <si>
    <t>-&gt; LFP1</t>
  </si>
  <si>
    <t>LFP1Symbol_von</t>
  </si>
  <si>
    <t>PosPFP1</t>
  </si>
  <si>
    <t>LFP1Pos</t>
  </si>
  <si>
    <t>PosPFP1_di</t>
  </si>
  <si>
    <t>PosPFP1_de</t>
  </si>
  <si>
    <t>LFP1Pos_von</t>
  </si>
  <si>
    <t>assegnato da  swisstopo</t>
  </si>
  <si>
    <t>-&gt; Tenuta_a_giornoPFP1</t>
  </si>
  <si>
    <t>-&gt; Mise_a_jourPFP1</t>
  </si>
  <si>
    <t>-&gt; LFP1Nachfuehrung</t>
  </si>
  <si>
    <t>Tenuta_a_giornoPFP1</t>
  </si>
  <si>
    <t>Mise_a_jourPFP1</t>
  </si>
  <si>
    <t>LFP1Nachfuehrung</t>
  </si>
  <si>
    <t>Per indirizzo degli edifici, vedi SN 612040. English</t>
  </si>
  <si>
    <t>en</t>
  </si>
  <si>
    <t>Generale</t>
  </si>
  <si>
    <t>Pour adresses_batiment, voir SN 612040. English</t>
  </si>
  <si>
    <t>Général</t>
  </si>
  <si>
    <t>Fuer Gebaeudeadressen, siehe SN 612040. English</t>
  </si>
  <si>
    <t>Allgemein</t>
  </si>
  <si>
    <t>Per indirizzo degli edifici, vedi SN 612040. Rhaeto rumantsch</t>
  </si>
  <si>
    <t>Pour adresses_batiment, voir SN 612040. Rumantsch</t>
  </si>
  <si>
    <t>Fuer Gebaeudeadressen, siehe SN 612040. Rumantsch</t>
  </si>
  <si>
    <t>Per indirizzo degli edifici, vedi SN 612040. Italiano</t>
  </si>
  <si>
    <t>Pour adresses_batiment, voir SN 612040. Italiano</t>
  </si>
  <si>
    <t>Fuer Gebaeudeadressen, siehe SN 612040. Italiano</t>
  </si>
  <si>
    <t>Per indirizzo degli edifici, vedi SN 612040. Francais</t>
  </si>
  <si>
    <t>Pour adresses_batiment, voir SN 612040. Francais</t>
  </si>
  <si>
    <t>Fuer Gebaeudeadressen, siehe SN 612040. Francais</t>
  </si>
  <si>
    <t>Per indirizzo degli edifici, vedi SN 612040. Deutsch</t>
  </si>
  <si>
    <t>Pour adresses_batiment, voir SN 612040. Deutsch</t>
  </si>
  <si>
    <t>Fuer Gebaeudeadressen, siehe SN 612040. Deutsch</t>
  </si>
  <si>
    <t>Per indirizzi degli edifici, vedi SN 612040. L'oggetto non esiste piu</t>
  </si>
  <si>
    <t>passato</t>
  </si>
  <si>
    <t>Pour adresses_batiment, voir SN 612040. L'objet n'existe plus</t>
  </si>
  <si>
    <t>Fuer Gebaeudeadressen, siehe SN 612040. Objekt existiert nicht mehr</t>
  </si>
  <si>
    <t>Per indirizzi degli edifici, vedi SN 612040. L'oggetto esiste veramente</t>
  </si>
  <si>
    <t>reale</t>
  </si>
  <si>
    <t>Pour adresses_batiment, voir SN 612040. L'objet existe vraiment</t>
  </si>
  <si>
    <t>Fuer Gebaeudeadressen, siehe SN 612040. Objekt existiert real</t>
  </si>
  <si>
    <t>Per indirizzi degli edifici, vedi SN 612040. Nuovo oggetto in elaborazione. Stato provvisorio o non riconosciuto</t>
  </si>
  <si>
    <t>in_progetto</t>
  </si>
  <si>
    <t>Pour adresses_batiment, voir SN 612040. Nouvel objet en travail. Etat provisoire ou non reconnu</t>
  </si>
  <si>
    <t>Fuer Gebaeudeadressen, siehe SN 612040. Neues Objekt, in Bearbeitung, Zustand zufaellig</t>
  </si>
  <si>
    <t>non_materializzato</t>
  </si>
  <si>
    <t>non_materialise</t>
  </si>
  <si>
    <t>croce_scolpito</t>
  </si>
  <si>
    <t>croix</t>
  </si>
  <si>
    <t>palo_picchetto</t>
  </si>
  <si>
    <t>pieu</t>
  </si>
  <si>
    <t>tubo</t>
  </si>
  <si>
    <t>tuyau</t>
  </si>
  <si>
    <t>bullone</t>
  </si>
  <si>
    <t>cheville</t>
  </si>
  <si>
    <t>termine_artificiale</t>
  </si>
  <si>
    <t>borne_artificielle</t>
  </si>
  <si>
    <t>termine_cippo</t>
  </si>
  <si>
    <t>borne</t>
  </si>
  <si>
    <t>spaziato</t>
  </si>
  <si>
    <t>ecarte</t>
  </si>
  <si>
    <t>gesperrt</t>
  </si>
  <si>
    <t>grande</t>
  </si>
  <si>
    <t>gross</t>
  </si>
  <si>
    <t>piccolo</t>
  </si>
  <si>
    <t>petite</t>
  </si>
  <si>
    <t>klein</t>
  </si>
  <si>
    <t>GRADS 0 399.9</t>
  </si>
  <si>
    <t>Prodotti sostitutivi provvisori</t>
  </si>
  <si>
    <t>PRP</t>
  </si>
  <si>
    <t>Produits de remplacement provisoires</t>
  </si>
  <si>
    <t>Provisorischen Ersatzprodukte</t>
  </si>
  <si>
    <t>PEP</t>
  </si>
  <si>
    <t>DP</t>
  </si>
  <si>
    <t>MP74</t>
  </si>
  <si>
    <t>PV74</t>
  </si>
  <si>
    <t>MU93</t>
  </si>
  <si>
    <t>valevole</t>
  </si>
  <si>
    <t>valable</t>
  </si>
  <si>
    <t>gueltig</t>
  </si>
  <si>
    <t>insufficente</t>
  </si>
  <si>
    <t>no</t>
  </si>
  <si>
    <t>insuffisante</t>
  </si>
  <si>
    <t>non</t>
  </si>
  <si>
    <t>ungenuegend</t>
  </si>
  <si>
    <t>nein</t>
  </si>
  <si>
    <t>sufficente</t>
  </si>
  <si>
    <t>si</t>
  </si>
  <si>
    <t>suffisante</t>
  </si>
  <si>
    <t>oui</t>
  </si>
  <si>
    <t>genuegend</t>
  </si>
  <si>
    <t>ja</t>
  </si>
  <si>
    <t>in cm</t>
  </si>
  <si>
    <t>[0.0 .. 700.0]</t>
  </si>
  <si>
    <t>en cm</t>
  </si>
  <si>
    <t>DIM1 -200 5000</t>
  </si>
  <si>
    <t>COORD3 2480000 1070000 -200
2850000 1310000 5000</t>
  </si>
  <si>
    <t>COORD2 2480000 1070000
2850000 1310000</t>
  </si>
  <si>
    <t>Commenti</t>
  </si>
  <si>
    <t>Definizione</t>
  </si>
  <si>
    <t>Attributo</t>
  </si>
  <si>
    <t>Tabella</t>
  </si>
  <si>
    <t>Remarques</t>
  </si>
  <si>
    <t>Définition</t>
  </si>
  <si>
    <t>Table</t>
  </si>
  <si>
    <t>Bemerkung</t>
  </si>
  <si>
    <t>Wertebereich</t>
  </si>
  <si>
    <t>Tabelle</t>
  </si>
  <si>
    <t>ADK</t>
  </si>
  <si>
    <t>Opt.</t>
  </si>
  <si>
    <t>FK</t>
  </si>
  <si>
    <t>DM.01_AV-CH_LV95_24i (Italiano)</t>
  </si>
  <si>
    <t>DM.01_AV-CH_LV95_24f (Français)</t>
  </si>
  <si>
    <t>DM.01_AV-CH_LV95_24d (Deutsch)</t>
  </si>
  <si>
    <t>I</t>
  </si>
  <si>
    <t>LFP1 mit Höhe muss Angaben zur Höhengenauigkeit enthalten.
LFP1 ohne Höhe darf keine Anhgaben zur Höhengenauigkeit enthalten.</t>
  </si>
  <si>
    <t>LFP1 mit Höhe muss Angaben zur Höhenzuverlässigkeit enthalten.
LFP1 ohne Höhe darf keine Anhgaben zur Höhenzuverlässigkeit enthalten.</t>
  </si>
  <si>
    <t>Vermarkungsart "unversichert" ist für LFP3 nicht zulässig.</t>
  </si>
  <si>
    <t>Ein nicht exakt definierter Grenzpunkt darf ausschliesslich als "unversichert" attribuiert werden.</t>
  </si>
  <si>
    <t>DEFINED(@PH1@)==DEFINED(@PH2@)</t>
  </si>
  <si>
    <t>Liegt das Grundstück vollständig vor, darf kein Gesamtflächenmass erfasst werden.
Liegt das Grundstück unvollständig vor, ist ein Gesamtflächenmass zu erfassen.</t>
  </si>
  <si>
    <t>Ist die Liegenschaft als "fiktiv" attribuiert, muss das Grundstück ebenfalls als "fiktiv" attribuiert werden.
Ist die Liegenschaft nicht als "fiktiv" attribuiert, darf das Grundstück ebenfalls nicht als "fiktiv" attribuiert werden.</t>
  </si>
  <si>
    <t>Grundstücke der Art "SelbstaendigesDauerndesRecht" dürfen nicht als "fiktiv" attribuiert werden.</t>
  </si>
  <si>
    <t>Grundstücke der Art "Bergwerk" dürfen nicht als "fiktiv" attribuiert werden.</t>
  </si>
  <si>
    <t>Wenn das Objekt "Gemeindegrenze" "fiktiv" attribuiert ist, muss auch das Objekt "Gemeinde" als "fiktiv" attribuiert werden.</t>
  </si>
  <si>
    <t>Das Objekt "Grundstück" muss als "Liegenschaft" attribuiert sein, um in Beziehung zu einem Objekt "Liegenschaft" zu stehen.</t>
  </si>
  <si>
    <t>Das Objekt "Grundstück" muss als "SelbstaendigesDauerndesRecht" attribuiert sein, um in Beziehung zu einem Objekt "SelbstaendigesDauerndesRecht" zu stehen.</t>
  </si>
  <si>
    <t>Das Objekt "Grundstück" muss als "Bergwerk" attribuiert sein um in Beziehung zu einem Objekt "Bergwerk" zu stehen.</t>
  </si>
  <si>
    <t>Ist das Objekt "Bodenbedeckung" "fiktiv", ist die Bodenbedeckungart nicht zu definieren.
Ist das Objekt "Bodenbedeckung" nicht "fiktiv", ist eine Bodenbedeckungsart zu definieren.</t>
  </si>
  <si>
    <t>Ein Objekt "Einzelobjekt" muss mindestens eine Geometrie der Struktur "Flächenelement", "Linienelement" oder "Punktelement" enthalten.</t>
  </si>
  <si>
    <t>Ein Objekt "Rohrleitung" muss mindestens eine Geometrie der Struktur "Flächenelement", "Linienelement" oder "Punktelement" enthalten.</t>
  </si>
  <si>
    <t>Alle Gemeinden herausfiltern die rechtskräftig entstanden (real) aber nicht rechtskräftig untergegangen (vergangen) sind.</t>
  </si>
  <si>
    <t>Die BFSNummer muss eindeutig sein.</t>
  </si>
  <si>
    <t>Alle Gemeindegrenzen herausfiltern die rechtskräftig entstanden (real) aber nicht rechtskräftig untergegangen (vergangen) sind.</t>
  </si>
  <si>
    <t>Alle projektierten Gemeindegrenzabschnitte herausfiltern die entstanden aber nicht genehmigt (projektiert) sind.</t>
  </si>
  <si>
    <t>Alle Bezirkgsgrenzabschnitte herausfiltern die rechtskräftig entstanden (real) aber nicht rechtskräftig untergegangen (vergangen) sind.</t>
  </si>
  <si>
    <t>Alle Kantonsgrenzabschnitte herausfiltern die rechtskräftig entstanden (real) aber nicht rechtskräftig untergegangen (vergangen) sind.</t>
  </si>
  <si>
    <t>Alle Grenzpunkte herausfiltern die rechtskräftig entstanden (real) aber nicht rechtskräftig untergegangen (vergangen) sind.</t>
  </si>
  <si>
    <t>Es dürfen nicht mehrere reale Grenzpunkte mit gleichen Koordinatenwerten existieren.</t>
  </si>
  <si>
    <t>Alle Grundstücke herausfiltern die rechtskräftig entstanden (real) aber nicht rechtskräftig untergegangen (vergangen) sind.</t>
  </si>
  <si>
    <t>Es dürfen nicht mehrere reale Grundstücke mit gleichem EGRID existieren.</t>
  </si>
  <si>
    <t>Wenn ein Teil der Liegenschaft bestritten ist, muss die Linie die den bestrittenen Teil markiert, deckungsgleich mit der Geometrie des Objekts "Liegenschaft" sein.</t>
  </si>
  <si>
    <t>Wenn ein Teil des selbständigen und dauernden Rechts bestritten ist, muss die Linie die den bestrittenen Teil markiert, deckungsgleich mit der Geometrie des Objekts "SelbstaendigesDauerndesRecht" sein.</t>
  </si>
  <si>
    <t>Wenn ein Teil des Bergwerks bestritten ist, muss die Linie die den bestrittenen Teil markiert, deckungsgleich mit der Geometrie des Objekts "Bergwerk" sein.</t>
  </si>
  <si>
    <t>Wenn ein Teil der Rohrleitung sichtbar ist, muss die Linie die den sichtbaren Teil markiert, deckungsgleich mit der Geometrie der Struktur "Flaechenelement" sein.</t>
  </si>
  <si>
    <t>Alle Liegenschaften herausfiltern die rechtskräftig entstanden (real) aber nicht rechtskräftig untergegangen (vergangen) sind.</t>
  </si>
  <si>
    <t>Alle selbständig und dauernden Rechte herausfiltern die rechtskräftig entstanden (real) aber nicht rechtskräftig untergegangen (vergangen) sind.</t>
  </si>
  <si>
    <t>Alle Bergwerke herausfiltern die rechtskräftig entstanden (real) aber nicht rechtskräftig untergegangen (vergangen) sind.</t>
  </si>
  <si>
    <t>Alle dauernden Bodenverschiebungen herausfiltern die rechtskräftig entstanden (real) aber nicht rechtskräftig untergegangen (vergangen) sind.</t>
  </si>
  <si>
    <t>Die Kombination NBIdent und Nummer muss für realen dauernden Bodenverschiebungen eindeutig sein.</t>
  </si>
  <si>
    <t>Die Geometrien aller rechtskräftiger Gemeindegrenzen bilden AREA-Flächen und dürfen sich nicht überscheiden.</t>
  </si>
  <si>
    <t>Die Geometrien aller realer Bodenbedeckungsobjekte welche den Objektstatus "real" attribuiert haben, bilden AREA-Flächen und dürfen sich nicht überscheiden.</t>
  </si>
  <si>
    <t>(rechtskraeftig, streitig, provisorisch, undefiniert)</t>
  </si>
  <si>
    <t>(Signal, Tafel_Stein, weitere)</t>
  </si>
  <si>
    <t>(TS1, TS2, TS3, TS4, TS5)</t>
  </si>
  <si>
    <t>(BenanntesGebiet, Strasse, Platz)</t>
  </si>
  <si>
    <t>(keineNummern, beliebig, aufsteigend, ungeradelinks, geradelinks)</t>
  </si>
  <si>
    <t>(provisorisch, streitig, festgelegt, rechtskraeftig)</t>
  </si>
  <si>
    <t>CONSTRAINTS OF.CONSTRAINT</t>
  </si>
  <si>
    <t>DEFINED(@PH1@)==@PH2@</t>
  </si>
  <si>
    <t>Wenn das Objekt "Liegenschaft" als "Streitig" attribuiert ist, ist auch das Objekt "Grundstück" als "Streitig" zu attribuieren.
Wenn das Objekt "Liegenschaft" nicht als "Streitig" attribuiert ist, ist auch das Objekt "Grundstück" nicht als "Streitig" zu attribuieren.</t>
  </si>
  <si>
    <t>Wenn das Objekt "SelbstaendigesDauerndesRecht" als "Streitig" attribuiert ist, ist auch das Objekt "Grundstück" als "Streitig" zu attribuieren.
Wenn das Objekt "SelbstaendigesDauerndesRecht" nicht als "Streitig" attribuiert ist, ist auch das Objekt "Grundstück" nicht als "Streitig" zu attribuieren.</t>
  </si>
  <si>
    <t>Wenn das Objekt "Bergwerk" als "Streitig" attribuiert ist, ist auch das Objekt "Grundstück" als "Streitig" zu attribuieren.
Wenn das Objekt "Bergwerk" nicht als "Streitig" attribuiert ist, ist auch das Objekt "Grundstück" nicht als "Streitig" zu attribuieren.</t>
  </si>
  <si>
    <t>Wenn das Objekt "Liegenschaft" eine "NummerTeilgrundstueck" erfasst hat, ist auch das Objekt "Grundstück" als "IstVollständig=FALSE" zu attribuieren.
Wenn das Objekt "Liegenschaft" keine "NummerTeilgrundstueck" erfasst hat, ist auch das Objekt "Grundstück" als "IstVollständig=TRUE" zu attribuieren.</t>
  </si>
  <si>
    <t>Wenn das Objekt "SelbstaendigesDauerndesRecht" eine "NummerTeilgrundstueck" erfasst hat, ist auch das Objekt "Grundstück" als "IstVollständig=FALSE" zu attribuieren.
Wenn das Objekt "SelbstaendigesDauerndesRecht" keine "NummerTeilgrundstueck" erfasst hat, ist auch das Objekt "Grundstück" als "IstVollständig=TRUE" zu attribuieren.</t>
  </si>
  <si>
    <t>Wenn das Objekt "Bergwerk" eine "NummerTeilgrundstueck" erfasst hat, ist auch das Objekt "Grundstück" als "IstVollständig=FALSE" zu attribuieren.
Wenn das Objekt "Bergwerk" keine "NummerTeilgrundstueck" erfasst hat, ist auch das Objekt "Grundstück" als "IstVollständig=TRUE" zu attribuieren.</t>
  </si>
  <si>
    <t>Wenn für ein Objekt "Grundstueck" ein "Gesamtflaechenmass" erfasst ist, müssen mehrere Objekte "Liegenschaft", "SelbstaendigesDauerndesRecht" oder "Bergwerk" dem "Grundstueck" zugewiesen sein.
Wenn für ein Objekt "Grundstueck" kein "Gesamtflaechenmass" erfasst ist, darf nur ein Objekt "Liegenschaft", "SelbstaendigesDauerndesRecht" oder "Bergwerk" dem "Grundstueck" zugewiesen sein.</t>
  </si>
  <si>
    <t>Dem Objekt "Grundstueck" dürfen nur Objekte "Liegenschaften" , "SelbstaendigesDauerndesRecht" oder "Bergwerk" zugewiesen werden. Eine Mischform ist nicht zulässig.</t>
  </si>
  <si>
    <t>WB Qualitaetsstandard</t>
  </si>
  <si>
    <t>Struktur Flaechenelement</t>
  </si>
  <si>
    <t>Struktur Gebaeudename</t>
  </si>
  <si>
    <t>Struktur Gebaeudebeschreibung</t>
  </si>
  <si>
    <t>WB Grundstuecksart</t>
  </si>
  <si>
    <t>Struktur Strassenstueck</t>
  </si>
  <si>
    <t>BorneArtificielle</t>
  </si>
  <si>
    <t>NonMaterialise</t>
  </si>
  <si>
    <t>Generell</t>
  </si>
  <si>
    <t>Française</t>
  </si>
  <si>
    <t>Pour les mises a jour futures la date a renseigner est En_vigueur. Date1 correspond aux anciennes mises a jour. Dans la prochaine revision du modele de donnees Date1 sera supprime et En_vigueur sera declare obligatoire.</t>
  </si>
  <si>
    <t>par ex. numero du dossier technique</t>
  </si>
  <si>
    <t>Pour les mises a jour futures les dates a renseigner sont En_vigueur. et Enregistrement_RF. Date1 et Date2 correspondent aux anciennes mises a jour. Dans la prochaine revision du modele de donnees Date1 et Date 2 seront supprimes, En_vigueur sera declare obligatoire.</t>
  </si>
  <si>
    <t>Identificateur du systeme electronique d'informations foncieres</t>
  </si>
  <si>
    <t>incomplet si par ex. l'immeuble est situe en partie a l'exterieur du perimetre.</t>
  </si>
  <si>
    <t>Superficie_totale sera renseignee uniquement dans le cas des parties d'immeubles. Cela signife que plusieurs objets Bien_fondsProj, DDPProj ou MineProj forment un objet ImmeubleProj.</t>
  </si>
  <si>
    <t>Superficie_totale sera renseignee uniquement dans le cas des parties d'immeubles. Cela signife que plusieurs objets Bien_fonds, DDP ou Mine forment un objet Immeuble</t>
  </si>
  <si>
    <t>constitue la cle utilisateur IdentDN</t>
  </si>
  <si>
    <t>Identificateur du batiment du RegBL, lorsque disponible, voir explication chap. 3.18.2</t>
  </si>
  <si>
    <t>edificio, relazione 1-mc</t>
  </si>
  <si>
    <t>Beziehung 1-mc;
beschriftet Nummer</t>
  </si>
  <si>
    <t>relation 1-mc;
inscription de Numero</t>
  </si>
  <si>
    <t>relazione 1-mc;
iscrizione del Numero</t>
  </si>
  <si>
    <t>Beziehung 1-mc;
beschriftet Name</t>
  </si>
  <si>
    <t>relation 1-mc;
inscription de Nom</t>
  </si>
  <si>
    <t>relazione 1-mc;
iscrizione del Nome</t>
  </si>
  <si>
    <t>Beziehung 1-mc
siehe auch Bemerkungen zu BoFlächeSymbol</t>
  </si>
  <si>
    <t>relation 1-mc
Se referer aussi aux commentaires de SymboleSurfaceCS.</t>
  </si>
  <si>
    <t>relazione 1-mc
Vedi anche le osservazioni della tabella SimboloSuperficieCS.</t>
  </si>
  <si>
    <t>relation 1-mc;
Inscription de Numero</t>
  </si>
  <si>
    <t>Beziehung 1-mc
Im Plan für das Grundbuch werden Bodenbedeckungsflächen entweder gerastert oder mit Symbolen gefüllt. Dabei sind in Abhängigkeit von Art nur folgende Symbole sinnvoll: befestigt.Wasserbecken, Reben, Hoch_Flachmoor (Symbol Moor), Gewässer.stehendes (Symbol Wasserbecken), Gewässer.fliessendes (Symbol Fliessrichtung), Gewässer.Schilfgürtel (Symbol Schilfgürtel).</t>
  </si>
  <si>
    <t>relation 1-mc
Sur le plan du registre foncier, les surfaces de la couverture du sol seront remplies soit a l'aide de trames, soit avec des symboles. Ainsi, en fonction du genre, uniquement les symboles suivants sont judicieusement figures: revetement_dur.bassin, vigne, tourbiere (symbole marais), eau.eau_stagnante (symbole bassin), eau.cours_eau (symbole direction du courant), eau.roseliere (symbole roseliere).</t>
  </si>
  <si>
    <t>Beziehung 1-c;
beschriftet Identifikator</t>
  </si>
  <si>
    <t>relazione 1-c;
iscrizione dell'Identificatore</t>
  </si>
  <si>
    <t>relazione 1-mc
di un ruscello</t>
  </si>
  <si>
    <t>relation 1-c;
inscription de Identification</t>
  </si>
  <si>
    <t xml:space="preserve">relazione 1-c;
</t>
  </si>
  <si>
    <t>Beziehung 1-c;
beschriftet Geometrie (Höhe)</t>
  </si>
  <si>
    <t>relation 1-c;
inscription de Geometrie</t>
  </si>
  <si>
    <t>relazione 1-c;
iscrizione della Geometria</t>
  </si>
  <si>
    <t>Techn. Bearbeitung
Für zukünftige Nachführungen sind die Attribute GültigerEintrag und GBEintrag zu erfassen. Datum1 und Datum2 betreffen die alten Nachführungen und werden nicht mehr angewendet. In der nächsten Revision des Datenmodells werden die Attribute Datum1 und Datum2 gelöscht und die Attribute GültigerEintrag und GBEintrag werden obligatorisch.</t>
  </si>
  <si>
    <t>z.B. Techn. Bearbeitung
Für zukünftige Nachführungen sind die Attribute GültigerEintrag und GBEintrag zu erfassen. Datum1 und Datum2 betreffen die alten Nachführungen und werden nicht mehr angewendet. In der nächsten Revision des Datenmodells werden die Attribute Datum1 und Datum2 gelöscht und die Attribute GültigerEintrag und GBEintrag werden obligatorisch.</t>
  </si>
  <si>
    <t>Vergabe durch Kanton, z.B. GB-Eintrag, Genehmigung
Für zukünftige Nachführungen sind die Attribute GültigerEintrag und GBEintrag zu erfassen. Datum1 und Datum2 betreffen die alten Nachführungen und werden nicht mehr angewendet. In der nächsten Revision des Datenmodells werden die Attribute Datum1 und Datum2 gelöscht und die Attribute GültigerEintrag und GBEintrag werden obligatorisch.</t>
  </si>
  <si>
    <t>traitement technique
Pour les mises a jour futures les dates a renseigner sont En_vigueur. et Enregistrement_RF. Date1 et Date2 correspondent aux anciennes mises a jour. Dans la prochaine revision du modele de donnees Date1 et Date 2 seront supprimes, En_vigueur sera declare obligatoire.</t>
  </si>
  <si>
    <t>par ex. traitement technique
Pour les mises a jour futures les dates a renseigner sont En_vigueur. et Enregistrement_RF. Date1 et Date2 correspondent aux anciennes mises a jour. Dans la prochaine revision du modele de donnees Date1 et Date 2 seront supprimes, En_vigueur sera declare obligatoire.</t>
  </si>
  <si>
    <t>attribution par le canton par ex. introduction au registre foncier, reconnaissance de la MO
Pour les mises a jour futures les dates a renseigner sont En_vigueur. et Enregistrement_RF. Date1 et Date2 correspondent aux anciennes mises a jour. Dans la prochaine revision du modele de donnees Date1 et Date 2 seront supprimes, En_vigueur sera declare obligatoire.</t>
  </si>
  <si>
    <t>elaborazione tecnica
Per gli aggiornamenti futuri, le date da inserire sono In_vigore e Iscrizione_RF. Data1 e Data2 corrispondono ai vecchi aggiornamenti e non vengono piu usati. Nelle prossime revisioni del modello dei dati Data1 e Data2 saranno soppressi e In_vigore e Iscrizione_RF diventeranno obbligatorie.</t>
  </si>
  <si>
    <t>per es. elaborazione tecnica
Per gli aggiornamenti futuri, le date da inserire sono In_vigore e Iscrizione_RF. Data1 e Data2 corrispondono ai vecchi aggiornamenti e non vengono piu usati. Nelle prossime revisioni del modello dei dati Data1 e Data2 saranno soppressi e In_vigore e Iscrizione_RF diventeranno obbligatorie.</t>
  </si>
  <si>
    <t>assegnata dal cantone per es. iscrizione nel registro fondiario, approvazione della MU
Per gli aggiornamenti futuri, le date da inserire sono In_vigore e Iscrizione_RF. Data1 e Data2 corrispondono ai vecchi aggiornamenti e non vengono piu usati. Nelle prossime revisioni del modello dei dati Data1 e Data2 saranno soppressi e In_vigore e Iscrizione_RF diventeranno obbligatorie.</t>
  </si>
  <si>
    <t>indication de la materialisation
Suite au declassement d'une ancienne borne speciale de limite territoriale en un point limite uniquement (voir aussi explications chap. 3.11).</t>
  </si>
  <si>
    <t>indicazione sulla materializzazione
Unicamente in seguito al declassamento di un vecchio cippo speciale di limite territoriale in un punto di confine (vedi anche commento cap. 3.11).</t>
  </si>
  <si>
    <t>[rechtskraeftig vorgesehen]
abgeleitetes Attribut: muss streitig sein, falls ProjLiegenschaft, ProjSelbstRecht oder ProjBergwerk streitig;</t>
  </si>
  <si>
    <t>[prevu en vigueur]
Contenu de l'attribut: doit etre litigieux si le Bien_fondsProj, le DDPProj, ou la MineProj est litigieux;</t>
  </si>
  <si>
    <t>[previsto in_vigore]
attributo derivato: contestato nel caso in cui il Bene_immobileProg, il DPSSPProg o la MinieraProg sono contestati;</t>
  </si>
  <si>
    <t>Beziehung 1-m;
beschriftet Nummer</t>
  </si>
  <si>
    <t>relation 1-m;
inscription Numero</t>
  </si>
  <si>
    <t>relazione 1-m;
iscrizione del Numero</t>
  </si>
  <si>
    <t>Baurecht, Quellenrecht, Konzessionsrecht oder weitere, Beziehung 1-mc</t>
  </si>
  <si>
    <t>superficie, source, concession ou autre, relation 1-mc</t>
  </si>
  <si>
    <t>superficie, sorgente, concessione o altro, relazione 1-mc</t>
  </si>
  <si>
    <t>z.B. Datum des gültigen Eintrags
Für zukünftige Nachführungen ist das Attribut GültigerEintrag zu erfassen. Datum1 betrifft die alten Nachführungen und wird nicht mehr angewendet. In der nächsten Revision des Datenmodells wird das Attribut Datum1 gelöscht und das Attribut GültigerEintrag wird obligatorisch.</t>
  </si>
  <si>
    <t>par ex. date de mise en service
Pour les mises a jour futures la date a renseigner est En_vigueur. Date1 correspond aux anciennes mises a jour. Dans la prochaine revision du modele de donnees Date1 sera supprime et En_vigueur sera declare obligatoire.</t>
  </si>
  <si>
    <t>per es. elaborazione tecnica
Per gli aggiornamenti futuri, la data da inserire e In_vigore. Data1 corrisponde ai vecchi aggiornamenti e non viene piu usato. Nelle prossime revisioni del modello dei dati Data1 sara soppresso e In_vigore diventera obbligatorio.</t>
  </si>
  <si>
    <t>Beziehung 1-mc;
beschriftet Betreiber</t>
  </si>
  <si>
    <t>relation 1-mc;
inscription de Exploitant</t>
  </si>
  <si>
    <t>relazione 1-mc;
iscrizione del Gestore</t>
  </si>
  <si>
    <t>Eindeutig über die Schweiz (inkl. FL)
ergibt Benutzerschlüssel NBIdent</t>
  </si>
  <si>
    <t>univoque pour la Suisse (inclus le FL)
constitue la cle utilisateur IdentDN</t>
  </si>
  <si>
    <t>univoca per tutta la Svizzera (incluso il FL)
fornisce la chiave-utilizzatore IdentAN</t>
  </si>
  <si>
    <t>Beziehung 1-mc;
beschriftet NBNummer</t>
  </si>
  <si>
    <t>relation 1-mc;
inscription de NumeroDN</t>
  </si>
  <si>
    <t>relazione 1-mc;
iscrizione del NumeroAN</t>
  </si>
  <si>
    <t>Beziehung 1-mc;
beschriftet Art</t>
  </si>
  <si>
    <t>relation 1-mc;
inscription de Genre</t>
  </si>
  <si>
    <t>relazione 1-mc;
iscrizione del Genere</t>
  </si>
  <si>
    <t>Beziehung 1-m zu Nummerierungsbereich
DM01: zusätzlich zur SN</t>
  </si>
  <si>
    <t>z.B. Nummer des technischen Dossiers
DM01: zusätzlich zur SN</t>
  </si>
  <si>
    <t>relation 1-m avec Domaine_numerotation
MD01: en plus de SN</t>
  </si>
  <si>
    <t>par ex. numero du dossier technique
MD01: en plus de SN</t>
  </si>
  <si>
    <t>relazione 1-m con Area_di_numerazione
MD01: in aggiunta a SN</t>
  </si>
  <si>
    <t>per es. numero dell'incarto tecnico
MD01: in aggiunta a SN</t>
  </si>
  <si>
    <t>Cet attribut est neceessaire uniquement pour respecter les regles syntaxiques d'INTERLIS 1</t>
  </si>
  <si>
    <t>REA_EGID se la definizione dell'edificio corrisponde a quella dell'UFS</t>
  </si>
  <si>
    <t>relazione 1-mc
Sul piano per il registro fondiario, le surperfici della copertura del suolo saranno evidenziate con una trama, oppure con dei simboli. In funzione del Genere, unicamente i simboli seguenti sono sensati: rivestimento_duro.bacino_idrico, humus.vigna, humus.torbiera (simbolo torbiera), acque.specchio_acqua(simbolo bacino_idrico), acque.corso_acqua (simbolo direzione della corrente), acque.canneti (simbolo canneti).</t>
  </si>
  <si>
    <t>Se un DPSSP non ha una superficie, non esiste un oggetto in questa tabella. Un iscrizione e localizzazione nella PosFondo risulta tuttavia possibile.</t>
  </si>
  <si>
    <t xml:space="preserve">Questo attributo e necessario unicamente per rispettare le regole sintattiche di INTERLIS </t>
  </si>
  <si>
    <t>Se piu codici di avviamento postale a sei cifre sono assegnati alla medesima localita, bisogna assegnare una superficie ad ognuno di essi. Queste superfici devono essere incluse nella superficie della localita. i CAP6 reali sono di tipo AREA</t>
  </si>
  <si>
    <t>Beziehung 1-mc;
beschriftet Texte</t>
  </si>
  <si>
    <t>relation 1-mc;
inscription de Texte</t>
  </si>
  <si>
    <t>relazione 1-mc;
Iscrizione del testo</t>
  </si>
  <si>
    <t>Beziehung 1-mc;
beschriftet Text</t>
  </si>
  <si>
    <t>relazione 1-mc
Iscrizione del testo</t>
  </si>
  <si>
    <t>BenanntesGebiet, Beziehung 1-mc</t>
  </si>
  <si>
    <t>Lieu_denomme, relation 1-mc</t>
  </si>
  <si>
    <t>zona_denominata, relazione 1-mc</t>
  </si>
  <si>
    <t>Strasse oder Platz, Beziehung 1-mc</t>
  </si>
  <si>
    <t>Rue ou Place, relation 1-mc</t>
  </si>
  <si>
    <t>via o piazza, relazione 1-mc;</t>
  </si>
  <si>
    <t>Statt DIRECTED POLYLINE, Anfangspunkt legt Richtung fest
DM01: zusätzlich zur SN</t>
  </si>
  <si>
    <t>Au lieu de DIRECTED POLYLINE, Point_depart fixe la direction
MD01: en plus de SN</t>
  </si>
  <si>
    <t>Invece di DIRECTED POLYLINE, Punto di partenza fissa la direzione
MD01: in aggiunta a SN</t>
  </si>
  <si>
    <t>Statt ORDERED Strassenstück
Reihenfolge der Strassenstücke</t>
  </si>
  <si>
    <t>Au lieu de ORDERED Troncon_rue
Sequence de troncons de rue</t>
  </si>
  <si>
    <t>Invece di ORDERED Tronco_strada
Sequenza di tronco_strada</t>
  </si>
  <si>
    <t>[m]
HöhenLage ist nützlich wenn mehrere Eingänge auf mehreren Niveaux Ungefähre Höhe über gewachsenem Terrain</t>
  </si>
  <si>
    <t>[m]
Niveau est necessaire lorsque plusieurs entrees se trouvent a differents niveaux. Approximativement niveau au-dessus du sol</t>
  </si>
  <si>
    <t>[m]
Quota e utile quando piu entrate si trovano su differenti livelli. Quota approssimativa rispetto al suolo.</t>
  </si>
  <si>
    <t>Die Hausnummer besteht aus einer Nummer, welche mit einem Zusatz (Buchstaben a,b,c) ergänzt werden kann. Zwischen Nummer und Zusatz keine Leerschläge oder Trennzeichen. Wenn die Hausnummer definiert ist, dann muss für Lokalisation und Gebäudeeingang gelten: - Lokalisation und Hausnummer müssen für Status = real zusammen eindeutig sein; - Nummerierungsprinzip darf nicht den Wert keines haben.
z.B. Polizeinummer</t>
  </si>
  <si>
    <t>Le numero de maison est constitue d'un numero, lequel peut-etre accompagne d'une lettre a, b, c. Entre le numero et la lettre, pas de blanc, de souligne ou de trait d'union. Lorsque le numero de maison est defini, alors pour Localisation et Entree_batiment: - la localisation et le numero doivent etre ensemble unique pour une validite = reel - le principe de numerotation ne doit pas etre aucun_numero.
z.B. Numero de police</t>
  </si>
  <si>
    <t>Il numero casa  e costituito da un numero, il quale puo essere accompagnato da una lettera a, b, c. Tra il numero e la lettera non esisteno spazi vuoti,sottolineature o tratti. Quando il numero casa e definito, allora per Localizzazione e Entrata_edificio vale: - la localizzazione ed il numero devono essere insieme univoci per validita = reale - Il principio di numerazione non deve avere il valore nessuno
per es. numero civico.</t>
  </si>
  <si>
    <t>Im_Gebäude ist nützlich, um zu definieren, ob die Nummer mit einem Objekt der BB oder mit einem Objekt der EO verknüpft ist.
DM01: zusätzlich zur SN</t>
  </si>
  <si>
    <t>Dans_batiment est utile pour definir si le numero est rattache a un objet de la CS ou a un objet divers.
MD01: en plus de SN</t>
  </si>
  <si>
    <t>In_edificio e utile per definire se un numero e collegato ad un oggetto della CS o ad un OS
MD01: in aggiunta a SN</t>
  </si>
  <si>
    <t>Eidg. Eingang-Identifikator wenn verfügbar, siehe Erklärung Kapitel 3.18.2
DM01: zusätzlich zur SN</t>
  </si>
  <si>
    <t>Identificateur de l'entree du batiment du RegBL, lorsque disponible, voir explication chap. 3.18.2
MD01: en plus de SN</t>
  </si>
  <si>
    <t>Identificatore dell'entrata di edificio del REA, quando disponibile, vedi commento cap. 3.18.2
MD01: in aggiunta a SN</t>
  </si>
  <si>
    <t>Beziehung 1-m
beschriftet Text</t>
  </si>
  <si>
    <t>relazione 1-m;
Iscrizione del testo</t>
  </si>
  <si>
    <t>Beziehung 1-m;
beschriftet Beschriftung</t>
  </si>
  <si>
    <t>relation 1-m;
inscription de Description</t>
  </si>
  <si>
    <t>relazione 1-m;
iscrizione del testo</t>
  </si>
  <si>
    <t>relazione 1-m
iscrizione della Descrizione</t>
  </si>
  <si>
    <t>(begehbar, nicht_begehbar)</t>
  </si>
  <si>
    <t>(accessible, inaccessible)</t>
  </si>
  <si>
    <t>(accessibile, inaccessibile)</t>
  </si>
  <si>
    <t>(si, no)</t>
  </si>
  <si>
    <t>(Ja, Nein)</t>
  </si>
  <si>
    <t>(Bruchkante, Strukturlinie, weitere)</t>
  </si>
  <si>
    <t>(ligne_de_rupture, ligne_de_structure, autre)</t>
  </si>
  <si>
    <t>(linea_di_rottura, linea_di_struttura, altro)</t>
  </si>
  <si>
    <t>(ToteFlaeche, weitere)</t>
  </si>
  <si>
    <t>(surface_morte, autre)</t>
  </si>
  <si>
    <t>(superficie_morta, altro)</t>
  </si>
  <si>
    <t>(rechtskraeftig, streitig)</t>
  </si>
  <si>
    <t>(en_vigueur, litigieux)</t>
  </si>
  <si>
    <t>(in_vigore, contestato)</t>
  </si>
  <si>
    <t>(Vollstaendig, unvollstaendig)</t>
  </si>
  <si>
    <t>(complet, incomplet)</t>
  </si>
  <si>
    <t>(completo, incompleto)</t>
  </si>
  <si>
    <t>SURFACE WITH (STRAIGHTS, ARCS) VERTEX LKoord BASE WITHOUT OVERLAPS &gt; 0.050 LINEATTR = Linienart: ( streitig, unvollstaendig)</t>
  </si>
  <si>
    <t>SURFACE WITH (STRAIGHTS, ARCS) VERTEX CoordP BASE WITHOUT OVERLAPS &gt; 0.050 LINEATTR = Genre_ligne: ( litigieux, incomplet)</t>
  </si>
  <si>
    <t>SURFACE WITH (STRAIGHTS, ARCS) VERTEX CoordP BASE WITHOUT OVERLAPS &gt; 0.050 LINEATTR = Genere_di_linea: ( contestato, incompleto)</t>
  </si>
  <si>
    <t>AREA WITH (STRAIGHTS, ARCS) VERTEX LKoord BASE WITHOUT OVERLAPS &gt; 0.050 LINEATTR = Linienart: ( streitig, unvollstaendig)</t>
  </si>
  <si>
    <t>AREA WITH (STRAIGHTS, ARCS) VERTEX CoordP BASE WITHOUT OVERLAPS &gt; 0.050 LINEATTR = Genre_ligne: ( litigieux, incomplet)</t>
  </si>
  <si>
    <t>AREA WITH (STRAIGHTS, ARCS) VERTEX CoordP BASE WITHOUT OVERLAPS &gt; 0.050 LINEATTR = Genere_di_linea: ( contestato, incompleto)</t>
  </si>
  <si>
    <t>SURFACE WITH (STRAIGHTS, ARCS) VERTEX LKoord WITHOUT OVERLAPS &gt; 0.050 LINEATTR = Linienart: (sichtbar)</t>
  </si>
  <si>
    <t>SURFACE WITH (STRAIGHTS, ARCS) VERTEX CoordP WITHOUT OVERLAPS &gt; 0.050 LINEATTR = Genre_ligne: (visible)</t>
  </si>
  <si>
    <t>SURFACE WITH (STRAIGHTS, ARCS) VERTEX CoordP WITHOUT OVERLAPS &gt; 0.050 LINEATTR = Genere_di_linea: (visibile)</t>
  </si>
  <si>
    <t>(sichtbar)</t>
  </si>
  <si>
    <t>(visible)</t>
  </si>
  <si>
    <t>(visibile)</t>
  </si>
  <si>
    <t>(balise, plaquette_borne, autre)</t>
  </si>
  <si>
    <t>(segnale, tavola_cippo , altro)</t>
  </si>
  <si>
    <t>AREA WITH (STRAIGHTS, ARCS) VERTEX LKoord BASE WITHOUT OVERLAPS &gt; 0.050 LINEATTR = Linienart: (rechtskraeftig, streitig, provisorisch, undefiniert)</t>
  </si>
  <si>
    <t>AREA WITH (STRAIGHTS, ARCS) VERTEX CoordP BASE WITHOUT OVERLAPS &gt; 0.050 LINEATTR = Genre_ligne: (en_vigueur, litigieux, provisoire, indefini)</t>
  </si>
  <si>
    <t>AREA WITH (STRAIGHTS, ARCS) VERTEX CoordP BASE WITHOUT OVERLAPS &gt; 0.050 LINEATTR = Genere_di_linea: (in_vigore, contestato, provvisorio, non_precisato)</t>
  </si>
  <si>
    <t>(en_vigueur, litigieux, provisoire, indefini)</t>
  </si>
  <si>
    <t>(in_vigore, contestato, provvisorio, non_precisato)</t>
  </si>
  <si>
    <t>(NT1, NT2, NT3, NT4, NT5)</t>
  </si>
  <si>
    <t>(GT1, GT2, GT3, GT4, GT5)</t>
  </si>
  <si>
    <t>(aucun_numero, quelconque, croissant, impair_a_gauche, pair_a_gauche)</t>
  </si>
  <si>
    <t>(nessuno, qualunque, ascendente, dispari_a_sinistra, pari_a_sinistra)</t>
  </si>
  <si>
    <t>(Lieu_denomme, Rue, Place)</t>
  </si>
  <si>
    <t>(zona_denominata, via, piazza)</t>
  </si>
  <si>
    <t>(vollstaendig, teilweise)</t>
  </si>
  <si>
    <t>(completement_represente, partiellement_represente)</t>
  </si>
  <si>
    <t>(rappresentazione_completa, rappresentazione_parziale)</t>
  </si>
  <si>
    <t>Erklärungen</t>
  </si>
  <si>
    <t>DMAV</t>
  </si>
  <si>
    <t>DM.01</t>
  </si>
  <si>
    <t>-</t>
  </si>
  <si>
    <t>ja = TRUE</t>
  </si>
  <si>
    <t>nein = FALSE</t>
  </si>
  <si>
    <t>TRUE = ja</t>
  </si>
  <si>
    <t>FALSE = nein</t>
  </si>
  <si>
    <t>begehbar = TRUE,
nicht_begehbar = FALSE</t>
  </si>
  <si>
    <t>TRUE = begehbar,
FALSE = nicht_begehbar</t>
  </si>
  <si>
    <t>T</t>
  </si>
  <si>
    <t>Klasse</t>
  </si>
  <si>
    <t>LFPArt.LFP3 = TRUE
LFPArt.Hilfsfixpunkt = FALSE</t>
  </si>
  <si>
    <t>V</t>
  </si>
  <si>
    <t>Ergänzung</t>
  </si>
  <si>
    <t>1) Liegenschaften.Grenzpunkt.Identifikator
2) Gemeindegrenzen.Hoheitsgrenzpunkt.Identifikator</t>
  </si>
  <si>
    <t>1) Liegenschaften.Grenzpunkt.Geometrie
2) Gemeindegrenzen.Hoheitsgrenzpunkt.Geometrie</t>
  </si>
  <si>
    <t>1) Liegenschaften.Grenzpunkt.LageGen
2) Gemeindegrenzen.Hoheitsgrenzpunkt.LageGen</t>
  </si>
  <si>
    <t>1) Liegenschaften.Grenzpunkt.LageZuv
2) Gemeindegrenzen.Hoheitsgrenzpunkt.LageZuv</t>
  </si>
  <si>
    <t>1) Liegenschaften.GrenzpunktSymbol.Ori
2) Gemeindegrenzen.HoheitsgrenzpunktSymbol.Ori</t>
  </si>
  <si>
    <t>Gemeindegrenzen.Hoheitsgrenzpunkt.Identifikator</t>
  </si>
  <si>
    <t>Gemeindegrenzen.Hoheitsgrenzpunkt.Geometrie</t>
  </si>
  <si>
    <t>Gemeindegrenzen.Hoheitsgrenzpunkt.LageGen</t>
  </si>
  <si>
    <t>Gemeindegrenzen.Hoheitsgrenzpunkt.LageZuv</t>
  </si>
  <si>
    <t>Gemeindegrenzen.Hoheitsgrenzpunkt.Punktzeichen</t>
  </si>
  <si>
    <t>TRUE = ja,
FALSE = nein</t>
  </si>
  <si>
    <t>Gemeindegrenzen.Hoheitsgrenzpunkt.ExaktDefiniert</t>
  </si>
  <si>
    <t>Grundstuecke.Grundstueck.Nummer</t>
  </si>
  <si>
    <t>Grundstuecke.Grundstueck.EGRID</t>
  </si>
  <si>
    <t>rechtskraeftig = FALSE,
streitig = TRUE</t>
  </si>
  <si>
    <t>Grundstuecke.Grundstueck.IstStreitig</t>
  </si>
  <si>
    <t>vollstaendig = TRUE,
unvollstaendig = FALSE</t>
  </si>
  <si>
    <t>Grundstuecke.Grundstueck.IstVollstaendig</t>
  </si>
  <si>
    <t>Grundstuecke.Grundstueck.Grundstuecksart</t>
  </si>
  <si>
    <t>Grundstuecke.Liegenschaft.NummerTeilgrundstueck</t>
  </si>
  <si>
    <t>Grundstuecke.Liegenschaft.Geometrie</t>
  </si>
  <si>
    <t>Grundstuecke.Liegenschaft.Flaechenmass</t>
  </si>
  <si>
    <t>Grundstuecke.Liegenschaft.Streitig</t>
  </si>
  <si>
    <t>Grundstuecke.SelbstaendigesDauerndesRecht.NummerTeilgrundstueck</t>
  </si>
  <si>
    <t>DEFINED(Grundstuecke.GSNachfuehrung.Grundbucheintrag) = FALSE</t>
  </si>
  <si>
    <t>Grundstuecke.SelbstaendigesDauerndesRecht.Geometrie</t>
  </si>
  <si>
    <t>Grundstuecke.SelbstaendigesDauerndesRecht.Flaechenmass</t>
  </si>
  <si>
    <t>Grundstuecke.SelbstaendigesDauerndesRecht.Streitig</t>
  </si>
  <si>
    <t>Grundstuecke.Bergwerk.NummerTeilgrundstueck</t>
  </si>
  <si>
    <t>Grundstuecke.Bergwerk.Geometrie</t>
  </si>
  <si>
    <t>Grundstuecke.Bergwerk.Flaechenmass</t>
  </si>
  <si>
    <t>Grundstuecke.Bergwerk.Streitig</t>
  </si>
  <si>
    <t>FALSE = rechtskraeftig,
TRUE = streitig</t>
  </si>
  <si>
    <t>TRUE = vollstaendig,
FALSE = unvollstaendig</t>
  </si>
  <si>
    <t>Liegenschaften.ProjLiegenschaft.NummerTeilgrundstueck</t>
  </si>
  <si>
    <t>Liegenschaften.ProjLiegenschaft.Geometrie</t>
  </si>
  <si>
    <t>Liegenschaften.ProjLiegenschaft.Flaechenmass</t>
  </si>
  <si>
    <t>Liegenschaften.ProjSelbstRecht.NummerTeilgrundstueck</t>
  </si>
  <si>
    <t>Liegenschaften.ProjSelbstRecht.Geometrie</t>
  </si>
  <si>
    <t>Liegenschaften.ProjSelbstRecht.Flaechenmass</t>
  </si>
  <si>
    <t>Liegenschaften.ProjBergwerk.NummerTeilgrundstueck</t>
  </si>
  <si>
    <t>Liegenschaften.ProjBergwerk.Geometrie</t>
  </si>
  <si>
    <t>Liegenschaften.ProjBergwerk.Flaechenmass</t>
  </si>
  <si>
    <t>Rutschgebiete.Rutschung.GueltigerEintrag</t>
  </si>
  <si>
    <t>DauerndeBodenverschiebungen.DBVNachfuehrung.GenehmigtAm</t>
  </si>
  <si>
    <t>DMAV Modell (INTERLIS 2.4)</t>
  </si>
  <si>
    <t>DM.01-AV-CH (INTERLIS 1)</t>
  </si>
  <si>
    <t>Bodenbedeckung.Bodenbedeckung.Geometrie</t>
  </si>
  <si>
    <t>Bodenbedeckung.Bodenbedeckung.Qualitaetsstandard</t>
  </si>
  <si>
    <t>Bodenbedeckung.Bodenbedeckung.Bodenbedeckungsart</t>
  </si>
  <si>
    <t>Bodenbedeckung.Bodenbedeckung.EGID</t>
  </si>
  <si>
    <t>Bodenbedeckung.Bodenbedeckung.Symbolposition:STRUCTURE.Symbolposition.Position</t>
  </si>
  <si>
    <t>Bodenbedeckung.Bodenbedeckung.Symbolposition:STRUCTURE.Symbolposition.Orientierung</t>
  </si>
  <si>
    <t>Nomenklatur.FlurnamePos.Pos</t>
  </si>
  <si>
    <t>Nomenklatur.FlurnamePos.Ori</t>
  </si>
  <si>
    <t>Nomenklatur.FlurnamePos.HAli</t>
  </si>
  <si>
    <t>Nomenklatur.FlurnamePos.VAli</t>
  </si>
  <si>
    <t>Nomenklatur.OrtsnamePos.Pos</t>
  </si>
  <si>
    <t>Nomenklatur.OrtsnamePos.Ori</t>
  </si>
  <si>
    <t>Nomenklatur.OrtsnamePos.HAli</t>
  </si>
  <si>
    <t>Nomenklatur.OrtsnamePos.VAli</t>
  </si>
  <si>
    <t>Nomenklatur.GelaendenamePos.Pos</t>
  </si>
  <si>
    <t>1) K
2) V</t>
  </si>
  <si>
    <t>Nomenklatur.GelaendenamePos.Ori</t>
  </si>
  <si>
    <t>Nomenklatur.GelaendenamePos.HAli</t>
  </si>
  <si>
    <t>Nomenklatur.GelaendenamePos.VAli</t>
  </si>
  <si>
    <t>Rohrleitungen.Flaechenelement.Geometrie</t>
  </si>
  <si>
    <t>EMPTY</t>
  </si>
  <si>
    <t>1) Liegenschaften.Grenzpunkt.ExaktDefiniert = Ja,
Liegenschaften.Grenzpunkt.HoheitsgrenzsteinAlt = nein
2) Gemeindegrenzen.Hoheitsgrenzpunkt.ExaktDefiniert = Ja,
Gemeindegrenzen.Hoheitsgrenzpunkt.Hoheitsgrenzstein = nein</t>
  </si>
  <si>
    <t>1) Liegenschaften.Grenzpunkt.Punktzeichen
2) Gemeindegrenzen.Hoheitsgrenzpunkt.Punktzeichen</t>
  </si>
  <si>
    <t>1) FixpunkteAVKategorie3.LFP3.Nummer
2) Grundstuecke.Grenzpunkt.Nummer</t>
  </si>
  <si>
    <t>1) FixpunkteAVKategorie3.LFP3.NBIdent = [geltender NBIdent],
FixpunkteAVKategorie3.LFP3.LFPArt = LFP3,
FixpunkteAVKategorie3.LFP3.Grenzpunktfunktion = Hoheitsgrenzpunkt,
FixpunkteAVKategorie3.LFP3.AktiverUnterhalt = TRUE
2) Grundstuecke.Grenzpunkt.IstHoheitsgrenzpunkt = TRUE</t>
  </si>
  <si>
    <t>1) FixpunkteAVKategorie3.LFP3.Geometrie
2) Grundstuecke.Grenzpunkt.Geometrie</t>
  </si>
  <si>
    <t>1) FixpunkteAVKategorie3.LFP3.Lagegenauigkeit
2) Grundstuecke.Grenzpunkt.Lagegenauigkeit</t>
  </si>
  <si>
    <t>1) FixpunkteAVKategorie3.LFP3.IstLagezuverlaessig
2) Grundstuecke.Grenzpunkt.IstLagezuverlaessig</t>
  </si>
  <si>
    <t>1) FixpunkteAVKategorie3.LFP3.Punktzeichen
2) Grundstuecke.Grenzpunkt.Punktzeichen</t>
  </si>
  <si>
    <t>2) Grundstuecke.Grenzpunkt.IstExaktDefiniert</t>
  </si>
  <si>
    <t>2) Grundstuecke.Grenzpunkt.IstHoheitsgrenzpunkt = TRUE</t>
  </si>
  <si>
    <t>1) FixpunkteAVKategorie3.LFP3.SymbolOri
2) Grundstuecke.Grenzpunkt.SymbolOri</t>
  </si>
  <si>
    <t>Gemeindegrenzen.Gemeindegrenze.Geometrie.LINEATTR:Linienart = streitig</t>
  </si>
  <si>
    <t>ja = TRUE,
nein = FALSE</t>
  </si>
  <si>
    <t>Einzelobjekte.Flaechenelement.Geometrie</t>
  </si>
  <si>
    <t>Einzelobjekte.FlaechenelementSymbol.Pos</t>
  </si>
  <si>
    <t>Einzelobjekte.FlaechenelementSymbol.Ori</t>
  </si>
  <si>
    <t>Einzelobjekte.Linienelement.Geometrie</t>
  </si>
  <si>
    <t>Einzelobjekte.LinienelementSymbol.Pos</t>
  </si>
  <si>
    <t>Einzelobjekte.LinienelementSymbol.Ori</t>
  </si>
  <si>
    <t>Einzelobjekte.Punktelement.Geometrie</t>
  </si>
  <si>
    <t>Einzelobjekte.Punktelement.Ori</t>
  </si>
  <si>
    <t>Einzelobjekte.Objektnummer.Nummer</t>
  </si>
  <si>
    <t>Einzelobjekte.ObjektnummerPos.Pos</t>
  </si>
  <si>
    <t>Einzelobjekte.ObjektnummerPos.Ori</t>
  </si>
  <si>
    <t>Einzelobjekte.ObjektnummerPos.HAli</t>
  </si>
  <si>
    <t>Einzelobjekte.ObjektnummerPos.VAli</t>
  </si>
  <si>
    <t>Einzelobjekte.ObjektnummerPos.Groesse</t>
  </si>
  <si>
    <t>Einzelobjekte.Objektname.Name</t>
  </si>
  <si>
    <t>Einzelobjekte.ObjektnamePos.Pos</t>
  </si>
  <si>
    <t>Einzelobjekte.ObjektnamePos.Ori</t>
  </si>
  <si>
    <t>Einzelobjekte.ObjektnamePos.HAli</t>
  </si>
  <si>
    <t>Einzelobjekte.ObjektnamePos.VAli</t>
  </si>
  <si>
    <t>Einzelobjekte.ObjektnamePos.Groesse</t>
  </si>
  <si>
    <t>Rohrleitungen.Flaechenelement.Geometrie.LINEATTR:Linienart = sichtbar</t>
  </si>
  <si>
    <t>sichtbar = TRUE,
EMPTY = FALSE</t>
  </si>
  <si>
    <t>TRUE = sichtbar,
FALSE = EMPTY</t>
  </si>
  <si>
    <t>Rohrleitungen.Punktelement.Geometrie</t>
  </si>
  <si>
    <t>Rohrleitungen.Punktelement.HoeheGeom</t>
  </si>
  <si>
    <t>Rohrleitungen.Punktelement.Ori</t>
  </si>
  <si>
    <t>Rohrleitungen.LeitungsobjektPos.Pos</t>
  </si>
  <si>
    <t>Rohrleitungen.LeitungsobjektPos.Ori</t>
  </si>
  <si>
    <t>Rohrleitungen.LeitungsobjektPos.HAli</t>
  </si>
  <si>
    <t>Rohrleitungen.LeitungsobjektPos.VAli</t>
  </si>
  <si>
    <t>Rohrleitungen.LeitungsobjektPos.Groesse</t>
  </si>
  <si>
    <t>Rohrleitungen.SignalpunktPos.Pos</t>
  </si>
  <si>
    <t>Rohrleitungen.SignalpunktPos.Ori</t>
  </si>
  <si>
    <t>Rohrleitungen.SignalpunktPos.HAli</t>
  </si>
  <si>
    <t>Rohrleitungen.SignalpunktPos.VAli</t>
  </si>
  <si>
    <t>Ja = TRUE,
Nein = FALSE</t>
  </si>
  <si>
    <t>TRUE = Ja,
FALSE = Nein</t>
  </si>
  <si>
    <t>1) FixpunkteAVKategorie3.LFP3.Grenzpunktfunktion == Grenzpunkt
2) FixpunkteAVKategorie3.LFP3.Grenzpunktfunktion == Hoheitsgrenzpunkt</t>
  </si>
  <si>
    <t>2) Gemeindegrenzen.Hoheitsgrenzpunkt.Geometrie == Liegenschaften.Grenzpunkt.Geometrie</t>
  </si>
  <si>
    <t>Gemeindegrenzen.Gemeindegrenze.Geometrie.LINEATTR:Linienart == streitig</t>
  </si>
  <si>
    <t>Grundstuecke.Grenzpunkt.IstHoheitsgrenzpunkt == TRUE</t>
  </si>
  <si>
    <t>Grundstuecke.Grundstueck.NBIdent</t>
  </si>
  <si>
    <t>Grundstuecke.Grundstueck.Gesamtflaechenmass</t>
  </si>
  <si>
    <t>DEFINED(Grundstuecke.GSNachfuehrung.Grundbucheintrag) = FALSE,
Grundstuecke.Grundstueck.Fiktiv = [FALSE]</t>
  </si>
  <si>
    <t>DEFINED(Grundstuecke.GSNachfuehrung.Grundbucheintrag) = FALSE,
Grundstuecke.Liegenschaft.Fiktiv = [FALSE],
Grundstuecke.Liegenschaft.Qualitaetsstandard = [geltender Qualitaetsstandard]</t>
  </si>
  <si>
    <t>Liegenschaften.ProjLiegenschaft.Geometrie.LINEATTR:Linienart == streitig</t>
  </si>
  <si>
    <t>Liegenschaften.ProjSelbstrecht.Geometrie.LINEATTR:Linienart == streitig</t>
  </si>
  <si>
    <t>Liegenschaften.ProjBergwerk.Geometrie.LINEATTR:Linienart == streitig</t>
  </si>
  <si>
    <t>generell) Grundstuecke.Grundstueck.Fiktiv == FALSE
1) DEFINED(Grundstuecke.GSNachfuehrung.Grundbucheintrag) == FALSE</t>
  </si>
  <si>
    <t>1) Liegenschaften.ProjGrundstueck.NBIdent</t>
  </si>
  <si>
    <t>1) Liegenschaften.ProjGrundstueck.Nummer</t>
  </si>
  <si>
    <t>1) Liegenschaften.ProjGrundstueck.EGRIS_EGRID</t>
  </si>
  <si>
    <t>1) Liegenschaften.ProjGrundstueck.Gueltigkeit</t>
  </si>
  <si>
    <t>1) Liegenschaften.ProjGrundstueck.Vollstaendigkeit</t>
  </si>
  <si>
    <t>[FALSE]</t>
  </si>
  <si>
    <t>1) Liegenschaften.ProjGrundstueck.GesamteFlaechenmass</t>
  </si>
  <si>
    <t>1) Liegenschaften.ProjGrundstueckPos.Pos</t>
  </si>
  <si>
    <t>1) Liegenschaften.ProjGrundstueckPos.Ori</t>
  </si>
  <si>
    <t>1) Liegenschaften.ProjGrundstueckPos.HAli</t>
  </si>
  <si>
    <t>1) Liegenschaften.ProjGrundstueckPos.VAli</t>
  </si>
  <si>
    <t>1) Liegenschaften.ProjGrundstueckPos.Hilfslinie</t>
  </si>
  <si>
    <t>generell) Grundstuecke.Liegenschaft.Fiktiv == FALSE
1) DEFINED(Grundstuecke.GSNachfuehrung.Grundbucheintrag) == FALSE</t>
  </si>
  <si>
    <t>Liegenschaften.Liegenschaft.Geometrie.LINEATTR:Linienart == streitig</t>
  </si>
  <si>
    <t>generell) Liegenschaften.Liegenschaft.Geometrie
1) Liegenschaften.ProjLiegenschaft.Geometrie</t>
  </si>
  <si>
    <t>generell) Liegenschaften.Liegenschaft.Geometrie.LINEATTR:Linienart = streitig
1) Liegenschaften.ProjLiegenschaft.Geometrie.LINEATTR:Linienart = streitig</t>
  </si>
  <si>
    <t>[geltender Qualitaetsstandard]</t>
  </si>
  <si>
    <t>DEFINED(Grundstuecke.GSNachfuehrung.Grundbucheintrag) == FALSE</t>
  </si>
  <si>
    <t>generell) -
1) DEFINED(Grundstuecke.GSNachfuehrung.Grundbucheintrag) == FALSE</t>
  </si>
  <si>
    <t>generell) Liegenschaften.SelbstRecht.Geometrie
1) Liegenschaften.ProjSelbstRecht.Geometrie</t>
  </si>
  <si>
    <t>generell) Liegenschaften.SelbstRecht.Geometrie.LINEATTR:Linienart = streitig
1) Liegenschaften.ProjSelbstRecht.Geometrie.LINEATTR:Linienart = streitig</t>
  </si>
  <si>
    <t>generell) Liegenschaften.Bergwerk.Geometrie
1) Liegenschaften.ProjBergwerk.Geometrie</t>
  </si>
  <si>
    <t>generell) Liegenschaften.Bergwerk.Geometrie.LINEATTR:Linienart = streitig
1) Liegenschaften.ProjBergwerk.Geometrie.LINEATTR:Linienart = streitig</t>
  </si>
  <si>
    <t>DEFINED(DauerndeBodenverschiebungen.DBVNachfuehrung.GenehmigtAm) == TRUE</t>
  </si>
  <si>
    <t>DEFINED(Gemeindegrenzen.GEMNachfuehrung.GueltigerEintrag) == FALSE</t>
  </si>
  <si>
    <t>Gemeindegrenzen.Gemeindegrenze.Geometrie</t>
  </si>
  <si>
    <t>DEFINED(Nomenklatur.NKNachfuehrung.GueltigerEintrag) == FALSE</t>
  </si>
  <si>
    <t>DEFINED(Bodenbedeckung.BBNachfuehrung.GueltigerEintrag) == FALSE</t>
  </si>
  <si>
    <t>Grundstuecke.Grundstueck.Textposition:STRUCTURE.Textposition.Position</t>
  </si>
  <si>
    <t>Grundstuecke.Grundstueck.Textposition:STRUCTURE.Textposition.Orientierung</t>
  </si>
  <si>
    <t>Grundstuecke.Grundstueck.Textposition:STRUCTURE.Textposition.HReferenzpunkt</t>
  </si>
  <si>
    <t>Grundstuecke.Grundstueck.Textposition:STRUCTURE.Textposition.VReferenzpunkt</t>
  </si>
  <si>
    <t>Grundstuecke.Grundstueck.Textposition:STRUCTURE.Textposition.Textgroesse</t>
  </si>
  <si>
    <t>Grundstuecke.Grundstueck.Textposition:STRUCTURE.Textposition.Hinweisstrich</t>
  </si>
  <si>
    <t>DauerndeBodenverschiebungen.DauerndeBodenverschiebung.Textposition:STRUCTURE.Textposition.Position</t>
  </si>
  <si>
    <t>DauerndeBodenverschiebungen.DauerndeBodenverschiebung.Textposition:STRUCTURE.Textposition.Orientierung</t>
  </si>
  <si>
    <t>DauerndeBodenverschiebungen.DauerndeBodenverschiebung.Textposition:STRUCTURE.Textposition.HReferenzpunkt</t>
  </si>
  <si>
    <t>DauerndeBodenverschiebungen.DauerndeBodenverschiebung.Textposition:STRUCTURE.Textposition.VReferenzpunkt</t>
  </si>
  <si>
    <t>DauerndeBodenverschiebungen.DauerndeBodenverschiebung.Textposition:STRUCTURE.Textposition.Textgroesse</t>
  </si>
  <si>
    <t>Nomenklatur.Flurname.Textposition:STRUCTURE.Textposition.Position</t>
  </si>
  <si>
    <t>Nomenklatur.Flurname.Textposition:STRUCTURE.Textposition.Orientierung</t>
  </si>
  <si>
    <t>Nomenklatur.Flurname.Textposition:STRUCTURE.Textposition.HReferenzpunkt</t>
  </si>
  <si>
    <t>Nomenklatur.Flurname.Textposition:STRUCTURE.Textposition.VReferenzpunkt</t>
  </si>
  <si>
    <t>Nomenklatur.Flurname.Textposition:STRUCTURE.Textposition.Textgroesse</t>
  </si>
  <si>
    <t>Nomenklatur.Ortsname.Textposition:STRUCTURE.Textposition.Position</t>
  </si>
  <si>
    <t>Nomenklatur.Ortsname.Textposition:STRUCTURE.Textposition.Orientierung</t>
  </si>
  <si>
    <t>Nomenklatur.Ortsname.Textposition:STRUCTURE.Textposition.HReferenzpunkt</t>
  </si>
  <si>
    <t>Nomenklatur.Ortsname.Textposition:STRUCTURE.Textposition.VReferenzpunkt</t>
  </si>
  <si>
    <t>Nomenklatur.Ortsname.Textposition:STRUCTURE.Textposition.Textgroesse</t>
  </si>
  <si>
    <t>1) Nomenklatur.Gelaendename.Geometrie
2) Nomenklatur.Gelaendename.Textposition:STRUCTURE.Textposition.Position</t>
  </si>
  <si>
    <t>Nomenklatur.Gelaendename.Textposition:STRUCTURE.Textposition.Orientierung</t>
  </si>
  <si>
    <t>Nomenklatur.Gelaendename.Textposition:STRUCTURE.Textposition.HReferenzpunkt</t>
  </si>
  <si>
    <t>Nomenklatur.Gelaendename.Textposition:STRUCTURE.Textposition.VReferenzpunkt</t>
  </si>
  <si>
    <t>Nomenklatur.Gelaendename.Textposition:STRUCTURE.Textposition.Textgroesse</t>
  </si>
  <si>
    <t>Bodenbedeckung.Bodenbedeckung.Fiktiv = [FALSE],
Bodenbedeckung.Bodenbedeckung.Objektstatus = projektiert</t>
  </si>
  <si>
    <t>Bodenbedeckung.Bodenbedeckung.Objektnummer:STRUCTURE.Objektnummer.Nummer</t>
  </si>
  <si>
    <t>Bodenbedeckung.Bodenbedeckung.Objektnummer:STRUCTURE.Objektnummer.Textposition:STRUCTURE.Textposition.Position</t>
  </si>
  <si>
    <t>Bodenbedeckung.Bodenbedeckung.Objektnummer:STRUCTURE.Objektnummer.Textposition:STRUCTURE.Textposition.Orientierung</t>
  </si>
  <si>
    <t>Bodenbedeckung.Bodenbedeckung.Objektnummer:STRUCTURE.Objektnummer.Textposition:STRUCTURE.Textposition.HReferenzpunkt</t>
  </si>
  <si>
    <t>Bodenbedeckung.Bodenbedeckung.Objektnummer:STRUCTURE.Objektnummer.Textposition:STRUCTURE.Textposition.VReferenzpunkt</t>
  </si>
  <si>
    <t>Bodenbedeckung.Bodenbedeckung.Objektnummer:STRUCTURE.Objektnummer.Textposition:STRUCTURE.Textposition.Textgroesse</t>
  </si>
  <si>
    <t>Bodenbedeckung.Bodenbedeckung.Objektname:STRUCTURE.Objektname.Name</t>
  </si>
  <si>
    <t>Bodenbedeckung.Bodenbedeckung.Objektname:STRUCTURE.Objektname.Textposition:STRUCTURE.Textposition.Position</t>
  </si>
  <si>
    <t>Bodenbedeckung.Bodenbedeckung.Objektname:STRUCTURE.Objektname.Textposition:STRUCTURE.Textposition.Orientierung</t>
  </si>
  <si>
    <t>Bodenbedeckung.Bodenbedeckung.Objektname:STRUCTURE.Objektname.Textposition:STRUCTURE.Textposition.HReferenzpunkt</t>
  </si>
  <si>
    <t>Bodenbedeckung.Bodenbedeckung.Objektname:STRUCTURE.Objektname.Textposition:STRUCTURE.Textposition.VReferenzpunkt</t>
  </si>
  <si>
    <t>Bodenbedeckung.Bodenbedeckung.Objektname:STRUCTURE.Objektname.Textposition:STRUCTURE.Textposition.Textgroesse</t>
  </si>
  <si>
    <t>generell) Bodenbedeckung.Bodenbedeckung.Fiktiv == FALSE
1) Bodenbedeckung.Bodenbedeckung.Objektstatus == projektiert</t>
  </si>
  <si>
    <t>1) Bodenbedeckung.ProjBoFlaeche.Geometrie</t>
  </si>
  <si>
    <t>1) Bodenbedeckung.ProjBoFlaeche.Qualitaet</t>
  </si>
  <si>
    <t>1) Bodenbedeckung.ProjGebaeudenummer.Nummer</t>
  </si>
  <si>
    <t>1) Bodenbedeckung.ProjGebaeudenummerPos.Pos</t>
  </si>
  <si>
    <t>1) Bodenbedeckung.ProjGebaeudenummerPos.Ori</t>
  </si>
  <si>
    <t>1) Bodenbedeckung.ProjGebaeudenummerPos.HAli</t>
  </si>
  <si>
    <t>1) Bodenbedeckung.ProjGebaeudenummerPos.VAli</t>
  </si>
  <si>
    <t>1) Bodenbedeckung.ProjGebaeudenummerPos.Groesse</t>
  </si>
  <si>
    <t>1) Bodenbedeckung.ProjObjektname.Name</t>
  </si>
  <si>
    <t>1) Bodenbedeckung.ProjObjektnamePos.Pos</t>
  </si>
  <si>
    <t>1) Bodenbedeckung.ProjObjektnamePos.Ori</t>
  </si>
  <si>
    <t>1) Bodenbedeckung.ProjObjektnamePos.HAli</t>
  </si>
  <si>
    <t>1) Bodenbedeckung.ProjObjektnamePos.VAli</t>
  </si>
  <si>
    <t>1) Bodenbedeckung.ProjObjektnamePos.Groesse</t>
  </si>
  <si>
    <t>1) Bodenbedeckung.ProjGebaeudenummer.GWR_EGID</t>
  </si>
  <si>
    <t>1) Bodenbedeckung.ProjBoFlaecheSymbol.Pos</t>
  </si>
  <si>
    <t>1) Bodenbedeckung.ProjBoFlaecheSymbol.Ori</t>
  </si>
  <si>
    <t>DEFINED(Einzelobjekte.EONachfuehrung.GueltigerEintrag) == FALSE</t>
  </si>
  <si>
    <t>Einzelobjekte.Einzelobjekt.Flaechenelement:STRUCTURE.Flaechenelement.Geometrie</t>
  </si>
  <si>
    <t>Einzelobjekte.Einzelobjekt.Flaechenelement:STRUCTURE.Flaechenelement.Symbolposition:STRUCTURE.Symbolposition.Position</t>
  </si>
  <si>
    <t>Einzelobjekte.Einzelobjekt.Flaechenelement:STRUCTURE.Flaechenelement.Symbolposition:STRUCTURE.Symbolposition.Orientierung</t>
  </si>
  <si>
    <t>Einzelobjekte.Einzelobjekt.Linienelement:STRUCTURE.Linienelement.Geometrie</t>
  </si>
  <si>
    <t>Einzelobjekte.Einzelobjekt.Linienelement:STRUCTURE.Linienelement.Symbolposition:STRUCTURE.Symbolposition.Position</t>
  </si>
  <si>
    <t>Einzelobjekte.Einzelobjekt.Linienelement:STRUCTURE.Linienelement.Symbolposition:STRUCTURE.Symbolposition.Orientierung</t>
  </si>
  <si>
    <t>Einzelobjekte.Einzelobjekt.Punktelement:STRUCTURE.Punktelement.Geometrie</t>
  </si>
  <si>
    <t>Einzelobjekte.Einzelobjekt.Punktelement:STRUCTURE.Punktelement.SymbolOri</t>
  </si>
  <si>
    <t>Einzelobjekte.Einzelobjekt.Objektnummer:STRUCTURE.Objektnummer.Nummer</t>
  </si>
  <si>
    <t>Einzelobjekte.Einzelobjekt.Objektnummer:STRUCTURE.Objektnummer.Textposition:STRUCTURE.Textposition.Position</t>
  </si>
  <si>
    <t>Einzelobjekte.Einzelobjekt.Objektnummer:STRUCTURE.Objektnummer.Textposition:STRUCTURE.Textposition.Orientierung</t>
  </si>
  <si>
    <t>Einzelobjekte.Einzelobjekt.Objektnummer:STRUCTURE.Objektnummer.Textposition:STRUCTURE.Textposition.HReferenzpunkt</t>
  </si>
  <si>
    <t>Einzelobjekte.Einzelobjekt.Objektnummer:STRUCTURE.Objektnummer.Textposition:STRUCTURE.Textposition.VReferenzpunkt</t>
  </si>
  <si>
    <t>Einzelobjekte.Einzelobjekt.Objektnummer:STRUCTURE.Objektnummer.Textposition:STRUCTURE.Textposition.Textgroesse</t>
  </si>
  <si>
    <t>Einzelobjekte.Einzelobjekt.Objektname:STRUCTURE.Objektname.Name</t>
  </si>
  <si>
    <t>Einzelobjekte.Einzelobjekt.Objektname:STRUCTURE.Objektname.Textposition:STRUCTURE.Textposition.Position</t>
  </si>
  <si>
    <t>Einzelobjekte.Einzelobjekt.Objektname:STRUCTURE.Objektname.Textposition:STRUCTURE.Textposition.Orientierung</t>
  </si>
  <si>
    <t>Einzelobjekte.Einzelobjekt.Objektname:STRUCTURE.Objektname.Textposition:STRUCTURE.Textposition.HReferenzpunkt</t>
  </si>
  <si>
    <t>Einzelobjekte.Einzelobjekt.Objektname:STRUCTURE.Objektname.Textposition:STRUCTURE.Textposition.VReferenzpunkt</t>
  </si>
  <si>
    <t>Einzelobjekte.Einzelobjekt.Objektname:STRUCTURE.Objektname.Textposition:STRUCTURE.Textposition.Textgroesse</t>
  </si>
  <si>
    <t>generell) Einzelobjekte.Einzelobjekt.Objektstatus == real</t>
  </si>
  <si>
    <t>DEFINED(Rohrleitungen.RLNachfuehrung.GueltigerEintrag) == FALSE</t>
  </si>
  <si>
    <t>generell) Rohrleitungen.Leitungsobjekt.Objektstatus == real</t>
  </si>
  <si>
    <t>Rohrleitungen.Leitungsobjekt.Flaechenelement:STRUCTURE.Flaechenelement.Geometrie</t>
  </si>
  <si>
    <t>Rohrleitungen.Flaechenelement.Geometrie.LINEATTR:Linienart == sichtbar</t>
  </si>
  <si>
    <t>Rohrleitungen.Leitungsobjekt.Flaechenelement:STRUCTURE.Flaechenelement.Sichtbar</t>
  </si>
  <si>
    <t>Rohrleitungen.Leitungsobjekt.Linienelement:STRUCTURE.Linienelement.Geometrie</t>
  </si>
  <si>
    <t>Rohrleitungen.Linienelement.Geometrie</t>
  </si>
  <si>
    <t>Rohrleitungen.Leitungsobjekt.Linienelement:STRUCTURE.Linienelement.IstSichtbar</t>
  </si>
  <si>
    <t>Rohrleitungen.Linienelement.Linienart</t>
  </si>
  <si>
    <t>Rohrleitungen.Leitungsobjekt.Punktelement:STRUCTURE.Punktelement.Geometrie</t>
  </si>
  <si>
    <t>Rohrleitungen.Leitungsobjekt.Punktelement:STRUCTURE.Punktelement.HoeheGeom</t>
  </si>
  <si>
    <t>Rohrleitungen.Leitungsobjekt.Punktelement:STRUCTURE.Punktelement.SymbolOri</t>
  </si>
  <si>
    <t>Rohrleitungen.Leitungsobjekt.Textposition:STRUCTURE.Textposition.Position</t>
  </si>
  <si>
    <t>Rohrleitungen.Leitungsobjekt.Textposition:STRUCTURE.Textposition.Orientierung</t>
  </si>
  <si>
    <t>Rohrleitungen.Leitungsobjekt.Textposition:STRUCTURE.Textposition.HReferenzpunkt</t>
  </si>
  <si>
    <t>Rohrleitungen.Leitungsobjekt.Textposition:STRUCTURE.Textposition.VReferenzpunkt</t>
  </si>
  <si>
    <t>Rohrleitungen.Leitungsobjekt.Textposition:STRUCTURE.Textposition.Textgroesse</t>
  </si>
  <si>
    <t>generell) Rohrleitungen.Signal.Objektstatus == real</t>
  </si>
  <si>
    <t>Rohrleitungen.Signal.Textposition:STRUCTURE.Textposition.Position</t>
  </si>
  <si>
    <t>Rohrleitungen.Signal.Textposition:STRUCTURE.Textposition.Orientierung</t>
  </si>
  <si>
    <t>Rohrleitungen.Signal.Textposition:STRUCTURE.Textposition.HReferenzpunkt</t>
  </si>
  <si>
    <t>Rohrleitungen.Signal.Textposition:STRUCTURE.Textposition.VReferenzpunkt</t>
  </si>
  <si>
    <t>Toleranzstufen.TSNachfuehrung.NBIdent = [geltender NBIdent],
Toleranzstufen.TSNachfuehrung.Identifikator = [geltender Identifikator],
Toleranzstufen.TSNachfuehrung.Beschreibung = [geltende Beschreibung]</t>
  </si>
  <si>
    <t>generell) HoheitsgrenzenAV.Gemeinde.Fiktiv == FALSE</t>
  </si>
  <si>
    <t>generell) HoheitsgrenzenAV.Gemeindegrenze.Fiktiv == FALSE</t>
  </si>
  <si>
    <t>DauerndeBodenverschiebungen.DBVNachfuehrung.NBIdent = [geltender NBIdent],
DauerndeBodenverschiebungen.DBVNachfuehrung.Identifikator = [geltender Identifikator],
DauerndeBodenverschiebungen.DBVNachfuehrung.Beschreibung = [geltende Beschreibung],
DauerndeBodenverschiebungen.DBVNachfuehrung.GueltigerEintrag = [geltender GueltigerEintrag]</t>
  </si>
  <si>
    <t>generell) Nomenklatur.Flurname.Fiktiv == FALSE</t>
  </si>
  <si>
    <t>1) Bodenbedeckung.ProjBoFlaeche.Art</t>
  </si>
  <si>
    <t>TSEinteilung.Toleranzstufe.GueltigerEintrag</t>
  </si>
  <si>
    <t>generell) Toleranzstufen.Toleranzstufe.Fiktiv == FALSE</t>
  </si>
  <si>
    <t>Toleranzstufen.TSNachfuehrung.GueltigerEintrag</t>
  </si>
  <si>
    <t>*) Pro Surface ein Eintrag in TABL Ortschaft</t>
  </si>
  <si>
    <t>Gebaeudeadressen.Lokalisation.LokalisationName:STRUCTURE.Lokalisationsname.Name</t>
  </si>
  <si>
    <t>Gebaeudeadressen.LokalisationsName.Text</t>
  </si>
  <si>
    <t>Gebaeudeadressen.Lokalisation.LokalisationName:STRUCTURE.Lokalisationsname.NameKurz</t>
  </si>
  <si>
    <t>Gebaeudeadressen.LokalisationsName.KurzText</t>
  </si>
  <si>
    <t>Gebaeudeadressen.Lokalisation.LokalisationName:STRUCTURE.Lokalisationsname.NameAlsIndex</t>
  </si>
  <si>
    <t>Gebaeudeadressen.LokalisationsName.IndexText</t>
  </si>
  <si>
    <t>Gebaeudeadressen.Lokalisation.LokalisationName:STRUCTURE.Lokalisationsname.Sprache</t>
  </si>
  <si>
    <t>Gebaeudeadressen.LokalisationsName.Sprache</t>
  </si>
  <si>
    <t>Gebaeudeadressen.Lokalisation.LokalisationName:STRUCTURE.Lokalisationsname.Textposition:STRUCTURE.Textposition.Position</t>
  </si>
  <si>
    <t>Gebaeudeadressen.LokalisationsNamePos.Pos</t>
  </si>
  <si>
    <t>Gebaeudeadressen.Lokalisation.LokalisationName:STRUCTURE.Lokalisationsname.Textposition:STRUCTURE.Textposition.Orientierung</t>
  </si>
  <si>
    <t>Gebaeudeadressen.LokalisationsNamePos.Ori</t>
  </si>
  <si>
    <t>Gebaeudeadressen.Lokalisation.LokalisationName:STRUCTURE.Lokalisationsname.Textposition:STRUCTURE.Textposition.HReferenzpunkt</t>
  </si>
  <si>
    <t>Gebaeudeadressen.LokalisationsNamePos.HAli</t>
  </si>
  <si>
    <t>Gebaeudeadressen.Lokalisation.LokalisationName:STRUCTURE.Lokalisationsname.Textposition:STRUCTURE.Textposition.VReferenzpunkt</t>
  </si>
  <si>
    <t>Gebaeudeadressen.LokalisationsNamePos.VAli</t>
  </si>
  <si>
    <t>Gebaeudeadressen.Lokalisation.LokalisationName:STRUCTURE.Lokalisationsname.Textposition:STRUCTURE.Textposition.Textgroesse</t>
  </si>
  <si>
    <t>Gebaeudeadressen.LokalisationsNamePos.Groesse</t>
  </si>
  <si>
    <t>Gebaeudeadressen.Lokalisation.LokalisationName:STRUCTURE.Lokalisationsname.Textposition:STRUCTURE.Textposition.Hinweisstrich</t>
  </si>
  <si>
    <t>Gebaeudeadressen.LokalisationsNamePos.Hilfslinie</t>
  </si>
  <si>
    <t>Gebaeudeadressen.Lokalisation.BenanntesGebiet:STRUCTURE.BenanntesGebiet.Geometrie</t>
  </si>
  <si>
    <t>Gebaeudeadressen.BenanntesGebiet.Flaeche</t>
  </si>
  <si>
    <t>Gebaeudeadressen.Lokalisation.Strassenstueck:STRUCTURE.Strassenstueck.Geometrie</t>
  </si>
  <si>
    <t>Gebaeudeadressen.Strassenstueck.Geometrie</t>
  </si>
  <si>
    <t>Koordinaten des 1. Punktes von Gebaeudeadressen.Lokalisation.Strassenstueck:STRUCTURE.Strassenstueck.Geometrie</t>
  </si>
  <si>
    <t>Gebaeudeadressen.Lokalisation.Strassenstueck:STRUCTURE.Strassenstueck.IstAchse</t>
  </si>
  <si>
    <t>Gebaeudeadressen.Strassenstueck.IstAchse</t>
  </si>
  <si>
    <t>BB = Bodenbedeckung,
EO = Einzelobjekte</t>
  </si>
  <si>
    <t>Bodenbedeckung = BB,
Einzelobjekte = EO</t>
  </si>
  <si>
    <t>Gebaeudeadressen.Gebaeudeeingang.GebaeudeName:STRUCTURE.Gebaeudename.Name</t>
  </si>
  <si>
    <t>Gebaeudeadressen.GebaeudeName.Text</t>
  </si>
  <si>
    <t>Gebaeudeadressen.Gebaeudeeingang.GebaeudeName:STRUCTURE.Gebaeudename.NameKurz</t>
  </si>
  <si>
    <t>Gebaeudeadressen.GebaeudeName.KurzText</t>
  </si>
  <si>
    <t>Gebaeudeadressen.Gebaeudeeingang.GebaeudeName:STRUCTURE.Gebaeudename.NameAlsIndex</t>
  </si>
  <si>
    <t>Gebaeudeadressen.GebaeudeName.IndexText</t>
  </si>
  <si>
    <t>Gebaeudeadressen.Gebaeudeeingang.GebaeudeName:STRUCTURE.Gebaeudename.Sprache</t>
  </si>
  <si>
    <t>Gebaeudeadressen.GebaeudeName.Sprache</t>
  </si>
  <si>
    <t>Gebaeudeadressen.Gebaeudeeingang.GebaeudeName:STRUCTURE.Gebaeudename.Textposition:STRUCTURE.Textposition.Position</t>
  </si>
  <si>
    <t>Gebaeudeadressen.GebaeudeNamePos.Pos</t>
  </si>
  <si>
    <t>Gebaeudeadressen.Gebaeudeeingang.GebaeudeName:STRUCTURE.Gebaeudename.Textposition:STRUCTURE.Textposition.Orientierung</t>
  </si>
  <si>
    <t>Gebaeudeadressen.GebaeudeNamePos.Ori</t>
  </si>
  <si>
    <t>Gebaeudeadressen.Gebaeudeeingang.GebaeudeName:STRUCTURE.Gebaeudename.Textposition:STRUCTURE.Textposition.HReferenzpunkt</t>
  </si>
  <si>
    <t>Gebaeudeadressen.GebaeudeNamePos.HAli</t>
  </si>
  <si>
    <t>Gebaeudeadressen.Gebaeudeeingang.GebaeudeName:STRUCTURE.Gebaeudename.Textposition:STRUCTURE.Textposition.VReferenzpunkt</t>
  </si>
  <si>
    <t>Gebaeudeadressen.GebaeudeNamePos.VAli</t>
  </si>
  <si>
    <t>Gebaeudeadressen.Gebaeudeeingang.GebaeudeName:STRUCTURE.Gebaeudename.Textposition:STRUCTURE.Textposition.Textgroesse</t>
  </si>
  <si>
    <t>Gebaeudeadressen.GebaeudeNamePos.Groesse</t>
  </si>
  <si>
    <t>Gebaeudeadressen.Gebaeudeeingang.GebaeudeName:STRUCTURE.Gebaeudename.Textposition:STRUCTURE.Textposition.Hinweisstrich</t>
  </si>
  <si>
    <t>Gebaeudeadressen.GebaeudeNamePos.Hilfslinie</t>
  </si>
  <si>
    <t>Gebaeudeadressen.Gebaeudeeingang.GebaeudeBeschreibung:STRUCTURE.Gebaeudebeschreibung.Beschreibung</t>
  </si>
  <si>
    <t>Gebaeudeadressen.Gebaeudebeschreibung.Text</t>
  </si>
  <si>
    <t>Gebaeudeadressen.Gebaeudeeingang.GebaeudeBeschreibung:STRUCTURE.Gebaeudebeschreibung.Sprache</t>
  </si>
  <si>
    <t>Gebaeudeadressen.Gebaeudebeschreibung.Sprache</t>
  </si>
  <si>
    <t>Gebaeudeadressen.Gebaeudeeingang.Textposition:STRUCTURE.Textposition.Position</t>
  </si>
  <si>
    <t>Gebaeudeadressen.HausnummerPos.Pos</t>
  </si>
  <si>
    <t>Gebaeudeadressen.Gebaeudeeingang.Textposition:STRUCTURE.Textposition.Orientierung</t>
  </si>
  <si>
    <t>Gebaeudeadressen.HausnummerPos.Ori</t>
  </si>
  <si>
    <t>Gebaeudeadressen.Gebaeudeeingang.Textposition:STRUCTURE.Textposition.HReferenzpunkt</t>
  </si>
  <si>
    <t>Gebaeudeadressen.HausnummerPos.HAli</t>
  </si>
  <si>
    <t>Gebaeudeadressen.Gebaeudeeingang.Textposition:STRUCTURE.Textposition.VReferenzpunkt</t>
  </si>
  <si>
    <t>Gebaeudeadressen.HausnummerPos.VAli</t>
  </si>
  <si>
    <t>Gebaeudeadressen.Gebaeudeeingang.Textposition:STRUCTURE.Textposition.Textgroesse</t>
  </si>
  <si>
    <t>Gebaeudeadressen.HausnummerPos.Groesse</t>
  </si>
  <si>
    <t>Gemeindegrenzen.Hoheitsgrenzpunkt.Hoheitsgrenzstein = nein</t>
  </si>
  <si>
    <t>FixpunkteKategorie1.LFP1Nachfuehrung.NBIdent = [geltender NBIdent],
FixpunkteKategorie1.LFP1Nachfuehrung.Identifikator = Zeitstempel{Format:YYYYMMDDHHMMSS},
FixpunkteKategorie1.LFP1Nachfuehrung.Beschreibung = "Bezug_durch_Dienst",
FixpunkteKategorie1.LFP1Nachfuehrung.GueltigerEintrag = Datum</t>
  </si>
  <si>
    <t>FixpunkteKategorie1.HFP1Nachfuehrung.NBIdent = [geltender NBIdent],
FixpunkteKategorie1.HFP1Nachfuehrung.Identifikator = Zeitstempel{Format:YYYYMMDDHHMMSS},
FixpunkteKategorie1.HFP1Nachfuehrung.Beschreibung = "Bezug_durch_Dienst",
FixpunkteKategorie1.HFP1Nachfuehrung.GueltigerEintrag = Datum</t>
  </si>
  <si>
    <t>1) Liegenschaften.ProjGrundstueckPos.Groesse</t>
  </si>
  <si>
    <t>Nomenklatur.FlurnamePos.Groesse</t>
  </si>
  <si>
    <t>Nomenklatur.OrtsnamePos.Groesse</t>
  </si>
  <si>
    <t>Nomenklatur.GelaendenamePos.Groesse</t>
  </si>
  <si>
    <t>1) Liegenschaften.ProjGrundstueck.Art</t>
  </si>
  <si>
    <t>DEFINED(FixpunkteKategorie3.LFP3Nachfuehrung.GueltigerEintrag) == FALSE</t>
  </si>
  <si>
    <t>DEFINED(FixpunkteKategorie3.HFP3Nachfuehrung.GueltigerEintrag) == FALSE</t>
  </si>
  <si>
    <t>Liegenschaften.SelbstRecht.Geometrie.LINEATTR:Linienart == streitig</t>
  </si>
  <si>
    <t>1) Gemeindegrenzen.Hoheitsgrenzpunkt.Geometrie == FixpunkteKategorie3.LFP3.Geometrie
2) Gemeindegrenzen.Hoheitsgrenzpunkt.Geometrie == Liegenschaften.Grenzpunkt.Geometrie</t>
  </si>
  <si>
    <t>Doku</t>
  </si>
  <si>
    <t>R1</t>
  </si>
  <si>
    <t>DM.01-AV-CH</t>
  </si>
  <si>
    <t>Modelltransfer (DMAV &lt;&gt; DM.01-AV-CH)</t>
  </si>
  <si>
    <t>Substruct</t>
  </si>
  <si>
    <t>DMAV Version 1.0</t>
  </si>
  <si>
    <t>Bedingung / Voraussetzung in DM.01-AV-CH</t>
  </si>
  <si>
    <t>Bedingung / Voraussetzung in DMAV</t>
  </si>
  <si>
    <t>Übergang von DM.01-AV-CH nach DMAV Version 1.0</t>
  </si>
  <si>
    <t>Übergang von DMAV Version 1.0 nach DM.01-AV-CH</t>
  </si>
  <si>
    <t>Bemerkungen</t>
  </si>
  <si>
    <t>Link</t>
  </si>
  <si>
    <t>Erläuterungen zur Korrelationstabelle</t>
  </si>
  <si>
    <t>Tabelle Transformation</t>
  </si>
  <si>
    <t>Spalte</t>
  </si>
  <si>
    <t>Titel</t>
  </si>
  <si>
    <t>Inhalt</t>
  </si>
  <si>
    <t>Beschreibt den Übergang von DM.01-AV-CH nach DMAV Version 1.0 und umgekehrt.</t>
  </si>
  <si>
    <t>In welche Klasse, welches Attribut sind die Daten vom DM.01-AV-CH nach DMAV Version 1.0 zu überführen?</t>
  </si>
  <si>
    <t>In welche Tabelle, welches Attribut sind die Daten vom DMAV Version 1.0 ins DM.01-AV-CH zu überführen?</t>
  </si>
  <si>
    <t>Tabelle DMAV_Doku</t>
  </si>
  <si>
    <t>Zeilennummer</t>
  </si>
  <si>
    <t>Enthält den Objektkatalog aus den Modelldokumentationen.</t>
  </si>
  <si>
    <t>MANDATORY, sind Daten zu diesem Attribut zu erfassen:
0..1 = optional (nicht MANDATORY)
1 = obligatorisch (MANDATORY)</t>
  </si>
  <si>
    <t>Tabelle DMAV_Modell</t>
  </si>
  <si>
    <t>Enthält den Objektkatalog aus der Modellbeschreibung in INTERLIS 2.4.</t>
  </si>
  <si>
    <t>Tabelle DM01-AV-CH</t>
  </si>
  <si>
    <t>Enthält die Definition des Modells DM.01-AV-CH in INTERLIS 1.</t>
  </si>
  <si>
    <t>Stand: 01.01.2024</t>
  </si>
  <si>
    <t>DMAV_Dienstbarkeitsgrenzen_V1_0</t>
  </si>
  <si>
    <t>Dienstbarkeitsgrenzen</t>
  </si>
  <si>
    <t>AssiettesDeServitudes</t>
  </si>
  <si>
    <t>DMAV_Dienstbarkeitsgrenzen_V1_0.ili</t>
  </si>
  <si>
    <t>Herkunft</t>
  </si>
  <si>
    <t>Dienstbarkeitsgrenze</t>
  </si>
  <si>
    <t>Entstehung_Dienstbarkeitsgrenze</t>
  </si>
  <si>
    <t>Untergang_Dienstbarkeitsgrenze</t>
  </si>
  <si>
    <t>Vorgaenger_Nachfolger_Dienstbarkeitsgrenze</t>
  </si>
  <si>
    <t>Dienstbarkeitsgrenze_Gueltig</t>
  </si>
  <si>
    <t>numerisch</t>
  </si>
  <si>
    <t>grafisch</t>
  </si>
  <si>
    <t>unbestimmt</t>
  </si>
  <si>
    <t>@PH1@: Dienstbarkeitsgrenze-&gt;Entstehung_x000D_
@PH2@: Dienstbarkeitsgrenze-&gt;Entstehung-&gt;Grundbucheintrag_x000D_
@PH3@: Dienstbarkeitsgrenze-&gt;Untergang_x000D_
@PH4@: Dienstbarkeitsgrenze-&gt;Untergang-&gt;Grundbucheintrag</t>
  </si>
  <si>
    <t>Ein Objekt "Dienstbarkeitsgrenze" muss mindestens eine Geometrie der Struktur "Flächenelement", "Linienelement" oder "Punktelement" enthalten.</t>
  </si>
  <si>
    <t>Alle Dienstbarkeitsgrenzen herausfiltern die entstanden (real) aber nicht untergegangen (vergangen) sind.</t>
  </si>
  <si>
    <t>Die Dienstbarkeitsgrenze ist beispielsweise durch die zuständige Nachführungstelle oder einen Arichtekten eingemessen.</t>
  </si>
  <si>
    <t>Die Dienstbarkeitsgrenze ist auf Basis eines Plans digitalisiert.</t>
  </si>
  <si>
    <t>Die Herkunft der Dienstbarkeitsgrenze ist nicht definierbar.</t>
  </si>
  <si>
    <t>Provenance</t>
  </si>
  <si>
    <t>numerique</t>
  </si>
  <si>
    <t>graphique</t>
  </si>
  <si>
    <t>indeterminee</t>
  </si>
  <si>
    <t>Flächenelement</t>
  </si>
  <si>
    <t>AssietteDeServitude</t>
  </si>
  <si>
    <t>WB Herkunft</t>
  </si>
  <si>
    <t>Struktur Flächenelement</t>
  </si>
  <si>
    <t>Höhenangabe zur Dienstbarkeitsgrenze.</t>
  </si>
  <si>
    <t>Erfassungsart der Dienstbarkeitsgrenze</t>
  </si>
  <si>
    <t>entstehende_Dienstbarkeitsgrenze</t>
  </si>
  <si>
    <t>untergehende_Dienstbarkeitsgrenze</t>
  </si>
  <si>
    <t>UntereinheitGrundbuch</t>
  </si>
  <si>
    <t>Die Kombination NBIdent, UntereinheitGrundbuch und Nummer muss für reale Grundstücke eindeutig sein.</t>
  </si>
  <si>
    <t>Korrelation DMAV Modelldokumentation</t>
  </si>
  <si>
    <t>Korrelation DMAV DM.01</t>
  </si>
  <si>
    <t>Zeile</t>
  </si>
  <si>
    <t>Neu</t>
  </si>
  <si>
    <t>Gelöscht</t>
  </si>
  <si>
    <t>Provisorisch</t>
  </si>
  <si>
    <t>Undefiniert</t>
  </si>
  <si>
    <t>Abschnitte der provisorisch festgelegten Gemeindegrenze (Abschnitte liegen in qualitativ ungenügender Form vor).</t>
  </si>
  <si>
    <t>Abschnitte der undefinierten Gemeindegrenze (Pseudoabschlüsse).</t>
  </si>
  <si>
    <t>Gemäss Datenmodell «GeometryCHLV95_V2» aus dem Model Repository «CHBase_Part1_GEOMETRY_V2.ili».
Die Geometrie dieser Linie verläuft entlang der provisorisch festgelegten Gemeindegrenze und ist im provisorisch festgelegten Abschnitt deckungsgleich.</t>
  </si>
  <si>
    <t>Gemäss Datenmodell «GeometryCHLV95_V2» aus dem Model Repository «CHBase_Part1_GEOMETRY_V2.ili».
Die Geometrie dieser Linie verläuft entlang der undefinierten Gemeindegrenze und ist im undefinierten Abschnitt deckungsgleich.</t>
  </si>
  <si>
    <t>Indefinie</t>
  </si>
  <si>
    <t>Wenn ein Teil der Gemeindegrenze bestritten ist, muss die Linie die den bestrittenen Abschnitt markiert, deckungsgleich mit der Geometrie des Objekts "Gemeindegrenze" sein.</t>
  </si>
  <si>
    <t>Wenn ein Teil der Gemeindegrenze provisorisch festgelegt ist, muss die Linie die den provisorisch festgelegten Abschnitt markiert, deckungsgleich mit der Geometrie des Objekts "Gemeindegrenze" sein.</t>
  </si>
  <si>
    <t>Wenn ein Teil der Gemeindegrenze undefiniert ist, muss die Linie die den undefinierten Abschnitt markiert, deckungsgleich mit der Geometrie des Objekts "Gemeindegrenze" sein.</t>
  </si>
  <si>
    <t>Gemeindegrenzen.Gemeindegrenze.Geometrie.LINEATTR:Linienart == provisorisch</t>
  </si>
  <si>
    <t>Gemeindegrenzen.Gemeindegrenze.Geometrie.LINEATTR:Linienart == undefiniert</t>
  </si>
  <si>
    <t>Gemeindegrenzen.Gemeindegrenze.Geometrie.LINEATTR:Linienart = provisorisch</t>
  </si>
  <si>
    <t>Gemeindegrenzen.Gemeindegrenze.Geometrie.LINEATTR:Linienart = undefiniert</t>
  </si>
  <si>
    <t>Kanton</t>
  </si>
  <si>
    <t>eGRIS_SubKreis</t>
  </si>
  <si>
    <t>eGRIS_Los</t>
  </si>
  <si>
    <t>CHCantonCode</t>
  </si>
  <si>
    <t>Text*15</t>
  </si>
  <si>
    <t>NBIdent (gemäss Kapitel 4.5.4).</t>
  </si>
  <si>
    <t>Nummer des Sub-Kreises innerhalb eines Grundbuchamtes. Die Unterteilung in Sub-Kreise erfolgt durch das entsprechende Grundbuchamt oder den Kanton.</t>
  </si>
  <si>
    <t>Nummer des Loses innerhalb eines Sub-Kreises. Die Unterteilung in Lose erfogt durch das entsprechende Grundbuchamt oder den Kanton.</t>
  </si>
  <si>
    <t>Gemäss Datenmodell «CHAdminCodes_V2» aus dem Model Repository «CHBase_Part4_
ADMINISTRATIVEUNITS_V2.ili».</t>
  </si>
  <si>
    <t>SurfaceObjects: CLASS;
SurfaceAttr: ATTRIBUTE;
MultiLineObject: ANYSTRUCTURE;
MultiLineAttr: ATTRIBUTE</t>
  </si>
  <si>
    <t>GrundbuchKreis</t>
  </si>
  <si>
    <t>CHAdminCodes_V2.CHCantonCode</t>
  </si>
  <si>
    <t>TEXT*15</t>
  </si>
  <si>
    <t>@PH1@: Hoehengeometrie_x000D_
@PH2@: Hoehengenauigkeit</t>
  </si>
  <si>
    <t>CH000101</t>
  </si>
  <si>
    <t>@PH1@: Hoehengeometrie_x000D_
@PH2@: IstHoehenzuverlaessig</t>
  </si>
  <si>
    <t>CH000102</t>
  </si>
  <si>
    <t>CH010104</t>
  </si>
  <si>
    <t>CH010101</t>
  </si>
  <si>
    <t>CH010102</t>
  </si>
  <si>
    <t>@PH1@!=@PH2@</t>
  </si>
  <si>
    <t>@PH1@: Punktzeichen_x000D_
@PH2@: unversichert</t>
  </si>
  <si>
    <t>CH010103</t>
  </si>
  <si>
    <t>CH010201</t>
  </si>
  <si>
    <t>CH010202</t>
  </si>
  <si>
    <t>CH020101</t>
  </si>
  <si>
    <t>CH020201</t>
  </si>
  <si>
    <t>CH020202</t>
  </si>
  <si>
    <t>@PH1@!=LFP3 OR @PH2@!=@PH3@</t>
  </si>
  <si>
    <t>@PH1@: LFPArt_x000D_
@PH2@: Punktzeichen_x000D_
@PH3@: unversichert</t>
  </si>
  <si>
    <t>CH020203</t>
  </si>
  <si>
    <t>CH020501</t>
  </si>
  <si>
    <t>CH020502</t>
  </si>
  <si>
    <t>CH020601</t>
  </si>
  <si>
    <t>CH020901</t>
  </si>
  <si>
    <t>CH020902</t>
  </si>
  <si>
    <t>// Geometrie nur Hoheitsgrenzpunkt //</t>
  </si>
  <si>
    <t>CH030101</t>
  </si>
  <si>
    <t>CH030601</t>
  </si>
  <si>
    <t>auch als Exklave moeglich</t>
  </si>
  <si>
    <t>S: auch als Exklave moeglich_x000D_
D: Verlauf einer streitigen Grenze muss auf derselben Geometrie liegen</t>
  </si>
  <si>
    <t>CH030701</t>
  </si>
  <si>
    <t>NOT(DEFINED(@PH1@)) OR @PH2@(@PH3@)</t>
  </si>
  <si>
    <t>@PH1@: Provisorisch_x000D_
@PH2@: DMAVTYM_Topologie_V1_0.covers_x000D_
@PH3@: THIS,&gt;&gt;Geometrie,THIS,&gt;&gt;Provisorisch</t>
  </si>
  <si>
    <t>CH030702</t>
  </si>
  <si>
    <t>@PH1@: Undefiniert_x000D_
@PH2@: DMAVTYM_Topologie_V1_0.covers_x000D_
@PH3@: THIS,&gt;&gt;Geometrie,THIS,&gt;&gt;Undefiniert</t>
  </si>
  <si>
    <t>CH030703</t>
  </si>
  <si>
    <t>Constraint:_x000D_
INTERLIS.areAreas(@PH1@)</t>
  </si>
  <si>
    <t>@PH1@: ALL, UNDEFINED, &gt;&gt; Geometrie</t>
  </si>
  <si>
    <t>CH031101</t>
  </si>
  <si>
    <t>@PH1@ == @PH2@</t>
  </si>
  <si>
    <t>@PH1@: Gemeindegrenze-&gt;Fiktiv_x000D_
@PH2@: Gemeinde-&gt;Fiktiv</t>
  </si>
  <si>
    <t>CH031201</t>
  </si>
  <si>
    <t>z.B. unbekannter Seeabschluss</t>
  </si>
  <si>
    <t>CH040201</t>
  </si>
  <si>
    <t>Techn. Bearbeitung</t>
  </si>
  <si>
    <t>CH040202</t>
  </si>
  <si>
    <t>@PH1@ OR @PH2@==@PH3@</t>
  </si>
  <si>
    <t>@PH1@: IstExaktDefiniert_x000D_
@PH2@: Punktzeichen_x000D_
@PH3@: unversichert</t>
  </si>
  <si>
    <t>CH040203</t>
  </si>
  <si>
    <t>CH040601</t>
  </si>
  <si>
    <t>Elektronisches Grundstueckinformationssystem</t>
  </si>
  <si>
    <t>abgeleitetes Attribut: muss streitig sein, falls Liegenschaft, SelbstRecht oder Bergwerk streitig;</t>
  </si>
  <si>
    <t>unvollstaendig, falls z.B. das Grundstueck teilweise ausserhalb des Perimeters liegt.</t>
  </si>
  <si>
    <t>{0..*}</t>
  </si>
  <si>
    <t>DMAVTYM_Grafik_V1_0.Textposition</t>
  </si>
  <si>
    <t>Gesamtflaechenmass wird nur benutzt, falls TeilGrundstueke existieren. Das heisst mehrere Objekte Liegenschaft, SelbstRecht oder Bergwerk werden zu einem Objekt Grundstueck.</t>
  </si>
  <si>
    <t>@PH1@ == NOT(DEFINED(@PH2@))</t>
  </si>
  <si>
    <t>@PH1@: IstVollstaendig_x000D_
@PH2@: Gesamtflaechenmass</t>
  </si>
  <si>
    <t>CH040701</t>
  </si>
  <si>
    <t>CH041101</t>
  </si>
  <si>
    <t>CH041102</t>
  </si>
  <si>
    <t>NummerTeilgrundstueck ist fuer Teil Grundstueck noetig</t>
  </si>
  <si>
    <t>Verlauf einer streitigen Grenze muss auf derselben Liegenschaftsgeometrie liegen</t>
  </si>
  <si>
    <t>CH041201</t>
  </si>
  <si>
    <t>@PH1@: Grundstueck-&gt;Grundstuecksart_x000D_
@PH2@: Liegenschaft</t>
  </si>
  <si>
    <t>CH041301</t>
  </si>
  <si>
    <t>@PH1@==@PH2@</t>
  </si>
  <si>
    <t>@PH1@: Liegenschaft-&gt;Fiktiv_x000D_
@PH2@: Grundstueck-&gt;Fiktiv</t>
  </si>
  <si>
    <t>CH041302</t>
  </si>
  <si>
    <t>@PH1@: Streitig_x000D_
@PH2@: Grundstueck-&gt;IstStreitig</t>
  </si>
  <si>
    <t>CH041401</t>
  </si>
  <si>
    <t>NOT(DEFINED(@PH1@)) == @PH2@</t>
  </si>
  <si>
    <t>@PH1@: NummerTeilgrundstueck_x000D_
@PH2@: Grundstueck-&gt;IstVollstaendig</t>
  </si>
  <si>
    <t>CH041402</t>
  </si>
  <si>
    <t>CH041501</t>
  </si>
  <si>
    <t>Falls bei SelbstRecht keine Flaeche vorhanden ist, existiert hier auch kein Objekt.</t>
  </si>
  <si>
    <t>CH041601</t>
  </si>
  <si>
    <t>@PH1@: Grundstueck-&gt;Grundstuecksart_x000D_
@PH2@: SelbstaendigesDauerndesRecht</t>
  </si>
  <si>
    <t>CH041701</t>
  </si>
  <si>
    <t>NOT(@PH1@)</t>
  </si>
  <si>
    <t>@PH1@: Grundstueck-&gt;Fiktiv</t>
  </si>
  <si>
    <t>CH041702</t>
  </si>
  <si>
    <t>CH041801</t>
  </si>
  <si>
    <t>CH041802</t>
  </si>
  <si>
    <t>CH042001</t>
  </si>
  <si>
    <t>@PH1@: Grundstueck-&gt;Grundstuecksart_x000D_
@PH2@: Bergwerk</t>
  </si>
  <si>
    <t>CH042101</t>
  </si>
  <si>
    <t>CH042102</t>
  </si>
  <si>
    <t>CH042201</t>
  </si>
  <si>
    <t>CH042202</t>
  </si>
  <si>
    <t>DEFINED(@PH1@) == ((INTERLIS.objectCount(@PH2@) + INTERLIS.objectCount(@PH3@) + INTERLIS.objectCount(@PH4@))&gt;1)</t>
  </si>
  <si>
    <t>@PH1@: Gesamtflaechenmass_x000D_
@PH2@: Liegenschaft_x000D_
@PH3@: SelbstaendigesDauerndesRecht_x000D_
@PH4@: Bergwerk</t>
  </si>
  <si>
    <t>CH042401</t>
  </si>
  <si>
    <t>(INTERLIS.objectCount(@PH1@)&gt;0 AND INTERLIS.objectCount(@PH2@)==0 AND INTERLIS.objectCount(@PH3@)==0) OR (INTERLIS.objectCount(@PH1@)==0 AND INTERLIS.objectCount(@PH2@)&gt;0 AND INTERLIS.objectCount(@PH3@)==0) OR (INTERLIS.objectCount(@PH1@)==0 AND INTERLIS.objectCount(@PH2@)==0 AND INTERLIS.objectCount(@PH3@)&gt;0)</t>
  </si>
  <si>
    <t>@PH1@: Liegenschaft_x000D_
@PH2@: SelbstaendigesDauerndesRecht_x000D_
@PH3@: Bergwerk</t>
  </si>
  <si>
    <t>CH042402</t>
  </si>
  <si>
    <t>CH050101</t>
  </si>
  <si>
    <t>INTERLIS.elementCount(@PH1@)&gt;0 OR INTERLIS.elementCount(@PH2@)&gt;0 OR INTERLIS.elementCount(@PH3@)&gt;0</t>
  </si>
  <si>
    <t>@PH1@: Flaechenelement_x000D_
@PH2@: Linienelement_x000D_
@PH3@: Punktelement</t>
  </si>
  <si>
    <t>CH050301</t>
  </si>
  <si>
    <t>CH050701</t>
  </si>
  <si>
    <t>CH060101</t>
  </si>
  <si>
    <t>CH060601</t>
  </si>
  <si>
    <t>CH070101</t>
  </si>
  <si>
    <t>WHERE DEFINED(@PH1@) AND NOT( DEFINED(@PH2@))</t>
  </si>
  <si>
    <t>CH070501</t>
  </si>
  <si>
    <t>CH080101</t>
  </si>
  <si>
    <t>DMAVTYM_Grafik_V1_0.Symbolposition</t>
  </si>
  <si>
    <t>CH080401</t>
  </si>
  <si>
    <t>CH080402</t>
  </si>
  <si>
    <t>@PH1@!=DEFINED(@PH2@)</t>
  </si>
  <si>
    <t>@PH1@: Fiktiv_x000D_
@PH2@: Bodenbedeckungsart</t>
  </si>
  <si>
    <t>@PH1@: Objektstatus_x000D_
@PH2@: ALL, UNDEFINED, &gt;&gt; Geometrie</t>
  </si>
  <si>
    <t>CH080801</t>
  </si>
  <si>
    <t>CH080901</t>
  </si>
  <si>
    <t>CH080902</t>
  </si>
  <si>
    <t>CH090701</t>
  </si>
  <si>
    <t>CH091201</t>
  </si>
  <si>
    <t>CH091202</t>
  </si>
  <si>
    <t>CH100101</t>
  </si>
  <si>
    <t>CH100201</t>
  </si>
  <si>
    <t>CH100501</t>
  </si>
  <si>
    <t>CH101501</t>
  </si>
  <si>
    <t>CH101502</t>
  </si>
  <si>
    <t>CH110101</t>
  </si>
  <si>
    <t>CH110501</t>
  </si>
  <si>
    <t>T: siehe SN 612040;</t>
  </si>
  <si>
    <t>CH120101</t>
  </si>
  <si>
    <t>{1..*}</t>
  </si>
  <si>
    <t>(INTERLIS.elementCount(@PH1@)&gt;0) == (@PH2@==@PH3@ OR @PH2@==@PH4@)</t>
  </si>
  <si>
    <t>@PH1@: Strassenstueck_x000D_
@PH2@: Lokalisationsart_x000D_
@PH3@: Strasse_x000D_
@PH4@: Platz</t>
  </si>
  <si>
    <t>CH120501</t>
  </si>
  <si>
    <t>(INTERLIS.elementCount(@PH1@)&gt;0) == (@PH2@==@PH3@)</t>
  </si>
  <si>
    <t>@PH1@: BenanntesGebiet_x000D_
@PH2@: Lokalisationsart_x000D_
@PH3@: BenanntesGebiet</t>
  </si>
  <si>
    <t>CH120502</t>
  </si>
  <si>
    <t>@PH1@: Lokalisation-&gt;Nummerierungsprinzip_x000D_
@PH2@: keineNummern_x000D_
@PH3@: Gebaeudeeingang-&gt;Hausnummer</t>
  </si>
  <si>
    <t>CH121701</t>
  </si>
  <si>
    <t>BAG OF</t>
  </si>
  <si>
    <t>Liegenschaften.Bergwerk.Geometrie.LINEATTR:Linienart == streitig</t>
  </si>
  <si>
    <t>Canton</t>
  </si>
  <si>
    <t>eGRIS_SousArrondissement</t>
  </si>
  <si>
    <t>eGRIS_Lot</t>
  </si>
  <si>
    <t>CH040101</t>
  </si>
  <si>
    <t>CH090101</t>
  </si>
  <si>
    <t>Dienste</t>
  </si>
  <si>
    <t>Punktname</t>
  </si>
  <si>
    <t>NBIDENT</t>
  </si>
  <si>
    <t>Zugang</t>
  </si>
  <si>
    <t>ZustHaupt</t>
  </si>
  <si>
    <t>Zustaendig</t>
  </si>
  <si>
    <t>Grundbuchkreis</t>
  </si>
  <si>
    <t>ArrondissementDuRegistreFoncier</t>
  </si>
  <si>
    <t>@PH1@!=@PH2@ OR @PH3@!=@PH4@ OR INTERLIS.elementCount(@PH5@)&gt;0</t>
  </si>
  <si>
    <t>@PH1@!=@PH2@ OR @PH3@!=@PH4@ OR DEFINED(EGID)</t>
  </si>
  <si>
    <t>@PH1@: Objektstatus
@PH2@: real
@PH3@: Bodenbedeckungsart
@PH4@: Gebaeude
@PH5@: Objektnummer</t>
  </si>
  <si>
    <t>@PH1@: Objektstatus
@PH2@: real
@PH3@: Bodenbedeckungsart
@PH4@: Gebaeude</t>
  </si>
  <si>
    <t>FixpunkteLV_V1_0.ili</t>
  </si>
  <si>
    <t>FixpunkteLV_V1_0</t>
  </si>
  <si>
    <t>TEXT*50</t>
  </si>
  <si>
    <t>(Aktiv, Deklassiert, Geloescht, Ersetzt, Zerstoert)</t>
  </si>
  <si>
    <t>TEXT*255</t>
  </si>
  <si>
    <t>(LFP1_1_Ordnung, LFP1_2_Ordnung, LFP1_3_Ordnung, LV95_Hauptpunkt, LV95_Verdichtungspunkt)</t>
  </si>
  <si>
    <t>(HFP1)</t>
  </si>
  <si>
    <t>H95Ell</t>
  </si>
  <si>
    <t>(CH)</t>
  </si>
  <si>
    <t>LSN</t>
  </si>
  <si>
    <t>LatEtrs</t>
  </si>
  <si>
    <t>45.00000000000 .. 49.00000000000</t>
  </si>
  <si>
    <t>LonEtrs</t>
  </si>
  <si>
    <t>5.00000000000 .. 11.00000000000</t>
  </si>
  <si>
    <t>VertGrad</t>
  </si>
  <si>
    <t>-0.0300 .. 0.9999</t>
  </si>
  <si>
    <t>Gravity</t>
  </si>
  <si>
    <t>979000.000 .. 982000.000</t>
  </si>
  <si>
    <t>RMS</t>
  </si>
  <si>
    <t>0.000 .. 0.999</t>
  </si>
  <si>
    <t>(Absolutstation, Ordnung1, Ordnung2, Ordnung3, Exzenter_Absolutstation)</t>
  </si>
  <si>
    <t>OfficialIndexOfLocalities_V1_0</t>
  </si>
  <si>
    <t>INTERLIS.UUIDOID</t>
  </si>
  <si>
    <t>FORMAT INTERLIS.XMLDate "1900-01-01" .. "2999-12-31"</t>
  </si>
  <si>
    <t>FORMAT INTERLIS.XMLDate "2010-01-01" .. "2999-12-31"</t>
  </si>
  <si>
    <t>0 .. 99999</t>
  </si>
  <si>
    <t>TEXT*2</t>
  </si>
  <si>
    <t>HoheitsgrenzenLV_V1_0.ili</t>
  </si>
  <si>
    <t>HoheitsgrenzenLV_V1_0</t>
  </si>
  <si>
    <t>KGKCGC_FPDS2_V1_1</t>
  </si>
  <si>
    <t>Bolzen_horizontal = Bolzen,
Bolzen = Bolzen,
Bolzen_mit_Stiftloch = Bolzen,
Bronzeplatte = weitere,
Kappenbolzen = Bolzen,
Landesnivellement = weitere,
Mast_Antenne = weitere,
Niete = weitere,
Nivellementsbolzen = weitere,
Pyramide = weitere,
Stein = Stein,
Turm = weitere,
unterirdische_Versicherung = weitere,
weitere = weitere</t>
  </si>
  <si>
    <t>PLZOrtschaft.OSNachfuehrung.NBIdent = [geltender NBIdent],
PLZOrtschaft.OSNachfuehrung.Identifikator = Zeitstempel{Format:YYYYMMDDHHMMSS},
PLZOrtschaft.OSNachfuehrung.Beschreibung = "Bezug_durch_Dienst",
PLZOrtschaft.OSNachfuehrung.Gueltigkeit = gueltig,
PLZOrtschaft.OSNachfuehrung.GueltigerEintrag = Datum</t>
  </si>
  <si>
    <t>projektiert = planned,
real = real,
vergangen = outdated</t>
  </si>
  <si>
    <t>planned = projektiert,
real = real,
outdated = vergangen</t>
  </si>
  <si>
    <t>PLZOrtschaft.PLZ6Nachfuehrung.NBIdent = [geltender NBIdent],
PLZOrtschaft.PLZ6Nachfuehrung.Identifikator = Zeitstempel{Format:YYYYMMDDHHMMSS},
PLZOrtschaft.PLZ6Nachfuehrung.Beschreibung = "Bezug_durch_Dienst",
PLZOrtschaft.PLZ6Nachfuehrung.Gueltigkeit = gueltig,
PLZOrtschaft.PLZ6Nachfuehrung.GueltigerEintrag = Datum</t>
  </si>
  <si>
    <t>Tabelle DMAV_Dienste</t>
  </si>
  <si>
    <t>Hyperlink zum entsprechenden Attribut, Struktur, Wertebereich im DMAV Version 1.0</t>
  </si>
  <si>
    <t>Art des Elements (Domain, Klasse, Wertebereich etc.)</t>
  </si>
  <si>
    <t>Thema / Topic</t>
  </si>
  <si>
    <t>Benennung des Elements (Domain, Klasse, Wertebereichs etc.)</t>
  </si>
  <si>
    <t>Hyperlink zur Definition der Struktur des entsprechenden Attributs</t>
  </si>
  <si>
    <t>Hyperlink zur Definition der Unterstruktur der entsprechenden Struktur</t>
  </si>
  <si>
    <t>Defaultwert oder Mapping der Werte beim Übergang von DM.01-AV-CH nach DMAV Version 1.0</t>
  </si>
  <si>
    <t>Art der Transformation:
K = kopieren
V = verschieben</t>
  </si>
  <si>
    <t>Wie sind die als MANDATORY bezeichneten Attribute im DMAV Version 1.0 zu ergänzen, sodass das Objekt konsistent im DMAV Version 1.0 abgebildet wird</t>
  </si>
  <si>
    <t>Bedingung im DMAV Version 1.0 damit das Attribut / der Datensatz ins DM.01-AV-CH übernommen wird</t>
  </si>
  <si>
    <t>Defaultwert oder Mapping der Werte beim Übergang von  DMAV Version 1.0 nach DM.01-AV-CH</t>
  </si>
  <si>
    <t>Hyperlink zum entsprechenden Attribut, Wertebereich im DM.01-AV-CH</t>
  </si>
  <si>
    <t>Benennung des Elements (Domain, Tabelle, Wertebereichs etc.)</t>
  </si>
  <si>
    <t>Hyperlink zur Definition des Wertebereichs des entsprechenden Attributs</t>
  </si>
  <si>
    <t>Name der deutschen Modelldokumentation, in welcher das Attribut, der Wertebereich beschrieben ist</t>
  </si>
  <si>
    <t>Name der Klasse (deutsch)</t>
  </si>
  <si>
    <t>Name des Attributs (deutsch)</t>
  </si>
  <si>
    <t>Wertebereich des Attributs</t>
  </si>
  <si>
    <t>Defaultwert für das Attribut</t>
  </si>
  <si>
    <t>Beschreibung des Attributs gemäss Modelldokumentation (deutsch)</t>
  </si>
  <si>
    <t>Kommentar zum Attribut / Anforderung an die Datenmodellierung gemäss Modelldokumentation (deutsch)</t>
  </si>
  <si>
    <t>Hyperlink zur entsprechenden Beschreibung in der Modelldokumentation</t>
  </si>
  <si>
    <t>Dateiname der Modellbeschreibung in INTERLIS 2.4</t>
  </si>
  <si>
    <t>Name des Modells gemäss Modellbeschreibung in INTERLIS 2.4</t>
  </si>
  <si>
    <t>Name des Elements (Attribut, Struktur)</t>
  </si>
  <si>
    <t>MANDATORY, sind Daten zu diesem Objekt zu erfassen:
Empty = optional (nicht MANDATORY)
x = obligatorisch (MANDATORY)</t>
  </si>
  <si>
    <t>Attribut ist (Teil des) Identifikators:
ID = Attribut ist Identifikator
ID+ = Attribut ist in Kombination mit anderen Attributen Identifiktor</t>
  </si>
  <si>
    <t>Name des Attributs</t>
  </si>
  <si>
    <t>DMAV Modelle der Dienste (INTERLIS 2.4)</t>
  </si>
  <si>
    <t>Hyperlink zum entsprechenden Modell oder Dienst im DMAV Version 1.0</t>
  </si>
  <si>
    <t>Liste eindeutiger Attributswerte welche in einer Struktur definiert sind</t>
  </si>
  <si>
    <t>Identifikator der Bedingung (Constraint)</t>
  </si>
  <si>
    <t>Erklärung der Bedingung (Constraint)</t>
  </si>
  <si>
    <t>Kommentar im INTERLIS-Modell</t>
  </si>
  <si>
    <t>Attribut ist (Teil des) Identifikators:
ID = Attribut ist Identifikator
ID+ = Attribut ist in Kombination mit anderen Attributen Identifikator</t>
  </si>
  <si>
    <t>Attribut ist Fremdschlüssel:
Empty = kein Fremdschlüssel
x = Fremdschlüssel</t>
  </si>
  <si>
    <t>Attribut, Definition, Kommentar: Handelt es sich beim vorliegenden Eintrag um ein Attribut, eine Definiton oder um einen Kommentar</t>
  </si>
  <si>
    <t>Thema / Topic (deutsch)</t>
  </si>
  <si>
    <t>Tabellenname (deutsch)</t>
  </si>
  <si>
    <t>Attributname (deutsch)</t>
  </si>
  <si>
    <t>Defaultwert</t>
  </si>
  <si>
    <t>Stand 01.02.2025</t>
  </si>
  <si>
    <t>20.09.2024
01.02.2025</t>
  </si>
  <si>
    <t>01.06.2024
01.02.2025</t>
  </si>
  <si>
    <t>Valeur</t>
  </si>
  <si>
    <t>Position des Symbols des Linienelements gemäss Dokument «Modellierungsgrundsätze: Geodatenmodell der amtlichen Vermessung DMAV».</t>
  </si>
  <si>
    <t>LFP3 mit Höhe muss Angaben zur Höhengenauigkeit enthalten.
LFP3 ohne Höhe darf keine Angaben zur Höhengenauigkeit enthalten.</t>
  </si>
  <si>
    <t>LFP3 mit Höhe muss Angaben zur Höhenzuverlässigkeit enthalten.
LFP3 ohne Höhe darf keine Angaben zur Höhenzuverlässigkeit enthalten.</t>
  </si>
  <si>
    <t>Grenzpunkt mit Höhe muss Angaben zur Höhengenauigkeit enthalten.
Grenzpunkt ohne Höhe darf keine Angaben zur Höhengenauigkeit enthalten.</t>
  </si>
  <si>
    <t>Grenzpunkt mit Höhe muss Angaben zur Höhenzuverlässigkeit enthalten.
Grenzpunkt ohne Höhe darf keine Angaben zur Höhenzuverlässigkeit enthalten.</t>
  </si>
  <si>
    <t>Messpunkt mit Höhe muss Angaben zur Höhengenauigkeit enthalten.
Messpunkt ohne Höhe darf keine Angaben zur Höhengenauigkeit enthalten.</t>
  </si>
  <si>
    <t>Messpunkt mit Höhe muss Angaben zur Höhenzuverlässigkeit enthalten.
Messpunkt ohne Höhe darf keine Angaben zur Höhenzuverlässigkeit enthalten.</t>
  </si>
  <si>
    <t>Dok</t>
  </si>
  <si>
    <t>DMG</t>
  </si>
  <si>
    <t>Function</t>
  </si>
  <si>
    <t>DFP</t>
  </si>
  <si>
    <t>DHH</t>
  </si>
  <si>
    <t>DGS</t>
  </si>
  <si>
    <t>DDG</t>
  </si>
  <si>
    <t>DBV</t>
  </si>
  <si>
    <t>DNK</t>
  </si>
  <si>
    <t>DBB</t>
  </si>
  <si>
    <t>DEO</t>
  </si>
  <si>
    <t>DRL</t>
  </si>
  <si>
    <t>DTS</t>
  </si>
  <si>
    <t>DGA</t>
  </si>
  <si>
    <t>DMG24</t>
  </si>
  <si>
    <t>DMG26</t>
  </si>
  <si>
    <t>DMG51</t>
  </si>
  <si>
    <t>DFP1</t>
  </si>
  <si>
    <t>DMG15</t>
  </si>
  <si>
    <t>DFP3</t>
  </si>
  <si>
    <t>DFP6</t>
  </si>
  <si>
    <t>DMG32</t>
  </si>
  <si>
    <t>DHH1</t>
  </si>
  <si>
    <t>DGS1</t>
  </si>
  <si>
    <t>DMG13</t>
  </si>
  <si>
    <t>DDG1</t>
  </si>
  <si>
    <t>DDG4</t>
  </si>
  <si>
    <t>DDG5</t>
  </si>
  <si>
    <t>DDG6</t>
  </si>
  <si>
    <t>DBB1</t>
  </si>
  <si>
    <t>DBB27</t>
  </si>
  <si>
    <t>DBB30</t>
  </si>
  <si>
    <t>DBB32</t>
  </si>
  <si>
    <t>DMG29</t>
  </si>
  <si>
    <t>DEO1</t>
  </si>
  <si>
    <t>DEO46</t>
  </si>
  <si>
    <t>DEO48</t>
  </si>
  <si>
    <t>DEO50</t>
  </si>
  <si>
    <t>DEO54</t>
  </si>
  <si>
    <t>DEO52</t>
  </si>
  <si>
    <t>DEO43</t>
  </si>
  <si>
    <t>DRL1</t>
  </si>
  <si>
    <t>DRL10</t>
  </si>
  <si>
    <t>DRL12</t>
  </si>
  <si>
    <t>DRL14</t>
  </si>
  <si>
    <t>DRL7</t>
  </si>
  <si>
    <t>DRL4</t>
  </si>
  <si>
    <t>DTS1</t>
  </si>
  <si>
    <t>DGA11</t>
  </si>
  <si>
    <t>DGA26</t>
  </si>
  <si>
    <t>DGA3</t>
  </si>
  <si>
    <t>DGA6</t>
  </si>
  <si>
    <t>DGA31</t>
  </si>
  <si>
    <t>DGA18</t>
  </si>
  <si>
    <t>DGA15</t>
  </si>
  <si>
    <t>DGA21</t>
  </si>
  <si>
    <t>DGA19</t>
  </si>
  <si>
    <t>DGA1</t>
  </si>
  <si>
    <t>Referenz</t>
  </si>
  <si>
    <t>Generisch</t>
  </si>
  <si>
    <t>PDom</t>
  </si>
  <si>
    <t>PMod</t>
  </si>
  <si>
    <t>Als Dienst einbinden 
KGKCGC_FPDS2</t>
  </si>
  <si>
    <t>Covers</t>
  </si>
  <si>
    <t>Die Datenbeschreibungssprache INTERLIS 2.4 ermöglicht es nicht, den als «AREA» oder «SURFACE» modellierten Flächen, Linienattribute für deren geometrische Abgrenzung hinzuzufügen (z.B. zur Erfassung welche Abschnitte einer Liegenschaftsgrenze rechtskräftig oder bestritten sind). Im Geodatenmodell der amtlichen Vermessung wird das Linienattribut durch die Erfassung einer «MULTIPOLYLINE» modelliert. Die Funktion «Covers» prüft, ob die Geometrie der «MULTIPOLYLINE» Deckungsgleich mit der als «AREA» oder «SURFACE» definierten Geometrie ist.</t>
  </si>
  <si>
    <t xml:space="preserve">Die Symbol- oder Textposition ist zum Beispiel anzuwenden für die Darstellung in einem:
- Plan für das Grundbuch,
- Situationsplan oder 
- Mutationsplan. </t>
  </si>
  <si>
    <t>Die Symbol- oder Textposition ist zum Beispiel anzuwenden für die Darstellung in einem:
- Basisplan oder
- Plan mit grösserem Massstab.</t>
  </si>
  <si>
    <t>0.0</t>
  </si>
  <si>
    <t>100.0</t>
  </si>
  <si>
    <t>Name der Untereinheit des Grundbuchs</t>
  </si>
  <si>
    <t>MULTISURFACE WITH (STRAIGHTS, ARCS) VERTEX Coord2 WITHOUT OVERLAPS &gt; 0.002</t>
  </si>
  <si>
    <t>Perimeter des Gültigkeitsbereichs des NBIdents.</t>
  </si>
  <si>
    <t>Nachfuehrung (Bestandesänderung)</t>
  </si>
  <si>
    <t>Nachfuehrung (Mutation)</t>
  </si>
  <si>
    <t>Grundbucheintrag /
GenehmigtAm</t>
  </si>
  <si>
    <t>Datum des Eintrages der Mutation im Grundbuch oder der öffentlichen Genehmigung.</t>
  </si>
  <si>
    <t xml:space="preserve">Versicherungsart des Fixpunktes (gemäss Dokument «Modellierungsgrundsätze: Geodatenmodell der amtlichen Vermessung DMAV»). </t>
  </si>
  <si>
    <t>Handelt es sich um einen alten, historischen Hoheitsgrenzstein?</t>
  </si>
  <si>
    <t>Nur zu erfassen, wenn im Attribut «Grenzpunktfunktion» die Werte «Grenzpunkt» oder «Hoheitsgrenzpunkt» erfasst sind.
Ist «TRUE», wenn es sich um einen alten, historischen Grenzpunkt handelt.
Ist «FALSE», wenn es sich um keinen alten, historischen Grenzpunkt handelt.</t>
  </si>
  <si>
    <t>Textposition der Nummer gemäss Dokument «Modellierungsgrundsätze: Geodatenmodell der amtlichen Vermessung DMAV».</t>
  </si>
  <si>
    <t>Surface, bestehend aus Strecken und Kreisbögen. Überlappungen in der Definition der Surface dürfen nicht grösser als 2 mm sein.</t>
  </si>
  <si>
    <t>Selbstaendiges dauerndes Recht</t>
  </si>
  <si>
    <t>Dem Eintrag des Objekts entsprechend sind die Geometrien zu erfassen:
- bei einer Liegenschaft in der Klasse «Liegenschaft»
- bei einem selbständigen und dauernden Recht in der Klasse «SelbstaendigesDauerndesRecht»
- bei einem Bergwerk in der Klasse «Bergwerk»
Eine Kombination von Beziehungen zwischen dem Objekt «Grundstuecke» und Grundstücksarten unterschiedlicher Klassen (z.B. Liegenschaft und Bergwerk) ist nicht zulässig.</t>
  </si>
  <si>
    <t>Ist «TRUE», wenn das Grundstück vollständig erfasst ist.
Ist «FALSE», wenn das Grundstück unvollständig erfasst ist.
Vollständig erfasste Grundstücke enthalten keine Angaben in den Attributen:
- «Gesamtflaechenmass» und
- «Teilgrundstuecksnummer» in der entsprechenden Klasse.
Unvollständig erfasste Grundstücke sind zu attribuieren:
- «Gesamtflaechenmass» als Totalfläche des Grundstücks
- «Teilgrundstuecksnummer» für das Geometrie-Objekt in der entsprechenden Klasse.</t>
  </si>
  <si>
    <t>Surface, bestehend aus Strecken und Kreisbögen. Überlappungen in der Definition der Surface dürfen nicht grösser als 2 mm sein.</t>
  </si>
  <si>
    <t>IstBaurecht</t>
  </si>
  <si>
    <t>Präzisierung, ob es sich um ein Baurecht handelt.</t>
  </si>
  <si>
    <t>Ist «TRUE», wenn das Objekt als Baurecht bezeichnet wird.
Ist «FALSE», wenn das Objekt nicht als Baurecht bezeichnet wird.</t>
  </si>
  <si>
    <t>Höhe des Grenzpunkts.</t>
  </si>
  <si>
    <t>TRUE</t>
  </si>
  <si>
    <t>Lage des Grenzpunktes ist zuverlässig.</t>
  </si>
  <si>
    <t>Höhengenauigkeit des Grenzpunktes.</t>
  </si>
  <si>
    <t>Höhe des Grenzpunktes ist zuverlässig.</t>
  </si>
  <si>
    <t>Bestehend aus Kreisbogen und Strecken. Überlappungen in der Definition der Surface dürfen nicht grösser als 2 mm sein.</t>
  </si>
  <si>
    <t>AREA WITH (STRAIGHTS, ARCS) VERTEX Coord2 WITHOUT OVERLAPS &gt; 0.002</t>
  </si>
  <si>
    <t>Area, bestehend aus Strecken und Kreisbögen. Überlappungen in der Definition der Surface dürfen nicht grösser als 2 mm sein.</t>
  </si>
  <si>
    <t>Definition gemäss Bundesamt für Statistik (BFS), Verordnung über das eidgenössische Gebäude- und Wohnungsregister. Die Gebäude korrelieren mit dem Eidg. Gebäude- und Wohnungsregister (GWR).</t>
  </si>
  <si>
    <t>Bestockte Flächen, die dem Waldgesetz unterstellt sind.</t>
  </si>
  <si>
    <t>Definition gemäss der eidgenössischen Waldverordnung. Flächen, die mosaikartig, abwechselnd für die Viehhaltung und Forstwirtschaft genutzt werden. Die forstwirtschaftliche Nutzung überwiegt die landwirtschaftliche Nutzung.</t>
  </si>
  <si>
    <t>Qualitätsstandard der amtlichen Vermessung gemäss Definition 
im Dokument «Modellierungsgrundsätze: Geodatenmodell der amtlichen Vermessung DMAV».</t>
  </si>
  <si>
    <t>EGID-Nummer gemäss Eidg. Gebäude- und Wohnungsregister (GWR). Wird vom Bundesamt für Statistik (BFS) vergeben.</t>
  </si>
  <si>
    <t>Ist zu erfassen, wenn das Objekt in den Daten des Eidg. Gebäude- und Wohnungsregisters (GWR) geführt wird.</t>
  </si>
  <si>
    <t>- Markante Gebäudemauern
- Mauern entlang von öffentlichen Strassen, Plätzen und Gewässern
- Markante Mauern entlang von Liegenschaftsgrenzen
- Trockenmauern, die als Orientierungshilfe dienen</t>
  </si>
  <si>
    <t>Unterirdische Bauten wie Tiefgaragen, Zivilschutzanlagen, Pumpstationen etc.</t>
  </si>
  <si>
    <t>- Abstufungen des Gebäudes
- Markante und solide Balkone
- Markante und solide Vordächer
- Gebäudeverbindungen und Passerellen
- Grössere Verladerampen
- Markante Einbuchtungen und Durchgänge
- Gebäudepfeiler</t>
  </si>
  <si>
    <t>Verbindungselement zwischen Flächen der Bodenbedeckungsart «Fliessendes Gewässer» oder Linien der Einzelobjektart «Rinnsal»</t>
  </si>
  <si>
    <t>- Tunnels sind für den Verkehr angelegte unterirdische Gänge.
- Unterführungen sind Verkehrswege, die unter einem anderen Verkehrsweg liegen.
- Galerien sind teilweise seitlich offene Überdeckungen</t>
  </si>
  <si>
    <t>- Begehbare Flächen auf oder neben der Bodenbedeckung «Bahn»
- Trambahnsteige</t>
  </si>
  <si>
    <t>- Um Gegenstände über längere Zeit unterzustellen
- Um Personen vor Witterungseinflüssen zu schützen</t>
  </si>
  <si>
    <t>- Objekte mit Orientierungsmerkmal
- Objekte, die in einem öffentlichen Inventar aufgeführt sind</t>
  </si>
  <si>
    <t>- Masten der Hochspannungsfreileitungen
- Masten von Seil-, Sessel- und Gondelbahnen
- Freistehende Antennen</t>
  </si>
  <si>
    <t>Zerfallene Bauten</t>
  </si>
  <si>
    <t>- Massive Anlegestellen für Boote
- Schwimmende Bootsanlegestellen in Häfen
- Landungsstege für die öffentliche Schiffsfahrt</t>
  </si>
  <si>
    <t>- Erratische Blöcke
- Einzelner wichtiger Fels</t>
  </si>
  <si>
    <t>- Bedeutende schmale Fusswege
- Offizielle Fuss- und Wanderwege
- Fusswege und Pfade im Wald</t>
  </si>
  <si>
    <t>Leitungen mit:
- Hochspannung 50 – 150 kV
- Höchstspannung 220 – 400 kV
Zu erfassen ist die Achse der Leitungsführung (in der Regel durch die Mastenmitte definiert).</t>
  </si>
  <si>
    <t>Das neue Einzelobjekt ist erfasst, jedoch noch nicht realisiert.</t>
  </si>
  <si>
    <t>Das Einzelobjekt ist realisiert und wiedergibt die aktuelle Situation.</t>
  </si>
  <si>
    <t>Das Einzelobjekt ist abgebrochen oder vergangen und existiert nicht mehr.</t>
  </si>
  <si>
    <t>Bestehend aus Strecken und Kreisbögen. Überlappungen in der Definition der Surface dürfen nicht grösser als 2 mm sein.</t>
  </si>
  <si>
    <t>Area, bestehend aus Kreisbogen und Strecken. Überlappungen in der Definition der Surface dürfen nicht grösser als 2 mm sein.</t>
  </si>
  <si>
    <t>Der Name ist innerhalb eines Objektes «Ortschaft» der Geobasisdaten «Amtliches Ortschaftenverzeichnis mit PLZ und Perimeter» eindeutig (siehe Kapitel 1.3)</t>
  </si>
  <si>
    <t>Der Kurzname ist innerhalb eines Objektes «Ortschaft» Geobasisdaten «Amtliches Ortschaftenverzeichnis mit PLZ und Perimeter» eindeutig (siehe Kapitel 1.3)</t>
  </si>
  <si>
    <t>Der Name als Index ist innerhalb eines Objektes «Ortschaft» Geobasisdaten «Amtliches Ortschaftenverzeichnis mit PLZ und Perimeter» eindeutig (siehe Kapitel 1.3)</t>
  </si>
  <si>
    <t>Dem Eintrag des Objekts entsprechend sind die Geometrien zu erfassen:
- bei einem Platz im strukturierten Attribut «Strassenstueck»,
- bei einer Strasse im strukturierten Attribut «Strassenstueck»,
- bei einem benannten Gebiet im strukturierten Attribut «BenanntesGebiet».
Eine Kombination zwischen mehreren Lokalisationsformen (z.B. Platz mit benanntem Gebiet) ist nicht zulässig.</t>
  </si>
  <si>
    <t>Ist «TRUE», wenn die Attribute provisorisch erfasst sind.
Ist «FALSE», wenn die Attribute gültig erfasst sind.</t>
  </si>
  <si>
    <t xml:space="preserve">Nummer des Gebäudes </t>
  </si>
  <si>
    <t xml:space="preserve">Gebäudeidentifikator und Fremdschlüssel für den Datenaustausch mit dem Eidg. Gebäude- und Wohnungsregister (GWR). </t>
  </si>
  <si>
    <t>Italiano</t>
  </si>
  <si>
    <t>Documento</t>
  </si>
  <si>
    <t>Valore</t>
  </si>
  <si>
    <t>Predefinito</t>
  </si>
  <si>
    <t>Commento</t>
  </si>
  <si>
    <t>TMAL</t>
  </si>
  <si>
    <t>TMGE</t>
  </si>
  <si>
    <t>TMGR</t>
  </si>
  <si>
    <t>TMMI</t>
  </si>
  <si>
    <t>TMQU</t>
  </si>
  <si>
    <t>TMTO</t>
  </si>
  <si>
    <t>TMVM</t>
  </si>
  <si>
    <t>SMUG</t>
  </si>
  <si>
    <t>MFP</t>
  </si>
  <si>
    <t>MHG</t>
  </si>
  <si>
    <t>MGS</t>
  </si>
  <si>
    <t>MDG</t>
  </si>
  <si>
    <t>MDB</t>
  </si>
  <si>
    <t>MNK</t>
  </si>
  <si>
    <t>MBB</t>
  </si>
  <si>
    <t>MEO</t>
  </si>
  <si>
    <t>MRL</t>
  </si>
  <si>
    <t>MTS</t>
  </si>
  <si>
    <t>MGA</t>
  </si>
  <si>
    <t>MBB1</t>
  </si>
  <si>
    <t>MDB1</t>
  </si>
  <si>
    <t>MDG1</t>
  </si>
  <si>
    <t>MEO1</t>
  </si>
  <si>
    <t>MFP1</t>
  </si>
  <si>
    <t>MGA1</t>
  </si>
  <si>
    <t>MGS1</t>
  </si>
  <si>
    <t>MHG1</t>
  </si>
  <si>
    <t>MNK1</t>
  </si>
  <si>
    <t>MRL1</t>
  </si>
  <si>
    <t>MTS1</t>
  </si>
  <si>
    <t>SMUG1</t>
  </si>
  <si>
    <t>TMGR3</t>
  </si>
  <si>
    <t>TMGR4</t>
  </si>
  <si>
    <t>TMGR6</t>
  </si>
  <si>
    <t>TMGE1</t>
  </si>
  <si>
    <t>TMVM1</t>
  </si>
  <si>
    <t>TMQU1</t>
  </si>
  <si>
    <t>TMGR1</t>
  </si>
  <si>
    <t>MFP6</t>
  </si>
  <si>
    <t>TMQU2</t>
  </si>
  <si>
    <t>TMQU3</t>
  </si>
  <si>
    <t>MFP8</t>
  </si>
  <si>
    <t>MFP11</t>
  </si>
  <si>
    <t>TMGR9</t>
  </si>
  <si>
    <t>TMTO1</t>
  </si>
  <si>
    <t>MGS11</t>
  </si>
  <si>
    <t>MGS8</t>
  </si>
  <si>
    <t>TMQU4</t>
  </si>
  <si>
    <t>MDG4</t>
  </si>
  <si>
    <t>MDG13</t>
  </si>
  <si>
    <t>MDG14</t>
  </si>
  <si>
    <t>MDG15</t>
  </si>
  <si>
    <t>TMMI1</t>
  </si>
  <si>
    <t>MBB6</t>
  </si>
  <si>
    <t>MBB37</t>
  </si>
  <si>
    <t>MBB39</t>
  </si>
  <si>
    <t>TMGR16</t>
  </si>
  <si>
    <t>MEO6</t>
  </si>
  <si>
    <t>MEO53</t>
  </si>
  <si>
    <t>MEO55</t>
  </si>
  <si>
    <t>MEO57</t>
  </si>
  <si>
    <t>MEO61</t>
  </si>
  <si>
    <t>MEO59</t>
  </si>
  <si>
    <t>MRL7</t>
  </si>
  <si>
    <t>MRL15</t>
  </si>
  <si>
    <t>MRL18</t>
  </si>
  <si>
    <t>MRL20</t>
  </si>
  <si>
    <t>MGA4</t>
  </si>
  <si>
    <t>MGA13</t>
  </si>
  <si>
    <t>MGA18</t>
  </si>
  <si>
    <t>MGA19</t>
  </si>
  <si>
    <t>MGA36</t>
  </si>
  <si>
    <t>MGA41</t>
  </si>
  <si>
    <t>DMAVTYM_Alles_V1_1.ili</t>
  </si>
  <si>
    <t>DMAVTYM_Alles_V1_1</t>
  </si>
  <si>
    <t>DMAV_Bodenbedeckung_V1_1</t>
  </si>
  <si>
    <t>DMAVTYM_Tous_V1_1.ili</t>
  </si>
  <si>
    <t>DMAVTYM_Tous_V1_1</t>
  </si>
  <si>
    <t>DMAV_CouvertureDuSol_V1_1</t>
  </si>
  <si>
    <t>DMAVTYM_Tutti_V1_1.ili</t>
  </si>
  <si>
    <t>DMAVTYM_Tutti_V1_1</t>
  </si>
  <si>
    <t>DMAV_CoperturaSuolo_V1_1</t>
  </si>
  <si>
    <t>DMAV_DauerndeBodenverschiebungen_V1_1</t>
  </si>
  <si>
    <t>DMAV_TerritoiresEnMouvementPermanent_V1_1</t>
  </si>
  <si>
    <t>DMAV_SpostamentiDiTerrenoPermanenti_V1_1</t>
  </si>
  <si>
    <t>DMAV_Dienstbarkeitsgrenzen_V1_1</t>
  </si>
  <si>
    <t>DMAV_AssiettesDeServitudes_V1_1</t>
  </si>
  <si>
    <t>DMAV_ConfiniDiServitu_V1_1</t>
  </si>
  <si>
    <t>DMAV_Einzelobjekte_V1_1</t>
  </si>
  <si>
    <t>DMAV_ObjetsDivers_V1_1</t>
  </si>
  <si>
    <t>DMAV_OggettiSingoli_V1_1</t>
  </si>
  <si>
    <t>DMAV_FixpunkteAVKategorie3_V1_1</t>
  </si>
  <si>
    <t>DMAV_PointsFixesMOCategorie3_V1_1</t>
  </si>
  <si>
    <t>DMAV_PuntiFissiMUCategoria3_V1_1</t>
  </si>
  <si>
    <t>DMAV_Gebaeudeadressen_V1_1</t>
  </si>
  <si>
    <t>DMAV_AdressesDeBatiments_V1_1</t>
  </si>
  <si>
    <t>DMAV_IndirizziDegliEdifici_V1_1</t>
  </si>
  <si>
    <t>DMAV_Grundstuecke_V1_1</t>
  </si>
  <si>
    <t>DMAV_Immeubles_V1_1</t>
  </si>
  <si>
    <t>DMAV_Fondi_V1_1</t>
  </si>
  <si>
    <t>DMAV_LimitesTerritorialesMO_V1_0</t>
  </si>
  <si>
    <t>DMAV_ConfiniGiurisdizionaliMU_V1_0</t>
  </si>
  <si>
    <t>DMAV_Nomenklatur_V1_1</t>
  </si>
  <si>
    <t>DMAV_Nomenclature_V1_1</t>
  </si>
  <si>
    <t>DMAV_Nomenclatura_V1_1</t>
  </si>
  <si>
    <t>DMAV_Rohrleitungen_V1_1</t>
  </si>
  <si>
    <t>DMAV_Conduites_V1_1</t>
  </si>
  <si>
    <t>DMAV_Condotte_V1_1</t>
  </si>
  <si>
    <t>DMAV_Toleranzstufen_V1_1</t>
  </si>
  <si>
    <t>DMAV_NiveauxTolerance_V1_1</t>
  </si>
  <si>
    <t>DMAV_GradiTolleranza_V1_1</t>
  </si>
  <si>
    <t>DMAVSUP_UntereinheitGrundbuch_V1_1</t>
  </si>
  <si>
    <t>DMAVSUP_SousUniteRegistreFoncier_V1_1</t>
  </si>
  <si>
    <t>DMAVSUP_SubUnitaRegistroFondiario_V1_1</t>
  </si>
  <si>
    <t>Als Dienst in die Daten der amtlichen Vermessung eingebunden:
Geobasisdaten ID 53</t>
  </si>
  <si>
    <t>Intégré dans les données de la mensuration officielle en tant que service :
géodonnées de base ID 53</t>
  </si>
  <si>
    <t>Als Dienst in die Daten der amtlichen Vermessung eingebunden:
Geobasisdaten ID 54</t>
  </si>
  <si>
    <t>KGKCGC_FPDS2_V1_1_FR</t>
  </si>
  <si>
    <t>Intégré dans les données de la mensuration officielle en tant que service :
géodonnées de base ID 54</t>
  </si>
  <si>
    <t>KGKCGC_FPDS2_V1_1_IT</t>
  </si>
  <si>
    <t>Als Dienst in die Daten der amtlichen Vermessung eingebunden:
Geobasisdaten ID 39</t>
  </si>
  <si>
    <t>Intégré dans les données de la mensuration officielle en tant que service :
géodonnées de base ID 39</t>
  </si>
  <si>
    <t>Als Dienst in die Daten der amtlichen Vermessung eingebunden:
Geobasisdaten ID 181</t>
  </si>
  <si>
    <t>Intégré dans les données de la mensuration officielle en tant que service :
géodonnées de base ID 181</t>
  </si>
  <si>
    <t>-200.000 ..   5000.000 [INTERLIS.m]</t>
  </si>
  <si>
    <t>DMAVTYM_Geometrie_FR_V1_0.ili</t>
  </si>
  <si>
    <t>DMAVTYM_Geometrie_FR_V1_0</t>
  </si>
  <si>
    <t>DMAVTYM_Geometria_V1_0.ili</t>
  </si>
  <si>
    <t>DMAVTYM_Geometria_V1_0</t>
  </si>
  <si>
    <t>DMAVTYM_Grafique_V1_0.ili</t>
  </si>
  <si>
    <t>DMAVTYM_Grafique_V1_0</t>
  </si>
  <si>
    <t>DMAVTYM_Grafica_V1_0.ili</t>
  </si>
  <si>
    <t>DMAVTYM_Grafica_V1_0</t>
  </si>
  <si>
    <t>RappresentazioneSul</t>
  </si>
  <si>
    <t>PianoPerIlRegistroFondiario</t>
  </si>
  <si>
    <t>PianoDiBase</t>
  </si>
  <si>
    <t>Piccolo</t>
  </si>
  <si>
    <t>Medio</t>
  </si>
  <si>
    <t>PosizioneTesto</t>
  </si>
  <si>
    <t>Posizione</t>
  </si>
  <si>
    <t>Orientamento</t>
  </si>
  <si>
    <t>TailleTexte</t>
  </si>
  <si>
    <t>DimensioneTesto</t>
  </si>
  <si>
    <t>PuntoRiferimentoH</t>
  </si>
  <si>
    <t>PuntoRiferimentoV</t>
  </si>
  <si>
    <t>LineaAusiliaria</t>
  </si>
  <si>
    <t>PosizioneSimbolo</t>
  </si>
  <si>
    <t>DMAVTYM_Modinfo_FR_V1_0.ili</t>
  </si>
  <si>
    <t>DMAVTYM_Modinfo_FR_V1_0</t>
  </si>
  <si>
    <t>DMAVTYM_Modinfo_IT_V1_0.ili</t>
  </si>
  <si>
    <t>DMAVTYM_Modinfo_IT_V1_0</t>
  </si>
  <si>
    <t>StatoOggetto</t>
  </si>
  <si>
    <t>DMAVTYM_Qualite_V1_0.ili</t>
  </si>
  <si>
    <t>DMAVTYM_Qualite_V1_0</t>
  </si>
  <si>
    <t>DMAVTYM_Qualita_V1_0.ili</t>
  </si>
  <si>
    <t>DMAVTYM_Qualita_V1_0</t>
  </si>
  <si>
    <t>SurfaceObjects: CLASS;_x000D_
SurfaceAttr: ATTRIBUTE;_x000D_
MultiLineObject: ANYSTRUCTURE; MultiLineAttr: ATTRIBUTE</t>
  </si>
  <si>
    <t>DMAVTYM_Topologie_FR_V1_0.ili</t>
  </si>
  <si>
    <t>DMAVTYM_Topologie_FR_V1_0</t>
  </si>
  <si>
    <t>DMAVTYM_Topologia_V1_0.ili</t>
  </si>
  <si>
    <t>DMAVTYM_Topologia_V1_0</t>
  </si>
  <si>
    <t>DMAVTYM_Marquage_V1_0.ili</t>
  </si>
  <si>
    <t>DMAVTYM_Marquage_V1_0</t>
  </si>
  <si>
    <t>DMAVTYM_Demarcazione_V1_0.ili</t>
  </si>
  <si>
    <t>DMAVTYM_Demarcazione_V1_0</t>
  </si>
  <si>
    <t>TermineCippo</t>
  </si>
  <si>
    <t>TermineArtificiale</t>
  </si>
  <si>
    <t>Bollone</t>
  </si>
  <si>
    <t>Tubo</t>
  </si>
  <si>
    <t>Palo</t>
  </si>
  <si>
    <t>Croce</t>
  </si>
  <si>
    <t>NonMaterializzato</t>
  </si>
  <si>
    <t>DMAVSUP_UntereinheitGrundbuch_V1_1.ili</t>
  </si>
  <si>
    <t>DMAVSUP_SousUniteRegistreFoncier_V1_1.ili</t>
  </si>
  <si>
    <t>DMAVSUP_SubUnitaRegistroFondiario_V1_1.ili</t>
  </si>
  <si>
    <t>Definition der (Unter-)Einheiten des Grundbuchs
Kanton</t>
  </si>
  <si>
    <t>SousUniteRegistreFoncier</t>
  </si>
  <si>
    <t>Définition des (sous) secteurs du registre foncier
Canton</t>
  </si>
  <si>
    <t>SubUnitaRegistroFondiario</t>
  </si>
  <si>
    <t>CircondarioDelRegistroFondiario</t>
  </si>
  <si>
    <t>Cantone</t>
  </si>
  <si>
    <t>Definizione delle (sub)unità del registro fondiario
Cantone</t>
  </si>
  <si>
    <t>Definition der (Unter-)Einheiten des Grundbuchs
Gemeindenummer gemäss amtlichem Gemeindeverzeichnis, z.B. «942»</t>
  </si>
  <si>
    <t>Définition des (sous) secteurs du registre foncier
Numéro de commune selon le répertoire officiel des communes, p. ex. «942»</t>
  </si>
  <si>
    <t>Definizione delle (sub)unità del registro fondiario
Numero del comune secondo l'elenco ufficiale dei comuni, ad es. «942»</t>
  </si>
  <si>
    <t>Definition der (Unter-)Einheiten des Grundbuchs
NBIdent gemäss AV-Daten</t>
  </si>
  <si>
    <t>Définition des (sous) secteurs du registre foncier
IdentDN selon les données de la MO</t>
  </si>
  <si>
    <t>Definizione delle (sub)unità del registro fondiario
IdentAN secondo i dati della MU</t>
  </si>
  <si>
    <t>Definition der (Unter-)Einheiten des Grundbuchs
Name des Grundbuchkreises oder der Untereinheit (z.B. Innere Stadt)</t>
  </si>
  <si>
    <t>Définition des (sous) secteurs du registre foncier
Nom de l'arrondissement ou du sous secteur du registre foncier (p. ex. centre ville)</t>
  </si>
  <si>
    <t>Definizione delle (sub)unità del registro fondiario
Nome del circondario o della subunità del registro fondiario (ad es. centro città)</t>
  </si>
  <si>
    <t>Definition der (Unter-)Einheiten des Grundbuchs
SubKreis gemäss GB-Daten (eGRISDM/GBDBS)</t>
  </si>
  <si>
    <t>Définition des (sous) secteurs du registre foncier
Sous arrondissement selon les données du RF (eGRISDM/GBDBS)</t>
  </si>
  <si>
    <t>eGRIS_Subcircondario</t>
  </si>
  <si>
    <t>Definizione delle (sub)unità del registro fondiario
Subcircondario secondo i dati del RF (eGRISDM/GBDBS)</t>
  </si>
  <si>
    <t>Definition der (Unter-)Einheiten des Grundbuchs
Los gemäss GB-Daten (eGRISDM/GBDBS)</t>
  </si>
  <si>
    <t>Définition des (sous) secteurs du registre foncier
Lot selon données du RF (eGRISDM/GBDBS)</t>
  </si>
  <si>
    <t>eGRIS_Lotto</t>
  </si>
  <si>
    <t>Definizione delle (sub)unità del registro fondiario
Lotto secondo i dati del RF (eGRISDM/GBDBS)</t>
  </si>
  <si>
    <t>MULTISURFACE WITH (STRAIGHTS, ARCS) VERTEX GeometryCHLV95_V2.Coord2 WITHOUT OVERLAPS &gt; 0.002</t>
  </si>
  <si>
    <t>Definition der (Unter-)Einheiten des Grundbuchs
Geometrie Gültigkeitsbereich des NBIdent</t>
  </si>
  <si>
    <t>Définition des (sous) secteurs du registre foncier
Géométrie de la zone de validité du IdentDN</t>
  </si>
  <si>
    <t>Definizione delle (sub)unità del registro fondiario
Geometria dell'area di validità dell'IdentAN</t>
  </si>
  <si>
    <t>DMAV_FixpunkteAVKategorie3_V1_1.ili</t>
  </si>
  <si>
    <t>DMAV_PointsFixesMOCategorie3_V1_1.ili</t>
  </si>
  <si>
    <t>DMAV_PuntiFissiMUCategoria3_V1_1.ili</t>
  </si>
  <si>
    <t>PuntiFissiMUCategoria3</t>
  </si>
  <si>
    <t>GenerePFP</t>
  </si>
  <si>
    <t>punto_fisso_ausiliario</t>
  </si>
  <si>
    <t>GenereProtezione</t>
  </si>
  <si>
    <t>senza_protezione</t>
  </si>
  <si>
    <t>chiusino</t>
  </si>
  <si>
    <t>coperto</t>
  </si>
  <si>
    <t>FunzionePuntoConfine</t>
  </si>
  <si>
    <t>nessuna</t>
  </si>
  <si>
    <t>punto_confine</t>
  </si>
  <si>
    <t>punto_confine_giurisdizionale</t>
  </si>
  <si>
    <t>TenutaAGiornoPFP3</t>
  </si>
  <si>
    <t>DATETIME</t>
  </si>
  <si>
    <t>InVigore</t>
  </si>
  <si>
    <t>CH020206</t>
  </si>
  <si>
    <t>CH020205</t>
  </si>
  <si>
    <t>DMAVTYM_Geometrie_FR_V1_0.Altitude</t>
  </si>
  <si>
    <t>GeometriaQuota</t>
  </si>
  <si>
    <t>DMAVTYM_Geometria_V1_0.Quota</t>
  </si>
  <si>
    <t>DMAVTYM_Qualite_V1_0.Precision</t>
  </si>
  <si>
    <t>PrecisionePlanimetrica</t>
  </si>
  <si>
    <t>DMAVTYM_Qualita_V1_0.Precisione</t>
  </si>
  <si>
    <t>DMAVTYM_Qualite_V1_0.Fiabilite</t>
  </si>
  <si>
    <t>EAffidabilePlanimetria</t>
  </si>
  <si>
    <t>DMAVTYM_Qualita_V1_0.Attendibilita</t>
  </si>
  <si>
    <t>PrecisioneQuota</t>
  </si>
  <si>
    <t>EAffidabileQuota</t>
  </si>
  <si>
    <t>DMAVTYM_Marquage_V1_0.GenreAbornement</t>
  </si>
  <si>
    <t>DMAVTYM_Demarcazione_V1_0.Materiale</t>
  </si>
  <si>
    <t>EVecchioCippoSpeciale</t>
  </si>
  <si>
    <t>RevisioneAttiva</t>
  </si>
  <si>
    <t>Undefiniert = 0.0</t>
  </si>
  <si>
    <t>DMAVTYM_Grafique_V1_0.Rotation</t>
  </si>
  <si>
    <t>OriSimbolo</t>
  </si>
  <si>
    <t>DMAVTYM_Grafica_V1_0.Rotazione</t>
  </si>
  <si>
    <t>DMAVTYM_Grafique_V1_0.PositionTexte</t>
  </si>
  <si>
    <t>DMAVTYM_Grafica_V1_0.PosizioneTesto</t>
  </si>
  <si>
    <t>DEFINED(@PH1@) == DEFINED(@PH2@)</t>
  </si>
  <si>
    <t>@PH1@: GeometrieAltitude_x000D_
@PH2@: PrecisionAltimetrie</t>
  </si>
  <si>
    <t>@PH1@: GeometriaQuota_x000D_
@PH2@: PrecisioneQuota</t>
  </si>
  <si>
    <t>@PH1@: GeometrieAltitude_x000D_
@PH2@: EstFiableAltimetrie</t>
  </si>
  <si>
    <t>@PH1@: GeometriaQuota_x000D_
@PH2@: EAffidabileQuota</t>
  </si>
  <si>
    <t>@PH1@ &lt;&gt; PFP3 OR Signe &lt;&gt; @PH2@</t>
  </si>
  <si>
    <t>@PH1@: GenrePFP_x000D_
@PH2@: NonMaterialise</t>
  </si>
  <si>
    <t>@PH1@ &lt;&gt; PFP3 OR Segno &lt;&gt; @PH2@</t>
  </si>
  <si>
    <t>@PH1@: GenerePFP_x000D_
@PH2@: NonMaterializzato</t>
  </si>
  <si>
    <t>(@PH1@!=@PH2@)==DEFINED(@PH3@)</t>
  </si>
  <si>
    <t>@PH1@: Grenzpunktfunktion_x000D_
@PH2@: keine_x000D_
@PH3@: IstHoheitsgrenzsteinAlt</t>
  </si>
  <si>
    <t>CH020204</t>
  </si>
  <si>
    <t>(@PH1@ &lt;&gt; @PH2@) == DEFINED(@PH3@)</t>
  </si>
  <si>
    <t>@PH1@: FonctionPointLimite_x000D_
@PH2@: aucune_x000D_
@PH3@: EstAncBorneSpeciale</t>
  </si>
  <si>
    <t>@PH1@: FunzionePuntoConfine_x000D_
@PH2@: nessuna_x000D_
@PH3@: EVecchioCippoSpeciale</t>
  </si>
  <si>
    <t>Origine_PFP3</t>
  </si>
  <si>
    <t>PFP3_bientotcree</t>
  </si>
  <si>
    <t>PFP3_in_creazione</t>
  </si>
  <si>
    <t>TenutaAGiornoPFA3</t>
  </si>
  <si>
    <t>CH020702</t>
  </si>
  <si>
    <t>CH020701</t>
  </si>
  <si>
    <t>Origine_PFA3</t>
  </si>
  <si>
    <t>PFA3_bientotcree</t>
  </si>
  <si>
    <t>PFA3_in_creazione</t>
  </si>
  <si>
    <t>DMAV_LimitesTerritorialesMO_V1_0.ili</t>
  </si>
  <si>
    <t>DMAV_ConfiniGiurisdizionaliMU_V1_0.ili</t>
  </si>
  <si>
    <t>ConfiniGiurisdizionaliMU</t>
  </si>
  <si>
    <t>TenutaAGiornoCG</t>
  </si>
  <si>
    <t>ApprovatoIl</t>
  </si>
  <si>
    <t>NumeroUFS</t>
  </si>
  <si>
    <t>Fittizio</t>
  </si>
  <si>
    <t>Origine_Commune</t>
  </si>
  <si>
    <t>Origine_Comune</t>
  </si>
  <si>
    <t>Commune_bientotcreee</t>
  </si>
  <si>
    <t>Comune_in_creazione</t>
  </si>
  <si>
    <t>Caducite_Commune</t>
  </si>
  <si>
    <t>Caducite</t>
  </si>
  <si>
    <t>Eliminazione_Comune</t>
  </si>
  <si>
    <t>Eliminazione</t>
  </si>
  <si>
    <t>Commune_bientotcaduque</t>
  </si>
  <si>
    <t>Comune_in_eliminazione</t>
  </si>
  <si>
    <t>Predecesseur_Successeur_Commune</t>
  </si>
  <si>
    <t>Predecesseur</t>
  </si>
  <si>
    <t>Predecessore_Successore_Comune</t>
  </si>
  <si>
    <t>Predecessore</t>
  </si>
  <si>
    <t>Successeur</t>
  </si>
  <si>
    <t>Successore</t>
  </si>
  <si>
    <t>Commune_Valable</t>
  </si>
  <si>
    <t>Comune_Valevole</t>
  </si>
  <si>
    <t>WHERE DEFINED(@PH1@) AND DEFINED(@PH2@) AND (NOT (DEFINED(@PH3@)) OR NOT (DEFINED(@PH4@)))</t>
  </si>
  <si>
    <t>@PH1@: Commune-&gt;Origine
@PH2@: Commune-&gt;Origine-&gt;ApprouveeLe
@PH3@: Commune-&gt;Caducite
@PH4@: Commune-&gt;Caducite -&gt;ApprouveeLe</t>
  </si>
  <si>
    <t>@PH1@: Comune-&gt;Origine
@PH2@: Comune-&gt;Origine-&gt;ApprovatoIl
@PH3@: Comune-&gt;Eliminazione
@PH4@: Comune-&gt;Eliminazione-&gt;ApprovatoIl</t>
  </si>
  <si>
    <t>ConfineComunale</t>
  </si>
  <si>
    <t>Contestato</t>
  </si>
  <si>
    <t>provvisorio</t>
  </si>
  <si>
    <t>NonPrecisato</t>
  </si>
  <si>
    <t>@PH1@: Streitig_x000D_
@PH2@: DMAVTYM_Topologie_V1_0.covers_x000D_
@PH3@: THIS,&gt;&gt;Geometrie,THIS,&gt;&gt;Streitig</t>
  </si>
  <si>
    <t>NOT (DEFINED(@PH1@)) OR @PH2@(@PH3@)</t>
  </si>
  <si>
    <t>@PH1@: Litigieux_x000D_
@PH2@: DMAVTYM_Topologie_FR_V1_0.covers_x000D_
@PH3@: THIS, &gt;&gt;Geometrie, THIS, &gt;&gt;Litigieux</t>
  </si>
  <si>
    <t>@PH1@: Contestato_x000D_
@PH2@: DMAVTYM_Topologia_V1_0.covers_x000D_
@PH3@: THIS, &gt;&gt;Geometria, THIS, &gt;&gt;Contestato</t>
  </si>
  <si>
    <t>@PH1@: provisoire_x000D_
@PH2@: DMAVTYM_Topologie_FR_V1_0.covers_x000D_
@PH3@: THIS, &gt;&gt;Geometrie, THIS, &gt;&gt;provisoire</t>
  </si>
  <si>
    <t>@PH1@: provvisorio_x000D_
@PH2@: DMAVTYM_Topologia_V1_0.covers_x000D_
@PH3@: THIS, &gt;&gt;Geometria, THIS, &gt;&gt;provvisorio</t>
  </si>
  <si>
    <t>@PH1@: Indefinie_x000D_
@PH2@: DMAVTYM_Topologie_FR_V1_0.covers_x000D_
@PH3@: THIS, &gt;&gt;Geometrie, THIS, &gt;&gt;Indefinie</t>
  </si>
  <si>
    <t>@PH1@: NonPrecisato_x000D_
@PH2@: DMAVTYM_Topologia_V1_0.covers_x000D_
@PH3@: THIS, &gt;&gt;Geometria, THIS, &gt;&gt;NonPrecisato</t>
  </si>
  <si>
    <t>Origine_LimiteCommune</t>
  </si>
  <si>
    <t>Origine_ConfineComunale</t>
  </si>
  <si>
    <t>LimiteCommune_bientotcreee</t>
  </si>
  <si>
    <t>ConfineComunale_in_creazione</t>
  </si>
  <si>
    <t>Caducite_LimiteCommune</t>
  </si>
  <si>
    <t>Eliminazione_ConfineComunale</t>
  </si>
  <si>
    <t>LimiteCommune_bientotcaduque</t>
  </si>
  <si>
    <t>ConfineComunale_in_eliminazione</t>
  </si>
  <si>
    <t>Predecesseur_Successeur_LimiteCommune</t>
  </si>
  <si>
    <t>Predecessore_Successore_ConfineComunale</t>
  </si>
  <si>
    <t>LimiteCommune_Valable</t>
  </si>
  <si>
    <t>ConfineComunale_Valevole</t>
  </si>
  <si>
    <t>DEFINED(@PH1@) AND DEFINED(@PH2@) AND (NOT (DEFINED(@PH3@)) OR NOT (DEFINED(@PH4@)))</t>
  </si>
  <si>
    <t>@PH1@: LimiteCommune-&gt;Origine
@PH2@: LimiteCommune-&gt;Origine-&gt;ApprouveeLe
@PH3@: LimiteCommune-&gt;Caducite
@PH4@: LimiteCommune-&gt;Caducite-&gt;ApprouveeLe</t>
  </si>
  <si>
    <t>@PH1@: ConfineComunale-&gt;Origine
@PH2@: ConfineComunale-&gt;Origine-&gt;ApprovatoIl
@PH3@: ConfineComunale-&gt;Eliminazione
@PH4@: ConfineComunale-&gt;Eliminazione-&gt;ApprovatoIl</t>
  </si>
  <si>
    <t>@PH1@: ALL, UNDEFINED, &gt;&gt;Geometrie</t>
  </si>
  <si>
    <t>@PH1@: ALL, UNDEFINED, &gt;&gt;Geometria</t>
  </si>
  <si>
    <t>CommuneLimiteCommune</t>
  </si>
  <si>
    <t>ComuneConfineComunale</t>
  </si>
  <si>
    <t>@PH1@: LimiteCommune-&gt;Fictif_x000D_
@PH2@: Commune-&gt;Fictif</t>
  </si>
  <si>
    <t>@PH1@: ConfineComunale-&gt;Fittizio_x000D_
@PH2@: Comune-&gt;Fittizio</t>
  </si>
  <si>
    <t>ParteConfineComunaleProg</t>
  </si>
  <si>
    <t>Origine_PartieLimiteCommuneProj</t>
  </si>
  <si>
    <t>Origine_ParteConfineComunaleProg</t>
  </si>
  <si>
    <t>PartieLimiteCommuneProj_bientotcreee</t>
  </si>
  <si>
    <t>ParteConfineComunaleProg_in_creazione</t>
  </si>
  <si>
    <t>Caducite_PartieLimiteCommuneProj</t>
  </si>
  <si>
    <t>Eliminazione_ParteConfineComunaleProg</t>
  </si>
  <si>
    <t>PartieLimiteCommuneProj_bientotcaduque</t>
  </si>
  <si>
    <t>ParteConfineComunaleProg_in_eliminazione</t>
  </si>
  <si>
    <t>CommunePartieLimiteCommuneProj</t>
  </si>
  <si>
    <t>ComuneParteConfineComunaleProg</t>
  </si>
  <si>
    <t>Predecesseur_Successeur_PartieLimiteCommuneProj</t>
  </si>
  <si>
    <t>Predecessore_Successore_ParteConfineComunaleProg</t>
  </si>
  <si>
    <t>PartieLimiteCommune_Projetee</t>
  </si>
  <si>
    <t>ParteConfineComunale_InProgetto</t>
  </si>
  <si>
    <t>WHERE DEFINED(@PH1@) AND NOT (DEFINED(@PH2@));</t>
  </si>
  <si>
    <t>@PH1@: PartieLimiteCommuneProj-&gt;Origine
@PH2@: PartieLimiteCommuneProj-&gt;Origine-&gt;ApprouveeLe</t>
  </si>
  <si>
    <t>@PH1@:ParteConfineComunaleProg-&gt;Origine
@PH2@: ParteConfineComunaleProg-&gt;Origine-&gt;ApprovatoIl</t>
  </si>
  <si>
    <t>(en_vigueur, litigieux, provisoire, indefinie )</t>
  </si>
  <si>
    <t>(in_vigore, contestato, provvisorio, non_precisato )</t>
  </si>
  <si>
    <t>Origine_PartieLimiteDistrict</t>
  </si>
  <si>
    <t>Origine_ParteConfineDistrettuale</t>
  </si>
  <si>
    <t>PartieLimiteDistrict_bientotcreee</t>
  </si>
  <si>
    <t>ParteConfineDistrettuale_in_creazione</t>
  </si>
  <si>
    <t>Caducite_PartieLimiteDistrict</t>
  </si>
  <si>
    <t>Eliminazione_ParteConfineDistrettuale</t>
  </si>
  <si>
    <t>PartieLimiteDistrict_bientotcaduque</t>
  </si>
  <si>
    <t>ParteConfineDistrettuale_in_eliminazione</t>
  </si>
  <si>
    <t>Predecesseur_Successeur_PartieLimiteDistrict</t>
  </si>
  <si>
    <t>Predecessore_Successore_ParteConfineDistrettuale</t>
  </si>
  <si>
    <t>PartieLimiteDistrict_Valable</t>
  </si>
  <si>
    <t>ParteConfineDistrettuale_Valevole</t>
  </si>
  <si>
    <t>@PH1@: PartieLimiteDistrict-&gt;Origine
@PH2@: PartieLimiteDistrict-&gt;Origine-&gt;ApprouveeLe
@PH3@: PartieLimiteDistrict-&gt;Caducite
@PH4@: PartieLimiteDistrict-&gt;Caducite -&gt;ApprouveeLe</t>
  </si>
  <si>
    <t>@PH1@: ParteConfineDistrettuale-&gt;Origine
@PH2@: ParteConfineDistrettuale-&gt;Origine-&gt;ApprovatoIl
@PH3@: ParteConfineDistrettuale-&gt;Eliminazione
@PH4@: ParteConfineDistrettuale-&gt;Eliminazione-&gt;ApprovatoIl</t>
  </si>
  <si>
    <t>ParteConfineCantonale</t>
  </si>
  <si>
    <t>Origine_PartieLimiteCanton</t>
  </si>
  <si>
    <t>Origine_ParteConfineCantonale</t>
  </si>
  <si>
    <t>PartieLimiteCanton_bientotcreee</t>
  </si>
  <si>
    <t>ParteConfineCantonale_in_creazione</t>
  </si>
  <si>
    <t>Caducite_PartieLimiteCanton</t>
  </si>
  <si>
    <t>Eliminazione_ParteConfineCantonale</t>
  </si>
  <si>
    <t>PartieLimiteCanton_bientotcaduque</t>
  </si>
  <si>
    <t>ParteConfineCantonale_in_eliminazione</t>
  </si>
  <si>
    <t>Predecesseur_Successeur_PartieLimiteCanton</t>
  </si>
  <si>
    <t>Predecessore_Successore_ParteConfineCantonale</t>
  </si>
  <si>
    <t>PartieLimiteCanton_Valable</t>
  </si>
  <si>
    <t>ParteConfineCantonale_Valevole</t>
  </si>
  <si>
    <t>@PH1@: PartieLimiteCanton-&gt;Origine
@PH2@: PartieLimiteCanton-&gt;Origine-&gt;ApprouveeLe
@PH3@: PartieLimiteCanton-&gt;Caducite
@PH4@: PartieLimiteCanton-&gt;Caducite -&gt;ApprouveeLe</t>
  </si>
  <si>
    <t>@PH1@: ParteConfineCantonale-&gt;Origine
@PH2@: ParteConfineCantonale-&gt;Origine-&gt;ApprovatoIl
@PH3@: ParteConfineCantonale-&gt;Eliminazione
@PH4@: ParteConfineCantonale-&gt;Eliminazione-&gt;ApprovatoIl</t>
  </si>
  <si>
    <t>DMAV_Grundstuecke_V1_1.ili</t>
  </si>
  <si>
    <t>DMAV_Immeubles_V1_1.ili</t>
  </si>
  <si>
    <t>DMAV_Fondi_V1_1.ili</t>
  </si>
  <si>
    <t>Fondi</t>
  </si>
  <si>
    <t>GenereFondo</t>
  </si>
  <si>
    <t>diritto_per_se_stante_e_permanente</t>
  </si>
  <si>
    <t>GenereMutazione</t>
  </si>
  <si>
    <t>Normale</t>
  </si>
  <si>
    <t>MutazioneProgetto</t>
  </si>
  <si>
    <t>ChiusuraMutazioneProgetto</t>
  </si>
  <si>
    <t>TenutaAGiornoFO</t>
  </si>
  <si>
    <t>IscrizioneRegistroFondiario</t>
  </si>
  <si>
    <t>Umfasst alle Grenzpunkte einer Liegenschaft, welche Liegenschafts- oder Hoheitsgrenzpunkte sind.</t>
  </si>
  <si>
    <t>PuntoConfine</t>
  </si>
  <si>
    <t>PointLimiteTerritoriale</t>
  </si>
  <si>
    <t>EPuntoConfineGiurisdizionale</t>
  </si>
  <si>
    <t>EDefinitoEsattamente</t>
  </si>
  <si>
    <t>Umfasst alle Grenzpunkte einer Liegenschaft, welche Liegenschafts- oder Hoheitsgrenzpunkte sind.
Undefiniert = 0.0</t>
  </si>
  <si>
    <t>@PH1@ OR Signe == @PH2@</t>
  </si>
  <si>
    <t>@PH1@: EstDefiniExactement_x000D_
@PH2@: NonMaterialise</t>
  </si>
  <si>
    <t>@PH1@ OR Segno == @PH2@</t>
  </si>
  <si>
    <t>@PH1@: EDefinitoEsattamente_x000D_
@PH2@: NonMaterializzato</t>
  </si>
  <si>
    <t>Origine_PointLimite</t>
  </si>
  <si>
    <t>Origine_PuntoConfine</t>
  </si>
  <si>
    <t>PointLimite_bientotcree</t>
  </si>
  <si>
    <t>PuntoConfine_in_creazione</t>
  </si>
  <si>
    <t>Caducite_PointLimite</t>
  </si>
  <si>
    <t>Eliminazione_PuntoConfine</t>
  </si>
  <si>
    <t>PointLimite_bientotcaduc</t>
  </si>
  <si>
    <t>PuntoConfine_in_eliminazione</t>
  </si>
  <si>
    <t>PointLimite_Valable</t>
  </si>
  <si>
    <t>PuntoConfine_Valevole</t>
  </si>
  <si>
    <t>@PH1@: PointLimite-&gt;Origine
@PH2@: PointLimite-&gt;Origine-&gt;InscriptionRegistreFoncier
@PH3@: PointLimite-&gt;Caducite
@PH4@: PointLimite-&gt;Caducite -&gt;InscriptionRegistreFoncier</t>
  </si>
  <si>
    <t>@PH1@: PuntoConfine-&gt;Origine
@PH2@: PuntoConfine-&gt;Origine-&gt;IscrizioneRegistroFondiario
@PH3@: PuntoConfine-&gt;Eliminazione
@PH4@: PuntoConfine-&gt;Eliminazione-&gt;IscrizioneRegistroFondiario</t>
  </si>
  <si>
    <t>EContestato</t>
  </si>
  <si>
    <t>ECompleto</t>
  </si>
  <si>
    <t>@PH1@ == NOT (DEFINED(@PH2@))</t>
  </si>
  <si>
    <t>@PH1@: EstComplete_x000D_
@PH2@: SuperficieTotale</t>
  </si>
  <si>
    <t>@PH1@: ECompleto_x000D_
@PH2@: SuperficieTotale</t>
  </si>
  <si>
    <t>Origine_Immeuble</t>
  </si>
  <si>
    <t>Origine_Fondo</t>
  </si>
  <si>
    <t>Immeuble_bientotcree</t>
  </si>
  <si>
    <t>Fondo_in_creazione</t>
  </si>
  <si>
    <t>Caducite_Immeuble</t>
  </si>
  <si>
    <t>Eliminazione_Fondo</t>
  </si>
  <si>
    <t>Immeuble_bientotcaduc</t>
  </si>
  <si>
    <t>Fondo_in_eliminazione</t>
  </si>
  <si>
    <t>Immeuble_Valable</t>
  </si>
  <si>
    <t>Fondo_Valevole</t>
  </si>
  <si>
    <t>@PH1@: Immeuble-&gt;Origine
@PH2@: Immeuble-&gt;Origine-&gt;InscriptionRegistreFoncier
@PH3@: Immeuble-&gt;Caducite
@PH4@: Immeuble-&gt;Caducite -&gt;InscriptionRegistreFoncier</t>
  </si>
  <si>
    <t>@PH1@: Fondo-&gt;Origine
@PH2@: Fondo-&gt;Origine-&gt;IscrizioneRegistroFondiario
@PH3@: Fondo-&gt;Eliminazione
@PH4@: Fondo-&gt;Eliminazione-&gt;IscrizioneRegistroFondiario</t>
  </si>
  <si>
    <t>BeneImmobile</t>
  </si>
  <si>
    <t>Geometrie nur LFP3 oder Grenzpunkt</t>
  </si>
  <si>
    <t>DMAVTYM_Qualite_V1_0.StandardQualite</t>
  </si>
  <si>
    <t>DMAVTYM_Qualita_V1_0.StandardQualita</t>
  </si>
  <si>
    <t>ImmeubleBienFonds</t>
  </si>
  <si>
    <t>FondoBeneImmobile</t>
  </si>
  <si>
    <t>@PH1@: Immeuble-&gt;GenreImmeuble_x000D_
@PH2@: bien_fonds</t>
  </si>
  <si>
    <t>@PH1@: Fondo-&gt;GenereFondo_x000D_
@PH2@: bene_immobile</t>
  </si>
  <si>
    <t>@PH1@: BienFonds-&gt;Fictif_x000D_
@PH2@: Immeuble-&gt;Fictif</t>
  </si>
  <si>
    <t>@PH1@: BeneImmobile-&gt;Fittizio_x000D_
@PH2@: Fondo-&gt;Fittizio</t>
  </si>
  <si>
    <t>DEFINED(@PH1@) == @PH2@</t>
  </si>
  <si>
    <t>@PH1@: Litigieux_x000D_
@PH2@: Immeuble-&gt;EstLitigieux</t>
  </si>
  <si>
    <t>@PH1@: Contestato_x000D_
@PH2@: Fondo-&gt;EContestato</t>
  </si>
  <si>
    <t>NOT (DEFINED(@PH1@)) == @PH2@</t>
  </si>
  <si>
    <t>@PH1@: NumeroImmeublePartiel_x000D_
@PH2@: Immeuble-&gt;EstComplete</t>
  </si>
  <si>
    <t>@PH1@: NumeroParteFondo_x000D_
@PH2@: Fondo-&gt;ECompleto</t>
  </si>
  <si>
    <t>BienFonds_Valable</t>
  </si>
  <si>
    <t>BeneImmobile_Valevole</t>
  </si>
  <si>
    <t>@PH1@: BienFonds-&gt;Immeuble-&gt;Origine
@PH2@: BienFonds-&gt;Immeuble-&gt;Origine-&gt;InscriptionRegistreFoncier
@PH3@: BienFonds-&gt;Immeuble-&gt;Caducite
@PH4@: BienFonds-&gt;Immeuble-&gt;Caducite -&gt;InscriptionRegistreFoncier</t>
  </si>
  <si>
    <t>@PH1@: BeneImmobile-&gt;Fondo-&gt;Origine
@PH2@: BeneImmobile-&gt;Fondo-&gt;Origine-&gt;IscrizioneRegistroFondiario
@PH3@: BeneImmobile-&gt;Fondo-&gt;Eliminazione
@PH4@: BeneImmobile-&gt;Fondo-&gt;Eliminazione-&gt;IscrizioneRegistroFondiario</t>
  </si>
  <si>
    <t>C: Falls bei SelbstRecht keine Flaeche vorhanden ist, existiert hier auch kein Objekt.
A: NummerTeilgrundstueck ist fuer Teil Grundstueck noetig</t>
  </si>
  <si>
    <t>DirittoPerSeStanteEPermanente</t>
  </si>
  <si>
    <t>C: Falls bei SelbstRecht keine Flaeche vorhanden ist, existiert hier auch kein Objekt.
A: Geometrie nur LFP3 oder Grenzpunkt</t>
  </si>
  <si>
    <t>EstDroitDeSuperficie</t>
  </si>
  <si>
    <t>EDirittoDiSuperficie</t>
  </si>
  <si>
    <t>C: Falls bei SelbstRecht keine Flaeche vorhanden ist, existiert hier auch kein Objekt.
C: Verlauf einer streitigen Grenze muss auf derselben SelbstRechtgeometrie liegen</t>
  </si>
  <si>
    <t>ImmeubleDroitDistinctPermanent</t>
  </si>
  <si>
    <t>FondoDirittoPerSeStantePermanente</t>
  </si>
  <si>
    <t>@PH1@: Immeuble-&gt;GenreImmeuble_x000D_
@PH2@: droit_distinct_permanent</t>
  </si>
  <si>
    <t>@PH1@: Fondo-&gt;GenereFondo_x000D_
@PH2@: diritto_per_se_stante_e_permanente</t>
  </si>
  <si>
    <t>NOT (@PH1@)</t>
  </si>
  <si>
    <t>@PH1@: Immeuble-&gt;Fictif</t>
  </si>
  <si>
    <t>@PH1@: Fondo-&gt;Fittizio</t>
  </si>
  <si>
    <t>DroitDistinctPermanent_Valable</t>
  </si>
  <si>
    <t>DirittoPerSeStantePermanente_Valevole</t>
  </si>
  <si>
    <t>@PH1@: DroitDistinctPermanent-&gt;Immeuble-&gt;Origine
@PH2@: DroitDistinctPermanent-&gt;Immeuble-&gt;Origine-&gt;InscriptionRegistreFoncier
@PH3@: DroitDistinctPermanent-&gt;Immeuble-&gt;Caducite
@PH4@: DroitDistinctPermanent-&gt;Immeuble-&gt;Caducite -&gt;InscriptionRegistreFoncier</t>
  </si>
  <si>
    <t>@PH1@: DirittoPerSeStanteEPermanente-&gt;Fondo-&gt;Origine
@PH2@: DirittoPerSeStanteEPermanente-&gt;Fondo-&gt;Origine-&gt;IscrizioneRegistroFondiario
@PH3@: DirittoPerSeStanteEPermanente-&gt;Fondo-&gt;Eliminazione
@PH4@: DirittoPerSeStanteEPermanente-&gt;Fondo-&gt;Eliminazione-&gt;IscrizioneRegistroFondiario</t>
  </si>
  <si>
    <t>C: Falls bei Bergwerk keine Flaeche vorhanden ist, existiert hier auch kein Objekt.
A: NummerTeilGrundstueck ist fuer Teil Grundstueck noetig</t>
  </si>
  <si>
    <t>C: Falls bei Bergwerk keine Flaeche vorhanden ist, existiert hier auch kein Objekt.
A: Geometrie nur LFP3 oder Grenzpunkt</t>
  </si>
  <si>
    <t>C: Falls bei Bergwerk keine Flaeche vorhanden ist, existiert hier auch kein Objekt.</t>
  </si>
  <si>
    <t>C: Falls bei Bergwerk keine Flaeche vorhanden ist, existiert hier auch kein Objekt.
C: Verlauf einer streitigen Grenze muss auf derselben Bergwerkgeometrie liegen</t>
  </si>
  <si>
    <t>ImmeubleMine</t>
  </si>
  <si>
    <t>FondoMiniera</t>
  </si>
  <si>
    <t>@PH1@ == mine</t>
  </si>
  <si>
    <t>@PH1@: Immeuble-&gt;GenreImmeuble</t>
  </si>
  <si>
    <t>@PH1@: Fondo-&gt;GenereFondo_x000D_
@PH2@: miniera</t>
  </si>
  <si>
    <t>Mine_Valable</t>
  </si>
  <si>
    <t>Miniera_Valevole</t>
  </si>
  <si>
    <t>@PH1@:Mine-&gt;Immeuble-&gt;Origine
@PH2@: Mine-&gt;Immeuble-&gt;Origine-&gt;InscriptionRegistreFoncier
@PH3@: Mine-&gt;Immeuble-&gt;Caducite
@PH4@: Mine-&gt;Immeuble-&gt;Caducite -&gt;InscriptionRegistreFoncier</t>
  </si>
  <si>
    <t>@PH1@: Miniera-&gt;Fondo-&gt;Origine
@PH2@: Miniera-&gt;Fondo-&gt;Origine-&gt;IscrizioneRegistroFondiario
@PH3@: Miniera-&gt;Fondo-&gt;Eliminazione
@PH4@: Miniera-&gt;Fondo-&gt;Eliminazione-&gt;IscrizioneRegistroFondiario</t>
  </si>
  <si>
    <t>DEFINED(@PH1@) == ((INTERLIS.objectCount(@PH2@) + INTERLIS.objectCount(@PH3@) + INTERLIS.objectCount(Mine)) &gt; 1)</t>
  </si>
  <si>
    <t>@PH1@: SuperficieTotale_x000D_
@PH2@: BienFonds_x000D_
@PH3@: DroitDistinctPermanent</t>
  </si>
  <si>
    <t>DEFINED(@PH1@) == ((INTERLIS.objectCount(@PH2@) + INTERLIS.objectCount(@PH3@) + INTERLIS.objectCount(@PH4@)) &gt; 1)</t>
  </si>
  <si>
    <t>@PH1@: SuperficieTotale_x000D_
@PH2@: BeneImmobile_x000D_
@PH3@: DirittoPerSeStanteEPermanente_x000D_
@PH4@: Miniera</t>
  </si>
  <si>
    <t>(INTERLIS.objectCount(@PH1@) &gt; 0 AND INTERLIS.objectCount(@PH2@) == 0 AND INTERLIS.objectCount(Mine) == 0) OR (INTERLIS.objectCount(@PH1@) == 0 AND INTERLIS.objectCount(@PH2@) &gt; 0 AND INTERLIS.objectCount(Mine) == 0) OR (INTERLIS.objectCount(@PH1@) == 0 AND INTERLIS.objectCount(@PH2@) == 0 AND INTERLIS.objectCount(Mine) &gt; 0)</t>
  </si>
  <si>
    <t>@PH1@: BienFonds_x000D_
@PH2@: DroitDistinctPermanent</t>
  </si>
  <si>
    <t>(INTERLIS.objectCount(@PH1@) &gt; 0 AND INTERLIS.objectCount(@PH2@) == 0 AND INTERLIS.objectCount(@PH3@) == 0) OR (INTERLIS.objectCount(@PH1@) == 0 AND INTERLIS.objectCount(@PH2@) &gt; 0 AND INTERLIS.objectCount(@PH3@) == 0) OR (INTERLIS.objectCount(@PH1@) == 0 AND INTERLIS.objectCount(@PH2@) == 0 AND INTERLIS.objectCount(@PH3@) &gt; 0)</t>
  </si>
  <si>
    <t>@PH1@: BeneImmobile_x000D_
@PH2@: DirittoPerSeStanteEPermanente_x000D_
@PH3@: Miniera</t>
  </si>
  <si>
    <t>DMAV_Dienstbarkeitsgrenzen_V1_1.ili</t>
  </si>
  <si>
    <t>DMAV_AssiettesDeServitudes_V1_1.ili</t>
  </si>
  <si>
    <t>DMAV_ConfiniDiServitu_V1_1.ili</t>
  </si>
  <si>
    <t>ConfiniDiServitu</t>
  </si>
  <si>
    <t>Provenienza</t>
  </si>
  <si>
    <t>numerical</t>
  </si>
  <si>
    <t>grafico</t>
  </si>
  <si>
    <t>indeterminata</t>
  </si>
  <si>
    <t>MiseAJourSV</t>
  </si>
  <si>
    <t>TenutaAGiornoSV</t>
  </si>
  <si>
    <t>ElementoConSuperficie</t>
  </si>
  <si>
    <t>ElementoLineare</t>
  </si>
  <si>
    <t>ElementoPuntiforme</t>
  </si>
  <si>
    <t>ConfineDellaServitu</t>
  </si>
  <si>
    <t>NumeroServitu</t>
  </si>
  <si>
    <t>GenereServitu</t>
  </si>
  <si>
    <t>INTERLIS.elementCount(@PH1@) &gt; 0 OR INTERLIS.elementCount(@PH2@) &gt; 0 OR INTERLIS.elementCount(@PH3@) &gt; 0</t>
  </si>
  <si>
    <t>@PH1@: ElementSurfacique_x000D_
@PH2@: ElementLineaire_x000D_
@PH3@: ElementPonctuel</t>
  </si>
  <si>
    <t>@PH1@: ElementoConSuperficie_x000D_
@PH2@: ElementoLineare_x000D_
@PH3@: ElementoPuntiforme</t>
  </si>
  <si>
    <t>Origine_AssietteDeServitude</t>
  </si>
  <si>
    <t>Origine_ConfineDellaServitu</t>
  </si>
  <si>
    <t>AssietteDeServitude_bientotcreee</t>
  </si>
  <si>
    <t>ConfineDellaServitu_in_creazione</t>
  </si>
  <si>
    <t>Caducite_AssietteDeServitude</t>
  </si>
  <si>
    <t>Eliminazione_ConfineDellaServitu</t>
  </si>
  <si>
    <t>AssietteDeServitude_bientotcaduque</t>
  </si>
  <si>
    <t>ConfineDellaServitu_in_eliminazione</t>
  </si>
  <si>
    <t>AssietteDeServitude_Valable</t>
  </si>
  <si>
    <t>ConfineDellaServitu_Valevole</t>
  </si>
  <si>
    <t>WHERE DEFINED(AssietteDeServitude-&gt;Origine) AND DEFINED(AssietteDeServitude-&gt;Origine-&gt;InscriptionRegistreFoncier) AND (NOT (DEFINED(AssietteDeServitude-&gt;Caducite )) OR NOT (DEFINED(AssietteDeServitude-&gt;Caducite -&gt;InscriptionRegistreFoncier)))</t>
  </si>
  <si>
    <t>@PH1@: AssietteDeServitude-&gt;Origine
@PH2@: AssietteDeServitude-&gt;Origine-&gt;InscriptionRegistreFoncier
@PH3@: AssietteDeServitude-&gt;Caducite
@PH4@: AssietteDeServitude-&gt;Caducite -&gt;InscriptionRegistreFoncier</t>
  </si>
  <si>
    <t>WHERE DEFINED(ConfineDellaServitu-&gt;Origine) AND DEFINED(ConfineDellaServitu-&gt;Origine-&gt;IscrizioneRegistroFondiario) AND (NOT (DEFINED(ConfineDellaServitu-&gt;Eliminazione)) OR NOT (DEFINED(ConfineDellaServitu-&gt;Eliminazione-&gt;IscrizioneRegistroFondiario)))</t>
  </si>
  <si>
    <t>@PH1@: ConfineDellaServitu-&gt;Origine
@PH2@: ConfineDellaServitu-&gt;Origine-&gt;IscrizioneRegistroFondiario
@PH3@: ConfineDellaServitu-&gt;Eliminazione
@PH4@: ConfineDellaServitu-&gt;Eliminazione-&gt;IscrizioneRegistroFondiario</t>
  </si>
  <si>
    <t>DMAV_DauerndeBodenverschiebungen_V1_1.ili</t>
  </si>
  <si>
    <t>DMAV_TerritoiresEnMouvementPermanent_V1_1.ili</t>
  </si>
  <si>
    <t>DMAV_SpostamentiDiTerrenoPermanenti_V1_1.ili</t>
  </si>
  <si>
    <t>TerritoiresMouvementPermanent</t>
  </si>
  <si>
    <t>SpostamentiDiTerrenoPermanenti</t>
  </si>
  <si>
    <t>TenutaAGiornoSTP</t>
  </si>
  <si>
    <t>SpostamentoDiTerrenoPermanente</t>
  </si>
  <si>
    <t>Origine_TerritoireMouvementPermanent</t>
  </si>
  <si>
    <t>Origine_SpostamentoDiTerrenoPermanente</t>
  </si>
  <si>
    <t>TerritoireMouvementPermanent_bientotcree</t>
  </si>
  <si>
    <t>SpostamentoDiTerrenoPermanente_in_creazione</t>
  </si>
  <si>
    <t>Caducite_TerritoireMouvementPermanent</t>
  </si>
  <si>
    <t>Eliminazione_SpostamentoDiTerrenoPermanente</t>
  </si>
  <si>
    <t>TerritoireMouvementPermanent_bientotcaduc</t>
  </si>
  <si>
    <t>SpostamentoDiTerrenoPermanente_in_eliminazione</t>
  </si>
  <si>
    <t>TerritoireMouvementPermanent_Valable</t>
  </si>
  <si>
    <t>SpostamentoDiTerrenoPermanente_Valevole</t>
  </si>
  <si>
    <t>@PH1@: TerritoireMouvementPermanent-&gt;Origine
@PH2@: TerritoireMouvementPermanent-&gt;Origine-&gt;ApprouveeLe
@PH3@: TerritoireMouvementPermanent-&gt;Caducite
@PH4@: TerritoireMouvementPermanent-&gt;Caducite -&gt;ApprouveeLe</t>
  </si>
  <si>
    <t>WHERE DEFINED(@PH1@) AND DEFINED(@PH2@) AND (NOT (DEFINED(@PH3@)) OR NOT (DEFINED(@PH4@)));</t>
  </si>
  <si>
    <t>@PH1@: SpostamentoDiTerrenoPermanente-&gt;Origine
@PH2@: SpostamentoDiTerrenoPermanente-&gt;Origine-&gt;ApprovatoIl
@PH3@: SpostamentoDiTerrenoPermanente-&gt;Eliminazione
@PH4@: SpostamentoDiTerrenoPermanente-&gt;Eliminazione-&gt;ApprovatoIl</t>
  </si>
  <si>
    <t>DMAV_Nomenklatur_V1_1.ili</t>
  </si>
  <si>
    <t>DMAV_Nomenclature_V1_1.ili</t>
  </si>
  <si>
    <t>DMAV_Nomenclatura_V1_1.ili</t>
  </si>
  <si>
    <t>TenutaAGiornoNO</t>
  </si>
  <si>
    <t>NomeLocale</t>
  </si>
  <si>
    <t>AREA WITH (STRAIGHTS, ARCS) VERTEX GeometryCHLV95_V2.Coord2 WITHOUT OVERLAPS &gt; 0.002</t>
  </si>
  <si>
    <t>Origine_NomLocal</t>
  </si>
  <si>
    <t>Origine_NomeLocale</t>
  </si>
  <si>
    <t>NomLocal_bientotcree</t>
  </si>
  <si>
    <t>NomeLocale_in_creazione</t>
  </si>
  <si>
    <t>NomeLocalita</t>
  </si>
  <si>
    <t>Origine_NomLieu</t>
  </si>
  <si>
    <t>Origine_NomeLocalita</t>
  </si>
  <si>
    <t>NomLieu_bientotcree</t>
  </si>
  <si>
    <t>NomeLocalita_in_creazione</t>
  </si>
  <si>
    <t>NomeLuogo</t>
  </si>
  <si>
    <t>Origine_Lieudit</t>
  </si>
  <si>
    <t>Origine_NomeLuogo</t>
  </si>
  <si>
    <t>Lieudit_bientotcree</t>
  </si>
  <si>
    <t>NomeLuogo_in_creazione</t>
  </si>
  <si>
    <t>DMAV_Bodenbedeckung_V1_1.ili</t>
  </si>
  <si>
    <t>DMAV_CouvertureDuSol_V1_1.ili</t>
  </si>
  <si>
    <t>DMAV_CoperturaSuolo_V1_1.ili</t>
  </si>
  <si>
    <t>CoperturaSuolo</t>
  </si>
  <si>
    <t>GenereCoperturaSuolo</t>
  </si>
  <si>
    <t>TenutaAGiornoCS</t>
  </si>
  <si>
    <t>NumeroOggetto</t>
  </si>
  <si>
    <t>NomeOggetto</t>
  </si>
  <si>
    <t>DMAVTYM_Modinfo_FR_V1_0.StatutObjet</t>
  </si>
  <si>
    <t>DMAVTYM_Modinfo_IT_V1_0.StatoOggetto</t>
  </si>
  <si>
    <t>DMAVTYM_Grafique_V1_0.PositionSymbole</t>
  </si>
  <si>
    <t>DMAVTYM_Grafica_V1_0.PosizioneSimbolo</t>
  </si>
  <si>
    <t>(@PH1@!=@PH2@ AND @PH1@!=@PH3@ ) OR INTERLIS.elementCount(@PH4@)&gt;0</t>
  </si>
  <si>
    <t>@PH1@: Bodenbedeckungsart_x000D_
@PH2@: befestigt.Wasserbecken_x000D_
@PH3@: Gewaesser.stehendes_Gewaesser_x000D_
@PH4@: Symbolposition</t>
  </si>
  <si>
    <t>(@PH1@ &lt;&gt; @PH2@ AND @PH1@ &lt;&gt; @PH3@) OR INTERLIS.elementCount(@PH4@) &gt; 0</t>
  </si>
  <si>
    <t>@PH1@: GenreCouvertureSol_x000D_
@PH2@: revetement_dur.bassin_x000D_
@PH3@: eau.eau_stagnante_x000D_
@PH4@: PositionSymbole</t>
  </si>
  <si>
    <t>@PH1@: GenereCoperturaSuolo_x000D_
@PH2@: rivestimento_duro.bacino_idrico_x000D_
@PH3@: acque.specchio_acqua_x000D_
@PH4@: PosizioneSimbolo</t>
  </si>
  <si>
    <t>@PH1@ &lt;&gt; DEFINED(@PH2@)</t>
  </si>
  <si>
    <t>@PH1@: Fictif_x000D_
@PH2@: GenreCouvertureSol</t>
  </si>
  <si>
    <t>@PH1@: Fittizio_x000D_
@PH2@: GenereCoperturaSuolo</t>
  </si>
  <si>
    <t>Origine_CouvertureSol</t>
  </si>
  <si>
    <t>Origine_CoperturaSuolo</t>
  </si>
  <si>
    <t>SurfaceCS_bientotcreee</t>
  </si>
  <si>
    <t>SuperficieCS_in_creazione</t>
  </si>
  <si>
    <t>CouvertureSol_Valable</t>
  </si>
  <si>
    <t>CoperturaSuolo_Valevole</t>
  </si>
  <si>
    <t>WHERE DEFINED(@PH1@)</t>
  </si>
  <si>
    <t>@PH1@: Bodenbedeckung-&gt;Entstehung</t>
  </si>
  <si>
    <t>@PH1@: CouvertureSol-&gt;Origine</t>
  </si>
  <si>
    <t>@PH1@: CoperturaSuolo-&gt;Origine</t>
  </si>
  <si>
    <t>Filter:_x000D_
@PH1@ == reel_x000D_
Constraint:_x000D_
INTERLIS.areAreas(@PH2@)</t>
  </si>
  <si>
    <t>@PH1@: StatutObjet_x000D_
@PH2@: ALL, UNDEFINED, &gt;&gt;Geometrie</t>
  </si>
  <si>
    <t>Filter:_x000D_
@PH1@ == @PH2@_x000D_
Constraint:_x000D_
INTERLIS.areAreas(@PH3@)</t>
  </si>
  <si>
    <t>@PH1@: StatoOggetto_x000D_
@PH2@: reale_x000D_
@PH3@: ALL, UNDEFINED, &gt;&gt;Geometria</t>
  </si>
  <si>
    <t>PuntoMisurato</t>
  </si>
  <si>
    <t>Origine_PointMesure</t>
  </si>
  <si>
    <t>Origine_PuntoMisurato</t>
  </si>
  <si>
    <t>PointMesure_bientotcree</t>
  </si>
  <si>
    <t>PuntoMisurato_in_creazione</t>
  </si>
  <si>
    <t>DMAV_Einzelobjekte_V1_1.ili</t>
  </si>
  <si>
    <t>DMAV_ObjetsDivers_V1_1.ili</t>
  </si>
  <si>
    <t>DMAV_OggettiSingoli_V1_1.ili</t>
  </si>
  <si>
    <t>OggettiSingoli</t>
  </si>
  <si>
    <t>GenereOggettoSingolo</t>
  </si>
  <si>
    <t>concimaia</t>
  </si>
  <si>
    <t>TenutaAGiornoOS</t>
  </si>
  <si>
    <t>OggettoSingolo</t>
  </si>
  <si>
    <t>Origine_ObjetDivers</t>
  </si>
  <si>
    <t>Origine_OggettoSingolo</t>
  </si>
  <si>
    <t>ObjetDivers_bientotcree</t>
  </si>
  <si>
    <t>OggettoSingolo_in_creazione</t>
  </si>
  <si>
    <t>DMAV_Rohrleitungen_V1_1.ili</t>
  </si>
  <si>
    <t>DMAV_Conduites_V1_1.ili</t>
  </si>
  <si>
    <t>DMAV_Condotte_V1_1.ili</t>
  </si>
  <si>
    <t>T: gemaess Bundesgesetz ueber Rohrleitungsanlagen zur Befoerderung fluessiger oder gasfoermiger Brenn- oder Treibstoffe</t>
  </si>
  <si>
    <t>TenutaAGiornoCO</t>
  </si>
  <si>
    <t>T: gemaess Bundesgesetz ueber Rohrleitungsanlagen zur Befoerderung fluessiger oder gasfoermiger Brenn- oder Treibstoffe
A: z.B. Nummer des technischen Dossiers</t>
  </si>
  <si>
    <t>Visibile</t>
  </si>
  <si>
    <t>@PH1@: Sichtbar_x000D_
@PH2@: DMAVTYM_Topologie_V1_0.covers_x000D_
@PH3@: THIS,&gt;&gt;Geometrie,THIS,&gt;&gt;Sichtbar</t>
  </si>
  <si>
    <t>@PH1@: Visible_x000D_
@PH2@: DMAVTYM_Topologie_FR_V1_0.covers_x000D_
@PH3@: THIS, &gt;&gt;Geometrie, THIS, &gt;&gt;Visible</t>
  </si>
  <si>
    <t>@PH1@: Visibile_x000D_
@PH2@: DMAVTYM_Topologia_V1_0.covers_x000D_
@PH3@: THIS, &gt;&gt;Geometria, THIS, &gt;&gt;Visibile</t>
  </si>
  <si>
    <t>EVisibile</t>
  </si>
  <si>
    <t>OggettoCondotta</t>
  </si>
  <si>
    <t>Origine_ElementConduite</t>
  </si>
  <si>
    <t>Origine_OggettoCondotta</t>
  </si>
  <si>
    <t>ElementConduite_bientotcree</t>
  </si>
  <si>
    <t>OggettoCondotta_in_creazione</t>
  </si>
  <si>
    <t>(Signal, plaquette_borne, autre )</t>
  </si>
  <si>
    <t>GenereSegnale</t>
  </si>
  <si>
    <t>(Segnale, tavola_cippo, altro )</t>
  </si>
  <si>
    <t>Origine_Signal</t>
  </si>
  <si>
    <t>Origine_Segnale</t>
  </si>
  <si>
    <t>Signal_bientotcree</t>
  </si>
  <si>
    <t>Segnale_in_creazione</t>
  </si>
  <si>
    <t>DMAV_Toleranzstufen_V1_1.ili</t>
  </si>
  <si>
    <t>DMAV_NiveauxTolerance_V1_1.ili</t>
  </si>
  <si>
    <t>DMAV_GradiTolleranza_V1_1.ili</t>
  </si>
  <si>
    <t>GradiTolleranza</t>
  </si>
  <si>
    <t>TenutaAGiornoGT</t>
  </si>
  <si>
    <t>GradoTolleranza</t>
  </si>
  <si>
    <t>(NT1, NT2, NT3, NT4, NT5 )</t>
  </si>
  <si>
    <t>(GT1, GT2, GT3, GT4, GT5 )</t>
  </si>
  <si>
    <t>Origine_NiveauTolerance</t>
  </si>
  <si>
    <t>Origine_GradoTolleranza</t>
  </si>
  <si>
    <t>NiveauTolerance_bientotcree</t>
  </si>
  <si>
    <t>GradoTolleranza_in_creazione</t>
  </si>
  <si>
    <t>DMAV_Gebaeudeadressen_V1_1.ili</t>
  </si>
  <si>
    <t>DMAV_AdressesDeBatiments_V1_1.ili</t>
  </si>
  <si>
    <t>DMAV_IndirizziDegliEdifici_V1_1.ili</t>
  </si>
  <si>
    <t>T: siehe SN 612040 Verantwortung der Gemeinden
D: Fuer Gebaeudeadressen, siehe SN 612040
W: deutsch</t>
  </si>
  <si>
    <t>IndirizziDegliEdifici</t>
  </si>
  <si>
    <t>T: siehe SN 612040 Verantwortung der Gemeinden
D: Fuer Gebaeudeadressen, siehe SN 612040
W: francais</t>
  </si>
  <si>
    <t>T: siehe SN 612040 Verantwortung der Gemeinden
D: Fuer Gebaeudeadressen, siehe SN 612040
W: italiano</t>
  </si>
  <si>
    <t>T: siehe SN 612040 Verantwortung der Gemeinden
D: Fuer Gebaeudeadressen, siehe SN 612040
W: rumantsch</t>
  </si>
  <si>
    <t>T: siehe SN 612040 Verantwortung der Gemeinden</t>
  </si>
  <si>
    <t>TenutaAGiornoIE</t>
  </si>
  <si>
    <t>T: siehe SN 612040 Verantwortung der Gemeinden
A: z.B. Nummer des technischen Dossiers</t>
  </si>
  <si>
    <t>NomeLocalizzazione</t>
  </si>
  <si>
    <t>NomeAbbreviato</t>
  </si>
  <si>
    <t>NomeIndicizzato</t>
  </si>
  <si>
    <t>ZonaDenominata</t>
  </si>
  <si>
    <t>TroncoStrada</t>
  </si>
  <si>
    <t>EAsse</t>
  </si>
  <si>
    <t>NumeroLocalizzazione</t>
  </si>
  <si>
    <t>AttributiProvvisori</t>
  </si>
  <si>
    <t>EDesignazioneUfficiale</t>
  </si>
  <si>
    <t>StatoLocalizzazione</t>
  </si>
  <si>
    <t>ModificheInCorso</t>
  </si>
  <si>
    <t>(LieuDenomme, rue, place )</t>
  </si>
  <si>
    <t>GenereLocalizzazione</t>
  </si>
  <si>
    <t>(ZonaDenominata, via, piazza )</t>
  </si>
  <si>
    <t>(pas_de_numeros, quelconque, croissante, impairs_a_gauche, pairs_a_gauche )</t>
  </si>
  <si>
    <t>PrincipioNumerazione</t>
  </si>
  <si>
    <t>(nessuno, qualunque, ascendente, dispari_a_sinistra, pari_a_sinistra )</t>
  </si>
  <si>
    <t>T: siehe SN 612040 Verantwortung der Gemeinden
A: Eidgenössischer Strassenidentifikator</t>
  </si>
  <si>
    <t>(INTERLIS.elementCount(@PH1@) &gt; 0) == (@PH2@ == rue OR @PH2@ == @PH3@)</t>
  </si>
  <si>
    <t>@PH1@: TronconRue_x000D_
@PH2@: GenreLocalisation_x000D_
@PH3@: place</t>
  </si>
  <si>
    <t>(INTERLIS.elementCount(@PH1@) &gt; 0) == (@PH2@ == via OR @PH2@ == @PH3@)</t>
  </si>
  <si>
    <t>@PH1@: TroncoStrada_x000D_
@PH2@: GenereLocalizzazione_x000D_
@PH3@: piazza</t>
  </si>
  <si>
    <t>(INTERLIS.elementCount(@PH1@) &gt; 0) == (@PH2@ == @PH3@)</t>
  </si>
  <si>
    <t>@PH1@: LieuDenomme_x000D_
@PH2@: GenreLocalisation_x000D_
@PH3@: LieuDenomme</t>
  </si>
  <si>
    <t>@PH1@: ZonaDenominata_x000D_
@PH2@: GenereLocalizzazione_x000D_
@PH3@: ZonaDenominata</t>
  </si>
  <si>
    <t>Origine_Localisation</t>
  </si>
  <si>
    <t>Origine_Localizzazione</t>
  </si>
  <si>
    <t>Localisation_bientotcreee</t>
  </si>
  <si>
    <t>Localizzazione_in_creazione</t>
  </si>
  <si>
    <t>NomeEdificio</t>
  </si>
  <si>
    <t>DescrizioneEdificio</t>
  </si>
  <si>
    <t>EntrataEdificio</t>
  </si>
  <si>
    <t>StatoEdificio</t>
  </si>
  <si>
    <t>EIndirizzoEdificioUfficiale</t>
  </si>
  <si>
    <t>QuotaSopraSuolo</t>
  </si>
  <si>
    <t>T: siehe SN 612040 Verantwortung der Gemeinden
A: z.B. Polizeinummer</t>
  </si>
  <si>
    <t>NumeroCivico</t>
  </si>
  <si>
    <t>( CouvertureSol, ObjetDivers )</t>
  </si>
  <si>
    <t>InModulo</t>
  </si>
  <si>
    <t>( CoperturaSuolo, OggettiSingoli )</t>
  </si>
  <si>
    <t>Origine_EntreeBatiment</t>
  </si>
  <si>
    <t>Origine_EntrataEdificio</t>
  </si>
  <si>
    <t>EntreeBatiment_bientotcreee</t>
  </si>
  <si>
    <t>EntrataEdificio_in_creazione</t>
  </si>
  <si>
    <t>LocalisationEntreeBatiment</t>
  </si>
  <si>
    <t>LocalizzazioneEntrataEdificio</t>
  </si>
  <si>
    <t>(@PH1@!=@PH2@) OR NOT(DEFINED(@PH3@))</t>
  </si>
  <si>
    <t>(@PH1@ &lt;&gt; @PH2@) OR NOT (DEFINED(@PH3@))</t>
  </si>
  <si>
    <t>@PH1@: Localisation-&gt;PrincipeNumerotation_x000D_
@PH2@: pas_de_numeros_x000D_
@PH3@: EntreeBatiment-&gt;NumeroMaison</t>
  </si>
  <si>
    <t>@PH1@: Localizzazione-&gt;PrincipioNumerazione_x000D_
@PH2@: nessuno_x000D_
@PH3@: EntrataEdificio-&gt;NumeroCivico</t>
  </si>
  <si>
    <t>PDok</t>
  </si>
  <si>
    <t>CheckID</t>
  </si>
  <si>
    <t>DMG1</t>
  </si>
  <si>
    <t>DMG2</t>
  </si>
  <si>
    <t>DMG3</t>
  </si>
  <si>
    <t>DMG4</t>
  </si>
  <si>
    <t>DMG5</t>
  </si>
  <si>
    <t>DMG6</t>
  </si>
  <si>
    <t>DMG7</t>
  </si>
  <si>
    <t>DMG8</t>
  </si>
  <si>
    <t>DMG9</t>
  </si>
  <si>
    <t>DMG10</t>
  </si>
  <si>
    <t>DMG11</t>
  </si>
  <si>
    <t>DMG12</t>
  </si>
  <si>
    <t>DMG14</t>
  </si>
  <si>
    <t>DMG16</t>
  </si>
  <si>
    <t>DMG17</t>
  </si>
  <si>
    <t>DMG18</t>
  </si>
  <si>
    <t>DMG19</t>
  </si>
  <si>
    <t>DMG20</t>
  </si>
  <si>
    <t>DMG21</t>
  </si>
  <si>
    <t>DMG22</t>
  </si>
  <si>
    <t>DMG23</t>
  </si>
  <si>
    <t>DMG25</t>
  </si>
  <si>
    <t>DMG27</t>
  </si>
  <si>
    <t>DMG28</t>
  </si>
  <si>
    <t>DMG30</t>
  </si>
  <si>
    <t>DMG31</t>
  </si>
  <si>
    <t>DMG33</t>
  </si>
  <si>
    <t>DMG34</t>
  </si>
  <si>
    <t>DMG35</t>
  </si>
  <si>
    <t>DMG36</t>
  </si>
  <si>
    <t>DMG37</t>
  </si>
  <si>
    <t>DMG38</t>
  </si>
  <si>
    <t>DMG39</t>
  </si>
  <si>
    <t>DMG40</t>
  </si>
  <si>
    <t>DMG41</t>
  </si>
  <si>
    <t>DMG42</t>
  </si>
  <si>
    <t>DMG43</t>
  </si>
  <si>
    <t>DMG44</t>
  </si>
  <si>
    <t>DMG45</t>
  </si>
  <si>
    <t>DMG46</t>
  </si>
  <si>
    <t>DMG47</t>
  </si>
  <si>
    <t>DMG48</t>
  </si>
  <si>
    <t>DMG49</t>
  </si>
  <si>
    <t>DMG50</t>
  </si>
  <si>
    <t>DMG52</t>
  </si>
  <si>
    <t>DMG53</t>
  </si>
  <si>
    <t>DMG54</t>
  </si>
  <si>
    <t>DMG55</t>
  </si>
  <si>
    <t>DMG56</t>
  </si>
  <si>
    <t>DMG57</t>
  </si>
  <si>
    <t>DMG58</t>
  </si>
  <si>
    <t>DMG59</t>
  </si>
  <si>
    <t>DMG60</t>
  </si>
  <si>
    <t>DFP2</t>
  </si>
  <si>
    <t>DFP4</t>
  </si>
  <si>
    <t>DFP5</t>
  </si>
  <si>
    <t>DFP7</t>
  </si>
  <si>
    <t>DFP8</t>
  </si>
  <si>
    <t>DFP9</t>
  </si>
  <si>
    <t>DFP10</t>
  </si>
  <si>
    <t>DFP11</t>
  </si>
  <si>
    <t>DFP12</t>
  </si>
  <si>
    <t>DFP13</t>
  </si>
  <si>
    <t>DFP14</t>
  </si>
  <si>
    <t>DFP15</t>
  </si>
  <si>
    <t>DFP16</t>
  </si>
  <si>
    <t>DFP17</t>
  </si>
  <si>
    <t>DFP18</t>
  </si>
  <si>
    <t>DFP19</t>
  </si>
  <si>
    <t>DFP20</t>
  </si>
  <si>
    <t>DFP21</t>
  </si>
  <si>
    <t>DFP22</t>
  </si>
  <si>
    <t>DFP23</t>
  </si>
  <si>
    <t>DFP24</t>
  </si>
  <si>
    <t>DFP25</t>
  </si>
  <si>
    <t>DFP26</t>
  </si>
  <si>
    <t>DFP27</t>
  </si>
  <si>
    <t>DFP28</t>
  </si>
  <si>
    <t>DFP29</t>
  </si>
  <si>
    <t>DFP30</t>
  </si>
  <si>
    <t>DFP31</t>
  </si>
  <si>
    <t>DFP32</t>
  </si>
  <si>
    <t>DFP33</t>
  </si>
  <si>
    <t>DFP34</t>
  </si>
  <si>
    <t>DFP35</t>
  </si>
  <si>
    <t>DFP36</t>
  </si>
  <si>
    <t>DFP37</t>
  </si>
  <si>
    <t>DFP38</t>
  </si>
  <si>
    <t>DFP39</t>
  </si>
  <si>
    <t>DFP40</t>
  </si>
  <si>
    <t>DFP41</t>
  </si>
  <si>
    <t>DFP42</t>
  </si>
  <si>
    <t>DFP43</t>
  </si>
  <si>
    <t>DHH2</t>
  </si>
  <si>
    <t>DHH3</t>
  </si>
  <si>
    <t>DHH4</t>
  </si>
  <si>
    <t>DHH5</t>
  </si>
  <si>
    <t>DHH6</t>
  </si>
  <si>
    <t>DHH7</t>
  </si>
  <si>
    <t>DHH8</t>
  </si>
  <si>
    <t>DHH9</t>
  </si>
  <si>
    <t>DHH10</t>
  </si>
  <si>
    <t>DHH11</t>
  </si>
  <si>
    <t>DHH12</t>
  </si>
  <si>
    <t>DHH13</t>
  </si>
  <si>
    <t>DHH14</t>
  </si>
  <si>
    <t>DHH15</t>
  </si>
  <si>
    <t>DHH16</t>
  </si>
  <si>
    <t>DHH17</t>
  </si>
  <si>
    <t>DHH18</t>
  </si>
  <si>
    <t>DHH19</t>
  </si>
  <si>
    <t>DHH20</t>
  </si>
  <si>
    <t>DHH21</t>
  </si>
  <si>
    <t>DHH22</t>
  </si>
  <si>
    <t>DHH23</t>
  </si>
  <si>
    <t>DGS2</t>
  </si>
  <si>
    <t>DGS3</t>
  </si>
  <si>
    <t>DGS4</t>
  </si>
  <si>
    <t>DGS5</t>
  </si>
  <si>
    <t>DGS6</t>
  </si>
  <si>
    <t>DGS7</t>
  </si>
  <si>
    <t>DGS8</t>
  </si>
  <si>
    <t>DGS9</t>
  </si>
  <si>
    <t>DGS10</t>
  </si>
  <si>
    <t>DGS11</t>
  </si>
  <si>
    <t>DGS12</t>
  </si>
  <si>
    <t>DGS13</t>
  </si>
  <si>
    <t>DGS14</t>
  </si>
  <si>
    <t>DGS15</t>
  </si>
  <si>
    <t>DGS16</t>
  </si>
  <si>
    <t>DGS17</t>
  </si>
  <si>
    <t>DGS18</t>
  </si>
  <si>
    <t>DGS19</t>
  </si>
  <si>
    <t>DGS20</t>
  </si>
  <si>
    <t>DGS21</t>
  </si>
  <si>
    <t>DGS22</t>
  </si>
  <si>
    <t>DGS23</t>
  </si>
  <si>
    <t>DGS24</t>
  </si>
  <si>
    <t>DGS25</t>
  </si>
  <si>
    <t>DGS26</t>
  </si>
  <si>
    <t>DGS27</t>
  </si>
  <si>
    <t>DGS28</t>
  </si>
  <si>
    <t>DGS29</t>
  </si>
  <si>
    <t>DGS30</t>
  </si>
  <si>
    <t>DGS31</t>
  </si>
  <si>
    <t>DGS32</t>
  </si>
  <si>
    <t>DGS33</t>
  </si>
  <si>
    <t>DGS34</t>
  </si>
  <si>
    <t>DGS35</t>
  </si>
  <si>
    <t>DGS36</t>
  </si>
  <si>
    <t>DGS37</t>
  </si>
  <si>
    <t>DGS38</t>
  </si>
  <si>
    <t>DGS39</t>
  </si>
  <si>
    <t>DGS40</t>
  </si>
  <si>
    <t>DGS41</t>
  </si>
  <si>
    <t>DGS42</t>
  </si>
  <si>
    <t>DGS43</t>
  </si>
  <si>
    <t>DGS44</t>
  </si>
  <si>
    <t>DGS45</t>
  </si>
  <si>
    <t>DGS46</t>
  </si>
  <si>
    <t>DGS47</t>
  </si>
  <si>
    <t>DDG2</t>
  </si>
  <si>
    <t>DDG3</t>
  </si>
  <si>
    <t>DDG7</t>
  </si>
  <si>
    <t>DDG8</t>
  </si>
  <si>
    <t>DDG9</t>
  </si>
  <si>
    <t>DDG10</t>
  </si>
  <si>
    <t>DDG11</t>
  </si>
  <si>
    <t>DDG12</t>
  </si>
  <si>
    <t>DDG13</t>
  </si>
  <si>
    <t>DDG14</t>
  </si>
  <si>
    <t>DDG15</t>
  </si>
  <si>
    <t>DDG16</t>
  </si>
  <si>
    <t>DDG17</t>
  </si>
  <si>
    <t>DDG18</t>
  </si>
  <si>
    <t>DDG19</t>
  </si>
  <si>
    <t>DDG20</t>
  </si>
  <si>
    <t>DDG21</t>
  </si>
  <si>
    <t>DDG22</t>
  </si>
  <si>
    <t>DDG23</t>
  </si>
  <si>
    <t>DDG24</t>
  </si>
  <si>
    <t>DBV1</t>
  </si>
  <si>
    <t>DBV2</t>
  </si>
  <si>
    <t>DBV3</t>
  </si>
  <si>
    <t>DBV4</t>
  </si>
  <si>
    <t>DBV5</t>
  </si>
  <si>
    <t>DBV6</t>
  </si>
  <si>
    <t>DBV7</t>
  </si>
  <si>
    <t>DBV8</t>
  </si>
  <si>
    <t>DBV9</t>
  </si>
  <si>
    <t>DBV10</t>
  </si>
  <si>
    <t>DBV11</t>
  </si>
  <si>
    <t>DNK1</t>
  </si>
  <si>
    <t>DNK2</t>
  </si>
  <si>
    <t>DNK3</t>
  </si>
  <si>
    <t>DNK4</t>
  </si>
  <si>
    <t>DNK5</t>
  </si>
  <si>
    <t>DNK6</t>
  </si>
  <si>
    <t>DNK7</t>
  </si>
  <si>
    <t>DNK8</t>
  </si>
  <si>
    <t>DNK9</t>
  </si>
  <si>
    <t>DNK10</t>
  </si>
  <si>
    <t>DNK11</t>
  </si>
  <si>
    <t>DNK12</t>
  </si>
  <si>
    <t>DNK13</t>
  </si>
  <si>
    <t>DNK14</t>
  </si>
  <si>
    <t>DNK15</t>
  </si>
  <si>
    <t>DNK16</t>
  </si>
  <si>
    <t>DBB2</t>
  </si>
  <si>
    <t>DBB3</t>
  </si>
  <si>
    <t>DBB4</t>
  </si>
  <si>
    <t>DBB5</t>
  </si>
  <si>
    <t>DBB6</t>
  </si>
  <si>
    <t>DBB7</t>
  </si>
  <si>
    <t>DBB8</t>
  </si>
  <si>
    <t>DBB9</t>
  </si>
  <si>
    <t>DBB10</t>
  </si>
  <si>
    <t>DBB11</t>
  </si>
  <si>
    <t>DBB12</t>
  </si>
  <si>
    <t>DBB13</t>
  </si>
  <si>
    <t>DBB14</t>
  </si>
  <si>
    <t>DBB15</t>
  </si>
  <si>
    <t>DBB16</t>
  </si>
  <si>
    <t>DBB17</t>
  </si>
  <si>
    <t>DBB18</t>
  </si>
  <si>
    <t>DBB19</t>
  </si>
  <si>
    <t>DBB20</t>
  </si>
  <si>
    <t>DBB21</t>
  </si>
  <si>
    <t>DBB22</t>
  </si>
  <si>
    <t>DBB23</t>
  </si>
  <si>
    <t>DBB24</t>
  </si>
  <si>
    <t>DBB25</t>
  </si>
  <si>
    <t>DBB26</t>
  </si>
  <si>
    <t>DBB28</t>
  </si>
  <si>
    <t>DBB29</t>
  </si>
  <si>
    <t>DBB31</t>
  </si>
  <si>
    <t>DBB33</t>
  </si>
  <si>
    <t>DBB34</t>
  </si>
  <si>
    <t>DBB35</t>
  </si>
  <si>
    <t>DBB36</t>
  </si>
  <si>
    <t>DBB37</t>
  </si>
  <si>
    <t>DBB38</t>
  </si>
  <si>
    <t>DBB39</t>
  </si>
  <si>
    <t>DBB40</t>
  </si>
  <si>
    <t>DBB41</t>
  </si>
  <si>
    <t>DBB42</t>
  </si>
  <si>
    <t>DBB43</t>
  </si>
  <si>
    <t>DBB44</t>
  </si>
  <si>
    <t>DBB45</t>
  </si>
  <si>
    <t>DBB46</t>
  </si>
  <si>
    <t>DBB47</t>
  </si>
  <si>
    <t>DBB48</t>
  </si>
  <si>
    <t>DBB49</t>
  </si>
  <si>
    <t>DBB50</t>
  </si>
  <si>
    <t>DBB51</t>
  </si>
  <si>
    <t>DBB52</t>
  </si>
  <si>
    <t>DBB53</t>
  </si>
  <si>
    <t>DBB54</t>
  </si>
  <si>
    <t>DBB55</t>
  </si>
  <si>
    <t>DEO2</t>
  </si>
  <si>
    <t>DEO3</t>
  </si>
  <si>
    <t>DEO4</t>
  </si>
  <si>
    <t>DEO5</t>
  </si>
  <si>
    <t>DEO6</t>
  </si>
  <si>
    <t>DEO7</t>
  </si>
  <si>
    <t>DEO8</t>
  </si>
  <si>
    <t>DEO9</t>
  </si>
  <si>
    <t>DEO10</t>
  </si>
  <si>
    <t>DEO11</t>
  </si>
  <si>
    <t>DEO12</t>
  </si>
  <si>
    <t>DEO13</t>
  </si>
  <si>
    <t>DEO14</t>
  </si>
  <si>
    <t>DEO15</t>
  </si>
  <si>
    <t>DEO16</t>
  </si>
  <si>
    <t>DEO17</t>
  </si>
  <si>
    <t>DEO18</t>
  </si>
  <si>
    <t>DEO19</t>
  </si>
  <si>
    <t>DEO20</t>
  </si>
  <si>
    <t>DEO21</t>
  </si>
  <si>
    <t>DEO22</t>
  </si>
  <si>
    <t>DEO23</t>
  </si>
  <si>
    <t>DEO24</t>
  </si>
  <si>
    <t>DEO25</t>
  </si>
  <si>
    <t>DEO26</t>
  </si>
  <si>
    <t>DEO27</t>
  </si>
  <si>
    <t>DEO28</t>
  </si>
  <si>
    <t>DEO29</t>
  </si>
  <si>
    <t>DEO30</t>
  </si>
  <si>
    <t>DEO31</t>
  </si>
  <si>
    <t>DEO32</t>
  </si>
  <si>
    <t>DEO33</t>
  </si>
  <si>
    <t>DEO34</t>
  </si>
  <si>
    <t>DEO35</t>
  </si>
  <si>
    <t>DEO36</t>
  </si>
  <si>
    <t>DEO37</t>
  </si>
  <si>
    <t>DEO38</t>
  </si>
  <si>
    <t>DEO39</t>
  </si>
  <si>
    <t>DEO40</t>
  </si>
  <si>
    <t>DEO41</t>
  </si>
  <si>
    <t>DEO42</t>
  </si>
  <si>
    <t>DEO44</t>
  </si>
  <si>
    <t>DEO45</t>
  </si>
  <si>
    <t>DEO47</t>
  </si>
  <si>
    <t>DEO49</t>
  </si>
  <si>
    <t>DEO51</t>
  </si>
  <si>
    <t>DEO53</t>
  </si>
  <si>
    <t>DEO55</t>
  </si>
  <si>
    <t>DEO56</t>
  </si>
  <si>
    <t>DEO57</t>
  </si>
  <si>
    <t>DEO58</t>
  </si>
  <si>
    <t>DEO59</t>
  </si>
  <si>
    <t>DEO60</t>
  </si>
  <si>
    <t>DEO61</t>
  </si>
  <si>
    <t>DEO62</t>
  </si>
  <si>
    <t>DEO63</t>
  </si>
  <si>
    <t>DEO64</t>
  </si>
  <si>
    <t>DEO65</t>
  </si>
  <si>
    <t>DEO66</t>
  </si>
  <si>
    <t>DEO67</t>
  </si>
  <si>
    <t>DEO68</t>
  </si>
  <si>
    <t>DEO69</t>
  </si>
  <si>
    <t>DEO70</t>
  </si>
  <si>
    <t>DEO71</t>
  </si>
  <si>
    <t>DEO72</t>
  </si>
  <si>
    <t>DEO73</t>
  </si>
  <si>
    <t>DEO74</t>
  </si>
  <si>
    <t>DEO75</t>
  </si>
  <si>
    <t>DEO76</t>
  </si>
  <si>
    <t>DEO77</t>
  </si>
  <si>
    <t>DRL2</t>
  </si>
  <si>
    <t>DRL3</t>
  </si>
  <si>
    <t>DRL5</t>
  </si>
  <si>
    <t>DRL6</t>
  </si>
  <si>
    <t>DRL8</t>
  </si>
  <si>
    <t>DRL9</t>
  </si>
  <si>
    <t>DRL11</t>
  </si>
  <si>
    <t>DRL13</t>
  </si>
  <si>
    <t>DRL15</t>
  </si>
  <si>
    <t>DRL16</t>
  </si>
  <si>
    <t>DRL17</t>
  </si>
  <si>
    <t>DRL18</t>
  </si>
  <si>
    <t>DRL19</t>
  </si>
  <si>
    <t>DRL20</t>
  </si>
  <si>
    <t>DRL21</t>
  </si>
  <si>
    <t>DRL22</t>
  </si>
  <si>
    <t>DRL23</t>
  </si>
  <si>
    <t>DRL24</t>
  </si>
  <si>
    <t>DRL25</t>
  </si>
  <si>
    <t>DRL26</t>
  </si>
  <si>
    <t>DRL27</t>
  </si>
  <si>
    <t>DRL28</t>
  </si>
  <si>
    <t>DRL29</t>
  </si>
  <si>
    <t>DRL30</t>
  </si>
  <si>
    <t>DRL31</t>
  </si>
  <si>
    <t>DRL32</t>
  </si>
  <si>
    <t>DRL33</t>
  </si>
  <si>
    <t>DRL34</t>
  </si>
  <si>
    <t>DRL35</t>
  </si>
  <si>
    <t>DRL36</t>
  </si>
  <si>
    <t>DRL37</t>
  </si>
  <si>
    <t>DRL38</t>
  </si>
  <si>
    <t>DRL39</t>
  </si>
  <si>
    <t>DRL40</t>
  </si>
  <si>
    <t>DRL41</t>
  </si>
  <si>
    <t>DRL42</t>
  </si>
  <si>
    <t>DRL43</t>
  </si>
  <si>
    <t>DRL44</t>
  </si>
  <si>
    <t>DRL45</t>
  </si>
  <si>
    <t>DRL46</t>
  </si>
  <si>
    <t>DTS2</t>
  </si>
  <si>
    <t>DTS3</t>
  </si>
  <si>
    <t>DTS4</t>
  </si>
  <si>
    <t>DTS5</t>
  </si>
  <si>
    <t>DTS6</t>
  </si>
  <si>
    <t>DTS7</t>
  </si>
  <si>
    <t>DTS8</t>
  </si>
  <si>
    <t>DTS9</t>
  </si>
  <si>
    <t>DTS10</t>
  </si>
  <si>
    <t>DTS11</t>
  </si>
  <si>
    <t>DTS12</t>
  </si>
  <si>
    <t>DTS13</t>
  </si>
  <si>
    <t>DTS14</t>
  </si>
  <si>
    <t>DTS15</t>
  </si>
  <si>
    <t>DGA2</t>
  </si>
  <si>
    <t>DGA4</t>
  </si>
  <si>
    <t>DGA5</t>
  </si>
  <si>
    <t>DGA7</t>
  </si>
  <si>
    <t>DGA8</t>
  </si>
  <si>
    <t>DGA9</t>
  </si>
  <si>
    <t>DGA10</t>
  </si>
  <si>
    <t>DGA12</t>
  </si>
  <si>
    <t>DGA13</t>
  </si>
  <si>
    <t>DGA14</t>
  </si>
  <si>
    <t>DGA16</t>
  </si>
  <si>
    <t>DGA17</t>
  </si>
  <si>
    <t>DGA20</t>
  </si>
  <si>
    <t>DGA22</t>
  </si>
  <si>
    <t>DGA23</t>
  </si>
  <si>
    <t>DGA24</t>
  </si>
  <si>
    <t>DGA25</t>
  </si>
  <si>
    <t>DGA27</t>
  </si>
  <si>
    <t>DGA28</t>
  </si>
  <si>
    <t>DGA29</t>
  </si>
  <si>
    <t>DGA30</t>
  </si>
  <si>
    <t>DGA32</t>
  </si>
  <si>
    <t>DGA33</t>
  </si>
  <si>
    <t>DGA34</t>
  </si>
  <si>
    <t>DGA35</t>
  </si>
  <si>
    <t>DGA36</t>
  </si>
  <si>
    <t>DGA37</t>
  </si>
  <si>
    <t>DGA38</t>
  </si>
  <si>
    <t>DGA39</t>
  </si>
  <si>
    <t>DGA40</t>
  </si>
  <si>
    <t>DGA41</t>
  </si>
  <si>
    <t>DGA42</t>
  </si>
  <si>
    <t>DGA43</t>
  </si>
  <si>
    <t>DGA44</t>
  </si>
  <si>
    <t>DGA45</t>
  </si>
  <si>
    <t>DGA46</t>
  </si>
  <si>
    <t>DGA47</t>
  </si>
  <si>
    <t>DGA48</t>
  </si>
  <si>
    <t>DGA49</t>
  </si>
  <si>
    <t>DGA50</t>
  </si>
  <si>
    <t>DGA51</t>
  </si>
  <si>
    <t>DGA52</t>
  </si>
  <si>
    <t>DGA53</t>
  </si>
  <si>
    <t>DGA54</t>
  </si>
  <si>
    <t>DGA55</t>
  </si>
  <si>
    <t>DGA56</t>
  </si>
  <si>
    <t>DGA57</t>
  </si>
  <si>
    <t>DGA58</t>
  </si>
  <si>
    <t>DGA59</t>
  </si>
  <si>
    <t>DGA60</t>
  </si>
  <si>
    <t>DGA61</t>
  </si>
  <si>
    <t>TMAL14</t>
  </si>
  <si>
    <t>TMAL5</t>
  </si>
  <si>
    <t>TMAL8</t>
  </si>
  <si>
    <t>TMAL7</t>
  </si>
  <si>
    <t>TMAL3</t>
  </si>
  <si>
    <t>TMAL2</t>
  </si>
  <si>
    <t>TMAL9</t>
  </si>
  <si>
    <t>TMAL1</t>
  </si>
  <si>
    <t>TMAL4</t>
  </si>
  <si>
    <t>TMAL10</t>
  </si>
  <si>
    <t>TMAL11</t>
  </si>
  <si>
    <t>TMAL6</t>
  </si>
  <si>
    <t>TMAL12</t>
  </si>
  <si>
    <t>TMAL13</t>
  </si>
  <si>
    <t>TMAL15</t>
  </si>
  <si>
    <t>TMAL16</t>
  </si>
  <si>
    <t>TMQU5</t>
  </si>
  <si>
    <t>TMVM2</t>
  </si>
  <si>
    <t>TMVM3</t>
  </si>
  <si>
    <t>TMVM4</t>
  </si>
  <si>
    <t>TMVM5</t>
  </si>
  <si>
    <t>TMVM6</t>
  </si>
  <si>
    <t>TMVM7</t>
  </si>
  <si>
    <t>TMVM8</t>
  </si>
  <si>
    <t>TMGR2</t>
  </si>
  <si>
    <t>TMGR5</t>
  </si>
  <si>
    <t>TMGR7</t>
  </si>
  <si>
    <t>TMGR8</t>
  </si>
  <si>
    <t>TMGR17</t>
  </si>
  <si>
    <t>TMGR18</t>
  </si>
  <si>
    <t>TMGR10</t>
  </si>
  <si>
    <t>TMGR11</t>
  </si>
  <si>
    <t>TMGR12</t>
  </si>
  <si>
    <t>TMGR13</t>
  </si>
  <si>
    <t>TMGR14</t>
  </si>
  <si>
    <t>TMGR15</t>
  </si>
  <si>
    <t>TMMI2</t>
  </si>
  <si>
    <t>TMMI3</t>
  </si>
  <si>
    <t>SMUG2</t>
  </si>
  <si>
    <t>SMUG3</t>
  </si>
  <si>
    <t>SMUG4</t>
  </si>
  <si>
    <t>SMUG5</t>
  </si>
  <si>
    <t>SMUG6</t>
  </si>
  <si>
    <t>SMUG7</t>
  </si>
  <si>
    <t>SMUG8</t>
  </si>
  <si>
    <t>SMUG9</t>
  </si>
  <si>
    <t>MFP2</t>
  </si>
  <si>
    <t>MFP3</t>
  </si>
  <si>
    <t>MFP4</t>
  </si>
  <si>
    <t>MFP5</t>
  </si>
  <si>
    <t>MFP7</t>
  </si>
  <si>
    <t>MFP9</t>
  </si>
  <si>
    <t>MFP10</t>
  </si>
  <si>
    <t>MFP12</t>
  </si>
  <si>
    <t>MFP13</t>
  </si>
  <si>
    <t>MFP14</t>
  </si>
  <si>
    <t>MFP15</t>
  </si>
  <si>
    <t>MFP16</t>
  </si>
  <si>
    <t>MFP17</t>
  </si>
  <si>
    <t>MFP18</t>
  </si>
  <si>
    <t>MFP19</t>
  </si>
  <si>
    <t>MFP20</t>
  </si>
  <si>
    <t>MFP21</t>
  </si>
  <si>
    <t>MFP22</t>
  </si>
  <si>
    <t>MFP23</t>
  </si>
  <si>
    <t>MFP24</t>
  </si>
  <si>
    <t>MFP25</t>
  </si>
  <si>
    <t>MFP26</t>
  </si>
  <si>
    <t>MFP27</t>
  </si>
  <si>
    <t>MFP28</t>
  </si>
  <si>
    <t>MFP29</t>
  </si>
  <si>
    <t>MFP30</t>
  </si>
  <si>
    <t>MFP31</t>
  </si>
  <si>
    <t>MFP32</t>
  </si>
  <si>
    <t>MFP33</t>
  </si>
  <si>
    <t>MFP34</t>
  </si>
  <si>
    <t>MFP35</t>
  </si>
  <si>
    <t>MFP36</t>
  </si>
  <si>
    <t>MFP37</t>
  </si>
  <si>
    <t>MFP38</t>
  </si>
  <si>
    <t>MFP39</t>
  </si>
  <si>
    <t>MFP40</t>
  </si>
  <si>
    <t>MFP41</t>
  </si>
  <si>
    <t>MFP42</t>
  </si>
  <si>
    <t>MFP43</t>
  </si>
  <si>
    <t>MFP44</t>
  </si>
  <si>
    <t>MFP45</t>
  </si>
  <si>
    <t>MFP46</t>
  </si>
  <si>
    <t>MFP47</t>
  </si>
  <si>
    <t>MFP48</t>
  </si>
  <si>
    <t>MFP49</t>
  </si>
  <si>
    <t>MFP50</t>
  </si>
  <si>
    <t>MFP51</t>
  </si>
  <si>
    <t>MFP52</t>
  </si>
  <si>
    <t>MFP53</t>
  </si>
  <si>
    <t>MFP54</t>
  </si>
  <si>
    <t>MFP55</t>
  </si>
  <si>
    <t>MFP56</t>
  </si>
  <si>
    <t>MHG2</t>
  </si>
  <si>
    <t>MHG3</t>
  </si>
  <si>
    <t>MHG4</t>
  </si>
  <si>
    <t>MHG5</t>
  </si>
  <si>
    <t>MHG6</t>
  </si>
  <si>
    <t>MHG7</t>
  </si>
  <si>
    <t>MHG8</t>
  </si>
  <si>
    <t>MHG9</t>
  </si>
  <si>
    <t>MHG10</t>
  </si>
  <si>
    <t>MHG11</t>
  </si>
  <si>
    <t>MHG12</t>
  </si>
  <si>
    <t>MHG13</t>
  </si>
  <si>
    <t>MHG14</t>
  </si>
  <si>
    <t>MHG15</t>
  </si>
  <si>
    <t>MHG16</t>
  </si>
  <si>
    <t>MHG17</t>
  </si>
  <si>
    <t>MHG18</t>
  </si>
  <si>
    <t>MHG19</t>
  </si>
  <si>
    <t>MHG20</t>
  </si>
  <si>
    <t>MHG21</t>
  </si>
  <si>
    <t>MHG22</t>
  </si>
  <si>
    <t>MHG23</t>
  </si>
  <si>
    <t>MHG25</t>
  </si>
  <si>
    <t>MHG26</t>
  </si>
  <si>
    <t>MHG27</t>
  </si>
  <si>
    <t>MHG24</t>
  </si>
  <si>
    <t>MHG28</t>
  </si>
  <si>
    <t>MHG29</t>
  </si>
  <si>
    <t>MHG30</t>
  </si>
  <si>
    <t>MHG31</t>
  </si>
  <si>
    <t>MHG32</t>
  </si>
  <si>
    <t>MHG33</t>
  </si>
  <si>
    <t>MHG34</t>
  </si>
  <si>
    <t>MHG35</t>
  </si>
  <si>
    <t>MHG36</t>
  </si>
  <si>
    <t>MHG37</t>
  </si>
  <si>
    <t>MHG38</t>
  </si>
  <si>
    <t>MHG39</t>
  </si>
  <si>
    <t>MHG40</t>
  </si>
  <si>
    <t>MHG41</t>
  </si>
  <si>
    <t>MHG42</t>
  </si>
  <si>
    <t>MHG43</t>
  </si>
  <si>
    <t>MHG44</t>
  </si>
  <si>
    <t>MHG45</t>
  </si>
  <si>
    <t>MHG46</t>
  </si>
  <si>
    <t>MHG47</t>
  </si>
  <si>
    <t>MHG48</t>
  </si>
  <si>
    <t>MHG49</t>
  </si>
  <si>
    <t>MHG50</t>
  </si>
  <si>
    <t>MHG51</t>
  </si>
  <si>
    <t>MHG52</t>
  </si>
  <si>
    <t>MHG53</t>
  </si>
  <si>
    <t>MHG54</t>
  </si>
  <si>
    <t>MHG55</t>
  </si>
  <si>
    <t>MHG56</t>
  </si>
  <si>
    <t>MHG57</t>
  </si>
  <si>
    <t>MHG58</t>
  </si>
  <si>
    <t>MHG59</t>
  </si>
  <si>
    <t>MHG60</t>
  </si>
  <si>
    <t>MHG61</t>
  </si>
  <si>
    <t>MHG62</t>
  </si>
  <si>
    <t>MHG63</t>
  </si>
  <si>
    <t>MHG64</t>
  </si>
  <si>
    <t>MHG65</t>
  </si>
  <si>
    <t>MHG66</t>
  </si>
  <si>
    <t>MHG67</t>
  </si>
  <si>
    <t>MHG68</t>
  </si>
  <si>
    <t>MHG69</t>
  </si>
  <si>
    <t>MHG70</t>
  </si>
  <si>
    <t>MHG71</t>
  </si>
  <si>
    <t>MHG72</t>
  </si>
  <si>
    <t>MHG73</t>
  </si>
  <si>
    <t>MHG74</t>
  </si>
  <si>
    <t>MHG75</t>
  </si>
  <si>
    <t>MHG76</t>
  </si>
  <si>
    <t>MHG77</t>
  </si>
  <si>
    <t>MGS2</t>
  </si>
  <si>
    <t>MGS3</t>
  </si>
  <si>
    <t>MGS4</t>
  </si>
  <si>
    <t>MGS5</t>
  </si>
  <si>
    <t>MGS6</t>
  </si>
  <si>
    <t>MGS7</t>
  </si>
  <si>
    <t>MGS9</t>
  </si>
  <si>
    <t>MGS10</t>
  </si>
  <si>
    <t>MGS12</t>
  </si>
  <si>
    <t>MGS13</t>
  </si>
  <si>
    <t>MGS14</t>
  </si>
  <si>
    <t>MGS15</t>
  </si>
  <si>
    <t>MGS16</t>
  </si>
  <si>
    <t>MGS18</t>
  </si>
  <si>
    <t>MGS17</t>
  </si>
  <si>
    <t>MGS19</t>
  </si>
  <si>
    <t>MGS20</t>
  </si>
  <si>
    <t>MGS47</t>
  </si>
  <si>
    <t>MGS45</t>
  </si>
  <si>
    <t>MGS46</t>
  </si>
  <si>
    <t>MGS50</t>
  </si>
  <si>
    <t>MGS48</t>
  </si>
  <si>
    <t>MGS49</t>
  </si>
  <si>
    <t>MGS51</t>
  </si>
  <si>
    <t>MGS52</t>
  </si>
  <si>
    <t>MGS53</t>
  </si>
  <si>
    <t>MGS54</t>
  </si>
  <si>
    <t>MGS55</t>
  </si>
  <si>
    <t>MGS56</t>
  </si>
  <si>
    <t>MGS57</t>
  </si>
  <si>
    <t>MGS58</t>
  </si>
  <si>
    <t>MGS59</t>
  </si>
  <si>
    <t>MGS60</t>
  </si>
  <si>
    <t>MGS61</t>
  </si>
  <si>
    <t>MGS62</t>
  </si>
  <si>
    <t>MGS63</t>
  </si>
  <si>
    <t>MGS64</t>
  </si>
  <si>
    <t>MGS65</t>
  </si>
  <si>
    <t>MGS66</t>
  </si>
  <si>
    <t>MGS69</t>
  </si>
  <si>
    <t>MGS70</t>
  </si>
  <si>
    <t>MGS67</t>
  </si>
  <si>
    <t>MGS68</t>
  </si>
  <si>
    <t>MGS71</t>
  </si>
  <si>
    <t>MGS72</t>
  </si>
  <si>
    <t>MGS73</t>
  </si>
  <si>
    <t>MGS74</t>
  </si>
  <si>
    <t>MGS75</t>
  </si>
  <si>
    <t>MGS76</t>
  </si>
  <si>
    <t>MGS77</t>
  </si>
  <si>
    <t>MGS78</t>
  </si>
  <si>
    <t>MGS79</t>
  </si>
  <si>
    <t>MGS80</t>
  </si>
  <si>
    <t>MGS81</t>
  </si>
  <si>
    <t>MGS82</t>
  </si>
  <si>
    <t>MGS83</t>
  </si>
  <si>
    <t>MGS85</t>
  </si>
  <si>
    <t>MGS84</t>
  </si>
  <si>
    <t>MGS86</t>
  </si>
  <si>
    <t>MGS87</t>
  </si>
  <si>
    <t>MGS88</t>
  </si>
  <si>
    <t>MGS89</t>
  </si>
  <si>
    <t>MGS90</t>
  </si>
  <si>
    <t>MGS91</t>
  </si>
  <si>
    <t>MGS92</t>
  </si>
  <si>
    <t>MGS93</t>
  </si>
  <si>
    <t>MGS94</t>
  </si>
  <si>
    <t>MGS95</t>
  </si>
  <si>
    <t>MGS96</t>
  </si>
  <si>
    <t>MGS97</t>
  </si>
  <si>
    <t>MGS98</t>
  </si>
  <si>
    <t>MGS100</t>
  </si>
  <si>
    <t>MGS99</t>
  </si>
  <si>
    <t>MGS101</t>
  </si>
  <si>
    <t>MGS102</t>
  </si>
  <si>
    <t>MGS103</t>
  </si>
  <si>
    <t>MGS104</t>
  </si>
  <si>
    <t>MGS105</t>
  </si>
  <si>
    <t>MGS106</t>
  </si>
  <si>
    <t>MGS107</t>
  </si>
  <si>
    <t>MGS108</t>
  </si>
  <si>
    <t>MGS109</t>
  </si>
  <si>
    <t>MGS110</t>
  </si>
  <si>
    <t>MGS111</t>
  </si>
  <si>
    <t>MGS112</t>
  </si>
  <si>
    <t>MGS21</t>
  </si>
  <si>
    <t>MGS22</t>
  </si>
  <si>
    <t>MGS23</t>
  </si>
  <si>
    <t>MGS24</t>
  </si>
  <si>
    <t>MGS25</t>
  </si>
  <si>
    <t>MGS26</t>
  </si>
  <si>
    <t>MGS27</t>
  </si>
  <si>
    <t>MGS28</t>
  </si>
  <si>
    <t>MGS29</t>
  </si>
  <si>
    <t>MGS30</t>
  </si>
  <si>
    <t>MGS31</t>
  </si>
  <si>
    <t>MGS32</t>
  </si>
  <si>
    <t>MGS33</t>
  </si>
  <si>
    <t>MGS34</t>
  </si>
  <si>
    <t>MGS35</t>
  </si>
  <si>
    <t>MGS36</t>
  </si>
  <si>
    <t>MGS37</t>
  </si>
  <si>
    <t>MGS38</t>
  </si>
  <si>
    <t>MGS39</t>
  </si>
  <si>
    <t>MGS40</t>
  </si>
  <si>
    <t>MGS41</t>
  </si>
  <si>
    <t>MGS42</t>
  </si>
  <si>
    <t>MGS43</t>
  </si>
  <si>
    <t>MGS44</t>
  </si>
  <si>
    <t>MDG2</t>
  </si>
  <si>
    <t>MDG3</t>
  </si>
  <si>
    <t>MDG5</t>
  </si>
  <si>
    <t>MDG6</t>
  </si>
  <si>
    <t>MDG16</t>
  </si>
  <si>
    <t>MDG7</t>
  </si>
  <si>
    <t>MDG8</t>
  </si>
  <si>
    <t>MDG9</t>
  </si>
  <si>
    <t>MDG10</t>
  </si>
  <si>
    <t>MDG11</t>
  </si>
  <si>
    <t>MDG12</t>
  </si>
  <si>
    <t>MDG17</t>
  </si>
  <si>
    <t>MDG18</t>
  </si>
  <si>
    <t>MDG19</t>
  </si>
  <si>
    <t>MDG20</t>
  </si>
  <si>
    <t>MDG21</t>
  </si>
  <si>
    <t>MDG22</t>
  </si>
  <si>
    <t>MDG23</t>
  </si>
  <si>
    <t>MDG24</t>
  </si>
  <si>
    <t>MDG25</t>
  </si>
  <si>
    <t>MDG26</t>
  </si>
  <si>
    <t>MDG27</t>
  </si>
  <si>
    <t>MDG28</t>
  </si>
  <si>
    <t>MDG29</t>
  </si>
  <si>
    <t>MDG30</t>
  </si>
  <si>
    <t>MDG31</t>
  </si>
  <si>
    <t>MDG32</t>
  </si>
  <si>
    <t>MDG33</t>
  </si>
  <si>
    <t>MDG34</t>
  </si>
  <si>
    <t>MDG35</t>
  </si>
  <si>
    <t>MDG36</t>
  </si>
  <si>
    <t>MDB2</t>
  </si>
  <si>
    <t>MDB3</t>
  </si>
  <si>
    <t>MDB4</t>
  </si>
  <si>
    <t>MDB5</t>
  </si>
  <si>
    <t>MDB6</t>
  </si>
  <si>
    <t>MDB7</t>
  </si>
  <si>
    <t>MDB8</t>
  </si>
  <si>
    <t>MDB9</t>
  </si>
  <si>
    <t>MDB10</t>
  </si>
  <si>
    <t>MDB11</t>
  </si>
  <si>
    <t>MDB12</t>
  </si>
  <si>
    <t>MDB13</t>
  </si>
  <si>
    <t>MDB14</t>
  </si>
  <si>
    <t>MDB15</t>
  </si>
  <si>
    <t>MDB16</t>
  </si>
  <si>
    <t>MDB17</t>
  </si>
  <si>
    <t>MDB18</t>
  </si>
  <si>
    <t>MDB19</t>
  </si>
  <si>
    <t>MDB20</t>
  </si>
  <si>
    <t>MDB21</t>
  </si>
  <si>
    <t>MDB22</t>
  </si>
  <si>
    <t>MNK2</t>
  </si>
  <si>
    <t>MNK3</t>
  </si>
  <si>
    <t>MNK4</t>
  </si>
  <si>
    <t>MNK5</t>
  </si>
  <si>
    <t>MNK6</t>
  </si>
  <si>
    <t>MNK7</t>
  </si>
  <si>
    <t>MNK14</t>
  </si>
  <si>
    <t>MNK16</t>
  </si>
  <si>
    <t>MNK15</t>
  </si>
  <si>
    <t>MNK17</t>
  </si>
  <si>
    <t>MNK18</t>
  </si>
  <si>
    <t>MNK19</t>
  </si>
  <si>
    <t>MNK8</t>
  </si>
  <si>
    <t>MNK10</t>
  </si>
  <si>
    <t>MNK9</t>
  </si>
  <si>
    <t>MNK11</t>
  </si>
  <si>
    <t>MNK12</t>
  </si>
  <si>
    <t>MNK13</t>
  </si>
  <si>
    <t>MNK20</t>
  </si>
  <si>
    <t>MNK21</t>
  </si>
  <si>
    <t>MNK22</t>
  </si>
  <si>
    <t>MNK23</t>
  </si>
  <si>
    <t>MNK24</t>
  </si>
  <si>
    <t>MBB2</t>
  </si>
  <si>
    <t>MBB3</t>
  </si>
  <si>
    <t>MBB4</t>
  </si>
  <si>
    <t>MBB5</t>
  </si>
  <si>
    <t>MBB7</t>
  </si>
  <si>
    <t>MBB8</t>
  </si>
  <si>
    <t>MBB9</t>
  </si>
  <si>
    <t>MBB10</t>
  </si>
  <si>
    <t>MBB11</t>
  </si>
  <si>
    <t>MBB12</t>
  </si>
  <si>
    <t>MBB13</t>
  </si>
  <si>
    <t>MBB14</t>
  </si>
  <si>
    <t>MBB15</t>
  </si>
  <si>
    <t>MBB16</t>
  </si>
  <si>
    <t>MBB17</t>
  </si>
  <si>
    <t>MBB18</t>
  </si>
  <si>
    <t>MBB19</t>
  </si>
  <si>
    <t>MBB20</t>
  </si>
  <si>
    <t>MBB21</t>
  </si>
  <si>
    <t>MBB22</t>
  </si>
  <si>
    <t>MBB23</t>
  </si>
  <si>
    <t>MBB24</t>
  </si>
  <si>
    <t>MBB25</t>
  </si>
  <si>
    <t>MBB26</t>
  </si>
  <si>
    <t>MBB27</t>
  </si>
  <si>
    <t>MBB28</t>
  </si>
  <si>
    <t>MBB29</t>
  </si>
  <si>
    <t>MBB30</t>
  </si>
  <si>
    <t>MBB31</t>
  </si>
  <si>
    <t>MBB38</t>
  </si>
  <si>
    <t>MBB40</t>
  </si>
  <si>
    <t>MBB32</t>
  </si>
  <si>
    <t>MBB33</t>
  </si>
  <si>
    <t>MBB34</t>
  </si>
  <si>
    <t>MBB35</t>
  </si>
  <si>
    <t>MBB36</t>
  </si>
  <si>
    <t>MBB43</t>
  </si>
  <si>
    <t>MBB44</t>
  </si>
  <si>
    <t>MBB42</t>
  </si>
  <si>
    <t>MBB41</t>
  </si>
  <si>
    <t>MBB45</t>
  </si>
  <si>
    <t>MBB46</t>
  </si>
  <si>
    <t>MBB48</t>
  </si>
  <si>
    <t>MBB47</t>
  </si>
  <si>
    <t>MBB49</t>
  </si>
  <si>
    <t>MBB50</t>
  </si>
  <si>
    <t>MBB51</t>
  </si>
  <si>
    <t>MBB52</t>
  </si>
  <si>
    <t>MBB53</t>
  </si>
  <si>
    <t>MBB54</t>
  </si>
  <si>
    <t>MBB55</t>
  </si>
  <si>
    <t>MBB56</t>
  </si>
  <si>
    <t>MBB57</t>
  </si>
  <si>
    <t>MBB58</t>
  </si>
  <si>
    <t>MBB59</t>
  </si>
  <si>
    <t>MBB60</t>
  </si>
  <si>
    <t>MBB61</t>
  </si>
  <si>
    <t>MBB62</t>
  </si>
  <si>
    <t>MBB63</t>
  </si>
  <si>
    <t>MBB64</t>
  </si>
  <si>
    <t>MBB65</t>
  </si>
  <si>
    <t>MBB66</t>
  </si>
  <si>
    <t>MBB67</t>
  </si>
  <si>
    <t>MBB68</t>
  </si>
  <si>
    <t>MBB69</t>
  </si>
  <si>
    <t>MEO2</t>
  </si>
  <si>
    <t>MEO3</t>
  </si>
  <si>
    <t>MEO4</t>
  </si>
  <si>
    <t>MEO5</t>
  </si>
  <si>
    <t>MEO7</t>
  </si>
  <si>
    <t>MEO8</t>
  </si>
  <si>
    <t>MEO9</t>
  </si>
  <si>
    <t>MEO10</t>
  </si>
  <si>
    <t>MEO11</t>
  </si>
  <si>
    <t>MEO12</t>
  </si>
  <si>
    <t>MEO13</t>
  </si>
  <si>
    <t>MEO14</t>
  </si>
  <si>
    <t>MEO15</t>
  </si>
  <si>
    <t>MEO16</t>
  </si>
  <si>
    <t>MEO17</t>
  </si>
  <si>
    <t>MEO18</t>
  </si>
  <si>
    <t>MEO19</t>
  </si>
  <si>
    <t>MEO20</t>
  </si>
  <si>
    <t>MEO21</t>
  </si>
  <si>
    <t>MEO22</t>
  </si>
  <si>
    <t>MEO23</t>
  </si>
  <si>
    <t>MEO24</t>
  </si>
  <si>
    <t>MEO25</t>
  </si>
  <si>
    <t>MEO26</t>
  </si>
  <si>
    <t>MEO27</t>
  </si>
  <si>
    <t>MEO28</t>
  </si>
  <si>
    <t>MEO29</t>
  </si>
  <si>
    <t>MEO30</t>
  </si>
  <si>
    <t>MEO31</t>
  </si>
  <si>
    <t>MEO32</t>
  </si>
  <si>
    <t>MEO33</t>
  </si>
  <si>
    <t>MEO34</t>
  </si>
  <si>
    <t>MEO35</t>
  </si>
  <si>
    <t>MEO36</t>
  </si>
  <si>
    <t>MEO37</t>
  </si>
  <si>
    <t>MEO38</t>
  </si>
  <si>
    <t>MEO39</t>
  </si>
  <si>
    <t>MEO40</t>
  </si>
  <si>
    <t>MEO41</t>
  </si>
  <si>
    <t>MEO42</t>
  </si>
  <si>
    <t>MEO43</t>
  </si>
  <si>
    <t>MEO44</t>
  </si>
  <si>
    <t>MEO45</t>
  </si>
  <si>
    <t>MEO46</t>
  </si>
  <si>
    <t>MEO47</t>
  </si>
  <si>
    <t>MEO54</t>
  </si>
  <si>
    <t>MEO56</t>
  </si>
  <si>
    <t>MEO58</t>
  </si>
  <si>
    <t>MEO62</t>
  </si>
  <si>
    <t>MEO60</t>
  </si>
  <si>
    <t>MEO48</t>
  </si>
  <si>
    <t>MEO49</t>
  </si>
  <si>
    <t>MEO50</t>
  </si>
  <si>
    <t>MEO51</t>
  </si>
  <si>
    <t>MEO52</t>
  </si>
  <si>
    <t>MEO64</t>
  </si>
  <si>
    <t>MEO63</t>
  </si>
  <si>
    <t>MEO65</t>
  </si>
  <si>
    <t>MEO66</t>
  </si>
  <si>
    <t>MEO67</t>
  </si>
  <si>
    <t>MEO69</t>
  </si>
  <si>
    <t>MEO68</t>
  </si>
  <si>
    <t>MEO70</t>
  </si>
  <si>
    <t>MEO71</t>
  </si>
  <si>
    <t>MEO72</t>
  </si>
  <si>
    <t>MEO73</t>
  </si>
  <si>
    <t>MEO74</t>
  </si>
  <si>
    <t>MEO75</t>
  </si>
  <si>
    <t>MEO76</t>
  </si>
  <si>
    <t>MEO77</t>
  </si>
  <si>
    <t>MEO78</t>
  </si>
  <si>
    <t>MEO79</t>
  </si>
  <si>
    <t>MEO80</t>
  </si>
  <si>
    <t>MEO81</t>
  </si>
  <si>
    <t>MEO82</t>
  </si>
  <si>
    <t>MEO83</t>
  </si>
  <si>
    <t>MEO84</t>
  </si>
  <si>
    <t>MEO85</t>
  </si>
  <si>
    <t>MEO86</t>
  </si>
  <si>
    <t>MRL2</t>
  </si>
  <si>
    <t>MRL3</t>
  </si>
  <si>
    <t>MRL4</t>
  </si>
  <si>
    <t>MRL5</t>
  </si>
  <si>
    <t>MRL6</t>
  </si>
  <si>
    <t>MRL8</t>
  </si>
  <si>
    <t>MRL9</t>
  </si>
  <si>
    <t>MRL16</t>
  </si>
  <si>
    <t>MRL17</t>
  </si>
  <si>
    <t>MRL19</t>
  </si>
  <si>
    <t>MRL21</t>
  </si>
  <si>
    <t>MRL22</t>
  </si>
  <si>
    <t>MRL10</t>
  </si>
  <si>
    <t>MRL11</t>
  </si>
  <si>
    <t>MRL12</t>
  </si>
  <si>
    <t>MRL13</t>
  </si>
  <si>
    <t>MRL14</t>
  </si>
  <si>
    <t>MRL25</t>
  </si>
  <si>
    <t>MRL23</t>
  </si>
  <si>
    <t>MRL24</t>
  </si>
  <si>
    <t>MRL27</t>
  </si>
  <si>
    <t>MRL28</t>
  </si>
  <si>
    <t>MRL29</t>
  </si>
  <si>
    <t>MRL26</t>
  </si>
  <si>
    <t>MRL30</t>
  </si>
  <si>
    <t>MRL31</t>
  </si>
  <si>
    <t>MRL32</t>
  </si>
  <si>
    <t>MRL33</t>
  </si>
  <si>
    <t>MRL34</t>
  </si>
  <si>
    <t>MRL40</t>
  </si>
  <si>
    <t>MRL38</t>
  </si>
  <si>
    <t>MRL35</t>
  </si>
  <si>
    <t>MRL37</t>
  </si>
  <si>
    <t>MRL36</t>
  </si>
  <si>
    <t>MRL39</t>
  </si>
  <si>
    <t>MRL41</t>
  </si>
  <si>
    <t>MRL42</t>
  </si>
  <si>
    <t>MRL43</t>
  </si>
  <si>
    <t>MRL44</t>
  </si>
  <si>
    <t>MRL45</t>
  </si>
  <si>
    <t>MRL46</t>
  </si>
  <si>
    <t>MRL47</t>
  </si>
  <si>
    <t>MRL48</t>
  </si>
  <si>
    <t>MRL49</t>
  </si>
  <si>
    <t>MRL50</t>
  </si>
  <si>
    <t>MRL51</t>
  </si>
  <si>
    <t>MRL52</t>
  </si>
  <si>
    <t>MRL53</t>
  </si>
  <si>
    <t>MRL54</t>
  </si>
  <si>
    <t>MRL55</t>
  </si>
  <si>
    <t>MRL56</t>
  </si>
  <si>
    <t>MTS2</t>
  </si>
  <si>
    <t>MTS3</t>
  </si>
  <si>
    <t>MTS4</t>
  </si>
  <si>
    <t>MTS5</t>
  </si>
  <si>
    <t>MTS6</t>
  </si>
  <si>
    <t>MTS7</t>
  </si>
  <si>
    <t>MTS8</t>
  </si>
  <si>
    <t>MTS9</t>
  </si>
  <si>
    <t>MTS10</t>
  </si>
  <si>
    <t>MTS11</t>
  </si>
  <si>
    <t>MTS12</t>
  </si>
  <si>
    <t>MTS13</t>
  </si>
  <si>
    <t>MGA2</t>
  </si>
  <si>
    <t>MGA3</t>
  </si>
  <si>
    <t>MGA5</t>
  </si>
  <si>
    <t>MGA6</t>
  </si>
  <si>
    <t>MGA7</t>
  </si>
  <si>
    <t>MGA42</t>
  </si>
  <si>
    <t>MGA37</t>
  </si>
  <si>
    <t>MGA38</t>
  </si>
  <si>
    <t>MGA39</t>
  </si>
  <si>
    <t>MGA40</t>
  </si>
  <si>
    <t>MGA14</t>
  </si>
  <si>
    <t>MGA15</t>
  </si>
  <si>
    <t>MGA16</t>
  </si>
  <si>
    <t>MGA17</t>
  </si>
  <si>
    <t>MGA20</t>
  </si>
  <si>
    <t>MGA8</t>
  </si>
  <si>
    <t>MGA9</t>
  </si>
  <si>
    <t>MGA10</t>
  </si>
  <si>
    <t>MGA11</t>
  </si>
  <si>
    <t>MGA12</t>
  </si>
  <si>
    <t>MGA21</t>
  </si>
  <si>
    <t>MGA29</t>
  </si>
  <si>
    <t>MGA26</t>
  </si>
  <si>
    <t>MGA27</t>
  </si>
  <si>
    <t>MGA31</t>
  </si>
  <si>
    <t>MGA30</t>
  </si>
  <si>
    <t>MGA23</t>
  </si>
  <si>
    <t>MGA25</t>
  </si>
  <si>
    <t>MGA22</t>
  </si>
  <si>
    <t>MGA24</t>
  </si>
  <si>
    <t>MGA28</t>
  </si>
  <si>
    <t>MGA32</t>
  </si>
  <si>
    <t>MGA33</t>
  </si>
  <si>
    <t>MGA34</t>
  </si>
  <si>
    <t>MGA35</t>
  </si>
  <si>
    <t>MGA49</t>
  </si>
  <si>
    <t>MGA53</t>
  </si>
  <si>
    <t>MGA54</t>
  </si>
  <si>
    <t>MGA43</t>
  </si>
  <si>
    <t>MGA50</t>
  </si>
  <si>
    <t>MGA47</t>
  </si>
  <si>
    <t>MGA48</t>
  </si>
  <si>
    <t>MGA46</t>
  </si>
  <si>
    <t>MGA44</t>
  </si>
  <si>
    <t>MGA45</t>
  </si>
  <si>
    <t>MGA51</t>
  </si>
  <si>
    <t>MGA52</t>
  </si>
  <si>
    <t>MGA55</t>
  </si>
  <si>
    <t>MGA56</t>
  </si>
  <si>
    <t>MGA57</t>
  </si>
  <si>
    <t>MGA58</t>
  </si>
  <si>
    <t>MGA59</t>
  </si>
  <si>
    <t>MGA60</t>
  </si>
  <si>
    <t>Veränderungen</t>
  </si>
  <si>
    <t>Filter:
@PH1@==#real
Constraint:
INTERLIS.areAreas(@PH2@)</t>
  </si>
  <si>
    <t>01.06.2024
01.02.2025
01.02.2026</t>
  </si>
  <si>
    <t>Erklärung Constraint</t>
  </si>
  <si>
    <t>MFPL</t>
  </si>
  <si>
    <t>MAOV</t>
  </si>
  <si>
    <t>OfficialIndexOfLocalities_DE_V1_0.ili</t>
  </si>
  <si>
    <t>AmtlichesOrtschaftenverzeichnis_V1_0</t>
  </si>
  <si>
    <t>Text_V2</t>
  </si>
  <si>
    <t>AmtlichesOrtschaftenverzeichnis</t>
  </si>
  <si>
    <t>OrtschaftsID</t>
  </si>
  <si>
    <t>Ortschaftsname</t>
  </si>
  <si>
    <t>OrtschaftsnameKurz</t>
  </si>
  <si>
    <t>OrtschaftsnameIndex</t>
  </si>
  <si>
    <t>LetzteAenderung</t>
  </si>
  <si>
    <t>PLZ_ID</t>
  </si>
  <si>
    <t>@PH1@(@PH2@)</t>
  </si>
  <si>
    <t>@PH1@: Text_V2.matches_x000D_
@PH2@: Zusatzziffer, "[0-9]{2}"</t>
  </si>
  <si>
    <t>neu</t>
  </si>
  <si>
    <t>gelöscht</t>
  </si>
  <si>
    <t>(de, fr, it, rm, mehrsprachig)</t>
  </si>
  <si>
    <t>(projektiert, real, vergangen)</t>
  </si>
  <si>
    <t>FixpunkteLV_FR_V1_0.ili</t>
  </si>
  <si>
    <t>PointsFixesMN_V1_0</t>
  </si>
  <si>
    <t>PointsFixesMN</t>
  </si>
  <si>
    <t>Accessible</t>
  </si>
  <si>
    <t>NomPoint</t>
  </si>
  <si>
    <t>Acces</t>
  </si>
  <si>
    <t>Responsable_point_principal</t>
  </si>
  <si>
    <t>Responsable</t>
  </si>
  <si>
    <t>HoheitsgrenzenLV_FR_V1_0.ili</t>
  </si>
  <si>
    <t>LimitesTerritorialesMN_V1_0</t>
  </si>
  <si>
    <t>LimitesTerritorialesMN</t>
  </si>
  <si>
    <t>FrontiereNationale</t>
  </si>
  <si>
    <t>OfficialIndexOfLocalities_FR_V1_0.ili</t>
  </si>
  <si>
    <t>RepertoireOfficielDesLocalites_V1_0</t>
  </si>
  <si>
    <t>RepertoireOfficielDesLocalites</t>
  </si>
  <si>
    <t>LocaliteID</t>
  </si>
  <si>
    <t>NomLocalite</t>
  </si>
  <si>
    <t>NomLocaliteAbrege</t>
  </si>
  <si>
    <t>NomLocaliteIndex</t>
  </si>
  <si>
    <t>DerniereModification</t>
  </si>
  <si>
    <t>NPA_ID</t>
  </si>
  <si>
    <t>NPA4</t>
  </si>
  <si>
    <t>ChiffreSupplementaire</t>
  </si>
  <si>
    <t>@PH1@: Text_V2.matches_x000D_
@PH2@: ChiffreSupplementaire, "[0-9]{2}"</t>
  </si>
  <si>
    <t>LocaliteNPA</t>
  </si>
  <si>
    <t>FixpunkteLV_IT_V1_0.ili</t>
  </si>
  <si>
    <t>PuntiFissiMN_V1_0</t>
  </si>
  <si>
    <t>PuntiFissiMN</t>
  </si>
  <si>
    <t>Accessibile</t>
  </si>
  <si>
    <t>NomePunto</t>
  </si>
  <si>
    <t>Accesso</t>
  </si>
  <si>
    <t>Responsabile_punto_principale</t>
  </si>
  <si>
    <t>Responsabile</t>
  </si>
  <si>
    <t>HoheitsgrenzenLV_IT_V1_0.ili</t>
  </si>
  <si>
    <t>ConfiniGiurisdizionaliMN_V1_0</t>
  </si>
  <si>
    <t>ConfiniGiurisdizionaliMN</t>
  </si>
  <si>
    <t>ConfiniNazionali</t>
  </si>
  <si>
    <t>OfficialIndexOfLocalities_IT_V1_0.ili</t>
  </si>
  <si>
    <t>ElencoUfficialeDelleLocalita_V1_0</t>
  </si>
  <si>
    <t>ElencoUfficialeDelleLocalita</t>
  </si>
  <si>
    <t>LocalitaID</t>
  </si>
  <si>
    <t>NomeLocalitaAbbreviato</t>
  </si>
  <si>
    <t>NomeLocalitaIndicizzato</t>
  </si>
  <si>
    <t>UltimaModificazione</t>
  </si>
  <si>
    <t>CAP_ID</t>
  </si>
  <si>
    <t>CAP4</t>
  </si>
  <si>
    <t>CifraSupplementare</t>
  </si>
  <si>
    <t>@PH1@: Text_V2.matches_x000D_
@PH2@: CifraSupplementare, "[0-9]{2}"</t>
  </si>
  <si>
    <t>LocalitaCAP</t>
  </si>
  <si>
    <t>(actif, declasse, efface, remplace, detruit)</t>
  </si>
  <si>
    <t>(PFP1_Ordre_1, PFP1_Ordre_2, PFP1_Ordre_3, Point_principal_MN95, Point_de_densification_MN95)</t>
  </si>
  <si>
    <t>(PFA1)</t>
  </si>
  <si>
    <t>(Station_absolue, ordre_1, ordre_2, ordre_3, Reperage_excentrique_pour_station_absolue)</t>
  </si>
  <si>
    <t>(provisoire, litigieux, determinee, en_vigueur)</t>
  </si>
  <si>
    <t>(de, fr, it, rm, multilingues)</t>
  </si>
  <si>
    <t>(projete, reel, caduc)</t>
  </si>
  <si>
    <t>(in_progetto, reale, passato)</t>
  </si>
  <si>
    <t>(de, fr, it, rm, multilingue)</t>
  </si>
  <si>
    <t>(provvisorio, contestato, determinato, in_vigore)</t>
  </si>
  <si>
    <t>(Stazione_assoluta, ordine_1, ordine_2, ordine_3, Punto_di_misura_di_assicurazione_per_stazione_assoluta)</t>
  </si>
  <si>
    <t>(PFP1_Ordine_1, PFP1_Ordine_2, PFP1_Ordine_3, Punto_principale_MN95, Punto_densificazione_MN95)</t>
  </si>
  <si>
    <t>(attivo, declassato, cancellato, sostituito, distrutto)</t>
  </si>
  <si>
    <t>Fichier</t>
  </si>
  <si>
    <t>Modèle</t>
  </si>
  <si>
    <t>Valeurs</t>
  </si>
  <si>
    <t>Explications</t>
  </si>
  <si>
    <t>File</t>
  </si>
  <si>
    <t>Modello</t>
  </si>
  <si>
    <t>Valori</t>
  </si>
  <si>
    <t>Commentaire</t>
  </si>
  <si>
    <t>Dichiarazioni</t>
  </si>
  <si>
    <t>Wenn der LFP3 eine Funktion als Grenzpunkt oder Hoheitsgrenzpunkt hat, ist zu definieren, ob es sich um einen besonderen Hoheitsgrenzstein handelt.</t>
  </si>
  <si>
    <t>Es dürfen nicht mehrere LFP3 mit gleichen Koordinatenwerten existieren.</t>
  </si>
  <si>
    <t>Die Kombination NBIdent und Nummer muss für LFP3 eindeutig sein.</t>
  </si>
  <si>
    <t>Die Kombination NBIdent und Nummer muss für HFP3 eindeutig sein.</t>
  </si>
  <si>
    <t>Es dürfen nicht mehrere HFP3 mit gleichen Koordinatenwerten existieren.</t>
  </si>
  <si>
    <t>Für Objekte der "Bodenbedeckungsart" "Wasserbecken" und "stehendes_Gewaesser" ist zwingend eine Symbolposition zu erfassen. Für die übrigen Objekte kann eine Symbolposition erfasst werden.</t>
  </si>
  <si>
    <t>Alle Bodenbedeckungen herausfiltern die entstanden (real) sind.</t>
  </si>
  <si>
    <t>Wenn als Lokalisationsart benanntes Gebiet definiert ist, muss ein Element "BenanntesGebiet" erfasst werden.</t>
  </si>
  <si>
    <t>Wenn als Lokalisationsart Platz oder Strasse definiert ist, müssen Elemente "Strassenstueck" erfasst werden.</t>
  </si>
  <si>
    <t>Wenn als Nummerierungsprinzip "keineNummer" definiert ist, dürfen keine Hausnummern erfasst werden.</t>
  </si>
  <si>
    <t>MFPL1</t>
  </si>
  <si>
    <t>MFPL2</t>
  </si>
  <si>
    <t>MFPL3</t>
  </si>
  <si>
    <t>MFPL4</t>
  </si>
  <si>
    <t>MFPL5</t>
  </si>
  <si>
    <t>MFPL6</t>
  </si>
  <si>
    <t>MFPL7</t>
  </si>
  <si>
    <t>MFPL8</t>
  </si>
  <si>
    <t>MFPL9</t>
  </si>
  <si>
    <t>MFPL10</t>
  </si>
  <si>
    <t>MFPL11</t>
  </si>
  <si>
    <t>MFPL12</t>
  </si>
  <si>
    <t>MFPL13</t>
  </si>
  <si>
    <t>MFPL14</t>
  </si>
  <si>
    <t>MFPL15</t>
  </si>
  <si>
    <t>MFPL16</t>
  </si>
  <si>
    <t>MFPL17</t>
  </si>
  <si>
    <t>MFPL18</t>
  </si>
  <si>
    <t>MFPL19</t>
  </si>
  <si>
    <t>MFPL20</t>
  </si>
  <si>
    <t>MFPL21</t>
  </si>
  <si>
    <t>MFPL22</t>
  </si>
  <si>
    <t>MFPL23</t>
  </si>
  <si>
    <t>MFPL24</t>
  </si>
  <si>
    <t>MFPL25</t>
  </si>
  <si>
    <t>MFPL26</t>
  </si>
  <si>
    <t>MFPL27</t>
  </si>
  <si>
    <t>MFPL28</t>
  </si>
  <si>
    <t>MFPL29</t>
  </si>
  <si>
    <t>MFPL30</t>
  </si>
  <si>
    <t>MFPL31</t>
  </si>
  <si>
    <t>MFPL32</t>
  </si>
  <si>
    <t>MFPL33</t>
  </si>
  <si>
    <t>MFPL34</t>
  </si>
  <si>
    <t>MFPL35</t>
  </si>
  <si>
    <t>MFPL36</t>
  </si>
  <si>
    <t>MFPL37</t>
  </si>
  <si>
    <t>MFPL38</t>
  </si>
  <si>
    <t>MFPL39</t>
  </si>
  <si>
    <t>MFPL40</t>
  </si>
  <si>
    <t>MFPL41</t>
  </si>
  <si>
    <t>MFPL42</t>
  </si>
  <si>
    <t>MFPL43</t>
  </si>
  <si>
    <t>MFPL44</t>
  </si>
  <si>
    <t>MFPL45</t>
  </si>
  <si>
    <t>Substructure</t>
  </si>
  <si>
    <t>MHHL</t>
  </si>
  <si>
    <t>MHHL1</t>
  </si>
  <si>
    <t>MHHL2</t>
  </si>
  <si>
    <t>MHHL3</t>
  </si>
  <si>
    <t>MAOV1</t>
  </si>
  <si>
    <t>MAOV2</t>
  </si>
  <si>
    <t>MAOV3</t>
  </si>
  <si>
    <t>MAOV4</t>
  </si>
  <si>
    <t>MAOV5</t>
  </si>
  <si>
    <t>MAOV6</t>
  </si>
  <si>
    <t>MAOV7</t>
  </si>
  <si>
    <t>MAOV8</t>
  </si>
  <si>
    <t>MAOV9</t>
  </si>
  <si>
    <t>MAOV10</t>
  </si>
  <si>
    <t>MAOV11</t>
  </si>
  <si>
    <t>MAOV12</t>
  </si>
  <si>
    <t>MAOV13</t>
  </si>
  <si>
    <t>MAOV14</t>
  </si>
  <si>
    <t>MAOV15</t>
  </si>
  <si>
    <t>MAOV16</t>
  </si>
  <si>
    <t>MAOV17</t>
  </si>
  <si>
    <t>MAOV18</t>
  </si>
  <si>
    <t>MAOV19</t>
  </si>
  <si>
    <t>MAOV20</t>
  </si>
  <si>
    <t>MAOV21</t>
  </si>
  <si>
    <t>MAOV22</t>
  </si>
  <si>
    <t>Zur Darstellung der Symbole der Bodenbedeckungsarten:
- Wasserbecken sowie
- stehendes Gewässer.</t>
  </si>
  <si>
    <t>Stand: 01.02.2026</t>
  </si>
  <si>
    <t>PDMAVDom</t>
  </si>
  <si>
    <t>DR1</t>
  </si>
  <si>
    <t>DR2</t>
  </si>
  <si>
    <t>DR3</t>
  </si>
  <si>
    <t>GR1</t>
  </si>
  <si>
    <t>GR2</t>
  </si>
  <si>
    <t>GR3</t>
  </si>
  <si>
    <t>KGKCGC_FPDS2_V1_1.ili</t>
  </si>
  <si>
    <t>0.001 .. 7.000 [INTERLIS.M]</t>
  </si>
  <si>
    <t>FPDS2</t>
  </si>
  <si>
    <t>UebersichtGeodienst</t>
  </si>
  <si>
    <t>Bezeichnung</t>
  </si>
  <si>
    <t>URL</t>
  </si>
  <si>
    <t>INTERLIS.URI</t>
  </si>
  <si>
    <t>UebersichtMassstab</t>
  </si>
  <si>
    <t>0.0 .. 2500000.0</t>
  </si>
  <si>
    <t>Zustaendigkeit</t>
  </si>
  <si>
    <t>MTEXT*100</t>
  </si>
  <si>
    <t>Adresse</t>
  </si>
  <si>
    <t>MTEXT*50</t>
  </si>
  <si>
    <t>Fixpunkt</t>
  </si>
  <si>
    <t>MTEXT*400</t>
  </si>
  <si>
    <t>Bildquelle1</t>
  </si>
  <si>
    <t>Bildquelle2</t>
  </si>
  <si>
    <t>GNSSSichtbarkeit</t>
  </si>
  <si>
    <t>Inschrift</t>
  </si>
  <si>
    <t>TEXT*8</t>
  </si>
  <si>
    <t>KGKCGC_FPDS2_V1_1.NBIdent</t>
  </si>
  <si>
    <t>ProtokollSprache</t>
  </si>
  <si>
    <t>0.0 .. 399.9 CIRCULAR CLOCKWISE</t>
  </si>
  <si>
    <t>TSP</t>
  </si>
  <si>
    <t>Unterhaltsstrategie</t>
  </si>
  <si>
    <t>Art != LFP2 OR DEFINED(@PH1@)</t>
  </si>
  <si>
    <t>@PH1@: SymbolOri</t>
  </si>
  <si>
    <t>FixpunktVersion</t>
  </si>
  <si>
    <t>UntergegangenAm</t>
  </si>
  <si>
    <t>INTERLIS.XMLDate</t>
  </si>
  <si>
    <t>KGKCGC_FPDS2_V1_1.Genauigkeit</t>
  </si>
  <si>
    <t>-200.000 .. 5000.000 [INTERLIS.M]</t>
  </si>
  <si>
    <t>KGKCGC_FPDS2_V1_1.Zuverlaessigkeit</t>
  </si>
  <si>
    <t>Koordinatenbestimmung</t>
  </si>
  <si>
    <t>Punktzeichenbeschreibung</t>
  </si>
  <si>
    <t>MTEXT*250</t>
  </si>
  <si>
    <t>Steinsatz</t>
  </si>
  <si>
    <t>SekundaereVersicherung</t>
  </si>
  <si>
    <t>FixpunktAktion</t>
  </si>
  <si>
    <t>MTEXT*60</t>
  </si>
  <si>
    <t>Datum</t>
  </si>
  <si>
    <t>FixpunkteNachfuehrung</t>
  </si>
  <si>
    <t>MTEXT*300</t>
  </si>
  <si>
    <t>DatumEroeffnung</t>
  </si>
  <si>
    <t>FP_UebersichtGeodienst</t>
  </si>
  <si>
    <t>UG</t>
  </si>
  <si>
    <t>FP</t>
  </si>
  <si>
    <t>FP_UebersichtMassstab</t>
  </si>
  <si>
    <t>UM</t>
  </si>
  <si>
    <t>FP_Zustaendigkeit</t>
  </si>
  <si>
    <t>ZS</t>
  </si>
  <si>
    <t>FPVersion_FPNachfuehrung</t>
  </si>
  <si>
    <t>FPN</t>
  </si>
  <si>
    <t>FPV</t>
  </si>
  <si>
    <t>FP_FPAktion</t>
  </si>
  <si>
    <t>FPA</t>
  </si>
  <si>
    <t>FP_FPVersion</t>
  </si>
  <si>
    <t>@PH1@ != HFP2 OR DEFINED(@PH2@)</t>
  </si>
  <si>
    <t>@PH1@ != LFP2 OR (DEFINED(@PH2@) AND DEFINED(@PH3@)) OR (NOT(DEFINED(@PH2@)) AND NOT(DEFINED(@PH3@)))</t>
  </si>
  <si>
    <t>MFPK</t>
  </si>
  <si>
    <t>(gut, mittel, schlecht, keine_Angabe)</t>
  </si>
  <si>
    <t>(LFP2, HFP2)</t>
  </si>
  <si>
    <t>(deutsch, franzoesisch, italienisch)</t>
  </si>
  <si>
    <t>(aktiv, passiv)</t>
  </si>
  <si>
    <t>(transformiert, gemessen_LV95)</t>
  </si>
  <si>
    <t>(Bolzen_horizontal, Bolzen, Bolzen_mit_Stiftloch, Bronzeplatte, Kappenbolzen, Landesnivellement, Mast_Antenne, Niete, Nivellementsbolzen, Pyramide, Stein, Turm, unterirdische_Versicherung, weitere)</t>
  </si>
  <si>
    <t>(kein_Schutz, Schacht, ueberdeckt)</t>
  </si>
  <si>
    <t>(in_Bearbeitung, abgeschlossen)</t>
  </si>
  <si>
    <t>MFPK4</t>
  </si>
  <si>
    <t>MFPK3</t>
  </si>
  <si>
    <t>MFPK5</t>
  </si>
  <si>
    <t>MFPK6</t>
  </si>
  <si>
    <t>MFPK1</t>
  </si>
  <si>
    <t>MFPK2</t>
  </si>
  <si>
    <t>MFPK7</t>
  </si>
  <si>
    <t>MFPK8</t>
  </si>
  <si>
    <t>MFPK9</t>
  </si>
  <si>
    <t>MFPK10</t>
  </si>
  <si>
    <t>MFPK11</t>
  </si>
  <si>
    <t>MFPK12</t>
  </si>
  <si>
    <t>MFPK13</t>
  </si>
  <si>
    <t>MFPK14</t>
  </si>
  <si>
    <t>MFPK15</t>
  </si>
  <si>
    <t>MFPK16</t>
  </si>
  <si>
    <t>MFPK17</t>
  </si>
  <si>
    <t>MFPK18</t>
  </si>
  <si>
    <t>MFPK19</t>
  </si>
  <si>
    <t>MFPK20</t>
  </si>
  <si>
    <t>MFPK21</t>
  </si>
  <si>
    <t>MFPK22</t>
  </si>
  <si>
    <t>MFPK23</t>
  </si>
  <si>
    <t>MFPK24</t>
  </si>
  <si>
    <t>MFPK25</t>
  </si>
  <si>
    <t>MFPK26</t>
  </si>
  <si>
    <t>MFPK27</t>
  </si>
  <si>
    <t>MFPK28</t>
  </si>
  <si>
    <t>MFPK29</t>
  </si>
  <si>
    <t>MFPK30</t>
  </si>
  <si>
    <t>MFPK31</t>
  </si>
  <si>
    <t>MFPK32</t>
  </si>
  <si>
    <t>MFPK33</t>
  </si>
  <si>
    <t>MFPK34</t>
  </si>
  <si>
    <t>MFPK35</t>
  </si>
  <si>
    <t>MFPK36</t>
  </si>
  <si>
    <t>MFPK37</t>
  </si>
  <si>
    <t>MFPK38</t>
  </si>
  <si>
    <t>MFPK39</t>
  </si>
  <si>
    <t>MFPK40</t>
  </si>
  <si>
    <t>MFPK41</t>
  </si>
  <si>
    <t>MFPK42</t>
  </si>
  <si>
    <t>MFPK43</t>
  </si>
  <si>
    <t>MFPK44</t>
  </si>
  <si>
    <t>MFPK45</t>
  </si>
  <si>
    <t>MFPK46</t>
  </si>
  <si>
    <t>MFPK47</t>
  </si>
  <si>
    <t>MFPK48</t>
  </si>
  <si>
    <t>MFPK49</t>
  </si>
  <si>
    <t>MFPK50</t>
  </si>
  <si>
    <t>MFPK51</t>
  </si>
  <si>
    <t>MFPK52</t>
  </si>
  <si>
    <t>MFPK53</t>
  </si>
  <si>
    <t>MFPK54</t>
  </si>
  <si>
    <t>MFPK55</t>
  </si>
  <si>
    <t>MFPK56</t>
  </si>
  <si>
    <t>MFPK57</t>
  </si>
  <si>
    <t>MFPK58</t>
  </si>
  <si>
    <t>MFPK59</t>
  </si>
  <si>
    <t>MFPK60</t>
  </si>
  <si>
    <t>MFPK61</t>
  </si>
  <si>
    <t>MFPK62</t>
  </si>
  <si>
    <t>MFPK63</t>
  </si>
  <si>
    <t>MFPK64</t>
  </si>
  <si>
    <t>MFPK65</t>
  </si>
  <si>
    <t>Art == LFP2</t>
  </si>
  <si>
    <t>Art == LFP2
DEFINED(UntergegangenAm) == FALSE</t>
  </si>
  <si>
    <t>Art == HFP2</t>
  </si>
  <si>
    <t>Art == HFP2
DEFINED(UntergegangenAm) == FALSE</t>
  </si>
  <si>
    <t>NOT DEFINED(Grundstuecke.GSNachfuehrung.Grundbucheintrag) = projektiert,
DEFINED(Grundstuecke.GSNachfuehrung.Grundbucheintrag) = gueltig</t>
  </si>
  <si>
    <t>Liegenschaften.Grundstueck.Art{SelbstRecht.Baurecht} = TRUE,
NOT Liegenschaften.Grundstueck.Art{SelbstRecht.Baurecht} = FALSE</t>
  </si>
  <si>
    <t>KGKCGC_FPDS2_V1_1_FR.ili</t>
  </si>
  <si>
    <t>VueEnsembleGeoservice</t>
  </si>
  <si>
    <t>Designation</t>
  </si>
  <si>
    <t>VueEnsembleEchelle</t>
  </si>
  <si>
    <t>Echelle</t>
  </si>
  <si>
    <t>Responsabilite</t>
  </si>
  <si>
    <t>PointFixe</t>
  </si>
  <si>
    <t>( PFP2, PFA2 )</t>
  </si>
  <si>
    <t>( accessible, inaccessible )</t>
  </si>
  <si>
    <t>Remarque</t>
  </si>
  <si>
    <t>SourceImage1</t>
  </si>
  <si>
    <t>SourceImage2</t>
  </si>
  <si>
    <t>VisibiliteGNSS</t>
  </si>
  <si>
    <t>( bonne, moyenne, mauvaise, sans_indication )</t>
  </si>
  <si>
    <t>Inscription</t>
  </si>
  <si>
    <t>KGKCGC_FPDS2_V1_1_FR.IdentDN</t>
  </si>
  <si>
    <t>LangueFicheSignaletique</t>
  </si>
  <si>
    <t>( allemand, francais, italien )</t>
  </si>
  <si>
    <t>PAT</t>
  </si>
  <si>
    <t>StrategieEntretien</t>
  </si>
  <si>
    <t>( actif, passif )</t>
  </si>
  <si>
    <t>Genre != PFP2 OR DEFINED(@PH1@)</t>
  </si>
  <si>
    <t>PointFixe_Version</t>
  </si>
  <si>
    <t>ValableJusque</t>
  </si>
  <si>
    <t>KGKCGC_FPDS2_V1_1_FR.Precision</t>
  </si>
  <si>
    <t>KGKCGC_FPDS2_V1_1_FR.Fiabilite</t>
  </si>
  <si>
    <t>DeterminationCoordonnees</t>
  </si>
  <si>
    <t>( transforme, mesure_MN95 )</t>
  </si>
  <si>
    <t>( cheville_horizontale, cheville, cheville_a_fiche, plaque_en_bronze, cheville_a_calotte, nivellement_federal, mat_antenne, rivet, cheville_de_nivellement, pyramide, borne, tour, repere_souterrain, autre )</t>
  </si>
  <si>
    <t>SigneDescription</t>
  </si>
  <si>
    <t>TypeProtection</t>
  </si>
  <si>
    <t>( sans_protection, regard, recouvert )</t>
  </si>
  <si>
    <t>PoseBorne</t>
  </si>
  <si>
    <t>MaterialisationSecondaire</t>
  </si>
  <si>
    <t>PointFixe_Action</t>
  </si>
  <si>
    <t>Date</t>
  </si>
  <si>
    <t>PointsFixes_MiseAJour</t>
  </si>
  <si>
    <t>DateCloture</t>
  </si>
  <si>
    <t>DateOuverture</t>
  </si>
  <si>
    <t>( en_travail, terminee )</t>
  </si>
  <si>
    <t>PF_VueEnsembleGeoservice</t>
  </si>
  <si>
    <t>VG</t>
  </si>
  <si>
    <t>PF</t>
  </si>
  <si>
    <t>PF_VueEnsembleEchelle</t>
  </si>
  <si>
    <t>VE</t>
  </si>
  <si>
    <t>PF_Responsabilite</t>
  </si>
  <si>
    <t>RS</t>
  </si>
  <si>
    <t>PFVersion_PFMiseAJour</t>
  </si>
  <si>
    <t>PFM</t>
  </si>
  <si>
    <t>PFV</t>
  </si>
  <si>
    <t>PF_PFAction</t>
  </si>
  <si>
    <t>PFA</t>
  </si>
  <si>
    <t>PF_PFVersion</t>
  </si>
  <si>
    <t>@PH1@ != PFA2 OR DEFINED(@PH2@)</t>
  </si>
  <si>
    <t>@PH1@: PF-&gt;Genre_x000D_
@PH2@: GeomAlt</t>
  </si>
  <si>
    <t>@PH1@: PF-&gt;Genre_x000D_
@PH2@: PrecAlt</t>
  </si>
  <si>
    <t>@PH1@: PF-&gt;Genre_x000D_
@PH2@: FiabAlt</t>
  </si>
  <si>
    <t>@PH1@ != PFP2 OR (DEFINED(@PH2@) AND DEFINED(@PH3@)) OR (NOT(DEFINED(@PH2@)) AND NOT(DEFINED(@PH3@)))</t>
  </si>
  <si>
    <t>@PH1@: PF-&gt;Genre_x000D_
@PH2@: GeomAlt_x000D_
@PH3@: PrecAlt</t>
  </si>
  <si>
    <t>@PH1@: PF-&gt;Genre_x000D_
@PH2@: GeomAlt_x000D_
@PH3@: FiabAlt</t>
  </si>
  <si>
    <t>@PH1@: FP-&gt;Art
@PH2@: HoeheGeom</t>
  </si>
  <si>
    <t>@PH1@: FP-&gt;Art
@PH2@: HoeheGen</t>
  </si>
  <si>
    <t>@PH1@: FP-&gt;Art
@PH2@: HoeheZuv</t>
  </si>
  <si>
    <t>@PH1@: FP-&gt;Art
@PH2@: HoeheGeom
@PH3@: HoeheGen</t>
  </si>
  <si>
    <t>@PH1@: FP-&gt;Art
@PH2@: HoeheGeom
@PH3@: HoeheZuv</t>
  </si>
  <si>
    <t>Attributname / Attributsbezeichnung</t>
  </si>
  <si>
    <t>Bedingung im DM.01-AV-CH damit das Attribut / der Datensatz ins DMAV Version 1.0 übertragen wird</t>
  </si>
  <si>
    <t>Wie sind die als nicht OPTIONAL bezeichneten Attribute im DM.01-AV-CH zu ergänzen, sodass das Objekt konsistent im DM.01-AV-CH abgebildet wird</t>
  </si>
  <si>
    <t>Kürzel für das Geodatenmodell</t>
  </si>
  <si>
    <t>Nom de la classe (en français)</t>
  </si>
  <si>
    <t>Nom de l'attribut (en français)</t>
  </si>
  <si>
    <t>Description de l'attribut selon la documentation du modèle (en français)</t>
  </si>
  <si>
    <t>Commento all'attributo / requisiti per la modellazione dei dati secondo la documentazione del modello (in italiano)</t>
  </si>
  <si>
    <t>Nome della documentazione del modello italiano in cui sono descritti l'attributo e l'intervallo di valori</t>
  </si>
  <si>
    <t>Nome della classe (in italiano)</t>
  </si>
  <si>
    <t>Range di valori dell'attributo (in italiano)</t>
  </si>
  <si>
    <t>Nome dell'attributo (in italiano)</t>
  </si>
  <si>
    <t>Valore predefinito per l'attributo (in italiano)</t>
  </si>
  <si>
    <t>Descrizione dell'attributo secondo la documentazione del modello (in italiano)</t>
  </si>
  <si>
    <t>Datum der Einführung oder der Ergänzung des Elements</t>
  </si>
  <si>
    <t>Datum der Löschung des Elements</t>
  </si>
  <si>
    <t>Nome del file della descrizione del modello in INTERLIS 2.4 (in italiano)</t>
  </si>
  <si>
    <t>Nome del modello secondo la descrizione del modello in INTERLIS 2.4 (in italiano)</t>
  </si>
  <si>
    <t>Tema / Topic (in italiano)</t>
  </si>
  <si>
    <t>Tipo di elemento (dominio, classe, intervallo di valori ecc.)</t>
  </si>
  <si>
    <t>Nome dell'elemento (attributo, struttura)</t>
  </si>
  <si>
    <t>MANDATORY, i dati relativi a questo oggetto devono essere registrati:
Empty = facoltativo (non MANDATORY)
x = obbligatorio (MANDATORY)</t>
  </si>
  <si>
    <t>attributo è (parte dell') identificatore:
ID = l'attributo è identificatore
ID+ = l'attributo è identificatore in combinazione con altri attributi</t>
  </si>
  <si>
    <t>Elenco dei valori univoci degli attributi definiti in una struttura (in italiano)</t>
  </si>
  <si>
    <t>Commento nel modello INTERLIS (in italiano)</t>
  </si>
  <si>
    <t>Esplicazione della condizione (Constraint)</t>
  </si>
  <si>
    <t>Thème / Topic (en français)</t>
  </si>
  <si>
    <t>Nom de l'élément (attribut, structure)</t>
  </si>
  <si>
    <t>Commentaire dans le modèle INTERLIS (en français)</t>
  </si>
  <si>
    <t>Valeur par défaut (en français)</t>
  </si>
  <si>
    <t>Commentaire sur l'élément (en français)</t>
  </si>
  <si>
    <t>Kommentar zum Element (deutsch)</t>
  </si>
  <si>
    <t>Nome della tabella (in italiano)</t>
  </si>
  <si>
    <t>Nome attributo (in italiano)</t>
  </si>
  <si>
    <t>Campo dei valori dell'attributo (in italiano)</t>
  </si>
  <si>
    <t>Campo dei valori (in italiano)</t>
  </si>
  <si>
    <t>Valore predefinito (in italiano)</t>
  </si>
  <si>
    <t>Commento alla registrazione (in italiano)</t>
  </si>
  <si>
    <t>Filtrare tutti i tratti di confine comunale progettati che sono stati realizzati ma non approvati (progettati).</t>
  </si>
  <si>
    <t>Filtrare tutti i confini comunali che sono stati creati legalmente (reale) ma non sono stati aboliti legalmente (passato).</t>
  </si>
  <si>
    <t>Filtrare tutti i tratti di confine distrettuali che sono stati creati in modo legalmente valido (reale) ma che non sono stati aboliti in modo legalmente valido (passato).</t>
  </si>
  <si>
    <t>Filtrare tutti i tratti di confine cantonale che sono stati creati in modo legalmente valido (reale) ma non sono stati eliminati in modo legalmente valido (passato).</t>
  </si>
  <si>
    <t>L'oggetto «fondo» deve essere attribuito come «diritto_per_se_stante_e_permanente» per poter essere correlato a un oggetto «DirittoPerSeStanteEPermanente».</t>
  </si>
  <si>
    <t>Filtrare tutti i diritti per se stante e permanenti che sono sorti in modo giuridicamente valido (reale) ma che non sono decaduti in modo giuridicamente valido (passato).</t>
  </si>
  <si>
    <t>L'oggetto «fondo» deve essere attribuito come «miniera» per essere correlato a un oggetto «miniera».</t>
  </si>
  <si>
    <t>Filtrare tutti i confini di servitù che sono stati creati (reale) ma non sono scomparsi (passato).</t>
  </si>
  <si>
    <t>Filtrare tutti gli spostamenti di terreno permanenti che sono stati creati legalmente (reale) ma non sono stati legalmente eliminati (passato).</t>
  </si>
  <si>
    <t>La combinazione IdentAN e numero deve essere univoca per PFP3.</t>
  </si>
  <si>
    <t>La combinazione IdentAN e numero deve essere univoca per PFA3.</t>
  </si>
  <si>
    <t>Il numero UST deve essere univoco.</t>
  </si>
  <si>
    <t>Le numéro OFS doit être unique.</t>
  </si>
  <si>
    <t>La combinazione IdentAN, sottounità del registro fondiario e numero deve essere univoca per i fondi reali.</t>
  </si>
  <si>
    <t>La combinazione IdentAN e numero deve essere univoca per il spostamenti di terreno permanente.</t>
  </si>
  <si>
    <t>Il ne peut pas y avoir plusieurs PFP3 avec les mêmes coordonnées.</t>
  </si>
  <si>
    <t>Il ne peut pas y avoir plusieurs PFA3 avec les mêmes coordonnées.</t>
  </si>
  <si>
    <t>Non possono esistere più PFP3 con gli stessi valori di coordinate.</t>
  </si>
  <si>
    <t>Non possono esistere più PFA3 con gli stessi valori di coordinate.</t>
  </si>
  <si>
    <t>Non possono esistere più punti di confine reali con gli stessi valori di coordinate.</t>
  </si>
  <si>
    <t>Un oggetto «ConfineDellaServitu» deve contenere almeno una geometria della struttura «ElementoConSuperficie», «ElementoLineare» o «ElementoPuntiforme».</t>
  </si>
  <si>
    <t>Univocità Identificatore oggetto.</t>
  </si>
  <si>
    <t>Eindeutigkeit Objektidentifikator.</t>
  </si>
  <si>
    <t>Un oggetto «OggettoSingolo» deve contenere almeno una geometria della struttura «ElementoConSuperficie», «ElementoLineare» o «ElementoPuntiforme».</t>
  </si>
  <si>
    <t>Un oggetto «Condotte» deve contenere almeno una geometria della struttura «ElementoConSuperficie», «ElementoLineare» o «ElementoPuntiforme».</t>
  </si>
  <si>
    <t>Eindeutigkeit Benutzerschlüssel.</t>
  </si>
  <si>
    <t>Unique.</t>
  </si>
  <si>
    <t>Clé utilisateur unique.</t>
  </si>
  <si>
    <t>Univocità chiave utente.</t>
  </si>
  <si>
    <t>Non possono esistere più fondi reali con lo stesso EGRID.</t>
  </si>
  <si>
    <t>I punti limite con quota devono contenere informazioni sulla precisione della quota.
I punti limite senza quota non devono contenere informazioni sulla precisione della quota.</t>
  </si>
  <si>
    <t>I punti limite con quota devono contenere informazioni sull'affidabilità della quota.
I punti limite senza quota non devono contenere informazioni sull'affidabilità della quota.</t>
  </si>
  <si>
    <t>I fondi di tipo «miniera» non possono essere attribuiti come «fittizio».</t>
  </si>
  <si>
    <t>I fondi del tipo «DirittoPerSeStandteEPermanente» non possono essere attribuiti come «fittizio».</t>
  </si>
  <si>
    <t>Per gli oggetti del «GenereCoperturaSuolo» «bacino_idrico» e «specchio_acqua» è obbligatorio registrare una posizione simbolica. Per gli altri oggetti è possibile registrare una posizione simbolica.</t>
  </si>
  <si>
    <t>Unico.</t>
  </si>
  <si>
    <t>PFP3 con quota deve contenere informazioni sulla precisione quota.
PFP3 senza quota non deve contenere informazioni sulla precisione quota.</t>
  </si>
  <si>
    <t>Se il fondo è completamente disponibile, non è necessario registrare la superficie totale.
Se il fondo è disponibile solo in parte, è necessario registrare la superficie totale.</t>
  </si>
  <si>
    <t>Se l'oggetto «CoperturaSuolo» è «fittizio», il tipo di copertura del suolo non deve essere definito.
Se l'oggetto «CoperturaSuolo» non è «fittizio», occorre definire un tipo di copertura del suolo.</t>
  </si>
  <si>
    <t>Il punto di misurazione con quota deve contenere informazioni sulla precisione della quota.
Il punto di misurazione senza quota non deve contenere informazioni sulla precisione della quota.</t>
  </si>
  <si>
    <t>Il punto di misurazione con quota deve contenere informazioni sull'affidabilità della quota.
Il punto di misurazione senza quota non deve contenere informazioni sull'affidabilità della quota.</t>
  </si>
  <si>
    <t>Il tipo di demarcazione «NonMaterializzato» non è consentito per PFP3.</t>
  </si>
  <si>
    <t>Se il PFP3 ha una funzione di punto limite o di punto di confine territoriale, occorre definire se si tratta di un cippo di confine speciale.</t>
  </si>
  <si>
    <t>Se una parte del confine comunale è contestata, la linea che segna il tratto contestato deve coincidere con la geometria dell'oggetto «ConfineComunale».</t>
  </si>
  <si>
    <t>Se una parte del confine comunale è stata definita in modo provvisorio, la linea che segna il tratto provvisorio deve coincidere con la geometria dell'oggetto «ConfineComunale».</t>
  </si>
  <si>
    <t>Se una parte del confine comunale è non precisato, la linea che segna la parte non precisato deve coincidere con la geometria dell'oggetto «ConfineComunale».</t>
  </si>
  <si>
    <t>Se l'oggetto «ConfineComunale» è attribuito come «fittizio», anche l'oggetto «Comune» deve essere attribuito come «fittizio».</t>
  </si>
  <si>
    <t>Se una parte dell'immobile è contestata, la linea che delimita la parte contestata deve coincidere con la geometria dell'oggetto «BeneImmobile».</t>
  </si>
  <si>
    <t>Se l'oggetto «BeneImmobile» è attribuito come «contestato», anche l'oggetto «Fondo» deve essere attribuito come «contestato».
Se l'oggetto «BeneImmobile» non è attribuito come «contestato», anche l'oggetto «Fondo» non deve essere attribuito come «contestato».</t>
  </si>
  <si>
    <t>Se l'oggetto «BeneImmobile» ha registrato un «NumeroParteFondo», anche l'oggetto «Fondo» deve essere attribuito come "ECompleto=FALSE".
Se l'oggetto «BeneImmobile» non ha registrato un «NumeroParteFondo», anche l'oggetto «Fondo» deve essere attribuito come "ECompleto=TRUE".</t>
  </si>
  <si>
    <t>Se una parte del diritto per se stante e permanente è contestata, la linea che segna la parte contestata deve coincidere con la geometria dell'oggetto «DirittoPerSeSTanteEPermanente».</t>
  </si>
  <si>
    <t>Se l'oggetto «DirittoPerSeStanteEPermanente» è attribuito come «contestato», anche l'oggetto «Fondo» deve essere attribuito come «contestato».
Se l'oggetto «DirittoPerSeStanteEPermanente» non è attribuito come «contestato», anche l'oggetto «Fondo» non deve essere attribuito come «contestato».</t>
  </si>
  <si>
    <t>Se l'oggetto «DirittoPerSeStanteEPermanente» ha registrato un «NumeroParteFondo», anche l'oggetto «Fondo» deve essere attribuito come "ECompleto=FALSE".
Se l'oggetto «DirittoPerSeStanteEPermanente» non ha registrato alcun «NumeroParteFondo», anche l'oggetto «Fondo» deve essere attribuito come "ECompleto=TRUE".</t>
  </si>
  <si>
    <t>Se una parte della miniera è contestata, la linea che segna la parte contestata deve coincidere con la geometria dell'oggetto «Miniera».</t>
  </si>
  <si>
    <t>Se l'oggetto «Miniera» è attribuito come «contestato», anche l'oggetto «Fondo» deve essere attribuito come «contestato».
Se l'oggetto «Miniera» non è attribuito come «contestato», anche l'oggetto «Fondo» non deve essere attribuito come «contestato».</t>
  </si>
  <si>
    <t>Se l'oggetto «Miniera» ha registrato un «NumeroParteFondo», anche l'oggetto «Fondo» deve essere attribuito come "ECompleto=FALSE".
Se l'oggetto «Miniera» non ha registrato alcun «NumeroParteFondo», anche l'oggetto «Fondo» deve essere attribuito come "ECompleto=FALSE".</t>
  </si>
  <si>
    <t>Se per un oggetto «Fondo» è stata registrata una «SuperficieTotale», devono essere assegnati al «Fondo» più oggetti «BeneImmobile», «DirittoPerSeStanteEPermanente» o «Miniera».
Se per un oggetto «Fondo» non è stata registrata alcuna «SuperficieTotale», al «Fondo» può essere assegnato solo un oggetto «BeneImmobile», «DirittoPerSeStanteEPermanente» o «Miniera».</t>
  </si>
  <si>
    <t>Se una parte della condotte è visibile, la linea che segna la parte visibile deve coincidere con la geometria della struttura «ElementoConSuperficie».</t>
  </si>
  <si>
    <t>Se come tipo di localizzazione è definito «Piazza» o «Via», è necessario registrare gli elementi «TroncoStrada».</t>
  </si>
  <si>
    <t>Se il tipo di localizzazione è definito come zona denominata, è necessario registrare un elemento «ZonaDenominata».</t>
  </si>
  <si>
    <t>Se come principio di numerazione è definito «nessuno», non è consentito registrare numeri civici.</t>
  </si>
  <si>
    <t>PFP3 con quota deve contenere informazioni sull'affidabilità della quota.
PFP3 senza quota non deve contenere informazioni sull'affidabilità della quota.</t>
  </si>
  <si>
    <t>Filtrare tutti i comuni che sono stati costituiti legalmente (reale) ma non sono stati aboliti legalmente (passato).</t>
  </si>
  <si>
    <t>Le geometrie di tutti i confini comunali definitivi formano superfici AREA e non possono sovrapporsi.</t>
  </si>
  <si>
    <t>Filtrare tutti i punti limite che sono stati creati legalmente (reale) ma non sono stati aboliti legalmente (passato).</t>
  </si>
  <si>
    <t>Filtrare tutti i fondi che sono stati creati legalmente (reale) ma non sono stati aboliti legalmente (passato).</t>
  </si>
  <si>
    <t>L'oggetto «fondo» deve essere attribuito come «bene_immobile» per poter essere correlato a un oggetto «bene_immobile».</t>
  </si>
  <si>
    <t>Se il bene_immobile è attribuito come «fittizio», anche il fondo deve essere attribuito come «fittizio».
Se il bene_immobile non è attribuito come «fittizio», anche il fondo non può essere attribuito come «fittizio».</t>
  </si>
  <si>
    <t>Filtrare tutti gli bene immobili che sono stati creati legalmente (reale) ma non sono stati abolit legalmente (passato).</t>
  </si>
  <si>
    <t>Filtrare tutte le miniere che sono state create legalmente (reale) ma che non sono state abolite legalmente (passato).</t>
  </si>
  <si>
    <t>All'oggetto «Fondo» possono essere assegnati solo oggetti «BeneImmobile», «DirittoPerSeStanteEPermanente» o «Miniera». Non è ammessa alcuna forma mista.</t>
  </si>
  <si>
    <t>Filtrare tutte le coperture del suolo che sono state effettivamente realizzate (reale).</t>
  </si>
  <si>
    <t>Le geometrie di tutti gli oggetti reali che ricoprono il suolo e a cui è stato attribuito lo stato «reale» formano superfici AREA e non possono sovrapporsi.</t>
  </si>
  <si>
    <t>PFP1 con quota deve contenere informazioni sulla precisione quota.
PFP1 senza quota non deve contenere informazioni sulla precisione quota.</t>
  </si>
  <si>
    <t>PFP1 con quota deve contenere informazioni sull'affidabilità della quota.
PFP1 senza quota non deve contenere informazioni sull'affidabilità della quota.</t>
  </si>
  <si>
    <t>KGKCGC_FPDS2_V1_1_IT.ili</t>
  </si>
  <si>
    <t xml:space="preserve">CHAdminCodes_V2 </t>
  </si>
  <si>
    <t xml:space="preserve">GeometryCHLV95_V2 </t>
  </si>
  <si>
    <t>VistaInsiemeGeoservizio</t>
  </si>
  <si>
    <t>Designazione</t>
  </si>
  <si>
    <t>VistaInsiemeScala</t>
  </si>
  <si>
    <t>Responsabilita</t>
  </si>
  <si>
    <t>Indirizzo</t>
  </si>
  <si>
    <t>PuntoFisso</t>
  </si>
  <si>
    <t>(PFP2, PFA2)</t>
  </si>
  <si>
    <t>Osservazione</t>
  </si>
  <si>
    <t>FonteImmagine1</t>
  </si>
  <si>
    <t>FonteImmagine2</t>
  </si>
  <si>
    <t>VisibilitaGNSS</t>
  </si>
  <si>
    <t>(buona, media, scarsa, senza_indicazione)</t>
  </si>
  <si>
    <t>Iscrizione</t>
  </si>
  <si>
    <t xml:space="preserve">KGKCGC_FPDS2_V1_1_IT.IdentAN </t>
  </si>
  <si>
    <t>LinguaProtocollo</t>
  </si>
  <si>
    <t>(tedesco, francese, italiano)</t>
  </si>
  <si>
    <t>StrategiaRevisione</t>
  </si>
  <si>
    <t>(attiva, passiva)</t>
  </si>
  <si>
    <t>Genere != PFP2 OR DEFINED(@PH1@)</t>
  </si>
  <si>
    <t>PuntoFisso_Versione</t>
  </si>
  <si>
    <t xml:space="preserve">GeometryCHLV95_V2.Coord2 </t>
  </si>
  <si>
    <t>ValevoleFino</t>
  </si>
  <si>
    <t xml:space="preserve">INTERLIS.XMLDate </t>
  </si>
  <si>
    <t xml:space="preserve">KGKCGC_FPDS2_V1_1_IT.Precisione </t>
  </si>
  <si>
    <t xml:space="preserve">KGKCGC_FPDS2_V1_1_IT.Attendibilita </t>
  </si>
  <si>
    <t>DeterminazioneCoordinate</t>
  </si>
  <si>
    <t>(trasformate, misurate_MN95)</t>
  </si>
  <si>
    <t>(bullone_orizzontale, bullone, bullone_con_foro, piastra_in_bronzo, bullone_con_calotta, livellazione_federale, palo_antenna, chiodo, bullone_di_livellazione, piramide, termine, torre, materializzazione_sotterranea, altro)</t>
  </si>
  <si>
    <t>SegnoDescrizione</t>
  </si>
  <si>
    <t>(senza_protezione, chiusino, coperto)</t>
  </si>
  <si>
    <t>PosaTermine</t>
  </si>
  <si>
    <t>MaterializzazioneSecondaria</t>
  </si>
  <si>
    <t>PuntoFisso_Azione</t>
  </si>
  <si>
    <t>Data</t>
  </si>
  <si>
    <t>PuntiFissi_Tenuta_a_giorno</t>
  </si>
  <si>
    <t>DataChiusura</t>
  </si>
  <si>
    <t>DataApertura</t>
  </si>
  <si>
    <t>(in_elaborazione, definitivo)</t>
  </si>
  <si>
    <t xml:space="preserve">PF_VistaInsiemeGeoservizio </t>
  </si>
  <si>
    <t xml:space="preserve">VistaInsiemeGeoservizio </t>
  </si>
  <si>
    <t xml:space="preserve">PuntoFisso </t>
  </si>
  <si>
    <t>PF_VistaInsiemeScala</t>
  </si>
  <si>
    <t xml:space="preserve">VistaInsiemeScala </t>
  </si>
  <si>
    <t>PF_Responsabilita</t>
  </si>
  <si>
    <t xml:space="preserve">Responsabilita </t>
  </si>
  <si>
    <t>PFVersione_PFTenuta_a_giorno</t>
  </si>
  <si>
    <t>PFT</t>
  </si>
  <si>
    <t xml:space="preserve">PuntiFissi_Tenuta_a_giorno </t>
  </si>
  <si>
    <t xml:space="preserve">PuntoFisso_Versione </t>
  </si>
  <si>
    <t>PF_PFAzione</t>
  </si>
  <si>
    <t xml:space="preserve">PuntoFisso_Azione </t>
  </si>
  <si>
    <t>PF_PFVersione</t>
  </si>
  <si>
    <t>@PH1@: PF-&gt;Genere
@PH2@: GeomAlt</t>
  </si>
  <si>
    <t>@PH1@: PF-&gt;Genere
@PH2@: PrecAlt</t>
  </si>
  <si>
    <t>@PH1@: PF-&gt;Genere
@PH2@: AttendAlt</t>
  </si>
  <si>
    <t>@PH1@: PF-&gt;Genere
@PH2@: GeomAlt
@PH3@: PrecAlt</t>
  </si>
  <si>
    <t>@PH1@: PF-&gt;Genere
@PH2@: GeomAlt
@PH3@: AttendAlt</t>
  </si>
  <si>
    <t>Attribut Zusatzziffer muss eine Zahl aus zwei Zahlenziffern sein</t>
  </si>
  <si>
    <t>L'attributo CifraSupplementare deve essere un numero composto da due cifre.</t>
  </si>
  <si>
    <t>Ist «TRUE», wenn in der Klasse «Gemeindegrenze» im Attribut «Fiktiv» ebenfalls «TRUE» erfasst ist.</t>
  </si>
  <si>
    <t>Principes de modélisation</t>
  </si>
  <si>
    <t xml:space="preserve">Points fixes de la mensuration officielle de catégorie 2 </t>
  </si>
  <si>
    <t>Intégrer comme service
KGKCGC_FPDS2</t>
  </si>
  <si>
    <t>Points fixes de la mensuration officielle de catégorie 3</t>
  </si>
  <si>
    <t>Limites territoriales de la mensuration officielle</t>
  </si>
  <si>
    <t>Assiettes de Servitudes</t>
  </si>
  <si>
    <t xml:space="preserve">Territoires en mouvement permanent </t>
  </si>
  <si>
    <t>TerritoiresEnMouvementPermanent</t>
  </si>
  <si>
    <t xml:space="preserve">Nomenclature de la mensuration officielle </t>
  </si>
  <si>
    <t>Couverture du sol</t>
  </si>
  <si>
    <t>CouvertureDuSol</t>
  </si>
  <si>
    <t>Objets divers</t>
  </si>
  <si>
    <t>Conduites de la mensuration officielle</t>
  </si>
  <si>
    <t>Niveaux de tolérance</t>
  </si>
  <si>
    <t>Adresses de bâtiments</t>
  </si>
  <si>
    <t>Mensuration officielle au standard MO93 selon l’OMO et l’OMO-DDPS</t>
  </si>
  <si>
    <t>Numérisation préalable, comme mesure particulière servant à la conservation de la mensuration parcellaire selon l’OMO-DDPS</t>
  </si>
  <si>
    <t xml:space="preserve">Borne en granit bétonnée ou conforme aux prescriptions </t>
  </si>
  <si>
    <t xml:space="preserve">Borne en matière plastique ou pourvue d’un ancrage </t>
  </si>
  <si>
    <t xml:space="preserve">Cheville métallique ou en laiton, conforme aux prescriptions </t>
  </si>
  <si>
    <t xml:space="preserve">Long tube en fer </t>
  </si>
  <si>
    <t xml:space="preserve">Long pieu en bois </t>
  </si>
  <si>
    <t xml:space="preserve">Croix gravée ou fixée dans la pierre </t>
  </si>
  <si>
    <t>NonMatérialisé</t>
  </si>
  <si>
    <t xml:space="preserve">Point non matéMise à jourrialisé </t>
  </si>
  <si>
    <t>Autre</t>
  </si>
  <si>
    <t>Point matérialisé par un genre d’abornement particulier</t>
  </si>
  <si>
    <t>Le langage de description de données INTERLIS 2.4 ne permet pas d’ajouter des attributs de lignes aux surfaces modélisées comme «AREA» ou «SURFACE» pour leur délimitation géométrique (par exemple pour la saisie des parties d’une limite de bien-fonds qui sont en vigueur ou qui sont contestées). Dans le modèle de géodonnées de la mensuration officielle, l’attribut de ligne est modélisé par la saisie d’une «MULTIPOLYLINE». La fonction «Covers» vérifie si la géométrie de la «MULTIPOLYLINE» coïncide avec celle de l’«AREA» ou de la «SURFACE» définie.</t>
  </si>
  <si>
    <t>La position du symbole ou du texte doit par exemple être utilisée pour la représentation sur un:
- plan du registre foncier,
- plan de situation ou 
- plan de mutation.</t>
  </si>
  <si>
    <t>La position du symbole ou du texte doit par exemple être utilisée pour la représentation sur un:
- plan de base ou 
- plan à plus grande échelle.</t>
  </si>
  <si>
    <t>Le texte doit être représenté avec une petite taille de caractères.</t>
  </si>
  <si>
    <t>Le texte doit être représenté avec une taille de caractères moyenne.</t>
  </si>
  <si>
    <t>Le texte doit être représenté avec une grande taille de caractères.</t>
  </si>
  <si>
    <t>Position du symbole.</t>
  </si>
  <si>
    <t>Orientation du symbole.</t>
  </si>
  <si>
    <t>DV ReprésentationSur</t>
  </si>
  <si>
    <t>La position du symbole s’applique à la représentation sur le produit dérivé correspondant de la mensuration officielle.</t>
  </si>
  <si>
    <t>Position du texte.</t>
  </si>
  <si>
    <t>Orientation du texte.</t>
  </si>
  <si>
    <t>DV représentation sur</t>
  </si>
  <si>
    <t>La position du texte s’applique à la représentation sur le produit dérivé correspondant de la mensuration officielle.</t>
  </si>
  <si>
    <t>DV taille de caractères</t>
  </si>
  <si>
    <t>Taille de caractères du texte.</t>
  </si>
  <si>
    <t>HAlignement</t>
  </si>
  <si>
    <t>Point de référence de la position du texte dans le sens horizontal.</t>
  </si>
  <si>
    <t>VAlignement</t>
  </si>
  <si>
    <t>Point de référence de la position du texte dans le sens vertical.</t>
  </si>
  <si>
    <t>Conformément au modèle «GeometryCHLV95_V2» du registre des modèles de données «CHBase_Part1_GEOMETRY_V2.ili».</t>
  </si>
  <si>
    <t>Arrondisement du Registre Foncier</t>
  </si>
  <si>
    <t>Conformément au modèle «CHAdminCodes_V2» du registre des modèles de données «CHBase_Part4_ADMINISTRATIVEUNITS_V2.ili».</t>
  </si>
  <si>
    <t>IdentDN (cf. § 4.5.4).</t>
  </si>
  <si>
    <t>Nom de la sous-unité du registre foncier.</t>
  </si>
  <si>
    <t>Numéro du sous-arrondissement au sein d’un service du registre foncier. La subdivision en sous-arrondissements est du ressort du service du registre foncier concerné ou du canton.</t>
  </si>
  <si>
    <t>Numéro du lot au sein d’un sous-arrondissement. La subdivision en lots est du ressort du service du registre foncier concerné ou du canton.</t>
  </si>
  <si>
    <t>Perimètre du domaine de validité du IdentDN</t>
  </si>
  <si>
    <t>MiseAJour</t>
  </si>
  <si>
    <t>Partie intégrante de la clé utilisateur.</t>
  </si>
  <si>
    <t>Identification de la mutation, ex.: numéro du dossier technique</t>
  </si>
  <si>
    <t>Brève description du mandat déclencheur</t>
  </si>
  <si>
    <t>Conformément au modèle «GeometryCHLV95_V2» du registre des modèles de données «CHBase_Part1_GEOMETRY_V2.ili».
Délimitation géographique approximative de la zone concernée par la et. Les points d’appui de la surface ne surviennent qu’une fois dans sa définition.</t>
  </si>
  <si>
    <t>Date et heure d’entrée en vigueur du dossier technique.</t>
  </si>
  <si>
    <t>Il s’agit d’une mutation ordinaire ou d’une mutation de bureau avec un abornement différé.</t>
  </si>
  <si>
    <t>La mutation se base sur un projet de nouvelles constructions. L’abornement est différé et ne sera entrepris qu’une fois les constructions achevées. En général, l’abornement est menacé par les travaux sur le chantier et des conditions géométriques à respecter peuvent faire évoluer le tracé de la limite (si elle doit suivre un mur, par exemple).</t>
  </si>
  <si>
    <t>Clôture d’une mutation de projet pouvant intervenir sans le concours d’acteurs extérieurs (comme une étude de notaires). Le tracé de la limite et l’abornement des points limites sont ralisés de manière définitive.</t>
  </si>
  <si>
    <t>Partie intégrante de la clé utilisateur</t>
  </si>
  <si>
    <t>DV GenreMutation</t>
  </si>
  <si>
    <t>Uniquement pour une mutation d‘immeuble.
Définition des principes selon lesquels la mutation d’immeuble est traitée.</t>
  </si>
  <si>
    <t>Conformément au modèle «GeometryCHLV95_V2» du registre des modèles de données «CHBase_Part1_GEOMETRY_V2.ili».
Délimitation géographique approximative de la zone concernée par la mise à jour. Les points d’appui de la surface ne surviennent qu’une fois dans sa définition.</t>
  </si>
  <si>
    <t>Date et heure d’entrée en vigueur du dossier technique. L’entrée doit se faire en heures, minutes, secondes pour garantir la chronologie de la mutation.</t>
  </si>
  <si>
    <t>InscriptionRegistreFoncier / ApprouveeLe</t>
  </si>
  <si>
    <t>Date de l’inscription de la mutation au registre foncier ou de l’approbation par les pouvoirs publics.</t>
  </si>
  <si>
    <t>Point fixe planimétrique de catégorie 3.</t>
  </si>
  <si>
    <t>Point fixe planimétrique auxiliaire.</t>
  </si>
  <si>
    <t>Le point fixe n’est pas protégé.</t>
  </si>
  <si>
    <t>Le point fixe est protégé par un regard.</t>
  </si>
  <si>
    <t>Le point fixe est couvert; il est situé sous la surface du terrain.</t>
  </si>
  <si>
    <t>Le point fixe n’endosse aucune fonction de point limite.</t>
  </si>
  <si>
    <t>Le point fixe endosse en plus la fonction de point limite.</t>
  </si>
  <si>
    <t>Le point fixe endosse en plus les fonctions de point limite et de point de limite territoriale.</t>
  </si>
  <si>
    <t>Numéro du point.</t>
  </si>
  <si>
    <t>DV GenrePFP</t>
  </si>
  <si>
    <t>Genre du point fixe.</t>
  </si>
  <si>
    <t>Coordonnées planimétriques du point fixe PFP3, resp. auxiliaire.</t>
  </si>
  <si>
    <t>Conformément au modèle «GeometryCHLV95_V2» du registre des modèles de données  «CHBase_Part1_GEOMETRY_V2.ili».</t>
  </si>
  <si>
    <t>Altitude du point fixe PFP3, resp. auxiliaire.</t>
  </si>
  <si>
    <t>Ne peut pas être égale à 0.000.
Si «GeometrieAltitude» existe, alors des valeurs doivent être saisies pour «PrecisionAltimetrie» et «EstFiableAltimetrie».</t>
  </si>
  <si>
    <t>Précision planimétrique du point fixe PFP3, resp. auxiliaire.</t>
  </si>
  <si>
    <t>La position du point fixe PFP3, resp. auxiliaire est fiable.</t>
  </si>
  <si>
    <t>«TRUE» signifie que le point fixe PFP3, resp. auxiliaire a été saisi de manière fiable en planimétrie.
«FALSE» signifie que le point fixe PFP3, resp. auxiliaire n’a pas été déterminé de façon fiable en planimétrie.</t>
  </si>
  <si>
    <t>Précision altimétrique du point fixe PFP3, resp. auxiliaire.</t>
  </si>
  <si>
    <t>Si une «GeometrieAltitude» a été saisie pour le point fixe PFP3, resp. auxiliaire, alors une «PrecisionAltimetrie» doit obligatoirement être saisie. Si aucune «GeometrieAltitude» n’a été saisie, aucune «PrecisionAltimetrie» ne doit l’être.</t>
  </si>
  <si>
    <t>L’altitude du point fixe PFP3, resp. auxiliaire est fiable.</t>
  </si>
  <si>
    <t>Si une «GeometrieAltitude» a été saisie pour le point fixe PFP3, resp. auxiliaire, alors une valeur doit obligatoirement être saisie pour «EstFiableAltimetrie». Si aucune «GeometrieAltitude» n’a été saisie, aucune valeur ne doit l’être pour «EstFiableAltimetrie».</t>
  </si>
  <si>
    <t>DV GenreAbornement</t>
  </si>
  <si>
    <t xml:space="preserve">Genre de matérialisation (d’abornement) du point fixe (selon le document «Principes de modélisation: modèle de géodonnées de la mensuration officielle DMAV»). </t>
  </si>
  <si>
    <t>La valeur «non_materialise» est uniquement permise pour des points fixes auxiliaires.</t>
  </si>
  <si>
    <t>DV GenreProtection</t>
  </si>
  <si>
    <t>Mesures par lesquelles le point fixe PFP3, resp. auxiliaire est protégé.</t>
  </si>
  <si>
    <t>DV FonctionPointLimite</t>
  </si>
  <si>
    <t>Fonction de point limite que le point fixe auxiliaire peut prendre. Les points fixes PFP3 endossent la fonction de point limite ou de point de limite territoriale dans des cas bien particuliers.</t>
  </si>
  <si>
    <t>EstBorneFrontièreVieux</t>
  </si>
  <si>
    <t>S'agit-il d'une ancienne borne frontière historique?</t>
  </si>
  <si>
    <t>À saisir uniquement si les valeurs «Point limite » ou «Point de frontière» sont saisies dans l'attribut «Fonction du point limite».
Est «TRUE» s'il s'agit d'un ancien point frontière historique.
Est «FALSE» s'il ne s'agit pas d'un ancien point frontière historique.</t>
  </si>
  <si>
    <t>Genre d’entretien du point fixe PFP3.</t>
  </si>
  <si>
    <t>Seuls les points fixes PFP3 peuvent faire l’objet d’un entretien actif.
«TRUE» signifie que le point fixe PFP3 fait l’objet d’un entretien actif.
«FALSE» signifie que le point fixe ne fait l’objet d’aucun entretien.
Les points fixes auxiliaires ne font l’objet d’aucun entretien.</t>
  </si>
  <si>
    <t>Orientation du symbole du point fixe PFP3, resp. auxiliaire pour la représentation sur des extraits analogiques et numériques.</t>
  </si>
  <si>
    <t>Structure de la position du texte</t>
  </si>
  <si>
    <t>Position du texte du numéro conformément au document «Principes de modélisation: modèle de géodonnées de la mensuration officielle DMAV».</t>
  </si>
  <si>
    <t>Attribut structuré conformément au document «Principes de modélisation: modèle de géodonnées de la mensuration officielle DMAV».</t>
  </si>
  <si>
    <t>Coordonnées planimétriques du point fixe PFA3.</t>
  </si>
  <si>
    <t>Altitude du point fixe PFA3.</t>
  </si>
  <si>
    <t>Ne doit pas être égale à 0.000.</t>
  </si>
  <si>
    <t>Précision planimétrique du point fixe PFA3.</t>
  </si>
  <si>
    <t>La position en planimétrie du point fixe PFA3 est fiable.</t>
  </si>
  <si>
    <t>«TRUE» signifie que le point fixe PFA3 a été saisi de manière fiable en planimétrie.
«FALSE» signifie que le point fixe PFA3 n’a pas été déterminé de façon fiable en planimétrie.</t>
  </si>
  <si>
    <t>Précision altimétrique du point fixe PFA3.</t>
  </si>
  <si>
    <t>L’altitude du point fixe PFA3 est fiable.</t>
  </si>
  <si>
    <t>«TRUE» signifie que le point fixe PFA3 a été saisi de manière fiable en altimétrie.
«FALSE» signifie que le point fixe PFA3 n’a pas été déterminé de façon fiable en altimétrie.</t>
  </si>
  <si>
    <t>en_vigueur</t>
  </si>
  <si>
    <t>La surface de la commune ou la partie de limite est entrée en force et reproduit la situation actuellement en vigueur.</t>
  </si>
  <si>
    <t>litigieuse</t>
  </si>
  <si>
    <t>La nouvelle surface de la commune ou partie de limite soulève des contestations.</t>
  </si>
  <si>
    <t>La limite territoriale est définie, mais est disponible sous une forme de qualité insuffisante.</t>
  </si>
  <si>
    <t>indefinie</t>
  </si>
  <si>
    <t>Pseudoterme d’une limite territoriale (par exemple lorsque la limite territoriale traverse un lac).</t>
  </si>
  <si>
    <t>Désignation officielle de la commune.</t>
  </si>
  <si>
    <t>Numéro de la commune selon l’Office fédéral de la statistique (OFS).</t>
  </si>
  <si>
    <t>Conformément au modèle «CHAdminCodes_V1» du registre des modèles de données «CHBase_Part4_ADMINISTRATIVEUNITS_V1.ili».</t>
  </si>
  <si>
    <t>Sert à distinguer si les données sont utilisées ou non pour combler des lacunes dans la définition de la limite du territoire communal.</t>
  </si>
  <si>
    <t>Prend la valeur «TRUE» si cette même valeur est déjà saisie pour l’attribut «Fictif» dans la classe «LimiteCommune».</t>
  </si>
  <si>
    <t>Surface, limite composée d’arcs de cercle et de segments de droite. Les chevauchements dans la définition de la surface ne doivent pas excéder 2 mm.</t>
  </si>
  <si>
    <t>Conformément au modèle «GeometryCHLV95_V2» du registre des modèles de données «CHBase_Part1_GEOMETRY_V2.ili».
Les limites de communes dont la validité est «en_vigueur» remplissent les conditions de cohérence des données géométriques du type «AREA» (cf. document «Principes de modélisation: modèle de géodonnée de la mensuration officielle DMAV»).
Seuls des PFP3 (points fixes auxiliaires compris) et des points limites labellisés comme des points de limite territoriale sont permis en qualité de points d’appui.</t>
  </si>
  <si>
    <t>Litigieuse</t>
  </si>
  <si>
    <t>Parties de la limite communale litigieuse.</t>
  </si>
  <si>
    <t>Conformément au modèle «GeometryCHLV95_V2» du registre des modèles de données «CHBase_Part1_GEOMETRY_V2.ili».
La géométrie de cette ligne court le long de la limite communale litigieuse et coïncide avec elle sur la partie faisant l’objet du litige.</t>
  </si>
  <si>
    <t>Provisoire</t>
  </si>
  <si>
    <t>Parties de la limite communale définie provisoirement (ces parties sont disponibles sous une forme de qualité insuffisante).</t>
  </si>
  <si>
    <t>Conformément au modèle «GeometryCHLV95_V2» du registre des modèles de données «CHBase_Part1_GEOMETRY_V2.ili».
La géométrie de cette ligne court le long de la limite communale définie provisoirement et coïncide avec elle sur la partie définie provisoirement.</t>
  </si>
  <si>
    <t>Parties de la limite communale indéfinie (pseudotermes).</t>
  </si>
  <si>
    <t>Conformément au modèle «GeometryCHLV95_V2» du registre des modèles de données «CHBase_Part1_GEOMETRY_V2.ili».
La géométrie de cette ligne court le long de la limite communale indéfinie et coïncide avec elle sur la partie indéfinie.</t>
  </si>
  <si>
    <t>Prend la valeur «TRUE» si cette même valeur est déjà saisie pour l’attribut «Fictif» dans la classe «Commune».</t>
  </si>
  <si>
    <t>Polyligne, composée d’arcs de cercle et de segments de droite.</t>
  </si>
  <si>
    <t>Conformément au modèle «GeometryCHLV95_V2» du registre des modèles de données «CHBase_Part1_GEOMETRY_V2.ili».
Seuls des PFP3 (points fixes auxiliaires compris) et des points limites labellisés comme des points de limite territoriale sont permis en qualité de points d’appui.</t>
  </si>
  <si>
    <t>Conformément au modèle «GeometryCHLV95_V2» du registre des modèles de données «CHBase_Part1_GEOMETRY_V2.ili».
Seuls des PFP3 (points fixes auxiliaires compris) et des points limites labellisés comme des points de limite territoriale sont perm</t>
  </si>
  <si>
    <t>DV Validite</t>
  </si>
  <si>
    <t>Validité de la partie de limite de district.</t>
  </si>
  <si>
    <t>Validité de la partie de limite de canton.</t>
  </si>
  <si>
    <t>228.10</t>
  </si>
  <si>
    <t>Principi di modellazione</t>
  </si>
  <si>
    <t>Punti fissi della misurazione ufficiale categoria 2</t>
  </si>
  <si>
    <t>Includere come servizio
KGKCGC_FPDS2</t>
  </si>
  <si>
    <t>Punti fissi della misurazione ufficiale categoria 3</t>
  </si>
  <si>
    <t>Confini giurisdizionali misurazione ufficiale</t>
  </si>
  <si>
    <t>Confini delle Servitù</t>
  </si>
  <si>
    <t>Spostamenti di terreno permanenti</t>
  </si>
  <si>
    <t>Nomenclatura misurazione ufficiale</t>
  </si>
  <si>
    <t>Copertura del suolo</t>
  </si>
  <si>
    <t>Oggetti singoli</t>
  </si>
  <si>
    <t>Condotte misurazione ufficiale</t>
  </si>
  <si>
    <t>Gradi di tolleranza</t>
  </si>
  <si>
    <t>Indirizzi degli edifici</t>
  </si>
  <si>
    <t>Misurazione ufficiale nello standard MU93 secondo l’OMU e L’OMU-DDPS</t>
  </si>
  <si>
    <t>Numerazione provvisoria come misura speciale per il mantenimento della misurazione parcellare secondo l’OMU-DDPS</t>
  </si>
  <si>
    <t>Cippo di granito cementato o conforme alle norme</t>
  </si>
  <si>
    <t>Cippo in materiale artificiale o dotato di ancora</t>
  </si>
  <si>
    <t>Bollone di metallo o ottone conforme alle norme</t>
  </si>
  <si>
    <t>Lungo tubo in ferro</t>
  </si>
  <si>
    <t>Palo lungo in legno</t>
  </si>
  <si>
    <t>Croce fresata o scalpellata in una pietra solida</t>
  </si>
  <si>
    <t>Non Materializzato</t>
  </si>
  <si>
    <t>Punto non materializzato</t>
  </si>
  <si>
    <t>Demarcazione del punto con un materiale speciale</t>
  </si>
  <si>
    <t>Il linguaggio di descrizione dei dati INTERLIS 2.4 non consente di aggiungere attributi di linea alle superfici modellate come «AREA» o «SURFACE» per la loro delimitazione geometrica (ad esempio per registrare quali sezioni di un confine di immobili sono definitive o contestate). Nel modello di geodati della misurazione ufficiale, l'attributo di linea viene modellato registrando una «MULTIPOLYLINE». La funzione «Covers» verifica se la geometria della «MULTIPOLYLINE» coincide con la geometria definita come «AREA» o «SURFACE».</t>
  </si>
  <si>
    <t xml:space="preserve">La posizione del simbolo o del testo viene utilizzata, ad esempio, per la rappresentazione in un:
- piano per il registro fondiario
- piano di situazione o 
- piano di mutazione. </t>
  </si>
  <si>
    <t>La posizione del simbolo o del testo viene utilizzata, ad esempio, per la rappresentazione in un:
- piano di base o
- piano con una scala superiore.</t>
  </si>
  <si>
    <t>Il testo deve essere rappresentato con caratteri di piccole dimensioni.</t>
  </si>
  <si>
    <t>Il testo deve essere rappresentato con caratteri di formato medio.</t>
  </si>
  <si>
    <t>Il testo deve essere rappresentato con caratteri di formato grande.</t>
  </si>
  <si>
    <t>Posizione del simbolo.</t>
  </si>
  <si>
    <t>Orientamento del simbolo.</t>
  </si>
  <si>
    <t>IV RappresentazioneSul</t>
  </si>
  <si>
    <t>La posizione del simbolo si applica alla rappresentazione nel corrispondente prodotto derivato della misurazione ufficiale.</t>
  </si>
  <si>
    <t>Posizione del testo.</t>
  </si>
  <si>
    <t>Orientamento del testo.</t>
  </si>
  <si>
    <t>La posizione del testo si applica alla rappresentazione nel corrispondente prodotto derivato della misurazione ufficiale.</t>
  </si>
  <si>
    <t>IV DimensioneTesto</t>
  </si>
  <si>
    <t>Dimensione del carattere del testo.</t>
  </si>
  <si>
    <t>Punto di riferimento della posizione del testo nel piano orizzontale.</t>
  </si>
  <si>
    <t>Punto di riferimento della posizione del testo nel piano verticale.</t>
  </si>
  <si>
    <t>Secondo il modello di dati «GeometryCHLV95_V2» del Model Repository «CHBase_Part1_GEOMETRY_V2.ili».</t>
  </si>
  <si>
    <t>In conformità con il modello di dati «CHAdminCodes_V2» dal Model Repository «CHBase_Part4_ADMINISTRATIVEUNITS_V2.ili».</t>
  </si>
  <si>
    <t>IdentAN (secondo il capitolo 4.5.4).</t>
  </si>
  <si>
    <t>Nome della subunità del registro fondiario</t>
  </si>
  <si>
    <t>Numero del subcircondario all'interno di un ufficio del registro fondiario. La suddivisione in subcircondari viene effettuata dall'ufficio del registro fondiario competente o dal cantone.</t>
  </si>
  <si>
    <t>Numero del lotto all'interno di un subcircondario. La suddivisione in lotti viene effettuata dall'ufficio del catasto competente o dal cantone.</t>
  </si>
  <si>
    <t>Perimetro dell'ambito di validità dell'IdentAN.</t>
  </si>
  <si>
    <t>TenutaAGiorno</t>
  </si>
  <si>
    <t>Parte della chiave utente.</t>
  </si>
  <si>
    <t>Identificazione della mutazione, ad esempio numero dell’incarto tecnico.</t>
  </si>
  <si>
    <t>Breve descrizione dell'ordine di attivazione.</t>
  </si>
  <si>
    <t>Secondo il modello di dati «GeometryCHLV95_V2» del Model Repository «CHBase_Part1_GEOMETRY_V2.ili».
Delimitazione geografica approssimativa dell’area interessata dalla tenuta a giorno. I punti di appoggio della superficie sono presenti una sola volta nella definizione della superficie.</t>
  </si>
  <si>
    <t>Data e ora della registrazione valida dell’incarico tecnico.</t>
  </si>
  <si>
    <t>Si tratta di una mutazione ordinaria o di una mutazione d'ufficio con terminazione differita.</t>
  </si>
  <si>
    <t>La mutazione si basa su un complesso edilizio pianificato. La terminazione è differita e avviene solo dopo la realizzazione del complesso edilizio. Di norma, la terminazione è compromessa dai lavori di costruzione e il tracciamento dei confini può cambiare a causa di condizioni geometriche (p. es. confine lungo il muro).</t>
  </si>
  <si>
    <t>Chiusura di una mutazione di progetto che può essere eseguita senza collaborazione esterna (p.es. da parte di uno studio notarile). Il tracciamento del confine e la terminazione dei punti di confine vengono eseguiti in via definitiva.</t>
  </si>
  <si>
    <t>IV GenereMutazione</t>
  </si>
  <si>
    <t>Solo per la mutazione di fondi.
Determinazione dei principi in base ai quali viene elaborata la mutazione del fondo.</t>
  </si>
  <si>
    <t>Data della registrazione valida dell’incarto tecnico. Per garantire la cronologia della mutazione, la data e l'ora devono essere indicate in ore, minuti e secondi.</t>
  </si>
  <si>
    <t>IscrizioneRegistroFondiario / ApprovatoIl</t>
  </si>
  <si>
    <t>Data di iscrizione della mutazione nel registro fondiario o dell'autorizzazione pubblica. Per garantire la cronologia della mutazione, la data e l'ora devono essere indicate in ore, minuti e secondi.</t>
  </si>
  <si>
    <t>Punti fissi della misurazione ufficiale di categoria 3</t>
  </si>
  <si>
    <t>Punto fisso planimetrico categoria 3</t>
  </si>
  <si>
    <t>Punto fisso planimetrico ausiliario.</t>
  </si>
  <si>
    <t>Il punto fisso non è protetto.</t>
  </si>
  <si>
    <t>Il punto fisso è protetto tramite un chiusino.</t>
  </si>
  <si>
    <t>Il punto fisso è coperto e si trova sotto il terreno.</t>
  </si>
  <si>
    <t>Il punto fisso non assume alcuna funzione di punto di confine.</t>
  </si>
  <si>
    <t>Il punto fisso assume anche la funzione di punto di confine.</t>
  </si>
  <si>
    <t>Il punto fisso assume anche la funzione di punto di confine e punto di confine giurisdizionale.</t>
  </si>
  <si>
    <t>Numero di punto.</t>
  </si>
  <si>
    <t>IV GenerePFP</t>
  </si>
  <si>
    <t>Tipo di punto fisso.</t>
  </si>
  <si>
    <t>Coordinate di posizione del punto fisso PFP3 risp. del punto fisso ausiliario.</t>
  </si>
  <si>
    <t>Quota del punto fisso PFP3 risp. del punto fisso ausiliario.</t>
  </si>
  <si>
    <t>Non deve essere 0.000.
Se è disponibile la «GeometriaQuota», sono da registrare i valori «PrecisioneQuota» e «EAffidabileQuota».</t>
  </si>
  <si>
    <t>Precisazione della posizione del punto fisso PFP3 risp. del punto fisso ausiliario.</t>
  </si>
  <si>
    <t>Posizione del punto fisso PFP3 risp. del punto fisso ausiliario.</t>
  </si>
  <si>
    <t>È «TRUE», quando la posizione del punto fisso PFP3 risp. del punto fisso ausiliario è registrata in modo affidabile.
È «FALSE», quando la posizione del punto fisso PFP3 risp. del punto fisso ausiliario è determinata in modo inaffidabile.</t>
  </si>
  <si>
    <t>Precisazione della quota del punto fisso PFP3 risp. del punto fisso ausiliario.</t>
  </si>
  <si>
    <t>Se viene registrata una «GeometriaQuota» per un punto fisso PFP3, è obbligatorio registrare un valore per l’attributo «PrecisioneQuota». Se non viene registrata nessuna «GeometriaQuota», non può essere registrata nemmeno una «PrecisioneQuota».</t>
  </si>
  <si>
    <t>La quota del punto fisso PFP3 risp. del punto fisso ausiliario è affidabile.</t>
  </si>
  <si>
    <t>Se viene registrata una «GeometriaQuota» per un punto fisso PFP3 risp. del punto fisso ausiliario, è obbligatorio registrare un valore per l’attributo «EAffidabileQuota». Se non viene registrata nessuna «GeometriaQuota», non può essere registrato nemmeno un valore per «EAffidabileQuota».</t>
  </si>
  <si>
    <t>IV Materiale</t>
  </si>
  <si>
    <t>Materiale del punto fisso (secondo il documento «Principi di modellazione: Modello di dati della misurazione ufficiale DMAV»)?</t>
  </si>
  <si>
    <t>Il tipo di attributo «non materializzato» è consentito esclusivamente per i punti fissi ausiliari.</t>
  </si>
  <si>
    <t>IV GenereProtezione</t>
  </si>
  <si>
    <t>Attraverso quali misure è protetto il punto fisso PFP3, risp. il punto fisso ausiliario.</t>
  </si>
  <si>
    <t>IV FunzionePuntoConfine</t>
  </si>
  <si>
    <t>Il punto fisso ausiliario assume la funzione di punto di confine.
In casi selezionati i punti fissi PFP3 assumono la funzione di punto di confine o di punto di confine giurisdizionale.</t>
  </si>
  <si>
    <t>Si tratta di un antico cippo di confine storico?</t>
  </si>
  <si>
    <t>Da inserire solo se nell'attributo «FunzionePuntoConfine» sono stati inseriti i valori «Punto di confine» o «punto_confine_giurisdizionale».
È «TRUE» se si tratta di un vecchio punto di confine storico.
È «FALSE» se non si tratta di un vecchio punto di confine storico.</t>
  </si>
  <si>
    <t>Tipo di revisione del punto fisso PFP3.</t>
  </si>
  <si>
    <t>Solo i punti fissi PFP3 possono essere revisionati in modo attivo.
È «TRUE», quando il punto fisso PFP3 è revisionato attivamente.
È «FALSE», quando il punto fisso PFP3 non è revisionato attivamente.I punti fissi ausiliari non sono soggetti a revisione.</t>
  </si>
  <si>
    <t>Orientamento del simbolo del punto fisso PFP3 risp. del punto fisso ausiliario per la rappresentazione su estratti analogici e digitali.</t>
  </si>
  <si>
    <t>Struttura PosizioneTesto</t>
  </si>
  <si>
    <t>Posizione del testo del numero secondo il documento «Principi di modellazione: Modello di dati della misurazione ufficiale DMAV».</t>
  </si>
  <si>
    <t>Attributo strutturato secondo il documento «Principi di modellazione: Modello di dati della misurazione ufficiale DMAV».</t>
  </si>
  <si>
    <t>Coordinata planimetrica del punto fisso PFA3.</t>
  </si>
  <si>
    <t>Quota del punto fisso PFA3.</t>
  </si>
  <si>
    <t>Non deve essere 0.000.</t>
  </si>
  <si>
    <t>Precisione planimetrica del punto fisso PFA3.</t>
  </si>
  <si>
    <t>La posizione del punto fisso PFA3 è affidabile.</t>
  </si>
  <si>
    <t>È «TRUE», quando la posizione del punto fisso PFA3 è registrata in modo affidabile.
È «FALSE», quando la posizione del punto fisso PFA3 è determinata in modo inaffidabile.</t>
  </si>
  <si>
    <t>Precisione di quota del punto fisso PFA3.</t>
  </si>
  <si>
    <t>La quota del punto fisso PFA3 è affidabile.</t>
  </si>
  <si>
    <t>Posizione del testo del numero secondo il documento «Principi di modellazione: Modello di dati della misurazione ufficiale DMAV ».</t>
  </si>
  <si>
    <t>Confini giurisdizionali della misurazione ufficiale</t>
  </si>
  <si>
    <t>Validità</t>
  </si>
  <si>
    <t>in_vigore</t>
  </si>
  <si>
    <t>La superficie del Comune o la sezione di confine è legalmente valida e riflette la situazione legalmente valida.</t>
  </si>
  <si>
    <t>contestato</t>
  </si>
  <si>
    <t>La nuova superficie del Comune o la nuova sezione di confine è contestato.</t>
  </si>
  <si>
    <t>Il confine giurisdizionale è definito, ma non in forma qualitativamente sufficiente.</t>
  </si>
  <si>
    <t>non_precisato</t>
  </si>
  <si>
    <t>Pseudo-terminazione di un confine giurisdizionale (ad esempio, se il confine giurisdizionale attraversa un lago).</t>
  </si>
  <si>
    <t>Denominazione ufficiale del Comune.</t>
  </si>
  <si>
    <t>Numero del Comune secondo l'Ufficio federale di statistica (UST).</t>
  </si>
  <si>
    <t>Secondo il modello di dati «CHAdminCodes_V1» del Model Repository «CHBase_Part4_ADMINISTRATIVEUNITS_V1.ili».</t>
  </si>
  <si>
    <t>Serve a distinguere se i dati sono utilizzati per colmare le lacune nella definizione capillare del confine comunale.</t>
  </si>
  <si>
    <t>È «TRUE» se è registrato «TRUE» anche nell'attributo «Fittizio» della classe «ConfineComunale»</t>
  </si>
  <si>
    <t>Surface, composta da rette e archi. Le sovrapposizioni nella definizione della superficie non devono essere superiori a 2 mm.</t>
  </si>
  <si>
    <t>Secondo il modello di dati «GeometryCHLV95_V2» del Model Repository «CHBase_Part1_GEOMETRY_V2.ili».
I confini comunali attribuiti come validi soddisfano le condizioni di coerenza dei dati geometrici di tipo «AREA» (cfr. documento «Principi di modellazione: Modello di dati della misurazione ufficiale DMAV»)?
Solo i punti PFP3 (compresi i punti fissi ausiliari) e i punti di confine attribuiti come punti di confine giurisdizionale sono ammessi come punti di supporto per la geometria.</t>
  </si>
  <si>
    <t>Parte del confine comunale contestato.</t>
  </si>
  <si>
    <t>Secondo il modello di dati «GeometryCHLV95_V2» del Model Repository «CHBase_Part1_GEOMETRY_V2.ili».
La geometria di questa linea corre lungo il confine comunale contestato ed è congruente nel tratto contestato.</t>
  </si>
  <si>
    <t>Provvisorio</t>
  </si>
  <si>
    <t>Parte del confine comunale provvisoriamente (le sezioni sono disponibili in forma qualitativamente insufficiente).</t>
  </si>
  <si>
    <t>Secondo il modello di dati «GeometryCHLV95_V2» del Model Repository «CHBase_Part1_GEOMETRY_V2.ili».
La geometria di questa linea corre lungo il confine comunale provvisoriamente ed è congruente nel tratto provvisoriamente.</t>
  </si>
  <si>
    <t>Parte del confine comunale non definito (pseudo-confini).</t>
  </si>
  <si>
    <t>Secondo il modello di dati «GeometryCHLV95_V2» del Model Repository «CHBase_Part1_GEOMETRY_V2.ili».
La geometria di questa linea corre lungo il confine non definito ed è congruente nel trattp non precisato.</t>
  </si>
  <si>
    <t>È «TRUE» se è registrato «TRUE» anche nell'attributo «Fittizio» della classe «Comune».</t>
  </si>
  <si>
    <t>Polyline composta da rette e archi.</t>
  </si>
  <si>
    <t>Secondo il modello di dati «GeometryCHLV95_V2» del Model Repository «CHBase_Part1_GEOMETRY_V2.ili».
Solo i punti PFP3 (compresi i punti fissi ausiliari) e i punti di confine attribuiti come punti di confine giurisdizionale sono ammessi come punti di supporto per la geometria.</t>
  </si>
  <si>
    <t>IV Validita</t>
  </si>
  <si>
    <t>Validità della sezione di confine distrettuale.</t>
  </si>
  <si>
    <t>Validità della sezione di confine cantonale.</t>
  </si>
  <si>
    <t>Surface avec une limite déterminée de manière suffisante.</t>
  </si>
  <si>
    <t>Area con confini sufficientemente definiti.</t>
  </si>
  <si>
    <t>Droits portant sur tout ou partie d’un immeuble.</t>
  </si>
  <si>
    <t>Diritto_per_se_stante_e_permanente</t>
  </si>
  <si>
    <t>Diritto sull'intero fondo o su parti di esso.</t>
  </si>
  <si>
    <t>Droit de procéder à l’extraction minière de matières premières, de minéraux industriels, de ressources énergétiques et de minerais renfermés dans le sein de la terre.</t>
  </si>
  <si>
    <t>Il diritto di sfruttare materie prime, minerali industriali, materie prime energetiche e minerali situati nel sottosuolo.</t>
  </si>
  <si>
    <t>Identificateur d’objet et clé étrangère pour le système d’informations foncières.</t>
  </si>
  <si>
    <t>Identificatore di oggetto e chiave esterna per il sistema informativo sui fondi.</t>
  </si>
  <si>
    <t>Numéro de l’immeuble.</t>
  </si>
  <si>
    <t>Numero del fondo.</t>
  </si>
  <si>
    <t>DV GenreImmeuble</t>
  </si>
  <si>
    <t>Genre de l‘immeuble.</t>
  </si>
  <si>
    <t>Suivant l’objet concerné, les géométries sont à saisir:
- dans la classe «BienFonds» pour un bien-fonds
- dans la classe «DroitDistinctPermanent» pour un droit distinct et permanent
- dans la classe «num» pour une mine.
Une combinaison de relations entre l’objet «Immeuble» et des genres d’immeubles de classes différentes (ex.: bien-fonds et mine) n’est pas permise.</t>
  </si>
  <si>
    <t>IV GenereFondo</t>
  </si>
  <si>
    <t>Tipo di fondo.</t>
  </si>
  <si>
    <t>Le geometrie devono essere registrate in base alla voce dell’oggetto:
- nel caso di un immobile nella classe «immobile»
- nel caso di un diritto per sé stante e permanente nella classe «DirittoPerSeStanteEPermanente»
- nel caso di una miniera nella classe «miniera»
Non è consentita la combinazione di relazioni tra l'oggetto «fondi» e tipi di fondi di classi diverse (p. Es. immobile e miniera).</t>
  </si>
  <si>
    <t>Validité de l‘immeuble.</t>
  </si>
  <si>
    <t>«TRUE» signifie que l’objet et le tracé de la limite sont litigieux. Ils ne sont donc pas en vigueur.
«FALSE» signifie que l’objet reproduit la situation juridiquement valable.</t>
  </si>
  <si>
    <t>Validità del fondo.</t>
  </si>
  <si>
    <t>È «TRUE» se l'oggetto e il tracciamento del confine sono contestati. L'oggetto e il tracciamento del confine non sono pertanto legalmente validi.
È «FALSE» se l'oggetto rispecchia la situazione legalmente valida.</t>
  </si>
  <si>
    <t>EstComplet</t>
  </si>
  <si>
    <t>Niveau d‘intégralité de l’immeuble.</t>
  </si>
  <si>
    <t>Completezza del fondo.</t>
  </si>
  <si>
    <t>Structure PositionTexte</t>
  </si>
  <si>
    <t>Position du texte du numéro de l’immeuble selon le document «Principes de modélisation: modèle de géodonnées de la mensuration officielle DMAV».</t>
  </si>
  <si>
    <t>Attribut structuré selon le document « Principes de modélisation: modèle de géodonnées de la mensuration officielle DMAV».</t>
  </si>
  <si>
    <t>Posizione del testo del numero del fondo in conformità al documento «Principi di modellazione: Modello di dati della misurazione ufficiale DMAV».</t>
  </si>
  <si>
    <t>Attributo strutturato in conformità al documento «Principi di modellazione: Modello di dati della misurazione ufficiale DMAV».</t>
  </si>
  <si>
    <t>Sert à distinguer si l’objet est utilisé ou non pour combler des lacunes dans le réseau surfacique des biens-fonds (pour garantir la cohérence des surfaces).</t>
  </si>
  <si>
    <t>«TRUE» signifie que la valeur «bien_fonds» est associée à l’attribut «GenreImmeuble» pour l’objet «Immeuble» et qu’il s’agit d’un immeuble fictif. L’objet correspondant de la classe «BienFonds» doit également prendre la valeur «TRUE» pour l’attribut «Fictif» dans ce cas.
«FALSE» signifie qu’il s’agit d’un immeuble réel.</t>
  </si>
  <si>
    <t>Serve a distinguere se l'oggetto è utilizzato o meno per colmare lacune nella rete di superfici delle proprietà (per garantire la coerenza delle superfici).</t>
  </si>
  <si>
    <t>È «TRUE» se l'oggetto «fondo» è attribuito come «GenereFondo» «Immobile» ed è un fondo fittizio. In tal caso, anche all'oggetto corrispondente della classe «Immobile» deve essere assegnato «TRUE» per «Fittizio».
È «FALSE» se si tratta di un fondo reale.</t>
  </si>
  <si>
    <t>Surface totale de l’immeuble.</t>
  </si>
  <si>
    <t>La surface totale doit être saisie lorsque la valeur «FALSE» est saisie pour l’attribut «EstComplet».
Aucune valeur n’est à entrer si la valeur «TRUE» a été saisie pour l’attribut «EstComplet» de l’immeuble.</t>
  </si>
  <si>
    <t>Superficie totale del fondo.</t>
  </si>
  <si>
    <t>La superficie totale deve essere registrata se nell'attributo «ECompleto» è stato inserito il valore «FALSE».
Se al fondo viene assegnato il valore «ECompleto» «TRUE», non deve essere registrata alcuna superficie totale.</t>
  </si>
  <si>
    <t>Numéro du bien-fonds.</t>
  </si>
  <si>
    <t>Est uniquement à saisir si la valeur «FALSE» est saisie pour l’attribut «EstComplet» de l’objet de la classe «Immeuble». Aucun «NumeroImmeublePartiel» n’est à saisir sinon.
Le numéro de l’immeuble partiel doit être sans équivoque au sein de l’objet «Immeuble».</t>
  </si>
  <si>
    <t>Numero dell’immobile.</t>
  </si>
  <si>
    <t>Deve essere inserito solo se il valore «FALSE» è registrato nell'attributo «ECompleto» dell'oggetto della classe «Fondi». In caso contrario, non deve essere inserito alcun «NumeroParteFondo».
Il numero della parte del fondo deve essere univoco all'interno dell'oggetto «Fondo».</t>
  </si>
  <si>
    <t>Conformément au modèle «GeometryCHLV95_V2» du registre des modèles de données «CHBase_Part1_GEOMETRY_V2.ili».
Les biens-fonds dont la validité est «en_vigueur» remplissent les conditions de cohérence des données géométriques du type «AREA» (cf. document «Principes de modélisation: modèle de géodonnées de la mensuration officielle DMAV»).
Tout point d’appui de la géométrie des biens-fonds se fonde sur un PFP3 (points fixes auxiliaires compris), point de limite territoriale ou point de limite de bien-fonds.</t>
  </si>
  <si>
    <t>Secondo il modello di dati «GeometryCHLV95_V2» del Model Repository «CHBase_Part1_GEOMETRY_V2.ili».
Gli immobili attribuiti come validi soddisfano le condizioni di coerenza dei dati geometrici di tipo «AREA» (cfr. documento «Principi di modellazione: Modello di dati della misurazione ufficiale DMAV»).
Ogni punto d’appoggio della geometria dell’immobile si basa su un punto PFP3 (incluso un punto fisso ausiliario), su un punto di confine giurisdizionale o su un punto di confine di un immobile.</t>
  </si>
  <si>
    <t>Portions de la limite du bien-fonds litigieuse.</t>
  </si>
  <si>
    <t>Conformément au modèle «GeometryCHLV95_V2» du registre des modèles de données «CHBase_Part1_GEOMETRY_V2.ili».
La géométrie de cette ligne court le long de la limite de bien-fonds litigieuse et coïncide avec elle sur la ou les portions faisant l’objet du litige.</t>
  </si>
  <si>
    <t>Sezioni del confine dell’immobile contestato.</t>
  </si>
  <si>
    <t>Secondo il modello di dati «GeometryCHLV95_V2» del Model Repository «CHBase_Part1_GEOMETRY_V2.ili».
La geometria di questa linea corre lungo il confine dell’immobile contestato ed è congruente nel tratto controverso.</t>
  </si>
  <si>
    <t>DV Standardqualite</t>
  </si>
  <si>
    <t>Standard de qualité atteint.</t>
  </si>
  <si>
    <t>Le bien-fonds est exclusivement disponible au standard de qualité «MO93» ou «NP».</t>
  </si>
  <si>
    <t>IV StandardQualita</t>
  </si>
  <si>
    <t>Standard qualitativo raggiunto</t>
  </si>
  <si>
    <t>L’immobile è presente esclusivamente nello standard qualitativo «MU93» o «NP».</t>
  </si>
  <si>
    <t>Sert à distinguer si l’objet est utilisé ou non pour combler des lacunes dans le réseau des biens-fonds.</t>
  </si>
  <si>
    <t>«TRUE» signifie que l’objet correspondant de la classe «Immeuble» s’est également vu associer la valeur «TRUE» pour l’attribut «Fictif».</t>
  </si>
  <si>
    <t>Serve a distinguere se l'oggetto è utilizzato o meno per colmare lacune nella rete di immobili.</t>
  </si>
  <si>
    <t>È «TRUE» se l'oggetto corrispondente della classe «Fondi» è attribuito anche come «Fittizio» «TRUE».</t>
  </si>
  <si>
    <t>Surface du bien-fonds inscrite au registre foncier.</t>
  </si>
  <si>
    <t>Superficie dell’immobile iscritta nel registro fondiario.</t>
  </si>
  <si>
    <t>Numéro du droit distinct et permanent.</t>
  </si>
  <si>
    <t>Numero del diritto per sé stante e permanente.</t>
  </si>
  <si>
    <t>Surface, limite composée d’arcs de cercle et de segments de droite.
Les chevauchements dans la définition de la surface ne doivent pas excéder 2 mm.</t>
  </si>
  <si>
    <t>Conformément au modèle «GeometryCHLV95_V2» du registre des modèles de données «CHBase_Part1_GEOMETRY_V2.ili».
Tout point d’appui de la géométrie surfacique du droit distinct et permanent se fonde sur un PFP3 (points fixes auxiliaires compris), point de limite territoriale ou point de limite de bien-fonds.</t>
  </si>
  <si>
    <t>Secondo il modello di dati «GeometryCHLV95_V2» del Model Repository «CHBase_Part1_GEOMETRY_V2.ili».
Ogni punto d’appoggio della geometria della superficie di un diritto per sé stante e permanente si basa su un punto PFP3 (incluso un punto fisso ausiliario), su un punto di confine giurisdizionale o su un punto di confine di un immobile.</t>
  </si>
  <si>
    <t>Portions de la limite du droit distinct et permanent litigieuse.</t>
  </si>
  <si>
    <t>Conformément au modèle «GeometryCHLV95_V2» du registre des modèles de données «CHBase_Part1_GEOMETRY_V2.ili».
La géométrie de cette ligne court le long de la limite du droit distinct et permanent litigieuse et coïncide avec elle sur la ou les portions faisant l’objet du litige.</t>
  </si>
  <si>
    <t>Sezioni del confine contestato del diritto per sé stante e permanente.</t>
  </si>
  <si>
    <t>Secondo il modello di dati «GeometryCHLV95_V2» del Model Repository «CHBase_Part1_GEOMETRY_V2.ili».
La geometria di questa linea corre lungo il confine contestato del diritto per sé stante e permanente ed è congruente nel tratto contestato.</t>
  </si>
  <si>
    <t>Surface du droit distinct et permanent inscrite au registre foncier.</t>
  </si>
  <si>
    <t>Superficie iscritta nel registro fondiario del diritto per sé stante e permanente.</t>
  </si>
  <si>
    <t>Précision quant à savoir s'il s'agit d'un droit de superficie.</t>
  </si>
  <si>
    <t>Est « TRUE » si l'objet est désigné comme droit de superficie.
Est «FALSE» si l'objet n'est pas désigné comme droit de superficie.</t>
  </si>
  <si>
    <t>Specificazione, se si tratta di un diritto di superficie.</t>
  </si>
  <si>
    <t>È «TRUE» se l'oggetto è designato come diritto di superficie.
È «FALSE» se l'oggetto non è designato come diritto di superficie.</t>
  </si>
  <si>
    <t>Numéro de la mine.</t>
  </si>
  <si>
    <t>Numero della miniera.</t>
  </si>
  <si>
    <t>Conformément au modèle «GeometryCHLV95_V2» du registre des modèles de données «CHBase_Part1_GEOMETRY_V2.ili».
Tout point d’appui de la géométrie de la mine se fonde sur un PFP3 (points fixes auxiliaires compris), point de limite territoriale ou point de limite de bien-fonds.</t>
  </si>
  <si>
    <t>Surface, composta da rette e archi.
Le sovrapposizioni nella definizione della superficie non devono essere superiori a 2 mm.</t>
  </si>
  <si>
    <t>Secondo il modello di dati «GeometryCHLV95_V2» del Model Repository «CHBase_Part1_GEOMETRY_V2.ili».
Ogni punto d’appoggio della geometria della miniera si basa su un punto PFP3 (incluso un punto fisso ausiliario), su un punto di confine giurisdizionale o su un punto di confine di un immobile.</t>
  </si>
  <si>
    <t>Portions de la limite de la mine litigieuse.</t>
  </si>
  <si>
    <t>Conformément au modèle «GeometryCHLV95_V2» du registre des modèles de données «CHBase_Part1_GEOMETRY_V2.ili».
La géométrie de cette ligne court le long de la limite de la mine litigieuse et coïncide avec elle sur la ou les portions faisant l’objet du litige.</t>
  </si>
  <si>
    <t>Sezioni del confine contestato della miniera.</t>
  </si>
  <si>
    <t>Secondo il modello di dati «GeometryCHLV95_V2» del Model Repository «CHBase_Part1_GEOMETRY_V2.ili».
La geometria di questa linea corre lungo il confine della miniera contestato ed è congruente nel tratto controverso.</t>
  </si>
  <si>
    <t>Surface de la mine inscrite au registre foncier.</t>
  </si>
  <si>
    <t>Superficie della miniera iscritta nel registro fondiario.</t>
  </si>
  <si>
    <t>L’attribution du numéro de point est optionnelle. En bordure du périmètre, on notera toutefois que les pratiques et la désignation en vigueur dans l’entité géographique voisine sont reprises pour les numéros de points.</t>
  </si>
  <si>
    <t>L'assegnazione del numero del punto è facoltativa. Sul bordo del perimetro, tuttavia, va osservato che la pratica e la denominazione relative al numero del punto sono riprese dall'unità geografica confinante.</t>
  </si>
  <si>
    <t>Coordonnées du point limite.</t>
  </si>
  <si>
    <t>Coordinate del punto di confine.</t>
  </si>
  <si>
    <t>Altitude du point limite.</t>
  </si>
  <si>
    <t>Ne doit pas être égale à 0.000.
Si «GeometrieAltitude» existe, alors des valeurs doivent être saisies pour «PrecisionAltimetrie» et «EstFiableAltimetrie».</t>
  </si>
  <si>
    <t>Altezza del punto di confine.</t>
  </si>
  <si>
    <t>Précision planimétrique du point limite.</t>
  </si>
  <si>
    <t>Precisione della posizione del punto di confine.</t>
  </si>
  <si>
    <t>La position du point limite est fiable.</t>
  </si>
  <si>
    <t>«TRUE» signifie que le point limite a été saisi de manière fiable en planimétrie.
Des points limites qui ne sont pas déterminés de façon fiable ou qui sont créés sur la base d’un calcul ou d’une construction, doivent être saisis comme étant «non fiables», soit avec la valeur «FALSE», jusqu’à ce qu’ils aient été matérialisés et que leur saisie ait été contrôlée sur le terrain.</t>
  </si>
  <si>
    <t>La posizione del punto di confine è affidabile.</t>
  </si>
  <si>
    <t>È «TRUE», quando la posizione del punto di confine è registrata in modo affidabile.
I punti di confine determinati in modo inaffidabile o che sono il risultato di un calcolo o di una costruzione devono essere registrati come «inaffidabili» o con il valore «FALSE» finché non sono stati demarcati sul campo e registrati in modo controllato.</t>
  </si>
  <si>
    <t>Précision altimétrique du point limite.</t>
  </si>
  <si>
    <t>Si une «GeometrieAltitude» a été saisie pour le point limite, une valeur doit obligatoirement être saisie pour l’attribut «PrecisionAltimetrie». Si aucune «GeometrieAltitude» n’a été saisie, aucune «PrecisionAltimetrie» ne doit l’être.</t>
  </si>
  <si>
    <t>Precisione dell'altezza del punto di confine.</t>
  </si>
  <si>
    <t>Se viene registrata una «GeometriaQuota» per un punto di confine, è obbligatorio registrare un valore per l’attributo «PrecisioneQuota». Se non viene registrata nessuna «GeometriaQuota», non può essere registrata nemmeno una «PrecisioneQuota».</t>
  </si>
  <si>
    <t>L’altitude du point limite est fiable.</t>
  </si>
  <si>
    <t>«TRUE» signifie que l’altitude du point limite a été déterminée de manière fiable.
«FALSE» signifie que l’altitude du point limite n’a pas été déterminée de manière fiable.
Si une «GeometrieAltitude» a été saisie pour le point limite, une valeur doit obligatoirement être saisie pour l’attribut «EstFiableAltimetrie». Si aucune «GeometrieAltitude» n’a été saisie, aucune valeur ne doit être saisie pour «EstFiableAltimetrie».</t>
  </si>
  <si>
    <t>L’quota del punto di confine è affidabile.</t>
  </si>
  <si>
    <t>È «TRUE», quando la quota del punto di confine è determinata in modo affidabile.
È «FALSE», quando la quota del punto di confine è determinata in modo inaffidabile.
Se viene registrata una «GeometriaQuota» per un punto di confine, è obbligatorio registrare un valore per l’attributo «EAffidabileQuota». Se non viene registrata nessuna «GeometriaQuota», non può essere registrato nemmeno un valore per «EAffidabileQuota».</t>
  </si>
  <si>
    <t>Genre d’abornement du point limite (selon le document «Principes de modélisation: modèle de géodonnées de la mensuration officielle DMAV»).</t>
  </si>
  <si>
    <t>Les points limites saisis avec la valeur «FALSE» pour l‘attribut «EstDefiniExactement» peuvent exclusivement se voir affecter la valeur «non_matérialise» pour l’attribut «Signe».</t>
  </si>
  <si>
    <t>Materiale del punto di confine (secondo il documento «Principi di modellazione: Modello di dati della misurazione ufficiale DMAV»)?</t>
  </si>
  <si>
    <t>I punti di confine a cui viene attribuito «EDefinitoEsattamente» «FALSE» possono essere registrati solo come «Segno» «NonMaterializzato».</t>
  </si>
  <si>
    <t>EstPointLimiteTerritoriale</t>
  </si>
  <si>
    <t>Le point limite fait fonction de point de limite territoriale.</t>
  </si>
  <si>
    <t>«TRUE» signifie que le point limite est un point de limite territoriale et qu’il est utilisé comme point d’appui d’une limite territoriale.
«FALSE» signifie qu’il s’agit d’un point d’une limite de bien-fonds.</t>
  </si>
  <si>
    <t>Funzione del punto di confine come punto di confine giurisdizionale.</t>
  </si>
  <si>
    <t>È «TRUE» se il punto di confine è un punto di confine giurisdizionale e viene utilizzato come punto di appoggio per un confine giurisdizionale.
È «FALSE» se si tratta di un punto di confine di un immobile.</t>
  </si>
  <si>
    <t>Il s’agit d’une ancienne borne territoriale historique.</t>
  </si>
  <si>
    <t>«TRUE» signifie qu’il s’agit d’une ancienne borne territoriale.
«FALSE» signifie qu’il ne s’agit pas d’une ancienne borne territoriale.</t>
  </si>
  <si>
    <t>EVecchioTermine con cippoSpeciale</t>
  </si>
  <si>
    <t>È un marcatore di un vecchio termine con cippo speciale storico.</t>
  </si>
  <si>
    <t>È «TRUE» se si tratta di un vecchio termine con cippo speciale.
È «FALSE» se non si tratta di un vecchio termine con cippo speciale.</t>
  </si>
  <si>
    <t>Précision de détermination du point limite.</t>
  </si>
  <si>
    <t xml:space="preserve"> «TRUE» signifie que le point limite a été déterminé et saisi de manière rigoureuse.
«FALSE» signifie que le point limite a été déterminé à l’aide de moyens auxiliaires le long de limites naturelles.</t>
  </si>
  <si>
    <t>Precisione di rilevamento del punto di confine.</t>
  </si>
  <si>
    <t>È «TRUE» se il punto di confine è stato rilevato e registrato con precisione.
È «FALSE» se il punto di confine è stato determinato utilizzando strumenti ausiliari lungo i confini naturali.</t>
  </si>
  <si>
    <t>Orientation du symbole du point limite (une croix par exemple) pour la représentation sur des extraits analogiques et numériques.</t>
  </si>
  <si>
    <t>Orientamento del simbolo del punto di confine (p. es. croce) per la rappresentazione su estratti analogici e digitali.</t>
  </si>
  <si>
    <t>«TRUE» signifie que l’immeuble a été intégralement saisi.
«FALSE» signifie que l’immeuble a été incomplètement saisi.
Les immeubles saisis de façon complète ne comportent aucune indication dans les attributs:
- «SuperficieTotale» et
- «NumeroImmeublePartiel» dans la classe correspondante.
Les attributs suivants doivent être renseignés pour les immeubles saisis de façon incomplète:
- «SuperficieTotale» (surface totale de l’immeuble) 
- «NumeroImmeublePartiel» pour l’objet géométrique dans la classe correspondante.</t>
  </si>
  <si>
    <t>È «TRUE» se il fondo è completamente registrato.
È «FALSE» se il fondo è registrato in modo incompleto.
I fondi registrati in modo completo non contengono alcuna informazione negli attributi:
- «SuperficieTotale» e
- «NumeroParteFondo» nella classe corrispondente.
I fondi registrati in modo incompleto devono essere attribuiti:
- «SuperficieTotale» come superficie totale del fondo
- «NumeroParteFondo» per l'oggetto geometrico nella classe corrispondente.</t>
  </si>
  <si>
    <t>Assiettes de servitudes</t>
  </si>
  <si>
    <t>L’assiette de servitude est par exemple définie par le service chargé de la mise à jour ou par un architecte.</t>
  </si>
  <si>
    <t>Confini delle servitù</t>
  </si>
  <si>
    <t>numerica</t>
  </si>
  <si>
    <t>Il confine della servitù è misurato ad esempio attraverso il servizio incaricato della tenuta a giorno o un architetto.</t>
  </si>
  <si>
    <t>L’assiette de servitude est établie sur la base d’un plan.</t>
  </si>
  <si>
    <t>grafica</t>
  </si>
  <si>
    <t>Il confine della servitù è digitalizzato sulla base di un piano.</t>
  </si>
  <si>
    <t>L’assiette de servitude est de provenance indéterminée.</t>
  </si>
  <si>
    <t>L’origine del confine della servitù non è definibile.</t>
  </si>
  <si>
    <t>Composée d’arcs de cercle et de segments de droite. Les chevau-chements dans la définition de la surface ne doivent pas excéder 2 mm.</t>
  </si>
  <si>
    <t>Composta da rette e archi. Le sovrapposizioni nella definizione della superficie non devono essere superiori a 2 mm.</t>
  </si>
  <si>
    <t>Composée d’arcs de cercle et de segments de droite.</t>
  </si>
  <si>
    <t>Composta da rette e archi.</t>
  </si>
  <si>
    <t>Position de l’élément ponctuel.</t>
  </si>
  <si>
    <t>Posizione dell’elemento puntuale.</t>
  </si>
  <si>
    <t>Orientation de l’élément ponctuel pour la représentation.</t>
  </si>
  <si>
    <t>Orientamento dell’elemento puntuale per la rappresentazione.</t>
  </si>
  <si>
    <t>Numéro de la servitude.</t>
  </si>
  <si>
    <t>Numero di servitù.</t>
  </si>
  <si>
    <t>Genre de la servitude.</t>
  </si>
  <si>
    <t>Tipo di servitù.</t>
  </si>
  <si>
    <t>Indication altimétrique concernant l’assiette de la servitude.</t>
  </si>
  <si>
    <t>Indicazione della quota per la servitù.</t>
  </si>
  <si>
    <t>La servitude est saisie de façon complète ou incomplète.</t>
  </si>
  <si>
    <t>Est «TRUE» si la servitude est entièrement saisie.
Est «FALSE» si la servitude est partiellement saisie.</t>
  </si>
  <si>
    <t>La servitù è registrata in modo completo o incompleto.</t>
  </si>
  <si>
    <t>È «TRUE» se la servitù è completamente registrata.
È «FALSE» se la servitù è registrata in modo incompleto.</t>
  </si>
  <si>
    <t>DV Provenance</t>
  </si>
  <si>
    <t>Genre de saisie de l’assiette de la servitude</t>
  </si>
  <si>
    <t>IV Provenienza</t>
  </si>
  <si>
    <t>Tipo di registrazione del confine della servitù.</t>
  </si>
  <si>
    <t>Structure d’élément surfacique</t>
  </si>
  <si>
    <t>Elément surfacique de la servitude.</t>
  </si>
  <si>
    <t>La servitude doit au moins comporter un élément surfacique, linéaire ou ponctuel.</t>
  </si>
  <si>
    <t>Struttura ElementoConSuperficie</t>
  </si>
  <si>
    <t>Elemento con superficie della servitù.</t>
  </si>
  <si>
    <t>La servitù deve contenere almeno un elemento con superficie, lineare o puntuale.</t>
  </si>
  <si>
    <t>Structure d’élément linéaire</t>
  </si>
  <si>
    <t>Elément linéaire de la servitude.</t>
  </si>
  <si>
    <t>Struttura ElementoLineare</t>
  </si>
  <si>
    <t>Elemento lineare della servitù.</t>
  </si>
  <si>
    <t>Structure d’élément ponctuel</t>
  </si>
  <si>
    <t>Elément ponctuel de la servitude.</t>
  </si>
  <si>
    <t>Struttura ElementoPuntiforme</t>
  </si>
  <si>
    <t>Elemento puntuale della servitù.</t>
  </si>
  <si>
    <t>Position et orientation du numéro de la servitude.</t>
  </si>
  <si>
    <t xml:space="preserve">Cf. document «Principes de la modélisation: Modèle de géodonnées de la mensuration officielle DMAV». </t>
  </si>
  <si>
    <t>Posizione e orientamento del numero di servitù.</t>
  </si>
  <si>
    <t>Cfr. il documento «Principi di modellazione: Modello di dati della misurazione ufficiale DMAV».</t>
  </si>
  <si>
    <t>Territoires en mouvement permanent</t>
  </si>
  <si>
    <t>Ex.: numéro du dossier technique</t>
  </si>
  <si>
    <t>p. es. numero del dossier tecnico.</t>
  </si>
  <si>
    <t>Désignation plus précise du périmètre du territoire en mouvement permanent</t>
  </si>
  <si>
    <t>Designazione più precisa del perimetro con spostamento di terreno permanente.</t>
  </si>
  <si>
    <t>Costituita da archi e linee. Le sovrapposizioni nella definizione della superficie non devono essere superiori a 2 mm.</t>
  </si>
  <si>
    <t>StructurePositionTexte</t>
  </si>
  <si>
    <t>Position du texte de la description selon le document «Principes de modélisation: modèle de géodonnées de la mensuration officielle DMAV».</t>
  </si>
  <si>
    <t>Attribut structuré selon le document «Principes de modélisation: modèle de géodonnées de la mensuration officielle DMAV».</t>
  </si>
  <si>
    <t>Posizione del testo della descrizione in conformità al documento «Principi di modellazione: Modello di dati della misurazione ufficiale DMAV».</t>
  </si>
  <si>
    <t>Nomenclature de la mensuration officielle</t>
  </si>
  <si>
    <t>Nom de lieu.</t>
  </si>
  <si>
    <t>Nome di località.</t>
  </si>
  <si>
    <t>Le nom de lieu peut être classifié plus finement au besoin.</t>
  </si>
  <si>
    <t>Se necessario, il nome di località può essere classificato in modo più dettagliato.</t>
  </si>
  <si>
    <t>Position du texte du nom conformément au document «Principes de modélisation: modèle de géodonnées de la mensuration officielle DMAV».</t>
  </si>
  <si>
    <t>Struttura posizione del testo</t>
  </si>
  <si>
    <t>Posizione del testo del nome e descrizione in conformità al documento «Principi di modellazione: Modello di dati della misurazione ufficiale DMAV».</t>
  </si>
  <si>
    <t>Nom local.</t>
  </si>
  <si>
    <t>Testo*60</t>
  </si>
  <si>
    <t>Nome locale.</t>
  </si>
  <si>
    <t>Sert à distinguer si les données sont utilisées ou non pour combler des lacunes dans le réseau de la nomenclature couvrant le territoire entier.</t>
  </si>
  <si>
    <t xml:space="preserve">«TRUE» signifie qu’il s’agit d’un objet fictif de la classe «NomLocal».
«FALSE», signifie qu’il s’agit d’un objet réel de la classe «NomLocal».
</t>
  </si>
  <si>
    <t>Serve a distinguere se i dati sono utilizzati per colmare le lacune nella rete capillare della nomenclatura.</t>
  </si>
  <si>
    <t>È «TRUE» se si tratta di un oggetto fittizio della classe «NomeLocale».
È «FALSE» se si tratta di un oggetto reale della classe «NomeLocale».</t>
  </si>
  <si>
    <t>AERA WITH (STRAIGHTS, ARCS) VERTEX Coord2 WITHOUT OVERLAPS &gt; 0.002</t>
  </si>
  <si>
    <t>Area, limite composée d’arcs de cercle et de segments de droite. Les chevauchements dans la définition de la surface ne doivent pas excéder 2 mm.</t>
  </si>
  <si>
    <t>Area, composta da rette e archi. Le sovrapposizioni nella definizione della superficie non devono essere superiori a 2 mm.</t>
  </si>
  <si>
    <t>Position du texte du nom conformément au document «Principes de modélisation: modèle de géodonnées de la mensuration officielle DMAV ».</t>
  </si>
  <si>
    <t>Posizione del testo</t>
  </si>
  <si>
    <t>Lieu-dit.</t>
  </si>
  <si>
    <t>Nome di luogo.</t>
  </si>
  <si>
    <t>Coordonnées planimétriques.</t>
  </si>
  <si>
    <t>Coordinata planimetrica.</t>
  </si>
  <si>
    <t>Définition selon l’Office fédéral de la statistique (OFS), ordonnance sur le Registre fédéral des bâtiments et des logements[1]. Les bâtiments sont en corrélation avec le Registre fédéral des bâtiments et des logements (RegBL).</t>
  </si>
  <si>
    <t>Definizione secondo l'Ufficio federale di statistica (UST), Ordinanza del 31 maggio 2000 sul Registro federale degli edifici e delle abitazioni[1].  Gli edifici sono correlati con il Registro federale degli edifici e delle abitazioni (REA).</t>
  </si>
  <si>
    <t>route_chemin</t>
  </si>
  <si>
    <t>Surfaces remplissant une fonction de desserte pour la circulation des piétons et/ou des véhicules.</t>
  </si>
  <si>
    <t>strada_sentiero</t>
  </si>
  <si>
    <t>Superfici che hanno una funzione di servizio per la circolazione dei pedoni e/o dei veicoli.</t>
  </si>
  <si>
    <t>trottoir</t>
  </si>
  <si>
    <t>Surfaces séparées de la route, servant principalement aux piétons et dont l’accès est interdit aux véhicules à moteur.</t>
  </si>
  <si>
    <t>marciapiede</t>
  </si>
  <si>
    <t>Aree separate dalla strada che sono destinate principalmente ai pedoni e non possono essere utilizzate dai veicoli a motore.</t>
  </si>
  <si>
    <t>ilot</t>
  </si>
  <si>
    <t>Elévation artificielle intégrée à la chaussée qu’il est impératif de contourner et que l’on retrouve au niveau d’un croisement, d’un carrefour giratoire ou de passages pour piétons.</t>
  </si>
  <si>
    <t>spartitraffico</t>
  </si>
  <si>
    <t>Elevazione artificiale nella carreggiata che deve essere aggirata. Gli spartitraffico si trovano presso incroci e attraversamenti pedonali.</t>
  </si>
  <si>
    <t>chemin_de_fer</t>
  </si>
  <si>
    <t>Ensemble des installations ferroviaires, y compris les fondations, les surfaces couvertes de gravier ou de sable et les quais qui se trouvent entre ou à côté des voies.</t>
  </si>
  <si>
    <t>ferrovia</t>
  </si>
  <si>
    <t>L'intero sistema di binari, compresa la fondazione, le superfici ricoperte di ghiaia o sabbia, i marciapiedi situati tra o accanto ai binari.</t>
  </si>
  <si>
    <t>place_aviation</t>
  </si>
  <si>
    <t>Pistes en dur aménagées artificiellement, voies de roulement, aires de stationnement pour les avions.</t>
  </si>
  <si>
    <t>aeroporto</t>
  </si>
  <si>
    <t>Piste, piste di rullaggio, parcheggi per gli aerei creati artificialmente.</t>
  </si>
  <si>
    <t>bassin</t>
  </si>
  <si>
    <t>Ouvrages artificiels y compris leurs bordures, tels que les piscines et les plongeoirs des bains publics, les bassins (domaine public et privé), les bassins de décantation des stations d’épuration des eaux et les réservoirs pour la lutte contre le feu.</t>
  </si>
  <si>
    <t>bacino_idrico</t>
  </si>
  <si>
    <t>Opera artificiale, compresi i suoi bordi, piscina, piscina per tuffi dei bagni pubblici, bacino (su suolo pubblico e privato), bacino di decantazione delle stazioni di depurazione delle acque, bacino di spegnimento.</t>
  </si>
  <si>
    <t>autre_revetement_dur</t>
  </si>
  <si>
    <t>Places de parc destinées aux véhicules, voies de desserte de bâtiments, aires de stockage, esplanades, installations sportives sans surfaces engazonnées.</t>
  </si>
  <si>
    <t>altro_rivestimento_duro</t>
  </si>
  <si>
    <t>Parcheggi per i veicoli, accesso dei mezzi di trasporto agli edifici, posteggi, aree di svago, spiazzi, installazioni sportive senza prati.</t>
  </si>
  <si>
    <t>champ_pre_paturage</t>
  </si>
  <si>
    <t>Surfaces intégrées à une culture en assolement, servant à des cultures fourragères ou utilisées comme pâturages.</t>
  </si>
  <si>
    <t>campo_prato_pascolo</t>
  </si>
  <si>
    <t>Aree incluse in una rotazione di colture, utilizzate per la produzione di foraggio o come pascolo.</t>
  </si>
  <si>
    <t>vigne</t>
  </si>
  <si>
    <t>Surfaces viticoles.</t>
  </si>
  <si>
    <t>vigna</t>
  </si>
  <si>
    <t>Superfici viticole.</t>
  </si>
  <si>
    <t>autre_culture_intensive</t>
  </si>
  <si>
    <t>Cultures fruitières et maraîchères, pépinières.</t>
  </si>
  <si>
    <t>altra_coltura_intensiva</t>
  </si>
  <si>
    <t>Frutteti e centri di giardinaggio.</t>
  </si>
  <si>
    <t>jardin</t>
  </si>
  <si>
    <t>Jardins d’agrément, parcs, jardins pour enfants, buissons, plantations de jardins, gazons, abords extérieurs des maisons.</t>
  </si>
  <si>
    <t>giardino</t>
  </si>
  <si>
    <t>Giardini per il tempo libero, parchi, giardini per bambini, boschetti, piantagioni da giardino, giardini con boschetti, tappeti verdi, terreni circostanti alle case.</t>
  </si>
  <si>
    <t>tourbiere</t>
  </si>
  <si>
    <t>Surfaces répertoriées au sein d’ordonnances de protection de niveau fédéral, cantonal et communal.</t>
  </si>
  <si>
    <t>torbiera</t>
  </si>
  <si>
    <t>Aree elencate nelle ordinanze di protezione federali, cantonali e comunali.</t>
  </si>
  <si>
    <t>autre_verte</t>
  </si>
  <si>
    <t>Bermes centrales herbeuses des voies de circulation ou berges.</t>
  </si>
  <si>
    <t>altro_humus</t>
  </si>
  <si>
    <t>Strisce erbose situate fra vie di traffico, strisce erbose lungo le rive dei corsi d'acqua.</t>
  </si>
  <si>
    <t>eau_stagnante</t>
  </si>
  <si>
    <t>Lacs, étangs, biotopes.</t>
  </si>
  <si>
    <t>specchio_acqua</t>
  </si>
  <si>
    <t>Laghi, stagni, biotopi.</t>
  </si>
  <si>
    <t>cours_eau</t>
  </si>
  <si>
    <t>Rivières, ruisseaux, canaux.</t>
  </si>
  <si>
    <t>corso_acqua</t>
  </si>
  <si>
    <t>Fiumi, ruscelli, canali.</t>
  </si>
  <si>
    <t>roseliere</t>
  </si>
  <si>
    <t>Surfaces couvertes de roseaux servant de transition entre les eaux libres et la terre ferme.</t>
  </si>
  <si>
    <t>canneti</t>
  </si>
  <si>
    <t>Superfici coperte da canneti che fanno da transizione tra le acque libere e la copertura del suolo sulla terra ferma</t>
  </si>
  <si>
    <t>foret_dense</t>
  </si>
  <si>
    <t>Surfaces boisées régies par la loi sur les forêts[2].</t>
  </si>
  <si>
    <t>bosco_fitto</t>
  </si>
  <si>
    <t>Superfici boscate soggette alla legge forestale[2].</t>
  </si>
  <si>
    <t>paturage_boise_dense</t>
  </si>
  <si>
    <t>Définition selon l’ordonnance fédérale sur les forêts[3]. Surfaces sur lesquelles alternent, en forme de mosaïque, des bois et des pâturages servant aussi bien à la production animale qu’à l’économie forestière. L’économie forestière prédomine.</t>
  </si>
  <si>
    <t>pascolo_boscato_fitto</t>
  </si>
  <si>
    <t>Definizione secondo l’ordinanza sulle foreste[3]. Aree utilizzate alternativamente per l'allevamento e la silvicoltura secondo un modello a mosaico. Lo sfruttamento forestale prevale su quello agricolo.</t>
  </si>
  <si>
    <t>paturage_boise_ouvert</t>
  </si>
  <si>
    <t>Définition selon l’ordonnance fédérale sur les forêts. Surfaces sur lesquelles alternent, en forme de mosaïque, des bois et des pâturages servant aussi bien à la production animale qu’à l’économie forestière. La production animale prédomine.</t>
  </si>
  <si>
    <t>pascolo_boscato_rado</t>
  </si>
  <si>
    <t>Definizione secondo l’ordinanza sulle foreste. Aree utilizzate alternativamente per l'allevamento e la silvicoltura secondo un modello a mosaico. Lo sfruttamento agricolo prevale su quello forestale.</t>
  </si>
  <si>
    <t>autre_boisee</t>
  </si>
  <si>
    <t>Forêts pâturées, haies forestières, zones boisées le long des rives et des cours d’eau, zones mixtes comprises entre forêt et pâturages, rochers et éboulis. Zones de transition en altitude, à la limite climatique de la forêt.</t>
  </si>
  <si>
    <t>altro_bosco</t>
  </si>
  <si>
    <t>Boschi pascolati, selve, zone boscate lungo le rive e i corsi d'acqua, zone miste tra foresta e pascolo, roccia, ghiaia. Zone di transizione verso il limite climatico del bosco.</t>
  </si>
  <si>
    <t>rocher</t>
  </si>
  <si>
    <t>Bandes rocheuses remarquables servant à l’orientation.</t>
  </si>
  <si>
    <t>roccia</t>
  </si>
  <si>
    <t>Bande rocciose imponenti che servono all’orientamento.</t>
  </si>
  <si>
    <t>glacier_neve</t>
  </si>
  <si>
    <t>Névé = neige vieille de plusieurs années en haute montagne soumise à des dégels et à des regels successifs. Glacier = surface englacée en permanence.</t>
  </si>
  <si>
    <t>ghiacciaio_nevaio</t>
  </si>
  <si>
    <t>Il nevaio contiene aree innevate in alta montagna che si scongelano e si ricongelano nel corso di diversi anni. I ghiacciai sono superfici permanentemente ghiacciate.</t>
  </si>
  <si>
    <t>eboulis_sable</t>
  </si>
  <si>
    <t>Amas naturels de pierres éparses (moraines latérales par exemple).</t>
  </si>
  <si>
    <t>pietraia_sabbia</t>
  </si>
  <si>
    <t>Accumulo naturale di pietre sciolte (p. es. morene laterali).</t>
  </si>
  <si>
    <t>graviere_decharge</t>
  </si>
  <si>
    <t>Sites d’exploitation de matières premières (gravières, carrières) ou de stockage (décharges, dépôt d’ordures).</t>
  </si>
  <si>
    <t>Cava_di_ghiaia_discarica</t>
  </si>
  <si>
    <t>Discariche gestite per il deposito e l'estrazione di materie prime.</t>
  </si>
  <si>
    <t>autre_sans_vegetation</t>
  </si>
  <si>
    <t>Zones mixtes à la limite climatique de la végétation où la distinction est difficile à établir (herbe, rocher, éboulis, buissons épars).</t>
  </si>
  <si>
    <t>altre_senzavegetazione</t>
  </si>
  <si>
    <t>Zone miste al limite climatico della vegetazione, difficilmente distinguibili (erba, roccia, ghiaia, aree di macchia).</t>
  </si>
  <si>
    <t>Le nouvel objet est saisi dans les données, mais il n’est pas encore réalisé.</t>
  </si>
  <si>
    <t>In_progetto</t>
  </si>
  <si>
    <t>Il nuovo oggetto è riportato nei dati, ma non è ancora realizzato.</t>
  </si>
  <si>
    <t>L’objet est réalisé et correspond à la situation actuelle.</t>
  </si>
  <si>
    <t>L’oggetto è realizzato e corrisponde alla situazione attuale.</t>
  </si>
  <si>
    <t>L’objet a été démoli ou est caduc, de sorte qu’il n‘existe plus.</t>
  </si>
  <si>
    <t>L’oggetto è demolito o passato e non esiste più.</t>
  </si>
  <si>
    <t>Numéro de l’objet.</t>
  </si>
  <si>
    <t>Numero dell’oggetto.</t>
  </si>
  <si>
    <t>Position du texte du numéro de l’objet selon le document «Principes de modélisation: modèle de géodonnées de la mensuration officielle DMAV».</t>
  </si>
  <si>
    <t>Posizione del testo del numero dell’oggetto in conformità al documento «Principi di modellazione: Modello di dati della misurazione ufficiale DMAV».</t>
  </si>
  <si>
    <t>Nom / désignation de l’objet.</t>
  </si>
  <si>
    <t>Nome / denominazione dell’oggetto.</t>
  </si>
  <si>
    <t>Position du texte du nom de l’objet selon le document «Principes de modélisation: modèle de géodonnées de la mensuration officielle DMAV».</t>
  </si>
  <si>
    <t>Posizione del testo del nome dell’oggetto in conformità al documento «Principi di modellazione: Modello di dati della misurazione ufficiale DMAV».</t>
  </si>
  <si>
    <t>DV GenreCouvertureSol</t>
  </si>
  <si>
    <t>Classification de l’objet «GenreCouvertureSol» conformément à la définition du domaine de valeurs.</t>
  </si>
  <si>
    <t>Si l’attribut «Fictif» prend la valeur «TRUE», le genre de couverture du sol n’est pas à saisir. Il doit impérativement être saisi sinon.</t>
  </si>
  <si>
    <t>IV GenereCoperturaSuolo</t>
  </si>
  <si>
    <t>Classificazione dell'oggetto «CoperturaSuolo» in base alla definizione dell'intervallo di valori.</t>
  </si>
  <si>
    <t>Se l'oggetto è attribuito come «Fittizio» «TRUE», il genere di copertura del suolo non deve essere registrato. Altrimenti, il genere di copertura del suolo deve essere registrato.</t>
  </si>
  <si>
    <t>Sert à distinguer si l‘objet est utilisé ou non pour combler des lacunes dans le réseau surfacique de la couverture du sol.</t>
  </si>
  <si>
    <t xml:space="preserve">«TRUE» signifie qu’il s’agit d’un objet fictif de la couverture du sol.
«FALSE» signifie qu’il s’agit d’un objet réel de la couverture du sol. </t>
  </si>
  <si>
    <t>Serve a distinguere se l'oggetto è utilizzato o meno per colmare lacune nella rete di superfici della copertura del suolo.</t>
  </si>
  <si>
    <t>È «TRUE» se si tratta di un oggetto fittizio della copertura del suolo.
È «FALSE» se si tratta di un oggetto reale della copertura del suolo.</t>
  </si>
  <si>
    <t>DV StandardQualite</t>
  </si>
  <si>
    <t>Standard de qualité de la mensuration officielle, selon la définition dans le document «Principes de modélisation: modèle de géodonnées de la mensuration officielle DMAV».</t>
  </si>
  <si>
    <t>Standard qualitativo della misurazione ufficiale secondo la definizione contenuta nel documento «Principi di modellazione: Modello di dati della misurazione ufficiale DMAV».</t>
  </si>
  <si>
    <t>Conformément au modèle «GeometryCHLV95_V2» du registre des modèles de données «CHBase_Part1_GEOMETRY_V2.ili».
Les couvertures du sol dont la validité est «en_vigueur» remplissent les conditions de cohérence des données géométriques du type «AREA» (cf. document «Principes de modélisation: modèle de géodonnées de la mensuration officielle DMAV»).</t>
  </si>
  <si>
    <t>Surface, composta da rette e archi. Le sovrapposizioni nella definizione della surface non devono essere superiori a 2 mm.</t>
  </si>
  <si>
    <t>Secondo il modello di dati «GeometryCHLV95_V2» del Model Repository «CHBase_Part1_GEOMETRY_V2.ili».
Le coperture del suolo attribuite come valide soddisfano le condizioni di coerenza dei dati geometrici di tipo «AREA» (cfr. documento «Principi di modellazione: Modello di dati della misurazione ufficiale DMAV»).</t>
  </si>
  <si>
    <t>DV StatutObjet</t>
  </si>
  <si>
    <t>Statut de l’objet.</t>
  </si>
  <si>
    <t>IV StatoOggetto</t>
  </si>
  <si>
    <t>Stato dell’oggetto</t>
  </si>
  <si>
    <t>Structure NumeroObjet</t>
  </si>
  <si>
    <t>Numéro de l‘objet.</t>
  </si>
  <si>
    <t>Struttura NumeroOggetto</t>
  </si>
  <si>
    <t>Numéro EGID selon le Registre des bâtiments et des logements (RegBL). Il est attribué par l’Office fédéral de la statistique (OFS).</t>
  </si>
  <si>
    <t>Il doit être saisi lorsque l’objet est géré dans les données du Registre des bâtiments et des logements (RegBL).</t>
  </si>
  <si>
    <t>Numero EGID secondo il Registro federale degli edifici e delle abitazioni (REA). È rilasciato dall'Ufficio federale di statistica (UST).</t>
  </si>
  <si>
    <t>Deve essere registrato se l'immobile è inserito nei dati del Registro federale degli edifici e delle abitazioni (REA).</t>
  </si>
  <si>
    <t xml:space="preserve">Structure NomObjet </t>
  </si>
  <si>
    <t>Nom de l‘objet.</t>
  </si>
  <si>
    <t>Struttura NomeOggetto</t>
  </si>
  <si>
    <t>Nome dell’oggetto.</t>
  </si>
  <si>
    <t>Structure PositionSymbole</t>
  </si>
  <si>
    <t>Indications pour la représentation de symboles sur les extraits graphiques (cf. le document «Principes de modélisation: modèle de géodonnées de la mensuration officielle DMAV»)</t>
  </si>
  <si>
    <t>Pour représenter les symboles des genres de couverture du sol:
- bassin et
- eau_stagnante.</t>
  </si>
  <si>
    <t>Struttura PosizioneSimbolo</t>
  </si>
  <si>
    <t>Indicazioni per la rappresentazione dei simboli sugli estratti grafici (cfr. il documento «Principi di modellazione: Geodati della misurazione ufficiale DMAV»).</t>
  </si>
  <si>
    <t>Per la rappresentazione dei simboli dei generi di copertura del suolo:
- bacino idrico e
- specchio d’acqua.</t>
  </si>
  <si>
    <t>Coordonnées du point mesuré.</t>
  </si>
  <si>
    <t>Coordinate del punto misurato.</t>
  </si>
  <si>
    <t>Altitude du point mesuré.</t>
  </si>
  <si>
    <t>Quota del punto misurato.</t>
  </si>
  <si>
    <t>Précision planimétrique du point mesuré.</t>
  </si>
  <si>
    <t>Precisione della posizione del punto misurato.</t>
  </si>
  <si>
    <t>La position du point mesuré est fiable.</t>
  </si>
  <si>
    <t>«TRUE» signifie que le point mesuré a été saisi de manière fiable en planimétrie.
Des points mesurés qui ne sont pas déterminés de façon fiable ou qui sont créés sur la base d’un calcul ou d’une construction, doivent être saisis comme étant «non fiables», soit avec la valeur «FALSE».</t>
  </si>
  <si>
    <t>La posizione del punto misurato è affidabile.</t>
  </si>
  <si>
    <t>È «TRUE», se la posizione del punto misurato è stata registrata in modo affidabile.
I punti misurati determinati in modo inaffidabile o che sono il risultato di un calcolo o di una costruzione devono essere registrati come «inaffidabili» o con il valore «FALSE».</t>
  </si>
  <si>
    <t>Précision altimétrique du point mesuré.</t>
  </si>
  <si>
    <t>Si une «GeometrieAltitude» a été saisie pour le point mesuré, une valeur doit obligatoirement être saisie pour l’attribut «PrecisionAltimetrie». Si aucune «GeometrieAltitude» n’a été saisie, aucune «PrecisionAltimetrie» ne doit l’être.</t>
  </si>
  <si>
    <t>Precisione della quota del punto misurato.</t>
  </si>
  <si>
    <t>Se viene registrata una «GeometriaQuota» per un punto misurato, è obbligatorio registrare un valore per l’attributo «PrecisioneQuota». Se non viene registrata nessuna «GeometriaQuota», non può essere registrata nemmeno una «PrecisioneQuota».</t>
  </si>
  <si>
    <t>L’altitude du point mesuré est fiable.</t>
  </si>
  <si>
    <t>«TRUE» signifie que l’altitude a été déterminée de manière fiable.
«FALSE» signifie que l’altitude n’a pas été déterminée de manière fiable.
Si une «GeometrieAltitude» a été saisie pour le point mesuré, une valeur doit obligatoirement être saisie pour l’attribut «EstFiableAltimetrie». Si aucune «GeometrieAltitude» n’a été saisie, aucune valeur ne doit être saisie pour «EstFiableAltimetrie».</t>
  </si>
  <si>
    <t>La quota del punto misurato è affidabile.</t>
  </si>
  <si>
    <t>È «TRUE» se la quota è stata determinata in modo affidabile.
È «FALSE» se la quota è stata determinata in modo inaffidabile.
Se viene registrata una «GeometriaQuota» per un punto misurato, è obbligatorio registrare un valore per l’attributo «EAffidabileQuota». Se non viene registrata nessuna «GeometriaQuota», non può essere registrato nemmeno un valore per «EAffidabileQuota».</t>
  </si>
  <si>
    <t>Précision de détermination du point mesuré.</t>
  </si>
  <si>
    <t>«TRUE» signifie que le point mesuré a été déterminé avec le plus grand soin (un angle de bâtiment par exemple).
«FALSE» signifie que le point mesuré n’a été déterminé que de façon approchée (pour un champ, un pré ou un pâturage par exemple).</t>
  </si>
  <si>
    <t>Precisione di accertamento del punto misurato.</t>
  </si>
  <si>
    <t>È «TRUE» se il punto misurato è stato determinato con particolare accuratezza (p. es. angoli di edifici).
È «FALSE» se il punto misurato è stato determinato solo in modo approssimativo (p. es. per campi, prati, pascoli).</t>
  </si>
  <si>
    <t>- murs bien marqués entretenant un rapport étroit avec des bâtiments
- murs le long de routes, de places et de cours d’eau publics
- murs bien marqués le long de limites de biens-fonds
- murs de pierres sèches servant d’aide à l‘orientation</t>
  </si>
  <si>
    <t>- Muri evidenti di edifici
- Muri lungo strade pubbliche, piazze e corsi d'acqua
- Muri evidenti lungo i confini di immobili
- Muri a secco che fungono da punto di riferimento</t>
  </si>
  <si>
    <t>Constructions souterraines telles que des garages souterrains, des installations de la protection civile, des stations de pompage, etc.</t>
  </si>
  <si>
    <t>Edificio_sotterraneo</t>
  </si>
  <si>
    <t>Edifici sotterranei come parcheggi sotterranei, strutture della protezione civile, stazioni di pompaggio, ecc.</t>
  </si>
  <si>
    <t>- différenciations de bâtiment
- balcons solides et bien marqués
- avant-toits solides et bien marqués
- jonctions entre bâtiments et passerelles
- rampes de chargement d’une certaine taille
- renfoncements et passages bien marqués
- piliers de bâtiments</t>
  </si>
  <si>
    <t>- Gradinature dell'edificio
- Balconi solidi e evidenti
- Tettoie solide e evidenti
- Collegamenti tra edifici e passerelle
- Grandi rampe di carico
- Incassi e passaggi evidenti
- Pilastri dell'edificio</t>
  </si>
  <si>
    <t>Elément de liaison entre des surfaces du genre de couverture du sol «cours_eau» ou des lignes du genre d’objets divers «ru»</t>
  </si>
  <si>
    <t>Elemento di connessione tra le superfici del tipo di copertura del suolo «Corso d’acqua» o le linee del tipo di oggetto singolo «Ruscello»</t>
  </si>
  <si>
    <t>Escaliers d’équipements et de bâtiments publics, de chemins publics réservés aux piétons. Les murs liés à l’escalier doivent lui être affectés</t>
  </si>
  <si>
    <t>Scale di edifici pubblici, impianti e sentieri pedonali. I muri collegati alla scala devono essere assegnati alla scala.</t>
  </si>
  <si>
    <t>- les tunnels sont des passages souterrains aménagés artificiellement afin de faciliter la communication et les transports
- les passages inférieurs sont des voies de communication situées sous une autre voie de communication
- les galeries sont des recouvrements en partie ouverts sur les côtés</t>
  </si>
  <si>
    <t>- I tunnel sono passaggi sotterranei creati per il traffico.
- I sottopassaggi sono vie di comunicazione che si trovano sotto un'altra via di comunicazione.
- Le gallerie sono coperture parzialmente aperte ai lati.</t>
  </si>
  <si>
    <t>Elément de liaison entre des surfaces des genres de couverture du sol «route_chemin» et «chemin_de_fer» ou des genres d’objets divers «tunnel_passage_inferieur_galerie» et «sentier»</t>
  </si>
  <si>
    <t>Elemento di collegamento tra le superfici dei tipi di copertura del suolo «strada_sentiero», «ferrovia» e i tipi di oggetto singolo. «tunnel_sottopassaggio_galleria» e «sentiero».</t>
  </si>
  <si>
    <t>- surfaces accessibles aux voyageurs, sur ou à côté de la couverture du sol «chemin_de_fer»
- quai de tramway</t>
  </si>
  <si>
    <t>- Superfici accessibili su o accanto alla copertura del suolo «ferrovia»
- Banchina per i tram</t>
  </si>
  <si>
    <t>Fontaines publiques</t>
  </si>
  <si>
    <t>Fontane pubbliche</t>
  </si>
  <si>
    <t>Réservoirs d’eau souterrains</t>
  </si>
  <si>
    <t>Serbatoi d'acqua sotterranei</t>
  </si>
  <si>
    <t>Piliers de soutènement de grande dimension de ponts et de couverts</t>
  </si>
  <si>
    <t>Massicci pilastri di sostegno di ponti e pensiline</t>
  </si>
  <si>
    <t>- pour abriter des objets durant une période prolongée
- pour fournir une protection contre les intempéries à un groupe de personnes</t>
  </si>
  <si>
    <t>- Per custodire gli oggetti per lunghi periodi di tempo
- Per proteggere le persone dalle intemperie</t>
  </si>
  <si>
    <t>Tours implantées de façon permanente en surface</t>
  </si>
  <si>
    <t>Torri fuori terra con una collocazione fissa</t>
  </si>
  <si>
    <t>Cheminées remarquables</t>
  </si>
  <si>
    <t>Camini vistosi</t>
  </si>
  <si>
    <t>- objets servant de points d’orientation
- objets répertoriés dans un inventaire public</t>
  </si>
  <si>
    <t>- Oggetti con status di monumento
- Oggetti che sono riportati in un inventario pubblico</t>
  </si>
  <si>
    <t>- mâts des lignes aériennes à haute tension
- mâts des téléphériques, télécabines et télésièges
- antennes isolées</t>
  </si>
  <si>
    <t>- pali delle linee aeree ad alta tensione
- Montanti di funivie, seggiovie e telecabine
- Antenne libere</t>
  </si>
  <si>
    <t>Tours et plateformes panoramiques</t>
  </si>
  <si>
    <t>Piattaforme e torri panoramiche</t>
  </si>
  <si>
    <t>Consolidation des rives par des enrochements ou des éperons</t>
  </si>
  <si>
    <t>Arginature come gettate di massi e scogliere in massi</t>
  </si>
  <si>
    <t>Ouvrages barrant les cours d’eau, perpendiculairement à la direction du courant</t>
  </si>
  <si>
    <t>Arginatura di corsi d'acqua per interrompere l'attività idroelettrica</t>
  </si>
  <si>
    <t>Ouvrages implantés dans la zone de rupture, destinés à empêcher le déclenchement des avalanches</t>
  </si>
  <si>
    <t>Strutture situate nella zona di distacco per impedire l'innesco di valanghe</t>
  </si>
  <si>
    <t>Socles massifs et bien marqués</t>
  </si>
  <si>
    <t>Zoccoli massicci</t>
  </si>
  <si>
    <t>Constructions en ruines</t>
  </si>
  <si>
    <t>Edifici disintegrati</t>
  </si>
  <si>
    <t>- appontements en dur pour bateaux
- appontements flottants pour bateaux au sein de ports
- débarcadères servant à la navigation publique</t>
  </si>
  <si>
    <t>- Punti d’attracco massicci nei porti
- Punti d’attracco per barche galleggianti nei porti
- Imbarcaderi per la navigazione pubblica</t>
  </si>
  <si>
    <t>- blocs erratiques
- rochers isolés importants</t>
  </si>
  <si>
    <t>- Blocchi erratici
- Singola roccia importante</t>
  </si>
  <si>
    <t>Haies et bosquets champêtres utiles en tant qu’aides à l’orientation en dehors de la zone habitée</t>
  </si>
  <si>
    <t>Siepi e boschetti, utili come aiuto all'orientamento al di fuori dell'area abitata</t>
  </si>
  <si>
    <t>Cours d’eau étroits à écoulement temporaire ou permanent</t>
  </si>
  <si>
    <t>Corsi d'acqua stretti con flusso d'acqua temporaneo o permanente</t>
  </si>
  <si>
    <t>- liaisons piétonnières importantes
- chemins pédestres et itinéraires de randonnée officiels 
- chemins pour piétons (sentes et sentiers) situés en forêt</t>
  </si>
  <si>
    <t>- Sentieri pedonali importanti
- Sentieri e percorsi pedonali ufficiali
- Sentieri e vie nella foresta</t>
  </si>
  <si>
    <t>Lignes à:
- haute tension, entre 50 et 150 kV
- très haute tension, entre 220 et 400 kV
L’axe du tracé de la ligne doit être saisi (généralement défini par les points centraux des mâts).</t>
  </si>
  <si>
    <t>Linee con:
- Alta tensione 50 - 150 kV
- Tensione massima 220 - 400 kV
È necessario registrare l'asse del tracciato della linea (solitamente definito dal centro del traliccio).</t>
  </si>
  <si>
    <t>Conduites aériennes des centrales hydroélectriques et de chauffage à distance</t>
  </si>
  <si>
    <t>Condotte fuori terra delle centrali idroelettriche e di teleriscaldamento</t>
  </si>
  <si>
    <t>Axe de la voie</t>
  </si>
  <si>
    <t>Asse dei binari</t>
  </si>
  <si>
    <t>Axe (entre les câbles) du tracé du téléphérique</t>
  </si>
  <si>
    <t>Asse del tracciato della linea della teleferica (asse tra i cavi)</t>
  </si>
  <si>
    <t>Axe (entre les câbles) du tracé de la télécabine / du télésiège</t>
  </si>
  <si>
    <t>Asse del tracciato della linea della telecabina o della seggiovia (asse tra i cavi)</t>
  </si>
  <si>
    <t>Axe (entre les câbles) du tracé du téléphérique de chantier</t>
  </si>
  <si>
    <t>Asse del tracciato della linea della teleferica per il materiale (asse tra i cavi)</t>
  </si>
  <si>
    <t>Axe (entre les câbles) du tracé du skilift</t>
  </si>
  <si>
    <t>Asse del tracciato della linea dello scilift per il materiale (asse tra i cavi)</t>
  </si>
  <si>
    <t>Câble de guidage du bac au-dessus du cours d’eau</t>
  </si>
  <si>
    <t>Fune del traghetto sopra lo specchio d’acqua</t>
  </si>
  <si>
    <t>Entrée de la grotte ou de la caverne</t>
  </si>
  <si>
    <t>Ingresso della grotta o della caverna</t>
  </si>
  <si>
    <t>Convoyeurs à bande, lignes de tir, toboggans, pistes de luge</t>
  </si>
  <si>
    <t>Nastri trasportatori, linee di mira, piste per slittini, scivoli</t>
  </si>
  <si>
    <t>Arbres isolés protégés par le droit public</t>
  </si>
  <si>
    <t>Singoli alberi protetti dal diritto pubblico</t>
  </si>
  <si>
    <t>Statues et crucifix sur lesquels il n’est pas possible de se tenir</t>
  </si>
  <si>
    <t>Statue e crocifissi non accessibili</t>
  </si>
  <si>
    <t>Point d’émergence ou de captage de la source</t>
  </si>
  <si>
    <t>Punto di uscita o di raccolta della sorgente</t>
  </si>
  <si>
    <t>Bornes kilométriques et panneaux historiques ou système de repérage de base (SRB) de l’Association suisse des professionnels de la route et des transports VSS</t>
  </si>
  <si>
    <t>Pietre chilometriche storiche, tavole o sistema di georeferenziazione spaziale di base (RBBS) dell'Associazione svizzera dei professionisti della strada e dei trasporti (VSS)</t>
  </si>
  <si>
    <t>Fosses à purin ouvertes et fermées, tas de fumier</t>
  </si>
  <si>
    <t>Concimaia chiusa o aperta</t>
  </si>
  <si>
    <t>StatusObjet</t>
  </si>
  <si>
    <t>Le nouvel objet divers est saisi, mais il n’est pas encore réalisé.</t>
  </si>
  <si>
    <t>Il nuovo oggetto singolo è registrato, ma non è ancora realizzato.</t>
  </si>
  <si>
    <t>L‘objet divers est réalisé et reproduit la situation actuelle.</t>
  </si>
  <si>
    <t>L’oggetto singolo è realizzato e riflette la situazione attuale.</t>
  </si>
  <si>
    <t>L‘objet divers a été démoli ou est caduc, de sorte qu’il n‘existe plus.</t>
  </si>
  <si>
    <t>L’oggetto singolo è demolito o passato e non esiste più.</t>
  </si>
  <si>
    <t>Composée d’arcs de cercle et de segments de droite. Les chevauchements dans la définition de la surface ne doivent pas excéder 2 mm.</t>
  </si>
  <si>
    <t>Position du symbole de l’élément surfacique selon le document «Principes de modélisation: modèle de géodonnées de la mensuration officielle DMAV».</t>
  </si>
  <si>
    <t>Posizione del simbolo dell’elemento con superficie secondo il documento «Principi di modellazione: Modello di dati della misurazione ufficiale DMAV».</t>
  </si>
  <si>
    <t>Position du symbole de l’élément linéaire selon le document «Principes de modélisation: modèle de géodonnées de la mensuration officielle DMAV».</t>
  </si>
  <si>
    <t>Numéro de l’objet divers.</t>
  </si>
  <si>
    <t>Numero dell’oggetto singolo.</t>
  </si>
  <si>
    <t>Genre_ObjetDivers</t>
  </si>
  <si>
    <t>DV GenreObjetDivers</t>
  </si>
  <si>
    <t>Classification de l’objet des «Objets divers» conformément à la définition du domaine de valeurs.</t>
  </si>
  <si>
    <t>IV GenereOggettoSingolo</t>
  </si>
  <si>
    <t>Classificazione dell’oggetto «Oggetto singolo misurazione ufficiale» secondo la definizione dell’intervallo di valori.</t>
  </si>
  <si>
    <t>Structure ElementSurfacique</t>
  </si>
  <si>
    <t>Elément surfacique de l’objet divers.</t>
  </si>
  <si>
    <t>Le Tableau 2 énumère les genres d’objets divers pouvant contenir des éléments surfaciques.</t>
  </si>
  <si>
    <t>Elemento con superficie dell’oggetto singolo.</t>
  </si>
  <si>
    <t>La Tabella 2 contiene l’elenco dei tipi di oggetti singoli che possono contenere elementi con superficie.</t>
  </si>
  <si>
    <t>Structure ElementLineaire</t>
  </si>
  <si>
    <t>Elément linéaire de l’objet divers.</t>
  </si>
  <si>
    <t>Le Tableau 2 énumère les genres d’objets divers pouvant contenir des éléments linéaires.</t>
  </si>
  <si>
    <t>Elemento lineare dell’oggetto singolo,</t>
  </si>
  <si>
    <t>La Tabella 2 contiene l’elenco dei tipi di oggetti singoli che possono contenere elementi lineari.</t>
  </si>
  <si>
    <t>Structure ElementPonctuel</t>
  </si>
  <si>
    <t>Elément ponctuel de l’objet divers.</t>
  </si>
  <si>
    <t>Le Tableau 2 énumère les genres d’objets divers pouvant contenir des éléments ponctuels.</t>
  </si>
  <si>
    <t>Elemento puntuale dell’oggetto singolo.</t>
  </si>
  <si>
    <t>La Tabella 2 contiene l’elenco dei tipi di oggetti singoli che possono contenere elementi puntuali.</t>
  </si>
  <si>
    <t>Structure NomObjet</t>
  </si>
  <si>
    <t>Nom / désignation de l’objet divers.</t>
  </si>
  <si>
    <t>Nome / denominazione dell’oggetto singolo.</t>
  </si>
  <si>
    <t>Numéro EGID selon le Registre fédéral des bâtiments et des logements (RegBL). Il est attribué par l’Office fédéral de la statistique (OFS).</t>
  </si>
  <si>
    <t>Il doit être saisi si l‘objet est géré dans les données du Registre fédéral des bâtiments et des logements (RegBL).</t>
  </si>
  <si>
    <t>È «TRUE», quando la posizione del punto misurato è registrata in modo affidabile.
I punti misurati determinati in modo inaffidabile o che sono il risultato di un calcolo o di una costruzione devono essere registrati come «inaffidabili» o con il valore «FALSE».</t>
  </si>
  <si>
    <t>«TRUE» signifie que l’altitude du point mesuré a été déterminée de manière fiable.
«FALSE» signifie que l’altitude du point mesuré n’a pas été déterminée de manière fiable.
Si une «GeometrieAltitude» a été saisie pour le point mesuré, une valeur doit obligatoirement être saisie pour l’attribut «EstFiableAltimetrie». Si aucune «GeometrieAltitude» n’a été saisie, aucune valeur ne doit être saisie pour «EstFiableAltimetrie».</t>
  </si>
  <si>
    <t>È «TRUE», quando la quota del punto misurato è determinata in modo affidabile.
È «FALSE», quando la quota del punto misurato è determinata in modo inaffidabile.
Se viene registrata una «GeometriaQuota» per un punto misurato, è obbligatorio registrare un valore per l’attributo «EAffidabileQuota». Se non viene registrata nessuna «GeometriaQuota», non può essere registrato nemmeno un valore per «EAffidabileQuota».</t>
  </si>
  <si>
    <t>«TRUE» signifie que le point mesuré a été déterminé avec le plus grand soin (un angle de mur par exemple).
«FALSE» signifie que le point mesuré n’a été déterminé que de façon approchée (un ru réduit à sa plus simple expression par exemple).</t>
  </si>
  <si>
    <t>È «TRUE» se il punto misurato è stato determinato con particolare accuratezza (p. es. angoli di muri).
È «FALSE» se il punto misurato è stato determinato solo in modo approssimativo (p. es. piccolo ruscello).</t>
  </si>
  <si>
    <t>Le présent objet est une conduite de gaz (gazoduc).</t>
  </si>
  <si>
    <t>L'oggetto in questione è una condotta di gas.</t>
  </si>
  <si>
    <t>Le présent objet est un oléoduc.</t>
  </si>
  <si>
    <t>Petrolio</t>
  </si>
  <si>
    <t>L'oggetto in questione è un oleodotto.</t>
  </si>
  <si>
    <t>Le présent objet n’est ni un gazoduc ni un oléoduc.</t>
  </si>
  <si>
    <t>L'oggetto in questione non è né una condotta di gas né un oleodotto.</t>
  </si>
  <si>
    <t>balise</t>
  </si>
  <si>
    <t>Le présent point est une balise servant à repérer la conduite.</t>
  </si>
  <si>
    <t>Il punto in questione è un segnale per la marcatura della condotta.</t>
  </si>
  <si>
    <t>plaquette_borne</t>
  </si>
  <si>
    <t>Le présent point est une plaquette ou une borne servant à repérer la conduite.</t>
  </si>
  <si>
    <t>tavola_cippo</t>
  </si>
  <si>
    <t>Il punto in questione è una tavola o una pietra per la demarcazione della condotta.</t>
  </si>
  <si>
    <t>Le repérage de la conduite prend une autre forme.</t>
  </si>
  <si>
    <t>La condotta è demarcata da un ulteriore contrassegno.</t>
  </si>
  <si>
    <t>Le nouvel objet de conduite est saisi, mais il n’est pas encore réalisé.</t>
  </si>
  <si>
    <t>Il nuovo oggetto delle condotte è registrato, ma non è ancora realizzato.</t>
  </si>
  <si>
    <t>L‘objet de conduite est réalisé et reproduit la situation actuelle.</t>
  </si>
  <si>
    <t>L’oggetto delle condotte è realizzato e riflette la situazione attuale.</t>
  </si>
  <si>
    <t>L‘objet de conduite a été démoli ou est caduc, de sorte qu’il n‘existe plus.</t>
  </si>
  <si>
    <t>L’oggetto delle condotte è demolito o passato e non esiste più.</t>
  </si>
  <si>
    <t>Conformément au modèle «GeometryCHLV95_V2» du registre des modèles de données «CHBase_Part1_GEOMETRY_V2.ili»</t>
  </si>
  <si>
    <t>Saisie des portions d’éléments de conduites visibles dans le monde réel.</t>
  </si>
  <si>
    <t>Registrazione di sezioni di oggetti di condotta visibili nel mondo reale.</t>
  </si>
  <si>
    <t>L’élément linéaire est-il visible ou invisible dans le monde réel?</t>
  </si>
  <si>
    <t>«TRUE» signifie que l’objet est visible.
«FALSE» signifie que l’objet est souterrain ou n’est pas visible.</t>
  </si>
  <si>
    <t>Registrazione che indica se l'elemento di linea è visibile o invisibile nel mondo reale.</t>
  </si>
  <si>
    <t>È «TRUE» se l’oggetto è visibile.
È «FALSE» se l’oggetto è sotto il suolo o non è visibile.</t>
  </si>
  <si>
    <t xml:space="preserve">Conformément au modèle «GeometryCHLV95_V2» du registre des modèles de données «CHBase_Part1_GEOMETRY_V2.ili». </t>
  </si>
  <si>
    <t>Altitude de l’élément ponctuel.</t>
  </si>
  <si>
    <t>La valeur de «GeomAlt» ne peut pas être égale à 0.000.</t>
  </si>
  <si>
    <t>GeomQuota</t>
  </si>
  <si>
    <t>Quota dell’elemento puntuale</t>
  </si>
  <si>
    <t>«GeomQuota» non deve essere 0.000.</t>
  </si>
  <si>
    <t>Orientation de l’élément ponctuel.</t>
  </si>
  <si>
    <t>Orientamento dell’elemento puntuale</t>
  </si>
  <si>
    <t>DV Matiere</t>
  </si>
  <si>
    <t>Genre de conduite.</t>
  </si>
  <si>
    <t>Mezzo</t>
  </si>
  <si>
    <t>IV Sostanza</t>
  </si>
  <si>
    <t>Tipo di condotta</t>
  </si>
  <si>
    <t>Exploitant de la conduite.</t>
  </si>
  <si>
    <t>Operatore</t>
  </si>
  <si>
    <t>Operatore della condotta</t>
  </si>
  <si>
    <t>Standard de qualité de l‘objet selon le document «Principes de modélisation: modèle de géodonnées de la mensuration officielle DMAV».</t>
  </si>
  <si>
    <t>Standard qualitativo dell’oggetto in conformità al documento «Principi di modellazione: Modello di dati della misurazione ufficiale DMAV».</t>
  </si>
  <si>
    <t>Elément dont l’extension est surfacique (ex.: socle de fondation).</t>
  </si>
  <si>
    <t>Un élément surfacique, linéaire ou ponctuel au moins doit être saisi dans l‘objet «ElementConduite».</t>
  </si>
  <si>
    <t>Elemento con estensione di superficie (p. es. base di una fondazione).</t>
  </si>
  <si>
    <t>Nell'oggetto «OggettoCondotta» deve essere registrato almeno un elemento di superficie, lineare o puntuale.</t>
  </si>
  <si>
    <t>Elément dont l’extension est linéaire (ex.: un tube ou une canalisation).</t>
  </si>
  <si>
    <t>Elemento con estensione lineare (p. es. una condotta).</t>
  </si>
  <si>
    <t>Objet de forme ponctuelle.</t>
  </si>
  <si>
    <t>Oggetto puntuale.</t>
  </si>
  <si>
    <t>Stato dell’oggetto.</t>
  </si>
  <si>
    <t>Position du texte pour désigner  l’exploitant. Définition selon le document «Principes de modélisation: modèle de géodonnées de la mensuration officielle DMAV».</t>
  </si>
  <si>
    <t>Posizione del testo per l'etichettatura dell'operatore. Definizione in conformità al documento «Principi di modellazione: Modello di dati della misurazione ufficiale DMAV».</t>
  </si>
  <si>
    <t>Numéro du point ou désignation du signal.</t>
  </si>
  <si>
    <t>Numero del punto o denominazione del segnale</t>
  </si>
  <si>
    <t>DV GenreSignal</t>
  </si>
  <si>
    <t>Genre du signal (plaquette, borne, etc.).</t>
  </si>
  <si>
    <t>IV GenereSegnale</t>
  </si>
  <si>
    <t>Genere di segnale (tavola, pietra, ecc.).</t>
  </si>
  <si>
    <t>Coordonnées planimétriques du signal.</t>
  </si>
  <si>
    <t>Coordinate di posizione del segnale.</t>
  </si>
  <si>
    <t>Orientation du symbole pour la représentation.</t>
  </si>
  <si>
    <t>Orientamento del simbolo nella rappresentazione.</t>
  </si>
  <si>
    <t>Position du texte pour désigner le signal. Définition selon le document «Principes de modélisation: modèle de géodonnées de la mensuration officielle DMAV».</t>
  </si>
  <si>
    <t>Posizione del testo per l'etichettatura del segnale. Definizione in conformità al documento «Principi di modellazione: Modello di dati della misurazione ufficiale DMAV».</t>
  </si>
  <si>
    <t>Testo*12</t>
  </si>
  <si>
    <t>L’altezza del punto misurato è affidabile.</t>
  </si>
  <si>
    <t>«TRUE» signifie que le point mesuré a été déterminé avec le plus grand soin.
«FALSE» signifie que le point mesuré n’a été déterminé que de façon approchée.</t>
  </si>
  <si>
    <t>È «TRUE» se il punto misurato è stato determinato con particolare accuratezza.
È «FALSE» se il punto misurato è stato determinato solo in modo approssimativo.</t>
  </si>
  <si>
    <t>NT1</t>
  </si>
  <si>
    <t>NiveauTolerance 1.</t>
  </si>
  <si>
    <t>GT1</t>
  </si>
  <si>
    <t>Grado di tolleranza 1</t>
  </si>
  <si>
    <t>NT2</t>
  </si>
  <si>
    <t>NiveauTolerance 2.</t>
  </si>
  <si>
    <t>GT2</t>
  </si>
  <si>
    <t>Grado di tolleranza 2</t>
  </si>
  <si>
    <t>NT3</t>
  </si>
  <si>
    <t>NiveauTolerance 3.</t>
  </si>
  <si>
    <t>GT3</t>
  </si>
  <si>
    <t>Grado di tolleranza 3</t>
  </si>
  <si>
    <t>NT4</t>
  </si>
  <si>
    <t>NiveauTolerance 4.</t>
  </si>
  <si>
    <t>GT4</t>
  </si>
  <si>
    <t>Grado di tolleranza 4</t>
  </si>
  <si>
    <t>NT5</t>
  </si>
  <si>
    <t>NiveauTolerance 5.</t>
  </si>
  <si>
    <t>GT5</t>
  </si>
  <si>
    <t>Grado di tolleranza 5</t>
  </si>
  <si>
    <t>Ex.: numéro du dossier  technique.</t>
  </si>
  <si>
    <t>DV niveau de tolérance</t>
  </si>
  <si>
    <t>Niveau de tolérance selon l‘OMO-DDPS.</t>
  </si>
  <si>
    <t>IV GradoTolleranza</t>
  </si>
  <si>
    <t>Grado di tolleranza secondo l’OMU-DDPS</t>
  </si>
  <si>
    <t>Sert à distinguer si les données sont utilisées ou non pour combler des lacunes dans le réseau des niveaux de tolérance couvrant intégralement le territoire.</t>
  </si>
  <si>
    <t>«TRUE» signifie qu’il s’agit d’un objet fictif des niveaux de tolérance.
«FALSE» signifie qu’il s’agit d’un objet réel des niveaux de tolérance.</t>
  </si>
  <si>
    <t>Serve a distinguere se i dati sono utilizzati per colmare le lacune nella rete capillare dei gradi di tolleranza.</t>
  </si>
  <si>
    <t>È «TRUE» se si tratta di un oggetto fittizio dei gradi di tolleranza.
È «FALSE» se si tratta di un oggetto reale dei gradi di tolleranza.</t>
  </si>
  <si>
    <t>Area, limite composée d’arcs de cercle et de segments de droite. Les chevauchements dans la définition de la surface ne doivent pas excéder 2 mm.</t>
  </si>
  <si>
    <t>Area, costituita da archi e linee. Le sovrapposizioni nella definizione della superficie non devono essere superiori a 2 mm.</t>
  </si>
  <si>
    <t>Für offizielle Adressen gilt, dass die Lokalisation zusammen mit der Hausnummer innerhalb einer Ortschaft eineindeutig ist.</t>
  </si>
  <si>
    <t>couverture_du_sol</t>
  </si>
  <si>
    <t>L’entrée de bâtiment fait partie d’une construction saisie dans les données du module «Couverture du sol» (§1.3).</t>
  </si>
  <si>
    <t>L’entrata dell'edificio appartiene a un edificio registrato nei dati del modulo «CoperturaSuolo» (capitolo 1.3).</t>
  </si>
  <si>
    <t>objets_divers</t>
  </si>
  <si>
    <t>L’entrée de bâtiment fait partie d’une construction saisie dans les données du module «Objets divers» (§1.3).</t>
  </si>
  <si>
    <t>L’entrata dell'edificio appartiene a un edificio registrato nei dati del modulo «OggettiSingoli» (capitolo 1.3).</t>
  </si>
  <si>
    <t>place</t>
  </si>
  <si>
    <t>Une surface libre généralement entourée de bâtiments.</t>
  </si>
  <si>
    <t>piazza</t>
  </si>
  <si>
    <t>Una superficie libera che di regola è circondata da edifici.</t>
  </si>
  <si>
    <t>rue</t>
  </si>
  <si>
    <t>Infrastructure destinée à la circulation, utilisée par des véhicules ou par des personnes, pour se rendre d’un lieu à un autre.</t>
  </si>
  <si>
    <t>via</t>
  </si>
  <si>
    <t>Struttura di trasporto utilizzata da veicoli e/o persone per spostarsi da un luogo all'altro.</t>
  </si>
  <si>
    <t>lieu_denomme</t>
  </si>
  <si>
    <t>Zones ou aires construites, totalement dépourvues de rues ou de places.</t>
  </si>
  <si>
    <t>zona_denominata</t>
  </si>
  <si>
    <t>Zone di campagna edificate o aree in cui non sono denominate strade o piazze.</t>
  </si>
  <si>
    <t>pas_de_numeros</t>
  </si>
  <si>
    <t>Principe de numérotation exclusivement réservé aux adresses de bâtiments dans le contexte du genre de localisation «lieu_denomme», pour autant qu’il soit exceptionnellement permis de renoncer à l’adressage des bâtiments.</t>
  </si>
  <si>
    <t>nessuno</t>
  </si>
  <si>
    <t>Esclusivamente un principio di numerazione per gli indirizzi degli edifici che sono collegati al tipo di localizzazione «ZonaDenominata» e per i quali è consentita una deroga eccezionale all'indirizzamento degli edifici.</t>
  </si>
  <si>
    <t>quelconque</t>
  </si>
  <si>
    <t>Aucun principe de numérotation n’est défini pour l’adressage des bâtiments.</t>
  </si>
  <si>
    <t>qualunque</t>
  </si>
  <si>
    <t>Non è definito alcun principio di numerazione per l'indirizzamento degli edifici.</t>
  </si>
  <si>
    <t>croissante</t>
  </si>
  <si>
    <t>Principe de numérotation exclusivement réservé aux adresses de bâtiments dans le contexte du genre de localisation «place». La géométrie de la «place» définit le sens de rotation dans lequel la numérotation est «croissante».</t>
  </si>
  <si>
    <t>ascendente</t>
  </si>
  <si>
    <t>Principio di numerazione esclusivo per gli indirizzi degli edifici associati al tipo di localizzazione «Piazza». La geometria del tipo di localizzazione «Piazza» determina il senso di rotazione in cui la numerazione è «ascendente»</t>
  </si>
  <si>
    <t>impairs_a_gauche</t>
  </si>
  <si>
    <t>Principe de numérotation exclusivement réservé aux adresses de bâtiments dans le contexte du genre de localisation «rue». La géométrie de la «rue» est orientée. Avec l’attribut «impairs_a_gauche», des numéros de maison impairs sont affectés au côté gauche de la rue.</t>
  </si>
  <si>
    <t>dispari_a_sinistra</t>
  </si>
  <si>
    <t>Esclusivamente un principio di numerazione per gli indirizzi degli edifici associati al tipo di localizzazione «Via». La geometria del tipo di localizzazione «Via» è diretta. L'attribuzione «dispari_a_sinistra» specifica che il lato sinistro della via contiene numeri civici dispari.</t>
  </si>
  <si>
    <t>pairs_a_gauche</t>
  </si>
  <si>
    <t>Principe de numérotation exclusivement réservé aux adresses de bâtiments dans le contexte du genre de localisation «rue». La géométrie de la «rue» est orientée. Avec l’attribut «pairs_a_gauche», des numéros de maison pairs sont affectés au côté gauche de la rue.</t>
  </si>
  <si>
    <t>pari_a_sinistra</t>
  </si>
  <si>
    <t>Esclusivamente un principio di numerazione per gli indirizzi degli edifici associati al tipo di localizzazione «Via». La geometria del tipo di localizzazione «Via» è diretta. L'attribuzione «pari_a_sinistra» specifica che il lato sinistro della via contiene numeri civici pari.</t>
  </si>
  <si>
    <t>Allemand</t>
  </si>
  <si>
    <t>Tedesco</t>
  </si>
  <si>
    <t>Français</t>
  </si>
  <si>
    <t>Francese</t>
  </si>
  <si>
    <t>Italien</t>
  </si>
  <si>
    <t>Romanche</t>
  </si>
  <si>
    <t>Retoromancio</t>
  </si>
  <si>
    <t>Le nouvel objet est saisi, mais il n’est pas encore réalisé.</t>
  </si>
  <si>
    <t>Il nuovo oggetto è registrato, ma non è ancora realizzato.</t>
  </si>
  <si>
    <t>L‘objet est réalisé et reproduit la situation actuelle.</t>
  </si>
  <si>
    <t>L’oggetto è realizzato e riflette la situazione attuale.</t>
  </si>
  <si>
    <t>L‘objet a été démoli ou est caduc, de sorte qu’il n‘existe plus.</t>
  </si>
  <si>
    <t>Description de la construction.</t>
  </si>
  <si>
    <t>Descrizione dell'edificio</t>
  </si>
  <si>
    <t>DV Langue</t>
  </si>
  <si>
    <t>Langue dans laquelle la description de la construction est saisie.</t>
  </si>
  <si>
    <t>IV Lingua</t>
  </si>
  <si>
    <t>Lingua in cui è redatta la descrizione dell'edificio.</t>
  </si>
  <si>
    <t>Nom de la construction.</t>
  </si>
  <si>
    <t>Nome dell'edificio</t>
  </si>
  <si>
    <t>Nom abrégé de la construction.</t>
  </si>
  <si>
    <t>Nome abbreviato dell'edificio.</t>
  </si>
  <si>
    <t>Nom de la construction comme index.</t>
  </si>
  <si>
    <t>Nome dell'edificio come indice.</t>
  </si>
  <si>
    <t>Langue dans laquelle le nom de la construction est saisi.</t>
  </si>
  <si>
    <t>Lingua in cui è redatto il nome dell'edificio.</t>
  </si>
  <si>
    <t>Position du texte du nom de la construction selon le document «Principes de modélisation: modèle de géodonnées de la mensuration nationale DMAV».</t>
  </si>
  <si>
    <t>Posizione del testo del nome dell’edificio in conformità al documento «Principi di modellazione: Modello di dati della misurazione ufficiale DMAV».</t>
  </si>
  <si>
    <t>Nom de la localisation (ex. rue Guillaume-Henri Dufour).</t>
  </si>
  <si>
    <t>Le nom est sans équivoque au sein d’un objet «Localité» des géodonnées de base «Répertoire officiel des localités avec le code postal et le périmètre» (cf. § 1.3)</t>
  </si>
  <si>
    <t>Nome della localizzazione (p. es. Conrad-Ferdinand-Meyer-Strasse).</t>
  </si>
  <si>
    <t>Il nome è univoco all'interno di un oggetto «Località» dei geodati di base «Elenco ufficiale delle località con numeri postali e perimetri» (cfr. capitolo 1.3)</t>
  </si>
  <si>
    <t>Désignation abrégée de la localisation (ex. rue GH Dufour).</t>
  </si>
  <si>
    <t>Le nom abrégé est sans équivoque au sein d’un objet «Localité» des géodonnées de base «Répertoire officiel des localités avec le code postal et le périmètre» (cf. § 1.3).</t>
  </si>
  <si>
    <t>Denominazione abbreviata della localizzazione (p. es. CF Meyer Strasse).</t>
  </si>
  <si>
    <t>Il nome abbreviato all'interno di un oggetto «Località» dei geodati di base «Elenco ufficiale delle località con numeri postali e perimetri» (cfr. capitolo 1.3)</t>
  </si>
  <si>
    <t>Nom de la localisation pour un index (ex. rueGHD).</t>
  </si>
  <si>
    <t>Le nom comme index est sans équivoque au sein d’un objet «Localité» des géodonnées de base «Répertoire officiel des localités avec le code postal et le périmètre» (cf. § 1.3).</t>
  </si>
  <si>
    <t>Nome della localizzazione per un indice (p. es. CFMStr).</t>
  </si>
  <si>
    <t>Il nome come indice è univoco all'interno di un oggetto «Località» dei geodati di base «Elenco ufficiale delle località con numeri postali e perimetri» (cfr. capitolo 1.3)</t>
  </si>
  <si>
    <t>Langue dans laquelle le nom de la localisation est saisi.</t>
  </si>
  <si>
    <t>Lingua in cui è redatto il nome della localizzazione.</t>
  </si>
  <si>
    <t>Position du texte du nom de la localisation selon le document «Principes de modélisation: modèle de géodonnées de la mensuration nationale DMAV».</t>
  </si>
  <si>
    <t>Posizione del testo del nome della localizzazione in conformità al documento «Principi di modellazione: Modello di dati della misurazione ufficiale DMAV».</t>
  </si>
  <si>
    <t>Sert à distinguer s’il s’agit ou non d’un axe dans le cas de la présente géométrie (ex. : rues où une limite territoriale passe au milieu de la chaussée).</t>
  </si>
  <si>
    <t>«TRUE» signifie que le tronçon de rue est un axe de rue.
«FALSE» signifie que le présent tronçon de rue est une place ou n’est pas un axe de rue.</t>
  </si>
  <si>
    <t>Serve a distinguere se la geometria in questione è un asse o meno (p. es. per le strade che corrono al centro lungo un confine giurisdizionale).</t>
  </si>
  <si>
    <t>È «TRUE» se il tronco stradale è un tronco o un asse stradale.
È «FALSE» se il tronco stradale in questione è una piazza o un asse stradale.</t>
  </si>
  <si>
    <t>Géométrie des localisations Place ou TronconRue.</t>
  </si>
  <si>
    <t>Geometria delle localizzazioni Piazza o TroncoStrada.</t>
  </si>
  <si>
    <t>Numéro de la localisation.</t>
  </si>
  <si>
    <t>Numero della localizzazione.</t>
  </si>
  <si>
    <t>Structure NomLocalisation</t>
  </si>
  <si>
    <t>Nom officiel ou désignation du groupement. Le nom de la  localisation peut être officiel en plusieurs langues.</t>
  </si>
  <si>
    <t>Struttura NomeLocalizzazione</t>
  </si>
  <si>
    <t>Nome e/o denominazione ufficiale della localizzazione. Il nome della localizzazione può essere ufficiale in diverse lingue.</t>
  </si>
  <si>
    <t>DV GenreLocalisation</t>
  </si>
  <si>
    <t>Principe d’adressage de la localisation (selon qu’il s’agit d’une place, d’une rue ou d’un lieu dénommé).</t>
  </si>
  <si>
    <t>Conformément à l’entrée pour l’objet, les géométries doivent être saisies:
- dans l’attribut structuré «TronconRue» pour une place,
- dans l’attribut structuré «TronconRue» pour une rue,
- dans l’attribut structuré «LieuDenomme» pour un lieu dénommé. 
Une combinaison de plusieurs formes de localisation (par exemple une place et un lieu dénommé) n’est pas permise.</t>
  </si>
  <si>
    <t>IV GenereLocalizzazione</t>
  </si>
  <si>
    <t>Principio di indirizzamento della localizzazione (secondo piazza, strada o area denominata).</t>
  </si>
  <si>
    <t>Le geometrie devono essere registrate in base alla voce dell’oggetto:
- per una piazza nell'attributo strutturato «TroncoStrada»,
- per una strada nell'attributo strutturato «TroncoStrada»,
- per una zona denominata nell'attributo strutturato «ZonaDenominata»,
Non è consentita la combinazione di più forme di localizzazione (p. es. piazza con area denominata).</t>
  </si>
  <si>
    <t>DV PrincipeNumerotation</t>
  </si>
  <si>
    <t>Règles régissant le principe de numérotation des adresses de bâtiments.</t>
  </si>
  <si>
    <t>IV PrincipioNumerazione</t>
  </si>
  <si>
    <t>Regolamentazione del principio di numerazione dell'indirizzo dell'edificio.</t>
  </si>
  <si>
    <t>Structure TronconRue</t>
  </si>
  <si>
    <t>Attributs et données géométriques des genres de localisation Place et Rue.</t>
  </si>
  <si>
    <t>Si «place» ou «rue» est saisi pour le «GenreLocalisation», alors la localisation doit être saisie dans l’attribut «TronconRue».</t>
  </si>
  <si>
    <t>Struttura TroncoStrada</t>
  </si>
  <si>
    <t>Attributi e dati geometrici dei generi di localizzazione piazza e strada.</t>
  </si>
  <si>
    <t>Se nell'attributo «GenereLocalizzazione» è stato registrato «Piazza» o «Via», la localizzazione deve essere inserita nell'attributo «TroncoStrada».</t>
  </si>
  <si>
    <t>Structure LieuDenomme</t>
  </si>
  <si>
    <t>Attributs et données géométriques du genre de localisation LieuDenomme.</t>
  </si>
  <si>
    <t>Si «lieu_denomme» est saisi pour le «GenreLocalisation», alors la localisation doit être saisie dans l’attribut «LieuDenomme».</t>
  </si>
  <si>
    <t>Struttura ZonaDenominata</t>
  </si>
  <si>
    <t>Struttura della zona denominata</t>
  </si>
  <si>
    <t>Se nell'attributo «GenereLocalizzazione» è stato registrato «ZonaDenominata», nell’attributo «ZonaDenominata deve essere registrata la localizzazione.</t>
  </si>
  <si>
    <t xml:space="preserve">EstDesignationOfficielle </t>
  </si>
  <si>
    <t>S’agit-il d’une localisation officielle?</t>
  </si>
  <si>
    <t>«TRUE» signifie que la localisation est officielle.
«FALSE» signifie que la localisation n’est pas officielle.</t>
  </si>
  <si>
    <t>Si tratta di una localizzazione ufficiale.</t>
  </si>
  <si>
    <t>È «TRUE» se la localizzazione è ufficiale.
È «FALSE» se la localizzazione è inufficiale.</t>
  </si>
  <si>
    <t>Révision de la localisation en cours?</t>
  </si>
  <si>
    <t>«TRUE» signifie que la localisation est en cours de révision.
«FALSE» signifie que la localisation est en vigueur.</t>
  </si>
  <si>
    <t>La localizzazione viene rielaborata.</t>
  </si>
  <si>
    <t>È «TRUE» se la localizzazione viene rielaborata.
È «FALSE» se la localizzazione è valida.</t>
  </si>
  <si>
    <t>Attributs saisis provisoirement?</t>
  </si>
  <si>
    <t>«TRUE» signifie que les attributs sont saisis provisoirement.
«FALSE» signifie que les attributs sont saisis définitivement.</t>
  </si>
  <si>
    <t>Gli attributi sono registrati a titolo provvisorio.</t>
  </si>
  <si>
    <t>È «TRUE» se gli attributi sono registrati a titolo provvisorio.
È «FALSE» se gli attributi sono registrati in modo valido.</t>
  </si>
  <si>
    <t xml:space="preserve">Validité de l’objet «Localisation». </t>
  </si>
  <si>
    <t>Pour les exigences, cf. 5.</t>
  </si>
  <si>
    <t>Validità dell’oggetto «Localizzazione».</t>
  </si>
  <si>
    <t>Per i requisiti vedi capitolo 5.</t>
  </si>
  <si>
    <t>Identificateur de la localisation et clé étrangère pour l’échange de données avec le Registre fédéral des bâtiments et des logements (RegBL).</t>
  </si>
  <si>
    <t>Identificatore di localizzazione e chiave esterna per lo scambio di dati con il Registro federale degli edifici e delle abitazioni (REA).</t>
  </si>
  <si>
    <t>Numéro du bâtiment</t>
  </si>
  <si>
    <t>Pour les adresses officielles, l’ensemble localisation – numéro de maison doit être parfaitement univoque au sein d’une localité.</t>
  </si>
  <si>
    <t xml:space="preserve">Numero dell'edificio </t>
  </si>
  <si>
    <t>Per gli indirizzi ufficiali, la localizzazione e il numero civico all'interno DI «NPA Località» devono essere univoci.</t>
  </si>
  <si>
    <t>Structure NomBatiment</t>
  </si>
  <si>
    <t>Nom officiel ou désignation officielle du bâtiment.</t>
  </si>
  <si>
    <t>Struttura NomeEdificio</t>
  </si>
  <si>
    <t>Nome o denominazione ufficiale dell’edificio.</t>
  </si>
  <si>
    <t>Structure DescriptionBatiment</t>
  </si>
  <si>
    <t>Description du bâtiment.</t>
  </si>
  <si>
    <t>Struttura DescrizioneEdificio</t>
  </si>
  <si>
    <t>Statut du bâtiment.</t>
  </si>
  <si>
    <t>Pour les exigences, cf.5.</t>
  </si>
  <si>
    <t>Stato dell'edificio.</t>
  </si>
  <si>
    <t>DV DansModule</t>
  </si>
  <si>
    <t>L’entrée concerne-t-elle un objet du module «Couverture du sol» ou «Objets divers»?</t>
  </si>
  <si>
    <t>IV InModulo</t>
  </si>
  <si>
    <t>L’entrata si riferisce a un oggetto del modulo «CoperturaSuolo» o «OggettiSingoli».</t>
  </si>
  <si>
    <t>Coordonnées planimétriques de l’entrée.</t>
  </si>
  <si>
    <t>Coordinate di posizione dell'entrata.</t>
  </si>
  <si>
    <t>Hauteur de l’entrée du bâtiment si on pénètre dans ce dernier à plusieurs niveaux au même endroit.</t>
  </si>
  <si>
    <t>Quota dell'entrata dell'edificio se l'accesso all'edificio ha luogo nello stesso luogo a una quota diversa.</t>
  </si>
  <si>
    <t>Adresse utilisée officiellement (oui) ou adresse interne (non)?</t>
  </si>
  <si>
    <t>L’indirizzo viene utilizzato ufficialmente (sì) o si tratta di un indirizzo interno (no).</t>
  </si>
  <si>
    <t>Révision de l’entrée de bâtiment, resp. de son adresse?</t>
  </si>
  <si>
    <t>L’entrata dell'edificio o il suo indirizzo viene rielaborata/o.</t>
  </si>
  <si>
    <t>Saisie provisoire des attributs?</t>
  </si>
  <si>
    <t>Identificateur de bâtiment et clé étrangère pour l’échange de données avec le Registre fédéral des bâtiments et des logements (RegBL).</t>
  </si>
  <si>
    <t>Identificatore dell'edificio e chiave esterna per lo scambio di dati con il Registro federale degli edifici e delle abitazioni (REA).</t>
  </si>
  <si>
    <t>Identificateur d’entrée et clé étrangère pour l’échange de données avec le Registre fédéral des bâtiments et des logements (RegBL).</t>
  </si>
  <si>
    <t>Identificatore dell’entrata e chiave esterna per lo scambio di dati con il Registro federale degli edifici e delle abitazioni (REA).</t>
  </si>
  <si>
    <t>Position du texte du numéro de la maison selon le document «Principes de modélisation: modèle de géodonnées de la mensuration nationale DMAV».</t>
  </si>
  <si>
    <t>Posizione del numero civico in conformità al documento «Principi di modellazione: Modello di dati della misurazione ufficiale DMAV».</t>
  </si>
  <si>
    <t>Nom de la documentation du modèle en français dans laquelle l'attribut et son domaine de valeurs sont décrits</t>
  </si>
  <si>
    <t>Domaine de valeurs de l'attribut (en français)</t>
  </si>
  <si>
    <t>Valeur par défaut de l'attribut (en français)</t>
  </si>
  <si>
    <t>Commentaire sur l'attribut / exigence envers la modélisation des données selon la documentation du modèle (en français)</t>
  </si>
  <si>
    <t>Nom du fichier contenant la description du modèle en INTERLIS 2.4 (en français)</t>
  </si>
  <si>
    <t>Nom du modèle selon la description du modèle en INTERLIS 2.4 (en français)</t>
  </si>
  <si>
    <t>Genre de l'élément (domaine, classe, domaine de valeurs, etc.)</t>
  </si>
  <si>
    <t>MANDATORY - des données doivent être saisies pour cet objet :
Empty (champ vierge) = saisie facultative (non MANDATORY)
x = saisie obligatoire (MANDATORY)</t>
  </si>
  <si>
    <t>L'attribut est (une partie de) l'identificateur :
ID = l'attribut est l'identificateur
ID+ = l'attribut est combiné à d'autres attributs pour former l'identificateur</t>
  </si>
  <si>
    <t>Nom de l'attribut</t>
  </si>
  <si>
    <t>Liste de valeurs d'attributs uniques définies dans une structure</t>
  </si>
  <si>
    <t>Explication de la condition (Constraint)</t>
  </si>
  <si>
    <t>Nom de la table (en français)</t>
  </si>
  <si>
    <t>Domaine de valeurs (en français)</t>
  </si>
  <si>
    <t>La combinaison IdentDN - numéro doit être unique pour les PFP3.</t>
  </si>
  <si>
    <t>Un PFP3 avec une altitude doit contenir des informations sur la précision de cette altitude.
Un PFP3 sans altitude ne doit contenir aucune information sur la précision de l'altitude.</t>
  </si>
  <si>
    <t>Un PFP3 avec une altitude doit contenir des informations sur la fiabilité de cette altitude.
Un PFP3 sans altitude ne doit contenir aucune information sur la fiabilité de l'altitude.</t>
  </si>
  <si>
    <t>Le genre d'abornement «NonMaterialise» n'est pas autorisé pour les PFP3.</t>
  </si>
  <si>
    <t>Si le PFP3 a une fonction de point limite ou de point de limite territoriale, il convient de définir s'il s'agit ou non d'une ancienne borne speciale.</t>
  </si>
  <si>
    <t>La combinaison IdentDN - numéro doit être unique pour les PFA3.</t>
  </si>
  <si>
    <t>Si une partie de la limite communale est litigieuse, la ligne marquant la partie litigieuse doit coïncider avec la géométrie de l'objet «LimiteCommune».</t>
  </si>
  <si>
    <t>Si une partie de la limite communale est définie provisoirement, la ligne marquant la partie définie provisoirement doit coïncider avec la géométrie de l'objet «LimiteCommune».</t>
  </si>
  <si>
    <t>Si une partie de la limite communale est indéfinie, la ligne marquant la partie indéfinie doit coïncider avec la géométrie de l'objet «LimiteCommune».</t>
  </si>
  <si>
    <t>Les géométries de toutes les limites communales en vigueur forment des surfaces AREA et ne doivent pas se chevaucher.</t>
  </si>
  <si>
    <t>Si l'objet «LimiteCommune» est déclaré comme étant «fictif», l'objet «Commune» doit l'être aussi.</t>
  </si>
  <si>
    <t>Un point limite avec une altitude doit contenir des informations sur la précision de cette altitude.
Un point limite sans altitude ne doit contenir aucune information sur la précision de l'altitude.</t>
  </si>
  <si>
    <t>Un point limite avec une altitude doit contenir des informations sur la fiabilité de cette altitude.
Un point limite sans altitude ne doit contenir aucune information sur la fiabilité de l'altitude.</t>
  </si>
  <si>
    <t>Seule la valeur «NonMaterialise» peut être associée à un point limite non défini exactement.</t>
  </si>
  <si>
    <t>Il ne peut y avoir plusieurs points limites réels avec les mêmes coordonnées.</t>
  </si>
  <si>
    <t>Si l'immeuble est intégralement disponible, sa superficie totale ne doit pas être saisie.
Si l'immeuble n'est que partiellement disponible, sa superficie totale doit être saisie.</t>
  </si>
  <si>
    <t>La combinaison IdentDN - SousUniteRegistreFoncier - numéro doit être unique pour les immeubles réels.</t>
  </si>
  <si>
    <t>Il ne peut pas y avoir plusieurs immeubles réels avec le même EGRID.</t>
  </si>
  <si>
    <t>Si une partie du bien-fonds est litigieuse, la ligne marquant la partie litigieuse doit coïncider avec la géométrie de l'objet «BienFonds».</t>
  </si>
  <si>
    <t>L'objet «Immeuble» doit être du genre «bien_fonds» pour pouvoir être en relation avec un objet «BienFonds».</t>
  </si>
  <si>
    <t>Si le bien-fond est déclaré comme étant «fictif» , l'immeuble doit l'étre aussi.
Si le bien-fond n'est pas déclaré comme étant «fictif», l'immeuble ne doit pas l'être non plus.</t>
  </si>
  <si>
    <t>Si l'objet «BienFonds» est déclaré comme étant «litigieux», l'objet «Immeuble» doit l'être aussi.
Si l'objet «BienFonds» n'est pas déclaré comme étant «litigieux», l'objet «Immeuble» ne doit pas l'être non plus.</t>
  </si>
  <si>
    <t>Si un «NumeroImmeublePartiel» a été saisi pour l'objet «BienFonds», la valeur «FALSE» doit être saisie pour l'attribut «EstComplet» de l'objet «Immeuble».
Si aucun «NumeroImmeublePartiel» n'a été saisi pour l'objet «BienFonds», la valeur «TRUE» doit être saisie pour l'attribut «EstComplet» de l'objet «Immeuble».</t>
  </si>
  <si>
    <t>Si une partie du droit distinct et permanent est litigieuse, la ligne marquant la partie litigieuse doit coïncider avec la géométrie de l'objet «DroitDistinctPermanent».</t>
  </si>
  <si>
    <t>L'objet «Immeuble» doit être du genre «droit_distinct_permanent» pour pouvoir être en relation avec un objet «DroitDistinctPermanent».</t>
  </si>
  <si>
    <t>Un immeuble du genre «droit_distinct_permanent» ne peut pas être déclaré comme étant «fictif».</t>
  </si>
  <si>
    <t>Si l'objet «DroitDistinctPermanent» est déclaré comme étant «litigieux» , l'objet «Immeuble» doit l'être aussi.
Si l'objet «DroitDistinctPermanent» n'est pas déclaré comme étant «litigieux», l'objet «Immeuble» ne doit pas l'être non plus.</t>
  </si>
  <si>
    <t>Si un «NumeroImmeublePartiel» a été saisi pour l'objet «DroitDistinctPermanent», la valeur «FALSE» doit être saisie pour l'attribut «EstComplet» de l'objet «Immeuble».
Si aucun «NumeroImmeublePartiel» n'a été saisi pour l'objet «DroitDistinctPermanent», la valeur «TRUE» doit être saisie pour l'attribut «EstComplet» de l'objet «Immeuble».</t>
  </si>
  <si>
    <t>Si une partie de la mine est litigieuse, la ligne marquant la partie litigieuse doit coïncider avec la géométrie de l'objet «Mine».</t>
  </si>
  <si>
    <t>L'objet «Immeuble» doit être du genre «mine» pour pouvoir être en relation avec un objet «Mine».</t>
  </si>
  <si>
    <t>Un immeuble du genre «mine» ne peut pas être déclaré comme étant «fictif».</t>
  </si>
  <si>
    <t>Si l'objet «Mine» est déclaré comme étant «litigieux», l'objet «Immeuble» doit l'être aussi.
Si l'objet «Mine» n'est pas déclaré comme étant «litigieux», l'objet «Immeuble» ne doit pas l'être non plus.</t>
  </si>
  <si>
    <t>Si un «NumeroImmmeublePartiel» a été saisi pour l'objet «Mine», la valeur «FALSE» doit être saisie pour l'attribut «EstComplet» de l'objet «Immeuble».
Si aucun «NumeroImmmeublePartiel» n'a été saisi pour l'objet «Mine», la valeur «TRUE» doit être saisie pour l'attribut «EstComplet» de l'objet «Immeuble».</t>
  </si>
  <si>
    <t>Si une «SuperficieTotale» a été saisie pour un objet «Immeuble», plusieurs objets «BienFonds», «DroitDistinctPermanent» ou «Mine» doivent lui être associés.
Si aucune «SuperficieTotale» n'a été saisie pour un objet «Immeuble», un seul objet «BienFonds», «DroitDistinctPermanent» ou «Mine» doit lui être associé.</t>
  </si>
  <si>
    <t>Seuls des objets «BienFonds», «DroitDistinctPermanent» et «Mine» peuvent être en relation avec l'objet «Immeuble». Aucune forme mixte n'est autorisée ici.</t>
  </si>
  <si>
    <t>Un objet «AssietteDeServitude» doit contenir au moins une géométrie de la structure «ElementSurfacique», «ElementLineaire» ou «ElementPonctuel».</t>
  </si>
  <si>
    <t>Identificateur d'objet unique</t>
  </si>
  <si>
    <t>La combinaison IdentDN - numéro doit être unique pour les territoires en mouvement permanent réels.</t>
  </si>
  <si>
    <t>Une position doit impérativement être saisie pour le symbole des objets du «Genre_CouvertureSol» «bassin» et «eau_stagnante». Cette saisie est facultative pour les autres objets.</t>
  </si>
  <si>
    <t>Si l'objet «CouvertureSol» est «fictif», le genre de couverture du sol ne doit pas être défini.
Si l'objet «CouvertureSol» n'est pas «fictif», un genre de couverture du sol doit être défini.</t>
  </si>
  <si>
    <t>Les géométries de tous les objets réels de la couverture du sol auxquels le statut «réel» a été attribué forment des surfaces AREA et ne doivent pas se chevaucher.</t>
  </si>
  <si>
    <t>Un point mesuré avec une altitude doit contenir des informations sur la précision de cette altitude.
Un point mesuré sans altitude ne doit contenir aucune information sur la précision de l'altitude.</t>
  </si>
  <si>
    <t>Un point mesuré avec une altitude doit contenir des informations sur la fiabilité de cette altitude.
Un point mesuré sans altitude ne doit contenir aucune information sur la fiabilité de l'altitude.</t>
  </si>
  <si>
    <t>Un objet «ObjetDivers» doit contenir au moins une géométrie de la structure «ElementSurfacique», «ElementLineaire» ou «ElementPonctuel».</t>
  </si>
  <si>
    <t>Si une partie de la conduite est visible, la ligne marquant la partie visible doit coïncider avec la géométrie de la structure «ElementSurfacique».</t>
  </si>
  <si>
    <t>Un objet «Conduite» doit contenir au moins une géométrie de la structure «ElementSurfacique», «ElementLineaire» ou «ElementPonctuel».</t>
  </si>
  <si>
    <t>Si la localisation est définie comme étant du genre place ou rue, des éléments «TronconRue» doivent être saisis.</t>
  </si>
  <si>
    <t>Si la localisation est définie comme étant du genre lieu denommé, un élément «LieuDenomme» doit être saisi.</t>
  </si>
  <si>
    <t>Si le principe «pas_de_numeros» est défini pour la numérotation, aucun numéro de maison ne doit être saisi.</t>
  </si>
  <si>
    <t>Un PFP1 avec une altitude doit contenir des informations sur la précision de cette altitude.
Un PFP1 sans altitude ne doit contenir aucune information sur la précision de l'altitude.</t>
  </si>
  <si>
    <t>Un PFP1 avec une altitude doit contenir des informations sur la fiabilité de cette altitude.
Un PFP1 sans altitude ne doit contenir aucune information sur la fiabilité de l'altitude.</t>
  </si>
  <si>
    <t>Un punto confine non definito con precisione può essere attribuito esclusivamente come «NonMaterializzato».</t>
  </si>
  <si>
    <t>Filtrer toutes les communes dont la création est entrée en vigueur (réelles), mais dont la suppression ne l'est pas (caduques).</t>
  </si>
  <si>
    <t>Filtrer toutes les limites communales dont la création est entrée en vigueur (réelles), mais dont la suppression ne l'est pas (caduques).</t>
  </si>
  <si>
    <t>Filtrer toutes les parties de limites communales projetées qui ont été créées mais n'ont pas été approuvées (projetées).</t>
  </si>
  <si>
    <t>Filtrer toutes les parties de limites de districts dont la création est entrée en vigueur (réelles), mais dont la suppression ne l'est pas (caduques).</t>
  </si>
  <si>
    <t>Filtrer toutes les parties de limites cantonales dont la création est entrée en vigueur (réelles), mais dont la suppression ne l'est pas (caduques).</t>
  </si>
  <si>
    <t>Filtrer tous les points limites dont la création est entrée en vigueur (réels), mais dont la suppression ne l'est pas (caducs).</t>
  </si>
  <si>
    <t>Filtrer tous les immeubles dont la création est entrée en vigueur (réels), mais dont la suppression ne l'est pas (caducs).</t>
  </si>
  <si>
    <t>Filtrer tous les biens-fonds dont la création est entrée en vigueur (réels), mais dont la suppression ne l'est pas (caducs).</t>
  </si>
  <si>
    <t>Filtrer tous les droits distincts et permanents dont la création est entrée en vigueur (réels), mais dont la suppression ne l'est pas (caducs).</t>
  </si>
  <si>
    <t>Filtrer toutes les mines dont la création est entrée en vigueur (réelles), mais dont la suppression ne l'est pas (caduques).</t>
  </si>
  <si>
    <t>Filtrer toutes les assiettes de servitudes dont la création est entrée en vigueur (réelles), mais dont la suppression ne l'est pas (caduques).</t>
  </si>
  <si>
    <t>Filtrer tous les territoires en mouvement permanent dont la création est entrée en vigueur (réels), mais dont la suppression ne l'est pas (caducs).</t>
  </si>
  <si>
    <t>Filtrer toutes les couvertures du sol qui ont été créés (réelles).</t>
  </si>
  <si>
    <t>La valeur de l'attribut ChiffreSupplementaire doit être un nombre à deux chiffres.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</si>
</sst>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8"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10"/>
      <color theme="0"/>
      <name val="Arial"/>
      <family val="2"/>
    </font>
    <font>
      <sz val="10"/>
      <color theme="0"/>
      <name val="Arial"/>
      <family val="2"/>
    </font>
    <font>
      <b/>
      <sz val="14"/>
      <color theme="0"/>
      <name val="Arial"/>
      <family val="2"/>
    </font>
    <font>
      <b/>
      <sz val="10"/>
      <color theme="1"/>
      <name val="Arial"/>
      <family val="2"/>
    </font>
    <font>
      <b/>
      <sz val="16"/>
      <color theme="1"/>
      <name val="Arial"/>
      <family val="2"/>
    </font>
    <font>
      <sz val="16"/>
      <color theme="1"/>
      <name val="Arial"/>
      <family val="2"/>
    </font>
    <font>
      <b/>
      <sz val="16"/>
      <color theme="0"/>
      <name val="Arial"/>
      <family val="2"/>
    </font>
    <font>
      <sz val="10"/>
      <color theme="1"/>
      <name val="Calibri"/>
      <family val="2"/>
      <scheme val="minor"/>
    </font>
    <font>
      <b/>
      <sz val="10"/>
      <color theme="1"/>
      <name val="Calibri"/>
      <family val="2"/>
      <scheme val="minor"/>
    </font>
    <font>
      <u/>
      <sz val="11"/>
      <color theme="10"/>
      <name val="Calibri"/>
      <family val="2"/>
      <scheme val="minor"/>
    </font>
    <font>
      <u/>
      <sz val="10"/>
      <color theme="10"/>
      <name val="Arial"/>
      <family val="2"/>
    </font>
    <font>
      <sz val="11"/>
      <color theme="1"/>
      <name val="Arial"/>
      <family val="2"/>
    </font>
    <font>
      <b/>
      <sz val="11"/>
      <color theme="1"/>
      <name val="Arial"/>
      <family val="2"/>
    </font>
    <font>
      <sz val="20"/>
      <color theme="1"/>
      <name val="Arial"/>
      <family val="2"/>
    </font>
    <font>
      <i/>
      <sz val="10"/>
      <color theme="1"/>
      <name val="Arial"/>
      <family val="2"/>
    </font>
    <font>
      <i/>
      <sz val="8"/>
      <color theme="1"/>
      <name val="Arial"/>
      <family val="2"/>
    </font>
    <font>
      <sz val="8"/>
      <name val="Calibri"/>
      <family val="2"/>
      <scheme val="minor"/>
    </font>
    <font>
      <b/>
      <sz val="10"/>
      <color theme="0" tint="-0.499984740745262"/>
      <name val="Arial"/>
      <family val="2"/>
    </font>
    <font>
      <sz val="16"/>
      <color theme="0" tint="-0.499984740745262"/>
      <name val="Arial"/>
      <family val="2"/>
    </font>
    <font>
      <sz val="10"/>
      <color theme="0" tint="-0.499984740745262"/>
      <name val="Arial"/>
      <family val="2"/>
    </font>
    <font>
      <sz val="10"/>
      <name val="Arial"/>
      <family val="2"/>
    </font>
    <font>
      <sz val="16"/>
      <name val="Arial"/>
      <family val="2"/>
    </font>
    <font>
      <b/>
      <sz val="16"/>
      <color theme="0" tint="-0.499984740745262"/>
      <name val="Arial"/>
      <family val="2"/>
    </font>
    <font>
      <b/>
      <sz val="10"/>
      <name val="Arial"/>
      <family val="2"/>
    </font>
    <font>
      <u/>
      <sz val="10"/>
      <color rgb="FF0070C0"/>
      <name val="Arial"/>
      <family val="2"/>
    </font>
  </fonts>
  <fills count="14">
    <fill>
      <patternFill patternType="none"/>
    </fill>
    <fill>
      <patternFill patternType="gray125"/>
    </fill>
    <fill>
      <patternFill patternType="solid">
        <fgColor theme="8"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7030A0"/>
        <bgColor indexed="64"/>
      </patternFill>
    </fill>
    <fill>
      <patternFill patternType="solid">
        <fgColor theme="4" tint="-0.249977111117893"/>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39997558519241921"/>
        <bgColor indexed="64"/>
      </patternFill>
    </fill>
  </fills>
  <borders count="17">
    <border>
      <left/>
      <right/>
      <top/>
      <bottom/>
      <diagonal/>
    </border>
    <border>
      <left/>
      <right/>
      <top style="thin">
        <color auto="1"/>
      </top>
      <bottom style="dotted">
        <color auto="1"/>
      </bottom>
      <diagonal/>
    </border>
    <border>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top style="thin">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top/>
      <bottom style="thin">
        <color indexed="64"/>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style="dotted">
        <color auto="1"/>
      </top>
      <bottom style="thin">
        <color indexed="64"/>
      </bottom>
      <diagonal/>
    </border>
    <border>
      <left style="dotted">
        <color auto="1"/>
      </left>
      <right style="dotted">
        <color auto="1"/>
      </right>
      <top style="dotted">
        <color auto="1"/>
      </top>
      <bottom style="thin">
        <color indexed="64"/>
      </bottom>
      <diagonal/>
    </border>
    <border>
      <left style="dotted">
        <color auto="1"/>
      </left>
      <right/>
      <top style="dotted">
        <color auto="1"/>
      </top>
      <bottom style="thin">
        <color indexed="64"/>
      </bottom>
      <diagonal/>
    </border>
    <border>
      <left/>
      <right/>
      <top style="dotted">
        <color auto="1"/>
      </top>
      <bottom style="dotted">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2" fillId="0" borderId="0"/>
    <xf numFmtId="0" fontId="52" fillId="0" borderId="0" applyNumberFormat="0" applyFill="0" applyBorder="0" applyAlignment="0" applyProtection="0"/>
  </cellStyleXfs>
  <cellXfs count="261">
    <xf numFmtId="0" fontId="0" fillId="0" borderId="0" xfId="0"/>
    <xf numFmtId="0" fontId="42" fillId="0" borderId="0" xfId="1"/>
    <xf numFmtId="0" fontId="42" fillId="0" borderId="0" xfId="1" applyAlignment="1">
      <alignment vertical="top" wrapText="1"/>
    </xf>
    <xf numFmtId="0" fontId="42" fillId="0" borderId="0" xfId="1" applyAlignment="1">
      <alignment horizontal="left" vertical="top" wrapText="1"/>
    </xf>
    <xf numFmtId="0" fontId="42" fillId="0" borderId="0" xfId="1" applyAlignment="1">
      <alignment vertical="top"/>
    </xf>
    <xf numFmtId="0" fontId="44" fillId="0" borderId="0" xfId="1" applyFont="1"/>
    <xf numFmtId="0" fontId="42" fillId="0" borderId="0" xfId="1" applyAlignment="1">
      <alignment horizontal="center" vertical="top"/>
    </xf>
    <xf numFmtId="0" fontId="44" fillId="2" borderId="0" xfId="1" applyFont="1" applyFill="1"/>
    <xf numFmtId="0" fontId="43" fillId="4" borderId="0" xfId="1" applyFont="1" applyFill="1" applyAlignment="1">
      <alignment vertical="top" wrapText="1"/>
    </xf>
    <xf numFmtId="0" fontId="43" fillId="4" borderId="0" xfId="1" applyFont="1" applyFill="1" applyAlignment="1">
      <alignment horizontal="left" vertical="top" wrapText="1"/>
    </xf>
    <xf numFmtId="0" fontId="43" fillId="3" borderId="0" xfId="1" applyFont="1" applyFill="1" applyAlignment="1">
      <alignment vertical="top" wrapText="1"/>
    </xf>
    <xf numFmtId="0" fontId="43" fillId="3" borderId="0" xfId="1" applyFont="1" applyFill="1" applyAlignment="1">
      <alignment horizontal="left" vertical="top" wrapText="1"/>
    </xf>
    <xf numFmtId="0" fontId="43" fillId="2" borderId="0" xfId="1" applyFont="1" applyFill="1" applyAlignment="1">
      <alignment vertical="top" wrapText="1"/>
    </xf>
    <xf numFmtId="0" fontId="43" fillId="2" borderId="0" xfId="1" applyFont="1" applyFill="1" applyAlignment="1">
      <alignment horizontal="left" vertical="top" wrapText="1"/>
    </xf>
    <xf numFmtId="0" fontId="43" fillId="0" borderId="0" xfId="1" applyFont="1" applyAlignment="1">
      <alignment vertical="top"/>
    </xf>
    <xf numFmtId="0" fontId="43" fillId="2" borderId="0" xfId="1" applyFont="1" applyFill="1" applyAlignment="1">
      <alignment vertical="top"/>
    </xf>
    <xf numFmtId="0" fontId="43" fillId="2" borderId="0" xfId="1" applyFont="1" applyFill="1" applyAlignment="1">
      <alignment horizontal="center" vertical="top"/>
    </xf>
    <xf numFmtId="0" fontId="45" fillId="0" borderId="0" xfId="1" applyFont="1" applyAlignment="1">
      <alignment vertical="top"/>
    </xf>
    <xf numFmtId="0" fontId="41" fillId="0" borderId="0" xfId="1" applyFont="1" applyAlignment="1">
      <alignment vertical="top" wrapText="1"/>
    </xf>
    <xf numFmtId="0" fontId="40" fillId="0" borderId="0" xfId="1" applyFont="1" applyAlignment="1">
      <alignment vertical="top" wrapText="1"/>
    </xf>
    <xf numFmtId="0" fontId="47" fillId="0" borderId="0" xfId="0" applyFont="1" applyAlignment="1">
      <alignment vertical="top"/>
    </xf>
    <xf numFmtId="0" fontId="48" fillId="0" borderId="0" xfId="0" applyFont="1" applyAlignment="1">
      <alignment vertical="top"/>
    </xf>
    <xf numFmtId="0" fontId="48" fillId="0" borderId="0" xfId="0" applyFont="1" applyAlignment="1">
      <alignment horizontal="center" vertical="top"/>
    </xf>
    <xf numFmtId="0" fontId="48" fillId="0" borderId="0" xfId="0" applyFont="1" applyAlignment="1">
      <alignment vertical="top" wrapText="1"/>
    </xf>
    <xf numFmtId="0" fontId="43" fillId="2" borderId="0" xfId="0" applyFont="1" applyFill="1" applyAlignment="1">
      <alignment vertical="top"/>
    </xf>
    <xf numFmtId="0" fontId="43" fillId="2" borderId="0" xfId="0" applyFont="1" applyFill="1" applyAlignment="1">
      <alignment horizontal="center" vertical="top"/>
    </xf>
    <xf numFmtId="0" fontId="43" fillId="2" borderId="0" xfId="0" applyFont="1" applyFill="1" applyAlignment="1">
      <alignment vertical="top" wrapText="1"/>
    </xf>
    <xf numFmtId="0" fontId="46" fillId="0" borderId="0" xfId="0" applyFont="1" applyAlignment="1">
      <alignment vertical="top"/>
    </xf>
    <xf numFmtId="0" fontId="43" fillId="6" borderId="0" xfId="0" applyFont="1" applyFill="1" applyAlignment="1">
      <alignment vertical="top" wrapText="1"/>
    </xf>
    <xf numFmtId="164" fontId="48" fillId="0" borderId="0" xfId="0" applyNumberFormat="1" applyFont="1" applyAlignment="1">
      <alignment horizontal="center" vertical="top"/>
    </xf>
    <xf numFmtId="0" fontId="43" fillId="5" borderId="0" xfId="0" applyFont="1" applyFill="1" applyAlignment="1">
      <alignment vertical="top"/>
    </xf>
    <xf numFmtId="0" fontId="43" fillId="5" borderId="0" xfId="0" applyFont="1" applyFill="1" applyAlignment="1">
      <alignment horizontal="center" vertical="top"/>
    </xf>
    <xf numFmtId="0" fontId="43" fillId="0" borderId="0" xfId="0" applyFont="1" applyAlignment="1">
      <alignment horizontal="center" vertical="top"/>
    </xf>
    <xf numFmtId="0" fontId="43" fillId="3" borderId="0" xfId="0" applyFont="1" applyFill="1" applyAlignment="1">
      <alignment vertical="top"/>
    </xf>
    <xf numFmtId="0" fontId="43" fillId="3" borderId="0" xfId="0" applyFont="1" applyFill="1" applyAlignment="1">
      <alignment vertical="top" wrapText="1"/>
    </xf>
    <xf numFmtId="0" fontId="47" fillId="0" borderId="0" xfId="1" applyFont="1"/>
    <xf numFmtId="0" fontId="47" fillId="0" borderId="0" xfId="1" applyFont="1" applyAlignment="1">
      <alignment vertical="top"/>
    </xf>
    <xf numFmtId="0" fontId="47" fillId="0" borderId="0" xfId="1" applyFont="1" applyAlignment="1">
      <alignment horizontal="center" vertical="top"/>
    </xf>
    <xf numFmtId="0" fontId="47" fillId="0" borderId="0" xfId="1" applyFont="1" applyAlignment="1">
      <alignment vertical="top" wrapText="1"/>
    </xf>
    <xf numFmtId="0" fontId="47" fillId="0" borderId="0" xfId="1" applyFont="1" applyAlignment="1">
      <alignment horizontal="left" vertical="top" wrapText="1"/>
    </xf>
    <xf numFmtId="0" fontId="49" fillId="0" borderId="0" xfId="1" applyFont="1"/>
    <xf numFmtId="0" fontId="39" fillId="0" borderId="0" xfId="1" applyFont="1"/>
    <xf numFmtId="0" fontId="39" fillId="0" borderId="0" xfId="1" applyFont="1" applyAlignment="1">
      <alignment vertical="top"/>
    </xf>
    <xf numFmtId="0" fontId="39" fillId="0" borderId="0" xfId="1" applyFont="1" applyAlignment="1">
      <alignment horizontal="center" vertical="top"/>
    </xf>
    <xf numFmtId="0" fontId="39" fillId="0" borderId="0" xfId="1" applyFont="1" applyAlignment="1">
      <alignment vertical="top" wrapText="1"/>
    </xf>
    <xf numFmtId="0" fontId="39" fillId="0" borderId="0" xfId="1" applyFont="1" applyAlignment="1">
      <alignment horizontal="left" vertical="top" wrapText="1"/>
    </xf>
    <xf numFmtId="0" fontId="38" fillId="0" borderId="0" xfId="1" applyFont="1" applyAlignment="1">
      <alignment vertical="top"/>
    </xf>
    <xf numFmtId="0" fontId="50" fillId="0" borderId="0" xfId="0" applyFont="1" applyAlignment="1">
      <alignment horizontal="left" vertical="top"/>
    </xf>
    <xf numFmtId="0" fontId="51" fillId="0" borderId="0" xfId="0" applyFont="1" applyAlignment="1">
      <alignment horizontal="left" vertical="top"/>
    </xf>
    <xf numFmtId="0" fontId="43" fillId="0" borderId="0" xfId="0" applyFont="1" applyAlignment="1">
      <alignment vertical="top"/>
    </xf>
    <xf numFmtId="0" fontId="37" fillId="0" borderId="0" xfId="0" applyFont="1" applyAlignment="1">
      <alignment horizontal="center" vertical="top"/>
    </xf>
    <xf numFmtId="0" fontId="37" fillId="0" borderId="0" xfId="0" applyFont="1" applyAlignment="1">
      <alignment vertical="top"/>
    </xf>
    <xf numFmtId="0" fontId="37" fillId="0" borderId="0" xfId="0" applyFont="1" applyAlignment="1">
      <alignment vertical="top" wrapText="1"/>
    </xf>
    <xf numFmtId="0" fontId="37" fillId="6" borderId="0" xfId="0" applyFont="1" applyFill="1" applyAlignment="1">
      <alignment vertical="top" wrapText="1"/>
    </xf>
    <xf numFmtId="0" fontId="53" fillId="0" borderId="0" xfId="2" applyFont="1" applyFill="1" applyAlignment="1">
      <alignment horizontal="center" vertical="top"/>
    </xf>
    <xf numFmtId="0" fontId="37" fillId="0" borderId="0" xfId="0" quotePrefix="1" applyFont="1" applyAlignment="1">
      <alignment vertical="top" wrapText="1"/>
    </xf>
    <xf numFmtId="164" fontId="37" fillId="0" borderId="0" xfId="0" applyNumberFormat="1" applyFont="1" applyAlignment="1">
      <alignment horizontal="center" vertical="top"/>
    </xf>
    <xf numFmtId="0" fontId="54" fillId="0" borderId="0" xfId="0" applyFont="1" applyAlignment="1">
      <alignment vertical="top"/>
    </xf>
    <xf numFmtId="0" fontId="55" fillId="0" borderId="0" xfId="0" applyFont="1" applyAlignment="1">
      <alignment vertical="top"/>
    </xf>
    <xf numFmtId="0" fontId="54" fillId="0" borderId="0" xfId="0" applyFont="1" applyAlignment="1">
      <alignment vertical="top" wrapText="1"/>
    </xf>
    <xf numFmtId="0" fontId="54" fillId="0" borderId="0" xfId="0" applyFont="1" applyAlignment="1">
      <alignment horizontal="center" vertical="top"/>
    </xf>
    <xf numFmtId="0" fontId="54" fillId="7" borderId="9" xfId="0" applyFont="1" applyFill="1" applyBorder="1" applyAlignment="1">
      <alignment vertical="top"/>
    </xf>
    <xf numFmtId="0" fontId="54" fillId="7" borderId="10" xfId="0" applyFont="1" applyFill="1" applyBorder="1" applyAlignment="1">
      <alignment vertical="top"/>
    </xf>
    <xf numFmtId="0" fontId="53" fillId="7" borderId="10" xfId="2" applyFont="1" applyFill="1" applyBorder="1" applyAlignment="1">
      <alignment horizontal="center" vertical="top"/>
    </xf>
    <xf numFmtId="0" fontId="53" fillId="7" borderId="11" xfId="2" applyFont="1" applyFill="1" applyBorder="1" applyAlignment="1">
      <alignment horizontal="center" vertical="top"/>
    </xf>
    <xf numFmtId="0" fontId="55" fillId="0" borderId="8" xfId="0" applyFont="1" applyBorder="1" applyAlignment="1">
      <alignment vertical="top"/>
    </xf>
    <xf numFmtId="0" fontId="55" fillId="7" borderId="12" xfId="0" applyFont="1" applyFill="1" applyBorder="1" applyAlignment="1">
      <alignment vertical="top"/>
    </xf>
    <xf numFmtId="0" fontId="55" fillId="7" borderId="13" xfId="0" applyFont="1" applyFill="1" applyBorder="1" applyAlignment="1">
      <alignment vertical="top"/>
    </xf>
    <xf numFmtId="0" fontId="55" fillId="7" borderId="14" xfId="0" applyFont="1" applyFill="1" applyBorder="1" applyAlignment="1">
      <alignment vertical="top"/>
    </xf>
    <xf numFmtId="0" fontId="55" fillId="8" borderId="5" xfId="0" applyFont="1" applyFill="1" applyBorder="1" applyAlignment="1">
      <alignment vertical="top" wrapText="1"/>
    </xf>
    <xf numFmtId="0" fontId="55" fillId="8" borderId="6" xfId="0" applyFont="1" applyFill="1" applyBorder="1" applyAlignment="1">
      <alignment vertical="top" wrapText="1"/>
    </xf>
    <xf numFmtId="0" fontId="55" fillId="8" borderId="7" xfId="0" applyFont="1" applyFill="1" applyBorder="1" applyAlignment="1">
      <alignment vertical="top" wrapText="1"/>
    </xf>
    <xf numFmtId="0" fontId="54" fillId="8" borderId="5" xfId="0" applyFont="1" applyFill="1" applyBorder="1" applyAlignment="1">
      <alignment vertical="top" wrapText="1"/>
    </xf>
    <xf numFmtId="0" fontId="54" fillId="8" borderId="6" xfId="0" applyFont="1" applyFill="1" applyBorder="1" applyAlignment="1">
      <alignment vertical="top" wrapText="1"/>
    </xf>
    <xf numFmtId="0" fontId="54" fillId="8" borderId="7" xfId="0" applyFont="1" applyFill="1" applyBorder="1" applyAlignment="1">
      <alignment vertical="top" wrapText="1"/>
    </xf>
    <xf numFmtId="0" fontId="54" fillId="9" borderId="1" xfId="0" applyFont="1" applyFill="1" applyBorder="1" applyAlignment="1">
      <alignment vertical="top" wrapText="1"/>
    </xf>
    <xf numFmtId="0" fontId="55" fillId="9" borderId="15" xfId="0" applyFont="1" applyFill="1" applyBorder="1" applyAlignment="1">
      <alignment vertical="top" wrapText="1"/>
    </xf>
    <xf numFmtId="0" fontId="54" fillId="9" borderId="15" xfId="0" applyFont="1" applyFill="1" applyBorder="1" applyAlignment="1">
      <alignment vertical="top" wrapText="1"/>
    </xf>
    <xf numFmtId="0" fontId="54" fillId="10" borderId="1" xfId="0" applyFont="1" applyFill="1" applyBorder="1" applyAlignment="1">
      <alignment vertical="top" wrapText="1"/>
    </xf>
    <xf numFmtId="0" fontId="55" fillId="10" borderId="15" xfId="0" applyFont="1" applyFill="1" applyBorder="1" applyAlignment="1">
      <alignment vertical="top" wrapText="1"/>
    </xf>
    <xf numFmtId="0" fontId="54" fillId="10" borderId="15" xfId="0" applyFont="1" applyFill="1" applyBorder="1" applyAlignment="1">
      <alignment vertical="top" wrapText="1"/>
    </xf>
    <xf numFmtId="0" fontId="55" fillId="7" borderId="5" xfId="0" applyFont="1" applyFill="1" applyBorder="1" applyAlignment="1">
      <alignment vertical="top" wrapText="1"/>
    </xf>
    <xf numFmtId="0" fontId="55" fillId="7" borderId="6" xfId="0" applyFont="1" applyFill="1" applyBorder="1" applyAlignment="1">
      <alignment horizontal="center" vertical="top"/>
    </xf>
    <xf numFmtId="0" fontId="55" fillId="7" borderId="6" xfId="0" applyFont="1" applyFill="1" applyBorder="1" applyAlignment="1">
      <alignment vertical="top" wrapText="1"/>
    </xf>
    <xf numFmtId="0" fontId="55" fillId="7" borderId="7" xfId="0" applyFont="1" applyFill="1" applyBorder="1" applyAlignment="1">
      <alignment vertical="top" wrapText="1"/>
    </xf>
    <xf numFmtId="0" fontId="54" fillId="7" borderId="5" xfId="0" applyFont="1" applyFill="1" applyBorder="1" applyAlignment="1">
      <alignment vertical="top" wrapText="1"/>
    </xf>
    <xf numFmtId="0" fontId="54" fillId="7" borderId="6" xfId="0" applyFont="1" applyFill="1" applyBorder="1" applyAlignment="1">
      <alignment horizontal="center" vertical="top"/>
    </xf>
    <xf numFmtId="0" fontId="54" fillId="7" borderId="6" xfId="0" applyFont="1" applyFill="1" applyBorder="1" applyAlignment="1">
      <alignment vertical="top" wrapText="1"/>
    </xf>
    <xf numFmtId="0" fontId="54" fillId="7" borderId="7" xfId="0" applyFont="1" applyFill="1" applyBorder="1" applyAlignment="1">
      <alignment vertical="top" wrapText="1"/>
    </xf>
    <xf numFmtId="0" fontId="55" fillId="11" borderId="5" xfId="0" applyFont="1" applyFill="1" applyBorder="1" applyAlignment="1">
      <alignment vertical="top" wrapText="1"/>
    </xf>
    <xf numFmtId="0" fontId="55" fillId="11" borderId="6" xfId="0" applyFont="1" applyFill="1" applyBorder="1" applyAlignment="1">
      <alignment horizontal="center" vertical="top"/>
    </xf>
    <xf numFmtId="0" fontId="55" fillId="11" borderId="6" xfId="0" applyFont="1" applyFill="1" applyBorder="1" applyAlignment="1">
      <alignment vertical="top" wrapText="1"/>
    </xf>
    <xf numFmtId="0" fontId="55" fillId="11" borderId="7" xfId="0" applyFont="1" applyFill="1" applyBorder="1" applyAlignment="1">
      <alignment vertical="top" wrapText="1"/>
    </xf>
    <xf numFmtId="0" fontId="54" fillId="11" borderId="5" xfId="0" applyFont="1" applyFill="1" applyBorder="1" applyAlignment="1">
      <alignment vertical="top" wrapText="1"/>
    </xf>
    <xf numFmtId="0" fontId="54" fillId="11" borderId="6" xfId="0" applyFont="1" applyFill="1" applyBorder="1" applyAlignment="1">
      <alignment horizontal="center" vertical="top"/>
    </xf>
    <xf numFmtId="0" fontId="54" fillId="11" borderId="6" xfId="0" applyFont="1" applyFill="1" applyBorder="1" applyAlignment="1">
      <alignment vertical="top" wrapText="1"/>
    </xf>
    <xf numFmtId="0" fontId="54" fillId="11" borderId="7" xfId="0" applyFont="1" applyFill="1" applyBorder="1" applyAlignment="1">
      <alignment vertical="top" wrapText="1"/>
    </xf>
    <xf numFmtId="0" fontId="36" fillId="0" borderId="0" xfId="0" applyFont="1" applyAlignment="1">
      <alignment vertical="top"/>
    </xf>
    <xf numFmtId="0" fontId="36" fillId="0" borderId="0" xfId="0" applyFont="1" applyAlignment="1">
      <alignment vertical="top" wrapText="1"/>
    </xf>
    <xf numFmtId="0" fontId="36" fillId="0" borderId="0" xfId="0" applyFont="1" applyAlignment="1">
      <alignment horizontal="center" vertical="top"/>
    </xf>
    <xf numFmtId="0" fontId="35" fillId="0" borderId="0" xfId="0" applyFont="1" applyAlignment="1">
      <alignment vertical="top"/>
    </xf>
    <xf numFmtId="0" fontId="47" fillId="0" borderId="0" xfId="0" applyFont="1" applyAlignment="1">
      <alignment horizontal="left" vertical="top"/>
    </xf>
    <xf numFmtId="0" fontId="54" fillId="0" borderId="0" xfId="0" applyFont="1" applyAlignment="1">
      <alignment horizontal="left" vertical="top"/>
    </xf>
    <xf numFmtId="0" fontId="54" fillId="0" borderId="0" xfId="0" applyFont="1" applyAlignment="1">
      <alignment horizontal="left" vertical="top" wrapText="1"/>
    </xf>
    <xf numFmtId="0" fontId="57" fillId="0" borderId="0" xfId="0" applyFont="1" applyAlignment="1">
      <alignment horizontal="left" vertical="top"/>
    </xf>
    <xf numFmtId="0" fontId="55" fillId="12" borderId="0" xfId="0" applyFont="1" applyFill="1" applyAlignment="1">
      <alignment horizontal="left" vertical="top"/>
    </xf>
    <xf numFmtId="0" fontId="54" fillId="12" borderId="0" xfId="0" applyFont="1" applyFill="1" applyAlignment="1">
      <alignment horizontal="left" vertical="top"/>
    </xf>
    <xf numFmtId="0" fontId="54" fillId="12" borderId="0" xfId="0" applyFont="1" applyFill="1" applyAlignment="1">
      <alignment horizontal="center" vertical="top"/>
    </xf>
    <xf numFmtId="0" fontId="54" fillId="12" borderId="0" xfId="0" applyFont="1" applyFill="1" applyAlignment="1">
      <alignment vertical="top"/>
    </xf>
    <xf numFmtId="0" fontId="54" fillId="12" borderId="0" xfId="0" applyFont="1" applyFill="1" applyAlignment="1">
      <alignment vertical="top" wrapText="1"/>
    </xf>
    <xf numFmtId="0" fontId="58" fillId="12" borderId="0" xfId="0" applyFont="1" applyFill="1" applyAlignment="1">
      <alignment horizontal="left" vertical="top" wrapText="1"/>
    </xf>
    <xf numFmtId="0" fontId="54" fillId="0" borderId="16" xfId="0" applyFont="1" applyBorder="1" applyAlignment="1">
      <alignment horizontal="center" vertical="top"/>
    </xf>
    <xf numFmtId="0" fontId="54" fillId="0" borderId="16" xfId="0" applyFont="1" applyBorder="1" applyAlignment="1">
      <alignment vertical="top"/>
    </xf>
    <xf numFmtId="0" fontId="50" fillId="0" borderId="0" xfId="0" applyFont="1" applyAlignment="1">
      <alignment vertical="top"/>
    </xf>
    <xf numFmtId="0" fontId="33" fillId="0" borderId="0" xfId="1" applyFont="1"/>
    <xf numFmtId="0" fontId="33" fillId="0" borderId="0" xfId="0" applyFont="1" applyAlignment="1">
      <alignment vertical="top"/>
    </xf>
    <xf numFmtId="0" fontId="33" fillId="0" borderId="0" xfId="0" applyFont="1" applyAlignment="1">
      <alignment vertical="top" wrapText="1"/>
    </xf>
    <xf numFmtId="0" fontId="33" fillId="0" borderId="0" xfId="0" quotePrefix="1" applyFont="1" applyAlignment="1">
      <alignment vertical="top" wrapText="1"/>
    </xf>
    <xf numFmtId="0" fontId="33" fillId="0" borderId="0" xfId="0" applyFont="1" applyAlignment="1">
      <alignment horizontal="center" vertical="top"/>
    </xf>
    <xf numFmtId="0" fontId="32" fillId="0" borderId="0" xfId="0" applyFont="1" applyAlignment="1">
      <alignment vertical="top" wrapText="1"/>
    </xf>
    <xf numFmtId="0" fontId="31" fillId="0" borderId="0" xfId="0" applyFont="1" applyAlignment="1">
      <alignment vertical="top"/>
    </xf>
    <xf numFmtId="0" fontId="30" fillId="0" borderId="0" xfId="0" applyFont="1" applyAlignment="1">
      <alignment vertical="top" wrapText="1"/>
    </xf>
    <xf numFmtId="0" fontId="30" fillId="0" borderId="0" xfId="0" applyFont="1" applyAlignment="1">
      <alignment vertical="top"/>
    </xf>
    <xf numFmtId="0" fontId="30" fillId="0" borderId="0" xfId="1" applyFont="1" applyAlignment="1">
      <alignment vertical="top" wrapText="1"/>
    </xf>
    <xf numFmtId="14" fontId="48" fillId="0" borderId="0" xfId="0" applyNumberFormat="1" applyFont="1" applyAlignment="1">
      <alignment vertical="top"/>
    </xf>
    <xf numFmtId="14" fontId="37" fillId="0" borderId="0" xfId="0" applyNumberFormat="1" applyFont="1" applyAlignment="1">
      <alignment vertical="top"/>
    </xf>
    <xf numFmtId="0" fontId="29" fillId="0" borderId="0" xfId="0" applyFont="1" applyAlignment="1">
      <alignment vertical="top" wrapText="1"/>
    </xf>
    <xf numFmtId="0" fontId="29" fillId="0" borderId="0" xfId="0" applyFont="1" applyAlignment="1">
      <alignment horizontal="center" vertical="top"/>
    </xf>
    <xf numFmtId="0" fontId="29" fillId="0" borderId="0" xfId="0" quotePrefix="1" applyFont="1" applyAlignment="1">
      <alignment vertical="top" wrapText="1"/>
    </xf>
    <xf numFmtId="0" fontId="26" fillId="0" borderId="0" xfId="0" applyFont="1" applyAlignment="1">
      <alignment vertical="top" wrapText="1"/>
    </xf>
    <xf numFmtId="164" fontId="48" fillId="0" borderId="0" xfId="0" applyNumberFormat="1" applyFont="1" applyAlignment="1">
      <alignment vertical="top" wrapText="1"/>
    </xf>
    <xf numFmtId="164" fontId="37" fillId="0" borderId="0" xfId="0" applyNumberFormat="1" applyFont="1" applyAlignment="1">
      <alignment vertical="top" wrapText="1"/>
    </xf>
    <xf numFmtId="164" fontId="43" fillId="2" borderId="0" xfId="0" applyNumberFormat="1" applyFont="1" applyFill="1" applyAlignment="1">
      <alignment vertical="top" wrapText="1"/>
    </xf>
    <xf numFmtId="0" fontId="31" fillId="0" borderId="0" xfId="0" quotePrefix="1" applyFont="1" applyAlignment="1">
      <alignment vertical="top" wrapText="1"/>
    </xf>
    <xf numFmtId="0" fontId="31" fillId="0" borderId="0" xfId="0" applyFont="1" applyAlignment="1">
      <alignment vertical="top" wrapText="1"/>
    </xf>
    <xf numFmtId="0" fontId="25" fillId="0" borderId="0" xfId="0" quotePrefix="1" applyFont="1" applyAlignment="1">
      <alignment vertical="top" wrapText="1"/>
    </xf>
    <xf numFmtId="0" fontId="25" fillId="0" borderId="0" xfId="0" applyFont="1" applyAlignment="1">
      <alignment vertical="top" wrapText="1"/>
    </xf>
    <xf numFmtId="0" fontId="23" fillId="0" borderId="0" xfId="0" applyFont="1" applyAlignment="1">
      <alignment vertical="top"/>
    </xf>
    <xf numFmtId="0" fontId="23" fillId="0" borderId="0" xfId="0" quotePrefix="1" applyFont="1" applyAlignment="1">
      <alignment vertical="top" wrapText="1"/>
    </xf>
    <xf numFmtId="0" fontId="22" fillId="0" borderId="0" xfId="0" applyFont="1" applyAlignment="1">
      <alignment vertical="top" wrapText="1"/>
    </xf>
    <xf numFmtId="0" fontId="22" fillId="0" borderId="0" xfId="0" quotePrefix="1" applyFont="1" applyAlignment="1">
      <alignment vertical="top" wrapText="1"/>
    </xf>
    <xf numFmtId="0" fontId="21" fillId="0" borderId="0" xfId="0" applyFont="1" applyAlignment="1">
      <alignment vertical="top"/>
    </xf>
    <xf numFmtId="0" fontId="21" fillId="0" borderId="0" xfId="0" applyFont="1" applyAlignment="1">
      <alignment horizontal="center" vertical="top"/>
    </xf>
    <xf numFmtId="0" fontId="21" fillId="0" borderId="0" xfId="0" applyFont="1" applyAlignment="1">
      <alignment vertical="top" wrapText="1"/>
    </xf>
    <xf numFmtId="0" fontId="20" fillId="0" borderId="0" xfId="0" applyFont="1" applyAlignment="1">
      <alignment vertical="top" wrapText="1"/>
    </xf>
    <xf numFmtId="0" fontId="20" fillId="0" borderId="0" xfId="0" applyFont="1" applyAlignment="1">
      <alignment vertical="top"/>
    </xf>
    <xf numFmtId="0" fontId="19" fillId="0" borderId="0" xfId="0" applyFont="1" applyAlignment="1">
      <alignment vertical="top"/>
    </xf>
    <xf numFmtId="0" fontId="60" fillId="0" borderId="0" xfId="0" applyFont="1" applyAlignment="1">
      <alignment horizontal="center" vertical="top"/>
    </xf>
    <xf numFmtId="0" fontId="61" fillId="0" borderId="0" xfId="0" applyFont="1" applyAlignment="1">
      <alignment horizontal="center" vertical="top"/>
    </xf>
    <xf numFmtId="0" fontId="62" fillId="0" borderId="0" xfId="0" applyFont="1" applyAlignment="1">
      <alignment horizontal="center" vertical="top"/>
    </xf>
    <xf numFmtId="0" fontId="62" fillId="0" borderId="0" xfId="2" applyFont="1" applyFill="1" applyAlignment="1">
      <alignment horizontal="center" vertical="top"/>
    </xf>
    <xf numFmtId="0" fontId="62" fillId="0" borderId="0" xfId="0" applyFont="1" applyAlignment="1">
      <alignment vertical="top"/>
    </xf>
    <xf numFmtId="0" fontId="43" fillId="4" borderId="0" xfId="0" applyFont="1" applyFill="1" applyAlignment="1">
      <alignment vertical="top"/>
    </xf>
    <xf numFmtId="0" fontId="63" fillId="0" borderId="0" xfId="0" applyFont="1" applyAlignment="1">
      <alignment vertical="top"/>
    </xf>
    <xf numFmtId="0" fontId="63" fillId="0" borderId="0" xfId="0" applyFont="1" applyAlignment="1">
      <alignment horizontal="center" vertical="top"/>
    </xf>
    <xf numFmtId="0" fontId="61" fillId="0" borderId="0" xfId="0" applyFont="1" applyAlignment="1">
      <alignment vertical="top"/>
    </xf>
    <xf numFmtId="0" fontId="18" fillId="0" borderId="0" xfId="0" applyFont="1" applyAlignment="1">
      <alignment vertical="top" wrapText="1"/>
    </xf>
    <xf numFmtId="0" fontId="64" fillId="0" borderId="0" xfId="0" applyFont="1" applyAlignment="1">
      <alignment vertical="top"/>
    </xf>
    <xf numFmtId="0" fontId="63" fillId="0" borderId="0" xfId="2" applyFont="1" applyFill="1" applyAlignment="1">
      <alignment horizontal="center" vertical="top"/>
    </xf>
    <xf numFmtId="14" fontId="64" fillId="0" borderId="0" xfId="0" applyNumberFormat="1" applyFont="1" applyAlignment="1">
      <alignment vertical="top"/>
    </xf>
    <xf numFmtId="14" fontId="63" fillId="0" borderId="0" xfId="0" applyNumberFormat="1" applyFont="1" applyAlignment="1">
      <alignment vertical="top"/>
    </xf>
    <xf numFmtId="14" fontId="63" fillId="0" borderId="0" xfId="2" applyNumberFormat="1" applyFont="1" applyFill="1" applyAlignment="1">
      <alignment horizontal="center" vertical="top"/>
    </xf>
    <xf numFmtId="0" fontId="17" fillId="0" borderId="0" xfId="0" applyFont="1" applyAlignment="1">
      <alignment vertical="top"/>
    </xf>
    <xf numFmtId="0" fontId="65" fillId="0" borderId="0" xfId="0" applyFont="1" applyAlignment="1">
      <alignment horizontal="center" vertical="top"/>
    </xf>
    <xf numFmtId="0" fontId="16" fillId="0" borderId="0" xfId="0" applyFont="1" applyAlignment="1">
      <alignment vertical="top" wrapText="1"/>
    </xf>
    <xf numFmtId="0" fontId="43" fillId="3" borderId="0" xfId="0" applyFont="1" applyFill="1" applyAlignment="1">
      <alignment horizontal="left" vertical="top"/>
    </xf>
    <xf numFmtId="0" fontId="66" fillId="0" borderId="0" xfId="0" applyFont="1" applyAlignment="1">
      <alignment vertical="top" wrapText="1"/>
    </xf>
    <xf numFmtId="0" fontId="43" fillId="3" borderId="0" xfId="0" applyFont="1" applyFill="1" applyAlignment="1">
      <alignment horizontal="center" vertical="top"/>
    </xf>
    <xf numFmtId="164" fontId="43" fillId="3" borderId="0" xfId="0" applyNumberFormat="1" applyFont="1" applyFill="1" applyAlignment="1">
      <alignment vertical="top" wrapText="1"/>
    </xf>
    <xf numFmtId="0" fontId="37" fillId="8" borderId="0" xfId="0" applyFont="1" applyFill="1" applyAlignment="1">
      <alignment vertical="top" wrapText="1"/>
    </xf>
    <xf numFmtId="0" fontId="43" fillId="8" borderId="0" xfId="0" applyFont="1" applyFill="1" applyAlignment="1">
      <alignment vertical="top" wrapText="1"/>
    </xf>
    <xf numFmtId="0" fontId="43" fillId="4" borderId="0" xfId="0" applyFont="1" applyFill="1" applyAlignment="1">
      <alignment horizontal="center" vertical="top"/>
    </xf>
    <xf numFmtId="0" fontId="43" fillId="4" borderId="0" xfId="0" applyFont="1" applyFill="1" applyAlignment="1">
      <alignment horizontal="left" vertical="top"/>
    </xf>
    <xf numFmtId="0" fontId="43" fillId="4" borderId="0" xfId="0" applyFont="1" applyFill="1" applyAlignment="1">
      <alignment vertical="top" wrapText="1"/>
    </xf>
    <xf numFmtId="164" fontId="43" fillId="4" borderId="0" xfId="0" applyNumberFormat="1" applyFont="1" applyFill="1" applyAlignment="1">
      <alignment vertical="top" wrapText="1"/>
    </xf>
    <xf numFmtId="0" fontId="37" fillId="13" borderId="0" xfId="0" applyFont="1" applyFill="1" applyAlignment="1">
      <alignment vertical="top" wrapText="1"/>
    </xf>
    <xf numFmtId="0" fontId="43" fillId="13" borderId="0" xfId="0" applyFont="1" applyFill="1" applyAlignment="1">
      <alignment vertical="top" wrapText="1"/>
    </xf>
    <xf numFmtId="14" fontId="43" fillId="5" borderId="0" xfId="0" applyNumberFormat="1" applyFont="1" applyFill="1" applyAlignment="1">
      <alignment horizontal="center" vertical="top"/>
    </xf>
    <xf numFmtId="14" fontId="43" fillId="5" borderId="0" xfId="0" applyNumberFormat="1" applyFont="1" applyFill="1" applyAlignment="1">
      <alignment vertical="top"/>
    </xf>
    <xf numFmtId="0" fontId="48" fillId="0" borderId="0" xfId="0" applyFont="1" applyAlignment="1">
      <alignment horizontal="center" vertical="center"/>
    </xf>
    <xf numFmtId="0" fontId="37" fillId="0" borderId="0" xfId="0" applyFont="1" applyAlignment="1">
      <alignment horizontal="center" vertical="center"/>
    </xf>
    <xf numFmtId="0" fontId="43" fillId="4" borderId="0" xfId="0" applyFont="1" applyFill="1" applyAlignment="1">
      <alignment horizontal="center" vertical="center"/>
    </xf>
    <xf numFmtId="0" fontId="43" fillId="3" borderId="0" xfId="0" applyFont="1" applyFill="1" applyAlignment="1">
      <alignment horizontal="left" vertical="top" wrapText="1"/>
    </xf>
    <xf numFmtId="0" fontId="43" fillId="4" borderId="0" xfId="0" applyFont="1" applyFill="1" applyAlignment="1">
      <alignment horizontal="left" vertical="top" wrapText="1"/>
    </xf>
    <xf numFmtId="0" fontId="15" fillId="0" borderId="0" xfId="0" applyFont="1" applyAlignment="1">
      <alignment vertical="top" wrapText="1"/>
    </xf>
    <xf numFmtId="0" fontId="15" fillId="0" borderId="0" xfId="0" applyFont="1" applyAlignment="1">
      <alignment vertical="top"/>
    </xf>
    <xf numFmtId="49" fontId="50" fillId="0" borderId="0" xfId="0" applyNumberFormat="1" applyFont="1" applyAlignment="1">
      <alignment vertical="top"/>
    </xf>
    <xf numFmtId="49" fontId="51" fillId="0" borderId="0" xfId="0" applyNumberFormat="1" applyFont="1" applyAlignment="1">
      <alignment horizontal="left" vertical="top"/>
    </xf>
    <xf numFmtId="49" fontId="50" fillId="0" borderId="0" xfId="0" applyNumberFormat="1" applyFont="1" applyAlignment="1">
      <alignment horizontal="left" vertical="top"/>
    </xf>
    <xf numFmtId="0" fontId="67" fillId="0" borderId="0" xfId="2" applyFont="1" applyFill="1" applyAlignment="1">
      <alignment horizontal="center" vertical="top"/>
    </xf>
    <xf numFmtId="0" fontId="67" fillId="0" borderId="0" xfId="0" applyFont="1" applyAlignment="1">
      <alignment horizontal="center" vertical="top"/>
    </xf>
    <xf numFmtId="0" fontId="64" fillId="0" borderId="0" xfId="0" applyFont="1" applyAlignment="1">
      <alignment horizontal="center" vertical="top"/>
    </xf>
    <xf numFmtId="14" fontId="63" fillId="0" borderId="0" xfId="2" applyNumberFormat="1" applyFont="1" applyFill="1" applyAlignment="1">
      <alignment horizontal="center" vertical="top" wrapText="1"/>
    </xf>
    <xf numFmtId="0" fontId="14" fillId="0" borderId="0" xfId="0" applyFont="1" applyAlignment="1">
      <alignment vertical="top"/>
    </xf>
    <xf numFmtId="164" fontId="14" fillId="0" borderId="0" xfId="0" applyNumberFormat="1" applyFont="1" applyAlignment="1">
      <alignment vertical="top" wrapText="1"/>
    </xf>
    <xf numFmtId="0" fontId="13" fillId="0" borderId="0" xfId="1" applyFont="1" applyAlignment="1">
      <alignment vertical="top" wrapText="1"/>
    </xf>
    <xf numFmtId="164" fontId="12" fillId="0" borderId="0" xfId="0" quotePrefix="1" applyNumberFormat="1" applyFont="1" applyAlignment="1">
      <alignment vertical="top" wrapText="1"/>
    </xf>
    <xf numFmtId="0" fontId="54" fillId="0" borderId="16" xfId="0" applyFont="1" applyBorder="1" applyAlignment="1">
      <alignment vertical="top" wrapText="1"/>
    </xf>
    <xf numFmtId="0" fontId="11" fillId="0" borderId="0" xfId="0" applyFont="1" applyAlignment="1">
      <alignment vertical="top" wrapText="1"/>
    </xf>
    <xf numFmtId="0" fontId="10" fillId="0" borderId="0" xfId="0" applyFont="1" applyAlignment="1">
      <alignment vertical="top" wrapText="1"/>
    </xf>
    <xf numFmtId="0" fontId="9" fillId="0" borderId="0" xfId="0" applyFont="1" applyAlignment="1">
      <alignment vertical="top" wrapText="1"/>
    </xf>
    <xf numFmtId="0" fontId="8"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6" fillId="0" borderId="0" xfId="0" applyFont="1" applyAlignment="1">
      <alignment vertical="top"/>
    </xf>
    <xf numFmtId="0" fontId="5" fillId="0" borderId="0" xfId="0" applyFont="1" applyAlignment="1">
      <alignment vertical="top" wrapText="1"/>
    </xf>
    <xf numFmtId="164" fontId="5" fillId="0" borderId="0" xfId="0" applyNumberFormat="1" applyFont="1" applyAlignment="1">
      <alignment horizontal="center" vertical="top"/>
    </xf>
    <xf numFmtId="49" fontId="48" fillId="0" borderId="0" xfId="0" applyNumberFormat="1" applyFont="1" applyAlignment="1">
      <alignment vertical="top" wrapText="1"/>
    </xf>
    <xf numFmtId="49" fontId="48" fillId="0" borderId="0" xfId="0" applyNumberFormat="1" applyFont="1" applyAlignment="1">
      <alignment vertical="top"/>
    </xf>
    <xf numFmtId="49" fontId="37" fillId="0" borderId="0" xfId="0" applyNumberFormat="1" applyFont="1" applyAlignment="1">
      <alignment horizontal="center" vertical="top"/>
    </xf>
    <xf numFmtId="49" fontId="37" fillId="0" borderId="0" xfId="0" applyNumberFormat="1" applyFont="1" applyAlignment="1">
      <alignment vertical="top" wrapText="1"/>
    </xf>
    <xf numFmtId="49" fontId="43" fillId="3" borderId="0" xfId="0" applyNumberFormat="1" applyFont="1" applyFill="1" applyAlignment="1">
      <alignment horizontal="center" vertical="top"/>
    </xf>
    <xf numFmtId="49" fontId="43" fillId="3" borderId="0" xfId="0" applyNumberFormat="1" applyFont="1" applyFill="1" applyAlignment="1">
      <alignment vertical="top" wrapText="1"/>
    </xf>
    <xf numFmtId="49" fontId="48" fillId="0" borderId="0" xfId="0" applyNumberFormat="1" applyFont="1" applyAlignment="1">
      <alignment horizontal="center" vertical="top"/>
    </xf>
    <xf numFmtId="49" fontId="43" fillId="4" borderId="0" xfId="0" applyNumberFormat="1" applyFont="1" applyFill="1" applyAlignment="1">
      <alignment horizontal="center" vertical="top"/>
    </xf>
    <xf numFmtId="49" fontId="43" fillId="2" borderId="0" xfId="0" applyNumberFormat="1" applyFont="1" applyFill="1" applyAlignment="1">
      <alignment horizontal="center" vertical="top"/>
    </xf>
    <xf numFmtId="49" fontId="43" fillId="2" borderId="0" xfId="0" applyNumberFormat="1" applyFont="1" applyFill="1" applyAlignment="1">
      <alignment vertical="top" wrapText="1"/>
    </xf>
    <xf numFmtId="49" fontId="20" fillId="0" borderId="0" xfId="0" applyNumberFormat="1" applyFont="1" applyAlignment="1">
      <alignment horizontal="left" vertical="top" wrapText="1"/>
    </xf>
    <xf numFmtId="49" fontId="21" fillId="0" borderId="0" xfId="0" applyNumberFormat="1" applyFont="1" applyAlignment="1">
      <alignment horizontal="left" vertical="top" wrapText="1"/>
    </xf>
    <xf numFmtId="49" fontId="37" fillId="0" borderId="0" xfId="0" applyNumberFormat="1" applyFont="1" applyAlignment="1">
      <alignment horizontal="left" vertical="top" wrapText="1"/>
    </xf>
    <xf numFmtId="49" fontId="21" fillId="0" borderId="0" xfId="0" quotePrefix="1" applyNumberFormat="1" applyFont="1" applyAlignment="1">
      <alignment horizontal="left" vertical="top" wrapText="1"/>
    </xf>
    <xf numFmtId="49" fontId="27" fillId="0" borderId="0" xfId="0" applyNumberFormat="1" applyFont="1" applyAlignment="1">
      <alignment vertical="top" wrapText="1"/>
    </xf>
    <xf numFmtId="49" fontId="5" fillId="0" borderId="0" xfId="0" applyNumberFormat="1" applyFont="1" applyAlignment="1">
      <alignment horizontal="left" vertical="top" wrapText="1"/>
    </xf>
    <xf numFmtId="49" fontId="5" fillId="0" borderId="0" xfId="0" applyNumberFormat="1" applyFont="1" applyAlignment="1">
      <alignment vertical="top" wrapText="1"/>
    </xf>
    <xf numFmtId="49" fontId="20" fillId="0" borderId="0" xfId="0" applyNumberFormat="1" applyFont="1" applyAlignment="1">
      <alignment vertical="top" wrapText="1"/>
    </xf>
    <xf numFmtId="0" fontId="24" fillId="0" borderId="0" xfId="0" applyFont="1" applyAlignment="1">
      <alignment vertical="top" wrapText="1"/>
    </xf>
    <xf numFmtId="49" fontId="43" fillId="4" borderId="0" xfId="0" applyNumberFormat="1" applyFont="1" applyFill="1" applyAlignment="1">
      <alignment vertical="top" wrapText="1"/>
    </xf>
    <xf numFmtId="49" fontId="5" fillId="0" borderId="0" xfId="0" applyNumberFormat="1" applyFont="1" applyAlignment="1">
      <alignment horizontal="center" vertical="top"/>
    </xf>
    <xf numFmtId="49" fontId="28" fillId="0" borderId="0" xfId="0" applyNumberFormat="1" applyFont="1" applyAlignment="1">
      <alignment vertical="top" wrapText="1"/>
    </xf>
    <xf numFmtId="165" fontId="48" fillId="0" borderId="0" xfId="0" applyNumberFormat="1" applyFont="1" applyAlignment="1">
      <alignment horizontal="center" vertical="top" wrapText="1"/>
    </xf>
    <xf numFmtId="49" fontId="4" fillId="0" borderId="0" xfId="0" applyNumberFormat="1" applyFont="1" applyAlignment="1">
      <alignment vertical="top" wrapText="1"/>
    </xf>
    <xf numFmtId="164" fontId="3" fillId="0" borderId="0" xfId="0" applyNumberFormat="1" applyFont="1" applyAlignment="1">
      <alignment horizontal="center" vertical="top"/>
    </xf>
    <xf numFmtId="0" fontId="34" fillId="0" borderId="0" xfId="0" applyFont="1" applyAlignment="1">
      <alignment vertical="top"/>
    </xf>
    <xf numFmtId="0" fontId="3" fillId="0" borderId="0" xfId="0" applyFont="1" applyAlignment="1">
      <alignment vertical="top" wrapText="1"/>
    </xf>
    <xf numFmtId="0" fontId="2" fillId="0" borderId="0" xfId="0" applyFont="1" applyAlignment="1">
      <alignment vertical="top" wrapText="1"/>
    </xf>
    <xf numFmtId="49" fontId="1" fillId="0" borderId="0" xfId="0" applyNumberFormat="1" applyFont="1" applyAlignment="1">
      <alignment vertical="top" wrapText="1"/>
    </xf>
    <xf numFmtId="0" fontId="1" fillId="0" borderId="0" xfId="0" applyFont="1" applyAlignment="1">
      <alignment vertical="top" wrapText="1"/>
    </xf>
    <xf numFmtId="0" fontId="56" fillId="7" borderId="3" xfId="0" applyFont="1" applyFill="1" applyBorder="1" applyAlignment="1">
      <alignment horizontal="center" vertical="top"/>
    </xf>
    <xf numFmtId="0" fontId="56" fillId="7" borderId="4" xfId="0" applyFont="1" applyFill="1" applyBorder="1" applyAlignment="1">
      <alignment horizontal="center" vertical="top"/>
    </xf>
    <xf numFmtId="0" fontId="56" fillId="11" borderId="2" xfId="0" applyFont="1" applyFill="1" applyBorder="1" applyAlignment="1">
      <alignment horizontal="center" vertical="top"/>
    </xf>
    <xf numFmtId="0" fontId="56" fillId="11" borderId="3" xfId="0" applyFont="1" applyFill="1" applyBorder="1" applyAlignment="1">
      <alignment horizontal="center" vertical="top"/>
    </xf>
    <xf numFmtId="0" fontId="56" fillId="11" borderId="4" xfId="0" applyFont="1" applyFill="1" applyBorder="1" applyAlignment="1">
      <alignment horizontal="center" vertical="top"/>
    </xf>
    <xf numFmtId="0" fontId="56" fillId="7" borderId="2" xfId="0" applyFont="1" applyFill="1" applyBorder="1" applyAlignment="1">
      <alignment horizontal="center" vertical="top"/>
    </xf>
    <xf numFmtId="0" fontId="56" fillId="8" borderId="2" xfId="0" applyFont="1" applyFill="1" applyBorder="1" applyAlignment="1">
      <alignment horizontal="center" vertical="top" wrapText="1"/>
    </xf>
    <xf numFmtId="0" fontId="56" fillId="8" borderId="3" xfId="0" applyFont="1" applyFill="1" applyBorder="1" applyAlignment="1">
      <alignment horizontal="center" vertical="top" wrapText="1"/>
    </xf>
    <xf numFmtId="0" fontId="56" fillId="8" borderId="4" xfId="0" applyFont="1" applyFill="1" applyBorder="1" applyAlignment="1">
      <alignment horizontal="center" vertical="top" wrapText="1"/>
    </xf>
    <xf numFmtId="0" fontId="54" fillId="0" borderId="0" xfId="0" applyFont="1" applyAlignment="1">
      <alignment horizontal="center" vertical="top"/>
    </xf>
    <xf numFmtId="0" fontId="43" fillId="2" borderId="0" xfId="0" applyFont="1" applyFill="1" applyAlignment="1">
      <alignment horizontal="left" vertical="top"/>
    </xf>
    <xf numFmtId="49" fontId="43" fillId="2" borderId="0" xfId="0" applyNumberFormat="1" applyFont="1" applyFill="1" applyAlignment="1">
      <alignment horizontal="left" vertical="top"/>
    </xf>
    <xf numFmtId="0" fontId="43" fillId="3" borderId="0" xfId="0" applyFont="1" applyFill="1" applyAlignment="1">
      <alignment horizontal="left" vertical="top"/>
    </xf>
    <xf numFmtId="0" fontId="43" fillId="5" borderId="0" xfId="0" applyFont="1" applyFill="1" applyAlignment="1">
      <alignment horizontal="left" vertical="top"/>
    </xf>
    <xf numFmtId="0" fontId="60" fillId="0" borderId="0" xfId="0" applyFont="1" applyAlignment="1">
      <alignment horizontal="center" vertical="top"/>
    </xf>
    <xf numFmtId="0" fontId="43" fillId="4" borderId="0" xfId="0" applyFont="1" applyFill="1" applyAlignment="1">
      <alignment horizontal="left" vertical="top"/>
    </xf>
    <xf numFmtId="14" fontId="43" fillId="5" borderId="0" xfId="0" applyNumberFormat="1" applyFont="1" applyFill="1" applyAlignment="1">
      <alignment horizontal="center" vertical="top"/>
    </xf>
    <xf numFmtId="0" fontId="45" fillId="3" borderId="0" xfId="1" applyFont="1" applyFill="1" applyAlignment="1">
      <alignment horizontal="center" vertical="top"/>
    </xf>
    <xf numFmtId="0" fontId="45" fillId="4" borderId="0" xfId="1" applyFont="1" applyFill="1" applyAlignment="1">
      <alignment horizontal="center" vertical="top"/>
    </xf>
    <xf numFmtId="0" fontId="45" fillId="2" borderId="0" xfId="1" applyFont="1" applyFill="1" applyAlignment="1">
      <alignment horizontal="center" vertical="top"/>
    </xf>
    <xf numFmtId="0" fontId="50" fillId="0" borderId="0" xfId="0" applyFont="1" applyAlignment="1">
      <alignment horizontal="center" vertical="top" wrapText="1"/>
    </xf>
    <xf numFmtId="0" fontId="50" fillId="0" borderId="0" xfId="0" applyFont="1" applyAlignment="1">
      <alignment horizontal="center" vertical="top"/>
    </xf>
    <xf numFmtId="0" fontId="10" fillId="0" borderId="0" xfId="0" applyFont="1" applyFill="1" applyAlignment="1">
      <alignment vertical="top" wrapText="1"/>
    </xf>
    <xf numFmtId="0" fontId="37" fillId="0" borderId="0" xfId="0" applyFont="1" applyFill="1" applyAlignment="1">
      <alignment vertical="top" wrapText="1"/>
    </xf>
  </cellXfs>
  <cellStyles count="3">
    <cellStyle name="Link" xfId="2" builtinId="8"/>
    <cellStyle name="Standard" xfId="0" builtinId="0"/>
    <cellStyle name="Standard 2" xfId="1" xr:uid="{F647BAED-5E2B-42D4-9254-CD851A39E5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12" Target="metadata.xml" Type="http://schemas.openxmlformats.org/officeDocument/2006/relationships/sheetMetadata"/><Relationship Id="rId13" Target="calcChain.xml" Type="http://schemas.openxmlformats.org/officeDocument/2006/relationships/calcChain"/><Relationship Id="rId14"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connections.xml" Type="http://schemas.openxmlformats.org/officeDocument/2006/relationships/connection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customProperty1.bin" Type="http://schemas.openxmlformats.org/officeDocument/2006/relationships/customProperty"/></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3F8AD-F872-46CD-AB8D-61950D7B5915}">
  <sheetPr codeName="Tabelle4">
    <tabColor rgb="FFFF0000"/>
  </sheetPr>
  <dimension ref="A1:D179"/>
  <sheetViews>
    <sheetView tabSelected="1" zoomScale="70" zoomScaleNormal="70" workbookViewId="0">
      <pane ySplit="2" topLeftCell="A3" activePane="bottomLeft" state="frozen"/>
      <selection pane="bottomLeft" activeCell="B6" sqref="B6"/>
    </sheetView>
  </sheetViews>
  <sheetFormatPr baseColWidth="10" defaultColWidth="11.42578125" defaultRowHeight="14.25" x14ac:dyDescent="0.25"/>
  <cols>
    <col min="1" max="1" width="5.7109375" style="57" hidden="1" customWidth="1"/>
    <col min="2" max="2" width="10.7109375" style="60" customWidth="1"/>
    <col min="3" max="3" width="30.7109375" style="57" customWidth="1"/>
    <col min="4" max="4" width="50.7109375" style="59" customWidth="1"/>
    <col min="5" max="16384" width="11.42578125" style="57"/>
  </cols>
  <sheetData>
    <row r="1" spans="1:4" s="102" customFormat="1" ht="20.25" x14ac:dyDescent="0.25">
      <c r="B1" s="101" t="s">
        <v>3338</v>
      </c>
      <c r="D1" s="103"/>
    </row>
    <row r="2" spans="1:4" s="102" customFormat="1" x14ac:dyDescent="0.25">
      <c r="B2" s="104" t="s">
        <v>3651</v>
      </c>
      <c r="D2" s="103"/>
    </row>
    <row r="3" spans="1:4" s="102" customFormat="1" x14ac:dyDescent="0.25">
      <c r="D3" s="103"/>
    </row>
    <row r="4" spans="1:4" s="102" customFormat="1" ht="22.5" x14ac:dyDescent="0.25">
      <c r="B4" s="105" t="s">
        <v>3339</v>
      </c>
      <c r="C4" s="106"/>
      <c r="D4" s="110" t="s">
        <v>3343</v>
      </c>
    </row>
    <row r="5" spans="1:4" x14ac:dyDescent="0.25">
      <c r="A5" s="57" t="s">
        <v>0</v>
      </c>
      <c r="B5" s="107" t="s">
        <v>3340</v>
      </c>
      <c r="C5" s="108" t="s">
        <v>3341</v>
      </c>
      <c r="D5" s="109" t="s">
        <v>3342</v>
      </c>
    </row>
    <row r="6" spans="1:4" ht="28.5" x14ac:dyDescent="0.25">
      <c r="A6" s="57">
        <v>10</v>
      </c>
      <c r="B6" s="111" t="str">
        <f>IF(A6="","",IF(ISERROR(SUBSTITUTE(ADDRESS(1,A6,4,1),"1","")),"",SUBSTITUTE(ADDRESS(1,A6,4,1),"1","")))</f>
        <v>J</v>
      </c>
      <c r="C6" s="112" t="str" cm="1">
        <f t="array" ref="C6">IF(A6="","",IF(ISERROR(INDEX(Transformation!$A$5:$AT$5,A6)),"",INDEX(Transformation!$A$5:$AT$5,A6)))</f>
        <v>Link</v>
      </c>
      <c r="D6" s="197" t="s">
        <v>3639</v>
      </c>
    </row>
    <row r="7" spans="1:4" ht="28.5" x14ac:dyDescent="0.25">
      <c r="A7" s="57">
        <v>11</v>
      </c>
      <c r="B7" s="111" t="str">
        <f t="shared" ref="B7:B26" si="0">IF(A7="","",IF(ISERROR(SUBSTITUTE(ADDRESS(1,A7,4,1),"1","")),"",SUBSTITUTE(ADDRESS(1,A7,4,1),"1","")))</f>
        <v>K</v>
      </c>
      <c r="C7" s="112" t="str" cm="1">
        <f t="array" ref="C7">IF(A7="","",IF(ISERROR(INDEX(Transformation!$A$5:$AT$5,A7)),"",INDEX(Transformation!$A$5:$AT$5,A7)))</f>
        <v>Typ</v>
      </c>
      <c r="D7" s="197" t="s">
        <v>3611</v>
      </c>
    </row>
    <row r="8" spans="1:4" x14ac:dyDescent="0.25">
      <c r="A8" s="57">
        <v>12</v>
      </c>
      <c r="B8" s="111" t="str">
        <f t="shared" si="0"/>
        <v>L</v>
      </c>
      <c r="C8" s="112" t="str" cm="1">
        <f t="array" ref="C8">IF(A8="","",IF(ISERROR(INDEX(Transformation!$A$5:$AT$5,A8)),"",INDEX(Transformation!$A$5:$AT$5,A8)))</f>
        <v>Topic</v>
      </c>
      <c r="D8" s="197" t="s">
        <v>3612</v>
      </c>
    </row>
    <row r="9" spans="1:4" ht="28.5" x14ac:dyDescent="0.25">
      <c r="A9" s="57">
        <v>13</v>
      </c>
      <c r="B9" s="111" t="str">
        <f t="shared" si="0"/>
        <v>M</v>
      </c>
      <c r="C9" s="112" t="str" cm="1">
        <f t="array" ref="C9">IF(A9="","",IF(ISERROR(INDEX(Transformation!$A$5:$AT$5,A9)),"",INDEX(Transformation!$A$5:$AT$5,A9)))</f>
        <v>Class</v>
      </c>
      <c r="D9" s="197" t="s">
        <v>3613</v>
      </c>
    </row>
    <row r="10" spans="1:4" x14ac:dyDescent="0.25">
      <c r="A10" s="57">
        <v>14</v>
      </c>
      <c r="B10" s="111" t="str">
        <f t="shared" si="0"/>
        <v>N</v>
      </c>
      <c r="C10" s="112" t="str" cm="1">
        <f t="array" ref="C10">IF(A10="","",IF(ISERROR(INDEX(Transformation!$A$5:$AT$5,A10)),"",INDEX(Transformation!$A$5:$AT$5,A10)))</f>
        <v>Attribut</v>
      </c>
      <c r="D10" s="197" t="s">
        <v>5943</v>
      </c>
    </row>
    <row r="11" spans="1:4" ht="28.5" x14ac:dyDescent="0.25">
      <c r="A11" s="57">
        <v>15</v>
      </c>
      <c r="B11" s="111" t="str">
        <f t="shared" si="0"/>
        <v>O</v>
      </c>
      <c r="C11" s="112" t="str" cm="1">
        <f t="array" ref="C11">IF(A11="","",IF(ISERROR(INDEX(Transformation!$A$5:$AT$5,A11)),"",INDEX(Transformation!$A$5:$AT$5,A11)))</f>
        <v>Structure</v>
      </c>
      <c r="D11" s="197" t="s">
        <v>3614</v>
      </c>
    </row>
    <row r="12" spans="1:4" ht="28.5" x14ac:dyDescent="0.25">
      <c r="A12" s="57">
        <v>16</v>
      </c>
      <c r="B12" s="111" t="str">
        <f t="shared" si="0"/>
        <v>P</v>
      </c>
      <c r="C12" s="112" t="str" cm="1">
        <f t="array" ref="C12">IF(A12="","",IF(ISERROR(INDEX(Transformation!$A$5:$AT$5,A12)),"",INDEX(Transformation!$A$5:$AT$5,A12)))</f>
        <v>Substruct</v>
      </c>
      <c r="D12" s="197" t="s">
        <v>3615</v>
      </c>
    </row>
    <row r="13" spans="1:4" ht="28.5" x14ac:dyDescent="0.25">
      <c r="A13" s="57">
        <v>18</v>
      </c>
      <c r="B13" s="111" t="str">
        <f t="shared" si="0"/>
        <v>R</v>
      </c>
      <c r="C13" s="112" t="str" cm="1">
        <f t="array" ref="C13">IF(A13="","",IF(ISERROR(INDEX(Transformation!$A$5:$AT$5,A13)),"",INDEX(Transformation!$A$5:$AT$5,A13)))</f>
        <v>Bemerkung</v>
      </c>
      <c r="D13" s="197" t="s">
        <v>3616</v>
      </c>
    </row>
    <row r="14" spans="1:4" ht="28.5" x14ac:dyDescent="0.25">
      <c r="A14" s="57">
        <v>20</v>
      </c>
      <c r="B14" s="111" t="str">
        <f t="shared" si="0"/>
        <v>T</v>
      </c>
      <c r="C14" s="112" t="str" cm="1">
        <f t="array" ref="C14">IF(A14="","",IF(ISERROR(INDEX(Transformation!$A$5:$AT$5,A14)),"",INDEX(Transformation!$A$5:$AT$5,A14)))</f>
        <v>Bedingung / Voraussetzung in DM.01-AV-CH</v>
      </c>
      <c r="D14" s="197" t="s">
        <v>5944</v>
      </c>
    </row>
    <row r="15" spans="1:4" ht="42.75" x14ac:dyDescent="0.25">
      <c r="A15" s="57">
        <v>21</v>
      </c>
      <c r="B15" s="111" t="str">
        <f t="shared" si="0"/>
        <v>U</v>
      </c>
      <c r="C15" s="112" t="str" cm="1">
        <f t="array" ref="C15">IF(A15="","",IF(ISERROR(INDEX(Transformation!$A$5:$AT$5,A15)),"",INDEX(Transformation!$A$5:$AT$5,A15)))</f>
        <v>T</v>
      </c>
      <c r="D15" s="197" t="s">
        <v>3617</v>
      </c>
    </row>
    <row r="16" spans="1:4" ht="42.75" x14ac:dyDescent="0.25">
      <c r="A16" s="57">
        <v>22</v>
      </c>
      <c r="B16" s="111" t="str">
        <f t="shared" si="0"/>
        <v>V</v>
      </c>
      <c r="C16" s="112" t="str" cm="1">
        <f t="array" ref="C16">IF(A16="","",IF(ISERROR(INDEX(Transformation!$A$5:$AT$5,A16)),"",INDEX(Transformation!$A$5:$AT$5,A16)))</f>
        <v>Klasse</v>
      </c>
      <c r="D16" s="197" t="s">
        <v>3344</v>
      </c>
    </row>
    <row r="17" spans="1:4" ht="57" x14ac:dyDescent="0.25">
      <c r="A17" s="57">
        <v>23</v>
      </c>
      <c r="B17" s="111" t="str">
        <f t="shared" si="0"/>
        <v>W</v>
      </c>
      <c r="C17" s="112" t="str" cm="1">
        <f t="array" ref="C17">IF(A17="","",IF(ISERROR(INDEX(Transformation!$A$5:$AT$5,A17)),"",INDEX(Transformation!$A$5:$AT$5,A17)))</f>
        <v>Ergänzung</v>
      </c>
      <c r="D17" s="197" t="s">
        <v>3618</v>
      </c>
    </row>
    <row r="18" spans="1:4" ht="28.5" x14ac:dyDescent="0.25">
      <c r="A18" s="57">
        <v>25</v>
      </c>
      <c r="B18" s="111" t="str">
        <f t="shared" si="0"/>
        <v>Y</v>
      </c>
      <c r="C18" s="112" t="str" cm="1">
        <f t="array" ref="C18">IF(A18="","",IF(ISERROR(INDEX(Transformation!$A$5:$AT$5,A18)),"",INDEX(Transformation!$A$5:$AT$5,A18)))</f>
        <v>Bedingung / Voraussetzung in DMAV</v>
      </c>
      <c r="D18" s="197" t="s">
        <v>3619</v>
      </c>
    </row>
    <row r="19" spans="1:4" ht="42.75" x14ac:dyDescent="0.25">
      <c r="A19" s="57">
        <v>26</v>
      </c>
      <c r="B19" s="111" t="str">
        <f t="shared" si="0"/>
        <v>Z</v>
      </c>
      <c r="C19" s="112" t="str" cm="1">
        <f t="array" ref="C19">IF(A19="","",IF(ISERROR(INDEX(Transformation!$A$5:$AT$5,A19)),"",INDEX(Transformation!$A$5:$AT$5,A19)))</f>
        <v>T</v>
      </c>
      <c r="D19" s="197" t="s">
        <v>3617</v>
      </c>
    </row>
    <row r="20" spans="1:4" ht="42.75" x14ac:dyDescent="0.25">
      <c r="A20" s="57">
        <v>27</v>
      </c>
      <c r="B20" s="111" t="str">
        <f t="shared" si="0"/>
        <v>AA</v>
      </c>
      <c r="C20" s="112" t="str" cm="1">
        <f t="array" ref="C20">IF(A20="","",IF(ISERROR(INDEX(Transformation!$A$5:$AT$5,A20)),"",INDEX(Transformation!$A$5:$AT$5,A20)))</f>
        <v>Tabelle</v>
      </c>
      <c r="D20" s="197" t="s">
        <v>3345</v>
      </c>
    </row>
    <row r="21" spans="1:4" ht="42.75" x14ac:dyDescent="0.25">
      <c r="A21" s="57">
        <v>28</v>
      </c>
      <c r="B21" s="111" t="str">
        <f t="shared" si="0"/>
        <v>AB</v>
      </c>
      <c r="C21" s="112" t="str" cm="1">
        <f t="array" ref="C21">IF(A21="","",IF(ISERROR(INDEX(Transformation!$A$5:$AT$5,A21)),"",INDEX(Transformation!$A$5:$AT$5,A21)))</f>
        <v>Ergänzung</v>
      </c>
      <c r="D21" s="197" t="s">
        <v>5945</v>
      </c>
    </row>
    <row r="22" spans="1:4" ht="28.5" x14ac:dyDescent="0.25">
      <c r="A22" s="57">
        <v>30</v>
      </c>
      <c r="B22" s="111" t="str">
        <f t="shared" si="0"/>
        <v>AD</v>
      </c>
      <c r="C22" s="112" t="str" cm="1">
        <f t="array" ref="C22">IF(A22="","",IF(ISERROR(INDEX(Transformation!$A$5:$AT$5,A22)),"",INDEX(Transformation!$A$5:$AT$5,A22)))</f>
        <v>Bemerkungen</v>
      </c>
      <c r="D22" s="197" t="s">
        <v>3620</v>
      </c>
    </row>
    <row r="23" spans="1:4" ht="28.5" x14ac:dyDescent="0.25">
      <c r="A23" s="57">
        <v>32</v>
      </c>
      <c r="B23" s="111" t="str">
        <f t="shared" si="0"/>
        <v>AF</v>
      </c>
      <c r="C23" s="112" t="str" cm="1">
        <f t="array" ref="C23">IF(A23="","",IF(ISERROR(INDEX(Transformation!$A$5:$AT$5,A23)),"",INDEX(Transformation!$A$5:$AT$5,A23)))</f>
        <v>Link</v>
      </c>
      <c r="D23" s="197" t="s">
        <v>3621</v>
      </c>
    </row>
    <row r="24" spans="1:4" x14ac:dyDescent="0.25">
      <c r="A24" s="57">
        <v>33</v>
      </c>
      <c r="B24" s="111" t="str">
        <f t="shared" si="0"/>
        <v>AG</v>
      </c>
      <c r="C24" s="112" t="str" cm="1">
        <f t="array" ref="C24">IF(A24="","",IF(ISERROR(INDEX(Transformation!$A$5:$AT$5,A24)),"",INDEX(Transformation!$A$5:$AT$5,A24)))</f>
        <v>Topic</v>
      </c>
      <c r="D24" s="197" t="s">
        <v>3612</v>
      </c>
    </row>
    <row r="25" spans="1:4" ht="28.5" x14ac:dyDescent="0.25">
      <c r="A25" s="57">
        <v>34</v>
      </c>
      <c r="B25" s="111" t="str">
        <f t="shared" si="0"/>
        <v>AH</v>
      </c>
      <c r="C25" s="112" t="str" cm="1">
        <f t="array" ref="C25">IF(A25="","",IF(ISERROR(INDEX(Transformation!$A$5:$AT$5,A25)),"",INDEX(Transformation!$A$5:$AT$5,A25)))</f>
        <v>Tabelle</v>
      </c>
      <c r="D25" s="197" t="s">
        <v>3622</v>
      </c>
    </row>
    <row r="26" spans="1:4" x14ac:dyDescent="0.25">
      <c r="A26" s="57">
        <v>35</v>
      </c>
      <c r="B26" s="111" t="str">
        <f t="shared" si="0"/>
        <v>AI</v>
      </c>
      <c r="C26" s="112" t="str" cm="1">
        <f t="array" ref="C26">IF(A26="","",IF(ISERROR(INDEX(Transformation!$A$5:$AT$5,A26)),"",INDEX(Transformation!$A$5:$AT$5,A26)))</f>
        <v>Attribut</v>
      </c>
      <c r="D26" s="197" t="s">
        <v>5943</v>
      </c>
    </row>
    <row r="28" spans="1:4" ht="15" x14ac:dyDescent="0.25">
      <c r="B28" s="105" t="s">
        <v>3346</v>
      </c>
      <c r="C28" s="106"/>
      <c r="D28" s="110" t="s">
        <v>3348</v>
      </c>
    </row>
    <row r="29" spans="1:4" x14ac:dyDescent="0.25">
      <c r="B29" s="107" t="s">
        <v>3340</v>
      </c>
      <c r="C29" s="108" t="s">
        <v>3341</v>
      </c>
      <c r="D29" s="109" t="s">
        <v>3342</v>
      </c>
    </row>
    <row r="30" spans="1:4" x14ac:dyDescent="0.25">
      <c r="A30" s="57">
        <v>1</v>
      </c>
      <c r="B30" s="111" t="str">
        <f>IF(A30="","",IF(ISERROR(SUBSTITUTE(ADDRESS(1,A30,4,1),"1","")),"",SUBSTITUTE(ADDRESS(1,A30,4,1),"1","")))</f>
        <v>A</v>
      </c>
      <c r="C30" s="112" t="str" cm="1">
        <f t="array" ref="C30">IF(A30="","",IF(ISERROR(INDEX(DMAV_Doku!$A$5:$AH$5,A30)),"",INDEX(DMAV_Doku!$A$5:$AH$5,A30)))</f>
        <v>Dok</v>
      </c>
      <c r="D30" s="197" t="s">
        <v>5946</v>
      </c>
    </row>
    <row r="31" spans="1:4" x14ac:dyDescent="0.25">
      <c r="A31" s="57">
        <v>2</v>
      </c>
      <c r="B31" s="111" t="str">
        <f t="shared" ref="B31:B56" si="1">IF(A31="","",IF(ISERROR(SUBSTITUTE(ADDRESS(1,A31,4,1),"1","")),"",SUBSTITUTE(ADDRESS(1,A31,4,1),"1","")))</f>
        <v>B</v>
      </c>
      <c r="C31" s="112" t="str" cm="1">
        <f t="array" ref="C31">IF(A31="","",IF(ISERROR(INDEX(DMAV_Doku!$A$5:$AH$5,A31)),"",INDEX(DMAV_Doku!$A$5:$AH$5,A31)))</f>
        <v>Nr.</v>
      </c>
      <c r="D31" s="197" t="s">
        <v>3347</v>
      </c>
    </row>
    <row r="32" spans="1:4" ht="28.5" x14ac:dyDescent="0.25">
      <c r="A32" s="57">
        <v>3</v>
      </c>
      <c r="B32" s="111" t="str">
        <f t="shared" si="1"/>
        <v>C</v>
      </c>
      <c r="C32" s="112" t="str" cm="1">
        <f t="array" ref="C32">IF(A32="","",IF(ISERROR(INDEX(DMAV_Doku!$A$5:$AH$5,A32)),"",INDEX(DMAV_Doku!$A$5:$AH$5,A32)))</f>
        <v>Typ</v>
      </c>
      <c r="D32" s="197" t="s">
        <v>3611</v>
      </c>
    </row>
    <row r="33" spans="1:4" ht="57" x14ac:dyDescent="0.25">
      <c r="A33" s="57">
        <v>4</v>
      </c>
      <c r="B33" s="111" t="str">
        <f t="shared" si="1"/>
        <v>D</v>
      </c>
      <c r="C33" s="112" t="str" cm="1">
        <f t="array" ref="C33">IF(A33="","",IF(ISERROR(INDEX(DMAV_Doku!$A$5:$AH$5,A33)),"",INDEX(DMAV_Doku!$A$5:$AH$5,A33)))</f>
        <v>MAN.</v>
      </c>
      <c r="D33" s="197" t="s">
        <v>3349</v>
      </c>
    </row>
    <row r="34" spans="1:4" ht="28.5" x14ac:dyDescent="0.25">
      <c r="A34" s="57">
        <v>6</v>
      </c>
      <c r="B34" s="111" t="str">
        <f t="shared" si="1"/>
        <v>F</v>
      </c>
      <c r="C34" s="112" t="str" cm="1">
        <f t="array" ref="C34">IF(A34="","",IF(ISERROR(INDEX(DMAV_Doku!$A$5:$AH$5,A34)),"",INDEX(DMAV_Doku!$A$5:$AH$5,A34)))</f>
        <v>Domain</v>
      </c>
      <c r="D34" s="197" t="s">
        <v>3623</v>
      </c>
    </row>
    <row r="35" spans="1:4" ht="28.5" x14ac:dyDescent="0.25">
      <c r="A35" s="57">
        <v>7</v>
      </c>
      <c r="B35" s="111" t="str">
        <f t="shared" si="1"/>
        <v>G</v>
      </c>
      <c r="C35" s="112" t="str" cm="1">
        <f t="array" ref="C35">IF(A35="","",IF(ISERROR(INDEX(DMAV_Doku!$A$5:$AH$5,A35)),"",INDEX(DMAV_Doku!$A$5:$AH$5,A35)))</f>
        <v>Modell</v>
      </c>
      <c r="D35" s="197" t="s">
        <v>3610</v>
      </c>
    </row>
    <row r="36" spans="1:4" ht="42.75" x14ac:dyDescent="0.25">
      <c r="A36" s="57">
        <v>12</v>
      </c>
      <c r="B36" s="111" t="str">
        <f t="shared" si="1"/>
        <v>L</v>
      </c>
      <c r="C36" s="112" t="str" cm="1">
        <f t="array" ref="C36">IF(A36="","",IF(ISERROR(INDEX(DMAV_Doku!$A$5:$AH$5,A36)),"",INDEX(DMAV_Doku!$A$5:$AH$5,A36)))</f>
        <v>Dokument</v>
      </c>
      <c r="D36" s="197" t="s">
        <v>3624</v>
      </c>
    </row>
    <row r="37" spans="1:4" x14ac:dyDescent="0.25">
      <c r="A37" s="57">
        <v>13</v>
      </c>
      <c r="B37" s="111" t="str">
        <f t="shared" si="1"/>
        <v>M</v>
      </c>
      <c r="C37" s="112" t="str" cm="1">
        <f t="array" ref="C37">IF(A37="","",IF(ISERROR(INDEX(DMAV_Doku!$A$5:$AH$5,A37)),"",INDEX(DMAV_Doku!$A$5:$AH$5,A37)))</f>
        <v>Name</v>
      </c>
      <c r="D37" s="197" t="s">
        <v>3625</v>
      </c>
    </row>
    <row r="38" spans="1:4" x14ac:dyDescent="0.25">
      <c r="A38" s="57">
        <v>14</v>
      </c>
      <c r="B38" s="111" t="str">
        <f t="shared" si="1"/>
        <v>N</v>
      </c>
      <c r="C38" s="112" t="str" cm="1">
        <f t="array" ref="C38">IF(A38="","",IF(ISERROR(INDEX(DMAV_Doku!$A$5:$AH$5,A38)),"",INDEX(DMAV_Doku!$A$5:$AH$5,A38)))</f>
        <v>Attribut</v>
      </c>
      <c r="D38" s="197" t="s">
        <v>3626</v>
      </c>
    </row>
    <row r="39" spans="1:4" x14ac:dyDescent="0.25">
      <c r="A39" s="57">
        <v>15</v>
      </c>
      <c r="B39" s="111" t="str">
        <f t="shared" si="1"/>
        <v>O</v>
      </c>
      <c r="C39" s="112" t="str" cm="1">
        <f t="array" ref="C39">IF(A39="","",IF(ISERROR(INDEX(DMAV_Doku!$A$5:$AH$5,A39)),"",INDEX(DMAV_Doku!$A$5:$AH$5,A39)))</f>
        <v>Wert</v>
      </c>
      <c r="D39" s="197" t="s">
        <v>3627</v>
      </c>
    </row>
    <row r="40" spans="1:4" x14ac:dyDescent="0.25">
      <c r="A40" s="57">
        <v>16</v>
      </c>
      <c r="B40" s="111" t="str">
        <f t="shared" si="1"/>
        <v>P</v>
      </c>
      <c r="C40" s="112" t="str" cm="1">
        <f t="array" ref="C40">IF(A40="","",IF(ISERROR(INDEX(DMAV_Doku!$A$5:$AH$5,A40)),"",INDEX(DMAV_Doku!$A$5:$AH$5,A40)))</f>
        <v>Default</v>
      </c>
      <c r="D40" s="197" t="s">
        <v>3628</v>
      </c>
    </row>
    <row r="41" spans="1:4" ht="28.5" x14ac:dyDescent="0.25">
      <c r="A41" s="57">
        <v>17</v>
      </c>
      <c r="B41" s="111" t="str">
        <f t="shared" si="1"/>
        <v>Q</v>
      </c>
      <c r="C41" s="112" t="str" cm="1">
        <f t="array" ref="C41">IF(A41="","",IF(ISERROR(INDEX(DMAV_Doku!$A$5:$AH$5,A41)),"",INDEX(DMAV_Doku!$A$5:$AH$5,A41)))</f>
        <v>Beschreibung</v>
      </c>
      <c r="D41" s="197" t="s">
        <v>3629</v>
      </c>
    </row>
    <row r="42" spans="1:4" ht="42.75" x14ac:dyDescent="0.25">
      <c r="A42" s="57">
        <v>18</v>
      </c>
      <c r="B42" s="111" t="str">
        <f t="shared" si="1"/>
        <v>R</v>
      </c>
      <c r="C42" s="112" t="str" cm="1">
        <f t="array" ref="C42">IF(A42="","",IF(ISERROR(INDEX(DMAV_Doku!$A$5:$AH$5,A42)),"",INDEX(DMAV_Doku!$A$5:$AH$5,A42)))</f>
        <v>Kommentar</v>
      </c>
      <c r="D42" s="197" t="s">
        <v>3630</v>
      </c>
    </row>
    <row r="43" spans="1:4" ht="42.75" x14ac:dyDescent="0.25">
      <c r="A43" s="57">
        <v>20</v>
      </c>
      <c r="B43" s="111" t="str">
        <f t="shared" si="1"/>
        <v>T</v>
      </c>
      <c r="C43" s="112" t="str" cm="1">
        <f t="array" ref="C43">IF(A43="","",IF(ISERROR(INDEX(DMAV_Doku!$A$5:$AH$5,A43)),"",INDEX(DMAV_Doku!$A$5:$AH$5,A43)))</f>
        <v>Document</v>
      </c>
      <c r="D43" s="197" t="s">
        <v>7194</v>
      </c>
    </row>
    <row r="44" spans="1:4" x14ac:dyDescent="0.25">
      <c r="A44" s="57">
        <v>21</v>
      </c>
      <c r="B44" s="111" t="str">
        <f t="shared" si="1"/>
        <v>U</v>
      </c>
      <c r="C44" s="112" t="str" cm="1">
        <f t="array" ref="C44">IF(A44="","",IF(ISERROR(INDEX(DMAV_Doku!$A$5:$AH$5,A44)),"",INDEX(DMAV_Doku!$A$5:$AH$5,A44)))</f>
        <v>Nom</v>
      </c>
      <c r="D44" s="197" t="s">
        <v>5947</v>
      </c>
    </row>
    <row r="45" spans="1:4" x14ac:dyDescent="0.25">
      <c r="A45" s="57">
        <v>22</v>
      </c>
      <c r="B45" s="111" t="str">
        <f t="shared" si="1"/>
        <v>V</v>
      </c>
      <c r="C45" s="112" t="str" cm="1">
        <f t="array" ref="C45">IF(A45="","",IF(ISERROR(INDEX(DMAV_Doku!$A$5:$AH$5,A45)),"",INDEX(DMAV_Doku!$A$5:$AH$5,A45)))</f>
        <v>Attribut</v>
      </c>
      <c r="D45" s="197" t="s">
        <v>5948</v>
      </c>
    </row>
    <row r="46" spans="1:4" x14ac:dyDescent="0.25">
      <c r="A46" s="57">
        <v>23</v>
      </c>
      <c r="B46" s="111" t="str">
        <f t="shared" si="1"/>
        <v>W</v>
      </c>
      <c r="C46" s="112" t="str" cm="1">
        <f t="array" ref="C46">IF(A46="","",IF(ISERROR(INDEX(DMAV_Doku!$A$5:$AH$5,A46)),"",INDEX(DMAV_Doku!$A$5:$AH$5,A46)))</f>
        <v>Valeur</v>
      </c>
      <c r="D46" s="197" t="s">
        <v>7195</v>
      </c>
    </row>
    <row r="47" spans="1:4" x14ac:dyDescent="0.25">
      <c r="A47" s="57">
        <v>24</v>
      </c>
      <c r="B47" s="111" t="str">
        <f t="shared" si="1"/>
        <v>X</v>
      </c>
      <c r="C47" s="112" t="str" cm="1">
        <f t="array" ref="C47">IF(A47="","",IF(ISERROR(INDEX(DMAV_Doku!$A$5:$AH$5,A47)),"",INDEX(DMAV_Doku!$A$5:$AH$5,A47)))</f>
        <v>Default</v>
      </c>
      <c r="D47" s="197" t="s">
        <v>7196</v>
      </c>
    </row>
    <row r="48" spans="1:4" ht="28.5" x14ac:dyDescent="0.25">
      <c r="A48" s="57">
        <v>25</v>
      </c>
      <c r="B48" s="111" t="str">
        <f t="shared" si="1"/>
        <v>Y</v>
      </c>
      <c r="C48" s="112" t="str" cm="1">
        <f t="array" ref="C48">IF(A48="","",IF(ISERROR(INDEX(DMAV_Doku!$A$5:$AH$5,A48)),"",INDEX(DMAV_Doku!$A$5:$AH$5,A48)))</f>
        <v>Description</v>
      </c>
      <c r="D48" s="197" t="s">
        <v>5949</v>
      </c>
    </row>
    <row r="49" spans="1:4" ht="42.75" x14ac:dyDescent="0.25">
      <c r="A49" s="57">
        <v>26</v>
      </c>
      <c r="B49" s="111" t="str">
        <f t="shared" si="1"/>
        <v>Z</v>
      </c>
      <c r="C49" s="112" t="str" cm="1">
        <f t="array" ref="C49">IF(A49="","",IF(ISERROR(INDEX(DMAV_Doku!$A$5:$AH$5,A49)),"",INDEX(DMAV_Doku!$A$5:$AH$5,A49)))</f>
        <v>Comentaire</v>
      </c>
      <c r="D49" s="197" t="s">
        <v>7197</v>
      </c>
    </row>
    <row r="50" spans="1:4" ht="28.5" x14ac:dyDescent="0.25">
      <c r="A50" s="57">
        <v>28</v>
      </c>
      <c r="B50" s="111" t="str">
        <f t="shared" si="1"/>
        <v>AB</v>
      </c>
      <c r="C50" s="112" t="str" cm="1">
        <f t="array" ref="C50">IF(A50="","",IF(ISERROR(INDEX(DMAV_Doku!$A$5:$AH$5,A50)),"",INDEX(DMAV_Doku!$A$5:$AH$5,A50)))</f>
        <v>Documento</v>
      </c>
      <c r="D50" s="197" t="s">
        <v>5951</v>
      </c>
    </row>
    <row r="51" spans="1:4" x14ac:dyDescent="0.25">
      <c r="A51" s="57">
        <v>29</v>
      </c>
      <c r="B51" s="111" t="str">
        <f t="shared" si="1"/>
        <v>AC</v>
      </c>
      <c r="C51" s="112" t="str" cm="1">
        <f t="array" ref="C51">IF(A51="","",IF(ISERROR(INDEX(DMAV_Doku!$A$5:$AH$5,A51)),"",INDEX(DMAV_Doku!$A$5:$AH$5,A51)))</f>
        <v>Nome</v>
      </c>
      <c r="D51" s="197" t="s">
        <v>5952</v>
      </c>
    </row>
    <row r="52" spans="1:4" x14ac:dyDescent="0.25">
      <c r="A52" s="57">
        <v>30</v>
      </c>
      <c r="B52" s="111" t="str">
        <f t="shared" si="1"/>
        <v>AD</v>
      </c>
      <c r="C52" s="112" t="str" cm="1">
        <f t="array" ref="C52">IF(A52="","",IF(ISERROR(INDEX(DMAV_Doku!$A$5:$AH$5,A52)),"",INDEX(DMAV_Doku!$A$5:$AH$5,A52)))</f>
        <v>Attributo</v>
      </c>
      <c r="D52" s="197" t="s">
        <v>5954</v>
      </c>
    </row>
    <row r="53" spans="1:4" x14ac:dyDescent="0.25">
      <c r="A53" s="57">
        <v>31</v>
      </c>
      <c r="B53" s="111" t="str">
        <f t="shared" si="1"/>
        <v>AE</v>
      </c>
      <c r="C53" s="112" t="str" cm="1">
        <f t="array" ref="C53">IF(A53="","",IF(ISERROR(INDEX(DMAV_Doku!$A$5:$AH$5,A53)),"",INDEX(DMAV_Doku!$A$5:$AH$5,A53)))</f>
        <v>Valore</v>
      </c>
      <c r="D53" s="197" t="s">
        <v>5953</v>
      </c>
    </row>
    <row r="54" spans="1:4" x14ac:dyDescent="0.25">
      <c r="A54" s="57">
        <v>32</v>
      </c>
      <c r="B54" s="111" t="str">
        <f t="shared" si="1"/>
        <v>AF</v>
      </c>
      <c r="C54" s="112" t="str" cm="1">
        <f t="array" ref="C54">IF(A54="","",IF(ISERROR(INDEX(DMAV_Doku!$A$5:$AH$5,A54)),"",INDEX(DMAV_Doku!$A$5:$AH$5,A54)))</f>
        <v>Predefinito</v>
      </c>
      <c r="D54" s="197" t="s">
        <v>5955</v>
      </c>
    </row>
    <row r="55" spans="1:4" ht="28.5" x14ac:dyDescent="0.25">
      <c r="A55" s="57">
        <v>33</v>
      </c>
      <c r="B55" s="111" t="str">
        <f t="shared" si="1"/>
        <v>AG</v>
      </c>
      <c r="C55" s="112" t="str" cm="1">
        <f t="array" ref="C55">IF(A55="","",IF(ISERROR(INDEX(DMAV_Doku!$A$5:$AH$5,A55)),"",INDEX(DMAV_Doku!$A$5:$AH$5,A55)))</f>
        <v>Descrizione</v>
      </c>
      <c r="D55" s="197" t="s">
        <v>5956</v>
      </c>
    </row>
    <row r="56" spans="1:4" ht="42.75" x14ac:dyDescent="0.25">
      <c r="A56" s="57">
        <v>34</v>
      </c>
      <c r="B56" s="111" t="str">
        <f t="shared" si="1"/>
        <v>AH</v>
      </c>
      <c r="C56" s="112" t="str" cm="1">
        <f t="array" ref="C56">IF(A56="","",IF(ISERROR(INDEX(DMAV_Doku!$A$5:$AH$5,A56)),"",INDEX(DMAV_Doku!$A$5:$AH$5,A56)))</f>
        <v>Commento</v>
      </c>
      <c r="D56" s="197" t="s">
        <v>5950</v>
      </c>
    </row>
    <row r="58" spans="1:4" ht="22.5" x14ac:dyDescent="0.25">
      <c r="B58" s="105" t="s">
        <v>3350</v>
      </c>
      <c r="C58" s="106"/>
      <c r="D58" s="110" t="s">
        <v>3351</v>
      </c>
    </row>
    <row r="59" spans="1:4" x14ac:dyDescent="0.25">
      <c r="B59" s="107" t="s">
        <v>3340</v>
      </c>
      <c r="C59" s="108" t="s">
        <v>3341</v>
      </c>
      <c r="D59" s="109" t="s">
        <v>3342</v>
      </c>
    </row>
    <row r="60" spans="1:4" x14ac:dyDescent="0.25">
      <c r="A60" s="57">
        <v>1</v>
      </c>
      <c r="B60" s="111" t="str">
        <f>IF(A60="","",IF(ISERROR(SUBSTITUTE(ADDRESS(1,A60,4,1),"1","")),"",SUBSTITUTE(ADDRESS(1,A60,4,1),"1","")))</f>
        <v>A</v>
      </c>
      <c r="C60" s="112" t="str" cm="1">
        <f t="array" ref="C60">IF(A60="","",IF(ISERROR(INDEX(DMAV_Modell!$A$5:$BB$5,A60)),"",INDEX(DMAV_Modell!$A$5:$BB$5,A60)))</f>
        <v>Modell</v>
      </c>
      <c r="D60" s="197" t="s">
        <v>5946</v>
      </c>
    </row>
    <row r="61" spans="1:4" x14ac:dyDescent="0.25">
      <c r="A61" s="57">
        <v>2</v>
      </c>
      <c r="B61" s="111" t="str">
        <f t="shared" ref="B61:B105" si="2">IF(A61="","",IF(ISERROR(SUBSTITUTE(ADDRESS(1,A61,4,1),"1","")),"",SUBSTITUTE(ADDRESS(1,A61,4,1),"1","")))</f>
        <v>B</v>
      </c>
      <c r="C61" s="112" t="str" cm="1">
        <f t="array" ref="C61">IF(A61="","",IF(ISERROR(INDEX(DMAV_Modell!$A$5:$BB$5,A61)),"",INDEX(DMAV_Modell!$A$5:$BB$5,A61)))</f>
        <v>Nr</v>
      </c>
      <c r="D61" s="197" t="s">
        <v>3347</v>
      </c>
    </row>
    <row r="62" spans="1:4" x14ac:dyDescent="0.25">
      <c r="A62" s="57">
        <v>4</v>
      </c>
      <c r="B62" s="111" t="str">
        <f t="shared" si="2"/>
        <v>D</v>
      </c>
      <c r="C62" s="112" t="str" cm="1">
        <f t="array" ref="C62">IF(A62="","",IF(ISERROR(INDEX(DMAV_Modell!$A$5:$BB$5,A62)),"",INDEX(DMAV_Modell!$A$5:$BB$5,A62)))</f>
        <v>CheckID</v>
      </c>
      <c r="D62" s="197" t="s">
        <v>3641</v>
      </c>
    </row>
    <row r="63" spans="1:4" ht="28.5" x14ac:dyDescent="0.25">
      <c r="A63" s="57">
        <v>5</v>
      </c>
      <c r="B63" s="111" t="str">
        <f t="shared" si="2"/>
        <v>E</v>
      </c>
      <c r="C63" s="112" t="str" cm="1">
        <f t="array" ref="C63">IF(A63="","",IF(ISERROR(INDEX(DMAV_Modell!$A$5:$BB$5,A63)),"",INDEX(DMAV_Modell!$A$5:$BB$5,A63)))</f>
        <v>Domain</v>
      </c>
      <c r="D63" s="197" t="s">
        <v>3623</v>
      </c>
    </row>
    <row r="64" spans="1:4" ht="28.5" x14ac:dyDescent="0.25">
      <c r="A64" s="57">
        <v>6</v>
      </c>
      <c r="B64" s="111" t="str">
        <f t="shared" si="2"/>
        <v>F</v>
      </c>
      <c r="C64" s="112" t="str" cm="1">
        <f t="array" ref="C64">IF(A64="","",IF(ISERROR(INDEX(DMAV_Modell!$A$5:$BB$5,A64)),"",INDEX(DMAV_Modell!$A$5:$BB$5,A64)))</f>
        <v>Doku</v>
      </c>
      <c r="D64" s="197" t="s">
        <v>3631</v>
      </c>
    </row>
    <row r="65" spans="1:4" ht="28.5" x14ac:dyDescent="0.25">
      <c r="A65" s="57">
        <v>11</v>
      </c>
      <c r="B65" s="111" t="str">
        <f t="shared" si="2"/>
        <v>K</v>
      </c>
      <c r="C65" s="112" t="str" cm="1">
        <f t="array" ref="C65">IF(A65="","",IF(ISERROR(INDEX(DMAV_Modell!$A$5:$BB$5,A65)),"",INDEX(DMAV_Modell!$A$5:$BB$5,A65)))</f>
        <v>Neu</v>
      </c>
      <c r="D65" s="197" t="s">
        <v>5957</v>
      </c>
    </row>
    <row r="66" spans="1:4" x14ac:dyDescent="0.25">
      <c r="A66" s="57">
        <v>12</v>
      </c>
      <c r="B66" s="111" t="str">
        <f t="shared" si="2"/>
        <v>L</v>
      </c>
      <c r="C66" s="112" t="str" cm="1">
        <f t="array" ref="C66">IF(A66="","",IF(ISERROR(INDEX(DMAV_Modell!$A$5:$BB$5,A66)),"",INDEX(DMAV_Modell!$A$5:$BB$5,A66)))</f>
        <v>Gelöscht</v>
      </c>
      <c r="D66" s="197" t="s">
        <v>5958</v>
      </c>
    </row>
    <row r="67" spans="1:4" x14ac:dyDescent="0.25">
      <c r="A67" s="57">
        <v>14</v>
      </c>
      <c r="B67" s="111" t="str">
        <f t="shared" si="2"/>
        <v>N</v>
      </c>
      <c r="C67" s="112" t="str" cm="1">
        <f t="array" ref="C67">IF(A67="","",IF(ISERROR(INDEX(DMAV_Modell!$A$5:$BB$5,A67)),"",INDEX(DMAV_Modell!$A$5:$BB$5,A67)))</f>
        <v>Datei</v>
      </c>
      <c r="D67" s="197" t="s">
        <v>3632</v>
      </c>
    </row>
    <row r="68" spans="1:4" ht="28.5" x14ac:dyDescent="0.25">
      <c r="A68" s="57">
        <v>15</v>
      </c>
      <c r="B68" s="111" t="str">
        <f t="shared" si="2"/>
        <v>O</v>
      </c>
      <c r="C68" s="112" t="str" cm="1">
        <f t="array" ref="C68">IF(A68="","",IF(ISERROR(INDEX(DMAV_Modell!$A$5:$BB$5,A68)),"",INDEX(DMAV_Modell!$A$5:$BB$5,A68)))</f>
        <v>Modell</v>
      </c>
      <c r="D68" s="197" t="s">
        <v>3633</v>
      </c>
    </row>
    <row r="69" spans="1:4" x14ac:dyDescent="0.25">
      <c r="A69" s="57">
        <v>16</v>
      </c>
      <c r="B69" s="111" t="str">
        <f t="shared" si="2"/>
        <v>P</v>
      </c>
      <c r="C69" s="112" t="str" cm="1">
        <f t="array" ref="C69">IF(A69="","",IF(ISERROR(INDEX(DMAV_Modell!$A$5:$BB$5,A69)),"",INDEX(DMAV_Modell!$A$5:$BB$5,A69)))</f>
        <v>Topic</v>
      </c>
      <c r="D69" s="197" t="s">
        <v>3612</v>
      </c>
    </row>
    <row r="70" spans="1:4" ht="28.5" x14ac:dyDescent="0.25">
      <c r="A70" s="57">
        <v>17</v>
      </c>
      <c r="B70" s="111" t="str">
        <f t="shared" si="2"/>
        <v>Q</v>
      </c>
      <c r="C70" s="112" t="str" cm="1">
        <f t="array" ref="C70">IF(A70="","",IF(ISERROR(INDEX(DMAV_Modell!$A$5:$BB$5,A70)),"",INDEX(DMAV_Modell!$A$5:$BB$5,A70)))</f>
        <v>Typ</v>
      </c>
      <c r="D70" s="197" t="s">
        <v>3611</v>
      </c>
    </row>
    <row r="71" spans="1:4" x14ac:dyDescent="0.25">
      <c r="A71" s="57">
        <v>18</v>
      </c>
      <c r="B71" s="111" t="str">
        <f t="shared" si="2"/>
        <v>R</v>
      </c>
      <c r="C71" s="112" t="str" cm="1">
        <f t="array" ref="C71">IF(A71="","",IF(ISERROR(INDEX(DMAV_Modell!$A$5:$BB$5,A71)),"",INDEX(DMAV_Modell!$A$5:$BB$5,A71)))</f>
        <v>Name</v>
      </c>
      <c r="D71" s="197" t="s">
        <v>3634</v>
      </c>
    </row>
    <row r="72" spans="1:4" ht="57" x14ac:dyDescent="0.25">
      <c r="A72" s="57">
        <v>19</v>
      </c>
      <c r="B72" s="111" t="str">
        <f t="shared" si="2"/>
        <v>S</v>
      </c>
      <c r="C72" s="112" t="str" cm="1">
        <f t="array" ref="C72">IF(A72="","",IF(ISERROR(INDEX(DMAV_Modell!$A$5:$BB$5,A72)),"",INDEX(DMAV_Modell!$A$5:$BB$5,A72)))</f>
        <v>MAN.</v>
      </c>
      <c r="D72" s="197" t="s">
        <v>3635</v>
      </c>
    </row>
    <row r="73" spans="1:4" ht="57" x14ac:dyDescent="0.25">
      <c r="A73" s="57">
        <v>20</v>
      </c>
      <c r="B73" s="111" t="str">
        <f t="shared" si="2"/>
        <v>T</v>
      </c>
      <c r="C73" s="112" t="str" cm="1">
        <f t="array" ref="C73">IF(A73="","",IF(ISERROR(INDEX(DMAV_Modell!$A$5:$BB$5,A73)),"",INDEX(DMAV_Modell!$A$5:$BB$5,A73)))</f>
        <v>ID</v>
      </c>
      <c r="D73" s="197" t="s">
        <v>3636</v>
      </c>
    </row>
    <row r="74" spans="1:4" x14ac:dyDescent="0.25">
      <c r="A74" s="57">
        <v>21</v>
      </c>
      <c r="B74" s="111" t="str">
        <f t="shared" si="2"/>
        <v>U</v>
      </c>
      <c r="C74" s="112" t="str" cm="1">
        <f t="array" ref="C74">IF(A74="","",IF(ISERROR(INDEX(DMAV_Modell!$A$5:$BB$5,A74)),"",INDEX(DMAV_Modell!$A$5:$BB$5,A74)))</f>
        <v>Attribut</v>
      </c>
      <c r="D74" s="197" t="s">
        <v>3637</v>
      </c>
    </row>
    <row r="75" spans="1:4" ht="28.5" x14ac:dyDescent="0.25">
      <c r="A75" s="57">
        <v>22</v>
      </c>
      <c r="B75" s="111" t="str">
        <f t="shared" si="2"/>
        <v>V</v>
      </c>
      <c r="C75" s="112" t="str" cm="1">
        <f t="array" ref="C75">IF(A75="","",IF(ISERROR(INDEX(DMAV_Modell!$A$5:$BB$5,A75)),"",INDEX(DMAV_Modell!$A$5:$BB$5,A75)))</f>
        <v>BAG OF</v>
      </c>
      <c r="D75" s="197" t="s">
        <v>3640</v>
      </c>
    </row>
    <row r="76" spans="1:4" x14ac:dyDescent="0.25">
      <c r="A76" s="57">
        <v>23</v>
      </c>
      <c r="B76" s="111" t="str">
        <f t="shared" si="2"/>
        <v>W</v>
      </c>
      <c r="C76" s="112" t="str" cm="1">
        <f t="array" ref="C76">IF(A76="","",IF(ISERROR(INDEX(DMAV_Modell!$A$5:$BB$5,A76)),"",INDEX(DMAV_Modell!$A$5:$BB$5,A76)))</f>
        <v>Werte</v>
      </c>
      <c r="D76" s="197" t="s">
        <v>3627</v>
      </c>
    </row>
    <row r="77" spans="1:4" x14ac:dyDescent="0.25">
      <c r="A77" s="57">
        <v>24</v>
      </c>
      <c r="B77" s="111" t="str">
        <f t="shared" si="2"/>
        <v>X</v>
      </c>
      <c r="C77" s="112" t="str" cm="1">
        <f t="array" ref="C77">IF(A77="","",IF(ISERROR(INDEX(DMAV_Modell!$A$5:$BB$5,A77)),"",INDEX(DMAV_Modell!$A$5:$BB$5,A77)))</f>
        <v>Default</v>
      </c>
      <c r="D77" s="197" t="s">
        <v>3628</v>
      </c>
    </row>
    <row r="78" spans="1:4" x14ac:dyDescent="0.25">
      <c r="A78" s="57">
        <v>25</v>
      </c>
      <c r="B78" s="111" t="str">
        <f t="shared" si="2"/>
        <v>Y</v>
      </c>
      <c r="C78" s="112" t="str" cm="1">
        <f t="array" ref="C78">IF(A78="","",IF(ISERROR(INDEX(DMAV_Modell!$A$5:$BB$5,A78)),"",INDEX(DMAV_Modell!$A$5:$BB$5,A78)))</f>
        <v>Kommentar</v>
      </c>
      <c r="D78" s="197" t="s">
        <v>3643</v>
      </c>
    </row>
    <row r="79" spans="1:4" x14ac:dyDescent="0.25">
      <c r="A79" s="57">
        <v>26</v>
      </c>
      <c r="B79" s="111" t="str">
        <f t="shared" si="2"/>
        <v>Z</v>
      </c>
      <c r="C79" s="112" t="str" cm="1">
        <f t="array" ref="C79">IF(A79="","",IF(ISERROR(INDEX(DMAV_Modell!$A$5:$BB$5,A79)),"",INDEX(DMAV_Modell!$A$5:$BB$5,A79)))</f>
        <v>Erklärung Constraint</v>
      </c>
      <c r="D79" s="197" t="s">
        <v>3642</v>
      </c>
    </row>
    <row r="80" spans="1:4" ht="28.5" x14ac:dyDescent="0.25">
      <c r="A80" s="57">
        <v>28</v>
      </c>
      <c r="B80" s="111" t="str">
        <f t="shared" si="2"/>
        <v>AB</v>
      </c>
      <c r="C80" s="112" t="str" cm="1">
        <f t="array" ref="C80">IF(A80="","",IF(ISERROR(INDEX(DMAV_Modell!$A$5:$BB$5,A80)),"",INDEX(DMAV_Modell!$A$5:$BB$5,A80)))</f>
        <v>Fichier</v>
      </c>
      <c r="D80" s="197" t="s">
        <v>7198</v>
      </c>
    </row>
    <row r="81" spans="1:4" ht="28.5" x14ac:dyDescent="0.25">
      <c r="A81" s="57">
        <v>29</v>
      </c>
      <c r="B81" s="111" t="str">
        <f t="shared" si="2"/>
        <v>AC</v>
      </c>
      <c r="C81" s="112" t="str" cm="1">
        <f t="array" ref="C81">IF(A81="","",IF(ISERROR(INDEX(DMAV_Modell!$A$5:$BB$5,A81)),"",INDEX(DMAV_Modell!$A$5:$BB$5,A81)))</f>
        <v>Modèle</v>
      </c>
      <c r="D81" s="197" t="s">
        <v>7199</v>
      </c>
    </row>
    <row r="82" spans="1:4" x14ac:dyDescent="0.25">
      <c r="A82" s="57">
        <v>30</v>
      </c>
      <c r="B82" s="111" t="str">
        <f t="shared" si="2"/>
        <v>AD</v>
      </c>
      <c r="C82" s="112" t="str" cm="1">
        <f t="array" ref="C82">IF(A82="","",IF(ISERROR(INDEX(DMAV_Modell!$A$5:$BB$5,A82)),"",INDEX(DMAV_Modell!$A$5:$BB$5,A82)))</f>
        <v>Topic</v>
      </c>
      <c r="D82" s="197" t="s">
        <v>5969</v>
      </c>
    </row>
    <row r="83" spans="1:4" ht="28.5" x14ac:dyDescent="0.25">
      <c r="A83" s="57">
        <v>31</v>
      </c>
      <c r="B83" s="111" t="str">
        <f t="shared" si="2"/>
        <v>AE</v>
      </c>
      <c r="C83" s="112" t="str" cm="1">
        <f t="array" ref="C83">IF(A83="","",IF(ISERROR(INDEX(DMAV_Modell!$A$5:$BB$5,A83)),"",INDEX(DMAV_Modell!$A$5:$BB$5,A83)))</f>
        <v>Type</v>
      </c>
      <c r="D83" s="197" t="s">
        <v>7200</v>
      </c>
    </row>
    <row r="84" spans="1:4" x14ac:dyDescent="0.25">
      <c r="A84" s="57">
        <v>32</v>
      </c>
      <c r="B84" s="111" t="str">
        <f t="shared" si="2"/>
        <v>AF</v>
      </c>
      <c r="C84" s="112" t="str" cm="1">
        <f t="array" ref="C84">IF(A84="","",IF(ISERROR(INDEX(DMAV_Modell!$A$5:$BB$5,A84)),"",INDEX(DMAV_Modell!$A$5:$BB$5,A84)))</f>
        <v>Nom</v>
      </c>
      <c r="D84" s="197" t="s">
        <v>5970</v>
      </c>
    </row>
    <row r="85" spans="1:4" ht="71.25" x14ac:dyDescent="0.25">
      <c r="A85" s="57">
        <v>33</v>
      </c>
      <c r="B85" s="111" t="str">
        <f t="shared" si="2"/>
        <v>AG</v>
      </c>
      <c r="C85" s="112" t="str" cm="1">
        <f t="array" ref="C85">IF(A85="","",IF(ISERROR(INDEX(DMAV_Modell!$A$5:$BB$5,A85)),"",INDEX(DMAV_Modell!$A$5:$BB$5,A85)))</f>
        <v>MAN.</v>
      </c>
      <c r="D85" s="197" t="s">
        <v>7201</v>
      </c>
    </row>
    <row r="86" spans="1:4" ht="57" x14ac:dyDescent="0.25">
      <c r="A86" s="57">
        <v>34</v>
      </c>
      <c r="B86" s="111" t="str">
        <f t="shared" si="2"/>
        <v>AH</v>
      </c>
      <c r="C86" s="112" t="str" cm="1">
        <f t="array" ref="C86">IF(A86="","",IF(ISERROR(INDEX(DMAV_Modell!$A$5:$BB$5,A86)),"",INDEX(DMAV_Modell!$A$5:$BB$5,A86)))</f>
        <v>ID</v>
      </c>
      <c r="D86" s="197" t="s">
        <v>7202</v>
      </c>
    </row>
    <row r="87" spans="1:4" x14ac:dyDescent="0.25">
      <c r="A87" s="57">
        <v>35</v>
      </c>
      <c r="B87" s="111" t="str">
        <f t="shared" si="2"/>
        <v>AI</v>
      </c>
      <c r="C87" s="112" t="str" cm="1">
        <f t="array" ref="C87">IF(A87="","",IF(ISERROR(INDEX(DMAV_Modell!$A$5:$BB$5,A87)),"",INDEX(DMAV_Modell!$A$5:$BB$5,A87)))</f>
        <v>Attribut</v>
      </c>
      <c r="D87" s="197" t="s">
        <v>7203</v>
      </c>
    </row>
    <row r="88" spans="1:4" ht="28.5" x14ac:dyDescent="0.25">
      <c r="A88" s="57">
        <v>36</v>
      </c>
      <c r="B88" s="111" t="str">
        <f t="shared" si="2"/>
        <v>AJ</v>
      </c>
      <c r="C88" s="112" t="str" cm="1">
        <f t="array" ref="C88">IF(A88="","",IF(ISERROR(INDEX(DMAV_Modell!$A$5:$BB$5,A88)),"",INDEX(DMAV_Modell!$A$5:$BB$5,A88)))</f>
        <v>BAG OF</v>
      </c>
      <c r="D88" s="197" t="s">
        <v>7204</v>
      </c>
    </row>
    <row r="89" spans="1:4" x14ac:dyDescent="0.25">
      <c r="A89" s="57">
        <v>37</v>
      </c>
      <c r="B89" s="111" t="str">
        <f t="shared" si="2"/>
        <v>AK</v>
      </c>
      <c r="C89" s="112" t="str" cm="1">
        <f t="array" ref="C89">IF(A89="","",IF(ISERROR(INDEX(DMAV_Modell!$A$5:$BB$5,A89)),"",INDEX(DMAV_Modell!$A$5:$BB$5,A89)))</f>
        <v>Valeurs</v>
      </c>
      <c r="D89" s="197" t="s">
        <v>7195</v>
      </c>
    </row>
    <row r="90" spans="1:4" x14ac:dyDescent="0.25">
      <c r="A90" s="57">
        <v>38</v>
      </c>
      <c r="B90" s="111" t="str">
        <f t="shared" si="2"/>
        <v>AL</v>
      </c>
      <c r="C90" s="112" t="str" cm="1">
        <f t="array" ref="C90">IF(A90="","",IF(ISERROR(INDEX(DMAV_Modell!$A$5:$BB$5,A90)),"",INDEX(DMAV_Modell!$A$5:$BB$5,A90)))</f>
        <v>Default</v>
      </c>
      <c r="D90" s="197" t="s">
        <v>7196</v>
      </c>
    </row>
    <row r="91" spans="1:4" ht="28.5" x14ac:dyDescent="0.25">
      <c r="A91" s="57">
        <v>39</v>
      </c>
      <c r="B91" s="111" t="str">
        <f t="shared" si="2"/>
        <v>AM</v>
      </c>
      <c r="C91" s="112" t="str" cm="1">
        <f t="array" ref="C91">IF(A91="","",IF(ISERROR(INDEX(DMAV_Modell!$A$5:$BB$5,A91)),"",INDEX(DMAV_Modell!$A$5:$BB$5,A91)))</f>
        <v>Commentaire</v>
      </c>
      <c r="D91" s="197" t="s">
        <v>5971</v>
      </c>
    </row>
    <row r="92" spans="1:4" x14ac:dyDescent="0.25">
      <c r="A92" s="57">
        <v>40</v>
      </c>
      <c r="B92" s="111" t="str">
        <f t="shared" si="2"/>
        <v>AN</v>
      </c>
      <c r="C92" s="112" t="str" cm="1">
        <f t="array" ref="C92">IF(A92="","",IF(ISERROR(INDEX(DMAV_Modell!$A$5:$BB$5,A92)),"",INDEX(DMAV_Modell!$A$5:$BB$5,A92)))</f>
        <v>Explications</v>
      </c>
      <c r="D92" s="197" t="s">
        <v>7205</v>
      </c>
    </row>
    <row r="93" spans="1:4" ht="28.5" x14ac:dyDescent="0.25">
      <c r="A93" s="57">
        <v>42</v>
      </c>
      <c r="B93" s="111" t="str">
        <f t="shared" si="2"/>
        <v>AP</v>
      </c>
      <c r="C93" s="112" t="str" cm="1">
        <f t="array" ref="C93">IF(A93="","",IF(ISERROR(INDEX(DMAV_Modell!$A$5:$BB$5,A93)),"",INDEX(DMAV_Modell!$A$5:$BB$5,A93)))</f>
        <v>File</v>
      </c>
      <c r="D93" s="197" t="s">
        <v>5959</v>
      </c>
    </row>
    <row r="94" spans="1:4" ht="28.5" x14ac:dyDescent="0.25">
      <c r="A94" s="57">
        <v>43</v>
      </c>
      <c r="B94" s="111" t="str">
        <f t="shared" si="2"/>
        <v>AQ</v>
      </c>
      <c r="C94" s="112" t="str" cm="1">
        <f t="array" ref="C94">IF(A94="","",IF(ISERROR(INDEX(DMAV_Modell!$A$5:$BB$5,A94)),"",INDEX(DMAV_Modell!$A$5:$BB$5,A94)))</f>
        <v>Modello</v>
      </c>
      <c r="D94" s="197" t="s">
        <v>5960</v>
      </c>
    </row>
    <row r="95" spans="1:4" x14ac:dyDescent="0.25">
      <c r="A95" s="57">
        <v>44</v>
      </c>
      <c r="B95" s="111" t="str">
        <f t="shared" si="2"/>
        <v>AR</v>
      </c>
      <c r="C95" s="112" t="str" cm="1">
        <f t="array" ref="C95">IF(A95="","",IF(ISERROR(INDEX(DMAV_Modell!$A$5:$BB$5,A95)),"",INDEX(DMAV_Modell!$A$5:$BB$5,A95)))</f>
        <v>Topic</v>
      </c>
      <c r="D95" s="197" t="s">
        <v>5961</v>
      </c>
    </row>
    <row r="96" spans="1:4" ht="28.5" x14ac:dyDescent="0.25">
      <c r="A96" s="57">
        <v>45</v>
      </c>
      <c r="B96" s="111" t="str">
        <f t="shared" si="2"/>
        <v>AS</v>
      </c>
      <c r="C96" s="112" t="str" cm="1">
        <f t="array" ref="C96">IF(A96="","",IF(ISERROR(INDEX(DMAV_Modell!$A$5:$BB$5,A96)),"",INDEX(DMAV_Modell!$A$5:$BB$5,A96)))</f>
        <v>Tipo</v>
      </c>
      <c r="D96" s="197" t="s">
        <v>5962</v>
      </c>
    </row>
    <row r="97" spans="1:4" x14ac:dyDescent="0.25">
      <c r="A97" s="57">
        <v>46</v>
      </c>
      <c r="B97" s="111" t="str">
        <f t="shared" si="2"/>
        <v>AT</v>
      </c>
      <c r="C97" s="112" t="str" cm="1">
        <f t="array" ref="C97">IF(A97="","",IF(ISERROR(INDEX(DMAV_Modell!$A$5:$BB$5,A97)),"",INDEX(DMAV_Modell!$A$5:$BB$5,A97)))</f>
        <v>Nome</v>
      </c>
      <c r="D97" s="197" t="s">
        <v>5963</v>
      </c>
    </row>
    <row r="98" spans="1:4" ht="57" x14ac:dyDescent="0.25">
      <c r="A98" s="57">
        <v>47</v>
      </c>
      <c r="B98" s="111" t="str">
        <f t="shared" si="2"/>
        <v>AU</v>
      </c>
      <c r="C98" s="112" t="str" cm="1">
        <f t="array" ref="C98">IF(A98="","",IF(ISERROR(INDEX(DMAV_Modell!$A$5:$BB$5,A98)),"",INDEX(DMAV_Modell!$A$5:$BB$5,A98)))</f>
        <v>MAN.</v>
      </c>
      <c r="D98" s="197" t="s">
        <v>5964</v>
      </c>
    </row>
    <row r="99" spans="1:4" ht="57" x14ac:dyDescent="0.25">
      <c r="A99" s="57">
        <v>48</v>
      </c>
      <c r="B99" s="111" t="str">
        <f t="shared" si="2"/>
        <v>AV</v>
      </c>
      <c r="C99" s="112" t="str" cm="1">
        <f t="array" ref="C99">IF(A99="","",IF(ISERROR(INDEX(DMAV_Modell!$A$5:$BB$5,A99)),"",INDEX(DMAV_Modell!$A$5:$BB$5,A99)))</f>
        <v>ID</v>
      </c>
      <c r="D99" s="197" t="s">
        <v>5965</v>
      </c>
    </row>
    <row r="100" spans="1:4" x14ac:dyDescent="0.25">
      <c r="A100" s="57">
        <v>49</v>
      </c>
      <c r="B100" s="111" t="str">
        <f t="shared" si="2"/>
        <v>AW</v>
      </c>
      <c r="C100" s="112" t="str" cm="1">
        <f t="array" ref="C100">IF(A100="","",IF(ISERROR(INDEX(DMAV_Modell!$A$5:$BB$5,A100)),"",INDEX(DMAV_Modell!$A$5:$BB$5,A100)))</f>
        <v>Attributo</v>
      </c>
      <c r="D100" s="197" t="s">
        <v>5954</v>
      </c>
    </row>
    <row r="101" spans="1:4" ht="28.5" x14ac:dyDescent="0.25">
      <c r="A101" s="57">
        <v>50</v>
      </c>
      <c r="B101" s="111" t="str">
        <f t="shared" si="2"/>
        <v>AX</v>
      </c>
      <c r="C101" s="112" t="str" cm="1">
        <f t="array" ref="C101">IF(A101="","",IF(ISERROR(INDEX(DMAV_Modell!$A$5:$BB$5,A101)),"",INDEX(DMAV_Modell!$A$5:$BB$5,A101)))</f>
        <v>BAG OF</v>
      </c>
      <c r="D101" s="197" t="s">
        <v>5966</v>
      </c>
    </row>
    <row r="102" spans="1:4" x14ac:dyDescent="0.25">
      <c r="A102" s="57">
        <v>51</v>
      </c>
      <c r="B102" s="111" t="str">
        <f t="shared" si="2"/>
        <v>AY</v>
      </c>
      <c r="C102" s="112" t="str" cm="1">
        <f t="array" ref="C102">IF(A102="","",IF(ISERROR(INDEX(DMAV_Modell!$A$5:$BB$5,A102)),"",INDEX(DMAV_Modell!$A$5:$BB$5,A102)))</f>
        <v>Valori</v>
      </c>
      <c r="D102" s="197" t="s">
        <v>5977</v>
      </c>
    </row>
    <row r="103" spans="1:4" x14ac:dyDescent="0.25">
      <c r="A103" s="57">
        <v>52</v>
      </c>
      <c r="B103" s="111" t="str">
        <f t="shared" si="2"/>
        <v>AZ</v>
      </c>
      <c r="C103" s="112" t="str" cm="1">
        <f t="array" ref="C103">IF(A103="","",IF(ISERROR(INDEX(DMAV_Modell!$A$5:$BB$5,A103)),"",INDEX(DMAV_Modell!$A$5:$BB$5,A103)))</f>
        <v>Default</v>
      </c>
      <c r="D103" s="197" t="s">
        <v>5955</v>
      </c>
    </row>
    <row r="104" spans="1:4" x14ac:dyDescent="0.25">
      <c r="A104" s="57">
        <v>53</v>
      </c>
      <c r="B104" s="111" t="str">
        <f t="shared" si="2"/>
        <v>BA</v>
      </c>
      <c r="C104" s="112" t="str" cm="1">
        <f t="array" ref="C104">IF(A104="","",IF(ISERROR(INDEX(DMAV_Modell!$A$5:$BB$5,A104)),"",INDEX(DMAV_Modell!$A$5:$BB$5,A104)))</f>
        <v>Commento</v>
      </c>
      <c r="D104" s="197" t="s">
        <v>5967</v>
      </c>
    </row>
    <row r="105" spans="1:4" x14ac:dyDescent="0.25">
      <c r="A105" s="57">
        <v>54</v>
      </c>
      <c r="B105" s="111" t="str">
        <f t="shared" si="2"/>
        <v>BB</v>
      </c>
      <c r="C105" s="112" t="str" cm="1">
        <f t="array" ref="C105">IF(A105="","",IF(ISERROR(INDEX(DMAV_Modell!$A$5:$BB$5,A105)),"",INDEX(DMAV_Modell!$A$5:$BB$5,A105)))</f>
        <v>Dichiarazioni</v>
      </c>
      <c r="D105" s="197" t="s">
        <v>5968</v>
      </c>
    </row>
    <row r="107" spans="1:4" ht="22.5" x14ac:dyDescent="0.25">
      <c r="B107" s="105" t="s">
        <v>3609</v>
      </c>
      <c r="C107" s="106"/>
      <c r="D107" s="110" t="s">
        <v>3351</v>
      </c>
    </row>
    <row r="108" spans="1:4" x14ac:dyDescent="0.25">
      <c r="B108" s="107" t="s">
        <v>3340</v>
      </c>
      <c r="C108" s="108" t="s">
        <v>3341</v>
      </c>
      <c r="D108" s="109" t="s">
        <v>3342</v>
      </c>
    </row>
    <row r="109" spans="1:4" x14ac:dyDescent="0.25">
      <c r="A109" s="57">
        <v>1</v>
      </c>
      <c r="B109" s="111" t="str">
        <f>IF(A109="","",IF(ISERROR(SUBSTITUTE(ADDRESS(1,A109,4,1),"1","")),"",SUBSTITUTE(ADDRESS(1,A109,4,1),"1","")))</f>
        <v>A</v>
      </c>
      <c r="C109" s="112" t="str" cm="1">
        <f t="array" ref="C109">IF(A109="","",IF(ISERROR(INDEX(DMAV_Dienste!$A$5:$BA$5,A109)),"",INDEX(DMAV_Dienste!$A$5:$BA$5,A109)))</f>
        <v>Modell</v>
      </c>
      <c r="D109" s="197" t="s">
        <v>5946</v>
      </c>
    </row>
    <row r="110" spans="1:4" x14ac:dyDescent="0.25">
      <c r="A110" s="57">
        <v>2</v>
      </c>
      <c r="B110" s="111" t="str">
        <f t="shared" ref="B110:B153" si="3">IF(A110="","",IF(ISERROR(SUBSTITUTE(ADDRESS(1,A110,4,1),"1","")),"",SUBSTITUTE(ADDRESS(1,A110,4,1),"1","")))</f>
        <v>B</v>
      </c>
      <c r="C110" s="112" t="str" cm="1">
        <f t="array" ref="C110">IF(A110="","",IF(ISERROR(INDEX(DMAV_Dienste!$A$5:$BA$5,A110)),"",INDEX(DMAV_Dienste!$A$5:$BA$5,A110)))</f>
        <v>Nr</v>
      </c>
      <c r="D110" s="197" t="s">
        <v>3347</v>
      </c>
    </row>
    <row r="111" spans="1:4" x14ac:dyDescent="0.25">
      <c r="A111" s="57">
        <v>4</v>
      </c>
      <c r="B111" s="111" t="str">
        <f t="shared" si="3"/>
        <v>D</v>
      </c>
      <c r="C111" s="112" t="str" cm="1">
        <f t="array" ref="C111">IF(A111="","",IF(ISERROR(INDEX(DMAV_Dienste!$A$5:$BA$5,A111)),"",INDEX(DMAV_Dienste!$A$5:$BA$5,A111)))</f>
        <v>CheckID</v>
      </c>
      <c r="D111" s="197" t="s">
        <v>3641</v>
      </c>
    </row>
    <row r="112" spans="1:4" ht="28.5" x14ac:dyDescent="0.25">
      <c r="A112" s="57">
        <v>5</v>
      </c>
      <c r="B112" s="111" t="str">
        <f t="shared" si="3"/>
        <v>E</v>
      </c>
      <c r="C112" s="112" t="str" cm="1">
        <f t="array" ref="C112">IF(A112="","",IF(ISERROR(INDEX(DMAV_Dienste!$A$5:$BA$5,A112)),"",INDEX(DMAV_Dienste!$A$5:$BA$5,A112)))</f>
        <v>Domain</v>
      </c>
      <c r="D112" s="197" t="s">
        <v>3623</v>
      </c>
    </row>
    <row r="113" spans="1:4" ht="28.5" x14ac:dyDescent="0.25">
      <c r="A113" s="57">
        <v>10</v>
      </c>
      <c r="B113" s="111" t="str">
        <f t="shared" si="3"/>
        <v>J</v>
      </c>
      <c r="C113" s="112" t="str" cm="1">
        <f t="array" ref="C113">IF(A113="","",IF(ISERROR(INDEX(DMAV_Dienste!$A$5:$BA$5,A113)),"",INDEX(DMAV_Dienste!$A$5:$BA$5,A113)))</f>
        <v>neu</v>
      </c>
      <c r="D113" s="197" t="s">
        <v>5957</v>
      </c>
    </row>
    <row r="114" spans="1:4" x14ac:dyDescent="0.25">
      <c r="A114" s="57">
        <v>11</v>
      </c>
      <c r="B114" s="111" t="str">
        <f t="shared" si="3"/>
        <v>K</v>
      </c>
      <c r="C114" s="112" t="str" cm="1">
        <f t="array" ref="C114">IF(A114="","",IF(ISERROR(INDEX(DMAV_Dienste!$A$5:$BA$5,A114)),"",INDEX(DMAV_Dienste!$A$5:$BA$5,A114)))</f>
        <v>gelöscht</v>
      </c>
      <c r="D114" s="197" t="s">
        <v>5958</v>
      </c>
    </row>
    <row r="115" spans="1:4" x14ac:dyDescent="0.25">
      <c r="A115" s="57">
        <v>13</v>
      </c>
      <c r="B115" s="111" t="str">
        <f t="shared" si="3"/>
        <v>M</v>
      </c>
      <c r="C115" s="112" t="str" cm="1">
        <f t="array" ref="C115">IF(A115="","",IF(ISERROR(INDEX(DMAV_Dienste!$A$5:$BA$5,A115)),"",INDEX(DMAV_Dienste!$A$5:$BA$5,A115)))</f>
        <v>Datei</v>
      </c>
      <c r="D115" s="197" t="s">
        <v>3632</v>
      </c>
    </row>
    <row r="116" spans="1:4" ht="28.5" x14ac:dyDescent="0.25">
      <c r="A116" s="57">
        <v>14</v>
      </c>
      <c r="B116" s="111" t="str">
        <f t="shared" si="3"/>
        <v>N</v>
      </c>
      <c r="C116" s="112" t="str" cm="1">
        <f t="array" ref="C116">IF(A116="","",IF(ISERROR(INDEX(DMAV_Dienste!$A$5:$BA$5,A116)),"",INDEX(DMAV_Dienste!$A$5:$BA$5,A116)))</f>
        <v>Modell</v>
      </c>
      <c r="D116" s="197" t="s">
        <v>3633</v>
      </c>
    </row>
    <row r="117" spans="1:4" x14ac:dyDescent="0.25">
      <c r="A117" s="57">
        <v>15</v>
      </c>
      <c r="B117" s="111" t="str">
        <f t="shared" si="3"/>
        <v>O</v>
      </c>
      <c r="C117" s="112" t="str" cm="1">
        <f t="array" ref="C117">IF(A117="","",IF(ISERROR(INDEX(DMAV_Dienste!$A$5:$BA$5,A117)),"",INDEX(DMAV_Dienste!$A$5:$BA$5,A117)))</f>
        <v>Topic</v>
      </c>
      <c r="D117" s="197" t="s">
        <v>3612</v>
      </c>
    </row>
    <row r="118" spans="1:4" ht="28.5" x14ac:dyDescent="0.25">
      <c r="A118" s="57">
        <v>16</v>
      </c>
      <c r="B118" s="111" t="str">
        <f t="shared" si="3"/>
        <v>P</v>
      </c>
      <c r="C118" s="112" t="str" cm="1">
        <f t="array" ref="C118">IF(A118="","",IF(ISERROR(INDEX(DMAV_Dienste!$A$5:$BA$5,A118)),"",INDEX(DMAV_Dienste!$A$5:$BA$5,A118)))</f>
        <v>Typ</v>
      </c>
      <c r="D118" s="197" t="s">
        <v>3611</v>
      </c>
    </row>
    <row r="119" spans="1:4" x14ac:dyDescent="0.25">
      <c r="A119" s="57">
        <v>17</v>
      </c>
      <c r="B119" s="111" t="str">
        <f t="shared" si="3"/>
        <v>Q</v>
      </c>
      <c r="C119" s="112" t="str" cm="1">
        <f t="array" ref="C119">IF(A119="","",IF(ISERROR(INDEX(DMAV_Dienste!$A$5:$BA$5,A119)),"",INDEX(DMAV_Dienste!$A$5:$BA$5,A119)))</f>
        <v>Name</v>
      </c>
      <c r="D119" s="197" t="s">
        <v>3634</v>
      </c>
    </row>
    <row r="120" spans="1:4" ht="57" x14ac:dyDescent="0.25">
      <c r="A120" s="57">
        <v>18</v>
      </c>
      <c r="B120" s="111" t="str">
        <f t="shared" si="3"/>
        <v>R</v>
      </c>
      <c r="C120" s="112" t="str" cm="1">
        <f t="array" ref="C120">IF(A120="","",IF(ISERROR(INDEX(DMAV_Dienste!$A$5:$BA$5,A120)),"",INDEX(DMAV_Dienste!$A$5:$BA$5,A120)))</f>
        <v>MAN.</v>
      </c>
      <c r="D120" s="197" t="s">
        <v>3635</v>
      </c>
    </row>
    <row r="121" spans="1:4" ht="57" x14ac:dyDescent="0.25">
      <c r="A121" s="57">
        <v>19</v>
      </c>
      <c r="B121" s="111" t="str">
        <f t="shared" si="3"/>
        <v>S</v>
      </c>
      <c r="C121" s="112" t="str" cm="1">
        <f t="array" ref="C121">IF(A121="","",IF(ISERROR(INDEX(DMAV_Dienste!$A$5:$BA$5,A121)),"",INDEX(DMAV_Dienste!$A$5:$BA$5,A121)))</f>
        <v>ID</v>
      </c>
      <c r="D121" s="197" t="s">
        <v>3636</v>
      </c>
    </row>
    <row r="122" spans="1:4" x14ac:dyDescent="0.25">
      <c r="A122" s="57">
        <v>20</v>
      </c>
      <c r="B122" s="111" t="str">
        <f t="shared" si="3"/>
        <v>T</v>
      </c>
      <c r="C122" s="112" t="str" cm="1">
        <f t="array" ref="C122">IF(A122="","",IF(ISERROR(INDEX(DMAV_Dienste!$A$5:$BA$5,A122)),"",INDEX(DMAV_Dienste!$A$5:$BA$5,A122)))</f>
        <v>Attribut</v>
      </c>
      <c r="D122" s="197" t="s">
        <v>3637</v>
      </c>
    </row>
    <row r="123" spans="1:4" ht="28.5" x14ac:dyDescent="0.25">
      <c r="A123" s="57">
        <v>21</v>
      </c>
      <c r="B123" s="111" t="str">
        <f t="shared" si="3"/>
        <v>U</v>
      </c>
      <c r="C123" s="112" t="str" cm="1">
        <f t="array" ref="C123">IF(A123="","",IF(ISERROR(INDEX(DMAV_Dienste!$A$5:$BA$5,A123)),"",INDEX(DMAV_Dienste!$A$5:$BA$5,A123)))</f>
        <v>BAG OF</v>
      </c>
      <c r="D123" s="197" t="s">
        <v>3640</v>
      </c>
    </row>
    <row r="124" spans="1:4" x14ac:dyDescent="0.25">
      <c r="A124" s="57">
        <v>22</v>
      </c>
      <c r="B124" s="111" t="str">
        <f t="shared" si="3"/>
        <v>V</v>
      </c>
      <c r="C124" s="112" t="str" cm="1">
        <f t="array" ref="C124">IF(A124="","",IF(ISERROR(INDEX(DMAV_Dienste!$A$5:$BA$5,A124)),"",INDEX(DMAV_Dienste!$A$5:$BA$5,A124)))</f>
        <v>Werte</v>
      </c>
      <c r="D124" s="197" t="s">
        <v>3627</v>
      </c>
    </row>
    <row r="125" spans="1:4" x14ac:dyDescent="0.25">
      <c r="A125" s="57">
        <v>23</v>
      </c>
      <c r="B125" s="111" t="str">
        <f t="shared" si="3"/>
        <v>W</v>
      </c>
      <c r="C125" s="112" t="str" cm="1">
        <f t="array" ref="C125">IF(A125="","",IF(ISERROR(INDEX(DMAV_Dienste!$A$5:$BA$5,A125)),"",INDEX(DMAV_Dienste!$A$5:$BA$5,A125)))</f>
        <v>Default</v>
      </c>
      <c r="D125" s="197" t="s">
        <v>3628</v>
      </c>
    </row>
    <row r="126" spans="1:4" x14ac:dyDescent="0.25">
      <c r="A126" s="57">
        <v>24</v>
      </c>
      <c r="B126" s="111" t="str">
        <f t="shared" si="3"/>
        <v>X</v>
      </c>
      <c r="C126" s="112" t="str" cm="1">
        <f t="array" ref="C126">IF(A126="","",IF(ISERROR(INDEX(DMAV_Dienste!$A$5:$BA$5,A126)),"",INDEX(DMAV_Dienste!$A$5:$BA$5,A126)))</f>
        <v>Kommentar</v>
      </c>
      <c r="D126" s="197" t="s">
        <v>3643</v>
      </c>
    </row>
    <row r="127" spans="1:4" x14ac:dyDescent="0.25">
      <c r="A127" s="57">
        <v>25</v>
      </c>
      <c r="B127" s="111" t="str">
        <f t="shared" si="3"/>
        <v>Y</v>
      </c>
      <c r="C127" s="112" t="str" cm="1">
        <f t="array" ref="C127">IF(A127="","",IF(ISERROR(INDEX(DMAV_Dienste!$A$5:$BA$5,A127)),"",INDEX(DMAV_Dienste!$A$5:$BA$5,A127)))</f>
        <v>Erklärungen</v>
      </c>
      <c r="D127" s="197" t="s">
        <v>3642</v>
      </c>
    </row>
    <row r="128" spans="1:4" ht="28.5" x14ac:dyDescent="0.25">
      <c r="A128" s="57">
        <v>27</v>
      </c>
      <c r="B128" s="111" t="str">
        <f t="shared" si="3"/>
        <v>AA</v>
      </c>
      <c r="C128" s="112" t="str" cm="1">
        <f t="array" ref="C128">IF(A128="","",IF(ISERROR(INDEX(DMAV_Dienste!$A$5:$BA$5,A128)),"",INDEX(DMAV_Dienste!$A$5:$BA$5,A128)))</f>
        <v>Fichier</v>
      </c>
      <c r="D128" s="197" t="s">
        <v>7198</v>
      </c>
    </row>
    <row r="129" spans="1:4" ht="28.5" x14ac:dyDescent="0.25">
      <c r="A129" s="57">
        <v>28</v>
      </c>
      <c r="B129" s="111" t="str">
        <f t="shared" si="3"/>
        <v>AB</v>
      </c>
      <c r="C129" s="112" t="str" cm="1">
        <f t="array" ref="C129">IF(A129="","",IF(ISERROR(INDEX(DMAV_Dienste!$A$5:$BA$5,A129)),"",INDEX(DMAV_Dienste!$A$5:$BA$5,A129)))</f>
        <v>Modèle</v>
      </c>
      <c r="D129" s="197" t="s">
        <v>7199</v>
      </c>
    </row>
    <row r="130" spans="1:4" x14ac:dyDescent="0.25">
      <c r="A130" s="57">
        <v>29</v>
      </c>
      <c r="B130" s="111" t="str">
        <f t="shared" si="3"/>
        <v>AC</v>
      </c>
      <c r="C130" s="112" t="str" cm="1">
        <f t="array" ref="C130">IF(A130="","",IF(ISERROR(INDEX(DMAV_Dienste!$A$5:$BA$5,A130)),"",INDEX(DMAV_Dienste!$A$5:$BA$5,A130)))</f>
        <v>Topic</v>
      </c>
      <c r="D130" s="197" t="s">
        <v>5969</v>
      </c>
    </row>
    <row r="131" spans="1:4" ht="28.5" x14ac:dyDescent="0.25">
      <c r="A131" s="57">
        <v>30</v>
      </c>
      <c r="B131" s="111" t="str">
        <f t="shared" si="3"/>
        <v>AD</v>
      </c>
      <c r="C131" s="112" t="str" cm="1">
        <f t="array" ref="C131">IF(A131="","",IF(ISERROR(INDEX(DMAV_Dienste!$A$5:$BA$5,A131)),"",INDEX(DMAV_Dienste!$A$5:$BA$5,A131)))</f>
        <v>Type</v>
      </c>
      <c r="D131" s="197" t="s">
        <v>7200</v>
      </c>
    </row>
    <row r="132" spans="1:4" x14ac:dyDescent="0.25">
      <c r="A132" s="57">
        <v>31</v>
      </c>
      <c r="B132" s="111" t="str">
        <f t="shared" si="3"/>
        <v>AE</v>
      </c>
      <c r="C132" s="112" t="str" cm="1">
        <f t="array" ref="C132">IF(A132="","",IF(ISERROR(INDEX(DMAV_Dienste!$A$5:$BA$5,A132)),"",INDEX(DMAV_Dienste!$A$5:$BA$5,A132)))</f>
        <v>Nom</v>
      </c>
      <c r="D132" s="197" t="s">
        <v>5970</v>
      </c>
    </row>
    <row r="133" spans="1:4" ht="71.25" x14ac:dyDescent="0.25">
      <c r="A133" s="57">
        <v>32</v>
      </c>
      <c r="B133" s="111" t="str">
        <f t="shared" si="3"/>
        <v>AF</v>
      </c>
      <c r="C133" s="112" t="str" cm="1">
        <f t="array" ref="C133">IF(A133="","",IF(ISERROR(INDEX(DMAV_Dienste!$A$5:$BA$5,A133)),"",INDEX(DMAV_Dienste!$A$5:$BA$5,A133)))</f>
        <v>MAN.</v>
      </c>
      <c r="D133" s="197" t="s">
        <v>7201</v>
      </c>
    </row>
    <row r="134" spans="1:4" ht="57" x14ac:dyDescent="0.25">
      <c r="A134" s="57">
        <v>33</v>
      </c>
      <c r="B134" s="111" t="str">
        <f t="shared" si="3"/>
        <v>AG</v>
      </c>
      <c r="C134" s="112" t="str" cm="1">
        <f t="array" ref="C134">IF(A134="","",IF(ISERROR(INDEX(DMAV_Dienste!$A$5:$BA$5,A134)),"",INDEX(DMAV_Dienste!$A$5:$BA$5,A134)))</f>
        <v>ID</v>
      </c>
      <c r="D134" s="197" t="s">
        <v>7202</v>
      </c>
    </row>
    <row r="135" spans="1:4" x14ac:dyDescent="0.25">
      <c r="A135" s="57">
        <v>34</v>
      </c>
      <c r="B135" s="111" t="str">
        <f t="shared" si="3"/>
        <v>AH</v>
      </c>
      <c r="C135" s="112" t="str" cm="1">
        <f t="array" ref="C135">IF(A135="","",IF(ISERROR(INDEX(DMAV_Dienste!$A$5:$BA$5,A135)),"",INDEX(DMAV_Dienste!$A$5:$BA$5,A135)))</f>
        <v>Attribut</v>
      </c>
      <c r="D135" s="197" t="s">
        <v>7203</v>
      </c>
    </row>
    <row r="136" spans="1:4" ht="28.5" x14ac:dyDescent="0.25">
      <c r="A136" s="57">
        <v>35</v>
      </c>
      <c r="B136" s="111" t="str">
        <f t="shared" si="3"/>
        <v>AI</v>
      </c>
      <c r="C136" s="112" t="str" cm="1">
        <f t="array" ref="C136">IF(A136="","",IF(ISERROR(INDEX(DMAV_Dienste!$A$5:$BA$5,A136)),"",INDEX(DMAV_Dienste!$A$5:$BA$5,A136)))</f>
        <v>BAG OF</v>
      </c>
      <c r="D136" s="197" t="s">
        <v>7204</v>
      </c>
    </row>
    <row r="137" spans="1:4" x14ac:dyDescent="0.25">
      <c r="A137" s="57">
        <v>36</v>
      </c>
      <c r="B137" s="111" t="str">
        <f t="shared" si="3"/>
        <v>AJ</v>
      </c>
      <c r="C137" s="112" t="str" cm="1">
        <f t="array" ref="C137">IF(A137="","",IF(ISERROR(INDEX(DMAV_Dienste!$A$5:$BA$5,A137)),"",INDEX(DMAV_Dienste!$A$5:$BA$5,A137)))</f>
        <v>Valeurs</v>
      </c>
      <c r="D137" s="197" t="s">
        <v>7195</v>
      </c>
    </row>
    <row r="138" spans="1:4" x14ac:dyDescent="0.25">
      <c r="A138" s="57">
        <v>37</v>
      </c>
      <c r="B138" s="111" t="str">
        <f t="shared" si="3"/>
        <v>AK</v>
      </c>
      <c r="C138" s="112" t="str" cm="1">
        <f t="array" ref="C138">IF(A138="","",IF(ISERROR(INDEX(DMAV_Dienste!$A$5:$BA$5,A138)),"",INDEX(DMAV_Dienste!$A$5:$BA$5,A138)))</f>
        <v>Default</v>
      </c>
      <c r="D138" s="197" t="s">
        <v>7196</v>
      </c>
    </row>
    <row r="139" spans="1:4" ht="28.5" x14ac:dyDescent="0.25">
      <c r="A139" s="57">
        <v>38</v>
      </c>
      <c r="B139" s="111" t="str">
        <f t="shared" si="3"/>
        <v>AL</v>
      </c>
      <c r="C139" s="112" t="str" cm="1">
        <f t="array" ref="C139">IF(A139="","",IF(ISERROR(INDEX(DMAV_Dienste!$A$5:$BA$5,A139)),"",INDEX(DMAV_Dienste!$A$5:$BA$5,A139)))</f>
        <v>Commentaire</v>
      </c>
      <c r="D139" s="197" t="s">
        <v>5971</v>
      </c>
    </row>
    <row r="140" spans="1:4" x14ac:dyDescent="0.25">
      <c r="A140" s="57">
        <v>39</v>
      </c>
      <c r="B140" s="111" t="str">
        <f t="shared" si="3"/>
        <v>AM</v>
      </c>
      <c r="C140" s="112" t="str" cm="1">
        <f t="array" ref="C140">IF(A140="","",IF(ISERROR(INDEX(DMAV_Dienste!$A$5:$BA$5,A140)),"",INDEX(DMAV_Dienste!$A$5:$BA$5,A140)))</f>
        <v>Explications</v>
      </c>
      <c r="D140" s="197" t="s">
        <v>7205</v>
      </c>
    </row>
    <row r="141" spans="1:4" ht="28.5" x14ac:dyDescent="0.25">
      <c r="A141" s="57">
        <v>41</v>
      </c>
      <c r="B141" s="111" t="str">
        <f t="shared" si="3"/>
        <v>AO</v>
      </c>
      <c r="C141" s="112" t="str" cm="1">
        <f t="array" ref="C141">IF(A141="","",IF(ISERROR(INDEX(DMAV_Dienste!$A$5:$BA$5,A141)),"",INDEX(DMAV_Dienste!$A$5:$BA$5,A141)))</f>
        <v>File</v>
      </c>
      <c r="D141" s="197" t="s">
        <v>5959</v>
      </c>
    </row>
    <row r="142" spans="1:4" ht="28.5" x14ac:dyDescent="0.25">
      <c r="A142" s="57">
        <v>42</v>
      </c>
      <c r="B142" s="111" t="str">
        <f t="shared" si="3"/>
        <v>AP</v>
      </c>
      <c r="C142" s="112" t="str" cm="1">
        <f t="array" ref="C142">IF(A142="","",IF(ISERROR(INDEX(DMAV_Dienste!$A$5:$BA$5,A142)),"",INDEX(DMAV_Dienste!$A$5:$BA$5,A142)))</f>
        <v>Modello</v>
      </c>
      <c r="D142" s="197" t="s">
        <v>5960</v>
      </c>
    </row>
    <row r="143" spans="1:4" x14ac:dyDescent="0.25">
      <c r="A143" s="57">
        <v>43</v>
      </c>
      <c r="B143" s="111" t="str">
        <f t="shared" si="3"/>
        <v>AQ</v>
      </c>
      <c r="C143" s="112" t="str" cm="1">
        <f t="array" ref="C143">IF(A143="","",IF(ISERROR(INDEX(DMAV_Dienste!$A$5:$BA$5,A143)),"",INDEX(DMAV_Dienste!$A$5:$BA$5,A143)))</f>
        <v>Topic</v>
      </c>
      <c r="D143" s="197" t="s">
        <v>5961</v>
      </c>
    </row>
    <row r="144" spans="1:4" ht="28.5" x14ac:dyDescent="0.25">
      <c r="A144" s="57">
        <v>44</v>
      </c>
      <c r="B144" s="111" t="str">
        <f t="shared" si="3"/>
        <v>AR</v>
      </c>
      <c r="C144" s="112" t="str" cm="1">
        <f t="array" ref="C144">IF(A144="","",IF(ISERROR(INDEX(DMAV_Dienste!$A$5:$BA$5,A144)),"",INDEX(DMAV_Dienste!$A$5:$BA$5,A144)))</f>
        <v>Tipo</v>
      </c>
      <c r="D144" s="197" t="s">
        <v>5962</v>
      </c>
    </row>
    <row r="145" spans="1:4" x14ac:dyDescent="0.25">
      <c r="A145" s="57">
        <v>45</v>
      </c>
      <c r="B145" s="111" t="str">
        <f t="shared" si="3"/>
        <v>AS</v>
      </c>
      <c r="C145" s="112" t="str" cm="1">
        <f t="array" ref="C145">IF(A145="","",IF(ISERROR(INDEX(DMAV_Dienste!$A$5:$BA$5,A145)),"",INDEX(DMAV_Dienste!$A$5:$BA$5,A145)))</f>
        <v>Nome</v>
      </c>
      <c r="D145" s="197" t="s">
        <v>5963</v>
      </c>
    </row>
    <row r="146" spans="1:4" ht="57" x14ac:dyDescent="0.25">
      <c r="A146" s="57">
        <v>46</v>
      </c>
      <c r="B146" s="111" t="str">
        <f t="shared" si="3"/>
        <v>AT</v>
      </c>
      <c r="C146" s="112" t="str" cm="1">
        <f t="array" ref="C146">IF(A146="","",IF(ISERROR(INDEX(DMAV_Dienste!$A$5:$BA$5,A146)),"",INDEX(DMAV_Dienste!$A$5:$BA$5,A146)))</f>
        <v>MAN.</v>
      </c>
      <c r="D146" s="197" t="s">
        <v>5964</v>
      </c>
    </row>
    <row r="147" spans="1:4" ht="57" x14ac:dyDescent="0.25">
      <c r="A147" s="57">
        <v>47</v>
      </c>
      <c r="B147" s="111" t="str">
        <f t="shared" si="3"/>
        <v>AU</v>
      </c>
      <c r="C147" s="112" t="str" cm="1">
        <f t="array" ref="C147">IF(A147="","",IF(ISERROR(INDEX(DMAV_Dienste!$A$5:$BA$5,A147)),"",INDEX(DMAV_Dienste!$A$5:$BA$5,A147)))</f>
        <v>ID</v>
      </c>
      <c r="D147" s="197" t="s">
        <v>5965</v>
      </c>
    </row>
    <row r="148" spans="1:4" x14ac:dyDescent="0.25">
      <c r="A148" s="57">
        <v>48</v>
      </c>
      <c r="B148" s="111" t="str">
        <f t="shared" si="3"/>
        <v>AV</v>
      </c>
      <c r="C148" s="112" t="str" cm="1">
        <f t="array" ref="C148">IF(A148="","",IF(ISERROR(INDEX(DMAV_Dienste!$A$5:$BA$5,A148)),"",INDEX(DMAV_Dienste!$A$5:$BA$5,A148)))</f>
        <v>Attributo</v>
      </c>
      <c r="D148" s="197" t="s">
        <v>5954</v>
      </c>
    </row>
    <row r="149" spans="1:4" ht="28.5" x14ac:dyDescent="0.25">
      <c r="A149" s="57">
        <v>49</v>
      </c>
      <c r="B149" s="111" t="str">
        <f t="shared" si="3"/>
        <v>AW</v>
      </c>
      <c r="C149" s="112" t="str" cm="1">
        <f t="array" ref="C149">IF(A149="","",IF(ISERROR(INDEX(DMAV_Dienste!$A$5:$BA$5,A149)),"",INDEX(DMAV_Dienste!$A$5:$BA$5,A149)))</f>
        <v>BAG OF</v>
      </c>
      <c r="D149" s="197" t="s">
        <v>5966</v>
      </c>
    </row>
    <row r="150" spans="1:4" x14ac:dyDescent="0.25">
      <c r="A150" s="57">
        <v>50</v>
      </c>
      <c r="B150" s="111" t="str">
        <f t="shared" si="3"/>
        <v>AX</v>
      </c>
      <c r="C150" s="112" t="str" cm="1">
        <f t="array" ref="C150">IF(A150="","",IF(ISERROR(INDEX(DMAV_Dienste!$A$5:$BA$5,A150)),"",INDEX(DMAV_Dienste!$A$5:$BA$5,A150)))</f>
        <v>Valori</v>
      </c>
      <c r="D150" s="197" t="s">
        <v>5977</v>
      </c>
    </row>
    <row r="151" spans="1:4" x14ac:dyDescent="0.25">
      <c r="A151" s="57">
        <v>51</v>
      </c>
      <c r="B151" s="111" t="str">
        <f t="shared" si="3"/>
        <v>AY</v>
      </c>
      <c r="C151" s="112" t="str" cm="1">
        <f t="array" ref="C151">IF(A151="","",IF(ISERROR(INDEX(DMAV_Dienste!$A$5:$BA$5,A151)),"",INDEX(DMAV_Dienste!$A$5:$BA$5,A151)))</f>
        <v>Default</v>
      </c>
      <c r="D151" s="197" t="s">
        <v>5955</v>
      </c>
    </row>
    <row r="152" spans="1:4" x14ac:dyDescent="0.25">
      <c r="A152" s="57">
        <v>52</v>
      </c>
      <c r="B152" s="111" t="str">
        <f t="shared" si="3"/>
        <v>AZ</v>
      </c>
      <c r="C152" s="112" t="str" cm="1">
        <f t="array" ref="C152">IF(A152="","",IF(ISERROR(INDEX(DMAV_Dienste!$A$5:$BA$5,A152)),"",INDEX(DMAV_Dienste!$A$5:$BA$5,A152)))</f>
        <v>Commento</v>
      </c>
      <c r="D152" s="197" t="s">
        <v>5967</v>
      </c>
    </row>
    <row r="153" spans="1:4" x14ac:dyDescent="0.25">
      <c r="A153" s="57">
        <v>53</v>
      </c>
      <c r="B153" s="111" t="str">
        <f t="shared" si="3"/>
        <v>BA</v>
      </c>
      <c r="C153" s="112" t="str" cm="1">
        <f t="array" ref="C153">IF(A153="","",IF(ISERROR(INDEX(DMAV_Dienste!$A$5:$BA$5,A153)),"",INDEX(DMAV_Dienste!$A$5:$BA$5,A153)))</f>
        <v>Dichiarazioni</v>
      </c>
      <c r="D153" s="197" t="s">
        <v>5968</v>
      </c>
    </row>
    <row r="155" spans="1:4" ht="15" x14ac:dyDescent="0.25">
      <c r="B155" s="105" t="s">
        <v>3352</v>
      </c>
      <c r="C155" s="106"/>
      <c r="D155" s="110" t="s">
        <v>3353</v>
      </c>
    </row>
    <row r="156" spans="1:4" x14ac:dyDescent="0.25">
      <c r="B156" s="107" t="s">
        <v>3340</v>
      </c>
      <c r="C156" s="108" t="s">
        <v>3341</v>
      </c>
      <c r="D156" s="109" t="s">
        <v>3342</v>
      </c>
    </row>
    <row r="157" spans="1:4" x14ac:dyDescent="0.25">
      <c r="A157" s="57">
        <v>1</v>
      </c>
      <c r="B157" s="111" t="str">
        <f>IF(A157="","",IF(ISERROR(SUBSTITUTE(ADDRESS(1,A157,4,1),"1","")),"",SUBSTITUTE(ADDRESS(1,A157,4,1),"1","")))</f>
        <v>A</v>
      </c>
      <c r="C157" s="112" t="str" cm="1">
        <f t="array" ref="C157">IF(A157="","",IF(ISERROR(INDEX('DM01-AV-CH'!$A$5:$AZ$5,A157)),"",INDEX('DM01-AV-CH'!$A$5:$AZ$5,A157)))</f>
        <v>Nr.</v>
      </c>
      <c r="D157" s="197" t="s">
        <v>3347</v>
      </c>
    </row>
    <row r="158" spans="1:4" ht="57" x14ac:dyDescent="0.25">
      <c r="A158" s="57">
        <v>2</v>
      </c>
      <c r="B158" s="111" t="str">
        <f t="shared" ref="B158:B179" si="4">IF(A158="","",IF(ISERROR(SUBSTITUTE(ADDRESS(1,A158,4,1),"1","")),"",SUBSTITUTE(ADDRESS(1,A158,4,1),"1","")))</f>
        <v>B</v>
      </c>
      <c r="C158" s="112" t="str" cm="1">
        <f t="array" ref="C158">IF(A158="","",IF(ISERROR(INDEX('DM01-AV-CH'!$A$5:$AZ$5,A158)),"",INDEX('DM01-AV-CH'!$A$5:$AZ$5,A158)))</f>
        <v>ID</v>
      </c>
      <c r="D158" s="197" t="s">
        <v>3644</v>
      </c>
    </row>
    <row r="159" spans="1:4" ht="42.75" x14ac:dyDescent="0.25">
      <c r="A159" s="57">
        <v>3</v>
      </c>
      <c r="B159" s="111" t="str">
        <f t="shared" si="4"/>
        <v>C</v>
      </c>
      <c r="C159" s="112" t="str" cm="1">
        <f t="array" ref="C159">IF(A159="","",IF(ISERROR(INDEX('DM01-AV-CH'!$A$5:$AZ$5,A159)),"",INDEX('DM01-AV-CH'!$A$5:$AZ$5,A159)))</f>
        <v>FK</v>
      </c>
      <c r="D159" s="197" t="s">
        <v>3645</v>
      </c>
    </row>
    <row r="160" spans="1:4" ht="57" x14ac:dyDescent="0.25">
      <c r="A160" s="57">
        <v>4</v>
      </c>
      <c r="B160" s="111" t="str">
        <f t="shared" si="4"/>
        <v>D</v>
      </c>
      <c r="C160" s="112" t="str" cm="1">
        <f t="array" ref="C160">IF(A160="","",IF(ISERROR(INDEX('DM01-AV-CH'!$A$5:$AZ$5,A160)),"",INDEX('DM01-AV-CH'!$A$5:$AZ$5,A160)))</f>
        <v>Opt.</v>
      </c>
      <c r="D160" s="197" t="s">
        <v>3635</v>
      </c>
    </row>
    <row r="161" spans="1:4" ht="42.75" x14ac:dyDescent="0.25">
      <c r="A161" s="57">
        <v>5</v>
      </c>
      <c r="B161" s="111" t="str">
        <f t="shared" si="4"/>
        <v>E</v>
      </c>
      <c r="C161" s="112" t="str" cm="1">
        <f t="array" ref="C161">IF(A161="","",IF(ISERROR(INDEX('DM01-AV-CH'!$A$5:$AZ$5,A161)),"",INDEX('DM01-AV-CH'!$A$5:$AZ$5,A161)))</f>
        <v>ADK</v>
      </c>
      <c r="D161" s="197" t="s">
        <v>3646</v>
      </c>
    </row>
    <row r="162" spans="1:4" x14ac:dyDescent="0.25">
      <c r="A162" s="57">
        <v>7</v>
      </c>
      <c r="B162" s="111" t="str">
        <f t="shared" si="4"/>
        <v>G</v>
      </c>
      <c r="C162" s="112" t="str" cm="1">
        <f t="array" ref="C162">IF(A162="","",IF(ISERROR(INDEX('DM01-AV-CH'!$A$5:$AZ$5,A162)),"",INDEX('DM01-AV-CH'!$A$5:$AZ$5,A162)))</f>
        <v>Topic</v>
      </c>
      <c r="D162" s="197" t="s">
        <v>3647</v>
      </c>
    </row>
    <row r="163" spans="1:4" x14ac:dyDescent="0.25">
      <c r="A163" s="57">
        <v>8</v>
      </c>
      <c r="B163" s="111" t="str">
        <f t="shared" si="4"/>
        <v>H</v>
      </c>
      <c r="C163" s="112" t="str" cm="1">
        <f t="array" ref="C163">IF(A163="","",IF(ISERROR(INDEX('DM01-AV-CH'!$A$5:$AZ$5,A163)),"",INDEX('DM01-AV-CH'!$A$5:$AZ$5,A163)))</f>
        <v>Tabelle</v>
      </c>
      <c r="D163" s="197" t="s">
        <v>3648</v>
      </c>
    </row>
    <row r="164" spans="1:4" x14ac:dyDescent="0.25">
      <c r="A164" s="57">
        <v>9</v>
      </c>
      <c r="B164" s="111" t="str">
        <f t="shared" si="4"/>
        <v>I</v>
      </c>
      <c r="C164" s="112" t="str" cm="1">
        <f t="array" ref="C164">IF(A164="","",IF(ISERROR(INDEX('DM01-AV-CH'!$A$5:$AZ$5,A164)),"",INDEX('DM01-AV-CH'!$A$5:$AZ$5,A164)))</f>
        <v>Attribut</v>
      </c>
      <c r="D164" s="197" t="s">
        <v>3649</v>
      </c>
    </row>
    <row r="165" spans="1:4" x14ac:dyDescent="0.25">
      <c r="A165" s="57">
        <v>10</v>
      </c>
      <c r="B165" s="111" t="str">
        <f t="shared" si="4"/>
        <v>J</v>
      </c>
      <c r="C165" s="112" t="str" cm="1">
        <f t="array" ref="C165">IF(A165="","",IF(ISERROR(INDEX('DM01-AV-CH'!$A$5:$AZ$5,A165)),"",INDEX('DM01-AV-CH'!$A$5:$AZ$5,A165)))</f>
        <v>Wertebereich</v>
      </c>
      <c r="D165" s="197" t="s">
        <v>2738</v>
      </c>
    </row>
    <row r="166" spans="1:4" x14ac:dyDescent="0.25">
      <c r="A166" s="57">
        <v>11</v>
      </c>
      <c r="B166" s="111" t="str">
        <f t="shared" si="4"/>
        <v>K</v>
      </c>
      <c r="C166" s="112" t="str" cm="1">
        <f t="array" ref="C166">IF(A166="","",IF(ISERROR(INDEX('DM01-AV-CH'!$A$5:$AZ$5,A166)),"",INDEX('DM01-AV-CH'!$A$5:$AZ$5,A166)))</f>
        <v>Default</v>
      </c>
      <c r="D166" s="197" t="s">
        <v>3650</v>
      </c>
    </row>
    <row r="167" spans="1:4" x14ac:dyDescent="0.25">
      <c r="A167" s="57">
        <v>12</v>
      </c>
      <c r="B167" s="111" t="str">
        <f t="shared" si="4"/>
        <v>L</v>
      </c>
      <c r="C167" s="112" t="str" cm="1">
        <f t="array" ref="C167">IF(A167="","",IF(ISERROR(INDEX('DM01-AV-CH'!$A$5:$AZ$5,A167)),"",INDEX('DM01-AV-CH'!$A$5:$AZ$5,A167)))</f>
        <v>Bemerkung</v>
      </c>
      <c r="D167" s="197" t="s">
        <v>5974</v>
      </c>
    </row>
    <row r="168" spans="1:4" x14ac:dyDescent="0.25">
      <c r="A168" s="57">
        <v>14</v>
      </c>
      <c r="B168" s="111" t="str">
        <f t="shared" si="4"/>
        <v>N</v>
      </c>
      <c r="C168" s="112" t="str" cm="1">
        <f t="array" ref="C168">IF(A168="","",IF(ISERROR(INDEX('DM01-AV-CH'!$A$5:$AZ$5,A168)),"",INDEX('DM01-AV-CH'!$A$5:$AZ$5,A168)))</f>
        <v>Topic</v>
      </c>
      <c r="D168" s="197" t="s">
        <v>5969</v>
      </c>
    </row>
    <row r="169" spans="1:4" x14ac:dyDescent="0.25">
      <c r="A169" s="57">
        <v>15</v>
      </c>
      <c r="B169" s="111" t="str">
        <f t="shared" si="4"/>
        <v>O</v>
      </c>
      <c r="C169" s="112" t="str" cm="1">
        <f t="array" ref="C169">IF(A169="","",IF(ISERROR(INDEX('DM01-AV-CH'!$A$5:$AZ$5,A169)),"",INDEX('DM01-AV-CH'!$A$5:$AZ$5,A169)))</f>
        <v>Table</v>
      </c>
      <c r="D169" s="197" t="s">
        <v>7206</v>
      </c>
    </row>
    <row r="170" spans="1:4" x14ac:dyDescent="0.25">
      <c r="A170" s="57">
        <v>16</v>
      </c>
      <c r="B170" s="111" t="str">
        <f t="shared" si="4"/>
        <v>P</v>
      </c>
      <c r="C170" s="112" t="str" cm="1">
        <f t="array" ref="C170">IF(A170="","",IF(ISERROR(INDEX('DM01-AV-CH'!$A$5:$AZ$5,A170)),"",INDEX('DM01-AV-CH'!$A$5:$AZ$5,A170)))</f>
        <v>Attribut</v>
      </c>
      <c r="D170" s="197" t="s">
        <v>5948</v>
      </c>
    </row>
    <row r="171" spans="1:4" x14ac:dyDescent="0.25">
      <c r="A171" s="57">
        <v>17</v>
      </c>
      <c r="B171" s="111" t="str">
        <f t="shared" si="4"/>
        <v>Q</v>
      </c>
      <c r="C171" s="112" t="str" cm="1">
        <f t="array" ref="C171">IF(A171="","",IF(ISERROR(INDEX('DM01-AV-CH'!$A$5:$AZ$5,A171)),"",INDEX('DM01-AV-CH'!$A$5:$AZ$5,A171)))</f>
        <v>Définition</v>
      </c>
      <c r="D171" s="197" t="s">
        <v>7207</v>
      </c>
    </row>
    <row r="172" spans="1:4" x14ac:dyDescent="0.25">
      <c r="A172" s="57">
        <v>18</v>
      </c>
      <c r="B172" s="111" t="str">
        <f t="shared" si="4"/>
        <v>R</v>
      </c>
      <c r="C172" s="112" t="str" cm="1">
        <f t="array" ref="C172">IF(A172="","",IF(ISERROR(INDEX('DM01-AV-CH'!$A$5:$AZ$5,A172)),"",INDEX('DM01-AV-CH'!$A$5:$AZ$5,A172)))</f>
        <v>Default</v>
      </c>
      <c r="D172" s="197" t="s">
        <v>5972</v>
      </c>
    </row>
    <row r="173" spans="1:4" x14ac:dyDescent="0.25">
      <c r="A173" s="57">
        <v>19</v>
      </c>
      <c r="B173" s="111" t="str">
        <f t="shared" si="4"/>
        <v>S</v>
      </c>
      <c r="C173" s="112" t="str" cm="1">
        <f t="array" ref="C173">IF(A173="","",IF(ISERROR(INDEX('DM01-AV-CH'!$A$5:$AZ$5,A173)),"",INDEX('DM01-AV-CH'!$A$5:$AZ$5,A173)))</f>
        <v>Remarques</v>
      </c>
      <c r="D173" s="197" t="s">
        <v>5973</v>
      </c>
    </row>
    <row r="174" spans="1:4" x14ac:dyDescent="0.25">
      <c r="A174" s="57">
        <v>21</v>
      </c>
      <c r="B174" s="111" t="str">
        <f t="shared" si="4"/>
        <v>U</v>
      </c>
      <c r="C174" s="112" t="str" cm="1">
        <f t="array" ref="C174">IF(A174="","",IF(ISERROR(INDEX('DM01-AV-CH'!$A$5:$AZ$5,A174)),"",INDEX('DM01-AV-CH'!$A$5:$AZ$5,A174)))</f>
        <v>Topic</v>
      </c>
      <c r="D174" s="197" t="s">
        <v>5961</v>
      </c>
    </row>
    <row r="175" spans="1:4" x14ac:dyDescent="0.25">
      <c r="A175" s="57">
        <v>22</v>
      </c>
      <c r="B175" s="111" t="str">
        <f t="shared" si="4"/>
        <v>V</v>
      </c>
      <c r="C175" s="112" t="str" cm="1">
        <f t="array" ref="C175">IF(A175="","",IF(ISERROR(INDEX('DM01-AV-CH'!$A$5:$AZ$5,A175)),"",INDEX('DM01-AV-CH'!$A$5:$AZ$5,A175)))</f>
        <v>Tabella</v>
      </c>
      <c r="D175" s="197" t="s">
        <v>5975</v>
      </c>
    </row>
    <row r="176" spans="1:4" x14ac:dyDescent="0.25">
      <c r="A176" s="57">
        <v>23</v>
      </c>
      <c r="B176" s="111" t="str">
        <f t="shared" si="4"/>
        <v>W</v>
      </c>
      <c r="C176" s="112" t="str" cm="1">
        <f t="array" ref="C176">IF(A176="","",IF(ISERROR(INDEX('DM01-AV-CH'!$A$5:$AZ$5,A176)),"",INDEX('DM01-AV-CH'!$A$5:$AZ$5,A176)))</f>
        <v>Attributo</v>
      </c>
      <c r="D176" s="197" t="s">
        <v>5976</v>
      </c>
    </row>
    <row r="177" spans="1:4" x14ac:dyDescent="0.25">
      <c r="A177" s="57">
        <v>24</v>
      </c>
      <c r="B177" s="111" t="str">
        <f t="shared" si="4"/>
        <v>X</v>
      </c>
      <c r="C177" s="112" t="str" cm="1">
        <f t="array" ref="C177">IF(A177="","",IF(ISERROR(INDEX('DM01-AV-CH'!$A$5:$AZ$5,A177)),"",INDEX('DM01-AV-CH'!$A$5:$AZ$5,A177)))</f>
        <v>Definizione</v>
      </c>
      <c r="D177" s="197" t="s">
        <v>5978</v>
      </c>
    </row>
    <row r="178" spans="1:4" x14ac:dyDescent="0.25">
      <c r="A178" s="57">
        <v>25</v>
      </c>
      <c r="B178" s="111" t="str">
        <f t="shared" si="4"/>
        <v>Y</v>
      </c>
      <c r="C178" s="112" t="str" cm="1">
        <f t="array" ref="C178">IF(A178="","",IF(ISERROR(INDEX('DM01-AV-CH'!$A$5:$AZ$5,A178)),"",INDEX('DM01-AV-CH'!$A$5:$AZ$5,A178)))</f>
        <v>Default</v>
      </c>
      <c r="D178" s="197" t="s">
        <v>5979</v>
      </c>
    </row>
    <row r="179" spans="1:4" x14ac:dyDescent="0.25">
      <c r="A179" s="57">
        <v>26</v>
      </c>
      <c r="B179" s="111" t="str">
        <f t="shared" si="4"/>
        <v>Z</v>
      </c>
      <c r="C179" s="112" t="str" cm="1">
        <f t="array" ref="C179">IF(A179="","",IF(ISERROR(INDEX('DM01-AV-CH'!$A$5:$AZ$5,A179)),"",INDEX('DM01-AV-CH'!$A$5:$AZ$5,A179)))</f>
        <v>Commenti</v>
      </c>
      <c r="D179" s="197" t="s">
        <v>5980</v>
      </c>
    </row>
  </sheetData>
  <pageMargins left="0.7" right="0.7" top="0.78740157499999996" bottom="0.78740157499999996"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E0B8A-3CC2-4B20-8A34-EF8895036FF5}">
  <sheetPr codeName="Tabelle5">
    <tabColor rgb="FFFFC000"/>
  </sheetPr>
  <dimension ref="A1:AI1204"/>
  <sheetViews>
    <sheetView topLeftCell="J1" zoomScale="70" zoomScaleNormal="70" workbookViewId="0">
      <pane ySplit="5" topLeftCell="A6" activePane="bottomLeft" state="frozen"/>
      <selection pane="bottomLeft" activeCell="K6" sqref="K6"/>
    </sheetView>
  </sheetViews>
  <sheetFormatPr baseColWidth="10" defaultColWidth="11.42578125" defaultRowHeight="14.25" x14ac:dyDescent="0.25"/>
  <cols>
    <col min="1" max="9" width="5.7109375" style="57" hidden="1" customWidth="1"/>
    <col min="10" max="10" width="10.7109375" style="57" customWidth="1"/>
    <col min="11" max="11" width="15.7109375" style="57" customWidth="1"/>
    <col min="12" max="14" width="25.7109375" style="57" customWidth="1"/>
    <col min="15" max="16" width="10.7109375" style="57" customWidth="1"/>
    <col min="17" max="17" width="3.7109375" style="57" customWidth="1"/>
    <col min="18" max="18" width="25.7109375" style="59" customWidth="1"/>
    <col min="19" max="19" width="3.7109375" style="57" customWidth="1"/>
    <col min="20" max="20" width="50.7109375" style="59" customWidth="1"/>
    <col min="21" max="21" width="5.7109375" style="60" customWidth="1"/>
    <col min="22" max="23" width="50.7109375" style="59" customWidth="1"/>
    <col min="24" max="24" width="10.7109375" style="57" customWidth="1"/>
    <col min="25" max="25" width="50.7109375" style="59" customWidth="1"/>
    <col min="26" max="26" width="5.7109375" style="60" customWidth="1"/>
    <col min="27" max="28" width="50.7109375" style="59" customWidth="1"/>
    <col min="29" max="29" width="3.7109375" style="57" customWidth="1"/>
    <col min="30" max="30" width="25.7109375" style="59" customWidth="1"/>
    <col min="31" max="31" width="3.7109375" style="57" customWidth="1"/>
    <col min="32" max="32" width="10.7109375" style="57" customWidth="1"/>
    <col min="33" max="35" width="25.7109375" style="59" customWidth="1"/>
    <col min="36" max="16384" width="11.42578125" style="57"/>
  </cols>
  <sheetData>
    <row r="1" spans="1:35" ht="20.25" x14ac:dyDescent="0.25">
      <c r="J1" s="20" t="s">
        <v>3329</v>
      </c>
    </row>
    <row r="2" spans="1:35" s="97" customFormat="1" ht="12.75" x14ac:dyDescent="0.25">
      <c r="J2" s="193" t="s">
        <v>5731</v>
      </c>
      <c r="R2" s="98"/>
      <c r="T2" s="98"/>
      <c r="U2" s="99"/>
      <c r="V2" s="98"/>
      <c r="W2" s="98"/>
      <c r="Y2" s="98"/>
      <c r="Z2" s="99"/>
      <c r="AA2" s="98"/>
      <c r="AB2" s="98"/>
      <c r="AD2" s="98"/>
      <c r="AG2" s="98"/>
      <c r="AH2" s="98"/>
      <c r="AI2" s="98"/>
    </row>
    <row r="4" spans="1:35" ht="25.5" x14ac:dyDescent="0.25">
      <c r="A4" s="57" t="s">
        <v>3390</v>
      </c>
      <c r="B4" s="246" t="str" cm="1">
        <f t="array" aca="1" ref="B4" ca="1">MID(CELL("adresse",DMAV_Modell!$A$1),FIND("]",CELL("adresse",DMAV_Modell!$A$1))+1,FIND("!",CELL("adresse",DMAV_Modell!$A$1))-FIND("]",CELL("adresse",DMAV_Modell!$A$1))-1)</f>
        <v>DMAV_Modell</v>
      </c>
      <c r="C4" s="246"/>
      <c r="D4" s="246"/>
      <c r="E4" s="246" t="str" cm="1">
        <f t="array" aca="1" ref="E4" ca="1">MID(CELL("adresse",DMAV_Dienste!$A$1),FIND("]",CELL("adresse",DMAV_Dienste!$A$1))+1,FIND("!",CELL("adresse",DMAV_Dienste!$A$1))-FIND("]",CELL("adresse",DMAV_Dienste!$A$1))-1)</f>
        <v>DMAV_Dienste</v>
      </c>
      <c r="F4" s="246"/>
      <c r="G4" s="246"/>
      <c r="H4" s="57" t="str" cm="1">
        <f t="array" aca="1" ref="H4" ca="1">"'"&amp;MID(CELL("adresse",'DM01-AV-CH'!$A$1),FIND("]",CELL("adresse",'DM01-AV-CH'!$A$1))+1,FIND("!",CELL("adresse",'DM01-AV-CH'!$A$1))-FIND("]",CELL("adresse",'DM01-AV-CH'!$A$1))-1)</f>
        <v>'DM01-AV-CH'</v>
      </c>
      <c r="K4" s="237" t="s">
        <v>3331</v>
      </c>
      <c r="L4" s="237"/>
      <c r="M4" s="237"/>
      <c r="N4" s="237"/>
      <c r="O4" s="237"/>
      <c r="P4" s="238"/>
      <c r="R4" s="78"/>
      <c r="T4" s="239" t="s">
        <v>3334</v>
      </c>
      <c r="U4" s="240"/>
      <c r="V4" s="240"/>
      <c r="W4" s="241"/>
      <c r="Y4" s="242" t="s">
        <v>3335</v>
      </c>
      <c r="Z4" s="237"/>
      <c r="AA4" s="237"/>
      <c r="AB4" s="238"/>
      <c r="AD4" s="75"/>
      <c r="AG4" s="243" t="s">
        <v>3328</v>
      </c>
      <c r="AH4" s="244"/>
      <c r="AI4" s="245"/>
    </row>
    <row r="5" spans="1:35" s="58" customFormat="1" ht="15" x14ac:dyDescent="0.25">
      <c r="A5" s="58" t="s">
        <v>0</v>
      </c>
      <c r="B5" s="58" t="s">
        <v>5733</v>
      </c>
      <c r="C5" s="58" t="s">
        <v>5734</v>
      </c>
      <c r="D5" s="58" t="s">
        <v>5735</v>
      </c>
      <c r="E5" s="58" t="s">
        <v>5736</v>
      </c>
      <c r="F5" s="58" t="s">
        <v>5737</v>
      </c>
      <c r="G5" s="58" t="s">
        <v>5738</v>
      </c>
      <c r="H5" s="58" t="s">
        <v>3327</v>
      </c>
      <c r="J5" s="65" t="s">
        <v>3337</v>
      </c>
      <c r="K5" s="66" t="s">
        <v>4</v>
      </c>
      <c r="L5" s="67" t="s">
        <v>3</v>
      </c>
      <c r="M5" s="67" t="s">
        <v>95</v>
      </c>
      <c r="N5" s="67" t="s">
        <v>7</v>
      </c>
      <c r="O5" s="67" t="s">
        <v>66</v>
      </c>
      <c r="P5" s="68" t="s">
        <v>3330</v>
      </c>
      <c r="Q5" s="65"/>
      <c r="R5" s="79" t="s">
        <v>2737</v>
      </c>
      <c r="S5" s="65"/>
      <c r="T5" s="89" t="s">
        <v>3332</v>
      </c>
      <c r="U5" s="90" t="s">
        <v>2977</v>
      </c>
      <c r="V5" s="91" t="s">
        <v>2978</v>
      </c>
      <c r="W5" s="92" t="s">
        <v>2981</v>
      </c>
      <c r="X5" s="65"/>
      <c r="Y5" s="81" t="s">
        <v>3333</v>
      </c>
      <c r="Z5" s="82" t="s">
        <v>2977</v>
      </c>
      <c r="AA5" s="83" t="s">
        <v>2739</v>
      </c>
      <c r="AB5" s="84" t="s">
        <v>2981</v>
      </c>
      <c r="AC5" s="65"/>
      <c r="AD5" s="76" t="s">
        <v>3336</v>
      </c>
      <c r="AE5" s="65"/>
      <c r="AF5" s="65" t="s">
        <v>3337</v>
      </c>
      <c r="AG5" s="69" t="s">
        <v>3</v>
      </c>
      <c r="AH5" s="70" t="s">
        <v>2739</v>
      </c>
      <c r="AI5" s="71" t="s">
        <v>7</v>
      </c>
    </row>
    <row r="6" spans="1:35" ht="14.25" customHeight="1" x14ac:dyDescent="0.25">
      <c r="A6" s="57">
        <v>1</v>
      </c>
      <c r="B6" s="57">
        <f>IF($A6="","",IF(_xlfn.XLOOKUP($A6,Korrelation!$D$4:$D$1197,Korrelation!E$4:E$1197,"-",0)="-",0,MATCH(_xlfn.XLOOKUP($A6,Korrelation!$D$4:$D$1197,Korrelation!E$4:E$1197,"",0),DMAV_Modell!$G$6:$G$677,0)))</f>
        <v>1</v>
      </c>
      <c r="C6" s="57">
        <f>IF($A6="","",IF(_xlfn.XLOOKUP($A6,Korrelation!$D$4:$D$1197,Korrelation!F$4:F$1197,"-",0)="-",0,MATCH(_xlfn.XLOOKUP($A6,Korrelation!$D$4:$D$1197,Korrelation!F$4:F$1197,"",0),DMAV_Modell!$G$6:$G$677,0)))</f>
        <v>0</v>
      </c>
      <c r="D6" s="57">
        <f>IF($A6="","",IF(_xlfn.XLOOKUP($A6,Korrelation!$D$4:$D$1197,Korrelation!G$4:G$1197,"-",0)="-",0,MATCH(_xlfn.XLOOKUP($A6,Korrelation!$D$4:$D$1197,Korrelation!G$4:G$1197,"",0),DMAV_Modell!$G$6:$G$677,0)))</f>
        <v>0</v>
      </c>
      <c r="E6" s="57">
        <f>IF($A6="","",IF(_xlfn.XLOOKUP($A6,Korrelation!$D$4:$D$1197,Korrelation!H$4:H$1197,"-",0)="-",0,MATCH(_xlfn.XLOOKUP($A6,Korrelation!$D$4:$D$1197,Korrelation!H$4:H$1197,"",0),DMAV_Dienste!$F$6:$F$140,0)))</f>
        <v>0</v>
      </c>
      <c r="F6" s="57">
        <f>IF($A6="","",IF(_xlfn.XLOOKUP($A6,Korrelation!$D$4:$D$1197,Korrelation!I$4:I$1197,"-",0)="-",0,MATCH(_xlfn.XLOOKUP($A6,Korrelation!$D$4:$D$1197,Korrelation!I$4:I$1197,"",0),DMAV_Dienste!$F$6:$F$140,0)))</f>
        <v>0</v>
      </c>
      <c r="G6" s="57">
        <f>IF($A6="","",IF(_xlfn.XLOOKUP($A6,Korrelation!$D$4:$D$1197,Korrelation!J$4:J$1197,"-",0)="-",0,MATCH(_xlfn.XLOOKUP($A6,Korrelation!$D$4:$D$1197,Korrelation!J$4:J$1197,"",0),DMAV_Dienste!$F$6:$F$140,0)))</f>
        <v>0</v>
      </c>
      <c r="H6" s="57">
        <f>IF($A6="","",IF(_xlfn.XLOOKUP($A6,Korrelation!$D$4:$D$1197,Korrelation!K$4:K$1197,"-",0)="-",0,MATCH(_xlfn.XLOOKUP($A6,Korrelation!$D$4:$D$1197,Korrelation!K$4:K$1197,"",0),'DM01-AV-CH'!$A$6:$A$834,0)))</f>
        <v>0</v>
      </c>
      <c r="J6" s="54" t="str" cm="1">
        <f t="array" aca="1" ref="J6" ca="1">IF(B6=0,IF(E6=0,"",HYPERLINK("#"&amp;RIGHT(CELL("adresse",OFFSET(DMAV_Dienste!$M$6,E6-1,0)),LEN(CELL("adresse",OFFSET(DMAV_Dienste!$M$6,E6-1,0)))-FIND("]",CELL("adresse",OFFSET(DMAV_Dienste!$M$6,E6-1,0)))),"Dienst")),HYPERLINK("#"&amp;RIGHT(CELL("adresse",OFFSET(DMAV_Modell!$N$6,B6-1,0)),LEN(CELL("adresse",OFFSET(DMAV_Modell!$N$6,B6-1,0)))-FIND("]",CELL("adresse",OFFSET(DMAV_Modell!$N$6,B6-1,0)))),"Modell"))</f>
        <v>Modell</v>
      </c>
      <c r="K6" s="61" t="str" cm="1">
        <f t="array" ref="K6">IF($B6=0,IF($E6=0,"",IF(INDEX(DMAV_Dienste!P$6:P$140,$E6)="","",INDEX(DMAV_Dienste!P$6:P$140,$E6))),IF(INDEX(DMAV_Modell!Q$6:Q$838,$B6)="","",INDEX(DMAV_Modell!Q$6:Q$838,$B6)))</f>
        <v>IMPORTS</v>
      </c>
      <c r="L6" s="62" t="str" cm="1">
        <f t="array" ref="L6">IF($B6=0,IF($E6=0,"",IF(INDEX(DMAV_Dienste!O$6:O$140,$E6)="","",INDEX(DMAV_Dienste!O$6:O$140,$E6))),IF(INDEX(DMAV_Modell!P$6:P$838,$B6)="","",INDEX(DMAV_Modell!P$6:P$838,$B6)))</f>
        <v/>
      </c>
      <c r="M6" s="62" t="str" cm="1">
        <f t="array" ref="M6">IF($B6=0,IF($E6=0,"",IF(INDEX(DMAV_Dienste!Q$6:Q$140,$E6)="","",INDEX(DMAV_Dienste!Q$6:Q$140,$E6))),IF(INDEX(DMAV_Modell!R$6:R$838,$B6)="","",INDEX(DMAV_Modell!R$6:R$838,$B6)))</f>
        <v>DMAV_Bodenbedeckung_V1_1</v>
      </c>
      <c r="N6" s="62" t="str" cm="1">
        <f t="array" ref="N6">IF($B6=0,IF($E6=0,"",IF(INDEX(DMAV_Dienste!T$6:T$140,$E6)="","",INDEX(DMAV_Dienste!T$6:T$140,$E6))),IF(INDEX(DMAV_Modell!U$6:U$838,$B6)="","",INDEX(DMAV_Modell!U$6:U$838,$B6)))</f>
        <v/>
      </c>
      <c r="O6" s="63" t="str" cm="1">
        <f t="array" aca="1" ref="O6" ca="1">IF(C6=0,IF(F6=0,"",HYPERLINK("#"&amp;RIGHT(CELL("adresse",OFFSET(DMAV_Dienste!$M$6,F6-1,0)),LEN(CELL("adresse",OFFSET(DMAV_Dienste!$M$6,F6-1,0)))-FIND("]",CELL("adresse",OFFSET(DMAV_Dienste!$M$6,F6-1,0)))),"Structure")),HYPERLINK("#"&amp;RIGHT(CELL("adresse",OFFSET(DMAV_Modell!$N$6,C6-1,0)),LEN(CELL("adresse",OFFSET(DMAV_Modell!$N$6,C6-1,0)))-FIND("]",CELL("adresse",OFFSET(DMAV_Modell!$N$6,C6-1,0)))),"Structure"))</f>
        <v/>
      </c>
      <c r="P6" s="64" t="str" cm="1">
        <f t="array" aca="1" ref="P6" ca="1">IF(D6=0,IF(G6=0,"",HYPERLINK("#"&amp;RIGHT(CELL("adresse",OFFSET(DMAV_Dienste!$M$6,G6-1,0)),LEN(CELL("adresse",OFFSET(DMAV_Dienste!$M$6,G6-1,0)))-FIND("]",CELL("adresse",OFFSET(DMAV_Dienste!$M$6,G6-1,0)))),"Substructure")),HYPERLINK("#"&amp;RIGHT(CELL("adresse",OFFSET(DMAV_Modell!$N$6,D6-1,0)),LEN(CELL("adresse",OFFSET(DMAV_Modell!$N$6,D6-1,0)))-FIND("]",CELL("adresse",OFFSET(DMAV_Modell!$N$6,D6-1,0)))),"Substructure"))</f>
        <v/>
      </c>
      <c r="R6" s="80"/>
      <c r="T6" s="93"/>
      <c r="U6" s="94"/>
      <c r="V6" s="95"/>
      <c r="W6" s="96"/>
      <c r="Y6" s="85"/>
      <c r="Z6" s="86"/>
      <c r="AA6" s="87"/>
      <c r="AB6" s="88"/>
      <c r="AD6" s="77"/>
      <c r="AF6" s="54" t="str" cm="1">
        <f t="array" aca="1" ref="AF6" ca="1">IF(H6=0,"",HYPERLINK("#"&amp;RIGHT(CELL("adresse",OFFSET('DM01-AV-CH'!$G$6,H6-1,0)),LEN(CELL("adresse",OFFSET('DM01-AV-CH'!$G$6,H6-1,0)))-FIND("]",CELL("adresse",OFFSET('DM01-AV-CH'!$G$6,H6-1,0)))),"Modell"))</f>
        <v/>
      </c>
      <c r="AG6" s="72" t="str" cm="1">
        <f t="array" ref="AG6">IF($H6=0,"",IF(INDEX('DM01-AV-CH'!G$6:G$834,$H6)="","",INDEX('DM01-AV-CH'!G$6:G$834,$H6)))</f>
        <v/>
      </c>
      <c r="AH6" s="73" t="str" cm="1">
        <f t="array" ref="AH6">IF($H6=0,"",IF(INDEX('DM01-AV-CH'!H$6:H$834,$H6)="","",INDEX('DM01-AV-CH'!H$6:H$834,$H6)))</f>
        <v/>
      </c>
      <c r="AI6" s="74" t="str" cm="1">
        <f t="array" ref="AI6">IF($H6=0,"",IF(INDEX('DM01-AV-CH'!I$6:I$834,$H6)="","",INDEX('DM01-AV-CH'!I$6:I$834,$H6)))</f>
        <v/>
      </c>
    </row>
    <row r="7" spans="1:35" x14ac:dyDescent="0.25">
      <c r="A7" s="57">
        <v>2</v>
      </c>
      <c r="B7" s="57">
        <f>IF($A7="","",IF(_xlfn.XLOOKUP($A7,Korrelation!$D$4:$D$1197,Korrelation!E$4:E$1197,"-",0)="-",0,MATCH(_xlfn.XLOOKUP($A7,Korrelation!$D$4:$D$1197,Korrelation!E$4:E$1197,"",0),DMAV_Modell!$G$6:$G$677,0)))</f>
        <v>2</v>
      </c>
      <c r="C7" s="57">
        <f>IF($A7="","",IF(_xlfn.XLOOKUP($A7,Korrelation!$D$4:$D$1197,Korrelation!F$4:F$1197,"-",0)="-",0,MATCH(_xlfn.XLOOKUP($A7,Korrelation!$D$4:$D$1197,Korrelation!F$4:F$1197,"",0),DMAV_Modell!$G$6:$G$677,0)))</f>
        <v>0</v>
      </c>
      <c r="D7" s="57">
        <f>IF($A7="","",IF(_xlfn.XLOOKUP($A7,Korrelation!$D$4:$D$1197,Korrelation!G$4:G$1197,"-",0)="-",0,MATCH(_xlfn.XLOOKUP($A7,Korrelation!$D$4:$D$1197,Korrelation!G$4:G$1197,"",0),DMAV_Modell!$G$6:$G$677,0)))</f>
        <v>0</v>
      </c>
      <c r="E7" s="57">
        <f>IF($A7="","",IF(_xlfn.XLOOKUP($A7,Korrelation!$D$4:$D$1197,Korrelation!H$4:H$1197,"-",0)="-",0,MATCH(_xlfn.XLOOKUP($A7,Korrelation!$D$4:$D$1197,Korrelation!H$4:H$1197,"",0),DMAV_Dienste!$F$6:$F$140,0)))</f>
        <v>0</v>
      </c>
      <c r="F7" s="57">
        <f>IF($A7="","",IF(_xlfn.XLOOKUP($A7,Korrelation!$D$4:$D$1197,Korrelation!I$4:I$1197,"-",0)="-",0,MATCH(_xlfn.XLOOKUP($A7,Korrelation!$D$4:$D$1197,Korrelation!I$4:I$1197,"",0),DMAV_Dienste!$F$6:$F$140,0)))</f>
        <v>0</v>
      </c>
      <c r="G7" s="57">
        <f>IF($A7="","",IF(_xlfn.XLOOKUP($A7,Korrelation!$D$4:$D$1197,Korrelation!J$4:J$1197,"-",0)="-",0,MATCH(_xlfn.XLOOKUP($A7,Korrelation!$D$4:$D$1197,Korrelation!J$4:J$1197,"",0),DMAV_Dienste!$F$6:$F$140,0)))</f>
        <v>0</v>
      </c>
      <c r="H7" s="57">
        <f>IF($A7="","",IF(_xlfn.XLOOKUP($A7,Korrelation!$D$4:$D$1197,Korrelation!K$4:K$1197,"-",0)="-",0,MATCH(_xlfn.XLOOKUP($A7,Korrelation!$D$4:$D$1197,Korrelation!K$4:K$1197,"",0),'DM01-AV-CH'!$A$6:$A$834,0)))</f>
        <v>0</v>
      </c>
      <c r="J7" s="54" t="str" cm="1">
        <f t="array" aca="1" ref="J7" ca="1">IF(B7=0,IF(E7=0,"",HYPERLINK("#"&amp;RIGHT(CELL("adresse",OFFSET(DMAV_Dienste!$M$6,E7-1,0)),LEN(CELL("adresse",OFFSET(DMAV_Dienste!$M$6,E7-1,0)))-FIND("]",CELL("adresse",OFFSET(DMAV_Dienste!$M$6,E7-1,0)))),"Dienst")),HYPERLINK("#"&amp;RIGHT(CELL("adresse",OFFSET(DMAV_Modell!$N$6,B7-1,0)),LEN(CELL("adresse",OFFSET(DMAV_Modell!$N$6,B7-1,0)))-FIND("]",CELL("adresse",OFFSET(DMAV_Modell!$N$6,B7-1,0)))),"Modell"))</f>
        <v>Modell</v>
      </c>
      <c r="K7" s="61" t="str" cm="1">
        <f t="array" ref="K7">IF($B7=0,IF($E7=0,"",IF(INDEX(DMAV_Dienste!P$6:P$140,$E7)="","",INDEX(DMAV_Dienste!P$6:P$140,$E7))),IF(INDEX(DMAV_Modell!Q$6:Q$838,$B7)="","",INDEX(DMAV_Modell!Q$6:Q$838,$B7)))</f>
        <v>IMPORTS</v>
      </c>
      <c r="L7" s="62" t="str" cm="1">
        <f t="array" ref="L7">IF($B7=0,IF($E7=0,"",IF(INDEX(DMAV_Dienste!O$6:O$140,$E7)="","",INDEX(DMAV_Dienste!O$6:O$140,$E7))),IF(INDEX(DMAV_Modell!P$6:P$838,$B7)="","",INDEX(DMAV_Modell!P$6:P$838,$B7)))</f>
        <v/>
      </c>
      <c r="M7" s="62" t="str" cm="1">
        <f t="array" ref="M7">IF($B7=0,IF($E7=0,"",IF(INDEX(DMAV_Dienste!Q$6:Q$140,$E7)="","",INDEX(DMAV_Dienste!Q$6:Q$140,$E7))),IF(INDEX(DMAV_Modell!R$6:R$838,$B7)="","",INDEX(DMAV_Modell!R$6:R$838,$B7)))</f>
        <v>DMAV_DauerndeBodenverschiebungen_V1_1</v>
      </c>
      <c r="N7" s="62" t="str" cm="1">
        <f t="array" ref="N7">IF($B7=0,IF($E7=0,"",IF(INDEX(DMAV_Dienste!T$6:T$140,$E7)="","",INDEX(DMAV_Dienste!T$6:T$140,$E7))),IF(INDEX(DMAV_Modell!U$6:U$838,$B7)="","",INDEX(DMAV_Modell!U$6:U$838,$B7)))</f>
        <v/>
      </c>
      <c r="O7" s="63" t="str" cm="1">
        <f t="array" aca="1" ref="O7" ca="1">IF(C7=0,IF(F7=0,"",HYPERLINK("#"&amp;RIGHT(CELL("adresse",OFFSET(DMAV_Dienste!$M$6,F7-1,0)),LEN(CELL("adresse",OFFSET(DMAV_Dienste!$M$6,F7-1,0)))-FIND("]",CELL("adresse",OFFSET(DMAV_Dienste!$M$6,F7-1,0)))),"Structure")),HYPERLINK("#"&amp;RIGHT(CELL("adresse",OFFSET(DMAV_Modell!$N$6,C7-1,0)),LEN(CELL("adresse",OFFSET(DMAV_Modell!$N$6,C7-1,0)))-FIND("]",CELL("adresse",OFFSET(DMAV_Modell!$N$6,C7-1,0)))),"Structure"))</f>
        <v/>
      </c>
      <c r="P7" s="64" t="str" cm="1">
        <f t="array" aca="1" ref="P7" ca="1">IF(D7=0,IF(G7=0,"",HYPERLINK("#"&amp;RIGHT(CELL("adresse",OFFSET(DMAV_Dienste!$M$6,G7-1,0)),LEN(CELL("adresse",OFFSET(DMAV_Dienste!$M$6,G7-1,0)))-FIND("]",CELL("adresse",OFFSET(DMAV_Dienste!$M$6,G7-1,0)))),"Substructure")),HYPERLINK("#"&amp;RIGHT(CELL("adresse",OFFSET(DMAV_Modell!$N$6,D7-1,0)),LEN(CELL("adresse",OFFSET(DMAV_Modell!$N$6,D7-1,0)))-FIND("]",CELL("adresse",OFFSET(DMAV_Modell!$N$6,D7-1,0)))),"Substructure"))</f>
        <v/>
      </c>
      <c r="R7" s="80"/>
      <c r="T7" s="93"/>
      <c r="U7" s="94"/>
      <c r="V7" s="95"/>
      <c r="W7" s="96"/>
      <c r="Y7" s="85"/>
      <c r="Z7" s="86"/>
      <c r="AA7" s="87"/>
      <c r="AB7" s="88"/>
      <c r="AD7" s="77"/>
      <c r="AF7" s="54" t="str" cm="1">
        <f t="array" aca="1" ref="AF7" ca="1">IF(H7=0,"",HYPERLINK("#"&amp;RIGHT(CELL("adresse",OFFSET('DM01-AV-CH'!$G$6,H7-1,0)),LEN(CELL("adresse",OFFSET('DM01-AV-CH'!$G$6,H7-1,0)))-FIND("]",CELL("adresse",OFFSET('DM01-AV-CH'!$G$6,H7-1,0)))),"Modell"))</f>
        <v/>
      </c>
      <c r="AG7" s="72" t="str" cm="1">
        <f t="array" ref="AG7">IF($H7=0,"",IF(INDEX('DM01-AV-CH'!G$6:G$834,$H7)="","",INDEX('DM01-AV-CH'!G$6:G$834,$H7)))</f>
        <v/>
      </c>
      <c r="AH7" s="73" t="str" cm="1">
        <f t="array" ref="AH7">IF($H7=0,"",IF(INDEX('DM01-AV-CH'!H$6:H$834,$H7)="","",INDEX('DM01-AV-CH'!H$6:H$834,$H7)))</f>
        <v/>
      </c>
      <c r="AI7" s="74" t="str" cm="1">
        <f t="array" ref="AI7">IF($H7=0,"",IF(INDEX('DM01-AV-CH'!I$6:I$834,$H7)="","",INDEX('DM01-AV-CH'!I$6:I$834,$H7)))</f>
        <v/>
      </c>
    </row>
    <row r="8" spans="1:35" x14ac:dyDescent="0.25">
      <c r="A8" s="57">
        <v>3</v>
      </c>
      <c r="B8" s="57">
        <f>IF($A8="","",IF(_xlfn.XLOOKUP($A8,Korrelation!$D$4:$D$1197,Korrelation!E$4:E$1197,"-",0)="-",0,MATCH(_xlfn.XLOOKUP($A8,Korrelation!$D$4:$D$1197,Korrelation!E$4:E$1197,"",0),DMAV_Modell!$G$6:$G$677,0)))</f>
        <v>3</v>
      </c>
      <c r="C8" s="57">
        <f>IF($A8="","",IF(_xlfn.XLOOKUP($A8,Korrelation!$D$4:$D$1197,Korrelation!F$4:F$1197,"-",0)="-",0,MATCH(_xlfn.XLOOKUP($A8,Korrelation!$D$4:$D$1197,Korrelation!F$4:F$1197,"",0),DMAV_Modell!$G$6:$G$677,0)))</f>
        <v>0</v>
      </c>
      <c r="D8" s="57">
        <f>IF($A8="","",IF(_xlfn.XLOOKUP($A8,Korrelation!$D$4:$D$1197,Korrelation!G$4:G$1197,"-",0)="-",0,MATCH(_xlfn.XLOOKUP($A8,Korrelation!$D$4:$D$1197,Korrelation!G$4:G$1197,"",0),DMAV_Modell!$G$6:$G$677,0)))</f>
        <v>0</v>
      </c>
      <c r="E8" s="57">
        <f>IF($A8="","",IF(_xlfn.XLOOKUP($A8,Korrelation!$D$4:$D$1197,Korrelation!H$4:H$1197,"-",0)="-",0,MATCH(_xlfn.XLOOKUP($A8,Korrelation!$D$4:$D$1197,Korrelation!H$4:H$1197,"",0),DMAV_Dienste!$F$6:$F$140,0)))</f>
        <v>0</v>
      </c>
      <c r="F8" s="57">
        <f>IF($A8="","",IF(_xlfn.XLOOKUP($A8,Korrelation!$D$4:$D$1197,Korrelation!I$4:I$1197,"-",0)="-",0,MATCH(_xlfn.XLOOKUP($A8,Korrelation!$D$4:$D$1197,Korrelation!I$4:I$1197,"",0),DMAV_Dienste!$F$6:$F$140,0)))</f>
        <v>0</v>
      </c>
      <c r="G8" s="57">
        <f>IF($A8="","",IF(_xlfn.XLOOKUP($A8,Korrelation!$D$4:$D$1197,Korrelation!J$4:J$1197,"-",0)="-",0,MATCH(_xlfn.XLOOKUP($A8,Korrelation!$D$4:$D$1197,Korrelation!J$4:J$1197,"",0),DMAV_Dienste!$F$6:$F$140,0)))</f>
        <v>0</v>
      </c>
      <c r="H8" s="57">
        <f>IF($A8="","",IF(_xlfn.XLOOKUP($A8,Korrelation!$D$4:$D$1197,Korrelation!K$4:K$1197,"-",0)="-",0,MATCH(_xlfn.XLOOKUP($A8,Korrelation!$D$4:$D$1197,Korrelation!K$4:K$1197,"",0),'DM01-AV-CH'!$A$6:$A$834,0)))</f>
        <v>0</v>
      </c>
      <c r="J8" s="54" t="str" cm="1">
        <f t="array" aca="1" ref="J8" ca="1">IF(B8=0,IF(E8=0,"",HYPERLINK("#"&amp;RIGHT(CELL("adresse",OFFSET(DMAV_Dienste!$M$6,E8-1,0)),LEN(CELL("adresse",OFFSET(DMAV_Dienste!$M$6,E8-1,0)))-FIND("]",CELL("adresse",OFFSET(DMAV_Dienste!$M$6,E8-1,0)))),"Dienst")),HYPERLINK("#"&amp;RIGHT(CELL("adresse",OFFSET(DMAV_Modell!$N$6,B8-1,0)),LEN(CELL("adresse",OFFSET(DMAV_Modell!$N$6,B8-1,0)))-FIND("]",CELL("adresse",OFFSET(DMAV_Modell!$N$6,B8-1,0)))),"Modell"))</f>
        <v>Modell</v>
      </c>
      <c r="K8" s="61" t="str" cm="1">
        <f t="array" ref="K8">IF($B8=0,IF($E8=0,"",IF(INDEX(DMAV_Dienste!P$6:P$140,$E8)="","",INDEX(DMAV_Dienste!P$6:P$140,$E8))),IF(INDEX(DMAV_Modell!Q$6:Q$838,$B8)="","",INDEX(DMAV_Modell!Q$6:Q$838,$B8)))</f>
        <v>IMPORTS</v>
      </c>
      <c r="L8" s="62" t="str" cm="1">
        <f t="array" ref="L8">IF($B8=0,IF($E8=0,"",IF(INDEX(DMAV_Dienste!O$6:O$140,$E8)="","",INDEX(DMAV_Dienste!O$6:O$140,$E8))),IF(INDEX(DMAV_Modell!P$6:P$838,$B8)="","",INDEX(DMAV_Modell!P$6:P$838,$B8)))</f>
        <v/>
      </c>
      <c r="M8" s="62" t="str" cm="1">
        <f t="array" ref="M8">IF($B8=0,IF($E8=0,"",IF(INDEX(DMAV_Dienste!Q$6:Q$140,$E8)="","",INDEX(DMAV_Dienste!Q$6:Q$140,$E8))),IF(INDEX(DMAV_Modell!R$6:R$838,$B8)="","",INDEX(DMAV_Modell!R$6:R$838,$B8)))</f>
        <v>DMAV_Dienstbarkeitsgrenzen_V1_1</v>
      </c>
      <c r="N8" s="62" t="str" cm="1">
        <f t="array" ref="N8">IF($B8=0,IF($E8=0,"",IF(INDEX(DMAV_Dienste!T$6:T$140,$E8)="","",INDEX(DMAV_Dienste!T$6:T$140,$E8))),IF(INDEX(DMAV_Modell!U$6:U$838,$B8)="","",INDEX(DMAV_Modell!U$6:U$838,$B8)))</f>
        <v/>
      </c>
      <c r="O8" s="63" t="str" cm="1">
        <f t="array" aca="1" ref="O8" ca="1">IF(C8=0,IF(F8=0,"",HYPERLINK("#"&amp;RIGHT(CELL("adresse",OFFSET(DMAV_Dienste!$M$6,F8-1,0)),LEN(CELL("adresse",OFFSET(DMAV_Dienste!$M$6,F8-1,0)))-FIND("]",CELL("adresse",OFFSET(DMAV_Dienste!$M$6,F8-1,0)))),"Structure")),HYPERLINK("#"&amp;RIGHT(CELL("adresse",OFFSET(DMAV_Modell!$N$6,C8-1,0)),LEN(CELL("adresse",OFFSET(DMAV_Modell!$N$6,C8-1,0)))-FIND("]",CELL("adresse",OFFSET(DMAV_Modell!$N$6,C8-1,0)))),"Structure"))</f>
        <v/>
      </c>
      <c r="P8" s="64" t="str" cm="1">
        <f t="array" aca="1" ref="P8" ca="1">IF(D8=0,IF(G8=0,"",HYPERLINK("#"&amp;RIGHT(CELL("adresse",OFFSET(DMAV_Dienste!$M$6,G8-1,0)),LEN(CELL("adresse",OFFSET(DMAV_Dienste!$M$6,G8-1,0)))-FIND("]",CELL("adresse",OFFSET(DMAV_Dienste!$M$6,G8-1,0)))),"Substructure")),HYPERLINK("#"&amp;RIGHT(CELL("adresse",OFFSET(DMAV_Modell!$N$6,D8-1,0)),LEN(CELL("adresse",OFFSET(DMAV_Modell!$N$6,D8-1,0)))-FIND("]",CELL("adresse",OFFSET(DMAV_Modell!$N$6,D8-1,0)))),"Substructure"))</f>
        <v/>
      </c>
      <c r="R8" s="80"/>
      <c r="T8" s="93"/>
      <c r="U8" s="94"/>
      <c r="V8" s="95"/>
      <c r="W8" s="96"/>
      <c r="Y8" s="85"/>
      <c r="Z8" s="86"/>
      <c r="AA8" s="87"/>
      <c r="AB8" s="88"/>
      <c r="AD8" s="77"/>
      <c r="AF8" s="54" t="str" cm="1">
        <f t="array" aca="1" ref="AF8" ca="1">IF(H8=0,"",HYPERLINK("#"&amp;RIGHT(CELL("adresse",OFFSET('DM01-AV-CH'!$G$6,H8-1,0)),LEN(CELL("adresse",OFFSET('DM01-AV-CH'!$G$6,H8-1,0)))-FIND("]",CELL("adresse",OFFSET('DM01-AV-CH'!$G$6,H8-1,0)))),"Modell"))</f>
        <v/>
      </c>
      <c r="AG8" s="72" t="str" cm="1">
        <f t="array" ref="AG8">IF($H8=0,"",IF(INDEX('DM01-AV-CH'!G$6:G$834,$H8)="","",INDEX('DM01-AV-CH'!G$6:G$834,$H8)))</f>
        <v/>
      </c>
      <c r="AH8" s="73" t="str" cm="1">
        <f t="array" ref="AH8">IF($H8=0,"",IF(INDEX('DM01-AV-CH'!H$6:H$834,$H8)="","",INDEX('DM01-AV-CH'!H$6:H$834,$H8)))</f>
        <v/>
      </c>
      <c r="AI8" s="74" t="str" cm="1">
        <f t="array" ref="AI8">IF($H8=0,"",IF(INDEX('DM01-AV-CH'!I$6:I$834,$H8)="","",INDEX('DM01-AV-CH'!I$6:I$834,$H8)))</f>
        <v/>
      </c>
    </row>
    <row r="9" spans="1:35" x14ac:dyDescent="0.25">
      <c r="A9" s="57">
        <v>4</v>
      </c>
      <c r="B9" s="57">
        <f>IF($A9="","",IF(_xlfn.XLOOKUP($A9,Korrelation!$D$4:$D$1197,Korrelation!E$4:E$1197,"-",0)="-",0,MATCH(_xlfn.XLOOKUP($A9,Korrelation!$D$4:$D$1197,Korrelation!E$4:E$1197,"",0),DMAV_Modell!$G$6:$G$677,0)))</f>
        <v>4</v>
      </c>
      <c r="C9" s="57">
        <f>IF($A9="","",IF(_xlfn.XLOOKUP($A9,Korrelation!$D$4:$D$1197,Korrelation!F$4:F$1197,"-",0)="-",0,MATCH(_xlfn.XLOOKUP($A9,Korrelation!$D$4:$D$1197,Korrelation!F$4:F$1197,"",0),DMAV_Modell!$G$6:$G$677,0)))</f>
        <v>0</v>
      </c>
      <c r="D9" s="57">
        <f>IF($A9="","",IF(_xlfn.XLOOKUP($A9,Korrelation!$D$4:$D$1197,Korrelation!G$4:G$1197,"-",0)="-",0,MATCH(_xlfn.XLOOKUP($A9,Korrelation!$D$4:$D$1197,Korrelation!G$4:G$1197,"",0),DMAV_Modell!$G$6:$G$677,0)))</f>
        <v>0</v>
      </c>
      <c r="E9" s="57">
        <f>IF($A9="","",IF(_xlfn.XLOOKUP($A9,Korrelation!$D$4:$D$1197,Korrelation!H$4:H$1197,"-",0)="-",0,MATCH(_xlfn.XLOOKUP($A9,Korrelation!$D$4:$D$1197,Korrelation!H$4:H$1197,"",0),DMAV_Dienste!$F$6:$F$140,0)))</f>
        <v>0</v>
      </c>
      <c r="F9" s="57">
        <f>IF($A9="","",IF(_xlfn.XLOOKUP($A9,Korrelation!$D$4:$D$1197,Korrelation!I$4:I$1197,"-",0)="-",0,MATCH(_xlfn.XLOOKUP($A9,Korrelation!$D$4:$D$1197,Korrelation!I$4:I$1197,"",0),DMAV_Dienste!$F$6:$F$140,0)))</f>
        <v>0</v>
      </c>
      <c r="G9" s="57">
        <f>IF($A9="","",IF(_xlfn.XLOOKUP($A9,Korrelation!$D$4:$D$1197,Korrelation!J$4:J$1197,"-",0)="-",0,MATCH(_xlfn.XLOOKUP($A9,Korrelation!$D$4:$D$1197,Korrelation!J$4:J$1197,"",0),DMAV_Dienste!$F$6:$F$140,0)))</f>
        <v>0</v>
      </c>
      <c r="H9" s="57">
        <f>IF($A9="","",IF(_xlfn.XLOOKUP($A9,Korrelation!$D$4:$D$1197,Korrelation!K$4:K$1197,"-",0)="-",0,MATCH(_xlfn.XLOOKUP($A9,Korrelation!$D$4:$D$1197,Korrelation!K$4:K$1197,"",0),'DM01-AV-CH'!$A$6:$A$834,0)))</f>
        <v>0</v>
      </c>
      <c r="J9" s="54" t="str" cm="1">
        <f t="array" aca="1" ref="J9" ca="1">IF(B9=0,IF(E9=0,"",HYPERLINK("#"&amp;RIGHT(CELL("adresse",OFFSET(DMAV_Dienste!$M$6,E9-1,0)),LEN(CELL("adresse",OFFSET(DMAV_Dienste!$M$6,E9-1,0)))-FIND("]",CELL("adresse",OFFSET(DMAV_Dienste!$M$6,E9-1,0)))),"Dienst")),HYPERLINK("#"&amp;RIGHT(CELL("adresse",OFFSET(DMAV_Modell!$N$6,B9-1,0)),LEN(CELL("adresse",OFFSET(DMAV_Modell!$N$6,B9-1,0)))-FIND("]",CELL("adresse",OFFSET(DMAV_Modell!$N$6,B9-1,0)))),"Modell"))</f>
        <v>Modell</v>
      </c>
      <c r="K9" s="61" t="str" cm="1">
        <f t="array" ref="K9">IF($B9=0,IF($E9=0,"",IF(INDEX(DMAV_Dienste!P$6:P$140,$E9)="","",INDEX(DMAV_Dienste!P$6:P$140,$E9))),IF(INDEX(DMAV_Modell!Q$6:Q$838,$B9)="","",INDEX(DMAV_Modell!Q$6:Q$838,$B9)))</f>
        <v>IMPORTS</v>
      </c>
      <c r="L9" s="62" t="str" cm="1">
        <f t="array" ref="L9">IF($B9=0,IF($E9=0,"",IF(INDEX(DMAV_Dienste!O$6:O$140,$E9)="","",INDEX(DMAV_Dienste!O$6:O$140,$E9))),IF(INDEX(DMAV_Modell!P$6:P$838,$B9)="","",INDEX(DMAV_Modell!P$6:P$838,$B9)))</f>
        <v/>
      </c>
      <c r="M9" s="62" t="str" cm="1">
        <f t="array" ref="M9">IF($B9=0,IF($E9=0,"",IF(INDEX(DMAV_Dienste!Q$6:Q$140,$E9)="","",INDEX(DMAV_Dienste!Q$6:Q$140,$E9))),IF(INDEX(DMAV_Modell!R$6:R$838,$B9)="","",INDEX(DMAV_Modell!R$6:R$838,$B9)))</f>
        <v>DMAV_Einzelobjekte_V1_1</v>
      </c>
      <c r="N9" s="62" t="str" cm="1">
        <f t="array" ref="N9">IF($B9=0,IF($E9=0,"",IF(INDEX(DMAV_Dienste!T$6:T$140,$E9)="","",INDEX(DMAV_Dienste!T$6:T$140,$E9))),IF(INDEX(DMAV_Modell!U$6:U$838,$B9)="","",INDEX(DMAV_Modell!U$6:U$838,$B9)))</f>
        <v/>
      </c>
      <c r="O9" s="63" t="str" cm="1">
        <f t="array" aca="1" ref="O9" ca="1">IF(C9=0,IF(F9=0,"",HYPERLINK("#"&amp;RIGHT(CELL("adresse",OFFSET(DMAV_Dienste!$M$6,F9-1,0)),LEN(CELL("adresse",OFFSET(DMAV_Dienste!$M$6,F9-1,0)))-FIND("]",CELL("adresse",OFFSET(DMAV_Dienste!$M$6,F9-1,0)))),"Structure")),HYPERLINK("#"&amp;RIGHT(CELL("adresse",OFFSET(DMAV_Modell!$N$6,C9-1,0)),LEN(CELL("adresse",OFFSET(DMAV_Modell!$N$6,C9-1,0)))-FIND("]",CELL("adresse",OFFSET(DMAV_Modell!$N$6,C9-1,0)))),"Structure"))</f>
        <v/>
      </c>
      <c r="P9" s="64" t="str" cm="1">
        <f t="array" aca="1" ref="P9" ca="1">IF(D9=0,IF(G9=0,"",HYPERLINK("#"&amp;RIGHT(CELL("adresse",OFFSET(DMAV_Dienste!$M$6,G9-1,0)),LEN(CELL("adresse",OFFSET(DMAV_Dienste!$M$6,G9-1,0)))-FIND("]",CELL("adresse",OFFSET(DMAV_Dienste!$M$6,G9-1,0)))),"Substructure")),HYPERLINK("#"&amp;RIGHT(CELL("adresse",OFFSET(DMAV_Modell!$N$6,D9-1,0)),LEN(CELL("adresse",OFFSET(DMAV_Modell!$N$6,D9-1,0)))-FIND("]",CELL("adresse",OFFSET(DMAV_Modell!$N$6,D9-1,0)))),"Substructure"))</f>
        <v/>
      </c>
      <c r="R9" s="80"/>
      <c r="T9" s="93"/>
      <c r="U9" s="94"/>
      <c r="V9" s="95"/>
      <c r="W9" s="96"/>
      <c r="Y9" s="85"/>
      <c r="Z9" s="86"/>
      <c r="AA9" s="87"/>
      <c r="AB9" s="88"/>
      <c r="AD9" s="77"/>
      <c r="AF9" s="54" t="str" cm="1">
        <f t="array" aca="1" ref="AF9" ca="1">IF(H9=0,"",HYPERLINK("#"&amp;RIGHT(CELL("adresse",OFFSET('DM01-AV-CH'!$G$6,H9-1,0)),LEN(CELL("adresse",OFFSET('DM01-AV-CH'!$G$6,H9-1,0)))-FIND("]",CELL("adresse",OFFSET('DM01-AV-CH'!$G$6,H9-1,0)))),"Modell"))</f>
        <v/>
      </c>
      <c r="AG9" s="72" t="str" cm="1">
        <f t="array" ref="AG9">IF($H9=0,"",IF(INDEX('DM01-AV-CH'!G$6:G$834,$H9)="","",INDEX('DM01-AV-CH'!G$6:G$834,$H9)))</f>
        <v/>
      </c>
      <c r="AH9" s="73" t="str" cm="1">
        <f t="array" ref="AH9">IF($H9=0,"",IF(INDEX('DM01-AV-CH'!H$6:H$834,$H9)="","",INDEX('DM01-AV-CH'!H$6:H$834,$H9)))</f>
        <v/>
      </c>
      <c r="AI9" s="74" t="str" cm="1">
        <f t="array" ref="AI9">IF($H9=0,"",IF(INDEX('DM01-AV-CH'!I$6:I$834,$H9)="","",INDEX('DM01-AV-CH'!I$6:I$834,$H9)))</f>
        <v/>
      </c>
    </row>
    <row r="10" spans="1:35" x14ac:dyDescent="0.25">
      <c r="A10" s="57">
        <v>5</v>
      </c>
      <c r="B10" s="57">
        <f>IF($A10="","",IF(_xlfn.XLOOKUP($A10,Korrelation!$D$4:$D$1197,Korrelation!E$4:E$1197,"-",0)="-",0,MATCH(_xlfn.XLOOKUP($A10,Korrelation!$D$4:$D$1197,Korrelation!E$4:E$1197,"",0),DMAV_Modell!$G$6:$G$677,0)))</f>
        <v>5</v>
      </c>
      <c r="C10" s="57">
        <f>IF($A10="","",IF(_xlfn.XLOOKUP($A10,Korrelation!$D$4:$D$1197,Korrelation!F$4:F$1197,"-",0)="-",0,MATCH(_xlfn.XLOOKUP($A10,Korrelation!$D$4:$D$1197,Korrelation!F$4:F$1197,"",0),DMAV_Modell!$G$6:$G$677,0)))</f>
        <v>0</v>
      </c>
      <c r="D10" s="57">
        <f>IF($A10="","",IF(_xlfn.XLOOKUP($A10,Korrelation!$D$4:$D$1197,Korrelation!G$4:G$1197,"-",0)="-",0,MATCH(_xlfn.XLOOKUP($A10,Korrelation!$D$4:$D$1197,Korrelation!G$4:G$1197,"",0),DMAV_Modell!$G$6:$G$677,0)))</f>
        <v>0</v>
      </c>
      <c r="E10" s="57">
        <f>IF($A10="","",IF(_xlfn.XLOOKUP($A10,Korrelation!$D$4:$D$1197,Korrelation!H$4:H$1197,"-",0)="-",0,MATCH(_xlfn.XLOOKUP($A10,Korrelation!$D$4:$D$1197,Korrelation!H$4:H$1197,"",0),DMAV_Dienste!$F$6:$F$140,0)))</f>
        <v>0</v>
      </c>
      <c r="F10" s="57">
        <f>IF($A10="","",IF(_xlfn.XLOOKUP($A10,Korrelation!$D$4:$D$1197,Korrelation!I$4:I$1197,"-",0)="-",0,MATCH(_xlfn.XLOOKUP($A10,Korrelation!$D$4:$D$1197,Korrelation!I$4:I$1197,"",0),DMAV_Dienste!$F$6:$F$140,0)))</f>
        <v>0</v>
      </c>
      <c r="G10" s="57">
        <f>IF($A10="","",IF(_xlfn.XLOOKUP($A10,Korrelation!$D$4:$D$1197,Korrelation!J$4:J$1197,"-",0)="-",0,MATCH(_xlfn.XLOOKUP($A10,Korrelation!$D$4:$D$1197,Korrelation!J$4:J$1197,"",0),DMAV_Dienste!$F$6:$F$140,0)))</f>
        <v>0</v>
      </c>
      <c r="H10" s="57">
        <f>IF($A10="","",IF(_xlfn.XLOOKUP($A10,Korrelation!$D$4:$D$1197,Korrelation!K$4:K$1197,"-",0)="-",0,MATCH(_xlfn.XLOOKUP($A10,Korrelation!$D$4:$D$1197,Korrelation!K$4:K$1197,"",0),'DM01-AV-CH'!$A$6:$A$834,0)))</f>
        <v>0</v>
      </c>
      <c r="J10" s="54" t="str" cm="1">
        <f t="array" aca="1" ref="J10" ca="1">IF(B10=0,IF(E10=0,"",HYPERLINK("#"&amp;RIGHT(CELL("adresse",OFFSET(DMAV_Dienste!$M$6,E10-1,0)),LEN(CELL("adresse",OFFSET(DMAV_Dienste!$M$6,E10-1,0)))-FIND("]",CELL("adresse",OFFSET(DMAV_Dienste!$M$6,E10-1,0)))),"Dienst")),HYPERLINK("#"&amp;RIGHT(CELL("adresse",OFFSET(DMAV_Modell!$N$6,B10-1,0)),LEN(CELL("adresse",OFFSET(DMAV_Modell!$N$6,B10-1,0)))-FIND("]",CELL("adresse",OFFSET(DMAV_Modell!$N$6,B10-1,0)))),"Modell"))</f>
        <v>Modell</v>
      </c>
      <c r="K10" s="61" t="str" cm="1">
        <f t="array" ref="K10">IF($B10=0,IF($E10=0,"",IF(INDEX(DMAV_Dienste!P$6:P$140,$E10)="","",INDEX(DMAV_Dienste!P$6:P$140,$E10))),IF(INDEX(DMAV_Modell!Q$6:Q$838,$B10)="","",INDEX(DMAV_Modell!Q$6:Q$838,$B10)))</f>
        <v>IMPORTS</v>
      </c>
      <c r="L10" s="62" t="str" cm="1">
        <f t="array" ref="L10">IF($B10=0,IF($E10=0,"",IF(INDEX(DMAV_Dienste!O$6:O$140,$E10)="","",INDEX(DMAV_Dienste!O$6:O$140,$E10))),IF(INDEX(DMAV_Modell!P$6:P$838,$B10)="","",INDEX(DMAV_Modell!P$6:P$838,$B10)))</f>
        <v/>
      </c>
      <c r="M10" s="62" t="str" cm="1">
        <f t="array" ref="M10">IF($B10=0,IF($E10=0,"",IF(INDEX(DMAV_Dienste!Q$6:Q$140,$E10)="","",INDEX(DMAV_Dienste!Q$6:Q$140,$E10))),IF(INDEX(DMAV_Modell!R$6:R$838,$B10)="","",INDEX(DMAV_Modell!R$6:R$838,$B10)))</f>
        <v>DMAV_FixpunkteAVKategorie3_V1_1</v>
      </c>
      <c r="N10" s="62" t="str" cm="1">
        <f t="array" ref="N10">IF($B10=0,IF($E10=0,"",IF(INDEX(DMAV_Dienste!T$6:T$140,$E10)="","",INDEX(DMAV_Dienste!T$6:T$140,$E10))),IF(INDEX(DMAV_Modell!U$6:U$838,$B10)="","",INDEX(DMAV_Modell!U$6:U$838,$B10)))</f>
        <v/>
      </c>
      <c r="O10" s="63" t="str" cm="1">
        <f t="array" aca="1" ref="O10" ca="1">IF(C10=0,IF(F10=0,"",HYPERLINK("#"&amp;RIGHT(CELL("adresse",OFFSET(DMAV_Dienste!$M$6,F10-1,0)),LEN(CELL("adresse",OFFSET(DMAV_Dienste!$M$6,F10-1,0)))-FIND("]",CELL("adresse",OFFSET(DMAV_Dienste!$M$6,F10-1,0)))),"Structure")),HYPERLINK("#"&amp;RIGHT(CELL("adresse",OFFSET(DMAV_Modell!$N$6,C10-1,0)),LEN(CELL("adresse",OFFSET(DMAV_Modell!$N$6,C10-1,0)))-FIND("]",CELL("adresse",OFFSET(DMAV_Modell!$N$6,C10-1,0)))),"Structure"))</f>
        <v/>
      </c>
      <c r="P10" s="64" t="str" cm="1">
        <f t="array" aca="1" ref="P10" ca="1">IF(D10=0,IF(G10=0,"",HYPERLINK("#"&amp;RIGHT(CELL("adresse",OFFSET(DMAV_Dienste!$M$6,G10-1,0)),LEN(CELL("adresse",OFFSET(DMAV_Dienste!$M$6,G10-1,0)))-FIND("]",CELL("adresse",OFFSET(DMAV_Dienste!$M$6,G10-1,0)))),"Substructure")),HYPERLINK("#"&amp;RIGHT(CELL("adresse",OFFSET(DMAV_Modell!$N$6,D10-1,0)),LEN(CELL("adresse",OFFSET(DMAV_Modell!$N$6,D10-1,0)))-FIND("]",CELL("adresse",OFFSET(DMAV_Modell!$N$6,D10-1,0)))),"Substructure"))</f>
        <v/>
      </c>
      <c r="R10" s="80"/>
      <c r="T10" s="93"/>
      <c r="U10" s="94"/>
      <c r="V10" s="95"/>
      <c r="W10" s="96"/>
      <c r="Y10" s="85"/>
      <c r="Z10" s="86"/>
      <c r="AA10" s="87"/>
      <c r="AB10" s="88"/>
      <c r="AD10" s="77"/>
      <c r="AF10" s="54" t="str" cm="1">
        <f t="array" aca="1" ref="AF10" ca="1">IF(H10=0,"",HYPERLINK("#"&amp;RIGHT(CELL("adresse",OFFSET('DM01-AV-CH'!$G$6,H10-1,0)),LEN(CELL("adresse",OFFSET('DM01-AV-CH'!$G$6,H10-1,0)))-FIND("]",CELL("adresse",OFFSET('DM01-AV-CH'!$G$6,H10-1,0)))),"Modell"))</f>
        <v/>
      </c>
      <c r="AG10" s="72" t="str" cm="1">
        <f t="array" ref="AG10">IF($H10=0,"",IF(INDEX('DM01-AV-CH'!G$6:G$834,$H10)="","",INDEX('DM01-AV-CH'!G$6:G$834,$H10)))</f>
        <v/>
      </c>
      <c r="AH10" s="73" t="str" cm="1">
        <f t="array" ref="AH10">IF($H10=0,"",IF(INDEX('DM01-AV-CH'!H$6:H$834,$H10)="","",INDEX('DM01-AV-CH'!H$6:H$834,$H10)))</f>
        <v/>
      </c>
      <c r="AI10" s="74" t="str" cm="1">
        <f t="array" ref="AI10">IF($H10=0,"",IF(INDEX('DM01-AV-CH'!I$6:I$834,$H10)="","",INDEX('DM01-AV-CH'!I$6:I$834,$H10)))</f>
        <v/>
      </c>
    </row>
    <row r="11" spans="1:35" x14ac:dyDescent="0.25">
      <c r="A11" s="57">
        <v>6</v>
      </c>
      <c r="B11" s="57">
        <f>IF($A11="","",IF(_xlfn.XLOOKUP($A11,Korrelation!$D$4:$D$1197,Korrelation!E$4:E$1197,"-",0)="-",0,MATCH(_xlfn.XLOOKUP($A11,Korrelation!$D$4:$D$1197,Korrelation!E$4:E$1197,"",0),DMAV_Modell!$G$6:$G$677,0)))</f>
        <v>6</v>
      </c>
      <c r="C11" s="57">
        <f>IF($A11="","",IF(_xlfn.XLOOKUP($A11,Korrelation!$D$4:$D$1197,Korrelation!F$4:F$1197,"-",0)="-",0,MATCH(_xlfn.XLOOKUP($A11,Korrelation!$D$4:$D$1197,Korrelation!F$4:F$1197,"",0),DMAV_Modell!$G$6:$G$677,0)))</f>
        <v>0</v>
      </c>
      <c r="D11" s="57">
        <f>IF($A11="","",IF(_xlfn.XLOOKUP($A11,Korrelation!$D$4:$D$1197,Korrelation!G$4:G$1197,"-",0)="-",0,MATCH(_xlfn.XLOOKUP($A11,Korrelation!$D$4:$D$1197,Korrelation!G$4:G$1197,"",0),DMAV_Modell!$G$6:$G$677,0)))</f>
        <v>0</v>
      </c>
      <c r="E11" s="57">
        <f>IF($A11="","",IF(_xlfn.XLOOKUP($A11,Korrelation!$D$4:$D$1197,Korrelation!H$4:H$1197,"-",0)="-",0,MATCH(_xlfn.XLOOKUP($A11,Korrelation!$D$4:$D$1197,Korrelation!H$4:H$1197,"",0),DMAV_Dienste!$F$6:$F$140,0)))</f>
        <v>0</v>
      </c>
      <c r="F11" s="57">
        <f>IF($A11="","",IF(_xlfn.XLOOKUP($A11,Korrelation!$D$4:$D$1197,Korrelation!I$4:I$1197,"-",0)="-",0,MATCH(_xlfn.XLOOKUP($A11,Korrelation!$D$4:$D$1197,Korrelation!I$4:I$1197,"",0),DMAV_Dienste!$F$6:$F$140,0)))</f>
        <v>0</v>
      </c>
      <c r="G11" s="57">
        <f>IF($A11="","",IF(_xlfn.XLOOKUP($A11,Korrelation!$D$4:$D$1197,Korrelation!J$4:J$1197,"-",0)="-",0,MATCH(_xlfn.XLOOKUP($A11,Korrelation!$D$4:$D$1197,Korrelation!J$4:J$1197,"",0),DMAV_Dienste!$F$6:$F$140,0)))</f>
        <v>0</v>
      </c>
      <c r="H11" s="57">
        <f>IF($A11="","",IF(_xlfn.XLOOKUP($A11,Korrelation!$D$4:$D$1197,Korrelation!K$4:K$1197,"-",0)="-",0,MATCH(_xlfn.XLOOKUP($A11,Korrelation!$D$4:$D$1197,Korrelation!K$4:K$1197,"",0),'DM01-AV-CH'!$A$6:$A$834,0)))</f>
        <v>0</v>
      </c>
      <c r="J11" s="54" t="str" cm="1">
        <f t="array" aca="1" ref="J11" ca="1">IF(B11=0,IF(E11=0,"",HYPERLINK("#"&amp;RIGHT(CELL("adresse",OFFSET(DMAV_Dienste!$M$6,E11-1,0)),LEN(CELL("adresse",OFFSET(DMAV_Dienste!$M$6,E11-1,0)))-FIND("]",CELL("adresse",OFFSET(DMAV_Dienste!$M$6,E11-1,0)))),"Dienst")),HYPERLINK("#"&amp;RIGHT(CELL("adresse",OFFSET(DMAV_Modell!$N$6,B11-1,0)),LEN(CELL("adresse",OFFSET(DMAV_Modell!$N$6,B11-1,0)))-FIND("]",CELL("adresse",OFFSET(DMAV_Modell!$N$6,B11-1,0)))),"Modell"))</f>
        <v>Modell</v>
      </c>
      <c r="K11" s="61" t="str" cm="1">
        <f t="array" ref="K11">IF($B11=0,IF($E11=0,"",IF(INDEX(DMAV_Dienste!P$6:P$140,$E11)="","",INDEX(DMAV_Dienste!P$6:P$140,$E11))),IF(INDEX(DMAV_Modell!Q$6:Q$838,$B11)="","",INDEX(DMAV_Modell!Q$6:Q$838,$B11)))</f>
        <v>IMPORTS</v>
      </c>
      <c r="L11" s="62" t="str" cm="1">
        <f t="array" ref="L11">IF($B11=0,IF($E11=0,"",IF(INDEX(DMAV_Dienste!O$6:O$140,$E11)="","",INDEX(DMAV_Dienste!O$6:O$140,$E11))),IF(INDEX(DMAV_Modell!P$6:P$838,$B11)="","",INDEX(DMAV_Modell!P$6:P$838,$B11)))</f>
        <v/>
      </c>
      <c r="M11" s="62" t="str" cm="1">
        <f t="array" ref="M11">IF($B11=0,IF($E11=0,"",IF(INDEX(DMAV_Dienste!Q$6:Q$140,$E11)="","",INDEX(DMAV_Dienste!Q$6:Q$140,$E11))),IF(INDEX(DMAV_Modell!R$6:R$838,$B11)="","",INDEX(DMAV_Modell!R$6:R$838,$B11)))</f>
        <v>DMAV_Gebaeudeadressen_V1_1</v>
      </c>
      <c r="N11" s="62" t="str" cm="1">
        <f t="array" ref="N11">IF($B11=0,IF($E11=0,"",IF(INDEX(DMAV_Dienste!T$6:T$140,$E11)="","",INDEX(DMAV_Dienste!T$6:T$140,$E11))),IF(INDEX(DMAV_Modell!U$6:U$838,$B11)="","",INDEX(DMAV_Modell!U$6:U$838,$B11)))</f>
        <v/>
      </c>
      <c r="O11" s="63" t="str" cm="1">
        <f t="array" aca="1" ref="O11" ca="1">IF(C11=0,IF(F11=0,"",HYPERLINK("#"&amp;RIGHT(CELL("adresse",OFFSET(DMAV_Dienste!$M$6,F11-1,0)),LEN(CELL("adresse",OFFSET(DMAV_Dienste!$M$6,F11-1,0)))-FIND("]",CELL("adresse",OFFSET(DMAV_Dienste!$M$6,F11-1,0)))),"Structure")),HYPERLINK("#"&amp;RIGHT(CELL("adresse",OFFSET(DMAV_Modell!$N$6,C11-1,0)),LEN(CELL("adresse",OFFSET(DMAV_Modell!$N$6,C11-1,0)))-FIND("]",CELL("adresse",OFFSET(DMAV_Modell!$N$6,C11-1,0)))),"Structure"))</f>
        <v/>
      </c>
      <c r="P11" s="64" t="str" cm="1">
        <f t="array" aca="1" ref="P11" ca="1">IF(D11=0,IF(G11=0,"",HYPERLINK("#"&amp;RIGHT(CELL("adresse",OFFSET(DMAV_Dienste!$M$6,G11-1,0)),LEN(CELL("adresse",OFFSET(DMAV_Dienste!$M$6,G11-1,0)))-FIND("]",CELL("adresse",OFFSET(DMAV_Dienste!$M$6,G11-1,0)))),"Substructure")),HYPERLINK("#"&amp;RIGHT(CELL("adresse",OFFSET(DMAV_Modell!$N$6,D11-1,0)),LEN(CELL("adresse",OFFSET(DMAV_Modell!$N$6,D11-1,0)))-FIND("]",CELL("adresse",OFFSET(DMAV_Modell!$N$6,D11-1,0)))),"Substructure"))</f>
        <v/>
      </c>
      <c r="R11" s="80"/>
      <c r="T11" s="93"/>
      <c r="U11" s="94"/>
      <c r="V11" s="95"/>
      <c r="W11" s="96"/>
      <c r="Y11" s="85"/>
      <c r="Z11" s="86"/>
      <c r="AA11" s="87"/>
      <c r="AB11" s="88"/>
      <c r="AD11" s="77"/>
      <c r="AF11" s="54" t="str" cm="1">
        <f t="array" aca="1" ref="AF11" ca="1">IF(H11=0,"",HYPERLINK("#"&amp;RIGHT(CELL("adresse",OFFSET('DM01-AV-CH'!$G$6,H11-1,0)),LEN(CELL("adresse",OFFSET('DM01-AV-CH'!$G$6,H11-1,0)))-FIND("]",CELL("adresse",OFFSET('DM01-AV-CH'!$G$6,H11-1,0)))),"Modell"))</f>
        <v/>
      </c>
      <c r="AG11" s="72" t="str" cm="1">
        <f t="array" ref="AG11">IF($H11=0,"",IF(INDEX('DM01-AV-CH'!G$6:G$834,$H11)="","",INDEX('DM01-AV-CH'!G$6:G$834,$H11)))</f>
        <v/>
      </c>
      <c r="AH11" s="73" t="str" cm="1">
        <f t="array" ref="AH11">IF($H11=0,"",IF(INDEX('DM01-AV-CH'!H$6:H$834,$H11)="","",INDEX('DM01-AV-CH'!H$6:H$834,$H11)))</f>
        <v/>
      </c>
      <c r="AI11" s="74" t="str" cm="1">
        <f t="array" ref="AI11">IF($H11=0,"",IF(INDEX('DM01-AV-CH'!I$6:I$834,$H11)="","",INDEX('DM01-AV-CH'!I$6:I$834,$H11)))</f>
        <v/>
      </c>
    </row>
    <row r="12" spans="1:35" x14ac:dyDescent="0.25">
      <c r="A12" s="57">
        <v>7</v>
      </c>
      <c r="B12" s="57">
        <f>IF($A12="","",IF(_xlfn.XLOOKUP($A12,Korrelation!$D$4:$D$1197,Korrelation!E$4:E$1197,"-",0)="-",0,MATCH(_xlfn.XLOOKUP($A12,Korrelation!$D$4:$D$1197,Korrelation!E$4:E$1197,"",0),DMAV_Modell!$G$6:$G$677,0)))</f>
        <v>7</v>
      </c>
      <c r="C12" s="57">
        <f>IF($A12="","",IF(_xlfn.XLOOKUP($A12,Korrelation!$D$4:$D$1197,Korrelation!F$4:F$1197,"-",0)="-",0,MATCH(_xlfn.XLOOKUP($A12,Korrelation!$D$4:$D$1197,Korrelation!F$4:F$1197,"",0),DMAV_Modell!$G$6:$G$677,0)))</f>
        <v>0</v>
      </c>
      <c r="D12" s="57">
        <f>IF($A12="","",IF(_xlfn.XLOOKUP($A12,Korrelation!$D$4:$D$1197,Korrelation!G$4:G$1197,"-",0)="-",0,MATCH(_xlfn.XLOOKUP($A12,Korrelation!$D$4:$D$1197,Korrelation!G$4:G$1197,"",0),DMAV_Modell!$G$6:$G$677,0)))</f>
        <v>0</v>
      </c>
      <c r="E12" s="57">
        <f>IF($A12="","",IF(_xlfn.XLOOKUP($A12,Korrelation!$D$4:$D$1197,Korrelation!H$4:H$1197,"-",0)="-",0,MATCH(_xlfn.XLOOKUP($A12,Korrelation!$D$4:$D$1197,Korrelation!H$4:H$1197,"",0),DMAV_Dienste!$F$6:$F$140,0)))</f>
        <v>0</v>
      </c>
      <c r="F12" s="57">
        <f>IF($A12="","",IF(_xlfn.XLOOKUP($A12,Korrelation!$D$4:$D$1197,Korrelation!I$4:I$1197,"-",0)="-",0,MATCH(_xlfn.XLOOKUP($A12,Korrelation!$D$4:$D$1197,Korrelation!I$4:I$1197,"",0),DMAV_Dienste!$F$6:$F$140,0)))</f>
        <v>0</v>
      </c>
      <c r="G12" s="57">
        <f>IF($A12="","",IF(_xlfn.XLOOKUP($A12,Korrelation!$D$4:$D$1197,Korrelation!J$4:J$1197,"-",0)="-",0,MATCH(_xlfn.XLOOKUP($A12,Korrelation!$D$4:$D$1197,Korrelation!J$4:J$1197,"",0),DMAV_Dienste!$F$6:$F$140,0)))</f>
        <v>0</v>
      </c>
      <c r="H12" s="57">
        <f>IF($A12="","",IF(_xlfn.XLOOKUP($A12,Korrelation!$D$4:$D$1197,Korrelation!K$4:K$1197,"-",0)="-",0,MATCH(_xlfn.XLOOKUP($A12,Korrelation!$D$4:$D$1197,Korrelation!K$4:K$1197,"",0),'DM01-AV-CH'!$A$6:$A$834,0)))</f>
        <v>0</v>
      </c>
      <c r="J12" s="54" t="str" cm="1">
        <f t="array" aca="1" ref="J12" ca="1">IF(B12=0,IF(E12=0,"",HYPERLINK("#"&amp;RIGHT(CELL("adresse",OFFSET(DMAV_Dienste!$M$6,E12-1,0)),LEN(CELL("adresse",OFFSET(DMAV_Dienste!$M$6,E12-1,0)))-FIND("]",CELL("adresse",OFFSET(DMAV_Dienste!$M$6,E12-1,0)))),"Dienst")),HYPERLINK("#"&amp;RIGHT(CELL("adresse",OFFSET(DMAV_Modell!$N$6,B12-1,0)),LEN(CELL("adresse",OFFSET(DMAV_Modell!$N$6,B12-1,0)))-FIND("]",CELL("adresse",OFFSET(DMAV_Modell!$N$6,B12-1,0)))),"Modell"))</f>
        <v>Modell</v>
      </c>
      <c r="K12" s="61" t="str" cm="1">
        <f t="array" ref="K12">IF($B12=0,IF($E12=0,"",IF(INDEX(DMAV_Dienste!P$6:P$140,$E12)="","",INDEX(DMAV_Dienste!P$6:P$140,$E12))),IF(INDEX(DMAV_Modell!Q$6:Q$838,$B12)="","",INDEX(DMAV_Modell!Q$6:Q$838,$B12)))</f>
        <v>IMPORTS</v>
      </c>
      <c r="L12" s="62" t="str" cm="1">
        <f t="array" ref="L12">IF($B12=0,IF($E12=0,"",IF(INDEX(DMAV_Dienste!O$6:O$140,$E12)="","",INDEX(DMAV_Dienste!O$6:O$140,$E12))),IF(INDEX(DMAV_Modell!P$6:P$838,$B12)="","",INDEX(DMAV_Modell!P$6:P$838,$B12)))</f>
        <v/>
      </c>
      <c r="M12" s="62" t="str" cm="1">
        <f t="array" ref="M12">IF($B12=0,IF($E12=0,"",IF(INDEX(DMAV_Dienste!Q$6:Q$140,$E12)="","",INDEX(DMAV_Dienste!Q$6:Q$140,$E12))),IF(INDEX(DMAV_Modell!R$6:R$838,$B12)="","",INDEX(DMAV_Modell!R$6:R$838,$B12)))</f>
        <v>DMAV_Grundstuecke_V1_1</v>
      </c>
      <c r="N12" s="62" t="str" cm="1">
        <f t="array" ref="N12">IF($B12=0,IF($E12=0,"",IF(INDEX(DMAV_Dienste!T$6:T$140,$E12)="","",INDEX(DMAV_Dienste!T$6:T$140,$E12))),IF(INDEX(DMAV_Modell!U$6:U$838,$B12)="","",INDEX(DMAV_Modell!U$6:U$838,$B12)))</f>
        <v/>
      </c>
      <c r="O12" s="63" t="str" cm="1">
        <f t="array" aca="1" ref="O12" ca="1">IF(C12=0,IF(F12=0,"",HYPERLINK("#"&amp;RIGHT(CELL("adresse",OFFSET(DMAV_Dienste!$M$6,F12-1,0)),LEN(CELL("adresse",OFFSET(DMAV_Dienste!$M$6,F12-1,0)))-FIND("]",CELL("adresse",OFFSET(DMAV_Dienste!$M$6,F12-1,0)))),"Structure")),HYPERLINK("#"&amp;RIGHT(CELL("adresse",OFFSET(DMAV_Modell!$N$6,C12-1,0)),LEN(CELL("adresse",OFFSET(DMAV_Modell!$N$6,C12-1,0)))-FIND("]",CELL("adresse",OFFSET(DMAV_Modell!$N$6,C12-1,0)))),"Structure"))</f>
        <v/>
      </c>
      <c r="P12" s="64" t="str" cm="1">
        <f t="array" aca="1" ref="P12" ca="1">IF(D12=0,IF(G12=0,"",HYPERLINK("#"&amp;RIGHT(CELL("adresse",OFFSET(DMAV_Dienste!$M$6,G12-1,0)),LEN(CELL("adresse",OFFSET(DMAV_Dienste!$M$6,G12-1,0)))-FIND("]",CELL("adresse",OFFSET(DMAV_Dienste!$M$6,G12-1,0)))),"Substructure")),HYPERLINK("#"&amp;RIGHT(CELL("adresse",OFFSET(DMAV_Modell!$N$6,D12-1,0)),LEN(CELL("adresse",OFFSET(DMAV_Modell!$N$6,D12-1,0)))-FIND("]",CELL("adresse",OFFSET(DMAV_Modell!$N$6,D12-1,0)))),"Substructure"))</f>
        <v/>
      </c>
      <c r="R12" s="80"/>
      <c r="T12" s="93"/>
      <c r="U12" s="94"/>
      <c r="V12" s="95"/>
      <c r="W12" s="96"/>
      <c r="Y12" s="85"/>
      <c r="Z12" s="86"/>
      <c r="AA12" s="87"/>
      <c r="AB12" s="88"/>
      <c r="AD12" s="77"/>
      <c r="AF12" s="54" t="str" cm="1">
        <f t="array" aca="1" ref="AF12" ca="1">IF(H12=0,"",HYPERLINK("#"&amp;RIGHT(CELL("adresse",OFFSET('DM01-AV-CH'!$G$6,H12-1,0)),LEN(CELL("adresse",OFFSET('DM01-AV-CH'!$G$6,H12-1,0)))-FIND("]",CELL("adresse",OFFSET('DM01-AV-CH'!$G$6,H12-1,0)))),"Modell"))</f>
        <v/>
      </c>
      <c r="AG12" s="72" t="str" cm="1">
        <f t="array" ref="AG12">IF($H12=0,"",IF(INDEX('DM01-AV-CH'!G$6:G$834,$H12)="","",INDEX('DM01-AV-CH'!G$6:G$834,$H12)))</f>
        <v/>
      </c>
      <c r="AH12" s="73" t="str" cm="1">
        <f t="array" ref="AH12">IF($H12=0,"",IF(INDEX('DM01-AV-CH'!H$6:H$834,$H12)="","",INDEX('DM01-AV-CH'!H$6:H$834,$H12)))</f>
        <v/>
      </c>
      <c r="AI12" s="74" t="str" cm="1">
        <f t="array" ref="AI12">IF($H12=0,"",IF(INDEX('DM01-AV-CH'!I$6:I$834,$H12)="","",INDEX('DM01-AV-CH'!I$6:I$834,$H12)))</f>
        <v/>
      </c>
    </row>
    <row r="13" spans="1:35" x14ac:dyDescent="0.25">
      <c r="A13" s="57">
        <v>8</v>
      </c>
      <c r="B13" s="57">
        <f>IF($A13="","",IF(_xlfn.XLOOKUP($A13,Korrelation!$D$4:$D$1197,Korrelation!E$4:E$1197,"-",0)="-",0,MATCH(_xlfn.XLOOKUP($A13,Korrelation!$D$4:$D$1197,Korrelation!E$4:E$1197,"",0),DMAV_Modell!$G$6:$G$677,0)))</f>
        <v>8</v>
      </c>
      <c r="C13" s="57">
        <f>IF($A13="","",IF(_xlfn.XLOOKUP($A13,Korrelation!$D$4:$D$1197,Korrelation!F$4:F$1197,"-",0)="-",0,MATCH(_xlfn.XLOOKUP($A13,Korrelation!$D$4:$D$1197,Korrelation!F$4:F$1197,"",0),DMAV_Modell!$G$6:$G$677,0)))</f>
        <v>0</v>
      </c>
      <c r="D13" s="57">
        <f>IF($A13="","",IF(_xlfn.XLOOKUP($A13,Korrelation!$D$4:$D$1197,Korrelation!G$4:G$1197,"-",0)="-",0,MATCH(_xlfn.XLOOKUP($A13,Korrelation!$D$4:$D$1197,Korrelation!G$4:G$1197,"",0),DMAV_Modell!$G$6:$G$677,0)))</f>
        <v>0</v>
      </c>
      <c r="E13" s="57">
        <f>IF($A13="","",IF(_xlfn.XLOOKUP($A13,Korrelation!$D$4:$D$1197,Korrelation!H$4:H$1197,"-",0)="-",0,MATCH(_xlfn.XLOOKUP($A13,Korrelation!$D$4:$D$1197,Korrelation!H$4:H$1197,"",0),DMAV_Dienste!$F$6:$F$140,0)))</f>
        <v>0</v>
      </c>
      <c r="F13" s="57">
        <f>IF($A13="","",IF(_xlfn.XLOOKUP($A13,Korrelation!$D$4:$D$1197,Korrelation!I$4:I$1197,"-",0)="-",0,MATCH(_xlfn.XLOOKUP($A13,Korrelation!$D$4:$D$1197,Korrelation!I$4:I$1197,"",0),DMAV_Dienste!$F$6:$F$140,0)))</f>
        <v>0</v>
      </c>
      <c r="G13" s="57">
        <f>IF($A13="","",IF(_xlfn.XLOOKUP($A13,Korrelation!$D$4:$D$1197,Korrelation!J$4:J$1197,"-",0)="-",0,MATCH(_xlfn.XLOOKUP($A13,Korrelation!$D$4:$D$1197,Korrelation!J$4:J$1197,"",0),DMAV_Dienste!$F$6:$F$140,0)))</f>
        <v>0</v>
      </c>
      <c r="H13" s="57">
        <f>IF($A13="","",IF(_xlfn.XLOOKUP($A13,Korrelation!$D$4:$D$1197,Korrelation!K$4:K$1197,"-",0)="-",0,MATCH(_xlfn.XLOOKUP($A13,Korrelation!$D$4:$D$1197,Korrelation!K$4:K$1197,"",0),'DM01-AV-CH'!$A$6:$A$834,0)))</f>
        <v>0</v>
      </c>
      <c r="J13" s="54" t="str" cm="1">
        <f t="array" aca="1" ref="J13" ca="1">IF(B13=0,IF(E13=0,"",HYPERLINK("#"&amp;RIGHT(CELL("adresse",OFFSET(DMAV_Dienste!$M$6,E13-1,0)),LEN(CELL("adresse",OFFSET(DMAV_Dienste!$M$6,E13-1,0)))-FIND("]",CELL("adresse",OFFSET(DMAV_Dienste!$M$6,E13-1,0)))),"Dienst")),HYPERLINK("#"&amp;RIGHT(CELL("adresse",OFFSET(DMAV_Modell!$N$6,B13-1,0)),LEN(CELL("adresse",OFFSET(DMAV_Modell!$N$6,B13-1,0)))-FIND("]",CELL("adresse",OFFSET(DMAV_Modell!$N$6,B13-1,0)))),"Modell"))</f>
        <v>Modell</v>
      </c>
      <c r="K13" s="61" t="str" cm="1">
        <f t="array" ref="K13">IF($B13=0,IF($E13=0,"",IF(INDEX(DMAV_Dienste!P$6:P$140,$E13)="","",INDEX(DMAV_Dienste!P$6:P$140,$E13))),IF(INDEX(DMAV_Modell!Q$6:Q$838,$B13)="","",INDEX(DMAV_Modell!Q$6:Q$838,$B13)))</f>
        <v>IMPORTS</v>
      </c>
      <c r="L13" s="62" t="str" cm="1">
        <f t="array" ref="L13">IF($B13=0,IF($E13=0,"",IF(INDEX(DMAV_Dienste!O$6:O$140,$E13)="","",INDEX(DMAV_Dienste!O$6:O$140,$E13))),IF(INDEX(DMAV_Modell!P$6:P$838,$B13)="","",INDEX(DMAV_Modell!P$6:P$838,$B13)))</f>
        <v/>
      </c>
      <c r="M13" s="62" t="str" cm="1">
        <f t="array" ref="M13">IF($B13=0,IF($E13=0,"",IF(INDEX(DMAV_Dienste!Q$6:Q$140,$E13)="","",INDEX(DMAV_Dienste!Q$6:Q$140,$E13))),IF(INDEX(DMAV_Modell!R$6:R$838,$B13)="","",INDEX(DMAV_Modell!R$6:R$838,$B13)))</f>
        <v>DMAV_HoheitsgrenzenAV_V1_0</v>
      </c>
      <c r="N13" s="62" t="str" cm="1">
        <f t="array" ref="N13">IF($B13=0,IF($E13=0,"",IF(INDEX(DMAV_Dienste!T$6:T$140,$E13)="","",INDEX(DMAV_Dienste!T$6:T$140,$E13))),IF(INDEX(DMAV_Modell!U$6:U$838,$B13)="","",INDEX(DMAV_Modell!U$6:U$838,$B13)))</f>
        <v/>
      </c>
      <c r="O13" s="63" t="str" cm="1">
        <f t="array" aca="1" ref="O13" ca="1">IF(C13=0,IF(F13=0,"",HYPERLINK("#"&amp;RIGHT(CELL("adresse",OFFSET(DMAV_Dienste!$M$6,F13-1,0)),LEN(CELL("adresse",OFFSET(DMAV_Dienste!$M$6,F13-1,0)))-FIND("]",CELL("adresse",OFFSET(DMAV_Dienste!$M$6,F13-1,0)))),"Structure")),HYPERLINK("#"&amp;RIGHT(CELL("adresse",OFFSET(DMAV_Modell!$N$6,C13-1,0)),LEN(CELL("adresse",OFFSET(DMAV_Modell!$N$6,C13-1,0)))-FIND("]",CELL("adresse",OFFSET(DMAV_Modell!$N$6,C13-1,0)))),"Structure"))</f>
        <v/>
      </c>
      <c r="P13" s="64" t="str" cm="1">
        <f t="array" aca="1" ref="P13" ca="1">IF(D13=0,IF(G13=0,"",HYPERLINK("#"&amp;RIGHT(CELL("adresse",OFFSET(DMAV_Dienste!$M$6,G13-1,0)),LEN(CELL("adresse",OFFSET(DMAV_Dienste!$M$6,G13-1,0)))-FIND("]",CELL("adresse",OFFSET(DMAV_Dienste!$M$6,G13-1,0)))),"Substructure")),HYPERLINK("#"&amp;RIGHT(CELL("adresse",OFFSET(DMAV_Modell!$N$6,D13-1,0)),LEN(CELL("adresse",OFFSET(DMAV_Modell!$N$6,D13-1,0)))-FIND("]",CELL("adresse",OFFSET(DMAV_Modell!$N$6,D13-1,0)))),"Substructure"))</f>
        <v/>
      </c>
      <c r="R13" s="80"/>
      <c r="T13" s="93"/>
      <c r="U13" s="94"/>
      <c r="V13" s="95"/>
      <c r="W13" s="96"/>
      <c r="Y13" s="85"/>
      <c r="Z13" s="86"/>
      <c r="AA13" s="87"/>
      <c r="AB13" s="88"/>
      <c r="AD13" s="77"/>
      <c r="AF13" s="54" t="str" cm="1">
        <f t="array" aca="1" ref="AF13" ca="1">IF(H13=0,"",HYPERLINK("#"&amp;RIGHT(CELL("adresse",OFFSET('DM01-AV-CH'!$G$6,H13-1,0)),LEN(CELL("adresse",OFFSET('DM01-AV-CH'!$G$6,H13-1,0)))-FIND("]",CELL("adresse",OFFSET('DM01-AV-CH'!$G$6,H13-1,0)))),"Modell"))</f>
        <v/>
      </c>
      <c r="AG13" s="72" t="str" cm="1">
        <f t="array" ref="AG13">IF($H13=0,"",IF(INDEX('DM01-AV-CH'!G$6:G$834,$H13)="","",INDEX('DM01-AV-CH'!G$6:G$834,$H13)))</f>
        <v/>
      </c>
      <c r="AH13" s="73" t="str" cm="1">
        <f t="array" ref="AH13">IF($H13=0,"",IF(INDEX('DM01-AV-CH'!H$6:H$834,$H13)="","",INDEX('DM01-AV-CH'!H$6:H$834,$H13)))</f>
        <v/>
      </c>
      <c r="AI13" s="74" t="str" cm="1">
        <f t="array" ref="AI13">IF($H13=0,"",IF(INDEX('DM01-AV-CH'!I$6:I$834,$H13)="","",INDEX('DM01-AV-CH'!I$6:I$834,$H13)))</f>
        <v/>
      </c>
    </row>
    <row r="14" spans="1:35" x14ac:dyDescent="0.25">
      <c r="A14" s="57">
        <v>9</v>
      </c>
      <c r="B14" s="57">
        <f>IF($A14="","",IF(_xlfn.XLOOKUP($A14,Korrelation!$D$4:$D$1197,Korrelation!E$4:E$1197,"-",0)="-",0,MATCH(_xlfn.XLOOKUP($A14,Korrelation!$D$4:$D$1197,Korrelation!E$4:E$1197,"",0),DMAV_Modell!$G$6:$G$677,0)))</f>
        <v>9</v>
      </c>
      <c r="C14" s="57">
        <f>IF($A14="","",IF(_xlfn.XLOOKUP($A14,Korrelation!$D$4:$D$1197,Korrelation!F$4:F$1197,"-",0)="-",0,MATCH(_xlfn.XLOOKUP($A14,Korrelation!$D$4:$D$1197,Korrelation!F$4:F$1197,"",0),DMAV_Modell!$G$6:$G$677,0)))</f>
        <v>0</v>
      </c>
      <c r="D14" s="57">
        <f>IF($A14="","",IF(_xlfn.XLOOKUP($A14,Korrelation!$D$4:$D$1197,Korrelation!G$4:G$1197,"-",0)="-",0,MATCH(_xlfn.XLOOKUP($A14,Korrelation!$D$4:$D$1197,Korrelation!G$4:G$1197,"",0),DMAV_Modell!$G$6:$G$677,0)))</f>
        <v>0</v>
      </c>
      <c r="E14" s="57">
        <f>IF($A14="","",IF(_xlfn.XLOOKUP($A14,Korrelation!$D$4:$D$1197,Korrelation!H$4:H$1197,"-",0)="-",0,MATCH(_xlfn.XLOOKUP($A14,Korrelation!$D$4:$D$1197,Korrelation!H$4:H$1197,"",0),DMAV_Dienste!$F$6:$F$140,0)))</f>
        <v>0</v>
      </c>
      <c r="F14" s="57">
        <f>IF($A14="","",IF(_xlfn.XLOOKUP($A14,Korrelation!$D$4:$D$1197,Korrelation!I$4:I$1197,"-",0)="-",0,MATCH(_xlfn.XLOOKUP($A14,Korrelation!$D$4:$D$1197,Korrelation!I$4:I$1197,"",0),DMAV_Dienste!$F$6:$F$140,0)))</f>
        <v>0</v>
      </c>
      <c r="G14" s="57">
        <f>IF($A14="","",IF(_xlfn.XLOOKUP($A14,Korrelation!$D$4:$D$1197,Korrelation!J$4:J$1197,"-",0)="-",0,MATCH(_xlfn.XLOOKUP($A14,Korrelation!$D$4:$D$1197,Korrelation!J$4:J$1197,"",0),DMAV_Dienste!$F$6:$F$140,0)))</f>
        <v>0</v>
      </c>
      <c r="H14" s="57">
        <f>IF($A14="","",IF(_xlfn.XLOOKUP($A14,Korrelation!$D$4:$D$1197,Korrelation!K$4:K$1197,"-",0)="-",0,MATCH(_xlfn.XLOOKUP($A14,Korrelation!$D$4:$D$1197,Korrelation!K$4:K$1197,"",0),'DM01-AV-CH'!$A$6:$A$834,0)))</f>
        <v>0</v>
      </c>
      <c r="J14" s="54" t="str" cm="1">
        <f t="array" aca="1" ref="J14" ca="1">IF(B14=0,IF(E14=0,"",HYPERLINK("#"&amp;RIGHT(CELL("adresse",OFFSET(DMAV_Dienste!$M$6,E14-1,0)),LEN(CELL("adresse",OFFSET(DMAV_Dienste!$M$6,E14-1,0)))-FIND("]",CELL("adresse",OFFSET(DMAV_Dienste!$M$6,E14-1,0)))),"Dienst")),HYPERLINK("#"&amp;RIGHT(CELL("adresse",OFFSET(DMAV_Modell!$N$6,B14-1,0)),LEN(CELL("adresse",OFFSET(DMAV_Modell!$N$6,B14-1,0)))-FIND("]",CELL("adresse",OFFSET(DMAV_Modell!$N$6,B14-1,0)))),"Modell"))</f>
        <v>Modell</v>
      </c>
      <c r="K14" s="61" t="str" cm="1">
        <f t="array" ref="K14">IF($B14=0,IF($E14=0,"",IF(INDEX(DMAV_Dienste!P$6:P$140,$E14)="","",INDEX(DMAV_Dienste!P$6:P$140,$E14))),IF(INDEX(DMAV_Modell!Q$6:Q$838,$B14)="","",INDEX(DMAV_Modell!Q$6:Q$838,$B14)))</f>
        <v>IMPORTS</v>
      </c>
      <c r="L14" s="62" t="str" cm="1">
        <f t="array" ref="L14">IF($B14=0,IF($E14=0,"",IF(INDEX(DMAV_Dienste!O$6:O$140,$E14)="","",INDEX(DMAV_Dienste!O$6:O$140,$E14))),IF(INDEX(DMAV_Modell!P$6:P$838,$B14)="","",INDEX(DMAV_Modell!P$6:P$838,$B14)))</f>
        <v/>
      </c>
      <c r="M14" s="62" t="str" cm="1">
        <f t="array" ref="M14">IF($B14=0,IF($E14=0,"",IF(INDEX(DMAV_Dienste!Q$6:Q$140,$E14)="","",INDEX(DMAV_Dienste!Q$6:Q$140,$E14))),IF(INDEX(DMAV_Modell!R$6:R$838,$B14)="","",INDEX(DMAV_Modell!R$6:R$838,$B14)))</f>
        <v>DMAV_Nomenklatur_V1_1</v>
      </c>
      <c r="N14" s="62" t="str" cm="1">
        <f t="array" ref="N14">IF($B14=0,IF($E14=0,"",IF(INDEX(DMAV_Dienste!T$6:T$140,$E14)="","",INDEX(DMAV_Dienste!T$6:T$140,$E14))),IF(INDEX(DMAV_Modell!U$6:U$838,$B14)="","",INDEX(DMAV_Modell!U$6:U$838,$B14)))</f>
        <v/>
      </c>
      <c r="O14" s="63" t="str" cm="1">
        <f t="array" aca="1" ref="O14" ca="1">IF(C14=0,IF(F14=0,"",HYPERLINK("#"&amp;RIGHT(CELL("adresse",OFFSET(DMAV_Dienste!$M$6,F14-1,0)),LEN(CELL("adresse",OFFSET(DMAV_Dienste!$M$6,F14-1,0)))-FIND("]",CELL("adresse",OFFSET(DMAV_Dienste!$M$6,F14-1,0)))),"Structure")),HYPERLINK("#"&amp;RIGHT(CELL("adresse",OFFSET(DMAV_Modell!$N$6,C14-1,0)),LEN(CELL("adresse",OFFSET(DMAV_Modell!$N$6,C14-1,0)))-FIND("]",CELL("adresse",OFFSET(DMAV_Modell!$N$6,C14-1,0)))),"Structure"))</f>
        <v/>
      </c>
      <c r="P14" s="64" t="str" cm="1">
        <f t="array" aca="1" ref="P14" ca="1">IF(D14=0,IF(G14=0,"",HYPERLINK("#"&amp;RIGHT(CELL("adresse",OFFSET(DMAV_Dienste!$M$6,G14-1,0)),LEN(CELL("adresse",OFFSET(DMAV_Dienste!$M$6,G14-1,0)))-FIND("]",CELL("adresse",OFFSET(DMAV_Dienste!$M$6,G14-1,0)))),"Substructure")),HYPERLINK("#"&amp;RIGHT(CELL("adresse",OFFSET(DMAV_Modell!$N$6,D14-1,0)),LEN(CELL("adresse",OFFSET(DMAV_Modell!$N$6,D14-1,0)))-FIND("]",CELL("adresse",OFFSET(DMAV_Modell!$N$6,D14-1,0)))),"Substructure"))</f>
        <v/>
      </c>
      <c r="R14" s="80"/>
      <c r="T14" s="93"/>
      <c r="U14" s="94"/>
      <c r="V14" s="95"/>
      <c r="W14" s="96"/>
      <c r="Y14" s="85"/>
      <c r="Z14" s="86"/>
      <c r="AA14" s="87"/>
      <c r="AB14" s="88"/>
      <c r="AD14" s="77"/>
      <c r="AF14" s="54" t="str" cm="1">
        <f t="array" aca="1" ref="AF14" ca="1">IF(H14=0,"",HYPERLINK("#"&amp;RIGHT(CELL("adresse",OFFSET('DM01-AV-CH'!$G$6,H14-1,0)),LEN(CELL("adresse",OFFSET('DM01-AV-CH'!$G$6,H14-1,0)))-FIND("]",CELL("adresse",OFFSET('DM01-AV-CH'!$G$6,H14-1,0)))),"Modell"))</f>
        <v/>
      </c>
      <c r="AG14" s="72" t="str" cm="1">
        <f t="array" ref="AG14">IF($H14=0,"",IF(INDEX('DM01-AV-CH'!G$6:G$834,$H14)="","",INDEX('DM01-AV-CH'!G$6:G$834,$H14)))</f>
        <v/>
      </c>
      <c r="AH14" s="73" t="str" cm="1">
        <f t="array" ref="AH14">IF($H14=0,"",IF(INDEX('DM01-AV-CH'!H$6:H$834,$H14)="","",INDEX('DM01-AV-CH'!H$6:H$834,$H14)))</f>
        <v/>
      </c>
      <c r="AI14" s="74" t="str" cm="1">
        <f t="array" ref="AI14">IF($H14=0,"",IF(INDEX('DM01-AV-CH'!I$6:I$834,$H14)="","",INDEX('DM01-AV-CH'!I$6:I$834,$H14)))</f>
        <v/>
      </c>
    </row>
    <row r="15" spans="1:35" x14ac:dyDescent="0.25">
      <c r="A15" s="57">
        <v>10</v>
      </c>
      <c r="B15" s="57">
        <f>IF($A15="","",IF(_xlfn.XLOOKUP($A15,Korrelation!$D$4:$D$1197,Korrelation!E$4:E$1197,"-",0)="-",0,MATCH(_xlfn.XLOOKUP($A15,Korrelation!$D$4:$D$1197,Korrelation!E$4:E$1197,"",0),DMAV_Modell!$G$6:$G$677,0)))</f>
        <v>10</v>
      </c>
      <c r="C15" s="57">
        <f>IF($A15="","",IF(_xlfn.XLOOKUP($A15,Korrelation!$D$4:$D$1197,Korrelation!F$4:F$1197,"-",0)="-",0,MATCH(_xlfn.XLOOKUP($A15,Korrelation!$D$4:$D$1197,Korrelation!F$4:F$1197,"",0),DMAV_Modell!$G$6:$G$677,0)))</f>
        <v>0</v>
      </c>
      <c r="D15" s="57">
        <f>IF($A15="","",IF(_xlfn.XLOOKUP($A15,Korrelation!$D$4:$D$1197,Korrelation!G$4:G$1197,"-",0)="-",0,MATCH(_xlfn.XLOOKUP($A15,Korrelation!$D$4:$D$1197,Korrelation!G$4:G$1197,"",0),DMAV_Modell!$G$6:$G$677,0)))</f>
        <v>0</v>
      </c>
      <c r="E15" s="57">
        <f>IF($A15="","",IF(_xlfn.XLOOKUP($A15,Korrelation!$D$4:$D$1197,Korrelation!H$4:H$1197,"-",0)="-",0,MATCH(_xlfn.XLOOKUP($A15,Korrelation!$D$4:$D$1197,Korrelation!H$4:H$1197,"",0),DMAV_Dienste!$F$6:$F$140,0)))</f>
        <v>0</v>
      </c>
      <c r="F15" s="57">
        <f>IF($A15="","",IF(_xlfn.XLOOKUP($A15,Korrelation!$D$4:$D$1197,Korrelation!I$4:I$1197,"-",0)="-",0,MATCH(_xlfn.XLOOKUP($A15,Korrelation!$D$4:$D$1197,Korrelation!I$4:I$1197,"",0),DMAV_Dienste!$F$6:$F$140,0)))</f>
        <v>0</v>
      </c>
      <c r="G15" s="57">
        <f>IF($A15="","",IF(_xlfn.XLOOKUP($A15,Korrelation!$D$4:$D$1197,Korrelation!J$4:J$1197,"-",0)="-",0,MATCH(_xlfn.XLOOKUP($A15,Korrelation!$D$4:$D$1197,Korrelation!J$4:J$1197,"",0),DMAV_Dienste!$F$6:$F$140,0)))</f>
        <v>0</v>
      </c>
      <c r="H15" s="57">
        <f>IF($A15="","",IF(_xlfn.XLOOKUP($A15,Korrelation!$D$4:$D$1197,Korrelation!K$4:K$1197,"-",0)="-",0,MATCH(_xlfn.XLOOKUP($A15,Korrelation!$D$4:$D$1197,Korrelation!K$4:K$1197,"",0),'DM01-AV-CH'!$A$6:$A$834,0)))</f>
        <v>0</v>
      </c>
      <c r="J15" s="54" t="str" cm="1">
        <f t="array" aca="1" ref="J15" ca="1">IF(B15=0,IF(E15=0,"",HYPERLINK("#"&amp;RIGHT(CELL("adresse",OFFSET(DMAV_Dienste!$M$6,E15-1,0)),LEN(CELL("adresse",OFFSET(DMAV_Dienste!$M$6,E15-1,0)))-FIND("]",CELL("adresse",OFFSET(DMAV_Dienste!$M$6,E15-1,0)))),"Dienst")),HYPERLINK("#"&amp;RIGHT(CELL("adresse",OFFSET(DMAV_Modell!$N$6,B15-1,0)),LEN(CELL("adresse",OFFSET(DMAV_Modell!$N$6,B15-1,0)))-FIND("]",CELL("adresse",OFFSET(DMAV_Modell!$N$6,B15-1,0)))),"Modell"))</f>
        <v>Modell</v>
      </c>
      <c r="K15" s="61" t="str" cm="1">
        <f t="array" ref="K15">IF($B15=0,IF($E15=0,"",IF(INDEX(DMAV_Dienste!P$6:P$140,$E15)="","",INDEX(DMAV_Dienste!P$6:P$140,$E15))),IF(INDEX(DMAV_Modell!Q$6:Q$838,$B15)="","",INDEX(DMAV_Modell!Q$6:Q$838,$B15)))</f>
        <v>IMPORTS</v>
      </c>
      <c r="L15" s="62" t="str" cm="1">
        <f t="array" ref="L15">IF($B15=0,IF($E15=0,"",IF(INDEX(DMAV_Dienste!O$6:O$140,$E15)="","",INDEX(DMAV_Dienste!O$6:O$140,$E15))),IF(INDEX(DMAV_Modell!P$6:P$838,$B15)="","",INDEX(DMAV_Modell!P$6:P$838,$B15)))</f>
        <v/>
      </c>
      <c r="M15" s="62" t="str" cm="1">
        <f t="array" ref="M15">IF($B15=0,IF($E15=0,"",IF(INDEX(DMAV_Dienste!Q$6:Q$140,$E15)="","",INDEX(DMAV_Dienste!Q$6:Q$140,$E15))),IF(INDEX(DMAV_Modell!R$6:R$838,$B15)="","",INDEX(DMAV_Modell!R$6:R$838,$B15)))</f>
        <v>DMAV_Rohrleitungen_V1_1</v>
      </c>
      <c r="N15" s="62" t="str" cm="1">
        <f t="array" ref="N15">IF($B15=0,IF($E15=0,"",IF(INDEX(DMAV_Dienste!T$6:T$140,$E15)="","",INDEX(DMAV_Dienste!T$6:T$140,$E15))),IF(INDEX(DMAV_Modell!U$6:U$838,$B15)="","",INDEX(DMAV_Modell!U$6:U$838,$B15)))</f>
        <v/>
      </c>
      <c r="O15" s="63" t="str" cm="1">
        <f t="array" aca="1" ref="O15" ca="1">IF(C15=0,IF(F15=0,"",HYPERLINK("#"&amp;RIGHT(CELL("adresse",OFFSET(DMAV_Dienste!$M$6,F15-1,0)),LEN(CELL("adresse",OFFSET(DMAV_Dienste!$M$6,F15-1,0)))-FIND("]",CELL("adresse",OFFSET(DMAV_Dienste!$M$6,F15-1,0)))),"Structure")),HYPERLINK("#"&amp;RIGHT(CELL("adresse",OFFSET(DMAV_Modell!$N$6,C15-1,0)),LEN(CELL("adresse",OFFSET(DMAV_Modell!$N$6,C15-1,0)))-FIND("]",CELL("adresse",OFFSET(DMAV_Modell!$N$6,C15-1,0)))),"Structure"))</f>
        <v/>
      </c>
      <c r="P15" s="64" t="str" cm="1">
        <f t="array" aca="1" ref="P15" ca="1">IF(D15=0,IF(G15=0,"",HYPERLINK("#"&amp;RIGHT(CELL("adresse",OFFSET(DMAV_Dienste!$M$6,G15-1,0)),LEN(CELL("adresse",OFFSET(DMAV_Dienste!$M$6,G15-1,0)))-FIND("]",CELL("adresse",OFFSET(DMAV_Dienste!$M$6,G15-1,0)))),"Substructure")),HYPERLINK("#"&amp;RIGHT(CELL("adresse",OFFSET(DMAV_Modell!$N$6,D15-1,0)),LEN(CELL("adresse",OFFSET(DMAV_Modell!$N$6,D15-1,0)))-FIND("]",CELL("adresse",OFFSET(DMAV_Modell!$N$6,D15-1,0)))),"Substructure"))</f>
        <v/>
      </c>
      <c r="R15" s="80"/>
      <c r="T15" s="93"/>
      <c r="U15" s="94"/>
      <c r="V15" s="95"/>
      <c r="W15" s="96"/>
      <c r="Y15" s="85"/>
      <c r="Z15" s="86"/>
      <c r="AA15" s="87"/>
      <c r="AB15" s="88"/>
      <c r="AD15" s="77"/>
      <c r="AF15" s="54" t="str" cm="1">
        <f t="array" aca="1" ref="AF15" ca="1">IF(H15=0,"",HYPERLINK("#"&amp;RIGHT(CELL("adresse",OFFSET('DM01-AV-CH'!$G$6,H15-1,0)),LEN(CELL("adresse",OFFSET('DM01-AV-CH'!$G$6,H15-1,0)))-FIND("]",CELL("adresse",OFFSET('DM01-AV-CH'!$G$6,H15-1,0)))),"Modell"))</f>
        <v/>
      </c>
      <c r="AG15" s="72" t="str" cm="1">
        <f t="array" ref="AG15">IF($H15=0,"",IF(INDEX('DM01-AV-CH'!G$6:G$834,$H15)="","",INDEX('DM01-AV-CH'!G$6:G$834,$H15)))</f>
        <v/>
      </c>
      <c r="AH15" s="73" t="str" cm="1">
        <f t="array" ref="AH15">IF($H15=0,"",IF(INDEX('DM01-AV-CH'!H$6:H$834,$H15)="","",INDEX('DM01-AV-CH'!H$6:H$834,$H15)))</f>
        <v/>
      </c>
      <c r="AI15" s="74" t="str" cm="1">
        <f t="array" ref="AI15">IF($H15=0,"",IF(INDEX('DM01-AV-CH'!I$6:I$834,$H15)="","",INDEX('DM01-AV-CH'!I$6:I$834,$H15)))</f>
        <v/>
      </c>
    </row>
    <row r="16" spans="1:35" x14ac:dyDescent="0.25">
      <c r="A16" s="57">
        <v>11</v>
      </c>
      <c r="B16" s="57">
        <f>IF($A16="","",IF(_xlfn.XLOOKUP($A16,Korrelation!$D$4:$D$1197,Korrelation!E$4:E$1197,"-",0)="-",0,MATCH(_xlfn.XLOOKUP($A16,Korrelation!$D$4:$D$1197,Korrelation!E$4:E$1197,"",0),DMAV_Modell!$G$6:$G$677,0)))</f>
        <v>11</v>
      </c>
      <c r="C16" s="57">
        <f>IF($A16="","",IF(_xlfn.XLOOKUP($A16,Korrelation!$D$4:$D$1197,Korrelation!F$4:F$1197,"-",0)="-",0,MATCH(_xlfn.XLOOKUP($A16,Korrelation!$D$4:$D$1197,Korrelation!F$4:F$1197,"",0),DMAV_Modell!$G$6:$G$677,0)))</f>
        <v>0</v>
      </c>
      <c r="D16" s="57">
        <f>IF($A16="","",IF(_xlfn.XLOOKUP($A16,Korrelation!$D$4:$D$1197,Korrelation!G$4:G$1197,"-",0)="-",0,MATCH(_xlfn.XLOOKUP($A16,Korrelation!$D$4:$D$1197,Korrelation!G$4:G$1197,"",0),DMAV_Modell!$G$6:$G$677,0)))</f>
        <v>0</v>
      </c>
      <c r="E16" s="57">
        <f>IF($A16="","",IF(_xlfn.XLOOKUP($A16,Korrelation!$D$4:$D$1197,Korrelation!H$4:H$1197,"-",0)="-",0,MATCH(_xlfn.XLOOKUP($A16,Korrelation!$D$4:$D$1197,Korrelation!H$4:H$1197,"",0),DMAV_Dienste!$F$6:$F$140,0)))</f>
        <v>0</v>
      </c>
      <c r="F16" s="57">
        <f>IF($A16="","",IF(_xlfn.XLOOKUP($A16,Korrelation!$D$4:$D$1197,Korrelation!I$4:I$1197,"-",0)="-",0,MATCH(_xlfn.XLOOKUP($A16,Korrelation!$D$4:$D$1197,Korrelation!I$4:I$1197,"",0),DMAV_Dienste!$F$6:$F$140,0)))</f>
        <v>0</v>
      </c>
      <c r="G16" s="57">
        <f>IF($A16="","",IF(_xlfn.XLOOKUP($A16,Korrelation!$D$4:$D$1197,Korrelation!J$4:J$1197,"-",0)="-",0,MATCH(_xlfn.XLOOKUP($A16,Korrelation!$D$4:$D$1197,Korrelation!J$4:J$1197,"",0),DMAV_Dienste!$F$6:$F$140,0)))</f>
        <v>0</v>
      </c>
      <c r="H16" s="57">
        <f>IF($A16="","",IF(_xlfn.XLOOKUP($A16,Korrelation!$D$4:$D$1197,Korrelation!K$4:K$1197,"-",0)="-",0,MATCH(_xlfn.XLOOKUP($A16,Korrelation!$D$4:$D$1197,Korrelation!K$4:K$1197,"",0),'DM01-AV-CH'!$A$6:$A$834,0)))</f>
        <v>0</v>
      </c>
      <c r="J16" s="54" t="str" cm="1">
        <f t="array" aca="1" ref="J16" ca="1">IF(B16=0,IF(E16=0,"",HYPERLINK("#"&amp;RIGHT(CELL("adresse",OFFSET(DMAV_Dienste!$M$6,E16-1,0)),LEN(CELL("adresse",OFFSET(DMAV_Dienste!$M$6,E16-1,0)))-FIND("]",CELL("adresse",OFFSET(DMAV_Dienste!$M$6,E16-1,0)))),"Dienst")),HYPERLINK("#"&amp;RIGHT(CELL("adresse",OFFSET(DMAV_Modell!$N$6,B16-1,0)),LEN(CELL("adresse",OFFSET(DMAV_Modell!$N$6,B16-1,0)))-FIND("]",CELL("adresse",OFFSET(DMAV_Modell!$N$6,B16-1,0)))),"Modell"))</f>
        <v>Modell</v>
      </c>
      <c r="K16" s="61" t="str" cm="1">
        <f t="array" ref="K16">IF($B16=0,IF($E16=0,"",IF(INDEX(DMAV_Dienste!P$6:P$140,$E16)="","",INDEX(DMAV_Dienste!P$6:P$140,$E16))),IF(INDEX(DMAV_Modell!Q$6:Q$838,$B16)="","",INDEX(DMAV_Modell!Q$6:Q$838,$B16)))</f>
        <v>IMPORTS</v>
      </c>
      <c r="L16" s="62" t="str" cm="1">
        <f t="array" ref="L16">IF($B16=0,IF($E16=0,"",IF(INDEX(DMAV_Dienste!O$6:O$140,$E16)="","",INDEX(DMAV_Dienste!O$6:O$140,$E16))),IF(INDEX(DMAV_Modell!P$6:P$838,$B16)="","",INDEX(DMAV_Modell!P$6:P$838,$B16)))</f>
        <v/>
      </c>
      <c r="M16" s="62" t="str" cm="1">
        <f t="array" ref="M16">IF($B16=0,IF($E16=0,"",IF(INDEX(DMAV_Dienste!Q$6:Q$140,$E16)="","",INDEX(DMAV_Dienste!Q$6:Q$140,$E16))),IF(INDEX(DMAV_Modell!R$6:R$838,$B16)="","",INDEX(DMAV_Modell!R$6:R$838,$B16)))</f>
        <v>DMAV_Toleranzstufen_V1_1</v>
      </c>
      <c r="N16" s="62" t="str" cm="1">
        <f t="array" ref="N16">IF($B16=0,IF($E16=0,"",IF(INDEX(DMAV_Dienste!T$6:T$140,$E16)="","",INDEX(DMAV_Dienste!T$6:T$140,$E16))),IF(INDEX(DMAV_Modell!U$6:U$838,$B16)="","",INDEX(DMAV_Modell!U$6:U$838,$B16)))</f>
        <v/>
      </c>
      <c r="O16" s="63" t="str" cm="1">
        <f t="array" aca="1" ref="O16" ca="1">IF(C16=0,IF(F16=0,"",HYPERLINK("#"&amp;RIGHT(CELL("adresse",OFFSET(DMAV_Dienste!$M$6,F16-1,0)),LEN(CELL("adresse",OFFSET(DMAV_Dienste!$M$6,F16-1,0)))-FIND("]",CELL("adresse",OFFSET(DMAV_Dienste!$M$6,F16-1,0)))),"Structure")),HYPERLINK("#"&amp;RIGHT(CELL("adresse",OFFSET(DMAV_Modell!$N$6,C16-1,0)),LEN(CELL("adresse",OFFSET(DMAV_Modell!$N$6,C16-1,0)))-FIND("]",CELL("adresse",OFFSET(DMAV_Modell!$N$6,C16-1,0)))),"Structure"))</f>
        <v/>
      </c>
      <c r="P16" s="64" t="str" cm="1">
        <f t="array" aca="1" ref="P16" ca="1">IF(D16=0,IF(G16=0,"",HYPERLINK("#"&amp;RIGHT(CELL("adresse",OFFSET(DMAV_Dienste!$M$6,G16-1,0)),LEN(CELL("adresse",OFFSET(DMAV_Dienste!$M$6,G16-1,0)))-FIND("]",CELL("adresse",OFFSET(DMAV_Dienste!$M$6,G16-1,0)))),"Substructure")),HYPERLINK("#"&amp;RIGHT(CELL("adresse",OFFSET(DMAV_Modell!$N$6,D16-1,0)),LEN(CELL("adresse",OFFSET(DMAV_Modell!$N$6,D16-1,0)))-FIND("]",CELL("adresse",OFFSET(DMAV_Modell!$N$6,D16-1,0)))),"Substructure"))</f>
        <v/>
      </c>
      <c r="R16" s="80"/>
      <c r="T16" s="93"/>
      <c r="U16" s="94"/>
      <c r="V16" s="95"/>
      <c r="W16" s="96"/>
      <c r="Y16" s="85"/>
      <c r="Z16" s="86"/>
      <c r="AA16" s="87"/>
      <c r="AB16" s="88"/>
      <c r="AD16" s="77"/>
      <c r="AF16" s="54" t="str" cm="1">
        <f t="array" aca="1" ref="AF16" ca="1">IF(H16=0,"",HYPERLINK("#"&amp;RIGHT(CELL("adresse",OFFSET('DM01-AV-CH'!$G$6,H16-1,0)),LEN(CELL("adresse",OFFSET('DM01-AV-CH'!$G$6,H16-1,0)))-FIND("]",CELL("adresse",OFFSET('DM01-AV-CH'!$G$6,H16-1,0)))),"Modell"))</f>
        <v/>
      </c>
      <c r="AG16" s="72" t="str" cm="1">
        <f t="array" ref="AG16">IF($H16=0,"",IF(INDEX('DM01-AV-CH'!G$6:G$834,$H16)="","",INDEX('DM01-AV-CH'!G$6:G$834,$H16)))</f>
        <v/>
      </c>
      <c r="AH16" s="73" t="str" cm="1">
        <f t="array" ref="AH16">IF($H16=0,"",IF(INDEX('DM01-AV-CH'!H$6:H$834,$H16)="","",INDEX('DM01-AV-CH'!H$6:H$834,$H16)))</f>
        <v/>
      </c>
      <c r="AI16" s="74" t="str" cm="1">
        <f t="array" ref="AI16">IF($H16=0,"",IF(INDEX('DM01-AV-CH'!I$6:I$834,$H16)="","",INDEX('DM01-AV-CH'!I$6:I$834,$H16)))</f>
        <v/>
      </c>
    </row>
    <row r="17" spans="1:35" x14ac:dyDescent="0.25">
      <c r="A17" s="57">
        <v>12</v>
      </c>
      <c r="B17" s="57">
        <f>IF($A17="","",IF(_xlfn.XLOOKUP($A17,Korrelation!$D$4:$D$1197,Korrelation!E$4:E$1197,"-",0)="-",0,MATCH(_xlfn.XLOOKUP($A17,Korrelation!$D$4:$D$1197,Korrelation!E$4:E$1197,"",0),DMAV_Modell!$G$6:$G$677,0)))</f>
        <v>12</v>
      </c>
      <c r="C17" s="57">
        <f>IF($A17="","",IF(_xlfn.XLOOKUP($A17,Korrelation!$D$4:$D$1197,Korrelation!F$4:F$1197,"-",0)="-",0,MATCH(_xlfn.XLOOKUP($A17,Korrelation!$D$4:$D$1197,Korrelation!F$4:F$1197,"",0),DMAV_Modell!$G$6:$G$677,0)))</f>
        <v>0</v>
      </c>
      <c r="D17" s="57">
        <f>IF($A17="","",IF(_xlfn.XLOOKUP($A17,Korrelation!$D$4:$D$1197,Korrelation!G$4:G$1197,"-",0)="-",0,MATCH(_xlfn.XLOOKUP($A17,Korrelation!$D$4:$D$1197,Korrelation!G$4:G$1197,"",0),DMAV_Modell!$G$6:$G$677,0)))</f>
        <v>0</v>
      </c>
      <c r="E17" s="57">
        <f>IF($A17="","",IF(_xlfn.XLOOKUP($A17,Korrelation!$D$4:$D$1197,Korrelation!H$4:H$1197,"-",0)="-",0,MATCH(_xlfn.XLOOKUP($A17,Korrelation!$D$4:$D$1197,Korrelation!H$4:H$1197,"",0),DMAV_Dienste!$F$6:$F$140,0)))</f>
        <v>0</v>
      </c>
      <c r="F17" s="57">
        <f>IF($A17="","",IF(_xlfn.XLOOKUP($A17,Korrelation!$D$4:$D$1197,Korrelation!I$4:I$1197,"-",0)="-",0,MATCH(_xlfn.XLOOKUP($A17,Korrelation!$D$4:$D$1197,Korrelation!I$4:I$1197,"",0),DMAV_Dienste!$F$6:$F$140,0)))</f>
        <v>0</v>
      </c>
      <c r="G17" s="57">
        <f>IF($A17="","",IF(_xlfn.XLOOKUP($A17,Korrelation!$D$4:$D$1197,Korrelation!J$4:J$1197,"-",0)="-",0,MATCH(_xlfn.XLOOKUP($A17,Korrelation!$D$4:$D$1197,Korrelation!J$4:J$1197,"",0),DMAV_Dienste!$F$6:$F$140,0)))</f>
        <v>0</v>
      </c>
      <c r="H17" s="57">
        <f>IF($A17="","",IF(_xlfn.XLOOKUP($A17,Korrelation!$D$4:$D$1197,Korrelation!K$4:K$1197,"-",0)="-",0,MATCH(_xlfn.XLOOKUP($A17,Korrelation!$D$4:$D$1197,Korrelation!K$4:K$1197,"",0),'DM01-AV-CH'!$A$6:$A$834,0)))</f>
        <v>0</v>
      </c>
      <c r="J17" s="54" t="str" cm="1">
        <f t="array" aca="1" ref="J17" ca="1">IF(B17=0,IF(E17=0,"",HYPERLINK("#"&amp;RIGHT(CELL("adresse",OFFSET(DMAV_Dienste!$M$6,E17-1,0)),LEN(CELL("adresse",OFFSET(DMAV_Dienste!$M$6,E17-1,0)))-FIND("]",CELL("adresse",OFFSET(DMAV_Dienste!$M$6,E17-1,0)))),"Dienst")),HYPERLINK("#"&amp;RIGHT(CELL("adresse",OFFSET(DMAV_Modell!$N$6,B17-1,0)),LEN(CELL("adresse",OFFSET(DMAV_Modell!$N$6,B17-1,0)))-FIND("]",CELL("adresse",OFFSET(DMAV_Modell!$N$6,B17-1,0)))),"Modell"))</f>
        <v>Modell</v>
      </c>
      <c r="K17" s="61" t="str" cm="1">
        <f t="array" ref="K17">IF($B17=0,IF($E17=0,"",IF(INDEX(DMAV_Dienste!P$6:P$140,$E17)="","",INDEX(DMAV_Dienste!P$6:P$140,$E17))),IF(INDEX(DMAV_Modell!Q$6:Q$838,$B17)="","",INDEX(DMAV_Modell!Q$6:Q$838,$B17)))</f>
        <v>IMPORTS</v>
      </c>
      <c r="L17" s="62" t="str" cm="1">
        <f t="array" ref="L17">IF($B17=0,IF($E17=0,"",IF(INDEX(DMAV_Dienste!O$6:O$140,$E17)="","",INDEX(DMAV_Dienste!O$6:O$140,$E17))),IF(INDEX(DMAV_Modell!P$6:P$838,$B17)="","",INDEX(DMAV_Modell!P$6:P$838,$B17)))</f>
        <v/>
      </c>
      <c r="M17" s="62" t="str" cm="1">
        <f t="array" ref="M17">IF($B17=0,IF($E17=0,"",IF(INDEX(DMAV_Dienste!Q$6:Q$140,$E17)="","",INDEX(DMAV_Dienste!Q$6:Q$140,$E17))),IF(INDEX(DMAV_Modell!R$6:R$838,$B17)="","",INDEX(DMAV_Modell!R$6:R$838,$B17)))</f>
        <v>DMAVSUP_UntereinheitGrundbuch_V1_1</v>
      </c>
      <c r="N17" s="62" t="str" cm="1">
        <f t="array" ref="N17">IF($B17=0,IF($E17=0,"",IF(INDEX(DMAV_Dienste!T$6:T$140,$E17)="","",INDEX(DMAV_Dienste!T$6:T$140,$E17))),IF(INDEX(DMAV_Modell!U$6:U$838,$B17)="","",INDEX(DMAV_Modell!U$6:U$838,$B17)))</f>
        <v/>
      </c>
      <c r="O17" s="63" t="str" cm="1">
        <f t="array" aca="1" ref="O17" ca="1">IF(C17=0,IF(F17=0,"",HYPERLINK("#"&amp;RIGHT(CELL("adresse",OFFSET(DMAV_Dienste!$M$6,F17-1,0)),LEN(CELL("adresse",OFFSET(DMAV_Dienste!$M$6,F17-1,0)))-FIND("]",CELL("adresse",OFFSET(DMAV_Dienste!$M$6,F17-1,0)))),"Structure")),HYPERLINK("#"&amp;RIGHT(CELL("adresse",OFFSET(DMAV_Modell!$N$6,C17-1,0)),LEN(CELL("adresse",OFFSET(DMAV_Modell!$N$6,C17-1,0)))-FIND("]",CELL("adresse",OFFSET(DMAV_Modell!$N$6,C17-1,0)))),"Structure"))</f>
        <v/>
      </c>
      <c r="P17" s="64" t="str" cm="1">
        <f t="array" aca="1" ref="P17" ca="1">IF(D17=0,IF(G17=0,"",HYPERLINK("#"&amp;RIGHT(CELL("adresse",OFFSET(DMAV_Dienste!$M$6,G17-1,0)),LEN(CELL("adresse",OFFSET(DMAV_Dienste!$M$6,G17-1,0)))-FIND("]",CELL("adresse",OFFSET(DMAV_Dienste!$M$6,G17-1,0)))),"Substructure")),HYPERLINK("#"&amp;RIGHT(CELL("adresse",OFFSET(DMAV_Modell!$N$6,D17-1,0)),LEN(CELL("adresse",OFFSET(DMAV_Modell!$N$6,D17-1,0)))-FIND("]",CELL("adresse",OFFSET(DMAV_Modell!$N$6,D17-1,0)))),"Substructure"))</f>
        <v/>
      </c>
      <c r="R17" s="80"/>
      <c r="T17" s="93"/>
      <c r="U17" s="94"/>
      <c r="V17" s="95"/>
      <c r="W17" s="96"/>
      <c r="Y17" s="85"/>
      <c r="Z17" s="86"/>
      <c r="AA17" s="87"/>
      <c r="AB17" s="88"/>
      <c r="AD17" s="77"/>
      <c r="AF17" s="54" t="str" cm="1">
        <f t="array" aca="1" ref="AF17" ca="1">IF(H17=0,"",HYPERLINK("#"&amp;RIGHT(CELL("adresse",OFFSET('DM01-AV-CH'!$G$6,H17-1,0)),LEN(CELL("adresse",OFFSET('DM01-AV-CH'!$G$6,H17-1,0)))-FIND("]",CELL("adresse",OFFSET('DM01-AV-CH'!$G$6,H17-1,0)))),"Modell"))</f>
        <v/>
      </c>
      <c r="AG17" s="72" t="str" cm="1">
        <f t="array" ref="AG17">IF($H17=0,"",IF(INDEX('DM01-AV-CH'!G$6:G$834,$H17)="","",INDEX('DM01-AV-CH'!G$6:G$834,$H17)))</f>
        <v/>
      </c>
      <c r="AH17" s="73" t="str" cm="1">
        <f t="array" ref="AH17">IF($H17=0,"",IF(INDEX('DM01-AV-CH'!H$6:H$834,$H17)="","",INDEX('DM01-AV-CH'!H$6:H$834,$H17)))</f>
        <v/>
      </c>
      <c r="AI17" s="74" t="str" cm="1">
        <f t="array" ref="AI17">IF($H17=0,"",IF(INDEX('DM01-AV-CH'!I$6:I$834,$H17)="","",INDEX('DM01-AV-CH'!I$6:I$834,$H17)))</f>
        <v/>
      </c>
    </row>
    <row r="18" spans="1:35" x14ac:dyDescent="0.25">
      <c r="A18" s="57">
        <v>13</v>
      </c>
      <c r="B18" s="57">
        <f>IF($A18="","",IF(_xlfn.XLOOKUP($A18,Korrelation!$D$4:$D$1197,Korrelation!E$4:E$1197,"-",0)="-",0,MATCH(_xlfn.XLOOKUP($A18,Korrelation!$D$4:$D$1197,Korrelation!E$4:E$1197,"",0),DMAV_Modell!$G$6:$G$677,0)))</f>
        <v>13</v>
      </c>
      <c r="C18" s="57">
        <f>IF($A18="","",IF(_xlfn.XLOOKUP($A18,Korrelation!$D$4:$D$1197,Korrelation!F$4:F$1197,"-",0)="-",0,MATCH(_xlfn.XLOOKUP($A18,Korrelation!$D$4:$D$1197,Korrelation!F$4:F$1197,"",0),DMAV_Modell!$G$6:$G$677,0)))</f>
        <v>0</v>
      </c>
      <c r="D18" s="57">
        <f>IF($A18="","",IF(_xlfn.XLOOKUP($A18,Korrelation!$D$4:$D$1197,Korrelation!G$4:G$1197,"-",0)="-",0,MATCH(_xlfn.XLOOKUP($A18,Korrelation!$D$4:$D$1197,Korrelation!G$4:G$1197,"",0),DMAV_Modell!$G$6:$G$677,0)))</f>
        <v>0</v>
      </c>
      <c r="E18" s="57">
        <f>IF($A18="","",IF(_xlfn.XLOOKUP($A18,Korrelation!$D$4:$D$1197,Korrelation!H$4:H$1197,"-",0)="-",0,MATCH(_xlfn.XLOOKUP($A18,Korrelation!$D$4:$D$1197,Korrelation!H$4:H$1197,"",0),DMAV_Dienste!$F$6:$F$140,0)))</f>
        <v>0</v>
      </c>
      <c r="F18" s="57">
        <f>IF($A18="","",IF(_xlfn.XLOOKUP($A18,Korrelation!$D$4:$D$1197,Korrelation!I$4:I$1197,"-",0)="-",0,MATCH(_xlfn.XLOOKUP($A18,Korrelation!$D$4:$D$1197,Korrelation!I$4:I$1197,"",0),DMAV_Dienste!$F$6:$F$140,0)))</f>
        <v>0</v>
      </c>
      <c r="G18" s="57">
        <f>IF($A18="","",IF(_xlfn.XLOOKUP($A18,Korrelation!$D$4:$D$1197,Korrelation!J$4:J$1197,"-",0)="-",0,MATCH(_xlfn.XLOOKUP($A18,Korrelation!$D$4:$D$1197,Korrelation!J$4:J$1197,"",0),DMAV_Dienste!$F$6:$F$140,0)))</f>
        <v>0</v>
      </c>
      <c r="H18" s="57">
        <f>IF($A18="","",IF(_xlfn.XLOOKUP($A18,Korrelation!$D$4:$D$1197,Korrelation!K$4:K$1197,"-",0)="-",0,MATCH(_xlfn.XLOOKUP($A18,Korrelation!$D$4:$D$1197,Korrelation!K$4:K$1197,"",0),'DM01-AV-CH'!$A$6:$A$834,0)))</f>
        <v>0</v>
      </c>
      <c r="J18" s="54" t="str" cm="1">
        <f t="array" aca="1" ref="J18" ca="1">IF(B18=0,IF(E18=0,"",HYPERLINK("#"&amp;RIGHT(CELL("adresse",OFFSET(DMAV_Dienste!$M$6,E18-1,0)),LEN(CELL("adresse",OFFSET(DMAV_Dienste!$M$6,E18-1,0)))-FIND("]",CELL("adresse",OFFSET(DMAV_Dienste!$M$6,E18-1,0)))),"Dienst")),HYPERLINK("#"&amp;RIGHT(CELL("adresse",OFFSET(DMAV_Modell!$N$6,B18-1,0)),LEN(CELL("adresse",OFFSET(DMAV_Modell!$N$6,B18-1,0)))-FIND("]",CELL("adresse",OFFSET(DMAV_Modell!$N$6,B18-1,0)))),"Modell"))</f>
        <v>Modell</v>
      </c>
      <c r="K18" s="61" t="str" cm="1">
        <f t="array" ref="K18">IF($B18=0,IF($E18=0,"",IF(INDEX(DMAV_Dienste!P$6:P$140,$E18)="","",INDEX(DMAV_Dienste!P$6:P$140,$E18))),IF(INDEX(DMAV_Modell!Q$6:Q$838,$B18)="","",INDEX(DMAV_Modell!Q$6:Q$838,$B18)))</f>
        <v>IMPORTS</v>
      </c>
      <c r="L18" s="62" t="str" cm="1">
        <f t="array" ref="L18">IF($B18=0,IF($E18=0,"",IF(INDEX(DMAV_Dienste!O$6:O$140,$E18)="","",INDEX(DMAV_Dienste!O$6:O$140,$E18))),IF(INDEX(DMAV_Modell!P$6:P$838,$B18)="","",INDEX(DMAV_Modell!P$6:P$838,$B18)))</f>
        <v/>
      </c>
      <c r="M18" s="62" t="str" cm="1">
        <f t="array" ref="M18">IF($B18=0,IF($E18=0,"",IF(INDEX(DMAV_Dienste!Q$6:Q$140,$E18)="","",INDEX(DMAV_Dienste!Q$6:Q$140,$E18))),IF(INDEX(DMAV_Modell!R$6:R$838,$B18)="","",INDEX(DMAV_Modell!R$6:R$838,$B18)))</f>
        <v>FixpunkteLV_V1_0</v>
      </c>
      <c r="N18" s="62" t="str" cm="1">
        <f t="array" ref="N18">IF($B18=0,IF($E18=0,"",IF(INDEX(DMAV_Dienste!T$6:T$140,$E18)="","",INDEX(DMAV_Dienste!T$6:T$140,$E18))),IF(INDEX(DMAV_Modell!U$6:U$838,$B18)="","",INDEX(DMAV_Modell!U$6:U$838,$B18)))</f>
        <v/>
      </c>
      <c r="O18" s="63" t="str" cm="1">
        <f t="array" aca="1" ref="O18" ca="1">IF(C18=0,IF(F18=0,"",HYPERLINK("#"&amp;RIGHT(CELL("adresse",OFFSET(DMAV_Dienste!$M$6,F18-1,0)),LEN(CELL("adresse",OFFSET(DMAV_Dienste!$M$6,F18-1,0)))-FIND("]",CELL("adresse",OFFSET(DMAV_Dienste!$M$6,F18-1,0)))),"Structure")),HYPERLINK("#"&amp;RIGHT(CELL("adresse",OFFSET(DMAV_Modell!$N$6,C18-1,0)),LEN(CELL("adresse",OFFSET(DMAV_Modell!$N$6,C18-1,0)))-FIND("]",CELL("adresse",OFFSET(DMAV_Modell!$N$6,C18-1,0)))),"Structure"))</f>
        <v/>
      </c>
      <c r="P18" s="64" t="str" cm="1">
        <f t="array" aca="1" ref="P18" ca="1">IF(D18=0,IF(G18=0,"",HYPERLINK("#"&amp;RIGHT(CELL("adresse",OFFSET(DMAV_Dienste!$M$6,G18-1,0)),LEN(CELL("adresse",OFFSET(DMAV_Dienste!$M$6,G18-1,0)))-FIND("]",CELL("adresse",OFFSET(DMAV_Dienste!$M$6,G18-1,0)))),"Substructure")),HYPERLINK("#"&amp;RIGHT(CELL("adresse",OFFSET(DMAV_Modell!$N$6,D18-1,0)),LEN(CELL("adresse",OFFSET(DMAV_Modell!$N$6,D18-1,0)))-FIND("]",CELL("adresse",OFFSET(DMAV_Modell!$N$6,D18-1,0)))),"Substructure"))</f>
        <v/>
      </c>
      <c r="R18" s="80"/>
      <c r="T18" s="93"/>
      <c r="U18" s="94"/>
      <c r="V18" s="95"/>
      <c r="W18" s="96"/>
      <c r="Y18" s="85"/>
      <c r="Z18" s="86"/>
      <c r="AA18" s="87"/>
      <c r="AB18" s="88"/>
      <c r="AD18" s="77"/>
      <c r="AF18" s="54" t="str" cm="1">
        <f t="array" aca="1" ref="AF18" ca="1">IF(H18=0,"",HYPERLINK("#"&amp;RIGHT(CELL("adresse",OFFSET('DM01-AV-CH'!$G$6,H18-1,0)),LEN(CELL("adresse",OFFSET('DM01-AV-CH'!$G$6,H18-1,0)))-FIND("]",CELL("adresse",OFFSET('DM01-AV-CH'!$G$6,H18-1,0)))),"Modell"))</f>
        <v/>
      </c>
      <c r="AG18" s="72" t="str" cm="1">
        <f t="array" ref="AG18">IF($H18=0,"",IF(INDEX('DM01-AV-CH'!G$6:G$834,$H18)="","",INDEX('DM01-AV-CH'!G$6:G$834,$H18)))</f>
        <v/>
      </c>
      <c r="AH18" s="73" t="str" cm="1">
        <f t="array" ref="AH18">IF($H18=0,"",IF(INDEX('DM01-AV-CH'!H$6:H$834,$H18)="","",INDEX('DM01-AV-CH'!H$6:H$834,$H18)))</f>
        <v/>
      </c>
      <c r="AI18" s="74" t="str" cm="1">
        <f t="array" ref="AI18">IF($H18=0,"",IF(INDEX('DM01-AV-CH'!I$6:I$834,$H18)="","",INDEX('DM01-AV-CH'!I$6:I$834,$H18)))</f>
        <v/>
      </c>
    </row>
    <row r="19" spans="1:35" x14ac:dyDescent="0.25">
      <c r="A19" s="57">
        <v>14</v>
      </c>
      <c r="B19" s="57">
        <f>IF($A19="","",IF(_xlfn.XLOOKUP($A19,Korrelation!$D$4:$D$1197,Korrelation!E$4:E$1197,"-",0)="-",0,MATCH(_xlfn.XLOOKUP($A19,Korrelation!$D$4:$D$1197,Korrelation!E$4:E$1197,"",0),DMAV_Modell!$G$6:$G$677,0)))</f>
        <v>14</v>
      </c>
      <c r="C19" s="57">
        <f>IF($A19="","",IF(_xlfn.XLOOKUP($A19,Korrelation!$D$4:$D$1197,Korrelation!F$4:F$1197,"-",0)="-",0,MATCH(_xlfn.XLOOKUP($A19,Korrelation!$D$4:$D$1197,Korrelation!F$4:F$1197,"",0),DMAV_Modell!$G$6:$G$677,0)))</f>
        <v>0</v>
      </c>
      <c r="D19" s="57">
        <f>IF($A19="","",IF(_xlfn.XLOOKUP($A19,Korrelation!$D$4:$D$1197,Korrelation!G$4:G$1197,"-",0)="-",0,MATCH(_xlfn.XLOOKUP($A19,Korrelation!$D$4:$D$1197,Korrelation!G$4:G$1197,"",0),DMAV_Modell!$G$6:$G$677,0)))</f>
        <v>0</v>
      </c>
      <c r="E19" s="57">
        <f>IF($A19="","",IF(_xlfn.XLOOKUP($A19,Korrelation!$D$4:$D$1197,Korrelation!H$4:H$1197,"-",0)="-",0,MATCH(_xlfn.XLOOKUP($A19,Korrelation!$D$4:$D$1197,Korrelation!H$4:H$1197,"",0),DMAV_Dienste!$F$6:$F$140,0)))</f>
        <v>0</v>
      </c>
      <c r="F19" s="57">
        <f>IF($A19="","",IF(_xlfn.XLOOKUP($A19,Korrelation!$D$4:$D$1197,Korrelation!I$4:I$1197,"-",0)="-",0,MATCH(_xlfn.XLOOKUP($A19,Korrelation!$D$4:$D$1197,Korrelation!I$4:I$1197,"",0),DMAV_Dienste!$F$6:$F$140,0)))</f>
        <v>0</v>
      </c>
      <c r="G19" s="57">
        <f>IF($A19="","",IF(_xlfn.XLOOKUP($A19,Korrelation!$D$4:$D$1197,Korrelation!J$4:J$1197,"-",0)="-",0,MATCH(_xlfn.XLOOKUP($A19,Korrelation!$D$4:$D$1197,Korrelation!J$4:J$1197,"",0),DMAV_Dienste!$F$6:$F$140,0)))</f>
        <v>0</v>
      </c>
      <c r="H19" s="57">
        <f>IF($A19="","",IF(_xlfn.XLOOKUP($A19,Korrelation!$D$4:$D$1197,Korrelation!K$4:K$1197,"-",0)="-",0,MATCH(_xlfn.XLOOKUP($A19,Korrelation!$D$4:$D$1197,Korrelation!K$4:K$1197,"",0),'DM01-AV-CH'!$A$6:$A$834,0)))</f>
        <v>0</v>
      </c>
      <c r="J19" s="54" t="str" cm="1">
        <f t="array" aca="1" ref="J19" ca="1">IF(B19=0,IF(E19=0,"",HYPERLINK("#"&amp;RIGHT(CELL("adresse",OFFSET(DMAV_Dienste!$M$6,E19-1,0)),LEN(CELL("adresse",OFFSET(DMAV_Dienste!$M$6,E19-1,0)))-FIND("]",CELL("adresse",OFFSET(DMAV_Dienste!$M$6,E19-1,0)))),"Dienst")),HYPERLINK("#"&amp;RIGHT(CELL("adresse",OFFSET(DMAV_Modell!$N$6,B19-1,0)),LEN(CELL("adresse",OFFSET(DMAV_Modell!$N$6,B19-1,0)))-FIND("]",CELL("adresse",OFFSET(DMAV_Modell!$N$6,B19-1,0)))),"Modell"))</f>
        <v>Modell</v>
      </c>
      <c r="K19" s="61" t="str" cm="1">
        <f t="array" ref="K19">IF($B19=0,IF($E19=0,"",IF(INDEX(DMAV_Dienste!P$6:P$140,$E19)="","",INDEX(DMAV_Dienste!P$6:P$140,$E19))),IF(INDEX(DMAV_Modell!Q$6:Q$838,$B19)="","",INDEX(DMAV_Modell!Q$6:Q$838,$B19)))</f>
        <v>IMPORTS</v>
      </c>
      <c r="L19" s="62" t="str" cm="1">
        <f t="array" ref="L19">IF($B19=0,IF($E19=0,"",IF(INDEX(DMAV_Dienste!O$6:O$140,$E19)="","",INDEX(DMAV_Dienste!O$6:O$140,$E19))),IF(INDEX(DMAV_Modell!P$6:P$838,$B19)="","",INDEX(DMAV_Modell!P$6:P$838,$B19)))</f>
        <v/>
      </c>
      <c r="M19" s="62" t="str" cm="1">
        <f t="array" ref="M19">IF($B19=0,IF($E19=0,"",IF(INDEX(DMAV_Dienste!Q$6:Q$140,$E19)="","",INDEX(DMAV_Dienste!Q$6:Q$140,$E19))),IF(INDEX(DMAV_Modell!R$6:R$838,$B19)="","",INDEX(DMAV_Modell!R$6:R$838,$B19)))</f>
        <v>KGKCGC_FPDS2_V1_1</v>
      </c>
      <c r="N19" s="62" t="str" cm="1">
        <f t="array" ref="N19">IF($B19=0,IF($E19=0,"",IF(INDEX(DMAV_Dienste!T$6:T$140,$E19)="","",INDEX(DMAV_Dienste!T$6:T$140,$E19))),IF(INDEX(DMAV_Modell!U$6:U$838,$B19)="","",INDEX(DMAV_Modell!U$6:U$838,$B19)))</f>
        <v/>
      </c>
      <c r="O19" s="63" t="str" cm="1">
        <f t="array" aca="1" ref="O19" ca="1">IF(C19=0,IF(F19=0,"",HYPERLINK("#"&amp;RIGHT(CELL("adresse",OFFSET(DMAV_Dienste!$M$6,F19-1,0)),LEN(CELL("adresse",OFFSET(DMAV_Dienste!$M$6,F19-1,0)))-FIND("]",CELL("adresse",OFFSET(DMAV_Dienste!$M$6,F19-1,0)))),"Structure")),HYPERLINK("#"&amp;RIGHT(CELL("adresse",OFFSET(DMAV_Modell!$N$6,C19-1,0)),LEN(CELL("adresse",OFFSET(DMAV_Modell!$N$6,C19-1,0)))-FIND("]",CELL("adresse",OFFSET(DMAV_Modell!$N$6,C19-1,0)))),"Structure"))</f>
        <v/>
      </c>
      <c r="P19" s="64" t="str" cm="1">
        <f t="array" aca="1" ref="P19" ca="1">IF(D19=0,IF(G19=0,"",HYPERLINK("#"&amp;RIGHT(CELL("adresse",OFFSET(DMAV_Dienste!$M$6,G19-1,0)),LEN(CELL("adresse",OFFSET(DMAV_Dienste!$M$6,G19-1,0)))-FIND("]",CELL("adresse",OFFSET(DMAV_Dienste!$M$6,G19-1,0)))),"Substructure")),HYPERLINK("#"&amp;RIGHT(CELL("adresse",OFFSET(DMAV_Modell!$N$6,D19-1,0)),LEN(CELL("adresse",OFFSET(DMAV_Modell!$N$6,D19-1,0)))-FIND("]",CELL("adresse",OFFSET(DMAV_Modell!$N$6,D19-1,0)))),"Substructure"))</f>
        <v/>
      </c>
      <c r="R19" s="80"/>
      <c r="T19" s="93"/>
      <c r="U19" s="94"/>
      <c r="V19" s="95"/>
      <c r="W19" s="96"/>
      <c r="Y19" s="85"/>
      <c r="Z19" s="86"/>
      <c r="AA19" s="87"/>
      <c r="AB19" s="88"/>
      <c r="AD19" s="77"/>
      <c r="AF19" s="54" t="str" cm="1">
        <f t="array" aca="1" ref="AF19" ca="1">IF(H19=0,"",HYPERLINK("#"&amp;RIGHT(CELL("adresse",OFFSET('DM01-AV-CH'!$G$6,H19-1,0)),LEN(CELL("adresse",OFFSET('DM01-AV-CH'!$G$6,H19-1,0)))-FIND("]",CELL("adresse",OFFSET('DM01-AV-CH'!$G$6,H19-1,0)))),"Modell"))</f>
        <v/>
      </c>
      <c r="AG19" s="72" t="str" cm="1">
        <f t="array" ref="AG19">IF($H19=0,"",IF(INDEX('DM01-AV-CH'!G$6:G$834,$H19)="","",INDEX('DM01-AV-CH'!G$6:G$834,$H19)))</f>
        <v/>
      </c>
      <c r="AH19" s="73" t="str" cm="1">
        <f t="array" ref="AH19">IF($H19=0,"",IF(INDEX('DM01-AV-CH'!H$6:H$834,$H19)="","",INDEX('DM01-AV-CH'!H$6:H$834,$H19)))</f>
        <v/>
      </c>
      <c r="AI19" s="74" t="str" cm="1">
        <f t="array" ref="AI19">IF($H19=0,"",IF(INDEX('DM01-AV-CH'!I$6:I$834,$H19)="","",INDEX('DM01-AV-CH'!I$6:I$834,$H19)))</f>
        <v/>
      </c>
    </row>
    <row r="20" spans="1:35" x14ac:dyDescent="0.25">
      <c r="A20" s="57">
        <v>15</v>
      </c>
      <c r="B20" s="57">
        <f>IF($A20="","",IF(_xlfn.XLOOKUP($A20,Korrelation!$D$4:$D$1197,Korrelation!E$4:E$1197,"-",0)="-",0,MATCH(_xlfn.XLOOKUP($A20,Korrelation!$D$4:$D$1197,Korrelation!E$4:E$1197,"",0),DMAV_Modell!$G$6:$G$677,0)))</f>
        <v>15</v>
      </c>
      <c r="C20" s="57">
        <f>IF($A20="","",IF(_xlfn.XLOOKUP($A20,Korrelation!$D$4:$D$1197,Korrelation!F$4:F$1197,"-",0)="-",0,MATCH(_xlfn.XLOOKUP($A20,Korrelation!$D$4:$D$1197,Korrelation!F$4:F$1197,"",0),DMAV_Modell!$G$6:$G$677,0)))</f>
        <v>0</v>
      </c>
      <c r="D20" s="57">
        <f>IF($A20="","",IF(_xlfn.XLOOKUP($A20,Korrelation!$D$4:$D$1197,Korrelation!G$4:G$1197,"-",0)="-",0,MATCH(_xlfn.XLOOKUP($A20,Korrelation!$D$4:$D$1197,Korrelation!G$4:G$1197,"",0),DMAV_Modell!$G$6:$G$677,0)))</f>
        <v>0</v>
      </c>
      <c r="E20" s="57">
        <f>IF($A20="","",IF(_xlfn.XLOOKUP($A20,Korrelation!$D$4:$D$1197,Korrelation!H$4:H$1197,"-",0)="-",0,MATCH(_xlfn.XLOOKUP($A20,Korrelation!$D$4:$D$1197,Korrelation!H$4:H$1197,"",0),DMAV_Dienste!$F$6:$F$140,0)))</f>
        <v>0</v>
      </c>
      <c r="F20" s="57">
        <f>IF($A20="","",IF(_xlfn.XLOOKUP($A20,Korrelation!$D$4:$D$1197,Korrelation!I$4:I$1197,"-",0)="-",0,MATCH(_xlfn.XLOOKUP($A20,Korrelation!$D$4:$D$1197,Korrelation!I$4:I$1197,"",0),DMAV_Dienste!$F$6:$F$140,0)))</f>
        <v>0</v>
      </c>
      <c r="G20" s="57">
        <f>IF($A20="","",IF(_xlfn.XLOOKUP($A20,Korrelation!$D$4:$D$1197,Korrelation!J$4:J$1197,"-",0)="-",0,MATCH(_xlfn.XLOOKUP($A20,Korrelation!$D$4:$D$1197,Korrelation!J$4:J$1197,"",0),DMAV_Dienste!$F$6:$F$140,0)))</f>
        <v>0</v>
      </c>
      <c r="H20" s="57">
        <f>IF($A20="","",IF(_xlfn.XLOOKUP($A20,Korrelation!$D$4:$D$1197,Korrelation!K$4:K$1197,"-",0)="-",0,MATCH(_xlfn.XLOOKUP($A20,Korrelation!$D$4:$D$1197,Korrelation!K$4:K$1197,"",0),'DM01-AV-CH'!$A$6:$A$834,0)))</f>
        <v>0</v>
      </c>
      <c r="J20" s="54" t="str" cm="1">
        <f t="array" aca="1" ref="J20" ca="1">IF(B20=0,IF(E20=0,"",HYPERLINK("#"&amp;RIGHT(CELL("adresse",OFFSET(DMAV_Dienste!$M$6,E20-1,0)),LEN(CELL("adresse",OFFSET(DMAV_Dienste!$M$6,E20-1,0)))-FIND("]",CELL("adresse",OFFSET(DMAV_Dienste!$M$6,E20-1,0)))),"Dienst")),HYPERLINK("#"&amp;RIGHT(CELL("adresse",OFFSET(DMAV_Modell!$N$6,B20-1,0)),LEN(CELL("adresse",OFFSET(DMAV_Modell!$N$6,B20-1,0)))-FIND("]",CELL("adresse",OFFSET(DMAV_Modell!$N$6,B20-1,0)))),"Modell"))</f>
        <v>Modell</v>
      </c>
      <c r="K20" s="61" t="str" cm="1">
        <f t="array" ref="K20">IF($B20=0,IF($E20=0,"",IF(INDEX(DMAV_Dienste!P$6:P$140,$E20)="","",INDEX(DMAV_Dienste!P$6:P$140,$E20))),IF(INDEX(DMAV_Modell!Q$6:Q$838,$B20)="","",INDEX(DMAV_Modell!Q$6:Q$838,$B20)))</f>
        <v>IMPORTS</v>
      </c>
      <c r="L20" s="62" t="str" cm="1">
        <f t="array" ref="L20">IF($B20=0,IF($E20=0,"",IF(INDEX(DMAV_Dienste!O$6:O$140,$E20)="","",INDEX(DMAV_Dienste!O$6:O$140,$E20))),IF(INDEX(DMAV_Modell!P$6:P$838,$B20)="","",INDEX(DMAV_Modell!P$6:P$838,$B20)))</f>
        <v/>
      </c>
      <c r="M20" s="62" t="str" cm="1">
        <f t="array" ref="M20">IF($B20=0,IF($E20=0,"",IF(INDEX(DMAV_Dienste!Q$6:Q$140,$E20)="","",INDEX(DMAV_Dienste!Q$6:Q$140,$E20))),IF(INDEX(DMAV_Modell!R$6:R$838,$B20)="","",INDEX(DMAV_Modell!R$6:R$838,$B20)))</f>
        <v>HoheitsgrenzenLV_V1_0</v>
      </c>
      <c r="N20" s="62" t="str" cm="1">
        <f t="array" ref="N20">IF($B20=0,IF($E20=0,"",IF(INDEX(DMAV_Dienste!T$6:T$140,$E20)="","",INDEX(DMAV_Dienste!T$6:T$140,$E20))),IF(INDEX(DMAV_Modell!U$6:U$838,$B20)="","",INDEX(DMAV_Modell!U$6:U$838,$B20)))</f>
        <v/>
      </c>
      <c r="O20" s="63" t="str" cm="1">
        <f t="array" aca="1" ref="O20" ca="1">IF(C20=0,IF(F20=0,"",HYPERLINK("#"&amp;RIGHT(CELL("adresse",OFFSET(DMAV_Dienste!$M$6,F20-1,0)),LEN(CELL("adresse",OFFSET(DMAV_Dienste!$M$6,F20-1,0)))-FIND("]",CELL("adresse",OFFSET(DMAV_Dienste!$M$6,F20-1,0)))),"Structure")),HYPERLINK("#"&amp;RIGHT(CELL("adresse",OFFSET(DMAV_Modell!$N$6,C20-1,0)),LEN(CELL("adresse",OFFSET(DMAV_Modell!$N$6,C20-1,0)))-FIND("]",CELL("adresse",OFFSET(DMAV_Modell!$N$6,C20-1,0)))),"Structure"))</f>
        <v/>
      </c>
      <c r="P20" s="64" t="str" cm="1">
        <f t="array" aca="1" ref="P20" ca="1">IF(D20=0,IF(G20=0,"",HYPERLINK("#"&amp;RIGHT(CELL("adresse",OFFSET(DMAV_Dienste!$M$6,G20-1,0)),LEN(CELL("adresse",OFFSET(DMAV_Dienste!$M$6,G20-1,0)))-FIND("]",CELL("adresse",OFFSET(DMAV_Dienste!$M$6,G20-1,0)))),"Substructure")),HYPERLINK("#"&amp;RIGHT(CELL("adresse",OFFSET(DMAV_Modell!$N$6,D20-1,0)),LEN(CELL("adresse",OFFSET(DMAV_Modell!$N$6,D20-1,0)))-FIND("]",CELL("adresse",OFFSET(DMAV_Modell!$N$6,D20-1,0)))),"Substructure"))</f>
        <v/>
      </c>
      <c r="R20" s="80"/>
      <c r="T20" s="93"/>
      <c r="U20" s="94"/>
      <c r="V20" s="95"/>
      <c r="W20" s="96"/>
      <c r="Y20" s="85"/>
      <c r="Z20" s="86"/>
      <c r="AA20" s="87"/>
      <c r="AB20" s="88"/>
      <c r="AD20" s="77"/>
      <c r="AF20" s="54" t="str" cm="1">
        <f t="array" aca="1" ref="AF20" ca="1">IF(H20=0,"",HYPERLINK("#"&amp;RIGHT(CELL("adresse",OFFSET('DM01-AV-CH'!$G$6,H20-1,0)),LEN(CELL("adresse",OFFSET('DM01-AV-CH'!$G$6,H20-1,0)))-FIND("]",CELL("adresse",OFFSET('DM01-AV-CH'!$G$6,H20-1,0)))),"Modell"))</f>
        <v/>
      </c>
      <c r="AG20" s="72" t="str" cm="1">
        <f t="array" ref="AG20">IF($H20=0,"",IF(INDEX('DM01-AV-CH'!G$6:G$834,$H20)="","",INDEX('DM01-AV-CH'!G$6:G$834,$H20)))</f>
        <v/>
      </c>
      <c r="AH20" s="73" t="str" cm="1">
        <f t="array" ref="AH20">IF($H20=0,"",IF(INDEX('DM01-AV-CH'!H$6:H$834,$H20)="","",INDEX('DM01-AV-CH'!H$6:H$834,$H20)))</f>
        <v/>
      </c>
      <c r="AI20" s="74" t="str" cm="1">
        <f t="array" ref="AI20">IF($H20=0,"",IF(INDEX('DM01-AV-CH'!I$6:I$834,$H20)="","",INDEX('DM01-AV-CH'!I$6:I$834,$H20)))</f>
        <v/>
      </c>
    </row>
    <row r="21" spans="1:35" x14ac:dyDescent="0.25">
      <c r="A21" s="57">
        <v>16</v>
      </c>
      <c r="B21" s="57">
        <f>IF($A21="","",IF(_xlfn.XLOOKUP($A21,Korrelation!$D$4:$D$1197,Korrelation!E$4:E$1197,"-",0)="-",0,MATCH(_xlfn.XLOOKUP($A21,Korrelation!$D$4:$D$1197,Korrelation!E$4:E$1197,"",0),DMAV_Modell!$G$6:$G$677,0)))</f>
        <v>16</v>
      </c>
      <c r="C21" s="57">
        <f>IF($A21="","",IF(_xlfn.XLOOKUP($A21,Korrelation!$D$4:$D$1197,Korrelation!F$4:F$1197,"-",0)="-",0,MATCH(_xlfn.XLOOKUP($A21,Korrelation!$D$4:$D$1197,Korrelation!F$4:F$1197,"",0),DMAV_Modell!$G$6:$G$677,0)))</f>
        <v>0</v>
      </c>
      <c r="D21" s="57">
        <f>IF($A21="","",IF(_xlfn.XLOOKUP($A21,Korrelation!$D$4:$D$1197,Korrelation!G$4:G$1197,"-",0)="-",0,MATCH(_xlfn.XLOOKUP($A21,Korrelation!$D$4:$D$1197,Korrelation!G$4:G$1197,"",0),DMAV_Modell!$G$6:$G$677,0)))</f>
        <v>0</v>
      </c>
      <c r="E21" s="57">
        <f>IF($A21="","",IF(_xlfn.XLOOKUP($A21,Korrelation!$D$4:$D$1197,Korrelation!H$4:H$1197,"-",0)="-",0,MATCH(_xlfn.XLOOKUP($A21,Korrelation!$D$4:$D$1197,Korrelation!H$4:H$1197,"",0),DMAV_Dienste!$F$6:$F$140,0)))</f>
        <v>0</v>
      </c>
      <c r="F21" s="57">
        <f>IF($A21="","",IF(_xlfn.XLOOKUP($A21,Korrelation!$D$4:$D$1197,Korrelation!I$4:I$1197,"-",0)="-",0,MATCH(_xlfn.XLOOKUP($A21,Korrelation!$D$4:$D$1197,Korrelation!I$4:I$1197,"",0),DMAV_Dienste!$F$6:$F$140,0)))</f>
        <v>0</v>
      </c>
      <c r="G21" s="57">
        <f>IF($A21="","",IF(_xlfn.XLOOKUP($A21,Korrelation!$D$4:$D$1197,Korrelation!J$4:J$1197,"-",0)="-",0,MATCH(_xlfn.XLOOKUP($A21,Korrelation!$D$4:$D$1197,Korrelation!J$4:J$1197,"",0),DMAV_Dienste!$F$6:$F$140,0)))</f>
        <v>0</v>
      </c>
      <c r="H21" s="57">
        <f>IF($A21="","",IF(_xlfn.XLOOKUP($A21,Korrelation!$D$4:$D$1197,Korrelation!K$4:K$1197,"-",0)="-",0,MATCH(_xlfn.XLOOKUP($A21,Korrelation!$D$4:$D$1197,Korrelation!K$4:K$1197,"",0),'DM01-AV-CH'!$A$6:$A$834,0)))</f>
        <v>0</v>
      </c>
      <c r="J21" s="54" t="str" cm="1">
        <f t="array" aca="1" ref="J21" ca="1">IF(B21=0,IF(E21=0,"",HYPERLINK("#"&amp;RIGHT(CELL("adresse",OFFSET(DMAV_Dienste!$M$6,E21-1,0)),LEN(CELL("adresse",OFFSET(DMAV_Dienste!$M$6,E21-1,0)))-FIND("]",CELL("adresse",OFFSET(DMAV_Dienste!$M$6,E21-1,0)))),"Dienst")),HYPERLINK("#"&amp;RIGHT(CELL("adresse",OFFSET(DMAV_Modell!$N$6,B21-1,0)),LEN(CELL("adresse",OFFSET(DMAV_Modell!$N$6,B21-1,0)))-FIND("]",CELL("adresse",OFFSET(DMAV_Modell!$N$6,B21-1,0)))),"Modell"))</f>
        <v>Modell</v>
      </c>
      <c r="K21" s="61" t="str" cm="1">
        <f t="array" ref="K21">IF($B21=0,IF($E21=0,"",IF(INDEX(DMAV_Dienste!P$6:P$140,$E21)="","",INDEX(DMAV_Dienste!P$6:P$140,$E21))),IF(INDEX(DMAV_Modell!Q$6:Q$838,$B21)="","",INDEX(DMAV_Modell!Q$6:Q$838,$B21)))</f>
        <v>IMPORTS</v>
      </c>
      <c r="L21" s="62" t="str" cm="1">
        <f t="array" ref="L21">IF($B21=0,IF($E21=0,"",IF(INDEX(DMAV_Dienste!O$6:O$140,$E21)="","",INDEX(DMAV_Dienste!O$6:O$140,$E21))),IF(INDEX(DMAV_Modell!P$6:P$838,$B21)="","",INDEX(DMAV_Modell!P$6:P$838,$B21)))</f>
        <v/>
      </c>
      <c r="M21" s="62" t="str" cm="1">
        <f t="array" ref="M21">IF($B21=0,IF($E21=0,"",IF(INDEX(DMAV_Dienste!Q$6:Q$140,$E21)="","",INDEX(DMAV_Dienste!Q$6:Q$140,$E21))),IF(INDEX(DMAV_Modell!R$6:R$838,$B21)="","",INDEX(DMAV_Modell!R$6:R$838,$B21)))</f>
        <v>OfficialIndexOfLocalities_V1_0</v>
      </c>
      <c r="N21" s="62" t="str" cm="1">
        <f t="array" ref="N21">IF($B21=0,IF($E21=0,"",IF(INDEX(DMAV_Dienste!T$6:T$140,$E21)="","",INDEX(DMAV_Dienste!T$6:T$140,$E21))),IF(INDEX(DMAV_Modell!U$6:U$838,$B21)="","",INDEX(DMAV_Modell!U$6:U$838,$B21)))</f>
        <v/>
      </c>
      <c r="O21" s="63" t="str" cm="1">
        <f t="array" aca="1" ref="O21" ca="1">IF(C21=0,IF(F21=0,"",HYPERLINK("#"&amp;RIGHT(CELL("adresse",OFFSET(DMAV_Dienste!$M$6,F21-1,0)),LEN(CELL("adresse",OFFSET(DMAV_Dienste!$M$6,F21-1,0)))-FIND("]",CELL("adresse",OFFSET(DMAV_Dienste!$M$6,F21-1,0)))),"Structure")),HYPERLINK("#"&amp;RIGHT(CELL("adresse",OFFSET(DMAV_Modell!$N$6,C21-1,0)),LEN(CELL("adresse",OFFSET(DMAV_Modell!$N$6,C21-1,0)))-FIND("]",CELL("adresse",OFFSET(DMAV_Modell!$N$6,C21-1,0)))),"Structure"))</f>
        <v/>
      </c>
      <c r="P21" s="64" t="str" cm="1">
        <f t="array" aca="1" ref="P21" ca="1">IF(D21=0,IF(G21=0,"",HYPERLINK("#"&amp;RIGHT(CELL("adresse",OFFSET(DMAV_Dienste!$M$6,G21-1,0)),LEN(CELL("adresse",OFFSET(DMAV_Dienste!$M$6,G21-1,0)))-FIND("]",CELL("adresse",OFFSET(DMAV_Dienste!$M$6,G21-1,0)))),"Substructure")),HYPERLINK("#"&amp;RIGHT(CELL("adresse",OFFSET(DMAV_Modell!$N$6,D21-1,0)),LEN(CELL("adresse",OFFSET(DMAV_Modell!$N$6,D21-1,0)))-FIND("]",CELL("adresse",OFFSET(DMAV_Modell!$N$6,D21-1,0)))),"Substructure"))</f>
        <v/>
      </c>
      <c r="R21" s="80"/>
      <c r="T21" s="93"/>
      <c r="U21" s="94"/>
      <c r="V21" s="95"/>
      <c r="W21" s="96"/>
      <c r="Y21" s="85"/>
      <c r="Z21" s="86"/>
      <c r="AA21" s="87"/>
      <c r="AB21" s="88"/>
      <c r="AD21" s="77"/>
      <c r="AF21" s="54" t="str" cm="1">
        <f t="array" aca="1" ref="AF21" ca="1">IF(H21=0,"",HYPERLINK("#"&amp;RIGHT(CELL("adresse",OFFSET('DM01-AV-CH'!$G$6,H21-1,0)),LEN(CELL("adresse",OFFSET('DM01-AV-CH'!$G$6,H21-1,0)))-FIND("]",CELL("adresse",OFFSET('DM01-AV-CH'!$G$6,H21-1,0)))),"Modell"))</f>
        <v/>
      </c>
      <c r="AG21" s="72" t="str" cm="1">
        <f t="array" ref="AG21">IF($H21=0,"",IF(INDEX('DM01-AV-CH'!G$6:G$834,$H21)="","",INDEX('DM01-AV-CH'!G$6:G$834,$H21)))</f>
        <v/>
      </c>
      <c r="AH21" s="73" t="str" cm="1">
        <f t="array" ref="AH21">IF($H21=0,"",IF(INDEX('DM01-AV-CH'!H$6:H$834,$H21)="","",INDEX('DM01-AV-CH'!H$6:H$834,$H21)))</f>
        <v/>
      </c>
      <c r="AI21" s="74" t="str" cm="1">
        <f t="array" ref="AI21">IF($H21=0,"",IF(INDEX('DM01-AV-CH'!I$6:I$834,$H21)="","",INDEX('DM01-AV-CH'!I$6:I$834,$H21)))</f>
        <v/>
      </c>
    </row>
    <row r="22" spans="1:35" x14ac:dyDescent="0.25">
      <c r="A22" s="57">
        <v>17</v>
      </c>
      <c r="B22" s="57">
        <f>IF($A22="","",IF(_xlfn.XLOOKUP($A22,Korrelation!$D$4:$D$1197,Korrelation!E$4:E$1197,"-",0)="-",0,MATCH(_xlfn.XLOOKUP($A22,Korrelation!$D$4:$D$1197,Korrelation!E$4:E$1197,"",0),DMAV_Modell!$G$6:$G$677,0)))</f>
        <v>0</v>
      </c>
      <c r="C22" s="57">
        <f>IF($A22="","",IF(_xlfn.XLOOKUP($A22,Korrelation!$D$4:$D$1197,Korrelation!F$4:F$1197,"-",0)="-",0,MATCH(_xlfn.XLOOKUP($A22,Korrelation!$D$4:$D$1197,Korrelation!F$4:F$1197,"",0),DMAV_Modell!$G$6:$G$677,0)))</f>
        <v>0</v>
      </c>
      <c r="D22" s="57">
        <f>IF($A22="","",IF(_xlfn.XLOOKUP($A22,Korrelation!$D$4:$D$1197,Korrelation!G$4:G$1197,"-",0)="-",0,MATCH(_xlfn.XLOOKUP($A22,Korrelation!$D$4:$D$1197,Korrelation!G$4:G$1197,"",0),DMAV_Modell!$G$6:$G$677,0)))</f>
        <v>0</v>
      </c>
      <c r="E22" s="57">
        <f>IF($A22="","",IF(_xlfn.XLOOKUP($A22,Korrelation!$D$4:$D$1197,Korrelation!H$4:H$1197,"-",0)="-",0,MATCH(_xlfn.XLOOKUP($A22,Korrelation!$D$4:$D$1197,Korrelation!H$4:H$1197,"",0),DMAV_Dienste!$F$6:$F$140,0)))</f>
        <v>0</v>
      </c>
      <c r="F22" s="57">
        <f>IF($A22="","",IF(_xlfn.XLOOKUP($A22,Korrelation!$D$4:$D$1197,Korrelation!I$4:I$1197,"-",0)="-",0,MATCH(_xlfn.XLOOKUP($A22,Korrelation!$D$4:$D$1197,Korrelation!I$4:I$1197,"",0),DMAV_Dienste!$F$6:$F$140,0)))</f>
        <v>0</v>
      </c>
      <c r="G22" s="57">
        <f>IF($A22="","",IF(_xlfn.XLOOKUP($A22,Korrelation!$D$4:$D$1197,Korrelation!J$4:J$1197,"-",0)="-",0,MATCH(_xlfn.XLOOKUP($A22,Korrelation!$D$4:$D$1197,Korrelation!J$4:J$1197,"",0),DMAV_Dienste!$F$6:$F$140,0)))</f>
        <v>0</v>
      </c>
      <c r="H22" s="57">
        <f>IF($A22="","",IF(_xlfn.XLOOKUP($A22,Korrelation!$D$4:$D$1197,Korrelation!K$4:K$1197,"-",0)="-",0,MATCH(_xlfn.XLOOKUP($A22,Korrelation!$D$4:$D$1197,Korrelation!K$4:K$1197,"",0),'DM01-AV-CH'!$A$6:$A$834,0)))</f>
        <v>1</v>
      </c>
      <c r="J22" s="54" t="str" cm="1">
        <f t="array" aca="1" ref="J22" ca="1">IF(B22=0,IF(E22=0,"",HYPERLINK("#"&amp;RIGHT(CELL("adresse",OFFSET(DMAV_Dienste!$M$6,E22-1,0)),LEN(CELL("adresse",OFFSET(DMAV_Dienste!$M$6,E22-1,0)))-FIND("]",CELL("adresse",OFFSET(DMAV_Dienste!$M$6,E22-1,0)))),"Dienst")),HYPERLINK("#"&amp;RIGHT(CELL("adresse",OFFSET(DMAV_Modell!$N$6,B22-1,0)),LEN(CELL("adresse",OFFSET(DMAV_Modell!$N$6,B22-1,0)))-FIND("]",CELL("adresse",OFFSET(DMAV_Modell!$N$6,B22-1,0)))),"Modell"))</f>
        <v/>
      </c>
      <c r="K22" s="61" t="str" cm="1">
        <f t="array" ref="K22">IF($B22=0,IF($E22=0,"",IF(INDEX(DMAV_Dienste!P$6:P$140,$E22)="","",INDEX(DMAV_Dienste!P$6:P$140,$E22))),IF(INDEX(DMAV_Modell!Q$6:Q$838,$B22)="","",INDEX(DMAV_Modell!Q$6:Q$838,$B22)))</f>
        <v/>
      </c>
      <c r="L22" s="62" t="str" cm="1">
        <f t="array" ref="L22">IF($B22=0,IF($E22=0,"",IF(INDEX(DMAV_Dienste!O$6:O$140,$E22)="","",INDEX(DMAV_Dienste!O$6:O$140,$E22))),IF(INDEX(DMAV_Modell!P$6:P$838,$B22)="","",INDEX(DMAV_Modell!P$6:P$838,$B22)))</f>
        <v/>
      </c>
      <c r="M22" s="62" t="str" cm="1">
        <f t="array" ref="M22">IF($B22=0,IF($E22=0,"",IF(INDEX(DMAV_Dienste!Q$6:Q$140,$E22)="","",INDEX(DMAV_Dienste!Q$6:Q$140,$E22))),IF(INDEX(DMAV_Modell!R$6:R$838,$B22)="","",INDEX(DMAV_Modell!R$6:R$838,$B22)))</f>
        <v/>
      </c>
      <c r="N22" s="62" t="str" cm="1">
        <f t="array" ref="N22">IF($B22=0,IF($E22=0,"",IF(INDEX(DMAV_Dienste!T$6:T$140,$E22)="","",INDEX(DMAV_Dienste!T$6:T$140,$E22))),IF(INDEX(DMAV_Modell!U$6:U$838,$B22)="","",INDEX(DMAV_Modell!U$6:U$838,$B22)))</f>
        <v/>
      </c>
      <c r="O22" s="63" t="str" cm="1">
        <f t="array" aca="1" ref="O22" ca="1">IF(C22=0,IF(F22=0,"",HYPERLINK("#"&amp;RIGHT(CELL("adresse",OFFSET(DMAV_Dienste!$M$6,F22-1,0)),LEN(CELL("adresse",OFFSET(DMAV_Dienste!$M$6,F22-1,0)))-FIND("]",CELL("adresse",OFFSET(DMAV_Dienste!$M$6,F22-1,0)))),"Structure")),HYPERLINK("#"&amp;RIGHT(CELL("adresse",OFFSET(DMAV_Modell!$N$6,C22-1,0)),LEN(CELL("adresse",OFFSET(DMAV_Modell!$N$6,C22-1,0)))-FIND("]",CELL("adresse",OFFSET(DMAV_Modell!$N$6,C22-1,0)))),"Structure"))</f>
        <v/>
      </c>
      <c r="P22" s="64" t="str" cm="1">
        <f t="array" aca="1" ref="P22" ca="1">IF(D22=0,IF(G22=0,"",HYPERLINK("#"&amp;RIGHT(CELL("adresse",OFFSET(DMAV_Dienste!$M$6,G22-1,0)),LEN(CELL("adresse",OFFSET(DMAV_Dienste!$M$6,G22-1,0)))-FIND("]",CELL("adresse",OFFSET(DMAV_Dienste!$M$6,G22-1,0)))),"Substructure")),HYPERLINK("#"&amp;RIGHT(CELL("adresse",OFFSET(DMAV_Modell!$N$6,D22-1,0)),LEN(CELL("adresse",OFFSET(DMAV_Modell!$N$6,D22-1,0)))-FIND("]",CELL("adresse",OFFSET(DMAV_Modell!$N$6,D22-1,0)))),"Substructure"))</f>
        <v/>
      </c>
      <c r="R22" s="80"/>
      <c r="T22" s="93"/>
      <c r="U22" s="94"/>
      <c r="V22" s="95"/>
      <c r="W22" s="96"/>
      <c r="Y22" s="85"/>
      <c r="Z22" s="86"/>
      <c r="AA22" s="87"/>
      <c r="AB22" s="88"/>
      <c r="AD22" s="77"/>
      <c r="AF22" s="54" t="str" cm="1">
        <f t="array" aca="1" ref="AF22" ca="1">IF(H22=0,"",HYPERLINK("#"&amp;RIGHT(CELL("adresse",OFFSET('DM01-AV-CH'!$G$6,H22-1,0)),LEN(CELL("adresse",OFFSET('DM01-AV-CH'!$G$6,H22-1,0)))-FIND("]",CELL("adresse",OFFSET('DM01-AV-CH'!$G$6,H22-1,0)))),"Modell"))</f>
        <v>Modell</v>
      </c>
      <c r="AG22" s="72" t="str" cm="1">
        <f t="array" ref="AG22">IF($H22=0,"",IF(INDEX('DM01-AV-CH'!G$6:G$834,$H22)="","",INDEX('DM01-AV-CH'!G$6:G$834,$H22)))</f>
        <v>Allgemein</v>
      </c>
      <c r="AH22" s="73" t="str" cm="1">
        <f t="array" ref="AH22">IF($H22=0,"",IF(INDEX('DM01-AV-CH'!H$6:H$834,$H22)="","",INDEX('DM01-AV-CH'!H$6:H$834,$H22)))</f>
        <v/>
      </c>
      <c r="AI22" s="74" t="str" cm="1">
        <f t="array" ref="AI22">IF($H22=0,"",IF(INDEX('DM01-AV-CH'!I$6:I$834,$H22)="","",INDEX('DM01-AV-CH'!I$6:I$834,$H22)))</f>
        <v>LKoord</v>
      </c>
    </row>
    <row r="23" spans="1:35" x14ac:dyDescent="0.25">
      <c r="A23" s="57">
        <v>18</v>
      </c>
      <c r="B23" s="57">
        <f>IF($A23="","",IF(_xlfn.XLOOKUP($A23,Korrelation!$D$4:$D$1197,Korrelation!E$4:E$1197,"-",0)="-",0,MATCH(_xlfn.XLOOKUP($A23,Korrelation!$D$4:$D$1197,Korrelation!E$4:E$1197,"",0),DMAV_Modell!$G$6:$G$677,0)))</f>
        <v>0</v>
      </c>
      <c r="C23" s="57">
        <f>IF($A23="","",IF(_xlfn.XLOOKUP($A23,Korrelation!$D$4:$D$1197,Korrelation!F$4:F$1197,"-",0)="-",0,MATCH(_xlfn.XLOOKUP($A23,Korrelation!$D$4:$D$1197,Korrelation!F$4:F$1197,"",0),DMAV_Modell!$G$6:$G$677,0)))</f>
        <v>0</v>
      </c>
      <c r="D23" s="57">
        <f>IF($A23="","",IF(_xlfn.XLOOKUP($A23,Korrelation!$D$4:$D$1197,Korrelation!G$4:G$1197,"-",0)="-",0,MATCH(_xlfn.XLOOKUP($A23,Korrelation!$D$4:$D$1197,Korrelation!G$4:G$1197,"",0),DMAV_Modell!$G$6:$G$677,0)))</f>
        <v>0</v>
      </c>
      <c r="E23" s="57">
        <f>IF($A23="","",IF(_xlfn.XLOOKUP($A23,Korrelation!$D$4:$D$1197,Korrelation!H$4:H$1197,"-",0)="-",0,MATCH(_xlfn.XLOOKUP($A23,Korrelation!$D$4:$D$1197,Korrelation!H$4:H$1197,"",0),DMAV_Dienste!$F$6:$F$140,0)))</f>
        <v>0</v>
      </c>
      <c r="F23" s="57">
        <f>IF($A23="","",IF(_xlfn.XLOOKUP($A23,Korrelation!$D$4:$D$1197,Korrelation!I$4:I$1197,"-",0)="-",0,MATCH(_xlfn.XLOOKUP($A23,Korrelation!$D$4:$D$1197,Korrelation!I$4:I$1197,"",0),DMAV_Dienste!$F$6:$F$140,0)))</f>
        <v>0</v>
      </c>
      <c r="G23" s="57">
        <f>IF($A23="","",IF(_xlfn.XLOOKUP($A23,Korrelation!$D$4:$D$1197,Korrelation!J$4:J$1197,"-",0)="-",0,MATCH(_xlfn.XLOOKUP($A23,Korrelation!$D$4:$D$1197,Korrelation!J$4:J$1197,"",0),DMAV_Dienste!$F$6:$F$140,0)))</f>
        <v>0</v>
      </c>
      <c r="H23" s="57">
        <f>IF($A23="","",IF(_xlfn.XLOOKUP($A23,Korrelation!$D$4:$D$1197,Korrelation!K$4:K$1197,"-",0)="-",0,MATCH(_xlfn.XLOOKUP($A23,Korrelation!$D$4:$D$1197,Korrelation!K$4:K$1197,"",0),'DM01-AV-CH'!$A$6:$A$834,0)))</f>
        <v>2</v>
      </c>
      <c r="J23" s="54" t="str" cm="1">
        <f t="array" aca="1" ref="J23" ca="1">IF(B23=0,IF(E23=0,"",HYPERLINK("#"&amp;RIGHT(CELL("adresse",OFFSET(DMAV_Dienste!$M$6,E23-1,0)),LEN(CELL("adresse",OFFSET(DMAV_Dienste!$M$6,E23-1,0)))-FIND("]",CELL("adresse",OFFSET(DMAV_Dienste!$M$6,E23-1,0)))),"Dienst")),HYPERLINK("#"&amp;RIGHT(CELL("adresse",OFFSET(DMAV_Modell!$N$6,B23-1,0)),LEN(CELL("adresse",OFFSET(DMAV_Modell!$N$6,B23-1,0)))-FIND("]",CELL("adresse",OFFSET(DMAV_Modell!$N$6,B23-1,0)))),"Modell"))</f>
        <v/>
      </c>
      <c r="K23" s="61" t="str" cm="1">
        <f t="array" ref="K23">IF($B23=0,IF($E23=0,"",IF(INDEX(DMAV_Dienste!P$6:P$140,$E23)="","",INDEX(DMAV_Dienste!P$6:P$140,$E23))),IF(INDEX(DMAV_Modell!Q$6:Q$838,$B23)="","",INDEX(DMAV_Modell!Q$6:Q$838,$B23)))</f>
        <v/>
      </c>
      <c r="L23" s="62" t="str" cm="1">
        <f t="array" ref="L23">IF($B23=0,IF($E23=0,"",IF(INDEX(DMAV_Dienste!O$6:O$140,$E23)="","",INDEX(DMAV_Dienste!O$6:O$140,$E23))),IF(INDEX(DMAV_Modell!P$6:P$838,$B23)="","",INDEX(DMAV_Modell!P$6:P$838,$B23)))</f>
        <v/>
      </c>
      <c r="M23" s="62" t="str" cm="1">
        <f t="array" ref="M23">IF($B23=0,IF($E23=0,"",IF(INDEX(DMAV_Dienste!Q$6:Q$140,$E23)="","",INDEX(DMAV_Dienste!Q$6:Q$140,$E23))),IF(INDEX(DMAV_Modell!R$6:R$838,$B23)="","",INDEX(DMAV_Modell!R$6:R$838,$B23)))</f>
        <v/>
      </c>
      <c r="N23" s="62" t="str" cm="1">
        <f t="array" ref="N23">IF($B23=0,IF($E23=0,"",IF(INDEX(DMAV_Dienste!T$6:T$140,$E23)="","",INDEX(DMAV_Dienste!T$6:T$140,$E23))),IF(INDEX(DMAV_Modell!U$6:U$838,$B23)="","",INDEX(DMAV_Modell!U$6:U$838,$B23)))</f>
        <v/>
      </c>
      <c r="O23" s="63" t="str" cm="1">
        <f t="array" aca="1" ref="O23" ca="1">IF(C23=0,IF(F23=0,"",HYPERLINK("#"&amp;RIGHT(CELL("adresse",OFFSET(DMAV_Dienste!$M$6,F23-1,0)),LEN(CELL("adresse",OFFSET(DMAV_Dienste!$M$6,F23-1,0)))-FIND("]",CELL("adresse",OFFSET(DMAV_Dienste!$M$6,F23-1,0)))),"Structure")),HYPERLINK("#"&amp;RIGHT(CELL("adresse",OFFSET(DMAV_Modell!$N$6,C23-1,0)),LEN(CELL("adresse",OFFSET(DMAV_Modell!$N$6,C23-1,0)))-FIND("]",CELL("adresse",OFFSET(DMAV_Modell!$N$6,C23-1,0)))),"Structure"))</f>
        <v/>
      </c>
      <c r="P23" s="64" t="str" cm="1">
        <f t="array" aca="1" ref="P23" ca="1">IF(D23=0,IF(G23=0,"",HYPERLINK("#"&amp;RIGHT(CELL("adresse",OFFSET(DMAV_Dienste!$M$6,G23-1,0)),LEN(CELL("adresse",OFFSET(DMAV_Dienste!$M$6,G23-1,0)))-FIND("]",CELL("adresse",OFFSET(DMAV_Dienste!$M$6,G23-1,0)))),"Substructure")),HYPERLINK("#"&amp;RIGHT(CELL("adresse",OFFSET(DMAV_Modell!$N$6,D23-1,0)),LEN(CELL("adresse",OFFSET(DMAV_Modell!$N$6,D23-1,0)))-FIND("]",CELL("adresse",OFFSET(DMAV_Modell!$N$6,D23-1,0)))),"Substructure"))</f>
        <v/>
      </c>
      <c r="R23" s="80"/>
      <c r="T23" s="93"/>
      <c r="U23" s="94"/>
      <c r="V23" s="95"/>
      <c r="W23" s="96"/>
      <c r="Y23" s="85"/>
      <c r="Z23" s="86"/>
      <c r="AA23" s="87"/>
      <c r="AB23" s="88"/>
      <c r="AD23" s="77"/>
      <c r="AF23" s="54" t="str" cm="1">
        <f t="array" aca="1" ref="AF23" ca="1">IF(H23=0,"",HYPERLINK("#"&amp;RIGHT(CELL("adresse",OFFSET('DM01-AV-CH'!$G$6,H23-1,0)),LEN(CELL("adresse",OFFSET('DM01-AV-CH'!$G$6,H23-1,0)))-FIND("]",CELL("adresse",OFFSET('DM01-AV-CH'!$G$6,H23-1,0)))),"Modell"))</f>
        <v>Modell</v>
      </c>
      <c r="AG23" s="72" t="str" cm="1">
        <f t="array" ref="AG23">IF($H23=0,"",IF(INDEX('DM01-AV-CH'!G$6:G$834,$H23)="","",INDEX('DM01-AV-CH'!G$6:G$834,$H23)))</f>
        <v>Allgemein</v>
      </c>
      <c r="AH23" s="73" t="str" cm="1">
        <f t="array" ref="AH23">IF($H23=0,"",IF(INDEX('DM01-AV-CH'!H$6:H$834,$H23)="","",INDEX('DM01-AV-CH'!H$6:H$834,$H23)))</f>
        <v/>
      </c>
      <c r="AI23" s="74" t="str" cm="1">
        <f t="array" ref="AI23">IF($H23=0,"",IF(INDEX('DM01-AV-CH'!I$6:I$834,$H23)="","",INDEX('DM01-AV-CH'!I$6:I$834,$H23)))</f>
        <v>HKoord</v>
      </c>
    </row>
    <row r="24" spans="1:35" x14ac:dyDescent="0.25">
      <c r="A24" s="57">
        <v>19</v>
      </c>
      <c r="B24" s="57">
        <f>IF($A24="","",IF(_xlfn.XLOOKUP($A24,Korrelation!$D$4:$D$1197,Korrelation!E$4:E$1197,"-",0)="-",0,MATCH(_xlfn.XLOOKUP($A24,Korrelation!$D$4:$D$1197,Korrelation!E$4:E$1197,"",0),DMAV_Modell!$G$6:$G$677,0)))</f>
        <v>17</v>
      </c>
      <c r="C24" s="57">
        <f>IF($A24="","",IF(_xlfn.XLOOKUP($A24,Korrelation!$D$4:$D$1197,Korrelation!F$4:F$1197,"-",0)="-",0,MATCH(_xlfn.XLOOKUP($A24,Korrelation!$D$4:$D$1197,Korrelation!F$4:F$1197,"",0),DMAV_Modell!$G$6:$G$677,0)))</f>
        <v>0</v>
      </c>
      <c r="D24" s="57">
        <f>IF($A24="","",IF(_xlfn.XLOOKUP($A24,Korrelation!$D$4:$D$1197,Korrelation!G$4:G$1197,"-",0)="-",0,MATCH(_xlfn.XLOOKUP($A24,Korrelation!$D$4:$D$1197,Korrelation!G$4:G$1197,"",0),DMAV_Modell!$G$6:$G$677,0)))</f>
        <v>0</v>
      </c>
      <c r="E24" s="57">
        <f>IF($A24="","",IF(_xlfn.XLOOKUP($A24,Korrelation!$D$4:$D$1197,Korrelation!H$4:H$1197,"-",0)="-",0,MATCH(_xlfn.XLOOKUP($A24,Korrelation!$D$4:$D$1197,Korrelation!H$4:H$1197,"",0),DMAV_Dienste!$F$6:$F$140,0)))</f>
        <v>0</v>
      </c>
      <c r="F24" s="57">
        <f>IF($A24="","",IF(_xlfn.XLOOKUP($A24,Korrelation!$D$4:$D$1197,Korrelation!I$4:I$1197,"-",0)="-",0,MATCH(_xlfn.XLOOKUP($A24,Korrelation!$D$4:$D$1197,Korrelation!I$4:I$1197,"",0),DMAV_Dienste!$F$6:$F$140,0)))</f>
        <v>0</v>
      </c>
      <c r="G24" s="57">
        <f>IF($A24="","",IF(_xlfn.XLOOKUP($A24,Korrelation!$D$4:$D$1197,Korrelation!J$4:J$1197,"-",0)="-",0,MATCH(_xlfn.XLOOKUP($A24,Korrelation!$D$4:$D$1197,Korrelation!J$4:J$1197,"",0),DMAV_Dienste!$F$6:$F$140,0)))</f>
        <v>0</v>
      </c>
      <c r="H24" s="57">
        <f>IF($A24="","",IF(_xlfn.XLOOKUP($A24,Korrelation!$D$4:$D$1197,Korrelation!K$4:K$1197,"-",0)="-",0,MATCH(_xlfn.XLOOKUP($A24,Korrelation!$D$4:$D$1197,Korrelation!K$4:K$1197,"",0),'DM01-AV-CH'!$A$6:$A$834,0)))</f>
        <v>3</v>
      </c>
      <c r="J24" s="54" t="str" cm="1">
        <f t="array" aca="1" ref="J24" ca="1">IF(B24=0,IF(E24=0,"",HYPERLINK("#"&amp;RIGHT(CELL("adresse",OFFSET(DMAV_Dienste!$M$6,E24-1,0)),LEN(CELL("adresse",OFFSET(DMAV_Dienste!$M$6,E24-1,0)))-FIND("]",CELL("adresse",OFFSET(DMAV_Dienste!$M$6,E24-1,0)))),"Dienst")),HYPERLINK("#"&amp;RIGHT(CELL("adresse",OFFSET(DMAV_Modell!$N$6,B24-1,0)),LEN(CELL("adresse",OFFSET(DMAV_Modell!$N$6,B24-1,0)))-FIND("]",CELL("adresse",OFFSET(DMAV_Modell!$N$6,B24-1,0)))),"Modell"))</f>
        <v>Modell</v>
      </c>
      <c r="K24" s="61" t="str" cm="1">
        <f t="array" ref="K24">IF($B24=0,IF($E24=0,"",IF(INDEX(DMAV_Dienste!P$6:P$140,$E24)="","",INDEX(DMAV_Dienste!P$6:P$140,$E24))),IF(INDEX(DMAV_Modell!Q$6:Q$838,$B24)="","",INDEX(DMAV_Modell!Q$6:Q$838,$B24)))</f>
        <v>DOMAIN</v>
      </c>
      <c r="L24" s="62" t="str" cm="1">
        <f t="array" ref="L24">IF($B24=0,IF($E24=0,"",IF(INDEX(DMAV_Dienste!O$6:O$140,$E24)="","",INDEX(DMAV_Dienste!O$6:O$140,$E24))),IF(INDEX(DMAV_Modell!P$6:P$838,$B24)="","",INDEX(DMAV_Modell!P$6:P$838,$B24)))</f>
        <v/>
      </c>
      <c r="M24" s="62" t="str" cm="1">
        <f t="array" ref="M24">IF($B24=0,IF($E24=0,"",IF(INDEX(DMAV_Dienste!Q$6:Q$140,$E24)="","",INDEX(DMAV_Dienste!Q$6:Q$140,$E24))),IF(INDEX(DMAV_Modell!R$6:R$838,$B24)="","",INDEX(DMAV_Modell!R$6:R$838,$B24)))</f>
        <v>Hoehe</v>
      </c>
      <c r="N24" s="62" t="str" cm="1">
        <f t="array" ref="N24">IF($B24=0,IF($E24=0,"",IF(INDEX(DMAV_Dienste!T$6:T$140,$E24)="","",INDEX(DMAV_Dienste!T$6:T$140,$E24))),IF(INDEX(DMAV_Modell!U$6:U$838,$B24)="","",INDEX(DMAV_Modell!U$6:U$838,$B24)))</f>
        <v/>
      </c>
      <c r="O24" s="63" t="str" cm="1">
        <f t="array" aca="1" ref="O24" ca="1">IF(C24=0,IF(F24=0,"",HYPERLINK("#"&amp;RIGHT(CELL("adresse",OFFSET(DMAV_Dienste!$M$6,F24-1,0)),LEN(CELL("adresse",OFFSET(DMAV_Dienste!$M$6,F24-1,0)))-FIND("]",CELL("adresse",OFFSET(DMAV_Dienste!$M$6,F24-1,0)))),"Structure")),HYPERLINK("#"&amp;RIGHT(CELL("adresse",OFFSET(DMAV_Modell!$N$6,C24-1,0)),LEN(CELL("adresse",OFFSET(DMAV_Modell!$N$6,C24-1,0)))-FIND("]",CELL("adresse",OFFSET(DMAV_Modell!$N$6,C24-1,0)))),"Structure"))</f>
        <v/>
      </c>
      <c r="P24" s="64" t="str" cm="1">
        <f t="array" aca="1" ref="P24" ca="1">IF(D24=0,IF(G24=0,"",HYPERLINK("#"&amp;RIGHT(CELL("adresse",OFFSET(DMAV_Dienste!$M$6,G24-1,0)),LEN(CELL("adresse",OFFSET(DMAV_Dienste!$M$6,G24-1,0)))-FIND("]",CELL("adresse",OFFSET(DMAV_Dienste!$M$6,G24-1,0)))),"Substructure")),HYPERLINK("#"&amp;RIGHT(CELL("adresse",OFFSET(DMAV_Modell!$N$6,D24-1,0)),LEN(CELL("adresse",OFFSET(DMAV_Modell!$N$6,D24-1,0)))-FIND("]",CELL("adresse",OFFSET(DMAV_Modell!$N$6,D24-1,0)))),"Substructure"))</f>
        <v/>
      </c>
      <c r="R24" s="80"/>
      <c r="T24" s="93"/>
      <c r="U24" s="94"/>
      <c r="V24" s="95"/>
      <c r="W24" s="96"/>
      <c r="Y24" s="85"/>
      <c r="Z24" s="86"/>
      <c r="AA24" s="87"/>
      <c r="AB24" s="88"/>
      <c r="AD24" s="77"/>
      <c r="AF24" s="54" t="str" cm="1">
        <f t="array" aca="1" ref="AF24" ca="1">IF(H24=0,"",HYPERLINK("#"&amp;RIGHT(CELL("adresse",OFFSET('DM01-AV-CH'!$G$6,H24-1,0)),LEN(CELL("adresse",OFFSET('DM01-AV-CH'!$G$6,H24-1,0)))-FIND("]",CELL("adresse",OFFSET('DM01-AV-CH'!$G$6,H24-1,0)))),"Modell"))</f>
        <v>Modell</v>
      </c>
      <c r="AG24" s="72" t="str" cm="1">
        <f t="array" ref="AG24">IF($H24=0,"",IF(INDEX('DM01-AV-CH'!G$6:G$834,$H24)="","",INDEX('DM01-AV-CH'!G$6:G$834,$H24)))</f>
        <v>Allgemein</v>
      </c>
      <c r="AH24" s="73" t="str" cm="1">
        <f t="array" ref="AH24">IF($H24=0,"",IF(INDEX('DM01-AV-CH'!H$6:H$834,$H24)="","",INDEX('DM01-AV-CH'!H$6:H$834,$H24)))</f>
        <v/>
      </c>
      <c r="AI24" s="74" t="str" cm="1">
        <f t="array" ref="AI24">IF($H24=0,"",IF(INDEX('DM01-AV-CH'!I$6:I$834,$H24)="","",INDEX('DM01-AV-CH'!I$6:I$834,$H24)))</f>
        <v>Hoehe</v>
      </c>
    </row>
    <row r="25" spans="1:35" x14ac:dyDescent="0.25">
      <c r="A25" s="57">
        <v>20</v>
      </c>
      <c r="B25" s="57">
        <f>IF($A25="","",IF(_xlfn.XLOOKUP($A25,Korrelation!$D$4:$D$1197,Korrelation!E$4:E$1197,"-",0)="-",0,MATCH(_xlfn.XLOOKUP($A25,Korrelation!$D$4:$D$1197,Korrelation!E$4:E$1197,"",0),DMAV_Modell!$G$6:$G$677,0)))</f>
        <v>18</v>
      </c>
      <c r="C25" s="57">
        <f>IF($A25="","",IF(_xlfn.XLOOKUP($A25,Korrelation!$D$4:$D$1197,Korrelation!F$4:F$1197,"-",0)="-",0,MATCH(_xlfn.XLOOKUP($A25,Korrelation!$D$4:$D$1197,Korrelation!F$4:F$1197,"",0),DMAV_Modell!$G$6:$G$677,0)))</f>
        <v>0</v>
      </c>
      <c r="D25" s="57">
        <f>IF($A25="","",IF(_xlfn.XLOOKUP($A25,Korrelation!$D$4:$D$1197,Korrelation!G$4:G$1197,"-",0)="-",0,MATCH(_xlfn.XLOOKUP($A25,Korrelation!$D$4:$D$1197,Korrelation!G$4:G$1197,"",0),DMAV_Modell!$G$6:$G$677,0)))</f>
        <v>0</v>
      </c>
      <c r="E25" s="57">
        <f>IF($A25="","",IF(_xlfn.XLOOKUP($A25,Korrelation!$D$4:$D$1197,Korrelation!H$4:H$1197,"-",0)="-",0,MATCH(_xlfn.XLOOKUP($A25,Korrelation!$D$4:$D$1197,Korrelation!H$4:H$1197,"",0),DMAV_Dienste!$F$6:$F$140,0)))</f>
        <v>0</v>
      </c>
      <c r="F25" s="57">
        <f>IF($A25="","",IF(_xlfn.XLOOKUP($A25,Korrelation!$D$4:$D$1197,Korrelation!I$4:I$1197,"-",0)="-",0,MATCH(_xlfn.XLOOKUP($A25,Korrelation!$D$4:$D$1197,Korrelation!I$4:I$1197,"",0),DMAV_Dienste!$F$6:$F$140,0)))</f>
        <v>0</v>
      </c>
      <c r="G25" s="57">
        <f>IF($A25="","",IF(_xlfn.XLOOKUP($A25,Korrelation!$D$4:$D$1197,Korrelation!J$4:J$1197,"-",0)="-",0,MATCH(_xlfn.XLOOKUP($A25,Korrelation!$D$4:$D$1197,Korrelation!J$4:J$1197,"",0),DMAV_Dienste!$F$6:$F$140,0)))</f>
        <v>0</v>
      </c>
      <c r="H25" s="57">
        <f>IF($A25="","",IF(_xlfn.XLOOKUP($A25,Korrelation!$D$4:$D$1197,Korrelation!K$4:K$1197,"-",0)="-",0,MATCH(_xlfn.XLOOKUP($A25,Korrelation!$D$4:$D$1197,Korrelation!K$4:K$1197,"",0),'DM01-AV-CH'!$A$6:$A$834,0)))</f>
        <v>0</v>
      </c>
      <c r="J25" s="54" t="str" cm="1">
        <f t="array" aca="1" ref="J25" ca="1">IF(B25=0,IF(E25=0,"",HYPERLINK("#"&amp;RIGHT(CELL("adresse",OFFSET(DMAV_Dienste!$M$6,E25-1,0)),LEN(CELL("adresse",OFFSET(DMAV_Dienste!$M$6,E25-1,0)))-FIND("]",CELL("adresse",OFFSET(DMAV_Dienste!$M$6,E25-1,0)))),"Dienst")),HYPERLINK("#"&amp;RIGHT(CELL("adresse",OFFSET(DMAV_Modell!$N$6,B25-1,0)),LEN(CELL("adresse",OFFSET(DMAV_Modell!$N$6,B25-1,0)))-FIND("]",CELL("adresse",OFFSET(DMAV_Modell!$N$6,B25-1,0)))),"Modell"))</f>
        <v>Modell</v>
      </c>
      <c r="K25" s="61" t="str" cm="1">
        <f t="array" ref="K25">IF($B25=0,IF($E25=0,"",IF(INDEX(DMAV_Dienste!P$6:P$140,$E25)="","",INDEX(DMAV_Dienste!P$6:P$140,$E25))),IF(INDEX(DMAV_Modell!Q$6:Q$838,$B25)="","",INDEX(DMAV_Modell!Q$6:Q$838,$B25)))</f>
        <v>IMPORTS</v>
      </c>
      <c r="L25" s="62" t="str" cm="1">
        <f t="array" ref="L25">IF($B25=0,IF($E25=0,"",IF(INDEX(DMAV_Dienste!O$6:O$140,$E25)="","",INDEX(DMAV_Dienste!O$6:O$140,$E25))),IF(INDEX(DMAV_Modell!P$6:P$838,$B25)="","",INDEX(DMAV_Modell!P$6:P$838,$B25)))</f>
        <v/>
      </c>
      <c r="M25" s="62" t="str" cm="1">
        <f t="array" ref="M25">IF($B25=0,IF($E25=0,"",IF(INDEX(DMAV_Dienste!Q$6:Q$140,$E25)="","",INDEX(DMAV_Dienste!Q$6:Q$140,$E25))),IF(INDEX(DMAV_Modell!R$6:R$838,$B25)="","",INDEX(DMAV_Modell!R$6:R$838,$B25)))</f>
        <v>Units</v>
      </c>
      <c r="N25" s="62" t="str" cm="1">
        <f t="array" ref="N25">IF($B25=0,IF($E25=0,"",IF(INDEX(DMAV_Dienste!T$6:T$140,$E25)="","",INDEX(DMAV_Dienste!T$6:T$140,$E25))),IF(INDEX(DMAV_Modell!U$6:U$838,$B25)="","",INDEX(DMAV_Modell!U$6:U$838,$B25)))</f>
        <v/>
      </c>
      <c r="O25" s="63" t="str" cm="1">
        <f t="array" aca="1" ref="O25" ca="1">IF(C25=0,IF(F25=0,"",HYPERLINK("#"&amp;RIGHT(CELL("adresse",OFFSET(DMAV_Dienste!$M$6,F25-1,0)),LEN(CELL("adresse",OFFSET(DMAV_Dienste!$M$6,F25-1,0)))-FIND("]",CELL("adresse",OFFSET(DMAV_Dienste!$M$6,F25-1,0)))),"Structure")),HYPERLINK("#"&amp;RIGHT(CELL("adresse",OFFSET(DMAV_Modell!$N$6,C25-1,0)),LEN(CELL("adresse",OFFSET(DMAV_Modell!$N$6,C25-1,0)))-FIND("]",CELL("adresse",OFFSET(DMAV_Modell!$N$6,C25-1,0)))),"Structure"))</f>
        <v/>
      </c>
      <c r="P25" s="64" t="str" cm="1">
        <f t="array" aca="1" ref="P25" ca="1">IF(D25=0,IF(G25=0,"",HYPERLINK("#"&amp;RIGHT(CELL("adresse",OFFSET(DMAV_Dienste!$M$6,G25-1,0)),LEN(CELL("adresse",OFFSET(DMAV_Dienste!$M$6,G25-1,0)))-FIND("]",CELL("adresse",OFFSET(DMAV_Dienste!$M$6,G25-1,0)))),"Substructure")),HYPERLINK("#"&amp;RIGHT(CELL("adresse",OFFSET(DMAV_Modell!$N$6,D25-1,0)),LEN(CELL("adresse",OFFSET(DMAV_Modell!$N$6,D25-1,0)))-FIND("]",CELL("adresse",OFFSET(DMAV_Modell!$N$6,D25-1,0)))),"Substructure"))</f>
        <v/>
      </c>
      <c r="R25" s="80"/>
      <c r="T25" s="93"/>
      <c r="U25" s="94"/>
      <c r="V25" s="95"/>
      <c r="W25" s="96"/>
      <c r="Y25" s="85"/>
      <c r="Z25" s="86"/>
      <c r="AA25" s="87"/>
      <c r="AB25" s="88"/>
      <c r="AD25" s="77"/>
      <c r="AF25" s="54" t="str" cm="1">
        <f t="array" aca="1" ref="AF25" ca="1">IF(H25=0,"",HYPERLINK("#"&amp;RIGHT(CELL("adresse",OFFSET('DM01-AV-CH'!$G$6,H25-1,0)),LEN(CELL("adresse",OFFSET('DM01-AV-CH'!$G$6,H25-1,0)))-FIND("]",CELL("adresse",OFFSET('DM01-AV-CH'!$G$6,H25-1,0)))),"Modell"))</f>
        <v/>
      </c>
      <c r="AG25" s="72" t="str" cm="1">
        <f t="array" ref="AG25">IF($H25=0,"",IF(INDEX('DM01-AV-CH'!G$6:G$834,$H25)="","",INDEX('DM01-AV-CH'!G$6:G$834,$H25)))</f>
        <v/>
      </c>
      <c r="AH25" s="73" t="str" cm="1">
        <f t="array" ref="AH25">IF($H25=0,"",IF(INDEX('DM01-AV-CH'!H$6:H$834,$H25)="","",INDEX('DM01-AV-CH'!H$6:H$834,$H25)))</f>
        <v/>
      </c>
      <c r="AI25" s="74" t="str" cm="1">
        <f t="array" ref="AI25">IF($H25=0,"",IF(INDEX('DM01-AV-CH'!I$6:I$834,$H25)="","",INDEX('DM01-AV-CH'!I$6:I$834,$H25)))</f>
        <v/>
      </c>
    </row>
    <row r="26" spans="1:35" x14ac:dyDescent="0.25">
      <c r="A26" s="57">
        <v>21</v>
      </c>
      <c r="B26" s="57">
        <f>IF($A26="","",IF(_xlfn.XLOOKUP($A26,Korrelation!$D$4:$D$1197,Korrelation!E$4:E$1197,"-",0)="-",0,MATCH(_xlfn.XLOOKUP($A26,Korrelation!$D$4:$D$1197,Korrelation!E$4:E$1197,"",0),DMAV_Modell!$G$6:$G$677,0)))</f>
        <v>19</v>
      </c>
      <c r="C26" s="57">
        <f>IF($A26="","",IF(_xlfn.XLOOKUP($A26,Korrelation!$D$4:$D$1197,Korrelation!F$4:F$1197,"-",0)="-",0,MATCH(_xlfn.XLOOKUP($A26,Korrelation!$D$4:$D$1197,Korrelation!F$4:F$1197,"",0),DMAV_Modell!$G$6:$G$677,0)))</f>
        <v>0</v>
      </c>
      <c r="D26" s="57">
        <f>IF($A26="","",IF(_xlfn.XLOOKUP($A26,Korrelation!$D$4:$D$1197,Korrelation!G$4:G$1197,"-",0)="-",0,MATCH(_xlfn.XLOOKUP($A26,Korrelation!$D$4:$D$1197,Korrelation!G$4:G$1197,"",0),DMAV_Modell!$G$6:$G$677,0)))</f>
        <v>0</v>
      </c>
      <c r="E26" s="57">
        <f>IF($A26="","",IF(_xlfn.XLOOKUP($A26,Korrelation!$D$4:$D$1197,Korrelation!H$4:H$1197,"-",0)="-",0,MATCH(_xlfn.XLOOKUP($A26,Korrelation!$D$4:$D$1197,Korrelation!H$4:H$1197,"",0),DMAV_Dienste!$F$6:$F$140,0)))</f>
        <v>0</v>
      </c>
      <c r="F26" s="57">
        <f>IF($A26="","",IF(_xlfn.XLOOKUP($A26,Korrelation!$D$4:$D$1197,Korrelation!I$4:I$1197,"-",0)="-",0,MATCH(_xlfn.XLOOKUP($A26,Korrelation!$D$4:$D$1197,Korrelation!I$4:I$1197,"",0),DMAV_Dienste!$F$6:$F$140,0)))</f>
        <v>0</v>
      </c>
      <c r="G26" s="57">
        <f>IF($A26="","",IF(_xlfn.XLOOKUP($A26,Korrelation!$D$4:$D$1197,Korrelation!J$4:J$1197,"-",0)="-",0,MATCH(_xlfn.XLOOKUP($A26,Korrelation!$D$4:$D$1197,Korrelation!J$4:J$1197,"",0),DMAV_Dienste!$F$6:$F$140,0)))</f>
        <v>0</v>
      </c>
      <c r="H26" s="57">
        <f>IF($A26="","",IF(_xlfn.XLOOKUP($A26,Korrelation!$D$4:$D$1197,Korrelation!K$4:K$1197,"-",0)="-",0,MATCH(_xlfn.XLOOKUP($A26,Korrelation!$D$4:$D$1197,Korrelation!K$4:K$1197,"",0),'DM01-AV-CH'!$A$6:$A$834,0)))</f>
        <v>0</v>
      </c>
      <c r="J26" s="54" t="str" cm="1">
        <f t="array" aca="1" ref="J26" ca="1">IF(B26=0,IF(E26=0,"",HYPERLINK("#"&amp;RIGHT(CELL("adresse",OFFSET(DMAV_Dienste!$M$6,E26-1,0)),LEN(CELL("adresse",OFFSET(DMAV_Dienste!$M$6,E26-1,0)))-FIND("]",CELL("adresse",OFFSET(DMAV_Dienste!$M$6,E26-1,0)))),"Dienst")),HYPERLINK("#"&amp;RIGHT(CELL("adresse",OFFSET(DMAV_Modell!$N$6,B26-1,0)),LEN(CELL("adresse",OFFSET(DMAV_Modell!$N$6,B26-1,0)))-FIND("]",CELL("adresse",OFFSET(DMAV_Modell!$N$6,B26-1,0)))),"Modell"))</f>
        <v>Modell</v>
      </c>
      <c r="K26" s="61" t="str" cm="1">
        <f t="array" ref="K26">IF($B26=0,IF($E26=0,"",IF(INDEX(DMAV_Dienste!P$6:P$140,$E26)="","",INDEX(DMAV_Dienste!P$6:P$140,$E26))),IF(INDEX(DMAV_Modell!Q$6:Q$838,$B26)="","",INDEX(DMAV_Modell!Q$6:Q$838,$B26)))</f>
        <v>IMPORTS</v>
      </c>
      <c r="L26" s="62" t="str" cm="1">
        <f t="array" ref="L26">IF($B26=0,IF($E26=0,"",IF(INDEX(DMAV_Dienste!O$6:O$140,$E26)="","",INDEX(DMAV_Dienste!O$6:O$140,$E26))),IF(INDEX(DMAV_Modell!P$6:P$838,$B26)="","",INDEX(DMAV_Modell!P$6:P$838,$B26)))</f>
        <v/>
      </c>
      <c r="M26" s="62" t="str" cm="1">
        <f t="array" ref="M26">IF($B26=0,IF($E26=0,"",IF(INDEX(DMAV_Dienste!Q$6:Q$140,$E26)="","",INDEX(DMAV_Dienste!Q$6:Q$140,$E26))),IF(INDEX(DMAV_Modell!R$6:R$838,$B26)="","",INDEX(DMAV_Modell!R$6:R$838,$B26)))</f>
        <v>GeometryCHLV95_V2</v>
      </c>
      <c r="N26" s="62" t="str" cm="1">
        <f t="array" ref="N26">IF($B26=0,IF($E26=0,"",IF(INDEX(DMAV_Dienste!T$6:T$140,$E26)="","",INDEX(DMAV_Dienste!T$6:T$140,$E26))),IF(INDEX(DMAV_Modell!U$6:U$838,$B26)="","",INDEX(DMAV_Modell!U$6:U$838,$B26)))</f>
        <v/>
      </c>
      <c r="O26" s="63" t="str" cm="1">
        <f t="array" aca="1" ref="O26" ca="1">IF(C26=0,IF(F26=0,"",HYPERLINK("#"&amp;RIGHT(CELL("adresse",OFFSET(DMAV_Dienste!$M$6,F26-1,0)),LEN(CELL("adresse",OFFSET(DMAV_Dienste!$M$6,F26-1,0)))-FIND("]",CELL("adresse",OFFSET(DMAV_Dienste!$M$6,F26-1,0)))),"Structure")),HYPERLINK("#"&amp;RIGHT(CELL("adresse",OFFSET(DMAV_Modell!$N$6,C26-1,0)),LEN(CELL("adresse",OFFSET(DMAV_Modell!$N$6,C26-1,0)))-FIND("]",CELL("adresse",OFFSET(DMAV_Modell!$N$6,C26-1,0)))),"Structure"))</f>
        <v/>
      </c>
      <c r="P26" s="64" t="str" cm="1">
        <f t="array" aca="1" ref="P26" ca="1">IF(D26=0,IF(G26=0,"",HYPERLINK("#"&amp;RIGHT(CELL("adresse",OFFSET(DMAV_Dienste!$M$6,G26-1,0)),LEN(CELL("adresse",OFFSET(DMAV_Dienste!$M$6,G26-1,0)))-FIND("]",CELL("adresse",OFFSET(DMAV_Dienste!$M$6,G26-1,0)))),"Substructure")),HYPERLINK("#"&amp;RIGHT(CELL("adresse",OFFSET(DMAV_Modell!$N$6,D26-1,0)),LEN(CELL("adresse",OFFSET(DMAV_Modell!$N$6,D26-1,0)))-FIND("]",CELL("adresse",OFFSET(DMAV_Modell!$N$6,D26-1,0)))),"Substructure"))</f>
        <v/>
      </c>
      <c r="R26" s="80"/>
      <c r="T26" s="93"/>
      <c r="U26" s="94"/>
      <c r="V26" s="95"/>
      <c r="W26" s="96"/>
      <c r="Y26" s="85"/>
      <c r="Z26" s="86"/>
      <c r="AA26" s="87"/>
      <c r="AB26" s="88"/>
      <c r="AD26" s="77"/>
      <c r="AF26" s="54" t="str" cm="1">
        <f t="array" aca="1" ref="AF26" ca="1">IF(H26=0,"",HYPERLINK("#"&amp;RIGHT(CELL("adresse",OFFSET('DM01-AV-CH'!$G$6,H26-1,0)),LEN(CELL("adresse",OFFSET('DM01-AV-CH'!$G$6,H26-1,0)))-FIND("]",CELL("adresse",OFFSET('DM01-AV-CH'!$G$6,H26-1,0)))),"Modell"))</f>
        <v/>
      </c>
      <c r="AG26" s="72" t="str" cm="1">
        <f t="array" ref="AG26">IF($H26=0,"",IF(INDEX('DM01-AV-CH'!G$6:G$834,$H26)="","",INDEX('DM01-AV-CH'!G$6:G$834,$H26)))</f>
        <v/>
      </c>
      <c r="AH26" s="73" t="str" cm="1">
        <f t="array" ref="AH26">IF($H26=0,"",IF(INDEX('DM01-AV-CH'!H$6:H$834,$H26)="","",INDEX('DM01-AV-CH'!H$6:H$834,$H26)))</f>
        <v/>
      </c>
      <c r="AI26" s="74" t="str" cm="1">
        <f t="array" ref="AI26">IF($H26=0,"",IF(INDEX('DM01-AV-CH'!I$6:I$834,$H26)="","",INDEX('DM01-AV-CH'!I$6:I$834,$H26)))</f>
        <v/>
      </c>
    </row>
    <row r="27" spans="1:35" x14ac:dyDescent="0.25">
      <c r="A27" s="57">
        <v>22</v>
      </c>
      <c r="B27" s="57">
        <f>IF($A27="","",IF(_xlfn.XLOOKUP($A27,Korrelation!$D$4:$D$1197,Korrelation!E$4:E$1197,"-",0)="-",0,MATCH(_xlfn.XLOOKUP($A27,Korrelation!$D$4:$D$1197,Korrelation!E$4:E$1197,"",0),DMAV_Modell!$G$6:$G$677,0)))</f>
        <v>20</v>
      </c>
      <c r="C27" s="57">
        <f>IF($A27="","",IF(_xlfn.XLOOKUP($A27,Korrelation!$D$4:$D$1197,Korrelation!F$4:F$1197,"-",0)="-",0,MATCH(_xlfn.XLOOKUP($A27,Korrelation!$D$4:$D$1197,Korrelation!F$4:F$1197,"",0),DMAV_Modell!$G$6:$G$677,0)))</f>
        <v>0</v>
      </c>
      <c r="D27" s="57">
        <f>IF($A27="","",IF(_xlfn.XLOOKUP($A27,Korrelation!$D$4:$D$1197,Korrelation!G$4:G$1197,"-",0)="-",0,MATCH(_xlfn.XLOOKUP($A27,Korrelation!$D$4:$D$1197,Korrelation!G$4:G$1197,"",0),DMAV_Modell!$G$6:$G$677,0)))</f>
        <v>0</v>
      </c>
      <c r="E27" s="57">
        <f>IF($A27="","",IF(_xlfn.XLOOKUP($A27,Korrelation!$D$4:$D$1197,Korrelation!H$4:H$1197,"-",0)="-",0,MATCH(_xlfn.XLOOKUP($A27,Korrelation!$D$4:$D$1197,Korrelation!H$4:H$1197,"",0),DMAV_Dienste!$F$6:$F$140,0)))</f>
        <v>0</v>
      </c>
      <c r="F27" s="57">
        <f>IF($A27="","",IF(_xlfn.XLOOKUP($A27,Korrelation!$D$4:$D$1197,Korrelation!I$4:I$1197,"-",0)="-",0,MATCH(_xlfn.XLOOKUP($A27,Korrelation!$D$4:$D$1197,Korrelation!I$4:I$1197,"",0),DMAV_Dienste!$F$6:$F$140,0)))</f>
        <v>0</v>
      </c>
      <c r="G27" s="57">
        <f>IF($A27="","",IF(_xlfn.XLOOKUP($A27,Korrelation!$D$4:$D$1197,Korrelation!J$4:J$1197,"-",0)="-",0,MATCH(_xlfn.XLOOKUP($A27,Korrelation!$D$4:$D$1197,Korrelation!J$4:J$1197,"",0),DMAV_Dienste!$F$6:$F$140,0)))</f>
        <v>0</v>
      </c>
      <c r="H27" s="57">
        <f>IF($A27="","",IF(_xlfn.XLOOKUP($A27,Korrelation!$D$4:$D$1197,Korrelation!K$4:K$1197,"-",0)="-",0,MATCH(_xlfn.XLOOKUP($A27,Korrelation!$D$4:$D$1197,Korrelation!K$4:K$1197,"",0),'DM01-AV-CH'!$A$6:$A$834,0)))</f>
        <v>14</v>
      </c>
      <c r="J27" s="54" t="str" cm="1">
        <f t="array" aca="1" ref="J27" ca="1">IF(B27=0,IF(E27=0,"",HYPERLINK("#"&amp;RIGHT(CELL("adresse",OFFSET(DMAV_Dienste!$M$6,E27-1,0)),LEN(CELL("adresse",OFFSET(DMAV_Dienste!$M$6,E27-1,0)))-FIND("]",CELL("adresse",OFFSET(DMAV_Dienste!$M$6,E27-1,0)))),"Dienst")),HYPERLINK("#"&amp;RIGHT(CELL("adresse",OFFSET(DMAV_Modell!$N$6,B27-1,0)),LEN(CELL("adresse",OFFSET(DMAV_Modell!$N$6,B27-1,0)))-FIND("]",CELL("adresse",OFFSET(DMAV_Modell!$N$6,B27-1,0)))),"Modell"))</f>
        <v>Modell</v>
      </c>
      <c r="K27" s="61" t="str" cm="1">
        <f t="array" ref="K27">IF($B27=0,IF($E27=0,"",IF(INDEX(DMAV_Dienste!P$6:P$140,$E27)="","",INDEX(DMAV_Dienste!P$6:P$140,$E27))),IF(INDEX(DMAV_Modell!Q$6:Q$838,$B27)="","",INDEX(DMAV_Modell!Q$6:Q$838,$B27)))</f>
        <v>DOMAIN</v>
      </c>
      <c r="L27" s="62" t="str" cm="1">
        <f t="array" ref="L27">IF($B27=0,IF($E27=0,"",IF(INDEX(DMAV_Dienste!O$6:O$140,$E27)="","",INDEX(DMAV_Dienste!O$6:O$140,$E27))),IF(INDEX(DMAV_Modell!P$6:P$838,$B27)="","",INDEX(DMAV_Modell!P$6:P$838,$B27)))</f>
        <v/>
      </c>
      <c r="M27" s="62" t="str" cm="1">
        <f t="array" ref="M27">IF($B27=0,IF($E27=0,"",IF(INDEX(DMAV_Dienste!Q$6:Q$140,$E27)="","",INDEX(DMAV_Dienste!Q$6:Q$140,$E27))),IF(INDEX(DMAV_Modell!R$6:R$838,$B27)="","",INDEX(DMAV_Modell!R$6:R$838,$B27)))</f>
        <v>Rotation</v>
      </c>
      <c r="N27" s="62" t="str" cm="1">
        <f t="array" ref="N27">IF($B27=0,IF($E27=0,"",IF(INDEX(DMAV_Dienste!T$6:T$140,$E27)="","",INDEX(DMAV_Dienste!T$6:T$140,$E27))),IF(INDEX(DMAV_Modell!U$6:U$838,$B27)="","",INDEX(DMAV_Modell!U$6:U$838,$B27)))</f>
        <v/>
      </c>
      <c r="O27" s="63" t="str" cm="1">
        <f t="array" aca="1" ref="O27" ca="1">IF(C27=0,IF(F27=0,"",HYPERLINK("#"&amp;RIGHT(CELL("adresse",OFFSET(DMAV_Dienste!$M$6,F27-1,0)),LEN(CELL("adresse",OFFSET(DMAV_Dienste!$M$6,F27-1,0)))-FIND("]",CELL("adresse",OFFSET(DMAV_Dienste!$M$6,F27-1,0)))),"Structure")),HYPERLINK("#"&amp;RIGHT(CELL("adresse",OFFSET(DMAV_Modell!$N$6,C27-1,0)),LEN(CELL("adresse",OFFSET(DMAV_Modell!$N$6,C27-1,0)))-FIND("]",CELL("adresse",OFFSET(DMAV_Modell!$N$6,C27-1,0)))),"Structure"))</f>
        <v/>
      </c>
      <c r="P27" s="64" t="str" cm="1">
        <f t="array" aca="1" ref="P27" ca="1">IF(D27=0,IF(G27=0,"",HYPERLINK("#"&amp;RIGHT(CELL("adresse",OFFSET(DMAV_Dienste!$M$6,G27-1,0)),LEN(CELL("adresse",OFFSET(DMAV_Dienste!$M$6,G27-1,0)))-FIND("]",CELL("adresse",OFFSET(DMAV_Dienste!$M$6,G27-1,0)))),"Substructure")),HYPERLINK("#"&amp;RIGHT(CELL("adresse",OFFSET(DMAV_Modell!$N$6,D27-1,0)),LEN(CELL("adresse",OFFSET(DMAV_Modell!$N$6,D27-1,0)))-FIND("]",CELL("adresse",OFFSET(DMAV_Modell!$N$6,D27-1,0)))),"Substructure"))</f>
        <v/>
      </c>
      <c r="R27" s="80"/>
      <c r="T27" s="93"/>
      <c r="U27" s="94"/>
      <c r="V27" s="95"/>
      <c r="W27" s="96"/>
      <c r="Y27" s="85"/>
      <c r="Z27" s="86"/>
      <c r="AA27" s="87"/>
      <c r="AB27" s="88"/>
      <c r="AD27" s="77"/>
      <c r="AF27" s="54" t="str" cm="1">
        <f t="array" aca="1" ref="AF27" ca="1">IF(H27=0,"",HYPERLINK("#"&amp;RIGHT(CELL("adresse",OFFSET('DM01-AV-CH'!$G$6,H27-1,0)),LEN(CELL("adresse",OFFSET('DM01-AV-CH'!$G$6,H27-1,0)))-FIND("]",CELL("adresse",OFFSET('DM01-AV-CH'!$G$6,H27-1,0)))),"Modell"))</f>
        <v>Modell</v>
      </c>
      <c r="AG27" s="72" t="str" cm="1">
        <f t="array" ref="AG27">IF($H27=0,"",IF(INDEX('DM01-AV-CH'!G$6:G$834,$H27)="","",INDEX('DM01-AV-CH'!G$6:G$834,$H27)))</f>
        <v>Allgemein</v>
      </c>
      <c r="AH27" s="73" t="str" cm="1">
        <f t="array" ref="AH27">IF($H27=0,"",IF(INDEX('DM01-AV-CH'!H$6:H$834,$H27)="","",INDEX('DM01-AV-CH'!H$6:H$834,$H27)))</f>
        <v/>
      </c>
      <c r="AI27" s="74" t="str" cm="1">
        <f t="array" ref="AI27">IF($H27=0,"",IF(INDEX('DM01-AV-CH'!I$6:I$834,$H27)="","",INDEX('DM01-AV-CH'!I$6:I$834,$H27)))</f>
        <v>Rotation</v>
      </c>
    </row>
    <row r="28" spans="1:35" x14ac:dyDescent="0.25">
      <c r="A28" s="57">
        <v>23</v>
      </c>
      <c r="B28" s="57">
        <f>IF($A28="","",IF(_xlfn.XLOOKUP($A28,Korrelation!$D$4:$D$1197,Korrelation!E$4:E$1197,"-",0)="-",0,MATCH(_xlfn.XLOOKUP($A28,Korrelation!$D$4:$D$1197,Korrelation!E$4:E$1197,"",0),DMAV_Modell!$G$6:$G$677,0)))</f>
        <v>21</v>
      </c>
      <c r="C28" s="57">
        <f>IF($A28="","",IF(_xlfn.XLOOKUP($A28,Korrelation!$D$4:$D$1197,Korrelation!F$4:F$1197,"-",0)="-",0,MATCH(_xlfn.XLOOKUP($A28,Korrelation!$D$4:$D$1197,Korrelation!F$4:F$1197,"",0),DMAV_Modell!$G$6:$G$677,0)))</f>
        <v>0</v>
      </c>
      <c r="D28" s="57">
        <f>IF($A28="","",IF(_xlfn.XLOOKUP($A28,Korrelation!$D$4:$D$1197,Korrelation!G$4:G$1197,"-",0)="-",0,MATCH(_xlfn.XLOOKUP($A28,Korrelation!$D$4:$D$1197,Korrelation!G$4:G$1197,"",0),DMAV_Modell!$G$6:$G$677,0)))</f>
        <v>0</v>
      </c>
      <c r="E28" s="57">
        <f>IF($A28="","",IF(_xlfn.XLOOKUP($A28,Korrelation!$D$4:$D$1197,Korrelation!H$4:H$1197,"-",0)="-",0,MATCH(_xlfn.XLOOKUP($A28,Korrelation!$D$4:$D$1197,Korrelation!H$4:H$1197,"",0),DMAV_Dienste!$F$6:$F$140,0)))</f>
        <v>0</v>
      </c>
      <c r="F28" s="57">
        <f>IF($A28="","",IF(_xlfn.XLOOKUP($A28,Korrelation!$D$4:$D$1197,Korrelation!I$4:I$1197,"-",0)="-",0,MATCH(_xlfn.XLOOKUP($A28,Korrelation!$D$4:$D$1197,Korrelation!I$4:I$1197,"",0),DMAV_Dienste!$F$6:$F$140,0)))</f>
        <v>0</v>
      </c>
      <c r="G28" s="57">
        <f>IF($A28="","",IF(_xlfn.XLOOKUP($A28,Korrelation!$D$4:$D$1197,Korrelation!J$4:J$1197,"-",0)="-",0,MATCH(_xlfn.XLOOKUP($A28,Korrelation!$D$4:$D$1197,Korrelation!J$4:J$1197,"",0),DMAV_Dienste!$F$6:$F$140,0)))</f>
        <v>0</v>
      </c>
      <c r="H28" s="57">
        <f>IF($A28="","",IF(_xlfn.XLOOKUP($A28,Korrelation!$D$4:$D$1197,Korrelation!K$4:K$1197,"-",0)="-",0,MATCH(_xlfn.XLOOKUP($A28,Korrelation!$D$4:$D$1197,Korrelation!K$4:K$1197,"",0),'DM01-AV-CH'!$A$6:$A$834,0)))</f>
        <v>0</v>
      </c>
      <c r="J28" s="54" t="str" cm="1">
        <f t="array" aca="1" ref="J28" ca="1">IF(B28=0,IF(E28=0,"",HYPERLINK("#"&amp;RIGHT(CELL("adresse",OFFSET(DMAV_Dienste!$M$6,E28-1,0)),LEN(CELL("adresse",OFFSET(DMAV_Dienste!$M$6,E28-1,0)))-FIND("]",CELL("adresse",OFFSET(DMAV_Dienste!$M$6,E28-1,0)))),"Dienst")),HYPERLINK("#"&amp;RIGHT(CELL("adresse",OFFSET(DMAV_Modell!$N$6,B28-1,0)),LEN(CELL("adresse",OFFSET(DMAV_Modell!$N$6,B28-1,0)))-FIND("]",CELL("adresse",OFFSET(DMAV_Modell!$N$6,B28-1,0)))),"Modell"))</f>
        <v>Modell</v>
      </c>
      <c r="K28" s="61" t="str" cm="1">
        <f t="array" ref="K28">IF($B28=0,IF($E28=0,"",IF(INDEX(DMAV_Dienste!P$6:P$140,$E28)="","",INDEX(DMAV_Dienste!P$6:P$140,$E28))),IF(INDEX(DMAV_Modell!Q$6:Q$838,$B28)="","",INDEX(DMAV_Modell!Q$6:Q$838,$B28)))</f>
        <v>DOMAIN</v>
      </c>
      <c r="L28" s="62" t="str" cm="1">
        <f t="array" ref="L28">IF($B28=0,IF($E28=0,"",IF(INDEX(DMAV_Dienste!O$6:O$140,$E28)="","",INDEX(DMAV_Dienste!O$6:O$140,$E28))),IF(INDEX(DMAV_Modell!P$6:P$838,$B28)="","",INDEX(DMAV_Modell!P$6:P$838,$B28)))</f>
        <v/>
      </c>
      <c r="M28" s="62" t="str" cm="1">
        <f t="array" ref="M28">IF($B28=0,IF($E28=0,"",IF(INDEX(DMAV_Dienste!Q$6:Q$140,$E28)="","",INDEX(DMAV_Dienste!Q$6:Q$140,$E28))),IF(INDEX(DMAV_Modell!R$6:R$838,$B28)="","",INDEX(DMAV_Modell!R$6:R$838,$B28)))</f>
        <v>DarstellungIn</v>
      </c>
      <c r="N28" s="62" t="str" cm="1">
        <f t="array" ref="N28">IF($B28=0,IF($E28=0,"",IF(INDEX(DMAV_Dienste!T$6:T$140,$E28)="","",INDEX(DMAV_Dienste!T$6:T$140,$E28))),IF(INDEX(DMAV_Modell!U$6:U$838,$B28)="","",INDEX(DMAV_Modell!U$6:U$838,$B28)))</f>
        <v/>
      </c>
      <c r="O28" s="63" t="str" cm="1">
        <f t="array" aca="1" ref="O28" ca="1">IF(C28=0,IF(F28=0,"",HYPERLINK("#"&amp;RIGHT(CELL("adresse",OFFSET(DMAV_Dienste!$M$6,F28-1,0)),LEN(CELL("adresse",OFFSET(DMAV_Dienste!$M$6,F28-1,0)))-FIND("]",CELL("adresse",OFFSET(DMAV_Dienste!$M$6,F28-1,0)))),"Structure")),HYPERLINK("#"&amp;RIGHT(CELL("adresse",OFFSET(DMAV_Modell!$N$6,C28-1,0)),LEN(CELL("adresse",OFFSET(DMAV_Modell!$N$6,C28-1,0)))-FIND("]",CELL("adresse",OFFSET(DMAV_Modell!$N$6,C28-1,0)))),"Structure"))</f>
        <v/>
      </c>
      <c r="P28" s="64" t="str" cm="1">
        <f t="array" aca="1" ref="P28" ca="1">IF(D28=0,IF(G28=0,"",HYPERLINK("#"&amp;RIGHT(CELL("adresse",OFFSET(DMAV_Dienste!$M$6,G28-1,0)),LEN(CELL("adresse",OFFSET(DMAV_Dienste!$M$6,G28-1,0)))-FIND("]",CELL("adresse",OFFSET(DMAV_Dienste!$M$6,G28-1,0)))),"Substructure")),HYPERLINK("#"&amp;RIGHT(CELL("adresse",OFFSET(DMAV_Modell!$N$6,D28-1,0)),LEN(CELL("adresse",OFFSET(DMAV_Modell!$N$6,D28-1,0)))-FIND("]",CELL("adresse",OFFSET(DMAV_Modell!$N$6,D28-1,0)))),"Substructure"))</f>
        <v/>
      </c>
      <c r="R28" s="80"/>
      <c r="T28" s="93"/>
      <c r="U28" s="94"/>
      <c r="V28" s="95"/>
      <c r="W28" s="96"/>
      <c r="Y28" s="85"/>
      <c r="Z28" s="86"/>
      <c r="AA28" s="87"/>
      <c r="AB28" s="88"/>
      <c r="AD28" s="77"/>
      <c r="AF28" s="54" t="str" cm="1">
        <f t="array" aca="1" ref="AF28" ca="1">IF(H28=0,"",HYPERLINK("#"&amp;RIGHT(CELL("adresse",OFFSET('DM01-AV-CH'!$G$6,H28-1,0)),LEN(CELL("adresse",OFFSET('DM01-AV-CH'!$G$6,H28-1,0)))-FIND("]",CELL("adresse",OFFSET('DM01-AV-CH'!$G$6,H28-1,0)))),"Modell"))</f>
        <v/>
      </c>
      <c r="AG28" s="72" t="str" cm="1">
        <f t="array" ref="AG28">IF($H28=0,"",IF(INDEX('DM01-AV-CH'!G$6:G$834,$H28)="","",INDEX('DM01-AV-CH'!G$6:G$834,$H28)))</f>
        <v/>
      </c>
      <c r="AH28" s="73" t="str" cm="1">
        <f t="array" ref="AH28">IF($H28=0,"",IF(INDEX('DM01-AV-CH'!H$6:H$834,$H28)="","",INDEX('DM01-AV-CH'!H$6:H$834,$H28)))</f>
        <v/>
      </c>
      <c r="AI28" s="74" t="str" cm="1">
        <f t="array" ref="AI28">IF($H28=0,"",IF(INDEX('DM01-AV-CH'!I$6:I$834,$H28)="","",INDEX('DM01-AV-CH'!I$6:I$834,$H28)))</f>
        <v/>
      </c>
    </row>
    <row r="29" spans="1:35" x14ac:dyDescent="0.25">
      <c r="A29" s="57">
        <v>24</v>
      </c>
      <c r="B29" s="57">
        <f>IF($A29="","",IF(_xlfn.XLOOKUP($A29,Korrelation!$D$4:$D$1197,Korrelation!E$4:E$1197,"-",0)="-",0,MATCH(_xlfn.XLOOKUP($A29,Korrelation!$D$4:$D$1197,Korrelation!E$4:E$1197,"",0),DMAV_Modell!$G$6:$G$677,0)))</f>
        <v>22</v>
      </c>
      <c r="C29" s="57">
        <f>IF($A29="","",IF(_xlfn.XLOOKUP($A29,Korrelation!$D$4:$D$1197,Korrelation!F$4:F$1197,"-",0)="-",0,MATCH(_xlfn.XLOOKUP($A29,Korrelation!$D$4:$D$1197,Korrelation!F$4:F$1197,"",0),DMAV_Modell!$G$6:$G$677,0)))</f>
        <v>0</v>
      </c>
      <c r="D29" s="57">
        <f>IF($A29="","",IF(_xlfn.XLOOKUP($A29,Korrelation!$D$4:$D$1197,Korrelation!G$4:G$1197,"-",0)="-",0,MATCH(_xlfn.XLOOKUP($A29,Korrelation!$D$4:$D$1197,Korrelation!G$4:G$1197,"",0),DMAV_Modell!$G$6:$G$677,0)))</f>
        <v>0</v>
      </c>
      <c r="E29" s="57">
        <f>IF($A29="","",IF(_xlfn.XLOOKUP($A29,Korrelation!$D$4:$D$1197,Korrelation!H$4:H$1197,"-",0)="-",0,MATCH(_xlfn.XLOOKUP($A29,Korrelation!$D$4:$D$1197,Korrelation!H$4:H$1197,"",0),DMAV_Dienste!$F$6:$F$140,0)))</f>
        <v>0</v>
      </c>
      <c r="F29" s="57">
        <f>IF($A29="","",IF(_xlfn.XLOOKUP($A29,Korrelation!$D$4:$D$1197,Korrelation!I$4:I$1197,"-",0)="-",0,MATCH(_xlfn.XLOOKUP($A29,Korrelation!$D$4:$D$1197,Korrelation!I$4:I$1197,"",0),DMAV_Dienste!$F$6:$F$140,0)))</f>
        <v>0</v>
      </c>
      <c r="G29" s="57">
        <f>IF($A29="","",IF(_xlfn.XLOOKUP($A29,Korrelation!$D$4:$D$1197,Korrelation!J$4:J$1197,"-",0)="-",0,MATCH(_xlfn.XLOOKUP($A29,Korrelation!$D$4:$D$1197,Korrelation!J$4:J$1197,"",0),DMAV_Dienste!$F$6:$F$140,0)))</f>
        <v>0</v>
      </c>
      <c r="H29" s="57">
        <f>IF($A29="","",IF(_xlfn.XLOOKUP($A29,Korrelation!$D$4:$D$1197,Korrelation!K$4:K$1197,"-",0)="-",0,MATCH(_xlfn.XLOOKUP($A29,Korrelation!$D$4:$D$1197,Korrelation!K$4:K$1197,"",0),'DM01-AV-CH'!$A$6:$A$834,0)))</f>
        <v>0</v>
      </c>
      <c r="J29" s="54" t="str" cm="1">
        <f t="array" aca="1" ref="J29" ca="1">IF(B29=0,IF(E29=0,"",HYPERLINK("#"&amp;RIGHT(CELL("adresse",OFFSET(DMAV_Dienste!$M$6,E29-1,0)),LEN(CELL("adresse",OFFSET(DMAV_Dienste!$M$6,E29-1,0)))-FIND("]",CELL("adresse",OFFSET(DMAV_Dienste!$M$6,E29-1,0)))),"Dienst")),HYPERLINK("#"&amp;RIGHT(CELL("adresse",OFFSET(DMAV_Modell!$N$6,B29-1,0)),LEN(CELL("adresse",OFFSET(DMAV_Modell!$N$6,B29-1,0)))-FIND("]",CELL("adresse",OFFSET(DMAV_Modell!$N$6,B29-1,0)))),"Modell"))</f>
        <v>Modell</v>
      </c>
      <c r="K29" s="61" t="str" cm="1">
        <f t="array" ref="K29">IF($B29=0,IF($E29=0,"",IF(INDEX(DMAV_Dienste!P$6:P$140,$E29)="","",INDEX(DMAV_Dienste!P$6:P$140,$E29))),IF(INDEX(DMAV_Modell!Q$6:Q$838,$B29)="","",INDEX(DMAV_Modell!Q$6:Q$838,$B29)))</f>
        <v>DOMAIN</v>
      </c>
      <c r="L29" s="62" t="str" cm="1">
        <f t="array" ref="L29">IF($B29=0,IF($E29=0,"",IF(INDEX(DMAV_Dienste!O$6:O$140,$E29)="","",INDEX(DMAV_Dienste!O$6:O$140,$E29))),IF(INDEX(DMAV_Modell!P$6:P$838,$B29)="","",INDEX(DMAV_Modell!P$6:P$838,$B29)))</f>
        <v/>
      </c>
      <c r="M29" s="62" t="str" cm="1">
        <f t="array" ref="M29">IF($B29=0,IF($E29=0,"",IF(INDEX(DMAV_Dienste!Q$6:Q$140,$E29)="","",INDEX(DMAV_Dienste!Q$6:Q$140,$E29))),IF(INDEX(DMAV_Modell!R$6:R$838,$B29)="","",INDEX(DMAV_Modell!R$6:R$838,$B29)))</f>
        <v>DarstellungIn</v>
      </c>
      <c r="N29" s="62" t="str" cm="1">
        <f t="array" ref="N29">IF($B29=0,IF($E29=0,"",IF(INDEX(DMAV_Dienste!T$6:T$140,$E29)="","",INDEX(DMAV_Dienste!T$6:T$140,$E29))),IF(INDEX(DMAV_Modell!U$6:U$838,$B29)="","",INDEX(DMAV_Modell!U$6:U$838,$B29)))</f>
        <v/>
      </c>
      <c r="O29" s="63" t="str" cm="1">
        <f t="array" aca="1" ref="O29" ca="1">IF(C29=0,IF(F29=0,"",HYPERLINK("#"&amp;RIGHT(CELL("adresse",OFFSET(DMAV_Dienste!$M$6,F29-1,0)),LEN(CELL("adresse",OFFSET(DMAV_Dienste!$M$6,F29-1,0)))-FIND("]",CELL("adresse",OFFSET(DMAV_Dienste!$M$6,F29-1,0)))),"Structure")),HYPERLINK("#"&amp;RIGHT(CELL("adresse",OFFSET(DMAV_Modell!$N$6,C29-1,0)),LEN(CELL("adresse",OFFSET(DMAV_Modell!$N$6,C29-1,0)))-FIND("]",CELL("adresse",OFFSET(DMAV_Modell!$N$6,C29-1,0)))),"Structure"))</f>
        <v/>
      </c>
      <c r="P29" s="64" t="str" cm="1">
        <f t="array" aca="1" ref="P29" ca="1">IF(D29=0,IF(G29=0,"",HYPERLINK("#"&amp;RIGHT(CELL("adresse",OFFSET(DMAV_Dienste!$M$6,G29-1,0)),LEN(CELL("adresse",OFFSET(DMAV_Dienste!$M$6,G29-1,0)))-FIND("]",CELL("adresse",OFFSET(DMAV_Dienste!$M$6,G29-1,0)))),"Substructure")),HYPERLINK("#"&amp;RIGHT(CELL("adresse",OFFSET(DMAV_Modell!$N$6,D29-1,0)),LEN(CELL("adresse",OFFSET(DMAV_Modell!$N$6,D29-1,0)))-FIND("]",CELL("adresse",OFFSET(DMAV_Modell!$N$6,D29-1,0)))),"Substructure"))</f>
        <v/>
      </c>
      <c r="R29" s="80"/>
      <c r="T29" s="93"/>
      <c r="U29" s="94"/>
      <c r="V29" s="95"/>
      <c r="W29" s="96"/>
      <c r="Y29" s="85"/>
      <c r="Z29" s="86"/>
      <c r="AA29" s="87"/>
      <c r="AB29" s="88"/>
      <c r="AD29" s="77"/>
      <c r="AF29" s="54" t="str" cm="1">
        <f t="array" aca="1" ref="AF29" ca="1">IF(H29=0,"",HYPERLINK("#"&amp;RIGHT(CELL("adresse",OFFSET('DM01-AV-CH'!$G$6,H29-1,0)),LEN(CELL("adresse",OFFSET('DM01-AV-CH'!$G$6,H29-1,0)))-FIND("]",CELL("adresse",OFFSET('DM01-AV-CH'!$G$6,H29-1,0)))),"Modell"))</f>
        <v/>
      </c>
      <c r="AG29" s="72" t="str" cm="1">
        <f t="array" ref="AG29">IF($H29=0,"",IF(INDEX('DM01-AV-CH'!G$6:G$834,$H29)="","",INDEX('DM01-AV-CH'!G$6:G$834,$H29)))</f>
        <v/>
      </c>
      <c r="AH29" s="73" t="str" cm="1">
        <f t="array" ref="AH29">IF($H29=0,"",IF(INDEX('DM01-AV-CH'!H$6:H$834,$H29)="","",INDEX('DM01-AV-CH'!H$6:H$834,$H29)))</f>
        <v/>
      </c>
      <c r="AI29" s="74" t="str" cm="1">
        <f t="array" ref="AI29">IF($H29=0,"",IF(INDEX('DM01-AV-CH'!I$6:I$834,$H29)="","",INDEX('DM01-AV-CH'!I$6:I$834,$H29)))</f>
        <v/>
      </c>
    </row>
    <row r="30" spans="1:35" x14ac:dyDescent="0.25">
      <c r="A30" s="57">
        <v>25</v>
      </c>
      <c r="B30" s="57">
        <f>IF($A30="","",IF(_xlfn.XLOOKUP($A30,Korrelation!$D$4:$D$1197,Korrelation!E$4:E$1197,"-",0)="-",0,MATCH(_xlfn.XLOOKUP($A30,Korrelation!$D$4:$D$1197,Korrelation!E$4:E$1197,"",0),DMAV_Modell!$G$6:$G$677,0)))</f>
        <v>23</v>
      </c>
      <c r="C30" s="57">
        <f>IF($A30="","",IF(_xlfn.XLOOKUP($A30,Korrelation!$D$4:$D$1197,Korrelation!F$4:F$1197,"-",0)="-",0,MATCH(_xlfn.XLOOKUP($A30,Korrelation!$D$4:$D$1197,Korrelation!F$4:F$1197,"",0),DMAV_Modell!$G$6:$G$677,0)))</f>
        <v>0</v>
      </c>
      <c r="D30" s="57">
        <f>IF($A30="","",IF(_xlfn.XLOOKUP($A30,Korrelation!$D$4:$D$1197,Korrelation!G$4:G$1197,"-",0)="-",0,MATCH(_xlfn.XLOOKUP($A30,Korrelation!$D$4:$D$1197,Korrelation!G$4:G$1197,"",0),DMAV_Modell!$G$6:$G$677,0)))</f>
        <v>0</v>
      </c>
      <c r="E30" s="57">
        <f>IF($A30="","",IF(_xlfn.XLOOKUP($A30,Korrelation!$D$4:$D$1197,Korrelation!H$4:H$1197,"-",0)="-",0,MATCH(_xlfn.XLOOKUP($A30,Korrelation!$D$4:$D$1197,Korrelation!H$4:H$1197,"",0),DMAV_Dienste!$F$6:$F$140,0)))</f>
        <v>0</v>
      </c>
      <c r="F30" s="57">
        <f>IF($A30="","",IF(_xlfn.XLOOKUP($A30,Korrelation!$D$4:$D$1197,Korrelation!I$4:I$1197,"-",0)="-",0,MATCH(_xlfn.XLOOKUP($A30,Korrelation!$D$4:$D$1197,Korrelation!I$4:I$1197,"",0),DMAV_Dienste!$F$6:$F$140,0)))</f>
        <v>0</v>
      </c>
      <c r="G30" s="57">
        <f>IF($A30="","",IF(_xlfn.XLOOKUP($A30,Korrelation!$D$4:$D$1197,Korrelation!J$4:J$1197,"-",0)="-",0,MATCH(_xlfn.XLOOKUP($A30,Korrelation!$D$4:$D$1197,Korrelation!J$4:J$1197,"",0),DMAV_Dienste!$F$6:$F$140,0)))</f>
        <v>0</v>
      </c>
      <c r="H30" s="57">
        <f>IF($A30="","",IF(_xlfn.XLOOKUP($A30,Korrelation!$D$4:$D$1197,Korrelation!K$4:K$1197,"-",0)="-",0,MATCH(_xlfn.XLOOKUP($A30,Korrelation!$D$4:$D$1197,Korrelation!K$4:K$1197,"",0),'DM01-AV-CH'!$A$6:$A$834,0)))</f>
        <v>15</v>
      </c>
      <c r="J30" s="54" t="str" cm="1">
        <f t="array" aca="1" ref="J30" ca="1">IF(B30=0,IF(E30=0,"",HYPERLINK("#"&amp;RIGHT(CELL("adresse",OFFSET(DMAV_Dienste!$M$6,E30-1,0)),LEN(CELL("adresse",OFFSET(DMAV_Dienste!$M$6,E30-1,0)))-FIND("]",CELL("adresse",OFFSET(DMAV_Dienste!$M$6,E30-1,0)))),"Dienst")),HYPERLINK("#"&amp;RIGHT(CELL("adresse",OFFSET(DMAV_Modell!$N$6,B30-1,0)),LEN(CELL("adresse",OFFSET(DMAV_Modell!$N$6,B30-1,0)))-FIND("]",CELL("adresse",OFFSET(DMAV_Modell!$N$6,B30-1,0)))),"Modell"))</f>
        <v>Modell</v>
      </c>
      <c r="K30" s="61" t="str" cm="1">
        <f t="array" ref="K30">IF($B30=0,IF($E30=0,"",IF(INDEX(DMAV_Dienste!P$6:P$140,$E30)="","",INDEX(DMAV_Dienste!P$6:P$140,$E30))),IF(INDEX(DMAV_Modell!Q$6:Q$838,$B30)="","",INDEX(DMAV_Modell!Q$6:Q$838,$B30)))</f>
        <v>DOMAIN</v>
      </c>
      <c r="L30" s="62" t="str" cm="1">
        <f t="array" ref="L30">IF($B30=0,IF($E30=0,"",IF(INDEX(DMAV_Dienste!O$6:O$140,$E30)="","",INDEX(DMAV_Dienste!O$6:O$140,$E30))),IF(INDEX(DMAV_Modell!P$6:P$838,$B30)="","",INDEX(DMAV_Modell!P$6:P$838,$B30)))</f>
        <v/>
      </c>
      <c r="M30" s="62" t="str" cm="1">
        <f t="array" ref="M30">IF($B30=0,IF($E30=0,"",IF(INDEX(DMAV_Dienste!Q$6:Q$140,$E30)="","",INDEX(DMAV_Dienste!Q$6:Q$140,$E30))),IF(INDEX(DMAV_Modell!R$6:R$838,$B30)="","",INDEX(DMAV_Modell!R$6:R$838,$B30)))</f>
        <v>Schriftgroesse</v>
      </c>
      <c r="N30" s="62" t="str" cm="1">
        <f t="array" ref="N30">IF($B30=0,IF($E30=0,"",IF(INDEX(DMAV_Dienste!T$6:T$140,$E30)="","",INDEX(DMAV_Dienste!T$6:T$140,$E30))),IF(INDEX(DMAV_Modell!U$6:U$838,$B30)="","",INDEX(DMAV_Modell!U$6:U$838,$B30)))</f>
        <v/>
      </c>
      <c r="O30" s="63" t="str" cm="1">
        <f t="array" aca="1" ref="O30" ca="1">IF(C30=0,IF(F30=0,"",HYPERLINK("#"&amp;RIGHT(CELL("adresse",OFFSET(DMAV_Dienste!$M$6,F30-1,0)),LEN(CELL("adresse",OFFSET(DMAV_Dienste!$M$6,F30-1,0)))-FIND("]",CELL("adresse",OFFSET(DMAV_Dienste!$M$6,F30-1,0)))),"Structure")),HYPERLINK("#"&amp;RIGHT(CELL("adresse",OFFSET(DMAV_Modell!$N$6,C30-1,0)),LEN(CELL("adresse",OFFSET(DMAV_Modell!$N$6,C30-1,0)))-FIND("]",CELL("adresse",OFFSET(DMAV_Modell!$N$6,C30-1,0)))),"Structure"))</f>
        <v/>
      </c>
      <c r="P30" s="64" t="str" cm="1">
        <f t="array" aca="1" ref="P30" ca="1">IF(D30=0,IF(G30=0,"",HYPERLINK("#"&amp;RIGHT(CELL("adresse",OFFSET(DMAV_Dienste!$M$6,G30-1,0)),LEN(CELL("adresse",OFFSET(DMAV_Dienste!$M$6,G30-1,0)))-FIND("]",CELL("adresse",OFFSET(DMAV_Dienste!$M$6,G30-1,0)))),"Substructure")),HYPERLINK("#"&amp;RIGHT(CELL("adresse",OFFSET(DMAV_Modell!$N$6,D30-1,0)),LEN(CELL("adresse",OFFSET(DMAV_Modell!$N$6,D30-1,0)))-FIND("]",CELL("adresse",OFFSET(DMAV_Modell!$N$6,D30-1,0)))),"Substructure"))</f>
        <v/>
      </c>
      <c r="R30" s="80"/>
      <c r="T30" s="93"/>
      <c r="U30" s="94"/>
      <c r="V30" s="95"/>
      <c r="W30" s="96"/>
      <c r="Y30" s="85"/>
      <c r="Z30" s="86"/>
      <c r="AA30" s="87"/>
      <c r="AB30" s="88"/>
      <c r="AD30" s="77"/>
      <c r="AF30" s="54" t="str" cm="1">
        <f t="array" aca="1" ref="AF30" ca="1">IF(H30=0,"",HYPERLINK("#"&amp;RIGHT(CELL("adresse",OFFSET('DM01-AV-CH'!$G$6,H30-1,0)),LEN(CELL("adresse",OFFSET('DM01-AV-CH'!$G$6,H30-1,0)))-FIND("]",CELL("adresse",OFFSET('DM01-AV-CH'!$G$6,H30-1,0)))),"Modell"))</f>
        <v>Modell</v>
      </c>
      <c r="AG30" s="72" t="str" cm="1">
        <f t="array" ref="AG30">IF($H30=0,"",IF(INDEX('DM01-AV-CH'!G$6:G$834,$H30)="","",INDEX('DM01-AV-CH'!G$6:G$834,$H30)))</f>
        <v>Allgemein</v>
      </c>
      <c r="AH30" s="73" t="str" cm="1">
        <f t="array" ref="AH30">IF($H30=0,"",IF(INDEX('DM01-AV-CH'!H$6:H$834,$H30)="","",INDEX('DM01-AV-CH'!H$6:H$834,$H30)))</f>
        <v/>
      </c>
      <c r="AI30" s="74" t="str" cm="1">
        <f t="array" ref="AI30">IF($H30=0,"",IF(INDEX('DM01-AV-CH'!I$6:I$834,$H30)="","",INDEX('DM01-AV-CH'!I$6:I$834,$H30)))</f>
        <v>Schriftgroesse</v>
      </c>
    </row>
    <row r="31" spans="1:35" x14ac:dyDescent="0.25">
      <c r="A31" s="57">
        <v>26</v>
      </c>
      <c r="B31" s="57">
        <f>IF($A31="","",IF(_xlfn.XLOOKUP($A31,Korrelation!$D$4:$D$1197,Korrelation!E$4:E$1197,"-",0)="-",0,MATCH(_xlfn.XLOOKUP($A31,Korrelation!$D$4:$D$1197,Korrelation!E$4:E$1197,"",0),DMAV_Modell!$G$6:$G$677,0)))</f>
        <v>24</v>
      </c>
      <c r="C31" s="57">
        <f>IF($A31="","",IF(_xlfn.XLOOKUP($A31,Korrelation!$D$4:$D$1197,Korrelation!F$4:F$1197,"-",0)="-",0,MATCH(_xlfn.XLOOKUP($A31,Korrelation!$D$4:$D$1197,Korrelation!F$4:F$1197,"",0),DMAV_Modell!$G$6:$G$677,0)))</f>
        <v>0</v>
      </c>
      <c r="D31" s="57">
        <f>IF($A31="","",IF(_xlfn.XLOOKUP($A31,Korrelation!$D$4:$D$1197,Korrelation!G$4:G$1197,"-",0)="-",0,MATCH(_xlfn.XLOOKUP($A31,Korrelation!$D$4:$D$1197,Korrelation!G$4:G$1197,"",0),DMAV_Modell!$G$6:$G$677,0)))</f>
        <v>0</v>
      </c>
      <c r="E31" s="57">
        <f>IF($A31="","",IF(_xlfn.XLOOKUP($A31,Korrelation!$D$4:$D$1197,Korrelation!H$4:H$1197,"-",0)="-",0,MATCH(_xlfn.XLOOKUP($A31,Korrelation!$D$4:$D$1197,Korrelation!H$4:H$1197,"",0),DMAV_Dienste!$F$6:$F$140,0)))</f>
        <v>0</v>
      </c>
      <c r="F31" s="57">
        <f>IF($A31="","",IF(_xlfn.XLOOKUP($A31,Korrelation!$D$4:$D$1197,Korrelation!I$4:I$1197,"-",0)="-",0,MATCH(_xlfn.XLOOKUP($A31,Korrelation!$D$4:$D$1197,Korrelation!I$4:I$1197,"",0),DMAV_Dienste!$F$6:$F$140,0)))</f>
        <v>0</v>
      </c>
      <c r="G31" s="57">
        <f>IF($A31="","",IF(_xlfn.XLOOKUP($A31,Korrelation!$D$4:$D$1197,Korrelation!J$4:J$1197,"-",0)="-",0,MATCH(_xlfn.XLOOKUP($A31,Korrelation!$D$4:$D$1197,Korrelation!J$4:J$1197,"",0),DMAV_Dienste!$F$6:$F$140,0)))</f>
        <v>0</v>
      </c>
      <c r="H31" s="57">
        <f>IF($A31="","",IF(_xlfn.XLOOKUP($A31,Korrelation!$D$4:$D$1197,Korrelation!K$4:K$1197,"-",0)="-",0,MATCH(_xlfn.XLOOKUP($A31,Korrelation!$D$4:$D$1197,Korrelation!K$4:K$1197,"",0),'DM01-AV-CH'!$A$6:$A$834,0)))</f>
        <v>16</v>
      </c>
      <c r="J31" s="54" t="str" cm="1">
        <f t="array" aca="1" ref="J31" ca="1">IF(B31=0,IF(E31=0,"",HYPERLINK("#"&amp;RIGHT(CELL("adresse",OFFSET(DMAV_Dienste!$M$6,E31-1,0)),LEN(CELL("adresse",OFFSET(DMAV_Dienste!$M$6,E31-1,0)))-FIND("]",CELL("adresse",OFFSET(DMAV_Dienste!$M$6,E31-1,0)))),"Dienst")),HYPERLINK("#"&amp;RIGHT(CELL("adresse",OFFSET(DMAV_Modell!$N$6,B31-1,0)),LEN(CELL("adresse",OFFSET(DMAV_Modell!$N$6,B31-1,0)))-FIND("]",CELL("adresse",OFFSET(DMAV_Modell!$N$6,B31-1,0)))),"Modell"))</f>
        <v>Modell</v>
      </c>
      <c r="K31" s="61" t="str" cm="1">
        <f t="array" ref="K31">IF($B31=0,IF($E31=0,"",IF(INDEX(DMAV_Dienste!P$6:P$140,$E31)="","",INDEX(DMAV_Dienste!P$6:P$140,$E31))),IF(INDEX(DMAV_Modell!Q$6:Q$838,$B31)="","",INDEX(DMAV_Modell!Q$6:Q$838,$B31)))</f>
        <v>DOMAIN</v>
      </c>
      <c r="L31" s="62" t="str" cm="1">
        <f t="array" ref="L31">IF($B31=0,IF($E31=0,"",IF(INDEX(DMAV_Dienste!O$6:O$140,$E31)="","",INDEX(DMAV_Dienste!O$6:O$140,$E31))),IF(INDEX(DMAV_Modell!P$6:P$838,$B31)="","",INDEX(DMAV_Modell!P$6:P$838,$B31)))</f>
        <v/>
      </c>
      <c r="M31" s="62" t="str" cm="1">
        <f t="array" ref="M31">IF($B31=0,IF($E31=0,"",IF(INDEX(DMAV_Dienste!Q$6:Q$140,$E31)="","",INDEX(DMAV_Dienste!Q$6:Q$140,$E31))),IF(INDEX(DMAV_Modell!R$6:R$838,$B31)="","",INDEX(DMAV_Modell!R$6:R$838,$B31)))</f>
        <v>Schriftgroesse</v>
      </c>
      <c r="N31" s="62" t="str" cm="1">
        <f t="array" ref="N31">IF($B31=0,IF($E31=0,"",IF(INDEX(DMAV_Dienste!T$6:T$140,$E31)="","",INDEX(DMAV_Dienste!T$6:T$140,$E31))),IF(INDEX(DMAV_Modell!U$6:U$838,$B31)="","",INDEX(DMAV_Modell!U$6:U$838,$B31)))</f>
        <v/>
      </c>
      <c r="O31" s="63" t="str" cm="1">
        <f t="array" aca="1" ref="O31" ca="1">IF(C31=0,IF(F31=0,"",HYPERLINK("#"&amp;RIGHT(CELL("adresse",OFFSET(DMAV_Dienste!$M$6,F31-1,0)),LEN(CELL("adresse",OFFSET(DMAV_Dienste!$M$6,F31-1,0)))-FIND("]",CELL("adresse",OFFSET(DMAV_Dienste!$M$6,F31-1,0)))),"Structure")),HYPERLINK("#"&amp;RIGHT(CELL("adresse",OFFSET(DMAV_Modell!$N$6,C31-1,0)),LEN(CELL("adresse",OFFSET(DMAV_Modell!$N$6,C31-1,0)))-FIND("]",CELL("adresse",OFFSET(DMAV_Modell!$N$6,C31-1,0)))),"Structure"))</f>
        <v/>
      </c>
      <c r="P31" s="64" t="str" cm="1">
        <f t="array" aca="1" ref="P31" ca="1">IF(D31=0,IF(G31=0,"",HYPERLINK("#"&amp;RIGHT(CELL("adresse",OFFSET(DMAV_Dienste!$M$6,G31-1,0)),LEN(CELL("adresse",OFFSET(DMAV_Dienste!$M$6,G31-1,0)))-FIND("]",CELL("adresse",OFFSET(DMAV_Dienste!$M$6,G31-1,0)))),"Substructure")),HYPERLINK("#"&amp;RIGHT(CELL("adresse",OFFSET(DMAV_Modell!$N$6,D31-1,0)),LEN(CELL("adresse",OFFSET(DMAV_Modell!$N$6,D31-1,0)))-FIND("]",CELL("adresse",OFFSET(DMAV_Modell!$N$6,D31-1,0)))),"Substructure"))</f>
        <v/>
      </c>
      <c r="R31" s="80"/>
      <c r="T31" s="93"/>
      <c r="U31" s="94"/>
      <c r="V31" s="95"/>
      <c r="W31" s="96"/>
      <c r="Y31" s="85"/>
      <c r="Z31" s="86"/>
      <c r="AA31" s="87"/>
      <c r="AB31" s="88"/>
      <c r="AD31" s="77"/>
      <c r="AF31" s="54" t="str" cm="1">
        <f t="array" aca="1" ref="AF31" ca="1">IF(H31=0,"",HYPERLINK("#"&amp;RIGHT(CELL("adresse",OFFSET('DM01-AV-CH'!$G$6,H31-1,0)),LEN(CELL("adresse",OFFSET('DM01-AV-CH'!$G$6,H31-1,0)))-FIND("]",CELL("adresse",OFFSET('DM01-AV-CH'!$G$6,H31-1,0)))),"Modell"))</f>
        <v>Modell</v>
      </c>
      <c r="AG31" s="72" t="str" cm="1">
        <f t="array" ref="AG31">IF($H31=0,"",IF(INDEX('DM01-AV-CH'!G$6:G$834,$H31)="","",INDEX('DM01-AV-CH'!G$6:G$834,$H31)))</f>
        <v>Allgemein</v>
      </c>
      <c r="AH31" s="73" t="str" cm="1">
        <f t="array" ref="AH31">IF($H31=0,"",IF(INDEX('DM01-AV-CH'!H$6:H$834,$H31)="","",INDEX('DM01-AV-CH'!H$6:H$834,$H31)))</f>
        <v/>
      </c>
      <c r="AI31" s="74" t="str" cm="1">
        <f t="array" ref="AI31">IF($H31=0,"",IF(INDEX('DM01-AV-CH'!I$6:I$834,$H31)="","",INDEX('DM01-AV-CH'!I$6:I$834,$H31)))</f>
        <v>Schriftgroesse</v>
      </c>
    </row>
    <row r="32" spans="1:35" x14ac:dyDescent="0.25">
      <c r="A32" s="57">
        <v>27</v>
      </c>
      <c r="B32" s="57">
        <f>IF($A32="","",IF(_xlfn.XLOOKUP($A32,Korrelation!$D$4:$D$1197,Korrelation!E$4:E$1197,"-",0)="-",0,MATCH(_xlfn.XLOOKUP($A32,Korrelation!$D$4:$D$1197,Korrelation!E$4:E$1197,"",0),DMAV_Modell!$G$6:$G$677,0)))</f>
        <v>25</v>
      </c>
      <c r="C32" s="57">
        <f>IF($A32="","",IF(_xlfn.XLOOKUP($A32,Korrelation!$D$4:$D$1197,Korrelation!F$4:F$1197,"-",0)="-",0,MATCH(_xlfn.XLOOKUP($A32,Korrelation!$D$4:$D$1197,Korrelation!F$4:F$1197,"",0),DMAV_Modell!$G$6:$G$677,0)))</f>
        <v>0</v>
      </c>
      <c r="D32" s="57">
        <f>IF($A32="","",IF(_xlfn.XLOOKUP($A32,Korrelation!$D$4:$D$1197,Korrelation!G$4:G$1197,"-",0)="-",0,MATCH(_xlfn.XLOOKUP($A32,Korrelation!$D$4:$D$1197,Korrelation!G$4:G$1197,"",0),DMAV_Modell!$G$6:$G$677,0)))</f>
        <v>0</v>
      </c>
      <c r="E32" s="57">
        <f>IF($A32="","",IF(_xlfn.XLOOKUP($A32,Korrelation!$D$4:$D$1197,Korrelation!H$4:H$1197,"-",0)="-",0,MATCH(_xlfn.XLOOKUP($A32,Korrelation!$D$4:$D$1197,Korrelation!H$4:H$1197,"",0),DMAV_Dienste!$F$6:$F$140,0)))</f>
        <v>0</v>
      </c>
      <c r="F32" s="57">
        <f>IF($A32="","",IF(_xlfn.XLOOKUP($A32,Korrelation!$D$4:$D$1197,Korrelation!I$4:I$1197,"-",0)="-",0,MATCH(_xlfn.XLOOKUP($A32,Korrelation!$D$4:$D$1197,Korrelation!I$4:I$1197,"",0),DMAV_Dienste!$F$6:$F$140,0)))</f>
        <v>0</v>
      </c>
      <c r="G32" s="57">
        <f>IF($A32="","",IF(_xlfn.XLOOKUP($A32,Korrelation!$D$4:$D$1197,Korrelation!J$4:J$1197,"-",0)="-",0,MATCH(_xlfn.XLOOKUP($A32,Korrelation!$D$4:$D$1197,Korrelation!J$4:J$1197,"",0),DMAV_Dienste!$F$6:$F$140,0)))</f>
        <v>0</v>
      </c>
      <c r="H32" s="57">
        <f>IF($A32="","",IF(_xlfn.XLOOKUP($A32,Korrelation!$D$4:$D$1197,Korrelation!K$4:K$1197,"-",0)="-",0,MATCH(_xlfn.XLOOKUP($A32,Korrelation!$D$4:$D$1197,Korrelation!K$4:K$1197,"",0),'DM01-AV-CH'!$A$6:$A$834,0)))</f>
        <v>17</v>
      </c>
      <c r="J32" s="54" t="str" cm="1">
        <f t="array" aca="1" ref="J32" ca="1">IF(B32=0,IF(E32=0,"",HYPERLINK("#"&amp;RIGHT(CELL("adresse",OFFSET(DMAV_Dienste!$M$6,E32-1,0)),LEN(CELL("adresse",OFFSET(DMAV_Dienste!$M$6,E32-1,0)))-FIND("]",CELL("adresse",OFFSET(DMAV_Dienste!$M$6,E32-1,0)))),"Dienst")),HYPERLINK("#"&amp;RIGHT(CELL("adresse",OFFSET(DMAV_Modell!$N$6,B32-1,0)),LEN(CELL("adresse",OFFSET(DMAV_Modell!$N$6,B32-1,0)))-FIND("]",CELL("adresse",OFFSET(DMAV_Modell!$N$6,B32-1,0)))),"Modell"))</f>
        <v>Modell</v>
      </c>
      <c r="K32" s="61" t="str" cm="1">
        <f t="array" ref="K32">IF($B32=0,IF($E32=0,"",IF(INDEX(DMAV_Dienste!P$6:P$140,$E32)="","",INDEX(DMAV_Dienste!P$6:P$140,$E32))),IF(INDEX(DMAV_Modell!Q$6:Q$838,$B32)="","",INDEX(DMAV_Modell!Q$6:Q$838,$B32)))</f>
        <v>DOMAIN</v>
      </c>
      <c r="L32" s="62" t="str" cm="1">
        <f t="array" ref="L32">IF($B32=0,IF($E32=0,"",IF(INDEX(DMAV_Dienste!O$6:O$140,$E32)="","",INDEX(DMAV_Dienste!O$6:O$140,$E32))),IF(INDEX(DMAV_Modell!P$6:P$838,$B32)="","",INDEX(DMAV_Modell!P$6:P$838,$B32)))</f>
        <v/>
      </c>
      <c r="M32" s="62" t="str" cm="1">
        <f t="array" ref="M32">IF($B32=0,IF($E32=0,"",IF(INDEX(DMAV_Dienste!Q$6:Q$140,$E32)="","",INDEX(DMAV_Dienste!Q$6:Q$140,$E32))),IF(INDEX(DMAV_Modell!R$6:R$838,$B32)="","",INDEX(DMAV_Modell!R$6:R$838,$B32)))</f>
        <v>Schriftgroesse</v>
      </c>
      <c r="N32" s="62" t="str" cm="1">
        <f t="array" ref="N32">IF($B32=0,IF($E32=0,"",IF(INDEX(DMAV_Dienste!T$6:T$140,$E32)="","",INDEX(DMAV_Dienste!T$6:T$140,$E32))),IF(INDEX(DMAV_Modell!U$6:U$838,$B32)="","",INDEX(DMAV_Modell!U$6:U$838,$B32)))</f>
        <v/>
      </c>
      <c r="O32" s="63" t="str" cm="1">
        <f t="array" aca="1" ref="O32" ca="1">IF(C32=0,IF(F32=0,"",HYPERLINK("#"&amp;RIGHT(CELL("adresse",OFFSET(DMAV_Dienste!$M$6,F32-1,0)),LEN(CELL("adresse",OFFSET(DMAV_Dienste!$M$6,F32-1,0)))-FIND("]",CELL("adresse",OFFSET(DMAV_Dienste!$M$6,F32-1,0)))),"Structure")),HYPERLINK("#"&amp;RIGHT(CELL("adresse",OFFSET(DMAV_Modell!$N$6,C32-1,0)),LEN(CELL("adresse",OFFSET(DMAV_Modell!$N$6,C32-1,0)))-FIND("]",CELL("adresse",OFFSET(DMAV_Modell!$N$6,C32-1,0)))),"Structure"))</f>
        <v/>
      </c>
      <c r="P32" s="64" t="str" cm="1">
        <f t="array" aca="1" ref="P32" ca="1">IF(D32=0,IF(G32=0,"",HYPERLINK("#"&amp;RIGHT(CELL("adresse",OFFSET(DMAV_Dienste!$M$6,G32-1,0)),LEN(CELL("adresse",OFFSET(DMAV_Dienste!$M$6,G32-1,0)))-FIND("]",CELL("adresse",OFFSET(DMAV_Dienste!$M$6,G32-1,0)))),"Substructure")),HYPERLINK("#"&amp;RIGHT(CELL("adresse",OFFSET(DMAV_Modell!$N$6,D32-1,0)),LEN(CELL("adresse",OFFSET(DMAV_Modell!$N$6,D32-1,0)))-FIND("]",CELL("adresse",OFFSET(DMAV_Modell!$N$6,D32-1,0)))),"Substructure"))</f>
        <v/>
      </c>
      <c r="R32" s="80"/>
      <c r="T32" s="93"/>
      <c r="U32" s="94"/>
      <c r="V32" s="95"/>
      <c r="W32" s="96"/>
      <c r="Y32" s="85"/>
      <c r="Z32" s="86"/>
      <c r="AA32" s="87"/>
      <c r="AB32" s="88"/>
      <c r="AD32" s="77"/>
      <c r="AF32" s="54" t="str" cm="1">
        <f t="array" aca="1" ref="AF32" ca="1">IF(H32=0,"",HYPERLINK("#"&amp;RIGHT(CELL("adresse",OFFSET('DM01-AV-CH'!$G$6,H32-1,0)),LEN(CELL("adresse",OFFSET('DM01-AV-CH'!$G$6,H32-1,0)))-FIND("]",CELL("adresse",OFFSET('DM01-AV-CH'!$G$6,H32-1,0)))),"Modell"))</f>
        <v>Modell</v>
      </c>
      <c r="AG32" s="72" t="str" cm="1">
        <f t="array" ref="AG32">IF($H32=0,"",IF(INDEX('DM01-AV-CH'!G$6:G$834,$H32)="","",INDEX('DM01-AV-CH'!G$6:G$834,$H32)))</f>
        <v>Allgemein</v>
      </c>
      <c r="AH32" s="73" t="str" cm="1">
        <f t="array" ref="AH32">IF($H32=0,"",IF(INDEX('DM01-AV-CH'!H$6:H$834,$H32)="","",INDEX('DM01-AV-CH'!H$6:H$834,$H32)))</f>
        <v/>
      </c>
      <c r="AI32" s="74" t="str" cm="1">
        <f t="array" ref="AI32">IF($H32=0,"",IF(INDEX('DM01-AV-CH'!I$6:I$834,$H32)="","",INDEX('DM01-AV-CH'!I$6:I$834,$H32)))</f>
        <v>Schriftgroesse</v>
      </c>
    </row>
    <row r="33" spans="1:35" x14ac:dyDescent="0.25">
      <c r="A33" s="57">
        <v>28</v>
      </c>
      <c r="B33" s="57">
        <f>IF($A33="","",IF(_xlfn.XLOOKUP($A33,Korrelation!$D$4:$D$1197,Korrelation!E$4:E$1197,"-",0)="-",0,MATCH(_xlfn.XLOOKUP($A33,Korrelation!$D$4:$D$1197,Korrelation!E$4:E$1197,"",0),DMAV_Modell!$G$6:$G$677,0)))</f>
        <v>0</v>
      </c>
      <c r="C33" s="57">
        <f>IF($A33="","",IF(_xlfn.XLOOKUP($A33,Korrelation!$D$4:$D$1197,Korrelation!F$4:F$1197,"-",0)="-",0,MATCH(_xlfn.XLOOKUP($A33,Korrelation!$D$4:$D$1197,Korrelation!F$4:F$1197,"",0),DMAV_Modell!$G$6:$G$677,0)))</f>
        <v>0</v>
      </c>
      <c r="D33" s="57">
        <f>IF($A33="","",IF(_xlfn.XLOOKUP($A33,Korrelation!$D$4:$D$1197,Korrelation!G$4:G$1197,"-",0)="-",0,MATCH(_xlfn.XLOOKUP($A33,Korrelation!$D$4:$D$1197,Korrelation!G$4:G$1197,"",0),DMAV_Modell!$G$6:$G$677,0)))</f>
        <v>0</v>
      </c>
      <c r="E33" s="57">
        <f>IF($A33="","",IF(_xlfn.XLOOKUP($A33,Korrelation!$D$4:$D$1197,Korrelation!H$4:H$1197,"-",0)="-",0,MATCH(_xlfn.XLOOKUP($A33,Korrelation!$D$4:$D$1197,Korrelation!H$4:H$1197,"",0),DMAV_Dienste!$F$6:$F$140,0)))</f>
        <v>0</v>
      </c>
      <c r="F33" s="57">
        <f>IF($A33="","",IF(_xlfn.XLOOKUP($A33,Korrelation!$D$4:$D$1197,Korrelation!I$4:I$1197,"-",0)="-",0,MATCH(_xlfn.XLOOKUP($A33,Korrelation!$D$4:$D$1197,Korrelation!I$4:I$1197,"",0),DMAV_Dienste!$F$6:$F$140,0)))</f>
        <v>0</v>
      </c>
      <c r="G33" s="57">
        <f>IF($A33="","",IF(_xlfn.XLOOKUP($A33,Korrelation!$D$4:$D$1197,Korrelation!J$4:J$1197,"-",0)="-",0,MATCH(_xlfn.XLOOKUP($A33,Korrelation!$D$4:$D$1197,Korrelation!J$4:J$1197,"",0),DMAV_Dienste!$F$6:$F$140,0)))</f>
        <v>0</v>
      </c>
      <c r="H33" s="57">
        <f>IF($A33="","",IF(_xlfn.XLOOKUP($A33,Korrelation!$D$4:$D$1197,Korrelation!K$4:K$1197,"-",0)="-",0,MATCH(_xlfn.XLOOKUP($A33,Korrelation!$D$4:$D$1197,Korrelation!K$4:K$1197,"",0),'DM01-AV-CH'!$A$6:$A$834,0)))</f>
        <v>18</v>
      </c>
      <c r="J33" s="54" t="str" cm="1">
        <f t="array" aca="1" ref="J33" ca="1">IF(B33=0,IF(E33=0,"",HYPERLINK("#"&amp;RIGHT(CELL("adresse",OFFSET(DMAV_Dienste!$M$6,E33-1,0)),LEN(CELL("adresse",OFFSET(DMAV_Dienste!$M$6,E33-1,0)))-FIND("]",CELL("adresse",OFFSET(DMAV_Dienste!$M$6,E33-1,0)))),"Dienst")),HYPERLINK("#"&amp;RIGHT(CELL("adresse",OFFSET(DMAV_Modell!$N$6,B33-1,0)),LEN(CELL("adresse",OFFSET(DMAV_Modell!$N$6,B33-1,0)))-FIND("]",CELL("adresse",OFFSET(DMAV_Modell!$N$6,B33-1,0)))),"Modell"))</f>
        <v/>
      </c>
      <c r="K33" s="61" t="str" cm="1">
        <f t="array" ref="K33">IF($B33=0,IF($E33=0,"",IF(INDEX(DMAV_Dienste!P$6:P$140,$E33)="","",INDEX(DMAV_Dienste!P$6:P$140,$E33))),IF(INDEX(DMAV_Modell!Q$6:Q$838,$B33)="","",INDEX(DMAV_Modell!Q$6:Q$838,$B33)))</f>
        <v/>
      </c>
      <c r="L33" s="62" t="str" cm="1">
        <f t="array" ref="L33">IF($B33=0,IF($E33=0,"",IF(INDEX(DMAV_Dienste!O$6:O$140,$E33)="","",INDEX(DMAV_Dienste!O$6:O$140,$E33))),IF(INDEX(DMAV_Modell!P$6:P$838,$B33)="","",INDEX(DMAV_Modell!P$6:P$838,$B33)))</f>
        <v/>
      </c>
      <c r="M33" s="62" t="str" cm="1">
        <f t="array" ref="M33">IF($B33=0,IF($E33=0,"",IF(INDEX(DMAV_Dienste!Q$6:Q$140,$E33)="","",INDEX(DMAV_Dienste!Q$6:Q$140,$E33))),IF(INDEX(DMAV_Modell!R$6:R$838,$B33)="","",INDEX(DMAV_Modell!R$6:R$838,$B33)))</f>
        <v/>
      </c>
      <c r="N33" s="62" t="str" cm="1">
        <f t="array" ref="N33">IF($B33=0,IF($E33=0,"",IF(INDEX(DMAV_Dienste!T$6:T$140,$E33)="","",INDEX(DMAV_Dienste!T$6:T$140,$E33))),IF(INDEX(DMAV_Modell!U$6:U$838,$B33)="","",INDEX(DMAV_Modell!U$6:U$838,$B33)))</f>
        <v/>
      </c>
      <c r="O33" s="63" t="str" cm="1">
        <f t="array" aca="1" ref="O33" ca="1">IF(C33=0,IF(F33=0,"",HYPERLINK("#"&amp;RIGHT(CELL("adresse",OFFSET(DMAV_Dienste!$M$6,F33-1,0)),LEN(CELL("adresse",OFFSET(DMAV_Dienste!$M$6,F33-1,0)))-FIND("]",CELL("adresse",OFFSET(DMAV_Dienste!$M$6,F33-1,0)))),"Structure")),HYPERLINK("#"&amp;RIGHT(CELL("adresse",OFFSET(DMAV_Modell!$N$6,C33-1,0)),LEN(CELL("adresse",OFFSET(DMAV_Modell!$N$6,C33-1,0)))-FIND("]",CELL("adresse",OFFSET(DMAV_Modell!$N$6,C33-1,0)))),"Structure"))</f>
        <v/>
      </c>
      <c r="P33" s="64" t="str" cm="1">
        <f t="array" aca="1" ref="P33" ca="1">IF(D33=0,IF(G33=0,"",HYPERLINK("#"&amp;RIGHT(CELL("adresse",OFFSET(DMAV_Dienste!$M$6,G33-1,0)),LEN(CELL("adresse",OFFSET(DMAV_Dienste!$M$6,G33-1,0)))-FIND("]",CELL("adresse",OFFSET(DMAV_Dienste!$M$6,G33-1,0)))),"Substructure")),HYPERLINK("#"&amp;RIGHT(CELL("adresse",OFFSET(DMAV_Modell!$N$6,D33-1,0)),LEN(CELL("adresse",OFFSET(DMAV_Modell!$N$6,D33-1,0)))-FIND("]",CELL("adresse",OFFSET(DMAV_Modell!$N$6,D33-1,0)))),"Substructure"))</f>
        <v/>
      </c>
      <c r="R33" s="80"/>
      <c r="T33" s="93"/>
      <c r="U33" s="94"/>
      <c r="V33" s="95"/>
      <c r="W33" s="96"/>
      <c r="Y33" s="85"/>
      <c r="Z33" s="86"/>
      <c r="AA33" s="87"/>
      <c r="AB33" s="88"/>
      <c r="AD33" s="77"/>
      <c r="AF33" s="54" t="str" cm="1">
        <f t="array" aca="1" ref="AF33" ca="1">IF(H33=0,"",HYPERLINK("#"&amp;RIGHT(CELL("adresse",OFFSET('DM01-AV-CH'!$G$6,H33-1,0)),LEN(CELL("adresse",OFFSET('DM01-AV-CH'!$G$6,H33-1,0)))-FIND("]",CELL("adresse",OFFSET('DM01-AV-CH'!$G$6,H33-1,0)))),"Modell"))</f>
        <v>Modell</v>
      </c>
      <c r="AG33" s="72" t="str" cm="1">
        <f t="array" ref="AG33">IF($H33=0,"",IF(INDEX('DM01-AV-CH'!G$6:G$834,$H33)="","",INDEX('DM01-AV-CH'!G$6:G$834,$H33)))</f>
        <v>Allgemein</v>
      </c>
      <c r="AH33" s="73" t="str" cm="1">
        <f t="array" ref="AH33">IF($H33=0,"",IF(INDEX('DM01-AV-CH'!H$6:H$834,$H33)="","",INDEX('DM01-AV-CH'!H$6:H$834,$H33)))</f>
        <v/>
      </c>
      <c r="AI33" s="74" t="str" cm="1">
        <f t="array" ref="AI33">IF($H33=0,"",IF(INDEX('DM01-AV-CH'!I$6:I$834,$H33)="","",INDEX('DM01-AV-CH'!I$6:I$834,$H33)))</f>
        <v>Schriftstil</v>
      </c>
    </row>
    <row r="34" spans="1:35" x14ac:dyDescent="0.25">
      <c r="A34" s="57">
        <v>29</v>
      </c>
      <c r="B34" s="57">
        <f>IF($A34="","",IF(_xlfn.XLOOKUP($A34,Korrelation!$D$4:$D$1197,Korrelation!E$4:E$1197,"-",0)="-",0,MATCH(_xlfn.XLOOKUP($A34,Korrelation!$D$4:$D$1197,Korrelation!E$4:E$1197,"",0),DMAV_Modell!$G$6:$G$677,0)))</f>
        <v>0</v>
      </c>
      <c r="C34" s="57">
        <f>IF($A34="","",IF(_xlfn.XLOOKUP($A34,Korrelation!$D$4:$D$1197,Korrelation!F$4:F$1197,"-",0)="-",0,MATCH(_xlfn.XLOOKUP($A34,Korrelation!$D$4:$D$1197,Korrelation!F$4:F$1197,"",0),DMAV_Modell!$G$6:$G$677,0)))</f>
        <v>0</v>
      </c>
      <c r="D34" s="57">
        <f>IF($A34="","",IF(_xlfn.XLOOKUP($A34,Korrelation!$D$4:$D$1197,Korrelation!G$4:G$1197,"-",0)="-",0,MATCH(_xlfn.XLOOKUP($A34,Korrelation!$D$4:$D$1197,Korrelation!G$4:G$1197,"",0),DMAV_Modell!$G$6:$G$677,0)))</f>
        <v>0</v>
      </c>
      <c r="E34" s="57">
        <f>IF($A34="","",IF(_xlfn.XLOOKUP($A34,Korrelation!$D$4:$D$1197,Korrelation!H$4:H$1197,"-",0)="-",0,MATCH(_xlfn.XLOOKUP($A34,Korrelation!$D$4:$D$1197,Korrelation!H$4:H$1197,"",0),DMAV_Dienste!$F$6:$F$140,0)))</f>
        <v>0</v>
      </c>
      <c r="F34" s="57">
        <f>IF($A34="","",IF(_xlfn.XLOOKUP($A34,Korrelation!$D$4:$D$1197,Korrelation!I$4:I$1197,"-",0)="-",0,MATCH(_xlfn.XLOOKUP($A34,Korrelation!$D$4:$D$1197,Korrelation!I$4:I$1197,"",0),DMAV_Dienste!$F$6:$F$140,0)))</f>
        <v>0</v>
      </c>
      <c r="G34" s="57">
        <f>IF($A34="","",IF(_xlfn.XLOOKUP($A34,Korrelation!$D$4:$D$1197,Korrelation!J$4:J$1197,"-",0)="-",0,MATCH(_xlfn.XLOOKUP($A34,Korrelation!$D$4:$D$1197,Korrelation!J$4:J$1197,"",0),DMAV_Dienste!$F$6:$F$140,0)))</f>
        <v>0</v>
      </c>
      <c r="H34" s="57">
        <f>IF($A34="","",IF(_xlfn.XLOOKUP($A34,Korrelation!$D$4:$D$1197,Korrelation!K$4:K$1197,"-",0)="-",0,MATCH(_xlfn.XLOOKUP($A34,Korrelation!$D$4:$D$1197,Korrelation!K$4:K$1197,"",0),'DM01-AV-CH'!$A$6:$A$834,0)))</f>
        <v>19</v>
      </c>
      <c r="J34" s="54" t="str" cm="1">
        <f t="array" aca="1" ref="J34" ca="1">IF(B34=0,IF(E34=0,"",HYPERLINK("#"&amp;RIGHT(CELL("adresse",OFFSET(DMAV_Dienste!$M$6,E34-1,0)),LEN(CELL("adresse",OFFSET(DMAV_Dienste!$M$6,E34-1,0)))-FIND("]",CELL("adresse",OFFSET(DMAV_Dienste!$M$6,E34-1,0)))),"Dienst")),HYPERLINK("#"&amp;RIGHT(CELL("adresse",OFFSET(DMAV_Modell!$N$6,B34-1,0)),LEN(CELL("adresse",OFFSET(DMAV_Modell!$N$6,B34-1,0)))-FIND("]",CELL("adresse",OFFSET(DMAV_Modell!$N$6,B34-1,0)))),"Modell"))</f>
        <v/>
      </c>
      <c r="K34" s="61" t="str" cm="1">
        <f t="array" ref="K34">IF($B34=0,IF($E34=0,"",IF(INDEX(DMAV_Dienste!P$6:P$140,$E34)="","",INDEX(DMAV_Dienste!P$6:P$140,$E34))),IF(INDEX(DMAV_Modell!Q$6:Q$838,$B34)="","",INDEX(DMAV_Modell!Q$6:Q$838,$B34)))</f>
        <v/>
      </c>
      <c r="L34" s="62" t="str" cm="1">
        <f t="array" ref="L34">IF($B34=0,IF($E34=0,"",IF(INDEX(DMAV_Dienste!O$6:O$140,$E34)="","",INDEX(DMAV_Dienste!O$6:O$140,$E34))),IF(INDEX(DMAV_Modell!P$6:P$838,$B34)="","",INDEX(DMAV_Modell!P$6:P$838,$B34)))</f>
        <v/>
      </c>
      <c r="M34" s="62" t="str" cm="1">
        <f t="array" ref="M34">IF($B34=0,IF($E34=0,"",IF(INDEX(DMAV_Dienste!Q$6:Q$140,$E34)="","",INDEX(DMAV_Dienste!Q$6:Q$140,$E34))),IF(INDEX(DMAV_Modell!R$6:R$838,$B34)="","",INDEX(DMAV_Modell!R$6:R$838,$B34)))</f>
        <v/>
      </c>
      <c r="N34" s="62" t="str" cm="1">
        <f t="array" ref="N34">IF($B34=0,IF($E34=0,"",IF(INDEX(DMAV_Dienste!T$6:T$140,$E34)="","",INDEX(DMAV_Dienste!T$6:T$140,$E34))),IF(INDEX(DMAV_Modell!U$6:U$838,$B34)="","",INDEX(DMAV_Modell!U$6:U$838,$B34)))</f>
        <v/>
      </c>
      <c r="O34" s="63" t="str" cm="1">
        <f t="array" aca="1" ref="O34" ca="1">IF(C34=0,IF(F34=0,"",HYPERLINK("#"&amp;RIGHT(CELL("adresse",OFFSET(DMAV_Dienste!$M$6,F34-1,0)),LEN(CELL("adresse",OFFSET(DMAV_Dienste!$M$6,F34-1,0)))-FIND("]",CELL("adresse",OFFSET(DMAV_Dienste!$M$6,F34-1,0)))),"Structure")),HYPERLINK("#"&amp;RIGHT(CELL("adresse",OFFSET(DMAV_Modell!$N$6,C34-1,0)),LEN(CELL("adresse",OFFSET(DMAV_Modell!$N$6,C34-1,0)))-FIND("]",CELL("adresse",OFFSET(DMAV_Modell!$N$6,C34-1,0)))),"Structure"))</f>
        <v/>
      </c>
      <c r="P34" s="64" t="str" cm="1">
        <f t="array" aca="1" ref="P34" ca="1">IF(D34=0,IF(G34=0,"",HYPERLINK("#"&amp;RIGHT(CELL("adresse",OFFSET(DMAV_Dienste!$M$6,G34-1,0)),LEN(CELL("adresse",OFFSET(DMAV_Dienste!$M$6,G34-1,0)))-FIND("]",CELL("adresse",OFFSET(DMAV_Dienste!$M$6,G34-1,0)))),"Substructure")),HYPERLINK("#"&amp;RIGHT(CELL("adresse",OFFSET(DMAV_Modell!$N$6,D34-1,0)),LEN(CELL("adresse",OFFSET(DMAV_Modell!$N$6,D34-1,0)))-FIND("]",CELL("adresse",OFFSET(DMAV_Modell!$N$6,D34-1,0)))),"Substructure"))</f>
        <v/>
      </c>
      <c r="R34" s="80"/>
      <c r="T34" s="93"/>
      <c r="U34" s="94"/>
      <c r="V34" s="95"/>
      <c r="W34" s="96"/>
      <c r="Y34" s="85"/>
      <c r="Z34" s="86"/>
      <c r="AA34" s="87"/>
      <c r="AB34" s="88"/>
      <c r="AD34" s="77"/>
      <c r="AF34" s="54" t="str" cm="1">
        <f t="array" aca="1" ref="AF34" ca="1">IF(H34=0,"",HYPERLINK("#"&amp;RIGHT(CELL("adresse",OFFSET('DM01-AV-CH'!$G$6,H34-1,0)),LEN(CELL("adresse",OFFSET('DM01-AV-CH'!$G$6,H34-1,0)))-FIND("]",CELL("adresse",OFFSET('DM01-AV-CH'!$G$6,H34-1,0)))),"Modell"))</f>
        <v>Modell</v>
      </c>
      <c r="AG34" s="72" t="str" cm="1">
        <f t="array" ref="AG34">IF($H34=0,"",IF(INDEX('DM01-AV-CH'!G$6:G$834,$H34)="","",INDEX('DM01-AV-CH'!G$6:G$834,$H34)))</f>
        <v>Allgemein</v>
      </c>
      <c r="AH34" s="73" t="str" cm="1">
        <f t="array" ref="AH34">IF($H34=0,"",IF(INDEX('DM01-AV-CH'!H$6:H$834,$H34)="","",INDEX('DM01-AV-CH'!H$6:H$834,$H34)))</f>
        <v/>
      </c>
      <c r="AI34" s="74" t="str" cm="1">
        <f t="array" ref="AI34">IF($H34=0,"",IF(INDEX('DM01-AV-CH'!I$6:I$834,$H34)="","",INDEX('DM01-AV-CH'!I$6:I$834,$H34)))</f>
        <v>Schriftstil</v>
      </c>
    </row>
    <row r="35" spans="1:35" x14ac:dyDescent="0.25">
      <c r="A35" s="57">
        <v>30</v>
      </c>
      <c r="B35" s="57">
        <f>IF($A35="","",IF(_xlfn.XLOOKUP($A35,Korrelation!$D$4:$D$1197,Korrelation!E$4:E$1197,"-",0)="-",0,MATCH(_xlfn.XLOOKUP($A35,Korrelation!$D$4:$D$1197,Korrelation!E$4:E$1197,"",0),DMAV_Modell!$G$6:$G$677,0)))</f>
        <v>0</v>
      </c>
      <c r="C35" s="57">
        <f>IF($A35="","",IF(_xlfn.XLOOKUP($A35,Korrelation!$D$4:$D$1197,Korrelation!F$4:F$1197,"-",0)="-",0,MATCH(_xlfn.XLOOKUP($A35,Korrelation!$D$4:$D$1197,Korrelation!F$4:F$1197,"",0),DMAV_Modell!$G$6:$G$677,0)))</f>
        <v>0</v>
      </c>
      <c r="D35" s="57">
        <f>IF($A35="","",IF(_xlfn.XLOOKUP($A35,Korrelation!$D$4:$D$1197,Korrelation!G$4:G$1197,"-",0)="-",0,MATCH(_xlfn.XLOOKUP($A35,Korrelation!$D$4:$D$1197,Korrelation!G$4:G$1197,"",0),DMAV_Modell!$G$6:$G$677,0)))</f>
        <v>0</v>
      </c>
      <c r="E35" s="57">
        <f>IF($A35="","",IF(_xlfn.XLOOKUP($A35,Korrelation!$D$4:$D$1197,Korrelation!H$4:H$1197,"-",0)="-",0,MATCH(_xlfn.XLOOKUP($A35,Korrelation!$D$4:$D$1197,Korrelation!H$4:H$1197,"",0),DMAV_Dienste!$F$6:$F$140,0)))</f>
        <v>0</v>
      </c>
      <c r="F35" s="57">
        <f>IF($A35="","",IF(_xlfn.XLOOKUP($A35,Korrelation!$D$4:$D$1197,Korrelation!I$4:I$1197,"-",0)="-",0,MATCH(_xlfn.XLOOKUP($A35,Korrelation!$D$4:$D$1197,Korrelation!I$4:I$1197,"",0),DMAV_Dienste!$F$6:$F$140,0)))</f>
        <v>0</v>
      </c>
      <c r="G35" s="57">
        <f>IF($A35="","",IF(_xlfn.XLOOKUP($A35,Korrelation!$D$4:$D$1197,Korrelation!J$4:J$1197,"-",0)="-",0,MATCH(_xlfn.XLOOKUP($A35,Korrelation!$D$4:$D$1197,Korrelation!J$4:J$1197,"",0),DMAV_Dienste!$F$6:$F$140,0)))</f>
        <v>0</v>
      </c>
      <c r="H35" s="57">
        <f>IF($A35="","",IF(_xlfn.XLOOKUP($A35,Korrelation!$D$4:$D$1197,Korrelation!K$4:K$1197,"-",0)="-",0,MATCH(_xlfn.XLOOKUP($A35,Korrelation!$D$4:$D$1197,Korrelation!K$4:K$1197,"",0),'DM01-AV-CH'!$A$6:$A$834,0)))</f>
        <v>20</v>
      </c>
      <c r="J35" s="54" t="str" cm="1">
        <f t="array" aca="1" ref="J35" ca="1">IF(B35=0,IF(E35=0,"",HYPERLINK("#"&amp;RIGHT(CELL("adresse",OFFSET(DMAV_Dienste!$M$6,E35-1,0)),LEN(CELL("adresse",OFFSET(DMAV_Dienste!$M$6,E35-1,0)))-FIND("]",CELL("adresse",OFFSET(DMAV_Dienste!$M$6,E35-1,0)))),"Dienst")),HYPERLINK("#"&amp;RIGHT(CELL("adresse",OFFSET(DMAV_Modell!$N$6,B35-1,0)),LEN(CELL("adresse",OFFSET(DMAV_Modell!$N$6,B35-1,0)))-FIND("]",CELL("adresse",OFFSET(DMAV_Modell!$N$6,B35-1,0)))),"Modell"))</f>
        <v/>
      </c>
      <c r="K35" s="61" t="str" cm="1">
        <f t="array" ref="K35">IF($B35=0,IF($E35=0,"",IF(INDEX(DMAV_Dienste!P$6:P$140,$E35)="","",INDEX(DMAV_Dienste!P$6:P$140,$E35))),IF(INDEX(DMAV_Modell!Q$6:Q$838,$B35)="","",INDEX(DMAV_Modell!Q$6:Q$838,$B35)))</f>
        <v/>
      </c>
      <c r="L35" s="62" t="str" cm="1">
        <f t="array" ref="L35">IF($B35=0,IF($E35=0,"",IF(INDEX(DMAV_Dienste!O$6:O$140,$E35)="","",INDEX(DMAV_Dienste!O$6:O$140,$E35))),IF(INDEX(DMAV_Modell!P$6:P$838,$B35)="","",INDEX(DMAV_Modell!P$6:P$838,$B35)))</f>
        <v/>
      </c>
      <c r="M35" s="62" t="str" cm="1">
        <f t="array" ref="M35">IF($B35=0,IF($E35=0,"",IF(INDEX(DMAV_Dienste!Q$6:Q$140,$E35)="","",INDEX(DMAV_Dienste!Q$6:Q$140,$E35))),IF(INDEX(DMAV_Modell!R$6:R$838,$B35)="","",INDEX(DMAV_Modell!R$6:R$838,$B35)))</f>
        <v/>
      </c>
      <c r="N35" s="62" t="str" cm="1">
        <f t="array" ref="N35">IF($B35=0,IF($E35=0,"",IF(INDEX(DMAV_Dienste!T$6:T$140,$E35)="","",INDEX(DMAV_Dienste!T$6:T$140,$E35))),IF(INDEX(DMAV_Modell!U$6:U$838,$B35)="","",INDEX(DMAV_Modell!U$6:U$838,$B35)))</f>
        <v/>
      </c>
      <c r="O35" s="63" t="str" cm="1">
        <f t="array" aca="1" ref="O35" ca="1">IF(C35=0,IF(F35=0,"",HYPERLINK("#"&amp;RIGHT(CELL("adresse",OFFSET(DMAV_Dienste!$M$6,F35-1,0)),LEN(CELL("adresse",OFFSET(DMAV_Dienste!$M$6,F35-1,0)))-FIND("]",CELL("adresse",OFFSET(DMAV_Dienste!$M$6,F35-1,0)))),"Structure")),HYPERLINK("#"&amp;RIGHT(CELL("adresse",OFFSET(DMAV_Modell!$N$6,C35-1,0)),LEN(CELL("adresse",OFFSET(DMAV_Modell!$N$6,C35-1,0)))-FIND("]",CELL("adresse",OFFSET(DMAV_Modell!$N$6,C35-1,0)))),"Structure"))</f>
        <v/>
      </c>
      <c r="P35" s="64" t="str" cm="1">
        <f t="array" aca="1" ref="P35" ca="1">IF(D35=0,IF(G35=0,"",HYPERLINK("#"&amp;RIGHT(CELL("adresse",OFFSET(DMAV_Dienste!$M$6,G35-1,0)),LEN(CELL("adresse",OFFSET(DMAV_Dienste!$M$6,G35-1,0)))-FIND("]",CELL("adresse",OFFSET(DMAV_Dienste!$M$6,G35-1,0)))),"Substructure")),HYPERLINK("#"&amp;RIGHT(CELL("adresse",OFFSET(DMAV_Modell!$N$6,D35-1,0)),LEN(CELL("adresse",OFFSET(DMAV_Modell!$N$6,D35-1,0)))-FIND("]",CELL("adresse",OFFSET(DMAV_Modell!$N$6,D35-1,0)))),"Substructure"))</f>
        <v/>
      </c>
      <c r="R35" s="80"/>
      <c r="T35" s="93"/>
      <c r="U35" s="94"/>
      <c r="V35" s="95"/>
      <c r="W35" s="96"/>
      <c r="Y35" s="85"/>
      <c r="Z35" s="86"/>
      <c r="AA35" s="87"/>
      <c r="AB35" s="88"/>
      <c r="AD35" s="77"/>
      <c r="AF35" s="54" t="str" cm="1">
        <f t="array" aca="1" ref="AF35" ca="1">IF(H35=0,"",HYPERLINK("#"&amp;RIGHT(CELL("adresse",OFFSET('DM01-AV-CH'!$G$6,H35-1,0)),LEN(CELL("adresse",OFFSET('DM01-AV-CH'!$G$6,H35-1,0)))-FIND("]",CELL("adresse",OFFSET('DM01-AV-CH'!$G$6,H35-1,0)))),"Modell"))</f>
        <v>Modell</v>
      </c>
      <c r="AG35" s="72" t="str" cm="1">
        <f t="array" ref="AG35">IF($H35=0,"",IF(INDEX('DM01-AV-CH'!G$6:G$834,$H35)="","",INDEX('DM01-AV-CH'!G$6:G$834,$H35)))</f>
        <v>Allgemein</v>
      </c>
      <c r="AH35" s="73" t="str" cm="1">
        <f t="array" ref="AH35">IF($H35=0,"",IF(INDEX('DM01-AV-CH'!H$6:H$834,$H35)="","",INDEX('DM01-AV-CH'!H$6:H$834,$H35)))</f>
        <v/>
      </c>
      <c r="AI35" s="74" t="str" cm="1">
        <f t="array" ref="AI35">IF($H35=0,"",IF(INDEX('DM01-AV-CH'!I$6:I$834,$H35)="","",INDEX('DM01-AV-CH'!I$6:I$834,$H35)))</f>
        <v>Schriftstil</v>
      </c>
    </row>
    <row r="36" spans="1:35" x14ac:dyDescent="0.25">
      <c r="A36" s="57">
        <v>31</v>
      </c>
      <c r="B36" s="57">
        <f>IF($A36="","",IF(_xlfn.XLOOKUP($A36,Korrelation!$D$4:$D$1197,Korrelation!E$4:E$1197,"-",0)="-",0,MATCH(_xlfn.XLOOKUP($A36,Korrelation!$D$4:$D$1197,Korrelation!E$4:E$1197,"",0),DMAV_Modell!$G$6:$G$677,0)))</f>
        <v>26</v>
      </c>
      <c r="C36" s="57">
        <f>IF($A36="","",IF(_xlfn.XLOOKUP($A36,Korrelation!$D$4:$D$1197,Korrelation!F$4:F$1197,"-",0)="-",0,MATCH(_xlfn.XLOOKUP($A36,Korrelation!$D$4:$D$1197,Korrelation!F$4:F$1197,"",0),DMAV_Modell!$G$6:$G$677,0)))</f>
        <v>0</v>
      </c>
      <c r="D36" s="57">
        <f>IF($A36="","",IF(_xlfn.XLOOKUP($A36,Korrelation!$D$4:$D$1197,Korrelation!G$4:G$1197,"-",0)="-",0,MATCH(_xlfn.XLOOKUP($A36,Korrelation!$D$4:$D$1197,Korrelation!G$4:G$1197,"",0),DMAV_Modell!$G$6:$G$677,0)))</f>
        <v>0</v>
      </c>
      <c r="E36" s="57">
        <f>IF($A36="","",IF(_xlfn.XLOOKUP($A36,Korrelation!$D$4:$D$1197,Korrelation!H$4:H$1197,"-",0)="-",0,MATCH(_xlfn.XLOOKUP($A36,Korrelation!$D$4:$D$1197,Korrelation!H$4:H$1197,"",0),DMAV_Dienste!$F$6:$F$140,0)))</f>
        <v>0</v>
      </c>
      <c r="F36" s="57">
        <f>IF($A36="","",IF(_xlfn.XLOOKUP($A36,Korrelation!$D$4:$D$1197,Korrelation!I$4:I$1197,"-",0)="-",0,MATCH(_xlfn.XLOOKUP($A36,Korrelation!$D$4:$D$1197,Korrelation!I$4:I$1197,"",0),DMAV_Dienste!$F$6:$F$140,0)))</f>
        <v>0</v>
      </c>
      <c r="G36" s="57">
        <f>IF($A36="","",IF(_xlfn.XLOOKUP($A36,Korrelation!$D$4:$D$1197,Korrelation!J$4:J$1197,"-",0)="-",0,MATCH(_xlfn.XLOOKUP($A36,Korrelation!$D$4:$D$1197,Korrelation!J$4:J$1197,"",0),DMAV_Dienste!$F$6:$F$140,0)))</f>
        <v>0</v>
      </c>
      <c r="H36" s="57">
        <f>IF($A36="","",IF(_xlfn.XLOOKUP($A36,Korrelation!$D$4:$D$1197,Korrelation!K$4:K$1197,"-",0)="-",0,MATCH(_xlfn.XLOOKUP($A36,Korrelation!$D$4:$D$1197,Korrelation!K$4:K$1197,"",0),'DM01-AV-CH'!$A$6:$A$834,0)))</f>
        <v>0</v>
      </c>
      <c r="J36" s="54" t="str" cm="1">
        <f t="array" aca="1" ref="J36" ca="1">IF(B36=0,IF(E36=0,"",HYPERLINK("#"&amp;RIGHT(CELL("adresse",OFFSET(DMAV_Dienste!$M$6,E36-1,0)),LEN(CELL("adresse",OFFSET(DMAV_Dienste!$M$6,E36-1,0)))-FIND("]",CELL("adresse",OFFSET(DMAV_Dienste!$M$6,E36-1,0)))),"Dienst")),HYPERLINK("#"&amp;RIGHT(CELL("adresse",OFFSET(DMAV_Modell!$N$6,B36-1,0)),LEN(CELL("adresse",OFFSET(DMAV_Modell!$N$6,B36-1,0)))-FIND("]",CELL("adresse",OFFSET(DMAV_Modell!$N$6,B36-1,0)))),"Modell"))</f>
        <v>Modell</v>
      </c>
      <c r="K36" s="61" t="str" cm="1">
        <f t="array" ref="K36">IF($B36=0,IF($E36=0,"",IF(INDEX(DMAV_Dienste!P$6:P$140,$E36)="","",INDEX(DMAV_Dienste!P$6:P$140,$E36))),IF(INDEX(DMAV_Modell!Q$6:Q$838,$B36)="","",INDEX(DMAV_Modell!Q$6:Q$838,$B36)))</f>
        <v>STRUCTURE</v>
      </c>
      <c r="L36" s="62" t="str" cm="1">
        <f t="array" ref="L36">IF($B36=0,IF($E36=0,"",IF(INDEX(DMAV_Dienste!O$6:O$140,$E36)="","",INDEX(DMAV_Dienste!O$6:O$140,$E36))),IF(INDEX(DMAV_Modell!P$6:P$838,$B36)="","",INDEX(DMAV_Modell!P$6:P$838,$B36)))</f>
        <v/>
      </c>
      <c r="M36" s="62" t="str" cm="1">
        <f t="array" ref="M36">IF($B36=0,IF($E36=0,"",IF(INDEX(DMAV_Dienste!Q$6:Q$140,$E36)="","",INDEX(DMAV_Dienste!Q$6:Q$140,$E36))),IF(INDEX(DMAV_Modell!R$6:R$838,$B36)="","",INDEX(DMAV_Modell!R$6:R$838,$B36)))</f>
        <v>Textposition</v>
      </c>
      <c r="N36" s="62" t="str" cm="1">
        <f t="array" ref="N36">IF($B36=0,IF($E36=0,"",IF(INDEX(DMAV_Dienste!T$6:T$140,$E36)="","",INDEX(DMAV_Dienste!T$6:T$140,$E36))),IF(INDEX(DMAV_Modell!U$6:U$838,$B36)="","",INDEX(DMAV_Modell!U$6:U$838,$B36)))</f>
        <v>Position</v>
      </c>
      <c r="O36" s="63" t="str" cm="1">
        <f t="array" aca="1" ref="O36" ca="1">IF(C36=0,IF(F36=0,"",HYPERLINK("#"&amp;RIGHT(CELL("adresse",OFFSET(DMAV_Dienste!$M$6,F36-1,0)),LEN(CELL("adresse",OFFSET(DMAV_Dienste!$M$6,F36-1,0)))-FIND("]",CELL("adresse",OFFSET(DMAV_Dienste!$M$6,F36-1,0)))),"Structure")),HYPERLINK("#"&amp;RIGHT(CELL("adresse",OFFSET(DMAV_Modell!$N$6,C36-1,0)),LEN(CELL("adresse",OFFSET(DMAV_Modell!$N$6,C36-1,0)))-FIND("]",CELL("adresse",OFFSET(DMAV_Modell!$N$6,C36-1,0)))),"Structure"))</f>
        <v/>
      </c>
      <c r="P36" s="64" t="str" cm="1">
        <f t="array" aca="1" ref="P36" ca="1">IF(D36=0,IF(G36=0,"",HYPERLINK("#"&amp;RIGHT(CELL("adresse",OFFSET(DMAV_Dienste!$M$6,G36-1,0)),LEN(CELL("adresse",OFFSET(DMAV_Dienste!$M$6,G36-1,0)))-FIND("]",CELL("adresse",OFFSET(DMAV_Dienste!$M$6,G36-1,0)))),"Substructure")),HYPERLINK("#"&amp;RIGHT(CELL("adresse",OFFSET(DMAV_Modell!$N$6,D36-1,0)),LEN(CELL("adresse",OFFSET(DMAV_Modell!$N$6,D36-1,0)))-FIND("]",CELL("adresse",OFFSET(DMAV_Modell!$N$6,D36-1,0)))),"Substructure"))</f>
        <v/>
      </c>
      <c r="R36" s="80"/>
      <c r="T36" s="93"/>
      <c r="U36" s="94"/>
      <c r="V36" s="95"/>
      <c r="W36" s="96"/>
      <c r="Y36" s="85"/>
      <c r="Z36" s="86"/>
      <c r="AA36" s="87"/>
      <c r="AB36" s="88"/>
      <c r="AD36" s="77"/>
      <c r="AF36" s="54" t="str" cm="1">
        <f t="array" aca="1" ref="AF36" ca="1">IF(H36=0,"",HYPERLINK("#"&amp;RIGHT(CELL("adresse",OFFSET('DM01-AV-CH'!$G$6,H36-1,0)),LEN(CELL("adresse",OFFSET('DM01-AV-CH'!$G$6,H36-1,0)))-FIND("]",CELL("adresse",OFFSET('DM01-AV-CH'!$G$6,H36-1,0)))),"Modell"))</f>
        <v/>
      </c>
      <c r="AG36" s="72" t="str" cm="1">
        <f t="array" ref="AG36">IF($H36=0,"",IF(INDEX('DM01-AV-CH'!G$6:G$834,$H36)="","",INDEX('DM01-AV-CH'!G$6:G$834,$H36)))</f>
        <v/>
      </c>
      <c r="AH36" s="73" t="str" cm="1">
        <f t="array" ref="AH36">IF($H36=0,"",IF(INDEX('DM01-AV-CH'!H$6:H$834,$H36)="","",INDEX('DM01-AV-CH'!H$6:H$834,$H36)))</f>
        <v/>
      </c>
      <c r="AI36" s="74" t="str" cm="1">
        <f t="array" ref="AI36">IF($H36=0,"",IF(INDEX('DM01-AV-CH'!I$6:I$834,$H36)="","",INDEX('DM01-AV-CH'!I$6:I$834,$H36)))</f>
        <v/>
      </c>
    </row>
    <row r="37" spans="1:35" x14ac:dyDescent="0.25">
      <c r="A37" s="57">
        <v>32</v>
      </c>
      <c r="B37" s="57">
        <f>IF($A37="","",IF(_xlfn.XLOOKUP($A37,Korrelation!$D$4:$D$1197,Korrelation!E$4:E$1197,"-",0)="-",0,MATCH(_xlfn.XLOOKUP($A37,Korrelation!$D$4:$D$1197,Korrelation!E$4:E$1197,"",0),DMAV_Modell!$G$6:$G$677,0)))</f>
        <v>27</v>
      </c>
      <c r="C37" s="57">
        <f>IF($A37="","",IF(_xlfn.XLOOKUP($A37,Korrelation!$D$4:$D$1197,Korrelation!F$4:F$1197,"-",0)="-",0,MATCH(_xlfn.XLOOKUP($A37,Korrelation!$D$4:$D$1197,Korrelation!F$4:F$1197,"",0),DMAV_Modell!$G$6:$G$677,0)))</f>
        <v>0</v>
      </c>
      <c r="D37" s="57">
        <f>IF($A37="","",IF(_xlfn.XLOOKUP($A37,Korrelation!$D$4:$D$1197,Korrelation!G$4:G$1197,"-",0)="-",0,MATCH(_xlfn.XLOOKUP($A37,Korrelation!$D$4:$D$1197,Korrelation!G$4:G$1197,"",0),DMAV_Modell!$G$6:$G$677,0)))</f>
        <v>0</v>
      </c>
      <c r="E37" s="57">
        <f>IF($A37="","",IF(_xlfn.XLOOKUP($A37,Korrelation!$D$4:$D$1197,Korrelation!H$4:H$1197,"-",0)="-",0,MATCH(_xlfn.XLOOKUP($A37,Korrelation!$D$4:$D$1197,Korrelation!H$4:H$1197,"",0),DMAV_Dienste!$F$6:$F$140,0)))</f>
        <v>0</v>
      </c>
      <c r="F37" s="57">
        <f>IF($A37="","",IF(_xlfn.XLOOKUP($A37,Korrelation!$D$4:$D$1197,Korrelation!I$4:I$1197,"-",0)="-",0,MATCH(_xlfn.XLOOKUP($A37,Korrelation!$D$4:$D$1197,Korrelation!I$4:I$1197,"",0),DMAV_Dienste!$F$6:$F$140,0)))</f>
        <v>0</v>
      </c>
      <c r="G37" s="57">
        <f>IF($A37="","",IF(_xlfn.XLOOKUP($A37,Korrelation!$D$4:$D$1197,Korrelation!J$4:J$1197,"-",0)="-",0,MATCH(_xlfn.XLOOKUP($A37,Korrelation!$D$4:$D$1197,Korrelation!J$4:J$1197,"",0),DMAV_Dienste!$F$6:$F$140,0)))</f>
        <v>0</v>
      </c>
      <c r="H37" s="57">
        <f>IF($A37="","",IF(_xlfn.XLOOKUP($A37,Korrelation!$D$4:$D$1197,Korrelation!K$4:K$1197,"-",0)="-",0,MATCH(_xlfn.XLOOKUP($A37,Korrelation!$D$4:$D$1197,Korrelation!K$4:K$1197,"",0),'DM01-AV-CH'!$A$6:$A$834,0)))</f>
        <v>0</v>
      </c>
      <c r="J37" s="54" t="str" cm="1">
        <f t="array" aca="1" ref="J37" ca="1">IF(B37=0,IF(E37=0,"",HYPERLINK("#"&amp;RIGHT(CELL("adresse",OFFSET(DMAV_Dienste!$M$6,E37-1,0)),LEN(CELL("adresse",OFFSET(DMAV_Dienste!$M$6,E37-1,0)))-FIND("]",CELL("adresse",OFFSET(DMAV_Dienste!$M$6,E37-1,0)))),"Dienst")),HYPERLINK("#"&amp;RIGHT(CELL("adresse",OFFSET(DMAV_Modell!$N$6,B37-1,0)),LEN(CELL("adresse",OFFSET(DMAV_Modell!$N$6,B37-1,0)))-FIND("]",CELL("adresse",OFFSET(DMAV_Modell!$N$6,B37-1,0)))),"Modell"))</f>
        <v>Modell</v>
      </c>
      <c r="K37" s="61" t="str" cm="1">
        <f t="array" ref="K37">IF($B37=0,IF($E37=0,"",IF(INDEX(DMAV_Dienste!P$6:P$140,$E37)="","",INDEX(DMAV_Dienste!P$6:P$140,$E37))),IF(INDEX(DMAV_Modell!Q$6:Q$838,$B37)="","",INDEX(DMAV_Modell!Q$6:Q$838,$B37)))</f>
        <v>STRUCTURE</v>
      </c>
      <c r="L37" s="62" t="str" cm="1">
        <f t="array" ref="L37">IF($B37=0,IF($E37=0,"",IF(INDEX(DMAV_Dienste!O$6:O$140,$E37)="","",INDEX(DMAV_Dienste!O$6:O$140,$E37))),IF(INDEX(DMAV_Modell!P$6:P$838,$B37)="","",INDEX(DMAV_Modell!P$6:P$838,$B37)))</f>
        <v/>
      </c>
      <c r="M37" s="62" t="str" cm="1">
        <f t="array" ref="M37">IF($B37=0,IF($E37=0,"",IF(INDEX(DMAV_Dienste!Q$6:Q$140,$E37)="","",INDEX(DMAV_Dienste!Q$6:Q$140,$E37))),IF(INDEX(DMAV_Modell!R$6:R$838,$B37)="","",INDEX(DMAV_Modell!R$6:R$838,$B37)))</f>
        <v>Textposition</v>
      </c>
      <c r="N37" s="62" t="str" cm="1">
        <f t="array" ref="N37">IF($B37=0,IF($E37=0,"",IF(INDEX(DMAV_Dienste!T$6:T$140,$E37)="","",INDEX(DMAV_Dienste!T$6:T$140,$E37))),IF(INDEX(DMAV_Modell!U$6:U$838,$B37)="","",INDEX(DMAV_Modell!U$6:U$838,$B37)))</f>
        <v>Orientierung</v>
      </c>
      <c r="O37" s="63" t="str" cm="1">
        <f t="array" aca="1" ref="O37" ca="1">IF(C37=0,IF(F37=0,"",HYPERLINK("#"&amp;RIGHT(CELL("adresse",OFFSET(DMAV_Dienste!$M$6,F37-1,0)),LEN(CELL("adresse",OFFSET(DMAV_Dienste!$M$6,F37-1,0)))-FIND("]",CELL("adresse",OFFSET(DMAV_Dienste!$M$6,F37-1,0)))),"Structure")),HYPERLINK("#"&amp;RIGHT(CELL("adresse",OFFSET(DMAV_Modell!$N$6,C37-1,0)),LEN(CELL("adresse",OFFSET(DMAV_Modell!$N$6,C37-1,0)))-FIND("]",CELL("adresse",OFFSET(DMAV_Modell!$N$6,C37-1,0)))),"Structure"))</f>
        <v/>
      </c>
      <c r="P37" s="64" t="str" cm="1">
        <f t="array" aca="1" ref="P37" ca="1">IF(D37=0,IF(G37=0,"",HYPERLINK("#"&amp;RIGHT(CELL("adresse",OFFSET(DMAV_Dienste!$M$6,G37-1,0)),LEN(CELL("adresse",OFFSET(DMAV_Dienste!$M$6,G37-1,0)))-FIND("]",CELL("adresse",OFFSET(DMAV_Dienste!$M$6,G37-1,0)))),"Substructure")),HYPERLINK("#"&amp;RIGHT(CELL("adresse",OFFSET(DMAV_Modell!$N$6,D37-1,0)),LEN(CELL("adresse",OFFSET(DMAV_Modell!$N$6,D37-1,0)))-FIND("]",CELL("adresse",OFFSET(DMAV_Modell!$N$6,D37-1,0)))),"Substructure"))</f>
        <v/>
      </c>
      <c r="R37" s="80"/>
      <c r="T37" s="93"/>
      <c r="U37" s="94"/>
      <c r="V37" s="95"/>
      <c r="W37" s="96"/>
      <c r="Y37" s="85"/>
      <c r="Z37" s="86"/>
      <c r="AA37" s="87"/>
      <c r="AB37" s="88"/>
      <c r="AD37" s="77"/>
      <c r="AF37" s="54" t="str" cm="1">
        <f t="array" aca="1" ref="AF37" ca="1">IF(H37=0,"",HYPERLINK("#"&amp;RIGHT(CELL("adresse",OFFSET('DM01-AV-CH'!$G$6,H37-1,0)),LEN(CELL("adresse",OFFSET('DM01-AV-CH'!$G$6,H37-1,0)))-FIND("]",CELL("adresse",OFFSET('DM01-AV-CH'!$G$6,H37-1,0)))),"Modell"))</f>
        <v/>
      </c>
      <c r="AG37" s="72" t="str" cm="1">
        <f t="array" ref="AG37">IF($H37=0,"",IF(INDEX('DM01-AV-CH'!G$6:G$834,$H37)="","",INDEX('DM01-AV-CH'!G$6:G$834,$H37)))</f>
        <v/>
      </c>
      <c r="AH37" s="73" t="str" cm="1">
        <f t="array" ref="AH37">IF($H37=0,"",IF(INDEX('DM01-AV-CH'!H$6:H$834,$H37)="","",INDEX('DM01-AV-CH'!H$6:H$834,$H37)))</f>
        <v/>
      </c>
      <c r="AI37" s="74" t="str" cm="1">
        <f t="array" ref="AI37">IF($H37=0,"",IF(INDEX('DM01-AV-CH'!I$6:I$834,$H37)="","",INDEX('DM01-AV-CH'!I$6:I$834,$H37)))</f>
        <v/>
      </c>
    </row>
    <row r="38" spans="1:35" x14ac:dyDescent="0.25">
      <c r="A38" s="57">
        <v>33</v>
      </c>
      <c r="B38" s="57">
        <f>IF($A38="","",IF(_xlfn.XLOOKUP($A38,Korrelation!$D$4:$D$1197,Korrelation!E$4:E$1197,"-",0)="-",0,MATCH(_xlfn.XLOOKUP($A38,Korrelation!$D$4:$D$1197,Korrelation!E$4:E$1197,"",0),DMAV_Modell!$G$6:$G$677,0)))</f>
        <v>28</v>
      </c>
      <c r="C38" s="57">
        <f>IF($A38="","",IF(_xlfn.XLOOKUP($A38,Korrelation!$D$4:$D$1197,Korrelation!F$4:F$1197,"-",0)="-",0,MATCH(_xlfn.XLOOKUP($A38,Korrelation!$D$4:$D$1197,Korrelation!F$4:F$1197,"",0),DMAV_Modell!$G$6:$G$677,0)))</f>
        <v>0</v>
      </c>
      <c r="D38" s="57">
        <f>IF($A38="","",IF(_xlfn.XLOOKUP($A38,Korrelation!$D$4:$D$1197,Korrelation!G$4:G$1197,"-",0)="-",0,MATCH(_xlfn.XLOOKUP($A38,Korrelation!$D$4:$D$1197,Korrelation!G$4:G$1197,"",0),DMAV_Modell!$G$6:$G$677,0)))</f>
        <v>0</v>
      </c>
      <c r="E38" s="57">
        <f>IF($A38="","",IF(_xlfn.XLOOKUP($A38,Korrelation!$D$4:$D$1197,Korrelation!H$4:H$1197,"-",0)="-",0,MATCH(_xlfn.XLOOKUP($A38,Korrelation!$D$4:$D$1197,Korrelation!H$4:H$1197,"",0),DMAV_Dienste!$F$6:$F$140,0)))</f>
        <v>0</v>
      </c>
      <c r="F38" s="57">
        <f>IF($A38="","",IF(_xlfn.XLOOKUP($A38,Korrelation!$D$4:$D$1197,Korrelation!I$4:I$1197,"-",0)="-",0,MATCH(_xlfn.XLOOKUP($A38,Korrelation!$D$4:$D$1197,Korrelation!I$4:I$1197,"",0),DMAV_Dienste!$F$6:$F$140,0)))</f>
        <v>0</v>
      </c>
      <c r="G38" s="57">
        <f>IF($A38="","",IF(_xlfn.XLOOKUP($A38,Korrelation!$D$4:$D$1197,Korrelation!J$4:J$1197,"-",0)="-",0,MATCH(_xlfn.XLOOKUP($A38,Korrelation!$D$4:$D$1197,Korrelation!J$4:J$1197,"",0),DMAV_Dienste!$F$6:$F$140,0)))</f>
        <v>0</v>
      </c>
      <c r="H38" s="57">
        <f>IF($A38="","",IF(_xlfn.XLOOKUP($A38,Korrelation!$D$4:$D$1197,Korrelation!K$4:K$1197,"-",0)="-",0,MATCH(_xlfn.XLOOKUP($A38,Korrelation!$D$4:$D$1197,Korrelation!K$4:K$1197,"",0),'DM01-AV-CH'!$A$6:$A$834,0)))</f>
        <v>0</v>
      </c>
      <c r="J38" s="54" t="str" cm="1">
        <f t="array" aca="1" ref="J38" ca="1">IF(B38=0,IF(E38=0,"",HYPERLINK("#"&amp;RIGHT(CELL("adresse",OFFSET(DMAV_Dienste!$M$6,E38-1,0)),LEN(CELL("adresse",OFFSET(DMAV_Dienste!$M$6,E38-1,0)))-FIND("]",CELL("adresse",OFFSET(DMAV_Dienste!$M$6,E38-1,0)))),"Dienst")),HYPERLINK("#"&amp;RIGHT(CELL("adresse",OFFSET(DMAV_Modell!$N$6,B38-1,0)),LEN(CELL("adresse",OFFSET(DMAV_Modell!$N$6,B38-1,0)))-FIND("]",CELL("adresse",OFFSET(DMAV_Modell!$N$6,B38-1,0)))),"Modell"))</f>
        <v>Modell</v>
      </c>
      <c r="K38" s="61" t="str" cm="1">
        <f t="array" ref="K38">IF($B38=0,IF($E38=0,"",IF(INDEX(DMAV_Dienste!P$6:P$140,$E38)="","",INDEX(DMAV_Dienste!P$6:P$140,$E38))),IF(INDEX(DMAV_Modell!Q$6:Q$838,$B38)="","",INDEX(DMAV_Modell!Q$6:Q$838,$B38)))</f>
        <v>STRUCTURE</v>
      </c>
      <c r="L38" s="62" t="str" cm="1">
        <f t="array" ref="L38">IF($B38=0,IF($E38=0,"",IF(INDEX(DMAV_Dienste!O$6:O$140,$E38)="","",INDEX(DMAV_Dienste!O$6:O$140,$E38))),IF(INDEX(DMAV_Modell!P$6:P$838,$B38)="","",INDEX(DMAV_Modell!P$6:P$838,$B38)))</f>
        <v/>
      </c>
      <c r="M38" s="62" t="str" cm="1">
        <f t="array" ref="M38">IF($B38=0,IF($E38=0,"",IF(INDEX(DMAV_Dienste!Q$6:Q$140,$E38)="","",INDEX(DMAV_Dienste!Q$6:Q$140,$E38))),IF(INDEX(DMAV_Modell!R$6:R$838,$B38)="","",INDEX(DMAV_Modell!R$6:R$838,$B38)))</f>
        <v>Textposition</v>
      </c>
      <c r="N38" s="62" t="str" cm="1">
        <f t="array" ref="N38">IF($B38=0,IF($E38=0,"",IF(INDEX(DMAV_Dienste!T$6:T$140,$E38)="","",INDEX(DMAV_Dienste!T$6:T$140,$E38))),IF(INDEX(DMAV_Modell!U$6:U$838,$B38)="","",INDEX(DMAV_Modell!U$6:U$838,$B38)))</f>
        <v>DarstellungIn</v>
      </c>
      <c r="O38" s="63" t="str" cm="1">
        <f t="array" aca="1" ref="O38" ca="1">IF(C38=0,IF(F38=0,"",HYPERLINK("#"&amp;RIGHT(CELL("adresse",OFFSET(DMAV_Dienste!$M$6,F38-1,0)),LEN(CELL("adresse",OFFSET(DMAV_Dienste!$M$6,F38-1,0)))-FIND("]",CELL("adresse",OFFSET(DMAV_Dienste!$M$6,F38-1,0)))),"Structure")),HYPERLINK("#"&amp;RIGHT(CELL("adresse",OFFSET(DMAV_Modell!$N$6,C38-1,0)),LEN(CELL("adresse",OFFSET(DMAV_Modell!$N$6,C38-1,0)))-FIND("]",CELL("adresse",OFFSET(DMAV_Modell!$N$6,C38-1,0)))),"Structure"))</f>
        <v/>
      </c>
      <c r="P38" s="64" t="str" cm="1">
        <f t="array" aca="1" ref="P38" ca="1">IF(D38=0,IF(G38=0,"",HYPERLINK("#"&amp;RIGHT(CELL("adresse",OFFSET(DMAV_Dienste!$M$6,G38-1,0)),LEN(CELL("adresse",OFFSET(DMAV_Dienste!$M$6,G38-1,0)))-FIND("]",CELL("adresse",OFFSET(DMAV_Dienste!$M$6,G38-1,0)))),"Substructure")),HYPERLINK("#"&amp;RIGHT(CELL("adresse",OFFSET(DMAV_Modell!$N$6,D38-1,0)),LEN(CELL("adresse",OFFSET(DMAV_Modell!$N$6,D38-1,0)))-FIND("]",CELL("adresse",OFFSET(DMAV_Modell!$N$6,D38-1,0)))),"Substructure"))</f>
        <v/>
      </c>
      <c r="R38" s="80"/>
      <c r="T38" s="93"/>
      <c r="U38" s="94"/>
      <c r="V38" s="95"/>
      <c r="W38" s="96"/>
      <c r="Y38" s="85"/>
      <c r="Z38" s="86"/>
      <c r="AA38" s="87"/>
      <c r="AB38" s="88"/>
      <c r="AD38" s="77"/>
      <c r="AF38" s="54" t="str" cm="1">
        <f t="array" aca="1" ref="AF38" ca="1">IF(H38=0,"",HYPERLINK("#"&amp;RIGHT(CELL("adresse",OFFSET('DM01-AV-CH'!$G$6,H38-1,0)),LEN(CELL("adresse",OFFSET('DM01-AV-CH'!$G$6,H38-1,0)))-FIND("]",CELL("adresse",OFFSET('DM01-AV-CH'!$G$6,H38-1,0)))),"Modell"))</f>
        <v/>
      </c>
      <c r="AG38" s="72" t="str" cm="1">
        <f t="array" ref="AG38">IF($H38=0,"",IF(INDEX('DM01-AV-CH'!G$6:G$834,$H38)="","",INDEX('DM01-AV-CH'!G$6:G$834,$H38)))</f>
        <v/>
      </c>
      <c r="AH38" s="73" t="str" cm="1">
        <f t="array" ref="AH38">IF($H38=0,"",IF(INDEX('DM01-AV-CH'!H$6:H$834,$H38)="","",INDEX('DM01-AV-CH'!H$6:H$834,$H38)))</f>
        <v/>
      </c>
      <c r="AI38" s="74" t="str" cm="1">
        <f t="array" ref="AI38">IF($H38=0,"",IF(INDEX('DM01-AV-CH'!I$6:I$834,$H38)="","",INDEX('DM01-AV-CH'!I$6:I$834,$H38)))</f>
        <v/>
      </c>
    </row>
    <row r="39" spans="1:35" x14ac:dyDescent="0.25">
      <c r="A39" s="57">
        <v>34</v>
      </c>
      <c r="B39" s="57">
        <f>IF($A39="","",IF(_xlfn.XLOOKUP($A39,Korrelation!$D$4:$D$1197,Korrelation!E$4:E$1197,"-",0)="-",0,MATCH(_xlfn.XLOOKUP($A39,Korrelation!$D$4:$D$1197,Korrelation!E$4:E$1197,"",0),DMAV_Modell!$G$6:$G$677,0)))</f>
        <v>29</v>
      </c>
      <c r="C39" s="57">
        <f>IF($A39="","",IF(_xlfn.XLOOKUP($A39,Korrelation!$D$4:$D$1197,Korrelation!F$4:F$1197,"-",0)="-",0,MATCH(_xlfn.XLOOKUP($A39,Korrelation!$D$4:$D$1197,Korrelation!F$4:F$1197,"",0),DMAV_Modell!$G$6:$G$677,0)))</f>
        <v>0</v>
      </c>
      <c r="D39" s="57">
        <f>IF($A39="","",IF(_xlfn.XLOOKUP($A39,Korrelation!$D$4:$D$1197,Korrelation!G$4:G$1197,"-",0)="-",0,MATCH(_xlfn.XLOOKUP($A39,Korrelation!$D$4:$D$1197,Korrelation!G$4:G$1197,"",0),DMAV_Modell!$G$6:$G$677,0)))</f>
        <v>0</v>
      </c>
      <c r="E39" s="57">
        <f>IF($A39="","",IF(_xlfn.XLOOKUP($A39,Korrelation!$D$4:$D$1197,Korrelation!H$4:H$1197,"-",0)="-",0,MATCH(_xlfn.XLOOKUP($A39,Korrelation!$D$4:$D$1197,Korrelation!H$4:H$1197,"",0),DMAV_Dienste!$F$6:$F$140,0)))</f>
        <v>0</v>
      </c>
      <c r="F39" s="57">
        <f>IF($A39="","",IF(_xlfn.XLOOKUP($A39,Korrelation!$D$4:$D$1197,Korrelation!I$4:I$1197,"-",0)="-",0,MATCH(_xlfn.XLOOKUP($A39,Korrelation!$D$4:$D$1197,Korrelation!I$4:I$1197,"",0),DMAV_Dienste!$F$6:$F$140,0)))</f>
        <v>0</v>
      </c>
      <c r="G39" s="57">
        <f>IF($A39="","",IF(_xlfn.XLOOKUP($A39,Korrelation!$D$4:$D$1197,Korrelation!J$4:J$1197,"-",0)="-",0,MATCH(_xlfn.XLOOKUP($A39,Korrelation!$D$4:$D$1197,Korrelation!J$4:J$1197,"",0),DMAV_Dienste!$F$6:$F$140,0)))</f>
        <v>0</v>
      </c>
      <c r="H39" s="57">
        <f>IF($A39="","",IF(_xlfn.XLOOKUP($A39,Korrelation!$D$4:$D$1197,Korrelation!K$4:K$1197,"-",0)="-",0,MATCH(_xlfn.XLOOKUP($A39,Korrelation!$D$4:$D$1197,Korrelation!K$4:K$1197,"",0),'DM01-AV-CH'!$A$6:$A$834,0)))</f>
        <v>0</v>
      </c>
      <c r="J39" s="54" t="str" cm="1">
        <f t="array" aca="1" ref="J39" ca="1">IF(B39=0,IF(E39=0,"",HYPERLINK("#"&amp;RIGHT(CELL("adresse",OFFSET(DMAV_Dienste!$M$6,E39-1,0)),LEN(CELL("adresse",OFFSET(DMAV_Dienste!$M$6,E39-1,0)))-FIND("]",CELL("adresse",OFFSET(DMAV_Dienste!$M$6,E39-1,0)))),"Dienst")),HYPERLINK("#"&amp;RIGHT(CELL("adresse",OFFSET(DMAV_Modell!$N$6,B39-1,0)),LEN(CELL("adresse",OFFSET(DMAV_Modell!$N$6,B39-1,0)))-FIND("]",CELL("adresse",OFFSET(DMAV_Modell!$N$6,B39-1,0)))),"Modell"))</f>
        <v>Modell</v>
      </c>
      <c r="K39" s="61" t="str" cm="1">
        <f t="array" ref="K39">IF($B39=0,IF($E39=0,"",IF(INDEX(DMAV_Dienste!P$6:P$140,$E39)="","",INDEX(DMAV_Dienste!P$6:P$140,$E39))),IF(INDEX(DMAV_Modell!Q$6:Q$838,$B39)="","",INDEX(DMAV_Modell!Q$6:Q$838,$B39)))</f>
        <v>STRUCTURE</v>
      </c>
      <c r="L39" s="62" t="str" cm="1">
        <f t="array" ref="L39">IF($B39=0,IF($E39=0,"",IF(INDEX(DMAV_Dienste!O$6:O$140,$E39)="","",INDEX(DMAV_Dienste!O$6:O$140,$E39))),IF(INDEX(DMAV_Modell!P$6:P$838,$B39)="","",INDEX(DMAV_Modell!P$6:P$838,$B39)))</f>
        <v/>
      </c>
      <c r="M39" s="62" t="str" cm="1">
        <f t="array" ref="M39">IF($B39=0,IF($E39=0,"",IF(INDEX(DMAV_Dienste!Q$6:Q$140,$E39)="","",INDEX(DMAV_Dienste!Q$6:Q$140,$E39))),IF(INDEX(DMAV_Modell!R$6:R$838,$B39)="","",INDEX(DMAV_Modell!R$6:R$838,$B39)))</f>
        <v>Textposition</v>
      </c>
      <c r="N39" s="62" t="str" cm="1">
        <f t="array" ref="N39">IF($B39=0,IF($E39=0,"",IF(INDEX(DMAV_Dienste!T$6:T$140,$E39)="","",INDEX(DMAV_Dienste!T$6:T$140,$E39))),IF(INDEX(DMAV_Modell!U$6:U$838,$B39)="","",INDEX(DMAV_Modell!U$6:U$838,$B39)))</f>
        <v>Textgroesse</v>
      </c>
      <c r="O39" s="63" t="str" cm="1">
        <f t="array" aca="1" ref="O39" ca="1">IF(C39=0,IF(F39=0,"",HYPERLINK("#"&amp;RIGHT(CELL("adresse",OFFSET(DMAV_Dienste!$M$6,F39-1,0)),LEN(CELL("adresse",OFFSET(DMAV_Dienste!$M$6,F39-1,0)))-FIND("]",CELL("adresse",OFFSET(DMAV_Dienste!$M$6,F39-1,0)))),"Structure")),HYPERLINK("#"&amp;RIGHT(CELL("adresse",OFFSET(DMAV_Modell!$N$6,C39-1,0)),LEN(CELL("adresse",OFFSET(DMAV_Modell!$N$6,C39-1,0)))-FIND("]",CELL("adresse",OFFSET(DMAV_Modell!$N$6,C39-1,0)))),"Structure"))</f>
        <v/>
      </c>
      <c r="P39" s="64" t="str" cm="1">
        <f t="array" aca="1" ref="P39" ca="1">IF(D39=0,IF(G39=0,"",HYPERLINK("#"&amp;RIGHT(CELL("adresse",OFFSET(DMAV_Dienste!$M$6,G39-1,0)),LEN(CELL("adresse",OFFSET(DMAV_Dienste!$M$6,G39-1,0)))-FIND("]",CELL("adresse",OFFSET(DMAV_Dienste!$M$6,G39-1,0)))),"Substructure")),HYPERLINK("#"&amp;RIGHT(CELL("adresse",OFFSET(DMAV_Modell!$N$6,D39-1,0)),LEN(CELL("adresse",OFFSET(DMAV_Modell!$N$6,D39-1,0)))-FIND("]",CELL("adresse",OFFSET(DMAV_Modell!$N$6,D39-1,0)))),"Substructure"))</f>
        <v/>
      </c>
      <c r="R39" s="80"/>
      <c r="T39" s="93"/>
      <c r="U39" s="94"/>
      <c r="V39" s="95"/>
      <c r="W39" s="96"/>
      <c r="Y39" s="85"/>
      <c r="Z39" s="86"/>
      <c r="AA39" s="87"/>
      <c r="AB39" s="88"/>
      <c r="AD39" s="77"/>
      <c r="AF39" s="54" t="str" cm="1">
        <f t="array" aca="1" ref="AF39" ca="1">IF(H39=0,"",HYPERLINK("#"&amp;RIGHT(CELL("adresse",OFFSET('DM01-AV-CH'!$G$6,H39-1,0)),LEN(CELL("adresse",OFFSET('DM01-AV-CH'!$G$6,H39-1,0)))-FIND("]",CELL("adresse",OFFSET('DM01-AV-CH'!$G$6,H39-1,0)))),"Modell"))</f>
        <v/>
      </c>
      <c r="AG39" s="72" t="str" cm="1">
        <f t="array" ref="AG39">IF($H39=0,"",IF(INDEX('DM01-AV-CH'!G$6:G$834,$H39)="","",INDEX('DM01-AV-CH'!G$6:G$834,$H39)))</f>
        <v/>
      </c>
      <c r="AH39" s="73" t="str" cm="1">
        <f t="array" ref="AH39">IF($H39=0,"",IF(INDEX('DM01-AV-CH'!H$6:H$834,$H39)="","",INDEX('DM01-AV-CH'!H$6:H$834,$H39)))</f>
        <v/>
      </c>
      <c r="AI39" s="74" t="str" cm="1">
        <f t="array" ref="AI39">IF($H39=0,"",IF(INDEX('DM01-AV-CH'!I$6:I$834,$H39)="","",INDEX('DM01-AV-CH'!I$6:I$834,$H39)))</f>
        <v/>
      </c>
    </row>
    <row r="40" spans="1:35" x14ac:dyDescent="0.25">
      <c r="A40" s="57">
        <v>35</v>
      </c>
      <c r="B40" s="57">
        <f>IF($A40="","",IF(_xlfn.XLOOKUP($A40,Korrelation!$D$4:$D$1197,Korrelation!E$4:E$1197,"-",0)="-",0,MATCH(_xlfn.XLOOKUP($A40,Korrelation!$D$4:$D$1197,Korrelation!E$4:E$1197,"",0),DMAV_Modell!$G$6:$G$677,0)))</f>
        <v>30</v>
      </c>
      <c r="C40" s="57">
        <f>IF($A40="","",IF(_xlfn.XLOOKUP($A40,Korrelation!$D$4:$D$1197,Korrelation!F$4:F$1197,"-",0)="-",0,MATCH(_xlfn.XLOOKUP($A40,Korrelation!$D$4:$D$1197,Korrelation!F$4:F$1197,"",0),DMAV_Modell!$G$6:$G$677,0)))</f>
        <v>0</v>
      </c>
      <c r="D40" s="57">
        <f>IF($A40="","",IF(_xlfn.XLOOKUP($A40,Korrelation!$D$4:$D$1197,Korrelation!G$4:G$1197,"-",0)="-",0,MATCH(_xlfn.XLOOKUP($A40,Korrelation!$D$4:$D$1197,Korrelation!G$4:G$1197,"",0),DMAV_Modell!$G$6:$G$677,0)))</f>
        <v>0</v>
      </c>
      <c r="E40" s="57">
        <f>IF($A40="","",IF(_xlfn.XLOOKUP($A40,Korrelation!$D$4:$D$1197,Korrelation!H$4:H$1197,"-",0)="-",0,MATCH(_xlfn.XLOOKUP($A40,Korrelation!$D$4:$D$1197,Korrelation!H$4:H$1197,"",0),DMAV_Dienste!$F$6:$F$140,0)))</f>
        <v>0</v>
      </c>
      <c r="F40" s="57">
        <f>IF($A40="","",IF(_xlfn.XLOOKUP($A40,Korrelation!$D$4:$D$1197,Korrelation!I$4:I$1197,"-",0)="-",0,MATCH(_xlfn.XLOOKUP($A40,Korrelation!$D$4:$D$1197,Korrelation!I$4:I$1197,"",0),DMAV_Dienste!$F$6:$F$140,0)))</f>
        <v>0</v>
      </c>
      <c r="G40" s="57">
        <f>IF($A40="","",IF(_xlfn.XLOOKUP($A40,Korrelation!$D$4:$D$1197,Korrelation!J$4:J$1197,"-",0)="-",0,MATCH(_xlfn.XLOOKUP($A40,Korrelation!$D$4:$D$1197,Korrelation!J$4:J$1197,"",0),DMAV_Dienste!$F$6:$F$140,0)))</f>
        <v>0</v>
      </c>
      <c r="H40" s="57">
        <f>IF($A40="","",IF(_xlfn.XLOOKUP($A40,Korrelation!$D$4:$D$1197,Korrelation!K$4:K$1197,"-",0)="-",0,MATCH(_xlfn.XLOOKUP($A40,Korrelation!$D$4:$D$1197,Korrelation!K$4:K$1197,"",0),'DM01-AV-CH'!$A$6:$A$834,0)))</f>
        <v>0</v>
      </c>
      <c r="J40" s="54" t="str" cm="1">
        <f t="array" aca="1" ref="J40" ca="1">IF(B40=0,IF(E40=0,"",HYPERLINK("#"&amp;RIGHT(CELL("adresse",OFFSET(DMAV_Dienste!$M$6,E40-1,0)),LEN(CELL("adresse",OFFSET(DMAV_Dienste!$M$6,E40-1,0)))-FIND("]",CELL("adresse",OFFSET(DMAV_Dienste!$M$6,E40-1,0)))),"Dienst")),HYPERLINK("#"&amp;RIGHT(CELL("adresse",OFFSET(DMAV_Modell!$N$6,B40-1,0)),LEN(CELL("adresse",OFFSET(DMAV_Modell!$N$6,B40-1,0)))-FIND("]",CELL("adresse",OFFSET(DMAV_Modell!$N$6,B40-1,0)))),"Modell"))</f>
        <v>Modell</v>
      </c>
      <c r="K40" s="61" t="str" cm="1">
        <f t="array" ref="K40">IF($B40=0,IF($E40=0,"",IF(INDEX(DMAV_Dienste!P$6:P$140,$E40)="","",INDEX(DMAV_Dienste!P$6:P$140,$E40))),IF(INDEX(DMAV_Modell!Q$6:Q$838,$B40)="","",INDEX(DMAV_Modell!Q$6:Q$838,$B40)))</f>
        <v>STRUCTURE</v>
      </c>
      <c r="L40" s="62" t="str" cm="1">
        <f t="array" ref="L40">IF($B40=0,IF($E40=0,"",IF(INDEX(DMAV_Dienste!O$6:O$140,$E40)="","",INDEX(DMAV_Dienste!O$6:O$140,$E40))),IF(INDEX(DMAV_Modell!P$6:P$838,$B40)="","",INDEX(DMAV_Modell!P$6:P$838,$B40)))</f>
        <v/>
      </c>
      <c r="M40" s="62" t="str" cm="1">
        <f t="array" ref="M40">IF($B40=0,IF($E40=0,"",IF(INDEX(DMAV_Dienste!Q$6:Q$140,$E40)="","",INDEX(DMAV_Dienste!Q$6:Q$140,$E40))),IF(INDEX(DMAV_Modell!R$6:R$838,$B40)="","",INDEX(DMAV_Modell!R$6:R$838,$B40)))</f>
        <v>Textposition</v>
      </c>
      <c r="N40" s="62" t="str" cm="1">
        <f t="array" ref="N40">IF($B40=0,IF($E40=0,"",IF(INDEX(DMAV_Dienste!T$6:T$140,$E40)="","",INDEX(DMAV_Dienste!T$6:T$140,$E40))),IF(INDEX(DMAV_Modell!U$6:U$838,$B40)="","",INDEX(DMAV_Modell!U$6:U$838,$B40)))</f>
        <v>HReferenzpunkt</v>
      </c>
      <c r="O40" s="63" t="str" cm="1">
        <f t="array" aca="1" ref="O40" ca="1">IF(C40=0,IF(F40=0,"",HYPERLINK("#"&amp;RIGHT(CELL("adresse",OFFSET(DMAV_Dienste!$M$6,F40-1,0)),LEN(CELL("adresse",OFFSET(DMAV_Dienste!$M$6,F40-1,0)))-FIND("]",CELL("adresse",OFFSET(DMAV_Dienste!$M$6,F40-1,0)))),"Structure")),HYPERLINK("#"&amp;RIGHT(CELL("adresse",OFFSET(DMAV_Modell!$N$6,C40-1,0)),LEN(CELL("adresse",OFFSET(DMAV_Modell!$N$6,C40-1,0)))-FIND("]",CELL("adresse",OFFSET(DMAV_Modell!$N$6,C40-1,0)))),"Structure"))</f>
        <v/>
      </c>
      <c r="P40" s="64" t="str" cm="1">
        <f t="array" aca="1" ref="P40" ca="1">IF(D40=0,IF(G40=0,"",HYPERLINK("#"&amp;RIGHT(CELL("adresse",OFFSET(DMAV_Dienste!$M$6,G40-1,0)),LEN(CELL("adresse",OFFSET(DMAV_Dienste!$M$6,G40-1,0)))-FIND("]",CELL("adresse",OFFSET(DMAV_Dienste!$M$6,G40-1,0)))),"Substructure")),HYPERLINK("#"&amp;RIGHT(CELL("adresse",OFFSET(DMAV_Modell!$N$6,D40-1,0)),LEN(CELL("adresse",OFFSET(DMAV_Modell!$N$6,D40-1,0)))-FIND("]",CELL("adresse",OFFSET(DMAV_Modell!$N$6,D40-1,0)))),"Substructure"))</f>
        <v/>
      </c>
      <c r="R40" s="80"/>
      <c r="T40" s="93"/>
      <c r="U40" s="94"/>
      <c r="V40" s="95"/>
      <c r="W40" s="96"/>
      <c r="Y40" s="85"/>
      <c r="Z40" s="86"/>
      <c r="AA40" s="87"/>
      <c r="AB40" s="88"/>
      <c r="AD40" s="77"/>
      <c r="AF40" s="54" t="str" cm="1">
        <f t="array" aca="1" ref="AF40" ca="1">IF(H40=0,"",HYPERLINK("#"&amp;RIGHT(CELL("adresse",OFFSET('DM01-AV-CH'!$G$6,H40-1,0)),LEN(CELL("adresse",OFFSET('DM01-AV-CH'!$G$6,H40-1,0)))-FIND("]",CELL("adresse",OFFSET('DM01-AV-CH'!$G$6,H40-1,0)))),"Modell"))</f>
        <v/>
      </c>
      <c r="AG40" s="72" t="str" cm="1">
        <f t="array" ref="AG40">IF($H40=0,"",IF(INDEX('DM01-AV-CH'!G$6:G$834,$H40)="","",INDEX('DM01-AV-CH'!G$6:G$834,$H40)))</f>
        <v/>
      </c>
      <c r="AH40" s="73" t="str" cm="1">
        <f t="array" ref="AH40">IF($H40=0,"",IF(INDEX('DM01-AV-CH'!H$6:H$834,$H40)="","",INDEX('DM01-AV-CH'!H$6:H$834,$H40)))</f>
        <v/>
      </c>
      <c r="AI40" s="74" t="str" cm="1">
        <f t="array" ref="AI40">IF($H40=0,"",IF(INDEX('DM01-AV-CH'!I$6:I$834,$H40)="","",INDEX('DM01-AV-CH'!I$6:I$834,$H40)))</f>
        <v/>
      </c>
    </row>
    <row r="41" spans="1:35" x14ac:dyDescent="0.25">
      <c r="A41" s="57">
        <v>36</v>
      </c>
      <c r="B41" s="57">
        <f>IF($A41="","",IF(_xlfn.XLOOKUP($A41,Korrelation!$D$4:$D$1197,Korrelation!E$4:E$1197,"-",0)="-",0,MATCH(_xlfn.XLOOKUP($A41,Korrelation!$D$4:$D$1197,Korrelation!E$4:E$1197,"",0),DMAV_Modell!$G$6:$G$677,0)))</f>
        <v>31</v>
      </c>
      <c r="C41" s="57">
        <f>IF($A41="","",IF(_xlfn.XLOOKUP($A41,Korrelation!$D$4:$D$1197,Korrelation!F$4:F$1197,"-",0)="-",0,MATCH(_xlfn.XLOOKUP($A41,Korrelation!$D$4:$D$1197,Korrelation!F$4:F$1197,"",0),DMAV_Modell!$G$6:$G$677,0)))</f>
        <v>0</v>
      </c>
      <c r="D41" s="57">
        <f>IF($A41="","",IF(_xlfn.XLOOKUP($A41,Korrelation!$D$4:$D$1197,Korrelation!G$4:G$1197,"-",0)="-",0,MATCH(_xlfn.XLOOKUP($A41,Korrelation!$D$4:$D$1197,Korrelation!G$4:G$1197,"",0),DMAV_Modell!$G$6:$G$677,0)))</f>
        <v>0</v>
      </c>
      <c r="E41" s="57">
        <f>IF($A41="","",IF(_xlfn.XLOOKUP($A41,Korrelation!$D$4:$D$1197,Korrelation!H$4:H$1197,"-",0)="-",0,MATCH(_xlfn.XLOOKUP($A41,Korrelation!$D$4:$D$1197,Korrelation!H$4:H$1197,"",0),DMAV_Dienste!$F$6:$F$140,0)))</f>
        <v>0</v>
      </c>
      <c r="F41" s="57">
        <f>IF($A41="","",IF(_xlfn.XLOOKUP($A41,Korrelation!$D$4:$D$1197,Korrelation!I$4:I$1197,"-",0)="-",0,MATCH(_xlfn.XLOOKUP($A41,Korrelation!$D$4:$D$1197,Korrelation!I$4:I$1197,"",0),DMAV_Dienste!$F$6:$F$140,0)))</f>
        <v>0</v>
      </c>
      <c r="G41" s="57">
        <f>IF($A41="","",IF(_xlfn.XLOOKUP($A41,Korrelation!$D$4:$D$1197,Korrelation!J$4:J$1197,"-",0)="-",0,MATCH(_xlfn.XLOOKUP($A41,Korrelation!$D$4:$D$1197,Korrelation!J$4:J$1197,"",0),DMAV_Dienste!$F$6:$F$140,0)))</f>
        <v>0</v>
      </c>
      <c r="H41" s="57">
        <f>IF($A41="","",IF(_xlfn.XLOOKUP($A41,Korrelation!$D$4:$D$1197,Korrelation!K$4:K$1197,"-",0)="-",0,MATCH(_xlfn.XLOOKUP($A41,Korrelation!$D$4:$D$1197,Korrelation!K$4:K$1197,"",0),'DM01-AV-CH'!$A$6:$A$834,0)))</f>
        <v>0</v>
      </c>
      <c r="J41" s="54" t="str" cm="1">
        <f t="array" aca="1" ref="J41" ca="1">IF(B41=0,IF(E41=0,"",HYPERLINK("#"&amp;RIGHT(CELL("adresse",OFFSET(DMAV_Dienste!$M$6,E41-1,0)),LEN(CELL("adresse",OFFSET(DMAV_Dienste!$M$6,E41-1,0)))-FIND("]",CELL("adresse",OFFSET(DMAV_Dienste!$M$6,E41-1,0)))),"Dienst")),HYPERLINK("#"&amp;RIGHT(CELL("adresse",OFFSET(DMAV_Modell!$N$6,B41-1,0)),LEN(CELL("adresse",OFFSET(DMAV_Modell!$N$6,B41-1,0)))-FIND("]",CELL("adresse",OFFSET(DMAV_Modell!$N$6,B41-1,0)))),"Modell"))</f>
        <v>Modell</v>
      </c>
      <c r="K41" s="61" t="str" cm="1">
        <f t="array" ref="K41">IF($B41=0,IF($E41=0,"",IF(INDEX(DMAV_Dienste!P$6:P$140,$E41)="","",INDEX(DMAV_Dienste!P$6:P$140,$E41))),IF(INDEX(DMAV_Modell!Q$6:Q$838,$B41)="","",INDEX(DMAV_Modell!Q$6:Q$838,$B41)))</f>
        <v>STRUCTURE</v>
      </c>
      <c r="L41" s="62" t="str" cm="1">
        <f t="array" ref="L41">IF($B41=0,IF($E41=0,"",IF(INDEX(DMAV_Dienste!O$6:O$140,$E41)="","",INDEX(DMAV_Dienste!O$6:O$140,$E41))),IF(INDEX(DMAV_Modell!P$6:P$838,$B41)="","",INDEX(DMAV_Modell!P$6:P$838,$B41)))</f>
        <v/>
      </c>
      <c r="M41" s="62" t="str" cm="1">
        <f t="array" ref="M41">IF($B41=0,IF($E41=0,"",IF(INDEX(DMAV_Dienste!Q$6:Q$140,$E41)="","",INDEX(DMAV_Dienste!Q$6:Q$140,$E41))),IF(INDEX(DMAV_Modell!R$6:R$838,$B41)="","",INDEX(DMAV_Modell!R$6:R$838,$B41)))</f>
        <v>Textposition</v>
      </c>
      <c r="N41" s="62" t="str" cm="1">
        <f t="array" ref="N41">IF($B41=0,IF($E41=0,"",IF(INDEX(DMAV_Dienste!T$6:T$140,$E41)="","",INDEX(DMAV_Dienste!T$6:T$140,$E41))),IF(INDEX(DMAV_Modell!U$6:U$838,$B41)="","",INDEX(DMAV_Modell!U$6:U$838,$B41)))</f>
        <v>VReferenzpunkt</v>
      </c>
      <c r="O41" s="63" t="str" cm="1">
        <f t="array" aca="1" ref="O41" ca="1">IF(C41=0,IF(F41=0,"",HYPERLINK("#"&amp;RIGHT(CELL("adresse",OFFSET(DMAV_Dienste!$M$6,F41-1,0)),LEN(CELL("adresse",OFFSET(DMAV_Dienste!$M$6,F41-1,0)))-FIND("]",CELL("adresse",OFFSET(DMAV_Dienste!$M$6,F41-1,0)))),"Structure")),HYPERLINK("#"&amp;RIGHT(CELL("adresse",OFFSET(DMAV_Modell!$N$6,C41-1,0)),LEN(CELL("adresse",OFFSET(DMAV_Modell!$N$6,C41-1,0)))-FIND("]",CELL("adresse",OFFSET(DMAV_Modell!$N$6,C41-1,0)))),"Structure"))</f>
        <v/>
      </c>
      <c r="P41" s="64" t="str" cm="1">
        <f t="array" aca="1" ref="P41" ca="1">IF(D41=0,IF(G41=0,"",HYPERLINK("#"&amp;RIGHT(CELL("adresse",OFFSET(DMAV_Dienste!$M$6,G41-1,0)),LEN(CELL("adresse",OFFSET(DMAV_Dienste!$M$6,G41-1,0)))-FIND("]",CELL("adresse",OFFSET(DMAV_Dienste!$M$6,G41-1,0)))),"Substructure")),HYPERLINK("#"&amp;RIGHT(CELL("adresse",OFFSET(DMAV_Modell!$N$6,D41-1,0)),LEN(CELL("adresse",OFFSET(DMAV_Modell!$N$6,D41-1,0)))-FIND("]",CELL("adresse",OFFSET(DMAV_Modell!$N$6,D41-1,0)))),"Substructure"))</f>
        <v/>
      </c>
      <c r="R41" s="80"/>
      <c r="T41" s="93"/>
      <c r="U41" s="94"/>
      <c r="V41" s="95"/>
      <c r="W41" s="96"/>
      <c r="Y41" s="85"/>
      <c r="Z41" s="86"/>
      <c r="AA41" s="87"/>
      <c r="AB41" s="88"/>
      <c r="AD41" s="77"/>
      <c r="AF41" s="54" t="str" cm="1">
        <f t="array" aca="1" ref="AF41" ca="1">IF(H41=0,"",HYPERLINK("#"&amp;RIGHT(CELL("adresse",OFFSET('DM01-AV-CH'!$G$6,H41-1,0)),LEN(CELL("adresse",OFFSET('DM01-AV-CH'!$G$6,H41-1,0)))-FIND("]",CELL("adresse",OFFSET('DM01-AV-CH'!$G$6,H41-1,0)))),"Modell"))</f>
        <v/>
      </c>
      <c r="AG41" s="72" t="str" cm="1">
        <f t="array" ref="AG41">IF($H41=0,"",IF(INDEX('DM01-AV-CH'!G$6:G$834,$H41)="","",INDEX('DM01-AV-CH'!G$6:G$834,$H41)))</f>
        <v/>
      </c>
      <c r="AH41" s="73" t="str" cm="1">
        <f t="array" ref="AH41">IF($H41=0,"",IF(INDEX('DM01-AV-CH'!H$6:H$834,$H41)="","",INDEX('DM01-AV-CH'!H$6:H$834,$H41)))</f>
        <v/>
      </c>
      <c r="AI41" s="74" t="str" cm="1">
        <f t="array" ref="AI41">IF($H41=0,"",IF(INDEX('DM01-AV-CH'!I$6:I$834,$H41)="","",INDEX('DM01-AV-CH'!I$6:I$834,$H41)))</f>
        <v/>
      </c>
    </row>
    <row r="42" spans="1:35" x14ac:dyDescent="0.25">
      <c r="A42" s="57">
        <v>37</v>
      </c>
      <c r="B42" s="57">
        <f>IF($A42="","",IF(_xlfn.XLOOKUP($A42,Korrelation!$D$4:$D$1197,Korrelation!E$4:E$1197,"-",0)="-",0,MATCH(_xlfn.XLOOKUP($A42,Korrelation!$D$4:$D$1197,Korrelation!E$4:E$1197,"",0),DMAV_Modell!$G$6:$G$677,0)))</f>
        <v>32</v>
      </c>
      <c r="C42" s="57">
        <f>IF($A42="","",IF(_xlfn.XLOOKUP($A42,Korrelation!$D$4:$D$1197,Korrelation!F$4:F$1197,"-",0)="-",0,MATCH(_xlfn.XLOOKUP($A42,Korrelation!$D$4:$D$1197,Korrelation!F$4:F$1197,"",0),DMAV_Modell!$G$6:$G$677,0)))</f>
        <v>0</v>
      </c>
      <c r="D42" s="57">
        <f>IF($A42="","",IF(_xlfn.XLOOKUP($A42,Korrelation!$D$4:$D$1197,Korrelation!G$4:G$1197,"-",0)="-",0,MATCH(_xlfn.XLOOKUP($A42,Korrelation!$D$4:$D$1197,Korrelation!G$4:G$1197,"",0),DMAV_Modell!$G$6:$G$677,0)))</f>
        <v>0</v>
      </c>
      <c r="E42" s="57">
        <f>IF($A42="","",IF(_xlfn.XLOOKUP($A42,Korrelation!$D$4:$D$1197,Korrelation!H$4:H$1197,"-",0)="-",0,MATCH(_xlfn.XLOOKUP($A42,Korrelation!$D$4:$D$1197,Korrelation!H$4:H$1197,"",0),DMAV_Dienste!$F$6:$F$140,0)))</f>
        <v>0</v>
      </c>
      <c r="F42" s="57">
        <f>IF($A42="","",IF(_xlfn.XLOOKUP($A42,Korrelation!$D$4:$D$1197,Korrelation!I$4:I$1197,"-",0)="-",0,MATCH(_xlfn.XLOOKUP($A42,Korrelation!$D$4:$D$1197,Korrelation!I$4:I$1197,"",0),DMAV_Dienste!$F$6:$F$140,0)))</f>
        <v>0</v>
      </c>
      <c r="G42" s="57">
        <f>IF($A42="","",IF(_xlfn.XLOOKUP($A42,Korrelation!$D$4:$D$1197,Korrelation!J$4:J$1197,"-",0)="-",0,MATCH(_xlfn.XLOOKUP($A42,Korrelation!$D$4:$D$1197,Korrelation!J$4:J$1197,"",0),DMAV_Dienste!$F$6:$F$140,0)))</f>
        <v>0</v>
      </c>
      <c r="H42" s="57">
        <f>IF($A42="","",IF(_xlfn.XLOOKUP($A42,Korrelation!$D$4:$D$1197,Korrelation!K$4:K$1197,"-",0)="-",0,MATCH(_xlfn.XLOOKUP($A42,Korrelation!$D$4:$D$1197,Korrelation!K$4:K$1197,"",0),'DM01-AV-CH'!$A$6:$A$834,0)))</f>
        <v>0</v>
      </c>
      <c r="J42" s="54" t="str" cm="1">
        <f t="array" aca="1" ref="J42" ca="1">IF(B42=0,IF(E42=0,"",HYPERLINK("#"&amp;RIGHT(CELL("adresse",OFFSET(DMAV_Dienste!$M$6,E42-1,0)),LEN(CELL("adresse",OFFSET(DMAV_Dienste!$M$6,E42-1,0)))-FIND("]",CELL("adresse",OFFSET(DMAV_Dienste!$M$6,E42-1,0)))),"Dienst")),HYPERLINK("#"&amp;RIGHT(CELL("adresse",OFFSET(DMAV_Modell!$N$6,B42-1,0)),LEN(CELL("adresse",OFFSET(DMAV_Modell!$N$6,B42-1,0)))-FIND("]",CELL("adresse",OFFSET(DMAV_Modell!$N$6,B42-1,0)))),"Modell"))</f>
        <v>Modell</v>
      </c>
      <c r="K42" s="61" t="str" cm="1">
        <f t="array" ref="K42">IF($B42=0,IF($E42=0,"",IF(INDEX(DMAV_Dienste!P$6:P$140,$E42)="","",INDEX(DMAV_Dienste!P$6:P$140,$E42))),IF(INDEX(DMAV_Modell!Q$6:Q$838,$B42)="","",INDEX(DMAV_Modell!Q$6:Q$838,$B42)))</f>
        <v>STRUCTURE</v>
      </c>
      <c r="L42" s="62" t="str" cm="1">
        <f t="array" ref="L42">IF($B42=0,IF($E42=0,"",IF(INDEX(DMAV_Dienste!O$6:O$140,$E42)="","",INDEX(DMAV_Dienste!O$6:O$140,$E42))),IF(INDEX(DMAV_Modell!P$6:P$838,$B42)="","",INDEX(DMAV_Modell!P$6:P$838,$B42)))</f>
        <v/>
      </c>
      <c r="M42" s="62" t="str" cm="1">
        <f t="array" ref="M42">IF($B42=0,IF($E42=0,"",IF(INDEX(DMAV_Dienste!Q$6:Q$140,$E42)="","",INDEX(DMAV_Dienste!Q$6:Q$140,$E42))),IF(INDEX(DMAV_Modell!R$6:R$838,$B42)="","",INDEX(DMAV_Modell!R$6:R$838,$B42)))</f>
        <v>Textposition</v>
      </c>
      <c r="N42" s="62" t="str" cm="1">
        <f t="array" ref="N42">IF($B42=0,IF($E42=0,"",IF(INDEX(DMAV_Dienste!T$6:T$140,$E42)="","",INDEX(DMAV_Dienste!T$6:T$140,$E42))),IF(INDEX(DMAV_Modell!U$6:U$838,$B42)="","",INDEX(DMAV_Modell!U$6:U$838,$B42)))</f>
        <v>Hinweisstrich</v>
      </c>
      <c r="O42" s="63" t="str" cm="1">
        <f t="array" aca="1" ref="O42" ca="1">IF(C42=0,IF(F42=0,"",HYPERLINK("#"&amp;RIGHT(CELL("adresse",OFFSET(DMAV_Dienste!$M$6,F42-1,0)),LEN(CELL("adresse",OFFSET(DMAV_Dienste!$M$6,F42-1,0)))-FIND("]",CELL("adresse",OFFSET(DMAV_Dienste!$M$6,F42-1,0)))),"Structure")),HYPERLINK("#"&amp;RIGHT(CELL("adresse",OFFSET(DMAV_Modell!$N$6,C42-1,0)),LEN(CELL("adresse",OFFSET(DMAV_Modell!$N$6,C42-1,0)))-FIND("]",CELL("adresse",OFFSET(DMAV_Modell!$N$6,C42-1,0)))),"Structure"))</f>
        <v/>
      </c>
      <c r="P42" s="64" t="str" cm="1">
        <f t="array" aca="1" ref="P42" ca="1">IF(D42=0,IF(G42=0,"",HYPERLINK("#"&amp;RIGHT(CELL("adresse",OFFSET(DMAV_Dienste!$M$6,G42-1,0)),LEN(CELL("adresse",OFFSET(DMAV_Dienste!$M$6,G42-1,0)))-FIND("]",CELL("adresse",OFFSET(DMAV_Dienste!$M$6,G42-1,0)))),"Substructure")),HYPERLINK("#"&amp;RIGHT(CELL("adresse",OFFSET(DMAV_Modell!$N$6,D42-1,0)),LEN(CELL("adresse",OFFSET(DMAV_Modell!$N$6,D42-1,0)))-FIND("]",CELL("adresse",OFFSET(DMAV_Modell!$N$6,D42-1,0)))),"Substructure"))</f>
        <v/>
      </c>
      <c r="R42" s="80"/>
      <c r="T42" s="93"/>
      <c r="U42" s="94"/>
      <c r="V42" s="95"/>
      <c r="W42" s="96"/>
      <c r="Y42" s="85"/>
      <c r="Z42" s="86"/>
      <c r="AA42" s="87"/>
      <c r="AB42" s="88"/>
      <c r="AD42" s="77"/>
      <c r="AF42" s="54" t="str" cm="1">
        <f t="array" aca="1" ref="AF42" ca="1">IF(H42=0,"",HYPERLINK("#"&amp;RIGHT(CELL("adresse",OFFSET('DM01-AV-CH'!$G$6,H42-1,0)),LEN(CELL("adresse",OFFSET('DM01-AV-CH'!$G$6,H42-1,0)))-FIND("]",CELL("adresse",OFFSET('DM01-AV-CH'!$G$6,H42-1,0)))),"Modell"))</f>
        <v/>
      </c>
      <c r="AG42" s="72" t="str" cm="1">
        <f t="array" ref="AG42">IF($H42=0,"",IF(INDEX('DM01-AV-CH'!G$6:G$834,$H42)="","",INDEX('DM01-AV-CH'!G$6:G$834,$H42)))</f>
        <v/>
      </c>
      <c r="AH42" s="73" t="str" cm="1">
        <f t="array" ref="AH42">IF($H42=0,"",IF(INDEX('DM01-AV-CH'!H$6:H$834,$H42)="","",INDEX('DM01-AV-CH'!H$6:H$834,$H42)))</f>
        <v/>
      </c>
      <c r="AI42" s="74" t="str" cm="1">
        <f t="array" ref="AI42">IF($H42=0,"",IF(INDEX('DM01-AV-CH'!I$6:I$834,$H42)="","",INDEX('DM01-AV-CH'!I$6:I$834,$H42)))</f>
        <v/>
      </c>
    </row>
    <row r="43" spans="1:35" x14ac:dyDescent="0.25">
      <c r="A43" s="57">
        <v>38</v>
      </c>
      <c r="B43" s="57">
        <f>IF($A43="","",IF(_xlfn.XLOOKUP($A43,Korrelation!$D$4:$D$1197,Korrelation!E$4:E$1197,"-",0)="-",0,MATCH(_xlfn.XLOOKUP($A43,Korrelation!$D$4:$D$1197,Korrelation!E$4:E$1197,"",0),DMAV_Modell!$G$6:$G$677,0)))</f>
        <v>33</v>
      </c>
      <c r="C43" s="57">
        <f>IF($A43="","",IF(_xlfn.XLOOKUP($A43,Korrelation!$D$4:$D$1197,Korrelation!F$4:F$1197,"-",0)="-",0,MATCH(_xlfn.XLOOKUP($A43,Korrelation!$D$4:$D$1197,Korrelation!F$4:F$1197,"",0),DMAV_Modell!$G$6:$G$677,0)))</f>
        <v>0</v>
      </c>
      <c r="D43" s="57">
        <f>IF($A43="","",IF(_xlfn.XLOOKUP($A43,Korrelation!$D$4:$D$1197,Korrelation!G$4:G$1197,"-",0)="-",0,MATCH(_xlfn.XLOOKUP($A43,Korrelation!$D$4:$D$1197,Korrelation!G$4:G$1197,"",0),DMAV_Modell!$G$6:$G$677,0)))</f>
        <v>0</v>
      </c>
      <c r="E43" s="57">
        <f>IF($A43="","",IF(_xlfn.XLOOKUP($A43,Korrelation!$D$4:$D$1197,Korrelation!H$4:H$1197,"-",0)="-",0,MATCH(_xlfn.XLOOKUP($A43,Korrelation!$D$4:$D$1197,Korrelation!H$4:H$1197,"",0),DMAV_Dienste!$F$6:$F$140,0)))</f>
        <v>0</v>
      </c>
      <c r="F43" s="57">
        <f>IF($A43="","",IF(_xlfn.XLOOKUP($A43,Korrelation!$D$4:$D$1197,Korrelation!I$4:I$1197,"-",0)="-",0,MATCH(_xlfn.XLOOKUP($A43,Korrelation!$D$4:$D$1197,Korrelation!I$4:I$1197,"",0),DMAV_Dienste!$F$6:$F$140,0)))</f>
        <v>0</v>
      </c>
      <c r="G43" s="57">
        <f>IF($A43="","",IF(_xlfn.XLOOKUP($A43,Korrelation!$D$4:$D$1197,Korrelation!J$4:J$1197,"-",0)="-",0,MATCH(_xlfn.XLOOKUP($A43,Korrelation!$D$4:$D$1197,Korrelation!J$4:J$1197,"",0),DMAV_Dienste!$F$6:$F$140,0)))</f>
        <v>0</v>
      </c>
      <c r="H43" s="57">
        <f>IF($A43="","",IF(_xlfn.XLOOKUP($A43,Korrelation!$D$4:$D$1197,Korrelation!K$4:K$1197,"-",0)="-",0,MATCH(_xlfn.XLOOKUP($A43,Korrelation!$D$4:$D$1197,Korrelation!K$4:K$1197,"",0),'DM01-AV-CH'!$A$6:$A$834,0)))</f>
        <v>0</v>
      </c>
      <c r="J43" s="54" t="str" cm="1">
        <f t="array" aca="1" ref="J43" ca="1">IF(B43=0,IF(E43=0,"",HYPERLINK("#"&amp;RIGHT(CELL("adresse",OFFSET(DMAV_Dienste!$M$6,E43-1,0)),LEN(CELL("adresse",OFFSET(DMAV_Dienste!$M$6,E43-1,0)))-FIND("]",CELL("adresse",OFFSET(DMAV_Dienste!$M$6,E43-1,0)))),"Dienst")),HYPERLINK("#"&amp;RIGHT(CELL("adresse",OFFSET(DMAV_Modell!$N$6,B43-1,0)),LEN(CELL("adresse",OFFSET(DMAV_Modell!$N$6,B43-1,0)))-FIND("]",CELL("adresse",OFFSET(DMAV_Modell!$N$6,B43-1,0)))),"Modell"))</f>
        <v>Modell</v>
      </c>
      <c r="K43" s="61" t="str" cm="1">
        <f t="array" ref="K43">IF($B43=0,IF($E43=0,"",IF(INDEX(DMAV_Dienste!P$6:P$140,$E43)="","",INDEX(DMAV_Dienste!P$6:P$140,$E43))),IF(INDEX(DMAV_Modell!Q$6:Q$838,$B43)="","",INDEX(DMAV_Modell!Q$6:Q$838,$B43)))</f>
        <v>STRUCTURE</v>
      </c>
      <c r="L43" s="62" t="str" cm="1">
        <f t="array" ref="L43">IF($B43=0,IF($E43=0,"",IF(INDEX(DMAV_Dienste!O$6:O$140,$E43)="","",INDEX(DMAV_Dienste!O$6:O$140,$E43))),IF(INDEX(DMAV_Modell!P$6:P$838,$B43)="","",INDEX(DMAV_Modell!P$6:P$838,$B43)))</f>
        <v/>
      </c>
      <c r="M43" s="62" t="str" cm="1">
        <f t="array" ref="M43">IF($B43=0,IF($E43=0,"",IF(INDEX(DMAV_Dienste!Q$6:Q$140,$E43)="","",INDEX(DMAV_Dienste!Q$6:Q$140,$E43))),IF(INDEX(DMAV_Modell!R$6:R$838,$B43)="","",INDEX(DMAV_Modell!R$6:R$838,$B43)))</f>
        <v>Symbolposition</v>
      </c>
      <c r="N43" s="62" t="str" cm="1">
        <f t="array" ref="N43">IF($B43=0,IF($E43=0,"",IF(INDEX(DMAV_Dienste!T$6:T$140,$E43)="","",INDEX(DMAV_Dienste!T$6:T$140,$E43))),IF(INDEX(DMAV_Modell!U$6:U$838,$B43)="","",INDEX(DMAV_Modell!U$6:U$838,$B43)))</f>
        <v>Position</v>
      </c>
      <c r="O43" s="63" t="str" cm="1">
        <f t="array" aca="1" ref="O43" ca="1">IF(C43=0,IF(F43=0,"",HYPERLINK("#"&amp;RIGHT(CELL("adresse",OFFSET(DMAV_Dienste!$M$6,F43-1,0)),LEN(CELL("adresse",OFFSET(DMAV_Dienste!$M$6,F43-1,0)))-FIND("]",CELL("adresse",OFFSET(DMAV_Dienste!$M$6,F43-1,0)))),"Structure")),HYPERLINK("#"&amp;RIGHT(CELL("adresse",OFFSET(DMAV_Modell!$N$6,C43-1,0)),LEN(CELL("adresse",OFFSET(DMAV_Modell!$N$6,C43-1,0)))-FIND("]",CELL("adresse",OFFSET(DMAV_Modell!$N$6,C43-1,0)))),"Structure"))</f>
        <v/>
      </c>
      <c r="P43" s="64" t="str" cm="1">
        <f t="array" aca="1" ref="P43" ca="1">IF(D43=0,IF(G43=0,"",HYPERLINK("#"&amp;RIGHT(CELL("adresse",OFFSET(DMAV_Dienste!$M$6,G43-1,0)),LEN(CELL("adresse",OFFSET(DMAV_Dienste!$M$6,G43-1,0)))-FIND("]",CELL("adresse",OFFSET(DMAV_Dienste!$M$6,G43-1,0)))),"Substructure")),HYPERLINK("#"&amp;RIGHT(CELL("adresse",OFFSET(DMAV_Modell!$N$6,D43-1,0)),LEN(CELL("adresse",OFFSET(DMAV_Modell!$N$6,D43-1,0)))-FIND("]",CELL("adresse",OFFSET(DMAV_Modell!$N$6,D43-1,0)))),"Substructure"))</f>
        <v/>
      </c>
      <c r="R43" s="80"/>
      <c r="T43" s="93"/>
      <c r="U43" s="94"/>
      <c r="V43" s="95"/>
      <c r="W43" s="96"/>
      <c r="Y43" s="85"/>
      <c r="Z43" s="86"/>
      <c r="AA43" s="87"/>
      <c r="AB43" s="88"/>
      <c r="AD43" s="77"/>
      <c r="AF43" s="54" t="str" cm="1">
        <f t="array" aca="1" ref="AF43" ca="1">IF(H43=0,"",HYPERLINK("#"&amp;RIGHT(CELL("adresse",OFFSET('DM01-AV-CH'!$G$6,H43-1,0)),LEN(CELL("adresse",OFFSET('DM01-AV-CH'!$G$6,H43-1,0)))-FIND("]",CELL("adresse",OFFSET('DM01-AV-CH'!$G$6,H43-1,0)))),"Modell"))</f>
        <v/>
      </c>
      <c r="AG43" s="72" t="str" cm="1">
        <f t="array" ref="AG43">IF($H43=0,"",IF(INDEX('DM01-AV-CH'!G$6:G$834,$H43)="","",INDEX('DM01-AV-CH'!G$6:G$834,$H43)))</f>
        <v/>
      </c>
      <c r="AH43" s="73" t="str" cm="1">
        <f t="array" ref="AH43">IF($H43=0,"",IF(INDEX('DM01-AV-CH'!H$6:H$834,$H43)="","",INDEX('DM01-AV-CH'!H$6:H$834,$H43)))</f>
        <v/>
      </c>
      <c r="AI43" s="74" t="str" cm="1">
        <f t="array" ref="AI43">IF($H43=0,"",IF(INDEX('DM01-AV-CH'!I$6:I$834,$H43)="","",INDEX('DM01-AV-CH'!I$6:I$834,$H43)))</f>
        <v/>
      </c>
    </row>
    <row r="44" spans="1:35" x14ac:dyDescent="0.25">
      <c r="A44" s="57">
        <v>39</v>
      </c>
      <c r="B44" s="57">
        <f>IF($A44="","",IF(_xlfn.XLOOKUP($A44,Korrelation!$D$4:$D$1197,Korrelation!E$4:E$1197,"-",0)="-",0,MATCH(_xlfn.XLOOKUP($A44,Korrelation!$D$4:$D$1197,Korrelation!E$4:E$1197,"",0),DMAV_Modell!$G$6:$G$677,0)))</f>
        <v>34</v>
      </c>
      <c r="C44" s="57">
        <f>IF($A44="","",IF(_xlfn.XLOOKUP($A44,Korrelation!$D$4:$D$1197,Korrelation!F$4:F$1197,"-",0)="-",0,MATCH(_xlfn.XLOOKUP($A44,Korrelation!$D$4:$D$1197,Korrelation!F$4:F$1197,"",0),DMAV_Modell!$G$6:$G$677,0)))</f>
        <v>0</v>
      </c>
      <c r="D44" s="57">
        <f>IF($A44="","",IF(_xlfn.XLOOKUP($A44,Korrelation!$D$4:$D$1197,Korrelation!G$4:G$1197,"-",0)="-",0,MATCH(_xlfn.XLOOKUP($A44,Korrelation!$D$4:$D$1197,Korrelation!G$4:G$1197,"",0),DMAV_Modell!$G$6:$G$677,0)))</f>
        <v>0</v>
      </c>
      <c r="E44" s="57">
        <f>IF($A44="","",IF(_xlfn.XLOOKUP($A44,Korrelation!$D$4:$D$1197,Korrelation!H$4:H$1197,"-",0)="-",0,MATCH(_xlfn.XLOOKUP($A44,Korrelation!$D$4:$D$1197,Korrelation!H$4:H$1197,"",0),DMAV_Dienste!$F$6:$F$140,0)))</f>
        <v>0</v>
      </c>
      <c r="F44" s="57">
        <f>IF($A44="","",IF(_xlfn.XLOOKUP($A44,Korrelation!$D$4:$D$1197,Korrelation!I$4:I$1197,"-",0)="-",0,MATCH(_xlfn.XLOOKUP($A44,Korrelation!$D$4:$D$1197,Korrelation!I$4:I$1197,"",0),DMAV_Dienste!$F$6:$F$140,0)))</f>
        <v>0</v>
      </c>
      <c r="G44" s="57">
        <f>IF($A44="","",IF(_xlfn.XLOOKUP($A44,Korrelation!$D$4:$D$1197,Korrelation!J$4:J$1197,"-",0)="-",0,MATCH(_xlfn.XLOOKUP($A44,Korrelation!$D$4:$D$1197,Korrelation!J$4:J$1197,"",0),DMAV_Dienste!$F$6:$F$140,0)))</f>
        <v>0</v>
      </c>
      <c r="H44" s="57">
        <f>IF($A44="","",IF(_xlfn.XLOOKUP($A44,Korrelation!$D$4:$D$1197,Korrelation!K$4:K$1197,"-",0)="-",0,MATCH(_xlfn.XLOOKUP($A44,Korrelation!$D$4:$D$1197,Korrelation!K$4:K$1197,"",0),'DM01-AV-CH'!$A$6:$A$834,0)))</f>
        <v>0</v>
      </c>
      <c r="J44" s="54" t="str" cm="1">
        <f t="array" aca="1" ref="J44" ca="1">IF(B44=0,IF(E44=0,"",HYPERLINK("#"&amp;RIGHT(CELL("adresse",OFFSET(DMAV_Dienste!$M$6,E44-1,0)),LEN(CELL("adresse",OFFSET(DMAV_Dienste!$M$6,E44-1,0)))-FIND("]",CELL("adresse",OFFSET(DMAV_Dienste!$M$6,E44-1,0)))),"Dienst")),HYPERLINK("#"&amp;RIGHT(CELL("adresse",OFFSET(DMAV_Modell!$N$6,B44-1,0)),LEN(CELL("adresse",OFFSET(DMAV_Modell!$N$6,B44-1,0)))-FIND("]",CELL("adresse",OFFSET(DMAV_Modell!$N$6,B44-1,0)))),"Modell"))</f>
        <v>Modell</v>
      </c>
      <c r="K44" s="61" t="str" cm="1">
        <f t="array" ref="K44">IF($B44=0,IF($E44=0,"",IF(INDEX(DMAV_Dienste!P$6:P$140,$E44)="","",INDEX(DMAV_Dienste!P$6:P$140,$E44))),IF(INDEX(DMAV_Modell!Q$6:Q$838,$B44)="","",INDEX(DMAV_Modell!Q$6:Q$838,$B44)))</f>
        <v>STRUCTURE</v>
      </c>
      <c r="L44" s="62" t="str" cm="1">
        <f t="array" ref="L44">IF($B44=0,IF($E44=0,"",IF(INDEX(DMAV_Dienste!O$6:O$140,$E44)="","",INDEX(DMAV_Dienste!O$6:O$140,$E44))),IF(INDEX(DMAV_Modell!P$6:P$838,$B44)="","",INDEX(DMAV_Modell!P$6:P$838,$B44)))</f>
        <v/>
      </c>
      <c r="M44" s="62" t="str" cm="1">
        <f t="array" ref="M44">IF($B44=0,IF($E44=0,"",IF(INDEX(DMAV_Dienste!Q$6:Q$140,$E44)="","",INDEX(DMAV_Dienste!Q$6:Q$140,$E44))),IF(INDEX(DMAV_Modell!R$6:R$838,$B44)="","",INDEX(DMAV_Modell!R$6:R$838,$B44)))</f>
        <v>Symbolposition</v>
      </c>
      <c r="N44" s="62" t="str" cm="1">
        <f t="array" ref="N44">IF($B44=0,IF($E44=0,"",IF(INDEX(DMAV_Dienste!T$6:T$140,$E44)="","",INDEX(DMAV_Dienste!T$6:T$140,$E44))),IF(INDEX(DMAV_Modell!U$6:U$838,$B44)="","",INDEX(DMAV_Modell!U$6:U$838,$B44)))</f>
        <v>Orientierung</v>
      </c>
      <c r="O44" s="63" t="str" cm="1">
        <f t="array" aca="1" ref="O44" ca="1">IF(C44=0,IF(F44=0,"",HYPERLINK("#"&amp;RIGHT(CELL("adresse",OFFSET(DMAV_Dienste!$M$6,F44-1,0)),LEN(CELL("adresse",OFFSET(DMAV_Dienste!$M$6,F44-1,0)))-FIND("]",CELL("adresse",OFFSET(DMAV_Dienste!$M$6,F44-1,0)))),"Structure")),HYPERLINK("#"&amp;RIGHT(CELL("adresse",OFFSET(DMAV_Modell!$N$6,C44-1,0)),LEN(CELL("adresse",OFFSET(DMAV_Modell!$N$6,C44-1,0)))-FIND("]",CELL("adresse",OFFSET(DMAV_Modell!$N$6,C44-1,0)))),"Structure"))</f>
        <v/>
      </c>
      <c r="P44" s="64" t="str" cm="1">
        <f t="array" aca="1" ref="P44" ca="1">IF(D44=0,IF(G44=0,"",HYPERLINK("#"&amp;RIGHT(CELL("adresse",OFFSET(DMAV_Dienste!$M$6,G44-1,0)),LEN(CELL("adresse",OFFSET(DMAV_Dienste!$M$6,G44-1,0)))-FIND("]",CELL("adresse",OFFSET(DMAV_Dienste!$M$6,G44-1,0)))),"Substructure")),HYPERLINK("#"&amp;RIGHT(CELL("adresse",OFFSET(DMAV_Modell!$N$6,D44-1,0)),LEN(CELL("adresse",OFFSET(DMAV_Modell!$N$6,D44-1,0)))-FIND("]",CELL("adresse",OFFSET(DMAV_Modell!$N$6,D44-1,0)))),"Substructure"))</f>
        <v/>
      </c>
      <c r="R44" s="80"/>
      <c r="T44" s="93"/>
      <c r="U44" s="94"/>
      <c r="V44" s="95"/>
      <c r="W44" s="96"/>
      <c r="Y44" s="85"/>
      <c r="Z44" s="86"/>
      <c r="AA44" s="87"/>
      <c r="AB44" s="88"/>
      <c r="AD44" s="77"/>
      <c r="AF44" s="54" t="str" cm="1">
        <f t="array" aca="1" ref="AF44" ca="1">IF(H44=0,"",HYPERLINK("#"&amp;RIGHT(CELL("adresse",OFFSET('DM01-AV-CH'!$G$6,H44-1,0)),LEN(CELL("adresse",OFFSET('DM01-AV-CH'!$G$6,H44-1,0)))-FIND("]",CELL("adresse",OFFSET('DM01-AV-CH'!$G$6,H44-1,0)))),"Modell"))</f>
        <v/>
      </c>
      <c r="AG44" s="72" t="str" cm="1">
        <f t="array" ref="AG44">IF($H44=0,"",IF(INDEX('DM01-AV-CH'!G$6:G$834,$H44)="","",INDEX('DM01-AV-CH'!G$6:G$834,$H44)))</f>
        <v/>
      </c>
      <c r="AH44" s="73" t="str" cm="1">
        <f t="array" ref="AH44">IF($H44=0,"",IF(INDEX('DM01-AV-CH'!H$6:H$834,$H44)="","",INDEX('DM01-AV-CH'!H$6:H$834,$H44)))</f>
        <v/>
      </c>
      <c r="AI44" s="74" t="str" cm="1">
        <f t="array" ref="AI44">IF($H44=0,"",IF(INDEX('DM01-AV-CH'!I$6:I$834,$H44)="","",INDEX('DM01-AV-CH'!I$6:I$834,$H44)))</f>
        <v/>
      </c>
    </row>
    <row r="45" spans="1:35" x14ac:dyDescent="0.25">
      <c r="A45" s="57">
        <v>40</v>
      </c>
      <c r="B45" s="57">
        <f>IF($A45="","",IF(_xlfn.XLOOKUP($A45,Korrelation!$D$4:$D$1197,Korrelation!E$4:E$1197,"-",0)="-",0,MATCH(_xlfn.XLOOKUP($A45,Korrelation!$D$4:$D$1197,Korrelation!E$4:E$1197,"",0),DMAV_Modell!$G$6:$G$677,0)))</f>
        <v>35</v>
      </c>
      <c r="C45" s="57">
        <f>IF($A45="","",IF(_xlfn.XLOOKUP($A45,Korrelation!$D$4:$D$1197,Korrelation!F$4:F$1197,"-",0)="-",0,MATCH(_xlfn.XLOOKUP($A45,Korrelation!$D$4:$D$1197,Korrelation!F$4:F$1197,"",0),DMAV_Modell!$G$6:$G$677,0)))</f>
        <v>0</v>
      </c>
      <c r="D45" s="57">
        <f>IF($A45="","",IF(_xlfn.XLOOKUP($A45,Korrelation!$D$4:$D$1197,Korrelation!G$4:G$1197,"-",0)="-",0,MATCH(_xlfn.XLOOKUP($A45,Korrelation!$D$4:$D$1197,Korrelation!G$4:G$1197,"",0),DMAV_Modell!$G$6:$G$677,0)))</f>
        <v>0</v>
      </c>
      <c r="E45" s="57">
        <f>IF($A45="","",IF(_xlfn.XLOOKUP($A45,Korrelation!$D$4:$D$1197,Korrelation!H$4:H$1197,"-",0)="-",0,MATCH(_xlfn.XLOOKUP($A45,Korrelation!$D$4:$D$1197,Korrelation!H$4:H$1197,"",0),DMAV_Dienste!$F$6:$F$140,0)))</f>
        <v>0</v>
      </c>
      <c r="F45" s="57">
        <f>IF($A45="","",IF(_xlfn.XLOOKUP($A45,Korrelation!$D$4:$D$1197,Korrelation!I$4:I$1197,"-",0)="-",0,MATCH(_xlfn.XLOOKUP($A45,Korrelation!$D$4:$D$1197,Korrelation!I$4:I$1197,"",0),DMAV_Dienste!$F$6:$F$140,0)))</f>
        <v>0</v>
      </c>
      <c r="G45" s="57">
        <f>IF($A45="","",IF(_xlfn.XLOOKUP($A45,Korrelation!$D$4:$D$1197,Korrelation!J$4:J$1197,"-",0)="-",0,MATCH(_xlfn.XLOOKUP($A45,Korrelation!$D$4:$D$1197,Korrelation!J$4:J$1197,"",0),DMAV_Dienste!$F$6:$F$140,0)))</f>
        <v>0</v>
      </c>
      <c r="H45" s="57">
        <f>IF($A45="","",IF(_xlfn.XLOOKUP($A45,Korrelation!$D$4:$D$1197,Korrelation!K$4:K$1197,"-",0)="-",0,MATCH(_xlfn.XLOOKUP($A45,Korrelation!$D$4:$D$1197,Korrelation!K$4:K$1197,"",0),'DM01-AV-CH'!$A$6:$A$834,0)))</f>
        <v>0</v>
      </c>
      <c r="J45" s="54" t="str" cm="1">
        <f t="array" aca="1" ref="J45" ca="1">IF(B45=0,IF(E45=0,"",HYPERLINK("#"&amp;RIGHT(CELL("adresse",OFFSET(DMAV_Dienste!$M$6,E45-1,0)),LEN(CELL("adresse",OFFSET(DMAV_Dienste!$M$6,E45-1,0)))-FIND("]",CELL("adresse",OFFSET(DMAV_Dienste!$M$6,E45-1,0)))),"Dienst")),HYPERLINK("#"&amp;RIGHT(CELL("adresse",OFFSET(DMAV_Modell!$N$6,B45-1,0)),LEN(CELL("adresse",OFFSET(DMAV_Modell!$N$6,B45-1,0)))-FIND("]",CELL("adresse",OFFSET(DMAV_Modell!$N$6,B45-1,0)))),"Modell"))</f>
        <v>Modell</v>
      </c>
      <c r="K45" s="61" t="str" cm="1">
        <f t="array" ref="K45">IF($B45=0,IF($E45=0,"",IF(INDEX(DMAV_Dienste!P$6:P$140,$E45)="","",INDEX(DMAV_Dienste!P$6:P$140,$E45))),IF(INDEX(DMAV_Modell!Q$6:Q$838,$B45)="","",INDEX(DMAV_Modell!Q$6:Q$838,$B45)))</f>
        <v>STRUCTURE</v>
      </c>
      <c r="L45" s="62" t="str" cm="1">
        <f t="array" ref="L45">IF($B45=0,IF($E45=0,"",IF(INDEX(DMAV_Dienste!O$6:O$140,$E45)="","",INDEX(DMAV_Dienste!O$6:O$140,$E45))),IF(INDEX(DMAV_Modell!P$6:P$838,$B45)="","",INDEX(DMAV_Modell!P$6:P$838,$B45)))</f>
        <v/>
      </c>
      <c r="M45" s="62" t="str" cm="1">
        <f t="array" ref="M45">IF($B45=0,IF($E45=0,"",IF(INDEX(DMAV_Dienste!Q$6:Q$140,$E45)="","",INDEX(DMAV_Dienste!Q$6:Q$140,$E45))),IF(INDEX(DMAV_Modell!R$6:R$838,$B45)="","",INDEX(DMAV_Modell!R$6:R$838,$B45)))</f>
        <v>Symbolposition</v>
      </c>
      <c r="N45" s="62" t="str" cm="1">
        <f t="array" ref="N45">IF($B45=0,IF($E45=0,"",IF(INDEX(DMAV_Dienste!T$6:T$140,$E45)="","",INDEX(DMAV_Dienste!T$6:T$140,$E45))),IF(INDEX(DMAV_Modell!U$6:U$838,$B45)="","",INDEX(DMAV_Modell!U$6:U$838,$B45)))</f>
        <v>DarstellungIn</v>
      </c>
      <c r="O45" s="63" t="str" cm="1">
        <f t="array" aca="1" ref="O45" ca="1">IF(C45=0,IF(F45=0,"",HYPERLINK("#"&amp;RIGHT(CELL("adresse",OFFSET(DMAV_Dienste!$M$6,F45-1,0)),LEN(CELL("adresse",OFFSET(DMAV_Dienste!$M$6,F45-1,0)))-FIND("]",CELL("adresse",OFFSET(DMAV_Dienste!$M$6,F45-1,0)))),"Structure")),HYPERLINK("#"&amp;RIGHT(CELL("adresse",OFFSET(DMAV_Modell!$N$6,C45-1,0)),LEN(CELL("adresse",OFFSET(DMAV_Modell!$N$6,C45-1,0)))-FIND("]",CELL("adresse",OFFSET(DMAV_Modell!$N$6,C45-1,0)))),"Structure"))</f>
        <v/>
      </c>
      <c r="P45" s="64" t="str" cm="1">
        <f t="array" aca="1" ref="P45" ca="1">IF(D45=0,IF(G45=0,"",HYPERLINK("#"&amp;RIGHT(CELL("adresse",OFFSET(DMAV_Dienste!$M$6,G45-1,0)),LEN(CELL("adresse",OFFSET(DMAV_Dienste!$M$6,G45-1,0)))-FIND("]",CELL("adresse",OFFSET(DMAV_Dienste!$M$6,G45-1,0)))),"Substructure")),HYPERLINK("#"&amp;RIGHT(CELL("adresse",OFFSET(DMAV_Modell!$N$6,D45-1,0)),LEN(CELL("adresse",OFFSET(DMAV_Modell!$N$6,D45-1,0)))-FIND("]",CELL("adresse",OFFSET(DMAV_Modell!$N$6,D45-1,0)))),"Substructure"))</f>
        <v/>
      </c>
      <c r="R45" s="80"/>
      <c r="T45" s="93"/>
      <c r="U45" s="94"/>
      <c r="V45" s="95"/>
      <c r="W45" s="96"/>
      <c r="Y45" s="85"/>
      <c r="Z45" s="86"/>
      <c r="AA45" s="87"/>
      <c r="AB45" s="88"/>
      <c r="AD45" s="77"/>
      <c r="AF45" s="54" t="str" cm="1">
        <f t="array" aca="1" ref="AF45" ca="1">IF(H45=0,"",HYPERLINK("#"&amp;RIGHT(CELL("adresse",OFFSET('DM01-AV-CH'!$G$6,H45-1,0)),LEN(CELL("adresse",OFFSET('DM01-AV-CH'!$G$6,H45-1,0)))-FIND("]",CELL("adresse",OFFSET('DM01-AV-CH'!$G$6,H45-1,0)))),"Modell"))</f>
        <v/>
      </c>
      <c r="AG45" s="72" t="str" cm="1">
        <f t="array" ref="AG45">IF($H45=0,"",IF(INDEX('DM01-AV-CH'!G$6:G$834,$H45)="","",INDEX('DM01-AV-CH'!G$6:G$834,$H45)))</f>
        <v/>
      </c>
      <c r="AH45" s="73" t="str" cm="1">
        <f t="array" ref="AH45">IF($H45=0,"",IF(INDEX('DM01-AV-CH'!H$6:H$834,$H45)="","",INDEX('DM01-AV-CH'!H$6:H$834,$H45)))</f>
        <v/>
      </c>
      <c r="AI45" s="74" t="str" cm="1">
        <f t="array" ref="AI45">IF($H45=0,"",IF(INDEX('DM01-AV-CH'!I$6:I$834,$H45)="","",INDEX('DM01-AV-CH'!I$6:I$834,$H45)))</f>
        <v/>
      </c>
    </row>
    <row r="46" spans="1:35" x14ac:dyDescent="0.25">
      <c r="A46" s="57">
        <v>41</v>
      </c>
      <c r="B46" s="57">
        <f>IF($A46="","",IF(_xlfn.XLOOKUP($A46,Korrelation!$D$4:$D$1197,Korrelation!E$4:E$1197,"-",0)="-",0,MATCH(_xlfn.XLOOKUP($A46,Korrelation!$D$4:$D$1197,Korrelation!E$4:E$1197,"",0),DMAV_Modell!$G$6:$G$677,0)))</f>
        <v>36</v>
      </c>
      <c r="C46" s="57">
        <f>IF($A46="","",IF(_xlfn.XLOOKUP($A46,Korrelation!$D$4:$D$1197,Korrelation!F$4:F$1197,"-",0)="-",0,MATCH(_xlfn.XLOOKUP($A46,Korrelation!$D$4:$D$1197,Korrelation!F$4:F$1197,"",0),DMAV_Modell!$G$6:$G$677,0)))</f>
        <v>0</v>
      </c>
      <c r="D46" s="57">
        <f>IF($A46="","",IF(_xlfn.XLOOKUP($A46,Korrelation!$D$4:$D$1197,Korrelation!G$4:G$1197,"-",0)="-",0,MATCH(_xlfn.XLOOKUP($A46,Korrelation!$D$4:$D$1197,Korrelation!G$4:G$1197,"",0),DMAV_Modell!$G$6:$G$677,0)))</f>
        <v>0</v>
      </c>
      <c r="E46" s="57">
        <f>IF($A46="","",IF(_xlfn.XLOOKUP($A46,Korrelation!$D$4:$D$1197,Korrelation!H$4:H$1197,"-",0)="-",0,MATCH(_xlfn.XLOOKUP($A46,Korrelation!$D$4:$D$1197,Korrelation!H$4:H$1197,"",0),DMAV_Dienste!$F$6:$F$140,0)))</f>
        <v>0</v>
      </c>
      <c r="F46" s="57">
        <f>IF($A46="","",IF(_xlfn.XLOOKUP($A46,Korrelation!$D$4:$D$1197,Korrelation!I$4:I$1197,"-",0)="-",0,MATCH(_xlfn.XLOOKUP($A46,Korrelation!$D$4:$D$1197,Korrelation!I$4:I$1197,"",0),DMAV_Dienste!$F$6:$F$140,0)))</f>
        <v>0</v>
      </c>
      <c r="G46" s="57">
        <f>IF($A46="","",IF(_xlfn.XLOOKUP($A46,Korrelation!$D$4:$D$1197,Korrelation!J$4:J$1197,"-",0)="-",0,MATCH(_xlfn.XLOOKUP($A46,Korrelation!$D$4:$D$1197,Korrelation!J$4:J$1197,"",0),DMAV_Dienste!$F$6:$F$140,0)))</f>
        <v>0</v>
      </c>
      <c r="H46" s="57">
        <f>IF($A46="","",IF(_xlfn.XLOOKUP($A46,Korrelation!$D$4:$D$1197,Korrelation!K$4:K$1197,"-",0)="-",0,MATCH(_xlfn.XLOOKUP($A46,Korrelation!$D$4:$D$1197,Korrelation!K$4:K$1197,"",0),'DM01-AV-CH'!$A$6:$A$834,0)))</f>
        <v>0</v>
      </c>
      <c r="J46" s="54" t="str" cm="1">
        <f t="array" aca="1" ref="J46" ca="1">IF(B46=0,IF(E46=0,"",HYPERLINK("#"&amp;RIGHT(CELL("adresse",OFFSET(DMAV_Dienste!$M$6,E46-1,0)),LEN(CELL("adresse",OFFSET(DMAV_Dienste!$M$6,E46-1,0)))-FIND("]",CELL("adresse",OFFSET(DMAV_Dienste!$M$6,E46-1,0)))),"Dienst")),HYPERLINK("#"&amp;RIGHT(CELL("adresse",OFFSET(DMAV_Modell!$N$6,B46-1,0)),LEN(CELL("adresse",OFFSET(DMAV_Modell!$N$6,B46-1,0)))-FIND("]",CELL("adresse",OFFSET(DMAV_Modell!$N$6,B46-1,0)))),"Modell"))</f>
        <v>Modell</v>
      </c>
      <c r="K46" s="61" t="str" cm="1">
        <f t="array" ref="K46">IF($B46=0,IF($E46=0,"",IF(INDEX(DMAV_Dienste!P$6:P$140,$E46)="","",INDEX(DMAV_Dienste!P$6:P$140,$E46))),IF(INDEX(DMAV_Modell!Q$6:Q$838,$B46)="","",INDEX(DMAV_Modell!Q$6:Q$838,$B46)))</f>
        <v>DOMAIN</v>
      </c>
      <c r="L46" s="62" t="str" cm="1">
        <f t="array" ref="L46">IF($B46=0,IF($E46=0,"",IF(INDEX(DMAV_Dienste!O$6:O$140,$E46)="","",INDEX(DMAV_Dienste!O$6:O$140,$E46))),IF(INDEX(DMAV_Modell!P$6:P$838,$B46)="","",INDEX(DMAV_Modell!P$6:P$838,$B46)))</f>
        <v/>
      </c>
      <c r="M46" s="62" t="str" cm="1">
        <f t="array" ref="M46">IF($B46=0,IF($E46=0,"",IF(INDEX(DMAV_Dienste!Q$6:Q$140,$E46)="","",INDEX(DMAV_Dienste!Q$6:Q$140,$E46))),IF(INDEX(DMAV_Modell!R$6:R$838,$B46)="","",INDEX(DMAV_Modell!R$6:R$838,$B46)))</f>
        <v>Objektstatus</v>
      </c>
      <c r="N46" s="62" t="str" cm="1">
        <f t="array" ref="N46">IF($B46=0,IF($E46=0,"",IF(INDEX(DMAV_Dienste!T$6:T$140,$E46)="","",INDEX(DMAV_Dienste!T$6:T$140,$E46))),IF(INDEX(DMAV_Modell!U$6:U$838,$B46)="","",INDEX(DMAV_Modell!U$6:U$838,$B46)))</f>
        <v/>
      </c>
      <c r="O46" s="63" t="str" cm="1">
        <f t="array" aca="1" ref="O46" ca="1">IF(C46=0,IF(F46=0,"",HYPERLINK("#"&amp;RIGHT(CELL("adresse",OFFSET(DMAV_Dienste!$M$6,F46-1,0)),LEN(CELL("adresse",OFFSET(DMAV_Dienste!$M$6,F46-1,0)))-FIND("]",CELL("adresse",OFFSET(DMAV_Dienste!$M$6,F46-1,0)))),"Structure")),HYPERLINK("#"&amp;RIGHT(CELL("adresse",OFFSET(DMAV_Modell!$N$6,C46-1,0)),LEN(CELL("adresse",OFFSET(DMAV_Modell!$N$6,C46-1,0)))-FIND("]",CELL("adresse",OFFSET(DMAV_Modell!$N$6,C46-1,0)))),"Structure"))</f>
        <v/>
      </c>
      <c r="P46" s="64" t="str" cm="1">
        <f t="array" aca="1" ref="P46" ca="1">IF(D46=0,IF(G46=0,"",HYPERLINK("#"&amp;RIGHT(CELL("adresse",OFFSET(DMAV_Dienste!$M$6,G46-1,0)),LEN(CELL("adresse",OFFSET(DMAV_Dienste!$M$6,G46-1,0)))-FIND("]",CELL("adresse",OFFSET(DMAV_Dienste!$M$6,G46-1,0)))),"Substructure")),HYPERLINK("#"&amp;RIGHT(CELL("adresse",OFFSET(DMAV_Modell!$N$6,D46-1,0)),LEN(CELL("adresse",OFFSET(DMAV_Modell!$N$6,D46-1,0)))-FIND("]",CELL("adresse",OFFSET(DMAV_Modell!$N$6,D46-1,0)))),"Substructure"))</f>
        <v/>
      </c>
      <c r="R46" s="80"/>
      <c r="T46" s="93"/>
      <c r="U46" s="94"/>
      <c r="V46" s="95"/>
      <c r="W46" s="96"/>
      <c r="Y46" s="85"/>
      <c r="Z46" s="86"/>
      <c r="AA46" s="87"/>
      <c r="AB46" s="88"/>
      <c r="AD46" s="77"/>
      <c r="AF46" s="54" t="str" cm="1">
        <f t="array" aca="1" ref="AF46" ca="1">IF(H46=0,"",HYPERLINK("#"&amp;RIGHT(CELL("adresse",OFFSET('DM01-AV-CH'!$G$6,H46-1,0)),LEN(CELL("adresse",OFFSET('DM01-AV-CH'!$G$6,H46-1,0)))-FIND("]",CELL("adresse",OFFSET('DM01-AV-CH'!$G$6,H46-1,0)))),"Modell"))</f>
        <v/>
      </c>
      <c r="AG46" s="72" t="str" cm="1">
        <f t="array" ref="AG46">IF($H46=0,"",IF(INDEX('DM01-AV-CH'!G$6:G$834,$H46)="","",INDEX('DM01-AV-CH'!G$6:G$834,$H46)))</f>
        <v/>
      </c>
      <c r="AH46" s="73" t="str" cm="1">
        <f t="array" ref="AH46">IF($H46=0,"",IF(INDEX('DM01-AV-CH'!H$6:H$834,$H46)="","",INDEX('DM01-AV-CH'!H$6:H$834,$H46)))</f>
        <v/>
      </c>
      <c r="AI46" s="74" t="str" cm="1">
        <f t="array" ref="AI46">IF($H46=0,"",IF(INDEX('DM01-AV-CH'!I$6:I$834,$H46)="","",INDEX('DM01-AV-CH'!I$6:I$834,$H46)))</f>
        <v/>
      </c>
    </row>
    <row r="47" spans="1:35" x14ac:dyDescent="0.25">
      <c r="A47" s="57">
        <v>42</v>
      </c>
      <c r="B47" s="57">
        <f>IF($A47="","",IF(_xlfn.XLOOKUP($A47,Korrelation!$D$4:$D$1197,Korrelation!E$4:E$1197,"-",0)="-",0,MATCH(_xlfn.XLOOKUP($A47,Korrelation!$D$4:$D$1197,Korrelation!E$4:E$1197,"",0),DMAV_Modell!$G$6:$G$677,0)))</f>
        <v>37</v>
      </c>
      <c r="C47" s="57">
        <f>IF($A47="","",IF(_xlfn.XLOOKUP($A47,Korrelation!$D$4:$D$1197,Korrelation!F$4:F$1197,"-",0)="-",0,MATCH(_xlfn.XLOOKUP($A47,Korrelation!$D$4:$D$1197,Korrelation!F$4:F$1197,"",0),DMAV_Modell!$G$6:$G$677,0)))</f>
        <v>0</v>
      </c>
      <c r="D47" s="57">
        <f>IF($A47="","",IF(_xlfn.XLOOKUP($A47,Korrelation!$D$4:$D$1197,Korrelation!G$4:G$1197,"-",0)="-",0,MATCH(_xlfn.XLOOKUP($A47,Korrelation!$D$4:$D$1197,Korrelation!G$4:G$1197,"",0),DMAV_Modell!$G$6:$G$677,0)))</f>
        <v>0</v>
      </c>
      <c r="E47" s="57">
        <f>IF($A47="","",IF(_xlfn.XLOOKUP($A47,Korrelation!$D$4:$D$1197,Korrelation!H$4:H$1197,"-",0)="-",0,MATCH(_xlfn.XLOOKUP($A47,Korrelation!$D$4:$D$1197,Korrelation!H$4:H$1197,"",0),DMAV_Dienste!$F$6:$F$140,0)))</f>
        <v>0</v>
      </c>
      <c r="F47" s="57">
        <f>IF($A47="","",IF(_xlfn.XLOOKUP($A47,Korrelation!$D$4:$D$1197,Korrelation!I$4:I$1197,"-",0)="-",0,MATCH(_xlfn.XLOOKUP($A47,Korrelation!$D$4:$D$1197,Korrelation!I$4:I$1197,"",0),DMAV_Dienste!$F$6:$F$140,0)))</f>
        <v>0</v>
      </c>
      <c r="G47" s="57">
        <f>IF($A47="","",IF(_xlfn.XLOOKUP($A47,Korrelation!$D$4:$D$1197,Korrelation!J$4:J$1197,"-",0)="-",0,MATCH(_xlfn.XLOOKUP($A47,Korrelation!$D$4:$D$1197,Korrelation!J$4:J$1197,"",0),DMAV_Dienste!$F$6:$F$140,0)))</f>
        <v>0</v>
      </c>
      <c r="H47" s="57">
        <f>IF($A47="","",IF(_xlfn.XLOOKUP($A47,Korrelation!$D$4:$D$1197,Korrelation!K$4:K$1197,"-",0)="-",0,MATCH(_xlfn.XLOOKUP($A47,Korrelation!$D$4:$D$1197,Korrelation!K$4:K$1197,"",0),'DM01-AV-CH'!$A$6:$A$834,0)))</f>
        <v>0</v>
      </c>
      <c r="J47" s="54" t="str" cm="1">
        <f t="array" aca="1" ref="J47" ca="1">IF(B47=0,IF(E47=0,"",HYPERLINK("#"&amp;RIGHT(CELL("adresse",OFFSET(DMAV_Dienste!$M$6,E47-1,0)),LEN(CELL("adresse",OFFSET(DMAV_Dienste!$M$6,E47-1,0)))-FIND("]",CELL("adresse",OFFSET(DMAV_Dienste!$M$6,E47-1,0)))),"Dienst")),HYPERLINK("#"&amp;RIGHT(CELL("adresse",OFFSET(DMAV_Modell!$N$6,B47-1,0)),LEN(CELL("adresse",OFFSET(DMAV_Modell!$N$6,B47-1,0)))-FIND("]",CELL("adresse",OFFSET(DMAV_Modell!$N$6,B47-1,0)))),"Modell"))</f>
        <v>Modell</v>
      </c>
      <c r="K47" s="61" t="str" cm="1">
        <f t="array" ref="K47">IF($B47=0,IF($E47=0,"",IF(INDEX(DMAV_Dienste!P$6:P$140,$E47)="","",INDEX(DMAV_Dienste!P$6:P$140,$E47))),IF(INDEX(DMAV_Modell!Q$6:Q$838,$B47)="","",INDEX(DMAV_Modell!Q$6:Q$838,$B47)))</f>
        <v>DOMAIN</v>
      </c>
      <c r="L47" s="62" t="str" cm="1">
        <f t="array" ref="L47">IF($B47=0,IF($E47=0,"",IF(INDEX(DMAV_Dienste!O$6:O$140,$E47)="","",INDEX(DMAV_Dienste!O$6:O$140,$E47))),IF(INDEX(DMAV_Modell!P$6:P$838,$B47)="","",INDEX(DMAV_Modell!P$6:P$838,$B47)))</f>
        <v/>
      </c>
      <c r="M47" s="62" t="str" cm="1">
        <f t="array" ref="M47">IF($B47=0,IF($E47=0,"",IF(INDEX(DMAV_Dienste!Q$6:Q$140,$E47)="","",INDEX(DMAV_Dienste!Q$6:Q$140,$E47))),IF(INDEX(DMAV_Modell!R$6:R$838,$B47)="","",INDEX(DMAV_Modell!R$6:R$838,$B47)))</f>
        <v>Objektstatus</v>
      </c>
      <c r="N47" s="62" t="str" cm="1">
        <f t="array" ref="N47">IF($B47=0,IF($E47=0,"",IF(INDEX(DMAV_Dienste!T$6:T$140,$E47)="","",INDEX(DMAV_Dienste!T$6:T$140,$E47))),IF(INDEX(DMAV_Modell!U$6:U$838,$B47)="","",INDEX(DMAV_Modell!U$6:U$838,$B47)))</f>
        <v/>
      </c>
      <c r="O47" s="63" t="str" cm="1">
        <f t="array" aca="1" ref="O47" ca="1">IF(C47=0,IF(F47=0,"",HYPERLINK("#"&amp;RIGHT(CELL("adresse",OFFSET(DMAV_Dienste!$M$6,F47-1,0)),LEN(CELL("adresse",OFFSET(DMAV_Dienste!$M$6,F47-1,0)))-FIND("]",CELL("adresse",OFFSET(DMAV_Dienste!$M$6,F47-1,0)))),"Structure")),HYPERLINK("#"&amp;RIGHT(CELL("adresse",OFFSET(DMAV_Modell!$N$6,C47-1,0)),LEN(CELL("adresse",OFFSET(DMAV_Modell!$N$6,C47-1,0)))-FIND("]",CELL("adresse",OFFSET(DMAV_Modell!$N$6,C47-1,0)))),"Structure"))</f>
        <v/>
      </c>
      <c r="P47" s="64" t="str" cm="1">
        <f t="array" aca="1" ref="P47" ca="1">IF(D47=0,IF(G47=0,"",HYPERLINK("#"&amp;RIGHT(CELL("adresse",OFFSET(DMAV_Dienste!$M$6,G47-1,0)),LEN(CELL("adresse",OFFSET(DMAV_Dienste!$M$6,G47-1,0)))-FIND("]",CELL("adresse",OFFSET(DMAV_Dienste!$M$6,G47-1,0)))),"Substructure")),HYPERLINK("#"&amp;RIGHT(CELL("adresse",OFFSET(DMAV_Modell!$N$6,D47-1,0)),LEN(CELL("adresse",OFFSET(DMAV_Modell!$N$6,D47-1,0)))-FIND("]",CELL("adresse",OFFSET(DMAV_Modell!$N$6,D47-1,0)))),"Substructure"))</f>
        <v/>
      </c>
      <c r="R47" s="80"/>
      <c r="T47" s="93"/>
      <c r="U47" s="94"/>
      <c r="V47" s="95"/>
      <c r="W47" s="96"/>
      <c r="Y47" s="85"/>
      <c r="Z47" s="86"/>
      <c r="AA47" s="87"/>
      <c r="AB47" s="88"/>
      <c r="AD47" s="77"/>
      <c r="AF47" s="54" t="str" cm="1">
        <f t="array" aca="1" ref="AF47" ca="1">IF(H47=0,"",HYPERLINK("#"&amp;RIGHT(CELL("adresse",OFFSET('DM01-AV-CH'!$G$6,H47-1,0)),LEN(CELL("adresse",OFFSET('DM01-AV-CH'!$G$6,H47-1,0)))-FIND("]",CELL("adresse",OFFSET('DM01-AV-CH'!$G$6,H47-1,0)))),"Modell"))</f>
        <v/>
      </c>
      <c r="AG47" s="72" t="str" cm="1">
        <f t="array" ref="AG47">IF($H47=0,"",IF(INDEX('DM01-AV-CH'!G$6:G$834,$H47)="","",INDEX('DM01-AV-CH'!G$6:G$834,$H47)))</f>
        <v/>
      </c>
      <c r="AH47" s="73" t="str" cm="1">
        <f t="array" ref="AH47">IF($H47=0,"",IF(INDEX('DM01-AV-CH'!H$6:H$834,$H47)="","",INDEX('DM01-AV-CH'!H$6:H$834,$H47)))</f>
        <v/>
      </c>
      <c r="AI47" s="74" t="str" cm="1">
        <f t="array" ref="AI47">IF($H47=0,"",IF(INDEX('DM01-AV-CH'!I$6:I$834,$H47)="","",INDEX('DM01-AV-CH'!I$6:I$834,$H47)))</f>
        <v/>
      </c>
    </row>
    <row r="48" spans="1:35" x14ac:dyDescent="0.25">
      <c r="A48" s="57">
        <v>43</v>
      </c>
      <c r="B48" s="57">
        <f>IF($A48="","",IF(_xlfn.XLOOKUP($A48,Korrelation!$D$4:$D$1197,Korrelation!E$4:E$1197,"-",0)="-",0,MATCH(_xlfn.XLOOKUP($A48,Korrelation!$D$4:$D$1197,Korrelation!E$4:E$1197,"",0),DMAV_Modell!$G$6:$G$677,0)))</f>
        <v>38</v>
      </c>
      <c r="C48" s="57">
        <f>IF($A48="","",IF(_xlfn.XLOOKUP($A48,Korrelation!$D$4:$D$1197,Korrelation!F$4:F$1197,"-",0)="-",0,MATCH(_xlfn.XLOOKUP($A48,Korrelation!$D$4:$D$1197,Korrelation!F$4:F$1197,"",0),DMAV_Modell!$G$6:$G$677,0)))</f>
        <v>0</v>
      </c>
      <c r="D48" s="57">
        <f>IF($A48="","",IF(_xlfn.XLOOKUP($A48,Korrelation!$D$4:$D$1197,Korrelation!G$4:G$1197,"-",0)="-",0,MATCH(_xlfn.XLOOKUP($A48,Korrelation!$D$4:$D$1197,Korrelation!G$4:G$1197,"",0),DMAV_Modell!$G$6:$G$677,0)))</f>
        <v>0</v>
      </c>
      <c r="E48" s="57">
        <f>IF($A48="","",IF(_xlfn.XLOOKUP($A48,Korrelation!$D$4:$D$1197,Korrelation!H$4:H$1197,"-",0)="-",0,MATCH(_xlfn.XLOOKUP($A48,Korrelation!$D$4:$D$1197,Korrelation!H$4:H$1197,"",0),DMAV_Dienste!$F$6:$F$140,0)))</f>
        <v>0</v>
      </c>
      <c r="F48" s="57">
        <f>IF($A48="","",IF(_xlfn.XLOOKUP($A48,Korrelation!$D$4:$D$1197,Korrelation!I$4:I$1197,"-",0)="-",0,MATCH(_xlfn.XLOOKUP($A48,Korrelation!$D$4:$D$1197,Korrelation!I$4:I$1197,"",0),DMAV_Dienste!$F$6:$F$140,0)))</f>
        <v>0</v>
      </c>
      <c r="G48" s="57">
        <f>IF($A48="","",IF(_xlfn.XLOOKUP($A48,Korrelation!$D$4:$D$1197,Korrelation!J$4:J$1197,"-",0)="-",0,MATCH(_xlfn.XLOOKUP($A48,Korrelation!$D$4:$D$1197,Korrelation!J$4:J$1197,"",0),DMAV_Dienste!$F$6:$F$140,0)))</f>
        <v>0</v>
      </c>
      <c r="H48" s="57">
        <f>IF($A48="","",IF(_xlfn.XLOOKUP($A48,Korrelation!$D$4:$D$1197,Korrelation!K$4:K$1197,"-",0)="-",0,MATCH(_xlfn.XLOOKUP($A48,Korrelation!$D$4:$D$1197,Korrelation!K$4:K$1197,"",0),'DM01-AV-CH'!$A$6:$A$834,0)))</f>
        <v>0</v>
      </c>
      <c r="J48" s="54" t="str" cm="1">
        <f t="array" aca="1" ref="J48" ca="1">IF(B48=0,IF(E48=0,"",HYPERLINK("#"&amp;RIGHT(CELL("adresse",OFFSET(DMAV_Dienste!$M$6,E48-1,0)),LEN(CELL("adresse",OFFSET(DMAV_Dienste!$M$6,E48-1,0)))-FIND("]",CELL("adresse",OFFSET(DMAV_Dienste!$M$6,E48-1,0)))),"Dienst")),HYPERLINK("#"&amp;RIGHT(CELL("adresse",OFFSET(DMAV_Modell!$N$6,B48-1,0)),LEN(CELL("adresse",OFFSET(DMAV_Modell!$N$6,B48-1,0)))-FIND("]",CELL("adresse",OFFSET(DMAV_Modell!$N$6,B48-1,0)))),"Modell"))</f>
        <v>Modell</v>
      </c>
      <c r="K48" s="61" t="str" cm="1">
        <f t="array" ref="K48">IF($B48=0,IF($E48=0,"",IF(INDEX(DMAV_Dienste!P$6:P$140,$E48)="","",INDEX(DMAV_Dienste!P$6:P$140,$E48))),IF(INDEX(DMAV_Modell!Q$6:Q$838,$B48)="","",INDEX(DMAV_Modell!Q$6:Q$838,$B48)))</f>
        <v>DOMAIN</v>
      </c>
      <c r="L48" s="62" t="str" cm="1">
        <f t="array" ref="L48">IF($B48=0,IF($E48=0,"",IF(INDEX(DMAV_Dienste!O$6:O$140,$E48)="","",INDEX(DMAV_Dienste!O$6:O$140,$E48))),IF(INDEX(DMAV_Modell!P$6:P$838,$B48)="","",INDEX(DMAV_Modell!P$6:P$838,$B48)))</f>
        <v/>
      </c>
      <c r="M48" s="62" t="str" cm="1">
        <f t="array" ref="M48">IF($B48=0,IF($E48=0,"",IF(INDEX(DMAV_Dienste!Q$6:Q$140,$E48)="","",INDEX(DMAV_Dienste!Q$6:Q$140,$E48))),IF(INDEX(DMAV_Modell!R$6:R$838,$B48)="","",INDEX(DMAV_Modell!R$6:R$838,$B48)))</f>
        <v>Objektstatus</v>
      </c>
      <c r="N48" s="62" t="str" cm="1">
        <f t="array" ref="N48">IF($B48=0,IF($E48=0,"",IF(INDEX(DMAV_Dienste!T$6:T$140,$E48)="","",INDEX(DMAV_Dienste!T$6:T$140,$E48))),IF(INDEX(DMAV_Modell!U$6:U$838,$B48)="","",INDEX(DMAV_Modell!U$6:U$838,$B48)))</f>
        <v/>
      </c>
      <c r="O48" s="63" t="str" cm="1">
        <f t="array" aca="1" ref="O48" ca="1">IF(C48=0,IF(F48=0,"",HYPERLINK("#"&amp;RIGHT(CELL("adresse",OFFSET(DMAV_Dienste!$M$6,F48-1,0)),LEN(CELL("adresse",OFFSET(DMAV_Dienste!$M$6,F48-1,0)))-FIND("]",CELL("adresse",OFFSET(DMAV_Dienste!$M$6,F48-1,0)))),"Structure")),HYPERLINK("#"&amp;RIGHT(CELL("adresse",OFFSET(DMAV_Modell!$N$6,C48-1,0)),LEN(CELL("adresse",OFFSET(DMAV_Modell!$N$6,C48-1,0)))-FIND("]",CELL("adresse",OFFSET(DMAV_Modell!$N$6,C48-1,0)))),"Structure"))</f>
        <v/>
      </c>
      <c r="P48" s="64" t="str" cm="1">
        <f t="array" aca="1" ref="P48" ca="1">IF(D48=0,IF(G48=0,"",HYPERLINK("#"&amp;RIGHT(CELL("adresse",OFFSET(DMAV_Dienste!$M$6,G48-1,0)),LEN(CELL("adresse",OFFSET(DMAV_Dienste!$M$6,G48-1,0)))-FIND("]",CELL("adresse",OFFSET(DMAV_Dienste!$M$6,G48-1,0)))),"Substructure")),HYPERLINK("#"&amp;RIGHT(CELL("adresse",OFFSET(DMAV_Modell!$N$6,D48-1,0)),LEN(CELL("adresse",OFFSET(DMAV_Modell!$N$6,D48-1,0)))-FIND("]",CELL("adresse",OFFSET(DMAV_Modell!$N$6,D48-1,0)))),"Substructure"))</f>
        <v/>
      </c>
      <c r="R48" s="80"/>
      <c r="T48" s="93"/>
      <c r="U48" s="94"/>
      <c r="V48" s="95"/>
      <c r="W48" s="96"/>
      <c r="Y48" s="85"/>
      <c r="Z48" s="86"/>
      <c r="AA48" s="87"/>
      <c r="AB48" s="88"/>
      <c r="AD48" s="77"/>
      <c r="AF48" s="54" t="str" cm="1">
        <f t="array" aca="1" ref="AF48" ca="1">IF(H48=0,"",HYPERLINK("#"&amp;RIGHT(CELL("adresse",OFFSET('DM01-AV-CH'!$G$6,H48-1,0)),LEN(CELL("adresse",OFFSET('DM01-AV-CH'!$G$6,H48-1,0)))-FIND("]",CELL("adresse",OFFSET('DM01-AV-CH'!$G$6,H48-1,0)))),"Modell"))</f>
        <v/>
      </c>
      <c r="AG48" s="72" t="str" cm="1">
        <f t="array" ref="AG48">IF($H48=0,"",IF(INDEX('DM01-AV-CH'!G$6:G$834,$H48)="","",INDEX('DM01-AV-CH'!G$6:G$834,$H48)))</f>
        <v/>
      </c>
      <c r="AH48" s="73" t="str" cm="1">
        <f t="array" ref="AH48">IF($H48=0,"",IF(INDEX('DM01-AV-CH'!H$6:H$834,$H48)="","",INDEX('DM01-AV-CH'!H$6:H$834,$H48)))</f>
        <v/>
      </c>
      <c r="AI48" s="74" t="str" cm="1">
        <f t="array" ref="AI48">IF($H48=0,"",IF(INDEX('DM01-AV-CH'!I$6:I$834,$H48)="","",INDEX('DM01-AV-CH'!I$6:I$834,$H48)))</f>
        <v/>
      </c>
    </row>
    <row r="49" spans="1:35" x14ac:dyDescent="0.25">
      <c r="A49" s="57">
        <v>44</v>
      </c>
      <c r="B49" s="57">
        <f>IF($A49="","",IF(_xlfn.XLOOKUP($A49,Korrelation!$D$4:$D$1197,Korrelation!E$4:E$1197,"-",0)="-",0,MATCH(_xlfn.XLOOKUP($A49,Korrelation!$D$4:$D$1197,Korrelation!E$4:E$1197,"",0),DMAV_Modell!$G$6:$G$677,0)))</f>
        <v>39</v>
      </c>
      <c r="C49" s="57">
        <f>IF($A49="","",IF(_xlfn.XLOOKUP($A49,Korrelation!$D$4:$D$1197,Korrelation!F$4:F$1197,"-",0)="-",0,MATCH(_xlfn.XLOOKUP($A49,Korrelation!$D$4:$D$1197,Korrelation!F$4:F$1197,"",0),DMAV_Modell!$G$6:$G$677,0)))</f>
        <v>0</v>
      </c>
      <c r="D49" s="57">
        <f>IF($A49="","",IF(_xlfn.XLOOKUP($A49,Korrelation!$D$4:$D$1197,Korrelation!G$4:G$1197,"-",0)="-",0,MATCH(_xlfn.XLOOKUP($A49,Korrelation!$D$4:$D$1197,Korrelation!G$4:G$1197,"",0),DMAV_Modell!$G$6:$G$677,0)))</f>
        <v>0</v>
      </c>
      <c r="E49" s="57">
        <f>IF($A49="","",IF(_xlfn.XLOOKUP($A49,Korrelation!$D$4:$D$1197,Korrelation!H$4:H$1197,"-",0)="-",0,MATCH(_xlfn.XLOOKUP($A49,Korrelation!$D$4:$D$1197,Korrelation!H$4:H$1197,"",0),DMAV_Dienste!$F$6:$F$140,0)))</f>
        <v>0</v>
      </c>
      <c r="F49" s="57">
        <f>IF($A49="","",IF(_xlfn.XLOOKUP($A49,Korrelation!$D$4:$D$1197,Korrelation!I$4:I$1197,"-",0)="-",0,MATCH(_xlfn.XLOOKUP($A49,Korrelation!$D$4:$D$1197,Korrelation!I$4:I$1197,"",0),DMAV_Dienste!$F$6:$F$140,0)))</f>
        <v>0</v>
      </c>
      <c r="G49" s="57">
        <f>IF($A49="","",IF(_xlfn.XLOOKUP($A49,Korrelation!$D$4:$D$1197,Korrelation!J$4:J$1197,"-",0)="-",0,MATCH(_xlfn.XLOOKUP($A49,Korrelation!$D$4:$D$1197,Korrelation!J$4:J$1197,"",0),DMAV_Dienste!$F$6:$F$140,0)))</f>
        <v>0</v>
      </c>
      <c r="H49" s="57">
        <f>IF($A49="","",IF(_xlfn.XLOOKUP($A49,Korrelation!$D$4:$D$1197,Korrelation!K$4:K$1197,"-",0)="-",0,MATCH(_xlfn.XLOOKUP($A49,Korrelation!$D$4:$D$1197,Korrelation!K$4:K$1197,"",0),'DM01-AV-CH'!$A$6:$A$834,0)))</f>
        <v>0</v>
      </c>
      <c r="J49" s="54" t="str" cm="1">
        <f t="array" aca="1" ref="J49" ca="1">IF(B49=0,IF(E49=0,"",HYPERLINK("#"&amp;RIGHT(CELL("adresse",OFFSET(DMAV_Dienste!$M$6,E49-1,0)),LEN(CELL("adresse",OFFSET(DMAV_Dienste!$M$6,E49-1,0)))-FIND("]",CELL("adresse",OFFSET(DMAV_Dienste!$M$6,E49-1,0)))),"Dienst")),HYPERLINK("#"&amp;RIGHT(CELL("adresse",OFFSET(DMAV_Modell!$N$6,B49-1,0)),LEN(CELL("adresse",OFFSET(DMAV_Modell!$N$6,B49-1,0)))-FIND("]",CELL("adresse",OFFSET(DMAV_Modell!$N$6,B49-1,0)))),"Modell"))</f>
        <v>Modell</v>
      </c>
      <c r="K49" s="61" t="str" cm="1">
        <f t="array" ref="K49">IF($B49=0,IF($E49=0,"",IF(INDEX(DMAV_Dienste!P$6:P$140,$E49)="","",INDEX(DMAV_Dienste!P$6:P$140,$E49))),IF(INDEX(DMAV_Modell!Q$6:Q$838,$B49)="","",INDEX(DMAV_Modell!Q$6:Q$838,$B49)))</f>
        <v>IMPORTS</v>
      </c>
      <c r="L49" s="62" t="str" cm="1">
        <f t="array" ref="L49">IF($B49=0,IF($E49=0,"",IF(INDEX(DMAV_Dienste!O$6:O$140,$E49)="","",INDEX(DMAV_Dienste!O$6:O$140,$E49))),IF(INDEX(DMAV_Modell!P$6:P$838,$B49)="","",INDEX(DMAV_Modell!P$6:P$838,$B49)))</f>
        <v/>
      </c>
      <c r="M49" s="62" t="str" cm="1">
        <f t="array" ref="M49">IF($B49=0,IF($E49=0,"",IF(INDEX(DMAV_Dienste!Q$6:Q$140,$E49)="","",INDEX(DMAV_Dienste!Q$6:Q$140,$E49))),IF(INDEX(DMAV_Modell!R$6:R$838,$B49)="","",INDEX(DMAV_Modell!R$6:R$838,$B49)))</f>
        <v>Units</v>
      </c>
      <c r="N49" s="62" t="str" cm="1">
        <f t="array" ref="N49">IF($B49=0,IF($E49=0,"",IF(INDEX(DMAV_Dienste!T$6:T$140,$E49)="","",INDEX(DMAV_Dienste!T$6:T$140,$E49))),IF(INDEX(DMAV_Modell!U$6:U$838,$B49)="","",INDEX(DMAV_Modell!U$6:U$838,$B49)))</f>
        <v/>
      </c>
      <c r="O49" s="63" t="str" cm="1">
        <f t="array" aca="1" ref="O49" ca="1">IF(C49=0,IF(F49=0,"",HYPERLINK("#"&amp;RIGHT(CELL("adresse",OFFSET(DMAV_Dienste!$M$6,F49-1,0)),LEN(CELL("adresse",OFFSET(DMAV_Dienste!$M$6,F49-1,0)))-FIND("]",CELL("adresse",OFFSET(DMAV_Dienste!$M$6,F49-1,0)))),"Structure")),HYPERLINK("#"&amp;RIGHT(CELL("adresse",OFFSET(DMAV_Modell!$N$6,C49-1,0)),LEN(CELL("adresse",OFFSET(DMAV_Modell!$N$6,C49-1,0)))-FIND("]",CELL("adresse",OFFSET(DMAV_Modell!$N$6,C49-1,0)))),"Structure"))</f>
        <v/>
      </c>
      <c r="P49" s="64" t="str" cm="1">
        <f t="array" aca="1" ref="P49" ca="1">IF(D49=0,IF(G49=0,"",HYPERLINK("#"&amp;RIGHT(CELL("adresse",OFFSET(DMAV_Dienste!$M$6,G49-1,0)),LEN(CELL("adresse",OFFSET(DMAV_Dienste!$M$6,G49-1,0)))-FIND("]",CELL("adresse",OFFSET(DMAV_Dienste!$M$6,G49-1,0)))),"Substructure")),HYPERLINK("#"&amp;RIGHT(CELL("adresse",OFFSET(DMAV_Modell!$N$6,D49-1,0)),LEN(CELL("adresse",OFFSET(DMAV_Modell!$N$6,D49-1,0)))-FIND("]",CELL("adresse",OFFSET(DMAV_Modell!$N$6,D49-1,0)))),"Substructure"))</f>
        <v/>
      </c>
      <c r="R49" s="80"/>
      <c r="T49" s="93"/>
      <c r="U49" s="94"/>
      <c r="V49" s="95"/>
      <c r="W49" s="96"/>
      <c r="Y49" s="85"/>
      <c r="Z49" s="86"/>
      <c r="AA49" s="87"/>
      <c r="AB49" s="88"/>
      <c r="AD49" s="77"/>
      <c r="AF49" s="54" t="str" cm="1">
        <f t="array" aca="1" ref="AF49" ca="1">IF(H49=0,"",HYPERLINK("#"&amp;RIGHT(CELL("adresse",OFFSET('DM01-AV-CH'!$G$6,H49-1,0)),LEN(CELL("adresse",OFFSET('DM01-AV-CH'!$G$6,H49-1,0)))-FIND("]",CELL("adresse",OFFSET('DM01-AV-CH'!$G$6,H49-1,0)))),"Modell"))</f>
        <v/>
      </c>
      <c r="AG49" s="72" t="str" cm="1">
        <f t="array" ref="AG49">IF($H49=0,"",IF(INDEX('DM01-AV-CH'!G$6:G$834,$H49)="","",INDEX('DM01-AV-CH'!G$6:G$834,$H49)))</f>
        <v/>
      </c>
      <c r="AH49" s="73" t="str" cm="1">
        <f t="array" ref="AH49">IF($H49=0,"",IF(INDEX('DM01-AV-CH'!H$6:H$834,$H49)="","",INDEX('DM01-AV-CH'!H$6:H$834,$H49)))</f>
        <v/>
      </c>
      <c r="AI49" s="74" t="str" cm="1">
        <f t="array" ref="AI49">IF($H49=0,"",IF(INDEX('DM01-AV-CH'!I$6:I$834,$H49)="","",INDEX('DM01-AV-CH'!I$6:I$834,$H49)))</f>
        <v/>
      </c>
    </row>
    <row r="50" spans="1:35" x14ac:dyDescent="0.25">
      <c r="A50" s="57">
        <v>45</v>
      </c>
      <c r="B50" s="57">
        <f>IF($A50="","",IF(_xlfn.XLOOKUP($A50,Korrelation!$D$4:$D$1197,Korrelation!E$4:E$1197,"-",0)="-",0,MATCH(_xlfn.XLOOKUP($A50,Korrelation!$D$4:$D$1197,Korrelation!E$4:E$1197,"",0),DMAV_Modell!$G$6:$G$677,0)))</f>
        <v>40</v>
      </c>
      <c r="C50" s="57">
        <f>IF($A50="","",IF(_xlfn.XLOOKUP($A50,Korrelation!$D$4:$D$1197,Korrelation!F$4:F$1197,"-",0)="-",0,MATCH(_xlfn.XLOOKUP($A50,Korrelation!$D$4:$D$1197,Korrelation!F$4:F$1197,"",0),DMAV_Modell!$G$6:$G$677,0)))</f>
        <v>0</v>
      </c>
      <c r="D50" s="57">
        <f>IF($A50="","",IF(_xlfn.XLOOKUP($A50,Korrelation!$D$4:$D$1197,Korrelation!G$4:G$1197,"-",0)="-",0,MATCH(_xlfn.XLOOKUP($A50,Korrelation!$D$4:$D$1197,Korrelation!G$4:G$1197,"",0),DMAV_Modell!$G$6:$G$677,0)))</f>
        <v>0</v>
      </c>
      <c r="E50" s="57">
        <f>IF($A50="","",IF(_xlfn.XLOOKUP($A50,Korrelation!$D$4:$D$1197,Korrelation!H$4:H$1197,"-",0)="-",0,MATCH(_xlfn.XLOOKUP($A50,Korrelation!$D$4:$D$1197,Korrelation!H$4:H$1197,"",0),DMAV_Dienste!$F$6:$F$140,0)))</f>
        <v>0</v>
      </c>
      <c r="F50" s="57">
        <f>IF($A50="","",IF(_xlfn.XLOOKUP($A50,Korrelation!$D$4:$D$1197,Korrelation!I$4:I$1197,"-",0)="-",0,MATCH(_xlfn.XLOOKUP($A50,Korrelation!$D$4:$D$1197,Korrelation!I$4:I$1197,"",0),DMAV_Dienste!$F$6:$F$140,0)))</f>
        <v>0</v>
      </c>
      <c r="G50" s="57">
        <f>IF($A50="","",IF(_xlfn.XLOOKUP($A50,Korrelation!$D$4:$D$1197,Korrelation!J$4:J$1197,"-",0)="-",0,MATCH(_xlfn.XLOOKUP($A50,Korrelation!$D$4:$D$1197,Korrelation!J$4:J$1197,"",0),DMAV_Dienste!$F$6:$F$140,0)))</f>
        <v>0</v>
      </c>
      <c r="H50" s="57">
        <f>IF($A50="","",IF(_xlfn.XLOOKUP($A50,Korrelation!$D$4:$D$1197,Korrelation!K$4:K$1197,"-",0)="-",0,MATCH(_xlfn.XLOOKUP($A50,Korrelation!$D$4:$D$1197,Korrelation!K$4:K$1197,"",0),'DM01-AV-CH'!$A$6:$A$834,0)))</f>
        <v>4</v>
      </c>
      <c r="J50" s="54" t="str" cm="1">
        <f t="array" aca="1" ref="J50" ca="1">IF(B50=0,IF(E50=0,"",HYPERLINK("#"&amp;RIGHT(CELL("adresse",OFFSET(DMAV_Dienste!$M$6,E50-1,0)),LEN(CELL("adresse",OFFSET(DMAV_Dienste!$M$6,E50-1,0)))-FIND("]",CELL("adresse",OFFSET(DMAV_Dienste!$M$6,E50-1,0)))),"Dienst")),HYPERLINK("#"&amp;RIGHT(CELL("adresse",OFFSET(DMAV_Modell!$N$6,B50-1,0)),LEN(CELL("adresse",OFFSET(DMAV_Modell!$N$6,B50-1,0)))-FIND("]",CELL("adresse",OFFSET(DMAV_Modell!$N$6,B50-1,0)))),"Modell"))</f>
        <v>Modell</v>
      </c>
      <c r="K50" s="61" t="str" cm="1">
        <f t="array" ref="K50">IF($B50=0,IF($E50=0,"",IF(INDEX(DMAV_Dienste!P$6:P$140,$E50)="","",INDEX(DMAV_Dienste!P$6:P$140,$E50))),IF(INDEX(DMAV_Modell!Q$6:Q$838,$B50)="","",INDEX(DMAV_Modell!Q$6:Q$838,$B50)))</f>
        <v>DOMAIN</v>
      </c>
      <c r="L50" s="62" t="str" cm="1">
        <f t="array" ref="L50">IF($B50=0,IF($E50=0,"",IF(INDEX(DMAV_Dienste!O$6:O$140,$E50)="","",INDEX(DMAV_Dienste!O$6:O$140,$E50))),IF(INDEX(DMAV_Modell!P$6:P$838,$B50)="","",INDEX(DMAV_Modell!P$6:P$838,$B50)))</f>
        <v/>
      </c>
      <c r="M50" s="62" t="str" cm="1">
        <f t="array" ref="M50">IF($B50=0,IF($E50=0,"",IF(INDEX(DMAV_Dienste!Q$6:Q$140,$E50)="","",INDEX(DMAV_Dienste!Q$6:Q$140,$E50))),IF(INDEX(DMAV_Modell!R$6:R$838,$B50)="","",INDEX(DMAV_Modell!R$6:R$838,$B50)))</f>
        <v>Genauigkeit</v>
      </c>
      <c r="N50" s="62" t="str" cm="1">
        <f t="array" ref="N50">IF($B50=0,IF($E50=0,"",IF(INDEX(DMAV_Dienste!T$6:T$140,$E50)="","",INDEX(DMAV_Dienste!T$6:T$140,$E50))),IF(INDEX(DMAV_Modell!U$6:U$838,$B50)="","",INDEX(DMAV_Modell!U$6:U$838,$B50)))</f>
        <v/>
      </c>
      <c r="O50" s="63" t="str" cm="1">
        <f t="array" aca="1" ref="O50" ca="1">IF(C50=0,IF(F50=0,"",HYPERLINK("#"&amp;RIGHT(CELL("adresse",OFFSET(DMAV_Dienste!$M$6,F50-1,0)),LEN(CELL("adresse",OFFSET(DMAV_Dienste!$M$6,F50-1,0)))-FIND("]",CELL("adresse",OFFSET(DMAV_Dienste!$M$6,F50-1,0)))),"Structure")),HYPERLINK("#"&amp;RIGHT(CELL("adresse",OFFSET(DMAV_Modell!$N$6,C50-1,0)),LEN(CELL("adresse",OFFSET(DMAV_Modell!$N$6,C50-1,0)))-FIND("]",CELL("adresse",OFFSET(DMAV_Modell!$N$6,C50-1,0)))),"Structure"))</f>
        <v/>
      </c>
      <c r="P50" s="64" t="str" cm="1">
        <f t="array" aca="1" ref="P50" ca="1">IF(D50=0,IF(G50=0,"",HYPERLINK("#"&amp;RIGHT(CELL("adresse",OFFSET(DMAV_Dienste!$M$6,G50-1,0)),LEN(CELL("adresse",OFFSET(DMAV_Dienste!$M$6,G50-1,0)))-FIND("]",CELL("adresse",OFFSET(DMAV_Dienste!$M$6,G50-1,0)))),"Substructure")),HYPERLINK("#"&amp;RIGHT(CELL("adresse",OFFSET(DMAV_Modell!$N$6,D50-1,0)),LEN(CELL("adresse",OFFSET(DMAV_Modell!$N$6,D50-1,0)))-FIND("]",CELL("adresse",OFFSET(DMAV_Modell!$N$6,D50-1,0)))),"Substructure"))</f>
        <v/>
      </c>
      <c r="R50" s="80"/>
      <c r="T50" s="93"/>
      <c r="U50" s="94"/>
      <c r="V50" s="95"/>
      <c r="W50" s="96"/>
      <c r="Y50" s="85"/>
      <c r="Z50" s="86"/>
      <c r="AA50" s="87"/>
      <c r="AB50" s="88"/>
      <c r="AD50" s="77"/>
      <c r="AF50" s="54" t="str" cm="1">
        <f t="array" aca="1" ref="AF50" ca="1">IF(H50=0,"",HYPERLINK("#"&amp;RIGHT(CELL("adresse",OFFSET('DM01-AV-CH'!$G$6,H50-1,0)),LEN(CELL("adresse",OFFSET('DM01-AV-CH'!$G$6,H50-1,0)))-FIND("]",CELL("adresse",OFFSET('DM01-AV-CH'!$G$6,H50-1,0)))),"Modell"))</f>
        <v>Modell</v>
      </c>
      <c r="AG50" s="72" t="str" cm="1">
        <f t="array" ref="AG50">IF($H50=0,"",IF(INDEX('DM01-AV-CH'!G$6:G$834,$H50)="","",INDEX('DM01-AV-CH'!G$6:G$834,$H50)))</f>
        <v>Allgemein</v>
      </c>
      <c r="AH50" s="73" t="str" cm="1">
        <f t="array" ref="AH50">IF($H50=0,"",IF(INDEX('DM01-AV-CH'!H$6:H$834,$H50)="","",INDEX('DM01-AV-CH'!H$6:H$834,$H50)))</f>
        <v/>
      </c>
      <c r="AI50" s="74" t="str" cm="1">
        <f t="array" ref="AI50">IF($H50=0,"",IF(INDEX('DM01-AV-CH'!I$6:I$834,$H50)="","",INDEX('DM01-AV-CH'!I$6:I$834,$H50)))</f>
        <v>Genauigkeit</v>
      </c>
    </row>
    <row r="51" spans="1:35" x14ac:dyDescent="0.25">
      <c r="A51" s="57">
        <v>46</v>
      </c>
      <c r="B51" s="57">
        <f>IF($A51="","",IF(_xlfn.XLOOKUP($A51,Korrelation!$D$4:$D$1197,Korrelation!E$4:E$1197,"-",0)="-",0,MATCH(_xlfn.XLOOKUP($A51,Korrelation!$D$4:$D$1197,Korrelation!E$4:E$1197,"",0),DMAV_Modell!$G$6:$G$677,0)))</f>
        <v>41</v>
      </c>
      <c r="C51" s="57">
        <f>IF($A51="","",IF(_xlfn.XLOOKUP($A51,Korrelation!$D$4:$D$1197,Korrelation!F$4:F$1197,"-",0)="-",0,MATCH(_xlfn.XLOOKUP($A51,Korrelation!$D$4:$D$1197,Korrelation!F$4:F$1197,"",0),DMAV_Modell!$G$6:$G$677,0)))</f>
        <v>0</v>
      </c>
      <c r="D51" s="57">
        <f>IF($A51="","",IF(_xlfn.XLOOKUP($A51,Korrelation!$D$4:$D$1197,Korrelation!G$4:G$1197,"-",0)="-",0,MATCH(_xlfn.XLOOKUP($A51,Korrelation!$D$4:$D$1197,Korrelation!G$4:G$1197,"",0),DMAV_Modell!$G$6:$G$677,0)))</f>
        <v>0</v>
      </c>
      <c r="E51" s="57">
        <f>IF($A51="","",IF(_xlfn.XLOOKUP($A51,Korrelation!$D$4:$D$1197,Korrelation!H$4:H$1197,"-",0)="-",0,MATCH(_xlfn.XLOOKUP($A51,Korrelation!$D$4:$D$1197,Korrelation!H$4:H$1197,"",0),DMAV_Dienste!$F$6:$F$140,0)))</f>
        <v>0</v>
      </c>
      <c r="F51" s="57">
        <f>IF($A51="","",IF(_xlfn.XLOOKUP($A51,Korrelation!$D$4:$D$1197,Korrelation!I$4:I$1197,"-",0)="-",0,MATCH(_xlfn.XLOOKUP($A51,Korrelation!$D$4:$D$1197,Korrelation!I$4:I$1197,"",0),DMAV_Dienste!$F$6:$F$140,0)))</f>
        <v>0</v>
      </c>
      <c r="G51" s="57">
        <f>IF($A51="","",IF(_xlfn.XLOOKUP($A51,Korrelation!$D$4:$D$1197,Korrelation!J$4:J$1197,"-",0)="-",0,MATCH(_xlfn.XLOOKUP($A51,Korrelation!$D$4:$D$1197,Korrelation!J$4:J$1197,"",0),DMAV_Dienste!$F$6:$F$140,0)))</f>
        <v>0</v>
      </c>
      <c r="H51" s="57">
        <f>IF($A51="","",IF(_xlfn.XLOOKUP($A51,Korrelation!$D$4:$D$1197,Korrelation!K$4:K$1197,"-",0)="-",0,MATCH(_xlfn.XLOOKUP($A51,Korrelation!$D$4:$D$1197,Korrelation!K$4:K$1197,"",0),'DM01-AV-CH'!$A$6:$A$834,0)))</f>
        <v>5</v>
      </c>
      <c r="J51" s="54" t="str" cm="1">
        <f t="array" aca="1" ref="J51" ca="1">IF(B51=0,IF(E51=0,"",HYPERLINK("#"&amp;RIGHT(CELL("adresse",OFFSET(DMAV_Dienste!$M$6,E51-1,0)),LEN(CELL("adresse",OFFSET(DMAV_Dienste!$M$6,E51-1,0)))-FIND("]",CELL("adresse",OFFSET(DMAV_Dienste!$M$6,E51-1,0)))),"Dienst")),HYPERLINK("#"&amp;RIGHT(CELL("adresse",OFFSET(DMAV_Modell!$N$6,B51-1,0)),LEN(CELL("adresse",OFFSET(DMAV_Modell!$N$6,B51-1,0)))-FIND("]",CELL("adresse",OFFSET(DMAV_Modell!$N$6,B51-1,0)))),"Modell"))</f>
        <v>Modell</v>
      </c>
      <c r="K51" s="61" t="str" cm="1">
        <f t="array" ref="K51">IF($B51=0,IF($E51=0,"",IF(INDEX(DMAV_Dienste!P$6:P$140,$E51)="","",INDEX(DMAV_Dienste!P$6:P$140,$E51))),IF(INDEX(DMAV_Modell!Q$6:Q$838,$B51)="","",INDEX(DMAV_Modell!Q$6:Q$838,$B51)))</f>
        <v>DOMAIN</v>
      </c>
      <c r="L51" s="62" t="str" cm="1">
        <f t="array" ref="L51">IF($B51=0,IF($E51=0,"",IF(INDEX(DMAV_Dienste!O$6:O$140,$E51)="","",INDEX(DMAV_Dienste!O$6:O$140,$E51))),IF(INDEX(DMAV_Modell!P$6:P$838,$B51)="","",INDEX(DMAV_Modell!P$6:P$838,$B51)))</f>
        <v/>
      </c>
      <c r="M51" s="62" t="str" cm="1">
        <f t="array" ref="M51">IF($B51=0,IF($E51=0,"",IF(INDEX(DMAV_Dienste!Q$6:Q$140,$E51)="","",INDEX(DMAV_Dienste!Q$6:Q$140,$E51))),IF(INDEX(DMAV_Modell!R$6:R$838,$B51)="","",INDEX(DMAV_Modell!R$6:R$838,$B51)))</f>
        <v>Zuverlaessigkeit</v>
      </c>
      <c r="N51" s="62" t="str" cm="1">
        <f t="array" ref="N51">IF($B51=0,IF($E51=0,"",IF(INDEX(DMAV_Dienste!T$6:T$140,$E51)="","",INDEX(DMAV_Dienste!T$6:T$140,$E51))),IF(INDEX(DMAV_Modell!U$6:U$838,$B51)="","",INDEX(DMAV_Modell!U$6:U$838,$B51)))</f>
        <v/>
      </c>
      <c r="O51" s="63" t="str" cm="1">
        <f t="array" aca="1" ref="O51" ca="1">IF(C51=0,IF(F51=0,"",HYPERLINK("#"&amp;RIGHT(CELL("adresse",OFFSET(DMAV_Dienste!$M$6,F51-1,0)),LEN(CELL("adresse",OFFSET(DMAV_Dienste!$M$6,F51-1,0)))-FIND("]",CELL("adresse",OFFSET(DMAV_Dienste!$M$6,F51-1,0)))),"Structure")),HYPERLINK("#"&amp;RIGHT(CELL("adresse",OFFSET(DMAV_Modell!$N$6,C51-1,0)),LEN(CELL("adresse",OFFSET(DMAV_Modell!$N$6,C51-1,0)))-FIND("]",CELL("adresse",OFFSET(DMAV_Modell!$N$6,C51-1,0)))),"Structure"))</f>
        <v/>
      </c>
      <c r="P51" s="64" t="str" cm="1">
        <f t="array" aca="1" ref="P51" ca="1">IF(D51=0,IF(G51=0,"",HYPERLINK("#"&amp;RIGHT(CELL("adresse",OFFSET(DMAV_Dienste!$M$6,G51-1,0)),LEN(CELL("adresse",OFFSET(DMAV_Dienste!$M$6,G51-1,0)))-FIND("]",CELL("adresse",OFFSET(DMAV_Dienste!$M$6,G51-1,0)))),"Substructure")),HYPERLINK("#"&amp;RIGHT(CELL("adresse",OFFSET(DMAV_Modell!$N$6,D51-1,0)),LEN(CELL("adresse",OFFSET(DMAV_Modell!$N$6,D51-1,0)))-FIND("]",CELL("adresse",OFFSET(DMAV_Modell!$N$6,D51-1,0)))),"Substructure"))</f>
        <v/>
      </c>
      <c r="R51" s="80" t="s">
        <v>2971</v>
      </c>
      <c r="T51" s="93"/>
      <c r="U51" s="94"/>
      <c r="V51" s="95"/>
      <c r="W51" s="96"/>
      <c r="Y51" s="85"/>
      <c r="Z51" s="86"/>
      <c r="AA51" s="87"/>
      <c r="AB51" s="88"/>
      <c r="AD51" s="77" t="s">
        <v>2973</v>
      </c>
      <c r="AF51" s="54" t="str" cm="1">
        <f t="array" aca="1" ref="AF51" ca="1">IF(H51=0,"",HYPERLINK("#"&amp;RIGHT(CELL("adresse",OFFSET('DM01-AV-CH'!$G$6,H51-1,0)),LEN(CELL("adresse",OFFSET('DM01-AV-CH'!$G$6,H51-1,0)))-FIND("]",CELL("adresse",OFFSET('DM01-AV-CH'!$G$6,H51-1,0)))),"Modell"))</f>
        <v>Modell</v>
      </c>
      <c r="AG51" s="72" t="str" cm="1">
        <f t="array" ref="AG51">IF($H51=0,"",IF(INDEX('DM01-AV-CH'!G$6:G$834,$H51)="","",INDEX('DM01-AV-CH'!G$6:G$834,$H51)))</f>
        <v>Allgemein</v>
      </c>
      <c r="AH51" s="73" t="str" cm="1">
        <f t="array" ref="AH51">IF($H51=0,"",IF(INDEX('DM01-AV-CH'!H$6:H$834,$H51)="","",INDEX('DM01-AV-CH'!H$6:H$834,$H51)))</f>
        <v/>
      </c>
      <c r="AI51" s="74" t="str" cm="1">
        <f t="array" ref="AI51">IF($H51=0,"",IF(INDEX('DM01-AV-CH'!I$6:I$834,$H51)="","",INDEX('DM01-AV-CH'!I$6:I$834,$H51)))</f>
        <v>Zuverlaessigkeit</v>
      </c>
    </row>
    <row r="52" spans="1:35" x14ac:dyDescent="0.25">
      <c r="A52" s="57">
        <v>47</v>
      </c>
      <c r="B52" s="57">
        <f>IF($A52="","",IF(_xlfn.XLOOKUP($A52,Korrelation!$D$4:$D$1197,Korrelation!E$4:E$1197,"-",0)="-",0,MATCH(_xlfn.XLOOKUP($A52,Korrelation!$D$4:$D$1197,Korrelation!E$4:E$1197,"",0),DMAV_Modell!$G$6:$G$677,0)))</f>
        <v>41</v>
      </c>
      <c r="C52" s="57">
        <f>IF($A52="","",IF(_xlfn.XLOOKUP($A52,Korrelation!$D$4:$D$1197,Korrelation!F$4:F$1197,"-",0)="-",0,MATCH(_xlfn.XLOOKUP($A52,Korrelation!$D$4:$D$1197,Korrelation!F$4:F$1197,"",0),DMAV_Modell!$G$6:$G$677,0)))</f>
        <v>0</v>
      </c>
      <c r="D52" s="57">
        <f>IF($A52="","",IF(_xlfn.XLOOKUP($A52,Korrelation!$D$4:$D$1197,Korrelation!G$4:G$1197,"-",0)="-",0,MATCH(_xlfn.XLOOKUP($A52,Korrelation!$D$4:$D$1197,Korrelation!G$4:G$1197,"",0),DMAV_Modell!$G$6:$G$677,0)))</f>
        <v>0</v>
      </c>
      <c r="E52" s="57">
        <f>IF($A52="","",IF(_xlfn.XLOOKUP($A52,Korrelation!$D$4:$D$1197,Korrelation!H$4:H$1197,"-",0)="-",0,MATCH(_xlfn.XLOOKUP($A52,Korrelation!$D$4:$D$1197,Korrelation!H$4:H$1197,"",0),DMAV_Dienste!$F$6:$F$140,0)))</f>
        <v>0</v>
      </c>
      <c r="F52" s="57">
        <f>IF($A52="","",IF(_xlfn.XLOOKUP($A52,Korrelation!$D$4:$D$1197,Korrelation!I$4:I$1197,"-",0)="-",0,MATCH(_xlfn.XLOOKUP($A52,Korrelation!$D$4:$D$1197,Korrelation!I$4:I$1197,"",0),DMAV_Dienste!$F$6:$F$140,0)))</f>
        <v>0</v>
      </c>
      <c r="G52" s="57">
        <f>IF($A52="","",IF(_xlfn.XLOOKUP($A52,Korrelation!$D$4:$D$1197,Korrelation!J$4:J$1197,"-",0)="-",0,MATCH(_xlfn.XLOOKUP($A52,Korrelation!$D$4:$D$1197,Korrelation!J$4:J$1197,"",0),DMAV_Dienste!$F$6:$F$140,0)))</f>
        <v>0</v>
      </c>
      <c r="H52" s="57">
        <f>IF($A52="","",IF(_xlfn.XLOOKUP($A52,Korrelation!$D$4:$D$1197,Korrelation!K$4:K$1197,"-",0)="-",0,MATCH(_xlfn.XLOOKUP($A52,Korrelation!$D$4:$D$1197,Korrelation!K$4:K$1197,"",0),'DM01-AV-CH'!$A$6:$A$834,0)))</f>
        <v>6</v>
      </c>
      <c r="J52" s="54" t="str" cm="1">
        <f t="array" aca="1" ref="J52" ca="1">IF(B52=0,IF(E52=0,"",HYPERLINK("#"&amp;RIGHT(CELL("adresse",OFFSET(DMAV_Dienste!$M$6,E52-1,0)),LEN(CELL("adresse",OFFSET(DMAV_Dienste!$M$6,E52-1,0)))-FIND("]",CELL("adresse",OFFSET(DMAV_Dienste!$M$6,E52-1,0)))),"Dienst")),HYPERLINK("#"&amp;RIGHT(CELL("adresse",OFFSET(DMAV_Modell!$N$6,B52-1,0)),LEN(CELL("adresse",OFFSET(DMAV_Modell!$N$6,B52-1,0)))-FIND("]",CELL("adresse",OFFSET(DMAV_Modell!$N$6,B52-1,0)))),"Modell"))</f>
        <v>Modell</v>
      </c>
      <c r="K52" s="61" t="str" cm="1">
        <f t="array" ref="K52">IF($B52=0,IF($E52=0,"",IF(INDEX(DMAV_Dienste!P$6:P$140,$E52)="","",INDEX(DMAV_Dienste!P$6:P$140,$E52))),IF(INDEX(DMAV_Modell!Q$6:Q$838,$B52)="","",INDEX(DMAV_Modell!Q$6:Q$838,$B52)))</f>
        <v>DOMAIN</v>
      </c>
      <c r="L52" s="62" t="str" cm="1">
        <f t="array" ref="L52">IF($B52=0,IF($E52=0,"",IF(INDEX(DMAV_Dienste!O$6:O$140,$E52)="","",INDEX(DMAV_Dienste!O$6:O$140,$E52))),IF(INDEX(DMAV_Modell!P$6:P$838,$B52)="","",INDEX(DMAV_Modell!P$6:P$838,$B52)))</f>
        <v/>
      </c>
      <c r="M52" s="62" t="str" cm="1">
        <f t="array" ref="M52">IF($B52=0,IF($E52=0,"",IF(INDEX(DMAV_Dienste!Q$6:Q$140,$E52)="","",INDEX(DMAV_Dienste!Q$6:Q$140,$E52))),IF(INDEX(DMAV_Modell!R$6:R$838,$B52)="","",INDEX(DMAV_Modell!R$6:R$838,$B52)))</f>
        <v>Zuverlaessigkeit</v>
      </c>
      <c r="N52" s="62" t="str" cm="1">
        <f t="array" ref="N52">IF($B52=0,IF($E52=0,"",IF(INDEX(DMAV_Dienste!T$6:T$140,$E52)="","",INDEX(DMAV_Dienste!T$6:T$140,$E52))),IF(INDEX(DMAV_Modell!U$6:U$838,$B52)="","",INDEX(DMAV_Modell!U$6:U$838,$B52)))</f>
        <v/>
      </c>
      <c r="O52" s="63" t="str" cm="1">
        <f t="array" aca="1" ref="O52" ca="1">IF(C52=0,IF(F52=0,"",HYPERLINK("#"&amp;RIGHT(CELL("adresse",OFFSET(DMAV_Dienste!$M$6,F52-1,0)),LEN(CELL("adresse",OFFSET(DMAV_Dienste!$M$6,F52-1,0)))-FIND("]",CELL("adresse",OFFSET(DMAV_Dienste!$M$6,F52-1,0)))),"Structure")),HYPERLINK("#"&amp;RIGHT(CELL("adresse",OFFSET(DMAV_Modell!$N$6,C52-1,0)),LEN(CELL("adresse",OFFSET(DMAV_Modell!$N$6,C52-1,0)))-FIND("]",CELL("adresse",OFFSET(DMAV_Modell!$N$6,C52-1,0)))),"Structure"))</f>
        <v/>
      </c>
      <c r="P52" s="64" t="str" cm="1">
        <f t="array" aca="1" ref="P52" ca="1">IF(D52=0,IF(G52=0,"",HYPERLINK("#"&amp;RIGHT(CELL("adresse",OFFSET(DMAV_Dienste!$M$6,G52-1,0)),LEN(CELL("adresse",OFFSET(DMAV_Dienste!$M$6,G52-1,0)))-FIND("]",CELL("adresse",OFFSET(DMAV_Dienste!$M$6,G52-1,0)))),"Substructure")),HYPERLINK("#"&amp;RIGHT(CELL("adresse",OFFSET(DMAV_Modell!$N$6,D52-1,0)),LEN(CELL("adresse",OFFSET(DMAV_Modell!$N$6,D52-1,0)))-FIND("]",CELL("adresse",OFFSET(DMAV_Modell!$N$6,D52-1,0)))),"Substructure"))</f>
        <v/>
      </c>
      <c r="R52" s="80" t="s">
        <v>2972</v>
      </c>
      <c r="T52" s="93"/>
      <c r="U52" s="94"/>
      <c r="V52" s="95"/>
      <c r="W52" s="96"/>
      <c r="Y52" s="85"/>
      <c r="Z52" s="86"/>
      <c r="AA52" s="87"/>
      <c r="AB52" s="88"/>
      <c r="AD52" s="77" t="s">
        <v>2974</v>
      </c>
      <c r="AF52" s="54" t="str" cm="1">
        <f t="array" aca="1" ref="AF52" ca="1">IF(H52=0,"",HYPERLINK("#"&amp;RIGHT(CELL("adresse",OFFSET('DM01-AV-CH'!$G$6,H52-1,0)),LEN(CELL("adresse",OFFSET('DM01-AV-CH'!$G$6,H52-1,0)))-FIND("]",CELL("adresse",OFFSET('DM01-AV-CH'!$G$6,H52-1,0)))),"Modell"))</f>
        <v>Modell</v>
      </c>
      <c r="AG52" s="72" t="str" cm="1">
        <f t="array" ref="AG52">IF($H52=0,"",IF(INDEX('DM01-AV-CH'!G$6:G$834,$H52)="","",INDEX('DM01-AV-CH'!G$6:G$834,$H52)))</f>
        <v>Allgemein</v>
      </c>
      <c r="AH52" s="73" t="str" cm="1">
        <f t="array" ref="AH52">IF($H52=0,"",IF(INDEX('DM01-AV-CH'!H$6:H$834,$H52)="","",INDEX('DM01-AV-CH'!H$6:H$834,$H52)))</f>
        <v/>
      </c>
      <c r="AI52" s="74" t="str" cm="1">
        <f t="array" ref="AI52">IF($H52=0,"",IF(INDEX('DM01-AV-CH'!I$6:I$834,$H52)="","",INDEX('DM01-AV-CH'!I$6:I$834,$H52)))</f>
        <v>Zuverlaessigkeit</v>
      </c>
    </row>
    <row r="53" spans="1:35" x14ac:dyDescent="0.25">
      <c r="A53" s="57">
        <v>48</v>
      </c>
      <c r="B53" s="57">
        <f>IF($A53="","",IF(_xlfn.XLOOKUP($A53,Korrelation!$D$4:$D$1197,Korrelation!E$4:E$1197,"-",0)="-",0,MATCH(_xlfn.XLOOKUP($A53,Korrelation!$D$4:$D$1197,Korrelation!E$4:E$1197,"",0),DMAV_Modell!$G$6:$G$677,0)))</f>
        <v>0</v>
      </c>
      <c r="C53" s="57">
        <f>IF($A53="","",IF(_xlfn.XLOOKUP($A53,Korrelation!$D$4:$D$1197,Korrelation!F$4:F$1197,"-",0)="-",0,MATCH(_xlfn.XLOOKUP($A53,Korrelation!$D$4:$D$1197,Korrelation!F$4:F$1197,"",0),DMAV_Modell!$G$6:$G$677,0)))</f>
        <v>0</v>
      </c>
      <c r="D53" s="57">
        <f>IF($A53="","",IF(_xlfn.XLOOKUP($A53,Korrelation!$D$4:$D$1197,Korrelation!G$4:G$1197,"-",0)="-",0,MATCH(_xlfn.XLOOKUP($A53,Korrelation!$D$4:$D$1197,Korrelation!G$4:G$1197,"",0),DMAV_Modell!$G$6:$G$677,0)))</f>
        <v>0</v>
      </c>
      <c r="E53" s="57">
        <f>IF($A53="","",IF(_xlfn.XLOOKUP($A53,Korrelation!$D$4:$D$1197,Korrelation!H$4:H$1197,"-",0)="-",0,MATCH(_xlfn.XLOOKUP($A53,Korrelation!$D$4:$D$1197,Korrelation!H$4:H$1197,"",0),DMAV_Dienste!$F$6:$F$140,0)))</f>
        <v>0</v>
      </c>
      <c r="F53" s="57">
        <f>IF($A53="","",IF(_xlfn.XLOOKUP($A53,Korrelation!$D$4:$D$1197,Korrelation!I$4:I$1197,"-",0)="-",0,MATCH(_xlfn.XLOOKUP($A53,Korrelation!$D$4:$D$1197,Korrelation!I$4:I$1197,"",0),DMAV_Dienste!$F$6:$F$140,0)))</f>
        <v>0</v>
      </c>
      <c r="G53" s="57">
        <f>IF($A53="","",IF(_xlfn.XLOOKUP($A53,Korrelation!$D$4:$D$1197,Korrelation!J$4:J$1197,"-",0)="-",0,MATCH(_xlfn.XLOOKUP($A53,Korrelation!$D$4:$D$1197,Korrelation!J$4:J$1197,"",0),DMAV_Dienste!$F$6:$F$140,0)))</f>
        <v>0</v>
      </c>
      <c r="H53" s="57">
        <f>IF($A53="","",IF(_xlfn.XLOOKUP($A53,Korrelation!$D$4:$D$1197,Korrelation!K$4:K$1197,"-",0)="-",0,MATCH(_xlfn.XLOOKUP($A53,Korrelation!$D$4:$D$1197,Korrelation!K$4:K$1197,"",0),'DM01-AV-CH'!$A$6:$A$834,0)))</f>
        <v>7</v>
      </c>
      <c r="J53" s="54" t="str" cm="1">
        <f t="array" aca="1" ref="J53" ca="1">IF(B53=0,IF(E53=0,"",HYPERLINK("#"&amp;RIGHT(CELL("adresse",OFFSET(DMAV_Dienste!$M$6,E53-1,0)),LEN(CELL("adresse",OFFSET(DMAV_Dienste!$M$6,E53-1,0)))-FIND("]",CELL("adresse",OFFSET(DMAV_Dienste!$M$6,E53-1,0)))),"Dienst")),HYPERLINK("#"&amp;RIGHT(CELL("adresse",OFFSET(DMAV_Modell!$N$6,B53-1,0)),LEN(CELL("adresse",OFFSET(DMAV_Modell!$N$6,B53-1,0)))-FIND("]",CELL("adresse",OFFSET(DMAV_Modell!$N$6,B53-1,0)))),"Modell"))</f>
        <v/>
      </c>
      <c r="K53" s="61" t="str" cm="1">
        <f t="array" ref="K53">IF($B53=0,IF($E53=0,"",IF(INDEX(DMAV_Dienste!P$6:P$140,$E53)="","",INDEX(DMAV_Dienste!P$6:P$140,$E53))),IF(INDEX(DMAV_Modell!Q$6:Q$838,$B53)="","",INDEX(DMAV_Modell!Q$6:Q$838,$B53)))</f>
        <v/>
      </c>
      <c r="L53" s="62" t="str" cm="1">
        <f t="array" ref="L53">IF($B53=0,IF($E53=0,"",IF(INDEX(DMAV_Dienste!O$6:O$140,$E53)="","",INDEX(DMAV_Dienste!O$6:O$140,$E53))),IF(INDEX(DMAV_Modell!P$6:P$838,$B53)="","",INDEX(DMAV_Modell!P$6:P$838,$B53)))</f>
        <v/>
      </c>
      <c r="M53" s="62" t="str" cm="1">
        <f t="array" ref="M53">IF($B53=0,IF($E53=0,"",IF(INDEX(DMAV_Dienste!Q$6:Q$140,$E53)="","",INDEX(DMAV_Dienste!Q$6:Q$140,$E53))),IF(INDEX(DMAV_Modell!R$6:R$838,$B53)="","",INDEX(DMAV_Modell!R$6:R$838,$B53)))</f>
        <v/>
      </c>
      <c r="N53" s="62" t="str" cm="1">
        <f t="array" ref="N53">IF($B53=0,IF($E53=0,"",IF(INDEX(DMAV_Dienste!T$6:T$140,$E53)="","",INDEX(DMAV_Dienste!T$6:T$140,$E53))),IF(INDEX(DMAV_Modell!U$6:U$838,$B53)="","",INDEX(DMAV_Modell!U$6:U$838,$B53)))</f>
        <v/>
      </c>
      <c r="O53" s="63" t="str" cm="1">
        <f t="array" aca="1" ref="O53" ca="1">IF(C53=0,IF(F53=0,"",HYPERLINK("#"&amp;RIGHT(CELL("adresse",OFFSET(DMAV_Dienste!$M$6,F53-1,0)),LEN(CELL("adresse",OFFSET(DMAV_Dienste!$M$6,F53-1,0)))-FIND("]",CELL("adresse",OFFSET(DMAV_Dienste!$M$6,F53-1,0)))),"Structure")),HYPERLINK("#"&amp;RIGHT(CELL("adresse",OFFSET(DMAV_Modell!$N$6,C53-1,0)),LEN(CELL("adresse",OFFSET(DMAV_Modell!$N$6,C53-1,0)))-FIND("]",CELL("adresse",OFFSET(DMAV_Modell!$N$6,C53-1,0)))),"Structure"))</f>
        <v/>
      </c>
      <c r="P53" s="64" t="str" cm="1">
        <f t="array" aca="1" ref="P53" ca="1">IF(D53=0,IF(G53=0,"",HYPERLINK("#"&amp;RIGHT(CELL("adresse",OFFSET(DMAV_Dienste!$M$6,G53-1,0)),LEN(CELL("adresse",OFFSET(DMAV_Dienste!$M$6,G53-1,0)))-FIND("]",CELL("adresse",OFFSET(DMAV_Dienste!$M$6,G53-1,0)))),"Substructure")),HYPERLINK("#"&amp;RIGHT(CELL("adresse",OFFSET(DMAV_Modell!$N$6,D53-1,0)),LEN(CELL("adresse",OFFSET(DMAV_Modell!$N$6,D53-1,0)))-FIND("]",CELL("adresse",OFFSET(DMAV_Modell!$N$6,D53-1,0)))),"Substructure"))</f>
        <v/>
      </c>
      <c r="R53" s="80"/>
      <c r="T53" s="93"/>
      <c r="U53" s="94"/>
      <c r="V53" s="95"/>
      <c r="W53" s="96"/>
      <c r="Y53" s="85"/>
      <c r="Z53" s="86"/>
      <c r="AA53" s="87"/>
      <c r="AB53" s="88"/>
      <c r="AD53" s="77"/>
      <c r="AF53" s="54" t="str" cm="1">
        <f t="array" aca="1" ref="AF53" ca="1">IF(H53=0,"",HYPERLINK("#"&amp;RIGHT(CELL("adresse",OFFSET('DM01-AV-CH'!$G$6,H53-1,0)),LEN(CELL("adresse",OFFSET('DM01-AV-CH'!$G$6,H53-1,0)))-FIND("]",CELL("adresse",OFFSET('DM01-AV-CH'!$G$6,H53-1,0)))),"Modell"))</f>
        <v>Modell</v>
      </c>
      <c r="AG53" s="72" t="str" cm="1">
        <f t="array" ref="AG53">IF($H53=0,"",IF(INDEX('DM01-AV-CH'!G$6:G$834,$H53)="","",INDEX('DM01-AV-CH'!G$6:G$834,$H53)))</f>
        <v>Allgemein</v>
      </c>
      <c r="AH53" s="73" t="str" cm="1">
        <f t="array" ref="AH53">IF($H53=0,"",IF(INDEX('DM01-AV-CH'!H$6:H$834,$H53)="","",INDEX('DM01-AV-CH'!H$6:H$834,$H53)))</f>
        <v/>
      </c>
      <c r="AI53" s="74" t="str" cm="1">
        <f t="array" ref="AI53">IF($H53=0,"",IF(INDEX('DM01-AV-CH'!I$6:I$834,$H53)="","",INDEX('DM01-AV-CH'!I$6:I$834,$H53)))</f>
        <v>Status</v>
      </c>
    </row>
    <row r="54" spans="1:35" x14ac:dyDescent="0.25">
      <c r="A54" s="57">
        <v>49</v>
      </c>
      <c r="B54" s="57">
        <f>IF($A54="","",IF(_xlfn.XLOOKUP($A54,Korrelation!$D$4:$D$1197,Korrelation!E$4:E$1197,"-",0)="-",0,MATCH(_xlfn.XLOOKUP($A54,Korrelation!$D$4:$D$1197,Korrelation!E$4:E$1197,"",0),DMAV_Modell!$G$6:$G$677,0)))</f>
        <v>0</v>
      </c>
      <c r="C54" s="57">
        <f>IF($A54="","",IF(_xlfn.XLOOKUP($A54,Korrelation!$D$4:$D$1197,Korrelation!F$4:F$1197,"-",0)="-",0,MATCH(_xlfn.XLOOKUP($A54,Korrelation!$D$4:$D$1197,Korrelation!F$4:F$1197,"",0),DMAV_Modell!$G$6:$G$677,0)))</f>
        <v>0</v>
      </c>
      <c r="D54" s="57">
        <f>IF($A54="","",IF(_xlfn.XLOOKUP($A54,Korrelation!$D$4:$D$1197,Korrelation!G$4:G$1197,"-",0)="-",0,MATCH(_xlfn.XLOOKUP($A54,Korrelation!$D$4:$D$1197,Korrelation!G$4:G$1197,"",0),DMAV_Modell!$G$6:$G$677,0)))</f>
        <v>0</v>
      </c>
      <c r="E54" s="57">
        <f>IF($A54="","",IF(_xlfn.XLOOKUP($A54,Korrelation!$D$4:$D$1197,Korrelation!H$4:H$1197,"-",0)="-",0,MATCH(_xlfn.XLOOKUP($A54,Korrelation!$D$4:$D$1197,Korrelation!H$4:H$1197,"",0),DMAV_Dienste!$F$6:$F$140,0)))</f>
        <v>0</v>
      </c>
      <c r="F54" s="57">
        <f>IF($A54="","",IF(_xlfn.XLOOKUP($A54,Korrelation!$D$4:$D$1197,Korrelation!I$4:I$1197,"-",0)="-",0,MATCH(_xlfn.XLOOKUP($A54,Korrelation!$D$4:$D$1197,Korrelation!I$4:I$1197,"",0),DMAV_Dienste!$F$6:$F$140,0)))</f>
        <v>0</v>
      </c>
      <c r="G54" s="57">
        <f>IF($A54="","",IF(_xlfn.XLOOKUP($A54,Korrelation!$D$4:$D$1197,Korrelation!J$4:J$1197,"-",0)="-",0,MATCH(_xlfn.XLOOKUP($A54,Korrelation!$D$4:$D$1197,Korrelation!J$4:J$1197,"",0),DMAV_Dienste!$F$6:$F$140,0)))</f>
        <v>0</v>
      </c>
      <c r="H54" s="57">
        <f>IF($A54="","",IF(_xlfn.XLOOKUP($A54,Korrelation!$D$4:$D$1197,Korrelation!K$4:K$1197,"-",0)="-",0,MATCH(_xlfn.XLOOKUP($A54,Korrelation!$D$4:$D$1197,Korrelation!K$4:K$1197,"",0),'DM01-AV-CH'!$A$6:$A$834,0)))</f>
        <v>8</v>
      </c>
      <c r="J54" s="54" t="str" cm="1">
        <f t="array" aca="1" ref="J54" ca="1">IF(B54=0,IF(E54=0,"",HYPERLINK("#"&amp;RIGHT(CELL("adresse",OFFSET(DMAV_Dienste!$M$6,E54-1,0)),LEN(CELL("adresse",OFFSET(DMAV_Dienste!$M$6,E54-1,0)))-FIND("]",CELL("adresse",OFFSET(DMAV_Dienste!$M$6,E54-1,0)))),"Dienst")),HYPERLINK("#"&amp;RIGHT(CELL("adresse",OFFSET(DMAV_Modell!$N$6,B54-1,0)),LEN(CELL("adresse",OFFSET(DMAV_Modell!$N$6,B54-1,0)))-FIND("]",CELL("adresse",OFFSET(DMAV_Modell!$N$6,B54-1,0)))),"Modell"))</f>
        <v/>
      </c>
      <c r="K54" s="61" t="str" cm="1">
        <f t="array" ref="K54">IF($B54=0,IF($E54=0,"",IF(INDEX(DMAV_Dienste!P$6:P$140,$E54)="","",INDEX(DMAV_Dienste!P$6:P$140,$E54))),IF(INDEX(DMAV_Modell!Q$6:Q$838,$B54)="","",INDEX(DMAV_Modell!Q$6:Q$838,$B54)))</f>
        <v/>
      </c>
      <c r="L54" s="62" t="str" cm="1">
        <f t="array" ref="L54">IF($B54=0,IF($E54=0,"",IF(INDEX(DMAV_Dienste!O$6:O$140,$E54)="","",INDEX(DMAV_Dienste!O$6:O$140,$E54))),IF(INDEX(DMAV_Modell!P$6:P$838,$B54)="","",INDEX(DMAV_Modell!P$6:P$838,$B54)))</f>
        <v/>
      </c>
      <c r="M54" s="62" t="str" cm="1">
        <f t="array" ref="M54">IF($B54=0,IF($E54=0,"",IF(INDEX(DMAV_Dienste!Q$6:Q$140,$E54)="","",INDEX(DMAV_Dienste!Q$6:Q$140,$E54))),IF(INDEX(DMAV_Modell!R$6:R$838,$B54)="","",INDEX(DMAV_Modell!R$6:R$838,$B54)))</f>
        <v/>
      </c>
      <c r="N54" s="62" t="str" cm="1">
        <f t="array" ref="N54">IF($B54=0,IF($E54=0,"",IF(INDEX(DMAV_Dienste!T$6:T$140,$E54)="","",INDEX(DMAV_Dienste!T$6:T$140,$E54))),IF(INDEX(DMAV_Modell!U$6:U$838,$B54)="","",INDEX(DMAV_Modell!U$6:U$838,$B54)))</f>
        <v/>
      </c>
      <c r="O54" s="63" t="str" cm="1">
        <f t="array" aca="1" ref="O54" ca="1">IF(C54=0,IF(F54=0,"",HYPERLINK("#"&amp;RIGHT(CELL("adresse",OFFSET(DMAV_Dienste!$M$6,F54-1,0)),LEN(CELL("adresse",OFFSET(DMAV_Dienste!$M$6,F54-1,0)))-FIND("]",CELL("adresse",OFFSET(DMAV_Dienste!$M$6,F54-1,0)))),"Structure")),HYPERLINK("#"&amp;RIGHT(CELL("adresse",OFFSET(DMAV_Modell!$N$6,C54-1,0)),LEN(CELL("adresse",OFFSET(DMAV_Modell!$N$6,C54-1,0)))-FIND("]",CELL("adresse",OFFSET(DMAV_Modell!$N$6,C54-1,0)))),"Structure"))</f>
        <v/>
      </c>
      <c r="P54" s="64" t="str" cm="1">
        <f t="array" aca="1" ref="P54" ca="1">IF(D54=0,IF(G54=0,"",HYPERLINK("#"&amp;RIGHT(CELL("adresse",OFFSET(DMAV_Dienste!$M$6,G54-1,0)),LEN(CELL("adresse",OFFSET(DMAV_Dienste!$M$6,G54-1,0)))-FIND("]",CELL("adresse",OFFSET(DMAV_Dienste!$M$6,G54-1,0)))),"Substructure")),HYPERLINK("#"&amp;RIGHT(CELL("adresse",OFFSET(DMAV_Modell!$N$6,D54-1,0)),LEN(CELL("adresse",OFFSET(DMAV_Modell!$N$6,D54-1,0)))-FIND("]",CELL("adresse",OFFSET(DMAV_Modell!$N$6,D54-1,0)))),"Substructure"))</f>
        <v/>
      </c>
      <c r="R54" s="80"/>
      <c r="T54" s="93"/>
      <c r="U54" s="94"/>
      <c r="V54" s="95"/>
      <c r="W54" s="96"/>
      <c r="Y54" s="85"/>
      <c r="Z54" s="86"/>
      <c r="AA54" s="87"/>
      <c r="AB54" s="88"/>
      <c r="AD54" s="77"/>
      <c r="AF54" s="54" t="str" cm="1">
        <f t="array" aca="1" ref="AF54" ca="1">IF(H54=0,"",HYPERLINK("#"&amp;RIGHT(CELL("adresse",OFFSET('DM01-AV-CH'!$G$6,H54-1,0)),LEN(CELL("adresse",OFFSET('DM01-AV-CH'!$G$6,H54-1,0)))-FIND("]",CELL("adresse",OFFSET('DM01-AV-CH'!$G$6,H54-1,0)))),"Modell"))</f>
        <v>Modell</v>
      </c>
      <c r="AG54" s="72" t="str" cm="1">
        <f t="array" ref="AG54">IF($H54=0,"",IF(INDEX('DM01-AV-CH'!G$6:G$834,$H54)="","",INDEX('DM01-AV-CH'!G$6:G$834,$H54)))</f>
        <v>Allgemein</v>
      </c>
      <c r="AH54" s="73" t="str" cm="1">
        <f t="array" ref="AH54">IF($H54=0,"",IF(INDEX('DM01-AV-CH'!H$6:H$834,$H54)="","",INDEX('DM01-AV-CH'!H$6:H$834,$H54)))</f>
        <v/>
      </c>
      <c r="AI54" s="74" t="str" cm="1">
        <f t="array" ref="AI54">IF($H54=0,"",IF(INDEX('DM01-AV-CH'!I$6:I$834,$H54)="","",INDEX('DM01-AV-CH'!I$6:I$834,$H54)))</f>
        <v>Status</v>
      </c>
    </row>
    <row r="55" spans="1:35" x14ac:dyDescent="0.25">
      <c r="A55" s="57">
        <v>50</v>
      </c>
      <c r="B55" s="57">
        <f>IF($A55="","",IF(_xlfn.XLOOKUP($A55,Korrelation!$D$4:$D$1197,Korrelation!E$4:E$1197,"-",0)="-",0,MATCH(_xlfn.XLOOKUP($A55,Korrelation!$D$4:$D$1197,Korrelation!E$4:E$1197,"",0),DMAV_Modell!$G$6:$G$677,0)))</f>
        <v>42</v>
      </c>
      <c r="C55" s="57">
        <f>IF($A55="","",IF(_xlfn.XLOOKUP($A55,Korrelation!$D$4:$D$1197,Korrelation!F$4:F$1197,"-",0)="-",0,MATCH(_xlfn.XLOOKUP($A55,Korrelation!$D$4:$D$1197,Korrelation!F$4:F$1197,"",0),DMAV_Modell!$G$6:$G$677,0)))</f>
        <v>0</v>
      </c>
      <c r="D55" s="57">
        <f>IF($A55="","",IF(_xlfn.XLOOKUP($A55,Korrelation!$D$4:$D$1197,Korrelation!G$4:G$1197,"-",0)="-",0,MATCH(_xlfn.XLOOKUP($A55,Korrelation!$D$4:$D$1197,Korrelation!G$4:G$1197,"",0),DMAV_Modell!$G$6:$G$677,0)))</f>
        <v>0</v>
      </c>
      <c r="E55" s="57">
        <f>IF($A55="","",IF(_xlfn.XLOOKUP($A55,Korrelation!$D$4:$D$1197,Korrelation!H$4:H$1197,"-",0)="-",0,MATCH(_xlfn.XLOOKUP($A55,Korrelation!$D$4:$D$1197,Korrelation!H$4:H$1197,"",0),DMAV_Dienste!$F$6:$F$140,0)))</f>
        <v>0</v>
      </c>
      <c r="F55" s="57">
        <f>IF($A55="","",IF(_xlfn.XLOOKUP($A55,Korrelation!$D$4:$D$1197,Korrelation!I$4:I$1197,"-",0)="-",0,MATCH(_xlfn.XLOOKUP($A55,Korrelation!$D$4:$D$1197,Korrelation!I$4:I$1197,"",0),DMAV_Dienste!$F$6:$F$140,0)))</f>
        <v>0</v>
      </c>
      <c r="G55" s="57">
        <f>IF($A55="","",IF(_xlfn.XLOOKUP($A55,Korrelation!$D$4:$D$1197,Korrelation!J$4:J$1197,"-",0)="-",0,MATCH(_xlfn.XLOOKUP($A55,Korrelation!$D$4:$D$1197,Korrelation!J$4:J$1197,"",0),DMAV_Dienste!$F$6:$F$140,0)))</f>
        <v>0</v>
      </c>
      <c r="H55" s="57">
        <f>IF($A55="","",IF(_xlfn.XLOOKUP($A55,Korrelation!$D$4:$D$1197,Korrelation!K$4:K$1197,"-",0)="-",0,MATCH(_xlfn.XLOOKUP($A55,Korrelation!$D$4:$D$1197,Korrelation!K$4:K$1197,"",0),'DM01-AV-CH'!$A$6:$A$834,0)))</f>
        <v>9</v>
      </c>
      <c r="J55" s="54" t="str" cm="1">
        <f t="array" aca="1" ref="J55" ca="1">IF(B55=0,IF(E55=0,"",HYPERLINK("#"&amp;RIGHT(CELL("adresse",OFFSET(DMAV_Dienste!$M$6,E55-1,0)),LEN(CELL("adresse",OFFSET(DMAV_Dienste!$M$6,E55-1,0)))-FIND("]",CELL("adresse",OFFSET(DMAV_Dienste!$M$6,E55-1,0)))),"Dienst")),HYPERLINK("#"&amp;RIGHT(CELL("adresse",OFFSET(DMAV_Modell!$N$6,B55-1,0)),LEN(CELL("adresse",OFFSET(DMAV_Modell!$N$6,B55-1,0)))-FIND("]",CELL("adresse",OFFSET(DMAV_Modell!$N$6,B55-1,0)))),"Modell"))</f>
        <v>Modell</v>
      </c>
      <c r="K55" s="61" t="str" cm="1">
        <f t="array" ref="K55">IF($B55=0,IF($E55=0,"",IF(INDEX(DMAV_Dienste!P$6:P$140,$E55)="","",INDEX(DMAV_Dienste!P$6:P$140,$E55))),IF(INDEX(DMAV_Modell!Q$6:Q$838,$B55)="","",INDEX(DMAV_Modell!Q$6:Q$838,$B55)))</f>
        <v>DOMAIN</v>
      </c>
      <c r="L55" s="62" t="str" cm="1">
        <f t="array" ref="L55">IF($B55=0,IF($E55=0,"",IF(INDEX(DMAV_Dienste!O$6:O$140,$E55)="","",INDEX(DMAV_Dienste!O$6:O$140,$E55))),IF(INDEX(DMAV_Modell!P$6:P$838,$B55)="","",INDEX(DMAV_Modell!P$6:P$838,$B55)))</f>
        <v/>
      </c>
      <c r="M55" s="62" t="str" cm="1">
        <f t="array" ref="M55">IF($B55=0,IF($E55=0,"",IF(INDEX(DMAV_Dienste!Q$6:Q$140,$E55)="","",INDEX(DMAV_Dienste!Q$6:Q$140,$E55))),IF(INDEX(DMAV_Modell!R$6:R$838,$B55)="","",INDEX(DMAV_Modell!R$6:R$838,$B55)))</f>
        <v>Qualitaetsstandard</v>
      </c>
      <c r="N55" s="62" t="str" cm="1">
        <f t="array" ref="N55">IF($B55=0,IF($E55=0,"",IF(INDEX(DMAV_Dienste!T$6:T$140,$E55)="","",INDEX(DMAV_Dienste!T$6:T$140,$E55))),IF(INDEX(DMAV_Modell!U$6:U$838,$B55)="","",INDEX(DMAV_Modell!U$6:U$838,$B55)))</f>
        <v/>
      </c>
      <c r="O55" s="63" t="str" cm="1">
        <f t="array" aca="1" ref="O55" ca="1">IF(C55=0,IF(F55=0,"",HYPERLINK("#"&amp;RIGHT(CELL("adresse",OFFSET(DMAV_Dienste!$M$6,F55-1,0)),LEN(CELL("adresse",OFFSET(DMAV_Dienste!$M$6,F55-1,0)))-FIND("]",CELL("adresse",OFFSET(DMAV_Dienste!$M$6,F55-1,0)))),"Structure")),HYPERLINK("#"&amp;RIGHT(CELL("adresse",OFFSET(DMAV_Modell!$N$6,C55-1,0)),LEN(CELL("adresse",OFFSET(DMAV_Modell!$N$6,C55-1,0)))-FIND("]",CELL("adresse",OFFSET(DMAV_Modell!$N$6,C55-1,0)))),"Structure"))</f>
        <v/>
      </c>
      <c r="P55" s="64" t="str" cm="1">
        <f t="array" aca="1" ref="P55" ca="1">IF(D55=0,IF(G55=0,"",HYPERLINK("#"&amp;RIGHT(CELL("adresse",OFFSET(DMAV_Dienste!$M$6,G55-1,0)),LEN(CELL("adresse",OFFSET(DMAV_Dienste!$M$6,G55-1,0)))-FIND("]",CELL("adresse",OFFSET(DMAV_Dienste!$M$6,G55-1,0)))),"Substructure")),HYPERLINK("#"&amp;RIGHT(CELL("adresse",OFFSET(DMAV_Modell!$N$6,D55-1,0)),LEN(CELL("adresse",OFFSET(DMAV_Modell!$N$6,D55-1,0)))-FIND("]",CELL("adresse",OFFSET(DMAV_Modell!$N$6,D55-1,0)))),"Substructure"))</f>
        <v/>
      </c>
      <c r="R55" s="80"/>
      <c r="T55" s="93"/>
      <c r="U55" s="94"/>
      <c r="V55" s="95"/>
      <c r="W55" s="96"/>
      <c r="Y55" s="85"/>
      <c r="Z55" s="86"/>
      <c r="AA55" s="87"/>
      <c r="AB55" s="88"/>
      <c r="AD55" s="77"/>
      <c r="AF55" s="54" t="str" cm="1">
        <f t="array" aca="1" ref="AF55" ca="1">IF(H55=0,"",HYPERLINK("#"&amp;RIGHT(CELL("adresse",OFFSET('DM01-AV-CH'!$G$6,H55-1,0)),LEN(CELL("adresse",OFFSET('DM01-AV-CH'!$G$6,H55-1,0)))-FIND("]",CELL("adresse",OFFSET('DM01-AV-CH'!$G$6,H55-1,0)))),"Modell"))</f>
        <v>Modell</v>
      </c>
      <c r="AG55" s="72" t="str" cm="1">
        <f t="array" ref="AG55">IF($H55=0,"",IF(INDEX('DM01-AV-CH'!G$6:G$834,$H55)="","",INDEX('DM01-AV-CH'!G$6:G$834,$H55)))</f>
        <v>Allgemein</v>
      </c>
      <c r="AH55" s="73" t="str" cm="1">
        <f t="array" ref="AH55">IF($H55=0,"",IF(INDEX('DM01-AV-CH'!H$6:H$834,$H55)="","",INDEX('DM01-AV-CH'!H$6:H$834,$H55)))</f>
        <v/>
      </c>
      <c r="AI55" s="74" t="str" cm="1">
        <f t="array" ref="AI55">IF($H55=0,"",IF(INDEX('DM01-AV-CH'!I$6:I$834,$H55)="","",INDEX('DM01-AV-CH'!I$6:I$834,$H55)))</f>
        <v>Qualitaetsstandard</v>
      </c>
    </row>
    <row r="56" spans="1:35" x14ac:dyDescent="0.25">
      <c r="A56" s="57">
        <v>51</v>
      </c>
      <c r="B56" s="57">
        <f>IF($A56="","",IF(_xlfn.XLOOKUP($A56,Korrelation!$D$4:$D$1197,Korrelation!E$4:E$1197,"-",0)="-",0,MATCH(_xlfn.XLOOKUP($A56,Korrelation!$D$4:$D$1197,Korrelation!E$4:E$1197,"",0),DMAV_Modell!$G$6:$G$677,0)))</f>
        <v>0</v>
      </c>
      <c r="C56" s="57">
        <f>IF($A56="","",IF(_xlfn.XLOOKUP($A56,Korrelation!$D$4:$D$1197,Korrelation!F$4:F$1197,"-",0)="-",0,MATCH(_xlfn.XLOOKUP($A56,Korrelation!$D$4:$D$1197,Korrelation!F$4:F$1197,"",0),DMAV_Modell!$G$6:$G$677,0)))</f>
        <v>0</v>
      </c>
      <c r="D56" s="57">
        <f>IF($A56="","",IF(_xlfn.XLOOKUP($A56,Korrelation!$D$4:$D$1197,Korrelation!G$4:G$1197,"-",0)="-",0,MATCH(_xlfn.XLOOKUP($A56,Korrelation!$D$4:$D$1197,Korrelation!G$4:G$1197,"",0),DMAV_Modell!$G$6:$G$677,0)))</f>
        <v>0</v>
      </c>
      <c r="E56" s="57">
        <f>IF($A56="","",IF(_xlfn.XLOOKUP($A56,Korrelation!$D$4:$D$1197,Korrelation!H$4:H$1197,"-",0)="-",0,MATCH(_xlfn.XLOOKUP($A56,Korrelation!$D$4:$D$1197,Korrelation!H$4:H$1197,"",0),DMAV_Dienste!$F$6:$F$140,0)))</f>
        <v>0</v>
      </c>
      <c r="F56" s="57">
        <f>IF($A56="","",IF(_xlfn.XLOOKUP($A56,Korrelation!$D$4:$D$1197,Korrelation!I$4:I$1197,"-",0)="-",0,MATCH(_xlfn.XLOOKUP($A56,Korrelation!$D$4:$D$1197,Korrelation!I$4:I$1197,"",0),DMAV_Dienste!$F$6:$F$140,0)))</f>
        <v>0</v>
      </c>
      <c r="G56" s="57">
        <f>IF($A56="","",IF(_xlfn.XLOOKUP($A56,Korrelation!$D$4:$D$1197,Korrelation!J$4:J$1197,"-",0)="-",0,MATCH(_xlfn.XLOOKUP($A56,Korrelation!$D$4:$D$1197,Korrelation!J$4:J$1197,"",0),DMAV_Dienste!$F$6:$F$140,0)))</f>
        <v>0</v>
      </c>
      <c r="H56" s="57">
        <f>IF($A56="","",IF(_xlfn.XLOOKUP($A56,Korrelation!$D$4:$D$1197,Korrelation!K$4:K$1197,"-",0)="-",0,MATCH(_xlfn.XLOOKUP($A56,Korrelation!$D$4:$D$1197,Korrelation!K$4:K$1197,"",0),'DM01-AV-CH'!$A$6:$A$834,0)))</f>
        <v>10</v>
      </c>
      <c r="J56" s="54" t="str" cm="1">
        <f t="array" aca="1" ref="J56" ca="1">IF(B56=0,IF(E56=0,"",HYPERLINK("#"&amp;RIGHT(CELL("adresse",OFFSET(DMAV_Dienste!$M$6,E56-1,0)),LEN(CELL("adresse",OFFSET(DMAV_Dienste!$M$6,E56-1,0)))-FIND("]",CELL("adresse",OFFSET(DMAV_Dienste!$M$6,E56-1,0)))),"Dienst")),HYPERLINK("#"&amp;RIGHT(CELL("adresse",OFFSET(DMAV_Modell!$N$6,B56-1,0)),LEN(CELL("adresse",OFFSET(DMAV_Modell!$N$6,B56-1,0)))-FIND("]",CELL("adresse",OFFSET(DMAV_Modell!$N$6,B56-1,0)))),"Modell"))</f>
        <v/>
      </c>
      <c r="K56" s="61" t="str" cm="1">
        <f t="array" ref="K56">IF($B56=0,IF($E56=0,"",IF(INDEX(DMAV_Dienste!P$6:P$140,$E56)="","",INDEX(DMAV_Dienste!P$6:P$140,$E56))),IF(INDEX(DMAV_Modell!Q$6:Q$838,$B56)="","",INDEX(DMAV_Modell!Q$6:Q$838,$B56)))</f>
        <v/>
      </c>
      <c r="L56" s="62" t="str" cm="1">
        <f t="array" ref="L56">IF($B56=0,IF($E56=0,"",IF(INDEX(DMAV_Dienste!O$6:O$140,$E56)="","",INDEX(DMAV_Dienste!O$6:O$140,$E56))),IF(INDEX(DMAV_Modell!P$6:P$838,$B56)="","",INDEX(DMAV_Modell!P$6:P$838,$B56)))</f>
        <v/>
      </c>
      <c r="M56" s="62" t="str" cm="1">
        <f t="array" ref="M56">IF($B56=0,IF($E56=0,"",IF(INDEX(DMAV_Dienste!Q$6:Q$140,$E56)="","",INDEX(DMAV_Dienste!Q$6:Q$140,$E56))),IF(INDEX(DMAV_Modell!R$6:R$838,$B56)="","",INDEX(DMAV_Modell!R$6:R$838,$B56)))</f>
        <v/>
      </c>
      <c r="N56" s="62" t="str" cm="1">
        <f t="array" ref="N56">IF($B56=0,IF($E56=0,"",IF(INDEX(DMAV_Dienste!T$6:T$140,$E56)="","",INDEX(DMAV_Dienste!T$6:T$140,$E56))),IF(INDEX(DMAV_Modell!U$6:U$838,$B56)="","",INDEX(DMAV_Modell!U$6:U$838,$B56)))</f>
        <v/>
      </c>
      <c r="O56" s="63" t="str" cm="1">
        <f t="array" aca="1" ref="O56" ca="1">IF(C56=0,IF(F56=0,"",HYPERLINK("#"&amp;RIGHT(CELL("adresse",OFFSET(DMAV_Dienste!$M$6,F56-1,0)),LEN(CELL("adresse",OFFSET(DMAV_Dienste!$M$6,F56-1,0)))-FIND("]",CELL("adresse",OFFSET(DMAV_Dienste!$M$6,F56-1,0)))),"Structure")),HYPERLINK("#"&amp;RIGHT(CELL("adresse",OFFSET(DMAV_Modell!$N$6,C56-1,0)),LEN(CELL("adresse",OFFSET(DMAV_Modell!$N$6,C56-1,0)))-FIND("]",CELL("adresse",OFFSET(DMAV_Modell!$N$6,C56-1,0)))),"Structure"))</f>
        <v/>
      </c>
      <c r="P56" s="64" t="str" cm="1">
        <f t="array" aca="1" ref="P56" ca="1">IF(D56=0,IF(G56=0,"",HYPERLINK("#"&amp;RIGHT(CELL("adresse",OFFSET(DMAV_Dienste!$M$6,G56-1,0)),LEN(CELL("adresse",OFFSET(DMAV_Dienste!$M$6,G56-1,0)))-FIND("]",CELL("adresse",OFFSET(DMAV_Dienste!$M$6,G56-1,0)))),"Substructure")),HYPERLINK("#"&amp;RIGHT(CELL("adresse",OFFSET(DMAV_Modell!$N$6,D56-1,0)),LEN(CELL("adresse",OFFSET(DMAV_Modell!$N$6,D56-1,0)))-FIND("]",CELL("adresse",OFFSET(DMAV_Modell!$N$6,D56-1,0)))),"Substructure"))</f>
        <v/>
      </c>
      <c r="R56" s="80"/>
      <c r="T56" s="93"/>
      <c r="U56" s="94"/>
      <c r="V56" s="95"/>
      <c r="W56" s="96"/>
      <c r="Y56" s="85"/>
      <c r="Z56" s="86"/>
      <c r="AA56" s="87"/>
      <c r="AB56" s="88"/>
      <c r="AD56" s="77"/>
      <c r="AF56" s="54" t="str" cm="1">
        <f t="array" aca="1" ref="AF56" ca="1">IF(H56=0,"",HYPERLINK("#"&amp;RIGHT(CELL("adresse",OFFSET('DM01-AV-CH'!$G$6,H56-1,0)),LEN(CELL("adresse",OFFSET('DM01-AV-CH'!$G$6,H56-1,0)))-FIND("]",CELL("adresse",OFFSET('DM01-AV-CH'!$G$6,H56-1,0)))),"Modell"))</f>
        <v>Modell</v>
      </c>
      <c r="AG56" s="72" t="str" cm="1">
        <f t="array" ref="AG56">IF($H56=0,"",IF(INDEX('DM01-AV-CH'!G$6:G$834,$H56)="","",INDEX('DM01-AV-CH'!G$6:G$834,$H56)))</f>
        <v>Allgemein</v>
      </c>
      <c r="AH56" s="73" t="str" cm="1">
        <f t="array" ref="AH56">IF($H56=0,"",IF(INDEX('DM01-AV-CH'!H$6:H$834,$H56)="","",INDEX('DM01-AV-CH'!H$6:H$834,$H56)))</f>
        <v/>
      </c>
      <c r="AI56" s="74" t="str" cm="1">
        <f t="array" ref="AI56">IF($H56=0,"",IF(INDEX('DM01-AV-CH'!I$6:I$834,$H56)="","",INDEX('DM01-AV-CH'!I$6:I$834,$H56)))</f>
        <v>Qualitaetsstandard</v>
      </c>
    </row>
    <row r="57" spans="1:35" x14ac:dyDescent="0.25">
      <c r="A57" s="57">
        <v>52</v>
      </c>
      <c r="B57" s="57">
        <f>IF($A57="","",IF(_xlfn.XLOOKUP($A57,Korrelation!$D$4:$D$1197,Korrelation!E$4:E$1197,"-",0)="-",0,MATCH(_xlfn.XLOOKUP($A57,Korrelation!$D$4:$D$1197,Korrelation!E$4:E$1197,"",0),DMAV_Modell!$G$6:$G$677,0)))</f>
        <v>43</v>
      </c>
      <c r="C57" s="57">
        <f>IF($A57="","",IF(_xlfn.XLOOKUP($A57,Korrelation!$D$4:$D$1197,Korrelation!F$4:F$1197,"-",0)="-",0,MATCH(_xlfn.XLOOKUP($A57,Korrelation!$D$4:$D$1197,Korrelation!F$4:F$1197,"",0),DMAV_Modell!$G$6:$G$677,0)))</f>
        <v>0</v>
      </c>
      <c r="D57" s="57">
        <f>IF($A57="","",IF(_xlfn.XLOOKUP($A57,Korrelation!$D$4:$D$1197,Korrelation!G$4:G$1197,"-",0)="-",0,MATCH(_xlfn.XLOOKUP($A57,Korrelation!$D$4:$D$1197,Korrelation!G$4:G$1197,"",0),DMAV_Modell!$G$6:$G$677,0)))</f>
        <v>0</v>
      </c>
      <c r="E57" s="57">
        <f>IF($A57="","",IF(_xlfn.XLOOKUP($A57,Korrelation!$D$4:$D$1197,Korrelation!H$4:H$1197,"-",0)="-",0,MATCH(_xlfn.XLOOKUP($A57,Korrelation!$D$4:$D$1197,Korrelation!H$4:H$1197,"",0),DMAV_Dienste!$F$6:$F$140,0)))</f>
        <v>0</v>
      </c>
      <c r="F57" s="57">
        <f>IF($A57="","",IF(_xlfn.XLOOKUP($A57,Korrelation!$D$4:$D$1197,Korrelation!I$4:I$1197,"-",0)="-",0,MATCH(_xlfn.XLOOKUP($A57,Korrelation!$D$4:$D$1197,Korrelation!I$4:I$1197,"",0),DMAV_Dienste!$F$6:$F$140,0)))</f>
        <v>0</v>
      </c>
      <c r="G57" s="57">
        <f>IF($A57="","",IF(_xlfn.XLOOKUP($A57,Korrelation!$D$4:$D$1197,Korrelation!J$4:J$1197,"-",0)="-",0,MATCH(_xlfn.XLOOKUP($A57,Korrelation!$D$4:$D$1197,Korrelation!J$4:J$1197,"",0),DMAV_Dienste!$F$6:$F$140,0)))</f>
        <v>0</v>
      </c>
      <c r="H57" s="57">
        <f>IF($A57="","",IF(_xlfn.XLOOKUP($A57,Korrelation!$D$4:$D$1197,Korrelation!K$4:K$1197,"-",0)="-",0,MATCH(_xlfn.XLOOKUP($A57,Korrelation!$D$4:$D$1197,Korrelation!K$4:K$1197,"",0),'DM01-AV-CH'!$A$6:$A$834,0)))</f>
        <v>11</v>
      </c>
      <c r="J57" s="54" t="str" cm="1">
        <f t="array" aca="1" ref="J57" ca="1">IF(B57=0,IF(E57=0,"",HYPERLINK("#"&amp;RIGHT(CELL("adresse",OFFSET(DMAV_Dienste!$M$6,E57-1,0)),LEN(CELL("adresse",OFFSET(DMAV_Dienste!$M$6,E57-1,0)))-FIND("]",CELL("adresse",OFFSET(DMAV_Dienste!$M$6,E57-1,0)))),"Dienst")),HYPERLINK("#"&amp;RIGHT(CELL("adresse",OFFSET(DMAV_Modell!$N$6,B57-1,0)),LEN(CELL("adresse",OFFSET(DMAV_Modell!$N$6,B57-1,0)))-FIND("]",CELL("adresse",OFFSET(DMAV_Modell!$N$6,B57-1,0)))),"Modell"))</f>
        <v>Modell</v>
      </c>
      <c r="K57" s="61" t="str" cm="1">
        <f t="array" ref="K57">IF($B57=0,IF($E57=0,"",IF(INDEX(DMAV_Dienste!P$6:P$140,$E57)="","",INDEX(DMAV_Dienste!P$6:P$140,$E57))),IF(INDEX(DMAV_Modell!Q$6:Q$838,$B57)="","",INDEX(DMAV_Modell!Q$6:Q$838,$B57)))</f>
        <v>DOMAIN</v>
      </c>
      <c r="L57" s="62" t="str" cm="1">
        <f t="array" ref="L57">IF($B57=0,IF($E57=0,"",IF(INDEX(DMAV_Dienste!O$6:O$140,$E57)="","",INDEX(DMAV_Dienste!O$6:O$140,$E57))),IF(INDEX(DMAV_Modell!P$6:P$838,$B57)="","",INDEX(DMAV_Modell!P$6:P$838,$B57)))</f>
        <v/>
      </c>
      <c r="M57" s="62" t="str" cm="1">
        <f t="array" ref="M57">IF($B57=0,IF($E57=0,"",IF(INDEX(DMAV_Dienste!Q$6:Q$140,$E57)="","",INDEX(DMAV_Dienste!Q$6:Q$140,$E57))),IF(INDEX(DMAV_Modell!R$6:R$838,$B57)="","",INDEX(DMAV_Modell!R$6:R$838,$B57)))</f>
        <v>Qualitaetsstandard</v>
      </c>
      <c r="N57" s="62" t="str" cm="1">
        <f t="array" ref="N57">IF($B57=0,IF($E57=0,"",IF(INDEX(DMAV_Dienste!T$6:T$140,$E57)="","",INDEX(DMAV_Dienste!T$6:T$140,$E57))),IF(INDEX(DMAV_Modell!U$6:U$838,$B57)="","",INDEX(DMAV_Modell!U$6:U$838,$B57)))</f>
        <v/>
      </c>
      <c r="O57" s="63" t="str" cm="1">
        <f t="array" aca="1" ref="O57" ca="1">IF(C57=0,IF(F57=0,"",HYPERLINK("#"&amp;RIGHT(CELL("adresse",OFFSET(DMAV_Dienste!$M$6,F57-1,0)),LEN(CELL("adresse",OFFSET(DMAV_Dienste!$M$6,F57-1,0)))-FIND("]",CELL("adresse",OFFSET(DMAV_Dienste!$M$6,F57-1,0)))),"Structure")),HYPERLINK("#"&amp;RIGHT(CELL("adresse",OFFSET(DMAV_Modell!$N$6,C57-1,0)),LEN(CELL("adresse",OFFSET(DMAV_Modell!$N$6,C57-1,0)))-FIND("]",CELL("adresse",OFFSET(DMAV_Modell!$N$6,C57-1,0)))),"Structure"))</f>
        <v/>
      </c>
      <c r="P57" s="64" t="str" cm="1">
        <f t="array" aca="1" ref="P57" ca="1">IF(D57=0,IF(G57=0,"",HYPERLINK("#"&amp;RIGHT(CELL("adresse",OFFSET(DMAV_Dienste!$M$6,G57-1,0)),LEN(CELL("adresse",OFFSET(DMAV_Dienste!$M$6,G57-1,0)))-FIND("]",CELL("adresse",OFFSET(DMAV_Dienste!$M$6,G57-1,0)))),"Substructure")),HYPERLINK("#"&amp;RIGHT(CELL("adresse",OFFSET(DMAV_Modell!$N$6,D57-1,0)),LEN(CELL("adresse",OFFSET(DMAV_Modell!$N$6,D57-1,0)))-FIND("]",CELL("adresse",OFFSET(DMAV_Modell!$N$6,D57-1,0)))),"Substructure"))</f>
        <v/>
      </c>
      <c r="R57" s="80"/>
      <c r="T57" s="93"/>
      <c r="U57" s="94"/>
      <c r="V57" s="95"/>
      <c r="W57" s="96"/>
      <c r="Y57" s="85"/>
      <c r="Z57" s="86"/>
      <c r="AA57" s="87"/>
      <c r="AB57" s="88"/>
      <c r="AD57" s="77"/>
      <c r="AF57" s="54" t="str" cm="1">
        <f t="array" aca="1" ref="AF57" ca="1">IF(H57=0,"",HYPERLINK("#"&amp;RIGHT(CELL("adresse",OFFSET('DM01-AV-CH'!$G$6,H57-1,0)),LEN(CELL("adresse",OFFSET('DM01-AV-CH'!$G$6,H57-1,0)))-FIND("]",CELL("adresse",OFFSET('DM01-AV-CH'!$G$6,H57-1,0)))),"Modell"))</f>
        <v>Modell</v>
      </c>
      <c r="AG57" s="72" t="str" cm="1">
        <f t="array" ref="AG57">IF($H57=0,"",IF(INDEX('DM01-AV-CH'!G$6:G$834,$H57)="","",INDEX('DM01-AV-CH'!G$6:G$834,$H57)))</f>
        <v>Allgemein</v>
      </c>
      <c r="AH57" s="73" t="str" cm="1">
        <f t="array" ref="AH57">IF($H57=0,"",IF(INDEX('DM01-AV-CH'!H$6:H$834,$H57)="","",INDEX('DM01-AV-CH'!H$6:H$834,$H57)))</f>
        <v/>
      </c>
      <c r="AI57" s="74" t="str" cm="1">
        <f t="array" ref="AI57">IF($H57=0,"",IF(INDEX('DM01-AV-CH'!I$6:I$834,$H57)="","",INDEX('DM01-AV-CH'!I$6:I$834,$H57)))</f>
        <v>Qualitaetsstandard</v>
      </c>
    </row>
    <row r="58" spans="1:35" x14ac:dyDescent="0.25">
      <c r="A58" s="57">
        <v>53</v>
      </c>
      <c r="B58" s="57">
        <f>IF($A58="","",IF(_xlfn.XLOOKUP($A58,Korrelation!$D$4:$D$1197,Korrelation!E$4:E$1197,"-",0)="-",0,MATCH(_xlfn.XLOOKUP($A58,Korrelation!$D$4:$D$1197,Korrelation!E$4:E$1197,"",0),DMAV_Modell!$G$6:$G$677,0)))</f>
        <v>0</v>
      </c>
      <c r="C58" s="57">
        <f>IF($A58="","",IF(_xlfn.XLOOKUP($A58,Korrelation!$D$4:$D$1197,Korrelation!F$4:F$1197,"-",0)="-",0,MATCH(_xlfn.XLOOKUP($A58,Korrelation!$D$4:$D$1197,Korrelation!F$4:F$1197,"",0),DMAV_Modell!$G$6:$G$677,0)))</f>
        <v>0</v>
      </c>
      <c r="D58" s="57">
        <f>IF($A58="","",IF(_xlfn.XLOOKUP($A58,Korrelation!$D$4:$D$1197,Korrelation!G$4:G$1197,"-",0)="-",0,MATCH(_xlfn.XLOOKUP($A58,Korrelation!$D$4:$D$1197,Korrelation!G$4:G$1197,"",0),DMAV_Modell!$G$6:$G$677,0)))</f>
        <v>0</v>
      </c>
      <c r="E58" s="57">
        <f>IF($A58="","",IF(_xlfn.XLOOKUP($A58,Korrelation!$D$4:$D$1197,Korrelation!H$4:H$1197,"-",0)="-",0,MATCH(_xlfn.XLOOKUP($A58,Korrelation!$D$4:$D$1197,Korrelation!H$4:H$1197,"",0),DMAV_Dienste!$F$6:$F$140,0)))</f>
        <v>0</v>
      </c>
      <c r="F58" s="57">
        <f>IF($A58="","",IF(_xlfn.XLOOKUP($A58,Korrelation!$D$4:$D$1197,Korrelation!I$4:I$1197,"-",0)="-",0,MATCH(_xlfn.XLOOKUP($A58,Korrelation!$D$4:$D$1197,Korrelation!I$4:I$1197,"",0),DMAV_Dienste!$F$6:$F$140,0)))</f>
        <v>0</v>
      </c>
      <c r="G58" s="57">
        <f>IF($A58="","",IF(_xlfn.XLOOKUP($A58,Korrelation!$D$4:$D$1197,Korrelation!J$4:J$1197,"-",0)="-",0,MATCH(_xlfn.XLOOKUP($A58,Korrelation!$D$4:$D$1197,Korrelation!J$4:J$1197,"",0),DMAV_Dienste!$F$6:$F$140,0)))</f>
        <v>0</v>
      </c>
      <c r="H58" s="57">
        <f>IF($A58="","",IF(_xlfn.XLOOKUP($A58,Korrelation!$D$4:$D$1197,Korrelation!K$4:K$1197,"-",0)="-",0,MATCH(_xlfn.XLOOKUP($A58,Korrelation!$D$4:$D$1197,Korrelation!K$4:K$1197,"",0),'DM01-AV-CH'!$A$6:$A$834,0)))</f>
        <v>12</v>
      </c>
      <c r="J58" s="54" t="str" cm="1">
        <f t="array" aca="1" ref="J58" ca="1">IF(B58=0,IF(E58=0,"",HYPERLINK("#"&amp;RIGHT(CELL("adresse",OFFSET(DMAV_Dienste!$M$6,E58-1,0)),LEN(CELL("adresse",OFFSET(DMAV_Dienste!$M$6,E58-1,0)))-FIND("]",CELL("adresse",OFFSET(DMAV_Dienste!$M$6,E58-1,0)))),"Dienst")),HYPERLINK("#"&amp;RIGHT(CELL("adresse",OFFSET(DMAV_Modell!$N$6,B58-1,0)),LEN(CELL("adresse",OFFSET(DMAV_Modell!$N$6,B58-1,0)))-FIND("]",CELL("adresse",OFFSET(DMAV_Modell!$N$6,B58-1,0)))),"Modell"))</f>
        <v/>
      </c>
      <c r="K58" s="61" t="str" cm="1">
        <f t="array" ref="K58">IF($B58=0,IF($E58=0,"",IF(INDEX(DMAV_Dienste!P$6:P$140,$E58)="","",INDEX(DMAV_Dienste!P$6:P$140,$E58))),IF(INDEX(DMAV_Modell!Q$6:Q$838,$B58)="","",INDEX(DMAV_Modell!Q$6:Q$838,$B58)))</f>
        <v/>
      </c>
      <c r="L58" s="62" t="str" cm="1">
        <f t="array" ref="L58">IF($B58=0,IF($E58=0,"",IF(INDEX(DMAV_Dienste!O$6:O$140,$E58)="","",INDEX(DMAV_Dienste!O$6:O$140,$E58))),IF(INDEX(DMAV_Modell!P$6:P$838,$B58)="","",INDEX(DMAV_Modell!P$6:P$838,$B58)))</f>
        <v/>
      </c>
      <c r="M58" s="62" t="str" cm="1">
        <f t="array" ref="M58">IF($B58=0,IF($E58=0,"",IF(INDEX(DMAV_Dienste!Q$6:Q$140,$E58)="","",INDEX(DMAV_Dienste!Q$6:Q$140,$E58))),IF(INDEX(DMAV_Modell!R$6:R$838,$B58)="","",INDEX(DMAV_Modell!R$6:R$838,$B58)))</f>
        <v/>
      </c>
      <c r="N58" s="62" t="str" cm="1">
        <f t="array" ref="N58">IF($B58=0,IF($E58=0,"",IF(INDEX(DMAV_Dienste!T$6:T$140,$E58)="","",INDEX(DMAV_Dienste!T$6:T$140,$E58))),IF(INDEX(DMAV_Modell!U$6:U$838,$B58)="","",INDEX(DMAV_Modell!U$6:U$838,$B58)))</f>
        <v/>
      </c>
      <c r="O58" s="63" t="str" cm="1">
        <f t="array" aca="1" ref="O58" ca="1">IF(C58=0,IF(F58=0,"",HYPERLINK("#"&amp;RIGHT(CELL("adresse",OFFSET(DMAV_Dienste!$M$6,F58-1,0)),LEN(CELL("adresse",OFFSET(DMAV_Dienste!$M$6,F58-1,0)))-FIND("]",CELL("adresse",OFFSET(DMAV_Dienste!$M$6,F58-1,0)))),"Structure")),HYPERLINK("#"&amp;RIGHT(CELL("adresse",OFFSET(DMAV_Modell!$N$6,C58-1,0)),LEN(CELL("adresse",OFFSET(DMAV_Modell!$N$6,C58-1,0)))-FIND("]",CELL("adresse",OFFSET(DMAV_Modell!$N$6,C58-1,0)))),"Structure"))</f>
        <v/>
      </c>
      <c r="P58" s="64" t="str" cm="1">
        <f t="array" aca="1" ref="P58" ca="1">IF(D58=0,IF(G58=0,"",HYPERLINK("#"&amp;RIGHT(CELL("adresse",OFFSET(DMAV_Dienste!$M$6,G58-1,0)),LEN(CELL("adresse",OFFSET(DMAV_Dienste!$M$6,G58-1,0)))-FIND("]",CELL("adresse",OFFSET(DMAV_Dienste!$M$6,G58-1,0)))),"Substructure")),HYPERLINK("#"&amp;RIGHT(CELL("adresse",OFFSET(DMAV_Modell!$N$6,D58-1,0)),LEN(CELL("adresse",OFFSET(DMAV_Modell!$N$6,D58-1,0)))-FIND("]",CELL("adresse",OFFSET(DMAV_Modell!$N$6,D58-1,0)))),"Substructure"))</f>
        <v/>
      </c>
      <c r="R58" s="80"/>
      <c r="T58" s="93"/>
      <c r="U58" s="94"/>
      <c r="V58" s="95"/>
      <c r="W58" s="96"/>
      <c r="Y58" s="85"/>
      <c r="Z58" s="86"/>
      <c r="AA58" s="87"/>
      <c r="AB58" s="88"/>
      <c r="AD58" s="77"/>
      <c r="AF58" s="54" t="str" cm="1">
        <f t="array" aca="1" ref="AF58" ca="1">IF(H58=0,"",HYPERLINK("#"&amp;RIGHT(CELL("adresse",OFFSET('DM01-AV-CH'!$G$6,H58-1,0)),LEN(CELL("adresse",OFFSET('DM01-AV-CH'!$G$6,H58-1,0)))-FIND("]",CELL("adresse",OFFSET('DM01-AV-CH'!$G$6,H58-1,0)))),"Modell"))</f>
        <v>Modell</v>
      </c>
      <c r="AG58" s="72" t="str" cm="1">
        <f t="array" ref="AG58">IF($H58=0,"",IF(INDEX('DM01-AV-CH'!G$6:G$834,$H58)="","",INDEX('DM01-AV-CH'!G$6:G$834,$H58)))</f>
        <v>Allgemein</v>
      </c>
      <c r="AH58" s="73" t="str" cm="1">
        <f t="array" ref="AH58">IF($H58=0,"",IF(INDEX('DM01-AV-CH'!H$6:H$834,$H58)="","",INDEX('DM01-AV-CH'!H$6:H$834,$H58)))</f>
        <v/>
      </c>
      <c r="AI58" s="74" t="str" cm="1">
        <f t="array" ref="AI58">IF($H58=0,"",IF(INDEX('DM01-AV-CH'!I$6:I$834,$H58)="","",INDEX('DM01-AV-CH'!I$6:I$834,$H58)))</f>
        <v>Qualitaetsstandard</v>
      </c>
    </row>
    <row r="59" spans="1:35" x14ac:dyDescent="0.25">
      <c r="A59" s="57">
        <v>54</v>
      </c>
      <c r="B59" s="57">
        <f>IF($A59="","",IF(_xlfn.XLOOKUP($A59,Korrelation!$D$4:$D$1197,Korrelation!E$4:E$1197,"-",0)="-",0,MATCH(_xlfn.XLOOKUP($A59,Korrelation!$D$4:$D$1197,Korrelation!E$4:E$1197,"",0),DMAV_Modell!$G$6:$G$677,0)))</f>
        <v>0</v>
      </c>
      <c r="C59" s="57">
        <f>IF($A59="","",IF(_xlfn.XLOOKUP($A59,Korrelation!$D$4:$D$1197,Korrelation!F$4:F$1197,"-",0)="-",0,MATCH(_xlfn.XLOOKUP($A59,Korrelation!$D$4:$D$1197,Korrelation!F$4:F$1197,"",0),DMAV_Modell!$G$6:$G$677,0)))</f>
        <v>0</v>
      </c>
      <c r="D59" s="57">
        <f>IF($A59="","",IF(_xlfn.XLOOKUP($A59,Korrelation!$D$4:$D$1197,Korrelation!G$4:G$1197,"-",0)="-",0,MATCH(_xlfn.XLOOKUP($A59,Korrelation!$D$4:$D$1197,Korrelation!G$4:G$1197,"",0),DMAV_Modell!$G$6:$G$677,0)))</f>
        <v>0</v>
      </c>
      <c r="E59" s="57">
        <f>IF($A59="","",IF(_xlfn.XLOOKUP($A59,Korrelation!$D$4:$D$1197,Korrelation!H$4:H$1197,"-",0)="-",0,MATCH(_xlfn.XLOOKUP($A59,Korrelation!$D$4:$D$1197,Korrelation!H$4:H$1197,"",0),DMAV_Dienste!$F$6:$F$140,0)))</f>
        <v>0</v>
      </c>
      <c r="F59" s="57">
        <f>IF($A59="","",IF(_xlfn.XLOOKUP($A59,Korrelation!$D$4:$D$1197,Korrelation!I$4:I$1197,"-",0)="-",0,MATCH(_xlfn.XLOOKUP($A59,Korrelation!$D$4:$D$1197,Korrelation!I$4:I$1197,"",0),DMAV_Dienste!$F$6:$F$140,0)))</f>
        <v>0</v>
      </c>
      <c r="G59" s="57">
        <f>IF($A59="","",IF(_xlfn.XLOOKUP($A59,Korrelation!$D$4:$D$1197,Korrelation!J$4:J$1197,"-",0)="-",0,MATCH(_xlfn.XLOOKUP($A59,Korrelation!$D$4:$D$1197,Korrelation!J$4:J$1197,"",0),DMAV_Dienste!$F$6:$F$140,0)))</f>
        <v>0</v>
      </c>
      <c r="H59" s="57">
        <f>IF($A59="","",IF(_xlfn.XLOOKUP($A59,Korrelation!$D$4:$D$1197,Korrelation!K$4:K$1197,"-",0)="-",0,MATCH(_xlfn.XLOOKUP($A59,Korrelation!$D$4:$D$1197,Korrelation!K$4:K$1197,"",0),'DM01-AV-CH'!$A$6:$A$834,0)))</f>
        <v>13</v>
      </c>
      <c r="J59" s="54" t="str" cm="1">
        <f t="array" aca="1" ref="J59" ca="1">IF(B59=0,IF(E59=0,"",HYPERLINK("#"&amp;RIGHT(CELL("adresse",OFFSET(DMAV_Dienste!$M$6,E59-1,0)),LEN(CELL("adresse",OFFSET(DMAV_Dienste!$M$6,E59-1,0)))-FIND("]",CELL("adresse",OFFSET(DMAV_Dienste!$M$6,E59-1,0)))),"Dienst")),HYPERLINK("#"&amp;RIGHT(CELL("adresse",OFFSET(DMAV_Modell!$N$6,B59-1,0)),LEN(CELL("adresse",OFFSET(DMAV_Modell!$N$6,B59-1,0)))-FIND("]",CELL("adresse",OFFSET(DMAV_Modell!$N$6,B59-1,0)))),"Modell"))</f>
        <v/>
      </c>
      <c r="K59" s="61" t="str" cm="1">
        <f t="array" ref="K59">IF($B59=0,IF($E59=0,"",IF(INDEX(DMAV_Dienste!P$6:P$140,$E59)="","",INDEX(DMAV_Dienste!P$6:P$140,$E59))),IF(INDEX(DMAV_Modell!Q$6:Q$838,$B59)="","",INDEX(DMAV_Modell!Q$6:Q$838,$B59)))</f>
        <v/>
      </c>
      <c r="L59" s="62" t="str" cm="1">
        <f t="array" ref="L59">IF($B59=0,IF($E59=0,"",IF(INDEX(DMAV_Dienste!O$6:O$140,$E59)="","",INDEX(DMAV_Dienste!O$6:O$140,$E59))),IF(INDEX(DMAV_Modell!P$6:P$838,$B59)="","",INDEX(DMAV_Modell!P$6:P$838,$B59)))</f>
        <v/>
      </c>
      <c r="M59" s="62" t="str" cm="1">
        <f t="array" ref="M59">IF($B59=0,IF($E59=0,"",IF(INDEX(DMAV_Dienste!Q$6:Q$140,$E59)="","",INDEX(DMAV_Dienste!Q$6:Q$140,$E59))),IF(INDEX(DMAV_Modell!R$6:R$838,$B59)="","",INDEX(DMAV_Modell!R$6:R$838,$B59)))</f>
        <v/>
      </c>
      <c r="N59" s="62" t="str" cm="1">
        <f t="array" ref="N59">IF($B59=0,IF($E59=0,"",IF(INDEX(DMAV_Dienste!T$6:T$140,$E59)="","",INDEX(DMAV_Dienste!T$6:T$140,$E59))),IF(INDEX(DMAV_Modell!U$6:U$838,$B59)="","",INDEX(DMAV_Modell!U$6:U$838,$B59)))</f>
        <v/>
      </c>
      <c r="O59" s="63" t="str" cm="1">
        <f t="array" aca="1" ref="O59" ca="1">IF(C59=0,IF(F59=0,"",HYPERLINK("#"&amp;RIGHT(CELL("adresse",OFFSET(DMAV_Dienste!$M$6,F59-1,0)),LEN(CELL("adresse",OFFSET(DMAV_Dienste!$M$6,F59-1,0)))-FIND("]",CELL("adresse",OFFSET(DMAV_Dienste!$M$6,F59-1,0)))),"Structure")),HYPERLINK("#"&amp;RIGHT(CELL("adresse",OFFSET(DMAV_Modell!$N$6,C59-1,0)),LEN(CELL("adresse",OFFSET(DMAV_Modell!$N$6,C59-1,0)))-FIND("]",CELL("adresse",OFFSET(DMAV_Modell!$N$6,C59-1,0)))),"Structure"))</f>
        <v/>
      </c>
      <c r="P59" s="64" t="str" cm="1">
        <f t="array" aca="1" ref="P59" ca="1">IF(D59=0,IF(G59=0,"",HYPERLINK("#"&amp;RIGHT(CELL("adresse",OFFSET(DMAV_Dienste!$M$6,G59-1,0)),LEN(CELL("adresse",OFFSET(DMAV_Dienste!$M$6,G59-1,0)))-FIND("]",CELL("adresse",OFFSET(DMAV_Dienste!$M$6,G59-1,0)))),"Substructure")),HYPERLINK("#"&amp;RIGHT(CELL("adresse",OFFSET(DMAV_Modell!$N$6,D59-1,0)),LEN(CELL("adresse",OFFSET(DMAV_Modell!$N$6,D59-1,0)))-FIND("]",CELL("adresse",OFFSET(DMAV_Modell!$N$6,D59-1,0)))),"Substructure"))</f>
        <v/>
      </c>
      <c r="R59" s="80"/>
      <c r="T59" s="93"/>
      <c r="U59" s="94"/>
      <c r="V59" s="95"/>
      <c r="W59" s="96"/>
      <c r="Y59" s="85"/>
      <c r="Z59" s="86"/>
      <c r="AA59" s="87"/>
      <c r="AB59" s="88"/>
      <c r="AD59" s="77"/>
      <c r="AF59" s="54" t="str" cm="1">
        <f t="array" aca="1" ref="AF59" ca="1">IF(H59=0,"",HYPERLINK("#"&amp;RIGHT(CELL("adresse",OFFSET('DM01-AV-CH'!$G$6,H59-1,0)),LEN(CELL("adresse",OFFSET('DM01-AV-CH'!$G$6,H59-1,0)))-FIND("]",CELL("adresse",OFFSET('DM01-AV-CH'!$G$6,H59-1,0)))),"Modell"))</f>
        <v>Modell</v>
      </c>
      <c r="AG59" s="72" t="str" cm="1">
        <f t="array" ref="AG59">IF($H59=0,"",IF(INDEX('DM01-AV-CH'!G$6:G$834,$H59)="","",INDEX('DM01-AV-CH'!G$6:G$834,$H59)))</f>
        <v>Allgemein</v>
      </c>
      <c r="AH59" s="73" t="str" cm="1">
        <f t="array" ref="AH59">IF($H59=0,"",IF(INDEX('DM01-AV-CH'!H$6:H$834,$H59)="","",INDEX('DM01-AV-CH'!H$6:H$834,$H59)))</f>
        <v/>
      </c>
      <c r="AI59" s="74" t="str" cm="1">
        <f t="array" ref="AI59">IF($H59=0,"",IF(INDEX('DM01-AV-CH'!I$6:I$834,$H59)="","",INDEX('DM01-AV-CH'!I$6:I$834,$H59)))</f>
        <v>Qualitaetsstandard</v>
      </c>
    </row>
    <row r="60" spans="1:35" x14ac:dyDescent="0.25">
      <c r="A60" s="57">
        <v>55</v>
      </c>
      <c r="B60" s="57">
        <f>IF($A60="","",IF(_xlfn.XLOOKUP($A60,Korrelation!$D$4:$D$1197,Korrelation!E$4:E$1197,"-",0)="-",0,MATCH(_xlfn.XLOOKUP($A60,Korrelation!$D$4:$D$1197,Korrelation!E$4:E$1197,"",0),DMAV_Modell!$G$6:$G$677,0)))</f>
        <v>44</v>
      </c>
      <c r="C60" s="57">
        <f>IF($A60="","",IF(_xlfn.XLOOKUP($A60,Korrelation!$D$4:$D$1197,Korrelation!F$4:F$1197,"-",0)="-",0,MATCH(_xlfn.XLOOKUP($A60,Korrelation!$D$4:$D$1197,Korrelation!F$4:F$1197,"",0),DMAV_Modell!$G$6:$G$677,0)))</f>
        <v>0</v>
      </c>
      <c r="D60" s="57">
        <f>IF($A60="","",IF(_xlfn.XLOOKUP($A60,Korrelation!$D$4:$D$1197,Korrelation!G$4:G$1197,"-",0)="-",0,MATCH(_xlfn.XLOOKUP($A60,Korrelation!$D$4:$D$1197,Korrelation!G$4:G$1197,"",0),DMAV_Modell!$G$6:$G$677,0)))</f>
        <v>0</v>
      </c>
      <c r="E60" s="57">
        <f>IF($A60="","",IF(_xlfn.XLOOKUP($A60,Korrelation!$D$4:$D$1197,Korrelation!H$4:H$1197,"-",0)="-",0,MATCH(_xlfn.XLOOKUP($A60,Korrelation!$D$4:$D$1197,Korrelation!H$4:H$1197,"",0),DMAV_Dienste!$F$6:$F$140,0)))</f>
        <v>0</v>
      </c>
      <c r="F60" s="57">
        <f>IF($A60="","",IF(_xlfn.XLOOKUP($A60,Korrelation!$D$4:$D$1197,Korrelation!I$4:I$1197,"-",0)="-",0,MATCH(_xlfn.XLOOKUP($A60,Korrelation!$D$4:$D$1197,Korrelation!I$4:I$1197,"",0),DMAV_Dienste!$F$6:$F$140,0)))</f>
        <v>0</v>
      </c>
      <c r="G60" s="57">
        <f>IF($A60="","",IF(_xlfn.XLOOKUP($A60,Korrelation!$D$4:$D$1197,Korrelation!J$4:J$1197,"-",0)="-",0,MATCH(_xlfn.XLOOKUP($A60,Korrelation!$D$4:$D$1197,Korrelation!J$4:J$1197,"",0),DMAV_Dienste!$F$6:$F$140,0)))</f>
        <v>0</v>
      </c>
      <c r="H60" s="57">
        <f>IF($A60="","",IF(_xlfn.XLOOKUP($A60,Korrelation!$D$4:$D$1197,Korrelation!K$4:K$1197,"-",0)="-",0,MATCH(_xlfn.XLOOKUP($A60,Korrelation!$D$4:$D$1197,Korrelation!K$4:K$1197,"",0),'DM01-AV-CH'!$A$6:$A$834,0)))</f>
        <v>0</v>
      </c>
      <c r="J60" s="54" t="str" cm="1">
        <f t="array" aca="1" ref="J60" ca="1">IF(B60=0,IF(E60=0,"",HYPERLINK("#"&amp;RIGHT(CELL("adresse",OFFSET(DMAV_Dienste!$M$6,E60-1,0)),LEN(CELL("adresse",OFFSET(DMAV_Dienste!$M$6,E60-1,0)))-FIND("]",CELL("adresse",OFFSET(DMAV_Dienste!$M$6,E60-1,0)))),"Dienst")),HYPERLINK("#"&amp;RIGHT(CELL("adresse",OFFSET(DMAV_Modell!$N$6,B60-1,0)),LEN(CELL("adresse",OFFSET(DMAV_Modell!$N$6,B60-1,0)))-FIND("]",CELL("adresse",OFFSET(DMAV_Modell!$N$6,B60-1,0)))),"Modell"))</f>
        <v>Modell</v>
      </c>
      <c r="K60" s="61" t="str" cm="1">
        <f t="array" ref="K60">IF($B60=0,IF($E60=0,"",IF(INDEX(DMAV_Dienste!P$6:P$140,$E60)="","",INDEX(DMAV_Dienste!P$6:P$140,$E60))),IF(INDEX(DMAV_Modell!Q$6:Q$838,$B60)="","",INDEX(DMAV_Modell!Q$6:Q$838,$B60)))</f>
        <v>FUNCTION</v>
      </c>
      <c r="L60" s="62" t="str" cm="1">
        <f t="array" ref="L60">IF($B60=0,IF($E60=0,"",IF(INDEX(DMAV_Dienste!O$6:O$140,$E60)="","",INDEX(DMAV_Dienste!O$6:O$140,$E60))),IF(INDEX(DMAV_Modell!P$6:P$838,$B60)="","",INDEX(DMAV_Modell!P$6:P$838,$B60)))</f>
        <v/>
      </c>
      <c r="M60" s="62" t="str" cm="1">
        <f t="array" ref="M60">IF($B60=0,IF($E60=0,"",IF(INDEX(DMAV_Dienste!Q$6:Q$140,$E60)="","",INDEX(DMAV_Dienste!Q$6:Q$140,$E60))),IF(INDEX(DMAV_Modell!R$6:R$838,$B60)="","",INDEX(DMAV_Modell!R$6:R$838,$B60)))</f>
        <v>covers</v>
      </c>
      <c r="N60" s="62" t="str" cm="1">
        <f t="array" ref="N60">IF($B60=0,IF($E60=0,"",IF(INDEX(DMAV_Dienste!T$6:T$140,$E60)="","",INDEX(DMAV_Dienste!T$6:T$140,$E60))),IF(INDEX(DMAV_Modell!U$6:U$838,$B60)="","",INDEX(DMAV_Modell!U$6:U$838,$B60)))</f>
        <v>SurfaceObjects: CLASS;
SurfaceAttr: ATTRIBUTE;
MultiLineObject: ANYSTRUCTURE;
MultiLineAttr: ATTRIBUTE</v>
      </c>
      <c r="O60" s="63" t="str" cm="1">
        <f t="array" aca="1" ref="O60" ca="1">IF(C60=0,IF(F60=0,"",HYPERLINK("#"&amp;RIGHT(CELL("adresse",OFFSET(DMAV_Dienste!$M$6,F60-1,0)),LEN(CELL("adresse",OFFSET(DMAV_Dienste!$M$6,F60-1,0)))-FIND("]",CELL("adresse",OFFSET(DMAV_Dienste!$M$6,F60-1,0)))),"Structure")),HYPERLINK("#"&amp;RIGHT(CELL("adresse",OFFSET(DMAV_Modell!$N$6,C60-1,0)),LEN(CELL("adresse",OFFSET(DMAV_Modell!$N$6,C60-1,0)))-FIND("]",CELL("adresse",OFFSET(DMAV_Modell!$N$6,C60-1,0)))),"Structure"))</f>
        <v/>
      </c>
      <c r="P60" s="64" t="str" cm="1">
        <f t="array" aca="1" ref="P60" ca="1">IF(D60=0,IF(G60=0,"",HYPERLINK("#"&amp;RIGHT(CELL("adresse",OFFSET(DMAV_Dienste!$M$6,G60-1,0)),LEN(CELL("adresse",OFFSET(DMAV_Dienste!$M$6,G60-1,0)))-FIND("]",CELL("adresse",OFFSET(DMAV_Dienste!$M$6,G60-1,0)))),"Substructure")),HYPERLINK("#"&amp;RIGHT(CELL("adresse",OFFSET(DMAV_Modell!$N$6,D60-1,0)),LEN(CELL("adresse",OFFSET(DMAV_Modell!$N$6,D60-1,0)))-FIND("]",CELL("adresse",OFFSET(DMAV_Modell!$N$6,D60-1,0)))),"Substructure"))</f>
        <v/>
      </c>
      <c r="R60" s="80"/>
      <c r="T60" s="93"/>
      <c r="U60" s="94"/>
      <c r="V60" s="95"/>
      <c r="W60" s="96"/>
      <c r="Y60" s="85"/>
      <c r="Z60" s="86"/>
      <c r="AA60" s="87"/>
      <c r="AB60" s="88"/>
      <c r="AD60" s="77"/>
      <c r="AF60" s="54" t="str" cm="1">
        <f t="array" aca="1" ref="AF60" ca="1">IF(H60=0,"",HYPERLINK("#"&amp;RIGHT(CELL("adresse",OFFSET('DM01-AV-CH'!$G$6,H60-1,0)),LEN(CELL("adresse",OFFSET('DM01-AV-CH'!$G$6,H60-1,0)))-FIND("]",CELL("adresse",OFFSET('DM01-AV-CH'!$G$6,H60-1,0)))),"Modell"))</f>
        <v/>
      </c>
      <c r="AG60" s="72" t="str" cm="1">
        <f t="array" ref="AG60">IF($H60=0,"",IF(INDEX('DM01-AV-CH'!G$6:G$834,$H60)="","",INDEX('DM01-AV-CH'!G$6:G$834,$H60)))</f>
        <v/>
      </c>
      <c r="AH60" s="73" t="str" cm="1">
        <f t="array" ref="AH60">IF($H60=0,"",IF(INDEX('DM01-AV-CH'!H$6:H$834,$H60)="","",INDEX('DM01-AV-CH'!H$6:H$834,$H60)))</f>
        <v/>
      </c>
      <c r="AI60" s="74" t="str" cm="1">
        <f t="array" ref="AI60">IF($H60=0,"",IF(INDEX('DM01-AV-CH'!I$6:I$834,$H60)="","",INDEX('DM01-AV-CH'!I$6:I$834,$H60)))</f>
        <v/>
      </c>
    </row>
    <row r="61" spans="1:35" x14ac:dyDescent="0.25">
      <c r="A61" s="57">
        <v>56</v>
      </c>
      <c r="B61" s="57">
        <f>IF($A61="","",IF(_xlfn.XLOOKUP($A61,Korrelation!$D$4:$D$1197,Korrelation!E$4:E$1197,"-",0)="-",0,MATCH(_xlfn.XLOOKUP($A61,Korrelation!$D$4:$D$1197,Korrelation!E$4:E$1197,"",0),DMAV_Modell!$G$6:$G$677,0)))</f>
        <v>45</v>
      </c>
      <c r="C61" s="57">
        <f>IF($A61="","",IF(_xlfn.XLOOKUP($A61,Korrelation!$D$4:$D$1197,Korrelation!F$4:F$1197,"-",0)="-",0,MATCH(_xlfn.XLOOKUP($A61,Korrelation!$D$4:$D$1197,Korrelation!F$4:F$1197,"",0),DMAV_Modell!$G$6:$G$677,0)))</f>
        <v>0</v>
      </c>
      <c r="D61" s="57">
        <f>IF($A61="","",IF(_xlfn.XLOOKUP($A61,Korrelation!$D$4:$D$1197,Korrelation!G$4:G$1197,"-",0)="-",0,MATCH(_xlfn.XLOOKUP($A61,Korrelation!$D$4:$D$1197,Korrelation!G$4:G$1197,"",0),DMAV_Modell!$G$6:$G$677,0)))</f>
        <v>0</v>
      </c>
      <c r="E61" s="57">
        <f>IF($A61="","",IF(_xlfn.XLOOKUP($A61,Korrelation!$D$4:$D$1197,Korrelation!H$4:H$1197,"-",0)="-",0,MATCH(_xlfn.XLOOKUP($A61,Korrelation!$D$4:$D$1197,Korrelation!H$4:H$1197,"",0),DMAV_Dienste!$F$6:$F$140,0)))</f>
        <v>0</v>
      </c>
      <c r="F61" s="57">
        <f>IF($A61="","",IF(_xlfn.XLOOKUP($A61,Korrelation!$D$4:$D$1197,Korrelation!I$4:I$1197,"-",0)="-",0,MATCH(_xlfn.XLOOKUP($A61,Korrelation!$D$4:$D$1197,Korrelation!I$4:I$1197,"",0),DMAV_Dienste!$F$6:$F$140,0)))</f>
        <v>0</v>
      </c>
      <c r="G61" s="57">
        <f>IF($A61="","",IF(_xlfn.XLOOKUP($A61,Korrelation!$D$4:$D$1197,Korrelation!J$4:J$1197,"-",0)="-",0,MATCH(_xlfn.XLOOKUP($A61,Korrelation!$D$4:$D$1197,Korrelation!J$4:J$1197,"",0),DMAV_Dienste!$F$6:$F$140,0)))</f>
        <v>0</v>
      </c>
      <c r="H61" s="57">
        <f>IF($A61="","",IF(_xlfn.XLOOKUP($A61,Korrelation!$D$4:$D$1197,Korrelation!K$4:K$1197,"-",0)="-",0,MATCH(_xlfn.XLOOKUP($A61,Korrelation!$D$4:$D$1197,Korrelation!K$4:K$1197,"",0),'DM01-AV-CH'!$A$6:$A$834,0)))</f>
        <v>21</v>
      </c>
      <c r="J61" s="54" t="str" cm="1">
        <f t="array" aca="1" ref="J61" ca="1">IF(B61=0,IF(E61=0,"",HYPERLINK("#"&amp;RIGHT(CELL("adresse",OFFSET(DMAV_Dienste!$M$6,E61-1,0)),LEN(CELL("adresse",OFFSET(DMAV_Dienste!$M$6,E61-1,0)))-FIND("]",CELL("adresse",OFFSET(DMAV_Dienste!$M$6,E61-1,0)))),"Dienst")),HYPERLINK("#"&amp;RIGHT(CELL("adresse",OFFSET(DMAV_Modell!$N$6,B61-1,0)),LEN(CELL("adresse",OFFSET(DMAV_Modell!$N$6,B61-1,0)))-FIND("]",CELL("adresse",OFFSET(DMAV_Modell!$N$6,B61-1,0)))),"Modell"))</f>
        <v>Modell</v>
      </c>
      <c r="K61" s="61" t="str" cm="1">
        <f t="array" ref="K61">IF($B61=0,IF($E61=0,"",IF(INDEX(DMAV_Dienste!P$6:P$140,$E61)="","",INDEX(DMAV_Dienste!P$6:P$140,$E61))),IF(INDEX(DMAV_Modell!Q$6:Q$838,$B61)="","",INDEX(DMAV_Modell!Q$6:Q$838,$B61)))</f>
        <v>DOMAIN</v>
      </c>
      <c r="L61" s="62" t="str" cm="1">
        <f t="array" ref="L61">IF($B61=0,IF($E61=0,"",IF(INDEX(DMAV_Dienste!O$6:O$140,$E61)="","",INDEX(DMAV_Dienste!O$6:O$140,$E61))),IF(INDEX(DMAV_Modell!P$6:P$838,$B61)="","",INDEX(DMAV_Modell!P$6:P$838,$B61)))</f>
        <v/>
      </c>
      <c r="M61" s="62" t="str" cm="1">
        <f t="array" ref="M61">IF($B61=0,IF($E61=0,"",IF(INDEX(DMAV_Dienste!Q$6:Q$140,$E61)="","",INDEX(DMAV_Dienste!Q$6:Q$140,$E61))),IF(INDEX(DMAV_Modell!R$6:R$838,$B61)="","",INDEX(DMAV_Modell!R$6:R$838,$B61)))</f>
        <v>Versicherungsart</v>
      </c>
      <c r="N61" s="62" t="str" cm="1">
        <f t="array" ref="N61">IF($B61=0,IF($E61=0,"",IF(INDEX(DMAV_Dienste!T$6:T$140,$E61)="","",INDEX(DMAV_Dienste!T$6:T$140,$E61))),IF(INDEX(DMAV_Modell!U$6:U$838,$B61)="","",INDEX(DMAV_Modell!U$6:U$838,$B61)))</f>
        <v/>
      </c>
      <c r="O61" s="63" t="str" cm="1">
        <f t="array" aca="1" ref="O61" ca="1">IF(C61=0,IF(F61=0,"",HYPERLINK("#"&amp;RIGHT(CELL("adresse",OFFSET(DMAV_Dienste!$M$6,F61-1,0)),LEN(CELL("adresse",OFFSET(DMAV_Dienste!$M$6,F61-1,0)))-FIND("]",CELL("adresse",OFFSET(DMAV_Dienste!$M$6,F61-1,0)))),"Structure")),HYPERLINK("#"&amp;RIGHT(CELL("adresse",OFFSET(DMAV_Modell!$N$6,C61-1,0)),LEN(CELL("adresse",OFFSET(DMAV_Modell!$N$6,C61-1,0)))-FIND("]",CELL("adresse",OFFSET(DMAV_Modell!$N$6,C61-1,0)))),"Structure"))</f>
        <v/>
      </c>
      <c r="P61" s="64" t="str" cm="1">
        <f t="array" aca="1" ref="P61" ca="1">IF(D61=0,IF(G61=0,"",HYPERLINK("#"&amp;RIGHT(CELL("adresse",OFFSET(DMAV_Dienste!$M$6,G61-1,0)),LEN(CELL("adresse",OFFSET(DMAV_Dienste!$M$6,G61-1,0)))-FIND("]",CELL("adresse",OFFSET(DMAV_Dienste!$M$6,G61-1,0)))),"Substructure")),HYPERLINK("#"&amp;RIGHT(CELL("adresse",OFFSET(DMAV_Modell!$N$6,D61-1,0)),LEN(CELL("adresse",OFFSET(DMAV_Modell!$N$6,D61-1,0)))-FIND("]",CELL("adresse",OFFSET(DMAV_Modell!$N$6,D61-1,0)))),"Substructure"))</f>
        <v/>
      </c>
      <c r="R61" s="80"/>
      <c r="T61" s="93"/>
      <c r="U61" s="94"/>
      <c r="V61" s="95"/>
      <c r="W61" s="96"/>
      <c r="Y61" s="85"/>
      <c r="Z61" s="86"/>
      <c r="AA61" s="87"/>
      <c r="AB61" s="88"/>
      <c r="AD61" s="77"/>
      <c r="AF61" s="54" t="str" cm="1">
        <f t="array" aca="1" ref="AF61" ca="1">IF(H61=0,"",HYPERLINK("#"&amp;RIGHT(CELL("adresse",OFFSET('DM01-AV-CH'!$G$6,H61-1,0)),LEN(CELL("adresse",OFFSET('DM01-AV-CH'!$G$6,H61-1,0)))-FIND("]",CELL("adresse",OFFSET('DM01-AV-CH'!$G$6,H61-1,0)))),"Modell"))</f>
        <v>Modell</v>
      </c>
      <c r="AG61" s="72" t="str" cm="1">
        <f t="array" ref="AG61">IF($H61=0,"",IF(INDEX('DM01-AV-CH'!G$6:G$834,$H61)="","",INDEX('DM01-AV-CH'!G$6:G$834,$H61)))</f>
        <v>Allgemein</v>
      </c>
      <c r="AH61" s="73" t="str" cm="1">
        <f t="array" ref="AH61">IF($H61=0,"",IF(INDEX('DM01-AV-CH'!H$6:H$834,$H61)="","",INDEX('DM01-AV-CH'!H$6:H$834,$H61)))</f>
        <v/>
      </c>
      <c r="AI61" s="74" t="str" cm="1">
        <f t="array" ref="AI61">IF($H61=0,"",IF(INDEX('DM01-AV-CH'!I$6:I$834,$H61)="","",INDEX('DM01-AV-CH'!I$6:I$834,$H61)))</f>
        <v>Versicherungsart</v>
      </c>
    </row>
    <row r="62" spans="1:35" x14ac:dyDescent="0.25">
      <c r="A62" s="57">
        <v>57</v>
      </c>
      <c r="B62" s="57">
        <f>IF($A62="","",IF(_xlfn.XLOOKUP($A62,Korrelation!$D$4:$D$1197,Korrelation!E$4:E$1197,"-",0)="-",0,MATCH(_xlfn.XLOOKUP($A62,Korrelation!$D$4:$D$1197,Korrelation!E$4:E$1197,"",0),DMAV_Modell!$G$6:$G$677,0)))</f>
        <v>46</v>
      </c>
      <c r="C62" s="57">
        <f>IF($A62="","",IF(_xlfn.XLOOKUP($A62,Korrelation!$D$4:$D$1197,Korrelation!F$4:F$1197,"-",0)="-",0,MATCH(_xlfn.XLOOKUP($A62,Korrelation!$D$4:$D$1197,Korrelation!F$4:F$1197,"",0),DMAV_Modell!$G$6:$G$677,0)))</f>
        <v>0</v>
      </c>
      <c r="D62" s="57">
        <f>IF($A62="","",IF(_xlfn.XLOOKUP($A62,Korrelation!$D$4:$D$1197,Korrelation!G$4:G$1197,"-",0)="-",0,MATCH(_xlfn.XLOOKUP($A62,Korrelation!$D$4:$D$1197,Korrelation!G$4:G$1197,"",0),DMAV_Modell!$G$6:$G$677,0)))</f>
        <v>0</v>
      </c>
      <c r="E62" s="57">
        <f>IF($A62="","",IF(_xlfn.XLOOKUP($A62,Korrelation!$D$4:$D$1197,Korrelation!H$4:H$1197,"-",0)="-",0,MATCH(_xlfn.XLOOKUP($A62,Korrelation!$D$4:$D$1197,Korrelation!H$4:H$1197,"",0),DMAV_Dienste!$F$6:$F$140,0)))</f>
        <v>0</v>
      </c>
      <c r="F62" s="57">
        <f>IF($A62="","",IF(_xlfn.XLOOKUP($A62,Korrelation!$D$4:$D$1197,Korrelation!I$4:I$1197,"-",0)="-",0,MATCH(_xlfn.XLOOKUP($A62,Korrelation!$D$4:$D$1197,Korrelation!I$4:I$1197,"",0),DMAV_Dienste!$F$6:$F$140,0)))</f>
        <v>0</v>
      </c>
      <c r="G62" s="57">
        <f>IF($A62="","",IF(_xlfn.XLOOKUP($A62,Korrelation!$D$4:$D$1197,Korrelation!J$4:J$1197,"-",0)="-",0,MATCH(_xlfn.XLOOKUP($A62,Korrelation!$D$4:$D$1197,Korrelation!J$4:J$1197,"",0),DMAV_Dienste!$F$6:$F$140,0)))</f>
        <v>0</v>
      </c>
      <c r="H62" s="57">
        <f>IF($A62="","",IF(_xlfn.XLOOKUP($A62,Korrelation!$D$4:$D$1197,Korrelation!K$4:K$1197,"-",0)="-",0,MATCH(_xlfn.XLOOKUP($A62,Korrelation!$D$4:$D$1197,Korrelation!K$4:K$1197,"",0),'DM01-AV-CH'!$A$6:$A$834,0)))</f>
        <v>22</v>
      </c>
      <c r="J62" s="54" t="str" cm="1">
        <f t="array" aca="1" ref="J62" ca="1">IF(B62=0,IF(E62=0,"",HYPERLINK("#"&amp;RIGHT(CELL("adresse",OFFSET(DMAV_Dienste!$M$6,E62-1,0)),LEN(CELL("adresse",OFFSET(DMAV_Dienste!$M$6,E62-1,0)))-FIND("]",CELL("adresse",OFFSET(DMAV_Dienste!$M$6,E62-1,0)))),"Dienst")),HYPERLINK("#"&amp;RIGHT(CELL("adresse",OFFSET(DMAV_Modell!$N$6,B62-1,0)),LEN(CELL("adresse",OFFSET(DMAV_Modell!$N$6,B62-1,0)))-FIND("]",CELL("adresse",OFFSET(DMAV_Modell!$N$6,B62-1,0)))),"Modell"))</f>
        <v>Modell</v>
      </c>
      <c r="K62" s="61" t="str" cm="1">
        <f t="array" ref="K62">IF($B62=0,IF($E62=0,"",IF(INDEX(DMAV_Dienste!P$6:P$140,$E62)="","",INDEX(DMAV_Dienste!P$6:P$140,$E62))),IF(INDEX(DMAV_Modell!Q$6:Q$838,$B62)="","",INDEX(DMAV_Modell!Q$6:Q$838,$B62)))</f>
        <v>DOMAIN</v>
      </c>
      <c r="L62" s="62" t="str" cm="1">
        <f t="array" ref="L62">IF($B62=0,IF($E62=0,"",IF(INDEX(DMAV_Dienste!O$6:O$140,$E62)="","",INDEX(DMAV_Dienste!O$6:O$140,$E62))),IF(INDEX(DMAV_Modell!P$6:P$838,$B62)="","",INDEX(DMAV_Modell!P$6:P$838,$B62)))</f>
        <v/>
      </c>
      <c r="M62" s="62" t="str" cm="1">
        <f t="array" ref="M62">IF($B62=0,IF($E62=0,"",IF(INDEX(DMAV_Dienste!Q$6:Q$140,$E62)="","",INDEX(DMAV_Dienste!Q$6:Q$140,$E62))),IF(INDEX(DMAV_Modell!R$6:R$838,$B62)="","",INDEX(DMAV_Modell!R$6:R$838,$B62)))</f>
        <v>Versicherungsart</v>
      </c>
      <c r="N62" s="62" t="str" cm="1">
        <f t="array" ref="N62">IF($B62=0,IF($E62=0,"",IF(INDEX(DMAV_Dienste!T$6:T$140,$E62)="","",INDEX(DMAV_Dienste!T$6:T$140,$E62))),IF(INDEX(DMAV_Modell!U$6:U$838,$B62)="","",INDEX(DMAV_Modell!U$6:U$838,$B62)))</f>
        <v/>
      </c>
      <c r="O62" s="63" t="str" cm="1">
        <f t="array" aca="1" ref="O62" ca="1">IF(C62=0,IF(F62=0,"",HYPERLINK("#"&amp;RIGHT(CELL("adresse",OFFSET(DMAV_Dienste!$M$6,F62-1,0)),LEN(CELL("adresse",OFFSET(DMAV_Dienste!$M$6,F62-1,0)))-FIND("]",CELL("adresse",OFFSET(DMAV_Dienste!$M$6,F62-1,0)))),"Structure")),HYPERLINK("#"&amp;RIGHT(CELL("adresse",OFFSET(DMAV_Modell!$N$6,C62-1,0)),LEN(CELL("adresse",OFFSET(DMAV_Modell!$N$6,C62-1,0)))-FIND("]",CELL("adresse",OFFSET(DMAV_Modell!$N$6,C62-1,0)))),"Structure"))</f>
        <v/>
      </c>
      <c r="P62" s="64" t="str" cm="1">
        <f t="array" aca="1" ref="P62" ca="1">IF(D62=0,IF(G62=0,"",HYPERLINK("#"&amp;RIGHT(CELL("adresse",OFFSET(DMAV_Dienste!$M$6,G62-1,0)),LEN(CELL("adresse",OFFSET(DMAV_Dienste!$M$6,G62-1,0)))-FIND("]",CELL("adresse",OFFSET(DMAV_Dienste!$M$6,G62-1,0)))),"Substructure")),HYPERLINK("#"&amp;RIGHT(CELL("adresse",OFFSET(DMAV_Modell!$N$6,D62-1,0)),LEN(CELL("adresse",OFFSET(DMAV_Modell!$N$6,D62-1,0)))-FIND("]",CELL("adresse",OFFSET(DMAV_Modell!$N$6,D62-1,0)))),"Substructure"))</f>
        <v/>
      </c>
      <c r="R62" s="80"/>
      <c r="T62" s="93"/>
      <c r="U62" s="94"/>
      <c r="V62" s="95"/>
      <c r="W62" s="96"/>
      <c r="Y62" s="85"/>
      <c r="Z62" s="86"/>
      <c r="AA62" s="87"/>
      <c r="AB62" s="88"/>
      <c r="AD62" s="77"/>
      <c r="AF62" s="54" t="str" cm="1">
        <f t="array" aca="1" ref="AF62" ca="1">IF(H62=0,"",HYPERLINK("#"&amp;RIGHT(CELL("adresse",OFFSET('DM01-AV-CH'!$G$6,H62-1,0)),LEN(CELL("adresse",OFFSET('DM01-AV-CH'!$G$6,H62-1,0)))-FIND("]",CELL("adresse",OFFSET('DM01-AV-CH'!$G$6,H62-1,0)))),"Modell"))</f>
        <v>Modell</v>
      </c>
      <c r="AG62" s="72" t="str" cm="1">
        <f t="array" ref="AG62">IF($H62=0,"",IF(INDEX('DM01-AV-CH'!G$6:G$834,$H62)="","",INDEX('DM01-AV-CH'!G$6:G$834,$H62)))</f>
        <v>Allgemein</v>
      </c>
      <c r="AH62" s="73" t="str" cm="1">
        <f t="array" ref="AH62">IF($H62=0,"",IF(INDEX('DM01-AV-CH'!H$6:H$834,$H62)="","",INDEX('DM01-AV-CH'!H$6:H$834,$H62)))</f>
        <v/>
      </c>
      <c r="AI62" s="74" t="str" cm="1">
        <f t="array" ref="AI62">IF($H62=0,"",IF(INDEX('DM01-AV-CH'!I$6:I$834,$H62)="","",INDEX('DM01-AV-CH'!I$6:I$834,$H62)))</f>
        <v>Versicherungsart</v>
      </c>
    </row>
    <row r="63" spans="1:35" x14ac:dyDescent="0.25">
      <c r="A63" s="57">
        <v>58</v>
      </c>
      <c r="B63" s="57">
        <f>IF($A63="","",IF(_xlfn.XLOOKUP($A63,Korrelation!$D$4:$D$1197,Korrelation!E$4:E$1197,"-",0)="-",0,MATCH(_xlfn.XLOOKUP($A63,Korrelation!$D$4:$D$1197,Korrelation!E$4:E$1197,"",0),DMAV_Modell!$G$6:$G$677,0)))</f>
        <v>47</v>
      </c>
      <c r="C63" s="57">
        <f>IF($A63="","",IF(_xlfn.XLOOKUP($A63,Korrelation!$D$4:$D$1197,Korrelation!F$4:F$1197,"-",0)="-",0,MATCH(_xlfn.XLOOKUP($A63,Korrelation!$D$4:$D$1197,Korrelation!F$4:F$1197,"",0),DMAV_Modell!$G$6:$G$677,0)))</f>
        <v>0</v>
      </c>
      <c r="D63" s="57">
        <f>IF($A63="","",IF(_xlfn.XLOOKUP($A63,Korrelation!$D$4:$D$1197,Korrelation!G$4:G$1197,"-",0)="-",0,MATCH(_xlfn.XLOOKUP($A63,Korrelation!$D$4:$D$1197,Korrelation!G$4:G$1197,"",0),DMAV_Modell!$G$6:$G$677,0)))</f>
        <v>0</v>
      </c>
      <c r="E63" s="57">
        <f>IF($A63="","",IF(_xlfn.XLOOKUP($A63,Korrelation!$D$4:$D$1197,Korrelation!H$4:H$1197,"-",0)="-",0,MATCH(_xlfn.XLOOKUP($A63,Korrelation!$D$4:$D$1197,Korrelation!H$4:H$1197,"",0),DMAV_Dienste!$F$6:$F$140,0)))</f>
        <v>0</v>
      </c>
      <c r="F63" s="57">
        <f>IF($A63="","",IF(_xlfn.XLOOKUP($A63,Korrelation!$D$4:$D$1197,Korrelation!I$4:I$1197,"-",0)="-",0,MATCH(_xlfn.XLOOKUP($A63,Korrelation!$D$4:$D$1197,Korrelation!I$4:I$1197,"",0),DMAV_Dienste!$F$6:$F$140,0)))</f>
        <v>0</v>
      </c>
      <c r="G63" s="57">
        <f>IF($A63="","",IF(_xlfn.XLOOKUP($A63,Korrelation!$D$4:$D$1197,Korrelation!J$4:J$1197,"-",0)="-",0,MATCH(_xlfn.XLOOKUP($A63,Korrelation!$D$4:$D$1197,Korrelation!J$4:J$1197,"",0),DMAV_Dienste!$F$6:$F$140,0)))</f>
        <v>0</v>
      </c>
      <c r="H63" s="57">
        <f>IF($A63="","",IF(_xlfn.XLOOKUP($A63,Korrelation!$D$4:$D$1197,Korrelation!K$4:K$1197,"-",0)="-",0,MATCH(_xlfn.XLOOKUP($A63,Korrelation!$D$4:$D$1197,Korrelation!K$4:K$1197,"",0),'DM01-AV-CH'!$A$6:$A$834,0)))</f>
        <v>23</v>
      </c>
      <c r="J63" s="54" t="str" cm="1">
        <f t="array" aca="1" ref="J63" ca="1">IF(B63=0,IF(E63=0,"",HYPERLINK("#"&amp;RIGHT(CELL("adresse",OFFSET(DMAV_Dienste!$M$6,E63-1,0)),LEN(CELL("adresse",OFFSET(DMAV_Dienste!$M$6,E63-1,0)))-FIND("]",CELL("adresse",OFFSET(DMAV_Dienste!$M$6,E63-1,0)))),"Dienst")),HYPERLINK("#"&amp;RIGHT(CELL("adresse",OFFSET(DMAV_Modell!$N$6,B63-1,0)),LEN(CELL("adresse",OFFSET(DMAV_Modell!$N$6,B63-1,0)))-FIND("]",CELL("adresse",OFFSET(DMAV_Modell!$N$6,B63-1,0)))),"Modell"))</f>
        <v>Modell</v>
      </c>
      <c r="K63" s="61" t="str" cm="1">
        <f t="array" ref="K63">IF($B63=0,IF($E63=0,"",IF(INDEX(DMAV_Dienste!P$6:P$140,$E63)="","",INDEX(DMAV_Dienste!P$6:P$140,$E63))),IF(INDEX(DMAV_Modell!Q$6:Q$838,$B63)="","",INDEX(DMAV_Modell!Q$6:Q$838,$B63)))</f>
        <v>DOMAIN</v>
      </c>
      <c r="L63" s="62" t="str" cm="1">
        <f t="array" ref="L63">IF($B63=0,IF($E63=0,"",IF(INDEX(DMAV_Dienste!O$6:O$140,$E63)="","",INDEX(DMAV_Dienste!O$6:O$140,$E63))),IF(INDEX(DMAV_Modell!P$6:P$838,$B63)="","",INDEX(DMAV_Modell!P$6:P$838,$B63)))</f>
        <v/>
      </c>
      <c r="M63" s="62" t="str" cm="1">
        <f t="array" ref="M63">IF($B63=0,IF($E63=0,"",IF(INDEX(DMAV_Dienste!Q$6:Q$140,$E63)="","",INDEX(DMAV_Dienste!Q$6:Q$140,$E63))),IF(INDEX(DMAV_Modell!R$6:R$838,$B63)="","",INDEX(DMAV_Modell!R$6:R$838,$B63)))</f>
        <v>Versicherungsart</v>
      </c>
      <c r="N63" s="62" t="str" cm="1">
        <f t="array" ref="N63">IF($B63=0,IF($E63=0,"",IF(INDEX(DMAV_Dienste!T$6:T$140,$E63)="","",INDEX(DMAV_Dienste!T$6:T$140,$E63))),IF(INDEX(DMAV_Modell!U$6:U$838,$B63)="","",INDEX(DMAV_Modell!U$6:U$838,$B63)))</f>
        <v/>
      </c>
      <c r="O63" s="63" t="str" cm="1">
        <f t="array" aca="1" ref="O63" ca="1">IF(C63=0,IF(F63=0,"",HYPERLINK("#"&amp;RIGHT(CELL("adresse",OFFSET(DMAV_Dienste!$M$6,F63-1,0)),LEN(CELL("adresse",OFFSET(DMAV_Dienste!$M$6,F63-1,0)))-FIND("]",CELL("adresse",OFFSET(DMAV_Dienste!$M$6,F63-1,0)))),"Structure")),HYPERLINK("#"&amp;RIGHT(CELL("adresse",OFFSET(DMAV_Modell!$N$6,C63-1,0)),LEN(CELL("adresse",OFFSET(DMAV_Modell!$N$6,C63-1,0)))-FIND("]",CELL("adresse",OFFSET(DMAV_Modell!$N$6,C63-1,0)))),"Structure"))</f>
        <v/>
      </c>
      <c r="P63" s="64" t="str" cm="1">
        <f t="array" aca="1" ref="P63" ca="1">IF(D63=0,IF(G63=0,"",HYPERLINK("#"&amp;RIGHT(CELL("adresse",OFFSET(DMAV_Dienste!$M$6,G63-1,0)),LEN(CELL("adresse",OFFSET(DMAV_Dienste!$M$6,G63-1,0)))-FIND("]",CELL("adresse",OFFSET(DMAV_Dienste!$M$6,G63-1,0)))),"Substructure")),HYPERLINK("#"&amp;RIGHT(CELL("adresse",OFFSET(DMAV_Modell!$N$6,D63-1,0)),LEN(CELL("adresse",OFFSET(DMAV_Modell!$N$6,D63-1,0)))-FIND("]",CELL("adresse",OFFSET(DMAV_Modell!$N$6,D63-1,0)))),"Substructure"))</f>
        <v/>
      </c>
      <c r="R63" s="80"/>
      <c r="T63" s="93"/>
      <c r="U63" s="94"/>
      <c r="V63" s="95"/>
      <c r="W63" s="96"/>
      <c r="Y63" s="85"/>
      <c r="Z63" s="86"/>
      <c r="AA63" s="87"/>
      <c r="AB63" s="88"/>
      <c r="AD63" s="77"/>
      <c r="AF63" s="54" t="str" cm="1">
        <f t="array" aca="1" ref="AF63" ca="1">IF(H63=0,"",HYPERLINK("#"&amp;RIGHT(CELL("adresse",OFFSET('DM01-AV-CH'!$G$6,H63-1,0)),LEN(CELL("adresse",OFFSET('DM01-AV-CH'!$G$6,H63-1,0)))-FIND("]",CELL("adresse",OFFSET('DM01-AV-CH'!$G$6,H63-1,0)))),"Modell"))</f>
        <v>Modell</v>
      </c>
      <c r="AG63" s="72" t="str" cm="1">
        <f t="array" ref="AG63">IF($H63=0,"",IF(INDEX('DM01-AV-CH'!G$6:G$834,$H63)="","",INDEX('DM01-AV-CH'!G$6:G$834,$H63)))</f>
        <v>Allgemein</v>
      </c>
      <c r="AH63" s="73" t="str" cm="1">
        <f t="array" ref="AH63">IF($H63=0,"",IF(INDEX('DM01-AV-CH'!H$6:H$834,$H63)="","",INDEX('DM01-AV-CH'!H$6:H$834,$H63)))</f>
        <v/>
      </c>
      <c r="AI63" s="74" t="str" cm="1">
        <f t="array" ref="AI63">IF($H63=0,"",IF(INDEX('DM01-AV-CH'!I$6:I$834,$H63)="","",INDEX('DM01-AV-CH'!I$6:I$834,$H63)))</f>
        <v>Versicherungsart</v>
      </c>
    </row>
    <row r="64" spans="1:35" x14ac:dyDescent="0.25">
      <c r="A64" s="57">
        <v>59</v>
      </c>
      <c r="B64" s="57">
        <f>IF($A64="","",IF(_xlfn.XLOOKUP($A64,Korrelation!$D$4:$D$1197,Korrelation!E$4:E$1197,"-",0)="-",0,MATCH(_xlfn.XLOOKUP($A64,Korrelation!$D$4:$D$1197,Korrelation!E$4:E$1197,"",0),DMAV_Modell!$G$6:$G$677,0)))</f>
        <v>48</v>
      </c>
      <c r="C64" s="57">
        <f>IF($A64="","",IF(_xlfn.XLOOKUP($A64,Korrelation!$D$4:$D$1197,Korrelation!F$4:F$1197,"-",0)="-",0,MATCH(_xlfn.XLOOKUP($A64,Korrelation!$D$4:$D$1197,Korrelation!F$4:F$1197,"",0),DMAV_Modell!$G$6:$G$677,0)))</f>
        <v>0</v>
      </c>
      <c r="D64" s="57">
        <f>IF($A64="","",IF(_xlfn.XLOOKUP($A64,Korrelation!$D$4:$D$1197,Korrelation!G$4:G$1197,"-",0)="-",0,MATCH(_xlfn.XLOOKUP($A64,Korrelation!$D$4:$D$1197,Korrelation!G$4:G$1197,"",0),DMAV_Modell!$G$6:$G$677,0)))</f>
        <v>0</v>
      </c>
      <c r="E64" s="57">
        <f>IF($A64="","",IF(_xlfn.XLOOKUP($A64,Korrelation!$D$4:$D$1197,Korrelation!H$4:H$1197,"-",0)="-",0,MATCH(_xlfn.XLOOKUP($A64,Korrelation!$D$4:$D$1197,Korrelation!H$4:H$1197,"",0),DMAV_Dienste!$F$6:$F$140,0)))</f>
        <v>0</v>
      </c>
      <c r="F64" s="57">
        <f>IF($A64="","",IF(_xlfn.XLOOKUP($A64,Korrelation!$D$4:$D$1197,Korrelation!I$4:I$1197,"-",0)="-",0,MATCH(_xlfn.XLOOKUP($A64,Korrelation!$D$4:$D$1197,Korrelation!I$4:I$1197,"",0),DMAV_Dienste!$F$6:$F$140,0)))</f>
        <v>0</v>
      </c>
      <c r="G64" s="57">
        <f>IF($A64="","",IF(_xlfn.XLOOKUP($A64,Korrelation!$D$4:$D$1197,Korrelation!J$4:J$1197,"-",0)="-",0,MATCH(_xlfn.XLOOKUP($A64,Korrelation!$D$4:$D$1197,Korrelation!J$4:J$1197,"",0),DMAV_Dienste!$F$6:$F$140,0)))</f>
        <v>0</v>
      </c>
      <c r="H64" s="57">
        <f>IF($A64="","",IF(_xlfn.XLOOKUP($A64,Korrelation!$D$4:$D$1197,Korrelation!K$4:K$1197,"-",0)="-",0,MATCH(_xlfn.XLOOKUP($A64,Korrelation!$D$4:$D$1197,Korrelation!K$4:K$1197,"",0),'DM01-AV-CH'!$A$6:$A$834,0)))</f>
        <v>24</v>
      </c>
      <c r="J64" s="54" t="str" cm="1">
        <f t="array" aca="1" ref="J64" ca="1">IF(B64=0,IF(E64=0,"",HYPERLINK("#"&amp;RIGHT(CELL("adresse",OFFSET(DMAV_Dienste!$M$6,E64-1,0)),LEN(CELL("adresse",OFFSET(DMAV_Dienste!$M$6,E64-1,0)))-FIND("]",CELL("adresse",OFFSET(DMAV_Dienste!$M$6,E64-1,0)))),"Dienst")),HYPERLINK("#"&amp;RIGHT(CELL("adresse",OFFSET(DMAV_Modell!$N$6,B64-1,0)),LEN(CELL("adresse",OFFSET(DMAV_Modell!$N$6,B64-1,0)))-FIND("]",CELL("adresse",OFFSET(DMAV_Modell!$N$6,B64-1,0)))),"Modell"))</f>
        <v>Modell</v>
      </c>
      <c r="K64" s="61" t="str" cm="1">
        <f t="array" ref="K64">IF($B64=0,IF($E64=0,"",IF(INDEX(DMAV_Dienste!P$6:P$140,$E64)="","",INDEX(DMAV_Dienste!P$6:P$140,$E64))),IF(INDEX(DMAV_Modell!Q$6:Q$838,$B64)="","",INDEX(DMAV_Modell!Q$6:Q$838,$B64)))</f>
        <v>DOMAIN</v>
      </c>
      <c r="L64" s="62" t="str" cm="1">
        <f t="array" ref="L64">IF($B64=0,IF($E64=0,"",IF(INDEX(DMAV_Dienste!O$6:O$140,$E64)="","",INDEX(DMAV_Dienste!O$6:O$140,$E64))),IF(INDEX(DMAV_Modell!P$6:P$838,$B64)="","",INDEX(DMAV_Modell!P$6:P$838,$B64)))</f>
        <v/>
      </c>
      <c r="M64" s="62" t="str" cm="1">
        <f t="array" ref="M64">IF($B64=0,IF($E64=0,"",IF(INDEX(DMAV_Dienste!Q$6:Q$140,$E64)="","",INDEX(DMAV_Dienste!Q$6:Q$140,$E64))),IF(INDEX(DMAV_Modell!R$6:R$838,$B64)="","",INDEX(DMAV_Modell!R$6:R$838,$B64)))</f>
        <v>Versicherungsart</v>
      </c>
      <c r="N64" s="62" t="str" cm="1">
        <f t="array" ref="N64">IF($B64=0,IF($E64=0,"",IF(INDEX(DMAV_Dienste!T$6:T$140,$E64)="","",INDEX(DMAV_Dienste!T$6:T$140,$E64))),IF(INDEX(DMAV_Modell!U$6:U$838,$B64)="","",INDEX(DMAV_Modell!U$6:U$838,$B64)))</f>
        <v/>
      </c>
      <c r="O64" s="63" t="str" cm="1">
        <f t="array" aca="1" ref="O64" ca="1">IF(C64=0,IF(F64=0,"",HYPERLINK("#"&amp;RIGHT(CELL("adresse",OFFSET(DMAV_Dienste!$M$6,F64-1,0)),LEN(CELL("adresse",OFFSET(DMAV_Dienste!$M$6,F64-1,0)))-FIND("]",CELL("adresse",OFFSET(DMAV_Dienste!$M$6,F64-1,0)))),"Structure")),HYPERLINK("#"&amp;RIGHT(CELL("adresse",OFFSET(DMAV_Modell!$N$6,C64-1,0)),LEN(CELL("adresse",OFFSET(DMAV_Modell!$N$6,C64-1,0)))-FIND("]",CELL("adresse",OFFSET(DMAV_Modell!$N$6,C64-1,0)))),"Structure"))</f>
        <v/>
      </c>
      <c r="P64" s="64" t="str" cm="1">
        <f t="array" aca="1" ref="P64" ca="1">IF(D64=0,IF(G64=0,"",HYPERLINK("#"&amp;RIGHT(CELL("adresse",OFFSET(DMAV_Dienste!$M$6,G64-1,0)),LEN(CELL("adresse",OFFSET(DMAV_Dienste!$M$6,G64-1,0)))-FIND("]",CELL("adresse",OFFSET(DMAV_Dienste!$M$6,G64-1,0)))),"Substructure")),HYPERLINK("#"&amp;RIGHT(CELL("adresse",OFFSET(DMAV_Modell!$N$6,D64-1,0)),LEN(CELL("adresse",OFFSET(DMAV_Modell!$N$6,D64-1,0)))-FIND("]",CELL("adresse",OFFSET(DMAV_Modell!$N$6,D64-1,0)))),"Substructure"))</f>
        <v/>
      </c>
      <c r="R64" s="80"/>
      <c r="T64" s="93"/>
      <c r="U64" s="94"/>
      <c r="V64" s="95"/>
      <c r="W64" s="96"/>
      <c r="Y64" s="85"/>
      <c r="Z64" s="86"/>
      <c r="AA64" s="87"/>
      <c r="AB64" s="88"/>
      <c r="AD64" s="77"/>
      <c r="AF64" s="54" t="str" cm="1">
        <f t="array" aca="1" ref="AF64" ca="1">IF(H64=0,"",HYPERLINK("#"&amp;RIGHT(CELL("adresse",OFFSET('DM01-AV-CH'!$G$6,H64-1,0)),LEN(CELL("adresse",OFFSET('DM01-AV-CH'!$G$6,H64-1,0)))-FIND("]",CELL("adresse",OFFSET('DM01-AV-CH'!$G$6,H64-1,0)))),"Modell"))</f>
        <v>Modell</v>
      </c>
      <c r="AG64" s="72" t="str" cm="1">
        <f t="array" ref="AG64">IF($H64=0,"",IF(INDEX('DM01-AV-CH'!G$6:G$834,$H64)="","",INDEX('DM01-AV-CH'!G$6:G$834,$H64)))</f>
        <v>Allgemein</v>
      </c>
      <c r="AH64" s="73" t="str" cm="1">
        <f t="array" ref="AH64">IF($H64=0,"",IF(INDEX('DM01-AV-CH'!H$6:H$834,$H64)="","",INDEX('DM01-AV-CH'!H$6:H$834,$H64)))</f>
        <v/>
      </c>
      <c r="AI64" s="74" t="str" cm="1">
        <f t="array" ref="AI64">IF($H64=0,"",IF(INDEX('DM01-AV-CH'!I$6:I$834,$H64)="","",INDEX('DM01-AV-CH'!I$6:I$834,$H64)))</f>
        <v>Versicherungsart</v>
      </c>
    </row>
    <row r="65" spans="1:35" x14ac:dyDescent="0.25">
      <c r="A65" s="57">
        <v>60</v>
      </c>
      <c r="B65" s="57">
        <f>IF($A65="","",IF(_xlfn.XLOOKUP($A65,Korrelation!$D$4:$D$1197,Korrelation!E$4:E$1197,"-",0)="-",0,MATCH(_xlfn.XLOOKUP($A65,Korrelation!$D$4:$D$1197,Korrelation!E$4:E$1197,"",0),DMAV_Modell!$G$6:$G$677,0)))</f>
        <v>49</v>
      </c>
      <c r="C65" s="57">
        <f>IF($A65="","",IF(_xlfn.XLOOKUP($A65,Korrelation!$D$4:$D$1197,Korrelation!F$4:F$1197,"-",0)="-",0,MATCH(_xlfn.XLOOKUP($A65,Korrelation!$D$4:$D$1197,Korrelation!F$4:F$1197,"",0),DMAV_Modell!$G$6:$G$677,0)))</f>
        <v>0</v>
      </c>
      <c r="D65" s="57">
        <f>IF($A65="","",IF(_xlfn.XLOOKUP($A65,Korrelation!$D$4:$D$1197,Korrelation!G$4:G$1197,"-",0)="-",0,MATCH(_xlfn.XLOOKUP($A65,Korrelation!$D$4:$D$1197,Korrelation!G$4:G$1197,"",0),DMAV_Modell!$G$6:$G$677,0)))</f>
        <v>0</v>
      </c>
      <c r="E65" s="57">
        <f>IF($A65="","",IF(_xlfn.XLOOKUP($A65,Korrelation!$D$4:$D$1197,Korrelation!H$4:H$1197,"-",0)="-",0,MATCH(_xlfn.XLOOKUP($A65,Korrelation!$D$4:$D$1197,Korrelation!H$4:H$1197,"",0),DMAV_Dienste!$F$6:$F$140,0)))</f>
        <v>0</v>
      </c>
      <c r="F65" s="57">
        <f>IF($A65="","",IF(_xlfn.XLOOKUP($A65,Korrelation!$D$4:$D$1197,Korrelation!I$4:I$1197,"-",0)="-",0,MATCH(_xlfn.XLOOKUP($A65,Korrelation!$D$4:$D$1197,Korrelation!I$4:I$1197,"",0),DMAV_Dienste!$F$6:$F$140,0)))</f>
        <v>0</v>
      </c>
      <c r="G65" s="57">
        <f>IF($A65="","",IF(_xlfn.XLOOKUP($A65,Korrelation!$D$4:$D$1197,Korrelation!J$4:J$1197,"-",0)="-",0,MATCH(_xlfn.XLOOKUP($A65,Korrelation!$D$4:$D$1197,Korrelation!J$4:J$1197,"",0),DMAV_Dienste!$F$6:$F$140,0)))</f>
        <v>0</v>
      </c>
      <c r="H65" s="57">
        <f>IF($A65="","",IF(_xlfn.XLOOKUP($A65,Korrelation!$D$4:$D$1197,Korrelation!K$4:K$1197,"-",0)="-",0,MATCH(_xlfn.XLOOKUP($A65,Korrelation!$D$4:$D$1197,Korrelation!K$4:K$1197,"",0),'DM01-AV-CH'!$A$6:$A$834,0)))</f>
        <v>25</v>
      </c>
      <c r="J65" s="54" t="str" cm="1">
        <f t="array" aca="1" ref="J65" ca="1">IF(B65=0,IF(E65=0,"",HYPERLINK("#"&amp;RIGHT(CELL("adresse",OFFSET(DMAV_Dienste!$M$6,E65-1,0)),LEN(CELL("adresse",OFFSET(DMAV_Dienste!$M$6,E65-1,0)))-FIND("]",CELL("adresse",OFFSET(DMAV_Dienste!$M$6,E65-1,0)))),"Dienst")),HYPERLINK("#"&amp;RIGHT(CELL("adresse",OFFSET(DMAV_Modell!$N$6,B65-1,0)),LEN(CELL("adresse",OFFSET(DMAV_Modell!$N$6,B65-1,0)))-FIND("]",CELL("adresse",OFFSET(DMAV_Modell!$N$6,B65-1,0)))),"Modell"))</f>
        <v>Modell</v>
      </c>
      <c r="K65" s="61" t="str" cm="1">
        <f t="array" ref="K65">IF($B65=0,IF($E65=0,"",IF(INDEX(DMAV_Dienste!P$6:P$140,$E65)="","",INDEX(DMAV_Dienste!P$6:P$140,$E65))),IF(INDEX(DMAV_Modell!Q$6:Q$838,$B65)="","",INDEX(DMAV_Modell!Q$6:Q$838,$B65)))</f>
        <v>DOMAIN</v>
      </c>
      <c r="L65" s="62" t="str" cm="1">
        <f t="array" ref="L65">IF($B65=0,IF($E65=0,"",IF(INDEX(DMAV_Dienste!O$6:O$140,$E65)="","",INDEX(DMAV_Dienste!O$6:O$140,$E65))),IF(INDEX(DMAV_Modell!P$6:P$838,$B65)="","",INDEX(DMAV_Modell!P$6:P$838,$B65)))</f>
        <v/>
      </c>
      <c r="M65" s="62" t="str" cm="1">
        <f t="array" ref="M65">IF($B65=0,IF($E65=0,"",IF(INDEX(DMAV_Dienste!Q$6:Q$140,$E65)="","",INDEX(DMAV_Dienste!Q$6:Q$140,$E65))),IF(INDEX(DMAV_Modell!R$6:R$838,$B65)="","",INDEX(DMAV_Modell!R$6:R$838,$B65)))</f>
        <v>Versicherungsart</v>
      </c>
      <c r="N65" s="62" t="str" cm="1">
        <f t="array" ref="N65">IF($B65=0,IF($E65=0,"",IF(INDEX(DMAV_Dienste!T$6:T$140,$E65)="","",INDEX(DMAV_Dienste!T$6:T$140,$E65))),IF(INDEX(DMAV_Modell!U$6:U$838,$B65)="","",INDEX(DMAV_Modell!U$6:U$838,$B65)))</f>
        <v/>
      </c>
      <c r="O65" s="63" t="str" cm="1">
        <f t="array" aca="1" ref="O65" ca="1">IF(C65=0,IF(F65=0,"",HYPERLINK("#"&amp;RIGHT(CELL("adresse",OFFSET(DMAV_Dienste!$M$6,F65-1,0)),LEN(CELL("adresse",OFFSET(DMAV_Dienste!$M$6,F65-1,0)))-FIND("]",CELL("adresse",OFFSET(DMAV_Dienste!$M$6,F65-1,0)))),"Structure")),HYPERLINK("#"&amp;RIGHT(CELL("adresse",OFFSET(DMAV_Modell!$N$6,C65-1,0)),LEN(CELL("adresse",OFFSET(DMAV_Modell!$N$6,C65-1,0)))-FIND("]",CELL("adresse",OFFSET(DMAV_Modell!$N$6,C65-1,0)))),"Structure"))</f>
        <v/>
      </c>
      <c r="P65" s="64" t="str" cm="1">
        <f t="array" aca="1" ref="P65" ca="1">IF(D65=0,IF(G65=0,"",HYPERLINK("#"&amp;RIGHT(CELL("adresse",OFFSET(DMAV_Dienste!$M$6,G65-1,0)),LEN(CELL("adresse",OFFSET(DMAV_Dienste!$M$6,G65-1,0)))-FIND("]",CELL("adresse",OFFSET(DMAV_Dienste!$M$6,G65-1,0)))),"Substructure")),HYPERLINK("#"&amp;RIGHT(CELL("adresse",OFFSET(DMAV_Modell!$N$6,D65-1,0)),LEN(CELL("adresse",OFFSET(DMAV_Modell!$N$6,D65-1,0)))-FIND("]",CELL("adresse",OFFSET(DMAV_Modell!$N$6,D65-1,0)))),"Substructure"))</f>
        <v/>
      </c>
      <c r="R65" s="80"/>
      <c r="T65" s="93"/>
      <c r="U65" s="94"/>
      <c r="V65" s="95"/>
      <c r="W65" s="96"/>
      <c r="Y65" s="85"/>
      <c r="Z65" s="86"/>
      <c r="AA65" s="87"/>
      <c r="AB65" s="88"/>
      <c r="AD65" s="77"/>
      <c r="AF65" s="54" t="str" cm="1">
        <f t="array" aca="1" ref="AF65" ca="1">IF(H65=0,"",HYPERLINK("#"&amp;RIGHT(CELL("adresse",OFFSET('DM01-AV-CH'!$G$6,H65-1,0)),LEN(CELL("adresse",OFFSET('DM01-AV-CH'!$G$6,H65-1,0)))-FIND("]",CELL("adresse",OFFSET('DM01-AV-CH'!$G$6,H65-1,0)))),"Modell"))</f>
        <v>Modell</v>
      </c>
      <c r="AG65" s="72" t="str" cm="1">
        <f t="array" ref="AG65">IF($H65=0,"",IF(INDEX('DM01-AV-CH'!G$6:G$834,$H65)="","",INDEX('DM01-AV-CH'!G$6:G$834,$H65)))</f>
        <v>Allgemein</v>
      </c>
      <c r="AH65" s="73" t="str" cm="1">
        <f t="array" ref="AH65">IF($H65=0,"",IF(INDEX('DM01-AV-CH'!H$6:H$834,$H65)="","",INDEX('DM01-AV-CH'!H$6:H$834,$H65)))</f>
        <v/>
      </c>
      <c r="AI65" s="74" t="str" cm="1">
        <f t="array" ref="AI65">IF($H65=0,"",IF(INDEX('DM01-AV-CH'!I$6:I$834,$H65)="","",INDEX('DM01-AV-CH'!I$6:I$834,$H65)))</f>
        <v>Versicherungsart</v>
      </c>
    </row>
    <row r="66" spans="1:35" x14ac:dyDescent="0.25">
      <c r="A66" s="57">
        <v>61</v>
      </c>
      <c r="B66" s="57">
        <f>IF($A66="","",IF(_xlfn.XLOOKUP($A66,Korrelation!$D$4:$D$1197,Korrelation!E$4:E$1197,"-",0)="-",0,MATCH(_xlfn.XLOOKUP($A66,Korrelation!$D$4:$D$1197,Korrelation!E$4:E$1197,"",0),DMAV_Modell!$G$6:$G$677,0)))</f>
        <v>50</v>
      </c>
      <c r="C66" s="57">
        <f>IF($A66="","",IF(_xlfn.XLOOKUP($A66,Korrelation!$D$4:$D$1197,Korrelation!F$4:F$1197,"-",0)="-",0,MATCH(_xlfn.XLOOKUP($A66,Korrelation!$D$4:$D$1197,Korrelation!F$4:F$1197,"",0),DMAV_Modell!$G$6:$G$677,0)))</f>
        <v>0</v>
      </c>
      <c r="D66" s="57">
        <f>IF($A66="","",IF(_xlfn.XLOOKUP($A66,Korrelation!$D$4:$D$1197,Korrelation!G$4:G$1197,"-",0)="-",0,MATCH(_xlfn.XLOOKUP($A66,Korrelation!$D$4:$D$1197,Korrelation!G$4:G$1197,"",0),DMAV_Modell!$G$6:$G$677,0)))</f>
        <v>0</v>
      </c>
      <c r="E66" s="57">
        <f>IF($A66="","",IF(_xlfn.XLOOKUP($A66,Korrelation!$D$4:$D$1197,Korrelation!H$4:H$1197,"-",0)="-",0,MATCH(_xlfn.XLOOKUP($A66,Korrelation!$D$4:$D$1197,Korrelation!H$4:H$1197,"",0),DMAV_Dienste!$F$6:$F$140,0)))</f>
        <v>0</v>
      </c>
      <c r="F66" s="57">
        <f>IF($A66="","",IF(_xlfn.XLOOKUP($A66,Korrelation!$D$4:$D$1197,Korrelation!I$4:I$1197,"-",0)="-",0,MATCH(_xlfn.XLOOKUP($A66,Korrelation!$D$4:$D$1197,Korrelation!I$4:I$1197,"",0),DMAV_Dienste!$F$6:$F$140,0)))</f>
        <v>0</v>
      </c>
      <c r="G66" s="57">
        <f>IF($A66="","",IF(_xlfn.XLOOKUP($A66,Korrelation!$D$4:$D$1197,Korrelation!J$4:J$1197,"-",0)="-",0,MATCH(_xlfn.XLOOKUP($A66,Korrelation!$D$4:$D$1197,Korrelation!J$4:J$1197,"",0),DMAV_Dienste!$F$6:$F$140,0)))</f>
        <v>0</v>
      </c>
      <c r="H66" s="57">
        <f>IF($A66="","",IF(_xlfn.XLOOKUP($A66,Korrelation!$D$4:$D$1197,Korrelation!K$4:K$1197,"-",0)="-",0,MATCH(_xlfn.XLOOKUP($A66,Korrelation!$D$4:$D$1197,Korrelation!K$4:K$1197,"",0),'DM01-AV-CH'!$A$6:$A$834,0)))</f>
        <v>26</v>
      </c>
      <c r="J66" s="54" t="str" cm="1">
        <f t="array" aca="1" ref="J66" ca="1">IF(B66=0,IF(E66=0,"",HYPERLINK("#"&amp;RIGHT(CELL("adresse",OFFSET(DMAV_Dienste!$M$6,E66-1,0)),LEN(CELL("adresse",OFFSET(DMAV_Dienste!$M$6,E66-1,0)))-FIND("]",CELL("adresse",OFFSET(DMAV_Dienste!$M$6,E66-1,0)))),"Dienst")),HYPERLINK("#"&amp;RIGHT(CELL("adresse",OFFSET(DMAV_Modell!$N$6,B66-1,0)),LEN(CELL("adresse",OFFSET(DMAV_Modell!$N$6,B66-1,0)))-FIND("]",CELL("adresse",OFFSET(DMAV_Modell!$N$6,B66-1,0)))),"Modell"))</f>
        <v>Modell</v>
      </c>
      <c r="K66" s="61" t="str" cm="1">
        <f t="array" ref="K66">IF($B66=0,IF($E66=0,"",IF(INDEX(DMAV_Dienste!P$6:P$140,$E66)="","",INDEX(DMAV_Dienste!P$6:P$140,$E66))),IF(INDEX(DMAV_Modell!Q$6:Q$838,$B66)="","",INDEX(DMAV_Modell!Q$6:Q$838,$B66)))</f>
        <v>DOMAIN</v>
      </c>
      <c r="L66" s="62" t="str" cm="1">
        <f t="array" ref="L66">IF($B66=0,IF($E66=0,"",IF(INDEX(DMAV_Dienste!O$6:O$140,$E66)="","",INDEX(DMAV_Dienste!O$6:O$140,$E66))),IF(INDEX(DMAV_Modell!P$6:P$838,$B66)="","",INDEX(DMAV_Modell!P$6:P$838,$B66)))</f>
        <v/>
      </c>
      <c r="M66" s="62" t="str" cm="1">
        <f t="array" ref="M66">IF($B66=0,IF($E66=0,"",IF(INDEX(DMAV_Dienste!Q$6:Q$140,$E66)="","",INDEX(DMAV_Dienste!Q$6:Q$140,$E66))),IF(INDEX(DMAV_Modell!R$6:R$838,$B66)="","",INDEX(DMAV_Modell!R$6:R$838,$B66)))</f>
        <v>Versicherungsart</v>
      </c>
      <c r="N66" s="62" t="str" cm="1">
        <f t="array" ref="N66">IF($B66=0,IF($E66=0,"",IF(INDEX(DMAV_Dienste!T$6:T$140,$E66)="","",INDEX(DMAV_Dienste!T$6:T$140,$E66))),IF(INDEX(DMAV_Modell!U$6:U$838,$B66)="","",INDEX(DMAV_Modell!U$6:U$838,$B66)))</f>
        <v/>
      </c>
      <c r="O66" s="63" t="str" cm="1">
        <f t="array" aca="1" ref="O66" ca="1">IF(C66=0,IF(F66=0,"",HYPERLINK("#"&amp;RIGHT(CELL("adresse",OFFSET(DMAV_Dienste!$M$6,F66-1,0)),LEN(CELL("adresse",OFFSET(DMAV_Dienste!$M$6,F66-1,0)))-FIND("]",CELL("adresse",OFFSET(DMAV_Dienste!$M$6,F66-1,0)))),"Structure")),HYPERLINK("#"&amp;RIGHT(CELL("adresse",OFFSET(DMAV_Modell!$N$6,C66-1,0)),LEN(CELL("adresse",OFFSET(DMAV_Modell!$N$6,C66-1,0)))-FIND("]",CELL("adresse",OFFSET(DMAV_Modell!$N$6,C66-1,0)))),"Structure"))</f>
        <v/>
      </c>
      <c r="P66" s="64" t="str" cm="1">
        <f t="array" aca="1" ref="P66" ca="1">IF(D66=0,IF(G66=0,"",HYPERLINK("#"&amp;RIGHT(CELL("adresse",OFFSET(DMAV_Dienste!$M$6,G66-1,0)),LEN(CELL("adresse",OFFSET(DMAV_Dienste!$M$6,G66-1,0)))-FIND("]",CELL("adresse",OFFSET(DMAV_Dienste!$M$6,G66-1,0)))),"Substructure")),HYPERLINK("#"&amp;RIGHT(CELL("adresse",OFFSET(DMAV_Modell!$N$6,D66-1,0)),LEN(CELL("adresse",OFFSET(DMAV_Modell!$N$6,D66-1,0)))-FIND("]",CELL("adresse",OFFSET(DMAV_Modell!$N$6,D66-1,0)))),"Substructure"))</f>
        <v/>
      </c>
      <c r="R66" s="80"/>
      <c r="T66" s="93"/>
      <c r="U66" s="94"/>
      <c r="V66" s="95"/>
      <c r="W66" s="96"/>
      <c r="Y66" s="85"/>
      <c r="Z66" s="86"/>
      <c r="AA66" s="87"/>
      <c r="AB66" s="88"/>
      <c r="AD66" s="77"/>
      <c r="AF66" s="54" t="str" cm="1">
        <f t="array" aca="1" ref="AF66" ca="1">IF(H66=0,"",HYPERLINK("#"&amp;RIGHT(CELL("adresse",OFFSET('DM01-AV-CH'!$G$6,H66-1,0)),LEN(CELL("adresse",OFFSET('DM01-AV-CH'!$G$6,H66-1,0)))-FIND("]",CELL("adresse",OFFSET('DM01-AV-CH'!$G$6,H66-1,0)))),"Modell"))</f>
        <v>Modell</v>
      </c>
      <c r="AG66" s="72" t="str" cm="1">
        <f t="array" ref="AG66">IF($H66=0,"",IF(INDEX('DM01-AV-CH'!G$6:G$834,$H66)="","",INDEX('DM01-AV-CH'!G$6:G$834,$H66)))</f>
        <v>Allgemein</v>
      </c>
      <c r="AH66" s="73" t="str" cm="1">
        <f t="array" ref="AH66">IF($H66=0,"",IF(INDEX('DM01-AV-CH'!H$6:H$834,$H66)="","",INDEX('DM01-AV-CH'!H$6:H$834,$H66)))</f>
        <v/>
      </c>
      <c r="AI66" s="74" t="str" cm="1">
        <f t="array" ref="AI66">IF($H66=0,"",IF(INDEX('DM01-AV-CH'!I$6:I$834,$H66)="","",INDEX('DM01-AV-CH'!I$6:I$834,$H66)))</f>
        <v>Versicherungsart</v>
      </c>
    </row>
    <row r="67" spans="1:35" x14ac:dyDescent="0.25">
      <c r="A67" s="57">
        <v>62</v>
      </c>
      <c r="B67" s="57">
        <f>IF($A67="","",IF(_xlfn.XLOOKUP($A67,Korrelation!$D$4:$D$1197,Korrelation!E$4:E$1197,"-",0)="-",0,MATCH(_xlfn.XLOOKUP($A67,Korrelation!$D$4:$D$1197,Korrelation!E$4:E$1197,"",0),DMAV_Modell!$G$6:$G$677,0)))</f>
        <v>51</v>
      </c>
      <c r="C67" s="57">
        <f>IF($A67="","",IF(_xlfn.XLOOKUP($A67,Korrelation!$D$4:$D$1197,Korrelation!F$4:F$1197,"-",0)="-",0,MATCH(_xlfn.XLOOKUP($A67,Korrelation!$D$4:$D$1197,Korrelation!F$4:F$1197,"",0),DMAV_Modell!$G$6:$G$677,0)))</f>
        <v>0</v>
      </c>
      <c r="D67" s="57">
        <f>IF($A67="","",IF(_xlfn.XLOOKUP($A67,Korrelation!$D$4:$D$1197,Korrelation!G$4:G$1197,"-",0)="-",0,MATCH(_xlfn.XLOOKUP($A67,Korrelation!$D$4:$D$1197,Korrelation!G$4:G$1197,"",0),DMAV_Modell!$G$6:$G$677,0)))</f>
        <v>0</v>
      </c>
      <c r="E67" s="57">
        <f>IF($A67="","",IF(_xlfn.XLOOKUP($A67,Korrelation!$D$4:$D$1197,Korrelation!H$4:H$1197,"-",0)="-",0,MATCH(_xlfn.XLOOKUP($A67,Korrelation!$D$4:$D$1197,Korrelation!H$4:H$1197,"",0),DMAV_Dienste!$F$6:$F$140,0)))</f>
        <v>0</v>
      </c>
      <c r="F67" s="57">
        <f>IF($A67="","",IF(_xlfn.XLOOKUP($A67,Korrelation!$D$4:$D$1197,Korrelation!I$4:I$1197,"-",0)="-",0,MATCH(_xlfn.XLOOKUP($A67,Korrelation!$D$4:$D$1197,Korrelation!I$4:I$1197,"",0),DMAV_Dienste!$F$6:$F$140,0)))</f>
        <v>0</v>
      </c>
      <c r="G67" s="57">
        <f>IF($A67="","",IF(_xlfn.XLOOKUP($A67,Korrelation!$D$4:$D$1197,Korrelation!J$4:J$1197,"-",0)="-",0,MATCH(_xlfn.XLOOKUP($A67,Korrelation!$D$4:$D$1197,Korrelation!J$4:J$1197,"",0),DMAV_Dienste!$F$6:$F$140,0)))</f>
        <v>0</v>
      </c>
      <c r="H67" s="57">
        <f>IF($A67="","",IF(_xlfn.XLOOKUP($A67,Korrelation!$D$4:$D$1197,Korrelation!K$4:K$1197,"-",0)="-",0,MATCH(_xlfn.XLOOKUP($A67,Korrelation!$D$4:$D$1197,Korrelation!K$4:K$1197,"",0),'DM01-AV-CH'!$A$6:$A$834,0)))</f>
        <v>27</v>
      </c>
      <c r="J67" s="54" t="str" cm="1">
        <f t="array" aca="1" ref="J67" ca="1">IF(B67=0,IF(E67=0,"",HYPERLINK("#"&amp;RIGHT(CELL("adresse",OFFSET(DMAV_Dienste!$M$6,E67-1,0)),LEN(CELL("adresse",OFFSET(DMAV_Dienste!$M$6,E67-1,0)))-FIND("]",CELL("adresse",OFFSET(DMAV_Dienste!$M$6,E67-1,0)))),"Dienst")),HYPERLINK("#"&amp;RIGHT(CELL("adresse",OFFSET(DMAV_Modell!$N$6,B67-1,0)),LEN(CELL("adresse",OFFSET(DMAV_Modell!$N$6,B67-1,0)))-FIND("]",CELL("adresse",OFFSET(DMAV_Modell!$N$6,B67-1,0)))),"Modell"))</f>
        <v>Modell</v>
      </c>
      <c r="K67" s="61" t="str" cm="1">
        <f t="array" ref="K67">IF($B67=0,IF($E67=0,"",IF(INDEX(DMAV_Dienste!P$6:P$140,$E67)="","",INDEX(DMAV_Dienste!P$6:P$140,$E67))),IF(INDEX(DMAV_Modell!Q$6:Q$838,$B67)="","",INDEX(DMAV_Modell!Q$6:Q$838,$B67)))</f>
        <v>DOMAIN</v>
      </c>
      <c r="L67" s="62" t="str" cm="1">
        <f t="array" ref="L67">IF($B67=0,IF($E67=0,"",IF(INDEX(DMAV_Dienste!O$6:O$140,$E67)="","",INDEX(DMAV_Dienste!O$6:O$140,$E67))),IF(INDEX(DMAV_Modell!P$6:P$838,$B67)="","",INDEX(DMAV_Modell!P$6:P$838,$B67)))</f>
        <v/>
      </c>
      <c r="M67" s="62" t="str" cm="1">
        <f t="array" ref="M67">IF($B67=0,IF($E67=0,"",IF(INDEX(DMAV_Dienste!Q$6:Q$140,$E67)="","",INDEX(DMAV_Dienste!Q$6:Q$140,$E67))),IF(INDEX(DMAV_Modell!R$6:R$838,$B67)="","",INDEX(DMAV_Modell!R$6:R$838,$B67)))</f>
        <v>Versicherungsart</v>
      </c>
      <c r="N67" s="62" t="str" cm="1">
        <f t="array" ref="N67">IF($B67=0,IF($E67=0,"",IF(INDEX(DMAV_Dienste!T$6:T$140,$E67)="","",INDEX(DMAV_Dienste!T$6:T$140,$E67))),IF(INDEX(DMAV_Modell!U$6:U$838,$B67)="","",INDEX(DMAV_Modell!U$6:U$838,$B67)))</f>
        <v/>
      </c>
      <c r="O67" s="63" t="str" cm="1">
        <f t="array" aca="1" ref="O67" ca="1">IF(C67=0,IF(F67=0,"",HYPERLINK("#"&amp;RIGHT(CELL("adresse",OFFSET(DMAV_Dienste!$M$6,F67-1,0)),LEN(CELL("adresse",OFFSET(DMAV_Dienste!$M$6,F67-1,0)))-FIND("]",CELL("adresse",OFFSET(DMAV_Dienste!$M$6,F67-1,0)))),"Structure")),HYPERLINK("#"&amp;RIGHT(CELL("adresse",OFFSET(DMAV_Modell!$N$6,C67-1,0)),LEN(CELL("adresse",OFFSET(DMAV_Modell!$N$6,C67-1,0)))-FIND("]",CELL("adresse",OFFSET(DMAV_Modell!$N$6,C67-1,0)))),"Structure"))</f>
        <v/>
      </c>
      <c r="P67" s="64" t="str" cm="1">
        <f t="array" aca="1" ref="P67" ca="1">IF(D67=0,IF(G67=0,"",HYPERLINK("#"&amp;RIGHT(CELL("adresse",OFFSET(DMAV_Dienste!$M$6,G67-1,0)),LEN(CELL("adresse",OFFSET(DMAV_Dienste!$M$6,G67-1,0)))-FIND("]",CELL("adresse",OFFSET(DMAV_Dienste!$M$6,G67-1,0)))),"Substructure")),HYPERLINK("#"&amp;RIGHT(CELL("adresse",OFFSET(DMAV_Modell!$N$6,D67-1,0)),LEN(CELL("adresse",OFFSET(DMAV_Modell!$N$6,D67-1,0)))-FIND("]",CELL("adresse",OFFSET(DMAV_Modell!$N$6,D67-1,0)))),"Substructure"))</f>
        <v/>
      </c>
      <c r="R67" s="80"/>
      <c r="T67" s="93"/>
      <c r="U67" s="94"/>
      <c r="V67" s="95"/>
      <c r="W67" s="96"/>
      <c r="Y67" s="85"/>
      <c r="Z67" s="86"/>
      <c r="AA67" s="87"/>
      <c r="AB67" s="88"/>
      <c r="AD67" s="77"/>
      <c r="AF67" s="54" t="str" cm="1">
        <f t="array" aca="1" ref="AF67" ca="1">IF(H67=0,"",HYPERLINK("#"&amp;RIGHT(CELL("adresse",OFFSET('DM01-AV-CH'!$G$6,H67-1,0)),LEN(CELL("adresse",OFFSET('DM01-AV-CH'!$G$6,H67-1,0)))-FIND("]",CELL("adresse",OFFSET('DM01-AV-CH'!$G$6,H67-1,0)))),"Modell"))</f>
        <v>Modell</v>
      </c>
      <c r="AG67" s="72" t="str" cm="1">
        <f t="array" ref="AG67">IF($H67=0,"",IF(INDEX('DM01-AV-CH'!G$6:G$834,$H67)="","",INDEX('DM01-AV-CH'!G$6:G$834,$H67)))</f>
        <v>Allgemein</v>
      </c>
      <c r="AH67" s="73" t="str" cm="1">
        <f t="array" ref="AH67">IF($H67=0,"",IF(INDEX('DM01-AV-CH'!H$6:H$834,$H67)="","",INDEX('DM01-AV-CH'!H$6:H$834,$H67)))</f>
        <v/>
      </c>
      <c r="AI67" s="74" t="str" cm="1">
        <f t="array" ref="AI67">IF($H67=0,"",IF(INDEX('DM01-AV-CH'!I$6:I$834,$H67)="","",INDEX('DM01-AV-CH'!I$6:I$834,$H67)))</f>
        <v>Versicherungsart</v>
      </c>
    </row>
    <row r="68" spans="1:35" x14ac:dyDescent="0.25">
      <c r="A68" s="57">
        <v>63</v>
      </c>
      <c r="B68" s="57">
        <f>IF($A68="","",IF(_xlfn.XLOOKUP($A68,Korrelation!$D$4:$D$1197,Korrelation!E$4:E$1197,"-",0)="-",0,MATCH(_xlfn.XLOOKUP($A68,Korrelation!$D$4:$D$1197,Korrelation!E$4:E$1197,"",0),DMAV_Modell!$G$6:$G$677,0)))</f>
        <v>52</v>
      </c>
      <c r="C68" s="57">
        <f>IF($A68="","",IF(_xlfn.XLOOKUP($A68,Korrelation!$D$4:$D$1197,Korrelation!F$4:F$1197,"-",0)="-",0,MATCH(_xlfn.XLOOKUP($A68,Korrelation!$D$4:$D$1197,Korrelation!F$4:F$1197,"",0),DMAV_Modell!$G$6:$G$677,0)))</f>
        <v>0</v>
      </c>
      <c r="D68" s="57">
        <f>IF($A68="","",IF(_xlfn.XLOOKUP($A68,Korrelation!$D$4:$D$1197,Korrelation!G$4:G$1197,"-",0)="-",0,MATCH(_xlfn.XLOOKUP($A68,Korrelation!$D$4:$D$1197,Korrelation!G$4:G$1197,"",0),DMAV_Modell!$G$6:$G$677,0)))</f>
        <v>0</v>
      </c>
      <c r="E68" s="57">
        <f>IF($A68="","",IF(_xlfn.XLOOKUP($A68,Korrelation!$D$4:$D$1197,Korrelation!H$4:H$1197,"-",0)="-",0,MATCH(_xlfn.XLOOKUP($A68,Korrelation!$D$4:$D$1197,Korrelation!H$4:H$1197,"",0),DMAV_Dienste!$F$6:$F$140,0)))</f>
        <v>0</v>
      </c>
      <c r="F68" s="57">
        <f>IF($A68="","",IF(_xlfn.XLOOKUP($A68,Korrelation!$D$4:$D$1197,Korrelation!I$4:I$1197,"-",0)="-",0,MATCH(_xlfn.XLOOKUP($A68,Korrelation!$D$4:$D$1197,Korrelation!I$4:I$1197,"",0),DMAV_Dienste!$F$6:$F$140,0)))</f>
        <v>0</v>
      </c>
      <c r="G68" s="57">
        <f>IF($A68="","",IF(_xlfn.XLOOKUP($A68,Korrelation!$D$4:$D$1197,Korrelation!J$4:J$1197,"-",0)="-",0,MATCH(_xlfn.XLOOKUP($A68,Korrelation!$D$4:$D$1197,Korrelation!J$4:J$1197,"",0),DMAV_Dienste!$F$6:$F$140,0)))</f>
        <v>0</v>
      </c>
      <c r="H68" s="57">
        <f>IF($A68="","",IF(_xlfn.XLOOKUP($A68,Korrelation!$D$4:$D$1197,Korrelation!K$4:K$1197,"-",0)="-",0,MATCH(_xlfn.XLOOKUP($A68,Korrelation!$D$4:$D$1197,Korrelation!K$4:K$1197,"",0),'DM01-AV-CH'!$A$6:$A$834,0)))</f>
        <v>28</v>
      </c>
      <c r="J68" s="54" t="str" cm="1">
        <f t="array" aca="1" ref="J68" ca="1">IF(B68=0,IF(E68=0,"",HYPERLINK("#"&amp;RIGHT(CELL("adresse",OFFSET(DMAV_Dienste!$M$6,E68-1,0)),LEN(CELL("adresse",OFFSET(DMAV_Dienste!$M$6,E68-1,0)))-FIND("]",CELL("adresse",OFFSET(DMAV_Dienste!$M$6,E68-1,0)))),"Dienst")),HYPERLINK("#"&amp;RIGHT(CELL("adresse",OFFSET(DMAV_Modell!$N$6,B68-1,0)),LEN(CELL("adresse",OFFSET(DMAV_Modell!$N$6,B68-1,0)))-FIND("]",CELL("adresse",OFFSET(DMAV_Modell!$N$6,B68-1,0)))),"Modell"))</f>
        <v>Modell</v>
      </c>
      <c r="K68" s="61" t="str" cm="1">
        <f t="array" ref="K68">IF($B68=0,IF($E68=0,"",IF(INDEX(DMAV_Dienste!P$6:P$140,$E68)="","",INDEX(DMAV_Dienste!P$6:P$140,$E68))),IF(INDEX(DMAV_Modell!Q$6:Q$838,$B68)="","",INDEX(DMAV_Modell!Q$6:Q$838,$B68)))</f>
        <v>DOMAIN</v>
      </c>
      <c r="L68" s="62" t="str" cm="1">
        <f t="array" ref="L68">IF($B68=0,IF($E68=0,"",IF(INDEX(DMAV_Dienste!O$6:O$140,$E68)="","",INDEX(DMAV_Dienste!O$6:O$140,$E68))),IF(INDEX(DMAV_Modell!P$6:P$838,$B68)="","",INDEX(DMAV_Modell!P$6:P$838,$B68)))</f>
        <v/>
      </c>
      <c r="M68" s="62" t="str" cm="1">
        <f t="array" ref="M68">IF($B68=0,IF($E68=0,"",IF(INDEX(DMAV_Dienste!Q$6:Q$140,$E68)="","",INDEX(DMAV_Dienste!Q$6:Q$140,$E68))),IF(INDEX(DMAV_Modell!R$6:R$838,$B68)="","",INDEX(DMAV_Modell!R$6:R$838,$B68)))</f>
        <v>Versicherungsart</v>
      </c>
      <c r="N68" s="62" t="str" cm="1">
        <f t="array" ref="N68">IF($B68=0,IF($E68=0,"",IF(INDEX(DMAV_Dienste!T$6:T$140,$E68)="","",INDEX(DMAV_Dienste!T$6:T$140,$E68))),IF(INDEX(DMAV_Modell!U$6:U$838,$B68)="","",INDEX(DMAV_Modell!U$6:U$838,$B68)))</f>
        <v/>
      </c>
      <c r="O68" s="63" t="str" cm="1">
        <f t="array" aca="1" ref="O68" ca="1">IF(C68=0,IF(F68=0,"",HYPERLINK("#"&amp;RIGHT(CELL("adresse",OFFSET(DMAV_Dienste!$M$6,F68-1,0)),LEN(CELL("adresse",OFFSET(DMAV_Dienste!$M$6,F68-1,0)))-FIND("]",CELL("adresse",OFFSET(DMAV_Dienste!$M$6,F68-1,0)))),"Structure")),HYPERLINK("#"&amp;RIGHT(CELL("adresse",OFFSET(DMAV_Modell!$N$6,C68-1,0)),LEN(CELL("adresse",OFFSET(DMAV_Modell!$N$6,C68-1,0)))-FIND("]",CELL("adresse",OFFSET(DMAV_Modell!$N$6,C68-1,0)))),"Structure"))</f>
        <v/>
      </c>
      <c r="P68" s="64" t="str" cm="1">
        <f t="array" aca="1" ref="P68" ca="1">IF(D68=0,IF(G68=0,"",HYPERLINK("#"&amp;RIGHT(CELL("adresse",OFFSET(DMAV_Dienste!$M$6,G68-1,0)),LEN(CELL("adresse",OFFSET(DMAV_Dienste!$M$6,G68-1,0)))-FIND("]",CELL("adresse",OFFSET(DMAV_Dienste!$M$6,G68-1,0)))),"Substructure")),HYPERLINK("#"&amp;RIGHT(CELL("adresse",OFFSET(DMAV_Modell!$N$6,D68-1,0)),LEN(CELL("adresse",OFFSET(DMAV_Modell!$N$6,D68-1,0)))-FIND("]",CELL("adresse",OFFSET(DMAV_Modell!$N$6,D68-1,0)))),"Substructure"))</f>
        <v/>
      </c>
      <c r="R68" s="80"/>
      <c r="T68" s="93"/>
      <c r="U68" s="94"/>
      <c r="V68" s="95"/>
      <c r="W68" s="96"/>
      <c r="Y68" s="85"/>
      <c r="Z68" s="86"/>
      <c r="AA68" s="87"/>
      <c r="AB68" s="88"/>
      <c r="AD68" s="77"/>
      <c r="AF68" s="54" t="str" cm="1">
        <f t="array" aca="1" ref="AF68" ca="1">IF(H68=0,"",HYPERLINK("#"&amp;RIGHT(CELL("adresse",OFFSET('DM01-AV-CH'!$G$6,H68-1,0)),LEN(CELL("adresse",OFFSET('DM01-AV-CH'!$G$6,H68-1,0)))-FIND("]",CELL("adresse",OFFSET('DM01-AV-CH'!$G$6,H68-1,0)))),"Modell"))</f>
        <v>Modell</v>
      </c>
      <c r="AG68" s="72" t="str" cm="1">
        <f t="array" ref="AG68">IF($H68=0,"",IF(INDEX('DM01-AV-CH'!G$6:G$834,$H68)="","",INDEX('DM01-AV-CH'!G$6:G$834,$H68)))</f>
        <v>Allgemein</v>
      </c>
      <c r="AH68" s="73" t="str" cm="1">
        <f t="array" ref="AH68">IF($H68=0,"",IF(INDEX('DM01-AV-CH'!H$6:H$834,$H68)="","",INDEX('DM01-AV-CH'!H$6:H$834,$H68)))</f>
        <v/>
      </c>
      <c r="AI68" s="74" t="str" cm="1">
        <f t="array" ref="AI68">IF($H68=0,"",IF(INDEX('DM01-AV-CH'!I$6:I$834,$H68)="","",INDEX('DM01-AV-CH'!I$6:I$834,$H68)))</f>
        <v>Versicherungsart</v>
      </c>
    </row>
    <row r="69" spans="1:35" x14ac:dyDescent="0.25">
      <c r="A69" s="57">
        <v>64</v>
      </c>
      <c r="B69" s="57">
        <f>IF($A69="","",IF(_xlfn.XLOOKUP($A69,Korrelation!$D$4:$D$1197,Korrelation!E$4:E$1197,"-",0)="-",0,MATCH(_xlfn.XLOOKUP($A69,Korrelation!$D$4:$D$1197,Korrelation!E$4:E$1197,"",0),DMAV_Modell!$G$6:$G$677,0)))</f>
        <v>53</v>
      </c>
      <c r="C69" s="57">
        <f>IF($A69="","",IF(_xlfn.XLOOKUP($A69,Korrelation!$D$4:$D$1197,Korrelation!F$4:F$1197,"-",0)="-",0,MATCH(_xlfn.XLOOKUP($A69,Korrelation!$D$4:$D$1197,Korrelation!F$4:F$1197,"",0),DMAV_Modell!$G$6:$G$677,0)))</f>
        <v>0</v>
      </c>
      <c r="D69" s="57">
        <f>IF($A69="","",IF(_xlfn.XLOOKUP($A69,Korrelation!$D$4:$D$1197,Korrelation!G$4:G$1197,"-",0)="-",0,MATCH(_xlfn.XLOOKUP($A69,Korrelation!$D$4:$D$1197,Korrelation!G$4:G$1197,"",0),DMAV_Modell!$G$6:$G$677,0)))</f>
        <v>0</v>
      </c>
      <c r="E69" s="57">
        <f>IF($A69="","",IF(_xlfn.XLOOKUP($A69,Korrelation!$D$4:$D$1197,Korrelation!H$4:H$1197,"-",0)="-",0,MATCH(_xlfn.XLOOKUP($A69,Korrelation!$D$4:$D$1197,Korrelation!H$4:H$1197,"",0),DMAV_Dienste!$F$6:$F$140,0)))</f>
        <v>0</v>
      </c>
      <c r="F69" s="57">
        <f>IF($A69="","",IF(_xlfn.XLOOKUP($A69,Korrelation!$D$4:$D$1197,Korrelation!I$4:I$1197,"-",0)="-",0,MATCH(_xlfn.XLOOKUP($A69,Korrelation!$D$4:$D$1197,Korrelation!I$4:I$1197,"",0),DMAV_Dienste!$F$6:$F$140,0)))</f>
        <v>0</v>
      </c>
      <c r="G69" s="57">
        <f>IF($A69="","",IF(_xlfn.XLOOKUP($A69,Korrelation!$D$4:$D$1197,Korrelation!J$4:J$1197,"-",0)="-",0,MATCH(_xlfn.XLOOKUP($A69,Korrelation!$D$4:$D$1197,Korrelation!J$4:J$1197,"",0),DMAV_Dienste!$F$6:$F$140,0)))</f>
        <v>0</v>
      </c>
      <c r="H69" s="57">
        <f>IF($A69="","",IF(_xlfn.XLOOKUP($A69,Korrelation!$D$4:$D$1197,Korrelation!K$4:K$1197,"-",0)="-",0,MATCH(_xlfn.XLOOKUP($A69,Korrelation!$D$4:$D$1197,Korrelation!K$4:K$1197,"",0),'DM01-AV-CH'!$A$6:$A$834,0)))</f>
        <v>0</v>
      </c>
      <c r="J69" s="54" t="str" cm="1">
        <f t="array" aca="1" ref="J69" ca="1">IF(B69=0,IF(E69=0,"",HYPERLINK("#"&amp;RIGHT(CELL("adresse",OFFSET(DMAV_Dienste!$M$6,E69-1,0)),LEN(CELL("adresse",OFFSET(DMAV_Dienste!$M$6,E69-1,0)))-FIND("]",CELL("adresse",OFFSET(DMAV_Dienste!$M$6,E69-1,0)))),"Dienst")),HYPERLINK("#"&amp;RIGHT(CELL("adresse",OFFSET(DMAV_Modell!$N$6,B69-1,0)),LEN(CELL("adresse",OFFSET(DMAV_Modell!$N$6,B69-1,0)))-FIND("]",CELL("adresse",OFFSET(DMAV_Modell!$N$6,B69-1,0)))),"Modell"))</f>
        <v>Modell</v>
      </c>
      <c r="K69" s="61" t="str" cm="1">
        <f t="array" ref="K69">IF($B69=0,IF($E69=0,"",IF(INDEX(DMAV_Dienste!P$6:P$140,$E69)="","",INDEX(DMAV_Dienste!P$6:P$140,$E69))),IF(INDEX(DMAV_Modell!Q$6:Q$838,$B69)="","",INDEX(DMAV_Modell!Q$6:Q$838,$B69)))</f>
        <v>IMPORTS</v>
      </c>
      <c r="L69" s="62" t="str" cm="1">
        <f t="array" ref="L69">IF($B69=0,IF($E69=0,"",IF(INDEX(DMAV_Dienste!O$6:O$140,$E69)="","",INDEX(DMAV_Dienste!O$6:O$140,$E69))),IF(INDEX(DMAV_Modell!P$6:P$838,$B69)="","",INDEX(DMAV_Modell!P$6:P$838,$B69)))</f>
        <v/>
      </c>
      <c r="M69" s="62" t="str" cm="1">
        <f t="array" ref="M69">IF($B69=0,IF($E69=0,"",IF(INDEX(DMAV_Dienste!Q$6:Q$140,$E69)="","",INDEX(DMAV_Dienste!Q$6:Q$140,$E69))),IF(INDEX(DMAV_Modell!R$6:R$838,$B69)="","",INDEX(DMAV_Modell!R$6:R$838,$B69)))</f>
        <v>CHAdminCodes_V2</v>
      </c>
      <c r="N69" s="62" t="str" cm="1">
        <f t="array" ref="N69">IF($B69=0,IF($E69=0,"",IF(INDEX(DMAV_Dienste!T$6:T$140,$E69)="","",INDEX(DMAV_Dienste!T$6:T$140,$E69))),IF(INDEX(DMAV_Modell!U$6:U$838,$B69)="","",INDEX(DMAV_Modell!U$6:U$838,$B69)))</f>
        <v/>
      </c>
      <c r="O69" s="63" t="str" cm="1">
        <f t="array" aca="1" ref="O69" ca="1">IF(C69=0,IF(F69=0,"",HYPERLINK("#"&amp;RIGHT(CELL("adresse",OFFSET(DMAV_Dienste!$M$6,F69-1,0)),LEN(CELL("adresse",OFFSET(DMAV_Dienste!$M$6,F69-1,0)))-FIND("]",CELL("adresse",OFFSET(DMAV_Dienste!$M$6,F69-1,0)))),"Structure")),HYPERLINK("#"&amp;RIGHT(CELL("adresse",OFFSET(DMAV_Modell!$N$6,C69-1,0)),LEN(CELL("adresse",OFFSET(DMAV_Modell!$N$6,C69-1,0)))-FIND("]",CELL("adresse",OFFSET(DMAV_Modell!$N$6,C69-1,0)))),"Structure"))</f>
        <v/>
      </c>
      <c r="P69" s="64" t="str" cm="1">
        <f t="array" aca="1" ref="P69" ca="1">IF(D69=0,IF(G69=0,"",HYPERLINK("#"&amp;RIGHT(CELL("adresse",OFFSET(DMAV_Dienste!$M$6,G69-1,0)),LEN(CELL("adresse",OFFSET(DMAV_Dienste!$M$6,G69-1,0)))-FIND("]",CELL("adresse",OFFSET(DMAV_Dienste!$M$6,G69-1,0)))),"Substructure")),HYPERLINK("#"&amp;RIGHT(CELL("adresse",OFFSET(DMAV_Modell!$N$6,D69-1,0)),LEN(CELL("adresse",OFFSET(DMAV_Modell!$N$6,D69-1,0)))-FIND("]",CELL("adresse",OFFSET(DMAV_Modell!$N$6,D69-1,0)))),"Substructure"))</f>
        <v/>
      </c>
      <c r="R69" s="80"/>
      <c r="T69" s="93"/>
      <c r="U69" s="94"/>
      <c r="V69" s="95"/>
      <c r="W69" s="96"/>
      <c r="Y69" s="85"/>
      <c r="Z69" s="86"/>
      <c r="AA69" s="87"/>
      <c r="AB69" s="88"/>
      <c r="AD69" s="77"/>
      <c r="AF69" s="54" t="str" cm="1">
        <f t="array" aca="1" ref="AF69" ca="1">IF(H69=0,"",HYPERLINK("#"&amp;RIGHT(CELL("adresse",OFFSET('DM01-AV-CH'!$G$6,H69-1,0)),LEN(CELL("adresse",OFFSET('DM01-AV-CH'!$G$6,H69-1,0)))-FIND("]",CELL("adresse",OFFSET('DM01-AV-CH'!$G$6,H69-1,0)))),"Modell"))</f>
        <v/>
      </c>
      <c r="AG69" s="72" t="str" cm="1">
        <f t="array" ref="AG69">IF($H69=0,"",IF(INDEX('DM01-AV-CH'!G$6:G$834,$H69)="","",INDEX('DM01-AV-CH'!G$6:G$834,$H69)))</f>
        <v/>
      </c>
      <c r="AH69" s="73" t="str" cm="1">
        <f t="array" ref="AH69">IF($H69=0,"",IF(INDEX('DM01-AV-CH'!H$6:H$834,$H69)="","",INDEX('DM01-AV-CH'!H$6:H$834,$H69)))</f>
        <v/>
      </c>
      <c r="AI69" s="74" t="str" cm="1">
        <f t="array" ref="AI69">IF($H69=0,"",IF(INDEX('DM01-AV-CH'!I$6:I$834,$H69)="","",INDEX('DM01-AV-CH'!I$6:I$834,$H69)))</f>
        <v/>
      </c>
    </row>
    <row r="70" spans="1:35" x14ac:dyDescent="0.25">
      <c r="A70" s="57">
        <v>65</v>
      </c>
      <c r="B70" s="57">
        <f>IF($A70="","",IF(_xlfn.XLOOKUP($A70,Korrelation!$D$4:$D$1197,Korrelation!E$4:E$1197,"-",0)="-",0,MATCH(_xlfn.XLOOKUP($A70,Korrelation!$D$4:$D$1197,Korrelation!E$4:E$1197,"",0),DMAV_Modell!$G$6:$G$677,0)))</f>
        <v>54</v>
      </c>
      <c r="C70" s="57">
        <f>IF($A70="","",IF(_xlfn.XLOOKUP($A70,Korrelation!$D$4:$D$1197,Korrelation!F$4:F$1197,"-",0)="-",0,MATCH(_xlfn.XLOOKUP($A70,Korrelation!$D$4:$D$1197,Korrelation!F$4:F$1197,"",0),DMAV_Modell!$G$6:$G$677,0)))</f>
        <v>0</v>
      </c>
      <c r="D70" s="57">
        <f>IF($A70="","",IF(_xlfn.XLOOKUP($A70,Korrelation!$D$4:$D$1197,Korrelation!G$4:G$1197,"-",0)="-",0,MATCH(_xlfn.XLOOKUP($A70,Korrelation!$D$4:$D$1197,Korrelation!G$4:G$1197,"",0),DMAV_Modell!$G$6:$G$677,0)))</f>
        <v>0</v>
      </c>
      <c r="E70" s="57">
        <f>IF($A70="","",IF(_xlfn.XLOOKUP($A70,Korrelation!$D$4:$D$1197,Korrelation!H$4:H$1197,"-",0)="-",0,MATCH(_xlfn.XLOOKUP($A70,Korrelation!$D$4:$D$1197,Korrelation!H$4:H$1197,"",0),DMAV_Dienste!$F$6:$F$140,0)))</f>
        <v>0</v>
      </c>
      <c r="F70" s="57">
        <f>IF($A70="","",IF(_xlfn.XLOOKUP($A70,Korrelation!$D$4:$D$1197,Korrelation!I$4:I$1197,"-",0)="-",0,MATCH(_xlfn.XLOOKUP($A70,Korrelation!$D$4:$D$1197,Korrelation!I$4:I$1197,"",0),DMAV_Dienste!$F$6:$F$140,0)))</f>
        <v>0</v>
      </c>
      <c r="G70" s="57">
        <f>IF($A70="","",IF(_xlfn.XLOOKUP($A70,Korrelation!$D$4:$D$1197,Korrelation!J$4:J$1197,"-",0)="-",0,MATCH(_xlfn.XLOOKUP($A70,Korrelation!$D$4:$D$1197,Korrelation!J$4:J$1197,"",0),DMAV_Dienste!$F$6:$F$140,0)))</f>
        <v>0</v>
      </c>
      <c r="H70" s="57">
        <f>IF($A70="","",IF(_xlfn.XLOOKUP($A70,Korrelation!$D$4:$D$1197,Korrelation!K$4:K$1197,"-",0)="-",0,MATCH(_xlfn.XLOOKUP($A70,Korrelation!$D$4:$D$1197,Korrelation!K$4:K$1197,"",0),'DM01-AV-CH'!$A$6:$A$834,0)))</f>
        <v>0</v>
      </c>
      <c r="J70" s="54" t="str" cm="1">
        <f t="array" aca="1" ref="J70" ca="1">IF(B70=0,IF(E70=0,"",HYPERLINK("#"&amp;RIGHT(CELL("adresse",OFFSET(DMAV_Dienste!$M$6,E70-1,0)),LEN(CELL("adresse",OFFSET(DMAV_Dienste!$M$6,E70-1,0)))-FIND("]",CELL("adresse",OFFSET(DMAV_Dienste!$M$6,E70-1,0)))),"Dienst")),HYPERLINK("#"&amp;RIGHT(CELL("adresse",OFFSET(DMAV_Modell!$N$6,B70-1,0)),LEN(CELL("adresse",OFFSET(DMAV_Modell!$N$6,B70-1,0)))-FIND("]",CELL("adresse",OFFSET(DMAV_Modell!$N$6,B70-1,0)))),"Modell"))</f>
        <v>Modell</v>
      </c>
      <c r="K70" s="61" t="str" cm="1">
        <f t="array" ref="K70">IF($B70=0,IF($E70=0,"",IF(INDEX(DMAV_Dienste!P$6:P$140,$E70)="","",INDEX(DMAV_Dienste!P$6:P$140,$E70))),IF(INDEX(DMAV_Modell!Q$6:Q$838,$B70)="","",INDEX(DMAV_Modell!Q$6:Q$838,$B70)))</f>
        <v>IMPORTS</v>
      </c>
      <c r="L70" s="62" t="str" cm="1">
        <f t="array" ref="L70">IF($B70=0,IF($E70=0,"",IF(INDEX(DMAV_Dienste!O$6:O$140,$E70)="","",INDEX(DMAV_Dienste!O$6:O$140,$E70))),IF(INDEX(DMAV_Modell!P$6:P$838,$B70)="","",INDEX(DMAV_Modell!P$6:P$838,$B70)))</f>
        <v/>
      </c>
      <c r="M70" s="62" t="str" cm="1">
        <f t="array" ref="M70">IF($B70=0,IF($E70=0,"",IF(INDEX(DMAV_Dienste!Q$6:Q$140,$E70)="","",INDEX(DMAV_Dienste!Q$6:Q$140,$E70))),IF(INDEX(DMAV_Modell!R$6:R$838,$B70)="","",INDEX(DMAV_Modell!R$6:R$838,$B70)))</f>
        <v>GeometryCHLV95_V2</v>
      </c>
      <c r="N70" s="62" t="str" cm="1">
        <f t="array" ref="N70">IF($B70=0,IF($E70=0,"",IF(INDEX(DMAV_Dienste!T$6:T$140,$E70)="","",INDEX(DMAV_Dienste!T$6:T$140,$E70))),IF(INDEX(DMAV_Modell!U$6:U$838,$B70)="","",INDEX(DMAV_Modell!U$6:U$838,$B70)))</f>
        <v/>
      </c>
      <c r="O70" s="63" t="str" cm="1">
        <f t="array" aca="1" ref="O70" ca="1">IF(C70=0,IF(F70=0,"",HYPERLINK("#"&amp;RIGHT(CELL("adresse",OFFSET(DMAV_Dienste!$M$6,F70-1,0)),LEN(CELL("adresse",OFFSET(DMAV_Dienste!$M$6,F70-1,0)))-FIND("]",CELL("adresse",OFFSET(DMAV_Dienste!$M$6,F70-1,0)))),"Structure")),HYPERLINK("#"&amp;RIGHT(CELL("adresse",OFFSET(DMAV_Modell!$N$6,C70-1,0)),LEN(CELL("adresse",OFFSET(DMAV_Modell!$N$6,C70-1,0)))-FIND("]",CELL("adresse",OFFSET(DMAV_Modell!$N$6,C70-1,0)))),"Structure"))</f>
        <v/>
      </c>
      <c r="P70" s="64" t="str" cm="1">
        <f t="array" aca="1" ref="P70" ca="1">IF(D70=0,IF(G70=0,"",HYPERLINK("#"&amp;RIGHT(CELL("adresse",OFFSET(DMAV_Dienste!$M$6,G70-1,0)),LEN(CELL("adresse",OFFSET(DMAV_Dienste!$M$6,G70-1,0)))-FIND("]",CELL("adresse",OFFSET(DMAV_Dienste!$M$6,G70-1,0)))),"Substructure")),HYPERLINK("#"&amp;RIGHT(CELL("adresse",OFFSET(DMAV_Modell!$N$6,D70-1,0)),LEN(CELL("adresse",OFFSET(DMAV_Modell!$N$6,D70-1,0)))-FIND("]",CELL("adresse",OFFSET(DMAV_Modell!$N$6,D70-1,0)))),"Substructure"))</f>
        <v/>
      </c>
      <c r="R70" s="80"/>
      <c r="T70" s="93"/>
      <c r="U70" s="94"/>
      <c r="V70" s="95"/>
      <c r="W70" s="96"/>
      <c r="Y70" s="85"/>
      <c r="Z70" s="86"/>
      <c r="AA70" s="87"/>
      <c r="AB70" s="88"/>
      <c r="AD70" s="77"/>
      <c r="AF70" s="54" t="str" cm="1">
        <f t="array" aca="1" ref="AF70" ca="1">IF(H70=0,"",HYPERLINK("#"&amp;RIGHT(CELL("adresse",OFFSET('DM01-AV-CH'!$G$6,H70-1,0)),LEN(CELL("adresse",OFFSET('DM01-AV-CH'!$G$6,H70-1,0)))-FIND("]",CELL("adresse",OFFSET('DM01-AV-CH'!$G$6,H70-1,0)))),"Modell"))</f>
        <v/>
      </c>
      <c r="AG70" s="72" t="str" cm="1">
        <f t="array" ref="AG70">IF($H70=0,"",IF(INDEX('DM01-AV-CH'!G$6:G$834,$H70)="","",INDEX('DM01-AV-CH'!G$6:G$834,$H70)))</f>
        <v/>
      </c>
      <c r="AH70" s="73" t="str" cm="1">
        <f t="array" ref="AH70">IF($H70=0,"",IF(INDEX('DM01-AV-CH'!H$6:H$834,$H70)="","",INDEX('DM01-AV-CH'!H$6:H$834,$H70)))</f>
        <v/>
      </c>
      <c r="AI70" s="74" t="str" cm="1">
        <f t="array" ref="AI70">IF($H70=0,"",IF(INDEX('DM01-AV-CH'!I$6:I$834,$H70)="","",INDEX('DM01-AV-CH'!I$6:I$834,$H70)))</f>
        <v/>
      </c>
    </row>
    <row r="71" spans="1:35" x14ac:dyDescent="0.25">
      <c r="A71" s="57">
        <v>66</v>
      </c>
      <c r="B71" s="57">
        <f>IF($A71="","",IF(_xlfn.XLOOKUP($A71,Korrelation!$D$4:$D$1197,Korrelation!E$4:E$1197,"-",0)="-",0,MATCH(_xlfn.XLOOKUP($A71,Korrelation!$D$4:$D$1197,Korrelation!E$4:E$1197,"",0),DMAV_Modell!$G$6:$G$677,0)))</f>
        <v>55</v>
      </c>
      <c r="C71" s="57">
        <f>IF($A71="","",IF(_xlfn.XLOOKUP($A71,Korrelation!$D$4:$D$1197,Korrelation!F$4:F$1197,"-",0)="-",0,MATCH(_xlfn.XLOOKUP($A71,Korrelation!$D$4:$D$1197,Korrelation!F$4:F$1197,"",0),DMAV_Modell!$G$6:$G$677,0)))</f>
        <v>0</v>
      </c>
      <c r="D71" s="57">
        <f>IF($A71="","",IF(_xlfn.XLOOKUP($A71,Korrelation!$D$4:$D$1197,Korrelation!G$4:G$1197,"-",0)="-",0,MATCH(_xlfn.XLOOKUP($A71,Korrelation!$D$4:$D$1197,Korrelation!G$4:G$1197,"",0),DMAV_Modell!$G$6:$G$677,0)))</f>
        <v>0</v>
      </c>
      <c r="E71" s="57">
        <f>IF($A71="","",IF(_xlfn.XLOOKUP($A71,Korrelation!$D$4:$D$1197,Korrelation!H$4:H$1197,"-",0)="-",0,MATCH(_xlfn.XLOOKUP($A71,Korrelation!$D$4:$D$1197,Korrelation!H$4:H$1197,"",0),DMAV_Dienste!$F$6:$F$140,0)))</f>
        <v>0</v>
      </c>
      <c r="F71" s="57">
        <f>IF($A71="","",IF(_xlfn.XLOOKUP($A71,Korrelation!$D$4:$D$1197,Korrelation!I$4:I$1197,"-",0)="-",0,MATCH(_xlfn.XLOOKUP($A71,Korrelation!$D$4:$D$1197,Korrelation!I$4:I$1197,"",0),DMAV_Dienste!$F$6:$F$140,0)))</f>
        <v>0</v>
      </c>
      <c r="G71" s="57">
        <f>IF($A71="","",IF(_xlfn.XLOOKUP($A71,Korrelation!$D$4:$D$1197,Korrelation!J$4:J$1197,"-",0)="-",0,MATCH(_xlfn.XLOOKUP($A71,Korrelation!$D$4:$D$1197,Korrelation!J$4:J$1197,"",0),DMAV_Dienste!$F$6:$F$140,0)))</f>
        <v>0</v>
      </c>
      <c r="H71" s="57">
        <f>IF($A71="","",IF(_xlfn.XLOOKUP($A71,Korrelation!$D$4:$D$1197,Korrelation!K$4:K$1197,"-",0)="-",0,MATCH(_xlfn.XLOOKUP($A71,Korrelation!$D$4:$D$1197,Korrelation!K$4:K$1197,"",0),'DM01-AV-CH'!$A$6:$A$834,0)))</f>
        <v>0</v>
      </c>
      <c r="J71" s="54" t="str" cm="1">
        <f t="array" aca="1" ref="J71" ca="1">IF(B71=0,IF(E71=0,"",HYPERLINK("#"&amp;RIGHT(CELL("adresse",OFFSET(DMAV_Dienste!$M$6,E71-1,0)),LEN(CELL("adresse",OFFSET(DMAV_Dienste!$M$6,E71-1,0)))-FIND("]",CELL("adresse",OFFSET(DMAV_Dienste!$M$6,E71-1,0)))),"Dienst")),HYPERLINK("#"&amp;RIGHT(CELL("adresse",OFFSET(DMAV_Modell!$N$6,B71-1,0)),LEN(CELL("adresse",OFFSET(DMAV_Modell!$N$6,B71-1,0)))-FIND("]",CELL("adresse",OFFSET(DMAV_Modell!$N$6,B71-1,0)))),"Modell"))</f>
        <v>Modell</v>
      </c>
      <c r="K71" s="61" t="str" cm="1">
        <f t="array" ref="K71">IF($B71=0,IF($E71=0,"",IF(INDEX(DMAV_Dienste!P$6:P$140,$E71)="","",INDEX(DMAV_Dienste!P$6:P$140,$E71))),IF(INDEX(DMAV_Modell!Q$6:Q$838,$B71)="","",INDEX(DMAV_Modell!Q$6:Q$838,$B71)))</f>
        <v>CLASS</v>
      </c>
      <c r="L71" s="62" t="str" cm="1">
        <f t="array" ref="L71">IF($B71=0,IF($E71=0,"",IF(INDEX(DMAV_Dienste!O$6:O$140,$E71)="","",INDEX(DMAV_Dienste!O$6:O$140,$E71))),IF(INDEX(DMAV_Modell!P$6:P$838,$B71)="","",INDEX(DMAV_Modell!P$6:P$838,$B71)))</f>
        <v>UntereinheitGrundbuch</v>
      </c>
      <c r="M71" s="62" t="str" cm="1">
        <f t="array" ref="M71">IF($B71=0,IF($E71=0,"",IF(INDEX(DMAV_Dienste!Q$6:Q$140,$E71)="","",INDEX(DMAV_Dienste!Q$6:Q$140,$E71))),IF(INDEX(DMAV_Modell!R$6:R$838,$B71)="","",INDEX(DMAV_Modell!R$6:R$838,$B71)))</f>
        <v>GrundbuchKreis</v>
      </c>
      <c r="N71" s="62" t="str" cm="1">
        <f t="array" ref="N71">IF($B71=0,IF($E71=0,"",IF(INDEX(DMAV_Dienste!T$6:T$140,$E71)="","",INDEX(DMAV_Dienste!T$6:T$140,$E71))),IF(INDEX(DMAV_Modell!U$6:U$838,$B71)="","",INDEX(DMAV_Modell!U$6:U$838,$B71)))</f>
        <v>Kanton</v>
      </c>
      <c r="O71" s="63" t="str" cm="1">
        <f t="array" aca="1" ref="O71" ca="1">IF(C71=0,IF(F71=0,"",HYPERLINK("#"&amp;RIGHT(CELL("adresse",OFFSET(DMAV_Dienste!$M$6,F71-1,0)),LEN(CELL("adresse",OFFSET(DMAV_Dienste!$M$6,F71-1,0)))-FIND("]",CELL("adresse",OFFSET(DMAV_Dienste!$M$6,F71-1,0)))),"Structure")),HYPERLINK("#"&amp;RIGHT(CELL("adresse",OFFSET(DMAV_Modell!$N$6,C71-1,0)),LEN(CELL("adresse",OFFSET(DMAV_Modell!$N$6,C71-1,0)))-FIND("]",CELL("adresse",OFFSET(DMAV_Modell!$N$6,C71-1,0)))),"Structure"))</f>
        <v/>
      </c>
      <c r="P71" s="64" t="str" cm="1">
        <f t="array" aca="1" ref="P71" ca="1">IF(D71=0,IF(G71=0,"",HYPERLINK("#"&amp;RIGHT(CELL("adresse",OFFSET(DMAV_Dienste!$M$6,G71-1,0)),LEN(CELL("adresse",OFFSET(DMAV_Dienste!$M$6,G71-1,0)))-FIND("]",CELL("adresse",OFFSET(DMAV_Dienste!$M$6,G71-1,0)))),"Substructure")),HYPERLINK("#"&amp;RIGHT(CELL("adresse",OFFSET(DMAV_Modell!$N$6,D71-1,0)),LEN(CELL("adresse",OFFSET(DMAV_Modell!$N$6,D71-1,0)))-FIND("]",CELL("adresse",OFFSET(DMAV_Modell!$N$6,D71-1,0)))),"Substructure"))</f>
        <v/>
      </c>
      <c r="R71" s="80"/>
      <c r="T71" s="93"/>
      <c r="U71" s="94"/>
      <c r="V71" s="95"/>
      <c r="W71" s="96"/>
      <c r="Y71" s="85"/>
      <c r="Z71" s="86"/>
      <c r="AA71" s="87"/>
      <c r="AB71" s="88"/>
      <c r="AD71" s="77"/>
      <c r="AF71" s="54" t="str" cm="1">
        <f t="array" aca="1" ref="AF71" ca="1">IF(H71=0,"",HYPERLINK("#"&amp;RIGHT(CELL("adresse",OFFSET('DM01-AV-CH'!$G$6,H71-1,0)),LEN(CELL("adresse",OFFSET('DM01-AV-CH'!$G$6,H71-1,0)))-FIND("]",CELL("adresse",OFFSET('DM01-AV-CH'!$G$6,H71-1,0)))),"Modell"))</f>
        <v/>
      </c>
      <c r="AG71" s="72" t="str" cm="1">
        <f t="array" ref="AG71">IF($H71=0,"",IF(INDEX('DM01-AV-CH'!G$6:G$834,$H71)="","",INDEX('DM01-AV-CH'!G$6:G$834,$H71)))</f>
        <v/>
      </c>
      <c r="AH71" s="73" t="str" cm="1">
        <f t="array" ref="AH71">IF($H71=0,"",IF(INDEX('DM01-AV-CH'!H$6:H$834,$H71)="","",INDEX('DM01-AV-CH'!H$6:H$834,$H71)))</f>
        <v/>
      </c>
      <c r="AI71" s="74" t="str" cm="1">
        <f t="array" ref="AI71">IF($H71=0,"",IF(INDEX('DM01-AV-CH'!I$6:I$834,$H71)="","",INDEX('DM01-AV-CH'!I$6:I$834,$H71)))</f>
        <v/>
      </c>
    </row>
    <row r="72" spans="1:35" x14ac:dyDescent="0.25">
      <c r="A72" s="57">
        <v>67</v>
      </c>
      <c r="B72" s="57">
        <f>IF($A72="","",IF(_xlfn.XLOOKUP($A72,Korrelation!$D$4:$D$1197,Korrelation!E$4:E$1197,"-",0)="-",0,MATCH(_xlfn.XLOOKUP($A72,Korrelation!$D$4:$D$1197,Korrelation!E$4:E$1197,"",0),DMAV_Modell!$G$6:$G$677,0)))</f>
        <v>56</v>
      </c>
      <c r="C72" s="57">
        <f>IF($A72="","",IF(_xlfn.XLOOKUP($A72,Korrelation!$D$4:$D$1197,Korrelation!F$4:F$1197,"-",0)="-",0,MATCH(_xlfn.XLOOKUP($A72,Korrelation!$D$4:$D$1197,Korrelation!F$4:F$1197,"",0),DMAV_Modell!$G$6:$G$677,0)))</f>
        <v>0</v>
      </c>
      <c r="D72" s="57">
        <f>IF($A72="","",IF(_xlfn.XLOOKUP($A72,Korrelation!$D$4:$D$1197,Korrelation!G$4:G$1197,"-",0)="-",0,MATCH(_xlfn.XLOOKUP($A72,Korrelation!$D$4:$D$1197,Korrelation!G$4:G$1197,"",0),DMAV_Modell!$G$6:$G$677,0)))</f>
        <v>0</v>
      </c>
      <c r="E72" s="57">
        <f>IF($A72="","",IF(_xlfn.XLOOKUP($A72,Korrelation!$D$4:$D$1197,Korrelation!H$4:H$1197,"-",0)="-",0,MATCH(_xlfn.XLOOKUP($A72,Korrelation!$D$4:$D$1197,Korrelation!H$4:H$1197,"",0),DMAV_Dienste!$F$6:$F$140,0)))</f>
        <v>0</v>
      </c>
      <c r="F72" s="57">
        <f>IF($A72="","",IF(_xlfn.XLOOKUP($A72,Korrelation!$D$4:$D$1197,Korrelation!I$4:I$1197,"-",0)="-",0,MATCH(_xlfn.XLOOKUP($A72,Korrelation!$D$4:$D$1197,Korrelation!I$4:I$1197,"",0),DMAV_Dienste!$F$6:$F$140,0)))</f>
        <v>0</v>
      </c>
      <c r="G72" s="57">
        <f>IF($A72="","",IF(_xlfn.XLOOKUP($A72,Korrelation!$D$4:$D$1197,Korrelation!J$4:J$1197,"-",0)="-",0,MATCH(_xlfn.XLOOKUP($A72,Korrelation!$D$4:$D$1197,Korrelation!J$4:J$1197,"",0),DMAV_Dienste!$F$6:$F$140,0)))</f>
        <v>0</v>
      </c>
      <c r="H72" s="57">
        <f>IF($A72="","",IF(_xlfn.XLOOKUP($A72,Korrelation!$D$4:$D$1197,Korrelation!K$4:K$1197,"-",0)="-",0,MATCH(_xlfn.XLOOKUP($A72,Korrelation!$D$4:$D$1197,Korrelation!K$4:K$1197,"",0),'DM01-AV-CH'!$A$6:$A$834,0)))</f>
        <v>0</v>
      </c>
      <c r="J72" s="54" t="str" cm="1">
        <f t="array" aca="1" ref="J72" ca="1">IF(B72=0,IF(E72=0,"",HYPERLINK("#"&amp;RIGHT(CELL("adresse",OFFSET(DMAV_Dienste!$M$6,E72-1,0)),LEN(CELL("adresse",OFFSET(DMAV_Dienste!$M$6,E72-1,0)))-FIND("]",CELL("adresse",OFFSET(DMAV_Dienste!$M$6,E72-1,0)))),"Dienst")),HYPERLINK("#"&amp;RIGHT(CELL("adresse",OFFSET(DMAV_Modell!$N$6,B72-1,0)),LEN(CELL("adresse",OFFSET(DMAV_Modell!$N$6,B72-1,0)))-FIND("]",CELL("adresse",OFFSET(DMAV_Modell!$N$6,B72-1,0)))),"Modell"))</f>
        <v>Modell</v>
      </c>
      <c r="K72" s="61" t="str" cm="1">
        <f t="array" ref="K72">IF($B72=0,IF($E72=0,"",IF(INDEX(DMAV_Dienste!P$6:P$140,$E72)="","",INDEX(DMAV_Dienste!P$6:P$140,$E72))),IF(INDEX(DMAV_Modell!Q$6:Q$838,$B72)="","",INDEX(DMAV_Modell!Q$6:Q$838,$B72)))</f>
        <v>CLASS</v>
      </c>
      <c r="L72" s="62" t="str" cm="1">
        <f t="array" ref="L72">IF($B72=0,IF($E72=0,"",IF(INDEX(DMAV_Dienste!O$6:O$140,$E72)="","",INDEX(DMAV_Dienste!O$6:O$140,$E72))),IF(INDEX(DMAV_Modell!P$6:P$838,$B72)="","",INDEX(DMAV_Modell!P$6:P$838,$B72)))</f>
        <v>UntereinheitGrundbuch</v>
      </c>
      <c r="M72" s="62" t="str" cm="1">
        <f t="array" ref="M72">IF($B72=0,IF($E72=0,"",IF(INDEX(DMAV_Dienste!Q$6:Q$140,$E72)="","",INDEX(DMAV_Dienste!Q$6:Q$140,$E72))),IF(INDEX(DMAV_Modell!R$6:R$838,$B72)="","",INDEX(DMAV_Modell!R$6:R$838,$B72)))</f>
        <v>GrundbuchKreis</v>
      </c>
      <c r="N72" s="62" t="str" cm="1">
        <f t="array" ref="N72">IF($B72=0,IF($E72=0,"",IF(INDEX(DMAV_Dienste!T$6:T$140,$E72)="","",INDEX(DMAV_Dienste!T$6:T$140,$E72))),IF(INDEX(DMAV_Modell!U$6:U$838,$B72)="","",INDEX(DMAV_Modell!U$6:U$838,$B72)))</f>
        <v>Gemeinde</v>
      </c>
      <c r="O72" s="63" t="str" cm="1">
        <f t="array" aca="1" ref="O72" ca="1">IF(C72=0,IF(F72=0,"",HYPERLINK("#"&amp;RIGHT(CELL("adresse",OFFSET(DMAV_Dienste!$M$6,F72-1,0)),LEN(CELL("adresse",OFFSET(DMAV_Dienste!$M$6,F72-1,0)))-FIND("]",CELL("adresse",OFFSET(DMAV_Dienste!$M$6,F72-1,0)))),"Structure")),HYPERLINK("#"&amp;RIGHT(CELL("adresse",OFFSET(DMAV_Modell!$N$6,C72-1,0)),LEN(CELL("adresse",OFFSET(DMAV_Modell!$N$6,C72-1,0)))-FIND("]",CELL("adresse",OFFSET(DMAV_Modell!$N$6,C72-1,0)))),"Structure"))</f>
        <v/>
      </c>
      <c r="P72" s="64" t="str" cm="1">
        <f t="array" aca="1" ref="P72" ca="1">IF(D72=0,IF(G72=0,"",HYPERLINK("#"&amp;RIGHT(CELL("adresse",OFFSET(DMAV_Dienste!$M$6,G72-1,0)),LEN(CELL("adresse",OFFSET(DMAV_Dienste!$M$6,G72-1,0)))-FIND("]",CELL("adresse",OFFSET(DMAV_Dienste!$M$6,G72-1,0)))),"Substructure")),HYPERLINK("#"&amp;RIGHT(CELL("adresse",OFFSET(DMAV_Modell!$N$6,D72-1,0)),LEN(CELL("adresse",OFFSET(DMAV_Modell!$N$6,D72-1,0)))-FIND("]",CELL("adresse",OFFSET(DMAV_Modell!$N$6,D72-1,0)))),"Substructure"))</f>
        <v/>
      </c>
      <c r="R72" s="80"/>
      <c r="T72" s="93"/>
      <c r="U72" s="94"/>
      <c r="V72" s="95"/>
      <c r="W72" s="96"/>
      <c r="Y72" s="85"/>
      <c r="Z72" s="86"/>
      <c r="AA72" s="87"/>
      <c r="AB72" s="88"/>
      <c r="AD72" s="77"/>
      <c r="AF72" s="54" t="str" cm="1">
        <f t="array" aca="1" ref="AF72" ca="1">IF(H72=0,"",HYPERLINK("#"&amp;RIGHT(CELL("adresse",OFFSET('DM01-AV-CH'!$G$6,H72-1,0)),LEN(CELL("adresse",OFFSET('DM01-AV-CH'!$G$6,H72-1,0)))-FIND("]",CELL("adresse",OFFSET('DM01-AV-CH'!$G$6,H72-1,0)))),"Modell"))</f>
        <v/>
      </c>
      <c r="AG72" s="72" t="str" cm="1">
        <f t="array" ref="AG72">IF($H72=0,"",IF(INDEX('DM01-AV-CH'!G$6:G$834,$H72)="","",INDEX('DM01-AV-CH'!G$6:G$834,$H72)))</f>
        <v/>
      </c>
      <c r="AH72" s="73" t="str" cm="1">
        <f t="array" ref="AH72">IF($H72=0,"",IF(INDEX('DM01-AV-CH'!H$6:H$834,$H72)="","",INDEX('DM01-AV-CH'!H$6:H$834,$H72)))</f>
        <v/>
      </c>
      <c r="AI72" s="74" t="str" cm="1">
        <f t="array" ref="AI72">IF($H72=0,"",IF(INDEX('DM01-AV-CH'!I$6:I$834,$H72)="","",INDEX('DM01-AV-CH'!I$6:I$834,$H72)))</f>
        <v/>
      </c>
    </row>
    <row r="73" spans="1:35" x14ac:dyDescent="0.25">
      <c r="A73" s="57">
        <v>68</v>
      </c>
      <c r="B73" s="57">
        <f>IF($A73="","",IF(_xlfn.XLOOKUP($A73,Korrelation!$D$4:$D$1197,Korrelation!E$4:E$1197,"-",0)="-",0,MATCH(_xlfn.XLOOKUP($A73,Korrelation!$D$4:$D$1197,Korrelation!E$4:E$1197,"",0),DMAV_Modell!$G$6:$G$677,0)))</f>
        <v>57</v>
      </c>
      <c r="C73" s="57">
        <f>IF($A73="","",IF(_xlfn.XLOOKUP($A73,Korrelation!$D$4:$D$1197,Korrelation!F$4:F$1197,"-",0)="-",0,MATCH(_xlfn.XLOOKUP($A73,Korrelation!$D$4:$D$1197,Korrelation!F$4:F$1197,"",0),DMAV_Modell!$G$6:$G$677,0)))</f>
        <v>0</v>
      </c>
      <c r="D73" s="57">
        <f>IF($A73="","",IF(_xlfn.XLOOKUP($A73,Korrelation!$D$4:$D$1197,Korrelation!G$4:G$1197,"-",0)="-",0,MATCH(_xlfn.XLOOKUP($A73,Korrelation!$D$4:$D$1197,Korrelation!G$4:G$1197,"",0),DMAV_Modell!$G$6:$G$677,0)))</f>
        <v>0</v>
      </c>
      <c r="E73" s="57">
        <f>IF($A73="","",IF(_xlfn.XLOOKUP($A73,Korrelation!$D$4:$D$1197,Korrelation!H$4:H$1197,"-",0)="-",0,MATCH(_xlfn.XLOOKUP($A73,Korrelation!$D$4:$D$1197,Korrelation!H$4:H$1197,"",0),DMAV_Dienste!$F$6:$F$140,0)))</f>
        <v>0</v>
      </c>
      <c r="F73" s="57">
        <f>IF($A73="","",IF(_xlfn.XLOOKUP($A73,Korrelation!$D$4:$D$1197,Korrelation!I$4:I$1197,"-",0)="-",0,MATCH(_xlfn.XLOOKUP($A73,Korrelation!$D$4:$D$1197,Korrelation!I$4:I$1197,"",0),DMAV_Dienste!$F$6:$F$140,0)))</f>
        <v>0</v>
      </c>
      <c r="G73" s="57">
        <f>IF($A73="","",IF(_xlfn.XLOOKUP($A73,Korrelation!$D$4:$D$1197,Korrelation!J$4:J$1197,"-",0)="-",0,MATCH(_xlfn.XLOOKUP($A73,Korrelation!$D$4:$D$1197,Korrelation!J$4:J$1197,"",0),DMAV_Dienste!$F$6:$F$140,0)))</f>
        <v>0</v>
      </c>
      <c r="H73" s="57">
        <f>IF($A73="","",IF(_xlfn.XLOOKUP($A73,Korrelation!$D$4:$D$1197,Korrelation!K$4:K$1197,"-",0)="-",0,MATCH(_xlfn.XLOOKUP($A73,Korrelation!$D$4:$D$1197,Korrelation!K$4:K$1197,"",0),'DM01-AV-CH'!$A$6:$A$834,0)))</f>
        <v>0</v>
      </c>
      <c r="J73" s="54" t="str" cm="1">
        <f t="array" aca="1" ref="J73" ca="1">IF(B73=0,IF(E73=0,"",HYPERLINK("#"&amp;RIGHT(CELL("adresse",OFFSET(DMAV_Dienste!$M$6,E73-1,0)),LEN(CELL("adresse",OFFSET(DMAV_Dienste!$M$6,E73-1,0)))-FIND("]",CELL("adresse",OFFSET(DMAV_Dienste!$M$6,E73-1,0)))),"Dienst")),HYPERLINK("#"&amp;RIGHT(CELL("adresse",OFFSET(DMAV_Modell!$N$6,B73-1,0)),LEN(CELL("adresse",OFFSET(DMAV_Modell!$N$6,B73-1,0)))-FIND("]",CELL("adresse",OFFSET(DMAV_Modell!$N$6,B73-1,0)))),"Modell"))</f>
        <v>Modell</v>
      </c>
      <c r="K73" s="61" t="str" cm="1">
        <f t="array" ref="K73">IF($B73=0,IF($E73=0,"",IF(INDEX(DMAV_Dienste!P$6:P$140,$E73)="","",INDEX(DMAV_Dienste!P$6:P$140,$E73))),IF(INDEX(DMAV_Modell!Q$6:Q$838,$B73)="","",INDEX(DMAV_Modell!Q$6:Q$838,$B73)))</f>
        <v>CLASS</v>
      </c>
      <c r="L73" s="62" t="str" cm="1">
        <f t="array" ref="L73">IF($B73=0,IF($E73=0,"",IF(INDEX(DMAV_Dienste!O$6:O$140,$E73)="","",INDEX(DMAV_Dienste!O$6:O$140,$E73))),IF(INDEX(DMAV_Modell!P$6:P$838,$B73)="","",INDEX(DMAV_Modell!P$6:P$838,$B73)))</f>
        <v>UntereinheitGrundbuch</v>
      </c>
      <c r="M73" s="62" t="str" cm="1">
        <f t="array" ref="M73">IF($B73=0,IF($E73=0,"",IF(INDEX(DMAV_Dienste!Q$6:Q$140,$E73)="","",INDEX(DMAV_Dienste!Q$6:Q$140,$E73))),IF(INDEX(DMAV_Modell!R$6:R$838,$B73)="","",INDEX(DMAV_Modell!R$6:R$838,$B73)))</f>
        <v>GrundbuchKreis</v>
      </c>
      <c r="N73" s="62" t="str" cm="1">
        <f t="array" ref="N73">IF($B73=0,IF($E73=0,"",IF(INDEX(DMAV_Dienste!T$6:T$140,$E73)="","",INDEX(DMAV_Dienste!T$6:T$140,$E73))),IF(INDEX(DMAV_Modell!U$6:U$838,$B73)="","",INDEX(DMAV_Modell!U$6:U$838,$B73)))</f>
        <v>NBIdent</v>
      </c>
      <c r="O73" s="63" t="str" cm="1">
        <f t="array" aca="1" ref="O73" ca="1">IF(C73=0,IF(F73=0,"",HYPERLINK("#"&amp;RIGHT(CELL("adresse",OFFSET(DMAV_Dienste!$M$6,F73-1,0)),LEN(CELL("adresse",OFFSET(DMAV_Dienste!$M$6,F73-1,0)))-FIND("]",CELL("adresse",OFFSET(DMAV_Dienste!$M$6,F73-1,0)))),"Structure")),HYPERLINK("#"&amp;RIGHT(CELL("adresse",OFFSET(DMAV_Modell!$N$6,C73-1,0)),LEN(CELL("adresse",OFFSET(DMAV_Modell!$N$6,C73-1,0)))-FIND("]",CELL("adresse",OFFSET(DMAV_Modell!$N$6,C73-1,0)))),"Structure"))</f>
        <v/>
      </c>
      <c r="P73" s="64" t="str" cm="1">
        <f t="array" aca="1" ref="P73" ca="1">IF(D73=0,IF(G73=0,"",HYPERLINK("#"&amp;RIGHT(CELL("adresse",OFFSET(DMAV_Dienste!$M$6,G73-1,0)),LEN(CELL("adresse",OFFSET(DMAV_Dienste!$M$6,G73-1,0)))-FIND("]",CELL("adresse",OFFSET(DMAV_Dienste!$M$6,G73-1,0)))),"Substructure")),HYPERLINK("#"&amp;RIGHT(CELL("adresse",OFFSET(DMAV_Modell!$N$6,D73-1,0)),LEN(CELL("adresse",OFFSET(DMAV_Modell!$N$6,D73-1,0)))-FIND("]",CELL("adresse",OFFSET(DMAV_Modell!$N$6,D73-1,0)))),"Substructure"))</f>
        <v/>
      </c>
      <c r="R73" s="80"/>
      <c r="T73" s="93"/>
      <c r="U73" s="94"/>
      <c r="V73" s="95"/>
      <c r="W73" s="96"/>
      <c r="Y73" s="85"/>
      <c r="Z73" s="86"/>
      <c r="AA73" s="87"/>
      <c r="AB73" s="88"/>
      <c r="AD73" s="77"/>
      <c r="AF73" s="54" t="str" cm="1">
        <f t="array" aca="1" ref="AF73" ca="1">IF(H73=0,"",HYPERLINK("#"&amp;RIGHT(CELL("adresse",OFFSET('DM01-AV-CH'!$G$6,H73-1,0)),LEN(CELL("adresse",OFFSET('DM01-AV-CH'!$G$6,H73-1,0)))-FIND("]",CELL("adresse",OFFSET('DM01-AV-CH'!$G$6,H73-1,0)))),"Modell"))</f>
        <v/>
      </c>
      <c r="AG73" s="72" t="str" cm="1">
        <f t="array" ref="AG73">IF($H73=0,"",IF(INDEX('DM01-AV-CH'!G$6:G$834,$H73)="","",INDEX('DM01-AV-CH'!G$6:G$834,$H73)))</f>
        <v/>
      </c>
      <c r="AH73" s="73" t="str" cm="1">
        <f t="array" ref="AH73">IF($H73=0,"",IF(INDEX('DM01-AV-CH'!H$6:H$834,$H73)="","",INDEX('DM01-AV-CH'!H$6:H$834,$H73)))</f>
        <v/>
      </c>
      <c r="AI73" s="74" t="str" cm="1">
        <f t="array" ref="AI73">IF($H73=0,"",IF(INDEX('DM01-AV-CH'!I$6:I$834,$H73)="","",INDEX('DM01-AV-CH'!I$6:I$834,$H73)))</f>
        <v/>
      </c>
    </row>
    <row r="74" spans="1:35" x14ac:dyDescent="0.25">
      <c r="A74" s="57">
        <v>69</v>
      </c>
      <c r="B74" s="57">
        <f>IF($A74="","",IF(_xlfn.XLOOKUP($A74,Korrelation!$D$4:$D$1197,Korrelation!E$4:E$1197,"-",0)="-",0,MATCH(_xlfn.XLOOKUP($A74,Korrelation!$D$4:$D$1197,Korrelation!E$4:E$1197,"",0),DMAV_Modell!$G$6:$G$677,0)))</f>
        <v>58</v>
      </c>
      <c r="C74" s="57">
        <f>IF($A74="","",IF(_xlfn.XLOOKUP($A74,Korrelation!$D$4:$D$1197,Korrelation!F$4:F$1197,"-",0)="-",0,MATCH(_xlfn.XLOOKUP($A74,Korrelation!$D$4:$D$1197,Korrelation!F$4:F$1197,"",0),DMAV_Modell!$G$6:$G$677,0)))</f>
        <v>0</v>
      </c>
      <c r="D74" s="57">
        <f>IF($A74="","",IF(_xlfn.XLOOKUP($A74,Korrelation!$D$4:$D$1197,Korrelation!G$4:G$1197,"-",0)="-",0,MATCH(_xlfn.XLOOKUP($A74,Korrelation!$D$4:$D$1197,Korrelation!G$4:G$1197,"",0),DMAV_Modell!$G$6:$G$677,0)))</f>
        <v>0</v>
      </c>
      <c r="E74" s="57">
        <f>IF($A74="","",IF(_xlfn.XLOOKUP($A74,Korrelation!$D$4:$D$1197,Korrelation!H$4:H$1197,"-",0)="-",0,MATCH(_xlfn.XLOOKUP($A74,Korrelation!$D$4:$D$1197,Korrelation!H$4:H$1197,"",0),DMAV_Dienste!$F$6:$F$140,0)))</f>
        <v>0</v>
      </c>
      <c r="F74" s="57">
        <f>IF($A74="","",IF(_xlfn.XLOOKUP($A74,Korrelation!$D$4:$D$1197,Korrelation!I$4:I$1197,"-",0)="-",0,MATCH(_xlfn.XLOOKUP($A74,Korrelation!$D$4:$D$1197,Korrelation!I$4:I$1197,"",0),DMAV_Dienste!$F$6:$F$140,0)))</f>
        <v>0</v>
      </c>
      <c r="G74" s="57">
        <f>IF($A74="","",IF(_xlfn.XLOOKUP($A74,Korrelation!$D$4:$D$1197,Korrelation!J$4:J$1197,"-",0)="-",0,MATCH(_xlfn.XLOOKUP($A74,Korrelation!$D$4:$D$1197,Korrelation!J$4:J$1197,"",0),DMAV_Dienste!$F$6:$F$140,0)))</f>
        <v>0</v>
      </c>
      <c r="H74" s="57">
        <f>IF($A74="","",IF(_xlfn.XLOOKUP($A74,Korrelation!$D$4:$D$1197,Korrelation!K$4:K$1197,"-",0)="-",0,MATCH(_xlfn.XLOOKUP($A74,Korrelation!$D$4:$D$1197,Korrelation!K$4:K$1197,"",0),'DM01-AV-CH'!$A$6:$A$834,0)))</f>
        <v>0</v>
      </c>
      <c r="J74" s="54" t="str" cm="1">
        <f t="array" aca="1" ref="J74" ca="1">IF(B74=0,IF(E74=0,"",HYPERLINK("#"&amp;RIGHT(CELL("adresse",OFFSET(DMAV_Dienste!$M$6,E74-1,0)),LEN(CELL("adresse",OFFSET(DMAV_Dienste!$M$6,E74-1,0)))-FIND("]",CELL("adresse",OFFSET(DMAV_Dienste!$M$6,E74-1,0)))),"Dienst")),HYPERLINK("#"&amp;RIGHT(CELL("adresse",OFFSET(DMAV_Modell!$N$6,B74-1,0)),LEN(CELL("adresse",OFFSET(DMAV_Modell!$N$6,B74-1,0)))-FIND("]",CELL("adresse",OFFSET(DMAV_Modell!$N$6,B74-1,0)))),"Modell"))</f>
        <v>Modell</v>
      </c>
      <c r="K74" s="61" t="str" cm="1">
        <f t="array" ref="K74">IF($B74=0,IF($E74=0,"",IF(INDEX(DMAV_Dienste!P$6:P$140,$E74)="","",INDEX(DMAV_Dienste!P$6:P$140,$E74))),IF(INDEX(DMAV_Modell!Q$6:Q$838,$B74)="","",INDEX(DMAV_Modell!Q$6:Q$838,$B74)))</f>
        <v>CLASS</v>
      </c>
      <c r="L74" s="62" t="str" cm="1">
        <f t="array" ref="L74">IF($B74=0,IF($E74=0,"",IF(INDEX(DMAV_Dienste!O$6:O$140,$E74)="","",INDEX(DMAV_Dienste!O$6:O$140,$E74))),IF(INDEX(DMAV_Modell!P$6:P$838,$B74)="","",INDEX(DMAV_Modell!P$6:P$838,$B74)))</f>
        <v>UntereinheitGrundbuch</v>
      </c>
      <c r="M74" s="62" t="str" cm="1">
        <f t="array" ref="M74">IF($B74=0,IF($E74=0,"",IF(INDEX(DMAV_Dienste!Q$6:Q$140,$E74)="","",INDEX(DMAV_Dienste!Q$6:Q$140,$E74))),IF(INDEX(DMAV_Modell!R$6:R$838,$B74)="","",INDEX(DMAV_Modell!R$6:R$838,$B74)))</f>
        <v>GrundbuchKreis</v>
      </c>
      <c r="N74" s="62" t="str" cm="1">
        <f t="array" ref="N74">IF($B74=0,IF($E74=0,"",IF(INDEX(DMAV_Dienste!T$6:T$140,$E74)="","",INDEX(DMAV_Dienste!T$6:T$140,$E74))),IF(INDEX(DMAV_Modell!U$6:U$838,$B74)="","",INDEX(DMAV_Modell!U$6:U$838,$B74)))</f>
        <v>Name</v>
      </c>
      <c r="O74" s="63" t="str" cm="1">
        <f t="array" aca="1" ref="O74" ca="1">IF(C74=0,IF(F74=0,"",HYPERLINK("#"&amp;RIGHT(CELL("adresse",OFFSET(DMAV_Dienste!$M$6,F74-1,0)),LEN(CELL("adresse",OFFSET(DMAV_Dienste!$M$6,F74-1,0)))-FIND("]",CELL("adresse",OFFSET(DMAV_Dienste!$M$6,F74-1,0)))),"Structure")),HYPERLINK("#"&amp;RIGHT(CELL("adresse",OFFSET(DMAV_Modell!$N$6,C74-1,0)),LEN(CELL("adresse",OFFSET(DMAV_Modell!$N$6,C74-1,0)))-FIND("]",CELL("adresse",OFFSET(DMAV_Modell!$N$6,C74-1,0)))),"Structure"))</f>
        <v/>
      </c>
      <c r="P74" s="64" t="str" cm="1">
        <f t="array" aca="1" ref="P74" ca="1">IF(D74=0,IF(G74=0,"",HYPERLINK("#"&amp;RIGHT(CELL("adresse",OFFSET(DMAV_Dienste!$M$6,G74-1,0)),LEN(CELL("adresse",OFFSET(DMAV_Dienste!$M$6,G74-1,0)))-FIND("]",CELL("adresse",OFFSET(DMAV_Dienste!$M$6,G74-1,0)))),"Substructure")),HYPERLINK("#"&amp;RIGHT(CELL("adresse",OFFSET(DMAV_Modell!$N$6,D74-1,0)),LEN(CELL("adresse",OFFSET(DMAV_Modell!$N$6,D74-1,0)))-FIND("]",CELL("adresse",OFFSET(DMAV_Modell!$N$6,D74-1,0)))),"Substructure"))</f>
        <v/>
      </c>
      <c r="R74" s="80"/>
      <c r="T74" s="93"/>
      <c r="U74" s="94"/>
      <c r="V74" s="95"/>
      <c r="W74" s="96"/>
      <c r="Y74" s="85"/>
      <c r="Z74" s="86"/>
      <c r="AA74" s="87"/>
      <c r="AB74" s="88"/>
      <c r="AD74" s="77"/>
      <c r="AF74" s="54" t="str" cm="1">
        <f t="array" aca="1" ref="AF74" ca="1">IF(H74=0,"",HYPERLINK("#"&amp;RIGHT(CELL("adresse",OFFSET('DM01-AV-CH'!$G$6,H74-1,0)),LEN(CELL("adresse",OFFSET('DM01-AV-CH'!$G$6,H74-1,0)))-FIND("]",CELL("adresse",OFFSET('DM01-AV-CH'!$G$6,H74-1,0)))),"Modell"))</f>
        <v/>
      </c>
      <c r="AG74" s="72" t="str" cm="1">
        <f t="array" ref="AG74">IF($H74=0,"",IF(INDEX('DM01-AV-CH'!G$6:G$834,$H74)="","",INDEX('DM01-AV-CH'!G$6:G$834,$H74)))</f>
        <v/>
      </c>
      <c r="AH74" s="73" t="str" cm="1">
        <f t="array" ref="AH74">IF($H74=0,"",IF(INDEX('DM01-AV-CH'!H$6:H$834,$H74)="","",INDEX('DM01-AV-CH'!H$6:H$834,$H74)))</f>
        <v/>
      </c>
      <c r="AI74" s="74" t="str" cm="1">
        <f t="array" ref="AI74">IF($H74=0,"",IF(INDEX('DM01-AV-CH'!I$6:I$834,$H74)="","",INDEX('DM01-AV-CH'!I$6:I$834,$H74)))</f>
        <v/>
      </c>
    </row>
    <row r="75" spans="1:35" x14ac:dyDescent="0.25">
      <c r="A75" s="57">
        <v>70</v>
      </c>
      <c r="B75" s="57">
        <f>IF($A75="","",IF(_xlfn.XLOOKUP($A75,Korrelation!$D$4:$D$1197,Korrelation!E$4:E$1197,"-",0)="-",0,MATCH(_xlfn.XLOOKUP($A75,Korrelation!$D$4:$D$1197,Korrelation!E$4:E$1197,"",0),DMAV_Modell!$G$6:$G$677,0)))</f>
        <v>59</v>
      </c>
      <c r="C75" s="57">
        <f>IF($A75="","",IF(_xlfn.XLOOKUP($A75,Korrelation!$D$4:$D$1197,Korrelation!F$4:F$1197,"-",0)="-",0,MATCH(_xlfn.XLOOKUP($A75,Korrelation!$D$4:$D$1197,Korrelation!F$4:F$1197,"",0),DMAV_Modell!$G$6:$G$677,0)))</f>
        <v>0</v>
      </c>
      <c r="D75" s="57">
        <f>IF($A75="","",IF(_xlfn.XLOOKUP($A75,Korrelation!$D$4:$D$1197,Korrelation!G$4:G$1197,"-",0)="-",0,MATCH(_xlfn.XLOOKUP($A75,Korrelation!$D$4:$D$1197,Korrelation!G$4:G$1197,"",0),DMAV_Modell!$G$6:$G$677,0)))</f>
        <v>0</v>
      </c>
      <c r="E75" s="57">
        <f>IF($A75="","",IF(_xlfn.XLOOKUP($A75,Korrelation!$D$4:$D$1197,Korrelation!H$4:H$1197,"-",0)="-",0,MATCH(_xlfn.XLOOKUP($A75,Korrelation!$D$4:$D$1197,Korrelation!H$4:H$1197,"",0),DMAV_Dienste!$F$6:$F$140,0)))</f>
        <v>0</v>
      </c>
      <c r="F75" s="57">
        <f>IF($A75="","",IF(_xlfn.XLOOKUP($A75,Korrelation!$D$4:$D$1197,Korrelation!I$4:I$1197,"-",0)="-",0,MATCH(_xlfn.XLOOKUP($A75,Korrelation!$D$4:$D$1197,Korrelation!I$4:I$1197,"",0),DMAV_Dienste!$F$6:$F$140,0)))</f>
        <v>0</v>
      </c>
      <c r="G75" s="57">
        <f>IF($A75="","",IF(_xlfn.XLOOKUP($A75,Korrelation!$D$4:$D$1197,Korrelation!J$4:J$1197,"-",0)="-",0,MATCH(_xlfn.XLOOKUP($A75,Korrelation!$D$4:$D$1197,Korrelation!J$4:J$1197,"",0),DMAV_Dienste!$F$6:$F$140,0)))</f>
        <v>0</v>
      </c>
      <c r="H75" s="57">
        <f>IF($A75="","",IF(_xlfn.XLOOKUP($A75,Korrelation!$D$4:$D$1197,Korrelation!K$4:K$1197,"-",0)="-",0,MATCH(_xlfn.XLOOKUP($A75,Korrelation!$D$4:$D$1197,Korrelation!K$4:K$1197,"",0),'DM01-AV-CH'!$A$6:$A$834,0)))</f>
        <v>0</v>
      </c>
      <c r="J75" s="54" t="str" cm="1">
        <f t="array" aca="1" ref="J75" ca="1">IF(B75=0,IF(E75=0,"",HYPERLINK("#"&amp;RIGHT(CELL("adresse",OFFSET(DMAV_Dienste!$M$6,E75-1,0)),LEN(CELL("adresse",OFFSET(DMAV_Dienste!$M$6,E75-1,0)))-FIND("]",CELL("adresse",OFFSET(DMAV_Dienste!$M$6,E75-1,0)))),"Dienst")),HYPERLINK("#"&amp;RIGHT(CELL("adresse",OFFSET(DMAV_Modell!$N$6,B75-1,0)),LEN(CELL("adresse",OFFSET(DMAV_Modell!$N$6,B75-1,0)))-FIND("]",CELL("adresse",OFFSET(DMAV_Modell!$N$6,B75-1,0)))),"Modell"))</f>
        <v>Modell</v>
      </c>
      <c r="K75" s="61" t="str" cm="1">
        <f t="array" ref="K75">IF($B75=0,IF($E75=0,"",IF(INDEX(DMAV_Dienste!P$6:P$140,$E75)="","",INDEX(DMAV_Dienste!P$6:P$140,$E75))),IF(INDEX(DMAV_Modell!Q$6:Q$838,$B75)="","",INDEX(DMAV_Modell!Q$6:Q$838,$B75)))</f>
        <v>CLASS</v>
      </c>
      <c r="L75" s="62" t="str" cm="1">
        <f t="array" ref="L75">IF($B75=0,IF($E75=0,"",IF(INDEX(DMAV_Dienste!O$6:O$140,$E75)="","",INDEX(DMAV_Dienste!O$6:O$140,$E75))),IF(INDEX(DMAV_Modell!P$6:P$838,$B75)="","",INDEX(DMAV_Modell!P$6:P$838,$B75)))</f>
        <v>UntereinheitGrundbuch</v>
      </c>
      <c r="M75" s="62" t="str" cm="1">
        <f t="array" ref="M75">IF($B75=0,IF($E75=0,"",IF(INDEX(DMAV_Dienste!Q$6:Q$140,$E75)="","",INDEX(DMAV_Dienste!Q$6:Q$140,$E75))),IF(INDEX(DMAV_Modell!R$6:R$838,$B75)="","",INDEX(DMAV_Modell!R$6:R$838,$B75)))</f>
        <v>GrundbuchKreis</v>
      </c>
      <c r="N75" s="62" t="str" cm="1">
        <f t="array" ref="N75">IF($B75=0,IF($E75=0,"",IF(INDEX(DMAV_Dienste!T$6:T$140,$E75)="","",INDEX(DMAV_Dienste!T$6:T$140,$E75))),IF(INDEX(DMAV_Modell!U$6:U$838,$B75)="","",INDEX(DMAV_Modell!U$6:U$838,$B75)))</f>
        <v>eGRIS_SubKreis</v>
      </c>
      <c r="O75" s="63" t="str" cm="1">
        <f t="array" aca="1" ref="O75" ca="1">IF(C75=0,IF(F75=0,"",HYPERLINK("#"&amp;RIGHT(CELL("adresse",OFFSET(DMAV_Dienste!$M$6,F75-1,0)),LEN(CELL("adresse",OFFSET(DMAV_Dienste!$M$6,F75-1,0)))-FIND("]",CELL("adresse",OFFSET(DMAV_Dienste!$M$6,F75-1,0)))),"Structure")),HYPERLINK("#"&amp;RIGHT(CELL("adresse",OFFSET(DMAV_Modell!$N$6,C75-1,0)),LEN(CELL("adresse",OFFSET(DMAV_Modell!$N$6,C75-1,0)))-FIND("]",CELL("adresse",OFFSET(DMAV_Modell!$N$6,C75-1,0)))),"Structure"))</f>
        <v/>
      </c>
      <c r="P75" s="64" t="str" cm="1">
        <f t="array" aca="1" ref="P75" ca="1">IF(D75=0,IF(G75=0,"",HYPERLINK("#"&amp;RIGHT(CELL("adresse",OFFSET(DMAV_Dienste!$M$6,G75-1,0)),LEN(CELL("adresse",OFFSET(DMAV_Dienste!$M$6,G75-1,0)))-FIND("]",CELL("adresse",OFFSET(DMAV_Dienste!$M$6,G75-1,0)))),"Substructure")),HYPERLINK("#"&amp;RIGHT(CELL("adresse",OFFSET(DMAV_Modell!$N$6,D75-1,0)),LEN(CELL("adresse",OFFSET(DMAV_Modell!$N$6,D75-1,0)))-FIND("]",CELL("adresse",OFFSET(DMAV_Modell!$N$6,D75-1,0)))),"Substructure"))</f>
        <v/>
      </c>
      <c r="R75" s="80"/>
      <c r="T75" s="93"/>
      <c r="U75" s="94"/>
      <c r="V75" s="95"/>
      <c r="W75" s="96"/>
      <c r="Y75" s="85"/>
      <c r="Z75" s="86"/>
      <c r="AA75" s="87"/>
      <c r="AB75" s="88"/>
      <c r="AD75" s="77"/>
      <c r="AF75" s="54" t="str" cm="1">
        <f t="array" aca="1" ref="AF75" ca="1">IF(H75=0,"",HYPERLINK("#"&amp;RIGHT(CELL("adresse",OFFSET('DM01-AV-CH'!$G$6,H75-1,0)),LEN(CELL("adresse",OFFSET('DM01-AV-CH'!$G$6,H75-1,0)))-FIND("]",CELL("adresse",OFFSET('DM01-AV-CH'!$G$6,H75-1,0)))),"Modell"))</f>
        <v/>
      </c>
      <c r="AG75" s="72" t="str" cm="1">
        <f t="array" ref="AG75">IF($H75=0,"",IF(INDEX('DM01-AV-CH'!G$6:G$834,$H75)="","",INDEX('DM01-AV-CH'!G$6:G$834,$H75)))</f>
        <v/>
      </c>
      <c r="AH75" s="73" t="str" cm="1">
        <f t="array" ref="AH75">IF($H75=0,"",IF(INDEX('DM01-AV-CH'!H$6:H$834,$H75)="","",INDEX('DM01-AV-CH'!H$6:H$834,$H75)))</f>
        <v/>
      </c>
      <c r="AI75" s="74" t="str" cm="1">
        <f t="array" ref="AI75">IF($H75=0,"",IF(INDEX('DM01-AV-CH'!I$6:I$834,$H75)="","",INDEX('DM01-AV-CH'!I$6:I$834,$H75)))</f>
        <v/>
      </c>
    </row>
    <row r="76" spans="1:35" x14ac:dyDescent="0.25">
      <c r="A76" s="57">
        <v>71</v>
      </c>
      <c r="B76" s="57">
        <f>IF($A76="","",IF(_xlfn.XLOOKUP($A76,Korrelation!$D$4:$D$1197,Korrelation!E$4:E$1197,"-",0)="-",0,MATCH(_xlfn.XLOOKUP($A76,Korrelation!$D$4:$D$1197,Korrelation!E$4:E$1197,"",0),DMAV_Modell!$G$6:$G$677,0)))</f>
        <v>60</v>
      </c>
      <c r="C76" s="57">
        <f>IF($A76="","",IF(_xlfn.XLOOKUP($A76,Korrelation!$D$4:$D$1197,Korrelation!F$4:F$1197,"-",0)="-",0,MATCH(_xlfn.XLOOKUP($A76,Korrelation!$D$4:$D$1197,Korrelation!F$4:F$1197,"",0),DMAV_Modell!$G$6:$G$677,0)))</f>
        <v>0</v>
      </c>
      <c r="D76" s="57">
        <f>IF($A76="","",IF(_xlfn.XLOOKUP($A76,Korrelation!$D$4:$D$1197,Korrelation!G$4:G$1197,"-",0)="-",0,MATCH(_xlfn.XLOOKUP($A76,Korrelation!$D$4:$D$1197,Korrelation!G$4:G$1197,"",0),DMAV_Modell!$G$6:$G$677,0)))</f>
        <v>0</v>
      </c>
      <c r="E76" s="57">
        <f>IF($A76="","",IF(_xlfn.XLOOKUP($A76,Korrelation!$D$4:$D$1197,Korrelation!H$4:H$1197,"-",0)="-",0,MATCH(_xlfn.XLOOKUP($A76,Korrelation!$D$4:$D$1197,Korrelation!H$4:H$1197,"",0),DMAV_Dienste!$F$6:$F$140,0)))</f>
        <v>0</v>
      </c>
      <c r="F76" s="57">
        <f>IF($A76="","",IF(_xlfn.XLOOKUP($A76,Korrelation!$D$4:$D$1197,Korrelation!I$4:I$1197,"-",0)="-",0,MATCH(_xlfn.XLOOKUP($A76,Korrelation!$D$4:$D$1197,Korrelation!I$4:I$1197,"",0),DMAV_Dienste!$F$6:$F$140,0)))</f>
        <v>0</v>
      </c>
      <c r="G76" s="57">
        <f>IF($A76="","",IF(_xlfn.XLOOKUP($A76,Korrelation!$D$4:$D$1197,Korrelation!J$4:J$1197,"-",0)="-",0,MATCH(_xlfn.XLOOKUP($A76,Korrelation!$D$4:$D$1197,Korrelation!J$4:J$1197,"",0),DMAV_Dienste!$F$6:$F$140,0)))</f>
        <v>0</v>
      </c>
      <c r="H76" s="57">
        <f>IF($A76="","",IF(_xlfn.XLOOKUP($A76,Korrelation!$D$4:$D$1197,Korrelation!K$4:K$1197,"-",0)="-",0,MATCH(_xlfn.XLOOKUP($A76,Korrelation!$D$4:$D$1197,Korrelation!K$4:K$1197,"",0),'DM01-AV-CH'!$A$6:$A$834,0)))</f>
        <v>0</v>
      </c>
      <c r="J76" s="54" t="str" cm="1">
        <f t="array" aca="1" ref="J76" ca="1">IF(B76=0,IF(E76=0,"",HYPERLINK("#"&amp;RIGHT(CELL("adresse",OFFSET(DMAV_Dienste!$M$6,E76-1,0)),LEN(CELL("adresse",OFFSET(DMAV_Dienste!$M$6,E76-1,0)))-FIND("]",CELL("adresse",OFFSET(DMAV_Dienste!$M$6,E76-1,0)))),"Dienst")),HYPERLINK("#"&amp;RIGHT(CELL("adresse",OFFSET(DMAV_Modell!$N$6,B76-1,0)),LEN(CELL("adresse",OFFSET(DMAV_Modell!$N$6,B76-1,0)))-FIND("]",CELL("adresse",OFFSET(DMAV_Modell!$N$6,B76-1,0)))),"Modell"))</f>
        <v>Modell</v>
      </c>
      <c r="K76" s="61" t="str" cm="1">
        <f t="array" ref="K76">IF($B76=0,IF($E76=0,"",IF(INDEX(DMAV_Dienste!P$6:P$140,$E76)="","",INDEX(DMAV_Dienste!P$6:P$140,$E76))),IF(INDEX(DMAV_Modell!Q$6:Q$838,$B76)="","",INDEX(DMAV_Modell!Q$6:Q$838,$B76)))</f>
        <v>CLASS</v>
      </c>
      <c r="L76" s="62" t="str" cm="1">
        <f t="array" ref="L76">IF($B76=0,IF($E76=0,"",IF(INDEX(DMAV_Dienste!O$6:O$140,$E76)="","",INDEX(DMAV_Dienste!O$6:O$140,$E76))),IF(INDEX(DMAV_Modell!P$6:P$838,$B76)="","",INDEX(DMAV_Modell!P$6:P$838,$B76)))</f>
        <v>UntereinheitGrundbuch</v>
      </c>
      <c r="M76" s="62" t="str" cm="1">
        <f t="array" ref="M76">IF($B76=0,IF($E76=0,"",IF(INDEX(DMAV_Dienste!Q$6:Q$140,$E76)="","",INDEX(DMAV_Dienste!Q$6:Q$140,$E76))),IF(INDEX(DMAV_Modell!R$6:R$838,$B76)="","",INDEX(DMAV_Modell!R$6:R$838,$B76)))</f>
        <v>GrundbuchKreis</v>
      </c>
      <c r="N76" s="62" t="str" cm="1">
        <f t="array" ref="N76">IF($B76=0,IF($E76=0,"",IF(INDEX(DMAV_Dienste!T$6:T$140,$E76)="","",INDEX(DMAV_Dienste!T$6:T$140,$E76))),IF(INDEX(DMAV_Modell!U$6:U$838,$B76)="","",INDEX(DMAV_Modell!U$6:U$838,$B76)))</f>
        <v>eGRIS_Los</v>
      </c>
      <c r="O76" s="63" t="str" cm="1">
        <f t="array" aca="1" ref="O76" ca="1">IF(C76=0,IF(F76=0,"",HYPERLINK("#"&amp;RIGHT(CELL("adresse",OFFSET(DMAV_Dienste!$M$6,F76-1,0)),LEN(CELL("adresse",OFFSET(DMAV_Dienste!$M$6,F76-1,0)))-FIND("]",CELL("adresse",OFFSET(DMAV_Dienste!$M$6,F76-1,0)))),"Structure")),HYPERLINK("#"&amp;RIGHT(CELL("adresse",OFFSET(DMAV_Modell!$N$6,C76-1,0)),LEN(CELL("adresse",OFFSET(DMAV_Modell!$N$6,C76-1,0)))-FIND("]",CELL("adresse",OFFSET(DMAV_Modell!$N$6,C76-1,0)))),"Structure"))</f>
        <v/>
      </c>
      <c r="P76" s="64" t="str" cm="1">
        <f t="array" aca="1" ref="P76" ca="1">IF(D76=0,IF(G76=0,"",HYPERLINK("#"&amp;RIGHT(CELL("adresse",OFFSET(DMAV_Dienste!$M$6,G76-1,0)),LEN(CELL("adresse",OFFSET(DMAV_Dienste!$M$6,G76-1,0)))-FIND("]",CELL("adresse",OFFSET(DMAV_Dienste!$M$6,G76-1,0)))),"Substructure")),HYPERLINK("#"&amp;RIGHT(CELL("adresse",OFFSET(DMAV_Modell!$N$6,D76-1,0)),LEN(CELL("adresse",OFFSET(DMAV_Modell!$N$6,D76-1,0)))-FIND("]",CELL("adresse",OFFSET(DMAV_Modell!$N$6,D76-1,0)))),"Substructure"))</f>
        <v/>
      </c>
      <c r="R76" s="80"/>
      <c r="T76" s="93"/>
      <c r="U76" s="94"/>
      <c r="V76" s="95"/>
      <c r="W76" s="96"/>
      <c r="Y76" s="85"/>
      <c r="Z76" s="86"/>
      <c r="AA76" s="87"/>
      <c r="AB76" s="88"/>
      <c r="AD76" s="77"/>
      <c r="AF76" s="54" t="str" cm="1">
        <f t="array" aca="1" ref="AF76" ca="1">IF(H76=0,"",HYPERLINK("#"&amp;RIGHT(CELL("adresse",OFFSET('DM01-AV-CH'!$G$6,H76-1,0)),LEN(CELL("adresse",OFFSET('DM01-AV-CH'!$G$6,H76-1,0)))-FIND("]",CELL("adresse",OFFSET('DM01-AV-CH'!$G$6,H76-1,0)))),"Modell"))</f>
        <v/>
      </c>
      <c r="AG76" s="72" t="str" cm="1">
        <f t="array" ref="AG76">IF($H76=0,"",IF(INDEX('DM01-AV-CH'!G$6:G$834,$H76)="","",INDEX('DM01-AV-CH'!G$6:G$834,$H76)))</f>
        <v/>
      </c>
      <c r="AH76" s="73" t="str" cm="1">
        <f t="array" ref="AH76">IF($H76=0,"",IF(INDEX('DM01-AV-CH'!H$6:H$834,$H76)="","",INDEX('DM01-AV-CH'!H$6:H$834,$H76)))</f>
        <v/>
      </c>
      <c r="AI76" s="74" t="str" cm="1">
        <f t="array" ref="AI76">IF($H76=0,"",IF(INDEX('DM01-AV-CH'!I$6:I$834,$H76)="","",INDEX('DM01-AV-CH'!I$6:I$834,$H76)))</f>
        <v/>
      </c>
    </row>
    <row r="77" spans="1:35" x14ac:dyDescent="0.25">
      <c r="A77" s="57">
        <v>72</v>
      </c>
      <c r="B77" s="57">
        <f>IF($A77="","",IF(_xlfn.XLOOKUP($A77,Korrelation!$D$4:$D$1197,Korrelation!E$4:E$1197,"-",0)="-",0,MATCH(_xlfn.XLOOKUP($A77,Korrelation!$D$4:$D$1197,Korrelation!E$4:E$1197,"",0),DMAV_Modell!$G$6:$G$677,0)))</f>
        <v>61</v>
      </c>
      <c r="C77" s="57">
        <f>IF($A77="","",IF(_xlfn.XLOOKUP($A77,Korrelation!$D$4:$D$1197,Korrelation!F$4:F$1197,"-",0)="-",0,MATCH(_xlfn.XLOOKUP($A77,Korrelation!$D$4:$D$1197,Korrelation!F$4:F$1197,"",0),DMAV_Modell!$G$6:$G$677,0)))</f>
        <v>0</v>
      </c>
      <c r="D77" s="57">
        <f>IF($A77="","",IF(_xlfn.XLOOKUP($A77,Korrelation!$D$4:$D$1197,Korrelation!G$4:G$1197,"-",0)="-",0,MATCH(_xlfn.XLOOKUP($A77,Korrelation!$D$4:$D$1197,Korrelation!G$4:G$1197,"",0),DMAV_Modell!$G$6:$G$677,0)))</f>
        <v>0</v>
      </c>
      <c r="E77" s="57">
        <f>IF($A77="","",IF(_xlfn.XLOOKUP($A77,Korrelation!$D$4:$D$1197,Korrelation!H$4:H$1197,"-",0)="-",0,MATCH(_xlfn.XLOOKUP($A77,Korrelation!$D$4:$D$1197,Korrelation!H$4:H$1197,"",0),DMAV_Dienste!$F$6:$F$140,0)))</f>
        <v>0</v>
      </c>
      <c r="F77" s="57">
        <f>IF($A77="","",IF(_xlfn.XLOOKUP($A77,Korrelation!$D$4:$D$1197,Korrelation!I$4:I$1197,"-",0)="-",0,MATCH(_xlfn.XLOOKUP($A77,Korrelation!$D$4:$D$1197,Korrelation!I$4:I$1197,"",0),DMAV_Dienste!$F$6:$F$140,0)))</f>
        <v>0</v>
      </c>
      <c r="G77" s="57">
        <f>IF($A77="","",IF(_xlfn.XLOOKUP($A77,Korrelation!$D$4:$D$1197,Korrelation!J$4:J$1197,"-",0)="-",0,MATCH(_xlfn.XLOOKUP($A77,Korrelation!$D$4:$D$1197,Korrelation!J$4:J$1197,"",0),DMAV_Dienste!$F$6:$F$140,0)))</f>
        <v>0</v>
      </c>
      <c r="H77" s="57">
        <f>IF($A77="","",IF(_xlfn.XLOOKUP($A77,Korrelation!$D$4:$D$1197,Korrelation!K$4:K$1197,"-",0)="-",0,MATCH(_xlfn.XLOOKUP($A77,Korrelation!$D$4:$D$1197,Korrelation!K$4:K$1197,"",0),'DM01-AV-CH'!$A$6:$A$834,0)))</f>
        <v>0</v>
      </c>
      <c r="J77" s="54" t="str" cm="1">
        <f t="array" aca="1" ref="J77" ca="1">IF(B77=0,IF(E77=0,"",HYPERLINK("#"&amp;RIGHT(CELL("adresse",OFFSET(DMAV_Dienste!$M$6,E77-1,0)),LEN(CELL("adresse",OFFSET(DMAV_Dienste!$M$6,E77-1,0)))-FIND("]",CELL("adresse",OFFSET(DMAV_Dienste!$M$6,E77-1,0)))),"Dienst")),HYPERLINK("#"&amp;RIGHT(CELL("adresse",OFFSET(DMAV_Modell!$N$6,B77-1,0)),LEN(CELL("adresse",OFFSET(DMAV_Modell!$N$6,B77-1,0)))-FIND("]",CELL("adresse",OFFSET(DMAV_Modell!$N$6,B77-1,0)))),"Modell"))</f>
        <v>Modell</v>
      </c>
      <c r="K77" s="61" t="str" cm="1">
        <f t="array" ref="K77">IF($B77=0,IF($E77=0,"",IF(INDEX(DMAV_Dienste!P$6:P$140,$E77)="","",INDEX(DMAV_Dienste!P$6:P$140,$E77))),IF(INDEX(DMAV_Modell!Q$6:Q$838,$B77)="","",INDEX(DMAV_Modell!Q$6:Q$838,$B77)))</f>
        <v>CLASS</v>
      </c>
      <c r="L77" s="62" t="str" cm="1">
        <f t="array" ref="L77">IF($B77=0,IF($E77=0,"",IF(INDEX(DMAV_Dienste!O$6:O$140,$E77)="","",INDEX(DMAV_Dienste!O$6:O$140,$E77))),IF(INDEX(DMAV_Modell!P$6:P$838,$B77)="","",INDEX(DMAV_Modell!P$6:P$838,$B77)))</f>
        <v>UntereinheitGrundbuch</v>
      </c>
      <c r="M77" s="62" t="str" cm="1">
        <f t="array" ref="M77">IF($B77=0,IF($E77=0,"",IF(INDEX(DMAV_Dienste!Q$6:Q$140,$E77)="","",INDEX(DMAV_Dienste!Q$6:Q$140,$E77))),IF(INDEX(DMAV_Modell!R$6:R$838,$B77)="","",INDEX(DMAV_Modell!R$6:R$838,$B77)))</f>
        <v>GrundbuchKreis</v>
      </c>
      <c r="N77" s="62" t="str" cm="1">
        <f t="array" ref="N77">IF($B77=0,IF($E77=0,"",IF(INDEX(DMAV_Dienste!T$6:T$140,$E77)="","",INDEX(DMAV_Dienste!T$6:T$140,$E77))),IF(INDEX(DMAV_Modell!U$6:U$838,$B77)="","",INDEX(DMAV_Modell!U$6:U$838,$B77)))</f>
        <v>Geometrie</v>
      </c>
      <c r="O77" s="63" t="str" cm="1">
        <f t="array" aca="1" ref="O77" ca="1">IF(C77=0,IF(F77=0,"",HYPERLINK("#"&amp;RIGHT(CELL("adresse",OFFSET(DMAV_Dienste!$M$6,F77-1,0)),LEN(CELL("adresse",OFFSET(DMAV_Dienste!$M$6,F77-1,0)))-FIND("]",CELL("adresse",OFFSET(DMAV_Dienste!$M$6,F77-1,0)))),"Structure")),HYPERLINK("#"&amp;RIGHT(CELL("adresse",OFFSET(DMAV_Modell!$N$6,C77-1,0)),LEN(CELL("adresse",OFFSET(DMAV_Modell!$N$6,C77-1,0)))-FIND("]",CELL("adresse",OFFSET(DMAV_Modell!$N$6,C77-1,0)))),"Structure"))</f>
        <v/>
      </c>
      <c r="P77" s="64" t="str" cm="1">
        <f t="array" aca="1" ref="P77" ca="1">IF(D77=0,IF(G77=0,"",HYPERLINK("#"&amp;RIGHT(CELL("adresse",OFFSET(DMAV_Dienste!$M$6,G77-1,0)),LEN(CELL("adresse",OFFSET(DMAV_Dienste!$M$6,G77-1,0)))-FIND("]",CELL("adresse",OFFSET(DMAV_Dienste!$M$6,G77-1,0)))),"Substructure")),HYPERLINK("#"&amp;RIGHT(CELL("adresse",OFFSET(DMAV_Modell!$N$6,D77-1,0)),LEN(CELL("adresse",OFFSET(DMAV_Modell!$N$6,D77-1,0)))-FIND("]",CELL("adresse",OFFSET(DMAV_Modell!$N$6,D77-1,0)))),"Substructure"))</f>
        <v/>
      </c>
      <c r="R77" s="80"/>
      <c r="T77" s="93"/>
      <c r="U77" s="94"/>
      <c r="V77" s="95"/>
      <c r="W77" s="96"/>
      <c r="Y77" s="85"/>
      <c r="Z77" s="86"/>
      <c r="AA77" s="87"/>
      <c r="AB77" s="88"/>
      <c r="AD77" s="77"/>
      <c r="AF77" s="54" t="str" cm="1">
        <f t="array" aca="1" ref="AF77" ca="1">IF(H77=0,"",HYPERLINK("#"&amp;RIGHT(CELL("adresse",OFFSET('DM01-AV-CH'!$G$6,H77-1,0)),LEN(CELL("adresse",OFFSET('DM01-AV-CH'!$G$6,H77-1,0)))-FIND("]",CELL("adresse",OFFSET('DM01-AV-CH'!$G$6,H77-1,0)))),"Modell"))</f>
        <v/>
      </c>
      <c r="AG77" s="72" t="str" cm="1">
        <f t="array" ref="AG77">IF($H77=0,"",IF(INDEX('DM01-AV-CH'!G$6:G$834,$H77)="","",INDEX('DM01-AV-CH'!G$6:G$834,$H77)))</f>
        <v/>
      </c>
      <c r="AH77" s="73" t="str" cm="1">
        <f t="array" ref="AH77">IF($H77=0,"",IF(INDEX('DM01-AV-CH'!H$6:H$834,$H77)="","",INDEX('DM01-AV-CH'!H$6:H$834,$H77)))</f>
        <v/>
      </c>
      <c r="AI77" s="74" t="str" cm="1">
        <f t="array" ref="AI77">IF($H77=0,"",IF(INDEX('DM01-AV-CH'!I$6:I$834,$H77)="","",INDEX('DM01-AV-CH'!I$6:I$834,$H77)))</f>
        <v/>
      </c>
    </row>
    <row r="78" spans="1:35" x14ac:dyDescent="0.25">
      <c r="A78" s="57">
        <v>73</v>
      </c>
      <c r="B78" s="57">
        <f>IF($A78="","",IF(_xlfn.XLOOKUP($A78,Korrelation!$D$4:$D$1197,Korrelation!E$4:E$1197,"-",0)="-",0,MATCH(_xlfn.XLOOKUP($A78,Korrelation!$D$4:$D$1197,Korrelation!E$4:E$1197,"",0),DMAV_Modell!$G$6:$G$677,0)))</f>
        <v>0</v>
      </c>
      <c r="C78" s="57">
        <f>IF($A78="","",IF(_xlfn.XLOOKUP($A78,Korrelation!$D$4:$D$1197,Korrelation!F$4:F$1197,"-",0)="-",0,MATCH(_xlfn.XLOOKUP($A78,Korrelation!$D$4:$D$1197,Korrelation!F$4:F$1197,"",0),DMAV_Modell!$G$6:$G$677,0)))</f>
        <v>0</v>
      </c>
      <c r="D78" s="57">
        <f>IF($A78="","",IF(_xlfn.XLOOKUP($A78,Korrelation!$D$4:$D$1197,Korrelation!G$4:G$1197,"-",0)="-",0,MATCH(_xlfn.XLOOKUP($A78,Korrelation!$D$4:$D$1197,Korrelation!G$4:G$1197,"",0),DMAV_Modell!$G$6:$G$677,0)))</f>
        <v>0</v>
      </c>
      <c r="E78" s="57">
        <f>IF($A78="","",IF(_xlfn.XLOOKUP($A78,Korrelation!$D$4:$D$1197,Korrelation!H$4:H$1197,"-",0)="-",0,MATCH(_xlfn.XLOOKUP($A78,Korrelation!$D$4:$D$1197,Korrelation!H$4:H$1197,"",0),DMAV_Dienste!$F$6:$F$140,0)))</f>
        <v>1</v>
      </c>
      <c r="F78" s="57">
        <f>IF($A78="","",IF(_xlfn.XLOOKUP($A78,Korrelation!$D$4:$D$1197,Korrelation!I$4:I$1197,"-",0)="-",0,MATCH(_xlfn.XLOOKUP($A78,Korrelation!$D$4:$D$1197,Korrelation!I$4:I$1197,"",0),DMAV_Dienste!$F$6:$F$140,0)))</f>
        <v>0</v>
      </c>
      <c r="G78" s="57">
        <f>IF($A78="","",IF(_xlfn.XLOOKUP($A78,Korrelation!$D$4:$D$1197,Korrelation!J$4:J$1197,"-",0)="-",0,MATCH(_xlfn.XLOOKUP($A78,Korrelation!$D$4:$D$1197,Korrelation!J$4:J$1197,"",0),DMAV_Dienste!$F$6:$F$140,0)))</f>
        <v>0</v>
      </c>
      <c r="H78" s="57">
        <f>IF($A78="","",IF(_xlfn.XLOOKUP($A78,Korrelation!$D$4:$D$1197,Korrelation!K$4:K$1197,"-",0)="-",0,MATCH(_xlfn.XLOOKUP($A78,Korrelation!$D$4:$D$1197,Korrelation!K$4:K$1197,"",0),'DM01-AV-CH'!$A$6:$A$834,0)))</f>
        <v>0</v>
      </c>
      <c r="J78" s="54" t="str" cm="1">
        <f t="array" aca="1" ref="J78" ca="1">IF(B78=0,IF(E78=0,"",HYPERLINK("#"&amp;RIGHT(CELL("adresse",OFFSET(DMAV_Dienste!$M$6,E78-1,0)),LEN(CELL("adresse",OFFSET(DMAV_Dienste!$M$6,E78-1,0)))-FIND("]",CELL("adresse",OFFSET(DMAV_Dienste!$M$6,E78-1,0)))),"Dienst")),HYPERLINK("#"&amp;RIGHT(CELL("adresse",OFFSET(DMAV_Modell!$N$6,B78-1,0)),LEN(CELL("adresse",OFFSET(DMAV_Modell!$N$6,B78-1,0)))-FIND("]",CELL("adresse",OFFSET(DMAV_Modell!$N$6,B78-1,0)))),"Modell"))</f>
        <v>Dienst</v>
      </c>
      <c r="K78" s="61" t="str" cm="1">
        <f t="array" ref="K78">IF($B78=0,IF($E78=0,"",IF(INDEX(DMAV_Dienste!P$6:P$140,$E78)="","",INDEX(DMAV_Dienste!P$6:P$140,$E78))),IF(INDEX(DMAV_Modell!Q$6:Q$838,$B78)="","",INDEX(DMAV_Modell!Q$6:Q$838,$B78)))</f>
        <v>IMPORTS</v>
      </c>
      <c r="L78" s="62" t="str" cm="1">
        <f t="array" ref="L78">IF($B78=0,IF($E78=0,"",IF(INDEX(DMAV_Dienste!O$6:O$140,$E78)="","",INDEX(DMAV_Dienste!O$6:O$140,$E78))),IF(INDEX(DMAV_Modell!P$6:P$838,$B78)="","",INDEX(DMAV_Modell!P$6:P$838,$B78)))</f>
        <v/>
      </c>
      <c r="M78" s="62" t="str" cm="1">
        <f t="array" ref="M78">IF($B78=0,IF($E78=0,"",IF(INDEX(DMAV_Dienste!Q$6:Q$140,$E78)="","",INDEX(DMAV_Dienste!Q$6:Q$140,$E78))),IF(INDEX(DMAV_Modell!R$6:R$838,$B78)="","",INDEX(DMAV_Modell!R$6:R$838,$B78)))</f>
        <v>GeometryCHLV95_V2</v>
      </c>
      <c r="N78" s="62" t="str" cm="1">
        <f t="array" ref="N78">IF($B78=0,IF($E78=0,"",IF(INDEX(DMAV_Dienste!T$6:T$140,$E78)="","",INDEX(DMAV_Dienste!T$6:T$140,$E78))),IF(INDEX(DMAV_Modell!U$6:U$838,$B78)="","",INDEX(DMAV_Modell!U$6:U$838,$B78)))</f>
        <v/>
      </c>
      <c r="O78" s="63" t="str" cm="1">
        <f t="array" aca="1" ref="O78" ca="1">IF(C78=0,IF(F78=0,"",HYPERLINK("#"&amp;RIGHT(CELL("adresse",OFFSET(DMAV_Dienste!$M$6,F78-1,0)),LEN(CELL("adresse",OFFSET(DMAV_Dienste!$M$6,F78-1,0)))-FIND("]",CELL("adresse",OFFSET(DMAV_Dienste!$M$6,F78-1,0)))),"Structure")),HYPERLINK("#"&amp;RIGHT(CELL("adresse",OFFSET(DMAV_Modell!$N$6,C78-1,0)),LEN(CELL("adresse",OFFSET(DMAV_Modell!$N$6,C78-1,0)))-FIND("]",CELL("adresse",OFFSET(DMAV_Modell!$N$6,C78-1,0)))),"Structure"))</f>
        <v/>
      </c>
      <c r="P78" s="64" t="str" cm="1">
        <f t="array" aca="1" ref="P78" ca="1">IF(D78=0,IF(G78=0,"",HYPERLINK("#"&amp;RIGHT(CELL("adresse",OFFSET(DMAV_Dienste!$M$6,G78-1,0)),LEN(CELL("adresse",OFFSET(DMAV_Dienste!$M$6,G78-1,0)))-FIND("]",CELL("adresse",OFFSET(DMAV_Dienste!$M$6,G78-1,0)))),"Substructure")),HYPERLINK("#"&amp;RIGHT(CELL("adresse",OFFSET(DMAV_Modell!$N$6,D78-1,0)),LEN(CELL("adresse",OFFSET(DMAV_Modell!$N$6,D78-1,0)))-FIND("]",CELL("adresse",OFFSET(DMAV_Modell!$N$6,D78-1,0)))),"Substructure"))</f>
        <v/>
      </c>
      <c r="R78" s="80"/>
      <c r="T78" s="93"/>
      <c r="U78" s="94"/>
      <c r="V78" s="95"/>
      <c r="W78" s="96"/>
      <c r="Y78" s="85"/>
      <c r="Z78" s="86"/>
      <c r="AA78" s="87"/>
      <c r="AB78" s="88"/>
      <c r="AD78" s="77"/>
      <c r="AF78" s="54" t="str" cm="1">
        <f t="array" aca="1" ref="AF78" ca="1">IF(H78=0,"",HYPERLINK("#"&amp;RIGHT(CELL("adresse",OFFSET('DM01-AV-CH'!$G$6,H78-1,0)),LEN(CELL("adresse",OFFSET('DM01-AV-CH'!$G$6,H78-1,0)))-FIND("]",CELL("adresse",OFFSET('DM01-AV-CH'!$G$6,H78-1,0)))),"Modell"))</f>
        <v/>
      </c>
      <c r="AG78" s="72" t="str" cm="1">
        <f t="array" ref="AG78">IF($H78=0,"",IF(INDEX('DM01-AV-CH'!G$6:G$834,$H78)="","",INDEX('DM01-AV-CH'!G$6:G$834,$H78)))</f>
        <v/>
      </c>
      <c r="AH78" s="73" t="str" cm="1">
        <f t="array" ref="AH78">IF($H78=0,"",IF(INDEX('DM01-AV-CH'!H$6:H$834,$H78)="","",INDEX('DM01-AV-CH'!H$6:H$834,$H78)))</f>
        <v/>
      </c>
      <c r="AI78" s="74" t="str" cm="1">
        <f t="array" ref="AI78">IF($H78=0,"",IF(INDEX('DM01-AV-CH'!I$6:I$834,$H78)="","",INDEX('DM01-AV-CH'!I$6:I$834,$H78)))</f>
        <v/>
      </c>
    </row>
    <row r="79" spans="1:35" x14ac:dyDescent="0.25">
      <c r="A79" s="57">
        <v>74</v>
      </c>
      <c r="B79" s="57">
        <f>IF($A79="","",IF(_xlfn.XLOOKUP($A79,Korrelation!$D$4:$D$1197,Korrelation!E$4:E$1197,"-",0)="-",0,MATCH(_xlfn.XLOOKUP($A79,Korrelation!$D$4:$D$1197,Korrelation!E$4:E$1197,"",0),DMAV_Modell!$G$6:$G$677,0)))</f>
        <v>0</v>
      </c>
      <c r="C79" s="57">
        <f>IF($A79="","",IF(_xlfn.XLOOKUP($A79,Korrelation!$D$4:$D$1197,Korrelation!F$4:F$1197,"-",0)="-",0,MATCH(_xlfn.XLOOKUP($A79,Korrelation!$D$4:$D$1197,Korrelation!F$4:F$1197,"",0),DMAV_Modell!$G$6:$G$677,0)))</f>
        <v>0</v>
      </c>
      <c r="D79" s="57">
        <f>IF($A79="","",IF(_xlfn.XLOOKUP($A79,Korrelation!$D$4:$D$1197,Korrelation!G$4:G$1197,"-",0)="-",0,MATCH(_xlfn.XLOOKUP($A79,Korrelation!$D$4:$D$1197,Korrelation!G$4:G$1197,"",0),DMAV_Modell!$G$6:$G$677,0)))</f>
        <v>0</v>
      </c>
      <c r="E79" s="57">
        <f>IF($A79="","",IF(_xlfn.XLOOKUP($A79,Korrelation!$D$4:$D$1197,Korrelation!H$4:H$1197,"-",0)="-",0,MATCH(_xlfn.XLOOKUP($A79,Korrelation!$D$4:$D$1197,Korrelation!H$4:H$1197,"",0),DMAV_Dienste!$F$6:$F$140,0)))</f>
        <v>2</v>
      </c>
      <c r="F79" s="57">
        <f>IF($A79="","",IF(_xlfn.XLOOKUP($A79,Korrelation!$D$4:$D$1197,Korrelation!I$4:I$1197,"-",0)="-",0,MATCH(_xlfn.XLOOKUP($A79,Korrelation!$D$4:$D$1197,Korrelation!I$4:I$1197,"",0),DMAV_Dienste!$F$6:$F$140,0)))</f>
        <v>0</v>
      </c>
      <c r="G79" s="57">
        <f>IF($A79="","",IF(_xlfn.XLOOKUP($A79,Korrelation!$D$4:$D$1197,Korrelation!J$4:J$1197,"-",0)="-",0,MATCH(_xlfn.XLOOKUP($A79,Korrelation!$D$4:$D$1197,Korrelation!J$4:J$1197,"",0),DMAV_Dienste!$F$6:$F$140,0)))</f>
        <v>0</v>
      </c>
      <c r="H79" s="57">
        <f>IF($A79="","",IF(_xlfn.XLOOKUP($A79,Korrelation!$D$4:$D$1197,Korrelation!K$4:K$1197,"-",0)="-",0,MATCH(_xlfn.XLOOKUP($A79,Korrelation!$D$4:$D$1197,Korrelation!K$4:K$1197,"",0),'DM01-AV-CH'!$A$6:$A$834,0)))</f>
        <v>0</v>
      </c>
      <c r="J79" s="54" t="str" cm="1">
        <f t="array" aca="1" ref="J79" ca="1">IF(B79=0,IF(E79=0,"",HYPERLINK("#"&amp;RIGHT(CELL("adresse",OFFSET(DMAV_Dienste!$M$6,E79-1,0)),LEN(CELL("adresse",OFFSET(DMAV_Dienste!$M$6,E79-1,0)))-FIND("]",CELL("adresse",OFFSET(DMAV_Dienste!$M$6,E79-1,0)))),"Dienst")),HYPERLINK("#"&amp;RIGHT(CELL("adresse",OFFSET(DMAV_Modell!$N$6,B79-1,0)),LEN(CELL("adresse",OFFSET(DMAV_Modell!$N$6,B79-1,0)))-FIND("]",CELL("adresse",OFFSET(DMAV_Modell!$N$6,B79-1,0)))),"Modell"))</f>
        <v>Dienst</v>
      </c>
      <c r="K79" s="61" t="str" cm="1">
        <f t="array" ref="K79">IF($B79=0,IF($E79=0,"",IF(INDEX(DMAV_Dienste!P$6:P$140,$E79)="","",INDEX(DMAV_Dienste!P$6:P$140,$E79))),IF(INDEX(DMAV_Modell!Q$6:Q$838,$B79)="","",INDEX(DMAV_Modell!Q$6:Q$838,$B79)))</f>
        <v>IMPORTS</v>
      </c>
      <c r="L79" s="62" t="str" cm="1">
        <f t="array" ref="L79">IF($B79=0,IF($E79=0,"",IF(INDEX(DMAV_Dienste!O$6:O$140,$E79)="","",INDEX(DMAV_Dienste!O$6:O$140,$E79))),IF(INDEX(DMAV_Modell!P$6:P$838,$B79)="","",INDEX(DMAV_Modell!P$6:P$838,$B79)))</f>
        <v/>
      </c>
      <c r="M79" s="62" t="str" cm="1">
        <f t="array" ref="M79">IF($B79=0,IF($E79=0,"",IF(INDEX(DMAV_Dienste!Q$6:Q$140,$E79)="","",INDEX(DMAV_Dienste!Q$6:Q$140,$E79))),IF(INDEX(DMAV_Modell!R$6:R$838,$B79)="","",INDEX(DMAV_Modell!R$6:R$838,$B79)))</f>
        <v>DMAVTYM_Geometrie_V1_0</v>
      </c>
      <c r="N79" s="62" t="str" cm="1">
        <f t="array" ref="N79">IF($B79=0,IF($E79=0,"",IF(INDEX(DMAV_Dienste!T$6:T$140,$E79)="","",INDEX(DMAV_Dienste!T$6:T$140,$E79))),IF(INDEX(DMAV_Modell!U$6:U$838,$B79)="","",INDEX(DMAV_Modell!U$6:U$838,$B79)))</f>
        <v/>
      </c>
      <c r="O79" s="63" t="str" cm="1">
        <f t="array" aca="1" ref="O79" ca="1">IF(C79=0,IF(F79=0,"",HYPERLINK("#"&amp;RIGHT(CELL("adresse",OFFSET(DMAV_Dienste!$M$6,F79-1,0)),LEN(CELL("adresse",OFFSET(DMAV_Dienste!$M$6,F79-1,0)))-FIND("]",CELL("adresse",OFFSET(DMAV_Dienste!$M$6,F79-1,0)))),"Structure")),HYPERLINK("#"&amp;RIGHT(CELL("adresse",OFFSET(DMAV_Modell!$N$6,C79-1,0)),LEN(CELL("adresse",OFFSET(DMAV_Modell!$N$6,C79-1,0)))-FIND("]",CELL("adresse",OFFSET(DMAV_Modell!$N$6,C79-1,0)))),"Structure"))</f>
        <v/>
      </c>
      <c r="P79" s="64" t="str" cm="1">
        <f t="array" aca="1" ref="P79" ca="1">IF(D79=0,IF(G79=0,"",HYPERLINK("#"&amp;RIGHT(CELL("adresse",OFFSET(DMAV_Dienste!$M$6,G79-1,0)),LEN(CELL("adresse",OFFSET(DMAV_Dienste!$M$6,G79-1,0)))-FIND("]",CELL("adresse",OFFSET(DMAV_Dienste!$M$6,G79-1,0)))),"Substructure")),HYPERLINK("#"&amp;RIGHT(CELL("adresse",OFFSET(DMAV_Modell!$N$6,D79-1,0)),LEN(CELL("adresse",OFFSET(DMAV_Modell!$N$6,D79-1,0)))-FIND("]",CELL("adresse",OFFSET(DMAV_Modell!$N$6,D79-1,0)))),"Substructure"))</f>
        <v/>
      </c>
      <c r="R79" s="80"/>
      <c r="T79" s="93"/>
      <c r="U79" s="94"/>
      <c r="V79" s="95"/>
      <c r="W79" s="96"/>
      <c r="Y79" s="85"/>
      <c r="Z79" s="86"/>
      <c r="AA79" s="87"/>
      <c r="AB79" s="88"/>
      <c r="AD79" s="77"/>
      <c r="AF79" s="54" t="str" cm="1">
        <f t="array" aca="1" ref="AF79" ca="1">IF(H79=0,"",HYPERLINK("#"&amp;RIGHT(CELL("adresse",OFFSET('DM01-AV-CH'!$G$6,H79-1,0)),LEN(CELL("adresse",OFFSET('DM01-AV-CH'!$G$6,H79-1,0)))-FIND("]",CELL("adresse",OFFSET('DM01-AV-CH'!$G$6,H79-1,0)))),"Modell"))</f>
        <v/>
      </c>
      <c r="AG79" s="72" t="str" cm="1">
        <f t="array" ref="AG79">IF($H79=0,"",IF(INDEX('DM01-AV-CH'!G$6:G$834,$H79)="","",INDEX('DM01-AV-CH'!G$6:G$834,$H79)))</f>
        <v/>
      </c>
      <c r="AH79" s="73" t="str" cm="1">
        <f t="array" ref="AH79">IF($H79=0,"",IF(INDEX('DM01-AV-CH'!H$6:H$834,$H79)="","",INDEX('DM01-AV-CH'!H$6:H$834,$H79)))</f>
        <v/>
      </c>
      <c r="AI79" s="74" t="str" cm="1">
        <f t="array" ref="AI79">IF($H79=0,"",IF(INDEX('DM01-AV-CH'!I$6:I$834,$H79)="","",INDEX('DM01-AV-CH'!I$6:I$834,$H79)))</f>
        <v/>
      </c>
    </row>
    <row r="80" spans="1:35" x14ac:dyDescent="0.25">
      <c r="A80" s="57">
        <v>75</v>
      </c>
      <c r="B80" s="57">
        <f>IF($A80="","",IF(_xlfn.XLOOKUP($A80,Korrelation!$D$4:$D$1197,Korrelation!E$4:E$1197,"-",0)="-",0,MATCH(_xlfn.XLOOKUP($A80,Korrelation!$D$4:$D$1197,Korrelation!E$4:E$1197,"",0),DMAV_Modell!$G$6:$G$677,0)))</f>
        <v>0</v>
      </c>
      <c r="C80" s="57">
        <f>IF($A80="","",IF(_xlfn.XLOOKUP($A80,Korrelation!$D$4:$D$1197,Korrelation!F$4:F$1197,"-",0)="-",0,MATCH(_xlfn.XLOOKUP($A80,Korrelation!$D$4:$D$1197,Korrelation!F$4:F$1197,"",0),DMAV_Modell!$G$6:$G$677,0)))</f>
        <v>0</v>
      </c>
      <c r="D80" s="57">
        <f>IF($A80="","",IF(_xlfn.XLOOKUP($A80,Korrelation!$D$4:$D$1197,Korrelation!G$4:G$1197,"-",0)="-",0,MATCH(_xlfn.XLOOKUP($A80,Korrelation!$D$4:$D$1197,Korrelation!G$4:G$1197,"",0),DMAV_Modell!$G$6:$G$677,0)))</f>
        <v>0</v>
      </c>
      <c r="E80" s="57">
        <f>IF($A80="","",IF(_xlfn.XLOOKUP($A80,Korrelation!$D$4:$D$1197,Korrelation!H$4:H$1197,"-",0)="-",0,MATCH(_xlfn.XLOOKUP($A80,Korrelation!$D$4:$D$1197,Korrelation!H$4:H$1197,"",0),DMAV_Dienste!$F$6:$F$140,0)))</f>
        <v>3</v>
      </c>
      <c r="F80" s="57">
        <f>IF($A80="","",IF(_xlfn.XLOOKUP($A80,Korrelation!$D$4:$D$1197,Korrelation!I$4:I$1197,"-",0)="-",0,MATCH(_xlfn.XLOOKUP($A80,Korrelation!$D$4:$D$1197,Korrelation!I$4:I$1197,"",0),DMAV_Dienste!$F$6:$F$140,0)))</f>
        <v>0</v>
      </c>
      <c r="G80" s="57">
        <f>IF($A80="","",IF(_xlfn.XLOOKUP($A80,Korrelation!$D$4:$D$1197,Korrelation!J$4:J$1197,"-",0)="-",0,MATCH(_xlfn.XLOOKUP($A80,Korrelation!$D$4:$D$1197,Korrelation!J$4:J$1197,"",0),DMAV_Dienste!$F$6:$F$140,0)))</f>
        <v>0</v>
      </c>
      <c r="H80" s="57">
        <f>IF($A80="","",IF(_xlfn.XLOOKUP($A80,Korrelation!$D$4:$D$1197,Korrelation!K$4:K$1197,"-",0)="-",0,MATCH(_xlfn.XLOOKUP($A80,Korrelation!$D$4:$D$1197,Korrelation!K$4:K$1197,"",0),'DM01-AV-CH'!$A$6:$A$834,0)))</f>
        <v>0</v>
      </c>
      <c r="J80" s="54" t="str" cm="1">
        <f t="array" aca="1" ref="J80" ca="1">IF(B80=0,IF(E80=0,"",HYPERLINK("#"&amp;RIGHT(CELL("adresse",OFFSET(DMAV_Dienste!$M$6,E80-1,0)),LEN(CELL("adresse",OFFSET(DMAV_Dienste!$M$6,E80-1,0)))-FIND("]",CELL("adresse",OFFSET(DMAV_Dienste!$M$6,E80-1,0)))),"Dienst")),HYPERLINK("#"&amp;RIGHT(CELL("adresse",OFFSET(DMAV_Modell!$N$6,B80-1,0)),LEN(CELL("adresse",OFFSET(DMAV_Modell!$N$6,B80-1,0)))-FIND("]",CELL("adresse",OFFSET(DMAV_Modell!$N$6,B80-1,0)))),"Modell"))</f>
        <v>Dienst</v>
      </c>
      <c r="K80" s="61" t="str" cm="1">
        <f t="array" ref="K80">IF($B80=0,IF($E80=0,"",IF(INDEX(DMAV_Dienste!P$6:P$140,$E80)="","",INDEX(DMAV_Dienste!P$6:P$140,$E80))),IF(INDEX(DMAV_Modell!Q$6:Q$838,$B80)="","",INDEX(DMAV_Modell!Q$6:Q$838,$B80)))</f>
        <v>IMPORTS</v>
      </c>
      <c r="L80" s="62" t="str" cm="1">
        <f t="array" ref="L80">IF($B80=0,IF($E80=0,"",IF(INDEX(DMAV_Dienste!O$6:O$140,$E80)="","",INDEX(DMAV_Dienste!O$6:O$140,$E80))),IF(INDEX(DMAV_Modell!P$6:P$838,$B80)="","",INDEX(DMAV_Modell!P$6:P$838,$B80)))</f>
        <v/>
      </c>
      <c r="M80" s="62" t="str" cm="1">
        <f t="array" ref="M80">IF($B80=0,IF($E80=0,"",IF(INDEX(DMAV_Dienste!Q$6:Q$140,$E80)="","",INDEX(DMAV_Dienste!Q$6:Q$140,$E80))),IF(INDEX(DMAV_Modell!R$6:R$838,$B80)="","",INDEX(DMAV_Modell!R$6:R$838,$B80)))</f>
        <v>DMAVTYM_Qualitaet_V1_0</v>
      </c>
      <c r="N80" s="62" t="str" cm="1">
        <f t="array" ref="N80">IF($B80=0,IF($E80=0,"",IF(INDEX(DMAV_Dienste!T$6:T$140,$E80)="","",INDEX(DMAV_Dienste!T$6:T$140,$E80))),IF(INDEX(DMAV_Modell!U$6:U$838,$B80)="","",INDEX(DMAV_Modell!U$6:U$838,$B80)))</f>
        <v/>
      </c>
      <c r="O80" s="63" t="str" cm="1">
        <f t="array" aca="1" ref="O80" ca="1">IF(C80=0,IF(F80=0,"",HYPERLINK("#"&amp;RIGHT(CELL("adresse",OFFSET(DMAV_Dienste!$M$6,F80-1,0)),LEN(CELL("adresse",OFFSET(DMAV_Dienste!$M$6,F80-1,0)))-FIND("]",CELL("adresse",OFFSET(DMAV_Dienste!$M$6,F80-1,0)))),"Structure")),HYPERLINK("#"&amp;RIGHT(CELL("adresse",OFFSET(DMAV_Modell!$N$6,C80-1,0)),LEN(CELL("adresse",OFFSET(DMAV_Modell!$N$6,C80-1,0)))-FIND("]",CELL("adresse",OFFSET(DMAV_Modell!$N$6,C80-1,0)))),"Structure"))</f>
        <v/>
      </c>
      <c r="P80" s="64" t="str" cm="1">
        <f t="array" aca="1" ref="P80" ca="1">IF(D80=0,IF(G80=0,"",HYPERLINK("#"&amp;RIGHT(CELL("adresse",OFFSET(DMAV_Dienste!$M$6,G80-1,0)),LEN(CELL("adresse",OFFSET(DMAV_Dienste!$M$6,G80-1,0)))-FIND("]",CELL("adresse",OFFSET(DMAV_Dienste!$M$6,G80-1,0)))),"Substructure")),HYPERLINK("#"&amp;RIGHT(CELL("adresse",OFFSET(DMAV_Modell!$N$6,D80-1,0)),LEN(CELL("adresse",OFFSET(DMAV_Modell!$N$6,D80-1,0)))-FIND("]",CELL("adresse",OFFSET(DMAV_Modell!$N$6,D80-1,0)))),"Substructure"))</f>
        <v/>
      </c>
      <c r="R80" s="80"/>
      <c r="T80" s="93"/>
      <c r="U80" s="94"/>
      <c r="V80" s="95"/>
      <c r="W80" s="96"/>
      <c r="Y80" s="85"/>
      <c r="Z80" s="86"/>
      <c r="AA80" s="87"/>
      <c r="AB80" s="88"/>
      <c r="AD80" s="77"/>
      <c r="AF80" s="54" t="str" cm="1">
        <f t="array" aca="1" ref="AF80" ca="1">IF(H80=0,"",HYPERLINK("#"&amp;RIGHT(CELL("adresse",OFFSET('DM01-AV-CH'!$G$6,H80-1,0)),LEN(CELL("adresse",OFFSET('DM01-AV-CH'!$G$6,H80-1,0)))-FIND("]",CELL("adresse",OFFSET('DM01-AV-CH'!$G$6,H80-1,0)))),"Modell"))</f>
        <v/>
      </c>
      <c r="AG80" s="72" t="str" cm="1">
        <f t="array" ref="AG80">IF($H80=0,"",IF(INDEX('DM01-AV-CH'!G$6:G$834,$H80)="","",INDEX('DM01-AV-CH'!G$6:G$834,$H80)))</f>
        <v/>
      </c>
      <c r="AH80" s="73" t="str" cm="1">
        <f t="array" ref="AH80">IF($H80=0,"",IF(INDEX('DM01-AV-CH'!H$6:H$834,$H80)="","",INDEX('DM01-AV-CH'!H$6:H$834,$H80)))</f>
        <v/>
      </c>
      <c r="AI80" s="74" t="str" cm="1">
        <f t="array" ref="AI80">IF($H80=0,"",IF(INDEX('DM01-AV-CH'!I$6:I$834,$H80)="","",INDEX('DM01-AV-CH'!I$6:I$834,$H80)))</f>
        <v/>
      </c>
    </row>
    <row r="81" spans="1:35" ht="114" x14ac:dyDescent="0.25">
      <c r="A81" s="57">
        <v>76</v>
      </c>
      <c r="B81" s="57">
        <f>IF($A81="","",IF(_xlfn.XLOOKUP($A81,Korrelation!$D$4:$D$1197,Korrelation!E$4:E$1197,"-",0)="-",0,MATCH(_xlfn.XLOOKUP($A81,Korrelation!$D$4:$D$1197,Korrelation!E$4:E$1197,"",0),DMAV_Modell!$G$6:$G$677,0)))</f>
        <v>0</v>
      </c>
      <c r="C81" s="57">
        <f>IF($A81="","",IF(_xlfn.XLOOKUP($A81,Korrelation!$D$4:$D$1197,Korrelation!F$4:F$1197,"-",0)="-",0,MATCH(_xlfn.XLOOKUP($A81,Korrelation!$D$4:$D$1197,Korrelation!F$4:F$1197,"",0),DMAV_Modell!$G$6:$G$677,0)))</f>
        <v>0</v>
      </c>
      <c r="D81" s="57">
        <f>IF($A81="","",IF(_xlfn.XLOOKUP($A81,Korrelation!$D$4:$D$1197,Korrelation!G$4:G$1197,"-",0)="-",0,MATCH(_xlfn.XLOOKUP($A81,Korrelation!$D$4:$D$1197,Korrelation!G$4:G$1197,"",0),DMAV_Modell!$G$6:$G$677,0)))</f>
        <v>0</v>
      </c>
      <c r="E81" s="57">
        <f>IF($A81="","",IF(_xlfn.XLOOKUP($A81,Korrelation!$D$4:$D$1197,Korrelation!H$4:H$1197,"-",0)="-",0,MATCH(_xlfn.XLOOKUP($A81,Korrelation!$D$4:$D$1197,Korrelation!H$4:H$1197,"",0),DMAV_Dienste!$F$6:$F$140,0)))</f>
        <v>0</v>
      </c>
      <c r="F81" s="57">
        <f>IF($A81="","",IF(_xlfn.XLOOKUP($A81,Korrelation!$D$4:$D$1197,Korrelation!I$4:I$1197,"-",0)="-",0,MATCH(_xlfn.XLOOKUP($A81,Korrelation!$D$4:$D$1197,Korrelation!I$4:I$1197,"",0),DMAV_Dienste!$F$6:$F$140,0)))</f>
        <v>0</v>
      </c>
      <c r="G81" s="57">
        <f>IF($A81="","",IF(_xlfn.XLOOKUP($A81,Korrelation!$D$4:$D$1197,Korrelation!J$4:J$1197,"-",0)="-",0,MATCH(_xlfn.XLOOKUP($A81,Korrelation!$D$4:$D$1197,Korrelation!J$4:J$1197,"",0),DMAV_Dienste!$F$6:$F$140,0)))</f>
        <v>0</v>
      </c>
      <c r="H81" s="57">
        <f>IF($A81="","",IF(_xlfn.XLOOKUP($A81,Korrelation!$D$4:$D$1197,Korrelation!K$4:K$1197,"-",0)="-",0,MATCH(_xlfn.XLOOKUP($A81,Korrelation!$D$4:$D$1197,Korrelation!K$4:K$1197,"",0),'DM01-AV-CH'!$A$6:$A$834,0)))</f>
        <v>37</v>
      </c>
      <c r="J81" s="54" t="str" cm="1">
        <f t="array" aca="1" ref="J81" ca="1">IF(B81=0,IF(E81=0,"",HYPERLINK("#"&amp;RIGHT(CELL("adresse",OFFSET(DMAV_Dienste!$M$6,E81-1,0)),LEN(CELL("adresse",OFFSET(DMAV_Dienste!$M$6,E81-1,0)))-FIND("]",CELL("adresse",OFFSET(DMAV_Dienste!$M$6,E81-1,0)))),"Dienst")),HYPERLINK("#"&amp;RIGHT(CELL("adresse",OFFSET(DMAV_Modell!$N$6,B81-1,0)),LEN(CELL("adresse",OFFSET(DMAV_Modell!$N$6,B81-1,0)))-FIND("]",CELL("adresse",OFFSET(DMAV_Modell!$N$6,B81-1,0)))),"Modell"))</f>
        <v/>
      </c>
      <c r="K81" s="61" t="str" cm="1">
        <f t="array" ref="K81">IF($B81=0,IF($E81=0,"",IF(INDEX(DMAV_Dienste!P$6:P$140,$E81)="","",INDEX(DMAV_Dienste!P$6:P$140,$E81))),IF(INDEX(DMAV_Modell!Q$6:Q$838,$B81)="","",INDEX(DMAV_Modell!Q$6:Q$838,$B81)))</f>
        <v/>
      </c>
      <c r="L81" s="62" t="str" cm="1">
        <f t="array" ref="L81">IF($B81=0,IF($E81=0,"",IF(INDEX(DMAV_Dienste!O$6:O$140,$E81)="","",INDEX(DMAV_Dienste!O$6:O$140,$E81))),IF(INDEX(DMAV_Modell!P$6:P$838,$B81)="","",INDEX(DMAV_Modell!P$6:P$838,$B81)))</f>
        <v/>
      </c>
      <c r="M81" s="62" t="str" cm="1">
        <f t="array" ref="M81">IF($B81=0,IF($E81=0,"",IF(INDEX(DMAV_Dienste!Q$6:Q$140,$E81)="","",INDEX(DMAV_Dienste!Q$6:Q$140,$E81))),IF(INDEX(DMAV_Modell!R$6:R$838,$B81)="","",INDEX(DMAV_Modell!R$6:R$838,$B81)))</f>
        <v/>
      </c>
      <c r="N81" s="62" t="str" cm="1">
        <f t="array" ref="N81">IF($B81=0,IF($E81=0,"",IF(INDEX(DMAV_Dienste!T$6:T$140,$E81)="","",INDEX(DMAV_Dienste!T$6:T$140,$E81))),IF(INDEX(DMAV_Modell!U$6:U$838,$B81)="","",INDEX(DMAV_Modell!U$6:U$838,$B81)))</f>
        <v/>
      </c>
      <c r="O81" s="63" t="str" cm="1">
        <f t="array" aca="1" ref="O81" ca="1">IF(C81=0,IF(F81=0,"",HYPERLINK("#"&amp;RIGHT(CELL("adresse",OFFSET(DMAV_Dienste!$M$6,F81-1,0)),LEN(CELL("adresse",OFFSET(DMAV_Dienste!$M$6,F81-1,0)))-FIND("]",CELL("adresse",OFFSET(DMAV_Dienste!$M$6,F81-1,0)))),"Structure")),HYPERLINK("#"&amp;RIGHT(CELL("adresse",OFFSET(DMAV_Modell!$N$6,C81-1,0)),LEN(CELL("adresse",OFFSET(DMAV_Modell!$N$6,C81-1,0)))-FIND("]",CELL("adresse",OFFSET(DMAV_Modell!$N$6,C81-1,0)))),"Structure"))</f>
        <v/>
      </c>
      <c r="P81" s="64" t="str" cm="1">
        <f t="array" aca="1" ref="P81" ca="1">IF(D81=0,IF(G81=0,"",HYPERLINK("#"&amp;RIGHT(CELL("adresse",OFFSET(DMAV_Dienste!$M$6,G81-1,0)),LEN(CELL("adresse",OFFSET(DMAV_Dienste!$M$6,G81-1,0)))-FIND("]",CELL("adresse",OFFSET(DMAV_Dienste!$M$6,G81-1,0)))),"Substructure")),HYPERLINK("#"&amp;RIGHT(CELL("adresse",OFFSET(DMAV_Modell!$N$6,D81-1,0)),LEN(CELL("adresse",OFFSET(DMAV_Modell!$N$6,D81-1,0)))-FIND("]",CELL("adresse",OFFSET(DMAV_Modell!$N$6,D81-1,0)))),"Substructure"))</f>
        <v/>
      </c>
      <c r="R81" s="80"/>
      <c r="T81" s="93"/>
      <c r="U81" s="94"/>
      <c r="V81" s="95"/>
      <c r="W81" s="96"/>
      <c r="Y81" s="85"/>
      <c r="Z81" s="86"/>
      <c r="AA81" s="87"/>
      <c r="AB81" s="88" t="s">
        <v>3315</v>
      </c>
      <c r="AD81" s="77"/>
      <c r="AF81" s="54" t="str" cm="1">
        <f t="array" aca="1" ref="AF81" ca="1">IF(H81=0,"",HYPERLINK("#"&amp;RIGHT(CELL("adresse",OFFSET('DM01-AV-CH'!$G$6,H81-1,0)),LEN(CELL("adresse",OFFSET('DM01-AV-CH'!$G$6,H81-1,0)))-FIND("]",CELL("adresse",OFFSET('DM01-AV-CH'!$G$6,H81-1,0)))),"Modell"))</f>
        <v>Modell</v>
      </c>
      <c r="AG81" s="72" t="str" cm="1">
        <f t="array" ref="AG81">IF($H81=0,"",IF(INDEX('DM01-AV-CH'!G$6:G$834,$H81)="","",INDEX('DM01-AV-CH'!G$6:G$834,$H81)))</f>
        <v>FixpunkteKategorie1</v>
      </c>
      <c r="AH81" s="73" t="str" cm="1">
        <f t="array" ref="AH81">IF($H81=0,"",IF(INDEX('DM01-AV-CH'!H$6:H$834,$H81)="","",INDEX('DM01-AV-CH'!H$6:H$834,$H81)))</f>
        <v>LFP1Nachfuehrung</v>
      </c>
      <c r="AI81" s="74" t="str" cm="1">
        <f t="array" ref="AI81">IF($H81=0,"",IF(INDEX('DM01-AV-CH'!I$6:I$834,$H81)="","",INDEX('DM01-AV-CH'!I$6:I$834,$H81)))</f>
        <v>NBIdent</v>
      </c>
    </row>
    <row r="82" spans="1:35" ht="114" x14ac:dyDescent="0.25">
      <c r="A82" s="57">
        <v>77</v>
      </c>
      <c r="B82" s="57">
        <f>IF($A82="","",IF(_xlfn.XLOOKUP($A82,Korrelation!$D$4:$D$1197,Korrelation!E$4:E$1197,"-",0)="-",0,MATCH(_xlfn.XLOOKUP($A82,Korrelation!$D$4:$D$1197,Korrelation!E$4:E$1197,"",0),DMAV_Modell!$G$6:$G$677,0)))</f>
        <v>0</v>
      </c>
      <c r="C82" s="57">
        <f>IF($A82="","",IF(_xlfn.XLOOKUP($A82,Korrelation!$D$4:$D$1197,Korrelation!F$4:F$1197,"-",0)="-",0,MATCH(_xlfn.XLOOKUP($A82,Korrelation!$D$4:$D$1197,Korrelation!F$4:F$1197,"",0),DMAV_Modell!$G$6:$G$677,0)))</f>
        <v>0</v>
      </c>
      <c r="D82" s="57">
        <f>IF($A82="","",IF(_xlfn.XLOOKUP($A82,Korrelation!$D$4:$D$1197,Korrelation!G$4:G$1197,"-",0)="-",0,MATCH(_xlfn.XLOOKUP($A82,Korrelation!$D$4:$D$1197,Korrelation!G$4:G$1197,"",0),DMAV_Modell!$G$6:$G$677,0)))</f>
        <v>0</v>
      </c>
      <c r="E82" s="57">
        <f>IF($A82="","",IF(_xlfn.XLOOKUP($A82,Korrelation!$D$4:$D$1197,Korrelation!H$4:H$1197,"-",0)="-",0,MATCH(_xlfn.XLOOKUP($A82,Korrelation!$D$4:$D$1197,Korrelation!H$4:H$1197,"",0),DMAV_Dienste!$F$6:$F$140,0)))</f>
        <v>0</v>
      </c>
      <c r="F82" s="57">
        <f>IF($A82="","",IF(_xlfn.XLOOKUP($A82,Korrelation!$D$4:$D$1197,Korrelation!I$4:I$1197,"-",0)="-",0,MATCH(_xlfn.XLOOKUP($A82,Korrelation!$D$4:$D$1197,Korrelation!I$4:I$1197,"",0),DMAV_Dienste!$F$6:$F$140,0)))</f>
        <v>0</v>
      </c>
      <c r="G82" s="57">
        <f>IF($A82="","",IF(_xlfn.XLOOKUP($A82,Korrelation!$D$4:$D$1197,Korrelation!J$4:J$1197,"-",0)="-",0,MATCH(_xlfn.XLOOKUP($A82,Korrelation!$D$4:$D$1197,Korrelation!J$4:J$1197,"",0),DMAV_Dienste!$F$6:$F$140,0)))</f>
        <v>0</v>
      </c>
      <c r="H82" s="57">
        <f>IF($A82="","",IF(_xlfn.XLOOKUP($A82,Korrelation!$D$4:$D$1197,Korrelation!K$4:K$1197,"-",0)="-",0,MATCH(_xlfn.XLOOKUP($A82,Korrelation!$D$4:$D$1197,Korrelation!K$4:K$1197,"",0),'DM01-AV-CH'!$A$6:$A$834,0)))</f>
        <v>38</v>
      </c>
      <c r="J82" s="54" t="str" cm="1">
        <f t="array" aca="1" ref="J82" ca="1">IF(B82=0,IF(E82=0,"",HYPERLINK("#"&amp;RIGHT(CELL("adresse",OFFSET(DMAV_Dienste!$M$6,E82-1,0)),LEN(CELL("adresse",OFFSET(DMAV_Dienste!$M$6,E82-1,0)))-FIND("]",CELL("adresse",OFFSET(DMAV_Dienste!$M$6,E82-1,0)))),"Dienst")),HYPERLINK("#"&amp;RIGHT(CELL("adresse",OFFSET(DMAV_Modell!$N$6,B82-1,0)),LEN(CELL("adresse",OFFSET(DMAV_Modell!$N$6,B82-1,0)))-FIND("]",CELL("adresse",OFFSET(DMAV_Modell!$N$6,B82-1,0)))),"Modell"))</f>
        <v/>
      </c>
      <c r="K82" s="61" t="str" cm="1">
        <f t="array" ref="K82">IF($B82=0,IF($E82=0,"",IF(INDEX(DMAV_Dienste!P$6:P$140,$E82)="","",INDEX(DMAV_Dienste!P$6:P$140,$E82))),IF(INDEX(DMAV_Modell!Q$6:Q$838,$B82)="","",INDEX(DMAV_Modell!Q$6:Q$838,$B82)))</f>
        <v/>
      </c>
      <c r="L82" s="62" t="str" cm="1">
        <f t="array" ref="L82">IF($B82=0,IF($E82=0,"",IF(INDEX(DMAV_Dienste!O$6:O$140,$E82)="","",INDEX(DMAV_Dienste!O$6:O$140,$E82))),IF(INDEX(DMAV_Modell!P$6:P$838,$B82)="","",INDEX(DMAV_Modell!P$6:P$838,$B82)))</f>
        <v/>
      </c>
      <c r="M82" s="62" t="str" cm="1">
        <f t="array" ref="M82">IF($B82=0,IF($E82=0,"",IF(INDEX(DMAV_Dienste!Q$6:Q$140,$E82)="","",INDEX(DMAV_Dienste!Q$6:Q$140,$E82))),IF(INDEX(DMAV_Modell!R$6:R$838,$B82)="","",INDEX(DMAV_Modell!R$6:R$838,$B82)))</f>
        <v/>
      </c>
      <c r="N82" s="62" t="str" cm="1">
        <f t="array" ref="N82">IF($B82=0,IF($E82=0,"",IF(INDEX(DMAV_Dienste!T$6:T$140,$E82)="","",INDEX(DMAV_Dienste!T$6:T$140,$E82))),IF(INDEX(DMAV_Modell!U$6:U$838,$B82)="","",INDEX(DMAV_Modell!U$6:U$838,$B82)))</f>
        <v/>
      </c>
      <c r="O82" s="63" t="str" cm="1">
        <f t="array" aca="1" ref="O82" ca="1">IF(C82=0,IF(F82=0,"",HYPERLINK("#"&amp;RIGHT(CELL("adresse",OFFSET(DMAV_Dienste!$M$6,F82-1,0)),LEN(CELL("adresse",OFFSET(DMAV_Dienste!$M$6,F82-1,0)))-FIND("]",CELL("adresse",OFFSET(DMAV_Dienste!$M$6,F82-1,0)))),"Structure")),HYPERLINK("#"&amp;RIGHT(CELL("adresse",OFFSET(DMAV_Modell!$N$6,C82-1,0)),LEN(CELL("adresse",OFFSET(DMAV_Modell!$N$6,C82-1,0)))-FIND("]",CELL("adresse",OFFSET(DMAV_Modell!$N$6,C82-1,0)))),"Structure"))</f>
        <v/>
      </c>
      <c r="P82" s="64" t="str" cm="1">
        <f t="array" aca="1" ref="P82" ca="1">IF(D82=0,IF(G82=0,"",HYPERLINK("#"&amp;RIGHT(CELL("adresse",OFFSET(DMAV_Dienste!$M$6,G82-1,0)),LEN(CELL("adresse",OFFSET(DMAV_Dienste!$M$6,G82-1,0)))-FIND("]",CELL("adresse",OFFSET(DMAV_Dienste!$M$6,G82-1,0)))),"Substructure")),HYPERLINK("#"&amp;RIGHT(CELL("adresse",OFFSET(DMAV_Modell!$N$6,D82-1,0)),LEN(CELL("adresse",OFFSET(DMAV_Modell!$N$6,D82-1,0)))-FIND("]",CELL("adresse",OFFSET(DMAV_Modell!$N$6,D82-1,0)))),"Substructure"))</f>
        <v/>
      </c>
      <c r="R82" s="80"/>
      <c r="T82" s="93"/>
      <c r="U82" s="94"/>
      <c r="V82" s="95"/>
      <c r="W82" s="96"/>
      <c r="Y82" s="85"/>
      <c r="Z82" s="86"/>
      <c r="AA82" s="87"/>
      <c r="AB82" s="88" t="s">
        <v>3315</v>
      </c>
      <c r="AD82" s="77"/>
      <c r="AF82" s="54" t="str" cm="1">
        <f t="array" aca="1" ref="AF82" ca="1">IF(H82=0,"",HYPERLINK("#"&amp;RIGHT(CELL("adresse",OFFSET('DM01-AV-CH'!$G$6,H82-1,0)),LEN(CELL("adresse",OFFSET('DM01-AV-CH'!$G$6,H82-1,0)))-FIND("]",CELL("adresse",OFFSET('DM01-AV-CH'!$G$6,H82-1,0)))),"Modell"))</f>
        <v>Modell</v>
      </c>
      <c r="AG82" s="72" t="str" cm="1">
        <f t="array" ref="AG82">IF($H82=0,"",IF(INDEX('DM01-AV-CH'!G$6:G$834,$H82)="","",INDEX('DM01-AV-CH'!G$6:G$834,$H82)))</f>
        <v>FixpunkteKategorie1</v>
      </c>
      <c r="AH82" s="73" t="str" cm="1">
        <f t="array" ref="AH82">IF($H82=0,"",IF(INDEX('DM01-AV-CH'!H$6:H$834,$H82)="","",INDEX('DM01-AV-CH'!H$6:H$834,$H82)))</f>
        <v>LFP1Nachfuehrung</v>
      </c>
      <c r="AI82" s="74" t="str" cm="1">
        <f t="array" ref="AI82">IF($H82=0,"",IF(INDEX('DM01-AV-CH'!I$6:I$834,$H82)="","",INDEX('DM01-AV-CH'!I$6:I$834,$H82)))</f>
        <v>Identifikator</v>
      </c>
    </row>
    <row r="83" spans="1:35" ht="114" x14ac:dyDescent="0.25">
      <c r="A83" s="57">
        <v>78</v>
      </c>
      <c r="B83" s="57">
        <f>IF($A83="","",IF(_xlfn.XLOOKUP($A83,Korrelation!$D$4:$D$1197,Korrelation!E$4:E$1197,"-",0)="-",0,MATCH(_xlfn.XLOOKUP($A83,Korrelation!$D$4:$D$1197,Korrelation!E$4:E$1197,"",0),DMAV_Modell!$G$6:$G$677,0)))</f>
        <v>0</v>
      </c>
      <c r="C83" s="57">
        <f>IF($A83="","",IF(_xlfn.XLOOKUP($A83,Korrelation!$D$4:$D$1197,Korrelation!F$4:F$1197,"-",0)="-",0,MATCH(_xlfn.XLOOKUP($A83,Korrelation!$D$4:$D$1197,Korrelation!F$4:F$1197,"",0),DMAV_Modell!$G$6:$G$677,0)))</f>
        <v>0</v>
      </c>
      <c r="D83" s="57">
        <f>IF($A83="","",IF(_xlfn.XLOOKUP($A83,Korrelation!$D$4:$D$1197,Korrelation!G$4:G$1197,"-",0)="-",0,MATCH(_xlfn.XLOOKUP($A83,Korrelation!$D$4:$D$1197,Korrelation!G$4:G$1197,"",0),DMAV_Modell!$G$6:$G$677,0)))</f>
        <v>0</v>
      </c>
      <c r="E83" s="57">
        <f>IF($A83="","",IF(_xlfn.XLOOKUP($A83,Korrelation!$D$4:$D$1197,Korrelation!H$4:H$1197,"-",0)="-",0,MATCH(_xlfn.XLOOKUP($A83,Korrelation!$D$4:$D$1197,Korrelation!H$4:H$1197,"",0),DMAV_Dienste!$F$6:$F$140,0)))</f>
        <v>0</v>
      </c>
      <c r="F83" s="57">
        <f>IF($A83="","",IF(_xlfn.XLOOKUP($A83,Korrelation!$D$4:$D$1197,Korrelation!I$4:I$1197,"-",0)="-",0,MATCH(_xlfn.XLOOKUP($A83,Korrelation!$D$4:$D$1197,Korrelation!I$4:I$1197,"",0),DMAV_Dienste!$F$6:$F$140,0)))</f>
        <v>0</v>
      </c>
      <c r="G83" s="57">
        <f>IF($A83="","",IF(_xlfn.XLOOKUP($A83,Korrelation!$D$4:$D$1197,Korrelation!J$4:J$1197,"-",0)="-",0,MATCH(_xlfn.XLOOKUP($A83,Korrelation!$D$4:$D$1197,Korrelation!J$4:J$1197,"",0),DMAV_Dienste!$F$6:$F$140,0)))</f>
        <v>0</v>
      </c>
      <c r="H83" s="57">
        <f>IF($A83="","",IF(_xlfn.XLOOKUP($A83,Korrelation!$D$4:$D$1197,Korrelation!K$4:K$1197,"-",0)="-",0,MATCH(_xlfn.XLOOKUP($A83,Korrelation!$D$4:$D$1197,Korrelation!K$4:K$1197,"",0),'DM01-AV-CH'!$A$6:$A$834,0)))</f>
        <v>39</v>
      </c>
      <c r="J83" s="54" t="str" cm="1">
        <f t="array" aca="1" ref="J83" ca="1">IF(B83=0,IF(E83=0,"",HYPERLINK("#"&amp;RIGHT(CELL("adresse",OFFSET(DMAV_Dienste!$M$6,E83-1,0)),LEN(CELL("adresse",OFFSET(DMAV_Dienste!$M$6,E83-1,0)))-FIND("]",CELL("adresse",OFFSET(DMAV_Dienste!$M$6,E83-1,0)))),"Dienst")),HYPERLINK("#"&amp;RIGHT(CELL("adresse",OFFSET(DMAV_Modell!$N$6,B83-1,0)),LEN(CELL("adresse",OFFSET(DMAV_Modell!$N$6,B83-1,0)))-FIND("]",CELL("adresse",OFFSET(DMAV_Modell!$N$6,B83-1,0)))),"Modell"))</f>
        <v/>
      </c>
      <c r="K83" s="61" t="str" cm="1">
        <f t="array" ref="K83">IF($B83=0,IF($E83=0,"",IF(INDEX(DMAV_Dienste!P$6:P$140,$E83)="","",INDEX(DMAV_Dienste!P$6:P$140,$E83))),IF(INDEX(DMAV_Modell!Q$6:Q$838,$B83)="","",INDEX(DMAV_Modell!Q$6:Q$838,$B83)))</f>
        <v/>
      </c>
      <c r="L83" s="62" t="str" cm="1">
        <f t="array" ref="L83">IF($B83=0,IF($E83=0,"",IF(INDEX(DMAV_Dienste!O$6:O$140,$E83)="","",INDEX(DMAV_Dienste!O$6:O$140,$E83))),IF(INDEX(DMAV_Modell!P$6:P$838,$B83)="","",INDEX(DMAV_Modell!P$6:P$838,$B83)))</f>
        <v/>
      </c>
      <c r="M83" s="62" t="str" cm="1">
        <f t="array" ref="M83">IF($B83=0,IF($E83=0,"",IF(INDEX(DMAV_Dienste!Q$6:Q$140,$E83)="","",INDEX(DMAV_Dienste!Q$6:Q$140,$E83))),IF(INDEX(DMAV_Modell!R$6:R$838,$B83)="","",INDEX(DMAV_Modell!R$6:R$838,$B83)))</f>
        <v/>
      </c>
      <c r="N83" s="62" t="str" cm="1">
        <f t="array" ref="N83">IF($B83=0,IF($E83=0,"",IF(INDEX(DMAV_Dienste!T$6:T$140,$E83)="","",INDEX(DMAV_Dienste!T$6:T$140,$E83))),IF(INDEX(DMAV_Modell!U$6:U$838,$B83)="","",INDEX(DMAV_Modell!U$6:U$838,$B83)))</f>
        <v/>
      </c>
      <c r="O83" s="63" t="str" cm="1">
        <f t="array" aca="1" ref="O83" ca="1">IF(C83=0,IF(F83=0,"",HYPERLINK("#"&amp;RIGHT(CELL("adresse",OFFSET(DMAV_Dienste!$M$6,F83-1,0)),LEN(CELL("adresse",OFFSET(DMAV_Dienste!$M$6,F83-1,0)))-FIND("]",CELL("adresse",OFFSET(DMAV_Dienste!$M$6,F83-1,0)))),"Structure")),HYPERLINK("#"&amp;RIGHT(CELL("adresse",OFFSET(DMAV_Modell!$N$6,C83-1,0)),LEN(CELL("adresse",OFFSET(DMAV_Modell!$N$6,C83-1,0)))-FIND("]",CELL("adresse",OFFSET(DMAV_Modell!$N$6,C83-1,0)))),"Structure"))</f>
        <v/>
      </c>
      <c r="P83" s="64" t="str" cm="1">
        <f t="array" aca="1" ref="P83" ca="1">IF(D83=0,IF(G83=0,"",HYPERLINK("#"&amp;RIGHT(CELL("adresse",OFFSET(DMAV_Dienste!$M$6,G83-1,0)),LEN(CELL("adresse",OFFSET(DMAV_Dienste!$M$6,G83-1,0)))-FIND("]",CELL("adresse",OFFSET(DMAV_Dienste!$M$6,G83-1,0)))),"Substructure")),HYPERLINK("#"&amp;RIGHT(CELL("adresse",OFFSET(DMAV_Modell!$N$6,D83-1,0)),LEN(CELL("adresse",OFFSET(DMAV_Modell!$N$6,D83-1,0)))-FIND("]",CELL("adresse",OFFSET(DMAV_Modell!$N$6,D83-1,0)))),"Substructure"))</f>
        <v/>
      </c>
      <c r="R83" s="80"/>
      <c r="T83" s="93"/>
      <c r="U83" s="94"/>
      <c r="V83" s="95"/>
      <c r="W83" s="96"/>
      <c r="Y83" s="85"/>
      <c r="Z83" s="86"/>
      <c r="AA83" s="87"/>
      <c r="AB83" s="88" t="s">
        <v>3315</v>
      </c>
      <c r="AD83" s="77"/>
      <c r="AF83" s="54" t="str" cm="1">
        <f t="array" aca="1" ref="AF83" ca="1">IF(H83=0,"",HYPERLINK("#"&amp;RIGHT(CELL("adresse",OFFSET('DM01-AV-CH'!$G$6,H83-1,0)),LEN(CELL("adresse",OFFSET('DM01-AV-CH'!$G$6,H83-1,0)))-FIND("]",CELL("adresse",OFFSET('DM01-AV-CH'!$G$6,H83-1,0)))),"Modell"))</f>
        <v>Modell</v>
      </c>
      <c r="AG83" s="72" t="str" cm="1">
        <f t="array" ref="AG83">IF($H83=0,"",IF(INDEX('DM01-AV-CH'!G$6:G$834,$H83)="","",INDEX('DM01-AV-CH'!G$6:G$834,$H83)))</f>
        <v>FixpunkteKategorie1</v>
      </c>
      <c r="AH83" s="73" t="str" cm="1">
        <f t="array" ref="AH83">IF($H83=0,"",IF(INDEX('DM01-AV-CH'!H$6:H$834,$H83)="","",INDEX('DM01-AV-CH'!H$6:H$834,$H83)))</f>
        <v>LFP1Nachfuehrung</v>
      </c>
      <c r="AI83" s="74" t="str" cm="1">
        <f t="array" ref="AI83">IF($H83=0,"",IF(INDEX('DM01-AV-CH'!I$6:I$834,$H83)="","",INDEX('DM01-AV-CH'!I$6:I$834,$H83)))</f>
        <v>Beschreibung</v>
      </c>
    </row>
    <row r="84" spans="1:35" x14ac:dyDescent="0.25">
      <c r="A84" s="57">
        <v>79</v>
      </c>
      <c r="B84" s="57">
        <f>IF($A84="","",IF(_xlfn.XLOOKUP($A84,Korrelation!$D$4:$D$1197,Korrelation!E$4:E$1197,"-",0)="-",0,MATCH(_xlfn.XLOOKUP($A84,Korrelation!$D$4:$D$1197,Korrelation!E$4:E$1197,"",0),DMAV_Modell!$G$6:$G$677,0)))</f>
        <v>0</v>
      </c>
      <c r="C84" s="57">
        <f>IF($A84="","",IF(_xlfn.XLOOKUP($A84,Korrelation!$D$4:$D$1197,Korrelation!F$4:F$1197,"-",0)="-",0,MATCH(_xlfn.XLOOKUP($A84,Korrelation!$D$4:$D$1197,Korrelation!F$4:F$1197,"",0),DMAV_Modell!$G$6:$G$677,0)))</f>
        <v>0</v>
      </c>
      <c r="D84" s="57">
        <f>IF($A84="","",IF(_xlfn.XLOOKUP($A84,Korrelation!$D$4:$D$1197,Korrelation!G$4:G$1197,"-",0)="-",0,MATCH(_xlfn.XLOOKUP($A84,Korrelation!$D$4:$D$1197,Korrelation!G$4:G$1197,"",0),DMAV_Modell!$G$6:$G$677,0)))</f>
        <v>0</v>
      </c>
      <c r="E84" s="57">
        <f>IF($A84="","",IF(_xlfn.XLOOKUP($A84,Korrelation!$D$4:$D$1197,Korrelation!H$4:H$1197,"-",0)="-",0,MATCH(_xlfn.XLOOKUP($A84,Korrelation!$D$4:$D$1197,Korrelation!H$4:H$1197,"",0),DMAV_Dienste!$F$6:$F$140,0)))</f>
        <v>0</v>
      </c>
      <c r="F84" s="57">
        <f>IF($A84="","",IF(_xlfn.XLOOKUP($A84,Korrelation!$D$4:$D$1197,Korrelation!I$4:I$1197,"-",0)="-",0,MATCH(_xlfn.XLOOKUP($A84,Korrelation!$D$4:$D$1197,Korrelation!I$4:I$1197,"",0),DMAV_Dienste!$F$6:$F$140,0)))</f>
        <v>0</v>
      </c>
      <c r="G84" s="57">
        <f>IF($A84="","",IF(_xlfn.XLOOKUP($A84,Korrelation!$D$4:$D$1197,Korrelation!J$4:J$1197,"-",0)="-",0,MATCH(_xlfn.XLOOKUP($A84,Korrelation!$D$4:$D$1197,Korrelation!J$4:J$1197,"",0),DMAV_Dienste!$F$6:$F$140,0)))</f>
        <v>0</v>
      </c>
      <c r="H84" s="57">
        <f>IF($A84="","",IF(_xlfn.XLOOKUP($A84,Korrelation!$D$4:$D$1197,Korrelation!K$4:K$1197,"-",0)="-",0,MATCH(_xlfn.XLOOKUP($A84,Korrelation!$D$4:$D$1197,Korrelation!K$4:K$1197,"",0),'DM01-AV-CH'!$A$6:$A$834,0)))</f>
        <v>40</v>
      </c>
      <c r="J84" s="54" t="str" cm="1">
        <f t="array" aca="1" ref="J84" ca="1">IF(B84=0,IF(E84=0,"",HYPERLINK("#"&amp;RIGHT(CELL("adresse",OFFSET(DMAV_Dienste!$M$6,E84-1,0)),LEN(CELL("adresse",OFFSET(DMAV_Dienste!$M$6,E84-1,0)))-FIND("]",CELL("adresse",OFFSET(DMAV_Dienste!$M$6,E84-1,0)))),"Dienst")),HYPERLINK("#"&amp;RIGHT(CELL("adresse",OFFSET(DMAV_Modell!$N$6,B84-1,0)),LEN(CELL("adresse",OFFSET(DMAV_Modell!$N$6,B84-1,0)))-FIND("]",CELL("adresse",OFFSET(DMAV_Modell!$N$6,B84-1,0)))),"Modell"))</f>
        <v/>
      </c>
      <c r="K84" s="61" t="str" cm="1">
        <f t="array" ref="K84">IF($B84=0,IF($E84=0,"",IF(INDEX(DMAV_Dienste!P$6:P$140,$E84)="","",INDEX(DMAV_Dienste!P$6:P$140,$E84))),IF(INDEX(DMAV_Modell!Q$6:Q$838,$B84)="","",INDEX(DMAV_Modell!Q$6:Q$838,$B84)))</f>
        <v/>
      </c>
      <c r="L84" s="62" t="str" cm="1">
        <f t="array" ref="L84">IF($B84=0,IF($E84=0,"",IF(INDEX(DMAV_Dienste!O$6:O$140,$E84)="","",INDEX(DMAV_Dienste!O$6:O$140,$E84))),IF(INDEX(DMAV_Modell!P$6:P$838,$B84)="","",INDEX(DMAV_Modell!P$6:P$838,$B84)))</f>
        <v/>
      </c>
      <c r="M84" s="62" t="str" cm="1">
        <f t="array" ref="M84">IF($B84=0,IF($E84=0,"",IF(INDEX(DMAV_Dienste!Q$6:Q$140,$E84)="","",INDEX(DMAV_Dienste!Q$6:Q$140,$E84))),IF(INDEX(DMAV_Modell!R$6:R$838,$B84)="","",INDEX(DMAV_Modell!R$6:R$838,$B84)))</f>
        <v/>
      </c>
      <c r="N84" s="62" t="str" cm="1">
        <f t="array" ref="N84">IF($B84=0,IF($E84=0,"",IF(INDEX(DMAV_Dienste!T$6:T$140,$E84)="","",INDEX(DMAV_Dienste!T$6:T$140,$E84))),IF(INDEX(DMAV_Modell!U$6:U$838,$B84)="","",INDEX(DMAV_Modell!U$6:U$838,$B84)))</f>
        <v/>
      </c>
      <c r="O84" s="63" t="str" cm="1">
        <f t="array" aca="1" ref="O84" ca="1">IF(C84=0,IF(F84=0,"",HYPERLINK("#"&amp;RIGHT(CELL("adresse",OFFSET(DMAV_Dienste!$M$6,F84-1,0)),LEN(CELL("adresse",OFFSET(DMAV_Dienste!$M$6,F84-1,0)))-FIND("]",CELL("adresse",OFFSET(DMAV_Dienste!$M$6,F84-1,0)))),"Structure")),HYPERLINK("#"&amp;RIGHT(CELL("adresse",OFFSET(DMAV_Modell!$N$6,C84-1,0)),LEN(CELL("adresse",OFFSET(DMAV_Modell!$N$6,C84-1,0)))-FIND("]",CELL("adresse",OFFSET(DMAV_Modell!$N$6,C84-1,0)))),"Structure"))</f>
        <v/>
      </c>
      <c r="P84" s="64" t="str" cm="1">
        <f t="array" aca="1" ref="P84" ca="1">IF(D84=0,IF(G84=0,"",HYPERLINK("#"&amp;RIGHT(CELL("adresse",OFFSET(DMAV_Dienste!$M$6,G84-1,0)),LEN(CELL("adresse",OFFSET(DMAV_Dienste!$M$6,G84-1,0)))-FIND("]",CELL("adresse",OFFSET(DMAV_Dienste!$M$6,G84-1,0)))),"Substructure")),HYPERLINK("#"&amp;RIGHT(CELL("adresse",OFFSET(DMAV_Modell!$N$6,D84-1,0)),LEN(CELL("adresse",OFFSET(DMAV_Modell!$N$6,D84-1,0)))-FIND("]",CELL("adresse",OFFSET(DMAV_Modell!$N$6,D84-1,0)))),"Substructure"))</f>
        <v/>
      </c>
      <c r="R84" s="80"/>
      <c r="T84" s="93"/>
      <c r="U84" s="94"/>
      <c r="V84" s="95"/>
      <c r="W84" s="96"/>
      <c r="Y84" s="85"/>
      <c r="Z84" s="86"/>
      <c r="AA84" s="87"/>
      <c r="AB84" s="88"/>
      <c r="AD84" s="77"/>
      <c r="AF84" s="54" t="str" cm="1">
        <f t="array" aca="1" ref="AF84" ca="1">IF(H84=0,"",HYPERLINK("#"&amp;RIGHT(CELL("adresse",OFFSET('DM01-AV-CH'!$G$6,H84-1,0)),LEN(CELL("adresse",OFFSET('DM01-AV-CH'!$G$6,H84-1,0)))-FIND("]",CELL("adresse",OFFSET('DM01-AV-CH'!$G$6,H84-1,0)))),"Modell"))</f>
        <v>Modell</v>
      </c>
      <c r="AG84" s="72" t="str" cm="1">
        <f t="array" ref="AG84">IF($H84=0,"",IF(INDEX('DM01-AV-CH'!G$6:G$834,$H84)="","",INDEX('DM01-AV-CH'!G$6:G$834,$H84)))</f>
        <v>FixpunkteKategorie1</v>
      </c>
      <c r="AH84" s="73" t="str" cm="1">
        <f t="array" ref="AH84">IF($H84=0,"",IF(INDEX('DM01-AV-CH'!H$6:H$834,$H84)="","",INDEX('DM01-AV-CH'!H$6:H$834,$H84)))</f>
        <v>LFP1Nachfuehrung</v>
      </c>
      <c r="AI84" s="74" t="str" cm="1">
        <f t="array" ref="AI84">IF($H84=0,"",IF(INDEX('DM01-AV-CH'!I$6:I$834,$H84)="","",INDEX('DM01-AV-CH'!I$6:I$834,$H84)))</f>
        <v>Perimeter</v>
      </c>
    </row>
    <row r="85" spans="1:35" ht="114" x14ac:dyDescent="0.25">
      <c r="A85" s="57">
        <v>80</v>
      </c>
      <c r="B85" s="57">
        <f>IF($A85="","",IF(_xlfn.XLOOKUP($A85,Korrelation!$D$4:$D$1197,Korrelation!E$4:E$1197,"-",0)="-",0,MATCH(_xlfn.XLOOKUP($A85,Korrelation!$D$4:$D$1197,Korrelation!E$4:E$1197,"",0),DMAV_Modell!$G$6:$G$677,0)))</f>
        <v>0</v>
      </c>
      <c r="C85" s="57">
        <f>IF($A85="","",IF(_xlfn.XLOOKUP($A85,Korrelation!$D$4:$D$1197,Korrelation!F$4:F$1197,"-",0)="-",0,MATCH(_xlfn.XLOOKUP($A85,Korrelation!$D$4:$D$1197,Korrelation!F$4:F$1197,"",0),DMAV_Modell!$G$6:$G$677,0)))</f>
        <v>0</v>
      </c>
      <c r="D85" s="57">
        <f>IF($A85="","",IF(_xlfn.XLOOKUP($A85,Korrelation!$D$4:$D$1197,Korrelation!G$4:G$1197,"-",0)="-",0,MATCH(_xlfn.XLOOKUP($A85,Korrelation!$D$4:$D$1197,Korrelation!G$4:G$1197,"",0),DMAV_Modell!$G$6:$G$677,0)))</f>
        <v>0</v>
      </c>
      <c r="E85" s="57">
        <f>IF($A85="","",IF(_xlfn.XLOOKUP($A85,Korrelation!$D$4:$D$1197,Korrelation!H$4:H$1197,"-",0)="-",0,MATCH(_xlfn.XLOOKUP($A85,Korrelation!$D$4:$D$1197,Korrelation!H$4:H$1197,"",0),DMAV_Dienste!$F$6:$F$140,0)))</f>
        <v>0</v>
      </c>
      <c r="F85" s="57">
        <f>IF($A85="","",IF(_xlfn.XLOOKUP($A85,Korrelation!$D$4:$D$1197,Korrelation!I$4:I$1197,"-",0)="-",0,MATCH(_xlfn.XLOOKUP($A85,Korrelation!$D$4:$D$1197,Korrelation!I$4:I$1197,"",0),DMAV_Dienste!$F$6:$F$140,0)))</f>
        <v>0</v>
      </c>
      <c r="G85" s="57">
        <f>IF($A85="","",IF(_xlfn.XLOOKUP($A85,Korrelation!$D$4:$D$1197,Korrelation!J$4:J$1197,"-",0)="-",0,MATCH(_xlfn.XLOOKUP($A85,Korrelation!$D$4:$D$1197,Korrelation!J$4:J$1197,"",0),DMAV_Dienste!$F$6:$F$140,0)))</f>
        <v>0</v>
      </c>
      <c r="H85" s="57">
        <f>IF($A85="","",IF(_xlfn.XLOOKUP($A85,Korrelation!$D$4:$D$1197,Korrelation!K$4:K$1197,"-",0)="-",0,MATCH(_xlfn.XLOOKUP($A85,Korrelation!$D$4:$D$1197,Korrelation!K$4:K$1197,"",0),'DM01-AV-CH'!$A$6:$A$834,0)))</f>
        <v>41</v>
      </c>
      <c r="J85" s="54" t="str" cm="1">
        <f t="array" aca="1" ref="J85" ca="1">IF(B85=0,IF(E85=0,"",HYPERLINK("#"&amp;RIGHT(CELL("adresse",OFFSET(DMAV_Dienste!$M$6,E85-1,0)),LEN(CELL("adresse",OFFSET(DMAV_Dienste!$M$6,E85-1,0)))-FIND("]",CELL("adresse",OFFSET(DMAV_Dienste!$M$6,E85-1,0)))),"Dienst")),HYPERLINK("#"&amp;RIGHT(CELL("adresse",OFFSET(DMAV_Modell!$N$6,B85-1,0)),LEN(CELL("adresse",OFFSET(DMAV_Modell!$N$6,B85-1,0)))-FIND("]",CELL("adresse",OFFSET(DMAV_Modell!$N$6,B85-1,0)))),"Modell"))</f>
        <v/>
      </c>
      <c r="K85" s="61" t="str" cm="1">
        <f t="array" ref="K85">IF($B85=0,IF($E85=0,"",IF(INDEX(DMAV_Dienste!P$6:P$140,$E85)="","",INDEX(DMAV_Dienste!P$6:P$140,$E85))),IF(INDEX(DMAV_Modell!Q$6:Q$838,$B85)="","",INDEX(DMAV_Modell!Q$6:Q$838,$B85)))</f>
        <v/>
      </c>
      <c r="L85" s="62" t="str" cm="1">
        <f t="array" ref="L85">IF($B85=0,IF($E85=0,"",IF(INDEX(DMAV_Dienste!O$6:O$140,$E85)="","",INDEX(DMAV_Dienste!O$6:O$140,$E85))),IF(INDEX(DMAV_Modell!P$6:P$838,$B85)="","",INDEX(DMAV_Modell!P$6:P$838,$B85)))</f>
        <v/>
      </c>
      <c r="M85" s="62" t="str" cm="1">
        <f t="array" ref="M85">IF($B85=0,IF($E85=0,"",IF(INDEX(DMAV_Dienste!Q$6:Q$140,$E85)="","",INDEX(DMAV_Dienste!Q$6:Q$140,$E85))),IF(INDEX(DMAV_Modell!R$6:R$838,$B85)="","",INDEX(DMAV_Modell!R$6:R$838,$B85)))</f>
        <v/>
      </c>
      <c r="N85" s="62" t="str" cm="1">
        <f t="array" ref="N85">IF($B85=0,IF($E85=0,"",IF(INDEX(DMAV_Dienste!T$6:T$140,$E85)="","",INDEX(DMAV_Dienste!T$6:T$140,$E85))),IF(INDEX(DMAV_Modell!U$6:U$838,$B85)="","",INDEX(DMAV_Modell!U$6:U$838,$B85)))</f>
        <v/>
      </c>
      <c r="O85" s="63" t="str" cm="1">
        <f t="array" aca="1" ref="O85" ca="1">IF(C85=0,IF(F85=0,"",HYPERLINK("#"&amp;RIGHT(CELL("adresse",OFFSET(DMAV_Dienste!$M$6,F85-1,0)),LEN(CELL("adresse",OFFSET(DMAV_Dienste!$M$6,F85-1,0)))-FIND("]",CELL("adresse",OFFSET(DMAV_Dienste!$M$6,F85-1,0)))),"Structure")),HYPERLINK("#"&amp;RIGHT(CELL("adresse",OFFSET(DMAV_Modell!$N$6,C85-1,0)),LEN(CELL("adresse",OFFSET(DMAV_Modell!$N$6,C85-1,0)))-FIND("]",CELL("adresse",OFFSET(DMAV_Modell!$N$6,C85-1,0)))),"Structure"))</f>
        <v/>
      </c>
      <c r="P85" s="64" t="str" cm="1">
        <f t="array" aca="1" ref="P85" ca="1">IF(D85=0,IF(G85=0,"",HYPERLINK("#"&amp;RIGHT(CELL("adresse",OFFSET(DMAV_Dienste!$M$6,G85-1,0)),LEN(CELL("adresse",OFFSET(DMAV_Dienste!$M$6,G85-1,0)))-FIND("]",CELL("adresse",OFFSET(DMAV_Dienste!$M$6,G85-1,0)))),"Substructure")),HYPERLINK("#"&amp;RIGHT(CELL("adresse",OFFSET(DMAV_Modell!$N$6,D85-1,0)),LEN(CELL("adresse",OFFSET(DMAV_Modell!$N$6,D85-1,0)))-FIND("]",CELL("adresse",OFFSET(DMAV_Modell!$N$6,D85-1,0)))),"Substructure"))</f>
        <v/>
      </c>
      <c r="R85" s="80"/>
      <c r="T85" s="93"/>
      <c r="U85" s="94"/>
      <c r="V85" s="95"/>
      <c r="W85" s="96"/>
      <c r="Y85" s="85"/>
      <c r="Z85" s="86"/>
      <c r="AA85" s="87"/>
      <c r="AB85" s="88" t="s">
        <v>3315</v>
      </c>
      <c r="AD85" s="77"/>
      <c r="AF85" s="54" t="str" cm="1">
        <f t="array" aca="1" ref="AF85" ca="1">IF(H85=0,"",HYPERLINK("#"&amp;RIGHT(CELL("adresse",OFFSET('DM01-AV-CH'!$G$6,H85-1,0)),LEN(CELL("adresse",OFFSET('DM01-AV-CH'!$G$6,H85-1,0)))-FIND("]",CELL("adresse",OFFSET('DM01-AV-CH'!$G$6,H85-1,0)))),"Modell"))</f>
        <v>Modell</v>
      </c>
      <c r="AG85" s="72" t="str" cm="1">
        <f t="array" ref="AG85">IF($H85=0,"",IF(INDEX('DM01-AV-CH'!G$6:G$834,$H85)="","",INDEX('DM01-AV-CH'!G$6:G$834,$H85)))</f>
        <v>FixpunkteKategorie1</v>
      </c>
      <c r="AH85" s="73" t="str" cm="1">
        <f t="array" ref="AH85">IF($H85=0,"",IF(INDEX('DM01-AV-CH'!H$6:H$834,$H85)="","",INDEX('DM01-AV-CH'!H$6:H$834,$H85)))</f>
        <v>LFP1Nachfuehrung</v>
      </c>
      <c r="AI85" s="74" t="str" cm="1">
        <f t="array" ref="AI85">IF($H85=0,"",IF(INDEX('DM01-AV-CH'!I$6:I$834,$H85)="","",INDEX('DM01-AV-CH'!I$6:I$834,$H85)))</f>
        <v>GueltigerEintrag</v>
      </c>
    </row>
    <row r="86" spans="1:35" ht="114" x14ac:dyDescent="0.25">
      <c r="A86" s="57">
        <v>81</v>
      </c>
      <c r="B86" s="57">
        <f>IF($A86="","",IF(_xlfn.XLOOKUP($A86,Korrelation!$D$4:$D$1197,Korrelation!E$4:E$1197,"-",0)="-",0,MATCH(_xlfn.XLOOKUP($A86,Korrelation!$D$4:$D$1197,Korrelation!E$4:E$1197,"",0),DMAV_Modell!$G$6:$G$677,0)))</f>
        <v>0</v>
      </c>
      <c r="C86" s="57">
        <f>IF($A86="","",IF(_xlfn.XLOOKUP($A86,Korrelation!$D$4:$D$1197,Korrelation!F$4:F$1197,"-",0)="-",0,MATCH(_xlfn.XLOOKUP($A86,Korrelation!$D$4:$D$1197,Korrelation!F$4:F$1197,"",0),DMAV_Modell!$G$6:$G$677,0)))</f>
        <v>0</v>
      </c>
      <c r="D86" s="57">
        <f>IF($A86="","",IF(_xlfn.XLOOKUP($A86,Korrelation!$D$4:$D$1197,Korrelation!G$4:G$1197,"-",0)="-",0,MATCH(_xlfn.XLOOKUP($A86,Korrelation!$D$4:$D$1197,Korrelation!G$4:G$1197,"",0),DMAV_Modell!$G$6:$G$677,0)))</f>
        <v>0</v>
      </c>
      <c r="E86" s="57">
        <f>IF($A86="","",IF(_xlfn.XLOOKUP($A86,Korrelation!$D$4:$D$1197,Korrelation!H$4:H$1197,"-",0)="-",0,MATCH(_xlfn.XLOOKUP($A86,Korrelation!$D$4:$D$1197,Korrelation!H$4:H$1197,"",0),DMAV_Dienste!$F$6:$F$140,0)))</f>
        <v>0</v>
      </c>
      <c r="F86" s="57">
        <f>IF($A86="","",IF(_xlfn.XLOOKUP($A86,Korrelation!$D$4:$D$1197,Korrelation!I$4:I$1197,"-",0)="-",0,MATCH(_xlfn.XLOOKUP($A86,Korrelation!$D$4:$D$1197,Korrelation!I$4:I$1197,"",0),DMAV_Dienste!$F$6:$F$140,0)))</f>
        <v>0</v>
      </c>
      <c r="G86" s="57">
        <f>IF($A86="","",IF(_xlfn.XLOOKUP($A86,Korrelation!$D$4:$D$1197,Korrelation!J$4:J$1197,"-",0)="-",0,MATCH(_xlfn.XLOOKUP($A86,Korrelation!$D$4:$D$1197,Korrelation!J$4:J$1197,"",0),DMAV_Dienste!$F$6:$F$140,0)))</f>
        <v>0</v>
      </c>
      <c r="H86" s="57">
        <f>IF($A86="","",IF(_xlfn.XLOOKUP($A86,Korrelation!$D$4:$D$1197,Korrelation!K$4:K$1197,"-",0)="-",0,MATCH(_xlfn.XLOOKUP($A86,Korrelation!$D$4:$D$1197,Korrelation!K$4:K$1197,"",0),'DM01-AV-CH'!$A$6:$A$834,0)))</f>
        <v>42</v>
      </c>
      <c r="J86" s="54" t="str" cm="1">
        <f t="array" aca="1" ref="J86" ca="1">IF(B86=0,IF(E86=0,"",HYPERLINK("#"&amp;RIGHT(CELL("adresse",OFFSET(DMAV_Dienste!$M$6,E86-1,0)),LEN(CELL("adresse",OFFSET(DMAV_Dienste!$M$6,E86-1,0)))-FIND("]",CELL("adresse",OFFSET(DMAV_Dienste!$M$6,E86-1,0)))),"Dienst")),HYPERLINK("#"&amp;RIGHT(CELL("adresse",OFFSET(DMAV_Modell!$N$6,B86-1,0)),LEN(CELL("adresse",OFFSET(DMAV_Modell!$N$6,B86-1,0)))-FIND("]",CELL("adresse",OFFSET(DMAV_Modell!$N$6,B86-1,0)))),"Modell"))</f>
        <v/>
      </c>
      <c r="K86" s="61" t="str" cm="1">
        <f t="array" ref="K86">IF($B86=0,IF($E86=0,"",IF(INDEX(DMAV_Dienste!P$6:P$140,$E86)="","",INDEX(DMAV_Dienste!P$6:P$140,$E86))),IF(INDEX(DMAV_Modell!Q$6:Q$838,$B86)="","",INDEX(DMAV_Modell!Q$6:Q$838,$B86)))</f>
        <v/>
      </c>
      <c r="L86" s="62" t="str" cm="1">
        <f t="array" ref="L86">IF($B86=0,IF($E86=0,"",IF(INDEX(DMAV_Dienste!O$6:O$140,$E86)="","",INDEX(DMAV_Dienste!O$6:O$140,$E86))),IF(INDEX(DMAV_Modell!P$6:P$838,$B86)="","",INDEX(DMAV_Modell!P$6:P$838,$B86)))</f>
        <v/>
      </c>
      <c r="M86" s="62" t="str" cm="1">
        <f t="array" ref="M86">IF($B86=0,IF($E86=0,"",IF(INDEX(DMAV_Dienste!Q$6:Q$140,$E86)="","",INDEX(DMAV_Dienste!Q$6:Q$140,$E86))),IF(INDEX(DMAV_Modell!R$6:R$838,$B86)="","",INDEX(DMAV_Modell!R$6:R$838,$B86)))</f>
        <v/>
      </c>
      <c r="N86" s="62" t="str" cm="1">
        <f t="array" ref="N86">IF($B86=0,IF($E86=0,"",IF(INDEX(DMAV_Dienste!T$6:T$140,$E86)="","",INDEX(DMAV_Dienste!T$6:T$140,$E86))),IF(INDEX(DMAV_Modell!U$6:U$838,$B86)="","",INDEX(DMAV_Modell!U$6:U$838,$B86)))</f>
        <v/>
      </c>
      <c r="O86" s="63" t="str" cm="1">
        <f t="array" aca="1" ref="O86" ca="1">IF(C86=0,IF(F86=0,"",HYPERLINK("#"&amp;RIGHT(CELL("adresse",OFFSET(DMAV_Dienste!$M$6,F86-1,0)),LEN(CELL("adresse",OFFSET(DMAV_Dienste!$M$6,F86-1,0)))-FIND("]",CELL("adresse",OFFSET(DMAV_Dienste!$M$6,F86-1,0)))),"Structure")),HYPERLINK("#"&amp;RIGHT(CELL("adresse",OFFSET(DMAV_Modell!$N$6,C86-1,0)),LEN(CELL("adresse",OFFSET(DMAV_Modell!$N$6,C86-1,0)))-FIND("]",CELL("adresse",OFFSET(DMAV_Modell!$N$6,C86-1,0)))),"Structure"))</f>
        <v/>
      </c>
      <c r="P86" s="64" t="str" cm="1">
        <f t="array" aca="1" ref="P86" ca="1">IF(D86=0,IF(G86=0,"",HYPERLINK("#"&amp;RIGHT(CELL("adresse",OFFSET(DMAV_Dienste!$M$6,G86-1,0)),LEN(CELL("adresse",OFFSET(DMAV_Dienste!$M$6,G86-1,0)))-FIND("]",CELL("adresse",OFFSET(DMAV_Dienste!$M$6,G86-1,0)))),"Substructure")),HYPERLINK("#"&amp;RIGHT(CELL("adresse",OFFSET(DMAV_Modell!$N$6,D86-1,0)),LEN(CELL("adresse",OFFSET(DMAV_Modell!$N$6,D86-1,0)))-FIND("]",CELL("adresse",OFFSET(DMAV_Modell!$N$6,D86-1,0)))),"Substructure"))</f>
        <v/>
      </c>
      <c r="R86" s="80"/>
      <c r="T86" s="93"/>
      <c r="U86" s="94"/>
      <c r="V86" s="95"/>
      <c r="W86" s="96"/>
      <c r="Y86" s="85"/>
      <c r="Z86" s="86"/>
      <c r="AA86" s="87"/>
      <c r="AB86" s="88" t="s">
        <v>3315</v>
      </c>
      <c r="AD86" s="77" t="s">
        <v>3049</v>
      </c>
      <c r="AF86" s="54" t="str" cm="1">
        <f t="array" aca="1" ref="AF86" ca="1">IF(H86=0,"",HYPERLINK("#"&amp;RIGHT(CELL("adresse",OFFSET('DM01-AV-CH'!$G$6,H86-1,0)),LEN(CELL("adresse",OFFSET('DM01-AV-CH'!$G$6,H86-1,0)))-FIND("]",CELL("adresse",OFFSET('DM01-AV-CH'!$G$6,H86-1,0)))),"Modell"))</f>
        <v>Modell</v>
      </c>
      <c r="AG86" s="72" t="str" cm="1">
        <f t="array" ref="AG86">IF($H86=0,"",IF(INDEX('DM01-AV-CH'!G$6:G$834,$H86)="","",INDEX('DM01-AV-CH'!G$6:G$834,$H86)))</f>
        <v>FixpunkteKategorie1</v>
      </c>
      <c r="AH86" s="73" t="str" cm="1">
        <f t="array" ref="AH86">IF($H86=0,"",IF(INDEX('DM01-AV-CH'!H$6:H$834,$H86)="","",INDEX('DM01-AV-CH'!H$6:H$834,$H86)))</f>
        <v>LFP1Nachfuehrung</v>
      </c>
      <c r="AI86" s="74" t="str" cm="1">
        <f t="array" ref="AI86">IF($H86=0,"",IF(INDEX('DM01-AV-CH'!I$6:I$834,$H86)="","",INDEX('DM01-AV-CH'!I$6:I$834,$H86)))</f>
        <v>Datum1</v>
      </c>
    </row>
    <row r="87" spans="1:35" x14ac:dyDescent="0.25">
      <c r="A87" s="57">
        <v>82</v>
      </c>
      <c r="B87" s="57">
        <f>IF($A87="","",IF(_xlfn.XLOOKUP($A87,Korrelation!$D$4:$D$1197,Korrelation!E$4:E$1197,"-",0)="-",0,MATCH(_xlfn.XLOOKUP($A87,Korrelation!$D$4:$D$1197,Korrelation!E$4:E$1197,"",0),DMAV_Modell!$G$6:$G$677,0)))</f>
        <v>0</v>
      </c>
      <c r="C87" s="57">
        <f>IF($A87="","",IF(_xlfn.XLOOKUP($A87,Korrelation!$D$4:$D$1197,Korrelation!F$4:F$1197,"-",0)="-",0,MATCH(_xlfn.XLOOKUP($A87,Korrelation!$D$4:$D$1197,Korrelation!F$4:F$1197,"",0),DMAV_Modell!$G$6:$G$677,0)))</f>
        <v>0</v>
      </c>
      <c r="D87" s="57">
        <f>IF($A87="","",IF(_xlfn.XLOOKUP($A87,Korrelation!$D$4:$D$1197,Korrelation!G$4:G$1197,"-",0)="-",0,MATCH(_xlfn.XLOOKUP($A87,Korrelation!$D$4:$D$1197,Korrelation!G$4:G$1197,"",0),DMAV_Modell!$G$6:$G$677,0)))</f>
        <v>0</v>
      </c>
      <c r="E87" s="57">
        <f>IF($A87="","",IF(_xlfn.XLOOKUP($A87,Korrelation!$D$4:$D$1197,Korrelation!H$4:H$1197,"-",0)="-",0,MATCH(_xlfn.XLOOKUP($A87,Korrelation!$D$4:$D$1197,Korrelation!H$4:H$1197,"",0),DMAV_Dienste!$F$6:$F$140,0)))</f>
        <v>0</v>
      </c>
      <c r="F87" s="57">
        <f>IF($A87="","",IF(_xlfn.XLOOKUP($A87,Korrelation!$D$4:$D$1197,Korrelation!I$4:I$1197,"-",0)="-",0,MATCH(_xlfn.XLOOKUP($A87,Korrelation!$D$4:$D$1197,Korrelation!I$4:I$1197,"",0),DMAV_Dienste!$F$6:$F$140,0)))</f>
        <v>0</v>
      </c>
      <c r="G87" s="57">
        <f>IF($A87="","",IF(_xlfn.XLOOKUP($A87,Korrelation!$D$4:$D$1197,Korrelation!J$4:J$1197,"-",0)="-",0,MATCH(_xlfn.XLOOKUP($A87,Korrelation!$D$4:$D$1197,Korrelation!J$4:J$1197,"",0),DMAV_Dienste!$F$6:$F$140,0)))</f>
        <v>0</v>
      </c>
      <c r="H87" s="57">
        <f>IF($A87="","",IF(_xlfn.XLOOKUP($A87,Korrelation!$D$4:$D$1197,Korrelation!K$4:K$1197,"-",0)="-",0,MATCH(_xlfn.XLOOKUP($A87,Korrelation!$D$4:$D$1197,Korrelation!K$4:K$1197,"",0),'DM01-AV-CH'!$A$6:$A$834,0)))</f>
        <v>43</v>
      </c>
      <c r="J87" s="54" t="str" cm="1">
        <f t="array" aca="1" ref="J87" ca="1">IF(B87=0,IF(E87=0,"",HYPERLINK("#"&amp;RIGHT(CELL("adresse",OFFSET(DMAV_Dienste!$M$6,E87-1,0)),LEN(CELL("adresse",OFFSET(DMAV_Dienste!$M$6,E87-1,0)))-FIND("]",CELL("adresse",OFFSET(DMAV_Dienste!$M$6,E87-1,0)))),"Dienst")),HYPERLINK("#"&amp;RIGHT(CELL("adresse",OFFSET(DMAV_Modell!$N$6,B87-1,0)),LEN(CELL("adresse",OFFSET(DMAV_Modell!$N$6,B87-1,0)))-FIND("]",CELL("adresse",OFFSET(DMAV_Modell!$N$6,B87-1,0)))),"Modell"))</f>
        <v/>
      </c>
      <c r="K87" s="61" t="str" cm="1">
        <f t="array" ref="K87">IF($B87=0,IF($E87=0,"",IF(INDEX(DMAV_Dienste!P$6:P$140,$E87)="","",INDEX(DMAV_Dienste!P$6:P$140,$E87))),IF(INDEX(DMAV_Modell!Q$6:Q$838,$B87)="","",INDEX(DMAV_Modell!Q$6:Q$838,$B87)))</f>
        <v/>
      </c>
      <c r="L87" s="62" t="str" cm="1">
        <f t="array" ref="L87">IF($B87=0,IF($E87=0,"",IF(INDEX(DMAV_Dienste!O$6:O$140,$E87)="","",INDEX(DMAV_Dienste!O$6:O$140,$E87))),IF(INDEX(DMAV_Modell!P$6:P$838,$B87)="","",INDEX(DMAV_Modell!P$6:P$838,$B87)))</f>
        <v/>
      </c>
      <c r="M87" s="62" t="str" cm="1">
        <f t="array" ref="M87">IF($B87=0,IF($E87=0,"",IF(INDEX(DMAV_Dienste!Q$6:Q$140,$E87)="","",INDEX(DMAV_Dienste!Q$6:Q$140,$E87))),IF(INDEX(DMAV_Modell!R$6:R$838,$B87)="","",INDEX(DMAV_Modell!R$6:R$838,$B87)))</f>
        <v/>
      </c>
      <c r="N87" s="62" t="str" cm="1">
        <f t="array" ref="N87">IF($B87=0,IF($E87=0,"",IF(INDEX(DMAV_Dienste!T$6:T$140,$E87)="","",INDEX(DMAV_Dienste!T$6:T$140,$E87))),IF(INDEX(DMAV_Modell!U$6:U$838,$B87)="","",INDEX(DMAV_Modell!U$6:U$838,$B87)))</f>
        <v/>
      </c>
      <c r="O87" s="63" t="str" cm="1">
        <f t="array" aca="1" ref="O87" ca="1">IF(C87=0,IF(F87=0,"",HYPERLINK("#"&amp;RIGHT(CELL("adresse",OFFSET(DMAV_Dienste!$M$6,F87-1,0)),LEN(CELL("adresse",OFFSET(DMAV_Dienste!$M$6,F87-1,0)))-FIND("]",CELL("adresse",OFFSET(DMAV_Dienste!$M$6,F87-1,0)))),"Structure")),HYPERLINK("#"&amp;RIGHT(CELL("adresse",OFFSET(DMAV_Modell!$N$6,C87-1,0)),LEN(CELL("adresse",OFFSET(DMAV_Modell!$N$6,C87-1,0)))-FIND("]",CELL("adresse",OFFSET(DMAV_Modell!$N$6,C87-1,0)))),"Structure"))</f>
        <v/>
      </c>
      <c r="P87" s="64" t="str" cm="1">
        <f t="array" aca="1" ref="P87" ca="1">IF(D87=0,IF(G87=0,"",HYPERLINK("#"&amp;RIGHT(CELL("adresse",OFFSET(DMAV_Dienste!$M$6,G87-1,0)),LEN(CELL("adresse",OFFSET(DMAV_Dienste!$M$6,G87-1,0)))-FIND("]",CELL("adresse",OFFSET(DMAV_Dienste!$M$6,G87-1,0)))),"Substructure")),HYPERLINK("#"&amp;RIGHT(CELL("adresse",OFFSET(DMAV_Modell!$N$6,D87-1,0)),LEN(CELL("adresse",OFFSET(DMAV_Modell!$N$6,D87-1,0)))-FIND("]",CELL("adresse",OFFSET(DMAV_Modell!$N$6,D87-1,0)))),"Substructure"))</f>
        <v/>
      </c>
      <c r="R87" s="80"/>
      <c r="T87" s="93"/>
      <c r="U87" s="94"/>
      <c r="V87" s="95"/>
      <c r="W87" s="96"/>
      <c r="Y87" s="85"/>
      <c r="Z87" s="86"/>
      <c r="AA87" s="87"/>
      <c r="AB87" s="88"/>
      <c r="AD87" s="77"/>
      <c r="AF87" s="54" t="str" cm="1">
        <f t="array" aca="1" ref="AF87" ca="1">IF(H87=0,"",HYPERLINK("#"&amp;RIGHT(CELL("adresse",OFFSET('DM01-AV-CH'!$G$6,H87-1,0)),LEN(CELL("adresse",OFFSET('DM01-AV-CH'!$G$6,H87-1,0)))-FIND("]",CELL("adresse",OFFSET('DM01-AV-CH'!$G$6,H87-1,0)))),"Modell"))</f>
        <v>Modell</v>
      </c>
      <c r="AG87" s="72" t="str" cm="1">
        <f t="array" ref="AG87">IF($H87=0,"",IF(INDEX('DM01-AV-CH'!G$6:G$834,$H87)="","",INDEX('DM01-AV-CH'!G$6:G$834,$H87)))</f>
        <v>FixpunkteKategorie1</v>
      </c>
      <c r="AH87" s="73" t="str" cm="1">
        <f t="array" ref="AH87">IF($H87=0,"",IF(INDEX('DM01-AV-CH'!H$6:H$834,$H87)="","",INDEX('DM01-AV-CH'!H$6:H$834,$H87)))</f>
        <v>LFP1</v>
      </c>
      <c r="AI87" s="74" t="str" cm="1">
        <f t="array" ref="AI87">IF($H87=0,"",IF(INDEX('DM01-AV-CH'!I$6:I$834,$H87)="","",INDEX('DM01-AV-CH'!I$6:I$834,$H87)))</f>
        <v>Entstehung</v>
      </c>
    </row>
    <row r="88" spans="1:35" x14ac:dyDescent="0.25">
      <c r="A88" s="57">
        <v>83</v>
      </c>
      <c r="B88" s="57">
        <f>IF($A88="","",IF(_xlfn.XLOOKUP($A88,Korrelation!$D$4:$D$1197,Korrelation!E$4:E$1197,"-",0)="-",0,MATCH(_xlfn.XLOOKUP($A88,Korrelation!$D$4:$D$1197,Korrelation!E$4:E$1197,"",0),DMAV_Modell!$G$6:$G$677,0)))</f>
        <v>0</v>
      </c>
      <c r="C88" s="57">
        <f>IF($A88="","",IF(_xlfn.XLOOKUP($A88,Korrelation!$D$4:$D$1197,Korrelation!F$4:F$1197,"-",0)="-",0,MATCH(_xlfn.XLOOKUP($A88,Korrelation!$D$4:$D$1197,Korrelation!F$4:F$1197,"",0),DMAV_Modell!$G$6:$G$677,0)))</f>
        <v>0</v>
      </c>
      <c r="D88" s="57">
        <f>IF($A88="","",IF(_xlfn.XLOOKUP($A88,Korrelation!$D$4:$D$1197,Korrelation!G$4:G$1197,"-",0)="-",0,MATCH(_xlfn.XLOOKUP($A88,Korrelation!$D$4:$D$1197,Korrelation!G$4:G$1197,"",0),DMAV_Modell!$G$6:$G$677,0)))</f>
        <v>0</v>
      </c>
      <c r="E88" s="57">
        <f>IF($A88="","",IF(_xlfn.XLOOKUP($A88,Korrelation!$D$4:$D$1197,Korrelation!H$4:H$1197,"-",0)="-",0,MATCH(_xlfn.XLOOKUP($A88,Korrelation!$D$4:$D$1197,Korrelation!H$4:H$1197,"",0),DMAV_Dienste!$F$6:$F$140,0)))</f>
        <v>4</v>
      </c>
      <c r="F88" s="57">
        <f>IF($A88="","",IF(_xlfn.XLOOKUP($A88,Korrelation!$D$4:$D$1197,Korrelation!I$4:I$1197,"-",0)="-",0,MATCH(_xlfn.XLOOKUP($A88,Korrelation!$D$4:$D$1197,Korrelation!I$4:I$1197,"",0),DMAV_Dienste!$F$6:$F$140,0)))</f>
        <v>0</v>
      </c>
      <c r="G88" s="57">
        <f>IF($A88="","",IF(_xlfn.XLOOKUP($A88,Korrelation!$D$4:$D$1197,Korrelation!J$4:J$1197,"-",0)="-",0,MATCH(_xlfn.XLOOKUP($A88,Korrelation!$D$4:$D$1197,Korrelation!J$4:J$1197,"",0),DMAV_Dienste!$F$6:$F$140,0)))</f>
        <v>0</v>
      </c>
      <c r="H88" s="57">
        <f>IF($A88="","",IF(_xlfn.XLOOKUP($A88,Korrelation!$D$4:$D$1197,Korrelation!K$4:K$1197,"-",0)="-",0,MATCH(_xlfn.XLOOKUP($A88,Korrelation!$D$4:$D$1197,Korrelation!K$4:K$1197,"",0),'DM01-AV-CH'!$A$6:$A$834,0)))</f>
        <v>44</v>
      </c>
      <c r="J88" s="54" t="str" cm="1">
        <f t="array" aca="1" ref="J88" ca="1">IF(B88=0,IF(E88=0,"",HYPERLINK("#"&amp;RIGHT(CELL("adresse",OFFSET(DMAV_Dienste!$M$6,E88-1,0)),LEN(CELL("adresse",OFFSET(DMAV_Dienste!$M$6,E88-1,0)))-FIND("]",CELL("adresse",OFFSET(DMAV_Dienste!$M$6,E88-1,0)))),"Dienst")),HYPERLINK("#"&amp;RIGHT(CELL("adresse",OFFSET(DMAV_Modell!$N$6,B88-1,0)),LEN(CELL("adresse",OFFSET(DMAV_Modell!$N$6,B88-1,0)))-FIND("]",CELL("adresse",OFFSET(DMAV_Modell!$N$6,B88-1,0)))),"Modell"))</f>
        <v>Dienst</v>
      </c>
      <c r="K88" s="61" t="str" cm="1">
        <f t="array" ref="K88">IF($B88=0,IF($E88=0,"",IF(INDEX(DMAV_Dienste!P$6:P$140,$E88)="","",INDEX(DMAV_Dienste!P$6:P$140,$E88))),IF(INDEX(DMAV_Modell!Q$6:Q$838,$B88)="","",INDEX(DMAV_Modell!Q$6:Q$838,$B88)))</f>
        <v>CLASS</v>
      </c>
      <c r="L88" s="62" t="str" cm="1">
        <f t="array" ref="L88">IF($B88=0,IF($E88=0,"",IF(INDEX(DMAV_Dienste!O$6:O$140,$E88)="","",INDEX(DMAV_Dienste!O$6:O$140,$E88))),IF(INDEX(DMAV_Modell!P$6:P$838,$B88)="","",INDEX(DMAV_Modell!P$6:P$838,$B88)))</f>
        <v>FixpunkteLV</v>
      </c>
      <c r="M88" s="62" t="str" cm="1">
        <f t="array" ref="M88">IF($B88=0,IF($E88=0,"",IF(INDEX(DMAV_Dienste!Q$6:Q$140,$E88)="","",INDEX(DMAV_Dienste!Q$6:Q$140,$E88))),IF(INDEX(DMAV_Modell!R$6:R$838,$B88)="","",INDEX(DMAV_Modell!R$6:R$838,$B88)))</f>
        <v>LFP1</v>
      </c>
      <c r="N88" s="62" t="str" cm="1">
        <f t="array" ref="N88">IF($B88=0,IF($E88=0,"",IF(INDEX(DMAV_Dienste!T$6:T$140,$E88)="","",INDEX(DMAV_Dienste!T$6:T$140,$E88))),IF(INDEX(DMAV_Modell!U$6:U$838,$B88)="","",INDEX(DMAV_Modell!U$6:U$838,$B88)))</f>
        <v>NBIDENT</v>
      </c>
      <c r="O88" s="63" t="str" cm="1">
        <f t="array" aca="1" ref="O88" ca="1">IF(C88=0,IF(F88=0,"",HYPERLINK("#"&amp;RIGHT(CELL("adresse",OFFSET(DMAV_Dienste!$M$6,F88-1,0)),LEN(CELL("adresse",OFFSET(DMAV_Dienste!$M$6,F88-1,0)))-FIND("]",CELL("adresse",OFFSET(DMAV_Dienste!$M$6,F88-1,0)))),"Structure")),HYPERLINK("#"&amp;RIGHT(CELL("adresse",OFFSET(DMAV_Modell!$N$6,C88-1,0)),LEN(CELL("adresse",OFFSET(DMAV_Modell!$N$6,C88-1,0)))-FIND("]",CELL("adresse",OFFSET(DMAV_Modell!$N$6,C88-1,0)))),"Structure"))</f>
        <v/>
      </c>
      <c r="P88" s="64" t="str" cm="1">
        <f t="array" aca="1" ref="P88" ca="1">IF(D88=0,IF(G88=0,"",HYPERLINK("#"&amp;RIGHT(CELL("adresse",OFFSET(DMAV_Dienste!$M$6,G88-1,0)),LEN(CELL("adresse",OFFSET(DMAV_Dienste!$M$6,G88-1,0)))-FIND("]",CELL("adresse",OFFSET(DMAV_Dienste!$M$6,G88-1,0)))),"Substructure")),HYPERLINK("#"&amp;RIGHT(CELL("adresse",OFFSET(DMAV_Modell!$N$6,D88-1,0)),LEN(CELL("adresse",OFFSET(DMAV_Modell!$N$6,D88-1,0)))-FIND("]",CELL("adresse",OFFSET(DMAV_Modell!$N$6,D88-1,0)))),"Substructure"))</f>
        <v/>
      </c>
      <c r="R88" s="80"/>
      <c r="T88" s="93"/>
      <c r="U88" s="94"/>
      <c r="V88" s="95"/>
      <c r="W88" s="96"/>
      <c r="Y88" s="85"/>
      <c r="Z88" s="86"/>
      <c r="AA88" s="87"/>
      <c r="AB88" s="88"/>
      <c r="AD88" s="77"/>
      <c r="AF88" s="54" t="str" cm="1">
        <f t="array" aca="1" ref="AF88" ca="1">IF(H88=0,"",HYPERLINK("#"&amp;RIGHT(CELL("adresse",OFFSET('DM01-AV-CH'!$G$6,H88-1,0)),LEN(CELL("adresse",OFFSET('DM01-AV-CH'!$G$6,H88-1,0)))-FIND("]",CELL("adresse",OFFSET('DM01-AV-CH'!$G$6,H88-1,0)))),"Modell"))</f>
        <v>Modell</v>
      </c>
      <c r="AG88" s="72" t="str" cm="1">
        <f t="array" ref="AG88">IF($H88=0,"",IF(INDEX('DM01-AV-CH'!G$6:G$834,$H88)="","",INDEX('DM01-AV-CH'!G$6:G$834,$H88)))</f>
        <v>FixpunkteKategorie1</v>
      </c>
      <c r="AH88" s="73" t="str" cm="1">
        <f t="array" ref="AH88">IF($H88=0,"",IF(INDEX('DM01-AV-CH'!H$6:H$834,$H88)="","",INDEX('DM01-AV-CH'!H$6:H$834,$H88)))</f>
        <v>LFP1</v>
      </c>
      <c r="AI88" s="74" t="str" cm="1">
        <f t="array" ref="AI88">IF($H88=0,"",IF(INDEX('DM01-AV-CH'!I$6:I$834,$H88)="","",INDEX('DM01-AV-CH'!I$6:I$834,$H88)))</f>
        <v>NBIdent</v>
      </c>
    </row>
    <row r="89" spans="1:35" x14ac:dyDescent="0.25">
      <c r="A89" s="57">
        <v>84</v>
      </c>
      <c r="B89" s="57">
        <f>IF($A89="","",IF(_xlfn.XLOOKUP($A89,Korrelation!$D$4:$D$1197,Korrelation!E$4:E$1197,"-",0)="-",0,MATCH(_xlfn.XLOOKUP($A89,Korrelation!$D$4:$D$1197,Korrelation!E$4:E$1197,"",0),DMAV_Modell!$G$6:$G$677,0)))</f>
        <v>0</v>
      </c>
      <c r="C89" s="57">
        <f>IF($A89="","",IF(_xlfn.XLOOKUP($A89,Korrelation!$D$4:$D$1197,Korrelation!F$4:F$1197,"-",0)="-",0,MATCH(_xlfn.XLOOKUP($A89,Korrelation!$D$4:$D$1197,Korrelation!F$4:F$1197,"",0),DMAV_Modell!$G$6:$G$677,0)))</f>
        <v>0</v>
      </c>
      <c r="D89" s="57">
        <f>IF($A89="","",IF(_xlfn.XLOOKUP($A89,Korrelation!$D$4:$D$1197,Korrelation!G$4:G$1197,"-",0)="-",0,MATCH(_xlfn.XLOOKUP($A89,Korrelation!$D$4:$D$1197,Korrelation!G$4:G$1197,"",0),DMAV_Modell!$G$6:$G$677,0)))</f>
        <v>0</v>
      </c>
      <c r="E89" s="57">
        <f>IF($A89="","",IF(_xlfn.XLOOKUP($A89,Korrelation!$D$4:$D$1197,Korrelation!H$4:H$1197,"-",0)="-",0,MATCH(_xlfn.XLOOKUP($A89,Korrelation!$D$4:$D$1197,Korrelation!H$4:H$1197,"",0),DMAV_Dienste!$F$6:$F$140,0)))</f>
        <v>5</v>
      </c>
      <c r="F89" s="57">
        <f>IF($A89="","",IF(_xlfn.XLOOKUP($A89,Korrelation!$D$4:$D$1197,Korrelation!I$4:I$1197,"-",0)="-",0,MATCH(_xlfn.XLOOKUP($A89,Korrelation!$D$4:$D$1197,Korrelation!I$4:I$1197,"",0),DMAV_Dienste!$F$6:$F$140,0)))</f>
        <v>0</v>
      </c>
      <c r="G89" s="57">
        <f>IF($A89="","",IF(_xlfn.XLOOKUP($A89,Korrelation!$D$4:$D$1197,Korrelation!J$4:J$1197,"-",0)="-",0,MATCH(_xlfn.XLOOKUP($A89,Korrelation!$D$4:$D$1197,Korrelation!J$4:J$1197,"",0),DMAV_Dienste!$F$6:$F$140,0)))</f>
        <v>0</v>
      </c>
      <c r="H89" s="57">
        <f>IF($A89="","",IF(_xlfn.XLOOKUP($A89,Korrelation!$D$4:$D$1197,Korrelation!K$4:K$1197,"-",0)="-",0,MATCH(_xlfn.XLOOKUP($A89,Korrelation!$D$4:$D$1197,Korrelation!K$4:K$1197,"",0),'DM01-AV-CH'!$A$6:$A$834,0)))</f>
        <v>45</v>
      </c>
      <c r="J89" s="54" t="str" cm="1">
        <f t="array" aca="1" ref="J89" ca="1">IF(B89=0,IF(E89=0,"",HYPERLINK("#"&amp;RIGHT(CELL("adresse",OFFSET(DMAV_Dienste!$M$6,E89-1,0)),LEN(CELL("adresse",OFFSET(DMAV_Dienste!$M$6,E89-1,0)))-FIND("]",CELL("adresse",OFFSET(DMAV_Dienste!$M$6,E89-1,0)))),"Dienst")),HYPERLINK("#"&amp;RIGHT(CELL("adresse",OFFSET(DMAV_Modell!$N$6,B89-1,0)),LEN(CELL("adresse",OFFSET(DMAV_Modell!$N$6,B89-1,0)))-FIND("]",CELL("adresse",OFFSET(DMAV_Modell!$N$6,B89-1,0)))),"Modell"))</f>
        <v>Dienst</v>
      </c>
      <c r="K89" s="61" t="str" cm="1">
        <f t="array" ref="K89">IF($B89=0,IF($E89=0,"",IF(INDEX(DMAV_Dienste!P$6:P$140,$E89)="","",INDEX(DMAV_Dienste!P$6:P$140,$E89))),IF(INDEX(DMAV_Modell!Q$6:Q$838,$B89)="","",INDEX(DMAV_Modell!Q$6:Q$838,$B89)))</f>
        <v>CLASS</v>
      </c>
      <c r="L89" s="62" t="str" cm="1">
        <f t="array" ref="L89">IF($B89=0,IF($E89=0,"",IF(INDEX(DMAV_Dienste!O$6:O$140,$E89)="","",INDEX(DMAV_Dienste!O$6:O$140,$E89))),IF(INDEX(DMAV_Modell!P$6:P$838,$B89)="","",INDEX(DMAV_Modell!P$6:P$838,$B89)))</f>
        <v>FixpunkteLV</v>
      </c>
      <c r="M89" s="62" t="str" cm="1">
        <f t="array" ref="M89">IF($B89=0,IF($E89=0,"",IF(INDEX(DMAV_Dienste!Q$6:Q$140,$E89)="","",INDEX(DMAV_Dienste!Q$6:Q$140,$E89))),IF(INDEX(DMAV_Modell!R$6:R$838,$B89)="","",INDEX(DMAV_Modell!R$6:R$838,$B89)))</f>
        <v>LFP1</v>
      </c>
      <c r="N89" s="62" t="str" cm="1">
        <f t="array" ref="N89">IF($B89=0,IF($E89=0,"",IF(INDEX(DMAV_Dienste!T$6:T$140,$E89)="","",INDEX(DMAV_Dienste!T$6:T$140,$E89))),IF(INDEX(DMAV_Modell!U$6:U$838,$B89)="","",INDEX(DMAV_Modell!U$6:U$838,$B89)))</f>
        <v>Nummer</v>
      </c>
      <c r="O89" s="63" t="str" cm="1">
        <f t="array" aca="1" ref="O89" ca="1">IF(C89=0,IF(F89=0,"",HYPERLINK("#"&amp;RIGHT(CELL("adresse",OFFSET(DMAV_Dienste!$M$6,F89-1,0)),LEN(CELL("adresse",OFFSET(DMAV_Dienste!$M$6,F89-1,0)))-FIND("]",CELL("adresse",OFFSET(DMAV_Dienste!$M$6,F89-1,0)))),"Structure")),HYPERLINK("#"&amp;RIGHT(CELL("adresse",OFFSET(DMAV_Modell!$N$6,C89-1,0)),LEN(CELL("adresse",OFFSET(DMAV_Modell!$N$6,C89-1,0)))-FIND("]",CELL("adresse",OFFSET(DMAV_Modell!$N$6,C89-1,0)))),"Structure"))</f>
        <v/>
      </c>
      <c r="P89" s="64" t="str" cm="1">
        <f t="array" aca="1" ref="P89" ca="1">IF(D89=0,IF(G89=0,"",HYPERLINK("#"&amp;RIGHT(CELL("adresse",OFFSET(DMAV_Dienste!$M$6,G89-1,0)),LEN(CELL("adresse",OFFSET(DMAV_Dienste!$M$6,G89-1,0)))-FIND("]",CELL("adresse",OFFSET(DMAV_Dienste!$M$6,G89-1,0)))),"Substructure")),HYPERLINK("#"&amp;RIGHT(CELL("adresse",OFFSET(DMAV_Modell!$N$6,D89-1,0)),LEN(CELL("adresse",OFFSET(DMAV_Modell!$N$6,D89-1,0)))-FIND("]",CELL("adresse",OFFSET(DMAV_Modell!$N$6,D89-1,0)))),"Substructure"))</f>
        <v/>
      </c>
      <c r="R89" s="80"/>
      <c r="T89" s="93"/>
      <c r="U89" s="94"/>
      <c r="V89" s="95"/>
      <c r="W89" s="96"/>
      <c r="Y89" s="85"/>
      <c r="Z89" s="86"/>
      <c r="AA89" s="87"/>
      <c r="AB89" s="88"/>
      <c r="AD89" s="77"/>
      <c r="AF89" s="54" t="str" cm="1">
        <f t="array" aca="1" ref="AF89" ca="1">IF(H89=0,"",HYPERLINK("#"&amp;RIGHT(CELL("adresse",OFFSET('DM01-AV-CH'!$G$6,H89-1,0)),LEN(CELL("adresse",OFFSET('DM01-AV-CH'!$G$6,H89-1,0)))-FIND("]",CELL("adresse",OFFSET('DM01-AV-CH'!$G$6,H89-1,0)))),"Modell"))</f>
        <v>Modell</v>
      </c>
      <c r="AG89" s="72" t="str" cm="1">
        <f t="array" ref="AG89">IF($H89=0,"",IF(INDEX('DM01-AV-CH'!G$6:G$834,$H89)="","",INDEX('DM01-AV-CH'!G$6:G$834,$H89)))</f>
        <v>FixpunkteKategorie1</v>
      </c>
      <c r="AH89" s="73" t="str" cm="1">
        <f t="array" ref="AH89">IF($H89=0,"",IF(INDEX('DM01-AV-CH'!H$6:H$834,$H89)="","",INDEX('DM01-AV-CH'!H$6:H$834,$H89)))</f>
        <v>LFP1</v>
      </c>
      <c r="AI89" s="74" t="str" cm="1">
        <f t="array" ref="AI89">IF($H89=0,"",IF(INDEX('DM01-AV-CH'!I$6:I$834,$H89)="","",INDEX('DM01-AV-CH'!I$6:I$834,$H89)))</f>
        <v>Nummer</v>
      </c>
    </row>
    <row r="90" spans="1:35" x14ac:dyDescent="0.25">
      <c r="A90" s="57">
        <v>85</v>
      </c>
      <c r="B90" s="57">
        <f>IF($A90="","",IF(_xlfn.XLOOKUP($A90,Korrelation!$D$4:$D$1197,Korrelation!E$4:E$1197,"-",0)="-",0,MATCH(_xlfn.XLOOKUP($A90,Korrelation!$D$4:$D$1197,Korrelation!E$4:E$1197,"",0),DMAV_Modell!$G$6:$G$677,0)))</f>
        <v>0</v>
      </c>
      <c r="C90" s="57">
        <f>IF($A90="","",IF(_xlfn.XLOOKUP($A90,Korrelation!$D$4:$D$1197,Korrelation!F$4:F$1197,"-",0)="-",0,MATCH(_xlfn.XLOOKUP($A90,Korrelation!$D$4:$D$1197,Korrelation!F$4:F$1197,"",0),DMAV_Modell!$G$6:$G$677,0)))</f>
        <v>0</v>
      </c>
      <c r="D90" s="57">
        <f>IF($A90="","",IF(_xlfn.XLOOKUP($A90,Korrelation!$D$4:$D$1197,Korrelation!G$4:G$1197,"-",0)="-",0,MATCH(_xlfn.XLOOKUP($A90,Korrelation!$D$4:$D$1197,Korrelation!G$4:G$1197,"",0),DMAV_Modell!$G$6:$G$677,0)))</f>
        <v>0</v>
      </c>
      <c r="E90" s="57">
        <f>IF($A90="","",IF(_xlfn.XLOOKUP($A90,Korrelation!$D$4:$D$1197,Korrelation!H$4:H$1197,"-",0)="-",0,MATCH(_xlfn.XLOOKUP($A90,Korrelation!$D$4:$D$1197,Korrelation!H$4:H$1197,"",0),DMAV_Dienste!$F$6:$F$140,0)))</f>
        <v>6</v>
      </c>
      <c r="F90" s="57">
        <f>IF($A90="","",IF(_xlfn.XLOOKUP($A90,Korrelation!$D$4:$D$1197,Korrelation!I$4:I$1197,"-",0)="-",0,MATCH(_xlfn.XLOOKUP($A90,Korrelation!$D$4:$D$1197,Korrelation!I$4:I$1197,"",0),DMAV_Dienste!$F$6:$F$140,0)))</f>
        <v>0</v>
      </c>
      <c r="G90" s="57">
        <f>IF($A90="","",IF(_xlfn.XLOOKUP($A90,Korrelation!$D$4:$D$1197,Korrelation!J$4:J$1197,"-",0)="-",0,MATCH(_xlfn.XLOOKUP($A90,Korrelation!$D$4:$D$1197,Korrelation!J$4:J$1197,"",0),DMAV_Dienste!$F$6:$F$140,0)))</f>
        <v>0</v>
      </c>
      <c r="H90" s="57">
        <f>IF($A90="","",IF(_xlfn.XLOOKUP($A90,Korrelation!$D$4:$D$1197,Korrelation!K$4:K$1197,"-",0)="-",0,MATCH(_xlfn.XLOOKUP($A90,Korrelation!$D$4:$D$1197,Korrelation!K$4:K$1197,"",0),'DM01-AV-CH'!$A$6:$A$834,0)))</f>
        <v>46</v>
      </c>
      <c r="J90" s="54" t="str" cm="1">
        <f t="array" aca="1" ref="J90" ca="1">IF(B90=0,IF(E90=0,"",HYPERLINK("#"&amp;RIGHT(CELL("adresse",OFFSET(DMAV_Dienste!$M$6,E90-1,0)),LEN(CELL("adresse",OFFSET(DMAV_Dienste!$M$6,E90-1,0)))-FIND("]",CELL("adresse",OFFSET(DMAV_Dienste!$M$6,E90-1,0)))),"Dienst")),HYPERLINK("#"&amp;RIGHT(CELL("adresse",OFFSET(DMAV_Modell!$N$6,B90-1,0)),LEN(CELL("adresse",OFFSET(DMAV_Modell!$N$6,B90-1,0)))-FIND("]",CELL("adresse",OFFSET(DMAV_Modell!$N$6,B90-1,0)))),"Modell"))</f>
        <v>Dienst</v>
      </c>
      <c r="K90" s="61" t="str" cm="1">
        <f t="array" ref="K90">IF($B90=0,IF($E90=0,"",IF(INDEX(DMAV_Dienste!P$6:P$140,$E90)="","",INDEX(DMAV_Dienste!P$6:P$140,$E90))),IF(INDEX(DMAV_Modell!Q$6:Q$838,$B90)="","",INDEX(DMAV_Modell!Q$6:Q$838,$B90)))</f>
        <v>CLASS</v>
      </c>
      <c r="L90" s="62" t="str" cm="1">
        <f t="array" ref="L90">IF($B90=0,IF($E90=0,"",IF(INDEX(DMAV_Dienste!O$6:O$140,$E90)="","",INDEX(DMAV_Dienste!O$6:O$140,$E90))),IF(INDEX(DMAV_Modell!P$6:P$838,$B90)="","",INDEX(DMAV_Modell!P$6:P$838,$B90)))</f>
        <v>FixpunkteLV</v>
      </c>
      <c r="M90" s="62" t="str" cm="1">
        <f t="array" ref="M90">IF($B90=0,IF($E90=0,"",IF(INDEX(DMAV_Dienste!Q$6:Q$140,$E90)="","",INDEX(DMAV_Dienste!Q$6:Q$140,$E90))),IF(INDEX(DMAV_Modell!R$6:R$838,$B90)="","",INDEX(DMAV_Modell!R$6:R$838,$B90)))</f>
        <v>LFP1</v>
      </c>
      <c r="N90" s="62" t="str" cm="1">
        <f t="array" ref="N90">IF($B90=0,IF($E90=0,"",IF(INDEX(DMAV_Dienste!T$6:T$140,$E90)="","",INDEX(DMAV_Dienste!T$6:T$140,$E90))),IF(INDEX(DMAV_Modell!U$6:U$838,$B90)="","",INDEX(DMAV_Modell!U$6:U$838,$B90)))</f>
        <v>Geometrie</v>
      </c>
      <c r="O90" s="63" t="str" cm="1">
        <f t="array" aca="1" ref="O90" ca="1">IF(C90=0,IF(F90=0,"",HYPERLINK("#"&amp;RIGHT(CELL("adresse",OFFSET(DMAV_Dienste!$M$6,F90-1,0)),LEN(CELL("adresse",OFFSET(DMAV_Dienste!$M$6,F90-1,0)))-FIND("]",CELL("adresse",OFFSET(DMAV_Dienste!$M$6,F90-1,0)))),"Structure")),HYPERLINK("#"&amp;RIGHT(CELL("adresse",OFFSET(DMAV_Modell!$N$6,C90-1,0)),LEN(CELL("adresse",OFFSET(DMAV_Modell!$N$6,C90-1,0)))-FIND("]",CELL("adresse",OFFSET(DMAV_Modell!$N$6,C90-1,0)))),"Structure"))</f>
        <v/>
      </c>
      <c r="P90" s="64" t="str" cm="1">
        <f t="array" aca="1" ref="P90" ca="1">IF(D90=0,IF(G90=0,"",HYPERLINK("#"&amp;RIGHT(CELL("adresse",OFFSET(DMAV_Dienste!$M$6,G90-1,0)),LEN(CELL("adresse",OFFSET(DMAV_Dienste!$M$6,G90-1,0)))-FIND("]",CELL("adresse",OFFSET(DMAV_Dienste!$M$6,G90-1,0)))),"Substructure")),HYPERLINK("#"&amp;RIGHT(CELL("adresse",OFFSET(DMAV_Modell!$N$6,D90-1,0)),LEN(CELL("adresse",OFFSET(DMAV_Modell!$N$6,D90-1,0)))-FIND("]",CELL("adresse",OFFSET(DMAV_Modell!$N$6,D90-1,0)))),"Substructure"))</f>
        <v/>
      </c>
      <c r="R90" s="80"/>
      <c r="T90" s="93"/>
      <c r="U90" s="94"/>
      <c r="V90" s="95"/>
      <c r="W90" s="96"/>
      <c r="Y90" s="85"/>
      <c r="Z90" s="86"/>
      <c r="AA90" s="87"/>
      <c r="AB90" s="88"/>
      <c r="AD90" s="77"/>
      <c r="AF90" s="54" t="str" cm="1">
        <f t="array" aca="1" ref="AF90" ca="1">IF(H90=0,"",HYPERLINK("#"&amp;RIGHT(CELL("adresse",OFFSET('DM01-AV-CH'!$G$6,H90-1,0)),LEN(CELL("adresse",OFFSET('DM01-AV-CH'!$G$6,H90-1,0)))-FIND("]",CELL("adresse",OFFSET('DM01-AV-CH'!$G$6,H90-1,0)))),"Modell"))</f>
        <v>Modell</v>
      </c>
      <c r="AG90" s="72" t="str" cm="1">
        <f t="array" ref="AG90">IF($H90=0,"",IF(INDEX('DM01-AV-CH'!G$6:G$834,$H90)="","",INDEX('DM01-AV-CH'!G$6:G$834,$H90)))</f>
        <v>FixpunkteKategorie1</v>
      </c>
      <c r="AH90" s="73" t="str" cm="1">
        <f t="array" ref="AH90">IF($H90=0,"",IF(INDEX('DM01-AV-CH'!H$6:H$834,$H90)="","",INDEX('DM01-AV-CH'!H$6:H$834,$H90)))</f>
        <v>LFP1</v>
      </c>
      <c r="AI90" s="74" t="str" cm="1">
        <f t="array" ref="AI90">IF($H90=0,"",IF(INDEX('DM01-AV-CH'!I$6:I$834,$H90)="","",INDEX('DM01-AV-CH'!I$6:I$834,$H90)))</f>
        <v>Geometrie</v>
      </c>
    </row>
    <row r="91" spans="1:35" x14ac:dyDescent="0.25">
      <c r="A91" s="57">
        <v>86</v>
      </c>
      <c r="B91" s="57">
        <f>IF($A91="","",IF(_xlfn.XLOOKUP($A91,Korrelation!$D$4:$D$1197,Korrelation!E$4:E$1197,"-",0)="-",0,MATCH(_xlfn.XLOOKUP($A91,Korrelation!$D$4:$D$1197,Korrelation!E$4:E$1197,"",0),DMAV_Modell!$G$6:$G$677,0)))</f>
        <v>0</v>
      </c>
      <c r="C91" s="57">
        <f>IF($A91="","",IF(_xlfn.XLOOKUP($A91,Korrelation!$D$4:$D$1197,Korrelation!F$4:F$1197,"-",0)="-",0,MATCH(_xlfn.XLOOKUP($A91,Korrelation!$D$4:$D$1197,Korrelation!F$4:F$1197,"",0),DMAV_Modell!$G$6:$G$677,0)))</f>
        <v>0</v>
      </c>
      <c r="D91" s="57">
        <f>IF($A91="","",IF(_xlfn.XLOOKUP($A91,Korrelation!$D$4:$D$1197,Korrelation!G$4:G$1197,"-",0)="-",0,MATCH(_xlfn.XLOOKUP($A91,Korrelation!$D$4:$D$1197,Korrelation!G$4:G$1197,"",0),DMAV_Modell!$G$6:$G$677,0)))</f>
        <v>0</v>
      </c>
      <c r="E91" s="57">
        <f>IF($A91="","",IF(_xlfn.XLOOKUP($A91,Korrelation!$D$4:$D$1197,Korrelation!H$4:H$1197,"-",0)="-",0,MATCH(_xlfn.XLOOKUP($A91,Korrelation!$D$4:$D$1197,Korrelation!H$4:H$1197,"",0),DMAV_Dienste!$F$6:$F$140,0)))</f>
        <v>7</v>
      </c>
      <c r="F91" s="57">
        <f>IF($A91="","",IF(_xlfn.XLOOKUP($A91,Korrelation!$D$4:$D$1197,Korrelation!I$4:I$1197,"-",0)="-",0,MATCH(_xlfn.XLOOKUP($A91,Korrelation!$D$4:$D$1197,Korrelation!I$4:I$1197,"",0),DMAV_Dienste!$F$6:$F$140,0)))</f>
        <v>0</v>
      </c>
      <c r="G91" s="57">
        <f>IF($A91="","",IF(_xlfn.XLOOKUP($A91,Korrelation!$D$4:$D$1197,Korrelation!J$4:J$1197,"-",0)="-",0,MATCH(_xlfn.XLOOKUP($A91,Korrelation!$D$4:$D$1197,Korrelation!J$4:J$1197,"",0),DMAV_Dienste!$F$6:$F$140,0)))</f>
        <v>0</v>
      </c>
      <c r="H91" s="57">
        <f>IF($A91="","",IF(_xlfn.XLOOKUP($A91,Korrelation!$D$4:$D$1197,Korrelation!K$4:K$1197,"-",0)="-",0,MATCH(_xlfn.XLOOKUP($A91,Korrelation!$D$4:$D$1197,Korrelation!K$4:K$1197,"",0),'DM01-AV-CH'!$A$6:$A$834,0)))</f>
        <v>47</v>
      </c>
      <c r="J91" s="54" t="str" cm="1">
        <f t="array" aca="1" ref="J91" ca="1">IF(B91=0,IF(E91=0,"",HYPERLINK("#"&amp;RIGHT(CELL("adresse",OFFSET(DMAV_Dienste!$M$6,E91-1,0)),LEN(CELL("adresse",OFFSET(DMAV_Dienste!$M$6,E91-1,0)))-FIND("]",CELL("adresse",OFFSET(DMAV_Dienste!$M$6,E91-1,0)))),"Dienst")),HYPERLINK("#"&amp;RIGHT(CELL("adresse",OFFSET(DMAV_Modell!$N$6,B91-1,0)),LEN(CELL("adresse",OFFSET(DMAV_Modell!$N$6,B91-1,0)))-FIND("]",CELL("adresse",OFFSET(DMAV_Modell!$N$6,B91-1,0)))),"Modell"))</f>
        <v>Dienst</v>
      </c>
      <c r="K91" s="61" t="str" cm="1">
        <f t="array" ref="K91">IF($B91=0,IF($E91=0,"",IF(INDEX(DMAV_Dienste!P$6:P$140,$E91)="","",INDEX(DMAV_Dienste!P$6:P$140,$E91))),IF(INDEX(DMAV_Modell!Q$6:Q$838,$B91)="","",INDEX(DMAV_Modell!Q$6:Q$838,$B91)))</f>
        <v>CLASS</v>
      </c>
      <c r="L91" s="62" t="str" cm="1">
        <f t="array" ref="L91">IF($B91=0,IF($E91=0,"",IF(INDEX(DMAV_Dienste!O$6:O$140,$E91)="","",INDEX(DMAV_Dienste!O$6:O$140,$E91))),IF(INDEX(DMAV_Modell!P$6:P$838,$B91)="","",INDEX(DMAV_Modell!P$6:P$838,$B91)))</f>
        <v>FixpunkteLV</v>
      </c>
      <c r="M91" s="62" t="str" cm="1">
        <f t="array" ref="M91">IF($B91=0,IF($E91=0,"",IF(INDEX(DMAV_Dienste!Q$6:Q$140,$E91)="","",INDEX(DMAV_Dienste!Q$6:Q$140,$E91))),IF(INDEX(DMAV_Modell!R$6:R$838,$B91)="","",INDEX(DMAV_Modell!R$6:R$838,$B91)))</f>
        <v>LFP1</v>
      </c>
      <c r="N91" s="62" t="str" cm="1">
        <f t="array" ref="N91">IF($B91=0,IF($E91=0,"",IF(INDEX(DMAV_Dienste!T$6:T$140,$E91)="","",INDEX(DMAV_Dienste!T$6:T$140,$E91))),IF(INDEX(DMAV_Modell!U$6:U$838,$B91)="","",INDEX(DMAV_Modell!U$6:U$838,$B91)))</f>
        <v>Hoehengeometrie</v>
      </c>
      <c r="O91" s="63" t="str" cm="1">
        <f t="array" aca="1" ref="O91" ca="1">IF(C91=0,IF(F91=0,"",HYPERLINK("#"&amp;RIGHT(CELL("adresse",OFFSET(DMAV_Dienste!$M$6,F91-1,0)),LEN(CELL("adresse",OFFSET(DMAV_Dienste!$M$6,F91-1,0)))-FIND("]",CELL("adresse",OFFSET(DMAV_Dienste!$M$6,F91-1,0)))),"Structure")),HYPERLINK("#"&amp;RIGHT(CELL("adresse",OFFSET(DMAV_Modell!$N$6,C91-1,0)),LEN(CELL("adresse",OFFSET(DMAV_Modell!$N$6,C91-1,0)))-FIND("]",CELL("adresse",OFFSET(DMAV_Modell!$N$6,C91-1,0)))),"Structure"))</f>
        <v/>
      </c>
      <c r="P91" s="64" t="str" cm="1">
        <f t="array" aca="1" ref="P91" ca="1">IF(D91=0,IF(G91=0,"",HYPERLINK("#"&amp;RIGHT(CELL("adresse",OFFSET(DMAV_Dienste!$M$6,G91-1,0)),LEN(CELL("adresse",OFFSET(DMAV_Dienste!$M$6,G91-1,0)))-FIND("]",CELL("adresse",OFFSET(DMAV_Dienste!$M$6,G91-1,0)))),"Substructure")),HYPERLINK("#"&amp;RIGHT(CELL("adresse",OFFSET(DMAV_Modell!$N$6,D91-1,0)),LEN(CELL("adresse",OFFSET(DMAV_Modell!$N$6,D91-1,0)))-FIND("]",CELL("adresse",OFFSET(DMAV_Modell!$N$6,D91-1,0)))),"Substructure"))</f>
        <v/>
      </c>
      <c r="R91" s="80"/>
      <c r="T91" s="93"/>
      <c r="U91" s="94"/>
      <c r="V91" s="95"/>
      <c r="W91" s="96"/>
      <c r="Y91" s="85"/>
      <c r="Z91" s="86"/>
      <c r="AA91" s="87"/>
      <c r="AB91" s="88"/>
      <c r="AD91" s="77"/>
      <c r="AF91" s="54" t="str" cm="1">
        <f t="array" aca="1" ref="AF91" ca="1">IF(H91=0,"",HYPERLINK("#"&amp;RIGHT(CELL("adresse",OFFSET('DM01-AV-CH'!$G$6,H91-1,0)),LEN(CELL("adresse",OFFSET('DM01-AV-CH'!$G$6,H91-1,0)))-FIND("]",CELL("adresse",OFFSET('DM01-AV-CH'!$G$6,H91-1,0)))),"Modell"))</f>
        <v>Modell</v>
      </c>
      <c r="AG91" s="72" t="str" cm="1">
        <f t="array" ref="AG91">IF($H91=0,"",IF(INDEX('DM01-AV-CH'!G$6:G$834,$H91)="","",INDEX('DM01-AV-CH'!G$6:G$834,$H91)))</f>
        <v>FixpunkteKategorie1</v>
      </c>
      <c r="AH91" s="73" t="str" cm="1">
        <f t="array" ref="AH91">IF($H91=0,"",IF(INDEX('DM01-AV-CH'!H$6:H$834,$H91)="","",INDEX('DM01-AV-CH'!H$6:H$834,$H91)))</f>
        <v>LFP1</v>
      </c>
      <c r="AI91" s="74" t="str" cm="1">
        <f t="array" ref="AI91">IF($H91=0,"",IF(INDEX('DM01-AV-CH'!I$6:I$834,$H91)="","",INDEX('DM01-AV-CH'!I$6:I$834,$H91)))</f>
        <v>HoeheGeom</v>
      </c>
    </row>
    <row r="92" spans="1:35" x14ac:dyDescent="0.25">
      <c r="A92" s="57">
        <v>87</v>
      </c>
      <c r="B92" s="57">
        <f>IF($A92="","",IF(_xlfn.XLOOKUP($A92,Korrelation!$D$4:$D$1197,Korrelation!E$4:E$1197,"-",0)="-",0,MATCH(_xlfn.XLOOKUP($A92,Korrelation!$D$4:$D$1197,Korrelation!E$4:E$1197,"",0),DMAV_Modell!$G$6:$G$677,0)))</f>
        <v>0</v>
      </c>
      <c r="C92" s="57">
        <f>IF($A92="","",IF(_xlfn.XLOOKUP($A92,Korrelation!$D$4:$D$1197,Korrelation!F$4:F$1197,"-",0)="-",0,MATCH(_xlfn.XLOOKUP($A92,Korrelation!$D$4:$D$1197,Korrelation!F$4:F$1197,"",0),DMAV_Modell!$G$6:$G$677,0)))</f>
        <v>0</v>
      </c>
      <c r="D92" s="57">
        <f>IF($A92="","",IF(_xlfn.XLOOKUP($A92,Korrelation!$D$4:$D$1197,Korrelation!G$4:G$1197,"-",0)="-",0,MATCH(_xlfn.XLOOKUP($A92,Korrelation!$D$4:$D$1197,Korrelation!G$4:G$1197,"",0),DMAV_Modell!$G$6:$G$677,0)))</f>
        <v>0</v>
      </c>
      <c r="E92" s="57">
        <f>IF($A92="","",IF(_xlfn.XLOOKUP($A92,Korrelation!$D$4:$D$1197,Korrelation!H$4:H$1197,"-",0)="-",0,MATCH(_xlfn.XLOOKUP($A92,Korrelation!$D$4:$D$1197,Korrelation!H$4:H$1197,"",0),DMAV_Dienste!$F$6:$F$140,0)))</f>
        <v>8</v>
      </c>
      <c r="F92" s="57">
        <f>IF($A92="","",IF(_xlfn.XLOOKUP($A92,Korrelation!$D$4:$D$1197,Korrelation!I$4:I$1197,"-",0)="-",0,MATCH(_xlfn.XLOOKUP($A92,Korrelation!$D$4:$D$1197,Korrelation!I$4:I$1197,"",0),DMAV_Dienste!$F$6:$F$140,0)))</f>
        <v>0</v>
      </c>
      <c r="G92" s="57">
        <f>IF($A92="","",IF(_xlfn.XLOOKUP($A92,Korrelation!$D$4:$D$1197,Korrelation!J$4:J$1197,"-",0)="-",0,MATCH(_xlfn.XLOOKUP($A92,Korrelation!$D$4:$D$1197,Korrelation!J$4:J$1197,"",0),DMAV_Dienste!$F$6:$F$140,0)))</f>
        <v>0</v>
      </c>
      <c r="H92" s="57">
        <f>IF($A92="","",IF(_xlfn.XLOOKUP($A92,Korrelation!$D$4:$D$1197,Korrelation!K$4:K$1197,"-",0)="-",0,MATCH(_xlfn.XLOOKUP($A92,Korrelation!$D$4:$D$1197,Korrelation!K$4:K$1197,"",0),'DM01-AV-CH'!$A$6:$A$834,0)))</f>
        <v>48</v>
      </c>
      <c r="J92" s="54" t="str" cm="1">
        <f t="array" aca="1" ref="J92" ca="1">IF(B92=0,IF(E92=0,"",HYPERLINK("#"&amp;RIGHT(CELL("adresse",OFFSET(DMAV_Dienste!$M$6,E92-1,0)),LEN(CELL("adresse",OFFSET(DMAV_Dienste!$M$6,E92-1,0)))-FIND("]",CELL("adresse",OFFSET(DMAV_Dienste!$M$6,E92-1,0)))),"Dienst")),HYPERLINK("#"&amp;RIGHT(CELL("adresse",OFFSET(DMAV_Modell!$N$6,B92-1,0)),LEN(CELL("adresse",OFFSET(DMAV_Modell!$N$6,B92-1,0)))-FIND("]",CELL("adresse",OFFSET(DMAV_Modell!$N$6,B92-1,0)))),"Modell"))</f>
        <v>Dienst</v>
      </c>
      <c r="K92" s="61" t="str" cm="1">
        <f t="array" ref="K92">IF($B92=0,IF($E92=0,"",IF(INDEX(DMAV_Dienste!P$6:P$140,$E92)="","",INDEX(DMAV_Dienste!P$6:P$140,$E92))),IF(INDEX(DMAV_Modell!Q$6:Q$838,$B92)="","",INDEX(DMAV_Modell!Q$6:Q$838,$B92)))</f>
        <v>CLASS</v>
      </c>
      <c r="L92" s="62" t="str" cm="1">
        <f t="array" ref="L92">IF($B92=0,IF($E92=0,"",IF(INDEX(DMAV_Dienste!O$6:O$140,$E92)="","",INDEX(DMAV_Dienste!O$6:O$140,$E92))),IF(INDEX(DMAV_Modell!P$6:P$838,$B92)="","",INDEX(DMAV_Modell!P$6:P$838,$B92)))</f>
        <v>FixpunkteLV</v>
      </c>
      <c r="M92" s="62" t="str" cm="1">
        <f t="array" ref="M92">IF($B92=0,IF($E92=0,"",IF(INDEX(DMAV_Dienste!Q$6:Q$140,$E92)="","",INDEX(DMAV_Dienste!Q$6:Q$140,$E92))),IF(INDEX(DMAV_Modell!R$6:R$838,$B92)="","",INDEX(DMAV_Modell!R$6:R$838,$B92)))</f>
        <v>LFP1</v>
      </c>
      <c r="N92" s="62" t="str" cm="1">
        <f t="array" ref="N92">IF($B92=0,IF($E92=0,"",IF(INDEX(DMAV_Dienste!T$6:T$140,$E92)="","",INDEX(DMAV_Dienste!T$6:T$140,$E92))),IF(INDEX(DMAV_Modell!U$6:U$838,$B92)="","",INDEX(DMAV_Modell!U$6:U$838,$B92)))</f>
        <v>Lagegenauigkeit</v>
      </c>
      <c r="O92" s="63" t="str" cm="1">
        <f t="array" aca="1" ref="O92" ca="1">IF(C92=0,IF(F92=0,"",HYPERLINK("#"&amp;RIGHT(CELL("adresse",OFFSET(DMAV_Dienste!$M$6,F92-1,0)),LEN(CELL("adresse",OFFSET(DMAV_Dienste!$M$6,F92-1,0)))-FIND("]",CELL("adresse",OFFSET(DMAV_Dienste!$M$6,F92-1,0)))),"Structure")),HYPERLINK("#"&amp;RIGHT(CELL("adresse",OFFSET(DMAV_Modell!$N$6,C92-1,0)),LEN(CELL("adresse",OFFSET(DMAV_Modell!$N$6,C92-1,0)))-FIND("]",CELL("adresse",OFFSET(DMAV_Modell!$N$6,C92-1,0)))),"Structure"))</f>
        <v/>
      </c>
      <c r="P92" s="64" t="str" cm="1">
        <f t="array" aca="1" ref="P92" ca="1">IF(D92=0,IF(G92=0,"",HYPERLINK("#"&amp;RIGHT(CELL("adresse",OFFSET(DMAV_Dienste!$M$6,G92-1,0)),LEN(CELL("adresse",OFFSET(DMAV_Dienste!$M$6,G92-1,0)))-FIND("]",CELL("adresse",OFFSET(DMAV_Dienste!$M$6,G92-1,0)))),"Substructure")),HYPERLINK("#"&amp;RIGHT(CELL("adresse",OFFSET(DMAV_Modell!$N$6,D92-1,0)),LEN(CELL("adresse",OFFSET(DMAV_Modell!$N$6,D92-1,0)))-FIND("]",CELL("adresse",OFFSET(DMAV_Modell!$N$6,D92-1,0)))),"Substructure"))</f>
        <v/>
      </c>
      <c r="R92" s="80"/>
      <c r="T92" s="93"/>
      <c r="U92" s="94"/>
      <c r="V92" s="95"/>
      <c r="W92" s="96"/>
      <c r="Y92" s="85"/>
      <c r="Z92" s="86"/>
      <c r="AA92" s="87"/>
      <c r="AB92" s="88"/>
      <c r="AD92" s="77"/>
      <c r="AF92" s="54" t="str" cm="1">
        <f t="array" aca="1" ref="AF92" ca="1">IF(H92=0,"",HYPERLINK("#"&amp;RIGHT(CELL("adresse",OFFSET('DM01-AV-CH'!$G$6,H92-1,0)),LEN(CELL("adresse",OFFSET('DM01-AV-CH'!$G$6,H92-1,0)))-FIND("]",CELL("adresse",OFFSET('DM01-AV-CH'!$G$6,H92-1,0)))),"Modell"))</f>
        <v>Modell</v>
      </c>
      <c r="AG92" s="72" t="str" cm="1">
        <f t="array" ref="AG92">IF($H92=0,"",IF(INDEX('DM01-AV-CH'!G$6:G$834,$H92)="","",INDEX('DM01-AV-CH'!G$6:G$834,$H92)))</f>
        <v>FixpunkteKategorie1</v>
      </c>
      <c r="AH92" s="73" t="str" cm="1">
        <f t="array" ref="AH92">IF($H92=0,"",IF(INDEX('DM01-AV-CH'!H$6:H$834,$H92)="","",INDEX('DM01-AV-CH'!H$6:H$834,$H92)))</f>
        <v>LFP1</v>
      </c>
      <c r="AI92" s="74" t="str" cm="1">
        <f t="array" ref="AI92">IF($H92=0,"",IF(INDEX('DM01-AV-CH'!I$6:I$834,$H92)="","",INDEX('DM01-AV-CH'!I$6:I$834,$H92)))</f>
        <v>LageGen</v>
      </c>
    </row>
    <row r="93" spans="1:35" x14ac:dyDescent="0.25">
      <c r="A93" s="57">
        <v>88</v>
      </c>
      <c r="B93" s="57">
        <f>IF($A93="","",IF(_xlfn.XLOOKUP($A93,Korrelation!$D$4:$D$1197,Korrelation!E$4:E$1197,"-",0)="-",0,MATCH(_xlfn.XLOOKUP($A93,Korrelation!$D$4:$D$1197,Korrelation!E$4:E$1197,"",0),DMAV_Modell!$G$6:$G$677,0)))</f>
        <v>0</v>
      </c>
      <c r="C93" s="57">
        <f>IF($A93="","",IF(_xlfn.XLOOKUP($A93,Korrelation!$D$4:$D$1197,Korrelation!F$4:F$1197,"-",0)="-",0,MATCH(_xlfn.XLOOKUP($A93,Korrelation!$D$4:$D$1197,Korrelation!F$4:F$1197,"",0),DMAV_Modell!$G$6:$G$677,0)))</f>
        <v>0</v>
      </c>
      <c r="D93" s="57">
        <f>IF($A93="","",IF(_xlfn.XLOOKUP($A93,Korrelation!$D$4:$D$1197,Korrelation!G$4:G$1197,"-",0)="-",0,MATCH(_xlfn.XLOOKUP($A93,Korrelation!$D$4:$D$1197,Korrelation!G$4:G$1197,"",0),DMAV_Modell!$G$6:$G$677,0)))</f>
        <v>0</v>
      </c>
      <c r="E93" s="57">
        <f>IF($A93="","",IF(_xlfn.XLOOKUP($A93,Korrelation!$D$4:$D$1197,Korrelation!H$4:H$1197,"-",0)="-",0,MATCH(_xlfn.XLOOKUP($A93,Korrelation!$D$4:$D$1197,Korrelation!H$4:H$1197,"",0),DMAV_Dienste!$F$6:$F$140,0)))</f>
        <v>9</v>
      </c>
      <c r="F93" s="57">
        <f>IF($A93="","",IF(_xlfn.XLOOKUP($A93,Korrelation!$D$4:$D$1197,Korrelation!I$4:I$1197,"-",0)="-",0,MATCH(_xlfn.XLOOKUP($A93,Korrelation!$D$4:$D$1197,Korrelation!I$4:I$1197,"",0),DMAV_Dienste!$F$6:$F$140,0)))</f>
        <v>0</v>
      </c>
      <c r="G93" s="57">
        <f>IF($A93="","",IF(_xlfn.XLOOKUP($A93,Korrelation!$D$4:$D$1197,Korrelation!J$4:J$1197,"-",0)="-",0,MATCH(_xlfn.XLOOKUP($A93,Korrelation!$D$4:$D$1197,Korrelation!J$4:J$1197,"",0),DMAV_Dienste!$F$6:$F$140,0)))</f>
        <v>0</v>
      </c>
      <c r="H93" s="57">
        <f>IF($A93="","",IF(_xlfn.XLOOKUP($A93,Korrelation!$D$4:$D$1197,Korrelation!K$4:K$1197,"-",0)="-",0,MATCH(_xlfn.XLOOKUP($A93,Korrelation!$D$4:$D$1197,Korrelation!K$4:K$1197,"",0),'DM01-AV-CH'!$A$6:$A$834,0)))</f>
        <v>49</v>
      </c>
      <c r="J93" s="54" t="str" cm="1">
        <f t="array" aca="1" ref="J93" ca="1">IF(B93=0,IF(E93=0,"",HYPERLINK("#"&amp;RIGHT(CELL("adresse",OFFSET(DMAV_Dienste!$M$6,E93-1,0)),LEN(CELL("adresse",OFFSET(DMAV_Dienste!$M$6,E93-1,0)))-FIND("]",CELL("adresse",OFFSET(DMAV_Dienste!$M$6,E93-1,0)))),"Dienst")),HYPERLINK("#"&amp;RIGHT(CELL("adresse",OFFSET(DMAV_Modell!$N$6,B93-1,0)),LEN(CELL("adresse",OFFSET(DMAV_Modell!$N$6,B93-1,0)))-FIND("]",CELL("adresse",OFFSET(DMAV_Modell!$N$6,B93-1,0)))),"Modell"))</f>
        <v>Dienst</v>
      </c>
      <c r="K93" s="61" t="str" cm="1">
        <f t="array" ref="K93">IF($B93=0,IF($E93=0,"",IF(INDEX(DMAV_Dienste!P$6:P$140,$E93)="","",INDEX(DMAV_Dienste!P$6:P$140,$E93))),IF(INDEX(DMAV_Modell!Q$6:Q$838,$B93)="","",INDEX(DMAV_Modell!Q$6:Q$838,$B93)))</f>
        <v>CLASS</v>
      </c>
      <c r="L93" s="62" t="str" cm="1">
        <f t="array" ref="L93">IF($B93=0,IF($E93=0,"",IF(INDEX(DMAV_Dienste!O$6:O$140,$E93)="","",INDEX(DMAV_Dienste!O$6:O$140,$E93))),IF(INDEX(DMAV_Modell!P$6:P$838,$B93)="","",INDEX(DMAV_Modell!P$6:P$838,$B93)))</f>
        <v>FixpunkteLV</v>
      </c>
      <c r="M93" s="62" t="str" cm="1">
        <f t="array" ref="M93">IF($B93=0,IF($E93=0,"",IF(INDEX(DMAV_Dienste!Q$6:Q$140,$E93)="","",INDEX(DMAV_Dienste!Q$6:Q$140,$E93))),IF(INDEX(DMAV_Modell!R$6:R$838,$B93)="","",INDEX(DMAV_Modell!R$6:R$838,$B93)))</f>
        <v>LFP1</v>
      </c>
      <c r="N93" s="62" t="str" cm="1">
        <f t="array" ref="N93">IF($B93=0,IF($E93=0,"",IF(INDEX(DMAV_Dienste!T$6:T$140,$E93)="","",INDEX(DMAV_Dienste!T$6:T$140,$E93))),IF(INDEX(DMAV_Modell!U$6:U$838,$B93)="","",INDEX(DMAV_Modell!U$6:U$838,$B93)))</f>
        <v>IstLagezuverlaessig</v>
      </c>
      <c r="O93" s="63" t="str" cm="1">
        <f t="array" aca="1" ref="O93" ca="1">IF(C93=0,IF(F93=0,"",HYPERLINK("#"&amp;RIGHT(CELL("adresse",OFFSET(DMAV_Dienste!$M$6,F93-1,0)),LEN(CELL("adresse",OFFSET(DMAV_Dienste!$M$6,F93-1,0)))-FIND("]",CELL("adresse",OFFSET(DMAV_Dienste!$M$6,F93-1,0)))),"Structure")),HYPERLINK("#"&amp;RIGHT(CELL("adresse",OFFSET(DMAV_Modell!$N$6,C93-1,0)),LEN(CELL("adresse",OFFSET(DMAV_Modell!$N$6,C93-1,0)))-FIND("]",CELL("adresse",OFFSET(DMAV_Modell!$N$6,C93-1,0)))),"Structure"))</f>
        <v/>
      </c>
      <c r="P93" s="64" t="str" cm="1">
        <f t="array" aca="1" ref="P93" ca="1">IF(D93=0,IF(G93=0,"",HYPERLINK("#"&amp;RIGHT(CELL("adresse",OFFSET(DMAV_Dienste!$M$6,G93-1,0)),LEN(CELL("adresse",OFFSET(DMAV_Dienste!$M$6,G93-1,0)))-FIND("]",CELL("adresse",OFFSET(DMAV_Dienste!$M$6,G93-1,0)))),"Substructure")),HYPERLINK("#"&amp;RIGHT(CELL("adresse",OFFSET(DMAV_Modell!$N$6,D93-1,0)),LEN(CELL("adresse",OFFSET(DMAV_Modell!$N$6,D93-1,0)))-FIND("]",CELL("adresse",OFFSET(DMAV_Modell!$N$6,D93-1,0)))),"Substructure"))</f>
        <v/>
      </c>
      <c r="R93" s="80"/>
      <c r="T93" s="93"/>
      <c r="U93" s="94"/>
      <c r="V93" s="95"/>
      <c r="W93" s="96"/>
      <c r="Y93" s="85"/>
      <c r="Z93" s="86"/>
      <c r="AA93" s="87"/>
      <c r="AB93" s="88"/>
      <c r="AD93" s="77"/>
      <c r="AF93" s="54" t="str" cm="1">
        <f t="array" aca="1" ref="AF93" ca="1">IF(H93=0,"",HYPERLINK("#"&amp;RIGHT(CELL("adresse",OFFSET('DM01-AV-CH'!$G$6,H93-1,0)),LEN(CELL("adresse",OFFSET('DM01-AV-CH'!$G$6,H93-1,0)))-FIND("]",CELL("adresse",OFFSET('DM01-AV-CH'!$G$6,H93-1,0)))),"Modell"))</f>
        <v>Modell</v>
      </c>
      <c r="AG93" s="72" t="str" cm="1">
        <f t="array" ref="AG93">IF($H93=0,"",IF(INDEX('DM01-AV-CH'!G$6:G$834,$H93)="","",INDEX('DM01-AV-CH'!G$6:G$834,$H93)))</f>
        <v>FixpunkteKategorie1</v>
      </c>
      <c r="AH93" s="73" t="str" cm="1">
        <f t="array" ref="AH93">IF($H93=0,"",IF(INDEX('DM01-AV-CH'!H$6:H$834,$H93)="","",INDEX('DM01-AV-CH'!H$6:H$834,$H93)))</f>
        <v>LFP1</v>
      </c>
      <c r="AI93" s="74" t="str" cm="1">
        <f t="array" ref="AI93">IF($H93=0,"",IF(INDEX('DM01-AV-CH'!I$6:I$834,$H93)="","",INDEX('DM01-AV-CH'!I$6:I$834,$H93)))</f>
        <v>LageZuv</v>
      </c>
    </row>
    <row r="94" spans="1:35" x14ac:dyDescent="0.25">
      <c r="A94" s="57">
        <v>89</v>
      </c>
      <c r="B94" s="57">
        <f>IF($A94="","",IF(_xlfn.XLOOKUP($A94,Korrelation!$D$4:$D$1197,Korrelation!E$4:E$1197,"-",0)="-",0,MATCH(_xlfn.XLOOKUP($A94,Korrelation!$D$4:$D$1197,Korrelation!E$4:E$1197,"",0),DMAV_Modell!$G$6:$G$677,0)))</f>
        <v>0</v>
      </c>
      <c r="C94" s="57">
        <f>IF($A94="","",IF(_xlfn.XLOOKUP($A94,Korrelation!$D$4:$D$1197,Korrelation!F$4:F$1197,"-",0)="-",0,MATCH(_xlfn.XLOOKUP($A94,Korrelation!$D$4:$D$1197,Korrelation!F$4:F$1197,"",0),DMAV_Modell!$G$6:$G$677,0)))</f>
        <v>0</v>
      </c>
      <c r="D94" s="57">
        <f>IF($A94="","",IF(_xlfn.XLOOKUP($A94,Korrelation!$D$4:$D$1197,Korrelation!G$4:G$1197,"-",0)="-",0,MATCH(_xlfn.XLOOKUP($A94,Korrelation!$D$4:$D$1197,Korrelation!G$4:G$1197,"",0),DMAV_Modell!$G$6:$G$677,0)))</f>
        <v>0</v>
      </c>
      <c r="E94" s="57">
        <f>IF($A94="","",IF(_xlfn.XLOOKUP($A94,Korrelation!$D$4:$D$1197,Korrelation!H$4:H$1197,"-",0)="-",0,MATCH(_xlfn.XLOOKUP($A94,Korrelation!$D$4:$D$1197,Korrelation!H$4:H$1197,"",0),DMAV_Dienste!$F$6:$F$140,0)))</f>
        <v>10</v>
      </c>
      <c r="F94" s="57">
        <f>IF($A94="","",IF(_xlfn.XLOOKUP($A94,Korrelation!$D$4:$D$1197,Korrelation!I$4:I$1197,"-",0)="-",0,MATCH(_xlfn.XLOOKUP($A94,Korrelation!$D$4:$D$1197,Korrelation!I$4:I$1197,"",0),DMAV_Dienste!$F$6:$F$140,0)))</f>
        <v>0</v>
      </c>
      <c r="G94" s="57">
        <f>IF($A94="","",IF(_xlfn.XLOOKUP($A94,Korrelation!$D$4:$D$1197,Korrelation!J$4:J$1197,"-",0)="-",0,MATCH(_xlfn.XLOOKUP($A94,Korrelation!$D$4:$D$1197,Korrelation!J$4:J$1197,"",0),DMAV_Dienste!$F$6:$F$140,0)))</f>
        <v>0</v>
      </c>
      <c r="H94" s="57">
        <f>IF($A94="","",IF(_xlfn.XLOOKUP($A94,Korrelation!$D$4:$D$1197,Korrelation!K$4:K$1197,"-",0)="-",0,MATCH(_xlfn.XLOOKUP($A94,Korrelation!$D$4:$D$1197,Korrelation!K$4:K$1197,"",0),'DM01-AV-CH'!$A$6:$A$834,0)))</f>
        <v>50</v>
      </c>
      <c r="J94" s="54" t="str" cm="1">
        <f t="array" aca="1" ref="J94" ca="1">IF(B94=0,IF(E94=0,"",HYPERLINK("#"&amp;RIGHT(CELL("adresse",OFFSET(DMAV_Dienste!$M$6,E94-1,0)),LEN(CELL("adresse",OFFSET(DMAV_Dienste!$M$6,E94-1,0)))-FIND("]",CELL("adresse",OFFSET(DMAV_Dienste!$M$6,E94-1,0)))),"Dienst")),HYPERLINK("#"&amp;RIGHT(CELL("adresse",OFFSET(DMAV_Modell!$N$6,B94-1,0)),LEN(CELL("adresse",OFFSET(DMAV_Modell!$N$6,B94-1,0)))-FIND("]",CELL("adresse",OFFSET(DMAV_Modell!$N$6,B94-1,0)))),"Modell"))</f>
        <v>Dienst</v>
      </c>
      <c r="K94" s="61" t="str" cm="1">
        <f t="array" ref="K94">IF($B94=0,IF($E94=0,"",IF(INDEX(DMAV_Dienste!P$6:P$140,$E94)="","",INDEX(DMAV_Dienste!P$6:P$140,$E94))),IF(INDEX(DMAV_Modell!Q$6:Q$838,$B94)="","",INDEX(DMAV_Modell!Q$6:Q$838,$B94)))</f>
        <v>CLASS</v>
      </c>
      <c r="L94" s="62" t="str" cm="1">
        <f t="array" ref="L94">IF($B94=0,IF($E94=0,"",IF(INDEX(DMAV_Dienste!O$6:O$140,$E94)="","",INDEX(DMAV_Dienste!O$6:O$140,$E94))),IF(INDEX(DMAV_Modell!P$6:P$838,$B94)="","",INDEX(DMAV_Modell!P$6:P$838,$B94)))</f>
        <v>FixpunkteLV</v>
      </c>
      <c r="M94" s="62" t="str" cm="1">
        <f t="array" ref="M94">IF($B94=0,IF($E94=0,"",IF(INDEX(DMAV_Dienste!Q$6:Q$140,$E94)="","",INDEX(DMAV_Dienste!Q$6:Q$140,$E94))),IF(INDEX(DMAV_Modell!R$6:R$838,$B94)="","",INDEX(DMAV_Modell!R$6:R$838,$B94)))</f>
        <v>LFP1</v>
      </c>
      <c r="N94" s="62" t="str" cm="1">
        <f t="array" ref="N94">IF($B94=0,IF($E94=0,"",IF(INDEX(DMAV_Dienste!T$6:T$140,$E94)="","",INDEX(DMAV_Dienste!T$6:T$140,$E94))),IF(INDEX(DMAV_Modell!U$6:U$838,$B94)="","",INDEX(DMAV_Modell!U$6:U$838,$B94)))</f>
        <v>Hoehengenauigkeit</v>
      </c>
      <c r="O94" s="63" t="str" cm="1">
        <f t="array" aca="1" ref="O94" ca="1">IF(C94=0,IF(F94=0,"",HYPERLINK("#"&amp;RIGHT(CELL("adresse",OFFSET(DMAV_Dienste!$M$6,F94-1,0)),LEN(CELL("adresse",OFFSET(DMAV_Dienste!$M$6,F94-1,0)))-FIND("]",CELL("adresse",OFFSET(DMAV_Dienste!$M$6,F94-1,0)))),"Structure")),HYPERLINK("#"&amp;RIGHT(CELL("adresse",OFFSET(DMAV_Modell!$N$6,C94-1,0)),LEN(CELL("adresse",OFFSET(DMAV_Modell!$N$6,C94-1,0)))-FIND("]",CELL("adresse",OFFSET(DMAV_Modell!$N$6,C94-1,0)))),"Structure"))</f>
        <v/>
      </c>
      <c r="P94" s="64" t="str" cm="1">
        <f t="array" aca="1" ref="P94" ca="1">IF(D94=0,IF(G94=0,"",HYPERLINK("#"&amp;RIGHT(CELL("adresse",OFFSET(DMAV_Dienste!$M$6,G94-1,0)),LEN(CELL("adresse",OFFSET(DMAV_Dienste!$M$6,G94-1,0)))-FIND("]",CELL("adresse",OFFSET(DMAV_Dienste!$M$6,G94-1,0)))),"Substructure")),HYPERLINK("#"&amp;RIGHT(CELL("adresse",OFFSET(DMAV_Modell!$N$6,D94-1,0)),LEN(CELL("adresse",OFFSET(DMAV_Modell!$N$6,D94-1,0)))-FIND("]",CELL("adresse",OFFSET(DMAV_Modell!$N$6,D94-1,0)))),"Substructure"))</f>
        <v/>
      </c>
      <c r="R94" s="80"/>
      <c r="T94" s="93"/>
      <c r="U94" s="94"/>
      <c r="V94" s="95"/>
      <c r="W94" s="96"/>
      <c r="Y94" s="85"/>
      <c r="Z94" s="86"/>
      <c r="AA94" s="87"/>
      <c r="AB94" s="88"/>
      <c r="AD94" s="77"/>
      <c r="AF94" s="54" t="str" cm="1">
        <f t="array" aca="1" ref="AF94" ca="1">IF(H94=0,"",HYPERLINK("#"&amp;RIGHT(CELL("adresse",OFFSET('DM01-AV-CH'!$G$6,H94-1,0)),LEN(CELL("adresse",OFFSET('DM01-AV-CH'!$G$6,H94-1,0)))-FIND("]",CELL("adresse",OFFSET('DM01-AV-CH'!$G$6,H94-1,0)))),"Modell"))</f>
        <v>Modell</v>
      </c>
      <c r="AG94" s="72" t="str" cm="1">
        <f t="array" ref="AG94">IF($H94=0,"",IF(INDEX('DM01-AV-CH'!G$6:G$834,$H94)="","",INDEX('DM01-AV-CH'!G$6:G$834,$H94)))</f>
        <v>FixpunkteKategorie1</v>
      </c>
      <c r="AH94" s="73" t="str" cm="1">
        <f t="array" ref="AH94">IF($H94=0,"",IF(INDEX('DM01-AV-CH'!H$6:H$834,$H94)="","",INDEX('DM01-AV-CH'!H$6:H$834,$H94)))</f>
        <v>LFP1</v>
      </c>
      <c r="AI94" s="74" t="str" cm="1">
        <f t="array" ref="AI94">IF($H94=0,"",IF(INDEX('DM01-AV-CH'!I$6:I$834,$H94)="","",INDEX('DM01-AV-CH'!I$6:I$834,$H94)))</f>
        <v>HoeheGen</v>
      </c>
    </row>
    <row r="95" spans="1:35" x14ac:dyDescent="0.25">
      <c r="A95" s="57">
        <v>90</v>
      </c>
      <c r="B95" s="57">
        <f>IF($A95="","",IF(_xlfn.XLOOKUP($A95,Korrelation!$D$4:$D$1197,Korrelation!E$4:E$1197,"-",0)="-",0,MATCH(_xlfn.XLOOKUP($A95,Korrelation!$D$4:$D$1197,Korrelation!E$4:E$1197,"",0),DMAV_Modell!$G$6:$G$677,0)))</f>
        <v>0</v>
      </c>
      <c r="C95" s="57">
        <f>IF($A95="","",IF(_xlfn.XLOOKUP($A95,Korrelation!$D$4:$D$1197,Korrelation!F$4:F$1197,"-",0)="-",0,MATCH(_xlfn.XLOOKUP($A95,Korrelation!$D$4:$D$1197,Korrelation!F$4:F$1197,"",0),DMAV_Modell!$G$6:$G$677,0)))</f>
        <v>0</v>
      </c>
      <c r="D95" s="57">
        <f>IF($A95="","",IF(_xlfn.XLOOKUP($A95,Korrelation!$D$4:$D$1197,Korrelation!G$4:G$1197,"-",0)="-",0,MATCH(_xlfn.XLOOKUP($A95,Korrelation!$D$4:$D$1197,Korrelation!G$4:G$1197,"",0),DMAV_Modell!$G$6:$G$677,0)))</f>
        <v>0</v>
      </c>
      <c r="E95" s="57">
        <f>IF($A95="","",IF(_xlfn.XLOOKUP($A95,Korrelation!$D$4:$D$1197,Korrelation!H$4:H$1197,"-",0)="-",0,MATCH(_xlfn.XLOOKUP($A95,Korrelation!$D$4:$D$1197,Korrelation!H$4:H$1197,"",0),DMAV_Dienste!$F$6:$F$140,0)))</f>
        <v>11</v>
      </c>
      <c r="F95" s="57">
        <f>IF($A95="","",IF(_xlfn.XLOOKUP($A95,Korrelation!$D$4:$D$1197,Korrelation!I$4:I$1197,"-",0)="-",0,MATCH(_xlfn.XLOOKUP($A95,Korrelation!$D$4:$D$1197,Korrelation!I$4:I$1197,"",0),DMAV_Dienste!$F$6:$F$140,0)))</f>
        <v>0</v>
      </c>
      <c r="G95" s="57">
        <f>IF($A95="","",IF(_xlfn.XLOOKUP($A95,Korrelation!$D$4:$D$1197,Korrelation!J$4:J$1197,"-",0)="-",0,MATCH(_xlfn.XLOOKUP($A95,Korrelation!$D$4:$D$1197,Korrelation!J$4:J$1197,"",0),DMAV_Dienste!$F$6:$F$140,0)))</f>
        <v>0</v>
      </c>
      <c r="H95" s="57">
        <f>IF($A95="","",IF(_xlfn.XLOOKUP($A95,Korrelation!$D$4:$D$1197,Korrelation!K$4:K$1197,"-",0)="-",0,MATCH(_xlfn.XLOOKUP($A95,Korrelation!$D$4:$D$1197,Korrelation!K$4:K$1197,"",0),'DM01-AV-CH'!$A$6:$A$834,0)))</f>
        <v>51</v>
      </c>
      <c r="J95" s="54" t="str" cm="1">
        <f t="array" aca="1" ref="J95" ca="1">IF(B95=0,IF(E95=0,"",HYPERLINK("#"&amp;RIGHT(CELL("adresse",OFFSET(DMAV_Dienste!$M$6,E95-1,0)),LEN(CELL("adresse",OFFSET(DMAV_Dienste!$M$6,E95-1,0)))-FIND("]",CELL("adresse",OFFSET(DMAV_Dienste!$M$6,E95-1,0)))),"Dienst")),HYPERLINK("#"&amp;RIGHT(CELL("adresse",OFFSET(DMAV_Modell!$N$6,B95-1,0)),LEN(CELL("adresse",OFFSET(DMAV_Modell!$N$6,B95-1,0)))-FIND("]",CELL("adresse",OFFSET(DMAV_Modell!$N$6,B95-1,0)))),"Modell"))</f>
        <v>Dienst</v>
      </c>
      <c r="K95" s="61" t="str" cm="1">
        <f t="array" ref="K95">IF($B95=0,IF($E95=0,"",IF(INDEX(DMAV_Dienste!P$6:P$140,$E95)="","",INDEX(DMAV_Dienste!P$6:P$140,$E95))),IF(INDEX(DMAV_Modell!Q$6:Q$838,$B95)="","",INDEX(DMAV_Modell!Q$6:Q$838,$B95)))</f>
        <v>CLASS</v>
      </c>
      <c r="L95" s="62" t="str" cm="1">
        <f t="array" ref="L95">IF($B95=0,IF($E95=0,"",IF(INDEX(DMAV_Dienste!O$6:O$140,$E95)="","",INDEX(DMAV_Dienste!O$6:O$140,$E95))),IF(INDEX(DMAV_Modell!P$6:P$838,$B95)="","",INDEX(DMAV_Modell!P$6:P$838,$B95)))</f>
        <v>FixpunkteLV</v>
      </c>
      <c r="M95" s="62" t="str" cm="1">
        <f t="array" ref="M95">IF($B95=0,IF($E95=0,"",IF(INDEX(DMAV_Dienste!Q$6:Q$140,$E95)="","",INDEX(DMAV_Dienste!Q$6:Q$140,$E95))),IF(INDEX(DMAV_Modell!R$6:R$838,$B95)="","",INDEX(DMAV_Modell!R$6:R$838,$B95)))</f>
        <v>LFP1</v>
      </c>
      <c r="N95" s="62" t="str" cm="1">
        <f t="array" ref="N95">IF($B95=0,IF($E95=0,"",IF(INDEX(DMAV_Dienste!T$6:T$140,$E95)="","",INDEX(DMAV_Dienste!T$6:T$140,$E95))),IF(INDEX(DMAV_Modell!U$6:U$838,$B95)="","",INDEX(DMAV_Modell!U$6:U$838,$B95)))</f>
        <v>IstHoehenzuverlaessig</v>
      </c>
      <c r="O95" s="63" t="str" cm="1">
        <f t="array" aca="1" ref="O95" ca="1">IF(C95=0,IF(F95=0,"",HYPERLINK("#"&amp;RIGHT(CELL("adresse",OFFSET(DMAV_Dienste!$M$6,F95-1,0)),LEN(CELL("adresse",OFFSET(DMAV_Dienste!$M$6,F95-1,0)))-FIND("]",CELL("adresse",OFFSET(DMAV_Dienste!$M$6,F95-1,0)))),"Structure")),HYPERLINK("#"&amp;RIGHT(CELL("adresse",OFFSET(DMAV_Modell!$N$6,C95-1,0)),LEN(CELL("adresse",OFFSET(DMAV_Modell!$N$6,C95-1,0)))-FIND("]",CELL("adresse",OFFSET(DMAV_Modell!$N$6,C95-1,0)))),"Structure"))</f>
        <v/>
      </c>
      <c r="P95" s="64" t="str" cm="1">
        <f t="array" aca="1" ref="P95" ca="1">IF(D95=0,IF(G95=0,"",HYPERLINK("#"&amp;RIGHT(CELL("adresse",OFFSET(DMAV_Dienste!$M$6,G95-1,0)),LEN(CELL("adresse",OFFSET(DMAV_Dienste!$M$6,G95-1,0)))-FIND("]",CELL("adresse",OFFSET(DMAV_Dienste!$M$6,G95-1,0)))),"Substructure")),HYPERLINK("#"&amp;RIGHT(CELL("adresse",OFFSET(DMAV_Modell!$N$6,D95-1,0)),LEN(CELL("adresse",OFFSET(DMAV_Modell!$N$6,D95-1,0)))-FIND("]",CELL("adresse",OFFSET(DMAV_Modell!$N$6,D95-1,0)))),"Substructure"))</f>
        <v/>
      </c>
      <c r="R95" s="80"/>
      <c r="T95" s="93"/>
      <c r="U95" s="94"/>
      <c r="V95" s="95"/>
      <c r="W95" s="96"/>
      <c r="Y95" s="85"/>
      <c r="Z95" s="86"/>
      <c r="AA95" s="87"/>
      <c r="AB95" s="88"/>
      <c r="AD95" s="77"/>
      <c r="AF95" s="54" t="str" cm="1">
        <f t="array" aca="1" ref="AF95" ca="1">IF(H95=0,"",HYPERLINK("#"&amp;RIGHT(CELL("adresse",OFFSET('DM01-AV-CH'!$G$6,H95-1,0)),LEN(CELL("adresse",OFFSET('DM01-AV-CH'!$G$6,H95-1,0)))-FIND("]",CELL("adresse",OFFSET('DM01-AV-CH'!$G$6,H95-1,0)))),"Modell"))</f>
        <v>Modell</v>
      </c>
      <c r="AG95" s="72" t="str" cm="1">
        <f t="array" ref="AG95">IF($H95=0,"",IF(INDEX('DM01-AV-CH'!G$6:G$834,$H95)="","",INDEX('DM01-AV-CH'!G$6:G$834,$H95)))</f>
        <v>FixpunkteKategorie1</v>
      </c>
      <c r="AH95" s="73" t="str" cm="1">
        <f t="array" ref="AH95">IF($H95=0,"",IF(INDEX('DM01-AV-CH'!H$6:H$834,$H95)="","",INDEX('DM01-AV-CH'!H$6:H$834,$H95)))</f>
        <v>LFP1</v>
      </c>
      <c r="AI95" s="74" t="str" cm="1">
        <f t="array" ref="AI95">IF($H95=0,"",IF(INDEX('DM01-AV-CH'!I$6:I$834,$H95)="","",INDEX('DM01-AV-CH'!I$6:I$834,$H95)))</f>
        <v>HoeheZuv</v>
      </c>
    </row>
    <row r="96" spans="1:35" ht="28.5" x14ac:dyDescent="0.25">
      <c r="A96" s="57">
        <v>91</v>
      </c>
      <c r="B96" s="57">
        <f>IF($A96="","",IF(_xlfn.XLOOKUP($A96,Korrelation!$D$4:$D$1197,Korrelation!E$4:E$1197,"-",0)="-",0,MATCH(_xlfn.XLOOKUP($A96,Korrelation!$D$4:$D$1197,Korrelation!E$4:E$1197,"",0),DMAV_Modell!$G$6:$G$677,0)))</f>
        <v>0</v>
      </c>
      <c r="C96" s="57">
        <f>IF($A96="","",IF(_xlfn.XLOOKUP($A96,Korrelation!$D$4:$D$1197,Korrelation!F$4:F$1197,"-",0)="-",0,MATCH(_xlfn.XLOOKUP($A96,Korrelation!$D$4:$D$1197,Korrelation!F$4:F$1197,"",0),DMAV_Modell!$G$6:$G$677,0)))</f>
        <v>0</v>
      </c>
      <c r="D96" s="57">
        <f>IF($A96="","",IF(_xlfn.XLOOKUP($A96,Korrelation!$D$4:$D$1197,Korrelation!G$4:G$1197,"-",0)="-",0,MATCH(_xlfn.XLOOKUP($A96,Korrelation!$D$4:$D$1197,Korrelation!G$4:G$1197,"",0),DMAV_Modell!$G$6:$G$677,0)))</f>
        <v>0</v>
      </c>
      <c r="E96" s="57">
        <f>IF($A96="","",IF(_xlfn.XLOOKUP($A96,Korrelation!$D$4:$D$1197,Korrelation!H$4:H$1197,"-",0)="-",0,MATCH(_xlfn.XLOOKUP($A96,Korrelation!$D$4:$D$1197,Korrelation!H$4:H$1197,"",0),DMAV_Dienste!$F$6:$F$140,0)))</f>
        <v>12</v>
      </c>
      <c r="F96" s="57">
        <f>IF($A96="","",IF(_xlfn.XLOOKUP($A96,Korrelation!$D$4:$D$1197,Korrelation!I$4:I$1197,"-",0)="-",0,MATCH(_xlfn.XLOOKUP($A96,Korrelation!$D$4:$D$1197,Korrelation!I$4:I$1197,"",0),DMAV_Dienste!$F$6:$F$140,0)))</f>
        <v>0</v>
      </c>
      <c r="G96" s="57">
        <f>IF($A96="","",IF(_xlfn.XLOOKUP($A96,Korrelation!$D$4:$D$1197,Korrelation!J$4:J$1197,"-",0)="-",0,MATCH(_xlfn.XLOOKUP($A96,Korrelation!$D$4:$D$1197,Korrelation!J$4:J$1197,"",0),DMAV_Dienste!$F$6:$F$140,0)))</f>
        <v>0</v>
      </c>
      <c r="H96" s="57">
        <f>IF($A96="","",IF(_xlfn.XLOOKUP($A96,Korrelation!$D$4:$D$1197,Korrelation!K$4:K$1197,"-",0)="-",0,MATCH(_xlfn.XLOOKUP($A96,Korrelation!$D$4:$D$1197,Korrelation!K$4:K$1197,"",0),'DM01-AV-CH'!$A$6:$A$834,0)))</f>
        <v>52</v>
      </c>
      <c r="J96" s="54" t="str" cm="1">
        <f t="array" aca="1" ref="J96" ca="1">IF(B96=0,IF(E96=0,"",HYPERLINK("#"&amp;RIGHT(CELL("adresse",OFFSET(DMAV_Dienste!$M$6,E96-1,0)),LEN(CELL("adresse",OFFSET(DMAV_Dienste!$M$6,E96-1,0)))-FIND("]",CELL("adresse",OFFSET(DMAV_Dienste!$M$6,E96-1,0)))),"Dienst")),HYPERLINK("#"&amp;RIGHT(CELL("adresse",OFFSET(DMAV_Modell!$N$6,B96-1,0)),LEN(CELL("adresse",OFFSET(DMAV_Modell!$N$6,B96-1,0)))-FIND("]",CELL("adresse",OFFSET(DMAV_Modell!$N$6,B96-1,0)))),"Modell"))</f>
        <v>Dienst</v>
      </c>
      <c r="K96" s="61" t="str" cm="1">
        <f t="array" ref="K96">IF($B96=0,IF($E96=0,"",IF(INDEX(DMAV_Dienste!P$6:P$140,$E96)="","",INDEX(DMAV_Dienste!P$6:P$140,$E96))),IF(INDEX(DMAV_Modell!Q$6:Q$838,$B96)="","",INDEX(DMAV_Modell!Q$6:Q$838,$B96)))</f>
        <v>CLASS</v>
      </c>
      <c r="L96" s="62" t="str" cm="1">
        <f t="array" ref="L96">IF($B96=0,IF($E96=0,"",IF(INDEX(DMAV_Dienste!O$6:O$140,$E96)="","",INDEX(DMAV_Dienste!O$6:O$140,$E96))),IF(INDEX(DMAV_Modell!P$6:P$838,$B96)="","",INDEX(DMAV_Modell!P$6:P$838,$B96)))</f>
        <v>FixpunkteLV</v>
      </c>
      <c r="M96" s="62" t="str" cm="1">
        <f t="array" ref="M96">IF($B96=0,IF($E96=0,"",IF(INDEX(DMAV_Dienste!Q$6:Q$140,$E96)="","",INDEX(DMAV_Dienste!Q$6:Q$140,$E96))),IF(INDEX(DMAV_Modell!R$6:R$838,$B96)="","",INDEX(DMAV_Modell!R$6:R$838,$B96)))</f>
        <v>LFP1</v>
      </c>
      <c r="N96" s="62" t="str" cm="1">
        <f t="array" ref="N96">IF($B96=0,IF($E96=0,"",IF(INDEX(DMAV_Dienste!T$6:T$140,$E96)="","",INDEX(DMAV_Dienste!T$6:T$140,$E96))),IF(INDEX(DMAV_Modell!U$6:U$838,$B96)="","",INDEX(DMAV_Modell!U$6:U$838,$B96)))</f>
        <v>Begehbar</v>
      </c>
      <c r="O96" s="63" t="str" cm="1">
        <f t="array" aca="1" ref="O96" ca="1">IF(C96=0,IF(F96=0,"",HYPERLINK("#"&amp;RIGHT(CELL("adresse",OFFSET(DMAV_Dienste!$M$6,F96-1,0)),LEN(CELL("adresse",OFFSET(DMAV_Dienste!$M$6,F96-1,0)))-FIND("]",CELL("adresse",OFFSET(DMAV_Dienste!$M$6,F96-1,0)))),"Structure")),HYPERLINK("#"&amp;RIGHT(CELL("adresse",OFFSET(DMAV_Modell!$N$6,C96-1,0)),LEN(CELL("adresse",OFFSET(DMAV_Modell!$N$6,C96-1,0)))-FIND("]",CELL("adresse",OFFSET(DMAV_Modell!$N$6,C96-1,0)))),"Structure"))</f>
        <v/>
      </c>
      <c r="P96" s="64" t="str" cm="1">
        <f t="array" aca="1" ref="P96" ca="1">IF(D96=0,IF(G96=0,"",HYPERLINK("#"&amp;RIGHT(CELL("adresse",OFFSET(DMAV_Dienste!$M$6,G96-1,0)),LEN(CELL("adresse",OFFSET(DMAV_Dienste!$M$6,G96-1,0)))-FIND("]",CELL("adresse",OFFSET(DMAV_Dienste!$M$6,G96-1,0)))),"Substructure")),HYPERLINK("#"&amp;RIGHT(CELL("adresse",OFFSET(DMAV_Modell!$N$6,D96-1,0)),LEN(CELL("adresse",OFFSET(DMAV_Modell!$N$6,D96-1,0)))-FIND("]",CELL("adresse",OFFSET(DMAV_Modell!$N$6,D96-1,0)))),"Substructure"))</f>
        <v/>
      </c>
      <c r="R96" s="80" t="s">
        <v>2975</v>
      </c>
      <c r="T96" s="93"/>
      <c r="U96" s="94"/>
      <c r="V96" s="95"/>
      <c r="W96" s="96"/>
      <c r="Y96" s="85"/>
      <c r="Z96" s="86"/>
      <c r="AA96" s="87"/>
      <c r="AB96" s="88"/>
      <c r="AD96" s="77" t="s">
        <v>2976</v>
      </c>
      <c r="AF96" s="54" t="str" cm="1">
        <f t="array" aca="1" ref="AF96" ca="1">IF(H96=0,"",HYPERLINK("#"&amp;RIGHT(CELL("adresse",OFFSET('DM01-AV-CH'!$G$6,H96-1,0)),LEN(CELL("adresse",OFFSET('DM01-AV-CH'!$G$6,H96-1,0)))-FIND("]",CELL("adresse",OFFSET('DM01-AV-CH'!$G$6,H96-1,0)))),"Modell"))</f>
        <v>Modell</v>
      </c>
      <c r="AG96" s="72" t="str" cm="1">
        <f t="array" ref="AG96">IF($H96=0,"",IF(INDEX('DM01-AV-CH'!G$6:G$834,$H96)="","",INDEX('DM01-AV-CH'!G$6:G$834,$H96)))</f>
        <v>FixpunkteKategorie1</v>
      </c>
      <c r="AH96" s="73" t="str" cm="1">
        <f t="array" ref="AH96">IF($H96=0,"",IF(INDEX('DM01-AV-CH'!H$6:H$834,$H96)="","",INDEX('DM01-AV-CH'!H$6:H$834,$H96)))</f>
        <v>LFP1</v>
      </c>
      <c r="AI96" s="74" t="str" cm="1">
        <f t="array" ref="AI96">IF($H96=0,"",IF(INDEX('DM01-AV-CH'!I$6:I$834,$H96)="","",INDEX('DM01-AV-CH'!I$6:I$834,$H96)))</f>
        <v>Begehbarkeit</v>
      </c>
    </row>
    <row r="97" spans="1:35" x14ac:dyDescent="0.25">
      <c r="A97" s="57">
        <v>92</v>
      </c>
      <c r="B97" s="57">
        <f>IF($A97="","",IF(_xlfn.XLOOKUP($A97,Korrelation!$D$4:$D$1197,Korrelation!E$4:E$1197,"-",0)="-",0,MATCH(_xlfn.XLOOKUP($A97,Korrelation!$D$4:$D$1197,Korrelation!E$4:E$1197,"",0),DMAV_Modell!$G$6:$G$677,0)))</f>
        <v>0</v>
      </c>
      <c r="C97" s="57">
        <f>IF($A97="","",IF(_xlfn.XLOOKUP($A97,Korrelation!$D$4:$D$1197,Korrelation!F$4:F$1197,"-",0)="-",0,MATCH(_xlfn.XLOOKUP($A97,Korrelation!$D$4:$D$1197,Korrelation!F$4:F$1197,"",0),DMAV_Modell!$G$6:$G$677,0)))</f>
        <v>0</v>
      </c>
      <c r="D97" s="57">
        <f>IF($A97="","",IF(_xlfn.XLOOKUP($A97,Korrelation!$D$4:$D$1197,Korrelation!G$4:G$1197,"-",0)="-",0,MATCH(_xlfn.XLOOKUP($A97,Korrelation!$D$4:$D$1197,Korrelation!G$4:G$1197,"",0),DMAV_Modell!$G$6:$G$677,0)))</f>
        <v>0</v>
      </c>
      <c r="E97" s="57">
        <f>IF($A97="","",IF(_xlfn.XLOOKUP($A97,Korrelation!$D$4:$D$1197,Korrelation!H$4:H$1197,"-",0)="-",0,MATCH(_xlfn.XLOOKUP($A97,Korrelation!$D$4:$D$1197,Korrelation!H$4:H$1197,"",0),DMAV_Dienste!$F$6:$F$140,0)))</f>
        <v>13</v>
      </c>
      <c r="F97" s="57">
        <f>IF($A97="","",IF(_xlfn.XLOOKUP($A97,Korrelation!$D$4:$D$1197,Korrelation!I$4:I$1197,"-",0)="-",0,MATCH(_xlfn.XLOOKUP($A97,Korrelation!$D$4:$D$1197,Korrelation!I$4:I$1197,"",0),DMAV_Dienste!$F$6:$F$140,0)))</f>
        <v>0</v>
      </c>
      <c r="G97" s="57">
        <f>IF($A97="","",IF(_xlfn.XLOOKUP($A97,Korrelation!$D$4:$D$1197,Korrelation!J$4:J$1197,"-",0)="-",0,MATCH(_xlfn.XLOOKUP($A97,Korrelation!$D$4:$D$1197,Korrelation!J$4:J$1197,"",0),DMAV_Dienste!$F$6:$F$140,0)))</f>
        <v>0</v>
      </c>
      <c r="H97" s="57">
        <f>IF($A97="","",IF(_xlfn.XLOOKUP($A97,Korrelation!$D$4:$D$1197,Korrelation!K$4:K$1197,"-",0)="-",0,MATCH(_xlfn.XLOOKUP($A97,Korrelation!$D$4:$D$1197,Korrelation!K$4:K$1197,"",0),'DM01-AV-CH'!$A$6:$A$834,0)))</f>
        <v>53</v>
      </c>
      <c r="J97" s="54" t="str" cm="1">
        <f t="array" aca="1" ref="J97" ca="1">IF(B97=0,IF(E97=0,"",HYPERLINK("#"&amp;RIGHT(CELL("adresse",OFFSET(DMAV_Dienste!$M$6,E97-1,0)),LEN(CELL("adresse",OFFSET(DMAV_Dienste!$M$6,E97-1,0)))-FIND("]",CELL("adresse",OFFSET(DMAV_Dienste!$M$6,E97-1,0)))),"Dienst")),HYPERLINK("#"&amp;RIGHT(CELL("adresse",OFFSET(DMAV_Modell!$N$6,B97-1,0)),LEN(CELL("adresse",OFFSET(DMAV_Modell!$N$6,B97-1,0)))-FIND("]",CELL("adresse",OFFSET(DMAV_Modell!$N$6,B97-1,0)))),"Modell"))</f>
        <v>Dienst</v>
      </c>
      <c r="K97" s="61" t="str" cm="1">
        <f t="array" ref="K97">IF($B97=0,IF($E97=0,"",IF(INDEX(DMAV_Dienste!P$6:P$140,$E97)="","",INDEX(DMAV_Dienste!P$6:P$140,$E97))),IF(INDEX(DMAV_Modell!Q$6:Q$838,$B97)="","",INDEX(DMAV_Modell!Q$6:Q$838,$B97)))</f>
        <v>CLASS</v>
      </c>
      <c r="L97" s="62" t="str" cm="1">
        <f t="array" ref="L97">IF($B97=0,IF($E97=0,"",IF(INDEX(DMAV_Dienste!O$6:O$140,$E97)="","",INDEX(DMAV_Dienste!O$6:O$140,$E97))),IF(INDEX(DMAV_Modell!P$6:P$838,$B97)="","",INDEX(DMAV_Modell!P$6:P$838,$B97)))</f>
        <v>FixpunkteLV</v>
      </c>
      <c r="M97" s="62" t="str" cm="1">
        <f t="array" ref="M97">IF($B97=0,IF($E97=0,"",IF(INDEX(DMAV_Dienste!Q$6:Q$140,$E97)="","",INDEX(DMAV_Dienste!Q$6:Q$140,$E97))),IF(INDEX(DMAV_Modell!R$6:R$838,$B97)="","",INDEX(DMAV_Modell!R$6:R$838,$B97)))</f>
        <v>LFP1</v>
      </c>
      <c r="N97" s="62" t="str" cm="1">
        <f t="array" ref="N97">IF($B97=0,IF($E97=0,"",IF(INDEX(DMAV_Dienste!T$6:T$140,$E97)="","",INDEX(DMAV_Dienste!T$6:T$140,$E97))),IF(INDEX(DMAV_Modell!U$6:U$838,$B97)="","",INDEX(DMAV_Modell!U$6:U$838,$B97)))</f>
        <v>Punktzeichen</v>
      </c>
      <c r="O97" s="63" t="str" cm="1">
        <f t="array" aca="1" ref="O97" ca="1">IF(C97=0,IF(F97=0,"",HYPERLINK("#"&amp;RIGHT(CELL("adresse",OFFSET(DMAV_Dienste!$M$6,F97-1,0)),LEN(CELL("adresse",OFFSET(DMAV_Dienste!$M$6,F97-1,0)))-FIND("]",CELL("adresse",OFFSET(DMAV_Dienste!$M$6,F97-1,0)))),"Structure")),HYPERLINK("#"&amp;RIGHT(CELL("adresse",OFFSET(DMAV_Modell!$N$6,C97-1,0)),LEN(CELL("adresse",OFFSET(DMAV_Modell!$N$6,C97-1,0)))-FIND("]",CELL("adresse",OFFSET(DMAV_Modell!$N$6,C97-1,0)))),"Structure"))</f>
        <v/>
      </c>
      <c r="P97" s="64" t="str" cm="1">
        <f t="array" aca="1" ref="P97" ca="1">IF(D97=0,IF(G97=0,"",HYPERLINK("#"&amp;RIGHT(CELL("adresse",OFFSET(DMAV_Dienste!$M$6,G97-1,0)),LEN(CELL("adresse",OFFSET(DMAV_Dienste!$M$6,G97-1,0)))-FIND("]",CELL("adresse",OFFSET(DMAV_Dienste!$M$6,G97-1,0)))),"Substructure")),HYPERLINK("#"&amp;RIGHT(CELL("adresse",OFFSET(DMAV_Modell!$N$6,D97-1,0)),LEN(CELL("adresse",OFFSET(DMAV_Modell!$N$6,D97-1,0)))-FIND("]",CELL("adresse",OFFSET(DMAV_Modell!$N$6,D97-1,0)))),"Substructure"))</f>
        <v/>
      </c>
      <c r="R97" s="80"/>
      <c r="T97" s="93"/>
      <c r="U97" s="94"/>
      <c r="V97" s="95"/>
      <c r="W97" s="96"/>
      <c r="Y97" s="85"/>
      <c r="Z97" s="86"/>
      <c r="AA97" s="87"/>
      <c r="AB97" s="88"/>
      <c r="AD97" s="77"/>
      <c r="AF97" s="54" t="str" cm="1">
        <f t="array" aca="1" ref="AF97" ca="1">IF(H97=0,"",HYPERLINK("#"&amp;RIGHT(CELL("adresse",OFFSET('DM01-AV-CH'!$G$6,H97-1,0)),LEN(CELL("adresse",OFFSET('DM01-AV-CH'!$G$6,H97-1,0)))-FIND("]",CELL("adresse",OFFSET('DM01-AV-CH'!$G$6,H97-1,0)))),"Modell"))</f>
        <v>Modell</v>
      </c>
      <c r="AG97" s="72" t="str" cm="1">
        <f t="array" ref="AG97">IF($H97=0,"",IF(INDEX('DM01-AV-CH'!G$6:G$834,$H97)="","",INDEX('DM01-AV-CH'!G$6:G$834,$H97)))</f>
        <v>FixpunkteKategorie1</v>
      </c>
      <c r="AH97" s="73" t="str" cm="1">
        <f t="array" ref="AH97">IF($H97=0,"",IF(INDEX('DM01-AV-CH'!H$6:H$834,$H97)="","",INDEX('DM01-AV-CH'!H$6:H$834,$H97)))</f>
        <v>LFP1</v>
      </c>
      <c r="AI97" s="74" t="str" cm="1">
        <f t="array" ref="AI97">IF($H97=0,"",IF(INDEX('DM01-AV-CH'!I$6:I$834,$H97)="","",INDEX('DM01-AV-CH'!I$6:I$834,$H97)))</f>
        <v>Punktzeichen</v>
      </c>
    </row>
    <row r="98" spans="1:35" x14ac:dyDescent="0.25">
      <c r="A98" s="57">
        <v>93</v>
      </c>
      <c r="B98" s="57">
        <f>IF($A98="","",IF(_xlfn.XLOOKUP($A98,Korrelation!$D$4:$D$1197,Korrelation!E$4:E$1197,"-",0)="-",0,MATCH(_xlfn.XLOOKUP($A98,Korrelation!$D$4:$D$1197,Korrelation!E$4:E$1197,"",0),DMAV_Modell!$G$6:$G$677,0)))</f>
        <v>0</v>
      </c>
      <c r="C98" s="57">
        <f>IF($A98="","",IF(_xlfn.XLOOKUP($A98,Korrelation!$D$4:$D$1197,Korrelation!F$4:F$1197,"-",0)="-",0,MATCH(_xlfn.XLOOKUP($A98,Korrelation!$D$4:$D$1197,Korrelation!F$4:F$1197,"",0),DMAV_Modell!$G$6:$G$677,0)))</f>
        <v>0</v>
      </c>
      <c r="D98" s="57">
        <f>IF($A98="","",IF(_xlfn.XLOOKUP($A98,Korrelation!$D$4:$D$1197,Korrelation!G$4:G$1197,"-",0)="-",0,MATCH(_xlfn.XLOOKUP($A98,Korrelation!$D$4:$D$1197,Korrelation!G$4:G$1197,"",0),DMAV_Modell!$G$6:$G$677,0)))</f>
        <v>0</v>
      </c>
      <c r="E98" s="57">
        <f>IF($A98="","",IF(_xlfn.XLOOKUP($A98,Korrelation!$D$4:$D$1197,Korrelation!H$4:H$1197,"-",0)="-",0,MATCH(_xlfn.XLOOKUP($A98,Korrelation!$D$4:$D$1197,Korrelation!H$4:H$1197,"",0),DMAV_Dienste!$F$6:$F$140,0)))</f>
        <v>14</v>
      </c>
      <c r="F98" s="57">
        <f>IF($A98="","",IF(_xlfn.XLOOKUP($A98,Korrelation!$D$4:$D$1197,Korrelation!I$4:I$1197,"-",0)="-",0,MATCH(_xlfn.XLOOKUP($A98,Korrelation!$D$4:$D$1197,Korrelation!I$4:I$1197,"",0),DMAV_Dienste!$F$6:$F$140,0)))</f>
        <v>0</v>
      </c>
      <c r="G98" s="57">
        <f>IF($A98="","",IF(_xlfn.XLOOKUP($A98,Korrelation!$D$4:$D$1197,Korrelation!J$4:J$1197,"-",0)="-",0,MATCH(_xlfn.XLOOKUP($A98,Korrelation!$D$4:$D$1197,Korrelation!J$4:J$1197,"",0),DMAV_Dienste!$F$6:$F$140,0)))</f>
        <v>0</v>
      </c>
      <c r="H98" s="57">
        <f>IF($A98="","",IF(_xlfn.XLOOKUP($A98,Korrelation!$D$4:$D$1197,Korrelation!K$4:K$1197,"-",0)="-",0,MATCH(_xlfn.XLOOKUP($A98,Korrelation!$D$4:$D$1197,Korrelation!K$4:K$1197,"",0),'DM01-AV-CH'!$A$6:$A$834,0)))</f>
        <v>0</v>
      </c>
      <c r="J98" s="54" t="str" cm="1">
        <f t="array" aca="1" ref="J98" ca="1">IF(B98=0,IF(E98=0,"",HYPERLINK("#"&amp;RIGHT(CELL("adresse",OFFSET(DMAV_Dienste!$M$6,E98-1,0)),LEN(CELL("adresse",OFFSET(DMAV_Dienste!$M$6,E98-1,0)))-FIND("]",CELL("adresse",OFFSET(DMAV_Dienste!$M$6,E98-1,0)))),"Dienst")),HYPERLINK("#"&amp;RIGHT(CELL("adresse",OFFSET(DMAV_Modell!$N$6,B98-1,0)),LEN(CELL("adresse",OFFSET(DMAV_Modell!$N$6,B98-1,0)))-FIND("]",CELL("adresse",OFFSET(DMAV_Modell!$N$6,B98-1,0)))),"Modell"))</f>
        <v>Dienst</v>
      </c>
      <c r="K98" s="61" t="str" cm="1">
        <f t="array" ref="K98">IF($B98=0,IF($E98=0,"",IF(INDEX(DMAV_Dienste!P$6:P$140,$E98)="","",INDEX(DMAV_Dienste!P$6:P$140,$E98))),IF(INDEX(DMAV_Modell!Q$6:Q$838,$B98)="","",INDEX(DMAV_Modell!Q$6:Q$838,$B98)))</f>
        <v>CLASS</v>
      </c>
      <c r="L98" s="62" t="str" cm="1">
        <f t="array" ref="L98">IF($B98=0,IF($E98=0,"",IF(INDEX(DMAV_Dienste!O$6:O$140,$E98)="","",INDEX(DMAV_Dienste!O$6:O$140,$E98))),IF(INDEX(DMAV_Modell!P$6:P$838,$B98)="","",INDEX(DMAV_Modell!P$6:P$838,$B98)))</f>
        <v>FixpunkteLV</v>
      </c>
      <c r="M98" s="62" t="str" cm="1">
        <f t="array" ref="M98">IF($B98=0,IF($E98=0,"",IF(INDEX(DMAV_Dienste!Q$6:Q$140,$E98)="","",INDEX(DMAV_Dienste!Q$6:Q$140,$E98))),IF(INDEX(DMAV_Modell!R$6:R$838,$B98)="","",INDEX(DMAV_Modell!R$6:R$838,$B98)))</f>
        <v>LFP1</v>
      </c>
      <c r="N98" s="62" t="str" cm="1">
        <f t="array" ref="N98">IF($B98=0,IF($E98=0,"",IF(INDEX(DMAV_Dienste!T$6:T$140,$E98)="","",INDEX(DMAV_Dienste!T$6:T$140,$E98))),IF(INDEX(DMAV_Modell!U$6:U$838,$B98)="","",INDEX(DMAV_Modell!U$6:U$838,$B98)))</f>
        <v>Punktname</v>
      </c>
      <c r="O98" s="63" t="str" cm="1">
        <f t="array" aca="1" ref="O98" ca="1">IF(C98=0,IF(F98=0,"",HYPERLINK("#"&amp;RIGHT(CELL("adresse",OFFSET(DMAV_Dienste!$M$6,F98-1,0)),LEN(CELL("adresse",OFFSET(DMAV_Dienste!$M$6,F98-1,0)))-FIND("]",CELL("adresse",OFFSET(DMAV_Dienste!$M$6,F98-1,0)))),"Structure")),HYPERLINK("#"&amp;RIGHT(CELL("adresse",OFFSET(DMAV_Modell!$N$6,C98-1,0)),LEN(CELL("adresse",OFFSET(DMAV_Modell!$N$6,C98-1,0)))-FIND("]",CELL("adresse",OFFSET(DMAV_Modell!$N$6,C98-1,0)))),"Structure"))</f>
        <v/>
      </c>
      <c r="P98" s="64" t="str" cm="1">
        <f t="array" aca="1" ref="P98" ca="1">IF(D98=0,IF(G98=0,"",HYPERLINK("#"&amp;RIGHT(CELL("adresse",OFFSET(DMAV_Dienste!$M$6,G98-1,0)),LEN(CELL("adresse",OFFSET(DMAV_Dienste!$M$6,G98-1,0)))-FIND("]",CELL("adresse",OFFSET(DMAV_Dienste!$M$6,G98-1,0)))),"Substructure")),HYPERLINK("#"&amp;RIGHT(CELL("adresse",OFFSET(DMAV_Modell!$N$6,D98-1,0)),LEN(CELL("adresse",OFFSET(DMAV_Modell!$N$6,D98-1,0)))-FIND("]",CELL("adresse",OFFSET(DMAV_Modell!$N$6,D98-1,0)))),"Substructure"))</f>
        <v/>
      </c>
      <c r="R98" s="80"/>
      <c r="T98" s="93"/>
      <c r="U98" s="94"/>
      <c r="V98" s="95"/>
      <c r="W98" s="96"/>
      <c r="Y98" s="85"/>
      <c r="Z98" s="86"/>
      <c r="AA98" s="87"/>
      <c r="AB98" s="88"/>
      <c r="AD98" s="77"/>
      <c r="AF98" s="54" t="str" cm="1">
        <f t="array" aca="1" ref="AF98" ca="1">IF(H98=0,"",HYPERLINK("#"&amp;RIGHT(CELL("adresse",OFFSET('DM01-AV-CH'!$G$6,H98-1,0)),LEN(CELL("adresse",OFFSET('DM01-AV-CH'!$G$6,H98-1,0)))-FIND("]",CELL("adresse",OFFSET('DM01-AV-CH'!$G$6,H98-1,0)))),"Modell"))</f>
        <v/>
      </c>
      <c r="AG98" s="72" t="str" cm="1">
        <f t="array" ref="AG98">IF($H98=0,"",IF(INDEX('DM01-AV-CH'!G$6:G$834,$H98)="","",INDEX('DM01-AV-CH'!G$6:G$834,$H98)))</f>
        <v/>
      </c>
      <c r="AH98" s="73" t="str" cm="1">
        <f t="array" ref="AH98">IF($H98=0,"",IF(INDEX('DM01-AV-CH'!H$6:H$834,$H98)="","",INDEX('DM01-AV-CH'!H$6:H$834,$H98)))</f>
        <v/>
      </c>
      <c r="AI98" s="74" t="str" cm="1">
        <f t="array" ref="AI98">IF($H98=0,"",IF(INDEX('DM01-AV-CH'!I$6:I$834,$H98)="","",INDEX('DM01-AV-CH'!I$6:I$834,$H98)))</f>
        <v/>
      </c>
    </row>
    <row r="99" spans="1:35" x14ac:dyDescent="0.25">
      <c r="A99" s="57">
        <v>94</v>
      </c>
      <c r="B99" s="57">
        <f>IF($A99="","",IF(_xlfn.XLOOKUP($A99,Korrelation!$D$4:$D$1197,Korrelation!E$4:E$1197,"-",0)="-",0,MATCH(_xlfn.XLOOKUP($A99,Korrelation!$D$4:$D$1197,Korrelation!E$4:E$1197,"",0),DMAV_Modell!$G$6:$G$677,0)))</f>
        <v>0</v>
      </c>
      <c r="C99" s="57">
        <f>IF($A99="","",IF(_xlfn.XLOOKUP($A99,Korrelation!$D$4:$D$1197,Korrelation!F$4:F$1197,"-",0)="-",0,MATCH(_xlfn.XLOOKUP($A99,Korrelation!$D$4:$D$1197,Korrelation!F$4:F$1197,"",0),DMAV_Modell!$G$6:$G$677,0)))</f>
        <v>0</v>
      </c>
      <c r="D99" s="57">
        <f>IF($A99="","",IF(_xlfn.XLOOKUP($A99,Korrelation!$D$4:$D$1197,Korrelation!G$4:G$1197,"-",0)="-",0,MATCH(_xlfn.XLOOKUP($A99,Korrelation!$D$4:$D$1197,Korrelation!G$4:G$1197,"",0),DMAV_Modell!$G$6:$G$677,0)))</f>
        <v>0</v>
      </c>
      <c r="E99" s="57">
        <f>IF($A99="","",IF(_xlfn.XLOOKUP($A99,Korrelation!$D$4:$D$1197,Korrelation!H$4:H$1197,"-",0)="-",0,MATCH(_xlfn.XLOOKUP($A99,Korrelation!$D$4:$D$1197,Korrelation!H$4:H$1197,"",0),DMAV_Dienste!$F$6:$F$140,0)))</f>
        <v>15</v>
      </c>
      <c r="F99" s="57">
        <f>IF($A99="","",IF(_xlfn.XLOOKUP($A99,Korrelation!$D$4:$D$1197,Korrelation!I$4:I$1197,"-",0)="-",0,MATCH(_xlfn.XLOOKUP($A99,Korrelation!$D$4:$D$1197,Korrelation!I$4:I$1197,"",0),DMAV_Dienste!$F$6:$F$140,0)))</f>
        <v>0</v>
      </c>
      <c r="G99" s="57">
        <f>IF($A99="","",IF(_xlfn.XLOOKUP($A99,Korrelation!$D$4:$D$1197,Korrelation!J$4:J$1197,"-",0)="-",0,MATCH(_xlfn.XLOOKUP($A99,Korrelation!$D$4:$D$1197,Korrelation!J$4:J$1197,"",0),DMAV_Dienste!$F$6:$F$140,0)))</f>
        <v>0</v>
      </c>
      <c r="H99" s="57">
        <f>IF($A99="","",IF(_xlfn.XLOOKUP($A99,Korrelation!$D$4:$D$1197,Korrelation!K$4:K$1197,"-",0)="-",0,MATCH(_xlfn.XLOOKUP($A99,Korrelation!$D$4:$D$1197,Korrelation!K$4:K$1197,"",0),'DM01-AV-CH'!$A$6:$A$834,0)))</f>
        <v>0</v>
      </c>
      <c r="J99" s="54" t="str" cm="1">
        <f t="array" aca="1" ref="J99" ca="1">IF(B99=0,IF(E99=0,"",HYPERLINK("#"&amp;RIGHT(CELL("adresse",OFFSET(DMAV_Dienste!$M$6,E99-1,0)),LEN(CELL("adresse",OFFSET(DMAV_Dienste!$M$6,E99-1,0)))-FIND("]",CELL("adresse",OFFSET(DMAV_Dienste!$M$6,E99-1,0)))),"Dienst")),HYPERLINK("#"&amp;RIGHT(CELL("adresse",OFFSET(DMAV_Modell!$N$6,B99-1,0)),LEN(CELL("adresse",OFFSET(DMAV_Modell!$N$6,B99-1,0)))-FIND("]",CELL("adresse",OFFSET(DMAV_Modell!$N$6,B99-1,0)))),"Modell"))</f>
        <v>Dienst</v>
      </c>
      <c r="K99" s="61" t="str" cm="1">
        <f t="array" ref="K99">IF($B99=0,IF($E99=0,"",IF(INDEX(DMAV_Dienste!P$6:P$140,$E99)="","",INDEX(DMAV_Dienste!P$6:P$140,$E99))),IF(INDEX(DMAV_Modell!Q$6:Q$838,$B99)="","",INDEX(DMAV_Modell!Q$6:Q$838,$B99)))</f>
        <v>CLASS</v>
      </c>
      <c r="L99" s="62" t="str" cm="1">
        <f t="array" ref="L99">IF($B99=0,IF($E99=0,"",IF(INDEX(DMAV_Dienste!O$6:O$140,$E99)="","",INDEX(DMAV_Dienste!O$6:O$140,$E99))),IF(INDEX(DMAV_Modell!P$6:P$838,$B99)="","",INDEX(DMAV_Modell!P$6:P$838,$B99)))</f>
        <v>FixpunkteLV</v>
      </c>
      <c r="M99" s="62" t="str" cm="1">
        <f t="array" ref="M99">IF($B99=0,IF($E99=0,"",IF(INDEX(DMAV_Dienste!Q$6:Q$140,$E99)="","",INDEX(DMAV_Dienste!Q$6:Q$140,$E99))),IF(INDEX(DMAV_Modell!R$6:R$838,$B99)="","",INDEX(DMAV_Modell!R$6:R$838,$B99)))</f>
        <v>LFP1</v>
      </c>
      <c r="N99" s="62" t="str" cm="1">
        <f t="array" ref="N99">IF($B99=0,IF($E99=0,"",IF(INDEX(DMAV_Dienste!T$6:T$140,$E99)="","",INDEX(DMAV_Dienste!T$6:T$140,$E99))),IF(INDEX(DMAV_Modell!U$6:U$838,$B99)="","",INDEX(DMAV_Modell!U$6:U$838,$B99)))</f>
        <v>Status</v>
      </c>
      <c r="O99" s="63" t="str" cm="1">
        <f t="array" aca="1" ref="O99" ca="1">IF(C99=0,IF(F99=0,"",HYPERLINK("#"&amp;RIGHT(CELL("adresse",OFFSET(DMAV_Dienste!$M$6,F99-1,0)),LEN(CELL("adresse",OFFSET(DMAV_Dienste!$M$6,F99-1,0)))-FIND("]",CELL("adresse",OFFSET(DMAV_Dienste!$M$6,F99-1,0)))),"Structure")),HYPERLINK("#"&amp;RIGHT(CELL("adresse",OFFSET(DMAV_Modell!$N$6,C99-1,0)),LEN(CELL("adresse",OFFSET(DMAV_Modell!$N$6,C99-1,0)))-FIND("]",CELL("adresse",OFFSET(DMAV_Modell!$N$6,C99-1,0)))),"Structure"))</f>
        <v/>
      </c>
      <c r="P99" s="64" t="str" cm="1">
        <f t="array" aca="1" ref="P99" ca="1">IF(D99=0,IF(G99=0,"",HYPERLINK("#"&amp;RIGHT(CELL("adresse",OFFSET(DMAV_Dienste!$M$6,G99-1,0)),LEN(CELL("adresse",OFFSET(DMAV_Dienste!$M$6,G99-1,0)))-FIND("]",CELL("adresse",OFFSET(DMAV_Dienste!$M$6,G99-1,0)))),"Substructure")),HYPERLINK("#"&amp;RIGHT(CELL("adresse",OFFSET(DMAV_Modell!$N$6,D99-1,0)),LEN(CELL("adresse",OFFSET(DMAV_Modell!$N$6,D99-1,0)))-FIND("]",CELL("adresse",OFFSET(DMAV_Modell!$N$6,D99-1,0)))),"Substructure"))</f>
        <v/>
      </c>
      <c r="R99" s="80"/>
      <c r="T99" s="93"/>
      <c r="U99" s="94"/>
      <c r="V99" s="95"/>
      <c r="W99" s="96"/>
      <c r="Y99" s="85"/>
      <c r="Z99" s="86"/>
      <c r="AA99" s="87"/>
      <c r="AB99" s="88"/>
      <c r="AD99" s="77"/>
      <c r="AF99" s="54" t="str" cm="1">
        <f t="array" aca="1" ref="AF99" ca="1">IF(H99=0,"",HYPERLINK("#"&amp;RIGHT(CELL("adresse",OFFSET('DM01-AV-CH'!$G$6,H99-1,0)),LEN(CELL("adresse",OFFSET('DM01-AV-CH'!$G$6,H99-1,0)))-FIND("]",CELL("adresse",OFFSET('DM01-AV-CH'!$G$6,H99-1,0)))),"Modell"))</f>
        <v/>
      </c>
      <c r="AG99" s="72" t="str" cm="1">
        <f t="array" ref="AG99">IF($H99=0,"",IF(INDEX('DM01-AV-CH'!G$6:G$834,$H99)="","",INDEX('DM01-AV-CH'!G$6:G$834,$H99)))</f>
        <v/>
      </c>
      <c r="AH99" s="73" t="str" cm="1">
        <f t="array" ref="AH99">IF($H99=0,"",IF(INDEX('DM01-AV-CH'!H$6:H$834,$H99)="","",INDEX('DM01-AV-CH'!H$6:H$834,$H99)))</f>
        <v/>
      </c>
      <c r="AI99" s="74" t="str" cm="1">
        <f t="array" ref="AI99">IF($H99=0,"",IF(INDEX('DM01-AV-CH'!I$6:I$834,$H99)="","",INDEX('DM01-AV-CH'!I$6:I$834,$H99)))</f>
        <v/>
      </c>
    </row>
    <row r="100" spans="1:35" x14ac:dyDescent="0.25">
      <c r="A100" s="57">
        <v>95</v>
      </c>
      <c r="B100" s="57">
        <f>IF($A100="","",IF(_xlfn.XLOOKUP($A100,Korrelation!$D$4:$D$1197,Korrelation!E$4:E$1197,"-",0)="-",0,MATCH(_xlfn.XLOOKUP($A100,Korrelation!$D$4:$D$1197,Korrelation!E$4:E$1197,"",0),DMAV_Modell!$G$6:$G$677,0)))</f>
        <v>0</v>
      </c>
      <c r="C100" s="57">
        <f>IF($A100="","",IF(_xlfn.XLOOKUP($A100,Korrelation!$D$4:$D$1197,Korrelation!F$4:F$1197,"-",0)="-",0,MATCH(_xlfn.XLOOKUP($A100,Korrelation!$D$4:$D$1197,Korrelation!F$4:F$1197,"",0),DMAV_Modell!$G$6:$G$677,0)))</f>
        <v>0</v>
      </c>
      <c r="D100" s="57">
        <f>IF($A100="","",IF(_xlfn.XLOOKUP($A100,Korrelation!$D$4:$D$1197,Korrelation!G$4:G$1197,"-",0)="-",0,MATCH(_xlfn.XLOOKUP($A100,Korrelation!$D$4:$D$1197,Korrelation!G$4:G$1197,"",0),DMAV_Modell!$G$6:$G$677,0)))</f>
        <v>0</v>
      </c>
      <c r="E100" s="57">
        <f>IF($A100="","",IF(_xlfn.XLOOKUP($A100,Korrelation!$D$4:$D$1197,Korrelation!H$4:H$1197,"-",0)="-",0,MATCH(_xlfn.XLOOKUP($A100,Korrelation!$D$4:$D$1197,Korrelation!H$4:H$1197,"",0),DMAV_Dienste!$F$6:$F$140,0)))</f>
        <v>16</v>
      </c>
      <c r="F100" s="57">
        <f>IF($A100="","",IF(_xlfn.XLOOKUP($A100,Korrelation!$D$4:$D$1197,Korrelation!I$4:I$1197,"-",0)="-",0,MATCH(_xlfn.XLOOKUP($A100,Korrelation!$D$4:$D$1197,Korrelation!I$4:I$1197,"",0),DMAV_Dienste!$F$6:$F$140,0)))</f>
        <v>0</v>
      </c>
      <c r="G100" s="57">
        <f>IF($A100="","",IF(_xlfn.XLOOKUP($A100,Korrelation!$D$4:$D$1197,Korrelation!J$4:J$1197,"-",0)="-",0,MATCH(_xlfn.XLOOKUP($A100,Korrelation!$D$4:$D$1197,Korrelation!J$4:J$1197,"",0),DMAV_Dienste!$F$6:$F$140,0)))</f>
        <v>0</v>
      </c>
      <c r="H100" s="57">
        <f>IF($A100="","",IF(_xlfn.XLOOKUP($A100,Korrelation!$D$4:$D$1197,Korrelation!K$4:K$1197,"-",0)="-",0,MATCH(_xlfn.XLOOKUP($A100,Korrelation!$D$4:$D$1197,Korrelation!K$4:K$1197,"",0),'DM01-AV-CH'!$A$6:$A$834,0)))</f>
        <v>0</v>
      </c>
      <c r="J100" s="54" t="str" cm="1">
        <f t="array" aca="1" ref="J100" ca="1">IF(B100=0,IF(E100=0,"",HYPERLINK("#"&amp;RIGHT(CELL("adresse",OFFSET(DMAV_Dienste!$M$6,E100-1,0)),LEN(CELL("adresse",OFFSET(DMAV_Dienste!$M$6,E100-1,0)))-FIND("]",CELL("adresse",OFFSET(DMAV_Dienste!$M$6,E100-1,0)))),"Dienst")),HYPERLINK("#"&amp;RIGHT(CELL("adresse",OFFSET(DMAV_Modell!$N$6,B100-1,0)),LEN(CELL("adresse",OFFSET(DMAV_Modell!$N$6,B100-1,0)))-FIND("]",CELL("adresse",OFFSET(DMAV_Modell!$N$6,B100-1,0)))),"Modell"))</f>
        <v>Dienst</v>
      </c>
      <c r="K100" s="61" t="str" cm="1">
        <f t="array" ref="K100">IF($B100=0,IF($E100=0,"",IF(INDEX(DMAV_Dienste!P$6:P$140,$E100)="","",INDEX(DMAV_Dienste!P$6:P$140,$E100))),IF(INDEX(DMAV_Modell!Q$6:Q$838,$B100)="","",INDEX(DMAV_Modell!Q$6:Q$838,$B100)))</f>
        <v>CLASS</v>
      </c>
      <c r="L100" s="62" t="str" cm="1">
        <f t="array" ref="L100">IF($B100=0,IF($E100=0,"",IF(INDEX(DMAV_Dienste!O$6:O$140,$E100)="","",INDEX(DMAV_Dienste!O$6:O$140,$E100))),IF(INDEX(DMAV_Modell!P$6:P$838,$B100)="","",INDEX(DMAV_Modell!P$6:P$838,$B100)))</f>
        <v>FixpunkteLV</v>
      </c>
      <c r="M100" s="62" t="str" cm="1">
        <f t="array" ref="M100">IF($B100=0,IF($E100=0,"",IF(INDEX(DMAV_Dienste!Q$6:Q$140,$E100)="","",INDEX(DMAV_Dienste!Q$6:Q$140,$E100))),IF(INDEX(DMAV_Modell!R$6:R$838,$B100)="","",INDEX(DMAV_Modell!R$6:R$838,$B100)))</f>
        <v>LFP1</v>
      </c>
      <c r="N100" s="62" t="str" cm="1">
        <f t="array" ref="N100">IF($B100=0,IF($E100=0,"",IF(INDEX(DMAV_Dienste!T$6:T$140,$E100)="","",INDEX(DMAV_Dienste!T$6:T$140,$E100))),IF(INDEX(DMAV_Modell!U$6:U$838,$B100)="","",INDEX(DMAV_Modell!U$6:U$838,$B100)))</f>
        <v>Zugang</v>
      </c>
      <c r="O100" s="63" t="str" cm="1">
        <f t="array" aca="1" ref="O100" ca="1">IF(C100=0,IF(F100=0,"",HYPERLINK("#"&amp;RIGHT(CELL("adresse",OFFSET(DMAV_Dienste!$M$6,F100-1,0)),LEN(CELL("adresse",OFFSET(DMAV_Dienste!$M$6,F100-1,0)))-FIND("]",CELL("adresse",OFFSET(DMAV_Dienste!$M$6,F100-1,0)))),"Structure")),HYPERLINK("#"&amp;RIGHT(CELL("adresse",OFFSET(DMAV_Modell!$N$6,C100-1,0)),LEN(CELL("adresse",OFFSET(DMAV_Modell!$N$6,C100-1,0)))-FIND("]",CELL("adresse",OFFSET(DMAV_Modell!$N$6,C100-1,0)))),"Structure"))</f>
        <v/>
      </c>
      <c r="P100" s="64" t="str" cm="1">
        <f t="array" aca="1" ref="P100" ca="1">IF(D100=0,IF(G100=0,"",HYPERLINK("#"&amp;RIGHT(CELL("adresse",OFFSET(DMAV_Dienste!$M$6,G100-1,0)),LEN(CELL("adresse",OFFSET(DMAV_Dienste!$M$6,G100-1,0)))-FIND("]",CELL("adresse",OFFSET(DMAV_Dienste!$M$6,G100-1,0)))),"Substructure")),HYPERLINK("#"&amp;RIGHT(CELL("adresse",OFFSET(DMAV_Modell!$N$6,D100-1,0)),LEN(CELL("adresse",OFFSET(DMAV_Modell!$N$6,D100-1,0)))-FIND("]",CELL("adresse",OFFSET(DMAV_Modell!$N$6,D100-1,0)))),"Substructure"))</f>
        <v/>
      </c>
      <c r="R100" s="80"/>
      <c r="T100" s="93"/>
      <c r="U100" s="94"/>
      <c r="V100" s="95"/>
      <c r="W100" s="96"/>
      <c r="Y100" s="85"/>
      <c r="Z100" s="86"/>
      <c r="AA100" s="87"/>
      <c r="AB100" s="88"/>
      <c r="AD100" s="77"/>
      <c r="AF100" s="54" t="str" cm="1">
        <f t="array" aca="1" ref="AF100" ca="1">IF(H100=0,"",HYPERLINK("#"&amp;RIGHT(CELL("adresse",OFFSET('DM01-AV-CH'!$G$6,H100-1,0)),LEN(CELL("adresse",OFFSET('DM01-AV-CH'!$G$6,H100-1,0)))-FIND("]",CELL("adresse",OFFSET('DM01-AV-CH'!$G$6,H100-1,0)))),"Modell"))</f>
        <v/>
      </c>
      <c r="AG100" s="72" t="str" cm="1">
        <f t="array" ref="AG100">IF($H100=0,"",IF(INDEX('DM01-AV-CH'!G$6:G$834,$H100)="","",INDEX('DM01-AV-CH'!G$6:G$834,$H100)))</f>
        <v/>
      </c>
      <c r="AH100" s="73" t="str" cm="1">
        <f t="array" ref="AH100">IF($H100=0,"",IF(INDEX('DM01-AV-CH'!H$6:H$834,$H100)="","",INDEX('DM01-AV-CH'!H$6:H$834,$H100)))</f>
        <v/>
      </c>
      <c r="AI100" s="74" t="str" cm="1">
        <f t="array" ref="AI100">IF($H100=0,"",IF(INDEX('DM01-AV-CH'!I$6:I$834,$H100)="","",INDEX('DM01-AV-CH'!I$6:I$834,$H100)))</f>
        <v/>
      </c>
    </row>
    <row r="101" spans="1:35" x14ac:dyDescent="0.25">
      <c r="A101" s="57">
        <v>96</v>
      </c>
      <c r="B101" s="57">
        <f>IF($A101="","",IF(_xlfn.XLOOKUP($A101,Korrelation!$D$4:$D$1197,Korrelation!E$4:E$1197,"-",0)="-",0,MATCH(_xlfn.XLOOKUP($A101,Korrelation!$D$4:$D$1197,Korrelation!E$4:E$1197,"",0),DMAV_Modell!$G$6:$G$677,0)))</f>
        <v>0</v>
      </c>
      <c r="C101" s="57">
        <f>IF($A101="","",IF(_xlfn.XLOOKUP($A101,Korrelation!$D$4:$D$1197,Korrelation!F$4:F$1197,"-",0)="-",0,MATCH(_xlfn.XLOOKUP($A101,Korrelation!$D$4:$D$1197,Korrelation!F$4:F$1197,"",0),DMAV_Modell!$G$6:$G$677,0)))</f>
        <v>0</v>
      </c>
      <c r="D101" s="57">
        <f>IF($A101="","",IF(_xlfn.XLOOKUP($A101,Korrelation!$D$4:$D$1197,Korrelation!G$4:G$1197,"-",0)="-",0,MATCH(_xlfn.XLOOKUP($A101,Korrelation!$D$4:$D$1197,Korrelation!G$4:G$1197,"",0),DMAV_Modell!$G$6:$G$677,0)))</f>
        <v>0</v>
      </c>
      <c r="E101" s="57">
        <f>IF($A101="","",IF(_xlfn.XLOOKUP($A101,Korrelation!$D$4:$D$1197,Korrelation!H$4:H$1197,"-",0)="-",0,MATCH(_xlfn.XLOOKUP($A101,Korrelation!$D$4:$D$1197,Korrelation!H$4:H$1197,"",0),DMAV_Dienste!$F$6:$F$140,0)))</f>
        <v>17</v>
      </c>
      <c r="F101" s="57">
        <f>IF($A101="","",IF(_xlfn.XLOOKUP($A101,Korrelation!$D$4:$D$1197,Korrelation!I$4:I$1197,"-",0)="-",0,MATCH(_xlfn.XLOOKUP($A101,Korrelation!$D$4:$D$1197,Korrelation!I$4:I$1197,"",0),DMAV_Dienste!$F$6:$F$140,0)))</f>
        <v>0</v>
      </c>
      <c r="G101" s="57">
        <f>IF($A101="","",IF(_xlfn.XLOOKUP($A101,Korrelation!$D$4:$D$1197,Korrelation!J$4:J$1197,"-",0)="-",0,MATCH(_xlfn.XLOOKUP($A101,Korrelation!$D$4:$D$1197,Korrelation!J$4:J$1197,"",0),DMAV_Dienste!$F$6:$F$140,0)))</f>
        <v>0</v>
      </c>
      <c r="H101" s="57">
        <f>IF($A101="","",IF(_xlfn.XLOOKUP($A101,Korrelation!$D$4:$D$1197,Korrelation!K$4:K$1197,"-",0)="-",0,MATCH(_xlfn.XLOOKUP($A101,Korrelation!$D$4:$D$1197,Korrelation!K$4:K$1197,"",0),'DM01-AV-CH'!$A$6:$A$834,0)))</f>
        <v>0</v>
      </c>
      <c r="J101" s="54" t="str" cm="1">
        <f t="array" aca="1" ref="J101" ca="1">IF(B101=0,IF(E101=0,"",HYPERLINK("#"&amp;RIGHT(CELL("adresse",OFFSET(DMAV_Dienste!$M$6,E101-1,0)),LEN(CELL("adresse",OFFSET(DMAV_Dienste!$M$6,E101-1,0)))-FIND("]",CELL("adresse",OFFSET(DMAV_Dienste!$M$6,E101-1,0)))),"Dienst")),HYPERLINK("#"&amp;RIGHT(CELL("adresse",OFFSET(DMAV_Modell!$N$6,B101-1,0)),LEN(CELL("adresse",OFFSET(DMAV_Modell!$N$6,B101-1,0)))-FIND("]",CELL("adresse",OFFSET(DMAV_Modell!$N$6,B101-1,0)))),"Modell"))</f>
        <v>Dienst</v>
      </c>
      <c r="K101" s="61" t="str" cm="1">
        <f t="array" ref="K101">IF($B101=0,IF($E101=0,"",IF(INDEX(DMAV_Dienste!P$6:P$140,$E101)="","",INDEX(DMAV_Dienste!P$6:P$140,$E101))),IF(INDEX(DMAV_Modell!Q$6:Q$838,$B101)="","",INDEX(DMAV_Modell!Q$6:Q$838,$B101)))</f>
        <v>CLASS</v>
      </c>
      <c r="L101" s="62" t="str" cm="1">
        <f t="array" ref="L101">IF($B101=0,IF($E101=0,"",IF(INDEX(DMAV_Dienste!O$6:O$140,$E101)="","",INDEX(DMAV_Dienste!O$6:O$140,$E101))),IF(INDEX(DMAV_Modell!P$6:P$838,$B101)="","",INDEX(DMAV_Modell!P$6:P$838,$B101)))</f>
        <v>FixpunkteLV</v>
      </c>
      <c r="M101" s="62" t="str" cm="1">
        <f t="array" ref="M101">IF($B101=0,IF($E101=0,"",IF(INDEX(DMAV_Dienste!Q$6:Q$140,$E101)="","",INDEX(DMAV_Dienste!Q$6:Q$140,$E101))),IF(INDEX(DMAV_Modell!R$6:R$838,$B101)="","",INDEX(DMAV_Modell!R$6:R$838,$B101)))</f>
        <v>LFP1</v>
      </c>
      <c r="N101" s="62" t="str" cm="1">
        <f t="array" ref="N101">IF($B101=0,IF($E101=0,"",IF(INDEX(DMAV_Dienste!T$6:T$140,$E101)="","",INDEX(DMAV_Dienste!T$6:T$140,$E101))),IF(INDEX(DMAV_Modell!U$6:U$838,$B101)="","",INDEX(DMAV_Modell!U$6:U$838,$B101)))</f>
        <v>Ordnung</v>
      </c>
      <c r="O101" s="63" t="str" cm="1">
        <f t="array" aca="1" ref="O101" ca="1">IF(C101=0,IF(F101=0,"",HYPERLINK("#"&amp;RIGHT(CELL("adresse",OFFSET(DMAV_Dienste!$M$6,F101-1,0)),LEN(CELL("adresse",OFFSET(DMAV_Dienste!$M$6,F101-1,0)))-FIND("]",CELL("adresse",OFFSET(DMAV_Dienste!$M$6,F101-1,0)))),"Structure")),HYPERLINK("#"&amp;RIGHT(CELL("adresse",OFFSET(DMAV_Modell!$N$6,C101-1,0)),LEN(CELL("adresse",OFFSET(DMAV_Modell!$N$6,C101-1,0)))-FIND("]",CELL("adresse",OFFSET(DMAV_Modell!$N$6,C101-1,0)))),"Structure"))</f>
        <v/>
      </c>
      <c r="P101" s="64" t="str" cm="1">
        <f t="array" aca="1" ref="P101" ca="1">IF(D101=0,IF(G101=0,"",HYPERLINK("#"&amp;RIGHT(CELL("adresse",OFFSET(DMAV_Dienste!$M$6,G101-1,0)),LEN(CELL("adresse",OFFSET(DMAV_Dienste!$M$6,G101-1,0)))-FIND("]",CELL("adresse",OFFSET(DMAV_Dienste!$M$6,G101-1,0)))),"Substructure")),HYPERLINK("#"&amp;RIGHT(CELL("adresse",OFFSET(DMAV_Modell!$N$6,D101-1,0)),LEN(CELL("adresse",OFFSET(DMAV_Modell!$N$6,D101-1,0)))-FIND("]",CELL("adresse",OFFSET(DMAV_Modell!$N$6,D101-1,0)))),"Substructure"))</f>
        <v/>
      </c>
      <c r="R101" s="80"/>
      <c r="T101" s="93"/>
      <c r="U101" s="94"/>
      <c r="V101" s="95"/>
      <c r="W101" s="96"/>
      <c r="Y101" s="85"/>
      <c r="Z101" s="86"/>
      <c r="AA101" s="87"/>
      <c r="AB101" s="88"/>
      <c r="AD101" s="77"/>
      <c r="AF101" s="54" t="str" cm="1">
        <f t="array" aca="1" ref="AF101" ca="1">IF(H101=0,"",HYPERLINK("#"&amp;RIGHT(CELL("adresse",OFFSET('DM01-AV-CH'!$G$6,H101-1,0)),LEN(CELL("adresse",OFFSET('DM01-AV-CH'!$G$6,H101-1,0)))-FIND("]",CELL("adresse",OFFSET('DM01-AV-CH'!$G$6,H101-1,0)))),"Modell"))</f>
        <v/>
      </c>
      <c r="AG101" s="72" t="str" cm="1">
        <f t="array" ref="AG101">IF($H101=0,"",IF(INDEX('DM01-AV-CH'!G$6:G$834,$H101)="","",INDEX('DM01-AV-CH'!G$6:G$834,$H101)))</f>
        <v/>
      </c>
      <c r="AH101" s="73" t="str" cm="1">
        <f t="array" ref="AH101">IF($H101=0,"",IF(INDEX('DM01-AV-CH'!H$6:H$834,$H101)="","",INDEX('DM01-AV-CH'!H$6:H$834,$H101)))</f>
        <v/>
      </c>
      <c r="AI101" s="74" t="str" cm="1">
        <f t="array" ref="AI101">IF($H101=0,"",IF(INDEX('DM01-AV-CH'!I$6:I$834,$H101)="","",INDEX('DM01-AV-CH'!I$6:I$834,$H101)))</f>
        <v/>
      </c>
    </row>
    <row r="102" spans="1:35" x14ac:dyDescent="0.25">
      <c r="A102" s="57">
        <v>97</v>
      </c>
      <c r="B102" s="57">
        <f>IF($A102="","",IF(_xlfn.XLOOKUP($A102,Korrelation!$D$4:$D$1197,Korrelation!E$4:E$1197,"-",0)="-",0,MATCH(_xlfn.XLOOKUP($A102,Korrelation!$D$4:$D$1197,Korrelation!E$4:E$1197,"",0),DMAV_Modell!$G$6:$G$677,0)))</f>
        <v>0</v>
      </c>
      <c r="C102" s="57">
        <f>IF($A102="","",IF(_xlfn.XLOOKUP($A102,Korrelation!$D$4:$D$1197,Korrelation!F$4:F$1197,"-",0)="-",0,MATCH(_xlfn.XLOOKUP($A102,Korrelation!$D$4:$D$1197,Korrelation!F$4:F$1197,"",0),DMAV_Modell!$G$6:$G$677,0)))</f>
        <v>0</v>
      </c>
      <c r="D102" s="57">
        <f>IF($A102="","",IF(_xlfn.XLOOKUP($A102,Korrelation!$D$4:$D$1197,Korrelation!G$4:G$1197,"-",0)="-",0,MATCH(_xlfn.XLOOKUP($A102,Korrelation!$D$4:$D$1197,Korrelation!G$4:G$1197,"",0),DMAV_Modell!$G$6:$G$677,0)))</f>
        <v>0</v>
      </c>
      <c r="E102" s="57">
        <f>IF($A102="","",IF(_xlfn.XLOOKUP($A102,Korrelation!$D$4:$D$1197,Korrelation!H$4:H$1197,"-",0)="-",0,MATCH(_xlfn.XLOOKUP($A102,Korrelation!$D$4:$D$1197,Korrelation!H$4:H$1197,"",0),DMAV_Dienste!$F$6:$F$140,0)))</f>
        <v>18</v>
      </c>
      <c r="F102" s="57">
        <f>IF($A102="","",IF(_xlfn.XLOOKUP($A102,Korrelation!$D$4:$D$1197,Korrelation!I$4:I$1197,"-",0)="-",0,MATCH(_xlfn.XLOOKUP($A102,Korrelation!$D$4:$D$1197,Korrelation!I$4:I$1197,"",0),DMAV_Dienste!$F$6:$F$140,0)))</f>
        <v>0</v>
      </c>
      <c r="G102" s="57">
        <f>IF($A102="","",IF(_xlfn.XLOOKUP($A102,Korrelation!$D$4:$D$1197,Korrelation!J$4:J$1197,"-",0)="-",0,MATCH(_xlfn.XLOOKUP($A102,Korrelation!$D$4:$D$1197,Korrelation!J$4:J$1197,"",0),DMAV_Dienste!$F$6:$F$140,0)))</f>
        <v>0</v>
      </c>
      <c r="H102" s="57">
        <f>IF($A102="","",IF(_xlfn.XLOOKUP($A102,Korrelation!$D$4:$D$1197,Korrelation!K$4:K$1197,"-",0)="-",0,MATCH(_xlfn.XLOOKUP($A102,Korrelation!$D$4:$D$1197,Korrelation!K$4:K$1197,"",0),'DM01-AV-CH'!$A$6:$A$834,0)))</f>
        <v>0</v>
      </c>
      <c r="J102" s="54" t="str" cm="1">
        <f t="array" aca="1" ref="J102" ca="1">IF(B102=0,IF(E102=0,"",HYPERLINK("#"&amp;RIGHT(CELL("adresse",OFFSET(DMAV_Dienste!$M$6,E102-1,0)),LEN(CELL("adresse",OFFSET(DMAV_Dienste!$M$6,E102-1,0)))-FIND("]",CELL("adresse",OFFSET(DMAV_Dienste!$M$6,E102-1,0)))),"Dienst")),HYPERLINK("#"&amp;RIGHT(CELL("adresse",OFFSET(DMAV_Modell!$N$6,B102-1,0)),LEN(CELL("adresse",OFFSET(DMAV_Modell!$N$6,B102-1,0)))-FIND("]",CELL("adresse",OFFSET(DMAV_Modell!$N$6,B102-1,0)))),"Modell"))</f>
        <v>Dienst</v>
      </c>
      <c r="K102" s="61" t="str" cm="1">
        <f t="array" ref="K102">IF($B102=0,IF($E102=0,"",IF(INDEX(DMAV_Dienste!P$6:P$140,$E102)="","",INDEX(DMAV_Dienste!P$6:P$140,$E102))),IF(INDEX(DMAV_Modell!Q$6:Q$838,$B102)="","",INDEX(DMAV_Modell!Q$6:Q$838,$B102)))</f>
        <v>CLASS.CONSTRAINT</v>
      </c>
      <c r="L102" s="62" t="str" cm="1">
        <f t="array" ref="L102">IF($B102=0,IF($E102=0,"",IF(INDEX(DMAV_Dienste!O$6:O$140,$E102)="","",INDEX(DMAV_Dienste!O$6:O$140,$E102))),IF(INDEX(DMAV_Modell!P$6:P$838,$B102)="","",INDEX(DMAV_Modell!P$6:P$838,$B102)))</f>
        <v>FixpunkteLV</v>
      </c>
      <c r="M102" s="62" t="str" cm="1">
        <f t="array" ref="M102">IF($B102=0,IF($E102=0,"",IF(INDEX(DMAV_Dienste!Q$6:Q$140,$E102)="","",INDEX(DMAV_Dienste!Q$6:Q$140,$E102))),IF(INDEX(DMAV_Modell!R$6:R$838,$B102)="","",INDEX(DMAV_Modell!R$6:R$838,$B102)))</f>
        <v>LFP1</v>
      </c>
      <c r="N102" s="62" t="str" cm="1">
        <f t="array" ref="N102">IF($B102=0,IF($E102=0,"",IF(INDEX(DMAV_Dienste!T$6:T$140,$E102)="","",INDEX(DMAV_Dienste!T$6:T$140,$E102))),IF(INDEX(DMAV_Modell!U$6:U$838,$B102)="","",INDEX(DMAV_Modell!U$6:U$838,$B102)))</f>
        <v>DEFINED(@PH1@)==DEFINED(@PH2@)</v>
      </c>
      <c r="O102" s="63" t="str" cm="1">
        <f t="array" aca="1" ref="O102" ca="1">IF(C102=0,IF(F102=0,"",HYPERLINK("#"&amp;RIGHT(CELL("adresse",OFFSET(DMAV_Dienste!$M$6,F102-1,0)),LEN(CELL("adresse",OFFSET(DMAV_Dienste!$M$6,F102-1,0)))-FIND("]",CELL("adresse",OFFSET(DMAV_Dienste!$M$6,F102-1,0)))),"Structure")),HYPERLINK("#"&amp;RIGHT(CELL("adresse",OFFSET(DMAV_Modell!$N$6,C102-1,0)),LEN(CELL("adresse",OFFSET(DMAV_Modell!$N$6,C102-1,0)))-FIND("]",CELL("adresse",OFFSET(DMAV_Modell!$N$6,C102-1,0)))),"Structure"))</f>
        <v/>
      </c>
      <c r="P102" s="64" t="str" cm="1">
        <f t="array" aca="1" ref="P102" ca="1">IF(D102=0,IF(G102=0,"",HYPERLINK("#"&amp;RIGHT(CELL("adresse",OFFSET(DMAV_Dienste!$M$6,G102-1,0)),LEN(CELL("adresse",OFFSET(DMAV_Dienste!$M$6,G102-1,0)))-FIND("]",CELL("adresse",OFFSET(DMAV_Dienste!$M$6,G102-1,0)))),"Substructure")),HYPERLINK("#"&amp;RIGHT(CELL("adresse",OFFSET(DMAV_Modell!$N$6,D102-1,0)),LEN(CELL("adresse",OFFSET(DMAV_Modell!$N$6,D102-1,0)))-FIND("]",CELL("adresse",OFFSET(DMAV_Modell!$N$6,D102-1,0)))),"Substructure"))</f>
        <v/>
      </c>
      <c r="R102" s="80"/>
      <c r="T102" s="93"/>
      <c r="U102" s="94"/>
      <c r="V102" s="95"/>
      <c r="W102" s="96"/>
      <c r="Y102" s="85"/>
      <c r="Z102" s="86"/>
      <c r="AA102" s="87"/>
      <c r="AB102" s="88"/>
      <c r="AD102" s="77"/>
      <c r="AF102" s="54" t="str" cm="1">
        <f t="array" aca="1" ref="AF102" ca="1">IF(H102=0,"",HYPERLINK("#"&amp;RIGHT(CELL("adresse",OFFSET('DM01-AV-CH'!$G$6,H102-1,0)),LEN(CELL("adresse",OFFSET('DM01-AV-CH'!$G$6,H102-1,0)))-FIND("]",CELL("adresse",OFFSET('DM01-AV-CH'!$G$6,H102-1,0)))),"Modell"))</f>
        <v/>
      </c>
      <c r="AG102" s="72" t="str" cm="1">
        <f t="array" ref="AG102">IF($H102=0,"",IF(INDEX('DM01-AV-CH'!G$6:G$834,$H102)="","",INDEX('DM01-AV-CH'!G$6:G$834,$H102)))</f>
        <v/>
      </c>
      <c r="AH102" s="73" t="str" cm="1">
        <f t="array" ref="AH102">IF($H102=0,"",IF(INDEX('DM01-AV-CH'!H$6:H$834,$H102)="","",INDEX('DM01-AV-CH'!H$6:H$834,$H102)))</f>
        <v/>
      </c>
      <c r="AI102" s="74" t="str" cm="1">
        <f t="array" ref="AI102">IF($H102=0,"",IF(INDEX('DM01-AV-CH'!I$6:I$834,$H102)="","",INDEX('DM01-AV-CH'!I$6:I$834,$H102)))</f>
        <v/>
      </c>
    </row>
    <row r="103" spans="1:35" x14ac:dyDescent="0.25">
      <c r="A103" s="57">
        <v>98</v>
      </c>
      <c r="B103" s="57">
        <f>IF($A103="","",IF(_xlfn.XLOOKUP($A103,Korrelation!$D$4:$D$1197,Korrelation!E$4:E$1197,"-",0)="-",0,MATCH(_xlfn.XLOOKUP($A103,Korrelation!$D$4:$D$1197,Korrelation!E$4:E$1197,"",0),DMAV_Modell!$G$6:$G$677,0)))</f>
        <v>0</v>
      </c>
      <c r="C103" s="57">
        <f>IF($A103="","",IF(_xlfn.XLOOKUP($A103,Korrelation!$D$4:$D$1197,Korrelation!F$4:F$1197,"-",0)="-",0,MATCH(_xlfn.XLOOKUP($A103,Korrelation!$D$4:$D$1197,Korrelation!F$4:F$1197,"",0),DMAV_Modell!$G$6:$G$677,0)))</f>
        <v>0</v>
      </c>
      <c r="D103" s="57">
        <f>IF($A103="","",IF(_xlfn.XLOOKUP($A103,Korrelation!$D$4:$D$1197,Korrelation!G$4:G$1197,"-",0)="-",0,MATCH(_xlfn.XLOOKUP($A103,Korrelation!$D$4:$D$1197,Korrelation!G$4:G$1197,"",0),DMAV_Modell!$G$6:$G$677,0)))</f>
        <v>0</v>
      </c>
      <c r="E103" s="57">
        <f>IF($A103="","",IF(_xlfn.XLOOKUP($A103,Korrelation!$D$4:$D$1197,Korrelation!H$4:H$1197,"-",0)="-",0,MATCH(_xlfn.XLOOKUP($A103,Korrelation!$D$4:$D$1197,Korrelation!H$4:H$1197,"",0),DMAV_Dienste!$F$6:$F$140,0)))</f>
        <v>19</v>
      </c>
      <c r="F103" s="57">
        <f>IF($A103="","",IF(_xlfn.XLOOKUP($A103,Korrelation!$D$4:$D$1197,Korrelation!I$4:I$1197,"-",0)="-",0,MATCH(_xlfn.XLOOKUP($A103,Korrelation!$D$4:$D$1197,Korrelation!I$4:I$1197,"",0),DMAV_Dienste!$F$6:$F$140,0)))</f>
        <v>0</v>
      </c>
      <c r="G103" s="57">
        <f>IF($A103="","",IF(_xlfn.XLOOKUP($A103,Korrelation!$D$4:$D$1197,Korrelation!J$4:J$1197,"-",0)="-",0,MATCH(_xlfn.XLOOKUP($A103,Korrelation!$D$4:$D$1197,Korrelation!J$4:J$1197,"",0),DMAV_Dienste!$F$6:$F$140,0)))</f>
        <v>0</v>
      </c>
      <c r="H103" s="57">
        <f>IF($A103="","",IF(_xlfn.XLOOKUP($A103,Korrelation!$D$4:$D$1197,Korrelation!K$4:K$1197,"-",0)="-",0,MATCH(_xlfn.XLOOKUP($A103,Korrelation!$D$4:$D$1197,Korrelation!K$4:K$1197,"",0),'DM01-AV-CH'!$A$6:$A$834,0)))</f>
        <v>0</v>
      </c>
      <c r="J103" s="54" t="str" cm="1">
        <f t="array" aca="1" ref="J103" ca="1">IF(B103=0,IF(E103=0,"",HYPERLINK("#"&amp;RIGHT(CELL("adresse",OFFSET(DMAV_Dienste!$M$6,E103-1,0)),LEN(CELL("adresse",OFFSET(DMAV_Dienste!$M$6,E103-1,0)))-FIND("]",CELL("adresse",OFFSET(DMAV_Dienste!$M$6,E103-1,0)))),"Dienst")),HYPERLINK("#"&amp;RIGHT(CELL("adresse",OFFSET(DMAV_Modell!$N$6,B103-1,0)),LEN(CELL("adresse",OFFSET(DMAV_Modell!$N$6,B103-1,0)))-FIND("]",CELL("adresse",OFFSET(DMAV_Modell!$N$6,B103-1,0)))),"Modell"))</f>
        <v>Dienst</v>
      </c>
      <c r="K103" s="61" t="str" cm="1">
        <f t="array" ref="K103">IF($B103=0,IF($E103=0,"",IF(INDEX(DMAV_Dienste!P$6:P$140,$E103)="","",INDEX(DMAV_Dienste!P$6:P$140,$E103))),IF(INDEX(DMAV_Modell!Q$6:Q$838,$B103)="","",INDEX(DMAV_Modell!Q$6:Q$838,$B103)))</f>
        <v>CLASS.CONSTRAINT</v>
      </c>
      <c r="L103" s="62" t="str" cm="1">
        <f t="array" ref="L103">IF($B103=0,IF($E103=0,"",IF(INDEX(DMAV_Dienste!O$6:O$140,$E103)="","",INDEX(DMAV_Dienste!O$6:O$140,$E103))),IF(INDEX(DMAV_Modell!P$6:P$838,$B103)="","",INDEX(DMAV_Modell!P$6:P$838,$B103)))</f>
        <v>FixpunkteLV</v>
      </c>
      <c r="M103" s="62" t="str" cm="1">
        <f t="array" ref="M103">IF($B103=0,IF($E103=0,"",IF(INDEX(DMAV_Dienste!Q$6:Q$140,$E103)="","",INDEX(DMAV_Dienste!Q$6:Q$140,$E103))),IF(INDEX(DMAV_Modell!R$6:R$838,$B103)="","",INDEX(DMAV_Modell!R$6:R$838,$B103)))</f>
        <v>LFP1</v>
      </c>
      <c r="N103" s="62" t="str" cm="1">
        <f t="array" ref="N103">IF($B103=0,IF($E103=0,"",IF(INDEX(DMAV_Dienste!T$6:T$140,$E103)="","",INDEX(DMAV_Dienste!T$6:T$140,$E103))),IF(INDEX(DMAV_Modell!U$6:U$838,$B103)="","",INDEX(DMAV_Modell!U$6:U$838,$B103)))</f>
        <v>DEFINED(@PH1@)==DEFINED(@PH2@)</v>
      </c>
      <c r="O103" s="63" t="str" cm="1">
        <f t="array" aca="1" ref="O103" ca="1">IF(C103=0,IF(F103=0,"",HYPERLINK("#"&amp;RIGHT(CELL("adresse",OFFSET(DMAV_Dienste!$M$6,F103-1,0)),LEN(CELL("adresse",OFFSET(DMAV_Dienste!$M$6,F103-1,0)))-FIND("]",CELL("adresse",OFFSET(DMAV_Dienste!$M$6,F103-1,0)))),"Structure")),HYPERLINK("#"&amp;RIGHT(CELL("adresse",OFFSET(DMAV_Modell!$N$6,C103-1,0)),LEN(CELL("adresse",OFFSET(DMAV_Modell!$N$6,C103-1,0)))-FIND("]",CELL("adresse",OFFSET(DMAV_Modell!$N$6,C103-1,0)))),"Structure"))</f>
        <v/>
      </c>
      <c r="P103" s="64" t="str" cm="1">
        <f t="array" aca="1" ref="P103" ca="1">IF(D103=0,IF(G103=0,"",HYPERLINK("#"&amp;RIGHT(CELL("adresse",OFFSET(DMAV_Dienste!$M$6,G103-1,0)),LEN(CELL("adresse",OFFSET(DMAV_Dienste!$M$6,G103-1,0)))-FIND("]",CELL("adresse",OFFSET(DMAV_Dienste!$M$6,G103-1,0)))),"Substructure")),HYPERLINK("#"&amp;RIGHT(CELL("adresse",OFFSET(DMAV_Modell!$N$6,D103-1,0)),LEN(CELL("adresse",OFFSET(DMAV_Modell!$N$6,D103-1,0)))-FIND("]",CELL("adresse",OFFSET(DMAV_Modell!$N$6,D103-1,0)))),"Substructure"))</f>
        <v/>
      </c>
      <c r="R103" s="80"/>
      <c r="T103" s="93"/>
      <c r="U103" s="94"/>
      <c r="V103" s="95"/>
      <c r="W103" s="96"/>
      <c r="Y103" s="85"/>
      <c r="Z103" s="86"/>
      <c r="AA103" s="87"/>
      <c r="AB103" s="88"/>
      <c r="AD103" s="77"/>
      <c r="AF103" s="54" t="str" cm="1">
        <f t="array" aca="1" ref="AF103" ca="1">IF(H103=0,"",HYPERLINK("#"&amp;RIGHT(CELL("adresse",OFFSET('DM01-AV-CH'!$G$6,H103-1,0)),LEN(CELL("adresse",OFFSET('DM01-AV-CH'!$G$6,H103-1,0)))-FIND("]",CELL("adresse",OFFSET('DM01-AV-CH'!$G$6,H103-1,0)))),"Modell"))</f>
        <v/>
      </c>
      <c r="AG103" s="72" t="str" cm="1">
        <f t="array" ref="AG103">IF($H103=0,"",IF(INDEX('DM01-AV-CH'!G$6:G$834,$H103)="","",INDEX('DM01-AV-CH'!G$6:G$834,$H103)))</f>
        <v/>
      </c>
      <c r="AH103" s="73" t="str" cm="1">
        <f t="array" ref="AH103">IF($H103=0,"",IF(INDEX('DM01-AV-CH'!H$6:H$834,$H103)="","",INDEX('DM01-AV-CH'!H$6:H$834,$H103)))</f>
        <v/>
      </c>
      <c r="AI103" s="74" t="str" cm="1">
        <f t="array" ref="AI103">IF($H103=0,"",IF(INDEX('DM01-AV-CH'!I$6:I$834,$H103)="","",INDEX('DM01-AV-CH'!I$6:I$834,$H103)))</f>
        <v/>
      </c>
    </row>
    <row r="104" spans="1:35" x14ac:dyDescent="0.25">
      <c r="A104" s="57">
        <v>99</v>
      </c>
      <c r="B104" s="57">
        <f>IF($A104="","",IF(_xlfn.XLOOKUP($A104,Korrelation!$D$4:$D$1197,Korrelation!E$4:E$1197,"-",0)="-",0,MATCH(_xlfn.XLOOKUP($A104,Korrelation!$D$4:$D$1197,Korrelation!E$4:E$1197,"",0),DMAV_Modell!$G$6:$G$677,0)))</f>
        <v>0</v>
      </c>
      <c r="C104" s="57">
        <f>IF($A104="","",IF(_xlfn.XLOOKUP($A104,Korrelation!$D$4:$D$1197,Korrelation!F$4:F$1197,"-",0)="-",0,MATCH(_xlfn.XLOOKUP($A104,Korrelation!$D$4:$D$1197,Korrelation!F$4:F$1197,"",0),DMAV_Modell!$G$6:$G$677,0)))</f>
        <v>0</v>
      </c>
      <c r="D104" s="57">
        <f>IF($A104="","",IF(_xlfn.XLOOKUP($A104,Korrelation!$D$4:$D$1197,Korrelation!G$4:G$1197,"-",0)="-",0,MATCH(_xlfn.XLOOKUP($A104,Korrelation!$D$4:$D$1197,Korrelation!G$4:G$1197,"",0),DMAV_Modell!$G$6:$G$677,0)))</f>
        <v>0</v>
      </c>
      <c r="E104" s="57">
        <f>IF($A104="","",IF(_xlfn.XLOOKUP($A104,Korrelation!$D$4:$D$1197,Korrelation!H$4:H$1197,"-",0)="-",0,MATCH(_xlfn.XLOOKUP($A104,Korrelation!$D$4:$D$1197,Korrelation!H$4:H$1197,"",0),DMAV_Dienste!$F$6:$F$140,0)))</f>
        <v>0</v>
      </c>
      <c r="F104" s="57">
        <f>IF($A104="","",IF(_xlfn.XLOOKUP($A104,Korrelation!$D$4:$D$1197,Korrelation!I$4:I$1197,"-",0)="-",0,MATCH(_xlfn.XLOOKUP($A104,Korrelation!$D$4:$D$1197,Korrelation!I$4:I$1197,"",0),DMAV_Dienste!$F$6:$F$140,0)))</f>
        <v>0</v>
      </c>
      <c r="G104" s="57">
        <f>IF($A104="","",IF(_xlfn.XLOOKUP($A104,Korrelation!$D$4:$D$1197,Korrelation!J$4:J$1197,"-",0)="-",0,MATCH(_xlfn.XLOOKUP($A104,Korrelation!$D$4:$D$1197,Korrelation!J$4:J$1197,"",0),DMAV_Dienste!$F$6:$F$140,0)))</f>
        <v>0</v>
      </c>
      <c r="H104" s="57">
        <f>IF($A104="","",IF(_xlfn.XLOOKUP($A104,Korrelation!$D$4:$D$1197,Korrelation!K$4:K$1197,"-",0)="-",0,MATCH(_xlfn.XLOOKUP($A104,Korrelation!$D$4:$D$1197,Korrelation!K$4:K$1197,"",0),'DM01-AV-CH'!$A$6:$A$834,0)))</f>
        <v>54</v>
      </c>
      <c r="J104" s="54" t="str" cm="1">
        <f t="array" aca="1" ref="J104" ca="1">IF(B104=0,IF(E104=0,"",HYPERLINK("#"&amp;RIGHT(CELL("adresse",OFFSET(DMAV_Dienste!$M$6,E104-1,0)),LEN(CELL("adresse",OFFSET(DMAV_Dienste!$M$6,E104-1,0)))-FIND("]",CELL("adresse",OFFSET(DMAV_Dienste!$M$6,E104-1,0)))),"Dienst")),HYPERLINK("#"&amp;RIGHT(CELL("adresse",OFFSET(DMAV_Modell!$N$6,B104-1,0)),LEN(CELL("adresse",OFFSET(DMAV_Modell!$N$6,B104-1,0)))-FIND("]",CELL("adresse",OFFSET(DMAV_Modell!$N$6,B104-1,0)))),"Modell"))</f>
        <v/>
      </c>
      <c r="K104" s="61" t="str" cm="1">
        <f t="array" ref="K104">IF($B104=0,IF($E104=0,"",IF(INDEX(DMAV_Dienste!P$6:P$140,$E104)="","",INDEX(DMAV_Dienste!P$6:P$140,$E104))),IF(INDEX(DMAV_Modell!Q$6:Q$838,$B104)="","",INDEX(DMAV_Modell!Q$6:Q$838,$B104)))</f>
        <v/>
      </c>
      <c r="L104" s="62" t="str" cm="1">
        <f t="array" ref="L104">IF($B104=0,IF($E104=0,"",IF(INDEX(DMAV_Dienste!O$6:O$140,$E104)="","",INDEX(DMAV_Dienste!O$6:O$140,$E104))),IF(INDEX(DMAV_Modell!P$6:P$838,$B104)="","",INDEX(DMAV_Modell!P$6:P$838,$B104)))</f>
        <v/>
      </c>
      <c r="M104" s="62" t="str" cm="1">
        <f t="array" ref="M104">IF($B104=0,IF($E104=0,"",IF(INDEX(DMAV_Dienste!Q$6:Q$140,$E104)="","",INDEX(DMAV_Dienste!Q$6:Q$140,$E104))),IF(INDEX(DMAV_Modell!R$6:R$838,$B104)="","",INDEX(DMAV_Modell!R$6:R$838,$B104)))</f>
        <v/>
      </c>
      <c r="N104" s="62" t="str" cm="1">
        <f t="array" ref="N104">IF($B104=0,IF($E104=0,"",IF(INDEX(DMAV_Dienste!T$6:T$140,$E104)="","",INDEX(DMAV_Dienste!T$6:T$140,$E104))),IF(INDEX(DMAV_Modell!U$6:U$838,$B104)="","",INDEX(DMAV_Modell!U$6:U$838,$B104)))</f>
        <v/>
      </c>
      <c r="O104" s="63" t="str" cm="1">
        <f t="array" aca="1" ref="O104" ca="1">IF(C104=0,IF(F104=0,"",HYPERLINK("#"&amp;RIGHT(CELL("adresse",OFFSET(DMAV_Dienste!$M$6,F104-1,0)),LEN(CELL("adresse",OFFSET(DMAV_Dienste!$M$6,F104-1,0)))-FIND("]",CELL("adresse",OFFSET(DMAV_Dienste!$M$6,F104-1,0)))),"Structure")),HYPERLINK("#"&amp;RIGHT(CELL("adresse",OFFSET(DMAV_Modell!$N$6,C104-1,0)),LEN(CELL("adresse",OFFSET(DMAV_Modell!$N$6,C104-1,0)))-FIND("]",CELL("adresse",OFFSET(DMAV_Modell!$N$6,C104-1,0)))),"Structure"))</f>
        <v/>
      </c>
      <c r="P104" s="64" t="str" cm="1">
        <f t="array" aca="1" ref="P104" ca="1">IF(D104=0,IF(G104=0,"",HYPERLINK("#"&amp;RIGHT(CELL("adresse",OFFSET(DMAV_Dienste!$M$6,G104-1,0)),LEN(CELL("adresse",OFFSET(DMAV_Dienste!$M$6,G104-1,0)))-FIND("]",CELL("adresse",OFFSET(DMAV_Dienste!$M$6,G104-1,0)))),"Substructure")),HYPERLINK("#"&amp;RIGHT(CELL("adresse",OFFSET(DMAV_Modell!$N$6,D104-1,0)),LEN(CELL("adresse",OFFSET(DMAV_Modell!$N$6,D104-1,0)))-FIND("]",CELL("adresse",OFFSET(DMAV_Modell!$N$6,D104-1,0)))),"Substructure"))</f>
        <v/>
      </c>
      <c r="R104" s="80"/>
      <c r="T104" s="93"/>
      <c r="U104" s="94"/>
      <c r="V104" s="95"/>
      <c r="W104" s="96"/>
      <c r="Y104" s="85"/>
      <c r="Z104" s="86"/>
      <c r="AA104" s="87"/>
      <c r="AB104" s="88"/>
      <c r="AD104" s="77"/>
      <c r="AF104" s="54" t="str" cm="1">
        <f t="array" aca="1" ref="AF104" ca="1">IF(H104=0,"",HYPERLINK("#"&amp;RIGHT(CELL("adresse",OFFSET('DM01-AV-CH'!$G$6,H104-1,0)),LEN(CELL("adresse",OFFSET('DM01-AV-CH'!$G$6,H104-1,0)))-FIND("]",CELL("adresse",OFFSET('DM01-AV-CH'!$G$6,H104-1,0)))),"Modell"))</f>
        <v>Modell</v>
      </c>
      <c r="AG104" s="72" t="str" cm="1">
        <f t="array" ref="AG104">IF($H104=0,"",IF(INDEX('DM01-AV-CH'!G$6:G$834,$H104)="","",INDEX('DM01-AV-CH'!G$6:G$834,$H104)))</f>
        <v>FixpunkteKategorie1</v>
      </c>
      <c r="AH104" s="73" t="str" cm="1">
        <f t="array" ref="AH104">IF($H104=0,"",IF(INDEX('DM01-AV-CH'!H$6:H$834,$H104)="","",INDEX('DM01-AV-CH'!H$6:H$834,$H104)))</f>
        <v>LFP1Pos</v>
      </c>
      <c r="AI104" s="74" t="str" cm="1">
        <f t="array" ref="AI104">IF($H104=0,"",IF(INDEX('DM01-AV-CH'!I$6:I$834,$H104)="","",INDEX('DM01-AV-CH'!I$6:I$834,$H104)))</f>
        <v>LFP1Pos_von</v>
      </c>
    </row>
    <row r="105" spans="1:35" x14ac:dyDescent="0.25">
      <c r="A105" s="57">
        <v>100</v>
      </c>
      <c r="B105" s="57">
        <f>IF($A105="","",IF(_xlfn.XLOOKUP($A105,Korrelation!$D$4:$D$1197,Korrelation!E$4:E$1197,"-",0)="-",0,MATCH(_xlfn.XLOOKUP($A105,Korrelation!$D$4:$D$1197,Korrelation!E$4:E$1197,"",0),DMAV_Modell!$G$6:$G$677,0)))</f>
        <v>0</v>
      </c>
      <c r="C105" s="57">
        <f>IF($A105="","",IF(_xlfn.XLOOKUP($A105,Korrelation!$D$4:$D$1197,Korrelation!F$4:F$1197,"-",0)="-",0,MATCH(_xlfn.XLOOKUP($A105,Korrelation!$D$4:$D$1197,Korrelation!F$4:F$1197,"",0),DMAV_Modell!$G$6:$G$677,0)))</f>
        <v>0</v>
      </c>
      <c r="D105" s="57">
        <f>IF($A105="","",IF(_xlfn.XLOOKUP($A105,Korrelation!$D$4:$D$1197,Korrelation!G$4:G$1197,"-",0)="-",0,MATCH(_xlfn.XLOOKUP($A105,Korrelation!$D$4:$D$1197,Korrelation!G$4:G$1197,"",0),DMAV_Modell!$G$6:$G$677,0)))</f>
        <v>0</v>
      </c>
      <c r="E105" s="57">
        <f>IF($A105="","",IF(_xlfn.XLOOKUP($A105,Korrelation!$D$4:$D$1197,Korrelation!H$4:H$1197,"-",0)="-",0,MATCH(_xlfn.XLOOKUP($A105,Korrelation!$D$4:$D$1197,Korrelation!H$4:H$1197,"",0),DMAV_Dienste!$F$6:$F$140,0)))</f>
        <v>0</v>
      </c>
      <c r="F105" s="57">
        <f>IF($A105="","",IF(_xlfn.XLOOKUP($A105,Korrelation!$D$4:$D$1197,Korrelation!I$4:I$1197,"-",0)="-",0,MATCH(_xlfn.XLOOKUP($A105,Korrelation!$D$4:$D$1197,Korrelation!I$4:I$1197,"",0),DMAV_Dienste!$F$6:$F$140,0)))</f>
        <v>0</v>
      </c>
      <c r="G105" s="57">
        <f>IF($A105="","",IF(_xlfn.XLOOKUP($A105,Korrelation!$D$4:$D$1197,Korrelation!J$4:J$1197,"-",0)="-",0,MATCH(_xlfn.XLOOKUP($A105,Korrelation!$D$4:$D$1197,Korrelation!J$4:J$1197,"",0),DMAV_Dienste!$F$6:$F$140,0)))</f>
        <v>0</v>
      </c>
      <c r="H105" s="57">
        <f>IF($A105="","",IF(_xlfn.XLOOKUP($A105,Korrelation!$D$4:$D$1197,Korrelation!K$4:K$1197,"-",0)="-",0,MATCH(_xlfn.XLOOKUP($A105,Korrelation!$D$4:$D$1197,Korrelation!K$4:K$1197,"",0),'DM01-AV-CH'!$A$6:$A$834,0)))</f>
        <v>55</v>
      </c>
      <c r="J105" s="54" t="str" cm="1">
        <f t="array" aca="1" ref="J105" ca="1">IF(B105=0,IF(E105=0,"",HYPERLINK("#"&amp;RIGHT(CELL("adresse",OFFSET(DMAV_Dienste!$M$6,E105-1,0)),LEN(CELL("adresse",OFFSET(DMAV_Dienste!$M$6,E105-1,0)))-FIND("]",CELL("adresse",OFFSET(DMAV_Dienste!$M$6,E105-1,0)))),"Dienst")),HYPERLINK("#"&amp;RIGHT(CELL("adresse",OFFSET(DMAV_Modell!$N$6,B105-1,0)),LEN(CELL("adresse",OFFSET(DMAV_Modell!$N$6,B105-1,0)))-FIND("]",CELL("adresse",OFFSET(DMAV_Modell!$N$6,B105-1,0)))),"Modell"))</f>
        <v/>
      </c>
      <c r="K105" s="61" t="str" cm="1">
        <f t="array" ref="K105">IF($B105=0,IF($E105=0,"",IF(INDEX(DMAV_Dienste!P$6:P$140,$E105)="","",INDEX(DMAV_Dienste!P$6:P$140,$E105))),IF(INDEX(DMAV_Modell!Q$6:Q$838,$B105)="","",INDEX(DMAV_Modell!Q$6:Q$838,$B105)))</f>
        <v/>
      </c>
      <c r="L105" s="62" t="str" cm="1">
        <f t="array" ref="L105">IF($B105=0,IF($E105=0,"",IF(INDEX(DMAV_Dienste!O$6:O$140,$E105)="","",INDEX(DMAV_Dienste!O$6:O$140,$E105))),IF(INDEX(DMAV_Modell!P$6:P$838,$B105)="","",INDEX(DMAV_Modell!P$6:P$838,$B105)))</f>
        <v/>
      </c>
      <c r="M105" s="62" t="str" cm="1">
        <f t="array" ref="M105">IF($B105=0,IF($E105=0,"",IF(INDEX(DMAV_Dienste!Q$6:Q$140,$E105)="","",INDEX(DMAV_Dienste!Q$6:Q$140,$E105))),IF(INDEX(DMAV_Modell!R$6:R$838,$B105)="","",INDEX(DMAV_Modell!R$6:R$838,$B105)))</f>
        <v/>
      </c>
      <c r="N105" s="62" t="str" cm="1">
        <f t="array" ref="N105">IF($B105=0,IF($E105=0,"",IF(INDEX(DMAV_Dienste!T$6:T$140,$E105)="","",INDEX(DMAV_Dienste!T$6:T$140,$E105))),IF(INDEX(DMAV_Modell!U$6:U$838,$B105)="","",INDEX(DMAV_Modell!U$6:U$838,$B105)))</f>
        <v/>
      </c>
      <c r="O105" s="63" t="str" cm="1">
        <f t="array" aca="1" ref="O105" ca="1">IF(C105=0,IF(F105=0,"",HYPERLINK("#"&amp;RIGHT(CELL("adresse",OFFSET(DMAV_Dienste!$M$6,F105-1,0)),LEN(CELL("adresse",OFFSET(DMAV_Dienste!$M$6,F105-1,0)))-FIND("]",CELL("adresse",OFFSET(DMAV_Dienste!$M$6,F105-1,0)))),"Structure")),HYPERLINK("#"&amp;RIGHT(CELL("adresse",OFFSET(DMAV_Modell!$N$6,C105-1,0)),LEN(CELL("adresse",OFFSET(DMAV_Modell!$N$6,C105-1,0)))-FIND("]",CELL("adresse",OFFSET(DMAV_Modell!$N$6,C105-1,0)))),"Structure"))</f>
        <v/>
      </c>
      <c r="P105" s="64" t="str" cm="1">
        <f t="array" aca="1" ref="P105" ca="1">IF(D105=0,IF(G105=0,"",HYPERLINK("#"&amp;RIGHT(CELL("adresse",OFFSET(DMAV_Dienste!$M$6,G105-1,0)),LEN(CELL("adresse",OFFSET(DMAV_Dienste!$M$6,G105-1,0)))-FIND("]",CELL("adresse",OFFSET(DMAV_Dienste!$M$6,G105-1,0)))),"Substructure")),HYPERLINK("#"&amp;RIGHT(CELL("adresse",OFFSET(DMAV_Modell!$N$6,D105-1,0)),LEN(CELL("adresse",OFFSET(DMAV_Modell!$N$6,D105-1,0)))-FIND("]",CELL("adresse",OFFSET(DMAV_Modell!$N$6,D105-1,0)))),"Substructure"))</f>
        <v/>
      </c>
      <c r="R105" s="80"/>
      <c r="T105" s="93"/>
      <c r="U105" s="94"/>
      <c r="V105" s="95"/>
      <c r="W105" s="96"/>
      <c r="Y105" s="85"/>
      <c r="Z105" s="86"/>
      <c r="AA105" s="87"/>
      <c r="AB105" s="88"/>
      <c r="AD105" s="77"/>
      <c r="AF105" s="54" t="str" cm="1">
        <f t="array" aca="1" ref="AF105" ca="1">IF(H105=0,"",HYPERLINK("#"&amp;RIGHT(CELL("adresse",OFFSET('DM01-AV-CH'!$G$6,H105-1,0)),LEN(CELL("adresse",OFFSET('DM01-AV-CH'!$G$6,H105-1,0)))-FIND("]",CELL("adresse",OFFSET('DM01-AV-CH'!$G$6,H105-1,0)))),"Modell"))</f>
        <v>Modell</v>
      </c>
      <c r="AG105" s="72" t="str" cm="1">
        <f t="array" ref="AG105">IF($H105=0,"",IF(INDEX('DM01-AV-CH'!G$6:G$834,$H105)="","",INDEX('DM01-AV-CH'!G$6:G$834,$H105)))</f>
        <v>FixpunkteKategorie1</v>
      </c>
      <c r="AH105" s="73" t="str" cm="1">
        <f t="array" ref="AH105">IF($H105=0,"",IF(INDEX('DM01-AV-CH'!H$6:H$834,$H105)="","",INDEX('DM01-AV-CH'!H$6:H$834,$H105)))</f>
        <v>LFP1Pos</v>
      </c>
      <c r="AI105" s="74" t="str" cm="1">
        <f t="array" ref="AI105">IF($H105=0,"",IF(INDEX('DM01-AV-CH'!I$6:I$834,$H105)="","",INDEX('DM01-AV-CH'!I$6:I$834,$H105)))</f>
        <v>Pos</v>
      </c>
    </row>
    <row r="106" spans="1:35" x14ac:dyDescent="0.25">
      <c r="A106" s="57">
        <v>101</v>
      </c>
      <c r="B106" s="57">
        <f>IF($A106="","",IF(_xlfn.XLOOKUP($A106,Korrelation!$D$4:$D$1197,Korrelation!E$4:E$1197,"-",0)="-",0,MATCH(_xlfn.XLOOKUP($A106,Korrelation!$D$4:$D$1197,Korrelation!E$4:E$1197,"",0),DMAV_Modell!$G$6:$G$677,0)))</f>
        <v>0</v>
      </c>
      <c r="C106" s="57">
        <f>IF($A106="","",IF(_xlfn.XLOOKUP($A106,Korrelation!$D$4:$D$1197,Korrelation!F$4:F$1197,"-",0)="-",0,MATCH(_xlfn.XLOOKUP($A106,Korrelation!$D$4:$D$1197,Korrelation!F$4:F$1197,"",0),DMAV_Modell!$G$6:$G$677,0)))</f>
        <v>0</v>
      </c>
      <c r="D106" s="57">
        <f>IF($A106="","",IF(_xlfn.XLOOKUP($A106,Korrelation!$D$4:$D$1197,Korrelation!G$4:G$1197,"-",0)="-",0,MATCH(_xlfn.XLOOKUP($A106,Korrelation!$D$4:$D$1197,Korrelation!G$4:G$1197,"",0),DMAV_Modell!$G$6:$G$677,0)))</f>
        <v>0</v>
      </c>
      <c r="E106" s="57">
        <f>IF($A106="","",IF(_xlfn.XLOOKUP($A106,Korrelation!$D$4:$D$1197,Korrelation!H$4:H$1197,"-",0)="-",0,MATCH(_xlfn.XLOOKUP($A106,Korrelation!$D$4:$D$1197,Korrelation!H$4:H$1197,"",0),DMAV_Dienste!$F$6:$F$140,0)))</f>
        <v>0</v>
      </c>
      <c r="F106" s="57">
        <f>IF($A106="","",IF(_xlfn.XLOOKUP($A106,Korrelation!$D$4:$D$1197,Korrelation!I$4:I$1197,"-",0)="-",0,MATCH(_xlfn.XLOOKUP($A106,Korrelation!$D$4:$D$1197,Korrelation!I$4:I$1197,"",0),DMAV_Dienste!$F$6:$F$140,0)))</f>
        <v>0</v>
      </c>
      <c r="G106" s="57">
        <f>IF($A106="","",IF(_xlfn.XLOOKUP($A106,Korrelation!$D$4:$D$1197,Korrelation!J$4:J$1197,"-",0)="-",0,MATCH(_xlfn.XLOOKUP($A106,Korrelation!$D$4:$D$1197,Korrelation!J$4:J$1197,"",0),DMAV_Dienste!$F$6:$F$140,0)))</f>
        <v>0</v>
      </c>
      <c r="H106" s="57">
        <f>IF($A106="","",IF(_xlfn.XLOOKUP($A106,Korrelation!$D$4:$D$1197,Korrelation!K$4:K$1197,"-",0)="-",0,MATCH(_xlfn.XLOOKUP($A106,Korrelation!$D$4:$D$1197,Korrelation!K$4:K$1197,"",0),'DM01-AV-CH'!$A$6:$A$834,0)))</f>
        <v>56</v>
      </c>
      <c r="J106" s="54" t="str" cm="1">
        <f t="array" aca="1" ref="J106" ca="1">IF(B106=0,IF(E106=0,"",HYPERLINK("#"&amp;RIGHT(CELL("adresse",OFFSET(DMAV_Dienste!$M$6,E106-1,0)),LEN(CELL("adresse",OFFSET(DMAV_Dienste!$M$6,E106-1,0)))-FIND("]",CELL("adresse",OFFSET(DMAV_Dienste!$M$6,E106-1,0)))),"Dienst")),HYPERLINK("#"&amp;RIGHT(CELL("adresse",OFFSET(DMAV_Modell!$N$6,B106-1,0)),LEN(CELL("adresse",OFFSET(DMAV_Modell!$N$6,B106-1,0)))-FIND("]",CELL("adresse",OFFSET(DMAV_Modell!$N$6,B106-1,0)))),"Modell"))</f>
        <v/>
      </c>
      <c r="K106" s="61" t="str" cm="1">
        <f t="array" ref="K106">IF($B106=0,IF($E106=0,"",IF(INDEX(DMAV_Dienste!P$6:P$140,$E106)="","",INDEX(DMAV_Dienste!P$6:P$140,$E106))),IF(INDEX(DMAV_Modell!Q$6:Q$838,$B106)="","",INDEX(DMAV_Modell!Q$6:Q$838,$B106)))</f>
        <v/>
      </c>
      <c r="L106" s="62" t="str" cm="1">
        <f t="array" ref="L106">IF($B106=0,IF($E106=0,"",IF(INDEX(DMAV_Dienste!O$6:O$140,$E106)="","",INDEX(DMAV_Dienste!O$6:O$140,$E106))),IF(INDEX(DMAV_Modell!P$6:P$838,$B106)="","",INDEX(DMAV_Modell!P$6:P$838,$B106)))</f>
        <v/>
      </c>
      <c r="M106" s="62" t="str" cm="1">
        <f t="array" ref="M106">IF($B106=0,IF($E106=0,"",IF(INDEX(DMAV_Dienste!Q$6:Q$140,$E106)="","",INDEX(DMAV_Dienste!Q$6:Q$140,$E106))),IF(INDEX(DMAV_Modell!R$6:R$838,$B106)="","",INDEX(DMAV_Modell!R$6:R$838,$B106)))</f>
        <v/>
      </c>
      <c r="N106" s="62" t="str" cm="1">
        <f t="array" ref="N106">IF($B106=0,IF($E106=0,"",IF(INDEX(DMAV_Dienste!T$6:T$140,$E106)="","",INDEX(DMAV_Dienste!T$6:T$140,$E106))),IF(INDEX(DMAV_Modell!U$6:U$838,$B106)="","",INDEX(DMAV_Modell!U$6:U$838,$B106)))</f>
        <v/>
      </c>
      <c r="O106" s="63" t="str" cm="1">
        <f t="array" aca="1" ref="O106" ca="1">IF(C106=0,IF(F106=0,"",HYPERLINK("#"&amp;RIGHT(CELL("adresse",OFFSET(DMAV_Dienste!$M$6,F106-1,0)),LEN(CELL("adresse",OFFSET(DMAV_Dienste!$M$6,F106-1,0)))-FIND("]",CELL("adresse",OFFSET(DMAV_Dienste!$M$6,F106-1,0)))),"Structure")),HYPERLINK("#"&amp;RIGHT(CELL("adresse",OFFSET(DMAV_Modell!$N$6,C106-1,0)),LEN(CELL("adresse",OFFSET(DMAV_Modell!$N$6,C106-1,0)))-FIND("]",CELL("adresse",OFFSET(DMAV_Modell!$N$6,C106-1,0)))),"Structure"))</f>
        <v/>
      </c>
      <c r="P106" s="64" t="str" cm="1">
        <f t="array" aca="1" ref="P106" ca="1">IF(D106=0,IF(G106=0,"",HYPERLINK("#"&amp;RIGHT(CELL("adresse",OFFSET(DMAV_Dienste!$M$6,G106-1,0)),LEN(CELL("adresse",OFFSET(DMAV_Dienste!$M$6,G106-1,0)))-FIND("]",CELL("adresse",OFFSET(DMAV_Dienste!$M$6,G106-1,0)))),"Substructure")),HYPERLINK("#"&amp;RIGHT(CELL("adresse",OFFSET(DMAV_Modell!$N$6,D106-1,0)),LEN(CELL("adresse",OFFSET(DMAV_Modell!$N$6,D106-1,0)))-FIND("]",CELL("adresse",OFFSET(DMAV_Modell!$N$6,D106-1,0)))),"Substructure"))</f>
        <v/>
      </c>
      <c r="R106" s="80"/>
      <c r="T106" s="93"/>
      <c r="U106" s="94"/>
      <c r="V106" s="95"/>
      <c r="W106" s="96"/>
      <c r="Y106" s="85"/>
      <c r="Z106" s="86"/>
      <c r="AA106" s="87"/>
      <c r="AB106" s="88"/>
      <c r="AD106" s="77"/>
      <c r="AF106" s="54" t="str" cm="1">
        <f t="array" aca="1" ref="AF106" ca="1">IF(H106=0,"",HYPERLINK("#"&amp;RIGHT(CELL("adresse",OFFSET('DM01-AV-CH'!$G$6,H106-1,0)),LEN(CELL("adresse",OFFSET('DM01-AV-CH'!$G$6,H106-1,0)))-FIND("]",CELL("adresse",OFFSET('DM01-AV-CH'!$G$6,H106-1,0)))),"Modell"))</f>
        <v>Modell</v>
      </c>
      <c r="AG106" s="72" t="str" cm="1">
        <f t="array" ref="AG106">IF($H106=0,"",IF(INDEX('DM01-AV-CH'!G$6:G$834,$H106)="","",INDEX('DM01-AV-CH'!G$6:G$834,$H106)))</f>
        <v>FixpunkteKategorie1</v>
      </c>
      <c r="AH106" s="73" t="str" cm="1">
        <f t="array" ref="AH106">IF($H106=0,"",IF(INDEX('DM01-AV-CH'!H$6:H$834,$H106)="","",INDEX('DM01-AV-CH'!H$6:H$834,$H106)))</f>
        <v>LFP1Pos</v>
      </c>
      <c r="AI106" s="74" t="str" cm="1">
        <f t="array" ref="AI106">IF($H106=0,"",IF(INDEX('DM01-AV-CH'!I$6:I$834,$H106)="","",INDEX('DM01-AV-CH'!I$6:I$834,$H106)))</f>
        <v>Ori</v>
      </c>
    </row>
    <row r="107" spans="1:35" x14ac:dyDescent="0.25">
      <c r="A107" s="57">
        <v>102</v>
      </c>
      <c r="B107" s="57">
        <f>IF($A107="","",IF(_xlfn.XLOOKUP($A107,Korrelation!$D$4:$D$1197,Korrelation!E$4:E$1197,"-",0)="-",0,MATCH(_xlfn.XLOOKUP($A107,Korrelation!$D$4:$D$1197,Korrelation!E$4:E$1197,"",0),DMAV_Modell!$G$6:$G$677,0)))</f>
        <v>0</v>
      </c>
      <c r="C107" s="57">
        <f>IF($A107="","",IF(_xlfn.XLOOKUP($A107,Korrelation!$D$4:$D$1197,Korrelation!F$4:F$1197,"-",0)="-",0,MATCH(_xlfn.XLOOKUP($A107,Korrelation!$D$4:$D$1197,Korrelation!F$4:F$1197,"",0),DMAV_Modell!$G$6:$G$677,0)))</f>
        <v>0</v>
      </c>
      <c r="D107" s="57">
        <f>IF($A107="","",IF(_xlfn.XLOOKUP($A107,Korrelation!$D$4:$D$1197,Korrelation!G$4:G$1197,"-",0)="-",0,MATCH(_xlfn.XLOOKUP($A107,Korrelation!$D$4:$D$1197,Korrelation!G$4:G$1197,"",0),DMAV_Modell!$G$6:$G$677,0)))</f>
        <v>0</v>
      </c>
      <c r="E107" s="57">
        <f>IF($A107="","",IF(_xlfn.XLOOKUP($A107,Korrelation!$D$4:$D$1197,Korrelation!H$4:H$1197,"-",0)="-",0,MATCH(_xlfn.XLOOKUP($A107,Korrelation!$D$4:$D$1197,Korrelation!H$4:H$1197,"",0),DMAV_Dienste!$F$6:$F$140,0)))</f>
        <v>0</v>
      </c>
      <c r="F107" s="57">
        <f>IF($A107="","",IF(_xlfn.XLOOKUP($A107,Korrelation!$D$4:$D$1197,Korrelation!I$4:I$1197,"-",0)="-",0,MATCH(_xlfn.XLOOKUP($A107,Korrelation!$D$4:$D$1197,Korrelation!I$4:I$1197,"",0),DMAV_Dienste!$F$6:$F$140,0)))</f>
        <v>0</v>
      </c>
      <c r="G107" s="57">
        <f>IF($A107="","",IF(_xlfn.XLOOKUP($A107,Korrelation!$D$4:$D$1197,Korrelation!J$4:J$1197,"-",0)="-",0,MATCH(_xlfn.XLOOKUP($A107,Korrelation!$D$4:$D$1197,Korrelation!J$4:J$1197,"",0),DMAV_Dienste!$F$6:$F$140,0)))</f>
        <v>0</v>
      </c>
      <c r="H107" s="57">
        <f>IF($A107="","",IF(_xlfn.XLOOKUP($A107,Korrelation!$D$4:$D$1197,Korrelation!K$4:K$1197,"-",0)="-",0,MATCH(_xlfn.XLOOKUP($A107,Korrelation!$D$4:$D$1197,Korrelation!K$4:K$1197,"",0),'DM01-AV-CH'!$A$6:$A$834,0)))</f>
        <v>57</v>
      </c>
      <c r="J107" s="54" t="str" cm="1">
        <f t="array" aca="1" ref="J107" ca="1">IF(B107=0,IF(E107=0,"",HYPERLINK("#"&amp;RIGHT(CELL("adresse",OFFSET(DMAV_Dienste!$M$6,E107-1,0)),LEN(CELL("adresse",OFFSET(DMAV_Dienste!$M$6,E107-1,0)))-FIND("]",CELL("adresse",OFFSET(DMAV_Dienste!$M$6,E107-1,0)))),"Dienst")),HYPERLINK("#"&amp;RIGHT(CELL("adresse",OFFSET(DMAV_Modell!$N$6,B107-1,0)),LEN(CELL("adresse",OFFSET(DMAV_Modell!$N$6,B107-1,0)))-FIND("]",CELL("adresse",OFFSET(DMAV_Modell!$N$6,B107-1,0)))),"Modell"))</f>
        <v/>
      </c>
      <c r="K107" s="61" t="str" cm="1">
        <f t="array" ref="K107">IF($B107=0,IF($E107=0,"",IF(INDEX(DMAV_Dienste!P$6:P$140,$E107)="","",INDEX(DMAV_Dienste!P$6:P$140,$E107))),IF(INDEX(DMAV_Modell!Q$6:Q$838,$B107)="","",INDEX(DMAV_Modell!Q$6:Q$838,$B107)))</f>
        <v/>
      </c>
      <c r="L107" s="62" t="str" cm="1">
        <f t="array" ref="L107">IF($B107=0,IF($E107=0,"",IF(INDEX(DMAV_Dienste!O$6:O$140,$E107)="","",INDEX(DMAV_Dienste!O$6:O$140,$E107))),IF(INDEX(DMAV_Modell!P$6:P$838,$B107)="","",INDEX(DMAV_Modell!P$6:P$838,$B107)))</f>
        <v/>
      </c>
      <c r="M107" s="62" t="str" cm="1">
        <f t="array" ref="M107">IF($B107=0,IF($E107=0,"",IF(INDEX(DMAV_Dienste!Q$6:Q$140,$E107)="","",INDEX(DMAV_Dienste!Q$6:Q$140,$E107))),IF(INDEX(DMAV_Modell!R$6:R$838,$B107)="","",INDEX(DMAV_Modell!R$6:R$838,$B107)))</f>
        <v/>
      </c>
      <c r="N107" s="62" t="str" cm="1">
        <f t="array" ref="N107">IF($B107=0,IF($E107=0,"",IF(INDEX(DMAV_Dienste!T$6:T$140,$E107)="","",INDEX(DMAV_Dienste!T$6:T$140,$E107))),IF(INDEX(DMAV_Modell!U$6:U$838,$B107)="","",INDEX(DMAV_Modell!U$6:U$838,$B107)))</f>
        <v/>
      </c>
      <c r="O107" s="63" t="str" cm="1">
        <f t="array" aca="1" ref="O107" ca="1">IF(C107=0,IF(F107=0,"",HYPERLINK("#"&amp;RIGHT(CELL("adresse",OFFSET(DMAV_Dienste!$M$6,F107-1,0)),LEN(CELL("adresse",OFFSET(DMAV_Dienste!$M$6,F107-1,0)))-FIND("]",CELL("adresse",OFFSET(DMAV_Dienste!$M$6,F107-1,0)))),"Structure")),HYPERLINK("#"&amp;RIGHT(CELL("adresse",OFFSET(DMAV_Modell!$N$6,C107-1,0)),LEN(CELL("adresse",OFFSET(DMAV_Modell!$N$6,C107-1,0)))-FIND("]",CELL("adresse",OFFSET(DMAV_Modell!$N$6,C107-1,0)))),"Structure"))</f>
        <v/>
      </c>
      <c r="P107" s="64" t="str" cm="1">
        <f t="array" aca="1" ref="P107" ca="1">IF(D107=0,IF(G107=0,"",HYPERLINK("#"&amp;RIGHT(CELL("adresse",OFFSET(DMAV_Dienste!$M$6,G107-1,0)),LEN(CELL("adresse",OFFSET(DMAV_Dienste!$M$6,G107-1,0)))-FIND("]",CELL("adresse",OFFSET(DMAV_Dienste!$M$6,G107-1,0)))),"Substructure")),HYPERLINK("#"&amp;RIGHT(CELL("adresse",OFFSET(DMAV_Modell!$N$6,D107-1,0)),LEN(CELL("adresse",OFFSET(DMAV_Modell!$N$6,D107-1,0)))-FIND("]",CELL("adresse",OFFSET(DMAV_Modell!$N$6,D107-1,0)))),"Substructure"))</f>
        <v/>
      </c>
      <c r="R107" s="80"/>
      <c r="T107" s="93"/>
      <c r="U107" s="94"/>
      <c r="V107" s="95"/>
      <c r="W107" s="96"/>
      <c r="Y107" s="85"/>
      <c r="Z107" s="86"/>
      <c r="AA107" s="87"/>
      <c r="AB107" s="88"/>
      <c r="AD107" s="77"/>
      <c r="AF107" s="54" t="str" cm="1">
        <f t="array" aca="1" ref="AF107" ca="1">IF(H107=0,"",HYPERLINK("#"&amp;RIGHT(CELL("adresse",OFFSET('DM01-AV-CH'!$G$6,H107-1,0)),LEN(CELL("adresse",OFFSET('DM01-AV-CH'!$G$6,H107-1,0)))-FIND("]",CELL("adresse",OFFSET('DM01-AV-CH'!$G$6,H107-1,0)))),"Modell"))</f>
        <v>Modell</v>
      </c>
      <c r="AG107" s="72" t="str" cm="1">
        <f t="array" ref="AG107">IF($H107=0,"",IF(INDEX('DM01-AV-CH'!G$6:G$834,$H107)="","",INDEX('DM01-AV-CH'!G$6:G$834,$H107)))</f>
        <v>FixpunkteKategorie1</v>
      </c>
      <c r="AH107" s="73" t="str" cm="1">
        <f t="array" ref="AH107">IF($H107=0,"",IF(INDEX('DM01-AV-CH'!H$6:H$834,$H107)="","",INDEX('DM01-AV-CH'!H$6:H$834,$H107)))</f>
        <v>LFP1Pos</v>
      </c>
      <c r="AI107" s="74" t="str" cm="1">
        <f t="array" ref="AI107">IF($H107=0,"",IF(INDEX('DM01-AV-CH'!I$6:I$834,$H107)="","",INDEX('DM01-AV-CH'!I$6:I$834,$H107)))</f>
        <v>HAli</v>
      </c>
    </row>
    <row r="108" spans="1:35" x14ac:dyDescent="0.25">
      <c r="A108" s="57">
        <v>103</v>
      </c>
      <c r="B108" s="57">
        <f>IF($A108="","",IF(_xlfn.XLOOKUP($A108,Korrelation!$D$4:$D$1197,Korrelation!E$4:E$1197,"-",0)="-",0,MATCH(_xlfn.XLOOKUP($A108,Korrelation!$D$4:$D$1197,Korrelation!E$4:E$1197,"",0),DMAV_Modell!$G$6:$G$677,0)))</f>
        <v>0</v>
      </c>
      <c r="C108" s="57">
        <f>IF($A108="","",IF(_xlfn.XLOOKUP($A108,Korrelation!$D$4:$D$1197,Korrelation!F$4:F$1197,"-",0)="-",0,MATCH(_xlfn.XLOOKUP($A108,Korrelation!$D$4:$D$1197,Korrelation!F$4:F$1197,"",0),DMAV_Modell!$G$6:$G$677,0)))</f>
        <v>0</v>
      </c>
      <c r="D108" s="57">
        <f>IF($A108="","",IF(_xlfn.XLOOKUP($A108,Korrelation!$D$4:$D$1197,Korrelation!G$4:G$1197,"-",0)="-",0,MATCH(_xlfn.XLOOKUP($A108,Korrelation!$D$4:$D$1197,Korrelation!G$4:G$1197,"",0),DMAV_Modell!$G$6:$G$677,0)))</f>
        <v>0</v>
      </c>
      <c r="E108" s="57">
        <f>IF($A108="","",IF(_xlfn.XLOOKUP($A108,Korrelation!$D$4:$D$1197,Korrelation!H$4:H$1197,"-",0)="-",0,MATCH(_xlfn.XLOOKUP($A108,Korrelation!$D$4:$D$1197,Korrelation!H$4:H$1197,"",0),DMAV_Dienste!$F$6:$F$140,0)))</f>
        <v>0</v>
      </c>
      <c r="F108" s="57">
        <f>IF($A108="","",IF(_xlfn.XLOOKUP($A108,Korrelation!$D$4:$D$1197,Korrelation!I$4:I$1197,"-",0)="-",0,MATCH(_xlfn.XLOOKUP($A108,Korrelation!$D$4:$D$1197,Korrelation!I$4:I$1197,"",0),DMAV_Dienste!$F$6:$F$140,0)))</f>
        <v>0</v>
      </c>
      <c r="G108" s="57">
        <f>IF($A108="","",IF(_xlfn.XLOOKUP($A108,Korrelation!$D$4:$D$1197,Korrelation!J$4:J$1197,"-",0)="-",0,MATCH(_xlfn.XLOOKUP($A108,Korrelation!$D$4:$D$1197,Korrelation!J$4:J$1197,"",0),DMAV_Dienste!$F$6:$F$140,0)))</f>
        <v>0</v>
      </c>
      <c r="H108" s="57">
        <f>IF($A108="","",IF(_xlfn.XLOOKUP($A108,Korrelation!$D$4:$D$1197,Korrelation!K$4:K$1197,"-",0)="-",0,MATCH(_xlfn.XLOOKUP($A108,Korrelation!$D$4:$D$1197,Korrelation!K$4:K$1197,"",0),'DM01-AV-CH'!$A$6:$A$834,0)))</f>
        <v>58</v>
      </c>
      <c r="J108" s="54" t="str" cm="1">
        <f t="array" aca="1" ref="J108" ca="1">IF(B108=0,IF(E108=0,"",HYPERLINK("#"&amp;RIGHT(CELL("adresse",OFFSET(DMAV_Dienste!$M$6,E108-1,0)),LEN(CELL("adresse",OFFSET(DMAV_Dienste!$M$6,E108-1,0)))-FIND("]",CELL("adresse",OFFSET(DMAV_Dienste!$M$6,E108-1,0)))),"Dienst")),HYPERLINK("#"&amp;RIGHT(CELL("adresse",OFFSET(DMAV_Modell!$N$6,B108-1,0)),LEN(CELL("adresse",OFFSET(DMAV_Modell!$N$6,B108-1,0)))-FIND("]",CELL("adresse",OFFSET(DMAV_Modell!$N$6,B108-1,0)))),"Modell"))</f>
        <v/>
      </c>
      <c r="K108" s="61" t="str" cm="1">
        <f t="array" ref="K108">IF($B108=0,IF($E108=0,"",IF(INDEX(DMAV_Dienste!P$6:P$140,$E108)="","",INDEX(DMAV_Dienste!P$6:P$140,$E108))),IF(INDEX(DMAV_Modell!Q$6:Q$838,$B108)="","",INDEX(DMAV_Modell!Q$6:Q$838,$B108)))</f>
        <v/>
      </c>
      <c r="L108" s="62" t="str" cm="1">
        <f t="array" ref="L108">IF($B108=0,IF($E108=0,"",IF(INDEX(DMAV_Dienste!O$6:O$140,$E108)="","",INDEX(DMAV_Dienste!O$6:O$140,$E108))),IF(INDEX(DMAV_Modell!P$6:P$838,$B108)="","",INDEX(DMAV_Modell!P$6:P$838,$B108)))</f>
        <v/>
      </c>
      <c r="M108" s="62" t="str" cm="1">
        <f t="array" ref="M108">IF($B108=0,IF($E108=0,"",IF(INDEX(DMAV_Dienste!Q$6:Q$140,$E108)="","",INDEX(DMAV_Dienste!Q$6:Q$140,$E108))),IF(INDEX(DMAV_Modell!R$6:R$838,$B108)="","",INDEX(DMAV_Modell!R$6:R$838,$B108)))</f>
        <v/>
      </c>
      <c r="N108" s="62" t="str" cm="1">
        <f t="array" ref="N108">IF($B108=0,IF($E108=0,"",IF(INDEX(DMAV_Dienste!T$6:T$140,$E108)="","",INDEX(DMAV_Dienste!T$6:T$140,$E108))),IF(INDEX(DMAV_Modell!U$6:U$838,$B108)="","",INDEX(DMAV_Modell!U$6:U$838,$B108)))</f>
        <v/>
      </c>
      <c r="O108" s="63" t="str" cm="1">
        <f t="array" aca="1" ref="O108" ca="1">IF(C108=0,IF(F108=0,"",HYPERLINK("#"&amp;RIGHT(CELL("adresse",OFFSET(DMAV_Dienste!$M$6,F108-1,0)),LEN(CELL("adresse",OFFSET(DMAV_Dienste!$M$6,F108-1,0)))-FIND("]",CELL("adresse",OFFSET(DMAV_Dienste!$M$6,F108-1,0)))),"Structure")),HYPERLINK("#"&amp;RIGHT(CELL("adresse",OFFSET(DMAV_Modell!$N$6,C108-1,0)),LEN(CELL("adresse",OFFSET(DMAV_Modell!$N$6,C108-1,0)))-FIND("]",CELL("adresse",OFFSET(DMAV_Modell!$N$6,C108-1,0)))),"Structure"))</f>
        <v/>
      </c>
      <c r="P108" s="64" t="str" cm="1">
        <f t="array" aca="1" ref="P108" ca="1">IF(D108=0,IF(G108=0,"",HYPERLINK("#"&amp;RIGHT(CELL("adresse",OFFSET(DMAV_Dienste!$M$6,G108-1,0)),LEN(CELL("adresse",OFFSET(DMAV_Dienste!$M$6,G108-1,0)))-FIND("]",CELL("adresse",OFFSET(DMAV_Dienste!$M$6,G108-1,0)))),"Substructure")),HYPERLINK("#"&amp;RIGHT(CELL("adresse",OFFSET(DMAV_Modell!$N$6,D108-1,0)),LEN(CELL("adresse",OFFSET(DMAV_Modell!$N$6,D108-1,0)))-FIND("]",CELL("adresse",OFFSET(DMAV_Modell!$N$6,D108-1,0)))),"Substructure"))</f>
        <v/>
      </c>
      <c r="R108" s="80"/>
      <c r="T108" s="93"/>
      <c r="U108" s="94"/>
      <c r="V108" s="95"/>
      <c r="W108" s="96"/>
      <c r="Y108" s="85"/>
      <c r="Z108" s="86"/>
      <c r="AA108" s="87"/>
      <c r="AB108" s="88"/>
      <c r="AD108" s="77"/>
      <c r="AF108" s="54" t="str" cm="1">
        <f t="array" aca="1" ref="AF108" ca="1">IF(H108=0,"",HYPERLINK("#"&amp;RIGHT(CELL("adresse",OFFSET('DM01-AV-CH'!$G$6,H108-1,0)),LEN(CELL("adresse",OFFSET('DM01-AV-CH'!$G$6,H108-1,0)))-FIND("]",CELL("adresse",OFFSET('DM01-AV-CH'!$G$6,H108-1,0)))),"Modell"))</f>
        <v>Modell</v>
      </c>
      <c r="AG108" s="72" t="str" cm="1">
        <f t="array" ref="AG108">IF($H108=0,"",IF(INDEX('DM01-AV-CH'!G$6:G$834,$H108)="","",INDEX('DM01-AV-CH'!G$6:G$834,$H108)))</f>
        <v>FixpunkteKategorie1</v>
      </c>
      <c r="AH108" s="73" t="str" cm="1">
        <f t="array" ref="AH108">IF($H108=0,"",IF(INDEX('DM01-AV-CH'!H$6:H$834,$H108)="","",INDEX('DM01-AV-CH'!H$6:H$834,$H108)))</f>
        <v>LFP1Pos</v>
      </c>
      <c r="AI108" s="74" t="str" cm="1">
        <f t="array" ref="AI108">IF($H108=0,"",IF(INDEX('DM01-AV-CH'!I$6:I$834,$H108)="","",INDEX('DM01-AV-CH'!I$6:I$834,$H108)))</f>
        <v>VAli</v>
      </c>
    </row>
    <row r="109" spans="1:35" x14ac:dyDescent="0.25">
      <c r="A109" s="57">
        <v>104</v>
      </c>
      <c r="B109" s="57">
        <f>IF($A109="","",IF(_xlfn.XLOOKUP($A109,Korrelation!$D$4:$D$1197,Korrelation!E$4:E$1197,"-",0)="-",0,MATCH(_xlfn.XLOOKUP($A109,Korrelation!$D$4:$D$1197,Korrelation!E$4:E$1197,"",0),DMAV_Modell!$G$6:$G$677,0)))</f>
        <v>0</v>
      </c>
      <c r="C109" s="57">
        <f>IF($A109="","",IF(_xlfn.XLOOKUP($A109,Korrelation!$D$4:$D$1197,Korrelation!F$4:F$1197,"-",0)="-",0,MATCH(_xlfn.XLOOKUP($A109,Korrelation!$D$4:$D$1197,Korrelation!F$4:F$1197,"",0),DMAV_Modell!$G$6:$G$677,0)))</f>
        <v>0</v>
      </c>
      <c r="D109" s="57">
        <f>IF($A109="","",IF(_xlfn.XLOOKUP($A109,Korrelation!$D$4:$D$1197,Korrelation!G$4:G$1197,"-",0)="-",0,MATCH(_xlfn.XLOOKUP($A109,Korrelation!$D$4:$D$1197,Korrelation!G$4:G$1197,"",0),DMAV_Modell!$G$6:$G$677,0)))</f>
        <v>0</v>
      </c>
      <c r="E109" s="57">
        <f>IF($A109="","",IF(_xlfn.XLOOKUP($A109,Korrelation!$D$4:$D$1197,Korrelation!H$4:H$1197,"-",0)="-",0,MATCH(_xlfn.XLOOKUP($A109,Korrelation!$D$4:$D$1197,Korrelation!H$4:H$1197,"",0),DMAV_Dienste!$F$6:$F$140,0)))</f>
        <v>0</v>
      </c>
      <c r="F109" s="57">
        <f>IF($A109="","",IF(_xlfn.XLOOKUP($A109,Korrelation!$D$4:$D$1197,Korrelation!I$4:I$1197,"-",0)="-",0,MATCH(_xlfn.XLOOKUP($A109,Korrelation!$D$4:$D$1197,Korrelation!I$4:I$1197,"",0),DMAV_Dienste!$F$6:$F$140,0)))</f>
        <v>0</v>
      </c>
      <c r="G109" s="57">
        <f>IF($A109="","",IF(_xlfn.XLOOKUP($A109,Korrelation!$D$4:$D$1197,Korrelation!J$4:J$1197,"-",0)="-",0,MATCH(_xlfn.XLOOKUP($A109,Korrelation!$D$4:$D$1197,Korrelation!J$4:J$1197,"",0),DMAV_Dienste!$F$6:$F$140,0)))</f>
        <v>0</v>
      </c>
      <c r="H109" s="57">
        <f>IF($A109="","",IF(_xlfn.XLOOKUP($A109,Korrelation!$D$4:$D$1197,Korrelation!K$4:K$1197,"-",0)="-",0,MATCH(_xlfn.XLOOKUP($A109,Korrelation!$D$4:$D$1197,Korrelation!K$4:K$1197,"",0),'DM01-AV-CH'!$A$6:$A$834,0)))</f>
        <v>59</v>
      </c>
      <c r="J109" s="54" t="str" cm="1">
        <f t="array" aca="1" ref="J109" ca="1">IF(B109=0,IF(E109=0,"",HYPERLINK("#"&amp;RIGHT(CELL("adresse",OFFSET(DMAV_Dienste!$M$6,E109-1,0)),LEN(CELL("adresse",OFFSET(DMAV_Dienste!$M$6,E109-1,0)))-FIND("]",CELL("adresse",OFFSET(DMAV_Dienste!$M$6,E109-1,0)))),"Dienst")),HYPERLINK("#"&amp;RIGHT(CELL("adresse",OFFSET(DMAV_Modell!$N$6,B109-1,0)),LEN(CELL("adresse",OFFSET(DMAV_Modell!$N$6,B109-1,0)))-FIND("]",CELL("adresse",OFFSET(DMAV_Modell!$N$6,B109-1,0)))),"Modell"))</f>
        <v/>
      </c>
      <c r="K109" s="61" t="str" cm="1">
        <f t="array" ref="K109">IF($B109=0,IF($E109=0,"",IF(INDEX(DMAV_Dienste!P$6:P$140,$E109)="","",INDEX(DMAV_Dienste!P$6:P$140,$E109))),IF(INDEX(DMAV_Modell!Q$6:Q$838,$B109)="","",INDEX(DMAV_Modell!Q$6:Q$838,$B109)))</f>
        <v/>
      </c>
      <c r="L109" s="62" t="str" cm="1">
        <f t="array" ref="L109">IF($B109=0,IF($E109=0,"",IF(INDEX(DMAV_Dienste!O$6:O$140,$E109)="","",INDEX(DMAV_Dienste!O$6:O$140,$E109))),IF(INDEX(DMAV_Modell!P$6:P$838,$B109)="","",INDEX(DMAV_Modell!P$6:P$838,$B109)))</f>
        <v/>
      </c>
      <c r="M109" s="62" t="str" cm="1">
        <f t="array" ref="M109">IF($B109=0,IF($E109=0,"",IF(INDEX(DMAV_Dienste!Q$6:Q$140,$E109)="","",INDEX(DMAV_Dienste!Q$6:Q$140,$E109))),IF(INDEX(DMAV_Modell!R$6:R$838,$B109)="","",INDEX(DMAV_Modell!R$6:R$838,$B109)))</f>
        <v/>
      </c>
      <c r="N109" s="62" t="str" cm="1">
        <f t="array" ref="N109">IF($B109=0,IF($E109=0,"",IF(INDEX(DMAV_Dienste!T$6:T$140,$E109)="","",INDEX(DMAV_Dienste!T$6:T$140,$E109))),IF(INDEX(DMAV_Modell!U$6:U$838,$B109)="","",INDEX(DMAV_Modell!U$6:U$838,$B109)))</f>
        <v/>
      </c>
      <c r="O109" s="63" t="str" cm="1">
        <f t="array" aca="1" ref="O109" ca="1">IF(C109=0,IF(F109=0,"",HYPERLINK("#"&amp;RIGHT(CELL("adresse",OFFSET(DMAV_Dienste!$M$6,F109-1,0)),LEN(CELL("adresse",OFFSET(DMAV_Dienste!$M$6,F109-1,0)))-FIND("]",CELL("adresse",OFFSET(DMAV_Dienste!$M$6,F109-1,0)))),"Structure")),HYPERLINK("#"&amp;RIGHT(CELL("adresse",OFFSET(DMAV_Modell!$N$6,C109-1,0)),LEN(CELL("adresse",OFFSET(DMAV_Modell!$N$6,C109-1,0)))-FIND("]",CELL("adresse",OFFSET(DMAV_Modell!$N$6,C109-1,0)))),"Structure"))</f>
        <v/>
      </c>
      <c r="P109" s="64" t="str" cm="1">
        <f t="array" aca="1" ref="P109" ca="1">IF(D109=0,IF(G109=0,"",HYPERLINK("#"&amp;RIGHT(CELL("adresse",OFFSET(DMAV_Dienste!$M$6,G109-1,0)),LEN(CELL("adresse",OFFSET(DMAV_Dienste!$M$6,G109-1,0)))-FIND("]",CELL("adresse",OFFSET(DMAV_Dienste!$M$6,G109-1,0)))),"Substructure")),HYPERLINK("#"&amp;RIGHT(CELL("adresse",OFFSET(DMAV_Modell!$N$6,D109-1,0)),LEN(CELL("adresse",OFFSET(DMAV_Modell!$N$6,D109-1,0)))-FIND("]",CELL("adresse",OFFSET(DMAV_Modell!$N$6,D109-1,0)))),"Substructure"))</f>
        <v/>
      </c>
      <c r="R109" s="80"/>
      <c r="T109" s="93"/>
      <c r="U109" s="94"/>
      <c r="V109" s="95"/>
      <c r="W109" s="96"/>
      <c r="Y109" s="85"/>
      <c r="Z109" s="86"/>
      <c r="AA109" s="87"/>
      <c r="AB109" s="88"/>
      <c r="AD109" s="77"/>
      <c r="AF109" s="54" t="str" cm="1">
        <f t="array" aca="1" ref="AF109" ca="1">IF(H109=0,"",HYPERLINK("#"&amp;RIGHT(CELL("adresse",OFFSET('DM01-AV-CH'!$G$6,H109-1,0)),LEN(CELL("adresse",OFFSET('DM01-AV-CH'!$G$6,H109-1,0)))-FIND("]",CELL("adresse",OFFSET('DM01-AV-CH'!$G$6,H109-1,0)))),"Modell"))</f>
        <v>Modell</v>
      </c>
      <c r="AG109" s="72" t="str" cm="1">
        <f t="array" ref="AG109">IF($H109=0,"",IF(INDEX('DM01-AV-CH'!G$6:G$834,$H109)="","",INDEX('DM01-AV-CH'!G$6:G$834,$H109)))</f>
        <v>FixpunkteKategorie1</v>
      </c>
      <c r="AH109" s="73" t="str" cm="1">
        <f t="array" ref="AH109">IF($H109=0,"",IF(INDEX('DM01-AV-CH'!H$6:H$834,$H109)="","",INDEX('DM01-AV-CH'!H$6:H$834,$H109)))</f>
        <v>LFP1Symbol</v>
      </c>
      <c r="AI109" s="74" t="str" cm="1">
        <f t="array" ref="AI109">IF($H109=0,"",IF(INDEX('DM01-AV-CH'!I$6:I$834,$H109)="","",INDEX('DM01-AV-CH'!I$6:I$834,$H109)))</f>
        <v>LFP1Symbol_von</v>
      </c>
    </row>
    <row r="110" spans="1:35" x14ac:dyDescent="0.25">
      <c r="A110" s="57">
        <v>105</v>
      </c>
      <c r="B110" s="57">
        <f>IF($A110="","",IF(_xlfn.XLOOKUP($A110,Korrelation!$D$4:$D$1197,Korrelation!E$4:E$1197,"-",0)="-",0,MATCH(_xlfn.XLOOKUP($A110,Korrelation!$D$4:$D$1197,Korrelation!E$4:E$1197,"",0),DMAV_Modell!$G$6:$G$677,0)))</f>
        <v>0</v>
      </c>
      <c r="C110" s="57">
        <f>IF($A110="","",IF(_xlfn.XLOOKUP($A110,Korrelation!$D$4:$D$1197,Korrelation!F$4:F$1197,"-",0)="-",0,MATCH(_xlfn.XLOOKUP($A110,Korrelation!$D$4:$D$1197,Korrelation!F$4:F$1197,"",0),DMAV_Modell!$G$6:$G$677,0)))</f>
        <v>0</v>
      </c>
      <c r="D110" s="57">
        <f>IF($A110="","",IF(_xlfn.XLOOKUP($A110,Korrelation!$D$4:$D$1197,Korrelation!G$4:G$1197,"-",0)="-",0,MATCH(_xlfn.XLOOKUP($A110,Korrelation!$D$4:$D$1197,Korrelation!G$4:G$1197,"",0),DMAV_Modell!$G$6:$G$677,0)))</f>
        <v>0</v>
      </c>
      <c r="E110" s="57">
        <f>IF($A110="","",IF(_xlfn.XLOOKUP($A110,Korrelation!$D$4:$D$1197,Korrelation!H$4:H$1197,"-",0)="-",0,MATCH(_xlfn.XLOOKUP($A110,Korrelation!$D$4:$D$1197,Korrelation!H$4:H$1197,"",0),DMAV_Dienste!$F$6:$F$140,0)))</f>
        <v>0</v>
      </c>
      <c r="F110" s="57">
        <f>IF($A110="","",IF(_xlfn.XLOOKUP($A110,Korrelation!$D$4:$D$1197,Korrelation!I$4:I$1197,"-",0)="-",0,MATCH(_xlfn.XLOOKUP($A110,Korrelation!$D$4:$D$1197,Korrelation!I$4:I$1197,"",0),DMAV_Dienste!$F$6:$F$140,0)))</f>
        <v>0</v>
      </c>
      <c r="G110" s="57">
        <f>IF($A110="","",IF(_xlfn.XLOOKUP($A110,Korrelation!$D$4:$D$1197,Korrelation!J$4:J$1197,"-",0)="-",0,MATCH(_xlfn.XLOOKUP($A110,Korrelation!$D$4:$D$1197,Korrelation!J$4:J$1197,"",0),DMAV_Dienste!$F$6:$F$140,0)))</f>
        <v>0</v>
      </c>
      <c r="H110" s="57">
        <f>IF($A110="","",IF(_xlfn.XLOOKUP($A110,Korrelation!$D$4:$D$1197,Korrelation!K$4:K$1197,"-",0)="-",0,MATCH(_xlfn.XLOOKUP($A110,Korrelation!$D$4:$D$1197,Korrelation!K$4:K$1197,"",0),'DM01-AV-CH'!$A$6:$A$834,0)))</f>
        <v>60</v>
      </c>
      <c r="J110" s="54" t="str" cm="1">
        <f t="array" aca="1" ref="J110" ca="1">IF(B110=0,IF(E110=0,"",HYPERLINK("#"&amp;RIGHT(CELL("adresse",OFFSET(DMAV_Dienste!$M$6,E110-1,0)),LEN(CELL("adresse",OFFSET(DMAV_Dienste!$M$6,E110-1,0)))-FIND("]",CELL("adresse",OFFSET(DMAV_Dienste!$M$6,E110-1,0)))),"Dienst")),HYPERLINK("#"&amp;RIGHT(CELL("adresse",OFFSET(DMAV_Modell!$N$6,B110-1,0)),LEN(CELL("adresse",OFFSET(DMAV_Modell!$N$6,B110-1,0)))-FIND("]",CELL("adresse",OFFSET(DMAV_Modell!$N$6,B110-1,0)))),"Modell"))</f>
        <v/>
      </c>
      <c r="K110" s="61" t="str" cm="1">
        <f t="array" ref="K110">IF($B110=0,IF($E110=0,"",IF(INDEX(DMAV_Dienste!P$6:P$140,$E110)="","",INDEX(DMAV_Dienste!P$6:P$140,$E110))),IF(INDEX(DMAV_Modell!Q$6:Q$838,$B110)="","",INDEX(DMAV_Modell!Q$6:Q$838,$B110)))</f>
        <v/>
      </c>
      <c r="L110" s="62" t="str" cm="1">
        <f t="array" ref="L110">IF($B110=0,IF($E110=0,"",IF(INDEX(DMAV_Dienste!O$6:O$140,$E110)="","",INDEX(DMAV_Dienste!O$6:O$140,$E110))),IF(INDEX(DMAV_Modell!P$6:P$838,$B110)="","",INDEX(DMAV_Modell!P$6:P$838,$B110)))</f>
        <v/>
      </c>
      <c r="M110" s="62" t="str" cm="1">
        <f t="array" ref="M110">IF($B110=0,IF($E110=0,"",IF(INDEX(DMAV_Dienste!Q$6:Q$140,$E110)="","",INDEX(DMAV_Dienste!Q$6:Q$140,$E110))),IF(INDEX(DMAV_Modell!R$6:R$838,$B110)="","",INDEX(DMAV_Modell!R$6:R$838,$B110)))</f>
        <v/>
      </c>
      <c r="N110" s="62" t="str" cm="1">
        <f t="array" ref="N110">IF($B110=0,IF($E110=0,"",IF(INDEX(DMAV_Dienste!T$6:T$140,$E110)="","",INDEX(DMAV_Dienste!T$6:T$140,$E110))),IF(INDEX(DMAV_Modell!U$6:U$838,$B110)="","",INDEX(DMAV_Modell!U$6:U$838,$B110)))</f>
        <v/>
      </c>
      <c r="O110" s="63" t="str" cm="1">
        <f t="array" aca="1" ref="O110" ca="1">IF(C110=0,IF(F110=0,"",HYPERLINK("#"&amp;RIGHT(CELL("adresse",OFFSET(DMAV_Dienste!$M$6,F110-1,0)),LEN(CELL("adresse",OFFSET(DMAV_Dienste!$M$6,F110-1,0)))-FIND("]",CELL("adresse",OFFSET(DMAV_Dienste!$M$6,F110-1,0)))),"Structure")),HYPERLINK("#"&amp;RIGHT(CELL("adresse",OFFSET(DMAV_Modell!$N$6,C110-1,0)),LEN(CELL("adresse",OFFSET(DMAV_Modell!$N$6,C110-1,0)))-FIND("]",CELL("adresse",OFFSET(DMAV_Modell!$N$6,C110-1,0)))),"Structure"))</f>
        <v/>
      </c>
      <c r="P110" s="64" t="str" cm="1">
        <f t="array" aca="1" ref="P110" ca="1">IF(D110=0,IF(G110=0,"",HYPERLINK("#"&amp;RIGHT(CELL("adresse",OFFSET(DMAV_Dienste!$M$6,G110-1,0)),LEN(CELL("adresse",OFFSET(DMAV_Dienste!$M$6,G110-1,0)))-FIND("]",CELL("adresse",OFFSET(DMAV_Dienste!$M$6,G110-1,0)))),"Substructure")),HYPERLINK("#"&amp;RIGHT(CELL("adresse",OFFSET(DMAV_Modell!$N$6,D110-1,0)),LEN(CELL("adresse",OFFSET(DMAV_Modell!$N$6,D110-1,0)))-FIND("]",CELL("adresse",OFFSET(DMAV_Modell!$N$6,D110-1,0)))),"Substructure"))</f>
        <v/>
      </c>
      <c r="R110" s="80"/>
      <c r="T110" s="93"/>
      <c r="U110" s="94"/>
      <c r="V110" s="95"/>
      <c r="W110" s="96"/>
      <c r="Y110" s="85"/>
      <c r="Z110" s="86"/>
      <c r="AA110" s="87"/>
      <c r="AB110" s="88"/>
      <c r="AD110" s="77"/>
      <c r="AF110" s="54" t="str" cm="1">
        <f t="array" aca="1" ref="AF110" ca="1">IF(H110=0,"",HYPERLINK("#"&amp;RIGHT(CELL("adresse",OFFSET('DM01-AV-CH'!$G$6,H110-1,0)),LEN(CELL("adresse",OFFSET('DM01-AV-CH'!$G$6,H110-1,0)))-FIND("]",CELL("adresse",OFFSET('DM01-AV-CH'!$G$6,H110-1,0)))),"Modell"))</f>
        <v>Modell</v>
      </c>
      <c r="AG110" s="72" t="str" cm="1">
        <f t="array" ref="AG110">IF($H110=0,"",IF(INDEX('DM01-AV-CH'!G$6:G$834,$H110)="","",INDEX('DM01-AV-CH'!G$6:G$834,$H110)))</f>
        <v>FixpunkteKategorie1</v>
      </c>
      <c r="AH110" s="73" t="str" cm="1">
        <f t="array" ref="AH110">IF($H110=0,"",IF(INDEX('DM01-AV-CH'!H$6:H$834,$H110)="","",INDEX('DM01-AV-CH'!H$6:H$834,$H110)))</f>
        <v>LFP1Symbol</v>
      </c>
      <c r="AI110" s="74" t="str" cm="1">
        <f t="array" ref="AI110">IF($H110=0,"",IF(INDEX('DM01-AV-CH'!I$6:I$834,$H110)="","",INDEX('DM01-AV-CH'!I$6:I$834,$H110)))</f>
        <v>Ori</v>
      </c>
    </row>
    <row r="111" spans="1:35" ht="114" x14ac:dyDescent="0.25">
      <c r="A111" s="57">
        <v>106</v>
      </c>
      <c r="B111" s="57">
        <f>IF($A111="","",IF(_xlfn.XLOOKUP($A111,Korrelation!$D$4:$D$1197,Korrelation!E$4:E$1197,"-",0)="-",0,MATCH(_xlfn.XLOOKUP($A111,Korrelation!$D$4:$D$1197,Korrelation!E$4:E$1197,"",0),DMAV_Modell!$G$6:$G$677,0)))</f>
        <v>0</v>
      </c>
      <c r="C111" s="57">
        <f>IF($A111="","",IF(_xlfn.XLOOKUP($A111,Korrelation!$D$4:$D$1197,Korrelation!F$4:F$1197,"-",0)="-",0,MATCH(_xlfn.XLOOKUP($A111,Korrelation!$D$4:$D$1197,Korrelation!F$4:F$1197,"",0),DMAV_Modell!$G$6:$G$677,0)))</f>
        <v>0</v>
      </c>
      <c r="D111" s="57">
        <f>IF($A111="","",IF(_xlfn.XLOOKUP($A111,Korrelation!$D$4:$D$1197,Korrelation!G$4:G$1197,"-",0)="-",0,MATCH(_xlfn.XLOOKUP($A111,Korrelation!$D$4:$D$1197,Korrelation!G$4:G$1197,"",0),DMAV_Modell!$G$6:$G$677,0)))</f>
        <v>0</v>
      </c>
      <c r="E111" s="57">
        <f>IF($A111="","",IF(_xlfn.XLOOKUP($A111,Korrelation!$D$4:$D$1197,Korrelation!H$4:H$1197,"-",0)="-",0,MATCH(_xlfn.XLOOKUP($A111,Korrelation!$D$4:$D$1197,Korrelation!H$4:H$1197,"",0),DMAV_Dienste!$F$6:$F$140,0)))</f>
        <v>0</v>
      </c>
      <c r="F111" s="57">
        <f>IF($A111="","",IF(_xlfn.XLOOKUP($A111,Korrelation!$D$4:$D$1197,Korrelation!I$4:I$1197,"-",0)="-",0,MATCH(_xlfn.XLOOKUP($A111,Korrelation!$D$4:$D$1197,Korrelation!I$4:I$1197,"",0),DMAV_Dienste!$F$6:$F$140,0)))</f>
        <v>0</v>
      </c>
      <c r="G111" s="57">
        <f>IF($A111="","",IF(_xlfn.XLOOKUP($A111,Korrelation!$D$4:$D$1197,Korrelation!J$4:J$1197,"-",0)="-",0,MATCH(_xlfn.XLOOKUP($A111,Korrelation!$D$4:$D$1197,Korrelation!J$4:J$1197,"",0),DMAV_Dienste!$F$6:$F$140,0)))</f>
        <v>0</v>
      </c>
      <c r="H111" s="57">
        <f>IF($A111="","",IF(_xlfn.XLOOKUP($A111,Korrelation!$D$4:$D$1197,Korrelation!K$4:K$1197,"-",0)="-",0,MATCH(_xlfn.XLOOKUP($A111,Korrelation!$D$4:$D$1197,Korrelation!K$4:K$1197,"",0),'DM01-AV-CH'!$A$6:$A$834,0)))</f>
        <v>61</v>
      </c>
      <c r="J111" s="54" t="str" cm="1">
        <f t="array" aca="1" ref="J111" ca="1">IF(B111=0,IF(E111=0,"",HYPERLINK("#"&amp;RIGHT(CELL("adresse",OFFSET(DMAV_Dienste!$M$6,E111-1,0)),LEN(CELL("adresse",OFFSET(DMAV_Dienste!$M$6,E111-1,0)))-FIND("]",CELL("adresse",OFFSET(DMAV_Dienste!$M$6,E111-1,0)))),"Dienst")),HYPERLINK("#"&amp;RIGHT(CELL("adresse",OFFSET(DMAV_Modell!$N$6,B111-1,0)),LEN(CELL("adresse",OFFSET(DMAV_Modell!$N$6,B111-1,0)))-FIND("]",CELL("adresse",OFFSET(DMAV_Modell!$N$6,B111-1,0)))),"Modell"))</f>
        <v/>
      </c>
      <c r="K111" s="61" t="str" cm="1">
        <f t="array" ref="K111">IF($B111=0,IF($E111=0,"",IF(INDEX(DMAV_Dienste!P$6:P$140,$E111)="","",INDEX(DMAV_Dienste!P$6:P$140,$E111))),IF(INDEX(DMAV_Modell!Q$6:Q$838,$B111)="","",INDEX(DMAV_Modell!Q$6:Q$838,$B111)))</f>
        <v/>
      </c>
      <c r="L111" s="62" t="str" cm="1">
        <f t="array" ref="L111">IF($B111=0,IF($E111=0,"",IF(INDEX(DMAV_Dienste!O$6:O$140,$E111)="","",INDEX(DMAV_Dienste!O$6:O$140,$E111))),IF(INDEX(DMAV_Modell!P$6:P$838,$B111)="","",INDEX(DMAV_Modell!P$6:P$838,$B111)))</f>
        <v/>
      </c>
      <c r="M111" s="62" t="str" cm="1">
        <f t="array" ref="M111">IF($B111=0,IF($E111=0,"",IF(INDEX(DMAV_Dienste!Q$6:Q$140,$E111)="","",INDEX(DMAV_Dienste!Q$6:Q$140,$E111))),IF(INDEX(DMAV_Modell!R$6:R$838,$B111)="","",INDEX(DMAV_Modell!R$6:R$838,$B111)))</f>
        <v/>
      </c>
      <c r="N111" s="62" t="str" cm="1">
        <f t="array" ref="N111">IF($B111=0,IF($E111=0,"",IF(INDEX(DMAV_Dienste!T$6:T$140,$E111)="","",INDEX(DMAV_Dienste!T$6:T$140,$E111))),IF(INDEX(DMAV_Modell!U$6:U$838,$B111)="","",INDEX(DMAV_Modell!U$6:U$838,$B111)))</f>
        <v/>
      </c>
      <c r="O111" s="63" t="str" cm="1">
        <f t="array" aca="1" ref="O111" ca="1">IF(C111=0,IF(F111=0,"",HYPERLINK("#"&amp;RIGHT(CELL("adresse",OFFSET(DMAV_Dienste!$M$6,F111-1,0)),LEN(CELL("adresse",OFFSET(DMAV_Dienste!$M$6,F111-1,0)))-FIND("]",CELL("adresse",OFFSET(DMAV_Dienste!$M$6,F111-1,0)))),"Structure")),HYPERLINK("#"&amp;RIGHT(CELL("adresse",OFFSET(DMAV_Modell!$N$6,C111-1,0)),LEN(CELL("adresse",OFFSET(DMAV_Modell!$N$6,C111-1,0)))-FIND("]",CELL("adresse",OFFSET(DMAV_Modell!$N$6,C111-1,0)))),"Structure"))</f>
        <v/>
      </c>
      <c r="P111" s="64" t="str" cm="1">
        <f t="array" aca="1" ref="P111" ca="1">IF(D111=0,IF(G111=0,"",HYPERLINK("#"&amp;RIGHT(CELL("adresse",OFFSET(DMAV_Dienste!$M$6,G111-1,0)),LEN(CELL("adresse",OFFSET(DMAV_Dienste!$M$6,G111-1,0)))-FIND("]",CELL("adresse",OFFSET(DMAV_Dienste!$M$6,G111-1,0)))),"Substructure")),HYPERLINK("#"&amp;RIGHT(CELL("adresse",OFFSET(DMAV_Modell!$N$6,D111-1,0)),LEN(CELL("adresse",OFFSET(DMAV_Modell!$N$6,D111-1,0)))-FIND("]",CELL("adresse",OFFSET(DMAV_Modell!$N$6,D111-1,0)))),"Substructure"))</f>
        <v/>
      </c>
      <c r="R111" s="80"/>
      <c r="T111" s="93"/>
      <c r="U111" s="94"/>
      <c r="V111" s="95"/>
      <c r="W111" s="96"/>
      <c r="Y111" s="85"/>
      <c r="Z111" s="86"/>
      <c r="AA111" s="87"/>
      <c r="AB111" s="88" t="s">
        <v>3316</v>
      </c>
      <c r="AD111" s="77"/>
      <c r="AF111" s="54" t="str" cm="1">
        <f t="array" aca="1" ref="AF111" ca="1">IF(H111=0,"",HYPERLINK("#"&amp;RIGHT(CELL("adresse",OFFSET('DM01-AV-CH'!$G$6,H111-1,0)),LEN(CELL("adresse",OFFSET('DM01-AV-CH'!$G$6,H111-1,0)))-FIND("]",CELL("adresse",OFFSET('DM01-AV-CH'!$G$6,H111-1,0)))),"Modell"))</f>
        <v>Modell</v>
      </c>
      <c r="AG111" s="72" t="str" cm="1">
        <f t="array" ref="AG111">IF($H111=0,"",IF(INDEX('DM01-AV-CH'!G$6:G$834,$H111)="","",INDEX('DM01-AV-CH'!G$6:G$834,$H111)))</f>
        <v>FixpunkteKategorie1</v>
      </c>
      <c r="AH111" s="73" t="str" cm="1">
        <f t="array" ref="AH111">IF($H111=0,"",IF(INDEX('DM01-AV-CH'!H$6:H$834,$H111)="","",INDEX('DM01-AV-CH'!H$6:H$834,$H111)))</f>
        <v>HFP1Nachfuehrung</v>
      </c>
      <c r="AI111" s="74" t="str" cm="1">
        <f t="array" ref="AI111">IF($H111=0,"",IF(INDEX('DM01-AV-CH'!I$6:I$834,$H111)="","",INDEX('DM01-AV-CH'!I$6:I$834,$H111)))</f>
        <v>NBIdent</v>
      </c>
    </row>
    <row r="112" spans="1:35" ht="114" x14ac:dyDescent="0.25">
      <c r="A112" s="57">
        <v>107</v>
      </c>
      <c r="B112" s="57">
        <f>IF($A112="","",IF(_xlfn.XLOOKUP($A112,Korrelation!$D$4:$D$1197,Korrelation!E$4:E$1197,"-",0)="-",0,MATCH(_xlfn.XLOOKUP($A112,Korrelation!$D$4:$D$1197,Korrelation!E$4:E$1197,"",0),DMAV_Modell!$G$6:$G$677,0)))</f>
        <v>0</v>
      </c>
      <c r="C112" s="57">
        <f>IF($A112="","",IF(_xlfn.XLOOKUP($A112,Korrelation!$D$4:$D$1197,Korrelation!F$4:F$1197,"-",0)="-",0,MATCH(_xlfn.XLOOKUP($A112,Korrelation!$D$4:$D$1197,Korrelation!F$4:F$1197,"",0),DMAV_Modell!$G$6:$G$677,0)))</f>
        <v>0</v>
      </c>
      <c r="D112" s="57">
        <f>IF($A112="","",IF(_xlfn.XLOOKUP($A112,Korrelation!$D$4:$D$1197,Korrelation!G$4:G$1197,"-",0)="-",0,MATCH(_xlfn.XLOOKUP($A112,Korrelation!$D$4:$D$1197,Korrelation!G$4:G$1197,"",0),DMAV_Modell!$G$6:$G$677,0)))</f>
        <v>0</v>
      </c>
      <c r="E112" s="57">
        <f>IF($A112="","",IF(_xlfn.XLOOKUP($A112,Korrelation!$D$4:$D$1197,Korrelation!H$4:H$1197,"-",0)="-",0,MATCH(_xlfn.XLOOKUP($A112,Korrelation!$D$4:$D$1197,Korrelation!H$4:H$1197,"",0),DMAV_Dienste!$F$6:$F$140,0)))</f>
        <v>0</v>
      </c>
      <c r="F112" s="57">
        <f>IF($A112="","",IF(_xlfn.XLOOKUP($A112,Korrelation!$D$4:$D$1197,Korrelation!I$4:I$1197,"-",0)="-",0,MATCH(_xlfn.XLOOKUP($A112,Korrelation!$D$4:$D$1197,Korrelation!I$4:I$1197,"",0),DMAV_Dienste!$F$6:$F$140,0)))</f>
        <v>0</v>
      </c>
      <c r="G112" s="57">
        <f>IF($A112="","",IF(_xlfn.XLOOKUP($A112,Korrelation!$D$4:$D$1197,Korrelation!J$4:J$1197,"-",0)="-",0,MATCH(_xlfn.XLOOKUP($A112,Korrelation!$D$4:$D$1197,Korrelation!J$4:J$1197,"",0),DMAV_Dienste!$F$6:$F$140,0)))</f>
        <v>0</v>
      </c>
      <c r="H112" s="57">
        <f>IF($A112="","",IF(_xlfn.XLOOKUP($A112,Korrelation!$D$4:$D$1197,Korrelation!K$4:K$1197,"-",0)="-",0,MATCH(_xlfn.XLOOKUP($A112,Korrelation!$D$4:$D$1197,Korrelation!K$4:K$1197,"",0),'DM01-AV-CH'!$A$6:$A$834,0)))</f>
        <v>62</v>
      </c>
      <c r="J112" s="54" t="str" cm="1">
        <f t="array" aca="1" ref="J112" ca="1">IF(B112=0,IF(E112=0,"",HYPERLINK("#"&amp;RIGHT(CELL("adresse",OFFSET(DMAV_Dienste!$M$6,E112-1,0)),LEN(CELL("adresse",OFFSET(DMAV_Dienste!$M$6,E112-1,0)))-FIND("]",CELL("adresse",OFFSET(DMAV_Dienste!$M$6,E112-1,0)))),"Dienst")),HYPERLINK("#"&amp;RIGHT(CELL("adresse",OFFSET(DMAV_Modell!$N$6,B112-1,0)),LEN(CELL("adresse",OFFSET(DMAV_Modell!$N$6,B112-1,0)))-FIND("]",CELL("adresse",OFFSET(DMAV_Modell!$N$6,B112-1,0)))),"Modell"))</f>
        <v/>
      </c>
      <c r="K112" s="61" t="str" cm="1">
        <f t="array" ref="K112">IF($B112=0,IF($E112=0,"",IF(INDEX(DMAV_Dienste!P$6:P$140,$E112)="","",INDEX(DMAV_Dienste!P$6:P$140,$E112))),IF(INDEX(DMAV_Modell!Q$6:Q$838,$B112)="","",INDEX(DMAV_Modell!Q$6:Q$838,$B112)))</f>
        <v/>
      </c>
      <c r="L112" s="62" t="str" cm="1">
        <f t="array" ref="L112">IF($B112=0,IF($E112=0,"",IF(INDEX(DMAV_Dienste!O$6:O$140,$E112)="","",INDEX(DMAV_Dienste!O$6:O$140,$E112))),IF(INDEX(DMAV_Modell!P$6:P$838,$B112)="","",INDEX(DMAV_Modell!P$6:P$838,$B112)))</f>
        <v/>
      </c>
      <c r="M112" s="62" t="str" cm="1">
        <f t="array" ref="M112">IF($B112=0,IF($E112=0,"",IF(INDEX(DMAV_Dienste!Q$6:Q$140,$E112)="","",INDEX(DMAV_Dienste!Q$6:Q$140,$E112))),IF(INDEX(DMAV_Modell!R$6:R$838,$B112)="","",INDEX(DMAV_Modell!R$6:R$838,$B112)))</f>
        <v/>
      </c>
      <c r="N112" s="62" t="str" cm="1">
        <f t="array" ref="N112">IF($B112=0,IF($E112=0,"",IF(INDEX(DMAV_Dienste!T$6:T$140,$E112)="","",INDEX(DMAV_Dienste!T$6:T$140,$E112))),IF(INDEX(DMAV_Modell!U$6:U$838,$B112)="","",INDEX(DMAV_Modell!U$6:U$838,$B112)))</f>
        <v/>
      </c>
      <c r="O112" s="63" t="str" cm="1">
        <f t="array" aca="1" ref="O112" ca="1">IF(C112=0,IF(F112=0,"",HYPERLINK("#"&amp;RIGHT(CELL("adresse",OFFSET(DMAV_Dienste!$M$6,F112-1,0)),LEN(CELL("adresse",OFFSET(DMAV_Dienste!$M$6,F112-1,0)))-FIND("]",CELL("adresse",OFFSET(DMAV_Dienste!$M$6,F112-1,0)))),"Structure")),HYPERLINK("#"&amp;RIGHT(CELL("adresse",OFFSET(DMAV_Modell!$N$6,C112-1,0)),LEN(CELL("adresse",OFFSET(DMAV_Modell!$N$6,C112-1,0)))-FIND("]",CELL("adresse",OFFSET(DMAV_Modell!$N$6,C112-1,0)))),"Structure"))</f>
        <v/>
      </c>
      <c r="P112" s="64" t="str" cm="1">
        <f t="array" aca="1" ref="P112" ca="1">IF(D112=0,IF(G112=0,"",HYPERLINK("#"&amp;RIGHT(CELL("adresse",OFFSET(DMAV_Dienste!$M$6,G112-1,0)),LEN(CELL("adresse",OFFSET(DMAV_Dienste!$M$6,G112-1,0)))-FIND("]",CELL("adresse",OFFSET(DMAV_Dienste!$M$6,G112-1,0)))),"Substructure")),HYPERLINK("#"&amp;RIGHT(CELL("adresse",OFFSET(DMAV_Modell!$N$6,D112-1,0)),LEN(CELL("adresse",OFFSET(DMAV_Modell!$N$6,D112-1,0)))-FIND("]",CELL("adresse",OFFSET(DMAV_Modell!$N$6,D112-1,0)))),"Substructure"))</f>
        <v/>
      </c>
      <c r="R112" s="80"/>
      <c r="T112" s="93"/>
      <c r="U112" s="94"/>
      <c r="V112" s="95"/>
      <c r="W112" s="96"/>
      <c r="Y112" s="85"/>
      <c r="Z112" s="86"/>
      <c r="AA112" s="87"/>
      <c r="AB112" s="88" t="s">
        <v>3316</v>
      </c>
      <c r="AD112" s="77"/>
      <c r="AF112" s="54" t="str" cm="1">
        <f t="array" aca="1" ref="AF112" ca="1">IF(H112=0,"",HYPERLINK("#"&amp;RIGHT(CELL("adresse",OFFSET('DM01-AV-CH'!$G$6,H112-1,0)),LEN(CELL("adresse",OFFSET('DM01-AV-CH'!$G$6,H112-1,0)))-FIND("]",CELL("adresse",OFFSET('DM01-AV-CH'!$G$6,H112-1,0)))),"Modell"))</f>
        <v>Modell</v>
      </c>
      <c r="AG112" s="72" t="str" cm="1">
        <f t="array" ref="AG112">IF($H112=0,"",IF(INDEX('DM01-AV-CH'!G$6:G$834,$H112)="","",INDEX('DM01-AV-CH'!G$6:G$834,$H112)))</f>
        <v>FixpunkteKategorie1</v>
      </c>
      <c r="AH112" s="73" t="str" cm="1">
        <f t="array" ref="AH112">IF($H112=0,"",IF(INDEX('DM01-AV-CH'!H$6:H$834,$H112)="","",INDEX('DM01-AV-CH'!H$6:H$834,$H112)))</f>
        <v>HFP1Nachfuehrung</v>
      </c>
      <c r="AI112" s="74" t="str" cm="1">
        <f t="array" ref="AI112">IF($H112=0,"",IF(INDEX('DM01-AV-CH'!I$6:I$834,$H112)="","",INDEX('DM01-AV-CH'!I$6:I$834,$H112)))</f>
        <v>Identifikator</v>
      </c>
    </row>
    <row r="113" spans="1:35" ht="114" x14ac:dyDescent="0.25">
      <c r="A113" s="57">
        <v>108</v>
      </c>
      <c r="B113" s="57">
        <f>IF($A113="","",IF(_xlfn.XLOOKUP($A113,Korrelation!$D$4:$D$1197,Korrelation!E$4:E$1197,"-",0)="-",0,MATCH(_xlfn.XLOOKUP($A113,Korrelation!$D$4:$D$1197,Korrelation!E$4:E$1197,"",0),DMAV_Modell!$G$6:$G$677,0)))</f>
        <v>0</v>
      </c>
      <c r="C113" s="57">
        <f>IF($A113="","",IF(_xlfn.XLOOKUP($A113,Korrelation!$D$4:$D$1197,Korrelation!F$4:F$1197,"-",0)="-",0,MATCH(_xlfn.XLOOKUP($A113,Korrelation!$D$4:$D$1197,Korrelation!F$4:F$1197,"",0),DMAV_Modell!$G$6:$G$677,0)))</f>
        <v>0</v>
      </c>
      <c r="D113" s="57">
        <f>IF($A113="","",IF(_xlfn.XLOOKUP($A113,Korrelation!$D$4:$D$1197,Korrelation!G$4:G$1197,"-",0)="-",0,MATCH(_xlfn.XLOOKUP($A113,Korrelation!$D$4:$D$1197,Korrelation!G$4:G$1197,"",0),DMAV_Modell!$G$6:$G$677,0)))</f>
        <v>0</v>
      </c>
      <c r="E113" s="57">
        <f>IF($A113="","",IF(_xlfn.XLOOKUP($A113,Korrelation!$D$4:$D$1197,Korrelation!H$4:H$1197,"-",0)="-",0,MATCH(_xlfn.XLOOKUP($A113,Korrelation!$D$4:$D$1197,Korrelation!H$4:H$1197,"",0),DMAV_Dienste!$F$6:$F$140,0)))</f>
        <v>0</v>
      </c>
      <c r="F113" s="57">
        <f>IF($A113="","",IF(_xlfn.XLOOKUP($A113,Korrelation!$D$4:$D$1197,Korrelation!I$4:I$1197,"-",0)="-",0,MATCH(_xlfn.XLOOKUP($A113,Korrelation!$D$4:$D$1197,Korrelation!I$4:I$1197,"",0),DMAV_Dienste!$F$6:$F$140,0)))</f>
        <v>0</v>
      </c>
      <c r="G113" s="57">
        <f>IF($A113="","",IF(_xlfn.XLOOKUP($A113,Korrelation!$D$4:$D$1197,Korrelation!J$4:J$1197,"-",0)="-",0,MATCH(_xlfn.XLOOKUP($A113,Korrelation!$D$4:$D$1197,Korrelation!J$4:J$1197,"",0),DMAV_Dienste!$F$6:$F$140,0)))</f>
        <v>0</v>
      </c>
      <c r="H113" s="57">
        <f>IF($A113="","",IF(_xlfn.XLOOKUP($A113,Korrelation!$D$4:$D$1197,Korrelation!K$4:K$1197,"-",0)="-",0,MATCH(_xlfn.XLOOKUP($A113,Korrelation!$D$4:$D$1197,Korrelation!K$4:K$1197,"",0),'DM01-AV-CH'!$A$6:$A$834,0)))</f>
        <v>63</v>
      </c>
      <c r="J113" s="54" t="str" cm="1">
        <f t="array" aca="1" ref="J113" ca="1">IF(B113=0,IF(E113=0,"",HYPERLINK("#"&amp;RIGHT(CELL("adresse",OFFSET(DMAV_Dienste!$M$6,E113-1,0)),LEN(CELL("adresse",OFFSET(DMAV_Dienste!$M$6,E113-1,0)))-FIND("]",CELL("adresse",OFFSET(DMAV_Dienste!$M$6,E113-1,0)))),"Dienst")),HYPERLINK("#"&amp;RIGHT(CELL("adresse",OFFSET(DMAV_Modell!$N$6,B113-1,0)),LEN(CELL("adresse",OFFSET(DMAV_Modell!$N$6,B113-1,0)))-FIND("]",CELL("adresse",OFFSET(DMAV_Modell!$N$6,B113-1,0)))),"Modell"))</f>
        <v/>
      </c>
      <c r="K113" s="61" t="str" cm="1">
        <f t="array" ref="K113">IF($B113=0,IF($E113=0,"",IF(INDEX(DMAV_Dienste!P$6:P$140,$E113)="","",INDEX(DMAV_Dienste!P$6:P$140,$E113))),IF(INDEX(DMAV_Modell!Q$6:Q$838,$B113)="","",INDEX(DMAV_Modell!Q$6:Q$838,$B113)))</f>
        <v/>
      </c>
      <c r="L113" s="62" t="str" cm="1">
        <f t="array" ref="L113">IF($B113=0,IF($E113=0,"",IF(INDEX(DMAV_Dienste!O$6:O$140,$E113)="","",INDEX(DMAV_Dienste!O$6:O$140,$E113))),IF(INDEX(DMAV_Modell!P$6:P$838,$B113)="","",INDEX(DMAV_Modell!P$6:P$838,$B113)))</f>
        <v/>
      </c>
      <c r="M113" s="62" t="str" cm="1">
        <f t="array" ref="M113">IF($B113=0,IF($E113=0,"",IF(INDEX(DMAV_Dienste!Q$6:Q$140,$E113)="","",INDEX(DMAV_Dienste!Q$6:Q$140,$E113))),IF(INDEX(DMAV_Modell!R$6:R$838,$B113)="","",INDEX(DMAV_Modell!R$6:R$838,$B113)))</f>
        <v/>
      </c>
      <c r="N113" s="62" t="str" cm="1">
        <f t="array" ref="N113">IF($B113=0,IF($E113=0,"",IF(INDEX(DMAV_Dienste!T$6:T$140,$E113)="","",INDEX(DMAV_Dienste!T$6:T$140,$E113))),IF(INDEX(DMAV_Modell!U$6:U$838,$B113)="","",INDEX(DMAV_Modell!U$6:U$838,$B113)))</f>
        <v/>
      </c>
      <c r="O113" s="63" t="str" cm="1">
        <f t="array" aca="1" ref="O113" ca="1">IF(C113=0,IF(F113=0,"",HYPERLINK("#"&amp;RIGHT(CELL("adresse",OFFSET(DMAV_Dienste!$M$6,F113-1,0)),LEN(CELL("adresse",OFFSET(DMAV_Dienste!$M$6,F113-1,0)))-FIND("]",CELL("adresse",OFFSET(DMAV_Dienste!$M$6,F113-1,0)))),"Structure")),HYPERLINK("#"&amp;RIGHT(CELL("adresse",OFFSET(DMAV_Modell!$N$6,C113-1,0)),LEN(CELL("adresse",OFFSET(DMAV_Modell!$N$6,C113-1,0)))-FIND("]",CELL("adresse",OFFSET(DMAV_Modell!$N$6,C113-1,0)))),"Structure"))</f>
        <v/>
      </c>
      <c r="P113" s="64" t="str" cm="1">
        <f t="array" aca="1" ref="P113" ca="1">IF(D113=0,IF(G113=0,"",HYPERLINK("#"&amp;RIGHT(CELL("adresse",OFFSET(DMAV_Dienste!$M$6,G113-1,0)),LEN(CELL("adresse",OFFSET(DMAV_Dienste!$M$6,G113-1,0)))-FIND("]",CELL("adresse",OFFSET(DMAV_Dienste!$M$6,G113-1,0)))),"Substructure")),HYPERLINK("#"&amp;RIGHT(CELL("adresse",OFFSET(DMAV_Modell!$N$6,D113-1,0)),LEN(CELL("adresse",OFFSET(DMAV_Modell!$N$6,D113-1,0)))-FIND("]",CELL("adresse",OFFSET(DMAV_Modell!$N$6,D113-1,0)))),"Substructure"))</f>
        <v/>
      </c>
      <c r="R113" s="80"/>
      <c r="T113" s="93"/>
      <c r="U113" s="94"/>
      <c r="V113" s="95"/>
      <c r="W113" s="96"/>
      <c r="Y113" s="85"/>
      <c r="Z113" s="86"/>
      <c r="AA113" s="87"/>
      <c r="AB113" s="88" t="s">
        <v>3316</v>
      </c>
      <c r="AD113" s="77"/>
      <c r="AF113" s="54" t="str" cm="1">
        <f t="array" aca="1" ref="AF113" ca="1">IF(H113=0,"",HYPERLINK("#"&amp;RIGHT(CELL("adresse",OFFSET('DM01-AV-CH'!$G$6,H113-1,0)),LEN(CELL("adresse",OFFSET('DM01-AV-CH'!$G$6,H113-1,0)))-FIND("]",CELL("adresse",OFFSET('DM01-AV-CH'!$G$6,H113-1,0)))),"Modell"))</f>
        <v>Modell</v>
      </c>
      <c r="AG113" s="72" t="str" cm="1">
        <f t="array" ref="AG113">IF($H113=0,"",IF(INDEX('DM01-AV-CH'!G$6:G$834,$H113)="","",INDEX('DM01-AV-CH'!G$6:G$834,$H113)))</f>
        <v>FixpunkteKategorie1</v>
      </c>
      <c r="AH113" s="73" t="str" cm="1">
        <f t="array" ref="AH113">IF($H113=0,"",IF(INDEX('DM01-AV-CH'!H$6:H$834,$H113)="","",INDEX('DM01-AV-CH'!H$6:H$834,$H113)))</f>
        <v>HFP1Nachfuehrung</v>
      </c>
      <c r="AI113" s="74" t="str" cm="1">
        <f t="array" ref="AI113">IF($H113=0,"",IF(INDEX('DM01-AV-CH'!I$6:I$834,$H113)="","",INDEX('DM01-AV-CH'!I$6:I$834,$H113)))</f>
        <v>Beschreibung</v>
      </c>
    </row>
    <row r="114" spans="1:35" x14ac:dyDescent="0.25">
      <c r="A114" s="57">
        <v>109</v>
      </c>
      <c r="B114" s="57">
        <f>IF($A114="","",IF(_xlfn.XLOOKUP($A114,Korrelation!$D$4:$D$1197,Korrelation!E$4:E$1197,"-",0)="-",0,MATCH(_xlfn.XLOOKUP($A114,Korrelation!$D$4:$D$1197,Korrelation!E$4:E$1197,"",0),DMAV_Modell!$G$6:$G$677,0)))</f>
        <v>0</v>
      </c>
      <c r="C114" s="57">
        <f>IF($A114="","",IF(_xlfn.XLOOKUP($A114,Korrelation!$D$4:$D$1197,Korrelation!F$4:F$1197,"-",0)="-",0,MATCH(_xlfn.XLOOKUP($A114,Korrelation!$D$4:$D$1197,Korrelation!F$4:F$1197,"",0),DMAV_Modell!$G$6:$G$677,0)))</f>
        <v>0</v>
      </c>
      <c r="D114" s="57">
        <f>IF($A114="","",IF(_xlfn.XLOOKUP($A114,Korrelation!$D$4:$D$1197,Korrelation!G$4:G$1197,"-",0)="-",0,MATCH(_xlfn.XLOOKUP($A114,Korrelation!$D$4:$D$1197,Korrelation!G$4:G$1197,"",0),DMAV_Modell!$G$6:$G$677,0)))</f>
        <v>0</v>
      </c>
      <c r="E114" s="57">
        <f>IF($A114="","",IF(_xlfn.XLOOKUP($A114,Korrelation!$D$4:$D$1197,Korrelation!H$4:H$1197,"-",0)="-",0,MATCH(_xlfn.XLOOKUP($A114,Korrelation!$D$4:$D$1197,Korrelation!H$4:H$1197,"",0),DMAV_Dienste!$F$6:$F$140,0)))</f>
        <v>0</v>
      </c>
      <c r="F114" s="57">
        <f>IF($A114="","",IF(_xlfn.XLOOKUP($A114,Korrelation!$D$4:$D$1197,Korrelation!I$4:I$1197,"-",0)="-",0,MATCH(_xlfn.XLOOKUP($A114,Korrelation!$D$4:$D$1197,Korrelation!I$4:I$1197,"",0),DMAV_Dienste!$F$6:$F$140,0)))</f>
        <v>0</v>
      </c>
      <c r="G114" s="57">
        <f>IF($A114="","",IF(_xlfn.XLOOKUP($A114,Korrelation!$D$4:$D$1197,Korrelation!J$4:J$1197,"-",0)="-",0,MATCH(_xlfn.XLOOKUP($A114,Korrelation!$D$4:$D$1197,Korrelation!J$4:J$1197,"",0),DMAV_Dienste!$F$6:$F$140,0)))</f>
        <v>0</v>
      </c>
      <c r="H114" s="57">
        <f>IF($A114="","",IF(_xlfn.XLOOKUP($A114,Korrelation!$D$4:$D$1197,Korrelation!K$4:K$1197,"-",0)="-",0,MATCH(_xlfn.XLOOKUP($A114,Korrelation!$D$4:$D$1197,Korrelation!K$4:K$1197,"",0),'DM01-AV-CH'!$A$6:$A$834,0)))</f>
        <v>64</v>
      </c>
      <c r="J114" s="54" t="str" cm="1">
        <f t="array" aca="1" ref="J114" ca="1">IF(B114=0,IF(E114=0,"",HYPERLINK("#"&amp;RIGHT(CELL("adresse",OFFSET(DMAV_Dienste!$M$6,E114-1,0)),LEN(CELL("adresse",OFFSET(DMAV_Dienste!$M$6,E114-1,0)))-FIND("]",CELL("adresse",OFFSET(DMAV_Dienste!$M$6,E114-1,0)))),"Dienst")),HYPERLINK("#"&amp;RIGHT(CELL("adresse",OFFSET(DMAV_Modell!$N$6,B114-1,0)),LEN(CELL("adresse",OFFSET(DMAV_Modell!$N$6,B114-1,0)))-FIND("]",CELL("adresse",OFFSET(DMAV_Modell!$N$6,B114-1,0)))),"Modell"))</f>
        <v/>
      </c>
      <c r="K114" s="61" t="str" cm="1">
        <f t="array" ref="K114">IF($B114=0,IF($E114=0,"",IF(INDEX(DMAV_Dienste!P$6:P$140,$E114)="","",INDEX(DMAV_Dienste!P$6:P$140,$E114))),IF(INDEX(DMAV_Modell!Q$6:Q$838,$B114)="","",INDEX(DMAV_Modell!Q$6:Q$838,$B114)))</f>
        <v/>
      </c>
      <c r="L114" s="62" t="str" cm="1">
        <f t="array" ref="L114">IF($B114=0,IF($E114=0,"",IF(INDEX(DMAV_Dienste!O$6:O$140,$E114)="","",INDEX(DMAV_Dienste!O$6:O$140,$E114))),IF(INDEX(DMAV_Modell!P$6:P$838,$B114)="","",INDEX(DMAV_Modell!P$6:P$838,$B114)))</f>
        <v/>
      </c>
      <c r="M114" s="62" t="str" cm="1">
        <f t="array" ref="M114">IF($B114=0,IF($E114=0,"",IF(INDEX(DMAV_Dienste!Q$6:Q$140,$E114)="","",INDEX(DMAV_Dienste!Q$6:Q$140,$E114))),IF(INDEX(DMAV_Modell!R$6:R$838,$B114)="","",INDEX(DMAV_Modell!R$6:R$838,$B114)))</f>
        <v/>
      </c>
      <c r="N114" s="62" t="str" cm="1">
        <f t="array" ref="N114">IF($B114=0,IF($E114=0,"",IF(INDEX(DMAV_Dienste!T$6:T$140,$E114)="","",INDEX(DMAV_Dienste!T$6:T$140,$E114))),IF(INDEX(DMAV_Modell!U$6:U$838,$B114)="","",INDEX(DMAV_Modell!U$6:U$838,$B114)))</f>
        <v/>
      </c>
      <c r="O114" s="63" t="str" cm="1">
        <f t="array" aca="1" ref="O114" ca="1">IF(C114=0,IF(F114=0,"",HYPERLINK("#"&amp;RIGHT(CELL("adresse",OFFSET(DMAV_Dienste!$M$6,F114-1,0)),LEN(CELL("adresse",OFFSET(DMAV_Dienste!$M$6,F114-1,0)))-FIND("]",CELL("adresse",OFFSET(DMAV_Dienste!$M$6,F114-1,0)))),"Structure")),HYPERLINK("#"&amp;RIGHT(CELL("adresse",OFFSET(DMAV_Modell!$N$6,C114-1,0)),LEN(CELL("adresse",OFFSET(DMAV_Modell!$N$6,C114-1,0)))-FIND("]",CELL("adresse",OFFSET(DMAV_Modell!$N$6,C114-1,0)))),"Structure"))</f>
        <v/>
      </c>
      <c r="P114" s="64" t="str" cm="1">
        <f t="array" aca="1" ref="P114" ca="1">IF(D114=0,IF(G114=0,"",HYPERLINK("#"&amp;RIGHT(CELL("adresse",OFFSET(DMAV_Dienste!$M$6,G114-1,0)),LEN(CELL("adresse",OFFSET(DMAV_Dienste!$M$6,G114-1,0)))-FIND("]",CELL("adresse",OFFSET(DMAV_Dienste!$M$6,G114-1,0)))),"Substructure")),HYPERLINK("#"&amp;RIGHT(CELL("adresse",OFFSET(DMAV_Modell!$N$6,D114-1,0)),LEN(CELL("adresse",OFFSET(DMAV_Modell!$N$6,D114-1,0)))-FIND("]",CELL("adresse",OFFSET(DMAV_Modell!$N$6,D114-1,0)))),"Substructure"))</f>
        <v/>
      </c>
      <c r="R114" s="80"/>
      <c r="T114" s="93"/>
      <c r="U114" s="94"/>
      <c r="V114" s="95"/>
      <c r="W114" s="96"/>
      <c r="Y114" s="85"/>
      <c r="Z114" s="86"/>
      <c r="AA114" s="87"/>
      <c r="AB114" s="88"/>
      <c r="AD114" s="77"/>
      <c r="AF114" s="54" t="str" cm="1">
        <f t="array" aca="1" ref="AF114" ca="1">IF(H114=0,"",HYPERLINK("#"&amp;RIGHT(CELL("adresse",OFFSET('DM01-AV-CH'!$G$6,H114-1,0)),LEN(CELL("adresse",OFFSET('DM01-AV-CH'!$G$6,H114-1,0)))-FIND("]",CELL("adresse",OFFSET('DM01-AV-CH'!$G$6,H114-1,0)))),"Modell"))</f>
        <v>Modell</v>
      </c>
      <c r="AG114" s="72" t="str" cm="1">
        <f t="array" ref="AG114">IF($H114=0,"",IF(INDEX('DM01-AV-CH'!G$6:G$834,$H114)="","",INDEX('DM01-AV-CH'!G$6:G$834,$H114)))</f>
        <v>FixpunkteKategorie1</v>
      </c>
      <c r="AH114" s="73" t="str" cm="1">
        <f t="array" ref="AH114">IF($H114=0,"",IF(INDEX('DM01-AV-CH'!H$6:H$834,$H114)="","",INDEX('DM01-AV-CH'!H$6:H$834,$H114)))</f>
        <v>HFP1Nachfuehrung</v>
      </c>
      <c r="AI114" s="74" t="str" cm="1">
        <f t="array" ref="AI114">IF($H114=0,"",IF(INDEX('DM01-AV-CH'!I$6:I$834,$H114)="","",INDEX('DM01-AV-CH'!I$6:I$834,$H114)))</f>
        <v>Perimeter</v>
      </c>
    </row>
    <row r="115" spans="1:35" ht="114" x14ac:dyDescent="0.25">
      <c r="A115" s="57">
        <v>110</v>
      </c>
      <c r="B115" s="57">
        <f>IF($A115="","",IF(_xlfn.XLOOKUP($A115,Korrelation!$D$4:$D$1197,Korrelation!E$4:E$1197,"-",0)="-",0,MATCH(_xlfn.XLOOKUP($A115,Korrelation!$D$4:$D$1197,Korrelation!E$4:E$1197,"",0),DMAV_Modell!$G$6:$G$677,0)))</f>
        <v>0</v>
      </c>
      <c r="C115" s="57">
        <f>IF($A115="","",IF(_xlfn.XLOOKUP($A115,Korrelation!$D$4:$D$1197,Korrelation!F$4:F$1197,"-",0)="-",0,MATCH(_xlfn.XLOOKUP($A115,Korrelation!$D$4:$D$1197,Korrelation!F$4:F$1197,"",0),DMAV_Modell!$G$6:$G$677,0)))</f>
        <v>0</v>
      </c>
      <c r="D115" s="57">
        <f>IF($A115="","",IF(_xlfn.XLOOKUP($A115,Korrelation!$D$4:$D$1197,Korrelation!G$4:G$1197,"-",0)="-",0,MATCH(_xlfn.XLOOKUP($A115,Korrelation!$D$4:$D$1197,Korrelation!G$4:G$1197,"",0),DMAV_Modell!$G$6:$G$677,0)))</f>
        <v>0</v>
      </c>
      <c r="E115" s="57">
        <f>IF($A115="","",IF(_xlfn.XLOOKUP($A115,Korrelation!$D$4:$D$1197,Korrelation!H$4:H$1197,"-",0)="-",0,MATCH(_xlfn.XLOOKUP($A115,Korrelation!$D$4:$D$1197,Korrelation!H$4:H$1197,"",0),DMAV_Dienste!$F$6:$F$140,0)))</f>
        <v>0</v>
      </c>
      <c r="F115" s="57">
        <f>IF($A115="","",IF(_xlfn.XLOOKUP($A115,Korrelation!$D$4:$D$1197,Korrelation!I$4:I$1197,"-",0)="-",0,MATCH(_xlfn.XLOOKUP($A115,Korrelation!$D$4:$D$1197,Korrelation!I$4:I$1197,"",0),DMAV_Dienste!$F$6:$F$140,0)))</f>
        <v>0</v>
      </c>
      <c r="G115" s="57">
        <f>IF($A115="","",IF(_xlfn.XLOOKUP($A115,Korrelation!$D$4:$D$1197,Korrelation!J$4:J$1197,"-",0)="-",0,MATCH(_xlfn.XLOOKUP($A115,Korrelation!$D$4:$D$1197,Korrelation!J$4:J$1197,"",0),DMAV_Dienste!$F$6:$F$140,0)))</f>
        <v>0</v>
      </c>
      <c r="H115" s="57">
        <f>IF($A115="","",IF(_xlfn.XLOOKUP($A115,Korrelation!$D$4:$D$1197,Korrelation!K$4:K$1197,"-",0)="-",0,MATCH(_xlfn.XLOOKUP($A115,Korrelation!$D$4:$D$1197,Korrelation!K$4:K$1197,"",0),'DM01-AV-CH'!$A$6:$A$834,0)))</f>
        <v>65</v>
      </c>
      <c r="J115" s="54" t="str" cm="1">
        <f t="array" aca="1" ref="J115" ca="1">IF(B115=0,IF(E115=0,"",HYPERLINK("#"&amp;RIGHT(CELL("adresse",OFFSET(DMAV_Dienste!$M$6,E115-1,0)),LEN(CELL("adresse",OFFSET(DMAV_Dienste!$M$6,E115-1,0)))-FIND("]",CELL("adresse",OFFSET(DMAV_Dienste!$M$6,E115-1,0)))),"Dienst")),HYPERLINK("#"&amp;RIGHT(CELL("adresse",OFFSET(DMAV_Modell!$N$6,B115-1,0)),LEN(CELL("adresse",OFFSET(DMAV_Modell!$N$6,B115-1,0)))-FIND("]",CELL("adresse",OFFSET(DMAV_Modell!$N$6,B115-1,0)))),"Modell"))</f>
        <v/>
      </c>
      <c r="K115" s="61" t="str" cm="1">
        <f t="array" ref="K115">IF($B115=0,IF($E115=0,"",IF(INDEX(DMAV_Dienste!P$6:P$140,$E115)="","",INDEX(DMAV_Dienste!P$6:P$140,$E115))),IF(INDEX(DMAV_Modell!Q$6:Q$838,$B115)="","",INDEX(DMAV_Modell!Q$6:Q$838,$B115)))</f>
        <v/>
      </c>
      <c r="L115" s="62" t="str" cm="1">
        <f t="array" ref="L115">IF($B115=0,IF($E115=0,"",IF(INDEX(DMAV_Dienste!O$6:O$140,$E115)="","",INDEX(DMAV_Dienste!O$6:O$140,$E115))),IF(INDEX(DMAV_Modell!P$6:P$838,$B115)="","",INDEX(DMAV_Modell!P$6:P$838,$B115)))</f>
        <v/>
      </c>
      <c r="M115" s="62" t="str" cm="1">
        <f t="array" ref="M115">IF($B115=0,IF($E115=0,"",IF(INDEX(DMAV_Dienste!Q$6:Q$140,$E115)="","",INDEX(DMAV_Dienste!Q$6:Q$140,$E115))),IF(INDEX(DMAV_Modell!R$6:R$838,$B115)="","",INDEX(DMAV_Modell!R$6:R$838,$B115)))</f>
        <v/>
      </c>
      <c r="N115" s="62" t="str" cm="1">
        <f t="array" ref="N115">IF($B115=0,IF($E115=0,"",IF(INDEX(DMAV_Dienste!T$6:T$140,$E115)="","",INDEX(DMAV_Dienste!T$6:T$140,$E115))),IF(INDEX(DMAV_Modell!U$6:U$838,$B115)="","",INDEX(DMAV_Modell!U$6:U$838,$B115)))</f>
        <v/>
      </c>
      <c r="O115" s="63" t="str" cm="1">
        <f t="array" aca="1" ref="O115" ca="1">IF(C115=0,IF(F115=0,"",HYPERLINK("#"&amp;RIGHT(CELL("adresse",OFFSET(DMAV_Dienste!$M$6,F115-1,0)),LEN(CELL("adresse",OFFSET(DMAV_Dienste!$M$6,F115-1,0)))-FIND("]",CELL("adresse",OFFSET(DMAV_Dienste!$M$6,F115-1,0)))),"Structure")),HYPERLINK("#"&amp;RIGHT(CELL("adresse",OFFSET(DMAV_Modell!$N$6,C115-1,0)),LEN(CELL("adresse",OFFSET(DMAV_Modell!$N$6,C115-1,0)))-FIND("]",CELL("adresse",OFFSET(DMAV_Modell!$N$6,C115-1,0)))),"Structure"))</f>
        <v/>
      </c>
      <c r="P115" s="64" t="str" cm="1">
        <f t="array" aca="1" ref="P115" ca="1">IF(D115=0,IF(G115=0,"",HYPERLINK("#"&amp;RIGHT(CELL("adresse",OFFSET(DMAV_Dienste!$M$6,G115-1,0)),LEN(CELL("adresse",OFFSET(DMAV_Dienste!$M$6,G115-1,0)))-FIND("]",CELL("adresse",OFFSET(DMAV_Dienste!$M$6,G115-1,0)))),"Substructure")),HYPERLINK("#"&amp;RIGHT(CELL("adresse",OFFSET(DMAV_Modell!$N$6,D115-1,0)),LEN(CELL("adresse",OFFSET(DMAV_Modell!$N$6,D115-1,0)))-FIND("]",CELL("adresse",OFFSET(DMAV_Modell!$N$6,D115-1,0)))),"Substructure"))</f>
        <v/>
      </c>
      <c r="R115" s="80"/>
      <c r="T115" s="93"/>
      <c r="U115" s="94"/>
      <c r="V115" s="95"/>
      <c r="W115" s="96"/>
      <c r="Y115" s="85"/>
      <c r="Z115" s="86"/>
      <c r="AA115" s="87"/>
      <c r="AB115" s="88" t="s">
        <v>3316</v>
      </c>
      <c r="AD115" s="77"/>
      <c r="AF115" s="54" t="str" cm="1">
        <f t="array" aca="1" ref="AF115" ca="1">IF(H115=0,"",HYPERLINK("#"&amp;RIGHT(CELL("adresse",OFFSET('DM01-AV-CH'!$G$6,H115-1,0)),LEN(CELL("adresse",OFFSET('DM01-AV-CH'!$G$6,H115-1,0)))-FIND("]",CELL("adresse",OFFSET('DM01-AV-CH'!$G$6,H115-1,0)))),"Modell"))</f>
        <v>Modell</v>
      </c>
      <c r="AG115" s="72" t="str" cm="1">
        <f t="array" ref="AG115">IF($H115=0,"",IF(INDEX('DM01-AV-CH'!G$6:G$834,$H115)="","",INDEX('DM01-AV-CH'!G$6:G$834,$H115)))</f>
        <v>FixpunkteKategorie1</v>
      </c>
      <c r="AH115" s="73" t="str" cm="1">
        <f t="array" ref="AH115">IF($H115=0,"",IF(INDEX('DM01-AV-CH'!H$6:H$834,$H115)="","",INDEX('DM01-AV-CH'!H$6:H$834,$H115)))</f>
        <v>HFP1Nachfuehrung</v>
      </c>
      <c r="AI115" s="74" t="str" cm="1">
        <f t="array" ref="AI115">IF($H115=0,"",IF(INDEX('DM01-AV-CH'!I$6:I$834,$H115)="","",INDEX('DM01-AV-CH'!I$6:I$834,$H115)))</f>
        <v>GueltigerEintrag</v>
      </c>
    </row>
    <row r="116" spans="1:35" ht="114" x14ac:dyDescent="0.25">
      <c r="A116" s="57">
        <v>111</v>
      </c>
      <c r="B116" s="57">
        <f>IF($A116="","",IF(_xlfn.XLOOKUP($A116,Korrelation!$D$4:$D$1197,Korrelation!E$4:E$1197,"-",0)="-",0,MATCH(_xlfn.XLOOKUP($A116,Korrelation!$D$4:$D$1197,Korrelation!E$4:E$1197,"",0),DMAV_Modell!$G$6:$G$677,0)))</f>
        <v>0</v>
      </c>
      <c r="C116" s="57">
        <f>IF($A116="","",IF(_xlfn.XLOOKUP($A116,Korrelation!$D$4:$D$1197,Korrelation!F$4:F$1197,"-",0)="-",0,MATCH(_xlfn.XLOOKUP($A116,Korrelation!$D$4:$D$1197,Korrelation!F$4:F$1197,"",0),DMAV_Modell!$G$6:$G$677,0)))</f>
        <v>0</v>
      </c>
      <c r="D116" s="57">
        <f>IF($A116="","",IF(_xlfn.XLOOKUP($A116,Korrelation!$D$4:$D$1197,Korrelation!G$4:G$1197,"-",0)="-",0,MATCH(_xlfn.XLOOKUP($A116,Korrelation!$D$4:$D$1197,Korrelation!G$4:G$1197,"",0),DMAV_Modell!$G$6:$G$677,0)))</f>
        <v>0</v>
      </c>
      <c r="E116" s="57">
        <f>IF($A116="","",IF(_xlfn.XLOOKUP($A116,Korrelation!$D$4:$D$1197,Korrelation!H$4:H$1197,"-",0)="-",0,MATCH(_xlfn.XLOOKUP($A116,Korrelation!$D$4:$D$1197,Korrelation!H$4:H$1197,"",0),DMAV_Dienste!$F$6:$F$140,0)))</f>
        <v>0</v>
      </c>
      <c r="F116" s="57">
        <f>IF($A116="","",IF(_xlfn.XLOOKUP($A116,Korrelation!$D$4:$D$1197,Korrelation!I$4:I$1197,"-",0)="-",0,MATCH(_xlfn.XLOOKUP($A116,Korrelation!$D$4:$D$1197,Korrelation!I$4:I$1197,"",0),DMAV_Dienste!$F$6:$F$140,0)))</f>
        <v>0</v>
      </c>
      <c r="G116" s="57">
        <f>IF($A116="","",IF(_xlfn.XLOOKUP($A116,Korrelation!$D$4:$D$1197,Korrelation!J$4:J$1197,"-",0)="-",0,MATCH(_xlfn.XLOOKUP($A116,Korrelation!$D$4:$D$1197,Korrelation!J$4:J$1197,"",0),DMAV_Dienste!$F$6:$F$140,0)))</f>
        <v>0</v>
      </c>
      <c r="H116" s="57">
        <f>IF($A116="","",IF(_xlfn.XLOOKUP($A116,Korrelation!$D$4:$D$1197,Korrelation!K$4:K$1197,"-",0)="-",0,MATCH(_xlfn.XLOOKUP($A116,Korrelation!$D$4:$D$1197,Korrelation!K$4:K$1197,"",0),'DM01-AV-CH'!$A$6:$A$834,0)))</f>
        <v>66</v>
      </c>
      <c r="J116" s="54" t="str" cm="1">
        <f t="array" aca="1" ref="J116" ca="1">IF(B116=0,IF(E116=0,"",HYPERLINK("#"&amp;RIGHT(CELL("adresse",OFFSET(DMAV_Dienste!$M$6,E116-1,0)),LEN(CELL("adresse",OFFSET(DMAV_Dienste!$M$6,E116-1,0)))-FIND("]",CELL("adresse",OFFSET(DMAV_Dienste!$M$6,E116-1,0)))),"Dienst")),HYPERLINK("#"&amp;RIGHT(CELL("adresse",OFFSET(DMAV_Modell!$N$6,B116-1,0)),LEN(CELL("adresse",OFFSET(DMAV_Modell!$N$6,B116-1,0)))-FIND("]",CELL("adresse",OFFSET(DMAV_Modell!$N$6,B116-1,0)))),"Modell"))</f>
        <v/>
      </c>
      <c r="K116" s="61" t="str" cm="1">
        <f t="array" ref="K116">IF($B116=0,IF($E116=0,"",IF(INDEX(DMAV_Dienste!P$6:P$140,$E116)="","",INDEX(DMAV_Dienste!P$6:P$140,$E116))),IF(INDEX(DMAV_Modell!Q$6:Q$838,$B116)="","",INDEX(DMAV_Modell!Q$6:Q$838,$B116)))</f>
        <v/>
      </c>
      <c r="L116" s="62" t="str" cm="1">
        <f t="array" ref="L116">IF($B116=0,IF($E116=0,"",IF(INDEX(DMAV_Dienste!O$6:O$140,$E116)="","",INDEX(DMAV_Dienste!O$6:O$140,$E116))),IF(INDEX(DMAV_Modell!P$6:P$838,$B116)="","",INDEX(DMAV_Modell!P$6:P$838,$B116)))</f>
        <v/>
      </c>
      <c r="M116" s="62" t="str" cm="1">
        <f t="array" ref="M116">IF($B116=0,IF($E116=0,"",IF(INDEX(DMAV_Dienste!Q$6:Q$140,$E116)="","",INDEX(DMAV_Dienste!Q$6:Q$140,$E116))),IF(INDEX(DMAV_Modell!R$6:R$838,$B116)="","",INDEX(DMAV_Modell!R$6:R$838,$B116)))</f>
        <v/>
      </c>
      <c r="N116" s="62" t="str" cm="1">
        <f t="array" ref="N116">IF($B116=0,IF($E116=0,"",IF(INDEX(DMAV_Dienste!T$6:T$140,$E116)="","",INDEX(DMAV_Dienste!T$6:T$140,$E116))),IF(INDEX(DMAV_Modell!U$6:U$838,$B116)="","",INDEX(DMAV_Modell!U$6:U$838,$B116)))</f>
        <v/>
      </c>
      <c r="O116" s="63" t="str" cm="1">
        <f t="array" aca="1" ref="O116" ca="1">IF(C116=0,IF(F116=0,"",HYPERLINK("#"&amp;RIGHT(CELL("adresse",OFFSET(DMAV_Dienste!$M$6,F116-1,0)),LEN(CELL("adresse",OFFSET(DMAV_Dienste!$M$6,F116-1,0)))-FIND("]",CELL("adresse",OFFSET(DMAV_Dienste!$M$6,F116-1,0)))),"Structure")),HYPERLINK("#"&amp;RIGHT(CELL("adresse",OFFSET(DMAV_Modell!$N$6,C116-1,0)),LEN(CELL("adresse",OFFSET(DMAV_Modell!$N$6,C116-1,0)))-FIND("]",CELL("adresse",OFFSET(DMAV_Modell!$N$6,C116-1,0)))),"Structure"))</f>
        <v/>
      </c>
      <c r="P116" s="64" t="str" cm="1">
        <f t="array" aca="1" ref="P116" ca="1">IF(D116=0,IF(G116=0,"",HYPERLINK("#"&amp;RIGHT(CELL("adresse",OFFSET(DMAV_Dienste!$M$6,G116-1,0)),LEN(CELL("adresse",OFFSET(DMAV_Dienste!$M$6,G116-1,0)))-FIND("]",CELL("adresse",OFFSET(DMAV_Dienste!$M$6,G116-1,0)))),"Substructure")),HYPERLINK("#"&amp;RIGHT(CELL("adresse",OFFSET(DMAV_Modell!$N$6,D116-1,0)),LEN(CELL("adresse",OFFSET(DMAV_Modell!$N$6,D116-1,0)))-FIND("]",CELL("adresse",OFFSET(DMAV_Modell!$N$6,D116-1,0)))),"Substructure"))</f>
        <v/>
      </c>
      <c r="R116" s="80"/>
      <c r="T116" s="93"/>
      <c r="U116" s="94"/>
      <c r="V116" s="95"/>
      <c r="W116" s="96"/>
      <c r="Y116" s="85"/>
      <c r="Z116" s="86"/>
      <c r="AA116" s="87"/>
      <c r="AB116" s="88" t="s">
        <v>3316</v>
      </c>
      <c r="AD116" s="77" t="s">
        <v>3049</v>
      </c>
      <c r="AF116" s="54" t="str" cm="1">
        <f t="array" aca="1" ref="AF116" ca="1">IF(H116=0,"",HYPERLINK("#"&amp;RIGHT(CELL("adresse",OFFSET('DM01-AV-CH'!$G$6,H116-1,0)),LEN(CELL("adresse",OFFSET('DM01-AV-CH'!$G$6,H116-1,0)))-FIND("]",CELL("adresse",OFFSET('DM01-AV-CH'!$G$6,H116-1,0)))),"Modell"))</f>
        <v>Modell</v>
      </c>
      <c r="AG116" s="72" t="str" cm="1">
        <f t="array" ref="AG116">IF($H116=0,"",IF(INDEX('DM01-AV-CH'!G$6:G$834,$H116)="","",INDEX('DM01-AV-CH'!G$6:G$834,$H116)))</f>
        <v>FixpunkteKategorie1</v>
      </c>
      <c r="AH116" s="73" t="str" cm="1">
        <f t="array" ref="AH116">IF($H116=0,"",IF(INDEX('DM01-AV-CH'!H$6:H$834,$H116)="","",INDEX('DM01-AV-CH'!H$6:H$834,$H116)))</f>
        <v>HFP1Nachfuehrung</v>
      </c>
      <c r="AI116" s="74" t="str" cm="1">
        <f t="array" ref="AI116">IF($H116=0,"",IF(INDEX('DM01-AV-CH'!I$6:I$834,$H116)="","",INDEX('DM01-AV-CH'!I$6:I$834,$H116)))</f>
        <v>Datum1</v>
      </c>
    </row>
    <row r="117" spans="1:35" x14ac:dyDescent="0.25">
      <c r="A117" s="57">
        <v>112</v>
      </c>
      <c r="B117" s="57">
        <f>IF($A117="","",IF(_xlfn.XLOOKUP($A117,Korrelation!$D$4:$D$1197,Korrelation!E$4:E$1197,"-",0)="-",0,MATCH(_xlfn.XLOOKUP($A117,Korrelation!$D$4:$D$1197,Korrelation!E$4:E$1197,"",0),DMAV_Modell!$G$6:$G$677,0)))</f>
        <v>0</v>
      </c>
      <c r="C117" s="57">
        <f>IF($A117="","",IF(_xlfn.XLOOKUP($A117,Korrelation!$D$4:$D$1197,Korrelation!F$4:F$1197,"-",0)="-",0,MATCH(_xlfn.XLOOKUP($A117,Korrelation!$D$4:$D$1197,Korrelation!F$4:F$1197,"",0),DMAV_Modell!$G$6:$G$677,0)))</f>
        <v>0</v>
      </c>
      <c r="D117" s="57">
        <f>IF($A117="","",IF(_xlfn.XLOOKUP($A117,Korrelation!$D$4:$D$1197,Korrelation!G$4:G$1197,"-",0)="-",0,MATCH(_xlfn.XLOOKUP($A117,Korrelation!$D$4:$D$1197,Korrelation!G$4:G$1197,"",0),DMAV_Modell!$G$6:$G$677,0)))</f>
        <v>0</v>
      </c>
      <c r="E117" s="57">
        <f>IF($A117="","",IF(_xlfn.XLOOKUP($A117,Korrelation!$D$4:$D$1197,Korrelation!H$4:H$1197,"-",0)="-",0,MATCH(_xlfn.XLOOKUP($A117,Korrelation!$D$4:$D$1197,Korrelation!H$4:H$1197,"",0),DMAV_Dienste!$F$6:$F$140,0)))</f>
        <v>0</v>
      </c>
      <c r="F117" s="57">
        <f>IF($A117="","",IF(_xlfn.XLOOKUP($A117,Korrelation!$D$4:$D$1197,Korrelation!I$4:I$1197,"-",0)="-",0,MATCH(_xlfn.XLOOKUP($A117,Korrelation!$D$4:$D$1197,Korrelation!I$4:I$1197,"",0),DMAV_Dienste!$F$6:$F$140,0)))</f>
        <v>0</v>
      </c>
      <c r="G117" s="57">
        <f>IF($A117="","",IF(_xlfn.XLOOKUP($A117,Korrelation!$D$4:$D$1197,Korrelation!J$4:J$1197,"-",0)="-",0,MATCH(_xlfn.XLOOKUP($A117,Korrelation!$D$4:$D$1197,Korrelation!J$4:J$1197,"",0),DMAV_Dienste!$F$6:$F$140,0)))</f>
        <v>0</v>
      </c>
      <c r="H117" s="57">
        <f>IF($A117="","",IF(_xlfn.XLOOKUP($A117,Korrelation!$D$4:$D$1197,Korrelation!K$4:K$1197,"-",0)="-",0,MATCH(_xlfn.XLOOKUP($A117,Korrelation!$D$4:$D$1197,Korrelation!K$4:K$1197,"",0),'DM01-AV-CH'!$A$6:$A$834,0)))</f>
        <v>67</v>
      </c>
      <c r="J117" s="54" t="str" cm="1">
        <f t="array" aca="1" ref="J117" ca="1">IF(B117=0,IF(E117=0,"",HYPERLINK("#"&amp;RIGHT(CELL("adresse",OFFSET(DMAV_Dienste!$M$6,E117-1,0)),LEN(CELL("adresse",OFFSET(DMAV_Dienste!$M$6,E117-1,0)))-FIND("]",CELL("adresse",OFFSET(DMAV_Dienste!$M$6,E117-1,0)))),"Dienst")),HYPERLINK("#"&amp;RIGHT(CELL("adresse",OFFSET(DMAV_Modell!$N$6,B117-1,0)),LEN(CELL("adresse",OFFSET(DMAV_Modell!$N$6,B117-1,0)))-FIND("]",CELL("adresse",OFFSET(DMAV_Modell!$N$6,B117-1,0)))),"Modell"))</f>
        <v/>
      </c>
      <c r="K117" s="61" t="str" cm="1">
        <f t="array" ref="K117">IF($B117=0,IF($E117=0,"",IF(INDEX(DMAV_Dienste!P$6:P$140,$E117)="","",INDEX(DMAV_Dienste!P$6:P$140,$E117))),IF(INDEX(DMAV_Modell!Q$6:Q$838,$B117)="","",INDEX(DMAV_Modell!Q$6:Q$838,$B117)))</f>
        <v/>
      </c>
      <c r="L117" s="62" t="str" cm="1">
        <f t="array" ref="L117">IF($B117=0,IF($E117=0,"",IF(INDEX(DMAV_Dienste!O$6:O$140,$E117)="","",INDEX(DMAV_Dienste!O$6:O$140,$E117))),IF(INDEX(DMAV_Modell!P$6:P$838,$B117)="","",INDEX(DMAV_Modell!P$6:P$838,$B117)))</f>
        <v/>
      </c>
      <c r="M117" s="62" t="str" cm="1">
        <f t="array" ref="M117">IF($B117=0,IF($E117=0,"",IF(INDEX(DMAV_Dienste!Q$6:Q$140,$E117)="","",INDEX(DMAV_Dienste!Q$6:Q$140,$E117))),IF(INDEX(DMAV_Modell!R$6:R$838,$B117)="","",INDEX(DMAV_Modell!R$6:R$838,$B117)))</f>
        <v/>
      </c>
      <c r="N117" s="62" t="str" cm="1">
        <f t="array" ref="N117">IF($B117=0,IF($E117=0,"",IF(INDEX(DMAV_Dienste!T$6:T$140,$E117)="","",INDEX(DMAV_Dienste!T$6:T$140,$E117))),IF(INDEX(DMAV_Modell!U$6:U$838,$B117)="","",INDEX(DMAV_Modell!U$6:U$838,$B117)))</f>
        <v/>
      </c>
      <c r="O117" s="63" t="str" cm="1">
        <f t="array" aca="1" ref="O117" ca="1">IF(C117=0,IF(F117=0,"",HYPERLINK("#"&amp;RIGHT(CELL("adresse",OFFSET(DMAV_Dienste!$M$6,F117-1,0)),LEN(CELL("adresse",OFFSET(DMAV_Dienste!$M$6,F117-1,0)))-FIND("]",CELL("adresse",OFFSET(DMAV_Dienste!$M$6,F117-1,0)))),"Structure")),HYPERLINK("#"&amp;RIGHT(CELL("adresse",OFFSET(DMAV_Modell!$N$6,C117-1,0)),LEN(CELL("adresse",OFFSET(DMAV_Modell!$N$6,C117-1,0)))-FIND("]",CELL("adresse",OFFSET(DMAV_Modell!$N$6,C117-1,0)))),"Structure"))</f>
        <v/>
      </c>
      <c r="P117" s="64" t="str" cm="1">
        <f t="array" aca="1" ref="P117" ca="1">IF(D117=0,IF(G117=0,"",HYPERLINK("#"&amp;RIGHT(CELL("adresse",OFFSET(DMAV_Dienste!$M$6,G117-1,0)),LEN(CELL("adresse",OFFSET(DMAV_Dienste!$M$6,G117-1,0)))-FIND("]",CELL("adresse",OFFSET(DMAV_Dienste!$M$6,G117-1,0)))),"Substructure")),HYPERLINK("#"&amp;RIGHT(CELL("adresse",OFFSET(DMAV_Modell!$N$6,D117-1,0)),LEN(CELL("adresse",OFFSET(DMAV_Modell!$N$6,D117-1,0)))-FIND("]",CELL("adresse",OFFSET(DMAV_Modell!$N$6,D117-1,0)))),"Substructure"))</f>
        <v/>
      </c>
      <c r="R117" s="80"/>
      <c r="T117" s="93"/>
      <c r="U117" s="94"/>
      <c r="V117" s="95"/>
      <c r="W117" s="96"/>
      <c r="Y117" s="85"/>
      <c r="Z117" s="86"/>
      <c r="AA117" s="87"/>
      <c r="AB117" s="88"/>
      <c r="AD117" s="77"/>
      <c r="AF117" s="54" t="str" cm="1">
        <f t="array" aca="1" ref="AF117" ca="1">IF(H117=0,"",HYPERLINK("#"&amp;RIGHT(CELL("adresse",OFFSET('DM01-AV-CH'!$G$6,H117-1,0)),LEN(CELL("adresse",OFFSET('DM01-AV-CH'!$G$6,H117-1,0)))-FIND("]",CELL("adresse",OFFSET('DM01-AV-CH'!$G$6,H117-1,0)))),"Modell"))</f>
        <v>Modell</v>
      </c>
      <c r="AG117" s="72" t="str" cm="1">
        <f t="array" ref="AG117">IF($H117=0,"",IF(INDEX('DM01-AV-CH'!G$6:G$834,$H117)="","",INDEX('DM01-AV-CH'!G$6:G$834,$H117)))</f>
        <v>FixpunkteKategorie1</v>
      </c>
      <c r="AH117" s="73" t="str" cm="1">
        <f t="array" ref="AH117">IF($H117=0,"",IF(INDEX('DM01-AV-CH'!H$6:H$834,$H117)="","",INDEX('DM01-AV-CH'!H$6:H$834,$H117)))</f>
        <v>HFP1</v>
      </c>
      <c r="AI117" s="74" t="str" cm="1">
        <f t="array" ref="AI117">IF($H117=0,"",IF(INDEX('DM01-AV-CH'!I$6:I$834,$H117)="","",INDEX('DM01-AV-CH'!I$6:I$834,$H117)))</f>
        <v>Entstehung</v>
      </c>
    </row>
    <row r="118" spans="1:35" x14ac:dyDescent="0.25">
      <c r="A118" s="57">
        <v>113</v>
      </c>
      <c r="B118" s="57">
        <f>IF($A118="","",IF(_xlfn.XLOOKUP($A118,Korrelation!$D$4:$D$1197,Korrelation!E$4:E$1197,"-",0)="-",0,MATCH(_xlfn.XLOOKUP($A118,Korrelation!$D$4:$D$1197,Korrelation!E$4:E$1197,"",0),DMAV_Modell!$G$6:$G$677,0)))</f>
        <v>0</v>
      </c>
      <c r="C118" s="57">
        <f>IF($A118="","",IF(_xlfn.XLOOKUP($A118,Korrelation!$D$4:$D$1197,Korrelation!F$4:F$1197,"-",0)="-",0,MATCH(_xlfn.XLOOKUP($A118,Korrelation!$D$4:$D$1197,Korrelation!F$4:F$1197,"",0),DMAV_Modell!$G$6:$G$677,0)))</f>
        <v>0</v>
      </c>
      <c r="D118" s="57">
        <f>IF($A118="","",IF(_xlfn.XLOOKUP($A118,Korrelation!$D$4:$D$1197,Korrelation!G$4:G$1197,"-",0)="-",0,MATCH(_xlfn.XLOOKUP($A118,Korrelation!$D$4:$D$1197,Korrelation!G$4:G$1197,"",0),DMAV_Modell!$G$6:$G$677,0)))</f>
        <v>0</v>
      </c>
      <c r="E118" s="57">
        <f>IF($A118="","",IF(_xlfn.XLOOKUP($A118,Korrelation!$D$4:$D$1197,Korrelation!H$4:H$1197,"-",0)="-",0,MATCH(_xlfn.XLOOKUP($A118,Korrelation!$D$4:$D$1197,Korrelation!H$4:H$1197,"",0),DMAV_Dienste!$F$6:$F$140,0)))</f>
        <v>20</v>
      </c>
      <c r="F118" s="57">
        <f>IF($A118="","",IF(_xlfn.XLOOKUP($A118,Korrelation!$D$4:$D$1197,Korrelation!I$4:I$1197,"-",0)="-",0,MATCH(_xlfn.XLOOKUP($A118,Korrelation!$D$4:$D$1197,Korrelation!I$4:I$1197,"",0),DMAV_Dienste!$F$6:$F$140,0)))</f>
        <v>0</v>
      </c>
      <c r="G118" s="57">
        <f>IF($A118="","",IF(_xlfn.XLOOKUP($A118,Korrelation!$D$4:$D$1197,Korrelation!J$4:J$1197,"-",0)="-",0,MATCH(_xlfn.XLOOKUP($A118,Korrelation!$D$4:$D$1197,Korrelation!J$4:J$1197,"",0),DMAV_Dienste!$F$6:$F$140,0)))</f>
        <v>0</v>
      </c>
      <c r="H118" s="57">
        <f>IF($A118="","",IF(_xlfn.XLOOKUP($A118,Korrelation!$D$4:$D$1197,Korrelation!K$4:K$1197,"-",0)="-",0,MATCH(_xlfn.XLOOKUP($A118,Korrelation!$D$4:$D$1197,Korrelation!K$4:K$1197,"",0),'DM01-AV-CH'!$A$6:$A$834,0)))</f>
        <v>68</v>
      </c>
      <c r="J118" s="54" t="str" cm="1">
        <f t="array" aca="1" ref="J118" ca="1">IF(B118=0,IF(E118=0,"",HYPERLINK("#"&amp;RIGHT(CELL("adresse",OFFSET(DMAV_Dienste!$M$6,E118-1,0)),LEN(CELL("adresse",OFFSET(DMAV_Dienste!$M$6,E118-1,0)))-FIND("]",CELL("adresse",OFFSET(DMAV_Dienste!$M$6,E118-1,0)))),"Dienst")),HYPERLINK("#"&amp;RIGHT(CELL("adresse",OFFSET(DMAV_Modell!$N$6,B118-1,0)),LEN(CELL("adresse",OFFSET(DMAV_Modell!$N$6,B118-1,0)))-FIND("]",CELL("adresse",OFFSET(DMAV_Modell!$N$6,B118-1,0)))),"Modell"))</f>
        <v>Dienst</v>
      </c>
      <c r="K118" s="61" t="str" cm="1">
        <f t="array" ref="K118">IF($B118=0,IF($E118=0,"",IF(INDEX(DMAV_Dienste!P$6:P$140,$E118)="","",INDEX(DMAV_Dienste!P$6:P$140,$E118))),IF(INDEX(DMAV_Modell!Q$6:Q$838,$B118)="","",INDEX(DMAV_Modell!Q$6:Q$838,$B118)))</f>
        <v>CLASS</v>
      </c>
      <c r="L118" s="62" t="str" cm="1">
        <f t="array" ref="L118">IF($B118=0,IF($E118=0,"",IF(INDEX(DMAV_Dienste!O$6:O$140,$E118)="","",INDEX(DMAV_Dienste!O$6:O$140,$E118))),IF(INDEX(DMAV_Modell!P$6:P$838,$B118)="","",INDEX(DMAV_Modell!P$6:P$838,$B118)))</f>
        <v>FixpunkteLV</v>
      </c>
      <c r="M118" s="62" t="str" cm="1">
        <f t="array" ref="M118">IF($B118=0,IF($E118=0,"",IF(INDEX(DMAV_Dienste!Q$6:Q$140,$E118)="","",INDEX(DMAV_Dienste!Q$6:Q$140,$E118))),IF(INDEX(DMAV_Modell!R$6:R$838,$B118)="","",INDEX(DMAV_Modell!R$6:R$838,$B118)))</f>
        <v>HFP1</v>
      </c>
      <c r="N118" s="62" t="str" cm="1">
        <f t="array" ref="N118">IF($B118=0,IF($E118=0,"",IF(INDEX(DMAV_Dienste!T$6:T$140,$E118)="","",INDEX(DMAV_Dienste!T$6:T$140,$E118))),IF(INDEX(DMAV_Modell!U$6:U$838,$B118)="","",INDEX(DMAV_Modell!U$6:U$838,$B118)))</f>
        <v>NBIDENT</v>
      </c>
      <c r="O118" s="63" t="str" cm="1">
        <f t="array" aca="1" ref="O118" ca="1">IF(C118=0,IF(F118=0,"",HYPERLINK("#"&amp;RIGHT(CELL("adresse",OFFSET(DMAV_Dienste!$M$6,F118-1,0)),LEN(CELL("adresse",OFFSET(DMAV_Dienste!$M$6,F118-1,0)))-FIND("]",CELL("adresse",OFFSET(DMAV_Dienste!$M$6,F118-1,0)))),"Structure")),HYPERLINK("#"&amp;RIGHT(CELL("adresse",OFFSET(DMAV_Modell!$N$6,C118-1,0)),LEN(CELL("adresse",OFFSET(DMAV_Modell!$N$6,C118-1,0)))-FIND("]",CELL("adresse",OFFSET(DMAV_Modell!$N$6,C118-1,0)))),"Structure"))</f>
        <v/>
      </c>
      <c r="P118" s="64" t="str" cm="1">
        <f t="array" aca="1" ref="P118" ca="1">IF(D118=0,IF(G118=0,"",HYPERLINK("#"&amp;RIGHT(CELL("adresse",OFFSET(DMAV_Dienste!$M$6,G118-1,0)),LEN(CELL("adresse",OFFSET(DMAV_Dienste!$M$6,G118-1,0)))-FIND("]",CELL("adresse",OFFSET(DMAV_Dienste!$M$6,G118-1,0)))),"Substructure")),HYPERLINK("#"&amp;RIGHT(CELL("adresse",OFFSET(DMAV_Modell!$N$6,D118-1,0)),LEN(CELL("adresse",OFFSET(DMAV_Modell!$N$6,D118-1,0)))-FIND("]",CELL("adresse",OFFSET(DMAV_Modell!$N$6,D118-1,0)))),"Substructure"))</f>
        <v/>
      </c>
      <c r="R118" s="80"/>
      <c r="T118" s="93"/>
      <c r="U118" s="94"/>
      <c r="V118" s="95"/>
      <c r="W118" s="96"/>
      <c r="Y118" s="85"/>
      <c r="Z118" s="86"/>
      <c r="AA118" s="87"/>
      <c r="AB118" s="88"/>
      <c r="AD118" s="77"/>
      <c r="AF118" s="54" t="str" cm="1">
        <f t="array" aca="1" ref="AF118" ca="1">IF(H118=0,"",HYPERLINK("#"&amp;RIGHT(CELL("adresse",OFFSET('DM01-AV-CH'!$G$6,H118-1,0)),LEN(CELL("adresse",OFFSET('DM01-AV-CH'!$G$6,H118-1,0)))-FIND("]",CELL("adresse",OFFSET('DM01-AV-CH'!$G$6,H118-1,0)))),"Modell"))</f>
        <v>Modell</v>
      </c>
      <c r="AG118" s="72" t="str" cm="1">
        <f t="array" ref="AG118">IF($H118=0,"",IF(INDEX('DM01-AV-CH'!G$6:G$834,$H118)="","",INDEX('DM01-AV-CH'!G$6:G$834,$H118)))</f>
        <v>FixpunkteKategorie1</v>
      </c>
      <c r="AH118" s="73" t="str" cm="1">
        <f t="array" ref="AH118">IF($H118=0,"",IF(INDEX('DM01-AV-CH'!H$6:H$834,$H118)="","",INDEX('DM01-AV-CH'!H$6:H$834,$H118)))</f>
        <v>HFP1</v>
      </c>
      <c r="AI118" s="74" t="str" cm="1">
        <f t="array" ref="AI118">IF($H118=0,"",IF(INDEX('DM01-AV-CH'!I$6:I$834,$H118)="","",INDEX('DM01-AV-CH'!I$6:I$834,$H118)))</f>
        <v>NBIdent</v>
      </c>
    </row>
    <row r="119" spans="1:35" x14ac:dyDescent="0.25">
      <c r="A119" s="57">
        <v>114</v>
      </c>
      <c r="B119" s="57">
        <f>IF($A119="","",IF(_xlfn.XLOOKUP($A119,Korrelation!$D$4:$D$1197,Korrelation!E$4:E$1197,"-",0)="-",0,MATCH(_xlfn.XLOOKUP($A119,Korrelation!$D$4:$D$1197,Korrelation!E$4:E$1197,"",0),DMAV_Modell!$G$6:$G$677,0)))</f>
        <v>0</v>
      </c>
      <c r="C119" s="57">
        <f>IF($A119="","",IF(_xlfn.XLOOKUP($A119,Korrelation!$D$4:$D$1197,Korrelation!F$4:F$1197,"-",0)="-",0,MATCH(_xlfn.XLOOKUP($A119,Korrelation!$D$4:$D$1197,Korrelation!F$4:F$1197,"",0),DMAV_Modell!$G$6:$G$677,0)))</f>
        <v>0</v>
      </c>
      <c r="D119" s="57">
        <f>IF($A119="","",IF(_xlfn.XLOOKUP($A119,Korrelation!$D$4:$D$1197,Korrelation!G$4:G$1197,"-",0)="-",0,MATCH(_xlfn.XLOOKUP($A119,Korrelation!$D$4:$D$1197,Korrelation!G$4:G$1197,"",0),DMAV_Modell!$G$6:$G$677,0)))</f>
        <v>0</v>
      </c>
      <c r="E119" s="57">
        <f>IF($A119="","",IF(_xlfn.XLOOKUP($A119,Korrelation!$D$4:$D$1197,Korrelation!H$4:H$1197,"-",0)="-",0,MATCH(_xlfn.XLOOKUP($A119,Korrelation!$D$4:$D$1197,Korrelation!H$4:H$1197,"",0),DMAV_Dienste!$F$6:$F$140,0)))</f>
        <v>21</v>
      </c>
      <c r="F119" s="57">
        <f>IF($A119="","",IF(_xlfn.XLOOKUP($A119,Korrelation!$D$4:$D$1197,Korrelation!I$4:I$1197,"-",0)="-",0,MATCH(_xlfn.XLOOKUP($A119,Korrelation!$D$4:$D$1197,Korrelation!I$4:I$1197,"",0),DMAV_Dienste!$F$6:$F$140,0)))</f>
        <v>0</v>
      </c>
      <c r="G119" s="57">
        <f>IF($A119="","",IF(_xlfn.XLOOKUP($A119,Korrelation!$D$4:$D$1197,Korrelation!J$4:J$1197,"-",0)="-",0,MATCH(_xlfn.XLOOKUP($A119,Korrelation!$D$4:$D$1197,Korrelation!J$4:J$1197,"",0),DMAV_Dienste!$F$6:$F$140,0)))</f>
        <v>0</v>
      </c>
      <c r="H119" s="57">
        <f>IF($A119="","",IF(_xlfn.XLOOKUP($A119,Korrelation!$D$4:$D$1197,Korrelation!K$4:K$1197,"-",0)="-",0,MATCH(_xlfn.XLOOKUP($A119,Korrelation!$D$4:$D$1197,Korrelation!K$4:K$1197,"",0),'DM01-AV-CH'!$A$6:$A$834,0)))</f>
        <v>69</v>
      </c>
      <c r="J119" s="54" t="str" cm="1">
        <f t="array" aca="1" ref="J119" ca="1">IF(B119=0,IF(E119=0,"",HYPERLINK("#"&amp;RIGHT(CELL("adresse",OFFSET(DMAV_Dienste!$M$6,E119-1,0)),LEN(CELL("adresse",OFFSET(DMAV_Dienste!$M$6,E119-1,0)))-FIND("]",CELL("adresse",OFFSET(DMAV_Dienste!$M$6,E119-1,0)))),"Dienst")),HYPERLINK("#"&amp;RIGHT(CELL("adresse",OFFSET(DMAV_Modell!$N$6,B119-1,0)),LEN(CELL("adresse",OFFSET(DMAV_Modell!$N$6,B119-1,0)))-FIND("]",CELL("adresse",OFFSET(DMAV_Modell!$N$6,B119-1,0)))),"Modell"))</f>
        <v>Dienst</v>
      </c>
      <c r="K119" s="61" t="str" cm="1">
        <f t="array" ref="K119">IF($B119=0,IF($E119=0,"",IF(INDEX(DMAV_Dienste!P$6:P$140,$E119)="","",INDEX(DMAV_Dienste!P$6:P$140,$E119))),IF(INDEX(DMAV_Modell!Q$6:Q$838,$B119)="","",INDEX(DMAV_Modell!Q$6:Q$838,$B119)))</f>
        <v>CLASS</v>
      </c>
      <c r="L119" s="62" t="str" cm="1">
        <f t="array" ref="L119">IF($B119=0,IF($E119=0,"",IF(INDEX(DMAV_Dienste!O$6:O$140,$E119)="","",INDEX(DMAV_Dienste!O$6:O$140,$E119))),IF(INDEX(DMAV_Modell!P$6:P$838,$B119)="","",INDEX(DMAV_Modell!P$6:P$838,$B119)))</f>
        <v>FixpunkteLV</v>
      </c>
      <c r="M119" s="62" t="str" cm="1">
        <f t="array" ref="M119">IF($B119=0,IF($E119=0,"",IF(INDEX(DMAV_Dienste!Q$6:Q$140,$E119)="","",INDEX(DMAV_Dienste!Q$6:Q$140,$E119))),IF(INDEX(DMAV_Modell!R$6:R$838,$B119)="","",INDEX(DMAV_Modell!R$6:R$838,$B119)))</f>
        <v>HFP1</v>
      </c>
      <c r="N119" s="62" t="str" cm="1">
        <f t="array" ref="N119">IF($B119=0,IF($E119=0,"",IF(INDEX(DMAV_Dienste!T$6:T$140,$E119)="","",INDEX(DMAV_Dienste!T$6:T$140,$E119))),IF(INDEX(DMAV_Modell!U$6:U$838,$B119)="","",INDEX(DMAV_Modell!U$6:U$838,$B119)))</f>
        <v>Nummer</v>
      </c>
      <c r="O119" s="63" t="str" cm="1">
        <f t="array" aca="1" ref="O119" ca="1">IF(C119=0,IF(F119=0,"",HYPERLINK("#"&amp;RIGHT(CELL("adresse",OFFSET(DMAV_Dienste!$M$6,F119-1,0)),LEN(CELL("adresse",OFFSET(DMAV_Dienste!$M$6,F119-1,0)))-FIND("]",CELL("adresse",OFFSET(DMAV_Dienste!$M$6,F119-1,0)))),"Structure")),HYPERLINK("#"&amp;RIGHT(CELL("adresse",OFFSET(DMAV_Modell!$N$6,C119-1,0)),LEN(CELL("adresse",OFFSET(DMAV_Modell!$N$6,C119-1,0)))-FIND("]",CELL("adresse",OFFSET(DMAV_Modell!$N$6,C119-1,0)))),"Structure"))</f>
        <v/>
      </c>
      <c r="P119" s="64" t="str" cm="1">
        <f t="array" aca="1" ref="P119" ca="1">IF(D119=0,IF(G119=0,"",HYPERLINK("#"&amp;RIGHT(CELL("adresse",OFFSET(DMAV_Dienste!$M$6,G119-1,0)),LEN(CELL("adresse",OFFSET(DMAV_Dienste!$M$6,G119-1,0)))-FIND("]",CELL("adresse",OFFSET(DMAV_Dienste!$M$6,G119-1,0)))),"Substructure")),HYPERLINK("#"&amp;RIGHT(CELL("adresse",OFFSET(DMAV_Modell!$N$6,D119-1,0)),LEN(CELL("adresse",OFFSET(DMAV_Modell!$N$6,D119-1,0)))-FIND("]",CELL("adresse",OFFSET(DMAV_Modell!$N$6,D119-1,0)))),"Substructure"))</f>
        <v/>
      </c>
      <c r="R119" s="80"/>
      <c r="T119" s="93"/>
      <c r="U119" s="94"/>
      <c r="V119" s="95"/>
      <c r="W119" s="96"/>
      <c r="Y119" s="85"/>
      <c r="Z119" s="86"/>
      <c r="AA119" s="87"/>
      <c r="AB119" s="88"/>
      <c r="AD119" s="77"/>
      <c r="AF119" s="54" t="str" cm="1">
        <f t="array" aca="1" ref="AF119" ca="1">IF(H119=0,"",HYPERLINK("#"&amp;RIGHT(CELL("adresse",OFFSET('DM01-AV-CH'!$G$6,H119-1,0)),LEN(CELL("adresse",OFFSET('DM01-AV-CH'!$G$6,H119-1,0)))-FIND("]",CELL("adresse",OFFSET('DM01-AV-CH'!$G$6,H119-1,0)))),"Modell"))</f>
        <v>Modell</v>
      </c>
      <c r="AG119" s="72" t="str" cm="1">
        <f t="array" ref="AG119">IF($H119=0,"",IF(INDEX('DM01-AV-CH'!G$6:G$834,$H119)="","",INDEX('DM01-AV-CH'!G$6:G$834,$H119)))</f>
        <v>FixpunkteKategorie1</v>
      </c>
      <c r="AH119" s="73" t="str" cm="1">
        <f t="array" ref="AH119">IF($H119=0,"",IF(INDEX('DM01-AV-CH'!H$6:H$834,$H119)="","",INDEX('DM01-AV-CH'!H$6:H$834,$H119)))</f>
        <v>HFP1</v>
      </c>
      <c r="AI119" s="74" t="str" cm="1">
        <f t="array" ref="AI119">IF($H119=0,"",IF(INDEX('DM01-AV-CH'!I$6:I$834,$H119)="","",INDEX('DM01-AV-CH'!I$6:I$834,$H119)))</f>
        <v>Nummer</v>
      </c>
    </row>
    <row r="120" spans="1:35" x14ac:dyDescent="0.25">
      <c r="A120" s="57">
        <v>115</v>
      </c>
      <c r="B120" s="57">
        <f>IF($A120="","",IF(_xlfn.XLOOKUP($A120,Korrelation!$D$4:$D$1197,Korrelation!E$4:E$1197,"-",0)="-",0,MATCH(_xlfn.XLOOKUP($A120,Korrelation!$D$4:$D$1197,Korrelation!E$4:E$1197,"",0),DMAV_Modell!$G$6:$G$677,0)))</f>
        <v>0</v>
      </c>
      <c r="C120" s="57">
        <f>IF($A120="","",IF(_xlfn.XLOOKUP($A120,Korrelation!$D$4:$D$1197,Korrelation!F$4:F$1197,"-",0)="-",0,MATCH(_xlfn.XLOOKUP($A120,Korrelation!$D$4:$D$1197,Korrelation!F$4:F$1197,"",0),DMAV_Modell!$G$6:$G$677,0)))</f>
        <v>0</v>
      </c>
      <c r="D120" s="57">
        <f>IF($A120="","",IF(_xlfn.XLOOKUP($A120,Korrelation!$D$4:$D$1197,Korrelation!G$4:G$1197,"-",0)="-",0,MATCH(_xlfn.XLOOKUP($A120,Korrelation!$D$4:$D$1197,Korrelation!G$4:G$1197,"",0),DMAV_Modell!$G$6:$G$677,0)))</f>
        <v>0</v>
      </c>
      <c r="E120" s="57">
        <f>IF($A120="","",IF(_xlfn.XLOOKUP($A120,Korrelation!$D$4:$D$1197,Korrelation!H$4:H$1197,"-",0)="-",0,MATCH(_xlfn.XLOOKUP($A120,Korrelation!$D$4:$D$1197,Korrelation!H$4:H$1197,"",0),DMAV_Dienste!$F$6:$F$140,0)))</f>
        <v>22</v>
      </c>
      <c r="F120" s="57">
        <f>IF($A120="","",IF(_xlfn.XLOOKUP($A120,Korrelation!$D$4:$D$1197,Korrelation!I$4:I$1197,"-",0)="-",0,MATCH(_xlfn.XLOOKUP($A120,Korrelation!$D$4:$D$1197,Korrelation!I$4:I$1197,"",0),DMAV_Dienste!$F$6:$F$140,0)))</f>
        <v>0</v>
      </c>
      <c r="G120" s="57">
        <f>IF($A120="","",IF(_xlfn.XLOOKUP($A120,Korrelation!$D$4:$D$1197,Korrelation!J$4:J$1197,"-",0)="-",0,MATCH(_xlfn.XLOOKUP($A120,Korrelation!$D$4:$D$1197,Korrelation!J$4:J$1197,"",0),DMAV_Dienste!$F$6:$F$140,0)))</f>
        <v>0</v>
      </c>
      <c r="H120" s="57">
        <f>IF($A120="","",IF(_xlfn.XLOOKUP($A120,Korrelation!$D$4:$D$1197,Korrelation!K$4:K$1197,"-",0)="-",0,MATCH(_xlfn.XLOOKUP($A120,Korrelation!$D$4:$D$1197,Korrelation!K$4:K$1197,"",0),'DM01-AV-CH'!$A$6:$A$834,0)))</f>
        <v>70</v>
      </c>
      <c r="J120" s="54" t="str" cm="1">
        <f t="array" aca="1" ref="J120" ca="1">IF(B120=0,IF(E120=0,"",HYPERLINK("#"&amp;RIGHT(CELL("adresse",OFFSET(DMAV_Dienste!$M$6,E120-1,0)),LEN(CELL("adresse",OFFSET(DMAV_Dienste!$M$6,E120-1,0)))-FIND("]",CELL("adresse",OFFSET(DMAV_Dienste!$M$6,E120-1,0)))),"Dienst")),HYPERLINK("#"&amp;RIGHT(CELL("adresse",OFFSET(DMAV_Modell!$N$6,B120-1,0)),LEN(CELL("adresse",OFFSET(DMAV_Modell!$N$6,B120-1,0)))-FIND("]",CELL("adresse",OFFSET(DMAV_Modell!$N$6,B120-1,0)))),"Modell"))</f>
        <v>Dienst</v>
      </c>
      <c r="K120" s="61" t="str" cm="1">
        <f t="array" ref="K120">IF($B120=0,IF($E120=0,"",IF(INDEX(DMAV_Dienste!P$6:P$140,$E120)="","",INDEX(DMAV_Dienste!P$6:P$140,$E120))),IF(INDEX(DMAV_Modell!Q$6:Q$838,$B120)="","",INDEX(DMAV_Modell!Q$6:Q$838,$B120)))</f>
        <v>CLASS</v>
      </c>
      <c r="L120" s="62" t="str" cm="1">
        <f t="array" ref="L120">IF($B120=0,IF($E120=0,"",IF(INDEX(DMAV_Dienste!O$6:O$140,$E120)="","",INDEX(DMAV_Dienste!O$6:O$140,$E120))),IF(INDEX(DMAV_Modell!P$6:P$838,$B120)="","",INDEX(DMAV_Modell!P$6:P$838,$B120)))</f>
        <v>FixpunkteLV</v>
      </c>
      <c r="M120" s="62" t="str" cm="1">
        <f t="array" ref="M120">IF($B120=0,IF($E120=0,"",IF(INDEX(DMAV_Dienste!Q$6:Q$140,$E120)="","",INDEX(DMAV_Dienste!Q$6:Q$140,$E120))),IF(INDEX(DMAV_Modell!R$6:R$838,$B120)="","",INDEX(DMAV_Modell!R$6:R$838,$B120)))</f>
        <v>HFP1</v>
      </c>
      <c r="N120" s="62" t="str" cm="1">
        <f t="array" ref="N120">IF($B120=0,IF($E120=0,"",IF(INDEX(DMAV_Dienste!T$6:T$140,$E120)="","",INDEX(DMAV_Dienste!T$6:T$140,$E120))),IF(INDEX(DMAV_Modell!U$6:U$838,$B120)="","",INDEX(DMAV_Modell!U$6:U$838,$B120)))</f>
        <v>Geometrie</v>
      </c>
      <c r="O120" s="63" t="str" cm="1">
        <f t="array" aca="1" ref="O120" ca="1">IF(C120=0,IF(F120=0,"",HYPERLINK("#"&amp;RIGHT(CELL("adresse",OFFSET(DMAV_Dienste!$M$6,F120-1,0)),LEN(CELL("adresse",OFFSET(DMAV_Dienste!$M$6,F120-1,0)))-FIND("]",CELL("adresse",OFFSET(DMAV_Dienste!$M$6,F120-1,0)))),"Structure")),HYPERLINK("#"&amp;RIGHT(CELL("adresse",OFFSET(DMAV_Modell!$N$6,C120-1,0)),LEN(CELL("adresse",OFFSET(DMAV_Modell!$N$6,C120-1,0)))-FIND("]",CELL("adresse",OFFSET(DMAV_Modell!$N$6,C120-1,0)))),"Structure"))</f>
        <v/>
      </c>
      <c r="P120" s="64" t="str" cm="1">
        <f t="array" aca="1" ref="P120" ca="1">IF(D120=0,IF(G120=0,"",HYPERLINK("#"&amp;RIGHT(CELL("adresse",OFFSET(DMAV_Dienste!$M$6,G120-1,0)),LEN(CELL("adresse",OFFSET(DMAV_Dienste!$M$6,G120-1,0)))-FIND("]",CELL("adresse",OFFSET(DMAV_Dienste!$M$6,G120-1,0)))),"Substructure")),HYPERLINK("#"&amp;RIGHT(CELL("adresse",OFFSET(DMAV_Modell!$N$6,D120-1,0)),LEN(CELL("adresse",OFFSET(DMAV_Modell!$N$6,D120-1,0)))-FIND("]",CELL("adresse",OFFSET(DMAV_Modell!$N$6,D120-1,0)))),"Substructure"))</f>
        <v/>
      </c>
      <c r="R120" s="80"/>
      <c r="T120" s="93"/>
      <c r="U120" s="94"/>
      <c r="V120" s="95"/>
      <c r="W120" s="96"/>
      <c r="Y120" s="85"/>
      <c r="Z120" s="86"/>
      <c r="AA120" s="87"/>
      <c r="AB120" s="88"/>
      <c r="AD120" s="77"/>
      <c r="AF120" s="54" t="str" cm="1">
        <f t="array" aca="1" ref="AF120" ca="1">IF(H120=0,"",HYPERLINK("#"&amp;RIGHT(CELL("adresse",OFFSET('DM01-AV-CH'!$G$6,H120-1,0)),LEN(CELL("adresse",OFFSET('DM01-AV-CH'!$G$6,H120-1,0)))-FIND("]",CELL("adresse",OFFSET('DM01-AV-CH'!$G$6,H120-1,0)))),"Modell"))</f>
        <v>Modell</v>
      </c>
      <c r="AG120" s="72" t="str" cm="1">
        <f t="array" ref="AG120">IF($H120=0,"",IF(INDEX('DM01-AV-CH'!G$6:G$834,$H120)="","",INDEX('DM01-AV-CH'!G$6:G$834,$H120)))</f>
        <v>FixpunkteKategorie1</v>
      </c>
      <c r="AH120" s="73" t="str" cm="1">
        <f t="array" ref="AH120">IF($H120=0,"",IF(INDEX('DM01-AV-CH'!H$6:H$834,$H120)="","",INDEX('DM01-AV-CH'!H$6:H$834,$H120)))</f>
        <v>HFP1</v>
      </c>
      <c r="AI120" s="74" t="str" cm="1">
        <f t="array" ref="AI120">IF($H120=0,"",IF(INDEX('DM01-AV-CH'!I$6:I$834,$H120)="","",INDEX('DM01-AV-CH'!I$6:I$834,$H120)))</f>
        <v>Geometrie</v>
      </c>
    </row>
    <row r="121" spans="1:35" x14ac:dyDescent="0.25">
      <c r="A121" s="57">
        <v>116</v>
      </c>
      <c r="B121" s="57">
        <f>IF($A121="","",IF(_xlfn.XLOOKUP($A121,Korrelation!$D$4:$D$1197,Korrelation!E$4:E$1197,"-",0)="-",0,MATCH(_xlfn.XLOOKUP($A121,Korrelation!$D$4:$D$1197,Korrelation!E$4:E$1197,"",0),DMAV_Modell!$G$6:$G$677,0)))</f>
        <v>0</v>
      </c>
      <c r="C121" s="57">
        <f>IF($A121="","",IF(_xlfn.XLOOKUP($A121,Korrelation!$D$4:$D$1197,Korrelation!F$4:F$1197,"-",0)="-",0,MATCH(_xlfn.XLOOKUP($A121,Korrelation!$D$4:$D$1197,Korrelation!F$4:F$1197,"",0),DMAV_Modell!$G$6:$G$677,0)))</f>
        <v>0</v>
      </c>
      <c r="D121" s="57">
        <f>IF($A121="","",IF(_xlfn.XLOOKUP($A121,Korrelation!$D$4:$D$1197,Korrelation!G$4:G$1197,"-",0)="-",0,MATCH(_xlfn.XLOOKUP($A121,Korrelation!$D$4:$D$1197,Korrelation!G$4:G$1197,"",0),DMAV_Modell!$G$6:$G$677,0)))</f>
        <v>0</v>
      </c>
      <c r="E121" s="57">
        <f>IF($A121="","",IF(_xlfn.XLOOKUP($A121,Korrelation!$D$4:$D$1197,Korrelation!H$4:H$1197,"-",0)="-",0,MATCH(_xlfn.XLOOKUP($A121,Korrelation!$D$4:$D$1197,Korrelation!H$4:H$1197,"",0),DMAV_Dienste!$F$6:$F$140,0)))</f>
        <v>23</v>
      </c>
      <c r="F121" s="57">
        <f>IF($A121="","",IF(_xlfn.XLOOKUP($A121,Korrelation!$D$4:$D$1197,Korrelation!I$4:I$1197,"-",0)="-",0,MATCH(_xlfn.XLOOKUP($A121,Korrelation!$D$4:$D$1197,Korrelation!I$4:I$1197,"",0),DMAV_Dienste!$F$6:$F$140,0)))</f>
        <v>0</v>
      </c>
      <c r="G121" s="57">
        <f>IF($A121="","",IF(_xlfn.XLOOKUP($A121,Korrelation!$D$4:$D$1197,Korrelation!J$4:J$1197,"-",0)="-",0,MATCH(_xlfn.XLOOKUP($A121,Korrelation!$D$4:$D$1197,Korrelation!J$4:J$1197,"",0),DMAV_Dienste!$F$6:$F$140,0)))</f>
        <v>0</v>
      </c>
      <c r="H121" s="57">
        <f>IF($A121="","",IF(_xlfn.XLOOKUP($A121,Korrelation!$D$4:$D$1197,Korrelation!K$4:K$1197,"-",0)="-",0,MATCH(_xlfn.XLOOKUP($A121,Korrelation!$D$4:$D$1197,Korrelation!K$4:K$1197,"",0),'DM01-AV-CH'!$A$6:$A$834,0)))</f>
        <v>71</v>
      </c>
      <c r="J121" s="54" t="str" cm="1">
        <f t="array" aca="1" ref="J121" ca="1">IF(B121=0,IF(E121=0,"",HYPERLINK("#"&amp;RIGHT(CELL("adresse",OFFSET(DMAV_Dienste!$M$6,E121-1,0)),LEN(CELL("adresse",OFFSET(DMAV_Dienste!$M$6,E121-1,0)))-FIND("]",CELL("adresse",OFFSET(DMAV_Dienste!$M$6,E121-1,0)))),"Dienst")),HYPERLINK("#"&amp;RIGHT(CELL("adresse",OFFSET(DMAV_Modell!$N$6,B121-1,0)),LEN(CELL("adresse",OFFSET(DMAV_Modell!$N$6,B121-1,0)))-FIND("]",CELL("adresse",OFFSET(DMAV_Modell!$N$6,B121-1,0)))),"Modell"))</f>
        <v>Dienst</v>
      </c>
      <c r="K121" s="61" t="str" cm="1">
        <f t="array" ref="K121">IF($B121=0,IF($E121=0,"",IF(INDEX(DMAV_Dienste!P$6:P$140,$E121)="","",INDEX(DMAV_Dienste!P$6:P$140,$E121))),IF(INDEX(DMAV_Modell!Q$6:Q$838,$B121)="","",INDEX(DMAV_Modell!Q$6:Q$838,$B121)))</f>
        <v>CLASS</v>
      </c>
      <c r="L121" s="62" t="str" cm="1">
        <f t="array" ref="L121">IF($B121=0,IF($E121=0,"",IF(INDEX(DMAV_Dienste!O$6:O$140,$E121)="","",INDEX(DMAV_Dienste!O$6:O$140,$E121))),IF(INDEX(DMAV_Modell!P$6:P$838,$B121)="","",INDEX(DMAV_Modell!P$6:P$838,$B121)))</f>
        <v>FixpunkteLV</v>
      </c>
      <c r="M121" s="62" t="str" cm="1">
        <f t="array" ref="M121">IF($B121=0,IF($E121=0,"",IF(INDEX(DMAV_Dienste!Q$6:Q$140,$E121)="","",INDEX(DMAV_Dienste!Q$6:Q$140,$E121))),IF(INDEX(DMAV_Modell!R$6:R$838,$B121)="","",INDEX(DMAV_Modell!R$6:R$838,$B121)))</f>
        <v>HFP1</v>
      </c>
      <c r="N121" s="62" t="str" cm="1">
        <f t="array" ref="N121">IF($B121=0,IF($E121=0,"",IF(INDEX(DMAV_Dienste!T$6:T$140,$E121)="","",INDEX(DMAV_Dienste!T$6:T$140,$E121))),IF(INDEX(DMAV_Modell!U$6:U$838,$B121)="","",INDEX(DMAV_Modell!U$6:U$838,$B121)))</f>
        <v>Hoehengeometrie</v>
      </c>
      <c r="O121" s="63" t="str" cm="1">
        <f t="array" aca="1" ref="O121" ca="1">IF(C121=0,IF(F121=0,"",HYPERLINK("#"&amp;RIGHT(CELL("adresse",OFFSET(DMAV_Dienste!$M$6,F121-1,0)),LEN(CELL("adresse",OFFSET(DMAV_Dienste!$M$6,F121-1,0)))-FIND("]",CELL("adresse",OFFSET(DMAV_Dienste!$M$6,F121-1,0)))),"Structure")),HYPERLINK("#"&amp;RIGHT(CELL("adresse",OFFSET(DMAV_Modell!$N$6,C121-1,0)),LEN(CELL("adresse",OFFSET(DMAV_Modell!$N$6,C121-1,0)))-FIND("]",CELL("adresse",OFFSET(DMAV_Modell!$N$6,C121-1,0)))),"Structure"))</f>
        <v/>
      </c>
      <c r="P121" s="64" t="str" cm="1">
        <f t="array" aca="1" ref="P121" ca="1">IF(D121=0,IF(G121=0,"",HYPERLINK("#"&amp;RIGHT(CELL("adresse",OFFSET(DMAV_Dienste!$M$6,G121-1,0)),LEN(CELL("adresse",OFFSET(DMAV_Dienste!$M$6,G121-1,0)))-FIND("]",CELL("adresse",OFFSET(DMAV_Dienste!$M$6,G121-1,0)))),"Substructure")),HYPERLINK("#"&amp;RIGHT(CELL("adresse",OFFSET(DMAV_Modell!$N$6,D121-1,0)),LEN(CELL("adresse",OFFSET(DMAV_Modell!$N$6,D121-1,0)))-FIND("]",CELL("adresse",OFFSET(DMAV_Modell!$N$6,D121-1,0)))),"Substructure"))</f>
        <v/>
      </c>
      <c r="R121" s="80"/>
      <c r="T121" s="93"/>
      <c r="U121" s="94"/>
      <c r="V121" s="95"/>
      <c r="W121" s="96"/>
      <c r="Y121" s="85"/>
      <c r="Z121" s="86"/>
      <c r="AA121" s="87"/>
      <c r="AB121" s="88"/>
      <c r="AD121" s="77"/>
      <c r="AF121" s="54" t="str" cm="1">
        <f t="array" aca="1" ref="AF121" ca="1">IF(H121=0,"",HYPERLINK("#"&amp;RIGHT(CELL("adresse",OFFSET('DM01-AV-CH'!$G$6,H121-1,0)),LEN(CELL("adresse",OFFSET('DM01-AV-CH'!$G$6,H121-1,0)))-FIND("]",CELL("adresse",OFFSET('DM01-AV-CH'!$G$6,H121-1,0)))),"Modell"))</f>
        <v>Modell</v>
      </c>
      <c r="AG121" s="72" t="str" cm="1">
        <f t="array" ref="AG121">IF($H121=0,"",IF(INDEX('DM01-AV-CH'!G$6:G$834,$H121)="","",INDEX('DM01-AV-CH'!G$6:G$834,$H121)))</f>
        <v>FixpunkteKategorie1</v>
      </c>
      <c r="AH121" s="73" t="str" cm="1">
        <f t="array" ref="AH121">IF($H121=0,"",IF(INDEX('DM01-AV-CH'!H$6:H$834,$H121)="","",INDEX('DM01-AV-CH'!H$6:H$834,$H121)))</f>
        <v>HFP1</v>
      </c>
      <c r="AI121" s="74" t="str" cm="1">
        <f t="array" ref="AI121">IF($H121=0,"",IF(INDEX('DM01-AV-CH'!I$6:I$834,$H121)="","",INDEX('DM01-AV-CH'!I$6:I$834,$H121)))</f>
        <v>HoeheGeom</v>
      </c>
    </row>
    <row r="122" spans="1:35" x14ac:dyDescent="0.25">
      <c r="A122" s="57">
        <v>117</v>
      </c>
      <c r="B122" s="57">
        <f>IF($A122="","",IF(_xlfn.XLOOKUP($A122,Korrelation!$D$4:$D$1197,Korrelation!E$4:E$1197,"-",0)="-",0,MATCH(_xlfn.XLOOKUP($A122,Korrelation!$D$4:$D$1197,Korrelation!E$4:E$1197,"",0),DMAV_Modell!$G$6:$G$677,0)))</f>
        <v>0</v>
      </c>
      <c r="C122" s="57">
        <f>IF($A122="","",IF(_xlfn.XLOOKUP($A122,Korrelation!$D$4:$D$1197,Korrelation!F$4:F$1197,"-",0)="-",0,MATCH(_xlfn.XLOOKUP($A122,Korrelation!$D$4:$D$1197,Korrelation!F$4:F$1197,"",0),DMAV_Modell!$G$6:$G$677,0)))</f>
        <v>0</v>
      </c>
      <c r="D122" s="57">
        <f>IF($A122="","",IF(_xlfn.XLOOKUP($A122,Korrelation!$D$4:$D$1197,Korrelation!G$4:G$1197,"-",0)="-",0,MATCH(_xlfn.XLOOKUP($A122,Korrelation!$D$4:$D$1197,Korrelation!G$4:G$1197,"",0),DMAV_Modell!$G$6:$G$677,0)))</f>
        <v>0</v>
      </c>
      <c r="E122" s="57">
        <f>IF($A122="","",IF(_xlfn.XLOOKUP($A122,Korrelation!$D$4:$D$1197,Korrelation!H$4:H$1197,"-",0)="-",0,MATCH(_xlfn.XLOOKUP($A122,Korrelation!$D$4:$D$1197,Korrelation!H$4:H$1197,"",0),DMAV_Dienste!$F$6:$F$140,0)))</f>
        <v>24</v>
      </c>
      <c r="F122" s="57">
        <f>IF($A122="","",IF(_xlfn.XLOOKUP($A122,Korrelation!$D$4:$D$1197,Korrelation!I$4:I$1197,"-",0)="-",0,MATCH(_xlfn.XLOOKUP($A122,Korrelation!$D$4:$D$1197,Korrelation!I$4:I$1197,"",0),DMAV_Dienste!$F$6:$F$140,0)))</f>
        <v>0</v>
      </c>
      <c r="G122" s="57">
        <f>IF($A122="","",IF(_xlfn.XLOOKUP($A122,Korrelation!$D$4:$D$1197,Korrelation!J$4:J$1197,"-",0)="-",0,MATCH(_xlfn.XLOOKUP($A122,Korrelation!$D$4:$D$1197,Korrelation!J$4:J$1197,"",0),DMAV_Dienste!$F$6:$F$140,0)))</f>
        <v>0</v>
      </c>
      <c r="H122" s="57">
        <f>IF($A122="","",IF(_xlfn.XLOOKUP($A122,Korrelation!$D$4:$D$1197,Korrelation!K$4:K$1197,"-",0)="-",0,MATCH(_xlfn.XLOOKUP($A122,Korrelation!$D$4:$D$1197,Korrelation!K$4:K$1197,"",0),'DM01-AV-CH'!$A$6:$A$834,0)))</f>
        <v>72</v>
      </c>
      <c r="J122" s="54" t="str" cm="1">
        <f t="array" aca="1" ref="J122" ca="1">IF(B122=0,IF(E122=0,"",HYPERLINK("#"&amp;RIGHT(CELL("adresse",OFFSET(DMAV_Dienste!$M$6,E122-1,0)),LEN(CELL("adresse",OFFSET(DMAV_Dienste!$M$6,E122-1,0)))-FIND("]",CELL("adresse",OFFSET(DMAV_Dienste!$M$6,E122-1,0)))),"Dienst")),HYPERLINK("#"&amp;RIGHT(CELL("adresse",OFFSET(DMAV_Modell!$N$6,B122-1,0)),LEN(CELL("adresse",OFFSET(DMAV_Modell!$N$6,B122-1,0)))-FIND("]",CELL("adresse",OFFSET(DMAV_Modell!$N$6,B122-1,0)))),"Modell"))</f>
        <v>Dienst</v>
      </c>
      <c r="K122" s="61" t="str" cm="1">
        <f t="array" ref="K122">IF($B122=0,IF($E122=0,"",IF(INDEX(DMAV_Dienste!P$6:P$140,$E122)="","",INDEX(DMAV_Dienste!P$6:P$140,$E122))),IF(INDEX(DMAV_Modell!Q$6:Q$838,$B122)="","",INDEX(DMAV_Modell!Q$6:Q$838,$B122)))</f>
        <v>CLASS</v>
      </c>
      <c r="L122" s="62" t="str" cm="1">
        <f t="array" ref="L122">IF($B122=0,IF($E122=0,"",IF(INDEX(DMAV_Dienste!O$6:O$140,$E122)="","",INDEX(DMAV_Dienste!O$6:O$140,$E122))),IF(INDEX(DMAV_Modell!P$6:P$838,$B122)="","",INDEX(DMAV_Modell!P$6:P$838,$B122)))</f>
        <v>FixpunkteLV</v>
      </c>
      <c r="M122" s="62" t="str" cm="1">
        <f t="array" ref="M122">IF($B122=0,IF($E122=0,"",IF(INDEX(DMAV_Dienste!Q$6:Q$140,$E122)="","",INDEX(DMAV_Dienste!Q$6:Q$140,$E122))),IF(INDEX(DMAV_Modell!R$6:R$838,$B122)="","",INDEX(DMAV_Modell!R$6:R$838,$B122)))</f>
        <v>HFP1</v>
      </c>
      <c r="N122" s="62" t="str" cm="1">
        <f t="array" ref="N122">IF($B122=0,IF($E122=0,"",IF(INDEX(DMAV_Dienste!T$6:T$140,$E122)="","",INDEX(DMAV_Dienste!T$6:T$140,$E122))),IF(INDEX(DMAV_Modell!U$6:U$838,$B122)="","",INDEX(DMAV_Modell!U$6:U$838,$B122)))</f>
        <v>Lagegenauigkeit</v>
      </c>
      <c r="O122" s="63" t="str" cm="1">
        <f t="array" aca="1" ref="O122" ca="1">IF(C122=0,IF(F122=0,"",HYPERLINK("#"&amp;RIGHT(CELL("adresse",OFFSET(DMAV_Dienste!$M$6,F122-1,0)),LEN(CELL("adresse",OFFSET(DMAV_Dienste!$M$6,F122-1,0)))-FIND("]",CELL("adresse",OFFSET(DMAV_Dienste!$M$6,F122-1,0)))),"Structure")),HYPERLINK("#"&amp;RIGHT(CELL("adresse",OFFSET(DMAV_Modell!$N$6,C122-1,0)),LEN(CELL("adresse",OFFSET(DMAV_Modell!$N$6,C122-1,0)))-FIND("]",CELL("adresse",OFFSET(DMAV_Modell!$N$6,C122-1,0)))),"Structure"))</f>
        <v/>
      </c>
      <c r="P122" s="64" t="str" cm="1">
        <f t="array" aca="1" ref="P122" ca="1">IF(D122=0,IF(G122=0,"",HYPERLINK("#"&amp;RIGHT(CELL("adresse",OFFSET(DMAV_Dienste!$M$6,G122-1,0)),LEN(CELL("adresse",OFFSET(DMAV_Dienste!$M$6,G122-1,0)))-FIND("]",CELL("adresse",OFFSET(DMAV_Dienste!$M$6,G122-1,0)))),"Substructure")),HYPERLINK("#"&amp;RIGHT(CELL("adresse",OFFSET(DMAV_Modell!$N$6,D122-1,0)),LEN(CELL("adresse",OFFSET(DMAV_Modell!$N$6,D122-1,0)))-FIND("]",CELL("adresse",OFFSET(DMAV_Modell!$N$6,D122-1,0)))),"Substructure"))</f>
        <v/>
      </c>
      <c r="R122" s="80"/>
      <c r="T122" s="93"/>
      <c r="U122" s="94"/>
      <c r="V122" s="95"/>
      <c r="W122" s="96"/>
      <c r="Y122" s="85"/>
      <c r="Z122" s="86"/>
      <c r="AA122" s="87"/>
      <c r="AB122" s="88"/>
      <c r="AD122" s="77"/>
      <c r="AF122" s="54" t="str" cm="1">
        <f t="array" aca="1" ref="AF122" ca="1">IF(H122=0,"",HYPERLINK("#"&amp;RIGHT(CELL("adresse",OFFSET('DM01-AV-CH'!$G$6,H122-1,0)),LEN(CELL("adresse",OFFSET('DM01-AV-CH'!$G$6,H122-1,0)))-FIND("]",CELL("adresse",OFFSET('DM01-AV-CH'!$G$6,H122-1,0)))),"Modell"))</f>
        <v>Modell</v>
      </c>
      <c r="AG122" s="72" t="str" cm="1">
        <f t="array" ref="AG122">IF($H122=0,"",IF(INDEX('DM01-AV-CH'!G$6:G$834,$H122)="","",INDEX('DM01-AV-CH'!G$6:G$834,$H122)))</f>
        <v>FixpunkteKategorie1</v>
      </c>
      <c r="AH122" s="73" t="str" cm="1">
        <f t="array" ref="AH122">IF($H122=0,"",IF(INDEX('DM01-AV-CH'!H$6:H$834,$H122)="","",INDEX('DM01-AV-CH'!H$6:H$834,$H122)))</f>
        <v>HFP1</v>
      </c>
      <c r="AI122" s="74" t="str" cm="1">
        <f t="array" ref="AI122">IF($H122=0,"",IF(INDEX('DM01-AV-CH'!I$6:I$834,$H122)="","",INDEX('DM01-AV-CH'!I$6:I$834,$H122)))</f>
        <v>LageGen</v>
      </c>
    </row>
    <row r="123" spans="1:35" x14ac:dyDescent="0.25">
      <c r="A123" s="57">
        <v>118</v>
      </c>
      <c r="B123" s="57">
        <f>IF($A123="","",IF(_xlfn.XLOOKUP($A123,Korrelation!$D$4:$D$1197,Korrelation!E$4:E$1197,"-",0)="-",0,MATCH(_xlfn.XLOOKUP($A123,Korrelation!$D$4:$D$1197,Korrelation!E$4:E$1197,"",0),DMAV_Modell!$G$6:$G$677,0)))</f>
        <v>0</v>
      </c>
      <c r="C123" s="57">
        <f>IF($A123="","",IF(_xlfn.XLOOKUP($A123,Korrelation!$D$4:$D$1197,Korrelation!F$4:F$1197,"-",0)="-",0,MATCH(_xlfn.XLOOKUP($A123,Korrelation!$D$4:$D$1197,Korrelation!F$4:F$1197,"",0),DMAV_Modell!$G$6:$G$677,0)))</f>
        <v>0</v>
      </c>
      <c r="D123" s="57">
        <f>IF($A123="","",IF(_xlfn.XLOOKUP($A123,Korrelation!$D$4:$D$1197,Korrelation!G$4:G$1197,"-",0)="-",0,MATCH(_xlfn.XLOOKUP($A123,Korrelation!$D$4:$D$1197,Korrelation!G$4:G$1197,"",0),DMAV_Modell!$G$6:$G$677,0)))</f>
        <v>0</v>
      </c>
      <c r="E123" s="57">
        <f>IF($A123="","",IF(_xlfn.XLOOKUP($A123,Korrelation!$D$4:$D$1197,Korrelation!H$4:H$1197,"-",0)="-",0,MATCH(_xlfn.XLOOKUP($A123,Korrelation!$D$4:$D$1197,Korrelation!H$4:H$1197,"",0),DMAV_Dienste!$F$6:$F$140,0)))</f>
        <v>25</v>
      </c>
      <c r="F123" s="57">
        <f>IF($A123="","",IF(_xlfn.XLOOKUP($A123,Korrelation!$D$4:$D$1197,Korrelation!I$4:I$1197,"-",0)="-",0,MATCH(_xlfn.XLOOKUP($A123,Korrelation!$D$4:$D$1197,Korrelation!I$4:I$1197,"",0),DMAV_Dienste!$F$6:$F$140,0)))</f>
        <v>0</v>
      </c>
      <c r="G123" s="57">
        <f>IF($A123="","",IF(_xlfn.XLOOKUP($A123,Korrelation!$D$4:$D$1197,Korrelation!J$4:J$1197,"-",0)="-",0,MATCH(_xlfn.XLOOKUP($A123,Korrelation!$D$4:$D$1197,Korrelation!J$4:J$1197,"",0),DMAV_Dienste!$F$6:$F$140,0)))</f>
        <v>0</v>
      </c>
      <c r="H123" s="57">
        <f>IF($A123="","",IF(_xlfn.XLOOKUP($A123,Korrelation!$D$4:$D$1197,Korrelation!K$4:K$1197,"-",0)="-",0,MATCH(_xlfn.XLOOKUP($A123,Korrelation!$D$4:$D$1197,Korrelation!K$4:K$1197,"",0),'DM01-AV-CH'!$A$6:$A$834,0)))</f>
        <v>73</v>
      </c>
      <c r="J123" s="54" t="str" cm="1">
        <f t="array" aca="1" ref="J123" ca="1">IF(B123=0,IF(E123=0,"",HYPERLINK("#"&amp;RIGHT(CELL("adresse",OFFSET(DMAV_Dienste!$M$6,E123-1,0)),LEN(CELL("adresse",OFFSET(DMAV_Dienste!$M$6,E123-1,0)))-FIND("]",CELL("adresse",OFFSET(DMAV_Dienste!$M$6,E123-1,0)))),"Dienst")),HYPERLINK("#"&amp;RIGHT(CELL("adresse",OFFSET(DMAV_Modell!$N$6,B123-1,0)),LEN(CELL("adresse",OFFSET(DMAV_Modell!$N$6,B123-1,0)))-FIND("]",CELL("adresse",OFFSET(DMAV_Modell!$N$6,B123-1,0)))),"Modell"))</f>
        <v>Dienst</v>
      </c>
      <c r="K123" s="61" t="str" cm="1">
        <f t="array" ref="K123">IF($B123=0,IF($E123=0,"",IF(INDEX(DMAV_Dienste!P$6:P$140,$E123)="","",INDEX(DMAV_Dienste!P$6:P$140,$E123))),IF(INDEX(DMAV_Modell!Q$6:Q$838,$B123)="","",INDEX(DMAV_Modell!Q$6:Q$838,$B123)))</f>
        <v>CLASS</v>
      </c>
      <c r="L123" s="62" t="str" cm="1">
        <f t="array" ref="L123">IF($B123=0,IF($E123=0,"",IF(INDEX(DMAV_Dienste!O$6:O$140,$E123)="","",INDEX(DMAV_Dienste!O$6:O$140,$E123))),IF(INDEX(DMAV_Modell!P$6:P$838,$B123)="","",INDEX(DMAV_Modell!P$6:P$838,$B123)))</f>
        <v>FixpunkteLV</v>
      </c>
      <c r="M123" s="62" t="str" cm="1">
        <f t="array" ref="M123">IF($B123=0,IF($E123=0,"",IF(INDEX(DMAV_Dienste!Q$6:Q$140,$E123)="","",INDEX(DMAV_Dienste!Q$6:Q$140,$E123))),IF(INDEX(DMAV_Modell!R$6:R$838,$B123)="","",INDEX(DMAV_Modell!R$6:R$838,$B123)))</f>
        <v>HFP1</v>
      </c>
      <c r="N123" s="62" t="str" cm="1">
        <f t="array" ref="N123">IF($B123=0,IF($E123=0,"",IF(INDEX(DMAV_Dienste!T$6:T$140,$E123)="","",INDEX(DMAV_Dienste!T$6:T$140,$E123))),IF(INDEX(DMAV_Modell!U$6:U$838,$B123)="","",INDEX(DMAV_Modell!U$6:U$838,$B123)))</f>
        <v>IstLagezuverlaessig</v>
      </c>
      <c r="O123" s="63" t="str" cm="1">
        <f t="array" aca="1" ref="O123" ca="1">IF(C123=0,IF(F123=0,"",HYPERLINK("#"&amp;RIGHT(CELL("adresse",OFFSET(DMAV_Dienste!$M$6,F123-1,0)),LEN(CELL("adresse",OFFSET(DMAV_Dienste!$M$6,F123-1,0)))-FIND("]",CELL("adresse",OFFSET(DMAV_Dienste!$M$6,F123-1,0)))),"Structure")),HYPERLINK("#"&amp;RIGHT(CELL("adresse",OFFSET(DMAV_Modell!$N$6,C123-1,0)),LEN(CELL("adresse",OFFSET(DMAV_Modell!$N$6,C123-1,0)))-FIND("]",CELL("adresse",OFFSET(DMAV_Modell!$N$6,C123-1,0)))),"Structure"))</f>
        <v/>
      </c>
      <c r="P123" s="64" t="str" cm="1">
        <f t="array" aca="1" ref="P123" ca="1">IF(D123=0,IF(G123=0,"",HYPERLINK("#"&amp;RIGHT(CELL("adresse",OFFSET(DMAV_Dienste!$M$6,G123-1,0)),LEN(CELL("adresse",OFFSET(DMAV_Dienste!$M$6,G123-1,0)))-FIND("]",CELL("adresse",OFFSET(DMAV_Dienste!$M$6,G123-1,0)))),"Substructure")),HYPERLINK("#"&amp;RIGHT(CELL("adresse",OFFSET(DMAV_Modell!$N$6,D123-1,0)),LEN(CELL("adresse",OFFSET(DMAV_Modell!$N$6,D123-1,0)))-FIND("]",CELL("adresse",OFFSET(DMAV_Modell!$N$6,D123-1,0)))),"Substructure"))</f>
        <v/>
      </c>
      <c r="R123" s="80"/>
      <c r="T123" s="93"/>
      <c r="U123" s="94"/>
      <c r="V123" s="95"/>
      <c r="W123" s="96"/>
      <c r="Y123" s="85"/>
      <c r="Z123" s="86"/>
      <c r="AA123" s="87"/>
      <c r="AB123" s="88"/>
      <c r="AD123" s="77"/>
      <c r="AF123" s="54" t="str" cm="1">
        <f t="array" aca="1" ref="AF123" ca="1">IF(H123=0,"",HYPERLINK("#"&amp;RIGHT(CELL("adresse",OFFSET('DM01-AV-CH'!$G$6,H123-1,0)),LEN(CELL("adresse",OFFSET('DM01-AV-CH'!$G$6,H123-1,0)))-FIND("]",CELL("adresse",OFFSET('DM01-AV-CH'!$G$6,H123-1,0)))),"Modell"))</f>
        <v>Modell</v>
      </c>
      <c r="AG123" s="72" t="str" cm="1">
        <f t="array" ref="AG123">IF($H123=0,"",IF(INDEX('DM01-AV-CH'!G$6:G$834,$H123)="","",INDEX('DM01-AV-CH'!G$6:G$834,$H123)))</f>
        <v>FixpunkteKategorie1</v>
      </c>
      <c r="AH123" s="73" t="str" cm="1">
        <f t="array" ref="AH123">IF($H123=0,"",IF(INDEX('DM01-AV-CH'!H$6:H$834,$H123)="","",INDEX('DM01-AV-CH'!H$6:H$834,$H123)))</f>
        <v>HFP1</v>
      </c>
      <c r="AI123" s="74" t="str" cm="1">
        <f t="array" ref="AI123">IF($H123=0,"",IF(INDEX('DM01-AV-CH'!I$6:I$834,$H123)="","",INDEX('DM01-AV-CH'!I$6:I$834,$H123)))</f>
        <v>LageZuv</v>
      </c>
    </row>
    <row r="124" spans="1:35" x14ac:dyDescent="0.25">
      <c r="A124" s="57">
        <v>119</v>
      </c>
      <c r="B124" s="57">
        <f>IF($A124="","",IF(_xlfn.XLOOKUP($A124,Korrelation!$D$4:$D$1197,Korrelation!E$4:E$1197,"-",0)="-",0,MATCH(_xlfn.XLOOKUP($A124,Korrelation!$D$4:$D$1197,Korrelation!E$4:E$1197,"",0),DMAV_Modell!$G$6:$G$677,0)))</f>
        <v>0</v>
      </c>
      <c r="C124" s="57">
        <f>IF($A124="","",IF(_xlfn.XLOOKUP($A124,Korrelation!$D$4:$D$1197,Korrelation!F$4:F$1197,"-",0)="-",0,MATCH(_xlfn.XLOOKUP($A124,Korrelation!$D$4:$D$1197,Korrelation!F$4:F$1197,"",0),DMAV_Modell!$G$6:$G$677,0)))</f>
        <v>0</v>
      </c>
      <c r="D124" s="57">
        <f>IF($A124="","",IF(_xlfn.XLOOKUP($A124,Korrelation!$D$4:$D$1197,Korrelation!G$4:G$1197,"-",0)="-",0,MATCH(_xlfn.XLOOKUP($A124,Korrelation!$D$4:$D$1197,Korrelation!G$4:G$1197,"",0),DMAV_Modell!$G$6:$G$677,0)))</f>
        <v>0</v>
      </c>
      <c r="E124" s="57">
        <f>IF($A124="","",IF(_xlfn.XLOOKUP($A124,Korrelation!$D$4:$D$1197,Korrelation!H$4:H$1197,"-",0)="-",0,MATCH(_xlfn.XLOOKUP($A124,Korrelation!$D$4:$D$1197,Korrelation!H$4:H$1197,"",0),DMAV_Dienste!$F$6:$F$140,0)))</f>
        <v>26</v>
      </c>
      <c r="F124" s="57">
        <f>IF($A124="","",IF(_xlfn.XLOOKUP($A124,Korrelation!$D$4:$D$1197,Korrelation!I$4:I$1197,"-",0)="-",0,MATCH(_xlfn.XLOOKUP($A124,Korrelation!$D$4:$D$1197,Korrelation!I$4:I$1197,"",0),DMAV_Dienste!$F$6:$F$140,0)))</f>
        <v>0</v>
      </c>
      <c r="G124" s="57">
        <f>IF($A124="","",IF(_xlfn.XLOOKUP($A124,Korrelation!$D$4:$D$1197,Korrelation!J$4:J$1197,"-",0)="-",0,MATCH(_xlfn.XLOOKUP($A124,Korrelation!$D$4:$D$1197,Korrelation!J$4:J$1197,"",0),DMAV_Dienste!$F$6:$F$140,0)))</f>
        <v>0</v>
      </c>
      <c r="H124" s="57">
        <f>IF($A124="","",IF(_xlfn.XLOOKUP($A124,Korrelation!$D$4:$D$1197,Korrelation!K$4:K$1197,"-",0)="-",0,MATCH(_xlfn.XLOOKUP($A124,Korrelation!$D$4:$D$1197,Korrelation!K$4:K$1197,"",0),'DM01-AV-CH'!$A$6:$A$834,0)))</f>
        <v>74</v>
      </c>
      <c r="J124" s="54" t="str" cm="1">
        <f t="array" aca="1" ref="J124" ca="1">IF(B124=0,IF(E124=0,"",HYPERLINK("#"&amp;RIGHT(CELL("adresse",OFFSET(DMAV_Dienste!$M$6,E124-1,0)),LEN(CELL("adresse",OFFSET(DMAV_Dienste!$M$6,E124-1,0)))-FIND("]",CELL("adresse",OFFSET(DMAV_Dienste!$M$6,E124-1,0)))),"Dienst")),HYPERLINK("#"&amp;RIGHT(CELL("adresse",OFFSET(DMAV_Modell!$N$6,B124-1,0)),LEN(CELL("adresse",OFFSET(DMAV_Modell!$N$6,B124-1,0)))-FIND("]",CELL("adresse",OFFSET(DMAV_Modell!$N$6,B124-1,0)))),"Modell"))</f>
        <v>Dienst</v>
      </c>
      <c r="K124" s="61" t="str" cm="1">
        <f t="array" ref="K124">IF($B124=0,IF($E124=0,"",IF(INDEX(DMAV_Dienste!P$6:P$140,$E124)="","",INDEX(DMAV_Dienste!P$6:P$140,$E124))),IF(INDEX(DMAV_Modell!Q$6:Q$838,$B124)="","",INDEX(DMAV_Modell!Q$6:Q$838,$B124)))</f>
        <v>CLASS</v>
      </c>
      <c r="L124" s="62" t="str" cm="1">
        <f t="array" ref="L124">IF($B124=0,IF($E124=0,"",IF(INDEX(DMAV_Dienste!O$6:O$140,$E124)="","",INDEX(DMAV_Dienste!O$6:O$140,$E124))),IF(INDEX(DMAV_Modell!P$6:P$838,$B124)="","",INDEX(DMAV_Modell!P$6:P$838,$B124)))</f>
        <v>FixpunkteLV</v>
      </c>
      <c r="M124" s="62" t="str" cm="1">
        <f t="array" ref="M124">IF($B124=0,IF($E124=0,"",IF(INDEX(DMAV_Dienste!Q$6:Q$140,$E124)="","",INDEX(DMAV_Dienste!Q$6:Q$140,$E124))),IF(INDEX(DMAV_Modell!R$6:R$838,$B124)="","",INDEX(DMAV_Modell!R$6:R$838,$B124)))</f>
        <v>HFP1</v>
      </c>
      <c r="N124" s="62" t="str" cm="1">
        <f t="array" ref="N124">IF($B124=0,IF($E124=0,"",IF(INDEX(DMAV_Dienste!T$6:T$140,$E124)="","",INDEX(DMAV_Dienste!T$6:T$140,$E124))),IF(INDEX(DMAV_Modell!U$6:U$838,$B124)="","",INDEX(DMAV_Modell!U$6:U$838,$B124)))</f>
        <v>Hoehengenauigkeit</v>
      </c>
      <c r="O124" s="63" t="str" cm="1">
        <f t="array" aca="1" ref="O124" ca="1">IF(C124=0,IF(F124=0,"",HYPERLINK("#"&amp;RIGHT(CELL("adresse",OFFSET(DMAV_Dienste!$M$6,F124-1,0)),LEN(CELL("adresse",OFFSET(DMAV_Dienste!$M$6,F124-1,0)))-FIND("]",CELL("adresse",OFFSET(DMAV_Dienste!$M$6,F124-1,0)))),"Structure")),HYPERLINK("#"&amp;RIGHT(CELL("adresse",OFFSET(DMAV_Modell!$N$6,C124-1,0)),LEN(CELL("adresse",OFFSET(DMAV_Modell!$N$6,C124-1,0)))-FIND("]",CELL("adresse",OFFSET(DMAV_Modell!$N$6,C124-1,0)))),"Structure"))</f>
        <v/>
      </c>
      <c r="P124" s="64" t="str" cm="1">
        <f t="array" aca="1" ref="P124" ca="1">IF(D124=0,IF(G124=0,"",HYPERLINK("#"&amp;RIGHT(CELL("adresse",OFFSET(DMAV_Dienste!$M$6,G124-1,0)),LEN(CELL("adresse",OFFSET(DMAV_Dienste!$M$6,G124-1,0)))-FIND("]",CELL("adresse",OFFSET(DMAV_Dienste!$M$6,G124-1,0)))),"Substructure")),HYPERLINK("#"&amp;RIGHT(CELL("adresse",OFFSET(DMAV_Modell!$N$6,D124-1,0)),LEN(CELL("adresse",OFFSET(DMAV_Modell!$N$6,D124-1,0)))-FIND("]",CELL("adresse",OFFSET(DMAV_Modell!$N$6,D124-1,0)))),"Substructure"))</f>
        <v/>
      </c>
      <c r="R124" s="80"/>
      <c r="T124" s="93"/>
      <c r="U124" s="94"/>
      <c r="V124" s="95"/>
      <c r="W124" s="96"/>
      <c r="Y124" s="85"/>
      <c r="Z124" s="86"/>
      <c r="AA124" s="87"/>
      <c r="AB124" s="88"/>
      <c r="AD124" s="77"/>
      <c r="AF124" s="54" t="str" cm="1">
        <f t="array" aca="1" ref="AF124" ca="1">IF(H124=0,"",HYPERLINK("#"&amp;RIGHT(CELL("adresse",OFFSET('DM01-AV-CH'!$G$6,H124-1,0)),LEN(CELL("adresse",OFFSET('DM01-AV-CH'!$G$6,H124-1,0)))-FIND("]",CELL("adresse",OFFSET('DM01-AV-CH'!$G$6,H124-1,0)))),"Modell"))</f>
        <v>Modell</v>
      </c>
      <c r="AG124" s="72" t="str" cm="1">
        <f t="array" ref="AG124">IF($H124=0,"",IF(INDEX('DM01-AV-CH'!G$6:G$834,$H124)="","",INDEX('DM01-AV-CH'!G$6:G$834,$H124)))</f>
        <v>FixpunkteKategorie1</v>
      </c>
      <c r="AH124" s="73" t="str" cm="1">
        <f t="array" ref="AH124">IF($H124=0,"",IF(INDEX('DM01-AV-CH'!H$6:H$834,$H124)="","",INDEX('DM01-AV-CH'!H$6:H$834,$H124)))</f>
        <v>HFP1</v>
      </c>
      <c r="AI124" s="74" t="str" cm="1">
        <f t="array" ref="AI124">IF($H124=0,"",IF(INDEX('DM01-AV-CH'!I$6:I$834,$H124)="","",INDEX('DM01-AV-CH'!I$6:I$834,$H124)))</f>
        <v>HoeheGen</v>
      </c>
    </row>
    <row r="125" spans="1:35" x14ac:dyDescent="0.25">
      <c r="A125" s="57">
        <v>120</v>
      </c>
      <c r="B125" s="57">
        <f>IF($A125="","",IF(_xlfn.XLOOKUP($A125,Korrelation!$D$4:$D$1197,Korrelation!E$4:E$1197,"-",0)="-",0,MATCH(_xlfn.XLOOKUP($A125,Korrelation!$D$4:$D$1197,Korrelation!E$4:E$1197,"",0),DMAV_Modell!$G$6:$G$677,0)))</f>
        <v>0</v>
      </c>
      <c r="C125" s="57">
        <f>IF($A125="","",IF(_xlfn.XLOOKUP($A125,Korrelation!$D$4:$D$1197,Korrelation!F$4:F$1197,"-",0)="-",0,MATCH(_xlfn.XLOOKUP($A125,Korrelation!$D$4:$D$1197,Korrelation!F$4:F$1197,"",0),DMAV_Modell!$G$6:$G$677,0)))</f>
        <v>0</v>
      </c>
      <c r="D125" s="57">
        <f>IF($A125="","",IF(_xlfn.XLOOKUP($A125,Korrelation!$D$4:$D$1197,Korrelation!G$4:G$1197,"-",0)="-",0,MATCH(_xlfn.XLOOKUP($A125,Korrelation!$D$4:$D$1197,Korrelation!G$4:G$1197,"",0),DMAV_Modell!$G$6:$G$677,0)))</f>
        <v>0</v>
      </c>
      <c r="E125" s="57">
        <f>IF($A125="","",IF(_xlfn.XLOOKUP($A125,Korrelation!$D$4:$D$1197,Korrelation!H$4:H$1197,"-",0)="-",0,MATCH(_xlfn.XLOOKUP($A125,Korrelation!$D$4:$D$1197,Korrelation!H$4:H$1197,"",0),DMAV_Dienste!$F$6:$F$140,0)))</f>
        <v>27</v>
      </c>
      <c r="F125" s="57">
        <f>IF($A125="","",IF(_xlfn.XLOOKUP($A125,Korrelation!$D$4:$D$1197,Korrelation!I$4:I$1197,"-",0)="-",0,MATCH(_xlfn.XLOOKUP($A125,Korrelation!$D$4:$D$1197,Korrelation!I$4:I$1197,"",0),DMAV_Dienste!$F$6:$F$140,0)))</f>
        <v>0</v>
      </c>
      <c r="G125" s="57">
        <f>IF($A125="","",IF(_xlfn.XLOOKUP($A125,Korrelation!$D$4:$D$1197,Korrelation!J$4:J$1197,"-",0)="-",0,MATCH(_xlfn.XLOOKUP($A125,Korrelation!$D$4:$D$1197,Korrelation!J$4:J$1197,"",0),DMAV_Dienste!$F$6:$F$140,0)))</f>
        <v>0</v>
      </c>
      <c r="H125" s="57">
        <f>IF($A125="","",IF(_xlfn.XLOOKUP($A125,Korrelation!$D$4:$D$1197,Korrelation!K$4:K$1197,"-",0)="-",0,MATCH(_xlfn.XLOOKUP($A125,Korrelation!$D$4:$D$1197,Korrelation!K$4:K$1197,"",0),'DM01-AV-CH'!$A$6:$A$834,0)))</f>
        <v>75</v>
      </c>
      <c r="J125" s="54" t="str" cm="1">
        <f t="array" aca="1" ref="J125" ca="1">IF(B125=0,IF(E125=0,"",HYPERLINK("#"&amp;RIGHT(CELL("adresse",OFFSET(DMAV_Dienste!$M$6,E125-1,0)),LEN(CELL("adresse",OFFSET(DMAV_Dienste!$M$6,E125-1,0)))-FIND("]",CELL("adresse",OFFSET(DMAV_Dienste!$M$6,E125-1,0)))),"Dienst")),HYPERLINK("#"&amp;RIGHT(CELL("adresse",OFFSET(DMAV_Modell!$N$6,B125-1,0)),LEN(CELL("adresse",OFFSET(DMAV_Modell!$N$6,B125-1,0)))-FIND("]",CELL("adresse",OFFSET(DMAV_Modell!$N$6,B125-1,0)))),"Modell"))</f>
        <v>Dienst</v>
      </c>
      <c r="K125" s="61" t="str" cm="1">
        <f t="array" ref="K125">IF($B125=0,IF($E125=0,"",IF(INDEX(DMAV_Dienste!P$6:P$140,$E125)="","",INDEX(DMAV_Dienste!P$6:P$140,$E125))),IF(INDEX(DMAV_Modell!Q$6:Q$838,$B125)="","",INDEX(DMAV_Modell!Q$6:Q$838,$B125)))</f>
        <v>CLASS</v>
      </c>
      <c r="L125" s="62" t="str" cm="1">
        <f t="array" ref="L125">IF($B125=0,IF($E125=0,"",IF(INDEX(DMAV_Dienste!O$6:O$140,$E125)="","",INDEX(DMAV_Dienste!O$6:O$140,$E125))),IF(INDEX(DMAV_Modell!P$6:P$838,$B125)="","",INDEX(DMAV_Modell!P$6:P$838,$B125)))</f>
        <v>FixpunkteLV</v>
      </c>
      <c r="M125" s="62" t="str" cm="1">
        <f t="array" ref="M125">IF($B125=0,IF($E125=0,"",IF(INDEX(DMAV_Dienste!Q$6:Q$140,$E125)="","",INDEX(DMAV_Dienste!Q$6:Q$140,$E125))),IF(INDEX(DMAV_Modell!R$6:R$838,$B125)="","",INDEX(DMAV_Modell!R$6:R$838,$B125)))</f>
        <v>HFP1</v>
      </c>
      <c r="N125" s="62" t="str" cm="1">
        <f t="array" ref="N125">IF($B125=0,IF($E125=0,"",IF(INDEX(DMAV_Dienste!T$6:T$140,$E125)="","",INDEX(DMAV_Dienste!T$6:T$140,$E125))),IF(INDEX(DMAV_Modell!U$6:U$838,$B125)="","",INDEX(DMAV_Modell!U$6:U$838,$B125)))</f>
        <v>IstHoehenzuverlaessig</v>
      </c>
      <c r="O125" s="63" t="str" cm="1">
        <f t="array" aca="1" ref="O125" ca="1">IF(C125=0,IF(F125=0,"",HYPERLINK("#"&amp;RIGHT(CELL("adresse",OFFSET(DMAV_Dienste!$M$6,F125-1,0)),LEN(CELL("adresse",OFFSET(DMAV_Dienste!$M$6,F125-1,0)))-FIND("]",CELL("adresse",OFFSET(DMAV_Dienste!$M$6,F125-1,0)))),"Structure")),HYPERLINK("#"&amp;RIGHT(CELL("adresse",OFFSET(DMAV_Modell!$N$6,C125-1,0)),LEN(CELL("adresse",OFFSET(DMAV_Modell!$N$6,C125-1,0)))-FIND("]",CELL("adresse",OFFSET(DMAV_Modell!$N$6,C125-1,0)))),"Structure"))</f>
        <v/>
      </c>
      <c r="P125" s="64" t="str" cm="1">
        <f t="array" aca="1" ref="P125" ca="1">IF(D125=0,IF(G125=0,"",HYPERLINK("#"&amp;RIGHT(CELL("adresse",OFFSET(DMAV_Dienste!$M$6,G125-1,0)),LEN(CELL("adresse",OFFSET(DMAV_Dienste!$M$6,G125-1,0)))-FIND("]",CELL("adresse",OFFSET(DMAV_Dienste!$M$6,G125-1,0)))),"Substructure")),HYPERLINK("#"&amp;RIGHT(CELL("adresse",OFFSET(DMAV_Modell!$N$6,D125-1,0)),LEN(CELL("adresse",OFFSET(DMAV_Modell!$N$6,D125-1,0)))-FIND("]",CELL("adresse",OFFSET(DMAV_Modell!$N$6,D125-1,0)))),"Substructure"))</f>
        <v/>
      </c>
      <c r="R125" s="80"/>
      <c r="T125" s="93"/>
      <c r="U125" s="94"/>
      <c r="V125" s="95"/>
      <c r="W125" s="96"/>
      <c r="Y125" s="85"/>
      <c r="Z125" s="86"/>
      <c r="AA125" s="87"/>
      <c r="AB125" s="88"/>
      <c r="AD125" s="77"/>
      <c r="AF125" s="54" t="str" cm="1">
        <f t="array" aca="1" ref="AF125" ca="1">IF(H125=0,"",HYPERLINK("#"&amp;RIGHT(CELL("adresse",OFFSET('DM01-AV-CH'!$G$6,H125-1,0)),LEN(CELL("adresse",OFFSET('DM01-AV-CH'!$G$6,H125-1,0)))-FIND("]",CELL("adresse",OFFSET('DM01-AV-CH'!$G$6,H125-1,0)))),"Modell"))</f>
        <v>Modell</v>
      </c>
      <c r="AG125" s="72" t="str" cm="1">
        <f t="array" ref="AG125">IF($H125=0,"",IF(INDEX('DM01-AV-CH'!G$6:G$834,$H125)="","",INDEX('DM01-AV-CH'!G$6:G$834,$H125)))</f>
        <v>FixpunkteKategorie1</v>
      </c>
      <c r="AH125" s="73" t="str" cm="1">
        <f t="array" ref="AH125">IF($H125=0,"",IF(INDEX('DM01-AV-CH'!H$6:H$834,$H125)="","",INDEX('DM01-AV-CH'!H$6:H$834,$H125)))</f>
        <v>HFP1</v>
      </c>
      <c r="AI125" s="74" t="str" cm="1">
        <f t="array" ref="AI125">IF($H125=0,"",IF(INDEX('DM01-AV-CH'!I$6:I$834,$H125)="","",INDEX('DM01-AV-CH'!I$6:I$834,$H125)))</f>
        <v>HoeheZuv</v>
      </c>
    </row>
    <row r="126" spans="1:35" x14ac:dyDescent="0.25">
      <c r="A126" s="57">
        <v>121</v>
      </c>
      <c r="B126" s="57">
        <f>IF($A126="","",IF(_xlfn.XLOOKUP($A126,Korrelation!$D$4:$D$1197,Korrelation!E$4:E$1197,"-",0)="-",0,MATCH(_xlfn.XLOOKUP($A126,Korrelation!$D$4:$D$1197,Korrelation!E$4:E$1197,"",0),DMAV_Modell!$G$6:$G$677,0)))</f>
        <v>0</v>
      </c>
      <c r="C126" s="57">
        <f>IF($A126="","",IF(_xlfn.XLOOKUP($A126,Korrelation!$D$4:$D$1197,Korrelation!F$4:F$1197,"-",0)="-",0,MATCH(_xlfn.XLOOKUP($A126,Korrelation!$D$4:$D$1197,Korrelation!F$4:F$1197,"",0),DMAV_Modell!$G$6:$G$677,0)))</f>
        <v>0</v>
      </c>
      <c r="D126" s="57">
        <f>IF($A126="","",IF(_xlfn.XLOOKUP($A126,Korrelation!$D$4:$D$1197,Korrelation!G$4:G$1197,"-",0)="-",0,MATCH(_xlfn.XLOOKUP($A126,Korrelation!$D$4:$D$1197,Korrelation!G$4:G$1197,"",0),DMAV_Modell!$G$6:$G$677,0)))</f>
        <v>0</v>
      </c>
      <c r="E126" s="57">
        <f>IF($A126="","",IF(_xlfn.XLOOKUP($A126,Korrelation!$D$4:$D$1197,Korrelation!H$4:H$1197,"-",0)="-",0,MATCH(_xlfn.XLOOKUP($A126,Korrelation!$D$4:$D$1197,Korrelation!H$4:H$1197,"",0),DMAV_Dienste!$F$6:$F$140,0)))</f>
        <v>28</v>
      </c>
      <c r="F126" s="57">
        <f>IF($A126="","",IF(_xlfn.XLOOKUP($A126,Korrelation!$D$4:$D$1197,Korrelation!I$4:I$1197,"-",0)="-",0,MATCH(_xlfn.XLOOKUP($A126,Korrelation!$D$4:$D$1197,Korrelation!I$4:I$1197,"",0),DMAV_Dienste!$F$6:$F$140,0)))</f>
        <v>0</v>
      </c>
      <c r="G126" s="57">
        <f>IF($A126="","",IF(_xlfn.XLOOKUP($A126,Korrelation!$D$4:$D$1197,Korrelation!J$4:J$1197,"-",0)="-",0,MATCH(_xlfn.XLOOKUP($A126,Korrelation!$D$4:$D$1197,Korrelation!J$4:J$1197,"",0),DMAV_Dienste!$F$6:$F$140,0)))</f>
        <v>0</v>
      </c>
      <c r="H126" s="57">
        <f>IF($A126="","",IF(_xlfn.XLOOKUP($A126,Korrelation!$D$4:$D$1197,Korrelation!K$4:K$1197,"-",0)="-",0,MATCH(_xlfn.XLOOKUP($A126,Korrelation!$D$4:$D$1197,Korrelation!K$4:K$1197,"",0),'DM01-AV-CH'!$A$6:$A$834,0)))</f>
        <v>0</v>
      </c>
      <c r="J126" s="54" t="str" cm="1">
        <f t="array" aca="1" ref="J126" ca="1">IF(B126=0,IF(E126=0,"",HYPERLINK("#"&amp;RIGHT(CELL("adresse",OFFSET(DMAV_Dienste!$M$6,E126-1,0)),LEN(CELL("adresse",OFFSET(DMAV_Dienste!$M$6,E126-1,0)))-FIND("]",CELL("adresse",OFFSET(DMAV_Dienste!$M$6,E126-1,0)))),"Dienst")),HYPERLINK("#"&amp;RIGHT(CELL("adresse",OFFSET(DMAV_Modell!$N$6,B126-1,0)),LEN(CELL("adresse",OFFSET(DMAV_Modell!$N$6,B126-1,0)))-FIND("]",CELL("adresse",OFFSET(DMAV_Modell!$N$6,B126-1,0)))),"Modell"))</f>
        <v>Dienst</v>
      </c>
      <c r="K126" s="61" t="str" cm="1">
        <f t="array" ref="K126">IF($B126=0,IF($E126=0,"",IF(INDEX(DMAV_Dienste!P$6:P$140,$E126)="","",INDEX(DMAV_Dienste!P$6:P$140,$E126))),IF(INDEX(DMAV_Modell!Q$6:Q$838,$B126)="","",INDEX(DMAV_Modell!Q$6:Q$838,$B126)))</f>
        <v>CLASS</v>
      </c>
      <c r="L126" s="62" t="str" cm="1">
        <f t="array" ref="L126">IF($B126=0,IF($E126=0,"",IF(INDEX(DMAV_Dienste!O$6:O$140,$E126)="","",INDEX(DMAV_Dienste!O$6:O$140,$E126))),IF(INDEX(DMAV_Modell!P$6:P$838,$B126)="","",INDEX(DMAV_Modell!P$6:P$838,$B126)))</f>
        <v>FixpunkteLV</v>
      </c>
      <c r="M126" s="62" t="str" cm="1">
        <f t="array" ref="M126">IF($B126=0,IF($E126=0,"",IF(INDEX(DMAV_Dienste!Q$6:Q$140,$E126)="","",INDEX(DMAV_Dienste!Q$6:Q$140,$E126))),IF(INDEX(DMAV_Modell!R$6:R$838,$B126)="","",INDEX(DMAV_Modell!R$6:R$838,$B126)))</f>
        <v>HFP1</v>
      </c>
      <c r="N126" s="62" t="str" cm="1">
        <f t="array" ref="N126">IF($B126=0,IF($E126=0,"",IF(INDEX(DMAV_Dienste!T$6:T$140,$E126)="","",INDEX(DMAV_Dienste!T$6:T$140,$E126))),IF(INDEX(DMAV_Modell!U$6:U$838,$B126)="","",INDEX(DMAV_Modell!U$6:U$838,$B126)))</f>
        <v>Zugang</v>
      </c>
      <c r="O126" s="63" t="str" cm="1">
        <f t="array" aca="1" ref="O126" ca="1">IF(C126=0,IF(F126=0,"",HYPERLINK("#"&amp;RIGHT(CELL("adresse",OFFSET(DMAV_Dienste!$M$6,F126-1,0)),LEN(CELL("adresse",OFFSET(DMAV_Dienste!$M$6,F126-1,0)))-FIND("]",CELL("adresse",OFFSET(DMAV_Dienste!$M$6,F126-1,0)))),"Structure")),HYPERLINK("#"&amp;RIGHT(CELL("adresse",OFFSET(DMAV_Modell!$N$6,C126-1,0)),LEN(CELL("adresse",OFFSET(DMAV_Modell!$N$6,C126-1,0)))-FIND("]",CELL("adresse",OFFSET(DMAV_Modell!$N$6,C126-1,0)))),"Structure"))</f>
        <v/>
      </c>
      <c r="P126" s="64" t="str" cm="1">
        <f t="array" aca="1" ref="P126" ca="1">IF(D126=0,IF(G126=0,"",HYPERLINK("#"&amp;RIGHT(CELL("adresse",OFFSET(DMAV_Dienste!$M$6,G126-1,0)),LEN(CELL("adresse",OFFSET(DMAV_Dienste!$M$6,G126-1,0)))-FIND("]",CELL("adresse",OFFSET(DMAV_Dienste!$M$6,G126-1,0)))),"Substructure")),HYPERLINK("#"&amp;RIGHT(CELL("adresse",OFFSET(DMAV_Modell!$N$6,D126-1,0)),LEN(CELL("adresse",OFFSET(DMAV_Modell!$N$6,D126-1,0)))-FIND("]",CELL("adresse",OFFSET(DMAV_Modell!$N$6,D126-1,0)))),"Substructure"))</f>
        <v/>
      </c>
      <c r="R126" s="80"/>
      <c r="T126" s="93"/>
      <c r="U126" s="94"/>
      <c r="V126" s="95"/>
      <c r="W126" s="96"/>
      <c r="Y126" s="85"/>
      <c r="Z126" s="86"/>
      <c r="AA126" s="87"/>
      <c r="AB126" s="88"/>
      <c r="AD126" s="77"/>
      <c r="AF126" s="54" t="str" cm="1">
        <f t="array" aca="1" ref="AF126" ca="1">IF(H126=0,"",HYPERLINK("#"&amp;RIGHT(CELL("adresse",OFFSET('DM01-AV-CH'!$G$6,H126-1,0)),LEN(CELL("adresse",OFFSET('DM01-AV-CH'!$G$6,H126-1,0)))-FIND("]",CELL("adresse",OFFSET('DM01-AV-CH'!$G$6,H126-1,0)))),"Modell"))</f>
        <v/>
      </c>
      <c r="AG126" s="72" t="str" cm="1">
        <f t="array" ref="AG126">IF($H126=0,"",IF(INDEX('DM01-AV-CH'!G$6:G$834,$H126)="","",INDEX('DM01-AV-CH'!G$6:G$834,$H126)))</f>
        <v/>
      </c>
      <c r="AH126" s="73" t="str" cm="1">
        <f t="array" ref="AH126">IF($H126=0,"",IF(INDEX('DM01-AV-CH'!H$6:H$834,$H126)="","",INDEX('DM01-AV-CH'!H$6:H$834,$H126)))</f>
        <v/>
      </c>
      <c r="AI126" s="74" t="str" cm="1">
        <f t="array" ref="AI126">IF($H126=0,"",IF(INDEX('DM01-AV-CH'!I$6:I$834,$H126)="","",INDEX('DM01-AV-CH'!I$6:I$834,$H126)))</f>
        <v/>
      </c>
    </row>
    <row r="127" spans="1:35" x14ac:dyDescent="0.25">
      <c r="A127" s="57">
        <v>122</v>
      </c>
      <c r="B127" s="57">
        <f>IF($A127="","",IF(_xlfn.XLOOKUP($A127,Korrelation!$D$4:$D$1197,Korrelation!E$4:E$1197,"-",0)="-",0,MATCH(_xlfn.XLOOKUP($A127,Korrelation!$D$4:$D$1197,Korrelation!E$4:E$1197,"",0),DMAV_Modell!$G$6:$G$677,0)))</f>
        <v>0</v>
      </c>
      <c r="C127" s="57">
        <f>IF($A127="","",IF(_xlfn.XLOOKUP($A127,Korrelation!$D$4:$D$1197,Korrelation!F$4:F$1197,"-",0)="-",0,MATCH(_xlfn.XLOOKUP($A127,Korrelation!$D$4:$D$1197,Korrelation!F$4:F$1197,"",0),DMAV_Modell!$G$6:$G$677,0)))</f>
        <v>0</v>
      </c>
      <c r="D127" s="57">
        <f>IF($A127="","",IF(_xlfn.XLOOKUP($A127,Korrelation!$D$4:$D$1197,Korrelation!G$4:G$1197,"-",0)="-",0,MATCH(_xlfn.XLOOKUP($A127,Korrelation!$D$4:$D$1197,Korrelation!G$4:G$1197,"",0),DMAV_Modell!$G$6:$G$677,0)))</f>
        <v>0</v>
      </c>
      <c r="E127" s="57">
        <f>IF($A127="","",IF(_xlfn.XLOOKUP($A127,Korrelation!$D$4:$D$1197,Korrelation!H$4:H$1197,"-",0)="-",0,MATCH(_xlfn.XLOOKUP($A127,Korrelation!$D$4:$D$1197,Korrelation!H$4:H$1197,"",0),DMAV_Dienste!$F$6:$F$140,0)))</f>
        <v>29</v>
      </c>
      <c r="F127" s="57">
        <f>IF($A127="","",IF(_xlfn.XLOOKUP($A127,Korrelation!$D$4:$D$1197,Korrelation!I$4:I$1197,"-",0)="-",0,MATCH(_xlfn.XLOOKUP($A127,Korrelation!$D$4:$D$1197,Korrelation!I$4:I$1197,"",0),DMAV_Dienste!$F$6:$F$140,0)))</f>
        <v>0</v>
      </c>
      <c r="G127" s="57">
        <f>IF($A127="","",IF(_xlfn.XLOOKUP($A127,Korrelation!$D$4:$D$1197,Korrelation!J$4:J$1197,"-",0)="-",0,MATCH(_xlfn.XLOOKUP($A127,Korrelation!$D$4:$D$1197,Korrelation!J$4:J$1197,"",0),DMAV_Dienste!$F$6:$F$140,0)))</f>
        <v>0</v>
      </c>
      <c r="H127" s="57">
        <f>IF($A127="","",IF(_xlfn.XLOOKUP($A127,Korrelation!$D$4:$D$1197,Korrelation!K$4:K$1197,"-",0)="-",0,MATCH(_xlfn.XLOOKUP($A127,Korrelation!$D$4:$D$1197,Korrelation!K$4:K$1197,"",0),'DM01-AV-CH'!$A$6:$A$834,0)))</f>
        <v>0</v>
      </c>
      <c r="J127" s="54" t="str" cm="1">
        <f t="array" aca="1" ref="J127" ca="1">IF(B127=0,IF(E127=0,"",HYPERLINK("#"&amp;RIGHT(CELL("adresse",OFFSET(DMAV_Dienste!$M$6,E127-1,0)),LEN(CELL("adresse",OFFSET(DMAV_Dienste!$M$6,E127-1,0)))-FIND("]",CELL("adresse",OFFSET(DMAV_Dienste!$M$6,E127-1,0)))),"Dienst")),HYPERLINK("#"&amp;RIGHT(CELL("adresse",OFFSET(DMAV_Modell!$N$6,B127-1,0)),LEN(CELL("adresse",OFFSET(DMAV_Modell!$N$6,B127-1,0)))-FIND("]",CELL("adresse",OFFSET(DMAV_Modell!$N$6,B127-1,0)))),"Modell"))</f>
        <v>Dienst</v>
      </c>
      <c r="K127" s="61" t="str" cm="1">
        <f t="array" ref="K127">IF($B127=0,IF($E127=0,"",IF(INDEX(DMAV_Dienste!P$6:P$140,$E127)="","",INDEX(DMAV_Dienste!P$6:P$140,$E127))),IF(INDEX(DMAV_Modell!Q$6:Q$838,$B127)="","",INDEX(DMAV_Modell!Q$6:Q$838,$B127)))</f>
        <v>CLASS</v>
      </c>
      <c r="L127" s="62" t="str" cm="1">
        <f t="array" ref="L127">IF($B127=0,IF($E127=0,"",IF(INDEX(DMAV_Dienste!O$6:O$140,$E127)="","",INDEX(DMAV_Dienste!O$6:O$140,$E127))),IF(INDEX(DMAV_Modell!P$6:P$838,$B127)="","",INDEX(DMAV_Modell!P$6:P$838,$B127)))</f>
        <v>FixpunkteLV</v>
      </c>
      <c r="M127" s="62" t="str" cm="1">
        <f t="array" ref="M127">IF($B127=0,IF($E127=0,"",IF(INDEX(DMAV_Dienste!Q$6:Q$140,$E127)="","",INDEX(DMAV_Dienste!Q$6:Q$140,$E127))),IF(INDEX(DMAV_Modell!R$6:R$838,$B127)="","",INDEX(DMAV_Modell!R$6:R$838,$B127)))</f>
        <v>HFP1</v>
      </c>
      <c r="N127" s="62" t="str" cm="1">
        <f t="array" ref="N127">IF($B127=0,IF($E127=0,"",IF(INDEX(DMAV_Dienste!T$6:T$140,$E127)="","",INDEX(DMAV_Dienste!T$6:T$140,$E127))),IF(INDEX(DMAV_Modell!U$6:U$838,$B127)="","",INDEX(DMAV_Modell!U$6:U$838,$B127)))</f>
        <v>Ordnung</v>
      </c>
      <c r="O127" s="63" t="str" cm="1">
        <f t="array" aca="1" ref="O127" ca="1">IF(C127=0,IF(F127=0,"",HYPERLINK("#"&amp;RIGHT(CELL("adresse",OFFSET(DMAV_Dienste!$M$6,F127-1,0)),LEN(CELL("adresse",OFFSET(DMAV_Dienste!$M$6,F127-1,0)))-FIND("]",CELL("adresse",OFFSET(DMAV_Dienste!$M$6,F127-1,0)))),"Structure")),HYPERLINK("#"&amp;RIGHT(CELL("adresse",OFFSET(DMAV_Modell!$N$6,C127-1,0)),LEN(CELL("adresse",OFFSET(DMAV_Modell!$N$6,C127-1,0)))-FIND("]",CELL("adresse",OFFSET(DMAV_Modell!$N$6,C127-1,0)))),"Structure"))</f>
        <v/>
      </c>
      <c r="P127" s="64" t="str" cm="1">
        <f t="array" aca="1" ref="P127" ca="1">IF(D127=0,IF(G127=0,"",HYPERLINK("#"&amp;RIGHT(CELL("adresse",OFFSET(DMAV_Dienste!$M$6,G127-1,0)),LEN(CELL("adresse",OFFSET(DMAV_Dienste!$M$6,G127-1,0)))-FIND("]",CELL("adresse",OFFSET(DMAV_Dienste!$M$6,G127-1,0)))),"Substructure")),HYPERLINK("#"&amp;RIGHT(CELL("adresse",OFFSET(DMAV_Modell!$N$6,D127-1,0)),LEN(CELL("adresse",OFFSET(DMAV_Modell!$N$6,D127-1,0)))-FIND("]",CELL("adresse",OFFSET(DMAV_Modell!$N$6,D127-1,0)))),"Substructure"))</f>
        <v/>
      </c>
      <c r="R127" s="80"/>
      <c r="T127" s="93"/>
      <c r="U127" s="94"/>
      <c r="V127" s="95"/>
      <c r="W127" s="96"/>
      <c r="Y127" s="85"/>
      <c r="Z127" s="86"/>
      <c r="AA127" s="87"/>
      <c r="AB127" s="88"/>
      <c r="AD127" s="77"/>
      <c r="AF127" s="54" t="str" cm="1">
        <f t="array" aca="1" ref="AF127" ca="1">IF(H127=0,"",HYPERLINK("#"&amp;RIGHT(CELL("adresse",OFFSET('DM01-AV-CH'!$G$6,H127-1,0)),LEN(CELL("adresse",OFFSET('DM01-AV-CH'!$G$6,H127-1,0)))-FIND("]",CELL("adresse",OFFSET('DM01-AV-CH'!$G$6,H127-1,0)))),"Modell"))</f>
        <v/>
      </c>
      <c r="AG127" s="72" t="str" cm="1">
        <f t="array" ref="AG127">IF($H127=0,"",IF(INDEX('DM01-AV-CH'!G$6:G$834,$H127)="","",INDEX('DM01-AV-CH'!G$6:G$834,$H127)))</f>
        <v/>
      </c>
      <c r="AH127" s="73" t="str" cm="1">
        <f t="array" ref="AH127">IF($H127=0,"",IF(INDEX('DM01-AV-CH'!H$6:H$834,$H127)="","",INDEX('DM01-AV-CH'!H$6:H$834,$H127)))</f>
        <v/>
      </c>
      <c r="AI127" s="74" t="str" cm="1">
        <f t="array" ref="AI127">IF($H127=0,"",IF(INDEX('DM01-AV-CH'!I$6:I$834,$H127)="","",INDEX('DM01-AV-CH'!I$6:I$834,$H127)))</f>
        <v/>
      </c>
    </row>
    <row r="128" spans="1:35" x14ac:dyDescent="0.25">
      <c r="A128" s="57">
        <v>123</v>
      </c>
      <c r="B128" s="57">
        <f>IF($A128="","",IF(_xlfn.XLOOKUP($A128,Korrelation!$D$4:$D$1197,Korrelation!E$4:E$1197,"-",0)="-",0,MATCH(_xlfn.XLOOKUP($A128,Korrelation!$D$4:$D$1197,Korrelation!E$4:E$1197,"",0),DMAV_Modell!$G$6:$G$677,0)))</f>
        <v>0</v>
      </c>
      <c r="C128" s="57">
        <f>IF($A128="","",IF(_xlfn.XLOOKUP($A128,Korrelation!$D$4:$D$1197,Korrelation!F$4:F$1197,"-",0)="-",0,MATCH(_xlfn.XLOOKUP($A128,Korrelation!$D$4:$D$1197,Korrelation!F$4:F$1197,"",0),DMAV_Modell!$G$6:$G$677,0)))</f>
        <v>0</v>
      </c>
      <c r="D128" s="57">
        <f>IF($A128="","",IF(_xlfn.XLOOKUP($A128,Korrelation!$D$4:$D$1197,Korrelation!G$4:G$1197,"-",0)="-",0,MATCH(_xlfn.XLOOKUP($A128,Korrelation!$D$4:$D$1197,Korrelation!G$4:G$1197,"",0),DMAV_Modell!$G$6:$G$677,0)))</f>
        <v>0</v>
      </c>
      <c r="E128" s="57">
        <f>IF($A128="","",IF(_xlfn.XLOOKUP($A128,Korrelation!$D$4:$D$1197,Korrelation!H$4:H$1197,"-",0)="-",0,MATCH(_xlfn.XLOOKUP($A128,Korrelation!$D$4:$D$1197,Korrelation!H$4:H$1197,"",0),DMAV_Dienste!$F$6:$F$140,0)))</f>
        <v>30</v>
      </c>
      <c r="F128" s="57">
        <f>IF($A128="","",IF(_xlfn.XLOOKUP($A128,Korrelation!$D$4:$D$1197,Korrelation!I$4:I$1197,"-",0)="-",0,MATCH(_xlfn.XLOOKUP($A128,Korrelation!$D$4:$D$1197,Korrelation!I$4:I$1197,"",0),DMAV_Dienste!$F$6:$F$140,0)))</f>
        <v>0</v>
      </c>
      <c r="G128" s="57">
        <f>IF($A128="","",IF(_xlfn.XLOOKUP($A128,Korrelation!$D$4:$D$1197,Korrelation!J$4:J$1197,"-",0)="-",0,MATCH(_xlfn.XLOOKUP($A128,Korrelation!$D$4:$D$1197,Korrelation!J$4:J$1197,"",0),DMAV_Dienste!$F$6:$F$140,0)))</f>
        <v>0</v>
      </c>
      <c r="H128" s="57">
        <f>IF($A128="","",IF(_xlfn.XLOOKUP($A128,Korrelation!$D$4:$D$1197,Korrelation!K$4:K$1197,"-",0)="-",0,MATCH(_xlfn.XLOOKUP($A128,Korrelation!$D$4:$D$1197,Korrelation!K$4:K$1197,"",0),'DM01-AV-CH'!$A$6:$A$834,0)))</f>
        <v>0</v>
      </c>
      <c r="J128" s="54" t="str" cm="1">
        <f t="array" aca="1" ref="J128" ca="1">IF(B128=0,IF(E128=0,"",HYPERLINK("#"&amp;RIGHT(CELL("adresse",OFFSET(DMAV_Dienste!$M$6,E128-1,0)),LEN(CELL("adresse",OFFSET(DMAV_Dienste!$M$6,E128-1,0)))-FIND("]",CELL("adresse",OFFSET(DMAV_Dienste!$M$6,E128-1,0)))),"Dienst")),HYPERLINK("#"&amp;RIGHT(CELL("adresse",OFFSET(DMAV_Modell!$N$6,B128-1,0)),LEN(CELL("adresse",OFFSET(DMAV_Modell!$N$6,B128-1,0)))-FIND("]",CELL("adresse",OFFSET(DMAV_Modell!$N$6,B128-1,0)))),"Modell"))</f>
        <v>Dienst</v>
      </c>
      <c r="K128" s="61" t="str" cm="1">
        <f t="array" ref="K128">IF($B128=0,IF($E128=0,"",IF(INDEX(DMAV_Dienste!P$6:P$140,$E128)="","",INDEX(DMAV_Dienste!P$6:P$140,$E128))),IF(INDEX(DMAV_Modell!Q$6:Q$838,$B128)="","",INDEX(DMAV_Modell!Q$6:Q$838,$B128)))</f>
        <v>CLASS</v>
      </c>
      <c r="L128" s="62" t="str" cm="1">
        <f t="array" ref="L128">IF($B128=0,IF($E128=0,"",IF(INDEX(DMAV_Dienste!O$6:O$140,$E128)="","",INDEX(DMAV_Dienste!O$6:O$140,$E128))),IF(INDEX(DMAV_Modell!P$6:P$838,$B128)="","",INDEX(DMAV_Modell!P$6:P$838,$B128)))</f>
        <v>FixpunkteLV</v>
      </c>
      <c r="M128" s="62" t="str" cm="1">
        <f t="array" ref="M128">IF($B128=0,IF($E128=0,"",IF(INDEX(DMAV_Dienste!Q$6:Q$140,$E128)="","",INDEX(DMAV_Dienste!Q$6:Q$140,$E128))),IF(INDEX(DMAV_Modell!R$6:R$838,$B128)="","",INDEX(DMAV_Modell!R$6:R$838,$B128)))</f>
        <v>HFP1</v>
      </c>
      <c r="N128" s="62" t="str" cm="1">
        <f t="array" ref="N128">IF($B128=0,IF($E128=0,"",IF(INDEX(DMAV_Dienste!T$6:T$140,$E128)="","",INDEX(DMAV_Dienste!T$6:T$140,$E128))),IF(INDEX(DMAV_Modell!U$6:U$838,$B128)="","",INDEX(DMAV_Modell!U$6:U$838,$B128)))</f>
        <v>Punktname</v>
      </c>
      <c r="O128" s="63" t="str" cm="1">
        <f t="array" aca="1" ref="O128" ca="1">IF(C128=0,IF(F128=0,"",HYPERLINK("#"&amp;RIGHT(CELL("adresse",OFFSET(DMAV_Dienste!$M$6,F128-1,0)),LEN(CELL("adresse",OFFSET(DMAV_Dienste!$M$6,F128-1,0)))-FIND("]",CELL("adresse",OFFSET(DMAV_Dienste!$M$6,F128-1,0)))),"Structure")),HYPERLINK("#"&amp;RIGHT(CELL("adresse",OFFSET(DMAV_Modell!$N$6,C128-1,0)),LEN(CELL("adresse",OFFSET(DMAV_Modell!$N$6,C128-1,0)))-FIND("]",CELL("adresse",OFFSET(DMAV_Modell!$N$6,C128-1,0)))),"Structure"))</f>
        <v/>
      </c>
      <c r="P128" s="64" t="str" cm="1">
        <f t="array" aca="1" ref="P128" ca="1">IF(D128=0,IF(G128=0,"",HYPERLINK("#"&amp;RIGHT(CELL("adresse",OFFSET(DMAV_Dienste!$M$6,G128-1,0)),LEN(CELL("adresse",OFFSET(DMAV_Dienste!$M$6,G128-1,0)))-FIND("]",CELL("adresse",OFFSET(DMAV_Dienste!$M$6,G128-1,0)))),"Substructure")),HYPERLINK("#"&amp;RIGHT(CELL("adresse",OFFSET(DMAV_Modell!$N$6,D128-1,0)),LEN(CELL("adresse",OFFSET(DMAV_Modell!$N$6,D128-1,0)))-FIND("]",CELL("adresse",OFFSET(DMAV_Modell!$N$6,D128-1,0)))),"Substructure"))</f>
        <v/>
      </c>
      <c r="R128" s="80"/>
      <c r="T128" s="93"/>
      <c r="U128" s="94"/>
      <c r="V128" s="95"/>
      <c r="W128" s="96"/>
      <c r="Y128" s="85"/>
      <c r="Z128" s="86"/>
      <c r="AA128" s="87"/>
      <c r="AB128" s="88"/>
      <c r="AD128" s="77"/>
      <c r="AF128" s="54" t="str" cm="1">
        <f t="array" aca="1" ref="AF128" ca="1">IF(H128=0,"",HYPERLINK("#"&amp;RIGHT(CELL("adresse",OFFSET('DM01-AV-CH'!$G$6,H128-1,0)),LEN(CELL("adresse",OFFSET('DM01-AV-CH'!$G$6,H128-1,0)))-FIND("]",CELL("adresse",OFFSET('DM01-AV-CH'!$G$6,H128-1,0)))),"Modell"))</f>
        <v/>
      </c>
      <c r="AG128" s="72" t="str" cm="1">
        <f t="array" ref="AG128">IF($H128=0,"",IF(INDEX('DM01-AV-CH'!G$6:G$834,$H128)="","",INDEX('DM01-AV-CH'!G$6:G$834,$H128)))</f>
        <v/>
      </c>
      <c r="AH128" s="73" t="str" cm="1">
        <f t="array" ref="AH128">IF($H128=0,"",IF(INDEX('DM01-AV-CH'!H$6:H$834,$H128)="","",INDEX('DM01-AV-CH'!H$6:H$834,$H128)))</f>
        <v/>
      </c>
      <c r="AI128" s="74" t="str" cm="1">
        <f t="array" ref="AI128">IF($H128=0,"",IF(INDEX('DM01-AV-CH'!I$6:I$834,$H128)="","",INDEX('DM01-AV-CH'!I$6:I$834,$H128)))</f>
        <v/>
      </c>
    </row>
    <row r="129" spans="1:35" x14ac:dyDescent="0.25">
      <c r="A129" s="57">
        <v>124</v>
      </c>
      <c r="B129" s="57">
        <f>IF($A129="","",IF(_xlfn.XLOOKUP($A129,Korrelation!$D$4:$D$1197,Korrelation!E$4:E$1197,"-",0)="-",0,MATCH(_xlfn.XLOOKUP($A129,Korrelation!$D$4:$D$1197,Korrelation!E$4:E$1197,"",0),DMAV_Modell!$G$6:$G$677,0)))</f>
        <v>0</v>
      </c>
      <c r="C129" s="57">
        <f>IF($A129="","",IF(_xlfn.XLOOKUP($A129,Korrelation!$D$4:$D$1197,Korrelation!F$4:F$1197,"-",0)="-",0,MATCH(_xlfn.XLOOKUP($A129,Korrelation!$D$4:$D$1197,Korrelation!F$4:F$1197,"",0),DMAV_Modell!$G$6:$G$677,0)))</f>
        <v>0</v>
      </c>
      <c r="D129" s="57">
        <f>IF($A129="","",IF(_xlfn.XLOOKUP($A129,Korrelation!$D$4:$D$1197,Korrelation!G$4:G$1197,"-",0)="-",0,MATCH(_xlfn.XLOOKUP($A129,Korrelation!$D$4:$D$1197,Korrelation!G$4:G$1197,"",0),DMAV_Modell!$G$6:$G$677,0)))</f>
        <v>0</v>
      </c>
      <c r="E129" s="57">
        <f>IF($A129="","",IF(_xlfn.XLOOKUP($A129,Korrelation!$D$4:$D$1197,Korrelation!H$4:H$1197,"-",0)="-",0,MATCH(_xlfn.XLOOKUP($A129,Korrelation!$D$4:$D$1197,Korrelation!H$4:H$1197,"",0),DMAV_Dienste!$F$6:$F$140,0)))</f>
        <v>31</v>
      </c>
      <c r="F129" s="57">
        <f>IF($A129="","",IF(_xlfn.XLOOKUP($A129,Korrelation!$D$4:$D$1197,Korrelation!I$4:I$1197,"-",0)="-",0,MATCH(_xlfn.XLOOKUP($A129,Korrelation!$D$4:$D$1197,Korrelation!I$4:I$1197,"",0),DMAV_Dienste!$F$6:$F$140,0)))</f>
        <v>0</v>
      </c>
      <c r="G129" s="57">
        <f>IF($A129="","",IF(_xlfn.XLOOKUP($A129,Korrelation!$D$4:$D$1197,Korrelation!J$4:J$1197,"-",0)="-",0,MATCH(_xlfn.XLOOKUP($A129,Korrelation!$D$4:$D$1197,Korrelation!J$4:J$1197,"",0),DMAV_Dienste!$F$6:$F$140,0)))</f>
        <v>0</v>
      </c>
      <c r="H129" s="57">
        <f>IF($A129="","",IF(_xlfn.XLOOKUP($A129,Korrelation!$D$4:$D$1197,Korrelation!K$4:K$1197,"-",0)="-",0,MATCH(_xlfn.XLOOKUP($A129,Korrelation!$D$4:$D$1197,Korrelation!K$4:K$1197,"",0),'DM01-AV-CH'!$A$6:$A$834,0)))</f>
        <v>0</v>
      </c>
      <c r="J129" s="54" t="str" cm="1">
        <f t="array" aca="1" ref="J129" ca="1">IF(B129=0,IF(E129=0,"",HYPERLINK("#"&amp;RIGHT(CELL("adresse",OFFSET(DMAV_Dienste!$M$6,E129-1,0)),LEN(CELL("adresse",OFFSET(DMAV_Dienste!$M$6,E129-1,0)))-FIND("]",CELL("adresse",OFFSET(DMAV_Dienste!$M$6,E129-1,0)))),"Dienst")),HYPERLINK("#"&amp;RIGHT(CELL("adresse",OFFSET(DMAV_Modell!$N$6,B129-1,0)),LEN(CELL("adresse",OFFSET(DMAV_Modell!$N$6,B129-1,0)))-FIND("]",CELL("adresse",OFFSET(DMAV_Modell!$N$6,B129-1,0)))),"Modell"))</f>
        <v>Dienst</v>
      </c>
      <c r="K129" s="61" t="str" cm="1">
        <f t="array" ref="K129">IF($B129=0,IF($E129=0,"",IF(INDEX(DMAV_Dienste!P$6:P$140,$E129)="","",INDEX(DMAV_Dienste!P$6:P$140,$E129))),IF(INDEX(DMAV_Modell!Q$6:Q$838,$B129)="","",INDEX(DMAV_Modell!Q$6:Q$838,$B129)))</f>
        <v>CLASS</v>
      </c>
      <c r="L129" s="62" t="str" cm="1">
        <f t="array" ref="L129">IF($B129=0,IF($E129=0,"",IF(INDEX(DMAV_Dienste!O$6:O$140,$E129)="","",INDEX(DMAV_Dienste!O$6:O$140,$E129))),IF(INDEX(DMAV_Modell!P$6:P$838,$B129)="","",INDEX(DMAV_Modell!P$6:P$838,$B129)))</f>
        <v>FixpunkteLV</v>
      </c>
      <c r="M129" s="62" t="str" cm="1">
        <f t="array" ref="M129">IF($B129=0,IF($E129=0,"",IF(INDEX(DMAV_Dienste!Q$6:Q$140,$E129)="","",INDEX(DMAV_Dienste!Q$6:Q$140,$E129))),IF(INDEX(DMAV_Modell!R$6:R$838,$B129)="","",INDEX(DMAV_Modell!R$6:R$838,$B129)))</f>
        <v>HFP1</v>
      </c>
      <c r="N129" s="62" t="str" cm="1">
        <f t="array" ref="N129">IF($B129=0,IF($E129=0,"",IF(INDEX(DMAV_Dienste!T$6:T$140,$E129)="","",INDEX(DMAV_Dienste!T$6:T$140,$E129))),IF(INDEX(DMAV_Modell!U$6:U$838,$B129)="","",INDEX(DMAV_Modell!U$6:U$838,$B129)))</f>
        <v>H95Ell</v>
      </c>
      <c r="O129" s="63" t="str" cm="1">
        <f t="array" aca="1" ref="O129" ca="1">IF(C129=0,IF(F129=0,"",HYPERLINK("#"&amp;RIGHT(CELL("adresse",OFFSET(DMAV_Dienste!$M$6,F129-1,0)),LEN(CELL("adresse",OFFSET(DMAV_Dienste!$M$6,F129-1,0)))-FIND("]",CELL("adresse",OFFSET(DMAV_Dienste!$M$6,F129-1,0)))),"Structure")),HYPERLINK("#"&amp;RIGHT(CELL("adresse",OFFSET(DMAV_Modell!$N$6,C129-1,0)),LEN(CELL("adresse",OFFSET(DMAV_Modell!$N$6,C129-1,0)))-FIND("]",CELL("adresse",OFFSET(DMAV_Modell!$N$6,C129-1,0)))),"Structure"))</f>
        <v/>
      </c>
      <c r="P129" s="64" t="str" cm="1">
        <f t="array" aca="1" ref="P129" ca="1">IF(D129=0,IF(G129=0,"",HYPERLINK("#"&amp;RIGHT(CELL("adresse",OFFSET(DMAV_Dienste!$M$6,G129-1,0)),LEN(CELL("adresse",OFFSET(DMAV_Dienste!$M$6,G129-1,0)))-FIND("]",CELL("adresse",OFFSET(DMAV_Dienste!$M$6,G129-1,0)))),"Substructure")),HYPERLINK("#"&amp;RIGHT(CELL("adresse",OFFSET(DMAV_Modell!$N$6,D129-1,0)),LEN(CELL("adresse",OFFSET(DMAV_Modell!$N$6,D129-1,0)))-FIND("]",CELL("adresse",OFFSET(DMAV_Modell!$N$6,D129-1,0)))),"Substructure"))</f>
        <v/>
      </c>
      <c r="R129" s="80"/>
      <c r="T129" s="93"/>
      <c r="U129" s="94"/>
      <c r="V129" s="95"/>
      <c r="W129" s="96"/>
      <c r="Y129" s="85"/>
      <c r="Z129" s="86"/>
      <c r="AA129" s="87"/>
      <c r="AB129" s="88"/>
      <c r="AD129" s="77"/>
      <c r="AF129" s="54" t="str" cm="1">
        <f t="array" aca="1" ref="AF129" ca="1">IF(H129=0,"",HYPERLINK("#"&amp;RIGHT(CELL("adresse",OFFSET('DM01-AV-CH'!$G$6,H129-1,0)),LEN(CELL("adresse",OFFSET('DM01-AV-CH'!$G$6,H129-1,0)))-FIND("]",CELL("adresse",OFFSET('DM01-AV-CH'!$G$6,H129-1,0)))),"Modell"))</f>
        <v/>
      </c>
      <c r="AG129" s="72" t="str" cm="1">
        <f t="array" ref="AG129">IF($H129=0,"",IF(INDEX('DM01-AV-CH'!G$6:G$834,$H129)="","",INDEX('DM01-AV-CH'!G$6:G$834,$H129)))</f>
        <v/>
      </c>
      <c r="AH129" s="73" t="str" cm="1">
        <f t="array" ref="AH129">IF($H129=0,"",IF(INDEX('DM01-AV-CH'!H$6:H$834,$H129)="","",INDEX('DM01-AV-CH'!H$6:H$834,$H129)))</f>
        <v/>
      </c>
      <c r="AI129" s="74" t="str" cm="1">
        <f t="array" ref="AI129">IF($H129=0,"",IF(INDEX('DM01-AV-CH'!I$6:I$834,$H129)="","",INDEX('DM01-AV-CH'!I$6:I$834,$H129)))</f>
        <v/>
      </c>
    </row>
    <row r="130" spans="1:35" x14ac:dyDescent="0.25">
      <c r="A130" s="57">
        <v>125</v>
      </c>
      <c r="B130" s="57">
        <f>IF($A130="","",IF(_xlfn.XLOOKUP($A130,Korrelation!$D$4:$D$1197,Korrelation!E$4:E$1197,"-",0)="-",0,MATCH(_xlfn.XLOOKUP($A130,Korrelation!$D$4:$D$1197,Korrelation!E$4:E$1197,"",0),DMAV_Modell!$G$6:$G$677,0)))</f>
        <v>0</v>
      </c>
      <c r="C130" s="57">
        <f>IF($A130="","",IF(_xlfn.XLOOKUP($A130,Korrelation!$D$4:$D$1197,Korrelation!F$4:F$1197,"-",0)="-",0,MATCH(_xlfn.XLOOKUP($A130,Korrelation!$D$4:$D$1197,Korrelation!F$4:F$1197,"",0),DMAV_Modell!$G$6:$G$677,0)))</f>
        <v>0</v>
      </c>
      <c r="D130" s="57">
        <f>IF($A130="","",IF(_xlfn.XLOOKUP($A130,Korrelation!$D$4:$D$1197,Korrelation!G$4:G$1197,"-",0)="-",0,MATCH(_xlfn.XLOOKUP($A130,Korrelation!$D$4:$D$1197,Korrelation!G$4:G$1197,"",0),DMAV_Modell!$G$6:$G$677,0)))</f>
        <v>0</v>
      </c>
      <c r="E130" s="57">
        <f>IF($A130="","",IF(_xlfn.XLOOKUP($A130,Korrelation!$D$4:$D$1197,Korrelation!H$4:H$1197,"-",0)="-",0,MATCH(_xlfn.XLOOKUP($A130,Korrelation!$D$4:$D$1197,Korrelation!H$4:H$1197,"",0),DMAV_Dienste!$F$6:$F$140,0)))</f>
        <v>32</v>
      </c>
      <c r="F130" s="57">
        <f>IF($A130="","",IF(_xlfn.XLOOKUP($A130,Korrelation!$D$4:$D$1197,Korrelation!I$4:I$1197,"-",0)="-",0,MATCH(_xlfn.XLOOKUP($A130,Korrelation!$D$4:$D$1197,Korrelation!I$4:I$1197,"",0),DMAV_Dienste!$F$6:$F$140,0)))</f>
        <v>0</v>
      </c>
      <c r="G130" s="57">
        <f>IF($A130="","",IF(_xlfn.XLOOKUP($A130,Korrelation!$D$4:$D$1197,Korrelation!J$4:J$1197,"-",0)="-",0,MATCH(_xlfn.XLOOKUP($A130,Korrelation!$D$4:$D$1197,Korrelation!J$4:J$1197,"",0),DMAV_Dienste!$F$6:$F$140,0)))</f>
        <v>0</v>
      </c>
      <c r="H130" s="57">
        <f>IF($A130="","",IF(_xlfn.XLOOKUP($A130,Korrelation!$D$4:$D$1197,Korrelation!K$4:K$1197,"-",0)="-",0,MATCH(_xlfn.XLOOKUP($A130,Korrelation!$D$4:$D$1197,Korrelation!K$4:K$1197,"",0),'DM01-AV-CH'!$A$6:$A$834,0)))</f>
        <v>0</v>
      </c>
      <c r="J130" s="54" t="str" cm="1">
        <f t="array" aca="1" ref="J130" ca="1">IF(B130=0,IF(E130=0,"",HYPERLINK("#"&amp;RIGHT(CELL("adresse",OFFSET(DMAV_Dienste!$M$6,E130-1,0)),LEN(CELL("adresse",OFFSET(DMAV_Dienste!$M$6,E130-1,0)))-FIND("]",CELL("adresse",OFFSET(DMAV_Dienste!$M$6,E130-1,0)))),"Dienst")),HYPERLINK("#"&amp;RIGHT(CELL("adresse",OFFSET(DMAV_Modell!$N$6,B130-1,0)),LEN(CELL("adresse",OFFSET(DMAV_Modell!$N$6,B130-1,0)))-FIND("]",CELL("adresse",OFFSET(DMAV_Modell!$N$6,B130-1,0)))),"Modell"))</f>
        <v>Dienst</v>
      </c>
      <c r="K130" s="61" t="str" cm="1">
        <f t="array" ref="K130">IF($B130=0,IF($E130=0,"",IF(INDEX(DMAV_Dienste!P$6:P$140,$E130)="","",INDEX(DMAV_Dienste!P$6:P$140,$E130))),IF(INDEX(DMAV_Modell!Q$6:Q$838,$B130)="","",INDEX(DMAV_Modell!Q$6:Q$838,$B130)))</f>
        <v>CLASS</v>
      </c>
      <c r="L130" s="62" t="str" cm="1">
        <f t="array" ref="L130">IF($B130=0,IF($E130=0,"",IF(INDEX(DMAV_Dienste!O$6:O$140,$E130)="","",INDEX(DMAV_Dienste!O$6:O$140,$E130))),IF(INDEX(DMAV_Modell!P$6:P$838,$B130)="","",INDEX(DMAV_Modell!P$6:P$838,$B130)))</f>
        <v>FixpunkteLV</v>
      </c>
      <c r="M130" s="62" t="str" cm="1">
        <f t="array" ref="M130">IF($B130=0,IF($E130=0,"",IF(INDEX(DMAV_Dienste!Q$6:Q$140,$E130)="","",INDEX(DMAV_Dienste!Q$6:Q$140,$E130))),IF(INDEX(DMAV_Modell!R$6:R$838,$B130)="","",INDEX(DMAV_Modell!R$6:R$838,$B130)))</f>
        <v>HFP1</v>
      </c>
      <c r="N130" s="62" t="str" cm="1">
        <f t="array" ref="N130">IF($B130=0,IF($E130=0,"",IF(INDEX(DMAV_Dienste!T$6:T$140,$E130)="","",INDEX(DMAV_Dienste!T$6:T$140,$E130))),IF(INDEX(DMAV_Modell!U$6:U$838,$B130)="","",INDEX(DMAV_Modell!U$6:U$838,$B130)))</f>
        <v>ZustHaupt</v>
      </c>
      <c r="O130" s="63" t="str" cm="1">
        <f t="array" aca="1" ref="O130" ca="1">IF(C130=0,IF(F130=0,"",HYPERLINK("#"&amp;RIGHT(CELL("adresse",OFFSET(DMAV_Dienste!$M$6,F130-1,0)),LEN(CELL("adresse",OFFSET(DMAV_Dienste!$M$6,F130-1,0)))-FIND("]",CELL("adresse",OFFSET(DMAV_Dienste!$M$6,F130-1,0)))),"Structure")),HYPERLINK("#"&amp;RIGHT(CELL("adresse",OFFSET(DMAV_Modell!$N$6,C130-1,0)),LEN(CELL("adresse",OFFSET(DMAV_Modell!$N$6,C130-1,0)))-FIND("]",CELL("adresse",OFFSET(DMAV_Modell!$N$6,C130-1,0)))),"Structure"))</f>
        <v/>
      </c>
      <c r="P130" s="64" t="str" cm="1">
        <f t="array" aca="1" ref="P130" ca="1">IF(D130=0,IF(G130=0,"",HYPERLINK("#"&amp;RIGHT(CELL("adresse",OFFSET(DMAV_Dienste!$M$6,G130-1,0)),LEN(CELL("adresse",OFFSET(DMAV_Dienste!$M$6,G130-1,0)))-FIND("]",CELL("adresse",OFFSET(DMAV_Dienste!$M$6,G130-1,0)))),"Substructure")),HYPERLINK("#"&amp;RIGHT(CELL("adresse",OFFSET(DMAV_Modell!$N$6,D130-1,0)),LEN(CELL("adresse",OFFSET(DMAV_Modell!$N$6,D130-1,0)))-FIND("]",CELL("adresse",OFFSET(DMAV_Modell!$N$6,D130-1,0)))),"Substructure"))</f>
        <v/>
      </c>
      <c r="R130" s="80"/>
      <c r="T130" s="93"/>
      <c r="U130" s="94"/>
      <c r="V130" s="95"/>
      <c r="W130" s="96"/>
      <c r="Y130" s="85"/>
      <c r="Z130" s="86"/>
      <c r="AA130" s="87"/>
      <c r="AB130" s="88"/>
      <c r="AD130" s="77"/>
      <c r="AF130" s="54" t="str" cm="1">
        <f t="array" aca="1" ref="AF130" ca="1">IF(H130=0,"",HYPERLINK("#"&amp;RIGHT(CELL("adresse",OFFSET('DM01-AV-CH'!$G$6,H130-1,0)),LEN(CELL("adresse",OFFSET('DM01-AV-CH'!$G$6,H130-1,0)))-FIND("]",CELL("adresse",OFFSET('DM01-AV-CH'!$G$6,H130-1,0)))),"Modell"))</f>
        <v/>
      </c>
      <c r="AG130" s="72" t="str" cm="1">
        <f t="array" ref="AG130">IF($H130=0,"",IF(INDEX('DM01-AV-CH'!G$6:G$834,$H130)="","",INDEX('DM01-AV-CH'!G$6:G$834,$H130)))</f>
        <v/>
      </c>
      <c r="AH130" s="73" t="str" cm="1">
        <f t="array" ref="AH130">IF($H130=0,"",IF(INDEX('DM01-AV-CH'!H$6:H$834,$H130)="","",INDEX('DM01-AV-CH'!H$6:H$834,$H130)))</f>
        <v/>
      </c>
      <c r="AI130" s="74" t="str" cm="1">
        <f t="array" ref="AI130">IF($H130=0,"",IF(INDEX('DM01-AV-CH'!I$6:I$834,$H130)="","",INDEX('DM01-AV-CH'!I$6:I$834,$H130)))</f>
        <v/>
      </c>
    </row>
    <row r="131" spans="1:35" x14ac:dyDescent="0.25">
      <c r="A131" s="57">
        <v>126</v>
      </c>
      <c r="B131" s="57">
        <f>IF($A131="","",IF(_xlfn.XLOOKUP($A131,Korrelation!$D$4:$D$1197,Korrelation!E$4:E$1197,"-",0)="-",0,MATCH(_xlfn.XLOOKUP($A131,Korrelation!$D$4:$D$1197,Korrelation!E$4:E$1197,"",0),DMAV_Modell!$G$6:$G$677,0)))</f>
        <v>0</v>
      </c>
      <c r="C131" s="57">
        <f>IF($A131="","",IF(_xlfn.XLOOKUP($A131,Korrelation!$D$4:$D$1197,Korrelation!F$4:F$1197,"-",0)="-",0,MATCH(_xlfn.XLOOKUP($A131,Korrelation!$D$4:$D$1197,Korrelation!F$4:F$1197,"",0),DMAV_Modell!$G$6:$G$677,0)))</f>
        <v>0</v>
      </c>
      <c r="D131" s="57">
        <f>IF($A131="","",IF(_xlfn.XLOOKUP($A131,Korrelation!$D$4:$D$1197,Korrelation!G$4:G$1197,"-",0)="-",0,MATCH(_xlfn.XLOOKUP($A131,Korrelation!$D$4:$D$1197,Korrelation!G$4:G$1197,"",0),DMAV_Modell!$G$6:$G$677,0)))</f>
        <v>0</v>
      </c>
      <c r="E131" s="57">
        <f>IF($A131="","",IF(_xlfn.XLOOKUP($A131,Korrelation!$D$4:$D$1197,Korrelation!H$4:H$1197,"-",0)="-",0,MATCH(_xlfn.XLOOKUP($A131,Korrelation!$D$4:$D$1197,Korrelation!H$4:H$1197,"",0),DMAV_Dienste!$F$6:$F$140,0)))</f>
        <v>33</v>
      </c>
      <c r="F131" s="57">
        <f>IF($A131="","",IF(_xlfn.XLOOKUP($A131,Korrelation!$D$4:$D$1197,Korrelation!I$4:I$1197,"-",0)="-",0,MATCH(_xlfn.XLOOKUP($A131,Korrelation!$D$4:$D$1197,Korrelation!I$4:I$1197,"",0),DMAV_Dienste!$F$6:$F$140,0)))</f>
        <v>0</v>
      </c>
      <c r="G131" s="57">
        <f>IF($A131="","",IF(_xlfn.XLOOKUP($A131,Korrelation!$D$4:$D$1197,Korrelation!J$4:J$1197,"-",0)="-",0,MATCH(_xlfn.XLOOKUP($A131,Korrelation!$D$4:$D$1197,Korrelation!J$4:J$1197,"",0),DMAV_Dienste!$F$6:$F$140,0)))</f>
        <v>0</v>
      </c>
      <c r="H131" s="57">
        <f>IF($A131="","",IF(_xlfn.XLOOKUP($A131,Korrelation!$D$4:$D$1197,Korrelation!K$4:K$1197,"-",0)="-",0,MATCH(_xlfn.XLOOKUP($A131,Korrelation!$D$4:$D$1197,Korrelation!K$4:K$1197,"",0),'DM01-AV-CH'!$A$6:$A$834,0)))</f>
        <v>0</v>
      </c>
      <c r="J131" s="54" t="str" cm="1">
        <f t="array" aca="1" ref="J131" ca="1">IF(B131=0,IF(E131=0,"",HYPERLINK("#"&amp;RIGHT(CELL("adresse",OFFSET(DMAV_Dienste!$M$6,E131-1,0)),LEN(CELL("adresse",OFFSET(DMAV_Dienste!$M$6,E131-1,0)))-FIND("]",CELL("adresse",OFFSET(DMAV_Dienste!$M$6,E131-1,0)))),"Dienst")),HYPERLINK("#"&amp;RIGHT(CELL("adresse",OFFSET(DMAV_Modell!$N$6,B131-1,0)),LEN(CELL("adresse",OFFSET(DMAV_Modell!$N$6,B131-1,0)))-FIND("]",CELL("adresse",OFFSET(DMAV_Modell!$N$6,B131-1,0)))),"Modell"))</f>
        <v>Dienst</v>
      </c>
      <c r="K131" s="61" t="str" cm="1">
        <f t="array" ref="K131">IF($B131=0,IF($E131=0,"",IF(INDEX(DMAV_Dienste!P$6:P$140,$E131)="","",INDEX(DMAV_Dienste!P$6:P$140,$E131))),IF(INDEX(DMAV_Modell!Q$6:Q$838,$B131)="","",INDEX(DMAV_Modell!Q$6:Q$838,$B131)))</f>
        <v>CLASS</v>
      </c>
      <c r="L131" s="62" t="str" cm="1">
        <f t="array" ref="L131">IF($B131=0,IF($E131=0,"",IF(INDEX(DMAV_Dienste!O$6:O$140,$E131)="","",INDEX(DMAV_Dienste!O$6:O$140,$E131))),IF(INDEX(DMAV_Modell!P$6:P$838,$B131)="","",INDEX(DMAV_Modell!P$6:P$838,$B131)))</f>
        <v>FixpunkteLV</v>
      </c>
      <c r="M131" s="62" t="str" cm="1">
        <f t="array" ref="M131">IF($B131=0,IF($E131=0,"",IF(INDEX(DMAV_Dienste!Q$6:Q$140,$E131)="","",INDEX(DMAV_Dienste!Q$6:Q$140,$E131))),IF(INDEX(DMAV_Modell!R$6:R$838,$B131)="","",INDEX(DMAV_Modell!R$6:R$838,$B131)))</f>
        <v>HFP1</v>
      </c>
      <c r="N131" s="62" t="str" cm="1">
        <f t="array" ref="N131">IF($B131=0,IF($E131=0,"",IF(INDEX(DMAV_Dienste!T$6:T$140,$E131)="","",INDEX(DMAV_Dienste!T$6:T$140,$E131))),IF(INDEX(DMAV_Modell!U$6:U$838,$B131)="","",INDEX(DMAV_Modell!U$6:U$838,$B131)))</f>
        <v>Zustaendig</v>
      </c>
      <c r="O131" s="63" t="str" cm="1">
        <f t="array" aca="1" ref="O131" ca="1">IF(C131=0,IF(F131=0,"",HYPERLINK("#"&amp;RIGHT(CELL("adresse",OFFSET(DMAV_Dienste!$M$6,F131-1,0)),LEN(CELL("adresse",OFFSET(DMAV_Dienste!$M$6,F131-1,0)))-FIND("]",CELL("adresse",OFFSET(DMAV_Dienste!$M$6,F131-1,0)))),"Structure")),HYPERLINK("#"&amp;RIGHT(CELL("adresse",OFFSET(DMAV_Modell!$N$6,C131-1,0)),LEN(CELL("adresse",OFFSET(DMAV_Modell!$N$6,C131-1,0)))-FIND("]",CELL("adresse",OFFSET(DMAV_Modell!$N$6,C131-1,0)))),"Structure"))</f>
        <v/>
      </c>
      <c r="P131" s="64" t="str" cm="1">
        <f t="array" aca="1" ref="P131" ca="1">IF(D131=0,IF(G131=0,"",HYPERLINK("#"&amp;RIGHT(CELL("adresse",OFFSET(DMAV_Dienste!$M$6,G131-1,0)),LEN(CELL("adresse",OFFSET(DMAV_Dienste!$M$6,G131-1,0)))-FIND("]",CELL("adresse",OFFSET(DMAV_Dienste!$M$6,G131-1,0)))),"Substructure")),HYPERLINK("#"&amp;RIGHT(CELL("adresse",OFFSET(DMAV_Modell!$N$6,D131-1,0)),LEN(CELL("adresse",OFFSET(DMAV_Modell!$N$6,D131-1,0)))-FIND("]",CELL("adresse",OFFSET(DMAV_Modell!$N$6,D131-1,0)))),"Substructure"))</f>
        <v/>
      </c>
      <c r="R131" s="80"/>
      <c r="T131" s="93"/>
      <c r="U131" s="94"/>
      <c r="V131" s="95"/>
      <c r="W131" s="96"/>
      <c r="Y131" s="85"/>
      <c r="Z131" s="86"/>
      <c r="AA131" s="87"/>
      <c r="AB131" s="88"/>
      <c r="AD131" s="77"/>
      <c r="AF131" s="54" t="str" cm="1">
        <f t="array" aca="1" ref="AF131" ca="1">IF(H131=0,"",HYPERLINK("#"&amp;RIGHT(CELL("adresse",OFFSET('DM01-AV-CH'!$G$6,H131-1,0)),LEN(CELL("adresse",OFFSET('DM01-AV-CH'!$G$6,H131-1,0)))-FIND("]",CELL("adresse",OFFSET('DM01-AV-CH'!$G$6,H131-1,0)))),"Modell"))</f>
        <v/>
      </c>
      <c r="AG131" s="72" t="str" cm="1">
        <f t="array" ref="AG131">IF($H131=0,"",IF(INDEX('DM01-AV-CH'!G$6:G$834,$H131)="","",INDEX('DM01-AV-CH'!G$6:G$834,$H131)))</f>
        <v/>
      </c>
      <c r="AH131" s="73" t="str" cm="1">
        <f t="array" ref="AH131">IF($H131=0,"",IF(INDEX('DM01-AV-CH'!H$6:H$834,$H131)="","",INDEX('DM01-AV-CH'!H$6:H$834,$H131)))</f>
        <v/>
      </c>
      <c r="AI131" s="74" t="str" cm="1">
        <f t="array" ref="AI131">IF($H131=0,"",IF(INDEX('DM01-AV-CH'!I$6:I$834,$H131)="","",INDEX('DM01-AV-CH'!I$6:I$834,$H131)))</f>
        <v/>
      </c>
    </row>
    <row r="132" spans="1:35" x14ac:dyDescent="0.25">
      <c r="A132" s="57">
        <v>127</v>
      </c>
      <c r="B132" s="57">
        <f>IF($A132="","",IF(_xlfn.XLOOKUP($A132,Korrelation!$D$4:$D$1197,Korrelation!E$4:E$1197,"-",0)="-",0,MATCH(_xlfn.XLOOKUP($A132,Korrelation!$D$4:$D$1197,Korrelation!E$4:E$1197,"",0),DMAV_Modell!$G$6:$G$677,0)))</f>
        <v>0</v>
      </c>
      <c r="C132" s="57">
        <f>IF($A132="","",IF(_xlfn.XLOOKUP($A132,Korrelation!$D$4:$D$1197,Korrelation!F$4:F$1197,"-",0)="-",0,MATCH(_xlfn.XLOOKUP($A132,Korrelation!$D$4:$D$1197,Korrelation!F$4:F$1197,"",0),DMAV_Modell!$G$6:$G$677,0)))</f>
        <v>0</v>
      </c>
      <c r="D132" s="57">
        <f>IF($A132="","",IF(_xlfn.XLOOKUP($A132,Korrelation!$D$4:$D$1197,Korrelation!G$4:G$1197,"-",0)="-",0,MATCH(_xlfn.XLOOKUP($A132,Korrelation!$D$4:$D$1197,Korrelation!G$4:G$1197,"",0),DMAV_Modell!$G$6:$G$677,0)))</f>
        <v>0</v>
      </c>
      <c r="E132" s="57">
        <f>IF($A132="","",IF(_xlfn.XLOOKUP($A132,Korrelation!$D$4:$D$1197,Korrelation!H$4:H$1197,"-",0)="-",0,MATCH(_xlfn.XLOOKUP($A132,Korrelation!$D$4:$D$1197,Korrelation!H$4:H$1197,"",0),DMAV_Dienste!$F$6:$F$140,0)))</f>
        <v>34</v>
      </c>
      <c r="F132" s="57">
        <f>IF($A132="","",IF(_xlfn.XLOOKUP($A132,Korrelation!$D$4:$D$1197,Korrelation!I$4:I$1197,"-",0)="-",0,MATCH(_xlfn.XLOOKUP($A132,Korrelation!$D$4:$D$1197,Korrelation!I$4:I$1197,"",0),DMAV_Dienste!$F$6:$F$140,0)))</f>
        <v>0</v>
      </c>
      <c r="G132" s="57">
        <f>IF($A132="","",IF(_xlfn.XLOOKUP($A132,Korrelation!$D$4:$D$1197,Korrelation!J$4:J$1197,"-",0)="-",0,MATCH(_xlfn.XLOOKUP($A132,Korrelation!$D$4:$D$1197,Korrelation!J$4:J$1197,"",0),DMAV_Dienste!$F$6:$F$140,0)))</f>
        <v>0</v>
      </c>
      <c r="H132" s="57">
        <f>IF($A132="","",IF(_xlfn.XLOOKUP($A132,Korrelation!$D$4:$D$1197,Korrelation!K$4:K$1197,"-",0)="-",0,MATCH(_xlfn.XLOOKUP($A132,Korrelation!$D$4:$D$1197,Korrelation!K$4:K$1197,"",0),'DM01-AV-CH'!$A$6:$A$834,0)))</f>
        <v>0</v>
      </c>
      <c r="J132" s="54" t="str" cm="1">
        <f t="array" aca="1" ref="J132" ca="1">IF(B132=0,IF(E132=0,"",HYPERLINK("#"&amp;RIGHT(CELL("adresse",OFFSET(DMAV_Dienste!$M$6,E132-1,0)),LEN(CELL("adresse",OFFSET(DMAV_Dienste!$M$6,E132-1,0)))-FIND("]",CELL("adresse",OFFSET(DMAV_Dienste!$M$6,E132-1,0)))),"Dienst")),HYPERLINK("#"&amp;RIGHT(CELL("adresse",OFFSET(DMAV_Modell!$N$6,B132-1,0)),LEN(CELL("adresse",OFFSET(DMAV_Modell!$N$6,B132-1,0)))-FIND("]",CELL("adresse",OFFSET(DMAV_Modell!$N$6,B132-1,0)))),"Modell"))</f>
        <v>Dienst</v>
      </c>
      <c r="K132" s="61" t="str" cm="1">
        <f t="array" ref="K132">IF($B132=0,IF($E132=0,"",IF(INDEX(DMAV_Dienste!P$6:P$140,$E132)="","",INDEX(DMAV_Dienste!P$6:P$140,$E132))),IF(INDEX(DMAV_Modell!Q$6:Q$838,$B132)="","",INDEX(DMAV_Modell!Q$6:Q$838,$B132)))</f>
        <v>CLASS</v>
      </c>
      <c r="L132" s="62" t="str" cm="1">
        <f t="array" ref="L132">IF($B132=0,IF($E132=0,"",IF(INDEX(DMAV_Dienste!O$6:O$140,$E132)="","",INDEX(DMAV_Dienste!O$6:O$140,$E132))),IF(INDEX(DMAV_Modell!P$6:P$838,$B132)="","",INDEX(DMAV_Modell!P$6:P$838,$B132)))</f>
        <v>FixpunkteLV</v>
      </c>
      <c r="M132" s="62" t="str" cm="1">
        <f t="array" ref="M132">IF($B132=0,IF($E132=0,"",IF(INDEX(DMAV_Dienste!Q$6:Q$140,$E132)="","",INDEX(DMAV_Dienste!Q$6:Q$140,$E132))),IF(INDEX(DMAV_Modell!R$6:R$838,$B132)="","",INDEX(DMAV_Modell!R$6:R$838,$B132)))</f>
        <v>HFP1</v>
      </c>
      <c r="N132" s="62" t="str" cm="1">
        <f t="array" ref="N132">IF($B132=0,IF($E132=0,"",IF(INDEX(DMAV_Dienste!T$6:T$140,$E132)="","",INDEX(DMAV_Dienste!T$6:T$140,$E132))),IF(INDEX(DMAV_Modell!U$6:U$838,$B132)="","",INDEX(DMAV_Modell!U$6:U$838,$B132)))</f>
        <v>Punktzeichen</v>
      </c>
      <c r="O132" s="63" t="str" cm="1">
        <f t="array" aca="1" ref="O132" ca="1">IF(C132=0,IF(F132=0,"",HYPERLINK("#"&amp;RIGHT(CELL("adresse",OFFSET(DMAV_Dienste!$M$6,F132-1,0)),LEN(CELL("adresse",OFFSET(DMAV_Dienste!$M$6,F132-1,0)))-FIND("]",CELL("adresse",OFFSET(DMAV_Dienste!$M$6,F132-1,0)))),"Structure")),HYPERLINK("#"&amp;RIGHT(CELL("adresse",OFFSET(DMAV_Modell!$N$6,C132-1,0)),LEN(CELL("adresse",OFFSET(DMAV_Modell!$N$6,C132-1,0)))-FIND("]",CELL("adresse",OFFSET(DMAV_Modell!$N$6,C132-1,0)))),"Structure"))</f>
        <v/>
      </c>
      <c r="P132" s="64" t="str" cm="1">
        <f t="array" aca="1" ref="P132" ca="1">IF(D132=0,IF(G132=0,"",HYPERLINK("#"&amp;RIGHT(CELL("adresse",OFFSET(DMAV_Dienste!$M$6,G132-1,0)),LEN(CELL("adresse",OFFSET(DMAV_Dienste!$M$6,G132-1,0)))-FIND("]",CELL("adresse",OFFSET(DMAV_Dienste!$M$6,G132-1,0)))),"Substructure")),HYPERLINK("#"&amp;RIGHT(CELL("adresse",OFFSET(DMAV_Modell!$N$6,D132-1,0)),LEN(CELL("adresse",OFFSET(DMAV_Modell!$N$6,D132-1,0)))-FIND("]",CELL("adresse",OFFSET(DMAV_Modell!$N$6,D132-1,0)))),"Substructure"))</f>
        <v/>
      </c>
      <c r="R132" s="80"/>
      <c r="T132" s="93"/>
      <c r="U132" s="94"/>
      <c r="V132" s="95"/>
      <c r="W132" s="96"/>
      <c r="Y132" s="85"/>
      <c r="Z132" s="86"/>
      <c r="AA132" s="87"/>
      <c r="AB132" s="88"/>
      <c r="AD132" s="77"/>
      <c r="AF132" s="54" t="str" cm="1">
        <f t="array" aca="1" ref="AF132" ca="1">IF(H132=0,"",HYPERLINK("#"&amp;RIGHT(CELL("adresse",OFFSET('DM01-AV-CH'!$G$6,H132-1,0)),LEN(CELL("adresse",OFFSET('DM01-AV-CH'!$G$6,H132-1,0)))-FIND("]",CELL("adresse",OFFSET('DM01-AV-CH'!$G$6,H132-1,0)))),"Modell"))</f>
        <v/>
      </c>
      <c r="AG132" s="72" t="str" cm="1">
        <f t="array" ref="AG132">IF($H132=0,"",IF(INDEX('DM01-AV-CH'!G$6:G$834,$H132)="","",INDEX('DM01-AV-CH'!G$6:G$834,$H132)))</f>
        <v/>
      </c>
      <c r="AH132" s="73" t="str" cm="1">
        <f t="array" ref="AH132">IF($H132=0,"",IF(INDEX('DM01-AV-CH'!H$6:H$834,$H132)="","",INDEX('DM01-AV-CH'!H$6:H$834,$H132)))</f>
        <v/>
      </c>
      <c r="AI132" s="74" t="str" cm="1">
        <f t="array" ref="AI132">IF($H132=0,"",IF(INDEX('DM01-AV-CH'!I$6:I$834,$H132)="","",INDEX('DM01-AV-CH'!I$6:I$834,$H132)))</f>
        <v/>
      </c>
    </row>
    <row r="133" spans="1:35" x14ac:dyDescent="0.25">
      <c r="A133" s="57">
        <v>128</v>
      </c>
      <c r="B133" s="57">
        <f>IF($A133="","",IF(_xlfn.XLOOKUP($A133,Korrelation!$D$4:$D$1197,Korrelation!E$4:E$1197,"-",0)="-",0,MATCH(_xlfn.XLOOKUP($A133,Korrelation!$D$4:$D$1197,Korrelation!E$4:E$1197,"",0),DMAV_Modell!$G$6:$G$677,0)))</f>
        <v>0</v>
      </c>
      <c r="C133" s="57">
        <f>IF($A133="","",IF(_xlfn.XLOOKUP($A133,Korrelation!$D$4:$D$1197,Korrelation!F$4:F$1197,"-",0)="-",0,MATCH(_xlfn.XLOOKUP($A133,Korrelation!$D$4:$D$1197,Korrelation!F$4:F$1197,"",0),DMAV_Modell!$G$6:$G$677,0)))</f>
        <v>0</v>
      </c>
      <c r="D133" s="57">
        <f>IF($A133="","",IF(_xlfn.XLOOKUP($A133,Korrelation!$D$4:$D$1197,Korrelation!G$4:G$1197,"-",0)="-",0,MATCH(_xlfn.XLOOKUP($A133,Korrelation!$D$4:$D$1197,Korrelation!G$4:G$1197,"",0),DMAV_Modell!$G$6:$G$677,0)))</f>
        <v>0</v>
      </c>
      <c r="E133" s="57">
        <f>IF($A133="","",IF(_xlfn.XLOOKUP($A133,Korrelation!$D$4:$D$1197,Korrelation!H$4:H$1197,"-",0)="-",0,MATCH(_xlfn.XLOOKUP($A133,Korrelation!$D$4:$D$1197,Korrelation!H$4:H$1197,"",0),DMAV_Dienste!$F$6:$F$140,0)))</f>
        <v>35</v>
      </c>
      <c r="F133" s="57">
        <f>IF($A133="","",IF(_xlfn.XLOOKUP($A133,Korrelation!$D$4:$D$1197,Korrelation!I$4:I$1197,"-",0)="-",0,MATCH(_xlfn.XLOOKUP($A133,Korrelation!$D$4:$D$1197,Korrelation!I$4:I$1197,"",0),DMAV_Dienste!$F$6:$F$140,0)))</f>
        <v>0</v>
      </c>
      <c r="G133" s="57">
        <f>IF($A133="","",IF(_xlfn.XLOOKUP($A133,Korrelation!$D$4:$D$1197,Korrelation!J$4:J$1197,"-",0)="-",0,MATCH(_xlfn.XLOOKUP($A133,Korrelation!$D$4:$D$1197,Korrelation!J$4:J$1197,"",0),DMAV_Dienste!$F$6:$F$140,0)))</f>
        <v>0</v>
      </c>
      <c r="H133" s="57">
        <f>IF($A133="","",IF(_xlfn.XLOOKUP($A133,Korrelation!$D$4:$D$1197,Korrelation!K$4:K$1197,"-",0)="-",0,MATCH(_xlfn.XLOOKUP($A133,Korrelation!$D$4:$D$1197,Korrelation!K$4:K$1197,"",0),'DM01-AV-CH'!$A$6:$A$834,0)))</f>
        <v>0</v>
      </c>
      <c r="J133" s="54" t="str" cm="1">
        <f t="array" aca="1" ref="J133" ca="1">IF(B133=0,IF(E133=0,"",HYPERLINK("#"&amp;RIGHT(CELL("adresse",OFFSET(DMAV_Dienste!$M$6,E133-1,0)),LEN(CELL("adresse",OFFSET(DMAV_Dienste!$M$6,E133-1,0)))-FIND("]",CELL("adresse",OFFSET(DMAV_Dienste!$M$6,E133-1,0)))),"Dienst")),HYPERLINK("#"&amp;RIGHT(CELL("adresse",OFFSET(DMAV_Modell!$N$6,B133-1,0)),LEN(CELL("adresse",OFFSET(DMAV_Modell!$N$6,B133-1,0)))-FIND("]",CELL("adresse",OFFSET(DMAV_Modell!$N$6,B133-1,0)))),"Modell"))</f>
        <v>Dienst</v>
      </c>
      <c r="K133" s="61" t="str" cm="1">
        <f t="array" ref="K133">IF($B133=0,IF($E133=0,"",IF(INDEX(DMAV_Dienste!P$6:P$140,$E133)="","",INDEX(DMAV_Dienste!P$6:P$140,$E133))),IF(INDEX(DMAV_Modell!Q$6:Q$838,$B133)="","",INDEX(DMAV_Modell!Q$6:Q$838,$B133)))</f>
        <v>CLASS</v>
      </c>
      <c r="L133" s="62" t="str" cm="1">
        <f t="array" ref="L133">IF($B133=0,IF($E133=0,"",IF(INDEX(DMAV_Dienste!O$6:O$140,$E133)="","",INDEX(DMAV_Dienste!O$6:O$140,$E133))),IF(INDEX(DMAV_Modell!P$6:P$838,$B133)="","",INDEX(DMAV_Modell!P$6:P$838,$B133)))</f>
        <v>FixpunkteLV</v>
      </c>
      <c r="M133" s="62" t="str" cm="1">
        <f t="array" ref="M133">IF($B133=0,IF($E133=0,"",IF(INDEX(DMAV_Dienste!Q$6:Q$140,$E133)="","",INDEX(DMAV_Dienste!Q$6:Q$140,$E133))),IF(INDEX(DMAV_Modell!R$6:R$838,$B133)="","",INDEX(DMAV_Modell!R$6:R$838,$B133)))</f>
        <v>HFP1</v>
      </c>
      <c r="N133" s="62" t="str" cm="1">
        <f t="array" ref="N133">IF($B133=0,IF($E133=0,"",IF(INDEX(DMAV_Dienste!T$6:T$140,$E133)="","",INDEX(DMAV_Dienste!T$6:T$140,$E133))),IF(INDEX(DMAV_Modell!U$6:U$838,$B133)="","",INDEX(DMAV_Modell!U$6:U$838,$B133)))</f>
        <v>Begehbar</v>
      </c>
      <c r="O133" s="63" t="str" cm="1">
        <f t="array" aca="1" ref="O133" ca="1">IF(C133=0,IF(F133=0,"",HYPERLINK("#"&amp;RIGHT(CELL("adresse",OFFSET(DMAV_Dienste!$M$6,F133-1,0)),LEN(CELL("adresse",OFFSET(DMAV_Dienste!$M$6,F133-1,0)))-FIND("]",CELL("adresse",OFFSET(DMAV_Dienste!$M$6,F133-1,0)))),"Structure")),HYPERLINK("#"&amp;RIGHT(CELL("adresse",OFFSET(DMAV_Modell!$N$6,C133-1,0)),LEN(CELL("adresse",OFFSET(DMAV_Modell!$N$6,C133-1,0)))-FIND("]",CELL("adresse",OFFSET(DMAV_Modell!$N$6,C133-1,0)))),"Structure"))</f>
        <v/>
      </c>
      <c r="P133" s="64" t="str" cm="1">
        <f t="array" aca="1" ref="P133" ca="1">IF(D133=0,IF(G133=0,"",HYPERLINK("#"&amp;RIGHT(CELL("adresse",OFFSET(DMAV_Dienste!$M$6,G133-1,0)),LEN(CELL("adresse",OFFSET(DMAV_Dienste!$M$6,G133-1,0)))-FIND("]",CELL("adresse",OFFSET(DMAV_Dienste!$M$6,G133-1,0)))),"Substructure")),HYPERLINK("#"&amp;RIGHT(CELL("adresse",OFFSET(DMAV_Modell!$N$6,D133-1,0)),LEN(CELL("adresse",OFFSET(DMAV_Modell!$N$6,D133-1,0)))-FIND("]",CELL("adresse",OFFSET(DMAV_Modell!$N$6,D133-1,0)))),"Substructure"))</f>
        <v/>
      </c>
      <c r="R133" s="80"/>
      <c r="T133" s="93"/>
      <c r="U133" s="94"/>
      <c r="V133" s="95"/>
      <c r="W133" s="96"/>
      <c r="Y133" s="85"/>
      <c r="Z133" s="86"/>
      <c r="AA133" s="87"/>
      <c r="AB133" s="88"/>
      <c r="AD133" s="77"/>
      <c r="AF133" s="54" t="str" cm="1">
        <f t="array" aca="1" ref="AF133" ca="1">IF(H133=0,"",HYPERLINK("#"&amp;RIGHT(CELL("adresse",OFFSET('DM01-AV-CH'!$G$6,H133-1,0)),LEN(CELL("adresse",OFFSET('DM01-AV-CH'!$G$6,H133-1,0)))-FIND("]",CELL("adresse",OFFSET('DM01-AV-CH'!$G$6,H133-1,0)))),"Modell"))</f>
        <v/>
      </c>
      <c r="AG133" s="72" t="str" cm="1">
        <f t="array" ref="AG133">IF($H133=0,"",IF(INDEX('DM01-AV-CH'!G$6:G$834,$H133)="","",INDEX('DM01-AV-CH'!G$6:G$834,$H133)))</f>
        <v/>
      </c>
      <c r="AH133" s="73" t="str" cm="1">
        <f t="array" ref="AH133">IF($H133=0,"",IF(INDEX('DM01-AV-CH'!H$6:H$834,$H133)="","",INDEX('DM01-AV-CH'!H$6:H$834,$H133)))</f>
        <v/>
      </c>
      <c r="AI133" s="74" t="str" cm="1">
        <f t="array" ref="AI133">IF($H133=0,"",IF(INDEX('DM01-AV-CH'!I$6:I$834,$H133)="","",INDEX('DM01-AV-CH'!I$6:I$834,$H133)))</f>
        <v/>
      </c>
    </row>
    <row r="134" spans="1:35" x14ac:dyDescent="0.25">
      <c r="A134" s="57">
        <v>129</v>
      </c>
      <c r="B134" s="57">
        <f>IF($A134="","",IF(_xlfn.XLOOKUP($A134,Korrelation!$D$4:$D$1197,Korrelation!E$4:E$1197,"-",0)="-",0,MATCH(_xlfn.XLOOKUP($A134,Korrelation!$D$4:$D$1197,Korrelation!E$4:E$1197,"",0),DMAV_Modell!$G$6:$G$677,0)))</f>
        <v>0</v>
      </c>
      <c r="C134" s="57">
        <f>IF($A134="","",IF(_xlfn.XLOOKUP($A134,Korrelation!$D$4:$D$1197,Korrelation!F$4:F$1197,"-",0)="-",0,MATCH(_xlfn.XLOOKUP($A134,Korrelation!$D$4:$D$1197,Korrelation!F$4:F$1197,"",0),DMAV_Modell!$G$6:$G$677,0)))</f>
        <v>0</v>
      </c>
      <c r="D134" s="57">
        <f>IF($A134="","",IF(_xlfn.XLOOKUP($A134,Korrelation!$D$4:$D$1197,Korrelation!G$4:G$1197,"-",0)="-",0,MATCH(_xlfn.XLOOKUP($A134,Korrelation!$D$4:$D$1197,Korrelation!G$4:G$1197,"",0),DMAV_Modell!$G$6:$G$677,0)))</f>
        <v>0</v>
      </c>
      <c r="E134" s="57">
        <f>IF($A134="","",IF(_xlfn.XLOOKUP($A134,Korrelation!$D$4:$D$1197,Korrelation!H$4:H$1197,"-",0)="-",0,MATCH(_xlfn.XLOOKUP($A134,Korrelation!$D$4:$D$1197,Korrelation!H$4:H$1197,"",0),DMAV_Dienste!$F$6:$F$140,0)))</f>
        <v>0</v>
      </c>
      <c r="F134" s="57">
        <f>IF($A134="","",IF(_xlfn.XLOOKUP($A134,Korrelation!$D$4:$D$1197,Korrelation!I$4:I$1197,"-",0)="-",0,MATCH(_xlfn.XLOOKUP($A134,Korrelation!$D$4:$D$1197,Korrelation!I$4:I$1197,"",0),DMAV_Dienste!$F$6:$F$140,0)))</f>
        <v>0</v>
      </c>
      <c r="G134" s="57">
        <f>IF($A134="","",IF(_xlfn.XLOOKUP($A134,Korrelation!$D$4:$D$1197,Korrelation!J$4:J$1197,"-",0)="-",0,MATCH(_xlfn.XLOOKUP($A134,Korrelation!$D$4:$D$1197,Korrelation!J$4:J$1197,"",0),DMAV_Dienste!$F$6:$F$140,0)))</f>
        <v>0</v>
      </c>
      <c r="H134" s="57">
        <f>IF($A134="","",IF(_xlfn.XLOOKUP($A134,Korrelation!$D$4:$D$1197,Korrelation!K$4:K$1197,"-",0)="-",0,MATCH(_xlfn.XLOOKUP($A134,Korrelation!$D$4:$D$1197,Korrelation!K$4:K$1197,"",0),'DM01-AV-CH'!$A$6:$A$834,0)))</f>
        <v>76</v>
      </c>
      <c r="J134" s="54" t="str" cm="1">
        <f t="array" aca="1" ref="J134" ca="1">IF(B134=0,IF(E134=0,"",HYPERLINK("#"&amp;RIGHT(CELL("adresse",OFFSET(DMAV_Dienste!$M$6,E134-1,0)),LEN(CELL("adresse",OFFSET(DMAV_Dienste!$M$6,E134-1,0)))-FIND("]",CELL("adresse",OFFSET(DMAV_Dienste!$M$6,E134-1,0)))),"Dienst")),HYPERLINK("#"&amp;RIGHT(CELL("adresse",OFFSET(DMAV_Modell!$N$6,B134-1,0)),LEN(CELL("adresse",OFFSET(DMAV_Modell!$N$6,B134-1,0)))-FIND("]",CELL("adresse",OFFSET(DMAV_Modell!$N$6,B134-1,0)))),"Modell"))</f>
        <v/>
      </c>
      <c r="K134" s="61" t="str" cm="1">
        <f t="array" ref="K134">IF($B134=0,IF($E134=0,"",IF(INDEX(DMAV_Dienste!P$6:P$140,$E134)="","",INDEX(DMAV_Dienste!P$6:P$140,$E134))),IF(INDEX(DMAV_Modell!Q$6:Q$838,$B134)="","",INDEX(DMAV_Modell!Q$6:Q$838,$B134)))</f>
        <v/>
      </c>
      <c r="L134" s="62" t="str" cm="1">
        <f t="array" ref="L134">IF($B134=0,IF($E134=0,"",IF(INDEX(DMAV_Dienste!O$6:O$140,$E134)="","",INDEX(DMAV_Dienste!O$6:O$140,$E134))),IF(INDEX(DMAV_Modell!P$6:P$838,$B134)="","",INDEX(DMAV_Modell!P$6:P$838,$B134)))</f>
        <v/>
      </c>
      <c r="M134" s="62" t="str" cm="1">
        <f t="array" ref="M134">IF($B134=0,IF($E134=0,"",IF(INDEX(DMAV_Dienste!Q$6:Q$140,$E134)="","",INDEX(DMAV_Dienste!Q$6:Q$140,$E134))),IF(INDEX(DMAV_Modell!R$6:R$838,$B134)="","",INDEX(DMAV_Modell!R$6:R$838,$B134)))</f>
        <v/>
      </c>
      <c r="N134" s="62" t="str" cm="1">
        <f t="array" ref="N134">IF($B134=0,IF($E134=0,"",IF(INDEX(DMAV_Dienste!T$6:T$140,$E134)="","",INDEX(DMAV_Dienste!T$6:T$140,$E134))),IF(INDEX(DMAV_Modell!U$6:U$838,$B134)="","",INDEX(DMAV_Modell!U$6:U$838,$B134)))</f>
        <v/>
      </c>
      <c r="O134" s="63" t="str" cm="1">
        <f t="array" aca="1" ref="O134" ca="1">IF(C134=0,IF(F134=0,"",HYPERLINK("#"&amp;RIGHT(CELL("adresse",OFFSET(DMAV_Dienste!$M$6,F134-1,0)),LEN(CELL("adresse",OFFSET(DMAV_Dienste!$M$6,F134-1,0)))-FIND("]",CELL("adresse",OFFSET(DMAV_Dienste!$M$6,F134-1,0)))),"Structure")),HYPERLINK("#"&amp;RIGHT(CELL("adresse",OFFSET(DMAV_Modell!$N$6,C134-1,0)),LEN(CELL("adresse",OFFSET(DMAV_Modell!$N$6,C134-1,0)))-FIND("]",CELL("adresse",OFFSET(DMAV_Modell!$N$6,C134-1,0)))),"Structure"))</f>
        <v/>
      </c>
      <c r="P134" s="64" t="str" cm="1">
        <f t="array" aca="1" ref="P134" ca="1">IF(D134=0,IF(G134=0,"",HYPERLINK("#"&amp;RIGHT(CELL("adresse",OFFSET(DMAV_Dienste!$M$6,G134-1,0)),LEN(CELL("adresse",OFFSET(DMAV_Dienste!$M$6,G134-1,0)))-FIND("]",CELL("adresse",OFFSET(DMAV_Dienste!$M$6,G134-1,0)))),"Substructure")),HYPERLINK("#"&amp;RIGHT(CELL("adresse",OFFSET(DMAV_Modell!$N$6,D134-1,0)),LEN(CELL("adresse",OFFSET(DMAV_Modell!$N$6,D134-1,0)))-FIND("]",CELL("adresse",OFFSET(DMAV_Modell!$N$6,D134-1,0)))),"Substructure"))</f>
        <v/>
      </c>
      <c r="R134" s="80"/>
      <c r="T134" s="93"/>
      <c r="U134" s="94"/>
      <c r="V134" s="95"/>
      <c r="W134" s="96"/>
      <c r="Y134" s="85"/>
      <c r="Z134" s="86"/>
      <c r="AA134" s="87"/>
      <c r="AB134" s="88"/>
      <c r="AD134" s="77"/>
      <c r="AF134" s="54" t="str" cm="1">
        <f t="array" aca="1" ref="AF134" ca="1">IF(H134=0,"",HYPERLINK("#"&amp;RIGHT(CELL("adresse",OFFSET('DM01-AV-CH'!$G$6,H134-1,0)),LEN(CELL("adresse",OFFSET('DM01-AV-CH'!$G$6,H134-1,0)))-FIND("]",CELL("adresse",OFFSET('DM01-AV-CH'!$G$6,H134-1,0)))),"Modell"))</f>
        <v>Modell</v>
      </c>
      <c r="AG134" s="72" t="str" cm="1">
        <f t="array" ref="AG134">IF($H134=0,"",IF(INDEX('DM01-AV-CH'!G$6:G$834,$H134)="","",INDEX('DM01-AV-CH'!G$6:G$834,$H134)))</f>
        <v>FixpunkteKategorie1</v>
      </c>
      <c r="AH134" s="73" t="str" cm="1">
        <f t="array" ref="AH134">IF($H134=0,"",IF(INDEX('DM01-AV-CH'!H$6:H$834,$H134)="","",INDEX('DM01-AV-CH'!H$6:H$834,$H134)))</f>
        <v>HFP1Pos</v>
      </c>
      <c r="AI134" s="74" t="str" cm="1">
        <f t="array" ref="AI134">IF($H134=0,"",IF(INDEX('DM01-AV-CH'!I$6:I$834,$H134)="","",INDEX('DM01-AV-CH'!I$6:I$834,$H134)))</f>
        <v>HFP1Pos_von</v>
      </c>
    </row>
    <row r="135" spans="1:35" x14ac:dyDescent="0.25">
      <c r="A135" s="57">
        <v>130</v>
      </c>
      <c r="B135" s="57">
        <f>IF($A135="","",IF(_xlfn.XLOOKUP($A135,Korrelation!$D$4:$D$1197,Korrelation!E$4:E$1197,"-",0)="-",0,MATCH(_xlfn.XLOOKUP($A135,Korrelation!$D$4:$D$1197,Korrelation!E$4:E$1197,"",0),DMAV_Modell!$G$6:$G$677,0)))</f>
        <v>0</v>
      </c>
      <c r="C135" s="57">
        <f>IF($A135="","",IF(_xlfn.XLOOKUP($A135,Korrelation!$D$4:$D$1197,Korrelation!F$4:F$1197,"-",0)="-",0,MATCH(_xlfn.XLOOKUP($A135,Korrelation!$D$4:$D$1197,Korrelation!F$4:F$1197,"",0),DMAV_Modell!$G$6:$G$677,0)))</f>
        <v>0</v>
      </c>
      <c r="D135" s="57">
        <f>IF($A135="","",IF(_xlfn.XLOOKUP($A135,Korrelation!$D$4:$D$1197,Korrelation!G$4:G$1197,"-",0)="-",0,MATCH(_xlfn.XLOOKUP($A135,Korrelation!$D$4:$D$1197,Korrelation!G$4:G$1197,"",0),DMAV_Modell!$G$6:$G$677,0)))</f>
        <v>0</v>
      </c>
      <c r="E135" s="57">
        <f>IF($A135="","",IF(_xlfn.XLOOKUP($A135,Korrelation!$D$4:$D$1197,Korrelation!H$4:H$1197,"-",0)="-",0,MATCH(_xlfn.XLOOKUP($A135,Korrelation!$D$4:$D$1197,Korrelation!H$4:H$1197,"",0),DMAV_Dienste!$F$6:$F$140,0)))</f>
        <v>0</v>
      </c>
      <c r="F135" s="57">
        <f>IF($A135="","",IF(_xlfn.XLOOKUP($A135,Korrelation!$D$4:$D$1197,Korrelation!I$4:I$1197,"-",0)="-",0,MATCH(_xlfn.XLOOKUP($A135,Korrelation!$D$4:$D$1197,Korrelation!I$4:I$1197,"",0),DMAV_Dienste!$F$6:$F$140,0)))</f>
        <v>0</v>
      </c>
      <c r="G135" s="57">
        <f>IF($A135="","",IF(_xlfn.XLOOKUP($A135,Korrelation!$D$4:$D$1197,Korrelation!J$4:J$1197,"-",0)="-",0,MATCH(_xlfn.XLOOKUP($A135,Korrelation!$D$4:$D$1197,Korrelation!J$4:J$1197,"",0),DMAV_Dienste!$F$6:$F$140,0)))</f>
        <v>0</v>
      </c>
      <c r="H135" s="57">
        <f>IF($A135="","",IF(_xlfn.XLOOKUP($A135,Korrelation!$D$4:$D$1197,Korrelation!K$4:K$1197,"-",0)="-",0,MATCH(_xlfn.XLOOKUP($A135,Korrelation!$D$4:$D$1197,Korrelation!K$4:K$1197,"",0),'DM01-AV-CH'!$A$6:$A$834,0)))</f>
        <v>77</v>
      </c>
      <c r="J135" s="54" t="str" cm="1">
        <f t="array" aca="1" ref="J135" ca="1">IF(B135=0,IF(E135=0,"",HYPERLINK("#"&amp;RIGHT(CELL("adresse",OFFSET(DMAV_Dienste!$M$6,E135-1,0)),LEN(CELL("adresse",OFFSET(DMAV_Dienste!$M$6,E135-1,0)))-FIND("]",CELL("adresse",OFFSET(DMAV_Dienste!$M$6,E135-1,0)))),"Dienst")),HYPERLINK("#"&amp;RIGHT(CELL("adresse",OFFSET(DMAV_Modell!$N$6,B135-1,0)),LEN(CELL("adresse",OFFSET(DMAV_Modell!$N$6,B135-1,0)))-FIND("]",CELL("adresse",OFFSET(DMAV_Modell!$N$6,B135-1,0)))),"Modell"))</f>
        <v/>
      </c>
      <c r="K135" s="61" t="str" cm="1">
        <f t="array" ref="K135">IF($B135=0,IF($E135=0,"",IF(INDEX(DMAV_Dienste!P$6:P$140,$E135)="","",INDEX(DMAV_Dienste!P$6:P$140,$E135))),IF(INDEX(DMAV_Modell!Q$6:Q$838,$B135)="","",INDEX(DMAV_Modell!Q$6:Q$838,$B135)))</f>
        <v/>
      </c>
      <c r="L135" s="62" t="str" cm="1">
        <f t="array" ref="L135">IF($B135=0,IF($E135=0,"",IF(INDEX(DMAV_Dienste!O$6:O$140,$E135)="","",INDEX(DMAV_Dienste!O$6:O$140,$E135))),IF(INDEX(DMAV_Modell!P$6:P$838,$B135)="","",INDEX(DMAV_Modell!P$6:P$838,$B135)))</f>
        <v/>
      </c>
      <c r="M135" s="62" t="str" cm="1">
        <f t="array" ref="M135">IF($B135=0,IF($E135=0,"",IF(INDEX(DMAV_Dienste!Q$6:Q$140,$E135)="","",INDEX(DMAV_Dienste!Q$6:Q$140,$E135))),IF(INDEX(DMAV_Modell!R$6:R$838,$B135)="","",INDEX(DMAV_Modell!R$6:R$838,$B135)))</f>
        <v/>
      </c>
      <c r="N135" s="62" t="str" cm="1">
        <f t="array" ref="N135">IF($B135=0,IF($E135=0,"",IF(INDEX(DMAV_Dienste!T$6:T$140,$E135)="","",INDEX(DMAV_Dienste!T$6:T$140,$E135))),IF(INDEX(DMAV_Modell!U$6:U$838,$B135)="","",INDEX(DMAV_Modell!U$6:U$838,$B135)))</f>
        <v/>
      </c>
      <c r="O135" s="63" t="str" cm="1">
        <f t="array" aca="1" ref="O135" ca="1">IF(C135=0,IF(F135=0,"",HYPERLINK("#"&amp;RIGHT(CELL("adresse",OFFSET(DMAV_Dienste!$M$6,F135-1,0)),LEN(CELL("adresse",OFFSET(DMAV_Dienste!$M$6,F135-1,0)))-FIND("]",CELL("adresse",OFFSET(DMAV_Dienste!$M$6,F135-1,0)))),"Structure")),HYPERLINK("#"&amp;RIGHT(CELL("adresse",OFFSET(DMAV_Modell!$N$6,C135-1,0)),LEN(CELL("adresse",OFFSET(DMAV_Modell!$N$6,C135-1,0)))-FIND("]",CELL("adresse",OFFSET(DMAV_Modell!$N$6,C135-1,0)))),"Structure"))</f>
        <v/>
      </c>
      <c r="P135" s="64" t="str" cm="1">
        <f t="array" aca="1" ref="P135" ca="1">IF(D135=0,IF(G135=0,"",HYPERLINK("#"&amp;RIGHT(CELL("adresse",OFFSET(DMAV_Dienste!$M$6,G135-1,0)),LEN(CELL("adresse",OFFSET(DMAV_Dienste!$M$6,G135-1,0)))-FIND("]",CELL("adresse",OFFSET(DMAV_Dienste!$M$6,G135-1,0)))),"Substructure")),HYPERLINK("#"&amp;RIGHT(CELL("adresse",OFFSET(DMAV_Modell!$N$6,D135-1,0)),LEN(CELL("adresse",OFFSET(DMAV_Modell!$N$6,D135-1,0)))-FIND("]",CELL("adresse",OFFSET(DMAV_Modell!$N$6,D135-1,0)))),"Substructure"))</f>
        <v/>
      </c>
      <c r="R135" s="80"/>
      <c r="T135" s="93"/>
      <c r="U135" s="94"/>
      <c r="V135" s="95"/>
      <c r="W135" s="96"/>
      <c r="Y135" s="85"/>
      <c r="Z135" s="86"/>
      <c r="AA135" s="87"/>
      <c r="AB135" s="88"/>
      <c r="AD135" s="77"/>
      <c r="AF135" s="54" t="str" cm="1">
        <f t="array" aca="1" ref="AF135" ca="1">IF(H135=0,"",HYPERLINK("#"&amp;RIGHT(CELL("adresse",OFFSET('DM01-AV-CH'!$G$6,H135-1,0)),LEN(CELL("adresse",OFFSET('DM01-AV-CH'!$G$6,H135-1,0)))-FIND("]",CELL("adresse",OFFSET('DM01-AV-CH'!$G$6,H135-1,0)))),"Modell"))</f>
        <v>Modell</v>
      </c>
      <c r="AG135" s="72" t="str" cm="1">
        <f t="array" ref="AG135">IF($H135=0,"",IF(INDEX('DM01-AV-CH'!G$6:G$834,$H135)="","",INDEX('DM01-AV-CH'!G$6:G$834,$H135)))</f>
        <v>FixpunkteKategorie1</v>
      </c>
      <c r="AH135" s="73" t="str" cm="1">
        <f t="array" ref="AH135">IF($H135=0,"",IF(INDEX('DM01-AV-CH'!H$6:H$834,$H135)="","",INDEX('DM01-AV-CH'!H$6:H$834,$H135)))</f>
        <v>HFP1Pos</v>
      </c>
      <c r="AI135" s="74" t="str" cm="1">
        <f t="array" ref="AI135">IF($H135=0,"",IF(INDEX('DM01-AV-CH'!I$6:I$834,$H135)="","",INDEX('DM01-AV-CH'!I$6:I$834,$H135)))</f>
        <v>Pos</v>
      </c>
    </row>
    <row r="136" spans="1:35" x14ac:dyDescent="0.25">
      <c r="A136" s="57">
        <v>131</v>
      </c>
      <c r="B136" s="57">
        <f>IF($A136="","",IF(_xlfn.XLOOKUP($A136,Korrelation!$D$4:$D$1197,Korrelation!E$4:E$1197,"-",0)="-",0,MATCH(_xlfn.XLOOKUP($A136,Korrelation!$D$4:$D$1197,Korrelation!E$4:E$1197,"",0),DMAV_Modell!$G$6:$G$677,0)))</f>
        <v>0</v>
      </c>
      <c r="C136" s="57">
        <f>IF($A136="","",IF(_xlfn.XLOOKUP($A136,Korrelation!$D$4:$D$1197,Korrelation!F$4:F$1197,"-",0)="-",0,MATCH(_xlfn.XLOOKUP($A136,Korrelation!$D$4:$D$1197,Korrelation!F$4:F$1197,"",0),DMAV_Modell!$G$6:$G$677,0)))</f>
        <v>0</v>
      </c>
      <c r="D136" s="57">
        <f>IF($A136="","",IF(_xlfn.XLOOKUP($A136,Korrelation!$D$4:$D$1197,Korrelation!G$4:G$1197,"-",0)="-",0,MATCH(_xlfn.XLOOKUP($A136,Korrelation!$D$4:$D$1197,Korrelation!G$4:G$1197,"",0),DMAV_Modell!$G$6:$G$677,0)))</f>
        <v>0</v>
      </c>
      <c r="E136" s="57">
        <f>IF($A136="","",IF(_xlfn.XLOOKUP($A136,Korrelation!$D$4:$D$1197,Korrelation!H$4:H$1197,"-",0)="-",0,MATCH(_xlfn.XLOOKUP($A136,Korrelation!$D$4:$D$1197,Korrelation!H$4:H$1197,"",0),DMAV_Dienste!$F$6:$F$140,0)))</f>
        <v>0</v>
      </c>
      <c r="F136" s="57">
        <f>IF($A136="","",IF(_xlfn.XLOOKUP($A136,Korrelation!$D$4:$D$1197,Korrelation!I$4:I$1197,"-",0)="-",0,MATCH(_xlfn.XLOOKUP($A136,Korrelation!$D$4:$D$1197,Korrelation!I$4:I$1197,"",0),DMAV_Dienste!$F$6:$F$140,0)))</f>
        <v>0</v>
      </c>
      <c r="G136" s="57">
        <f>IF($A136="","",IF(_xlfn.XLOOKUP($A136,Korrelation!$D$4:$D$1197,Korrelation!J$4:J$1197,"-",0)="-",0,MATCH(_xlfn.XLOOKUP($A136,Korrelation!$D$4:$D$1197,Korrelation!J$4:J$1197,"",0),DMAV_Dienste!$F$6:$F$140,0)))</f>
        <v>0</v>
      </c>
      <c r="H136" s="57">
        <f>IF($A136="","",IF(_xlfn.XLOOKUP($A136,Korrelation!$D$4:$D$1197,Korrelation!K$4:K$1197,"-",0)="-",0,MATCH(_xlfn.XLOOKUP($A136,Korrelation!$D$4:$D$1197,Korrelation!K$4:K$1197,"",0),'DM01-AV-CH'!$A$6:$A$834,0)))</f>
        <v>78</v>
      </c>
      <c r="J136" s="54" t="str" cm="1">
        <f t="array" aca="1" ref="J136" ca="1">IF(B136=0,IF(E136=0,"",HYPERLINK("#"&amp;RIGHT(CELL("adresse",OFFSET(DMAV_Dienste!$M$6,E136-1,0)),LEN(CELL("adresse",OFFSET(DMAV_Dienste!$M$6,E136-1,0)))-FIND("]",CELL("adresse",OFFSET(DMAV_Dienste!$M$6,E136-1,0)))),"Dienst")),HYPERLINK("#"&amp;RIGHT(CELL("adresse",OFFSET(DMAV_Modell!$N$6,B136-1,0)),LEN(CELL("adresse",OFFSET(DMAV_Modell!$N$6,B136-1,0)))-FIND("]",CELL("adresse",OFFSET(DMAV_Modell!$N$6,B136-1,0)))),"Modell"))</f>
        <v/>
      </c>
      <c r="K136" s="61" t="str" cm="1">
        <f t="array" ref="K136">IF($B136=0,IF($E136=0,"",IF(INDEX(DMAV_Dienste!P$6:P$140,$E136)="","",INDEX(DMAV_Dienste!P$6:P$140,$E136))),IF(INDEX(DMAV_Modell!Q$6:Q$838,$B136)="","",INDEX(DMAV_Modell!Q$6:Q$838,$B136)))</f>
        <v/>
      </c>
      <c r="L136" s="62" t="str" cm="1">
        <f t="array" ref="L136">IF($B136=0,IF($E136=0,"",IF(INDEX(DMAV_Dienste!O$6:O$140,$E136)="","",INDEX(DMAV_Dienste!O$6:O$140,$E136))),IF(INDEX(DMAV_Modell!P$6:P$838,$B136)="","",INDEX(DMAV_Modell!P$6:P$838,$B136)))</f>
        <v/>
      </c>
      <c r="M136" s="62" t="str" cm="1">
        <f t="array" ref="M136">IF($B136=0,IF($E136=0,"",IF(INDEX(DMAV_Dienste!Q$6:Q$140,$E136)="","",INDEX(DMAV_Dienste!Q$6:Q$140,$E136))),IF(INDEX(DMAV_Modell!R$6:R$838,$B136)="","",INDEX(DMAV_Modell!R$6:R$838,$B136)))</f>
        <v/>
      </c>
      <c r="N136" s="62" t="str" cm="1">
        <f t="array" ref="N136">IF($B136=0,IF($E136=0,"",IF(INDEX(DMAV_Dienste!T$6:T$140,$E136)="","",INDEX(DMAV_Dienste!T$6:T$140,$E136))),IF(INDEX(DMAV_Modell!U$6:U$838,$B136)="","",INDEX(DMAV_Modell!U$6:U$838,$B136)))</f>
        <v/>
      </c>
      <c r="O136" s="63" t="str" cm="1">
        <f t="array" aca="1" ref="O136" ca="1">IF(C136=0,IF(F136=0,"",HYPERLINK("#"&amp;RIGHT(CELL("adresse",OFFSET(DMAV_Dienste!$M$6,F136-1,0)),LEN(CELL("adresse",OFFSET(DMAV_Dienste!$M$6,F136-1,0)))-FIND("]",CELL("adresse",OFFSET(DMAV_Dienste!$M$6,F136-1,0)))),"Structure")),HYPERLINK("#"&amp;RIGHT(CELL("adresse",OFFSET(DMAV_Modell!$N$6,C136-1,0)),LEN(CELL("adresse",OFFSET(DMAV_Modell!$N$6,C136-1,0)))-FIND("]",CELL("adresse",OFFSET(DMAV_Modell!$N$6,C136-1,0)))),"Structure"))</f>
        <v/>
      </c>
      <c r="P136" s="64" t="str" cm="1">
        <f t="array" aca="1" ref="P136" ca="1">IF(D136=0,IF(G136=0,"",HYPERLINK("#"&amp;RIGHT(CELL("adresse",OFFSET(DMAV_Dienste!$M$6,G136-1,0)),LEN(CELL("adresse",OFFSET(DMAV_Dienste!$M$6,G136-1,0)))-FIND("]",CELL("adresse",OFFSET(DMAV_Dienste!$M$6,G136-1,0)))),"Substructure")),HYPERLINK("#"&amp;RIGHT(CELL("adresse",OFFSET(DMAV_Modell!$N$6,D136-1,0)),LEN(CELL("adresse",OFFSET(DMAV_Modell!$N$6,D136-1,0)))-FIND("]",CELL("adresse",OFFSET(DMAV_Modell!$N$6,D136-1,0)))),"Substructure"))</f>
        <v/>
      </c>
      <c r="R136" s="80"/>
      <c r="T136" s="93"/>
      <c r="U136" s="94"/>
      <c r="V136" s="95"/>
      <c r="W136" s="96"/>
      <c r="Y136" s="85"/>
      <c r="Z136" s="86"/>
      <c r="AA136" s="87"/>
      <c r="AB136" s="88"/>
      <c r="AD136" s="77"/>
      <c r="AF136" s="54" t="str" cm="1">
        <f t="array" aca="1" ref="AF136" ca="1">IF(H136=0,"",HYPERLINK("#"&amp;RIGHT(CELL("adresse",OFFSET('DM01-AV-CH'!$G$6,H136-1,0)),LEN(CELL("adresse",OFFSET('DM01-AV-CH'!$G$6,H136-1,0)))-FIND("]",CELL("adresse",OFFSET('DM01-AV-CH'!$G$6,H136-1,0)))),"Modell"))</f>
        <v>Modell</v>
      </c>
      <c r="AG136" s="72" t="str" cm="1">
        <f t="array" ref="AG136">IF($H136=0,"",IF(INDEX('DM01-AV-CH'!G$6:G$834,$H136)="","",INDEX('DM01-AV-CH'!G$6:G$834,$H136)))</f>
        <v>FixpunkteKategorie1</v>
      </c>
      <c r="AH136" s="73" t="str" cm="1">
        <f t="array" ref="AH136">IF($H136=0,"",IF(INDEX('DM01-AV-CH'!H$6:H$834,$H136)="","",INDEX('DM01-AV-CH'!H$6:H$834,$H136)))</f>
        <v>HFP1Pos</v>
      </c>
      <c r="AI136" s="74" t="str" cm="1">
        <f t="array" ref="AI136">IF($H136=0,"",IF(INDEX('DM01-AV-CH'!I$6:I$834,$H136)="","",INDEX('DM01-AV-CH'!I$6:I$834,$H136)))</f>
        <v>Ori</v>
      </c>
    </row>
    <row r="137" spans="1:35" x14ac:dyDescent="0.25">
      <c r="A137" s="57">
        <v>132</v>
      </c>
      <c r="B137" s="57">
        <f>IF($A137="","",IF(_xlfn.XLOOKUP($A137,Korrelation!$D$4:$D$1197,Korrelation!E$4:E$1197,"-",0)="-",0,MATCH(_xlfn.XLOOKUP($A137,Korrelation!$D$4:$D$1197,Korrelation!E$4:E$1197,"",0),DMAV_Modell!$G$6:$G$677,0)))</f>
        <v>0</v>
      </c>
      <c r="C137" s="57">
        <f>IF($A137="","",IF(_xlfn.XLOOKUP($A137,Korrelation!$D$4:$D$1197,Korrelation!F$4:F$1197,"-",0)="-",0,MATCH(_xlfn.XLOOKUP($A137,Korrelation!$D$4:$D$1197,Korrelation!F$4:F$1197,"",0),DMAV_Modell!$G$6:$G$677,0)))</f>
        <v>0</v>
      </c>
      <c r="D137" s="57">
        <f>IF($A137="","",IF(_xlfn.XLOOKUP($A137,Korrelation!$D$4:$D$1197,Korrelation!G$4:G$1197,"-",0)="-",0,MATCH(_xlfn.XLOOKUP($A137,Korrelation!$D$4:$D$1197,Korrelation!G$4:G$1197,"",0),DMAV_Modell!$G$6:$G$677,0)))</f>
        <v>0</v>
      </c>
      <c r="E137" s="57">
        <f>IF($A137="","",IF(_xlfn.XLOOKUP($A137,Korrelation!$D$4:$D$1197,Korrelation!H$4:H$1197,"-",0)="-",0,MATCH(_xlfn.XLOOKUP($A137,Korrelation!$D$4:$D$1197,Korrelation!H$4:H$1197,"",0),DMAV_Dienste!$F$6:$F$140,0)))</f>
        <v>0</v>
      </c>
      <c r="F137" s="57">
        <f>IF($A137="","",IF(_xlfn.XLOOKUP($A137,Korrelation!$D$4:$D$1197,Korrelation!I$4:I$1197,"-",0)="-",0,MATCH(_xlfn.XLOOKUP($A137,Korrelation!$D$4:$D$1197,Korrelation!I$4:I$1197,"",0),DMAV_Dienste!$F$6:$F$140,0)))</f>
        <v>0</v>
      </c>
      <c r="G137" s="57">
        <f>IF($A137="","",IF(_xlfn.XLOOKUP($A137,Korrelation!$D$4:$D$1197,Korrelation!J$4:J$1197,"-",0)="-",0,MATCH(_xlfn.XLOOKUP($A137,Korrelation!$D$4:$D$1197,Korrelation!J$4:J$1197,"",0),DMAV_Dienste!$F$6:$F$140,0)))</f>
        <v>0</v>
      </c>
      <c r="H137" s="57">
        <f>IF($A137="","",IF(_xlfn.XLOOKUP($A137,Korrelation!$D$4:$D$1197,Korrelation!K$4:K$1197,"-",0)="-",0,MATCH(_xlfn.XLOOKUP($A137,Korrelation!$D$4:$D$1197,Korrelation!K$4:K$1197,"",0),'DM01-AV-CH'!$A$6:$A$834,0)))</f>
        <v>79</v>
      </c>
      <c r="J137" s="54" t="str" cm="1">
        <f t="array" aca="1" ref="J137" ca="1">IF(B137=0,IF(E137=0,"",HYPERLINK("#"&amp;RIGHT(CELL("adresse",OFFSET(DMAV_Dienste!$M$6,E137-1,0)),LEN(CELL("adresse",OFFSET(DMAV_Dienste!$M$6,E137-1,0)))-FIND("]",CELL("adresse",OFFSET(DMAV_Dienste!$M$6,E137-1,0)))),"Dienst")),HYPERLINK("#"&amp;RIGHT(CELL("adresse",OFFSET(DMAV_Modell!$N$6,B137-1,0)),LEN(CELL("adresse",OFFSET(DMAV_Modell!$N$6,B137-1,0)))-FIND("]",CELL("adresse",OFFSET(DMAV_Modell!$N$6,B137-1,0)))),"Modell"))</f>
        <v/>
      </c>
      <c r="K137" s="61" t="str" cm="1">
        <f t="array" ref="K137">IF($B137=0,IF($E137=0,"",IF(INDEX(DMAV_Dienste!P$6:P$140,$E137)="","",INDEX(DMAV_Dienste!P$6:P$140,$E137))),IF(INDEX(DMAV_Modell!Q$6:Q$838,$B137)="","",INDEX(DMAV_Modell!Q$6:Q$838,$B137)))</f>
        <v/>
      </c>
      <c r="L137" s="62" t="str" cm="1">
        <f t="array" ref="L137">IF($B137=0,IF($E137=0,"",IF(INDEX(DMAV_Dienste!O$6:O$140,$E137)="","",INDEX(DMAV_Dienste!O$6:O$140,$E137))),IF(INDEX(DMAV_Modell!P$6:P$838,$B137)="","",INDEX(DMAV_Modell!P$6:P$838,$B137)))</f>
        <v/>
      </c>
      <c r="M137" s="62" t="str" cm="1">
        <f t="array" ref="M137">IF($B137=0,IF($E137=0,"",IF(INDEX(DMAV_Dienste!Q$6:Q$140,$E137)="","",INDEX(DMAV_Dienste!Q$6:Q$140,$E137))),IF(INDEX(DMAV_Modell!R$6:R$838,$B137)="","",INDEX(DMAV_Modell!R$6:R$838,$B137)))</f>
        <v/>
      </c>
      <c r="N137" s="62" t="str" cm="1">
        <f t="array" ref="N137">IF($B137=0,IF($E137=0,"",IF(INDEX(DMAV_Dienste!T$6:T$140,$E137)="","",INDEX(DMAV_Dienste!T$6:T$140,$E137))),IF(INDEX(DMAV_Modell!U$6:U$838,$B137)="","",INDEX(DMAV_Modell!U$6:U$838,$B137)))</f>
        <v/>
      </c>
      <c r="O137" s="63" t="str" cm="1">
        <f t="array" aca="1" ref="O137" ca="1">IF(C137=0,IF(F137=0,"",HYPERLINK("#"&amp;RIGHT(CELL("adresse",OFFSET(DMAV_Dienste!$M$6,F137-1,0)),LEN(CELL("adresse",OFFSET(DMAV_Dienste!$M$6,F137-1,0)))-FIND("]",CELL("adresse",OFFSET(DMAV_Dienste!$M$6,F137-1,0)))),"Structure")),HYPERLINK("#"&amp;RIGHT(CELL("adresse",OFFSET(DMAV_Modell!$N$6,C137-1,0)),LEN(CELL("adresse",OFFSET(DMAV_Modell!$N$6,C137-1,0)))-FIND("]",CELL("adresse",OFFSET(DMAV_Modell!$N$6,C137-1,0)))),"Structure"))</f>
        <v/>
      </c>
      <c r="P137" s="64" t="str" cm="1">
        <f t="array" aca="1" ref="P137" ca="1">IF(D137=0,IF(G137=0,"",HYPERLINK("#"&amp;RIGHT(CELL("adresse",OFFSET(DMAV_Dienste!$M$6,G137-1,0)),LEN(CELL("adresse",OFFSET(DMAV_Dienste!$M$6,G137-1,0)))-FIND("]",CELL("adresse",OFFSET(DMAV_Dienste!$M$6,G137-1,0)))),"Substructure")),HYPERLINK("#"&amp;RIGHT(CELL("adresse",OFFSET(DMAV_Modell!$N$6,D137-1,0)),LEN(CELL("adresse",OFFSET(DMAV_Modell!$N$6,D137-1,0)))-FIND("]",CELL("adresse",OFFSET(DMAV_Modell!$N$6,D137-1,0)))),"Substructure"))</f>
        <v/>
      </c>
      <c r="R137" s="80"/>
      <c r="T137" s="93"/>
      <c r="U137" s="94"/>
      <c r="V137" s="95"/>
      <c r="W137" s="96"/>
      <c r="Y137" s="85"/>
      <c r="Z137" s="86"/>
      <c r="AA137" s="87"/>
      <c r="AB137" s="88"/>
      <c r="AD137" s="77"/>
      <c r="AF137" s="54" t="str" cm="1">
        <f t="array" aca="1" ref="AF137" ca="1">IF(H137=0,"",HYPERLINK("#"&amp;RIGHT(CELL("adresse",OFFSET('DM01-AV-CH'!$G$6,H137-1,0)),LEN(CELL("adresse",OFFSET('DM01-AV-CH'!$G$6,H137-1,0)))-FIND("]",CELL("adresse",OFFSET('DM01-AV-CH'!$G$6,H137-1,0)))),"Modell"))</f>
        <v>Modell</v>
      </c>
      <c r="AG137" s="72" t="str" cm="1">
        <f t="array" ref="AG137">IF($H137=0,"",IF(INDEX('DM01-AV-CH'!G$6:G$834,$H137)="","",INDEX('DM01-AV-CH'!G$6:G$834,$H137)))</f>
        <v>FixpunkteKategorie1</v>
      </c>
      <c r="AH137" s="73" t="str" cm="1">
        <f t="array" ref="AH137">IF($H137=0,"",IF(INDEX('DM01-AV-CH'!H$6:H$834,$H137)="","",INDEX('DM01-AV-CH'!H$6:H$834,$H137)))</f>
        <v>HFP1Pos</v>
      </c>
      <c r="AI137" s="74" t="str" cm="1">
        <f t="array" ref="AI137">IF($H137=0,"",IF(INDEX('DM01-AV-CH'!I$6:I$834,$H137)="","",INDEX('DM01-AV-CH'!I$6:I$834,$H137)))</f>
        <v>HAli</v>
      </c>
    </row>
    <row r="138" spans="1:35" x14ac:dyDescent="0.25">
      <c r="A138" s="57">
        <v>133</v>
      </c>
      <c r="B138" s="57">
        <f>IF($A138="","",IF(_xlfn.XLOOKUP($A138,Korrelation!$D$4:$D$1197,Korrelation!E$4:E$1197,"-",0)="-",0,MATCH(_xlfn.XLOOKUP($A138,Korrelation!$D$4:$D$1197,Korrelation!E$4:E$1197,"",0),DMAV_Modell!$G$6:$G$677,0)))</f>
        <v>0</v>
      </c>
      <c r="C138" s="57">
        <f>IF($A138="","",IF(_xlfn.XLOOKUP($A138,Korrelation!$D$4:$D$1197,Korrelation!F$4:F$1197,"-",0)="-",0,MATCH(_xlfn.XLOOKUP($A138,Korrelation!$D$4:$D$1197,Korrelation!F$4:F$1197,"",0),DMAV_Modell!$G$6:$G$677,0)))</f>
        <v>0</v>
      </c>
      <c r="D138" s="57">
        <f>IF($A138="","",IF(_xlfn.XLOOKUP($A138,Korrelation!$D$4:$D$1197,Korrelation!G$4:G$1197,"-",0)="-",0,MATCH(_xlfn.XLOOKUP($A138,Korrelation!$D$4:$D$1197,Korrelation!G$4:G$1197,"",0),DMAV_Modell!$G$6:$G$677,0)))</f>
        <v>0</v>
      </c>
      <c r="E138" s="57">
        <f>IF($A138="","",IF(_xlfn.XLOOKUP($A138,Korrelation!$D$4:$D$1197,Korrelation!H$4:H$1197,"-",0)="-",0,MATCH(_xlfn.XLOOKUP($A138,Korrelation!$D$4:$D$1197,Korrelation!H$4:H$1197,"",0),DMAV_Dienste!$F$6:$F$140,0)))</f>
        <v>0</v>
      </c>
      <c r="F138" s="57">
        <f>IF($A138="","",IF(_xlfn.XLOOKUP($A138,Korrelation!$D$4:$D$1197,Korrelation!I$4:I$1197,"-",0)="-",0,MATCH(_xlfn.XLOOKUP($A138,Korrelation!$D$4:$D$1197,Korrelation!I$4:I$1197,"",0),DMAV_Dienste!$F$6:$F$140,0)))</f>
        <v>0</v>
      </c>
      <c r="G138" s="57">
        <f>IF($A138="","",IF(_xlfn.XLOOKUP($A138,Korrelation!$D$4:$D$1197,Korrelation!J$4:J$1197,"-",0)="-",0,MATCH(_xlfn.XLOOKUP($A138,Korrelation!$D$4:$D$1197,Korrelation!J$4:J$1197,"",0),DMAV_Dienste!$F$6:$F$140,0)))</f>
        <v>0</v>
      </c>
      <c r="H138" s="57">
        <f>IF($A138="","",IF(_xlfn.XLOOKUP($A138,Korrelation!$D$4:$D$1197,Korrelation!K$4:K$1197,"-",0)="-",0,MATCH(_xlfn.XLOOKUP($A138,Korrelation!$D$4:$D$1197,Korrelation!K$4:K$1197,"",0),'DM01-AV-CH'!$A$6:$A$834,0)))</f>
        <v>80</v>
      </c>
      <c r="J138" s="54" t="str" cm="1">
        <f t="array" aca="1" ref="J138" ca="1">IF(B138=0,IF(E138=0,"",HYPERLINK("#"&amp;RIGHT(CELL("adresse",OFFSET(DMAV_Dienste!$M$6,E138-1,0)),LEN(CELL("adresse",OFFSET(DMAV_Dienste!$M$6,E138-1,0)))-FIND("]",CELL("adresse",OFFSET(DMAV_Dienste!$M$6,E138-1,0)))),"Dienst")),HYPERLINK("#"&amp;RIGHT(CELL("adresse",OFFSET(DMAV_Modell!$N$6,B138-1,0)),LEN(CELL("adresse",OFFSET(DMAV_Modell!$N$6,B138-1,0)))-FIND("]",CELL("adresse",OFFSET(DMAV_Modell!$N$6,B138-1,0)))),"Modell"))</f>
        <v/>
      </c>
      <c r="K138" s="61" t="str" cm="1">
        <f t="array" ref="K138">IF($B138=0,IF($E138=0,"",IF(INDEX(DMAV_Dienste!P$6:P$140,$E138)="","",INDEX(DMAV_Dienste!P$6:P$140,$E138))),IF(INDEX(DMAV_Modell!Q$6:Q$838,$B138)="","",INDEX(DMAV_Modell!Q$6:Q$838,$B138)))</f>
        <v/>
      </c>
      <c r="L138" s="62" t="str" cm="1">
        <f t="array" ref="L138">IF($B138=0,IF($E138=0,"",IF(INDEX(DMAV_Dienste!O$6:O$140,$E138)="","",INDEX(DMAV_Dienste!O$6:O$140,$E138))),IF(INDEX(DMAV_Modell!P$6:P$838,$B138)="","",INDEX(DMAV_Modell!P$6:P$838,$B138)))</f>
        <v/>
      </c>
      <c r="M138" s="62" t="str" cm="1">
        <f t="array" ref="M138">IF($B138=0,IF($E138=0,"",IF(INDEX(DMAV_Dienste!Q$6:Q$140,$E138)="","",INDEX(DMAV_Dienste!Q$6:Q$140,$E138))),IF(INDEX(DMAV_Modell!R$6:R$838,$B138)="","",INDEX(DMAV_Modell!R$6:R$838,$B138)))</f>
        <v/>
      </c>
      <c r="N138" s="62" t="str" cm="1">
        <f t="array" ref="N138">IF($B138=0,IF($E138=0,"",IF(INDEX(DMAV_Dienste!T$6:T$140,$E138)="","",INDEX(DMAV_Dienste!T$6:T$140,$E138))),IF(INDEX(DMAV_Modell!U$6:U$838,$B138)="","",INDEX(DMAV_Modell!U$6:U$838,$B138)))</f>
        <v/>
      </c>
      <c r="O138" s="63" t="str" cm="1">
        <f t="array" aca="1" ref="O138" ca="1">IF(C138=0,IF(F138=0,"",HYPERLINK("#"&amp;RIGHT(CELL("adresse",OFFSET(DMAV_Dienste!$M$6,F138-1,0)),LEN(CELL("adresse",OFFSET(DMAV_Dienste!$M$6,F138-1,0)))-FIND("]",CELL("adresse",OFFSET(DMAV_Dienste!$M$6,F138-1,0)))),"Structure")),HYPERLINK("#"&amp;RIGHT(CELL("adresse",OFFSET(DMAV_Modell!$N$6,C138-1,0)),LEN(CELL("adresse",OFFSET(DMAV_Modell!$N$6,C138-1,0)))-FIND("]",CELL("adresse",OFFSET(DMAV_Modell!$N$6,C138-1,0)))),"Structure"))</f>
        <v/>
      </c>
      <c r="P138" s="64" t="str" cm="1">
        <f t="array" aca="1" ref="P138" ca="1">IF(D138=0,IF(G138=0,"",HYPERLINK("#"&amp;RIGHT(CELL("adresse",OFFSET(DMAV_Dienste!$M$6,G138-1,0)),LEN(CELL("adresse",OFFSET(DMAV_Dienste!$M$6,G138-1,0)))-FIND("]",CELL("adresse",OFFSET(DMAV_Dienste!$M$6,G138-1,0)))),"Substructure")),HYPERLINK("#"&amp;RIGHT(CELL("adresse",OFFSET(DMAV_Modell!$N$6,D138-1,0)),LEN(CELL("adresse",OFFSET(DMAV_Modell!$N$6,D138-1,0)))-FIND("]",CELL("adresse",OFFSET(DMAV_Modell!$N$6,D138-1,0)))),"Substructure"))</f>
        <v/>
      </c>
      <c r="R138" s="80"/>
      <c r="T138" s="93"/>
      <c r="U138" s="94"/>
      <c r="V138" s="95"/>
      <c r="W138" s="96"/>
      <c r="Y138" s="85"/>
      <c r="Z138" s="86"/>
      <c r="AA138" s="87"/>
      <c r="AB138" s="88"/>
      <c r="AD138" s="77"/>
      <c r="AF138" s="54" t="str" cm="1">
        <f t="array" aca="1" ref="AF138" ca="1">IF(H138=0,"",HYPERLINK("#"&amp;RIGHT(CELL("adresse",OFFSET('DM01-AV-CH'!$G$6,H138-1,0)),LEN(CELL("adresse",OFFSET('DM01-AV-CH'!$G$6,H138-1,0)))-FIND("]",CELL("adresse",OFFSET('DM01-AV-CH'!$G$6,H138-1,0)))),"Modell"))</f>
        <v>Modell</v>
      </c>
      <c r="AG138" s="72" t="str" cm="1">
        <f t="array" ref="AG138">IF($H138=0,"",IF(INDEX('DM01-AV-CH'!G$6:G$834,$H138)="","",INDEX('DM01-AV-CH'!G$6:G$834,$H138)))</f>
        <v>FixpunkteKategorie1</v>
      </c>
      <c r="AH138" s="73" t="str" cm="1">
        <f t="array" ref="AH138">IF($H138=0,"",IF(INDEX('DM01-AV-CH'!H$6:H$834,$H138)="","",INDEX('DM01-AV-CH'!H$6:H$834,$H138)))</f>
        <v>HFP1Pos</v>
      </c>
      <c r="AI138" s="74" t="str" cm="1">
        <f t="array" ref="AI138">IF($H138=0,"",IF(INDEX('DM01-AV-CH'!I$6:I$834,$H138)="","",INDEX('DM01-AV-CH'!I$6:I$834,$H138)))</f>
        <v>VAli</v>
      </c>
    </row>
    <row r="139" spans="1:35" x14ac:dyDescent="0.25">
      <c r="A139" s="57">
        <v>134</v>
      </c>
      <c r="B139" s="57">
        <f>IF($A139="","",IF(_xlfn.XLOOKUP($A139,Korrelation!$D$4:$D$1197,Korrelation!E$4:E$1197,"-",0)="-",0,MATCH(_xlfn.XLOOKUP($A139,Korrelation!$D$4:$D$1197,Korrelation!E$4:E$1197,"",0),DMAV_Modell!$G$6:$G$677,0)))</f>
        <v>0</v>
      </c>
      <c r="C139" s="57">
        <f>IF($A139="","",IF(_xlfn.XLOOKUP($A139,Korrelation!$D$4:$D$1197,Korrelation!F$4:F$1197,"-",0)="-",0,MATCH(_xlfn.XLOOKUP($A139,Korrelation!$D$4:$D$1197,Korrelation!F$4:F$1197,"",0),DMAV_Modell!$G$6:$G$677,0)))</f>
        <v>0</v>
      </c>
      <c r="D139" s="57">
        <f>IF($A139="","",IF(_xlfn.XLOOKUP($A139,Korrelation!$D$4:$D$1197,Korrelation!G$4:G$1197,"-",0)="-",0,MATCH(_xlfn.XLOOKUP($A139,Korrelation!$D$4:$D$1197,Korrelation!G$4:G$1197,"",0),DMAV_Modell!$G$6:$G$677,0)))</f>
        <v>0</v>
      </c>
      <c r="E139" s="57">
        <f>IF($A139="","",IF(_xlfn.XLOOKUP($A139,Korrelation!$D$4:$D$1197,Korrelation!H$4:H$1197,"-",0)="-",0,MATCH(_xlfn.XLOOKUP($A139,Korrelation!$D$4:$D$1197,Korrelation!H$4:H$1197,"",0),DMAV_Dienste!$F$6:$F$140,0)))</f>
        <v>36</v>
      </c>
      <c r="F139" s="57">
        <f>IF($A139="","",IF(_xlfn.XLOOKUP($A139,Korrelation!$D$4:$D$1197,Korrelation!I$4:I$1197,"-",0)="-",0,MATCH(_xlfn.XLOOKUP($A139,Korrelation!$D$4:$D$1197,Korrelation!I$4:I$1197,"",0),DMAV_Dienste!$F$6:$F$140,0)))</f>
        <v>0</v>
      </c>
      <c r="G139" s="57">
        <f>IF($A139="","",IF(_xlfn.XLOOKUP($A139,Korrelation!$D$4:$D$1197,Korrelation!J$4:J$1197,"-",0)="-",0,MATCH(_xlfn.XLOOKUP($A139,Korrelation!$D$4:$D$1197,Korrelation!J$4:J$1197,"",0),DMAV_Dienste!$F$6:$F$140,0)))</f>
        <v>0</v>
      </c>
      <c r="H139" s="57">
        <f>IF($A139="","",IF(_xlfn.XLOOKUP($A139,Korrelation!$D$4:$D$1197,Korrelation!K$4:K$1197,"-",0)="-",0,MATCH(_xlfn.XLOOKUP($A139,Korrelation!$D$4:$D$1197,Korrelation!K$4:K$1197,"",0),'DM01-AV-CH'!$A$6:$A$834,0)))</f>
        <v>0</v>
      </c>
      <c r="J139" s="54" t="str" cm="1">
        <f t="array" aca="1" ref="J139" ca="1">IF(B139=0,IF(E139=0,"",HYPERLINK("#"&amp;RIGHT(CELL("adresse",OFFSET(DMAV_Dienste!$M$6,E139-1,0)),LEN(CELL("adresse",OFFSET(DMAV_Dienste!$M$6,E139-1,0)))-FIND("]",CELL("adresse",OFFSET(DMAV_Dienste!$M$6,E139-1,0)))),"Dienst")),HYPERLINK("#"&amp;RIGHT(CELL("adresse",OFFSET(DMAV_Modell!$N$6,B139-1,0)),LEN(CELL("adresse",OFFSET(DMAV_Modell!$N$6,B139-1,0)))-FIND("]",CELL("adresse",OFFSET(DMAV_Modell!$N$6,B139-1,0)))),"Modell"))</f>
        <v>Dienst</v>
      </c>
      <c r="K139" s="61" t="str" cm="1">
        <f t="array" ref="K139">IF($B139=0,IF($E139=0,"",IF(INDEX(DMAV_Dienste!P$6:P$140,$E139)="","",INDEX(DMAV_Dienste!P$6:P$140,$E139))),IF(INDEX(DMAV_Modell!Q$6:Q$838,$B139)="","",INDEX(DMAV_Modell!Q$6:Q$838,$B139)))</f>
        <v>CLASS</v>
      </c>
      <c r="L139" s="62" t="str" cm="1">
        <f t="array" ref="L139">IF($B139=0,IF($E139=0,"",IF(INDEX(DMAV_Dienste!O$6:O$140,$E139)="","",INDEX(DMAV_Dienste!O$6:O$140,$E139))),IF(INDEX(DMAV_Modell!P$6:P$838,$B139)="","",INDEX(DMAV_Modell!P$6:P$838,$B139)))</f>
        <v>FixpunkteLV</v>
      </c>
      <c r="M139" s="62" t="str" cm="1">
        <f t="array" ref="M139">IF($B139=0,IF($E139=0,"",IF(INDEX(DMAV_Dienste!Q$6:Q$140,$E139)="","",INDEX(DMAV_Dienste!Q$6:Q$140,$E139))),IF(INDEX(DMAV_Modell!R$6:R$838,$B139)="","",INDEX(DMAV_Modell!R$6:R$838,$B139)))</f>
        <v>LSN</v>
      </c>
      <c r="N139" s="62" t="str" cm="1">
        <f t="array" ref="N139">IF($B139=0,IF($E139=0,"",IF(INDEX(DMAV_Dienste!T$6:T$140,$E139)="","",INDEX(DMAV_Dienste!T$6:T$140,$E139))),IF(INDEX(DMAV_Modell!U$6:U$838,$B139)="","",INDEX(DMAV_Modell!U$6:U$838,$B139)))</f>
        <v>Nummer</v>
      </c>
      <c r="O139" s="63" t="str" cm="1">
        <f t="array" aca="1" ref="O139" ca="1">IF(C139=0,IF(F139=0,"",HYPERLINK("#"&amp;RIGHT(CELL("adresse",OFFSET(DMAV_Dienste!$M$6,F139-1,0)),LEN(CELL("adresse",OFFSET(DMAV_Dienste!$M$6,F139-1,0)))-FIND("]",CELL("adresse",OFFSET(DMAV_Dienste!$M$6,F139-1,0)))),"Structure")),HYPERLINK("#"&amp;RIGHT(CELL("adresse",OFFSET(DMAV_Modell!$N$6,C139-1,0)),LEN(CELL("adresse",OFFSET(DMAV_Modell!$N$6,C139-1,0)))-FIND("]",CELL("adresse",OFFSET(DMAV_Modell!$N$6,C139-1,0)))),"Structure"))</f>
        <v/>
      </c>
      <c r="P139" s="64" t="str" cm="1">
        <f t="array" aca="1" ref="P139" ca="1">IF(D139=0,IF(G139=0,"",HYPERLINK("#"&amp;RIGHT(CELL("adresse",OFFSET(DMAV_Dienste!$M$6,G139-1,0)),LEN(CELL("adresse",OFFSET(DMAV_Dienste!$M$6,G139-1,0)))-FIND("]",CELL("adresse",OFFSET(DMAV_Dienste!$M$6,G139-1,0)))),"Substructure")),HYPERLINK("#"&amp;RIGHT(CELL("adresse",OFFSET(DMAV_Modell!$N$6,D139-1,0)),LEN(CELL("adresse",OFFSET(DMAV_Modell!$N$6,D139-1,0)))-FIND("]",CELL("adresse",OFFSET(DMAV_Modell!$N$6,D139-1,0)))),"Substructure"))</f>
        <v/>
      </c>
      <c r="R139" s="80"/>
      <c r="T139" s="93"/>
      <c r="U139" s="94"/>
      <c r="V139" s="95"/>
      <c r="W139" s="96"/>
      <c r="Y139" s="85"/>
      <c r="Z139" s="86"/>
      <c r="AA139" s="87"/>
      <c r="AB139" s="88"/>
      <c r="AD139" s="77"/>
      <c r="AF139" s="54" t="str" cm="1">
        <f t="array" aca="1" ref="AF139" ca="1">IF(H139=0,"",HYPERLINK("#"&amp;RIGHT(CELL("adresse",OFFSET('DM01-AV-CH'!$G$6,H139-1,0)),LEN(CELL("adresse",OFFSET('DM01-AV-CH'!$G$6,H139-1,0)))-FIND("]",CELL("adresse",OFFSET('DM01-AV-CH'!$G$6,H139-1,0)))),"Modell"))</f>
        <v/>
      </c>
      <c r="AG139" s="72" t="str" cm="1">
        <f t="array" ref="AG139">IF($H139=0,"",IF(INDEX('DM01-AV-CH'!G$6:G$834,$H139)="","",INDEX('DM01-AV-CH'!G$6:G$834,$H139)))</f>
        <v/>
      </c>
      <c r="AH139" s="73" t="str" cm="1">
        <f t="array" ref="AH139">IF($H139=0,"",IF(INDEX('DM01-AV-CH'!H$6:H$834,$H139)="","",INDEX('DM01-AV-CH'!H$6:H$834,$H139)))</f>
        <v/>
      </c>
      <c r="AI139" s="74" t="str" cm="1">
        <f t="array" ref="AI139">IF($H139=0,"",IF(INDEX('DM01-AV-CH'!I$6:I$834,$H139)="","",INDEX('DM01-AV-CH'!I$6:I$834,$H139)))</f>
        <v/>
      </c>
    </row>
    <row r="140" spans="1:35" x14ac:dyDescent="0.25">
      <c r="A140" s="57">
        <v>135</v>
      </c>
      <c r="B140" s="57">
        <f>IF($A140="","",IF(_xlfn.XLOOKUP($A140,Korrelation!$D$4:$D$1197,Korrelation!E$4:E$1197,"-",0)="-",0,MATCH(_xlfn.XLOOKUP($A140,Korrelation!$D$4:$D$1197,Korrelation!E$4:E$1197,"",0),DMAV_Modell!$G$6:$G$677,0)))</f>
        <v>0</v>
      </c>
      <c r="C140" s="57">
        <f>IF($A140="","",IF(_xlfn.XLOOKUP($A140,Korrelation!$D$4:$D$1197,Korrelation!F$4:F$1197,"-",0)="-",0,MATCH(_xlfn.XLOOKUP($A140,Korrelation!$D$4:$D$1197,Korrelation!F$4:F$1197,"",0),DMAV_Modell!$G$6:$G$677,0)))</f>
        <v>0</v>
      </c>
      <c r="D140" s="57">
        <f>IF($A140="","",IF(_xlfn.XLOOKUP($A140,Korrelation!$D$4:$D$1197,Korrelation!G$4:G$1197,"-",0)="-",0,MATCH(_xlfn.XLOOKUP($A140,Korrelation!$D$4:$D$1197,Korrelation!G$4:G$1197,"",0),DMAV_Modell!$G$6:$G$677,0)))</f>
        <v>0</v>
      </c>
      <c r="E140" s="57">
        <f>IF($A140="","",IF(_xlfn.XLOOKUP($A140,Korrelation!$D$4:$D$1197,Korrelation!H$4:H$1197,"-",0)="-",0,MATCH(_xlfn.XLOOKUP($A140,Korrelation!$D$4:$D$1197,Korrelation!H$4:H$1197,"",0),DMAV_Dienste!$F$6:$F$140,0)))</f>
        <v>37</v>
      </c>
      <c r="F140" s="57">
        <f>IF($A140="","",IF(_xlfn.XLOOKUP($A140,Korrelation!$D$4:$D$1197,Korrelation!I$4:I$1197,"-",0)="-",0,MATCH(_xlfn.XLOOKUP($A140,Korrelation!$D$4:$D$1197,Korrelation!I$4:I$1197,"",0),DMAV_Dienste!$F$6:$F$140,0)))</f>
        <v>0</v>
      </c>
      <c r="G140" s="57">
        <f>IF($A140="","",IF(_xlfn.XLOOKUP($A140,Korrelation!$D$4:$D$1197,Korrelation!J$4:J$1197,"-",0)="-",0,MATCH(_xlfn.XLOOKUP($A140,Korrelation!$D$4:$D$1197,Korrelation!J$4:J$1197,"",0),DMAV_Dienste!$F$6:$F$140,0)))</f>
        <v>0</v>
      </c>
      <c r="H140" s="57">
        <f>IF($A140="","",IF(_xlfn.XLOOKUP($A140,Korrelation!$D$4:$D$1197,Korrelation!K$4:K$1197,"-",0)="-",0,MATCH(_xlfn.XLOOKUP($A140,Korrelation!$D$4:$D$1197,Korrelation!K$4:K$1197,"",0),'DM01-AV-CH'!$A$6:$A$834,0)))</f>
        <v>0</v>
      </c>
      <c r="J140" s="54" t="str" cm="1">
        <f t="array" aca="1" ref="J140" ca="1">IF(B140=0,IF(E140=0,"",HYPERLINK("#"&amp;RIGHT(CELL("adresse",OFFSET(DMAV_Dienste!$M$6,E140-1,0)),LEN(CELL("adresse",OFFSET(DMAV_Dienste!$M$6,E140-1,0)))-FIND("]",CELL("adresse",OFFSET(DMAV_Dienste!$M$6,E140-1,0)))),"Dienst")),HYPERLINK("#"&amp;RIGHT(CELL("adresse",OFFSET(DMAV_Modell!$N$6,B140-1,0)),LEN(CELL("adresse",OFFSET(DMAV_Modell!$N$6,B140-1,0)))-FIND("]",CELL("adresse",OFFSET(DMAV_Modell!$N$6,B140-1,0)))),"Modell"))</f>
        <v>Dienst</v>
      </c>
      <c r="K140" s="61" t="str" cm="1">
        <f t="array" ref="K140">IF($B140=0,IF($E140=0,"",IF(INDEX(DMAV_Dienste!P$6:P$140,$E140)="","",INDEX(DMAV_Dienste!P$6:P$140,$E140))),IF(INDEX(DMAV_Modell!Q$6:Q$838,$B140)="","",INDEX(DMAV_Modell!Q$6:Q$838,$B140)))</f>
        <v>CLASS</v>
      </c>
      <c r="L140" s="62" t="str" cm="1">
        <f t="array" ref="L140">IF($B140=0,IF($E140=0,"",IF(INDEX(DMAV_Dienste!O$6:O$140,$E140)="","",INDEX(DMAV_Dienste!O$6:O$140,$E140))),IF(INDEX(DMAV_Modell!P$6:P$838,$B140)="","",INDEX(DMAV_Modell!P$6:P$838,$B140)))</f>
        <v>FixpunkteLV</v>
      </c>
      <c r="M140" s="62" t="str" cm="1">
        <f t="array" ref="M140">IF($B140=0,IF($E140=0,"",IF(INDEX(DMAV_Dienste!Q$6:Q$140,$E140)="","",INDEX(DMAV_Dienste!Q$6:Q$140,$E140))),IF(INDEX(DMAV_Modell!R$6:R$838,$B140)="","",INDEX(DMAV_Modell!R$6:R$838,$B140)))</f>
        <v>LSN</v>
      </c>
      <c r="N140" s="62" t="str" cm="1">
        <f t="array" ref="N140">IF($B140=0,IF($E140=0,"",IF(INDEX(DMAV_Dienste!T$6:T$140,$E140)="","",INDEX(DMAV_Dienste!T$6:T$140,$E140))),IF(INDEX(DMAV_Modell!U$6:U$838,$B140)="","",INDEX(DMAV_Modell!U$6:U$838,$B140)))</f>
        <v>Geometrie</v>
      </c>
      <c r="O140" s="63" t="str" cm="1">
        <f t="array" aca="1" ref="O140" ca="1">IF(C140=0,IF(F140=0,"",HYPERLINK("#"&amp;RIGHT(CELL("adresse",OFFSET(DMAV_Dienste!$M$6,F140-1,0)),LEN(CELL("adresse",OFFSET(DMAV_Dienste!$M$6,F140-1,0)))-FIND("]",CELL("adresse",OFFSET(DMAV_Dienste!$M$6,F140-1,0)))),"Structure")),HYPERLINK("#"&amp;RIGHT(CELL("adresse",OFFSET(DMAV_Modell!$N$6,C140-1,0)),LEN(CELL("adresse",OFFSET(DMAV_Modell!$N$6,C140-1,0)))-FIND("]",CELL("adresse",OFFSET(DMAV_Modell!$N$6,C140-1,0)))),"Structure"))</f>
        <v/>
      </c>
      <c r="P140" s="64" t="str" cm="1">
        <f t="array" aca="1" ref="P140" ca="1">IF(D140=0,IF(G140=0,"",HYPERLINK("#"&amp;RIGHT(CELL("adresse",OFFSET(DMAV_Dienste!$M$6,G140-1,0)),LEN(CELL("adresse",OFFSET(DMAV_Dienste!$M$6,G140-1,0)))-FIND("]",CELL("adresse",OFFSET(DMAV_Dienste!$M$6,G140-1,0)))),"Substructure")),HYPERLINK("#"&amp;RIGHT(CELL("adresse",OFFSET(DMAV_Modell!$N$6,D140-1,0)),LEN(CELL("adresse",OFFSET(DMAV_Modell!$N$6,D140-1,0)))-FIND("]",CELL("adresse",OFFSET(DMAV_Modell!$N$6,D140-1,0)))),"Substructure"))</f>
        <v/>
      </c>
      <c r="R140" s="80"/>
      <c r="T140" s="93"/>
      <c r="U140" s="94"/>
      <c r="V140" s="95"/>
      <c r="W140" s="96"/>
      <c r="Y140" s="85"/>
      <c r="Z140" s="86"/>
      <c r="AA140" s="87"/>
      <c r="AB140" s="88"/>
      <c r="AD140" s="77"/>
      <c r="AF140" s="54" t="str" cm="1">
        <f t="array" aca="1" ref="AF140" ca="1">IF(H140=0,"",HYPERLINK("#"&amp;RIGHT(CELL("adresse",OFFSET('DM01-AV-CH'!$G$6,H140-1,0)),LEN(CELL("adresse",OFFSET('DM01-AV-CH'!$G$6,H140-1,0)))-FIND("]",CELL("adresse",OFFSET('DM01-AV-CH'!$G$6,H140-1,0)))),"Modell"))</f>
        <v/>
      </c>
      <c r="AG140" s="72" t="str" cm="1">
        <f t="array" ref="AG140">IF($H140=0,"",IF(INDEX('DM01-AV-CH'!G$6:G$834,$H140)="","",INDEX('DM01-AV-CH'!G$6:G$834,$H140)))</f>
        <v/>
      </c>
      <c r="AH140" s="73" t="str" cm="1">
        <f t="array" ref="AH140">IF($H140=0,"",IF(INDEX('DM01-AV-CH'!H$6:H$834,$H140)="","",INDEX('DM01-AV-CH'!H$6:H$834,$H140)))</f>
        <v/>
      </c>
      <c r="AI140" s="74" t="str" cm="1">
        <f t="array" ref="AI140">IF($H140=0,"",IF(INDEX('DM01-AV-CH'!I$6:I$834,$H140)="","",INDEX('DM01-AV-CH'!I$6:I$834,$H140)))</f>
        <v/>
      </c>
    </row>
    <row r="141" spans="1:35" x14ac:dyDescent="0.25">
      <c r="A141" s="57">
        <v>136</v>
      </c>
      <c r="B141" s="57">
        <f>IF($A141="","",IF(_xlfn.XLOOKUP($A141,Korrelation!$D$4:$D$1197,Korrelation!E$4:E$1197,"-",0)="-",0,MATCH(_xlfn.XLOOKUP($A141,Korrelation!$D$4:$D$1197,Korrelation!E$4:E$1197,"",0),DMAV_Modell!$G$6:$G$677,0)))</f>
        <v>0</v>
      </c>
      <c r="C141" s="57">
        <f>IF($A141="","",IF(_xlfn.XLOOKUP($A141,Korrelation!$D$4:$D$1197,Korrelation!F$4:F$1197,"-",0)="-",0,MATCH(_xlfn.XLOOKUP($A141,Korrelation!$D$4:$D$1197,Korrelation!F$4:F$1197,"",0),DMAV_Modell!$G$6:$G$677,0)))</f>
        <v>0</v>
      </c>
      <c r="D141" s="57">
        <f>IF($A141="","",IF(_xlfn.XLOOKUP($A141,Korrelation!$D$4:$D$1197,Korrelation!G$4:G$1197,"-",0)="-",0,MATCH(_xlfn.XLOOKUP($A141,Korrelation!$D$4:$D$1197,Korrelation!G$4:G$1197,"",0),DMAV_Modell!$G$6:$G$677,0)))</f>
        <v>0</v>
      </c>
      <c r="E141" s="57">
        <f>IF($A141="","",IF(_xlfn.XLOOKUP($A141,Korrelation!$D$4:$D$1197,Korrelation!H$4:H$1197,"-",0)="-",0,MATCH(_xlfn.XLOOKUP($A141,Korrelation!$D$4:$D$1197,Korrelation!H$4:H$1197,"",0),DMAV_Dienste!$F$6:$F$140,0)))</f>
        <v>38</v>
      </c>
      <c r="F141" s="57">
        <f>IF($A141="","",IF(_xlfn.XLOOKUP($A141,Korrelation!$D$4:$D$1197,Korrelation!I$4:I$1197,"-",0)="-",0,MATCH(_xlfn.XLOOKUP($A141,Korrelation!$D$4:$D$1197,Korrelation!I$4:I$1197,"",0),DMAV_Dienste!$F$6:$F$140,0)))</f>
        <v>0</v>
      </c>
      <c r="G141" s="57">
        <f>IF($A141="","",IF(_xlfn.XLOOKUP($A141,Korrelation!$D$4:$D$1197,Korrelation!J$4:J$1197,"-",0)="-",0,MATCH(_xlfn.XLOOKUP($A141,Korrelation!$D$4:$D$1197,Korrelation!J$4:J$1197,"",0),DMAV_Dienste!$F$6:$F$140,0)))</f>
        <v>0</v>
      </c>
      <c r="H141" s="57">
        <f>IF($A141="","",IF(_xlfn.XLOOKUP($A141,Korrelation!$D$4:$D$1197,Korrelation!K$4:K$1197,"-",0)="-",0,MATCH(_xlfn.XLOOKUP($A141,Korrelation!$D$4:$D$1197,Korrelation!K$4:K$1197,"",0),'DM01-AV-CH'!$A$6:$A$834,0)))</f>
        <v>0</v>
      </c>
      <c r="J141" s="54" t="str" cm="1">
        <f t="array" aca="1" ref="J141" ca="1">IF(B141=0,IF(E141=0,"",HYPERLINK("#"&amp;RIGHT(CELL("adresse",OFFSET(DMAV_Dienste!$M$6,E141-1,0)),LEN(CELL("adresse",OFFSET(DMAV_Dienste!$M$6,E141-1,0)))-FIND("]",CELL("adresse",OFFSET(DMAV_Dienste!$M$6,E141-1,0)))),"Dienst")),HYPERLINK("#"&amp;RIGHT(CELL("adresse",OFFSET(DMAV_Modell!$N$6,B141-1,0)),LEN(CELL("adresse",OFFSET(DMAV_Modell!$N$6,B141-1,0)))-FIND("]",CELL("adresse",OFFSET(DMAV_Modell!$N$6,B141-1,0)))),"Modell"))</f>
        <v>Dienst</v>
      </c>
      <c r="K141" s="61" t="str" cm="1">
        <f t="array" ref="K141">IF($B141=0,IF($E141=0,"",IF(INDEX(DMAV_Dienste!P$6:P$140,$E141)="","",INDEX(DMAV_Dienste!P$6:P$140,$E141))),IF(INDEX(DMAV_Modell!Q$6:Q$838,$B141)="","",INDEX(DMAV_Modell!Q$6:Q$838,$B141)))</f>
        <v>CLASS</v>
      </c>
      <c r="L141" s="62" t="str" cm="1">
        <f t="array" ref="L141">IF($B141=0,IF($E141=0,"",IF(INDEX(DMAV_Dienste!O$6:O$140,$E141)="","",INDEX(DMAV_Dienste!O$6:O$140,$E141))),IF(INDEX(DMAV_Modell!P$6:P$838,$B141)="","",INDEX(DMAV_Modell!P$6:P$838,$B141)))</f>
        <v>FixpunkteLV</v>
      </c>
      <c r="M141" s="62" t="str" cm="1">
        <f t="array" ref="M141">IF($B141=0,IF($E141=0,"",IF(INDEX(DMAV_Dienste!Q$6:Q$140,$E141)="","",INDEX(DMAV_Dienste!Q$6:Q$140,$E141))),IF(INDEX(DMAV_Modell!R$6:R$838,$B141)="","",INDEX(DMAV_Modell!R$6:R$838,$B141)))</f>
        <v>LSN</v>
      </c>
      <c r="N141" s="62" t="str" cm="1">
        <f t="array" ref="N141">IF($B141=0,IF($E141=0,"",IF(INDEX(DMAV_Dienste!T$6:T$140,$E141)="","",INDEX(DMAV_Dienste!T$6:T$140,$E141))),IF(INDEX(DMAV_Modell!U$6:U$838,$B141)="","",INDEX(DMAV_Modell!U$6:U$838,$B141)))</f>
        <v>Hoehengeometrie</v>
      </c>
      <c r="O141" s="63" t="str" cm="1">
        <f t="array" aca="1" ref="O141" ca="1">IF(C141=0,IF(F141=0,"",HYPERLINK("#"&amp;RIGHT(CELL("adresse",OFFSET(DMAV_Dienste!$M$6,F141-1,0)),LEN(CELL("adresse",OFFSET(DMAV_Dienste!$M$6,F141-1,0)))-FIND("]",CELL("adresse",OFFSET(DMAV_Dienste!$M$6,F141-1,0)))),"Structure")),HYPERLINK("#"&amp;RIGHT(CELL("adresse",OFFSET(DMAV_Modell!$N$6,C141-1,0)),LEN(CELL("adresse",OFFSET(DMAV_Modell!$N$6,C141-1,0)))-FIND("]",CELL("adresse",OFFSET(DMAV_Modell!$N$6,C141-1,0)))),"Structure"))</f>
        <v/>
      </c>
      <c r="P141" s="64" t="str" cm="1">
        <f t="array" aca="1" ref="P141" ca="1">IF(D141=0,IF(G141=0,"",HYPERLINK("#"&amp;RIGHT(CELL("adresse",OFFSET(DMAV_Dienste!$M$6,G141-1,0)),LEN(CELL("adresse",OFFSET(DMAV_Dienste!$M$6,G141-1,0)))-FIND("]",CELL("adresse",OFFSET(DMAV_Dienste!$M$6,G141-1,0)))),"Substructure")),HYPERLINK("#"&amp;RIGHT(CELL("adresse",OFFSET(DMAV_Modell!$N$6,D141-1,0)),LEN(CELL("adresse",OFFSET(DMAV_Modell!$N$6,D141-1,0)))-FIND("]",CELL("adresse",OFFSET(DMAV_Modell!$N$6,D141-1,0)))),"Substructure"))</f>
        <v/>
      </c>
      <c r="R141" s="80"/>
      <c r="T141" s="93"/>
      <c r="U141" s="94"/>
      <c r="V141" s="95"/>
      <c r="W141" s="96"/>
      <c r="Y141" s="85"/>
      <c r="Z141" s="86"/>
      <c r="AA141" s="87"/>
      <c r="AB141" s="88"/>
      <c r="AD141" s="77"/>
      <c r="AF141" s="54" t="str" cm="1">
        <f t="array" aca="1" ref="AF141" ca="1">IF(H141=0,"",HYPERLINK("#"&amp;RIGHT(CELL("adresse",OFFSET('DM01-AV-CH'!$G$6,H141-1,0)),LEN(CELL("adresse",OFFSET('DM01-AV-CH'!$G$6,H141-1,0)))-FIND("]",CELL("adresse",OFFSET('DM01-AV-CH'!$G$6,H141-1,0)))),"Modell"))</f>
        <v/>
      </c>
      <c r="AG141" s="72" t="str" cm="1">
        <f t="array" ref="AG141">IF($H141=0,"",IF(INDEX('DM01-AV-CH'!G$6:G$834,$H141)="","",INDEX('DM01-AV-CH'!G$6:G$834,$H141)))</f>
        <v/>
      </c>
      <c r="AH141" s="73" t="str" cm="1">
        <f t="array" ref="AH141">IF($H141=0,"",IF(INDEX('DM01-AV-CH'!H$6:H$834,$H141)="","",INDEX('DM01-AV-CH'!H$6:H$834,$H141)))</f>
        <v/>
      </c>
      <c r="AI141" s="74" t="str" cm="1">
        <f t="array" ref="AI141">IF($H141=0,"",IF(INDEX('DM01-AV-CH'!I$6:I$834,$H141)="","",INDEX('DM01-AV-CH'!I$6:I$834,$H141)))</f>
        <v/>
      </c>
    </row>
    <row r="142" spans="1:35" x14ac:dyDescent="0.25">
      <c r="A142" s="57">
        <v>137</v>
      </c>
      <c r="B142" s="57">
        <f>IF($A142="","",IF(_xlfn.XLOOKUP($A142,Korrelation!$D$4:$D$1197,Korrelation!E$4:E$1197,"-",0)="-",0,MATCH(_xlfn.XLOOKUP($A142,Korrelation!$D$4:$D$1197,Korrelation!E$4:E$1197,"",0),DMAV_Modell!$G$6:$G$677,0)))</f>
        <v>0</v>
      </c>
      <c r="C142" s="57">
        <f>IF($A142="","",IF(_xlfn.XLOOKUP($A142,Korrelation!$D$4:$D$1197,Korrelation!F$4:F$1197,"-",0)="-",0,MATCH(_xlfn.XLOOKUP($A142,Korrelation!$D$4:$D$1197,Korrelation!F$4:F$1197,"",0),DMAV_Modell!$G$6:$G$677,0)))</f>
        <v>0</v>
      </c>
      <c r="D142" s="57">
        <f>IF($A142="","",IF(_xlfn.XLOOKUP($A142,Korrelation!$D$4:$D$1197,Korrelation!G$4:G$1197,"-",0)="-",0,MATCH(_xlfn.XLOOKUP($A142,Korrelation!$D$4:$D$1197,Korrelation!G$4:G$1197,"",0),DMAV_Modell!$G$6:$G$677,0)))</f>
        <v>0</v>
      </c>
      <c r="E142" s="57">
        <f>IF($A142="","",IF(_xlfn.XLOOKUP($A142,Korrelation!$D$4:$D$1197,Korrelation!H$4:H$1197,"-",0)="-",0,MATCH(_xlfn.XLOOKUP($A142,Korrelation!$D$4:$D$1197,Korrelation!H$4:H$1197,"",0),DMAV_Dienste!$F$6:$F$140,0)))</f>
        <v>39</v>
      </c>
      <c r="F142" s="57">
        <f>IF($A142="","",IF(_xlfn.XLOOKUP($A142,Korrelation!$D$4:$D$1197,Korrelation!I$4:I$1197,"-",0)="-",0,MATCH(_xlfn.XLOOKUP($A142,Korrelation!$D$4:$D$1197,Korrelation!I$4:I$1197,"",0),DMAV_Dienste!$F$6:$F$140,0)))</f>
        <v>0</v>
      </c>
      <c r="G142" s="57">
        <f>IF($A142="","",IF(_xlfn.XLOOKUP($A142,Korrelation!$D$4:$D$1197,Korrelation!J$4:J$1197,"-",0)="-",0,MATCH(_xlfn.XLOOKUP($A142,Korrelation!$D$4:$D$1197,Korrelation!J$4:J$1197,"",0),DMAV_Dienste!$F$6:$F$140,0)))</f>
        <v>0</v>
      </c>
      <c r="H142" s="57">
        <f>IF($A142="","",IF(_xlfn.XLOOKUP($A142,Korrelation!$D$4:$D$1197,Korrelation!K$4:K$1197,"-",0)="-",0,MATCH(_xlfn.XLOOKUP($A142,Korrelation!$D$4:$D$1197,Korrelation!K$4:K$1197,"",0),'DM01-AV-CH'!$A$6:$A$834,0)))</f>
        <v>0</v>
      </c>
      <c r="J142" s="54" t="str" cm="1">
        <f t="array" aca="1" ref="J142" ca="1">IF(B142=0,IF(E142=0,"",HYPERLINK("#"&amp;RIGHT(CELL("adresse",OFFSET(DMAV_Dienste!$M$6,E142-1,0)),LEN(CELL("adresse",OFFSET(DMAV_Dienste!$M$6,E142-1,0)))-FIND("]",CELL("adresse",OFFSET(DMAV_Dienste!$M$6,E142-1,0)))),"Dienst")),HYPERLINK("#"&amp;RIGHT(CELL("adresse",OFFSET(DMAV_Modell!$N$6,B142-1,0)),LEN(CELL("adresse",OFFSET(DMAV_Modell!$N$6,B142-1,0)))-FIND("]",CELL("adresse",OFFSET(DMAV_Modell!$N$6,B142-1,0)))),"Modell"))</f>
        <v>Dienst</v>
      </c>
      <c r="K142" s="61" t="str" cm="1">
        <f t="array" ref="K142">IF($B142=0,IF($E142=0,"",IF(INDEX(DMAV_Dienste!P$6:P$140,$E142)="","",INDEX(DMAV_Dienste!P$6:P$140,$E142))),IF(INDEX(DMAV_Modell!Q$6:Q$838,$B142)="","",INDEX(DMAV_Modell!Q$6:Q$838,$B142)))</f>
        <v>CLASS</v>
      </c>
      <c r="L142" s="62" t="str" cm="1">
        <f t="array" ref="L142">IF($B142=0,IF($E142=0,"",IF(INDEX(DMAV_Dienste!O$6:O$140,$E142)="","",INDEX(DMAV_Dienste!O$6:O$140,$E142))),IF(INDEX(DMAV_Modell!P$6:P$838,$B142)="","",INDEX(DMAV_Modell!P$6:P$838,$B142)))</f>
        <v>FixpunkteLV</v>
      </c>
      <c r="M142" s="62" t="str" cm="1">
        <f t="array" ref="M142">IF($B142=0,IF($E142=0,"",IF(INDEX(DMAV_Dienste!Q$6:Q$140,$E142)="","",INDEX(DMAV_Dienste!Q$6:Q$140,$E142))),IF(INDEX(DMAV_Modell!R$6:R$838,$B142)="","",INDEX(DMAV_Modell!R$6:R$838,$B142)))</f>
        <v>LSN</v>
      </c>
      <c r="N142" s="62" t="str" cm="1">
        <f t="array" ref="N142">IF($B142=0,IF($E142=0,"",IF(INDEX(DMAV_Dienste!T$6:T$140,$E142)="","",INDEX(DMAV_Dienste!T$6:T$140,$E142))),IF(INDEX(DMAV_Modell!U$6:U$838,$B142)="","",INDEX(DMAV_Modell!U$6:U$838,$B142)))</f>
        <v>LatEtrs</v>
      </c>
      <c r="O142" s="63" t="str" cm="1">
        <f t="array" aca="1" ref="O142" ca="1">IF(C142=0,IF(F142=0,"",HYPERLINK("#"&amp;RIGHT(CELL("adresse",OFFSET(DMAV_Dienste!$M$6,F142-1,0)),LEN(CELL("adresse",OFFSET(DMAV_Dienste!$M$6,F142-1,0)))-FIND("]",CELL("adresse",OFFSET(DMAV_Dienste!$M$6,F142-1,0)))),"Structure")),HYPERLINK("#"&amp;RIGHT(CELL("adresse",OFFSET(DMAV_Modell!$N$6,C142-1,0)),LEN(CELL("adresse",OFFSET(DMAV_Modell!$N$6,C142-1,0)))-FIND("]",CELL("adresse",OFFSET(DMAV_Modell!$N$6,C142-1,0)))),"Structure"))</f>
        <v/>
      </c>
      <c r="P142" s="64" t="str" cm="1">
        <f t="array" aca="1" ref="P142" ca="1">IF(D142=0,IF(G142=0,"",HYPERLINK("#"&amp;RIGHT(CELL("adresse",OFFSET(DMAV_Dienste!$M$6,G142-1,0)),LEN(CELL("adresse",OFFSET(DMAV_Dienste!$M$6,G142-1,0)))-FIND("]",CELL("adresse",OFFSET(DMAV_Dienste!$M$6,G142-1,0)))),"Substructure")),HYPERLINK("#"&amp;RIGHT(CELL("adresse",OFFSET(DMAV_Modell!$N$6,D142-1,0)),LEN(CELL("adresse",OFFSET(DMAV_Modell!$N$6,D142-1,0)))-FIND("]",CELL("adresse",OFFSET(DMAV_Modell!$N$6,D142-1,0)))),"Substructure"))</f>
        <v/>
      </c>
      <c r="R142" s="80"/>
      <c r="T142" s="93"/>
      <c r="U142" s="94"/>
      <c r="V142" s="95"/>
      <c r="W142" s="96"/>
      <c r="Y142" s="85"/>
      <c r="Z142" s="86"/>
      <c r="AA142" s="87"/>
      <c r="AB142" s="88"/>
      <c r="AD142" s="77"/>
      <c r="AF142" s="54" t="str" cm="1">
        <f t="array" aca="1" ref="AF142" ca="1">IF(H142=0,"",HYPERLINK("#"&amp;RIGHT(CELL("adresse",OFFSET('DM01-AV-CH'!$G$6,H142-1,0)),LEN(CELL("adresse",OFFSET('DM01-AV-CH'!$G$6,H142-1,0)))-FIND("]",CELL("adresse",OFFSET('DM01-AV-CH'!$G$6,H142-1,0)))),"Modell"))</f>
        <v/>
      </c>
      <c r="AG142" s="72" t="str" cm="1">
        <f t="array" ref="AG142">IF($H142=0,"",IF(INDEX('DM01-AV-CH'!G$6:G$834,$H142)="","",INDEX('DM01-AV-CH'!G$6:G$834,$H142)))</f>
        <v/>
      </c>
      <c r="AH142" s="73" t="str" cm="1">
        <f t="array" ref="AH142">IF($H142=0,"",IF(INDEX('DM01-AV-CH'!H$6:H$834,$H142)="","",INDEX('DM01-AV-CH'!H$6:H$834,$H142)))</f>
        <v/>
      </c>
      <c r="AI142" s="74" t="str" cm="1">
        <f t="array" ref="AI142">IF($H142=0,"",IF(INDEX('DM01-AV-CH'!I$6:I$834,$H142)="","",INDEX('DM01-AV-CH'!I$6:I$834,$H142)))</f>
        <v/>
      </c>
    </row>
    <row r="143" spans="1:35" x14ac:dyDescent="0.25">
      <c r="A143" s="57">
        <v>138</v>
      </c>
      <c r="B143" s="57">
        <f>IF($A143="","",IF(_xlfn.XLOOKUP($A143,Korrelation!$D$4:$D$1197,Korrelation!E$4:E$1197,"-",0)="-",0,MATCH(_xlfn.XLOOKUP($A143,Korrelation!$D$4:$D$1197,Korrelation!E$4:E$1197,"",0),DMAV_Modell!$G$6:$G$677,0)))</f>
        <v>0</v>
      </c>
      <c r="C143" s="57">
        <f>IF($A143="","",IF(_xlfn.XLOOKUP($A143,Korrelation!$D$4:$D$1197,Korrelation!F$4:F$1197,"-",0)="-",0,MATCH(_xlfn.XLOOKUP($A143,Korrelation!$D$4:$D$1197,Korrelation!F$4:F$1197,"",0),DMAV_Modell!$G$6:$G$677,0)))</f>
        <v>0</v>
      </c>
      <c r="D143" s="57">
        <f>IF($A143="","",IF(_xlfn.XLOOKUP($A143,Korrelation!$D$4:$D$1197,Korrelation!G$4:G$1197,"-",0)="-",0,MATCH(_xlfn.XLOOKUP($A143,Korrelation!$D$4:$D$1197,Korrelation!G$4:G$1197,"",0),DMAV_Modell!$G$6:$G$677,0)))</f>
        <v>0</v>
      </c>
      <c r="E143" s="57">
        <f>IF($A143="","",IF(_xlfn.XLOOKUP($A143,Korrelation!$D$4:$D$1197,Korrelation!H$4:H$1197,"-",0)="-",0,MATCH(_xlfn.XLOOKUP($A143,Korrelation!$D$4:$D$1197,Korrelation!H$4:H$1197,"",0),DMAV_Dienste!$F$6:$F$140,0)))</f>
        <v>40</v>
      </c>
      <c r="F143" s="57">
        <f>IF($A143="","",IF(_xlfn.XLOOKUP($A143,Korrelation!$D$4:$D$1197,Korrelation!I$4:I$1197,"-",0)="-",0,MATCH(_xlfn.XLOOKUP($A143,Korrelation!$D$4:$D$1197,Korrelation!I$4:I$1197,"",0),DMAV_Dienste!$F$6:$F$140,0)))</f>
        <v>0</v>
      </c>
      <c r="G143" s="57">
        <f>IF($A143="","",IF(_xlfn.XLOOKUP($A143,Korrelation!$D$4:$D$1197,Korrelation!J$4:J$1197,"-",0)="-",0,MATCH(_xlfn.XLOOKUP($A143,Korrelation!$D$4:$D$1197,Korrelation!J$4:J$1197,"",0),DMAV_Dienste!$F$6:$F$140,0)))</f>
        <v>0</v>
      </c>
      <c r="H143" s="57">
        <f>IF($A143="","",IF(_xlfn.XLOOKUP($A143,Korrelation!$D$4:$D$1197,Korrelation!K$4:K$1197,"-",0)="-",0,MATCH(_xlfn.XLOOKUP($A143,Korrelation!$D$4:$D$1197,Korrelation!K$4:K$1197,"",0),'DM01-AV-CH'!$A$6:$A$834,0)))</f>
        <v>0</v>
      </c>
      <c r="J143" s="54" t="str" cm="1">
        <f t="array" aca="1" ref="J143" ca="1">IF(B143=0,IF(E143=0,"",HYPERLINK("#"&amp;RIGHT(CELL("adresse",OFFSET(DMAV_Dienste!$M$6,E143-1,0)),LEN(CELL("adresse",OFFSET(DMAV_Dienste!$M$6,E143-1,0)))-FIND("]",CELL("adresse",OFFSET(DMAV_Dienste!$M$6,E143-1,0)))),"Dienst")),HYPERLINK("#"&amp;RIGHT(CELL("adresse",OFFSET(DMAV_Modell!$N$6,B143-1,0)),LEN(CELL("adresse",OFFSET(DMAV_Modell!$N$6,B143-1,0)))-FIND("]",CELL("adresse",OFFSET(DMAV_Modell!$N$6,B143-1,0)))),"Modell"))</f>
        <v>Dienst</v>
      </c>
      <c r="K143" s="61" t="str" cm="1">
        <f t="array" ref="K143">IF($B143=0,IF($E143=0,"",IF(INDEX(DMAV_Dienste!P$6:P$140,$E143)="","",INDEX(DMAV_Dienste!P$6:P$140,$E143))),IF(INDEX(DMAV_Modell!Q$6:Q$838,$B143)="","",INDEX(DMAV_Modell!Q$6:Q$838,$B143)))</f>
        <v>CLASS</v>
      </c>
      <c r="L143" s="62" t="str" cm="1">
        <f t="array" ref="L143">IF($B143=0,IF($E143=0,"",IF(INDEX(DMAV_Dienste!O$6:O$140,$E143)="","",INDEX(DMAV_Dienste!O$6:O$140,$E143))),IF(INDEX(DMAV_Modell!P$6:P$838,$B143)="","",INDEX(DMAV_Modell!P$6:P$838,$B143)))</f>
        <v>FixpunkteLV</v>
      </c>
      <c r="M143" s="62" t="str" cm="1">
        <f t="array" ref="M143">IF($B143=0,IF($E143=0,"",IF(INDEX(DMAV_Dienste!Q$6:Q$140,$E143)="","",INDEX(DMAV_Dienste!Q$6:Q$140,$E143))),IF(INDEX(DMAV_Modell!R$6:R$838,$B143)="","",INDEX(DMAV_Modell!R$6:R$838,$B143)))</f>
        <v>LSN</v>
      </c>
      <c r="N143" s="62" t="str" cm="1">
        <f t="array" ref="N143">IF($B143=0,IF($E143=0,"",IF(INDEX(DMAV_Dienste!T$6:T$140,$E143)="","",INDEX(DMAV_Dienste!T$6:T$140,$E143))),IF(INDEX(DMAV_Modell!U$6:U$838,$B143)="","",INDEX(DMAV_Modell!U$6:U$838,$B143)))</f>
        <v>LonEtrs</v>
      </c>
      <c r="O143" s="63" t="str" cm="1">
        <f t="array" aca="1" ref="O143" ca="1">IF(C143=0,IF(F143=0,"",HYPERLINK("#"&amp;RIGHT(CELL("adresse",OFFSET(DMAV_Dienste!$M$6,F143-1,0)),LEN(CELL("adresse",OFFSET(DMAV_Dienste!$M$6,F143-1,0)))-FIND("]",CELL("adresse",OFFSET(DMAV_Dienste!$M$6,F143-1,0)))),"Structure")),HYPERLINK("#"&amp;RIGHT(CELL("adresse",OFFSET(DMAV_Modell!$N$6,C143-1,0)),LEN(CELL("adresse",OFFSET(DMAV_Modell!$N$6,C143-1,0)))-FIND("]",CELL("adresse",OFFSET(DMAV_Modell!$N$6,C143-1,0)))),"Structure"))</f>
        <v/>
      </c>
      <c r="P143" s="64" t="str" cm="1">
        <f t="array" aca="1" ref="P143" ca="1">IF(D143=0,IF(G143=0,"",HYPERLINK("#"&amp;RIGHT(CELL("adresse",OFFSET(DMAV_Dienste!$M$6,G143-1,0)),LEN(CELL("adresse",OFFSET(DMAV_Dienste!$M$6,G143-1,0)))-FIND("]",CELL("adresse",OFFSET(DMAV_Dienste!$M$6,G143-1,0)))),"Substructure")),HYPERLINK("#"&amp;RIGHT(CELL("adresse",OFFSET(DMAV_Modell!$N$6,D143-1,0)),LEN(CELL("adresse",OFFSET(DMAV_Modell!$N$6,D143-1,0)))-FIND("]",CELL("adresse",OFFSET(DMAV_Modell!$N$6,D143-1,0)))),"Substructure"))</f>
        <v/>
      </c>
      <c r="R143" s="80"/>
      <c r="T143" s="93"/>
      <c r="U143" s="94"/>
      <c r="V143" s="95"/>
      <c r="W143" s="96"/>
      <c r="Y143" s="85"/>
      <c r="Z143" s="86"/>
      <c r="AA143" s="87"/>
      <c r="AB143" s="88"/>
      <c r="AD143" s="77"/>
      <c r="AF143" s="54" t="str" cm="1">
        <f t="array" aca="1" ref="AF143" ca="1">IF(H143=0,"",HYPERLINK("#"&amp;RIGHT(CELL("adresse",OFFSET('DM01-AV-CH'!$G$6,H143-1,0)),LEN(CELL("adresse",OFFSET('DM01-AV-CH'!$G$6,H143-1,0)))-FIND("]",CELL("adresse",OFFSET('DM01-AV-CH'!$G$6,H143-1,0)))),"Modell"))</f>
        <v/>
      </c>
      <c r="AG143" s="72" t="str" cm="1">
        <f t="array" ref="AG143">IF($H143=0,"",IF(INDEX('DM01-AV-CH'!G$6:G$834,$H143)="","",INDEX('DM01-AV-CH'!G$6:G$834,$H143)))</f>
        <v/>
      </c>
      <c r="AH143" s="73" t="str" cm="1">
        <f t="array" ref="AH143">IF($H143=0,"",IF(INDEX('DM01-AV-CH'!H$6:H$834,$H143)="","",INDEX('DM01-AV-CH'!H$6:H$834,$H143)))</f>
        <v/>
      </c>
      <c r="AI143" s="74" t="str" cm="1">
        <f t="array" ref="AI143">IF($H143=0,"",IF(INDEX('DM01-AV-CH'!I$6:I$834,$H143)="","",INDEX('DM01-AV-CH'!I$6:I$834,$H143)))</f>
        <v/>
      </c>
    </row>
    <row r="144" spans="1:35" x14ac:dyDescent="0.25">
      <c r="A144" s="57">
        <v>139</v>
      </c>
      <c r="B144" s="57">
        <f>IF($A144="","",IF(_xlfn.XLOOKUP($A144,Korrelation!$D$4:$D$1197,Korrelation!E$4:E$1197,"-",0)="-",0,MATCH(_xlfn.XLOOKUP($A144,Korrelation!$D$4:$D$1197,Korrelation!E$4:E$1197,"",0),DMAV_Modell!$G$6:$G$677,0)))</f>
        <v>0</v>
      </c>
      <c r="C144" s="57">
        <f>IF($A144="","",IF(_xlfn.XLOOKUP($A144,Korrelation!$D$4:$D$1197,Korrelation!F$4:F$1197,"-",0)="-",0,MATCH(_xlfn.XLOOKUP($A144,Korrelation!$D$4:$D$1197,Korrelation!F$4:F$1197,"",0),DMAV_Modell!$G$6:$G$677,0)))</f>
        <v>0</v>
      </c>
      <c r="D144" s="57">
        <f>IF($A144="","",IF(_xlfn.XLOOKUP($A144,Korrelation!$D$4:$D$1197,Korrelation!G$4:G$1197,"-",0)="-",0,MATCH(_xlfn.XLOOKUP($A144,Korrelation!$D$4:$D$1197,Korrelation!G$4:G$1197,"",0),DMAV_Modell!$G$6:$G$677,0)))</f>
        <v>0</v>
      </c>
      <c r="E144" s="57">
        <f>IF($A144="","",IF(_xlfn.XLOOKUP($A144,Korrelation!$D$4:$D$1197,Korrelation!H$4:H$1197,"-",0)="-",0,MATCH(_xlfn.XLOOKUP($A144,Korrelation!$D$4:$D$1197,Korrelation!H$4:H$1197,"",0),DMAV_Dienste!$F$6:$F$140,0)))</f>
        <v>41</v>
      </c>
      <c r="F144" s="57">
        <f>IF($A144="","",IF(_xlfn.XLOOKUP($A144,Korrelation!$D$4:$D$1197,Korrelation!I$4:I$1197,"-",0)="-",0,MATCH(_xlfn.XLOOKUP($A144,Korrelation!$D$4:$D$1197,Korrelation!I$4:I$1197,"",0),DMAV_Dienste!$F$6:$F$140,0)))</f>
        <v>0</v>
      </c>
      <c r="G144" s="57">
        <f>IF($A144="","",IF(_xlfn.XLOOKUP($A144,Korrelation!$D$4:$D$1197,Korrelation!J$4:J$1197,"-",0)="-",0,MATCH(_xlfn.XLOOKUP($A144,Korrelation!$D$4:$D$1197,Korrelation!J$4:J$1197,"",0),DMAV_Dienste!$F$6:$F$140,0)))</f>
        <v>0</v>
      </c>
      <c r="H144" s="57">
        <f>IF($A144="","",IF(_xlfn.XLOOKUP($A144,Korrelation!$D$4:$D$1197,Korrelation!K$4:K$1197,"-",0)="-",0,MATCH(_xlfn.XLOOKUP($A144,Korrelation!$D$4:$D$1197,Korrelation!K$4:K$1197,"",0),'DM01-AV-CH'!$A$6:$A$834,0)))</f>
        <v>0</v>
      </c>
      <c r="J144" s="54" t="str" cm="1">
        <f t="array" aca="1" ref="J144" ca="1">IF(B144=0,IF(E144=0,"",HYPERLINK("#"&amp;RIGHT(CELL("adresse",OFFSET(DMAV_Dienste!$M$6,E144-1,0)),LEN(CELL("adresse",OFFSET(DMAV_Dienste!$M$6,E144-1,0)))-FIND("]",CELL("adresse",OFFSET(DMAV_Dienste!$M$6,E144-1,0)))),"Dienst")),HYPERLINK("#"&amp;RIGHT(CELL("adresse",OFFSET(DMAV_Modell!$N$6,B144-1,0)),LEN(CELL("adresse",OFFSET(DMAV_Modell!$N$6,B144-1,0)))-FIND("]",CELL("adresse",OFFSET(DMAV_Modell!$N$6,B144-1,0)))),"Modell"))</f>
        <v>Dienst</v>
      </c>
      <c r="K144" s="61" t="str" cm="1">
        <f t="array" ref="K144">IF($B144=0,IF($E144=0,"",IF(INDEX(DMAV_Dienste!P$6:P$140,$E144)="","",INDEX(DMAV_Dienste!P$6:P$140,$E144))),IF(INDEX(DMAV_Modell!Q$6:Q$838,$B144)="","",INDEX(DMAV_Modell!Q$6:Q$838,$B144)))</f>
        <v>CLASS</v>
      </c>
      <c r="L144" s="62" t="str" cm="1">
        <f t="array" ref="L144">IF($B144=0,IF($E144=0,"",IF(INDEX(DMAV_Dienste!O$6:O$140,$E144)="","",INDEX(DMAV_Dienste!O$6:O$140,$E144))),IF(INDEX(DMAV_Modell!P$6:P$838,$B144)="","",INDEX(DMAV_Modell!P$6:P$838,$B144)))</f>
        <v>FixpunkteLV</v>
      </c>
      <c r="M144" s="62" t="str" cm="1">
        <f t="array" ref="M144">IF($B144=0,IF($E144=0,"",IF(INDEX(DMAV_Dienste!Q$6:Q$140,$E144)="","",INDEX(DMAV_Dienste!Q$6:Q$140,$E144))),IF(INDEX(DMAV_Modell!R$6:R$838,$B144)="","",INDEX(DMAV_Modell!R$6:R$838,$B144)))</f>
        <v>LSN</v>
      </c>
      <c r="N144" s="62" t="str" cm="1">
        <f t="array" ref="N144">IF($B144=0,IF($E144=0,"",IF(INDEX(DMAV_Dienste!T$6:T$140,$E144)="","",INDEX(DMAV_Dienste!T$6:T$140,$E144))),IF(INDEX(DMAV_Modell!U$6:U$838,$B144)="","",INDEX(DMAV_Modell!U$6:U$838,$B144)))</f>
        <v>VertGrad</v>
      </c>
      <c r="O144" s="63" t="str" cm="1">
        <f t="array" aca="1" ref="O144" ca="1">IF(C144=0,IF(F144=0,"",HYPERLINK("#"&amp;RIGHT(CELL("adresse",OFFSET(DMAV_Dienste!$M$6,F144-1,0)),LEN(CELL("adresse",OFFSET(DMAV_Dienste!$M$6,F144-1,0)))-FIND("]",CELL("adresse",OFFSET(DMAV_Dienste!$M$6,F144-1,0)))),"Structure")),HYPERLINK("#"&amp;RIGHT(CELL("adresse",OFFSET(DMAV_Modell!$N$6,C144-1,0)),LEN(CELL("adresse",OFFSET(DMAV_Modell!$N$6,C144-1,0)))-FIND("]",CELL("adresse",OFFSET(DMAV_Modell!$N$6,C144-1,0)))),"Structure"))</f>
        <v/>
      </c>
      <c r="P144" s="64" t="str" cm="1">
        <f t="array" aca="1" ref="P144" ca="1">IF(D144=0,IF(G144=0,"",HYPERLINK("#"&amp;RIGHT(CELL("adresse",OFFSET(DMAV_Dienste!$M$6,G144-1,0)),LEN(CELL("adresse",OFFSET(DMAV_Dienste!$M$6,G144-1,0)))-FIND("]",CELL("adresse",OFFSET(DMAV_Dienste!$M$6,G144-1,0)))),"Substructure")),HYPERLINK("#"&amp;RIGHT(CELL("adresse",OFFSET(DMAV_Modell!$N$6,D144-1,0)),LEN(CELL("adresse",OFFSET(DMAV_Modell!$N$6,D144-1,0)))-FIND("]",CELL("adresse",OFFSET(DMAV_Modell!$N$6,D144-1,0)))),"Substructure"))</f>
        <v/>
      </c>
      <c r="R144" s="80"/>
      <c r="T144" s="93"/>
      <c r="U144" s="94"/>
      <c r="V144" s="95"/>
      <c r="W144" s="96"/>
      <c r="Y144" s="85"/>
      <c r="Z144" s="86"/>
      <c r="AA144" s="87"/>
      <c r="AB144" s="88"/>
      <c r="AD144" s="77"/>
      <c r="AF144" s="54" t="str" cm="1">
        <f t="array" aca="1" ref="AF144" ca="1">IF(H144=0,"",HYPERLINK("#"&amp;RIGHT(CELL("adresse",OFFSET('DM01-AV-CH'!$G$6,H144-1,0)),LEN(CELL("adresse",OFFSET('DM01-AV-CH'!$G$6,H144-1,0)))-FIND("]",CELL("adresse",OFFSET('DM01-AV-CH'!$G$6,H144-1,0)))),"Modell"))</f>
        <v/>
      </c>
      <c r="AG144" s="72" t="str" cm="1">
        <f t="array" ref="AG144">IF($H144=0,"",IF(INDEX('DM01-AV-CH'!G$6:G$834,$H144)="","",INDEX('DM01-AV-CH'!G$6:G$834,$H144)))</f>
        <v/>
      </c>
      <c r="AH144" s="73" t="str" cm="1">
        <f t="array" ref="AH144">IF($H144=0,"",IF(INDEX('DM01-AV-CH'!H$6:H$834,$H144)="","",INDEX('DM01-AV-CH'!H$6:H$834,$H144)))</f>
        <v/>
      </c>
      <c r="AI144" s="74" t="str" cm="1">
        <f t="array" ref="AI144">IF($H144=0,"",IF(INDEX('DM01-AV-CH'!I$6:I$834,$H144)="","",INDEX('DM01-AV-CH'!I$6:I$834,$H144)))</f>
        <v/>
      </c>
    </row>
    <row r="145" spans="1:35" x14ac:dyDescent="0.25">
      <c r="A145" s="57">
        <v>140</v>
      </c>
      <c r="B145" s="57">
        <f>IF($A145="","",IF(_xlfn.XLOOKUP($A145,Korrelation!$D$4:$D$1197,Korrelation!E$4:E$1197,"-",0)="-",0,MATCH(_xlfn.XLOOKUP($A145,Korrelation!$D$4:$D$1197,Korrelation!E$4:E$1197,"",0),DMAV_Modell!$G$6:$G$677,0)))</f>
        <v>0</v>
      </c>
      <c r="C145" s="57">
        <f>IF($A145="","",IF(_xlfn.XLOOKUP($A145,Korrelation!$D$4:$D$1197,Korrelation!F$4:F$1197,"-",0)="-",0,MATCH(_xlfn.XLOOKUP($A145,Korrelation!$D$4:$D$1197,Korrelation!F$4:F$1197,"",0),DMAV_Modell!$G$6:$G$677,0)))</f>
        <v>0</v>
      </c>
      <c r="D145" s="57">
        <f>IF($A145="","",IF(_xlfn.XLOOKUP($A145,Korrelation!$D$4:$D$1197,Korrelation!G$4:G$1197,"-",0)="-",0,MATCH(_xlfn.XLOOKUP($A145,Korrelation!$D$4:$D$1197,Korrelation!G$4:G$1197,"",0),DMAV_Modell!$G$6:$G$677,0)))</f>
        <v>0</v>
      </c>
      <c r="E145" s="57">
        <f>IF($A145="","",IF(_xlfn.XLOOKUP($A145,Korrelation!$D$4:$D$1197,Korrelation!H$4:H$1197,"-",0)="-",0,MATCH(_xlfn.XLOOKUP($A145,Korrelation!$D$4:$D$1197,Korrelation!H$4:H$1197,"",0),DMAV_Dienste!$F$6:$F$140,0)))</f>
        <v>42</v>
      </c>
      <c r="F145" s="57">
        <f>IF($A145="","",IF(_xlfn.XLOOKUP($A145,Korrelation!$D$4:$D$1197,Korrelation!I$4:I$1197,"-",0)="-",0,MATCH(_xlfn.XLOOKUP($A145,Korrelation!$D$4:$D$1197,Korrelation!I$4:I$1197,"",0),DMAV_Dienste!$F$6:$F$140,0)))</f>
        <v>0</v>
      </c>
      <c r="G145" s="57">
        <f>IF($A145="","",IF(_xlfn.XLOOKUP($A145,Korrelation!$D$4:$D$1197,Korrelation!J$4:J$1197,"-",0)="-",0,MATCH(_xlfn.XLOOKUP($A145,Korrelation!$D$4:$D$1197,Korrelation!J$4:J$1197,"",0),DMAV_Dienste!$F$6:$F$140,0)))</f>
        <v>0</v>
      </c>
      <c r="H145" s="57">
        <f>IF($A145="","",IF(_xlfn.XLOOKUP($A145,Korrelation!$D$4:$D$1197,Korrelation!K$4:K$1197,"-",0)="-",0,MATCH(_xlfn.XLOOKUP($A145,Korrelation!$D$4:$D$1197,Korrelation!K$4:K$1197,"",0),'DM01-AV-CH'!$A$6:$A$834,0)))</f>
        <v>0</v>
      </c>
      <c r="J145" s="54" t="str" cm="1">
        <f t="array" aca="1" ref="J145" ca="1">IF(B145=0,IF(E145=0,"",HYPERLINK("#"&amp;RIGHT(CELL("adresse",OFFSET(DMAV_Dienste!$M$6,E145-1,0)),LEN(CELL("adresse",OFFSET(DMAV_Dienste!$M$6,E145-1,0)))-FIND("]",CELL("adresse",OFFSET(DMAV_Dienste!$M$6,E145-1,0)))),"Dienst")),HYPERLINK("#"&amp;RIGHT(CELL("adresse",OFFSET(DMAV_Modell!$N$6,B145-1,0)),LEN(CELL("adresse",OFFSET(DMAV_Modell!$N$6,B145-1,0)))-FIND("]",CELL("adresse",OFFSET(DMAV_Modell!$N$6,B145-1,0)))),"Modell"))</f>
        <v>Dienst</v>
      </c>
      <c r="K145" s="61" t="str" cm="1">
        <f t="array" ref="K145">IF($B145=0,IF($E145=0,"",IF(INDEX(DMAV_Dienste!P$6:P$140,$E145)="","",INDEX(DMAV_Dienste!P$6:P$140,$E145))),IF(INDEX(DMAV_Modell!Q$6:Q$838,$B145)="","",INDEX(DMAV_Modell!Q$6:Q$838,$B145)))</f>
        <v>CLASS</v>
      </c>
      <c r="L145" s="62" t="str" cm="1">
        <f t="array" ref="L145">IF($B145=0,IF($E145=0,"",IF(INDEX(DMAV_Dienste!O$6:O$140,$E145)="","",INDEX(DMAV_Dienste!O$6:O$140,$E145))),IF(INDEX(DMAV_Modell!P$6:P$838,$B145)="","",INDEX(DMAV_Modell!P$6:P$838,$B145)))</f>
        <v>FixpunkteLV</v>
      </c>
      <c r="M145" s="62" t="str" cm="1">
        <f t="array" ref="M145">IF($B145=0,IF($E145=0,"",IF(INDEX(DMAV_Dienste!Q$6:Q$140,$E145)="","",INDEX(DMAV_Dienste!Q$6:Q$140,$E145))),IF(INDEX(DMAV_Modell!R$6:R$838,$B145)="","",INDEX(DMAV_Modell!R$6:R$838,$B145)))</f>
        <v>LSN</v>
      </c>
      <c r="N145" s="62" t="str" cm="1">
        <f t="array" ref="N145">IF($B145=0,IF($E145=0,"",IF(INDEX(DMAV_Dienste!T$6:T$140,$E145)="","",INDEX(DMAV_Dienste!T$6:T$140,$E145))),IF(INDEX(DMAV_Modell!U$6:U$838,$B145)="","",INDEX(DMAV_Modell!U$6:U$838,$B145)))</f>
        <v>Gravity</v>
      </c>
      <c r="O145" s="63" t="str" cm="1">
        <f t="array" aca="1" ref="O145" ca="1">IF(C145=0,IF(F145=0,"",HYPERLINK("#"&amp;RIGHT(CELL("adresse",OFFSET(DMAV_Dienste!$M$6,F145-1,0)),LEN(CELL("adresse",OFFSET(DMAV_Dienste!$M$6,F145-1,0)))-FIND("]",CELL("adresse",OFFSET(DMAV_Dienste!$M$6,F145-1,0)))),"Structure")),HYPERLINK("#"&amp;RIGHT(CELL("adresse",OFFSET(DMAV_Modell!$N$6,C145-1,0)),LEN(CELL("adresse",OFFSET(DMAV_Modell!$N$6,C145-1,0)))-FIND("]",CELL("adresse",OFFSET(DMAV_Modell!$N$6,C145-1,0)))),"Structure"))</f>
        <v/>
      </c>
      <c r="P145" s="64" t="str" cm="1">
        <f t="array" aca="1" ref="P145" ca="1">IF(D145=0,IF(G145=0,"",HYPERLINK("#"&amp;RIGHT(CELL("adresse",OFFSET(DMAV_Dienste!$M$6,G145-1,0)),LEN(CELL("adresse",OFFSET(DMAV_Dienste!$M$6,G145-1,0)))-FIND("]",CELL("adresse",OFFSET(DMAV_Dienste!$M$6,G145-1,0)))),"Substructure")),HYPERLINK("#"&amp;RIGHT(CELL("adresse",OFFSET(DMAV_Modell!$N$6,D145-1,0)),LEN(CELL("adresse",OFFSET(DMAV_Modell!$N$6,D145-1,0)))-FIND("]",CELL("adresse",OFFSET(DMAV_Modell!$N$6,D145-1,0)))),"Substructure"))</f>
        <v/>
      </c>
      <c r="R145" s="80"/>
      <c r="T145" s="93"/>
      <c r="U145" s="94"/>
      <c r="V145" s="95"/>
      <c r="W145" s="96"/>
      <c r="Y145" s="85"/>
      <c r="Z145" s="86"/>
      <c r="AA145" s="87"/>
      <c r="AB145" s="88"/>
      <c r="AD145" s="77"/>
      <c r="AF145" s="54" t="str" cm="1">
        <f t="array" aca="1" ref="AF145" ca="1">IF(H145=0,"",HYPERLINK("#"&amp;RIGHT(CELL("adresse",OFFSET('DM01-AV-CH'!$G$6,H145-1,0)),LEN(CELL("adresse",OFFSET('DM01-AV-CH'!$G$6,H145-1,0)))-FIND("]",CELL("adresse",OFFSET('DM01-AV-CH'!$G$6,H145-1,0)))),"Modell"))</f>
        <v/>
      </c>
      <c r="AG145" s="72" t="str" cm="1">
        <f t="array" ref="AG145">IF($H145=0,"",IF(INDEX('DM01-AV-CH'!G$6:G$834,$H145)="","",INDEX('DM01-AV-CH'!G$6:G$834,$H145)))</f>
        <v/>
      </c>
      <c r="AH145" s="73" t="str" cm="1">
        <f t="array" ref="AH145">IF($H145=0,"",IF(INDEX('DM01-AV-CH'!H$6:H$834,$H145)="","",INDEX('DM01-AV-CH'!H$6:H$834,$H145)))</f>
        <v/>
      </c>
      <c r="AI145" s="74" t="str" cm="1">
        <f t="array" ref="AI145">IF($H145=0,"",IF(INDEX('DM01-AV-CH'!I$6:I$834,$H145)="","",INDEX('DM01-AV-CH'!I$6:I$834,$H145)))</f>
        <v/>
      </c>
    </row>
    <row r="146" spans="1:35" x14ac:dyDescent="0.25">
      <c r="A146" s="57">
        <v>141</v>
      </c>
      <c r="B146" s="57">
        <f>IF($A146="","",IF(_xlfn.XLOOKUP($A146,Korrelation!$D$4:$D$1197,Korrelation!E$4:E$1197,"-",0)="-",0,MATCH(_xlfn.XLOOKUP($A146,Korrelation!$D$4:$D$1197,Korrelation!E$4:E$1197,"",0),DMAV_Modell!$G$6:$G$677,0)))</f>
        <v>0</v>
      </c>
      <c r="C146" s="57">
        <f>IF($A146="","",IF(_xlfn.XLOOKUP($A146,Korrelation!$D$4:$D$1197,Korrelation!F$4:F$1197,"-",0)="-",0,MATCH(_xlfn.XLOOKUP($A146,Korrelation!$D$4:$D$1197,Korrelation!F$4:F$1197,"",0),DMAV_Modell!$G$6:$G$677,0)))</f>
        <v>0</v>
      </c>
      <c r="D146" s="57">
        <f>IF($A146="","",IF(_xlfn.XLOOKUP($A146,Korrelation!$D$4:$D$1197,Korrelation!G$4:G$1197,"-",0)="-",0,MATCH(_xlfn.XLOOKUP($A146,Korrelation!$D$4:$D$1197,Korrelation!G$4:G$1197,"",0),DMAV_Modell!$G$6:$G$677,0)))</f>
        <v>0</v>
      </c>
      <c r="E146" s="57">
        <f>IF($A146="","",IF(_xlfn.XLOOKUP($A146,Korrelation!$D$4:$D$1197,Korrelation!H$4:H$1197,"-",0)="-",0,MATCH(_xlfn.XLOOKUP($A146,Korrelation!$D$4:$D$1197,Korrelation!H$4:H$1197,"",0),DMAV_Dienste!$F$6:$F$140,0)))</f>
        <v>43</v>
      </c>
      <c r="F146" s="57">
        <f>IF($A146="","",IF(_xlfn.XLOOKUP($A146,Korrelation!$D$4:$D$1197,Korrelation!I$4:I$1197,"-",0)="-",0,MATCH(_xlfn.XLOOKUP($A146,Korrelation!$D$4:$D$1197,Korrelation!I$4:I$1197,"",0),DMAV_Dienste!$F$6:$F$140,0)))</f>
        <v>0</v>
      </c>
      <c r="G146" s="57">
        <f>IF($A146="","",IF(_xlfn.XLOOKUP($A146,Korrelation!$D$4:$D$1197,Korrelation!J$4:J$1197,"-",0)="-",0,MATCH(_xlfn.XLOOKUP($A146,Korrelation!$D$4:$D$1197,Korrelation!J$4:J$1197,"",0),DMAV_Dienste!$F$6:$F$140,0)))</f>
        <v>0</v>
      </c>
      <c r="H146" s="57">
        <f>IF($A146="","",IF(_xlfn.XLOOKUP($A146,Korrelation!$D$4:$D$1197,Korrelation!K$4:K$1197,"-",0)="-",0,MATCH(_xlfn.XLOOKUP($A146,Korrelation!$D$4:$D$1197,Korrelation!K$4:K$1197,"",0),'DM01-AV-CH'!$A$6:$A$834,0)))</f>
        <v>0</v>
      </c>
      <c r="J146" s="54" t="str" cm="1">
        <f t="array" aca="1" ref="J146" ca="1">IF(B146=0,IF(E146=0,"",HYPERLINK("#"&amp;RIGHT(CELL("adresse",OFFSET(DMAV_Dienste!$M$6,E146-1,0)),LEN(CELL("adresse",OFFSET(DMAV_Dienste!$M$6,E146-1,0)))-FIND("]",CELL("adresse",OFFSET(DMAV_Dienste!$M$6,E146-1,0)))),"Dienst")),HYPERLINK("#"&amp;RIGHT(CELL("adresse",OFFSET(DMAV_Modell!$N$6,B146-1,0)),LEN(CELL("adresse",OFFSET(DMAV_Modell!$N$6,B146-1,0)))-FIND("]",CELL("adresse",OFFSET(DMAV_Modell!$N$6,B146-1,0)))),"Modell"))</f>
        <v>Dienst</v>
      </c>
      <c r="K146" s="61" t="str" cm="1">
        <f t="array" ref="K146">IF($B146=0,IF($E146=0,"",IF(INDEX(DMAV_Dienste!P$6:P$140,$E146)="","",INDEX(DMAV_Dienste!P$6:P$140,$E146))),IF(INDEX(DMAV_Modell!Q$6:Q$838,$B146)="","",INDEX(DMAV_Modell!Q$6:Q$838,$B146)))</f>
        <v>CLASS</v>
      </c>
      <c r="L146" s="62" t="str" cm="1">
        <f t="array" ref="L146">IF($B146=0,IF($E146=0,"",IF(INDEX(DMAV_Dienste!O$6:O$140,$E146)="","",INDEX(DMAV_Dienste!O$6:O$140,$E146))),IF(INDEX(DMAV_Modell!P$6:P$838,$B146)="","",INDEX(DMAV_Modell!P$6:P$838,$B146)))</f>
        <v>FixpunkteLV</v>
      </c>
      <c r="M146" s="62" t="str" cm="1">
        <f t="array" ref="M146">IF($B146=0,IF($E146=0,"",IF(INDEX(DMAV_Dienste!Q$6:Q$140,$E146)="","",INDEX(DMAV_Dienste!Q$6:Q$140,$E146))),IF(INDEX(DMAV_Modell!R$6:R$838,$B146)="","",INDEX(DMAV_Modell!R$6:R$838,$B146)))</f>
        <v>LSN</v>
      </c>
      <c r="N146" s="62" t="str" cm="1">
        <f t="array" ref="N146">IF($B146=0,IF($E146=0,"",IF(INDEX(DMAV_Dienste!T$6:T$140,$E146)="","",INDEX(DMAV_Dienste!T$6:T$140,$E146))),IF(INDEX(DMAV_Modell!U$6:U$838,$B146)="","",INDEX(DMAV_Modell!U$6:U$838,$B146)))</f>
        <v>RMS</v>
      </c>
      <c r="O146" s="63" t="str" cm="1">
        <f t="array" aca="1" ref="O146" ca="1">IF(C146=0,IF(F146=0,"",HYPERLINK("#"&amp;RIGHT(CELL("adresse",OFFSET(DMAV_Dienste!$M$6,F146-1,0)),LEN(CELL("adresse",OFFSET(DMAV_Dienste!$M$6,F146-1,0)))-FIND("]",CELL("adresse",OFFSET(DMAV_Dienste!$M$6,F146-1,0)))),"Structure")),HYPERLINK("#"&amp;RIGHT(CELL("adresse",OFFSET(DMAV_Modell!$N$6,C146-1,0)),LEN(CELL("adresse",OFFSET(DMAV_Modell!$N$6,C146-1,0)))-FIND("]",CELL("adresse",OFFSET(DMAV_Modell!$N$6,C146-1,0)))),"Structure"))</f>
        <v/>
      </c>
      <c r="P146" s="64" t="str" cm="1">
        <f t="array" aca="1" ref="P146" ca="1">IF(D146=0,IF(G146=0,"",HYPERLINK("#"&amp;RIGHT(CELL("adresse",OFFSET(DMAV_Dienste!$M$6,G146-1,0)),LEN(CELL("adresse",OFFSET(DMAV_Dienste!$M$6,G146-1,0)))-FIND("]",CELL("adresse",OFFSET(DMAV_Dienste!$M$6,G146-1,0)))),"Substructure")),HYPERLINK("#"&amp;RIGHT(CELL("adresse",OFFSET(DMAV_Modell!$N$6,D146-1,0)),LEN(CELL("adresse",OFFSET(DMAV_Modell!$N$6,D146-1,0)))-FIND("]",CELL("adresse",OFFSET(DMAV_Modell!$N$6,D146-1,0)))),"Substructure"))</f>
        <v/>
      </c>
      <c r="R146" s="80"/>
      <c r="T146" s="93"/>
      <c r="U146" s="94"/>
      <c r="V146" s="95"/>
      <c r="W146" s="96"/>
      <c r="Y146" s="85"/>
      <c r="Z146" s="86"/>
      <c r="AA146" s="87"/>
      <c r="AB146" s="88"/>
      <c r="AD146" s="77"/>
      <c r="AF146" s="54" t="str" cm="1">
        <f t="array" aca="1" ref="AF146" ca="1">IF(H146=0,"",HYPERLINK("#"&amp;RIGHT(CELL("adresse",OFFSET('DM01-AV-CH'!$G$6,H146-1,0)),LEN(CELL("adresse",OFFSET('DM01-AV-CH'!$G$6,H146-1,0)))-FIND("]",CELL("adresse",OFFSET('DM01-AV-CH'!$G$6,H146-1,0)))),"Modell"))</f>
        <v/>
      </c>
      <c r="AG146" s="72" t="str" cm="1">
        <f t="array" ref="AG146">IF($H146=0,"",IF(INDEX('DM01-AV-CH'!G$6:G$834,$H146)="","",INDEX('DM01-AV-CH'!G$6:G$834,$H146)))</f>
        <v/>
      </c>
      <c r="AH146" s="73" t="str" cm="1">
        <f t="array" ref="AH146">IF($H146=0,"",IF(INDEX('DM01-AV-CH'!H$6:H$834,$H146)="","",INDEX('DM01-AV-CH'!H$6:H$834,$H146)))</f>
        <v/>
      </c>
      <c r="AI146" s="74" t="str" cm="1">
        <f t="array" ref="AI146">IF($H146=0,"",IF(INDEX('DM01-AV-CH'!I$6:I$834,$H146)="","",INDEX('DM01-AV-CH'!I$6:I$834,$H146)))</f>
        <v/>
      </c>
    </row>
    <row r="147" spans="1:35" x14ac:dyDescent="0.25">
      <c r="A147" s="57">
        <v>142</v>
      </c>
      <c r="B147" s="57">
        <f>IF($A147="","",IF(_xlfn.XLOOKUP($A147,Korrelation!$D$4:$D$1197,Korrelation!E$4:E$1197,"-",0)="-",0,MATCH(_xlfn.XLOOKUP($A147,Korrelation!$D$4:$D$1197,Korrelation!E$4:E$1197,"",0),DMAV_Modell!$G$6:$G$677,0)))</f>
        <v>0</v>
      </c>
      <c r="C147" s="57">
        <f>IF($A147="","",IF(_xlfn.XLOOKUP($A147,Korrelation!$D$4:$D$1197,Korrelation!F$4:F$1197,"-",0)="-",0,MATCH(_xlfn.XLOOKUP($A147,Korrelation!$D$4:$D$1197,Korrelation!F$4:F$1197,"",0),DMAV_Modell!$G$6:$G$677,0)))</f>
        <v>0</v>
      </c>
      <c r="D147" s="57">
        <f>IF($A147="","",IF(_xlfn.XLOOKUP($A147,Korrelation!$D$4:$D$1197,Korrelation!G$4:G$1197,"-",0)="-",0,MATCH(_xlfn.XLOOKUP($A147,Korrelation!$D$4:$D$1197,Korrelation!G$4:G$1197,"",0),DMAV_Modell!$G$6:$G$677,0)))</f>
        <v>0</v>
      </c>
      <c r="E147" s="57">
        <f>IF($A147="","",IF(_xlfn.XLOOKUP($A147,Korrelation!$D$4:$D$1197,Korrelation!H$4:H$1197,"-",0)="-",0,MATCH(_xlfn.XLOOKUP($A147,Korrelation!$D$4:$D$1197,Korrelation!H$4:H$1197,"",0),DMAV_Dienste!$F$6:$F$140,0)))</f>
        <v>44</v>
      </c>
      <c r="F147" s="57">
        <f>IF($A147="","",IF(_xlfn.XLOOKUP($A147,Korrelation!$D$4:$D$1197,Korrelation!I$4:I$1197,"-",0)="-",0,MATCH(_xlfn.XLOOKUP($A147,Korrelation!$D$4:$D$1197,Korrelation!I$4:I$1197,"",0),DMAV_Dienste!$F$6:$F$140,0)))</f>
        <v>0</v>
      </c>
      <c r="G147" s="57">
        <f>IF($A147="","",IF(_xlfn.XLOOKUP($A147,Korrelation!$D$4:$D$1197,Korrelation!J$4:J$1197,"-",0)="-",0,MATCH(_xlfn.XLOOKUP($A147,Korrelation!$D$4:$D$1197,Korrelation!J$4:J$1197,"",0),DMAV_Dienste!$F$6:$F$140,0)))</f>
        <v>0</v>
      </c>
      <c r="H147" s="57">
        <f>IF($A147="","",IF(_xlfn.XLOOKUP($A147,Korrelation!$D$4:$D$1197,Korrelation!K$4:K$1197,"-",0)="-",0,MATCH(_xlfn.XLOOKUP($A147,Korrelation!$D$4:$D$1197,Korrelation!K$4:K$1197,"",0),'DM01-AV-CH'!$A$6:$A$834,0)))</f>
        <v>0</v>
      </c>
      <c r="J147" s="54" t="str" cm="1">
        <f t="array" aca="1" ref="J147" ca="1">IF(B147=0,IF(E147=0,"",HYPERLINK("#"&amp;RIGHT(CELL("adresse",OFFSET(DMAV_Dienste!$M$6,E147-1,0)),LEN(CELL("adresse",OFFSET(DMAV_Dienste!$M$6,E147-1,0)))-FIND("]",CELL("adresse",OFFSET(DMAV_Dienste!$M$6,E147-1,0)))),"Dienst")),HYPERLINK("#"&amp;RIGHT(CELL("adresse",OFFSET(DMAV_Modell!$N$6,B147-1,0)),LEN(CELL("adresse",OFFSET(DMAV_Modell!$N$6,B147-1,0)))-FIND("]",CELL("adresse",OFFSET(DMAV_Modell!$N$6,B147-1,0)))),"Modell"))</f>
        <v>Dienst</v>
      </c>
      <c r="K147" s="61" t="str" cm="1">
        <f t="array" ref="K147">IF($B147=0,IF($E147=0,"",IF(INDEX(DMAV_Dienste!P$6:P$140,$E147)="","",INDEX(DMAV_Dienste!P$6:P$140,$E147))),IF(INDEX(DMAV_Modell!Q$6:Q$838,$B147)="","",INDEX(DMAV_Modell!Q$6:Q$838,$B147)))</f>
        <v>CLASS</v>
      </c>
      <c r="L147" s="62" t="str" cm="1">
        <f t="array" ref="L147">IF($B147=0,IF($E147=0,"",IF(INDEX(DMAV_Dienste!O$6:O$140,$E147)="","",INDEX(DMAV_Dienste!O$6:O$140,$E147))),IF(INDEX(DMAV_Modell!P$6:P$838,$B147)="","",INDEX(DMAV_Modell!P$6:P$838,$B147)))</f>
        <v>FixpunkteLV</v>
      </c>
      <c r="M147" s="62" t="str" cm="1">
        <f t="array" ref="M147">IF($B147=0,IF($E147=0,"",IF(INDEX(DMAV_Dienste!Q$6:Q$140,$E147)="","",INDEX(DMAV_Dienste!Q$6:Q$140,$E147))),IF(INDEX(DMAV_Modell!R$6:R$838,$B147)="","",INDEX(DMAV_Modell!R$6:R$838,$B147)))</f>
        <v>LSN</v>
      </c>
      <c r="N147" s="62" t="str" cm="1">
        <f t="array" ref="N147">IF($B147=0,IF($E147=0,"",IF(INDEX(DMAV_Dienste!T$6:T$140,$E147)="","",INDEX(DMAV_Dienste!T$6:T$140,$E147))),IF(INDEX(DMAV_Modell!U$6:U$838,$B147)="","",INDEX(DMAV_Modell!U$6:U$838,$B147)))</f>
        <v>Punktname</v>
      </c>
      <c r="O147" s="63" t="str" cm="1">
        <f t="array" aca="1" ref="O147" ca="1">IF(C147=0,IF(F147=0,"",HYPERLINK("#"&amp;RIGHT(CELL("adresse",OFFSET(DMAV_Dienste!$M$6,F147-1,0)),LEN(CELL("adresse",OFFSET(DMAV_Dienste!$M$6,F147-1,0)))-FIND("]",CELL("adresse",OFFSET(DMAV_Dienste!$M$6,F147-1,0)))),"Structure")),HYPERLINK("#"&amp;RIGHT(CELL("adresse",OFFSET(DMAV_Modell!$N$6,C147-1,0)),LEN(CELL("adresse",OFFSET(DMAV_Modell!$N$6,C147-1,0)))-FIND("]",CELL("adresse",OFFSET(DMAV_Modell!$N$6,C147-1,0)))),"Structure"))</f>
        <v/>
      </c>
      <c r="P147" s="64" t="str" cm="1">
        <f t="array" aca="1" ref="P147" ca="1">IF(D147=0,IF(G147=0,"",HYPERLINK("#"&amp;RIGHT(CELL("adresse",OFFSET(DMAV_Dienste!$M$6,G147-1,0)),LEN(CELL("adresse",OFFSET(DMAV_Dienste!$M$6,G147-1,0)))-FIND("]",CELL("adresse",OFFSET(DMAV_Dienste!$M$6,G147-1,0)))),"Substructure")),HYPERLINK("#"&amp;RIGHT(CELL("adresse",OFFSET(DMAV_Modell!$N$6,D147-1,0)),LEN(CELL("adresse",OFFSET(DMAV_Modell!$N$6,D147-1,0)))-FIND("]",CELL("adresse",OFFSET(DMAV_Modell!$N$6,D147-1,0)))),"Substructure"))</f>
        <v/>
      </c>
      <c r="R147" s="80"/>
      <c r="T147" s="93"/>
      <c r="U147" s="94"/>
      <c r="V147" s="95"/>
      <c r="W147" s="96"/>
      <c r="Y147" s="85"/>
      <c r="Z147" s="86"/>
      <c r="AA147" s="87"/>
      <c r="AB147" s="88"/>
      <c r="AD147" s="77"/>
      <c r="AF147" s="54" t="str" cm="1">
        <f t="array" aca="1" ref="AF147" ca="1">IF(H147=0,"",HYPERLINK("#"&amp;RIGHT(CELL("adresse",OFFSET('DM01-AV-CH'!$G$6,H147-1,0)),LEN(CELL("adresse",OFFSET('DM01-AV-CH'!$G$6,H147-1,0)))-FIND("]",CELL("adresse",OFFSET('DM01-AV-CH'!$G$6,H147-1,0)))),"Modell"))</f>
        <v/>
      </c>
      <c r="AG147" s="72" t="str" cm="1">
        <f t="array" ref="AG147">IF($H147=0,"",IF(INDEX('DM01-AV-CH'!G$6:G$834,$H147)="","",INDEX('DM01-AV-CH'!G$6:G$834,$H147)))</f>
        <v/>
      </c>
      <c r="AH147" s="73" t="str" cm="1">
        <f t="array" ref="AH147">IF($H147=0,"",IF(INDEX('DM01-AV-CH'!H$6:H$834,$H147)="","",INDEX('DM01-AV-CH'!H$6:H$834,$H147)))</f>
        <v/>
      </c>
      <c r="AI147" s="74" t="str" cm="1">
        <f t="array" ref="AI147">IF($H147=0,"",IF(INDEX('DM01-AV-CH'!I$6:I$834,$H147)="","",INDEX('DM01-AV-CH'!I$6:I$834,$H147)))</f>
        <v/>
      </c>
    </row>
    <row r="148" spans="1:35" x14ac:dyDescent="0.25">
      <c r="A148" s="57">
        <v>143</v>
      </c>
      <c r="B148" s="57">
        <f>IF($A148="","",IF(_xlfn.XLOOKUP($A148,Korrelation!$D$4:$D$1197,Korrelation!E$4:E$1197,"-",0)="-",0,MATCH(_xlfn.XLOOKUP($A148,Korrelation!$D$4:$D$1197,Korrelation!E$4:E$1197,"",0),DMAV_Modell!$G$6:$G$677,0)))</f>
        <v>0</v>
      </c>
      <c r="C148" s="57">
        <f>IF($A148="","",IF(_xlfn.XLOOKUP($A148,Korrelation!$D$4:$D$1197,Korrelation!F$4:F$1197,"-",0)="-",0,MATCH(_xlfn.XLOOKUP($A148,Korrelation!$D$4:$D$1197,Korrelation!F$4:F$1197,"",0),DMAV_Modell!$G$6:$G$677,0)))</f>
        <v>0</v>
      </c>
      <c r="D148" s="57">
        <f>IF($A148="","",IF(_xlfn.XLOOKUP($A148,Korrelation!$D$4:$D$1197,Korrelation!G$4:G$1197,"-",0)="-",0,MATCH(_xlfn.XLOOKUP($A148,Korrelation!$D$4:$D$1197,Korrelation!G$4:G$1197,"",0),DMAV_Modell!$G$6:$G$677,0)))</f>
        <v>0</v>
      </c>
      <c r="E148" s="57">
        <f>IF($A148="","",IF(_xlfn.XLOOKUP($A148,Korrelation!$D$4:$D$1197,Korrelation!H$4:H$1197,"-",0)="-",0,MATCH(_xlfn.XLOOKUP($A148,Korrelation!$D$4:$D$1197,Korrelation!H$4:H$1197,"",0),DMAV_Dienste!$F$6:$F$140,0)))</f>
        <v>45</v>
      </c>
      <c r="F148" s="57">
        <f>IF($A148="","",IF(_xlfn.XLOOKUP($A148,Korrelation!$D$4:$D$1197,Korrelation!I$4:I$1197,"-",0)="-",0,MATCH(_xlfn.XLOOKUP($A148,Korrelation!$D$4:$D$1197,Korrelation!I$4:I$1197,"",0),DMAV_Dienste!$F$6:$F$140,0)))</f>
        <v>0</v>
      </c>
      <c r="G148" s="57">
        <f>IF($A148="","",IF(_xlfn.XLOOKUP($A148,Korrelation!$D$4:$D$1197,Korrelation!J$4:J$1197,"-",0)="-",0,MATCH(_xlfn.XLOOKUP($A148,Korrelation!$D$4:$D$1197,Korrelation!J$4:J$1197,"",0),DMAV_Dienste!$F$6:$F$140,0)))</f>
        <v>0</v>
      </c>
      <c r="H148" s="57">
        <f>IF($A148="","",IF(_xlfn.XLOOKUP($A148,Korrelation!$D$4:$D$1197,Korrelation!K$4:K$1197,"-",0)="-",0,MATCH(_xlfn.XLOOKUP($A148,Korrelation!$D$4:$D$1197,Korrelation!K$4:K$1197,"",0),'DM01-AV-CH'!$A$6:$A$834,0)))</f>
        <v>0</v>
      </c>
      <c r="J148" s="54" t="str" cm="1">
        <f t="array" aca="1" ref="J148" ca="1">IF(B148=0,IF(E148=0,"",HYPERLINK("#"&amp;RIGHT(CELL("adresse",OFFSET(DMAV_Dienste!$M$6,E148-1,0)),LEN(CELL("adresse",OFFSET(DMAV_Dienste!$M$6,E148-1,0)))-FIND("]",CELL("adresse",OFFSET(DMAV_Dienste!$M$6,E148-1,0)))),"Dienst")),HYPERLINK("#"&amp;RIGHT(CELL("adresse",OFFSET(DMAV_Modell!$N$6,B148-1,0)),LEN(CELL("adresse",OFFSET(DMAV_Modell!$N$6,B148-1,0)))-FIND("]",CELL("adresse",OFFSET(DMAV_Modell!$N$6,B148-1,0)))),"Modell"))</f>
        <v>Dienst</v>
      </c>
      <c r="K148" s="61" t="str" cm="1">
        <f t="array" ref="K148">IF($B148=0,IF($E148=0,"",IF(INDEX(DMAV_Dienste!P$6:P$140,$E148)="","",INDEX(DMAV_Dienste!P$6:P$140,$E148))),IF(INDEX(DMAV_Modell!Q$6:Q$838,$B148)="","",INDEX(DMAV_Modell!Q$6:Q$838,$B148)))</f>
        <v>CLASS</v>
      </c>
      <c r="L148" s="62" t="str" cm="1">
        <f t="array" ref="L148">IF($B148=0,IF($E148=0,"",IF(INDEX(DMAV_Dienste!O$6:O$140,$E148)="","",INDEX(DMAV_Dienste!O$6:O$140,$E148))),IF(INDEX(DMAV_Modell!P$6:P$838,$B148)="","",INDEX(DMAV_Modell!P$6:P$838,$B148)))</f>
        <v>FixpunkteLV</v>
      </c>
      <c r="M148" s="62" t="str" cm="1">
        <f t="array" ref="M148">IF($B148=0,IF($E148=0,"",IF(INDEX(DMAV_Dienste!Q$6:Q$140,$E148)="","",INDEX(DMAV_Dienste!Q$6:Q$140,$E148))),IF(INDEX(DMAV_Modell!R$6:R$838,$B148)="","",INDEX(DMAV_Modell!R$6:R$838,$B148)))</f>
        <v>LSN</v>
      </c>
      <c r="N148" s="62" t="str" cm="1">
        <f t="array" ref="N148">IF($B148=0,IF($E148=0,"",IF(INDEX(DMAV_Dienste!T$6:T$140,$E148)="","",INDEX(DMAV_Dienste!T$6:T$140,$E148))),IF(INDEX(DMAV_Modell!U$6:U$838,$B148)="","",INDEX(DMAV_Modell!U$6:U$838,$B148)))</f>
        <v>Ordnung</v>
      </c>
      <c r="O148" s="63" t="str" cm="1">
        <f t="array" aca="1" ref="O148" ca="1">IF(C148=0,IF(F148=0,"",HYPERLINK("#"&amp;RIGHT(CELL("adresse",OFFSET(DMAV_Dienste!$M$6,F148-1,0)),LEN(CELL("adresse",OFFSET(DMAV_Dienste!$M$6,F148-1,0)))-FIND("]",CELL("adresse",OFFSET(DMAV_Dienste!$M$6,F148-1,0)))),"Structure")),HYPERLINK("#"&amp;RIGHT(CELL("adresse",OFFSET(DMAV_Modell!$N$6,C148-1,0)),LEN(CELL("adresse",OFFSET(DMAV_Modell!$N$6,C148-1,0)))-FIND("]",CELL("adresse",OFFSET(DMAV_Modell!$N$6,C148-1,0)))),"Structure"))</f>
        <v/>
      </c>
      <c r="P148" s="64" t="str" cm="1">
        <f t="array" aca="1" ref="P148" ca="1">IF(D148=0,IF(G148=0,"",HYPERLINK("#"&amp;RIGHT(CELL("adresse",OFFSET(DMAV_Dienste!$M$6,G148-1,0)),LEN(CELL("adresse",OFFSET(DMAV_Dienste!$M$6,G148-1,0)))-FIND("]",CELL("adresse",OFFSET(DMAV_Dienste!$M$6,G148-1,0)))),"Substructure")),HYPERLINK("#"&amp;RIGHT(CELL("adresse",OFFSET(DMAV_Modell!$N$6,D148-1,0)),LEN(CELL("adresse",OFFSET(DMAV_Modell!$N$6,D148-1,0)))-FIND("]",CELL("adresse",OFFSET(DMAV_Modell!$N$6,D148-1,0)))),"Substructure"))</f>
        <v/>
      </c>
      <c r="R148" s="80"/>
      <c r="T148" s="93"/>
      <c r="U148" s="94"/>
      <c r="V148" s="95"/>
      <c r="W148" s="96"/>
      <c r="Y148" s="85"/>
      <c r="Z148" s="86"/>
      <c r="AA148" s="87"/>
      <c r="AB148" s="88"/>
      <c r="AD148" s="77"/>
      <c r="AF148" s="54" t="str" cm="1">
        <f t="array" aca="1" ref="AF148" ca="1">IF(H148=0,"",HYPERLINK("#"&amp;RIGHT(CELL("adresse",OFFSET('DM01-AV-CH'!$G$6,H148-1,0)),LEN(CELL("adresse",OFFSET('DM01-AV-CH'!$G$6,H148-1,0)))-FIND("]",CELL("adresse",OFFSET('DM01-AV-CH'!$G$6,H148-1,0)))),"Modell"))</f>
        <v/>
      </c>
      <c r="AG148" s="72" t="str" cm="1">
        <f t="array" ref="AG148">IF($H148=0,"",IF(INDEX('DM01-AV-CH'!G$6:G$834,$H148)="","",INDEX('DM01-AV-CH'!G$6:G$834,$H148)))</f>
        <v/>
      </c>
      <c r="AH148" s="73" t="str" cm="1">
        <f t="array" ref="AH148">IF($H148=0,"",IF(INDEX('DM01-AV-CH'!H$6:H$834,$H148)="","",INDEX('DM01-AV-CH'!H$6:H$834,$H148)))</f>
        <v/>
      </c>
      <c r="AI148" s="74" t="str" cm="1">
        <f t="array" ref="AI148">IF($H148=0,"",IF(INDEX('DM01-AV-CH'!I$6:I$834,$H148)="","",INDEX('DM01-AV-CH'!I$6:I$834,$H148)))</f>
        <v/>
      </c>
    </row>
    <row r="149" spans="1:35" x14ac:dyDescent="0.25">
      <c r="A149" s="57">
        <v>144</v>
      </c>
      <c r="B149" s="57">
        <f>IF($A149="","",IF(_xlfn.XLOOKUP($A149,Korrelation!$D$4:$D$1197,Korrelation!E$4:E$1197,"-",0)="-",0,MATCH(_xlfn.XLOOKUP($A149,Korrelation!$D$4:$D$1197,Korrelation!E$4:E$1197,"",0),DMAV_Modell!$G$6:$G$677,0)))</f>
        <v>0</v>
      </c>
      <c r="C149" s="57">
        <f>IF($A149="","",IF(_xlfn.XLOOKUP($A149,Korrelation!$D$4:$D$1197,Korrelation!F$4:F$1197,"-",0)="-",0,MATCH(_xlfn.XLOOKUP($A149,Korrelation!$D$4:$D$1197,Korrelation!F$4:F$1197,"",0),DMAV_Modell!$G$6:$G$677,0)))</f>
        <v>0</v>
      </c>
      <c r="D149" s="57">
        <f>IF($A149="","",IF(_xlfn.XLOOKUP($A149,Korrelation!$D$4:$D$1197,Korrelation!G$4:G$1197,"-",0)="-",0,MATCH(_xlfn.XLOOKUP($A149,Korrelation!$D$4:$D$1197,Korrelation!G$4:G$1197,"",0),DMAV_Modell!$G$6:$G$677,0)))</f>
        <v>0</v>
      </c>
      <c r="E149" s="57">
        <f>IF($A149="","",IF(_xlfn.XLOOKUP($A149,Korrelation!$D$4:$D$1197,Korrelation!H$4:H$1197,"-",0)="-",0,MATCH(_xlfn.XLOOKUP($A149,Korrelation!$D$4:$D$1197,Korrelation!H$4:H$1197,"",0),DMAV_Dienste!$F$6:$F$140,0)))</f>
        <v>71</v>
      </c>
      <c r="F149" s="57">
        <f>IF($A149="","",IF(_xlfn.XLOOKUP($A149,Korrelation!$D$4:$D$1197,Korrelation!I$4:I$1197,"-",0)="-",0,MATCH(_xlfn.XLOOKUP($A149,Korrelation!$D$4:$D$1197,Korrelation!I$4:I$1197,"",0),DMAV_Dienste!$F$6:$F$140,0)))</f>
        <v>0</v>
      </c>
      <c r="G149" s="57">
        <f>IF($A149="","",IF(_xlfn.XLOOKUP($A149,Korrelation!$D$4:$D$1197,Korrelation!J$4:J$1197,"-",0)="-",0,MATCH(_xlfn.XLOOKUP($A149,Korrelation!$D$4:$D$1197,Korrelation!J$4:J$1197,"",0),DMAV_Dienste!$F$6:$F$140,0)))</f>
        <v>0</v>
      </c>
      <c r="H149" s="57">
        <f>IF($A149="","",IF(_xlfn.XLOOKUP($A149,Korrelation!$D$4:$D$1197,Korrelation!K$4:K$1197,"-",0)="-",0,MATCH(_xlfn.XLOOKUP($A149,Korrelation!$D$4:$D$1197,Korrelation!K$4:K$1197,"",0),'DM01-AV-CH'!$A$6:$A$834,0)))</f>
        <v>0</v>
      </c>
      <c r="J149" s="54" t="str" cm="1">
        <f t="array" aca="1" ref="J149" ca="1">IF(B149=0,IF(E149=0,"",HYPERLINK("#"&amp;RIGHT(CELL("adresse",OFFSET(DMAV_Dienste!$M$6,E149-1,0)),LEN(CELL("adresse",OFFSET(DMAV_Dienste!$M$6,E149-1,0)))-FIND("]",CELL("adresse",OFFSET(DMAV_Dienste!$M$6,E149-1,0)))),"Dienst")),HYPERLINK("#"&amp;RIGHT(CELL("adresse",OFFSET(DMAV_Modell!$N$6,B149-1,0)),LEN(CELL("adresse",OFFSET(DMAV_Modell!$N$6,B149-1,0)))-FIND("]",CELL("adresse",OFFSET(DMAV_Modell!$N$6,B149-1,0)))),"Modell"))</f>
        <v>Dienst</v>
      </c>
      <c r="K149" s="61" t="str" cm="1">
        <f t="array" ref="K149">IF($B149=0,IF($E149=0,"",IF(INDEX(DMAV_Dienste!P$6:P$140,$E149)="","",INDEX(DMAV_Dienste!P$6:P$140,$E149))),IF(INDEX(DMAV_Modell!Q$6:Q$838,$B149)="","",INDEX(DMAV_Modell!Q$6:Q$838,$B149)))</f>
        <v>IMPORTS</v>
      </c>
      <c r="L149" s="62" t="str" cm="1">
        <f t="array" ref="L149">IF($B149=0,IF($E149=0,"",IF(INDEX(DMAV_Dienste!O$6:O$140,$E149)="","",INDEX(DMAV_Dienste!O$6:O$140,$E149))),IF(INDEX(DMAV_Modell!P$6:P$838,$B149)="","",INDEX(DMAV_Modell!P$6:P$838,$B149)))</f>
        <v/>
      </c>
      <c r="M149" s="62" t="str" cm="1">
        <f t="array" ref="M149">IF($B149=0,IF($E149=0,"",IF(INDEX(DMAV_Dienste!Q$6:Q$140,$E149)="","",INDEX(DMAV_Dienste!Q$6:Q$140,$E149))),IF(INDEX(DMAV_Modell!R$6:R$838,$B149)="","",INDEX(DMAV_Modell!R$6:R$838,$B149)))</f>
        <v>CHAdminCodes_V2</v>
      </c>
      <c r="N149" s="62" t="str" cm="1">
        <f t="array" ref="N149">IF($B149=0,IF($E149=0,"",IF(INDEX(DMAV_Dienste!T$6:T$140,$E149)="","",INDEX(DMAV_Dienste!T$6:T$140,$E149))),IF(INDEX(DMAV_Modell!U$6:U$838,$B149)="","",INDEX(DMAV_Modell!U$6:U$838,$B149)))</f>
        <v/>
      </c>
      <c r="O149" s="63" t="str" cm="1">
        <f t="array" aca="1" ref="O149" ca="1">IF(C149=0,IF(F149=0,"",HYPERLINK("#"&amp;RIGHT(CELL("adresse",OFFSET(DMAV_Dienste!$M$6,F149-1,0)),LEN(CELL("adresse",OFFSET(DMAV_Dienste!$M$6,F149-1,0)))-FIND("]",CELL("adresse",OFFSET(DMAV_Dienste!$M$6,F149-1,0)))),"Structure")),HYPERLINK("#"&amp;RIGHT(CELL("adresse",OFFSET(DMAV_Modell!$N$6,C149-1,0)),LEN(CELL("adresse",OFFSET(DMAV_Modell!$N$6,C149-1,0)))-FIND("]",CELL("adresse",OFFSET(DMAV_Modell!$N$6,C149-1,0)))),"Structure"))</f>
        <v/>
      </c>
      <c r="P149" s="64" t="str" cm="1">
        <f t="array" aca="1" ref="P149" ca="1">IF(D149=0,IF(G149=0,"",HYPERLINK("#"&amp;RIGHT(CELL("adresse",OFFSET(DMAV_Dienste!$M$6,G149-1,0)),LEN(CELL("adresse",OFFSET(DMAV_Dienste!$M$6,G149-1,0)))-FIND("]",CELL("adresse",OFFSET(DMAV_Dienste!$M$6,G149-1,0)))),"Substructure")),HYPERLINK("#"&amp;RIGHT(CELL("adresse",OFFSET(DMAV_Modell!$N$6,D149-1,0)),LEN(CELL("adresse",OFFSET(DMAV_Modell!$N$6,D149-1,0)))-FIND("]",CELL("adresse",OFFSET(DMAV_Modell!$N$6,D149-1,0)))),"Substructure"))</f>
        <v/>
      </c>
      <c r="R149" s="80"/>
      <c r="T149" s="93"/>
      <c r="U149" s="94"/>
      <c r="V149" s="95"/>
      <c r="W149" s="96"/>
      <c r="Y149" s="85"/>
      <c r="Z149" s="86"/>
      <c r="AA149" s="87"/>
      <c r="AB149" s="88"/>
      <c r="AD149" s="77"/>
      <c r="AF149" s="54" t="str" cm="1">
        <f t="array" aca="1" ref="AF149" ca="1">IF(H149=0,"",HYPERLINK("#"&amp;RIGHT(CELL("adresse",OFFSET('DM01-AV-CH'!$G$6,H149-1,0)),LEN(CELL("adresse",OFFSET('DM01-AV-CH'!$G$6,H149-1,0)))-FIND("]",CELL("adresse",OFFSET('DM01-AV-CH'!$G$6,H149-1,0)))),"Modell"))</f>
        <v/>
      </c>
      <c r="AG149" s="72" t="str" cm="1">
        <f t="array" ref="AG149">IF($H149=0,"",IF(INDEX('DM01-AV-CH'!G$6:G$834,$H149)="","",INDEX('DM01-AV-CH'!G$6:G$834,$H149)))</f>
        <v/>
      </c>
      <c r="AH149" s="73" t="str" cm="1">
        <f t="array" ref="AH149">IF($H149=0,"",IF(INDEX('DM01-AV-CH'!H$6:H$834,$H149)="","",INDEX('DM01-AV-CH'!H$6:H$834,$H149)))</f>
        <v/>
      </c>
      <c r="AI149" s="74" t="str" cm="1">
        <f t="array" ref="AI149">IF($H149=0,"",IF(INDEX('DM01-AV-CH'!I$6:I$834,$H149)="","",INDEX('DM01-AV-CH'!I$6:I$834,$H149)))</f>
        <v/>
      </c>
    </row>
    <row r="150" spans="1:35" x14ac:dyDescent="0.25">
      <c r="A150" s="57">
        <v>145</v>
      </c>
      <c r="B150" s="57">
        <f>IF($A150="","",IF(_xlfn.XLOOKUP($A150,Korrelation!$D$4:$D$1197,Korrelation!E$4:E$1197,"-",0)="-",0,MATCH(_xlfn.XLOOKUP($A150,Korrelation!$D$4:$D$1197,Korrelation!E$4:E$1197,"",0),DMAV_Modell!$G$6:$G$677,0)))</f>
        <v>0</v>
      </c>
      <c r="C150" s="57">
        <f>IF($A150="","",IF(_xlfn.XLOOKUP($A150,Korrelation!$D$4:$D$1197,Korrelation!F$4:F$1197,"-",0)="-",0,MATCH(_xlfn.XLOOKUP($A150,Korrelation!$D$4:$D$1197,Korrelation!F$4:F$1197,"",0),DMAV_Modell!$G$6:$G$677,0)))</f>
        <v>0</v>
      </c>
      <c r="D150" s="57">
        <f>IF($A150="","",IF(_xlfn.XLOOKUP($A150,Korrelation!$D$4:$D$1197,Korrelation!G$4:G$1197,"-",0)="-",0,MATCH(_xlfn.XLOOKUP($A150,Korrelation!$D$4:$D$1197,Korrelation!G$4:G$1197,"",0),DMAV_Modell!$G$6:$G$677,0)))</f>
        <v>0</v>
      </c>
      <c r="E150" s="57">
        <f>IF($A150="","",IF(_xlfn.XLOOKUP($A150,Korrelation!$D$4:$D$1197,Korrelation!H$4:H$1197,"-",0)="-",0,MATCH(_xlfn.XLOOKUP($A150,Korrelation!$D$4:$D$1197,Korrelation!H$4:H$1197,"",0),DMAV_Dienste!$F$6:$F$140,0)))</f>
        <v>72</v>
      </c>
      <c r="F150" s="57">
        <f>IF($A150="","",IF(_xlfn.XLOOKUP($A150,Korrelation!$D$4:$D$1197,Korrelation!I$4:I$1197,"-",0)="-",0,MATCH(_xlfn.XLOOKUP($A150,Korrelation!$D$4:$D$1197,Korrelation!I$4:I$1197,"",0),DMAV_Dienste!$F$6:$F$140,0)))</f>
        <v>0</v>
      </c>
      <c r="G150" s="57">
        <f>IF($A150="","",IF(_xlfn.XLOOKUP($A150,Korrelation!$D$4:$D$1197,Korrelation!J$4:J$1197,"-",0)="-",0,MATCH(_xlfn.XLOOKUP($A150,Korrelation!$D$4:$D$1197,Korrelation!J$4:J$1197,"",0),DMAV_Dienste!$F$6:$F$140,0)))</f>
        <v>0</v>
      </c>
      <c r="H150" s="57">
        <f>IF($A150="","",IF(_xlfn.XLOOKUP($A150,Korrelation!$D$4:$D$1197,Korrelation!K$4:K$1197,"-",0)="-",0,MATCH(_xlfn.XLOOKUP($A150,Korrelation!$D$4:$D$1197,Korrelation!K$4:K$1197,"",0),'DM01-AV-CH'!$A$6:$A$834,0)))</f>
        <v>0</v>
      </c>
      <c r="J150" s="54" t="str" cm="1">
        <f t="array" aca="1" ref="J150" ca="1">IF(B150=0,IF(E150=0,"",HYPERLINK("#"&amp;RIGHT(CELL("adresse",OFFSET(DMAV_Dienste!$M$6,E150-1,0)),LEN(CELL("adresse",OFFSET(DMAV_Dienste!$M$6,E150-1,0)))-FIND("]",CELL("adresse",OFFSET(DMAV_Dienste!$M$6,E150-1,0)))),"Dienst")),HYPERLINK("#"&amp;RIGHT(CELL("adresse",OFFSET(DMAV_Modell!$N$6,B150-1,0)),LEN(CELL("adresse",OFFSET(DMAV_Modell!$N$6,B150-1,0)))-FIND("]",CELL("adresse",OFFSET(DMAV_Modell!$N$6,B150-1,0)))),"Modell"))</f>
        <v>Dienst</v>
      </c>
      <c r="K150" s="61" t="str" cm="1">
        <f t="array" ref="K150">IF($B150=0,IF($E150=0,"",IF(INDEX(DMAV_Dienste!P$6:P$140,$E150)="","",INDEX(DMAV_Dienste!P$6:P$140,$E150))),IF(INDEX(DMAV_Modell!Q$6:Q$838,$B150)="","",INDEX(DMAV_Modell!Q$6:Q$838,$B150)))</f>
        <v>IMPORTS</v>
      </c>
      <c r="L150" s="62" t="str" cm="1">
        <f t="array" ref="L150">IF($B150=0,IF($E150=0,"",IF(INDEX(DMAV_Dienste!O$6:O$140,$E150)="","",INDEX(DMAV_Dienste!O$6:O$140,$E150))),IF(INDEX(DMAV_Modell!P$6:P$838,$B150)="","",INDEX(DMAV_Modell!P$6:P$838,$B150)))</f>
        <v/>
      </c>
      <c r="M150" s="62" t="str" cm="1">
        <f t="array" ref="M150">IF($B150=0,IF($E150=0,"",IF(INDEX(DMAV_Dienste!Q$6:Q$140,$E150)="","",INDEX(DMAV_Dienste!Q$6:Q$140,$E150))),IF(INDEX(DMAV_Modell!R$6:R$838,$B150)="","",INDEX(DMAV_Modell!R$6:R$838,$B150)))</f>
        <v>GeometryCHLV95_V2</v>
      </c>
      <c r="N150" s="62" t="str" cm="1">
        <f t="array" ref="N150">IF($B150=0,IF($E150=0,"",IF(INDEX(DMAV_Dienste!T$6:T$140,$E150)="","",INDEX(DMAV_Dienste!T$6:T$140,$E150))),IF(INDEX(DMAV_Modell!U$6:U$838,$B150)="","",INDEX(DMAV_Modell!U$6:U$838,$B150)))</f>
        <v/>
      </c>
      <c r="O150" s="63" t="str" cm="1">
        <f t="array" aca="1" ref="O150" ca="1">IF(C150=0,IF(F150=0,"",HYPERLINK("#"&amp;RIGHT(CELL("adresse",OFFSET(DMAV_Dienste!$M$6,F150-1,0)),LEN(CELL("adresse",OFFSET(DMAV_Dienste!$M$6,F150-1,0)))-FIND("]",CELL("adresse",OFFSET(DMAV_Dienste!$M$6,F150-1,0)))),"Structure")),HYPERLINK("#"&amp;RIGHT(CELL("adresse",OFFSET(DMAV_Modell!$N$6,C150-1,0)),LEN(CELL("adresse",OFFSET(DMAV_Modell!$N$6,C150-1,0)))-FIND("]",CELL("adresse",OFFSET(DMAV_Modell!$N$6,C150-1,0)))),"Structure"))</f>
        <v/>
      </c>
      <c r="P150" s="64" t="str" cm="1">
        <f t="array" aca="1" ref="P150" ca="1">IF(D150=0,IF(G150=0,"",HYPERLINK("#"&amp;RIGHT(CELL("adresse",OFFSET(DMAV_Dienste!$M$6,G150-1,0)),LEN(CELL("adresse",OFFSET(DMAV_Dienste!$M$6,G150-1,0)))-FIND("]",CELL("adresse",OFFSET(DMAV_Dienste!$M$6,G150-1,0)))),"Substructure")),HYPERLINK("#"&amp;RIGHT(CELL("adresse",OFFSET(DMAV_Modell!$N$6,D150-1,0)),LEN(CELL("adresse",OFFSET(DMAV_Modell!$N$6,D150-1,0)))-FIND("]",CELL("adresse",OFFSET(DMAV_Modell!$N$6,D150-1,0)))),"Substructure"))</f>
        <v/>
      </c>
      <c r="R150" s="80"/>
      <c r="T150" s="93"/>
      <c r="U150" s="94"/>
      <c r="V150" s="95"/>
      <c r="W150" s="96"/>
      <c r="Y150" s="85"/>
      <c r="Z150" s="86"/>
      <c r="AA150" s="87"/>
      <c r="AB150" s="88"/>
      <c r="AD150" s="77"/>
      <c r="AF150" s="54" t="str" cm="1">
        <f t="array" aca="1" ref="AF150" ca="1">IF(H150=0,"",HYPERLINK("#"&amp;RIGHT(CELL("adresse",OFFSET('DM01-AV-CH'!$G$6,H150-1,0)),LEN(CELL("adresse",OFFSET('DM01-AV-CH'!$G$6,H150-1,0)))-FIND("]",CELL("adresse",OFFSET('DM01-AV-CH'!$G$6,H150-1,0)))),"Modell"))</f>
        <v/>
      </c>
      <c r="AG150" s="72" t="str" cm="1">
        <f t="array" ref="AG150">IF($H150=0,"",IF(INDEX('DM01-AV-CH'!G$6:G$834,$H150)="","",INDEX('DM01-AV-CH'!G$6:G$834,$H150)))</f>
        <v/>
      </c>
      <c r="AH150" s="73" t="str" cm="1">
        <f t="array" ref="AH150">IF($H150=0,"",IF(INDEX('DM01-AV-CH'!H$6:H$834,$H150)="","",INDEX('DM01-AV-CH'!H$6:H$834,$H150)))</f>
        <v/>
      </c>
      <c r="AI150" s="74" t="str" cm="1">
        <f t="array" ref="AI150">IF($H150=0,"",IF(INDEX('DM01-AV-CH'!I$6:I$834,$H150)="","",INDEX('DM01-AV-CH'!I$6:I$834,$H150)))</f>
        <v/>
      </c>
    </row>
    <row r="151" spans="1:35" x14ac:dyDescent="0.25">
      <c r="A151" s="57">
        <v>146</v>
      </c>
      <c r="B151" s="57">
        <f>IF($A151="","",IF(_xlfn.XLOOKUP($A151,Korrelation!$D$4:$D$1197,Korrelation!E$4:E$1197,"-",0)="-",0,MATCH(_xlfn.XLOOKUP($A151,Korrelation!$D$4:$D$1197,Korrelation!E$4:E$1197,"",0),DMAV_Modell!$G$6:$G$677,0)))</f>
        <v>0</v>
      </c>
      <c r="C151" s="57">
        <f>IF($A151="","",IF(_xlfn.XLOOKUP($A151,Korrelation!$D$4:$D$1197,Korrelation!F$4:F$1197,"-",0)="-",0,MATCH(_xlfn.XLOOKUP($A151,Korrelation!$D$4:$D$1197,Korrelation!F$4:F$1197,"",0),DMAV_Modell!$G$6:$G$677,0)))</f>
        <v>0</v>
      </c>
      <c r="D151" s="57">
        <f>IF($A151="","",IF(_xlfn.XLOOKUP($A151,Korrelation!$D$4:$D$1197,Korrelation!G$4:G$1197,"-",0)="-",0,MATCH(_xlfn.XLOOKUP($A151,Korrelation!$D$4:$D$1197,Korrelation!G$4:G$1197,"",0),DMAV_Modell!$G$6:$G$677,0)))</f>
        <v>0</v>
      </c>
      <c r="E151" s="57">
        <f>IF($A151="","",IF(_xlfn.XLOOKUP($A151,Korrelation!$D$4:$D$1197,Korrelation!H$4:H$1197,"-",0)="-",0,MATCH(_xlfn.XLOOKUP($A151,Korrelation!$D$4:$D$1197,Korrelation!H$4:H$1197,"",0),DMAV_Dienste!$F$6:$F$140,0)))</f>
        <v>73</v>
      </c>
      <c r="F151" s="57">
        <f>IF($A151="","",IF(_xlfn.XLOOKUP($A151,Korrelation!$D$4:$D$1197,Korrelation!I$4:I$1197,"-",0)="-",0,MATCH(_xlfn.XLOOKUP($A151,Korrelation!$D$4:$D$1197,Korrelation!I$4:I$1197,"",0),DMAV_Dienste!$F$6:$F$140,0)))</f>
        <v>0</v>
      </c>
      <c r="G151" s="57">
        <f>IF($A151="","",IF(_xlfn.XLOOKUP($A151,Korrelation!$D$4:$D$1197,Korrelation!J$4:J$1197,"-",0)="-",0,MATCH(_xlfn.XLOOKUP($A151,Korrelation!$D$4:$D$1197,Korrelation!J$4:J$1197,"",0),DMAV_Dienste!$F$6:$F$140,0)))</f>
        <v>0</v>
      </c>
      <c r="H151" s="57">
        <f>IF($A151="","",IF(_xlfn.XLOOKUP($A151,Korrelation!$D$4:$D$1197,Korrelation!K$4:K$1197,"-",0)="-",0,MATCH(_xlfn.XLOOKUP($A151,Korrelation!$D$4:$D$1197,Korrelation!K$4:K$1197,"",0),'DM01-AV-CH'!$A$6:$A$834,0)))</f>
        <v>0</v>
      </c>
      <c r="J151" s="54" t="str" cm="1">
        <f t="array" aca="1" ref="J151" ca="1">IF(B151=0,IF(E151=0,"",HYPERLINK("#"&amp;RIGHT(CELL("adresse",OFFSET(DMAV_Dienste!$M$6,E151-1,0)),LEN(CELL("adresse",OFFSET(DMAV_Dienste!$M$6,E151-1,0)))-FIND("]",CELL("adresse",OFFSET(DMAV_Dienste!$M$6,E151-1,0)))),"Dienst")),HYPERLINK("#"&amp;RIGHT(CELL("adresse",OFFSET(DMAV_Modell!$N$6,B151-1,0)),LEN(CELL("adresse",OFFSET(DMAV_Modell!$N$6,B151-1,0)))-FIND("]",CELL("adresse",OFFSET(DMAV_Modell!$N$6,B151-1,0)))),"Modell"))</f>
        <v>Dienst</v>
      </c>
      <c r="K151" s="61" t="str" cm="1">
        <f t="array" ref="K151">IF($B151=0,IF($E151=0,"",IF(INDEX(DMAV_Dienste!P$6:P$140,$E151)="","",INDEX(DMAV_Dienste!P$6:P$140,$E151))),IF(INDEX(DMAV_Modell!Q$6:Q$838,$B151)="","",INDEX(DMAV_Modell!Q$6:Q$838,$B151)))</f>
        <v>DOMAIN</v>
      </c>
      <c r="L151" s="62" t="str" cm="1">
        <f t="array" ref="L151">IF($B151=0,IF($E151=0,"",IF(INDEX(DMAV_Dienste!O$6:O$140,$E151)="","",INDEX(DMAV_Dienste!O$6:O$140,$E151))),IF(INDEX(DMAV_Modell!P$6:P$838,$B151)="","",INDEX(DMAV_Modell!P$6:P$838,$B151)))</f>
        <v/>
      </c>
      <c r="M151" s="62" t="str" cm="1">
        <f t="array" ref="M151">IF($B151=0,IF($E151=0,"",IF(INDEX(DMAV_Dienste!Q$6:Q$140,$E151)="","",INDEX(DMAV_Dienste!Q$6:Q$140,$E151))),IF(INDEX(DMAV_Modell!R$6:R$838,$B151)="","",INDEX(DMAV_Modell!R$6:R$838,$B151)))</f>
        <v>Genauigkeit</v>
      </c>
      <c r="N151" s="62" t="str" cm="1">
        <f t="array" ref="N151">IF($B151=0,IF($E151=0,"",IF(INDEX(DMAV_Dienste!T$6:T$140,$E151)="","",INDEX(DMAV_Dienste!T$6:T$140,$E151))),IF(INDEX(DMAV_Modell!U$6:U$838,$B151)="","",INDEX(DMAV_Modell!U$6:U$838,$B151)))</f>
        <v/>
      </c>
      <c r="O151" s="63" t="str" cm="1">
        <f t="array" aca="1" ref="O151" ca="1">IF(C151=0,IF(F151=0,"",HYPERLINK("#"&amp;RIGHT(CELL("adresse",OFFSET(DMAV_Dienste!$M$6,F151-1,0)),LEN(CELL("adresse",OFFSET(DMAV_Dienste!$M$6,F151-1,0)))-FIND("]",CELL("adresse",OFFSET(DMAV_Dienste!$M$6,F151-1,0)))),"Structure")),HYPERLINK("#"&amp;RIGHT(CELL("adresse",OFFSET(DMAV_Modell!$N$6,C151-1,0)),LEN(CELL("adresse",OFFSET(DMAV_Modell!$N$6,C151-1,0)))-FIND("]",CELL("adresse",OFFSET(DMAV_Modell!$N$6,C151-1,0)))),"Structure"))</f>
        <v/>
      </c>
      <c r="P151" s="64" t="str" cm="1">
        <f t="array" aca="1" ref="P151" ca="1">IF(D151=0,IF(G151=0,"",HYPERLINK("#"&amp;RIGHT(CELL("adresse",OFFSET(DMAV_Dienste!$M$6,G151-1,0)),LEN(CELL("adresse",OFFSET(DMAV_Dienste!$M$6,G151-1,0)))-FIND("]",CELL("adresse",OFFSET(DMAV_Dienste!$M$6,G151-1,0)))),"Substructure")),HYPERLINK("#"&amp;RIGHT(CELL("adresse",OFFSET(DMAV_Modell!$N$6,D151-1,0)),LEN(CELL("adresse",OFFSET(DMAV_Modell!$N$6,D151-1,0)))-FIND("]",CELL("adresse",OFFSET(DMAV_Modell!$N$6,D151-1,0)))),"Substructure"))</f>
        <v/>
      </c>
      <c r="R151" s="80"/>
      <c r="T151" s="93"/>
      <c r="U151" s="94"/>
      <c r="V151" s="95"/>
      <c r="W151" s="96"/>
      <c r="Y151" s="85"/>
      <c r="Z151" s="86"/>
      <c r="AA151" s="87"/>
      <c r="AB151" s="88"/>
      <c r="AD151" s="77"/>
      <c r="AF151" s="54" t="str" cm="1">
        <f t="array" aca="1" ref="AF151" ca="1">IF(H151=0,"",HYPERLINK("#"&amp;RIGHT(CELL("adresse",OFFSET('DM01-AV-CH'!$G$6,H151-1,0)),LEN(CELL("adresse",OFFSET('DM01-AV-CH'!$G$6,H151-1,0)))-FIND("]",CELL("adresse",OFFSET('DM01-AV-CH'!$G$6,H151-1,0)))),"Modell"))</f>
        <v/>
      </c>
      <c r="AG151" s="72" t="str" cm="1">
        <f t="array" ref="AG151">IF($H151=0,"",IF(INDEX('DM01-AV-CH'!G$6:G$834,$H151)="","",INDEX('DM01-AV-CH'!G$6:G$834,$H151)))</f>
        <v/>
      </c>
      <c r="AH151" s="73" t="str" cm="1">
        <f t="array" ref="AH151">IF($H151=0,"",IF(INDEX('DM01-AV-CH'!H$6:H$834,$H151)="","",INDEX('DM01-AV-CH'!H$6:H$834,$H151)))</f>
        <v/>
      </c>
      <c r="AI151" s="74" t="str" cm="1">
        <f t="array" ref="AI151">IF($H151=0,"",IF(INDEX('DM01-AV-CH'!I$6:I$834,$H151)="","",INDEX('DM01-AV-CH'!I$6:I$834,$H151)))</f>
        <v/>
      </c>
    </row>
    <row r="152" spans="1:35" x14ac:dyDescent="0.25">
      <c r="A152" s="57">
        <v>147</v>
      </c>
      <c r="B152" s="57">
        <f>IF($A152="","",IF(_xlfn.XLOOKUP($A152,Korrelation!$D$4:$D$1197,Korrelation!E$4:E$1197,"-",0)="-",0,MATCH(_xlfn.XLOOKUP($A152,Korrelation!$D$4:$D$1197,Korrelation!E$4:E$1197,"",0),DMAV_Modell!$G$6:$G$677,0)))</f>
        <v>0</v>
      </c>
      <c r="C152" s="57">
        <f>IF($A152="","",IF(_xlfn.XLOOKUP($A152,Korrelation!$D$4:$D$1197,Korrelation!F$4:F$1197,"-",0)="-",0,MATCH(_xlfn.XLOOKUP($A152,Korrelation!$D$4:$D$1197,Korrelation!F$4:F$1197,"",0),DMAV_Modell!$G$6:$G$677,0)))</f>
        <v>0</v>
      </c>
      <c r="D152" s="57">
        <f>IF($A152="","",IF(_xlfn.XLOOKUP($A152,Korrelation!$D$4:$D$1197,Korrelation!G$4:G$1197,"-",0)="-",0,MATCH(_xlfn.XLOOKUP($A152,Korrelation!$D$4:$D$1197,Korrelation!G$4:G$1197,"",0),DMAV_Modell!$G$6:$G$677,0)))</f>
        <v>0</v>
      </c>
      <c r="E152" s="57">
        <f>IF($A152="","",IF(_xlfn.XLOOKUP($A152,Korrelation!$D$4:$D$1197,Korrelation!H$4:H$1197,"-",0)="-",0,MATCH(_xlfn.XLOOKUP($A152,Korrelation!$D$4:$D$1197,Korrelation!H$4:H$1197,"",0),DMAV_Dienste!$F$6:$F$140,0)))</f>
        <v>74</v>
      </c>
      <c r="F152" s="57">
        <f>IF($A152="","",IF(_xlfn.XLOOKUP($A152,Korrelation!$D$4:$D$1197,Korrelation!I$4:I$1197,"-",0)="-",0,MATCH(_xlfn.XLOOKUP($A152,Korrelation!$D$4:$D$1197,Korrelation!I$4:I$1197,"",0),DMAV_Dienste!$F$6:$F$140,0)))</f>
        <v>0</v>
      </c>
      <c r="G152" s="57">
        <f>IF($A152="","",IF(_xlfn.XLOOKUP($A152,Korrelation!$D$4:$D$1197,Korrelation!J$4:J$1197,"-",0)="-",0,MATCH(_xlfn.XLOOKUP($A152,Korrelation!$D$4:$D$1197,Korrelation!J$4:J$1197,"",0),DMAV_Dienste!$F$6:$F$140,0)))</f>
        <v>0</v>
      </c>
      <c r="H152" s="57">
        <f>IF($A152="","",IF(_xlfn.XLOOKUP($A152,Korrelation!$D$4:$D$1197,Korrelation!K$4:K$1197,"-",0)="-",0,MATCH(_xlfn.XLOOKUP($A152,Korrelation!$D$4:$D$1197,Korrelation!K$4:K$1197,"",0),'DM01-AV-CH'!$A$6:$A$834,0)))</f>
        <v>0</v>
      </c>
      <c r="J152" s="54" t="str" cm="1">
        <f t="array" aca="1" ref="J152" ca="1">IF(B152=0,IF(E152=0,"",HYPERLINK("#"&amp;RIGHT(CELL("adresse",OFFSET(DMAV_Dienste!$M$6,E152-1,0)),LEN(CELL("adresse",OFFSET(DMAV_Dienste!$M$6,E152-1,0)))-FIND("]",CELL("adresse",OFFSET(DMAV_Dienste!$M$6,E152-1,0)))),"Dienst")),HYPERLINK("#"&amp;RIGHT(CELL("adresse",OFFSET(DMAV_Modell!$N$6,B152-1,0)),LEN(CELL("adresse",OFFSET(DMAV_Modell!$N$6,B152-1,0)))-FIND("]",CELL("adresse",OFFSET(DMAV_Modell!$N$6,B152-1,0)))),"Modell"))</f>
        <v>Dienst</v>
      </c>
      <c r="K152" s="61" t="str" cm="1">
        <f t="array" ref="K152">IF($B152=0,IF($E152=0,"",IF(INDEX(DMAV_Dienste!P$6:P$140,$E152)="","",INDEX(DMAV_Dienste!P$6:P$140,$E152))),IF(INDEX(DMAV_Modell!Q$6:Q$838,$B152)="","",INDEX(DMAV_Modell!Q$6:Q$838,$B152)))</f>
        <v>DOMAIN</v>
      </c>
      <c r="L152" s="62" t="str" cm="1">
        <f t="array" ref="L152">IF($B152=0,IF($E152=0,"",IF(INDEX(DMAV_Dienste!O$6:O$140,$E152)="","",INDEX(DMAV_Dienste!O$6:O$140,$E152))),IF(INDEX(DMAV_Modell!P$6:P$838,$B152)="","",INDEX(DMAV_Modell!P$6:P$838,$B152)))</f>
        <v/>
      </c>
      <c r="M152" s="62" t="str" cm="1">
        <f t="array" ref="M152">IF($B152=0,IF($E152=0,"",IF(INDEX(DMAV_Dienste!Q$6:Q$140,$E152)="","",INDEX(DMAV_Dienste!Q$6:Q$140,$E152))),IF(INDEX(DMAV_Modell!R$6:R$838,$B152)="","",INDEX(DMAV_Modell!R$6:R$838,$B152)))</f>
        <v>NBIdent</v>
      </c>
      <c r="N152" s="62" t="str" cm="1">
        <f t="array" ref="N152">IF($B152=0,IF($E152=0,"",IF(INDEX(DMAV_Dienste!T$6:T$140,$E152)="","",INDEX(DMAV_Dienste!T$6:T$140,$E152))),IF(INDEX(DMAV_Modell!U$6:U$838,$B152)="","",INDEX(DMAV_Modell!U$6:U$838,$B152)))</f>
        <v/>
      </c>
      <c r="O152" s="63" t="str" cm="1">
        <f t="array" aca="1" ref="O152" ca="1">IF(C152=0,IF(F152=0,"",HYPERLINK("#"&amp;RIGHT(CELL("adresse",OFFSET(DMAV_Dienste!$M$6,F152-1,0)),LEN(CELL("adresse",OFFSET(DMAV_Dienste!$M$6,F152-1,0)))-FIND("]",CELL("adresse",OFFSET(DMAV_Dienste!$M$6,F152-1,0)))),"Structure")),HYPERLINK("#"&amp;RIGHT(CELL("adresse",OFFSET(DMAV_Modell!$N$6,C152-1,0)),LEN(CELL("adresse",OFFSET(DMAV_Modell!$N$6,C152-1,0)))-FIND("]",CELL("adresse",OFFSET(DMAV_Modell!$N$6,C152-1,0)))),"Structure"))</f>
        <v/>
      </c>
      <c r="P152" s="64" t="str" cm="1">
        <f t="array" aca="1" ref="P152" ca="1">IF(D152=0,IF(G152=0,"",HYPERLINK("#"&amp;RIGHT(CELL("adresse",OFFSET(DMAV_Dienste!$M$6,G152-1,0)),LEN(CELL("adresse",OFFSET(DMAV_Dienste!$M$6,G152-1,0)))-FIND("]",CELL("adresse",OFFSET(DMAV_Dienste!$M$6,G152-1,0)))),"Substructure")),HYPERLINK("#"&amp;RIGHT(CELL("adresse",OFFSET(DMAV_Modell!$N$6,D152-1,0)),LEN(CELL("adresse",OFFSET(DMAV_Modell!$N$6,D152-1,0)))-FIND("]",CELL("adresse",OFFSET(DMAV_Modell!$N$6,D152-1,0)))),"Substructure"))</f>
        <v/>
      </c>
      <c r="R152" s="80"/>
      <c r="T152" s="93"/>
      <c r="U152" s="94"/>
      <c r="V152" s="95"/>
      <c r="W152" s="96"/>
      <c r="Y152" s="85"/>
      <c r="Z152" s="86"/>
      <c r="AA152" s="87"/>
      <c r="AB152" s="88"/>
      <c r="AD152" s="77"/>
      <c r="AF152" s="54" t="str" cm="1">
        <f t="array" aca="1" ref="AF152" ca="1">IF(H152=0,"",HYPERLINK("#"&amp;RIGHT(CELL("adresse",OFFSET('DM01-AV-CH'!$G$6,H152-1,0)),LEN(CELL("adresse",OFFSET('DM01-AV-CH'!$G$6,H152-1,0)))-FIND("]",CELL("adresse",OFFSET('DM01-AV-CH'!$G$6,H152-1,0)))),"Modell"))</f>
        <v/>
      </c>
      <c r="AG152" s="72" t="str" cm="1">
        <f t="array" ref="AG152">IF($H152=0,"",IF(INDEX('DM01-AV-CH'!G$6:G$834,$H152)="","",INDEX('DM01-AV-CH'!G$6:G$834,$H152)))</f>
        <v/>
      </c>
      <c r="AH152" s="73" t="str" cm="1">
        <f t="array" ref="AH152">IF($H152=0,"",IF(INDEX('DM01-AV-CH'!H$6:H$834,$H152)="","",INDEX('DM01-AV-CH'!H$6:H$834,$H152)))</f>
        <v/>
      </c>
      <c r="AI152" s="74" t="str" cm="1">
        <f t="array" ref="AI152">IF($H152=0,"",IF(INDEX('DM01-AV-CH'!I$6:I$834,$H152)="","",INDEX('DM01-AV-CH'!I$6:I$834,$H152)))</f>
        <v/>
      </c>
    </row>
    <row r="153" spans="1:35" x14ac:dyDescent="0.25">
      <c r="A153" s="57">
        <v>148</v>
      </c>
      <c r="B153" s="57">
        <f>IF($A153="","",IF(_xlfn.XLOOKUP($A153,Korrelation!$D$4:$D$1197,Korrelation!E$4:E$1197,"-",0)="-",0,MATCH(_xlfn.XLOOKUP($A153,Korrelation!$D$4:$D$1197,Korrelation!E$4:E$1197,"",0),DMAV_Modell!$G$6:$G$677,0)))</f>
        <v>0</v>
      </c>
      <c r="C153" s="57">
        <f>IF($A153="","",IF(_xlfn.XLOOKUP($A153,Korrelation!$D$4:$D$1197,Korrelation!F$4:F$1197,"-",0)="-",0,MATCH(_xlfn.XLOOKUP($A153,Korrelation!$D$4:$D$1197,Korrelation!F$4:F$1197,"",0),DMAV_Modell!$G$6:$G$677,0)))</f>
        <v>0</v>
      </c>
      <c r="D153" s="57">
        <f>IF($A153="","",IF(_xlfn.XLOOKUP($A153,Korrelation!$D$4:$D$1197,Korrelation!G$4:G$1197,"-",0)="-",0,MATCH(_xlfn.XLOOKUP($A153,Korrelation!$D$4:$D$1197,Korrelation!G$4:G$1197,"",0),DMAV_Modell!$G$6:$G$677,0)))</f>
        <v>0</v>
      </c>
      <c r="E153" s="57">
        <f>IF($A153="","",IF(_xlfn.XLOOKUP($A153,Korrelation!$D$4:$D$1197,Korrelation!H$4:H$1197,"-",0)="-",0,MATCH(_xlfn.XLOOKUP($A153,Korrelation!$D$4:$D$1197,Korrelation!H$4:H$1197,"",0),DMAV_Dienste!$F$6:$F$140,0)))</f>
        <v>75</v>
      </c>
      <c r="F153" s="57">
        <f>IF($A153="","",IF(_xlfn.XLOOKUP($A153,Korrelation!$D$4:$D$1197,Korrelation!I$4:I$1197,"-",0)="-",0,MATCH(_xlfn.XLOOKUP($A153,Korrelation!$D$4:$D$1197,Korrelation!I$4:I$1197,"",0),DMAV_Dienste!$F$6:$F$140,0)))</f>
        <v>0</v>
      </c>
      <c r="G153" s="57">
        <f>IF($A153="","",IF(_xlfn.XLOOKUP($A153,Korrelation!$D$4:$D$1197,Korrelation!J$4:J$1197,"-",0)="-",0,MATCH(_xlfn.XLOOKUP($A153,Korrelation!$D$4:$D$1197,Korrelation!J$4:J$1197,"",0),DMAV_Dienste!$F$6:$F$140,0)))</f>
        <v>0</v>
      </c>
      <c r="H153" s="57">
        <f>IF($A153="","",IF(_xlfn.XLOOKUP($A153,Korrelation!$D$4:$D$1197,Korrelation!K$4:K$1197,"-",0)="-",0,MATCH(_xlfn.XLOOKUP($A153,Korrelation!$D$4:$D$1197,Korrelation!K$4:K$1197,"",0),'DM01-AV-CH'!$A$6:$A$834,0)))</f>
        <v>0</v>
      </c>
      <c r="J153" s="54" t="str" cm="1">
        <f t="array" aca="1" ref="J153" ca="1">IF(B153=0,IF(E153=0,"",HYPERLINK("#"&amp;RIGHT(CELL("adresse",OFFSET(DMAV_Dienste!$M$6,E153-1,0)),LEN(CELL("adresse",OFFSET(DMAV_Dienste!$M$6,E153-1,0)))-FIND("]",CELL("adresse",OFFSET(DMAV_Dienste!$M$6,E153-1,0)))),"Dienst")),HYPERLINK("#"&amp;RIGHT(CELL("adresse",OFFSET(DMAV_Modell!$N$6,B153-1,0)),LEN(CELL("adresse",OFFSET(DMAV_Modell!$N$6,B153-1,0)))-FIND("]",CELL("adresse",OFFSET(DMAV_Modell!$N$6,B153-1,0)))),"Modell"))</f>
        <v>Dienst</v>
      </c>
      <c r="K153" s="61" t="str" cm="1">
        <f t="array" ref="K153">IF($B153=0,IF($E153=0,"",IF(INDEX(DMAV_Dienste!P$6:P$140,$E153)="","",INDEX(DMAV_Dienste!P$6:P$140,$E153))),IF(INDEX(DMAV_Modell!Q$6:Q$838,$B153)="","",INDEX(DMAV_Modell!Q$6:Q$838,$B153)))</f>
        <v>DOMAIN</v>
      </c>
      <c r="L153" s="62" t="str" cm="1">
        <f t="array" ref="L153">IF($B153=0,IF($E153=0,"",IF(INDEX(DMAV_Dienste!O$6:O$140,$E153)="","",INDEX(DMAV_Dienste!O$6:O$140,$E153))),IF(INDEX(DMAV_Modell!P$6:P$838,$B153)="","",INDEX(DMAV_Modell!P$6:P$838,$B153)))</f>
        <v/>
      </c>
      <c r="M153" s="62" t="str" cm="1">
        <f t="array" ref="M153">IF($B153=0,IF($E153=0,"",IF(INDEX(DMAV_Dienste!Q$6:Q$140,$E153)="","",INDEX(DMAV_Dienste!Q$6:Q$140,$E153))),IF(INDEX(DMAV_Modell!R$6:R$838,$B153)="","",INDEX(DMAV_Modell!R$6:R$838,$B153)))</f>
        <v>Zuverlaessigkeit</v>
      </c>
      <c r="N153" s="62" t="str" cm="1">
        <f t="array" ref="N153">IF($B153=0,IF($E153=0,"",IF(INDEX(DMAV_Dienste!T$6:T$140,$E153)="","",INDEX(DMAV_Dienste!T$6:T$140,$E153))),IF(INDEX(DMAV_Modell!U$6:U$838,$B153)="","",INDEX(DMAV_Modell!U$6:U$838,$B153)))</f>
        <v/>
      </c>
      <c r="O153" s="63" t="str" cm="1">
        <f t="array" aca="1" ref="O153" ca="1">IF(C153=0,IF(F153=0,"",HYPERLINK("#"&amp;RIGHT(CELL("adresse",OFFSET(DMAV_Dienste!$M$6,F153-1,0)),LEN(CELL("adresse",OFFSET(DMAV_Dienste!$M$6,F153-1,0)))-FIND("]",CELL("adresse",OFFSET(DMAV_Dienste!$M$6,F153-1,0)))),"Structure")),HYPERLINK("#"&amp;RIGHT(CELL("adresse",OFFSET(DMAV_Modell!$N$6,C153-1,0)),LEN(CELL("adresse",OFFSET(DMAV_Modell!$N$6,C153-1,0)))-FIND("]",CELL("adresse",OFFSET(DMAV_Modell!$N$6,C153-1,0)))),"Structure"))</f>
        <v/>
      </c>
      <c r="P153" s="64" t="str" cm="1">
        <f t="array" aca="1" ref="P153" ca="1">IF(D153=0,IF(G153=0,"",HYPERLINK("#"&amp;RIGHT(CELL("adresse",OFFSET(DMAV_Dienste!$M$6,G153-1,0)),LEN(CELL("adresse",OFFSET(DMAV_Dienste!$M$6,G153-1,0)))-FIND("]",CELL("adresse",OFFSET(DMAV_Dienste!$M$6,G153-1,0)))),"Substructure")),HYPERLINK("#"&amp;RIGHT(CELL("adresse",OFFSET(DMAV_Modell!$N$6,D153-1,0)),LEN(CELL("adresse",OFFSET(DMAV_Modell!$N$6,D153-1,0)))-FIND("]",CELL("adresse",OFFSET(DMAV_Modell!$N$6,D153-1,0)))),"Substructure"))</f>
        <v/>
      </c>
      <c r="R153" s="80"/>
      <c r="T153" s="93"/>
      <c r="U153" s="94"/>
      <c r="V153" s="95"/>
      <c r="W153" s="96"/>
      <c r="Y153" s="85"/>
      <c r="Z153" s="86"/>
      <c r="AA153" s="87"/>
      <c r="AB153" s="88"/>
      <c r="AD153" s="77"/>
      <c r="AF153" s="54" t="str" cm="1">
        <f t="array" aca="1" ref="AF153" ca="1">IF(H153=0,"",HYPERLINK("#"&amp;RIGHT(CELL("adresse",OFFSET('DM01-AV-CH'!$G$6,H153-1,0)),LEN(CELL("adresse",OFFSET('DM01-AV-CH'!$G$6,H153-1,0)))-FIND("]",CELL("adresse",OFFSET('DM01-AV-CH'!$G$6,H153-1,0)))),"Modell"))</f>
        <v/>
      </c>
      <c r="AG153" s="72" t="str" cm="1">
        <f t="array" ref="AG153">IF($H153=0,"",IF(INDEX('DM01-AV-CH'!G$6:G$834,$H153)="","",INDEX('DM01-AV-CH'!G$6:G$834,$H153)))</f>
        <v/>
      </c>
      <c r="AH153" s="73" t="str" cm="1">
        <f t="array" ref="AH153">IF($H153=0,"",IF(INDEX('DM01-AV-CH'!H$6:H$834,$H153)="","",INDEX('DM01-AV-CH'!H$6:H$834,$H153)))</f>
        <v/>
      </c>
      <c r="AI153" s="74" t="str" cm="1">
        <f t="array" ref="AI153">IF($H153=0,"",IF(INDEX('DM01-AV-CH'!I$6:I$834,$H153)="","",INDEX('DM01-AV-CH'!I$6:I$834,$H153)))</f>
        <v/>
      </c>
    </row>
    <row r="154" spans="1:35" x14ac:dyDescent="0.25">
      <c r="A154" s="57">
        <v>149</v>
      </c>
      <c r="B154" s="57">
        <f>IF($A154="","",IF(_xlfn.XLOOKUP($A154,Korrelation!$D$4:$D$1197,Korrelation!E$4:E$1197,"-",0)="-",0,MATCH(_xlfn.XLOOKUP($A154,Korrelation!$D$4:$D$1197,Korrelation!E$4:E$1197,"",0),DMAV_Modell!$G$6:$G$677,0)))</f>
        <v>0</v>
      </c>
      <c r="C154" s="57">
        <f>IF($A154="","",IF(_xlfn.XLOOKUP($A154,Korrelation!$D$4:$D$1197,Korrelation!F$4:F$1197,"-",0)="-",0,MATCH(_xlfn.XLOOKUP($A154,Korrelation!$D$4:$D$1197,Korrelation!F$4:F$1197,"",0),DMAV_Modell!$G$6:$G$677,0)))</f>
        <v>0</v>
      </c>
      <c r="D154" s="57">
        <f>IF($A154="","",IF(_xlfn.XLOOKUP($A154,Korrelation!$D$4:$D$1197,Korrelation!G$4:G$1197,"-",0)="-",0,MATCH(_xlfn.XLOOKUP($A154,Korrelation!$D$4:$D$1197,Korrelation!G$4:G$1197,"",0),DMAV_Modell!$G$6:$G$677,0)))</f>
        <v>0</v>
      </c>
      <c r="E154" s="57">
        <f>IF($A154="","",IF(_xlfn.XLOOKUP($A154,Korrelation!$D$4:$D$1197,Korrelation!H$4:H$1197,"-",0)="-",0,MATCH(_xlfn.XLOOKUP($A154,Korrelation!$D$4:$D$1197,Korrelation!H$4:H$1197,"",0),DMAV_Dienste!$F$6:$F$140,0)))</f>
        <v>76</v>
      </c>
      <c r="F154" s="57">
        <f>IF($A154="","",IF(_xlfn.XLOOKUP($A154,Korrelation!$D$4:$D$1197,Korrelation!I$4:I$1197,"-",0)="-",0,MATCH(_xlfn.XLOOKUP($A154,Korrelation!$D$4:$D$1197,Korrelation!I$4:I$1197,"",0),DMAV_Dienste!$F$6:$F$140,0)))</f>
        <v>0</v>
      </c>
      <c r="G154" s="57">
        <f>IF($A154="","",IF(_xlfn.XLOOKUP($A154,Korrelation!$D$4:$D$1197,Korrelation!J$4:J$1197,"-",0)="-",0,MATCH(_xlfn.XLOOKUP($A154,Korrelation!$D$4:$D$1197,Korrelation!J$4:J$1197,"",0),DMAV_Dienste!$F$6:$F$140,0)))</f>
        <v>0</v>
      </c>
      <c r="H154" s="57">
        <f>IF($A154="","",IF(_xlfn.XLOOKUP($A154,Korrelation!$D$4:$D$1197,Korrelation!K$4:K$1197,"-",0)="-",0,MATCH(_xlfn.XLOOKUP($A154,Korrelation!$D$4:$D$1197,Korrelation!K$4:K$1197,"",0),'DM01-AV-CH'!$A$6:$A$834,0)))</f>
        <v>0</v>
      </c>
      <c r="J154" s="54" t="str" cm="1">
        <f t="array" aca="1" ref="J154" ca="1">IF(B154=0,IF(E154=0,"",HYPERLINK("#"&amp;RIGHT(CELL("adresse",OFFSET(DMAV_Dienste!$M$6,E154-1,0)),LEN(CELL("adresse",OFFSET(DMAV_Dienste!$M$6,E154-1,0)))-FIND("]",CELL("adresse",OFFSET(DMAV_Dienste!$M$6,E154-1,0)))),"Dienst")),HYPERLINK("#"&amp;RIGHT(CELL("adresse",OFFSET(DMAV_Modell!$N$6,B154-1,0)),LEN(CELL("adresse",OFFSET(DMAV_Modell!$N$6,B154-1,0)))-FIND("]",CELL("adresse",OFFSET(DMAV_Modell!$N$6,B154-1,0)))),"Modell"))</f>
        <v>Dienst</v>
      </c>
      <c r="K154" s="61" t="str" cm="1">
        <f t="array" ref="K154">IF($B154=0,IF($E154=0,"",IF(INDEX(DMAV_Dienste!P$6:P$140,$E154)="","",INDEX(DMAV_Dienste!P$6:P$140,$E154))),IF(INDEX(DMAV_Modell!Q$6:Q$838,$B154)="","",INDEX(DMAV_Modell!Q$6:Q$838,$B154)))</f>
        <v>DOMAIN</v>
      </c>
      <c r="L154" s="62" t="str" cm="1">
        <f t="array" ref="L154">IF($B154=0,IF($E154=0,"",IF(INDEX(DMAV_Dienste!O$6:O$140,$E154)="","",INDEX(DMAV_Dienste!O$6:O$140,$E154))),IF(INDEX(DMAV_Modell!P$6:P$838,$B154)="","",INDEX(DMAV_Modell!P$6:P$838,$B154)))</f>
        <v/>
      </c>
      <c r="M154" s="62" t="str" cm="1">
        <f t="array" ref="M154">IF($B154=0,IF($E154=0,"",IF(INDEX(DMAV_Dienste!Q$6:Q$140,$E154)="","",INDEX(DMAV_Dienste!Q$6:Q$140,$E154))),IF(INDEX(DMAV_Modell!R$6:R$838,$B154)="","",INDEX(DMAV_Modell!R$6:R$838,$B154)))</f>
        <v>Zuverlaessigkeit</v>
      </c>
      <c r="N154" s="62" t="str" cm="1">
        <f t="array" ref="N154">IF($B154=0,IF($E154=0,"",IF(INDEX(DMAV_Dienste!T$6:T$140,$E154)="","",INDEX(DMAV_Dienste!T$6:T$140,$E154))),IF(INDEX(DMAV_Modell!U$6:U$838,$B154)="","",INDEX(DMAV_Modell!U$6:U$838,$B154)))</f>
        <v/>
      </c>
      <c r="O154" s="63" t="str" cm="1">
        <f t="array" aca="1" ref="O154" ca="1">IF(C154=0,IF(F154=0,"",HYPERLINK("#"&amp;RIGHT(CELL("adresse",OFFSET(DMAV_Dienste!$M$6,F154-1,0)),LEN(CELL("adresse",OFFSET(DMAV_Dienste!$M$6,F154-1,0)))-FIND("]",CELL("adresse",OFFSET(DMAV_Dienste!$M$6,F154-1,0)))),"Structure")),HYPERLINK("#"&amp;RIGHT(CELL("adresse",OFFSET(DMAV_Modell!$N$6,C154-1,0)),LEN(CELL("adresse",OFFSET(DMAV_Modell!$N$6,C154-1,0)))-FIND("]",CELL("adresse",OFFSET(DMAV_Modell!$N$6,C154-1,0)))),"Structure"))</f>
        <v/>
      </c>
      <c r="P154" s="64" t="str" cm="1">
        <f t="array" aca="1" ref="P154" ca="1">IF(D154=0,IF(G154=0,"",HYPERLINK("#"&amp;RIGHT(CELL("adresse",OFFSET(DMAV_Dienste!$M$6,G154-1,0)),LEN(CELL("adresse",OFFSET(DMAV_Dienste!$M$6,G154-1,0)))-FIND("]",CELL("adresse",OFFSET(DMAV_Dienste!$M$6,G154-1,0)))),"Substructure")),HYPERLINK("#"&amp;RIGHT(CELL("adresse",OFFSET(DMAV_Modell!$N$6,D154-1,0)),LEN(CELL("adresse",OFFSET(DMAV_Modell!$N$6,D154-1,0)))-FIND("]",CELL("adresse",OFFSET(DMAV_Modell!$N$6,D154-1,0)))),"Substructure"))</f>
        <v/>
      </c>
      <c r="R154" s="80"/>
      <c r="T154" s="93"/>
      <c r="U154" s="94"/>
      <c r="V154" s="95"/>
      <c r="W154" s="96"/>
      <c r="Y154" s="85"/>
      <c r="Z154" s="86"/>
      <c r="AA154" s="87"/>
      <c r="AB154" s="88"/>
      <c r="AD154" s="77"/>
      <c r="AF154" s="54" t="str" cm="1">
        <f t="array" aca="1" ref="AF154" ca="1">IF(H154=0,"",HYPERLINK("#"&amp;RIGHT(CELL("adresse",OFFSET('DM01-AV-CH'!$G$6,H154-1,0)),LEN(CELL("adresse",OFFSET('DM01-AV-CH'!$G$6,H154-1,0)))-FIND("]",CELL("adresse",OFFSET('DM01-AV-CH'!$G$6,H154-1,0)))),"Modell"))</f>
        <v/>
      </c>
      <c r="AG154" s="72" t="str" cm="1">
        <f t="array" ref="AG154">IF($H154=0,"",IF(INDEX('DM01-AV-CH'!G$6:G$834,$H154)="","",INDEX('DM01-AV-CH'!G$6:G$834,$H154)))</f>
        <v/>
      </c>
      <c r="AH154" s="73" t="str" cm="1">
        <f t="array" ref="AH154">IF($H154=0,"",IF(INDEX('DM01-AV-CH'!H$6:H$834,$H154)="","",INDEX('DM01-AV-CH'!H$6:H$834,$H154)))</f>
        <v/>
      </c>
      <c r="AI154" s="74" t="str" cm="1">
        <f t="array" ref="AI154">IF($H154=0,"",IF(INDEX('DM01-AV-CH'!I$6:I$834,$H154)="","",INDEX('DM01-AV-CH'!I$6:I$834,$H154)))</f>
        <v/>
      </c>
    </row>
    <row r="155" spans="1:35" x14ac:dyDescent="0.25">
      <c r="A155" s="57">
        <v>150</v>
      </c>
      <c r="B155" s="57">
        <f>IF($A155="","",IF(_xlfn.XLOOKUP($A155,Korrelation!$D$4:$D$1197,Korrelation!E$4:E$1197,"-",0)="-",0,MATCH(_xlfn.XLOOKUP($A155,Korrelation!$D$4:$D$1197,Korrelation!E$4:E$1197,"",0),DMAV_Modell!$G$6:$G$677,0)))</f>
        <v>0</v>
      </c>
      <c r="C155" s="57">
        <f>IF($A155="","",IF(_xlfn.XLOOKUP($A155,Korrelation!$D$4:$D$1197,Korrelation!F$4:F$1197,"-",0)="-",0,MATCH(_xlfn.XLOOKUP($A155,Korrelation!$D$4:$D$1197,Korrelation!F$4:F$1197,"",0),DMAV_Modell!$G$6:$G$677,0)))</f>
        <v>0</v>
      </c>
      <c r="D155" s="57">
        <f>IF($A155="","",IF(_xlfn.XLOOKUP($A155,Korrelation!$D$4:$D$1197,Korrelation!G$4:G$1197,"-",0)="-",0,MATCH(_xlfn.XLOOKUP($A155,Korrelation!$D$4:$D$1197,Korrelation!G$4:G$1197,"",0),DMAV_Modell!$G$6:$G$677,0)))</f>
        <v>0</v>
      </c>
      <c r="E155" s="57">
        <f>IF($A155="","",IF(_xlfn.XLOOKUP($A155,Korrelation!$D$4:$D$1197,Korrelation!H$4:H$1197,"-",0)="-",0,MATCH(_xlfn.XLOOKUP($A155,Korrelation!$D$4:$D$1197,Korrelation!H$4:H$1197,"",0),DMAV_Dienste!$F$6:$F$140,0)))</f>
        <v>77</v>
      </c>
      <c r="F155" s="57">
        <f>IF($A155="","",IF(_xlfn.XLOOKUP($A155,Korrelation!$D$4:$D$1197,Korrelation!I$4:I$1197,"-",0)="-",0,MATCH(_xlfn.XLOOKUP($A155,Korrelation!$D$4:$D$1197,Korrelation!I$4:I$1197,"",0),DMAV_Dienste!$F$6:$F$140,0)))</f>
        <v>0</v>
      </c>
      <c r="G155" s="57">
        <f>IF($A155="","",IF(_xlfn.XLOOKUP($A155,Korrelation!$D$4:$D$1197,Korrelation!J$4:J$1197,"-",0)="-",0,MATCH(_xlfn.XLOOKUP($A155,Korrelation!$D$4:$D$1197,Korrelation!J$4:J$1197,"",0),DMAV_Dienste!$F$6:$F$140,0)))</f>
        <v>0</v>
      </c>
      <c r="H155" s="57">
        <f>IF($A155="","",IF(_xlfn.XLOOKUP($A155,Korrelation!$D$4:$D$1197,Korrelation!K$4:K$1197,"-",0)="-",0,MATCH(_xlfn.XLOOKUP($A155,Korrelation!$D$4:$D$1197,Korrelation!K$4:K$1197,"",0),'DM01-AV-CH'!$A$6:$A$834,0)))</f>
        <v>0</v>
      </c>
      <c r="J155" s="54" t="str" cm="1">
        <f t="array" aca="1" ref="J155" ca="1">IF(B155=0,IF(E155=0,"",HYPERLINK("#"&amp;RIGHT(CELL("adresse",OFFSET(DMAV_Dienste!$M$6,E155-1,0)),LEN(CELL("adresse",OFFSET(DMAV_Dienste!$M$6,E155-1,0)))-FIND("]",CELL("adresse",OFFSET(DMAV_Dienste!$M$6,E155-1,0)))),"Dienst")),HYPERLINK("#"&amp;RIGHT(CELL("adresse",OFFSET(DMAV_Modell!$N$6,B155-1,0)),LEN(CELL("adresse",OFFSET(DMAV_Modell!$N$6,B155-1,0)))-FIND("]",CELL("adresse",OFFSET(DMAV_Modell!$N$6,B155-1,0)))),"Modell"))</f>
        <v>Dienst</v>
      </c>
      <c r="K155" s="61" t="str" cm="1">
        <f t="array" ref="K155">IF($B155=0,IF($E155=0,"",IF(INDEX(DMAV_Dienste!P$6:P$140,$E155)="","",INDEX(DMAV_Dienste!P$6:P$140,$E155))),IF(INDEX(DMAV_Modell!Q$6:Q$838,$B155)="","",INDEX(DMAV_Modell!Q$6:Q$838,$B155)))</f>
        <v>CLASS</v>
      </c>
      <c r="L155" s="62" t="str" cm="1">
        <f t="array" ref="L155">IF($B155=0,IF($E155=0,"",IF(INDEX(DMAV_Dienste!O$6:O$140,$E155)="","",INDEX(DMAV_Dienste!O$6:O$140,$E155))),IF(INDEX(DMAV_Modell!P$6:P$838,$B155)="","",INDEX(DMAV_Modell!P$6:P$838,$B155)))</f>
        <v>FPDS2</v>
      </c>
      <c r="M155" s="62" t="str" cm="1">
        <f t="array" ref="M155">IF($B155=0,IF($E155=0,"",IF(INDEX(DMAV_Dienste!Q$6:Q$140,$E155)="","",INDEX(DMAV_Dienste!Q$6:Q$140,$E155))),IF(INDEX(DMAV_Modell!R$6:R$838,$B155)="","",INDEX(DMAV_Modell!R$6:R$838,$B155)))</f>
        <v>UebersichtGeodienst</v>
      </c>
      <c r="N155" s="62" t="str" cm="1">
        <f t="array" ref="N155">IF($B155=0,IF($E155=0,"",IF(INDEX(DMAV_Dienste!T$6:T$140,$E155)="","",INDEX(DMAV_Dienste!T$6:T$140,$E155))),IF(INDEX(DMAV_Modell!U$6:U$838,$B155)="","",INDEX(DMAV_Modell!U$6:U$838,$B155)))</f>
        <v>Bezeichnung</v>
      </c>
      <c r="O155" s="63" t="str" cm="1">
        <f t="array" aca="1" ref="O155" ca="1">IF(C155=0,IF(F155=0,"",HYPERLINK("#"&amp;RIGHT(CELL("adresse",OFFSET(DMAV_Dienste!$M$6,F155-1,0)),LEN(CELL("adresse",OFFSET(DMAV_Dienste!$M$6,F155-1,0)))-FIND("]",CELL("adresse",OFFSET(DMAV_Dienste!$M$6,F155-1,0)))),"Structure")),HYPERLINK("#"&amp;RIGHT(CELL("adresse",OFFSET(DMAV_Modell!$N$6,C155-1,0)),LEN(CELL("adresse",OFFSET(DMAV_Modell!$N$6,C155-1,0)))-FIND("]",CELL("adresse",OFFSET(DMAV_Modell!$N$6,C155-1,0)))),"Structure"))</f>
        <v/>
      </c>
      <c r="P155" s="64" t="str" cm="1">
        <f t="array" aca="1" ref="P155" ca="1">IF(D155=0,IF(G155=0,"",HYPERLINK("#"&amp;RIGHT(CELL("adresse",OFFSET(DMAV_Dienste!$M$6,G155-1,0)),LEN(CELL("adresse",OFFSET(DMAV_Dienste!$M$6,G155-1,0)))-FIND("]",CELL("adresse",OFFSET(DMAV_Dienste!$M$6,G155-1,0)))),"Substructure")),HYPERLINK("#"&amp;RIGHT(CELL("adresse",OFFSET(DMAV_Modell!$N$6,D155-1,0)),LEN(CELL("adresse",OFFSET(DMAV_Modell!$N$6,D155-1,0)))-FIND("]",CELL("adresse",OFFSET(DMAV_Modell!$N$6,D155-1,0)))),"Substructure"))</f>
        <v/>
      </c>
      <c r="R155" s="80"/>
      <c r="T155" s="93"/>
      <c r="U155" s="94"/>
      <c r="V155" s="95"/>
      <c r="W155" s="96"/>
      <c r="Y155" s="85"/>
      <c r="Z155" s="86"/>
      <c r="AA155" s="87"/>
      <c r="AB155" s="88"/>
      <c r="AD155" s="77"/>
      <c r="AF155" s="54" t="str" cm="1">
        <f t="array" aca="1" ref="AF155" ca="1">IF(H155=0,"",HYPERLINK("#"&amp;RIGHT(CELL("adresse",OFFSET('DM01-AV-CH'!$G$6,H155-1,0)),LEN(CELL("adresse",OFFSET('DM01-AV-CH'!$G$6,H155-1,0)))-FIND("]",CELL("adresse",OFFSET('DM01-AV-CH'!$G$6,H155-1,0)))),"Modell"))</f>
        <v/>
      </c>
      <c r="AG155" s="72" t="str" cm="1">
        <f t="array" ref="AG155">IF($H155=0,"",IF(INDEX('DM01-AV-CH'!G$6:G$834,$H155)="","",INDEX('DM01-AV-CH'!G$6:G$834,$H155)))</f>
        <v/>
      </c>
      <c r="AH155" s="73" t="str" cm="1">
        <f t="array" ref="AH155">IF($H155=0,"",IF(INDEX('DM01-AV-CH'!H$6:H$834,$H155)="","",INDEX('DM01-AV-CH'!H$6:H$834,$H155)))</f>
        <v/>
      </c>
      <c r="AI155" s="74" t="str" cm="1">
        <f t="array" ref="AI155">IF($H155=0,"",IF(INDEX('DM01-AV-CH'!I$6:I$834,$H155)="","",INDEX('DM01-AV-CH'!I$6:I$834,$H155)))</f>
        <v/>
      </c>
    </row>
    <row r="156" spans="1:35" x14ac:dyDescent="0.25">
      <c r="A156" s="57">
        <v>151</v>
      </c>
      <c r="B156" s="57">
        <f>IF($A156="","",IF(_xlfn.XLOOKUP($A156,Korrelation!$D$4:$D$1197,Korrelation!E$4:E$1197,"-",0)="-",0,MATCH(_xlfn.XLOOKUP($A156,Korrelation!$D$4:$D$1197,Korrelation!E$4:E$1197,"",0),DMAV_Modell!$G$6:$G$677,0)))</f>
        <v>0</v>
      </c>
      <c r="C156" s="57">
        <f>IF($A156="","",IF(_xlfn.XLOOKUP($A156,Korrelation!$D$4:$D$1197,Korrelation!F$4:F$1197,"-",0)="-",0,MATCH(_xlfn.XLOOKUP($A156,Korrelation!$D$4:$D$1197,Korrelation!F$4:F$1197,"",0),DMAV_Modell!$G$6:$G$677,0)))</f>
        <v>0</v>
      </c>
      <c r="D156" s="57">
        <f>IF($A156="","",IF(_xlfn.XLOOKUP($A156,Korrelation!$D$4:$D$1197,Korrelation!G$4:G$1197,"-",0)="-",0,MATCH(_xlfn.XLOOKUP($A156,Korrelation!$D$4:$D$1197,Korrelation!G$4:G$1197,"",0),DMAV_Modell!$G$6:$G$677,0)))</f>
        <v>0</v>
      </c>
      <c r="E156" s="57">
        <f>IF($A156="","",IF(_xlfn.XLOOKUP($A156,Korrelation!$D$4:$D$1197,Korrelation!H$4:H$1197,"-",0)="-",0,MATCH(_xlfn.XLOOKUP($A156,Korrelation!$D$4:$D$1197,Korrelation!H$4:H$1197,"",0),DMAV_Dienste!$F$6:$F$140,0)))</f>
        <v>78</v>
      </c>
      <c r="F156" s="57">
        <f>IF($A156="","",IF(_xlfn.XLOOKUP($A156,Korrelation!$D$4:$D$1197,Korrelation!I$4:I$1197,"-",0)="-",0,MATCH(_xlfn.XLOOKUP($A156,Korrelation!$D$4:$D$1197,Korrelation!I$4:I$1197,"",0),DMAV_Dienste!$F$6:$F$140,0)))</f>
        <v>0</v>
      </c>
      <c r="G156" s="57">
        <f>IF($A156="","",IF(_xlfn.XLOOKUP($A156,Korrelation!$D$4:$D$1197,Korrelation!J$4:J$1197,"-",0)="-",0,MATCH(_xlfn.XLOOKUP($A156,Korrelation!$D$4:$D$1197,Korrelation!J$4:J$1197,"",0),DMAV_Dienste!$F$6:$F$140,0)))</f>
        <v>0</v>
      </c>
      <c r="H156" s="57">
        <f>IF($A156="","",IF(_xlfn.XLOOKUP($A156,Korrelation!$D$4:$D$1197,Korrelation!K$4:K$1197,"-",0)="-",0,MATCH(_xlfn.XLOOKUP($A156,Korrelation!$D$4:$D$1197,Korrelation!K$4:K$1197,"",0),'DM01-AV-CH'!$A$6:$A$834,0)))</f>
        <v>0</v>
      </c>
      <c r="J156" s="54" t="str" cm="1">
        <f t="array" aca="1" ref="J156" ca="1">IF(B156=0,IF(E156=0,"",HYPERLINK("#"&amp;RIGHT(CELL("adresse",OFFSET(DMAV_Dienste!$M$6,E156-1,0)),LEN(CELL("adresse",OFFSET(DMAV_Dienste!$M$6,E156-1,0)))-FIND("]",CELL("adresse",OFFSET(DMAV_Dienste!$M$6,E156-1,0)))),"Dienst")),HYPERLINK("#"&amp;RIGHT(CELL("adresse",OFFSET(DMAV_Modell!$N$6,B156-1,0)),LEN(CELL("adresse",OFFSET(DMAV_Modell!$N$6,B156-1,0)))-FIND("]",CELL("adresse",OFFSET(DMAV_Modell!$N$6,B156-1,0)))),"Modell"))</f>
        <v>Dienst</v>
      </c>
      <c r="K156" s="61" t="str" cm="1">
        <f t="array" ref="K156">IF($B156=0,IF($E156=0,"",IF(INDEX(DMAV_Dienste!P$6:P$140,$E156)="","",INDEX(DMAV_Dienste!P$6:P$140,$E156))),IF(INDEX(DMAV_Modell!Q$6:Q$838,$B156)="","",INDEX(DMAV_Modell!Q$6:Q$838,$B156)))</f>
        <v>CLASS</v>
      </c>
      <c r="L156" s="62" t="str" cm="1">
        <f t="array" ref="L156">IF($B156=0,IF($E156=0,"",IF(INDEX(DMAV_Dienste!O$6:O$140,$E156)="","",INDEX(DMAV_Dienste!O$6:O$140,$E156))),IF(INDEX(DMAV_Modell!P$6:P$838,$B156)="","",INDEX(DMAV_Modell!P$6:P$838,$B156)))</f>
        <v>FPDS2</v>
      </c>
      <c r="M156" s="62" t="str" cm="1">
        <f t="array" ref="M156">IF($B156=0,IF($E156=0,"",IF(INDEX(DMAV_Dienste!Q$6:Q$140,$E156)="","",INDEX(DMAV_Dienste!Q$6:Q$140,$E156))),IF(INDEX(DMAV_Modell!R$6:R$838,$B156)="","",INDEX(DMAV_Modell!R$6:R$838,$B156)))</f>
        <v>UebersichtGeodienst</v>
      </c>
      <c r="N156" s="62" t="str" cm="1">
        <f t="array" ref="N156">IF($B156=0,IF($E156=0,"",IF(INDEX(DMAV_Dienste!T$6:T$140,$E156)="","",INDEX(DMAV_Dienste!T$6:T$140,$E156))),IF(INDEX(DMAV_Modell!U$6:U$838,$B156)="","",INDEX(DMAV_Modell!U$6:U$838,$B156)))</f>
        <v>URL</v>
      </c>
      <c r="O156" s="63" t="str" cm="1">
        <f t="array" aca="1" ref="O156" ca="1">IF(C156=0,IF(F156=0,"",HYPERLINK("#"&amp;RIGHT(CELL("adresse",OFFSET(DMAV_Dienste!$M$6,F156-1,0)),LEN(CELL("adresse",OFFSET(DMAV_Dienste!$M$6,F156-1,0)))-FIND("]",CELL("adresse",OFFSET(DMAV_Dienste!$M$6,F156-1,0)))),"Structure")),HYPERLINK("#"&amp;RIGHT(CELL("adresse",OFFSET(DMAV_Modell!$N$6,C156-1,0)),LEN(CELL("adresse",OFFSET(DMAV_Modell!$N$6,C156-1,0)))-FIND("]",CELL("adresse",OFFSET(DMAV_Modell!$N$6,C156-1,0)))),"Structure"))</f>
        <v/>
      </c>
      <c r="P156" s="64" t="str" cm="1">
        <f t="array" aca="1" ref="P156" ca="1">IF(D156=0,IF(G156=0,"",HYPERLINK("#"&amp;RIGHT(CELL("adresse",OFFSET(DMAV_Dienste!$M$6,G156-1,0)),LEN(CELL("adresse",OFFSET(DMAV_Dienste!$M$6,G156-1,0)))-FIND("]",CELL("adresse",OFFSET(DMAV_Dienste!$M$6,G156-1,0)))),"Substructure")),HYPERLINK("#"&amp;RIGHT(CELL("adresse",OFFSET(DMAV_Modell!$N$6,D156-1,0)),LEN(CELL("adresse",OFFSET(DMAV_Modell!$N$6,D156-1,0)))-FIND("]",CELL("adresse",OFFSET(DMAV_Modell!$N$6,D156-1,0)))),"Substructure"))</f>
        <v/>
      </c>
      <c r="R156" s="80"/>
      <c r="T156" s="93"/>
      <c r="U156" s="94"/>
      <c r="V156" s="95"/>
      <c r="W156" s="96"/>
      <c r="Y156" s="85"/>
      <c r="Z156" s="86"/>
      <c r="AA156" s="87"/>
      <c r="AB156" s="88"/>
      <c r="AD156" s="77"/>
      <c r="AF156" s="54" t="str" cm="1">
        <f t="array" aca="1" ref="AF156" ca="1">IF(H156=0,"",HYPERLINK("#"&amp;RIGHT(CELL("adresse",OFFSET('DM01-AV-CH'!$G$6,H156-1,0)),LEN(CELL("adresse",OFFSET('DM01-AV-CH'!$G$6,H156-1,0)))-FIND("]",CELL("adresse",OFFSET('DM01-AV-CH'!$G$6,H156-1,0)))),"Modell"))</f>
        <v/>
      </c>
      <c r="AG156" s="72" t="str" cm="1">
        <f t="array" ref="AG156">IF($H156=0,"",IF(INDEX('DM01-AV-CH'!G$6:G$834,$H156)="","",INDEX('DM01-AV-CH'!G$6:G$834,$H156)))</f>
        <v/>
      </c>
      <c r="AH156" s="73" t="str" cm="1">
        <f t="array" ref="AH156">IF($H156=0,"",IF(INDEX('DM01-AV-CH'!H$6:H$834,$H156)="","",INDEX('DM01-AV-CH'!H$6:H$834,$H156)))</f>
        <v/>
      </c>
      <c r="AI156" s="74" t="str" cm="1">
        <f t="array" ref="AI156">IF($H156=0,"",IF(INDEX('DM01-AV-CH'!I$6:I$834,$H156)="","",INDEX('DM01-AV-CH'!I$6:I$834,$H156)))</f>
        <v/>
      </c>
    </row>
    <row r="157" spans="1:35" x14ac:dyDescent="0.25">
      <c r="A157" s="57">
        <v>152</v>
      </c>
      <c r="B157" s="57">
        <f>IF($A157="","",IF(_xlfn.XLOOKUP($A157,Korrelation!$D$4:$D$1197,Korrelation!E$4:E$1197,"-",0)="-",0,MATCH(_xlfn.XLOOKUP($A157,Korrelation!$D$4:$D$1197,Korrelation!E$4:E$1197,"",0),DMAV_Modell!$G$6:$G$677,0)))</f>
        <v>0</v>
      </c>
      <c r="C157" s="57">
        <f>IF($A157="","",IF(_xlfn.XLOOKUP($A157,Korrelation!$D$4:$D$1197,Korrelation!F$4:F$1197,"-",0)="-",0,MATCH(_xlfn.XLOOKUP($A157,Korrelation!$D$4:$D$1197,Korrelation!F$4:F$1197,"",0),DMAV_Modell!$G$6:$G$677,0)))</f>
        <v>0</v>
      </c>
      <c r="D157" s="57">
        <f>IF($A157="","",IF(_xlfn.XLOOKUP($A157,Korrelation!$D$4:$D$1197,Korrelation!G$4:G$1197,"-",0)="-",0,MATCH(_xlfn.XLOOKUP($A157,Korrelation!$D$4:$D$1197,Korrelation!G$4:G$1197,"",0),DMAV_Modell!$G$6:$G$677,0)))</f>
        <v>0</v>
      </c>
      <c r="E157" s="57">
        <f>IF($A157="","",IF(_xlfn.XLOOKUP($A157,Korrelation!$D$4:$D$1197,Korrelation!H$4:H$1197,"-",0)="-",0,MATCH(_xlfn.XLOOKUP($A157,Korrelation!$D$4:$D$1197,Korrelation!H$4:H$1197,"",0),DMAV_Dienste!$F$6:$F$140,0)))</f>
        <v>79</v>
      </c>
      <c r="F157" s="57">
        <f>IF($A157="","",IF(_xlfn.XLOOKUP($A157,Korrelation!$D$4:$D$1197,Korrelation!I$4:I$1197,"-",0)="-",0,MATCH(_xlfn.XLOOKUP($A157,Korrelation!$D$4:$D$1197,Korrelation!I$4:I$1197,"",0),DMAV_Dienste!$F$6:$F$140,0)))</f>
        <v>0</v>
      </c>
      <c r="G157" s="57">
        <f>IF($A157="","",IF(_xlfn.XLOOKUP($A157,Korrelation!$D$4:$D$1197,Korrelation!J$4:J$1197,"-",0)="-",0,MATCH(_xlfn.XLOOKUP($A157,Korrelation!$D$4:$D$1197,Korrelation!J$4:J$1197,"",0),DMAV_Dienste!$F$6:$F$140,0)))</f>
        <v>0</v>
      </c>
      <c r="H157" s="57">
        <f>IF($A157="","",IF(_xlfn.XLOOKUP($A157,Korrelation!$D$4:$D$1197,Korrelation!K$4:K$1197,"-",0)="-",0,MATCH(_xlfn.XLOOKUP($A157,Korrelation!$D$4:$D$1197,Korrelation!K$4:K$1197,"",0),'DM01-AV-CH'!$A$6:$A$834,0)))</f>
        <v>0</v>
      </c>
      <c r="J157" s="54" t="str" cm="1">
        <f t="array" aca="1" ref="J157" ca="1">IF(B157=0,IF(E157=0,"",HYPERLINK("#"&amp;RIGHT(CELL("adresse",OFFSET(DMAV_Dienste!$M$6,E157-1,0)),LEN(CELL("adresse",OFFSET(DMAV_Dienste!$M$6,E157-1,0)))-FIND("]",CELL("adresse",OFFSET(DMAV_Dienste!$M$6,E157-1,0)))),"Dienst")),HYPERLINK("#"&amp;RIGHT(CELL("adresse",OFFSET(DMAV_Modell!$N$6,B157-1,0)),LEN(CELL("adresse",OFFSET(DMAV_Modell!$N$6,B157-1,0)))-FIND("]",CELL("adresse",OFFSET(DMAV_Modell!$N$6,B157-1,0)))),"Modell"))</f>
        <v>Dienst</v>
      </c>
      <c r="K157" s="61" t="str" cm="1">
        <f t="array" ref="K157">IF($B157=0,IF($E157=0,"",IF(INDEX(DMAV_Dienste!P$6:P$140,$E157)="","",INDEX(DMAV_Dienste!P$6:P$140,$E157))),IF(INDEX(DMAV_Modell!Q$6:Q$838,$B157)="","",INDEX(DMAV_Modell!Q$6:Q$838,$B157)))</f>
        <v>CLASS</v>
      </c>
      <c r="L157" s="62" t="str" cm="1">
        <f t="array" ref="L157">IF($B157=0,IF($E157=0,"",IF(INDEX(DMAV_Dienste!O$6:O$140,$E157)="","",INDEX(DMAV_Dienste!O$6:O$140,$E157))),IF(INDEX(DMAV_Modell!P$6:P$838,$B157)="","",INDEX(DMAV_Modell!P$6:P$838,$B157)))</f>
        <v>FPDS2</v>
      </c>
      <c r="M157" s="62" t="str" cm="1">
        <f t="array" ref="M157">IF($B157=0,IF($E157=0,"",IF(INDEX(DMAV_Dienste!Q$6:Q$140,$E157)="","",INDEX(DMAV_Dienste!Q$6:Q$140,$E157))),IF(INDEX(DMAV_Modell!R$6:R$838,$B157)="","",INDEX(DMAV_Modell!R$6:R$838,$B157)))</f>
        <v>UebersichtMassstab</v>
      </c>
      <c r="N157" s="62" t="str" cm="1">
        <f t="array" ref="N157">IF($B157=0,IF($E157=0,"",IF(INDEX(DMAV_Dienste!T$6:T$140,$E157)="","",INDEX(DMAV_Dienste!T$6:T$140,$E157))),IF(INDEX(DMAV_Modell!U$6:U$838,$B157)="","",INDEX(DMAV_Modell!U$6:U$838,$B157)))</f>
        <v>Massstabszahl</v>
      </c>
      <c r="O157" s="63" t="str" cm="1">
        <f t="array" aca="1" ref="O157" ca="1">IF(C157=0,IF(F157=0,"",HYPERLINK("#"&amp;RIGHT(CELL("adresse",OFFSET(DMAV_Dienste!$M$6,F157-1,0)),LEN(CELL("adresse",OFFSET(DMAV_Dienste!$M$6,F157-1,0)))-FIND("]",CELL("adresse",OFFSET(DMAV_Dienste!$M$6,F157-1,0)))),"Structure")),HYPERLINK("#"&amp;RIGHT(CELL("adresse",OFFSET(DMAV_Modell!$N$6,C157-1,0)),LEN(CELL("adresse",OFFSET(DMAV_Modell!$N$6,C157-1,0)))-FIND("]",CELL("adresse",OFFSET(DMAV_Modell!$N$6,C157-1,0)))),"Structure"))</f>
        <v/>
      </c>
      <c r="P157" s="64" t="str" cm="1">
        <f t="array" aca="1" ref="P157" ca="1">IF(D157=0,IF(G157=0,"",HYPERLINK("#"&amp;RIGHT(CELL("adresse",OFFSET(DMAV_Dienste!$M$6,G157-1,0)),LEN(CELL("adresse",OFFSET(DMAV_Dienste!$M$6,G157-1,0)))-FIND("]",CELL("adresse",OFFSET(DMAV_Dienste!$M$6,G157-1,0)))),"Substructure")),HYPERLINK("#"&amp;RIGHT(CELL("adresse",OFFSET(DMAV_Modell!$N$6,D157-1,0)),LEN(CELL("adresse",OFFSET(DMAV_Modell!$N$6,D157-1,0)))-FIND("]",CELL("adresse",OFFSET(DMAV_Modell!$N$6,D157-1,0)))),"Substructure"))</f>
        <v/>
      </c>
      <c r="R157" s="80"/>
      <c r="T157" s="93"/>
      <c r="U157" s="94"/>
      <c r="V157" s="95"/>
      <c r="W157" s="96"/>
      <c r="Y157" s="85"/>
      <c r="Z157" s="86"/>
      <c r="AA157" s="87"/>
      <c r="AB157" s="88"/>
      <c r="AD157" s="77"/>
      <c r="AF157" s="54" t="str" cm="1">
        <f t="array" aca="1" ref="AF157" ca="1">IF(H157=0,"",HYPERLINK("#"&amp;RIGHT(CELL("adresse",OFFSET('DM01-AV-CH'!$G$6,H157-1,0)),LEN(CELL("adresse",OFFSET('DM01-AV-CH'!$G$6,H157-1,0)))-FIND("]",CELL("adresse",OFFSET('DM01-AV-CH'!$G$6,H157-1,0)))),"Modell"))</f>
        <v/>
      </c>
      <c r="AG157" s="72" t="str" cm="1">
        <f t="array" ref="AG157">IF($H157=0,"",IF(INDEX('DM01-AV-CH'!G$6:G$834,$H157)="","",INDEX('DM01-AV-CH'!G$6:G$834,$H157)))</f>
        <v/>
      </c>
      <c r="AH157" s="73" t="str" cm="1">
        <f t="array" ref="AH157">IF($H157=0,"",IF(INDEX('DM01-AV-CH'!H$6:H$834,$H157)="","",INDEX('DM01-AV-CH'!H$6:H$834,$H157)))</f>
        <v/>
      </c>
      <c r="AI157" s="74" t="str" cm="1">
        <f t="array" ref="AI157">IF($H157=0,"",IF(INDEX('DM01-AV-CH'!I$6:I$834,$H157)="","",INDEX('DM01-AV-CH'!I$6:I$834,$H157)))</f>
        <v/>
      </c>
    </row>
    <row r="158" spans="1:35" x14ac:dyDescent="0.25">
      <c r="A158" s="57">
        <v>153</v>
      </c>
      <c r="B158" s="57">
        <f>IF($A158="","",IF(_xlfn.XLOOKUP($A158,Korrelation!$D$4:$D$1197,Korrelation!E$4:E$1197,"-",0)="-",0,MATCH(_xlfn.XLOOKUP($A158,Korrelation!$D$4:$D$1197,Korrelation!E$4:E$1197,"",0),DMAV_Modell!$G$6:$G$677,0)))</f>
        <v>0</v>
      </c>
      <c r="C158" s="57">
        <f>IF($A158="","",IF(_xlfn.XLOOKUP($A158,Korrelation!$D$4:$D$1197,Korrelation!F$4:F$1197,"-",0)="-",0,MATCH(_xlfn.XLOOKUP($A158,Korrelation!$D$4:$D$1197,Korrelation!F$4:F$1197,"",0),DMAV_Modell!$G$6:$G$677,0)))</f>
        <v>0</v>
      </c>
      <c r="D158" s="57">
        <f>IF($A158="","",IF(_xlfn.XLOOKUP($A158,Korrelation!$D$4:$D$1197,Korrelation!G$4:G$1197,"-",0)="-",0,MATCH(_xlfn.XLOOKUP($A158,Korrelation!$D$4:$D$1197,Korrelation!G$4:G$1197,"",0),DMAV_Modell!$G$6:$G$677,0)))</f>
        <v>0</v>
      </c>
      <c r="E158" s="57">
        <f>IF($A158="","",IF(_xlfn.XLOOKUP($A158,Korrelation!$D$4:$D$1197,Korrelation!H$4:H$1197,"-",0)="-",0,MATCH(_xlfn.XLOOKUP($A158,Korrelation!$D$4:$D$1197,Korrelation!H$4:H$1197,"",0),DMAV_Dienste!$F$6:$F$140,0)))</f>
        <v>80</v>
      </c>
      <c r="F158" s="57">
        <f>IF($A158="","",IF(_xlfn.XLOOKUP($A158,Korrelation!$D$4:$D$1197,Korrelation!I$4:I$1197,"-",0)="-",0,MATCH(_xlfn.XLOOKUP($A158,Korrelation!$D$4:$D$1197,Korrelation!I$4:I$1197,"",0),DMAV_Dienste!$F$6:$F$140,0)))</f>
        <v>0</v>
      </c>
      <c r="G158" s="57">
        <f>IF($A158="","",IF(_xlfn.XLOOKUP($A158,Korrelation!$D$4:$D$1197,Korrelation!J$4:J$1197,"-",0)="-",0,MATCH(_xlfn.XLOOKUP($A158,Korrelation!$D$4:$D$1197,Korrelation!J$4:J$1197,"",0),DMAV_Dienste!$F$6:$F$140,0)))</f>
        <v>0</v>
      </c>
      <c r="H158" s="57">
        <f>IF($A158="","",IF(_xlfn.XLOOKUP($A158,Korrelation!$D$4:$D$1197,Korrelation!K$4:K$1197,"-",0)="-",0,MATCH(_xlfn.XLOOKUP($A158,Korrelation!$D$4:$D$1197,Korrelation!K$4:K$1197,"",0),'DM01-AV-CH'!$A$6:$A$834,0)))</f>
        <v>0</v>
      </c>
      <c r="J158" s="54" t="str" cm="1">
        <f t="array" aca="1" ref="J158" ca="1">IF(B158=0,IF(E158=0,"",HYPERLINK("#"&amp;RIGHT(CELL("adresse",OFFSET(DMAV_Dienste!$M$6,E158-1,0)),LEN(CELL("adresse",OFFSET(DMAV_Dienste!$M$6,E158-1,0)))-FIND("]",CELL("adresse",OFFSET(DMAV_Dienste!$M$6,E158-1,0)))),"Dienst")),HYPERLINK("#"&amp;RIGHT(CELL("adresse",OFFSET(DMAV_Modell!$N$6,B158-1,0)),LEN(CELL("adresse",OFFSET(DMAV_Modell!$N$6,B158-1,0)))-FIND("]",CELL("adresse",OFFSET(DMAV_Modell!$N$6,B158-1,0)))),"Modell"))</f>
        <v>Dienst</v>
      </c>
      <c r="K158" s="61" t="str" cm="1">
        <f t="array" ref="K158">IF($B158=0,IF($E158=0,"",IF(INDEX(DMAV_Dienste!P$6:P$140,$E158)="","",INDEX(DMAV_Dienste!P$6:P$140,$E158))),IF(INDEX(DMAV_Modell!Q$6:Q$838,$B158)="","",INDEX(DMAV_Modell!Q$6:Q$838,$B158)))</f>
        <v>CLASS</v>
      </c>
      <c r="L158" s="62" t="str" cm="1">
        <f t="array" ref="L158">IF($B158=0,IF($E158=0,"",IF(INDEX(DMAV_Dienste!O$6:O$140,$E158)="","",INDEX(DMAV_Dienste!O$6:O$140,$E158))),IF(INDEX(DMAV_Modell!P$6:P$838,$B158)="","",INDEX(DMAV_Modell!P$6:P$838,$B158)))</f>
        <v>FPDS2</v>
      </c>
      <c r="M158" s="62" t="str" cm="1">
        <f t="array" ref="M158">IF($B158=0,IF($E158=0,"",IF(INDEX(DMAV_Dienste!Q$6:Q$140,$E158)="","",INDEX(DMAV_Dienste!Q$6:Q$140,$E158))),IF(INDEX(DMAV_Modell!R$6:R$838,$B158)="","",INDEX(DMAV_Modell!R$6:R$838,$B158)))</f>
        <v>Zustaendigkeit</v>
      </c>
      <c r="N158" s="62" t="str" cm="1">
        <f t="array" ref="N158">IF($B158=0,IF($E158=0,"",IF(INDEX(DMAV_Dienste!T$6:T$140,$E158)="","",INDEX(DMAV_Dienste!T$6:T$140,$E158))),IF(INDEX(DMAV_Modell!U$6:U$838,$B158)="","",INDEX(DMAV_Modell!U$6:U$838,$B158)))</f>
        <v>Kanton</v>
      </c>
      <c r="O158" s="63" t="str" cm="1">
        <f t="array" aca="1" ref="O158" ca="1">IF(C158=0,IF(F158=0,"",HYPERLINK("#"&amp;RIGHT(CELL("adresse",OFFSET(DMAV_Dienste!$M$6,F158-1,0)),LEN(CELL("adresse",OFFSET(DMAV_Dienste!$M$6,F158-1,0)))-FIND("]",CELL("adresse",OFFSET(DMAV_Dienste!$M$6,F158-1,0)))),"Structure")),HYPERLINK("#"&amp;RIGHT(CELL("adresse",OFFSET(DMAV_Modell!$N$6,C158-1,0)),LEN(CELL("adresse",OFFSET(DMAV_Modell!$N$6,C158-1,0)))-FIND("]",CELL("adresse",OFFSET(DMAV_Modell!$N$6,C158-1,0)))),"Structure"))</f>
        <v/>
      </c>
      <c r="P158" s="64" t="str" cm="1">
        <f t="array" aca="1" ref="P158" ca="1">IF(D158=0,IF(G158=0,"",HYPERLINK("#"&amp;RIGHT(CELL("adresse",OFFSET(DMAV_Dienste!$M$6,G158-1,0)),LEN(CELL("adresse",OFFSET(DMAV_Dienste!$M$6,G158-1,0)))-FIND("]",CELL("adresse",OFFSET(DMAV_Dienste!$M$6,G158-1,0)))),"Substructure")),HYPERLINK("#"&amp;RIGHT(CELL("adresse",OFFSET(DMAV_Modell!$N$6,D158-1,0)),LEN(CELL("adresse",OFFSET(DMAV_Modell!$N$6,D158-1,0)))-FIND("]",CELL("adresse",OFFSET(DMAV_Modell!$N$6,D158-1,0)))),"Substructure"))</f>
        <v/>
      </c>
      <c r="R158" s="80"/>
      <c r="T158" s="93"/>
      <c r="U158" s="94"/>
      <c r="V158" s="95"/>
      <c r="W158" s="96"/>
      <c r="Y158" s="85"/>
      <c r="Z158" s="86"/>
      <c r="AA158" s="87"/>
      <c r="AB158" s="88"/>
      <c r="AD158" s="77"/>
      <c r="AF158" s="54" t="str" cm="1">
        <f t="array" aca="1" ref="AF158" ca="1">IF(H158=0,"",HYPERLINK("#"&amp;RIGHT(CELL("adresse",OFFSET('DM01-AV-CH'!$G$6,H158-1,0)),LEN(CELL("adresse",OFFSET('DM01-AV-CH'!$G$6,H158-1,0)))-FIND("]",CELL("adresse",OFFSET('DM01-AV-CH'!$G$6,H158-1,0)))),"Modell"))</f>
        <v/>
      </c>
      <c r="AG158" s="72" t="str" cm="1">
        <f t="array" ref="AG158">IF($H158=0,"",IF(INDEX('DM01-AV-CH'!G$6:G$834,$H158)="","",INDEX('DM01-AV-CH'!G$6:G$834,$H158)))</f>
        <v/>
      </c>
      <c r="AH158" s="73" t="str" cm="1">
        <f t="array" ref="AH158">IF($H158=0,"",IF(INDEX('DM01-AV-CH'!H$6:H$834,$H158)="","",INDEX('DM01-AV-CH'!H$6:H$834,$H158)))</f>
        <v/>
      </c>
      <c r="AI158" s="74" t="str" cm="1">
        <f t="array" ref="AI158">IF($H158=0,"",IF(INDEX('DM01-AV-CH'!I$6:I$834,$H158)="","",INDEX('DM01-AV-CH'!I$6:I$834,$H158)))</f>
        <v/>
      </c>
    </row>
    <row r="159" spans="1:35" x14ac:dyDescent="0.25">
      <c r="A159" s="57">
        <v>154</v>
      </c>
      <c r="B159" s="57">
        <f>IF($A159="","",IF(_xlfn.XLOOKUP($A159,Korrelation!$D$4:$D$1197,Korrelation!E$4:E$1197,"-",0)="-",0,MATCH(_xlfn.XLOOKUP($A159,Korrelation!$D$4:$D$1197,Korrelation!E$4:E$1197,"",0),DMAV_Modell!$G$6:$G$677,0)))</f>
        <v>0</v>
      </c>
      <c r="C159" s="57">
        <f>IF($A159="","",IF(_xlfn.XLOOKUP($A159,Korrelation!$D$4:$D$1197,Korrelation!F$4:F$1197,"-",0)="-",0,MATCH(_xlfn.XLOOKUP($A159,Korrelation!$D$4:$D$1197,Korrelation!F$4:F$1197,"",0),DMAV_Modell!$G$6:$G$677,0)))</f>
        <v>0</v>
      </c>
      <c r="D159" s="57">
        <f>IF($A159="","",IF(_xlfn.XLOOKUP($A159,Korrelation!$D$4:$D$1197,Korrelation!G$4:G$1197,"-",0)="-",0,MATCH(_xlfn.XLOOKUP($A159,Korrelation!$D$4:$D$1197,Korrelation!G$4:G$1197,"",0),DMAV_Modell!$G$6:$G$677,0)))</f>
        <v>0</v>
      </c>
      <c r="E159" s="57">
        <f>IF($A159="","",IF(_xlfn.XLOOKUP($A159,Korrelation!$D$4:$D$1197,Korrelation!H$4:H$1197,"-",0)="-",0,MATCH(_xlfn.XLOOKUP($A159,Korrelation!$D$4:$D$1197,Korrelation!H$4:H$1197,"",0),DMAV_Dienste!$F$6:$F$140,0)))</f>
        <v>81</v>
      </c>
      <c r="F159" s="57">
        <f>IF($A159="","",IF(_xlfn.XLOOKUP($A159,Korrelation!$D$4:$D$1197,Korrelation!I$4:I$1197,"-",0)="-",0,MATCH(_xlfn.XLOOKUP($A159,Korrelation!$D$4:$D$1197,Korrelation!I$4:I$1197,"",0),DMAV_Dienste!$F$6:$F$140,0)))</f>
        <v>0</v>
      </c>
      <c r="G159" s="57">
        <f>IF($A159="","",IF(_xlfn.XLOOKUP($A159,Korrelation!$D$4:$D$1197,Korrelation!J$4:J$1197,"-",0)="-",0,MATCH(_xlfn.XLOOKUP($A159,Korrelation!$D$4:$D$1197,Korrelation!J$4:J$1197,"",0),DMAV_Dienste!$F$6:$F$140,0)))</f>
        <v>0</v>
      </c>
      <c r="H159" s="57">
        <f>IF($A159="","",IF(_xlfn.XLOOKUP($A159,Korrelation!$D$4:$D$1197,Korrelation!K$4:K$1197,"-",0)="-",0,MATCH(_xlfn.XLOOKUP($A159,Korrelation!$D$4:$D$1197,Korrelation!K$4:K$1197,"",0),'DM01-AV-CH'!$A$6:$A$834,0)))</f>
        <v>0</v>
      </c>
      <c r="J159" s="54" t="str" cm="1">
        <f t="array" aca="1" ref="J159" ca="1">IF(B159=0,IF(E159=0,"",HYPERLINK("#"&amp;RIGHT(CELL("adresse",OFFSET(DMAV_Dienste!$M$6,E159-1,0)),LEN(CELL("adresse",OFFSET(DMAV_Dienste!$M$6,E159-1,0)))-FIND("]",CELL("adresse",OFFSET(DMAV_Dienste!$M$6,E159-1,0)))),"Dienst")),HYPERLINK("#"&amp;RIGHT(CELL("adresse",OFFSET(DMAV_Modell!$N$6,B159-1,0)),LEN(CELL("adresse",OFFSET(DMAV_Modell!$N$6,B159-1,0)))-FIND("]",CELL("adresse",OFFSET(DMAV_Modell!$N$6,B159-1,0)))),"Modell"))</f>
        <v>Dienst</v>
      </c>
      <c r="K159" s="61" t="str" cm="1">
        <f t="array" ref="K159">IF($B159=0,IF($E159=0,"",IF(INDEX(DMAV_Dienste!P$6:P$140,$E159)="","",INDEX(DMAV_Dienste!P$6:P$140,$E159))),IF(INDEX(DMAV_Modell!Q$6:Q$838,$B159)="","",INDEX(DMAV_Modell!Q$6:Q$838,$B159)))</f>
        <v>CLASS</v>
      </c>
      <c r="L159" s="62" t="str" cm="1">
        <f t="array" ref="L159">IF($B159=0,IF($E159=0,"",IF(INDEX(DMAV_Dienste!O$6:O$140,$E159)="","",INDEX(DMAV_Dienste!O$6:O$140,$E159))),IF(INDEX(DMAV_Modell!P$6:P$838,$B159)="","",INDEX(DMAV_Modell!P$6:P$838,$B159)))</f>
        <v>FPDS2</v>
      </c>
      <c r="M159" s="62" t="str" cm="1">
        <f t="array" ref="M159">IF($B159=0,IF($E159=0,"",IF(INDEX(DMAV_Dienste!Q$6:Q$140,$E159)="","",INDEX(DMAV_Dienste!Q$6:Q$140,$E159))),IF(INDEX(DMAV_Modell!R$6:R$838,$B159)="","",INDEX(DMAV_Modell!R$6:R$838,$B159)))</f>
        <v>Zustaendigkeit</v>
      </c>
      <c r="N159" s="62" t="str" cm="1">
        <f t="array" ref="N159">IF($B159=0,IF($E159=0,"",IF(INDEX(DMAV_Dienste!T$6:T$140,$E159)="","",INDEX(DMAV_Dienste!T$6:T$140,$E159))),IF(INDEX(DMAV_Modell!U$6:U$838,$B159)="","",INDEX(DMAV_Modell!U$6:U$838,$B159)))</f>
        <v>Name</v>
      </c>
      <c r="O159" s="63" t="str" cm="1">
        <f t="array" aca="1" ref="O159" ca="1">IF(C159=0,IF(F159=0,"",HYPERLINK("#"&amp;RIGHT(CELL("adresse",OFFSET(DMAV_Dienste!$M$6,F159-1,0)),LEN(CELL("adresse",OFFSET(DMAV_Dienste!$M$6,F159-1,0)))-FIND("]",CELL("adresse",OFFSET(DMAV_Dienste!$M$6,F159-1,0)))),"Structure")),HYPERLINK("#"&amp;RIGHT(CELL("adresse",OFFSET(DMAV_Modell!$N$6,C159-1,0)),LEN(CELL("adresse",OFFSET(DMAV_Modell!$N$6,C159-1,0)))-FIND("]",CELL("adresse",OFFSET(DMAV_Modell!$N$6,C159-1,0)))),"Structure"))</f>
        <v/>
      </c>
      <c r="P159" s="64" t="str" cm="1">
        <f t="array" aca="1" ref="P159" ca="1">IF(D159=0,IF(G159=0,"",HYPERLINK("#"&amp;RIGHT(CELL("adresse",OFFSET(DMAV_Dienste!$M$6,G159-1,0)),LEN(CELL("adresse",OFFSET(DMAV_Dienste!$M$6,G159-1,0)))-FIND("]",CELL("adresse",OFFSET(DMAV_Dienste!$M$6,G159-1,0)))),"Substructure")),HYPERLINK("#"&amp;RIGHT(CELL("adresse",OFFSET(DMAV_Modell!$N$6,D159-1,0)),LEN(CELL("adresse",OFFSET(DMAV_Modell!$N$6,D159-1,0)))-FIND("]",CELL("adresse",OFFSET(DMAV_Modell!$N$6,D159-1,0)))),"Substructure"))</f>
        <v/>
      </c>
      <c r="R159" s="80"/>
      <c r="T159" s="93"/>
      <c r="U159" s="94"/>
      <c r="V159" s="95"/>
      <c r="W159" s="96"/>
      <c r="Y159" s="85"/>
      <c r="Z159" s="86"/>
      <c r="AA159" s="87"/>
      <c r="AB159" s="88"/>
      <c r="AD159" s="77"/>
      <c r="AF159" s="54" t="str" cm="1">
        <f t="array" aca="1" ref="AF159" ca="1">IF(H159=0,"",HYPERLINK("#"&amp;RIGHT(CELL("adresse",OFFSET('DM01-AV-CH'!$G$6,H159-1,0)),LEN(CELL("adresse",OFFSET('DM01-AV-CH'!$G$6,H159-1,0)))-FIND("]",CELL("adresse",OFFSET('DM01-AV-CH'!$G$6,H159-1,0)))),"Modell"))</f>
        <v/>
      </c>
      <c r="AG159" s="72" t="str" cm="1">
        <f t="array" ref="AG159">IF($H159=0,"",IF(INDEX('DM01-AV-CH'!G$6:G$834,$H159)="","",INDEX('DM01-AV-CH'!G$6:G$834,$H159)))</f>
        <v/>
      </c>
      <c r="AH159" s="73" t="str" cm="1">
        <f t="array" ref="AH159">IF($H159=0,"",IF(INDEX('DM01-AV-CH'!H$6:H$834,$H159)="","",INDEX('DM01-AV-CH'!H$6:H$834,$H159)))</f>
        <v/>
      </c>
      <c r="AI159" s="74" t="str" cm="1">
        <f t="array" ref="AI159">IF($H159=0,"",IF(INDEX('DM01-AV-CH'!I$6:I$834,$H159)="","",INDEX('DM01-AV-CH'!I$6:I$834,$H159)))</f>
        <v/>
      </c>
    </row>
    <row r="160" spans="1:35" x14ac:dyDescent="0.25">
      <c r="A160" s="57">
        <v>155</v>
      </c>
      <c r="B160" s="57">
        <f>IF($A160="","",IF(_xlfn.XLOOKUP($A160,Korrelation!$D$4:$D$1197,Korrelation!E$4:E$1197,"-",0)="-",0,MATCH(_xlfn.XLOOKUP($A160,Korrelation!$D$4:$D$1197,Korrelation!E$4:E$1197,"",0),DMAV_Modell!$G$6:$G$677,0)))</f>
        <v>0</v>
      </c>
      <c r="C160" s="57">
        <f>IF($A160="","",IF(_xlfn.XLOOKUP($A160,Korrelation!$D$4:$D$1197,Korrelation!F$4:F$1197,"-",0)="-",0,MATCH(_xlfn.XLOOKUP($A160,Korrelation!$D$4:$D$1197,Korrelation!F$4:F$1197,"",0),DMAV_Modell!$G$6:$G$677,0)))</f>
        <v>0</v>
      </c>
      <c r="D160" s="57">
        <f>IF($A160="","",IF(_xlfn.XLOOKUP($A160,Korrelation!$D$4:$D$1197,Korrelation!G$4:G$1197,"-",0)="-",0,MATCH(_xlfn.XLOOKUP($A160,Korrelation!$D$4:$D$1197,Korrelation!G$4:G$1197,"",0),DMAV_Modell!$G$6:$G$677,0)))</f>
        <v>0</v>
      </c>
      <c r="E160" s="57">
        <f>IF($A160="","",IF(_xlfn.XLOOKUP($A160,Korrelation!$D$4:$D$1197,Korrelation!H$4:H$1197,"-",0)="-",0,MATCH(_xlfn.XLOOKUP($A160,Korrelation!$D$4:$D$1197,Korrelation!H$4:H$1197,"",0),DMAV_Dienste!$F$6:$F$140,0)))</f>
        <v>82</v>
      </c>
      <c r="F160" s="57">
        <f>IF($A160="","",IF(_xlfn.XLOOKUP($A160,Korrelation!$D$4:$D$1197,Korrelation!I$4:I$1197,"-",0)="-",0,MATCH(_xlfn.XLOOKUP($A160,Korrelation!$D$4:$D$1197,Korrelation!I$4:I$1197,"",0),DMAV_Dienste!$F$6:$F$140,0)))</f>
        <v>0</v>
      </c>
      <c r="G160" s="57">
        <f>IF($A160="","",IF(_xlfn.XLOOKUP($A160,Korrelation!$D$4:$D$1197,Korrelation!J$4:J$1197,"-",0)="-",0,MATCH(_xlfn.XLOOKUP($A160,Korrelation!$D$4:$D$1197,Korrelation!J$4:J$1197,"",0),DMAV_Dienste!$F$6:$F$140,0)))</f>
        <v>0</v>
      </c>
      <c r="H160" s="57">
        <f>IF($A160="","",IF(_xlfn.XLOOKUP($A160,Korrelation!$D$4:$D$1197,Korrelation!K$4:K$1197,"-",0)="-",0,MATCH(_xlfn.XLOOKUP($A160,Korrelation!$D$4:$D$1197,Korrelation!K$4:K$1197,"",0),'DM01-AV-CH'!$A$6:$A$834,0)))</f>
        <v>0</v>
      </c>
      <c r="J160" s="54" t="str" cm="1">
        <f t="array" aca="1" ref="J160" ca="1">IF(B160=0,IF(E160=0,"",HYPERLINK("#"&amp;RIGHT(CELL("adresse",OFFSET(DMAV_Dienste!$M$6,E160-1,0)),LEN(CELL("adresse",OFFSET(DMAV_Dienste!$M$6,E160-1,0)))-FIND("]",CELL("adresse",OFFSET(DMAV_Dienste!$M$6,E160-1,0)))),"Dienst")),HYPERLINK("#"&amp;RIGHT(CELL("adresse",OFFSET(DMAV_Modell!$N$6,B160-1,0)),LEN(CELL("adresse",OFFSET(DMAV_Modell!$N$6,B160-1,0)))-FIND("]",CELL("adresse",OFFSET(DMAV_Modell!$N$6,B160-1,0)))),"Modell"))</f>
        <v>Dienst</v>
      </c>
      <c r="K160" s="61" t="str" cm="1">
        <f t="array" ref="K160">IF($B160=0,IF($E160=0,"",IF(INDEX(DMAV_Dienste!P$6:P$140,$E160)="","",INDEX(DMAV_Dienste!P$6:P$140,$E160))),IF(INDEX(DMAV_Modell!Q$6:Q$838,$B160)="","",INDEX(DMAV_Modell!Q$6:Q$838,$B160)))</f>
        <v>CLASS</v>
      </c>
      <c r="L160" s="62" t="str" cm="1">
        <f t="array" ref="L160">IF($B160=0,IF($E160=0,"",IF(INDEX(DMAV_Dienste!O$6:O$140,$E160)="","",INDEX(DMAV_Dienste!O$6:O$140,$E160))),IF(INDEX(DMAV_Modell!P$6:P$838,$B160)="","",INDEX(DMAV_Modell!P$6:P$838,$B160)))</f>
        <v>FPDS2</v>
      </c>
      <c r="M160" s="62" t="str" cm="1">
        <f t="array" ref="M160">IF($B160=0,IF($E160=0,"",IF(INDEX(DMAV_Dienste!Q$6:Q$140,$E160)="","",INDEX(DMAV_Dienste!Q$6:Q$140,$E160))),IF(INDEX(DMAV_Modell!R$6:R$838,$B160)="","",INDEX(DMAV_Modell!R$6:R$838,$B160)))</f>
        <v>Zustaendigkeit</v>
      </c>
      <c r="N160" s="62" t="str" cm="1">
        <f t="array" ref="N160">IF($B160=0,IF($E160=0,"",IF(INDEX(DMAV_Dienste!T$6:T$140,$E160)="","",INDEX(DMAV_Dienste!T$6:T$140,$E160))),IF(INDEX(DMAV_Modell!U$6:U$838,$B160)="","",INDEX(DMAV_Modell!U$6:U$838,$B160)))</f>
        <v>Adresse</v>
      </c>
      <c r="O160" s="63" t="str" cm="1">
        <f t="array" aca="1" ref="O160" ca="1">IF(C160=0,IF(F160=0,"",HYPERLINK("#"&amp;RIGHT(CELL("adresse",OFFSET(DMAV_Dienste!$M$6,F160-1,0)),LEN(CELL("adresse",OFFSET(DMAV_Dienste!$M$6,F160-1,0)))-FIND("]",CELL("adresse",OFFSET(DMAV_Dienste!$M$6,F160-1,0)))),"Structure")),HYPERLINK("#"&amp;RIGHT(CELL("adresse",OFFSET(DMAV_Modell!$N$6,C160-1,0)),LEN(CELL("adresse",OFFSET(DMAV_Modell!$N$6,C160-1,0)))-FIND("]",CELL("adresse",OFFSET(DMAV_Modell!$N$6,C160-1,0)))),"Structure"))</f>
        <v/>
      </c>
      <c r="P160" s="64" t="str" cm="1">
        <f t="array" aca="1" ref="P160" ca="1">IF(D160=0,IF(G160=0,"",HYPERLINK("#"&amp;RIGHT(CELL("adresse",OFFSET(DMAV_Dienste!$M$6,G160-1,0)),LEN(CELL("adresse",OFFSET(DMAV_Dienste!$M$6,G160-1,0)))-FIND("]",CELL("adresse",OFFSET(DMAV_Dienste!$M$6,G160-1,0)))),"Substructure")),HYPERLINK("#"&amp;RIGHT(CELL("adresse",OFFSET(DMAV_Modell!$N$6,D160-1,0)),LEN(CELL("adresse",OFFSET(DMAV_Modell!$N$6,D160-1,0)))-FIND("]",CELL("adresse",OFFSET(DMAV_Modell!$N$6,D160-1,0)))),"Substructure"))</f>
        <v/>
      </c>
      <c r="R160" s="80"/>
      <c r="T160" s="93"/>
      <c r="U160" s="94"/>
      <c r="V160" s="95"/>
      <c r="W160" s="96"/>
      <c r="Y160" s="85"/>
      <c r="Z160" s="86"/>
      <c r="AA160" s="87"/>
      <c r="AB160" s="88"/>
      <c r="AD160" s="77"/>
      <c r="AF160" s="54" t="str" cm="1">
        <f t="array" aca="1" ref="AF160" ca="1">IF(H160=0,"",HYPERLINK("#"&amp;RIGHT(CELL("adresse",OFFSET('DM01-AV-CH'!$G$6,H160-1,0)),LEN(CELL("adresse",OFFSET('DM01-AV-CH'!$G$6,H160-1,0)))-FIND("]",CELL("adresse",OFFSET('DM01-AV-CH'!$G$6,H160-1,0)))),"Modell"))</f>
        <v/>
      </c>
      <c r="AG160" s="72" t="str" cm="1">
        <f t="array" ref="AG160">IF($H160=0,"",IF(INDEX('DM01-AV-CH'!G$6:G$834,$H160)="","",INDEX('DM01-AV-CH'!G$6:G$834,$H160)))</f>
        <v/>
      </c>
      <c r="AH160" s="73" t="str" cm="1">
        <f t="array" ref="AH160">IF($H160=0,"",IF(INDEX('DM01-AV-CH'!H$6:H$834,$H160)="","",INDEX('DM01-AV-CH'!H$6:H$834,$H160)))</f>
        <v/>
      </c>
      <c r="AI160" s="74" t="str" cm="1">
        <f t="array" ref="AI160">IF($H160=0,"",IF(INDEX('DM01-AV-CH'!I$6:I$834,$H160)="","",INDEX('DM01-AV-CH'!I$6:I$834,$H160)))</f>
        <v/>
      </c>
    </row>
    <row r="161" spans="1:35" x14ac:dyDescent="0.25">
      <c r="A161" s="57">
        <v>156</v>
      </c>
      <c r="B161" s="57">
        <f>IF($A161="","",IF(_xlfn.XLOOKUP($A161,Korrelation!$D$4:$D$1197,Korrelation!E$4:E$1197,"-",0)="-",0,MATCH(_xlfn.XLOOKUP($A161,Korrelation!$D$4:$D$1197,Korrelation!E$4:E$1197,"",0),DMAV_Modell!$G$6:$G$677,0)))</f>
        <v>0</v>
      </c>
      <c r="C161" s="57">
        <f>IF($A161="","",IF(_xlfn.XLOOKUP($A161,Korrelation!$D$4:$D$1197,Korrelation!F$4:F$1197,"-",0)="-",0,MATCH(_xlfn.XLOOKUP($A161,Korrelation!$D$4:$D$1197,Korrelation!F$4:F$1197,"",0),DMAV_Modell!$G$6:$G$677,0)))</f>
        <v>0</v>
      </c>
      <c r="D161" s="57">
        <f>IF($A161="","",IF(_xlfn.XLOOKUP($A161,Korrelation!$D$4:$D$1197,Korrelation!G$4:G$1197,"-",0)="-",0,MATCH(_xlfn.XLOOKUP($A161,Korrelation!$D$4:$D$1197,Korrelation!G$4:G$1197,"",0),DMAV_Modell!$G$6:$G$677,0)))</f>
        <v>0</v>
      </c>
      <c r="E161" s="57">
        <f>IF($A161="","",IF(_xlfn.XLOOKUP($A161,Korrelation!$D$4:$D$1197,Korrelation!H$4:H$1197,"-",0)="-",0,MATCH(_xlfn.XLOOKUP($A161,Korrelation!$D$4:$D$1197,Korrelation!H$4:H$1197,"",0),DMAV_Dienste!$F$6:$F$140,0)))</f>
        <v>0</v>
      </c>
      <c r="F161" s="57">
        <f>IF($A161="","",IF(_xlfn.XLOOKUP($A161,Korrelation!$D$4:$D$1197,Korrelation!I$4:I$1197,"-",0)="-",0,MATCH(_xlfn.XLOOKUP($A161,Korrelation!$D$4:$D$1197,Korrelation!I$4:I$1197,"",0),DMAV_Dienste!$F$6:$F$140,0)))</f>
        <v>0</v>
      </c>
      <c r="G161" s="57">
        <f>IF($A161="","",IF(_xlfn.XLOOKUP($A161,Korrelation!$D$4:$D$1197,Korrelation!J$4:J$1197,"-",0)="-",0,MATCH(_xlfn.XLOOKUP($A161,Korrelation!$D$4:$D$1197,Korrelation!J$4:J$1197,"",0),DMAV_Dienste!$F$6:$F$140,0)))</f>
        <v>0</v>
      </c>
      <c r="H161" s="57">
        <f>IF($A161="","",IF(_xlfn.XLOOKUP($A161,Korrelation!$D$4:$D$1197,Korrelation!K$4:K$1197,"-",0)="-",0,MATCH(_xlfn.XLOOKUP($A161,Korrelation!$D$4:$D$1197,Korrelation!K$4:K$1197,"",0),'DM01-AV-CH'!$A$6:$A$834,0)))</f>
        <v>87</v>
      </c>
      <c r="J161" s="54" t="str" cm="1">
        <f t="array" aca="1" ref="J161" ca="1">IF(B161=0,IF(E161=0,"",HYPERLINK("#"&amp;RIGHT(CELL("adresse",OFFSET(DMAV_Dienste!$M$6,E161-1,0)),LEN(CELL("adresse",OFFSET(DMAV_Dienste!$M$6,E161-1,0)))-FIND("]",CELL("adresse",OFFSET(DMAV_Dienste!$M$6,E161-1,0)))),"Dienst")),HYPERLINK("#"&amp;RIGHT(CELL("adresse",OFFSET(DMAV_Modell!$N$6,B161-1,0)),LEN(CELL("adresse",OFFSET(DMAV_Modell!$N$6,B161-1,0)))-FIND("]",CELL("adresse",OFFSET(DMAV_Modell!$N$6,B161-1,0)))),"Modell"))</f>
        <v/>
      </c>
      <c r="K161" s="61" t="str" cm="1">
        <f t="array" ref="K161">IF($B161=0,IF($E161=0,"",IF(INDEX(DMAV_Dienste!P$6:P$140,$E161)="","",INDEX(DMAV_Dienste!P$6:P$140,$E161))),IF(INDEX(DMAV_Modell!Q$6:Q$838,$B161)="","",INDEX(DMAV_Modell!Q$6:Q$838,$B161)))</f>
        <v/>
      </c>
      <c r="L161" s="62" t="str" cm="1">
        <f t="array" ref="L161">IF($B161=0,IF($E161=0,"",IF(INDEX(DMAV_Dienste!O$6:O$140,$E161)="","",INDEX(DMAV_Dienste!O$6:O$140,$E161))),IF(INDEX(DMAV_Modell!P$6:P$838,$B161)="","",INDEX(DMAV_Modell!P$6:P$838,$B161)))</f>
        <v/>
      </c>
      <c r="M161" s="62" t="str" cm="1">
        <f t="array" ref="M161">IF($B161=0,IF($E161=0,"",IF(INDEX(DMAV_Dienste!Q$6:Q$140,$E161)="","",INDEX(DMAV_Dienste!Q$6:Q$140,$E161))),IF(INDEX(DMAV_Modell!R$6:R$838,$B161)="","",INDEX(DMAV_Modell!R$6:R$838,$B161)))</f>
        <v/>
      </c>
      <c r="N161" s="62" t="str" cm="1">
        <f t="array" ref="N161">IF($B161=0,IF($E161=0,"",IF(INDEX(DMAV_Dienste!T$6:T$140,$E161)="","",INDEX(DMAV_Dienste!T$6:T$140,$E161))),IF(INDEX(DMAV_Modell!U$6:U$838,$B161)="","",INDEX(DMAV_Modell!U$6:U$838,$B161)))</f>
        <v/>
      </c>
      <c r="O161" s="63" t="str" cm="1">
        <f t="array" aca="1" ref="O161" ca="1">IF(C161=0,IF(F161=0,"",HYPERLINK("#"&amp;RIGHT(CELL("adresse",OFFSET(DMAV_Dienste!$M$6,F161-1,0)),LEN(CELL("adresse",OFFSET(DMAV_Dienste!$M$6,F161-1,0)))-FIND("]",CELL("adresse",OFFSET(DMAV_Dienste!$M$6,F161-1,0)))),"Structure")),HYPERLINK("#"&amp;RIGHT(CELL("adresse",OFFSET(DMAV_Modell!$N$6,C161-1,0)),LEN(CELL("adresse",OFFSET(DMAV_Modell!$N$6,C161-1,0)))-FIND("]",CELL("adresse",OFFSET(DMAV_Modell!$N$6,C161-1,0)))),"Structure"))</f>
        <v/>
      </c>
      <c r="P161" s="64" t="str" cm="1">
        <f t="array" aca="1" ref="P161" ca="1">IF(D161=0,IF(G161=0,"",HYPERLINK("#"&amp;RIGHT(CELL("adresse",OFFSET(DMAV_Dienste!$M$6,G161-1,0)),LEN(CELL("adresse",OFFSET(DMAV_Dienste!$M$6,G161-1,0)))-FIND("]",CELL("adresse",OFFSET(DMAV_Dienste!$M$6,G161-1,0)))),"Substructure")),HYPERLINK("#"&amp;RIGHT(CELL("adresse",OFFSET(DMAV_Modell!$N$6,D161-1,0)),LEN(CELL("adresse",OFFSET(DMAV_Modell!$N$6,D161-1,0)))-FIND("]",CELL("adresse",OFFSET(DMAV_Modell!$N$6,D161-1,0)))),"Substructure"))</f>
        <v/>
      </c>
      <c r="R161" s="80"/>
      <c r="T161" s="93"/>
      <c r="U161" s="94"/>
      <c r="V161" s="95"/>
      <c r="W161" s="96"/>
      <c r="Y161" s="85" t="s">
        <v>5872</v>
      </c>
      <c r="Z161" s="86"/>
      <c r="AA161" s="87"/>
      <c r="AB161" s="88"/>
      <c r="AD161" s="77"/>
      <c r="AF161" s="54" t="str" cm="1">
        <f t="array" aca="1" ref="AF161" ca="1">IF(H161=0,"",HYPERLINK("#"&amp;RIGHT(CELL("adresse",OFFSET('DM01-AV-CH'!$G$6,H161-1,0)),LEN(CELL("adresse",OFFSET('DM01-AV-CH'!$G$6,H161-1,0)))-FIND("]",CELL("adresse",OFFSET('DM01-AV-CH'!$G$6,H161-1,0)))),"Modell"))</f>
        <v>Modell</v>
      </c>
      <c r="AG161" s="72" t="str" cm="1">
        <f t="array" ref="AG161">IF($H161=0,"",IF(INDEX('DM01-AV-CH'!G$6:G$834,$H161)="","",INDEX('DM01-AV-CH'!G$6:G$834,$H161)))</f>
        <v>FixpunkteKategorie2</v>
      </c>
      <c r="AH161" s="73" t="str" cm="1">
        <f t="array" ref="AH161">IF($H161=0,"",IF(INDEX('DM01-AV-CH'!H$6:H$834,$H161)="","",INDEX('DM01-AV-CH'!H$6:H$834,$H161)))</f>
        <v>LFP2</v>
      </c>
      <c r="AI161" s="74" t="str" cm="1">
        <f t="array" ref="AI161">IF($H161=0,"",IF(INDEX('DM01-AV-CH'!I$6:I$834,$H161)="","",INDEX('DM01-AV-CH'!I$6:I$834,$H161)))</f>
        <v>Entstehung</v>
      </c>
    </row>
    <row r="162" spans="1:35" x14ac:dyDescent="0.25">
      <c r="A162" s="57">
        <v>157</v>
      </c>
      <c r="B162" s="57">
        <f>IF($A162="","",IF(_xlfn.XLOOKUP($A162,Korrelation!$D$4:$D$1197,Korrelation!E$4:E$1197,"-",0)="-",0,MATCH(_xlfn.XLOOKUP($A162,Korrelation!$D$4:$D$1197,Korrelation!E$4:E$1197,"",0),DMAV_Modell!$G$6:$G$677,0)))</f>
        <v>0</v>
      </c>
      <c r="C162" s="57">
        <f>IF($A162="","",IF(_xlfn.XLOOKUP($A162,Korrelation!$D$4:$D$1197,Korrelation!F$4:F$1197,"-",0)="-",0,MATCH(_xlfn.XLOOKUP($A162,Korrelation!$D$4:$D$1197,Korrelation!F$4:F$1197,"",0),DMAV_Modell!$G$6:$G$677,0)))</f>
        <v>0</v>
      </c>
      <c r="D162" s="57">
        <f>IF($A162="","",IF(_xlfn.XLOOKUP($A162,Korrelation!$D$4:$D$1197,Korrelation!G$4:G$1197,"-",0)="-",0,MATCH(_xlfn.XLOOKUP($A162,Korrelation!$D$4:$D$1197,Korrelation!G$4:G$1197,"",0),DMAV_Modell!$G$6:$G$677,0)))</f>
        <v>0</v>
      </c>
      <c r="E162" s="57">
        <f>IF($A162="","",IF(_xlfn.XLOOKUP($A162,Korrelation!$D$4:$D$1197,Korrelation!H$4:H$1197,"-",0)="-",0,MATCH(_xlfn.XLOOKUP($A162,Korrelation!$D$4:$D$1197,Korrelation!H$4:H$1197,"",0),DMAV_Dienste!$F$6:$F$140,0)))</f>
        <v>83</v>
      </c>
      <c r="F162" s="57">
        <f>IF($A162="","",IF(_xlfn.XLOOKUP($A162,Korrelation!$D$4:$D$1197,Korrelation!I$4:I$1197,"-",0)="-",0,MATCH(_xlfn.XLOOKUP($A162,Korrelation!$D$4:$D$1197,Korrelation!I$4:I$1197,"",0),DMAV_Dienste!$F$6:$F$140,0)))</f>
        <v>0</v>
      </c>
      <c r="G162" s="57">
        <f>IF($A162="","",IF(_xlfn.XLOOKUP($A162,Korrelation!$D$4:$D$1197,Korrelation!J$4:J$1197,"-",0)="-",0,MATCH(_xlfn.XLOOKUP($A162,Korrelation!$D$4:$D$1197,Korrelation!J$4:J$1197,"",0),DMAV_Dienste!$F$6:$F$140,0)))</f>
        <v>0</v>
      </c>
      <c r="H162" s="57">
        <f>IF($A162="","",IF(_xlfn.XLOOKUP($A162,Korrelation!$D$4:$D$1197,Korrelation!K$4:K$1197,"-",0)="-",0,MATCH(_xlfn.XLOOKUP($A162,Korrelation!$D$4:$D$1197,Korrelation!K$4:K$1197,"",0),'DM01-AV-CH'!$A$6:$A$834,0)))</f>
        <v>0</v>
      </c>
      <c r="J162" s="54" t="str" cm="1">
        <f t="array" aca="1" ref="J162" ca="1">IF(B162=0,IF(E162=0,"",HYPERLINK("#"&amp;RIGHT(CELL("adresse",OFFSET(DMAV_Dienste!$M$6,E162-1,0)),LEN(CELL("adresse",OFFSET(DMAV_Dienste!$M$6,E162-1,0)))-FIND("]",CELL("adresse",OFFSET(DMAV_Dienste!$M$6,E162-1,0)))),"Dienst")),HYPERLINK("#"&amp;RIGHT(CELL("adresse",OFFSET(DMAV_Modell!$N$6,B162-1,0)),LEN(CELL("adresse",OFFSET(DMAV_Modell!$N$6,B162-1,0)))-FIND("]",CELL("adresse",OFFSET(DMAV_Modell!$N$6,B162-1,0)))),"Modell"))</f>
        <v>Dienst</v>
      </c>
      <c r="K162" s="61" t="str" cm="1">
        <f t="array" ref="K162">IF($B162=0,IF($E162=0,"",IF(INDEX(DMAV_Dienste!P$6:P$140,$E162)="","",INDEX(DMAV_Dienste!P$6:P$140,$E162))),IF(INDEX(DMAV_Modell!Q$6:Q$838,$B162)="","",INDEX(DMAV_Modell!Q$6:Q$838,$B162)))</f>
        <v>CLASS</v>
      </c>
      <c r="L162" s="62" t="str" cm="1">
        <f t="array" ref="L162">IF($B162=0,IF($E162=0,"",IF(INDEX(DMAV_Dienste!O$6:O$140,$E162)="","",INDEX(DMAV_Dienste!O$6:O$140,$E162))),IF(INDEX(DMAV_Modell!P$6:P$838,$B162)="","",INDEX(DMAV_Modell!P$6:P$838,$B162)))</f>
        <v>FPDS2</v>
      </c>
      <c r="M162" s="62" t="str" cm="1">
        <f t="array" ref="M162">IF($B162=0,IF($E162=0,"",IF(INDEX(DMAV_Dienste!Q$6:Q$140,$E162)="","",INDEX(DMAV_Dienste!Q$6:Q$140,$E162))),IF(INDEX(DMAV_Modell!R$6:R$838,$B162)="","",INDEX(DMAV_Modell!R$6:R$838,$B162)))</f>
        <v>Fixpunkt</v>
      </c>
      <c r="N162" s="62" t="str" cm="1">
        <f t="array" ref="N162">IF($B162=0,IF($E162=0,"",IF(INDEX(DMAV_Dienste!T$6:T$140,$E162)="","",INDEX(DMAV_Dienste!T$6:T$140,$E162))),IF(INDEX(DMAV_Modell!U$6:U$838,$B162)="","",INDEX(DMAV_Modell!U$6:U$838,$B162)))</f>
        <v>Art</v>
      </c>
      <c r="O162" s="63" t="str" cm="1">
        <f t="array" aca="1" ref="O162" ca="1">IF(C162=0,IF(F162=0,"",HYPERLINK("#"&amp;RIGHT(CELL("adresse",OFFSET(DMAV_Dienste!$M$6,F162-1,0)),LEN(CELL("adresse",OFFSET(DMAV_Dienste!$M$6,F162-1,0)))-FIND("]",CELL("adresse",OFFSET(DMAV_Dienste!$M$6,F162-1,0)))),"Structure")),HYPERLINK("#"&amp;RIGHT(CELL("adresse",OFFSET(DMAV_Modell!$N$6,C162-1,0)),LEN(CELL("adresse",OFFSET(DMAV_Modell!$N$6,C162-1,0)))-FIND("]",CELL("adresse",OFFSET(DMAV_Modell!$N$6,C162-1,0)))),"Structure"))</f>
        <v/>
      </c>
      <c r="P162" s="64" t="str" cm="1">
        <f t="array" aca="1" ref="P162" ca="1">IF(D162=0,IF(G162=0,"",HYPERLINK("#"&amp;RIGHT(CELL("adresse",OFFSET(DMAV_Dienste!$M$6,G162-1,0)),LEN(CELL("adresse",OFFSET(DMAV_Dienste!$M$6,G162-1,0)))-FIND("]",CELL("adresse",OFFSET(DMAV_Dienste!$M$6,G162-1,0)))),"Substructure")),HYPERLINK("#"&amp;RIGHT(CELL("adresse",OFFSET(DMAV_Modell!$N$6,D162-1,0)),LEN(CELL("adresse",OFFSET(DMAV_Modell!$N$6,D162-1,0)))-FIND("]",CELL("adresse",OFFSET(DMAV_Modell!$N$6,D162-1,0)))),"Substructure"))</f>
        <v/>
      </c>
      <c r="R162" s="80"/>
      <c r="T162" s="93"/>
      <c r="U162" s="94"/>
      <c r="V162" s="95"/>
      <c r="W162" s="96"/>
      <c r="Y162" s="85"/>
      <c r="Z162" s="86"/>
      <c r="AA162" s="87"/>
      <c r="AB162" s="88"/>
      <c r="AD162" s="77"/>
      <c r="AF162" s="54" t="str" cm="1">
        <f t="array" aca="1" ref="AF162" ca="1">IF(H162=0,"",HYPERLINK("#"&amp;RIGHT(CELL("adresse",OFFSET('DM01-AV-CH'!$G$6,H162-1,0)),LEN(CELL("adresse",OFFSET('DM01-AV-CH'!$G$6,H162-1,0)))-FIND("]",CELL("adresse",OFFSET('DM01-AV-CH'!$G$6,H162-1,0)))),"Modell"))</f>
        <v/>
      </c>
      <c r="AG162" s="72" t="str" cm="1">
        <f t="array" ref="AG162">IF($H162=0,"",IF(INDEX('DM01-AV-CH'!G$6:G$834,$H162)="","",INDEX('DM01-AV-CH'!G$6:G$834,$H162)))</f>
        <v/>
      </c>
      <c r="AH162" s="73" t="str" cm="1">
        <f t="array" ref="AH162">IF($H162=0,"",IF(INDEX('DM01-AV-CH'!H$6:H$834,$H162)="","",INDEX('DM01-AV-CH'!H$6:H$834,$H162)))</f>
        <v/>
      </c>
      <c r="AI162" s="74" t="str" cm="1">
        <f t="array" ref="AI162">IF($H162=0,"",IF(INDEX('DM01-AV-CH'!I$6:I$834,$H162)="","",INDEX('DM01-AV-CH'!I$6:I$834,$H162)))</f>
        <v/>
      </c>
    </row>
    <row r="163" spans="1:35" x14ac:dyDescent="0.25">
      <c r="A163" s="57">
        <v>158</v>
      </c>
      <c r="B163" s="57">
        <f>IF($A163="","",IF(_xlfn.XLOOKUP($A163,Korrelation!$D$4:$D$1197,Korrelation!E$4:E$1197,"-",0)="-",0,MATCH(_xlfn.XLOOKUP($A163,Korrelation!$D$4:$D$1197,Korrelation!E$4:E$1197,"",0),DMAV_Modell!$G$6:$G$677,0)))</f>
        <v>0</v>
      </c>
      <c r="C163" s="57">
        <f>IF($A163="","",IF(_xlfn.XLOOKUP($A163,Korrelation!$D$4:$D$1197,Korrelation!F$4:F$1197,"-",0)="-",0,MATCH(_xlfn.XLOOKUP($A163,Korrelation!$D$4:$D$1197,Korrelation!F$4:F$1197,"",0),DMAV_Modell!$G$6:$G$677,0)))</f>
        <v>0</v>
      </c>
      <c r="D163" s="57">
        <f>IF($A163="","",IF(_xlfn.XLOOKUP($A163,Korrelation!$D$4:$D$1197,Korrelation!G$4:G$1197,"-",0)="-",0,MATCH(_xlfn.XLOOKUP($A163,Korrelation!$D$4:$D$1197,Korrelation!G$4:G$1197,"",0),DMAV_Modell!$G$6:$G$677,0)))</f>
        <v>0</v>
      </c>
      <c r="E163" s="57">
        <f>IF($A163="","",IF(_xlfn.XLOOKUP($A163,Korrelation!$D$4:$D$1197,Korrelation!H$4:H$1197,"-",0)="-",0,MATCH(_xlfn.XLOOKUP($A163,Korrelation!$D$4:$D$1197,Korrelation!H$4:H$1197,"",0),DMAV_Dienste!$F$6:$F$140,0)))</f>
        <v>84</v>
      </c>
      <c r="F163" s="57">
        <f>IF($A163="","",IF(_xlfn.XLOOKUP($A163,Korrelation!$D$4:$D$1197,Korrelation!I$4:I$1197,"-",0)="-",0,MATCH(_xlfn.XLOOKUP($A163,Korrelation!$D$4:$D$1197,Korrelation!I$4:I$1197,"",0),DMAV_Dienste!$F$6:$F$140,0)))</f>
        <v>0</v>
      </c>
      <c r="G163" s="57">
        <f>IF($A163="","",IF(_xlfn.XLOOKUP($A163,Korrelation!$D$4:$D$1197,Korrelation!J$4:J$1197,"-",0)="-",0,MATCH(_xlfn.XLOOKUP($A163,Korrelation!$D$4:$D$1197,Korrelation!J$4:J$1197,"",0),DMAV_Dienste!$F$6:$F$140,0)))</f>
        <v>0</v>
      </c>
      <c r="H163" s="57">
        <f>IF($A163="","",IF(_xlfn.XLOOKUP($A163,Korrelation!$D$4:$D$1197,Korrelation!K$4:K$1197,"-",0)="-",0,MATCH(_xlfn.XLOOKUP($A163,Korrelation!$D$4:$D$1197,Korrelation!K$4:K$1197,"",0),'DM01-AV-CH'!$A$6:$A$834,0)))</f>
        <v>96</v>
      </c>
      <c r="J163" s="54" t="str" cm="1">
        <f t="array" aca="1" ref="J163" ca="1">IF(B163=0,IF(E163=0,"",HYPERLINK("#"&amp;RIGHT(CELL("adresse",OFFSET(DMAV_Dienste!$M$6,E163-1,0)),LEN(CELL("adresse",OFFSET(DMAV_Dienste!$M$6,E163-1,0)))-FIND("]",CELL("adresse",OFFSET(DMAV_Dienste!$M$6,E163-1,0)))),"Dienst")),HYPERLINK("#"&amp;RIGHT(CELL("adresse",OFFSET(DMAV_Modell!$N$6,B163-1,0)),LEN(CELL("adresse",OFFSET(DMAV_Modell!$N$6,B163-1,0)))-FIND("]",CELL("adresse",OFFSET(DMAV_Modell!$N$6,B163-1,0)))),"Modell"))</f>
        <v>Dienst</v>
      </c>
      <c r="K163" s="61" t="str" cm="1">
        <f t="array" ref="K163">IF($B163=0,IF($E163=0,"",IF(INDEX(DMAV_Dienste!P$6:P$140,$E163)="","",INDEX(DMAV_Dienste!P$6:P$140,$E163))),IF(INDEX(DMAV_Modell!Q$6:Q$838,$B163)="","",INDEX(DMAV_Modell!Q$6:Q$838,$B163)))</f>
        <v>CLASS</v>
      </c>
      <c r="L163" s="62" t="str" cm="1">
        <f t="array" ref="L163">IF($B163=0,IF($E163=0,"",IF(INDEX(DMAV_Dienste!O$6:O$140,$E163)="","",INDEX(DMAV_Dienste!O$6:O$140,$E163))),IF(INDEX(DMAV_Modell!P$6:P$838,$B163)="","",INDEX(DMAV_Modell!P$6:P$838,$B163)))</f>
        <v>FPDS2</v>
      </c>
      <c r="M163" s="62" t="str" cm="1">
        <f t="array" ref="M163">IF($B163=0,IF($E163=0,"",IF(INDEX(DMAV_Dienste!Q$6:Q$140,$E163)="","",INDEX(DMAV_Dienste!Q$6:Q$140,$E163))),IF(INDEX(DMAV_Modell!R$6:R$838,$B163)="","",INDEX(DMAV_Modell!R$6:R$838,$B163)))</f>
        <v>Fixpunkt</v>
      </c>
      <c r="N163" s="62" t="str" cm="1">
        <f t="array" ref="N163">IF($B163=0,IF($E163=0,"",IF(INDEX(DMAV_Dienste!T$6:T$140,$E163)="","",INDEX(DMAV_Dienste!T$6:T$140,$E163))),IF(INDEX(DMAV_Modell!U$6:U$838,$B163)="","",INDEX(DMAV_Modell!U$6:U$838,$B163)))</f>
        <v>Begehbarkeit</v>
      </c>
      <c r="O163" s="63" t="str" cm="1">
        <f t="array" aca="1" ref="O163" ca="1">IF(C163=0,IF(F163=0,"",HYPERLINK("#"&amp;RIGHT(CELL("adresse",OFFSET(DMAV_Dienste!$M$6,F163-1,0)),LEN(CELL("adresse",OFFSET(DMAV_Dienste!$M$6,F163-1,0)))-FIND("]",CELL("adresse",OFFSET(DMAV_Dienste!$M$6,F163-1,0)))),"Structure")),HYPERLINK("#"&amp;RIGHT(CELL("adresse",OFFSET(DMAV_Modell!$N$6,C163-1,0)),LEN(CELL("adresse",OFFSET(DMAV_Modell!$N$6,C163-1,0)))-FIND("]",CELL("adresse",OFFSET(DMAV_Modell!$N$6,C163-1,0)))),"Structure"))</f>
        <v/>
      </c>
      <c r="P163" s="64" t="str" cm="1">
        <f t="array" aca="1" ref="P163" ca="1">IF(D163=0,IF(G163=0,"",HYPERLINK("#"&amp;RIGHT(CELL("adresse",OFFSET(DMAV_Dienste!$M$6,G163-1,0)),LEN(CELL("adresse",OFFSET(DMAV_Dienste!$M$6,G163-1,0)))-FIND("]",CELL("adresse",OFFSET(DMAV_Dienste!$M$6,G163-1,0)))),"Substructure")),HYPERLINK("#"&amp;RIGHT(CELL("adresse",OFFSET(DMAV_Modell!$N$6,D163-1,0)),LEN(CELL("adresse",OFFSET(DMAV_Modell!$N$6,D163-1,0)))-FIND("]",CELL("adresse",OFFSET(DMAV_Modell!$N$6,D163-1,0)))),"Substructure"))</f>
        <v/>
      </c>
      <c r="R163" s="80"/>
      <c r="T163" s="93"/>
      <c r="U163" s="94"/>
      <c r="V163" s="95"/>
      <c r="W163" s="96"/>
      <c r="Y163" s="85" t="s">
        <v>5872</v>
      </c>
      <c r="Z163" s="86"/>
      <c r="AA163" s="87"/>
      <c r="AB163" s="88"/>
      <c r="AD163" s="77"/>
      <c r="AF163" s="54" t="str" cm="1">
        <f t="array" aca="1" ref="AF163" ca="1">IF(H163=0,"",HYPERLINK("#"&amp;RIGHT(CELL("adresse",OFFSET('DM01-AV-CH'!$G$6,H163-1,0)),LEN(CELL("adresse",OFFSET('DM01-AV-CH'!$G$6,H163-1,0)))-FIND("]",CELL("adresse",OFFSET('DM01-AV-CH'!$G$6,H163-1,0)))),"Modell"))</f>
        <v>Modell</v>
      </c>
      <c r="AG163" s="72" t="str" cm="1">
        <f t="array" ref="AG163">IF($H163=0,"",IF(INDEX('DM01-AV-CH'!G$6:G$834,$H163)="","",INDEX('DM01-AV-CH'!G$6:G$834,$H163)))</f>
        <v>FixpunkteKategorie2</v>
      </c>
      <c r="AH163" s="73" t="str" cm="1">
        <f t="array" ref="AH163">IF($H163=0,"",IF(INDEX('DM01-AV-CH'!H$6:H$834,$H163)="","",INDEX('DM01-AV-CH'!H$6:H$834,$H163)))</f>
        <v>LFP2</v>
      </c>
      <c r="AI163" s="74" t="str" cm="1">
        <f t="array" ref="AI163">IF($H163=0,"",IF(INDEX('DM01-AV-CH'!I$6:I$834,$H163)="","",INDEX('DM01-AV-CH'!I$6:I$834,$H163)))</f>
        <v>Begehbarkeit</v>
      </c>
    </row>
    <row r="164" spans="1:35" x14ac:dyDescent="0.25">
      <c r="A164" s="57">
        <v>159</v>
      </c>
      <c r="B164" s="57">
        <f>IF($A164="","",IF(_xlfn.XLOOKUP($A164,Korrelation!$D$4:$D$1197,Korrelation!E$4:E$1197,"-",0)="-",0,MATCH(_xlfn.XLOOKUP($A164,Korrelation!$D$4:$D$1197,Korrelation!E$4:E$1197,"",0),DMAV_Modell!$G$6:$G$677,0)))</f>
        <v>0</v>
      </c>
      <c r="C164" s="57">
        <f>IF($A164="","",IF(_xlfn.XLOOKUP($A164,Korrelation!$D$4:$D$1197,Korrelation!F$4:F$1197,"-",0)="-",0,MATCH(_xlfn.XLOOKUP($A164,Korrelation!$D$4:$D$1197,Korrelation!F$4:F$1197,"",0),DMAV_Modell!$G$6:$G$677,0)))</f>
        <v>0</v>
      </c>
      <c r="D164" s="57">
        <f>IF($A164="","",IF(_xlfn.XLOOKUP($A164,Korrelation!$D$4:$D$1197,Korrelation!G$4:G$1197,"-",0)="-",0,MATCH(_xlfn.XLOOKUP($A164,Korrelation!$D$4:$D$1197,Korrelation!G$4:G$1197,"",0),DMAV_Modell!$G$6:$G$677,0)))</f>
        <v>0</v>
      </c>
      <c r="E164" s="57">
        <f>IF($A164="","",IF(_xlfn.XLOOKUP($A164,Korrelation!$D$4:$D$1197,Korrelation!H$4:H$1197,"-",0)="-",0,MATCH(_xlfn.XLOOKUP($A164,Korrelation!$D$4:$D$1197,Korrelation!H$4:H$1197,"",0),DMAV_Dienste!$F$6:$F$140,0)))</f>
        <v>85</v>
      </c>
      <c r="F164" s="57">
        <f>IF($A164="","",IF(_xlfn.XLOOKUP($A164,Korrelation!$D$4:$D$1197,Korrelation!I$4:I$1197,"-",0)="-",0,MATCH(_xlfn.XLOOKUP($A164,Korrelation!$D$4:$D$1197,Korrelation!I$4:I$1197,"",0),DMAV_Dienste!$F$6:$F$140,0)))</f>
        <v>0</v>
      </c>
      <c r="G164" s="57">
        <f>IF($A164="","",IF(_xlfn.XLOOKUP($A164,Korrelation!$D$4:$D$1197,Korrelation!J$4:J$1197,"-",0)="-",0,MATCH(_xlfn.XLOOKUP($A164,Korrelation!$D$4:$D$1197,Korrelation!J$4:J$1197,"",0),DMAV_Dienste!$F$6:$F$140,0)))</f>
        <v>0</v>
      </c>
      <c r="H164" s="57">
        <f>IF($A164="","",IF(_xlfn.XLOOKUP($A164,Korrelation!$D$4:$D$1197,Korrelation!K$4:K$1197,"-",0)="-",0,MATCH(_xlfn.XLOOKUP($A164,Korrelation!$D$4:$D$1197,Korrelation!K$4:K$1197,"",0),'DM01-AV-CH'!$A$6:$A$834,0)))</f>
        <v>0</v>
      </c>
      <c r="J164" s="54" t="str" cm="1">
        <f t="array" aca="1" ref="J164" ca="1">IF(B164=0,IF(E164=0,"",HYPERLINK("#"&amp;RIGHT(CELL("adresse",OFFSET(DMAV_Dienste!$M$6,E164-1,0)),LEN(CELL("adresse",OFFSET(DMAV_Dienste!$M$6,E164-1,0)))-FIND("]",CELL("adresse",OFFSET(DMAV_Dienste!$M$6,E164-1,0)))),"Dienst")),HYPERLINK("#"&amp;RIGHT(CELL("adresse",OFFSET(DMAV_Modell!$N$6,B164-1,0)),LEN(CELL("adresse",OFFSET(DMAV_Modell!$N$6,B164-1,0)))-FIND("]",CELL("adresse",OFFSET(DMAV_Modell!$N$6,B164-1,0)))),"Modell"))</f>
        <v>Dienst</v>
      </c>
      <c r="K164" s="61" t="str" cm="1">
        <f t="array" ref="K164">IF($B164=0,IF($E164=0,"",IF(INDEX(DMAV_Dienste!P$6:P$140,$E164)="","",INDEX(DMAV_Dienste!P$6:P$140,$E164))),IF(INDEX(DMAV_Modell!Q$6:Q$838,$B164)="","",INDEX(DMAV_Modell!Q$6:Q$838,$B164)))</f>
        <v>CLASS</v>
      </c>
      <c r="L164" s="62" t="str" cm="1">
        <f t="array" ref="L164">IF($B164=0,IF($E164=0,"",IF(INDEX(DMAV_Dienste!O$6:O$140,$E164)="","",INDEX(DMAV_Dienste!O$6:O$140,$E164))),IF(INDEX(DMAV_Modell!P$6:P$838,$B164)="","",INDEX(DMAV_Modell!P$6:P$838,$B164)))</f>
        <v>FPDS2</v>
      </c>
      <c r="M164" s="62" t="str" cm="1">
        <f t="array" ref="M164">IF($B164=0,IF($E164=0,"",IF(INDEX(DMAV_Dienste!Q$6:Q$140,$E164)="","",INDEX(DMAV_Dienste!Q$6:Q$140,$E164))),IF(INDEX(DMAV_Modell!R$6:R$838,$B164)="","",INDEX(DMAV_Modell!R$6:R$838,$B164)))</f>
        <v>Fixpunkt</v>
      </c>
      <c r="N164" s="62" t="str" cm="1">
        <f t="array" ref="N164">IF($B164=0,IF($E164=0,"",IF(INDEX(DMAV_Dienste!T$6:T$140,$E164)="","",INDEX(DMAV_Dienste!T$6:T$140,$E164))),IF(INDEX(DMAV_Modell!U$6:U$838,$B164)="","",INDEX(DMAV_Modell!U$6:U$838,$B164)))</f>
        <v>Bemerkung</v>
      </c>
      <c r="O164" s="63" t="str" cm="1">
        <f t="array" aca="1" ref="O164" ca="1">IF(C164=0,IF(F164=0,"",HYPERLINK("#"&amp;RIGHT(CELL("adresse",OFFSET(DMAV_Dienste!$M$6,F164-1,0)),LEN(CELL("adresse",OFFSET(DMAV_Dienste!$M$6,F164-1,0)))-FIND("]",CELL("adresse",OFFSET(DMAV_Dienste!$M$6,F164-1,0)))),"Structure")),HYPERLINK("#"&amp;RIGHT(CELL("adresse",OFFSET(DMAV_Modell!$N$6,C164-1,0)),LEN(CELL("adresse",OFFSET(DMAV_Modell!$N$6,C164-1,0)))-FIND("]",CELL("adresse",OFFSET(DMAV_Modell!$N$6,C164-1,0)))),"Structure"))</f>
        <v/>
      </c>
      <c r="P164" s="64" t="str" cm="1">
        <f t="array" aca="1" ref="P164" ca="1">IF(D164=0,IF(G164=0,"",HYPERLINK("#"&amp;RIGHT(CELL("adresse",OFFSET(DMAV_Dienste!$M$6,G164-1,0)),LEN(CELL("adresse",OFFSET(DMAV_Dienste!$M$6,G164-1,0)))-FIND("]",CELL("adresse",OFFSET(DMAV_Dienste!$M$6,G164-1,0)))),"Substructure")),HYPERLINK("#"&amp;RIGHT(CELL("adresse",OFFSET(DMAV_Modell!$N$6,D164-1,0)),LEN(CELL("adresse",OFFSET(DMAV_Modell!$N$6,D164-1,0)))-FIND("]",CELL("adresse",OFFSET(DMAV_Modell!$N$6,D164-1,0)))),"Substructure"))</f>
        <v/>
      </c>
      <c r="R164" s="80"/>
      <c r="T164" s="93"/>
      <c r="U164" s="94"/>
      <c r="V164" s="95"/>
      <c r="W164" s="96"/>
      <c r="Y164" s="85"/>
      <c r="Z164" s="86"/>
      <c r="AA164" s="87"/>
      <c r="AB164" s="88"/>
      <c r="AD164" s="77"/>
      <c r="AF164" s="54" t="str" cm="1">
        <f t="array" aca="1" ref="AF164" ca="1">IF(H164=0,"",HYPERLINK("#"&amp;RIGHT(CELL("adresse",OFFSET('DM01-AV-CH'!$G$6,H164-1,0)),LEN(CELL("adresse",OFFSET('DM01-AV-CH'!$G$6,H164-1,0)))-FIND("]",CELL("adresse",OFFSET('DM01-AV-CH'!$G$6,H164-1,0)))),"Modell"))</f>
        <v/>
      </c>
      <c r="AG164" s="72" t="str" cm="1">
        <f t="array" ref="AG164">IF($H164=0,"",IF(INDEX('DM01-AV-CH'!G$6:G$834,$H164)="","",INDEX('DM01-AV-CH'!G$6:G$834,$H164)))</f>
        <v/>
      </c>
      <c r="AH164" s="73" t="str" cm="1">
        <f t="array" ref="AH164">IF($H164=0,"",IF(INDEX('DM01-AV-CH'!H$6:H$834,$H164)="","",INDEX('DM01-AV-CH'!H$6:H$834,$H164)))</f>
        <v/>
      </c>
      <c r="AI164" s="74" t="str" cm="1">
        <f t="array" ref="AI164">IF($H164=0,"",IF(INDEX('DM01-AV-CH'!I$6:I$834,$H164)="","",INDEX('DM01-AV-CH'!I$6:I$834,$H164)))</f>
        <v/>
      </c>
    </row>
    <row r="165" spans="1:35" x14ac:dyDescent="0.25">
      <c r="A165" s="57">
        <v>160</v>
      </c>
      <c r="B165" s="57">
        <f>IF($A165="","",IF(_xlfn.XLOOKUP($A165,Korrelation!$D$4:$D$1197,Korrelation!E$4:E$1197,"-",0)="-",0,MATCH(_xlfn.XLOOKUP($A165,Korrelation!$D$4:$D$1197,Korrelation!E$4:E$1197,"",0),DMAV_Modell!$G$6:$G$677,0)))</f>
        <v>0</v>
      </c>
      <c r="C165" s="57">
        <f>IF($A165="","",IF(_xlfn.XLOOKUP($A165,Korrelation!$D$4:$D$1197,Korrelation!F$4:F$1197,"-",0)="-",0,MATCH(_xlfn.XLOOKUP($A165,Korrelation!$D$4:$D$1197,Korrelation!F$4:F$1197,"",0),DMAV_Modell!$G$6:$G$677,0)))</f>
        <v>0</v>
      </c>
      <c r="D165" s="57">
        <f>IF($A165="","",IF(_xlfn.XLOOKUP($A165,Korrelation!$D$4:$D$1197,Korrelation!G$4:G$1197,"-",0)="-",0,MATCH(_xlfn.XLOOKUP($A165,Korrelation!$D$4:$D$1197,Korrelation!G$4:G$1197,"",0),DMAV_Modell!$G$6:$G$677,0)))</f>
        <v>0</v>
      </c>
      <c r="E165" s="57">
        <f>IF($A165="","",IF(_xlfn.XLOOKUP($A165,Korrelation!$D$4:$D$1197,Korrelation!H$4:H$1197,"-",0)="-",0,MATCH(_xlfn.XLOOKUP($A165,Korrelation!$D$4:$D$1197,Korrelation!H$4:H$1197,"",0),DMAV_Dienste!$F$6:$F$140,0)))</f>
        <v>86</v>
      </c>
      <c r="F165" s="57">
        <f>IF($A165="","",IF(_xlfn.XLOOKUP($A165,Korrelation!$D$4:$D$1197,Korrelation!I$4:I$1197,"-",0)="-",0,MATCH(_xlfn.XLOOKUP($A165,Korrelation!$D$4:$D$1197,Korrelation!I$4:I$1197,"",0),DMAV_Dienste!$F$6:$F$140,0)))</f>
        <v>0</v>
      </c>
      <c r="G165" s="57">
        <f>IF($A165="","",IF(_xlfn.XLOOKUP($A165,Korrelation!$D$4:$D$1197,Korrelation!J$4:J$1197,"-",0)="-",0,MATCH(_xlfn.XLOOKUP($A165,Korrelation!$D$4:$D$1197,Korrelation!J$4:J$1197,"",0),DMAV_Dienste!$F$6:$F$140,0)))</f>
        <v>0</v>
      </c>
      <c r="H165" s="57">
        <f>IF($A165="","",IF(_xlfn.XLOOKUP($A165,Korrelation!$D$4:$D$1197,Korrelation!K$4:K$1197,"-",0)="-",0,MATCH(_xlfn.XLOOKUP($A165,Korrelation!$D$4:$D$1197,Korrelation!K$4:K$1197,"",0),'DM01-AV-CH'!$A$6:$A$834,0)))</f>
        <v>0</v>
      </c>
      <c r="J165" s="54" t="str" cm="1">
        <f t="array" aca="1" ref="J165" ca="1">IF(B165=0,IF(E165=0,"",HYPERLINK("#"&amp;RIGHT(CELL("adresse",OFFSET(DMAV_Dienste!$M$6,E165-1,0)),LEN(CELL("adresse",OFFSET(DMAV_Dienste!$M$6,E165-1,0)))-FIND("]",CELL("adresse",OFFSET(DMAV_Dienste!$M$6,E165-1,0)))),"Dienst")),HYPERLINK("#"&amp;RIGHT(CELL("adresse",OFFSET(DMAV_Modell!$N$6,B165-1,0)),LEN(CELL("adresse",OFFSET(DMAV_Modell!$N$6,B165-1,0)))-FIND("]",CELL("adresse",OFFSET(DMAV_Modell!$N$6,B165-1,0)))),"Modell"))</f>
        <v>Dienst</v>
      </c>
      <c r="K165" s="61" t="str" cm="1">
        <f t="array" ref="K165">IF($B165=0,IF($E165=0,"",IF(INDEX(DMAV_Dienste!P$6:P$140,$E165)="","",INDEX(DMAV_Dienste!P$6:P$140,$E165))),IF(INDEX(DMAV_Modell!Q$6:Q$838,$B165)="","",INDEX(DMAV_Modell!Q$6:Q$838,$B165)))</f>
        <v>CLASS</v>
      </c>
      <c r="L165" s="62" t="str" cm="1">
        <f t="array" ref="L165">IF($B165=0,IF($E165=0,"",IF(INDEX(DMAV_Dienste!O$6:O$140,$E165)="","",INDEX(DMAV_Dienste!O$6:O$140,$E165))),IF(INDEX(DMAV_Modell!P$6:P$838,$B165)="","",INDEX(DMAV_Modell!P$6:P$838,$B165)))</f>
        <v>FPDS2</v>
      </c>
      <c r="M165" s="62" t="str" cm="1">
        <f t="array" ref="M165">IF($B165=0,IF($E165=0,"",IF(INDEX(DMAV_Dienste!Q$6:Q$140,$E165)="","",INDEX(DMAV_Dienste!Q$6:Q$140,$E165))),IF(INDEX(DMAV_Modell!R$6:R$838,$B165)="","",INDEX(DMAV_Modell!R$6:R$838,$B165)))</f>
        <v>Fixpunkt</v>
      </c>
      <c r="N165" s="62" t="str" cm="1">
        <f t="array" ref="N165">IF($B165=0,IF($E165=0,"",IF(INDEX(DMAV_Dienste!T$6:T$140,$E165)="","",INDEX(DMAV_Dienste!T$6:T$140,$E165))),IF(INDEX(DMAV_Modell!U$6:U$838,$B165)="","",INDEX(DMAV_Modell!U$6:U$838,$B165)))</f>
        <v>Bildquelle1</v>
      </c>
      <c r="O165" s="63" t="str" cm="1">
        <f t="array" aca="1" ref="O165" ca="1">IF(C165=0,IF(F165=0,"",HYPERLINK("#"&amp;RIGHT(CELL("adresse",OFFSET(DMAV_Dienste!$M$6,F165-1,0)),LEN(CELL("adresse",OFFSET(DMAV_Dienste!$M$6,F165-1,0)))-FIND("]",CELL("adresse",OFFSET(DMAV_Dienste!$M$6,F165-1,0)))),"Structure")),HYPERLINK("#"&amp;RIGHT(CELL("adresse",OFFSET(DMAV_Modell!$N$6,C165-1,0)),LEN(CELL("adresse",OFFSET(DMAV_Modell!$N$6,C165-1,0)))-FIND("]",CELL("adresse",OFFSET(DMAV_Modell!$N$6,C165-1,0)))),"Structure"))</f>
        <v/>
      </c>
      <c r="P165" s="64" t="str" cm="1">
        <f t="array" aca="1" ref="P165" ca="1">IF(D165=0,IF(G165=0,"",HYPERLINK("#"&amp;RIGHT(CELL("adresse",OFFSET(DMAV_Dienste!$M$6,G165-1,0)),LEN(CELL("adresse",OFFSET(DMAV_Dienste!$M$6,G165-1,0)))-FIND("]",CELL("adresse",OFFSET(DMAV_Dienste!$M$6,G165-1,0)))),"Substructure")),HYPERLINK("#"&amp;RIGHT(CELL("adresse",OFFSET(DMAV_Modell!$N$6,D165-1,0)),LEN(CELL("adresse",OFFSET(DMAV_Modell!$N$6,D165-1,0)))-FIND("]",CELL("adresse",OFFSET(DMAV_Modell!$N$6,D165-1,0)))),"Substructure"))</f>
        <v/>
      </c>
      <c r="R165" s="80"/>
      <c r="T165" s="93"/>
      <c r="U165" s="94"/>
      <c r="V165" s="95"/>
      <c r="W165" s="96"/>
      <c r="Y165" s="85"/>
      <c r="Z165" s="86"/>
      <c r="AA165" s="87"/>
      <c r="AB165" s="88"/>
      <c r="AD165" s="77"/>
      <c r="AF165" s="54" t="str" cm="1">
        <f t="array" aca="1" ref="AF165" ca="1">IF(H165=0,"",HYPERLINK("#"&amp;RIGHT(CELL("adresse",OFFSET('DM01-AV-CH'!$G$6,H165-1,0)),LEN(CELL("adresse",OFFSET('DM01-AV-CH'!$G$6,H165-1,0)))-FIND("]",CELL("adresse",OFFSET('DM01-AV-CH'!$G$6,H165-1,0)))),"Modell"))</f>
        <v/>
      </c>
      <c r="AG165" s="72" t="str" cm="1">
        <f t="array" ref="AG165">IF($H165=0,"",IF(INDEX('DM01-AV-CH'!G$6:G$834,$H165)="","",INDEX('DM01-AV-CH'!G$6:G$834,$H165)))</f>
        <v/>
      </c>
      <c r="AH165" s="73" t="str" cm="1">
        <f t="array" ref="AH165">IF($H165=0,"",IF(INDEX('DM01-AV-CH'!H$6:H$834,$H165)="","",INDEX('DM01-AV-CH'!H$6:H$834,$H165)))</f>
        <v/>
      </c>
      <c r="AI165" s="74" t="str" cm="1">
        <f t="array" ref="AI165">IF($H165=0,"",IF(INDEX('DM01-AV-CH'!I$6:I$834,$H165)="","",INDEX('DM01-AV-CH'!I$6:I$834,$H165)))</f>
        <v/>
      </c>
    </row>
    <row r="166" spans="1:35" x14ac:dyDescent="0.25">
      <c r="A166" s="57">
        <v>161</v>
      </c>
      <c r="B166" s="57">
        <f>IF($A166="","",IF(_xlfn.XLOOKUP($A166,Korrelation!$D$4:$D$1197,Korrelation!E$4:E$1197,"-",0)="-",0,MATCH(_xlfn.XLOOKUP($A166,Korrelation!$D$4:$D$1197,Korrelation!E$4:E$1197,"",0),DMAV_Modell!$G$6:$G$677,0)))</f>
        <v>0</v>
      </c>
      <c r="C166" s="57">
        <f>IF($A166="","",IF(_xlfn.XLOOKUP($A166,Korrelation!$D$4:$D$1197,Korrelation!F$4:F$1197,"-",0)="-",0,MATCH(_xlfn.XLOOKUP($A166,Korrelation!$D$4:$D$1197,Korrelation!F$4:F$1197,"",0),DMAV_Modell!$G$6:$G$677,0)))</f>
        <v>0</v>
      </c>
      <c r="D166" s="57">
        <f>IF($A166="","",IF(_xlfn.XLOOKUP($A166,Korrelation!$D$4:$D$1197,Korrelation!G$4:G$1197,"-",0)="-",0,MATCH(_xlfn.XLOOKUP($A166,Korrelation!$D$4:$D$1197,Korrelation!G$4:G$1197,"",0),DMAV_Modell!$G$6:$G$677,0)))</f>
        <v>0</v>
      </c>
      <c r="E166" s="57">
        <f>IF($A166="","",IF(_xlfn.XLOOKUP($A166,Korrelation!$D$4:$D$1197,Korrelation!H$4:H$1197,"-",0)="-",0,MATCH(_xlfn.XLOOKUP($A166,Korrelation!$D$4:$D$1197,Korrelation!H$4:H$1197,"",0),DMAV_Dienste!$F$6:$F$140,0)))</f>
        <v>87</v>
      </c>
      <c r="F166" s="57">
        <f>IF($A166="","",IF(_xlfn.XLOOKUP($A166,Korrelation!$D$4:$D$1197,Korrelation!I$4:I$1197,"-",0)="-",0,MATCH(_xlfn.XLOOKUP($A166,Korrelation!$D$4:$D$1197,Korrelation!I$4:I$1197,"",0),DMAV_Dienste!$F$6:$F$140,0)))</f>
        <v>0</v>
      </c>
      <c r="G166" s="57">
        <f>IF($A166="","",IF(_xlfn.XLOOKUP($A166,Korrelation!$D$4:$D$1197,Korrelation!J$4:J$1197,"-",0)="-",0,MATCH(_xlfn.XLOOKUP($A166,Korrelation!$D$4:$D$1197,Korrelation!J$4:J$1197,"",0),DMAV_Dienste!$F$6:$F$140,0)))</f>
        <v>0</v>
      </c>
      <c r="H166" s="57">
        <f>IF($A166="","",IF(_xlfn.XLOOKUP($A166,Korrelation!$D$4:$D$1197,Korrelation!K$4:K$1197,"-",0)="-",0,MATCH(_xlfn.XLOOKUP($A166,Korrelation!$D$4:$D$1197,Korrelation!K$4:K$1197,"",0),'DM01-AV-CH'!$A$6:$A$834,0)))</f>
        <v>0</v>
      </c>
      <c r="J166" s="54" t="str" cm="1">
        <f t="array" aca="1" ref="J166" ca="1">IF(B166=0,IF(E166=0,"",HYPERLINK("#"&amp;RIGHT(CELL("adresse",OFFSET(DMAV_Dienste!$M$6,E166-1,0)),LEN(CELL("adresse",OFFSET(DMAV_Dienste!$M$6,E166-1,0)))-FIND("]",CELL("adresse",OFFSET(DMAV_Dienste!$M$6,E166-1,0)))),"Dienst")),HYPERLINK("#"&amp;RIGHT(CELL("adresse",OFFSET(DMAV_Modell!$N$6,B166-1,0)),LEN(CELL("adresse",OFFSET(DMAV_Modell!$N$6,B166-1,0)))-FIND("]",CELL("adresse",OFFSET(DMAV_Modell!$N$6,B166-1,0)))),"Modell"))</f>
        <v>Dienst</v>
      </c>
      <c r="K166" s="61" t="str" cm="1">
        <f t="array" ref="K166">IF($B166=0,IF($E166=0,"",IF(INDEX(DMAV_Dienste!P$6:P$140,$E166)="","",INDEX(DMAV_Dienste!P$6:P$140,$E166))),IF(INDEX(DMAV_Modell!Q$6:Q$838,$B166)="","",INDEX(DMAV_Modell!Q$6:Q$838,$B166)))</f>
        <v>CLASS</v>
      </c>
      <c r="L166" s="62" t="str" cm="1">
        <f t="array" ref="L166">IF($B166=0,IF($E166=0,"",IF(INDEX(DMAV_Dienste!O$6:O$140,$E166)="","",INDEX(DMAV_Dienste!O$6:O$140,$E166))),IF(INDEX(DMAV_Modell!P$6:P$838,$B166)="","",INDEX(DMAV_Modell!P$6:P$838,$B166)))</f>
        <v>FPDS2</v>
      </c>
      <c r="M166" s="62" t="str" cm="1">
        <f t="array" ref="M166">IF($B166=0,IF($E166=0,"",IF(INDEX(DMAV_Dienste!Q$6:Q$140,$E166)="","",INDEX(DMAV_Dienste!Q$6:Q$140,$E166))),IF(INDEX(DMAV_Modell!R$6:R$838,$B166)="","",INDEX(DMAV_Modell!R$6:R$838,$B166)))</f>
        <v>Fixpunkt</v>
      </c>
      <c r="N166" s="62" t="str" cm="1">
        <f t="array" ref="N166">IF($B166=0,IF($E166=0,"",IF(INDEX(DMAV_Dienste!T$6:T$140,$E166)="","",INDEX(DMAV_Dienste!T$6:T$140,$E166))),IF(INDEX(DMAV_Modell!U$6:U$838,$B166)="","",INDEX(DMAV_Modell!U$6:U$838,$B166)))</f>
        <v>Bildquelle2</v>
      </c>
      <c r="O166" s="63" t="str" cm="1">
        <f t="array" aca="1" ref="O166" ca="1">IF(C166=0,IF(F166=0,"",HYPERLINK("#"&amp;RIGHT(CELL("adresse",OFFSET(DMAV_Dienste!$M$6,F166-1,0)),LEN(CELL("adresse",OFFSET(DMAV_Dienste!$M$6,F166-1,0)))-FIND("]",CELL("adresse",OFFSET(DMAV_Dienste!$M$6,F166-1,0)))),"Structure")),HYPERLINK("#"&amp;RIGHT(CELL("adresse",OFFSET(DMAV_Modell!$N$6,C166-1,0)),LEN(CELL("adresse",OFFSET(DMAV_Modell!$N$6,C166-1,0)))-FIND("]",CELL("adresse",OFFSET(DMAV_Modell!$N$6,C166-1,0)))),"Structure"))</f>
        <v/>
      </c>
      <c r="P166" s="64" t="str" cm="1">
        <f t="array" aca="1" ref="P166" ca="1">IF(D166=0,IF(G166=0,"",HYPERLINK("#"&amp;RIGHT(CELL("adresse",OFFSET(DMAV_Dienste!$M$6,G166-1,0)),LEN(CELL("adresse",OFFSET(DMAV_Dienste!$M$6,G166-1,0)))-FIND("]",CELL("adresse",OFFSET(DMAV_Dienste!$M$6,G166-1,0)))),"Substructure")),HYPERLINK("#"&amp;RIGHT(CELL("adresse",OFFSET(DMAV_Modell!$N$6,D166-1,0)),LEN(CELL("adresse",OFFSET(DMAV_Modell!$N$6,D166-1,0)))-FIND("]",CELL("adresse",OFFSET(DMAV_Modell!$N$6,D166-1,0)))),"Substructure"))</f>
        <v/>
      </c>
      <c r="R166" s="80"/>
      <c r="T166" s="93"/>
      <c r="U166" s="94"/>
      <c r="V166" s="95"/>
      <c r="W166" s="96"/>
      <c r="Y166" s="85"/>
      <c r="Z166" s="86"/>
      <c r="AA166" s="87"/>
      <c r="AB166" s="88"/>
      <c r="AD166" s="77"/>
      <c r="AF166" s="54" t="str" cm="1">
        <f t="array" aca="1" ref="AF166" ca="1">IF(H166=0,"",HYPERLINK("#"&amp;RIGHT(CELL("adresse",OFFSET('DM01-AV-CH'!$G$6,H166-1,0)),LEN(CELL("adresse",OFFSET('DM01-AV-CH'!$G$6,H166-1,0)))-FIND("]",CELL("adresse",OFFSET('DM01-AV-CH'!$G$6,H166-1,0)))),"Modell"))</f>
        <v/>
      </c>
      <c r="AG166" s="72" t="str" cm="1">
        <f t="array" ref="AG166">IF($H166=0,"",IF(INDEX('DM01-AV-CH'!G$6:G$834,$H166)="","",INDEX('DM01-AV-CH'!G$6:G$834,$H166)))</f>
        <v/>
      </c>
      <c r="AH166" s="73" t="str" cm="1">
        <f t="array" ref="AH166">IF($H166=0,"",IF(INDEX('DM01-AV-CH'!H$6:H$834,$H166)="","",INDEX('DM01-AV-CH'!H$6:H$834,$H166)))</f>
        <v/>
      </c>
      <c r="AI166" s="74" t="str" cm="1">
        <f t="array" ref="AI166">IF($H166=0,"",IF(INDEX('DM01-AV-CH'!I$6:I$834,$H166)="","",INDEX('DM01-AV-CH'!I$6:I$834,$H166)))</f>
        <v/>
      </c>
    </row>
    <row r="167" spans="1:35" x14ac:dyDescent="0.25">
      <c r="A167" s="57">
        <v>162</v>
      </c>
      <c r="B167" s="57">
        <f>IF($A167="","",IF(_xlfn.XLOOKUP($A167,Korrelation!$D$4:$D$1197,Korrelation!E$4:E$1197,"-",0)="-",0,MATCH(_xlfn.XLOOKUP($A167,Korrelation!$D$4:$D$1197,Korrelation!E$4:E$1197,"",0),DMAV_Modell!$G$6:$G$677,0)))</f>
        <v>0</v>
      </c>
      <c r="C167" s="57">
        <f>IF($A167="","",IF(_xlfn.XLOOKUP($A167,Korrelation!$D$4:$D$1197,Korrelation!F$4:F$1197,"-",0)="-",0,MATCH(_xlfn.XLOOKUP($A167,Korrelation!$D$4:$D$1197,Korrelation!F$4:F$1197,"",0),DMAV_Modell!$G$6:$G$677,0)))</f>
        <v>0</v>
      </c>
      <c r="D167" s="57">
        <f>IF($A167="","",IF(_xlfn.XLOOKUP($A167,Korrelation!$D$4:$D$1197,Korrelation!G$4:G$1197,"-",0)="-",0,MATCH(_xlfn.XLOOKUP($A167,Korrelation!$D$4:$D$1197,Korrelation!G$4:G$1197,"",0),DMAV_Modell!$G$6:$G$677,0)))</f>
        <v>0</v>
      </c>
      <c r="E167" s="57">
        <f>IF($A167="","",IF(_xlfn.XLOOKUP($A167,Korrelation!$D$4:$D$1197,Korrelation!H$4:H$1197,"-",0)="-",0,MATCH(_xlfn.XLOOKUP($A167,Korrelation!$D$4:$D$1197,Korrelation!H$4:H$1197,"",0),DMAV_Dienste!$F$6:$F$140,0)))</f>
        <v>88</v>
      </c>
      <c r="F167" s="57">
        <f>IF($A167="","",IF(_xlfn.XLOOKUP($A167,Korrelation!$D$4:$D$1197,Korrelation!I$4:I$1197,"-",0)="-",0,MATCH(_xlfn.XLOOKUP($A167,Korrelation!$D$4:$D$1197,Korrelation!I$4:I$1197,"",0),DMAV_Dienste!$F$6:$F$140,0)))</f>
        <v>0</v>
      </c>
      <c r="G167" s="57">
        <f>IF($A167="","",IF(_xlfn.XLOOKUP($A167,Korrelation!$D$4:$D$1197,Korrelation!J$4:J$1197,"-",0)="-",0,MATCH(_xlfn.XLOOKUP($A167,Korrelation!$D$4:$D$1197,Korrelation!J$4:J$1197,"",0),DMAV_Dienste!$F$6:$F$140,0)))</f>
        <v>0</v>
      </c>
      <c r="H167" s="57">
        <f>IF($A167="","",IF(_xlfn.XLOOKUP($A167,Korrelation!$D$4:$D$1197,Korrelation!K$4:K$1197,"-",0)="-",0,MATCH(_xlfn.XLOOKUP($A167,Korrelation!$D$4:$D$1197,Korrelation!K$4:K$1197,"",0),'DM01-AV-CH'!$A$6:$A$834,0)))</f>
        <v>0</v>
      </c>
      <c r="J167" s="54" t="str" cm="1">
        <f t="array" aca="1" ref="J167" ca="1">IF(B167=0,IF(E167=0,"",HYPERLINK("#"&amp;RIGHT(CELL("adresse",OFFSET(DMAV_Dienste!$M$6,E167-1,0)),LEN(CELL("adresse",OFFSET(DMAV_Dienste!$M$6,E167-1,0)))-FIND("]",CELL("adresse",OFFSET(DMAV_Dienste!$M$6,E167-1,0)))),"Dienst")),HYPERLINK("#"&amp;RIGHT(CELL("adresse",OFFSET(DMAV_Modell!$N$6,B167-1,0)),LEN(CELL("adresse",OFFSET(DMAV_Modell!$N$6,B167-1,0)))-FIND("]",CELL("adresse",OFFSET(DMAV_Modell!$N$6,B167-1,0)))),"Modell"))</f>
        <v>Dienst</v>
      </c>
      <c r="K167" s="61" t="str" cm="1">
        <f t="array" ref="K167">IF($B167=0,IF($E167=0,"",IF(INDEX(DMAV_Dienste!P$6:P$140,$E167)="","",INDEX(DMAV_Dienste!P$6:P$140,$E167))),IF(INDEX(DMAV_Modell!Q$6:Q$838,$B167)="","",INDEX(DMAV_Modell!Q$6:Q$838,$B167)))</f>
        <v>CLASS</v>
      </c>
      <c r="L167" s="62" t="str" cm="1">
        <f t="array" ref="L167">IF($B167=0,IF($E167=0,"",IF(INDEX(DMAV_Dienste!O$6:O$140,$E167)="","",INDEX(DMAV_Dienste!O$6:O$140,$E167))),IF(INDEX(DMAV_Modell!P$6:P$838,$B167)="","",INDEX(DMAV_Modell!P$6:P$838,$B167)))</f>
        <v>FPDS2</v>
      </c>
      <c r="M167" s="62" t="str" cm="1">
        <f t="array" ref="M167">IF($B167=0,IF($E167=0,"",IF(INDEX(DMAV_Dienste!Q$6:Q$140,$E167)="","",INDEX(DMAV_Dienste!Q$6:Q$140,$E167))),IF(INDEX(DMAV_Modell!R$6:R$838,$B167)="","",INDEX(DMAV_Modell!R$6:R$838,$B167)))</f>
        <v>Fixpunkt</v>
      </c>
      <c r="N167" s="62" t="str" cm="1">
        <f t="array" ref="N167">IF($B167=0,IF($E167=0,"",IF(INDEX(DMAV_Dienste!T$6:T$140,$E167)="","",INDEX(DMAV_Dienste!T$6:T$140,$E167))),IF(INDEX(DMAV_Modell!U$6:U$838,$B167)="","",INDEX(DMAV_Modell!U$6:U$838,$B167)))</f>
        <v>GNSSSichtbarkeit</v>
      </c>
      <c r="O167" s="63" t="str" cm="1">
        <f t="array" aca="1" ref="O167" ca="1">IF(C167=0,IF(F167=0,"",HYPERLINK("#"&amp;RIGHT(CELL("adresse",OFFSET(DMAV_Dienste!$M$6,F167-1,0)),LEN(CELL("adresse",OFFSET(DMAV_Dienste!$M$6,F167-1,0)))-FIND("]",CELL("adresse",OFFSET(DMAV_Dienste!$M$6,F167-1,0)))),"Structure")),HYPERLINK("#"&amp;RIGHT(CELL("adresse",OFFSET(DMAV_Modell!$N$6,C167-1,0)),LEN(CELL("adresse",OFFSET(DMAV_Modell!$N$6,C167-1,0)))-FIND("]",CELL("adresse",OFFSET(DMAV_Modell!$N$6,C167-1,0)))),"Structure"))</f>
        <v/>
      </c>
      <c r="P167" s="64" t="str" cm="1">
        <f t="array" aca="1" ref="P167" ca="1">IF(D167=0,IF(G167=0,"",HYPERLINK("#"&amp;RIGHT(CELL("adresse",OFFSET(DMAV_Dienste!$M$6,G167-1,0)),LEN(CELL("adresse",OFFSET(DMAV_Dienste!$M$6,G167-1,0)))-FIND("]",CELL("adresse",OFFSET(DMAV_Dienste!$M$6,G167-1,0)))),"Substructure")),HYPERLINK("#"&amp;RIGHT(CELL("adresse",OFFSET(DMAV_Modell!$N$6,D167-1,0)),LEN(CELL("adresse",OFFSET(DMAV_Modell!$N$6,D167-1,0)))-FIND("]",CELL("adresse",OFFSET(DMAV_Modell!$N$6,D167-1,0)))),"Substructure"))</f>
        <v/>
      </c>
      <c r="R167" s="80"/>
      <c r="T167" s="93"/>
      <c r="U167" s="94"/>
      <c r="V167" s="95"/>
      <c r="W167" s="96"/>
      <c r="Y167" s="85"/>
      <c r="Z167" s="86"/>
      <c r="AA167" s="87"/>
      <c r="AB167" s="88"/>
      <c r="AD167" s="77"/>
      <c r="AF167" s="54" t="str" cm="1">
        <f t="array" aca="1" ref="AF167" ca="1">IF(H167=0,"",HYPERLINK("#"&amp;RIGHT(CELL("adresse",OFFSET('DM01-AV-CH'!$G$6,H167-1,0)),LEN(CELL("adresse",OFFSET('DM01-AV-CH'!$G$6,H167-1,0)))-FIND("]",CELL("adresse",OFFSET('DM01-AV-CH'!$G$6,H167-1,0)))),"Modell"))</f>
        <v/>
      </c>
      <c r="AG167" s="72" t="str" cm="1">
        <f t="array" ref="AG167">IF($H167=0,"",IF(INDEX('DM01-AV-CH'!G$6:G$834,$H167)="","",INDEX('DM01-AV-CH'!G$6:G$834,$H167)))</f>
        <v/>
      </c>
      <c r="AH167" s="73" t="str" cm="1">
        <f t="array" ref="AH167">IF($H167=0,"",IF(INDEX('DM01-AV-CH'!H$6:H$834,$H167)="","",INDEX('DM01-AV-CH'!H$6:H$834,$H167)))</f>
        <v/>
      </c>
      <c r="AI167" s="74" t="str" cm="1">
        <f t="array" ref="AI167">IF($H167=0,"",IF(INDEX('DM01-AV-CH'!I$6:I$834,$H167)="","",INDEX('DM01-AV-CH'!I$6:I$834,$H167)))</f>
        <v/>
      </c>
    </row>
    <row r="168" spans="1:35" x14ac:dyDescent="0.25">
      <c r="A168" s="57">
        <v>163</v>
      </c>
      <c r="B168" s="57">
        <f>IF($A168="","",IF(_xlfn.XLOOKUP($A168,Korrelation!$D$4:$D$1197,Korrelation!E$4:E$1197,"-",0)="-",0,MATCH(_xlfn.XLOOKUP($A168,Korrelation!$D$4:$D$1197,Korrelation!E$4:E$1197,"",0),DMAV_Modell!$G$6:$G$677,0)))</f>
        <v>0</v>
      </c>
      <c r="C168" s="57">
        <f>IF($A168="","",IF(_xlfn.XLOOKUP($A168,Korrelation!$D$4:$D$1197,Korrelation!F$4:F$1197,"-",0)="-",0,MATCH(_xlfn.XLOOKUP($A168,Korrelation!$D$4:$D$1197,Korrelation!F$4:F$1197,"",0),DMAV_Modell!$G$6:$G$677,0)))</f>
        <v>0</v>
      </c>
      <c r="D168" s="57">
        <f>IF($A168="","",IF(_xlfn.XLOOKUP($A168,Korrelation!$D$4:$D$1197,Korrelation!G$4:G$1197,"-",0)="-",0,MATCH(_xlfn.XLOOKUP($A168,Korrelation!$D$4:$D$1197,Korrelation!G$4:G$1197,"",0),DMAV_Modell!$G$6:$G$677,0)))</f>
        <v>0</v>
      </c>
      <c r="E168" s="57">
        <f>IF($A168="","",IF(_xlfn.XLOOKUP($A168,Korrelation!$D$4:$D$1197,Korrelation!H$4:H$1197,"-",0)="-",0,MATCH(_xlfn.XLOOKUP($A168,Korrelation!$D$4:$D$1197,Korrelation!H$4:H$1197,"",0),DMAV_Dienste!$F$6:$F$140,0)))</f>
        <v>89</v>
      </c>
      <c r="F168" s="57">
        <f>IF($A168="","",IF(_xlfn.XLOOKUP($A168,Korrelation!$D$4:$D$1197,Korrelation!I$4:I$1197,"-",0)="-",0,MATCH(_xlfn.XLOOKUP($A168,Korrelation!$D$4:$D$1197,Korrelation!I$4:I$1197,"",0),DMAV_Dienste!$F$6:$F$140,0)))</f>
        <v>0</v>
      </c>
      <c r="G168" s="57">
        <f>IF($A168="","",IF(_xlfn.XLOOKUP($A168,Korrelation!$D$4:$D$1197,Korrelation!J$4:J$1197,"-",0)="-",0,MATCH(_xlfn.XLOOKUP($A168,Korrelation!$D$4:$D$1197,Korrelation!J$4:J$1197,"",0),DMAV_Dienste!$F$6:$F$140,0)))</f>
        <v>0</v>
      </c>
      <c r="H168" s="57">
        <f>IF($A168="","",IF(_xlfn.XLOOKUP($A168,Korrelation!$D$4:$D$1197,Korrelation!K$4:K$1197,"-",0)="-",0,MATCH(_xlfn.XLOOKUP($A168,Korrelation!$D$4:$D$1197,Korrelation!K$4:K$1197,"",0),'DM01-AV-CH'!$A$6:$A$834,0)))</f>
        <v>0</v>
      </c>
      <c r="J168" s="54" t="str" cm="1">
        <f t="array" aca="1" ref="J168" ca="1">IF(B168=0,IF(E168=0,"",HYPERLINK("#"&amp;RIGHT(CELL("adresse",OFFSET(DMAV_Dienste!$M$6,E168-1,0)),LEN(CELL("adresse",OFFSET(DMAV_Dienste!$M$6,E168-1,0)))-FIND("]",CELL("adresse",OFFSET(DMAV_Dienste!$M$6,E168-1,0)))),"Dienst")),HYPERLINK("#"&amp;RIGHT(CELL("adresse",OFFSET(DMAV_Modell!$N$6,B168-1,0)),LEN(CELL("adresse",OFFSET(DMAV_Modell!$N$6,B168-1,0)))-FIND("]",CELL("adresse",OFFSET(DMAV_Modell!$N$6,B168-1,0)))),"Modell"))</f>
        <v>Dienst</v>
      </c>
      <c r="K168" s="61" t="str" cm="1">
        <f t="array" ref="K168">IF($B168=0,IF($E168=0,"",IF(INDEX(DMAV_Dienste!P$6:P$140,$E168)="","",INDEX(DMAV_Dienste!P$6:P$140,$E168))),IF(INDEX(DMAV_Modell!Q$6:Q$838,$B168)="","",INDEX(DMAV_Modell!Q$6:Q$838,$B168)))</f>
        <v>CLASS</v>
      </c>
      <c r="L168" s="62" t="str" cm="1">
        <f t="array" ref="L168">IF($B168=0,IF($E168=0,"",IF(INDEX(DMAV_Dienste!O$6:O$140,$E168)="","",INDEX(DMAV_Dienste!O$6:O$140,$E168))),IF(INDEX(DMAV_Modell!P$6:P$838,$B168)="","",INDEX(DMAV_Modell!P$6:P$838,$B168)))</f>
        <v>FPDS2</v>
      </c>
      <c r="M168" s="62" t="str" cm="1">
        <f t="array" ref="M168">IF($B168=0,IF($E168=0,"",IF(INDEX(DMAV_Dienste!Q$6:Q$140,$E168)="","",INDEX(DMAV_Dienste!Q$6:Q$140,$E168))),IF(INDEX(DMAV_Modell!R$6:R$838,$B168)="","",INDEX(DMAV_Modell!R$6:R$838,$B168)))</f>
        <v>Fixpunkt</v>
      </c>
      <c r="N168" s="62" t="str" cm="1">
        <f t="array" ref="N168">IF($B168=0,IF($E168=0,"",IF(INDEX(DMAV_Dienste!T$6:T$140,$E168)="","",INDEX(DMAV_Dienste!T$6:T$140,$E168))),IF(INDEX(DMAV_Modell!U$6:U$838,$B168)="","",INDEX(DMAV_Modell!U$6:U$838,$B168)))</f>
        <v>Inschrift</v>
      </c>
      <c r="O168" s="63" t="str" cm="1">
        <f t="array" aca="1" ref="O168" ca="1">IF(C168=0,IF(F168=0,"",HYPERLINK("#"&amp;RIGHT(CELL("adresse",OFFSET(DMAV_Dienste!$M$6,F168-1,0)),LEN(CELL("adresse",OFFSET(DMAV_Dienste!$M$6,F168-1,0)))-FIND("]",CELL("adresse",OFFSET(DMAV_Dienste!$M$6,F168-1,0)))),"Structure")),HYPERLINK("#"&amp;RIGHT(CELL("adresse",OFFSET(DMAV_Modell!$N$6,C168-1,0)),LEN(CELL("adresse",OFFSET(DMAV_Modell!$N$6,C168-1,0)))-FIND("]",CELL("adresse",OFFSET(DMAV_Modell!$N$6,C168-1,0)))),"Structure"))</f>
        <v/>
      </c>
      <c r="P168" s="64" t="str" cm="1">
        <f t="array" aca="1" ref="P168" ca="1">IF(D168=0,IF(G168=0,"",HYPERLINK("#"&amp;RIGHT(CELL("adresse",OFFSET(DMAV_Dienste!$M$6,G168-1,0)),LEN(CELL("adresse",OFFSET(DMAV_Dienste!$M$6,G168-1,0)))-FIND("]",CELL("adresse",OFFSET(DMAV_Dienste!$M$6,G168-1,0)))),"Substructure")),HYPERLINK("#"&amp;RIGHT(CELL("adresse",OFFSET(DMAV_Modell!$N$6,D168-1,0)),LEN(CELL("adresse",OFFSET(DMAV_Modell!$N$6,D168-1,0)))-FIND("]",CELL("adresse",OFFSET(DMAV_Modell!$N$6,D168-1,0)))),"Substructure"))</f>
        <v/>
      </c>
      <c r="R168" s="80"/>
      <c r="T168" s="93"/>
      <c r="U168" s="94"/>
      <c r="V168" s="95"/>
      <c r="W168" s="96"/>
      <c r="Y168" s="85"/>
      <c r="Z168" s="86"/>
      <c r="AA168" s="87"/>
      <c r="AB168" s="88"/>
      <c r="AD168" s="77"/>
      <c r="AF168" s="54" t="str" cm="1">
        <f t="array" aca="1" ref="AF168" ca="1">IF(H168=0,"",HYPERLINK("#"&amp;RIGHT(CELL("adresse",OFFSET('DM01-AV-CH'!$G$6,H168-1,0)),LEN(CELL("adresse",OFFSET('DM01-AV-CH'!$G$6,H168-1,0)))-FIND("]",CELL("adresse",OFFSET('DM01-AV-CH'!$G$6,H168-1,0)))),"Modell"))</f>
        <v/>
      </c>
      <c r="AG168" s="72" t="str" cm="1">
        <f t="array" ref="AG168">IF($H168=0,"",IF(INDEX('DM01-AV-CH'!G$6:G$834,$H168)="","",INDEX('DM01-AV-CH'!G$6:G$834,$H168)))</f>
        <v/>
      </c>
      <c r="AH168" s="73" t="str" cm="1">
        <f t="array" ref="AH168">IF($H168=0,"",IF(INDEX('DM01-AV-CH'!H$6:H$834,$H168)="","",INDEX('DM01-AV-CH'!H$6:H$834,$H168)))</f>
        <v/>
      </c>
      <c r="AI168" s="74" t="str" cm="1">
        <f t="array" ref="AI168">IF($H168=0,"",IF(INDEX('DM01-AV-CH'!I$6:I$834,$H168)="","",INDEX('DM01-AV-CH'!I$6:I$834,$H168)))</f>
        <v/>
      </c>
    </row>
    <row r="169" spans="1:35" x14ac:dyDescent="0.25">
      <c r="A169" s="57">
        <v>164</v>
      </c>
      <c r="B169" s="57">
        <f>IF($A169="","",IF(_xlfn.XLOOKUP($A169,Korrelation!$D$4:$D$1197,Korrelation!E$4:E$1197,"-",0)="-",0,MATCH(_xlfn.XLOOKUP($A169,Korrelation!$D$4:$D$1197,Korrelation!E$4:E$1197,"",0),DMAV_Modell!$G$6:$G$677,0)))</f>
        <v>0</v>
      </c>
      <c r="C169" s="57">
        <f>IF($A169="","",IF(_xlfn.XLOOKUP($A169,Korrelation!$D$4:$D$1197,Korrelation!F$4:F$1197,"-",0)="-",0,MATCH(_xlfn.XLOOKUP($A169,Korrelation!$D$4:$D$1197,Korrelation!F$4:F$1197,"",0),DMAV_Modell!$G$6:$G$677,0)))</f>
        <v>0</v>
      </c>
      <c r="D169" s="57">
        <f>IF($A169="","",IF(_xlfn.XLOOKUP($A169,Korrelation!$D$4:$D$1197,Korrelation!G$4:G$1197,"-",0)="-",0,MATCH(_xlfn.XLOOKUP($A169,Korrelation!$D$4:$D$1197,Korrelation!G$4:G$1197,"",0),DMAV_Modell!$G$6:$G$677,0)))</f>
        <v>0</v>
      </c>
      <c r="E169" s="57">
        <f>IF($A169="","",IF(_xlfn.XLOOKUP($A169,Korrelation!$D$4:$D$1197,Korrelation!H$4:H$1197,"-",0)="-",0,MATCH(_xlfn.XLOOKUP($A169,Korrelation!$D$4:$D$1197,Korrelation!H$4:H$1197,"",0),DMAV_Dienste!$F$6:$F$140,0)))</f>
        <v>90</v>
      </c>
      <c r="F169" s="57">
        <f>IF($A169="","",IF(_xlfn.XLOOKUP($A169,Korrelation!$D$4:$D$1197,Korrelation!I$4:I$1197,"-",0)="-",0,MATCH(_xlfn.XLOOKUP($A169,Korrelation!$D$4:$D$1197,Korrelation!I$4:I$1197,"",0),DMAV_Dienste!$F$6:$F$140,0)))</f>
        <v>0</v>
      </c>
      <c r="G169" s="57">
        <f>IF($A169="","",IF(_xlfn.XLOOKUP($A169,Korrelation!$D$4:$D$1197,Korrelation!J$4:J$1197,"-",0)="-",0,MATCH(_xlfn.XLOOKUP($A169,Korrelation!$D$4:$D$1197,Korrelation!J$4:J$1197,"",0),DMAV_Dienste!$F$6:$F$140,0)))</f>
        <v>0</v>
      </c>
      <c r="H169" s="57">
        <f>IF($A169="","",IF(_xlfn.XLOOKUP($A169,Korrelation!$D$4:$D$1197,Korrelation!K$4:K$1197,"-",0)="-",0,MATCH(_xlfn.XLOOKUP($A169,Korrelation!$D$4:$D$1197,Korrelation!K$4:K$1197,"",0),'DM01-AV-CH'!$A$6:$A$834,0)))</f>
        <v>88</v>
      </c>
      <c r="J169" s="54" t="str" cm="1">
        <f t="array" aca="1" ref="J169" ca="1">IF(B169=0,IF(E169=0,"",HYPERLINK("#"&amp;RIGHT(CELL("adresse",OFFSET(DMAV_Dienste!$M$6,E169-1,0)),LEN(CELL("adresse",OFFSET(DMAV_Dienste!$M$6,E169-1,0)))-FIND("]",CELL("adresse",OFFSET(DMAV_Dienste!$M$6,E169-1,0)))),"Dienst")),HYPERLINK("#"&amp;RIGHT(CELL("adresse",OFFSET(DMAV_Modell!$N$6,B169-1,0)),LEN(CELL("adresse",OFFSET(DMAV_Modell!$N$6,B169-1,0)))-FIND("]",CELL("adresse",OFFSET(DMAV_Modell!$N$6,B169-1,0)))),"Modell"))</f>
        <v>Dienst</v>
      </c>
      <c r="K169" s="61" t="str" cm="1">
        <f t="array" ref="K169">IF($B169=0,IF($E169=0,"",IF(INDEX(DMAV_Dienste!P$6:P$140,$E169)="","",INDEX(DMAV_Dienste!P$6:P$140,$E169))),IF(INDEX(DMAV_Modell!Q$6:Q$838,$B169)="","",INDEX(DMAV_Modell!Q$6:Q$838,$B169)))</f>
        <v>CLASS</v>
      </c>
      <c r="L169" s="62" t="str" cm="1">
        <f t="array" ref="L169">IF($B169=0,IF($E169=0,"",IF(INDEX(DMAV_Dienste!O$6:O$140,$E169)="","",INDEX(DMAV_Dienste!O$6:O$140,$E169))),IF(INDEX(DMAV_Modell!P$6:P$838,$B169)="","",INDEX(DMAV_Modell!P$6:P$838,$B169)))</f>
        <v>FPDS2</v>
      </c>
      <c r="M169" s="62" t="str" cm="1">
        <f t="array" ref="M169">IF($B169=0,IF($E169=0,"",IF(INDEX(DMAV_Dienste!Q$6:Q$140,$E169)="","",INDEX(DMAV_Dienste!Q$6:Q$140,$E169))),IF(INDEX(DMAV_Modell!R$6:R$838,$B169)="","",INDEX(DMAV_Modell!R$6:R$838,$B169)))</f>
        <v>Fixpunkt</v>
      </c>
      <c r="N169" s="62" t="str" cm="1">
        <f t="array" ref="N169">IF($B169=0,IF($E169=0,"",IF(INDEX(DMAV_Dienste!T$6:T$140,$E169)="","",INDEX(DMAV_Dienste!T$6:T$140,$E169))),IF(INDEX(DMAV_Modell!U$6:U$838,$B169)="","",INDEX(DMAV_Modell!U$6:U$838,$B169)))</f>
        <v>NBIdent</v>
      </c>
      <c r="O169" s="63" t="str" cm="1">
        <f t="array" aca="1" ref="O169" ca="1">IF(C169=0,IF(F169=0,"",HYPERLINK("#"&amp;RIGHT(CELL("adresse",OFFSET(DMAV_Dienste!$M$6,F169-1,0)),LEN(CELL("adresse",OFFSET(DMAV_Dienste!$M$6,F169-1,0)))-FIND("]",CELL("adresse",OFFSET(DMAV_Dienste!$M$6,F169-1,0)))),"Structure")),HYPERLINK("#"&amp;RIGHT(CELL("adresse",OFFSET(DMAV_Modell!$N$6,C169-1,0)),LEN(CELL("adresse",OFFSET(DMAV_Modell!$N$6,C169-1,0)))-FIND("]",CELL("adresse",OFFSET(DMAV_Modell!$N$6,C169-1,0)))),"Structure"))</f>
        <v/>
      </c>
      <c r="P169" s="64" t="str" cm="1">
        <f t="array" aca="1" ref="P169" ca="1">IF(D169=0,IF(G169=0,"",HYPERLINK("#"&amp;RIGHT(CELL("adresse",OFFSET(DMAV_Dienste!$M$6,G169-1,0)),LEN(CELL("adresse",OFFSET(DMAV_Dienste!$M$6,G169-1,0)))-FIND("]",CELL("adresse",OFFSET(DMAV_Dienste!$M$6,G169-1,0)))),"Substructure")),HYPERLINK("#"&amp;RIGHT(CELL("adresse",OFFSET(DMAV_Modell!$N$6,D169-1,0)),LEN(CELL("adresse",OFFSET(DMAV_Modell!$N$6,D169-1,0)))-FIND("]",CELL("adresse",OFFSET(DMAV_Modell!$N$6,D169-1,0)))),"Substructure"))</f>
        <v/>
      </c>
      <c r="R169" s="80"/>
      <c r="T169" s="93"/>
      <c r="U169" s="94"/>
      <c r="V169" s="95"/>
      <c r="W169" s="96"/>
      <c r="Y169" s="85" t="s">
        <v>5872</v>
      </c>
      <c r="Z169" s="86"/>
      <c r="AA169" s="87"/>
      <c r="AB169" s="88"/>
      <c r="AD169" s="77"/>
      <c r="AF169" s="54" t="str" cm="1">
        <f t="array" aca="1" ref="AF169" ca="1">IF(H169=0,"",HYPERLINK("#"&amp;RIGHT(CELL("adresse",OFFSET('DM01-AV-CH'!$G$6,H169-1,0)),LEN(CELL("adresse",OFFSET('DM01-AV-CH'!$G$6,H169-1,0)))-FIND("]",CELL("adresse",OFFSET('DM01-AV-CH'!$G$6,H169-1,0)))),"Modell"))</f>
        <v>Modell</v>
      </c>
      <c r="AG169" s="72" t="str" cm="1">
        <f t="array" ref="AG169">IF($H169=0,"",IF(INDEX('DM01-AV-CH'!G$6:G$834,$H169)="","",INDEX('DM01-AV-CH'!G$6:G$834,$H169)))</f>
        <v>FixpunkteKategorie2</v>
      </c>
      <c r="AH169" s="73" t="str" cm="1">
        <f t="array" ref="AH169">IF($H169=0,"",IF(INDEX('DM01-AV-CH'!H$6:H$834,$H169)="","",INDEX('DM01-AV-CH'!H$6:H$834,$H169)))</f>
        <v>LFP2</v>
      </c>
      <c r="AI169" s="74" t="str" cm="1">
        <f t="array" ref="AI169">IF($H169=0,"",IF(INDEX('DM01-AV-CH'!I$6:I$834,$H169)="","",INDEX('DM01-AV-CH'!I$6:I$834,$H169)))</f>
        <v>NBIdent</v>
      </c>
    </row>
    <row r="170" spans="1:35" x14ac:dyDescent="0.25">
      <c r="A170" s="57">
        <v>165</v>
      </c>
      <c r="B170" s="57">
        <f>IF($A170="","",IF(_xlfn.XLOOKUP($A170,Korrelation!$D$4:$D$1197,Korrelation!E$4:E$1197,"-",0)="-",0,MATCH(_xlfn.XLOOKUP($A170,Korrelation!$D$4:$D$1197,Korrelation!E$4:E$1197,"",0),DMAV_Modell!$G$6:$G$677,0)))</f>
        <v>0</v>
      </c>
      <c r="C170" s="57">
        <f>IF($A170="","",IF(_xlfn.XLOOKUP($A170,Korrelation!$D$4:$D$1197,Korrelation!F$4:F$1197,"-",0)="-",0,MATCH(_xlfn.XLOOKUP($A170,Korrelation!$D$4:$D$1197,Korrelation!F$4:F$1197,"",0),DMAV_Modell!$G$6:$G$677,0)))</f>
        <v>0</v>
      </c>
      <c r="D170" s="57">
        <f>IF($A170="","",IF(_xlfn.XLOOKUP($A170,Korrelation!$D$4:$D$1197,Korrelation!G$4:G$1197,"-",0)="-",0,MATCH(_xlfn.XLOOKUP($A170,Korrelation!$D$4:$D$1197,Korrelation!G$4:G$1197,"",0),DMAV_Modell!$G$6:$G$677,0)))</f>
        <v>0</v>
      </c>
      <c r="E170" s="57">
        <f>IF($A170="","",IF(_xlfn.XLOOKUP($A170,Korrelation!$D$4:$D$1197,Korrelation!H$4:H$1197,"-",0)="-",0,MATCH(_xlfn.XLOOKUP($A170,Korrelation!$D$4:$D$1197,Korrelation!H$4:H$1197,"",0),DMAV_Dienste!$F$6:$F$140,0)))</f>
        <v>91</v>
      </c>
      <c r="F170" s="57">
        <f>IF($A170="","",IF(_xlfn.XLOOKUP($A170,Korrelation!$D$4:$D$1197,Korrelation!I$4:I$1197,"-",0)="-",0,MATCH(_xlfn.XLOOKUP($A170,Korrelation!$D$4:$D$1197,Korrelation!I$4:I$1197,"",0),DMAV_Dienste!$F$6:$F$140,0)))</f>
        <v>0</v>
      </c>
      <c r="G170" s="57">
        <f>IF($A170="","",IF(_xlfn.XLOOKUP($A170,Korrelation!$D$4:$D$1197,Korrelation!J$4:J$1197,"-",0)="-",0,MATCH(_xlfn.XLOOKUP($A170,Korrelation!$D$4:$D$1197,Korrelation!J$4:J$1197,"",0),DMAV_Dienste!$F$6:$F$140,0)))</f>
        <v>0</v>
      </c>
      <c r="H170" s="57">
        <f>IF($A170="","",IF(_xlfn.XLOOKUP($A170,Korrelation!$D$4:$D$1197,Korrelation!K$4:K$1197,"-",0)="-",0,MATCH(_xlfn.XLOOKUP($A170,Korrelation!$D$4:$D$1197,Korrelation!K$4:K$1197,"",0),'DM01-AV-CH'!$A$6:$A$834,0)))</f>
        <v>89</v>
      </c>
      <c r="J170" s="54" t="str" cm="1">
        <f t="array" aca="1" ref="J170" ca="1">IF(B170=0,IF(E170=0,"",HYPERLINK("#"&amp;RIGHT(CELL("adresse",OFFSET(DMAV_Dienste!$M$6,E170-1,0)),LEN(CELL("adresse",OFFSET(DMAV_Dienste!$M$6,E170-1,0)))-FIND("]",CELL("adresse",OFFSET(DMAV_Dienste!$M$6,E170-1,0)))),"Dienst")),HYPERLINK("#"&amp;RIGHT(CELL("adresse",OFFSET(DMAV_Modell!$N$6,B170-1,0)),LEN(CELL("adresse",OFFSET(DMAV_Modell!$N$6,B170-1,0)))-FIND("]",CELL("adresse",OFFSET(DMAV_Modell!$N$6,B170-1,0)))),"Modell"))</f>
        <v>Dienst</v>
      </c>
      <c r="K170" s="61" t="str" cm="1">
        <f t="array" ref="K170">IF($B170=0,IF($E170=0,"",IF(INDEX(DMAV_Dienste!P$6:P$140,$E170)="","",INDEX(DMAV_Dienste!P$6:P$140,$E170))),IF(INDEX(DMAV_Modell!Q$6:Q$838,$B170)="","",INDEX(DMAV_Modell!Q$6:Q$838,$B170)))</f>
        <v>CLASS</v>
      </c>
      <c r="L170" s="62" t="str" cm="1">
        <f t="array" ref="L170">IF($B170=0,IF($E170=0,"",IF(INDEX(DMAV_Dienste!O$6:O$140,$E170)="","",INDEX(DMAV_Dienste!O$6:O$140,$E170))),IF(INDEX(DMAV_Modell!P$6:P$838,$B170)="","",INDEX(DMAV_Modell!P$6:P$838,$B170)))</f>
        <v>FPDS2</v>
      </c>
      <c r="M170" s="62" t="str" cm="1">
        <f t="array" ref="M170">IF($B170=0,IF($E170=0,"",IF(INDEX(DMAV_Dienste!Q$6:Q$140,$E170)="","",INDEX(DMAV_Dienste!Q$6:Q$140,$E170))),IF(INDEX(DMAV_Modell!R$6:R$838,$B170)="","",INDEX(DMAV_Modell!R$6:R$838,$B170)))</f>
        <v>Fixpunkt</v>
      </c>
      <c r="N170" s="62" t="str" cm="1">
        <f t="array" ref="N170">IF($B170=0,IF($E170=0,"",IF(INDEX(DMAV_Dienste!T$6:T$140,$E170)="","",INDEX(DMAV_Dienste!T$6:T$140,$E170))),IF(INDEX(DMAV_Modell!U$6:U$838,$B170)="","",INDEX(DMAV_Modell!U$6:U$838,$B170)))</f>
        <v>Nummer</v>
      </c>
      <c r="O170" s="63" t="str" cm="1">
        <f t="array" aca="1" ref="O170" ca="1">IF(C170=0,IF(F170=0,"",HYPERLINK("#"&amp;RIGHT(CELL("adresse",OFFSET(DMAV_Dienste!$M$6,F170-1,0)),LEN(CELL("adresse",OFFSET(DMAV_Dienste!$M$6,F170-1,0)))-FIND("]",CELL("adresse",OFFSET(DMAV_Dienste!$M$6,F170-1,0)))),"Structure")),HYPERLINK("#"&amp;RIGHT(CELL("adresse",OFFSET(DMAV_Modell!$N$6,C170-1,0)),LEN(CELL("adresse",OFFSET(DMAV_Modell!$N$6,C170-1,0)))-FIND("]",CELL("adresse",OFFSET(DMAV_Modell!$N$6,C170-1,0)))),"Structure"))</f>
        <v/>
      </c>
      <c r="P170" s="64" t="str" cm="1">
        <f t="array" aca="1" ref="P170" ca="1">IF(D170=0,IF(G170=0,"",HYPERLINK("#"&amp;RIGHT(CELL("adresse",OFFSET(DMAV_Dienste!$M$6,G170-1,0)),LEN(CELL("adresse",OFFSET(DMAV_Dienste!$M$6,G170-1,0)))-FIND("]",CELL("adresse",OFFSET(DMAV_Dienste!$M$6,G170-1,0)))),"Substructure")),HYPERLINK("#"&amp;RIGHT(CELL("adresse",OFFSET(DMAV_Modell!$N$6,D170-1,0)),LEN(CELL("adresse",OFFSET(DMAV_Modell!$N$6,D170-1,0)))-FIND("]",CELL("adresse",OFFSET(DMAV_Modell!$N$6,D170-1,0)))),"Substructure"))</f>
        <v/>
      </c>
      <c r="R170" s="80"/>
      <c r="T170" s="93"/>
      <c r="U170" s="94"/>
      <c r="V170" s="95"/>
      <c r="W170" s="96"/>
      <c r="Y170" s="85" t="s">
        <v>5872</v>
      </c>
      <c r="Z170" s="86"/>
      <c r="AA170" s="87"/>
      <c r="AB170" s="88"/>
      <c r="AD170" s="77"/>
      <c r="AF170" s="54" t="str" cm="1">
        <f t="array" aca="1" ref="AF170" ca="1">IF(H170=0,"",HYPERLINK("#"&amp;RIGHT(CELL("adresse",OFFSET('DM01-AV-CH'!$G$6,H170-1,0)),LEN(CELL("adresse",OFFSET('DM01-AV-CH'!$G$6,H170-1,0)))-FIND("]",CELL("adresse",OFFSET('DM01-AV-CH'!$G$6,H170-1,0)))),"Modell"))</f>
        <v>Modell</v>
      </c>
      <c r="AG170" s="72" t="str" cm="1">
        <f t="array" ref="AG170">IF($H170=0,"",IF(INDEX('DM01-AV-CH'!G$6:G$834,$H170)="","",INDEX('DM01-AV-CH'!G$6:G$834,$H170)))</f>
        <v>FixpunkteKategorie2</v>
      </c>
      <c r="AH170" s="73" t="str" cm="1">
        <f t="array" ref="AH170">IF($H170=0,"",IF(INDEX('DM01-AV-CH'!H$6:H$834,$H170)="","",INDEX('DM01-AV-CH'!H$6:H$834,$H170)))</f>
        <v>LFP2</v>
      </c>
      <c r="AI170" s="74" t="str" cm="1">
        <f t="array" ref="AI170">IF($H170=0,"",IF(INDEX('DM01-AV-CH'!I$6:I$834,$H170)="","",INDEX('DM01-AV-CH'!I$6:I$834,$H170)))</f>
        <v>Nummer</v>
      </c>
    </row>
    <row r="171" spans="1:35" x14ac:dyDescent="0.25">
      <c r="A171" s="57">
        <v>166</v>
      </c>
      <c r="B171" s="57">
        <f>IF($A171="","",IF(_xlfn.XLOOKUP($A171,Korrelation!$D$4:$D$1197,Korrelation!E$4:E$1197,"-",0)="-",0,MATCH(_xlfn.XLOOKUP($A171,Korrelation!$D$4:$D$1197,Korrelation!E$4:E$1197,"",0),DMAV_Modell!$G$6:$G$677,0)))</f>
        <v>0</v>
      </c>
      <c r="C171" s="57">
        <f>IF($A171="","",IF(_xlfn.XLOOKUP($A171,Korrelation!$D$4:$D$1197,Korrelation!F$4:F$1197,"-",0)="-",0,MATCH(_xlfn.XLOOKUP($A171,Korrelation!$D$4:$D$1197,Korrelation!F$4:F$1197,"",0),DMAV_Modell!$G$6:$G$677,0)))</f>
        <v>0</v>
      </c>
      <c r="D171" s="57">
        <f>IF($A171="","",IF(_xlfn.XLOOKUP($A171,Korrelation!$D$4:$D$1197,Korrelation!G$4:G$1197,"-",0)="-",0,MATCH(_xlfn.XLOOKUP($A171,Korrelation!$D$4:$D$1197,Korrelation!G$4:G$1197,"",0),DMAV_Modell!$G$6:$G$677,0)))</f>
        <v>0</v>
      </c>
      <c r="E171" s="57">
        <f>IF($A171="","",IF(_xlfn.XLOOKUP($A171,Korrelation!$D$4:$D$1197,Korrelation!H$4:H$1197,"-",0)="-",0,MATCH(_xlfn.XLOOKUP($A171,Korrelation!$D$4:$D$1197,Korrelation!H$4:H$1197,"",0),DMAV_Dienste!$F$6:$F$140,0)))</f>
        <v>92</v>
      </c>
      <c r="F171" s="57">
        <f>IF($A171="","",IF(_xlfn.XLOOKUP($A171,Korrelation!$D$4:$D$1197,Korrelation!I$4:I$1197,"-",0)="-",0,MATCH(_xlfn.XLOOKUP($A171,Korrelation!$D$4:$D$1197,Korrelation!I$4:I$1197,"",0),DMAV_Dienste!$F$6:$F$140,0)))</f>
        <v>0</v>
      </c>
      <c r="G171" s="57">
        <f>IF($A171="","",IF(_xlfn.XLOOKUP($A171,Korrelation!$D$4:$D$1197,Korrelation!J$4:J$1197,"-",0)="-",0,MATCH(_xlfn.XLOOKUP($A171,Korrelation!$D$4:$D$1197,Korrelation!J$4:J$1197,"",0),DMAV_Dienste!$F$6:$F$140,0)))</f>
        <v>0</v>
      </c>
      <c r="H171" s="57">
        <f>IF($A171="","",IF(_xlfn.XLOOKUP($A171,Korrelation!$D$4:$D$1197,Korrelation!K$4:K$1197,"-",0)="-",0,MATCH(_xlfn.XLOOKUP($A171,Korrelation!$D$4:$D$1197,Korrelation!K$4:K$1197,"",0),'DM01-AV-CH'!$A$6:$A$834,0)))</f>
        <v>0</v>
      </c>
      <c r="J171" s="54" t="str" cm="1">
        <f t="array" aca="1" ref="J171" ca="1">IF(B171=0,IF(E171=0,"",HYPERLINK("#"&amp;RIGHT(CELL("adresse",OFFSET(DMAV_Dienste!$M$6,E171-1,0)),LEN(CELL("adresse",OFFSET(DMAV_Dienste!$M$6,E171-1,0)))-FIND("]",CELL("adresse",OFFSET(DMAV_Dienste!$M$6,E171-1,0)))),"Dienst")),HYPERLINK("#"&amp;RIGHT(CELL("adresse",OFFSET(DMAV_Modell!$N$6,B171-1,0)),LEN(CELL("adresse",OFFSET(DMAV_Modell!$N$6,B171-1,0)))-FIND("]",CELL("adresse",OFFSET(DMAV_Modell!$N$6,B171-1,0)))),"Modell"))</f>
        <v>Dienst</v>
      </c>
      <c r="K171" s="61" t="str" cm="1">
        <f t="array" ref="K171">IF($B171=0,IF($E171=0,"",IF(INDEX(DMAV_Dienste!P$6:P$140,$E171)="","",INDEX(DMAV_Dienste!P$6:P$140,$E171))),IF(INDEX(DMAV_Modell!Q$6:Q$838,$B171)="","",INDEX(DMAV_Modell!Q$6:Q$838,$B171)))</f>
        <v>CLASS</v>
      </c>
      <c r="L171" s="62" t="str" cm="1">
        <f t="array" ref="L171">IF($B171=0,IF($E171=0,"",IF(INDEX(DMAV_Dienste!O$6:O$140,$E171)="","",INDEX(DMAV_Dienste!O$6:O$140,$E171))),IF(INDEX(DMAV_Modell!P$6:P$838,$B171)="","",INDEX(DMAV_Modell!P$6:P$838,$B171)))</f>
        <v>FPDS2</v>
      </c>
      <c r="M171" s="62" t="str" cm="1">
        <f t="array" ref="M171">IF($B171=0,IF($E171=0,"",IF(INDEX(DMAV_Dienste!Q$6:Q$140,$E171)="","",INDEX(DMAV_Dienste!Q$6:Q$140,$E171))),IF(INDEX(DMAV_Modell!R$6:R$838,$B171)="","",INDEX(DMAV_Modell!R$6:R$838,$B171)))</f>
        <v>Fixpunkt</v>
      </c>
      <c r="N171" s="62" t="str" cm="1">
        <f t="array" ref="N171">IF($B171=0,IF($E171=0,"",IF(INDEX(DMAV_Dienste!T$6:T$140,$E171)="","",INDEX(DMAV_Dienste!T$6:T$140,$E171))),IF(INDEX(DMAV_Modell!U$6:U$838,$B171)="","",INDEX(DMAV_Modell!U$6:U$838,$B171)))</f>
        <v>ProtokollSprache</v>
      </c>
      <c r="O171" s="63" t="str" cm="1">
        <f t="array" aca="1" ref="O171" ca="1">IF(C171=0,IF(F171=0,"",HYPERLINK("#"&amp;RIGHT(CELL("adresse",OFFSET(DMAV_Dienste!$M$6,F171-1,0)),LEN(CELL("adresse",OFFSET(DMAV_Dienste!$M$6,F171-1,0)))-FIND("]",CELL("adresse",OFFSET(DMAV_Dienste!$M$6,F171-1,0)))),"Structure")),HYPERLINK("#"&amp;RIGHT(CELL("adresse",OFFSET(DMAV_Modell!$N$6,C171-1,0)),LEN(CELL("adresse",OFFSET(DMAV_Modell!$N$6,C171-1,0)))-FIND("]",CELL("adresse",OFFSET(DMAV_Modell!$N$6,C171-1,0)))),"Structure"))</f>
        <v/>
      </c>
      <c r="P171" s="64" t="str" cm="1">
        <f t="array" aca="1" ref="P171" ca="1">IF(D171=0,IF(G171=0,"",HYPERLINK("#"&amp;RIGHT(CELL("adresse",OFFSET(DMAV_Dienste!$M$6,G171-1,0)),LEN(CELL("adresse",OFFSET(DMAV_Dienste!$M$6,G171-1,0)))-FIND("]",CELL("adresse",OFFSET(DMAV_Dienste!$M$6,G171-1,0)))),"Substructure")),HYPERLINK("#"&amp;RIGHT(CELL("adresse",OFFSET(DMAV_Modell!$N$6,D171-1,0)),LEN(CELL("adresse",OFFSET(DMAV_Modell!$N$6,D171-1,0)))-FIND("]",CELL("adresse",OFFSET(DMAV_Modell!$N$6,D171-1,0)))),"Substructure"))</f>
        <v/>
      </c>
      <c r="R171" s="80"/>
      <c r="T171" s="93"/>
      <c r="U171" s="94"/>
      <c r="V171" s="95"/>
      <c r="W171" s="96"/>
      <c r="Y171" s="85"/>
      <c r="Z171" s="86"/>
      <c r="AA171" s="87"/>
      <c r="AB171" s="88"/>
      <c r="AD171" s="77"/>
      <c r="AF171" s="54" t="str" cm="1">
        <f t="array" aca="1" ref="AF171" ca="1">IF(H171=0,"",HYPERLINK("#"&amp;RIGHT(CELL("adresse",OFFSET('DM01-AV-CH'!$G$6,H171-1,0)),LEN(CELL("adresse",OFFSET('DM01-AV-CH'!$G$6,H171-1,0)))-FIND("]",CELL("adresse",OFFSET('DM01-AV-CH'!$G$6,H171-1,0)))),"Modell"))</f>
        <v/>
      </c>
      <c r="AG171" s="72" t="str" cm="1">
        <f t="array" ref="AG171">IF($H171=0,"",IF(INDEX('DM01-AV-CH'!G$6:G$834,$H171)="","",INDEX('DM01-AV-CH'!G$6:G$834,$H171)))</f>
        <v/>
      </c>
      <c r="AH171" s="73" t="str" cm="1">
        <f t="array" ref="AH171">IF($H171=0,"",IF(INDEX('DM01-AV-CH'!H$6:H$834,$H171)="","",INDEX('DM01-AV-CH'!H$6:H$834,$H171)))</f>
        <v/>
      </c>
      <c r="AI171" s="74" t="str" cm="1">
        <f t="array" ref="AI171">IF($H171=0,"",IF(INDEX('DM01-AV-CH'!I$6:I$834,$H171)="","",INDEX('DM01-AV-CH'!I$6:I$834,$H171)))</f>
        <v/>
      </c>
    </row>
    <row r="172" spans="1:35" x14ac:dyDescent="0.25">
      <c r="A172" s="57">
        <v>167</v>
      </c>
      <c r="B172" s="57">
        <f>IF($A172="","",IF(_xlfn.XLOOKUP($A172,Korrelation!$D$4:$D$1197,Korrelation!E$4:E$1197,"-",0)="-",0,MATCH(_xlfn.XLOOKUP($A172,Korrelation!$D$4:$D$1197,Korrelation!E$4:E$1197,"",0),DMAV_Modell!$G$6:$G$677,0)))</f>
        <v>0</v>
      </c>
      <c r="C172" s="57">
        <f>IF($A172="","",IF(_xlfn.XLOOKUP($A172,Korrelation!$D$4:$D$1197,Korrelation!F$4:F$1197,"-",0)="-",0,MATCH(_xlfn.XLOOKUP($A172,Korrelation!$D$4:$D$1197,Korrelation!F$4:F$1197,"",0),DMAV_Modell!$G$6:$G$677,0)))</f>
        <v>0</v>
      </c>
      <c r="D172" s="57">
        <f>IF($A172="","",IF(_xlfn.XLOOKUP($A172,Korrelation!$D$4:$D$1197,Korrelation!G$4:G$1197,"-",0)="-",0,MATCH(_xlfn.XLOOKUP($A172,Korrelation!$D$4:$D$1197,Korrelation!G$4:G$1197,"",0),DMAV_Modell!$G$6:$G$677,0)))</f>
        <v>0</v>
      </c>
      <c r="E172" s="57">
        <f>IF($A172="","",IF(_xlfn.XLOOKUP($A172,Korrelation!$D$4:$D$1197,Korrelation!H$4:H$1197,"-",0)="-",0,MATCH(_xlfn.XLOOKUP($A172,Korrelation!$D$4:$D$1197,Korrelation!H$4:H$1197,"",0),DMAV_Dienste!$F$6:$F$140,0)))</f>
        <v>93</v>
      </c>
      <c r="F172" s="57">
        <f>IF($A172="","",IF(_xlfn.XLOOKUP($A172,Korrelation!$D$4:$D$1197,Korrelation!I$4:I$1197,"-",0)="-",0,MATCH(_xlfn.XLOOKUP($A172,Korrelation!$D$4:$D$1197,Korrelation!I$4:I$1197,"",0),DMAV_Dienste!$F$6:$F$140,0)))</f>
        <v>0</v>
      </c>
      <c r="G172" s="57">
        <f>IF($A172="","",IF(_xlfn.XLOOKUP($A172,Korrelation!$D$4:$D$1197,Korrelation!J$4:J$1197,"-",0)="-",0,MATCH(_xlfn.XLOOKUP($A172,Korrelation!$D$4:$D$1197,Korrelation!J$4:J$1197,"",0),DMAV_Dienste!$F$6:$F$140,0)))</f>
        <v>0</v>
      </c>
      <c r="H172" s="57">
        <f>IF($A172="","",IF(_xlfn.XLOOKUP($A172,Korrelation!$D$4:$D$1197,Korrelation!K$4:K$1197,"-",0)="-",0,MATCH(_xlfn.XLOOKUP($A172,Korrelation!$D$4:$D$1197,Korrelation!K$4:K$1197,"",0),'DM01-AV-CH'!$A$6:$A$834,0)))</f>
        <v>0</v>
      </c>
      <c r="J172" s="54" t="str" cm="1">
        <f t="array" aca="1" ref="J172" ca="1">IF(B172=0,IF(E172=0,"",HYPERLINK("#"&amp;RIGHT(CELL("adresse",OFFSET(DMAV_Dienste!$M$6,E172-1,0)),LEN(CELL("adresse",OFFSET(DMAV_Dienste!$M$6,E172-1,0)))-FIND("]",CELL("adresse",OFFSET(DMAV_Dienste!$M$6,E172-1,0)))),"Dienst")),HYPERLINK("#"&amp;RIGHT(CELL("adresse",OFFSET(DMAV_Modell!$N$6,B172-1,0)),LEN(CELL("adresse",OFFSET(DMAV_Modell!$N$6,B172-1,0)))-FIND("]",CELL("adresse",OFFSET(DMAV_Modell!$N$6,B172-1,0)))),"Modell"))</f>
        <v>Dienst</v>
      </c>
      <c r="K172" s="61" t="str" cm="1">
        <f t="array" ref="K172">IF($B172=0,IF($E172=0,"",IF(INDEX(DMAV_Dienste!P$6:P$140,$E172)="","",INDEX(DMAV_Dienste!P$6:P$140,$E172))),IF(INDEX(DMAV_Modell!Q$6:Q$838,$B172)="","",INDEX(DMAV_Modell!Q$6:Q$838,$B172)))</f>
        <v>CLASS</v>
      </c>
      <c r="L172" s="62" t="str" cm="1">
        <f t="array" ref="L172">IF($B172=0,IF($E172=0,"",IF(INDEX(DMAV_Dienste!O$6:O$140,$E172)="","",INDEX(DMAV_Dienste!O$6:O$140,$E172))),IF(INDEX(DMAV_Modell!P$6:P$838,$B172)="","",INDEX(DMAV_Modell!P$6:P$838,$B172)))</f>
        <v>FPDS2</v>
      </c>
      <c r="M172" s="62" t="str" cm="1">
        <f t="array" ref="M172">IF($B172=0,IF($E172=0,"",IF(INDEX(DMAV_Dienste!Q$6:Q$140,$E172)="","",INDEX(DMAV_Dienste!Q$6:Q$140,$E172))),IF(INDEX(DMAV_Modell!R$6:R$838,$B172)="","",INDEX(DMAV_Modell!R$6:R$838,$B172)))</f>
        <v>Fixpunkt</v>
      </c>
      <c r="N172" s="62" t="str" cm="1">
        <f t="array" ref="N172">IF($B172=0,IF($E172=0,"",IF(INDEX(DMAV_Dienste!T$6:T$140,$E172)="","",INDEX(DMAV_Dienste!T$6:T$140,$E172))),IF(INDEX(DMAV_Modell!U$6:U$838,$B172)="","",INDEX(DMAV_Modell!U$6:U$838,$B172)))</f>
        <v>SymbolOri</v>
      </c>
      <c r="O172" s="63" t="str" cm="1">
        <f t="array" aca="1" ref="O172" ca="1">IF(C172=0,IF(F172=0,"",HYPERLINK("#"&amp;RIGHT(CELL("adresse",OFFSET(DMAV_Dienste!$M$6,F172-1,0)),LEN(CELL("adresse",OFFSET(DMAV_Dienste!$M$6,F172-1,0)))-FIND("]",CELL("adresse",OFFSET(DMAV_Dienste!$M$6,F172-1,0)))),"Structure")),HYPERLINK("#"&amp;RIGHT(CELL("adresse",OFFSET(DMAV_Modell!$N$6,C172-1,0)),LEN(CELL("adresse",OFFSET(DMAV_Modell!$N$6,C172-1,0)))-FIND("]",CELL("adresse",OFFSET(DMAV_Modell!$N$6,C172-1,0)))),"Structure"))</f>
        <v/>
      </c>
      <c r="P172" s="64" t="str" cm="1">
        <f t="array" aca="1" ref="P172" ca="1">IF(D172=0,IF(G172=0,"",HYPERLINK("#"&amp;RIGHT(CELL("adresse",OFFSET(DMAV_Dienste!$M$6,G172-1,0)),LEN(CELL("adresse",OFFSET(DMAV_Dienste!$M$6,G172-1,0)))-FIND("]",CELL("adresse",OFFSET(DMAV_Dienste!$M$6,G172-1,0)))),"Substructure")),HYPERLINK("#"&amp;RIGHT(CELL("adresse",OFFSET(DMAV_Modell!$N$6,D172-1,0)),LEN(CELL("adresse",OFFSET(DMAV_Modell!$N$6,D172-1,0)))-FIND("]",CELL("adresse",OFFSET(DMAV_Modell!$N$6,D172-1,0)))),"Substructure"))</f>
        <v/>
      </c>
      <c r="R172" s="80"/>
      <c r="T172" s="93"/>
      <c r="U172" s="94"/>
      <c r="V172" s="95"/>
      <c r="W172" s="96"/>
      <c r="Y172" s="85"/>
      <c r="Z172" s="86"/>
      <c r="AA172" s="87"/>
      <c r="AB172" s="88"/>
      <c r="AD172" s="77"/>
      <c r="AF172" s="54" t="str" cm="1">
        <f t="array" aca="1" ref="AF172" ca="1">IF(H172=0,"",HYPERLINK("#"&amp;RIGHT(CELL("adresse",OFFSET('DM01-AV-CH'!$G$6,H172-1,0)),LEN(CELL("adresse",OFFSET('DM01-AV-CH'!$G$6,H172-1,0)))-FIND("]",CELL("adresse",OFFSET('DM01-AV-CH'!$G$6,H172-1,0)))),"Modell"))</f>
        <v/>
      </c>
      <c r="AG172" s="72" t="str" cm="1">
        <f t="array" ref="AG172">IF($H172=0,"",IF(INDEX('DM01-AV-CH'!G$6:G$834,$H172)="","",INDEX('DM01-AV-CH'!G$6:G$834,$H172)))</f>
        <v/>
      </c>
      <c r="AH172" s="73" t="str" cm="1">
        <f t="array" ref="AH172">IF($H172=0,"",IF(INDEX('DM01-AV-CH'!H$6:H$834,$H172)="","",INDEX('DM01-AV-CH'!H$6:H$834,$H172)))</f>
        <v/>
      </c>
      <c r="AI172" s="74" t="str" cm="1">
        <f t="array" ref="AI172">IF($H172=0,"",IF(INDEX('DM01-AV-CH'!I$6:I$834,$H172)="","",INDEX('DM01-AV-CH'!I$6:I$834,$H172)))</f>
        <v/>
      </c>
    </row>
    <row r="173" spans="1:35" x14ac:dyDescent="0.25">
      <c r="A173" s="57">
        <v>168</v>
      </c>
      <c r="B173" s="57">
        <f>IF($A173="","",IF(_xlfn.XLOOKUP($A173,Korrelation!$D$4:$D$1197,Korrelation!E$4:E$1197,"-",0)="-",0,MATCH(_xlfn.XLOOKUP($A173,Korrelation!$D$4:$D$1197,Korrelation!E$4:E$1197,"",0),DMAV_Modell!$G$6:$G$677,0)))</f>
        <v>0</v>
      </c>
      <c r="C173" s="57">
        <f>IF($A173="","",IF(_xlfn.XLOOKUP($A173,Korrelation!$D$4:$D$1197,Korrelation!F$4:F$1197,"-",0)="-",0,MATCH(_xlfn.XLOOKUP($A173,Korrelation!$D$4:$D$1197,Korrelation!F$4:F$1197,"",0),DMAV_Modell!$G$6:$G$677,0)))</f>
        <v>0</v>
      </c>
      <c r="D173" s="57">
        <f>IF($A173="","",IF(_xlfn.XLOOKUP($A173,Korrelation!$D$4:$D$1197,Korrelation!G$4:G$1197,"-",0)="-",0,MATCH(_xlfn.XLOOKUP($A173,Korrelation!$D$4:$D$1197,Korrelation!G$4:G$1197,"",0),DMAV_Modell!$G$6:$G$677,0)))</f>
        <v>0</v>
      </c>
      <c r="E173" s="57">
        <f>IF($A173="","",IF(_xlfn.XLOOKUP($A173,Korrelation!$D$4:$D$1197,Korrelation!H$4:H$1197,"-",0)="-",0,MATCH(_xlfn.XLOOKUP($A173,Korrelation!$D$4:$D$1197,Korrelation!H$4:H$1197,"",0),DMAV_Dienste!$F$6:$F$140,0)))</f>
        <v>94</v>
      </c>
      <c r="F173" s="57">
        <f>IF($A173="","",IF(_xlfn.XLOOKUP($A173,Korrelation!$D$4:$D$1197,Korrelation!I$4:I$1197,"-",0)="-",0,MATCH(_xlfn.XLOOKUP($A173,Korrelation!$D$4:$D$1197,Korrelation!I$4:I$1197,"",0),DMAV_Dienste!$F$6:$F$140,0)))</f>
        <v>0</v>
      </c>
      <c r="G173" s="57">
        <f>IF($A173="","",IF(_xlfn.XLOOKUP($A173,Korrelation!$D$4:$D$1197,Korrelation!J$4:J$1197,"-",0)="-",0,MATCH(_xlfn.XLOOKUP($A173,Korrelation!$D$4:$D$1197,Korrelation!J$4:J$1197,"",0),DMAV_Dienste!$F$6:$F$140,0)))</f>
        <v>0</v>
      </c>
      <c r="H173" s="57">
        <f>IF($A173="","",IF(_xlfn.XLOOKUP($A173,Korrelation!$D$4:$D$1197,Korrelation!K$4:K$1197,"-",0)="-",0,MATCH(_xlfn.XLOOKUP($A173,Korrelation!$D$4:$D$1197,Korrelation!K$4:K$1197,"",0),'DM01-AV-CH'!$A$6:$A$834,0)))</f>
        <v>0</v>
      </c>
      <c r="J173" s="54" t="str" cm="1">
        <f t="array" aca="1" ref="J173" ca="1">IF(B173=0,IF(E173=0,"",HYPERLINK("#"&amp;RIGHT(CELL("adresse",OFFSET(DMAV_Dienste!$M$6,E173-1,0)),LEN(CELL("adresse",OFFSET(DMAV_Dienste!$M$6,E173-1,0)))-FIND("]",CELL("adresse",OFFSET(DMAV_Dienste!$M$6,E173-1,0)))),"Dienst")),HYPERLINK("#"&amp;RIGHT(CELL("adresse",OFFSET(DMAV_Modell!$N$6,B173-1,0)),LEN(CELL("adresse",OFFSET(DMAV_Modell!$N$6,B173-1,0)))-FIND("]",CELL("adresse",OFFSET(DMAV_Modell!$N$6,B173-1,0)))),"Modell"))</f>
        <v>Dienst</v>
      </c>
      <c r="K173" s="61" t="str" cm="1">
        <f t="array" ref="K173">IF($B173=0,IF($E173=0,"",IF(INDEX(DMAV_Dienste!P$6:P$140,$E173)="","",INDEX(DMAV_Dienste!P$6:P$140,$E173))),IF(INDEX(DMAV_Modell!Q$6:Q$838,$B173)="","",INDEX(DMAV_Modell!Q$6:Q$838,$B173)))</f>
        <v>CLASS</v>
      </c>
      <c r="L173" s="62" t="str" cm="1">
        <f t="array" ref="L173">IF($B173=0,IF($E173=0,"",IF(INDEX(DMAV_Dienste!O$6:O$140,$E173)="","",INDEX(DMAV_Dienste!O$6:O$140,$E173))),IF(INDEX(DMAV_Modell!P$6:P$838,$B173)="","",INDEX(DMAV_Modell!P$6:P$838,$B173)))</f>
        <v>FPDS2</v>
      </c>
      <c r="M173" s="62" t="str" cm="1">
        <f t="array" ref="M173">IF($B173=0,IF($E173=0,"",IF(INDEX(DMAV_Dienste!Q$6:Q$140,$E173)="","",INDEX(DMAV_Dienste!Q$6:Q$140,$E173))),IF(INDEX(DMAV_Modell!R$6:R$838,$B173)="","",INDEX(DMAV_Modell!R$6:R$838,$B173)))</f>
        <v>Fixpunkt</v>
      </c>
      <c r="N173" s="62" t="str" cm="1">
        <f t="array" ref="N173">IF($B173=0,IF($E173=0,"",IF(INDEX(DMAV_Dienste!T$6:T$140,$E173)="","",INDEX(DMAV_Dienste!T$6:T$140,$E173))),IF(INDEX(DMAV_Modell!U$6:U$838,$B173)="","",INDEX(DMAV_Modell!U$6:U$838,$B173)))</f>
        <v>TSP</v>
      </c>
      <c r="O173" s="63" t="str" cm="1">
        <f t="array" aca="1" ref="O173" ca="1">IF(C173=0,IF(F173=0,"",HYPERLINK("#"&amp;RIGHT(CELL("adresse",OFFSET(DMAV_Dienste!$M$6,F173-1,0)),LEN(CELL("adresse",OFFSET(DMAV_Dienste!$M$6,F173-1,0)))-FIND("]",CELL("adresse",OFFSET(DMAV_Dienste!$M$6,F173-1,0)))),"Structure")),HYPERLINK("#"&amp;RIGHT(CELL("adresse",OFFSET(DMAV_Modell!$N$6,C173-1,0)),LEN(CELL("adresse",OFFSET(DMAV_Modell!$N$6,C173-1,0)))-FIND("]",CELL("adresse",OFFSET(DMAV_Modell!$N$6,C173-1,0)))),"Structure"))</f>
        <v/>
      </c>
      <c r="P173" s="64" t="str" cm="1">
        <f t="array" aca="1" ref="P173" ca="1">IF(D173=0,IF(G173=0,"",HYPERLINK("#"&amp;RIGHT(CELL("adresse",OFFSET(DMAV_Dienste!$M$6,G173-1,0)),LEN(CELL("adresse",OFFSET(DMAV_Dienste!$M$6,G173-1,0)))-FIND("]",CELL("adresse",OFFSET(DMAV_Dienste!$M$6,G173-1,0)))),"Substructure")),HYPERLINK("#"&amp;RIGHT(CELL("adresse",OFFSET(DMAV_Modell!$N$6,D173-1,0)),LEN(CELL("adresse",OFFSET(DMAV_Modell!$N$6,D173-1,0)))-FIND("]",CELL("adresse",OFFSET(DMAV_Modell!$N$6,D173-1,0)))),"Substructure"))</f>
        <v/>
      </c>
      <c r="R173" s="80"/>
      <c r="T173" s="93"/>
      <c r="U173" s="94"/>
      <c r="V173" s="95"/>
      <c r="W173" s="96"/>
      <c r="Y173" s="85"/>
      <c r="Z173" s="86"/>
      <c r="AA173" s="87"/>
      <c r="AB173" s="88"/>
      <c r="AD173" s="77"/>
      <c r="AF173" s="54" t="str" cm="1">
        <f t="array" aca="1" ref="AF173" ca="1">IF(H173=0,"",HYPERLINK("#"&amp;RIGHT(CELL("adresse",OFFSET('DM01-AV-CH'!$G$6,H173-1,0)),LEN(CELL("adresse",OFFSET('DM01-AV-CH'!$G$6,H173-1,0)))-FIND("]",CELL("adresse",OFFSET('DM01-AV-CH'!$G$6,H173-1,0)))),"Modell"))</f>
        <v/>
      </c>
      <c r="AG173" s="72" t="str" cm="1">
        <f t="array" ref="AG173">IF($H173=0,"",IF(INDEX('DM01-AV-CH'!G$6:G$834,$H173)="","",INDEX('DM01-AV-CH'!G$6:G$834,$H173)))</f>
        <v/>
      </c>
      <c r="AH173" s="73" t="str" cm="1">
        <f t="array" ref="AH173">IF($H173=0,"",IF(INDEX('DM01-AV-CH'!H$6:H$834,$H173)="","",INDEX('DM01-AV-CH'!H$6:H$834,$H173)))</f>
        <v/>
      </c>
      <c r="AI173" s="74" t="str" cm="1">
        <f t="array" ref="AI173">IF($H173=0,"",IF(INDEX('DM01-AV-CH'!I$6:I$834,$H173)="","",INDEX('DM01-AV-CH'!I$6:I$834,$H173)))</f>
        <v/>
      </c>
    </row>
    <row r="174" spans="1:35" x14ac:dyDescent="0.25">
      <c r="A174" s="57">
        <v>169</v>
      </c>
      <c r="B174" s="57">
        <f>IF($A174="","",IF(_xlfn.XLOOKUP($A174,Korrelation!$D$4:$D$1197,Korrelation!E$4:E$1197,"-",0)="-",0,MATCH(_xlfn.XLOOKUP($A174,Korrelation!$D$4:$D$1197,Korrelation!E$4:E$1197,"",0),DMAV_Modell!$G$6:$G$677,0)))</f>
        <v>0</v>
      </c>
      <c r="C174" s="57">
        <f>IF($A174="","",IF(_xlfn.XLOOKUP($A174,Korrelation!$D$4:$D$1197,Korrelation!F$4:F$1197,"-",0)="-",0,MATCH(_xlfn.XLOOKUP($A174,Korrelation!$D$4:$D$1197,Korrelation!F$4:F$1197,"",0),DMAV_Modell!$G$6:$G$677,0)))</f>
        <v>0</v>
      </c>
      <c r="D174" s="57">
        <f>IF($A174="","",IF(_xlfn.XLOOKUP($A174,Korrelation!$D$4:$D$1197,Korrelation!G$4:G$1197,"-",0)="-",0,MATCH(_xlfn.XLOOKUP($A174,Korrelation!$D$4:$D$1197,Korrelation!G$4:G$1197,"",0),DMAV_Modell!$G$6:$G$677,0)))</f>
        <v>0</v>
      </c>
      <c r="E174" s="57">
        <f>IF($A174="","",IF(_xlfn.XLOOKUP($A174,Korrelation!$D$4:$D$1197,Korrelation!H$4:H$1197,"-",0)="-",0,MATCH(_xlfn.XLOOKUP($A174,Korrelation!$D$4:$D$1197,Korrelation!H$4:H$1197,"",0),DMAV_Dienste!$F$6:$F$140,0)))</f>
        <v>95</v>
      </c>
      <c r="F174" s="57">
        <f>IF($A174="","",IF(_xlfn.XLOOKUP($A174,Korrelation!$D$4:$D$1197,Korrelation!I$4:I$1197,"-",0)="-",0,MATCH(_xlfn.XLOOKUP($A174,Korrelation!$D$4:$D$1197,Korrelation!I$4:I$1197,"",0),DMAV_Dienste!$F$6:$F$140,0)))</f>
        <v>0</v>
      </c>
      <c r="G174" s="57">
        <f>IF($A174="","",IF(_xlfn.XLOOKUP($A174,Korrelation!$D$4:$D$1197,Korrelation!J$4:J$1197,"-",0)="-",0,MATCH(_xlfn.XLOOKUP($A174,Korrelation!$D$4:$D$1197,Korrelation!J$4:J$1197,"",0),DMAV_Dienste!$F$6:$F$140,0)))</f>
        <v>0</v>
      </c>
      <c r="H174" s="57">
        <f>IF($A174="","",IF(_xlfn.XLOOKUP($A174,Korrelation!$D$4:$D$1197,Korrelation!K$4:K$1197,"-",0)="-",0,MATCH(_xlfn.XLOOKUP($A174,Korrelation!$D$4:$D$1197,Korrelation!K$4:K$1197,"",0),'DM01-AV-CH'!$A$6:$A$834,0)))</f>
        <v>0</v>
      </c>
      <c r="J174" s="54" t="str" cm="1">
        <f t="array" aca="1" ref="J174" ca="1">IF(B174=0,IF(E174=0,"",HYPERLINK("#"&amp;RIGHT(CELL("adresse",OFFSET(DMAV_Dienste!$M$6,E174-1,0)),LEN(CELL("adresse",OFFSET(DMAV_Dienste!$M$6,E174-1,0)))-FIND("]",CELL("adresse",OFFSET(DMAV_Dienste!$M$6,E174-1,0)))),"Dienst")),HYPERLINK("#"&amp;RIGHT(CELL("adresse",OFFSET(DMAV_Modell!$N$6,B174-1,0)),LEN(CELL("adresse",OFFSET(DMAV_Modell!$N$6,B174-1,0)))-FIND("]",CELL("adresse",OFFSET(DMAV_Modell!$N$6,B174-1,0)))),"Modell"))</f>
        <v>Dienst</v>
      </c>
      <c r="K174" s="61" t="str" cm="1">
        <f t="array" ref="K174">IF($B174=0,IF($E174=0,"",IF(INDEX(DMAV_Dienste!P$6:P$140,$E174)="","",INDEX(DMAV_Dienste!P$6:P$140,$E174))),IF(INDEX(DMAV_Modell!Q$6:Q$838,$B174)="","",INDEX(DMAV_Modell!Q$6:Q$838,$B174)))</f>
        <v>CLASS</v>
      </c>
      <c r="L174" s="62" t="str" cm="1">
        <f t="array" ref="L174">IF($B174=0,IF($E174=0,"",IF(INDEX(DMAV_Dienste!O$6:O$140,$E174)="","",INDEX(DMAV_Dienste!O$6:O$140,$E174))),IF(INDEX(DMAV_Modell!P$6:P$838,$B174)="","",INDEX(DMAV_Modell!P$6:P$838,$B174)))</f>
        <v>FPDS2</v>
      </c>
      <c r="M174" s="62" t="str" cm="1">
        <f t="array" ref="M174">IF($B174=0,IF($E174=0,"",IF(INDEX(DMAV_Dienste!Q$6:Q$140,$E174)="","",INDEX(DMAV_Dienste!Q$6:Q$140,$E174))),IF(INDEX(DMAV_Modell!R$6:R$838,$B174)="","",INDEX(DMAV_Modell!R$6:R$838,$B174)))</f>
        <v>Fixpunkt</v>
      </c>
      <c r="N174" s="62" t="str" cm="1">
        <f t="array" ref="N174">IF($B174=0,IF($E174=0,"",IF(INDEX(DMAV_Dienste!T$6:T$140,$E174)="","",INDEX(DMAV_Dienste!T$6:T$140,$E174))),IF(INDEX(DMAV_Modell!U$6:U$838,$B174)="","",INDEX(DMAV_Modell!U$6:U$838,$B174)))</f>
        <v>Unterhaltsstrategie</v>
      </c>
      <c r="O174" s="63" t="str" cm="1">
        <f t="array" aca="1" ref="O174" ca="1">IF(C174=0,IF(F174=0,"",HYPERLINK("#"&amp;RIGHT(CELL("adresse",OFFSET(DMAV_Dienste!$M$6,F174-1,0)),LEN(CELL("adresse",OFFSET(DMAV_Dienste!$M$6,F174-1,0)))-FIND("]",CELL("adresse",OFFSET(DMAV_Dienste!$M$6,F174-1,0)))),"Structure")),HYPERLINK("#"&amp;RIGHT(CELL("adresse",OFFSET(DMAV_Modell!$N$6,C174-1,0)),LEN(CELL("adresse",OFFSET(DMAV_Modell!$N$6,C174-1,0)))-FIND("]",CELL("adresse",OFFSET(DMAV_Modell!$N$6,C174-1,0)))),"Structure"))</f>
        <v/>
      </c>
      <c r="P174" s="64" t="str" cm="1">
        <f t="array" aca="1" ref="P174" ca="1">IF(D174=0,IF(G174=0,"",HYPERLINK("#"&amp;RIGHT(CELL("adresse",OFFSET(DMAV_Dienste!$M$6,G174-1,0)),LEN(CELL("adresse",OFFSET(DMAV_Dienste!$M$6,G174-1,0)))-FIND("]",CELL("adresse",OFFSET(DMAV_Dienste!$M$6,G174-1,0)))),"Substructure")),HYPERLINK("#"&amp;RIGHT(CELL("adresse",OFFSET(DMAV_Modell!$N$6,D174-1,0)),LEN(CELL("adresse",OFFSET(DMAV_Modell!$N$6,D174-1,0)))-FIND("]",CELL("adresse",OFFSET(DMAV_Modell!$N$6,D174-1,0)))),"Substructure"))</f>
        <v/>
      </c>
      <c r="R174" s="80"/>
      <c r="T174" s="93"/>
      <c r="U174" s="94"/>
      <c r="V174" s="95"/>
      <c r="W174" s="96"/>
      <c r="Y174" s="85"/>
      <c r="Z174" s="86"/>
      <c r="AA174" s="87"/>
      <c r="AB174" s="88"/>
      <c r="AD174" s="77"/>
      <c r="AF174" s="54" t="str" cm="1">
        <f t="array" aca="1" ref="AF174" ca="1">IF(H174=0,"",HYPERLINK("#"&amp;RIGHT(CELL("adresse",OFFSET('DM01-AV-CH'!$G$6,H174-1,0)),LEN(CELL("adresse",OFFSET('DM01-AV-CH'!$G$6,H174-1,0)))-FIND("]",CELL("adresse",OFFSET('DM01-AV-CH'!$G$6,H174-1,0)))),"Modell"))</f>
        <v/>
      </c>
      <c r="AG174" s="72" t="str" cm="1">
        <f t="array" ref="AG174">IF($H174=0,"",IF(INDEX('DM01-AV-CH'!G$6:G$834,$H174)="","",INDEX('DM01-AV-CH'!G$6:G$834,$H174)))</f>
        <v/>
      </c>
      <c r="AH174" s="73" t="str" cm="1">
        <f t="array" ref="AH174">IF($H174=0,"",IF(INDEX('DM01-AV-CH'!H$6:H$834,$H174)="","",INDEX('DM01-AV-CH'!H$6:H$834,$H174)))</f>
        <v/>
      </c>
      <c r="AI174" s="74" t="str" cm="1">
        <f t="array" ref="AI174">IF($H174=0,"",IF(INDEX('DM01-AV-CH'!I$6:I$834,$H174)="","",INDEX('DM01-AV-CH'!I$6:I$834,$H174)))</f>
        <v/>
      </c>
    </row>
    <row r="175" spans="1:35" x14ac:dyDescent="0.25">
      <c r="A175" s="57">
        <v>170</v>
      </c>
      <c r="B175" s="57">
        <f>IF($A175="","",IF(_xlfn.XLOOKUP($A175,Korrelation!$D$4:$D$1197,Korrelation!E$4:E$1197,"-",0)="-",0,MATCH(_xlfn.XLOOKUP($A175,Korrelation!$D$4:$D$1197,Korrelation!E$4:E$1197,"",0),DMAV_Modell!$G$6:$G$677,0)))</f>
        <v>0</v>
      </c>
      <c r="C175" s="57">
        <f>IF($A175="","",IF(_xlfn.XLOOKUP($A175,Korrelation!$D$4:$D$1197,Korrelation!F$4:F$1197,"-",0)="-",0,MATCH(_xlfn.XLOOKUP($A175,Korrelation!$D$4:$D$1197,Korrelation!F$4:F$1197,"",0),DMAV_Modell!$G$6:$G$677,0)))</f>
        <v>0</v>
      </c>
      <c r="D175" s="57">
        <f>IF($A175="","",IF(_xlfn.XLOOKUP($A175,Korrelation!$D$4:$D$1197,Korrelation!G$4:G$1197,"-",0)="-",0,MATCH(_xlfn.XLOOKUP($A175,Korrelation!$D$4:$D$1197,Korrelation!G$4:G$1197,"",0),DMAV_Modell!$G$6:$G$677,0)))</f>
        <v>0</v>
      </c>
      <c r="E175" s="57">
        <f>IF($A175="","",IF(_xlfn.XLOOKUP($A175,Korrelation!$D$4:$D$1197,Korrelation!H$4:H$1197,"-",0)="-",0,MATCH(_xlfn.XLOOKUP($A175,Korrelation!$D$4:$D$1197,Korrelation!H$4:H$1197,"",0),DMAV_Dienste!$F$6:$F$140,0)))</f>
        <v>96</v>
      </c>
      <c r="F175" s="57">
        <f>IF($A175="","",IF(_xlfn.XLOOKUP($A175,Korrelation!$D$4:$D$1197,Korrelation!I$4:I$1197,"-",0)="-",0,MATCH(_xlfn.XLOOKUP($A175,Korrelation!$D$4:$D$1197,Korrelation!I$4:I$1197,"",0),DMAV_Dienste!$F$6:$F$140,0)))</f>
        <v>0</v>
      </c>
      <c r="G175" s="57">
        <f>IF($A175="","",IF(_xlfn.XLOOKUP($A175,Korrelation!$D$4:$D$1197,Korrelation!J$4:J$1197,"-",0)="-",0,MATCH(_xlfn.XLOOKUP($A175,Korrelation!$D$4:$D$1197,Korrelation!J$4:J$1197,"",0),DMAV_Dienste!$F$6:$F$140,0)))</f>
        <v>0</v>
      </c>
      <c r="H175" s="57">
        <f>IF($A175="","",IF(_xlfn.XLOOKUP($A175,Korrelation!$D$4:$D$1197,Korrelation!K$4:K$1197,"-",0)="-",0,MATCH(_xlfn.XLOOKUP($A175,Korrelation!$D$4:$D$1197,Korrelation!K$4:K$1197,"",0),'DM01-AV-CH'!$A$6:$A$834,0)))</f>
        <v>0</v>
      </c>
      <c r="J175" s="54" t="str" cm="1">
        <f t="array" aca="1" ref="J175" ca="1">IF(B175=0,IF(E175=0,"",HYPERLINK("#"&amp;RIGHT(CELL("adresse",OFFSET(DMAV_Dienste!$M$6,E175-1,0)),LEN(CELL("adresse",OFFSET(DMAV_Dienste!$M$6,E175-1,0)))-FIND("]",CELL("adresse",OFFSET(DMAV_Dienste!$M$6,E175-1,0)))),"Dienst")),HYPERLINK("#"&amp;RIGHT(CELL("adresse",OFFSET(DMAV_Modell!$N$6,B175-1,0)),LEN(CELL("adresse",OFFSET(DMAV_Modell!$N$6,B175-1,0)))-FIND("]",CELL("adresse",OFFSET(DMAV_Modell!$N$6,B175-1,0)))),"Modell"))</f>
        <v>Dienst</v>
      </c>
      <c r="K175" s="61" t="str" cm="1">
        <f t="array" ref="K175">IF($B175=0,IF($E175=0,"",IF(INDEX(DMAV_Dienste!P$6:P$140,$E175)="","",INDEX(DMAV_Dienste!P$6:P$140,$E175))),IF(INDEX(DMAV_Modell!Q$6:Q$838,$B175)="","",INDEX(DMAV_Modell!Q$6:Q$838,$B175)))</f>
        <v>CONSTRAINTS OF.CONSTRAINT</v>
      </c>
      <c r="L175" s="62" t="str" cm="1">
        <f t="array" ref="L175">IF($B175=0,IF($E175=0,"",IF(INDEX(DMAV_Dienste!O$6:O$140,$E175)="","",INDEX(DMAV_Dienste!O$6:O$140,$E175))),IF(INDEX(DMAV_Modell!P$6:P$838,$B175)="","",INDEX(DMAV_Modell!P$6:P$838,$B175)))</f>
        <v>FPDS2</v>
      </c>
      <c r="M175" s="62" t="str" cm="1">
        <f t="array" ref="M175">IF($B175=0,IF($E175=0,"",IF(INDEX(DMAV_Dienste!Q$6:Q$140,$E175)="","",INDEX(DMAV_Dienste!Q$6:Q$140,$E175))),IF(INDEX(DMAV_Modell!R$6:R$838,$B175)="","",INDEX(DMAV_Modell!R$6:R$838,$B175)))</f>
        <v>Fixpunkt</v>
      </c>
      <c r="N175" s="62" t="str" cm="1">
        <f t="array" ref="N175">IF($B175=0,IF($E175=0,"",IF(INDEX(DMAV_Dienste!T$6:T$140,$E175)="","",INDEX(DMAV_Dienste!T$6:T$140,$E175))),IF(INDEX(DMAV_Modell!U$6:U$838,$B175)="","",INDEX(DMAV_Modell!U$6:U$838,$B175)))</f>
        <v>Art != LFP2 OR DEFINED(@PH1@)</v>
      </c>
      <c r="O175" s="63" t="str" cm="1">
        <f t="array" aca="1" ref="O175" ca="1">IF(C175=0,IF(F175=0,"",HYPERLINK("#"&amp;RIGHT(CELL("adresse",OFFSET(DMAV_Dienste!$M$6,F175-1,0)),LEN(CELL("adresse",OFFSET(DMAV_Dienste!$M$6,F175-1,0)))-FIND("]",CELL("adresse",OFFSET(DMAV_Dienste!$M$6,F175-1,0)))),"Structure")),HYPERLINK("#"&amp;RIGHT(CELL("adresse",OFFSET(DMAV_Modell!$N$6,C175-1,0)),LEN(CELL("adresse",OFFSET(DMAV_Modell!$N$6,C175-1,0)))-FIND("]",CELL("adresse",OFFSET(DMAV_Modell!$N$6,C175-1,0)))),"Structure"))</f>
        <v/>
      </c>
      <c r="P175" s="64" t="str" cm="1">
        <f t="array" aca="1" ref="P175" ca="1">IF(D175=0,IF(G175=0,"",HYPERLINK("#"&amp;RIGHT(CELL("adresse",OFFSET(DMAV_Dienste!$M$6,G175-1,0)),LEN(CELL("adresse",OFFSET(DMAV_Dienste!$M$6,G175-1,0)))-FIND("]",CELL("adresse",OFFSET(DMAV_Dienste!$M$6,G175-1,0)))),"Substructure")),HYPERLINK("#"&amp;RIGHT(CELL("adresse",OFFSET(DMAV_Modell!$N$6,D175-1,0)),LEN(CELL("adresse",OFFSET(DMAV_Modell!$N$6,D175-1,0)))-FIND("]",CELL("adresse",OFFSET(DMAV_Modell!$N$6,D175-1,0)))),"Substructure"))</f>
        <v/>
      </c>
      <c r="R175" s="80"/>
      <c r="T175" s="93"/>
      <c r="U175" s="94"/>
      <c r="V175" s="95"/>
      <c r="W175" s="96"/>
      <c r="Y175" s="85"/>
      <c r="Z175" s="86"/>
      <c r="AA175" s="87"/>
      <c r="AB175" s="88"/>
      <c r="AD175" s="77"/>
      <c r="AF175" s="54" t="str" cm="1">
        <f t="array" aca="1" ref="AF175" ca="1">IF(H175=0,"",HYPERLINK("#"&amp;RIGHT(CELL("adresse",OFFSET('DM01-AV-CH'!$G$6,H175-1,0)),LEN(CELL("adresse",OFFSET('DM01-AV-CH'!$G$6,H175-1,0)))-FIND("]",CELL("adresse",OFFSET('DM01-AV-CH'!$G$6,H175-1,0)))),"Modell"))</f>
        <v/>
      </c>
      <c r="AG175" s="72" t="str" cm="1">
        <f t="array" ref="AG175">IF($H175=0,"",IF(INDEX('DM01-AV-CH'!G$6:G$834,$H175)="","",INDEX('DM01-AV-CH'!G$6:G$834,$H175)))</f>
        <v/>
      </c>
      <c r="AH175" s="73" t="str" cm="1">
        <f t="array" ref="AH175">IF($H175=0,"",IF(INDEX('DM01-AV-CH'!H$6:H$834,$H175)="","",INDEX('DM01-AV-CH'!H$6:H$834,$H175)))</f>
        <v/>
      </c>
      <c r="AI175" s="74" t="str" cm="1">
        <f t="array" ref="AI175">IF($H175=0,"",IF(INDEX('DM01-AV-CH'!I$6:I$834,$H175)="","",INDEX('DM01-AV-CH'!I$6:I$834,$H175)))</f>
        <v/>
      </c>
    </row>
    <row r="176" spans="1:35" ht="28.5" x14ac:dyDescent="0.25">
      <c r="A176" s="57">
        <v>171</v>
      </c>
      <c r="B176" s="57">
        <f>IF($A176="","",IF(_xlfn.XLOOKUP($A176,Korrelation!$D$4:$D$1197,Korrelation!E$4:E$1197,"-",0)="-",0,MATCH(_xlfn.XLOOKUP($A176,Korrelation!$D$4:$D$1197,Korrelation!E$4:E$1197,"",0),DMAV_Modell!$G$6:$G$677,0)))</f>
        <v>0</v>
      </c>
      <c r="C176" s="57">
        <f>IF($A176="","",IF(_xlfn.XLOOKUP($A176,Korrelation!$D$4:$D$1197,Korrelation!F$4:F$1197,"-",0)="-",0,MATCH(_xlfn.XLOOKUP($A176,Korrelation!$D$4:$D$1197,Korrelation!F$4:F$1197,"",0),DMAV_Modell!$G$6:$G$677,0)))</f>
        <v>0</v>
      </c>
      <c r="D176" s="57">
        <f>IF($A176="","",IF(_xlfn.XLOOKUP($A176,Korrelation!$D$4:$D$1197,Korrelation!G$4:G$1197,"-",0)="-",0,MATCH(_xlfn.XLOOKUP($A176,Korrelation!$D$4:$D$1197,Korrelation!G$4:G$1197,"",0),DMAV_Modell!$G$6:$G$677,0)))</f>
        <v>0</v>
      </c>
      <c r="E176" s="57">
        <f>IF($A176="","",IF(_xlfn.XLOOKUP($A176,Korrelation!$D$4:$D$1197,Korrelation!H$4:H$1197,"-",0)="-",0,MATCH(_xlfn.XLOOKUP($A176,Korrelation!$D$4:$D$1197,Korrelation!H$4:H$1197,"",0),DMAV_Dienste!$F$6:$F$140,0)))</f>
        <v>97</v>
      </c>
      <c r="F176" s="57">
        <f>IF($A176="","",IF(_xlfn.XLOOKUP($A176,Korrelation!$D$4:$D$1197,Korrelation!I$4:I$1197,"-",0)="-",0,MATCH(_xlfn.XLOOKUP($A176,Korrelation!$D$4:$D$1197,Korrelation!I$4:I$1197,"",0),DMAV_Dienste!$F$6:$F$140,0)))</f>
        <v>0</v>
      </c>
      <c r="G176" s="57">
        <f>IF($A176="","",IF(_xlfn.XLOOKUP($A176,Korrelation!$D$4:$D$1197,Korrelation!J$4:J$1197,"-",0)="-",0,MATCH(_xlfn.XLOOKUP($A176,Korrelation!$D$4:$D$1197,Korrelation!J$4:J$1197,"",0),DMAV_Dienste!$F$6:$F$140,0)))</f>
        <v>0</v>
      </c>
      <c r="H176" s="57">
        <f>IF($A176="","",IF(_xlfn.XLOOKUP($A176,Korrelation!$D$4:$D$1197,Korrelation!K$4:K$1197,"-",0)="-",0,MATCH(_xlfn.XLOOKUP($A176,Korrelation!$D$4:$D$1197,Korrelation!K$4:K$1197,"",0),'DM01-AV-CH'!$A$6:$A$834,0)))</f>
        <v>90</v>
      </c>
      <c r="J176" s="54" t="str" cm="1">
        <f t="array" aca="1" ref="J176" ca="1">IF(B176=0,IF(E176=0,"",HYPERLINK("#"&amp;RIGHT(CELL("adresse",OFFSET(DMAV_Dienste!$M$6,E176-1,0)),LEN(CELL("adresse",OFFSET(DMAV_Dienste!$M$6,E176-1,0)))-FIND("]",CELL("adresse",OFFSET(DMAV_Dienste!$M$6,E176-1,0)))),"Dienst")),HYPERLINK("#"&amp;RIGHT(CELL("adresse",OFFSET(DMAV_Modell!$N$6,B176-1,0)),LEN(CELL("adresse",OFFSET(DMAV_Modell!$N$6,B176-1,0)))-FIND("]",CELL("adresse",OFFSET(DMAV_Modell!$N$6,B176-1,0)))),"Modell"))</f>
        <v>Dienst</v>
      </c>
      <c r="K176" s="61" t="str" cm="1">
        <f t="array" ref="K176">IF($B176=0,IF($E176=0,"",IF(INDEX(DMAV_Dienste!P$6:P$140,$E176)="","",INDEX(DMAV_Dienste!P$6:P$140,$E176))),IF(INDEX(DMAV_Modell!Q$6:Q$838,$B176)="","",INDEX(DMAV_Modell!Q$6:Q$838,$B176)))</f>
        <v>CLASS</v>
      </c>
      <c r="L176" s="62" t="str" cm="1">
        <f t="array" ref="L176">IF($B176=0,IF($E176=0,"",IF(INDEX(DMAV_Dienste!O$6:O$140,$E176)="","",INDEX(DMAV_Dienste!O$6:O$140,$E176))),IF(INDEX(DMAV_Modell!P$6:P$838,$B176)="","",INDEX(DMAV_Modell!P$6:P$838,$B176)))</f>
        <v>FPDS2</v>
      </c>
      <c r="M176" s="62" t="str" cm="1">
        <f t="array" ref="M176">IF($B176=0,IF($E176=0,"",IF(INDEX(DMAV_Dienste!Q$6:Q$140,$E176)="","",INDEX(DMAV_Dienste!Q$6:Q$140,$E176))),IF(INDEX(DMAV_Modell!R$6:R$838,$B176)="","",INDEX(DMAV_Modell!R$6:R$838,$B176)))</f>
        <v>FixpunktVersion</v>
      </c>
      <c r="N176" s="62" t="str" cm="1">
        <f t="array" ref="N176">IF($B176=0,IF($E176=0,"",IF(INDEX(DMAV_Dienste!T$6:T$140,$E176)="","",INDEX(DMAV_Dienste!T$6:T$140,$E176))),IF(INDEX(DMAV_Modell!U$6:U$838,$B176)="","",INDEX(DMAV_Modell!U$6:U$838,$B176)))</f>
        <v>Geometrie</v>
      </c>
      <c r="O176" s="63" t="str" cm="1">
        <f t="array" aca="1" ref="O176" ca="1">IF(C176=0,IF(F176=0,"",HYPERLINK("#"&amp;RIGHT(CELL("adresse",OFFSET(DMAV_Dienste!$M$6,F176-1,0)),LEN(CELL("adresse",OFFSET(DMAV_Dienste!$M$6,F176-1,0)))-FIND("]",CELL("adresse",OFFSET(DMAV_Dienste!$M$6,F176-1,0)))),"Structure")),HYPERLINK("#"&amp;RIGHT(CELL("adresse",OFFSET(DMAV_Modell!$N$6,C176-1,0)),LEN(CELL("adresse",OFFSET(DMAV_Modell!$N$6,C176-1,0)))-FIND("]",CELL("adresse",OFFSET(DMAV_Modell!$N$6,C176-1,0)))),"Structure"))</f>
        <v/>
      </c>
      <c r="P176" s="64" t="str" cm="1">
        <f t="array" aca="1" ref="P176" ca="1">IF(D176=0,IF(G176=0,"",HYPERLINK("#"&amp;RIGHT(CELL("adresse",OFFSET(DMAV_Dienste!$M$6,G176-1,0)),LEN(CELL("adresse",OFFSET(DMAV_Dienste!$M$6,G176-1,0)))-FIND("]",CELL("adresse",OFFSET(DMAV_Dienste!$M$6,G176-1,0)))),"Substructure")),HYPERLINK("#"&amp;RIGHT(CELL("adresse",OFFSET(DMAV_Modell!$N$6,D176-1,0)),LEN(CELL("adresse",OFFSET(DMAV_Modell!$N$6,D176-1,0)))-FIND("]",CELL("adresse",OFFSET(DMAV_Modell!$N$6,D176-1,0)))),"Substructure"))</f>
        <v/>
      </c>
      <c r="R176" s="80"/>
      <c r="T176" s="93"/>
      <c r="U176" s="94"/>
      <c r="V176" s="95"/>
      <c r="W176" s="96"/>
      <c r="Y176" s="85" t="s">
        <v>5873</v>
      </c>
      <c r="Z176" s="86"/>
      <c r="AA176" s="87"/>
      <c r="AB176" s="88"/>
      <c r="AD176" s="77"/>
      <c r="AF176" s="54" t="str" cm="1">
        <f t="array" aca="1" ref="AF176" ca="1">IF(H176=0,"",HYPERLINK("#"&amp;RIGHT(CELL("adresse",OFFSET('DM01-AV-CH'!$G$6,H176-1,0)),LEN(CELL("adresse",OFFSET('DM01-AV-CH'!$G$6,H176-1,0)))-FIND("]",CELL("adresse",OFFSET('DM01-AV-CH'!$G$6,H176-1,0)))),"Modell"))</f>
        <v>Modell</v>
      </c>
      <c r="AG176" s="72" t="str" cm="1">
        <f t="array" ref="AG176">IF($H176=0,"",IF(INDEX('DM01-AV-CH'!G$6:G$834,$H176)="","",INDEX('DM01-AV-CH'!G$6:G$834,$H176)))</f>
        <v>FixpunkteKategorie2</v>
      </c>
      <c r="AH176" s="73" t="str" cm="1">
        <f t="array" ref="AH176">IF($H176=0,"",IF(INDEX('DM01-AV-CH'!H$6:H$834,$H176)="","",INDEX('DM01-AV-CH'!H$6:H$834,$H176)))</f>
        <v>LFP2</v>
      </c>
      <c r="AI176" s="74" t="str" cm="1">
        <f t="array" ref="AI176">IF($H176=0,"",IF(INDEX('DM01-AV-CH'!I$6:I$834,$H176)="","",INDEX('DM01-AV-CH'!I$6:I$834,$H176)))</f>
        <v>Geometrie</v>
      </c>
    </row>
    <row r="177" spans="1:35" x14ac:dyDescent="0.25">
      <c r="A177" s="57">
        <v>172</v>
      </c>
      <c r="B177" s="57">
        <f>IF($A177="","",IF(_xlfn.XLOOKUP($A177,Korrelation!$D$4:$D$1197,Korrelation!E$4:E$1197,"-",0)="-",0,MATCH(_xlfn.XLOOKUP($A177,Korrelation!$D$4:$D$1197,Korrelation!E$4:E$1197,"",0),DMAV_Modell!$G$6:$G$677,0)))</f>
        <v>0</v>
      </c>
      <c r="C177" s="57">
        <f>IF($A177="","",IF(_xlfn.XLOOKUP($A177,Korrelation!$D$4:$D$1197,Korrelation!F$4:F$1197,"-",0)="-",0,MATCH(_xlfn.XLOOKUP($A177,Korrelation!$D$4:$D$1197,Korrelation!F$4:F$1197,"",0),DMAV_Modell!$G$6:$G$677,0)))</f>
        <v>0</v>
      </c>
      <c r="D177" s="57">
        <f>IF($A177="","",IF(_xlfn.XLOOKUP($A177,Korrelation!$D$4:$D$1197,Korrelation!G$4:G$1197,"-",0)="-",0,MATCH(_xlfn.XLOOKUP($A177,Korrelation!$D$4:$D$1197,Korrelation!G$4:G$1197,"",0),DMAV_Modell!$G$6:$G$677,0)))</f>
        <v>0</v>
      </c>
      <c r="E177" s="57">
        <f>IF($A177="","",IF(_xlfn.XLOOKUP($A177,Korrelation!$D$4:$D$1197,Korrelation!H$4:H$1197,"-",0)="-",0,MATCH(_xlfn.XLOOKUP($A177,Korrelation!$D$4:$D$1197,Korrelation!H$4:H$1197,"",0),DMAV_Dienste!$F$6:$F$140,0)))</f>
        <v>98</v>
      </c>
      <c r="F177" s="57">
        <f>IF($A177="","",IF(_xlfn.XLOOKUP($A177,Korrelation!$D$4:$D$1197,Korrelation!I$4:I$1197,"-",0)="-",0,MATCH(_xlfn.XLOOKUP($A177,Korrelation!$D$4:$D$1197,Korrelation!I$4:I$1197,"",0),DMAV_Dienste!$F$6:$F$140,0)))</f>
        <v>0</v>
      </c>
      <c r="G177" s="57">
        <f>IF($A177="","",IF(_xlfn.XLOOKUP($A177,Korrelation!$D$4:$D$1197,Korrelation!J$4:J$1197,"-",0)="-",0,MATCH(_xlfn.XLOOKUP($A177,Korrelation!$D$4:$D$1197,Korrelation!J$4:J$1197,"",0),DMAV_Dienste!$F$6:$F$140,0)))</f>
        <v>0</v>
      </c>
      <c r="H177" s="57">
        <f>IF($A177="","",IF(_xlfn.XLOOKUP($A177,Korrelation!$D$4:$D$1197,Korrelation!K$4:K$1197,"-",0)="-",0,MATCH(_xlfn.XLOOKUP($A177,Korrelation!$D$4:$D$1197,Korrelation!K$4:K$1197,"",0),'DM01-AV-CH'!$A$6:$A$834,0)))</f>
        <v>0</v>
      </c>
      <c r="J177" s="54" t="str" cm="1">
        <f t="array" aca="1" ref="J177" ca="1">IF(B177=0,IF(E177=0,"",HYPERLINK("#"&amp;RIGHT(CELL("adresse",OFFSET(DMAV_Dienste!$M$6,E177-1,0)),LEN(CELL("adresse",OFFSET(DMAV_Dienste!$M$6,E177-1,0)))-FIND("]",CELL("adresse",OFFSET(DMAV_Dienste!$M$6,E177-1,0)))),"Dienst")),HYPERLINK("#"&amp;RIGHT(CELL("adresse",OFFSET(DMAV_Modell!$N$6,B177-1,0)),LEN(CELL("adresse",OFFSET(DMAV_Modell!$N$6,B177-1,0)))-FIND("]",CELL("adresse",OFFSET(DMAV_Modell!$N$6,B177-1,0)))),"Modell"))</f>
        <v>Dienst</v>
      </c>
      <c r="K177" s="61" t="str" cm="1">
        <f t="array" ref="K177">IF($B177=0,IF($E177=0,"",IF(INDEX(DMAV_Dienste!P$6:P$140,$E177)="","",INDEX(DMAV_Dienste!P$6:P$140,$E177))),IF(INDEX(DMAV_Modell!Q$6:Q$838,$B177)="","",INDEX(DMAV_Modell!Q$6:Q$838,$B177)))</f>
        <v>CLASS</v>
      </c>
      <c r="L177" s="62" t="str" cm="1">
        <f t="array" ref="L177">IF($B177=0,IF($E177=0,"",IF(INDEX(DMAV_Dienste!O$6:O$140,$E177)="","",INDEX(DMAV_Dienste!O$6:O$140,$E177))),IF(INDEX(DMAV_Modell!P$6:P$838,$B177)="","",INDEX(DMAV_Modell!P$6:P$838,$B177)))</f>
        <v>FPDS2</v>
      </c>
      <c r="M177" s="62" t="str" cm="1">
        <f t="array" ref="M177">IF($B177=0,IF($E177=0,"",IF(INDEX(DMAV_Dienste!Q$6:Q$140,$E177)="","",INDEX(DMAV_Dienste!Q$6:Q$140,$E177))),IF(INDEX(DMAV_Modell!R$6:R$838,$B177)="","",INDEX(DMAV_Modell!R$6:R$838,$B177)))</f>
        <v>FixpunktVersion</v>
      </c>
      <c r="N177" s="62" t="str" cm="1">
        <f t="array" ref="N177">IF($B177=0,IF($E177=0,"",IF(INDEX(DMAV_Dienste!T$6:T$140,$E177)="","",INDEX(DMAV_Dienste!T$6:T$140,$E177))),IF(INDEX(DMAV_Modell!U$6:U$838,$B177)="","",INDEX(DMAV_Modell!U$6:U$838,$B177)))</f>
        <v>UntergegangenAm</v>
      </c>
      <c r="O177" s="63" t="str" cm="1">
        <f t="array" aca="1" ref="O177" ca="1">IF(C177=0,IF(F177=0,"",HYPERLINK("#"&amp;RIGHT(CELL("adresse",OFFSET(DMAV_Dienste!$M$6,F177-1,0)),LEN(CELL("adresse",OFFSET(DMAV_Dienste!$M$6,F177-1,0)))-FIND("]",CELL("adresse",OFFSET(DMAV_Dienste!$M$6,F177-1,0)))),"Structure")),HYPERLINK("#"&amp;RIGHT(CELL("adresse",OFFSET(DMAV_Modell!$N$6,C177-1,0)),LEN(CELL("adresse",OFFSET(DMAV_Modell!$N$6,C177-1,0)))-FIND("]",CELL("adresse",OFFSET(DMAV_Modell!$N$6,C177-1,0)))),"Structure"))</f>
        <v/>
      </c>
      <c r="P177" s="64" t="str" cm="1">
        <f t="array" aca="1" ref="P177" ca="1">IF(D177=0,IF(G177=0,"",HYPERLINK("#"&amp;RIGHT(CELL("adresse",OFFSET(DMAV_Dienste!$M$6,G177-1,0)),LEN(CELL("adresse",OFFSET(DMAV_Dienste!$M$6,G177-1,0)))-FIND("]",CELL("adresse",OFFSET(DMAV_Dienste!$M$6,G177-1,0)))),"Substructure")),HYPERLINK("#"&amp;RIGHT(CELL("adresse",OFFSET(DMAV_Modell!$N$6,D177-1,0)),LEN(CELL("adresse",OFFSET(DMAV_Modell!$N$6,D177-1,0)))-FIND("]",CELL("adresse",OFFSET(DMAV_Modell!$N$6,D177-1,0)))),"Substructure"))</f>
        <v/>
      </c>
      <c r="R177" s="80"/>
      <c r="T177" s="93"/>
      <c r="U177" s="94"/>
      <c r="V177" s="95"/>
      <c r="W177" s="96"/>
      <c r="Y177" s="85"/>
      <c r="Z177" s="86"/>
      <c r="AA177" s="87"/>
      <c r="AB177" s="88"/>
      <c r="AD177" s="77"/>
      <c r="AF177" s="54" t="str" cm="1">
        <f t="array" aca="1" ref="AF177" ca="1">IF(H177=0,"",HYPERLINK("#"&amp;RIGHT(CELL("adresse",OFFSET('DM01-AV-CH'!$G$6,H177-1,0)),LEN(CELL("adresse",OFFSET('DM01-AV-CH'!$G$6,H177-1,0)))-FIND("]",CELL("adresse",OFFSET('DM01-AV-CH'!$G$6,H177-1,0)))),"Modell"))</f>
        <v/>
      </c>
      <c r="AG177" s="72" t="str" cm="1">
        <f t="array" ref="AG177">IF($H177=0,"",IF(INDEX('DM01-AV-CH'!G$6:G$834,$H177)="","",INDEX('DM01-AV-CH'!G$6:G$834,$H177)))</f>
        <v/>
      </c>
      <c r="AH177" s="73" t="str" cm="1">
        <f t="array" ref="AH177">IF($H177=0,"",IF(INDEX('DM01-AV-CH'!H$6:H$834,$H177)="","",INDEX('DM01-AV-CH'!H$6:H$834,$H177)))</f>
        <v/>
      </c>
      <c r="AI177" s="74" t="str" cm="1">
        <f t="array" ref="AI177">IF($H177=0,"",IF(INDEX('DM01-AV-CH'!I$6:I$834,$H177)="","",INDEX('DM01-AV-CH'!I$6:I$834,$H177)))</f>
        <v/>
      </c>
    </row>
    <row r="178" spans="1:35" ht="28.5" x14ac:dyDescent="0.25">
      <c r="A178" s="57">
        <v>173</v>
      </c>
      <c r="B178" s="57">
        <f>IF($A178="","",IF(_xlfn.XLOOKUP($A178,Korrelation!$D$4:$D$1197,Korrelation!E$4:E$1197,"-",0)="-",0,MATCH(_xlfn.XLOOKUP($A178,Korrelation!$D$4:$D$1197,Korrelation!E$4:E$1197,"",0),DMAV_Modell!$G$6:$G$677,0)))</f>
        <v>0</v>
      </c>
      <c r="C178" s="57">
        <f>IF($A178="","",IF(_xlfn.XLOOKUP($A178,Korrelation!$D$4:$D$1197,Korrelation!F$4:F$1197,"-",0)="-",0,MATCH(_xlfn.XLOOKUP($A178,Korrelation!$D$4:$D$1197,Korrelation!F$4:F$1197,"",0),DMAV_Modell!$G$6:$G$677,0)))</f>
        <v>0</v>
      </c>
      <c r="D178" s="57">
        <f>IF($A178="","",IF(_xlfn.XLOOKUP($A178,Korrelation!$D$4:$D$1197,Korrelation!G$4:G$1197,"-",0)="-",0,MATCH(_xlfn.XLOOKUP($A178,Korrelation!$D$4:$D$1197,Korrelation!G$4:G$1197,"",0),DMAV_Modell!$G$6:$G$677,0)))</f>
        <v>0</v>
      </c>
      <c r="E178" s="57">
        <f>IF($A178="","",IF(_xlfn.XLOOKUP($A178,Korrelation!$D$4:$D$1197,Korrelation!H$4:H$1197,"-",0)="-",0,MATCH(_xlfn.XLOOKUP($A178,Korrelation!$D$4:$D$1197,Korrelation!H$4:H$1197,"",0),DMAV_Dienste!$F$6:$F$140,0)))</f>
        <v>99</v>
      </c>
      <c r="F178" s="57">
        <f>IF($A178="","",IF(_xlfn.XLOOKUP($A178,Korrelation!$D$4:$D$1197,Korrelation!I$4:I$1197,"-",0)="-",0,MATCH(_xlfn.XLOOKUP($A178,Korrelation!$D$4:$D$1197,Korrelation!I$4:I$1197,"",0),DMAV_Dienste!$F$6:$F$140,0)))</f>
        <v>0</v>
      </c>
      <c r="G178" s="57">
        <f>IF($A178="","",IF(_xlfn.XLOOKUP($A178,Korrelation!$D$4:$D$1197,Korrelation!J$4:J$1197,"-",0)="-",0,MATCH(_xlfn.XLOOKUP($A178,Korrelation!$D$4:$D$1197,Korrelation!J$4:J$1197,"",0),DMAV_Dienste!$F$6:$F$140,0)))</f>
        <v>0</v>
      </c>
      <c r="H178" s="57">
        <f>IF($A178="","",IF(_xlfn.XLOOKUP($A178,Korrelation!$D$4:$D$1197,Korrelation!K$4:K$1197,"-",0)="-",0,MATCH(_xlfn.XLOOKUP($A178,Korrelation!$D$4:$D$1197,Korrelation!K$4:K$1197,"",0),'DM01-AV-CH'!$A$6:$A$834,0)))</f>
        <v>94</v>
      </c>
      <c r="J178" s="54" t="str" cm="1">
        <f t="array" aca="1" ref="J178" ca="1">IF(B178=0,IF(E178=0,"",HYPERLINK("#"&amp;RIGHT(CELL("adresse",OFFSET(DMAV_Dienste!$M$6,E178-1,0)),LEN(CELL("adresse",OFFSET(DMAV_Dienste!$M$6,E178-1,0)))-FIND("]",CELL("adresse",OFFSET(DMAV_Dienste!$M$6,E178-1,0)))),"Dienst")),HYPERLINK("#"&amp;RIGHT(CELL("adresse",OFFSET(DMAV_Modell!$N$6,B178-1,0)),LEN(CELL("adresse",OFFSET(DMAV_Modell!$N$6,B178-1,0)))-FIND("]",CELL("adresse",OFFSET(DMAV_Modell!$N$6,B178-1,0)))),"Modell"))</f>
        <v>Dienst</v>
      </c>
      <c r="K178" s="61" t="str" cm="1">
        <f t="array" ref="K178">IF($B178=0,IF($E178=0,"",IF(INDEX(DMAV_Dienste!P$6:P$140,$E178)="","",INDEX(DMAV_Dienste!P$6:P$140,$E178))),IF(INDEX(DMAV_Modell!Q$6:Q$838,$B178)="","",INDEX(DMAV_Modell!Q$6:Q$838,$B178)))</f>
        <v>CLASS</v>
      </c>
      <c r="L178" s="62" t="str" cm="1">
        <f t="array" ref="L178">IF($B178=0,IF($E178=0,"",IF(INDEX(DMAV_Dienste!O$6:O$140,$E178)="","",INDEX(DMAV_Dienste!O$6:O$140,$E178))),IF(INDEX(DMAV_Modell!P$6:P$838,$B178)="","",INDEX(DMAV_Modell!P$6:P$838,$B178)))</f>
        <v>FPDS2</v>
      </c>
      <c r="M178" s="62" t="str" cm="1">
        <f t="array" ref="M178">IF($B178=0,IF($E178=0,"",IF(INDEX(DMAV_Dienste!Q$6:Q$140,$E178)="","",INDEX(DMAV_Dienste!Q$6:Q$140,$E178))),IF(INDEX(DMAV_Modell!R$6:R$838,$B178)="","",INDEX(DMAV_Modell!R$6:R$838,$B178)))</f>
        <v>FixpunktVersion</v>
      </c>
      <c r="N178" s="62" t="str" cm="1">
        <f t="array" ref="N178">IF($B178=0,IF($E178=0,"",IF(INDEX(DMAV_Dienste!T$6:T$140,$E178)="","",INDEX(DMAV_Dienste!T$6:T$140,$E178))),IF(INDEX(DMAV_Modell!U$6:U$838,$B178)="","",INDEX(DMAV_Modell!U$6:U$838,$B178)))</f>
        <v>HoeheGen</v>
      </c>
      <c r="O178" s="63" t="str" cm="1">
        <f t="array" aca="1" ref="O178" ca="1">IF(C178=0,IF(F178=0,"",HYPERLINK("#"&amp;RIGHT(CELL("adresse",OFFSET(DMAV_Dienste!$M$6,F178-1,0)),LEN(CELL("adresse",OFFSET(DMAV_Dienste!$M$6,F178-1,0)))-FIND("]",CELL("adresse",OFFSET(DMAV_Dienste!$M$6,F178-1,0)))),"Structure")),HYPERLINK("#"&amp;RIGHT(CELL("adresse",OFFSET(DMAV_Modell!$N$6,C178-1,0)),LEN(CELL("adresse",OFFSET(DMAV_Modell!$N$6,C178-1,0)))-FIND("]",CELL("adresse",OFFSET(DMAV_Modell!$N$6,C178-1,0)))),"Structure"))</f>
        <v/>
      </c>
      <c r="P178" s="64" t="str" cm="1">
        <f t="array" aca="1" ref="P178" ca="1">IF(D178=0,IF(G178=0,"",HYPERLINK("#"&amp;RIGHT(CELL("adresse",OFFSET(DMAV_Dienste!$M$6,G178-1,0)),LEN(CELL("adresse",OFFSET(DMAV_Dienste!$M$6,G178-1,0)))-FIND("]",CELL("adresse",OFFSET(DMAV_Dienste!$M$6,G178-1,0)))),"Substructure")),HYPERLINK("#"&amp;RIGHT(CELL("adresse",OFFSET(DMAV_Modell!$N$6,D178-1,0)),LEN(CELL("adresse",OFFSET(DMAV_Modell!$N$6,D178-1,0)))-FIND("]",CELL("adresse",OFFSET(DMAV_Modell!$N$6,D178-1,0)))),"Substructure"))</f>
        <v/>
      </c>
      <c r="R178" s="80"/>
      <c r="T178" s="93"/>
      <c r="U178" s="94"/>
      <c r="V178" s="95"/>
      <c r="W178" s="96"/>
      <c r="Y178" s="85" t="s">
        <v>5873</v>
      </c>
      <c r="Z178" s="86"/>
      <c r="AA178" s="87"/>
      <c r="AB178" s="88"/>
      <c r="AD178" s="77"/>
      <c r="AF178" s="54" t="str" cm="1">
        <f t="array" aca="1" ref="AF178" ca="1">IF(H178=0,"",HYPERLINK("#"&amp;RIGHT(CELL("adresse",OFFSET('DM01-AV-CH'!$G$6,H178-1,0)),LEN(CELL("adresse",OFFSET('DM01-AV-CH'!$G$6,H178-1,0)))-FIND("]",CELL("adresse",OFFSET('DM01-AV-CH'!$G$6,H178-1,0)))),"Modell"))</f>
        <v>Modell</v>
      </c>
      <c r="AG178" s="72" t="str" cm="1">
        <f t="array" ref="AG178">IF($H178=0,"",IF(INDEX('DM01-AV-CH'!G$6:G$834,$H178)="","",INDEX('DM01-AV-CH'!G$6:G$834,$H178)))</f>
        <v>FixpunkteKategorie2</v>
      </c>
      <c r="AH178" s="73" t="str" cm="1">
        <f t="array" ref="AH178">IF($H178=0,"",IF(INDEX('DM01-AV-CH'!H$6:H$834,$H178)="","",INDEX('DM01-AV-CH'!H$6:H$834,$H178)))</f>
        <v>LFP2</v>
      </c>
      <c r="AI178" s="74" t="str" cm="1">
        <f t="array" ref="AI178">IF($H178=0,"",IF(INDEX('DM01-AV-CH'!I$6:I$834,$H178)="","",INDEX('DM01-AV-CH'!I$6:I$834,$H178)))</f>
        <v>HoeheGen</v>
      </c>
    </row>
    <row r="179" spans="1:35" ht="28.5" x14ac:dyDescent="0.25">
      <c r="A179" s="57">
        <v>174</v>
      </c>
      <c r="B179" s="57">
        <f>IF($A179="","",IF(_xlfn.XLOOKUP($A179,Korrelation!$D$4:$D$1197,Korrelation!E$4:E$1197,"-",0)="-",0,MATCH(_xlfn.XLOOKUP($A179,Korrelation!$D$4:$D$1197,Korrelation!E$4:E$1197,"",0),DMAV_Modell!$G$6:$G$677,0)))</f>
        <v>0</v>
      </c>
      <c r="C179" s="57">
        <f>IF($A179="","",IF(_xlfn.XLOOKUP($A179,Korrelation!$D$4:$D$1197,Korrelation!F$4:F$1197,"-",0)="-",0,MATCH(_xlfn.XLOOKUP($A179,Korrelation!$D$4:$D$1197,Korrelation!F$4:F$1197,"",0),DMAV_Modell!$G$6:$G$677,0)))</f>
        <v>0</v>
      </c>
      <c r="D179" s="57">
        <f>IF($A179="","",IF(_xlfn.XLOOKUP($A179,Korrelation!$D$4:$D$1197,Korrelation!G$4:G$1197,"-",0)="-",0,MATCH(_xlfn.XLOOKUP($A179,Korrelation!$D$4:$D$1197,Korrelation!G$4:G$1197,"",0),DMAV_Modell!$G$6:$G$677,0)))</f>
        <v>0</v>
      </c>
      <c r="E179" s="57">
        <f>IF($A179="","",IF(_xlfn.XLOOKUP($A179,Korrelation!$D$4:$D$1197,Korrelation!H$4:H$1197,"-",0)="-",0,MATCH(_xlfn.XLOOKUP($A179,Korrelation!$D$4:$D$1197,Korrelation!H$4:H$1197,"",0),DMAV_Dienste!$F$6:$F$140,0)))</f>
        <v>100</v>
      </c>
      <c r="F179" s="57">
        <f>IF($A179="","",IF(_xlfn.XLOOKUP($A179,Korrelation!$D$4:$D$1197,Korrelation!I$4:I$1197,"-",0)="-",0,MATCH(_xlfn.XLOOKUP($A179,Korrelation!$D$4:$D$1197,Korrelation!I$4:I$1197,"",0),DMAV_Dienste!$F$6:$F$140,0)))</f>
        <v>0</v>
      </c>
      <c r="G179" s="57">
        <f>IF($A179="","",IF(_xlfn.XLOOKUP($A179,Korrelation!$D$4:$D$1197,Korrelation!J$4:J$1197,"-",0)="-",0,MATCH(_xlfn.XLOOKUP($A179,Korrelation!$D$4:$D$1197,Korrelation!J$4:J$1197,"",0),DMAV_Dienste!$F$6:$F$140,0)))</f>
        <v>0</v>
      </c>
      <c r="H179" s="57">
        <f>IF($A179="","",IF(_xlfn.XLOOKUP($A179,Korrelation!$D$4:$D$1197,Korrelation!K$4:K$1197,"-",0)="-",0,MATCH(_xlfn.XLOOKUP($A179,Korrelation!$D$4:$D$1197,Korrelation!K$4:K$1197,"",0),'DM01-AV-CH'!$A$6:$A$834,0)))</f>
        <v>91</v>
      </c>
      <c r="J179" s="54" t="str" cm="1">
        <f t="array" aca="1" ref="J179" ca="1">IF(B179=0,IF(E179=0,"",HYPERLINK("#"&amp;RIGHT(CELL("adresse",OFFSET(DMAV_Dienste!$M$6,E179-1,0)),LEN(CELL("adresse",OFFSET(DMAV_Dienste!$M$6,E179-1,0)))-FIND("]",CELL("adresse",OFFSET(DMAV_Dienste!$M$6,E179-1,0)))),"Dienst")),HYPERLINK("#"&amp;RIGHT(CELL("adresse",OFFSET(DMAV_Modell!$N$6,B179-1,0)),LEN(CELL("adresse",OFFSET(DMAV_Modell!$N$6,B179-1,0)))-FIND("]",CELL("adresse",OFFSET(DMAV_Modell!$N$6,B179-1,0)))),"Modell"))</f>
        <v>Dienst</v>
      </c>
      <c r="K179" s="61" t="str" cm="1">
        <f t="array" ref="K179">IF($B179=0,IF($E179=0,"",IF(INDEX(DMAV_Dienste!P$6:P$140,$E179)="","",INDEX(DMAV_Dienste!P$6:P$140,$E179))),IF(INDEX(DMAV_Modell!Q$6:Q$838,$B179)="","",INDEX(DMAV_Modell!Q$6:Q$838,$B179)))</f>
        <v>CLASS</v>
      </c>
      <c r="L179" s="62" t="str" cm="1">
        <f t="array" ref="L179">IF($B179=0,IF($E179=0,"",IF(INDEX(DMAV_Dienste!O$6:O$140,$E179)="","",INDEX(DMAV_Dienste!O$6:O$140,$E179))),IF(INDEX(DMAV_Modell!P$6:P$838,$B179)="","",INDEX(DMAV_Modell!P$6:P$838,$B179)))</f>
        <v>FPDS2</v>
      </c>
      <c r="M179" s="62" t="str" cm="1">
        <f t="array" ref="M179">IF($B179=0,IF($E179=0,"",IF(INDEX(DMAV_Dienste!Q$6:Q$140,$E179)="","",INDEX(DMAV_Dienste!Q$6:Q$140,$E179))),IF(INDEX(DMAV_Modell!R$6:R$838,$B179)="","",INDEX(DMAV_Modell!R$6:R$838,$B179)))</f>
        <v>FixpunktVersion</v>
      </c>
      <c r="N179" s="62" t="str" cm="1">
        <f t="array" ref="N179">IF($B179=0,IF($E179=0,"",IF(INDEX(DMAV_Dienste!T$6:T$140,$E179)="","",INDEX(DMAV_Dienste!T$6:T$140,$E179))),IF(INDEX(DMAV_Modell!U$6:U$838,$B179)="","",INDEX(DMAV_Modell!U$6:U$838,$B179)))</f>
        <v>HoeheGeom</v>
      </c>
      <c r="O179" s="63" t="str" cm="1">
        <f t="array" aca="1" ref="O179" ca="1">IF(C179=0,IF(F179=0,"",HYPERLINK("#"&amp;RIGHT(CELL("adresse",OFFSET(DMAV_Dienste!$M$6,F179-1,0)),LEN(CELL("adresse",OFFSET(DMAV_Dienste!$M$6,F179-1,0)))-FIND("]",CELL("adresse",OFFSET(DMAV_Dienste!$M$6,F179-1,0)))),"Structure")),HYPERLINK("#"&amp;RIGHT(CELL("adresse",OFFSET(DMAV_Modell!$N$6,C179-1,0)),LEN(CELL("adresse",OFFSET(DMAV_Modell!$N$6,C179-1,0)))-FIND("]",CELL("adresse",OFFSET(DMAV_Modell!$N$6,C179-1,0)))),"Structure"))</f>
        <v/>
      </c>
      <c r="P179" s="64" t="str" cm="1">
        <f t="array" aca="1" ref="P179" ca="1">IF(D179=0,IF(G179=0,"",HYPERLINK("#"&amp;RIGHT(CELL("adresse",OFFSET(DMAV_Dienste!$M$6,G179-1,0)),LEN(CELL("adresse",OFFSET(DMAV_Dienste!$M$6,G179-1,0)))-FIND("]",CELL("adresse",OFFSET(DMAV_Dienste!$M$6,G179-1,0)))),"Substructure")),HYPERLINK("#"&amp;RIGHT(CELL("adresse",OFFSET(DMAV_Modell!$N$6,D179-1,0)),LEN(CELL("adresse",OFFSET(DMAV_Modell!$N$6,D179-1,0)))-FIND("]",CELL("adresse",OFFSET(DMAV_Modell!$N$6,D179-1,0)))),"Substructure"))</f>
        <v/>
      </c>
      <c r="R179" s="80"/>
      <c r="T179" s="93"/>
      <c r="U179" s="94"/>
      <c r="V179" s="95"/>
      <c r="W179" s="96"/>
      <c r="Y179" s="85" t="s">
        <v>5873</v>
      </c>
      <c r="Z179" s="86"/>
      <c r="AA179" s="87"/>
      <c r="AB179" s="88"/>
      <c r="AD179" s="77"/>
      <c r="AF179" s="54" t="str" cm="1">
        <f t="array" aca="1" ref="AF179" ca="1">IF(H179=0,"",HYPERLINK("#"&amp;RIGHT(CELL("adresse",OFFSET('DM01-AV-CH'!$G$6,H179-1,0)),LEN(CELL("adresse",OFFSET('DM01-AV-CH'!$G$6,H179-1,0)))-FIND("]",CELL("adresse",OFFSET('DM01-AV-CH'!$G$6,H179-1,0)))),"Modell"))</f>
        <v>Modell</v>
      </c>
      <c r="AG179" s="72" t="str" cm="1">
        <f t="array" ref="AG179">IF($H179=0,"",IF(INDEX('DM01-AV-CH'!G$6:G$834,$H179)="","",INDEX('DM01-AV-CH'!G$6:G$834,$H179)))</f>
        <v>FixpunkteKategorie2</v>
      </c>
      <c r="AH179" s="73" t="str" cm="1">
        <f t="array" ref="AH179">IF($H179=0,"",IF(INDEX('DM01-AV-CH'!H$6:H$834,$H179)="","",INDEX('DM01-AV-CH'!H$6:H$834,$H179)))</f>
        <v>LFP2</v>
      </c>
      <c r="AI179" s="74" t="str" cm="1">
        <f t="array" ref="AI179">IF($H179=0,"",IF(INDEX('DM01-AV-CH'!I$6:I$834,$H179)="","",INDEX('DM01-AV-CH'!I$6:I$834,$H179)))</f>
        <v>HoeheGeom</v>
      </c>
    </row>
    <row r="180" spans="1:35" ht="28.5" x14ac:dyDescent="0.25">
      <c r="A180" s="57">
        <v>175</v>
      </c>
      <c r="B180" s="57">
        <f>IF($A180="","",IF(_xlfn.XLOOKUP($A180,Korrelation!$D$4:$D$1197,Korrelation!E$4:E$1197,"-",0)="-",0,MATCH(_xlfn.XLOOKUP($A180,Korrelation!$D$4:$D$1197,Korrelation!E$4:E$1197,"",0),DMAV_Modell!$G$6:$G$677,0)))</f>
        <v>0</v>
      </c>
      <c r="C180" s="57">
        <f>IF($A180="","",IF(_xlfn.XLOOKUP($A180,Korrelation!$D$4:$D$1197,Korrelation!F$4:F$1197,"-",0)="-",0,MATCH(_xlfn.XLOOKUP($A180,Korrelation!$D$4:$D$1197,Korrelation!F$4:F$1197,"",0),DMAV_Modell!$G$6:$G$677,0)))</f>
        <v>0</v>
      </c>
      <c r="D180" s="57">
        <f>IF($A180="","",IF(_xlfn.XLOOKUP($A180,Korrelation!$D$4:$D$1197,Korrelation!G$4:G$1197,"-",0)="-",0,MATCH(_xlfn.XLOOKUP($A180,Korrelation!$D$4:$D$1197,Korrelation!G$4:G$1197,"",0),DMAV_Modell!$G$6:$G$677,0)))</f>
        <v>0</v>
      </c>
      <c r="E180" s="57">
        <f>IF($A180="","",IF(_xlfn.XLOOKUP($A180,Korrelation!$D$4:$D$1197,Korrelation!H$4:H$1197,"-",0)="-",0,MATCH(_xlfn.XLOOKUP($A180,Korrelation!$D$4:$D$1197,Korrelation!H$4:H$1197,"",0),DMAV_Dienste!$F$6:$F$140,0)))</f>
        <v>101</v>
      </c>
      <c r="F180" s="57">
        <f>IF($A180="","",IF(_xlfn.XLOOKUP($A180,Korrelation!$D$4:$D$1197,Korrelation!I$4:I$1197,"-",0)="-",0,MATCH(_xlfn.XLOOKUP($A180,Korrelation!$D$4:$D$1197,Korrelation!I$4:I$1197,"",0),DMAV_Dienste!$F$6:$F$140,0)))</f>
        <v>0</v>
      </c>
      <c r="G180" s="57">
        <f>IF($A180="","",IF(_xlfn.XLOOKUP($A180,Korrelation!$D$4:$D$1197,Korrelation!J$4:J$1197,"-",0)="-",0,MATCH(_xlfn.XLOOKUP($A180,Korrelation!$D$4:$D$1197,Korrelation!J$4:J$1197,"",0),DMAV_Dienste!$F$6:$F$140,0)))</f>
        <v>0</v>
      </c>
      <c r="H180" s="57">
        <f>IF($A180="","",IF(_xlfn.XLOOKUP($A180,Korrelation!$D$4:$D$1197,Korrelation!K$4:K$1197,"-",0)="-",0,MATCH(_xlfn.XLOOKUP($A180,Korrelation!$D$4:$D$1197,Korrelation!K$4:K$1197,"",0),'DM01-AV-CH'!$A$6:$A$834,0)))</f>
        <v>95</v>
      </c>
      <c r="J180" s="54" t="str" cm="1">
        <f t="array" aca="1" ref="J180" ca="1">IF(B180=0,IF(E180=0,"",HYPERLINK("#"&amp;RIGHT(CELL("adresse",OFFSET(DMAV_Dienste!$M$6,E180-1,0)),LEN(CELL("adresse",OFFSET(DMAV_Dienste!$M$6,E180-1,0)))-FIND("]",CELL("adresse",OFFSET(DMAV_Dienste!$M$6,E180-1,0)))),"Dienst")),HYPERLINK("#"&amp;RIGHT(CELL("adresse",OFFSET(DMAV_Modell!$N$6,B180-1,0)),LEN(CELL("adresse",OFFSET(DMAV_Modell!$N$6,B180-1,0)))-FIND("]",CELL("adresse",OFFSET(DMAV_Modell!$N$6,B180-1,0)))),"Modell"))</f>
        <v>Dienst</v>
      </c>
      <c r="K180" s="61" t="str" cm="1">
        <f t="array" ref="K180">IF($B180=0,IF($E180=0,"",IF(INDEX(DMAV_Dienste!P$6:P$140,$E180)="","",INDEX(DMAV_Dienste!P$6:P$140,$E180))),IF(INDEX(DMAV_Modell!Q$6:Q$838,$B180)="","",INDEX(DMAV_Modell!Q$6:Q$838,$B180)))</f>
        <v>CLASS</v>
      </c>
      <c r="L180" s="62" t="str" cm="1">
        <f t="array" ref="L180">IF($B180=0,IF($E180=0,"",IF(INDEX(DMAV_Dienste!O$6:O$140,$E180)="","",INDEX(DMAV_Dienste!O$6:O$140,$E180))),IF(INDEX(DMAV_Modell!P$6:P$838,$B180)="","",INDEX(DMAV_Modell!P$6:P$838,$B180)))</f>
        <v>FPDS2</v>
      </c>
      <c r="M180" s="62" t="str" cm="1">
        <f t="array" ref="M180">IF($B180=0,IF($E180=0,"",IF(INDEX(DMAV_Dienste!Q$6:Q$140,$E180)="","",INDEX(DMAV_Dienste!Q$6:Q$140,$E180))),IF(INDEX(DMAV_Modell!R$6:R$838,$B180)="","",INDEX(DMAV_Modell!R$6:R$838,$B180)))</f>
        <v>FixpunktVersion</v>
      </c>
      <c r="N180" s="62" t="str" cm="1">
        <f t="array" ref="N180">IF($B180=0,IF($E180=0,"",IF(INDEX(DMAV_Dienste!T$6:T$140,$E180)="","",INDEX(DMAV_Dienste!T$6:T$140,$E180))),IF(INDEX(DMAV_Modell!U$6:U$838,$B180)="","",INDEX(DMAV_Modell!U$6:U$838,$B180)))</f>
        <v>HoeheZuv</v>
      </c>
      <c r="O180" s="63" t="str" cm="1">
        <f t="array" aca="1" ref="O180" ca="1">IF(C180=0,IF(F180=0,"",HYPERLINK("#"&amp;RIGHT(CELL("adresse",OFFSET(DMAV_Dienste!$M$6,F180-1,0)),LEN(CELL("adresse",OFFSET(DMAV_Dienste!$M$6,F180-1,0)))-FIND("]",CELL("adresse",OFFSET(DMAV_Dienste!$M$6,F180-1,0)))),"Structure")),HYPERLINK("#"&amp;RIGHT(CELL("adresse",OFFSET(DMAV_Modell!$N$6,C180-1,0)),LEN(CELL("adresse",OFFSET(DMAV_Modell!$N$6,C180-1,0)))-FIND("]",CELL("adresse",OFFSET(DMAV_Modell!$N$6,C180-1,0)))),"Structure"))</f>
        <v/>
      </c>
      <c r="P180" s="64" t="str" cm="1">
        <f t="array" aca="1" ref="P180" ca="1">IF(D180=0,IF(G180=0,"",HYPERLINK("#"&amp;RIGHT(CELL("adresse",OFFSET(DMAV_Dienste!$M$6,G180-1,0)),LEN(CELL("adresse",OFFSET(DMAV_Dienste!$M$6,G180-1,0)))-FIND("]",CELL("adresse",OFFSET(DMAV_Dienste!$M$6,G180-1,0)))),"Substructure")),HYPERLINK("#"&amp;RIGHT(CELL("adresse",OFFSET(DMAV_Modell!$N$6,D180-1,0)),LEN(CELL("adresse",OFFSET(DMAV_Modell!$N$6,D180-1,0)))-FIND("]",CELL("adresse",OFFSET(DMAV_Modell!$N$6,D180-1,0)))),"Substructure"))</f>
        <v/>
      </c>
      <c r="R180" s="80"/>
      <c r="T180" s="93"/>
      <c r="U180" s="94"/>
      <c r="V180" s="95"/>
      <c r="W180" s="96"/>
      <c r="Y180" s="85" t="s">
        <v>5873</v>
      </c>
      <c r="Z180" s="86"/>
      <c r="AA180" s="87"/>
      <c r="AB180" s="88"/>
      <c r="AD180" s="77"/>
      <c r="AF180" s="54" t="str" cm="1">
        <f t="array" aca="1" ref="AF180" ca="1">IF(H180=0,"",HYPERLINK("#"&amp;RIGHT(CELL("adresse",OFFSET('DM01-AV-CH'!$G$6,H180-1,0)),LEN(CELL("adresse",OFFSET('DM01-AV-CH'!$G$6,H180-1,0)))-FIND("]",CELL("adresse",OFFSET('DM01-AV-CH'!$G$6,H180-1,0)))),"Modell"))</f>
        <v>Modell</v>
      </c>
      <c r="AG180" s="72" t="str" cm="1">
        <f t="array" ref="AG180">IF($H180=0,"",IF(INDEX('DM01-AV-CH'!G$6:G$834,$H180)="","",INDEX('DM01-AV-CH'!G$6:G$834,$H180)))</f>
        <v>FixpunkteKategorie2</v>
      </c>
      <c r="AH180" s="73" t="str" cm="1">
        <f t="array" ref="AH180">IF($H180=0,"",IF(INDEX('DM01-AV-CH'!H$6:H$834,$H180)="","",INDEX('DM01-AV-CH'!H$6:H$834,$H180)))</f>
        <v>LFP2</v>
      </c>
      <c r="AI180" s="74" t="str" cm="1">
        <f t="array" ref="AI180">IF($H180=0,"",IF(INDEX('DM01-AV-CH'!I$6:I$834,$H180)="","",INDEX('DM01-AV-CH'!I$6:I$834,$H180)))</f>
        <v>HoeheZuv</v>
      </c>
    </row>
    <row r="181" spans="1:35" x14ac:dyDescent="0.25">
      <c r="A181" s="57">
        <v>176</v>
      </c>
      <c r="B181" s="57">
        <f>IF($A181="","",IF(_xlfn.XLOOKUP($A181,Korrelation!$D$4:$D$1197,Korrelation!E$4:E$1197,"-",0)="-",0,MATCH(_xlfn.XLOOKUP($A181,Korrelation!$D$4:$D$1197,Korrelation!E$4:E$1197,"",0),DMAV_Modell!$G$6:$G$677,0)))</f>
        <v>0</v>
      </c>
      <c r="C181" s="57">
        <f>IF($A181="","",IF(_xlfn.XLOOKUP($A181,Korrelation!$D$4:$D$1197,Korrelation!F$4:F$1197,"-",0)="-",0,MATCH(_xlfn.XLOOKUP($A181,Korrelation!$D$4:$D$1197,Korrelation!F$4:F$1197,"",0),DMAV_Modell!$G$6:$G$677,0)))</f>
        <v>0</v>
      </c>
      <c r="D181" s="57">
        <f>IF($A181="","",IF(_xlfn.XLOOKUP($A181,Korrelation!$D$4:$D$1197,Korrelation!G$4:G$1197,"-",0)="-",0,MATCH(_xlfn.XLOOKUP($A181,Korrelation!$D$4:$D$1197,Korrelation!G$4:G$1197,"",0),DMAV_Modell!$G$6:$G$677,0)))</f>
        <v>0</v>
      </c>
      <c r="E181" s="57">
        <f>IF($A181="","",IF(_xlfn.XLOOKUP($A181,Korrelation!$D$4:$D$1197,Korrelation!H$4:H$1197,"-",0)="-",0,MATCH(_xlfn.XLOOKUP($A181,Korrelation!$D$4:$D$1197,Korrelation!H$4:H$1197,"",0),DMAV_Dienste!$F$6:$F$140,0)))</f>
        <v>102</v>
      </c>
      <c r="F181" s="57">
        <f>IF($A181="","",IF(_xlfn.XLOOKUP($A181,Korrelation!$D$4:$D$1197,Korrelation!I$4:I$1197,"-",0)="-",0,MATCH(_xlfn.XLOOKUP($A181,Korrelation!$D$4:$D$1197,Korrelation!I$4:I$1197,"",0),DMAV_Dienste!$F$6:$F$140,0)))</f>
        <v>0</v>
      </c>
      <c r="G181" s="57">
        <f>IF($A181="","",IF(_xlfn.XLOOKUP($A181,Korrelation!$D$4:$D$1197,Korrelation!J$4:J$1197,"-",0)="-",0,MATCH(_xlfn.XLOOKUP($A181,Korrelation!$D$4:$D$1197,Korrelation!J$4:J$1197,"",0),DMAV_Dienste!$F$6:$F$140,0)))</f>
        <v>0</v>
      </c>
      <c r="H181" s="57">
        <f>IF($A181="","",IF(_xlfn.XLOOKUP($A181,Korrelation!$D$4:$D$1197,Korrelation!K$4:K$1197,"-",0)="-",0,MATCH(_xlfn.XLOOKUP($A181,Korrelation!$D$4:$D$1197,Korrelation!K$4:K$1197,"",0),'DM01-AV-CH'!$A$6:$A$834,0)))</f>
        <v>0</v>
      </c>
      <c r="J181" s="54" t="str" cm="1">
        <f t="array" aca="1" ref="J181" ca="1">IF(B181=0,IF(E181=0,"",HYPERLINK("#"&amp;RIGHT(CELL("adresse",OFFSET(DMAV_Dienste!$M$6,E181-1,0)),LEN(CELL("adresse",OFFSET(DMAV_Dienste!$M$6,E181-1,0)))-FIND("]",CELL("adresse",OFFSET(DMAV_Dienste!$M$6,E181-1,0)))),"Dienst")),HYPERLINK("#"&amp;RIGHT(CELL("adresse",OFFSET(DMAV_Modell!$N$6,B181-1,0)),LEN(CELL("adresse",OFFSET(DMAV_Modell!$N$6,B181-1,0)))-FIND("]",CELL("adresse",OFFSET(DMAV_Modell!$N$6,B181-1,0)))),"Modell"))</f>
        <v>Dienst</v>
      </c>
      <c r="K181" s="61" t="str" cm="1">
        <f t="array" ref="K181">IF($B181=0,IF($E181=0,"",IF(INDEX(DMAV_Dienste!P$6:P$140,$E181)="","",INDEX(DMAV_Dienste!P$6:P$140,$E181))),IF(INDEX(DMAV_Modell!Q$6:Q$838,$B181)="","",INDEX(DMAV_Modell!Q$6:Q$838,$B181)))</f>
        <v>CLASS</v>
      </c>
      <c r="L181" s="62" t="str" cm="1">
        <f t="array" ref="L181">IF($B181=0,IF($E181=0,"",IF(INDEX(DMAV_Dienste!O$6:O$140,$E181)="","",INDEX(DMAV_Dienste!O$6:O$140,$E181))),IF(INDEX(DMAV_Modell!P$6:P$838,$B181)="","",INDEX(DMAV_Modell!P$6:P$838,$B181)))</f>
        <v>FPDS2</v>
      </c>
      <c r="M181" s="62" t="str" cm="1">
        <f t="array" ref="M181">IF($B181=0,IF($E181=0,"",IF(INDEX(DMAV_Dienste!Q$6:Q$140,$E181)="","",INDEX(DMAV_Dienste!Q$6:Q$140,$E181))),IF(INDEX(DMAV_Modell!R$6:R$838,$B181)="","",INDEX(DMAV_Modell!R$6:R$838,$B181)))</f>
        <v>FixpunktVersion</v>
      </c>
      <c r="N181" s="62" t="str" cm="1">
        <f t="array" ref="N181">IF($B181=0,IF($E181=0,"",IF(INDEX(DMAV_Dienste!T$6:T$140,$E181)="","",INDEX(DMAV_Dienste!T$6:T$140,$E181))),IF(INDEX(DMAV_Modell!U$6:U$838,$B181)="","",INDEX(DMAV_Modell!U$6:U$838,$B181)))</f>
        <v>Koordinatenbestimmung</v>
      </c>
      <c r="O181" s="63" t="str" cm="1">
        <f t="array" aca="1" ref="O181" ca="1">IF(C181=0,IF(F181=0,"",HYPERLINK("#"&amp;RIGHT(CELL("adresse",OFFSET(DMAV_Dienste!$M$6,F181-1,0)),LEN(CELL("adresse",OFFSET(DMAV_Dienste!$M$6,F181-1,0)))-FIND("]",CELL("adresse",OFFSET(DMAV_Dienste!$M$6,F181-1,0)))),"Structure")),HYPERLINK("#"&amp;RIGHT(CELL("adresse",OFFSET(DMAV_Modell!$N$6,C181-1,0)),LEN(CELL("adresse",OFFSET(DMAV_Modell!$N$6,C181-1,0)))-FIND("]",CELL("adresse",OFFSET(DMAV_Modell!$N$6,C181-1,0)))),"Structure"))</f>
        <v/>
      </c>
      <c r="P181" s="64" t="str" cm="1">
        <f t="array" aca="1" ref="P181" ca="1">IF(D181=0,IF(G181=0,"",HYPERLINK("#"&amp;RIGHT(CELL("adresse",OFFSET(DMAV_Dienste!$M$6,G181-1,0)),LEN(CELL("adresse",OFFSET(DMAV_Dienste!$M$6,G181-1,0)))-FIND("]",CELL("adresse",OFFSET(DMAV_Dienste!$M$6,G181-1,0)))),"Substructure")),HYPERLINK("#"&amp;RIGHT(CELL("adresse",OFFSET(DMAV_Modell!$N$6,D181-1,0)),LEN(CELL("adresse",OFFSET(DMAV_Modell!$N$6,D181-1,0)))-FIND("]",CELL("adresse",OFFSET(DMAV_Modell!$N$6,D181-1,0)))),"Substructure"))</f>
        <v/>
      </c>
      <c r="R181" s="80"/>
      <c r="T181" s="93"/>
      <c r="U181" s="94"/>
      <c r="V181" s="95"/>
      <c r="W181" s="96"/>
      <c r="Y181" s="85"/>
      <c r="Z181" s="86"/>
      <c r="AA181" s="87"/>
      <c r="AB181" s="88"/>
      <c r="AD181" s="77"/>
      <c r="AF181" s="54" t="str" cm="1">
        <f t="array" aca="1" ref="AF181" ca="1">IF(H181=0,"",HYPERLINK("#"&amp;RIGHT(CELL("adresse",OFFSET('DM01-AV-CH'!$G$6,H181-1,0)),LEN(CELL("adresse",OFFSET('DM01-AV-CH'!$G$6,H181-1,0)))-FIND("]",CELL("adresse",OFFSET('DM01-AV-CH'!$G$6,H181-1,0)))),"Modell"))</f>
        <v/>
      </c>
      <c r="AG181" s="72" t="str" cm="1">
        <f t="array" ref="AG181">IF($H181=0,"",IF(INDEX('DM01-AV-CH'!G$6:G$834,$H181)="","",INDEX('DM01-AV-CH'!G$6:G$834,$H181)))</f>
        <v/>
      </c>
      <c r="AH181" s="73" t="str" cm="1">
        <f t="array" ref="AH181">IF($H181=0,"",IF(INDEX('DM01-AV-CH'!H$6:H$834,$H181)="","",INDEX('DM01-AV-CH'!H$6:H$834,$H181)))</f>
        <v/>
      </c>
      <c r="AI181" s="74" t="str" cm="1">
        <f t="array" ref="AI181">IF($H181=0,"",IF(INDEX('DM01-AV-CH'!I$6:I$834,$H181)="","",INDEX('DM01-AV-CH'!I$6:I$834,$H181)))</f>
        <v/>
      </c>
    </row>
    <row r="182" spans="1:35" ht="28.5" x14ac:dyDescent="0.25">
      <c r="A182" s="57">
        <v>177</v>
      </c>
      <c r="B182" s="57">
        <f>IF($A182="","",IF(_xlfn.XLOOKUP($A182,Korrelation!$D$4:$D$1197,Korrelation!E$4:E$1197,"-",0)="-",0,MATCH(_xlfn.XLOOKUP($A182,Korrelation!$D$4:$D$1197,Korrelation!E$4:E$1197,"",0),DMAV_Modell!$G$6:$G$677,0)))</f>
        <v>0</v>
      </c>
      <c r="C182" s="57">
        <f>IF($A182="","",IF(_xlfn.XLOOKUP($A182,Korrelation!$D$4:$D$1197,Korrelation!F$4:F$1197,"-",0)="-",0,MATCH(_xlfn.XLOOKUP($A182,Korrelation!$D$4:$D$1197,Korrelation!F$4:F$1197,"",0),DMAV_Modell!$G$6:$G$677,0)))</f>
        <v>0</v>
      </c>
      <c r="D182" s="57">
        <f>IF($A182="","",IF(_xlfn.XLOOKUP($A182,Korrelation!$D$4:$D$1197,Korrelation!G$4:G$1197,"-",0)="-",0,MATCH(_xlfn.XLOOKUP($A182,Korrelation!$D$4:$D$1197,Korrelation!G$4:G$1197,"",0),DMAV_Modell!$G$6:$G$677,0)))</f>
        <v>0</v>
      </c>
      <c r="E182" s="57">
        <f>IF($A182="","",IF(_xlfn.XLOOKUP($A182,Korrelation!$D$4:$D$1197,Korrelation!H$4:H$1197,"-",0)="-",0,MATCH(_xlfn.XLOOKUP($A182,Korrelation!$D$4:$D$1197,Korrelation!H$4:H$1197,"",0),DMAV_Dienste!$F$6:$F$140,0)))</f>
        <v>103</v>
      </c>
      <c r="F182" s="57">
        <f>IF($A182="","",IF(_xlfn.XLOOKUP($A182,Korrelation!$D$4:$D$1197,Korrelation!I$4:I$1197,"-",0)="-",0,MATCH(_xlfn.XLOOKUP($A182,Korrelation!$D$4:$D$1197,Korrelation!I$4:I$1197,"",0),DMAV_Dienste!$F$6:$F$140,0)))</f>
        <v>0</v>
      </c>
      <c r="G182" s="57">
        <f>IF($A182="","",IF(_xlfn.XLOOKUP($A182,Korrelation!$D$4:$D$1197,Korrelation!J$4:J$1197,"-",0)="-",0,MATCH(_xlfn.XLOOKUP($A182,Korrelation!$D$4:$D$1197,Korrelation!J$4:J$1197,"",0),DMAV_Dienste!$F$6:$F$140,0)))</f>
        <v>0</v>
      </c>
      <c r="H182" s="57">
        <f>IF($A182="","",IF(_xlfn.XLOOKUP($A182,Korrelation!$D$4:$D$1197,Korrelation!K$4:K$1197,"-",0)="-",0,MATCH(_xlfn.XLOOKUP($A182,Korrelation!$D$4:$D$1197,Korrelation!K$4:K$1197,"",0),'DM01-AV-CH'!$A$6:$A$834,0)))</f>
        <v>92</v>
      </c>
      <c r="J182" s="54" t="str" cm="1">
        <f t="array" aca="1" ref="J182" ca="1">IF(B182=0,IF(E182=0,"",HYPERLINK("#"&amp;RIGHT(CELL("adresse",OFFSET(DMAV_Dienste!$M$6,E182-1,0)),LEN(CELL("adresse",OFFSET(DMAV_Dienste!$M$6,E182-1,0)))-FIND("]",CELL("adresse",OFFSET(DMAV_Dienste!$M$6,E182-1,0)))),"Dienst")),HYPERLINK("#"&amp;RIGHT(CELL("adresse",OFFSET(DMAV_Modell!$N$6,B182-1,0)),LEN(CELL("adresse",OFFSET(DMAV_Modell!$N$6,B182-1,0)))-FIND("]",CELL("adresse",OFFSET(DMAV_Modell!$N$6,B182-1,0)))),"Modell"))</f>
        <v>Dienst</v>
      </c>
      <c r="K182" s="61" t="str" cm="1">
        <f t="array" ref="K182">IF($B182=0,IF($E182=0,"",IF(INDEX(DMAV_Dienste!P$6:P$140,$E182)="","",INDEX(DMAV_Dienste!P$6:P$140,$E182))),IF(INDEX(DMAV_Modell!Q$6:Q$838,$B182)="","",INDEX(DMAV_Modell!Q$6:Q$838,$B182)))</f>
        <v>CLASS</v>
      </c>
      <c r="L182" s="62" t="str" cm="1">
        <f t="array" ref="L182">IF($B182=0,IF($E182=0,"",IF(INDEX(DMAV_Dienste!O$6:O$140,$E182)="","",INDEX(DMAV_Dienste!O$6:O$140,$E182))),IF(INDEX(DMAV_Modell!P$6:P$838,$B182)="","",INDEX(DMAV_Modell!P$6:P$838,$B182)))</f>
        <v>FPDS2</v>
      </c>
      <c r="M182" s="62" t="str" cm="1">
        <f t="array" ref="M182">IF($B182=0,IF($E182=0,"",IF(INDEX(DMAV_Dienste!Q$6:Q$140,$E182)="","",INDEX(DMAV_Dienste!Q$6:Q$140,$E182))),IF(INDEX(DMAV_Modell!R$6:R$838,$B182)="","",INDEX(DMAV_Modell!R$6:R$838,$B182)))</f>
        <v>FixpunktVersion</v>
      </c>
      <c r="N182" s="62" t="str" cm="1">
        <f t="array" ref="N182">IF($B182=0,IF($E182=0,"",IF(INDEX(DMAV_Dienste!T$6:T$140,$E182)="","",INDEX(DMAV_Dienste!T$6:T$140,$E182))),IF(INDEX(DMAV_Modell!U$6:U$838,$B182)="","",INDEX(DMAV_Modell!U$6:U$838,$B182)))</f>
        <v>LageGen</v>
      </c>
      <c r="O182" s="63" t="str" cm="1">
        <f t="array" aca="1" ref="O182" ca="1">IF(C182=0,IF(F182=0,"",HYPERLINK("#"&amp;RIGHT(CELL("adresse",OFFSET(DMAV_Dienste!$M$6,F182-1,0)),LEN(CELL("adresse",OFFSET(DMAV_Dienste!$M$6,F182-1,0)))-FIND("]",CELL("adresse",OFFSET(DMAV_Dienste!$M$6,F182-1,0)))),"Structure")),HYPERLINK("#"&amp;RIGHT(CELL("adresse",OFFSET(DMAV_Modell!$N$6,C182-1,0)),LEN(CELL("adresse",OFFSET(DMAV_Modell!$N$6,C182-1,0)))-FIND("]",CELL("adresse",OFFSET(DMAV_Modell!$N$6,C182-1,0)))),"Structure"))</f>
        <v/>
      </c>
      <c r="P182" s="64" t="str" cm="1">
        <f t="array" aca="1" ref="P182" ca="1">IF(D182=0,IF(G182=0,"",HYPERLINK("#"&amp;RIGHT(CELL("adresse",OFFSET(DMAV_Dienste!$M$6,G182-1,0)),LEN(CELL("adresse",OFFSET(DMAV_Dienste!$M$6,G182-1,0)))-FIND("]",CELL("adresse",OFFSET(DMAV_Dienste!$M$6,G182-1,0)))),"Substructure")),HYPERLINK("#"&amp;RIGHT(CELL("adresse",OFFSET(DMAV_Modell!$N$6,D182-1,0)),LEN(CELL("adresse",OFFSET(DMAV_Modell!$N$6,D182-1,0)))-FIND("]",CELL("adresse",OFFSET(DMAV_Modell!$N$6,D182-1,0)))),"Substructure"))</f>
        <v/>
      </c>
      <c r="R182" s="80"/>
      <c r="T182" s="93"/>
      <c r="U182" s="94"/>
      <c r="V182" s="95"/>
      <c r="W182" s="96"/>
      <c r="Y182" s="85" t="s">
        <v>5873</v>
      </c>
      <c r="Z182" s="86"/>
      <c r="AA182" s="87"/>
      <c r="AB182" s="88"/>
      <c r="AD182" s="77"/>
      <c r="AF182" s="54" t="str" cm="1">
        <f t="array" aca="1" ref="AF182" ca="1">IF(H182=0,"",HYPERLINK("#"&amp;RIGHT(CELL("adresse",OFFSET('DM01-AV-CH'!$G$6,H182-1,0)),LEN(CELL("adresse",OFFSET('DM01-AV-CH'!$G$6,H182-1,0)))-FIND("]",CELL("adresse",OFFSET('DM01-AV-CH'!$G$6,H182-1,0)))),"Modell"))</f>
        <v>Modell</v>
      </c>
      <c r="AG182" s="72" t="str" cm="1">
        <f t="array" ref="AG182">IF($H182=0,"",IF(INDEX('DM01-AV-CH'!G$6:G$834,$H182)="","",INDEX('DM01-AV-CH'!G$6:G$834,$H182)))</f>
        <v>FixpunkteKategorie2</v>
      </c>
      <c r="AH182" s="73" t="str" cm="1">
        <f t="array" ref="AH182">IF($H182=0,"",IF(INDEX('DM01-AV-CH'!H$6:H$834,$H182)="","",INDEX('DM01-AV-CH'!H$6:H$834,$H182)))</f>
        <v>LFP2</v>
      </c>
      <c r="AI182" s="74" t="str" cm="1">
        <f t="array" ref="AI182">IF($H182=0,"",IF(INDEX('DM01-AV-CH'!I$6:I$834,$H182)="","",INDEX('DM01-AV-CH'!I$6:I$834,$H182)))</f>
        <v>LageGen</v>
      </c>
    </row>
    <row r="183" spans="1:35" ht="28.5" x14ac:dyDescent="0.25">
      <c r="A183" s="57">
        <v>178</v>
      </c>
      <c r="B183" s="57">
        <f>IF($A183="","",IF(_xlfn.XLOOKUP($A183,Korrelation!$D$4:$D$1197,Korrelation!E$4:E$1197,"-",0)="-",0,MATCH(_xlfn.XLOOKUP($A183,Korrelation!$D$4:$D$1197,Korrelation!E$4:E$1197,"",0),DMAV_Modell!$G$6:$G$677,0)))</f>
        <v>0</v>
      </c>
      <c r="C183" s="57">
        <f>IF($A183="","",IF(_xlfn.XLOOKUP($A183,Korrelation!$D$4:$D$1197,Korrelation!F$4:F$1197,"-",0)="-",0,MATCH(_xlfn.XLOOKUP($A183,Korrelation!$D$4:$D$1197,Korrelation!F$4:F$1197,"",0),DMAV_Modell!$G$6:$G$677,0)))</f>
        <v>0</v>
      </c>
      <c r="D183" s="57">
        <f>IF($A183="","",IF(_xlfn.XLOOKUP($A183,Korrelation!$D$4:$D$1197,Korrelation!G$4:G$1197,"-",0)="-",0,MATCH(_xlfn.XLOOKUP($A183,Korrelation!$D$4:$D$1197,Korrelation!G$4:G$1197,"",0),DMAV_Modell!$G$6:$G$677,0)))</f>
        <v>0</v>
      </c>
      <c r="E183" s="57">
        <f>IF($A183="","",IF(_xlfn.XLOOKUP($A183,Korrelation!$D$4:$D$1197,Korrelation!H$4:H$1197,"-",0)="-",0,MATCH(_xlfn.XLOOKUP($A183,Korrelation!$D$4:$D$1197,Korrelation!H$4:H$1197,"",0),DMAV_Dienste!$F$6:$F$140,0)))</f>
        <v>104</v>
      </c>
      <c r="F183" s="57">
        <f>IF($A183="","",IF(_xlfn.XLOOKUP($A183,Korrelation!$D$4:$D$1197,Korrelation!I$4:I$1197,"-",0)="-",0,MATCH(_xlfn.XLOOKUP($A183,Korrelation!$D$4:$D$1197,Korrelation!I$4:I$1197,"",0),DMAV_Dienste!$F$6:$F$140,0)))</f>
        <v>0</v>
      </c>
      <c r="G183" s="57">
        <f>IF($A183="","",IF(_xlfn.XLOOKUP($A183,Korrelation!$D$4:$D$1197,Korrelation!J$4:J$1197,"-",0)="-",0,MATCH(_xlfn.XLOOKUP($A183,Korrelation!$D$4:$D$1197,Korrelation!J$4:J$1197,"",0),DMAV_Dienste!$F$6:$F$140,0)))</f>
        <v>0</v>
      </c>
      <c r="H183" s="57">
        <f>IF($A183="","",IF(_xlfn.XLOOKUP($A183,Korrelation!$D$4:$D$1197,Korrelation!K$4:K$1197,"-",0)="-",0,MATCH(_xlfn.XLOOKUP($A183,Korrelation!$D$4:$D$1197,Korrelation!K$4:K$1197,"",0),'DM01-AV-CH'!$A$6:$A$834,0)))</f>
        <v>93</v>
      </c>
      <c r="J183" s="54" t="str" cm="1">
        <f t="array" aca="1" ref="J183" ca="1">IF(B183=0,IF(E183=0,"",HYPERLINK("#"&amp;RIGHT(CELL("adresse",OFFSET(DMAV_Dienste!$M$6,E183-1,0)),LEN(CELL("adresse",OFFSET(DMAV_Dienste!$M$6,E183-1,0)))-FIND("]",CELL("adresse",OFFSET(DMAV_Dienste!$M$6,E183-1,0)))),"Dienst")),HYPERLINK("#"&amp;RIGHT(CELL("adresse",OFFSET(DMAV_Modell!$N$6,B183-1,0)),LEN(CELL("adresse",OFFSET(DMAV_Modell!$N$6,B183-1,0)))-FIND("]",CELL("adresse",OFFSET(DMAV_Modell!$N$6,B183-1,0)))),"Modell"))</f>
        <v>Dienst</v>
      </c>
      <c r="K183" s="61" t="str" cm="1">
        <f t="array" ref="K183">IF($B183=0,IF($E183=0,"",IF(INDEX(DMAV_Dienste!P$6:P$140,$E183)="","",INDEX(DMAV_Dienste!P$6:P$140,$E183))),IF(INDEX(DMAV_Modell!Q$6:Q$838,$B183)="","",INDEX(DMAV_Modell!Q$6:Q$838,$B183)))</f>
        <v>CLASS</v>
      </c>
      <c r="L183" s="62" t="str" cm="1">
        <f t="array" ref="L183">IF($B183=0,IF($E183=0,"",IF(INDEX(DMAV_Dienste!O$6:O$140,$E183)="","",INDEX(DMAV_Dienste!O$6:O$140,$E183))),IF(INDEX(DMAV_Modell!P$6:P$838,$B183)="","",INDEX(DMAV_Modell!P$6:P$838,$B183)))</f>
        <v>FPDS2</v>
      </c>
      <c r="M183" s="62" t="str" cm="1">
        <f t="array" ref="M183">IF($B183=0,IF($E183=0,"",IF(INDEX(DMAV_Dienste!Q$6:Q$140,$E183)="","",INDEX(DMAV_Dienste!Q$6:Q$140,$E183))),IF(INDEX(DMAV_Modell!R$6:R$838,$B183)="","",INDEX(DMAV_Modell!R$6:R$838,$B183)))</f>
        <v>FixpunktVersion</v>
      </c>
      <c r="N183" s="62" t="str" cm="1">
        <f t="array" ref="N183">IF($B183=0,IF($E183=0,"",IF(INDEX(DMAV_Dienste!T$6:T$140,$E183)="","",INDEX(DMAV_Dienste!T$6:T$140,$E183))),IF(INDEX(DMAV_Modell!U$6:U$838,$B183)="","",INDEX(DMAV_Modell!U$6:U$838,$B183)))</f>
        <v>LageZuv</v>
      </c>
      <c r="O183" s="63" t="str" cm="1">
        <f t="array" aca="1" ref="O183" ca="1">IF(C183=0,IF(F183=0,"",HYPERLINK("#"&amp;RIGHT(CELL("adresse",OFFSET(DMAV_Dienste!$M$6,F183-1,0)),LEN(CELL("adresse",OFFSET(DMAV_Dienste!$M$6,F183-1,0)))-FIND("]",CELL("adresse",OFFSET(DMAV_Dienste!$M$6,F183-1,0)))),"Structure")),HYPERLINK("#"&amp;RIGHT(CELL("adresse",OFFSET(DMAV_Modell!$N$6,C183-1,0)),LEN(CELL("adresse",OFFSET(DMAV_Modell!$N$6,C183-1,0)))-FIND("]",CELL("adresse",OFFSET(DMAV_Modell!$N$6,C183-1,0)))),"Structure"))</f>
        <v/>
      </c>
      <c r="P183" s="64" t="str" cm="1">
        <f t="array" aca="1" ref="P183" ca="1">IF(D183=0,IF(G183=0,"",HYPERLINK("#"&amp;RIGHT(CELL("adresse",OFFSET(DMAV_Dienste!$M$6,G183-1,0)),LEN(CELL("adresse",OFFSET(DMAV_Dienste!$M$6,G183-1,0)))-FIND("]",CELL("adresse",OFFSET(DMAV_Dienste!$M$6,G183-1,0)))),"Substructure")),HYPERLINK("#"&amp;RIGHT(CELL("adresse",OFFSET(DMAV_Modell!$N$6,D183-1,0)),LEN(CELL("adresse",OFFSET(DMAV_Modell!$N$6,D183-1,0)))-FIND("]",CELL("adresse",OFFSET(DMAV_Modell!$N$6,D183-1,0)))),"Substructure"))</f>
        <v/>
      </c>
      <c r="R183" s="80"/>
      <c r="T183" s="93"/>
      <c r="U183" s="94"/>
      <c r="V183" s="95"/>
      <c r="W183" s="96"/>
      <c r="Y183" s="85" t="s">
        <v>5873</v>
      </c>
      <c r="Z183" s="86"/>
      <c r="AA183" s="87"/>
      <c r="AB183" s="88"/>
      <c r="AD183" s="77"/>
      <c r="AF183" s="54" t="str" cm="1">
        <f t="array" aca="1" ref="AF183" ca="1">IF(H183=0,"",HYPERLINK("#"&amp;RIGHT(CELL("adresse",OFFSET('DM01-AV-CH'!$G$6,H183-1,0)),LEN(CELL("adresse",OFFSET('DM01-AV-CH'!$G$6,H183-1,0)))-FIND("]",CELL("adresse",OFFSET('DM01-AV-CH'!$G$6,H183-1,0)))),"Modell"))</f>
        <v>Modell</v>
      </c>
      <c r="AG183" s="72" t="str" cm="1">
        <f t="array" ref="AG183">IF($H183=0,"",IF(INDEX('DM01-AV-CH'!G$6:G$834,$H183)="","",INDEX('DM01-AV-CH'!G$6:G$834,$H183)))</f>
        <v>FixpunkteKategorie2</v>
      </c>
      <c r="AH183" s="73" t="str" cm="1">
        <f t="array" ref="AH183">IF($H183=0,"",IF(INDEX('DM01-AV-CH'!H$6:H$834,$H183)="","",INDEX('DM01-AV-CH'!H$6:H$834,$H183)))</f>
        <v>LFP2</v>
      </c>
      <c r="AI183" s="74" t="str" cm="1">
        <f t="array" ref="AI183">IF($H183=0,"",IF(INDEX('DM01-AV-CH'!I$6:I$834,$H183)="","",INDEX('DM01-AV-CH'!I$6:I$834,$H183)))</f>
        <v>LageZuv</v>
      </c>
    </row>
    <row r="184" spans="1:35" ht="270.75" x14ac:dyDescent="0.25">
      <c r="A184" s="57">
        <v>179</v>
      </c>
      <c r="B184" s="57">
        <f>IF($A184="","",IF(_xlfn.XLOOKUP($A184,Korrelation!$D$4:$D$1197,Korrelation!E$4:E$1197,"-",0)="-",0,MATCH(_xlfn.XLOOKUP($A184,Korrelation!$D$4:$D$1197,Korrelation!E$4:E$1197,"",0),DMAV_Modell!$G$6:$G$677,0)))</f>
        <v>0</v>
      </c>
      <c r="C184" s="57">
        <f>IF($A184="","",IF(_xlfn.XLOOKUP($A184,Korrelation!$D$4:$D$1197,Korrelation!F$4:F$1197,"-",0)="-",0,MATCH(_xlfn.XLOOKUP($A184,Korrelation!$D$4:$D$1197,Korrelation!F$4:F$1197,"",0),DMAV_Modell!$G$6:$G$677,0)))</f>
        <v>0</v>
      </c>
      <c r="D184" s="57">
        <f>IF($A184="","",IF(_xlfn.XLOOKUP($A184,Korrelation!$D$4:$D$1197,Korrelation!G$4:G$1197,"-",0)="-",0,MATCH(_xlfn.XLOOKUP($A184,Korrelation!$D$4:$D$1197,Korrelation!G$4:G$1197,"",0),DMAV_Modell!$G$6:$G$677,0)))</f>
        <v>0</v>
      </c>
      <c r="E184" s="57">
        <f>IF($A184="","",IF(_xlfn.XLOOKUP($A184,Korrelation!$D$4:$D$1197,Korrelation!H$4:H$1197,"-",0)="-",0,MATCH(_xlfn.XLOOKUP($A184,Korrelation!$D$4:$D$1197,Korrelation!H$4:H$1197,"",0),DMAV_Dienste!$F$6:$F$140,0)))</f>
        <v>105</v>
      </c>
      <c r="F184" s="57">
        <f>IF($A184="","",IF(_xlfn.XLOOKUP($A184,Korrelation!$D$4:$D$1197,Korrelation!I$4:I$1197,"-",0)="-",0,MATCH(_xlfn.XLOOKUP($A184,Korrelation!$D$4:$D$1197,Korrelation!I$4:I$1197,"",0),DMAV_Dienste!$F$6:$F$140,0)))</f>
        <v>0</v>
      </c>
      <c r="G184" s="57">
        <f>IF($A184="","",IF(_xlfn.XLOOKUP($A184,Korrelation!$D$4:$D$1197,Korrelation!J$4:J$1197,"-",0)="-",0,MATCH(_xlfn.XLOOKUP($A184,Korrelation!$D$4:$D$1197,Korrelation!J$4:J$1197,"",0),DMAV_Dienste!$F$6:$F$140,0)))</f>
        <v>0</v>
      </c>
      <c r="H184" s="57">
        <f>IF($A184="","",IF(_xlfn.XLOOKUP($A184,Korrelation!$D$4:$D$1197,Korrelation!K$4:K$1197,"-",0)="-",0,MATCH(_xlfn.XLOOKUP($A184,Korrelation!$D$4:$D$1197,Korrelation!K$4:K$1197,"",0),'DM01-AV-CH'!$A$6:$A$834,0)))</f>
        <v>97</v>
      </c>
      <c r="J184" s="54" t="str" cm="1">
        <f t="array" aca="1" ref="J184" ca="1">IF(B184=0,IF(E184=0,"",HYPERLINK("#"&amp;RIGHT(CELL("adresse",OFFSET(DMAV_Dienste!$M$6,E184-1,0)),LEN(CELL("adresse",OFFSET(DMAV_Dienste!$M$6,E184-1,0)))-FIND("]",CELL("adresse",OFFSET(DMAV_Dienste!$M$6,E184-1,0)))),"Dienst")),HYPERLINK("#"&amp;RIGHT(CELL("adresse",OFFSET(DMAV_Modell!$N$6,B184-1,0)),LEN(CELL("adresse",OFFSET(DMAV_Modell!$N$6,B184-1,0)))-FIND("]",CELL("adresse",OFFSET(DMAV_Modell!$N$6,B184-1,0)))),"Modell"))</f>
        <v>Dienst</v>
      </c>
      <c r="K184" s="61" t="str" cm="1">
        <f t="array" ref="K184">IF($B184=0,IF($E184=0,"",IF(INDEX(DMAV_Dienste!P$6:P$140,$E184)="","",INDEX(DMAV_Dienste!P$6:P$140,$E184))),IF(INDEX(DMAV_Modell!Q$6:Q$838,$B184)="","",INDEX(DMAV_Modell!Q$6:Q$838,$B184)))</f>
        <v>CLASS</v>
      </c>
      <c r="L184" s="62" t="str" cm="1">
        <f t="array" ref="L184">IF($B184=0,IF($E184=0,"",IF(INDEX(DMAV_Dienste!O$6:O$140,$E184)="","",INDEX(DMAV_Dienste!O$6:O$140,$E184))),IF(INDEX(DMAV_Modell!P$6:P$838,$B184)="","",INDEX(DMAV_Modell!P$6:P$838,$B184)))</f>
        <v>FPDS2</v>
      </c>
      <c r="M184" s="62" t="str" cm="1">
        <f t="array" ref="M184">IF($B184=0,IF($E184=0,"",IF(INDEX(DMAV_Dienste!Q$6:Q$140,$E184)="","",INDEX(DMAV_Dienste!Q$6:Q$140,$E184))),IF(INDEX(DMAV_Modell!R$6:R$838,$B184)="","",INDEX(DMAV_Modell!R$6:R$838,$B184)))</f>
        <v>FixpunktVersion</v>
      </c>
      <c r="N184" s="62" t="str" cm="1">
        <f t="array" ref="N184">IF($B184=0,IF($E184=0,"",IF(INDEX(DMAV_Dienste!T$6:T$140,$E184)="","",INDEX(DMAV_Dienste!T$6:T$140,$E184))),IF(INDEX(DMAV_Modell!U$6:U$838,$B184)="","",INDEX(DMAV_Modell!U$6:U$838,$B184)))</f>
        <v>Punktzeichen</v>
      </c>
      <c r="O184" s="63" t="str" cm="1">
        <f t="array" aca="1" ref="O184" ca="1">IF(C184=0,IF(F184=0,"",HYPERLINK("#"&amp;RIGHT(CELL("adresse",OFFSET(DMAV_Dienste!$M$6,F184-1,0)),LEN(CELL("adresse",OFFSET(DMAV_Dienste!$M$6,F184-1,0)))-FIND("]",CELL("adresse",OFFSET(DMAV_Dienste!$M$6,F184-1,0)))),"Structure")),HYPERLINK("#"&amp;RIGHT(CELL("adresse",OFFSET(DMAV_Modell!$N$6,C184-1,0)),LEN(CELL("adresse",OFFSET(DMAV_Modell!$N$6,C184-1,0)))-FIND("]",CELL("adresse",OFFSET(DMAV_Modell!$N$6,C184-1,0)))),"Structure"))</f>
        <v/>
      </c>
      <c r="P184" s="64" t="str" cm="1">
        <f t="array" aca="1" ref="P184" ca="1">IF(D184=0,IF(G184=0,"",HYPERLINK("#"&amp;RIGHT(CELL("adresse",OFFSET(DMAV_Dienste!$M$6,G184-1,0)),LEN(CELL("adresse",OFFSET(DMAV_Dienste!$M$6,G184-1,0)))-FIND("]",CELL("adresse",OFFSET(DMAV_Dienste!$M$6,G184-1,0)))),"Substructure")),HYPERLINK("#"&amp;RIGHT(CELL("adresse",OFFSET(DMAV_Modell!$N$6,D184-1,0)),LEN(CELL("adresse",OFFSET(DMAV_Modell!$N$6,D184-1,0)))-FIND("]",CELL("adresse",OFFSET(DMAV_Modell!$N$6,D184-1,0)))),"Substructure"))</f>
        <v/>
      </c>
      <c r="R184" s="80"/>
      <c r="T184" s="93"/>
      <c r="U184" s="94"/>
      <c r="V184" s="95"/>
      <c r="W184" s="96"/>
      <c r="Y184" s="85" t="s">
        <v>5873</v>
      </c>
      <c r="Z184" s="86"/>
      <c r="AA184" s="87"/>
      <c r="AB184" s="88"/>
      <c r="AD184" s="77" t="s">
        <v>3604</v>
      </c>
      <c r="AF184" s="54" t="str" cm="1">
        <f t="array" aca="1" ref="AF184" ca="1">IF(H184=0,"",HYPERLINK("#"&amp;RIGHT(CELL("adresse",OFFSET('DM01-AV-CH'!$G$6,H184-1,0)),LEN(CELL("adresse",OFFSET('DM01-AV-CH'!$G$6,H184-1,0)))-FIND("]",CELL("adresse",OFFSET('DM01-AV-CH'!$G$6,H184-1,0)))),"Modell"))</f>
        <v>Modell</v>
      </c>
      <c r="AG184" s="72" t="str" cm="1">
        <f t="array" ref="AG184">IF($H184=0,"",IF(INDEX('DM01-AV-CH'!G$6:G$834,$H184)="","",INDEX('DM01-AV-CH'!G$6:G$834,$H184)))</f>
        <v>FixpunkteKategorie2</v>
      </c>
      <c r="AH184" s="73" t="str" cm="1">
        <f t="array" ref="AH184">IF($H184=0,"",IF(INDEX('DM01-AV-CH'!H$6:H$834,$H184)="","",INDEX('DM01-AV-CH'!H$6:H$834,$H184)))</f>
        <v>LFP2</v>
      </c>
      <c r="AI184" s="74" t="str" cm="1">
        <f t="array" ref="AI184">IF($H184=0,"",IF(INDEX('DM01-AV-CH'!I$6:I$834,$H184)="","",INDEX('DM01-AV-CH'!I$6:I$834,$H184)))</f>
        <v>Punktzeichen</v>
      </c>
    </row>
    <row r="185" spans="1:35" x14ac:dyDescent="0.25">
      <c r="A185" s="57">
        <v>180</v>
      </c>
      <c r="B185" s="57">
        <f>IF($A185="","",IF(_xlfn.XLOOKUP($A185,Korrelation!$D$4:$D$1197,Korrelation!E$4:E$1197,"-",0)="-",0,MATCH(_xlfn.XLOOKUP($A185,Korrelation!$D$4:$D$1197,Korrelation!E$4:E$1197,"",0),DMAV_Modell!$G$6:$G$677,0)))</f>
        <v>0</v>
      </c>
      <c r="C185" s="57">
        <f>IF($A185="","",IF(_xlfn.XLOOKUP($A185,Korrelation!$D$4:$D$1197,Korrelation!F$4:F$1197,"-",0)="-",0,MATCH(_xlfn.XLOOKUP($A185,Korrelation!$D$4:$D$1197,Korrelation!F$4:F$1197,"",0),DMAV_Modell!$G$6:$G$677,0)))</f>
        <v>0</v>
      </c>
      <c r="D185" s="57">
        <f>IF($A185="","",IF(_xlfn.XLOOKUP($A185,Korrelation!$D$4:$D$1197,Korrelation!G$4:G$1197,"-",0)="-",0,MATCH(_xlfn.XLOOKUP($A185,Korrelation!$D$4:$D$1197,Korrelation!G$4:G$1197,"",0),DMAV_Modell!$G$6:$G$677,0)))</f>
        <v>0</v>
      </c>
      <c r="E185" s="57">
        <f>IF($A185="","",IF(_xlfn.XLOOKUP($A185,Korrelation!$D$4:$D$1197,Korrelation!H$4:H$1197,"-",0)="-",0,MATCH(_xlfn.XLOOKUP($A185,Korrelation!$D$4:$D$1197,Korrelation!H$4:H$1197,"",0),DMAV_Dienste!$F$6:$F$140,0)))</f>
        <v>106</v>
      </c>
      <c r="F185" s="57">
        <f>IF($A185="","",IF(_xlfn.XLOOKUP($A185,Korrelation!$D$4:$D$1197,Korrelation!I$4:I$1197,"-",0)="-",0,MATCH(_xlfn.XLOOKUP($A185,Korrelation!$D$4:$D$1197,Korrelation!I$4:I$1197,"",0),DMAV_Dienste!$F$6:$F$140,0)))</f>
        <v>0</v>
      </c>
      <c r="G185" s="57">
        <f>IF($A185="","",IF(_xlfn.XLOOKUP($A185,Korrelation!$D$4:$D$1197,Korrelation!J$4:J$1197,"-",0)="-",0,MATCH(_xlfn.XLOOKUP($A185,Korrelation!$D$4:$D$1197,Korrelation!J$4:J$1197,"",0),DMAV_Dienste!$F$6:$F$140,0)))</f>
        <v>0</v>
      </c>
      <c r="H185" s="57">
        <f>IF($A185="","",IF(_xlfn.XLOOKUP($A185,Korrelation!$D$4:$D$1197,Korrelation!K$4:K$1197,"-",0)="-",0,MATCH(_xlfn.XLOOKUP($A185,Korrelation!$D$4:$D$1197,Korrelation!K$4:K$1197,"",0),'DM01-AV-CH'!$A$6:$A$834,0)))</f>
        <v>0</v>
      </c>
      <c r="J185" s="54" t="str" cm="1">
        <f t="array" aca="1" ref="J185" ca="1">IF(B185=0,IF(E185=0,"",HYPERLINK("#"&amp;RIGHT(CELL("adresse",OFFSET(DMAV_Dienste!$M$6,E185-1,0)),LEN(CELL("adresse",OFFSET(DMAV_Dienste!$M$6,E185-1,0)))-FIND("]",CELL("adresse",OFFSET(DMAV_Dienste!$M$6,E185-1,0)))),"Dienst")),HYPERLINK("#"&amp;RIGHT(CELL("adresse",OFFSET(DMAV_Modell!$N$6,B185-1,0)),LEN(CELL("adresse",OFFSET(DMAV_Modell!$N$6,B185-1,0)))-FIND("]",CELL("adresse",OFFSET(DMAV_Modell!$N$6,B185-1,0)))),"Modell"))</f>
        <v>Dienst</v>
      </c>
      <c r="K185" s="61" t="str" cm="1">
        <f t="array" ref="K185">IF($B185=0,IF($E185=0,"",IF(INDEX(DMAV_Dienste!P$6:P$140,$E185)="","",INDEX(DMAV_Dienste!P$6:P$140,$E185))),IF(INDEX(DMAV_Modell!Q$6:Q$838,$B185)="","",INDEX(DMAV_Modell!Q$6:Q$838,$B185)))</f>
        <v>CLASS</v>
      </c>
      <c r="L185" s="62" t="str" cm="1">
        <f t="array" ref="L185">IF($B185=0,IF($E185=0,"",IF(INDEX(DMAV_Dienste!O$6:O$140,$E185)="","",INDEX(DMAV_Dienste!O$6:O$140,$E185))),IF(INDEX(DMAV_Modell!P$6:P$838,$B185)="","",INDEX(DMAV_Modell!P$6:P$838,$B185)))</f>
        <v>FPDS2</v>
      </c>
      <c r="M185" s="62" t="str" cm="1">
        <f t="array" ref="M185">IF($B185=0,IF($E185=0,"",IF(INDEX(DMAV_Dienste!Q$6:Q$140,$E185)="","",INDEX(DMAV_Dienste!Q$6:Q$140,$E185))),IF(INDEX(DMAV_Modell!R$6:R$838,$B185)="","",INDEX(DMAV_Modell!R$6:R$838,$B185)))</f>
        <v>FixpunktVersion</v>
      </c>
      <c r="N185" s="62" t="str" cm="1">
        <f t="array" ref="N185">IF($B185=0,IF($E185=0,"",IF(INDEX(DMAV_Dienste!T$6:T$140,$E185)="","",INDEX(DMAV_Dienste!T$6:T$140,$E185))),IF(INDEX(DMAV_Modell!U$6:U$838,$B185)="","",INDEX(DMAV_Modell!U$6:U$838,$B185)))</f>
        <v>Punktzeichenbeschreibung</v>
      </c>
      <c r="O185" s="63" t="str" cm="1">
        <f t="array" aca="1" ref="O185" ca="1">IF(C185=0,IF(F185=0,"",HYPERLINK("#"&amp;RIGHT(CELL("adresse",OFFSET(DMAV_Dienste!$M$6,F185-1,0)),LEN(CELL("adresse",OFFSET(DMAV_Dienste!$M$6,F185-1,0)))-FIND("]",CELL("adresse",OFFSET(DMAV_Dienste!$M$6,F185-1,0)))),"Structure")),HYPERLINK("#"&amp;RIGHT(CELL("adresse",OFFSET(DMAV_Modell!$N$6,C185-1,0)),LEN(CELL("adresse",OFFSET(DMAV_Modell!$N$6,C185-1,0)))-FIND("]",CELL("adresse",OFFSET(DMAV_Modell!$N$6,C185-1,0)))),"Structure"))</f>
        <v/>
      </c>
      <c r="P185" s="64" t="str" cm="1">
        <f t="array" aca="1" ref="P185" ca="1">IF(D185=0,IF(G185=0,"",HYPERLINK("#"&amp;RIGHT(CELL("adresse",OFFSET(DMAV_Dienste!$M$6,G185-1,0)),LEN(CELL("adresse",OFFSET(DMAV_Dienste!$M$6,G185-1,0)))-FIND("]",CELL("adresse",OFFSET(DMAV_Dienste!$M$6,G185-1,0)))),"Substructure")),HYPERLINK("#"&amp;RIGHT(CELL("adresse",OFFSET(DMAV_Modell!$N$6,D185-1,0)),LEN(CELL("adresse",OFFSET(DMAV_Modell!$N$6,D185-1,0)))-FIND("]",CELL("adresse",OFFSET(DMAV_Modell!$N$6,D185-1,0)))),"Substructure"))</f>
        <v/>
      </c>
      <c r="R185" s="80"/>
      <c r="T185" s="93"/>
      <c r="U185" s="94"/>
      <c r="V185" s="95"/>
      <c r="W185" s="96"/>
      <c r="Y185" s="85"/>
      <c r="Z185" s="86"/>
      <c r="AA185" s="87"/>
      <c r="AB185" s="88"/>
      <c r="AD185" s="77"/>
      <c r="AF185" s="54" t="str" cm="1">
        <f t="array" aca="1" ref="AF185" ca="1">IF(H185=0,"",HYPERLINK("#"&amp;RIGHT(CELL("adresse",OFFSET('DM01-AV-CH'!$G$6,H185-1,0)),LEN(CELL("adresse",OFFSET('DM01-AV-CH'!$G$6,H185-1,0)))-FIND("]",CELL("adresse",OFFSET('DM01-AV-CH'!$G$6,H185-1,0)))),"Modell"))</f>
        <v/>
      </c>
      <c r="AG185" s="72" t="str" cm="1">
        <f t="array" ref="AG185">IF($H185=0,"",IF(INDEX('DM01-AV-CH'!G$6:G$834,$H185)="","",INDEX('DM01-AV-CH'!G$6:G$834,$H185)))</f>
        <v/>
      </c>
      <c r="AH185" s="73" t="str" cm="1">
        <f t="array" ref="AH185">IF($H185=0,"",IF(INDEX('DM01-AV-CH'!H$6:H$834,$H185)="","",INDEX('DM01-AV-CH'!H$6:H$834,$H185)))</f>
        <v/>
      </c>
      <c r="AI185" s="74" t="str" cm="1">
        <f t="array" ref="AI185">IF($H185=0,"",IF(INDEX('DM01-AV-CH'!I$6:I$834,$H185)="","",INDEX('DM01-AV-CH'!I$6:I$834,$H185)))</f>
        <v/>
      </c>
    </row>
    <row r="186" spans="1:35" x14ac:dyDescent="0.25">
      <c r="A186" s="57">
        <v>181</v>
      </c>
      <c r="B186" s="57">
        <f>IF($A186="","",IF(_xlfn.XLOOKUP($A186,Korrelation!$D$4:$D$1197,Korrelation!E$4:E$1197,"-",0)="-",0,MATCH(_xlfn.XLOOKUP($A186,Korrelation!$D$4:$D$1197,Korrelation!E$4:E$1197,"",0),DMAV_Modell!$G$6:$G$677,0)))</f>
        <v>0</v>
      </c>
      <c r="C186" s="57">
        <f>IF($A186="","",IF(_xlfn.XLOOKUP($A186,Korrelation!$D$4:$D$1197,Korrelation!F$4:F$1197,"-",0)="-",0,MATCH(_xlfn.XLOOKUP($A186,Korrelation!$D$4:$D$1197,Korrelation!F$4:F$1197,"",0),DMAV_Modell!$G$6:$G$677,0)))</f>
        <v>0</v>
      </c>
      <c r="D186" s="57">
        <f>IF($A186="","",IF(_xlfn.XLOOKUP($A186,Korrelation!$D$4:$D$1197,Korrelation!G$4:G$1197,"-",0)="-",0,MATCH(_xlfn.XLOOKUP($A186,Korrelation!$D$4:$D$1197,Korrelation!G$4:G$1197,"",0),DMAV_Modell!$G$6:$G$677,0)))</f>
        <v>0</v>
      </c>
      <c r="E186" s="57">
        <f>IF($A186="","",IF(_xlfn.XLOOKUP($A186,Korrelation!$D$4:$D$1197,Korrelation!H$4:H$1197,"-",0)="-",0,MATCH(_xlfn.XLOOKUP($A186,Korrelation!$D$4:$D$1197,Korrelation!H$4:H$1197,"",0),DMAV_Dienste!$F$6:$F$140,0)))</f>
        <v>107</v>
      </c>
      <c r="F186" s="57">
        <f>IF($A186="","",IF(_xlfn.XLOOKUP($A186,Korrelation!$D$4:$D$1197,Korrelation!I$4:I$1197,"-",0)="-",0,MATCH(_xlfn.XLOOKUP($A186,Korrelation!$D$4:$D$1197,Korrelation!I$4:I$1197,"",0),DMAV_Dienste!$F$6:$F$140,0)))</f>
        <v>0</v>
      </c>
      <c r="G186" s="57">
        <f>IF($A186="","",IF(_xlfn.XLOOKUP($A186,Korrelation!$D$4:$D$1197,Korrelation!J$4:J$1197,"-",0)="-",0,MATCH(_xlfn.XLOOKUP($A186,Korrelation!$D$4:$D$1197,Korrelation!J$4:J$1197,"",0),DMAV_Dienste!$F$6:$F$140,0)))</f>
        <v>0</v>
      </c>
      <c r="H186" s="57">
        <f>IF($A186="","",IF(_xlfn.XLOOKUP($A186,Korrelation!$D$4:$D$1197,Korrelation!K$4:K$1197,"-",0)="-",0,MATCH(_xlfn.XLOOKUP($A186,Korrelation!$D$4:$D$1197,Korrelation!K$4:K$1197,"",0),'DM01-AV-CH'!$A$6:$A$834,0)))</f>
        <v>0</v>
      </c>
      <c r="J186" s="54" t="str" cm="1">
        <f t="array" aca="1" ref="J186" ca="1">IF(B186=0,IF(E186=0,"",HYPERLINK("#"&amp;RIGHT(CELL("adresse",OFFSET(DMAV_Dienste!$M$6,E186-1,0)),LEN(CELL("adresse",OFFSET(DMAV_Dienste!$M$6,E186-1,0)))-FIND("]",CELL("adresse",OFFSET(DMAV_Dienste!$M$6,E186-1,0)))),"Dienst")),HYPERLINK("#"&amp;RIGHT(CELL("adresse",OFFSET(DMAV_Modell!$N$6,B186-1,0)),LEN(CELL("adresse",OFFSET(DMAV_Modell!$N$6,B186-1,0)))-FIND("]",CELL("adresse",OFFSET(DMAV_Modell!$N$6,B186-1,0)))),"Modell"))</f>
        <v>Dienst</v>
      </c>
      <c r="K186" s="61" t="str" cm="1">
        <f t="array" ref="K186">IF($B186=0,IF($E186=0,"",IF(INDEX(DMAV_Dienste!P$6:P$140,$E186)="","",INDEX(DMAV_Dienste!P$6:P$140,$E186))),IF(INDEX(DMAV_Modell!Q$6:Q$838,$B186)="","",INDEX(DMAV_Modell!Q$6:Q$838,$B186)))</f>
        <v>CLASS</v>
      </c>
      <c r="L186" s="62" t="str" cm="1">
        <f t="array" ref="L186">IF($B186=0,IF($E186=0,"",IF(INDEX(DMAV_Dienste!O$6:O$140,$E186)="","",INDEX(DMAV_Dienste!O$6:O$140,$E186))),IF(INDEX(DMAV_Modell!P$6:P$838,$B186)="","",INDEX(DMAV_Modell!P$6:P$838,$B186)))</f>
        <v>FPDS2</v>
      </c>
      <c r="M186" s="62" t="str" cm="1">
        <f t="array" ref="M186">IF($B186=0,IF($E186=0,"",IF(INDEX(DMAV_Dienste!Q$6:Q$140,$E186)="","",INDEX(DMAV_Dienste!Q$6:Q$140,$E186))),IF(INDEX(DMAV_Modell!R$6:R$838,$B186)="","",INDEX(DMAV_Modell!R$6:R$838,$B186)))</f>
        <v>FixpunktVersion</v>
      </c>
      <c r="N186" s="62" t="str" cm="1">
        <f t="array" ref="N186">IF($B186=0,IF($E186=0,"",IF(INDEX(DMAV_Dienste!T$6:T$140,$E186)="","",INDEX(DMAV_Dienste!T$6:T$140,$E186))),IF(INDEX(DMAV_Modell!U$6:U$838,$B186)="","",INDEX(DMAV_Modell!U$6:U$838,$B186)))</f>
        <v>Schutzart</v>
      </c>
      <c r="O186" s="63" t="str" cm="1">
        <f t="array" aca="1" ref="O186" ca="1">IF(C186=0,IF(F186=0,"",HYPERLINK("#"&amp;RIGHT(CELL("adresse",OFFSET(DMAV_Dienste!$M$6,F186-1,0)),LEN(CELL("adresse",OFFSET(DMAV_Dienste!$M$6,F186-1,0)))-FIND("]",CELL("adresse",OFFSET(DMAV_Dienste!$M$6,F186-1,0)))),"Structure")),HYPERLINK("#"&amp;RIGHT(CELL("adresse",OFFSET(DMAV_Modell!$N$6,C186-1,0)),LEN(CELL("adresse",OFFSET(DMAV_Modell!$N$6,C186-1,0)))-FIND("]",CELL("adresse",OFFSET(DMAV_Modell!$N$6,C186-1,0)))),"Structure"))</f>
        <v/>
      </c>
      <c r="P186" s="64" t="str" cm="1">
        <f t="array" aca="1" ref="P186" ca="1">IF(D186=0,IF(G186=0,"",HYPERLINK("#"&amp;RIGHT(CELL("adresse",OFFSET(DMAV_Dienste!$M$6,G186-1,0)),LEN(CELL("adresse",OFFSET(DMAV_Dienste!$M$6,G186-1,0)))-FIND("]",CELL("adresse",OFFSET(DMAV_Dienste!$M$6,G186-1,0)))),"Substructure")),HYPERLINK("#"&amp;RIGHT(CELL("adresse",OFFSET(DMAV_Modell!$N$6,D186-1,0)),LEN(CELL("adresse",OFFSET(DMAV_Modell!$N$6,D186-1,0)))-FIND("]",CELL("adresse",OFFSET(DMAV_Modell!$N$6,D186-1,0)))),"Substructure"))</f>
        <v/>
      </c>
      <c r="R186" s="80"/>
      <c r="T186" s="93"/>
      <c r="U186" s="94"/>
      <c r="V186" s="95"/>
      <c r="W186" s="96"/>
      <c r="Y186" s="85"/>
      <c r="Z186" s="86"/>
      <c r="AA186" s="87"/>
      <c r="AB186" s="88"/>
      <c r="AD186" s="77"/>
      <c r="AF186" s="54" t="str" cm="1">
        <f t="array" aca="1" ref="AF186" ca="1">IF(H186=0,"",HYPERLINK("#"&amp;RIGHT(CELL("adresse",OFFSET('DM01-AV-CH'!$G$6,H186-1,0)),LEN(CELL("adresse",OFFSET('DM01-AV-CH'!$G$6,H186-1,0)))-FIND("]",CELL("adresse",OFFSET('DM01-AV-CH'!$G$6,H186-1,0)))),"Modell"))</f>
        <v/>
      </c>
      <c r="AG186" s="72" t="str" cm="1">
        <f t="array" ref="AG186">IF($H186=0,"",IF(INDEX('DM01-AV-CH'!G$6:G$834,$H186)="","",INDEX('DM01-AV-CH'!G$6:G$834,$H186)))</f>
        <v/>
      </c>
      <c r="AH186" s="73" t="str" cm="1">
        <f t="array" ref="AH186">IF($H186=0,"",IF(INDEX('DM01-AV-CH'!H$6:H$834,$H186)="","",INDEX('DM01-AV-CH'!H$6:H$834,$H186)))</f>
        <v/>
      </c>
      <c r="AI186" s="74" t="str" cm="1">
        <f t="array" ref="AI186">IF($H186=0,"",IF(INDEX('DM01-AV-CH'!I$6:I$834,$H186)="","",INDEX('DM01-AV-CH'!I$6:I$834,$H186)))</f>
        <v/>
      </c>
    </row>
    <row r="187" spans="1:35" x14ac:dyDescent="0.25">
      <c r="A187" s="57">
        <v>182</v>
      </c>
      <c r="B187" s="57">
        <f>IF($A187="","",IF(_xlfn.XLOOKUP($A187,Korrelation!$D$4:$D$1197,Korrelation!E$4:E$1197,"-",0)="-",0,MATCH(_xlfn.XLOOKUP($A187,Korrelation!$D$4:$D$1197,Korrelation!E$4:E$1197,"",0),DMAV_Modell!$G$6:$G$677,0)))</f>
        <v>0</v>
      </c>
      <c r="C187" s="57">
        <f>IF($A187="","",IF(_xlfn.XLOOKUP($A187,Korrelation!$D$4:$D$1197,Korrelation!F$4:F$1197,"-",0)="-",0,MATCH(_xlfn.XLOOKUP($A187,Korrelation!$D$4:$D$1197,Korrelation!F$4:F$1197,"",0),DMAV_Modell!$G$6:$G$677,0)))</f>
        <v>0</v>
      </c>
      <c r="D187" s="57">
        <f>IF($A187="","",IF(_xlfn.XLOOKUP($A187,Korrelation!$D$4:$D$1197,Korrelation!G$4:G$1197,"-",0)="-",0,MATCH(_xlfn.XLOOKUP($A187,Korrelation!$D$4:$D$1197,Korrelation!G$4:G$1197,"",0),DMAV_Modell!$G$6:$G$677,0)))</f>
        <v>0</v>
      </c>
      <c r="E187" s="57">
        <f>IF($A187="","",IF(_xlfn.XLOOKUP($A187,Korrelation!$D$4:$D$1197,Korrelation!H$4:H$1197,"-",0)="-",0,MATCH(_xlfn.XLOOKUP($A187,Korrelation!$D$4:$D$1197,Korrelation!H$4:H$1197,"",0),DMAV_Dienste!$F$6:$F$140,0)))</f>
        <v>108</v>
      </c>
      <c r="F187" s="57">
        <f>IF($A187="","",IF(_xlfn.XLOOKUP($A187,Korrelation!$D$4:$D$1197,Korrelation!I$4:I$1197,"-",0)="-",0,MATCH(_xlfn.XLOOKUP($A187,Korrelation!$D$4:$D$1197,Korrelation!I$4:I$1197,"",0),DMAV_Dienste!$F$6:$F$140,0)))</f>
        <v>0</v>
      </c>
      <c r="G187" s="57">
        <f>IF($A187="","",IF(_xlfn.XLOOKUP($A187,Korrelation!$D$4:$D$1197,Korrelation!J$4:J$1197,"-",0)="-",0,MATCH(_xlfn.XLOOKUP($A187,Korrelation!$D$4:$D$1197,Korrelation!J$4:J$1197,"",0),DMAV_Dienste!$F$6:$F$140,0)))</f>
        <v>0</v>
      </c>
      <c r="H187" s="57">
        <f>IF($A187="","",IF(_xlfn.XLOOKUP($A187,Korrelation!$D$4:$D$1197,Korrelation!K$4:K$1197,"-",0)="-",0,MATCH(_xlfn.XLOOKUP($A187,Korrelation!$D$4:$D$1197,Korrelation!K$4:K$1197,"",0),'DM01-AV-CH'!$A$6:$A$834,0)))</f>
        <v>0</v>
      </c>
      <c r="J187" s="54" t="str" cm="1">
        <f t="array" aca="1" ref="J187" ca="1">IF(B187=0,IF(E187=0,"",HYPERLINK("#"&amp;RIGHT(CELL("adresse",OFFSET(DMAV_Dienste!$M$6,E187-1,0)),LEN(CELL("adresse",OFFSET(DMAV_Dienste!$M$6,E187-1,0)))-FIND("]",CELL("adresse",OFFSET(DMAV_Dienste!$M$6,E187-1,0)))),"Dienst")),HYPERLINK("#"&amp;RIGHT(CELL("adresse",OFFSET(DMAV_Modell!$N$6,B187-1,0)),LEN(CELL("adresse",OFFSET(DMAV_Modell!$N$6,B187-1,0)))-FIND("]",CELL("adresse",OFFSET(DMAV_Modell!$N$6,B187-1,0)))),"Modell"))</f>
        <v>Dienst</v>
      </c>
      <c r="K187" s="61" t="str" cm="1">
        <f t="array" ref="K187">IF($B187=0,IF($E187=0,"",IF(INDEX(DMAV_Dienste!P$6:P$140,$E187)="","",INDEX(DMAV_Dienste!P$6:P$140,$E187))),IF(INDEX(DMAV_Modell!Q$6:Q$838,$B187)="","",INDEX(DMAV_Modell!Q$6:Q$838,$B187)))</f>
        <v>CLASS</v>
      </c>
      <c r="L187" s="62" t="str" cm="1">
        <f t="array" ref="L187">IF($B187=0,IF($E187=0,"",IF(INDEX(DMAV_Dienste!O$6:O$140,$E187)="","",INDEX(DMAV_Dienste!O$6:O$140,$E187))),IF(INDEX(DMAV_Modell!P$6:P$838,$B187)="","",INDEX(DMAV_Modell!P$6:P$838,$B187)))</f>
        <v>FPDS2</v>
      </c>
      <c r="M187" s="62" t="str" cm="1">
        <f t="array" ref="M187">IF($B187=0,IF($E187=0,"",IF(INDEX(DMAV_Dienste!Q$6:Q$140,$E187)="","",INDEX(DMAV_Dienste!Q$6:Q$140,$E187))),IF(INDEX(DMAV_Modell!R$6:R$838,$B187)="","",INDEX(DMAV_Modell!R$6:R$838,$B187)))</f>
        <v>FixpunktVersion</v>
      </c>
      <c r="N187" s="62" t="str" cm="1">
        <f t="array" ref="N187">IF($B187=0,IF($E187=0,"",IF(INDEX(DMAV_Dienste!T$6:T$140,$E187)="","",INDEX(DMAV_Dienste!T$6:T$140,$E187))),IF(INDEX(DMAV_Modell!U$6:U$838,$B187)="","",INDEX(DMAV_Modell!U$6:U$838,$B187)))</f>
        <v>Steinsatz</v>
      </c>
      <c r="O187" s="63" t="str" cm="1">
        <f t="array" aca="1" ref="O187" ca="1">IF(C187=0,IF(F187=0,"",HYPERLINK("#"&amp;RIGHT(CELL("adresse",OFFSET(DMAV_Dienste!$M$6,F187-1,0)),LEN(CELL("adresse",OFFSET(DMAV_Dienste!$M$6,F187-1,0)))-FIND("]",CELL("adresse",OFFSET(DMAV_Dienste!$M$6,F187-1,0)))),"Structure")),HYPERLINK("#"&amp;RIGHT(CELL("adresse",OFFSET(DMAV_Modell!$N$6,C187-1,0)),LEN(CELL("adresse",OFFSET(DMAV_Modell!$N$6,C187-1,0)))-FIND("]",CELL("adresse",OFFSET(DMAV_Modell!$N$6,C187-1,0)))),"Structure"))</f>
        <v/>
      </c>
      <c r="P187" s="64" t="str" cm="1">
        <f t="array" aca="1" ref="P187" ca="1">IF(D187=0,IF(G187=0,"",HYPERLINK("#"&amp;RIGHT(CELL("adresse",OFFSET(DMAV_Dienste!$M$6,G187-1,0)),LEN(CELL("adresse",OFFSET(DMAV_Dienste!$M$6,G187-1,0)))-FIND("]",CELL("adresse",OFFSET(DMAV_Dienste!$M$6,G187-1,0)))),"Substructure")),HYPERLINK("#"&amp;RIGHT(CELL("adresse",OFFSET(DMAV_Modell!$N$6,D187-1,0)),LEN(CELL("adresse",OFFSET(DMAV_Modell!$N$6,D187-1,0)))-FIND("]",CELL("adresse",OFFSET(DMAV_Modell!$N$6,D187-1,0)))),"Substructure"))</f>
        <v/>
      </c>
      <c r="R187" s="80"/>
      <c r="T187" s="93"/>
      <c r="U187" s="94"/>
      <c r="V187" s="95"/>
      <c r="W187" s="96"/>
      <c r="Y187" s="85"/>
      <c r="Z187" s="86"/>
      <c r="AA187" s="87"/>
      <c r="AB187" s="88"/>
      <c r="AD187" s="77"/>
      <c r="AF187" s="54" t="str" cm="1">
        <f t="array" aca="1" ref="AF187" ca="1">IF(H187=0,"",HYPERLINK("#"&amp;RIGHT(CELL("adresse",OFFSET('DM01-AV-CH'!$G$6,H187-1,0)),LEN(CELL("adresse",OFFSET('DM01-AV-CH'!$G$6,H187-1,0)))-FIND("]",CELL("adresse",OFFSET('DM01-AV-CH'!$G$6,H187-1,0)))),"Modell"))</f>
        <v/>
      </c>
      <c r="AG187" s="72" t="str" cm="1">
        <f t="array" ref="AG187">IF($H187=0,"",IF(INDEX('DM01-AV-CH'!G$6:G$834,$H187)="","",INDEX('DM01-AV-CH'!G$6:G$834,$H187)))</f>
        <v/>
      </c>
      <c r="AH187" s="73" t="str" cm="1">
        <f t="array" ref="AH187">IF($H187=0,"",IF(INDEX('DM01-AV-CH'!H$6:H$834,$H187)="","",INDEX('DM01-AV-CH'!H$6:H$834,$H187)))</f>
        <v/>
      </c>
      <c r="AI187" s="74" t="str" cm="1">
        <f t="array" ref="AI187">IF($H187=0,"",IF(INDEX('DM01-AV-CH'!I$6:I$834,$H187)="","",INDEX('DM01-AV-CH'!I$6:I$834,$H187)))</f>
        <v/>
      </c>
    </row>
    <row r="188" spans="1:35" x14ac:dyDescent="0.25">
      <c r="A188" s="57">
        <v>183</v>
      </c>
      <c r="B188" s="57">
        <f>IF($A188="","",IF(_xlfn.XLOOKUP($A188,Korrelation!$D$4:$D$1197,Korrelation!E$4:E$1197,"-",0)="-",0,MATCH(_xlfn.XLOOKUP($A188,Korrelation!$D$4:$D$1197,Korrelation!E$4:E$1197,"",0),DMAV_Modell!$G$6:$G$677,0)))</f>
        <v>0</v>
      </c>
      <c r="C188" s="57">
        <f>IF($A188="","",IF(_xlfn.XLOOKUP($A188,Korrelation!$D$4:$D$1197,Korrelation!F$4:F$1197,"-",0)="-",0,MATCH(_xlfn.XLOOKUP($A188,Korrelation!$D$4:$D$1197,Korrelation!F$4:F$1197,"",0),DMAV_Modell!$G$6:$G$677,0)))</f>
        <v>0</v>
      </c>
      <c r="D188" s="57">
        <f>IF($A188="","",IF(_xlfn.XLOOKUP($A188,Korrelation!$D$4:$D$1197,Korrelation!G$4:G$1197,"-",0)="-",0,MATCH(_xlfn.XLOOKUP($A188,Korrelation!$D$4:$D$1197,Korrelation!G$4:G$1197,"",0),DMAV_Modell!$G$6:$G$677,0)))</f>
        <v>0</v>
      </c>
      <c r="E188" s="57">
        <f>IF($A188="","",IF(_xlfn.XLOOKUP($A188,Korrelation!$D$4:$D$1197,Korrelation!H$4:H$1197,"-",0)="-",0,MATCH(_xlfn.XLOOKUP($A188,Korrelation!$D$4:$D$1197,Korrelation!H$4:H$1197,"",0),DMAV_Dienste!$F$6:$F$140,0)))</f>
        <v>109</v>
      </c>
      <c r="F188" s="57">
        <f>IF($A188="","",IF(_xlfn.XLOOKUP($A188,Korrelation!$D$4:$D$1197,Korrelation!I$4:I$1197,"-",0)="-",0,MATCH(_xlfn.XLOOKUP($A188,Korrelation!$D$4:$D$1197,Korrelation!I$4:I$1197,"",0),DMAV_Dienste!$F$6:$F$140,0)))</f>
        <v>0</v>
      </c>
      <c r="G188" s="57">
        <f>IF($A188="","",IF(_xlfn.XLOOKUP($A188,Korrelation!$D$4:$D$1197,Korrelation!J$4:J$1197,"-",0)="-",0,MATCH(_xlfn.XLOOKUP($A188,Korrelation!$D$4:$D$1197,Korrelation!J$4:J$1197,"",0),DMAV_Dienste!$F$6:$F$140,0)))</f>
        <v>0</v>
      </c>
      <c r="H188" s="57">
        <f>IF($A188="","",IF(_xlfn.XLOOKUP($A188,Korrelation!$D$4:$D$1197,Korrelation!K$4:K$1197,"-",0)="-",0,MATCH(_xlfn.XLOOKUP($A188,Korrelation!$D$4:$D$1197,Korrelation!K$4:K$1197,"",0),'DM01-AV-CH'!$A$6:$A$834,0)))</f>
        <v>0</v>
      </c>
      <c r="J188" s="54" t="str" cm="1">
        <f t="array" aca="1" ref="J188" ca="1">IF(B188=0,IF(E188=0,"",HYPERLINK("#"&amp;RIGHT(CELL("adresse",OFFSET(DMAV_Dienste!$M$6,E188-1,0)),LEN(CELL("adresse",OFFSET(DMAV_Dienste!$M$6,E188-1,0)))-FIND("]",CELL("adresse",OFFSET(DMAV_Dienste!$M$6,E188-1,0)))),"Dienst")),HYPERLINK("#"&amp;RIGHT(CELL("adresse",OFFSET(DMAV_Modell!$N$6,B188-1,0)),LEN(CELL("adresse",OFFSET(DMAV_Modell!$N$6,B188-1,0)))-FIND("]",CELL("adresse",OFFSET(DMAV_Modell!$N$6,B188-1,0)))),"Modell"))</f>
        <v>Dienst</v>
      </c>
      <c r="K188" s="61" t="str" cm="1">
        <f t="array" ref="K188">IF($B188=0,IF($E188=0,"",IF(INDEX(DMAV_Dienste!P$6:P$140,$E188)="","",INDEX(DMAV_Dienste!P$6:P$140,$E188))),IF(INDEX(DMAV_Modell!Q$6:Q$838,$B188)="","",INDEX(DMAV_Modell!Q$6:Q$838,$B188)))</f>
        <v>CLASS</v>
      </c>
      <c r="L188" s="62" t="str" cm="1">
        <f t="array" ref="L188">IF($B188=0,IF($E188=0,"",IF(INDEX(DMAV_Dienste!O$6:O$140,$E188)="","",INDEX(DMAV_Dienste!O$6:O$140,$E188))),IF(INDEX(DMAV_Modell!P$6:P$838,$B188)="","",INDEX(DMAV_Modell!P$6:P$838,$B188)))</f>
        <v>FPDS2</v>
      </c>
      <c r="M188" s="62" t="str" cm="1">
        <f t="array" ref="M188">IF($B188=0,IF($E188=0,"",IF(INDEX(DMAV_Dienste!Q$6:Q$140,$E188)="","",INDEX(DMAV_Dienste!Q$6:Q$140,$E188))),IF(INDEX(DMAV_Modell!R$6:R$838,$B188)="","",INDEX(DMAV_Modell!R$6:R$838,$B188)))</f>
        <v>FixpunktVersion</v>
      </c>
      <c r="N188" s="62" t="str" cm="1">
        <f t="array" ref="N188">IF($B188=0,IF($E188=0,"",IF(INDEX(DMAV_Dienste!T$6:T$140,$E188)="","",INDEX(DMAV_Dienste!T$6:T$140,$E188))),IF(INDEX(DMAV_Modell!U$6:U$838,$B188)="","",INDEX(DMAV_Modell!U$6:U$838,$B188)))</f>
        <v>SekundaereVersicherung</v>
      </c>
      <c r="O188" s="63" t="str" cm="1">
        <f t="array" aca="1" ref="O188" ca="1">IF(C188=0,IF(F188=0,"",HYPERLINK("#"&amp;RIGHT(CELL("adresse",OFFSET(DMAV_Dienste!$M$6,F188-1,0)),LEN(CELL("adresse",OFFSET(DMAV_Dienste!$M$6,F188-1,0)))-FIND("]",CELL("adresse",OFFSET(DMAV_Dienste!$M$6,F188-1,0)))),"Structure")),HYPERLINK("#"&amp;RIGHT(CELL("adresse",OFFSET(DMAV_Modell!$N$6,C188-1,0)),LEN(CELL("adresse",OFFSET(DMAV_Modell!$N$6,C188-1,0)))-FIND("]",CELL("adresse",OFFSET(DMAV_Modell!$N$6,C188-1,0)))),"Structure"))</f>
        <v/>
      </c>
      <c r="P188" s="64" t="str" cm="1">
        <f t="array" aca="1" ref="P188" ca="1">IF(D188=0,IF(G188=0,"",HYPERLINK("#"&amp;RIGHT(CELL("adresse",OFFSET(DMAV_Dienste!$M$6,G188-1,0)),LEN(CELL("adresse",OFFSET(DMAV_Dienste!$M$6,G188-1,0)))-FIND("]",CELL("adresse",OFFSET(DMAV_Dienste!$M$6,G188-1,0)))),"Substructure")),HYPERLINK("#"&amp;RIGHT(CELL("adresse",OFFSET(DMAV_Modell!$N$6,D188-1,0)),LEN(CELL("adresse",OFFSET(DMAV_Modell!$N$6,D188-1,0)))-FIND("]",CELL("adresse",OFFSET(DMAV_Modell!$N$6,D188-1,0)))),"Substructure"))</f>
        <v/>
      </c>
      <c r="R188" s="80"/>
      <c r="T188" s="93"/>
      <c r="U188" s="94"/>
      <c r="V188" s="95"/>
      <c r="W188" s="96"/>
      <c r="Y188" s="85"/>
      <c r="Z188" s="86"/>
      <c r="AA188" s="87"/>
      <c r="AB188" s="88"/>
      <c r="AD188" s="77"/>
      <c r="AF188" s="54" t="str" cm="1">
        <f t="array" aca="1" ref="AF188" ca="1">IF(H188=0,"",HYPERLINK("#"&amp;RIGHT(CELL("adresse",OFFSET('DM01-AV-CH'!$G$6,H188-1,0)),LEN(CELL("adresse",OFFSET('DM01-AV-CH'!$G$6,H188-1,0)))-FIND("]",CELL("adresse",OFFSET('DM01-AV-CH'!$G$6,H188-1,0)))),"Modell"))</f>
        <v/>
      </c>
      <c r="AG188" s="72" t="str" cm="1">
        <f t="array" ref="AG188">IF($H188=0,"",IF(INDEX('DM01-AV-CH'!G$6:G$834,$H188)="","",INDEX('DM01-AV-CH'!G$6:G$834,$H188)))</f>
        <v/>
      </c>
      <c r="AH188" s="73" t="str" cm="1">
        <f t="array" ref="AH188">IF($H188=0,"",IF(INDEX('DM01-AV-CH'!H$6:H$834,$H188)="","",INDEX('DM01-AV-CH'!H$6:H$834,$H188)))</f>
        <v/>
      </c>
      <c r="AI188" s="74" t="str" cm="1">
        <f t="array" ref="AI188">IF($H188=0,"",IF(INDEX('DM01-AV-CH'!I$6:I$834,$H188)="","",INDEX('DM01-AV-CH'!I$6:I$834,$H188)))</f>
        <v/>
      </c>
    </row>
    <row r="189" spans="1:35" x14ac:dyDescent="0.25">
      <c r="A189" s="57">
        <v>184</v>
      </c>
      <c r="B189" s="57">
        <f>IF($A189="","",IF(_xlfn.XLOOKUP($A189,Korrelation!$D$4:$D$1197,Korrelation!E$4:E$1197,"-",0)="-",0,MATCH(_xlfn.XLOOKUP($A189,Korrelation!$D$4:$D$1197,Korrelation!E$4:E$1197,"",0),DMAV_Modell!$G$6:$G$677,0)))</f>
        <v>0</v>
      </c>
      <c r="C189" s="57">
        <f>IF($A189="","",IF(_xlfn.XLOOKUP($A189,Korrelation!$D$4:$D$1197,Korrelation!F$4:F$1197,"-",0)="-",0,MATCH(_xlfn.XLOOKUP($A189,Korrelation!$D$4:$D$1197,Korrelation!F$4:F$1197,"",0),DMAV_Modell!$G$6:$G$677,0)))</f>
        <v>0</v>
      </c>
      <c r="D189" s="57">
        <f>IF($A189="","",IF(_xlfn.XLOOKUP($A189,Korrelation!$D$4:$D$1197,Korrelation!G$4:G$1197,"-",0)="-",0,MATCH(_xlfn.XLOOKUP($A189,Korrelation!$D$4:$D$1197,Korrelation!G$4:G$1197,"",0),DMAV_Modell!$G$6:$G$677,0)))</f>
        <v>0</v>
      </c>
      <c r="E189" s="57">
        <f>IF($A189="","",IF(_xlfn.XLOOKUP($A189,Korrelation!$D$4:$D$1197,Korrelation!H$4:H$1197,"-",0)="-",0,MATCH(_xlfn.XLOOKUP($A189,Korrelation!$D$4:$D$1197,Korrelation!H$4:H$1197,"",0),DMAV_Dienste!$F$6:$F$140,0)))</f>
        <v>110</v>
      </c>
      <c r="F189" s="57">
        <f>IF($A189="","",IF(_xlfn.XLOOKUP($A189,Korrelation!$D$4:$D$1197,Korrelation!I$4:I$1197,"-",0)="-",0,MATCH(_xlfn.XLOOKUP($A189,Korrelation!$D$4:$D$1197,Korrelation!I$4:I$1197,"",0),DMAV_Dienste!$F$6:$F$140,0)))</f>
        <v>0</v>
      </c>
      <c r="G189" s="57">
        <f>IF($A189="","",IF(_xlfn.XLOOKUP($A189,Korrelation!$D$4:$D$1197,Korrelation!J$4:J$1197,"-",0)="-",0,MATCH(_xlfn.XLOOKUP($A189,Korrelation!$D$4:$D$1197,Korrelation!J$4:J$1197,"",0),DMAV_Dienste!$F$6:$F$140,0)))</f>
        <v>0</v>
      </c>
      <c r="H189" s="57">
        <f>IF($A189="","",IF(_xlfn.XLOOKUP($A189,Korrelation!$D$4:$D$1197,Korrelation!K$4:K$1197,"-",0)="-",0,MATCH(_xlfn.XLOOKUP($A189,Korrelation!$D$4:$D$1197,Korrelation!K$4:K$1197,"",0),'DM01-AV-CH'!$A$6:$A$834,0)))</f>
        <v>0</v>
      </c>
      <c r="J189" s="54" t="str" cm="1">
        <f t="array" aca="1" ref="J189" ca="1">IF(B189=0,IF(E189=0,"",HYPERLINK("#"&amp;RIGHT(CELL("adresse",OFFSET(DMAV_Dienste!$M$6,E189-1,0)),LEN(CELL("adresse",OFFSET(DMAV_Dienste!$M$6,E189-1,0)))-FIND("]",CELL("adresse",OFFSET(DMAV_Dienste!$M$6,E189-1,0)))),"Dienst")),HYPERLINK("#"&amp;RIGHT(CELL("adresse",OFFSET(DMAV_Modell!$N$6,B189-1,0)),LEN(CELL("adresse",OFFSET(DMAV_Modell!$N$6,B189-1,0)))-FIND("]",CELL("adresse",OFFSET(DMAV_Modell!$N$6,B189-1,0)))),"Modell"))</f>
        <v>Dienst</v>
      </c>
      <c r="K189" s="61" t="str" cm="1">
        <f t="array" ref="K189">IF($B189=0,IF($E189=0,"",IF(INDEX(DMAV_Dienste!P$6:P$140,$E189)="","",INDEX(DMAV_Dienste!P$6:P$140,$E189))),IF(INDEX(DMAV_Modell!Q$6:Q$838,$B189)="","",INDEX(DMAV_Modell!Q$6:Q$838,$B189)))</f>
        <v>CLASS</v>
      </c>
      <c r="L189" s="62" t="str" cm="1">
        <f t="array" ref="L189">IF($B189=0,IF($E189=0,"",IF(INDEX(DMAV_Dienste!O$6:O$140,$E189)="","",INDEX(DMAV_Dienste!O$6:O$140,$E189))),IF(INDEX(DMAV_Modell!P$6:P$838,$B189)="","",INDEX(DMAV_Modell!P$6:P$838,$B189)))</f>
        <v>FPDS2</v>
      </c>
      <c r="M189" s="62" t="str" cm="1">
        <f t="array" ref="M189">IF($B189=0,IF($E189=0,"",IF(INDEX(DMAV_Dienste!Q$6:Q$140,$E189)="","",INDEX(DMAV_Dienste!Q$6:Q$140,$E189))),IF(INDEX(DMAV_Modell!R$6:R$838,$B189)="","",INDEX(DMAV_Modell!R$6:R$838,$B189)))</f>
        <v>FixpunktAktion</v>
      </c>
      <c r="N189" s="62" t="str" cm="1">
        <f t="array" ref="N189">IF($B189=0,IF($E189=0,"",IF(INDEX(DMAV_Dienste!T$6:T$140,$E189)="","",INDEX(DMAV_Dienste!T$6:T$140,$E189))),IF(INDEX(DMAV_Modell!U$6:U$838,$B189)="","",INDEX(DMAV_Modell!U$6:U$838,$B189)))</f>
        <v>Beschreibung</v>
      </c>
      <c r="O189" s="63" t="str" cm="1">
        <f t="array" aca="1" ref="O189" ca="1">IF(C189=0,IF(F189=0,"",HYPERLINK("#"&amp;RIGHT(CELL("adresse",OFFSET(DMAV_Dienste!$M$6,F189-1,0)),LEN(CELL("adresse",OFFSET(DMAV_Dienste!$M$6,F189-1,0)))-FIND("]",CELL("adresse",OFFSET(DMAV_Dienste!$M$6,F189-1,0)))),"Structure")),HYPERLINK("#"&amp;RIGHT(CELL("adresse",OFFSET(DMAV_Modell!$N$6,C189-1,0)),LEN(CELL("adresse",OFFSET(DMAV_Modell!$N$6,C189-1,0)))-FIND("]",CELL("adresse",OFFSET(DMAV_Modell!$N$6,C189-1,0)))),"Structure"))</f>
        <v/>
      </c>
      <c r="P189" s="64" t="str" cm="1">
        <f t="array" aca="1" ref="P189" ca="1">IF(D189=0,IF(G189=0,"",HYPERLINK("#"&amp;RIGHT(CELL("adresse",OFFSET(DMAV_Dienste!$M$6,G189-1,0)),LEN(CELL("adresse",OFFSET(DMAV_Dienste!$M$6,G189-1,0)))-FIND("]",CELL("adresse",OFFSET(DMAV_Dienste!$M$6,G189-1,0)))),"Substructure")),HYPERLINK("#"&amp;RIGHT(CELL("adresse",OFFSET(DMAV_Modell!$N$6,D189-1,0)),LEN(CELL("adresse",OFFSET(DMAV_Modell!$N$6,D189-1,0)))-FIND("]",CELL("adresse",OFFSET(DMAV_Modell!$N$6,D189-1,0)))),"Substructure"))</f>
        <v/>
      </c>
      <c r="R189" s="80"/>
      <c r="T189" s="93"/>
      <c r="U189" s="94"/>
      <c r="V189" s="95"/>
      <c r="W189" s="96"/>
      <c r="Y189" s="85"/>
      <c r="Z189" s="86"/>
      <c r="AA189" s="87"/>
      <c r="AB189" s="88"/>
      <c r="AD189" s="77"/>
      <c r="AF189" s="54" t="str" cm="1">
        <f t="array" aca="1" ref="AF189" ca="1">IF(H189=0,"",HYPERLINK("#"&amp;RIGHT(CELL("adresse",OFFSET('DM01-AV-CH'!$G$6,H189-1,0)),LEN(CELL("adresse",OFFSET('DM01-AV-CH'!$G$6,H189-1,0)))-FIND("]",CELL("adresse",OFFSET('DM01-AV-CH'!$G$6,H189-1,0)))),"Modell"))</f>
        <v/>
      </c>
      <c r="AG189" s="72" t="str" cm="1">
        <f t="array" ref="AG189">IF($H189=0,"",IF(INDEX('DM01-AV-CH'!G$6:G$834,$H189)="","",INDEX('DM01-AV-CH'!G$6:G$834,$H189)))</f>
        <v/>
      </c>
      <c r="AH189" s="73" t="str" cm="1">
        <f t="array" ref="AH189">IF($H189=0,"",IF(INDEX('DM01-AV-CH'!H$6:H$834,$H189)="","",INDEX('DM01-AV-CH'!H$6:H$834,$H189)))</f>
        <v/>
      </c>
      <c r="AI189" s="74" t="str" cm="1">
        <f t="array" ref="AI189">IF($H189=0,"",IF(INDEX('DM01-AV-CH'!I$6:I$834,$H189)="","",INDEX('DM01-AV-CH'!I$6:I$834,$H189)))</f>
        <v/>
      </c>
    </row>
    <row r="190" spans="1:35" x14ac:dyDescent="0.25">
      <c r="A190" s="57">
        <v>185</v>
      </c>
      <c r="B190" s="57">
        <f>IF($A190="","",IF(_xlfn.XLOOKUP($A190,Korrelation!$D$4:$D$1197,Korrelation!E$4:E$1197,"-",0)="-",0,MATCH(_xlfn.XLOOKUP($A190,Korrelation!$D$4:$D$1197,Korrelation!E$4:E$1197,"",0),DMAV_Modell!$G$6:$G$677,0)))</f>
        <v>0</v>
      </c>
      <c r="C190" s="57">
        <f>IF($A190="","",IF(_xlfn.XLOOKUP($A190,Korrelation!$D$4:$D$1197,Korrelation!F$4:F$1197,"-",0)="-",0,MATCH(_xlfn.XLOOKUP($A190,Korrelation!$D$4:$D$1197,Korrelation!F$4:F$1197,"",0),DMAV_Modell!$G$6:$G$677,0)))</f>
        <v>0</v>
      </c>
      <c r="D190" s="57">
        <f>IF($A190="","",IF(_xlfn.XLOOKUP($A190,Korrelation!$D$4:$D$1197,Korrelation!G$4:G$1197,"-",0)="-",0,MATCH(_xlfn.XLOOKUP($A190,Korrelation!$D$4:$D$1197,Korrelation!G$4:G$1197,"",0),DMAV_Modell!$G$6:$G$677,0)))</f>
        <v>0</v>
      </c>
      <c r="E190" s="57">
        <f>IF($A190="","",IF(_xlfn.XLOOKUP($A190,Korrelation!$D$4:$D$1197,Korrelation!H$4:H$1197,"-",0)="-",0,MATCH(_xlfn.XLOOKUP($A190,Korrelation!$D$4:$D$1197,Korrelation!H$4:H$1197,"",0),DMAV_Dienste!$F$6:$F$140,0)))</f>
        <v>111</v>
      </c>
      <c r="F190" s="57">
        <f>IF($A190="","",IF(_xlfn.XLOOKUP($A190,Korrelation!$D$4:$D$1197,Korrelation!I$4:I$1197,"-",0)="-",0,MATCH(_xlfn.XLOOKUP($A190,Korrelation!$D$4:$D$1197,Korrelation!I$4:I$1197,"",0),DMAV_Dienste!$F$6:$F$140,0)))</f>
        <v>0</v>
      </c>
      <c r="G190" s="57">
        <f>IF($A190="","",IF(_xlfn.XLOOKUP($A190,Korrelation!$D$4:$D$1197,Korrelation!J$4:J$1197,"-",0)="-",0,MATCH(_xlfn.XLOOKUP($A190,Korrelation!$D$4:$D$1197,Korrelation!J$4:J$1197,"",0),DMAV_Dienste!$F$6:$F$140,0)))</f>
        <v>0</v>
      </c>
      <c r="H190" s="57">
        <f>IF($A190="","",IF(_xlfn.XLOOKUP($A190,Korrelation!$D$4:$D$1197,Korrelation!K$4:K$1197,"-",0)="-",0,MATCH(_xlfn.XLOOKUP($A190,Korrelation!$D$4:$D$1197,Korrelation!K$4:K$1197,"",0),'DM01-AV-CH'!$A$6:$A$834,0)))</f>
        <v>0</v>
      </c>
      <c r="J190" s="54" t="str" cm="1">
        <f t="array" aca="1" ref="J190" ca="1">IF(B190=0,IF(E190=0,"",HYPERLINK("#"&amp;RIGHT(CELL("adresse",OFFSET(DMAV_Dienste!$M$6,E190-1,0)),LEN(CELL("adresse",OFFSET(DMAV_Dienste!$M$6,E190-1,0)))-FIND("]",CELL("adresse",OFFSET(DMAV_Dienste!$M$6,E190-1,0)))),"Dienst")),HYPERLINK("#"&amp;RIGHT(CELL("adresse",OFFSET(DMAV_Modell!$N$6,B190-1,0)),LEN(CELL("adresse",OFFSET(DMAV_Modell!$N$6,B190-1,0)))-FIND("]",CELL("adresse",OFFSET(DMAV_Modell!$N$6,B190-1,0)))),"Modell"))</f>
        <v>Dienst</v>
      </c>
      <c r="K190" s="61" t="str" cm="1">
        <f t="array" ref="K190">IF($B190=0,IF($E190=0,"",IF(INDEX(DMAV_Dienste!P$6:P$140,$E190)="","",INDEX(DMAV_Dienste!P$6:P$140,$E190))),IF(INDEX(DMAV_Modell!Q$6:Q$838,$B190)="","",INDEX(DMAV_Modell!Q$6:Q$838,$B190)))</f>
        <v>CLASS</v>
      </c>
      <c r="L190" s="62" t="str" cm="1">
        <f t="array" ref="L190">IF($B190=0,IF($E190=0,"",IF(INDEX(DMAV_Dienste!O$6:O$140,$E190)="","",INDEX(DMAV_Dienste!O$6:O$140,$E190))),IF(INDEX(DMAV_Modell!P$6:P$838,$B190)="","",INDEX(DMAV_Modell!P$6:P$838,$B190)))</f>
        <v>FPDS2</v>
      </c>
      <c r="M190" s="62" t="str" cm="1">
        <f t="array" ref="M190">IF($B190=0,IF($E190=0,"",IF(INDEX(DMAV_Dienste!Q$6:Q$140,$E190)="","",INDEX(DMAV_Dienste!Q$6:Q$140,$E190))),IF(INDEX(DMAV_Modell!R$6:R$838,$B190)="","",INDEX(DMAV_Modell!R$6:R$838,$B190)))</f>
        <v>FixpunktAktion</v>
      </c>
      <c r="N190" s="62" t="str" cm="1">
        <f t="array" ref="N190">IF($B190=0,IF($E190=0,"",IF(INDEX(DMAV_Dienste!T$6:T$140,$E190)="","",INDEX(DMAV_Dienste!T$6:T$140,$E190))),IF(INDEX(DMAV_Modell!U$6:U$838,$B190)="","",INDEX(DMAV_Modell!U$6:U$838,$B190)))</f>
        <v>Datum</v>
      </c>
      <c r="O190" s="63" t="str" cm="1">
        <f t="array" aca="1" ref="O190" ca="1">IF(C190=0,IF(F190=0,"",HYPERLINK("#"&amp;RIGHT(CELL("adresse",OFFSET(DMAV_Dienste!$M$6,F190-1,0)),LEN(CELL("adresse",OFFSET(DMAV_Dienste!$M$6,F190-1,0)))-FIND("]",CELL("adresse",OFFSET(DMAV_Dienste!$M$6,F190-1,0)))),"Structure")),HYPERLINK("#"&amp;RIGHT(CELL("adresse",OFFSET(DMAV_Modell!$N$6,C190-1,0)),LEN(CELL("adresse",OFFSET(DMAV_Modell!$N$6,C190-1,0)))-FIND("]",CELL("adresse",OFFSET(DMAV_Modell!$N$6,C190-1,0)))),"Structure"))</f>
        <v/>
      </c>
      <c r="P190" s="64" t="str" cm="1">
        <f t="array" aca="1" ref="P190" ca="1">IF(D190=0,IF(G190=0,"",HYPERLINK("#"&amp;RIGHT(CELL("adresse",OFFSET(DMAV_Dienste!$M$6,G190-1,0)),LEN(CELL("adresse",OFFSET(DMAV_Dienste!$M$6,G190-1,0)))-FIND("]",CELL("adresse",OFFSET(DMAV_Dienste!$M$6,G190-1,0)))),"Substructure")),HYPERLINK("#"&amp;RIGHT(CELL("adresse",OFFSET(DMAV_Modell!$N$6,D190-1,0)),LEN(CELL("adresse",OFFSET(DMAV_Modell!$N$6,D190-1,0)))-FIND("]",CELL("adresse",OFFSET(DMAV_Modell!$N$6,D190-1,0)))),"Substructure"))</f>
        <v/>
      </c>
      <c r="R190" s="80"/>
      <c r="T190" s="93"/>
      <c r="U190" s="94"/>
      <c r="V190" s="95"/>
      <c r="W190" s="96"/>
      <c r="Y190" s="85"/>
      <c r="Z190" s="86"/>
      <c r="AA190" s="87"/>
      <c r="AB190" s="88"/>
      <c r="AD190" s="77"/>
      <c r="AF190" s="54" t="str" cm="1">
        <f t="array" aca="1" ref="AF190" ca="1">IF(H190=0,"",HYPERLINK("#"&amp;RIGHT(CELL("adresse",OFFSET('DM01-AV-CH'!$G$6,H190-1,0)),LEN(CELL("adresse",OFFSET('DM01-AV-CH'!$G$6,H190-1,0)))-FIND("]",CELL("adresse",OFFSET('DM01-AV-CH'!$G$6,H190-1,0)))),"Modell"))</f>
        <v/>
      </c>
      <c r="AG190" s="72" t="str" cm="1">
        <f t="array" ref="AG190">IF($H190=0,"",IF(INDEX('DM01-AV-CH'!G$6:G$834,$H190)="","",INDEX('DM01-AV-CH'!G$6:G$834,$H190)))</f>
        <v/>
      </c>
      <c r="AH190" s="73" t="str" cm="1">
        <f t="array" ref="AH190">IF($H190=0,"",IF(INDEX('DM01-AV-CH'!H$6:H$834,$H190)="","",INDEX('DM01-AV-CH'!H$6:H$834,$H190)))</f>
        <v/>
      </c>
      <c r="AI190" s="74" t="str" cm="1">
        <f t="array" ref="AI190">IF($H190=0,"",IF(INDEX('DM01-AV-CH'!I$6:I$834,$H190)="","",INDEX('DM01-AV-CH'!I$6:I$834,$H190)))</f>
        <v/>
      </c>
    </row>
    <row r="191" spans="1:35" x14ac:dyDescent="0.25">
      <c r="A191" s="57">
        <v>186</v>
      </c>
      <c r="B191" s="57">
        <f>IF($A191="","",IF(_xlfn.XLOOKUP($A191,Korrelation!$D$4:$D$1197,Korrelation!E$4:E$1197,"-",0)="-",0,MATCH(_xlfn.XLOOKUP($A191,Korrelation!$D$4:$D$1197,Korrelation!E$4:E$1197,"",0),DMAV_Modell!$G$6:$G$677,0)))</f>
        <v>0</v>
      </c>
      <c r="C191" s="57">
        <f>IF($A191="","",IF(_xlfn.XLOOKUP($A191,Korrelation!$D$4:$D$1197,Korrelation!F$4:F$1197,"-",0)="-",0,MATCH(_xlfn.XLOOKUP($A191,Korrelation!$D$4:$D$1197,Korrelation!F$4:F$1197,"",0),DMAV_Modell!$G$6:$G$677,0)))</f>
        <v>0</v>
      </c>
      <c r="D191" s="57">
        <f>IF($A191="","",IF(_xlfn.XLOOKUP($A191,Korrelation!$D$4:$D$1197,Korrelation!G$4:G$1197,"-",0)="-",0,MATCH(_xlfn.XLOOKUP($A191,Korrelation!$D$4:$D$1197,Korrelation!G$4:G$1197,"",0),DMAV_Modell!$G$6:$G$677,0)))</f>
        <v>0</v>
      </c>
      <c r="E191" s="57">
        <f>IF($A191="","",IF(_xlfn.XLOOKUP($A191,Korrelation!$D$4:$D$1197,Korrelation!H$4:H$1197,"-",0)="-",0,MATCH(_xlfn.XLOOKUP($A191,Korrelation!$D$4:$D$1197,Korrelation!H$4:H$1197,"",0),DMAV_Dienste!$F$6:$F$140,0)))</f>
        <v>112</v>
      </c>
      <c r="F191" s="57">
        <f>IF($A191="","",IF(_xlfn.XLOOKUP($A191,Korrelation!$D$4:$D$1197,Korrelation!I$4:I$1197,"-",0)="-",0,MATCH(_xlfn.XLOOKUP($A191,Korrelation!$D$4:$D$1197,Korrelation!I$4:I$1197,"",0),DMAV_Dienste!$F$6:$F$140,0)))</f>
        <v>0</v>
      </c>
      <c r="G191" s="57">
        <f>IF($A191="","",IF(_xlfn.XLOOKUP($A191,Korrelation!$D$4:$D$1197,Korrelation!J$4:J$1197,"-",0)="-",0,MATCH(_xlfn.XLOOKUP($A191,Korrelation!$D$4:$D$1197,Korrelation!J$4:J$1197,"",0),DMAV_Dienste!$F$6:$F$140,0)))</f>
        <v>0</v>
      </c>
      <c r="H191" s="57">
        <f>IF($A191="","",IF(_xlfn.XLOOKUP($A191,Korrelation!$D$4:$D$1197,Korrelation!K$4:K$1197,"-",0)="-",0,MATCH(_xlfn.XLOOKUP($A191,Korrelation!$D$4:$D$1197,Korrelation!K$4:K$1197,"",0),'DM01-AV-CH'!$A$6:$A$834,0)))</f>
        <v>0</v>
      </c>
      <c r="J191" s="54" t="str" cm="1">
        <f t="array" aca="1" ref="J191" ca="1">IF(B191=0,IF(E191=0,"",HYPERLINK("#"&amp;RIGHT(CELL("adresse",OFFSET(DMAV_Dienste!$M$6,E191-1,0)),LEN(CELL("adresse",OFFSET(DMAV_Dienste!$M$6,E191-1,0)))-FIND("]",CELL("adresse",OFFSET(DMAV_Dienste!$M$6,E191-1,0)))),"Dienst")),HYPERLINK("#"&amp;RIGHT(CELL("adresse",OFFSET(DMAV_Modell!$N$6,B191-1,0)),LEN(CELL("adresse",OFFSET(DMAV_Modell!$N$6,B191-1,0)))-FIND("]",CELL("adresse",OFFSET(DMAV_Modell!$N$6,B191-1,0)))),"Modell"))</f>
        <v>Dienst</v>
      </c>
      <c r="K191" s="61" t="str" cm="1">
        <f t="array" ref="K191">IF($B191=0,IF($E191=0,"",IF(INDEX(DMAV_Dienste!P$6:P$140,$E191)="","",INDEX(DMAV_Dienste!P$6:P$140,$E191))),IF(INDEX(DMAV_Modell!Q$6:Q$838,$B191)="","",INDEX(DMAV_Modell!Q$6:Q$838,$B191)))</f>
        <v>CLASS</v>
      </c>
      <c r="L191" s="62" t="str" cm="1">
        <f t="array" ref="L191">IF($B191=0,IF($E191=0,"",IF(INDEX(DMAV_Dienste!O$6:O$140,$E191)="","",INDEX(DMAV_Dienste!O$6:O$140,$E191))),IF(INDEX(DMAV_Modell!P$6:P$838,$B191)="","",INDEX(DMAV_Modell!P$6:P$838,$B191)))</f>
        <v>FPDS2</v>
      </c>
      <c r="M191" s="62" t="str" cm="1">
        <f t="array" ref="M191">IF($B191=0,IF($E191=0,"",IF(INDEX(DMAV_Dienste!Q$6:Q$140,$E191)="","",INDEX(DMAV_Dienste!Q$6:Q$140,$E191))),IF(INDEX(DMAV_Modell!R$6:R$838,$B191)="","",INDEX(DMAV_Modell!R$6:R$838,$B191)))</f>
        <v>FixpunkteNachfuehrung</v>
      </c>
      <c r="N191" s="62" t="str" cm="1">
        <f t="array" ref="N191">IF($B191=0,IF($E191=0,"",IF(INDEX(DMAV_Dienste!T$6:T$140,$E191)="","",INDEX(DMAV_Dienste!T$6:T$140,$E191))),IF(INDEX(DMAV_Modell!U$6:U$838,$B191)="","",INDEX(DMAV_Modell!U$6:U$838,$B191)))</f>
        <v>Bemerkung</v>
      </c>
      <c r="O191" s="63" t="str" cm="1">
        <f t="array" aca="1" ref="O191" ca="1">IF(C191=0,IF(F191=0,"",HYPERLINK("#"&amp;RIGHT(CELL("adresse",OFFSET(DMAV_Dienste!$M$6,F191-1,0)),LEN(CELL("adresse",OFFSET(DMAV_Dienste!$M$6,F191-1,0)))-FIND("]",CELL("adresse",OFFSET(DMAV_Dienste!$M$6,F191-1,0)))),"Structure")),HYPERLINK("#"&amp;RIGHT(CELL("adresse",OFFSET(DMAV_Modell!$N$6,C191-1,0)),LEN(CELL("adresse",OFFSET(DMAV_Modell!$N$6,C191-1,0)))-FIND("]",CELL("adresse",OFFSET(DMAV_Modell!$N$6,C191-1,0)))),"Structure"))</f>
        <v/>
      </c>
      <c r="P191" s="64" t="str" cm="1">
        <f t="array" aca="1" ref="P191" ca="1">IF(D191=0,IF(G191=0,"",HYPERLINK("#"&amp;RIGHT(CELL("adresse",OFFSET(DMAV_Dienste!$M$6,G191-1,0)),LEN(CELL("adresse",OFFSET(DMAV_Dienste!$M$6,G191-1,0)))-FIND("]",CELL("adresse",OFFSET(DMAV_Dienste!$M$6,G191-1,0)))),"Substructure")),HYPERLINK("#"&amp;RIGHT(CELL("adresse",OFFSET(DMAV_Modell!$N$6,D191-1,0)),LEN(CELL("adresse",OFFSET(DMAV_Modell!$N$6,D191-1,0)))-FIND("]",CELL("adresse",OFFSET(DMAV_Modell!$N$6,D191-1,0)))),"Substructure"))</f>
        <v/>
      </c>
      <c r="R191" s="80"/>
      <c r="T191" s="93"/>
      <c r="U191" s="94"/>
      <c r="V191" s="95"/>
      <c r="W191" s="96"/>
      <c r="Y191" s="85"/>
      <c r="Z191" s="86"/>
      <c r="AA191" s="87"/>
      <c r="AB191" s="88"/>
      <c r="AD191" s="77"/>
      <c r="AF191" s="54" t="str" cm="1">
        <f t="array" aca="1" ref="AF191" ca="1">IF(H191=0,"",HYPERLINK("#"&amp;RIGHT(CELL("adresse",OFFSET('DM01-AV-CH'!$G$6,H191-1,0)),LEN(CELL("adresse",OFFSET('DM01-AV-CH'!$G$6,H191-1,0)))-FIND("]",CELL("adresse",OFFSET('DM01-AV-CH'!$G$6,H191-1,0)))),"Modell"))</f>
        <v/>
      </c>
      <c r="AG191" s="72" t="str" cm="1">
        <f t="array" ref="AG191">IF($H191=0,"",IF(INDEX('DM01-AV-CH'!G$6:G$834,$H191)="","",INDEX('DM01-AV-CH'!G$6:G$834,$H191)))</f>
        <v/>
      </c>
      <c r="AH191" s="73" t="str" cm="1">
        <f t="array" ref="AH191">IF($H191=0,"",IF(INDEX('DM01-AV-CH'!H$6:H$834,$H191)="","",INDEX('DM01-AV-CH'!H$6:H$834,$H191)))</f>
        <v/>
      </c>
      <c r="AI191" s="74" t="str" cm="1">
        <f t="array" ref="AI191">IF($H191=0,"",IF(INDEX('DM01-AV-CH'!I$6:I$834,$H191)="","",INDEX('DM01-AV-CH'!I$6:I$834,$H191)))</f>
        <v/>
      </c>
    </row>
    <row r="192" spans="1:35" x14ac:dyDescent="0.25">
      <c r="A192" s="57">
        <v>187</v>
      </c>
      <c r="B192" s="57">
        <f>IF($A192="","",IF(_xlfn.XLOOKUP($A192,Korrelation!$D$4:$D$1197,Korrelation!E$4:E$1197,"-",0)="-",0,MATCH(_xlfn.XLOOKUP($A192,Korrelation!$D$4:$D$1197,Korrelation!E$4:E$1197,"",0),DMAV_Modell!$G$6:$G$677,0)))</f>
        <v>0</v>
      </c>
      <c r="C192" s="57">
        <f>IF($A192="","",IF(_xlfn.XLOOKUP($A192,Korrelation!$D$4:$D$1197,Korrelation!F$4:F$1197,"-",0)="-",0,MATCH(_xlfn.XLOOKUP($A192,Korrelation!$D$4:$D$1197,Korrelation!F$4:F$1197,"",0),DMAV_Modell!$G$6:$G$677,0)))</f>
        <v>0</v>
      </c>
      <c r="D192" s="57">
        <f>IF($A192="","",IF(_xlfn.XLOOKUP($A192,Korrelation!$D$4:$D$1197,Korrelation!G$4:G$1197,"-",0)="-",0,MATCH(_xlfn.XLOOKUP($A192,Korrelation!$D$4:$D$1197,Korrelation!G$4:G$1197,"",0),DMAV_Modell!$G$6:$G$677,0)))</f>
        <v>0</v>
      </c>
      <c r="E192" s="57">
        <f>IF($A192="","",IF(_xlfn.XLOOKUP($A192,Korrelation!$D$4:$D$1197,Korrelation!H$4:H$1197,"-",0)="-",0,MATCH(_xlfn.XLOOKUP($A192,Korrelation!$D$4:$D$1197,Korrelation!H$4:H$1197,"",0),DMAV_Dienste!$F$6:$F$140,0)))</f>
        <v>113</v>
      </c>
      <c r="F192" s="57">
        <f>IF($A192="","",IF(_xlfn.XLOOKUP($A192,Korrelation!$D$4:$D$1197,Korrelation!I$4:I$1197,"-",0)="-",0,MATCH(_xlfn.XLOOKUP($A192,Korrelation!$D$4:$D$1197,Korrelation!I$4:I$1197,"",0),DMAV_Dienste!$F$6:$F$140,0)))</f>
        <v>0</v>
      </c>
      <c r="G192" s="57">
        <f>IF($A192="","",IF(_xlfn.XLOOKUP($A192,Korrelation!$D$4:$D$1197,Korrelation!J$4:J$1197,"-",0)="-",0,MATCH(_xlfn.XLOOKUP($A192,Korrelation!$D$4:$D$1197,Korrelation!J$4:J$1197,"",0),DMAV_Dienste!$F$6:$F$140,0)))</f>
        <v>0</v>
      </c>
      <c r="H192" s="57">
        <f>IF($A192="","",IF(_xlfn.XLOOKUP($A192,Korrelation!$D$4:$D$1197,Korrelation!K$4:K$1197,"-",0)="-",0,MATCH(_xlfn.XLOOKUP($A192,Korrelation!$D$4:$D$1197,Korrelation!K$4:K$1197,"",0),'DM01-AV-CH'!$A$6:$A$834,0)))</f>
        <v>83</v>
      </c>
      <c r="J192" s="54" t="str" cm="1">
        <f t="array" aca="1" ref="J192" ca="1">IF(B192=0,IF(E192=0,"",HYPERLINK("#"&amp;RIGHT(CELL("adresse",OFFSET(DMAV_Dienste!$M$6,E192-1,0)),LEN(CELL("adresse",OFFSET(DMAV_Dienste!$M$6,E192-1,0)))-FIND("]",CELL("adresse",OFFSET(DMAV_Dienste!$M$6,E192-1,0)))),"Dienst")),HYPERLINK("#"&amp;RIGHT(CELL("adresse",OFFSET(DMAV_Modell!$N$6,B192-1,0)),LEN(CELL("adresse",OFFSET(DMAV_Modell!$N$6,B192-1,0)))-FIND("]",CELL("adresse",OFFSET(DMAV_Modell!$N$6,B192-1,0)))),"Modell"))</f>
        <v>Dienst</v>
      </c>
      <c r="K192" s="61" t="str" cm="1">
        <f t="array" ref="K192">IF($B192=0,IF($E192=0,"",IF(INDEX(DMAV_Dienste!P$6:P$140,$E192)="","",INDEX(DMAV_Dienste!P$6:P$140,$E192))),IF(INDEX(DMAV_Modell!Q$6:Q$838,$B192)="","",INDEX(DMAV_Modell!Q$6:Q$838,$B192)))</f>
        <v>CLASS</v>
      </c>
      <c r="L192" s="62" t="str" cm="1">
        <f t="array" ref="L192">IF($B192=0,IF($E192=0,"",IF(INDEX(DMAV_Dienste!O$6:O$140,$E192)="","",INDEX(DMAV_Dienste!O$6:O$140,$E192))),IF(INDEX(DMAV_Modell!P$6:P$838,$B192)="","",INDEX(DMAV_Modell!P$6:P$838,$B192)))</f>
        <v>FPDS2</v>
      </c>
      <c r="M192" s="62" t="str" cm="1">
        <f t="array" ref="M192">IF($B192=0,IF($E192=0,"",IF(INDEX(DMAV_Dienste!Q$6:Q$140,$E192)="","",INDEX(DMAV_Dienste!Q$6:Q$140,$E192))),IF(INDEX(DMAV_Modell!R$6:R$838,$B192)="","",INDEX(DMAV_Modell!R$6:R$838,$B192)))</f>
        <v>FixpunkteNachfuehrung</v>
      </c>
      <c r="N192" s="62" t="str" cm="1">
        <f t="array" ref="N192">IF($B192=0,IF($E192=0,"",IF(INDEX(DMAV_Dienste!T$6:T$140,$E192)="","",INDEX(DMAV_Dienste!T$6:T$140,$E192))),IF(INDEX(DMAV_Modell!U$6:U$838,$B192)="","",INDEX(DMAV_Modell!U$6:U$838,$B192)))</f>
        <v>Beschreibung</v>
      </c>
      <c r="O192" s="63" t="str" cm="1">
        <f t="array" aca="1" ref="O192" ca="1">IF(C192=0,IF(F192=0,"",HYPERLINK("#"&amp;RIGHT(CELL("adresse",OFFSET(DMAV_Dienste!$M$6,F192-1,0)),LEN(CELL("adresse",OFFSET(DMAV_Dienste!$M$6,F192-1,0)))-FIND("]",CELL("adresse",OFFSET(DMAV_Dienste!$M$6,F192-1,0)))),"Structure")),HYPERLINK("#"&amp;RIGHT(CELL("adresse",OFFSET(DMAV_Modell!$N$6,C192-1,0)),LEN(CELL("adresse",OFFSET(DMAV_Modell!$N$6,C192-1,0)))-FIND("]",CELL("adresse",OFFSET(DMAV_Modell!$N$6,C192-1,0)))),"Structure"))</f>
        <v/>
      </c>
      <c r="P192" s="64" t="str" cm="1">
        <f t="array" aca="1" ref="P192" ca="1">IF(D192=0,IF(G192=0,"",HYPERLINK("#"&amp;RIGHT(CELL("adresse",OFFSET(DMAV_Dienste!$M$6,G192-1,0)),LEN(CELL("adresse",OFFSET(DMAV_Dienste!$M$6,G192-1,0)))-FIND("]",CELL("adresse",OFFSET(DMAV_Dienste!$M$6,G192-1,0)))),"Substructure")),HYPERLINK("#"&amp;RIGHT(CELL("adresse",OFFSET(DMAV_Modell!$N$6,D192-1,0)),LEN(CELL("adresse",OFFSET(DMAV_Modell!$N$6,D192-1,0)))-FIND("]",CELL("adresse",OFFSET(DMAV_Modell!$N$6,D192-1,0)))),"Substructure"))</f>
        <v/>
      </c>
      <c r="R192" s="80"/>
      <c r="T192" s="93"/>
      <c r="U192" s="94"/>
      <c r="V192" s="95"/>
      <c r="W192" s="96"/>
      <c r="Y192" s="85" t="s">
        <v>5872</v>
      </c>
      <c r="Z192" s="86"/>
      <c r="AA192" s="87"/>
      <c r="AB192" s="88"/>
      <c r="AD192" s="77"/>
      <c r="AF192" s="54" t="str" cm="1">
        <f t="array" aca="1" ref="AF192" ca="1">IF(H192=0,"",HYPERLINK("#"&amp;RIGHT(CELL("adresse",OFFSET('DM01-AV-CH'!$G$6,H192-1,0)),LEN(CELL("adresse",OFFSET('DM01-AV-CH'!$G$6,H192-1,0)))-FIND("]",CELL("adresse",OFFSET('DM01-AV-CH'!$G$6,H192-1,0)))),"Modell"))</f>
        <v>Modell</v>
      </c>
      <c r="AG192" s="72" t="str" cm="1">
        <f t="array" ref="AG192">IF($H192=0,"",IF(INDEX('DM01-AV-CH'!G$6:G$834,$H192)="","",INDEX('DM01-AV-CH'!G$6:G$834,$H192)))</f>
        <v>FixpunkteKategorie2</v>
      </c>
      <c r="AH192" s="73" t="str" cm="1">
        <f t="array" ref="AH192">IF($H192=0,"",IF(INDEX('DM01-AV-CH'!H$6:H$834,$H192)="","",INDEX('DM01-AV-CH'!H$6:H$834,$H192)))</f>
        <v>LFP2Nachfuehrung</v>
      </c>
      <c r="AI192" s="74" t="str" cm="1">
        <f t="array" ref="AI192">IF($H192=0,"",IF(INDEX('DM01-AV-CH'!I$6:I$834,$H192)="","",INDEX('DM01-AV-CH'!I$6:I$834,$H192)))</f>
        <v>Beschreibung</v>
      </c>
    </row>
    <row r="193" spans="1:35" x14ac:dyDescent="0.25">
      <c r="A193" s="57">
        <v>188</v>
      </c>
      <c r="B193" s="57">
        <f>IF($A193="","",IF(_xlfn.XLOOKUP($A193,Korrelation!$D$4:$D$1197,Korrelation!E$4:E$1197,"-",0)="-",0,MATCH(_xlfn.XLOOKUP($A193,Korrelation!$D$4:$D$1197,Korrelation!E$4:E$1197,"",0),DMAV_Modell!$G$6:$G$677,0)))</f>
        <v>0</v>
      </c>
      <c r="C193" s="57">
        <f>IF($A193="","",IF(_xlfn.XLOOKUP($A193,Korrelation!$D$4:$D$1197,Korrelation!F$4:F$1197,"-",0)="-",0,MATCH(_xlfn.XLOOKUP($A193,Korrelation!$D$4:$D$1197,Korrelation!F$4:F$1197,"",0),DMAV_Modell!$G$6:$G$677,0)))</f>
        <v>0</v>
      </c>
      <c r="D193" s="57">
        <f>IF($A193="","",IF(_xlfn.XLOOKUP($A193,Korrelation!$D$4:$D$1197,Korrelation!G$4:G$1197,"-",0)="-",0,MATCH(_xlfn.XLOOKUP($A193,Korrelation!$D$4:$D$1197,Korrelation!G$4:G$1197,"",0),DMAV_Modell!$G$6:$G$677,0)))</f>
        <v>0</v>
      </c>
      <c r="E193" s="57">
        <f>IF($A193="","",IF(_xlfn.XLOOKUP($A193,Korrelation!$D$4:$D$1197,Korrelation!H$4:H$1197,"-",0)="-",0,MATCH(_xlfn.XLOOKUP($A193,Korrelation!$D$4:$D$1197,Korrelation!H$4:H$1197,"",0),DMAV_Dienste!$F$6:$F$140,0)))</f>
        <v>114</v>
      </c>
      <c r="F193" s="57">
        <f>IF($A193="","",IF(_xlfn.XLOOKUP($A193,Korrelation!$D$4:$D$1197,Korrelation!I$4:I$1197,"-",0)="-",0,MATCH(_xlfn.XLOOKUP($A193,Korrelation!$D$4:$D$1197,Korrelation!I$4:I$1197,"",0),DMAV_Dienste!$F$6:$F$140,0)))</f>
        <v>0</v>
      </c>
      <c r="G193" s="57">
        <f>IF($A193="","",IF(_xlfn.XLOOKUP($A193,Korrelation!$D$4:$D$1197,Korrelation!J$4:J$1197,"-",0)="-",0,MATCH(_xlfn.XLOOKUP($A193,Korrelation!$D$4:$D$1197,Korrelation!J$4:J$1197,"",0),DMAV_Dienste!$F$6:$F$140,0)))</f>
        <v>0</v>
      </c>
      <c r="H193" s="57">
        <f>IF($A193="","",IF(_xlfn.XLOOKUP($A193,Korrelation!$D$4:$D$1197,Korrelation!K$4:K$1197,"-",0)="-",0,MATCH(_xlfn.XLOOKUP($A193,Korrelation!$D$4:$D$1197,Korrelation!K$4:K$1197,"",0),'DM01-AV-CH'!$A$6:$A$834,0)))</f>
        <v>85</v>
      </c>
      <c r="J193" s="54" t="str" cm="1">
        <f t="array" aca="1" ref="J193" ca="1">IF(B193=0,IF(E193=0,"",HYPERLINK("#"&amp;RIGHT(CELL("adresse",OFFSET(DMAV_Dienste!$M$6,E193-1,0)),LEN(CELL("adresse",OFFSET(DMAV_Dienste!$M$6,E193-1,0)))-FIND("]",CELL("adresse",OFFSET(DMAV_Dienste!$M$6,E193-1,0)))),"Dienst")),HYPERLINK("#"&amp;RIGHT(CELL("adresse",OFFSET(DMAV_Modell!$N$6,B193-1,0)),LEN(CELL("adresse",OFFSET(DMAV_Modell!$N$6,B193-1,0)))-FIND("]",CELL("adresse",OFFSET(DMAV_Modell!$N$6,B193-1,0)))),"Modell"))</f>
        <v>Dienst</v>
      </c>
      <c r="K193" s="61" t="str" cm="1">
        <f t="array" ref="K193">IF($B193=0,IF($E193=0,"",IF(INDEX(DMAV_Dienste!P$6:P$140,$E193)="","",INDEX(DMAV_Dienste!P$6:P$140,$E193))),IF(INDEX(DMAV_Modell!Q$6:Q$838,$B193)="","",INDEX(DMAV_Modell!Q$6:Q$838,$B193)))</f>
        <v>CLASS</v>
      </c>
      <c r="L193" s="62" t="str" cm="1">
        <f t="array" ref="L193">IF($B193=0,IF($E193=0,"",IF(INDEX(DMAV_Dienste!O$6:O$140,$E193)="","",INDEX(DMAV_Dienste!O$6:O$140,$E193))),IF(INDEX(DMAV_Modell!P$6:P$838,$B193)="","",INDEX(DMAV_Modell!P$6:P$838,$B193)))</f>
        <v>FPDS2</v>
      </c>
      <c r="M193" s="62" t="str" cm="1">
        <f t="array" ref="M193">IF($B193=0,IF($E193=0,"",IF(INDEX(DMAV_Dienste!Q$6:Q$140,$E193)="","",INDEX(DMAV_Dienste!Q$6:Q$140,$E193))),IF(INDEX(DMAV_Modell!R$6:R$838,$B193)="","",INDEX(DMAV_Modell!R$6:R$838,$B193)))</f>
        <v>FixpunkteNachfuehrung</v>
      </c>
      <c r="N193" s="62" t="str" cm="1">
        <f t="array" ref="N193">IF($B193=0,IF($E193=0,"",IF(INDEX(DMAV_Dienste!T$6:T$140,$E193)="","",INDEX(DMAV_Dienste!T$6:T$140,$E193))),IF(INDEX(DMAV_Modell!U$6:U$838,$B193)="","",INDEX(DMAV_Modell!U$6:U$838,$B193)))</f>
        <v>GueltigerEintrag</v>
      </c>
      <c r="O193" s="63" t="str" cm="1">
        <f t="array" aca="1" ref="O193" ca="1">IF(C193=0,IF(F193=0,"",HYPERLINK("#"&amp;RIGHT(CELL("adresse",OFFSET(DMAV_Dienste!$M$6,F193-1,0)),LEN(CELL("adresse",OFFSET(DMAV_Dienste!$M$6,F193-1,0)))-FIND("]",CELL("adresse",OFFSET(DMAV_Dienste!$M$6,F193-1,0)))),"Structure")),HYPERLINK("#"&amp;RIGHT(CELL("adresse",OFFSET(DMAV_Modell!$N$6,C193-1,0)),LEN(CELL("adresse",OFFSET(DMAV_Modell!$N$6,C193-1,0)))-FIND("]",CELL("adresse",OFFSET(DMAV_Modell!$N$6,C193-1,0)))),"Structure"))</f>
        <v/>
      </c>
      <c r="P193" s="64" t="str" cm="1">
        <f t="array" aca="1" ref="P193" ca="1">IF(D193=0,IF(G193=0,"",HYPERLINK("#"&amp;RIGHT(CELL("adresse",OFFSET(DMAV_Dienste!$M$6,G193-1,0)),LEN(CELL("adresse",OFFSET(DMAV_Dienste!$M$6,G193-1,0)))-FIND("]",CELL("adresse",OFFSET(DMAV_Dienste!$M$6,G193-1,0)))),"Substructure")),HYPERLINK("#"&amp;RIGHT(CELL("adresse",OFFSET(DMAV_Modell!$N$6,D193-1,0)),LEN(CELL("adresse",OFFSET(DMAV_Modell!$N$6,D193-1,0)))-FIND("]",CELL("adresse",OFFSET(DMAV_Modell!$N$6,D193-1,0)))),"Substructure"))</f>
        <v/>
      </c>
      <c r="R193" s="80"/>
      <c r="T193" s="93"/>
      <c r="U193" s="94"/>
      <c r="V193" s="95"/>
      <c r="W193" s="96"/>
      <c r="Y193" s="85" t="s">
        <v>5872</v>
      </c>
      <c r="Z193" s="86"/>
      <c r="AA193" s="87"/>
      <c r="AB193" s="88"/>
      <c r="AD193" s="77"/>
      <c r="AF193" s="54" t="str" cm="1">
        <f t="array" aca="1" ref="AF193" ca="1">IF(H193=0,"",HYPERLINK("#"&amp;RIGHT(CELL("adresse",OFFSET('DM01-AV-CH'!$G$6,H193-1,0)),LEN(CELL("adresse",OFFSET('DM01-AV-CH'!$G$6,H193-1,0)))-FIND("]",CELL("adresse",OFFSET('DM01-AV-CH'!$G$6,H193-1,0)))),"Modell"))</f>
        <v>Modell</v>
      </c>
      <c r="AG193" s="72" t="str" cm="1">
        <f t="array" ref="AG193">IF($H193=0,"",IF(INDEX('DM01-AV-CH'!G$6:G$834,$H193)="","",INDEX('DM01-AV-CH'!G$6:G$834,$H193)))</f>
        <v>FixpunkteKategorie2</v>
      </c>
      <c r="AH193" s="73" t="str" cm="1">
        <f t="array" ref="AH193">IF($H193=0,"",IF(INDEX('DM01-AV-CH'!H$6:H$834,$H193)="","",INDEX('DM01-AV-CH'!H$6:H$834,$H193)))</f>
        <v>LFP2Nachfuehrung</v>
      </c>
      <c r="AI193" s="74" t="str" cm="1">
        <f t="array" ref="AI193">IF($H193=0,"",IF(INDEX('DM01-AV-CH'!I$6:I$834,$H193)="","",INDEX('DM01-AV-CH'!I$6:I$834,$H193)))</f>
        <v>GueltigerEintrag</v>
      </c>
    </row>
    <row r="194" spans="1:35" x14ac:dyDescent="0.25">
      <c r="A194" s="57">
        <v>189</v>
      </c>
      <c r="B194" s="57">
        <f>IF($A194="","",IF(_xlfn.XLOOKUP($A194,Korrelation!$D$4:$D$1197,Korrelation!E$4:E$1197,"-",0)="-",0,MATCH(_xlfn.XLOOKUP($A194,Korrelation!$D$4:$D$1197,Korrelation!E$4:E$1197,"",0),DMAV_Modell!$G$6:$G$677,0)))</f>
        <v>0</v>
      </c>
      <c r="C194" s="57">
        <f>IF($A194="","",IF(_xlfn.XLOOKUP($A194,Korrelation!$D$4:$D$1197,Korrelation!F$4:F$1197,"-",0)="-",0,MATCH(_xlfn.XLOOKUP($A194,Korrelation!$D$4:$D$1197,Korrelation!F$4:F$1197,"",0),DMAV_Modell!$G$6:$G$677,0)))</f>
        <v>0</v>
      </c>
      <c r="D194" s="57">
        <f>IF($A194="","",IF(_xlfn.XLOOKUP($A194,Korrelation!$D$4:$D$1197,Korrelation!G$4:G$1197,"-",0)="-",0,MATCH(_xlfn.XLOOKUP($A194,Korrelation!$D$4:$D$1197,Korrelation!G$4:G$1197,"",0),DMAV_Modell!$G$6:$G$677,0)))</f>
        <v>0</v>
      </c>
      <c r="E194" s="57">
        <f>IF($A194="","",IF(_xlfn.XLOOKUP($A194,Korrelation!$D$4:$D$1197,Korrelation!H$4:H$1197,"-",0)="-",0,MATCH(_xlfn.XLOOKUP($A194,Korrelation!$D$4:$D$1197,Korrelation!H$4:H$1197,"",0),DMAV_Dienste!$F$6:$F$140,0)))</f>
        <v>115</v>
      </c>
      <c r="F194" s="57">
        <f>IF($A194="","",IF(_xlfn.XLOOKUP($A194,Korrelation!$D$4:$D$1197,Korrelation!I$4:I$1197,"-",0)="-",0,MATCH(_xlfn.XLOOKUP($A194,Korrelation!$D$4:$D$1197,Korrelation!I$4:I$1197,"",0),DMAV_Dienste!$F$6:$F$140,0)))</f>
        <v>0</v>
      </c>
      <c r="G194" s="57">
        <f>IF($A194="","",IF(_xlfn.XLOOKUP($A194,Korrelation!$D$4:$D$1197,Korrelation!J$4:J$1197,"-",0)="-",0,MATCH(_xlfn.XLOOKUP($A194,Korrelation!$D$4:$D$1197,Korrelation!J$4:J$1197,"",0),DMAV_Dienste!$F$6:$F$140,0)))</f>
        <v>0</v>
      </c>
      <c r="H194" s="57">
        <f>IF($A194="","",IF(_xlfn.XLOOKUP($A194,Korrelation!$D$4:$D$1197,Korrelation!K$4:K$1197,"-",0)="-",0,MATCH(_xlfn.XLOOKUP($A194,Korrelation!$D$4:$D$1197,Korrelation!K$4:K$1197,"",0),'DM01-AV-CH'!$A$6:$A$834,0)))</f>
        <v>86</v>
      </c>
      <c r="J194" s="54" t="str" cm="1">
        <f t="array" aca="1" ref="J194" ca="1">IF(B194=0,IF(E194=0,"",HYPERLINK("#"&amp;RIGHT(CELL("adresse",OFFSET(DMAV_Dienste!$M$6,E194-1,0)),LEN(CELL("adresse",OFFSET(DMAV_Dienste!$M$6,E194-1,0)))-FIND("]",CELL("adresse",OFFSET(DMAV_Dienste!$M$6,E194-1,0)))),"Dienst")),HYPERLINK("#"&amp;RIGHT(CELL("adresse",OFFSET(DMAV_Modell!$N$6,B194-1,0)),LEN(CELL("adresse",OFFSET(DMAV_Modell!$N$6,B194-1,0)))-FIND("]",CELL("adresse",OFFSET(DMAV_Modell!$N$6,B194-1,0)))),"Modell"))</f>
        <v>Dienst</v>
      </c>
      <c r="K194" s="61" t="str" cm="1">
        <f t="array" ref="K194">IF($B194=0,IF($E194=0,"",IF(INDEX(DMAV_Dienste!P$6:P$140,$E194)="","",INDEX(DMAV_Dienste!P$6:P$140,$E194))),IF(INDEX(DMAV_Modell!Q$6:Q$838,$B194)="","",INDEX(DMAV_Modell!Q$6:Q$838,$B194)))</f>
        <v>CLASS</v>
      </c>
      <c r="L194" s="62" t="str" cm="1">
        <f t="array" ref="L194">IF($B194=0,IF($E194=0,"",IF(INDEX(DMAV_Dienste!O$6:O$140,$E194)="","",INDEX(DMAV_Dienste!O$6:O$140,$E194))),IF(INDEX(DMAV_Modell!P$6:P$838,$B194)="","",INDEX(DMAV_Modell!P$6:P$838,$B194)))</f>
        <v>FPDS2</v>
      </c>
      <c r="M194" s="62" t="str" cm="1">
        <f t="array" ref="M194">IF($B194=0,IF($E194=0,"",IF(INDEX(DMAV_Dienste!Q$6:Q$140,$E194)="","",INDEX(DMAV_Dienste!Q$6:Q$140,$E194))),IF(INDEX(DMAV_Modell!R$6:R$838,$B194)="","",INDEX(DMAV_Modell!R$6:R$838,$B194)))</f>
        <v>FixpunkteNachfuehrung</v>
      </c>
      <c r="N194" s="62" t="str" cm="1">
        <f t="array" ref="N194">IF($B194=0,IF($E194=0,"",IF(INDEX(DMAV_Dienste!T$6:T$140,$E194)="","",INDEX(DMAV_Dienste!T$6:T$140,$E194))),IF(INDEX(DMAV_Modell!U$6:U$838,$B194)="","",INDEX(DMAV_Modell!U$6:U$838,$B194)))</f>
        <v>DatumEroeffnung</v>
      </c>
      <c r="O194" s="63" t="str" cm="1">
        <f t="array" aca="1" ref="O194" ca="1">IF(C194=0,IF(F194=0,"",HYPERLINK("#"&amp;RIGHT(CELL("adresse",OFFSET(DMAV_Dienste!$M$6,F194-1,0)),LEN(CELL("adresse",OFFSET(DMAV_Dienste!$M$6,F194-1,0)))-FIND("]",CELL("adresse",OFFSET(DMAV_Dienste!$M$6,F194-1,0)))),"Structure")),HYPERLINK("#"&amp;RIGHT(CELL("adresse",OFFSET(DMAV_Modell!$N$6,C194-1,0)),LEN(CELL("adresse",OFFSET(DMAV_Modell!$N$6,C194-1,0)))-FIND("]",CELL("adresse",OFFSET(DMAV_Modell!$N$6,C194-1,0)))),"Structure"))</f>
        <v/>
      </c>
      <c r="P194" s="64" t="str" cm="1">
        <f t="array" aca="1" ref="P194" ca="1">IF(D194=0,IF(G194=0,"",HYPERLINK("#"&amp;RIGHT(CELL("adresse",OFFSET(DMAV_Dienste!$M$6,G194-1,0)),LEN(CELL("adresse",OFFSET(DMAV_Dienste!$M$6,G194-1,0)))-FIND("]",CELL("adresse",OFFSET(DMAV_Dienste!$M$6,G194-1,0)))),"Substructure")),HYPERLINK("#"&amp;RIGHT(CELL("adresse",OFFSET(DMAV_Modell!$N$6,D194-1,0)),LEN(CELL("adresse",OFFSET(DMAV_Modell!$N$6,D194-1,0)))-FIND("]",CELL("adresse",OFFSET(DMAV_Modell!$N$6,D194-1,0)))),"Substructure"))</f>
        <v/>
      </c>
      <c r="R194" s="80"/>
      <c r="T194" s="93"/>
      <c r="U194" s="94"/>
      <c r="V194" s="95"/>
      <c r="W194" s="96"/>
      <c r="Y194" s="85" t="s">
        <v>5872</v>
      </c>
      <c r="Z194" s="86"/>
      <c r="AA194" s="87"/>
      <c r="AB194" s="88"/>
      <c r="AD194" s="77" t="s">
        <v>3049</v>
      </c>
      <c r="AF194" s="54" t="str" cm="1">
        <f t="array" aca="1" ref="AF194" ca="1">IF(H194=0,"",HYPERLINK("#"&amp;RIGHT(CELL("adresse",OFFSET('DM01-AV-CH'!$G$6,H194-1,0)),LEN(CELL("adresse",OFFSET('DM01-AV-CH'!$G$6,H194-1,0)))-FIND("]",CELL("adresse",OFFSET('DM01-AV-CH'!$G$6,H194-1,0)))),"Modell"))</f>
        <v>Modell</v>
      </c>
      <c r="AG194" s="72" t="str" cm="1">
        <f t="array" ref="AG194">IF($H194=0,"",IF(INDEX('DM01-AV-CH'!G$6:G$834,$H194)="","",INDEX('DM01-AV-CH'!G$6:G$834,$H194)))</f>
        <v>FixpunkteKategorie2</v>
      </c>
      <c r="AH194" s="73" t="str" cm="1">
        <f t="array" ref="AH194">IF($H194=0,"",IF(INDEX('DM01-AV-CH'!H$6:H$834,$H194)="","",INDEX('DM01-AV-CH'!H$6:H$834,$H194)))</f>
        <v>LFP2Nachfuehrung</v>
      </c>
      <c r="AI194" s="74" t="str" cm="1">
        <f t="array" ref="AI194">IF($H194=0,"",IF(INDEX('DM01-AV-CH'!I$6:I$834,$H194)="","",INDEX('DM01-AV-CH'!I$6:I$834,$H194)))</f>
        <v>Datum1</v>
      </c>
    </row>
    <row r="195" spans="1:35" x14ac:dyDescent="0.25">
      <c r="A195" s="57">
        <v>190</v>
      </c>
      <c r="B195" s="57">
        <f>IF($A195="","",IF(_xlfn.XLOOKUP($A195,Korrelation!$D$4:$D$1197,Korrelation!E$4:E$1197,"-",0)="-",0,MATCH(_xlfn.XLOOKUP($A195,Korrelation!$D$4:$D$1197,Korrelation!E$4:E$1197,"",0),DMAV_Modell!$G$6:$G$677,0)))</f>
        <v>0</v>
      </c>
      <c r="C195" s="57">
        <f>IF($A195="","",IF(_xlfn.XLOOKUP($A195,Korrelation!$D$4:$D$1197,Korrelation!F$4:F$1197,"-",0)="-",0,MATCH(_xlfn.XLOOKUP($A195,Korrelation!$D$4:$D$1197,Korrelation!F$4:F$1197,"",0),DMAV_Modell!$G$6:$G$677,0)))</f>
        <v>0</v>
      </c>
      <c r="D195" s="57">
        <f>IF($A195="","",IF(_xlfn.XLOOKUP($A195,Korrelation!$D$4:$D$1197,Korrelation!G$4:G$1197,"-",0)="-",0,MATCH(_xlfn.XLOOKUP($A195,Korrelation!$D$4:$D$1197,Korrelation!G$4:G$1197,"",0),DMAV_Modell!$G$6:$G$677,0)))</f>
        <v>0</v>
      </c>
      <c r="E195" s="57">
        <f>IF($A195="","",IF(_xlfn.XLOOKUP($A195,Korrelation!$D$4:$D$1197,Korrelation!H$4:H$1197,"-",0)="-",0,MATCH(_xlfn.XLOOKUP($A195,Korrelation!$D$4:$D$1197,Korrelation!H$4:H$1197,"",0),DMAV_Dienste!$F$6:$F$140,0)))</f>
        <v>116</v>
      </c>
      <c r="F195" s="57">
        <f>IF($A195="","",IF(_xlfn.XLOOKUP($A195,Korrelation!$D$4:$D$1197,Korrelation!I$4:I$1197,"-",0)="-",0,MATCH(_xlfn.XLOOKUP($A195,Korrelation!$D$4:$D$1197,Korrelation!I$4:I$1197,"",0),DMAV_Dienste!$F$6:$F$140,0)))</f>
        <v>0</v>
      </c>
      <c r="G195" s="57">
        <f>IF($A195="","",IF(_xlfn.XLOOKUP($A195,Korrelation!$D$4:$D$1197,Korrelation!J$4:J$1197,"-",0)="-",0,MATCH(_xlfn.XLOOKUP($A195,Korrelation!$D$4:$D$1197,Korrelation!J$4:J$1197,"",0),DMAV_Dienste!$F$6:$F$140,0)))</f>
        <v>0</v>
      </c>
      <c r="H195" s="57">
        <f>IF($A195="","",IF(_xlfn.XLOOKUP($A195,Korrelation!$D$4:$D$1197,Korrelation!K$4:K$1197,"-",0)="-",0,MATCH(_xlfn.XLOOKUP($A195,Korrelation!$D$4:$D$1197,Korrelation!K$4:K$1197,"",0),'DM01-AV-CH'!$A$6:$A$834,0)))</f>
        <v>82</v>
      </c>
      <c r="J195" s="54" t="str" cm="1">
        <f t="array" aca="1" ref="J195" ca="1">IF(B195=0,IF(E195=0,"",HYPERLINK("#"&amp;RIGHT(CELL("adresse",OFFSET(DMAV_Dienste!$M$6,E195-1,0)),LEN(CELL("adresse",OFFSET(DMAV_Dienste!$M$6,E195-1,0)))-FIND("]",CELL("adresse",OFFSET(DMAV_Dienste!$M$6,E195-1,0)))),"Dienst")),HYPERLINK("#"&amp;RIGHT(CELL("adresse",OFFSET(DMAV_Modell!$N$6,B195-1,0)),LEN(CELL("adresse",OFFSET(DMAV_Modell!$N$6,B195-1,0)))-FIND("]",CELL("adresse",OFFSET(DMAV_Modell!$N$6,B195-1,0)))),"Modell"))</f>
        <v>Dienst</v>
      </c>
      <c r="K195" s="61" t="str" cm="1">
        <f t="array" ref="K195">IF($B195=0,IF($E195=0,"",IF(INDEX(DMAV_Dienste!P$6:P$140,$E195)="","",INDEX(DMAV_Dienste!P$6:P$140,$E195))),IF(INDEX(DMAV_Modell!Q$6:Q$838,$B195)="","",INDEX(DMAV_Modell!Q$6:Q$838,$B195)))</f>
        <v>CLASS</v>
      </c>
      <c r="L195" s="62" t="str" cm="1">
        <f t="array" ref="L195">IF($B195=0,IF($E195=0,"",IF(INDEX(DMAV_Dienste!O$6:O$140,$E195)="","",INDEX(DMAV_Dienste!O$6:O$140,$E195))),IF(INDEX(DMAV_Modell!P$6:P$838,$B195)="","",INDEX(DMAV_Modell!P$6:P$838,$B195)))</f>
        <v>FPDS2</v>
      </c>
      <c r="M195" s="62" t="str" cm="1">
        <f t="array" ref="M195">IF($B195=0,IF($E195=0,"",IF(INDEX(DMAV_Dienste!Q$6:Q$140,$E195)="","",INDEX(DMAV_Dienste!Q$6:Q$140,$E195))),IF(INDEX(DMAV_Modell!R$6:R$838,$B195)="","",INDEX(DMAV_Modell!R$6:R$838,$B195)))</f>
        <v>FixpunkteNachfuehrung</v>
      </c>
      <c r="N195" s="62" t="str" cm="1">
        <f t="array" ref="N195">IF($B195=0,IF($E195=0,"",IF(INDEX(DMAV_Dienste!T$6:T$140,$E195)="","",INDEX(DMAV_Dienste!T$6:T$140,$E195))),IF(INDEX(DMAV_Modell!U$6:U$838,$B195)="","",INDEX(DMAV_Modell!U$6:U$838,$B195)))</f>
        <v>Identifikator</v>
      </c>
      <c r="O195" s="63" t="str" cm="1">
        <f t="array" aca="1" ref="O195" ca="1">IF(C195=0,IF(F195=0,"",HYPERLINK("#"&amp;RIGHT(CELL("adresse",OFFSET(DMAV_Dienste!$M$6,F195-1,0)),LEN(CELL("adresse",OFFSET(DMAV_Dienste!$M$6,F195-1,0)))-FIND("]",CELL("adresse",OFFSET(DMAV_Dienste!$M$6,F195-1,0)))),"Structure")),HYPERLINK("#"&amp;RIGHT(CELL("adresse",OFFSET(DMAV_Modell!$N$6,C195-1,0)),LEN(CELL("adresse",OFFSET(DMAV_Modell!$N$6,C195-1,0)))-FIND("]",CELL("adresse",OFFSET(DMAV_Modell!$N$6,C195-1,0)))),"Structure"))</f>
        <v/>
      </c>
      <c r="P195" s="64" t="str" cm="1">
        <f t="array" aca="1" ref="P195" ca="1">IF(D195=0,IF(G195=0,"",HYPERLINK("#"&amp;RIGHT(CELL("adresse",OFFSET(DMAV_Dienste!$M$6,G195-1,0)),LEN(CELL("adresse",OFFSET(DMAV_Dienste!$M$6,G195-1,0)))-FIND("]",CELL("adresse",OFFSET(DMAV_Dienste!$M$6,G195-1,0)))),"Substructure")),HYPERLINK("#"&amp;RIGHT(CELL("adresse",OFFSET(DMAV_Modell!$N$6,D195-1,0)),LEN(CELL("adresse",OFFSET(DMAV_Modell!$N$6,D195-1,0)))-FIND("]",CELL("adresse",OFFSET(DMAV_Modell!$N$6,D195-1,0)))),"Substructure"))</f>
        <v/>
      </c>
      <c r="R195" s="80"/>
      <c r="T195" s="93"/>
      <c r="U195" s="94"/>
      <c r="V195" s="95"/>
      <c r="W195" s="96"/>
      <c r="Y195" s="85" t="s">
        <v>5872</v>
      </c>
      <c r="Z195" s="86"/>
      <c r="AA195" s="87"/>
      <c r="AB195" s="88"/>
      <c r="AD195" s="77"/>
      <c r="AF195" s="54" t="str" cm="1">
        <f t="array" aca="1" ref="AF195" ca="1">IF(H195=0,"",HYPERLINK("#"&amp;RIGHT(CELL("adresse",OFFSET('DM01-AV-CH'!$G$6,H195-1,0)),LEN(CELL("adresse",OFFSET('DM01-AV-CH'!$G$6,H195-1,0)))-FIND("]",CELL("adresse",OFFSET('DM01-AV-CH'!$G$6,H195-1,0)))),"Modell"))</f>
        <v>Modell</v>
      </c>
      <c r="AG195" s="72" t="str" cm="1">
        <f t="array" ref="AG195">IF($H195=0,"",IF(INDEX('DM01-AV-CH'!G$6:G$834,$H195)="","",INDEX('DM01-AV-CH'!G$6:G$834,$H195)))</f>
        <v>FixpunkteKategorie2</v>
      </c>
      <c r="AH195" s="73" t="str" cm="1">
        <f t="array" ref="AH195">IF($H195=0,"",IF(INDEX('DM01-AV-CH'!H$6:H$834,$H195)="","",INDEX('DM01-AV-CH'!H$6:H$834,$H195)))</f>
        <v>LFP2Nachfuehrung</v>
      </c>
      <c r="AI195" s="74" t="str" cm="1">
        <f t="array" ref="AI195">IF($H195=0,"",IF(INDEX('DM01-AV-CH'!I$6:I$834,$H195)="","",INDEX('DM01-AV-CH'!I$6:I$834,$H195)))</f>
        <v>Identifikator</v>
      </c>
    </row>
    <row r="196" spans="1:35" x14ac:dyDescent="0.25">
      <c r="A196" s="57">
        <v>191</v>
      </c>
      <c r="B196" s="57">
        <f>IF($A196="","",IF(_xlfn.XLOOKUP($A196,Korrelation!$D$4:$D$1197,Korrelation!E$4:E$1197,"-",0)="-",0,MATCH(_xlfn.XLOOKUP($A196,Korrelation!$D$4:$D$1197,Korrelation!E$4:E$1197,"",0),DMAV_Modell!$G$6:$G$677,0)))</f>
        <v>0</v>
      </c>
      <c r="C196" s="57">
        <f>IF($A196="","",IF(_xlfn.XLOOKUP($A196,Korrelation!$D$4:$D$1197,Korrelation!F$4:F$1197,"-",0)="-",0,MATCH(_xlfn.XLOOKUP($A196,Korrelation!$D$4:$D$1197,Korrelation!F$4:F$1197,"",0),DMAV_Modell!$G$6:$G$677,0)))</f>
        <v>0</v>
      </c>
      <c r="D196" s="57">
        <f>IF($A196="","",IF(_xlfn.XLOOKUP($A196,Korrelation!$D$4:$D$1197,Korrelation!G$4:G$1197,"-",0)="-",0,MATCH(_xlfn.XLOOKUP($A196,Korrelation!$D$4:$D$1197,Korrelation!G$4:G$1197,"",0),DMAV_Modell!$G$6:$G$677,0)))</f>
        <v>0</v>
      </c>
      <c r="E196" s="57">
        <f>IF($A196="","",IF(_xlfn.XLOOKUP($A196,Korrelation!$D$4:$D$1197,Korrelation!H$4:H$1197,"-",0)="-",0,MATCH(_xlfn.XLOOKUP($A196,Korrelation!$D$4:$D$1197,Korrelation!H$4:H$1197,"",0),DMAV_Dienste!$F$6:$F$140,0)))</f>
        <v>117</v>
      </c>
      <c r="F196" s="57">
        <f>IF($A196="","",IF(_xlfn.XLOOKUP($A196,Korrelation!$D$4:$D$1197,Korrelation!I$4:I$1197,"-",0)="-",0,MATCH(_xlfn.XLOOKUP($A196,Korrelation!$D$4:$D$1197,Korrelation!I$4:I$1197,"",0),DMAV_Dienste!$F$6:$F$140,0)))</f>
        <v>0</v>
      </c>
      <c r="G196" s="57">
        <f>IF($A196="","",IF(_xlfn.XLOOKUP($A196,Korrelation!$D$4:$D$1197,Korrelation!J$4:J$1197,"-",0)="-",0,MATCH(_xlfn.XLOOKUP($A196,Korrelation!$D$4:$D$1197,Korrelation!J$4:J$1197,"",0),DMAV_Dienste!$F$6:$F$140,0)))</f>
        <v>0</v>
      </c>
      <c r="H196" s="57">
        <f>IF($A196="","",IF(_xlfn.XLOOKUP($A196,Korrelation!$D$4:$D$1197,Korrelation!K$4:K$1197,"-",0)="-",0,MATCH(_xlfn.XLOOKUP($A196,Korrelation!$D$4:$D$1197,Korrelation!K$4:K$1197,"",0),'DM01-AV-CH'!$A$6:$A$834,0)))</f>
        <v>81</v>
      </c>
      <c r="J196" s="54" t="str" cm="1">
        <f t="array" aca="1" ref="J196" ca="1">IF(B196=0,IF(E196=0,"",HYPERLINK("#"&amp;RIGHT(CELL("adresse",OFFSET(DMAV_Dienste!$M$6,E196-1,0)),LEN(CELL("adresse",OFFSET(DMAV_Dienste!$M$6,E196-1,0)))-FIND("]",CELL("adresse",OFFSET(DMAV_Dienste!$M$6,E196-1,0)))),"Dienst")),HYPERLINK("#"&amp;RIGHT(CELL("adresse",OFFSET(DMAV_Modell!$N$6,B196-1,0)),LEN(CELL("adresse",OFFSET(DMAV_Modell!$N$6,B196-1,0)))-FIND("]",CELL("adresse",OFFSET(DMAV_Modell!$N$6,B196-1,0)))),"Modell"))</f>
        <v>Dienst</v>
      </c>
      <c r="K196" s="61" t="str" cm="1">
        <f t="array" ref="K196">IF($B196=0,IF($E196=0,"",IF(INDEX(DMAV_Dienste!P$6:P$140,$E196)="","",INDEX(DMAV_Dienste!P$6:P$140,$E196))),IF(INDEX(DMAV_Modell!Q$6:Q$838,$B196)="","",INDEX(DMAV_Modell!Q$6:Q$838,$B196)))</f>
        <v>CLASS</v>
      </c>
      <c r="L196" s="62" t="str" cm="1">
        <f t="array" ref="L196">IF($B196=0,IF($E196=0,"",IF(INDEX(DMAV_Dienste!O$6:O$140,$E196)="","",INDEX(DMAV_Dienste!O$6:O$140,$E196))),IF(INDEX(DMAV_Modell!P$6:P$838,$B196)="","",INDEX(DMAV_Modell!P$6:P$838,$B196)))</f>
        <v>FPDS2</v>
      </c>
      <c r="M196" s="62" t="str" cm="1">
        <f t="array" ref="M196">IF($B196=0,IF($E196=0,"",IF(INDEX(DMAV_Dienste!Q$6:Q$140,$E196)="","",INDEX(DMAV_Dienste!Q$6:Q$140,$E196))),IF(INDEX(DMAV_Modell!R$6:R$838,$B196)="","",INDEX(DMAV_Modell!R$6:R$838,$B196)))</f>
        <v>FixpunkteNachfuehrung</v>
      </c>
      <c r="N196" s="62" t="str" cm="1">
        <f t="array" ref="N196">IF($B196=0,IF($E196=0,"",IF(INDEX(DMAV_Dienste!T$6:T$140,$E196)="","",INDEX(DMAV_Dienste!T$6:T$140,$E196))),IF(INDEX(DMAV_Modell!U$6:U$838,$B196)="","",INDEX(DMAV_Modell!U$6:U$838,$B196)))</f>
        <v>NBIdent</v>
      </c>
      <c r="O196" s="63" t="str" cm="1">
        <f t="array" aca="1" ref="O196" ca="1">IF(C196=0,IF(F196=0,"",HYPERLINK("#"&amp;RIGHT(CELL("adresse",OFFSET(DMAV_Dienste!$M$6,F196-1,0)),LEN(CELL("adresse",OFFSET(DMAV_Dienste!$M$6,F196-1,0)))-FIND("]",CELL("adresse",OFFSET(DMAV_Dienste!$M$6,F196-1,0)))),"Structure")),HYPERLINK("#"&amp;RIGHT(CELL("adresse",OFFSET(DMAV_Modell!$N$6,C196-1,0)),LEN(CELL("adresse",OFFSET(DMAV_Modell!$N$6,C196-1,0)))-FIND("]",CELL("adresse",OFFSET(DMAV_Modell!$N$6,C196-1,0)))),"Structure"))</f>
        <v/>
      </c>
      <c r="P196" s="64" t="str" cm="1">
        <f t="array" aca="1" ref="P196" ca="1">IF(D196=0,IF(G196=0,"",HYPERLINK("#"&amp;RIGHT(CELL("adresse",OFFSET(DMAV_Dienste!$M$6,G196-1,0)),LEN(CELL("adresse",OFFSET(DMAV_Dienste!$M$6,G196-1,0)))-FIND("]",CELL("adresse",OFFSET(DMAV_Dienste!$M$6,G196-1,0)))),"Substructure")),HYPERLINK("#"&amp;RIGHT(CELL("adresse",OFFSET(DMAV_Modell!$N$6,D196-1,0)),LEN(CELL("adresse",OFFSET(DMAV_Modell!$N$6,D196-1,0)))-FIND("]",CELL("adresse",OFFSET(DMAV_Modell!$N$6,D196-1,0)))),"Substructure"))</f>
        <v/>
      </c>
      <c r="R196" s="80"/>
      <c r="T196" s="93"/>
      <c r="U196" s="94"/>
      <c r="V196" s="95"/>
      <c r="W196" s="96"/>
      <c r="Y196" s="85" t="s">
        <v>5872</v>
      </c>
      <c r="Z196" s="86"/>
      <c r="AA196" s="87"/>
      <c r="AB196" s="88"/>
      <c r="AD196" s="77"/>
      <c r="AF196" s="54" t="str" cm="1">
        <f t="array" aca="1" ref="AF196" ca="1">IF(H196=0,"",HYPERLINK("#"&amp;RIGHT(CELL("adresse",OFFSET('DM01-AV-CH'!$G$6,H196-1,0)),LEN(CELL("adresse",OFFSET('DM01-AV-CH'!$G$6,H196-1,0)))-FIND("]",CELL("adresse",OFFSET('DM01-AV-CH'!$G$6,H196-1,0)))),"Modell"))</f>
        <v>Modell</v>
      </c>
      <c r="AG196" s="72" t="str" cm="1">
        <f t="array" ref="AG196">IF($H196=0,"",IF(INDEX('DM01-AV-CH'!G$6:G$834,$H196)="","",INDEX('DM01-AV-CH'!G$6:G$834,$H196)))</f>
        <v>FixpunkteKategorie2</v>
      </c>
      <c r="AH196" s="73" t="str" cm="1">
        <f t="array" ref="AH196">IF($H196=0,"",IF(INDEX('DM01-AV-CH'!H$6:H$834,$H196)="","",INDEX('DM01-AV-CH'!H$6:H$834,$H196)))</f>
        <v>LFP2Nachfuehrung</v>
      </c>
      <c r="AI196" s="74" t="str" cm="1">
        <f t="array" ref="AI196">IF($H196=0,"",IF(INDEX('DM01-AV-CH'!I$6:I$834,$H196)="","",INDEX('DM01-AV-CH'!I$6:I$834,$H196)))</f>
        <v>NBIdent</v>
      </c>
    </row>
    <row r="197" spans="1:35" x14ac:dyDescent="0.25">
      <c r="A197" s="57">
        <v>192</v>
      </c>
      <c r="B197" s="57">
        <f>IF($A197="","",IF(_xlfn.XLOOKUP($A197,Korrelation!$D$4:$D$1197,Korrelation!E$4:E$1197,"-",0)="-",0,MATCH(_xlfn.XLOOKUP($A197,Korrelation!$D$4:$D$1197,Korrelation!E$4:E$1197,"",0),DMAV_Modell!$G$6:$G$677,0)))</f>
        <v>0</v>
      </c>
      <c r="C197" s="57">
        <f>IF($A197="","",IF(_xlfn.XLOOKUP($A197,Korrelation!$D$4:$D$1197,Korrelation!F$4:F$1197,"-",0)="-",0,MATCH(_xlfn.XLOOKUP($A197,Korrelation!$D$4:$D$1197,Korrelation!F$4:F$1197,"",0),DMAV_Modell!$G$6:$G$677,0)))</f>
        <v>0</v>
      </c>
      <c r="D197" s="57">
        <f>IF($A197="","",IF(_xlfn.XLOOKUP($A197,Korrelation!$D$4:$D$1197,Korrelation!G$4:G$1197,"-",0)="-",0,MATCH(_xlfn.XLOOKUP($A197,Korrelation!$D$4:$D$1197,Korrelation!G$4:G$1197,"",0),DMAV_Modell!$G$6:$G$677,0)))</f>
        <v>0</v>
      </c>
      <c r="E197" s="57">
        <f>IF($A197="","",IF(_xlfn.XLOOKUP($A197,Korrelation!$D$4:$D$1197,Korrelation!H$4:H$1197,"-",0)="-",0,MATCH(_xlfn.XLOOKUP($A197,Korrelation!$D$4:$D$1197,Korrelation!H$4:H$1197,"",0),DMAV_Dienste!$F$6:$F$140,0)))</f>
        <v>118</v>
      </c>
      <c r="F197" s="57">
        <f>IF($A197="","",IF(_xlfn.XLOOKUP($A197,Korrelation!$D$4:$D$1197,Korrelation!I$4:I$1197,"-",0)="-",0,MATCH(_xlfn.XLOOKUP($A197,Korrelation!$D$4:$D$1197,Korrelation!I$4:I$1197,"",0),DMAV_Dienste!$F$6:$F$140,0)))</f>
        <v>0</v>
      </c>
      <c r="G197" s="57">
        <f>IF($A197="","",IF(_xlfn.XLOOKUP($A197,Korrelation!$D$4:$D$1197,Korrelation!J$4:J$1197,"-",0)="-",0,MATCH(_xlfn.XLOOKUP($A197,Korrelation!$D$4:$D$1197,Korrelation!J$4:J$1197,"",0),DMAV_Dienste!$F$6:$F$140,0)))</f>
        <v>0</v>
      </c>
      <c r="H197" s="57">
        <f>IF($A197="","",IF(_xlfn.XLOOKUP($A197,Korrelation!$D$4:$D$1197,Korrelation!K$4:K$1197,"-",0)="-",0,MATCH(_xlfn.XLOOKUP($A197,Korrelation!$D$4:$D$1197,Korrelation!K$4:K$1197,"",0),'DM01-AV-CH'!$A$6:$A$834,0)))</f>
        <v>0</v>
      </c>
      <c r="J197" s="54" t="str" cm="1">
        <f t="array" aca="1" ref="J197" ca="1">IF(B197=0,IF(E197=0,"",HYPERLINK("#"&amp;RIGHT(CELL("adresse",OFFSET(DMAV_Dienste!$M$6,E197-1,0)),LEN(CELL("adresse",OFFSET(DMAV_Dienste!$M$6,E197-1,0)))-FIND("]",CELL("adresse",OFFSET(DMAV_Dienste!$M$6,E197-1,0)))),"Dienst")),HYPERLINK("#"&amp;RIGHT(CELL("adresse",OFFSET(DMAV_Modell!$N$6,B197-1,0)),LEN(CELL("adresse",OFFSET(DMAV_Modell!$N$6,B197-1,0)))-FIND("]",CELL("adresse",OFFSET(DMAV_Modell!$N$6,B197-1,0)))),"Modell"))</f>
        <v>Dienst</v>
      </c>
      <c r="K197" s="61" t="str" cm="1">
        <f t="array" ref="K197">IF($B197=0,IF($E197=0,"",IF(INDEX(DMAV_Dienste!P$6:P$140,$E197)="","",INDEX(DMAV_Dienste!P$6:P$140,$E197))),IF(INDEX(DMAV_Modell!Q$6:Q$838,$B197)="","",INDEX(DMAV_Modell!Q$6:Q$838,$B197)))</f>
        <v>CLASS</v>
      </c>
      <c r="L197" s="62" t="str" cm="1">
        <f t="array" ref="L197">IF($B197=0,IF($E197=0,"",IF(INDEX(DMAV_Dienste!O$6:O$140,$E197)="","",INDEX(DMAV_Dienste!O$6:O$140,$E197))),IF(INDEX(DMAV_Modell!P$6:P$838,$B197)="","",INDEX(DMAV_Modell!P$6:P$838,$B197)))</f>
        <v>FPDS2</v>
      </c>
      <c r="M197" s="62" t="str" cm="1">
        <f t="array" ref="M197">IF($B197=0,IF($E197=0,"",IF(INDEX(DMAV_Dienste!Q$6:Q$140,$E197)="","",INDEX(DMAV_Dienste!Q$6:Q$140,$E197))),IF(INDEX(DMAV_Modell!R$6:R$838,$B197)="","",INDEX(DMAV_Modell!R$6:R$838,$B197)))</f>
        <v>FixpunkteNachfuehrung</v>
      </c>
      <c r="N197" s="62" t="str" cm="1">
        <f t="array" ref="N197">IF($B197=0,IF($E197=0,"",IF(INDEX(DMAV_Dienste!T$6:T$140,$E197)="","",INDEX(DMAV_Dienste!T$6:T$140,$E197))),IF(INDEX(DMAV_Modell!U$6:U$838,$B197)="","",INDEX(DMAV_Modell!U$6:U$838,$B197)))</f>
        <v>Status</v>
      </c>
      <c r="O197" s="63" t="str" cm="1">
        <f t="array" aca="1" ref="O197" ca="1">IF(C197=0,IF(F197=0,"",HYPERLINK("#"&amp;RIGHT(CELL("adresse",OFFSET(DMAV_Dienste!$M$6,F197-1,0)),LEN(CELL("adresse",OFFSET(DMAV_Dienste!$M$6,F197-1,0)))-FIND("]",CELL("adresse",OFFSET(DMAV_Dienste!$M$6,F197-1,0)))),"Structure")),HYPERLINK("#"&amp;RIGHT(CELL("adresse",OFFSET(DMAV_Modell!$N$6,C197-1,0)),LEN(CELL("adresse",OFFSET(DMAV_Modell!$N$6,C197-1,0)))-FIND("]",CELL("adresse",OFFSET(DMAV_Modell!$N$6,C197-1,0)))),"Structure"))</f>
        <v/>
      </c>
      <c r="P197" s="64" t="str" cm="1">
        <f t="array" aca="1" ref="P197" ca="1">IF(D197=0,IF(G197=0,"",HYPERLINK("#"&amp;RIGHT(CELL("adresse",OFFSET(DMAV_Dienste!$M$6,G197-1,0)),LEN(CELL("adresse",OFFSET(DMAV_Dienste!$M$6,G197-1,0)))-FIND("]",CELL("adresse",OFFSET(DMAV_Dienste!$M$6,G197-1,0)))),"Substructure")),HYPERLINK("#"&amp;RIGHT(CELL("adresse",OFFSET(DMAV_Modell!$N$6,D197-1,0)),LEN(CELL("adresse",OFFSET(DMAV_Modell!$N$6,D197-1,0)))-FIND("]",CELL("adresse",OFFSET(DMAV_Modell!$N$6,D197-1,0)))),"Substructure"))</f>
        <v/>
      </c>
      <c r="R197" s="80"/>
      <c r="T197" s="93"/>
      <c r="U197" s="94"/>
      <c r="V197" s="95"/>
      <c r="W197" s="96"/>
      <c r="Y197" s="85"/>
      <c r="Z197" s="86"/>
      <c r="AA197" s="87"/>
      <c r="AB197" s="88"/>
      <c r="AD197" s="77"/>
      <c r="AF197" s="54" t="str" cm="1">
        <f t="array" aca="1" ref="AF197" ca="1">IF(H197=0,"",HYPERLINK("#"&amp;RIGHT(CELL("adresse",OFFSET('DM01-AV-CH'!$G$6,H197-1,0)),LEN(CELL("adresse",OFFSET('DM01-AV-CH'!$G$6,H197-1,0)))-FIND("]",CELL("adresse",OFFSET('DM01-AV-CH'!$G$6,H197-1,0)))),"Modell"))</f>
        <v/>
      </c>
      <c r="AG197" s="72" t="str" cm="1">
        <f t="array" ref="AG197">IF($H197=0,"",IF(INDEX('DM01-AV-CH'!G$6:G$834,$H197)="","",INDEX('DM01-AV-CH'!G$6:G$834,$H197)))</f>
        <v/>
      </c>
      <c r="AH197" s="73" t="str" cm="1">
        <f t="array" ref="AH197">IF($H197=0,"",IF(INDEX('DM01-AV-CH'!H$6:H$834,$H197)="","",INDEX('DM01-AV-CH'!H$6:H$834,$H197)))</f>
        <v/>
      </c>
      <c r="AI197" s="74" t="str" cm="1">
        <f t="array" ref="AI197">IF($H197=0,"",IF(INDEX('DM01-AV-CH'!I$6:I$834,$H197)="","",INDEX('DM01-AV-CH'!I$6:I$834,$H197)))</f>
        <v/>
      </c>
    </row>
    <row r="198" spans="1:35" x14ac:dyDescent="0.25">
      <c r="A198" s="57">
        <v>193</v>
      </c>
      <c r="B198" s="57">
        <f>IF($A198="","",IF(_xlfn.XLOOKUP($A198,Korrelation!$D$4:$D$1197,Korrelation!E$4:E$1197,"-",0)="-",0,MATCH(_xlfn.XLOOKUP($A198,Korrelation!$D$4:$D$1197,Korrelation!E$4:E$1197,"",0),DMAV_Modell!$G$6:$G$677,0)))</f>
        <v>0</v>
      </c>
      <c r="C198" s="57">
        <f>IF($A198="","",IF(_xlfn.XLOOKUP($A198,Korrelation!$D$4:$D$1197,Korrelation!F$4:F$1197,"-",0)="-",0,MATCH(_xlfn.XLOOKUP($A198,Korrelation!$D$4:$D$1197,Korrelation!F$4:F$1197,"",0),DMAV_Modell!$G$6:$G$677,0)))</f>
        <v>0</v>
      </c>
      <c r="D198" s="57">
        <f>IF($A198="","",IF(_xlfn.XLOOKUP($A198,Korrelation!$D$4:$D$1197,Korrelation!G$4:G$1197,"-",0)="-",0,MATCH(_xlfn.XLOOKUP($A198,Korrelation!$D$4:$D$1197,Korrelation!G$4:G$1197,"",0),DMAV_Modell!$G$6:$G$677,0)))</f>
        <v>0</v>
      </c>
      <c r="E198" s="57">
        <f>IF($A198="","",IF(_xlfn.XLOOKUP($A198,Korrelation!$D$4:$D$1197,Korrelation!H$4:H$1197,"-",0)="-",0,MATCH(_xlfn.XLOOKUP($A198,Korrelation!$D$4:$D$1197,Korrelation!H$4:H$1197,"",0),DMAV_Dienste!$F$6:$F$140,0)))</f>
        <v>0</v>
      </c>
      <c r="F198" s="57">
        <f>IF($A198="","",IF(_xlfn.XLOOKUP($A198,Korrelation!$D$4:$D$1197,Korrelation!I$4:I$1197,"-",0)="-",0,MATCH(_xlfn.XLOOKUP($A198,Korrelation!$D$4:$D$1197,Korrelation!I$4:I$1197,"",0),DMAV_Dienste!$F$6:$F$140,0)))</f>
        <v>0</v>
      </c>
      <c r="G198" s="57">
        <f>IF($A198="","",IF(_xlfn.XLOOKUP($A198,Korrelation!$D$4:$D$1197,Korrelation!J$4:J$1197,"-",0)="-",0,MATCH(_xlfn.XLOOKUP($A198,Korrelation!$D$4:$D$1197,Korrelation!J$4:J$1197,"",0),DMAV_Dienste!$F$6:$F$140,0)))</f>
        <v>0</v>
      </c>
      <c r="H198" s="57">
        <f>IF($A198="","",IF(_xlfn.XLOOKUP($A198,Korrelation!$D$4:$D$1197,Korrelation!K$4:K$1197,"-",0)="-",0,MATCH(_xlfn.XLOOKUP($A198,Korrelation!$D$4:$D$1197,Korrelation!K$4:K$1197,"",0),'DM01-AV-CH'!$A$6:$A$834,0)))</f>
        <v>84</v>
      </c>
      <c r="J198" s="54" t="str" cm="1">
        <f t="array" aca="1" ref="J198" ca="1">IF(B198=0,IF(E198=0,"",HYPERLINK("#"&amp;RIGHT(CELL("adresse",OFFSET(DMAV_Dienste!$M$6,E198-1,0)),LEN(CELL("adresse",OFFSET(DMAV_Dienste!$M$6,E198-1,0)))-FIND("]",CELL("adresse",OFFSET(DMAV_Dienste!$M$6,E198-1,0)))),"Dienst")),HYPERLINK("#"&amp;RIGHT(CELL("adresse",OFFSET(DMAV_Modell!$N$6,B198-1,0)),LEN(CELL("adresse",OFFSET(DMAV_Modell!$N$6,B198-1,0)))-FIND("]",CELL("adresse",OFFSET(DMAV_Modell!$N$6,B198-1,0)))),"Modell"))</f>
        <v/>
      </c>
      <c r="K198" s="61" t="str" cm="1">
        <f t="array" ref="K198">IF($B198=0,IF($E198=0,"",IF(INDEX(DMAV_Dienste!P$6:P$140,$E198)="","",INDEX(DMAV_Dienste!P$6:P$140,$E198))),IF(INDEX(DMAV_Modell!Q$6:Q$838,$B198)="","",INDEX(DMAV_Modell!Q$6:Q$838,$B198)))</f>
        <v/>
      </c>
      <c r="L198" s="62" t="str" cm="1">
        <f t="array" ref="L198">IF($B198=0,IF($E198=0,"",IF(INDEX(DMAV_Dienste!O$6:O$140,$E198)="","",INDEX(DMAV_Dienste!O$6:O$140,$E198))),IF(INDEX(DMAV_Modell!P$6:P$838,$B198)="","",INDEX(DMAV_Modell!P$6:P$838,$B198)))</f>
        <v/>
      </c>
      <c r="M198" s="62" t="str" cm="1">
        <f t="array" ref="M198">IF($B198=0,IF($E198=0,"",IF(INDEX(DMAV_Dienste!Q$6:Q$140,$E198)="","",INDEX(DMAV_Dienste!Q$6:Q$140,$E198))),IF(INDEX(DMAV_Modell!R$6:R$838,$B198)="","",INDEX(DMAV_Modell!R$6:R$838,$B198)))</f>
        <v/>
      </c>
      <c r="N198" s="62" t="str" cm="1">
        <f t="array" ref="N198">IF($B198=0,IF($E198=0,"",IF(INDEX(DMAV_Dienste!T$6:T$140,$E198)="","",INDEX(DMAV_Dienste!T$6:T$140,$E198))),IF(INDEX(DMAV_Modell!U$6:U$838,$B198)="","",INDEX(DMAV_Modell!U$6:U$838,$B198)))</f>
        <v/>
      </c>
      <c r="O198" s="63" t="str" cm="1">
        <f t="array" aca="1" ref="O198" ca="1">IF(C198=0,IF(F198=0,"",HYPERLINK("#"&amp;RIGHT(CELL("adresse",OFFSET(DMAV_Dienste!$M$6,F198-1,0)),LEN(CELL("adresse",OFFSET(DMAV_Dienste!$M$6,F198-1,0)))-FIND("]",CELL("adresse",OFFSET(DMAV_Dienste!$M$6,F198-1,0)))),"Structure")),HYPERLINK("#"&amp;RIGHT(CELL("adresse",OFFSET(DMAV_Modell!$N$6,C198-1,0)),LEN(CELL("adresse",OFFSET(DMAV_Modell!$N$6,C198-1,0)))-FIND("]",CELL("adresse",OFFSET(DMAV_Modell!$N$6,C198-1,0)))),"Structure"))</f>
        <v/>
      </c>
      <c r="P198" s="64" t="str" cm="1">
        <f t="array" aca="1" ref="P198" ca="1">IF(D198=0,IF(G198=0,"",HYPERLINK("#"&amp;RIGHT(CELL("adresse",OFFSET(DMAV_Dienste!$M$6,G198-1,0)),LEN(CELL("adresse",OFFSET(DMAV_Dienste!$M$6,G198-1,0)))-FIND("]",CELL("adresse",OFFSET(DMAV_Dienste!$M$6,G198-1,0)))),"Substructure")),HYPERLINK("#"&amp;RIGHT(CELL("adresse",OFFSET(DMAV_Modell!$N$6,D198-1,0)),LEN(CELL("adresse",OFFSET(DMAV_Modell!$N$6,D198-1,0)))-FIND("]",CELL("adresse",OFFSET(DMAV_Modell!$N$6,D198-1,0)))),"Substructure"))</f>
        <v/>
      </c>
      <c r="R198" s="80"/>
      <c r="T198" s="93"/>
      <c r="U198" s="94"/>
      <c r="V198" s="95"/>
      <c r="W198" s="96"/>
      <c r="Y198" s="85" t="s">
        <v>5872</v>
      </c>
      <c r="Z198" s="86"/>
      <c r="AA198" s="87"/>
      <c r="AB198" s="88"/>
      <c r="AD198" s="77"/>
      <c r="AF198" s="54" t="str" cm="1">
        <f t="array" aca="1" ref="AF198" ca="1">IF(H198=0,"",HYPERLINK("#"&amp;RIGHT(CELL("adresse",OFFSET('DM01-AV-CH'!$G$6,H198-1,0)),LEN(CELL("adresse",OFFSET('DM01-AV-CH'!$G$6,H198-1,0)))-FIND("]",CELL("adresse",OFFSET('DM01-AV-CH'!$G$6,H198-1,0)))),"Modell"))</f>
        <v>Modell</v>
      </c>
      <c r="AG198" s="72" t="str" cm="1">
        <f t="array" ref="AG198">IF($H198=0,"",IF(INDEX('DM01-AV-CH'!G$6:G$834,$H198)="","",INDEX('DM01-AV-CH'!G$6:G$834,$H198)))</f>
        <v>FixpunkteKategorie2</v>
      </c>
      <c r="AH198" s="73" t="str" cm="1">
        <f t="array" ref="AH198">IF($H198=0,"",IF(INDEX('DM01-AV-CH'!H$6:H$834,$H198)="","",INDEX('DM01-AV-CH'!H$6:H$834,$H198)))</f>
        <v>LFP2Nachfuehrung</v>
      </c>
      <c r="AI198" s="74" t="str" cm="1">
        <f t="array" ref="AI198">IF($H198=0,"",IF(INDEX('DM01-AV-CH'!I$6:I$834,$H198)="","",INDEX('DM01-AV-CH'!I$6:I$834,$H198)))</f>
        <v>Perimeter</v>
      </c>
    </row>
    <row r="199" spans="1:35" x14ac:dyDescent="0.25">
      <c r="A199" s="57">
        <v>194</v>
      </c>
      <c r="B199" s="57">
        <f>IF($A199="","",IF(_xlfn.XLOOKUP($A199,Korrelation!$D$4:$D$1197,Korrelation!E$4:E$1197,"-",0)="-",0,MATCH(_xlfn.XLOOKUP($A199,Korrelation!$D$4:$D$1197,Korrelation!E$4:E$1197,"",0),DMAV_Modell!$G$6:$G$677,0)))</f>
        <v>0</v>
      </c>
      <c r="C199" s="57">
        <f>IF($A199="","",IF(_xlfn.XLOOKUP($A199,Korrelation!$D$4:$D$1197,Korrelation!F$4:F$1197,"-",0)="-",0,MATCH(_xlfn.XLOOKUP($A199,Korrelation!$D$4:$D$1197,Korrelation!F$4:F$1197,"",0),DMAV_Modell!$G$6:$G$677,0)))</f>
        <v>0</v>
      </c>
      <c r="D199" s="57">
        <f>IF($A199="","",IF(_xlfn.XLOOKUP($A199,Korrelation!$D$4:$D$1197,Korrelation!G$4:G$1197,"-",0)="-",0,MATCH(_xlfn.XLOOKUP($A199,Korrelation!$D$4:$D$1197,Korrelation!G$4:G$1197,"",0),DMAV_Modell!$G$6:$G$677,0)))</f>
        <v>0</v>
      </c>
      <c r="E199" s="57">
        <f>IF($A199="","",IF(_xlfn.XLOOKUP($A199,Korrelation!$D$4:$D$1197,Korrelation!H$4:H$1197,"-",0)="-",0,MATCH(_xlfn.XLOOKUP($A199,Korrelation!$D$4:$D$1197,Korrelation!H$4:H$1197,"",0),DMAV_Dienste!$F$6:$F$140,0)))</f>
        <v>0</v>
      </c>
      <c r="F199" s="57">
        <f>IF($A199="","",IF(_xlfn.XLOOKUP($A199,Korrelation!$D$4:$D$1197,Korrelation!I$4:I$1197,"-",0)="-",0,MATCH(_xlfn.XLOOKUP($A199,Korrelation!$D$4:$D$1197,Korrelation!I$4:I$1197,"",0),DMAV_Dienste!$F$6:$F$140,0)))</f>
        <v>0</v>
      </c>
      <c r="G199" s="57">
        <f>IF($A199="","",IF(_xlfn.XLOOKUP($A199,Korrelation!$D$4:$D$1197,Korrelation!J$4:J$1197,"-",0)="-",0,MATCH(_xlfn.XLOOKUP($A199,Korrelation!$D$4:$D$1197,Korrelation!J$4:J$1197,"",0),DMAV_Dienste!$F$6:$F$140,0)))</f>
        <v>0</v>
      </c>
      <c r="H199" s="57">
        <f>IF($A199="","",IF(_xlfn.XLOOKUP($A199,Korrelation!$D$4:$D$1197,Korrelation!K$4:K$1197,"-",0)="-",0,MATCH(_xlfn.XLOOKUP($A199,Korrelation!$D$4:$D$1197,Korrelation!K$4:K$1197,"",0),'DM01-AV-CH'!$A$6:$A$834,0)))</f>
        <v>98</v>
      </c>
      <c r="J199" s="54" t="str" cm="1">
        <f t="array" aca="1" ref="J199" ca="1">IF(B199=0,IF(E199=0,"",HYPERLINK("#"&amp;RIGHT(CELL("adresse",OFFSET(DMAV_Dienste!$M$6,E199-1,0)),LEN(CELL("adresse",OFFSET(DMAV_Dienste!$M$6,E199-1,0)))-FIND("]",CELL("adresse",OFFSET(DMAV_Dienste!$M$6,E199-1,0)))),"Dienst")),HYPERLINK("#"&amp;RIGHT(CELL("adresse",OFFSET(DMAV_Modell!$N$6,B199-1,0)),LEN(CELL("adresse",OFFSET(DMAV_Modell!$N$6,B199-1,0)))-FIND("]",CELL("adresse",OFFSET(DMAV_Modell!$N$6,B199-1,0)))),"Modell"))</f>
        <v/>
      </c>
      <c r="K199" s="61" t="str" cm="1">
        <f t="array" ref="K199">IF($B199=0,IF($E199=0,"",IF(INDEX(DMAV_Dienste!P$6:P$140,$E199)="","",INDEX(DMAV_Dienste!P$6:P$140,$E199))),IF(INDEX(DMAV_Modell!Q$6:Q$838,$B199)="","",INDEX(DMAV_Modell!Q$6:Q$838,$B199)))</f>
        <v/>
      </c>
      <c r="L199" s="62" t="str" cm="1">
        <f t="array" ref="L199">IF($B199=0,IF($E199=0,"",IF(INDEX(DMAV_Dienste!O$6:O$140,$E199)="","",INDEX(DMAV_Dienste!O$6:O$140,$E199))),IF(INDEX(DMAV_Modell!P$6:P$838,$B199)="","",INDEX(DMAV_Modell!P$6:P$838,$B199)))</f>
        <v/>
      </c>
      <c r="M199" s="62" t="str" cm="1">
        <f t="array" ref="M199">IF($B199=0,IF($E199=0,"",IF(INDEX(DMAV_Dienste!Q$6:Q$140,$E199)="","",INDEX(DMAV_Dienste!Q$6:Q$140,$E199))),IF(INDEX(DMAV_Modell!R$6:R$838,$B199)="","",INDEX(DMAV_Modell!R$6:R$838,$B199)))</f>
        <v/>
      </c>
      <c r="N199" s="62" t="str" cm="1">
        <f t="array" ref="N199">IF($B199=0,IF($E199=0,"",IF(INDEX(DMAV_Dienste!T$6:T$140,$E199)="","",INDEX(DMAV_Dienste!T$6:T$140,$E199))),IF(INDEX(DMAV_Modell!U$6:U$838,$B199)="","",INDEX(DMAV_Modell!U$6:U$838,$B199)))</f>
        <v/>
      </c>
      <c r="O199" s="63" t="str" cm="1">
        <f t="array" aca="1" ref="O199" ca="1">IF(C199=0,IF(F199=0,"",HYPERLINK("#"&amp;RIGHT(CELL("adresse",OFFSET(DMAV_Dienste!$M$6,F199-1,0)),LEN(CELL("adresse",OFFSET(DMAV_Dienste!$M$6,F199-1,0)))-FIND("]",CELL("adresse",OFFSET(DMAV_Dienste!$M$6,F199-1,0)))),"Structure")),HYPERLINK("#"&amp;RIGHT(CELL("adresse",OFFSET(DMAV_Modell!$N$6,C199-1,0)),LEN(CELL("adresse",OFFSET(DMAV_Modell!$N$6,C199-1,0)))-FIND("]",CELL("adresse",OFFSET(DMAV_Modell!$N$6,C199-1,0)))),"Structure"))</f>
        <v/>
      </c>
      <c r="P199" s="64" t="str" cm="1">
        <f t="array" aca="1" ref="P199" ca="1">IF(D199=0,IF(G199=0,"",HYPERLINK("#"&amp;RIGHT(CELL("adresse",OFFSET(DMAV_Dienste!$M$6,G199-1,0)),LEN(CELL("adresse",OFFSET(DMAV_Dienste!$M$6,G199-1,0)))-FIND("]",CELL("adresse",OFFSET(DMAV_Dienste!$M$6,G199-1,0)))),"Substructure")),HYPERLINK("#"&amp;RIGHT(CELL("adresse",OFFSET(DMAV_Modell!$N$6,D199-1,0)),LEN(CELL("adresse",OFFSET(DMAV_Modell!$N$6,D199-1,0)))-FIND("]",CELL("adresse",OFFSET(DMAV_Modell!$N$6,D199-1,0)))),"Substructure"))</f>
        <v/>
      </c>
      <c r="R199" s="80"/>
      <c r="T199" s="93"/>
      <c r="U199" s="94"/>
      <c r="V199" s="95"/>
      <c r="W199" s="96"/>
      <c r="Y199" s="85" t="s">
        <v>5872</v>
      </c>
      <c r="Z199" s="86"/>
      <c r="AA199" s="87"/>
      <c r="AB199" s="88"/>
      <c r="AD199" s="77"/>
      <c r="AF199" s="54" t="str" cm="1">
        <f t="array" aca="1" ref="AF199" ca="1">IF(H199=0,"",HYPERLINK("#"&amp;RIGHT(CELL("adresse",OFFSET('DM01-AV-CH'!$G$6,H199-1,0)),LEN(CELL("adresse",OFFSET('DM01-AV-CH'!$G$6,H199-1,0)))-FIND("]",CELL("adresse",OFFSET('DM01-AV-CH'!$G$6,H199-1,0)))),"Modell"))</f>
        <v>Modell</v>
      </c>
      <c r="AG199" s="72" t="str" cm="1">
        <f t="array" ref="AG199">IF($H199=0,"",IF(INDEX('DM01-AV-CH'!G$6:G$834,$H199)="","",INDEX('DM01-AV-CH'!G$6:G$834,$H199)))</f>
        <v>FixpunkteKategorie2</v>
      </c>
      <c r="AH199" s="73" t="str" cm="1">
        <f t="array" ref="AH199">IF($H199=0,"",IF(INDEX('DM01-AV-CH'!H$6:H$834,$H199)="","",INDEX('DM01-AV-CH'!H$6:H$834,$H199)))</f>
        <v>LFP2Pos</v>
      </c>
      <c r="AI199" s="74" t="str" cm="1">
        <f t="array" ref="AI199">IF($H199=0,"",IF(INDEX('DM01-AV-CH'!I$6:I$834,$H199)="","",INDEX('DM01-AV-CH'!I$6:I$834,$H199)))</f>
        <v>LFP2Pos_von</v>
      </c>
    </row>
    <row r="200" spans="1:35" x14ac:dyDescent="0.25">
      <c r="A200" s="57">
        <v>195</v>
      </c>
      <c r="B200" s="57">
        <f>IF($A200="","",IF(_xlfn.XLOOKUP($A200,Korrelation!$D$4:$D$1197,Korrelation!E$4:E$1197,"-",0)="-",0,MATCH(_xlfn.XLOOKUP($A200,Korrelation!$D$4:$D$1197,Korrelation!E$4:E$1197,"",0),DMAV_Modell!$G$6:$G$677,0)))</f>
        <v>0</v>
      </c>
      <c r="C200" s="57">
        <f>IF($A200="","",IF(_xlfn.XLOOKUP($A200,Korrelation!$D$4:$D$1197,Korrelation!F$4:F$1197,"-",0)="-",0,MATCH(_xlfn.XLOOKUP($A200,Korrelation!$D$4:$D$1197,Korrelation!F$4:F$1197,"",0),DMAV_Modell!$G$6:$G$677,0)))</f>
        <v>0</v>
      </c>
      <c r="D200" s="57">
        <f>IF($A200="","",IF(_xlfn.XLOOKUP($A200,Korrelation!$D$4:$D$1197,Korrelation!G$4:G$1197,"-",0)="-",0,MATCH(_xlfn.XLOOKUP($A200,Korrelation!$D$4:$D$1197,Korrelation!G$4:G$1197,"",0),DMAV_Modell!$G$6:$G$677,0)))</f>
        <v>0</v>
      </c>
      <c r="E200" s="57">
        <f>IF($A200="","",IF(_xlfn.XLOOKUP($A200,Korrelation!$D$4:$D$1197,Korrelation!H$4:H$1197,"-",0)="-",0,MATCH(_xlfn.XLOOKUP($A200,Korrelation!$D$4:$D$1197,Korrelation!H$4:H$1197,"",0),DMAV_Dienste!$F$6:$F$140,0)))</f>
        <v>0</v>
      </c>
      <c r="F200" s="57">
        <f>IF($A200="","",IF(_xlfn.XLOOKUP($A200,Korrelation!$D$4:$D$1197,Korrelation!I$4:I$1197,"-",0)="-",0,MATCH(_xlfn.XLOOKUP($A200,Korrelation!$D$4:$D$1197,Korrelation!I$4:I$1197,"",0),DMAV_Dienste!$F$6:$F$140,0)))</f>
        <v>0</v>
      </c>
      <c r="G200" s="57">
        <f>IF($A200="","",IF(_xlfn.XLOOKUP($A200,Korrelation!$D$4:$D$1197,Korrelation!J$4:J$1197,"-",0)="-",0,MATCH(_xlfn.XLOOKUP($A200,Korrelation!$D$4:$D$1197,Korrelation!J$4:J$1197,"",0),DMAV_Dienste!$F$6:$F$140,0)))</f>
        <v>0</v>
      </c>
      <c r="H200" s="57">
        <f>IF($A200="","",IF(_xlfn.XLOOKUP($A200,Korrelation!$D$4:$D$1197,Korrelation!K$4:K$1197,"-",0)="-",0,MATCH(_xlfn.XLOOKUP($A200,Korrelation!$D$4:$D$1197,Korrelation!K$4:K$1197,"",0),'DM01-AV-CH'!$A$6:$A$834,0)))</f>
        <v>99</v>
      </c>
      <c r="J200" s="54" t="str" cm="1">
        <f t="array" aca="1" ref="J200" ca="1">IF(B200=0,IF(E200=0,"",HYPERLINK("#"&amp;RIGHT(CELL("adresse",OFFSET(DMAV_Dienste!$M$6,E200-1,0)),LEN(CELL("adresse",OFFSET(DMAV_Dienste!$M$6,E200-1,0)))-FIND("]",CELL("adresse",OFFSET(DMAV_Dienste!$M$6,E200-1,0)))),"Dienst")),HYPERLINK("#"&amp;RIGHT(CELL("adresse",OFFSET(DMAV_Modell!$N$6,B200-1,0)),LEN(CELL("adresse",OFFSET(DMAV_Modell!$N$6,B200-1,0)))-FIND("]",CELL("adresse",OFFSET(DMAV_Modell!$N$6,B200-1,0)))),"Modell"))</f>
        <v/>
      </c>
      <c r="K200" s="61" t="str" cm="1">
        <f t="array" ref="K200">IF($B200=0,IF($E200=0,"",IF(INDEX(DMAV_Dienste!P$6:P$140,$E200)="","",INDEX(DMAV_Dienste!P$6:P$140,$E200))),IF(INDEX(DMAV_Modell!Q$6:Q$838,$B200)="","",INDEX(DMAV_Modell!Q$6:Q$838,$B200)))</f>
        <v/>
      </c>
      <c r="L200" s="62" t="str" cm="1">
        <f t="array" ref="L200">IF($B200=0,IF($E200=0,"",IF(INDEX(DMAV_Dienste!O$6:O$140,$E200)="","",INDEX(DMAV_Dienste!O$6:O$140,$E200))),IF(INDEX(DMAV_Modell!P$6:P$838,$B200)="","",INDEX(DMAV_Modell!P$6:P$838,$B200)))</f>
        <v/>
      </c>
      <c r="M200" s="62" t="str" cm="1">
        <f t="array" ref="M200">IF($B200=0,IF($E200=0,"",IF(INDEX(DMAV_Dienste!Q$6:Q$140,$E200)="","",INDEX(DMAV_Dienste!Q$6:Q$140,$E200))),IF(INDEX(DMAV_Modell!R$6:R$838,$B200)="","",INDEX(DMAV_Modell!R$6:R$838,$B200)))</f>
        <v/>
      </c>
      <c r="N200" s="62" t="str" cm="1">
        <f t="array" ref="N200">IF($B200=0,IF($E200=0,"",IF(INDEX(DMAV_Dienste!T$6:T$140,$E200)="","",INDEX(DMAV_Dienste!T$6:T$140,$E200))),IF(INDEX(DMAV_Modell!U$6:U$838,$B200)="","",INDEX(DMAV_Modell!U$6:U$838,$B200)))</f>
        <v/>
      </c>
      <c r="O200" s="63" t="str" cm="1">
        <f t="array" aca="1" ref="O200" ca="1">IF(C200=0,IF(F200=0,"",HYPERLINK("#"&amp;RIGHT(CELL("adresse",OFFSET(DMAV_Dienste!$M$6,F200-1,0)),LEN(CELL("adresse",OFFSET(DMAV_Dienste!$M$6,F200-1,0)))-FIND("]",CELL("adresse",OFFSET(DMAV_Dienste!$M$6,F200-1,0)))),"Structure")),HYPERLINK("#"&amp;RIGHT(CELL("adresse",OFFSET(DMAV_Modell!$N$6,C200-1,0)),LEN(CELL("adresse",OFFSET(DMAV_Modell!$N$6,C200-1,0)))-FIND("]",CELL("adresse",OFFSET(DMAV_Modell!$N$6,C200-1,0)))),"Structure"))</f>
        <v/>
      </c>
      <c r="P200" s="64" t="str" cm="1">
        <f t="array" aca="1" ref="P200" ca="1">IF(D200=0,IF(G200=0,"",HYPERLINK("#"&amp;RIGHT(CELL("adresse",OFFSET(DMAV_Dienste!$M$6,G200-1,0)),LEN(CELL("adresse",OFFSET(DMAV_Dienste!$M$6,G200-1,0)))-FIND("]",CELL("adresse",OFFSET(DMAV_Dienste!$M$6,G200-1,0)))),"Substructure")),HYPERLINK("#"&amp;RIGHT(CELL("adresse",OFFSET(DMAV_Modell!$N$6,D200-1,0)),LEN(CELL("adresse",OFFSET(DMAV_Modell!$N$6,D200-1,0)))-FIND("]",CELL("adresse",OFFSET(DMAV_Modell!$N$6,D200-1,0)))),"Substructure"))</f>
        <v/>
      </c>
      <c r="R200" s="80"/>
      <c r="T200" s="93"/>
      <c r="U200" s="94"/>
      <c r="V200" s="95"/>
      <c r="W200" s="96"/>
      <c r="Y200" s="85" t="s">
        <v>5872</v>
      </c>
      <c r="Z200" s="86"/>
      <c r="AA200" s="87"/>
      <c r="AB200" s="88"/>
      <c r="AD200" s="77"/>
      <c r="AF200" s="54" t="str" cm="1">
        <f t="array" aca="1" ref="AF200" ca="1">IF(H200=0,"",HYPERLINK("#"&amp;RIGHT(CELL("adresse",OFFSET('DM01-AV-CH'!$G$6,H200-1,0)),LEN(CELL("adresse",OFFSET('DM01-AV-CH'!$G$6,H200-1,0)))-FIND("]",CELL("adresse",OFFSET('DM01-AV-CH'!$G$6,H200-1,0)))),"Modell"))</f>
        <v>Modell</v>
      </c>
      <c r="AG200" s="72" t="str" cm="1">
        <f t="array" ref="AG200">IF($H200=0,"",IF(INDEX('DM01-AV-CH'!G$6:G$834,$H200)="","",INDEX('DM01-AV-CH'!G$6:G$834,$H200)))</f>
        <v>FixpunkteKategorie2</v>
      </c>
      <c r="AH200" s="73" t="str" cm="1">
        <f t="array" ref="AH200">IF($H200=0,"",IF(INDEX('DM01-AV-CH'!H$6:H$834,$H200)="","",INDEX('DM01-AV-CH'!H$6:H$834,$H200)))</f>
        <v>LFP2Pos</v>
      </c>
      <c r="AI200" s="74" t="str" cm="1">
        <f t="array" ref="AI200">IF($H200=0,"",IF(INDEX('DM01-AV-CH'!I$6:I$834,$H200)="","",INDEX('DM01-AV-CH'!I$6:I$834,$H200)))</f>
        <v>Pos</v>
      </c>
    </row>
    <row r="201" spans="1:35" x14ac:dyDescent="0.25">
      <c r="A201" s="57">
        <v>196</v>
      </c>
      <c r="B201" s="57">
        <f>IF($A201="","",IF(_xlfn.XLOOKUP($A201,Korrelation!$D$4:$D$1197,Korrelation!E$4:E$1197,"-",0)="-",0,MATCH(_xlfn.XLOOKUP($A201,Korrelation!$D$4:$D$1197,Korrelation!E$4:E$1197,"",0),DMAV_Modell!$G$6:$G$677,0)))</f>
        <v>0</v>
      </c>
      <c r="C201" s="57">
        <f>IF($A201="","",IF(_xlfn.XLOOKUP($A201,Korrelation!$D$4:$D$1197,Korrelation!F$4:F$1197,"-",0)="-",0,MATCH(_xlfn.XLOOKUP($A201,Korrelation!$D$4:$D$1197,Korrelation!F$4:F$1197,"",0),DMAV_Modell!$G$6:$G$677,0)))</f>
        <v>0</v>
      </c>
      <c r="D201" s="57">
        <f>IF($A201="","",IF(_xlfn.XLOOKUP($A201,Korrelation!$D$4:$D$1197,Korrelation!G$4:G$1197,"-",0)="-",0,MATCH(_xlfn.XLOOKUP($A201,Korrelation!$D$4:$D$1197,Korrelation!G$4:G$1197,"",0),DMAV_Modell!$G$6:$G$677,0)))</f>
        <v>0</v>
      </c>
      <c r="E201" s="57">
        <f>IF($A201="","",IF(_xlfn.XLOOKUP($A201,Korrelation!$D$4:$D$1197,Korrelation!H$4:H$1197,"-",0)="-",0,MATCH(_xlfn.XLOOKUP($A201,Korrelation!$D$4:$D$1197,Korrelation!H$4:H$1197,"",0),DMAV_Dienste!$F$6:$F$140,0)))</f>
        <v>0</v>
      </c>
      <c r="F201" s="57">
        <f>IF($A201="","",IF(_xlfn.XLOOKUP($A201,Korrelation!$D$4:$D$1197,Korrelation!I$4:I$1197,"-",0)="-",0,MATCH(_xlfn.XLOOKUP($A201,Korrelation!$D$4:$D$1197,Korrelation!I$4:I$1197,"",0),DMAV_Dienste!$F$6:$F$140,0)))</f>
        <v>0</v>
      </c>
      <c r="G201" s="57">
        <f>IF($A201="","",IF(_xlfn.XLOOKUP($A201,Korrelation!$D$4:$D$1197,Korrelation!J$4:J$1197,"-",0)="-",0,MATCH(_xlfn.XLOOKUP($A201,Korrelation!$D$4:$D$1197,Korrelation!J$4:J$1197,"",0),DMAV_Dienste!$F$6:$F$140,0)))</f>
        <v>0</v>
      </c>
      <c r="H201" s="57">
        <f>IF($A201="","",IF(_xlfn.XLOOKUP($A201,Korrelation!$D$4:$D$1197,Korrelation!K$4:K$1197,"-",0)="-",0,MATCH(_xlfn.XLOOKUP($A201,Korrelation!$D$4:$D$1197,Korrelation!K$4:K$1197,"",0),'DM01-AV-CH'!$A$6:$A$834,0)))</f>
        <v>100</v>
      </c>
      <c r="J201" s="54" t="str" cm="1">
        <f t="array" aca="1" ref="J201" ca="1">IF(B201=0,IF(E201=0,"",HYPERLINK("#"&amp;RIGHT(CELL("adresse",OFFSET(DMAV_Dienste!$M$6,E201-1,0)),LEN(CELL("adresse",OFFSET(DMAV_Dienste!$M$6,E201-1,0)))-FIND("]",CELL("adresse",OFFSET(DMAV_Dienste!$M$6,E201-1,0)))),"Dienst")),HYPERLINK("#"&amp;RIGHT(CELL("adresse",OFFSET(DMAV_Modell!$N$6,B201-1,0)),LEN(CELL("adresse",OFFSET(DMAV_Modell!$N$6,B201-1,0)))-FIND("]",CELL("adresse",OFFSET(DMAV_Modell!$N$6,B201-1,0)))),"Modell"))</f>
        <v/>
      </c>
      <c r="K201" s="61" t="str" cm="1">
        <f t="array" ref="K201">IF($B201=0,IF($E201=0,"",IF(INDEX(DMAV_Dienste!P$6:P$140,$E201)="","",INDEX(DMAV_Dienste!P$6:P$140,$E201))),IF(INDEX(DMAV_Modell!Q$6:Q$838,$B201)="","",INDEX(DMAV_Modell!Q$6:Q$838,$B201)))</f>
        <v/>
      </c>
      <c r="L201" s="62" t="str" cm="1">
        <f t="array" ref="L201">IF($B201=0,IF($E201=0,"",IF(INDEX(DMAV_Dienste!O$6:O$140,$E201)="","",INDEX(DMAV_Dienste!O$6:O$140,$E201))),IF(INDEX(DMAV_Modell!P$6:P$838,$B201)="","",INDEX(DMAV_Modell!P$6:P$838,$B201)))</f>
        <v/>
      </c>
      <c r="M201" s="62" t="str" cm="1">
        <f t="array" ref="M201">IF($B201=0,IF($E201=0,"",IF(INDEX(DMAV_Dienste!Q$6:Q$140,$E201)="","",INDEX(DMAV_Dienste!Q$6:Q$140,$E201))),IF(INDEX(DMAV_Modell!R$6:R$838,$B201)="","",INDEX(DMAV_Modell!R$6:R$838,$B201)))</f>
        <v/>
      </c>
      <c r="N201" s="62" t="str" cm="1">
        <f t="array" ref="N201">IF($B201=0,IF($E201=0,"",IF(INDEX(DMAV_Dienste!T$6:T$140,$E201)="","",INDEX(DMAV_Dienste!T$6:T$140,$E201))),IF(INDEX(DMAV_Modell!U$6:U$838,$B201)="","",INDEX(DMAV_Modell!U$6:U$838,$B201)))</f>
        <v/>
      </c>
      <c r="O201" s="63" t="str" cm="1">
        <f t="array" aca="1" ref="O201" ca="1">IF(C201=0,IF(F201=0,"",HYPERLINK("#"&amp;RIGHT(CELL("adresse",OFFSET(DMAV_Dienste!$M$6,F201-1,0)),LEN(CELL("adresse",OFFSET(DMAV_Dienste!$M$6,F201-1,0)))-FIND("]",CELL("adresse",OFFSET(DMAV_Dienste!$M$6,F201-1,0)))),"Structure")),HYPERLINK("#"&amp;RIGHT(CELL("adresse",OFFSET(DMAV_Modell!$N$6,C201-1,0)),LEN(CELL("adresse",OFFSET(DMAV_Modell!$N$6,C201-1,0)))-FIND("]",CELL("adresse",OFFSET(DMAV_Modell!$N$6,C201-1,0)))),"Structure"))</f>
        <v/>
      </c>
      <c r="P201" s="64" t="str" cm="1">
        <f t="array" aca="1" ref="P201" ca="1">IF(D201=0,IF(G201=0,"",HYPERLINK("#"&amp;RIGHT(CELL("adresse",OFFSET(DMAV_Dienste!$M$6,G201-1,0)),LEN(CELL("adresse",OFFSET(DMAV_Dienste!$M$6,G201-1,0)))-FIND("]",CELL("adresse",OFFSET(DMAV_Dienste!$M$6,G201-1,0)))),"Substructure")),HYPERLINK("#"&amp;RIGHT(CELL("adresse",OFFSET(DMAV_Modell!$N$6,D201-1,0)),LEN(CELL("adresse",OFFSET(DMAV_Modell!$N$6,D201-1,0)))-FIND("]",CELL("adresse",OFFSET(DMAV_Modell!$N$6,D201-1,0)))),"Substructure"))</f>
        <v/>
      </c>
      <c r="R201" s="80"/>
      <c r="T201" s="93"/>
      <c r="U201" s="94"/>
      <c r="V201" s="95"/>
      <c r="W201" s="96"/>
      <c r="Y201" s="85" t="s">
        <v>5872</v>
      </c>
      <c r="Z201" s="86"/>
      <c r="AA201" s="87"/>
      <c r="AB201" s="88"/>
      <c r="AD201" s="77"/>
      <c r="AF201" s="54" t="str" cm="1">
        <f t="array" aca="1" ref="AF201" ca="1">IF(H201=0,"",HYPERLINK("#"&amp;RIGHT(CELL("adresse",OFFSET('DM01-AV-CH'!$G$6,H201-1,0)),LEN(CELL("adresse",OFFSET('DM01-AV-CH'!$G$6,H201-1,0)))-FIND("]",CELL("adresse",OFFSET('DM01-AV-CH'!$G$6,H201-1,0)))),"Modell"))</f>
        <v>Modell</v>
      </c>
      <c r="AG201" s="72" t="str" cm="1">
        <f t="array" ref="AG201">IF($H201=0,"",IF(INDEX('DM01-AV-CH'!G$6:G$834,$H201)="","",INDEX('DM01-AV-CH'!G$6:G$834,$H201)))</f>
        <v>FixpunkteKategorie2</v>
      </c>
      <c r="AH201" s="73" t="str" cm="1">
        <f t="array" ref="AH201">IF($H201=0,"",IF(INDEX('DM01-AV-CH'!H$6:H$834,$H201)="","",INDEX('DM01-AV-CH'!H$6:H$834,$H201)))</f>
        <v>LFP2Pos</v>
      </c>
      <c r="AI201" s="74" t="str" cm="1">
        <f t="array" ref="AI201">IF($H201=0,"",IF(INDEX('DM01-AV-CH'!I$6:I$834,$H201)="","",INDEX('DM01-AV-CH'!I$6:I$834,$H201)))</f>
        <v>Ori</v>
      </c>
    </row>
    <row r="202" spans="1:35" x14ac:dyDescent="0.25">
      <c r="A202" s="57">
        <v>197</v>
      </c>
      <c r="B202" s="57">
        <f>IF($A202="","",IF(_xlfn.XLOOKUP($A202,Korrelation!$D$4:$D$1197,Korrelation!E$4:E$1197,"-",0)="-",0,MATCH(_xlfn.XLOOKUP($A202,Korrelation!$D$4:$D$1197,Korrelation!E$4:E$1197,"",0),DMAV_Modell!$G$6:$G$677,0)))</f>
        <v>0</v>
      </c>
      <c r="C202" s="57">
        <f>IF($A202="","",IF(_xlfn.XLOOKUP($A202,Korrelation!$D$4:$D$1197,Korrelation!F$4:F$1197,"-",0)="-",0,MATCH(_xlfn.XLOOKUP($A202,Korrelation!$D$4:$D$1197,Korrelation!F$4:F$1197,"",0),DMAV_Modell!$G$6:$G$677,0)))</f>
        <v>0</v>
      </c>
      <c r="D202" s="57">
        <f>IF($A202="","",IF(_xlfn.XLOOKUP($A202,Korrelation!$D$4:$D$1197,Korrelation!G$4:G$1197,"-",0)="-",0,MATCH(_xlfn.XLOOKUP($A202,Korrelation!$D$4:$D$1197,Korrelation!G$4:G$1197,"",0),DMAV_Modell!$G$6:$G$677,0)))</f>
        <v>0</v>
      </c>
      <c r="E202" s="57">
        <f>IF($A202="","",IF(_xlfn.XLOOKUP($A202,Korrelation!$D$4:$D$1197,Korrelation!H$4:H$1197,"-",0)="-",0,MATCH(_xlfn.XLOOKUP($A202,Korrelation!$D$4:$D$1197,Korrelation!H$4:H$1197,"",0),DMAV_Dienste!$F$6:$F$140,0)))</f>
        <v>0</v>
      </c>
      <c r="F202" s="57">
        <f>IF($A202="","",IF(_xlfn.XLOOKUP($A202,Korrelation!$D$4:$D$1197,Korrelation!I$4:I$1197,"-",0)="-",0,MATCH(_xlfn.XLOOKUP($A202,Korrelation!$D$4:$D$1197,Korrelation!I$4:I$1197,"",0),DMAV_Dienste!$F$6:$F$140,0)))</f>
        <v>0</v>
      </c>
      <c r="G202" s="57">
        <f>IF($A202="","",IF(_xlfn.XLOOKUP($A202,Korrelation!$D$4:$D$1197,Korrelation!J$4:J$1197,"-",0)="-",0,MATCH(_xlfn.XLOOKUP($A202,Korrelation!$D$4:$D$1197,Korrelation!J$4:J$1197,"",0),DMAV_Dienste!$F$6:$F$140,0)))</f>
        <v>0</v>
      </c>
      <c r="H202" s="57">
        <f>IF($A202="","",IF(_xlfn.XLOOKUP($A202,Korrelation!$D$4:$D$1197,Korrelation!K$4:K$1197,"-",0)="-",0,MATCH(_xlfn.XLOOKUP($A202,Korrelation!$D$4:$D$1197,Korrelation!K$4:K$1197,"",0),'DM01-AV-CH'!$A$6:$A$834,0)))</f>
        <v>101</v>
      </c>
      <c r="J202" s="54" t="str" cm="1">
        <f t="array" aca="1" ref="J202" ca="1">IF(B202=0,IF(E202=0,"",HYPERLINK("#"&amp;RIGHT(CELL("adresse",OFFSET(DMAV_Dienste!$M$6,E202-1,0)),LEN(CELL("adresse",OFFSET(DMAV_Dienste!$M$6,E202-1,0)))-FIND("]",CELL("adresse",OFFSET(DMAV_Dienste!$M$6,E202-1,0)))),"Dienst")),HYPERLINK("#"&amp;RIGHT(CELL("adresse",OFFSET(DMAV_Modell!$N$6,B202-1,0)),LEN(CELL("adresse",OFFSET(DMAV_Modell!$N$6,B202-1,0)))-FIND("]",CELL("adresse",OFFSET(DMAV_Modell!$N$6,B202-1,0)))),"Modell"))</f>
        <v/>
      </c>
      <c r="K202" s="61" t="str" cm="1">
        <f t="array" ref="K202">IF($B202=0,IF($E202=0,"",IF(INDEX(DMAV_Dienste!P$6:P$140,$E202)="","",INDEX(DMAV_Dienste!P$6:P$140,$E202))),IF(INDEX(DMAV_Modell!Q$6:Q$838,$B202)="","",INDEX(DMAV_Modell!Q$6:Q$838,$B202)))</f>
        <v/>
      </c>
      <c r="L202" s="62" t="str" cm="1">
        <f t="array" ref="L202">IF($B202=0,IF($E202=0,"",IF(INDEX(DMAV_Dienste!O$6:O$140,$E202)="","",INDEX(DMAV_Dienste!O$6:O$140,$E202))),IF(INDEX(DMAV_Modell!P$6:P$838,$B202)="","",INDEX(DMAV_Modell!P$6:P$838,$B202)))</f>
        <v/>
      </c>
      <c r="M202" s="62" t="str" cm="1">
        <f t="array" ref="M202">IF($B202=0,IF($E202=0,"",IF(INDEX(DMAV_Dienste!Q$6:Q$140,$E202)="","",INDEX(DMAV_Dienste!Q$6:Q$140,$E202))),IF(INDEX(DMAV_Modell!R$6:R$838,$B202)="","",INDEX(DMAV_Modell!R$6:R$838,$B202)))</f>
        <v/>
      </c>
      <c r="N202" s="62" t="str" cm="1">
        <f t="array" ref="N202">IF($B202=0,IF($E202=0,"",IF(INDEX(DMAV_Dienste!T$6:T$140,$E202)="","",INDEX(DMAV_Dienste!T$6:T$140,$E202))),IF(INDEX(DMAV_Modell!U$6:U$838,$B202)="","",INDEX(DMAV_Modell!U$6:U$838,$B202)))</f>
        <v/>
      </c>
      <c r="O202" s="63" t="str" cm="1">
        <f t="array" aca="1" ref="O202" ca="1">IF(C202=0,IF(F202=0,"",HYPERLINK("#"&amp;RIGHT(CELL("adresse",OFFSET(DMAV_Dienste!$M$6,F202-1,0)),LEN(CELL("adresse",OFFSET(DMAV_Dienste!$M$6,F202-1,0)))-FIND("]",CELL("adresse",OFFSET(DMAV_Dienste!$M$6,F202-1,0)))),"Structure")),HYPERLINK("#"&amp;RIGHT(CELL("adresse",OFFSET(DMAV_Modell!$N$6,C202-1,0)),LEN(CELL("adresse",OFFSET(DMAV_Modell!$N$6,C202-1,0)))-FIND("]",CELL("adresse",OFFSET(DMAV_Modell!$N$6,C202-1,0)))),"Structure"))</f>
        <v/>
      </c>
      <c r="P202" s="64" t="str" cm="1">
        <f t="array" aca="1" ref="P202" ca="1">IF(D202=0,IF(G202=0,"",HYPERLINK("#"&amp;RIGHT(CELL("adresse",OFFSET(DMAV_Dienste!$M$6,G202-1,0)),LEN(CELL("adresse",OFFSET(DMAV_Dienste!$M$6,G202-1,0)))-FIND("]",CELL("adresse",OFFSET(DMAV_Dienste!$M$6,G202-1,0)))),"Substructure")),HYPERLINK("#"&amp;RIGHT(CELL("adresse",OFFSET(DMAV_Modell!$N$6,D202-1,0)),LEN(CELL("adresse",OFFSET(DMAV_Modell!$N$6,D202-1,0)))-FIND("]",CELL("adresse",OFFSET(DMAV_Modell!$N$6,D202-1,0)))),"Substructure"))</f>
        <v/>
      </c>
      <c r="R202" s="80"/>
      <c r="T202" s="93"/>
      <c r="U202" s="94"/>
      <c r="V202" s="95"/>
      <c r="W202" s="96"/>
      <c r="Y202" s="85" t="s">
        <v>5872</v>
      </c>
      <c r="Z202" s="86"/>
      <c r="AA202" s="87"/>
      <c r="AB202" s="88"/>
      <c r="AD202" s="77"/>
      <c r="AF202" s="54" t="str" cm="1">
        <f t="array" aca="1" ref="AF202" ca="1">IF(H202=0,"",HYPERLINK("#"&amp;RIGHT(CELL("adresse",OFFSET('DM01-AV-CH'!$G$6,H202-1,0)),LEN(CELL("adresse",OFFSET('DM01-AV-CH'!$G$6,H202-1,0)))-FIND("]",CELL("adresse",OFFSET('DM01-AV-CH'!$G$6,H202-1,0)))),"Modell"))</f>
        <v>Modell</v>
      </c>
      <c r="AG202" s="72" t="str" cm="1">
        <f t="array" ref="AG202">IF($H202=0,"",IF(INDEX('DM01-AV-CH'!G$6:G$834,$H202)="","",INDEX('DM01-AV-CH'!G$6:G$834,$H202)))</f>
        <v>FixpunkteKategorie2</v>
      </c>
      <c r="AH202" s="73" t="str" cm="1">
        <f t="array" ref="AH202">IF($H202=0,"",IF(INDEX('DM01-AV-CH'!H$6:H$834,$H202)="","",INDEX('DM01-AV-CH'!H$6:H$834,$H202)))</f>
        <v>LFP2Pos</v>
      </c>
      <c r="AI202" s="74" t="str" cm="1">
        <f t="array" ref="AI202">IF($H202=0,"",IF(INDEX('DM01-AV-CH'!I$6:I$834,$H202)="","",INDEX('DM01-AV-CH'!I$6:I$834,$H202)))</f>
        <v>HAli</v>
      </c>
    </row>
    <row r="203" spans="1:35" x14ac:dyDescent="0.25">
      <c r="A203" s="57">
        <v>198</v>
      </c>
      <c r="B203" s="57">
        <f>IF($A203="","",IF(_xlfn.XLOOKUP($A203,Korrelation!$D$4:$D$1197,Korrelation!E$4:E$1197,"-",0)="-",0,MATCH(_xlfn.XLOOKUP($A203,Korrelation!$D$4:$D$1197,Korrelation!E$4:E$1197,"",0),DMAV_Modell!$G$6:$G$677,0)))</f>
        <v>0</v>
      </c>
      <c r="C203" s="57">
        <f>IF($A203="","",IF(_xlfn.XLOOKUP($A203,Korrelation!$D$4:$D$1197,Korrelation!F$4:F$1197,"-",0)="-",0,MATCH(_xlfn.XLOOKUP($A203,Korrelation!$D$4:$D$1197,Korrelation!F$4:F$1197,"",0),DMAV_Modell!$G$6:$G$677,0)))</f>
        <v>0</v>
      </c>
      <c r="D203" s="57">
        <f>IF($A203="","",IF(_xlfn.XLOOKUP($A203,Korrelation!$D$4:$D$1197,Korrelation!G$4:G$1197,"-",0)="-",0,MATCH(_xlfn.XLOOKUP($A203,Korrelation!$D$4:$D$1197,Korrelation!G$4:G$1197,"",0),DMAV_Modell!$G$6:$G$677,0)))</f>
        <v>0</v>
      </c>
      <c r="E203" s="57">
        <f>IF($A203="","",IF(_xlfn.XLOOKUP($A203,Korrelation!$D$4:$D$1197,Korrelation!H$4:H$1197,"-",0)="-",0,MATCH(_xlfn.XLOOKUP($A203,Korrelation!$D$4:$D$1197,Korrelation!H$4:H$1197,"",0),DMAV_Dienste!$F$6:$F$140,0)))</f>
        <v>0</v>
      </c>
      <c r="F203" s="57">
        <f>IF($A203="","",IF(_xlfn.XLOOKUP($A203,Korrelation!$D$4:$D$1197,Korrelation!I$4:I$1197,"-",0)="-",0,MATCH(_xlfn.XLOOKUP($A203,Korrelation!$D$4:$D$1197,Korrelation!I$4:I$1197,"",0),DMAV_Dienste!$F$6:$F$140,0)))</f>
        <v>0</v>
      </c>
      <c r="G203" s="57">
        <f>IF($A203="","",IF(_xlfn.XLOOKUP($A203,Korrelation!$D$4:$D$1197,Korrelation!J$4:J$1197,"-",0)="-",0,MATCH(_xlfn.XLOOKUP($A203,Korrelation!$D$4:$D$1197,Korrelation!J$4:J$1197,"",0),DMAV_Dienste!$F$6:$F$140,0)))</f>
        <v>0</v>
      </c>
      <c r="H203" s="57">
        <f>IF($A203="","",IF(_xlfn.XLOOKUP($A203,Korrelation!$D$4:$D$1197,Korrelation!K$4:K$1197,"-",0)="-",0,MATCH(_xlfn.XLOOKUP($A203,Korrelation!$D$4:$D$1197,Korrelation!K$4:K$1197,"",0),'DM01-AV-CH'!$A$6:$A$834,0)))</f>
        <v>102</v>
      </c>
      <c r="J203" s="54" t="str" cm="1">
        <f t="array" aca="1" ref="J203" ca="1">IF(B203=0,IF(E203=0,"",HYPERLINK("#"&amp;RIGHT(CELL("adresse",OFFSET(DMAV_Dienste!$M$6,E203-1,0)),LEN(CELL("adresse",OFFSET(DMAV_Dienste!$M$6,E203-1,0)))-FIND("]",CELL("adresse",OFFSET(DMAV_Dienste!$M$6,E203-1,0)))),"Dienst")),HYPERLINK("#"&amp;RIGHT(CELL("adresse",OFFSET(DMAV_Modell!$N$6,B203-1,0)),LEN(CELL("adresse",OFFSET(DMAV_Modell!$N$6,B203-1,0)))-FIND("]",CELL("adresse",OFFSET(DMAV_Modell!$N$6,B203-1,0)))),"Modell"))</f>
        <v/>
      </c>
      <c r="K203" s="61" t="str" cm="1">
        <f t="array" ref="K203">IF($B203=0,IF($E203=0,"",IF(INDEX(DMAV_Dienste!P$6:P$140,$E203)="","",INDEX(DMAV_Dienste!P$6:P$140,$E203))),IF(INDEX(DMAV_Modell!Q$6:Q$838,$B203)="","",INDEX(DMAV_Modell!Q$6:Q$838,$B203)))</f>
        <v/>
      </c>
      <c r="L203" s="62" t="str" cm="1">
        <f t="array" ref="L203">IF($B203=0,IF($E203=0,"",IF(INDEX(DMAV_Dienste!O$6:O$140,$E203)="","",INDEX(DMAV_Dienste!O$6:O$140,$E203))),IF(INDEX(DMAV_Modell!P$6:P$838,$B203)="","",INDEX(DMAV_Modell!P$6:P$838,$B203)))</f>
        <v/>
      </c>
      <c r="M203" s="62" t="str" cm="1">
        <f t="array" ref="M203">IF($B203=0,IF($E203=0,"",IF(INDEX(DMAV_Dienste!Q$6:Q$140,$E203)="","",INDEX(DMAV_Dienste!Q$6:Q$140,$E203))),IF(INDEX(DMAV_Modell!R$6:R$838,$B203)="","",INDEX(DMAV_Modell!R$6:R$838,$B203)))</f>
        <v/>
      </c>
      <c r="N203" s="62" t="str" cm="1">
        <f t="array" ref="N203">IF($B203=0,IF($E203=0,"",IF(INDEX(DMAV_Dienste!T$6:T$140,$E203)="","",INDEX(DMAV_Dienste!T$6:T$140,$E203))),IF(INDEX(DMAV_Modell!U$6:U$838,$B203)="","",INDEX(DMAV_Modell!U$6:U$838,$B203)))</f>
        <v/>
      </c>
      <c r="O203" s="63" t="str" cm="1">
        <f t="array" aca="1" ref="O203" ca="1">IF(C203=0,IF(F203=0,"",HYPERLINK("#"&amp;RIGHT(CELL("adresse",OFFSET(DMAV_Dienste!$M$6,F203-1,0)),LEN(CELL("adresse",OFFSET(DMAV_Dienste!$M$6,F203-1,0)))-FIND("]",CELL("adresse",OFFSET(DMAV_Dienste!$M$6,F203-1,0)))),"Structure")),HYPERLINK("#"&amp;RIGHT(CELL("adresse",OFFSET(DMAV_Modell!$N$6,C203-1,0)),LEN(CELL("adresse",OFFSET(DMAV_Modell!$N$6,C203-1,0)))-FIND("]",CELL("adresse",OFFSET(DMAV_Modell!$N$6,C203-1,0)))),"Structure"))</f>
        <v/>
      </c>
      <c r="P203" s="64" t="str" cm="1">
        <f t="array" aca="1" ref="P203" ca="1">IF(D203=0,IF(G203=0,"",HYPERLINK("#"&amp;RIGHT(CELL("adresse",OFFSET(DMAV_Dienste!$M$6,G203-1,0)),LEN(CELL("adresse",OFFSET(DMAV_Dienste!$M$6,G203-1,0)))-FIND("]",CELL("adresse",OFFSET(DMAV_Dienste!$M$6,G203-1,0)))),"Substructure")),HYPERLINK("#"&amp;RIGHT(CELL("adresse",OFFSET(DMAV_Modell!$N$6,D203-1,0)),LEN(CELL("adresse",OFFSET(DMAV_Modell!$N$6,D203-1,0)))-FIND("]",CELL("adresse",OFFSET(DMAV_Modell!$N$6,D203-1,0)))),"Substructure"))</f>
        <v/>
      </c>
      <c r="R203" s="80"/>
      <c r="T203" s="93"/>
      <c r="U203" s="94"/>
      <c r="V203" s="95"/>
      <c r="W203" s="96"/>
      <c r="Y203" s="85" t="s">
        <v>5872</v>
      </c>
      <c r="Z203" s="86"/>
      <c r="AA203" s="87"/>
      <c r="AB203" s="88"/>
      <c r="AD203" s="77"/>
      <c r="AF203" s="54" t="str" cm="1">
        <f t="array" aca="1" ref="AF203" ca="1">IF(H203=0,"",HYPERLINK("#"&amp;RIGHT(CELL("adresse",OFFSET('DM01-AV-CH'!$G$6,H203-1,0)),LEN(CELL("adresse",OFFSET('DM01-AV-CH'!$G$6,H203-1,0)))-FIND("]",CELL("adresse",OFFSET('DM01-AV-CH'!$G$6,H203-1,0)))),"Modell"))</f>
        <v>Modell</v>
      </c>
      <c r="AG203" s="72" t="str" cm="1">
        <f t="array" ref="AG203">IF($H203=0,"",IF(INDEX('DM01-AV-CH'!G$6:G$834,$H203)="","",INDEX('DM01-AV-CH'!G$6:G$834,$H203)))</f>
        <v>FixpunkteKategorie2</v>
      </c>
      <c r="AH203" s="73" t="str" cm="1">
        <f t="array" ref="AH203">IF($H203=0,"",IF(INDEX('DM01-AV-CH'!H$6:H$834,$H203)="","",INDEX('DM01-AV-CH'!H$6:H$834,$H203)))</f>
        <v>LFP2Pos</v>
      </c>
      <c r="AI203" s="74" t="str" cm="1">
        <f t="array" ref="AI203">IF($H203=0,"",IF(INDEX('DM01-AV-CH'!I$6:I$834,$H203)="","",INDEX('DM01-AV-CH'!I$6:I$834,$H203)))</f>
        <v>VAli</v>
      </c>
    </row>
    <row r="204" spans="1:35" x14ac:dyDescent="0.25">
      <c r="A204" s="57">
        <v>199</v>
      </c>
      <c r="B204" s="57">
        <f>IF($A204="","",IF(_xlfn.XLOOKUP($A204,Korrelation!$D$4:$D$1197,Korrelation!E$4:E$1197,"-",0)="-",0,MATCH(_xlfn.XLOOKUP($A204,Korrelation!$D$4:$D$1197,Korrelation!E$4:E$1197,"",0),DMAV_Modell!$G$6:$G$677,0)))</f>
        <v>0</v>
      </c>
      <c r="C204" s="57">
        <f>IF($A204="","",IF(_xlfn.XLOOKUP($A204,Korrelation!$D$4:$D$1197,Korrelation!F$4:F$1197,"-",0)="-",0,MATCH(_xlfn.XLOOKUP($A204,Korrelation!$D$4:$D$1197,Korrelation!F$4:F$1197,"",0),DMAV_Modell!$G$6:$G$677,0)))</f>
        <v>0</v>
      </c>
      <c r="D204" s="57">
        <f>IF($A204="","",IF(_xlfn.XLOOKUP($A204,Korrelation!$D$4:$D$1197,Korrelation!G$4:G$1197,"-",0)="-",0,MATCH(_xlfn.XLOOKUP($A204,Korrelation!$D$4:$D$1197,Korrelation!G$4:G$1197,"",0),DMAV_Modell!$G$6:$G$677,0)))</f>
        <v>0</v>
      </c>
      <c r="E204" s="57">
        <f>IF($A204="","",IF(_xlfn.XLOOKUP($A204,Korrelation!$D$4:$D$1197,Korrelation!H$4:H$1197,"-",0)="-",0,MATCH(_xlfn.XLOOKUP($A204,Korrelation!$D$4:$D$1197,Korrelation!H$4:H$1197,"",0),DMAV_Dienste!$F$6:$F$140,0)))</f>
        <v>0</v>
      </c>
      <c r="F204" s="57">
        <f>IF($A204="","",IF(_xlfn.XLOOKUP($A204,Korrelation!$D$4:$D$1197,Korrelation!I$4:I$1197,"-",0)="-",0,MATCH(_xlfn.XLOOKUP($A204,Korrelation!$D$4:$D$1197,Korrelation!I$4:I$1197,"",0),DMAV_Dienste!$F$6:$F$140,0)))</f>
        <v>0</v>
      </c>
      <c r="G204" s="57">
        <f>IF($A204="","",IF(_xlfn.XLOOKUP($A204,Korrelation!$D$4:$D$1197,Korrelation!J$4:J$1197,"-",0)="-",0,MATCH(_xlfn.XLOOKUP($A204,Korrelation!$D$4:$D$1197,Korrelation!J$4:J$1197,"",0),DMAV_Dienste!$F$6:$F$140,0)))</f>
        <v>0</v>
      </c>
      <c r="H204" s="57">
        <f>IF($A204="","",IF(_xlfn.XLOOKUP($A204,Korrelation!$D$4:$D$1197,Korrelation!K$4:K$1197,"-",0)="-",0,MATCH(_xlfn.XLOOKUP($A204,Korrelation!$D$4:$D$1197,Korrelation!K$4:K$1197,"",0),'DM01-AV-CH'!$A$6:$A$834,0)))</f>
        <v>103</v>
      </c>
      <c r="J204" s="54" t="str" cm="1">
        <f t="array" aca="1" ref="J204" ca="1">IF(B204=0,IF(E204=0,"",HYPERLINK("#"&amp;RIGHT(CELL("adresse",OFFSET(DMAV_Dienste!$M$6,E204-1,0)),LEN(CELL("adresse",OFFSET(DMAV_Dienste!$M$6,E204-1,0)))-FIND("]",CELL("adresse",OFFSET(DMAV_Dienste!$M$6,E204-1,0)))),"Dienst")),HYPERLINK("#"&amp;RIGHT(CELL("adresse",OFFSET(DMAV_Modell!$N$6,B204-1,0)),LEN(CELL("adresse",OFFSET(DMAV_Modell!$N$6,B204-1,0)))-FIND("]",CELL("adresse",OFFSET(DMAV_Modell!$N$6,B204-1,0)))),"Modell"))</f>
        <v/>
      </c>
      <c r="K204" s="61" t="str" cm="1">
        <f t="array" ref="K204">IF($B204=0,IF($E204=0,"",IF(INDEX(DMAV_Dienste!P$6:P$140,$E204)="","",INDEX(DMAV_Dienste!P$6:P$140,$E204))),IF(INDEX(DMAV_Modell!Q$6:Q$838,$B204)="","",INDEX(DMAV_Modell!Q$6:Q$838,$B204)))</f>
        <v/>
      </c>
      <c r="L204" s="62" t="str" cm="1">
        <f t="array" ref="L204">IF($B204=0,IF($E204=0,"",IF(INDEX(DMAV_Dienste!O$6:O$140,$E204)="","",INDEX(DMAV_Dienste!O$6:O$140,$E204))),IF(INDEX(DMAV_Modell!P$6:P$838,$B204)="","",INDEX(DMAV_Modell!P$6:P$838,$B204)))</f>
        <v/>
      </c>
      <c r="M204" s="62" t="str" cm="1">
        <f t="array" ref="M204">IF($B204=0,IF($E204=0,"",IF(INDEX(DMAV_Dienste!Q$6:Q$140,$E204)="","",INDEX(DMAV_Dienste!Q$6:Q$140,$E204))),IF(INDEX(DMAV_Modell!R$6:R$838,$B204)="","",INDEX(DMAV_Modell!R$6:R$838,$B204)))</f>
        <v/>
      </c>
      <c r="N204" s="62" t="str" cm="1">
        <f t="array" ref="N204">IF($B204=0,IF($E204=0,"",IF(INDEX(DMAV_Dienste!T$6:T$140,$E204)="","",INDEX(DMAV_Dienste!T$6:T$140,$E204))),IF(INDEX(DMAV_Modell!U$6:U$838,$B204)="","",INDEX(DMAV_Modell!U$6:U$838,$B204)))</f>
        <v/>
      </c>
      <c r="O204" s="63" t="str" cm="1">
        <f t="array" aca="1" ref="O204" ca="1">IF(C204=0,IF(F204=0,"",HYPERLINK("#"&amp;RIGHT(CELL("adresse",OFFSET(DMAV_Dienste!$M$6,F204-1,0)),LEN(CELL("adresse",OFFSET(DMAV_Dienste!$M$6,F204-1,0)))-FIND("]",CELL("adresse",OFFSET(DMAV_Dienste!$M$6,F204-1,0)))),"Structure")),HYPERLINK("#"&amp;RIGHT(CELL("adresse",OFFSET(DMAV_Modell!$N$6,C204-1,0)),LEN(CELL("adresse",OFFSET(DMAV_Modell!$N$6,C204-1,0)))-FIND("]",CELL("adresse",OFFSET(DMAV_Modell!$N$6,C204-1,0)))),"Structure"))</f>
        <v/>
      </c>
      <c r="P204" s="64" t="str" cm="1">
        <f t="array" aca="1" ref="P204" ca="1">IF(D204=0,IF(G204=0,"",HYPERLINK("#"&amp;RIGHT(CELL("adresse",OFFSET(DMAV_Dienste!$M$6,G204-1,0)),LEN(CELL("adresse",OFFSET(DMAV_Dienste!$M$6,G204-1,0)))-FIND("]",CELL("adresse",OFFSET(DMAV_Dienste!$M$6,G204-1,0)))),"Substructure")),HYPERLINK("#"&amp;RIGHT(CELL("adresse",OFFSET(DMAV_Modell!$N$6,D204-1,0)),LEN(CELL("adresse",OFFSET(DMAV_Modell!$N$6,D204-1,0)))-FIND("]",CELL("adresse",OFFSET(DMAV_Modell!$N$6,D204-1,0)))),"Substructure"))</f>
        <v/>
      </c>
      <c r="R204" s="80"/>
      <c r="T204" s="93"/>
      <c r="U204" s="94"/>
      <c r="V204" s="95"/>
      <c r="W204" s="96"/>
      <c r="Y204" s="85" t="s">
        <v>5872</v>
      </c>
      <c r="Z204" s="86"/>
      <c r="AA204" s="87"/>
      <c r="AB204" s="88"/>
      <c r="AD204" s="77"/>
      <c r="AF204" s="54" t="str" cm="1">
        <f t="array" aca="1" ref="AF204" ca="1">IF(H204=0,"",HYPERLINK("#"&amp;RIGHT(CELL("adresse",OFFSET('DM01-AV-CH'!$G$6,H204-1,0)),LEN(CELL("adresse",OFFSET('DM01-AV-CH'!$G$6,H204-1,0)))-FIND("]",CELL("adresse",OFFSET('DM01-AV-CH'!$G$6,H204-1,0)))),"Modell"))</f>
        <v>Modell</v>
      </c>
      <c r="AG204" s="72" t="str" cm="1">
        <f t="array" ref="AG204">IF($H204=0,"",IF(INDEX('DM01-AV-CH'!G$6:G$834,$H204)="","",INDEX('DM01-AV-CH'!G$6:G$834,$H204)))</f>
        <v>FixpunkteKategorie2</v>
      </c>
      <c r="AH204" s="73" t="str" cm="1">
        <f t="array" ref="AH204">IF($H204=0,"",IF(INDEX('DM01-AV-CH'!H$6:H$834,$H204)="","",INDEX('DM01-AV-CH'!H$6:H$834,$H204)))</f>
        <v>LFP2Symbol</v>
      </c>
      <c r="AI204" s="74" t="str" cm="1">
        <f t="array" ref="AI204">IF($H204=0,"",IF(INDEX('DM01-AV-CH'!I$6:I$834,$H204)="","",INDEX('DM01-AV-CH'!I$6:I$834,$H204)))</f>
        <v>LFP2Symbol_von</v>
      </c>
    </row>
    <row r="205" spans="1:35" x14ac:dyDescent="0.25">
      <c r="A205" s="57">
        <v>200</v>
      </c>
      <c r="B205" s="57">
        <f>IF($A205="","",IF(_xlfn.XLOOKUP($A205,Korrelation!$D$4:$D$1197,Korrelation!E$4:E$1197,"-",0)="-",0,MATCH(_xlfn.XLOOKUP($A205,Korrelation!$D$4:$D$1197,Korrelation!E$4:E$1197,"",0),DMAV_Modell!$G$6:$G$677,0)))</f>
        <v>0</v>
      </c>
      <c r="C205" s="57">
        <f>IF($A205="","",IF(_xlfn.XLOOKUP($A205,Korrelation!$D$4:$D$1197,Korrelation!F$4:F$1197,"-",0)="-",0,MATCH(_xlfn.XLOOKUP($A205,Korrelation!$D$4:$D$1197,Korrelation!F$4:F$1197,"",0),DMAV_Modell!$G$6:$G$677,0)))</f>
        <v>0</v>
      </c>
      <c r="D205" s="57">
        <f>IF($A205="","",IF(_xlfn.XLOOKUP($A205,Korrelation!$D$4:$D$1197,Korrelation!G$4:G$1197,"-",0)="-",0,MATCH(_xlfn.XLOOKUP($A205,Korrelation!$D$4:$D$1197,Korrelation!G$4:G$1197,"",0),DMAV_Modell!$G$6:$G$677,0)))</f>
        <v>0</v>
      </c>
      <c r="E205" s="57">
        <f>IF($A205="","",IF(_xlfn.XLOOKUP($A205,Korrelation!$D$4:$D$1197,Korrelation!H$4:H$1197,"-",0)="-",0,MATCH(_xlfn.XLOOKUP($A205,Korrelation!$D$4:$D$1197,Korrelation!H$4:H$1197,"",0),DMAV_Dienste!$F$6:$F$140,0)))</f>
        <v>0</v>
      </c>
      <c r="F205" s="57">
        <f>IF($A205="","",IF(_xlfn.XLOOKUP($A205,Korrelation!$D$4:$D$1197,Korrelation!I$4:I$1197,"-",0)="-",0,MATCH(_xlfn.XLOOKUP($A205,Korrelation!$D$4:$D$1197,Korrelation!I$4:I$1197,"",0),DMAV_Dienste!$F$6:$F$140,0)))</f>
        <v>0</v>
      </c>
      <c r="G205" s="57">
        <f>IF($A205="","",IF(_xlfn.XLOOKUP($A205,Korrelation!$D$4:$D$1197,Korrelation!J$4:J$1197,"-",0)="-",0,MATCH(_xlfn.XLOOKUP($A205,Korrelation!$D$4:$D$1197,Korrelation!J$4:J$1197,"",0),DMAV_Dienste!$F$6:$F$140,0)))</f>
        <v>0</v>
      </c>
      <c r="H205" s="57">
        <f>IF($A205="","",IF(_xlfn.XLOOKUP($A205,Korrelation!$D$4:$D$1197,Korrelation!K$4:K$1197,"-",0)="-",0,MATCH(_xlfn.XLOOKUP($A205,Korrelation!$D$4:$D$1197,Korrelation!K$4:K$1197,"",0),'DM01-AV-CH'!$A$6:$A$834,0)))</f>
        <v>104</v>
      </c>
      <c r="J205" s="54" t="str" cm="1">
        <f t="array" aca="1" ref="J205" ca="1">IF(B205=0,IF(E205=0,"",HYPERLINK("#"&amp;RIGHT(CELL("adresse",OFFSET(DMAV_Dienste!$M$6,E205-1,0)),LEN(CELL("adresse",OFFSET(DMAV_Dienste!$M$6,E205-1,0)))-FIND("]",CELL("adresse",OFFSET(DMAV_Dienste!$M$6,E205-1,0)))),"Dienst")),HYPERLINK("#"&amp;RIGHT(CELL("adresse",OFFSET(DMAV_Modell!$N$6,B205-1,0)),LEN(CELL("adresse",OFFSET(DMAV_Modell!$N$6,B205-1,0)))-FIND("]",CELL("adresse",OFFSET(DMAV_Modell!$N$6,B205-1,0)))),"Modell"))</f>
        <v/>
      </c>
      <c r="K205" s="61" t="str" cm="1">
        <f t="array" ref="K205">IF($B205=0,IF($E205=0,"",IF(INDEX(DMAV_Dienste!P$6:P$140,$E205)="","",INDEX(DMAV_Dienste!P$6:P$140,$E205))),IF(INDEX(DMAV_Modell!Q$6:Q$838,$B205)="","",INDEX(DMAV_Modell!Q$6:Q$838,$B205)))</f>
        <v/>
      </c>
      <c r="L205" s="62" t="str" cm="1">
        <f t="array" ref="L205">IF($B205=0,IF($E205=0,"",IF(INDEX(DMAV_Dienste!O$6:O$140,$E205)="","",INDEX(DMAV_Dienste!O$6:O$140,$E205))),IF(INDEX(DMAV_Modell!P$6:P$838,$B205)="","",INDEX(DMAV_Modell!P$6:P$838,$B205)))</f>
        <v/>
      </c>
      <c r="M205" s="62" t="str" cm="1">
        <f t="array" ref="M205">IF($B205=0,IF($E205=0,"",IF(INDEX(DMAV_Dienste!Q$6:Q$140,$E205)="","",INDEX(DMAV_Dienste!Q$6:Q$140,$E205))),IF(INDEX(DMAV_Modell!R$6:R$838,$B205)="","",INDEX(DMAV_Modell!R$6:R$838,$B205)))</f>
        <v/>
      </c>
      <c r="N205" s="62" t="str" cm="1">
        <f t="array" ref="N205">IF($B205=0,IF($E205=0,"",IF(INDEX(DMAV_Dienste!T$6:T$140,$E205)="","",INDEX(DMAV_Dienste!T$6:T$140,$E205))),IF(INDEX(DMAV_Modell!U$6:U$838,$B205)="","",INDEX(DMAV_Modell!U$6:U$838,$B205)))</f>
        <v/>
      </c>
      <c r="O205" s="63" t="str" cm="1">
        <f t="array" aca="1" ref="O205" ca="1">IF(C205=0,IF(F205=0,"",HYPERLINK("#"&amp;RIGHT(CELL("adresse",OFFSET(DMAV_Dienste!$M$6,F205-1,0)),LEN(CELL("adresse",OFFSET(DMAV_Dienste!$M$6,F205-1,0)))-FIND("]",CELL("adresse",OFFSET(DMAV_Dienste!$M$6,F205-1,0)))),"Structure")),HYPERLINK("#"&amp;RIGHT(CELL("adresse",OFFSET(DMAV_Modell!$N$6,C205-1,0)),LEN(CELL("adresse",OFFSET(DMAV_Modell!$N$6,C205-1,0)))-FIND("]",CELL("adresse",OFFSET(DMAV_Modell!$N$6,C205-1,0)))),"Structure"))</f>
        <v/>
      </c>
      <c r="P205" s="64" t="str" cm="1">
        <f t="array" aca="1" ref="P205" ca="1">IF(D205=0,IF(G205=0,"",HYPERLINK("#"&amp;RIGHT(CELL("adresse",OFFSET(DMAV_Dienste!$M$6,G205-1,0)),LEN(CELL("adresse",OFFSET(DMAV_Dienste!$M$6,G205-1,0)))-FIND("]",CELL("adresse",OFFSET(DMAV_Dienste!$M$6,G205-1,0)))),"Substructure")),HYPERLINK("#"&amp;RIGHT(CELL("adresse",OFFSET(DMAV_Modell!$N$6,D205-1,0)),LEN(CELL("adresse",OFFSET(DMAV_Modell!$N$6,D205-1,0)))-FIND("]",CELL("adresse",OFFSET(DMAV_Modell!$N$6,D205-1,0)))),"Substructure"))</f>
        <v/>
      </c>
      <c r="R205" s="80"/>
      <c r="T205" s="93"/>
      <c r="U205" s="94"/>
      <c r="V205" s="95"/>
      <c r="W205" s="96"/>
      <c r="Y205" s="85" t="s">
        <v>5872</v>
      </c>
      <c r="Z205" s="86"/>
      <c r="AA205" s="87"/>
      <c r="AB205" s="88"/>
      <c r="AD205" s="77"/>
      <c r="AF205" s="54" t="str" cm="1">
        <f t="array" aca="1" ref="AF205" ca="1">IF(H205=0,"",HYPERLINK("#"&amp;RIGHT(CELL("adresse",OFFSET('DM01-AV-CH'!$G$6,H205-1,0)),LEN(CELL("adresse",OFFSET('DM01-AV-CH'!$G$6,H205-1,0)))-FIND("]",CELL("adresse",OFFSET('DM01-AV-CH'!$G$6,H205-1,0)))),"Modell"))</f>
        <v>Modell</v>
      </c>
      <c r="AG205" s="72" t="str" cm="1">
        <f t="array" ref="AG205">IF($H205=0,"",IF(INDEX('DM01-AV-CH'!G$6:G$834,$H205)="","",INDEX('DM01-AV-CH'!G$6:G$834,$H205)))</f>
        <v>FixpunkteKategorie2</v>
      </c>
      <c r="AH205" s="73" t="str" cm="1">
        <f t="array" ref="AH205">IF($H205=0,"",IF(INDEX('DM01-AV-CH'!H$6:H$834,$H205)="","",INDEX('DM01-AV-CH'!H$6:H$834,$H205)))</f>
        <v>LFP2Symbol</v>
      </c>
      <c r="AI205" s="74" t="str" cm="1">
        <f t="array" ref="AI205">IF($H205=0,"",IF(INDEX('DM01-AV-CH'!I$6:I$834,$H205)="","",INDEX('DM01-AV-CH'!I$6:I$834,$H205)))</f>
        <v>Ori</v>
      </c>
    </row>
    <row r="206" spans="1:35" x14ac:dyDescent="0.25">
      <c r="A206" s="57">
        <v>201</v>
      </c>
      <c r="B206" s="57">
        <f>IF($A206="","",IF(_xlfn.XLOOKUP($A206,Korrelation!$D$4:$D$1197,Korrelation!E$4:E$1197,"-",0)="-",0,MATCH(_xlfn.XLOOKUP($A206,Korrelation!$D$4:$D$1197,Korrelation!E$4:E$1197,"",0),DMAV_Modell!$G$6:$G$677,0)))</f>
        <v>0</v>
      </c>
      <c r="C206" s="57">
        <f>IF($A206="","",IF(_xlfn.XLOOKUP($A206,Korrelation!$D$4:$D$1197,Korrelation!F$4:F$1197,"-",0)="-",0,MATCH(_xlfn.XLOOKUP($A206,Korrelation!$D$4:$D$1197,Korrelation!F$4:F$1197,"",0),DMAV_Modell!$G$6:$G$677,0)))</f>
        <v>0</v>
      </c>
      <c r="D206" s="57">
        <f>IF($A206="","",IF(_xlfn.XLOOKUP($A206,Korrelation!$D$4:$D$1197,Korrelation!G$4:G$1197,"-",0)="-",0,MATCH(_xlfn.XLOOKUP($A206,Korrelation!$D$4:$D$1197,Korrelation!G$4:G$1197,"",0),DMAV_Modell!$G$6:$G$677,0)))</f>
        <v>0</v>
      </c>
      <c r="E206" s="57">
        <f>IF($A206="","",IF(_xlfn.XLOOKUP($A206,Korrelation!$D$4:$D$1197,Korrelation!H$4:H$1197,"-",0)="-",0,MATCH(_xlfn.XLOOKUP($A206,Korrelation!$D$4:$D$1197,Korrelation!H$4:H$1197,"",0),DMAV_Dienste!$F$6:$F$140,0)))</f>
        <v>0</v>
      </c>
      <c r="F206" s="57">
        <f>IF($A206="","",IF(_xlfn.XLOOKUP($A206,Korrelation!$D$4:$D$1197,Korrelation!I$4:I$1197,"-",0)="-",0,MATCH(_xlfn.XLOOKUP($A206,Korrelation!$D$4:$D$1197,Korrelation!I$4:I$1197,"",0),DMAV_Dienste!$F$6:$F$140,0)))</f>
        <v>0</v>
      </c>
      <c r="G206" s="57">
        <f>IF($A206="","",IF(_xlfn.XLOOKUP($A206,Korrelation!$D$4:$D$1197,Korrelation!J$4:J$1197,"-",0)="-",0,MATCH(_xlfn.XLOOKUP($A206,Korrelation!$D$4:$D$1197,Korrelation!J$4:J$1197,"",0),DMAV_Dienste!$F$6:$F$140,0)))</f>
        <v>0</v>
      </c>
      <c r="H206" s="57">
        <f>IF($A206="","",IF(_xlfn.XLOOKUP($A206,Korrelation!$D$4:$D$1197,Korrelation!K$4:K$1197,"-",0)="-",0,MATCH(_xlfn.XLOOKUP($A206,Korrelation!$D$4:$D$1197,Korrelation!K$4:K$1197,"",0),'DM01-AV-CH'!$A$6:$A$834,0)))</f>
        <v>111</v>
      </c>
      <c r="J206" s="54" t="str" cm="1">
        <f t="array" aca="1" ref="J206" ca="1">IF(B206=0,IF(E206=0,"",HYPERLINK("#"&amp;RIGHT(CELL("adresse",OFFSET(DMAV_Dienste!$M$6,E206-1,0)),LEN(CELL("adresse",OFFSET(DMAV_Dienste!$M$6,E206-1,0)))-FIND("]",CELL("adresse",OFFSET(DMAV_Dienste!$M$6,E206-1,0)))),"Dienst")),HYPERLINK("#"&amp;RIGHT(CELL("adresse",OFFSET(DMAV_Modell!$N$6,B206-1,0)),LEN(CELL("adresse",OFFSET(DMAV_Modell!$N$6,B206-1,0)))-FIND("]",CELL("adresse",OFFSET(DMAV_Modell!$N$6,B206-1,0)))),"Modell"))</f>
        <v/>
      </c>
      <c r="K206" s="61" t="str" cm="1">
        <f t="array" ref="K206">IF($B206=0,IF($E206=0,"",IF(INDEX(DMAV_Dienste!P$6:P$140,$E206)="","",INDEX(DMAV_Dienste!P$6:P$140,$E206))),IF(INDEX(DMAV_Modell!Q$6:Q$838,$B206)="","",INDEX(DMAV_Modell!Q$6:Q$838,$B206)))</f>
        <v/>
      </c>
      <c r="L206" s="62" t="str" cm="1">
        <f t="array" ref="L206">IF($B206=0,IF($E206=0,"",IF(INDEX(DMAV_Dienste!O$6:O$140,$E206)="","",INDEX(DMAV_Dienste!O$6:O$140,$E206))),IF(INDEX(DMAV_Modell!P$6:P$838,$B206)="","",INDEX(DMAV_Modell!P$6:P$838,$B206)))</f>
        <v/>
      </c>
      <c r="M206" s="62" t="str" cm="1">
        <f t="array" ref="M206">IF($B206=0,IF($E206=0,"",IF(INDEX(DMAV_Dienste!Q$6:Q$140,$E206)="","",INDEX(DMAV_Dienste!Q$6:Q$140,$E206))),IF(INDEX(DMAV_Modell!R$6:R$838,$B206)="","",INDEX(DMAV_Modell!R$6:R$838,$B206)))</f>
        <v/>
      </c>
      <c r="N206" s="62" t="str" cm="1">
        <f t="array" ref="N206">IF($B206=0,IF($E206=0,"",IF(INDEX(DMAV_Dienste!T$6:T$140,$E206)="","",INDEX(DMAV_Dienste!T$6:T$140,$E206))),IF(INDEX(DMAV_Modell!U$6:U$838,$B206)="","",INDEX(DMAV_Modell!U$6:U$838,$B206)))</f>
        <v/>
      </c>
      <c r="O206" s="63" t="str" cm="1">
        <f t="array" aca="1" ref="O206" ca="1">IF(C206=0,IF(F206=0,"",HYPERLINK("#"&amp;RIGHT(CELL("adresse",OFFSET(DMAV_Dienste!$M$6,F206-1,0)),LEN(CELL("adresse",OFFSET(DMAV_Dienste!$M$6,F206-1,0)))-FIND("]",CELL("adresse",OFFSET(DMAV_Dienste!$M$6,F206-1,0)))),"Structure")),HYPERLINK("#"&amp;RIGHT(CELL("adresse",OFFSET(DMAV_Modell!$N$6,C206-1,0)),LEN(CELL("adresse",OFFSET(DMAV_Modell!$N$6,C206-1,0)))-FIND("]",CELL("adresse",OFFSET(DMAV_Modell!$N$6,C206-1,0)))),"Structure"))</f>
        <v/>
      </c>
      <c r="P206" s="64" t="str" cm="1">
        <f t="array" aca="1" ref="P206" ca="1">IF(D206=0,IF(G206=0,"",HYPERLINK("#"&amp;RIGHT(CELL("adresse",OFFSET(DMAV_Dienste!$M$6,G206-1,0)),LEN(CELL("adresse",OFFSET(DMAV_Dienste!$M$6,G206-1,0)))-FIND("]",CELL("adresse",OFFSET(DMAV_Dienste!$M$6,G206-1,0)))),"Substructure")),HYPERLINK("#"&amp;RIGHT(CELL("adresse",OFFSET(DMAV_Modell!$N$6,D206-1,0)),LEN(CELL("adresse",OFFSET(DMAV_Modell!$N$6,D206-1,0)))-FIND("]",CELL("adresse",OFFSET(DMAV_Modell!$N$6,D206-1,0)))),"Substructure"))</f>
        <v/>
      </c>
      <c r="R206" s="80"/>
      <c r="T206" s="93"/>
      <c r="U206" s="94"/>
      <c r="V206" s="95"/>
      <c r="W206" s="96"/>
      <c r="Y206" s="85" t="s">
        <v>5874</v>
      </c>
      <c r="Z206" s="86"/>
      <c r="AA206" s="87"/>
      <c r="AB206" s="88"/>
      <c r="AD206" s="77"/>
      <c r="AF206" s="54" t="str" cm="1">
        <f t="array" aca="1" ref="AF206" ca="1">IF(H206=0,"",HYPERLINK("#"&amp;RIGHT(CELL("adresse",OFFSET('DM01-AV-CH'!$G$6,H206-1,0)),LEN(CELL("adresse",OFFSET('DM01-AV-CH'!$G$6,H206-1,0)))-FIND("]",CELL("adresse",OFFSET('DM01-AV-CH'!$G$6,H206-1,0)))),"Modell"))</f>
        <v>Modell</v>
      </c>
      <c r="AG206" s="72" t="str" cm="1">
        <f t="array" ref="AG206">IF($H206=0,"",IF(INDEX('DM01-AV-CH'!G$6:G$834,$H206)="","",INDEX('DM01-AV-CH'!G$6:G$834,$H206)))</f>
        <v>FixpunkteKategorie2</v>
      </c>
      <c r="AH206" s="73" t="str" cm="1">
        <f t="array" ref="AH206">IF($H206=0,"",IF(INDEX('DM01-AV-CH'!H$6:H$834,$H206)="","",INDEX('DM01-AV-CH'!H$6:H$834,$H206)))</f>
        <v>HFP2</v>
      </c>
      <c r="AI206" s="74" t="str" cm="1">
        <f t="array" ref="AI206">IF($H206=0,"",IF(INDEX('DM01-AV-CH'!I$6:I$834,$H206)="","",INDEX('DM01-AV-CH'!I$6:I$834,$H206)))</f>
        <v>Entstehung</v>
      </c>
    </row>
    <row r="207" spans="1:35" x14ac:dyDescent="0.25">
      <c r="A207" s="57">
        <v>202</v>
      </c>
      <c r="B207" s="57">
        <f>IF($A207="","",IF(_xlfn.XLOOKUP($A207,Korrelation!$D$4:$D$1197,Korrelation!E$4:E$1197,"-",0)="-",0,MATCH(_xlfn.XLOOKUP($A207,Korrelation!$D$4:$D$1197,Korrelation!E$4:E$1197,"",0),DMAV_Modell!$G$6:$G$677,0)))</f>
        <v>0</v>
      </c>
      <c r="C207" s="57">
        <f>IF($A207="","",IF(_xlfn.XLOOKUP($A207,Korrelation!$D$4:$D$1197,Korrelation!F$4:F$1197,"-",0)="-",0,MATCH(_xlfn.XLOOKUP($A207,Korrelation!$D$4:$D$1197,Korrelation!F$4:F$1197,"",0),DMAV_Modell!$G$6:$G$677,0)))</f>
        <v>0</v>
      </c>
      <c r="D207" s="57">
        <f>IF($A207="","",IF(_xlfn.XLOOKUP($A207,Korrelation!$D$4:$D$1197,Korrelation!G$4:G$1197,"-",0)="-",0,MATCH(_xlfn.XLOOKUP($A207,Korrelation!$D$4:$D$1197,Korrelation!G$4:G$1197,"",0),DMAV_Modell!$G$6:$G$677,0)))</f>
        <v>0</v>
      </c>
      <c r="E207" s="57">
        <f>IF($A207="","",IF(_xlfn.XLOOKUP($A207,Korrelation!$D$4:$D$1197,Korrelation!H$4:H$1197,"-",0)="-",0,MATCH(_xlfn.XLOOKUP($A207,Korrelation!$D$4:$D$1197,Korrelation!H$4:H$1197,"",0),DMAV_Dienste!$F$6:$F$140,0)))</f>
        <v>83</v>
      </c>
      <c r="F207" s="57">
        <f>IF($A207="","",IF(_xlfn.XLOOKUP($A207,Korrelation!$D$4:$D$1197,Korrelation!I$4:I$1197,"-",0)="-",0,MATCH(_xlfn.XLOOKUP($A207,Korrelation!$D$4:$D$1197,Korrelation!I$4:I$1197,"",0),DMAV_Dienste!$F$6:$F$140,0)))</f>
        <v>0</v>
      </c>
      <c r="G207" s="57">
        <f>IF($A207="","",IF(_xlfn.XLOOKUP($A207,Korrelation!$D$4:$D$1197,Korrelation!J$4:J$1197,"-",0)="-",0,MATCH(_xlfn.XLOOKUP($A207,Korrelation!$D$4:$D$1197,Korrelation!J$4:J$1197,"",0),DMAV_Dienste!$F$6:$F$140,0)))</f>
        <v>0</v>
      </c>
      <c r="H207" s="57">
        <f>IF($A207="","",IF(_xlfn.XLOOKUP($A207,Korrelation!$D$4:$D$1197,Korrelation!K$4:K$1197,"-",0)="-",0,MATCH(_xlfn.XLOOKUP($A207,Korrelation!$D$4:$D$1197,Korrelation!K$4:K$1197,"",0),'DM01-AV-CH'!$A$6:$A$834,0)))</f>
        <v>0</v>
      </c>
      <c r="J207" s="54" t="str" cm="1">
        <f t="array" aca="1" ref="J207" ca="1">IF(B207=0,IF(E207=0,"",HYPERLINK("#"&amp;RIGHT(CELL("adresse",OFFSET(DMAV_Dienste!$M$6,E207-1,0)),LEN(CELL("adresse",OFFSET(DMAV_Dienste!$M$6,E207-1,0)))-FIND("]",CELL("adresse",OFFSET(DMAV_Dienste!$M$6,E207-1,0)))),"Dienst")),HYPERLINK("#"&amp;RIGHT(CELL("adresse",OFFSET(DMAV_Modell!$N$6,B207-1,0)),LEN(CELL("adresse",OFFSET(DMAV_Modell!$N$6,B207-1,0)))-FIND("]",CELL("adresse",OFFSET(DMAV_Modell!$N$6,B207-1,0)))),"Modell"))</f>
        <v>Dienst</v>
      </c>
      <c r="K207" s="61" t="str" cm="1">
        <f t="array" ref="K207">IF($B207=0,IF($E207=0,"",IF(INDEX(DMAV_Dienste!P$6:P$140,$E207)="","",INDEX(DMAV_Dienste!P$6:P$140,$E207))),IF(INDEX(DMAV_Modell!Q$6:Q$838,$B207)="","",INDEX(DMAV_Modell!Q$6:Q$838,$B207)))</f>
        <v>CLASS</v>
      </c>
      <c r="L207" s="62" t="str" cm="1">
        <f t="array" ref="L207">IF($B207=0,IF($E207=0,"",IF(INDEX(DMAV_Dienste!O$6:O$140,$E207)="","",INDEX(DMAV_Dienste!O$6:O$140,$E207))),IF(INDEX(DMAV_Modell!P$6:P$838,$B207)="","",INDEX(DMAV_Modell!P$6:P$838,$B207)))</f>
        <v>FPDS2</v>
      </c>
      <c r="M207" s="62" t="str" cm="1">
        <f t="array" ref="M207">IF($B207=0,IF($E207=0,"",IF(INDEX(DMAV_Dienste!Q$6:Q$140,$E207)="","",INDEX(DMAV_Dienste!Q$6:Q$140,$E207))),IF(INDEX(DMAV_Modell!R$6:R$838,$B207)="","",INDEX(DMAV_Modell!R$6:R$838,$B207)))</f>
        <v>Fixpunkt</v>
      </c>
      <c r="N207" s="62" t="str" cm="1">
        <f t="array" ref="N207">IF($B207=0,IF($E207=0,"",IF(INDEX(DMAV_Dienste!T$6:T$140,$E207)="","",INDEX(DMAV_Dienste!T$6:T$140,$E207))),IF(INDEX(DMAV_Modell!U$6:U$838,$B207)="","",INDEX(DMAV_Modell!U$6:U$838,$B207)))</f>
        <v>Art</v>
      </c>
      <c r="O207" s="63" t="str" cm="1">
        <f t="array" aca="1" ref="O207" ca="1">IF(C207=0,IF(F207=0,"",HYPERLINK("#"&amp;RIGHT(CELL("adresse",OFFSET(DMAV_Dienste!$M$6,F207-1,0)),LEN(CELL("adresse",OFFSET(DMAV_Dienste!$M$6,F207-1,0)))-FIND("]",CELL("adresse",OFFSET(DMAV_Dienste!$M$6,F207-1,0)))),"Structure")),HYPERLINK("#"&amp;RIGHT(CELL("adresse",OFFSET(DMAV_Modell!$N$6,C207-1,0)),LEN(CELL("adresse",OFFSET(DMAV_Modell!$N$6,C207-1,0)))-FIND("]",CELL("adresse",OFFSET(DMAV_Modell!$N$6,C207-1,0)))),"Structure"))</f>
        <v/>
      </c>
      <c r="P207" s="64" t="str" cm="1">
        <f t="array" aca="1" ref="P207" ca="1">IF(D207=0,IF(G207=0,"",HYPERLINK("#"&amp;RIGHT(CELL("adresse",OFFSET(DMAV_Dienste!$M$6,G207-1,0)),LEN(CELL("adresse",OFFSET(DMAV_Dienste!$M$6,G207-1,0)))-FIND("]",CELL("adresse",OFFSET(DMAV_Dienste!$M$6,G207-1,0)))),"Substructure")),HYPERLINK("#"&amp;RIGHT(CELL("adresse",OFFSET(DMAV_Modell!$N$6,D207-1,0)),LEN(CELL("adresse",OFFSET(DMAV_Modell!$N$6,D207-1,0)))-FIND("]",CELL("adresse",OFFSET(DMAV_Modell!$N$6,D207-1,0)))),"Substructure"))</f>
        <v/>
      </c>
      <c r="R207" s="80"/>
      <c r="T207" s="93"/>
      <c r="U207" s="94"/>
      <c r="V207" s="95"/>
      <c r="W207" s="96"/>
      <c r="Y207" s="85"/>
      <c r="Z207" s="86"/>
      <c r="AA207" s="87"/>
      <c r="AB207" s="88"/>
      <c r="AD207" s="77"/>
      <c r="AF207" s="54" t="str" cm="1">
        <f t="array" aca="1" ref="AF207" ca="1">IF(H207=0,"",HYPERLINK("#"&amp;RIGHT(CELL("adresse",OFFSET('DM01-AV-CH'!$G$6,H207-1,0)),LEN(CELL("adresse",OFFSET('DM01-AV-CH'!$G$6,H207-1,0)))-FIND("]",CELL("adresse",OFFSET('DM01-AV-CH'!$G$6,H207-1,0)))),"Modell"))</f>
        <v/>
      </c>
      <c r="AG207" s="72" t="str" cm="1">
        <f t="array" ref="AG207">IF($H207=0,"",IF(INDEX('DM01-AV-CH'!G$6:G$834,$H207)="","",INDEX('DM01-AV-CH'!G$6:G$834,$H207)))</f>
        <v/>
      </c>
      <c r="AH207" s="73" t="str" cm="1">
        <f t="array" ref="AH207">IF($H207=0,"",IF(INDEX('DM01-AV-CH'!H$6:H$834,$H207)="","",INDEX('DM01-AV-CH'!H$6:H$834,$H207)))</f>
        <v/>
      </c>
      <c r="AI207" s="74" t="str" cm="1">
        <f t="array" ref="AI207">IF($H207=0,"",IF(INDEX('DM01-AV-CH'!I$6:I$834,$H207)="","",INDEX('DM01-AV-CH'!I$6:I$834,$H207)))</f>
        <v/>
      </c>
    </row>
    <row r="208" spans="1:35" x14ac:dyDescent="0.25">
      <c r="A208" s="57">
        <v>203</v>
      </c>
      <c r="B208" s="57">
        <f>IF($A208="","",IF(_xlfn.XLOOKUP($A208,Korrelation!$D$4:$D$1197,Korrelation!E$4:E$1197,"-",0)="-",0,MATCH(_xlfn.XLOOKUP($A208,Korrelation!$D$4:$D$1197,Korrelation!E$4:E$1197,"",0),DMAV_Modell!$G$6:$G$677,0)))</f>
        <v>0</v>
      </c>
      <c r="C208" s="57">
        <f>IF($A208="","",IF(_xlfn.XLOOKUP($A208,Korrelation!$D$4:$D$1197,Korrelation!F$4:F$1197,"-",0)="-",0,MATCH(_xlfn.XLOOKUP($A208,Korrelation!$D$4:$D$1197,Korrelation!F$4:F$1197,"",0),DMAV_Modell!$G$6:$G$677,0)))</f>
        <v>0</v>
      </c>
      <c r="D208" s="57">
        <f>IF($A208="","",IF(_xlfn.XLOOKUP($A208,Korrelation!$D$4:$D$1197,Korrelation!G$4:G$1197,"-",0)="-",0,MATCH(_xlfn.XLOOKUP($A208,Korrelation!$D$4:$D$1197,Korrelation!G$4:G$1197,"",0),DMAV_Modell!$G$6:$G$677,0)))</f>
        <v>0</v>
      </c>
      <c r="E208" s="57">
        <f>IF($A208="","",IF(_xlfn.XLOOKUP($A208,Korrelation!$D$4:$D$1197,Korrelation!H$4:H$1197,"-",0)="-",0,MATCH(_xlfn.XLOOKUP($A208,Korrelation!$D$4:$D$1197,Korrelation!H$4:H$1197,"",0),DMAV_Dienste!$F$6:$F$140,0)))</f>
        <v>84</v>
      </c>
      <c r="F208" s="57">
        <f>IF($A208="","",IF(_xlfn.XLOOKUP($A208,Korrelation!$D$4:$D$1197,Korrelation!I$4:I$1197,"-",0)="-",0,MATCH(_xlfn.XLOOKUP($A208,Korrelation!$D$4:$D$1197,Korrelation!I$4:I$1197,"",0),DMAV_Dienste!$F$6:$F$140,0)))</f>
        <v>0</v>
      </c>
      <c r="G208" s="57">
        <f>IF($A208="","",IF(_xlfn.XLOOKUP($A208,Korrelation!$D$4:$D$1197,Korrelation!J$4:J$1197,"-",0)="-",0,MATCH(_xlfn.XLOOKUP($A208,Korrelation!$D$4:$D$1197,Korrelation!J$4:J$1197,"",0),DMAV_Dienste!$F$6:$F$140,0)))</f>
        <v>0</v>
      </c>
      <c r="H208" s="57">
        <f>IF($A208="","",IF(_xlfn.XLOOKUP($A208,Korrelation!$D$4:$D$1197,Korrelation!K$4:K$1197,"-",0)="-",0,MATCH(_xlfn.XLOOKUP($A208,Korrelation!$D$4:$D$1197,Korrelation!K$4:K$1197,"",0),'DM01-AV-CH'!$A$6:$A$834,0)))</f>
        <v>0</v>
      </c>
      <c r="J208" s="54" t="str" cm="1">
        <f t="array" aca="1" ref="J208" ca="1">IF(B208=0,IF(E208=0,"",HYPERLINK("#"&amp;RIGHT(CELL("adresse",OFFSET(DMAV_Dienste!$M$6,E208-1,0)),LEN(CELL("adresse",OFFSET(DMAV_Dienste!$M$6,E208-1,0)))-FIND("]",CELL("adresse",OFFSET(DMAV_Dienste!$M$6,E208-1,0)))),"Dienst")),HYPERLINK("#"&amp;RIGHT(CELL("adresse",OFFSET(DMAV_Modell!$N$6,B208-1,0)),LEN(CELL("adresse",OFFSET(DMAV_Modell!$N$6,B208-1,0)))-FIND("]",CELL("adresse",OFFSET(DMAV_Modell!$N$6,B208-1,0)))),"Modell"))</f>
        <v>Dienst</v>
      </c>
      <c r="K208" s="61" t="str" cm="1">
        <f t="array" ref="K208">IF($B208=0,IF($E208=0,"",IF(INDEX(DMAV_Dienste!P$6:P$140,$E208)="","",INDEX(DMAV_Dienste!P$6:P$140,$E208))),IF(INDEX(DMAV_Modell!Q$6:Q$838,$B208)="","",INDEX(DMAV_Modell!Q$6:Q$838,$B208)))</f>
        <v>CLASS</v>
      </c>
      <c r="L208" s="62" t="str" cm="1">
        <f t="array" ref="L208">IF($B208=0,IF($E208=0,"",IF(INDEX(DMAV_Dienste!O$6:O$140,$E208)="","",INDEX(DMAV_Dienste!O$6:O$140,$E208))),IF(INDEX(DMAV_Modell!P$6:P$838,$B208)="","",INDEX(DMAV_Modell!P$6:P$838,$B208)))</f>
        <v>FPDS2</v>
      </c>
      <c r="M208" s="62" t="str" cm="1">
        <f t="array" ref="M208">IF($B208=0,IF($E208=0,"",IF(INDEX(DMAV_Dienste!Q$6:Q$140,$E208)="","",INDEX(DMAV_Dienste!Q$6:Q$140,$E208))),IF(INDEX(DMAV_Modell!R$6:R$838,$B208)="","",INDEX(DMAV_Modell!R$6:R$838,$B208)))</f>
        <v>Fixpunkt</v>
      </c>
      <c r="N208" s="62" t="str" cm="1">
        <f t="array" ref="N208">IF($B208=0,IF($E208=0,"",IF(INDEX(DMAV_Dienste!T$6:T$140,$E208)="","",INDEX(DMAV_Dienste!T$6:T$140,$E208))),IF(INDEX(DMAV_Modell!U$6:U$838,$B208)="","",INDEX(DMAV_Modell!U$6:U$838,$B208)))</f>
        <v>Begehbarkeit</v>
      </c>
      <c r="O208" s="63" t="str" cm="1">
        <f t="array" aca="1" ref="O208" ca="1">IF(C208=0,IF(F208=0,"",HYPERLINK("#"&amp;RIGHT(CELL("adresse",OFFSET(DMAV_Dienste!$M$6,F208-1,0)),LEN(CELL("adresse",OFFSET(DMAV_Dienste!$M$6,F208-1,0)))-FIND("]",CELL("adresse",OFFSET(DMAV_Dienste!$M$6,F208-1,0)))),"Structure")),HYPERLINK("#"&amp;RIGHT(CELL("adresse",OFFSET(DMAV_Modell!$N$6,C208-1,0)),LEN(CELL("adresse",OFFSET(DMAV_Modell!$N$6,C208-1,0)))-FIND("]",CELL("adresse",OFFSET(DMAV_Modell!$N$6,C208-1,0)))),"Structure"))</f>
        <v/>
      </c>
      <c r="P208" s="64" t="str" cm="1">
        <f t="array" aca="1" ref="P208" ca="1">IF(D208=0,IF(G208=0,"",HYPERLINK("#"&amp;RIGHT(CELL("adresse",OFFSET(DMAV_Dienste!$M$6,G208-1,0)),LEN(CELL("adresse",OFFSET(DMAV_Dienste!$M$6,G208-1,0)))-FIND("]",CELL("adresse",OFFSET(DMAV_Dienste!$M$6,G208-1,0)))),"Substructure")),HYPERLINK("#"&amp;RIGHT(CELL("adresse",OFFSET(DMAV_Modell!$N$6,D208-1,0)),LEN(CELL("adresse",OFFSET(DMAV_Modell!$N$6,D208-1,0)))-FIND("]",CELL("adresse",OFFSET(DMAV_Modell!$N$6,D208-1,0)))),"Substructure"))</f>
        <v/>
      </c>
      <c r="R208" s="80"/>
      <c r="T208" s="93"/>
      <c r="U208" s="94"/>
      <c r="V208" s="95"/>
      <c r="W208" s="96"/>
      <c r="Y208" s="85"/>
      <c r="Z208" s="86"/>
      <c r="AA208" s="87"/>
      <c r="AB208" s="88"/>
      <c r="AD208" s="77"/>
      <c r="AF208" s="54" t="str" cm="1">
        <f t="array" aca="1" ref="AF208" ca="1">IF(H208=0,"",HYPERLINK("#"&amp;RIGHT(CELL("adresse",OFFSET('DM01-AV-CH'!$G$6,H208-1,0)),LEN(CELL("adresse",OFFSET('DM01-AV-CH'!$G$6,H208-1,0)))-FIND("]",CELL("adresse",OFFSET('DM01-AV-CH'!$G$6,H208-1,0)))),"Modell"))</f>
        <v/>
      </c>
      <c r="AG208" s="72" t="str" cm="1">
        <f t="array" ref="AG208">IF($H208=0,"",IF(INDEX('DM01-AV-CH'!G$6:G$834,$H208)="","",INDEX('DM01-AV-CH'!G$6:G$834,$H208)))</f>
        <v/>
      </c>
      <c r="AH208" s="73" t="str" cm="1">
        <f t="array" ref="AH208">IF($H208=0,"",IF(INDEX('DM01-AV-CH'!H$6:H$834,$H208)="","",INDEX('DM01-AV-CH'!H$6:H$834,$H208)))</f>
        <v/>
      </c>
      <c r="AI208" s="74" t="str" cm="1">
        <f t="array" ref="AI208">IF($H208=0,"",IF(INDEX('DM01-AV-CH'!I$6:I$834,$H208)="","",INDEX('DM01-AV-CH'!I$6:I$834,$H208)))</f>
        <v/>
      </c>
    </row>
    <row r="209" spans="1:35" x14ac:dyDescent="0.25">
      <c r="A209" s="57">
        <v>204</v>
      </c>
      <c r="B209" s="57">
        <f>IF($A209="","",IF(_xlfn.XLOOKUP($A209,Korrelation!$D$4:$D$1197,Korrelation!E$4:E$1197,"-",0)="-",0,MATCH(_xlfn.XLOOKUP($A209,Korrelation!$D$4:$D$1197,Korrelation!E$4:E$1197,"",0),DMAV_Modell!$G$6:$G$677,0)))</f>
        <v>0</v>
      </c>
      <c r="C209" s="57">
        <f>IF($A209="","",IF(_xlfn.XLOOKUP($A209,Korrelation!$D$4:$D$1197,Korrelation!F$4:F$1197,"-",0)="-",0,MATCH(_xlfn.XLOOKUP($A209,Korrelation!$D$4:$D$1197,Korrelation!F$4:F$1197,"",0),DMAV_Modell!$G$6:$G$677,0)))</f>
        <v>0</v>
      </c>
      <c r="D209" s="57">
        <f>IF($A209="","",IF(_xlfn.XLOOKUP($A209,Korrelation!$D$4:$D$1197,Korrelation!G$4:G$1197,"-",0)="-",0,MATCH(_xlfn.XLOOKUP($A209,Korrelation!$D$4:$D$1197,Korrelation!G$4:G$1197,"",0),DMAV_Modell!$G$6:$G$677,0)))</f>
        <v>0</v>
      </c>
      <c r="E209" s="57">
        <f>IF($A209="","",IF(_xlfn.XLOOKUP($A209,Korrelation!$D$4:$D$1197,Korrelation!H$4:H$1197,"-",0)="-",0,MATCH(_xlfn.XLOOKUP($A209,Korrelation!$D$4:$D$1197,Korrelation!H$4:H$1197,"",0),DMAV_Dienste!$F$6:$F$140,0)))</f>
        <v>85</v>
      </c>
      <c r="F209" s="57">
        <f>IF($A209="","",IF(_xlfn.XLOOKUP($A209,Korrelation!$D$4:$D$1197,Korrelation!I$4:I$1197,"-",0)="-",0,MATCH(_xlfn.XLOOKUP($A209,Korrelation!$D$4:$D$1197,Korrelation!I$4:I$1197,"",0),DMAV_Dienste!$F$6:$F$140,0)))</f>
        <v>0</v>
      </c>
      <c r="G209" s="57">
        <f>IF($A209="","",IF(_xlfn.XLOOKUP($A209,Korrelation!$D$4:$D$1197,Korrelation!J$4:J$1197,"-",0)="-",0,MATCH(_xlfn.XLOOKUP($A209,Korrelation!$D$4:$D$1197,Korrelation!J$4:J$1197,"",0),DMAV_Dienste!$F$6:$F$140,0)))</f>
        <v>0</v>
      </c>
      <c r="H209" s="57">
        <f>IF($A209="","",IF(_xlfn.XLOOKUP($A209,Korrelation!$D$4:$D$1197,Korrelation!K$4:K$1197,"-",0)="-",0,MATCH(_xlfn.XLOOKUP($A209,Korrelation!$D$4:$D$1197,Korrelation!K$4:K$1197,"",0),'DM01-AV-CH'!$A$6:$A$834,0)))</f>
        <v>0</v>
      </c>
      <c r="J209" s="54" t="str" cm="1">
        <f t="array" aca="1" ref="J209" ca="1">IF(B209=0,IF(E209=0,"",HYPERLINK("#"&amp;RIGHT(CELL("adresse",OFFSET(DMAV_Dienste!$M$6,E209-1,0)),LEN(CELL("adresse",OFFSET(DMAV_Dienste!$M$6,E209-1,0)))-FIND("]",CELL("adresse",OFFSET(DMAV_Dienste!$M$6,E209-1,0)))),"Dienst")),HYPERLINK("#"&amp;RIGHT(CELL("adresse",OFFSET(DMAV_Modell!$N$6,B209-1,0)),LEN(CELL("adresse",OFFSET(DMAV_Modell!$N$6,B209-1,0)))-FIND("]",CELL("adresse",OFFSET(DMAV_Modell!$N$6,B209-1,0)))),"Modell"))</f>
        <v>Dienst</v>
      </c>
      <c r="K209" s="61" t="str" cm="1">
        <f t="array" ref="K209">IF($B209=0,IF($E209=0,"",IF(INDEX(DMAV_Dienste!P$6:P$140,$E209)="","",INDEX(DMAV_Dienste!P$6:P$140,$E209))),IF(INDEX(DMAV_Modell!Q$6:Q$838,$B209)="","",INDEX(DMAV_Modell!Q$6:Q$838,$B209)))</f>
        <v>CLASS</v>
      </c>
      <c r="L209" s="62" t="str" cm="1">
        <f t="array" ref="L209">IF($B209=0,IF($E209=0,"",IF(INDEX(DMAV_Dienste!O$6:O$140,$E209)="","",INDEX(DMAV_Dienste!O$6:O$140,$E209))),IF(INDEX(DMAV_Modell!P$6:P$838,$B209)="","",INDEX(DMAV_Modell!P$6:P$838,$B209)))</f>
        <v>FPDS2</v>
      </c>
      <c r="M209" s="62" t="str" cm="1">
        <f t="array" ref="M209">IF($B209=0,IF($E209=0,"",IF(INDEX(DMAV_Dienste!Q$6:Q$140,$E209)="","",INDEX(DMAV_Dienste!Q$6:Q$140,$E209))),IF(INDEX(DMAV_Modell!R$6:R$838,$B209)="","",INDEX(DMAV_Modell!R$6:R$838,$B209)))</f>
        <v>Fixpunkt</v>
      </c>
      <c r="N209" s="62" t="str" cm="1">
        <f t="array" ref="N209">IF($B209=0,IF($E209=0,"",IF(INDEX(DMAV_Dienste!T$6:T$140,$E209)="","",INDEX(DMAV_Dienste!T$6:T$140,$E209))),IF(INDEX(DMAV_Modell!U$6:U$838,$B209)="","",INDEX(DMAV_Modell!U$6:U$838,$B209)))</f>
        <v>Bemerkung</v>
      </c>
      <c r="O209" s="63" t="str" cm="1">
        <f t="array" aca="1" ref="O209" ca="1">IF(C209=0,IF(F209=0,"",HYPERLINK("#"&amp;RIGHT(CELL("adresse",OFFSET(DMAV_Dienste!$M$6,F209-1,0)),LEN(CELL("adresse",OFFSET(DMAV_Dienste!$M$6,F209-1,0)))-FIND("]",CELL("adresse",OFFSET(DMAV_Dienste!$M$6,F209-1,0)))),"Structure")),HYPERLINK("#"&amp;RIGHT(CELL("adresse",OFFSET(DMAV_Modell!$N$6,C209-1,0)),LEN(CELL("adresse",OFFSET(DMAV_Modell!$N$6,C209-1,0)))-FIND("]",CELL("adresse",OFFSET(DMAV_Modell!$N$6,C209-1,0)))),"Structure"))</f>
        <v/>
      </c>
      <c r="P209" s="64" t="str" cm="1">
        <f t="array" aca="1" ref="P209" ca="1">IF(D209=0,IF(G209=0,"",HYPERLINK("#"&amp;RIGHT(CELL("adresse",OFFSET(DMAV_Dienste!$M$6,G209-1,0)),LEN(CELL("adresse",OFFSET(DMAV_Dienste!$M$6,G209-1,0)))-FIND("]",CELL("adresse",OFFSET(DMAV_Dienste!$M$6,G209-1,0)))),"Substructure")),HYPERLINK("#"&amp;RIGHT(CELL("adresse",OFFSET(DMAV_Modell!$N$6,D209-1,0)),LEN(CELL("adresse",OFFSET(DMAV_Modell!$N$6,D209-1,0)))-FIND("]",CELL("adresse",OFFSET(DMAV_Modell!$N$6,D209-1,0)))),"Substructure"))</f>
        <v/>
      </c>
      <c r="R209" s="80"/>
      <c r="T209" s="93"/>
      <c r="U209" s="94"/>
      <c r="V209" s="95"/>
      <c r="W209" s="96"/>
      <c r="Y209" s="85"/>
      <c r="Z209" s="86"/>
      <c r="AA209" s="87"/>
      <c r="AB209" s="88"/>
      <c r="AD209" s="77"/>
      <c r="AF209" s="54" t="str" cm="1">
        <f t="array" aca="1" ref="AF209" ca="1">IF(H209=0,"",HYPERLINK("#"&amp;RIGHT(CELL("adresse",OFFSET('DM01-AV-CH'!$G$6,H209-1,0)),LEN(CELL("adresse",OFFSET('DM01-AV-CH'!$G$6,H209-1,0)))-FIND("]",CELL("adresse",OFFSET('DM01-AV-CH'!$G$6,H209-1,0)))),"Modell"))</f>
        <v/>
      </c>
      <c r="AG209" s="72" t="str" cm="1">
        <f t="array" ref="AG209">IF($H209=0,"",IF(INDEX('DM01-AV-CH'!G$6:G$834,$H209)="","",INDEX('DM01-AV-CH'!G$6:G$834,$H209)))</f>
        <v/>
      </c>
      <c r="AH209" s="73" t="str" cm="1">
        <f t="array" ref="AH209">IF($H209=0,"",IF(INDEX('DM01-AV-CH'!H$6:H$834,$H209)="","",INDEX('DM01-AV-CH'!H$6:H$834,$H209)))</f>
        <v/>
      </c>
      <c r="AI209" s="74" t="str" cm="1">
        <f t="array" ref="AI209">IF($H209=0,"",IF(INDEX('DM01-AV-CH'!I$6:I$834,$H209)="","",INDEX('DM01-AV-CH'!I$6:I$834,$H209)))</f>
        <v/>
      </c>
    </row>
    <row r="210" spans="1:35" x14ac:dyDescent="0.25">
      <c r="A210" s="57">
        <v>205</v>
      </c>
      <c r="B210" s="57">
        <f>IF($A210="","",IF(_xlfn.XLOOKUP($A210,Korrelation!$D$4:$D$1197,Korrelation!E$4:E$1197,"-",0)="-",0,MATCH(_xlfn.XLOOKUP($A210,Korrelation!$D$4:$D$1197,Korrelation!E$4:E$1197,"",0),DMAV_Modell!$G$6:$G$677,0)))</f>
        <v>0</v>
      </c>
      <c r="C210" s="57">
        <f>IF($A210="","",IF(_xlfn.XLOOKUP($A210,Korrelation!$D$4:$D$1197,Korrelation!F$4:F$1197,"-",0)="-",0,MATCH(_xlfn.XLOOKUP($A210,Korrelation!$D$4:$D$1197,Korrelation!F$4:F$1197,"",0),DMAV_Modell!$G$6:$G$677,0)))</f>
        <v>0</v>
      </c>
      <c r="D210" s="57">
        <f>IF($A210="","",IF(_xlfn.XLOOKUP($A210,Korrelation!$D$4:$D$1197,Korrelation!G$4:G$1197,"-",0)="-",0,MATCH(_xlfn.XLOOKUP($A210,Korrelation!$D$4:$D$1197,Korrelation!G$4:G$1197,"",0),DMAV_Modell!$G$6:$G$677,0)))</f>
        <v>0</v>
      </c>
      <c r="E210" s="57">
        <f>IF($A210="","",IF(_xlfn.XLOOKUP($A210,Korrelation!$D$4:$D$1197,Korrelation!H$4:H$1197,"-",0)="-",0,MATCH(_xlfn.XLOOKUP($A210,Korrelation!$D$4:$D$1197,Korrelation!H$4:H$1197,"",0),DMAV_Dienste!$F$6:$F$140,0)))</f>
        <v>86</v>
      </c>
      <c r="F210" s="57">
        <f>IF($A210="","",IF(_xlfn.XLOOKUP($A210,Korrelation!$D$4:$D$1197,Korrelation!I$4:I$1197,"-",0)="-",0,MATCH(_xlfn.XLOOKUP($A210,Korrelation!$D$4:$D$1197,Korrelation!I$4:I$1197,"",0),DMAV_Dienste!$F$6:$F$140,0)))</f>
        <v>0</v>
      </c>
      <c r="G210" s="57">
        <f>IF($A210="","",IF(_xlfn.XLOOKUP($A210,Korrelation!$D$4:$D$1197,Korrelation!J$4:J$1197,"-",0)="-",0,MATCH(_xlfn.XLOOKUP($A210,Korrelation!$D$4:$D$1197,Korrelation!J$4:J$1197,"",0),DMAV_Dienste!$F$6:$F$140,0)))</f>
        <v>0</v>
      </c>
      <c r="H210" s="57">
        <f>IF($A210="","",IF(_xlfn.XLOOKUP($A210,Korrelation!$D$4:$D$1197,Korrelation!K$4:K$1197,"-",0)="-",0,MATCH(_xlfn.XLOOKUP($A210,Korrelation!$D$4:$D$1197,Korrelation!K$4:K$1197,"",0),'DM01-AV-CH'!$A$6:$A$834,0)))</f>
        <v>0</v>
      </c>
      <c r="J210" s="54" t="str" cm="1">
        <f t="array" aca="1" ref="J210" ca="1">IF(B210=0,IF(E210=0,"",HYPERLINK("#"&amp;RIGHT(CELL("adresse",OFFSET(DMAV_Dienste!$M$6,E210-1,0)),LEN(CELL("adresse",OFFSET(DMAV_Dienste!$M$6,E210-1,0)))-FIND("]",CELL("adresse",OFFSET(DMAV_Dienste!$M$6,E210-1,0)))),"Dienst")),HYPERLINK("#"&amp;RIGHT(CELL("adresse",OFFSET(DMAV_Modell!$N$6,B210-1,0)),LEN(CELL("adresse",OFFSET(DMAV_Modell!$N$6,B210-1,0)))-FIND("]",CELL("adresse",OFFSET(DMAV_Modell!$N$6,B210-1,0)))),"Modell"))</f>
        <v>Dienst</v>
      </c>
      <c r="K210" s="61" t="str" cm="1">
        <f t="array" ref="K210">IF($B210=0,IF($E210=0,"",IF(INDEX(DMAV_Dienste!P$6:P$140,$E210)="","",INDEX(DMAV_Dienste!P$6:P$140,$E210))),IF(INDEX(DMAV_Modell!Q$6:Q$838,$B210)="","",INDEX(DMAV_Modell!Q$6:Q$838,$B210)))</f>
        <v>CLASS</v>
      </c>
      <c r="L210" s="62" t="str" cm="1">
        <f t="array" ref="L210">IF($B210=0,IF($E210=0,"",IF(INDEX(DMAV_Dienste!O$6:O$140,$E210)="","",INDEX(DMAV_Dienste!O$6:O$140,$E210))),IF(INDEX(DMAV_Modell!P$6:P$838,$B210)="","",INDEX(DMAV_Modell!P$6:P$838,$B210)))</f>
        <v>FPDS2</v>
      </c>
      <c r="M210" s="62" t="str" cm="1">
        <f t="array" ref="M210">IF($B210=0,IF($E210=0,"",IF(INDEX(DMAV_Dienste!Q$6:Q$140,$E210)="","",INDEX(DMAV_Dienste!Q$6:Q$140,$E210))),IF(INDEX(DMAV_Modell!R$6:R$838,$B210)="","",INDEX(DMAV_Modell!R$6:R$838,$B210)))</f>
        <v>Fixpunkt</v>
      </c>
      <c r="N210" s="62" t="str" cm="1">
        <f t="array" ref="N210">IF($B210=0,IF($E210=0,"",IF(INDEX(DMAV_Dienste!T$6:T$140,$E210)="","",INDEX(DMAV_Dienste!T$6:T$140,$E210))),IF(INDEX(DMAV_Modell!U$6:U$838,$B210)="","",INDEX(DMAV_Modell!U$6:U$838,$B210)))</f>
        <v>Bildquelle1</v>
      </c>
      <c r="O210" s="63" t="str" cm="1">
        <f t="array" aca="1" ref="O210" ca="1">IF(C210=0,IF(F210=0,"",HYPERLINK("#"&amp;RIGHT(CELL("adresse",OFFSET(DMAV_Dienste!$M$6,F210-1,0)),LEN(CELL("adresse",OFFSET(DMAV_Dienste!$M$6,F210-1,0)))-FIND("]",CELL("adresse",OFFSET(DMAV_Dienste!$M$6,F210-1,0)))),"Structure")),HYPERLINK("#"&amp;RIGHT(CELL("adresse",OFFSET(DMAV_Modell!$N$6,C210-1,0)),LEN(CELL("adresse",OFFSET(DMAV_Modell!$N$6,C210-1,0)))-FIND("]",CELL("adresse",OFFSET(DMAV_Modell!$N$6,C210-1,0)))),"Structure"))</f>
        <v/>
      </c>
      <c r="P210" s="64" t="str" cm="1">
        <f t="array" aca="1" ref="P210" ca="1">IF(D210=0,IF(G210=0,"",HYPERLINK("#"&amp;RIGHT(CELL("adresse",OFFSET(DMAV_Dienste!$M$6,G210-1,0)),LEN(CELL("adresse",OFFSET(DMAV_Dienste!$M$6,G210-1,0)))-FIND("]",CELL("adresse",OFFSET(DMAV_Dienste!$M$6,G210-1,0)))),"Substructure")),HYPERLINK("#"&amp;RIGHT(CELL("adresse",OFFSET(DMAV_Modell!$N$6,D210-1,0)),LEN(CELL("adresse",OFFSET(DMAV_Modell!$N$6,D210-1,0)))-FIND("]",CELL("adresse",OFFSET(DMAV_Modell!$N$6,D210-1,0)))),"Substructure"))</f>
        <v/>
      </c>
      <c r="R210" s="80"/>
      <c r="T210" s="93"/>
      <c r="U210" s="94"/>
      <c r="V210" s="95"/>
      <c r="W210" s="96"/>
      <c r="Y210" s="85"/>
      <c r="Z210" s="86"/>
      <c r="AA210" s="87"/>
      <c r="AB210" s="88"/>
      <c r="AD210" s="77"/>
      <c r="AF210" s="54" t="str" cm="1">
        <f t="array" aca="1" ref="AF210" ca="1">IF(H210=0,"",HYPERLINK("#"&amp;RIGHT(CELL("adresse",OFFSET('DM01-AV-CH'!$G$6,H210-1,0)),LEN(CELL("adresse",OFFSET('DM01-AV-CH'!$G$6,H210-1,0)))-FIND("]",CELL("adresse",OFFSET('DM01-AV-CH'!$G$6,H210-1,0)))),"Modell"))</f>
        <v/>
      </c>
      <c r="AG210" s="72" t="str" cm="1">
        <f t="array" ref="AG210">IF($H210=0,"",IF(INDEX('DM01-AV-CH'!G$6:G$834,$H210)="","",INDEX('DM01-AV-CH'!G$6:G$834,$H210)))</f>
        <v/>
      </c>
      <c r="AH210" s="73" t="str" cm="1">
        <f t="array" ref="AH210">IF($H210=0,"",IF(INDEX('DM01-AV-CH'!H$6:H$834,$H210)="","",INDEX('DM01-AV-CH'!H$6:H$834,$H210)))</f>
        <v/>
      </c>
      <c r="AI210" s="74" t="str" cm="1">
        <f t="array" ref="AI210">IF($H210=0,"",IF(INDEX('DM01-AV-CH'!I$6:I$834,$H210)="","",INDEX('DM01-AV-CH'!I$6:I$834,$H210)))</f>
        <v/>
      </c>
    </row>
    <row r="211" spans="1:35" x14ac:dyDescent="0.25">
      <c r="A211" s="57">
        <v>206</v>
      </c>
      <c r="B211" s="57">
        <f>IF($A211="","",IF(_xlfn.XLOOKUP($A211,Korrelation!$D$4:$D$1197,Korrelation!E$4:E$1197,"-",0)="-",0,MATCH(_xlfn.XLOOKUP($A211,Korrelation!$D$4:$D$1197,Korrelation!E$4:E$1197,"",0),DMAV_Modell!$G$6:$G$677,0)))</f>
        <v>0</v>
      </c>
      <c r="C211" s="57">
        <f>IF($A211="","",IF(_xlfn.XLOOKUP($A211,Korrelation!$D$4:$D$1197,Korrelation!F$4:F$1197,"-",0)="-",0,MATCH(_xlfn.XLOOKUP($A211,Korrelation!$D$4:$D$1197,Korrelation!F$4:F$1197,"",0),DMAV_Modell!$G$6:$G$677,0)))</f>
        <v>0</v>
      </c>
      <c r="D211" s="57">
        <f>IF($A211="","",IF(_xlfn.XLOOKUP($A211,Korrelation!$D$4:$D$1197,Korrelation!G$4:G$1197,"-",0)="-",0,MATCH(_xlfn.XLOOKUP($A211,Korrelation!$D$4:$D$1197,Korrelation!G$4:G$1197,"",0),DMAV_Modell!$G$6:$G$677,0)))</f>
        <v>0</v>
      </c>
      <c r="E211" s="57">
        <f>IF($A211="","",IF(_xlfn.XLOOKUP($A211,Korrelation!$D$4:$D$1197,Korrelation!H$4:H$1197,"-",0)="-",0,MATCH(_xlfn.XLOOKUP($A211,Korrelation!$D$4:$D$1197,Korrelation!H$4:H$1197,"",0),DMAV_Dienste!$F$6:$F$140,0)))</f>
        <v>87</v>
      </c>
      <c r="F211" s="57">
        <f>IF($A211="","",IF(_xlfn.XLOOKUP($A211,Korrelation!$D$4:$D$1197,Korrelation!I$4:I$1197,"-",0)="-",0,MATCH(_xlfn.XLOOKUP($A211,Korrelation!$D$4:$D$1197,Korrelation!I$4:I$1197,"",0),DMAV_Dienste!$F$6:$F$140,0)))</f>
        <v>0</v>
      </c>
      <c r="G211" s="57">
        <f>IF($A211="","",IF(_xlfn.XLOOKUP($A211,Korrelation!$D$4:$D$1197,Korrelation!J$4:J$1197,"-",0)="-",0,MATCH(_xlfn.XLOOKUP($A211,Korrelation!$D$4:$D$1197,Korrelation!J$4:J$1197,"",0),DMAV_Dienste!$F$6:$F$140,0)))</f>
        <v>0</v>
      </c>
      <c r="H211" s="57">
        <f>IF($A211="","",IF(_xlfn.XLOOKUP($A211,Korrelation!$D$4:$D$1197,Korrelation!K$4:K$1197,"-",0)="-",0,MATCH(_xlfn.XLOOKUP($A211,Korrelation!$D$4:$D$1197,Korrelation!K$4:K$1197,"",0),'DM01-AV-CH'!$A$6:$A$834,0)))</f>
        <v>0</v>
      </c>
      <c r="J211" s="54" t="str" cm="1">
        <f t="array" aca="1" ref="J211" ca="1">IF(B211=0,IF(E211=0,"",HYPERLINK("#"&amp;RIGHT(CELL("adresse",OFFSET(DMAV_Dienste!$M$6,E211-1,0)),LEN(CELL("adresse",OFFSET(DMAV_Dienste!$M$6,E211-1,0)))-FIND("]",CELL("adresse",OFFSET(DMAV_Dienste!$M$6,E211-1,0)))),"Dienst")),HYPERLINK("#"&amp;RIGHT(CELL("adresse",OFFSET(DMAV_Modell!$N$6,B211-1,0)),LEN(CELL("adresse",OFFSET(DMAV_Modell!$N$6,B211-1,0)))-FIND("]",CELL("adresse",OFFSET(DMAV_Modell!$N$6,B211-1,0)))),"Modell"))</f>
        <v>Dienst</v>
      </c>
      <c r="K211" s="61" t="str" cm="1">
        <f t="array" ref="K211">IF($B211=0,IF($E211=0,"",IF(INDEX(DMAV_Dienste!P$6:P$140,$E211)="","",INDEX(DMAV_Dienste!P$6:P$140,$E211))),IF(INDEX(DMAV_Modell!Q$6:Q$838,$B211)="","",INDEX(DMAV_Modell!Q$6:Q$838,$B211)))</f>
        <v>CLASS</v>
      </c>
      <c r="L211" s="62" t="str" cm="1">
        <f t="array" ref="L211">IF($B211=0,IF($E211=0,"",IF(INDEX(DMAV_Dienste!O$6:O$140,$E211)="","",INDEX(DMAV_Dienste!O$6:O$140,$E211))),IF(INDEX(DMAV_Modell!P$6:P$838,$B211)="","",INDEX(DMAV_Modell!P$6:P$838,$B211)))</f>
        <v>FPDS2</v>
      </c>
      <c r="M211" s="62" t="str" cm="1">
        <f t="array" ref="M211">IF($B211=0,IF($E211=0,"",IF(INDEX(DMAV_Dienste!Q$6:Q$140,$E211)="","",INDEX(DMAV_Dienste!Q$6:Q$140,$E211))),IF(INDEX(DMAV_Modell!R$6:R$838,$B211)="","",INDEX(DMAV_Modell!R$6:R$838,$B211)))</f>
        <v>Fixpunkt</v>
      </c>
      <c r="N211" s="62" t="str" cm="1">
        <f t="array" ref="N211">IF($B211=0,IF($E211=0,"",IF(INDEX(DMAV_Dienste!T$6:T$140,$E211)="","",INDEX(DMAV_Dienste!T$6:T$140,$E211))),IF(INDEX(DMAV_Modell!U$6:U$838,$B211)="","",INDEX(DMAV_Modell!U$6:U$838,$B211)))</f>
        <v>Bildquelle2</v>
      </c>
      <c r="O211" s="63" t="str" cm="1">
        <f t="array" aca="1" ref="O211" ca="1">IF(C211=0,IF(F211=0,"",HYPERLINK("#"&amp;RIGHT(CELL("adresse",OFFSET(DMAV_Dienste!$M$6,F211-1,0)),LEN(CELL("adresse",OFFSET(DMAV_Dienste!$M$6,F211-1,0)))-FIND("]",CELL("adresse",OFFSET(DMAV_Dienste!$M$6,F211-1,0)))),"Structure")),HYPERLINK("#"&amp;RIGHT(CELL("adresse",OFFSET(DMAV_Modell!$N$6,C211-1,0)),LEN(CELL("adresse",OFFSET(DMAV_Modell!$N$6,C211-1,0)))-FIND("]",CELL("adresse",OFFSET(DMAV_Modell!$N$6,C211-1,0)))),"Structure"))</f>
        <v/>
      </c>
      <c r="P211" s="64" t="str" cm="1">
        <f t="array" aca="1" ref="P211" ca="1">IF(D211=0,IF(G211=0,"",HYPERLINK("#"&amp;RIGHT(CELL("adresse",OFFSET(DMAV_Dienste!$M$6,G211-1,0)),LEN(CELL("adresse",OFFSET(DMAV_Dienste!$M$6,G211-1,0)))-FIND("]",CELL("adresse",OFFSET(DMAV_Dienste!$M$6,G211-1,0)))),"Substructure")),HYPERLINK("#"&amp;RIGHT(CELL("adresse",OFFSET(DMAV_Modell!$N$6,D211-1,0)),LEN(CELL("adresse",OFFSET(DMAV_Modell!$N$6,D211-1,0)))-FIND("]",CELL("adresse",OFFSET(DMAV_Modell!$N$6,D211-1,0)))),"Substructure"))</f>
        <v/>
      </c>
      <c r="R211" s="80"/>
      <c r="T211" s="93"/>
      <c r="U211" s="94"/>
      <c r="V211" s="95"/>
      <c r="W211" s="96"/>
      <c r="Y211" s="85"/>
      <c r="Z211" s="86"/>
      <c r="AA211" s="87"/>
      <c r="AB211" s="88"/>
      <c r="AD211" s="77"/>
      <c r="AF211" s="54" t="str" cm="1">
        <f t="array" aca="1" ref="AF211" ca="1">IF(H211=0,"",HYPERLINK("#"&amp;RIGHT(CELL("adresse",OFFSET('DM01-AV-CH'!$G$6,H211-1,0)),LEN(CELL("adresse",OFFSET('DM01-AV-CH'!$G$6,H211-1,0)))-FIND("]",CELL("adresse",OFFSET('DM01-AV-CH'!$G$6,H211-1,0)))),"Modell"))</f>
        <v/>
      </c>
      <c r="AG211" s="72" t="str" cm="1">
        <f t="array" ref="AG211">IF($H211=0,"",IF(INDEX('DM01-AV-CH'!G$6:G$834,$H211)="","",INDEX('DM01-AV-CH'!G$6:G$834,$H211)))</f>
        <v/>
      </c>
      <c r="AH211" s="73" t="str" cm="1">
        <f t="array" ref="AH211">IF($H211=0,"",IF(INDEX('DM01-AV-CH'!H$6:H$834,$H211)="","",INDEX('DM01-AV-CH'!H$6:H$834,$H211)))</f>
        <v/>
      </c>
      <c r="AI211" s="74" t="str" cm="1">
        <f t="array" ref="AI211">IF($H211=0,"",IF(INDEX('DM01-AV-CH'!I$6:I$834,$H211)="","",INDEX('DM01-AV-CH'!I$6:I$834,$H211)))</f>
        <v/>
      </c>
    </row>
    <row r="212" spans="1:35" x14ac:dyDescent="0.25">
      <c r="A212" s="57">
        <v>207</v>
      </c>
      <c r="B212" s="57">
        <f>IF($A212="","",IF(_xlfn.XLOOKUP($A212,Korrelation!$D$4:$D$1197,Korrelation!E$4:E$1197,"-",0)="-",0,MATCH(_xlfn.XLOOKUP($A212,Korrelation!$D$4:$D$1197,Korrelation!E$4:E$1197,"",0),DMAV_Modell!$G$6:$G$677,0)))</f>
        <v>0</v>
      </c>
      <c r="C212" s="57">
        <f>IF($A212="","",IF(_xlfn.XLOOKUP($A212,Korrelation!$D$4:$D$1197,Korrelation!F$4:F$1197,"-",0)="-",0,MATCH(_xlfn.XLOOKUP($A212,Korrelation!$D$4:$D$1197,Korrelation!F$4:F$1197,"",0),DMAV_Modell!$G$6:$G$677,0)))</f>
        <v>0</v>
      </c>
      <c r="D212" s="57">
        <f>IF($A212="","",IF(_xlfn.XLOOKUP($A212,Korrelation!$D$4:$D$1197,Korrelation!G$4:G$1197,"-",0)="-",0,MATCH(_xlfn.XLOOKUP($A212,Korrelation!$D$4:$D$1197,Korrelation!G$4:G$1197,"",0),DMAV_Modell!$G$6:$G$677,0)))</f>
        <v>0</v>
      </c>
      <c r="E212" s="57">
        <f>IF($A212="","",IF(_xlfn.XLOOKUP($A212,Korrelation!$D$4:$D$1197,Korrelation!H$4:H$1197,"-",0)="-",0,MATCH(_xlfn.XLOOKUP($A212,Korrelation!$D$4:$D$1197,Korrelation!H$4:H$1197,"",0),DMAV_Dienste!$F$6:$F$140,0)))</f>
        <v>88</v>
      </c>
      <c r="F212" s="57">
        <f>IF($A212="","",IF(_xlfn.XLOOKUP($A212,Korrelation!$D$4:$D$1197,Korrelation!I$4:I$1197,"-",0)="-",0,MATCH(_xlfn.XLOOKUP($A212,Korrelation!$D$4:$D$1197,Korrelation!I$4:I$1197,"",0),DMAV_Dienste!$F$6:$F$140,0)))</f>
        <v>0</v>
      </c>
      <c r="G212" s="57">
        <f>IF($A212="","",IF(_xlfn.XLOOKUP($A212,Korrelation!$D$4:$D$1197,Korrelation!J$4:J$1197,"-",0)="-",0,MATCH(_xlfn.XLOOKUP($A212,Korrelation!$D$4:$D$1197,Korrelation!J$4:J$1197,"",0),DMAV_Dienste!$F$6:$F$140,0)))</f>
        <v>0</v>
      </c>
      <c r="H212" s="57">
        <f>IF($A212="","",IF(_xlfn.XLOOKUP($A212,Korrelation!$D$4:$D$1197,Korrelation!K$4:K$1197,"-",0)="-",0,MATCH(_xlfn.XLOOKUP($A212,Korrelation!$D$4:$D$1197,Korrelation!K$4:K$1197,"",0),'DM01-AV-CH'!$A$6:$A$834,0)))</f>
        <v>0</v>
      </c>
      <c r="J212" s="54" t="str" cm="1">
        <f t="array" aca="1" ref="J212" ca="1">IF(B212=0,IF(E212=0,"",HYPERLINK("#"&amp;RIGHT(CELL("adresse",OFFSET(DMAV_Dienste!$M$6,E212-1,0)),LEN(CELL("adresse",OFFSET(DMAV_Dienste!$M$6,E212-1,0)))-FIND("]",CELL("adresse",OFFSET(DMAV_Dienste!$M$6,E212-1,0)))),"Dienst")),HYPERLINK("#"&amp;RIGHT(CELL("adresse",OFFSET(DMAV_Modell!$N$6,B212-1,0)),LEN(CELL("adresse",OFFSET(DMAV_Modell!$N$6,B212-1,0)))-FIND("]",CELL("adresse",OFFSET(DMAV_Modell!$N$6,B212-1,0)))),"Modell"))</f>
        <v>Dienst</v>
      </c>
      <c r="K212" s="61" t="str" cm="1">
        <f t="array" ref="K212">IF($B212=0,IF($E212=0,"",IF(INDEX(DMAV_Dienste!P$6:P$140,$E212)="","",INDEX(DMAV_Dienste!P$6:P$140,$E212))),IF(INDEX(DMAV_Modell!Q$6:Q$838,$B212)="","",INDEX(DMAV_Modell!Q$6:Q$838,$B212)))</f>
        <v>CLASS</v>
      </c>
      <c r="L212" s="62" t="str" cm="1">
        <f t="array" ref="L212">IF($B212=0,IF($E212=0,"",IF(INDEX(DMAV_Dienste!O$6:O$140,$E212)="","",INDEX(DMAV_Dienste!O$6:O$140,$E212))),IF(INDEX(DMAV_Modell!P$6:P$838,$B212)="","",INDEX(DMAV_Modell!P$6:P$838,$B212)))</f>
        <v>FPDS2</v>
      </c>
      <c r="M212" s="62" t="str" cm="1">
        <f t="array" ref="M212">IF($B212=0,IF($E212=0,"",IF(INDEX(DMAV_Dienste!Q$6:Q$140,$E212)="","",INDEX(DMAV_Dienste!Q$6:Q$140,$E212))),IF(INDEX(DMAV_Modell!R$6:R$838,$B212)="","",INDEX(DMAV_Modell!R$6:R$838,$B212)))</f>
        <v>Fixpunkt</v>
      </c>
      <c r="N212" s="62" t="str" cm="1">
        <f t="array" ref="N212">IF($B212=0,IF($E212=0,"",IF(INDEX(DMAV_Dienste!T$6:T$140,$E212)="","",INDEX(DMAV_Dienste!T$6:T$140,$E212))),IF(INDEX(DMAV_Modell!U$6:U$838,$B212)="","",INDEX(DMAV_Modell!U$6:U$838,$B212)))</f>
        <v>GNSSSichtbarkeit</v>
      </c>
      <c r="O212" s="63" t="str" cm="1">
        <f t="array" aca="1" ref="O212" ca="1">IF(C212=0,IF(F212=0,"",HYPERLINK("#"&amp;RIGHT(CELL("adresse",OFFSET(DMAV_Dienste!$M$6,F212-1,0)),LEN(CELL("adresse",OFFSET(DMAV_Dienste!$M$6,F212-1,0)))-FIND("]",CELL("adresse",OFFSET(DMAV_Dienste!$M$6,F212-1,0)))),"Structure")),HYPERLINK("#"&amp;RIGHT(CELL("adresse",OFFSET(DMAV_Modell!$N$6,C212-1,0)),LEN(CELL("adresse",OFFSET(DMAV_Modell!$N$6,C212-1,0)))-FIND("]",CELL("adresse",OFFSET(DMAV_Modell!$N$6,C212-1,0)))),"Structure"))</f>
        <v/>
      </c>
      <c r="P212" s="64" t="str" cm="1">
        <f t="array" aca="1" ref="P212" ca="1">IF(D212=0,IF(G212=0,"",HYPERLINK("#"&amp;RIGHT(CELL("adresse",OFFSET(DMAV_Dienste!$M$6,G212-1,0)),LEN(CELL("adresse",OFFSET(DMAV_Dienste!$M$6,G212-1,0)))-FIND("]",CELL("adresse",OFFSET(DMAV_Dienste!$M$6,G212-1,0)))),"Substructure")),HYPERLINK("#"&amp;RIGHT(CELL("adresse",OFFSET(DMAV_Modell!$N$6,D212-1,0)),LEN(CELL("adresse",OFFSET(DMAV_Modell!$N$6,D212-1,0)))-FIND("]",CELL("adresse",OFFSET(DMAV_Modell!$N$6,D212-1,0)))),"Substructure"))</f>
        <v/>
      </c>
      <c r="R212" s="80"/>
      <c r="T212" s="93"/>
      <c r="U212" s="94"/>
      <c r="V212" s="95"/>
      <c r="W212" s="96"/>
      <c r="Y212" s="85"/>
      <c r="Z212" s="86"/>
      <c r="AA212" s="87"/>
      <c r="AB212" s="88"/>
      <c r="AD212" s="77"/>
      <c r="AF212" s="54" t="str" cm="1">
        <f t="array" aca="1" ref="AF212" ca="1">IF(H212=0,"",HYPERLINK("#"&amp;RIGHT(CELL("adresse",OFFSET('DM01-AV-CH'!$G$6,H212-1,0)),LEN(CELL("adresse",OFFSET('DM01-AV-CH'!$G$6,H212-1,0)))-FIND("]",CELL("adresse",OFFSET('DM01-AV-CH'!$G$6,H212-1,0)))),"Modell"))</f>
        <v/>
      </c>
      <c r="AG212" s="72" t="str" cm="1">
        <f t="array" ref="AG212">IF($H212=0,"",IF(INDEX('DM01-AV-CH'!G$6:G$834,$H212)="","",INDEX('DM01-AV-CH'!G$6:G$834,$H212)))</f>
        <v/>
      </c>
      <c r="AH212" s="73" t="str" cm="1">
        <f t="array" ref="AH212">IF($H212=0,"",IF(INDEX('DM01-AV-CH'!H$6:H$834,$H212)="","",INDEX('DM01-AV-CH'!H$6:H$834,$H212)))</f>
        <v/>
      </c>
      <c r="AI212" s="74" t="str" cm="1">
        <f t="array" ref="AI212">IF($H212=0,"",IF(INDEX('DM01-AV-CH'!I$6:I$834,$H212)="","",INDEX('DM01-AV-CH'!I$6:I$834,$H212)))</f>
        <v/>
      </c>
    </row>
    <row r="213" spans="1:35" x14ac:dyDescent="0.25">
      <c r="A213" s="57">
        <v>208</v>
      </c>
      <c r="B213" s="57">
        <f>IF($A213="","",IF(_xlfn.XLOOKUP($A213,Korrelation!$D$4:$D$1197,Korrelation!E$4:E$1197,"-",0)="-",0,MATCH(_xlfn.XLOOKUP($A213,Korrelation!$D$4:$D$1197,Korrelation!E$4:E$1197,"",0),DMAV_Modell!$G$6:$G$677,0)))</f>
        <v>0</v>
      </c>
      <c r="C213" s="57">
        <f>IF($A213="","",IF(_xlfn.XLOOKUP($A213,Korrelation!$D$4:$D$1197,Korrelation!F$4:F$1197,"-",0)="-",0,MATCH(_xlfn.XLOOKUP($A213,Korrelation!$D$4:$D$1197,Korrelation!F$4:F$1197,"",0),DMAV_Modell!$G$6:$G$677,0)))</f>
        <v>0</v>
      </c>
      <c r="D213" s="57">
        <f>IF($A213="","",IF(_xlfn.XLOOKUP($A213,Korrelation!$D$4:$D$1197,Korrelation!G$4:G$1197,"-",0)="-",0,MATCH(_xlfn.XLOOKUP($A213,Korrelation!$D$4:$D$1197,Korrelation!G$4:G$1197,"",0),DMAV_Modell!$G$6:$G$677,0)))</f>
        <v>0</v>
      </c>
      <c r="E213" s="57">
        <f>IF($A213="","",IF(_xlfn.XLOOKUP($A213,Korrelation!$D$4:$D$1197,Korrelation!H$4:H$1197,"-",0)="-",0,MATCH(_xlfn.XLOOKUP($A213,Korrelation!$D$4:$D$1197,Korrelation!H$4:H$1197,"",0),DMAV_Dienste!$F$6:$F$140,0)))</f>
        <v>89</v>
      </c>
      <c r="F213" s="57">
        <f>IF($A213="","",IF(_xlfn.XLOOKUP($A213,Korrelation!$D$4:$D$1197,Korrelation!I$4:I$1197,"-",0)="-",0,MATCH(_xlfn.XLOOKUP($A213,Korrelation!$D$4:$D$1197,Korrelation!I$4:I$1197,"",0),DMAV_Dienste!$F$6:$F$140,0)))</f>
        <v>0</v>
      </c>
      <c r="G213" s="57">
        <f>IF($A213="","",IF(_xlfn.XLOOKUP($A213,Korrelation!$D$4:$D$1197,Korrelation!J$4:J$1197,"-",0)="-",0,MATCH(_xlfn.XLOOKUP($A213,Korrelation!$D$4:$D$1197,Korrelation!J$4:J$1197,"",0),DMAV_Dienste!$F$6:$F$140,0)))</f>
        <v>0</v>
      </c>
      <c r="H213" s="57">
        <f>IF($A213="","",IF(_xlfn.XLOOKUP($A213,Korrelation!$D$4:$D$1197,Korrelation!K$4:K$1197,"-",0)="-",0,MATCH(_xlfn.XLOOKUP($A213,Korrelation!$D$4:$D$1197,Korrelation!K$4:K$1197,"",0),'DM01-AV-CH'!$A$6:$A$834,0)))</f>
        <v>0</v>
      </c>
      <c r="J213" s="54" t="str" cm="1">
        <f t="array" aca="1" ref="J213" ca="1">IF(B213=0,IF(E213=0,"",HYPERLINK("#"&amp;RIGHT(CELL("adresse",OFFSET(DMAV_Dienste!$M$6,E213-1,0)),LEN(CELL("adresse",OFFSET(DMAV_Dienste!$M$6,E213-1,0)))-FIND("]",CELL("adresse",OFFSET(DMAV_Dienste!$M$6,E213-1,0)))),"Dienst")),HYPERLINK("#"&amp;RIGHT(CELL("adresse",OFFSET(DMAV_Modell!$N$6,B213-1,0)),LEN(CELL("adresse",OFFSET(DMAV_Modell!$N$6,B213-1,0)))-FIND("]",CELL("adresse",OFFSET(DMAV_Modell!$N$6,B213-1,0)))),"Modell"))</f>
        <v>Dienst</v>
      </c>
      <c r="K213" s="61" t="str" cm="1">
        <f t="array" ref="K213">IF($B213=0,IF($E213=0,"",IF(INDEX(DMAV_Dienste!P$6:P$140,$E213)="","",INDEX(DMAV_Dienste!P$6:P$140,$E213))),IF(INDEX(DMAV_Modell!Q$6:Q$838,$B213)="","",INDEX(DMAV_Modell!Q$6:Q$838,$B213)))</f>
        <v>CLASS</v>
      </c>
      <c r="L213" s="62" t="str" cm="1">
        <f t="array" ref="L213">IF($B213=0,IF($E213=0,"",IF(INDEX(DMAV_Dienste!O$6:O$140,$E213)="","",INDEX(DMAV_Dienste!O$6:O$140,$E213))),IF(INDEX(DMAV_Modell!P$6:P$838,$B213)="","",INDEX(DMAV_Modell!P$6:P$838,$B213)))</f>
        <v>FPDS2</v>
      </c>
      <c r="M213" s="62" t="str" cm="1">
        <f t="array" ref="M213">IF($B213=0,IF($E213=0,"",IF(INDEX(DMAV_Dienste!Q$6:Q$140,$E213)="","",INDEX(DMAV_Dienste!Q$6:Q$140,$E213))),IF(INDEX(DMAV_Modell!R$6:R$838,$B213)="","",INDEX(DMAV_Modell!R$6:R$838,$B213)))</f>
        <v>Fixpunkt</v>
      </c>
      <c r="N213" s="62" t="str" cm="1">
        <f t="array" ref="N213">IF($B213=0,IF($E213=0,"",IF(INDEX(DMAV_Dienste!T$6:T$140,$E213)="","",INDEX(DMAV_Dienste!T$6:T$140,$E213))),IF(INDEX(DMAV_Modell!U$6:U$838,$B213)="","",INDEX(DMAV_Modell!U$6:U$838,$B213)))</f>
        <v>Inschrift</v>
      </c>
      <c r="O213" s="63" t="str" cm="1">
        <f t="array" aca="1" ref="O213" ca="1">IF(C213=0,IF(F213=0,"",HYPERLINK("#"&amp;RIGHT(CELL("adresse",OFFSET(DMAV_Dienste!$M$6,F213-1,0)),LEN(CELL("adresse",OFFSET(DMAV_Dienste!$M$6,F213-1,0)))-FIND("]",CELL("adresse",OFFSET(DMAV_Dienste!$M$6,F213-1,0)))),"Structure")),HYPERLINK("#"&amp;RIGHT(CELL("adresse",OFFSET(DMAV_Modell!$N$6,C213-1,0)),LEN(CELL("adresse",OFFSET(DMAV_Modell!$N$6,C213-1,0)))-FIND("]",CELL("adresse",OFFSET(DMAV_Modell!$N$6,C213-1,0)))),"Structure"))</f>
        <v/>
      </c>
      <c r="P213" s="64" t="str" cm="1">
        <f t="array" aca="1" ref="P213" ca="1">IF(D213=0,IF(G213=0,"",HYPERLINK("#"&amp;RIGHT(CELL("adresse",OFFSET(DMAV_Dienste!$M$6,G213-1,0)),LEN(CELL("adresse",OFFSET(DMAV_Dienste!$M$6,G213-1,0)))-FIND("]",CELL("adresse",OFFSET(DMAV_Dienste!$M$6,G213-1,0)))),"Substructure")),HYPERLINK("#"&amp;RIGHT(CELL("adresse",OFFSET(DMAV_Modell!$N$6,D213-1,0)),LEN(CELL("adresse",OFFSET(DMAV_Modell!$N$6,D213-1,0)))-FIND("]",CELL("adresse",OFFSET(DMAV_Modell!$N$6,D213-1,0)))),"Substructure"))</f>
        <v/>
      </c>
      <c r="R213" s="80"/>
      <c r="T213" s="93"/>
      <c r="U213" s="94"/>
      <c r="V213" s="95"/>
      <c r="W213" s="96"/>
      <c r="Y213" s="85"/>
      <c r="Z213" s="86"/>
      <c r="AA213" s="87"/>
      <c r="AB213" s="88"/>
      <c r="AD213" s="77"/>
      <c r="AF213" s="54" t="str" cm="1">
        <f t="array" aca="1" ref="AF213" ca="1">IF(H213=0,"",HYPERLINK("#"&amp;RIGHT(CELL("adresse",OFFSET('DM01-AV-CH'!$G$6,H213-1,0)),LEN(CELL("adresse",OFFSET('DM01-AV-CH'!$G$6,H213-1,0)))-FIND("]",CELL("adresse",OFFSET('DM01-AV-CH'!$G$6,H213-1,0)))),"Modell"))</f>
        <v/>
      </c>
      <c r="AG213" s="72" t="str" cm="1">
        <f t="array" ref="AG213">IF($H213=0,"",IF(INDEX('DM01-AV-CH'!G$6:G$834,$H213)="","",INDEX('DM01-AV-CH'!G$6:G$834,$H213)))</f>
        <v/>
      </c>
      <c r="AH213" s="73" t="str" cm="1">
        <f t="array" ref="AH213">IF($H213=0,"",IF(INDEX('DM01-AV-CH'!H$6:H$834,$H213)="","",INDEX('DM01-AV-CH'!H$6:H$834,$H213)))</f>
        <v/>
      </c>
      <c r="AI213" s="74" t="str" cm="1">
        <f t="array" ref="AI213">IF($H213=0,"",IF(INDEX('DM01-AV-CH'!I$6:I$834,$H213)="","",INDEX('DM01-AV-CH'!I$6:I$834,$H213)))</f>
        <v/>
      </c>
    </row>
    <row r="214" spans="1:35" x14ac:dyDescent="0.25">
      <c r="A214" s="57">
        <v>209</v>
      </c>
      <c r="B214" s="57">
        <f>IF($A214="","",IF(_xlfn.XLOOKUP($A214,Korrelation!$D$4:$D$1197,Korrelation!E$4:E$1197,"-",0)="-",0,MATCH(_xlfn.XLOOKUP($A214,Korrelation!$D$4:$D$1197,Korrelation!E$4:E$1197,"",0),DMAV_Modell!$G$6:$G$677,0)))</f>
        <v>0</v>
      </c>
      <c r="C214" s="57">
        <f>IF($A214="","",IF(_xlfn.XLOOKUP($A214,Korrelation!$D$4:$D$1197,Korrelation!F$4:F$1197,"-",0)="-",0,MATCH(_xlfn.XLOOKUP($A214,Korrelation!$D$4:$D$1197,Korrelation!F$4:F$1197,"",0),DMAV_Modell!$G$6:$G$677,0)))</f>
        <v>0</v>
      </c>
      <c r="D214" s="57">
        <f>IF($A214="","",IF(_xlfn.XLOOKUP($A214,Korrelation!$D$4:$D$1197,Korrelation!G$4:G$1197,"-",0)="-",0,MATCH(_xlfn.XLOOKUP($A214,Korrelation!$D$4:$D$1197,Korrelation!G$4:G$1197,"",0),DMAV_Modell!$G$6:$G$677,0)))</f>
        <v>0</v>
      </c>
      <c r="E214" s="57">
        <f>IF($A214="","",IF(_xlfn.XLOOKUP($A214,Korrelation!$D$4:$D$1197,Korrelation!H$4:H$1197,"-",0)="-",0,MATCH(_xlfn.XLOOKUP($A214,Korrelation!$D$4:$D$1197,Korrelation!H$4:H$1197,"",0),DMAV_Dienste!$F$6:$F$140,0)))</f>
        <v>90</v>
      </c>
      <c r="F214" s="57">
        <f>IF($A214="","",IF(_xlfn.XLOOKUP($A214,Korrelation!$D$4:$D$1197,Korrelation!I$4:I$1197,"-",0)="-",0,MATCH(_xlfn.XLOOKUP($A214,Korrelation!$D$4:$D$1197,Korrelation!I$4:I$1197,"",0),DMAV_Dienste!$F$6:$F$140,0)))</f>
        <v>0</v>
      </c>
      <c r="G214" s="57">
        <f>IF($A214="","",IF(_xlfn.XLOOKUP($A214,Korrelation!$D$4:$D$1197,Korrelation!J$4:J$1197,"-",0)="-",0,MATCH(_xlfn.XLOOKUP($A214,Korrelation!$D$4:$D$1197,Korrelation!J$4:J$1197,"",0),DMAV_Dienste!$F$6:$F$140,0)))</f>
        <v>0</v>
      </c>
      <c r="H214" s="57">
        <f>IF($A214="","",IF(_xlfn.XLOOKUP($A214,Korrelation!$D$4:$D$1197,Korrelation!K$4:K$1197,"-",0)="-",0,MATCH(_xlfn.XLOOKUP($A214,Korrelation!$D$4:$D$1197,Korrelation!K$4:K$1197,"",0),'DM01-AV-CH'!$A$6:$A$834,0)))</f>
        <v>112</v>
      </c>
      <c r="J214" s="54" t="str" cm="1">
        <f t="array" aca="1" ref="J214" ca="1">IF(B214=0,IF(E214=0,"",HYPERLINK("#"&amp;RIGHT(CELL("adresse",OFFSET(DMAV_Dienste!$M$6,E214-1,0)),LEN(CELL("adresse",OFFSET(DMAV_Dienste!$M$6,E214-1,0)))-FIND("]",CELL("adresse",OFFSET(DMAV_Dienste!$M$6,E214-1,0)))),"Dienst")),HYPERLINK("#"&amp;RIGHT(CELL("adresse",OFFSET(DMAV_Modell!$N$6,B214-1,0)),LEN(CELL("adresse",OFFSET(DMAV_Modell!$N$6,B214-1,0)))-FIND("]",CELL("adresse",OFFSET(DMAV_Modell!$N$6,B214-1,0)))),"Modell"))</f>
        <v>Dienst</v>
      </c>
      <c r="K214" s="61" t="str" cm="1">
        <f t="array" ref="K214">IF($B214=0,IF($E214=0,"",IF(INDEX(DMAV_Dienste!P$6:P$140,$E214)="","",INDEX(DMAV_Dienste!P$6:P$140,$E214))),IF(INDEX(DMAV_Modell!Q$6:Q$838,$B214)="","",INDEX(DMAV_Modell!Q$6:Q$838,$B214)))</f>
        <v>CLASS</v>
      </c>
      <c r="L214" s="62" t="str" cm="1">
        <f t="array" ref="L214">IF($B214=0,IF($E214=0,"",IF(INDEX(DMAV_Dienste!O$6:O$140,$E214)="","",INDEX(DMAV_Dienste!O$6:O$140,$E214))),IF(INDEX(DMAV_Modell!P$6:P$838,$B214)="","",INDEX(DMAV_Modell!P$6:P$838,$B214)))</f>
        <v>FPDS2</v>
      </c>
      <c r="M214" s="62" t="str" cm="1">
        <f t="array" ref="M214">IF($B214=0,IF($E214=0,"",IF(INDEX(DMAV_Dienste!Q$6:Q$140,$E214)="","",INDEX(DMAV_Dienste!Q$6:Q$140,$E214))),IF(INDEX(DMAV_Modell!R$6:R$838,$B214)="","",INDEX(DMAV_Modell!R$6:R$838,$B214)))</f>
        <v>Fixpunkt</v>
      </c>
      <c r="N214" s="62" t="str" cm="1">
        <f t="array" ref="N214">IF($B214=0,IF($E214=0,"",IF(INDEX(DMAV_Dienste!T$6:T$140,$E214)="","",INDEX(DMAV_Dienste!T$6:T$140,$E214))),IF(INDEX(DMAV_Modell!U$6:U$838,$B214)="","",INDEX(DMAV_Modell!U$6:U$838,$B214)))</f>
        <v>NBIdent</v>
      </c>
      <c r="O214" s="63" t="str" cm="1">
        <f t="array" aca="1" ref="O214" ca="1">IF(C214=0,IF(F214=0,"",HYPERLINK("#"&amp;RIGHT(CELL("adresse",OFFSET(DMAV_Dienste!$M$6,F214-1,0)),LEN(CELL("adresse",OFFSET(DMAV_Dienste!$M$6,F214-1,0)))-FIND("]",CELL("adresse",OFFSET(DMAV_Dienste!$M$6,F214-1,0)))),"Structure")),HYPERLINK("#"&amp;RIGHT(CELL("adresse",OFFSET(DMAV_Modell!$N$6,C214-1,0)),LEN(CELL("adresse",OFFSET(DMAV_Modell!$N$6,C214-1,0)))-FIND("]",CELL("adresse",OFFSET(DMAV_Modell!$N$6,C214-1,0)))),"Structure"))</f>
        <v/>
      </c>
      <c r="P214" s="64" t="str" cm="1">
        <f t="array" aca="1" ref="P214" ca="1">IF(D214=0,IF(G214=0,"",HYPERLINK("#"&amp;RIGHT(CELL("adresse",OFFSET(DMAV_Dienste!$M$6,G214-1,0)),LEN(CELL("adresse",OFFSET(DMAV_Dienste!$M$6,G214-1,0)))-FIND("]",CELL("adresse",OFFSET(DMAV_Dienste!$M$6,G214-1,0)))),"Substructure")),HYPERLINK("#"&amp;RIGHT(CELL("adresse",OFFSET(DMAV_Modell!$N$6,D214-1,0)),LEN(CELL("adresse",OFFSET(DMAV_Modell!$N$6,D214-1,0)))-FIND("]",CELL("adresse",OFFSET(DMAV_Modell!$N$6,D214-1,0)))),"Substructure"))</f>
        <v/>
      </c>
      <c r="R214" s="80"/>
      <c r="T214" s="93"/>
      <c r="U214" s="94"/>
      <c r="V214" s="95"/>
      <c r="W214" s="96"/>
      <c r="Y214" s="85" t="s">
        <v>5874</v>
      </c>
      <c r="Z214" s="86"/>
      <c r="AA214" s="87"/>
      <c r="AB214" s="88"/>
      <c r="AD214" s="77"/>
      <c r="AF214" s="54" t="str" cm="1">
        <f t="array" aca="1" ref="AF214" ca="1">IF(H214=0,"",HYPERLINK("#"&amp;RIGHT(CELL("adresse",OFFSET('DM01-AV-CH'!$G$6,H214-1,0)),LEN(CELL("adresse",OFFSET('DM01-AV-CH'!$G$6,H214-1,0)))-FIND("]",CELL("adresse",OFFSET('DM01-AV-CH'!$G$6,H214-1,0)))),"Modell"))</f>
        <v>Modell</v>
      </c>
      <c r="AG214" s="72" t="str" cm="1">
        <f t="array" ref="AG214">IF($H214=0,"",IF(INDEX('DM01-AV-CH'!G$6:G$834,$H214)="","",INDEX('DM01-AV-CH'!G$6:G$834,$H214)))</f>
        <v>FixpunkteKategorie2</v>
      </c>
      <c r="AH214" s="73" t="str" cm="1">
        <f t="array" ref="AH214">IF($H214=0,"",IF(INDEX('DM01-AV-CH'!H$6:H$834,$H214)="","",INDEX('DM01-AV-CH'!H$6:H$834,$H214)))</f>
        <v>HFP2</v>
      </c>
      <c r="AI214" s="74" t="str" cm="1">
        <f t="array" ref="AI214">IF($H214=0,"",IF(INDEX('DM01-AV-CH'!I$6:I$834,$H214)="","",INDEX('DM01-AV-CH'!I$6:I$834,$H214)))</f>
        <v>NBIdent</v>
      </c>
    </row>
    <row r="215" spans="1:35" x14ac:dyDescent="0.25">
      <c r="A215" s="57">
        <v>210</v>
      </c>
      <c r="B215" s="57">
        <f>IF($A215="","",IF(_xlfn.XLOOKUP($A215,Korrelation!$D$4:$D$1197,Korrelation!E$4:E$1197,"-",0)="-",0,MATCH(_xlfn.XLOOKUP($A215,Korrelation!$D$4:$D$1197,Korrelation!E$4:E$1197,"",0),DMAV_Modell!$G$6:$G$677,0)))</f>
        <v>0</v>
      </c>
      <c r="C215" s="57">
        <f>IF($A215="","",IF(_xlfn.XLOOKUP($A215,Korrelation!$D$4:$D$1197,Korrelation!F$4:F$1197,"-",0)="-",0,MATCH(_xlfn.XLOOKUP($A215,Korrelation!$D$4:$D$1197,Korrelation!F$4:F$1197,"",0),DMAV_Modell!$G$6:$G$677,0)))</f>
        <v>0</v>
      </c>
      <c r="D215" s="57">
        <f>IF($A215="","",IF(_xlfn.XLOOKUP($A215,Korrelation!$D$4:$D$1197,Korrelation!G$4:G$1197,"-",0)="-",0,MATCH(_xlfn.XLOOKUP($A215,Korrelation!$D$4:$D$1197,Korrelation!G$4:G$1197,"",0),DMAV_Modell!$G$6:$G$677,0)))</f>
        <v>0</v>
      </c>
      <c r="E215" s="57">
        <f>IF($A215="","",IF(_xlfn.XLOOKUP($A215,Korrelation!$D$4:$D$1197,Korrelation!H$4:H$1197,"-",0)="-",0,MATCH(_xlfn.XLOOKUP($A215,Korrelation!$D$4:$D$1197,Korrelation!H$4:H$1197,"",0),DMAV_Dienste!$F$6:$F$140,0)))</f>
        <v>91</v>
      </c>
      <c r="F215" s="57">
        <f>IF($A215="","",IF(_xlfn.XLOOKUP($A215,Korrelation!$D$4:$D$1197,Korrelation!I$4:I$1197,"-",0)="-",0,MATCH(_xlfn.XLOOKUP($A215,Korrelation!$D$4:$D$1197,Korrelation!I$4:I$1197,"",0),DMAV_Dienste!$F$6:$F$140,0)))</f>
        <v>0</v>
      </c>
      <c r="G215" s="57">
        <f>IF($A215="","",IF(_xlfn.XLOOKUP($A215,Korrelation!$D$4:$D$1197,Korrelation!J$4:J$1197,"-",0)="-",0,MATCH(_xlfn.XLOOKUP($A215,Korrelation!$D$4:$D$1197,Korrelation!J$4:J$1197,"",0),DMAV_Dienste!$F$6:$F$140,0)))</f>
        <v>0</v>
      </c>
      <c r="H215" s="57">
        <f>IF($A215="","",IF(_xlfn.XLOOKUP($A215,Korrelation!$D$4:$D$1197,Korrelation!K$4:K$1197,"-",0)="-",0,MATCH(_xlfn.XLOOKUP($A215,Korrelation!$D$4:$D$1197,Korrelation!K$4:K$1197,"",0),'DM01-AV-CH'!$A$6:$A$834,0)))</f>
        <v>113</v>
      </c>
      <c r="J215" s="54" t="str" cm="1">
        <f t="array" aca="1" ref="J215" ca="1">IF(B215=0,IF(E215=0,"",HYPERLINK("#"&amp;RIGHT(CELL("adresse",OFFSET(DMAV_Dienste!$M$6,E215-1,0)),LEN(CELL("adresse",OFFSET(DMAV_Dienste!$M$6,E215-1,0)))-FIND("]",CELL("adresse",OFFSET(DMAV_Dienste!$M$6,E215-1,0)))),"Dienst")),HYPERLINK("#"&amp;RIGHT(CELL("adresse",OFFSET(DMAV_Modell!$N$6,B215-1,0)),LEN(CELL("adresse",OFFSET(DMAV_Modell!$N$6,B215-1,0)))-FIND("]",CELL("adresse",OFFSET(DMAV_Modell!$N$6,B215-1,0)))),"Modell"))</f>
        <v>Dienst</v>
      </c>
      <c r="K215" s="61" t="str" cm="1">
        <f t="array" ref="K215">IF($B215=0,IF($E215=0,"",IF(INDEX(DMAV_Dienste!P$6:P$140,$E215)="","",INDEX(DMAV_Dienste!P$6:P$140,$E215))),IF(INDEX(DMAV_Modell!Q$6:Q$838,$B215)="","",INDEX(DMAV_Modell!Q$6:Q$838,$B215)))</f>
        <v>CLASS</v>
      </c>
      <c r="L215" s="62" t="str" cm="1">
        <f t="array" ref="L215">IF($B215=0,IF($E215=0,"",IF(INDEX(DMAV_Dienste!O$6:O$140,$E215)="","",INDEX(DMAV_Dienste!O$6:O$140,$E215))),IF(INDEX(DMAV_Modell!P$6:P$838,$B215)="","",INDEX(DMAV_Modell!P$6:P$838,$B215)))</f>
        <v>FPDS2</v>
      </c>
      <c r="M215" s="62" t="str" cm="1">
        <f t="array" ref="M215">IF($B215=0,IF($E215=0,"",IF(INDEX(DMAV_Dienste!Q$6:Q$140,$E215)="","",INDEX(DMAV_Dienste!Q$6:Q$140,$E215))),IF(INDEX(DMAV_Modell!R$6:R$838,$B215)="","",INDEX(DMAV_Modell!R$6:R$838,$B215)))</f>
        <v>Fixpunkt</v>
      </c>
      <c r="N215" s="62" t="str" cm="1">
        <f t="array" ref="N215">IF($B215=0,IF($E215=0,"",IF(INDEX(DMAV_Dienste!T$6:T$140,$E215)="","",INDEX(DMAV_Dienste!T$6:T$140,$E215))),IF(INDEX(DMAV_Modell!U$6:U$838,$B215)="","",INDEX(DMAV_Modell!U$6:U$838,$B215)))</f>
        <v>Nummer</v>
      </c>
      <c r="O215" s="63" t="str" cm="1">
        <f t="array" aca="1" ref="O215" ca="1">IF(C215=0,IF(F215=0,"",HYPERLINK("#"&amp;RIGHT(CELL("adresse",OFFSET(DMAV_Dienste!$M$6,F215-1,0)),LEN(CELL("adresse",OFFSET(DMAV_Dienste!$M$6,F215-1,0)))-FIND("]",CELL("adresse",OFFSET(DMAV_Dienste!$M$6,F215-1,0)))),"Structure")),HYPERLINK("#"&amp;RIGHT(CELL("adresse",OFFSET(DMAV_Modell!$N$6,C215-1,0)),LEN(CELL("adresse",OFFSET(DMAV_Modell!$N$6,C215-1,0)))-FIND("]",CELL("adresse",OFFSET(DMAV_Modell!$N$6,C215-1,0)))),"Structure"))</f>
        <v/>
      </c>
      <c r="P215" s="64" t="str" cm="1">
        <f t="array" aca="1" ref="P215" ca="1">IF(D215=0,IF(G215=0,"",HYPERLINK("#"&amp;RIGHT(CELL("adresse",OFFSET(DMAV_Dienste!$M$6,G215-1,0)),LEN(CELL("adresse",OFFSET(DMAV_Dienste!$M$6,G215-1,0)))-FIND("]",CELL("adresse",OFFSET(DMAV_Dienste!$M$6,G215-1,0)))),"Substructure")),HYPERLINK("#"&amp;RIGHT(CELL("adresse",OFFSET(DMAV_Modell!$N$6,D215-1,0)),LEN(CELL("adresse",OFFSET(DMAV_Modell!$N$6,D215-1,0)))-FIND("]",CELL("adresse",OFFSET(DMAV_Modell!$N$6,D215-1,0)))),"Substructure"))</f>
        <v/>
      </c>
      <c r="R215" s="80"/>
      <c r="T215" s="93"/>
      <c r="U215" s="94"/>
      <c r="V215" s="95"/>
      <c r="W215" s="96"/>
      <c r="Y215" s="85" t="s">
        <v>5874</v>
      </c>
      <c r="Z215" s="86"/>
      <c r="AA215" s="87"/>
      <c r="AB215" s="88"/>
      <c r="AD215" s="77"/>
      <c r="AF215" s="54" t="str" cm="1">
        <f t="array" aca="1" ref="AF215" ca="1">IF(H215=0,"",HYPERLINK("#"&amp;RIGHT(CELL("adresse",OFFSET('DM01-AV-CH'!$G$6,H215-1,0)),LEN(CELL("adresse",OFFSET('DM01-AV-CH'!$G$6,H215-1,0)))-FIND("]",CELL("adresse",OFFSET('DM01-AV-CH'!$G$6,H215-1,0)))),"Modell"))</f>
        <v>Modell</v>
      </c>
      <c r="AG215" s="72" t="str" cm="1">
        <f t="array" ref="AG215">IF($H215=0,"",IF(INDEX('DM01-AV-CH'!G$6:G$834,$H215)="","",INDEX('DM01-AV-CH'!G$6:G$834,$H215)))</f>
        <v>FixpunkteKategorie2</v>
      </c>
      <c r="AH215" s="73" t="str" cm="1">
        <f t="array" ref="AH215">IF($H215=0,"",IF(INDEX('DM01-AV-CH'!H$6:H$834,$H215)="","",INDEX('DM01-AV-CH'!H$6:H$834,$H215)))</f>
        <v>HFP2</v>
      </c>
      <c r="AI215" s="74" t="str" cm="1">
        <f t="array" ref="AI215">IF($H215=0,"",IF(INDEX('DM01-AV-CH'!I$6:I$834,$H215)="","",INDEX('DM01-AV-CH'!I$6:I$834,$H215)))</f>
        <v>Nummer</v>
      </c>
    </row>
    <row r="216" spans="1:35" x14ac:dyDescent="0.25">
      <c r="A216" s="57">
        <v>211</v>
      </c>
      <c r="B216" s="57">
        <f>IF($A216="","",IF(_xlfn.XLOOKUP($A216,Korrelation!$D$4:$D$1197,Korrelation!E$4:E$1197,"-",0)="-",0,MATCH(_xlfn.XLOOKUP($A216,Korrelation!$D$4:$D$1197,Korrelation!E$4:E$1197,"",0),DMAV_Modell!$G$6:$G$677,0)))</f>
        <v>0</v>
      </c>
      <c r="C216" s="57">
        <f>IF($A216="","",IF(_xlfn.XLOOKUP($A216,Korrelation!$D$4:$D$1197,Korrelation!F$4:F$1197,"-",0)="-",0,MATCH(_xlfn.XLOOKUP($A216,Korrelation!$D$4:$D$1197,Korrelation!F$4:F$1197,"",0),DMAV_Modell!$G$6:$G$677,0)))</f>
        <v>0</v>
      </c>
      <c r="D216" s="57">
        <f>IF($A216="","",IF(_xlfn.XLOOKUP($A216,Korrelation!$D$4:$D$1197,Korrelation!G$4:G$1197,"-",0)="-",0,MATCH(_xlfn.XLOOKUP($A216,Korrelation!$D$4:$D$1197,Korrelation!G$4:G$1197,"",0),DMAV_Modell!$G$6:$G$677,0)))</f>
        <v>0</v>
      </c>
      <c r="E216" s="57">
        <f>IF($A216="","",IF(_xlfn.XLOOKUP($A216,Korrelation!$D$4:$D$1197,Korrelation!H$4:H$1197,"-",0)="-",0,MATCH(_xlfn.XLOOKUP($A216,Korrelation!$D$4:$D$1197,Korrelation!H$4:H$1197,"",0),DMAV_Dienste!$F$6:$F$140,0)))</f>
        <v>92</v>
      </c>
      <c r="F216" s="57">
        <f>IF($A216="","",IF(_xlfn.XLOOKUP($A216,Korrelation!$D$4:$D$1197,Korrelation!I$4:I$1197,"-",0)="-",0,MATCH(_xlfn.XLOOKUP($A216,Korrelation!$D$4:$D$1197,Korrelation!I$4:I$1197,"",0),DMAV_Dienste!$F$6:$F$140,0)))</f>
        <v>0</v>
      </c>
      <c r="G216" s="57">
        <f>IF($A216="","",IF(_xlfn.XLOOKUP($A216,Korrelation!$D$4:$D$1197,Korrelation!J$4:J$1197,"-",0)="-",0,MATCH(_xlfn.XLOOKUP($A216,Korrelation!$D$4:$D$1197,Korrelation!J$4:J$1197,"",0),DMAV_Dienste!$F$6:$F$140,0)))</f>
        <v>0</v>
      </c>
      <c r="H216" s="57">
        <f>IF($A216="","",IF(_xlfn.XLOOKUP($A216,Korrelation!$D$4:$D$1197,Korrelation!K$4:K$1197,"-",0)="-",0,MATCH(_xlfn.XLOOKUP($A216,Korrelation!$D$4:$D$1197,Korrelation!K$4:K$1197,"",0),'DM01-AV-CH'!$A$6:$A$834,0)))</f>
        <v>0</v>
      </c>
      <c r="J216" s="54" t="str" cm="1">
        <f t="array" aca="1" ref="J216" ca="1">IF(B216=0,IF(E216=0,"",HYPERLINK("#"&amp;RIGHT(CELL("adresse",OFFSET(DMAV_Dienste!$M$6,E216-1,0)),LEN(CELL("adresse",OFFSET(DMAV_Dienste!$M$6,E216-1,0)))-FIND("]",CELL("adresse",OFFSET(DMAV_Dienste!$M$6,E216-1,0)))),"Dienst")),HYPERLINK("#"&amp;RIGHT(CELL("adresse",OFFSET(DMAV_Modell!$N$6,B216-1,0)),LEN(CELL("adresse",OFFSET(DMAV_Modell!$N$6,B216-1,0)))-FIND("]",CELL("adresse",OFFSET(DMAV_Modell!$N$6,B216-1,0)))),"Modell"))</f>
        <v>Dienst</v>
      </c>
      <c r="K216" s="61" t="str" cm="1">
        <f t="array" ref="K216">IF($B216=0,IF($E216=0,"",IF(INDEX(DMAV_Dienste!P$6:P$140,$E216)="","",INDEX(DMAV_Dienste!P$6:P$140,$E216))),IF(INDEX(DMAV_Modell!Q$6:Q$838,$B216)="","",INDEX(DMAV_Modell!Q$6:Q$838,$B216)))</f>
        <v>CLASS</v>
      </c>
      <c r="L216" s="62" t="str" cm="1">
        <f t="array" ref="L216">IF($B216=0,IF($E216=0,"",IF(INDEX(DMAV_Dienste!O$6:O$140,$E216)="","",INDEX(DMAV_Dienste!O$6:O$140,$E216))),IF(INDEX(DMAV_Modell!P$6:P$838,$B216)="","",INDEX(DMAV_Modell!P$6:P$838,$B216)))</f>
        <v>FPDS2</v>
      </c>
      <c r="M216" s="62" t="str" cm="1">
        <f t="array" ref="M216">IF($B216=0,IF($E216=0,"",IF(INDEX(DMAV_Dienste!Q$6:Q$140,$E216)="","",INDEX(DMAV_Dienste!Q$6:Q$140,$E216))),IF(INDEX(DMAV_Modell!R$6:R$838,$B216)="","",INDEX(DMAV_Modell!R$6:R$838,$B216)))</f>
        <v>Fixpunkt</v>
      </c>
      <c r="N216" s="62" t="str" cm="1">
        <f t="array" ref="N216">IF($B216=0,IF($E216=0,"",IF(INDEX(DMAV_Dienste!T$6:T$140,$E216)="","",INDEX(DMAV_Dienste!T$6:T$140,$E216))),IF(INDEX(DMAV_Modell!U$6:U$838,$B216)="","",INDEX(DMAV_Modell!U$6:U$838,$B216)))</f>
        <v>ProtokollSprache</v>
      </c>
      <c r="O216" s="63" t="str" cm="1">
        <f t="array" aca="1" ref="O216" ca="1">IF(C216=0,IF(F216=0,"",HYPERLINK("#"&amp;RIGHT(CELL("adresse",OFFSET(DMAV_Dienste!$M$6,F216-1,0)),LEN(CELL("adresse",OFFSET(DMAV_Dienste!$M$6,F216-1,0)))-FIND("]",CELL("adresse",OFFSET(DMAV_Dienste!$M$6,F216-1,0)))),"Structure")),HYPERLINK("#"&amp;RIGHT(CELL("adresse",OFFSET(DMAV_Modell!$N$6,C216-1,0)),LEN(CELL("adresse",OFFSET(DMAV_Modell!$N$6,C216-1,0)))-FIND("]",CELL("adresse",OFFSET(DMAV_Modell!$N$6,C216-1,0)))),"Structure"))</f>
        <v/>
      </c>
      <c r="P216" s="64" t="str" cm="1">
        <f t="array" aca="1" ref="P216" ca="1">IF(D216=0,IF(G216=0,"",HYPERLINK("#"&amp;RIGHT(CELL("adresse",OFFSET(DMAV_Dienste!$M$6,G216-1,0)),LEN(CELL("adresse",OFFSET(DMAV_Dienste!$M$6,G216-1,0)))-FIND("]",CELL("adresse",OFFSET(DMAV_Dienste!$M$6,G216-1,0)))),"Substructure")),HYPERLINK("#"&amp;RIGHT(CELL("adresse",OFFSET(DMAV_Modell!$N$6,D216-1,0)),LEN(CELL("adresse",OFFSET(DMAV_Modell!$N$6,D216-1,0)))-FIND("]",CELL("adresse",OFFSET(DMAV_Modell!$N$6,D216-1,0)))),"Substructure"))</f>
        <v/>
      </c>
      <c r="R216" s="80"/>
      <c r="T216" s="93"/>
      <c r="U216" s="94"/>
      <c r="V216" s="95"/>
      <c r="W216" s="96"/>
      <c r="Y216" s="85"/>
      <c r="Z216" s="86"/>
      <c r="AA216" s="87"/>
      <c r="AB216" s="88"/>
      <c r="AD216" s="77"/>
      <c r="AF216" s="54" t="str" cm="1">
        <f t="array" aca="1" ref="AF216" ca="1">IF(H216=0,"",HYPERLINK("#"&amp;RIGHT(CELL("adresse",OFFSET('DM01-AV-CH'!$G$6,H216-1,0)),LEN(CELL("adresse",OFFSET('DM01-AV-CH'!$G$6,H216-1,0)))-FIND("]",CELL("adresse",OFFSET('DM01-AV-CH'!$G$6,H216-1,0)))),"Modell"))</f>
        <v/>
      </c>
      <c r="AG216" s="72" t="str" cm="1">
        <f t="array" ref="AG216">IF($H216=0,"",IF(INDEX('DM01-AV-CH'!G$6:G$834,$H216)="","",INDEX('DM01-AV-CH'!G$6:G$834,$H216)))</f>
        <v/>
      </c>
      <c r="AH216" s="73" t="str" cm="1">
        <f t="array" ref="AH216">IF($H216=0,"",IF(INDEX('DM01-AV-CH'!H$6:H$834,$H216)="","",INDEX('DM01-AV-CH'!H$6:H$834,$H216)))</f>
        <v/>
      </c>
      <c r="AI216" s="74" t="str" cm="1">
        <f t="array" ref="AI216">IF($H216=0,"",IF(INDEX('DM01-AV-CH'!I$6:I$834,$H216)="","",INDEX('DM01-AV-CH'!I$6:I$834,$H216)))</f>
        <v/>
      </c>
    </row>
    <row r="217" spans="1:35" x14ac:dyDescent="0.25">
      <c r="A217" s="57">
        <v>212</v>
      </c>
      <c r="B217" s="57">
        <f>IF($A217="","",IF(_xlfn.XLOOKUP($A217,Korrelation!$D$4:$D$1197,Korrelation!E$4:E$1197,"-",0)="-",0,MATCH(_xlfn.XLOOKUP($A217,Korrelation!$D$4:$D$1197,Korrelation!E$4:E$1197,"",0),DMAV_Modell!$G$6:$G$677,0)))</f>
        <v>0</v>
      </c>
      <c r="C217" s="57">
        <f>IF($A217="","",IF(_xlfn.XLOOKUP($A217,Korrelation!$D$4:$D$1197,Korrelation!F$4:F$1197,"-",0)="-",0,MATCH(_xlfn.XLOOKUP($A217,Korrelation!$D$4:$D$1197,Korrelation!F$4:F$1197,"",0),DMAV_Modell!$G$6:$G$677,0)))</f>
        <v>0</v>
      </c>
      <c r="D217" s="57">
        <f>IF($A217="","",IF(_xlfn.XLOOKUP($A217,Korrelation!$D$4:$D$1197,Korrelation!G$4:G$1197,"-",0)="-",0,MATCH(_xlfn.XLOOKUP($A217,Korrelation!$D$4:$D$1197,Korrelation!G$4:G$1197,"",0),DMAV_Modell!$G$6:$G$677,0)))</f>
        <v>0</v>
      </c>
      <c r="E217" s="57">
        <f>IF($A217="","",IF(_xlfn.XLOOKUP($A217,Korrelation!$D$4:$D$1197,Korrelation!H$4:H$1197,"-",0)="-",0,MATCH(_xlfn.XLOOKUP($A217,Korrelation!$D$4:$D$1197,Korrelation!H$4:H$1197,"",0),DMAV_Dienste!$F$6:$F$140,0)))</f>
        <v>93</v>
      </c>
      <c r="F217" s="57">
        <f>IF($A217="","",IF(_xlfn.XLOOKUP($A217,Korrelation!$D$4:$D$1197,Korrelation!I$4:I$1197,"-",0)="-",0,MATCH(_xlfn.XLOOKUP($A217,Korrelation!$D$4:$D$1197,Korrelation!I$4:I$1197,"",0),DMAV_Dienste!$F$6:$F$140,0)))</f>
        <v>0</v>
      </c>
      <c r="G217" s="57">
        <f>IF($A217="","",IF(_xlfn.XLOOKUP($A217,Korrelation!$D$4:$D$1197,Korrelation!J$4:J$1197,"-",0)="-",0,MATCH(_xlfn.XLOOKUP($A217,Korrelation!$D$4:$D$1197,Korrelation!J$4:J$1197,"",0),DMAV_Dienste!$F$6:$F$140,0)))</f>
        <v>0</v>
      </c>
      <c r="H217" s="57">
        <f>IF($A217="","",IF(_xlfn.XLOOKUP($A217,Korrelation!$D$4:$D$1197,Korrelation!K$4:K$1197,"-",0)="-",0,MATCH(_xlfn.XLOOKUP($A217,Korrelation!$D$4:$D$1197,Korrelation!K$4:K$1197,"",0),'DM01-AV-CH'!$A$6:$A$834,0)))</f>
        <v>0</v>
      </c>
      <c r="J217" s="54" t="str" cm="1">
        <f t="array" aca="1" ref="J217" ca="1">IF(B217=0,IF(E217=0,"",HYPERLINK("#"&amp;RIGHT(CELL("adresse",OFFSET(DMAV_Dienste!$M$6,E217-1,0)),LEN(CELL("adresse",OFFSET(DMAV_Dienste!$M$6,E217-1,0)))-FIND("]",CELL("adresse",OFFSET(DMAV_Dienste!$M$6,E217-1,0)))),"Dienst")),HYPERLINK("#"&amp;RIGHT(CELL("adresse",OFFSET(DMAV_Modell!$N$6,B217-1,0)),LEN(CELL("adresse",OFFSET(DMAV_Modell!$N$6,B217-1,0)))-FIND("]",CELL("adresse",OFFSET(DMAV_Modell!$N$6,B217-1,0)))),"Modell"))</f>
        <v>Dienst</v>
      </c>
      <c r="K217" s="61" t="str" cm="1">
        <f t="array" ref="K217">IF($B217=0,IF($E217=0,"",IF(INDEX(DMAV_Dienste!P$6:P$140,$E217)="","",INDEX(DMAV_Dienste!P$6:P$140,$E217))),IF(INDEX(DMAV_Modell!Q$6:Q$838,$B217)="","",INDEX(DMAV_Modell!Q$6:Q$838,$B217)))</f>
        <v>CLASS</v>
      </c>
      <c r="L217" s="62" t="str" cm="1">
        <f t="array" ref="L217">IF($B217=0,IF($E217=0,"",IF(INDEX(DMAV_Dienste!O$6:O$140,$E217)="","",INDEX(DMAV_Dienste!O$6:O$140,$E217))),IF(INDEX(DMAV_Modell!P$6:P$838,$B217)="","",INDEX(DMAV_Modell!P$6:P$838,$B217)))</f>
        <v>FPDS2</v>
      </c>
      <c r="M217" s="62" t="str" cm="1">
        <f t="array" ref="M217">IF($B217=0,IF($E217=0,"",IF(INDEX(DMAV_Dienste!Q$6:Q$140,$E217)="","",INDEX(DMAV_Dienste!Q$6:Q$140,$E217))),IF(INDEX(DMAV_Modell!R$6:R$838,$B217)="","",INDEX(DMAV_Modell!R$6:R$838,$B217)))</f>
        <v>Fixpunkt</v>
      </c>
      <c r="N217" s="62" t="str" cm="1">
        <f t="array" ref="N217">IF($B217=0,IF($E217=0,"",IF(INDEX(DMAV_Dienste!T$6:T$140,$E217)="","",INDEX(DMAV_Dienste!T$6:T$140,$E217))),IF(INDEX(DMAV_Modell!U$6:U$838,$B217)="","",INDEX(DMAV_Modell!U$6:U$838,$B217)))</f>
        <v>SymbolOri</v>
      </c>
      <c r="O217" s="63" t="str" cm="1">
        <f t="array" aca="1" ref="O217" ca="1">IF(C217=0,IF(F217=0,"",HYPERLINK("#"&amp;RIGHT(CELL("adresse",OFFSET(DMAV_Dienste!$M$6,F217-1,0)),LEN(CELL("adresse",OFFSET(DMAV_Dienste!$M$6,F217-1,0)))-FIND("]",CELL("adresse",OFFSET(DMAV_Dienste!$M$6,F217-1,0)))),"Structure")),HYPERLINK("#"&amp;RIGHT(CELL("adresse",OFFSET(DMAV_Modell!$N$6,C217-1,0)),LEN(CELL("adresse",OFFSET(DMAV_Modell!$N$6,C217-1,0)))-FIND("]",CELL("adresse",OFFSET(DMAV_Modell!$N$6,C217-1,0)))),"Structure"))</f>
        <v/>
      </c>
      <c r="P217" s="64" t="str" cm="1">
        <f t="array" aca="1" ref="P217" ca="1">IF(D217=0,IF(G217=0,"",HYPERLINK("#"&amp;RIGHT(CELL("adresse",OFFSET(DMAV_Dienste!$M$6,G217-1,0)),LEN(CELL("adresse",OFFSET(DMAV_Dienste!$M$6,G217-1,0)))-FIND("]",CELL("adresse",OFFSET(DMAV_Dienste!$M$6,G217-1,0)))),"Substructure")),HYPERLINK("#"&amp;RIGHT(CELL("adresse",OFFSET(DMAV_Modell!$N$6,D217-1,0)),LEN(CELL("adresse",OFFSET(DMAV_Modell!$N$6,D217-1,0)))-FIND("]",CELL("adresse",OFFSET(DMAV_Modell!$N$6,D217-1,0)))),"Substructure"))</f>
        <v/>
      </c>
      <c r="R217" s="80"/>
      <c r="T217" s="93"/>
      <c r="U217" s="94"/>
      <c r="V217" s="95"/>
      <c r="W217" s="96"/>
      <c r="Y217" s="85"/>
      <c r="Z217" s="86"/>
      <c r="AA217" s="87"/>
      <c r="AB217" s="88"/>
      <c r="AD217" s="77"/>
      <c r="AF217" s="54" t="str" cm="1">
        <f t="array" aca="1" ref="AF217" ca="1">IF(H217=0,"",HYPERLINK("#"&amp;RIGHT(CELL("adresse",OFFSET('DM01-AV-CH'!$G$6,H217-1,0)),LEN(CELL("adresse",OFFSET('DM01-AV-CH'!$G$6,H217-1,0)))-FIND("]",CELL("adresse",OFFSET('DM01-AV-CH'!$G$6,H217-1,0)))),"Modell"))</f>
        <v/>
      </c>
      <c r="AG217" s="72" t="str" cm="1">
        <f t="array" ref="AG217">IF($H217=0,"",IF(INDEX('DM01-AV-CH'!G$6:G$834,$H217)="","",INDEX('DM01-AV-CH'!G$6:G$834,$H217)))</f>
        <v/>
      </c>
      <c r="AH217" s="73" t="str" cm="1">
        <f t="array" ref="AH217">IF($H217=0,"",IF(INDEX('DM01-AV-CH'!H$6:H$834,$H217)="","",INDEX('DM01-AV-CH'!H$6:H$834,$H217)))</f>
        <v/>
      </c>
      <c r="AI217" s="74" t="str" cm="1">
        <f t="array" ref="AI217">IF($H217=0,"",IF(INDEX('DM01-AV-CH'!I$6:I$834,$H217)="","",INDEX('DM01-AV-CH'!I$6:I$834,$H217)))</f>
        <v/>
      </c>
    </row>
    <row r="218" spans="1:35" x14ac:dyDescent="0.25">
      <c r="A218" s="57">
        <v>213</v>
      </c>
      <c r="B218" s="57">
        <f>IF($A218="","",IF(_xlfn.XLOOKUP($A218,Korrelation!$D$4:$D$1197,Korrelation!E$4:E$1197,"-",0)="-",0,MATCH(_xlfn.XLOOKUP($A218,Korrelation!$D$4:$D$1197,Korrelation!E$4:E$1197,"",0),DMAV_Modell!$G$6:$G$677,0)))</f>
        <v>0</v>
      </c>
      <c r="C218" s="57">
        <f>IF($A218="","",IF(_xlfn.XLOOKUP($A218,Korrelation!$D$4:$D$1197,Korrelation!F$4:F$1197,"-",0)="-",0,MATCH(_xlfn.XLOOKUP($A218,Korrelation!$D$4:$D$1197,Korrelation!F$4:F$1197,"",0),DMAV_Modell!$G$6:$G$677,0)))</f>
        <v>0</v>
      </c>
      <c r="D218" s="57">
        <f>IF($A218="","",IF(_xlfn.XLOOKUP($A218,Korrelation!$D$4:$D$1197,Korrelation!G$4:G$1197,"-",0)="-",0,MATCH(_xlfn.XLOOKUP($A218,Korrelation!$D$4:$D$1197,Korrelation!G$4:G$1197,"",0),DMAV_Modell!$G$6:$G$677,0)))</f>
        <v>0</v>
      </c>
      <c r="E218" s="57">
        <f>IF($A218="","",IF(_xlfn.XLOOKUP($A218,Korrelation!$D$4:$D$1197,Korrelation!H$4:H$1197,"-",0)="-",0,MATCH(_xlfn.XLOOKUP($A218,Korrelation!$D$4:$D$1197,Korrelation!H$4:H$1197,"",0),DMAV_Dienste!$F$6:$F$140,0)))</f>
        <v>94</v>
      </c>
      <c r="F218" s="57">
        <f>IF($A218="","",IF(_xlfn.XLOOKUP($A218,Korrelation!$D$4:$D$1197,Korrelation!I$4:I$1197,"-",0)="-",0,MATCH(_xlfn.XLOOKUP($A218,Korrelation!$D$4:$D$1197,Korrelation!I$4:I$1197,"",0),DMAV_Dienste!$F$6:$F$140,0)))</f>
        <v>0</v>
      </c>
      <c r="G218" s="57">
        <f>IF($A218="","",IF(_xlfn.XLOOKUP($A218,Korrelation!$D$4:$D$1197,Korrelation!J$4:J$1197,"-",0)="-",0,MATCH(_xlfn.XLOOKUP($A218,Korrelation!$D$4:$D$1197,Korrelation!J$4:J$1197,"",0),DMAV_Dienste!$F$6:$F$140,0)))</f>
        <v>0</v>
      </c>
      <c r="H218" s="57">
        <f>IF($A218="","",IF(_xlfn.XLOOKUP($A218,Korrelation!$D$4:$D$1197,Korrelation!K$4:K$1197,"-",0)="-",0,MATCH(_xlfn.XLOOKUP($A218,Korrelation!$D$4:$D$1197,Korrelation!K$4:K$1197,"",0),'DM01-AV-CH'!$A$6:$A$834,0)))</f>
        <v>0</v>
      </c>
      <c r="J218" s="54" t="str" cm="1">
        <f t="array" aca="1" ref="J218" ca="1">IF(B218=0,IF(E218=0,"",HYPERLINK("#"&amp;RIGHT(CELL("adresse",OFFSET(DMAV_Dienste!$M$6,E218-1,0)),LEN(CELL("adresse",OFFSET(DMAV_Dienste!$M$6,E218-1,0)))-FIND("]",CELL("adresse",OFFSET(DMAV_Dienste!$M$6,E218-1,0)))),"Dienst")),HYPERLINK("#"&amp;RIGHT(CELL("adresse",OFFSET(DMAV_Modell!$N$6,B218-1,0)),LEN(CELL("adresse",OFFSET(DMAV_Modell!$N$6,B218-1,0)))-FIND("]",CELL("adresse",OFFSET(DMAV_Modell!$N$6,B218-1,0)))),"Modell"))</f>
        <v>Dienst</v>
      </c>
      <c r="K218" s="61" t="str" cm="1">
        <f t="array" ref="K218">IF($B218=0,IF($E218=0,"",IF(INDEX(DMAV_Dienste!P$6:P$140,$E218)="","",INDEX(DMAV_Dienste!P$6:P$140,$E218))),IF(INDEX(DMAV_Modell!Q$6:Q$838,$B218)="","",INDEX(DMAV_Modell!Q$6:Q$838,$B218)))</f>
        <v>CLASS</v>
      </c>
      <c r="L218" s="62" t="str" cm="1">
        <f t="array" ref="L218">IF($B218=0,IF($E218=0,"",IF(INDEX(DMAV_Dienste!O$6:O$140,$E218)="","",INDEX(DMAV_Dienste!O$6:O$140,$E218))),IF(INDEX(DMAV_Modell!P$6:P$838,$B218)="","",INDEX(DMAV_Modell!P$6:P$838,$B218)))</f>
        <v>FPDS2</v>
      </c>
      <c r="M218" s="62" t="str" cm="1">
        <f t="array" ref="M218">IF($B218=0,IF($E218=0,"",IF(INDEX(DMAV_Dienste!Q$6:Q$140,$E218)="","",INDEX(DMAV_Dienste!Q$6:Q$140,$E218))),IF(INDEX(DMAV_Modell!R$6:R$838,$B218)="","",INDEX(DMAV_Modell!R$6:R$838,$B218)))</f>
        <v>Fixpunkt</v>
      </c>
      <c r="N218" s="62" t="str" cm="1">
        <f t="array" ref="N218">IF($B218=0,IF($E218=0,"",IF(INDEX(DMAV_Dienste!T$6:T$140,$E218)="","",INDEX(DMAV_Dienste!T$6:T$140,$E218))),IF(INDEX(DMAV_Modell!U$6:U$838,$B218)="","",INDEX(DMAV_Modell!U$6:U$838,$B218)))</f>
        <v>TSP</v>
      </c>
      <c r="O218" s="63" t="str" cm="1">
        <f t="array" aca="1" ref="O218" ca="1">IF(C218=0,IF(F218=0,"",HYPERLINK("#"&amp;RIGHT(CELL("adresse",OFFSET(DMAV_Dienste!$M$6,F218-1,0)),LEN(CELL("adresse",OFFSET(DMAV_Dienste!$M$6,F218-1,0)))-FIND("]",CELL("adresse",OFFSET(DMAV_Dienste!$M$6,F218-1,0)))),"Structure")),HYPERLINK("#"&amp;RIGHT(CELL("adresse",OFFSET(DMAV_Modell!$N$6,C218-1,0)),LEN(CELL("adresse",OFFSET(DMAV_Modell!$N$6,C218-1,0)))-FIND("]",CELL("adresse",OFFSET(DMAV_Modell!$N$6,C218-1,0)))),"Structure"))</f>
        <v/>
      </c>
      <c r="P218" s="64" t="str" cm="1">
        <f t="array" aca="1" ref="P218" ca="1">IF(D218=0,IF(G218=0,"",HYPERLINK("#"&amp;RIGHT(CELL("adresse",OFFSET(DMAV_Dienste!$M$6,G218-1,0)),LEN(CELL("adresse",OFFSET(DMAV_Dienste!$M$6,G218-1,0)))-FIND("]",CELL("adresse",OFFSET(DMAV_Dienste!$M$6,G218-1,0)))),"Substructure")),HYPERLINK("#"&amp;RIGHT(CELL("adresse",OFFSET(DMAV_Modell!$N$6,D218-1,0)),LEN(CELL("adresse",OFFSET(DMAV_Modell!$N$6,D218-1,0)))-FIND("]",CELL("adresse",OFFSET(DMAV_Modell!$N$6,D218-1,0)))),"Substructure"))</f>
        <v/>
      </c>
      <c r="R218" s="80"/>
      <c r="T218" s="93"/>
      <c r="U218" s="94"/>
      <c r="V218" s="95"/>
      <c r="W218" s="96"/>
      <c r="Y218" s="85"/>
      <c r="Z218" s="86"/>
      <c r="AA218" s="87"/>
      <c r="AB218" s="88"/>
      <c r="AD218" s="77"/>
      <c r="AF218" s="54" t="str" cm="1">
        <f t="array" aca="1" ref="AF218" ca="1">IF(H218=0,"",HYPERLINK("#"&amp;RIGHT(CELL("adresse",OFFSET('DM01-AV-CH'!$G$6,H218-1,0)),LEN(CELL("adresse",OFFSET('DM01-AV-CH'!$G$6,H218-1,0)))-FIND("]",CELL("adresse",OFFSET('DM01-AV-CH'!$G$6,H218-1,0)))),"Modell"))</f>
        <v/>
      </c>
      <c r="AG218" s="72" t="str" cm="1">
        <f t="array" ref="AG218">IF($H218=0,"",IF(INDEX('DM01-AV-CH'!G$6:G$834,$H218)="","",INDEX('DM01-AV-CH'!G$6:G$834,$H218)))</f>
        <v/>
      </c>
      <c r="AH218" s="73" t="str" cm="1">
        <f t="array" ref="AH218">IF($H218=0,"",IF(INDEX('DM01-AV-CH'!H$6:H$834,$H218)="","",INDEX('DM01-AV-CH'!H$6:H$834,$H218)))</f>
        <v/>
      </c>
      <c r="AI218" s="74" t="str" cm="1">
        <f t="array" ref="AI218">IF($H218=0,"",IF(INDEX('DM01-AV-CH'!I$6:I$834,$H218)="","",INDEX('DM01-AV-CH'!I$6:I$834,$H218)))</f>
        <v/>
      </c>
    </row>
    <row r="219" spans="1:35" x14ac:dyDescent="0.25">
      <c r="A219" s="57">
        <v>214</v>
      </c>
      <c r="B219" s="57">
        <f>IF($A219="","",IF(_xlfn.XLOOKUP($A219,Korrelation!$D$4:$D$1197,Korrelation!E$4:E$1197,"-",0)="-",0,MATCH(_xlfn.XLOOKUP($A219,Korrelation!$D$4:$D$1197,Korrelation!E$4:E$1197,"",0),DMAV_Modell!$G$6:$G$677,0)))</f>
        <v>0</v>
      </c>
      <c r="C219" s="57">
        <f>IF($A219="","",IF(_xlfn.XLOOKUP($A219,Korrelation!$D$4:$D$1197,Korrelation!F$4:F$1197,"-",0)="-",0,MATCH(_xlfn.XLOOKUP($A219,Korrelation!$D$4:$D$1197,Korrelation!F$4:F$1197,"",0),DMAV_Modell!$G$6:$G$677,0)))</f>
        <v>0</v>
      </c>
      <c r="D219" s="57">
        <f>IF($A219="","",IF(_xlfn.XLOOKUP($A219,Korrelation!$D$4:$D$1197,Korrelation!G$4:G$1197,"-",0)="-",0,MATCH(_xlfn.XLOOKUP($A219,Korrelation!$D$4:$D$1197,Korrelation!G$4:G$1197,"",0),DMAV_Modell!$G$6:$G$677,0)))</f>
        <v>0</v>
      </c>
      <c r="E219" s="57">
        <f>IF($A219="","",IF(_xlfn.XLOOKUP($A219,Korrelation!$D$4:$D$1197,Korrelation!H$4:H$1197,"-",0)="-",0,MATCH(_xlfn.XLOOKUP($A219,Korrelation!$D$4:$D$1197,Korrelation!H$4:H$1197,"",0),DMAV_Dienste!$F$6:$F$140,0)))</f>
        <v>95</v>
      </c>
      <c r="F219" s="57">
        <f>IF($A219="","",IF(_xlfn.XLOOKUP($A219,Korrelation!$D$4:$D$1197,Korrelation!I$4:I$1197,"-",0)="-",0,MATCH(_xlfn.XLOOKUP($A219,Korrelation!$D$4:$D$1197,Korrelation!I$4:I$1197,"",0),DMAV_Dienste!$F$6:$F$140,0)))</f>
        <v>0</v>
      </c>
      <c r="G219" s="57">
        <f>IF($A219="","",IF(_xlfn.XLOOKUP($A219,Korrelation!$D$4:$D$1197,Korrelation!J$4:J$1197,"-",0)="-",0,MATCH(_xlfn.XLOOKUP($A219,Korrelation!$D$4:$D$1197,Korrelation!J$4:J$1197,"",0),DMAV_Dienste!$F$6:$F$140,0)))</f>
        <v>0</v>
      </c>
      <c r="H219" s="57">
        <f>IF($A219="","",IF(_xlfn.XLOOKUP($A219,Korrelation!$D$4:$D$1197,Korrelation!K$4:K$1197,"-",0)="-",0,MATCH(_xlfn.XLOOKUP($A219,Korrelation!$D$4:$D$1197,Korrelation!K$4:K$1197,"",0),'DM01-AV-CH'!$A$6:$A$834,0)))</f>
        <v>0</v>
      </c>
      <c r="J219" s="54" t="str" cm="1">
        <f t="array" aca="1" ref="J219" ca="1">IF(B219=0,IF(E219=0,"",HYPERLINK("#"&amp;RIGHT(CELL("adresse",OFFSET(DMAV_Dienste!$M$6,E219-1,0)),LEN(CELL("adresse",OFFSET(DMAV_Dienste!$M$6,E219-1,0)))-FIND("]",CELL("adresse",OFFSET(DMAV_Dienste!$M$6,E219-1,0)))),"Dienst")),HYPERLINK("#"&amp;RIGHT(CELL("adresse",OFFSET(DMAV_Modell!$N$6,B219-1,0)),LEN(CELL("adresse",OFFSET(DMAV_Modell!$N$6,B219-1,0)))-FIND("]",CELL("adresse",OFFSET(DMAV_Modell!$N$6,B219-1,0)))),"Modell"))</f>
        <v>Dienst</v>
      </c>
      <c r="K219" s="61" t="str" cm="1">
        <f t="array" ref="K219">IF($B219=0,IF($E219=0,"",IF(INDEX(DMAV_Dienste!P$6:P$140,$E219)="","",INDEX(DMAV_Dienste!P$6:P$140,$E219))),IF(INDEX(DMAV_Modell!Q$6:Q$838,$B219)="","",INDEX(DMAV_Modell!Q$6:Q$838,$B219)))</f>
        <v>CLASS</v>
      </c>
      <c r="L219" s="62" t="str" cm="1">
        <f t="array" ref="L219">IF($B219=0,IF($E219=0,"",IF(INDEX(DMAV_Dienste!O$6:O$140,$E219)="","",INDEX(DMAV_Dienste!O$6:O$140,$E219))),IF(INDEX(DMAV_Modell!P$6:P$838,$B219)="","",INDEX(DMAV_Modell!P$6:P$838,$B219)))</f>
        <v>FPDS2</v>
      </c>
      <c r="M219" s="62" t="str" cm="1">
        <f t="array" ref="M219">IF($B219=0,IF($E219=0,"",IF(INDEX(DMAV_Dienste!Q$6:Q$140,$E219)="","",INDEX(DMAV_Dienste!Q$6:Q$140,$E219))),IF(INDEX(DMAV_Modell!R$6:R$838,$B219)="","",INDEX(DMAV_Modell!R$6:R$838,$B219)))</f>
        <v>Fixpunkt</v>
      </c>
      <c r="N219" s="62" t="str" cm="1">
        <f t="array" ref="N219">IF($B219=0,IF($E219=0,"",IF(INDEX(DMAV_Dienste!T$6:T$140,$E219)="","",INDEX(DMAV_Dienste!T$6:T$140,$E219))),IF(INDEX(DMAV_Modell!U$6:U$838,$B219)="","",INDEX(DMAV_Modell!U$6:U$838,$B219)))</f>
        <v>Unterhaltsstrategie</v>
      </c>
      <c r="O219" s="63" t="str" cm="1">
        <f t="array" aca="1" ref="O219" ca="1">IF(C219=0,IF(F219=0,"",HYPERLINK("#"&amp;RIGHT(CELL("adresse",OFFSET(DMAV_Dienste!$M$6,F219-1,0)),LEN(CELL("adresse",OFFSET(DMAV_Dienste!$M$6,F219-1,0)))-FIND("]",CELL("adresse",OFFSET(DMAV_Dienste!$M$6,F219-1,0)))),"Structure")),HYPERLINK("#"&amp;RIGHT(CELL("adresse",OFFSET(DMAV_Modell!$N$6,C219-1,0)),LEN(CELL("adresse",OFFSET(DMAV_Modell!$N$6,C219-1,0)))-FIND("]",CELL("adresse",OFFSET(DMAV_Modell!$N$6,C219-1,0)))),"Structure"))</f>
        <v/>
      </c>
      <c r="P219" s="64" t="str" cm="1">
        <f t="array" aca="1" ref="P219" ca="1">IF(D219=0,IF(G219=0,"",HYPERLINK("#"&amp;RIGHT(CELL("adresse",OFFSET(DMAV_Dienste!$M$6,G219-1,0)),LEN(CELL("adresse",OFFSET(DMAV_Dienste!$M$6,G219-1,0)))-FIND("]",CELL("adresse",OFFSET(DMAV_Dienste!$M$6,G219-1,0)))),"Substructure")),HYPERLINK("#"&amp;RIGHT(CELL("adresse",OFFSET(DMAV_Modell!$N$6,D219-1,0)),LEN(CELL("adresse",OFFSET(DMAV_Modell!$N$6,D219-1,0)))-FIND("]",CELL("adresse",OFFSET(DMAV_Modell!$N$6,D219-1,0)))),"Substructure"))</f>
        <v/>
      </c>
      <c r="R219" s="80"/>
      <c r="T219" s="93"/>
      <c r="U219" s="94"/>
      <c r="V219" s="95"/>
      <c r="W219" s="96"/>
      <c r="Y219" s="85"/>
      <c r="Z219" s="86"/>
      <c r="AA219" s="87"/>
      <c r="AB219" s="88"/>
      <c r="AD219" s="77"/>
      <c r="AF219" s="54" t="str" cm="1">
        <f t="array" aca="1" ref="AF219" ca="1">IF(H219=0,"",HYPERLINK("#"&amp;RIGHT(CELL("adresse",OFFSET('DM01-AV-CH'!$G$6,H219-1,0)),LEN(CELL("adresse",OFFSET('DM01-AV-CH'!$G$6,H219-1,0)))-FIND("]",CELL("adresse",OFFSET('DM01-AV-CH'!$G$6,H219-1,0)))),"Modell"))</f>
        <v/>
      </c>
      <c r="AG219" s="72" t="str" cm="1">
        <f t="array" ref="AG219">IF($H219=0,"",IF(INDEX('DM01-AV-CH'!G$6:G$834,$H219)="","",INDEX('DM01-AV-CH'!G$6:G$834,$H219)))</f>
        <v/>
      </c>
      <c r="AH219" s="73" t="str" cm="1">
        <f t="array" ref="AH219">IF($H219=0,"",IF(INDEX('DM01-AV-CH'!H$6:H$834,$H219)="","",INDEX('DM01-AV-CH'!H$6:H$834,$H219)))</f>
        <v/>
      </c>
      <c r="AI219" s="74" t="str" cm="1">
        <f t="array" ref="AI219">IF($H219=0,"",IF(INDEX('DM01-AV-CH'!I$6:I$834,$H219)="","",INDEX('DM01-AV-CH'!I$6:I$834,$H219)))</f>
        <v/>
      </c>
    </row>
    <row r="220" spans="1:35" x14ac:dyDescent="0.25">
      <c r="A220" s="57">
        <v>215</v>
      </c>
      <c r="B220" s="57">
        <f>IF($A220="","",IF(_xlfn.XLOOKUP($A220,Korrelation!$D$4:$D$1197,Korrelation!E$4:E$1197,"-",0)="-",0,MATCH(_xlfn.XLOOKUP($A220,Korrelation!$D$4:$D$1197,Korrelation!E$4:E$1197,"",0),DMAV_Modell!$G$6:$G$677,0)))</f>
        <v>0</v>
      </c>
      <c r="C220" s="57">
        <f>IF($A220="","",IF(_xlfn.XLOOKUP($A220,Korrelation!$D$4:$D$1197,Korrelation!F$4:F$1197,"-",0)="-",0,MATCH(_xlfn.XLOOKUP($A220,Korrelation!$D$4:$D$1197,Korrelation!F$4:F$1197,"",0),DMAV_Modell!$G$6:$G$677,0)))</f>
        <v>0</v>
      </c>
      <c r="D220" s="57">
        <f>IF($A220="","",IF(_xlfn.XLOOKUP($A220,Korrelation!$D$4:$D$1197,Korrelation!G$4:G$1197,"-",0)="-",0,MATCH(_xlfn.XLOOKUP($A220,Korrelation!$D$4:$D$1197,Korrelation!G$4:G$1197,"",0),DMAV_Modell!$G$6:$G$677,0)))</f>
        <v>0</v>
      </c>
      <c r="E220" s="57">
        <f>IF($A220="","",IF(_xlfn.XLOOKUP($A220,Korrelation!$D$4:$D$1197,Korrelation!H$4:H$1197,"-",0)="-",0,MATCH(_xlfn.XLOOKUP($A220,Korrelation!$D$4:$D$1197,Korrelation!H$4:H$1197,"",0),DMAV_Dienste!$F$6:$F$140,0)))</f>
        <v>96</v>
      </c>
      <c r="F220" s="57">
        <f>IF($A220="","",IF(_xlfn.XLOOKUP($A220,Korrelation!$D$4:$D$1197,Korrelation!I$4:I$1197,"-",0)="-",0,MATCH(_xlfn.XLOOKUP($A220,Korrelation!$D$4:$D$1197,Korrelation!I$4:I$1197,"",0),DMAV_Dienste!$F$6:$F$140,0)))</f>
        <v>0</v>
      </c>
      <c r="G220" s="57">
        <f>IF($A220="","",IF(_xlfn.XLOOKUP($A220,Korrelation!$D$4:$D$1197,Korrelation!J$4:J$1197,"-",0)="-",0,MATCH(_xlfn.XLOOKUP($A220,Korrelation!$D$4:$D$1197,Korrelation!J$4:J$1197,"",0),DMAV_Dienste!$F$6:$F$140,0)))</f>
        <v>0</v>
      </c>
      <c r="H220" s="57">
        <f>IF($A220="","",IF(_xlfn.XLOOKUP($A220,Korrelation!$D$4:$D$1197,Korrelation!K$4:K$1197,"-",0)="-",0,MATCH(_xlfn.XLOOKUP($A220,Korrelation!$D$4:$D$1197,Korrelation!K$4:K$1197,"",0),'DM01-AV-CH'!$A$6:$A$834,0)))</f>
        <v>0</v>
      </c>
      <c r="J220" s="54" t="str" cm="1">
        <f t="array" aca="1" ref="J220" ca="1">IF(B220=0,IF(E220=0,"",HYPERLINK("#"&amp;RIGHT(CELL("adresse",OFFSET(DMAV_Dienste!$M$6,E220-1,0)),LEN(CELL("adresse",OFFSET(DMAV_Dienste!$M$6,E220-1,0)))-FIND("]",CELL("adresse",OFFSET(DMAV_Dienste!$M$6,E220-1,0)))),"Dienst")),HYPERLINK("#"&amp;RIGHT(CELL("adresse",OFFSET(DMAV_Modell!$N$6,B220-1,0)),LEN(CELL("adresse",OFFSET(DMAV_Modell!$N$6,B220-1,0)))-FIND("]",CELL("adresse",OFFSET(DMAV_Modell!$N$6,B220-1,0)))),"Modell"))</f>
        <v>Dienst</v>
      </c>
      <c r="K220" s="61" t="str" cm="1">
        <f t="array" ref="K220">IF($B220=0,IF($E220=0,"",IF(INDEX(DMAV_Dienste!P$6:P$140,$E220)="","",INDEX(DMAV_Dienste!P$6:P$140,$E220))),IF(INDEX(DMAV_Modell!Q$6:Q$838,$B220)="","",INDEX(DMAV_Modell!Q$6:Q$838,$B220)))</f>
        <v>CONSTRAINTS OF.CONSTRAINT</v>
      </c>
      <c r="L220" s="62" t="str" cm="1">
        <f t="array" ref="L220">IF($B220=0,IF($E220=0,"",IF(INDEX(DMAV_Dienste!O$6:O$140,$E220)="","",INDEX(DMAV_Dienste!O$6:O$140,$E220))),IF(INDEX(DMAV_Modell!P$6:P$838,$B220)="","",INDEX(DMAV_Modell!P$6:P$838,$B220)))</f>
        <v>FPDS2</v>
      </c>
      <c r="M220" s="62" t="str" cm="1">
        <f t="array" ref="M220">IF($B220=0,IF($E220=0,"",IF(INDEX(DMAV_Dienste!Q$6:Q$140,$E220)="","",INDEX(DMAV_Dienste!Q$6:Q$140,$E220))),IF(INDEX(DMAV_Modell!R$6:R$838,$B220)="","",INDEX(DMAV_Modell!R$6:R$838,$B220)))</f>
        <v>Fixpunkt</v>
      </c>
      <c r="N220" s="62" t="str" cm="1">
        <f t="array" ref="N220">IF($B220=0,IF($E220=0,"",IF(INDEX(DMAV_Dienste!T$6:T$140,$E220)="","",INDEX(DMAV_Dienste!T$6:T$140,$E220))),IF(INDEX(DMAV_Modell!U$6:U$838,$B220)="","",INDEX(DMAV_Modell!U$6:U$838,$B220)))</f>
        <v>Art != LFP2 OR DEFINED(@PH1@)</v>
      </c>
      <c r="O220" s="63" t="str" cm="1">
        <f t="array" aca="1" ref="O220" ca="1">IF(C220=0,IF(F220=0,"",HYPERLINK("#"&amp;RIGHT(CELL("adresse",OFFSET(DMAV_Dienste!$M$6,F220-1,0)),LEN(CELL("adresse",OFFSET(DMAV_Dienste!$M$6,F220-1,0)))-FIND("]",CELL("adresse",OFFSET(DMAV_Dienste!$M$6,F220-1,0)))),"Structure")),HYPERLINK("#"&amp;RIGHT(CELL("adresse",OFFSET(DMAV_Modell!$N$6,C220-1,0)),LEN(CELL("adresse",OFFSET(DMAV_Modell!$N$6,C220-1,0)))-FIND("]",CELL("adresse",OFFSET(DMAV_Modell!$N$6,C220-1,0)))),"Structure"))</f>
        <v/>
      </c>
      <c r="P220" s="64" t="str" cm="1">
        <f t="array" aca="1" ref="P220" ca="1">IF(D220=0,IF(G220=0,"",HYPERLINK("#"&amp;RIGHT(CELL("adresse",OFFSET(DMAV_Dienste!$M$6,G220-1,0)),LEN(CELL("adresse",OFFSET(DMAV_Dienste!$M$6,G220-1,0)))-FIND("]",CELL("adresse",OFFSET(DMAV_Dienste!$M$6,G220-1,0)))),"Substructure")),HYPERLINK("#"&amp;RIGHT(CELL("adresse",OFFSET(DMAV_Modell!$N$6,D220-1,0)),LEN(CELL("adresse",OFFSET(DMAV_Modell!$N$6,D220-1,0)))-FIND("]",CELL("adresse",OFFSET(DMAV_Modell!$N$6,D220-1,0)))),"Substructure"))</f>
        <v/>
      </c>
      <c r="R220" s="80"/>
      <c r="T220" s="93"/>
      <c r="U220" s="94"/>
      <c r="V220" s="95"/>
      <c r="W220" s="96"/>
      <c r="Y220" s="85"/>
      <c r="Z220" s="86"/>
      <c r="AA220" s="87"/>
      <c r="AB220" s="88"/>
      <c r="AD220" s="77"/>
      <c r="AF220" s="54" t="str" cm="1">
        <f t="array" aca="1" ref="AF220" ca="1">IF(H220=0,"",HYPERLINK("#"&amp;RIGHT(CELL("adresse",OFFSET('DM01-AV-CH'!$G$6,H220-1,0)),LEN(CELL("adresse",OFFSET('DM01-AV-CH'!$G$6,H220-1,0)))-FIND("]",CELL("adresse",OFFSET('DM01-AV-CH'!$G$6,H220-1,0)))),"Modell"))</f>
        <v/>
      </c>
      <c r="AG220" s="72" t="str" cm="1">
        <f t="array" ref="AG220">IF($H220=0,"",IF(INDEX('DM01-AV-CH'!G$6:G$834,$H220)="","",INDEX('DM01-AV-CH'!G$6:G$834,$H220)))</f>
        <v/>
      </c>
      <c r="AH220" s="73" t="str" cm="1">
        <f t="array" ref="AH220">IF($H220=0,"",IF(INDEX('DM01-AV-CH'!H$6:H$834,$H220)="","",INDEX('DM01-AV-CH'!H$6:H$834,$H220)))</f>
        <v/>
      </c>
      <c r="AI220" s="74" t="str" cm="1">
        <f t="array" ref="AI220">IF($H220=0,"",IF(INDEX('DM01-AV-CH'!I$6:I$834,$H220)="","",INDEX('DM01-AV-CH'!I$6:I$834,$H220)))</f>
        <v/>
      </c>
    </row>
    <row r="221" spans="1:35" ht="28.5" x14ac:dyDescent="0.25">
      <c r="A221" s="57">
        <v>216</v>
      </c>
      <c r="B221" s="57">
        <f>IF($A221="","",IF(_xlfn.XLOOKUP($A221,Korrelation!$D$4:$D$1197,Korrelation!E$4:E$1197,"-",0)="-",0,MATCH(_xlfn.XLOOKUP($A221,Korrelation!$D$4:$D$1197,Korrelation!E$4:E$1197,"",0),DMAV_Modell!$G$6:$G$677,0)))</f>
        <v>0</v>
      </c>
      <c r="C221" s="57">
        <f>IF($A221="","",IF(_xlfn.XLOOKUP($A221,Korrelation!$D$4:$D$1197,Korrelation!F$4:F$1197,"-",0)="-",0,MATCH(_xlfn.XLOOKUP($A221,Korrelation!$D$4:$D$1197,Korrelation!F$4:F$1197,"",0),DMAV_Modell!$G$6:$G$677,0)))</f>
        <v>0</v>
      </c>
      <c r="D221" s="57">
        <f>IF($A221="","",IF(_xlfn.XLOOKUP($A221,Korrelation!$D$4:$D$1197,Korrelation!G$4:G$1197,"-",0)="-",0,MATCH(_xlfn.XLOOKUP($A221,Korrelation!$D$4:$D$1197,Korrelation!G$4:G$1197,"",0),DMAV_Modell!$G$6:$G$677,0)))</f>
        <v>0</v>
      </c>
      <c r="E221" s="57">
        <f>IF($A221="","",IF(_xlfn.XLOOKUP($A221,Korrelation!$D$4:$D$1197,Korrelation!H$4:H$1197,"-",0)="-",0,MATCH(_xlfn.XLOOKUP($A221,Korrelation!$D$4:$D$1197,Korrelation!H$4:H$1197,"",0),DMAV_Dienste!$F$6:$F$140,0)))</f>
        <v>97</v>
      </c>
      <c r="F221" s="57">
        <f>IF($A221="","",IF(_xlfn.XLOOKUP($A221,Korrelation!$D$4:$D$1197,Korrelation!I$4:I$1197,"-",0)="-",0,MATCH(_xlfn.XLOOKUP($A221,Korrelation!$D$4:$D$1197,Korrelation!I$4:I$1197,"",0),DMAV_Dienste!$F$6:$F$140,0)))</f>
        <v>0</v>
      </c>
      <c r="G221" s="57">
        <f>IF($A221="","",IF(_xlfn.XLOOKUP($A221,Korrelation!$D$4:$D$1197,Korrelation!J$4:J$1197,"-",0)="-",0,MATCH(_xlfn.XLOOKUP($A221,Korrelation!$D$4:$D$1197,Korrelation!J$4:J$1197,"",0),DMAV_Dienste!$F$6:$F$140,0)))</f>
        <v>0</v>
      </c>
      <c r="H221" s="57">
        <f>IF($A221="","",IF(_xlfn.XLOOKUP($A221,Korrelation!$D$4:$D$1197,Korrelation!K$4:K$1197,"-",0)="-",0,MATCH(_xlfn.XLOOKUP($A221,Korrelation!$D$4:$D$1197,Korrelation!K$4:K$1197,"",0),'DM01-AV-CH'!$A$6:$A$834,0)))</f>
        <v>114</v>
      </c>
      <c r="J221" s="54" t="str" cm="1">
        <f t="array" aca="1" ref="J221" ca="1">IF(B221=0,IF(E221=0,"",HYPERLINK("#"&amp;RIGHT(CELL("adresse",OFFSET(DMAV_Dienste!$M$6,E221-1,0)),LEN(CELL("adresse",OFFSET(DMAV_Dienste!$M$6,E221-1,0)))-FIND("]",CELL("adresse",OFFSET(DMAV_Dienste!$M$6,E221-1,0)))),"Dienst")),HYPERLINK("#"&amp;RIGHT(CELL("adresse",OFFSET(DMAV_Modell!$N$6,B221-1,0)),LEN(CELL("adresse",OFFSET(DMAV_Modell!$N$6,B221-1,0)))-FIND("]",CELL("adresse",OFFSET(DMAV_Modell!$N$6,B221-1,0)))),"Modell"))</f>
        <v>Dienst</v>
      </c>
      <c r="K221" s="61" t="str" cm="1">
        <f t="array" ref="K221">IF($B221=0,IF($E221=0,"",IF(INDEX(DMAV_Dienste!P$6:P$140,$E221)="","",INDEX(DMAV_Dienste!P$6:P$140,$E221))),IF(INDEX(DMAV_Modell!Q$6:Q$838,$B221)="","",INDEX(DMAV_Modell!Q$6:Q$838,$B221)))</f>
        <v>CLASS</v>
      </c>
      <c r="L221" s="62" t="str" cm="1">
        <f t="array" ref="L221">IF($B221=0,IF($E221=0,"",IF(INDEX(DMAV_Dienste!O$6:O$140,$E221)="","",INDEX(DMAV_Dienste!O$6:O$140,$E221))),IF(INDEX(DMAV_Modell!P$6:P$838,$B221)="","",INDEX(DMAV_Modell!P$6:P$838,$B221)))</f>
        <v>FPDS2</v>
      </c>
      <c r="M221" s="62" t="str" cm="1">
        <f t="array" ref="M221">IF($B221=0,IF($E221=0,"",IF(INDEX(DMAV_Dienste!Q$6:Q$140,$E221)="","",INDEX(DMAV_Dienste!Q$6:Q$140,$E221))),IF(INDEX(DMAV_Modell!R$6:R$838,$B221)="","",INDEX(DMAV_Modell!R$6:R$838,$B221)))</f>
        <v>FixpunktVersion</v>
      </c>
      <c r="N221" s="62" t="str" cm="1">
        <f t="array" ref="N221">IF($B221=0,IF($E221=0,"",IF(INDEX(DMAV_Dienste!T$6:T$140,$E221)="","",INDEX(DMAV_Dienste!T$6:T$140,$E221))),IF(INDEX(DMAV_Modell!U$6:U$838,$B221)="","",INDEX(DMAV_Modell!U$6:U$838,$B221)))</f>
        <v>Geometrie</v>
      </c>
      <c r="O221" s="63" t="str" cm="1">
        <f t="array" aca="1" ref="O221" ca="1">IF(C221=0,IF(F221=0,"",HYPERLINK("#"&amp;RIGHT(CELL("adresse",OFFSET(DMAV_Dienste!$M$6,F221-1,0)),LEN(CELL("adresse",OFFSET(DMAV_Dienste!$M$6,F221-1,0)))-FIND("]",CELL("adresse",OFFSET(DMAV_Dienste!$M$6,F221-1,0)))),"Structure")),HYPERLINK("#"&amp;RIGHT(CELL("adresse",OFFSET(DMAV_Modell!$N$6,C221-1,0)),LEN(CELL("adresse",OFFSET(DMAV_Modell!$N$6,C221-1,0)))-FIND("]",CELL("adresse",OFFSET(DMAV_Modell!$N$6,C221-1,0)))),"Structure"))</f>
        <v/>
      </c>
      <c r="P221" s="64" t="str" cm="1">
        <f t="array" aca="1" ref="P221" ca="1">IF(D221=0,IF(G221=0,"",HYPERLINK("#"&amp;RIGHT(CELL("adresse",OFFSET(DMAV_Dienste!$M$6,G221-1,0)),LEN(CELL("adresse",OFFSET(DMAV_Dienste!$M$6,G221-1,0)))-FIND("]",CELL("adresse",OFFSET(DMAV_Dienste!$M$6,G221-1,0)))),"Substructure")),HYPERLINK("#"&amp;RIGHT(CELL("adresse",OFFSET(DMAV_Modell!$N$6,D221-1,0)),LEN(CELL("adresse",OFFSET(DMAV_Modell!$N$6,D221-1,0)))-FIND("]",CELL("adresse",OFFSET(DMAV_Modell!$N$6,D221-1,0)))),"Substructure"))</f>
        <v/>
      </c>
      <c r="R221" s="80"/>
      <c r="T221" s="93"/>
      <c r="U221" s="94"/>
      <c r="V221" s="95"/>
      <c r="W221" s="96"/>
      <c r="Y221" s="85" t="s">
        <v>5875</v>
      </c>
      <c r="Z221" s="86"/>
      <c r="AA221" s="87"/>
      <c r="AB221" s="88"/>
      <c r="AD221" s="77"/>
      <c r="AF221" s="54" t="str" cm="1">
        <f t="array" aca="1" ref="AF221" ca="1">IF(H221=0,"",HYPERLINK("#"&amp;RIGHT(CELL("adresse",OFFSET('DM01-AV-CH'!$G$6,H221-1,0)),LEN(CELL("adresse",OFFSET('DM01-AV-CH'!$G$6,H221-1,0)))-FIND("]",CELL("adresse",OFFSET('DM01-AV-CH'!$G$6,H221-1,0)))),"Modell"))</f>
        <v>Modell</v>
      </c>
      <c r="AG221" s="72" t="str" cm="1">
        <f t="array" ref="AG221">IF($H221=0,"",IF(INDEX('DM01-AV-CH'!G$6:G$834,$H221)="","",INDEX('DM01-AV-CH'!G$6:G$834,$H221)))</f>
        <v>FixpunkteKategorie2</v>
      </c>
      <c r="AH221" s="73" t="str" cm="1">
        <f t="array" ref="AH221">IF($H221=0,"",IF(INDEX('DM01-AV-CH'!H$6:H$834,$H221)="","",INDEX('DM01-AV-CH'!H$6:H$834,$H221)))</f>
        <v>HFP2</v>
      </c>
      <c r="AI221" s="74" t="str" cm="1">
        <f t="array" ref="AI221">IF($H221=0,"",IF(INDEX('DM01-AV-CH'!I$6:I$834,$H221)="","",INDEX('DM01-AV-CH'!I$6:I$834,$H221)))</f>
        <v>Geometrie</v>
      </c>
    </row>
    <row r="222" spans="1:35" x14ac:dyDescent="0.25">
      <c r="A222" s="57">
        <v>217</v>
      </c>
      <c r="B222" s="57">
        <f>IF($A222="","",IF(_xlfn.XLOOKUP($A222,Korrelation!$D$4:$D$1197,Korrelation!E$4:E$1197,"-",0)="-",0,MATCH(_xlfn.XLOOKUP($A222,Korrelation!$D$4:$D$1197,Korrelation!E$4:E$1197,"",0),DMAV_Modell!$G$6:$G$677,0)))</f>
        <v>0</v>
      </c>
      <c r="C222" s="57">
        <f>IF($A222="","",IF(_xlfn.XLOOKUP($A222,Korrelation!$D$4:$D$1197,Korrelation!F$4:F$1197,"-",0)="-",0,MATCH(_xlfn.XLOOKUP($A222,Korrelation!$D$4:$D$1197,Korrelation!F$4:F$1197,"",0),DMAV_Modell!$G$6:$G$677,0)))</f>
        <v>0</v>
      </c>
      <c r="D222" s="57">
        <f>IF($A222="","",IF(_xlfn.XLOOKUP($A222,Korrelation!$D$4:$D$1197,Korrelation!G$4:G$1197,"-",0)="-",0,MATCH(_xlfn.XLOOKUP($A222,Korrelation!$D$4:$D$1197,Korrelation!G$4:G$1197,"",0),DMAV_Modell!$G$6:$G$677,0)))</f>
        <v>0</v>
      </c>
      <c r="E222" s="57">
        <f>IF($A222="","",IF(_xlfn.XLOOKUP($A222,Korrelation!$D$4:$D$1197,Korrelation!H$4:H$1197,"-",0)="-",0,MATCH(_xlfn.XLOOKUP($A222,Korrelation!$D$4:$D$1197,Korrelation!H$4:H$1197,"",0),DMAV_Dienste!$F$6:$F$140,0)))</f>
        <v>98</v>
      </c>
      <c r="F222" s="57">
        <f>IF($A222="","",IF(_xlfn.XLOOKUP($A222,Korrelation!$D$4:$D$1197,Korrelation!I$4:I$1197,"-",0)="-",0,MATCH(_xlfn.XLOOKUP($A222,Korrelation!$D$4:$D$1197,Korrelation!I$4:I$1197,"",0),DMAV_Dienste!$F$6:$F$140,0)))</f>
        <v>0</v>
      </c>
      <c r="G222" s="57">
        <f>IF($A222="","",IF(_xlfn.XLOOKUP($A222,Korrelation!$D$4:$D$1197,Korrelation!J$4:J$1197,"-",0)="-",0,MATCH(_xlfn.XLOOKUP($A222,Korrelation!$D$4:$D$1197,Korrelation!J$4:J$1197,"",0),DMAV_Dienste!$F$6:$F$140,0)))</f>
        <v>0</v>
      </c>
      <c r="H222" s="57">
        <f>IF($A222="","",IF(_xlfn.XLOOKUP($A222,Korrelation!$D$4:$D$1197,Korrelation!K$4:K$1197,"-",0)="-",0,MATCH(_xlfn.XLOOKUP($A222,Korrelation!$D$4:$D$1197,Korrelation!K$4:K$1197,"",0),'DM01-AV-CH'!$A$6:$A$834,0)))</f>
        <v>0</v>
      </c>
      <c r="J222" s="54" t="str" cm="1">
        <f t="array" aca="1" ref="J222" ca="1">IF(B222=0,IF(E222=0,"",HYPERLINK("#"&amp;RIGHT(CELL("adresse",OFFSET(DMAV_Dienste!$M$6,E222-1,0)),LEN(CELL("adresse",OFFSET(DMAV_Dienste!$M$6,E222-1,0)))-FIND("]",CELL("adresse",OFFSET(DMAV_Dienste!$M$6,E222-1,0)))),"Dienst")),HYPERLINK("#"&amp;RIGHT(CELL("adresse",OFFSET(DMAV_Modell!$N$6,B222-1,0)),LEN(CELL("adresse",OFFSET(DMAV_Modell!$N$6,B222-1,0)))-FIND("]",CELL("adresse",OFFSET(DMAV_Modell!$N$6,B222-1,0)))),"Modell"))</f>
        <v>Dienst</v>
      </c>
      <c r="K222" s="61" t="str" cm="1">
        <f t="array" ref="K222">IF($B222=0,IF($E222=0,"",IF(INDEX(DMAV_Dienste!P$6:P$140,$E222)="","",INDEX(DMAV_Dienste!P$6:P$140,$E222))),IF(INDEX(DMAV_Modell!Q$6:Q$838,$B222)="","",INDEX(DMAV_Modell!Q$6:Q$838,$B222)))</f>
        <v>CLASS</v>
      </c>
      <c r="L222" s="62" t="str" cm="1">
        <f t="array" ref="L222">IF($B222=0,IF($E222=0,"",IF(INDEX(DMAV_Dienste!O$6:O$140,$E222)="","",INDEX(DMAV_Dienste!O$6:O$140,$E222))),IF(INDEX(DMAV_Modell!P$6:P$838,$B222)="","",INDEX(DMAV_Modell!P$6:P$838,$B222)))</f>
        <v>FPDS2</v>
      </c>
      <c r="M222" s="62" t="str" cm="1">
        <f t="array" ref="M222">IF($B222=0,IF($E222=0,"",IF(INDEX(DMAV_Dienste!Q$6:Q$140,$E222)="","",INDEX(DMAV_Dienste!Q$6:Q$140,$E222))),IF(INDEX(DMAV_Modell!R$6:R$838,$B222)="","",INDEX(DMAV_Modell!R$6:R$838,$B222)))</f>
        <v>FixpunktVersion</v>
      </c>
      <c r="N222" s="62" t="str" cm="1">
        <f t="array" ref="N222">IF($B222=0,IF($E222=0,"",IF(INDEX(DMAV_Dienste!T$6:T$140,$E222)="","",INDEX(DMAV_Dienste!T$6:T$140,$E222))),IF(INDEX(DMAV_Modell!U$6:U$838,$B222)="","",INDEX(DMAV_Modell!U$6:U$838,$B222)))</f>
        <v>UntergegangenAm</v>
      </c>
      <c r="O222" s="63" t="str" cm="1">
        <f t="array" aca="1" ref="O222" ca="1">IF(C222=0,IF(F222=0,"",HYPERLINK("#"&amp;RIGHT(CELL("adresse",OFFSET(DMAV_Dienste!$M$6,F222-1,0)),LEN(CELL("adresse",OFFSET(DMAV_Dienste!$M$6,F222-1,0)))-FIND("]",CELL("adresse",OFFSET(DMAV_Dienste!$M$6,F222-1,0)))),"Structure")),HYPERLINK("#"&amp;RIGHT(CELL("adresse",OFFSET(DMAV_Modell!$N$6,C222-1,0)),LEN(CELL("adresse",OFFSET(DMAV_Modell!$N$6,C222-1,0)))-FIND("]",CELL("adresse",OFFSET(DMAV_Modell!$N$6,C222-1,0)))),"Structure"))</f>
        <v/>
      </c>
      <c r="P222" s="64" t="str" cm="1">
        <f t="array" aca="1" ref="P222" ca="1">IF(D222=0,IF(G222=0,"",HYPERLINK("#"&amp;RIGHT(CELL("adresse",OFFSET(DMAV_Dienste!$M$6,G222-1,0)),LEN(CELL("adresse",OFFSET(DMAV_Dienste!$M$6,G222-1,0)))-FIND("]",CELL("adresse",OFFSET(DMAV_Dienste!$M$6,G222-1,0)))),"Substructure")),HYPERLINK("#"&amp;RIGHT(CELL("adresse",OFFSET(DMAV_Modell!$N$6,D222-1,0)),LEN(CELL("adresse",OFFSET(DMAV_Modell!$N$6,D222-1,0)))-FIND("]",CELL("adresse",OFFSET(DMAV_Modell!$N$6,D222-1,0)))),"Substructure"))</f>
        <v/>
      </c>
      <c r="R222" s="80"/>
      <c r="T222" s="93"/>
      <c r="U222" s="94"/>
      <c r="V222" s="95"/>
      <c r="W222" s="96"/>
      <c r="Y222" s="85"/>
      <c r="Z222" s="86"/>
      <c r="AA222" s="87"/>
      <c r="AB222" s="88"/>
      <c r="AD222" s="77"/>
      <c r="AF222" s="54" t="str" cm="1">
        <f t="array" aca="1" ref="AF222" ca="1">IF(H222=0,"",HYPERLINK("#"&amp;RIGHT(CELL("adresse",OFFSET('DM01-AV-CH'!$G$6,H222-1,0)),LEN(CELL("adresse",OFFSET('DM01-AV-CH'!$G$6,H222-1,0)))-FIND("]",CELL("adresse",OFFSET('DM01-AV-CH'!$G$6,H222-1,0)))),"Modell"))</f>
        <v/>
      </c>
      <c r="AG222" s="72" t="str" cm="1">
        <f t="array" ref="AG222">IF($H222=0,"",IF(INDEX('DM01-AV-CH'!G$6:G$834,$H222)="","",INDEX('DM01-AV-CH'!G$6:G$834,$H222)))</f>
        <v/>
      </c>
      <c r="AH222" s="73" t="str" cm="1">
        <f t="array" ref="AH222">IF($H222=0,"",IF(INDEX('DM01-AV-CH'!H$6:H$834,$H222)="","",INDEX('DM01-AV-CH'!H$6:H$834,$H222)))</f>
        <v/>
      </c>
      <c r="AI222" s="74" t="str" cm="1">
        <f t="array" ref="AI222">IF($H222=0,"",IF(INDEX('DM01-AV-CH'!I$6:I$834,$H222)="","",INDEX('DM01-AV-CH'!I$6:I$834,$H222)))</f>
        <v/>
      </c>
    </row>
    <row r="223" spans="1:35" ht="28.5" x14ac:dyDescent="0.25">
      <c r="A223" s="57">
        <v>218</v>
      </c>
      <c r="B223" s="57">
        <f>IF($A223="","",IF(_xlfn.XLOOKUP($A223,Korrelation!$D$4:$D$1197,Korrelation!E$4:E$1197,"-",0)="-",0,MATCH(_xlfn.XLOOKUP($A223,Korrelation!$D$4:$D$1197,Korrelation!E$4:E$1197,"",0),DMAV_Modell!$G$6:$G$677,0)))</f>
        <v>0</v>
      </c>
      <c r="C223" s="57">
        <f>IF($A223="","",IF(_xlfn.XLOOKUP($A223,Korrelation!$D$4:$D$1197,Korrelation!F$4:F$1197,"-",0)="-",0,MATCH(_xlfn.XLOOKUP($A223,Korrelation!$D$4:$D$1197,Korrelation!F$4:F$1197,"",0),DMAV_Modell!$G$6:$G$677,0)))</f>
        <v>0</v>
      </c>
      <c r="D223" s="57">
        <f>IF($A223="","",IF(_xlfn.XLOOKUP($A223,Korrelation!$D$4:$D$1197,Korrelation!G$4:G$1197,"-",0)="-",0,MATCH(_xlfn.XLOOKUP($A223,Korrelation!$D$4:$D$1197,Korrelation!G$4:G$1197,"",0),DMAV_Modell!$G$6:$G$677,0)))</f>
        <v>0</v>
      </c>
      <c r="E223" s="57">
        <f>IF($A223="","",IF(_xlfn.XLOOKUP($A223,Korrelation!$D$4:$D$1197,Korrelation!H$4:H$1197,"-",0)="-",0,MATCH(_xlfn.XLOOKUP($A223,Korrelation!$D$4:$D$1197,Korrelation!H$4:H$1197,"",0),DMAV_Dienste!$F$6:$F$140,0)))</f>
        <v>99</v>
      </c>
      <c r="F223" s="57">
        <f>IF($A223="","",IF(_xlfn.XLOOKUP($A223,Korrelation!$D$4:$D$1197,Korrelation!I$4:I$1197,"-",0)="-",0,MATCH(_xlfn.XLOOKUP($A223,Korrelation!$D$4:$D$1197,Korrelation!I$4:I$1197,"",0),DMAV_Dienste!$F$6:$F$140,0)))</f>
        <v>0</v>
      </c>
      <c r="G223" s="57">
        <f>IF($A223="","",IF(_xlfn.XLOOKUP($A223,Korrelation!$D$4:$D$1197,Korrelation!J$4:J$1197,"-",0)="-",0,MATCH(_xlfn.XLOOKUP($A223,Korrelation!$D$4:$D$1197,Korrelation!J$4:J$1197,"",0),DMAV_Dienste!$F$6:$F$140,0)))</f>
        <v>0</v>
      </c>
      <c r="H223" s="57">
        <f>IF($A223="","",IF(_xlfn.XLOOKUP($A223,Korrelation!$D$4:$D$1197,Korrelation!K$4:K$1197,"-",0)="-",0,MATCH(_xlfn.XLOOKUP($A223,Korrelation!$D$4:$D$1197,Korrelation!K$4:K$1197,"",0),'DM01-AV-CH'!$A$6:$A$834,0)))</f>
        <v>118</v>
      </c>
      <c r="J223" s="54" t="str" cm="1">
        <f t="array" aca="1" ref="J223" ca="1">IF(B223=0,IF(E223=0,"",HYPERLINK("#"&amp;RIGHT(CELL("adresse",OFFSET(DMAV_Dienste!$M$6,E223-1,0)),LEN(CELL("adresse",OFFSET(DMAV_Dienste!$M$6,E223-1,0)))-FIND("]",CELL("adresse",OFFSET(DMAV_Dienste!$M$6,E223-1,0)))),"Dienst")),HYPERLINK("#"&amp;RIGHT(CELL("adresse",OFFSET(DMAV_Modell!$N$6,B223-1,0)),LEN(CELL("adresse",OFFSET(DMAV_Modell!$N$6,B223-1,0)))-FIND("]",CELL("adresse",OFFSET(DMAV_Modell!$N$6,B223-1,0)))),"Modell"))</f>
        <v>Dienst</v>
      </c>
      <c r="K223" s="61" t="str" cm="1">
        <f t="array" ref="K223">IF($B223=0,IF($E223=0,"",IF(INDEX(DMAV_Dienste!P$6:P$140,$E223)="","",INDEX(DMAV_Dienste!P$6:P$140,$E223))),IF(INDEX(DMAV_Modell!Q$6:Q$838,$B223)="","",INDEX(DMAV_Modell!Q$6:Q$838,$B223)))</f>
        <v>CLASS</v>
      </c>
      <c r="L223" s="62" t="str" cm="1">
        <f t="array" ref="L223">IF($B223=0,IF($E223=0,"",IF(INDEX(DMAV_Dienste!O$6:O$140,$E223)="","",INDEX(DMAV_Dienste!O$6:O$140,$E223))),IF(INDEX(DMAV_Modell!P$6:P$838,$B223)="","",INDEX(DMAV_Modell!P$6:P$838,$B223)))</f>
        <v>FPDS2</v>
      </c>
      <c r="M223" s="62" t="str" cm="1">
        <f t="array" ref="M223">IF($B223=0,IF($E223=0,"",IF(INDEX(DMAV_Dienste!Q$6:Q$140,$E223)="","",INDEX(DMAV_Dienste!Q$6:Q$140,$E223))),IF(INDEX(DMAV_Modell!R$6:R$838,$B223)="","",INDEX(DMAV_Modell!R$6:R$838,$B223)))</f>
        <v>FixpunktVersion</v>
      </c>
      <c r="N223" s="62" t="str" cm="1">
        <f t="array" ref="N223">IF($B223=0,IF($E223=0,"",IF(INDEX(DMAV_Dienste!T$6:T$140,$E223)="","",INDEX(DMAV_Dienste!T$6:T$140,$E223))),IF(INDEX(DMAV_Modell!U$6:U$838,$B223)="","",INDEX(DMAV_Modell!U$6:U$838,$B223)))</f>
        <v>HoeheGen</v>
      </c>
      <c r="O223" s="63" t="str" cm="1">
        <f t="array" aca="1" ref="O223" ca="1">IF(C223=0,IF(F223=0,"",HYPERLINK("#"&amp;RIGHT(CELL("adresse",OFFSET(DMAV_Dienste!$M$6,F223-1,0)),LEN(CELL("adresse",OFFSET(DMAV_Dienste!$M$6,F223-1,0)))-FIND("]",CELL("adresse",OFFSET(DMAV_Dienste!$M$6,F223-1,0)))),"Structure")),HYPERLINK("#"&amp;RIGHT(CELL("adresse",OFFSET(DMAV_Modell!$N$6,C223-1,0)),LEN(CELL("adresse",OFFSET(DMAV_Modell!$N$6,C223-1,0)))-FIND("]",CELL("adresse",OFFSET(DMAV_Modell!$N$6,C223-1,0)))),"Structure"))</f>
        <v/>
      </c>
      <c r="P223" s="64" t="str" cm="1">
        <f t="array" aca="1" ref="P223" ca="1">IF(D223=0,IF(G223=0,"",HYPERLINK("#"&amp;RIGHT(CELL("adresse",OFFSET(DMAV_Dienste!$M$6,G223-1,0)),LEN(CELL("adresse",OFFSET(DMAV_Dienste!$M$6,G223-1,0)))-FIND("]",CELL("adresse",OFFSET(DMAV_Dienste!$M$6,G223-1,0)))),"Substructure")),HYPERLINK("#"&amp;RIGHT(CELL("adresse",OFFSET(DMAV_Modell!$N$6,D223-1,0)),LEN(CELL("adresse",OFFSET(DMAV_Modell!$N$6,D223-1,0)))-FIND("]",CELL("adresse",OFFSET(DMAV_Modell!$N$6,D223-1,0)))),"Substructure"))</f>
        <v/>
      </c>
      <c r="R223" s="80"/>
      <c r="T223" s="93"/>
      <c r="U223" s="94"/>
      <c r="V223" s="95"/>
      <c r="W223" s="96"/>
      <c r="Y223" s="85" t="s">
        <v>5875</v>
      </c>
      <c r="Z223" s="86"/>
      <c r="AA223" s="87"/>
      <c r="AB223" s="88"/>
      <c r="AD223" s="77"/>
      <c r="AF223" s="54" t="str" cm="1">
        <f t="array" aca="1" ref="AF223" ca="1">IF(H223=0,"",HYPERLINK("#"&amp;RIGHT(CELL("adresse",OFFSET('DM01-AV-CH'!$G$6,H223-1,0)),LEN(CELL("adresse",OFFSET('DM01-AV-CH'!$G$6,H223-1,0)))-FIND("]",CELL("adresse",OFFSET('DM01-AV-CH'!$G$6,H223-1,0)))),"Modell"))</f>
        <v>Modell</v>
      </c>
      <c r="AG223" s="72" t="str" cm="1">
        <f t="array" ref="AG223">IF($H223=0,"",IF(INDEX('DM01-AV-CH'!G$6:G$834,$H223)="","",INDEX('DM01-AV-CH'!G$6:G$834,$H223)))</f>
        <v>FixpunkteKategorie2</v>
      </c>
      <c r="AH223" s="73" t="str" cm="1">
        <f t="array" ref="AH223">IF($H223=0,"",IF(INDEX('DM01-AV-CH'!H$6:H$834,$H223)="","",INDEX('DM01-AV-CH'!H$6:H$834,$H223)))</f>
        <v>HFP2</v>
      </c>
      <c r="AI223" s="74" t="str" cm="1">
        <f t="array" ref="AI223">IF($H223=0,"",IF(INDEX('DM01-AV-CH'!I$6:I$834,$H223)="","",INDEX('DM01-AV-CH'!I$6:I$834,$H223)))</f>
        <v>HoeheGen</v>
      </c>
    </row>
    <row r="224" spans="1:35" ht="28.5" x14ac:dyDescent="0.25">
      <c r="A224" s="57">
        <v>219</v>
      </c>
      <c r="B224" s="57">
        <f>IF($A224="","",IF(_xlfn.XLOOKUP($A224,Korrelation!$D$4:$D$1197,Korrelation!E$4:E$1197,"-",0)="-",0,MATCH(_xlfn.XLOOKUP($A224,Korrelation!$D$4:$D$1197,Korrelation!E$4:E$1197,"",0),DMAV_Modell!$G$6:$G$677,0)))</f>
        <v>0</v>
      </c>
      <c r="C224" s="57">
        <f>IF($A224="","",IF(_xlfn.XLOOKUP($A224,Korrelation!$D$4:$D$1197,Korrelation!F$4:F$1197,"-",0)="-",0,MATCH(_xlfn.XLOOKUP($A224,Korrelation!$D$4:$D$1197,Korrelation!F$4:F$1197,"",0),DMAV_Modell!$G$6:$G$677,0)))</f>
        <v>0</v>
      </c>
      <c r="D224" s="57">
        <f>IF($A224="","",IF(_xlfn.XLOOKUP($A224,Korrelation!$D$4:$D$1197,Korrelation!G$4:G$1197,"-",0)="-",0,MATCH(_xlfn.XLOOKUP($A224,Korrelation!$D$4:$D$1197,Korrelation!G$4:G$1197,"",0),DMAV_Modell!$G$6:$G$677,0)))</f>
        <v>0</v>
      </c>
      <c r="E224" s="57">
        <f>IF($A224="","",IF(_xlfn.XLOOKUP($A224,Korrelation!$D$4:$D$1197,Korrelation!H$4:H$1197,"-",0)="-",0,MATCH(_xlfn.XLOOKUP($A224,Korrelation!$D$4:$D$1197,Korrelation!H$4:H$1197,"",0),DMAV_Dienste!$F$6:$F$140,0)))</f>
        <v>100</v>
      </c>
      <c r="F224" s="57">
        <f>IF($A224="","",IF(_xlfn.XLOOKUP($A224,Korrelation!$D$4:$D$1197,Korrelation!I$4:I$1197,"-",0)="-",0,MATCH(_xlfn.XLOOKUP($A224,Korrelation!$D$4:$D$1197,Korrelation!I$4:I$1197,"",0),DMAV_Dienste!$F$6:$F$140,0)))</f>
        <v>0</v>
      </c>
      <c r="G224" s="57">
        <f>IF($A224="","",IF(_xlfn.XLOOKUP($A224,Korrelation!$D$4:$D$1197,Korrelation!J$4:J$1197,"-",0)="-",0,MATCH(_xlfn.XLOOKUP($A224,Korrelation!$D$4:$D$1197,Korrelation!J$4:J$1197,"",0),DMAV_Dienste!$F$6:$F$140,0)))</f>
        <v>0</v>
      </c>
      <c r="H224" s="57">
        <f>IF($A224="","",IF(_xlfn.XLOOKUP($A224,Korrelation!$D$4:$D$1197,Korrelation!K$4:K$1197,"-",0)="-",0,MATCH(_xlfn.XLOOKUP($A224,Korrelation!$D$4:$D$1197,Korrelation!K$4:K$1197,"",0),'DM01-AV-CH'!$A$6:$A$834,0)))</f>
        <v>115</v>
      </c>
      <c r="J224" s="54" t="str" cm="1">
        <f t="array" aca="1" ref="J224" ca="1">IF(B224=0,IF(E224=0,"",HYPERLINK("#"&amp;RIGHT(CELL("adresse",OFFSET(DMAV_Dienste!$M$6,E224-1,0)),LEN(CELL("adresse",OFFSET(DMAV_Dienste!$M$6,E224-1,0)))-FIND("]",CELL("adresse",OFFSET(DMAV_Dienste!$M$6,E224-1,0)))),"Dienst")),HYPERLINK("#"&amp;RIGHT(CELL("adresse",OFFSET(DMAV_Modell!$N$6,B224-1,0)),LEN(CELL("adresse",OFFSET(DMAV_Modell!$N$6,B224-1,0)))-FIND("]",CELL("adresse",OFFSET(DMAV_Modell!$N$6,B224-1,0)))),"Modell"))</f>
        <v>Dienst</v>
      </c>
      <c r="K224" s="61" t="str" cm="1">
        <f t="array" ref="K224">IF($B224=0,IF($E224=0,"",IF(INDEX(DMAV_Dienste!P$6:P$140,$E224)="","",INDEX(DMAV_Dienste!P$6:P$140,$E224))),IF(INDEX(DMAV_Modell!Q$6:Q$838,$B224)="","",INDEX(DMAV_Modell!Q$6:Q$838,$B224)))</f>
        <v>CLASS</v>
      </c>
      <c r="L224" s="62" t="str" cm="1">
        <f t="array" ref="L224">IF($B224=0,IF($E224=0,"",IF(INDEX(DMAV_Dienste!O$6:O$140,$E224)="","",INDEX(DMAV_Dienste!O$6:O$140,$E224))),IF(INDEX(DMAV_Modell!P$6:P$838,$B224)="","",INDEX(DMAV_Modell!P$6:P$838,$B224)))</f>
        <v>FPDS2</v>
      </c>
      <c r="M224" s="62" t="str" cm="1">
        <f t="array" ref="M224">IF($B224=0,IF($E224=0,"",IF(INDEX(DMAV_Dienste!Q$6:Q$140,$E224)="","",INDEX(DMAV_Dienste!Q$6:Q$140,$E224))),IF(INDEX(DMAV_Modell!R$6:R$838,$B224)="","",INDEX(DMAV_Modell!R$6:R$838,$B224)))</f>
        <v>FixpunktVersion</v>
      </c>
      <c r="N224" s="62" t="str" cm="1">
        <f t="array" ref="N224">IF($B224=0,IF($E224=0,"",IF(INDEX(DMAV_Dienste!T$6:T$140,$E224)="","",INDEX(DMAV_Dienste!T$6:T$140,$E224))),IF(INDEX(DMAV_Modell!U$6:U$838,$B224)="","",INDEX(DMAV_Modell!U$6:U$838,$B224)))</f>
        <v>HoeheGeom</v>
      </c>
      <c r="O224" s="63" t="str" cm="1">
        <f t="array" aca="1" ref="O224" ca="1">IF(C224=0,IF(F224=0,"",HYPERLINK("#"&amp;RIGHT(CELL("adresse",OFFSET(DMAV_Dienste!$M$6,F224-1,0)),LEN(CELL("adresse",OFFSET(DMAV_Dienste!$M$6,F224-1,0)))-FIND("]",CELL("adresse",OFFSET(DMAV_Dienste!$M$6,F224-1,0)))),"Structure")),HYPERLINK("#"&amp;RIGHT(CELL("adresse",OFFSET(DMAV_Modell!$N$6,C224-1,0)),LEN(CELL("adresse",OFFSET(DMAV_Modell!$N$6,C224-1,0)))-FIND("]",CELL("adresse",OFFSET(DMAV_Modell!$N$6,C224-1,0)))),"Structure"))</f>
        <v/>
      </c>
      <c r="P224" s="64" t="str" cm="1">
        <f t="array" aca="1" ref="P224" ca="1">IF(D224=0,IF(G224=0,"",HYPERLINK("#"&amp;RIGHT(CELL("adresse",OFFSET(DMAV_Dienste!$M$6,G224-1,0)),LEN(CELL("adresse",OFFSET(DMAV_Dienste!$M$6,G224-1,0)))-FIND("]",CELL("adresse",OFFSET(DMAV_Dienste!$M$6,G224-1,0)))),"Substructure")),HYPERLINK("#"&amp;RIGHT(CELL("adresse",OFFSET(DMAV_Modell!$N$6,D224-1,0)),LEN(CELL("adresse",OFFSET(DMAV_Modell!$N$6,D224-1,0)))-FIND("]",CELL("adresse",OFFSET(DMAV_Modell!$N$6,D224-1,0)))),"Substructure"))</f>
        <v/>
      </c>
      <c r="R224" s="80"/>
      <c r="T224" s="93"/>
      <c r="U224" s="94"/>
      <c r="V224" s="95"/>
      <c r="W224" s="96"/>
      <c r="Y224" s="85" t="s">
        <v>5875</v>
      </c>
      <c r="Z224" s="86"/>
      <c r="AA224" s="87"/>
      <c r="AB224" s="88"/>
      <c r="AD224" s="77"/>
      <c r="AF224" s="54" t="str" cm="1">
        <f t="array" aca="1" ref="AF224" ca="1">IF(H224=0,"",HYPERLINK("#"&amp;RIGHT(CELL("adresse",OFFSET('DM01-AV-CH'!$G$6,H224-1,0)),LEN(CELL("adresse",OFFSET('DM01-AV-CH'!$G$6,H224-1,0)))-FIND("]",CELL("adresse",OFFSET('DM01-AV-CH'!$G$6,H224-1,0)))),"Modell"))</f>
        <v>Modell</v>
      </c>
      <c r="AG224" s="72" t="str" cm="1">
        <f t="array" ref="AG224">IF($H224=0,"",IF(INDEX('DM01-AV-CH'!G$6:G$834,$H224)="","",INDEX('DM01-AV-CH'!G$6:G$834,$H224)))</f>
        <v>FixpunkteKategorie2</v>
      </c>
      <c r="AH224" s="73" t="str" cm="1">
        <f t="array" ref="AH224">IF($H224=0,"",IF(INDEX('DM01-AV-CH'!H$6:H$834,$H224)="","",INDEX('DM01-AV-CH'!H$6:H$834,$H224)))</f>
        <v>HFP2</v>
      </c>
      <c r="AI224" s="74" t="str" cm="1">
        <f t="array" ref="AI224">IF($H224=0,"",IF(INDEX('DM01-AV-CH'!I$6:I$834,$H224)="","",INDEX('DM01-AV-CH'!I$6:I$834,$H224)))</f>
        <v>HoeheGeom</v>
      </c>
    </row>
    <row r="225" spans="1:35" ht="28.5" x14ac:dyDescent="0.25">
      <c r="A225" s="57">
        <v>220</v>
      </c>
      <c r="B225" s="57">
        <f>IF($A225="","",IF(_xlfn.XLOOKUP($A225,Korrelation!$D$4:$D$1197,Korrelation!E$4:E$1197,"-",0)="-",0,MATCH(_xlfn.XLOOKUP($A225,Korrelation!$D$4:$D$1197,Korrelation!E$4:E$1197,"",0),DMAV_Modell!$G$6:$G$677,0)))</f>
        <v>0</v>
      </c>
      <c r="C225" s="57">
        <f>IF($A225="","",IF(_xlfn.XLOOKUP($A225,Korrelation!$D$4:$D$1197,Korrelation!F$4:F$1197,"-",0)="-",0,MATCH(_xlfn.XLOOKUP($A225,Korrelation!$D$4:$D$1197,Korrelation!F$4:F$1197,"",0),DMAV_Modell!$G$6:$G$677,0)))</f>
        <v>0</v>
      </c>
      <c r="D225" s="57">
        <f>IF($A225="","",IF(_xlfn.XLOOKUP($A225,Korrelation!$D$4:$D$1197,Korrelation!G$4:G$1197,"-",0)="-",0,MATCH(_xlfn.XLOOKUP($A225,Korrelation!$D$4:$D$1197,Korrelation!G$4:G$1197,"",0),DMAV_Modell!$G$6:$G$677,0)))</f>
        <v>0</v>
      </c>
      <c r="E225" s="57">
        <f>IF($A225="","",IF(_xlfn.XLOOKUP($A225,Korrelation!$D$4:$D$1197,Korrelation!H$4:H$1197,"-",0)="-",0,MATCH(_xlfn.XLOOKUP($A225,Korrelation!$D$4:$D$1197,Korrelation!H$4:H$1197,"",0),DMAV_Dienste!$F$6:$F$140,0)))</f>
        <v>101</v>
      </c>
      <c r="F225" s="57">
        <f>IF($A225="","",IF(_xlfn.XLOOKUP($A225,Korrelation!$D$4:$D$1197,Korrelation!I$4:I$1197,"-",0)="-",0,MATCH(_xlfn.XLOOKUP($A225,Korrelation!$D$4:$D$1197,Korrelation!I$4:I$1197,"",0),DMAV_Dienste!$F$6:$F$140,0)))</f>
        <v>0</v>
      </c>
      <c r="G225" s="57">
        <f>IF($A225="","",IF(_xlfn.XLOOKUP($A225,Korrelation!$D$4:$D$1197,Korrelation!J$4:J$1197,"-",0)="-",0,MATCH(_xlfn.XLOOKUP($A225,Korrelation!$D$4:$D$1197,Korrelation!J$4:J$1197,"",0),DMAV_Dienste!$F$6:$F$140,0)))</f>
        <v>0</v>
      </c>
      <c r="H225" s="57">
        <f>IF($A225="","",IF(_xlfn.XLOOKUP($A225,Korrelation!$D$4:$D$1197,Korrelation!K$4:K$1197,"-",0)="-",0,MATCH(_xlfn.XLOOKUP($A225,Korrelation!$D$4:$D$1197,Korrelation!K$4:K$1197,"",0),'DM01-AV-CH'!$A$6:$A$834,0)))</f>
        <v>119</v>
      </c>
      <c r="J225" s="54" t="str" cm="1">
        <f t="array" aca="1" ref="J225" ca="1">IF(B225=0,IF(E225=0,"",HYPERLINK("#"&amp;RIGHT(CELL("adresse",OFFSET(DMAV_Dienste!$M$6,E225-1,0)),LEN(CELL("adresse",OFFSET(DMAV_Dienste!$M$6,E225-1,0)))-FIND("]",CELL("adresse",OFFSET(DMAV_Dienste!$M$6,E225-1,0)))),"Dienst")),HYPERLINK("#"&amp;RIGHT(CELL("adresse",OFFSET(DMAV_Modell!$N$6,B225-1,0)),LEN(CELL("adresse",OFFSET(DMAV_Modell!$N$6,B225-1,0)))-FIND("]",CELL("adresse",OFFSET(DMAV_Modell!$N$6,B225-1,0)))),"Modell"))</f>
        <v>Dienst</v>
      </c>
      <c r="K225" s="61" t="str" cm="1">
        <f t="array" ref="K225">IF($B225=0,IF($E225=0,"",IF(INDEX(DMAV_Dienste!P$6:P$140,$E225)="","",INDEX(DMAV_Dienste!P$6:P$140,$E225))),IF(INDEX(DMAV_Modell!Q$6:Q$838,$B225)="","",INDEX(DMAV_Modell!Q$6:Q$838,$B225)))</f>
        <v>CLASS</v>
      </c>
      <c r="L225" s="62" t="str" cm="1">
        <f t="array" ref="L225">IF($B225=0,IF($E225=0,"",IF(INDEX(DMAV_Dienste!O$6:O$140,$E225)="","",INDEX(DMAV_Dienste!O$6:O$140,$E225))),IF(INDEX(DMAV_Modell!P$6:P$838,$B225)="","",INDEX(DMAV_Modell!P$6:P$838,$B225)))</f>
        <v>FPDS2</v>
      </c>
      <c r="M225" s="62" t="str" cm="1">
        <f t="array" ref="M225">IF($B225=0,IF($E225=0,"",IF(INDEX(DMAV_Dienste!Q$6:Q$140,$E225)="","",INDEX(DMAV_Dienste!Q$6:Q$140,$E225))),IF(INDEX(DMAV_Modell!R$6:R$838,$B225)="","",INDEX(DMAV_Modell!R$6:R$838,$B225)))</f>
        <v>FixpunktVersion</v>
      </c>
      <c r="N225" s="62" t="str" cm="1">
        <f t="array" ref="N225">IF($B225=0,IF($E225=0,"",IF(INDEX(DMAV_Dienste!T$6:T$140,$E225)="","",INDEX(DMAV_Dienste!T$6:T$140,$E225))),IF(INDEX(DMAV_Modell!U$6:U$838,$B225)="","",INDEX(DMAV_Modell!U$6:U$838,$B225)))</f>
        <v>HoeheZuv</v>
      </c>
      <c r="O225" s="63" t="str" cm="1">
        <f t="array" aca="1" ref="O225" ca="1">IF(C225=0,IF(F225=0,"",HYPERLINK("#"&amp;RIGHT(CELL("adresse",OFFSET(DMAV_Dienste!$M$6,F225-1,0)),LEN(CELL("adresse",OFFSET(DMAV_Dienste!$M$6,F225-1,0)))-FIND("]",CELL("adresse",OFFSET(DMAV_Dienste!$M$6,F225-1,0)))),"Structure")),HYPERLINK("#"&amp;RIGHT(CELL("adresse",OFFSET(DMAV_Modell!$N$6,C225-1,0)),LEN(CELL("adresse",OFFSET(DMAV_Modell!$N$6,C225-1,0)))-FIND("]",CELL("adresse",OFFSET(DMAV_Modell!$N$6,C225-1,0)))),"Structure"))</f>
        <v/>
      </c>
      <c r="P225" s="64" t="str" cm="1">
        <f t="array" aca="1" ref="P225" ca="1">IF(D225=0,IF(G225=0,"",HYPERLINK("#"&amp;RIGHT(CELL("adresse",OFFSET(DMAV_Dienste!$M$6,G225-1,0)),LEN(CELL("adresse",OFFSET(DMAV_Dienste!$M$6,G225-1,0)))-FIND("]",CELL("adresse",OFFSET(DMAV_Dienste!$M$6,G225-1,0)))),"Substructure")),HYPERLINK("#"&amp;RIGHT(CELL("adresse",OFFSET(DMAV_Modell!$N$6,D225-1,0)),LEN(CELL("adresse",OFFSET(DMAV_Modell!$N$6,D225-1,0)))-FIND("]",CELL("adresse",OFFSET(DMAV_Modell!$N$6,D225-1,0)))),"Substructure"))</f>
        <v/>
      </c>
      <c r="R225" s="80"/>
      <c r="T225" s="93"/>
      <c r="U225" s="94"/>
      <c r="V225" s="95"/>
      <c r="W225" s="96"/>
      <c r="Y225" s="85" t="s">
        <v>5875</v>
      </c>
      <c r="Z225" s="86"/>
      <c r="AA225" s="87"/>
      <c r="AB225" s="88"/>
      <c r="AD225" s="77"/>
      <c r="AF225" s="54" t="str" cm="1">
        <f t="array" aca="1" ref="AF225" ca="1">IF(H225=0,"",HYPERLINK("#"&amp;RIGHT(CELL("adresse",OFFSET('DM01-AV-CH'!$G$6,H225-1,0)),LEN(CELL("adresse",OFFSET('DM01-AV-CH'!$G$6,H225-1,0)))-FIND("]",CELL("adresse",OFFSET('DM01-AV-CH'!$G$6,H225-1,0)))),"Modell"))</f>
        <v>Modell</v>
      </c>
      <c r="AG225" s="72" t="str" cm="1">
        <f t="array" ref="AG225">IF($H225=0,"",IF(INDEX('DM01-AV-CH'!G$6:G$834,$H225)="","",INDEX('DM01-AV-CH'!G$6:G$834,$H225)))</f>
        <v>FixpunkteKategorie2</v>
      </c>
      <c r="AH225" s="73" t="str" cm="1">
        <f t="array" ref="AH225">IF($H225=0,"",IF(INDEX('DM01-AV-CH'!H$6:H$834,$H225)="","",INDEX('DM01-AV-CH'!H$6:H$834,$H225)))</f>
        <v>HFP2</v>
      </c>
      <c r="AI225" s="74" t="str" cm="1">
        <f t="array" ref="AI225">IF($H225=0,"",IF(INDEX('DM01-AV-CH'!I$6:I$834,$H225)="","",INDEX('DM01-AV-CH'!I$6:I$834,$H225)))</f>
        <v>HoeheZuv</v>
      </c>
    </row>
    <row r="226" spans="1:35" x14ac:dyDescent="0.25">
      <c r="A226" s="57">
        <v>221</v>
      </c>
      <c r="B226" s="57">
        <f>IF($A226="","",IF(_xlfn.XLOOKUP($A226,Korrelation!$D$4:$D$1197,Korrelation!E$4:E$1197,"-",0)="-",0,MATCH(_xlfn.XLOOKUP($A226,Korrelation!$D$4:$D$1197,Korrelation!E$4:E$1197,"",0),DMAV_Modell!$G$6:$G$677,0)))</f>
        <v>0</v>
      </c>
      <c r="C226" s="57">
        <f>IF($A226="","",IF(_xlfn.XLOOKUP($A226,Korrelation!$D$4:$D$1197,Korrelation!F$4:F$1197,"-",0)="-",0,MATCH(_xlfn.XLOOKUP($A226,Korrelation!$D$4:$D$1197,Korrelation!F$4:F$1197,"",0),DMAV_Modell!$G$6:$G$677,0)))</f>
        <v>0</v>
      </c>
      <c r="D226" s="57">
        <f>IF($A226="","",IF(_xlfn.XLOOKUP($A226,Korrelation!$D$4:$D$1197,Korrelation!G$4:G$1197,"-",0)="-",0,MATCH(_xlfn.XLOOKUP($A226,Korrelation!$D$4:$D$1197,Korrelation!G$4:G$1197,"",0),DMAV_Modell!$G$6:$G$677,0)))</f>
        <v>0</v>
      </c>
      <c r="E226" s="57">
        <f>IF($A226="","",IF(_xlfn.XLOOKUP($A226,Korrelation!$D$4:$D$1197,Korrelation!H$4:H$1197,"-",0)="-",0,MATCH(_xlfn.XLOOKUP($A226,Korrelation!$D$4:$D$1197,Korrelation!H$4:H$1197,"",0),DMAV_Dienste!$F$6:$F$140,0)))</f>
        <v>102</v>
      </c>
      <c r="F226" s="57">
        <f>IF($A226="","",IF(_xlfn.XLOOKUP($A226,Korrelation!$D$4:$D$1197,Korrelation!I$4:I$1197,"-",0)="-",0,MATCH(_xlfn.XLOOKUP($A226,Korrelation!$D$4:$D$1197,Korrelation!I$4:I$1197,"",0),DMAV_Dienste!$F$6:$F$140,0)))</f>
        <v>0</v>
      </c>
      <c r="G226" s="57">
        <f>IF($A226="","",IF(_xlfn.XLOOKUP($A226,Korrelation!$D$4:$D$1197,Korrelation!J$4:J$1197,"-",0)="-",0,MATCH(_xlfn.XLOOKUP($A226,Korrelation!$D$4:$D$1197,Korrelation!J$4:J$1197,"",0),DMAV_Dienste!$F$6:$F$140,0)))</f>
        <v>0</v>
      </c>
      <c r="H226" s="57">
        <f>IF($A226="","",IF(_xlfn.XLOOKUP($A226,Korrelation!$D$4:$D$1197,Korrelation!K$4:K$1197,"-",0)="-",0,MATCH(_xlfn.XLOOKUP($A226,Korrelation!$D$4:$D$1197,Korrelation!K$4:K$1197,"",0),'DM01-AV-CH'!$A$6:$A$834,0)))</f>
        <v>0</v>
      </c>
      <c r="J226" s="54" t="str" cm="1">
        <f t="array" aca="1" ref="J226" ca="1">IF(B226=0,IF(E226=0,"",HYPERLINK("#"&amp;RIGHT(CELL("adresse",OFFSET(DMAV_Dienste!$M$6,E226-1,0)),LEN(CELL("adresse",OFFSET(DMAV_Dienste!$M$6,E226-1,0)))-FIND("]",CELL("adresse",OFFSET(DMAV_Dienste!$M$6,E226-1,0)))),"Dienst")),HYPERLINK("#"&amp;RIGHT(CELL("adresse",OFFSET(DMAV_Modell!$N$6,B226-1,0)),LEN(CELL("adresse",OFFSET(DMAV_Modell!$N$6,B226-1,0)))-FIND("]",CELL("adresse",OFFSET(DMAV_Modell!$N$6,B226-1,0)))),"Modell"))</f>
        <v>Dienst</v>
      </c>
      <c r="K226" s="61" t="str" cm="1">
        <f t="array" ref="K226">IF($B226=0,IF($E226=0,"",IF(INDEX(DMAV_Dienste!P$6:P$140,$E226)="","",INDEX(DMAV_Dienste!P$6:P$140,$E226))),IF(INDEX(DMAV_Modell!Q$6:Q$838,$B226)="","",INDEX(DMAV_Modell!Q$6:Q$838,$B226)))</f>
        <v>CLASS</v>
      </c>
      <c r="L226" s="62" t="str" cm="1">
        <f t="array" ref="L226">IF($B226=0,IF($E226=0,"",IF(INDEX(DMAV_Dienste!O$6:O$140,$E226)="","",INDEX(DMAV_Dienste!O$6:O$140,$E226))),IF(INDEX(DMAV_Modell!P$6:P$838,$B226)="","",INDEX(DMAV_Modell!P$6:P$838,$B226)))</f>
        <v>FPDS2</v>
      </c>
      <c r="M226" s="62" t="str" cm="1">
        <f t="array" ref="M226">IF($B226=0,IF($E226=0,"",IF(INDEX(DMAV_Dienste!Q$6:Q$140,$E226)="","",INDEX(DMAV_Dienste!Q$6:Q$140,$E226))),IF(INDEX(DMAV_Modell!R$6:R$838,$B226)="","",INDEX(DMAV_Modell!R$6:R$838,$B226)))</f>
        <v>FixpunktVersion</v>
      </c>
      <c r="N226" s="62" t="str" cm="1">
        <f t="array" ref="N226">IF($B226=0,IF($E226=0,"",IF(INDEX(DMAV_Dienste!T$6:T$140,$E226)="","",INDEX(DMAV_Dienste!T$6:T$140,$E226))),IF(INDEX(DMAV_Modell!U$6:U$838,$B226)="","",INDEX(DMAV_Modell!U$6:U$838,$B226)))</f>
        <v>Koordinatenbestimmung</v>
      </c>
      <c r="O226" s="63" t="str" cm="1">
        <f t="array" aca="1" ref="O226" ca="1">IF(C226=0,IF(F226=0,"",HYPERLINK("#"&amp;RIGHT(CELL("adresse",OFFSET(DMAV_Dienste!$M$6,F226-1,0)),LEN(CELL("adresse",OFFSET(DMAV_Dienste!$M$6,F226-1,0)))-FIND("]",CELL("adresse",OFFSET(DMAV_Dienste!$M$6,F226-1,0)))),"Structure")),HYPERLINK("#"&amp;RIGHT(CELL("adresse",OFFSET(DMAV_Modell!$N$6,C226-1,0)),LEN(CELL("adresse",OFFSET(DMAV_Modell!$N$6,C226-1,0)))-FIND("]",CELL("adresse",OFFSET(DMAV_Modell!$N$6,C226-1,0)))),"Structure"))</f>
        <v/>
      </c>
      <c r="P226" s="64" t="str" cm="1">
        <f t="array" aca="1" ref="P226" ca="1">IF(D226=0,IF(G226=0,"",HYPERLINK("#"&amp;RIGHT(CELL("adresse",OFFSET(DMAV_Dienste!$M$6,G226-1,0)),LEN(CELL("adresse",OFFSET(DMAV_Dienste!$M$6,G226-1,0)))-FIND("]",CELL("adresse",OFFSET(DMAV_Dienste!$M$6,G226-1,0)))),"Substructure")),HYPERLINK("#"&amp;RIGHT(CELL("adresse",OFFSET(DMAV_Modell!$N$6,D226-1,0)),LEN(CELL("adresse",OFFSET(DMAV_Modell!$N$6,D226-1,0)))-FIND("]",CELL("adresse",OFFSET(DMAV_Modell!$N$6,D226-1,0)))),"Substructure"))</f>
        <v/>
      </c>
      <c r="R226" s="80"/>
      <c r="T226" s="93"/>
      <c r="U226" s="94"/>
      <c r="V226" s="95"/>
      <c r="W226" s="96"/>
      <c r="Y226" s="85"/>
      <c r="Z226" s="86"/>
      <c r="AA226" s="87"/>
      <c r="AB226" s="88"/>
      <c r="AD226" s="77"/>
      <c r="AF226" s="54" t="str" cm="1">
        <f t="array" aca="1" ref="AF226" ca="1">IF(H226=0,"",HYPERLINK("#"&amp;RIGHT(CELL("adresse",OFFSET('DM01-AV-CH'!$G$6,H226-1,0)),LEN(CELL("adresse",OFFSET('DM01-AV-CH'!$G$6,H226-1,0)))-FIND("]",CELL("adresse",OFFSET('DM01-AV-CH'!$G$6,H226-1,0)))),"Modell"))</f>
        <v/>
      </c>
      <c r="AG226" s="72" t="str" cm="1">
        <f t="array" ref="AG226">IF($H226=0,"",IF(INDEX('DM01-AV-CH'!G$6:G$834,$H226)="","",INDEX('DM01-AV-CH'!G$6:G$834,$H226)))</f>
        <v/>
      </c>
      <c r="AH226" s="73" t="str" cm="1">
        <f t="array" ref="AH226">IF($H226=0,"",IF(INDEX('DM01-AV-CH'!H$6:H$834,$H226)="","",INDEX('DM01-AV-CH'!H$6:H$834,$H226)))</f>
        <v/>
      </c>
      <c r="AI226" s="74" t="str" cm="1">
        <f t="array" ref="AI226">IF($H226=0,"",IF(INDEX('DM01-AV-CH'!I$6:I$834,$H226)="","",INDEX('DM01-AV-CH'!I$6:I$834,$H226)))</f>
        <v/>
      </c>
    </row>
    <row r="227" spans="1:35" ht="28.5" x14ac:dyDescent="0.25">
      <c r="A227" s="57">
        <v>222</v>
      </c>
      <c r="B227" s="57">
        <f>IF($A227="","",IF(_xlfn.XLOOKUP($A227,Korrelation!$D$4:$D$1197,Korrelation!E$4:E$1197,"-",0)="-",0,MATCH(_xlfn.XLOOKUP($A227,Korrelation!$D$4:$D$1197,Korrelation!E$4:E$1197,"",0),DMAV_Modell!$G$6:$G$677,0)))</f>
        <v>0</v>
      </c>
      <c r="C227" s="57">
        <f>IF($A227="","",IF(_xlfn.XLOOKUP($A227,Korrelation!$D$4:$D$1197,Korrelation!F$4:F$1197,"-",0)="-",0,MATCH(_xlfn.XLOOKUP($A227,Korrelation!$D$4:$D$1197,Korrelation!F$4:F$1197,"",0),DMAV_Modell!$G$6:$G$677,0)))</f>
        <v>0</v>
      </c>
      <c r="D227" s="57">
        <f>IF($A227="","",IF(_xlfn.XLOOKUP($A227,Korrelation!$D$4:$D$1197,Korrelation!G$4:G$1197,"-",0)="-",0,MATCH(_xlfn.XLOOKUP($A227,Korrelation!$D$4:$D$1197,Korrelation!G$4:G$1197,"",0),DMAV_Modell!$G$6:$G$677,0)))</f>
        <v>0</v>
      </c>
      <c r="E227" s="57">
        <f>IF($A227="","",IF(_xlfn.XLOOKUP($A227,Korrelation!$D$4:$D$1197,Korrelation!H$4:H$1197,"-",0)="-",0,MATCH(_xlfn.XLOOKUP($A227,Korrelation!$D$4:$D$1197,Korrelation!H$4:H$1197,"",0),DMAV_Dienste!$F$6:$F$140,0)))</f>
        <v>103</v>
      </c>
      <c r="F227" s="57">
        <f>IF($A227="","",IF(_xlfn.XLOOKUP($A227,Korrelation!$D$4:$D$1197,Korrelation!I$4:I$1197,"-",0)="-",0,MATCH(_xlfn.XLOOKUP($A227,Korrelation!$D$4:$D$1197,Korrelation!I$4:I$1197,"",0),DMAV_Dienste!$F$6:$F$140,0)))</f>
        <v>0</v>
      </c>
      <c r="G227" s="57">
        <f>IF($A227="","",IF(_xlfn.XLOOKUP($A227,Korrelation!$D$4:$D$1197,Korrelation!J$4:J$1197,"-",0)="-",0,MATCH(_xlfn.XLOOKUP($A227,Korrelation!$D$4:$D$1197,Korrelation!J$4:J$1197,"",0),DMAV_Dienste!$F$6:$F$140,0)))</f>
        <v>0</v>
      </c>
      <c r="H227" s="57">
        <f>IF($A227="","",IF(_xlfn.XLOOKUP($A227,Korrelation!$D$4:$D$1197,Korrelation!K$4:K$1197,"-",0)="-",0,MATCH(_xlfn.XLOOKUP($A227,Korrelation!$D$4:$D$1197,Korrelation!K$4:K$1197,"",0),'DM01-AV-CH'!$A$6:$A$834,0)))</f>
        <v>116</v>
      </c>
      <c r="J227" s="54" t="str" cm="1">
        <f t="array" aca="1" ref="J227" ca="1">IF(B227=0,IF(E227=0,"",HYPERLINK("#"&amp;RIGHT(CELL("adresse",OFFSET(DMAV_Dienste!$M$6,E227-1,0)),LEN(CELL("adresse",OFFSET(DMAV_Dienste!$M$6,E227-1,0)))-FIND("]",CELL("adresse",OFFSET(DMAV_Dienste!$M$6,E227-1,0)))),"Dienst")),HYPERLINK("#"&amp;RIGHT(CELL("adresse",OFFSET(DMAV_Modell!$N$6,B227-1,0)),LEN(CELL("adresse",OFFSET(DMAV_Modell!$N$6,B227-1,0)))-FIND("]",CELL("adresse",OFFSET(DMAV_Modell!$N$6,B227-1,0)))),"Modell"))</f>
        <v>Dienst</v>
      </c>
      <c r="K227" s="61" t="str" cm="1">
        <f t="array" ref="K227">IF($B227=0,IF($E227=0,"",IF(INDEX(DMAV_Dienste!P$6:P$140,$E227)="","",INDEX(DMAV_Dienste!P$6:P$140,$E227))),IF(INDEX(DMAV_Modell!Q$6:Q$838,$B227)="","",INDEX(DMAV_Modell!Q$6:Q$838,$B227)))</f>
        <v>CLASS</v>
      </c>
      <c r="L227" s="62" t="str" cm="1">
        <f t="array" ref="L227">IF($B227=0,IF($E227=0,"",IF(INDEX(DMAV_Dienste!O$6:O$140,$E227)="","",INDEX(DMAV_Dienste!O$6:O$140,$E227))),IF(INDEX(DMAV_Modell!P$6:P$838,$B227)="","",INDEX(DMAV_Modell!P$6:P$838,$B227)))</f>
        <v>FPDS2</v>
      </c>
      <c r="M227" s="62" t="str" cm="1">
        <f t="array" ref="M227">IF($B227=0,IF($E227=0,"",IF(INDEX(DMAV_Dienste!Q$6:Q$140,$E227)="","",INDEX(DMAV_Dienste!Q$6:Q$140,$E227))),IF(INDEX(DMAV_Modell!R$6:R$838,$B227)="","",INDEX(DMAV_Modell!R$6:R$838,$B227)))</f>
        <v>FixpunktVersion</v>
      </c>
      <c r="N227" s="62" t="str" cm="1">
        <f t="array" ref="N227">IF($B227=0,IF($E227=0,"",IF(INDEX(DMAV_Dienste!T$6:T$140,$E227)="","",INDEX(DMAV_Dienste!T$6:T$140,$E227))),IF(INDEX(DMAV_Modell!U$6:U$838,$B227)="","",INDEX(DMAV_Modell!U$6:U$838,$B227)))</f>
        <v>LageGen</v>
      </c>
      <c r="O227" s="63" t="str" cm="1">
        <f t="array" aca="1" ref="O227" ca="1">IF(C227=0,IF(F227=0,"",HYPERLINK("#"&amp;RIGHT(CELL("adresse",OFFSET(DMAV_Dienste!$M$6,F227-1,0)),LEN(CELL("adresse",OFFSET(DMAV_Dienste!$M$6,F227-1,0)))-FIND("]",CELL("adresse",OFFSET(DMAV_Dienste!$M$6,F227-1,0)))),"Structure")),HYPERLINK("#"&amp;RIGHT(CELL("adresse",OFFSET(DMAV_Modell!$N$6,C227-1,0)),LEN(CELL("adresse",OFFSET(DMAV_Modell!$N$6,C227-1,0)))-FIND("]",CELL("adresse",OFFSET(DMAV_Modell!$N$6,C227-1,0)))),"Structure"))</f>
        <v/>
      </c>
      <c r="P227" s="64" t="str" cm="1">
        <f t="array" aca="1" ref="P227" ca="1">IF(D227=0,IF(G227=0,"",HYPERLINK("#"&amp;RIGHT(CELL("adresse",OFFSET(DMAV_Dienste!$M$6,G227-1,0)),LEN(CELL("adresse",OFFSET(DMAV_Dienste!$M$6,G227-1,0)))-FIND("]",CELL("adresse",OFFSET(DMAV_Dienste!$M$6,G227-1,0)))),"Substructure")),HYPERLINK("#"&amp;RIGHT(CELL("adresse",OFFSET(DMAV_Modell!$N$6,D227-1,0)),LEN(CELL("adresse",OFFSET(DMAV_Modell!$N$6,D227-1,0)))-FIND("]",CELL("adresse",OFFSET(DMAV_Modell!$N$6,D227-1,0)))),"Substructure"))</f>
        <v/>
      </c>
      <c r="R227" s="80"/>
      <c r="T227" s="93"/>
      <c r="U227" s="94"/>
      <c r="V227" s="95"/>
      <c r="W227" s="96"/>
      <c r="Y227" s="85" t="s">
        <v>5875</v>
      </c>
      <c r="Z227" s="86"/>
      <c r="AA227" s="87"/>
      <c r="AB227" s="88"/>
      <c r="AD227" s="77"/>
      <c r="AF227" s="54" t="str" cm="1">
        <f t="array" aca="1" ref="AF227" ca="1">IF(H227=0,"",HYPERLINK("#"&amp;RIGHT(CELL("adresse",OFFSET('DM01-AV-CH'!$G$6,H227-1,0)),LEN(CELL("adresse",OFFSET('DM01-AV-CH'!$G$6,H227-1,0)))-FIND("]",CELL("adresse",OFFSET('DM01-AV-CH'!$G$6,H227-1,0)))),"Modell"))</f>
        <v>Modell</v>
      </c>
      <c r="AG227" s="72" t="str" cm="1">
        <f t="array" ref="AG227">IF($H227=0,"",IF(INDEX('DM01-AV-CH'!G$6:G$834,$H227)="","",INDEX('DM01-AV-CH'!G$6:G$834,$H227)))</f>
        <v>FixpunkteKategorie2</v>
      </c>
      <c r="AH227" s="73" t="str" cm="1">
        <f t="array" ref="AH227">IF($H227=0,"",IF(INDEX('DM01-AV-CH'!H$6:H$834,$H227)="","",INDEX('DM01-AV-CH'!H$6:H$834,$H227)))</f>
        <v>HFP2</v>
      </c>
      <c r="AI227" s="74" t="str" cm="1">
        <f t="array" ref="AI227">IF($H227=0,"",IF(INDEX('DM01-AV-CH'!I$6:I$834,$H227)="","",INDEX('DM01-AV-CH'!I$6:I$834,$H227)))</f>
        <v>LageGen</v>
      </c>
    </row>
    <row r="228" spans="1:35" ht="28.5" x14ac:dyDescent="0.25">
      <c r="A228" s="57">
        <v>223</v>
      </c>
      <c r="B228" s="57">
        <f>IF($A228="","",IF(_xlfn.XLOOKUP($A228,Korrelation!$D$4:$D$1197,Korrelation!E$4:E$1197,"-",0)="-",0,MATCH(_xlfn.XLOOKUP($A228,Korrelation!$D$4:$D$1197,Korrelation!E$4:E$1197,"",0),DMAV_Modell!$G$6:$G$677,0)))</f>
        <v>0</v>
      </c>
      <c r="C228" s="57">
        <f>IF($A228="","",IF(_xlfn.XLOOKUP($A228,Korrelation!$D$4:$D$1197,Korrelation!F$4:F$1197,"-",0)="-",0,MATCH(_xlfn.XLOOKUP($A228,Korrelation!$D$4:$D$1197,Korrelation!F$4:F$1197,"",0),DMAV_Modell!$G$6:$G$677,0)))</f>
        <v>0</v>
      </c>
      <c r="D228" s="57">
        <f>IF($A228="","",IF(_xlfn.XLOOKUP($A228,Korrelation!$D$4:$D$1197,Korrelation!G$4:G$1197,"-",0)="-",0,MATCH(_xlfn.XLOOKUP($A228,Korrelation!$D$4:$D$1197,Korrelation!G$4:G$1197,"",0),DMAV_Modell!$G$6:$G$677,0)))</f>
        <v>0</v>
      </c>
      <c r="E228" s="57">
        <f>IF($A228="","",IF(_xlfn.XLOOKUP($A228,Korrelation!$D$4:$D$1197,Korrelation!H$4:H$1197,"-",0)="-",0,MATCH(_xlfn.XLOOKUP($A228,Korrelation!$D$4:$D$1197,Korrelation!H$4:H$1197,"",0),DMAV_Dienste!$F$6:$F$140,0)))</f>
        <v>104</v>
      </c>
      <c r="F228" s="57">
        <f>IF($A228="","",IF(_xlfn.XLOOKUP($A228,Korrelation!$D$4:$D$1197,Korrelation!I$4:I$1197,"-",0)="-",0,MATCH(_xlfn.XLOOKUP($A228,Korrelation!$D$4:$D$1197,Korrelation!I$4:I$1197,"",0),DMAV_Dienste!$F$6:$F$140,0)))</f>
        <v>0</v>
      </c>
      <c r="G228" s="57">
        <f>IF($A228="","",IF(_xlfn.XLOOKUP($A228,Korrelation!$D$4:$D$1197,Korrelation!J$4:J$1197,"-",0)="-",0,MATCH(_xlfn.XLOOKUP($A228,Korrelation!$D$4:$D$1197,Korrelation!J$4:J$1197,"",0),DMAV_Dienste!$F$6:$F$140,0)))</f>
        <v>0</v>
      </c>
      <c r="H228" s="57">
        <f>IF($A228="","",IF(_xlfn.XLOOKUP($A228,Korrelation!$D$4:$D$1197,Korrelation!K$4:K$1197,"-",0)="-",0,MATCH(_xlfn.XLOOKUP($A228,Korrelation!$D$4:$D$1197,Korrelation!K$4:K$1197,"",0),'DM01-AV-CH'!$A$6:$A$834,0)))</f>
        <v>117</v>
      </c>
      <c r="J228" s="54" t="str" cm="1">
        <f t="array" aca="1" ref="J228" ca="1">IF(B228=0,IF(E228=0,"",HYPERLINK("#"&amp;RIGHT(CELL("adresse",OFFSET(DMAV_Dienste!$M$6,E228-1,0)),LEN(CELL("adresse",OFFSET(DMAV_Dienste!$M$6,E228-1,0)))-FIND("]",CELL("adresse",OFFSET(DMAV_Dienste!$M$6,E228-1,0)))),"Dienst")),HYPERLINK("#"&amp;RIGHT(CELL("adresse",OFFSET(DMAV_Modell!$N$6,B228-1,0)),LEN(CELL("adresse",OFFSET(DMAV_Modell!$N$6,B228-1,0)))-FIND("]",CELL("adresse",OFFSET(DMAV_Modell!$N$6,B228-1,0)))),"Modell"))</f>
        <v>Dienst</v>
      </c>
      <c r="K228" s="61" t="str" cm="1">
        <f t="array" ref="K228">IF($B228=0,IF($E228=0,"",IF(INDEX(DMAV_Dienste!P$6:P$140,$E228)="","",INDEX(DMAV_Dienste!P$6:P$140,$E228))),IF(INDEX(DMAV_Modell!Q$6:Q$838,$B228)="","",INDEX(DMAV_Modell!Q$6:Q$838,$B228)))</f>
        <v>CLASS</v>
      </c>
      <c r="L228" s="62" t="str" cm="1">
        <f t="array" ref="L228">IF($B228=0,IF($E228=0,"",IF(INDEX(DMAV_Dienste!O$6:O$140,$E228)="","",INDEX(DMAV_Dienste!O$6:O$140,$E228))),IF(INDEX(DMAV_Modell!P$6:P$838,$B228)="","",INDEX(DMAV_Modell!P$6:P$838,$B228)))</f>
        <v>FPDS2</v>
      </c>
      <c r="M228" s="62" t="str" cm="1">
        <f t="array" ref="M228">IF($B228=0,IF($E228=0,"",IF(INDEX(DMAV_Dienste!Q$6:Q$140,$E228)="","",INDEX(DMAV_Dienste!Q$6:Q$140,$E228))),IF(INDEX(DMAV_Modell!R$6:R$838,$B228)="","",INDEX(DMAV_Modell!R$6:R$838,$B228)))</f>
        <v>FixpunktVersion</v>
      </c>
      <c r="N228" s="62" t="str" cm="1">
        <f t="array" ref="N228">IF($B228=0,IF($E228=0,"",IF(INDEX(DMAV_Dienste!T$6:T$140,$E228)="","",INDEX(DMAV_Dienste!T$6:T$140,$E228))),IF(INDEX(DMAV_Modell!U$6:U$838,$B228)="","",INDEX(DMAV_Modell!U$6:U$838,$B228)))</f>
        <v>LageZuv</v>
      </c>
      <c r="O228" s="63" t="str" cm="1">
        <f t="array" aca="1" ref="O228" ca="1">IF(C228=0,IF(F228=0,"",HYPERLINK("#"&amp;RIGHT(CELL("adresse",OFFSET(DMAV_Dienste!$M$6,F228-1,0)),LEN(CELL("adresse",OFFSET(DMAV_Dienste!$M$6,F228-1,0)))-FIND("]",CELL("adresse",OFFSET(DMAV_Dienste!$M$6,F228-1,0)))),"Structure")),HYPERLINK("#"&amp;RIGHT(CELL("adresse",OFFSET(DMAV_Modell!$N$6,C228-1,0)),LEN(CELL("adresse",OFFSET(DMAV_Modell!$N$6,C228-1,0)))-FIND("]",CELL("adresse",OFFSET(DMAV_Modell!$N$6,C228-1,0)))),"Structure"))</f>
        <v/>
      </c>
      <c r="P228" s="64" t="str" cm="1">
        <f t="array" aca="1" ref="P228" ca="1">IF(D228=0,IF(G228=0,"",HYPERLINK("#"&amp;RIGHT(CELL("adresse",OFFSET(DMAV_Dienste!$M$6,G228-1,0)),LEN(CELL("adresse",OFFSET(DMAV_Dienste!$M$6,G228-1,0)))-FIND("]",CELL("adresse",OFFSET(DMAV_Dienste!$M$6,G228-1,0)))),"Substructure")),HYPERLINK("#"&amp;RIGHT(CELL("adresse",OFFSET(DMAV_Modell!$N$6,D228-1,0)),LEN(CELL("adresse",OFFSET(DMAV_Modell!$N$6,D228-1,0)))-FIND("]",CELL("adresse",OFFSET(DMAV_Modell!$N$6,D228-1,0)))),"Substructure"))</f>
        <v/>
      </c>
      <c r="R228" s="80"/>
      <c r="T228" s="93"/>
      <c r="U228" s="94"/>
      <c r="V228" s="95"/>
      <c r="W228" s="96"/>
      <c r="Y228" s="85" t="s">
        <v>5875</v>
      </c>
      <c r="Z228" s="86"/>
      <c r="AA228" s="87"/>
      <c r="AB228" s="88"/>
      <c r="AD228" s="77"/>
      <c r="AF228" s="54" t="str" cm="1">
        <f t="array" aca="1" ref="AF228" ca="1">IF(H228=0,"",HYPERLINK("#"&amp;RIGHT(CELL("adresse",OFFSET('DM01-AV-CH'!$G$6,H228-1,0)),LEN(CELL("adresse",OFFSET('DM01-AV-CH'!$G$6,H228-1,0)))-FIND("]",CELL("adresse",OFFSET('DM01-AV-CH'!$G$6,H228-1,0)))),"Modell"))</f>
        <v>Modell</v>
      </c>
      <c r="AG228" s="72" t="str" cm="1">
        <f t="array" ref="AG228">IF($H228=0,"",IF(INDEX('DM01-AV-CH'!G$6:G$834,$H228)="","",INDEX('DM01-AV-CH'!G$6:G$834,$H228)))</f>
        <v>FixpunkteKategorie2</v>
      </c>
      <c r="AH228" s="73" t="str" cm="1">
        <f t="array" ref="AH228">IF($H228=0,"",IF(INDEX('DM01-AV-CH'!H$6:H$834,$H228)="","",INDEX('DM01-AV-CH'!H$6:H$834,$H228)))</f>
        <v>HFP2</v>
      </c>
      <c r="AI228" s="74" t="str" cm="1">
        <f t="array" ref="AI228">IF($H228=0,"",IF(INDEX('DM01-AV-CH'!I$6:I$834,$H228)="","",INDEX('DM01-AV-CH'!I$6:I$834,$H228)))</f>
        <v>LageZuv</v>
      </c>
    </row>
    <row r="229" spans="1:35" x14ac:dyDescent="0.25">
      <c r="A229" s="57">
        <v>224</v>
      </c>
      <c r="B229" s="57">
        <f>IF($A229="","",IF(_xlfn.XLOOKUP($A229,Korrelation!$D$4:$D$1197,Korrelation!E$4:E$1197,"-",0)="-",0,MATCH(_xlfn.XLOOKUP($A229,Korrelation!$D$4:$D$1197,Korrelation!E$4:E$1197,"",0),DMAV_Modell!$G$6:$G$677,0)))</f>
        <v>0</v>
      </c>
      <c r="C229" s="57">
        <f>IF($A229="","",IF(_xlfn.XLOOKUP($A229,Korrelation!$D$4:$D$1197,Korrelation!F$4:F$1197,"-",0)="-",0,MATCH(_xlfn.XLOOKUP($A229,Korrelation!$D$4:$D$1197,Korrelation!F$4:F$1197,"",0),DMAV_Modell!$G$6:$G$677,0)))</f>
        <v>0</v>
      </c>
      <c r="D229" s="57">
        <f>IF($A229="","",IF(_xlfn.XLOOKUP($A229,Korrelation!$D$4:$D$1197,Korrelation!G$4:G$1197,"-",0)="-",0,MATCH(_xlfn.XLOOKUP($A229,Korrelation!$D$4:$D$1197,Korrelation!G$4:G$1197,"",0),DMAV_Modell!$G$6:$G$677,0)))</f>
        <v>0</v>
      </c>
      <c r="E229" s="57">
        <f>IF($A229="","",IF(_xlfn.XLOOKUP($A229,Korrelation!$D$4:$D$1197,Korrelation!H$4:H$1197,"-",0)="-",0,MATCH(_xlfn.XLOOKUP($A229,Korrelation!$D$4:$D$1197,Korrelation!H$4:H$1197,"",0),DMAV_Dienste!$F$6:$F$140,0)))</f>
        <v>105</v>
      </c>
      <c r="F229" s="57">
        <f>IF($A229="","",IF(_xlfn.XLOOKUP($A229,Korrelation!$D$4:$D$1197,Korrelation!I$4:I$1197,"-",0)="-",0,MATCH(_xlfn.XLOOKUP($A229,Korrelation!$D$4:$D$1197,Korrelation!I$4:I$1197,"",0),DMAV_Dienste!$F$6:$F$140,0)))</f>
        <v>0</v>
      </c>
      <c r="G229" s="57">
        <f>IF($A229="","",IF(_xlfn.XLOOKUP($A229,Korrelation!$D$4:$D$1197,Korrelation!J$4:J$1197,"-",0)="-",0,MATCH(_xlfn.XLOOKUP($A229,Korrelation!$D$4:$D$1197,Korrelation!J$4:J$1197,"",0),DMAV_Dienste!$F$6:$F$140,0)))</f>
        <v>0</v>
      </c>
      <c r="H229" s="57">
        <f>IF($A229="","",IF(_xlfn.XLOOKUP($A229,Korrelation!$D$4:$D$1197,Korrelation!K$4:K$1197,"-",0)="-",0,MATCH(_xlfn.XLOOKUP($A229,Korrelation!$D$4:$D$1197,Korrelation!K$4:K$1197,"",0),'DM01-AV-CH'!$A$6:$A$834,0)))</f>
        <v>0</v>
      </c>
      <c r="J229" s="54" t="str" cm="1">
        <f t="array" aca="1" ref="J229" ca="1">IF(B229=0,IF(E229=0,"",HYPERLINK("#"&amp;RIGHT(CELL("adresse",OFFSET(DMAV_Dienste!$M$6,E229-1,0)),LEN(CELL("adresse",OFFSET(DMAV_Dienste!$M$6,E229-1,0)))-FIND("]",CELL("adresse",OFFSET(DMAV_Dienste!$M$6,E229-1,0)))),"Dienst")),HYPERLINK("#"&amp;RIGHT(CELL("adresse",OFFSET(DMAV_Modell!$N$6,B229-1,0)),LEN(CELL("adresse",OFFSET(DMAV_Modell!$N$6,B229-1,0)))-FIND("]",CELL("adresse",OFFSET(DMAV_Modell!$N$6,B229-1,0)))),"Modell"))</f>
        <v>Dienst</v>
      </c>
      <c r="K229" s="61" t="str" cm="1">
        <f t="array" ref="K229">IF($B229=0,IF($E229=0,"",IF(INDEX(DMAV_Dienste!P$6:P$140,$E229)="","",INDEX(DMAV_Dienste!P$6:P$140,$E229))),IF(INDEX(DMAV_Modell!Q$6:Q$838,$B229)="","",INDEX(DMAV_Modell!Q$6:Q$838,$B229)))</f>
        <v>CLASS</v>
      </c>
      <c r="L229" s="62" t="str" cm="1">
        <f t="array" ref="L229">IF($B229=0,IF($E229=0,"",IF(INDEX(DMAV_Dienste!O$6:O$140,$E229)="","",INDEX(DMAV_Dienste!O$6:O$140,$E229))),IF(INDEX(DMAV_Modell!P$6:P$838,$B229)="","",INDEX(DMAV_Modell!P$6:P$838,$B229)))</f>
        <v>FPDS2</v>
      </c>
      <c r="M229" s="62" t="str" cm="1">
        <f t="array" ref="M229">IF($B229=0,IF($E229=0,"",IF(INDEX(DMAV_Dienste!Q$6:Q$140,$E229)="","",INDEX(DMAV_Dienste!Q$6:Q$140,$E229))),IF(INDEX(DMAV_Modell!R$6:R$838,$B229)="","",INDEX(DMAV_Modell!R$6:R$838,$B229)))</f>
        <v>FixpunktVersion</v>
      </c>
      <c r="N229" s="62" t="str" cm="1">
        <f t="array" ref="N229">IF($B229=0,IF($E229=0,"",IF(INDEX(DMAV_Dienste!T$6:T$140,$E229)="","",INDEX(DMAV_Dienste!T$6:T$140,$E229))),IF(INDEX(DMAV_Modell!U$6:U$838,$B229)="","",INDEX(DMAV_Modell!U$6:U$838,$B229)))</f>
        <v>Punktzeichen</v>
      </c>
      <c r="O229" s="63" t="str" cm="1">
        <f t="array" aca="1" ref="O229" ca="1">IF(C229=0,IF(F229=0,"",HYPERLINK("#"&amp;RIGHT(CELL("adresse",OFFSET(DMAV_Dienste!$M$6,F229-1,0)),LEN(CELL("adresse",OFFSET(DMAV_Dienste!$M$6,F229-1,0)))-FIND("]",CELL("adresse",OFFSET(DMAV_Dienste!$M$6,F229-1,0)))),"Structure")),HYPERLINK("#"&amp;RIGHT(CELL("adresse",OFFSET(DMAV_Modell!$N$6,C229-1,0)),LEN(CELL("adresse",OFFSET(DMAV_Modell!$N$6,C229-1,0)))-FIND("]",CELL("adresse",OFFSET(DMAV_Modell!$N$6,C229-1,0)))),"Structure"))</f>
        <v/>
      </c>
      <c r="P229" s="64" t="str" cm="1">
        <f t="array" aca="1" ref="P229" ca="1">IF(D229=0,IF(G229=0,"",HYPERLINK("#"&amp;RIGHT(CELL("adresse",OFFSET(DMAV_Dienste!$M$6,G229-1,0)),LEN(CELL("adresse",OFFSET(DMAV_Dienste!$M$6,G229-1,0)))-FIND("]",CELL("adresse",OFFSET(DMAV_Dienste!$M$6,G229-1,0)))),"Substructure")),HYPERLINK("#"&amp;RIGHT(CELL("adresse",OFFSET(DMAV_Modell!$N$6,D229-1,0)),LEN(CELL("adresse",OFFSET(DMAV_Modell!$N$6,D229-1,0)))-FIND("]",CELL("adresse",OFFSET(DMAV_Modell!$N$6,D229-1,0)))),"Substructure"))</f>
        <v/>
      </c>
      <c r="R229" s="80"/>
      <c r="T229" s="93"/>
      <c r="U229" s="94"/>
      <c r="V229" s="95"/>
      <c r="W229" s="96"/>
      <c r="Y229" s="85"/>
      <c r="Z229" s="86"/>
      <c r="AA229" s="87"/>
      <c r="AB229" s="88"/>
      <c r="AD229" s="77"/>
      <c r="AF229" s="54" t="str" cm="1">
        <f t="array" aca="1" ref="AF229" ca="1">IF(H229=0,"",HYPERLINK("#"&amp;RIGHT(CELL("adresse",OFFSET('DM01-AV-CH'!$G$6,H229-1,0)),LEN(CELL("adresse",OFFSET('DM01-AV-CH'!$G$6,H229-1,0)))-FIND("]",CELL("adresse",OFFSET('DM01-AV-CH'!$G$6,H229-1,0)))),"Modell"))</f>
        <v/>
      </c>
      <c r="AG229" s="72" t="str" cm="1">
        <f t="array" ref="AG229">IF($H229=0,"",IF(INDEX('DM01-AV-CH'!G$6:G$834,$H229)="","",INDEX('DM01-AV-CH'!G$6:G$834,$H229)))</f>
        <v/>
      </c>
      <c r="AH229" s="73" t="str" cm="1">
        <f t="array" ref="AH229">IF($H229=0,"",IF(INDEX('DM01-AV-CH'!H$6:H$834,$H229)="","",INDEX('DM01-AV-CH'!H$6:H$834,$H229)))</f>
        <v/>
      </c>
      <c r="AI229" s="74" t="str" cm="1">
        <f t="array" ref="AI229">IF($H229=0,"",IF(INDEX('DM01-AV-CH'!I$6:I$834,$H229)="","",INDEX('DM01-AV-CH'!I$6:I$834,$H229)))</f>
        <v/>
      </c>
    </row>
    <row r="230" spans="1:35" x14ac:dyDescent="0.25">
      <c r="A230" s="57">
        <v>225</v>
      </c>
      <c r="B230" s="57">
        <f>IF($A230="","",IF(_xlfn.XLOOKUP($A230,Korrelation!$D$4:$D$1197,Korrelation!E$4:E$1197,"-",0)="-",0,MATCH(_xlfn.XLOOKUP($A230,Korrelation!$D$4:$D$1197,Korrelation!E$4:E$1197,"",0),DMAV_Modell!$G$6:$G$677,0)))</f>
        <v>0</v>
      </c>
      <c r="C230" s="57">
        <f>IF($A230="","",IF(_xlfn.XLOOKUP($A230,Korrelation!$D$4:$D$1197,Korrelation!F$4:F$1197,"-",0)="-",0,MATCH(_xlfn.XLOOKUP($A230,Korrelation!$D$4:$D$1197,Korrelation!F$4:F$1197,"",0),DMAV_Modell!$G$6:$G$677,0)))</f>
        <v>0</v>
      </c>
      <c r="D230" s="57">
        <f>IF($A230="","",IF(_xlfn.XLOOKUP($A230,Korrelation!$D$4:$D$1197,Korrelation!G$4:G$1197,"-",0)="-",0,MATCH(_xlfn.XLOOKUP($A230,Korrelation!$D$4:$D$1197,Korrelation!G$4:G$1197,"",0),DMAV_Modell!$G$6:$G$677,0)))</f>
        <v>0</v>
      </c>
      <c r="E230" s="57">
        <f>IF($A230="","",IF(_xlfn.XLOOKUP($A230,Korrelation!$D$4:$D$1197,Korrelation!H$4:H$1197,"-",0)="-",0,MATCH(_xlfn.XLOOKUP($A230,Korrelation!$D$4:$D$1197,Korrelation!H$4:H$1197,"",0),DMAV_Dienste!$F$6:$F$140,0)))</f>
        <v>106</v>
      </c>
      <c r="F230" s="57">
        <f>IF($A230="","",IF(_xlfn.XLOOKUP($A230,Korrelation!$D$4:$D$1197,Korrelation!I$4:I$1197,"-",0)="-",0,MATCH(_xlfn.XLOOKUP($A230,Korrelation!$D$4:$D$1197,Korrelation!I$4:I$1197,"",0),DMAV_Dienste!$F$6:$F$140,0)))</f>
        <v>0</v>
      </c>
      <c r="G230" s="57">
        <f>IF($A230="","",IF(_xlfn.XLOOKUP($A230,Korrelation!$D$4:$D$1197,Korrelation!J$4:J$1197,"-",0)="-",0,MATCH(_xlfn.XLOOKUP($A230,Korrelation!$D$4:$D$1197,Korrelation!J$4:J$1197,"",0),DMAV_Dienste!$F$6:$F$140,0)))</f>
        <v>0</v>
      </c>
      <c r="H230" s="57">
        <f>IF($A230="","",IF(_xlfn.XLOOKUP($A230,Korrelation!$D$4:$D$1197,Korrelation!K$4:K$1197,"-",0)="-",0,MATCH(_xlfn.XLOOKUP($A230,Korrelation!$D$4:$D$1197,Korrelation!K$4:K$1197,"",0),'DM01-AV-CH'!$A$6:$A$834,0)))</f>
        <v>0</v>
      </c>
      <c r="J230" s="54" t="str" cm="1">
        <f t="array" aca="1" ref="J230" ca="1">IF(B230=0,IF(E230=0,"",HYPERLINK("#"&amp;RIGHT(CELL("adresse",OFFSET(DMAV_Dienste!$M$6,E230-1,0)),LEN(CELL("adresse",OFFSET(DMAV_Dienste!$M$6,E230-1,0)))-FIND("]",CELL("adresse",OFFSET(DMAV_Dienste!$M$6,E230-1,0)))),"Dienst")),HYPERLINK("#"&amp;RIGHT(CELL("adresse",OFFSET(DMAV_Modell!$N$6,B230-1,0)),LEN(CELL("adresse",OFFSET(DMAV_Modell!$N$6,B230-1,0)))-FIND("]",CELL("adresse",OFFSET(DMAV_Modell!$N$6,B230-1,0)))),"Modell"))</f>
        <v>Dienst</v>
      </c>
      <c r="K230" s="61" t="str" cm="1">
        <f t="array" ref="K230">IF($B230=0,IF($E230=0,"",IF(INDEX(DMAV_Dienste!P$6:P$140,$E230)="","",INDEX(DMAV_Dienste!P$6:P$140,$E230))),IF(INDEX(DMAV_Modell!Q$6:Q$838,$B230)="","",INDEX(DMAV_Modell!Q$6:Q$838,$B230)))</f>
        <v>CLASS</v>
      </c>
      <c r="L230" s="62" t="str" cm="1">
        <f t="array" ref="L230">IF($B230=0,IF($E230=0,"",IF(INDEX(DMAV_Dienste!O$6:O$140,$E230)="","",INDEX(DMAV_Dienste!O$6:O$140,$E230))),IF(INDEX(DMAV_Modell!P$6:P$838,$B230)="","",INDEX(DMAV_Modell!P$6:P$838,$B230)))</f>
        <v>FPDS2</v>
      </c>
      <c r="M230" s="62" t="str" cm="1">
        <f t="array" ref="M230">IF($B230=0,IF($E230=0,"",IF(INDEX(DMAV_Dienste!Q$6:Q$140,$E230)="","",INDEX(DMAV_Dienste!Q$6:Q$140,$E230))),IF(INDEX(DMAV_Modell!R$6:R$838,$B230)="","",INDEX(DMAV_Modell!R$6:R$838,$B230)))</f>
        <v>FixpunktVersion</v>
      </c>
      <c r="N230" s="62" t="str" cm="1">
        <f t="array" ref="N230">IF($B230=0,IF($E230=0,"",IF(INDEX(DMAV_Dienste!T$6:T$140,$E230)="","",INDEX(DMAV_Dienste!T$6:T$140,$E230))),IF(INDEX(DMAV_Modell!U$6:U$838,$B230)="","",INDEX(DMAV_Modell!U$6:U$838,$B230)))</f>
        <v>Punktzeichenbeschreibung</v>
      </c>
      <c r="O230" s="63" t="str" cm="1">
        <f t="array" aca="1" ref="O230" ca="1">IF(C230=0,IF(F230=0,"",HYPERLINK("#"&amp;RIGHT(CELL("adresse",OFFSET(DMAV_Dienste!$M$6,F230-1,0)),LEN(CELL("adresse",OFFSET(DMAV_Dienste!$M$6,F230-1,0)))-FIND("]",CELL("adresse",OFFSET(DMAV_Dienste!$M$6,F230-1,0)))),"Structure")),HYPERLINK("#"&amp;RIGHT(CELL("adresse",OFFSET(DMAV_Modell!$N$6,C230-1,0)),LEN(CELL("adresse",OFFSET(DMAV_Modell!$N$6,C230-1,0)))-FIND("]",CELL("adresse",OFFSET(DMAV_Modell!$N$6,C230-1,0)))),"Structure"))</f>
        <v/>
      </c>
      <c r="P230" s="64" t="str" cm="1">
        <f t="array" aca="1" ref="P230" ca="1">IF(D230=0,IF(G230=0,"",HYPERLINK("#"&amp;RIGHT(CELL("adresse",OFFSET(DMAV_Dienste!$M$6,G230-1,0)),LEN(CELL("adresse",OFFSET(DMAV_Dienste!$M$6,G230-1,0)))-FIND("]",CELL("adresse",OFFSET(DMAV_Dienste!$M$6,G230-1,0)))),"Substructure")),HYPERLINK("#"&amp;RIGHT(CELL("adresse",OFFSET(DMAV_Modell!$N$6,D230-1,0)),LEN(CELL("adresse",OFFSET(DMAV_Modell!$N$6,D230-1,0)))-FIND("]",CELL("adresse",OFFSET(DMAV_Modell!$N$6,D230-1,0)))),"Substructure"))</f>
        <v/>
      </c>
      <c r="R230" s="80"/>
      <c r="T230" s="93"/>
      <c r="U230" s="94"/>
      <c r="V230" s="95"/>
      <c r="W230" s="96"/>
      <c r="Y230" s="85"/>
      <c r="Z230" s="86"/>
      <c r="AA230" s="87"/>
      <c r="AB230" s="88"/>
      <c r="AD230" s="77"/>
      <c r="AF230" s="54" t="str" cm="1">
        <f t="array" aca="1" ref="AF230" ca="1">IF(H230=0,"",HYPERLINK("#"&amp;RIGHT(CELL("adresse",OFFSET('DM01-AV-CH'!$G$6,H230-1,0)),LEN(CELL("adresse",OFFSET('DM01-AV-CH'!$G$6,H230-1,0)))-FIND("]",CELL("adresse",OFFSET('DM01-AV-CH'!$G$6,H230-1,0)))),"Modell"))</f>
        <v/>
      </c>
      <c r="AG230" s="72" t="str" cm="1">
        <f t="array" ref="AG230">IF($H230=0,"",IF(INDEX('DM01-AV-CH'!G$6:G$834,$H230)="","",INDEX('DM01-AV-CH'!G$6:G$834,$H230)))</f>
        <v/>
      </c>
      <c r="AH230" s="73" t="str" cm="1">
        <f t="array" ref="AH230">IF($H230=0,"",IF(INDEX('DM01-AV-CH'!H$6:H$834,$H230)="","",INDEX('DM01-AV-CH'!H$6:H$834,$H230)))</f>
        <v/>
      </c>
      <c r="AI230" s="74" t="str" cm="1">
        <f t="array" ref="AI230">IF($H230=0,"",IF(INDEX('DM01-AV-CH'!I$6:I$834,$H230)="","",INDEX('DM01-AV-CH'!I$6:I$834,$H230)))</f>
        <v/>
      </c>
    </row>
    <row r="231" spans="1:35" x14ac:dyDescent="0.25">
      <c r="A231" s="57">
        <v>226</v>
      </c>
      <c r="B231" s="57">
        <f>IF($A231="","",IF(_xlfn.XLOOKUP($A231,Korrelation!$D$4:$D$1197,Korrelation!E$4:E$1197,"-",0)="-",0,MATCH(_xlfn.XLOOKUP($A231,Korrelation!$D$4:$D$1197,Korrelation!E$4:E$1197,"",0),DMAV_Modell!$G$6:$G$677,0)))</f>
        <v>0</v>
      </c>
      <c r="C231" s="57">
        <f>IF($A231="","",IF(_xlfn.XLOOKUP($A231,Korrelation!$D$4:$D$1197,Korrelation!F$4:F$1197,"-",0)="-",0,MATCH(_xlfn.XLOOKUP($A231,Korrelation!$D$4:$D$1197,Korrelation!F$4:F$1197,"",0),DMAV_Modell!$G$6:$G$677,0)))</f>
        <v>0</v>
      </c>
      <c r="D231" s="57">
        <f>IF($A231="","",IF(_xlfn.XLOOKUP($A231,Korrelation!$D$4:$D$1197,Korrelation!G$4:G$1197,"-",0)="-",0,MATCH(_xlfn.XLOOKUP($A231,Korrelation!$D$4:$D$1197,Korrelation!G$4:G$1197,"",0),DMAV_Modell!$G$6:$G$677,0)))</f>
        <v>0</v>
      </c>
      <c r="E231" s="57">
        <f>IF($A231="","",IF(_xlfn.XLOOKUP($A231,Korrelation!$D$4:$D$1197,Korrelation!H$4:H$1197,"-",0)="-",0,MATCH(_xlfn.XLOOKUP($A231,Korrelation!$D$4:$D$1197,Korrelation!H$4:H$1197,"",0),DMAV_Dienste!$F$6:$F$140,0)))</f>
        <v>107</v>
      </c>
      <c r="F231" s="57">
        <f>IF($A231="","",IF(_xlfn.XLOOKUP($A231,Korrelation!$D$4:$D$1197,Korrelation!I$4:I$1197,"-",0)="-",0,MATCH(_xlfn.XLOOKUP($A231,Korrelation!$D$4:$D$1197,Korrelation!I$4:I$1197,"",0),DMAV_Dienste!$F$6:$F$140,0)))</f>
        <v>0</v>
      </c>
      <c r="G231" s="57">
        <f>IF($A231="","",IF(_xlfn.XLOOKUP($A231,Korrelation!$D$4:$D$1197,Korrelation!J$4:J$1197,"-",0)="-",0,MATCH(_xlfn.XLOOKUP($A231,Korrelation!$D$4:$D$1197,Korrelation!J$4:J$1197,"",0),DMAV_Dienste!$F$6:$F$140,0)))</f>
        <v>0</v>
      </c>
      <c r="H231" s="57">
        <f>IF($A231="","",IF(_xlfn.XLOOKUP($A231,Korrelation!$D$4:$D$1197,Korrelation!K$4:K$1197,"-",0)="-",0,MATCH(_xlfn.XLOOKUP($A231,Korrelation!$D$4:$D$1197,Korrelation!K$4:K$1197,"",0),'DM01-AV-CH'!$A$6:$A$834,0)))</f>
        <v>0</v>
      </c>
      <c r="J231" s="54" t="str" cm="1">
        <f t="array" aca="1" ref="J231" ca="1">IF(B231=0,IF(E231=0,"",HYPERLINK("#"&amp;RIGHT(CELL("adresse",OFFSET(DMAV_Dienste!$M$6,E231-1,0)),LEN(CELL("adresse",OFFSET(DMAV_Dienste!$M$6,E231-1,0)))-FIND("]",CELL("adresse",OFFSET(DMAV_Dienste!$M$6,E231-1,0)))),"Dienst")),HYPERLINK("#"&amp;RIGHT(CELL("adresse",OFFSET(DMAV_Modell!$N$6,B231-1,0)),LEN(CELL("adresse",OFFSET(DMAV_Modell!$N$6,B231-1,0)))-FIND("]",CELL("adresse",OFFSET(DMAV_Modell!$N$6,B231-1,0)))),"Modell"))</f>
        <v>Dienst</v>
      </c>
      <c r="K231" s="61" t="str" cm="1">
        <f t="array" ref="K231">IF($B231=0,IF($E231=0,"",IF(INDEX(DMAV_Dienste!P$6:P$140,$E231)="","",INDEX(DMAV_Dienste!P$6:P$140,$E231))),IF(INDEX(DMAV_Modell!Q$6:Q$838,$B231)="","",INDEX(DMAV_Modell!Q$6:Q$838,$B231)))</f>
        <v>CLASS</v>
      </c>
      <c r="L231" s="62" t="str" cm="1">
        <f t="array" ref="L231">IF($B231=0,IF($E231=0,"",IF(INDEX(DMAV_Dienste!O$6:O$140,$E231)="","",INDEX(DMAV_Dienste!O$6:O$140,$E231))),IF(INDEX(DMAV_Modell!P$6:P$838,$B231)="","",INDEX(DMAV_Modell!P$6:P$838,$B231)))</f>
        <v>FPDS2</v>
      </c>
      <c r="M231" s="62" t="str" cm="1">
        <f t="array" ref="M231">IF($B231=0,IF($E231=0,"",IF(INDEX(DMAV_Dienste!Q$6:Q$140,$E231)="","",INDEX(DMAV_Dienste!Q$6:Q$140,$E231))),IF(INDEX(DMAV_Modell!R$6:R$838,$B231)="","",INDEX(DMAV_Modell!R$6:R$838,$B231)))</f>
        <v>FixpunktVersion</v>
      </c>
      <c r="N231" s="62" t="str" cm="1">
        <f t="array" ref="N231">IF($B231=0,IF($E231=0,"",IF(INDEX(DMAV_Dienste!T$6:T$140,$E231)="","",INDEX(DMAV_Dienste!T$6:T$140,$E231))),IF(INDEX(DMAV_Modell!U$6:U$838,$B231)="","",INDEX(DMAV_Modell!U$6:U$838,$B231)))</f>
        <v>Schutzart</v>
      </c>
      <c r="O231" s="63" t="str" cm="1">
        <f t="array" aca="1" ref="O231" ca="1">IF(C231=0,IF(F231=0,"",HYPERLINK("#"&amp;RIGHT(CELL("adresse",OFFSET(DMAV_Dienste!$M$6,F231-1,0)),LEN(CELL("adresse",OFFSET(DMAV_Dienste!$M$6,F231-1,0)))-FIND("]",CELL("adresse",OFFSET(DMAV_Dienste!$M$6,F231-1,0)))),"Structure")),HYPERLINK("#"&amp;RIGHT(CELL("adresse",OFFSET(DMAV_Modell!$N$6,C231-1,0)),LEN(CELL("adresse",OFFSET(DMAV_Modell!$N$6,C231-1,0)))-FIND("]",CELL("adresse",OFFSET(DMAV_Modell!$N$6,C231-1,0)))),"Structure"))</f>
        <v/>
      </c>
      <c r="P231" s="64" t="str" cm="1">
        <f t="array" aca="1" ref="P231" ca="1">IF(D231=0,IF(G231=0,"",HYPERLINK("#"&amp;RIGHT(CELL("adresse",OFFSET(DMAV_Dienste!$M$6,G231-1,0)),LEN(CELL("adresse",OFFSET(DMAV_Dienste!$M$6,G231-1,0)))-FIND("]",CELL("adresse",OFFSET(DMAV_Dienste!$M$6,G231-1,0)))),"Substructure")),HYPERLINK("#"&amp;RIGHT(CELL("adresse",OFFSET(DMAV_Modell!$N$6,D231-1,0)),LEN(CELL("adresse",OFFSET(DMAV_Modell!$N$6,D231-1,0)))-FIND("]",CELL("adresse",OFFSET(DMAV_Modell!$N$6,D231-1,0)))),"Substructure"))</f>
        <v/>
      </c>
      <c r="R231" s="80"/>
      <c r="T231" s="93"/>
      <c r="U231" s="94"/>
      <c r="V231" s="95"/>
      <c r="W231" s="96"/>
      <c r="Y231" s="85"/>
      <c r="Z231" s="86"/>
      <c r="AA231" s="87"/>
      <c r="AB231" s="88"/>
      <c r="AD231" s="77"/>
      <c r="AF231" s="54" t="str" cm="1">
        <f t="array" aca="1" ref="AF231" ca="1">IF(H231=0,"",HYPERLINK("#"&amp;RIGHT(CELL("adresse",OFFSET('DM01-AV-CH'!$G$6,H231-1,0)),LEN(CELL("adresse",OFFSET('DM01-AV-CH'!$G$6,H231-1,0)))-FIND("]",CELL("adresse",OFFSET('DM01-AV-CH'!$G$6,H231-1,0)))),"Modell"))</f>
        <v/>
      </c>
      <c r="AG231" s="72" t="str" cm="1">
        <f t="array" ref="AG231">IF($H231=0,"",IF(INDEX('DM01-AV-CH'!G$6:G$834,$H231)="","",INDEX('DM01-AV-CH'!G$6:G$834,$H231)))</f>
        <v/>
      </c>
      <c r="AH231" s="73" t="str" cm="1">
        <f t="array" ref="AH231">IF($H231=0,"",IF(INDEX('DM01-AV-CH'!H$6:H$834,$H231)="","",INDEX('DM01-AV-CH'!H$6:H$834,$H231)))</f>
        <v/>
      </c>
      <c r="AI231" s="74" t="str" cm="1">
        <f t="array" ref="AI231">IF($H231=0,"",IF(INDEX('DM01-AV-CH'!I$6:I$834,$H231)="","",INDEX('DM01-AV-CH'!I$6:I$834,$H231)))</f>
        <v/>
      </c>
    </row>
    <row r="232" spans="1:35" x14ac:dyDescent="0.25">
      <c r="A232" s="57">
        <v>227</v>
      </c>
      <c r="B232" s="57">
        <f>IF($A232="","",IF(_xlfn.XLOOKUP($A232,Korrelation!$D$4:$D$1197,Korrelation!E$4:E$1197,"-",0)="-",0,MATCH(_xlfn.XLOOKUP($A232,Korrelation!$D$4:$D$1197,Korrelation!E$4:E$1197,"",0),DMAV_Modell!$G$6:$G$677,0)))</f>
        <v>0</v>
      </c>
      <c r="C232" s="57">
        <f>IF($A232="","",IF(_xlfn.XLOOKUP($A232,Korrelation!$D$4:$D$1197,Korrelation!F$4:F$1197,"-",0)="-",0,MATCH(_xlfn.XLOOKUP($A232,Korrelation!$D$4:$D$1197,Korrelation!F$4:F$1197,"",0),DMAV_Modell!$G$6:$G$677,0)))</f>
        <v>0</v>
      </c>
      <c r="D232" s="57">
        <f>IF($A232="","",IF(_xlfn.XLOOKUP($A232,Korrelation!$D$4:$D$1197,Korrelation!G$4:G$1197,"-",0)="-",0,MATCH(_xlfn.XLOOKUP($A232,Korrelation!$D$4:$D$1197,Korrelation!G$4:G$1197,"",0),DMAV_Modell!$G$6:$G$677,0)))</f>
        <v>0</v>
      </c>
      <c r="E232" s="57">
        <f>IF($A232="","",IF(_xlfn.XLOOKUP($A232,Korrelation!$D$4:$D$1197,Korrelation!H$4:H$1197,"-",0)="-",0,MATCH(_xlfn.XLOOKUP($A232,Korrelation!$D$4:$D$1197,Korrelation!H$4:H$1197,"",0),DMAV_Dienste!$F$6:$F$140,0)))</f>
        <v>108</v>
      </c>
      <c r="F232" s="57">
        <f>IF($A232="","",IF(_xlfn.XLOOKUP($A232,Korrelation!$D$4:$D$1197,Korrelation!I$4:I$1197,"-",0)="-",0,MATCH(_xlfn.XLOOKUP($A232,Korrelation!$D$4:$D$1197,Korrelation!I$4:I$1197,"",0),DMAV_Dienste!$F$6:$F$140,0)))</f>
        <v>0</v>
      </c>
      <c r="G232" s="57">
        <f>IF($A232="","",IF(_xlfn.XLOOKUP($A232,Korrelation!$D$4:$D$1197,Korrelation!J$4:J$1197,"-",0)="-",0,MATCH(_xlfn.XLOOKUP($A232,Korrelation!$D$4:$D$1197,Korrelation!J$4:J$1197,"",0),DMAV_Dienste!$F$6:$F$140,0)))</f>
        <v>0</v>
      </c>
      <c r="H232" s="57">
        <f>IF($A232="","",IF(_xlfn.XLOOKUP($A232,Korrelation!$D$4:$D$1197,Korrelation!K$4:K$1197,"-",0)="-",0,MATCH(_xlfn.XLOOKUP($A232,Korrelation!$D$4:$D$1197,Korrelation!K$4:K$1197,"",0),'DM01-AV-CH'!$A$6:$A$834,0)))</f>
        <v>0</v>
      </c>
      <c r="J232" s="54" t="str" cm="1">
        <f t="array" aca="1" ref="J232" ca="1">IF(B232=0,IF(E232=0,"",HYPERLINK("#"&amp;RIGHT(CELL("adresse",OFFSET(DMAV_Dienste!$M$6,E232-1,0)),LEN(CELL("adresse",OFFSET(DMAV_Dienste!$M$6,E232-1,0)))-FIND("]",CELL("adresse",OFFSET(DMAV_Dienste!$M$6,E232-1,0)))),"Dienst")),HYPERLINK("#"&amp;RIGHT(CELL("adresse",OFFSET(DMAV_Modell!$N$6,B232-1,0)),LEN(CELL("adresse",OFFSET(DMAV_Modell!$N$6,B232-1,0)))-FIND("]",CELL("adresse",OFFSET(DMAV_Modell!$N$6,B232-1,0)))),"Modell"))</f>
        <v>Dienst</v>
      </c>
      <c r="K232" s="61" t="str" cm="1">
        <f t="array" ref="K232">IF($B232=0,IF($E232=0,"",IF(INDEX(DMAV_Dienste!P$6:P$140,$E232)="","",INDEX(DMAV_Dienste!P$6:P$140,$E232))),IF(INDEX(DMAV_Modell!Q$6:Q$838,$B232)="","",INDEX(DMAV_Modell!Q$6:Q$838,$B232)))</f>
        <v>CLASS</v>
      </c>
      <c r="L232" s="62" t="str" cm="1">
        <f t="array" ref="L232">IF($B232=0,IF($E232=0,"",IF(INDEX(DMAV_Dienste!O$6:O$140,$E232)="","",INDEX(DMAV_Dienste!O$6:O$140,$E232))),IF(INDEX(DMAV_Modell!P$6:P$838,$B232)="","",INDEX(DMAV_Modell!P$6:P$838,$B232)))</f>
        <v>FPDS2</v>
      </c>
      <c r="M232" s="62" t="str" cm="1">
        <f t="array" ref="M232">IF($B232=0,IF($E232=0,"",IF(INDEX(DMAV_Dienste!Q$6:Q$140,$E232)="","",INDEX(DMAV_Dienste!Q$6:Q$140,$E232))),IF(INDEX(DMAV_Modell!R$6:R$838,$B232)="","",INDEX(DMAV_Modell!R$6:R$838,$B232)))</f>
        <v>FixpunktVersion</v>
      </c>
      <c r="N232" s="62" t="str" cm="1">
        <f t="array" ref="N232">IF($B232=0,IF($E232=0,"",IF(INDEX(DMAV_Dienste!T$6:T$140,$E232)="","",INDEX(DMAV_Dienste!T$6:T$140,$E232))),IF(INDEX(DMAV_Modell!U$6:U$838,$B232)="","",INDEX(DMAV_Modell!U$6:U$838,$B232)))</f>
        <v>Steinsatz</v>
      </c>
      <c r="O232" s="63" t="str" cm="1">
        <f t="array" aca="1" ref="O232" ca="1">IF(C232=0,IF(F232=0,"",HYPERLINK("#"&amp;RIGHT(CELL("adresse",OFFSET(DMAV_Dienste!$M$6,F232-1,0)),LEN(CELL("adresse",OFFSET(DMAV_Dienste!$M$6,F232-1,0)))-FIND("]",CELL("adresse",OFFSET(DMAV_Dienste!$M$6,F232-1,0)))),"Structure")),HYPERLINK("#"&amp;RIGHT(CELL("adresse",OFFSET(DMAV_Modell!$N$6,C232-1,0)),LEN(CELL("adresse",OFFSET(DMAV_Modell!$N$6,C232-1,0)))-FIND("]",CELL("adresse",OFFSET(DMAV_Modell!$N$6,C232-1,0)))),"Structure"))</f>
        <v/>
      </c>
      <c r="P232" s="64" t="str" cm="1">
        <f t="array" aca="1" ref="P232" ca="1">IF(D232=0,IF(G232=0,"",HYPERLINK("#"&amp;RIGHT(CELL("adresse",OFFSET(DMAV_Dienste!$M$6,G232-1,0)),LEN(CELL("adresse",OFFSET(DMAV_Dienste!$M$6,G232-1,0)))-FIND("]",CELL("adresse",OFFSET(DMAV_Dienste!$M$6,G232-1,0)))),"Substructure")),HYPERLINK("#"&amp;RIGHT(CELL("adresse",OFFSET(DMAV_Modell!$N$6,D232-1,0)),LEN(CELL("adresse",OFFSET(DMAV_Modell!$N$6,D232-1,0)))-FIND("]",CELL("adresse",OFFSET(DMAV_Modell!$N$6,D232-1,0)))),"Substructure"))</f>
        <v/>
      </c>
      <c r="R232" s="80"/>
      <c r="T232" s="93"/>
      <c r="U232" s="94"/>
      <c r="V232" s="95"/>
      <c r="W232" s="96"/>
      <c r="Y232" s="85"/>
      <c r="Z232" s="86"/>
      <c r="AA232" s="87"/>
      <c r="AB232" s="88"/>
      <c r="AD232" s="77"/>
      <c r="AF232" s="54" t="str" cm="1">
        <f t="array" aca="1" ref="AF232" ca="1">IF(H232=0,"",HYPERLINK("#"&amp;RIGHT(CELL("adresse",OFFSET('DM01-AV-CH'!$G$6,H232-1,0)),LEN(CELL("adresse",OFFSET('DM01-AV-CH'!$G$6,H232-1,0)))-FIND("]",CELL("adresse",OFFSET('DM01-AV-CH'!$G$6,H232-1,0)))),"Modell"))</f>
        <v/>
      </c>
      <c r="AG232" s="72" t="str" cm="1">
        <f t="array" ref="AG232">IF($H232=0,"",IF(INDEX('DM01-AV-CH'!G$6:G$834,$H232)="","",INDEX('DM01-AV-CH'!G$6:G$834,$H232)))</f>
        <v/>
      </c>
      <c r="AH232" s="73" t="str" cm="1">
        <f t="array" ref="AH232">IF($H232=0,"",IF(INDEX('DM01-AV-CH'!H$6:H$834,$H232)="","",INDEX('DM01-AV-CH'!H$6:H$834,$H232)))</f>
        <v/>
      </c>
      <c r="AI232" s="74" t="str" cm="1">
        <f t="array" ref="AI232">IF($H232=0,"",IF(INDEX('DM01-AV-CH'!I$6:I$834,$H232)="","",INDEX('DM01-AV-CH'!I$6:I$834,$H232)))</f>
        <v/>
      </c>
    </row>
    <row r="233" spans="1:35" x14ac:dyDescent="0.25">
      <c r="A233" s="57">
        <v>228</v>
      </c>
      <c r="B233" s="57">
        <f>IF($A233="","",IF(_xlfn.XLOOKUP($A233,Korrelation!$D$4:$D$1197,Korrelation!E$4:E$1197,"-",0)="-",0,MATCH(_xlfn.XLOOKUP($A233,Korrelation!$D$4:$D$1197,Korrelation!E$4:E$1197,"",0),DMAV_Modell!$G$6:$G$677,0)))</f>
        <v>0</v>
      </c>
      <c r="C233" s="57">
        <f>IF($A233="","",IF(_xlfn.XLOOKUP($A233,Korrelation!$D$4:$D$1197,Korrelation!F$4:F$1197,"-",0)="-",0,MATCH(_xlfn.XLOOKUP($A233,Korrelation!$D$4:$D$1197,Korrelation!F$4:F$1197,"",0),DMAV_Modell!$G$6:$G$677,0)))</f>
        <v>0</v>
      </c>
      <c r="D233" s="57">
        <f>IF($A233="","",IF(_xlfn.XLOOKUP($A233,Korrelation!$D$4:$D$1197,Korrelation!G$4:G$1197,"-",0)="-",0,MATCH(_xlfn.XLOOKUP($A233,Korrelation!$D$4:$D$1197,Korrelation!G$4:G$1197,"",0),DMAV_Modell!$G$6:$G$677,0)))</f>
        <v>0</v>
      </c>
      <c r="E233" s="57">
        <f>IF($A233="","",IF(_xlfn.XLOOKUP($A233,Korrelation!$D$4:$D$1197,Korrelation!H$4:H$1197,"-",0)="-",0,MATCH(_xlfn.XLOOKUP($A233,Korrelation!$D$4:$D$1197,Korrelation!H$4:H$1197,"",0),DMAV_Dienste!$F$6:$F$140,0)))</f>
        <v>109</v>
      </c>
      <c r="F233" s="57">
        <f>IF($A233="","",IF(_xlfn.XLOOKUP($A233,Korrelation!$D$4:$D$1197,Korrelation!I$4:I$1197,"-",0)="-",0,MATCH(_xlfn.XLOOKUP($A233,Korrelation!$D$4:$D$1197,Korrelation!I$4:I$1197,"",0),DMAV_Dienste!$F$6:$F$140,0)))</f>
        <v>0</v>
      </c>
      <c r="G233" s="57">
        <f>IF($A233="","",IF(_xlfn.XLOOKUP($A233,Korrelation!$D$4:$D$1197,Korrelation!J$4:J$1197,"-",0)="-",0,MATCH(_xlfn.XLOOKUP($A233,Korrelation!$D$4:$D$1197,Korrelation!J$4:J$1197,"",0),DMAV_Dienste!$F$6:$F$140,0)))</f>
        <v>0</v>
      </c>
      <c r="H233" s="57">
        <f>IF($A233="","",IF(_xlfn.XLOOKUP($A233,Korrelation!$D$4:$D$1197,Korrelation!K$4:K$1197,"-",0)="-",0,MATCH(_xlfn.XLOOKUP($A233,Korrelation!$D$4:$D$1197,Korrelation!K$4:K$1197,"",0),'DM01-AV-CH'!$A$6:$A$834,0)))</f>
        <v>0</v>
      </c>
      <c r="J233" s="54" t="str" cm="1">
        <f t="array" aca="1" ref="J233" ca="1">IF(B233=0,IF(E233=0,"",HYPERLINK("#"&amp;RIGHT(CELL("adresse",OFFSET(DMAV_Dienste!$M$6,E233-1,0)),LEN(CELL("adresse",OFFSET(DMAV_Dienste!$M$6,E233-1,0)))-FIND("]",CELL("adresse",OFFSET(DMAV_Dienste!$M$6,E233-1,0)))),"Dienst")),HYPERLINK("#"&amp;RIGHT(CELL("adresse",OFFSET(DMAV_Modell!$N$6,B233-1,0)),LEN(CELL("adresse",OFFSET(DMAV_Modell!$N$6,B233-1,0)))-FIND("]",CELL("adresse",OFFSET(DMAV_Modell!$N$6,B233-1,0)))),"Modell"))</f>
        <v>Dienst</v>
      </c>
      <c r="K233" s="61" t="str" cm="1">
        <f t="array" ref="K233">IF($B233=0,IF($E233=0,"",IF(INDEX(DMAV_Dienste!P$6:P$140,$E233)="","",INDEX(DMAV_Dienste!P$6:P$140,$E233))),IF(INDEX(DMAV_Modell!Q$6:Q$838,$B233)="","",INDEX(DMAV_Modell!Q$6:Q$838,$B233)))</f>
        <v>CLASS</v>
      </c>
      <c r="L233" s="62" t="str" cm="1">
        <f t="array" ref="L233">IF($B233=0,IF($E233=0,"",IF(INDEX(DMAV_Dienste!O$6:O$140,$E233)="","",INDEX(DMAV_Dienste!O$6:O$140,$E233))),IF(INDEX(DMAV_Modell!P$6:P$838,$B233)="","",INDEX(DMAV_Modell!P$6:P$838,$B233)))</f>
        <v>FPDS2</v>
      </c>
      <c r="M233" s="62" t="str" cm="1">
        <f t="array" ref="M233">IF($B233=0,IF($E233=0,"",IF(INDEX(DMAV_Dienste!Q$6:Q$140,$E233)="","",INDEX(DMAV_Dienste!Q$6:Q$140,$E233))),IF(INDEX(DMAV_Modell!R$6:R$838,$B233)="","",INDEX(DMAV_Modell!R$6:R$838,$B233)))</f>
        <v>FixpunktVersion</v>
      </c>
      <c r="N233" s="62" t="str" cm="1">
        <f t="array" ref="N233">IF($B233=0,IF($E233=0,"",IF(INDEX(DMAV_Dienste!T$6:T$140,$E233)="","",INDEX(DMAV_Dienste!T$6:T$140,$E233))),IF(INDEX(DMAV_Modell!U$6:U$838,$B233)="","",INDEX(DMAV_Modell!U$6:U$838,$B233)))</f>
        <v>SekundaereVersicherung</v>
      </c>
      <c r="O233" s="63" t="str" cm="1">
        <f t="array" aca="1" ref="O233" ca="1">IF(C233=0,IF(F233=0,"",HYPERLINK("#"&amp;RIGHT(CELL("adresse",OFFSET(DMAV_Dienste!$M$6,F233-1,0)),LEN(CELL("adresse",OFFSET(DMAV_Dienste!$M$6,F233-1,0)))-FIND("]",CELL("adresse",OFFSET(DMAV_Dienste!$M$6,F233-1,0)))),"Structure")),HYPERLINK("#"&amp;RIGHT(CELL("adresse",OFFSET(DMAV_Modell!$N$6,C233-1,0)),LEN(CELL("adresse",OFFSET(DMAV_Modell!$N$6,C233-1,0)))-FIND("]",CELL("adresse",OFFSET(DMAV_Modell!$N$6,C233-1,0)))),"Structure"))</f>
        <v/>
      </c>
      <c r="P233" s="64" t="str" cm="1">
        <f t="array" aca="1" ref="P233" ca="1">IF(D233=0,IF(G233=0,"",HYPERLINK("#"&amp;RIGHT(CELL("adresse",OFFSET(DMAV_Dienste!$M$6,G233-1,0)),LEN(CELL("adresse",OFFSET(DMAV_Dienste!$M$6,G233-1,0)))-FIND("]",CELL("adresse",OFFSET(DMAV_Dienste!$M$6,G233-1,0)))),"Substructure")),HYPERLINK("#"&amp;RIGHT(CELL("adresse",OFFSET(DMAV_Modell!$N$6,D233-1,0)),LEN(CELL("adresse",OFFSET(DMAV_Modell!$N$6,D233-1,0)))-FIND("]",CELL("adresse",OFFSET(DMAV_Modell!$N$6,D233-1,0)))),"Substructure"))</f>
        <v/>
      </c>
      <c r="R233" s="80"/>
      <c r="T233" s="93"/>
      <c r="U233" s="94"/>
      <c r="V233" s="95"/>
      <c r="W233" s="96"/>
      <c r="Y233" s="85"/>
      <c r="Z233" s="86"/>
      <c r="AA233" s="87"/>
      <c r="AB233" s="88"/>
      <c r="AD233" s="77"/>
      <c r="AF233" s="54" t="str" cm="1">
        <f t="array" aca="1" ref="AF233" ca="1">IF(H233=0,"",HYPERLINK("#"&amp;RIGHT(CELL("adresse",OFFSET('DM01-AV-CH'!$G$6,H233-1,0)),LEN(CELL("adresse",OFFSET('DM01-AV-CH'!$G$6,H233-1,0)))-FIND("]",CELL("adresse",OFFSET('DM01-AV-CH'!$G$6,H233-1,0)))),"Modell"))</f>
        <v/>
      </c>
      <c r="AG233" s="72" t="str" cm="1">
        <f t="array" ref="AG233">IF($H233=0,"",IF(INDEX('DM01-AV-CH'!G$6:G$834,$H233)="","",INDEX('DM01-AV-CH'!G$6:G$834,$H233)))</f>
        <v/>
      </c>
      <c r="AH233" s="73" t="str" cm="1">
        <f t="array" ref="AH233">IF($H233=0,"",IF(INDEX('DM01-AV-CH'!H$6:H$834,$H233)="","",INDEX('DM01-AV-CH'!H$6:H$834,$H233)))</f>
        <v/>
      </c>
      <c r="AI233" s="74" t="str" cm="1">
        <f t="array" ref="AI233">IF($H233=0,"",IF(INDEX('DM01-AV-CH'!I$6:I$834,$H233)="","",INDEX('DM01-AV-CH'!I$6:I$834,$H233)))</f>
        <v/>
      </c>
    </row>
    <row r="234" spans="1:35" x14ac:dyDescent="0.25">
      <c r="A234" s="57">
        <v>229</v>
      </c>
      <c r="B234" s="57">
        <f>IF($A234="","",IF(_xlfn.XLOOKUP($A234,Korrelation!$D$4:$D$1197,Korrelation!E$4:E$1197,"-",0)="-",0,MATCH(_xlfn.XLOOKUP($A234,Korrelation!$D$4:$D$1197,Korrelation!E$4:E$1197,"",0),DMAV_Modell!$G$6:$G$677,0)))</f>
        <v>0</v>
      </c>
      <c r="C234" s="57">
        <f>IF($A234="","",IF(_xlfn.XLOOKUP($A234,Korrelation!$D$4:$D$1197,Korrelation!F$4:F$1197,"-",0)="-",0,MATCH(_xlfn.XLOOKUP($A234,Korrelation!$D$4:$D$1197,Korrelation!F$4:F$1197,"",0),DMAV_Modell!$G$6:$G$677,0)))</f>
        <v>0</v>
      </c>
      <c r="D234" s="57">
        <f>IF($A234="","",IF(_xlfn.XLOOKUP($A234,Korrelation!$D$4:$D$1197,Korrelation!G$4:G$1197,"-",0)="-",0,MATCH(_xlfn.XLOOKUP($A234,Korrelation!$D$4:$D$1197,Korrelation!G$4:G$1197,"",0),DMAV_Modell!$G$6:$G$677,0)))</f>
        <v>0</v>
      </c>
      <c r="E234" s="57">
        <f>IF($A234="","",IF(_xlfn.XLOOKUP($A234,Korrelation!$D$4:$D$1197,Korrelation!H$4:H$1197,"-",0)="-",0,MATCH(_xlfn.XLOOKUP($A234,Korrelation!$D$4:$D$1197,Korrelation!H$4:H$1197,"",0),DMAV_Dienste!$F$6:$F$140,0)))</f>
        <v>112</v>
      </c>
      <c r="F234" s="57">
        <f>IF($A234="","",IF(_xlfn.XLOOKUP($A234,Korrelation!$D$4:$D$1197,Korrelation!I$4:I$1197,"-",0)="-",0,MATCH(_xlfn.XLOOKUP($A234,Korrelation!$D$4:$D$1197,Korrelation!I$4:I$1197,"",0),DMAV_Dienste!$F$6:$F$140,0)))</f>
        <v>0</v>
      </c>
      <c r="G234" s="57">
        <f>IF($A234="","",IF(_xlfn.XLOOKUP($A234,Korrelation!$D$4:$D$1197,Korrelation!J$4:J$1197,"-",0)="-",0,MATCH(_xlfn.XLOOKUP($A234,Korrelation!$D$4:$D$1197,Korrelation!J$4:J$1197,"",0),DMAV_Dienste!$F$6:$F$140,0)))</f>
        <v>0</v>
      </c>
      <c r="H234" s="57">
        <f>IF($A234="","",IF(_xlfn.XLOOKUP($A234,Korrelation!$D$4:$D$1197,Korrelation!K$4:K$1197,"-",0)="-",0,MATCH(_xlfn.XLOOKUP($A234,Korrelation!$D$4:$D$1197,Korrelation!K$4:K$1197,"",0),'DM01-AV-CH'!$A$6:$A$834,0)))</f>
        <v>0</v>
      </c>
      <c r="J234" s="54" t="str" cm="1">
        <f t="array" aca="1" ref="J234" ca="1">IF(B234=0,IF(E234=0,"",HYPERLINK("#"&amp;RIGHT(CELL("adresse",OFFSET(DMAV_Dienste!$M$6,E234-1,0)),LEN(CELL("adresse",OFFSET(DMAV_Dienste!$M$6,E234-1,0)))-FIND("]",CELL("adresse",OFFSET(DMAV_Dienste!$M$6,E234-1,0)))),"Dienst")),HYPERLINK("#"&amp;RIGHT(CELL("adresse",OFFSET(DMAV_Modell!$N$6,B234-1,0)),LEN(CELL("adresse",OFFSET(DMAV_Modell!$N$6,B234-1,0)))-FIND("]",CELL("adresse",OFFSET(DMAV_Modell!$N$6,B234-1,0)))),"Modell"))</f>
        <v>Dienst</v>
      </c>
      <c r="K234" s="61" t="str" cm="1">
        <f t="array" ref="K234">IF($B234=0,IF($E234=0,"",IF(INDEX(DMAV_Dienste!P$6:P$140,$E234)="","",INDEX(DMAV_Dienste!P$6:P$140,$E234))),IF(INDEX(DMAV_Modell!Q$6:Q$838,$B234)="","",INDEX(DMAV_Modell!Q$6:Q$838,$B234)))</f>
        <v>CLASS</v>
      </c>
      <c r="L234" s="62" t="str" cm="1">
        <f t="array" ref="L234">IF($B234=0,IF($E234=0,"",IF(INDEX(DMAV_Dienste!O$6:O$140,$E234)="","",INDEX(DMAV_Dienste!O$6:O$140,$E234))),IF(INDEX(DMAV_Modell!P$6:P$838,$B234)="","",INDEX(DMAV_Modell!P$6:P$838,$B234)))</f>
        <v>FPDS2</v>
      </c>
      <c r="M234" s="62" t="str" cm="1">
        <f t="array" ref="M234">IF($B234=0,IF($E234=0,"",IF(INDEX(DMAV_Dienste!Q$6:Q$140,$E234)="","",INDEX(DMAV_Dienste!Q$6:Q$140,$E234))),IF(INDEX(DMAV_Modell!R$6:R$838,$B234)="","",INDEX(DMAV_Modell!R$6:R$838,$B234)))</f>
        <v>FixpunkteNachfuehrung</v>
      </c>
      <c r="N234" s="62" t="str" cm="1">
        <f t="array" ref="N234">IF($B234=0,IF($E234=0,"",IF(INDEX(DMAV_Dienste!T$6:T$140,$E234)="","",INDEX(DMAV_Dienste!T$6:T$140,$E234))),IF(INDEX(DMAV_Modell!U$6:U$838,$B234)="","",INDEX(DMAV_Modell!U$6:U$838,$B234)))</f>
        <v>Bemerkung</v>
      </c>
      <c r="O234" s="63" t="str" cm="1">
        <f t="array" aca="1" ref="O234" ca="1">IF(C234=0,IF(F234=0,"",HYPERLINK("#"&amp;RIGHT(CELL("adresse",OFFSET(DMAV_Dienste!$M$6,F234-1,0)),LEN(CELL("adresse",OFFSET(DMAV_Dienste!$M$6,F234-1,0)))-FIND("]",CELL("adresse",OFFSET(DMAV_Dienste!$M$6,F234-1,0)))),"Structure")),HYPERLINK("#"&amp;RIGHT(CELL("adresse",OFFSET(DMAV_Modell!$N$6,C234-1,0)),LEN(CELL("adresse",OFFSET(DMAV_Modell!$N$6,C234-1,0)))-FIND("]",CELL("adresse",OFFSET(DMAV_Modell!$N$6,C234-1,0)))),"Structure"))</f>
        <v/>
      </c>
      <c r="P234" s="64" t="str" cm="1">
        <f t="array" aca="1" ref="P234" ca="1">IF(D234=0,IF(G234=0,"",HYPERLINK("#"&amp;RIGHT(CELL("adresse",OFFSET(DMAV_Dienste!$M$6,G234-1,0)),LEN(CELL("adresse",OFFSET(DMAV_Dienste!$M$6,G234-1,0)))-FIND("]",CELL("adresse",OFFSET(DMAV_Dienste!$M$6,G234-1,0)))),"Substructure")),HYPERLINK("#"&amp;RIGHT(CELL("adresse",OFFSET(DMAV_Modell!$N$6,D234-1,0)),LEN(CELL("adresse",OFFSET(DMAV_Modell!$N$6,D234-1,0)))-FIND("]",CELL("adresse",OFFSET(DMAV_Modell!$N$6,D234-1,0)))),"Substructure"))</f>
        <v/>
      </c>
      <c r="R234" s="80"/>
      <c r="T234" s="93"/>
      <c r="U234" s="94"/>
      <c r="V234" s="95"/>
      <c r="W234" s="96"/>
      <c r="Y234" s="85"/>
      <c r="Z234" s="86"/>
      <c r="AA234" s="87"/>
      <c r="AB234" s="88"/>
      <c r="AD234" s="77"/>
      <c r="AF234" s="54" t="str" cm="1">
        <f t="array" aca="1" ref="AF234" ca="1">IF(H234=0,"",HYPERLINK("#"&amp;RIGHT(CELL("adresse",OFFSET('DM01-AV-CH'!$G$6,H234-1,0)),LEN(CELL("adresse",OFFSET('DM01-AV-CH'!$G$6,H234-1,0)))-FIND("]",CELL("adresse",OFFSET('DM01-AV-CH'!$G$6,H234-1,0)))),"Modell"))</f>
        <v/>
      </c>
      <c r="AG234" s="72" t="str" cm="1">
        <f t="array" ref="AG234">IF($H234=0,"",IF(INDEX('DM01-AV-CH'!G$6:G$834,$H234)="","",INDEX('DM01-AV-CH'!G$6:G$834,$H234)))</f>
        <v/>
      </c>
      <c r="AH234" s="73" t="str" cm="1">
        <f t="array" ref="AH234">IF($H234=0,"",IF(INDEX('DM01-AV-CH'!H$6:H$834,$H234)="","",INDEX('DM01-AV-CH'!H$6:H$834,$H234)))</f>
        <v/>
      </c>
      <c r="AI234" s="74" t="str" cm="1">
        <f t="array" ref="AI234">IF($H234=0,"",IF(INDEX('DM01-AV-CH'!I$6:I$834,$H234)="","",INDEX('DM01-AV-CH'!I$6:I$834,$H234)))</f>
        <v/>
      </c>
    </row>
    <row r="235" spans="1:35" x14ac:dyDescent="0.25">
      <c r="A235" s="57">
        <v>230</v>
      </c>
      <c r="B235" s="57">
        <f>IF($A235="","",IF(_xlfn.XLOOKUP($A235,Korrelation!$D$4:$D$1197,Korrelation!E$4:E$1197,"-",0)="-",0,MATCH(_xlfn.XLOOKUP($A235,Korrelation!$D$4:$D$1197,Korrelation!E$4:E$1197,"",0),DMAV_Modell!$G$6:$G$677,0)))</f>
        <v>0</v>
      </c>
      <c r="C235" s="57">
        <f>IF($A235="","",IF(_xlfn.XLOOKUP($A235,Korrelation!$D$4:$D$1197,Korrelation!F$4:F$1197,"-",0)="-",0,MATCH(_xlfn.XLOOKUP($A235,Korrelation!$D$4:$D$1197,Korrelation!F$4:F$1197,"",0),DMAV_Modell!$G$6:$G$677,0)))</f>
        <v>0</v>
      </c>
      <c r="D235" s="57">
        <f>IF($A235="","",IF(_xlfn.XLOOKUP($A235,Korrelation!$D$4:$D$1197,Korrelation!G$4:G$1197,"-",0)="-",0,MATCH(_xlfn.XLOOKUP($A235,Korrelation!$D$4:$D$1197,Korrelation!G$4:G$1197,"",0),DMAV_Modell!$G$6:$G$677,0)))</f>
        <v>0</v>
      </c>
      <c r="E235" s="57">
        <f>IF($A235="","",IF(_xlfn.XLOOKUP($A235,Korrelation!$D$4:$D$1197,Korrelation!H$4:H$1197,"-",0)="-",0,MATCH(_xlfn.XLOOKUP($A235,Korrelation!$D$4:$D$1197,Korrelation!H$4:H$1197,"",0),DMAV_Dienste!$F$6:$F$140,0)))</f>
        <v>113</v>
      </c>
      <c r="F235" s="57">
        <f>IF($A235="","",IF(_xlfn.XLOOKUP($A235,Korrelation!$D$4:$D$1197,Korrelation!I$4:I$1197,"-",0)="-",0,MATCH(_xlfn.XLOOKUP($A235,Korrelation!$D$4:$D$1197,Korrelation!I$4:I$1197,"",0),DMAV_Dienste!$F$6:$F$140,0)))</f>
        <v>0</v>
      </c>
      <c r="G235" s="57">
        <f>IF($A235="","",IF(_xlfn.XLOOKUP($A235,Korrelation!$D$4:$D$1197,Korrelation!J$4:J$1197,"-",0)="-",0,MATCH(_xlfn.XLOOKUP($A235,Korrelation!$D$4:$D$1197,Korrelation!J$4:J$1197,"",0),DMAV_Dienste!$F$6:$F$140,0)))</f>
        <v>0</v>
      </c>
      <c r="H235" s="57">
        <f>IF($A235="","",IF(_xlfn.XLOOKUP($A235,Korrelation!$D$4:$D$1197,Korrelation!K$4:K$1197,"-",0)="-",0,MATCH(_xlfn.XLOOKUP($A235,Korrelation!$D$4:$D$1197,Korrelation!K$4:K$1197,"",0),'DM01-AV-CH'!$A$6:$A$834,0)))</f>
        <v>107</v>
      </c>
      <c r="J235" s="54" t="str" cm="1">
        <f t="array" aca="1" ref="J235" ca="1">IF(B235=0,IF(E235=0,"",HYPERLINK("#"&amp;RIGHT(CELL("adresse",OFFSET(DMAV_Dienste!$M$6,E235-1,0)),LEN(CELL("adresse",OFFSET(DMAV_Dienste!$M$6,E235-1,0)))-FIND("]",CELL("adresse",OFFSET(DMAV_Dienste!$M$6,E235-1,0)))),"Dienst")),HYPERLINK("#"&amp;RIGHT(CELL("adresse",OFFSET(DMAV_Modell!$N$6,B235-1,0)),LEN(CELL("adresse",OFFSET(DMAV_Modell!$N$6,B235-1,0)))-FIND("]",CELL("adresse",OFFSET(DMAV_Modell!$N$6,B235-1,0)))),"Modell"))</f>
        <v>Dienst</v>
      </c>
      <c r="K235" s="61" t="str" cm="1">
        <f t="array" ref="K235">IF($B235=0,IF($E235=0,"",IF(INDEX(DMAV_Dienste!P$6:P$140,$E235)="","",INDEX(DMAV_Dienste!P$6:P$140,$E235))),IF(INDEX(DMAV_Modell!Q$6:Q$838,$B235)="","",INDEX(DMAV_Modell!Q$6:Q$838,$B235)))</f>
        <v>CLASS</v>
      </c>
      <c r="L235" s="62" t="str" cm="1">
        <f t="array" ref="L235">IF($B235=0,IF($E235=0,"",IF(INDEX(DMAV_Dienste!O$6:O$140,$E235)="","",INDEX(DMAV_Dienste!O$6:O$140,$E235))),IF(INDEX(DMAV_Modell!P$6:P$838,$B235)="","",INDEX(DMAV_Modell!P$6:P$838,$B235)))</f>
        <v>FPDS2</v>
      </c>
      <c r="M235" s="62" t="str" cm="1">
        <f t="array" ref="M235">IF($B235=0,IF($E235=0,"",IF(INDEX(DMAV_Dienste!Q$6:Q$140,$E235)="","",INDEX(DMAV_Dienste!Q$6:Q$140,$E235))),IF(INDEX(DMAV_Modell!R$6:R$838,$B235)="","",INDEX(DMAV_Modell!R$6:R$838,$B235)))</f>
        <v>FixpunkteNachfuehrung</v>
      </c>
      <c r="N235" s="62" t="str" cm="1">
        <f t="array" ref="N235">IF($B235=0,IF($E235=0,"",IF(INDEX(DMAV_Dienste!T$6:T$140,$E235)="","",INDEX(DMAV_Dienste!T$6:T$140,$E235))),IF(INDEX(DMAV_Modell!U$6:U$838,$B235)="","",INDEX(DMAV_Modell!U$6:U$838,$B235)))</f>
        <v>Beschreibung</v>
      </c>
      <c r="O235" s="63" t="str" cm="1">
        <f t="array" aca="1" ref="O235" ca="1">IF(C235=0,IF(F235=0,"",HYPERLINK("#"&amp;RIGHT(CELL("adresse",OFFSET(DMAV_Dienste!$M$6,F235-1,0)),LEN(CELL("adresse",OFFSET(DMAV_Dienste!$M$6,F235-1,0)))-FIND("]",CELL("adresse",OFFSET(DMAV_Dienste!$M$6,F235-1,0)))),"Structure")),HYPERLINK("#"&amp;RIGHT(CELL("adresse",OFFSET(DMAV_Modell!$N$6,C235-1,0)),LEN(CELL("adresse",OFFSET(DMAV_Modell!$N$6,C235-1,0)))-FIND("]",CELL("adresse",OFFSET(DMAV_Modell!$N$6,C235-1,0)))),"Structure"))</f>
        <v/>
      </c>
      <c r="P235" s="64" t="str" cm="1">
        <f t="array" aca="1" ref="P235" ca="1">IF(D235=0,IF(G235=0,"",HYPERLINK("#"&amp;RIGHT(CELL("adresse",OFFSET(DMAV_Dienste!$M$6,G235-1,0)),LEN(CELL("adresse",OFFSET(DMAV_Dienste!$M$6,G235-1,0)))-FIND("]",CELL("adresse",OFFSET(DMAV_Dienste!$M$6,G235-1,0)))),"Substructure")),HYPERLINK("#"&amp;RIGHT(CELL("adresse",OFFSET(DMAV_Modell!$N$6,D235-1,0)),LEN(CELL("adresse",OFFSET(DMAV_Modell!$N$6,D235-1,0)))-FIND("]",CELL("adresse",OFFSET(DMAV_Modell!$N$6,D235-1,0)))),"Substructure"))</f>
        <v/>
      </c>
      <c r="R235" s="80"/>
      <c r="T235" s="93"/>
      <c r="U235" s="94"/>
      <c r="V235" s="95"/>
      <c r="W235" s="96"/>
      <c r="Y235" s="85" t="s">
        <v>5874</v>
      </c>
      <c r="Z235" s="86"/>
      <c r="AA235" s="87"/>
      <c r="AB235" s="88"/>
      <c r="AD235" s="77"/>
      <c r="AF235" s="54" t="str" cm="1">
        <f t="array" aca="1" ref="AF235" ca="1">IF(H235=0,"",HYPERLINK("#"&amp;RIGHT(CELL("adresse",OFFSET('DM01-AV-CH'!$G$6,H235-1,0)),LEN(CELL("adresse",OFFSET('DM01-AV-CH'!$G$6,H235-1,0)))-FIND("]",CELL("adresse",OFFSET('DM01-AV-CH'!$G$6,H235-1,0)))),"Modell"))</f>
        <v>Modell</v>
      </c>
      <c r="AG235" s="72" t="str" cm="1">
        <f t="array" ref="AG235">IF($H235=0,"",IF(INDEX('DM01-AV-CH'!G$6:G$834,$H235)="","",INDEX('DM01-AV-CH'!G$6:G$834,$H235)))</f>
        <v>FixpunkteKategorie2</v>
      </c>
      <c r="AH235" s="73" t="str" cm="1">
        <f t="array" ref="AH235">IF($H235=0,"",IF(INDEX('DM01-AV-CH'!H$6:H$834,$H235)="","",INDEX('DM01-AV-CH'!H$6:H$834,$H235)))</f>
        <v>HFP2Nachfuehrung</v>
      </c>
      <c r="AI235" s="74" t="str" cm="1">
        <f t="array" ref="AI235">IF($H235=0,"",IF(INDEX('DM01-AV-CH'!I$6:I$834,$H235)="","",INDEX('DM01-AV-CH'!I$6:I$834,$H235)))</f>
        <v>Beschreibung</v>
      </c>
    </row>
    <row r="236" spans="1:35" x14ac:dyDescent="0.25">
      <c r="A236" s="57">
        <v>231</v>
      </c>
      <c r="B236" s="57">
        <f>IF($A236="","",IF(_xlfn.XLOOKUP($A236,Korrelation!$D$4:$D$1197,Korrelation!E$4:E$1197,"-",0)="-",0,MATCH(_xlfn.XLOOKUP($A236,Korrelation!$D$4:$D$1197,Korrelation!E$4:E$1197,"",0),DMAV_Modell!$G$6:$G$677,0)))</f>
        <v>0</v>
      </c>
      <c r="C236" s="57">
        <f>IF($A236="","",IF(_xlfn.XLOOKUP($A236,Korrelation!$D$4:$D$1197,Korrelation!F$4:F$1197,"-",0)="-",0,MATCH(_xlfn.XLOOKUP($A236,Korrelation!$D$4:$D$1197,Korrelation!F$4:F$1197,"",0),DMAV_Modell!$G$6:$G$677,0)))</f>
        <v>0</v>
      </c>
      <c r="D236" s="57">
        <f>IF($A236="","",IF(_xlfn.XLOOKUP($A236,Korrelation!$D$4:$D$1197,Korrelation!G$4:G$1197,"-",0)="-",0,MATCH(_xlfn.XLOOKUP($A236,Korrelation!$D$4:$D$1197,Korrelation!G$4:G$1197,"",0),DMAV_Modell!$G$6:$G$677,0)))</f>
        <v>0</v>
      </c>
      <c r="E236" s="57">
        <f>IF($A236="","",IF(_xlfn.XLOOKUP($A236,Korrelation!$D$4:$D$1197,Korrelation!H$4:H$1197,"-",0)="-",0,MATCH(_xlfn.XLOOKUP($A236,Korrelation!$D$4:$D$1197,Korrelation!H$4:H$1197,"",0),DMAV_Dienste!$F$6:$F$140,0)))</f>
        <v>114</v>
      </c>
      <c r="F236" s="57">
        <f>IF($A236="","",IF(_xlfn.XLOOKUP($A236,Korrelation!$D$4:$D$1197,Korrelation!I$4:I$1197,"-",0)="-",0,MATCH(_xlfn.XLOOKUP($A236,Korrelation!$D$4:$D$1197,Korrelation!I$4:I$1197,"",0),DMAV_Dienste!$F$6:$F$140,0)))</f>
        <v>0</v>
      </c>
      <c r="G236" s="57">
        <f>IF($A236="","",IF(_xlfn.XLOOKUP($A236,Korrelation!$D$4:$D$1197,Korrelation!J$4:J$1197,"-",0)="-",0,MATCH(_xlfn.XLOOKUP($A236,Korrelation!$D$4:$D$1197,Korrelation!J$4:J$1197,"",0),DMAV_Dienste!$F$6:$F$140,0)))</f>
        <v>0</v>
      </c>
      <c r="H236" s="57">
        <f>IF($A236="","",IF(_xlfn.XLOOKUP($A236,Korrelation!$D$4:$D$1197,Korrelation!K$4:K$1197,"-",0)="-",0,MATCH(_xlfn.XLOOKUP($A236,Korrelation!$D$4:$D$1197,Korrelation!K$4:K$1197,"",0),'DM01-AV-CH'!$A$6:$A$834,0)))</f>
        <v>109</v>
      </c>
      <c r="J236" s="54" t="str" cm="1">
        <f t="array" aca="1" ref="J236" ca="1">IF(B236=0,IF(E236=0,"",HYPERLINK("#"&amp;RIGHT(CELL("adresse",OFFSET(DMAV_Dienste!$M$6,E236-1,0)),LEN(CELL("adresse",OFFSET(DMAV_Dienste!$M$6,E236-1,0)))-FIND("]",CELL("adresse",OFFSET(DMAV_Dienste!$M$6,E236-1,0)))),"Dienst")),HYPERLINK("#"&amp;RIGHT(CELL("adresse",OFFSET(DMAV_Modell!$N$6,B236-1,0)),LEN(CELL("adresse",OFFSET(DMAV_Modell!$N$6,B236-1,0)))-FIND("]",CELL("adresse",OFFSET(DMAV_Modell!$N$6,B236-1,0)))),"Modell"))</f>
        <v>Dienst</v>
      </c>
      <c r="K236" s="61" t="str" cm="1">
        <f t="array" ref="K236">IF($B236=0,IF($E236=0,"",IF(INDEX(DMAV_Dienste!P$6:P$140,$E236)="","",INDEX(DMAV_Dienste!P$6:P$140,$E236))),IF(INDEX(DMAV_Modell!Q$6:Q$838,$B236)="","",INDEX(DMAV_Modell!Q$6:Q$838,$B236)))</f>
        <v>CLASS</v>
      </c>
      <c r="L236" s="62" t="str" cm="1">
        <f t="array" ref="L236">IF($B236=0,IF($E236=0,"",IF(INDEX(DMAV_Dienste!O$6:O$140,$E236)="","",INDEX(DMAV_Dienste!O$6:O$140,$E236))),IF(INDEX(DMAV_Modell!P$6:P$838,$B236)="","",INDEX(DMAV_Modell!P$6:P$838,$B236)))</f>
        <v>FPDS2</v>
      </c>
      <c r="M236" s="62" t="str" cm="1">
        <f t="array" ref="M236">IF($B236=0,IF($E236=0,"",IF(INDEX(DMAV_Dienste!Q$6:Q$140,$E236)="","",INDEX(DMAV_Dienste!Q$6:Q$140,$E236))),IF(INDEX(DMAV_Modell!R$6:R$838,$B236)="","",INDEX(DMAV_Modell!R$6:R$838,$B236)))</f>
        <v>FixpunkteNachfuehrung</v>
      </c>
      <c r="N236" s="62" t="str" cm="1">
        <f t="array" ref="N236">IF($B236=0,IF($E236=0,"",IF(INDEX(DMAV_Dienste!T$6:T$140,$E236)="","",INDEX(DMAV_Dienste!T$6:T$140,$E236))),IF(INDEX(DMAV_Modell!U$6:U$838,$B236)="","",INDEX(DMAV_Modell!U$6:U$838,$B236)))</f>
        <v>GueltigerEintrag</v>
      </c>
      <c r="O236" s="63" t="str" cm="1">
        <f t="array" aca="1" ref="O236" ca="1">IF(C236=0,IF(F236=0,"",HYPERLINK("#"&amp;RIGHT(CELL("adresse",OFFSET(DMAV_Dienste!$M$6,F236-1,0)),LEN(CELL("adresse",OFFSET(DMAV_Dienste!$M$6,F236-1,0)))-FIND("]",CELL("adresse",OFFSET(DMAV_Dienste!$M$6,F236-1,0)))),"Structure")),HYPERLINK("#"&amp;RIGHT(CELL("adresse",OFFSET(DMAV_Modell!$N$6,C236-1,0)),LEN(CELL("adresse",OFFSET(DMAV_Modell!$N$6,C236-1,0)))-FIND("]",CELL("adresse",OFFSET(DMAV_Modell!$N$6,C236-1,0)))),"Structure"))</f>
        <v/>
      </c>
      <c r="P236" s="64" t="str" cm="1">
        <f t="array" aca="1" ref="P236" ca="1">IF(D236=0,IF(G236=0,"",HYPERLINK("#"&amp;RIGHT(CELL("adresse",OFFSET(DMAV_Dienste!$M$6,G236-1,0)),LEN(CELL("adresse",OFFSET(DMAV_Dienste!$M$6,G236-1,0)))-FIND("]",CELL("adresse",OFFSET(DMAV_Dienste!$M$6,G236-1,0)))),"Substructure")),HYPERLINK("#"&amp;RIGHT(CELL("adresse",OFFSET(DMAV_Modell!$N$6,D236-1,0)),LEN(CELL("adresse",OFFSET(DMAV_Modell!$N$6,D236-1,0)))-FIND("]",CELL("adresse",OFFSET(DMAV_Modell!$N$6,D236-1,0)))),"Substructure"))</f>
        <v/>
      </c>
      <c r="R236" s="80"/>
      <c r="T236" s="93"/>
      <c r="U236" s="94"/>
      <c r="V236" s="95"/>
      <c r="W236" s="96"/>
      <c r="Y236" s="85" t="s">
        <v>5874</v>
      </c>
      <c r="Z236" s="86"/>
      <c r="AA236" s="87"/>
      <c r="AB236" s="88"/>
      <c r="AD236" s="77"/>
      <c r="AF236" s="54" t="str" cm="1">
        <f t="array" aca="1" ref="AF236" ca="1">IF(H236=0,"",HYPERLINK("#"&amp;RIGHT(CELL("adresse",OFFSET('DM01-AV-CH'!$G$6,H236-1,0)),LEN(CELL("adresse",OFFSET('DM01-AV-CH'!$G$6,H236-1,0)))-FIND("]",CELL("adresse",OFFSET('DM01-AV-CH'!$G$6,H236-1,0)))),"Modell"))</f>
        <v>Modell</v>
      </c>
      <c r="AG236" s="72" t="str" cm="1">
        <f t="array" ref="AG236">IF($H236=0,"",IF(INDEX('DM01-AV-CH'!G$6:G$834,$H236)="","",INDEX('DM01-AV-CH'!G$6:G$834,$H236)))</f>
        <v>FixpunkteKategorie2</v>
      </c>
      <c r="AH236" s="73" t="str" cm="1">
        <f t="array" ref="AH236">IF($H236=0,"",IF(INDEX('DM01-AV-CH'!H$6:H$834,$H236)="","",INDEX('DM01-AV-CH'!H$6:H$834,$H236)))</f>
        <v>HFP2Nachfuehrung</v>
      </c>
      <c r="AI236" s="74" t="str" cm="1">
        <f t="array" ref="AI236">IF($H236=0,"",IF(INDEX('DM01-AV-CH'!I$6:I$834,$H236)="","",INDEX('DM01-AV-CH'!I$6:I$834,$H236)))</f>
        <v>GueltigerEintrag</v>
      </c>
    </row>
    <row r="237" spans="1:35" x14ac:dyDescent="0.25">
      <c r="A237" s="57">
        <v>232</v>
      </c>
      <c r="B237" s="57">
        <f>IF($A237="","",IF(_xlfn.XLOOKUP($A237,Korrelation!$D$4:$D$1197,Korrelation!E$4:E$1197,"-",0)="-",0,MATCH(_xlfn.XLOOKUP($A237,Korrelation!$D$4:$D$1197,Korrelation!E$4:E$1197,"",0),DMAV_Modell!$G$6:$G$677,0)))</f>
        <v>0</v>
      </c>
      <c r="C237" s="57">
        <f>IF($A237="","",IF(_xlfn.XLOOKUP($A237,Korrelation!$D$4:$D$1197,Korrelation!F$4:F$1197,"-",0)="-",0,MATCH(_xlfn.XLOOKUP($A237,Korrelation!$D$4:$D$1197,Korrelation!F$4:F$1197,"",0),DMAV_Modell!$G$6:$G$677,0)))</f>
        <v>0</v>
      </c>
      <c r="D237" s="57">
        <f>IF($A237="","",IF(_xlfn.XLOOKUP($A237,Korrelation!$D$4:$D$1197,Korrelation!G$4:G$1197,"-",0)="-",0,MATCH(_xlfn.XLOOKUP($A237,Korrelation!$D$4:$D$1197,Korrelation!G$4:G$1197,"",0),DMAV_Modell!$G$6:$G$677,0)))</f>
        <v>0</v>
      </c>
      <c r="E237" s="57">
        <f>IF($A237="","",IF(_xlfn.XLOOKUP($A237,Korrelation!$D$4:$D$1197,Korrelation!H$4:H$1197,"-",0)="-",0,MATCH(_xlfn.XLOOKUP($A237,Korrelation!$D$4:$D$1197,Korrelation!H$4:H$1197,"",0),DMAV_Dienste!$F$6:$F$140,0)))</f>
        <v>115</v>
      </c>
      <c r="F237" s="57">
        <f>IF($A237="","",IF(_xlfn.XLOOKUP($A237,Korrelation!$D$4:$D$1197,Korrelation!I$4:I$1197,"-",0)="-",0,MATCH(_xlfn.XLOOKUP($A237,Korrelation!$D$4:$D$1197,Korrelation!I$4:I$1197,"",0),DMAV_Dienste!$F$6:$F$140,0)))</f>
        <v>0</v>
      </c>
      <c r="G237" s="57">
        <f>IF($A237="","",IF(_xlfn.XLOOKUP($A237,Korrelation!$D$4:$D$1197,Korrelation!J$4:J$1197,"-",0)="-",0,MATCH(_xlfn.XLOOKUP($A237,Korrelation!$D$4:$D$1197,Korrelation!J$4:J$1197,"",0),DMAV_Dienste!$F$6:$F$140,0)))</f>
        <v>0</v>
      </c>
      <c r="H237" s="57">
        <f>IF($A237="","",IF(_xlfn.XLOOKUP($A237,Korrelation!$D$4:$D$1197,Korrelation!K$4:K$1197,"-",0)="-",0,MATCH(_xlfn.XLOOKUP($A237,Korrelation!$D$4:$D$1197,Korrelation!K$4:K$1197,"",0),'DM01-AV-CH'!$A$6:$A$834,0)))</f>
        <v>110</v>
      </c>
      <c r="J237" s="54" t="str" cm="1">
        <f t="array" aca="1" ref="J237" ca="1">IF(B237=0,IF(E237=0,"",HYPERLINK("#"&amp;RIGHT(CELL("adresse",OFFSET(DMAV_Dienste!$M$6,E237-1,0)),LEN(CELL("adresse",OFFSET(DMAV_Dienste!$M$6,E237-1,0)))-FIND("]",CELL("adresse",OFFSET(DMAV_Dienste!$M$6,E237-1,0)))),"Dienst")),HYPERLINK("#"&amp;RIGHT(CELL("adresse",OFFSET(DMAV_Modell!$N$6,B237-1,0)),LEN(CELL("adresse",OFFSET(DMAV_Modell!$N$6,B237-1,0)))-FIND("]",CELL("adresse",OFFSET(DMAV_Modell!$N$6,B237-1,0)))),"Modell"))</f>
        <v>Dienst</v>
      </c>
      <c r="K237" s="61" t="str" cm="1">
        <f t="array" ref="K237">IF($B237=0,IF($E237=0,"",IF(INDEX(DMAV_Dienste!P$6:P$140,$E237)="","",INDEX(DMAV_Dienste!P$6:P$140,$E237))),IF(INDEX(DMAV_Modell!Q$6:Q$838,$B237)="","",INDEX(DMAV_Modell!Q$6:Q$838,$B237)))</f>
        <v>CLASS</v>
      </c>
      <c r="L237" s="62" t="str" cm="1">
        <f t="array" ref="L237">IF($B237=0,IF($E237=0,"",IF(INDEX(DMAV_Dienste!O$6:O$140,$E237)="","",INDEX(DMAV_Dienste!O$6:O$140,$E237))),IF(INDEX(DMAV_Modell!P$6:P$838,$B237)="","",INDEX(DMAV_Modell!P$6:P$838,$B237)))</f>
        <v>FPDS2</v>
      </c>
      <c r="M237" s="62" t="str" cm="1">
        <f t="array" ref="M237">IF($B237=0,IF($E237=0,"",IF(INDEX(DMAV_Dienste!Q$6:Q$140,$E237)="","",INDEX(DMAV_Dienste!Q$6:Q$140,$E237))),IF(INDEX(DMAV_Modell!R$6:R$838,$B237)="","",INDEX(DMAV_Modell!R$6:R$838,$B237)))</f>
        <v>FixpunkteNachfuehrung</v>
      </c>
      <c r="N237" s="62" t="str" cm="1">
        <f t="array" ref="N237">IF($B237=0,IF($E237=0,"",IF(INDEX(DMAV_Dienste!T$6:T$140,$E237)="","",INDEX(DMAV_Dienste!T$6:T$140,$E237))),IF(INDEX(DMAV_Modell!U$6:U$838,$B237)="","",INDEX(DMAV_Modell!U$6:U$838,$B237)))</f>
        <v>DatumEroeffnung</v>
      </c>
      <c r="O237" s="63" t="str" cm="1">
        <f t="array" aca="1" ref="O237" ca="1">IF(C237=0,IF(F237=0,"",HYPERLINK("#"&amp;RIGHT(CELL("adresse",OFFSET(DMAV_Dienste!$M$6,F237-1,0)),LEN(CELL("adresse",OFFSET(DMAV_Dienste!$M$6,F237-1,0)))-FIND("]",CELL("adresse",OFFSET(DMAV_Dienste!$M$6,F237-1,0)))),"Structure")),HYPERLINK("#"&amp;RIGHT(CELL("adresse",OFFSET(DMAV_Modell!$N$6,C237-1,0)),LEN(CELL("adresse",OFFSET(DMAV_Modell!$N$6,C237-1,0)))-FIND("]",CELL("adresse",OFFSET(DMAV_Modell!$N$6,C237-1,0)))),"Structure"))</f>
        <v/>
      </c>
      <c r="P237" s="64" t="str" cm="1">
        <f t="array" aca="1" ref="P237" ca="1">IF(D237=0,IF(G237=0,"",HYPERLINK("#"&amp;RIGHT(CELL("adresse",OFFSET(DMAV_Dienste!$M$6,G237-1,0)),LEN(CELL("adresse",OFFSET(DMAV_Dienste!$M$6,G237-1,0)))-FIND("]",CELL("adresse",OFFSET(DMAV_Dienste!$M$6,G237-1,0)))),"Substructure")),HYPERLINK("#"&amp;RIGHT(CELL("adresse",OFFSET(DMAV_Modell!$N$6,D237-1,0)),LEN(CELL("adresse",OFFSET(DMAV_Modell!$N$6,D237-1,0)))-FIND("]",CELL("adresse",OFFSET(DMAV_Modell!$N$6,D237-1,0)))),"Substructure"))</f>
        <v/>
      </c>
      <c r="R237" s="80"/>
      <c r="T237" s="93"/>
      <c r="U237" s="94"/>
      <c r="V237" s="95"/>
      <c r="W237" s="96"/>
      <c r="Y237" s="85" t="s">
        <v>5874</v>
      </c>
      <c r="Z237" s="86"/>
      <c r="AA237" s="87"/>
      <c r="AB237" s="88"/>
      <c r="AD237" s="77" t="s">
        <v>3049</v>
      </c>
      <c r="AF237" s="54" t="str" cm="1">
        <f t="array" aca="1" ref="AF237" ca="1">IF(H237=0,"",HYPERLINK("#"&amp;RIGHT(CELL("adresse",OFFSET('DM01-AV-CH'!$G$6,H237-1,0)),LEN(CELL("adresse",OFFSET('DM01-AV-CH'!$G$6,H237-1,0)))-FIND("]",CELL("adresse",OFFSET('DM01-AV-CH'!$G$6,H237-1,0)))),"Modell"))</f>
        <v>Modell</v>
      </c>
      <c r="AG237" s="72" t="str" cm="1">
        <f t="array" ref="AG237">IF($H237=0,"",IF(INDEX('DM01-AV-CH'!G$6:G$834,$H237)="","",INDEX('DM01-AV-CH'!G$6:G$834,$H237)))</f>
        <v>FixpunkteKategorie2</v>
      </c>
      <c r="AH237" s="73" t="str" cm="1">
        <f t="array" ref="AH237">IF($H237=0,"",IF(INDEX('DM01-AV-CH'!H$6:H$834,$H237)="","",INDEX('DM01-AV-CH'!H$6:H$834,$H237)))</f>
        <v>HFP2Nachfuehrung</v>
      </c>
      <c r="AI237" s="74" t="str" cm="1">
        <f t="array" ref="AI237">IF($H237=0,"",IF(INDEX('DM01-AV-CH'!I$6:I$834,$H237)="","",INDEX('DM01-AV-CH'!I$6:I$834,$H237)))</f>
        <v>Datum1</v>
      </c>
    </row>
    <row r="238" spans="1:35" x14ac:dyDescent="0.25">
      <c r="A238" s="57">
        <v>233</v>
      </c>
      <c r="B238" s="57">
        <f>IF($A238="","",IF(_xlfn.XLOOKUP($A238,Korrelation!$D$4:$D$1197,Korrelation!E$4:E$1197,"-",0)="-",0,MATCH(_xlfn.XLOOKUP($A238,Korrelation!$D$4:$D$1197,Korrelation!E$4:E$1197,"",0),DMAV_Modell!$G$6:$G$677,0)))</f>
        <v>0</v>
      </c>
      <c r="C238" s="57">
        <f>IF($A238="","",IF(_xlfn.XLOOKUP($A238,Korrelation!$D$4:$D$1197,Korrelation!F$4:F$1197,"-",0)="-",0,MATCH(_xlfn.XLOOKUP($A238,Korrelation!$D$4:$D$1197,Korrelation!F$4:F$1197,"",0),DMAV_Modell!$G$6:$G$677,0)))</f>
        <v>0</v>
      </c>
      <c r="D238" s="57">
        <f>IF($A238="","",IF(_xlfn.XLOOKUP($A238,Korrelation!$D$4:$D$1197,Korrelation!G$4:G$1197,"-",0)="-",0,MATCH(_xlfn.XLOOKUP($A238,Korrelation!$D$4:$D$1197,Korrelation!G$4:G$1197,"",0),DMAV_Modell!$G$6:$G$677,0)))</f>
        <v>0</v>
      </c>
      <c r="E238" s="57">
        <f>IF($A238="","",IF(_xlfn.XLOOKUP($A238,Korrelation!$D$4:$D$1197,Korrelation!H$4:H$1197,"-",0)="-",0,MATCH(_xlfn.XLOOKUP($A238,Korrelation!$D$4:$D$1197,Korrelation!H$4:H$1197,"",0),DMAV_Dienste!$F$6:$F$140,0)))</f>
        <v>116</v>
      </c>
      <c r="F238" s="57">
        <f>IF($A238="","",IF(_xlfn.XLOOKUP($A238,Korrelation!$D$4:$D$1197,Korrelation!I$4:I$1197,"-",0)="-",0,MATCH(_xlfn.XLOOKUP($A238,Korrelation!$D$4:$D$1197,Korrelation!I$4:I$1197,"",0),DMAV_Dienste!$F$6:$F$140,0)))</f>
        <v>0</v>
      </c>
      <c r="G238" s="57">
        <f>IF($A238="","",IF(_xlfn.XLOOKUP($A238,Korrelation!$D$4:$D$1197,Korrelation!J$4:J$1197,"-",0)="-",0,MATCH(_xlfn.XLOOKUP($A238,Korrelation!$D$4:$D$1197,Korrelation!J$4:J$1197,"",0),DMAV_Dienste!$F$6:$F$140,0)))</f>
        <v>0</v>
      </c>
      <c r="H238" s="57">
        <f>IF($A238="","",IF(_xlfn.XLOOKUP($A238,Korrelation!$D$4:$D$1197,Korrelation!K$4:K$1197,"-",0)="-",0,MATCH(_xlfn.XLOOKUP($A238,Korrelation!$D$4:$D$1197,Korrelation!K$4:K$1197,"",0),'DM01-AV-CH'!$A$6:$A$834,0)))</f>
        <v>106</v>
      </c>
      <c r="J238" s="54" t="str" cm="1">
        <f t="array" aca="1" ref="J238" ca="1">IF(B238=0,IF(E238=0,"",HYPERLINK("#"&amp;RIGHT(CELL("adresse",OFFSET(DMAV_Dienste!$M$6,E238-1,0)),LEN(CELL("adresse",OFFSET(DMAV_Dienste!$M$6,E238-1,0)))-FIND("]",CELL("adresse",OFFSET(DMAV_Dienste!$M$6,E238-1,0)))),"Dienst")),HYPERLINK("#"&amp;RIGHT(CELL("adresse",OFFSET(DMAV_Modell!$N$6,B238-1,0)),LEN(CELL("adresse",OFFSET(DMAV_Modell!$N$6,B238-1,0)))-FIND("]",CELL("adresse",OFFSET(DMAV_Modell!$N$6,B238-1,0)))),"Modell"))</f>
        <v>Dienst</v>
      </c>
      <c r="K238" s="61" t="str" cm="1">
        <f t="array" ref="K238">IF($B238=0,IF($E238=0,"",IF(INDEX(DMAV_Dienste!P$6:P$140,$E238)="","",INDEX(DMAV_Dienste!P$6:P$140,$E238))),IF(INDEX(DMAV_Modell!Q$6:Q$838,$B238)="","",INDEX(DMAV_Modell!Q$6:Q$838,$B238)))</f>
        <v>CLASS</v>
      </c>
      <c r="L238" s="62" t="str" cm="1">
        <f t="array" ref="L238">IF($B238=0,IF($E238=0,"",IF(INDEX(DMAV_Dienste!O$6:O$140,$E238)="","",INDEX(DMAV_Dienste!O$6:O$140,$E238))),IF(INDEX(DMAV_Modell!P$6:P$838,$B238)="","",INDEX(DMAV_Modell!P$6:P$838,$B238)))</f>
        <v>FPDS2</v>
      </c>
      <c r="M238" s="62" t="str" cm="1">
        <f t="array" ref="M238">IF($B238=0,IF($E238=0,"",IF(INDEX(DMAV_Dienste!Q$6:Q$140,$E238)="","",INDEX(DMAV_Dienste!Q$6:Q$140,$E238))),IF(INDEX(DMAV_Modell!R$6:R$838,$B238)="","",INDEX(DMAV_Modell!R$6:R$838,$B238)))</f>
        <v>FixpunkteNachfuehrung</v>
      </c>
      <c r="N238" s="62" t="str" cm="1">
        <f t="array" ref="N238">IF($B238=0,IF($E238=0,"",IF(INDEX(DMAV_Dienste!T$6:T$140,$E238)="","",INDEX(DMAV_Dienste!T$6:T$140,$E238))),IF(INDEX(DMAV_Modell!U$6:U$838,$B238)="","",INDEX(DMAV_Modell!U$6:U$838,$B238)))</f>
        <v>Identifikator</v>
      </c>
      <c r="O238" s="63" t="str" cm="1">
        <f t="array" aca="1" ref="O238" ca="1">IF(C238=0,IF(F238=0,"",HYPERLINK("#"&amp;RIGHT(CELL("adresse",OFFSET(DMAV_Dienste!$M$6,F238-1,0)),LEN(CELL("adresse",OFFSET(DMAV_Dienste!$M$6,F238-1,0)))-FIND("]",CELL("adresse",OFFSET(DMAV_Dienste!$M$6,F238-1,0)))),"Structure")),HYPERLINK("#"&amp;RIGHT(CELL("adresse",OFFSET(DMAV_Modell!$N$6,C238-1,0)),LEN(CELL("adresse",OFFSET(DMAV_Modell!$N$6,C238-1,0)))-FIND("]",CELL("adresse",OFFSET(DMAV_Modell!$N$6,C238-1,0)))),"Structure"))</f>
        <v/>
      </c>
      <c r="P238" s="64" t="str" cm="1">
        <f t="array" aca="1" ref="P238" ca="1">IF(D238=0,IF(G238=0,"",HYPERLINK("#"&amp;RIGHT(CELL("adresse",OFFSET(DMAV_Dienste!$M$6,G238-1,0)),LEN(CELL("adresse",OFFSET(DMAV_Dienste!$M$6,G238-1,0)))-FIND("]",CELL("adresse",OFFSET(DMAV_Dienste!$M$6,G238-1,0)))),"Substructure")),HYPERLINK("#"&amp;RIGHT(CELL("adresse",OFFSET(DMAV_Modell!$N$6,D238-1,0)),LEN(CELL("adresse",OFFSET(DMAV_Modell!$N$6,D238-1,0)))-FIND("]",CELL("adresse",OFFSET(DMAV_Modell!$N$6,D238-1,0)))),"Substructure"))</f>
        <v/>
      </c>
      <c r="R238" s="80"/>
      <c r="T238" s="93"/>
      <c r="U238" s="94"/>
      <c r="V238" s="95"/>
      <c r="W238" s="96"/>
      <c r="Y238" s="85" t="s">
        <v>5874</v>
      </c>
      <c r="Z238" s="86"/>
      <c r="AA238" s="87"/>
      <c r="AB238" s="88"/>
      <c r="AD238" s="77"/>
      <c r="AF238" s="54" t="str" cm="1">
        <f t="array" aca="1" ref="AF238" ca="1">IF(H238=0,"",HYPERLINK("#"&amp;RIGHT(CELL("adresse",OFFSET('DM01-AV-CH'!$G$6,H238-1,0)),LEN(CELL("adresse",OFFSET('DM01-AV-CH'!$G$6,H238-1,0)))-FIND("]",CELL("adresse",OFFSET('DM01-AV-CH'!$G$6,H238-1,0)))),"Modell"))</f>
        <v>Modell</v>
      </c>
      <c r="AG238" s="72" t="str" cm="1">
        <f t="array" ref="AG238">IF($H238=0,"",IF(INDEX('DM01-AV-CH'!G$6:G$834,$H238)="","",INDEX('DM01-AV-CH'!G$6:G$834,$H238)))</f>
        <v>FixpunkteKategorie2</v>
      </c>
      <c r="AH238" s="73" t="str" cm="1">
        <f t="array" ref="AH238">IF($H238=0,"",IF(INDEX('DM01-AV-CH'!H$6:H$834,$H238)="","",INDEX('DM01-AV-CH'!H$6:H$834,$H238)))</f>
        <v>HFP2Nachfuehrung</v>
      </c>
      <c r="AI238" s="74" t="str" cm="1">
        <f t="array" ref="AI238">IF($H238=0,"",IF(INDEX('DM01-AV-CH'!I$6:I$834,$H238)="","",INDEX('DM01-AV-CH'!I$6:I$834,$H238)))</f>
        <v>Identifikator</v>
      </c>
    </row>
    <row r="239" spans="1:35" x14ac:dyDescent="0.25">
      <c r="A239" s="57">
        <v>234</v>
      </c>
      <c r="B239" s="57">
        <f>IF($A239="","",IF(_xlfn.XLOOKUP($A239,Korrelation!$D$4:$D$1197,Korrelation!E$4:E$1197,"-",0)="-",0,MATCH(_xlfn.XLOOKUP($A239,Korrelation!$D$4:$D$1197,Korrelation!E$4:E$1197,"",0),DMAV_Modell!$G$6:$G$677,0)))</f>
        <v>0</v>
      </c>
      <c r="C239" s="57">
        <f>IF($A239="","",IF(_xlfn.XLOOKUP($A239,Korrelation!$D$4:$D$1197,Korrelation!F$4:F$1197,"-",0)="-",0,MATCH(_xlfn.XLOOKUP($A239,Korrelation!$D$4:$D$1197,Korrelation!F$4:F$1197,"",0),DMAV_Modell!$G$6:$G$677,0)))</f>
        <v>0</v>
      </c>
      <c r="D239" s="57">
        <f>IF($A239="","",IF(_xlfn.XLOOKUP($A239,Korrelation!$D$4:$D$1197,Korrelation!G$4:G$1197,"-",0)="-",0,MATCH(_xlfn.XLOOKUP($A239,Korrelation!$D$4:$D$1197,Korrelation!G$4:G$1197,"",0),DMAV_Modell!$G$6:$G$677,0)))</f>
        <v>0</v>
      </c>
      <c r="E239" s="57">
        <f>IF($A239="","",IF(_xlfn.XLOOKUP($A239,Korrelation!$D$4:$D$1197,Korrelation!H$4:H$1197,"-",0)="-",0,MATCH(_xlfn.XLOOKUP($A239,Korrelation!$D$4:$D$1197,Korrelation!H$4:H$1197,"",0),DMAV_Dienste!$F$6:$F$140,0)))</f>
        <v>117</v>
      </c>
      <c r="F239" s="57">
        <f>IF($A239="","",IF(_xlfn.XLOOKUP($A239,Korrelation!$D$4:$D$1197,Korrelation!I$4:I$1197,"-",0)="-",0,MATCH(_xlfn.XLOOKUP($A239,Korrelation!$D$4:$D$1197,Korrelation!I$4:I$1197,"",0),DMAV_Dienste!$F$6:$F$140,0)))</f>
        <v>0</v>
      </c>
      <c r="G239" s="57">
        <f>IF($A239="","",IF(_xlfn.XLOOKUP($A239,Korrelation!$D$4:$D$1197,Korrelation!J$4:J$1197,"-",0)="-",0,MATCH(_xlfn.XLOOKUP($A239,Korrelation!$D$4:$D$1197,Korrelation!J$4:J$1197,"",0),DMAV_Dienste!$F$6:$F$140,0)))</f>
        <v>0</v>
      </c>
      <c r="H239" s="57">
        <f>IF($A239="","",IF(_xlfn.XLOOKUP($A239,Korrelation!$D$4:$D$1197,Korrelation!K$4:K$1197,"-",0)="-",0,MATCH(_xlfn.XLOOKUP($A239,Korrelation!$D$4:$D$1197,Korrelation!K$4:K$1197,"",0),'DM01-AV-CH'!$A$6:$A$834,0)))</f>
        <v>105</v>
      </c>
      <c r="J239" s="54" t="str" cm="1">
        <f t="array" aca="1" ref="J239" ca="1">IF(B239=0,IF(E239=0,"",HYPERLINK("#"&amp;RIGHT(CELL("adresse",OFFSET(DMAV_Dienste!$M$6,E239-1,0)),LEN(CELL("adresse",OFFSET(DMAV_Dienste!$M$6,E239-1,0)))-FIND("]",CELL("adresse",OFFSET(DMAV_Dienste!$M$6,E239-1,0)))),"Dienst")),HYPERLINK("#"&amp;RIGHT(CELL("adresse",OFFSET(DMAV_Modell!$N$6,B239-1,0)),LEN(CELL("adresse",OFFSET(DMAV_Modell!$N$6,B239-1,0)))-FIND("]",CELL("adresse",OFFSET(DMAV_Modell!$N$6,B239-1,0)))),"Modell"))</f>
        <v>Dienst</v>
      </c>
      <c r="K239" s="61" t="str" cm="1">
        <f t="array" ref="K239">IF($B239=0,IF($E239=0,"",IF(INDEX(DMAV_Dienste!P$6:P$140,$E239)="","",INDEX(DMAV_Dienste!P$6:P$140,$E239))),IF(INDEX(DMAV_Modell!Q$6:Q$838,$B239)="","",INDEX(DMAV_Modell!Q$6:Q$838,$B239)))</f>
        <v>CLASS</v>
      </c>
      <c r="L239" s="62" t="str" cm="1">
        <f t="array" ref="L239">IF($B239=0,IF($E239=0,"",IF(INDEX(DMAV_Dienste!O$6:O$140,$E239)="","",INDEX(DMAV_Dienste!O$6:O$140,$E239))),IF(INDEX(DMAV_Modell!P$6:P$838,$B239)="","",INDEX(DMAV_Modell!P$6:P$838,$B239)))</f>
        <v>FPDS2</v>
      </c>
      <c r="M239" s="62" t="str" cm="1">
        <f t="array" ref="M239">IF($B239=0,IF($E239=0,"",IF(INDEX(DMAV_Dienste!Q$6:Q$140,$E239)="","",INDEX(DMAV_Dienste!Q$6:Q$140,$E239))),IF(INDEX(DMAV_Modell!R$6:R$838,$B239)="","",INDEX(DMAV_Modell!R$6:R$838,$B239)))</f>
        <v>FixpunkteNachfuehrung</v>
      </c>
      <c r="N239" s="62" t="str" cm="1">
        <f t="array" ref="N239">IF($B239=0,IF($E239=0,"",IF(INDEX(DMAV_Dienste!T$6:T$140,$E239)="","",INDEX(DMAV_Dienste!T$6:T$140,$E239))),IF(INDEX(DMAV_Modell!U$6:U$838,$B239)="","",INDEX(DMAV_Modell!U$6:U$838,$B239)))</f>
        <v>NBIdent</v>
      </c>
      <c r="O239" s="63" t="str" cm="1">
        <f t="array" aca="1" ref="O239" ca="1">IF(C239=0,IF(F239=0,"",HYPERLINK("#"&amp;RIGHT(CELL("adresse",OFFSET(DMAV_Dienste!$M$6,F239-1,0)),LEN(CELL("adresse",OFFSET(DMAV_Dienste!$M$6,F239-1,0)))-FIND("]",CELL("adresse",OFFSET(DMAV_Dienste!$M$6,F239-1,0)))),"Structure")),HYPERLINK("#"&amp;RIGHT(CELL("adresse",OFFSET(DMAV_Modell!$N$6,C239-1,0)),LEN(CELL("adresse",OFFSET(DMAV_Modell!$N$6,C239-1,0)))-FIND("]",CELL("adresse",OFFSET(DMAV_Modell!$N$6,C239-1,0)))),"Structure"))</f>
        <v/>
      </c>
      <c r="P239" s="64" t="str" cm="1">
        <f t="array" aca="1" ref="P239" ca="1">IF(D239=0,IF(G239=0,"",HYPERLINK("#"&amp;RIGHT(CELL("adresse",OFFSET(DMAV_Dienste!$M$6,G239-1,0)),LEN(CELL("adresse",OFFSET(DMAV_Dienste!$M$6,G239-1,0)))-FIND("]",CELL("adresse",OFFSET(DMAV_Dienste!$M$6,G239-1,0)))),"Substructure")),HYPERLINK("#"&amp;RIGHT(CELL("adresse",OFFSET(DMAV_Modell!$N$6,D239-1,0)),LEN(CELL("adresse",OFFSET(DMAV_Modell!$N$6,D239-1,0)))-FIND("]",CELL("adresse",OFFSET(DMAV_Modell!$N$6,D239-1,0)))),"Substructure"))</f>
        <v/>
      </c>
      <c r="R239" s="80"/>
      <c r="T239" s="93"/>
      <c r="U239" s="94"/>
      <c r="V239" s="95"/>
      <c r="W239" s="96"/>
      <c r="Y239" s="85" t="s">
        <v>5874</v>
      </c>
      <c r="Z239" s="86"/>
      <c r="AA239" s="87"/>
      <c r="AB239" s="88"/>
      <c r="AD239" s="77"/>
      <c r="AF239" s="54" t="str" cm="1">
        <f t="array" aca="1" ref="AF239" ca="1">IF(H239=0,"",HYPERLINK("#"&amp;RIGHT(CELL("adresse",OFFSET('DM01-AV-CH'!$G$6,H239-1,0)),LEN(CELL("adresse",OFFSET('DM01-AV-CH'!$G$6,H239-1,0)))-FIND("]",CELL("adresse",OFFSET('DM01-AV-CH'!$G$6,H239-1,0)))),"Modell"))</f>
        <v>Modell</v>
      </c>
      <c r="AG239" s="72" t="str" cm="1">
        <f t="array" ref="AG239">IF($H239=0,"",IF(INDEX('DM01-AV-CH'!G$6:G$834,$H239)="","",INDEX('DM01-AV-CH'!G$6:G$834,$H239)))</f>
        <v>FixpunkteKategorie2</v>
      </c>
      <c r="AH239" s="73" t="str" cm="1">
        <f t="array" ref="AH239">IF($H239=0,"",IF(INDEX('DM01-AV-CH'!H$6:H$834,$H239)="","",INDEX('DM01-AV-CH'!H$6:H$834,$H239)))</f>
        <v>HFP2Nachfuehrung</v>
      </c>
      <c r="AI239" s="74" t="str" cm="1">
        <f t="array" ref="AI239">IF($H239=0,"",IF(INDEX('DM01-AV-CH'!I$6:I$834,$H239)="","",INDEX('DM01-AV-CH'!I$6:I$834,$H239)))</f>
        <v>NBIdent</v>
      </c>
    </row>
    <row r="240" spans="1:35" x14ac:dyDescent="0.25">
      <c r="A240" s="57">
        <v>235</v>
      </c>
      <c r="B240" s="57">
        <f>IF($A240="","",IF(_xlfn.XLOOKUP($A240,Korrelation!$D$4:$D$1197,Korrelation!E$4:E$1197,"-",0)="-",0,MATCH(_xlfn.XLOOKUP($A240,Korrelation!$D$4:$D$1197,Korrelation!E$4:E$1197,"",0),DMAV_Modell!$G$6:$G$677,0)))</f>
        <v>0</v>
      </c>
      <c r="C240" s="57">
        <f>IF($A240="","",IF(_xlfn.XLOOKUP($A240,Korrelation!$D$4:$D$1197,Korrelation!F$4:F$1197,"-",0)="-",0,MATCH(_xlfn.XLOOKUP($A240,Korrelation!$D$4:$D$1197,Korrelation!F$4:F$1197,"",0),DMAV_Modell!$G$6:$G$677,0)))</f>
        <v>0</v>
      </c>
      <c r="D240" s="57">
        <f>IF($A240="","",IF(_xlfn.XLOOKUP($A240,Korrelation!$D$4:$D$1197,Korrelation!G$4:G$1197,"-",0)="-",0,MATCH(_xlfn.XLOOKUP($A240,Korrelation!$D$4:$D$1197,Korrelation!G$4:G$1197,"",0),DMAV_Modell!$G$6:$G$677,0)))</f>
        <v>0</v>
      </c>
      <c r="E240" s="57">
        <f>IF($A240="","",IF(_xlfn.XLOOKUP($A240,Korrelation!$D$4:$D$1197,Korrelation!H$4:H$1197,"-",0)="-",0,MATCH(_xlfn.XLOOKUP($A240,Korrelation!$D$4:$D$1197,Korrelation!H$4:H$1197,"",0),DMAV_Dienste!$F$6:$F$140,0)))</f>
        <v>118</v>
      </c>
      <c r="F240" s="57">
        <f>IF($A240="","",IF(_xlfn.XLOOKUP($A240,Korrelation!$D$4:$D$1197,Korrelation!I$4:I$1197,"-",0)="-",0,MATCH(_xlfn.XLOOKUP($A240,Korrelation!$D$4:$D$1197,Korrelation!I$4:I$1197,"",0),DMAV_Dienste!$F$6:$F$140,0)))</f>
        <v>0</v>
      </c>
      <c r="G240" s="57">
        <f>IF($A240="","",IF(_xlfn.XLOOKUP($A240,Korrelation!$D$4:$D$1197,Korrelation!J$4:J$1197,"-",0)="-",0,MATCH(_xlfn.XLOOKUP($A240,Korrelation!$D$4:$D$1197,Korrelation!J$4:J$1197,"",0),DMAV_Dienste!$F$6:$F$140,0)))</f>
        <v>0</v>
      </c>
      <c r="H240" s="57">
        <f>IF($A240="","",IF(_xlfn.XLOOKUP($A240,Korrelation!$D$4:$D$1197,Korrelation!K$4:K$1197,"-",0)="-",0,MATCH(_xlfn.XLOOKUP($A240,Korrelation!$D$4:$D$1197,Korrelation!K$4:K$1197,"",0),'DM01-AV-CH'!$A$6:$A$834,0)))</f>
        <v>0</v>
      </c>
      <c r="J240" s="54" t="str" cm="1">
        <f t="array" aca="1" ref="J240" ca="1">IF(B240=0,IF(E240=0,"",HYPERLINK("#"&amp;RIGHT(CELL("adresse",OFFSET(DMAV_Dienste!$M$6,E240-1,0)),LEN(CELL("adresse",OFFSET(DMAV_Dienste!$M$6,E240-1,0)))-FIND("]",CELL("adresse",OFFSET(DMAV_Dienste!$M$6,E240-1,0)))),"Dienst")),HYPERLINK("#"&amp;RIGHT(CELL("adresse",OFFSET(DMAV_Modell!$N$6,B240-1,0)),LEN(CELL("adresse",OFFSET(DMAV_Modell!$N$6,B240-1,0)))-FIND("]",CELL("adresse",OFFSET(DMAV_Modell!$N$6,B240-1,0)))),"Modell"))</f>
        <v>Dienst</v>
      </c>
      <c r="K240" s="61" t="str" cm="1">
        <f t="array" ref="K240">IF($B240=0,IF($E240=0,"",IF(INDEX(DMAV_Dienste!P$6:P$140,$E240)="","",INDEX(DMAV_Dienste!P$6:P$140,$E240))),IF(INDEX(DMAV_Modell!Q$6:Q$838,$B240)="","",INDEX(DMAV_Modell!Q$6:Q$838,$B240)))</f>
        <v>CLASS</v>
      </c>
      <c r="L240" s="62" t="str" cm="1">
        <f t="array" ref="L240">IF($B240=0,IF($E240=0,"",IF(INDEX(DMAV_Dienste!O$6:O$140,$E240)="","",INDEX(DMAV_Dienste!O$6:O$140,$E240))),IF(INDEX(DMAV_Modell!P$6:P$838,$B240)="","",INDEX(DMAV_Modell!P$6:P$838,$B240)))</f>
        <v>FPDS2</v>
      </c>
      <c r="M240" s="62" t="str" cm="1">
        <f t="array" ref="M240">IF($B240=0,IF($E240=0,"",IF(INDEX(DMAV_Dienste!Q$6:Q$140,$E240)="","",INDEX(DMAV_Dienste!Q$6:Q$140,$E240))),IF(INDEX(DMAV_Modell!R$6:R$838,$B240)="","",INDEX(DMAV_Modell!R$6:R$838,$B240)))</f>
        <v>FixpunkteNachfuehrung</v>
      </c>
      <c r="N240" s="62" t="str" cm="1">
        <f t="array" ref="N240">IF($B240=0,IF($E240=0,"",IF(INDEX(DMAV_Dienste!T$6:T$140,$E240)="","",INDEX(DMAV_Dienste!T$6:T$140,$E240))),IF(INDEX(DMAV_Modell!U$6:U$838,$B240)="","",INDEX(DMAV_Modell!U$6:U$838,$B240)))</f>
        <v>Status</v>
      </c>
      <c r="O240" s="63" t="str" cm="1">
        <f t="array" aca="1" ref="O240" ca="1">IF(C240=0,IF(F240=0,"",HYPERLINK("#"&amp;RIGHT(CELL("adresse",OFFSET(DMAV_Dienste!$M$6,F240-1,0)),LEN(CELL("adresse",OFFSET(DMAV_Dienste!$M$6,F240-1,0)))-FIND("]",CELL("adresse",OFFSET(DMAV_Dienste!$M$6,F240-1,0)))),"Structure")),HYPERLINK("#"&amp;RIGHT(CELL("adresse",OFFSET(DMAV_Modell!$N$6,C240-1,0)),LEN(CELL("adresse",OFFSET(DMAV_Modell!$N$6,C240-1,0)))-FIND("]",CELL("adresse",OFFSET(DMAV_Modell!$N$6,C240-1,0)))),"Structure"))</f>
        <v/>
      </c>
      <c r="P240" s="64" t="str" cm="1">
        <f t="array" aca="1" ref="P240" ca="1">IF(D240=0,IF(G240=0,"",HYPERLINK("#"&amp;RIGHT(CELL("adresse",OFFSET(DMAV_Dienste!$M$6,G240-1,0)),LEN(CELL("adresse",OFFSET(DMAV_Dienste!$M$6,G240-1,0)))-FIND("]",CELL("adresse",OFFSET(DMAV_Dienste!$M$6,G240-1,0)))),"Substructure")),HYPERLINK("#"&amp;RIGHT(CELL("adresse",OFFSET(DMAV_Modell!$N$6,D240-1,0)),LEN(CELL("adresse",OFFSET(DMAV_Modell!$N$6,D240-1,0)))-FIND("]",CELL("adresse",OFFSET(DMAV_Modell!$N$6,D240-1,0)))),"Substructure"))</f>
        <v/>
      </c>
      <c r="R240" s="80"/>
      <c r="T240" s="93"/>
      <c r="U240" s="94"/>
      <c r="V240" s="95"/>
      <c r="W240" s="96"/>
      <c r="Y240" s="85"/>
      <c r="Z240" s="86"/>
      <c r="AA240" s="87"/>
      <c r="AB240" s="88"/>
      <c r="AD240" s="77"/>
      <c r="AF240" s="54" t="str" cm="1">
        <f t="array" aca="1" ref="AF240" ca="1">IF(H240=0,"",HYPERLINK("#"&amp;RIGHT(CELL("adresse",OFFSET('DM01-AV-CH'!$G$6,H240-1,0)),LEN(CELL("adresse",OFFSET('DM01-AV-CH'!$G$6,H240-1,0)))-FIND("]",CELL("adresse",OFFSET('DM01-AV-CH'!$G$6,H240-1,0)))),"Modell"))</f>
        <v/>
      </c>
      <c r="AG240" s="72" t="str" cm="1">
        <f t="array" ref="AG240">IF($H240=0,"",IF(INDEX('DM01-AV-CH'!G$6:G$834,$H240)="","",INDEX('DM01-AV-CH'!G$6:G$834,$H240)))</f>
        <v/>
      </c>
      <c r="AH240" s="73" t="str" cm="1">
        <f t="array" ref="AH240">IF($H240=0,"",IF(INDEX('DM01-AV-CH'!H$6:H$834,$H240)="","",INDEX('DM01-AV-CH'!H$6:H$834,$H240)))</f>
        <v/>
      </c>
      <c r="AI240" s="74" t="str" cm="1">
        <f t="array" ref="AI240">IF($H240=0,"",IF(INDEX('DM01-AV-CH'!I$6:I$834,$H240)="","",INDEX('DM01-AV-CH'!I$6:I$834,$H240)))</f>
        <v/>
      </c>
    </row>
    <row r="241" spans="1:35" x14ac:dyDescent="0.25">
      <c r="A241" s="57">
        <v>236</v>
      </c>
      <c r="B241" s="57">
        <f>IF($A241="","",IF(_xlfn.XLOOKUP($A241,Korrelation!$D$4:$D$1197,Korrelation!E$4:E$1197,"-",0)="-",0,MATCH(_xlfn.XLOOKUP($A241,Korrelation!$D$4:$D$1197,Korrelation!E$4:E$1197,"",0),DMAV_Modell!$G$6:$G$677,0)))</f>
        <v>0</v>
      </c>
      <c r="C241" s="57">
        <f>IF($A241="","",IF(_xlfn.XLOOKUP($A241,Korrelation!$D$4:$D$1197,Korrelation!F$4:F$1197,"-",0)="-",0,MATCH(_xlfn.XLOOKUP($A241,Korrelation!$D$4:$D$1197,Korrelation!F$4:F$1197,"",0),DMAV_Modell!$G$6:$G$677,0)))</f>
        <v>0</v>
      </c>
      <c r="D241" s="57">
        <f>IF($A241="","",IF(_xlfn.XLOOKUP($A241,Korrelation!$D$4:$D$1197,Korrelation!G$4:G$1197,"-",0)="-",0,MATCH(_xlfn.XLOOKUP($A241,Korrelation!$D$4:$D$1197,Korrelation!G$4:G$1197,"",0),DMAV_Modell!$G$6:$G$677,0)))</f>
        <v>0</v>
      </c>
      <c r="E241" s="57">
        <f>IF($A241="","",IF(_xlfn.XLOOKUP($A241,Korrelation!$D$4:$D$1197,Korrelation!H$4:H$1197,"-",0)="-",0,MATCH(_xlfn.XLOOKUP($A241,Korrelation!$D$4:$D$1197,Korrelation!H$4:H$1197,"",0),DMAV_Dienste!$F$6:$F$140,0)))</f>
        <v>0</v>
      </c>
      <c r="F241" s="57">
        <f>IF($A241="","",IF(_xlfn.XLOOKUP($A241,Korrelation!$D$4:$D$1197,Korrelation!I$4:I$1197,"-",0)="-",0,MATCH(_xlfn.XLOOKUP($A241,Korrelation!$D$4:$D$1197,Korrelation!I$4:I$1197,"",0),DMAV_Dienste!$F$6:$F$140,0)))</f>
        <v>0</v>
      </c>
      <c r="G241" s="57">
        <f>IF($A241="","",IF(_xlfn.XLOOKUP($A241,Korrelation!$D$4:$D$1197,Korrelation!J$4:J$1197,"-",0)="-",0,MATCH(_xlfn.XLOOKUP($A241,Korrelation!$D$4:$D$1197,Korrelation!J$4:J$1197,"",0),DMAV_Dienste!$F$6:$F$140,0)))</f>
        <v>0</v>
      </c>
      <c r="H241" s="57">
        <f>IF($A241="","",IF(_xlfn.XLOOKUP($A241,Korrelation!$D$4:$D$1197,Korrelation!K$4:K$1197,"-",0)="-",0,MATCH(_xlfn.XLOOKUP($A241,Korrelation!$D$4:$D$1197,Korrelation!K$4:K$1197,"",0),'DM01-AV-CH'!$A$6:$A$834,0)))</f>
        <v>108</v>
      </c>
      <c r="J241" s="54" t="str" cm="1">
        <f t="array" aca="1" ref="J241" ca="1">IF(B241=0,IF(E241=0,"",HYPERLINK("#"&amp;RIGHT(CELL("adresse",OFFSET(DMAV_Dienste!$M$6,E241-1,0)),LEN(CELL("adresse",OFFSET(DMAV_Dienste!$M$6,E241-1,0)))-FIND("]",CELL("adresse",OFFSET(DMAV_Dienste!$M$6,E241-1,0)))),"Dienst")),HYPERLINK("#"&amp;RIGHT(CELL("adresse",OFFSET(DMAV_Modell!$N$6,B241-1,0)),LEN(CELL("adresse",OFFSET(DMAV_Modell!$N$6,B241-1,0)))-FIND("]",CELL("adresse",OFFSET(DMAV_Modell!$N$6,B241-1,0)))),"Modell"))</f>
        <v/>
      </c>
      <c r="K241" s="61" t="str" cm="1">
        <f t="array" ref="K241">IF($B241=0,IF($E241=0,"",IF(INDEX(DMAV_Dienste!P$6:P$140,$E241)="","",INDEX(DMAV_Dienste!P$6:P$140,$E241))),IF(INDEX(DMAV_Modell!Q$6:Q$838,$B241)="","",INDEX(DMAV_Modell!Q$6:Q$838,$B241)))</f>
        <v/>
      </c>
      <c r="L241" s="62" t="str" cm="1">
        <f t="array" ref="L241">IF($B241=0,IF($E241=0,"",IF(INDEX(DMAV_Dienste!O$6:O$140,$E241)="","",INDEX(DMAV_Dienste!O$6:O$140,$E241))),IF(INDEX(DMAV_Modell!P$6:P$838,$B241)="","",INDEX(DMAV_Modell!P$6:P$838,$B241)))</f>
        <v/>
      </c>
      <c r="M241" s="62" t="str" cm="1">
        <f t="array" ref="M241">IF($B241=0,IF($E241=0,"",IF(INDEX(DMAV_Dienste!Q$6:Q$140,$E241)="","",INDEX(DMAV_Dienste!Q$6:Q$140,$E241))),IF(INDEX(DMAV_Modell!R$6:R$838,$B241)="","",INDEX(DMAV_Modell!R$6:R$838,$B241)))</f>
        <v/>
      </c>
      <c r="N241" s="62" t="str" cm="1">
        <f t="array" ref="N241">IF($B241=0,IF($E241=0,"",IF(INDEX(DMAV_Dienste!T$6:T$140,$E241)="","",INDEX(DMAV_Dienste!T$6:T$140,$E241))),IF(INDEX(DMAV_Modell!U$6:U$838,$B241)="","",INDEX(DMAV_Modell!U$6:U$838,$B241)))</f>
        <v/>
      </c>
      <c r="O241" s="63" t="str" cm="1">
        <f t="array" aca="1" ref="O241" ca="1">IF(C241=0,IF(F241=0,"",HYPERLINK("#"&amp;RIGHT(CELL("adresse",OFFSET(DMAV_Dienste!$M$6,F241-1,0)),LEN(CELL("adresse",OFFSET(DMAV_Dienste!$M$6,F241-1,0)))-FIND("]",CELL("adresse",OFFSET(DMAV_Dienste!$M$6,F241-1,0)))),"Structure")),HYPERLINK("#"&amp;RIGHT(CELL("adresse",OFFSET(DMAV_Modell!$N$6,C241-1,0)),LEN(CELL("adresse",OFFSET(DMAV_Modell!$N$6,C241-1,0)))-FIND("]",CELL("adresse",OFFSET(DMAV_Modell!$N$6,C241-1,0)))),"Structure"))</f>
        <v/>
      </c>
      <c r="P241" s="64" t="str" cm="1">
        <f t="array" aca="1" ref="P241" ca="1">IF(D241=0,IF(G241=0,"",HYPERLINK("#"&amp;RIGHT(CELL("adresse",OFFSET(DMAV_Dienste!$M$6,G241-1,0)),LEN(CELL("adresse",OFFSET(DMAV_Dienste!$M$6,G241-1,0)))-FIND("]",CELL("adresse",OFFSET(DMAV_Dienste!$M$6,G241-1,0)))),"Substructure")),HYPERLINK("#"&amp;RIGHT(CELL("adresse",OFFSET(DMAV_Modell!$N$6,D241-1,0)),LEN(CELL("adresse",OFFSET(DMAV_Modell!$N$6,D241-1,0)))-FIND("]",CELL("adresse",OFFSET(DMAV_Modell!$N$6,D241-1,0)))),"Substructure"))</f>
        <v/>
      </c>
      <c r="R241" s="80"/>
      <c r="T241" s="93"/>
      <c r="U241" s="94"/>
      <c r="V241" s="95"/>
      <c r="W241" s="96"/>
      <c r="Y241" s="85" t="s">
        <v>5874</v>
      </c>
      <c r="Z241" s="86"/>
      <c r="AA241" s="87"/>
      <c r="AB241" s="88"/>
      <c r="AD241" s="77"/>
      <c r="AF241" s="54" t="str" cm="1">
        <f t="array" aca="1" ref="AF241" ca="1">IF(H241=0,"",HYPERLINK("#"&amp;RIGHT(CELL("adresse",OFFSET('DM01-AV-CH'!$G$6,H241-1,0)),LEN(CELL("adresse",OFFSET('DM01-AV-CH'!$G$6,H241-1,0)))-FIND("]",CELL("adresse",OFFSET('DM01-AV-CH'!$G$6,H241-1,0)))),"Modell"))</f>
        <v>Modell</v>
      </c>
      <c r="AG241" s="72" t="str" cm="1">
        <f t="array" ref="AG241">IF($H241=0,"",IF(INDEX('DM01-AV-CH'!G$6:G$834,$H241)="","",INDEX('DM01-AV-CH'!G$6:G$834,$H241)))</f>
        <v>FixpunkteKategorie2</v>
      </c>
      <c r="AH241" s="73" t="str" cm="1">
        <f t="array" ref="AH241">IF($H241=0,"",IF(INDEX('DM01-AV-CH'!H$6:H$834,$H241)="","",INDEX('DM01-AV-CH'!H$6:H$834,$H241)))</f>
        <v>HFP2Nachfuehrung</v>
      </c>
      <c r="AI241" s="74" t="str" cm="1">
        <f t="array" ref="AI241">IF($H241=0,"",IF(INDEX('DM01-AV-CH'!I$6:I$834,$H241)="","",INDEX('DM01-AV-CH'!I$6:I$834,$H241)))</f>
        <v>Perimeter</v>
      </c>
    </row>
    <row r="242" spans="1:35" x14ac:dyDescent="0.25">
      <c r="A242" s="57">
        <v>237</v>
      </c>
      <c r="B242" s="57">
        <f>IF($A242="","",IF(_xlfn.XLOOKUP($A242,Korrelation!$D$4:$D$1197,Korrelation!E$4:E$1197,"-",0)="-",0,MATCH(_xlfn.XLOOKUP($A242,Korrelation!$D$4:$D$1197,Korrelation!E$4:E$1197,"",0),DMAV_Modell!$G$6:$G$677,0)))</f>
        <v>0</v>
      </c>
      <c r="C242" s="57">
        <f>IF($A242="","",IF(_xlfn.XLOOKUP($A242,Korrelation!$D$4:$D$1197,Korrelation!F$4:F$1197,"-",0)="-",0,MATCH(_xlfn.XLOOKUP($A242,Korrelation!$D$4:$D$1197,Korrelation!F$4:F$1197,"",0),DMAV_Modell!$G$6:$G$677,0)))</f>
        <v>0</v>
      </c>
      <c r="D242" s="57">
        <f>IF($A242="","",IF(_xlfn.XLOOKUP($A242,Korrelation!$D$4:$D$1197,Korrelation!G$4:G$1197,"-",0)="-",0,MATCH(_xlfn.XLOOKUP($A242,Korrelation!$D$4:$D$1197,Korrelation!G$4:G$1197,"",0),DMAV_Modell!$G$6:$G$677,0)))</f>
        <v>0</v>
      </c>
      <c r="E242" s="57">
        <f>IF($A242="","",IF(_xlfn.XLOOKUP($A242,Korrelation!$D$4:$D$1197,Korrelation!H$4:H$1197,"-",0)="-",0,MATCH(_xlfn.XLOOKUP($A242,Korrelation!$D$4:$D$1197,Korrelation!H$4:H$1197,"",0),DMAV_Dienste!$F$6:$F$140,0)))</f>
        <v>0</v>
      </c>
      <c r="F242" s="57">
        <f>IF($A242="","",IF(_xlfn.XLOOKUP($A242,Korrelation!$D$4:$D$1197,Korrelation!I$4:I$1197,"-",0)="-",0,MATCH(_xlfn.XLOOKUP($A242,Korrelation!$D$4:$D$1197,Korrelation!I$4:I$1197,"",0),DMAV_Dienste!$F$6:$F$140,0)))</f>
        <v>0</v>
      </c>
      <c r="G242" s="57">
        <f>IF($A242="","",IF(_xlfn.XLOOKUP($A242,Korrelation!$D$4:$D$1197,Korrelation!J$4:J$1197,"-",0)="-",0,MATCH(_xlfn.XLOOKUP($A242,Korrelation!$D$4:$D$1197,Korrelation!J$4:J$1197,"",0),DMAV_Dienste!$F$6:$F$140,0)))</f>
        <v>0</v>
      </c>
      <c r="H242" s="57">
        <f>IF($A242="","",IF(_xlfn.XLOOKUP($A242,Korrelation!$D$4:$D$1197,Korrelation!K$4:K$1197,"-",0)="-",0,MATCH(_xlfn.XLOOKUP($A242,Korrelation!$D$4:$D$1197,Korrelation!K$4:K$1197,"",0),'DM01-AV-CH'!$A$6:$A$834,0)))</f>
        <v>120</v>
      </c>
      <c r="J242" s="54" t="str" cm="1">
        <f t="array" aca="1" ref="J242" ca="1">IF(B242=0,IF(E242=0,"",HYPERLINK("#"&amp;RIGHT(CELL("adresse",OFFSET(DMAV_Dienste!$M$6,E242-1,0)),LEN(CELL("adresse",OFFSET(DMAV_Dienste!$M$6,E242-1,0)))-FIND("]",CELL("adresse",OFFSET(DMAV_Dienste!$M$6,E242-1,0)))),"Dienst")),HYPERLINK("#"&amp;RIGHT(CELL("adresse",OFFSET(DMAV_Modell!$N$6,B242-1,0)),LEN(CELL("adresse",OFFSET(DMAV_Modell!$N$6,B242-1,0)))-FIND("]",CELL("adresse",OFFSET(DMAV_Modell!$N$6,B242-1,0)))),"Modell"))</f>
        <v/>
      </c>
      <c r="K242" s="61" t="str" cm="1">
        <f t="array" ref="K242">IF($B242=0,IF($E242=0,"",IF(INDEX(DMAV_Dienste!P$6:P$140,$E242)="","",INDEX(DMAV_Dienste!P$6:P$140,$E242))),IF(INDEX(DMAV_Modell!Q$6:Q$838,$B242)="","",INDEX(DMAV_Modell!Q$6:Q$838,$B242)))</f>
        <v/>
      </c>
      <c r="L242" s="62" t="str" cm="1">
        <f t="array" ref="L242">IF($B242=0,IF($E242=0,"",IF(INDEX(DMAV_Dienste!O$6:O$140,$E242)="","",INDEX(DMAV_Dienste!O$6:O$140,$E242))),IF(INDEX(DMAV_Modell!P$6:P$838,$B242)="","",INDEX(DMAV_Modell!P$6:P$838,$B242)))</f>
        <v/>
      </c>
      <c r="M242" s="62" t="str" cm="1">
        <f t="array" ref="M242">IF($B242=0,IF($E242=0,"",IF(INDEX(DMAV_Dienste!Q$6:Q$140,$E242)="","",INDEX(DMAV_Dienste!Q$6:Q$140,$E242))),IF(INDEX(DMAV_Modell!R$6:R$838,$B242)="","",INDEX(DMAV_Modell!R$6:R$838,$B242)))</f>
        <v/>
      </c>
      <c r="N242" s="62" t="str" cm="1">
        <f t="array" ref="N242">IF($B242=0,IF($E242=0,"",IF(INDEX(DMAV_Dienste!T$6:T$140,$E242)="","",INDEX(DMAV_Dienste!T$6:T$140,$E242))),IF(INDEX(DMAV_Modell!U$6:U$838,$B242)="","",INDEX(DMAV_Modell!U$6:U$838,$B242)))</f>
        <v/>
      </c>
      <c r="O242" s="63" t="str" cm="1">
        <f t="array" aca="1" ref="O242" ca="1">IF(C242=0,IF(F242=0,"",HYPERLINK("#"&amp;RIGHT(CELL("adresse",OFFSET(DMAV_Dienste!$M$6,F242-1,0)),LEN(CELL("adresse",OFFSET(DMAV_Dienste!$M$6,F242-1,0)))-FIND("]",CELL("adresse",OFFSET(DMAV_Dienste!$M$6,F242-1,0)))),"Structure")),HYPERLINK("#"&amp;RIGHT(CELL("adresse",OFFSET(DMAV_Modell!$N$6,C242-1,0)),LEN(CELL("adresse",OFFSET(DMAV_Modell!$N$6,C242-1,0)))-FIND("]",CELL("adresse",OFFSET(DMAV_Modell!$N$6,C242-1,0)))),"Structure"))</f>
        <v/>
      </c>
      <c r="P242" s="64" t="str" cm="1">
        <f t="array" aca="1" ref="P242" ca="1">IF(D242=0,IF(G242=0,"",HYPERLINK("#"&amp;RIGHT(CELL("adresse",OFFSET(DMAV_Dienste!$M$6,G242-1,0)),LEN(CELL("adresse",OFFSET(DMAV_Dienste!$M$6,G242-1,0)))-FIND("]",CELL("adresse",OFFSET(DMAV_Dienste!$M$6,G242-1,0)))),"Substructure")),HYPERLINK("#"&amp;RIGHT(CELL("adresse",OFFSET(DMAV_Modell!$N$6,D242-1,0)),LEN(CELL("adresse",OFFSET(DMAV_Modell!$N$6,D242-1,0)))-FIND("]",CELL("adresse",OFFSET(DMAV_Modell!$N$6,D242-1,0)))),"Substructure"))</f>
        <v/>
      </c>
      <c r="R242" s="80"/>
      <c r="T242" s="93"/>
      <c r="U242" s="94"/>
      <c r="V242" s="95"/>
      <c r="W242" s="96"/>
      <c r="Y242" s="85" t="s">
        <v>5874</v>
      </c>
      <c r="Z242" s="86"/>
      <c r="AA242" s="87"/>
      <c r="AB242" s="88"/>
      <c r="AD242" s="77"/>
      <c r="AF242" s="54" t="str" cm="1">
        <f t="array" aca="1" ref="AF242" ca="1">IF(H242=0,"",HYPERLINK("#"&amp;RIGHT(CELL("adresse",OFFSET('DM01-AV-CH'!$G$6,H242-1,0)),LEN(CELL("adresse",OFFSET('DM01-AV-CH'!$G$6,H242-1,0)))-FIND("]",CELL("adresse",OFFSET('DM01-AV-CH'!$G$6,H242-1,0)))),"Modell"))</f>
        <v>Modell</v>
      </c>
      <c r="AG242" s="72" t="str" cm="1">
        <f t="array" ref="AG242">IF($H242=0,"",IF(INDEX('DM01-AV-CH'!G$6:G$834,$H242)="","",INDEX('DM01-AV-CH'!G$6:G$834,$H242)))</f>
        <v>FixpunkteKategorie2</v>
      </c>
      <c r="AH242" s="73" t="str" cm="1">
        <f t="array" ref="AH242">IF($H242=0,"",IF(INDEX('DM01-AV-CH'!H$6:H$834,$H242)="","",INDEX('DM01-AV-CH'!H$6:H$834,$H242)))</f>
        <v>HFP2Pos</v>
      </c>
      <c r="AI242" s="74" t="str" cm="1">
        <f t="array" ref="AI242">IF($H242=0,"",IF(INDEX('DM01-AV-CH'!I$6:I$834,$H242)="","",INDEX('DM01-AV-CH'!I$6:I$834,$H242)))</f>
        <v>HFP2Pos_von</v>
      </c>
    </row>
    <row r="243" spans="1:35" x14ac:dyDescent="0.25">
      <c r="A243" s="57">
        <v>238</v>
      </c>
      <c r="B243" s="57">
        <f>IF($A243="","",IF(_xlfn.XLOOKUP($A243,Korrelation!$D$4:$D$1197,Korrelation!E$4:E$1197,"-",0)="-",0,MATCH(_xlfn.XLOOKUP($A243,Korrelation!$D$4:$D$1197,Korrelation!E$4:E$1197,"",0),DMAV_Modell!$G$6:$G$677,0)))</f>
        <v>0</v>
      </c>
      <c r="C243" s="57">
        <f>IF($A243="","",IF(_xlfn.XLOOKUP($A243,Korrelation!$D$4:$D$1197,Korrelation!F$4:F$1197,"-",0)="-",0,MATCH(_xlfn.XLOOKUP($A243,Korrelation!$D$4:$D$1197,Korrelation!F$4:F$1197,"",0),DMAV_Modell!$G$6:$G$677,0)))</f>
        <v>0</v>
      </c>
      <c r="D243" s="57">
        <f>IF($A243="","",IF(_xlfn.XLOOKUP($A243,Korrelation!$D$4:$D$1197,Korrelation!G$4:G$1197,"-",0)="-",0,MATCH(_xlfn.XLOOKUP($A243,Korrelation!$D$4:$D$1197,Korrelation!G$4:G$1197,"",0),DMAV_Modell!$G$6:$G$677,0)))</f>
        <v>0</v>
      </c>
      <c r="E243" s="57">
        <f>IF($A243="","",IF(_xlfn.XLOOKUP($A243,Korrelation!$D$4:$D$1197,Korrelation!H$4:H$1197,"-",0)="-",0,MATCH(_xlfn.XLOOKUP($A243,Korrelation!$D$4:$D$1197,Korrelation!H$4:H$1197,"",0),DMAV_Dienste!$F$6:$F$140,0)))</f>
        <v>0</v>
      </c>
      <c r="F243" s="57">
        <f>IF($A243="","",IF(_xlfn.XLOOKUP($A243,Korrelation!$D$4:$D$1197,Korrelation!I$4:I$1197,"-",0)="-",0,MATCH(_xlfn.XLOOKUP($A243,Korrelation!$D$4:$D$1197,Korrelation!I$4:I$1197,"",0),DMAV_Dienste!$F$6:$F$140,0)))</f>
        <v>0</v>
      </c>
      <c r="G243" s="57">
        <f>IF($A243="","",IF(_xlfn.XLOOKUP($A243,Korrelation!$D$4:$D$1197,Korrelation!J$4:J$1197,"-",0)="-",0,MATCH(_xlfn.XLOOKUP($A243,Korrelation!$D$4:$D$1197,Korrelation!J$4:J$1197,"",0),DMAV_Dienste!$F$6:$F$140,0)))</f>
        <v>0</v>
      </c>
      <c r="H243" s="57">
        <f>IF($A243="","",IF(_xlfn.XLOOKUP($A243,Korrelation!$D$4:$D$1197,Korrelation!K$4:K$1197,"-",0)="-",0,MATCH(_xlfn.XLOOKUP($A243,Korrelation!$D$4:$D$1197,Korrelation!K$4:K$1197,"",0),'DM01-AV-CH'!$A$6:$A$834,0)))</f>
        <v>121</v>
      </c>
      <c r="J243" s="54" t="str" cm="1">
        <f t="array" aca="1" ref="J243" ca="1">IF(B243=0,IF(E243=0,"",HYPERLINK("#"&amp;RIGHT(CELL("adresse",OFFSET(DMAV_Dienste!$M$6,E243-1,0)),LEN(CELL("adresse",OFFSET(DMAV_Dienste!$M$6,E243-1,0)))-FIND("]",CELL("adresse",OFFSET(DMAV_Dienste!$M$6,E243-1,0)))),"Dienst")),HYPERLINK("#"&amp;RIGHT(CELL("adresse",OFFSET(DMAV_Modell!$N$6,B243-1,0)),LEN(CELL("adresse",OFFSET(DMAV_Modell!$N$6,B243-1,0)))-FIND("]",CELL("adresse",OFFSET(DMAV_Modell!$N$6,B243-1,0)))),"Modell"))</f>
        <v/>
      </c>
      <c r="K243" s="61" t="str" cm="1">
        <f t="array" ref="K243">IF($B243=0,IF($E243=0,"",IF(INDEX(DMAV_Dienste!P$6:P$140,$E243)="","",INDEX(DMAV_Dienste!P$6:P$140,$E243))),IF(INDEX(DMAV_Modell!Q$6:Q$838,$B243)="","",INDEX(DMAV_Modell!Q$6:Q$838,$B243)))</f>
        <v/>
      </c>
      <c r="L243" s="62" t="str" cm="1">
        <f t="array" ref="L243">IF($B243=0,IF($E243=0,"",IF(INDEX(DMAV_Dienste!O$6:O$140,$E243)="","",INDEX(DMAV_Dienste!O$6:O$140,$E243))),IF(INDEX(DMAV_Modell!P$6:P$838,$B243)="","",INDEX(DMAV_Modell!P$6:P$838,$B243)))</f>
        <v/>
      </c>
      <c r="M243" s="62" t="str" cm="1">
        <f t="array" ref="M243">IF($B243=0,IF($E243=0,"",IF(INDEX(DMAV_Dienste!Q$6:Q$140,$E243)="","",INDEX(DMAV_Dienste!Q$6:Q$140,$E243))),IF(INDEX(DMAV_Modell!R$6:R$838,$B243)="","",INDEX(DMAV_Modell!R$6:R$838,$B243)))</f>
        <v/>
      </c>
      <c r="N243" s="62" t="str" cm="1">
        <f t="array" ref="N243">IF($B243=0,IF($E243=0,"",IF(INDEX(DMAV_Dienste!T$6:T$140,$E243)="","",INDEX(DMAV_Dienste!T$6:T$140,$E243))),IF(INDEX(DMAV_Modell!U$6:U$838,$B243)="","",INDEX(DMAV_Modell!U$6:U$838,$B243)))</f>
        <v/>
      </c>
      <c r="O243" s="63" t="str" cm="1">
        <f t="array" aca="1" ref="O243" ca="1">IF(C243=0,IF(F243=0,"",HYPERLINK("#"&amp;RIGHT(CELL("adresse",OFFSET(DMAV_Dienste!$M$6,F243-1,0)),LEN(CELL("adresse",OFFSET(DMAV_Dienste!$M$6,F243-1,0)))-FIND("]",CELL("adresse",OFFSET(DMAV_Dienste!$M$6,F243-1,0)))),"Structure")),HYPERLINK("#"&amp;RIGHT(CELL("adresse",OFFSET(DMAV_Modell!$N$6,C243-1,0)),LEN(CELL("adresse",OFFSET(DMAV_Modell!$N$6,C243-1,0)))-FIND("]",CELL("adresse",OFFSET(DMAV_Modell!$N$6,C243-1,0)))),"Structure"))</f>
        <v/>
      </c>
      <c r="P243" s="64" t="str" cm="1">
        <f t="array" aca="1" ref="P243" ca="1">IF(D243=0,IF(G243=0,"",HYPERLINK("#"&amp;RIGHT(CELL("adresse",OFFSET(DMAV_Dienste!$M$6,G243-1,0)),LEN(CELL("adresse",OFFSET(DMAV_Dienste!$M$6,G243-1,0)))-FIND("]",CELL("adresse",OFFSET(DMAV_Dienste!$M$6,G243-1,0)))),"Substructure")),HYPERLINK("#"&amp;RIGHT(CELL("adresse",OFFSET(DMAV_Modell!$N$6,D243-1,0)),LEN(CELL("adresse",OFFSET(DMAV_Modell!$N$6,D243-1,0)))-FIND("]",CELL("adresse",OFFSET(DMAV_Modell!$N$6,D243-1,0)))),"Substructure"))</f>
        <v/>
      </c>
      <c r="R243" s="80"/>
      <c r="T243" s="93"/>
      <c r="U243" s="94"/>
      <c r="V243" s="95"/>
      <c r="W243" s="96"/>
      <c r="Y243" s="85" t="s">
        <v>5874</v>
      </c>
      <c r="Z243" s="86"/>
      <c r="AA243" s="87"/>
      <c r="AB243" s="88"/>
      <c r="AD243" s="77"/>
      <c r="AF243" s="54" t="str" cm="1">
        <f t="array" aca="1" ref="AF243" ca="1">IF(H243=0,"",HYPERLINK("#"&amp;RIGHT(CELL("adresse",OFFSET('DM01-AV-CH'!$G$6,H243-1,0)),LEN(CELL("adresse",OFFSET('DM01-AV-CH'!$G$6,H243-1,0)))-FIND("]",CELL("adresse",OFFSET('DM01-AV-CH'!$G$6,H243-1,0)))),"Modell"))</f>
        <v>Modell</v>
      </c>
      <c r="AG243" s="72" t="str" cm="1">
        <f t="array" ref="AG243">IF($H243=0,"",IF(INDEX('DM01-AV-CH'!G$6:G$834,$H243)="","",INDEX('DM01-AV-CH'!G$6:G$834,$H243)))</f>
        <v>FixpunkteKategorie2</v>
      </c>
      <c r="AH243" s="73" t="str" cm="1">
        <f t="array" ref="AH243">IF($H243=0,"",IF(INDEX('DM01-AV-CH'!H$6:H$834,$H243)="","",INDEX('DM01-AV-CH'!H$6:H$834,$H243)))</f>
        <v>HFP2Pos</v>
      </c>
      <c r="AI243" s="74" t="str" cm="1">
        <f t="array" ref="AI243">IF($H243=0,"",IF(INDEX('DM01-AV-CH'!I$6:I$834,$H243)="","",INDEX('DM01-AV-CH'!I$6:I$834,$H243)))</f>
        <v>Pos</v>
      </c>
    </row>
    <row r="244" spans="1:35" x14ac:dyDescent="0.25">
      <c r="A244" s="57">
        <v>239</v>
      </c>
      <c r="B244" s="57">
        <f>IF($A244="","",IF(_xlfn.XLOOKUP($A244,Korrelation!$D$4:$D$1197,Korrelation!E$4:E$1197,"-",0)="-",0,MATCH(_xlfn.XLOOKUP($A244,Korrelation!$D$4:$D$1197,Korrelation!E$4:E$1197,"",0),DMAV_Modell!$G$6:$G$677,0)))</f>
        <v>0</v>
      </c>
      <c r="C244" s="57">
        <f>IF($A244="","",IF(_xlfn.XLOOKUP($A244,Korrelation!$D$4:$D$1197,Korrelation!F$4:F$1197,"-",0)="-",0,MATCH(_xlfn.XLOOKUP($A244,Korrelation!$D$4:$D$1197,Korrelation!F$4:F$1197,"",0),DMAV_Modell!$G$6:$G$677,0)))</f>
        <v>0</v>
      </c>
      <c r="D244" s="57">
        <f>IF($A244="","",IF(_xlfn.XLOOKUP($A244,Korrelation!$D$4:$D$1197,Korrelation!G$4:G$1197,"-",0)="-",0,MATCH(_xlfn.XLOOKUP($A244,Korrelation!$D$4:$D$1197,Korrelation!G$4:G$1197,"",0),DMAV_Modell!$G$6:$G$677,0)))</f>
        <v>0</v>
      </c>
      <c r="E244" s="57">
        <f>IF($A244="","",IF(_xlfn.XLOOKUP($A244,Korrelation!$D$4:$D$1197,Korrelation!H$4:H$1197,"-",0)="-",0,MATCH(_xlfn.XLOOKUP($A244,Korrelation!$D$4:$D$1197,Korrelation!H$4:H$1197,"",0),DMAV_Dienste!$F$6:$F$140,0)))</f>
        <v>0</v>
      </c>
      <c r="F244" s="57">
        <f>IF($A244="","",IF(_xlfn.XLOOKUP($A244,Korrelation!$D$4:$D$1197,Korrelation!I$4:I$1197,"-",0)="-",0,MATCH(_xlfn.XLOOKUP($A244,Korrelation!$D$4:$D$1197,Korrelation!I$4:I$1197,"",0),DMAV_Dienste!$F$6:$F$140,0)))</f>
        <v>0</v>
      </c>
      <c r="G244" s="57">
        <f>IF($A244="","",IF(_xlfn.XLOOKUP($A244,Korrelation!$D$4:$D$1197,Korrelation!J$4:J$1197,"-",0)="-",0,MATCH(_xlfn.XLOOKUP($A244,Korrelation!$D$4:$D$1197,Korrelation!J$4:J$1197,"",0),DMAV_Dienste!$F$6:$F$140,0)))</f>
        <v>0</v>
      </c>
      <c r="H244" s="57">
        <f>IF($A244="","",IF(_xlfn.XLOOKUP($A244,Korrelation!$D$4:$D$1197,Korrelation!K$4:K$1197,"-",0)="-",0,MATCH(_xlfn.XLOOKUP($A244,Korrelation!$D$4:$D$1197,Korrelation!K$4:K$1197,"",0),'DM01-AV-CH'!$A$6:$A$834,0)))</f>
        <v>122</v>
      </c>
      <c r="J244" s="54" t="str" cm="1">
        <f t="array" aca="1" ref="J244" ca="1">IF(B244=0,IF(E244=0,"",HYPERLINK("#"&amp;RIGHT(CELL("adresse",OFFSET(DMAV_Dienste!$M$6,E244-1,0)),LEN(CELL("adresse",OFFSET(DMAV_Dienste!$M$6,E244-1,0)))-FIND("]",CELL("adresse",OFFSET(DMAV_Dienste!$M$6,E244-1,0)))),"Dienst")),HYPERLINK("#"&amp;RIGHT(CELL("adresse",OFFSET(DMAV_Modell!$N$6,B244-1,0)),LEN(CELL("adresse",OFFSET(DMAV_Modell!$N$6,B244-1,0)))-FIND("]",CELL("adresse",OFFSET(DMAV_Modell!$N$6,B244-1,0)))),"Modell"))</f>
        <v/>
      </c>
      <c r="K244" s="61" t="str" cm="1">
        <f t="array" ref="K244">IF($B244=0,IF($E244=0,"",IF(INDEX(DMAV_Dienste!P$6:P$140,$E244)="","",INDEX(DMAV_Dienste!P$6:P$140,$E244))),IF(INDEX(DMAV_Modell!Q$6:Q$838,$B244)="","",INDEX(DMAV_Modell!Q$6:Q$838,$B244)))</f>
        <v/>
      </c>
      <c r="L244" s="62" t="str" cm="1">
        <f t="array" ref="L244">IF($B244=0,IF($E244=0,"",IF(INDEX(DMAV_Dienste!O$6:O$140,$E244)="","",INDEX(DMAV_Dienste!O$6:O$140,$E244))),IF(INDEX(DMAV_Modell!P$6:P$838,$B244)="","",INDEX(DMAV_Modell!P$6:P$838,$B244)))</f>
        <v/>
      </c>
      <c r="M244" s="62" t="str" cm="1">
        <f t="array" ref="M244">IF($B244=0,IF($E244=0,"",IF(INDEX(DMAV_Dienste!Q$6:Q$140,$E244)="","",INDEX(DMAV_Dienste!Q$6:Q$140,$E244))),IF(INDEX(DMAV_Modell!R$6:R$838,$B244)="","",INDEX(DMAV_Modell!R$6:R$838,$B244)))</f>
        <v/>
      </c>
      <c r="N244" s="62" t="str" cm="1">
        <f t="array" ref="N244">IF($B244=0,IF($E244=0,"",IF(INDEX(DMAV_Dienste!T$6:T$140,$E244)="","",INDEX(DMAV_Dienste!T$6:T$140,$E244))),IF(INDEX(DMAV_Modell!U$6:U$838,$B244)="","",INDEX(DMAV_Modell!U$6:U$838,$B244)))</f>
        <v/>
      </c>
      <c r="O244" s="63" t="str" cm="1">
        <f t="array" aca="1" ref="O244" ca="1">IF(C244=0,IF(F244=0,"",HYPERLINK("#"&amp;RIGHT(CELL("adresse",OFFSET(DMAV_Dienste!$M$6,F244-1,0)),LEN(CELL("adresse",OFFSET(DMAV_Dienste!$M$6,F244-1,0)))-FIND("]",CELL("adresse",OFFSET(DMAV_Dienste!$M$6,F244-1,0)))),"Structure")),HYPERLINK("#"&amp;RIGHT(CELL("adresse",OFFSET(DMAV_Modell!$N$6,C244-1,0)),LEN(CELL("adresse",OFFSET(DMAV_Modell!$N$6,C244-1,0)))-FIND("]",CELL("adresse",OFFSET(DMAV_Modell!$N$6,C244-1,0)))),"Structure"))</f>
        <v/>
      </c>
      <c r="P244" s="64" t="str" cm="1">
        <f t="array" aca="1" ref="P244" ca="1">IF(D244=0,IF(G244=0,"",HYPERLINK("#"&amp;RIGHT(CELL("adresse",OFFSET(DMAV_Dienste!$M$6,G244-1,0)),LEN(CELL("adresse",OFFSET(DMAV_Dienste!$M$6,G244-1,0)))-FIND("]",CELL("adresse",OFFSET(DMAV_Dienste!$M$6,G244-1,0)))),"Substructure")),HYPERLINK("#"&amp;RIGHT(CELL("adresse",OFFSET(DMAV_Modell!$N$6,D244-1,0)),LEN(CELL("adresse",OFFSET(DMAV_Modell!$N$6,D244-1,0)))-FIND("]",CELL("adresse",OFFSET(DMAV_Modell!$N$6,D244-1,0)))),"Substructure"))</f>
        <v/>
      </c>
      <c r="R244" s="80"/>
      <c r="T244" s="93"/>
      <c r="U244" s="94"/>
      <c r="V244" s="95"/>
      <c r="W244" s="96"/>
      <c r="Y244" s="85" t="s">
        <v>5874</v>
      </c>
      <c r="Z244" s="86"/>
      <c r="AA244" s="87"/>
      <c r="AB244" s="88"/>
      <c r="AD244" s="77"/>
      <c r="AF244" s="54" t="str" cm="1">
        <f t="array" aca="1" ref="AF244" ca="1">IF(H244=0,"",HYPERLINK("#"&amp;RIGHT(CELL("adresse",OFFSET('DM01-AV-CH'!$G$6,H244-1,0)),LEN(CELL("adresse",OFFSET('DM01-AV-CH'!$G$6,H244-1,0)))-FIND("]",CELL("adresse",OFFSET('DM01-AV-CH'!$G$6,H244-1,0)))),"Modell"))</f>
        <v>Modell</v>
      </c>
      <c r="AG244" s="72" t="str" cm="1">
        <f t="array" ref="AG244">IF($H244=0,"",IF(INDEX('DM01-AV-CH'!G$6:G$834,$H244)="","",INDEX('DM01-AV-CH'!G$6:G$834,$H244)))</f>
        <v>FixpunkteKategorie2</v>
      </c>
      <c r="AH244" s="73" t="str" cm="1">
        <f t="array" ref="AH244">IF($H244=0,"",IF(INDEX('DM01-AV-CH'!H$6:H$834,$H244)="","",INDEX('DM01-AV-CH'!H$6:H$834,$H244)))</f>
        <v>HFP2Pos</v>
      </c>
      <c r="AI244" s="74" t="str" cm="1">
        <f t="array" ref="AI244">IF($H244=0,"",IF(INDEX('DM01-AV-CH'!I$6:I$834,$H244)="","",INDEX('DM01-AV-CH'!I$6:I$834,$H244)))</f>
        <v>Ori</v>
      </c>
    </row>
    <row r="245" spans="1:35" x14ac:dyDescent="0.25">
      <c r="A245" s="57">
        <v>240</v>
      </c>
      <c r="B245" s="57">
        <f>IF($A245="","",IF(_xlfn.XLOOKUP($A245,Korrelation!$D$4:$D$1197,Korrelation!E$4:E$1197,"-",0)="-",0,MATCH(_xlfn.XLOOKUP($A245,Korrelation!$D$4:$D$1197,Korrelation!E$4:E$1197,"",0),DMAV_Modell!$G$6:$G$677,0)))</f>
        <v>0</v>
      </c>
      <c r="C245" s="57">
        <f>IF($A245="","",IF(_xlfn.XLOOKUP($A245,Korrelation!$D$4:$D$1197,Korrelation!F$4:F$1197,"-",0)="-",0,MATCH(_xlfn.XLOOKUP($A245,Korrelation!$D$4:$D$1197,Korrelation!F$4:F$1197,"",0),DMAV_Modell!$G$6:$G$677,0)))</f>
        <v>0</v>
      </c>
      <c r="D245" s="57">
        <f>IF($A245="","",IF(_xlfn.XLOOKUP($A245,Korrelation!$D$4:$D$1197,Korrelation!G$4:G$1197,"-",0)="-",0,MATCH(_xlfn.XLOOKUP($A245,Korrelation!$D$4:$D$1197,Korrelation!G$4:G$1197,"",0),DMAV_Modell!$G$6:$G$677,0)))</f>
        <v>0</v>
      </c>
      <c r="E245" s="57">
        <f>IF($A245="","",IF(_xlfn.XLOOKUP($A245,Korrelation!$D$4:$D$1197,Korrelation!H$4:H$1197,"-",0)="-",0,MATCH(_xlfn.XLOOKUP($A245,Korrelation!$D$4:$D$1197,Korrelation!H$4:H$1197,"",0),DMAV_Dienste!$F$6:$F$140,0)))</f>
        <v>0</v>
      </c>
      <c r="F245" s="57">
        <f>IF($A245="","",IF(_xlfn.XLOOKUP($A245,Korrelation!$D$4:$D$1197,Korrelation!I$4:I$1197,"-",0)="-",0,MATCH(_xlfn.XLOOKUP($A245,Korrelation!$D$4:$D$1197,Korrelation!I$4:I$1197,"",0),DMAV_Dienste!$F$6:$F$140,0)))</f>
        <v>0</v>
      </c>
      <c r="G245" s="57">
        <f>IF($A245="","",IF(_xlfn.XLOOKUP($A245,Korrelation!$D$4:$D$1197,Korrelation!J$4:J$1197,"-",0)="-",0,MATCH(_xlfn.XLOOKUP($A245,Korrelation!$D$4:$D$1197,Korrelation!J$4:J$1197,"",0),DMAV_Dienste!$F$6:$F$140,0)))</f>
        <v>0</v>
      </c>
      <c r="H245" s="57">
        <f>IF($A245="","",IF(_xlfn.XLOOKUP($A245,Korrelation!$D$4:$D$1197,Korrelation!K$4:K$1197,"-",0)="-",0,MATCH(_xlfn.XLOOKUP($A245,Korrelation!$D$4:$D$1197,Korrelation!K$4:K$1197,"",0),'DM01-AV-CH'!$A$6:$A$834,0)))</f>
        <v>123</v>
      </c>
      <c r="J245" s="54" t="str" cm="1">
        <f t="array" aca="1" ref="J245" ca="1">IF(B245=0,IF(E245=0,"",HYPERLINK("#"&amp;RIGHT(CELL("adresse",OFFSET(DMAV_Dienste!$M$6,E245-1,0)),LEN(CELL("adresse",OFFSET(DMAV_Dienste!$M$6,E245-1,0)))-FIND("]",CELL("adresse",OFFSET(DMAV_Dienste!$M$6,E245-1,0)))),"Dienst")),HYPERLINK("#"&amp;RIGHT(CELL("adresse",OFFSET(DMAV_Modell!$N$6,B245-1,0)),LEN(CELL("adresse",OFFSET(DMAV_Modell!$N$6,B245-1,0)))-FIND("]",CELL("adresse",OFFSET(DMAV_Modell!$N$6,B245-1,0)))),"Modell"))</f>
        <v/>
      </c>
      <c r="K245" s="61" t="str" cm="1">
        <f t="array" ref="K245">IF($B245=0,IF($E245=0,"",IF(INDEX(DMAV_Dienste!P$6:P$140,$E245)="","",INDEX(DMAV_Dienste!P$6:P$140,$E245))),IF(INDEX(DMAV_Modell!Q$6:Q$838,$B245)="","",INDEX(DMAV_Modell!Q$6:Q$838,$B245)))</f>
        <v/>
      </c>
      <c r="L245" s="62" t="str" cm="1">
        <f t="array" ref="L245">IF($B245=0,IF($E245=0,"",IF(INDEX(DMAV_Dienste!O$6:O$140,$E245)="","",INDEX(DMAV_Dienste!O$6:O$140,$E245))),IF(INDEX(DMAV_Modell!P$6:P$838,$B245)="","",INDEX(DMAV_Modell!P$6:P$838,$B245)))</f>
        <v/>
      </c>
      <c r="M245" s="62" t="str" cm="1">
        <f t="array" ref="M245">IF($B245=0,IF($E245=0,"",IF(INDEX(DMAV_Dienste!Q$6:Q$140,$E245)="","",INDEX(DMAV_Dienste!Q$6:Q$140,$E245))),IF(INDEX(DMAV_Modell!R$6:R$838,$B245)="","",INDEX(DMAV_Modell!R$6:R$838,$B245)))</f>
        <v/>
      </c>
      <c r="N245" s="62" t="str" cm="1">
        <f t="array" ref="N245">IF($B245=0,IF($E245=0,"",IF(INDEX(DMAV_Dienste!T$6:T$140,$E245)="","",INDEX(DMAV_Dienste!T$6:T$140,$E245))),IF(INDEX(DMAV_Modell!U$6:U$838,$B245)="","",INDEX(DMAV_Modell!U$6:U$838,$B245)))</f>
        <v/>
      </c>
      <c r="O245" s="63" t="str" cm="1">
        <f t="array" aca="1" ref="O245" ca="1">IF(C245=0,IF(F245=0,"",HYPERLINK("#"&amp;RIGHT(CELL("adresse",OFFSET(DMAV_Dienste!$M$6,F245-1,0)),LEN(CELL("adresse",OFFSET(DMAV_Dienste!$M$6,F245-1,0)))-FIND("]",CELL("adresse",OFFSET(DMAV_Dienste!$M$6,F245-1,0)))),"Structure")),HYPERLINK("#"&amp;RIGHT(CELL("adresse",OFFSET(DMAV_Modell!$N$6,C245-1,0)),LEN(CELL("adresse",OFFSET(DMAV_Modell!$N$6,C245-1,0)))-FIND("]",CELL("adresse",OFFSET(DMAV_Modell!$N$6,C245-1,0)))),"Structure"))</f>
        <v/>
      </c>
      <c r="P245" s="64" t="str" cm="1">
        <f t="array" aca="1" ref="P245" ca="1">IF(D245=0,IF(G245=0,"",HYPERLINK("#"&amp;RIGHT(CELL("adresse",OFFSET(DMAV_Dienste!$M$6,G245-1,0)),LEN(CELL("adresse",OFFSET(DMAV_Dienste!$M$6,G245-1,0)))-FIND("]",CELL("adresse",OFFSET(DMAV_Dienste!$M$6,G245-1,0)))),"Substructure")),HYPERLINK("#"&amp;RIGHT(CELL("adresse",OFFSET(DMAV_Modell!$N$6,D245-1,0)),LEN(CELL("adresse",OFFSET(DMAV_Modell!$N$6,D245-1,0)))-FIND("]",CELL("adresse",OFFSET(DMAV_Modell!$N$6,D245-1,0)))),"Substructure"))</f>
        <v/>
      </c>
      <c r="R245" s="80"/>
      <c r="T245" s="93"/>
      <c r="U245" s="94"/>
      <c r="V245" s="95"/>
      <c r="W245" s="96"/>
      <c r="Y245" s="85" t="s">
        <v>5874</v>
      </c>
      <c r="Z245" s="86"/>
      <c r="AA245" s="87"/>
      <c r="AB245" s="88"/>
      <c r="AD245" s="77"/>
      <c r="AF245" s="54" t="str" cm="1">
        <f t="array" aca="1" ref="AF245" ca="1">IF(H245=0,"",HYPERLINK("#"&amp;RIGHT(CELL("adresse",OFFSET('DM01-AV-CH'!$G$6,H245-1,0)),LEN(CELL("adresse",OFFSET('DM01-AV-CH'!$G$6,H245-1,0)))-FIND("]",CELL("adresse",OFFSET('DM01-AV-CH'!$G$6,H245-1,0)))),"Modell"))</f>
        <v>Modell</v>
      </c>
      <c r="AG245" s="72" t="str" cm="1">
        <f t="array" ref="AG245">IF($H245=0,"",IF(INDEX('DM01-AV-CH'!G$6:G$834,$H245)="","",INDEX('DM01-AV-CH'!G$6:G$834,$H245)))</f>
        <v>FixpunkteKategorie2</v>
      </c>
      <c r="AH245" s="73" t="str" cm="1">
        <f t="array" ref="AH245">IF($H245=0,"",IF(INDEX('DM01-AV-CH'!H$6:H$834,$H245)="","",INDEX('DM01-AV-CH'!H$6:H$834,$H245)))</f>
        <v>HFP2Pos</v>
      </c>
      <c r="AI245" s="74" t="str" cm="1">
        <f t="array" ref="AI245">IF($H245=0,"",IF(INDEX('DM01-AV-CH'!I$6:I$834,$H245)="","",INDEX('DM01-AV-CH'!I$6:I$834,$H245)))</f>
        <v>HAli</v>
      </c>
    </row>
    <row r="246" spans="1:35" x14ac:dyDescent="0.25">
      <c r="A246" s="57">
        <v>241</v>
      </c>
      <c r="B246" s="57">
        <f>IF($A246="","",IF(_xlfn.XLOOKUP($A246,Korrelation!$D$4:$D$1197,Korrelation!E$4:E$1197,"-",0)="-",0,MATCH(_xlfn.XLOOKUP($A246,Korrelation!$D$4:$D$1197,Korrelation!E$4:E$1197,"",0),DMAV_Modell!$G$6:$G$677,0)))</f>
        <v>0</v>
      </c>
      <c r="C246" s="57">
        <f>IF($A246="","",IF(_xlfn.XLOOKUP($A246,Korrelation!$D$4:$D$1197,Korrelation!F$4:F$1197,"-",0)="-",0,MATCH(_xlfn.XLOOKUP($A246,Korrelation!$D$4:$D$1197,Korrelation!F$4:F$1197,"",0),DMAV_Modell!$G$6:$G$677,0)))</f>
        <v>0</v>
      </c>
      <c r="D246" s="57">
        <f>IF($A246="","",IF(_xlfn.XLOOKUP($A246,Korrelation!$D$4:$D$1197,Korrelation!G$4:G$1197,"-",0)="-",0,MATCH(_xlfn.XLOOKUP($A246,Korrelation!$D$4:$D$1197,Korrelation!G$4:G$1197,"",0),DMAV_Modell!$G$6:$G$677,0)))</f>
        <v>0</v>
      </c>
      <c r="E246" s="57">
        <f>IF($A246="","",IF(_xlfn.XLOOKUP($A246,Korrelation!$D$4:$D$1197,Korrelation!H$4:H$1197,"-",0)="-",0,MATCH(_xlfn.XLOOKUP($A246,Korrelation!$D$4:$D$1197,Korrelation!H$4:H$1197,"",0),DMAV_Dienste!$F$6:$F$140,0)))</f>
        <v>0</v>
      </c>
      <c r="F246" s="57">
        <f>IF($A246="","",IF(_xlfn.XLOOKUP($A246,Korrelation!$D$4:$D$1197,Korrelation!I$4:I$1197,"-",0)="-",0,MATCH(_xlfn.XLOOKUP($A246,Korrelation!$D$4:$D$1197,Korrelation!I$4:I$1197,"",0),DMAV_Dienste!$F$6:$F$140,0)))</f>
        <v>0</v>
      </c>
      <c r="G246" s="57">
        <f>IF($A246="","",IF(_xlfn.XLOOKUP($A246,Korrelation!$D$4:$D$1197,Korrelation!J$4:J$1197,"-",0)="-",0,MATCH(_xlfn.XLOOKUP($A246,Korrelation!$D$4:$D$1197,Korrelation!J$4:J$1197,"",0),DMAV_Dienste!$F$6:$F$140,0)))</f>
        <v>0</v>
      </c>
      <c r="H246" s="57">
        <f>IF($A246="","",IF(_xlfn.XLOOKUP($A246,Korrelation!$D$4:$D$1197,Korrelation!K$4:K$1197,"-",0)="-",0,MATCH(_xlfn.XLOOKUP($A246,Korrelation!$D$4:$D$1197,Korrelation!K$4:K$1197,"",0),'DM01-AV-CH'!$A$6:$A$834,0)))</f>
        <v>124</v>
      </c>
      <c r="J246" s="54" t="str" cm="1">
        <f t="array" aca="1" ref="J246" ca="1">IF(B246=0,IF(E246=0,"",HYPERLINK("#"&amp;RIGHT(CELL("adresse",OFFSET(DMAV_Dienste!$M$6,E246-1,0)),LEN(CELL("adresse",OFFSET(DMAV_Dienste!$M$6,E246-1,0)))-FIND("]",CELL("adresse",OFFSET(DMAV_Dienste!$M$6,E246-1,0)))),"Dienst")),HYPERLINK("#"&amp;RIGHT(CELL("adresse",OFFSET(DMAV_Modell!$N$6,B246-1,0)),LEN(CELL("adresse",OFFSET(DMAV_Modell!$N$6,B246-1,0)))-FIND("]",CELL("adresse",OFFSET(DMAV_Modell!$N$6,B246-1,0)))),"Modell"))</f>
        <v/>
      </c>
      <c r="K246" s="61" t="str" cm="1">
        <f t="array" ref="K246">IF($B246=0,IF($E246=0,"",IF(INDEX(DMAV_Dienste!P$6:P$140,$E246)="","",INDEX(DMAV_Dienste!P$6:P$140,$E246))),IF(INDEX(DMAV_Modell!Q$6:Q$838,$B246)="","",INDEX(DMAV_Modell!Q$6:Q$838,$B246)))</f>
        <v/>
      </c>
      <c r="L246" s="62" t="str" cm="1">
        <f t="array" ref="L246">IF($B246=0,IF($E246=0,"",IF(INDEX(DMAV_Dienste!O$6:O$140,$E246)="","",INDEX(DMAV_Dienste!O$6:O$140,$E246))),IF(INDEX(DMAV_Modell!P$6:P$838,$B246)="","",INDEX(DMAV_Modell!P$6:P$838,$B246)))</f>
        <v/>
      </c>
      <c r="M246" s="62" t="str" cm="1">
        <f t="array" ref="M246">IF($B246=0,IF($E246=0,"",IF(INDEX(DMAV_Dienste!Q$6:Q$140,$E246)="","",INDEX(DMAV_Dienste!Q$6:Q$140,$E246))),IF(INDEX(DMAV_Modell!R$6:R$838,$B246)="","",INDEX(DMAV_Modell!R$6:R$838,$B246)))</f>
        <v/>
      </c>
      <c r="N246" s="62" t="str" cm="1">
        <f t="array" ref="N246">IF($B246=0,IF($E246=0,"",IF(INDEX(DMAV_Dienste!T$6:T$140,$E246)="","",INDEX(DMAV_Dienste!T$6:T$140,$E246))),IF(INDEX(DMAV_Modell!U$6:U$838,$B246)="","",INDEX(DMAV_Modell!U$6:U$838,$B246)))</f>
        <v/>
      </c>
      <c r="O246" s="63" t="str" cm="1">
        <f t="array" aca="1" ref="O246" ca="1">IF(C246=0,IF(F246=0,"",HYPERLINK("#"&amp;RIGHT(CELL("adresse",OFFSET(DMAV_Dienste!$M$6,F246-1,0)),LEN(CELL("adresse",OFFSET(DMAV_Dienste!$M$6,F246-1,0)))-FIND("]",CELL("adresse",OFFSET(DMAV_Dienste!$M$6,F246-1,0)))),"Structure")),HYPERLINK("#"&amp;RIGHT(CELL("adresse",OFFSET(DMAV_Modell!$N$6,C246-1,0)),LEN(CELL("adresse",OFFSET(DMAV_Modell!$N$6,C246-1,0)))-FIND("]",CELL("adresse",OFFSET(DMAV_Modell!$N$6,C246-1,0)))),"Structure"))</f>
        <v/>
      </c>
      <c r="P246" s="64" t="str" cm="1">
        <f t="array" aca="1" ref="P246" ca="1">IF(D246=0,IF(G246=0,"",HYPERLINK("#"&amp;RIGHT(CELL("adresse",OFFSET(DMAV_Dienste!$M$6,G246-1,0)),LEN(CELL("adresse",OFFSET(DMAV_Dienste!$M$6,G246-1,0)))-FIND("]",CELL("adresse",OFFSET(DMAV_Dienste!$M$6,G246-1,0)))),"Substructure")),HYPERLINK("#"&amp;RIGHT(CELL("adresse",OFFSET(DMAV_Modell!$N$6,D246-1,0)),LEN(CELL("adresse",OFFSET(DMAV_Modell!$N$6,D246-1,0)))-FIND("]",CELL("adresse",OFFSET(DMAV_Modell!$N$6,D246-1,0)))),"Substructure"))</f>
        <v/>
      </c>
      <c r="R246" s="80"/>
      <c r="T246" s="93"/>
      <c r="U246" s="94"/>
      <c r="V246" s="95"/>
      <c r="W246" s="96"/>
      <c r="Y246" s="85" t="s">
        <v>5874</v>
      </c>
      <c r="Z246" s="86"/>
      <c r="AA246" s="87"/>
      <c r="AB246" s="88"/>
      <c r="AD246" s="77"/>
      <c r="AF246" s="54" t="str" cm="1">
        <f t="array" aca="1" ref="AF246" ca="1">IF(H246=0,"",HYPERLINK("#"&amp;RIGHT(CELL("adresse",OFFSET('DM01-AV-CH'!$G$6,H246-1,0)),LEN(CELL("adresse",OFFSET('DM01-AV-CH'!$G$6,H246-1,0)))-FIND("]",CELL("adresse",OFFSET('DM01-AV-CH'!$G$6,H246-1,0)))),"Modell"))</f>
        <v>Modell</v>
      </c>
      <c r="AG246" s="72" t="str" cm="1">
        <f t="array" ref="AG246">IF($H246=0,"",IF(INDEX('DM01-AV-CH'!G$6:G$834,$H246)="","",INDEX('DM01-AV-CH'!G$6:G$834,$H246)))</f>
        <v>FixpunkteKategorie2</v>
      </c>
      <c r="AH246" s="73" t="str" cm="1">
        <f t="array" ref="AH246">IF($H246=0,"",IF(INDEX('DM01-AV-CH'!H$6:H$834,$H246)="","",INDEX('DM01-AV-CH'!H$6:H$834,$H246)))</f>
        <v>HFP2Pos</v>
      </c>
      <c r="AI246" s="74" t="str" cm="1">
        <f t="array" ref="AI246">IF($H246=0,"",IF(INDEX('DM01-AV-CH'!I$6:I$834,$H246)="","",INDEX('DM01-AV-CH'!I$6:I$834,$H246)))</f>
        <v>VAli</v>
      </c>
    </row>
    <row r="247" spans="1:35" x14ac:dyDescent="0.25">
      <c r="A247" s="57">
        <v>242</v>
      </c>
      <c r="B247" s="57">
        <f>IF($A247="","",IF(_xlfn.XLOOKUP($A247,Korrelation!$D$4:$D$1197,Korrelation!E$4:E$1197,"-",0)="-",0,MATCH(_xlfn.XLOOKUP($A247,Korrelation!$D$4:$D$1197,Korrelation!E$4:E$1197,"",0),DMAV_Modell!$G$6:$G$677,0)))</f>
        <v>0</v>
      </c>
      <c r="C247" s="57">
        <f>IF($A247="","",IF(_xlfn.XLOOKUP($A247,Korrelation!$D$4:$D$1197,Korrelation!F$4:F$1197,"-",0)="-",0,MATCH(_xlfn.XLOOKUP($A247,Korrelation!$D$4:$D$1197,Korrelation!F$4:F$1197,"",0),DMAV_Modell!$G$6:$G$677,0)))</f>
        <v>0</v>
      </c>
      <c r="D247" s="57">
        <f>IF($A247="","",IF(_xlfn.XLOOKUP($A247,Korrelation!$D$4:$D$1197,Korrelation!G$4:G$1197,"-",0)="-",0,MATCH(_xlfn.XLOOKUP($A247,Korrelation!$D$4:$D$1197,Korrelation!G$4:G$1197,"",0),DMAV_Modell!$G$6:$G$677,0)))</f>
        <v>0</v>
      </c>
      <c r="E247" s="57">
        <f>IF($A247="","",IF(_xlfn.XLOOKUP($A247,Korrelation!$D$4:$D$1197,Korrelation!H$4:H$1197,"-",0)="-",0,MATCH(_xlfn.XLOOKUP($A247,Korrelation!$D$4:$D$1197,Korrelation!H$4:H$1197,"",0),DMAV_Dienste!$F$6:$F$140,0)))</f>
        <v>119</v>
      </c>
      <c r="F247" s="57">
        <f>IF($A247="","",IF(_xlfn.XLOOKUP($A247,Korrelation!$D$4:$D$1197,Korrelation!I$4:I$1197,"-",0)="-",0,MATCH(_xlfn.XLOOKUP($A247,Korrelation!$D$4:$D$1197,Korrelation!I$4:I$1197,"",0),DMAV_Dienste!$F$6:$F$140,0)))</f>
        <v>0</v>
      </c>
      <c r="G247" s="57">
        <f>IF($A247="","",IF(_xlfn.XLOOKUP($A247,Korrelation!$D$4:$D$1197,Korrelation!J$4:J$1197,"-",0)="-",0,MATCH(_xlfn.XLOOKUP($A247,Korrelation!$D$4:$D$1197,Korrelation!J$4:J$1197,"",0),DMAV_Dienste!$F$6:$F$140,0)))</f>
        <v>0</v>
      </c>
      <c r="H247" s="57">
        <f>IF($A247="","",IF(_xlfn.XLOOKUP($A247,Korrelation!$D$4:$D$1197,Korrelation!K$4:K$1197,"-",0)="-",0,MATCH(_xlfn.XLOOKUP($A247,Korrelation!$D$4:$D$1197,Korrelation!K$4:K$1197,"",0),'DM01-AV-CH'!$A$6:$A$834,0)))</f>
        <v>0</v>
      </c>
      <c r="J247" s="54" t="str" cm="1">
        <f t="array" aca="1" ref="J247" ca="1">IF(B247=0,IF(E247=0,"",HYPERLINK("#"&amp;RIGHT(CELL("adresse",OFFSET(DMAV_Dienste!$M$6,E247-1,0)),LEN(CELL("adresse",OFFSET(DMAV_Dienste!$M$6,E247-1,0)))-FIND("]",CELL("adresse",OFFSET(DMAV_Dienste!$M$6,E247-1,0)))),"Dienst")),HYPERLINK("#"&amp;RIGHT(CELL("adresse",OFFSET(DMAV_Modell!$N$6,B247-1,0)),LEN(CELL("adresse",OFFSET(DMAV_Modell!$N$6,B247-1,0)))-FIND("]",CELL("adresse",OFFSET(DMAV_Modell!$N$6,B247-1,0)))),"Modell"))</f>
        <v>Dienst</v>
      </c>
      <c r="K247" s="61" t="str" cm="1">
        <f t="array" ref="K247">IF($B247=0,IF($E247=0,"",IF(INDEX(DMAV_Dienste!P$6:P$140,$E247)="","",INDEX(DMAV_Dienste!P$6:P$140,$E247))),IF(INDEX(DMAV_Modell!Q$6:Q$838,$B247)="","",INDEX(DMAV_Modell!Q$6:Q$838,$B247)))</f>
        <v>ASSOCIATION</v>
      </c>
      <c r="L247" s="62" t="str" cm="1">
        <f t="array" ref="L247">IF($B247=0,IF($E247=0,"",IF(INDEX(DMAV_Dienste!O$6:O$140,$E247)="","",INDEX(DMAV_Dienste!O$6:O$140,$E247))),IF(INDEX(DMAV_Modell!P$6:P$838,$B247)="","",INDEX(DMAV_Modell!P$6:P$838,$B247)))</f>
        <v>FPDS2</v>
      </c>
      <c r="M247" s="62" t="str" cm="1">
        <f t="array" ref="M247">IF($B247=0,IF($E247=0,"",IF(INDEX(DMAV_Dienste!Q$6:Q$140,$E247)="","",INDEX(DMAV_Dienste!Q$6:Q$140,$E247))),IF(INDEX(DMAV_Modell!R$6:R$838,$B247)="","",INDEX(DMAV_Modell!R$6:R$838,$B247)))</f>
        <v>FP_UebersichtGeodienst</v>
      </c>
      <c r="N247" s="62" t="str" cm="1">
        <f t="array" ref="N247">IF($B247=0,IF($E247=0,"",IF(INDEX(DMAV_Dienste!T$6:T$140,$E247)="","",INDEX(DMAV_Dienste!T$6:T$140,$E247))),IF(INDEX(DMAV_Modell!U$6:U$838,$B247)="","",INDEX(DMAV_Modell!U$6:U$838,$B247)))</f>
        <v>UG</v>
      </c>
      <c r="O247" s="63" t="str" cm="1">
        <f t="array" aca="1" ref="O247" ca="1">IF(C247=0,IF(F247=0,"",HYPERLINK("#"&amp;RIGHT(CELL("adresse",OFFSET(DMAV_Dienste!$M$6,F247-1,0)),LEN(CELL("adresse",OFFSET(DMAV_Dienste!$M$6,F247-1,0)))-FIND("]",CELL("adresse",OFFSET(DMAV_Dienste!$M$6,F247-1,0)))),"Structure")),HYPERLINK("#"&amp;RIGHT(CELL("adresse",OFFSET(DMAV_Modell!$N$6,C247-1,0)),LEN(CELL("adresse",OFFSET(DMAV_Modell!$N$6,C247-1,0)))-FIND("]",CELL("adresse",OFFSET(DMAV_Modell!$N$6,C247-1,0)))),"Structure"))</f>
        <v/>
      </c>
      <c r="P247" s="64" t="str" cm="1">
        <f t="array" aca="1" ref="P247" ca="1">IF(D247=0,IF(G247=0,"",HYPERLINK("#"&amp;RIGHT(CELL("adresse",OFFSET(DMAV_Dienste!$M$6,G247-1,0)),LEN(CELL("adresse",OFFSET(DMAV_Dienste!$M$6,G247-1,0)))-FIND("]",CELL("adresse",OFFSET(DMAV_Dienste!$M$6,G247-1,0)))),"Substructure")),HYPERLINK("#"&amp;RIGHT(CELL("adresse",OFFSET(DMAV_Modell!$N$6,D247-1,0)),LEN(CELL("adresse",OFFSET(DMAV_Modell!$N$6,D247-1,0)))-FIND("]",CELL("adresse",OFFSET(DMAV_Modell!$N$6,D247-1,0)))),"Substructure"))</f>
        <v/>
      </c>
      <c r="R247" s="80"/>
      <c r="T247" s="93"/>
      <c r="U247" s="94"/>
      <c r="V247" s="95"/>
      <c r="W247" s="96"/>
      <c r="Y247" s="85"/>
      <c r="Z247" s="86"/>
      <c r="AA247" s="87"/>
      <c r="AB247" s="88"/>
      <c r="AD247" s="77"/>
      <c r="AF247" s="54" t="str" cm="1">
        <f t="array" aca="1" ref="AF247" ca="1">IF(H247=0,"",HYPERLINK("#"&amp;RIGHT(CELL("adresse",OFFSET('DM01-AV-CH'!$G$6,H247-1,0)),LEN(CELL("adresse",OFFSET('DM01-AV-CH'!$G$6,H247-1,0)))-FIND("]",CELL("adresse",OFFSET('DM01-AV-CH'!$G$6,H247-1,0)))),"Modell"))</f>
        <v/>
      </c>
      <c r="AG247" s="72" t="str" cm="1">
        <f t="array" ref="AG247">IF($H247=0,"",IF(INDEX('DM01-AV-CH'!G$6:G$834,$H247)="","",INDEX('DM01-AV-CH'!G$6:G$834,$H247)))</f>
        <v/>
      </c>
      <c r="AH247" s="73" t="str" cm="1">
        <f t="array" ref="AH247">IF($H247=0,"",IF(INDEX('DM01-AV-CH'!H$6:H$834,$H247)="","",INDEX('DM01-AV-CH'!H$6:H$834,$H247)))</f>
        <v/>
      </c>
      <c r="AI247" s="74" t="str" cm="1">
        <f t="array" ref="AI247">IF($H247=0,"",IF(INDEX('DM01-AV-CH'!I$6:I$834,$H247)="","",INDEX('DM01-AV-CH'!I$6:I$834,$H247)))</f>
        <v/>
      </c>
    </row>
    <row r="248" spans="1:35" x14ac:dyDescent="0.25">
      <c r="A248" s="57">
        <v>243</v>
      </c>
      <c r="B248" s="57">
        <f>IF($A248="","",IF(_xlfn.XLOOKUP($A248,Korrelation!$D$4:$D$1197,Korrelation!E$4:E$1197,"-",0)="-",0,MATCH(_xlfn.XLOOKUP($A248,Korrelation!$D$4:$D$1197,Korrelation!E$4:E$1197,"",0),DMAV_Modell!$G$6:$G$677,0)))</f>
        <v>0</v>
      </c>
      <c r="C248" s="57">
        <f>IF($A248="","",IF(_xlfn.XLOOKUP($A248,Korrelation!$D$4:$D$1197,Korrelation!F$4:F$1197,"-",0)="-",0,MATCH(_xlfn.XLOOKUP($A248,Korrelation!$D$4:$D$1197,Korrelation!F$4:F$1197,"",0),DMAV_Modell!$G$6:$G$677,0)))</f>
        <v>0</v>
      </c>
      <c r="D248" s="57">
        <f>IF($A248="","",IF(_xlfn.XLOOKUP($A248,Korrelation!$D$4:$D$1197,Korrelation!G$4:G$1197,"-",0)="-",0,MATCH(_xlfn.XLOOKUP($A248,Korrelation!$D$4:$D$1197,Korrelation!G$4:G$1197,"",0),DMAV_Modell!$G$6:$G$677,0)))</f>
        <v>0</v>
      </c>
      <c r="E248" s="57">
        <f>IF($A248="","",IF(_xlfn.XLOOKUP($A248,Korrelation!$D$4:$D$1197,Korrelation!H$4:H$1197,"-",0)="-",0,MATCH(_xlfn.XLOOKUP($A248,Korrelation!$D$4:$D$1197,Korrelation!H$4:H$1197,"",0),DMAV_Dienste!$F$6:$F$140,0)))</f>
        <v>120</v>
      </c>
      <c r="F248" s="57">
        <f>IF($A248="","",IF(_xlfn.XLOOKUP($A248,Korrelation!$D$4:$D$1197,Korrelation!I$4:I$1197,"-",0)="-",0,MATCH(_xlfn.XLOOKUP($A248,Korrelation!$D$4:$D$1197,Korrelation!I$4:I$1197,"",0),DMAV_Dienste!$F$6:$F$140,0)))</f>
        <v>0</v>
      </c>
      <c r="G248" s="57">
        <f>IF($A248="","",IF(_xlfn.XLOOKUP($A248,Korrelation!$D$4:$D$1197,Korrelation!J$4:J$1197,"-",0)="-",0,MATCH(_xlfn.XLOOKUP($A248,Korrelation!$D$4:$D$1197,Korrelation!J$4:J$1197,"",0),DMAV_Dienste!$F$6:$F$140,0)))</f>
        <v>0</v>
      </c>
      <c r="H248" s="57">
        <f>IF($A248="","",IF(_xlfn.XLOOKUP($A248,Korrelation!$D$4:$D$1197,Korrelation!K$4:K$1197,"-",0)="-",0,MATCH(_xlfn.XLOOKUP($A248,Korrelation!$D$4:$D$1197,Korrelation!K$4:K$1197,"",0),'DM01-AV-CH'!$A$6:$A$834,0)))</f>
        <v>0</v>
      </c>
      <c r="J248" s="54" t="str" cm="1">
        <f t="array" aca="1" ref="J248" ca="1">IF(B248=0,IF(E248=0,"",HYPERLINK("#"&amp;RIGHT(CELL("adresse",OFFSET(DMAV_Dienste!$M$6,E248-1,0)),LEN(CELL("adresse",OFFSET(DMAV_Dienste!$M$6,E248-1,0)))-FIND("]",CELL("adresse",OFFSET(DMAV_Dienste!$M$6,E248-1,0)))),"Dienst")),HYPERLINK("#"&amp;RIGHT(CELL("adresse",OFFSET(DMAV_Modell!$N$6,B248-1,0)),LEN(CELL("adresse",OFFSET(DMAV_Modell!$N$6,B248-1,0)))-FIND("]",CELL("adresse",OFFSET(DMAV_Modell!$N$6,B248-1,0)))),"Modell"))</f>
        <v>Dienst</v>
      </c>
      <c r="K248" s="61" t="str" cm="1">
        <f t="array" ref="K248">IF($B248=0,IF($E248=0,"",IF(INDEX(DMAV_Dienste!P$6:P$140,$E248)="","",INDEX(DMAV_Dienste!P$6:P$140,$E248))),IF(INDEX(DMAV_Modell!Q$6:Q$838,$B248)="","",INDEX(DMAV_Modell!Q$6:Q$838,$B248)))</f>
        <v>ASSOCIATION</v>
      </c>
      <c r="L248" s="62" t="str" cm="1">
        <f t="array" ref="L248">IF($B248=0,IF($E248=0,"",IF(INDEX(DMAV_Dienste!O$6:O$140,$E248)="","",INDEX(DMAV_Dienste!O$6:O$140,$E248))),IF(INDEX(DMAV_Modell!P$6:P$838,$B248)="","",INDEX(DMAV_Modell!P$6:P$838,$B248)))</f>
        <v>FPDS2</v>
      </c>
      <c r="M248" s="62" t="str" cm="1">
        <f t="array" ref="M248">IF($B248=0,IF($E248=0,"",IF(INDEX(DMAV_Dienste!Q$6:Q$140,$E248)="","",INDEX(DMAV_Dienste!Q$6:Q$140,$E248))),IF(INDEX(DMAV_Modell!R$6:R$838,$B248)="","",INDEX(DMAV_Modell!R$6:R$838,$B248)))</f>
        <v>FP_UebersichtGeodienst</v>
      </c>
      <c r="N248" s="62" t="str" cm="1">
        <f t="array" ref="N248">IF($B248=0,IF($E248=0,"",IF(INDEX(DMAV_Dienste!T$6:T$140,$E248)="","",INDEX(DMAV_Dienste!T$6:T$140,$E248))),IF(INDEX(DMAV_Modell!U$6:U$838,$B248)="","",INDEX(DMAV_Modell!U$6:U$838,$B248)))</f>
        <v>FP</v>
      </c>
      <c r="O248" s="63" t="str" cm="1">
        <f t="array" aca="1" ref="O248" ca="1">IF(C248=0,IF(F248=0,"",HYPERLINK("#"&amp;RIGHT(CELL("adresse",OFFSET(DMAV_Dienste!$M$6,F248-1,0)),LEN(CELL("adresse",OFFSET(DMAV_Dienste!$M$6,F248-1,0)))-FIND("]",CELL("adresse",OFFSET(DMAV_Dienste!$M$6,F248-1,0)))),"Structure")),HYPERLINK("#"&amp;RIGHT(CELL("adresse",OFFSET(DMAV_Modell!$N$6,C248-1,0)),LEN(CELL("adresse",OFFSET(DMAV_Modell!$N$6,C248-1,0)))-FIND("]",CELL("adresse",OFFSET(DMAV_Modell!$N$6,C248-1,0)))),"Structure"))</f>
        <v/>
      </c>
      <c r="P248" s="64" t="str" cm="1">
        <f t="array" aca="1" ref="P248" ca="1">IF(D248=0,IF(G248=0,"",HYPERLINK("#"&amp;RIGHT(CELL("adresse",OFFSET(DMAV_Dienste!$M$6,G248-1,0)),LEN(CELL("adresse",OFFSET(DMAV_Dienste!$M$6,G248-1,0)))-FIND("]",CELL("adresse",OFFSET(DMAV_Dienste!$M$6,G248-1,0)))),"Substructure")),HYPERLINK("#"&amp;RIGHT(CELL("adresse",OFFSET(DMAV_Modell!$N$6,D248-1,0)),LEN(CELL("adresse",OFFSET(DMAV_Modell!$N$6,D248-1,0)))-FIND("]",CELL("adresse",OFFSET(DMAV_Modell!$N$6,D248-1,0)))),"Substructure"))</f>
        <v/>
      </c>
      <c r="R248" s="80"/>
      <c r="T248" s="93"/>
      <c r="U248" s="94"/>
      <c r="V248" s="95"/>
      <c r="W248" s="96"/>
      <c r="Y248" s="85"/>
      <c r="Z248" s="86"/>
      <c r="AA248" s="87"/>
      <c r="AB248" s="88"/>
      <c r="AD248" s="77"/>
      <c r="AF248" s="54" t="str" cm="1">
        <f t="array" aca="1" ref="AF248" ca="1">IF(H248=0,"",HYPERLINK("#"&amp;RIGHT(CELL("adresse",OFFSET('DM01-AV-CH'!$G$6,H248-1,0)),LEN(CELL("adresse",OFFSET('DM01-AV-CH'!$G$6,H248-1,0)))-FIND("]",CELL("adresse",OFFSET('DM01-AV-CH'!$G$6,H248-1,0)))),"Modell"))</f>
        <v/>
      </c>
      <c r="AG248" s="72" t="str" cm="1">
        <f t="array" ref="AG248">IF($H248=0,"",IF(INDEX('DM01-AV-CH'!G$6:G$834,$H248)="","",INDEX('DM01-AV-CH'!G$6:G$834,$H248)))</f>
        <v/>
      </c>
      <c r="AH248" s="73" t="str" cm="1">
        <f t="array" ref="AH248">IF($H248=0,"",IF(INDEX('DM01-AV-CH'!H$6:H$834,$H248)="","",INDEX('DM01-AV-CH'!H$6:H$834,$H248)))</f>
        <v/>
      </c>
      <c r="AI248" s="74" t="str" cm="1">
        <f t="array" ref="AI248">IF($H248=0,"",IF(INDEX('DM01-AV-CH'!I$6:I$834,$H248)="","",INDEX('DM01-AV-CH'!I$6:I$834,$H248)))</f>
        <v/>
      </c>
    </row>
    <row r="249" spans="1:35" x14ac:dyDescent="0.25">
      <c r="A249" s="57">
        <v>244</v>
      </c>
      <c r="B249" s="57">
        <f>IF($A249="","",IF(_xlfn.XLOOKUP($A249,Korrelation!$D$4:$D$1197,Korrelation!E$4:E$1197,"-",0)="-",0,MATCH(_xlfn.XLOOKUP($A249,Korrelation!$D$4:$D$1197,Korrelation!E$4:E$1197,"",0),DMAV_Modell!$G$6:$G$677,0)))</f>
        <v>0</v>
      </c>
      <c r="C249" s="57">
        <f>IF($A249="","",IF(_xlfn.XLOOKUP($A249,Korrelation!$D$4:$D$1197,Korrelation!F$4:F$1197,"-",0)="-",0,MATCH(_xlfn.XLOOKUP($A249,Korrelation!$D$4:$D$1197,Korrelation!F$4:F$1197,"",0),DMAV_Modell!$G$6:$G$677,0)))</f>
        <v>0</v>
      </c>
      <c r="D249" s="57">
        <f>IF($A249="","",IF(_xlfn.XLOOKUP($A249,Korrelation!$D$4:$D$1197,Korrelation!G$4:G$1197,"-",0)="-",0,MATCH(_xlfn.XLOOKUP($A249,Korrelation!$D$4:$D$1197,Korrelation!G$4:G$1197,"",0),DMAV_Modell!$G$6:$G$677,0)))</f>
        <v>0</v>
      </c>
      <c r="E249" s="57">
        <f>IF($A249="","",IF(_xlfn.XLOOKUP($A249,Korrelation!$D$4:$D$1197,Korrelation!H$4:H$1197,"-",0)="-",0,MATCH(_xlfn.XLOOKUP($A249,Korrelation!$D$4:$D$1197,Korrelation!H$4:H$1197,"",0),DMAV_Dienste!$F$6:$F$140,0)))</f>
        <v>121</v>
      </c>
      <c r="F249" s="57">
        <f>IF($A249="","",IF(_xlfn.XLOOKUP($A249,Korrelation!$D$4:$D$1197,Korrelation!I$4:I$1197,"-",0)="-",0,MATCH(_xlfn.XLOOKUP($A249,Korrelation!$D$4:$D$1197,Korrelation!I$4:I$1197,"",0),DMAV_Dienste!$F$6:$F$140,0)))</f>
        <v>0</v>
      </c>
      <c r="G249" s="57">
        <f>IF($A249="","",IF(_xlfn.XLOOKUP($A249,Korrelation!$D$4:$D$1197,Korrelation!J$4:J$1197,"-",0)="-",0,MATCH(_xlfn.XLOOKUP($A249,Korrelation!$D$4:$D$1197,Korrelation!J$4:J$1197,"",0),DMAV_Dienste!$F$6:$F$140,0)))</f>
        <v>0</v>
      </c>
      <c r="H249" s="57">
        <f>IF($A249="","",IF(_xlfn.XLOOKUP($A249,Korrelation!$D$4:$D$1197,Korrelation!K$4:K$1197,"-",0)="-",0,MATCH(_xlfn.XLOOKUP($A249,Korrelation!$D$4:$D$1197,Korrelation!K$4:K$1197,"",0),'DM01-AV-CH'!$A$6:$A$834,0)))</f>
        <v>0</v>
      </c>
      <c r="J249" s="54" t="str" cm="1">
        <f t="array" aca="1" ref="J249" ca="1">IF(B249=0,IF(E249=0,"",HYPERLINK("#"&amp;RIGHT(CELL("adresse",OFFSET(DMAV_Dienste!$M$6,E249-1,0)),LEN(CELL("adresse",OFFSET(DMAV_Dienste!$M$6,E249-1,0)))-FIND("]",CELL("adresse",OFFSET(DMAV_Dienste!$M$6,E249-1,0)))),"Dienst")),HYPERLINK("#"&amp;RIGHT(CELL("adresse",OFFSET(DMAV_Modell!$N$6,B249-1,0)),LEN(CELL("adresse",OFFSET(DMAV_Modell!$N$6,B249-1,0)))-FIND("]",CELL("adresse",OFFSET(DMAV_Modell!$N$6,B249-1,0)))),"Modell"))</f>
        <v>Dienst</v>
      </c>
      <c r="K249" s="61" t="str" cm="1">
        <f t="array" ref="K249">IF($B249=0,IF($E249=0,"",IF(INDEX(DMAV_Dienste!P$6:P$140,$E249)="","",INDEX(DMAV_Dienste!P$6:P$140,$E249))),IF(INDEX(DMAV_Modell!Q$6:Q$838,$B249)="","",INDEX(DMAV_Modell!Q$6:Q$838,$B249)))</f>
        <v>ASSOCIATION</v>
      </c>
      <c r="L249" s="62" t="str" cm="1">
        <f t="array" ref="L249">IF($B249=0,IF($E249=0,"",IF(INDEX(DMAV_Dienste!O$6:O$140,$E249)="","",INDEX(DMAV_Dienste!O$6:O$140,$E249))),IF(INDEX(DMAV_Modell!P$6:P$838,$B249)="","",INDEX(DMAV_Modell!P$6:P$838,$B249)))</f>
        <v>FPDS2</v>
      </c>
      <c r="M249" s="62" t="str" cm="1">
        <f t="array" ref="M249">IF($B249=0,IF($E249=0,"",IF(INDEX(DMAV_Dienste!Q$6:Q$140,$E249)="","",INDEX(DMAV_Dienste!Q$6:Q$140,$E249))),IF(INDEX(DMAV_Modell!R$6:R$838,$B249)="","",INDEX(DMAV_Modell!R$6:R$838,$B249)))</f>
        <v>FP_UebersichtMassstab</v>
      </c>
      <c r="N249" s="62" t="str" cm="1">
        <f t="array" ref="N249">IF($B249=0,IF($E249=0,"",IF(INDEX(DMAV_Dienste!T$6:T$140,$E249)="","",INDEX(DMAV_Dienste!T$6:T$140,$E249))),IF(INDEX(DMAV_Modell!U$6:U$838,$B249)="","",INDEX(DMAV_Modell!U$6:U$838,$B249)))</f>
        <v>UM</v>
      </c>
      <c r="O249" s="63" t="str" cm="1">
        <f t="array" aca="1" ref="O249" ca="1">IF(C249=0,IF(F249=0,"",HYPERLINK("#"&amp;RIGHT(CELL("adresse",OFFSET(DMAV_Dienste!$M$6,F249-1,0)),LEN(CELL("adresse",OFFSET(DMAV_Dienste!$M$6,F249-1,0)))-FIND("]",CELL("adresse",OFFSET(DMAV_Dienste!$M$6,F249-1,0)))),"Structure")),HYPERLINK("#"&amp;RIGHT(CELL("adresse",OFFSET(DMAV_Modell!$N$6,C249-1,0)),LEN(CELL("adresse",OFFSET(DMAV_Modell!$N$6,C249-1,0)))-FIND("]",CELL("adresse",OFFSET(DMAV_Modell!$N$6,C249-1,0)))),"Structure"))</f>
        <v/>
      </c>
      <c r="P249" s="64" t="str" cm="1">
        <f t="array" aca="1" ref="P249" ca="1">IF(D249=0,IF(G249=0,"",HYPERLINK("#"&amp;RIGHT(CELL("adresse",OFFSET(DMAV_Dienste!$M$6,G249-1,0)),LEN(CELL("adresse",OFFSET(DMAV_Dienste!$M$6,G249-1,0)))-FIND("]",CELL("adresse",OFFSET(DMAV_Dienste!$M$6,G249-1,0)))),"Substructure")),HYPERLINK("#"&amp;RIGHT(CELL("adresse",OFFSET(DMAV_Modell!$N$6,D249-1,0)),LEN(CELL("adresse",OFFSET(DMAV_Modell!$N$6,D249-1,0)))-FIND("]",CELL("adresse",OFFSET(DMAV_Modell!$N$6,D249-1,0)))),"Substructure"))</f>
        <v/>
      </c>
      <c r="R249" s="80"/>
      <c r="T249" s="93"/>
      <c r="U249" s="94"/>
      <c r="V249" s="95"/>
      <c r="W249" s="96"/>
      <c r="Y249" s="85"/>
      <c r="Z249" s="86"/>
      <c r="AA249" s="87"/>
      <c r="AB249" s="88"/>
      <c r="AD249" s="77"/>
      <c r="AF249" s="54" t="str" cm="1">
        <f t="array" aca="1" ref="AF249" ca="1">IF(H249=0,"",HYPERLINK("#"&amp;RIGHT(CELL("adresse",OFFSET('DM01-AV-CH'!$G$6,H249-1,0)),LEN(CELL("adresse",OFFSET('DM01-AV-CH'!$G$6,H249-1,0)))-FIND("]",CELL("adresse",OFFSET('DM01-AV-CH'!$G$6,H249-1,0)))),"Modell"))</f>
        <v/>
      </c>
      <c r="AG249" s="72" t="str" cm="1">
        <f t="array" ref="AG249">IF($H249=0,"",IF(INDEX('DM01-AV-CH'!G$6:G$834,$H249)="","",INDEX('DM01-AV-CH'!G$6:G$834,$H249)))</f>
        <v/>
      </c>
      <c r="AH249" s="73" t="str" cm="1">
        <f t="array" ref="AH249">IF($H249=0,"",IF(INDEX('DM01-AV-CH'!H$6:H$834,$H249)="","",INDEX('DM01-AV-CH'!H$6:H$834,$H249)))</f>
        <v/>
      </c>
      <c r="AI249" s="74" t="str" cm="1">
        <f t="array" ref="AI249">IF($H249=0,"",IF(INDEX('DM01-AV-CH'!I$6:I$834,$H249)="","",INDEX('DM01-AV-CH'!I$6:I$834,$H249)))</f>
        <v/>
      </c>
    </row>
    <row r="250" spans="1:35" x14ac:dyDescent="0.25">
      <c r="A250" s="57">
        <v>245</v>
      </c>
      <c r="B250" s="57">
        <f>IF($A250="","",IF(_xlfn.XLOOKUP($A250,Korrelation!$D$4:$D$1197,Korrelation!E$4:E$1197,"-",0)="-",0,MATCH(_xlfn.XLOOKUP($A250,Korrelation!$D$4:$D$1197,Korrelation!E$4:E$1197,"",0),DMAV_Modell!$G$6:$G$677,0)))</f>
        <v>0</v>
      </c>
      <c r="C250" s="57">
        <f>IF($A250="","",IF(_xlfn.XLOOKUP($A250,Korrelation!$D$4:$D$1197,Korrelation!F$4:F$1197,"-",0)="-",0,MATCH(_xlfn.XLOOKUP($A250,Korrelation!$D$4:$D$1197,Korrelation!F$4:F$1197,"",0),DMAV_Modell!$G$6:$G$677,0)))</f>
        <v>0</v>
      </c>
      <c r="D250" s="57">
        <f>IF($A250="","",IF(_xlfn.XLOOKUP($A250,Korrelation!$D$4:$D$1197,Korrelation!G$4:G$1197,"-",0)="-",0,MATCH(_xlfn.XLOOKUP($A250,Korrelation!$D$4:$D$1197,Korrelation!G$4:G$1197,"",0),DMAV_Modell!$G$6:$G$677,0)))</f>
        <v>0</v>
      </c>
      <c r="E250" s="57">
        <f>IF($A250="","",IF(_xlfn.XLOOKUP($A250,Korrelation!$D$4:$D$1197,Korrelation!H$4:H$1197,"-",0)="-",0,MATCH(_xlfn.XLOOKUP($A250,Korrelation!$D$4:$D$1197,Korrelation!H$4:H$1197,"",0),DMAV_Dienste!$F$6:$F$140,0)))</f>
        <v>122</v>
      </c>
      <c r="F250" s="57">
        <f>IF($A250="","",IF(_xlfn.XLOOKUP($A250,Korrelation!$D$4:$D$1197,Korrelation!I$4:I$1197,"-",0)="-",0,MATCH(_xlfn.XLOOKUP($A250,Korrelation!$D$4:$D$1197,Korrelation!I$4:I$1197,"",0),DMAV_Dienste!$F$6:$F$140,0)))</f>
        <v>0</v>
      </c>
      <c r="G250" s="57">
        <f>IF($A250="","",IF(_xlfn.XLOOKUP($A250,Korrelation!$D$4:$D$1197,Korrelation!J$4:J$1197,"-",0)="-",0,MATCH(_xlfn.XLOOKUP($A250,Korrelation!$D$4:$D$1197,Korrelation!J$4:J$1197,"",0),DMAV_Dienste!$F$6:$F$140,0)))</f>
        <v>0</v>
      </c>
      <c r="H250" s="57">
        <f>IF($A250="","",IF(_xlfn.XLOOKUP($A250,Korrelation!$D$4:$D$1197,Korrelation!K$4:K$1197,"-",0)="-",0,MATCH(_xlfn.XLOOKUP($A250,Korrelation!$D$4:$D$1197,Korrelation!K$4:K$1197,"",0),'DM01-AV-CH'!$A$6:$A$834,0)))</f>
        <v>0</v>
      </c>
      <c r="J250" s="54" t="str" cm="1">
        <f t="array" aca="1" ref="J250" ca="1">IF(B250=0,IF(E250=0,"",HYPERLINK("#"&amp;RIGHT(CELL("adresse",OFFSET(DMAV_Dienste!$M$6,E250-1,0)),LEN(CELL("adresse",OFFSET(DMAV_Dienste!$M$6,E250-1,0)))-FIND("]",CELL("adresse",OFFSET(DMAV_Dienste!$M$6,E250-1,0)))),"Dienst")),HYPERLINK("#"&amp;RIGHT(CELL("adresse",OFFSET(DMAV_Modell!$N$6,B250-1,0)),LEN(CELL("adresse",OFFSET(DMAV_Modell!$N$6,B250-1,0)))-FIND("]",CELL("adresse",OFFSET(DMAV_Modell!$N$6,B250-1,0)))),"Modell"))</f>
        <v>Dienst</v>
      </c>
      <c r="K250" s="61" t="str" cm="1">
        <f t="array" ref="K250">IF($B250=0,IF($E250=0,"",IF(INDEX(DMAV_Dienste!P$6:P$140,$E250)="","",INDEX(DMAV_Dienste!P$6:P$140,$E250))),IF(INDEX(DMAV_Modell!Q$6:Q$838,$B250)="","",INDEX(DMAV_Modell!Q$6:Q$838,$B250)))</f>
        <v>ASSOCIATION</v>
      </c>
      <c r="L250" s="62" t="str" cm="1">
        <f t="array" ref="L250">IF($B250=0,IF($E250=0,"",IF(INDEX(DMAV_Dienste!O$6:O$140,$E250)="","",INDEX(DMAV_Dienste!O$6:O$140,$E250))),IF(INDEX(DMAV_Modell!P$6:P$838,$B250)="","",INDEX(DMAV_Modell!P$6:P$838,$B250)))</f>
        <v>FPDS2</v>
      </c>
      <c r="M250" s="62" t="str" cm="1">
        <f t="array" ref="M250">IF($B250=0,IF($E250=0,"",IF(INDEX(DMAV_Dienste!Q$6:Q$140,$E250)="","",INDEX(DMAV_Dienste!Q$6:Q$140,$E250))),IF(INDEX(DMAV_Modell!R$6:R$838,$B250)="","",INDEX(DMAV_Modell!R$6:R$838,$B250)))</f>
        <v>FP_UebersichtMassstab</v>
      </c>
      <c r="N250" s="62" t="str" cm="1">
        <f t="array" ref="N250">IF($B250=0,IF($E250=0,"",IF(INDEX(DMAV_Dienste!T$6:T$140,$E250)="","",INDEX(DMAV_Dienste!T$6:T$140,$E250))),IF(INDEX(DMAV_Modell!U$6:U$838,$B250)="","",INDEX(DMAV_Modell!U$6:U$838,$B250)))</f>
        <v>FP</v>
      </c>
      <c r="O250" s="63" t="str" cm="1">
        <f t="array" aca="1" ref="O250" ca="1">IF(C250=0,IF(F250=0,"",HYPERLINK("#"&amp;RIGHT(CELL("adresse",OFFSET(DMAV_Dienste!$M$6,F250-1,0)),LEN(CELL("adresse",OFFSET(DMAV_Dienste!$M$6,F250-1,0)))-FIND("]",CELL("adresse",OFFSET(DMAV_Dienste!$M$6,F250-1,0)))),"Structure")),HYPERLINK("#"&amp;RIGHT(CELL("adresse",OFFSET(DMAV_Modell!$N$6,C250-1,0)),LEN(CELL("adresse",OFFSET(DMAV_Modell!$N$6,C250-1,0)))-FIND("]",CELL("adresse",OFFSET(DMAV_Modell!$N$6,C250-1,0)))),"Structure"))</f>
        <v/>
      </c>
      <c r="P250" s="64" t="str" cm="1">
        <f t="array" aca="1" ref="P250" ca="1">IF(D250=0,IF(G250=0,"",HYPERLINK("#"&amp;RIGHT(CELL("adresse",OFFSET(DMAV_Dienste!$M$6,G250-1,0)),LEN(CELL("adresse",OFFSET(DMAV_Dienste!$M$6,G250-1,0)))-FIND("]",CELL("adresse",OFFSET(DMAV_Dienste!$M$6,G250-1,0)))),"Substructure")),HYPERLINK("#"&amp;RIGHT(CELL("adresse",OFFSET(DMAV_Modell!$N$6,D250-1,0)),LEN(CELL("adresse",OFFSET(DMAV_Modell!$N$6,D250-1,0)))-FIND("]",CELL("adresse",OFFSET(DMAV_Modell!$N$6,D250-1,0)))),"Substructure"))</f>
        <v/>
      </c>
      <c r="R250" s="80"/>
      <c r="T250" s="93"/>
      <c r="U250" s="94"/>
      <c r="V250" s="95"/>
      <c r="W250" s="96"/>
      <c r="Y250" s="85"/>
      <c r="Z250" s="86"/>
      <c r="AA250" s="87"/>
      <c r="AB250" s="88"/>
      <c r="AD250" s="77"/>
      <c r="AF250" s="54" t="str" cm="1">
        <f t="array" aca="1" ref="AF250" ca="1">IF(H250=0,"",HYPERLINK("#"&amp;RIGHT(CELL("adresse",OFFSET('DM01-AV-CH'!$G$6,H250-1,0)),LEN(CELL("adresse",OFFSET('DM01-AV-CH'!$G$6,H250-1,0)))-FIND("]",CELL("adresse",OFFSET('DM01-AV-CH'!$G$6,H250-1,0)))),"Modell"))</f>
        <v/>
      </c>
      <c r="AG250" s="72" t="str" cm="1">
        <f t="array" ref="AG250">IF($H250=0,"",IF(INDEX('DM01-AV-CH'!G$6:G$834,$H250)="","",INDEX('DM01-AV-CH'!G$6:G$834,$H250)))</f>
        <v/>
      </c>
      <c r="AH250" s="73" t="str" cm="1">
        <f t="array" ref="AH250">IF($H250=0,"",IF(INDEX('DM01-AV-CH'!H$6:H$834,$H250)="","",INDEX('DM01-AV-CH'!H$6:H$834,$H250)))</f>
        <v/>
      </c>
      <c r="AI250" s="74" t="str" cm="1">
        <f t="array" ref="AI250">IF($H250=0,"",IF(INDEX('DM01-AV-CH'!I$6:I$834,$H250)="","",INDEX('DM01-AV-CH'!I$6:I$834,$H250)))</f>
        <v/>
      </c>
    </row>
    <row r="251" spans="1:35" x14ac:dyDescent="0.25">
      <c r="A251" s="57">
        <v>246</v>
      </c>
      <c r="B251" s="57">
        <f>IF($A251="","",IF(_xlfn.XLOOKUP($A251,Korrelation!$D$4:$D$1197,Korrelation!E$4:E$1197,"-",0)="-",0,MATCH(_xlfn.XLOOKUP($A251,Korrelation!$D$4:$D$1197,Korrelation!E$4:E$1197,"",0),DMAV_Modell!$G$6:$G$677,0)))</f>
        <v>0</v>
      </c>
      <c r="C251" s="57">
        <f>IF($A251="","",IF(_xlfn.XLOOKUP($A251,Korrelation!$D$4:$D$1197,Korrelation!F$4:F$1197,"-",0)="-",0,MATCH(_xlfn.XLOOKUP($A251,Korrelation!$D$4:$D$1197,Korrelation!F$4:F$1197,"",0),DMAV_Modell!$G$6:$G$677,0)))</f>
        <v>0</v>
      </c>
      <c r="D251" s="57">
        <f>IF($A251="","",IF(_xlfn.XLOOKUP($A251,Korrelation!$D$4:$D$1197,Korrelation!G$4:G$1197,"-",0)="-",0,MATCH(_xlfn.XLOOKUP($A251,Korrelation!$D$4:$D$1197,Korrelation!G$4:G$1197,"",0),DMAV_Modell!$G$6:$G$677,0)))</f>
        <v>0</v>
      </c>
      <c r="E251" s="57">
        <f>IF($A251="","",IF(_xlfn.XLOOKUP($A251,Korrelation!$D$4:$D$1197,Korrelation!H$4:H$1197,"-",0)="-",0,MATCH(_xlfn.XLOOKUP($A251,Korrelation!$D$4:$D$1197,Korrelation!H$4:H$1197,"",0),DMAV_Dienste!$F$6:$F$140,0)))</f>
        <v>123</v>
      </c>
      <c r="F251" s="57">
        <f>IF($A251="","",IF(_xlfn.XLOOKUP($A251,Korrelation!$D$4:$D$1197,Korrelation!I$4:I$1197,"-",0)="-",0,MATCH(_xlfn.XLOOKUP($A251,Korrelation!$D$4:$D$1197,Korrelation!I$4:I$1197,"",0),DMAV_Dienste!$F$6:$F$140,0)))</f>
        <v>0</v>
      </c>
      <c r="G251" s="57">
        <f>IF($A251="","",IF(_xlfn.XLOOKUP($A251,Korrelation!$D$4:$D$1197,Korrelation!J$4:J$1197,"-",0)="-",0,MATCH(_xlfn.XLOOKUP($A251,Korrelation!$D$4:$D$1197,Korrelation!J$4:J$1197,"",0),DMAV_Dienste!$F$6:$F$140,0)))</f>
        <v>0</v>
      </c>
      <c r="H251" s="57">
        <f>IF($A251="","",IF(_xlfn.XLOOKUP($A251,Korrelation!$D$4:$D$1197,Korrelation!K$4:K$1197,"-",0)="-",0,MATCH(_xlfn.XLOOKUP($A251,Korrelation!$D$4:$D$1197,Korrelation!K$4:K$1197,"",0),'DM01-AV-CH'!$A$6:$A$834,0)))</f>
        <v>0</v>
      </c>
      <c r="J251" s="54" t="str" cm="1">
        <f t="array" aca="1" ref="J251" ca="1">IF(B251=0,IF(E251=0,"",HYPERLINK("#"&amp;RIGHT(CELL("adresse",OFFSET(DMAV_Dienste!$M$6,E251-1,0)),LEN(CELL("adresse",OFFSET(DMAV_Dienste!$M$6,E251-1,0)))-FIND("]",CELL("adresse",OFFSET(DMAV_Dienste!$M$6,E251-1,0)))),"Dienst")),HYPERLINK("#"&amp;RIGHT(CELL("adresse",OFFSET(DMAV_Modell!$N$6,B251-1,0)),LEN(CELL("adresse",OFFSET(DMAV_Modell!$N$6,B251-1,0)))-FIND("]",CELL("adresse",OFFSET(DMAV_Modell!$N$6,B251-1,0)))),"Modell"))</f>
        <v>Dienst</v>
      </c>
      <c r="K251" s="61" t="str" cm="1">
        <f t="array" ref="K251">IF($B251=0,IF($E251=0,"",IF(INDEX(DMAV_Dienste!P$6:P$140,$E251)="","",INDEX(DMAV_Dienste!P$6:P$140,$E251))),IF(INDEX(DMAV_Modell!Q$6:Q$838,$B251)="","",INDEX(DMAV_Modell!Q$6:Q$838,$B251)))</f>
        <v>ASSOCIATION</v>
      </c>
      <c r="L251" s="62" t="str" cm="1">
        <f t="array" ref="L251">IF($B251=0,IF($E251=0,"",IF(INDEX(DMAV_Dienste!O$6:O$140,$E251)="","",INDEX(DMAV_Dienste!O$6:O$140,$E251))),IF(INDEX(DMAV_Modell!P$6:P$838,$B251)="","",INDEX(DMAV_Modell!P$6:P$838,$B251)))</f>
        <v>FPDS2</v>
      </c>
      <c r="M251" s="62" t="str" cm="1">
        <f t="array" ref="M251">IF($B251=0,IF($E251=0,"",IF(INDEX(DMAV_Dienste!Q$6:Q$140,$E251)="","",INDEX(DMAV_Dienste!Q$6:Q$140,$E251))),IF(INDEX(DMAV_Modell!R$6:R$838,$B251)="","",INDEX(DMAV_Modell!R$6:R$838,$B251)))</f>
        <v>FP_Zustaendigkeit</v>
      </c>
      <c r="N251" s="62" t="str" cm="1">
        <f t="array" ref="N251">IF($B251=0,IF($E251=0,"",IF(INDEX(DMAV_Dienste!T$6:T$140,$E251)="","",INDEX(DMAV_Dienste!T$6:T$140,$E251))),IF(INDEX(DMAV_Modell!U$6:U$838,$B251)="","",INDEX(DMAV_Modell!U$6:U$838,$B251)))</f>
        <v>ZS</v>
      </c>
      <c r="O251" s="63" t="str" cm="1">
        <f t="array" aca="1" ref="O251" ca="1">IF(C251=0,IF(F251=0,"",HYPERLINK("#"&amp;RIGHT(CELL("adresse",OFFSET(DMAV_Dienste!$M$6,F251-1,0)),LEN(CELL("adresse",OFFSET(DMAV_Dienste!$M$6,F251-1,0)))-FIND("]",CELL("adresse",OFFSET(DMAV_Dienste!$M$6,F251-1,0)))),"Structure")),HYPERLINK("#"&amp;RIGHT(CELL("adresse",OFFSET(DMAV_Modell!$N$6,C251-1,0)),LEN(CELL("adresse",OFFSET(DMAV_Modell!$N$6,C251-1,0)))-FIND("]",CELL("adresse",OFFSET(DMAV_Modell!$N$6,C251-1,0)))),"Structure"))</f>
        <v/>
      </c>
      <c r="P251" s="64" t="str" cm="1">
        <f t="array" aca="1" ref="P251" ca="1">IF(D251=0,IF(G251=0,"",HYPERLINK("#"&amp;RIGHT(CELL("adresse",OFFSET(DMAV_Dienste!$M$6,G251-1,0)),LEN(CELL("adresse",OFFSET(DMAV_Dienste!$M$6,G251-1,0)))-FIND("]",CELL("adresse",OFFSET(DMAV_Dienste!$M$6,G251-1,0)))),"Substructure")),HYPERLINK("#"&amp;RIGHT(CELL("adresse",OFFSET(DMAV_Modell!$N$6,D251-1,0)),LEN(CELL("adresse",OFFSET(DMAV_Modell!$N$6,D251-1,0)))-FIND("]",CELL("adresse",OFFSET(DMAV_Modell!$N$6,D251-1,0)))),"Substructure"))</f>
        <v/>
      </c>
      <c r="R251" s="80"/>
      <c r="T251" s="93"/>
      <c r="U251" s="94"/>
      <c r="V251" s="95"/>
      <c r="W251" s="96"/>
      <c r="Y251" s="85"/>
      <c r="Z251" s="86"/>
      <c r="AA251" s="87"/>
      <c r="AB251" s="88"/>
      <c r="AD251" s="77"/>
      <c r="AF251" s="54" t="str" cm="1">
        <f t="array" aca="1" ref="AF251" ca="1">IF(H251=0,"",HYPERLINK("#"&amp;RIGHT(CELL("adresse",OFFSET('DM01-AV-CH'!$G$6,H251-1,0)),LEN(CELL("adresse",OFFSET('DM01-AV-CH'!$G$6,H251-1,0)))-FIND("]",CELL("adresse",OFFSET('DM01-AV-CH'!$G$6,H251-1,0)))),"Modell"))</f>
        <v/>
      </c>
      <c r="AG251" s="72" t="str" cm="1">
        <f t="array" ref="AG251">IF($H251=0,"",IF(INDEX('DM01-AV-CH'!G$6:G$834,$H251)="","",INDEX('DM01-AV-CH'!G$6:G$834,$H251)))</f>
        <v/>
      </c>
      <c r="AH251" s="73" t="str" cm="1">
        <f t="array" ref="AH251">IF($H251=0,"",IF(INDEX('DM01-AV-CH'!H$6:H$834,$H251)="","",INDEX('DM01-AV-CH'!H$6:H$834,$H251)))</f>
        <v/>
      </c>
      <c r="AI251" s="74" t="str" cm="1">
        <f t="array" ref="AI251">IF($H251=0,"",IF(INDEX('DM01-AV-CH'!I$6:I$834,$H251)="","",INDEX('DM01-AV-CH'!I$6:I$834,$H251)))</f>
        <v/>
      </c>
    </row>
    <row r="252" spans="1:35" x14ac:dyDescent="0.25">
      <c r="A252" s="57">
        <v>247</v>
      </c>
      <c r="B252" s="57">
        <f>IF($A252="","",IF(_xlfn.XLOOKUP($A252,Korrelation!$D$4:$D$1197,Korrelation!E$4:E$1197,"-",0)="-",0,MATCH(_xlfn.XLOOKUP($A252,Korrelation!$D$4:$D$1197,Korrelation!E$4:E$1197,"",0),DMAV_Modell!$G$6:$G$677,0)))</f>
        <v>0</v>
      </c>
      <c r="C252" s="57">
        <f>IF($A252="","",IF(_xlfn.XLOOKUP($A252,Korrelation!$D$4:$D$1197,Korrelation!F$4:F$1197,"-",0)="-",0,MATCH(_xlfn.XLOOKUP($A252,Korrelation!$D$4:$D$1197,Korrelation!F$4:F$1197,"",0),DMAV_Modell!$G$6:$G$677,0)))</f>
        <v>0</v>
      </c>
      <c r="D252" s="57">
        <f>IF($A252="","",IF(_xlfn.XLOOKUP($A252,Korrelation!$D$4:$D$1197,Korrelation!G$4:G$1197,"-",0)="-",0,MATCH(_xlfn.XLOOKUP($A252,Korrelation!$D$4:$D$1197,Korrelation!G$4:G$1197,"",0),DMAV_Modell!$G$6:$G$677,0)))</f>
        <v>0</v>
      </c>
      <c r="E252" s="57">
        <f>IF($A252="","",IF(_xlfn.XLOOKUP($A252,Korrelation!$D$4:$D$1197,Korrelation!H$4:H$1197,"-",0)="-",0,MATCH(_xlfn.XLOOKUP($A252,Korrelation!$D$4:$D$1197,Korrelation!H$4:H$1197,"",0),DMAV_Dienste!$F$6:$F$140,0)))</f>
        <v>124</v>
      </c>
      <c r="F252" s="57">
        <f>IF($A252="","",IF(_xlfn.XLOOKUP($A252,Korrelation!$D$4:$D$1197,Korrelation!I$4:I$1197,"-",0)="-",0,MATCH(_xlfn.XLOOKUP($A252,Korrelation!$D$4:$D$1197,Korrelation!I$4:I$1197,"",0),DMAV_Dienste!$F$6:$F$140,0)))</f>
        <v>0</v>
      </c>
      <c r="G252" s="57">
        <f>IF($A252="","",IF(_xlfn.XLOOKUP($A252,Korrelation!$D$4:$D$1197,Korrelation!J$4:J$1197,"-",0)="-",0,MATCH(_xlfn.XLOOKUP($A252,Korrelation!$D$4:$D$1197,Korrelation!J$4:J$1197,"",0),DMAV_Dienste!$F$6:$F$140,0)))</f>
        <v>0</v>
      </c>
      <c r="H252" s="57">
        <f>IF($A252="","",IF(_xlfn.XLOOKUP($A252,Korrelation!$D$4:$D$1197,Korrelation!K$4:K$1197,"-",0)="-",0,MATCH(_xlfn.XLOOKUP($A252,Korrelation!$D$4:$D$1197,Korrelation!K$4:K$1197,"",0),'DM01-AV-CH'!$A$6:$A$834,0)))</f>
        <v>0</v>
      </c>
      <c r="J252" s="54" t="str" cm="1">
        <f t="array" aca="1" ref="J252" ca="1">IF(B252=0,IF(E252=0,"",HYPERLINK("#"&amp;RIGHT(CELL("adresse",OFFSET(DMAV_Dienste!$M$6,E252-1,0)),LEN(CELL("adresse",OFFSET(DMAV_Dienste!$M$6,E252-1,0)))-FIND("]",CELL("adresse",OFFSET(DMAV_Dienste!$M$6,E252-1,0)))),"Dienst")),HYPERLINK("#"&amp;RIGHT(CELL("adresse",OFFSET(DMAV_Modell!$N$6,B252-1,0)),LEN(CELL("adresse",OFFSET(DMAV_Modell!$N$6,B252-1,0)))-FIND("]",CELL("adresse",OFFSET(DMAV_Modell!$N$6,B252-1,0)))),"Modell"))</f>
        <v>Dienst</v>
      </c>
      <c r="K252" s="61" t="str" cm="1">
        <f t="array" ref="K252">IF($B252=0,IF($E252=0,"",IF(INDEX(DMAV_Dienste!P$6:P$140,$E252)="","",INDEX(DMAV_Dienste!P$6:P$140,$E252))),IF(INDEX(DMAV_Modell!Q$6:Q$838,$B252)="","",INDEX(DMAV_Modell!Q$6:Q$838,$B252)))</f>
        <v>ASSOCIATION</v>
      </c>
      <c r="L252" s="62" t="str" cm="1">
        <f t="array" ref="L252">IF($B252=0,IF($E252=0,"",IF(INDEX(DMAV_Dienste!O$6:O$140,$E252)="","",INDEX(DMAV_Dienste!O$6:O$140,$E252))),IF(INDEX(DMAV_Modell!P$6:P$838,$B252)="","",INDEX(DMAV_Modell!P$6:P$838,$B252)))</f>
        <v>FPDS2</v>
      </c>
      <c r="M252" s="62" t="str" cm="1">
        <f t="array" ref="M252">IF($B252=0,IF($E252=0,"",IF(INDEX(DMAV_Dienste!Q$6:Q$140,$E252)="","",INDEX(DMAV_Dienste!Q$6:Q$140,$E252))),IF(INDEX(DMAV_Modell!R$6:R$838,$B252)="","",INDEX(DMAV_Modell!R$6:R$838,$B252)))</f>
        <v>FP_Zustaendigkeit</v>
      </c>
      <c r="N252" s="62" t="str" cm="1">
        <f t="array" ref="N252">IF($B252=0,IF($E252=0,"",IF(INDEX(DMAV_Dienste!T$6:T$140,$E252)="","",INDEX(DMAV_Dienste!T$6:T$140,$E252))),IF(INDEX(DMAV_Modell!U$6:U$838,$B252)="","",INDEX(DMAV_Modell!U$6:U$838,$B252)))</f>
        <v>FP</v>
      </c>
      <c r="O252" s="63" t="str" cm="1">
        <f t="array" aca="1" ref="O252" ca="1">IF(C252=0,IF(F252=0,"",HYPERLINK("#"&amp;RIGHT(CELL("adresse",OFFSET(DMAV_Dienste!$M$6,F252-1,0)),LEN(CELL("adresse",OFFSET(DMAV_Dienste!$M$6,F252-1,0)))-FIND("]",CELL("adresse",OFFSET(DMAV_Dienste!$M$6,F252-1,0)))),"Structure")),HYPERLINK("#"&amp;RIGHT(CELL("adresse",OFFSET(DMAV_Modell!$N$6,C252-1,0)),LEN(CELL("adresse",OFFSET(DMAV_Modell!$N$6,C252-1,0)))-FIND("]",CELL("adresse",OFFSET(DMAV_Modell!$N$6,C252-1,0)))),"Structure"))</f>
        <v/>
      </c>
      <c r="P252" s="64" t="str" cm="1">
        <f t="array" aca="1" ref="P252" ca="1">IF(D252=0,IF(G252=0,"",HYPERLINK("#"&amp;RIGHT(CELL("adresse",OFFSET(DMAV_Dienste!$M$6,G252-1,0)),LEN(CELL("adresse",OFFSET(DMAV_Dienste!$M$6,G252-1,0)))-FIND("]",CELL("adresse",OFFSET(DMAV_Dienste!$M$6,G252-1,0)))),"Substructure")),HYPERLINK("#"&amp;RIGHT(CELL("adresse",OFFSET(DMAV_Modell!$N$6,D252-1,0)),LEN(CELL("adresse",OFFSET(DMAV_Modell!$N$6,D252-1,0)))-FIND("]",CELL("adresse",OFFSET(DMAV_Modell!$N$6,D252-1,0)))),"Substructure"))</f>
        <v/>
      </c>
      <c r="R252" s="80"/>
      <c r="T252" s="93"/>
      <c r="U252" s="94"/>
      <c r="V252" s="95"/>
      <c r="W252" s="96"/>
      <c r="Y252" s="85"/>
      <c r="Z252" s="86"/>
      <c r="AA252" s="87"/>
      <c r="AB252" s="88"/>
      <c r="AD252" s="77"/>
      <c r="AF252" s="54" t="str" cm="1">
        <f t="array" aca="1" ref="AF252" ca="1">IF(H252=0,"",HYPERLINK("#"&amp;RIGHT(CELL("adresse",OFFSET('DM01-AV-CH'!$G$6,H252-1,0)),LEN(CELL("adresse",OFFSET('DM01-AV-CH'!$G$6,H252-1,0)))-FIND("]",CELL("adresse",OFFSET('DM01-AV-CH'!$G$6,H252-1,0)))),"Modell"))</f>
        <v/>
      </c>
      <c r="AG252" s="72" t="str" cm="1">
        <f t="array" ref="AG252">IF($H252=0,"",IF(INDEX('DM01-AV-CH'!G$6:G$834,$H252)="","",INDEX('DM01-AV-CH'!G$6:G$834,$H252)))</f>
        <v/>
      </c>
      <c r="AH252" s="73" t="str" cm="1">
        <f t="array" ref="AH252">IF($H252=0,"",IF(INDEX('DM01-AV-CH'!H$6:H$834,$H252)="","",INDEX('DM01-AV-CH'!H$6:H$834,$H252)))</f>
        <v/>
      </c>
      <c r="AI252" s="74" t="str" cm="1">
        <f t="array" ref="AI252">IF($H252=0,"",IF(INDEX('DM01-AV-CH'!I$6:I$834,$H252)="","",INDEX('DM01-AV-CH'!I$6:I$834,$H252)))</f>
        <v/>
      </c>
    </row>
    <row r="253" spans="1:35" x14ac:dyDescent="0.25">
      <c r="A253" s="57">
        <v>248</v>
      </c>
      <c r="B253" s="57">
        <f>IF($A253="","",IF(_xlfn.XLOOKUP($A253,Korrelation!$D$4:$D$1197,Korrelation!E$4:E$1197,"-",0)="-",0,MATCH(_xlfn.XLOOKUP($A253,Korrelation!$D$4:$D$1197,Korrelation!E$4:E$1197,"",0),DMAV_Modell!$G$6:$G$677,0)))</f>
        <v>0</v>
      </c>
      <c r="C253" s="57">
        <f>IF($A253="","",IF(_xlfn.XLOOKUP($A253,Korrelation!$D$4:$D$1197,Korrelation!F$4:F$1197,"-",0)="-",0,MATCH(_xlfn.XLOOKUP($A253,Korrelation!$D$4:$D$1197,Korrelation!F$4:F$1197,"",0),DMAV_Modell!$G$6:$G$677,0)))</f>
        <v>0</v>
      </c>
      <c r="D253" s="57">
        <f>IF($A253="","",IF(_xlfn.XLOOKUP($A253,Korrelation!$D$4:$D$1197,Korrelation!G$4:G$1197,"-",0)="-",0,MATCH(_xlfn.XLOOKUP($A253,Korrelation!$D$4:$D$1197,Korrelation!G$4:G$1197,"",0),DMAV_Modell!$G$6:$G$677,0)))</f>
        <v>0</v>
      </c>
      <c r="E253" s="57">
        <f>IF($A253="","",IF(_xlfn.XLOOKUP($A253,Korrelation!$D$4:$D$1197,Korrelation!H$4:H$1197,"-",0)="-",0,MATCH(_xlfn.XLOOKUP($A253,Korrelation!$D$4:$D$1197,Korrelation!H$4:H$1197,"",0),DMAV_Dienste!$F$6:$F$140,0)))</f>
        <v>125</v>
      </c>
      <c r="F253" s="57">
        <f>IF($A253="","",IF(_xlfn.XLOOKUP($A253,Korrelation!$D$4:$D$1197,Korrelation!I$4:I$1197,"-",0)="-",0,MATCH(_xlfn.XLOOKUP($A253,Korrelation!$D$4:$D$1197,Korrelation!I$4:I$1197,"",0),DMAV_Dienste!$F$6:$F$140,0)))</f>
        <v>0</v>
      </c>
      <c r="G253" s="57">
        <f>IF($A253="","",IF(_xlfn.XLOOKUP($A253,Korrelation!$D$4:$D$1197,Korrelation!J$4:J$1197,"-",0)="-",0,MATCH(_xlfn.XLOOKUP($A253,Korrelation!$D$4:$D$1197,Korrelation!J$4:J$1197,"",0),DMAV_Dienste!$F$6:$F$140,0)))</f>
        <v>0</v>
      </c>
      <c r="H253" s="57">
        <f>IF($A253="","",IF(_xlfn.XLOOKUP($A253,Korrelation!$D$4:$D$1197,Korrelation!K$4:K$1197,"-",0)="-",0,MATCH(_xlfn.XLOOKUP($A253,Korrelation!$D$4:$D$1197,Korrelation!K$4:K$1197,"",0),'DM01-AV-CH'!$A$6:$A$834,0)))</f>
        <v>0</v>
      </c>
      <c r="J253" s="54" t="str" cm="1">
        <f t="array" aca="1" ref="J253" ca="1">IF(B253=0,IF(E253=0,"",HYPERLINK("#"&amp;RIGHT(CELL("adresse",OFFSET(DMAV_Dienste!$M$6,E253-1,0)),LEN(CELL("adresse",OFFSET(DMAV_Dienste!$M$6,E253-1,0)))-FIND("]",CELL("adresse",OFFSET(DMAV_Dienste!$M$6,E253-1,0)))),"Dienst")),HYPERLINK("#"&amp;RIGHT(CELL("adresse",OFFSET(DMAV_Modell!$N$6,B253-1,0)),LEN(CELL("adresse",OFFSET(DMAV_Modell!$N$6,B253-1,0)))-FIND("]",CELL("adresse",OFFSET(DMAV_Modell!$N$6,B253-1,0)))),"Modell"))</f>
        <v>Dienst</v>
      </c>
      <c r="K253" s="61" t="str" cm="1">
        <f t="array" ref="K253">IF($B253=0,IF($E253=0,"",IF(INDEX(DMAV_Dienste!P$6:P$140,$E253)="","",INDEX(DMAV_Dienste!P$6:P$140,$E253))),IF(INDEX(DMAV_Modell!Q$6:Q$838,$B253)="","",INDEX(DMAV_Modell!Q$6:Q$838,$B253)))</f>
        <v>ASSOCIATION</v>
      </c>
      <c r="L253" s="62" t="str" cm="1">
        <f t="array" ref="L253">IF($B253=0,IF($E253=0,"",IF(INDEX(DMAV_Dienste!O$6:O$140,$E253)="","",INDEX(DMAV_Dienste!O$6:O$140,$E253))),IF(INDEX(DMAV_Modell!P$6:P$838,$B253)="","",INDEX(DMAV_Modell!P$6:P$838,$B253)))</f>
        <v>FPDS2</v>
      </c>
      <c r="M253" s="62" t="str" cm="1">
        <f t="array" ref="M253">IF($B253=0,IF($E253=0,"",IF(INDEX(DMAV_Dienste!Q$6:Q$140,$E253)="","",INDEX(DMAV_Dienste!Q$6:Q$140,$E253))),IF(INDEX(DMAV_Modell!R$6:R$838,$B253)="","",INDEX(DMAV_Modell!R$6:R$838,$B253)))</f>
        <v>FPVersion_FPNachfuehrung</v>
      </c>
      <c r="N253" s="62" t="str" cm="1">
        <f t="array" ref="N253">IF($B253=0,IF($E253=0,"",IF(INDEX(DMAV_Dienste!T$6:T$140,$E253)="","",INDEX(DMAV_Dienste!T$6:T$140,$E253))),IF(INDEX(DMAV_Modell!U$6:U$838,$B253)="","",INDEX(DMAV_Modell!U$6:U$838,$B253)))</f>
        <v>FPN</v>
      </c>
      <c r="O253" s="63" t="str" cm="1">
        <f t="array" aca="1" ref="O253" ca="1">IF(C253=0,IF(F253=0,"",HYPERLINK("#"&amp;RIGHT(CELL("adresse",OFFSET(DMAV_Dienste!$M$6,F253-1,0)),LEN(CELL("adresse",OFFSET(DMAV_Dienste!$M$6,F253-1,0)))-FIND("]",CELL("adresse",OFFSET(DMAV_Dienste!$M$6,F253-1,0)))),"Structure")),HYPERLINK("#"&amp;RIGHT(CELL("adresse",OFFSET(DMAV_Modell!$N$6,C253-1,0)),LEN(CELL("adresse",OFFSET(DMAV_Modell!$N$6,C253-1,0)))-FIND("]",CELL("adresse",OFFSET(DMAV_Modell!$N$6,C253-1,0)))),"Structure"))</f>
        <v/>
      </c>
      <c r="P253" s="64" t="str" cm="1">
        <f t="array" aca="1" ref="P253" ca="1">IF(D253=0,IF(G253=0,"",HYPERLINK("#"&amp;RIGHT(CELL("adresse",OFFSET(DMAV_Dienste!$M$6,G253-1,0)),LEN(CELL("adresse",OFFSET(DMAV_Dienste!$M$6,G253-1,0)))-FIND("]",CELL("adresse",OFFSET(DMAV_Dienste!$M$6,G253-1,0)))),"Substructure")),HYPERLINK("#"&amp;RIGHT(CELL("adresse",OFFSET(DMAV_Modell!$N$6,D253-1,0)),LEN(CELL("adresse",OFFSET(DMAV_Modell!$N$6,D253-1,0)))-FIND("]",CELL("adresse",OFFSET(DMAV_Modell!$N$6,D253-1,0)))),"Substructure"))</f>
        <v/>
      </c>
      <c r="R253" s="80"/>
      <c r="T253" s="93"/>
      <c r="U253" s="94"/>
      <c r="V253" s="95"/>
      <c r="W253" s="96"/>
      <c r="Y253" s="85"/>
      <c r="Z253" s="86"/>
      <c r="AA253" s="87"/>
      <c r="AB253" s="88"/>
      <c r="AD253" s="77"/>
      <c r="AF253" s="54" t="str" cm="1">
        <f t="array" aca="1" ref="AF253" ca="1">IF(H253=0,"",HYPERLINK("#"&amp;RIGHT(CELL("adresse",OFFSET('DM01-AV-CH'!$G$6,H253-1,0)),LEN(CELL("adresse",OFFSET('DM01-AV-CH'!$G$6,H253-1,0)))-FIND("]",CELL("adresse",OFFSET('DM01-AV-CH'!$G$6,H253-1,0)))),"Modell"))</f>
        <v/>
      </c>
      <c r="AG253" s="72" t="str" cm="1">
        <f t="array" ref="AG253">IF($H253=0,"",IF(INDEX('DM01-AV-CH'!G$6:G$834,$H253)="","",INDEX('DM01-AV-CH'!G$6:G$834,$H253)))</f>
        <v/>
      </c>
      <c r="AH253" s="73" t="str" cm="1">
        <f t="array" ref="AH253">IF($H253=0,"",IF(INDEX('DM01-AV-CH'!H$6:H$834,$H253)="","",INDEX('DM01-AV-CH'!H$6:H$834,$H253)))</f>
        <v/>
      </c>
      <c r="AI253" s="74" t="str" cm="1">
        <f t="array" ref="AI253">IF($H253=0,"",IF(INDEX('DM01-AV-CH'!I$6:I$834,$H253)="","",INDEX('DM01-AV-CH'!I$6:I$834,$H253)))</f>
        <v/>
      </c>
    </row>
    <row r="254" spans="1:35" x14ac:dyDescent="0.25">
      <c r="A254" s="57">
        <v>249</v>
      </c>
      <c r="B254" s="57">
        <f>IF($A254="","",IF(_xlfn.XLOOKUP($A254,Korrelation!$D$4:$D$1197,Korrelation!E$4:E$1197,"-",0)="-",0,MATCH(_xlfn.XLOOKUP($A254,Korrelation!$D$4:$D$1197,Korrelation!E$4:E$1197,"",0),DMAV_Modell!$G$6:$G$677,0)))</f>
        <v>0</v>
      </c>
      <c r="C254" s="57">
        <f>IF($A254="","",IF(_xlfn.XLOOKUP($A254,Korrelation!$D$4:$D$1197,Korrelation!F$4:F$1197,"-",0)="-",0,MATCH(_xlfn.XLOOKUP($A254,Korrelation!$D$4:$D$1197,Korrelation!F$4:F$1197,"",0),DMAV_Modell!$G$6:$G$677,0)))</f>
        <v>0</v>
      </c>
      <c r="D254" s="57">
        <f>IF($A254="","",IF(_xlfn.XLOOKUP($A254,Korrelation!$D$4:$D$1197,Korrelation!G$4:G$1197,"-",0)="-",0,MATCH(_xlfn.XLOOKUP($A254,Korrelation!$D$4:$D$1197,Korrelation!G$4:G$1197,"",0),DMAV_Modell!$G$6:$G$677,0)))</f>
        <v>0</v>
      </c>
      <c r="E254" s="57">
        <f>IF($A254="","",IF(_xlfn.XLOOKUP($A254,Korrelation!$D$4:$D$1197,Korrelation!H$4:H$1197,"-",0)="-",0,MATCH(_xlfn.XLOOKUP($A254,Korrelation!$D$4:$D$1197,Korrelation!H$4:H$1197,"",0),DMAV_Dienste!$F$6:$F$140,0)))</f>
        <v>126</v>
      </c>
      <c r="F254" s="57">
        <f>IF($A254="","",IF(_xlfn.XLOOKUP($A254,Korrelation!$D$4:$D$1197,Korrelation!I$4:I$1197,"-",0)="-",0,MATCH(_xlfn.XLOOKUP($A254,Korrelation!$D$4:$D$1197,Korrelation!I$4:I$1197,"",0),DMAV_Dienste!$F$6:$F$140,0)))</f>
        <v>0</v>
      </c>
      <c r="G254" s="57">
        <f>IF($A254="","",IF(_xlfn.XLOOKUP($A254,Korrelation!$D$4:$D$1197,Korrelation!J$4:J$1197,"-",0)="-",0,MATCH(_xlfn.XLOOKUP($A254,Korrelation!$D$4:$D$1197,Korrelation!J$4:J$1197,"",0),DMAV_Dienste!$F$6:$F$140,0)))</f>
        <v>0</v>
      </c>
      <c r="H254" s="57">
        <f>IF($A254="","",IF(_xlfn.XLOOKUP($A254,Korrelation!$D$4:$D$1197,Korrelation!K$4:K$1197,"-",0)="-",0,MATCH(_xlfn.XLOOKUP($A254,Korrelation!$D$4:$D$1197,Korrelation!K$4:K$1197,"",0),'DM01-AV-CH'!$A$6:$A$834,0)))</f>
        <v>0</v>
      </c>
      <c r="J254" s="54" t="str" cm="1">
        <f t="array" aca="1" ref="J254" ca="1">IF(B254=0,IF(E254=0,"",HYPERLINK("#"&amp;RIGHT(CELL("adresse",OFFSET(DMAV_Dienste!$M$6,E254-1,0)),LEN(CELL("adresse",OFFSET(DMAV_Dienste!$M$6,E254-1,0)))-FIND("]",CELL("adresse",OFFSET(DMAV_Dienste!$M$6,E254-1,0)))),"Dienst")),HYPERLINK("#"&amp;RIGHT(CELL("adresse",OFFSET(DMAV_Modell!$N$6,B254-1,0)),LEN(CELL("adresse",OFFSET(DMAV_Modell!$N$6,B254-1,0)))-FIND("]",CELL("adresse",OFFSET(DMAV_Modell!$N$6,B254-1,0)))),"Modell"))</f>
        <v>Dienst</v>
      </c>
      <c r="K254" s="61" t="str" cm="1">
        <f t="array" ref="K254">IF($B254=0,IF($E254=0,"",IF(INDEX(DMAV_Dienste!P$6:P$140,$E254)="","",INDEX(DMAV_Dienste!P$6:P$140,$E254))),IF(INDEX(DMAV_Modell!Q$6:Q$838,$B254)="","",INDEX(DMAV_Modell!Q$6:Q$838,$B254)))</f>
        <v>ASSOCIATION</v>
      </c>
      <c r="L254" s="62" t="str" cm="1">
        <f t="array" ref="L254">IF($B254=0,IF($E254=0,"",IF(INDEX(DMAV_Dienste!O$6:O$140,$E254)="","",INDEX(DMAV_Dienste!O$6:O$140,$E254))),IF(INDEX(DMAV_Modell!P$6:P$838,$B254)="","",INDEX(DMAV_Modell!P$6:P$838,$B254)))</f>
        <v>FPDS2</v>
      </c>
      <c r="M254" s="62" t="str" cm="1">
        <f t="array" ref="M254">IF($B254=0,IF($E254=0,"",IF(INDEX(DMAV_Dienste!Q$6:Q$140,$E254)="","",INDEX(DMAV_Dienste!Q$6:Q$140,$E254))),IF(INDEX(DMAV_Modell!R$6:R$838,$B254)="","",INDEX(DMAV_Modell!R$6:R$838,$B254)))</f>
        <v>FPVersion_FPNachfuehrung</v>
      </c>
      <c r="N254" s="62" t="str" cm="1">
        <f t="array" ref="N254">IF($B254=0,IF($E254=0,"",IF(INDEX(DMAV_Dienste!T$6:T$140,$E254)="","",INDEX(DMAV_Dienste!T$6:T$140,$E254))),IF(INDEX(DMAV_Modell!U$6:U$838,$B254)="","",INDEX(DMAV_Modell!U$6:U$838,$B254)))</f>
        <v>FPV</v>
      </c>
      <c r="O254" s="63" t="str" cm="1">
        <f t="array" aca="1" ref="O254" ca="1">IF(C254=0,IF(F254=0,"",HYPERLINK("#"&amp;RIGHT(CELL("adresse",OFFSET(DMAV_Dienste!$M$6,F254-1,0)),LEN(CELL("adresse",OFFSET(DMAV_Dienste!$M$6,F254-1,0)))-FIND("]",CELL("adresse",OFFSET(DMAV_Dienste!$M$6,F254-1,0)))),"Structure")),HYPERLINK("#"&amp;RIGHT(CELL("adresse",OFFSET(DMAV_Modell!$N$6,C254-1,0)),LEN(CELL("adresse",OFFSET(DMAV_Modell!$N$6,C254-1,0)))-FIND("]",CELL("adresse",OFFSET(DMAV_Modell!$N$6,C254-1,0)))),"Structure"))</f>
        <v/>
      </c>
      <c r="P254" s="64" t="str" cm="1">
        <f t="array" aca="1" ref="P254" ca="1">IF(D254=0,IF(G254=0,"",HYPERLINK("#"&amp;RIGHT(CELL("adresse",OFFSET(DMAV_Dienste!$M$6,G254-1,0)),LEN(CELL("adresse",OFFSET(DMAV_Dienste!$M$6,G254-1,0)))-FIND("]",CELL("adresse",OFFSET(DMAV_Dienste!$M$6,G254-1,0)))),"Substructure")),HYPERLINK("#"&amp;RIGHT(CELL("adresse",OFFSET(DMAV_Modell!$N$6,D254-1,0)),LEN(CELL("adresse",OFFSET(DMAV_Modell!$N$6,D254-1,0)))-FIND("]",CELL("adresse",OFFSET(DMAV_Modell!$N$6,D254-1,0)))),"Substructure"))</f>
        <v/>
      </c>
      <c r="R254" s="80"/>
      <c r="T254" s="93"/>
      <c r="U254" s="94"/>
      <c r="V254" s="95"/>
      <c r="W254" s="96"/>
      <c r="Y254" s="85"/>
      <c r="Z254" s="86"/>
      <c r="AA254" s="87"/>
      <c r="AB254" s="88"/>
      <c r="AD254" s="77"/>
      <c r="AF254" s="54" t="str" cm="1">
        <f t="array" aca="1" ref="AF254" ca="1">IF(H254=0,"",HYPERLINK("#"&amp;RIGHT(CELL("adresse",OFFSET('DM01-AV-CH'!$G$6,H254-1,0)),LEN(CELL("adresse",OFFSET('DM01-AV-CH'!$G$6,H254-1,0)))-FIND("]",CELL("adresse",OFFSET('DM01-AV-CH'!$G$6,H254-1,0)))),"Modell"))</f>
        <v/>
      </c>
      <c r="AG254" s="72" t="str" cm="1">
        <f t="array" ref="AG254">IF($H254=0,"",IF(INDEX('DM01-AV-CH'!G$6:G$834,$H254)="","",INDEX('DM01-AV-CH'!G$6:G$834,$H254)))</f>
        <v/>
      </c>
      <c r="AH254" s="73" t="str" cm="1">
        <f t="array" ref="AH254">IF($H254=0,"",IF(INDEX('DM01-AV-CH'!H$6:H$834,$H254)="","",INDEX('DM01-AV-CH'!H$6:H$834,$H254)))</f>
        <v/>
      </c>
      <c r="AI254" s="74" t="str" cm="1">
        <f t="array" ref="AI254">IF($H254=0,"",IF(INDEX('DM01-AV-CH'!I$6:I$834,$H254)="","",INDEX('DM01-AV-CH'!I$6:I$834,$H254)))</f>
        <v/>
      </c>
    </row>
    <row r="255" spans="1:35" x14ac:dyDescent="0.25">
      <c r="A255" s="57">
        <v>250</v>
      </c>
      <c r="B255" s="57">
        <f>IF($A255="","",IF(_xlfn.XLOOKUP($A255,Korrelation!$D$4:$D$1197,Korrelation!E$4:E$1197,"-",0)="-",0,MATCH(_xlfn.XLOOKUP($A255,Korrelation!$D$4:$D$1197,Korrelation!E$4:E$1197,"",0),DMAV_Modell!$G$6:$G$677,0)))</f>
        <v>0</v>
      </c>
      <c r="C255" s="57">
        <f>IF($A255="","",IF(_xlfn.XLOOKUP($A255,Korrelation!$D$4:$D$1197,Korrelation!F$4:F$1197,"-",0)="-",0,MATCH(_xlfn.XLOOKUP($A255,Korrelation!$D$4:$D$1197,Korrelation!F$4:F$1197,"",0),DMAV_Modell!$G$6:$G$677,0)))</f>
        <v>0</v>
      </c>
      <c r="D255" s="57">
        <f>IF($A255="","",IF(_xlfn.XLOOKUP($A255,Korrelation!$D$4:$D$1197,Korrelation!G$4:G$1197,"-",0)="-",0,MATCH(_xlfn.XLOOKUP($A255,Korrelation!$D$4:$D$1197,Korrelation!G$4:G$1197,"",0),DMAV_Modell!$G$6:$G$677,0)))</f>
        <v>0</v>
      </c>
      <c r="E255" s="57">
        <f>IF($A255="","",IF(_xlfn.XLOOKUP($A255,Korrelation!$D$4:$D$1197,Korrelation!H$4:H$1197,"-",0)="-",0,MATCH(_xlfn.XLOOKUP($A255,Korrelation!$D$4:$D$1197,Korrelation!H$4:H$1197,"",0),DMAV_Dienste!$F$6:$F$140,0)))</f>
        <v>127</v>
      </c>
      <c r="F255" s="57">
        <f>IF($A255="","",IF(_xlfn.XLOOKUP($A255,Korrelation!$D$4:$D$1197,Korrelation!I$4:I$1197,"-",0)="-",0,MATCH(_xlfn.XLOOKUP($A255,Korrelation!$D$4:$D$1197,Korrelation!I$4:I$1197,"",0),DMAV_Dienste!$F$6:$F$140,0)))</f>
        <v>0</v>
      </c>
      <c r="G255" s="57">
        <f>IF($A255="","",IF(_xlfn.XLOOKUP($A255,Korrelation!$D$4:$D$1197,Korrelation!J$4:J$1197,"-",0)="-",0,MATCH(_xlfn.XLOOKUP($A255,Korrelation!$D$4:$D$1197,Korrelation!J$4:J$1197,"",0),DMAV_Dienste!$F$6:$F$140,0)))</f>
        <v>0</v>
      </c>
      <c r="H255" s="57">
        <f>IF($A255="","",IF(_xlfn.XLOOKUP($A255,Korrelation!$D$4:$D$1197,Korrelation!K$4:K$1197,"-",0)="-",0,MATCH(_xlfn.XLOOKUP($A255,Korrelation!$D$4:$D$1197,Korrelation!K$4:K$1197,"",0),'DM01-AV-CH'!$A$6:$A$834,0)))</f>
        <v>0</v>
      </c>
      <c r="J255" s="54" t="str" cm="1">
        <f t="array" aca="1" ref="J255" ca="1">IF(B255=0,IF(E255=0,"",HYPERLINK("#"&amp;RIGHT(CELL("adresse",OFFSET(DMAV_Dienste!$M$6,E255-1,0)),LEN(CELL("adresse",OFFSET(DMAV_Dienste!$M$6,E255-1,0)))-FIND("]",CELL("adresse",OFFSET(DMAV_Dienste!$M$6,E255-1,0)))),"Dienst")),HYPERLINK("#"&amp;RIGHT(CELL("adresse",OFFSET(DMAV_Modell!$N$6,B255-1,0)),LEN(CELL("adresse",OFFSET(DMAV_Modell!$N$6,B255-1,0)))-FIND("]",CELL("adresse",OFFSET(DMAV_Modell!$N$6,B255-1,0)))),"Modell"))</f>
        <v>Dienst</v>
      </c>
      <c r="K255" s="61" t="str" cm="1">
        <f t="array" ref="K255">IF($B255=0,IF($E255=0,"",IF(INDEX(DMAV_Dienste!P$6:P$140,$E255)="","",INDEX(DMAV_Dienste!P$6:P$140,$E255))),IF(INDEX(DMAV_Modell!Q$6:Q$838,$B255)="","",INDEX(DMAV_Modell!Q$6:Q$838,$B255)))</f>
        <v>ASSOCIATION</v>
      </c>
      <c r="L255" s="62" t="str" cm="1">
        <f t="array" ref="L255">IF($B255=0,IF($E255=0,"",IF(INDEX(DMAV_Dienste!O$6:O$140,$E255)="","",INDEX(DMAV_Dienste!O$6:O$140,$E255))),IF(INDEX(DMAV_Modell!P$6:P$838,$B255)="","",INDEX(DMAV_Modell!P$6:P$838,$B255)))</f>
        <v>FPDS2</v>
      </c>
      <c r="M255" s="62" t="str" cm="1">
        <f t="array" ref="M255">IF($B255=0,IF($E255=0,"",IF(INDEX(DMAV_Dienste!Q$6:Q$140,$E255)="","",INDEX(DMAV_Dienste!Q$6:Q$140,$E255))),IF(INDEX(DMAV_Modell!R$6:R$838,$B255)="","",INDEX(DMAV_Modell!R$6:R$838,$B255)))</f>
        <v>FP_FPAktion</v>
      </c>
      <c r="N255" s="62" t="str" cm="1">
        <f t="array" ref="N255">IF($B255=0,IF($E255=0,"",IF(INDEX(DMAV_Dienste!T$6:T$140,$E255)="","",INDEX(DMAV_Dienste!T$6:T$140,$E255))),IF(INDEX(DMAV_Modell!U$6:U$838,$B255)="","",INDEX(DMAV_Modell!U$6:U$838,$B255)))</f>
        <v>FP</v>
      </c>
      <c r="O255" s="63" t="str" cm="1">
        <f t="array" aca="1" ref="O255" ca="1">IF(C255=0,IF(F255=0,"",HYPERLINK("#"&amp;RIGHT(CELL("adresse",OFFSET(DMAV_Dienste!$M$6,F255-1,0)),LEN(CELL("adresse",OFFSET(DMAV_Dienste!$M$6,F255-1,0)))-FIND("]",CELL("adresse",OFFSET(DMAV_Dienste!$M$6,F255-1,0)))),"Structure")),HYPERLINK("#"&amp;RIGHT(CELL("adresse",OFFSET(DMAV_Modell!$N$6,C255-1,0)),LEN(CELL("adresse",OFFSET(DMAV_Modell!$N$6,C255-1,0)))-FIND("]",CELL("adresse",OFFSET(DMAV_Modell!$N$6,C255-1,0)))),"Structure"))</f>
        <v/>
      </c>
      <c r="P255" s="64" t="str" cm="1">
        <f t="array" aca="1" ref="P255" ca="1">IF(D255=0,IF(G255=0,"",HYPERLINK("#"&amp;RIGHT(CELL("adresse",OFFSET(DMAV_Dienste!$M$6,G255-1,0)),LEN(CELL("adresse",OFFSET(DMAV_Dienste!$M$6,G255-1,0)))-FIND("]",CELL("adresse",OFFSET(DMAV_Dienste!$M$6,G255-1,0)))),"Substructure")),HYPERLINK("#"&amp;RIGHT(CELL("adresse",OFFSET(DMAV_Modell!$N$6,D255-1,0)),LEN(CELL("adresse",OFFSET(DMAV_Modell!$N$6,D255-1,0)))-FIND("]",CELL("adresse",OFFSET(DMAV_Modell!$N$6,D255-1,0)))),"Substructure"))</f>
        <v/>
      </c>
      <c r="R255" s="80"/>
      <c r="T255" s="93"/>
      <c r="U255" s="94"/>
      <c r="V255" s="95"/>
      <c r="W255" s="96"/>
      <c r="Y255" s="85"/>
      <c r="Z255" s="86"/>
      <c r="AA255" s="87"/>
      <c r="AB255" s="88"/>
      <c r="AD255" s="77"/>
      <c r="AF255" s="54" t="str" cm="1">
        <f t="array" aca="1" ref="AF255" ca="1">IF(H255=0,"",HYPERLINK("#"&amp;RIGHT(CELL("adresse",OFFSET('DM01-AV-CH'!$G$6,H255-1,0)),LEN(CELL("adresse",OFFSET('DM01-AV-CH'!$G$6,H255-1,0)))-FIND("]",CELL("adresse",OFFSET('DM01-AV-CH'!$G$6,H255-1,0)))),"Modell"))</f>
        <v/>
      </c>
      <c r="AG255" s="72" t="str" cm="1">
        <f t="array" ref="AG255">IF($H255=0,"",IF(INDEX('DM01-AV-CH'!G$6:G$834,$H255)="","",INDEX('DM01-AV-CH'!G$6:G$834,$H255)))</f>
        <v/>
      </c>
      <c r="AH255" s="73" t="str" cm="1">
        <f t="array" ref="AH255">IF($H255=0,"",IF(INDEX('DM01-AV-CH'!H$6:H$834,$H255)="","",INDEX('DM01-AV-CH'!H$6:H$834,$H255)))</f>
        <v/>
      </c>
      <c r="AI255" s="74" t="str" cm="1">
        <f t="array" ref="AI255">IF($H255=0,"",IF(INDEX('DM01-AV-CH'!I$6:I$834,$H255)="","",INDEX('DM01-AV-CH'!I$6:I$834,$H255)))</f>
        <v/>
      </c>
    </row>
    <row r="256" spans="1:35" x14ac:dyDescent="0.25">
      <c r="A256" s="57">
        <v>251</v>
      </c>
      <c r="B256" s="57">
        <f>IF($A256="","",IF(_xlfn.XLOOKUP($A256,Korrelation!$D$4:$D$1197,Korrelation!E$4:E$1197,"-",0)="-",0,MATCH(_xlfn.XLOOKUP($A256,Korrelation!$D$4:$D$1197,Korrelation!E$4:E$1197,"",0),DMAV_Modell!$G$6:$G$677,0)))</f>
        <v>0</v>
      </c>
      <c r="C256" s="57">
        <f>IF($A256="","",IF(_xlfn.XLOOKUP($A256,Korrelation!$D$4:$D$1197,Korrelation!F$4:F$1197,"-",0)="-",0,MATCH(_xlfn.XLOOKUP($A256,Korrelation!$D$4:$D$1197,Korrelation!F$4:F$1197,"",0),DMAV_Modell!$G$6:$G$677,0)))</f>
        <v>0</v>
      </c>
      <c r="D256" s="57">
        <f>IF($A256="","",IF(_xlfn.XLOOKUP($A256,Korrelation!$D$4:$D$1197,Korrelation!G$4:G$1197,"-",0)="-",0,MATCH(_xlfn.XLOOKUP($A256,Korrelation!$D$4:$D$1197,Korrelation!G$4:G$1197,"",0),DMAV_Modell!$G$6:$G$677,0)))</f>
        <v>0</v>
      </c>
      <c r="E256" s="57">
        <f>IF($A256="","",IF(_xlfn.XLOOKUP($A256,Korrelation!$D$4:$D$1197,Korrelation!H$4:H$1197,"-",0)="-",0,MATCH(_xlfn.XLOOKUP($A256,Korrelation!$D$4:$D$1197,Korrelation!H$4:H$1197,"",0),DMAV_Dienste!$F$6:$F$140,0)))</f>
        <v>128</v>
      </c>
      <c r="F256" s="57">
        <f>IF($A256="","",IF(_xlfn.XLOOKUP($A256,Korrelation!$D$4:$D$1197,Korrelation!I$4:I$1197,"-",0)="-",0,MATCH(_xlfn.XLOOKUP($A256,Korrelation!$D$4:$D$1197,Korrelation!I$4:I$1197,"",0),DMAV_Dienste!$F$6:$F$140,0)))</f>
        <v>0</v>
      </c>
      <c r="G256" s="57">
        <f>IF($A256="","",IF(_xlfn.XLOOKUP($A256,Korrelation!$D$4:$D$1197,Korrelation!J$4:J$1197,"-",0)="-",0,MATCH(_xlfn.XLOOKUP($A256,Korrelation!$D$4:$D$1197,Korrelation!J$4:J$1197,"",0),DMAV_Dienste!$F$6:$F$140,0)))</f>
        <v>0</v>
      </c>
      <c r="H256" s="57">
        <f>IF($A256="","",IF(_xlfn.XLOOKUP($A256,Korrelation!$D$4:$D$1197,Korrelation!K$4:K$1197,"-",0)="-",0,MATCH(_xlfn.XLOOKUP($A256,Korrelation!$D$4:$D$1197,Korrelation!K$4:K$1197,"",0),'DM01-AV-CH'!$A$6:$A$834,0)))</f>
        <v>0</v>
      </c>
      <c r="J256" s="54" t="str" cm="1">
        <f t="array" aca="1" ref="J256" ca="1">IF(B256=0,IF(E256=0,"",HYPERLINK("#"&amp;RIGHT(CELL("adresse",OFFSET(DMAV_Dienste!$M$6,E256-1,0)),LEN(CELL("adresse",OFFSET(DMAV_Dienste!$M$6,E256-1,0)))-FIND("]",CELL("adresse",OFFSET(DMAV_Dienste!$M$6,E256-1,0)))),"Dienst")),HYPERLINK("#"&amp;RIGHT(CELL("adresse",OFFSET(DMAV_Modell!$N$6,B256-1,0)),LEN(CELL("adresse",OFFSET(DMAV_Modell!$N$6,B256-1,0)))-FIND("]",CELL("adresse",OFFSET(DMAV_Modell!$N$6,B256-1,0)))),"Modell"))</f>
        <v>Dienst</v>
      </c>
      <c r="K256" s="61" t="str" cm="1">
        <f t="array" ref="K256">IF($B256=0,IF($E256=0,"",IF(INDEX(DMAV_Dienste!P$6:P$140,$E256)="","",INDEX(DMAV_Dienste!P$6:P$140,$E256))),IF(INDEX(DMAV_Modell!Q$6:Q$838,$B256)="","",INDEX(DMAV_Modell!Q$6:Q$838,$B256)))</f>
        <v>ASSOCIATION</v>
      </c>
      <c r="L256" s="62" t="str" cm="1">
        <f t="array" ref="L256">IF($B256=0,IF($E256=0,"",IF(INDEX(DMAV_Dienste!O$6:O$140,$E256)="","",INDEX(DMAV_Dienste!O$6:O$140,$E256))),IF(INDEX(DMAV_Modell!P$6:P$838,$B256)="","",INDEX(DMAV_Modell!P$6:P$838,$B256)))</f>
        <v>FPDS2</v>
      </c>
      <c r="M256" s="62" t="str" cm="1">
        <f t="array" ref="M256">IF($B256=0,IF($E256=0,"",IF(INDEX(DMAV_Dienste!Q$6:Q$140,$E256)="","",INDEX(DMAV_Dienste!Q$6:Q$140,$E256))),IF(INDEX(DMAV_Modell!R$6:R$838,$B256)="","",INDEX(DMAV_Modell!R$6:R$838,$B256)))</f>
        <v>FP_FPAktion</v>
      </c>
      <c r="N256" s="62" t="str" cm="1">
        <f t="array" ref="N256">IF($B256=0,IF($E256=0,"",IF(INDEX(DMAV_Dienste!T$6:T$140,$E256)="","",INDEX(DMAV_Dienste!T$6:T$140,$E256))),IF(INDEX(DMAV_Modell!U$6:U$838,$B256)="","",INDEX(DMAV_Modell!U$6:U$838,$B256)))</f>
        <v>FPA</v>
      </c>
      <c r="O256" s="63" t="str" cm="1">
        <f t="array" aca="1" ref="O256" ca="1">IF(C256=0,IF(F256=0,"",HYPERLINK("#"&amp;RIGHT(CELL("adresse",OFFSET(DMAV_Dienste!$M$6,F256-1,0)),LEN(CELL("adresse",OFFSET(DMAV_Dienste!$M$6,F256-1,0)))-FIND("]",CELL("adresse",OFFSET(DMAV_Dienste!$M$6,F256-1,0)))),"Structure")),HYPERLINK("#"&amp;RIGHT(CELL("adresse",OFFSET(DMAV_Modell!$N$6,C256-1,0)),LEN(CELL("adresse",OFFSET(DMAV_Modell!$N$6,C256-1,0)))-FIND("]",CELL("adresse",OFFSET(DMAV_Modell!$N$6,C256-1,0)))),"Structure"))</f>
        <v/>
      </c>
      <c r="P256" s="64" t="str" cm="1">
        <f t="array" aca="1" ref="P256" ca="1">IF(D256=0,IF(G256=0,"",HYPERLINK("#"&amp;RIGHT(CELL("adresse",OFFSET(DMAV_Dienste!$M$6,G256-1,0)),LEN(CELL("adresse",OFFSET(DMAV_Dienste!$M$6,G256-1,0)))-FIND("]",CELL("adresse",OFFSET(DMAV_Dienste!$M$6,G256-1,0)))),"Substructure")),HYPERLINK("#"&amp;RIGHT(CELL("adresse",OFFSET(DMAV_Modell!$N$6,D256-1,0)),LEN(CELL("adresse",OFFSET(DMAV_Modell!$N$6,D256-1,0)))-FIND("]",CELL("adresse",OFFSET(DMAV_Modell!$N$6,D256-1,0)))),"Substructure"))</f>
        <v/>
      </c>
      <c r="R256" s="80"/>
      <c r="T256" s="93"/>
      <c r="U256" s="94"/>
      <c r="V256" s="95"/>
      <c r="W256" s="96"/>
      <c r="Y256" s="85"/>
      <c r="Z256" s="86"/>
      <c r="AA256" s="87"/>
      <c r="AB256" s="88"/>
      <c r="AD256" s="77"/>
      <c r="AF256" s="54" t="str" cm="1">
        <f t="array" aca="1" ref="AF256" ca="1">IF(H256=0,"",HYPERLINK("#"&amp;RIGHT(CELL("adresse",OFFSET('DM01-AV-CH'!$G$6,H256-1,0)),LEN(CELL("adresse",OFFSET('DM01-AV-CH'!$G$6,H256-1,0)))-FIND("]",CELL("adresse",OFFSET('DM01-AV-CH'!$G$6,H256-1,0)))),"Modell"))</f>
        <v/>
      </c>
      <c r="AG256" s="72" t="str" cm="1">
        <f t="array" ref="AG256">IF($H256=0,"",IF(INDEX('DM01-AV-CH'!G$6:G$834,$H256)="","",INDEX('DM01-AV-CH'!G$6:G$834,$H256)))</f>
        <v/>
      </c>
      <c r="AH256" s="73" t="str" cm="1">
        <f t="array" ref="AH256">IF($H256=0,"",IF(INDEX('DM01-AV-CH'!H$6:H$834,$H256)="","",INDEX('DM01-AV-CH'!H$6:H$834,$H256)))</f>
        <v/>
      </c>
      <c r="AI256" s="74" t="str" cm="1">
        <f t="array" ref="AI256">IF($H256=0,"",IF(INDEX('DM01-AV-CH'!I$6:I$834,$H256)="","",INDEX('DM01-AV-CH'!I$6:I$834,$H256)))</f>
        <v/>
      </c>
    </row>
    <row r="257" spans="1:35" x14ac:dyDescent="0.25">
      <c r="A257" s="57">
        <v>252</v>
      </c>
      <c r="B257" s="57">
        <f>IF($A257="","",IF(_xlfn.XLOOKUP($A257,Korrelation!$D$4:$D$1197,Korrelation!E$4:E$1197,"-",0)="-",0,MATCH(_xlfn.XLOOKUP($A257,Korrelation!$D$4:$D$1197,Korrelation!E$4:E$1197,"",0),DMAV_Modell!$G$6:$G$677,0)))</f>
        <v>0</v>
      </c>
      <c r="C257" s="57">
        <f>IF($A257="","",IF(_xlfn.XLOOKUP($A257,Korrelation!$D$4:$D$1197,Korrelation!F$4:F$1197,"-",0)="-",0,MATCH(_xlfn.XLOOKUP($A257,Korrelation!$D$4:$D$1197,Korrelation!F$4:F$1197,"",0),DMAV_Modell!$G$6:$G$677,0)))</f>
        <v>0</v>
      </c>
      <c r="D257" s="57">
        <f>IF($A257="","",IF(_xlfn.XLOOKUP($A257,Korrelation!$D$4:$D$1197,Korrelation!G$4:G$1197,"-",0)="-",0,MATCH(_xlfn.XLOOKUP($A257,Korrelation!$D$4:$D$1197,Korrelation!G$4:G$1197,"",0),DMAV_Modell!$G$6:$G$677,0)))</f>
        <v>0</v>
      </c>
      <c r="E257" s="57">
        <f>IF($A257="","",IF(_xlfn.XLOOKUP($A257,Korrelation!$D$4:$D$1197,Korrelation!H$4:H$1197,"-",0)="-",0,MATCH(_xlfn.XLOOKUP($A257,Korrelation!$D$4:$D$1197,Korrelation!H$4:H$1197,"",0),DMAV_Dienste!$F$6:$F$140,0)))</f>
        <v>129</v>
      </c>
      <c r="F257" s="57">
        <f>IF($A257="","",IF(_xlfn.XLOOKUP($A257,Korrelation!$D$4:$D$1197,Korrelation!I$4:I$1197,"-",0)="-",0,MATCH(_xlfn.XLOOKUP($A257,Korrelation!$D$4:$D$1197,Korrelation!I$4:I$1197,"",0),DMAV_Dienste!$F$6:$F$140,0)))</f>
        <v>0</v>
      </c>
      <c r="G257" s="57">
        <f>IF($A257="","",IF(_xlfn.XLOOKUP($A257,Korrelation!$D$4:$D$1197,Korrelation!J$4:J$1197,"-",0)="-",0,MATCH(_xlfn.XLOOKUP($A257,Korrelation!$D$4:$D$1197,Korrelation!J$4:J$1197,"",0),DMAV_Dienste!$F$6:$F$140,0)))</f>
        <v>0</v>
      </c>
      <c r="H257" s="57">
        <f>IF($A257="","",IF(_xlfn.XLOOKUP($A257,Korrelation!$D$4:$D$1197,Korrelation!K$4:K$1197,"-",0)="-",0,MATCH(_xlfn.XLOOKUP($A257,Korrelation!$D$4:$D$1197,Korrelation!K$4:K$1197,"",0),'DM01-AV-CH'!$A$6:$A$834,0)))</f>
        <v>0</v>
      </c>
      <c r="J257" s="54" t="str" cm="1">
        <f t="array" aca="1" ref="J257" ca="1">IF(B257=0,IF(E257=0,"",HYPERLINK("#"&amp;RIGHT(CELL("adresse",OFFSET(DMAV_Dienste!$M$6,E257-1,0)),LEN(CELL("adresse",OFFSET(DMAV_Dienste!$M$6,E257-1,0)))-FIND("]",CELL("adresse",OFFSET(DMAV_Dienste!$M$6,E257-1,0)))),"Dienst")),HYPERLINK("#"&amp;RIGHT(CELL("adresse",OFFSET(DMAV_Modell!$N$6,B257-1,0)),LEN(CELL("adresse",OFFSET(DMAV_Modell!$N$6,B257-1,0)))-FIND("]",CELL("adresse",OFFSET(DMAV_Modell!$N$6,B257-1,0)))),"Modell"))</f>
        <v>Dienst</v>
      </c>
      <c r="K257" s="61" t="str" cm="1">
        <f t="array" ref="K257">IF($B257=0,IF($E257=0,"",IF(INDEX(DMAV_Dienste!P$6:P$140,$E257)="","",INDEX(DMAV_Dienste!P$6:P$140,$E257))),IF(INDEX(DMAV_Modell!Q$6:Q$838,$B257)="","",INDEX(DMAV_Modell!Q$6:Q$838,$B257)))</f>
        <v>ASSOCIATION</v>
      </c>
      <c r="L257" s="62" t="str" cm="1">
        <f t="array" ref="L257">IF($B257=0,IF($E257=0,"",IF(INDEX(DMAV_Dienste!O$6:O$140,$E257)="","",INDEX(DMAV_Dienste!O$6:O$140,$E257))),IF(INDEX(DMAV_Modell!P$6:P$838,$B257)="","",INDEX(DMAV_Modell!P$6:P$838,$B257)))</f>
        <v>FPDS2</v>
      </c>
      <c r="M257" s="62" t="str" cm="1">
        <f t="array" ref="M257">IF($B257=0,IF($E257=0,"",IF(INDEX(DMAV_Dienste!Q$6:Q$140,$E257)="","",INDEX(DMAV_Dienste!Q$6:Q$140,$E257))),IF(INDEX(DMAV_Modell!R$6:R$838,$B257)="","",INDEX(DMAV_Modell!R$6:R$838,$B257)))</f>
        <v>FP_FPVersion</v>
      </c>
      <c r="N257" s="62" t="str" cm="1">
        <f t="array" ref="N257">IF($B257=0,IF($E257=0,"",IF(INDEX(DMAV_Dienste!T$6:T$140,$E257)="","",INDEX(DMAV_Dienste!T$6:T$140,$E257))),IF(INDEX(DMAV_Modell!U$6:U$838,$B257)="","",INDEX(DMAV_Modell!U$6:U$838,$B257)))</f>
        <v>FPV</v>
      </c>
      <c r="O257" s="63" t="str" cm="1">
        <f t="array" aca="1" ref="O257" ca="1">IF(C257=0,IF(F257=0,"",HYPERLINK("#"&amp;RIGHT(CELL("adresse",OFFSET(DMAV_Dienste!$M$6,F257-1,0)),LEN(CELL("adresse",OFFSET(DMAV_Dienste!$M$6,F257-1,0)))-FIND("]",CELL("adresse",OFFSET(DMAV_Dienste!$M$6,F257-1,0)))),"Structure")),HYPERLINK("#"&amp;RIGHT(CELL("adresse",OFFSET(DMAV_Modell!$N$6,C257-1,0)),LEN(CELL("adresse",OFFSET(DMAV_Modell!$N$6,C257-1,0)))-FIND("]",CELL("adresse",OFFSET(DMAV_Modell!$N$6,C257-1,0)))),"Structure"))</f>
        <v/>
      </c>
      <c r="P257" s="64" t="str" cm="1">
        <f t="array" aca="1" ref="P257" ca="1">IF(D257=0,IF(G257=0,"",HYPERLINK("#"&amp;RIGHT(CELL("adresse",OFFSET(DMAV_Dienste!$M$6,G257-1,0)),LEN(CELL("adresse",OFFSET(DMAV_Dienste!$M$6,G257-1,0)))-FIND("]",CELL("adresse",OFFSET(DMAV_Dienste!$M$6,G257-1,0)))),"Substructure")),HYPERLINK("#"&amp;RIGHT(CELL("adresse",OFFSET(DMAV_Modell!$N$6,D257-1,0)),LEN(CELL("adresse",OFFSET(DMAV_Modell!$N$6,D257-1,0)))-FIND("]",CELL("adresse",OFFSET(DMAV_Modell!$N$6,D257-1,0)))),"Substructure"))</f>
        <v/>
      </c>
      <c r="R257" s="80"/>
      <c r="T257" s="93"/>
      <c r="U257" s="94"/>
      <c r="V257" s="95"/>
      <c r="W257" s="96"/>
      <c r="Y257" s="85"/>
      <c r="Z257" s="86"/>
      <c r="AA257" s="87"/>
      <c r="AB257" s="88"/>
      <c r="AD257" s="77"/>
      <c r="AF257" s="54" t="str" cm="1">
        <f t="array" aca="1" ref="AF257" ca="1">IF(H257=0,"",HYPERLINK("#"&amp;RIGHT(CELL("adresse",OFFSET('DM01-AV-CH'!$G$6,H257-1,0)),LEN(CELL("adresse",OFFSET('DM01-AV-CH'!$G$6,H257-1,0)))-FIND("]",CELL("adresse",OFFSET('DM01-AV-CH'!$G$6,H257-1,0)))),"Modell"))</f>
        <v/>
      </c>
      <c r="AG257" s="72" t="str" cm="1">
        <f t="array" ref="AG257">IF($H257=0,"",IF(INDEX('DM01-AV-CH'!G$6:G$834,$H257)="","",INDEX('DM01-AV-CH'!G$6:G$834,$H257)))</f>
        <v/>
      </c>
      <c r="AH257" s="73" t="str" cm="1">
        <f t="array" ref="AH257">IF($H257=0,"",IF(INDEX('DM01-AV-CH'!H$6:H$834,$H257)="","",INDEX('DM01-AV-CH'!H$6:H$834,$H257)))</f>
        <v/>
      </c>
      <c r="AI257" s="74" t="str" cm="1">
        <f t="array" ref="AI257">IF($H257=0,"",IF(INDEX('DM01-AV-CH'!I$6:I$834,$H257)="","",INDEX('DM01-AV-CH'!I$6:I$834,$H257)))</f>
        <v/>
      </c>
    </row>
    <row r="258" spans="1:35" x14ac:dyDescent="0.25">
      <c r="A258" s="57">
        <v>253</v>
      </c>
      <c r="B258" s="57">
        <f>IF($A258="","",IF(_xlfn.XLOOKUP($A258,Korrelation!$D$4:$D$1197,Korrelation!E$4:E$1197,"-",0)="-",0,MATCH(_xlfn.XLOOKUP($A258,Korrelation!$D$4:$D$1197,Korrelation!E$4:E$1197,"",0),DMAV_Modell!$G$6:$G$677,0)))</f>
        <v>0</v>
      </c>
      <c r="C258" s="57">
        <f>IF($A258="","",IF(_xlfn.XLOOKUP($A258,Korrelation!$D$4:$D$1197,Korrelation!F$4:F$1197,"-",0)="-",0,MATCH(_xlfn.XLOOKUP($A258,Korrelation!$D$4:$D$1197,Korrelation!F$4:F$1197,"",0),DMAV_Modell!$G$6:$G$677,0)))</f>
        <v>0</v>
      </c>
      <c r="D258" s="57">
        <f>IF($A258="","",IF(_xlfn.XLOOKUP($A258,Korrelation!$D$4:$D$1197,Korrelation!G$4:G$1197,"-",0)="-",0,MATCH(_xlfn.XLOOKUP($A258,Korrelation!$D$4:$D$1197,Korrelation!G$4:G$1197,"",0),DMAV_Modell!$G$6:$G$677,0)))</f>
        <v>0</v>
      </c>
      <c r="E258" s="57">
        <f>IF($A258="","",IF(_xlfn.XLOOKUP($A258,Korrelation!$D$4:$D$1197,Korrelation!H$4:H$1197,"-",0)="-",0,MATCH(_xlfn.XLOOKUP($A258,Korrelation!$D$4:$D$1197,Korrelation!H$4:H$1197,"",0),DMAV_Dienste!$F$6:$F$140,0)))</f>
        <v>130</v>
      </c>
      <c r="F258" s="57">
        <f>IF($A258="","",IF(_xlfn.XLOOKUP($A258,Korrelation!$D$4:$D$1197,Korrelation!I$4:I$1197,"-",0)="-",0,MATCH(_xlfn.XLOOKUP($A258,Korrelation!$D$4:$D$1197,Korrelation!I$4:I$1197,"",0),DMAV_Dienste!$F$6:$F$140,0)))</f>
        <v>0</v>
      </c>
      <c r="G258" s="57">
        <f>IF($A258="","",IF(_xlfn.XLOOKUP($A258,Korrelation!$D$4:$D$1197,Korrelation!J$4:J$1197,"-",0)="-",0,MATCH(_xlfn.XLOOKUP($A258,Korrelation!$D$4:$D$1197,Korrelation!J$4:J$1197,"",0),DMAV_Dienste!$F$6:$F$140,0)))</f>
        <v>0</v>
      </c>
      <c r="H258" s="57">
        <f>IF($A258="","",IF(_xlfn.XLOOKUP($A258,Korrelation!$D$4:$D$1197,Korrelation!K$4:K$1197,"-",0)="-",0,MATCH(_xlfn.XLOOKUP($A258,Korrelation!$D$4:$D$1197,Korrelation!K$4:K$1197,"",0),'DM01-AV-CH'!$A$6:$A$834,0)))</f>
        <v>0</v>
      </c>
      <c r="J258" s="54" t="str" cm="1">
        <f t="array" aca="1" ref="J258" ca="1">IF(B258=0,IF(E258=0,"",HYPERLINK("#"&amp;RIGHT(CELL("adresse",OFFSET(DMAV_Dienste!$M$6,E258-1,0)),LEN(CELL("adresse",OFFSET(DMAV_Dienste!$M$6,E258-1,0)))-FIND("]",CELL("adresse",OFFSET(DMAV_Dienste!$M$6,E258-1,0)))),"Dienst")),HYPERLINK("#"&amp;RIGHT(CELL("adresse",OFFSET(DMAV_Modell!$N$6,B258-1,0)),LEN(CELL("adresse",OFFSET(DMAV_Modell!$N$6,B258-1,0)))-FIND("]",CELL("adresse",OFFSET(DMAV_Modell!$N$6,B258-1,0)))),"Modell"))</f>
        <v>Dienst</v>
      </c>
      <c r="K258" s="61" t="str" cm="1">
        <f t="array" ref="K258">IF($B258=0,IF($E258=0,"",IF(INDEX(DMAV_Dienste!P$6:P$140,$E258)="","",INDEX(DMAV_Dienste!P$6:P$140,$E258))),IF(INDEX(DMAV_Modell!Q$6:Q$838,$B258)="","",INDEX(DMAV_Modell!Q$6:Q$838,$B258)))</f>
        <v>ASSOCIATION</v>
      </c>
      <c r="L258" s="62" t="str" cm="1">
        <f t="array" ref="L258">IF($B258=0,IF($E258=0,"",IF(INDEX(DMAV_Dienste!O$6:O$140,$E258)="","",INDEX(DMAV_Dienste!O$6:O$140,$E258))),IF(INDEX(DMAV_Modell!P$6:P$838,$B258)="","",INDEX(DMAV_Modell!P$6:P$838,$B258)))</f>
        <v>FPDS2</v>
      </c>
      <c r="M258" s="62" t="str" cm="1">
        <f t="array" ref="M258">IF($B258=0,IF($E258=0,"",IF(INDEX(DMAV_Dienste!Q$6:Q$140,$E258)="","",INDEX(DMAV_Dienste!Q$6:Q$140,$E258))),IF(INDEX(DMAV_Modell!R$6:R$838,$B258)="","",INDEX(DMAV_Modell!R$6:R$838,$B258)))</f>
        <v>FP_FPVersion</v>
      </c>
      <c r="N258" s="62" t="str" cm="1">
        <f t="array" ref="N258">IF($B258=0,IF($E258=0,"",IF(INDEX(DMAV_Dienste!T$6:T$140,$E258)="","",INDEX(DMAV_Dienste!T$6:T$140,$E258))),IF(INDEX(DMAV_Modell!U$6:U$838,$B258)="","",INDEX(DMAV_Modell!U$6:U$838,$B258)))</f>
        <v>FP</v>
      </c>
      <c r="O258" s="63" t="str" cm="1">
        <f t="array" aca="1" ref="O258" ca="1">IF(C258=0,IF(F258=0,"",HYPERLINK("#"&amp;RIGHT(CELL("adresse",OFFSET(DMAV_Dienste!$M$6,F258-1,0)),LEN(CELL("adresse",OFFSET(DMAV_Dienste!$M$6,F258-1,0)))-FIND("]",CELL("adresse",OFFSET(DMAV_Dienste!$M$6,F258-1,0)))),"Structure")),HYPERLINK("#"&amp;RIGHT(CELL("adresse",OFFSET(DMAV_Modell!$N$6,C258-1,0)),LEN(CELL("adresse",OFFSET(DMAV_Modell!$N$6,C258-1,0)))-FIND("]",CELL("adresse",OFFSET(DMAV_Modell!$N$6,C258-1,0)))),"Structure"))</f>
        <v/>
      </c>
      <c r="P258" s="64" t="str" cm="1">
        <f t="array" aca="1" ref="P258" ca="1">IF(D258=0,IF(G258=0,"",HYPERLINK("#"&amp;RIGHT(CELL("adresse",OFFSET(DMAV_Dienste!$M$6,G258-1,0)),LEN(CELL("adresse",OFFSET(DMAV_Dienste!$M$6,G258-1,0)))-FIND("]",CELL("adresse",OFFSET(DMAV_Dienste!$M$6,G258-1,0)))),"Substructure")),HYPERLINK("#"&amp;RIGHT(CELL("adresse",OFFSET(DMAV_Modell!$N$6,D258-1,0)),LEN(CELL("adresse",OFFSET(DMAV_Modell!$N$6,D258-1,0)))-FIND("]",CELL("adresse",OFFSET(DMAV_Modell!$N$6,D258-1,0)))),"Substructure"))</f>
        <v/>
      </c>
      <c r="R258" s="80"/>
      <c r="T258" s="93"/>
      <c r="U258" s="94"/>
      <c r="V258" s="95"/>
      <c r="W258" s="96"/>
      <c r="Y258" s="85"/>
      <c r="Z258" s="86"/>
      <c r="AA258" s="87"/>
      <c r="AB258" s="88"/>
      <c r="AD258" s="77"/>
      <c r="AF258" s="54" t="str" cm="1">
        <f t="array" aca="1" ref="AF258" ca="1">IF(H258=0,"",HYPERLINK("#"&amp;RIGHT(CELL("adresse",OFFSET('DM01-AV-CH'!$G$6,H258-1,0)),LEN(CELL("adresse",OFFSET('DM01-AV-CH'!$G$6,H258-1,0)))-FIND("]",CELL("adresse",OFFSET('DM01-AV-CH'!$G$6,H258-1,0)))),"Modell"))</f>
        <v/>
      </c>
      <c r="AG258" s="72" t="str" cm="1">
        <f t="array" ref="AG258">IF($H258=0,"",IF(INDEX('DM01-AV-CH'!G$6:G$834,$H258)="","",INDEX('DM01-AV-CH'!G$6:G$834,$H258)))</f>
        <v/>
      </c>
      <c r="AH258" s="73" t="str" cm="1">
        <f t="array" ref="AH258">IF($H258=0,"",IF(INDEX('DM01-AV-CH'!H$6:H$834,$H258)="","",INDEX('DM01-AV-CH'!H$6:H$834,$H258)))</f>
        <v/>
      </c>
      <c r="AI258" s="74" t="str" cm="1">
        <f t="array" ref="AI258">IF($H258=0,"",IF(INDEX('DM01-AV-CH'!I$6:I$834,$H258)="","",INDEX('DM01-AV-CH'!I$6:I$834,$H258)))</f>
        <v/>
      </c>
    </row>
    <row r="259" spans="1:35" x14ac:dyDescent="0.25">
      <c r="A259" s="57">
        <v>254</v>
      </c>
      <c r="B259" s="57">
        <f>IF($A259="","",IF(_xlfn.XLOOKUP($A259,Korrelation!$D$4:$D$1197,Korrelation!E$4:E$1197,"-",0)="-",0,MATCH(_xlfn.XLOOKUP($A259,Korrelation!$D$4:$D$1197,Korrelation!E$4:E$1197,"",0),DMAV_Modell!$G$6:$G$677,0)))</f>
        <v>0</v>
      </c>
      <c r="C259" s="57">
        <f>IF($A259="","",IF(_xlfn.XLOOKUP($A259,Korrelation!$D$4:$D$1197,Korrelation!F$4:F$1197,"-",0)="-",0,MATCH(_xlfn.XLOOKUP($A259,Korrelation!$D$4:$D$1197,Korrelation!F$4:F$1197,"",0),DMAV_Modell!$G$6:$G$677,0)))</f>
        <v>0</v>
      </c>
      <c r="D259" s="57">
        <f>IF($A259="","",IF(_xlfn.XLOOKUP($A259,Korrelation!$D$4:$D$1197,Korrelation!G$4:G$1197,"-",0)="-",0,MATCH(_xlfn.XLOOKUP($A259,Korrelation!$D$4:$D$1197,Korrelation!G$4:G$1197,"",0),DMAV_Modell!$G$6:$G$677,0)))</f>
        <v>0</v>
      </c>
      <c r="E259" s="57">
        <f>IF($A259="","",IF(_xlfn.XLOOKUP($A259,Korrelation!$D$4:$D$1197,Korrelation!H$4:H$1197,"-",0)="-",0,MATCH(_xlfn.XLOOKUP($A259,Korrelation!$D$4:$D$1197,Korrelation!H$4:H$1197,"",0),DMAV_Dienste!$F$6:$F$140,0)))</f>
        <v>131</v>
      </c>
      <c r="F259" s="57">
        <f>IF($A259="","",IF(_xlfn.XLOOKUP($A259,Korrelation!$D$4:$D$1197,Korrelation!I$4:I$1197,"-",0)="-",0,MATCH(_xlfn.XLOOKUP($A259,Korrelation!$D$4:$D$1197,Korrelation!I$4:I$1197,"",0),DMAV_Dienste!$F$6:$F$140,0)))</f>
        <v>0</v>
      </c>
      <c r="G259" s="57">
        <f>IF($A259="","",IF(_xlfn.XLOOKUP($A259,Korrelation!$D$4:$D$1197,Korrelation!J$4:J$1197,"-",0)="-",0,MATCH(_xlfn.XLOOKUP($A259,Korrelation!$D$4:$D$1197,Korrelation!J$4:J$1197,"",0),DMAV_Dienste!$F$6:$F$140,0)))</f>
        <v>0</v>
      </c>
      <c r="H259" s="57">
        <f>IF($A259="","",IF(_xlfn.XLOOKUP($A259,Korrelation!$D$4:$D$1197,Korrelation!K$4:K$1197,"-",0)="-",0,MATCH(_xlfn.XLOOKUP($A259,Korrelation!$D$4:$D$1197,Korrelation!K$4:K$1197,"",0),'DM01-AV-CH'!$A$6:$A$834,0)))</f>
        <v>0</v>
      </c>
      <c r="J259" s="54" t="str" cm="1">
        <f t="array" aca="1" ref="J259" ca="1">IF(B259=0,IF(E259=0,"",HYPERLINK("#"&amp;RIGHT(CELL("adresse",OFFSET(DMAV_Dienste!$M$6,E259-1,0)),LEN(CELL("adresse",OFFSET(DMAV_Dienste!$M$6,E259-1,0)))-FIND("]",CELL("adresse",OFFSET(DMAV_Dienste!$M$6,E259-1,0)))),"Dienst")),HYPERLINK("#"&amp;RIGHT(CELL("adresse",OFFSET(DMAV_Modell!$N$6,B259-1,0)),LEN(CELL("adresse",OFFSET(DMAV_Modell!$N$6,B259-1,0)))-FIND("]",CELL("adresse",OFFSET(DMAV_Modell!$N$6,B259-1,0)))),"Modell"))</f>
        <v>Dienst</v>
      </c>
      <c r="K259" s="61" t="str" cm="1">
        <f t="array" ref="K259">IF($B259=0,IF($E259=0,"",IF(INDEX(DMAV_Dienste!P$6:P$140,$E259)="","",INDEX(DMAV_Dienste!P$6:P$140,$E259))),IF(INDEX(DMAV_Modell!Q$6:Q$838,$B259)="","",INDEX(DMAV_Modell!Q$6:Q$838,$B259)))</f>
        <v>CONSTRAINTS OF.CONSTRAINT</v>
      </c>
      <c r="L259" s="62" t="str" cm="1">
        <f t="array" ref="L259">IF($B259=0,IF($E259=0,"",IF(INDEX(DMAV_Dienste!O$6:O$140,$E259)="","",INDEX(DMAV_Dienste!O$6:O$140,$E259))),IF(INDEX(DMAV_Modell!P$6:P$838,$B259)="","",INDEX(DMAV_Modell!P$6:P$838,$B259)))</f>
        <v>FPDS2</v>
      </c>
      <c r="M259" s="62" t="str" cm="1">
        <f t="array" ref="M259">IF($B259=0,IF($E259=0,"",IF(INDEX(DMAV_Dienste!Q$6:Q$140,$E259)="","",INDEX(DMAV_Dienste!Q$6:Q$140,$E259))),IF(INDEX(DMAV_Modell!R$6:R$838,$B259)="","",INDEX(DMAV_Modell!R$6:R$838,$B259)))</f>
        <v>FixpunktVersion</v>
      </c>
      <c r="N259" s="62" t="str" cm="1">
        <f t="array" ref="N259">IF($B259=0,IF($E259=0,"",IF(INDEX(DMAV_Dienste!T$6:T$140,$E259)="","",INDEX(DMAV_Dienste!T$6:T$140,$E259))),IF(INDEX(DMAV_Modell!U$6:U$838,$B259)="","",INDEX(DMAV_Modell!U$6:U$838,$B259)))</f>
        <v>@PH1@ != HFP2 OR DEFINED(@PH2@)</v>
      </c>
      <c r="O259" s="63" t="str" cm="1">
        <f t="array" aca="1" ref="O259" ca="1">IF(C259=0,IF(F259=0,"",HYPERLINK("#"&amp;RIGHT(CELL("adresse",OFFSET(DMAV_Dienste!$M$6,F259-1,0)),LEN(CELL("adresse",OFFSET(DMAV_Dienste!$M$6,F259-1,0)))-FIND("]",CELL("adresse",OFFSET(DMAV_Dienste!$M$6,F259-1,0)))),"Structure")),HYPERLINK("#"&amp;RIGHT(CELL("adresse",OFFSET(DMAV_Modell!$N$6,C259-1,0)),LEN(CELL("adresse",OFFSET(DMAV_Modell!$N$6,C259-1,0)))-FIND("]",CELL("adresse",OFFSET(DMAV_Modell!$N$6,C259-1,0)))),"Structure"))</f>
        <v/>
      </c>
      <c r="P259" s="64" t="str" cm="1">
        <f t="array" aca="1" ref="P259" ca="1">IF(D259=0,IF(G259=0,"",HYPERLINK("#"&amp;RIGHT(CELL("adresse",OFFSET(DMAV_Dienste!$M$6,G259-1,0)),LEN(CELL("adresse",OFFSET(DMAV_Dienste!$M$6,G259-1,0)))-FIND("]",CELL("adresse",OFFSET(DMAV_Dienste!$M$6,G259-1,0)))),"Substructure")),HYPERLINK("#"&amp;RIGHT(CELL("adresse",OFFSET(DMAV_Modell!$N$6,D259-1,0)),LEN(CELL("adresse",OFFSET(DMAV_Modell!$N$6,D259-1,0)))-FIND("]",CELL("adresse",OFFSET(DMAV_Modell!$N$6,D259-1,0)))),"Substructure"))</f>
        <v/>
      </c>
      <c r="R259" s="80"/>
      <c r="T259" s="93"/>
      <c r="U259" s="94"/>
      <c r="V259" s="95"/>
      <c r="W259" s="96"/>
      <c r="Y259" s="85"/>
      <c r="Z259" s="86"/>
      <c r="AA259" s="87"/>
      <c r="AB259" s="88"/>
      <c r="AD259" s="77"/>
      <c r="AF259" s="54" t="str" cm="1">
        <f t="array" aca="1" ref="AF259" ca="1">IF(H259=0,"",HYPERLINK("#"&amp;RIGHT(CELL("adresse",OFFSET('DM01-AV-CH'!$G$6,H259-1,0)),LEN(CELL("adresse",OFFSET('DM01-AV-CH'!$G$6,H259-1,0)))-FIND("]",CELL("adresse",OFFSET('DM01-AV-CH'!$G$6,H259-1,0)))),"Modell"))</f>
        <v/>
      </c>
      <c r="AG259" s="72" t="str" cm="1">
        <f t="array" ref="AG259">IF($H259=0,"",IF(INDEX('DM01-AV-CH'!G$6:G$834,$H259)="","",INDEX('DM01-AV-CH'!G$6:G$834,$H259)))</f>
        <v/>
      </c>
      <c r="AH259" s="73" t="str" cm="1">
        <f t="array" ref="AH259">IF($H259=0,"",IF(INDEX('DM01-AV-CH'!H$6:H$834,$H259)="","",INDEX('DM01-AV-CH'!H$6:H$834,$H259)))</f>
        <v/>
      </c>
      <c r="AI259" s="74" t="str" cm="1">
        <f t="array" ref="AI259">IF($H259=0,"",IF(INDEX('DM01-AV-CH'!I$6:I$834,$H259)="","",INDEX('DM01-AV-CH'!I$6:I$834,$H259)))</f>
        <v/>
      </c>
    </row>
    <row r="260" spans="1:35" x14ac:dyDescent="0.25">
      <c r="A260" s="57">
        <v>255</v>
      </c>
      <c r="B260" s="57">
        <f>IF($A260="","",IF(_xlfn.XLOOKUP($A260,Korrelation!$D$4:$D$1197,Korrelation!E$4:E$1197,"-",0)="-",0,MATCH(_xlfn.XLOOKUP($A260,Korrelation!$D$4:$D$1197,Korrelation!E$4:E$1197,"",0),DMAV_Modell!$G$6:$G$677,0)))</f>
        <v>0</v>
      </c>
      <c r="C260" s="57">
        <f>IF($A260="","",IF(_xlfn.XLOOKUP($A260,Korrelation!$D$4:$D$1197,Korrelation!F$4:F$1197,"-",0)="-",0,MATCH(_xlfn.XLOOKUP($A260,Korrelation!$D$4:$D$1197,Korrelation!F$4:F$1197,"",0),DMAV_Modell!$G$6:$G$677,0)))</f>
        <v>0</v>
      </c>
      <c r="D260" s="57">
        <f>IF($A260="","",IF(_xlfn.XLOOKUP($A260,Korrelation!$D$4:$D$1197,Korrelation!G$4:G$1197,"-",0)="-",0,MATCH(_xlfn.XLOOKUP($A260,Korrelation!$D$4:$D$1197,Korrelation!G$4:G$1197,"",0),DMAV_Modell!$G$6:$G$677,0)))</f>
        <v>0</v>
      </c>
      <c r="E260" s="57">
        <f>IF($A260="","",IF(_xlfn.XLOOKUP($A260,Korrelation!$D$4:$D$1197,Korrelation!H$4:H$1197,"-",0)="-",0,MATCH(_xlfn.XLOOKUP($A260,Korrelation!$D$4:$D$1197,Korrelation!H$4:H$1197,"",0),DMAV_Dienste!$F$6:$F$140,0)))</f>
        <v>132</v>
      </c>
      <c r="F260" s="57">
        <f>IF($A260="","",IF(_xlfn.XLOOKUP($A260,Korrelation!$D$4:$D$1197,Korrelation!I$4:I$1197,"-",0)="-",0,MATCH(_xlfn.XLOOKUP($A260,Korrelation!$D$4:$D$1197,Korrelation!I$4:I$1197,"",0),DMAV_Dienste!$F$6:$F$140,0)))</f>
        <v>0</v>
      </c>
      <c r="G260" s="57">
        <f>IF($A260="","",IF(_xlfn.XLOOKUP($A260,Korrelation!$D$4:$D$1197,Korrelation!J$4:J$1197,"-",0)="-",0,MATCH(_xlfn.XLOOKUP($A260,Korrelation!$D$4:$D$1197,Korrelation!J$4:J$1197,"",0),DMAV_Dienste!$F$6:$F$140,0)))</f>
        <v>0</v>
      </c>
      <c r="H260" s="57">
        <f>IF($A260="","",IF(_xlfn.XLOOKUP($A260,Korrelation!$D$4:$D$1197,Korrelation!K$4:K$1197,"-",0)="-",0,MATCH(_xlfn.XLOOKUP($A260,Korrelation!$D$4:$D$1197,Korrelation!K$4:K$1197,"",0),'DM01-AV-CH'!$A$6:$A$834,0)))</f>
        <v>0</v>
      </c>
      <c r="J260" s="54" t="str" cm="1">
        <f t="array" aca="1" ref="J260" ca="1">IF(B260=0,IF(E260=0,"",HYPERLINK("#"&amp;RIGHT(CELL("adresse",OFFSET(DMAV_Dienste!$M$6,E260-1,0)),LEN(CELL("adresse",OFFSET(DMAV_Dienste!$M$6,E260-1,0)))-FIND("]",CELL("adresse",OFFSET(DMAV_Dienste!$M$6,E260-1,0)))),"Dienst")),HYPERLINK("#"&amp;RIGHT(CELL("adresse",OFFSET(DMAV_Modell!$N$6,B260-1,0)),LEN(CELL("adresse",OFFSET(DMAV_Modell!$N$6,B260-1,0)))-FIND("]",CELL("adresse",OFFSET(DMAV_Modell!$N$6,B260-1,0)))),"Modell"))</f>
        <v>Dienst</v>
      </c>
      <c r="K260" s="61" t="str" cm="1">
        <f t="array" ref="K260">IF($B260=0,IF($E260=0,"",IF(INDEX(DMAV_Dienste!P$6:P$140,$E260)="","",INDEX(DMAV_Dienste!P$6:P$140,$E260))),IF(INDEX(DMAV_Modell!Q$6:Q$838,$B260)="","",INDEX(DMAV_Modell!Q$6:Q$838,$B260)))</f>
        <v>CONSTRAINTS OF.CONSTRAINT</v>
      </c>
      <c r="L260" s="62" t="str" cm="1">
        <f t="array" ref="L260">IF($B260=0,IF($E260=0,"",IF(INDEX(DMAV_Dienste!O$6:O$140,$E260)="","",INDEX(DMAV_Dienste!O$6:O$140,$E260))),IF(INDEX(DMAV_Modell!P$6:P$838,$B260)="","",INDEX(DMAV_Modell!P$6:P$838,$B260)))</f>
        <v>FPDS2</v>
      </c>
      <c r="M260" s="62" t="str" cm="1">
        <f t="array" ref="M260">IF($B260=0,IF($E260=0,"",IF(INDEX(DMAV_Dienste!Q$6:Q$140,$E260)="","",INDEX(DMAV_Dienste!Q$6:Q$140,$E260))),IF(INDEX(DMAV_Modell!R$6:R$838,$B260)="","",INDEX(DMAV_Modell!R$6:R$838,$B260)))</f>
        <v>FixpunktVersion</v>
      </c>
      <c r="N260" s="62" t="str" cm="1">
        <f t="array" ref="N260">IF($B260=0,IF($E260=0,"",IF(INDEX(DMAV_Dienste!T$6:T$140,$E260)="","",INDEX(DMAV_Dienste!T$6:T$140,$E260))),IF(INDEX(DMAV_Modell!U$6:U$838,$B260)="","",INDEX(DMAV_Modell!U$6:U$838,$B260)))</f>
        <v>@PH1@ != HFP2 OR DEFINED(@PH2@)</v>
      </c>
      <c r="O260" s="63" t="str" cm="1">
        <f t="array" aca="1" ref="O260" ca="1">IF(C260=0,IF(F260=0,"",HYPERLINK("#"&amp;RIGHT(CELL("adresse",OFFSET(DMAV_Dienste!$M$6,F260-1,0)),LEN(CELL("adresse",OFFSET(DMAV_Dienste!$M$6,F260-1,0)))-FIND("]",CELL("adresse",OFFSET(DMAV_Dienste!$M$6,F260-1,0)))),"Structure")),HYPERLINK("#"&amp;RIGHT(CELL("adresse",OFFSET(DMAV_Modell!$N$6,C260-1,0)),LEN(CELL("adresse",OFFSET(DMAV_Modell!$N$6,C260-1,0)))-FIND("]",CELL("adresse",OFFSET(DMAV_Modell!$N$6,C260-1,0)))),"Structure"))</f>
        <v/>
      </c>
      <c r="P260" s="64" t="str" cm="1">
        <f t="array" aca="1" ref="P260" ca="1">IF(D260=0,IF(G260=0,"",HYPERLINK("#"&amp;RIGHT(CELL("adresse",OFFSET(DMAV_Dienste!$M$6,G260-1,0)),LEN(CELL("adresse",OFFSET(DMAV_Dienste!$M$6,G260-1,0)))-FIND("]",CELL("adresse",OFFSET(DMAV_Dienste!$M$6,G260-1,0)))),"Substructure")),HYPERLINK("#"&amp;RIGHT(CELL("adresse",OFFSET(DMAV_Modell!$N$6,D260-1,0)),LEN(CELL("adresse",OFFSET(DMAV_Modell!$N$6,D260-1,0)))-FIND("]",CELL("adresse",OFFSET(DMAV_Modell!$N$6,D260-1,0)))),"Substructure"))</f>
        <v/>
      </c>
      <c r="R260" s="80"/>
      <c r="T260" s="93"/>
      <c r="U260" s="94"/>
      <c r="V260" s="95"/>
      <c r="W260" s="96"/>
      <c r="Y260" s="85"/>
      <c r="Z260" s="86"/>
      <c r="AA260" s="87"/>
      <c r="AB260" s="88"/>
      <c r="AD260" s="77"/>
      <c r="AF260" s="54" t="str" cm="1">
        <f t="array" aca="1" ref="AF260" ca="1">IF(H260=0,"",HYPERLINK("#"&amp;RIGHT(CELL("adresse",OFFSET('DM01-AV-CH'!$G$6,H260-1,0)),LEN(CELL("adresse",OFFSET('DM01-AV-CH'!$G$6,H260-1,0)))-FIND("]",CELL("adresse",OFFSET('DM01-AV-CH'!$G$6,H260-1,0)))),"Modell"))</f>
        <v/>
      </c>
      <c r="AG260" s="72" t="str" cm="1">
        <f t="array" ref="AG260">IF($H260=0,"",IF(INDEX('DM01-AV-CH'!G$6:G$834,$H260)="","",INDEX('DM01-AV-CH'!G$6:G$834,$H260)))</f>
        <v/>
      </c>
      <c r="AH260" s="73" t="str" cm="1">
        <f t="array" ref="AH260">IF($H260=0,"",IF(INDEX('DM01-AV-CH'!H$6:H$834,$H260)="","",INDEX('DM01-AV-CH'!H$6:H$834,$H260)))</f>
        <v/>
      </c>
      <c r="AI260" s="74" t="str" cm="1">
        <f t="array" ref="AI260">IF($H260=0,"",IF(INDEX('DM01-AV-CH'!I$6:I$834,$H260)="","",INDEX('DM01-AV-CH'!I$6:I$834,$H260)))</f>
        <v/>
      </c>
    </row>
    <row r="261" spans="1:35" x14ac:dyDescent="0.25">
      <c r="A261" s="57">
        <v>256</v>
      </c>
      <c r="B261" s="57">
        <f>IF($A261="","",IF(_xlfn.XLOOKUP($A261,Korrelation!$D$4:$D$1197,Korrelation!E$4:E$1197,"-",0)="-",0,MATCH(_xlfn.XLOOKUP($A261,Korrelation!$D$4:$D$1197,Korrelation!E$4:E$1197,"",0),DMAV_Modell!$G$6:$G$677,0)))</f>
        <v>0</v>
      </c>
      <c r="C261" s="57">
        <f>IF($A261="","",IF(_xlfn.XLOOKUP($A261,Korrelation!$D$4:$D$1197,Korrelation!F$4:F$1197,"-",0)="-",0,MATCH(_xlfn.XLOOKUP($A261,Korrelation!$D$4:$D$1197,Korrelation!F$4:F$1197,"",0),DMAV_Modell!$G$6:$G$677,0)))</f>
        <v>0</v>
      </c>
      <c r="D261" s="57">
        <f>IF($A261="","",IF(_xlfn.XLOOKUP($A261,Korrelation!$D$4:$D$1197,Korrelation!G$4:G$1197,"-",0)="-",0,MATCH(_xlfn.XLOOKUP($A261,Korrelation!$D$4:$D$1197,Korrelation!G$4:G$1197,"",0),DMAV_Modell!$G$6:$G$677,0)))</f>
        <v>0</v>
      </c>
      <c r="E261" s="57">
        <f>IF($A261="","",IF(_xlfn.XLOOKUP($A261,Korrelation!$D$4:$D$1197,Korrelation!H$4:H$1197,"-",0)="-",0,MATCH(_xlfn.XLOOKUP($A261,Korrelation!$D$4:$D$1197,Korrelation!H$4:H$1197,"",0),DMAV_Dienste!$F$6:$F$140,0)))</f>
        <v>133</v>
      </c>
      <c r="F261" s="57">
        <f>IF($A261="","",IF(_xlfn.XLOOKUP($A261,Korrelation!$D$4:$D$1197,Korrelation!I$4:I$1197,"-",0)="-",0,MATCH(_xlfn.XLOOKUP($A261,Korrelation!$D$4:$D$1197,Korrelation!I$4:I$1197,"",0),DMAV_Dienste!$F$6:$F$140,0)))</f>
        <v>0</v>
      </c>
      <c r="G261" s="57">
        <f>IF($A261="","",IF(_xlfn.XLOOKUP($A261,Korrelation!$D$4:$D$1197,Korrelation!J$4:J$1197,"-",0)="-",0,MATCH(_xlfn.XLOOKUP($A261,Korrelation!$D$4:$D$1197,Korrelation!J$4:J$1197,"",0),DMAV_Dienste!$F$6:$F$140,0)))</f>
        <v>0</v>
      </c>
      <c r="H261" s="57">
        <f>IF($A261="","",IF(_xlfn.XLOOKUP($A261,Korrelation!$D$4:$D$1197,Korrelation!K$4:K$1197,"-",0)="-",0,MATCH(_xlfn.XLOOKUP($A261,Korrelation!$D$4:$D$1197,Korrelation!K$4:K$1197,"",0),'DM01-AV-CH'!$A$6:$A$834,0)))</f>
        <v>0</v>
      </c>
      <c r="J261" s="54" t="str" cm="1">
        <f t="array" aca="1" ref="J261" ca="1">IF(B261=0,IF(E261=0,"",HYPERLINK("#"&amp;RIGHT(CELL("adresse",OFFSET(DMAV_Dienste!$M$6,E261-1,0)),LEN(CELL("adresse",OFFSET(DMAV_Dienste!$M$6,E261-1,0)))-FIND("]",CELL("adresse",OFFSET(DMAV_Dienste!$M$6,E261-1,0)))),"Dienst")),HYPERLINK("#"&amp;RIGHT(CELL("adresse",OFFSET(DMAV_Modell!$N$6,B261-1,0)),LEN(CELL("adresse",OFFSET(DMAV_Modell!$N$6,B261-1,0)))-FIND("]",CELL("adresse",OFFSET(DMAV_Modell!$N$6,B261-1,0)))),"Modell"))</f>
        <v>Dienst</v>
      </c>
      <c r="K261" s="61" t="str" cm="1">
        <f t="array" ref="K261">IF($B261=0,IF($E261=0,"",IF(INDEX(DMAV_Dienste!P$6:P$140,$E261)="","",INDEX(DMAV_Dienste!P$6:P$140,$E261))),IF(INDEX(DMAV_Modell!Q$6:Q$838,$B261)="","",INDEX(DMAV_Modell!Q$6:Q$838,$B261)))</f>
        <v>CONSTRAINTS OF.CONSTRAINT</v>
      </c>
      <c r="L261" s="62" t="str" cm="1">
        <f t="array" ref="L261">IF($B261=0,IF($E261=0,"",IF(INDEX(DMAV_Dienste!O$6:O$140,$E261)="","",INDEX(DMAV_Dienste!O$6:O$140,$E261))),IF(INDEX(DMAV_Modell!P$6:P$838,$B261)="","",INDEX(DMAV_Modell!P$6:P$838,$B261)))</f>
        <v>FPDS2</v>
      </c>
      <c r="M261" s="62" t="str" cm="1">
        <f t="array" ref="M261">IF($B261=0,IF($E261=0,"",IF(INDEX(DMAV_Dienste!Q$6:Q$140,$E261)="","",INDEX(DMAV_Dienste!Q$6:Q$140,$E261))),IF(INDEX(DMAV_Modell!R$6:R$838,$B261)="","",INDEX(DMAV_Modell!R$6:R$838,$B261)))</f>
        <v>FixpunktVersion</v>
      </c>
      <c r="N261" s="62" t="str" cm="1">
        <f t="array" ref="N261">IF($B261=0,IF($E261=0,"",IF(INDEX(DMAV_Dienste!T$6:T$140,$E261)="","",INDEX(DMAV_Dienste!T$6:T$140,$E261))),IF(INDEX(DMAV_Modell!U$6:U$838,$B261)="","",INDEX(DMAV_Modell!U$6:U$838,$B261)))</f>
        <v>@PH1@ != HFP2 OR DEFINED(@PH2@)</v>
      </c>
      <c r="O261" s="63" t="str" cm="1">
        <f t="array" aca="1" ref="O261" ca="1">IF(C261=0,IF(F261=0,"",HYPERLINK("#"&amp;RIGHT(CELL("adresse",OFFSET(DMAV_Dienste!$M$6,F261-1,0)),LEN(CELL("adresse",OFFSET(DMAV_Dienste!$M$6,F261-1,0)))-FIND("]",CELL("adresse",OFFSET(DMAV_Dienste!$M$6,F261-1,0)))),"Structure")),HYPERLINK("#"&amp;RIGHT(CELL("adresse",OFFSET(DMAV_Modell!$N$6,C261-1,0)),LEN(CELL("adresse",OFFSET(DMAV_Modell!$N$6,C261-1,0)))-FIND("]",CELL("adresse",OFFSET(DMAV_Modell!$N$6,C261-1,0)))),"Structure"))</f>
        <v/>
      </c>
      <c r="P261" s="64" t="str" cm="1">
        <f t="array" aca="1" ref="P261" ca="1">IF(D261=0,IF(G261=0,"",HYPERLINK("#"&amp;RIGHT(CELL("adresse",OFFSET(DMAV_Dienste!$M$6,G261-1,0)),LEN(CELL("adresse",OFFSET(DMAV_Dienste!$M$6,G261-1,0)))-FIND("]",CELL("adresse",OFFSET(DMAV_Dienste!$M$6,G261-1,0)))),"Substructure")),HYPERLINK("#"&amp;RIGHT(CELL("adresse",OFFSET(DMAV_Modell!$N$6,D261-1,0)),LEN(CELL("adresse",OFFSET(DMAV_Modell!$N$6,D261-1,0)))-FIND("]",CELL("adresse",OFFSET(DMAV_Modell!$N$6,D261-1,0)))),"Substructure"))</f>
        <v/>
      </c>
      <c r="R261" s="80"/>
      <c r="T261" s="93"/>
      <c r="U261" s="94"/>
      <c r="V261" s="95"/>
      <c r="W261" s="96"/>
      <c r="Y261" s="85"/>
      <c r="Z261" s="86"/>
      <c r="AA261" s="87"/>
      <c r="AB261" s="88"/>
      <c r="AD261" s="77"/>
      <c r="AF261" s="54" t="str" cm="1">
        <f t="array" aca="1" ref="AF261" ca="1">IF(H261=0,"",HYPERLINK("#"&amp;RIGHT(CELL("adresse",OFFSET('DM01-AV-CH'!$G$6,H261-1,0)),LEN(CELL("adresse",OFFSET('DM01-AV-CH'!$G$6,H261-1,0)))-FIND("]",CELL("adresse",OFFSET('DM01-AV-CH'!$G$6,H261-1,0)))),"Modell"))</f>
        <v/>
      </c>
      <c r="AG261" s="72" t="str" cm="1">
        <f t="array" ref="AG261">IF($H261=0,"",IF(INDEX('DM01-AV-CH'!G$6:G$834,$H261)="","",INDEX('DM01-AV-CH'!G$6:G$834,$H261)))</f>
        <v/>
      </c>
      <c r="AH261" s="73" t="str" cm="1">
        <f t="array" ref="AH261">IF($H261=0,"",IF(INDEX('DM01-AV-CH'!H$6:H$834,$H261)="","",INDEX('DM01-AV-CH'!H$6:H$834,$H261)))</f>
        <v/>
      </c>
      <c r="AI261" s="74" t="str" cm="1">
        <f t="array" ref="AI261">IF($H261=0,"",IF(INDEX('DM01-AV-CH'!I$6:I$834,$H261)="","",INDEX('DM01-AV-CH'!I$6:I$834,$H261)))</f>
        <v/>
      </c>
    </row>
    <row r="262" spans="1:35" x14ac:dyDescent="0.25">
      <c r="A262" s="57">
        <v>257</v>
      </c>
      <c r="B262" s="57">
        <f>IF($A262="","",IF(_xlfn.XLOOKUP($A262,Korrelation!$D$4:$D$1197,Korrelation!E$4:E$1197,"-",0)="-",0,MATCH(_xlfn.XLOOKUP($A262,Korrelation!$D$4:$D$1197,Korrelation!E$4:E$1197,"",0),DMAV_Modell!$G$6:$G$677,0)))</f>
        <v>0</v>
      </c>
      <c r="C262" s="57">
        <f>IF($A262="","",IF(_xlfn.XLOOKUP($A262,Korrelation!$D$4:$D$1197,Korrelation!F$4:F$1197,"-",0)="-",0,MATCH(_xlfn.XLOOKUP($A262,Korrelation!$D$4:$D$1197,Korrelation!F$4:F$1197,"",0),DMAV_Modell!$G$6:$G$677,0)))</f>
        <v>0</v>
      </c>
      <c r="D262" s="57">
        <f>IF($A262="","",IF(_xlfn.XLOOKUP($A262,Korrelation!$D$4:$D$1197,Korrelation!G$4:G$1197,"-",0)="-",0,MATCH(_xlfn.XLOOKUP($A262,Korrelation!$D$4:$D$1197,Korrelation!G$4:G$1197,"",0),DMAV_Modell!$G$6:$G$677,0)))</f>
        <v>0</v>
      </c>
      <c r="E262" s="57">
        <f>IF($A262="","",IF(_xlfn.XLOOKUP($A262,Korrelation!$D$4:$D$1197,Korrelation!H$4:H$1197,"-",0)="-",0,MATCH(_xlfn.XLOOKUP($A262,Korrelation!$D$4:$D$1197,Korrelation!H$4:H$1197,"",0),DMAV_Dienste!$F$6:$F$140,0)))</f>
        <v>134</v>
      </c>
      <c r="F262" s="57">
        <f>IF($A262="","",IF(_xlfn.XLOOKUP($A262,Korrelation!$D$4:$D$1197,Korrelation!I$4:I$1197,"-",0)="-",0,MATCH(_xlfn.XLOOKUP($A262,Korrelation!$D$4:$D$1197,Korrelation!I$4:I$1197,"",0),DMAV_Dienste!$F$6:$F$140,0)))</f>
        <v>0</v>
      </c>
      <c r="G262" s="57">
        <f>IF($A262="","",IF(_xlfn.XLOOKUP($A262,Korrelation!$D$4:$D$1197,Korrelation!J$4:J$1197,"-",0)="-",0,MATCH(_xlfn.XLOOKUP($A262,Korrelation!$D$4:$D$1197,Korrelation!J$4:J$1197,"",0),DMAV_Dienste!$F$6:$F$140,0)))</f>
        <v>0</v>
      </c>
      <c r="H262" s="57">
        <f>IF($A262="","",IF(_xlfn.XLOOKUP($A262,Korrelation!$D$4:$D$1197,Korrelation!K$4:K$1197,"-",0)="-",0,MATCH(_xlfn.XLOOKUP($A262,Korrelation!$D$4:$D$1197,Korrelation!K$4:K$1197,"",0),'DM01-AV-CH'!$A$6:$A$834,0)))</f>
        <v>0</v>
      </c>
      <c r="J262" s="54" t="str" cm="1">
        <f t="array" aca="1" ref="J262" ca="1">IF(B262=0,IF(E262=0,"",HYPERLINK("#"&amp;RIGHT(CELL("adresse",OFFSET(DMAV_Dienste!$M$6,E262-1,0)),LEN(CELL("adresse",OFFSET(DMAV_Dienste!$M$6,E262-1,0)))-FIND("]",CELL("adresse",OFFSET(DMAV_Dienste!$M$6,E262-1,0)))),"Dienst")),HYPERLINK("#"&amp;RIGHT(CELL("adresse",OFFSET(DMAV_Modell!$N$6,B262-1,0)),LEN(CELL("adresse",OFFSET(DMAV_Modell!$N$6,B262-1,0)))-FIND("]",CELL("adresse",OFFSET(DMAV_Modell!$N$6,B262-1,0)))),"Modell"))</f>
        <v>Dienst</v>
      </c>
      <c r="K262" s="61" t="str" cm="1">
        <f t="array" ref="K262">IF($B262=0,IF($E262=0,"",IF(INDEX(DMAV_Dienste!P$6:P$140,$E262)="","",INDEX(DMAV_Dienste!P$6:P$140,$E262))),IF(INDEX(DMAV_Modell!Q$6:Q$838,$B262)="","",INDEX(DMAV_Modell!Q$6:Q$838,$B262)))</f>
        <v>CONSTRAINTS OF.CONSTRAINT</v>
      </c>
      <c r="L262" s="62" t="str" cm="1">
        <f t="array" ref="L262">IF($B262=0,IF($E262=0,"",IF(INDEX(DMAV_Dienste!O$6:O$140,$E262)="","",INDEX(DMAV_Dienste!O$6:O$140,$E262))),IF(INDEX(DMAV_Modell!P$6:P$838,$B262)="","",INDEX(DMAV_Modell!P$6:P$838,$B262)))</f>
        <v>FPDS2</v>
      </c>
      <c r="M262" s="62" t="str" cm="1">
        <f t="array" ref="M262">IF($B262=0,IF($E262=0,"",IF(INDEX(DMAV_Dienste!Q$6:Q$140,$E262)="","",INDEX(DMAV_Dienste!Q$6:Q$140,$E262))),IF(INDEX(DMAV_Modell!R$6:R$838,$B262)="","",INDEX(DMAV_Modell!R$6:R$838,$B262)))</f>
        <v>FixpunktVersion</v>
      </c>
      <c r="N262" s="62" t="str" cm="1">
        <f t="array" ref="N262">IF($B262=0,IF($E262=0,"",IF(INDEX(DMAV_Dienste!T$6:T$140,$E262)="","",INDEX(DMAV_Dienste!T$6:T$140,$E262))),IF(INDEX(DMAV_Modell!U$6:U$838,$B262)="","",INDEX(DMAV_Modell!U$6:U$838,$B262)))</f>
        <v>@PH1@ != LFP2 OR (DEFINED(@PH2@) AND DEFINED(@PH3@)) OR (NOT(DEFINED(@PH2@)) AND NOT(DEFINED(@PH3@)))</v>
      </c>
      <c r="O262" s="63" t="str" cm="1">
        <f t="array" aca="1" ref="O262" ca="1">IF(C262=0,IF(F262=0,"",HYPERLINK("#"&amp;RIGHT(CELL("adresse",OFFSET(DMAV_Dienste!$M$6,F262-1,0)),LEN(CELL("adresse",OFFSET(DMAV_Dienste!$M$6,F262-1,0)))-FIND("]",CELL("adresse",OFFSET(DMAV_Dienste!$M$6,F262-1,0)))),"Structure")),HYPERLINK("#"&amp;RIGHT(CELL("adresse",OFFSET(DMAV_Modell!$N$6,C262-1,0)),LEN(CELL("adresse",OFFSET(DMAV_Modell!$N$6,C262-1,0)))-FIND("]",CELL("adresse",OFFSET(DMAV_Modell!$N$6,C262-1,0)))),"Structure"))</f>
        <v/>
      </c>
      <c r="P262" s="64" t="str" cm="1">
        <f t="array" aca="1" ref="P262" ca="1">IF(D262=0,IF(G262=0,"",HYPERLINK("#"&amp;RIGHT(CELL("adresse",OFFSET(DMAV_Dienste!$M$6,G262-1,0)),LEN(CELL("adresse",OFFSET(DMAV_Dienste!$M$6,G262-1,0)))-FIND("]",CELL("adresse",OFFSET(DMAV_Dienste!$M$6,G262-1,0)))),"Substructure")),HYPERLINK("#"&amp;RIGHT(CELL("adresse",OFFSET(DMAV_Modell!$N$6,D262-1,0)),LEN(CELL("adresse",OFFSET(DMAV_Modell!$N$6,D262-1,0)))-FIND("]",CELL("adresse",OFFSET(DMAV_Modell!$N$6,D262-1,0)))),"Substructure"))</f>
        <v/>
      </c>
      <c r="R262" s="80"/>
      <c r="T262" s="93"/>
      <c r="U262" s="94"/>
      <c r="V262" s="95"/>
      <c r="W262" s="96"/>
      <c r="Y262" s="85"/>
      <c r="Z262" s="86"/>
      <c r="AA262" s="87"/>
      <c r="AB262" s="88"/>
      <c r="AD262" s="77"/>
      <c r="AF262" s="54" t="str" cm="1">
        <f t="array" aca="1" ref="AF262" ca="1">IF(H262=0,"",HYPERLINK("#"&amp;RIGHT(CELL("adresse",OFFSET('DM01-AV-CH'!$G$6,H262-1,0)),LEN(CELL("adresse",OFFSET('DM01-AV-CH'!$G$6,H262-1,0)))-FIND("]",CELL("adresse",OFFSET('DM01-AV-CH'!$G$6,H262-1,0)))),"Modell"))</f>
        <v/>
      </c>
      <c r="AG262" s="72" t="str" cm="1">
        <f t="array" ref="AG262">IF($H262=0,"",IF(INDEX('DM01-AV-CH'!G$6:G$834,$H262)="","",INDEX('DM01-AV-CH'!G$6:G$834,$H262)))</f>
        <v/>
      </c>
      <c r="AH262" s="73" t="str" cm="1">
        <f t="array" ref="AH262">IF($H262=0,"",IF(INDEX('DM01-AV-CH'!H$6:H$834,$H262)="","",INDEX('DM01-AV-CH'!H$6:H$834,$H262)))</f>
        <v/>
      </c>
      <c r="AI262" s="74" t="str" cm="1">
        <f t="array" ref="AI262">IF($H262=0,"",IF(INDEX('DM01-AV-CH'!I$6:I$834,$H262)="","",INDEX('DM01-AV-CH'!I$6:I$834,$H262)))</f>
        <v/>
      </c>
    </row>
    <row r="263" spans="1:35" x14ac:dyDescent="0.25">
      <c r="A263" s="57">
        <v>258</v>
      </c>
      <c r="B263" s="57">
        <f>IF($A263="","",IF(_xlfn.XLOOKUP($A263,Korrelation!$D$4:$D$1197,Korrelation!E$4:E$1197,"-",0)="-",0,MATCH(_xlfn.XLOOKUP($A263,Korrelation!$D$4:$D$1197,Korrelation!E$4:E$1197,"",0),DMAV_Modell!$G$6:$G$677,0)))</f>
        <v>0</v>
      </c>
      <c r="C263" s="57">
        <f>IF($A263="","",IF(_xlfn.XLOOKUP($A263,Korrelation!$D$4:$D$1197,Korrelation!F$4:F$1197,"-",0)="-",0,MATCH(_xlfn.XLOOKUP($A263,Korrelation!$D$4:$D$1197,Korrelation!F$4:F$1197,"",0),DMAV_Modell!$G$6:$G$677,0)))</f>
        <v>0</v>
      </c>
      <c r="D263" s="57">
        <f>IF($A263="","",IF(_xlfn.XLOOKUP($A263,Korrelation!$D$4:$D$1197,Korrelation!G$4:G$1197,"-",0)="-",0,MATCH(_xlfn.XLOOKUP($A263,Korrelation!$D$4:$D$1197,Korrelation!G$4:G$1197,"",0),DMAV_Modell!$G$6:$G$677,0)))</f>
        <v>0</v>
      </c>
      <c r="E263" s="57">
        <f>IF($A263="","",IF(_xlfn.XLOOKUP($A263,Korrelation!$D$4:$D$1197,Korrelation!H$4:H$1197,"-",0)="-",0,MATCH(_xlfn.XLOOKUP($A263,Korrelation!$D$4:$D$1197,Korrelation!H$4:H$1197,"",0),DMAV_Dienste!$F$6:$F$140,0)))</f>
        <v>135</v>
      </c>
      <c r="F263" s="57">
        <f>IF($A263="","",IF(_xlfn.XLOOKUP($A263,Korrelation!$D$4:$D$1197,Korrelation!I$4:I$1197,"-",0)="-",0,MATCH(_xlfn.XLOOKUP($A263,Korrelation!$D$4:$D$1197,Korrelation!I$4:I$1197,"",0),DMAV_Dienste!$F$6:$F$140,0)))</f>
        <v>0</v>
      </c>
      <c r="G263" s="57">
        <f>IF($A263="","",IF(_xlfn.XLOOKUP($A263,Korrelation!$D$4:$D$1197,Korrelation!J$4:J$1197,"-",0)="-",0,MATCH(_xlfn.XLOOKUP($A263,Korrelation!$D$4:$D$1197,Korrelation!J$4:J$1197,"",0),DMAV_Dienste!$F$6:$F$140,0)))</f>
        <v>0</v>
      </c>
      <c r="H263" s="57">
        <f>IF($A263="","",IF(_xlfn.XLOOKUP($A263,Korrelation!$D$4:$D$1197,Korrelation!K$4:K$1197,"-",0)="-",0,MATCH(_xlfn.XLOOKUP($A263,Korrelation!$D$4:$D$1197,Korrelation!K$4:K$1197,"",0),'DM01-AV-CH'!$A$6:$A$834,0)))</f>
        <v>0</v>
      </c>
      <c r="J263" s="54" t="str" cm="1">
        <f t="array" aca="1" ref="J263" ca="1">IF(B263=0,IF(E263=0,"",HYPERLINK("#"&amp;RIGHT(CELL("adresse",OFFSET(DMAV_Dienste!$M$6,E263-1,0)),LEN(CELL("adresse",OFFSET(DMAV_Dienste!$M$6,E263-1,0)))-FIND("]",CELL("adresse",OFFSET(DMAV_Dienste!$M$6,E263-1,0)))),"Dienst")),HYPERLINK("#"&amp;RIGHT(CELL("adresse",OFFSET(DMAV_Modell!$N$6,B263-1,0)),LEN(CELL("adresse",OFFSET(DMAV_Modell!$N$6,B263-1,0)))-FIND("]",CELL("adresse",OFFSET(DMAV_Modell!$N$6,B263-1,0)))),"Modell"))</f>
        <v>Dienst</v>
      </c>
      <c r="K263" s="61" t="str" cm="1">
        <f t="array" ref="K263">IF($B263=0,IF($E263=0,"",IF(INDEX(DMAV_Dienste!P$6:P$140,$E263)="","",INDEX(DMAV_Dienste!P$6:P$140,$E263))),IF(INDEX(DMAV_Modell!Q$6:Q$838,$B263)="","",INDEX(DMAV_Modell!Q$6:Q$838,$B263)))</f>
        <v>CONSTRAINTS OF.CONSTRAINT</v>
      </c>
      <c r="L263" s="62" t="str" cm="1">
        <f t="array" ref="L263">IF($B263=0,IF($E263=0,"",IF(INDEX(DMAV_Dienste!O$6:O$140,$E263)="","",INDEX(DMAV_Dienste!O$6:O$140,$E263))),IF(INDEX(DMAV_Modell!P$6:P$838,$B263)="","",INDEX(DMAV_Modell!P$6:P$838,$B263)))</f>
        <v>FPDS2</v>
      </c>
      <c r="M263" s="62" t="str" cm="1">
        <f t="array" ref="M263">IF($B263=0,IF($E263=0,"",IF(INDEX(DMAV_Dienste!Q$6:Q$140,$E263)="","",INDEX(DMAV_Dienste!Q$6:Q$140,$E263))),IF(INDEX(DMAV_Modell!R$6:R$838,$B263)="","",INDEX(DMAV_Modell!R$6:R$838,$B263)))</f>
        <v>FixpunktVersion</v>
      </c>
      <c r="N263" s="62" t="str" cm="1">
        <f t="array" ref="N263">IF($B263=0,IF($E263=0,"",IF(INDEX(DMAV_Dienste!T$6:T$140,$E263)="","",INDEX(DMAV_Dienste!T$6:T$140,$E263))),IF(INDEX(DMAV_Modell!U$6:U$838,$B263)="","",INDEX(DMAV_Modell!U$6:U$838,$B263)))</f>
        <v>@PH1@ != LFP2 OR (DEFINED(@PH2@) AND DEFINED(@PH3@)) OR (NOT(DEFINED(@PH2@)) AND NOT(DEFINED(@PH3@)))</v>
      </c>
      <c r="O263" s="63" t="str" cm="1">
        <f t="array" aca="1" ref="O263" ca="1">IF(C263=0,IF(F263=0,"",HYPERLINK("#"&amp;RIGHT(CELL("adresse",OFFSET(DMAV_Dienste!$M$6,F263-1,0)),LEN(CELL("adresse",OFFSET(DMAV_Dienste!$M$6,F263-1,0)))-FIND("]",CELL("adresse",OFFSET(DMAV_Dienste!$M$6,F263-1,0)))),"Structure")),HYPERLINK("#"&amp;RIGHT(CELL("adresse",OFFSET(DMAV_Modell!$N$6,C263-1,0)),LEN(CELL("adresse",OFFSET(DMAV_Modell!$N$6,C263-1,0)))-FIND("]",CELL("adresse",OFFSET(DMAV_Modell!$N$6,C263-1,0)))),"Structure"))</f>
        <v/>
      </c>
      <c r="P263" s="64" t="str" cm="1">
        <f t="array" aca="1" ref="P263" ca="1">IF(D263=0,IF(G263=0,"",HYPERLINK("#"&amp;RIGHT(CELL("adresse",OFFSET(DMAV_Dienste!$M$6,G263-1,0)),LEN(CELL("adresse",OFFSET(DMAV_Dienste!$M$6,G263-1,0)))-FIND("]",CELL("adresse",OFFSET(DMAV_Dienste!$M$6,G263-1,0)))),"Substructure")),HYPERLINK("#"&amp;RIGHT(CELL("adresse",OFFSET(DMAV_Modell!$N$6,D263-1,0)),LEN(CELL("adresse",OFFSET(DMAV_Modell!$N$6,D263-1,0)))-FIND("]",CELL("adresse",OFFSET(DMAV_Modell!$N$6,D263-1,0)))),"Substructure"))</f>
        <v/>
      </c>
      <c r="R263" s="80"/>
      <c r="T263" s="93"/>
      <c r="U263" s="94"/>
      <c r="V263" s="95"/>
      <c r="W263" s="96"/>
      <c r="Y263" s="85"/>
      <c r="Z263" s="86"/>
      <c r="AA263" s="87"/>
      <c r="AB263" s="88"/>
      <c r="AD263" s="77"/>
      <c r="AF263" s="54" t="str" cm="1">
        <f t="array" aca="1" ref="AF263" ca="1">IF(H263=0,"",HYPERLINK("#"&amp;RIGHT(CELL("adresse",OFFSET('DM01-AV-CH'!$G$6,H263-1,0)),LEN(CELL("adresse",OFFSET('DM01-AV-CH'!$G$6,H263-1,0)))-FIND("]",CELL("adresse",OFFSET('DM01-AV-CH'!$G$6,H263-1,0)))),"Modell"))</f>
        <v/>
      </c>
      <c r="AG263" s="72" t="str" cm="1">
        <f t="array" ref="AG263">IF($H263=0,"",IF(INDEX('DM01-AV-CH'!G$6:G$834,$H263)="","",INDEX('DM01-AV-CH'!G$6:G$834,$H263)))</f>
        <v/>
      </c>
      <c r="AH263" s="73" t="str" cm="1">
        <f t="array" ref="AH263">IF($H263=0,"",IF(INDEX('DM01-AV-CH'!H$6:H$834,$H263)="","",INDEX('DM01-AV-CH'!H$6:H$834,$H263)))</f>
        <v/>
      </c>
      <c r="AI263" s="74" t="str" cm="1">
        <f t="array" ref="AI263">IF($H263=0,"",IF(INDEX('DM01-AV-CH'!I$6:I$834,$H263)="","",INDEX('DM01-AV-CH'!I$6:I$834,$H263)))</f>
        <v/>
      </c>
    </row>
    <row r="264" spans="1:35" x14ac:dyDescent="0.25">
      <c r="A264" s="57">
        <v>259</v>
      </c>
      <c r="B264" s="57">
        <f>IF($A264="","",IF(_xlfn.XLOOKUP($A264,Korrelation!$D$4:$D$1197,Korrelation!E$4:E$1197,"-",0)="-",0,MATCH(_xlfn.XLOOKUP($A264,Korrelation!$D$4:$D$1197,Korrelation!E$4:E$1197,"",0),DMAV_Modell!$G$6:$G$677,0)))</f>
        <v>62</v>
      </c>
      <c r="C264" s="57">
        <f>IF($A264="","",IF(_xlfn.XLOOKUP($A264,Korrelation!$D$4:$D$1197,Korrelation!F$4:F$1197,"-",0)="-",0,MATCH(_xlfn.XLOOKUP($A264,Korrelation!$D$4:$D$1197,Korrelation!F$4:F$1197,"",0),DMAV_Modell!$G$6:$G$677,0)))</f>
        <v>0</v>
      </c>
      <c r="D264" s="57">
        <f>IF($A264="","",IF(_xlfn.XLOOKUP($A264,Korrelation!$D$4:$D$1197,Korrelation!G$4:G$1197,"-",0)="-",0,MATCH(_xlfn.XLOOKUP($A264,Korrelation!$D$4:$D$1197,Korrelation!G$4:G$1197,"",0),DMAV_Modell!$G$6:$G$677,0)))</f>
        <v>0</v>
      </c>
      <c r="E264" s="57">
        <f>IF($A264="","",IF(_xlfn.XLOOKUP($A264,Korrelation!$D$4:$D$1197,Korrelation!H$4:H$1197,"-",0)="-",0,MATCH(_xlfn.XLOOKUP($A264,Korrelation!$D$4:$D$1197,Korrelation!H$4:H$1197,"",0),DMAV_Dienste!$F$6:$F$140,0)))</f>
        <v>0</v>
      </c>
      <c r="F264" s="57">
        <f>IF($A264="","",IF(_xlfn.XLOOKUP($A264,Korrelation!$D$4:$D$1197,Korrelation!I$4:I$1197,"-",0)="-",0,MATCH(_xlfn.XLOOKUP($A264,Korrelation!$D$4:$D$1197,Korrelation!I$4:I$1197,"",0),DMAV_Dienste!$F$6:$F$140,0)))</f>
        <v>0</v>
      </c>
      <c r="G264" s="57">
        <f>IF($A264="","",IF(_xlfn.XLOOKUP($A264,Korrelation!$D$4:$D$1197,Korrelation!J$4:J$1197,"-",0)="-",0,MATCH(_xlfn.XLOOKUP($A264,Korrelation!$D$4:$D$1197,Korrelation!J$4:J$1197,"",0),DMAV_Dienste!$F$6:$F$140,0)))</f>
        <v>0</v>
      </c>
      <c r="H264" s="57">
        <f>IF($A264="","",IF(_xlfn.XLOOKUP($A264,Korrelation!$D$4:$D$1197,Korrelation!K$4:K$1197,"-",0)="-",0,MATCH(_xlfn.XLOOKUP($A264,Korrelation!$D$4:$D$1197,Korrelation!K$4:K$1197,"",0),'DM01-AV-CH'!$A$6:$A$834,0)))</f>
        <v>0</v>
      </c>
      <c r="J264" s="54" t="str" cm="1">
        <f t="array" aca="1" ref="J264" ca="1">IF(B264=0,IF(E264=0,"",HYPERLINK("#"&amp;RIGHT(CELL("adresse",OFFSET(DMAV_Dienste!$M$6,E264-1,0)),LEN(CELL("adresse",OFFSET(DMAV_Dienste!$M$6,E264-1,0)))-FIND("]",CELL("adresse",OFFSET(DMAV_Dienste!$M$6,E264-1,0)))),"Dienst")),HYPERLINK("#"&amp;RIGHT(CELL("adresse",OFFSET(DMAV_Modell!$N$6,B264-1,0)),LEN(CELL("adresse",OFFSET(DMAV_Modell!$N$6,B264-1,0)))-FIND("]",CELL("adresse",OFFSET(DMAV_Modell!$N$6,B264-1,0)))),"Modell"))</f>
        <v>Modell</v>
      </c>
      <c r="K264" s="61" t="str" cm="1">
        <f t="array" ref="K264">IF($B264=0,IF($E264=0,"",IF(INDEX(DMAV_Dienste!P$6:P$140,$E264)="","",INDEX(DMAV_Dienste!P$6:P$140,$E264))),IF(INDEX(DMAV_Modell!Q$6:Q$838,$B264)="","",INDEX(DMAV_Modell!Q$6:Q$838,$B264)))</f>
        <v>IMPORTS</v>
      </c>
      <c r="L264" s="62" t="str" cm="1">
        <f t="array" ref="L264">IF($B264=0,IF($E264=0,"",IF(INDEX(DMAV_Dienste!O$6:O$140,$E264)="","",INDEX(DMAV_Dienste!O$6:O$140,$E264))),IF(INDEX(DMAV_Modell!P$6:P$838,$B264)="","",INDEX(DMAV_Modell!P$6:P$838,$B264)))</f>
        <v/>
      </c>
      <c r="M264" s="62" t="str" cm="1">
        <f t="array" ref="M264">IF($B264=0,IF($E264=0,"",IF(INDEX(DMAV_Dienste!Q$6:Q$140,$E264)="","",INDEX(DMAV_Dienste!Q$6:Q$140,$E264))),IF(INDEX(DMAV_Modell!R$6:R$838,$B264)="","",INDEX(DMAV_Modell!R$6:R$838,$B264)))</f>
        <v>GeometryCHLV95_V2</v>
      </c>
      <c r="N264" s="62" t="str" cm="1">
        <f t="array" ref="N264">IF($B264=0,IF($E264=0,"",IF(INDEX(DMAV_Dienste!T$6:T$140,$E264)="","",INDEX(DMAV_Dienste!T$6:T$140,$E264))),IF(INDEX(DMAV_Modell!U$6:U$838,$B264)="","",INDEX(DMAV_Modell!U$6:U$838,$B264)))</f>
        <v/>
      </c>
      <c r="O264" s="63" t="str" cm="1">
        <f t="array" aca="1" ref="O264" ca="1">IF(C264=0,IF(F264=0,"",HYPERLINK("#"&amp;RIGHT(CELL("adresse",OFFSET(DMAV_Dienste!$M$6,F264-1,0)),LEN(CELL("adresse",OFFSET(DMAV_Dienste!$M$6,F264-1,0)))-FIND("]",CELL("adresse",OFFSET(DMAV_Dienste!$M$6,F264-1,0)))),"Structure")),HYPERLINK("#"&amp;RIGHT(CELL("adresse",OFFSET(DMAV_Modell!$N$6,C264-1,0)),LEN(CELL("adresse",OFFSET(DMAV_Modell!$N$6,C264-1,0)))-FIND("]",CELL("adresse",OFFSET(DMAV_Modell!$N$6,C264-1,0)))),"Structure"))</f>
        <v/>
      </c>
      <c r="P264" s="64" t="str" cm="1">
        <f t="array" aca="1" ref="P264" ca="1">IF(D264=0,IF(G264=0,"",HYPERLINK("#"&amp;RIGHT(CELL("adresse",OFFSET(DMAV_Dienste!$M$6,G264-1,0)),LEN(CELL("adresse",OFFSET(DMAV_Dienste!$M$6,G264-1,0)))-FIND("]",CELL("adresse",OFFSET(DMAV_Dienste!$M$6,G264-1,0)))),"Substructure")),HYPERLINK("#"&amp;RIGHT(CELL("adresse",OFFSET(DMAV_Modell!$N$6,D264-1,0)),LEN(CELL("adresse",OFFSET(DMAV_Modell!$N$6,D264-1,0)))-FIND("]",CELL("adresse",OFFSET(DMAV_Modell!$N$6,D264-1,0)))),"Substructure"))</f>
        <v/>
      </c>
      <c r="R264" s="80"/>
      <c r="T264" s="93"/>
      <c r="U264" s="94"/>
      <c r="V264" s="95"/>
      <c r="W264" s="96"/>
      <c r="Y264" s="85"/>
      <c r="Z264" s="86"/>
      <c r="AA264" s="87"/>
      <c r="AB264" s="88"/>
      <c r="AD264" s="77"/>
      <c r="AF264" s="54" t="str" cm="1">
        <f t="array" aca="1" ref="AF264" ca="1">IF(H264=0,"",HYPERLINK("#"&amp;RIGHT(CELL("adresse",OFFSET('DM01-AV-CH'!$G$6,H264-1,0)),LEN(CELL("adresse",OFFSET('DM01-AV-CH'!$G$6,H264-1,0)))-FIND("]",CELL("adresse",OFFSET('DM01-AV-CH'!$G$6,H264-1,0)))),"Modell"))</f>
        <v/>
      </c>
      <c r="AG264" s="72" t="str" cm="1">
        <f t="array" ref="AG264">IF($H264=0,"",IF(INDEX('DM01-AV-CH'!G$6:G$834,$H264)="","",INDEX('DM01-AV-CH'!G$6:G$834,$H264)))</f>
        <v/>
      </c>
      <c r="AH264" s="73" t="str" cm="1">
        <f t="array" ref="AH264">IF($H264=0,"",IF(INDEX('DM01-AV-CH'!H$6:H$834,$H264)="","",INDEX('DM01-AV-CH'!H$6:H$834,$H264)))</f>
        <v/>
      </c>
      <c r="AI264" s="74" t="str" cm="1">
        <f t="array" ref="AI264">IF($H264=0,"",IF(INDEX('DM01-AV-CH'!I$6:I$834,$H264)="","",INDEX('DM01-AV-CH'!I$6:I$834,$H264)))</f>
        <v/>
      </c>
    </row>
    <row r="265" spans="1:35" x14ac:dyDescent="0.25">
      <c r="A265" s="57">
        <v>260</v>
      </c>
      <c r="B265" s="57">
        <f>IF($A265="","",IF(_xlfn.XLOOKUP($A265,Korrelation!$D$4:$D$1197,Korrelation!E$4:E$1197,"-",0)="-",0,MATCH(_xlfn.XLOOKUP($A265,Korrelation!$D$4:$D$1197,Korrelation!E$4:E$1197,"",0),DMAV_Modell!$G$6:$G$677,0)))</f>
        <v>63</v>
      </c>
      <c r="C265" s="57">
        <f>IF($A265="","",IF(_xlfn.XLOOKUP($A265,Korrelation!$D$4:$D$1197,Korrelation!F$4:F$1197,"-",0)="-",0,MATCH(_xlfn.XLOOKUP($A265,Korrelation!$D$4:$D$1197,Korrelation!F$4:F$1197,"",0),DMAV_Modell!$G$6:$G$677,0)))</f>
        <v>0</v>
      </c>
      <c r="D265" s="57">
        <f>IF($A265="","",IF(_xlfn.XLOOKUP($A265,Korrelation!$D$4:$D$1197,Korrelation!G$4:G$1197,"-",0)="-",0,MATCH(_xlfn.XLOOKUP($A265,Korrelation!$D$4:$D$1197,Korrelation!G$4:G$1197,"",0),DMAV_Modell!$G$6:$G$677,0)))</f>
        <v>0</v>
      </c>
      <c r="E265" s="57">
        <f>IF($A265="","",IF(_xlfn.XLOOKUP($A265,Korrelation!$D$4:$D$1197,Korrelation!H$4:H$1197,"-",0)="-",0,MATCH(_xlfn.XLOOKUP($A265,Korrelation!$D$4:$D$1197,Korrelation!H$4:H$1197,"",0),DMAV_Dienste!$F$6:$F$140,0)))</f>
        <v>0</v>
      </c>
      <c r="F265" s="57">
        <f>IF($A265="","",IF(_xlfn.XLOOKUP($A265,Korrelation!$D$4:$D$1197,Korrelation!I$4:I$1197,"-",0)="-",0,MATCH(_xlfn.XLOOKUP($A265,Korrelation!$D$4:$D$1197,Korrelation!I$4:I$1197,"",0),DMAV_Dienste!$F$6:$F$140,0)))</f>
        <v>0</v>
      </c>
      <c r="G265" s="57">
        <f>IF($A265="","",IF(_xlfn.XLOOKUP($A265,Korrelation!$D$4:$D$1197,Korrelation!J$4:J$1197,"-",0)="-",0,MATCH(_xlfn.XLOOKUP($A265,Korrelation!$D$4:$D$1197,Korrelation!J$4:J$1197,"",0),DMAV_Dienste!$F$6:$F$140,0)))</f>
        <v>0</v>
      </c>
      <c r="H265" s="57">
        <f>IF($A265="","",IF(_xlfn.XLOOKUP($A265,Korrelation!$D$4:$D$1197,Korrelation!K$4:K$1197,"-",0)="-",0,MATCH(_xlfn.XLOOKUP($A265,Korrelation!$D$4:$D$1197,Korrelation!K$4:K$1197,"",0),'DM01-AV-CH'!$A$6:$A$834,0)))</f>
        <v>0</v>
      </c>
      <c r="J265" s="54" t="str" cm="1">
        <f t="array" aca="1" ref="J265" ca="1">IF(B265=0,IF(E265=0,"",HYPERLINK("#"&amp;RIGHT(CELL("adresse",OFFSET(DMAV_Dienste!$M$6,E265-1,0)),LEN(CELL("adresse",OFFSET(DMAV_Dienste!$M$6,E265-1,0)))-FIND("]",CELL("adresse",OFFSET(DMAV_Dienste!$M$6,E265-1,0)))),"Dienst")),HYPERLINK("#"&amp;RIGHT(CELL("adresse",OFFSET(DMAV_Modell!$N$6,B265-1,0)),LEN(CELL("adresse",OFFSET(DMAV_Modell!$N$6,B265-1,0)))-FIND("]",CELL("adresse",OFFSET(DMAV_Modell!$N$6,B265-1,0)))),"Modell"))</f>
        <v>Modell</v>
      </c>
      <c r="K265" s="61" t="str" cm="1">
        <f t="array" ref="K265">IF($B265=0,IF($E265=0,"",IF(INDEX(DMAV_Dienste!P$6:P$140,$E265)="","",INDEX(DMAV_Dienste!P$6:P$140,$E265))),IF(INDEX(DMAV_Modell!Q$6:Q$838,$B265)="","",INDEX(DMAV_Modell!Q$6:Q$838,$B265)))</f>
        <v>IMPORTS</v>
      </c>
      <c r="L265" s="62" t="str" cm="1">
        <f t="array" ref="L265">IF($B265=0,IF($E265=0,"",IF(INDEX(DMAV_Dienste!O$6:O$140,$E265)="","",INDEX(DMAV_Dienste!O$6:O$140,$E265))),IF(INDEX(DMAV_Modell!P$6:P$838,$B265)="","",INDEX(DMAV_Modell!P$6:P$838,$B265)))</f>
        <v/>
      </c>
      <c r="M265" s="62" t="str" cm="1">
        <f t="array" ref="M265">IF($B265=0,IF($E265=0,"",IF(INDEX(DMAV_Dienste!Q$6:Q$140,$E265)="","",INDEX(DMAV_Dienste!Q$6:Q$140,$E265))),IF(INDEX(DMAV_Modell!R$6:R$838,$B265)="","",INDEX(DMAV_Modell!R$6:R$838,$B265)))</f>
        <v>DMAVTYM_Geometrie_V1_0</v>
      </c>
      <c r="N265" s="62" t="str" cm="1">
        <f t="array" ref="N265">IF($B265=0,IF($E265=0,"",IF(INDEX(DMAV_Dienste!T$6:T$140,$E265)="","",INDEX(DMAV_Dienste!T$6:T$140,$E265))),IF(INDEX(DMAV_Modell!U$6:U$838,$B265)="","",INDEX(DMAV_Modell!U$6:U$838,$B265)))</f>
        <v/>
      </c>
      <c r="O265" s="63" t="str" cm="1">
        <f t="array" aca="1" ref="O265" ca="1">IF(C265=0,IF(F265=0,"",HYPERLINK("#"&amp;RIGHT(CELL("adresse",OFFSET(DMAV_Dienste!$M$6,F265-1,0)),LEN(CELL("adresse",OFFSET(DMAV_Dienste!$M$6,F265-1,0)))-FIND("]",CELL("adresse",OFFSET(DMAV_Dienste!$M$6,F265-1,0)))),"Structure")),HYPERLINK("#"&amp;RIGHT(CELL("adresse",OFFSET(DMAV_Modell!$N$6,C265-1,0)),LEN(CELL("adresse",OFFSET(DMAV_Modell!$N$6,C265-1,0)))-FIND("]",CELL("adresse",OFFSET(DMAV_Modell!$N$6,C265-1,0)))),"Structure"))</f>
        <v/>
      </c>
      <c r="P265" s="64" t="str" cm="1">
        <f t="array" aca="1" ref="P265" ca="1">IF(D265=0,IF(G265=0,"",HYPERLINK("#"&amp;RIGHT(CELL("adresse",OFFSET(DMAV_Dienste!$M$6,G265-1,0)),LEN(CELL("adresse",OFFSET(DMAV_Dienste!$M$6,G265-1,0)))-FIND("]",CELL("adresse",OFFSET(DMAV_Dienste!$M$6,G265-1,0)))),"Substructure")),HYPERLINK("#"&amp;RIGHT(CELL("adresse",OFFSET(DMAV_Modell!$N$6,D265-1,0)),LEN(CELL("adresse",OFFSET(DMAV_Modell!$N$6,D265-1,0)))-FIND("]",CELL("adresse",OFFSET(DMAV_Modell!$N$6,D265-1,0)))),"Substructure"))</f>
        <v/>
      </c>
      <c r="R265" s="80"/>
      <c r="T265" s="93"/>
      <c r="U265" s="94"/>
      <c r="V265" s="95"/>
      <c r="W265" s="96"/>
      <c r="Y265" s="85"/>
      <c r="Z265" s="86"/>
      <c r="AA265" s="87"/>
      <c r="AB265" s="88"/>
      <c r="AD265" s="77"/>
      <c r="AF265" s="54" t="str" cm="1">
        <f t="array" aca="1" ref="AF265" ca="1">IF(H265=0,"",HYPERLINK("#"&amp;RIGHT(CELL("adresse",OFFSET('DM01-AV-CH'!$G$6,H265-1,0)),LEN(CELL("adresse",OFFSET('DM01-AV-CH'!$G$6,H265-1,0)))-FIND("]",CELL("adresse",OFFSET('DM01-AV-CH'!$G$6,H265-1,0)))),"Modell"))</f>
        <v/>
      </c>
      <c r="AG265" s="72" t="str" cm="1">
        <f t="array" ref="AG265">IF($H265=0,"",IF(INDEX('DM01-AV-CH'!G$6:G$834,$H265)="","",INDEX('DM01-AV-CH'!G$6:G$834,$H265)))</f>
        <v/>
      </c>
      <c r="AH265" s="73" t="str" cm="1">
        <f t="array" ref="AH265">IF($H265=0,"",IF(INDEX('DM01-AV-CH'!H$6:H$834,$H265)="","",INDEX('DM01-AV-CH'!H$6:H$834,$H265)))</f>
        <v/>
      </c>
      <c r="AI265" s="74" t="str" cm="1">
        <f t="array" ref="AI265">IF($H265=0,"",IF(INDEX('DM01-AV-CH'!I$6:I$834,$H265)="","",INDEX('DM01-AV-CH'!I$6:I$834,$H265)))</f>
        <v/>
      </c>
    </row>
    <row r="266" spans="1:35" x14ac:dyDescent="0.25">
      <c r="A266" s="57">
        <v>261</v>
      </c>
      <c r="B266" s="57">
        <f>IF($A266="","",IF(_xlfn.XLOOKUP($A266,Korrelation!$D$4:$D$1197,Korrelation!E$4:E$1197,"-",0)="-",0,MATCH(_xlfn.XLOOKUP($A266,Korrelation!$D$4:$D$1197,Korrelation!E$4:E$1197,"",0),DMAV_Modell!$G$6:$G$677,0)))</f>
        <v>64</v>
      </c>
      <c r="C266" s="57">
        <f>IF($A266="","",IF(_xlfn.XLOOKUP($A266,Korrelation!$D$4:$D$1197,Korrelation!F$4:F$1197,"-",0)="-",0,MATCH(_xlfn.XLOOKUP($A266,Korrelation!$D$4:$D$1197,Korrelation!F$4:F$1197,"",0),DMAV_Modell!$G$6:$G$677,0)))</f>
        <v>0</v>
      </c>
      <c r="D266" s="57">
        <f>IF($A266="","",IF(_xlfn.XLOOKUP($A266,Korrelation!$D$4:$D$1197,Korrelation!G$4:G$1197,"-",0)="-",0,MATCH(_xlfn.XLOOKUP($A266,Korrelation!$D$4:$D$1197,Korrelation!G$4:G$1197,"",0),DMAV_Modell!$G$6:$G$677,0)))</f>
        <v>0</v>
      </c>
      <c r="E266" s="57">
        <f>IF($A266="","",IF(_xlfn.XLOOKUP($A266,Korrelation!$D$4:$D$1197,Korrelation!H$4:H$1197,"-",0)="-",0,MATCH(_xlfn.XLOOKUP($A266,Korrelation!$D$4:$D$1197,Korrelation!H$4:H$1197,"",0),DMAV_Dienste!$F$6:$F$140,0)))</f>
        <v>0</v>
      </c>
      <c r="F266" s="57">
        <f>IF($A266="","",IF(_xlfn.XLOOKUP($A266,Korrelation!$D$4:$D$1197,Korrelation!I$4:I$1197,"-",0)="-",0,MATCH(_xlfn.XLOOKUP($A266,Korrelation!$D$4:$D$1197,Korrelation!I$4:I$1197,"",0),DMAV_Dienste!$F$6:$F$140,0)))</f>
        <v>0</v>
      </c>
      <c r="G266" s="57">
        <f>IF($A266="","",IF(_xlfn.XLOOKUP($A266,Korrelation!$D$4:$D$1197,Korrelation!J$4:J$1197,"-",0)="-",0,MATCH(_xlfn.XLOOKUP($A266,Korrelation!$D$4:$D$1197,Korrelation!J$4:J$1197,"",0),DMAV_Dienste!$F$6:$F$140,0)))</f>
        <v>0</v>
      </c>
      <c r="H266" s="57">
        <f>IF($A266="","",IF(_xlfn.XLOOKUP($A266,Korrelation!$D$4:$D$1197,Korrelation!K$4:K$1197,"-",0)="-",0,MATCH(_xlfn.XLOOKUP($A266,Korrelation!$D$4:$D$1197,Korrelation!K$4:K$1197,"",0),'DM01-AV-CH'!$A$6:$A$834,0)))</f>
        <v>0</v>
      </c>
      <c r="J266" s="54" t="str" cm="1">
        <f t="array" aca="1" ref="J266" ca="1">IF(B266=0,IF(E266=0,"",HYPERLINK("#"&amp;RIGHT(CELL("adresse",OFFSET(DMAV_Dienste!$M$6,E266-1,0)),LEN(CELL("adresse",OFFSET(DMAV_Dienste!$M$6,E266-1,0)))-FIND("]",CELL("adresse",OFFSET(DMAV_Dienste!$M$6,E266-1,0)))),"Dienst")),HYPERLINK("#"&amp;RIGHT(CELL("adresse",OFFSET(DMAV_Modell!$N$6,B266-1,0)),LEN(CELL("adresse",OFFSET(DMAV_Modell!$N$6,B266-1,0)))-FIND("]",CELL("adresse",OFFSET(DMAV_Modell!$N$6,B266-1,0)))),"Modell"))</f>
        <v>Modell</v>
      </c>
      <c r="K266" s="61" t="str" cm="1">
        <f t="array" ref="K266">IF($B266=0,IF($E266=0,"",IF(INDEX(DMAV_Dienste!P$6:P$140,$E266)="","",INDEX(DMAV_Dienste!P$6:P$140,$E266))),IF(INDEX(DMAV_Modell!Q$6:Q$838,$B266)="","",INDEX(DMAV_Modell!Q$6:Q$838,$B266)))</f>
        <v>IMPORTS</v>
      </c>
      <c r="L266" s="62" t="str" cm="1">
        <f t="array" ref="L266">IF($B266=0,IF($E266=0,"",IF(INDEX(DMAV_Dienste!O$6:O$140,$E266)="","",INDEX(DMAV_Dienste!O$6:O$140,$E266))),IF(INDEX(DMAV_Modell!P$6:P$838,$B266)="","",INDEX(DMAV_Modell!P$6:P$838,$B266)))</f>
        <v/>
      </c>
      <c r="M266" s="62" t="str" cm="1">
        <f t="array" ref="M266">IF($B266=0,IF($E266=0,"",IF(INDEX(DMAV_Dienste!Q$6:Q$140,$E266)="","",INDEX(DMAV_Dienste!Q$6:Q$140,$E266))),IF(INDEX(DMAV_Modell!R$6:R$838,$B266)="","",INDEX(DMAV_Modell!R$6:R$838,$B266)))</f>
        <v>DMAVTYM_Vermarkung_V1_0</v>
      </c>
      <c r="N266" s="62" t="str" cm="1">
        <f t="array" ref="N266">IF($B266=0,IF($E266=0,"",IF(INDEX(DMAV_Dienste!T$6:T$140,$E266)="","",INDEX(DMAV_Dienste!T$6:T$140,$E266))),IF(INDEX(DMAV_Modell!U$6:U$838,$B266)="","",INDEX(DMAV_Modell!U$6:U$838,$B266)))</f>
        <v/>
      </c>
      <c r="O266" s="63" t="str" cm="1">
        <f t="array" aca="1" ref="O266" ca="1">IF(C266=0,IF(F266=0,"",HYPERLINK("#"&amp;RIGHT(CELL("adresse",OFFSET(DMAV_Dienste!$M$6,F266-1,0)),LEN(CELL("adresse",OFFSET(DMAV_Dienste!$M$6,F266-1,0)))-FIND("]",CELL("adresse",OFFSET(DMAV_Dienste!$M$6,F266-1,0)))),"Structure")),HYPERLINK("#"&amp;RIGHT(CELL("adresse",OFFSET(DMAV_Modell!$N$6,C266-1,0)),LEN(CELL("adresse",OFFSET(DMAV_Modell!$N$6,C266-1,0)))-FIND("]",CELL("adresse",OFFSET(DMAV_Modell!$N$6,C266-1,0)))),"Structure"))</f>
        <v/>
      </c>
      <c r="P266" s="64" t="str" cm="1">
        <f t="array" aca="1" ref="P266" ca="1">IF(D266=0,IF(G266=0,"",HYPERLINK("#"&amp;RIGHT(CELL("adresse",OFFSET(DMAV_Dienste!$M$6,G266-1,0)),LEN(CELL("adresse",OFFSET(DMAV_Dienste!$M$6,G266-1,0)))-FIND("]",CELL("adresse",OFFSET(DMAV_Dienste!$M$6,G266-1,0)))),"Substructure")),HYPERLINK("#"&amp;RIGHT(CELL("adresse",OFFSET(DMAV_Modell!$N$6,D266-1,0)),LEN(CELL("adresse",OFFSET(DMAV_Modell!$N$6,D266-1,0)))-FIND("]",CELL("adresse",OFFSET(DMAV_Modell!$N$6,D266-1,0)))),"Substructure"))</f>
        <v/>
      </c>
      <c r="R266" s="80"/>
      <c r="T266" s="93"/>
      <c r="U266" s="94"/>
      <c r="V266" s="95"/>
      <c r="W266" s="96"/>
      <c r="Y266" s="85"/>
      <c r="Z266" s="86"/>
      <c r="AA266" s="87"/>
      <c r="AB266" s="88"/>
      <c r="AD266" s="77"/>
      <c r="AF266" s="54" t="str" cm="1">
        <f t="array" aca="1" ref="AF266" ca="1">IF(H266=0,"",HYPERLINK("#"&amp;RIGHT(CELL("adresse",OFFSET('DM01-AV-CH'!$G$6,H266-1,0)),LEN(CELL("adresse",OFFSET('DM01-AV-CH'!$G$6,H266-1,0)))-FIND("]",CELL("adresse",OFFSET('DM01-AV-CH'!$G$6,H266-1,0)))),"Modell"))</f>
        <v/>
      </c>
      <c r="AG266" s="72" t="str" cm="1">
        <f t="array" ref="AG266">IF($H266=0,"",IF(INDEX('DM01-AV-CH'!G$6:G$834,$H266)="","",INDEX('DM01-AV-CH'!G$6:G$834,$H266)))</f>
        <v/>
      </c>
      <c r="AH266" s="73" t="str" cm="1">
        <f t="array" ref="AH266">IF($H266=0,"",IF(INDEX('DM01-AV-CH'!H$6:H$834,$H266)="","",INDEX('DM01-AV-CH'!H$6:H$834,$H266)))</f>
        <v/>
      </c>
      <c r="AI266" s="74" t="str" cm="1">
        <f t="array" ref="AI266">IF($H266=0,"",IF(INDEX('DM01-AV-CH'!I$6:I$834,$H266)="","",INDEX('DM01-AV-CH'!I$6:I$834,$H266)))</f>
        <v/>
      </c>
    </row>
    <row r="267" spans="1:35" x14ac:dyDescent="0.25">
      <c r="A267" s="57">
        <v>262</v>
      </c>
      <c r="B267" s="57">
        <f>IF($A267="","",IF(_xlfn.XLOOKUP($A267,Korrelation!$D$4:$D$1197,Korrelation!E$4:E$1197,"-",0)="-",0,MATCH(_xlfn.XLOOKUP($A267,Korrelation!$D$4:$D$1197,Korrelation!E$4:E$1197,"",0),DMAV_Modell!$G$6:$G$677,0)))</f>
        <v>65</v>
      </c>
      <c r="C267" s="57">
        <f>IF($A267="","",IF(_xlfn.XLOOKUP($A267,Korrelation!$D$4:$D$1197,Korrelation!F$4:F$1197,"-",0)="-",0,MATCH(_xlfn.XLOOKUP($A267,Korrelation!$D$4:$D$1197,Korrelation!F$4:F$1197,"",0),DMAV_Modell!$G$6:$G$677,0)))</f>
        <v>0</v>
      </c>
      <c r="D267" s="57">
        <f>IF($A267="","",IF(_xlfn.XLOOKUP($A267,Korrelation!$D$4:$D$1197,Korrelation!G$4:G$1197,"-",0)="-",0,MATCH(_xlfn.XLOOKUP($A267,Korrelation!$D$4:$D$1197,Korrelation!G$4:G$1197,"",0),DMAV_Modell!$G$6:$G$677,0)))</f>
        <v>0</v>
      </c>
      <c r="E267" s="57">
        <f>IF($A267="","",IF(_xlfn.XLOOKUP($A267,Korrelation!$D$4:$D$1197,Korrelation!H$4:H$1197,"-",0)="-",0,MATCH(_xlfn.XLOOKUP($A267,Korrelation!$D$4:$D$1197,Korrelation!H$4:H$1197,"",0),DMAV_Dienste!$F$6:$F$140,0)))</f>
        <v>0</v>
      </c>
      <c r="F267" s="57">
        <f>IF($A267="","",IF(_xlfn.XLOOKUP($A267,Korrelation!$D$4:$D$1197,Korrelation!I$4:I$1197,"-",0)="-",0,MATCH(_xlfn.XLOOKUP($A267,Korrelation!$D$4:$D$1197,Korrelation!I$4:I$1197,"",0),DMAV_Dienste!$F$6:$F$140,0)))</f>
        <v>0</v>
      </c>
      <c r="G267" s="57">
        <f>IF($A267="","",IF(_xlfn.XLOOKUP($A267,Korrelation!$D$4:$D$1197,Korrelation!J$4:J$1197,"-",0)="-",0,MATCH(_xlfn.XLOOKUP($A267,Korrelation!$D$4:$D$1197,Korrelation!J$4:J$1197,"",0),DMAV_Dienste!$F$6:$F$140,0)))</f>
        <v>0</v>
      </c>
      <c r="H267" s="57">
        <f>IF($A267="","",IF(_xlfn.XLOOKUP($A267,Korrelation!$D$4:$D$1197,Korrelation!K$4:K$1197,"-",0)="-",0,MATCH(_xlfn.XLOOKUP($A267,Korrelation!$D$4:$D$1197,Korrelation!K$4:K$1197,"",0),'DM01-AV-CH'!$A$6:$A$834,0)))</f>
        <v>0</v>
      </c>
      <c r="J267" s="54" t="str" cm="1">
        <f t="array" aca="1" ref="J267" ca="1">IF(B267=0,IF(E267=0,"",HYPERLINK("#"&amp;RIGHT(CELL("adresse",OFFSET(DMAV_Dienste!$M$6,E267-1,0)),LEN(CELL("adresse",OFFSET(DMAV_Dienste!$M$6,E267-1,0)))-FIND("]",CELL("adresse",OFFSET(DMAV_Dienste!$M$6,E267-1,0)))),"Dienst")),HYPERLINK("#"&amp;RIGHT(CELL("adresse",OFFSET(DMAV_Modell!$N$6,B267-1,0)),LEN(CELL("adresse",OFFSET(DMAV_Modell!$N$6,B267-1,0)))-FIND("]",CELL("adresse",OFFSET(DMAV_Modell!$N$6,B267-1,0)))),"Modell"))</f>
        <v>Modell</v>
      </c>
      <c r="K267" s="61" t="str" cm="1">
        <f t="array" ref="K267">IF($B267=0,IF($E267=0,"",IF(INDEX(DMAV_Dienste!P$6:P$140,$E267)="","",INDEX(DMAV_Dienste!P$6:P$140,$E267))),IF(INDEX(DMAV_Modell!Q$6:Q$838,$B267)="","",INDEX(DMAV_Modell!Q$6:Q$838,$B267)))</f>
        <v>IMPORTS</v>
      </c>
      <c r="L267" s="62" t="str" cm="1">
        <f t="array" ref="L267">IF($B267=0,IF($E267=0,"",IF(INDEX(DMAV_Dienste!O$6:O$140,$E267)="","",INDEX(DMAV_Dienste!O$6:O$140,$E267))),IF(INDEX(DMAV_Modell!P$6:P$838,$B267)="","",INDEX(DMAV_Modell!P$6:P$838,$B267)))</f>
        <v/>
      </c>
      <c r="M267" s="62" t="str" cm="1">
        <f t="array" ref="M267">IF($B267=0,IF($E267=0,"",IF(INDEX(DMAV_Dienste!Q$6:Q$140,$E267)="","",INDEX(DMAV_Dienste!Q$6:Q$140,$E267))),IF(INDEX(DMAV_Modell!R$6:R$838,$B267)="","",INDEX(DMAV_Modell!R$6:R$838,$B267)))</f>
        <v>DMAVTYM_Qualitaet_V1_0</v>
      </c>
      <c r="N267" s="62" t="str" cm="1">
        <f t="array" ref="N267">IF($B267=0,IF($E267=0,"",IF(INDEX(DMAV_Dienste!T$6:T$140,$E267)="","",INDEX(DMAV_Dienste!T$6:T$140,$E267))),IF(INDEX(DMAV_Modell!U$6:U$838,$B267)="","",INDEX(DMAV_Modell!U$6:U$838,$B267)))</f>
        <v/>
      </c>
      <c r="O267" s="63" t="str" cm="1">
        <f t="array" aca="1" ref="O267" ca="1">IF(C267=0,IF(F267=0,"",HYPERLINK("#"&amp;RIGHT(CELL("adresse",OFFSET(DMAV_Dienste!$M$6,F267-1,0)),LEN(CELL("adresse",OFFSET(DMAV_Dienste!$M$6,F267-1,0)))-FIND("]",CELL("adresse",OFFSET(DMAV_Dienste!$M$6,F267-1,0)))),"Structure")),HYPERLINK("#"&amp;RIGHT(CELL("adresse",OFFSET(DMAV_Modell!$N$6,C267-1,0)),LEN(CELL("adresse",OFFSET(DMAV_Modell!$N$6,C267-1,0)))-FIND("]",CELL("adresse",OFFSET(DMAV_Modell!$N$6,C267-1,0)))),"Structure"))</f>
        <v/>
      </c>
      <c r="P267" s="64" t="str" cm="1">
        <f t="array" aca="1" ref="P267" ca="1">IF(D267=0,IF(G267=0,"",HYPERLINK("#"&amp;RIGHT(CELL("adresse",OFFSET(DMAV_Dienste!$M$6,G267-1,0)),LEN(CELL("adresse",OFFSET(DMAV_Dienste!$M$6,G267-1,0)))-FIND("]",CELL("adresse",OFFSET(DMAV_Dienste!$M$6,G267-1,0)))),"Substructure")),HYPERLINK("#"&amp;RIGHT(CELL("adresse",OFFSET(DMAV_Modell!$N$6,D267-1,0)),LEN(CELL("adresse",OFFSET(DMAV_Modell!$N$6,D267-1,0)))-FIND("]",CELL("adresse",OFFSET(DMAV_Modell!$N$6,D267-1,0)))),"Substructure"))</f>
        <v/>
      </c>
      <c r="R267" s="80"/>
      <c r="T267" s="93"/>
      <c r="U267" s="94"/>
      <c r="V267" s="95"/>
      <c r="W267" s="96"/>
      <c r="Y267" s="85"/>
      <c r="Z267" s="86"/>
      <c r="AA267" s="87"/>
      <c r="AB267" s="88"/>
      <c r="AD267" s="77"/>
      <c r="AF267" s="54" t="str" cm="1">
        <f t="array" aca="1" ref="AF267" ca="1">IF(H267=0,"",HYPERLINK("#"&amp;RIGHT(CELL("adresse",OFFSET('DM01-AV-CH'!$G$6,H267-1,0)),LEN(CELL("adresse",OFFSET('DM01-AV-CH'!$G$6,H267-1,0)))-FIND("]",CELL("adresse",OFFSET('DM01-AV-CH'!$G$6,H267-1,0)))),"Modell"))</f>
        <v/>
      </c>
      <c r="AG267" s="72" t="str" cm="1">
        <f t="array" ref="AG267">IF($H267=0,"",IF(INDEX('DM01-AV-CH'!G$6:G$834,$H267)="","",INDEX('DM01-AV-CH'!G$6:G$834,$H267)))</f>
        <v/>
      </c>
      <c r="AH267" s="73" t="str" cm="1">
        <f t="array" ref="AH267">IF($H267=0,"",IF(INDEX('DM01-AV-CH'!H$6:H$834,$H267)="","",INDEX('DM01-AV-CH'!H$6:H$834,$H267)))</f>
        <v/>
      </c>
      <c r="AI267" s="74" t="str" cm="1">
        <f t="array" ref="AI267">IF($H267=0,"",IF(INDEX('DM01-AV-CH'!I$6:I$834,$H267)="","",INDEX('DM01-AV-CH'!I$6:I$834,$H267)))</f>
        <v/>
      </c>
    </row>
    <row r="268" spans="1:35" x14ac:dyDescent="0.25">
      <c r="A268" s="57">
        <v>263</v>
      </c>
      <c r="B268" s="57">
        <f>IF($A268="","",IF(_xlfn.XLOOKUP($A268,Korrelation!$D$4:$D$1197,Korrelation!E$4:E$1197,"-",0)="-",0,MATCH(_xlfn.XLOOKUP($A268,Korrelation!$D$4:$D$1197,Korrelation!E$4:E$1197,"",0),DMAV_Modell!$G$6:$G$677,0)))</f>
        <v>66</v>
      </c>
      <c r="C268" s="57">
        <f>IF($A268="","",IF(_xlfn.XLOOKUP($A268,Korrelation!$D$4:$D$1197,Korrelation!F$4:F$1197,"-",0)="-",0,MATCH(_xlfn.XLOOKUP($A268,Korrelation!$D$4:$D$1197,Korrelation!F$4:F$1197,"",0),DMAV_Modell!$G$6:$G$677,0)))</f>
        <v>0</v>
      </c>
      <c r="D268" s="57">
        <f>IF($A268="","",IF(_xlfn.XLOOKUP($A268,Korrelation!$D$4:$D$1197,Korrelation!G$4:G$1197,"-",0)="-",0,MATCH(_xlfn.XLOOKUP($A268,Korrelation!$D$4:$D$1197,Korrelation!G$4:G$1197,"",0),DMAV_Modell!$G$6:$G$677,0)))</f>
        <v>0</v>
      </c>
      <c r="E268" s="57">
        <f>IF($A268="","",IF(_xlfn.XLOOKUP($A268,Korrelation!$D$4:$D$1197,Korrelation!H$4:H$1197,"-",0)="-",0,MATCH(_xlfn.XLOOKUP($A268,Korrelation!$D$4:$D$1197,Korrelation!H$4:H$1197,"",0),DMAV_Dienste!$F$6:$F$140,0)))</f>
        <v>0</v>
      </c>
      <c r="F268" s="57">
        <f>IF($A268="","",IF(_xlfn.XLOOKUP($A268,Korrelation!$D$4:$D$1197,Korrelation!I$4:I$1197,"-",0)="-",0,MATCH(_xlfn.XLOOKUP($A268,Korrelation!$D$4:$D$1197,Korrelation!I$4:I$1197,"",0),DMAV_Dienste!$F$6:$F$140,0)))</f>
        <v>0</v>
      </c>
      <c r="G268" s="57">
        <f>IF($A268="","",IF(_xlfn.XLOOKUP($A268,Korrelation!$D$4:$D$1197,Korrelation!J$4:J$1197,"-",0)="-",0,MATCH(_xlfn.XLOOKUP($A268,Korrelation!$D$4:$D$1197,Korrelation!J$4:J$1197,"",0),DMAV_Dienste!$F$6:$F$140,0)))</f>
        <v>0</v>
      </c>
      <c r="H268" s="57">
        <f>IF($A268="","",IF(_xlfn.XLOOKUP($A268,Korrelation!$D$4:$D$1197,Korrelation!K$4:K$1197,"-",0)="-",0,MATCH(_xlfn.XLOOKUP($A268,Korrelation!$D$4:$D$1197,Korrelation!K$4:K$1197,"",0),'DM01-AV-CH'!$A$6:$A$834,0)))</f>
        <v>0</v>
      </c>
      <c r="J268" s="54" t="str" cm="1">
        <f t="array" aca="1" ref="J268" ca="1">IF(B268=0,IF(E268=0,"",HYPERLINK("#"&amp;RIGHT(CELL("adresse",OFFSET(DMAV_Dienste!$M$6,E268-1,0)),LEN(CELL("adresse",OFFSET(DMAV_Dienste!$M$6,E268-1,0)))-FIND("]",CELL("adresse",OFFSET(DMAV_Dienste!$M$6,E268-1,0)))),"Dienst")),HYPERLINK("#"&amp;RIGHT(CELL("adresse",OFFSET(DMAV_Modell!$N$6,B268-1,0)),LEN(CELL("adresse",OFFSET(DMAV_Modell!$N$6,B268-1,0)))-FIND("]",CELL("adresse",OFFSET(DMAV_Modell!$N$6,B268-1,0)))),"Modell"))</f>
        <v>Modell</v>
      </c>
      <c r="K268" s="61" t="str" cm="1">
        <f t="array" ref="K268">IF($B268=0,IF($E268=0,"",IF(INDEX(DMAV_Dienste!P$6:P$140,$E268)="","",INDEX(DMAV_Dienste!P$6:P$140,$E268))),IF(INDEX(DMAV_Modell!Q$6:Q$838,$B268)="","",INDEX(DMAV_Modell!Q$6:Q$838,$B268)))</f>
        <v>IMPORTS</v>
      </c>
      <c r="L268" s="62" t="str" cm="1">
        <f t="array" ref="L268">IF($B268=0,IF($E268=0,"",IF(INDEX(DMAV_Dienste!O$6:O$140,$E268)="","",INDEX(DMAV_Dienste!O$6:O$140,$E268))),IF(INDEX(DMAV_Modell!P$6:P$838,$B268)="","",INDEX(DMAV_Modell!P$6:P$838,$B268)))</f>
        <v/>
      </c>
      <c r="M268" s="62" t="str" cm="1">
        <f t="array" ref="M268">IF($B268=0,IF($E268=0,"",IF(INDEX(DMAV_Dienste!Q$6:Q$140,$E268)="","",INDEX(DMAV_Dienste!Q$6:Q$140,$E268))),IF(INDEX(DMAV_Modell!R$6:R$838,$B268)="","",INDEX(DMAV_Modell!R$6:R$838,$B268)))</f>
        <v>DMAVTYM_Grafik_V1_0</v>
      </c>
      <c r="N268" s="62" t="str" cm="1">
        <f t="array" ref="N268">IF($B268=0,IF($E268=0,"",IF(INDEX(DMAV_Dienste!T$6:T$140,$E268)="","",INDEX(DMAV_Dienste!T$6:T$140,$E268))),IF(INDEX(DMAV_Modell!U$6:U$838,$B268)="","",INDEX(DMAV_Modell!U$6:U$838,$B268)))</f>
        <v/>
      </c>
      <c r="O268" s="63" t="str" cm="1">
        <f t="array" aca="1" ref="O268" ca="1">IF(C268=0,IF(F268=0,"",HYPERLINK("#"&amp;RIGHT(CELL("adresse",OFFSET(DMAV_Dienste!$M$6,F268-1,0)),LEN(CELL("adresse",OFFSET(DMAV_Dienste!$M$6,F268-1,0)))-FIND("]",CELL("adresse",OFFSET(DMAV_Dienste!$M$6,F268-1,0)))),"Structure")),HYPERLINK("#"&amp;RIGHT(CELL("adresse",OFFSET(DMAV_Modell!$N$6,C268-1,0)),LEN(CELL("adresse",OFFSET(DMAV_Modell!$N$6,C268-1,0)))-FIND("]",CELL("adresse",OFFSET(DMAV_Modell!$N$6,C268-1,0)))),"Structure"))</f>
        <v/>
      </c>
      <c r="P268" s="64" t="str" cm="1">
        <f t="array" aca="1" ref="P268" ca="1">IF(D268=0,IF(G268=0,"",HYPERLINK("#"&amp;RIGHT(CELL("adresse",OFFSET(DMAV_Dienste!$M$6,G268-1,0)),LEN(CELL("adresse",OFFSET(DMAV_Dienste!$M$6,G268-1,0)))-FIND("]",CELL("adresse",OFFSET(DMAV_Dienste!$M$6,G268-1,0)))),"Substructure")),HYPERLINK("#"&amp;RIGHT(CELL("adresse",OFFSET(DMAV_Modell!$N$6,D268-1,0)),LEN(CELL("adresse",OFFSET(DMAV_Modell!$N$6,D268-1,0)))-FIND("]",CELL("adresse",OFFSET(DMAV_Modell!$N$6,D268-1,0)))),"Substructure"))</f>
        <v/>
      </c>
      <c r="R268" s="80"/>
      <c r="T268" s="93"/>
      <c r="U268" s="94"/>
      <c r="V268" s="95"/>
      <c r="W268" s="96"/>
      <c r="Y268" s="85"/>
      <c r="Z268" s="86"/>
      <c r="AA268" s="87"/>
      <c r="AB268" s="88"/>
      <c r="AD268" s="77"/>
      <c r="AF268" s="54" t="str" cm="1">
        <f t="array" aca="1" ref="AF268" ca="1">IF(H268=0,"",HYPERLINK("#"&amp;RIGHT(CELL("adresse",OFFSET('DM01-AV-CH'!$G$6,H268-1,0)),LEN(CELL("adresse",OFFSET('DM01-AV-CH'!$G$6,H268-1,0)))-FIND("]",CELL("adresse",OFFSET('DM01-AV-CH'!$G$6,H268-1,0)))),"Modell"))</f>
        <v/>
      </c>
      <c r="AG268" s="72" t="str" cm="1">
        <f t="array" ref="AG268">IF($H268=0,"",IF(INDEX('DM01-AV-CH'!G$6:G$834,$H268)="","",INDEX('DM01-AV-CH'!G$6:G$834,$H268)))</f>
        <v/>
      </c>
      <c r="AH268" s="73" t="str" cm="1">
        <f t="array" ref="AH268">IF($H268=0,"",IF(INDEX('DM01-AV-CH'!H$6:H$834,$H268)="","",INDEX('DM01-AV-CH'!H$6:H$834,$H268)))</f>
        <v/>
      </c>
      <c r="AI268" s="74" t="str" cm="1">
        <f t="array" ref="AI268">IF($H268=0,"",IF(INDEX('DM01-AV-CH'!I$6:I$834,$H268)="","",INDEX('DM01-AV-CH'!I$6:I$834,$H268)))</f>
        <v/>
      </c>
    </row>
    <row r="269" spans="1:35" x14ac:dyDescent="0.25">
      <c r="A269" s="57">
        <v>264</v>
      </c>
      <c r="B269" s="57">
        <f>IF($A269="","",IF(_xlfn.XLOOKUP($A269,Korrelation!$D$4:$D$1197,Korrelation!E$4:E$1197,"-",0)="-",0,MATCH(_xlfn.XLOOKUP($A269,Korrelation!$D$4:$D$1197,Korrelation!E$4:E$1197,"",0),DMAV_Modell!$G$6:$G$677,0)))</f>
        <v>67</v>
      </c>
      <c r="C269" s="57">
        <f>IF($A269="","",IF(_xlfn.XLOOKUP($A269,Korrelation!$D$4:$D$1197,Korrelation!F$4:F$1197,"-",0)="-",0,MATCH(_xlfn.XLOOKUP($A269,Korrelation!$D$4:$D$1197,Korrelation!F$4:F$1197,"",0),DMAV_Modell!$G$6:$G$677,0)))</f>
        <v>0</v>
      </c>
      <c r="D269" s="57">
        <f>IF($A269="","",IF(_xlfn.XLOOKUP($A269,Korrelation!$D$4:$D$1197,Korrelation!G$4:G$1197,"-",0)="-",0,MATCH(_xlfn.XLOOKUP($A269,Korrelation!$D$4:$D$1197,Korrelation!G$4:G$1197,"",0),DMAV_Modell!$G$6:$G$677,0)))</f>
        <v>0</v>
      </c>
      <c r="E269" s="57">
        <f>IF($A269="","",IF(_xlfn.XLOOKUP($A269,Korrelation!$D$4:$D$1197,Korrelation!H$4:H$1197,"-",0)="-",0,MATCH(_xlfn.XLOOKUP($A269,Korrelation!$D$4:$D$1197,Korrelation!H$4:H$1197,"",0),DMAV_Dienste!$F$6:$F$140,0)))</f>
        <v>0</v>
      </c>
      <c r="F269" s="57">
        <f>IF($A269="","",IF(_xlfn.XLOOKUP($A269,Korrelation!$D$4:$D$1197,Korrelation!I$4:I$1197,"-",0)="-",0,MATCH(_xlfn.XLOOKUP($A269,Korrelation!$D$4:$D$1197,Korrelation!I$4:I$1197,"",0),DMAV_Dienste!$F$6:$F$140,0)))</f>
        <v>0</v>
      </c>
      <c r="G269" s="57">
        <f>IF($A269="","",IF(_xlfn.XLOOKUP($A269,Korrelation!$D$4:$D$1197,Korrelation!J$4:J$1197,"-",0)="-",0,MATCH(_xlfn.XLOOKUP($A269,Korrelation!$D$4:$D$1197,Korrelation!J$4:J$1197,"",0),DMAV_Dienste!$F$6:$F$140,0)))</f>
        <v>0</v>
      </c>
      <c r="H269" s="57">
        <f>IF($A269="","",IF(_xlfn.XLOOKUP($A269,Korrelation!$D$4:$D$1197,Korrelation!K$4:K$1197,"-",0)="-",0,MATCH(_xlfn.XLOOKUP($A269,Korrelation!$D$4:$D$1197,Korrelation!K$4:K$1197,"",0),'DM01-AV-CH'!$A$6:$A$834,0)))</f>
        <v>0</v>
      </c>
      <c r="J269" s="54" t="str" cm="1">
        <f t="array" aca="1" ref="J269" ca="1">IF(B269=0,IF(E269=0,"",HYPERLINK("#"&amp;RIGHT(CELL("adresse",OFFSET(DMAV_Dienste!$M$6,E269-1,0)),LEN(CELL("adresse",OFFSET(DMAV_Dienste!$M$6,E269-1,0)))-FIND("]",CELL("adresse",OFFSET(DMAV_Dienste!$M$6,E269-1,0)))),"Dienst")),HYPERLINK("#"&amp;RIGHT(CELL("adresse",OFFSET(DMAV_Modell!$N$6,B269-1,0)),LEN(CELL("adresse",OFFSET(DMAV_Modell!$N$6,B269-1,0)))-FIND("]",CELL("adresse",OFFSET(DMAV_Modell!$N$6,B269-1,0)))),"Modell"))</f>
        <v>Modell</v>
      </c>
      <c r="K269" s="61" t="str" cm="1">
        <f t="array" ref="K269">IF($B269=0,IF($E269=0,"",IF(INDEX(DMAV_Dienste!P$6:P$140,$E269)="","",INDEX(DMAV_Dienste!P$6:P$140,$E269))),IF(INDEX(DMAV_Modell!Q$6:Q$838,$B269)="","",INDEX(DMAV_Modell!Q$6:Q$838,$B269)))</f>
        <v>DOMAIN</v>
      </c>
      <c r="L269" s="62" t="str" cm="1">
        <f t="array" ref="L269">IF($B269=0,IF($E269=0,"",IF(INDEX(DMAV_Dienste!O$6:O$140,$E269)="","",INDEX(DMAV_Dienste!O$6:O$140,$E269))),IF(INDEX(DMAV_Modell!P$6:P$838,$B269)="","",INDEX(DMAV_Modell!P$6:P$838,$B269)))</f>
        <v>FixpunkteAVKategorie3</v>
      </c>
      <c r="M269" s="62" t="str" cm="1">
        <f t="array" ref="M269">IF($B269=0,IF($E269=0,"",IF(INDEX(DMAV_Dienste!Q$6:Q$140,$E269)="","",INDEX(DMAV_Dienste!Q$6:Q$140,$E269))),IF(INDEX(DMAV_Modell!R$6:R$838,$B269)="","",INDEX(DMAV_Modell!R$6:R$838,$B269)))</f>
        <v>LFPArt</v>
      </c>
      <c r="N269" s="62" t="str" cm="1">
        <f t="array" ref="N269">IF($B269=0,IF($E269=0,"",IF(INDEX(DMAV_Dienste!T$6:T$140,$E269)="","",INDEX(DMAV_Dienste!T$6:T$140,$E269))),IF(INDEX(DMAV_Modell!U$6:U$838,$B269)="","",INDEX(DMAV_Modell!U$6:U$838,$B269)))</f>
        <v/>
      </c>
      <c r="O269" s="63" t="str" cm="1">
        <f t="array" aca="1" ref="O269" ca="1">IF(C269=0,IF(F269=0,"",HYPERLINK("#"&amp;RIGHT(CELL("adresse",OFFSET(DMAV_Dienste!$M$6,F269-1,0)),LEN(CELL("adresse",OFFSET(DMAV_Dienste!$M$6,F269-1,0)))-FIND("]",CELL("adresse",OFFSET(DMAV_Dienste!$M$6,F269-1,0)))),"Structure")),HYPERLINK("#"&amp;RIGHT(CELL("adresse",OFFSET(DMAV_Modell!$N$6,C269-1,0)),LEN(CELL("adresse",OFFSET(DMAV_Modell!$N$6,C269-1,0)))-FIND("]",CELL("adresse",OFFSET(DMAV_Modell!$N$6,C269-1,0)))),"Structure"))</f>
        <v/>
      </c>
      <c r="P269" s="64" t="str" cm="1">
        <f t="array" aca="1" ref="P269" ca="1">IF(D269=0,IF(G269=0,"",HYPERLINK("#"&amp;RIGHT(CELL("adresse",OFFSET(DMAV_Dienste!$M$6,G269-1,0)),LEN(CELL("adresse",OFFSET(DMAV_Dienste!$M$6,G269-1,0)))-FIND("]",CELL("adresse",OFFSET(DMAV_Dienste!$M$6,G269-1,0)))),"Substructure")),HYPERLINK("#"&amp;RIGHT(CELL("adresse",OFFSET(DMAV_Modell!$N$6,D269-1,0)),LEN(CELL("adresse",OFFSET(DMAV_Modell!$N$6,D269-1,0)))-FIND("]",CELL("adresse",OFFSET(DMAV_Modell!$N$6,D269-1,0)))),"Substructure"))</f>
        <v/>
      </c>
      <c r="R269" s="80"/>
      <c r="T269" s="93"/>
      <c r="U269" s="94"/>
      <c r="V269" s="95"/>
      <c r="W269" s="96"/>
      <c r="Y269" s="85"/>
      <c r="Z269" s="86"/>
      <c r="AA269" s="87"/>
      <c r="AB269" s="88"/>
      <c r="AD269" s="77"/>
      <c r="AF269" s="54" t="str" cm="1">
        <f t="array" aca="1" ref="AF269" ca="1">IF(H269=0,"",HYPERLINK("#"&amp;RIGHT(CELL("adresse",OFFSET('DM01-AV-CH'!$G$6,H269-1,0)),LEN(CELL("adresse",OFFSET('DM01-AV-CH'!$G$6,H269-1,0)))-FIND("]",CELL("adresse",OFFSET('DM01-AV-CH'!$G$6,H269-1,0)))),"Modell"))</f>
        <v/>
      </c>
      <c r="AG269" s="72" t="str" cm="1">
        <f t="array" ref="AG269">IF($H269=0,"",IF(INDEX('DM01-AV-CH'!G$6:G$834,$H269)="","",INDEX('DM01-AV-CH'!G$6:G$834,$H269)))</f>
        <v/>
      </c>
      <c r="AH269" s="73" t="str" cm="1">
        <f t="array" ref="AH269">IF($H269=0,"",IF(INDEX('DM01-AV-CH'!H$6:H$834,$H269)="","",INDEX('DM01-AV-CH'!H$6:H$834,$H269)))</f>
        <v/>
      </c>
      <c r="AI269" s="74" t="str" cm="1">
        <f t="array" ref="AI269">IF($H269=0,"",IF(INDEX('DM01-AV-CH'!I$6:I$834,$H269)="","",INDEX('DM01-AV-CH'!I$6:I$834,$H269)))</f>
        <v/>
      </c>
    </row>
    <row r="270" spans="1:35" x14ac:dyDescent="0.25">
      <c r="A270" s="57">
        <v>265</v>
      </c>
      <c r="B270" s="57">
        <f>IF($A270="","",IF(_xlfn.XLOOKUP($A270,Korrelation!$D$4:$D$1197,Korrelation!E$4:E$1197,"-",0)="-",0,MATCH(_xlfn.XLOOKUP($A270,Korrelation!$D$4:$D$1197,Korrelation!E$4:E$1197,"",0),DMAV_Modell!$G$6:$G$677,0)))</f>
        <v>68</v>
      </c>
      <c r="C270" s="57">
        <f>IF($A270="","",IF(_xlfn.XLOOKUP($A270,Korrelation!$D$4:$D$1197,Korrelation!F$4:F$1197,"-",0)="-",0,MATCH(_xlfn.XLOOKUP($A270,Korrelation!$D$4:$D$1197,Korrelation!F$4:F$1197,"",0),DMAV_Modell!$G$6:$G$677,0)))</f>
        <v>0</v>
      </c>
      <c r="D270" s="57">
        <f>IF($A270="","",IF(_xlfn.XLOOKUP($A270,Korrelation!$D$4:$D$1197,Korrelation!G$4:G$1197,"-",0)="-",0,MATCH(_xlfn.XLOOKUP($A270,Korrelation!$D$4:$D$1197,Korrelation!G$4:G$1197,"",0),DMAV_Modell!$G$6:$G$677,0)))</f>
        <v>0</v>
      </c>
      <c r="E270" s="57">
        <f>IF($A270="","",IF(_xlfn.XLOOKUP($A270,Korrelation!$D$4:$D$1197,Korrelation!H$4:H$1197,"-",0)="-",0,MATCH(_xlfn.XLOOKUP($A270,Korrelation!$D$4:$D$1197,Korrelation!H$4:H$1197,"",0),DMAV_Dienste!$F$6:$F$140,0)))</f>
        <v>0</v>
      </c>
      <c r="F270" s="57">
        <f>IF($A270="","",IF(_xlfn.XLOOKUP($A270,Korrelation!$D$4:$D$1197,Korrelation!I$4:I$1197,"-",0)="-",0,MATCH(_xlfn.XLOOKUP($A270,Korrelation!$D$4:$D$1197,Korrelation!I$4:I$1197,"",0),DMAV_Dienste!$F$6:$F$140,0)))</f>
        <v>0</v>
      </c>
      <c r="G270" s="57">
        <f>IF($A270="","",IF(_xlfn.XLOOKUP($A270,Korrelation!$D$4:$D$1197,Korrelation!J$4:J$1197,"-",0)="-",0,MATCH(_xlfn.XLOOKUP($A270,Korrelation!$D$4:$D$1197,Korrelation!J$4:J$1197,"",0),DMAV_Dienste!$F$6:$F$140,0)))</f>
        <v>0</v>
      </c>
      <c r="H270" s="57">
        <f>IF($A270="","",IF(_xlfn.XLOOKUP($A270,Korrelation!$D$4:$D$1197,Korrelation!K$4:K$1197,"-",0)="-",0,MATCH(_xlfn.XLOOKUP($A270,Korrelation!$D$4:$D$1197,Korrelation!K$4:K$1197,"",0),'DM01-AV-CH'!$A$6:$A$834,0)))</f>
        <v>0</v>
      </c>
      <c r="J270" s="54" t="str" cm="1">
        <f t="array" aca="1" ref="J270" ca="1">IF(B270=0,IF(E270=0,"",HYPERLINK("#"&amp;RIGHT(CELL("adresse",OFFSET(DMAV_Dienste!$M$6,E270-1,0)),LEN(CELL("adresse",OFFSET(DMAV_Dienste!$M$6,E270-1,0)))-FIND("]",CELL("adresse",OFFSET(DMAV_Dienste!$M$6,E270-1,0)))),"Dienst")),HYPERLINK("#"&amp;RIGHT(CELL("adresse",OFFSET(DMAV_Modell!$N$6,B270-1,0)),LEN(CELL("adresse",OFFSET(DMAV_Modell!$N$6,B270-1,0)))-FIND("]",CELL("adresse",OFFSET(DMAV_Modell!$N$6,B270-1,0)))),"Modell"))</f>
        <v>Modell</v>
      </c>
      <c r="K270" s="61" t="str" cm="1">
        <f t="array" ref="K270">IF($B270=0,IF($E270=0,"",IF(INDEX(DMAV_Dienste!P$6:P$140,$E270)="","",INDEX(DMAV_Dienste!P$6:P$140,$E270))),IF(INDEX(DMAV_Modell!Q$6:Q$838,$B270)="","",INDEX(DMAV_Modell!Q$6:Q$838,$B270)))</f>
        <v>DOMAIN</v>
      </c>
      <c r="L270" s="62" t="str" cm="1">
        <f t="array" ref="L270">IF($B270=0,IF($E270=0,"",IF(INDEX(DMAV_Dienste!O$6:O$140,$E270)="","",INDEX(DMAV_Dienste!O$6:O$140,$E270))),IF(INDEX(DMAV_Modell!P$6:P$838,$B270)="","",INDEX(DMAV_Modell!P$6:P$838,$B270)))</f>
        <v>FixpunkteAVKategorie3</v>
      </c>
      <c r="M270" s="62" t="str" cm="1">
        <f t="array" ref="M270">IF($B270=0,IF($E270=0,"",IF(INDEX(DMAV_Dienste!Q$6:Q$140,$E270)="","",INDEX(DMAV_Dienste!Q$6:Q$140,$E270))),IF(INDEX(DMAV_Modell!R$6:R$838,$B270)="","",INDEX(DMAV_Modell!R$6:R$838,$B270)))</f>
        <v>LFPArt</v>
      </c>
      <c r="N270" s="62" t="str" cm="1">
        <f t="array" ref="N270">IF($B270=0,IF($E270=0,"",IF(INDEX(DMAV_Dienste!T$6:T$140,$E270)="","",INDEX(DMAV_Dienste!T$6:T$140,$E270))),IF(INDEX(DMAV_Modell!U$6:U$838,$B270)="","",INDEX(DMAV_Modell!U$6:U$838,$B270)))</f>
        <v/>
      </c>
      <c r="O270" s="63" t="str" cm="1">
        <f t="array" aca="1" ref="O270" ca="1">IF(C270=0,IF(F270=0,"",HYPERLINK("#"&amp;RIGHT(CELL("adresse",OFFSET(DMAV_Dienste!$M$6,F270-1,0)),LEN(CELL("adresse",OFFSET(DMAV_Dienste!$M$6,F270-1,0)))-FIND("]",CELL("adresse",OFFSET(DMAV_Dienste!$M$6,F270-1,0)))),"Structure")),HYPERLINK("#"&amp;RIGHT(CELL("adresse",OFFSET(DMAV_Modell!$N$6,C270-1,0)),LEN(CELL("adresse",OFFSET(DMAV_Modell!$N$6,C270-1,0)))-FIND("]",CELL("adresse",OFFSET(DMAV_Modell!$N$6,C270-1,0)))),"Structure"))</f>
        <v/>
      </c>
      <c r="P270" s="64" t="str" cm="1">
        <f t="array" aca="1" ref="P270" ca="1">IF(D270=0,IF(G270=0,"",HYPERLINK("#"&amp;RIGHT(CELL("adresse",OFFSET(DMAV_Dienste!$M$6,G270-1,0)),LEN(CELL("adresse",OFFSET(DMAV_Dienste!$M$6,G270-1,0)))-FIND("]",CELL("adresse",OFFSET(DMAV_Dienste!$M$6,G270-1,0)))),"Substructure")),HYPERLINK("#"&amp;RIGHT(CELL("adresse",OFFSET(DMAV_Modell!$N$6,D270-1,0)),LEN(CELL("adresse",OFFSET(DMAV_Modell!$N$6,D270-1,0)))-FIND("]",CELL("adresse",OFFSET(DMAV_Modell!$N$6,D270-1,0)))),"Substructure"))</f>
        <v/>
      </c>
      <c r="R270" s="80"/>
      <c r="T270" s="93"/>
      <c r="U270" s="94"/>
      <c r="V270" s="95"/>
      <c r="W270" s="96"/>
      <c r="Y270" s="85"/>
      <c r="Z270" s="86"/>
      <c r="AA270" s="87"/>
      <c r="AB270" s="88"/>
      <c r="AD270" s="77"/>
      <c r="AF270" s="54" t="str" cm="1">
        <f t="array" aca="1" ref="AF270" ca="1">IF(H270=0,"",HYPERLINK("#"&amp;RIGHT(CELL("adresse",OFFSET('DM01-AV-CH'!$G$6,H270-1,0)),LEN(CELL("adresse",OFFSET('DM01-AV-CH'!$G$6,H270-1,0)))-FIND("]",CELL("adresse",OFFSET('DM01-AV-CH'!$G$6,H270-1,0)))),"Modell"))</f>
        <v/>
      </c>
      <c r="AG270" s="72" t="str" cm="1">
        <f t="array" ref="AG270">IF($H270=0,"",IF(INDEX('DM01-AV-CH'!G$6:G$834,$H270)="","",INDEX('DM01-AV-CH'!G$6:G$834,$H270)))</f>
        <v/>
      </c>
      <c r="AH270" s="73" t="str" cm="1">
        <f t="array" ref="AH270">IF($H270=0,"",IF(INDEX('DM01-AV-CH'!H$6:H$834,$H270)="","",INDEX('DM01-AV-CH'!H$6:H$834,$H270)))</f>
        <v/>
      </c>
      <c r="AI270" s="74" t="str" cm="1">
        <f t="array" ref="AI270">IF($H270=0,"",IF(INDEX('DM01-AV-CH'!I$6:I$834,$H270)="","",INDEX('DM01-AV-CH'!I$6:I$834,$H270)))</f>
        <v/>
      </c>
    </row>
    <row r="271" spans="1:35" x14ac:dyDescent="0.25">
      <c r="A271" s="57">
        <v>266</v>
      </c>
      <c r="B271" s="57">
        <f>IF($A271="","",IF(_xlfn.XLOOKUP($A271,Korrelation!$D$4:$D$1197,Korrelation!E$4:E$1197,"-",0)="-",0,MATCH(_xlfn.XLOOKUP($A271,Korrelation!$D$4:$D$1197,Korrelation!E$4:E$1197,"",0),DMAV_Modell!$G$6:$G$677,0)))</f>
        <v>69</v>
      </c>
      <c r="C271" s="57">
        <f>IF($A271="","",IF(_xlfn.XLOOKUP($A271,Korrelation!$D$4:$D$1197,Korrelation!F$4:F$1197,"-",0)="-",0,MATCH(_xlfn.XLOOKUP($A271,Korrelation!$D$4:$D$1197,Korrelation!F$4:F$1197,"",0),DMAV_Modell!$G$6:$G$677,0)))</f>
        <v>0</v>
      </c>
      <c r="D271" s="57">
        <f>IF($A271="","",IF(_xlfn.XLOOKUP($A271,Korrelation!$D$4:$D$1197,Korrelation!G$4:G$1197,"-",0)="-",0,MATCH(_xlfn.XLOOKUP($A271,Korrelation!$D$4:$D$1197,Korrelation!G$4:G$1197,"",0),DMAV_Modell!$G$6:$G$677,0)))</f>
        <v>0</v>
      </c>
      <c r="E271" s="57">
        <f>IF($A271="","",IF(_xlfn.XLOOKUP($A271,Korrelation!$D$4:$D$1197,Korrelation!H$4:H$1197,"-",0)="-",0,MATCH(_xlfn.XLOOKUP($A271,Korrelation!$D$4:$D$1197,Korrelation!H$4:H$1197,"",0),DMAV_Dienste!$F$6:$F$140,0)))</f>
        <v>0</v>
      </c>
      <c r="F271" s="57">
        <f>IF($A271="","",IF(_xlfn.XLOOKUP($A271,Korrelation!$D$4:$D$1197,Korrelation!I$4:I$1197,"-",0)="-",0,MATCH(_xlfn.XLOOKUP($A271,Korrelation!$D$4:$D$1197,Korrelation!I$4:I$1197,"",0),DMAV_Dienste!$F$6:$F$140,0)))</f>
        <v>0</v>
      </c>
      <c r="G271" s="57">
        <f>IF($A271="","",IF(_xlfn.XLOOKUP($A271,Korrelation!$D$4:$D$1197,Korrelation!J$4:J$1197,"-",0)="-",0,MATCH(_xlfn.XLOOKUP($A271,Korrelation!$D$4:$D$1197,Korrelation!J$4:J$1197,"",0),DMAV_Dienste!$F$6:$F$140,0)))</f>
        <v>0</v>
      </c>
      <c r="H271" s="57">
        <f>IF($A271="","",IF(_xlfn.XLOOKUP($A271,Korrelation!$D$4:$D$1197,Korrelation!K$4:K$1197,"-",0)="-",0,MATCH(_xlfn.XLOOKUP($A271,Korrelation!$D$4:$D$1197,Korrelation!K$4:K$1197,"",0),'DM01-AV-CH'!$A$6:$A$834,0)))</f>
        <v>0</v>
      </c>
      <c r="J271" s="54" t="str" cm="1">
        <f t="array" aca="1" ref="J271" ca="1">IF(B271=0,IF(E271=0,"",HYPERLINK("#"&amp;RIGHT(CELL("adresse",OFFSET(DMAV_Dienste!$M$6,E271-1,0)),LEN(CELL("adresse",OFFSET(DMAV_Dienste!$M$6,E271-1,0)))-FIND("]",CELL("adresse",OFFSET(DMAV_Dienste!$M$6,E271-1,0)))),"Dienst")),HYPERLINK("#"&amp;RIGHT(CELL("adresse",OFFSET(DMAV_Modell!$N$6,B271-1,0)),LEN(CELL("adresse",OFFSET(DMAV_Modell!$N$6,B271-1,0)))-FIND("]",CELL("adresse",OFFSET(DMAV_Modell!$N$6,B271-1,0)))),"Modell"))</f>
        <v>Modell</v>
      </c>
      <c r="K271" s="61" t="str" cm="1">
        <f t="array" ref="K271">IF($B271=0,IF($E271=0,"",IF(INDEX(DMAV_Dienste!P$6:P$140,$E271)="","",INDEX(DMAV_Dienste!P$6:P$140,$E271))),IF(INDEX(DMAV_Modell!Q$6:Q$838,$B271)="","",INDEX(DMAV_Modell!Q$6:Q$838,$B271)))</f>
        <v>DOMAIN</v>
      </c>
      <c r="L271" s="62" t="str" cm="1">
        <f t="array" ref="L271">IF($B271=0,IF($E271=0,"",IF(INDEX(DMAV_Dienste!O$6:O$140,$E271)="","",INDEX(DMAV_Dienste!O$6:O$140,$E271))),IF(INDEX(DMAV_Modell!P$6:P$838,$B271)="","",INDEX(DMAV_Modell!P$6:P$838,$B271)))</f>
        <v>FixpunkteAVKategorie3</v>
      </c>
      <c r="M271" s="62" t="str" cm="1">
        <f t="array" ref="M271">IF($B271=0,IF($E271=0,"",IF(INDEX(DMAV_Dienste!Q$6:Q$140,$E271)="","",INDEX(DMAV_Dienste!Q$6:Q$140,$E271))),IF(INDEX(DMAV_Modell!R$6:R$838,$B271)="","",INDEX(DMAV_Modell!R$6:R$838,$B271)))</f>
        <v>Schutzart</v>
      </c>
      <c r="N271" s="62" t="str" cm="1">
        <f t="array" ref="N271">IF($B271=0,IF($E271=0,"",IF(INDEX(DMAV_Dienste!T$6:T$140,$E271)="","",INDEX(DMAV_Dienste!T$6:T$140,$E271))),IF(INDEX(DMAV_Modell!U$6:U$838,$B271)="","",INDEX(DMAV_Modell!U$6:U$838,$B271)))</f>
        <v/>
      </c>
      <c r="O271" s="63" t="str" cm="1">
        <f t="array" aca="1" ref="O271" ca="1">IF(C271=0,IF(F271=0,"",HYPERLINK("#"&amp;RIGHT(CELL("adresse",OFFSET(DMAV_Dienste!$M$6,F271-1,0)),LEN(CELL("adresse",OFFSET(DMAV_Dienste!$M$6,F271-1,0)))-FIND("]",CELL("adresse",OFFSET(DMAV_Dienste!$M$6,F271-1,0)))),"Structure")),HYPERLINK("#"&amp;RIGHT(CELL("adresse",OFFSET(DMAV_Modell!$N$6,C271-1,0)),LEN(CELL("adresse",OFFSET(DMAV_Modell!$N$6,C271-1,0)))-FIND("]",CELL("adresse",OFFSET(DMAV_Modell!$N$6,C271-1,0)))),"Structure"))</f>
        <v/>
      </c>
      <c r="P271" s="64" t="str" cm="1">
        <f t="array" aca="1" ref="P271" ca="1">IF(D271=0,IF(G271=0,"",HYPERLINK("#"&amp;RIGHT(CELL("adresse",OFFSET(DMAV_Dienste!$M$6,G271-1,0)),LEN(CELL("adresse",OFFSET(DMAV_Dienste!$M$6,G271-1,0)))-FIND("]",CELL("adresse",OFFSET(DMAV_Dienste!$M$6,G271-1,0)))),"Substructure")),HYPERLINK("#"&amp;RIGHT(CELL("adresse",OFFSET(DMAV_Modell!$N$6,D271-1,0)),LEN(CELL("adresse",OFFSET(DMAV_Modell!$N$6,D271-1,0)))-FIND("]",CELL("adresse",OFFSET(DMAV_Modell!$N$6,D271-1,0)))),"Substructure"))</f>
        <v/>
      </c>
      <c r="R271" s="80"/>
      <c r="T271" s="93"/>
      <c r="U271" s="94"/>
      <c r="V271" s="95"/>
      <c r="W271" s="96"/>
      <c r="Y271" s="85"/>
      <c r="Z271" s="86"/>
      <c r="AA271" s="87"/>
      <c r="AB271" s="88"/>
      <c r="AD271" s="77"/>
      <c r="AF271" s="54" t="str" cm="1">
        <f t="array" aca="1" ref="AF271" ca="1">IF(H271=0,"",HYPERLINK("#"&amp;RIGHT(CELL("adresse",OFFSET('DM01-AV-CH'!$G$6,H271-1,0)),LEN(CELL("adresse",OFFSET('DM01-AV-CH'!$G$6,H271-1,0)))-FIND("]",CELL("adresse",OFFSET('DM01-AV-CH'!$G$6,H271-1,0)))),"Modell"))</f>
        <v/>
      </c>
      <c r="AG271" s="72" t="str" cm="1">
        <f t="array" ref="AG271">IF($H271=0,"",IF(INDEX('DM01-AV-CH'!G$6:G$834,$H271)="","",INDEX('DM01-AV-CH'!G$6:G$834,$H271)))</f>
        <v/>
      </c>
      <c r="AH271" s="73" t="str" cm="1">
        <f t="array" ref="AH271">IF($H271=0,"",IF(INDEX('DM01-AV-CH'!H$6:H$834,$H271)="","",INDEX('DM01-AV-CH'!H$6:H$834,$H271)))</f>
        <v/>
      </c>
      <c r="AI271" s="74" t="str" cm="1">
        <f t="array" ref="AI271">IF($H271=0,"",IF(INDEX('DM01-AV-CH'!I$6:I$834,$H271)="","",INDEX('DM01-AV-CH'!I$6:I$834,$H271)))</f>
        <v/>
      </c>
    </row>
    <row r="272" spans="1:35" x14ac:dyDescent="0.25">
      <c r="A272" s="57">
        <v>267</v>
      </c>
      <c r="B272" s="57">
        <f>IF($A272="","",IF(_xlfn.XLOOKUP($A272,Korrelation!$D$4:$D$1197,Korrelation!E$4:E$1197,"-",0)="-",0,MATCH(_xlfn.XLOOKUP($A272,Korrelation!$D$4:$D$1197,Korrelation!E$4:E$1197,"",0),DMAV_Modell!$G$6:$G$677,0)))</f>
        <v>70</v>
      </c>
      <c r="C272" s="57">
        <f>IF($A272="","",IF(_xlfn.XLOOKUP($A272,Korrelation!$D$4:$D$1197,Korrelation!F$4:F$1197,"-",0)="-",0,MATCH(_xlfn.XLOOKUP($A272,Korrelation!$D$4:$D$1197,Korrelation!F$4:F$1197,"",0),DMAV_Modell!$G$6:$G$677,0)))</f>
        <v>0</v>
      </c>
      <c r="D272" s="57">
        <f>IF($A272="","",IF(_xlfn.XLOOKUP($A272,Korrelation!$D$4:$D$1197,Korrelation!G$4:G$1197,"-",0)="-",0,MATCH(_xlfn.XLOOKUP($A272,Korrelation!$D$4:$D$1197,Korrelation!G$4:G$1197,"",0),DMAV_Modell!$G$6:$G$677,0)))</f>
        <v>0</v>
      </c>
      <c r="E272" s="57">
        <f>IF($A272="","",IF(_xlfn.XLOOKUP($A272,Korrelation!$D$4:$D$1197,Korrelation!H$4:H$1197,"-",0)="-",0,MATCH(_xlfn.XLOOKUP($A272,Korrelation!$D$4:$D$1197,Korrelation!H$4:H$1197,"",0),DMAV_Dienste!$F$6:$F$140,0)))</f>
        <v>0</v>
      </c>
      <c r="F272" s="57">
        <f>IF($A272="","",IF(_xlfn.XLOOKUP($A272,Korrelation!$D$4:$D$1197,Korrelation!I$4:I$1197,"-",0)="-",0,MATCH(_xlfn.XLOOKUP($A272,Korrelation!$D$4:$D$1197,Korrelation!I$4:I$1197,"",0),DMAV_Dienste!$F$6:$F$140,0)))</f>
        <v>0</v>
      </c>
      <c r="G272" s="57">
        <f>IF($A272="","",IF(_xlfn.XLOOKUP($A272,Korrelation!$D$4:$D$1197,Korrelation!J$4:J$1197,"-",0)="-",0,MATCH(_xlfn.XLOOKUP($A272,Korrelation!$D$4:$D$1197,Korrelation!J$4:J$1197,"",0),DMAV_Dienste!$F$6:$F$140,0)))</f>
        <v>0</v>
      </c>
      <c r="H272" s="57">
        <f>IF($A272="","",IF(_xlfn.XLOOKUP($A272,Korrelation!$D$4:$D$1197,Korrelation!K$4:K$1197,"-",0)="-",0,MATCH(_xlfn.XLOOKUP($A272,Korrelation!$D$4:$D$1197,Korrelation!K$4:K$1197,"",0),'DM01-AV-CH'!$A$6:$A$834,0)))</f>
        <v>0</v>
      </c>
      <c r="J272" s="54" t="str" cm="1">
        <f t="array" aca="1" ref="J272" ca="1">IF(B272=0,IF(E272=0,"",HYPERLINK("#"&amp;RIGHT(CELL("adresse",OFFSET(DMAV_Dienste!$M$6,E272-1,0)),LEN(CELL("adresse",OFFSET(DMAV_Dienste!$M$6,E272-1,0)))-FIND("]",CELL("adresse",OFFSET(DMAV_Dienste!$M$6,E272-1,0)))),"Dienst")),HYPERLINK("#"&amp;RIGHT(CELL("adresse",OFFSET(DMAV_Modell!$N$6,B272-1,0)),LEN(CELL("adresse",OFFSET(DMAV_Modell!$N$6,B272-1,0)))-FIND("]",CELL("adresse",OFFSET(DMAV_Modell!$N$6,B272-1,0)))),"Modell"))</f>
        <v>Modell</v>
      </c>
      <c r="K272" s="61" t="str" cm="1">
        <f t="array" ref="K272">IF($B272=0,IF($E272=0,"",IF(INDEX(DMAV_Dienste!P$6:P$140,$E272)="","",INDEX(DMAV_Dienste!P$6:P$140,$E272))),IF(INDEX(DMAV_Modell!Q$6:Q$838,$B272)="","",INDEX(DMAV_Modell!Q$6:Q$838,$B272)))</f>
        <v>DOMAIN</v>
      </c>
      <c r="L272" s="62" t="str" cm="1">
        <f t="array" ref="L272">IF($B272=0,IF($E272=0,"",IF(INDEX(DMAV_Dienste!O$6:O$140,$E272)="","",INDEX(DMAV_Dienste!O$6:O$140,$E272))),IF(INDEX(DMAV_Modell!P$6:P$838,$B272)="","",INDEX(DMAV_Modell!P$6:P$838,$B272)))</f>
        <v>FixpunkteAVKategorie3</v>
      </c>
      <c r="M272" s="62" t="str" cm="1">
        <f t="array" ref="M272">IF($B272=0,IF($E272=0,"",IF(INDEX(DMAV_Dienste!Q$6:Q$140,$E272)="","",INDEX(DMAV_Dienste!Q$6:Q$140,$E272))),IF(INDEX(DMAV_Modell!R$6:R$838,$B272)="","",INDEX(DMAV_Modell!R$6:R$838,$B272)))</f>
        <v>Schutzart</v>
      </c>
      <c r="N272" s="62" t="str" cm="1">
        <f t="array" ref="N272">IF($B272=0,IF($E272=0,"",IF(INDEX(DMAV_Dienste!T$6:T$140,$E272)="","",INDEX(DMAV_Dienste!T$6:T$140,$E272))),IF(INDEX(DMAV_Modell!U$6:U$838,$B272)="","",INDEX(DMAV_Modell!U$6:U$838,$B272)))</f>
        <v/>
      </c>
      <c r="O272" s="63" t="str" cm="1">
        <f t="array" aca="1" ref="O272" ca="1">IF(C272=0,IF(F272=0,"",HYPERLINK("#"&amp;RIGHT(CELL("adresse",OFFSET(DMAV_Dienste!$M$6,F272-1,0)),LEN(CELL("adresse",OFFSET(DMAV_Dienste!$M$6,F272-1,0)))-FIND("]",CELL("adresse",OFFSET(DMAV_Dienste!$M$6,F272-1,0)))),"Structure")),HYPERLINK("#"&amp;RIGHT(CELL("adresse",OFFSET(DMAV_Modell!$N$6,C272-1,0)),LEN(CELL("adresse",OFFSET(DMAV_Modell!$N$6,C272-1,0)))-FIND("]",CELL("adresse",OFFSET(DMAV_Modell!$N$6,C272-1,0)))),"Structure"))</f>
        <v/>
      </c>
      <c r="P272" s="64" t="str" cm="1">
        <f t="array" aca="1" ref="P272" ca="1">IF(D272=0,IF(G272=0,"",HYPERLINK("#"&amp;RIGHT(CELL("adresse",OFFSET(DMAV_Dienste!$M$6,G272-1,0)),LEN(CELL("adresse",OFFSET(DMAV_Dienste!$M$6,G272-1,0)))-FIND("]",CELL("adresse",OFFSET(DMAV_Dienste!$M$6,G272-1,0)))),"Substructure")),HYPERLINK("#"&amp;RIGHT(CELL("adresse",OFFSET(DMAV_Modell!$N$6,D272-1,0)),LEN(CELL("adresse",OFFSET(DMAV_Modell!$N$6,D272-1,0)))-FIND("]",CELL("adresse",OFFSET(DMAV_Modell!$N$6,D272-1,0)))),"Substructure"))</f>
        <v/>
      </c>
      <c r="R272" s="80"/>
      <c r="T272" s="93"/>
      <c r="U272" s="94"/>
      <c r="V272" s="95"/>
      <c r="W272" s="96"/>
      <c r="Y272" s="85"/>
      <c r="Z272" s="86"/>
      <c r="AA272" s="87"/>
      <c r="AB272" s="88"/>
      <c r="AD272" s="77"/>
      <c r="AF272" s="54" t="str" cm="1">
        <f t="array" aca="1" ref="AF272" ca="1">IF(H272=0,"",HYPERLINK("#"&amp;RIGHT(CELL("adresse",OFFSET('DM01-AV-CH'!$G$6,H272-1,0)),LEN(CELL("adresse",OFFSET('DM01-AV-CH'!$G$6,H272-1,0)))-FIND("]",CELL("adresse",OFFSET('DM01-AV-CH'!$G$6,H272-1,0)))),"Modell"))</f>
        <v/>
      </c>
      <c r="AG272" s="72" t="str" cm="1">
        <f t="array" ref="AG272">IF($H272=0,"",IF(INDEX('DM01-AV-CH'!G$6:G$834,$H272)="","",INDEX('DM01-AV-CH'!G$6:G$834,$H272)))</f>
        <v/>
      </c>
      <c r="AH272" s="73" t="str" cm="1">
        <f t="array" ref="AH272">IF($H272=0,"",IF(INDEX('DM01-AV-CH'!H$6:H$834,$H272)="","",INDEX('DM01-AV-CH'!H$6:H$834,$H272)))</f>
        <v/>
      </c>
      <c r="AI272" s="74" t="str" cm="1">
        <f t="array" ref="AI272">IF($H272=0,"",IF(INDEX('DM01-AV-CH'!I$6:I$834,$H272)="","",INDEX('DM01-AV-CH'!I$6:I$834,$H272)))</f>
        <v/>
      </c>
    </row>
    <row r="273" spans="1:35" x14ac:dyDescent="0.25">
      <c r="A273" s="57">
        <v>268</v>
      </c>
      <c r="B273" s="57">
        <f>IF($A273="","",IF(_xlfn.XLOOKUP($A273,Korrelation!$D$4:$D$1197,Korrelation!E$4:E$1197,"-",0)="-",0,MATCH(_xlfn.XLOOKUP($A273,Korrelation!$D$4:$D$1197,Korrelation!E$4:E$1197,"",0),DMAV_Modell!$G$6:$G$677,0)))</f>
        <v>71</v>
      </c>
      <c r="C273" s="57">
        <f>IF($A273="","",IF(_xlfn.XLOOKUP($A273,Korrelation!$D$4:$D$1197,Korrelation!F$4:F$1197,"-",0)="-",0,MATCH(_xlfn.XLOOKUP($A273,Korrelation!$D$4:$D$1197,Korrelation!F$4:F$1197,"",0),DMAV_Modell!$G$6:$G$677,0)))</f>
        <v>0</v>
      </c>
      <c r="D273" s="57">
        <f>IF($A273="","",IF(_xlfn.XLOOKUP($A273,Korrelation!$D$4:$D$1197,Korrelation!G$4:G$1197,"-",0)="-",0,MATCH(_xlfn.XLOOKUP($A273,Korrelation!$D$4:$D$1197,Korrelation!G$4:G$1197,"",0),DMAV_Modell!$G$6:$G$677,0)))</f>
        <v>0</v>
      </c>
      <c r="E273" s="57">
        <f>IF($A273="","",IF(_xlfn.XLOOKUP($A273,Korrelation!$D$4:$D$1197,Korrelation!H$4:H$1197,"-",0)="-",0,MATCH(_xlfn.XLOOKUP($A273,Korrelation!$D$4:$D$1197,Korrelation!H$4:H$1197,"",0),DMAV_Dienste!$F$6:$F$140,0)))</f>
        <v>0</v>
      </c>
      <c r="F273" s="57">
        <f>IF($A273="","",IF(_xlfn.XLOOKUP($A273,Korrelation!$D$4:$D$1197,Korrelation!I$4:I$1197,"-",0)="-",0,MATCH(_xlfn.XLOOKUP($A273,Korrelation!$D$4:$D$1197,Korrelation!I$4:I$1197,"",0),DMAV_Dienste!$F$6:$F$140,0)))</f>
        <v>0</v>
      </c>
      <c r="G273" s="57">
        <f>IF($A273="","",IF(_xlfn.XLOOKUP($A273,Korrelation!$D$4:$D$1197,Korrelation!J$4:J$1197,"-",0)="-",0,MATCH(_xlfn.XLOOKUP($A273,Korrelation!$D$4:$D$1197,Korrelation!J$4:J$1197,"",0),DMAV_Dienste!$F$6:$F$140,0)))</f>
        <v>0</v>
      </c>
      <c r="H273" s="57">
        <f>IF($A273="","",IF(_xlfn.XLOOKUP($A273,Korrelation!$D$4:$D$1197,Korrelation!K$4:K$1197,"-",0)="-",0,MATCH(_xlfn.XLOOKUP($A273,Korrelation!$D$4:$D$1197,Korrelation!K$4:K$1197,"",0),'DM01-AV-CH'!$A$6:$A$834,0)))</f>
        <v>0</v>
      </c>
      <c r="J273" s="54" t="str" cm="1">
        <f t="array" aca="1" ref="J273" ca="1">IF(B273=0,IF(E273=0,"",HYPERLINK("#"&amp;RIGHT(CELL("adresse",OFFSET(DMAV_Dienste!$M$6,E273-1,0)),LEN(CELL("adresse",OFFSET(DMAV_Dienste!$M$6,E273-1,0)))-FIND("]",CELL("adresse",OFFSET(DMAV_Dienste!$M$6,E273-1,0)))),"Dienst")),HYPERLINK("#"&amp;RIGHT(CELL("adresse",OFFSET(DMAV_Modell!$N$6,B273-1,0)),LEN(CELL("adresse",OFFSET(DMAV_Modell!$N$6,B273-1,0)))-FIND("]",CELL("adresse",OFFSET(DMAV_Modell!$N$6,B273-1,0)))),"Modell"))</f>
        <v>Modell</v>
      </c>
      <c r="K273" s="61" t="str" cm="1">
        <f t="array" ref="K273">IF($B273=0,IF($E273=0,"",IF(INDEX(DMAV_Dienste!P$6:P$140,$E273)="","",INDEX(DMAV_Dienste!P$6:P$140,$E273))),IF(INDEX(DMAV_Modell!Q$6:Q$838,$B273)="","",INDEX(DMAV_Modell!Q$6:Q$838,$B273)))</f>
        <v>DOMAIN</v>
      </c>
      <c r="L273" s="62" t="str" cm="1">
        <f t="array" ref="L273">IF($B273=0,IF($E273=0,"",IF(INDEX(DMAV_Dienste!O$6:O$140,$E273)="","",INDEX(DMAV_Dienste!O$6:O$140,$E273))),IF(INDEX(DMAV_Modell!P$6:P$838,$B273)="","",INDEX(DMAV_Modell!P$6:P$838,$B273)))</f>
        <v>FixpunkteAVKategorie3</v>
      </c>
      <c r="M273" s="62" t="str" cm="1">
        <f t="array" ref="M273">IF($B273=0,IF($E273=0,"",IF(INDEX(DMAV_Dienste!Q$6:Q$140,$E273)="","",INDEX(DMAV_Dienste!Q$6:Q$140,$E273))),IF(INDEX(DMAV_Modell!R$6:R$838,$B273)="","",INDEX(DMAV_Modell!R$6:R$838,$B273)))</f>
        <v>Schutzart</v>
      </c>
      <c r="N273" s="62" t="str" cm="1">
        <f t="array" ref="N273">IF($B273=0,IF($E273=0,"",IF(INDEX(DMAV_Dienste!T$6:T$140,$E273)="","",INDEX(DMAV_Dienste!T$6:T$140,$E273))),IF(INDEX(DMAV_Modell!U$6:U$838,$B273)="","",INDEX(DMAV_Modell!U$6:U$838,$B273)))</f>
        <v/>
      </c>
      <c r="O273" s="63" t="str" cm="1">
        <f t="array" aca="1" ref="O273" ca="1">IF(C273=0,IF(F273=0,"",HYPERLINK("#"&amp;RIGHT(CELL("adresse",OFFSET(DMAV_Dienste!$M$6,F273-1,0)),LEN(CELL("adresse",OFFSET(DMAV_Dienste!$M$6,F273-1,0)))-FIND("]",CELL("adresse",OFFSET(DMAV_Dienste!$M$6,F273-1,0)))),"Structure")),HYPERLINK("#"&amp;RIGHT(CELL("adresse",OFFSET(DMAV_Modell!$N$6,C273-1,0)),LEN(CELL("adresse",OFFSET(DMAV_Modell!$N$6,C273-1,0)))-FIND("]",CELL("adresse",OFFSET(DMAV_Modell!$N$6,C273-1,0)))),"Structure"))</f>
        <v/>
      </c>
      <c r="P273" s="64" t="str" cm="1">
        <f t="array" aca="1" ref="P273" ca="1">IF(D273=0,IF(G273=0,"",HYPERLINK("#"&amp;RIGHT(CELL("adresse",OFFSET(DMAV_Dienste!$M$6,G273-1,0)),LEN(CELL("adresse",OFFSET(DMAV_Dienste!$M$6,G273-1,0)))-FIND("]",CELL("adresse",OFFSET(DMAV_Dienste!$M$6,G273-1,0)))),"Substructure")),HYPERLINK("#"&amp;RIGHT(CELL("adresse",OFFSET(DMAV_Modell!$N$6,D273-1,0)),LEN(CELL("adresse",OFFSET(DMAV_Modell!$N$6,D273-1,0)))-FIND("]",CELL("adresse",OFFSET(DMAV_Modell!$N$6,D273-1,0)))),"Substructure"))</f>
        <v/>
      </c>
      <c r="R273" s="80"/>
      <c r="T273" s="93"/>
      <c r="U273" s="94"/>
      <c r="V273" s="95"/>
      <c r="W273" s="96"/>
      <c r="Y273" s="85"/>
      <c r="Z273" s="86"/>
      <c r="AA273" s="87"/>
      <c r="AB273" s="88"/>
      <c r="AD273" s="77"/>
      <c r="AF273" s="54" t="str" cm="1">
        <f t="array" aca="1" ref="AF273" ca="1">IF(H273=0,"",HYPERLINK("#"&amp;RIGHT(CELL("adresse",OFFSET('DM01-AV-CH'!$G$6,H273-1,0)),LEN(CELL("adresse",OFFSET('DM01-AV-CH'!$G$6,H273-1,0)))-FIND("]",CELL("adresse",OFFSET('DM01-AV-CH'!$G$6,H273-1,0)))),"Modell"))</f>
        <v/>
      </c>
      <c r="AG273" s="72" t="str" cm="1">
        <f t="array" ref="AG273">IF($H273=0,"",IF(INDEX('DM01-AV-CH'!G$6:G$834,$H273)="","",INDEX('DM01-AV-CH'!G$6:G$834,$H273)))</f>
        <v/>
      </c>
      <c r="AH273" s="73" t="str" cm="1">
        <f t="array" ref="AH273">IF($H273=0,"",IF(INDEX('DM01-AV-CH'!H$6:H$834,$H273)="","",INDEX('DM01-AV-CH'!H$6:H$834,$H273)))</f>
        <v/>
      </c>
      <c r="AI273" s="74" t="str" cm="1">
        <f t="array" ref="AI273">IF($H273=0,"",IF(INDEX('DM01-AV-CH'!I$6:I$834,$H273)="","",INDEX('DM01-AV-CH'!I$6:I$834,$H273)))</f>
        <v/>
      </c>
    </row>
    <row r="274" spans="1:35" x14ac:dyDescent="0.25">
      <c r="A274" s="57">
        <v>269</v>
      </c>
      <c r="B274" s="57">
        <f>IF($A274="","",IF(_xlfn.XLOOKUP($A274,Korrelation!$D$4:$D$1197,Korrelation!E$4:E$1197,"-",0)="-",0,MATCH(_xlfn.XLOOKUP($A274,Korrelation!$D$4:$D$1197,Korrelation!E$4:E$1197,"",0),DMAV_Modell!$G$6:$G$677,0)))</f>
        <v>72</v>
      </c>
      <c r="C274" s="57">
        <f>IF($A274="","",IF(_xlfn.XLOOKUP($A274,Korrelation!$D$4:$D$1197,Korrelation!F$4:F$1197,"-",0)="-",0,MATCH(_xlfn.XLOOKUP($A274,Korrelation!$D$4:$D$1197,Korrelation!F$4:F$1197,"",0),DMAV_Modell!$G$6:$G$677,0)))</f>
        <v>0</v>
      </c>
      <c r="D274" s="57">
        <f>IF($A274="","",IF(_xlfn.XLOOKUP($A274,Korrelation!$D$4:$D$1197,Korrelation!G$4:G$1197,"-",0)="-",0,MATCH(_xlfn.XLOOKUP($A274,Korrelation!$D$4:$D$1197,Korrelation!G$4:G$1197,"",0),DMAV_Modell!$G$6:$G$677,0)))</f>
        <v>0</v>
      </c>
      <c r="E274" s="57">
        <f>IF($A274="","",IF(_xlfn.XLOOKUP($A274,Korrelation!$D$4:$D$1197,Korrelation!H$4:H$1197,"-",0)="-",0,MATCH(_xlfn.XLOOKUP($A274,Korrelation!$D$4:$D$1197,Korrelation!H$4:H$1197,"",0),DMAV_Dienste!$F$6:$F$140,0)))</f>
        <v>0</v>
      </c>
      <c r="F274" s="57">
        <f>IF($A274="","",IF(_xlfn.XLOOKUP($A274,Korrelation!$D$4:$D$1197,Korrelation!I$4:I$1197,"-",0)="-",0,MATCH(_xlfn.XLOOKUP($A274,Korrelation!$D$4:$D$1197,Korrelation!I$4:I$1197,"",0),DMAV_Dienste!$F$6:$F$140,0)))</f>
        <v>0</v>
      </c>
      <c r="G274" s="57">
        <f>IF($A274="","",IF(_xlfn.XLOOKUP($A274,Korrelation!$D$4:$D$1197,Korrelation!J$4:J$1197,"-",0)="-",0,MATCH(_xlfn.XLOOKUP($A274,Korrelation!$D$4:$D$1197,Korrelation!J$4:J$1197,"",0),DMAV_Dienste!$F$6:$F$140,0)))</f>
        <v>0</v>
      </c>
      <c r="H274" s="57">
        <f>IF($A274="","",IF(_xlfn.XLOOKUP($A274,Korrelation!$D$4:$D$1197,Korrelation!K$4:K$1197,"-",0)="-",0,MATCH(_xlfn.XLOOKUP($A274,Korrelation!$D$4:$D$1197,Korrelation!K$4:K$1197,"",0),'DM01-AV-CH'!$A$6:$A$834,0)))</f>
        <v>0</v>
      </c>
      <c r="J274" s="54" t="str" cm="1">
        <f t="array" aca="1" ref="J274" ca="1">IF(B274=0,IF(E274=0,"",HYPERLINK("#"&amp;RIGHT(CELL("adresse",OFFSET(DMAV_Dienste!$M$6,E274-1,0)),LEN(CELL("adresse",OFFSET(DMAV_Dienste!$M$6,E274-1,0)))-FIND("]",CELL("adresse",OFFSET(DMAV_Dienste!$M$6,E274-1,0)))),"Dienst")),HYPERLINK("#"&amp;RIGHT(CELL("adresse",OFFSET(DMAV_Modell!$N$6,B274-1,0)),LEN(CELL("adresse",OFFSET(DMAV_Modell!$N$6,B274-1,0)))-FIND("]",CELL("adresse",OFFSET(DMAV_Modell!$N$6,B274-1,0)))),"Modell"))</f>
        <v>Modell</v>
      </c>
      <c r="K274" s="61" t="str" cm="1">
        <f t="array" ref="K274">IF($B274=0,IF($E274=0,"",IF(INDEX(DMAV_Dienste!P$6:P$140,$E274)="","",INDEX(DMAV_Dienste!P$6:P$140,$E274))),IF(INDEX(DMAV_Modell!Q$6:Q$838,$B274)="","",INDEX(DMAV_Modell!Q$6:Q$838,$B274)))</f>
        <v>DOMAIN</v>
      </c>
      <c r="L274" s="62" t="str" cm="1">
        <f t="array" ref="L274">IF($B274=0,IF($E274=0,"",IF(INDEX(DMAV_Dienste!O$6:O$140,$E274)="","",INDEX(DMAV_Dienste!O$6:O$140,$E274))),IF(INDEX(DMAV_Modell!P$6:P$838,$B274)="","",INDEX(DMAV_Modell!P$6:P$838,$B274)))</f>
        <v>FixpunkteAVKategorie3</v>
      </c>
      <c r="M274" s="62" t="str" cm="1">
        <f t="array" ref="M274">IF($B274=0,IF($E274=0,"",IF(INDEX(DMAV_Dienste!Q$6:Q$140,$E274)="","",INDEX(DMAV_Dienste!Q$6:Q$140,$E274))),IF(INDEX(DMAV_Modell!R$6:R$838,$B274)="","",INDEX(DMAV_Modell!R$6:R$838,$B274)))</f>
        <v>Grenzpunktfunktion</v>
      </c>
      <c r="N274" s="62" t="str" cm="1">
        <f t="array" ref="N274">IF($B274=0,IF($E274=0,"",IF(INDEX(DMAV_Dienste!T$6:T$140,$E274)="","",INDEX(DMAV_Dienste!T$6:T$140,$E274))),IF(INDEX(DMAV_Modell!U$6:U$838,$B274)="","",INDEX(DMAV_Modell!U$6:U$838,$B274)))</f>
        <v/>
      </c>
      <c r="O274" s="63" t="str" cm="1">
        <f t="array" aca="1" ref="O274" ca="1">IF(C274=0,IF(F274=0,"",HYPERLINK("#"&amp;RIGHT(CELL("adresse",OFFSET(DMAV_Dienste!$M$6,F274-1,0)),LEN(CELL("adresse",OFFSET(DMAV_Dienste!$M$6,F274-1,0)))-FIND("]",CELL("adresse",OFFSET(DMAV_Dienste!$M$6,F274-1,0)))),"Structure")),HYPERLINK("#"&amp;RIGHT(CELL("adresse",OFFSET(DMAV_Modell!$N$6,C274-1,0)),LEN(CELL("adresse",OFFSET(DMAV_Modell!$N$6,C274-1,0)))-FIND("]",CELL("adresse",OFFSET(DMAV_Modell!$N$6,C274-1,0)))),"Structure"))</f>
        <v/>
      </c>
      <c r="P274" s="64" t="str" cm="1">
        <f t="array" aca="1" ref="P274" ca="1">IF(D274=0,IF(G274=0,"",HYPERLINK("#"&amp;RIGHT(CELL("adresse",OFFSET(DMAV_Dienste!$M$6,G274-1,0)),LEN(CELL("adresse",OFFSET(DMAV_Dienste!$M$6,G274-1,0)))-FIND("]",CELL("adresse",OFFSET(DMAV_Dienste!$M$6,G274-1,0)))),"Substructure")),HYPERLINK("#"&amp;RIGHT(CELL("adresse",OFFSET(DMAV_Modell!$N$6,D274-1,0)),LEN(CELL("adresse",OFFSET(DMAV_Modell!$N$6,D274-1,0)))-FIND("]",CELL("adresse",OFFSET(DMAV_Modell!$N$6,D274-1,0)))),"Substructure"))</f>
        <v/>
      </c>
      <c r="R274" s="80"/>
      <c r="T274" s="93"/>
      <c r="U274" s="94"/>
      <c r="V274" s="95"/>
      <c r="W274" s="96"/>
      <c r="Y274" s="85"/>
      <c r="Z274" s="86"/>
      <c r="AA274" s="87"/>
      <c r="AB274" s="88"/>
      <c r="AD274" s="77"/>
      <c r="AF274" s="54" t="str" cm="1">
        <f t="array" aca="1" ref="AF274" ca="1">IF(H274=0,"",HYPERLINK("#"&amp;RIGHT(CELL("adresse",OFFSET('DM01-AV-CH'!$G$6,H274-1,0)),LEN(CELL("adresse",OFFSET('DM01-AV-CH'!$G$6,H274-1,0)))-FIND("]",CELL("adresse",OFFSET('DM01-AV-CH'!$G$6,H274-1,0)))),"Modell"))</f>
        <v/>
      </c>
      <c r="AG274" s="72" t="str" cm="1">
        <f t="array" ref="AG274">IF($H274=0,"",IF(INDEX('DM01-AV-CH'!G$6:G$834,$H274)="","",INDEX('DM01-AV-CH'!G$6:G$834,$H274)))</f>
        <v/>
      </c>
      <c r="AH274" s="73" t="str" cm="1">
        <f t="array" ref="AH274">IF($H274=0,"",IF(INDEX('DM01-AV-CH'!H$6:H$834,$H274)="","",INDEX('DM01-AV-CH'!H$6:H$834,$H274)))</f>
        <v/>
      </c>
      <c r="AI274" s="74" t="str" cm="1">
        <f t="array" ref="AI274">IF($H274=0,"",IF(INDEX('DM01-AV-CH'!I$6:I$834,$H274)="","",INDEX('DM01-AV-CH'!I$6:I$834,$H274)))</f>
        <v/>
      </c>
    </row>
    <row r="275" spans="1:35" x14ac:dyDescent="0.25">
      <c r="A275" s="57">
        <v>270</v>
      </c>
      <c r="B275" s="57">
        <f>IF($A275="","",IF(_xlfn.XLOOKUP($A275,Korrelation!$D$4:$D$1197,Korrelation!E$4:E$1197,"-",0)="-",0,MATCH(_xlfn.XLOOKUP($A275,Korrelation!$D$4:$D$1197,Korrelation!E$4:E$1197,"",0),DMAV_Modell!$G$6:$G$677,0)))</f>
        <v>73</v>
      </c>
      <c r="C275" s="57">
        <f>IF($A275="","",IF(_xlfn.XLOOKUP($A275,Korrelation!$D$4:$D$1197,Korrelation!F$4:F$1197,"-",0)="-",0,MATCH(_xlfn.XLOOKUP($A275,Korrelation!$D$4:$D$1197,Korrelation!F$4:F$1197,"",0),DMAV_Modell!$G$6:$G$677,0)))</f>
        <v>0</v>
      </c>
      <c r="D275" s="57">
        <f>IF($A275="","",IF(_xlfn.XLOOKUP($A275,Korrelation!$D$4:$D$1197,Korrelation!G$4:G$1197,"-",0)="-",0,MATCH(_xlfn.XLOOKUP($A275,Korrelation!$D$4:$D$1197,Korrelation!G$4:G$1197,"",0),DMAV_Modell!$G$6:$G$677,0)))</f>
        <v>0</v>
      </c>
      <c r="E275" s="57">
        <f>IF($A275="","",IF(_xlfn.XLOOKUP($A275,Korrelation!$D$4:$D$1197,Korrelation!H$4:H$1197,"-",0)="-",0,MATCH(_xlfn.XLOOKUP($A275,Korrelation!$D$4:$D$1197,Korrelation!H$4:H$1197,"",0),DMAV_Dienste!$F$6:$F$140,0)))</f>
        <v>0</v>
      </c>
      <c r="F275" s="57">
        <f>IF($A275="","",IF(_xlfn.XLOOKUP($A275,Korrelation!$D$4:$D$1197,Korrelation!I$4:I$1197,"-",0)="-",0,MATCH(_xlfn.XLOOKUP($A275,Korrelation!$D$4:$D$1197,Korrelation!I$4:I$1197,"",0),DMAV_Dienste!$F$6:$F$140,0)))</f>
        <v>0</v>
      </c>
      <c r="G275" s="57">
        <f>IF($A275="","",IF(_xlfn.XLOOKUP($A275,Korrelation!$D$4:$D$1197,Korrelation!J$4:J$1197,"-",0)="-",0,MATCH(_xlfn.XLOOKUP($A275,Korrelation!$D$4:$D$1197,Korrelation!J$4:J$1197,"",0),DMAV_Dienste!$F$6:$F$140,0)))</f>
        <v>0</v>
      </c>
      <c r="H275" s="57">
        <f>IF($A275="","",IF(_xlfn.XLOOKUP($A275,Korrelation!$D$4:$D$1197,Korrelation!K$4:K$1197,"-",0)="-",0,MATCH(_xlfn.XLOOKUP($A275,Korrelation!$D$4:$D$1197,Korrelation!K$4:K$1197,"",0),'DM01-AV-CH'!$A$6:$A$834,0)))</f>
        <v>0</v>
      </c>
      <c r="J275" s="54" t="str" cm="1">
        <f t="array" aca="1" ref="J275" ca="1">IF(B275=0,IF(E275=0,"",HYPERLINK("#"&amp;RIGHT(CELL("adresse",OFFSET(DMAV_Dienste!$M$6,E275-1,0)),LEN(CELL("adresse",OFFSET(DMAV_Dienste!$M$6,E275-1,0)))-FIND("]",CELL("adresse",OFFSET(DMAV_Dienste!$M$6,E275-1,0)))),"Dienst")),HYPERLINK("#"&amp;RIGHT(CELL("adresse",OFFSET(DMAV_Modell!$N$6,B275-1,0)),LEN(CELL("adresse",OFFSET(DMAV_Modell!$N$6,B275-1,0)))-FIND("]",CELL("adresse",OFFSET(DMAV_Modell!$N$6,B275-1,0)))),"Modell"))</f>
        <v>Modell</v>
      </c>
      <c r="K275" s="61" t="str" cm="1">
        <f t="array" ref="K275">IF($B275=0,IF($E275=0,"",IF(INDEX(DMAV_Dienste!P$6:P$140,$E275)="","",INDEX(DMAV_Dienste!P$6:P$140,$E275))),IF(INDEX(DMAV_Modell!Q$6:Q$838,$B275)="","",INDEX(DMAV_Modell!Q$6:Q$838,$B275)))</f>
        <v>DOMAIN</v>
      </c>
      <c r="L275" s="62" t="str" cm="1">
        <f t="array" ref="L275">IF($B275=0,IF($E275=0,"",IF(INDEX(DMAV_Dienste!O$6:O$140,$E275)="","",INDEX(DMAV_Dienste!O$6:O$140,$E275))),IF(INDEX(DMAV_Modell!P$6:P$838,$B275)="","",INDEX(DMAV_Modell!P$6:P$838,$B275)))</f>
        <v>FixpunkteAVKategorie3</v>
      </c>
      <c r="M275" s="62" t="str" cm="1">
        <f t="array" ref="M275">IF($B275=0,IF($E275=0,"",IF(INDEX(DMAV_Dienste!Q$6:Q$140,$E275)="","",INDEX(DMAV_Dienste!Q$6:Q$140,$E275))),IF(INDEX(DMAV_Modell!R$6:R$838,$B275)="","",INDEX(DMAV_Modell!R$6:R$838,$B275)))</f>
        <v>Grenzpunktfunktion</v>
      </c>
      <c r="N275" s="62" t="str" cm="1">
        <f t="array" ref="N275">IF($B275=0,IF($E275=0,"",IF(INDEX(DMAV_Dienste!T$6:T$140,$E275)="","",INDEX(DMAV_Dienste!T$6:T$140,$E275))),IF(INDEX(DMAV_Modell!U$6:U$838,$B275)="","",INDEX(DMAV_Modell!U$6:U$838,$B275)))</f>
        <v/>
      </c>
      <c r="O275" s="63" t="str" cm="1">
        <f t="array" aca="1" ref="O275" ca="1">IF(C275=0,IF(F275=0,"",HYPERLINK("#"&amp;RIGHT(CELL("adresse",OFFSET(DMAV_Dienste!$M$6,F275-1,0)),LEN(CELL("adresse",OFFSET(DMAV_Dienste!$M$6,F275-1,0)))-FIND("]",CELL("adresse",OFFSET(DMAV_Dienste!$M$6,F275-1,0)))),"Structure")),HYPERLINK("#"&amp;RIGHT(CELL("adresse",OFFSET(DMAV_Modell!$N$6,C275-1,0)),LEN(CELL("adresse",OFFSET(DMAV_Modell!$N$6,C275-1,0)))-FIND("]",CELL("adresse",OFFSET(DMAV_Modell!$N$6,C275-1,0)))),"Structure"))</f>
        <v/>
      </c>
      <c r="P275" s="64" t="str" cm="1">
        <f t="array" aca="1" ref="P275" ca="1">IF(D275=0,IF(G275=0,"",HYPERLINK("#"&amp;RIGHT(CELL("adresse",OFFSET(DMAV_Dienste!$M$6,G275-1,0)),LEN(CELL("adresse",OFFSET(DMAV_Dienste!$M$6,G275-1,0)))-FIND("]",CELL("adresse",OFFSET(DMAV_Dienste!$M$6,G275-1,0)))),"Substructure")),HYPERLINK("#"&amp;RIGHT(CELL("adresse",OFFSET(DMAV_Modell!$N$6,D275-1,0)),LEN(CELL("adresse",OFFSET(DMAV_Modell!$N$6,D275-1,0)))-FIND("]",CELL("adresse",OFFSET(DMAV_Modell!$N$6,D275-1,0)))),"Substructure"))</f>
        <v/>
      </c>
      <c r="R275" s="80"/>
      <c r="T275" s="93"/>
      <c r="U275" s="94"/>
      <c r="V275" s="95"/>
      <c r="W275" s="96"/>
      <c r="Y275" s="85"/>
      <c r="Z275" s="86"/>
      <c r="AA275" s="87"/>
      <c r="AB275" s="88"/>
      <c r="AD275" s="77"/>
      <c r="AF275" s="54" t="str" cm="1">
        <f t="array" aca="1" ref="AF275" ca="1">IF(H275=0,"",HYPERLINK("#"&amp;RIGHT(CELL("adresse",OFFSET('DM01-AV-CH'!$G$6,H275-1,0)),LEN(CELL("adresse",OFFSET('DM01-AV-CH'!$G$6,H275-1,0)))-FIND("]",CELL("adresse",OFFSET('DM01-AV-CH'!$G$6,H275-1,0)))),"Modell"))</f>
        <v/>
      </c>
      <c r="AG275" s="72" t="str" cm="1">
        <f t="array" ref="AG275">IF($H275=0,"",IF(INDEX('DM01-AV-CH'!G$6:G$834,$H275)="","",INDEX('DM01-AV-CH'!G$6:G$834,$H275)))</f>
        <v/>
      </c>
      <c r="AH275" s="73" t="str" cm="1">
        <f t="array" ref="AH275">IF($H275=0,"",IF(INDEX('DM01-AV-CH'!H$6:H$834,$H275)="","",INDEX('DM01-AV-CH'!H$6:H$834,$H275)))</f>
        <v/>
      </c>
      <c r="AI275" s="74" t="str" cm="1">
        <f t="array" ref="AI275">IF($H275=0,"",IF(INDEX('DM01-AV-CH'!I$6:I$834,$H275)="","",INDEX('DM01-AV-CH'!I$6:I$834,$H275)))</f>
        <v/>
      </c>
    </row>
    <row r="276" spans="1:35" x14ac:dyDescent="0.25">
      <c r="A276" s="57">
        <v>271</v>
      </c>
      <c r="B276" s="57">
        <f>IF($A276="","",IF(_xlfn.XLOOKUP($A276,Korrelation!$D$4:$D$1197,Korrelation!E$4:E$1197,"-",0)="-",0,MATCH(_xlfn.XLOOKUP($A276,Korrelation!$D$4:$D$1197,Korrelation!E$4:E$1197,"",0),DMAV_Modell!$G$6:$G$677,0)))</f>
        <v>74</v>
      </c>
      <c r="C276" s="57">
        <f>IF($A276="","",IF(_xlfn.XLOOKUP($A276,Korrelation!$D$4:$D$1197,Korrelation!F$4:F$1197,"-",0)="-",0,MATCH(_xlfn.XLOOKUP($A276,Korrelation!$D$4:$D$1197,Korrelation!F$4:F$1197,"",0),DMAV_Modell!$G$6:$G$677,0)))</f>
        <v>0</v>
      </c>
      <c r="D276" s="57">
        <f>IF($A276="","",IF(_xlfn.XLOOKUP($A276,Korrelation!$D$4:$D$1197,Korrelation!G$4:G$1197,"-",0)="-",0,MATCH(_xlfn.XLOOKUP($A276,Korrelation!$D$4:$D$1197,Korrelation!G$4:G$1197,"",0),DMAV_Modell!$G$6:$G$677,0)))</f>
        <v>0</v>
      </c>
      <c r="E276" s="57">
        <f>IF($A276="","",IF(_xlfn.XLOOKUP($A276,Korrelation!$D$4:$D$1197,Korrelation!H$4:H$1197,"-",0)="-",0,MATCH(_xlfn.XLOOKUP($A276,Korrelation!$D$4:$D$1197,Korrelation!H$4:H$1197,"",0),DMAV_Dienste!$F$6:$F$140,0)))</f>
        <v>0</v>
      </c>
      <c r="F276" s="57">
        <f>IF($A276="","",IF(_xlfn.XLOOKUP($A276,Korrelation!$D$4:$D$1197,Korrelation!I$4:I$1197,"-",0)="-",0,MATCH(_xlfn.XLOOKUP($A276,Korrelation!$D$4:$D$1197,Korrelation!I$4:I$1197,"",0),DMAV_Dienste!$F$6:$F$140,0)))</f>
        <v>0</v>
      </c>
      <c r="G276" s="57">
        <f>IF($A276="","",IF(_xlfn.XLOOKUP($A276,Korrelation!$D$4:$D$1197,Korrelation!J$4:J$1197,"-",0)="-",0,MATCH(_xlfn.XLOOKUP($A276,Korrelation!$D$4:$D$1197,Korrelation!J$4:J$1197,"",0),DMAV_Dienste!$F$6:$F$140,0)))</f>
        <v>0</v>
      </c>
      <c r="H276" s="57">
        <f>IF($A276="","",IF(_xlfn.XLOOKUP($A276,Korrelation!$D$4:$D$1197,Korrelation!K$4:K$1197,"-",0)="-",0,MATCH(_xlfn.XLOOKUP($A276,Korrelation!$D$4:$D$1197,Korrelation!K$4:K$1197,"",0),'DM01-AV-CH'!$A$6:$A$834,0)))</f>
        <v>0</v>
      </c>
      <c r="J276" s="54" t="str" cm="1">
        <f t="array" aca="1" ref="J276" ca="1">IF(B276=0,IF(E276=0,"",HYPERLINK("#"&amp;RIGHT(CELL("adresse",OFFSET(DMAV_Dienste!$M$6,E276-1,0)),LEN(CELL("adresse",OFFSET(DMAV_Dienste!$M$6,E276-1,0)))-FIND("]",CELL("adresse",OFFSET(DMAV_Dienste!$M$6,E276-1,0)))),"Dienst")),HYPERLINK("#"&amp;RIGHT(CELL("adresse",OFFSET(DMAV_Modell!$N$6,B276-1,0)),LEN(CELL("adresse",OFFSET(DMAV_Modell!$N$6,B276-1,0)))-FIND("]",CELL("adresse",OFFSET(DMAV_Modell!$N$6,B276-1,0)))),"Modell"))</f>
        <v>Modell</v>
      </c>
      <c r="K276" s="61" t="str" cm="1">
        <f t="array" ref="K276">IF($B276=0,IF($E276=0,"",IF(INDEX(DMAV_Dienste!P$6:P$140,$E276)="","",INDEX(DMAV_Dienste!P$6:P$140,$E276))),IF(INDEX(DMAV_Modell!Q$6:Q$838,$B276)="","",INDEX(DMAV_Modell!Q$6:Q$838,$B276)))</f>
        <v>DOMAIN</v>
      </c>
      <c r="L276" s="62" t="str" cm="1">
        <f t="array" ref="L276">IF($B276=0,IF($E276=0,"",IF(INDEX(DMAV_Dienste!O$6:O$140,$E276)="","",INDEX(DMAV_Dienste!O$6:O$140,$E276))),IF(INDEX(DMAV_Modell!P$6:P$838,$B276)="","",INDEX(DMAV_Modell!P$6:P$838,$B276)))</f>
        <v>FixpunkteAVKategorie3</v>
      </c>
      <c r="M276" s="62" t="str" cm="1">
        <f t="array" ref="M276">IF($B276=0,IF($E276=0,"",IF(INDEX(DMAV_Dienste!Q$6:Q$140,$E276)="","",INDEX(DMAV_Dienste!Q$6:Q$140,$E276))),IF(INDEX(DMAV_Modell!R$6:R$838,$B276)="","",INDEX(DMAV_Modell!R$6:R$838,$B276)))</f>
        <v>Grenzpunktfunktion</v>
      </c>
      <c r="N276" s="62" t="str" cm="1">
        <f t="array" ref="N276">IF($B276=0,IF($E276=0,"",IF(INDEX(DMAV_Dienste!T$6:T$140,$E276)="","",INDEX(DMAV_Dienste!T$6:T$140,$E276))),IF(INDEX(DMAV_Modell!U$6:U$838,$B276)="","",INDEX(DMAV_Modell!U$6:U$838,$B276)))</f>
        <v/>
      </c>
      <c r="O276" s="63" t="str" cm="1">
        <f t="array" aca="1" ref="O276" ca="1">IF(C276=0,IF(F276=0,"",HYPERLINK("#"&amp;RIGHT(CELL("adresse",OFFSET(DMAV_Dienste!$M$6,F276-1,0)),LEN(CELL("adresse",OFFSET(DMAV_Dienste!$M$6,F276-1,0)))-FIND("]",CELL("adresse",OFFSET(DMAV_Dienste!$M$6,F276-1,0)))),"Structure")),HYPERLINK("#"&amp;RIGHT(CELL("adresse",OFFSET(DMAV_Modell!$N$6,C276-1,0)),LEN(CELL("adresse",OFFSET(DMAV_Modell!$N$6,C276-1,0)))-FIND("]",CELL("adresse",OFFSET(DMAV_Modell!$N$6,C276-1,0)))),"Structure"))</f>
        <v/>
      </c>
      <c r="P276" s="64" t="str" cm="1">
        <f t="array" aca="1" ref="P276" ca="1">IF(D276=0,IF(G276=0,"",HYPERLINK("#"&amp;RIGHT(CELL("adresse",OFFSET(DMAV_Dienste!$M$6,G276-1,0)),LEN(CELL("adresse",OFFSET(DMAV_Dienste!$M$6,G276-1,0)))-FIND("]",CELL("adresse",OFFSET(DMAV_Dienste!$M$6,G276-1,0)))),"Substructure")),HYPERLINK("#"&amp;RIGHT(CELL("adresse",OFFSET(DMAV_Modell!$N$6,D276-1,0)),LEN(CELL("adresse",OFFSET(DMAV_Modell!$N$6,D276-1,0)))-FIND("]",CELL("adresse",OFFSET(DMAV_Modell!$N$6,D276-1,0)))),"Substructure"))</f>
        <v/>
      </c>
      <c r="R276" s="80"/>
      <c r="T276" s="93"/>
      <c r="U276" s="94"/>
      <c r="V276" s="95"/>
      <c r="W276" s="96"/>
      <c r="Y276" s="85"/>
      <c r="Z276" s="86"/>
      <c r="AA276" s="87"/>
      <c r="AB276" s="88"/>
      <c r="AD276" s="77"/>
      <c r="AF276" s="54" t="str" cm="1">
        <f t="array" aca="1" ref="AF276" ca="1">IF(H276=0,"",HYPERLINK("#"&amp;RIGHT(CELL("adresse",OFFSET('DM01-AV-CH'!$G$6,H276-1,0)),LEN(CELL("adresse",OFFSET('DM01-AV-CH'!$G$6,H276-1,0)))-FIND("]",CELL("adresse",OFFSET('DM01-AV-CH'!$G$6,H276-1,0)))),"Modell"))</f>
        <v/>
      </c>
      <c r="AG276" s="72" t="str" cm="1">
        <f t="array" ref="AG276">IF($H276=0,"",IF(INDEX('DM01-AV-CH'!G$6:G$834,$H276)="","",INDEX('DM01-AV-CH'!G$6:G$834,$H276)))</f>
        <v/>
      </c>
      <c r="AH276" s="73" t="str" cm="1">
        <f t="array" ref="AH276">IF($H276=0,"",IF(INDEX('DM01-AV-CH'!H$6:H$834,$H276)="","",INDEX('DM01-AV-CH'!H$6:H$834,$H276)))</f>
        <v/>
      </c>
      <c r="AI276" s="74" t="str" cm="1">
        <f t="array" ref="AI276">IF($H276=0,"",IF(INDEX('DM01-AV-CH'!I$6:I$834,$H276)="","",INDEX('DM01-AV-CH'!I$6:I$834,$H276)))</f>
        <v/>
      </c>
    </row>
    <row r="277" spans="1:35" x14ac:dyDescent="0.25">
      <c r="A277" s="57">
        <v>272</v>
      </c>
      <c r="B277" s="57">
        <f>IF($A277="","",IF(_xlfn.XLOOKUP($A277,Korrelation!$D$4:$D$1197,Korrelation!E$4:E$1197,"-",0)="-",0,MATCH(_xlfn.XLOOKUP($A277,Korrelation!$D$4:$D$1197,Korrelation!E$4:E$1197,"",0),DMAV_Modell!$G$6:$G$677,0)))</f>
        <v>75</v>
      </c>
      <c r="C277" s="57">
        <f>IF($A277="","",IF(_xlfn.XLOOKUP($A277,Korrelation!$D$4:$D$1197,Korrelation!F$4:F$1197,"-",0)="-",0,MATCH(_xlfn.XLOOKUP($A277,Korrelation!$D$4:$D$1197,Korrelation!F$4:F$1197,"",0),DMAV_Modell!$G$6:$G$677,0)))</f>
        <v>0</v>
      </c>
      <c r="D277" s="57">
        <f>IF($A277="","",IF(_xlfn.XLOOKUP($A277,Korrelation!$D$4:$D$1197,Korrelation!G$4:G$1197,"-",0)="-",0,MATCH(_xlfn.XLOOKUP($A277,Korrelation!$D$4:$D$1197,Korrelation!G$4:G$1197,"",0),DMAV_Modell!$G$6:$G$677,0)))</f>
        <v>0</v>
      </c>
      <c r="E277" s="57">
        <f>IF($A277="","",IF(_xlfn.XLOOKUP($A277,Korrelation!$D$4:$D$1197,Korrelation!H$4:H$1197,"-",0)="-",0,MATCH(_xlfn.XLOOKUP($A277,Korrelation!$D$4:$D$1197,Korrelation!H$4:H$1197,"",0),DMAV_Dienste!$F$6:$F$140,0)))</f>
        <v>0</v>
      </c>
      <c r="F277" s="57">
        <f>IF($A277="","",IF(_xlfn.XLOOKUP($A277,Korrelation!$D$4:$D$1197,Korrelation!I$4:I$1197,"-",0)="-",0,MATCH(_xlfn.XLOOKUP($A277,Korrelation!$D$4:$D$1197,Korrelation!I$4:I$1197,"",0),DMAV_Dienste!$F$6:$F$140,0)))</f>
        <v>0</v>
      </c>
      <c r="G277" s="57">
        <f>IF($A277="","",IF(_xlfn.XLOOKUP($A277,Korrelation!$D$4:$D$1197,Korrelation!J$4:J$1197,"-",0)="-",0,MATCH(_xlfn.XLOOKUP($A277,Korrelation!$D$4:$D$1197,Korrelation!J$4:J$1197,"",0),DMAV_Dienste!$F$6:$F$140,0)))</f>
        <v>0</v>
      </c>
      <c r="H277" s="57">
        <f>IF($A277="","",IF(_xlfn.XLOOKUP($A277,Korrelation!$D$4:$D$1197,Korrelation!K$4:K$1197,"-",0)="-",0,MATCH(_xlfn.XLOOKUP($A277,Korrelation!$D$4:$D$1197,Korrelation!K$4:K$1197,"",0),'DM01-AV-CH'!$A$6:$A$834,0)))</f>
        <v>125</v>
      </c>
      <c r="J277" s="54" t="str" cm="1">
        <f t="array" aca="1" ref="J277" ca="1">IF(B277=0,IF(E277=0,"",HYPERLINK("#"&amp;RIGHT(CELL("adresse",OFFSET(DMAV_Dienste!$M$6,E277-1,0)),LEN(CELL("adresse",OFFSET(DMAV_Dienste!$M$6,E277-1,0)))-FIND("]",CELL("adresse",OFFSET(DMAV_Dienste!$M$6,E277-1,0)))),"Dienst")),HYPERLINK("#"&amp;RIGHT(CELL("adresse",OFFSET(DMAV_Modell!$N$6,B277-1,0)),LEN(CELL("adresse",OFFSET(DMAV_Modell!$N$6,B277-1,0)))-FIND("]",CELL("adresse",OFFSET(DMAV_Modell!$N$6,B277-1,0)))),"Modell"))</f>
        <v>Modell</v>
      </c>
      <c r="K277" s="61" t="str" cm="1">
        <f t="array" ref="K277">IF($B277=0,IF($E277=0,"",IF(INDEX(DMAV_Dienste!P$6:P$140,$E277)="","",INDEX(DMAV_Dienste!P$6:P$140,$E277))),IF(INDEX(DMAV_Modell!Q$6:Q$838,$B277)="","",INDEX(DMAV_Modell!Q$6:Q$838,$B277)))</f>
        <v>CLASS</v>
      </c>
      <c r="L277" s="62" t="str" cm="1">
        <f t="array" ref="L277">IF($B277=0,IF($E277=0,"",IF(INDEX(DMAV_Dienste!O$6:O$140,$E277)="","",INDEX(DMAV_Dienste!O$6:O$140,$E277))),IF(INDEX(DMAV_Modell!P$6:P$838,$B277)="","",INDEX(DMAV_Modell!P$6:P$838,$B277)))</f>
        <v>FixpunkteAVKategorie3</v>
      </c>
      <c r="M277" s="62" t="str" cm="1">
        <f t="array" ref="M277">IF($B277=0,IF($E277=0,"",IF(INDEX(DMAV_Dienste!Q$6:Q$140,$E277)="","",INDEX(DMAV_Dienste!Q$6:Q$140,$E277))),IF(INDEX(DMAV_Modell!R$6:R$838,$B277)="","",INDEX(DMAV_Modell!R$6:R$838,$B277)))</f>
        <v>LFP3Nachfuehrung</v>
      </c>
      <c r="N277" s="62" t="str" cm="1">
        <f t="array" ref="N277">IF($B277=0,IF($E277=0,"",IF(INDEX(DMAV_Dienste!T$6:T$140,$E277)="","",INDEX(DMAV_Dienste!T$6:T$140,$E277))),IF(INDEX(DMAV_Modell!U$6:U$838,$B277)="","",INDEX(DMAV_Modell!U$6:U$838,$B277)))</f>
        <v>NBIdent</v>
      </c>
      <c r="O277" s="63" t="str" cm="1">
        <f t="array" aca="1" ref="O277" ca="1">IF(C277=0,IF(F277=0,"",HYPERLINK("#"&amp;RIGHT(CELL("adresse",OFFSET(DMAV_Dienste!$M$6,F277-1,0)),LEN(CELL("adresse",OFFSET(DMAV_Dienste!$M$6,F277-1,0)))-FIND("]",CELL("adresse",OFFSET(DMAV_Dienste!$M$6,F277-1,0)))),"Structure")),HYPERLINK("#"&amp;RIGHT(CELL("adresse",OFFSET(DMAV_Modell!$N$6,C277-1,0)),LEN(CELL("adresse",OFFSET(DMAV_Modell!$N$6,C277-1,0)))-FIND("]",CELL("adresse",OFFSET(DMAV_Modell!$N$6,C277-1,0)))),"Structure"))</f>
        <v/>
      </c>
      <c r="P277" s="64" t="str" cm="1">
        <f t="array" aca="1" ref="P277" ca="1">IF(D277=0,IF(G277=0,"",HYPERLINK("#"&amp;RIGHT(CELL("adresse",OFFSET(DMAV_Dienste!$M$6,G277-1,0)),LEN(CELL("adresse",OFFSET(DMAV_Dienste!$M$6,G277-1,0)))-FIND("]",CELL("adresse",OFFSET(DMAV_Dienste!$M$6,G277-1,0)))),"Substructure")),HYPERLINK("#"&amp;RIGHT(CELL("adresse",OFFSET(DMAV_Modell!$N$6,D277-1,0)),LEN(CELL("adresse",OFFSET(DMAV_Modell!$N$6,D277-1,0)))-FIND("]",CELL("adresse",OFFSET(DMAV_Modell!$N$6,D277-1,0)))),"Substructure"))</f>
        <v/>
      </c>
      <c r="R277" s="80"/>
      <c r="T277" s="93"/>
      <c r="U277" s="94"/>
      <c r="V277" s="95"/>
      <c r="W277" s="96"/>
      <c r="Y277" s="85"/>
      <c r="Z277" s="86"/>
      <c r="AA277" s="87"/>
      <c r="AB277" s="88"/>
      <c r="AD277" s="77"/>
      <c r="AF277" s="54" t="str" cm="1">
        <f t="array" aca="1" ref="AF277" ca="1">IF(H277=0,"",HYPERLINK("#"&amp;RIGHT(CELL("adresse",OFFSET('DM01-AV-CH'!$G$6,H277-1,0)),LEN(CELL("adresse",OFFSET('DM01-AV-CH'!$G$6,H277-1,0)))-FIND("]",CELL("adresse",OFFSET('DM01-AV-CH'!$G$6,H277-1,0)))),"Modell"))</f>
        <v>Modell</v>
      </c>
      <c r="AG277" s="72" t="str" cm="1">
        <f t="array" ref="AG277">IF($H277=0,"",IF(INDEX('DM01-AV-CH'!G$6:G$834,$H277)="","",INDEX('DM01-AV-CH'!G$6:G$834,$H277)))</f>
        <v>FixpunkteKategorie3</v>
      </c>
      <c r="AH277" s="73" t="str" cm="1">
        <f t="array" ref="AH277">IF($H277=0,"",IF(INDEX('DM01-AV-CH'!H$6:H$834,$H277)="","",INDEX('DM01-AV-CH'!H$6:H$834,$H277)))</f>
        <v>LFP3Nachfuehrung</v>
      </c>
      <c r="AI277" s="74" t="str" cm="1">
        <f t="array" ref="AI277">IF($H277=0,"",IF(INDEX('DM01-AV-CH'!I$6:I$834,$H277)="","",INDEX('DM01-AV-CH'!I$6:I$834,$H277)))</f>
        <v>NBIdent</v>
      </c>
    </row>
    <row r="278" spans="1:35" x14ac:dyDescent="0.25">
      <c r="A278" s="57">
        <v>273</v>
      </c>
      <c r="B278" s="57">
        <f>IF($A278="","",IF(_xlfn.XLOOKUP($A278,Korrelation!$D$4:$D$1197,Korrelation!E$4:E$1197,"-",0)="-",0,MATCH(_xlfn.XLOOKUP($A278,Korrelation!$D$4:$D$1197,Korrelation!E$4:E$1197,"",0),DMAV_Modell!$G$6:$G$677,0)))</f>
        <v>76</v>
      </c>
      <c r="C278" s="57">
        <f>IF($A278="","",IF(_xlfn.XLOOKUP($A278,Korrelation!$D$4:$D$1197,Korrelation!F$4:F$1197,"-",0)="-",0,MATCH(_xlfn.XLOOKUP($A278,Korrelation!$D$4:$D$1197,Korrelation!F$4:F$1197,"",0),DMAV_Modell!$G$6:$G$677,0)))</f>
        <v>0</v>
      </c>
      <c r="D278" s="57">
        <f>IF($A278="","",IF(_xlfn.XLOOKUP($A278,Korrelation!$D$4:$D$1197,Korrelation!G$4:G$1197,"-",0)="-",0,MATCH(_xlfn.XLOOKUP($A278,Korrelation!$D$4:$D$1197,Korrelation!G$4:G$1197,"",0),DMAV_Modell!$G$6:$G$677,0)))</f>
        <v>0</v>
      </c>
      <c r="E278" s="57">
        <f>IF($A278="","",IF(_xlfn.XLOOKUP($A278,Korrelation!$D$4:$D$1197,Korrelation!H$4:H$1197,"-",0)="-",0,MATCH(_xlfn.XLOOKUP($A278,Korrelation!$D$4:$D$1197,Korrelation!H$4:H$1197,"",0),DMAV_Dienste!$F$6:$F$140,0)))</f>
        <v>0</v>
      </c>
      <c r="F278" s="57">
        <f>IF($A278="","",IF(_xlfn.XLOOKUP($A278,Korrelation!$D$4:$D$1197,Korrelation!I$4:I$1197,"-",0)="-",0,MATCH(_xlfn.XLOOKUP($A278,Korrelation!$D$4:$D$1197,Korrelation!I$4:I$1197,"",0),DMAV_Dienste!$F$6:$F$140,0)))</f>
        <v>0</v>
      </c>
      <c r="G278" s="57">
        <f>IF($A278="","",IF(_xlfn.XLOOKUP($A278,Korrelation!$D$4:$D$1197,Korrelation!J$4:J$1197,"-",0)="-",0,MATCH(_xlfn.XLOOKUP($A278,Korrelation!$D$4:$D$1197,Korrelation!J$4:J$1197,"",0),DMAV_Dienste!$F$6:$F$140,0)))</f>
        <v>0</v>
      </c>
      <c r="H278" s="57">
        <f>IF($A278="","",IF(_xlfn.XLOOKUP($A278,Korrelation!$D$4:$D$1197,Korrelation!K$4:K$1197,"-",0)="-",0,MATCH(_xlfn.XLOOKUP($A278,Korrelation!$D$4:$D$1197,Korrelation!K$4:K$1197,"",0),'DM01-AV-CH'!$A$6:$A$834,0)))</f>
        <v>126</v>
      </c>
      <c r="J278" s="54" t="str" cm="1">
        <f t="array" aca="1" ref="J278" ca="1">IF(B278=0,IF(E278=0,"",HYPERLINK("#"&amp;RIGHT(CELL("adresse",OFFSET(DMAV_Dienste!$M$6,E278-1,0)),LEN(CELL("adresse",OFFSET(DMAV_Dienste!$M$6,E278-1,0)))-FIND("]",CELL("adresse",OFFSET(DMAV_Dienste!$M$6,E278-1,0)))),"Dienst")),HYPERLINK("#"&amp;RIGHT(CELL("adresse",OFFSET(DMAV_Modell!$N$6,B278-1,0)),LEN(CELL("adresse",OFFSET(DMAV_Modell!$N$6,B278-1,0)))-FIND("]",CELL("adresse",OFFSET(DMAV_Modell!$N$6,B278-1,0)))),"Modell"))</f>
        <v>Modell</v>
      </c>
      <c r="K278" s="61" t="str" cm="1">
        <f t="array" ref="K278">IF($B278=0,IF($E278=0,"",IF(INDEX(DMAV_Dienste!P$6:P$140,$E278)="","",INDEX(DMAV_Dienste!P$6:P$140,$E278))),IF(INDEX(DMAV_Modell!Q$6:Q$838,$B278)="","",INDEX(DMAV_Modell!Q$6:Q$838,$B278)))</f>
        <v>CLASS</v>
      </c>
      <c r="L278" s="62" t="str" cm="1">
        <f t="array" ref="L278">IF($B278=0,IF($E278=0,"",IF(INDEX(DMAV_Dienste!O$6:O$140,$E278)="","",INDEX(DMAV_Dienste!O$6:O$140,$E278))),IF(INDEX(DMAV_Modell!P$6:P$838,$B278)="","",INDEX(DMAV_Modell!P$6:P$838,$B278)))</f>
        <v>FixpunkteAVKategorie3</v>
      </c>
      <c r="M278" s="62" t="str" cm="1">
        <f t="array" ref="M278">IF($B278=0,IF($E278=0,"",IF(INDEX(DMAV_Dienste!Q$6:Q$140,$E278)="","",INDEX(DMAV_Dienste!Q$6:Q$140,$E278))),IF(INDEX(DMAV_Modell!R$6:R$838,$B278)="","",INDEX(DMAV_Modell!R$6:R$838,$B278)))</f>
        <v>LFP3Nachfuehrung</v>
      </c>
      <c r="N278" s="62" t="str" cm="1">
        <f t="array" ref="N278">IF($B278=0,IF($E278=0,"",IF(INDEX(DMAV_Dienste!T$6:T$140,$E278)="","",INDEX(DMAV_Dienste!T$6:T$140,$E278))),IF(INDEX(DMAV_Modell!U$6:U$838,$B278)="","",INDEX(DMAV_Modell!U$6:U$838,$B278)))</f>
        <v>Identifikator</v>
      </c>
      <c r="O278" s="63" t="str" cm="1">
        <f t="array" aca="1" ref="O278" ca="1">IF(C278=0,IF(F278=0,"",HYPERLINK("#"&amp;RIGHT(CELL("adresse",OFFSET(DMAV_Dienste!$M$6,F278-1,0)),LEN(CELL("adresse",OFFSET(DMAV_Dienste!$M$6,F278-1,0)))-FIND("]",CELL("adresse",OFFSET(DMAV_Dienste!$M$6,F278-1,0)))),"Structure")),HYPERLINK("#"&amp;RIGHT(CELL("adresse",OFFSET(DMAV_Modell!$N$6,C278-1,0)),LEN(CELL("adresse",OFFSET(DMAV_Modell!$N$6,C278-1,0)))-FIND("]",CELL("adresse",OFFSET(DMAV_Modell!$N$6,C278-1,0)))),"Structure"))</f>
        <v/>
      </c>
      <c r="P278" s="64" t="str" cm="1">
        <f t="array" aca="1" ref="P278" ca="1">IF(D278=0,IF(G278=0,"",HYPERLINK("#"&amp;RIGHT(CELL("adresse",OFFSET(DMAV_Dienste!$M$6,G278-1,0)),LEN(CELL("adresse",OFFSET(DMAV_Dienste!$M$6,G278-1,0)))-FIND("]",CELL("adresse",OFFSET(DMAV_Dienste!$M$6,G278-1,0)))),"Substructure")),HYPERLINK("#"&amp;RIGHT(CELL("adresse",OFFSET(DMAV_Modell!$N$6,D278-1,0)),LEN(CELL("adresse",OFFSET(DMAV_Modell!$N$6,D278-1,0)))-FIND("]",CELL("adresse",OFFSET(DMAV_Modell!$N$6,D278-1,0)))),"Substructure"))</f>
        <v/>
      </c>
      <c r="R278" s="80"/>
      <c r="T278" s="93"/>
      <c r="U278" s="94"/>
      <c r="V278" s="95"/>
      <c r="W278" s="96"/>
      <c r="Y278" s="85"/>
      <c r="Z278" s="86"/>
      <c r="AA278" s="87"/>
      <c r="AB278" s="88"/>
      <c r="AD278" s="77"/>
      <c r="AF278" s="54" t="str" cm="1">
        <f t="array" aca="1" ref="AF278" ca="1">IF(H278=0,"",HYPERLINK("#"&amp;RIGHT(CELL("adresse",OFFSET('DM01-AV-CH'!$G$6,H278-1,0)),LEN(CELL("adresse",OFFSET('DM01-AV-CH'!$G$6,H278-1,0)))-FIND("]",CELL("adresse",OFFSET('DM01-AV-CH'!$G$6,H278-1,0)))),"Modell"))</f>
        <v>Modell</v>
      </c>
      <c r="AG278" s="72" t="str" cm="1">
        <f t="array" ref="AG278">IF($H278=0,"",IF(INDEX('DM01-AV-CH'!G$6:G$834,$H278)="","",INDEX('DM01-AV-CH'!G$6:G$834,$H278)))</f>
        <v>FixpunkteKategorie3</v>
      </c>
      <c r="AH278" s="73" t="str" cm="1">
        <f t="array" ref="AH278">IF($H278=0,"",IF(INDEX('DM01-AV-CH'!H$6:H$834,$H278)="","",INDEX('DM01-AV-CH'!H$6:H$834,$H278)))</f>
        <v>LFP3Nachfuehrung</v>
      </c>
      <c r="AI278" s="74" t="str" cm="1">
        <f t="array" ref="AI278">IF($H278=0,"",IF(INDEX('DM01-AV-CH'!I$6:I$834,$H278)="","",INDEX('DM01-AV-CH'!I$6:I$834,$H278)))</f>
        <v>Identifikator</v>
      </c>
    </row>
    <row r="279" spans="1:35" x14ac:dyDescent="0.25">
      <c r="A279" s="57">
        <v>274</v>
      </c>
      <c r="B279" s="57">
        <f>IF($A279="","",IF(_xlfn.XLOOKUP($A279,Korrelation!$D$4:$D$1197,Korrelation!E$4:E$1197,"-",0)="-",0,MATCH(_xlfn.XLOOKUP($A279,Korrelation!$D$4:$D$1197,Korrelation!E$4:E$1197,"",0),DMAV_Modell!$G$6:$G$677,0)))</f>
        <v>77</v>
      </c>
      <c r="C279" s="57">
        <f>IF($A279="","",IF(_xlfn.XLOOKUP($A279,Korrelation!$D$4:$D$1197,Korrelation!F$4:F$1197,"-",0)="-",0,MATCH(_xlfn.XLOOKUP($A279,Korrelation!$D$4:$D$1197,Korrelation!F$4:F$1197,"",0),DMAV_Modell!$G$6:$G$677,0)))</f>
        <v>0</v>
      </c>
      <c r="D279" s="57">
        <f>IF($A279="","",IF(_xlfn.XLOOKUP($A279,Korrelation!$D$4:$D$1197,Korrelation!G$4:G$1197,"-",0)="-",0,MATCH(_xlfn.XLOOKUP($A279,Korrelation!$D$4:$D$1197,Korrelation!G$4:G$1197,"",0),DMAV_Modell!$G$6:$G$677,0)))</f>
        <v>0</v>
      </c>
      <c r="E279" s="57">
        <f>IF($A279="","",IF(_xlfn.XLOOKUP($A279,Korrelation!$D$4:$D$1197,Korrelation!H$4:H$1197,"-",0)="-",0,MATCH(_xlfn.XLOOKUP($A279,Korrelation!$D$4:$D$1197,Korrelation!H$4:H$1197,"",0),DMAV_Dienste!$F$6:$F$140,0)))</f>
        <v>0</v>
      </c>
      <c r="F279" s="57">
        <f>IF($A279="","",IF(_xlfn.XLOOKUP($A279,Korrelation!$D$4:$D$1197,Korrelation!I$4:I$1197,"-",0)="-",0,MATCH(_xlfn.XLOOKUP($A279,Korrelation!$D$4:$D$1197,Korrelation!I$4:I$1197,"",0),DMAV_Dienste!$F$6:$F$140,0)))</f>
        <v>0</v>
      </c>
      <c r="G279" s="57">
        <f>IF($A279="","",IF(_xlfn.XLOOKUP($A279,Korrelation!$D$4:$D$1197,Korrelation!J$4:J$1197,"-",0)="-",0,MATCH(_xlfn.XLOOKUP($A279,Korrelation!$D$4:$D$1197,Korrelation!J$4:J$1197,"",0),DMAV_Dienste!$F$6:$F$140,0)))</f>
        <v>0</v>
      </c>
      <c r="H279" s="57">
        <f>IF($A279="","",IF(_xlfn.XLOOKUP($A279,Korrelation!$D$4:$D$1197,Korrelation!K$4:K$1197,"-",0)="-",0,MATCH(_xlfn.XLOOKUP($A279,Korrelation!$D$4:$D$1197,Korrelation!K$4:K$1197,"",0),'DM01-AV-CH'!$A$6:$A$834,0)))</f>
        <v>127</v>
      </c>
      <c r="J279" s="54" t="str" cm="1">
        <f t="array" aca="1" ref="J279" ca="1">IF(B279=0,IF(E279=0,"",HYPERLINK("#"&amp;RIGHT(CELL("adresse",OFFSET(DMAV_Dienste!$M$6,E279-1,0)),LEN(CELL("adresse",OFFSET(DMAV_Dienste!$M$6,E279-1,0)))-FIND("]",CELL("adresse",OFFSET(DMAV_Dienste!$M$6,E279-1,0)))),"Dienst")),HYPERLINK("#"&amp;RIGHT(CELL("adresse",OFFSET(DMAV_Modell!$N$6,B279-1,0)),LEN(CELL("adresse",OFFSET(DMAV_Modell!$N$6,B279-1,0)))-FIND("]",CELL("adresse",OFFSET(DMAV_Modell!$N$6,B279-1,0)))),"Modell"))</f>
        <v>Modell</v>
      </c>
      <c r="K279" s="61" t="str" cm="1">
        <f t="array" ref="K279">IF($B279=0,IF($E279=0,"",IF(INDEX(DMAV_Dienste!P$6:P$140,$E279)="","",INDEX(DMAV_Dienste!P$6:P$140,$E279))),IF(INDEX(DMAV_Modell!Q$6:Q$838,$B279)="","",INDEX(DMAV_Modell!Q$6:Q$838,$B279)))</f>
        <v>CLASS</v>
      </c>
      <c r="L279" s="62" t="str" cm="1">
        <f t="array" ref="L279">IF($B279=0,IF($E279=0,"",IF(INDEX(DMAV_Dienste!O$6:O$140,$E279)="","",INDEX(DMAV_Dienste!O$6:O$140,$E279))),IF(INDEX(DMAV_Modell!P$6:P$838,$B279)="","",INDEX(DMAV_Modell!P$6:P$838,$B279)))</f>
        <v>FixpunkteAVKategorie3</v>
      </c>
      <c r="M279" s="62" t="str" cm="1">
        <f t="array" ref="M279">IF($B279=0,IF($E279=0,"",IF(INDEX(DMAV_Dienste!Q$6:Q$140,$E279)="","",INDEX(DMAV_Dienste!Q$6:Q$140,$E279))),IF(INDEX(DMAV_Modell!R$6:R$838,$B279)="","",INDEX(DMAV_Modell!R$6:R$838,$B279)))</f>
        <v>LFP3Nachfuehrung</v>
      </c>
      <c r="N279" s="62" t="str" cm="1">
        <f t="array" ref="N279">IF($B279=0,IF($E279=0,"",IF(INDEX(DMAV_Dienste!T$6:T$140,$E279)="","",INDEX(DMAV_Dienste!T$6:T$140,$E279))),IF(INDEX(DMAV_Modell!U$6:U$838,$B279)="","",INDEX(DMAV_Modell!U$6:U$838,$B279)))</f>
        <v>Beschreibung</v>
      </c>
      <c r="O279" s="63" t="str" cm="1">
        <f t="array" aca="1" ref="O279" ca="1">IF(C279=0,IF(F279=0,"",HYPERLINK("#"&amp;RIGHT(CELL("adresse",OFFSET(DMAV_Dienste!$M$6,F279-1,0)),LEN(CELL("adresse",OFFSET(DMAV_Dienste!$M$6,F279-1,0)))-FIND("]",CELL("adresse",OFFSET(DMAV_Dienste!$M$6,F279-1,0)))),"Structure")),HYPERLINK("#"&amp;RIGHT(CELL("adresse",OFFSET(DMAV_Modell!$N$6,C279-1,0)),LEN(CELL("adresse",OFFSET(DMAV_Modell!$N$6,C279-1,0)))-FIND("]",CELL("adresse",OFFSET(DMAV_Modell!$N$6,C279-1,0)))),"Structure"))</f>
        <v/>
      </c>
      <c r="P279" s="64" t="str" cm="1">
        <f t="array" aca="1" ref="P279" ca="1">IF(D279=0,IF(G279=0,"",HYPERLINK("#"&amp;RIGHT(CELL("adresse",OFFSET(DMAV_Dienste!$M$6,G279-1,0)),LEN(CELL("adresse",OFFSET(DMAV_Dienste!$M$6,G279-1,0)))-FIND("]",CELL("adresse",OFFSET(DMAV_Dienste!$M$6,G279-1,0)))),"Substructure")),HYPERLINK("#"&amp;RIGHT(CELL("adresse",OFFSET(DMAV_Modell!$N$6,D279-1,0)),LEN(CELL("adresse",OFFSET(DMAV_Modell!$N$6,D279-1,0)))-FIND("]",CELL("adresse",OFFSET(DMAV_Modell!$N$6,D279-1,0)))),"Substructure"))</f>
        <v/>
      </c>
      <c r="R279" s="80"/>
      <c r="T279" s="93"/>
      <c r="U279" s="94"/>
      <c r="V279" s="95"/>
      <c r="W279" s="96"/>
      <c r="Y279" s="85"/>
      <c r="Z279" s="86"/>
      <c r="AA279" s="87"/>
      <c r="AB279" s="88"/>
      <c r="AD279" s="77"/>
      <c r="AF279" s="54" t="str" cm="1">
        <f t="array" aca="1" ref="AF279" ca="1">IF(H279=0,"",HYPERLINK("#"&amp;RIGHT(CELL("adresse",OFFSET('DM01-AV-CH'!$G$6,H279-1,0)),LEN(CELL("adresse",OFFSET('DM01-AV-CH'!$G$6,H279-1,0)))-FIND("]",CELL("adresse",OFFSET('DM01-AV-CH'!$G$6,H279-1,0)))),"Modell"))</f>
        <v>Modell</v>
      </c>
      <c r="AG279" s="72" t="str" cm="1">
        <f t="array" ref="AG279">IF($H279=0,"",IF(INDEX('DM01-AV-CH'!G$6:G$834,$H279)="","",INDEX('DM01-AV-CH'!G$6:G$834,$H279)))</f>
        <v>FixpunkteKategorie3</v>
      </c>
      <c r="AH279" s="73" t="str" cm="1">
        <f t="array" ref="AH279">IF($H279=0,"",IF(INDEX('DM01-AV-CH'!H$6:H$834,$H279)="","",INDEX('DM01-AV-CH'!H$6:H$834,$H279)))</f>
        <v>LFP3Nachfuehrung</v>
      </c>
      <c r="AI279" s="74" t="str" cm="1">
        <f t="array" ref="AI279">IF($H279=0,"",IF(INDEX('DM01-AV-CH'!I$6:I$834,$H279)="","",INDEX('DM01-AV-CH'!I$6:I$834,$H279)))</f>
        <v>Beschreibung</v>
      </c>
    </row>
    <row r="280" spans="1:35" x14ac:dyDescent="0.25">
      <c r="A280" s="57">
        <v>275</v>
      </c>
      <c r="B280" s="57">
        <f>IF($A280="","",IF(_xlfn.XLOOKUP($A280,Korrelation!$D$4:$D$1197,Korrelation!E$4:E$1197,"-",0)="-",0,MATCH(_xlfn.XLOOKUP($A280,Korrelation!$D$4:$D$1197,Korrelation!E$4:E$1197,"",0),DMAV_Modell!$G$6:$G$677,0)))</f>
        <v>78</v>
      </c>
      <c r="C280" s="57">
        <f>IF($A280="","",IF(_xlfn.XLOOKUP($A280,Korrelation!$D$4:$D$1197,Korrelation!F$4:F$1197,"-",0)="-",0,MATCH(_xlfn.XLOOKUP($A280,Korrelation!$D$4:$D$1197,Korrelation!F$4:F$1197,"",0),DMAV_Modell!$G$6:$G$677,0)))</f>
        <v>0</v>
      </c>
      <c r="D280" s="57">
        <f>IF($A280="","",IF(_xlfn.XLOOKUP($A280,Korrelation!$D$4:$D$1197,Korrelation!G$4:G$1197,"-",0)="-",0,MATCH(_xlfn.XLOOKUP($A280,Korrelation!$D$4:$D$1197,Korrelation!G$4:G$1197,"",0),DMAV_Modell!$G$6:$G$677,0)))</f>
        <v>0</v>
      </c>
      <c r="E280" s="57">
        <f>IF($A280="","",IF(_xlfn.XLOOKUP($A280,Korrelation!$D$4:$D$1197,Korrelation!H$4:H$1197,"-",0)="-",0,MATCH(_xlfn.XLOOKUP($A280,Korrelation!$D$4:$D$1197,Korrelation!H$4:H$1197,"",0),DMAV_Dienste!$F$6:$F$140,0)))</f>
        <v>0</v>
      </c>
      <c r="F280" s="57">
        <f>IF($A280="","",IF(_xlfn.XLOOKUP($A280,Korrelation!$D$4:$D$1197,Korrelation!I$4:I$1197,"-",0)="-",0,MATCH(_xlfn.XLOOKUP($A280,Korrelation!$D$4:$D$1197,Korrelation!I$4:I$1197,"",0),DMAV_Dienste!$F$6:$F$140,0)))</f>
        <v>0</v>
      </c>
      <c r="G280" s="57">
        <f>IF($A280="","",IF(_xlfn.XLOOKUP($A280,Korrelation!$D$4:$D$1197,Korrelation!J$4:J$1197,"-",0)="-",0,MATCH(_xlfn.XLOOKUP($A280,Korrelation!$D$4:$D$1197,Korrelation!J$4:J$1197,"",0),DMAV_Dienste!$F$6:$F$140,0)))</f>
        <v>0</v>
      </c>
      <c r="H280" s="57">
        <f>IF($A280="","",IF(_xlfn.XLOOKUP($A280,Korrelation!$D$4:$D$1197,Korrelation!K$4:K$1197,"-",0)="-",0,MATCH(_xlfn.XLOOKUP($A280,Korrelation!$D$4:$D$1197,Korrelation!K$4:K$1197,"",0),'DM01-AV-CH'!$A$6:$A$834,0)))</f>
        <v>128</v>
      </c>
      <c r="J280" s="54" t="str" cm="1">
        <f t="array" aca="1" ref="J280" ca="1">IF(B280=0,IF(E280=0,"",HYPERLINK("#"&amp;RIGHT(CELL("adresse",OFFSET(DMAV_Dienste!$M$6,E280-1,0)),LEN(CELL("adresse",OFFSET(DMAV_Dienste!$M$6,E280-1,0)))-FIND("]",CELL("adresse",OFFSET(DMAV_Dienste!$M$6,E280-1,0)))),"Dienst")),HYPERLINK("#"&amp;RIGHT(CELL("adresse",OFFSET(DMAV_Modell!$N$6,B280-1,0)),LEN(CELL("adresse",OFFSET(DMAV_Modell!$N$6,B280-1,0)))-FIND("]",CELL("adresse",OFFSET(DMAV_Modell!$N$6,B280-1,0)))),"Modell"))</f>
        <v>Modell</v>
      </c>
      <c r="K280" s="61" t="str" cm="1">
        <f t="array" ref="K280">IF($B280=0,IF($E280=0,"",IF(INDEX(DMAV_Dienste!P$6:P$140,$E280)="","",INDEX(DMAV_Dienste!P$6:P$140,$E280))),IF(INDEX(DMAV_Modell!Q$6:Q$838,$B280)="","",INDEX(DMAV_Modell!Q$6:Q$838,$B280)))</f>
        <v>CLASS</v>
      </c>
      <c r="L280" s="62" t="str" cm="1">
        <f t="array" ref="L280">IF($B280=0,IF($E280=0,"",IF(INDEX(DMAV_Dienste!O$6:O$140,$E280)="","",INDEX(DMAV_Dienste!O$6:O$140,$E280))),IF(INDEX(DMAV_Modell!P$6:P$838,$B280)="","",INDEX(DMAV_Modell!P$6:P$838,$B280)))</f>
        <v>FixpunkteAVKategorie3</v>
      </c>
      <c r="M280" s="62" t="str" cm="1">
        <f t="array" ref="M280">IF($B280=0,IF($E280=0,"",IF(INDEX(DMAV_Dienste!Q$6:Q$140,$E280)="","",INDEX(DMAV_Dienste!Q$6:Q$140,$E280))),IF(INDEX(DMAV_Modell!R$6:R$838,$B280)="","",INDEX(DMAV_Modell!R$6:R$838,$B280)))</f>
        <v>LFP3Nachfuehrung</v>
      </c>
      <c r="N280" s="62" t="str" cm="1">
        <f t="array" ref="N280">IF($B280=0,IF($E280=0,"",IF(INDEX(DMAV_Dienste!T$6:T$140,$E280)="","",INDEX(DMAV_Dienste!T$6:T$140,$E280))),IF(INDEX(DMAV_Modell!U$6:U$838,$B280)="","",INDEX(DMAV_Modell!U$6:U$838,$B280)))</f>
        <v>Perimeter</v>
      </c>
      <c r="O280" s="63" t="str" cm="1">
        <f t="array" aca="1" ref="O280" ca="1">IF(C280=0,IF(F280=0,"",HYPERLINK("#"&amp;RIGHT(CELL("adresse",OFFSET(DMAV_Dienste!$M$6,F280-1,0)),LEN(CELL("adresse",OFFSET(DMAV_Dienste!$M$6,F280-1,0)))-FIND("]",CELL("adresse",OFFSET(DMAV_Dienste!$M$6,F280-1,0)))),"Structure")),HYPERLINK("#"&amp;RIGHT(CELL("adresse",OFFSET(DMAV_Modell!$N$6,C280-1,0)),LEN(CELL("adresse",OFFSET(DMAV_Modell!$N$6,C280-1,0)))-FIND("]",CELL("adresse",OFFSET(DMAV_Modell!$N$6,C280-1,0)))),"Structure"))</f>
        <v/>
      </c>
      <c r="P280" s="64" t="str" cm="1">
        <f t="array" aca="1" ref="P280" ca="1">IF(D280=0,IF(G280=0,"",HYPERLINK("#"&amp;RIGHT(CELL("adresse",OFFSET(DMAV_Dienste!$M$6,G280-1,0)),LEN(CELL("adresse",OFFSET(DMAV_Dienste!$M$6,G280-1,0)))-FIND("]",CELL("adresse",OFFSET(DMAV_Dienste!$M$6,G280-1,0)))),"Substructure")),HYPERLINK("#"&amp;RIGHT(CELL("adresse",OFFSET(DMAV_Modell!$N$6,D280-1,0)),LEN(CELL("adresse",OFFSET(DMAV_Modell!$N$6,D280-1,0)))-FIND("]",CELL("adresse",OFFSET(DMAV_Modell!$N$6,D280-1,0)))),"Substructure"))</f>
        <v/>
      </c>
      <c r="R280" s="80"/>
      <c r="T280" s="93"/>
      <c r="U280" s="94"/>
      <c r="V280" s="95"/>
      <c r="W280" s="96"/>
      <c r="Y280" s="85"/>
      <c r="Z280" s="86"/>
      <c r="AA280" s="87"/>
      <c r="AB280" s="88"/>
      <c r="AD280" s="77"/>
      <c r="AF280" s="54" t="str" cm="1">
        <f t="array" aca="1" ref="AF280" ca="1">IF(H280=0,"",HYPERLINK("#"&amp;RIGHT(CELL("adresse",OFFSET('DM01-AV-CH'!$G$6,H280-1,0)),LEN(CELL("adresse",OFFSET('DM01-AV-CH'!$G$6,H280-1,0)))-FIND("]",CELL("adresse",OFFSET('DM01-AV-CH'!$G$6,H280-1,0)))),"Modell"))</f>
        <v>Modell</v>
      </c>
      <c r="AG280" s="72" t="str" cm="1">
        <f t="array" ref="AG280">IF($H280=0,"",IF(INDEX('DM01-AV-CH'!G$6:G$834,$H280)="","",INDEX('DM01-AV-CH'!G$6:G$834,$H280)))</f>
        <v>FixpunkteKategorie3</v>
      </c>
      <c r="AH280" s="73" t="str" cm="1">
        <f t="array" ref="AH280">IF($H280=0,"",IF(INDEX('DM01-AV-CH'!H$6:H$834,$H280)="","",INDEX('DM01-AV-CH'!H$6:H$834,$H280)))</f>
        <v>LFP3Nachfuehrung</v>
      </c>
      <c r="AI280" s="74" t="str" cm="1">
        <f t="array" ref="AI280">IF($H280=0,"",IF(INDEX('DM01-AV-CH'!I$6:I$834,$H280)="","",INDEX('DM01-AV-CH'!I$6:I$834,$H280)))</f>
        <v>Perimeter</v>
      </c>
    </row>
    <row r="281" spans="1:35" x14ac:dyDescent="0.25">
      <c r="A281" s="57">
        <v>276</v>
      </c>
      <c r="B281" s="57">
        <f>IF($A281="","",IF(_xlfn.XLOOKUP($A281,Korrelation!$D$4:$D$1197,Korrelation!E$4:E$1197,"-",0)="-",0,MATCH(_xlfn.XLOOKUP($A281,Korrelation!$D$4:$D$1197,Korrelation!E$4:E$1197,"",0),DMAV_Modell!$G$6:$G$677,0)))</f>
        <v>79</v>
      </c>
      <c r="C281" s="57">
        <f>IF($A281="","",IF(_xlfn.XLOOKUP($A281,Korrelation!$D$4:$D$1197,Korrelation!F$4:F$1197,"-",0)="-",0,MATCH(_xlfn.XLOOKUP($A281,Korrelation!$D$4:$D$1197,Korrelation!F$4:F$1197,"",0),DMAV_Modell!$G$6:$G$677,0)))</f>
        <v>0</v>
      </c>
      <c r="D281" s="57">
        <f>IF($A281="","",IF(_xlfn.XLOOKUP($A281,Korrelation!$D$4:$D$1197,Korrelation!G$4:G$1197,"-",0)="-",0,MATCH(_xlfn.XLOOKUP($A281,Korrelation!$D$4:$D$1197,Korrelation!G$4:G$1197,"",0),DMAV_Modell!$G$6:$G$677,0)))</f>
        <v>0</v>
      </c>
      <c r="E281" s="57">
        <f>IF($A281="","",IF(_xlfn.XLOOKUP($A281,Korrelation!$D$4:$D$1197,Korrelation!H$4:H$1197,"-",0)="-",0,MATCH(_xlfn.XLOOKUP($A281,Korrelation!$D$4:$D$1197,Korrelation!H$4:H$1197,"",0),DMAV_Dienste!$F$6:$F$140,0)))</f>
        <v>0</v>
      </c>
      <c r="F281" s="57">
        <f>IF($A281="","",IF(_xlfn.XLOOKUP($A281,Korrelation!$D$4:$D$1197,Korrelation!I$4:I$1197,"-",0)="-",0,MATCH(_xlfn.XLOOKUP($A281,Korrelation!$D$4:$D$1197,Korrelation!I$4:I$1197,"",0),DMAV_Dienste!$F$6:$F$140,0)))</f>
        <v>0</v>
      </c>
      <c r="G281" s="57">
        <f>IF($A281="","",IF(_xlfn.XLOOKUP($A281,Korrelation!$D$4:$D$1197,Korrelation!J$4:J$1197,"-",0)="-",0,MATCH(_xlfn.XLOOKUP($A281,Korrelation!$D$4:$D$1197,Korrelation!J$4:J$1197,"",0),DMAV_Dienste!$F$6:$F$140,0)))</f>
        <v>0</v>
      </c>
      <c r="H281" s="57">
        <f>IF($A281="","",IF(_xlfn.XLOOKUP($A281,Korrelation!$D$4:$D$1197,Korrelation!K$4:K$1197,"-",0)="-",0,MATCH(_xlfn.XLOOKUP($A281,Korrelation!$D$4:$D$1197,Korrelation!K$4:K$1197,"",0),'DM01-AV-CH'!$A$6:$A$834,0)))</f>
        <v>129</v>
      </c>
      <c r="J281" s="54" t="str" cm="1">
        <f t="array" aca="1" ref="J281" ca="1">IF(B281=0,IF(E281=0,"",HYPERLINK("#"&amp;RIGHT(CELL("adresse",OFFSET(DMAV_Dienste!$M$6,E281-1,0)),LEN(CELL("adresse",OFFSET(DMAV_Dienste!$M$6,E281-1,0)))-FIND("]",CELL("adresse",OFFSET(DMAV_Dienste!$M$6,E281-1,0)))),"Dienst")),HYPERLINK("#"&amp;RIGHT(CELL("adresse",OFFSET(DMAV_Modell!$N$6,B281-1,0)),LEN(CELL("adresse",OFFSET(DMAV_Modell!$N$6,B281-1,0)))-FIND("]",CELL("adresse",OFFSET(DMAV_Modell!$N$6,B281-1,0)))),"Modell"))</f>
        <v>Modell</v>
      </c>
      <c r="K281" s="61" t="str" cm="1">
        <f t="array" ref="K281">IF($B281=0,IF($E281=0,"",IF(INDEX(DMAV_Dienste!P$6:P$140,$E281)="","",INDEX(DMAV_Dienste!P$6:P$140,$E281))),IF(INDEX(DMAV_Modell!Q$6:Q$838,$B281)="","",INDEX(DMAV_Modell!Q$6:Q$838,$B281)))</f>
        <v>CLASS</v>
      </c>
      <c r="L281" s="62" t="str" cm="1">
        <f t="array" ref="L281">IF($B281=0,IF($E281=0,"",IF(INDEX(DMAV_Dienste!O$6:O$140,$E281)="","",INDEX(DMAV_Dienste!O$6:O$140,$E281))),IF(INDEX(DMAV_Modell!P$6:P$838,$B281)="","",INDEX(DMAV_Modell!P$6:P$838,$B281)))</f>
        <v>FixpunkteAVKategorie3</v>
      </c>
      <c r="M281" s="62" t="str" cm="1">
        <f t="array" ref="M281">IF($B281=0,IF($E281=0,"",IF(INDEX(DMAV_Dienste!Q$6:Q$140,$E281)="","",INDEX(DMAV_Dienste!Q$6:Q$140,$E281))),IF(INDEX(DMAV_Modell!R$6:R$838,$B281)="","",INDEX(DMAV_Modell!R$6:R$838,$B281)))</f>
        <v>LFP3Nachfuehrung</v>
      </c>
      <c r="N281" s="62" t="str" cm="1">
        <f t="array" ref="N281">IF($B281=0,IF($E281=0,"",IF(INDEX(DMAV_Dienste!T$6:T$140,$E281)="","",INDEX(DMAV_Dienste!T$6:T$140,$E281))),IF(INDEX(DMAV_Modell!U$6:U$838,$B281)="","",INDEX(DMAV_Modell!U$6:U$838,$B281)))</f>
        <v>GueltigerEintrag</v>
      </c>
      <c r="O281" s="63" t="str" cm="1">
        <f t="array" aca="1" ref="O281" ca="1">IF(C281=0,IF(F281=0,"",HYPERLINK("#"&amp;RIGHT(CELL("adresse",OFFSET(DMAV_Dienste!$M$6,F281-1,0)),LEN(CELL("adresse",OFFSET(DMAV_Dienste!$M$6,F281-1,0)))-FIND("]",CELL("adresse",OFFSET(DMAV_Dienste!$M$6,F281-1,0)))),"Structure")),HYPERLINK("#"&amp;RIGHT(CELL("adresse",OFFSET(DMAV_Modell!$N$6,C281-1,0)),LEN(CELL("adresse",OFFSET(DMAV_Modell!$N$6,C281-1,0)))-FIND("]",CELL("adresse",OFFSET(DMAV_Modell!$N$6,C281-1,0)))),"Structure"))</f>
        <v/>
      </c>
      <c r="P281" s="64" t="str" cm="1">
        <f t="array" aca="1" ref="P281" ca="1">IF(D281=0,IF(G281=0,"",HYPERLINK("#"&amp;RIGHT(CELL("adresse",OFFSET(DMAV_Dienste!$M$6,G281-1,0)),LEN(CELL("adresse",OFFSET(DMAV_Dienste!$M$6,G281-1,0)))-FIND("]",CELL("adresse",OFFSET(DMAV_Dienste!$M$6,G281-1,0)))),"Substructure")),HYPERLINK("#"&amp;RIGHT(CELL("adresse",OFFSET(DMAV_Modell!$N$6,D281-1,0)),LEN(CELL("adresse",OFFSET(DMAV_Modell!$N$6,D281-1,0)))-FIND("]",CELL("adresse",OFFSET(DMAV_Modell!$N$6,D281-1,0)))),"Substructure"))</f>
        <v/>
      </c>
      <c r="R281" s="80"/>
      <c r="T281" s="93"/>
      <c r="U281" s="94"/>
      <c r="V281" s="95"/>
      <c r="W281" s="96"/>
      <c r="Y281" s="85"/>
      <c r="Z281" s="86"/>
      <c r="AA281" s="87"/>
      <c r="AB281" s="88"/>
      <c r="AD281" s="77"/>
      <c r="AF281" s="54" t="str" cm="1">
        <f t="array" aca="1" ref="AF281" ca="1">IF(H281=0,"",HYPERLINK("#"&amp;RIGHT(CELL("adresse",OFFSET('DM01-AV-CH'!$G$6,H281-1,0)),LEN(CELL("adresse",OFFSET('DM01-AV-CH'!$G$6,H281-1,0)))-FIND("]",CELL("adresse",OFFSET('DM01-AV-CH'!$G$6,H281-1,0)))),"Modell"))</f>
        <v>Modell</v>
      </c>
      <c r="AG281" s="72" t="str" cm="1">
        <f t="array" ref="AG281">IF($H281=0,"",IF(INDEX('DM01-AV-CH'!G$6:G$834,$H281)="","",INDEX('DM01-AV-CH'!G$6:G$834,$H281)))</f>
        <v>FixpunkteKategorie3</v>
      </c>
      <c r="AH281" s="73" t="str" cm="1">
        <f t="array" ref="AH281">IF($H281=0,"",IF(INDEX('DM01-AV-CH'!H$6:H$834,$H281)="","",INDEX('DM01-AV-CH'!H$6:H$834,$H281)))</f>
        <v>LFP3Nachfuehrung</v>
      </c>
      <c r="AI281" s="74" t="str" cm="1">
        <f t="array" ref="AI281">IF($H281=0,"",IF(INDEX('DM01-AV-CH'!I$6:I$834,$H281)="","",INDEX('DM01-AV-CH'!I$6:I$834,$H281)))</f>
        <v>GueltigerEintrag</v>
      </c>
    </row>
    <row r="282" spans="1:35" ht="28.5" x14ac:dyDescent="0.25">
      <c r="A282" s="57">
        <v>277</v>
      </c>
      <c r="B282" s="57">
        <f>IF($A282="","",IF(_xlfn.XLOOKUP($A282,Korrelation!$D$4:$D$1197,Korrelation!E$4:E$1197,"-",0)="-",0,MATCH(_xlfn.XLOOKUP($A282,Korrelation!$D$4:$D$1197,Korrelation!E$4:E$1197,"",0),DMAV_Modell!$G$6:$G$677,0)))</f>
        <v>79</v>
      </c>
      <c r="C282" s="57">
        <f>IF($A282="","",IF(_xlfn.XLOOKUP($A282,Korrelation!$D$4:$D$1197,Korrelation!F$4:F$1197,"-",0)="-",0,MATCH(_xlfn.XLOOKUP($A282,Korrelation!$D$4:$D$1197,Korrelation!F$4:F$1197,"",0),DMAV_Modell!$G$6:$G$677,0)))</f>
        <v>0</v>
      </c>
      <c r="D282" s="57">
        <f>IF($A282="","",IF(_xlfn.XLOOKUP($A282,Korrelation!$D$4:$D$1197,Korrelation!G$4:G$1197,"-",0)="-",0,MATCH(_xlfn.XLOOKUP($A282,Korrelation!$D$4:$D$1197,Korrelation!G$4:G$1197,"",0),DMAV_Modell!$G$6:$G$677,0)))</f>
        <v>0</v>
      </c>
      <c r="E282" s="57">
        <f>IF($A282="","",IF(_xlfn.XLOOKUP($A282,Korrelation!$D$4:$D$1197,Korrelation!H$4:H$1197,"-",0)="-",0,MATCH(_xlfn.XLOOKUP($A282,Korrelation!$D$4:$D$1197,Korrelation!H$4:H$1197,"",0),DMAV_Dienste!$F$6:$F$140,0)))</f>
        <v>0</v>
      </c>
      <c r="F282" s="57">
        <f>IF($A282="","",IF(_xlfn.XLOOKUP($A282,Korrelation!$D$4:$D$1197,Korrelation!I$4:I$1197,"-",0)="-",0,MATCH(_xlfn.XLOOKUP($A282,Korrelation!$D$4:$D$1197,Korrelation!I$4:I$1197,"",0),DMAV_Dienste!$F$6:$F$140,0)))</f>
        <v>0</v>
      </c>
      <c r="G282" s="57">
        <f>IF($A282="","",IF(_xlfn.XLOOKUP($A282,Korrelation!$D$4:$D$1197,Korrelation!J$4:J$1197,"-",0)="-",0,MATCH(_xlfn.XLOOKUP($A282,Korrelation!$D$4:$D$1197,Korrelation!J$4:J$1197,"",0),DMAV_Dienste!$F$6:$F$140,0)))</f>
        <v>0</v>
      </c>
      <c r="H282" s="57">
        <f>IF($A282="","",IF(_xlfn.XLOOKUP($A282,Korrelation!$D$4:$D$1197,Korrelation!K$4:K$1197,"-",0)="-",0,MATCH(_xlfn.XLOOKUP($A282,Korrelation!$D$4:$D$1197,Korrelation!K$4:K$1197,"",0),'DM01-AV-CH'!$A$6:$A$834,0)))</f>
        <v>130</v>
      </c>
      <c r="J282" s="54" t="str" cm="1">
        <f t="array" aca="1" ref="J282" ca="1">IF(B282=0,IF(E282=0,"",HYPERLINK("#"&amp;RIGHT(CELL("adresse",OFFSET(DMAV_Dienste!$M$6,E282-1,0)),LEN(CELL("adresse",OFFSET(DMAV_Dienste!$M$6,E282-1,0)))-FIND("]",CELL("adresse",OFFSET(DMAV_Dienste!$M$6,E282-1,0)))),"Dienst")),HYPERLINK("#"&amp;RIGHT(CELL("adresse",OFFSET(DMAV_Modell!$N$6,B282-1,0)),LEN(CELL("adresse",OFFSET(DMAV_Modell!$N$6,B282-1,0)))-FIND("]",CELL("adresse",OFFSET(DMAV_Modell!$N$6,B282-1,0)))),"Modell"))</f>
        <v>Modell</v>
      </c>
      <c r="K282" s="61" t="str" cm="1">
        <f t="array" ref="K282">IF($B282=0,IF($E282=0,"",IF(INDEX(DMAV_Dienste!P$6:P$140,$E282)="","",INDEX(DMAV_Dienste!P$6:P$140,$E282))),IF(INDEX(DMAV_Modell!Q$6:Q$838,$B282)="","",INDEX(DMAV_Modell!Q$6:Q$838,$B282)))</f>
        <v>CLASS</v>
      </c>
      <c r="L282" s="62" t="str" cm="1">
        <f t="array" ref="L282">IF($B282=0,IF($E282=0,"",IF(INDEX(DMAV_Dienste!O$6:O$140,$E282)="","",INDEX(DMAV_Dienste!O$6:O$140,$E282))),IF(INDEX(DMAV_Modell!P$6:P$838,$B282)="","",INDEX(DMAV_Modell!P$6:P$838,$B282)))</f>
        <v>FixpunkteAVKategorie3</v>
      </c>
      <c r="M282" s="62" t="str" cm="1">
        <f t="array" ref="M282">IF($B282=0,IF($E282=0,"",IF(INDEX(DMAV_Dienste!Q$6:Q$140,$E282)="","",INDEX(DMAV_Dienste!Q$6:Q$140,$E282))),IF(INDEX(DMAV_Modell!R$6:R$838,$B282)="","",INDEX(DMAV_Modell!R$6:R$838,$B282)))</f>
        <v>LFP3Nachfuehrung</v>
      </c>
      <c r="N282" s="62" t="str" cm="1">
        <f t="array" ref="N282">IF($B282=0,IF($E282=0,"",IF(INDEX(DMAV_Dienste!T$6:T$140,$E282)="","",INDEX(DMAV_Dienste!T$6:T$140,$E282))),IF(INDEX(DMAV_Modell!U$6:U$838,$B282)="","",INDEX(DMAV_Modell!U$6:U$838,$B282)))</f>
        <v>GueltigerEintrag</v>
      </c>
      <c r="O282" s="63" t="str" cm="1">
        <f t="array" aca="1" ref="O282" ca="1">IF(C282=0,IF(F282=0,"",HYPERLINK("#"&amp;RIGHT(CELL("adresse",OFFSET(DMAV_Dienste!$M$6,F282-1,0)),LEN(CELL("adresse",OFFSET(DMAV_Dienste!$M$6,F282-1,0)))-FIND("]",CELL("adresse",OFFSET(DMAV_Dienste!$M$6,F282-1,0)))),"Structure")),HYPERLINK("#"&amp;RIGHT(CELL("adresse",OFFSET(DMAV_Modell!$N$6,C282-1,0)),LEN(CELL("adresse",OFFSET(DMAV_Modell!$N$6,C282-1,0)))-FIND("]",CELL("adresse",OFFSET(DMAV_Modell!$N$6,C282-1,0)))),"Structure"))</f>
        <v/>
      </c>
      <c r="P282" s="64" t="str" cm="1">
        <f t="array" aca="1" ref="P282" ca="1">IF(D282=0,IF(G282=0,"",HYPERLINK("#"&amp;RIGHT(CELL("adresse",OFFSET(DMAV_Dienste!$M$6,G282-1,0)),LEN(CELL("adresse",OFFSET(DMAV_Dienste!$M$6,G282-1,0)))-FIND("]",CELL("adresse",OFFSET(DMAV_Dienste!$M$6,G282-1,0)))),"Substructure")),HYPERLINK("#"&amp;RIGHT(CELL("adresse",OFFSET(DMAV_Modell!$N$6,D282-1,0)),LEN(CELL("adresse",OFFSET(DMAV_Modell!$N$6,D282-1,0)))-FIND("]",CELL("adresse",OFFSET(DMAV_Modell!$N$6,D282-1,0)))),"Substructure"))</f>
        <v/>
      </c>
      <c r="R282" s="80"/>
      <c r="T282" s="93" t="s">
        <v>3322</v>
      </c>
      <c r="U282" s="94"/>
      <c r="V282" s="95"/>
      <c r="W282" s="96"/>
      <c r="Y282" s="85"/>
      <c r="Z282" s="86"/>
      <c r="AA282" s="87"/>
      <c r="AB282" s="88"/>
      <c r="AD282" s="77" t="s">
        <v>3049</v>
      </c>
      <c r="AF282" s="54" t="str" cm="1">
        <f t="array" aca="1" ref="AF282" ca="1">IF(H282=0,"",HYPERLINK("#"&amp;RIGHT(CELL("adresse",OFFSET('DM01-AV-CH'!$G$6,H282-1,0)),LEN(CELL("adresse",OFFSET('DM01-AV-CH'!$G$6,H282-1,0)))-FIND("]",CELL("adresse",OFFSET('DM01-AV-CH'!$G$6,H282-1,0)))),"Modell"))</f>
        <v>Modell</v>
      </c>
      <c r="AG282" s="72" t="str" cm="1">
        <f t="array" ref="AG282">IF($H282=0,"",IF(INDEX('DM01-AV-CH'!G$6:G$834,$H282)="","",INDEX('DM01-AV-CH'!G$6:G$834,$H282)))</f>
        <v>FixpunkteKategorie3</v>
      </c>
      <c r="AH282" s="73" t="str" cm="1">
        <f t="array" ref="AH282">IF($H282=0,"",IF(INDEX('DM01-AV-CH'!H$6:H$834,$H282)="","",INDEX('DM01-AV-CH'!H$6:H$834,$H282)))</f>
        <v>LFP3Nachfuehrung</v>
      </c>
      <c r="AI282" s="74" t="str" cm="1">
        <f t="array" ref="AI282">IF($H282=0,"",IF(INDEX('DM01-AV-CH'!I$6:I$834,$H282)="","",INDEX('DM01-AV-CH'!I$6:I$834,$H282)))</f>
        <v>Datum1</v>
      </c>
    </row>
    <row r="283" spans="1:35" x14ac:dyDescent="0.25">
      <c r="A283" s="57">
        <v>278</v>
      </c>
      <c r="B283" s="57">
        <f>IF($A283="","",IF(_xlfn.XLOOKUP($A283,Korrelation!$D$4:$D$1197,Korrelation!E$4:E$1197,"-",0)="-",0,MATCH(_xlfn.XLOOKUP($A283,Korrelation!$D$4:$D$1197,Korrelation!E$4:E$1197,"",0),DMAV_Modell!$G$6:$G$677,0)))</f>
        <v>0</v>
      </c>
      <c r="C283" s="57">
        <f>IF($A283="","",IF(_xlfn.XLOOKUP($A283,Korrelation!$D$4:$D$1197,Korrelation!F$4:F$1197,"-",0)="-",0,MATCH(_xlfn.XLOOKUP($A283,Korrelation!$D$4:$D$1197,Korrelation!F$4:F$1197,"",0),DMAV_Modell!$G$6:$G$677,0)))</f>
        <v>0</v>
      </c>
      <c r="D283" s="57">
        <f>IF($A283="","",IF(_xlfn.XLOOKUP($A283,Korrelation!$D$4:$D$1197,Korrelation!G$4:G$1197,"-",0)="-",0,MATCH(_xlfn.XLOOKUP($A283,Korrelation!$D$4:$D$1197,Korrelation!G$4:G$1197,"",0),DMAV_Modell!$G$6:$G$677,0)))</f>
        <v>0</v>
      </c>
      <c r="E283" s="57">
        <f>IF($A283="","",IF(_xlfn.XLOOKUP($A283,Korrelation!$D$4:$D$1197,Korrelation!H$4:H$1197,"-",0)="-",0,MATCH(_xlfn.XLOOKUP($A283,Korrelation!$D$4:$D$1197,Korrelation!H$4:H$1197,"",0),DMAV_Dienste!$F$6:$F$140,0)))</f>
        <v>0</v>
      </c>
      <c r="F283" s="57">
        <f>IF($A283="","",IF(_xlfn.XLOOKUP($A283,Korrelation!$D$4:$D$1197,Korrelation!I$4:I$1197,"-",0)="-",0,MATCH(_xlfn.XLOOKUP($A283,Korrelation!$D$4:$D$1197,Korrelation!I$4:I$1197,"",0),DMAV_Dienste!$F$6:$F$140,0)))</f>
        <v>0</v>
      </c>
      <c r="G283" s="57">
        <f>IF($A283="","",IF(_xlfn.XLOOKUP($A283,Korrelation!$D$4:$D$1197,Korrelation!J$4:J$1197,"-",0)="-",0,MATCH(_xlfn.XLOOKUP($A283,Korrelation!$D$4:$D$1197,Korrelation!J$4:J$1197,"",0),DMAV_Dienste!$F$6:$F$140,0)))</f>
        <v>0</v>
      </c>
      <c r="H283" s="57">
        <f>IF($A283="","",IF(_xlfn.XLOOKUP($A283,Korrelation!$D$4:$D$1197,Korrelation!K$4:K$1197,"-",0)="-",0,MATCH(_xlfn.XLOOKUP($A283,Korrelation!$D$4:$D$1197,Korrelation!K$4:K$1197,"",0),'DM01-AV-CH'!$A$6:$A$834,0)))</f>
        <v>131</v>
      </c>
      <c r="J283" s="54" t="str" cm="1">
        <f t="array" aca="1" ref="J283" ca="1">IF(B283=0,IF(E283=0,"",HYPERLINK("#"&amp;RIGHT(CELL("adresse",OFFSET(DMAV_Dienste!$M$6,E283-1,0)),LEN(CELL("adresse",OFFSET(DMAV_Dienste!$M$6,E283-1,0)))-FIND("]",CELL("adresse",OFFSET(DMAV_Dienste!$M$6,E283-1,0)))),"Dienst")),HYPERLINK("#"&amp;RIGHT(CELL("adresse",OFFSET(DMAV_Modell!$N$6,B283-1,0)),LEN(CELL("adresse",OFFSET(DMAV_Modell!$N$6,B283-1,0)))-FIND("]",CELL("adresse",OFFSET(DMAV_Modell!$N$6,B283-1,0)))),"Modell"))</f>
        <v/>
      </c>
      <c r="K283" s="61" t="str" cm="1">
        <f t="array" ref="K283">IF($B283=0,IF($E283=0,"",IF(INDEX(DMAV_Dienste!P$6:P$140,$E283)="","",INDEX(DMAV_Dienste!P$6:P$140,$E283))),IF(INDEX(DMAV_Modell!Q$6:Q$838,$B283)="","",INDEX(DMAV_Modell!Q$6:Q$838,$B283)))</f>
        <v/>
      </c>
      <c r="L283" s="62" t="str" cm="1">
        <f t="array" ref="L283">IF($B283=0,IF($E283=0,"",IF(INDEX(DMAV_Dienste!O$6:O$140,$E283)="","",INDEX(DMAV_Dienste!O$6:O$140,$E283))),IF(INDEX(DMAV_Modell!P$6:P$838,$B283)="","",INDEX(DMAV_Modell!P$6:P$838,$B283)))</f>
        <v/>
      </c>
      <c r="M283" s="62" t="str" cm="1">
        <f t="array" ref="M283">IF($B283=0,IF($E283=0,"",IF(INDEX(DMAV_Dienste!Q$6:Q$140,$E283)="","",INDEX(DMAV_Dienste!Q$6:Q$140,$E283))),IF(INDEX(DMAV_Modell!R$6:R$838,$B283)="","",INDEX(DMAV_Modell!R$6:R$838,$B283)))</f>
        <v/>
      </c>
      <c r="N283" s="62" t="str" cm="1">
        <f t="array" ref="N283">IF($B283=0,IF($E283=0,"",IF(INDEX(DMAV_Dienste!T$6:T$140,$E283)="","",INDEX(DMAV_Dienste!T$6:T$140,$E283))),IF(INDEX(DMAV_Modell!U$6:U$838,$B283)="","",INDEX(DMAV_Modell!U$6:U$838,$B283)))</f>
        <v/>
      </c>
      <c r="O283" s="63" t="str" cm="1">
        <f t="array" aca="1" ref="O283" ca="1">IF(C283=0,IF(F283=0,"",HYPERLINK("#"&amp;RIGHT(CELL("adresse",OFFSET(DMAV_Dienste!$M$6,F283-1,0)),LEN(CELL("adresse",OFFSET(DMAV_Dienste!$M$6,F283-1,0)))-FIND("]",CELL("adresse",OFFSET(DMAV_Dienste!$M$6,F283-1,0)))),"Structure")),HYPERLINK("#"&amp;RIGHT(CELL("adresse",OFFSET(DMAV_Modell!$N$6,C283-1,0)),LEN(CELL("adresse",OFFSET(DMAV_Modell!$N$6,C283-1,0)))-FIND("]",CELL("adresse",OFFSET(DMAV_Modell!$N$6,C283-1,0)))),"Structure"))</f>
        <v/>
      </c>
      <c r="P283" s="64" t="str" cm="1">
        <f t="array" aca="1" ref="P283" ca="1">IF(D283=0,IF(G283=0,"",HYPERLINK("#"&amp;RIGHT(CELL("adresse",OFFSET(DMAV_Dienste!$M$6,G283-1,0)),LEN(CELL("adresse",OFFSET(DMAV_Dienste!$M$6,G283-1,0)))-FIND("]",CELL("adresse",OFFSET(DMAV_Dienste!$M$6,G283-1,0)))),"Substructure")),HYPERLINK("#"&amp;RIGHT(CELL("adresse",OFFSET(DMAV_Modell!$N$6,D283-1,0)),LEN(CELL("adresse",OFFSET(DMAV_Modell!$N$6,D283-1,0)))-FIND("]",CELL("adresse",OFFSET(DMAV_Modell!$N$6,D283-1,0)))),"Substructure"))</f>
        <v/>
      </c>
      <c r="R283" s="80"/>
      <c r="T283" s="93"/>
      <c r="U283" s="94"/>
      <c r="V283" s="95"/>
      <c r="W283" s="96"/>
      <c r="Y283" s="85"/>
      <c r="Z283" s="86"/>
      <c r="AA283" s="87"/>
      <c r="AB283" s="88"/>
      <c r="AD283" s="77"/>
      <c r="AF283" s="54" t="str" cm="1">
        <f t="array" aca="1" ref="AF283" ca="1">IF(H283=0,"",HYPERLINK("#"&amp;RIGHT(CELL("adresse",OFFSET('DM01-AV-CH'!$G$6,H283-1,0)),LEN(CELL("adresse",OFFSET('DM01-AV-CH'!$G$6,H283-1,0)))-FIND("]",CELL("adresse",OFFSET('DM01-AV-CH'!$G$6,H283-1,0)))),"Modell"))</f>
        <v>Modell</v>
      </c>
      <c r="AG283" s="72" t="str" cm="1">
        <f t="array" ref="AG283">IF($H283=0,"",IF(INDEX('DM01-AV-CH'!G$6:G$834,$H283)="","",INDEX('DM01-AV-CH'!G$6:G$834,$H283)))</f>
        <v>FixpunkteKategorie3</v>
      </c>
      <c r="AH283" s="73" t="str" cm="1">
        <f t="array" ref="AH283">IF($H283=0,"",IF(INDEX('DM01-AV-CH'!H$6:H$834,$H283)="","",INDEX('DM01-AV-CH'!H$6:H$834,$H283)))</f>
        <v>LFP3</v>
      </c>
      <c r="AI283" s="74" t="str" cm="1">
        <f t="array" ref="AI283">IF($H283=0,"",IF(INDEX('DM01-AV-CH'!I$6:I$834,$H283)="","",INDEX('DM01-AV-CH'!I$6:I$834,$H283)))</f>
        <v>Entstehung</v>
      </c>
    </row>
    <row r="284" spans="1:35" x14ac:dyDescent="0.25">
      <c r="A284" s="57">
        <v>279</v>
      </c>
      <c r="B284" s="57">
        <f>IF($A284="","",IF(_xlfn.XLOOKUP($A284,Korrelation!$D$4:$D$1197,Korrelation!E$4:E$1197,"-",0)="-",0,MATCH(_xlfn.XLOOKUP($A284,Korrelation!$D$4:$D$1197,Korrelation!E$4:E$1197,"",0),DMAV_Modell!$G$6:$G$677,0)))</f>
        <v>80</v>
      </c>
      <c r="C284" s="57">
        <f>IF($A284="","",IF(_xlfn.XLOOKUP($A284,Korrelation!$D$4:$D$1197,Korrelation!F$4:F$1197,"-",0)="-",0,MATCH(_xlfn.XLOOKUP($A284,Korrelation!$D$4:$D$1197,Korrelation!F$4:F$1197,"",0),DMAV_Modell!$G$6:$G$677,0)))</f>
        <v>0</v>
      </c>
      <c r="D284" s="57">
        <f>IF($A284="","",IF(_xlfn.XLOOKUP($A284,Korrelation!$D$4:$D$1197,Korrelation!G$4:G$1197,"-",0)="-",0,MATCH(_xlfn.XLOOKUP($A284,Korrelation!$D$4:$D$1197,Korrelation!G$4:G$1197,"",0),DMAV_Modell!$G$6:$G$677,0)))</f>
        <v>0</v>
      </c>
      <c r="E284" s="57">
        <f>IF($A284="","",IF(_xlfn.XLOOKUP($A284,Korrelation!$D$4:$D$1197,Korrelation!H$4:H$1197,"-",0)="-",0,MATCH(_xlfn.XLOOKUP($A284,Korrelation!$D$4:$D$1197,Korrelation!H$4:H$1197,"",0),DMAV_Dienste!$F$6:$F$140,0)))</f>
        <v>0</v>
      </c>
      <c r="F284" s="57">
        <f>IF($A284="","",IF(_xlfn.XLOOKUP($A284,Korrelation!$D$4:$D$1197,Korrelation!I$4:I$1197,"-",0)="-",0,MATCH(_xlfn.XLOOKUP($A284,Korrelation!$D$4:$D$1197,Korrelation!I$4:I$1197,"",0),DMAV_Dienste!$F$6:$F$140,0)))</f>
        <v>0</v>
      </c>
      <c r="G284" s="57">
        <f>IF($A284="","",IF(_xlfn.XLOOKUP($A284,Korrelation!$D$4:$D$1197,Korrelation!J$4:J$1197,"-",0)="-",0,MATCH(_xlfn.XLOOKUP($A284,Korrelation!$D$4:$D$1197,Korrelation!J$4:J$1197,"",0),DMAV_Dienste!$F$6:$F$140,0)))</f>
        <v>0</v>
      </c>
      <c r="H284" s="57">
        <f>IF($A284="","",IF(_xlfn.XLOOKUP($A284,Korrelation!$D$4:$D$1197,Korrelation!K$4:K$1197,"-",0)="-",0,MATCH(_xlfn.XLOOKUP($A284,Korrelation!$D$4:$D$1197,Korrelation!K$4:K$1197,"",0),'DM01-AV-CH'!$A$6:$A$834,0)))</f>
        <v>132</v>
      </c>
      <c r="J284" s="54" t="str" cm="1">
        <f t="array" aca="1" ref="J284" ca="1">IF(B284=0,IF(E284=0,"",HYPERLINK("#"&amp;RIGHT(CELL("adresse",OFFSET(DMAV_Dienste!$M$6,E284-1,0)),LEN(CELL("adresse",OFFSET(DMAV_Dienste!$M$6,E284-1,0)))-FIND("]",CELL("adresse",OFFSET(DMAV_Dienste!$M$6,E284-1,0)))),"Dienst")),HYPERLINK("#"&amp;RIGHT(CELL("adresse",OFFSET(DMAV_Modell!$N$6,B284-1,0)),LEN(CELL("adresse",OFFSET(DMAV_Modell!$N$6,B284-1,0)))-FIND("]",CELL("adresse",OFFSET(DMAV_Modell!$N$6,B284-1,0)))),"Modell"))</f>
        <v>Modell</v>
      </c>
      <c r="K284" s="61" t="str" cm="1">
        <f t="array" ref="K284">IF($B284=0,IF($E284=0,"",IF(INDEX(DMAV_Dienste!P$6:P$140,$E284)="","",INDEX(DMAV_Dienste!P$6:P$140,$E284))),IF(INDEX(DMAV_Modell!Q$6:Q$838,$B284)="","",INDEX(DMAV_Modell!Q$6:Q$838,$B284)))</f>
        <v>CLASS</v>
      </c>
      <c r="L284" s="62" t="str" cm="1">
        <f t="array" ref="L284">IF($B284=0,IF($E284=0,"",IF(INDEX(DMAV_Dienste!O$6:O$140,$E284)="","",INDEX(DMAV_Dienste!O$6:O$140,$E284))),IF(INDEX(DMAV_Modell!P$6:P$838,$B284)="","",INDEX(DMAV_Modell!P$6:P$838,$B284)))</f>
        <v>FixpunkteAVKategorie3</v>
      </c>
      <c r="M284" s="62" t="str" cm="1">
        <f t="array" ref="M284">IF($B284=0,IF($E284=0,"",IF(INDEX(DMAV_Dienste!Q$6:Q$140,$E284)="","",INDEX(DMAV_Dienste!Q$6:Q$140,$E284))),IF(INDEX(DMAV_Modell!R$6:R$838,$B284)="","",INDEX(DMAV_Modell!R$6:R$838,$B284)))</f>
        <v>LFP3</v>
      </c>
      <c r="N284" s="62" t="str" cm="1">
        <f t="array" ref="N284">IF($B284=0,IF($E284=0,"",IF(INDEX(DMAV_Dienste!T$6:T$140,$E284)="","",INDEX(DMAV_Dienste!T$6:T$140,$E284))),IF(INDEX(DMAV_Modell!U$6:U$838,$B284)="","",INDEX(DMAV_Modell!U$6:U$838,$B284)))</f>
        <v>NBIdent</v>
      </c>
      <c r="O284" s="63" t="str" cm="1">
        <f t="array" aca="1" ref="O284" ca="1">IF(C284=0,IF(F284=0,"",HYPERLINK("#"&amp;RIGHT(CELL("adresse",OFFSET(DMAV_Dienste!$M$6,F284-1,0)),LEN(CELL("adresse",OFFSET(DMAV_Dienste!$M$6,F284-1,0)))-FIND("]",CELL("adresse",OFFSET(DMAV_Dienste!$M$6,F284-1,0)))),"Structure")),HYPERLINK("#"&amp;RIGHT(CELL("adresse",OFFSET(DMAV_Modell!$N$6,C284-1,0)),LEN(CELL("adresse",OFFSET(DMAV_Modell!$N$6,C284-1,0)))-FIND("]",CELL("adresse",OFFSET(DMAV_Modell!$N$6,C284-1,0)))),"Structure"))</f>
        <v/>
      </c>
      <c r="P284" s="64" t="str" cm="1">
        <f t="array" aca="1" ref="P284" ca="1">IF(D284=0,IF(G284=0,"",HYPERLINK("#"&amp;RIGHT(CELL("adresse",OFFSET(DMAV_Dienste!$M$6,G284-1,0)),LEN(CELL("adresse",OFFSET(DMAV_Dienste!$M$6,G284-1,0)))-FIND("]",CELL("adresse",OFFSET(DMAV_Dienste!$M$6,G284-1,0)))),"Substructure")),HYPERLINK("#"&amp;RIGHT(CELL("adresse",OFFSET(DMAV_Modell!$N$6,D284-1,0)),LEN(CELL("adresse",OFFSET(DMAV_Modell!$N$6,D284-1,0)))-FIND("]",CELL("adresse",OFFSET(DMAV_Modell!$N$6,D284-1,0)))),"Substructure"))</f>
        <v/>
      </c>
      <c r="R284" s="80"/>
      <c r="T284" s="93"/>
      <c r="U284" s="94"/>
      <c r="V284" s="95"/>
      <c r="W284" s="96"/>
      <c r="Y284" s="85"/>
      <c r="Z284" s="86"/>
      <c r="AA284" s="87"/>
      <c r="AB284" s="88"/>
      <c r="AD284" s="77"/>
      <c r="AF284" s="54" t="str" cm="1">
        <f t="array" aca="1" ref="AF284" ca="1">IF(H284=0,"",HYPERLINK("#"&amp;RIGHT(CELL("adresse",OFFSET('DM01-AV-CH'!$G$6,H284-1,0)),LEN(CELL("adresse",OFFSET('DM01-AV-CH'!$G$6,H284-1,0)))-FIND("]",CELL("adresse",OFFSET('DM01-AV-CH'!$G$6,H284-1,0)))),"Modell"))</f>
        <v>Modell</v>
      </c>
      <c r="AG284" s="72" t="str" cm="1">
        <f t="array" ref="AG284">IF($H284=0,"",IF(INDEX('DM01-AV-CH'!G$6:G$834,$H284)="","",INDEX('DM01-AV-CH'!G$6:G$834,$H284)))</f>
        <v>FixpunkteKategorie3</v>
      </c>
      <c r="AH284" s="73" t="str" cm="1">
        <f t="array" ref="AH284">IF($H284=0,"",IF(INDEX('DM01-AV-CH'!H$6:H$834,$H284)="","",INDEX('DM01-AV-CH'!H$6:H$834,$H284)))</f>
        <v>LFP3</v>
      </c>
      <c r="AI284" s="74" t="str" cm="1">
        <f t="array" ref="AI284">IF($H284=0,"",IF(INDEX('DM01-AV-CH'!I$6:I$834,$H284)="","",INDEX('DM01-AV-CH'!I$6:I$834,$H284)))</f>
        <v>NBIdent</v>
      </c>
    </row>
    <row r="285" spans="1:35" ht="114" x14ac:dyDescent="0.25">
      <c r="A285" s="57">
        <v>280</v>
      </c>
      <c r="B285" s="57">
        <f>IF($A285="","",IF(_xlfn.XLOOKUP($A285,Korrelation!$D$4:$D$1197,Korrelation!E$4:E$1197,"-",0)="-",0,MATCH(_xlfn.XLOOKUP($A285,Korrelation!$D$4:$D$1197,Korrelation!E$4:E$1197,"",0),DMAV_Modell!$G$6:$G$677,0)))</f>
        <v>81</v>
      </c>
      <c r="C285" s="57">
        <f>IF($A285="","",IF(_xlfn.XLOOKUP($A285,Korrelation!$D$4:$D$1197,Korrelation!F$4:F$1197,"-",0)="-",0,MATCH(_xlfn.XLOOKUP($A285,Korrelation!$D$4:$D$1197,Korrelation!F$4:F$1197,"",0),DMAV_Modell!$G$6:$G$677,0)))</f>
        <v>0</v>
      </c>
      <c r="D285" s="57">
        <f>IF($A285="","",IF(_xlfn.XLOOKUP($A285,Korrelation!$D$4:$D$1197,Korrelation!G$4:G$1197,"-",0)="-",0,MATCH(_xlfn.XLOOKUP($A285,Korrelation!$D$4:$D$1197,Korrelation!G$4:G$1197,"",0),DMAV_Modell!$G$6:$G$677,0)))</f>
        <v>0</v>
      </c>
      <c r="E285" s="57">
        <f>IF($A285="","",IF(_xlfn.XLOOKUP($A285,Korrelation!$D$4:$D$1197,Korrelation!H$4:H$1197,"-",0)="-",0,MATCH(_xlfn.XLOOKUP($A285,Korrelation!$D$4:$D$1197,Korrelation!H$4:H$1197,"",0),DMAV_Dienste!$F$6:$F$140,0)))</f>
        <v>0</v>
      </c>
      <c r="F285" s="57">
        <f>IF($A285="","",IF(_xlfn.XLOOKUP($A285,Korrelation!$D$4:$D$1197,Korrelation!I$4:I$1197,"-",0)="-",0,MATCH(_xlfn.XLOOKUP($A285,Korrelation!$D$4:$D$1197,Korrelation!I$4:I$1197,"",0),DMAV_Dienste!$F$6:$F$140,0)))</f>
        <v>0</v>
      </c>
      <c r="G285" s="57">
        <f>IF($A285="","",IF(_xlfn.XLOOKUP($A285,Korrelation!$D$4:$D$1197,Korrelation!J$4:J$1197,"-",0)="-",0,MATCH(_xlfn.XLOOKUP($A285,Korrelation!$D$4:$D$1197,Korrelation!J$4:J$1197,"",0),DMAV_Dienste!$F$6:$F$140,0)))</f>
        <v>0</v>
      </c>
      <c r="H285" s="57">
        <f>IF($A285="","",IF(_xlfn.XLOOKUP($A285,Korrelation!$D$4:$D$1197,Korrelation!K$4:K$1197,"-",0)="-",0,MATCH(_xlfn.XLOOKUP($A285,Korrelation!$D$4:$D$1197,Korrelation!K$4:K$1197,"",0),'DM01-AV-CH'!$A$6:$A$834,0)))</f>
        <v>133</v>
      </c>
      <c r="J285" s="54" t="str" cm="1">
        <f t="array" aca="1" ref="J285" ca="1">IF(B285=0,IF(E285=0,"",HYPERLINK("#"&amp;RIGHT(CELL("adresse",OFFSET(DMAV_Dienste!$M$6,E285-1,0)),LEN(CELL("adresse",OFFSET(DMAV_Dienste!$M$6,E285-1,0)))-FIND("]",CELL("adresse",OFFSET(DMAV_Dienste!$M$6,E285-1,0)))),"Dienst")),HYPERLINK("#"&amp;RIGHT(CELL("adresse",OFFSET(DMAV_Modell!$N$6,B285-1,0)),LEN(CELL("adresse",OFFSET(DMAV_Modell!$N$6,B285-1,0)))-FIND("]",CELL("adresse",OFFSET(DMAV_Modell!$N$6,B285-1,0)))),"Modell"))</f>
        <v>Modell</v>
      </c>
      <c r="K285" s="61" t="str" cm="1">
        <f t="array" ref="K285">IF($B285=0,IF($E285=0,"",IF(INDEX(DMAV_Dienste!P$6:P$140,$E285)="","",INDEX(DMAV_Dienste!P$6:P$140,$E285))),IF(INDEX(DMAV_Modell!Q$6:Q$838,$B285)="","",INDEX(DMAV_Modell!Q$6:Q$838,$B285)))</f>
        <v>CLASS</v>
      </c>
      <c r="L285" s="62" t="str" cm="1">
        <f t="array" ref="L285">IF($B285=0,IF($E285=0,"",IF(INDEX(DMAV_Dienste!O$6:O$140,$E285)="","",INDEX(DMAV_Dienste!O$6:O$140,$E285))),IF(INDEX(DMAV_Modell!P$6:P$838,$B285)="","",INDEX(DMAV_Modell!P$6:P$838,$B285)))</f>
        <v>FixpunkteAVKategorie3</v>
      </c>
      <c r="M285" s="62" t="str" cm="1">
        <f t="array" ref="M285">IF($B285=0,IF($E285=0,"",IF(INDEX(DMAV_Dienste!Q$6:Q$140,$E285)="","",INDEX(DMAV_Dienste!Q$6:Q$140,$E285))),IF(INDEX(DMAV_Modell!R$6:R$838,$B285)="","",INDEX(DMAV_Modell!R$6:R$838,$B285)))</f>
        <v>LFP3</v>
      </c>
      <c r="N285" s="62" t="str" cm="1">
        <f t="array" ref="N285">IF($B285=0,IF($E285=0,"",IF(INDEX(DMAV_Dienste!T$6:T$140,$E285)="","",INDEX(DMAV_Dienste!T$6:T$140,$E285))),IF(INDEX(DMAV_Modell!U$6:U$838,$B285)="","",INDEX(DMAV_Modell!U$6:U$838,$B285)))</f>
        <v>Nummer</v>
      </c>
      <c r="O285" s="63" t="str" cm="1">
        <f t="array" aca="1" ref="O285" ca="1">IF(C285=0,IF(F285=0,"",HYPERLINK("#"&amp;RIGHT(CELL("adresse",OFFSET(DMAV_Dienste!$M$6,F285-1,0)),LEN(CELL("adresse",OFFSET(DMAV_Dienste!$M$6,F285-1,0)))-FIND("]",CELL("adresse",OFFSET(DMAV_Dienste!$M$6,F285-1,0)))),"Structure")),HYPERLINK("#"&amp;RIGHT(CELL("adresse",OFFSET(DMAV_Modell!$N$6,C285-1,0)),LEN(CELL("adresse",OFFSET(DMAV_Modell!$N$6,C285-1,0)))-FIND("]",CELL("adresse",OFFSET(DMAV_Modell!$N$6,C285-1,0)))),"Structure"))</f>
        <v/>
      </c>
      <c r="P285" s="64" t="str" cm="1">
        <f t="array" aca="1" ref="P285" ca="1">IF(D285=0,IF(G285=0,"",HYPERLINK("#"&amp;RIGHT(CELL("adresse",OFFSET(DMAV_Dienste!$M$6,G285-1,0)),LEN(CELL("adresse",OFFSET(DMAV_Dienste!$M$6,G285-1,0)))-FIND("]",CELL("adresse",OFFSET(DMAV_Dienste!$M$6,G285-1,0)))),"Substructure")),HYPERLINK("#"&amp;RIGHT(CELL("adresse",OFFSET(DMAV_Modell!$N$6,D285-1,0)),LEN(CELL("adresse",OFFSET(DMAV_Modell!$N$6,D285-1,0)))-FIND("]",CELL("adresse",OFFSET(DMAV_Modell!$N$6,D285-1,0)))),"Substructure"))</f>
        <v/>
      </c>
      <c r="R285" s="80"/>
      <c r="T285" s="93"/>
      <c r="U285" s="94"/>
      <c r="V285" s="95"/>
      <c r="W285" s="96"/>
      <c r="Y285" s="85" t="s">
        <v>3100</v>
      </c>
      <c r="Z285" s="86" t="s">
        <v>1286</v>
      </c>
      <c r="AA285" s="87" t="s">
        <v>2982</v>
      </c>
      <c r="AB285" s="88" t="s">
        <v>3050</v>
      </c>
      <c r="AD285" s="77"/>
      <c r="AF285" s="54" t="str" cm="1">
        <f t="array" aca="1" ref="AF285" ca="1">IF(H285=0,"",HYPERLINK("#"&amp;RIGHT(CELL("adresse",OFFSET('DM01-AV-CH'!$G$6,H285-1,0)),LEN(CELL("adresse",OFFSET('DM01-AV-CH'!$G$6,H285-1,0)))-FIND("]",CELL("adresse",OFFSET('DM01-AV-CH'!$G$6,H285-1,0)))),"Modell"))</f>
        <v>Modell</v>
      </c>
      <c r="AG285" s="72" t="str" cm="1">
        <f t="array" ref="AG285">IF($H285=0,"",IF(INDEX('DM01-AV-CH'!G$6:G$834,$H285)="","",INDEX('DM01-AV-CH'!G$6:G$834,$H285)))</f>
        <v>FixpunkteKategorie3</v>
      </c>
      <c r="AH285" s="73" t="str" cm="1">
        <f t="array" ref="AH285">IF($H285=0,"",IF(INDEX('DM01-AV-CH'!H$6:H$834,$H285)="","",INDEX('DM01-AV-CH'!H$6:H$834,$H285)))</f>
        <v>LFP3</v>
      </c>
      <c r="AI285" s="74" t="str" cm="1">
        <f t="array" ref="AI285">IF($H285=0,"",IF(INDEX('DM01-AV-CH'!I$6:I$834,$H285)="","",INDEX('DM01-AV-CH'!I$6:I$834,$H285)))</f>
        <v>Nummer</v>
      </c>
    </row>
    <row r="286" spans="1:35" x14ac:dyDescent="0.25">
      <c r="A286" s="57">
        <v>281</v>
      </c>
      <c r="B286" s="57">
        <f>IF($A286="","",IF(_xlfn.XLOOKUP($A286,Korrelation!$D$4:$D$1197,Korrelation!E$4:E$1197,"-",0)="-",0,MATCH(_xlfn.XLOOKUP($A286,Korrelation!$D$4:$D$1197,Korrelation!E$4:E$1197,"",0),DMAV_Modell!$G$6:$G$677,0)))</f>
        <v>82</v>
      </c>
      <c r="C286" s="57">
        <f>IF($A286="","",IF(_xlfn.XLOOKUP($A286,Korrelation!$D$4:$D$1197,Korrelation!F$4:F$1197,"-",0)="-",0,MATCH(_xlfn.XLOOKUP($A286,Korrelation!$D$4:$D$1197,Korrelation!F$4:F$1197,"",0),DMAV_Modell!$G$6:$G$677,0)))</f>
        <v>0</v>
      </c>
      <c r="D286" s="57">
        <f>IF($A286="","",IF(_xlfn.XLOOKUP($A286,Korrelation!$D$4:$D$1197,Korrelation!G$4:G$1197,"-",0)="-",0,MATCH(_xlfn.XLOOKUP($A286,Korrelation!$D$4:$D$1197,Korrelation!G$4:G$1197,"",0),DMAV_Modell!$G$6:$G$677,0)))</f>
        <v>0</v>
      </c>
      <c r="E286" s="57">
        <f>IF($A286="","",IF(_xlfn.XLOOKUP($A286,Korrelation!$D$4:$D$1197,Korrelation!H$4:H$1197,"-",0)="-",0,MATCH(_xlfn.XLOOKUP($A286,Korrelation!$D$4:$D$1197,Korrelation!H$4:H$1197,"",0),DMAV_Dienste!$F$6:$F$140,0)))</f>
        <v>0</v>
      </c>
      <c r="F286" s="57">
        <f>IF($A286="","",IF(_xlfn.XLOOKUP($A286,Korrelation!$D$4:$D$1197,Korrelation!I$4:I$1197,"-",0)="-",0,MATCH(_xlfn.XLOOKUP($A286,Korrelation!$D$4:$D$1197,Korrelation!I$4:I$1197,"",0),DMAV_Dienste!$F$6:$F$140,0)))</f>
        <v>0</v>
      </c>
      <c r="G286" s="57">
        <f>IF($A286="","",IF(_xlfn.XLOOKUP($A286,Korrelation!$D$4:$D$1197,Korrelation!J$4:J$1197,"-",0)="-",0,MATCH(_xlfn.XLOOKUP($A286,Korrelation!$D$4:$D$1197,Korrelation!J$4:J$1197,"",0),DMAV_Dienste!$F$6:$F$140,0)))</f>
        <v>0</v>
      </c>
      <c r="H286" s="57">
        <f>IF($A286="","",IF(_xlfn.XLOOKUP($A286,Korrelation!$D$4:$D$1197,Korrelation!K$4:K$1197,"-",0)="-",0,MATCH(_xlfn.XLOOKUP($A286,Korrelation!$D$4:$D$1197,Korrelation!K$4:K$1197,"",0),'DM01-AV-CH'!$A$6:$A$834,0)))</f>
        <v>0</v>
      </c>
      <c r="J286" s="54" t="str" cm="1">
        <f t="array" aca="1" ref="J286" ca="1">IF(B286=0,IF(E286=0,"",HYPERLINK("#"&amp;RIGHT(CELL("adresse",OFFSET(DMAV_Dienste!$M$6,E286-1,0)),LEN(CELL("adresse",OFFSET(DMAV_Dienste!$M$6,E286-1,0)))-FIND("]",CELL("adresse",OFFSET(DMAV_Dienste!$M$6,E286-1,0)))),"Dienst")),HYPERLINK("#"&amp;RIGHT(CELL("adresse",OFFSET(DMAV_Modell!$N$6,B286-1,0)),LEN(CELL("adresse",OFFSET(DMAV_Modell!$N$6,B286-1,0)))-FIND("]",CELL("adresse",OFFSET(DMAV_Modell!$N$6,B286-1,0)))),"Modell"))</f>
        <v>Modell</v>
      </c>
      <c r="K286" s="61" t="str" cm="1">
        <f t="array" ref="K286">IF($B286=0,IF($E286=0,"",IF(INDEX(DMAV_Dienste!P$6:P$140,$E286)="","",INDEX(DMAV_Dienste!P$6:P$140,$E286))),IF(INDEX(DMAV_Modell!Q$6:Q$838,$B286)="","",INDEX(DMAV_Modell!Q$6:Q$838,$B286)))</f>
        <v>CLASS</v>
      </c>
      <c r="L286" s="62" t="str" cm="1">
        <f t="array" ref="L286">IF($B286=0,IF($E286=0,"",IF(INDEX(DMAV_Dienste!O$6:O$140,$E286)="","",INDEX(DMAV_Dienste!O$6:O$140,$E286))),IF(INDEX(DMAV_Modell!P$6:P$838,$B286)="","",INDEX(DMAV_Modell!P$6:P$838,$B286)))</f>
        <v>FixpunkteAVKategorie3</v>
      </c>
      <c r="M286" s="62" t="str" cm="1">
        <f t="array" ref="M286">IF($B286=0,IF($E286=0,"",IF(INDEX(DMAV_Dienste!Q$6:Q$140,$E286)="","",INDEX(DMAV_Dienste!Q$6:Q$140,$E286))),IF(INDEX(DMAV_Modell!R$6:R$838,$B286)="","",INDEX(DMAV_Modell!R$6:R$838,$B286)))</f>
        <v>LFP3</v>
      </c>
      <c r="N286" s="62" t="str" cm="1">
        <f t="array" ref="N286">IF($B286=0,IF($E286=0,"",IF(INDEX(DMAV_Dienste!T$6:T$140,$E286)="","",INDEX(DMAV_Dienste!T$6:T$140,$E286))),IF(INDEX(DMAV_Modell!U$6:U$838,$B286)="","",INDEX(DMAV_Modell!U$6:U$838,$B286)))</f>
        <v>LFPArt</v>
      </c>
      <c r="O286" s="63" t="str" cm="1">
        <f t="array" aca="1" ref="O286" ca="1">IF(C286=0,IF(F286=0,"",HYPERLINK("#"&amp;RIGHT(CELL("adresse",OFFSET(DMAV_Dienste!$M$6,F286-1,0)),LEN(CELL("adresse",OFFSET(DMAV_Dienste!$M$6,F286-1,0)))-FIND("]",CELL("adresse",OFFSET(DMAV_Dienste!$M$6,F286-1,0)))),"Structure")),HYPERLINK("#"&amp;RIGHT(CELL("adresse",OFFSET(DMAV_Modell!$N$6,C286-1,0)),LEN(CELL("adresse",OFFSET(DMAV_Modell!$N$6,C286-1,0)))-FIND("]",CELL("adresse",OFFSET(DMAV_Modell!$N$6,C286-1,0)))),"Structure"))</f>
        <v/>
      </c>
      <c r="P286" s="64" t="str" cm="1">
        <f t="array" aca="1" ref="P286" ca="1">IF(D286=0,IF(G286=0,"",HYPERLINK("#"&amp;RIGHT(CELL("adresse",OFFSET(DMAV_Dienste!$M$6,G286-1,0)),LEN(CELL("adresse",OFFSET(DMAV_Dienste!$M$6,G286-1,0)))-FIND("]",CELL("adresse",OFFSET(DMAV_Dienste!$M$6,G286-1,0)))),"Substructure")),HYPERLINK("#"&amp;RIGHT(CELL("adresse",OFFSET(DMAV_Modell!$N$6,D286-1,0)),LEN(CELL("adresse",OFFSET(DMAV_Modell!$N$6,D286-1,0)))-FIND("]",CELL("adresse",OFFSET(DMAV_Modell!$N$6,D286-1,0)))),"Substructure"))</f>
        <v/>
      </c>
      <c r="R286" s="80" t="s">
        <v>153</v>
      </c>
      <c r="T286" s="93"/>
      <c r="U286" s="94"/>
      <c r="V286" s="95"/>
      <c r="W286" s="96"/>
      <c r="Y286" s="85"/>
      <c r="Z286" s="86"/>
      <c r="AA286" s="87"/>
      <c r="AB286" s="88"/>
      <c r="AD286" s="77"/>
      <c r="AF286" s="54" t="str" cm="1">
        <f t="array" aca="1" ref="AF286" ca="1">IF(H286=0,"",HYPERLINK("#"&amp;RIGHT(CELL("adresse",OFFSET('DM01-AV-CH'!$G$6,H286-1,0)),LEN(CELL("adresse",OFFSET('DM01-AV-CH'!$G$6,H286-1,0)))-FIND("]",CELL("adresse",OFFSET('DM01-AV-CH'!$G$6,H286-1,0)))),"Modell"))</f>
        <v/>
      </c>
      <c r="AG286" s="72" t="str" cm="1">
        <f t="array" ref="AG286">IF($H286=0,"",IF(INDEX('DM01-AV-CH'!G$6:G$834,$H286)="","",INDEX('DM01-AV-CH'!G$6:G$834,$H286)))</f>
        <v/>
      </c>
      <c r="AH286" s="73" t="str" cm="1">
        <f t="array" ref="AH286">IF($H286=0,"",IF(INDEX('DM01-AV-CH'!H$6:H$834,$H286)="","",INDEX('DM01-AV-CH'!H$6:H$834,$H286)))</f>
        <v/>
      </c>
      <c r="AI286" s="74" t="str" cm="1">
        <f t="array" ref="AI286">IF($H286=0,"",IF(INDEX('DM01-AV-CH'!I$6:I$834,$H286)="","",INDEX('DM01-AV-CH'!I$6:I$834,$H286)))</f>
        <v/>
      </c>
    </row>
    <row r="287" spans="1:35" ht="114" x14ac:dyDescent="0.25">
      <c r="A287" s="57">
        <v>282</v>
      </c>
      <c r="B287" s="57">
        <f>IF($A287="","",IF(_xlfn.XLOOKUP($A287,Korrelation!$D$4:$D$1197,Korrelation!E$4:E$1197,"-",0)="-",0,MATCH(_xlfn.XLOOKUP($A287,Korrelation!$D$4:$D$1197,Korrelation!E$4:E$1197,"",0),DMAV_Modell!$G$6:$G$677,0)))</f>
        <v>83</v>
      </c>
      <c r="C287" s="57">
        <f>IF($A287="","",IF(_xlfn.XLOOKUP($A287,Korrelation!$D$4:$D$1197,Korrelation!F$4:F$1197,"-",0)="-",0,MATCH(_xlfn.XLOOKUP($A287,Korrelation!$D$4:$D$1197,Korrelation!F$4:F$1197,"",0),DMAV_Modell!$G$6:$G$677,0)))</f>
        <v>0</v>
      </c>
      <c r="D287" s="57">
        <f>IF($A287="","",IF(_xlfn.XLOOKUP($A287,Korrelation!$D$4:$D$1197,Korrelation!G$4:G$1197,"-",0)="-",0,MATCH(_xlfn.XLOOKUP($A287,Korrelation!$D$4:$D$1197,Korrelation!G$4:G$1197,"",0),DMAV_Modell!$G$6:$G$677,0)))</f>
        <v>0</v>
      </c>
      <c r="E287" s="57">
        <f>IF($A287="","",IF(_xlfn.XLOOKUP($A287,Korrelation!$D$4:$D$1197,Korrelation!H$4:H$1197,"-",0)="-",0,MATCH(_xlfn.XLOOKUP($A287,Korrelation!$D$4:$D$1197,Korrelation!H$4:H$1197,"",0),DMAV_Dienste!$F$6:$F$140,0)))</f>
        <v>0</v>
      </c>
      <c r="F287" s="57">
        <f>IF($A287="","",IF(_xlfn.XLOOKUP($A287,Korrelation!$D$4:$D$1197,Korrelation!I$4:I$1197,"-",0)="-",0,MATCH(_xlfn.XLOOKUP($A287,Korrelation!$D$4:$D$1197,Korrelation!I$4:I$1197,"",0),DMAV_Dienste!$F$6:$F$140,0)))</f>
        <v>0</v>
      </c>
      <c r="G287" s="57">
        <f>IF($A287="","",IF(_xlfn.XLOOKUP($A287,Korrelation!$D$4:$D$1197,Korrelation!J$4:J$1197,"-",0)="-",0,MATCH(_xlfn.XLOOKUP($A287,Korrelation!$D$4:$D$1197,Korrelation!J$4:J$1197,"",0),DMAV_Dienste!$F$6:$F$140,0)))</f>
        <v>0</v>
      </c>
      <c r="H287" s="57">
        <f>IF($A287="","",IF(_xlfn.XLOOKUP($A287,Korrelation!$D$4:$D$1197,Korrelation!K$4:K$1197,"-",0)="-",0,MATCH(_xlfn.XLOOKUP($A287,Korrelation!$D$4:$D$1197,Korrelation!K$4:K$1197,"",0),'DM01-AV-CH'!$A$6:$A$834,0)))</f>
        <v>134</v>
      </c>
      <c r="J287" s="54" t="str" cm="1">
        <f t="array" aca="1" ref="J287" ca="1">IF(B287=0,IF(E287=0,"",HYPERLINK("#"&amp;RIGHT(CELL("adresse",OFFSET(DMAV_Dienste!$M$6,E287-1,0)),LEN(CELL("adresse",OFFSET(DMAV_Dienste!$M$6,E287-1,0)))-FIND("]",CELL("adresse",OFFSET(DMAV_Dienste!$M$6,E287-1,0)))),"Dienst")),HYPERLINK("#"&amp;RIGHT(CELL("adresse",OFFSET(DMAV_Modell!$N$6,B287-1,0)),LEN(CELL("adresse",OFFSET(DMAV_Modell!$N$6,B287-1,0)))-FIND("]",CELL("adresse",OFFSET(DMAV_Modell!$N$6,B287-1,0)))),"Modell"))</f>
        <v>Modell</v>
      </c>
      <c r="K287" s="61" t="str" cm="1">
        <f t="array" ref="K287">IF($B287=0,IF($E287=0,"",IF(INDEX(DMAV_Dienste!P$6:P$140,$E287)="","",INDEX(DMAV_Dienste!P$6:P$140,$E287))),IF(INDEX(DMAV_Modell!Q$6:Q$838,$B287)="","",INDEX(DMAV_Modell!Q$6:Q$838,$B287)))</f>
        <v>CLASS</v>
      </c>
      <c r="L287" s="62" t="str" cm="1">
        <f t="array" ref="L287">IF($B287=0,IF($E287=0,"",IF(INDEX(DMAV_Dienste!O$6:O$140,$E287)="","",INDEX(DMAV_Dienste!O$6:O$140,$E287))),IF(INDEX(DMAV_Modell!P$6:P$838,$B287)="","",INDEX(DMAV_Modell!P$6:P$838,$B287)))</f>
        <v>FixpunkteAVKategorie3</v>
      </c>
      <c r="M287" s="62" t="str" cm="1">
        <f t="array" ref="M287">IF($B287=0,IF($E287=0,"",IF(INDEX(DMAV_Dienste!Q$6:Q$140,$E287)="","",INDEX(DMAV_Dienste!Q$6:Q$140,$E287))),IF(INDEX(DMAV_Modell!R$6:R$838,$B287)="","",INDEX(DMAV_Modell!R$6:R$838,$B287)))</f>
        <v>LFP3</v>
      </c>
      <c r="N287" s="62" t="str" cm="1">
        <f t="array" ref="N287">IF($B287=0,IF($E287=0,"",IF(INDEX(DMAV_Dienste!T$6:T$140,$E287)="","",INDEX(DMAV_Dienste!T$6:T$140,$E287))),IF(INDEX(DMAV_Modell!U$6:U$838,$B287)="","",INDEX(DMAV_Modell!U$6:U$838,$B287)))</f>
        <v>Geometrie</v>
      </c>
      <c r="O287" s="63" t="str" cm="1">
        <f t="array" aca="1" ref="O287" ca="1">IF(C287=0,IF(F287=0,"",HYPERLINK("#"&amp;RIGHT(CELL("adresse",OFFSET(DMAV_Dienste!$M$6,F287-1,0)),LEN(CELL("adresse",OFFSET(DMAV_Dienste!$M$6,F287-1,0)))-FIND("]",CELL("adresse",OFFSET(DMAV_Dienste!$M$6,F287-1,0)))),"Structure")),HYPERLINK("#"&amp;RIGHT(CELL("adresse",OFFSET(DMAV_Modell!$N$6,C287-1,0)),LEN(CELL("adresse",OFFSET(DMAV_Modell!$N$6,C287-1,0)))-FIND("]",CELL("adresse",OFFSET(DMAV_Modell!$N$6,C287-1,0)))),"Structure"))</f>
        <v/>
      </c>
      <c r="P287" s="64" t="str" cm="1">
        <f t="array" aca="1" ref="P287" ca="1">IF(D287=0,IF(G287=0,"",HYPERLINK("#"&amp;RIGHT(CELL("adresse",OFFSET(DMAV_Dienste!$M$6,G287-1,0)),LEN(CELL("adresse",OFFSET(DMAV_Dienste!$M$6,G287-1,0)))-FIND("]",CELL("adresse",OFFSET(DMAV_Dienste!$M$6,G287-1,0)))),"Substructure")),HYPERLINK("#"&amp;RIGHT(CELL("adresse",OFFSET(DMAV_Modell!$N$6,D287-1,0)),LEN(CELL("adresse",OFFSET(DMAV_Modell!$N$6,D287-1,0)))-FIND("]",CELL("adresse",OFFSET(DMAV_Modell!$N$6,D287-1,0)))),"Substructure"))</f>
        <v/>
      </c>
      <c r="R287" s="80"/>
      <c r="T287" s="93"/>
      <c r="U287" s="94"/>
      <c r="V287" s="95"/>
      <c r="W287" s="96"/>
      <c r="Y287" s="85" t="s">
        <v>3100</v>
      </c>
      <c r="Z287" s="86" t="s">
        <v>1286</v>
      </c>
      <c r="AA287" s="87" t="s">
        <v>2983</v>
      </c>
      <c r="AB287" s="88" t="s">
        <v>3050</v>
      </c>
      <c r="AD287" s="77"/>
      <c r="AF287" s="54" t="str" cm="1">
        <f t="array" aca="1" ref="AF287" ca="1">IF(H287=0,"",HYPERLINK("#"&amp;RIGHT(CELL("adresse",OFFSET('DM01-AV-CH'!$G$6,H287-1,0)),LEN(CELL("adresse",OFFSET('DM01-AV-CH'!$G$6,H287-1,0)))-FIND("]",CELL("adresse",OFFSET('DM01-AV-CH'!$G$6,H287-1,0)))),"Modell"))</f>
        <v>Modell</v>
      </c>
      <c r="AG287" s="72" t="str" cm="1">
        <f t="array" ref="AG287">IF($H287=0,"",IF(INDEX('DM01-AV-CH'!G$6:G$834,$H287)="","",INDEX('DM01-AV-CH'!G$6:G$834,$H287)))</f>
        <v>FixpunkteKategorie3</v>
      </c>
      <c r="AH287" s="73" t="str" cm="1">
        <f t="array" ref="AH287">IF($H287=0,"",IF(INDEX('DM01-AV-CH'!H$6:H$834,$H287)="","",INDEX('DM01-AV-CH'!H$6:H$834,$H287)))</f>
        <v>LFP3</v>
      </c>
      <c r="AI287" s="74" t="str" cm="1">
        <f t="array" ref="AI287">IF($H287=0,"",IF(INDEX('DM01-AV-CH'!I$6:I$834,$H287)="","",INDEX('DM01-AV-CH'!I$6:I$834,$H287)))</f>
        <v>Geometrie</v>
      </c>
    </row>
    <row r="288" spans="1:35" x14ac:dyDescent="0.25">
      <c r="A288" s="57">
        <v>283</v>
      </c>
      <c r="B288" s="57">
        <f>IF($A288="","",IF(_xlfn.XLOOKUP($A288,Korrelation!$D$4:$D$1197,Korrelation!E$4:E$1197,"-",0)="-",0,MATCH(_xlfn.XLOOKUP($A288,Korrelation!$D$4:$D$1197,Korrelation!E$4:E$1197,"",0),DMAV_Modell!$G$6:$G$677,0)))</f>
        <v>84</v>
      </c>
      <c r="C288" s="57">
        <f>IF($A288="","",IF(_xlfn.XLOOKUP($A288,Korrelation!$D$4:$D$1197,Korrelation!F$4:F$1197,"-",0)="-",0,MATCH(_xlfn.XLOOKUP($A288,Korrelation!$D$4:$D$1197,Korrelation!F$4:F$1197,"",0),DMAV_Modell!$G$6:$G$677,0)))</f>
        <v>0</v>
      </c>
      <c r="D288" s="57">
        <f>IF($A288="","",IF(_xlfn.XLOOKUP($A288,Korrelation!$D$4:$D$1197,Korrelation!G$4:G$1197,"-",0)="-",0,MATCH(_xlfn.XLOOKUP($A288,Korrelation!$D$4:$D$1197,Korrelation!G$4:G$1197,"",0),DMAV_Modell!$G$6:$G$677,0)))</f>
        <v>0</v>
      </c>
      <c r="E288" s="57">
        <f>IF($A288="","",IF(_xlfn.XLOOKUP($A288,Korrelation!$D$4:$D$1197,Korrelation!H$4:H$1197,"-",0)="-",0,MATCH(_xlfn.XLOOKUP($A288,Korrelation!$D$4:$D$1197,Korrelation!H$4:H$1197,"",0),DMAV_Dienste!$F$6:$F$140,0)))</f>
        <v>0</v>
      </c>
      <c r="F288" s="57">
        <f>IF($A288="","",IF(_xlfn.XLOOKUP($A288,Korrelation!$D$4:$D$1197,Korrelation!I$4:I$1197,"-",0)="-",0,MATCH(_xlfn.XLOOKUP($A288,Korrelation!$D$4:$D$1197,Korrelation!I$4:I$1197,"",0),DMAV_Dienste!$F$6:$F$140,0)))</f>
        <v>0</v>
      </c>
      <c r="G288" s="57">
        <f>IF($A288="","",IF(_xlfn.XLOOKUP($A288,Korrelation!$D$4:$D$1197,Korrelation!J$4:J$1197,"-",0)="-",0,MATCH(_xlfn.XLOOKUP($A288,Korrelation!$D$4:$D$1197,Korrelation!J$4:J$1197,"",0),DMAV_Dienste!$F$6:$F$140,0)))</f>
        <v>0</v>
      </c>
      <c r="H288" s="57">
        <f>IF($A288="","",IF(_xlfn.XLOOKUP($A288,Korrelation!$D$4:$D$1197,Korrelation!K$4:K$1197,"-",0)="-",0,MATCH(_xlfn.XLOOKUP($A288,Korrelation!$D$4:$D$1197,Korrelation!K$4:K$1197,"",0),'DM01-AV-CH'!$A$6:$A$834,0)))</f>
        <v>135</v>
      </c>
      <c r="J288" s="54" t="str" cm="1">
        <f t="array" aca="1" ref="J288" ca="1">IF(B288=0,IF(E288=0,"",HYPERLINK("#"&amp;RIGHT(CELL("adresse",OFFSET(DMAV_Dienste!$M$6,E288-1,0)),LEN(CELL("adresse",OFFSET(DMAV_Dienste!$M$6,E288-1,0)))-FIND("]",CELL("adresse",OFFSET(DMAV_Dienste!$M$6,E288-1,0)))),"Dienst")),HYPERLINK("#"&amp;RIGHT(CELL("adresse",OFFSET(DMAV_Modell!$N$6,B288-1,0)),LEN(CELL("adresse",OFFSET(DMAV_Modell!$N$6,B288-1,0)))-FIND("]",CELL("adresse",OFFSET(DMAV_Modell!$N$6,B288-1,0)))),"Modell"))</f>
        <v>Modell</v>
      </c>
      <c r="K288" s="61" t="str" cm="1">
        <f t="array" ref="K288">IF($B288=0,IF($E288=0,"",IF(INDEX(DMAV_Dienste!P$6:P$140,$E288)="","",INDEX(DMAV_Dienste!P$6:P$140,$E288))),IF(INDEX(DMAV_Modell!Q$6:Q$838,$B288)="","",INDEX(DMAV_Modell!Q$6:Q$838,$B288)))</f>
        <v>CLASS</v>
      </c>
      <c r="L288" s="62" t="str" cm="1">
        <f t="array" ref="L288">IF($B288=0,IF($E288=0,"",IF(INDEX(DMAV_Dienste!O$6:O$140,$E288)="","",INDEX(DMAV_Dienste!O$6:O$140,$E288))),IF(INDEX(DMAV_Modell!P$6:P$838,$B288)="","",INDEX(DMAV_Modell!P$6:P$838,$B288)))</f>
        <v>FixpunkteAVKategorie3</v>
      </c>
      <c r="M288" s="62" t="str" cm="1">
        <f t="array" ref="M288">IF($B288=0,IF($E288=0,"",IF(INDEX(DMAV_Dienste!Q$6:Q$140,$E288)="","",INDEX(DMAV_Dienste!Q$6:Q$140,$E288))),IF(INDEX(DMAV_Modell!R$6:R$838,$B288)="","",INDEX(DMAV_Modell!R$6:R$838,$B288)))</f>
        <v>LFP3</v>
      </c>
      <c r="N288" s="62" t="str" cm="1">
        <f t="array" ref="N288">IF($B288=0,IF($E288=0,"",IF(INDEX(DMAV_Dienste!T$6:T$140,$E288)="","",INDEX(DMAV_Dienste!T$6:T$140,$E288))),IF(INDEX(DMAV_Modell!U$6:U$838,$B288)="","",INDEX(DMAV_Modell!U$6:U$838,$B288)))</f>
        <v>Hoehengeometrie</v>
      </c>
      <c r="O288" s="63" t="str" cm="1">
        <f t="array" aca="1" ref="O288" ca="1">IF(C288=0,IF(F288=0,"",HYPERLINK("#"&amp;RIGHT(CELL("adresse",OFFSET(DMAV_Dienste!$M$6,F288-1,0)),LEN(CELL("adresse",OFFSET(DMAV_Dienste!$M$6,F288-1,0)))-FIND("]",CELL("adresse",OFFSET(DMAV_Dienste!$M$6,F288-1,0)))),"Structure")),HYPERLINK("#"&amp;RIGHT(CELL("adresse",OFFSET(DMAV_Modell!$N$6,C288-1,0)),LEN(CELL("adresse",OFFSET(DMAV_Modell!$N$6,C288-1,0)))-FIND("]",CELL("adresse",OFFSET(DMAV_Modell!$N$6,C288-1,0)))),"Structure"))</f>
        <v/>
      </c>
      <c r="P288" s="64" t="str" cm="1">
        <f t="array" aca="1" ref="P288" ca="1">IF(D288=0,IF(G288=0,"",HYPERLINK("#"&amp;RIGHT(CELL("adresse",OFFSET(DMAV_Dienste!$M$6,G288-1,0)),LEN(CELL("adresse",OFFSET(DMAV_Dienste!$M$6,G288-1,0)))-FIND("]",CELL("adresse",OFFSET(DMAV_Dienste!$M$6,G288-1,0)))),"Substructure")),HYPERLINK("#"&amp;RIGHT(CELL("adresse",OFFSET(DMAV_Modell!$N$6,D288-1,0)),LEN(CELL("adresse",OFFSET(DMAV_Modell!$N$6,D288-1,0)))-FIND("]",CELL("adresse",OFFSET(DMAV_Modell!$N$6,D288-1,0)))),"Substructure"))</f>
        <v/>
      </c>
      <c r="R288" s="80"/>
      <c r="T288" s="93"/>
      <c r="U288" s="94"/>
      <c r="V288" s="95"/>
      <c r="W288" s="96"/>
      <c r="Y288" s="85"/>
      <c r="Z288" s="86"/>
      <c r="AA288" s="87"/>
      <c r="AB288" s="88"/>
      <c r="AD288" s="77"/>
      <c r="AF288" s="54" t="str" cm="1">
        <f t="array" aca="1" ref="AF288" ca="1">IF(H288=0,"",HYPERLINK("#"&amp;RIGHT(CELL("adresse",OFFSET('DM01-AV-CH'!$G$6,H288-1,0)),LEN(CELL("adresse",OFFSET('DM01-AV-CH'!$G$6,H288-1,0)))-FIND("]",CELL("adresse",OFFSET('DM01-AV-CH'!$G$6,H288-1,0)))),"Modell"))</f>
        <v>Modell</v>
      </c>
      <c r="AG288" s="72" t="str" cm="1">
        <f t="array" ref="AG288">IF($H288=0,"",IF(INDEX('DM01-AV-CH'!G$6:G$834,$H288)="","",INDEX('DM01-AV-CH'!G$6:G$834,$H288)))</f>
        <v>FixpunkteKategorie3</v>
      </c>
      <c r="AH288" s="73" t="str" cm="1">
        <f t="array" ref="AH288">IF($H288=0,"",IF(INDEX('DM01-AV-CH'!H$6:H$834,$H288)="","",INDEX('DM01-AV-CH'!H$6:H$834,$H288)))</f>
        <v>LFP3</v>
      </c>
      <c r="AI288" s="74" t="str" cm="1">
        <f t="array" ref="AI288">IF($H288=0,"",IF(INDEX('DM01-AV-CH'!I$6:I$834,$H288)="","",INDEX('DM01-AV-CH'!I$6:I$834,$H288)))</f>
        <v>HoeheGeom</v>
      </c>
    </row>
    <row r="289" spans="1:35" ht="114" x14ac:dyDescent="0.25">
      <c r="A289" s="57">
        <v>284</v>
      </c>
      <c r="B289" s="57">
        <f>IF($A289="","",IF(_xlfn.XLOOKUP($A289,Korrelation!$D$4:$D$1197,Korrelation!E$4:E$1197,"-",0)="-",0,MATCH(_xlfn.XLOOKUP($A289,Korrelation!$D$4:$D$1197,Korrelation!E$4:E$1197,"",0),DMAV_Modell!$G$6:$G$677,0)))</f>
        <v>85</v>
      </c>
      <c r="C289" s="57">
        <f>IF($A289="","",IF(_xlfn.XLOOKUP($A289,Korrelation!$D$4:$D$1197,Korrelation!F$4:F$1197,"-",0)="-",0,MATCH(_xlfn.XLOOKUP($A289,Korrelation!$D$4:$D$1197,Korrelation!F$4:F$1197,"",0),DMAV_Modell!$G$6:$G$677,0)))</f>
        <v>0</v>
      </c>
      <c r="D289" s="57">
        <f>IF($A289="","",IF(_xlfn.XLOOKUP($A289,Korrelation!$D$4:$D$1197,Korrelation!G$4:G$1197,"-",0)="-",0,MATCH(_xlfn.XLOOKUP($A289,Korrelation!$D$4:$D$1197,Korrelation!G$4:G$1197,"",0),DMAV_Modell!$G$6:$G$677,0)))</f>
        <v>0</v>
      </c>
      <c r="E289" s="57">
        <f>IF($A289="","",IF(_xlfn.XLOOKUP($A289,Korrelation!$D$4:$D$1197,Korrelation!H$4:H$1197,"-",0)="-",0,MATCH(_xlfn.XLOOKUP($A289,Korrelation!$D$4:$D$1197,Korrelation!H$4:H$1197,"",0),DMAV_Dienste!$F$6:$F$140,0)))</f>
        <v>0</v>
      </c>
      <c r="F289" s="57">
        <f>IF($A289="","",IF(_xlfn.XLOOKUP($A289,Korrelation!$D$4:$D$1197,Korrelation!I$4:I$1197,"-",0)="-",0,MATCH(_xlfn.XLOOKUP($A289,Korrelation!$D$4:$D$1197,Korrelation!I$4:I$1197,"",0),DMAV_Dienste!$F$6:$F$140,0)))</f>
        <v>0</v>
      </c>
      <c r="G289" s="57">
        <f>IF($A289="","",IF(_xlfn.XLOOKUP($A289,Korrelation!$D$4:$D$1197,Korrelation!J$4:J$1197,"-",0)="-",0,MATCH(_xlfn.XLOOKUP($A289,Korrelation!$D$4:$D$1197,Korrelation!J$4:J$1197,"",0),DMAV_Dienste!$F$6:$F$140,0)))</f>
        <v>0</v>
      </c>
      <c r="H289" s="57">
        <f>IF($A289="","",IF(_xlfn.XLOOKUP($A289,Korrelation!$D$4:$D$1197,Korrelation!K$4:K$1197,"-",0)="-",0,MATCH(_xlfn.XLOOKUP($A289,Korrelation!$D$4:$D$1197,Korrelation!K$4:K$1197,"",0),'DM01-AV-CH'!$A$6:$A$834,0)))</f>
        <v>136</v>
      </c>
      <c r="J289" s="54" t="str" cm="1">
        <f t="array" aca="1" ref="J289" ca="1">IF(B289=0,IF(E289=0,"",HYPERLINK("#"&amp;RIGHT(CELL("adresse",OFFSET(DMAV_Dienste!$M$6,E289-1,0)),LEN(CELL("adresse",OFFSET(DMAV_Dienste!$M$6,E289-1,0)))-FIND("]",CELL("adresse",OFFSET(DMAV_Dienste!$M$6,E289-1,0)))),"Dienst")),HYPERLINK("#"&amp;RIGHT(CELL("adresse",OFFSET(DMAV_Modell!$N$6,B289-1,0)),LEN(CELL("adresse",OFFSET(DMAV_Modell!$N$6,B289-1,0)))-FIND("]",CELL("adresse",OFFSET(DMAV_Modell!$N$6,B289-1,0)))),"Modell"))</f>
        <v>Modell</v>
      </c>
      <c r="K289" s="61" t="str" cm="1">
        <f t="array" ref="K289">IF($B289=0,IF($E289=0,"",IF(INDEX(DMAV_Dienste!P$6:P$140,$E289)="","",INDEX(DMAV_Dienste!P$6:P$140,$E289))),IF(INDEX(DMAV_Modell!Q$6:Q$838,$B289)="","",INDEX(DMAV_Modell!Q$6:Q$838,$B289)))</f>
        <v>CLASS</v>
      </c>
      <c r="L289" s="62" t="str" cm="1">
        <f t="array" ref="L289">IF($B289=0,IF($E289=0,"",IF(INDEX(DMAV_Dienste!O$6:O$140,$E289)="","",INDEX(DMAV_Dienste!O$6:O$140,$E289))),IF(INDEX(DMAV_Modell!P$6:P$838,$B289)="","",INDEX(DMAV_Modell!P$6:P$838,$B289)))</f>
        <v>FixpunkteAVKategorie3</v>
      </c>
      <c r="M289" s="62" t="str" cm="1">
        <f t="array" ref="M289">IF($B289=0,IF($E289=0,"",IF(INDEX(DMAV_Dienste!Q$6:Q$140,$E289)="","",INDEX(DMAV_Dienste!Q$6:Q$140,$E289))),IF(INDEX(DMAV_Modell!R$6:R$838,$B289)="","",INDEX(DMAV_Modell!R$6:R$838,$B289)))</f>
        <v>LFP3</v>
      </c>
      <c r="N289" s="62" t="str" cm="1">
        <f t="array" ref="N289">IF($B289=0,IF($E289=0,"",IF(INDEX(DMAV_Dienste!T$6:T$140,$E289)="","",INDEX(DMAV_Dienste!T$6:T$140,$E289))),IF(INDEX(DMAV_Modell!U$6:U$838,$B289)="","",INDEX(DMAV_Modell!U$6:U$838,$B289)))</f>
        <v>Lagegenauigkeit</v>
      </c>
      <c r="O289" s="63" t="str" cm="1">
        <f t="array" aca="1" ref="O289" ca="1">IF(C289=0,IF(F289=0,"",HYPERLINK("#"&amp;RIGHT(CELL("adresse",OFFSET(DMAV_Dienste!$M$6,F289-1,0)),LEN(CELL("adresse",OFFSET(DMAV_Dienste!$M$6,F289-1,0)))-FIND("]",CELL("adresse",OFFSET(DMAV_Dienste!$M$6,F289-1,0)))),"Structure")),HYPERLINK("#"&amp;RIGHT(CELL("adresse",OFFSET(DMAV_Modell!$N$6,C289-1,0)),LEN(CELL("adresse",OFFSET(DMAV_Modell!$N$6,C289-1,0)))-FIND("]",CELL("adresse",OFFSET(DMAV_Modell!$N$6,C289-1,0)))),"Structure"))</f>
        <v/>
      </c>
      <c r="P289" s="64" t="str" cm="1">
        <f t="array" aca="1" ref="P289" ca="1">IF(D289=0,IF(G289=0,"",HYPERLINK("#"&amp;RIGHT(CELL("adresse",OFFSET(DMAV_Dienste!$M$6,G289-1,0)),LEN(CELL("adresse",OFFSET(DMAV_Dienste!$M$6,G289-1,0)))-FIND("]",CELL("adresse",OFFSET(DMAV_Dienste!$M$6,G289-1,0)))),"Substructure")),HYPERLINK("#"&amp;RIGHT(CELL("adresse",OFFSET(DMAV_Modell!$N$6,D289-1,0)),LEN(CELL("adresse",OFFSET(DMAV_Modell!$N$6,D289-1,0)))-FIND("]",CELL("adresse",OFFSET(DMAV_Modell!$N$6,D289-1,0)))),"Substructure"))</f>
        <v/>
      </c>
      <c r="R289" s="80"/>
      <c r="T289" s="93"/>
      <c r="U289" s="94"/>
      <c r="V289" s="95"/>
      <c r="W289" s="96"/>
      <c r="Y289" s="85" t="s">
        <v>3100</v>
      </c>
      <c r="Z289" s="86" t="s">
        <v>1286</v>
      </c>
      <c r="AA289" s="87" t="s">
        <v>2984</v>
      </c>
      <c r="AB289" s="88" t="s">
        <v>3050</v>
      </c>
      <c r="AD289" s="77"/>
      <c r="AF289" s="54" t="str" cm="1">
        <f t="array" aca="1" ref="AF289" ca="1">IF(H289=0,"",HYPERLINK("#"&amp;RIGHT(CELL("adresse",OFFSET('DM01-AV-CH'!$G$6,H289-1,0)),LEN(CELL("adresse",OFFSET('DM01-AV-CH'!$G$6,H289-1,0)))-FIND("]",CELL("adresse",OFFSET('DM01-AV-CH'!$G$6,H289-1,0)))),"Modell"))</f>
        <v>Modell</v>
      </c>
      <c r="AG289" s="72" t="str" cm="1">
        <f t="array" ref="AG289">IF($H289=0,"",IF(INDEX('DM01-AV-CH'!G$6:G$834,$H289)="","",INDEX('DM01-AV-CH'!G$6:G$834,$H289)))</f>
        <v>FixpunkteKategorie3</v>
      </c>
      <c r="AH289" s="73" t="str" cm="1">
        <f t="array" ref="AH289">IF($H289=0,"",IF(INDEX('DM01-AV-CH'!H$6:H$834,$H289)="","",INDEX('DM01-AV-CH'!H$6:H$834,$H289)))</f>
        <v>LFP3</v>
      </c>
      <c r="AI289" s="74" t="str" cm="1">
        <f t="array" ref="AI289">IF($H289=0,"",IF(INDEX('DM01-AV-CH'!I$6:I$834,$H289)="","",INDEX('DM01-AV-CH'!I$6:I$834,$H289)))</f>
        <v>LageGen</v>
      </c>
    </row>
    <row r="290" spans="1:35" ht="114" x14ac:dyDescent="0.25">
      <c r="A290" s="57">
        <v>285</v>
      </c>
      <c r="B290" s="57">
        <f>IF($A290="","",IF(_xlfn.XLOOKUP($A290,Korrelation!$D$4:$D$1197,Korrelation!E$4:E$1197,"-",0)="-",0,MATCH(_xlfn.XLOOKUP($A290,Korrelation!$D$4:$D$1197,Korrelation!E$4:E$1197,"",0),DMAV_Modell!$G$6:$G$677,0)))</f>
        <v>86</v>
      </c>
      <c r="C290" s="57">
        <f>IF($A290="","",IF(_xlfn.XLOOKUP($A290,Korrelation!$D$4:$D$1197,Korrelation!F$4:F$1197,"-",0)="-",0,MATCH(_xlfn.XLOOKUP($A290,Korrelation!$D$4:$D$1197,Korrelation!F$4:F$1197,"",0),DMAV_Modell!$G$6:$G$677,0)))</f>
        <v>0</v>
      </c>
      <c r="D290" s="57">
        <f>IF($A290="","",IF(_xlfn.XLOOKUP($A290,Korrelation!$D$4:$D$1197,Korrelation!G$4:G$1197,"-",0)="-",0,MATCH(_xlfn.XLOOKUP($A290,Korrelation!$D$4:$D$1197,Korrelation!G$4:G$1197,"",0),DMAV_Modell!$G$6:$G$677,0)))</f>
        <v>0</v>
      </c>
      <c r="E290" s="57">
        <f>IF($A290="","",IF(_xlfn.XLOOKUP($A290,Korrelation!$D$4:$D$1197,Korrelation!H$4:H$1197,"-",0)="-",0,MATCH(_xlfn.XLOOKUP($A290,Korrelation!$D$4:$D$1197,Korrelation!H$4:H$1197,"",0),DMAV_Dienste!$F$6:$F$140,0)))</f>
        <v>0</v>
      </c>
      <c r="F290" s="57">
        <f>IF($A290="","",IF(_xlfn.XLOOKUP($A290,Korrelation!$D$4:$D$1197,Korrelation!I$4:I$1197,"-",0)="-",0,MATCH(_xlfn.XLOOKUP($A290,Korrelation!$D$4:$D$1197,Korrelation!I$4:I$1197,"",0),DMAV_Dienste!$F$6:$F$140,0)))</f>
        <v>0</v>
      </c>
      <c r="G290" s="57">
        <f>IF($A290="","",IF(_xlfn.XLOOKUP($A290,Korrelation!$D$4:$D$1197,Korrelation!J$4:J$1197,"-",0)="-",0,MATCH(_xlfn.XLOOKUP($A290,Korrelation!$D$4:$D$1197,Korrelation!J$4:J$1197,"",0),DMAV_Dienste!$F$6:$F$140,0)))</f>
        <v>0</v>
      </c>
      <c r="H290" s="57">
        <f>IF($A290="","",IF(_xlfn.XLOOKUP($A290,Korrelation!$D$4:$D$1197,Korrelation!K$4:K$1197,"-",0)="-",0,MATCH(_xlfn.XLOOKUP($A290,Korrelation!$D$4:$D$1197,Korrelation!K$4:K$1197,"",0),'DM01-AV-CH'!$A$6:$A$834,0)))</f>
        <v>137</v>
      </c>
      <c r="J290" s="54" t="str" cm="1">
        <f t="array" aca="1" ref="J290" ca="1">IF(B290=0,IF(E290=0,"",HYPERLINK("#"&amp;RIGHT(CELL("adresse",OFFSET(DMAV_Dienste!$M$6,E290-1,0)),LEN(CELL("adresse",OFFSET(DMAV_Dienste!$M$6,E290-1,0)))-FIND("]",CELL("adresse",OFFSET(DMAV_Dienste!$M$6,E290-1,0)))),"Dienst")),HYPERLINK("#"&amp;RIGHT(CELL("adresse",OFFSET(DMAV_Modell!$N$6,B290-1,0)),LEN(CELL("adresse",OFFSET(DMAV_Modell!$N$6,B290-1,0)))-FIND("]",CELL("adresse",OFFSET(DMAV_Modell!$N$6,B290-1,0)))),"Modell"))</f>
        <v>Modell</v>
      </c>
      <c r="K290" s="61" t="str" cm="1">
        <f t="array" ref="K290">IF($B290=0,IF($E290=0,"",IF(INDEX(DMAV_Dienste!P$6:P$140,$E290)="","",INDEX(DMAV_Dienste!P$6:P$140,$E290))),IF(INDEX(DMAV_Modell!Q$6:Q$838,$B290)="","",INDEX(DMAV_Modell!Q$6:Q$838,$B290)))</f>
        <v>CLASS</v>
      </c>
      <c r="L290" s="62" t="str" cm="1">
        <f t="array" ref="L290">IF($B290=0,IF($E290=0,"",IF(INDEX(DMAV_Dienste!O$6:O$140,$E290)="","",INDEX(DMAV_Dienste!O$6:O$140,$E290))),IF(INDEX(DMAV_Modell!P$6:P$838,$B290)="","",INDEX(DMAV_Modell!P$6:P$838,$B290)))</f>
        <v>FixpunkteAVKategorie3</v>
      </c>
      <c r="M290" s="62" t="str" cm="1">
        <f t="array" ref="M290">IF($B290=0,IF($E290=0,"",IF(INDEX(DMAV_Dienste!Q$6:Q$140,$E290)="","",INDEX(DMAV_Dienste!Q$6:Q$140,$E290))),IF(INDEX(DMAV_Modell!R$6:R$838,$B290)="","",INDEX(DMAV_Modell!R$6:R$838,$B290)))</f>
        <v>LFP3</v>
      </c>
      <c r="N290" s="62" t="str" cm="1">
        <f t="array" ref="N290">IF($B290=0,IF($E290=0,"",IF(INDEX(DMAV_Dienste!T$6:T$140,$E290)="","",INDEX(DMAV_Dienste!T$6:T$140,$E290))),IF(INDEX(DMAV_Modell!U$6:U$838,$B290)="","",INDEX(DMAV_Modell!U$6:U$838,$B290)))</f>
        <v>IstLagezuverlaessig</v>
      </c>
      <c r="O290" s="63" t="str" cm="1">
        <f t="array" aca="1" ref="O290" ca="1">IF(C290=0,IF(F290=0,"",HYPERLINK("#"&amp;RIGHT(CELL("adresse",OFFSET(DMAV_Dienste!$M$6,F290-1,0)),LEN(CELL("adresse",OFFSET(DMAV_Dienste!$M$6,F290-1,0)))-FIND("]",CELL("adresse",OFFSET(DMAV_Dienste!$M$6,F290-1,0)))),"Structure")),HYPERLINK("#"&amp;RIGHT(CELL("adresse",OFFSET(DMAV_Modell!$N$6,C290-1,0)),LEN(CELL("adresse",OFFSET(DMAV_Modell!$N$6,C290-1,0)))-FIND("]",CELL("adresse",OFFSET(DMAV_Modell!$N$6,C290-1,0)))),"Structure"))</f>
        <v/>
      </c>
      <c r="P290" s="64" t="str" cm="1">
        <f t="array" aca="1" ref="P290" ca="1">IF(D290=0,IF(G290=0,"",HYPERLINK("#"&amp;RIGHT(CELL("adresse",OFFSET(DMAV_Dienste!$M$6,G290-1,0)),LEN(CELL("adresse",OFFSET(DMAV_Dienste!$M$6,G290-1,0)))-FIND("]",CELL("adresse",OFFSET(DMAV_Dienste!$M$6,G290-1,0)))),"Substructure")),HYPERLINK("#"&amp;RIGHT(CELL("adresse",OFFSET(DMAV_Modell!$N$6,D290-1,0)),LEN(CELL("adresse",OFFSET(DMAV_Modell!$N$6,D290-1,0)))-FIND("]",CELL("adresse",OFFSET(DMAV_Modell!$N$6,D290-1,0)))),"Substructure"))</f>
        <v/>
      </c>
      <c r="R290" s="80"/>
      <c r="T290" s="93"/>
      <c r="U290" s="94"/>
      <c r="V290" s="95"/>
      <c r="W290" s="96"/>
      <c r="Y290" s="85" t="s">
        <v>3100</v>
      </c>
      <c r="Z290" s="86" t="s">
        <v>1286</v>
      </c>
      <c r="AA290" s="87" t="s">
        <v>2985</v>
      </c>
      <c r="AB290" s="88" t="s">
        <v>3050</v>
      </c>
      <c r="AD290" s="77"/>
      <c r="AF290" s="54" t="str" cm="1">
        <f t="array" aca="1" ref="AF290" ca="1">IF(H290=0,"",HYPERLINK("#"&amp;RIGHT(CELL("adresse",OFFSET('DM01-AV-CH'!$G$6,H290-1,0)),LEN(CELL("adresse",OFFSET('DM01-AV-CH'!$G$6,H290-1,0)))-FIND("]",CELL("adresse",OFFSET('DM01-AV-CH'!$G$6,H290-1,0)))),"Modell"))</f>
        <v>Modell</v>
      </c>
      <c r="AG290" s="72" t="str" cm="1">
        <f t="array" ref="AG290">IF($H290=0,"",IF(INDEX('DM01-AV-CH'!G$6:G$834,$H290)="","",INDEX('DM01-AV-CH'!G$6:G$834,$H290)))</f>
        <v>FixpunkteKategorie3</v>
      </c>
      <c r="AH290" s="73" t="str" cm="1">
        <f t="array" ref="AH290">IF($H290=0,"",IF(INDEX('DM01-AV-CH'!H$6:H$834,$H290)="","",INDEX('DM01-AV-CH'!H$6:H$834,$H290)))</f>
        <v>LFP3</v>
      </c>
      <c r="AI290" s="74" t="str" cm="1">
        <f t="array" ref="AI290">IF($H290=0,"",IF(INDEX('DM01-AV-CH'!I$6:I$834,$H290)="","",INDEX('DM01-AV-CH'!I$6:I$834,$H290)))</f>
        <v>LageZuv</v>
      </c>
    </row>
    <row r="291" spans="1:35" x14ac:dyDescent="0.25">
      <c r="A291" s="57">
        <v>286</v>
      </c>
      <c r="B291" s="57">
        <f>IF($A291="","",IF(_xlfn.XLOOKUP($A291,Korrelation!$D$4:$D$1197,Korrelation!E$4:E$1197,"-",0)="-",0,MATCH(_xlfn.XLOOKUP($A291,Korrelation!$D$4:$D$1197,Korrelation!E$4:E$1197,"",0),DMAV_Modell!$G$6:$G$677,0)))</f>
        <v>87</v>
      </c>
      <c r="C291" s="57">
        <f>IF($A291="","",IF(_xlfn.XLOOKUP($A291,Korrelation!$D$4:$D$1197,Korrelation!F$4:F$1197,"-",0)="-",0,MATCH(_xlfn.XLOOKUP($A291,Korrelation!$D$4:$D$1197,Korrelation!F$4:F$1197,"",0),DMAV_Modell!$G$6:$G$677,0)))</f>
        <v>0</v>
      </c>
      <c r="D291" s="57">
        <f>IF($A291="","",IF(_xlfn.XLOOKUP($A291,Korrelation!$D$4:$D$1197,Korrelation!G$4:G$1197,"-",0)="-",0,MATCH(_xlfn.XLOOKUP($A291,Korrelation!$D$4:$D$1197,Korrelation!G$4:G$1197,"",0),DMAV_Modell!$G$6:$G$677,0)))</f>
        <v>0</v>
      </c>
      <c r="E291" s="57">
        <f>IF($A291="","",IF(_xlfn.XLOOKUP($A291,Korrelation!$D$4:$D$1197,Korrelation!H$4:H$1197,"-",0)="-",0,MATCH(_xlfn.XLOOKUP($A291,Korrelation!$D$4:$D$1197,Korrelation!H$4:H$1197,"",0),DMAV_Dienste!$F$6:$F$140,0)))</f>
        <v>0</v>
      </c>
      <c r="F291" s="57">
        <f>IF($A291="","",IF(_xlfn.XLOOKUP($A291,Korrelation!$D$4:$D$1197,Korrelation!I$4:I$1197,"-",0)="-",0,MATCH(_xlfn.XLOOKUP($A291,Korrelation!$D$4:$D$1197,Korrelation!I$4:I$1197,"",0),DMAV_Dienste!$F$6:$F$140,0)))</f>
        <v>0</v>
      </c>
      <c r="G291" s="57">
        <f>IF($A291="","",IF(_xlfn.XLOOKUP($A291,Korrelation!$D$4:$D$1197,Korrelation!J$4:J$1197,"-",0)="-",0,MATCH(_xlfn.XLOOKUP($A291,Korrelation!$D$4:$D$1197,Korrelation!J$4:J$1197,"",0),DMAV_Dienste!$F$6:$F$140,0)))</f>
        <v>0</v>
      </c>
      <c r="H291" s="57">
        <f>IF($A291="","",IF(_xlfn.XLOOKUP($A291,Korrelation!$D$4:$D$1197,Korrelation!K$4:K$1197,"-",0)="-",0,MATCH(_xlfn.XLOOKUP($A291,Korrelation!$D$4:$D$1197,Korrelation!K$4:K$1197,"",0),'DM01-AV-CH'!$A$6:$A$834,0)))</f>
        <v>138</v>
      </c>
      <c r="J291" s="54" t="str" cm="1">
        <f t="array" aca="1" ref="J291" ca="1">IF(B291=0,IF(E291=0,"",HYPERLINK("#"&amp;RIGHT(CELL("adresse",OFFSET(DMAV_Dienste!$M$6,E291-1,0)),LEN(CELL("adresse",OFFSET(DMAV_Dienste!$M$6,E291-1,0)))-FIND("]",CELL("adresse",OFFSET(DMAV_Dienste!$M$6,E291-1,0)))),"Dienst")),HYPERLINK("#"&amp;RIGHT(CELL("adresse",OFFSET(DMAV_Modell!$N$6,B291-1,0)),LEN(CELL("adresse",OFFSET(DMAV_Modell!$N$6,B291-1,0)))-FIND("]",CELL("adresse",OFFSET(DMAV_Modell!$N$6,B291-1,0)))),"Modell"))</f>
        <v>Modell</v>
      </c>
      <c r="K291" s="61" t="str" cm="1">
        <f t="array" ref="K291">IF($B291=0,IF($E291=0,"",IF(INDEX(DMAV_Dienste!P$6:P$140,$E291)="","",INDEX(DMAV_Dienste!P$6:P$140,$E291))),IF(INDEX(DMAV_Modell!Q$6:Q$838,$B291)="","",INDEX(DMAV_Modell!Q$6:Q$838,$B291)))</f>
        <v>CLASS</v>
      </c>
      <c r="L291" s="62" t="str" cm="1">
        <f t="array" ref="L291">IF($B291=0,IF($E291=0,"",IF(INDEX(DMAV_Dienste!O$6:O$140,$E291)="","",INDEX(DMAV_Dienste!O$6:O$140,$E291))),IF(INDEX(DMAV_Modell!P$6:P$838,$B291)="","",INDEX(DMAV_Modell!P$6:P$838,$B291)))</f>
        <v>FixpunkteAVKategorie3</v>
      </c>
      <c r="M291" s="62" t="str" cm="1">
        <f t="array" ref="M291">IF($B291=0,IF($E291=0,"",IF(INDEX(DMAV_Dienste!Q$6:Q$140,$E291)="","",INDEX(DMAV_Dienste!Q$6:Q$140,$E291))),IF(INDEX(DMAV_Modell!R$6:R$838,$B291)="","",INDEX(DMAV_Modell!R$6:R$838,$B291)))</f>
        <v>LFP3</v>
      </c>
      <c r="N291" s="62" t="str" cm="1">
        <f t="array" ref="N291">IF($B291=0,IF($E291=0,"",IF(INDEX(DMAV_Dienste!T$6:T$140,$E291)="","",INDEX(DMAV_Dienste!T$6:T$140,$E291))),IF(INDEX(DMAV_Modell!U$6:U$838,$B291)="","",INDEX(DMAV_Modell!U$6:U$838,$B291)))</f>
        <v>Hoehengenauigkeit</v>
      </c>
      <c r="O291" s="63" t="str" cm="1">
        <f t="array" aca="1" ref="O291" ca="1">IF(C291=0,IF(F291=0,"",HYPERLINK("#"&amp;RIGHT(CELL("adresse",OFFSET(DMAV_Dienste!$M$6,F291-1,0)),LEN(CELL("adresse",OFFSET(DMAV_Dienste!$M$6,F291-1,0)))-FIND("]",CELL("adresse",OFFSET(DMAV_Dienste!$M$6,F291-1,0)))),"Structure")),HYPERLINK("#"&amp;RIGHT(CELL("adresse",OFFSET(DMAV_Modell!$N$6,C291-1,0)),LEN(CELL("adresse",OFFSET(DMAV_Modell!$N$6,C291-1,0)))-FIND("]",CELL("adresse",OFFSET(DMAV_Modell!$N$6,C291-1,0)))),"Structure"))</f>
        <v/>
      </c>
      <c r="P291" s="64" t="str" cm="1">
        <f t="array" aca="1" ref="P291" ca="1">IF(D291=0,IF(G291=0,"",HYPERLINK("#"&amp;RIGHT(CELL("adresse",OFFSET(DMAV_Dienste!$M$6,G291-1,0)),LEN(CELL("adresse",OFFSET(DMAV_Dienste!$M$6,G291-1,0)))-FIND("]",CELL("adresse",OFFSET(DMAV_Dienste!$M$6,G291-1,0)))),"Substructure")),HYPERLINK("#"&amp;RIGHT(CELL("adresse",OFFSET(DMAV_Modell!$N$6,D291-1,0)),LEN(CELL("adresse",OFFSET(DMAV_Modell!$N$6,D291-1,0)))-FIND("]",CELL("adresse",OFFSET(DMAV_Modell!$N$6,D291-1,0)))),"Substructure"))</f>
        <v/>
      </c>
      <c r="R291" s="80"/>
      <c r="T291" s="93"/>
      <c r="U291" s="94"/>
      <c r="V291" s="95"/>
      <c r="W291" s="96"/>
      <c r="Y291" s="85"/>
      <c r="Z291" s="86"/>
      <c r="AA291" s="87"/>
      <c r="AB291" s="88"/>
      <c r="AD291" s="77"/>
      <c r="AF291" s="54" t="str" cm="1">
        <f t="array" aca="1" ref="AF291" ca="1">IF(H291=0,"",HYPERLINK("#"&amp;RIGHT(CELL("adresse",OFFSET('DM01-AV-CH'!$G$6,H291-1,0)),LEN(CELL("adresse",OFFSET('DM01-AV-CH'!$G$6,H291-1,0)))-FIND("]",CELL("adresse",OFFSET('DM01-AV-CH'!$G$6,H291-1,0)))),"Modell"))</f>
        <v>Modell</v>
      </c>
      <c r="AG291" s="72" t="str" cm="1">
        <f t="array" ref="AG291">IF($H291=0,"",IF(INDEX('DM01-AV-CH'!G$6:G$834,$H291)="","",INDEX('DM01-AV-CH'!G$6:G$834,$H291)))</f>
        <v>FixpunkteKategorie3</v>
      </c>
      <c r="AH291" s="73" t="str" cm="1">
        <f t="array" ref="AH291">IF($H291=0,"",IF(INDEX('DM01-AV-CH'!H$6:H$834,$H291)="","",INDEX('DM01-AV-CH'!H$6:H$834,$H291)))</f>
        <v>LFP3</v>
      </c>
      <c r="AI291" s="74" t="str" cm="1">
        <f t="array" ref="AI291">IF($H291=0,"",IF(INDEX('DM01-AV-CH'!I$6:I$834,$H291)="","",INDEX('DM01-AV-CH'!I$6:I$834,$H291)))</f>
        <v>HoeheGen</v>
      </c>
    </row>
    <row r="292" spans="1:35" x14ac:dyDescent="0.25">
      <c r="A292" s="57">
        <v>287</v>
      </c>
      <c r="B292" s="57">
        <f>IF($A292="","",IF(_xlfn.XLOOKUP($A292,Korrelation!$D$4:$D$1197,Korrelation!E$4:E$1197,"-",0)="-",0,MATCH(_xlfn.XLOOKUP($A292,Korrelation!$D$4:$D$1197,Korrelation!E$4:E$1197,"",0),DMAV_Modell!$G$6:$G$677,0)))</f>
        <v>88</v>
      </c>
      <c r="C292" s="57">
        <f>IF($A292="","",IF(_xlfn.XLOOKUP($A292,Korrelation!$D$4:$D$1197,Korrelation!F$4:F$1197,"-",0)="-",0,MATCH(_xlfn.XLOOKUP($A292,Korrelation!$D$4:$D$1197,Korrelation!F$4:F$1197,"",0),DMAV_Modell!$G$6:$G$677,0)))</f>
        <v>0</v>
      </c>
      <c r="D292" s="57">
        <f>IF($A292="","",IF(_xlfn.XLOOKUP($A292,Korrelation!$D$4:$D$1197,Korrelation!G$4:G$1197,"-",0)="-",0,MATCH(_xlfn.XLOOKUP($A292,Korrelation!$D$4:$D$1197,Korrelation!G$4:G$1197,"",0),DMAV_Modell!$G$6:$G$677,0)))</f>
        <v>0</v>
      </c>
      <c r="E292" s="57">
        <f>IF($A292="","",IF(_xlfn.XLOOKUP($A292,Korrelation!$D$4:$D$1197,Korrelation!H$4:H$1197,"-",0)="-",0,MATCH(_xlfn.XLOOKUP($A292,Korrelation!$D$4:$D$1197,Korrelation!H$4:H$1197,"",0),DMAV_Dienste!$F$6:$F$140,0)))</f>
        <v>0</v>
      </c>
      <c r="F292" s="57">
        <f>IF($A292="","",IF(_xlfn.XLOOKUP($A292,Korrelation!$D$4:$D$1197,Korrelation!I$4:I$1197,"-",0)="-",0,MATCH(_xlfn.XLOOKUP($A292,Korrelation!$D$4:$D$1197,Korrelation!I$4:I$1197,"",0),DMAV_Dienste!$F$6:$F$140,0)))</f>
        <v>0</v>
      </c>
      <c r="G292" s="57">
        <f>IF($A292="","",IF(_xlfn.XLOOKUP($A292,Korrelation!$D$4:$D$1197,Korrelation!J$4:J$1197,"-",0)="-",0,MATCH(_xlfn.XLOOKUP($A292,Korrelation!$D$4:$D$1197,Korrelation!J$4:J$1197,"",0),DMAV_Dienste!$F$6:$F$140,0)))</f>
        <v>0</v>
      </c>
      <c r="H292" s="57">
        <f>IF($A292="","",IF(_xlfn.XLOOKUP($A292,Korrelation!$D$4:$D$1197,Korrelation!K$4:K$1197,"-",0)="-",0,MATCH(_xlfn.XLOOKUP($A292,Korrelation!$D$4:$D$1197,Korrelation!K$4:K$1197,"",0),'DM01-AV-CH'!$A$6:$A$834,0)))</f>
        <v>139</v>
      </c>
      <c r="J292" s="54" t="str" cm="1">
        <f t="array" aca="1" ref="J292" ca="1">IF(B292=0,IF(E292=0,"",HYPERLINK("#"&amp;RIGHT(CELL("adresse",OFFSET(DMAV_Dienste!$M$6,E292-1,0)),LEN(CELL("adresse",OFFSET(DMAV_Dienste!$M$6,E292-1,0)))-FIND("]",CELL("adresse",OFFSET(DMAV_Dienste!$M$6,E292-1,0)))),"Dienst")),HYPERLINK("#"&amp;RIGHT(CELL("adresse",OFFSET(DMAV_Modell!$N$6,B292-1,0)),LEN(CELL("adresse",OFFSET(DMAV_Modell!$N$6,B292-1,0)))-FIND("]",CELL("adresse",OFFSET(DMAV_Modell!$N$6,B292-1,0)))),"Modell"))</f>
        <v>Modell</v>
      </c>
      <c r="K292" s="61" t="str" cm="1">
        <f t="array" ref="K292">IF($B292=0,IF($E292=0,"",IF(INDEX(DMAV_Dienste!P$6:P$140,$E292)="","",INDEX(DMAV_Dienste!P$6:P$140,$E292))),IF(INDEX(DMAV_Modell!Q$6:Q$838,$B292)="","",INDEX(DMAV_Modell!Q$6:Q$838,$B292)))</f>
        <v>CLASS</v>
      </c>
      <c r="L292" s="62" t="str" cm="1">
        <f t="array" ref="L292">IF($B292=0,IF($E292=0,"",IF(INDEX(DMAV_Dienste!O$6:O$140,$E292)="","",INDEX(DMAV_Dienste!O$6:O$140,$E292))),IF(INDEX(DMAV_Modell!P$6:P$838,$B292)="","",INDEX(DMAV_Modell!P$6:P$838,$B292)))</f>
        <v>FixpunkteAVKategorie3</v>
      </c>
      <c r="M292" s="62" t="str" cm="1">
        <f t="array" ref="M292">IF($B292=0,IF($E292=0,"",IF(INDEX(DMAV_Dienste!Q$6:Q$140,$E292)="","",INDEX(DMAV_Dienste!Q$6:Q$140,$E292))),IF(INDEX(DMAV_Modell!R$6:R$838,$B292)="","",INDEX(DMAV_Modell!R$6:R$838,$B292)))</f>
        <v>LFP3</v>
      </c>
      <c r="N292" s="62" t="str" cm="1">
        <f t="array" ref="N292">IF($B292=0,IF($E292=0,"",IF(INDEX(DMAV_Dienste!T$6:T$140,$E292)="","",INDEX(DMAV_Dienste!T$6:T$140,$E292))),IF(INDEX(DMAV_Modell!U$6:U$838,$B292)="","",INDEX(DMAV_Modell!U$6:U$838,$B292)))</f>
        <v>IstHoehenzuverlaessig</v>
      </c>
      <c r="O292" s="63" t="str" cm="1">
        <f t="array" aca="1" ref="O292" ca="1">IF(C292=0,IF(F292=0,"",HYPERLINK("#"&amp;RIGHT(CELL("adresse",OFFSET(DMAV_Dienste!$M$6,F292-1,0)),LEN(CELL("adresse",OFFSET(DMAV_Dienste!$M$6,F292-1,0)))-FIND("]",CELL("adresse",OFFSET(DMAV_Dienste!$M$6,F292-1,0)))),"Structure")),HYPERLINK("#"&amp;RIGHT(CELL("adresse",OFFSET(DMAV_Modell!$N$6,C292-1,0)),LEN(CELL("adresse",OFFSET(DMAV_Modell!$N$6,C292-1,0)))-FIND("]",CELL("adresse",OFFSET(DMAV_Modell!$N$6,C292-1,0)))),"Structure"))</f>
        <v/>
      </c>
      <c r="P292" s="64" t="str" cm="1">
        <f t="array" aca="1" ref="P292" ca="1">IF(D292=0,IF(G292=0,"",HYPERLINK("#"&amp;RIGHT(CELL("adresse",OFFSET(DMAV_Dienste!$M$6,G292-1,0)),LEN(CELL("adresse",OFFSET(DMAV_Dienste!$M$6,G292-1,0)))-FIND("]",CELL("adresse",OFFSET(DMAV_Dienste!$M$6,G292-1,0)))),"Substructure")),HYPERLINK("#"&amp;RIGHT(CELL("adresse",OFFSET(DMAV_Modell!$N$6,D292-1,0)),LEN(CELL("adresse",OFFSET(DMAV_Modell!$N$6,D292-1,0)))-FIND("]",CELL("adresse",OFFSET(DMAV_Modell!$N$6,D292-1,0)))),"Substructure"))</f>
        <v/>
      </c>
      <c r="R292" s="80"/>
      <c r="T292" s="93"/>
      <c r="U292" s="94"/>
      <c r="V292" s="95"/>
      <c r="W292" s="96"/>
      <c r="Y292" s="85"/>
      <c r="Z292" s="86"/>
      <c r="AA292" s="87"/>
      <c r="AB292" s="88"/>
      <c r="AD292" s="77"/>
      <c r="AF292" s="54" t="str" cm="1">
        <f t="array" aca="1" ref="AF292" ca="1">IF(H292=0,"",HYPERLINK("#"&amp;RIGHT(CELL("adresse",OFFSET('DM01-AV-CH'!$G$6,H292-1,0)),LEN(CELL("adresse",OFFSET('DM01-AV-CH'!$G$6,H292-1,0)))-FIND("]",CELL("adresse",OFFSET('DM01-AV-CH'!$G$6,H292-1,0)))),"Modell"))</f>
        <v>Modell</v>
      </c>
      <c r="AG292" s="72" t="str" cm="1">
        <f t="array" ref="AG292">IF($H292=0,"",IF(INDEX('DM01-AV-CH'!G$6:G$834,$H292)="","",INDEX('DM01-AV-CH'!G$6:G$834,$H292)))</f>
        <v>FixpunkteKategorie3</v>
      </c>
      <c r="AH292" s="73" t="str" cm="1">
        <f t="array" ref="AH292">IF($H292=0,"",IF(INDEX('DM01-AV-CH'!H$6:H$834,$H292)="","",INDEX('DM01-AV-CH'!H$6:H$834,$H292)))</f>
        <v>LFP3</v>
      </c>
      <c r="AI292" s="74" t="str" cm="1">
        <f t="array" ref="AI292">IF($H292=0,"",IF(INDEX('DM01-AV-CH'!I$6:I$834,$H292)="","",INDEX('DM01-AV-CH'!I$6:I$834,$H292)))</f>
        <v>HoeheZuv</v>
      </c>
    </row>
    <row r="293" spans="1:35" ht="114" x14ac:dyDescent="0.25">
      <c r="A293" s="57">
        <v>288</v>
      </c>
      <c r="B293" s="57">
        <f>IF($A293="","",IF(_xlfn.XLOOKUP($A293,Korrelation!$D$4:$D$1197,Korrelation!E$4:E$1197,"-",0)="-",0,MATCH(_xlfn.XLOOKUP($A293,Korrelation!$D$4:$D$1197,Korrelation!E$4:E$1197,"",0),DMAV_Modell!$G$6:$G$677,0)))</f>
        <v>89</v>
      </c>
      <c r="C293" s="57">
        <f>IF($A293="","",IF(_xlfn.XLOOKUP($A293,Korrelation!$D$4:$D$1197,Korrelation!F$4:F$1197,"-",0)="-",0,MATCH(_xlfn.XLOOKUP($A293,Korrelation!$D$4:$D$1197,Korrelation!F$4:F$1197,"",0),DMAV_Modell!$G$6:$G$677,0)))</f>
        <v>0</v>
      </c>
      <c r="D293" s="57">
        <f>IF($A293="","",IF(_xlfn.XLOOKUP($A293,Korrelation!$D$4:$D$1197,Korrelation!G$4:G$1197,"-",0)="-",0,MATCH(_xlfn.XLOOKUP($A293,Korrelation!$D$4:$D$1197,Korrelation!G$4:G$1197,"",0),DMAV_Modell!$G$6:$G$677,0)))</f>
        <v>0</v>
      </c>
      <c r="E293" s="57">
        <f>IF($A293="","",IF(_xlfn.XLOOKUP($A293,Korrelation!$D$4:$D$1197,Korrelation!H$4:H$1197,"-",0)="-",0,MATCH(_xlfn.XLOOKUP($A293,Korrelation!$D$4:$D$1197,Korrelation!H$4:H$1197,"",0),DMAV_Dienste!$F$6:$F$140,0)))</f>
        <v>0</v>
      </c>
      <c r="F293" s="57">
        <f>IF($A293="","",IF(_xlfn.XLOOKUP($A293,Korrelation!$D$4:$D$1197,Korrelation!I$4:I$1197,"-",0)="-",0,MATCH(_xlfn.XLOOKUP($A293,Korrelation!$D$4:$D$1197,Korrelation!I$4:I$1197,"",0),DMAV_Dienste!$F$6:$F$140,0)))</f>
        <v>0</v>
      </c>
      <c r="G293" s="57">
        <f>IF($A293="","",IF(_xlfn.XLOOKUP($A293,Korrelation!$D$4:$D$1197,Korrelation!J$4:J$1197,"-",0)="-",0,MATCH(_xlfn.XLOOKUP($A293,Korrelation!$D$4:$D$1197,Korrelation!J$4:J$1197,"",0),DMAV_Dienste!$F$6:$F$140,0)))</f>
        <v>0</v>
      </c>
      <c r="H293" s="57">
        <f>IF($A293="","",IF(_xlfn.XLOOKUP($A293,Korrelation!$D$4:$D$1197,Korrelation!K$4:K$1197,"-",0)="-",0,MATCH(_xlfn.XLOOKUP($A293,Korrelation!$D$4:$D$1197,Korrelation!K$4:K$1197,"",0),'DM01-AV-CH'!$A$6:$A$834,0)))</f>
        <v>140</v>
      </c>
      <c r="J293" s="54" t="str" cm="1">
        <f t="array" aca="1" ref="J293" ca="1">IF(B293=0,IF(E293=0,"",HYPERLINK("#"&amp;RIGHT(CELL("adresse",OFFSET(DMAV_Dienste!$M$6,E293-1,0)),LEN(CELL("adresse",OFFSET(DMAV_Dienste!$M$6,E293-1,0)))-FIND("]",CELL("adresse",OFFSET(DMAV_Dienste!$M$6,E293-1,0)))),"Dienst")),HYPERLINK("#"&amp;RIGHT(CELL("adresse",OFFSET(DMAV_Modell!$N$6,B293-1,0)),LEN(CELL("adresse",OFFSET(DMAV_Modell!$N$6,B293-1,0)))-FIND("]",CELL("adresse",OFFSET(DMAV_Modell!$N$6,B293-1,0)))),"Modell"))</f>
        <v>Modell</v>
      </c>
      <c r="K293" s="61" t="str" cm="1">
        <f t="array" ref="K293">IF($B293=0,IF($E293=0,"",IF(INDEX(DMAV_Dienste!P$6:P$140,$E293)="","",INDEX(DMAV_Dienste!P$6:P$140,$E293))),IF(INDEX(DMAV_Modell!Q$6:Q$838,$B293)="","",INDEX(DMAV_Modell!Q$6:Q$838,$B293)))</f>
        <v>CLASS</v>
      </c>
      <c r="L293" s="62" t="str" cm="1">
        <f t="array" ref="L293">IF($B293=0,IF($E293=0,"",IF(INDEX(DMAV_Dienste!O$6:O$140,$E293)="","",INDEX(DMAV_Dienste!O$6:O$140,$E293))),IF(INDEX(DMAV_Modell!P$6:P$838,$B293)="","",INDEX(DMAV_Modell!P$6:P$838,$B293)))</f>
        <v>FixpunkteAVKategorie3</v>
      </c>
      <c r="M293" s="62" t="str" cm="1">
        <f t="array" ref="M293">IF($B293=0,IF($E293=0,"",IF(INDEX(DMAV_Dienste!Q$6:Q$140,$E293)="","",INDEX(DMAV_Dienste!Q$6:Q$140,$E293))),IF(INDEX(DMAV_Modell!R$6:R$838,$B293)="","",INDEX(DMAV_Modell!R$6:R$838,$B293)))</f>
        <v>LFP3</v>
      </c>
      <c r="N293" s="62" t="str" cm="1">
        <f t="array" ref="N293">IF($B293=0,IF($E293=0,"",IF(INDEX(DMAV_Dienste!T$6:T$140,$E293)="","",INDEX(DMAV_Dienste!T$6:T$140,$E293))),IF(INDEX(DMAV_Modell!U$6:U$838,$B293)="","",INDEX(DMAV_Modell!U$6:U$838,$B293)))</f>
        <v>Punktzeichen</v>
      </c>
      <c r="O293" s="63" t="str" cm="1">
        <f t="array" aca="1" ref="O293" ca="1">IF(C293=0,IF(F293=0,"",HYPERLINK("#"&amp;RIGHT(CELL("adresse",OFFSET(DMAV_Dienste!$M$6,F293-1,0)),LEN(CELL("adresse",OFFSET(DMAV_Dienste!$M$6,F293-1,0)))-FIND("]",CELL("adresse",OFFSET(DMAV_Dienste!$M$6,F293-1,0)))),"Structure")),HYPERLINK("#"&amp;RIGHT(CELL("adresse",OFFSET(DMAV_Modell!$N$6,C293-1,0)),LEN(CELL("adresse",OFFSET(DMAV_Modell!$N$6,C293-1,0)))-FIND("]",CELL("adresse",OFFSET(DMAV_Modell!$N$6,C293-1,0)))),"Structure"))</f>
        <v/>
      </c>
      <c r="P293" s="64" t="str" cm="1">
        <f t="array" aca="1" ref="P293" ca="1">IF(D293=0,IF(G293=0,"",HYPERLINK("#"&amp;RIGHT(CELL("adresse",OFFSET(DMAV_Dienste!$M$6,G293-1,0)),LEN(CELL("adresse",OFFSET(DMAV_Dienste!$M$6,G293-1,0)))-FIND("]",CELL("adresse",OFFSET(DMAV_Dienste!$M$6,G293-1,0)))),"Substructure")),HYPERLINK("#"&amp;RIGHT(CELL("adresse",OFFSET(DMAV_Modell!$N$6,D293-1,0)),LEN(CELL("adresse",OFFSET(DMAV_Modell!$N$6,D293-1,0)))-FIND("]",CELL("adresse",OFFSET(DMAV_Modell!$N$6,D293-1,0)))),"Substructure"))</f>
        <v/>
      </c>
      <c r="R293" s="80"/>
      <c r="T293" s="93"/>
      <c r="U293" s="94"/>
      <c r="V293" s="95"/>
      <c r="W293" s="96"/>
      <c r="Y293" s="85" t="s">
        <v>3100</v>
      </c>
      <c r="Z293" s="86" t="s">
        <v>1286</v>
      </c>
      <c r="AA293" s="87" t="s">
        <v>3051</v>
      </c>
      <c r="AB293" s="88" t="s">
        <v>3050</v>
      </c>
      <c r="AD293" s="77"/>
      <c r="AF293" s="54" t="str" cm="1">
        <f t="array" aca="1" ref="AF293" ca="1">IF(H293=0,"",HYPERLINK("#"&amp;RIGHT(CELL("adresse",OFFSET('DM01-AV-CH'!$G$6,H293-1,0)),LEN(CELL("adresse",OFFSET('DM01-AV-CH'!$G$6,H293-1,0)))-FIND("]",CELL("adresse",OFFSET('DM01-AV-CH'!$G$6,H293-1,0)))),"Modell"))</f>
        <v>Modell</v>
      </c>
      <c r="AG293" s="72" t="str" cm="1">
        <f t="array" ref="AG293">IF($H293=0,"",IF(INDEX('DM01-AV-CH'!G$6:G$834,$H293)="","",INDEX('DM01-AV-CH'!G$6:G$834,$H293)))</f>
        <v>FixpunkteKategorie3</v>
      </c>
      <c r="AH293" s="73" t="str" cm="1">
        <f t="array" ref="AH293">IF($H293=0,"",IF(INDEX('DM01-AV-CH'!H$6:H$834,$H293)="","",INDEX('DM01-AV-CH'!H$6:H$834,$H293)))</f>
        <v>LFP3</v>
      </c>
      <c r="AI293" s="74" t="str" cm="1">
        <f t="array" ref="AI293">IF($H293=0,"",IF(INDEX('DM01-AV-CH'!I$6:I$834,$H293)="","",INDEX('DM01-AV-CH'!I$6:I$834,$H293)))</f>
        <v>Punktzeichen</v>
      </c>
    </row>
    <row r="294" spans="1:35" x14ac:dyDescent="0.25">
      <c r="A294" s="57">
        <v>289</v>
      </c>
      <c r="B294" s="57">
        <f>IF($A294="","",IF(_xlfn.XLOOKUP($A294,Korrelation!$D$4:$D$1197,Korrelation!E$4:E$1197,"-",0)="-",0,MATCH(_xlfn.XLOOKUP($A294,Korrelation!$D$4:$D$1197,Korrelation!E$4:E$1197,"",0),DMAV_Modell!$G$6:$G$677,0)))</f>
        <v>90</v>
      </c>
      <c r="C294" s="57">
        <f>IF($A294="","",IF(_xlfn.XLOOKUP($A294,Korrelation!$D$4:$D$1197,Korrelation!F$4:F$1197,"-",0)="-",0,MATCH(_xlfn.XLOOKUP($A294,Korrelation!$D$4:$D$1197,Korrelation!F$4:F$1197,"",0),DMAV_Modell!$G$6:$G$677,0)))</f>
        <v>0</v>
      </c>
      <c r="D294" s="57">
        <f>IF($A294="","",IF(_xlfn.XLOOKUP($A294,Korrelation!$D$4:$D$1197,Korrelation!G$4:G$1197,"-",0)="-",0,MATCH(_xlfn.XLOOKUP($A294,Korrelation!$D$4:$D$1197,Korrelation!G$4:G$1197,"",0),DMAV_Modell!$G$6:$G$677,0)))</f>
        <v>0</v>
      </c>
      <c r="E294" s="57">
        <f>IF($A294="","",IF(_xlfn.XLOOKUP($A294,Korrelation!$D$4:$D$1197,Korrelation!H$4:H$1197,"-",0)="-",0,MATCH(_xlfn.XLOOKUP($A294,Korrelation!$D$4:$D$1197,Korrelation!H$4:H$1197,"",0),DMAV_Dienste!$F$6:$F$140,0)))</f>
        <v>0</v>
      </c>
      <c r="F294" s="57">
        <f>IF($A294="","",IF(_xlfn.XLOOKUP($A294,Korrelation!$D$4:$D$1197,Korrelation!I$4:I$1197,"-",0)="-",0,MATCH(_xlfn.XLOOKUP($A294,Korrelation!$D$4:$D$1197,Korrelation!I$4:I$1197,"",0),DMAV_Dienste!$F$6:$F$140,0)))</f>
        <v>0</v>
      </c>
      <c r="G294" s="57">
        <f>IF($A294="","",IF(_xlfn.XLOOKUP($A294,Korrelation!$D$4:$D$1197,Korrelation!J$4:J$1197,"-",0)="-",0,MATCH(_xlfn.XLOOKUP($A294,Korrelation!$D$4:$D$1197,Korrelation!J$4:J$1197,"",0),DMAV_Dienste!$F$6:$F$140,0)))</f>
        <v>0</v>
      </c>
      <c r="H294" s="57">
        <f>IF($A294="","",IF(_xlfn.XLOOKUP($A294,Korrelation!$D$4:$D$1197,Korrelation!K$4:K$1197,"-",0)="-",0,MATCH(_xlfn.XLOOKUP($A294,Korrelation!$D$4:$D$1197,Korrelation!K$4:K$1197,"",0),'DM01-AV-CH'!$A$6:$A$834,0)))</f>
        <v>0</v>
      </c>
      <c r="J294" s="54" t="str" cm="1">
        <f t="array" aca="1" ref="J294" ca="1">IF(B294=0,IF(E294=0,"",HYPERLINK("#"&amp;RIGHT(CELL("adresse",OFFSET(DMAV_Dienste!$M$6,E294-1,0)),LEN(CELL("adresse",OFFSET(DMAV_Dienste!$M$6,E294-1,0)))-FIND("]",CELL("adresse",OFFSET(DMAV_Dienste!$M$6,E294-1,0)))),"Dienst")),HYPERLINK("#"&amp;RIGHT(CELL("adresse",OFFSET(DMAV_Modell!$N$6,B294-1,0)),LEN(CELL("adresse",OFFSET(DMAV_Modell!$N$6,B294-1,0)))-FIND("]",CELL("adresse",OFFSET(DMAV_Modell!$N$6,B294-1,0)))),"Modell"))</f>
        <v>Modell</v>
      </c>
      <c r="K294" s="61" t="str" cm="1">
        <f t="array" ref="K294">IF($B294=0,IF($E294=0,"",IF(INDEX(DMAV_Dienste!P$6:P$140,$E294)="","",INDEX(DMAV_Dienste!P$6:P$140,$E294))),IF(INDEX(DMAV_Modell!Q$6:Q$838,$B294)="","",INDEX(DMAV_Modell!Q$6:Q$838,$B294)))</f>
        <v>CLASS</v>
      </c>
      <c r="L294" s="62" t="str" cm="1">
        <f t="array" ref="L294">IF($B294=0,IF($E294=0,"",IF(INDEX(DMAV_Dienste!O$6:O$140,$E294)="","",INDEX(DMAV_Dienste!O$6:O$140,$E294))),IF(INDEX(DMAV_Modell!P$6:P$838,$B294)="","",INDEX(DMAV_Modell!P$6:P$838,$B294)))</f>
        <v>FixpunkteAVKategorie3</v>
      </c>
      <c r="M294" s="62" t="str" cm="1">
        <f t="array" ref="M294">IF($B294=0,IF($E294=0,"",IF(INDEX(DMAV_Dienste!Q$6:Q$140,$E294)="","",INDEX(DMAV_Dienste!Q$6:Q$140,$E294))),IF(INDEX(DMAV_Modell!R$6:R$838,$B294)="","",INDEX(DMAV_Modell!R$6:R$838,$B294)))</f>
        <v>LFP3</v>
      </c>
      <c r="N294" s="62" t="str" cm="1">
        <f t="array" ref="N294">IF($B294=0,IF($E294=0,"",IF(INDEX(DMAV_Dienste!T$6:T$140,$E294)="","",INDEX(DMAV_Dienste!T$6:T$140,$E294))),IF(INDEX(DMAV_Modell!U$6:U$838,$B294)="","",INDEX(DMAV_Modell!U$6:U$838,$B294)))</f>
        <v>Schutzart</v>
      </c>
      <c r="O294" s="63" t="str" cm="1">
        <f t="array" aca="1" ref="O294" ca="1">IF(C294=0,IF(F294=0,"",HYPERLINK("#"&amp;RIGHT(CELL("adresse",OFFSET(DMAV_Dienste!$M$6,F294-1,0)),LEN(CELL("adresse",OFFSET(DMAV_Dienste!$M$6,F294-1,0)))-FIND("]",CELL("adresse",OFFSET(DMAV_Dienste!$M$6,F294-1,0)))),"Structure")),HYPERLINK("#"&amp;RIGHT(CELL("adresse",OFFSET(DMAV_Modell!$N$6,C294-1,0)),LEN(CELL("adresse",OFFSET(DMAV_Modell!$N$6,C294-1,0)))-FIND("]",CELL("adresse",OFFSET(DMAV_Modell!$N$6,C294-1,0)))),"Structure"))</f>
        <v/>
      </c>
      <c r="P294" s="64" t="str" cm="1">
        <f t="array" aca="1" ref="P294" ca="1">IF(D294=0,IF(G294=0,"",HYPERLINK("#"&amp;RIGHT(CELL("adresse",OFFSET(DMAV_Dienste!$M$6,G294-1,0)),LEN(CELL("adresse",OFFSET(DMAV_Dienste!$M$6,G294-1,0)))-FIND("]",CELL("adresse",OFFSET(DMAV_Dienste!$M$6,G294-1,0)))),"Substructure")),HYPERLINK("#"&amp;RIGHT(CELL("adresse",OFFSET(DMAV_Modell!$N$6,D294-1,0)),LEN(CELL("adresse",OFFSET(DMAV_Modell!$N$6,D294-1,0)))-FIND("]",CELL("adresse",OFFSET(DMAV_Modell!$N$6,D294-1,0)))),"Substructure"))</f>
        <v/>
      </c>
      <c r="R294" s="80"/>
      <c r="T294" s="93"/>
      <c r="U294" s="94"/>
      <c r="V294" s="95"/>
      <c r="W294" s="96"/>
      <c r="Y294" s="85"/>
      <c r="Z294" s="86"/>
      <c r="AA294" s="87"/>
      <c r="AB294" s="88"/>
      <c r="AD294" s="77"/>
      <c r="AF294" s="54" t="str" cm="1">
        <f t="array" aca="1" ref="AF294" ca="1">IF(H294=0,"",HYPERLINK("#"&amp;RIGHT(CELL("adresse",OFFSET('DM01-AV-CH'!$G$6,H294-1,0)),LEN(CELL("adresse",OFFSET('DM01-AV-CH'!$G$6,H294-1,0)))-FIND("]",CELL("adresse",OFFSET('DM01-AV-CH'!$G$6,H294-1,0)))),"Modell"))</f>
        <v/>
      </c>
      <c r="AG294" s="72" t="str" cm="1">
        <f t="array" ref="AG294">IF($H294=0,"",IF(INDEX('DM01-AV-CH'!G$6:G$834,$H294)="","",INDEX('DM01-AV-CH'!G$6:G$834,$H294)))</f>
        <v/>
      </c>
      <c r="AH294" s="73" t="str" cm="1">
        <f t="array" ref="AH294">IF($H294=0,"",IF(INDEX('DM01-AV-CH'!H$6:H$834,$H294)="","",INDEX('DM01-AV-CH'!H$6:H$834,$H294)))</f>
        <v/>
      </c>
      <c r="AI294" s="74" t="str" cm="1">
        <f t="array" ref="AI294">IF($H294=0,"",IF(INDEX('DM01-AV-CH'!I$6:I$834,$H294)="","",INDEX('DM01-AV-CH'!I$6:I$834,$H294)))</f>
        <v/>
      </c>
    </row>
    <row r="295" spans="1:35" x14ac:dyDescent="0.25">
      <c r="A295" s="57">
        <v>290</v>
      </c>
      <c r="B295" s="57">
        <f>IF($A295="","",IF(_xlfn.XLOOKUP($A295,Korrelation!$D$4:$D$1197,Korrelation!E$4:E$1197,"-",0)="-",0,MATCH(_xlfn.XLOOKUP($A295,Korrelation!$D$4:$D$1197,Korrelation!E$4:E$1197,"",0),DMAV_Modell!$G$6:$G$677,0)))</f>
        <v>91</v>
      </c>
      <c r="C295" s="57">
        <f>IF($A295="","",IF(_xlfn.XLOOKUP($A295,Korrelation!$D$4:$D$1197,Korrelation!F$4:F$1197,"-",0)="-",0,MATCH(_xlfn.XLOOKUP($A295,Korrelation!$D$4:$D$1197,Korrelation!F$4:F$1197,"",0),DMAV_Modell!$G$6:$G$677,0)))</f>
        <v>0</v>
      </c>
      <c r="D295" s="57">
        <f>IF($A295="","",IF(_xlfn.XLOOKUP($A295,Korrelation!$D$4:$D$1197,Korrelation!G$4:G$1197,"-",0)="-",0,MATCH(_xlfn.XLOOKUP($A295,Korrelation!$D$4:$D$1197,Korrelation!G$4:G$1197,"",0),DMAV_Modell!$G$6:$G$677,0)))</f>
        <v>0</v>
      </c>
      <c r="E295" s="57">
        <f>IF($A295="","",IF(_xlfn.XLOOKUP($A295,Korrelation!$D$4:$D$1197,Korrelation!H$4:H$1197,"-",0)="-",0,MATCH(_xlfn.XLOOKUP($A295,Korrelation!$D$4:$D$1197,Korrelation!H$4:H$1197,"",0),DMAV_Dienste!$F$6:$F$140,0)))</f>
        <v>0</v>
      </c>
      <c r="F295" s="57">
        <f>IF($A295="","",IF(_xlfn.XLOOKUP($A295,Korrelation!$D$4:$D$1197,Korrelation!I$4:I$1197,"-",0)="-",0,MATCH(_xlfn.XLOOKUP($A295,Korrelation!$D$4:$D$1197,Korrelation!I$4:I$1197,"",0),DMAV_Dienste!$F$6:$F$140,0)))</f>
        <v>0</v>
      </c>
      <c r="G295" s="57">
        <f>IF($A295="","",IF(_xlfn.XLOOKUP($A295,Korrelation!$D$4:$D$1197,Korrelation!J$4:J$1197,"-",0)="-",0,MATCH(_xlfn.XLOOKUP($A295,Korrelation!$D$4:$D$1197,Korrelation!J$4:J$1197,"",0),DMAV_Dienste!$F$6:$F$140,0)))</f>
        <v>0</v>
      </c>
      <c r="H295" s="57">
        <f>IF($A295="","",IF(_xlfn.XLOOKUP($A295,Korrelation!$D$4:$D$1197,Korrelation!K$4:K$1197,"-",0)="-",0,MATCH(_xlfn.XLOOKUP($A295,Korrelation!$D$4:$D$1197,Korrelation!K$4:K$1197,"",0),'DM01-AV-CH'!$A$6:$A$834,0)))</f>
        <v>0</v>
      </c>
      <c r="J295" s="54" t="str" cm="1">
        <f t="array" aca="1" ref="J295" ca="1">IF(B295=0,IF(E295=0,"",HYPERLINK("#"&amp;RIGHT(CELL("adresse",OFFSET(DMAV_Dienste!$M$6,E295-1,0)),LEN(CELL("adresse",OFFSET(DMAV_Dienste!$M$6,E295-1,0)))-FIND("]",CELL("adresse",OFFSET(DMAV_Dienste!$M$6,E295-1,0)))),"Dienst")),HYPERLINK("#"&amp;RIGHT(CELL("adresse",OFFSET(DMAV_Modell!$N$6,B295-1,0)),LEN(CELL("adresse",OFFSET(DMAV_Modell!$N$6,B295-1,0)))-FIND("]",CELL("adresse",OFFSET(DMAV_Modell!$N$6,B295-1,0)))),"Modell"))</f>
        <v>Modell</v>
      </c>
      <c r="K295" s="61" t="str" cm="1">
        <f t="array" ref="K295">IF($B295=0,IF($E295=0,"",IF(INDEX(DMAV_Dienste!P$6:P$140,$E295)="","",INDEX(DMAV_Dienste!P$6:P$140,$E295))),IF(INDEX(DMAV_Modell!Q$6:Q$838,$B295)="","",INDEX(DMAV_Modell!Q$6:Q$838,$B295)))</f>
        <v>CLASS</v>
      </c>
      <c r="L295" s="62" t="str" cm="1">
        <f t="array" ref="L295">IF($B295=0,IF($E295=0,"",IF(INDEX(DMAV_Dienste!O$6:O$140,$E295)="","",INDEX(DMAV_Dienste!O$6:O$140,$E295))),IF(INDEX(DMAV_Modell!P$6:P$838,$B295)="","",INDEX(DMAV_Modell!P$6:P$838,$B295)))</f>
        <v>FixpunkteAVKategorie3</v>
      </c>
      <c r="M295" s="62" t="str" cm="1">
        <f t="array" ref="M295">IF($B295=0,IF($E295=0,"",IF(INDEX(DMAV_Dienste!Q$6:Q$140,$E295)="","",INDEX(DMAV_Dienste!Q$6:Q$140,$E295))),IF(INDEX(DMAV_Modell!R$6:R$838,$B295)="","",INDEX(DMAV_Modell!R$6:R$838,$B295)))</f>
        <v>LFP3</v>
      </c>
      <c r="N295" s="62" t="str" cm="1">
        <f t="array" ref="N295">IF($B295=0,IF($E295=0,"",IF(INDEX(DMAV_Dienste!T$6:T$140,$E295)="","",INDEX(DMAV_Dienste!T$6:T$140,$E295))),IF(INDEX(DMAV_Modell!U$6:U$838,$B295)="","",INDEX(DMAV_Modell!U$6:U$838,$B295)))</f>
        <v>Grenzpunktfunktion</v>
      </c>
      <c r="O295" s="63" t="str" cm="1">
        <f t="array" aca="1" ref="O295" ca="1">IF(C295=0,IF(F295=0,"",HYPERLINK("#"&amp;RIGHT(CELL("adresse",OFFSET(DMAV_Dienste!$M$6,F295-1,0)),LEN(CELL("adresse",OFFSET(DMAV_Dienste!$M$6,F295-1,0)))-FIND("]",CELL("adresse",OFFSET(DMAV_Dienste!$M$6,F295-1,0)))),"Structure")),HYPERLINK("#"&amp;RIGHT(CELL("adresse",OFFSET(DMAV_Modell!$N$6,C295-1,0)),LEN(CELL("adresse",OFFSET(DMAV_Modell!$N$6,C295-1,0)))-FIND("]",CELL("adresse",OFFSET(DMAV_Modell!$N$6,C295-1,0)))),"Structure"))</f>
        <v/>
      </c>
      <c r="P295" s="64" t="str" cm="1">
        <f t="array" aca="1" ref="P295" ca="1">IF(D295=0,IF(G295=0,"",HYPERLINK("#"&amp;RIGHT(CELL("adresse",OFFSET(DMAV_Dienste!$M$6,G295-1,0)),LEN(CELL("adresse",OFFSET(DMAV_Dienste!$M$6,G295-1,0)))-FIND("]",CELL("adresse",OFFSET(DMAV_Dienste!$M$6,G295-1,0)))),"Substructure")),HYPERLINK("#"&amp;RIGHT(CELL("adresse",OFFSET(DMAV_Modell!$N$6,D295-1,0)),LEN(CELL("adresse",OFFSET(DMAV_Modell!$N$6,D295-1,0)))-FIND("]",CELL("adresse",OFFSET(DMAV_Modell!$N$6,D295-1,0)))),"Substructure"))</f>
        <v/>
      </c>
      <c r="R295" s="80" t="s">
        <v>158</v>
      </c>
      <c r="T295" s="93"/>
      <c r="U295" s="94"/>
      <c r="V295" s="95"/>
      <c r="W295" s="96"/>
      <c r="Y295" s="85"/>
      <c r="Z295" s="86"/>
      <c r="AA295" s="87"/>
      <c r="AB295" s="88"/>
      <c r="AD295" s="77"/>
      <c r="AF295" s="54" t="str" cm="1">
        <f t="array" aca="1" ref="AF295" ca="1">IF(H295=0,"",HYPERLINK("#"&amp;RIGHT(CELL("adresse",OFFSET('DM01-AV-CH'!$G$6,H295-1,0)),LEN(CELL("adresse",OFFSET('DM01-AV-CH'!$G$6,H295-1,0)))-FIND("]",CELL("adresse",OFFSET('DM01-AV-CH'!$G$6,H295-1,0)))),"Modell"))</f>
        <v/>
      </c>
      <c r="AG295" s="72" t="str" cm="1">
        <f t="array" ref="AG295">IF($H295=0,"",IF(INDEX('DM01-AV-CH'!G$6:G$834,$H295)="","",INDEX('DM01-AV-CH'!G$6:G$834,$H295)))</f>
        <v/>
      </c>
      <c r="AH295" s="73" t="str" cm="1">
        <f t="array" ref="AH295">IF($H295=0,"",IF(INDEX('DM01-AV-CH'!H$6:H$834,$H295)="","",INDEX('DM01-AV-CH'!H$6:H$834,$H295)))</f>
        <v/>
      </c>
      <c r="AI295" s="74" t="str" cm="1">
        <f t="array" ref="AI295">IF($H295=0,"",IF(INDEX('DM01-AV-CH'!I$6:I$834,$H295)="","",INDEX('DM01-AV-CH'!I$6:I$834,$H295)))</f>
        <v/>
      </c>
    </row>
    <row r="296" spans="1:35" x14ac:dyDescent="0.25">
      <c r="A296" s="57">
        <v>291</v>
      </c>
      <c r="B296" s="57">
        <f>IF($A296="","",IF(_xlfn.XLOOKUP($A296,Korrelation!$D$4:$D$1197,Korrelation!E$4:E$1197,"-",0)="-",0,MATCH(_xlfn.XLOOKUP($A296,Korrelation!$D$4:$D$1197,Korrelation!E$4:E$1197,"",0),DMAV_Modell!$G$6:$G$677,0)))</f>
        <v>92</v>
      </c>
      <c r="C296" s="57">
        <f>IF($A296="","",IF(_xlfn.XLOOKUP($A296,Korrelation!$D$4:$D$1197,Korrelation!F$4:F$1197,"-",0)="-",0,MATCH(_xlfn.XLOOKUP($A296,Korrelation!$D$4:$D$1197,Korrelation!F$4:F$1197,"",0),DMAV_Modell!$G$6:$G$677,0)))</f>
        <v>0</v>
      </c>
      <c r="D296" s="57">
        <f>IF($A296="","",IF(_xlfn.XLOOKUP($A296,Korrelation!$D$4:$D$1197,Korrelation!G$4:G$1197,"-",0)="-",0,MATCH(_xlfn.XLOOKUP($A296,Korrelation!$D$4:$D$1197,Korrelation!G$4:G$1197,"",0),DMAV_Modell!$G$6:$G$677,0)))</f>
        <v>0</v>
      </c>
      <c r="E296" s="57">
        <f>IF($A296="","",IF(_xlfn.XLOOKUP($A296,Korrelation!$D$4:$D$1197,Korrelation!H$4:H$1197,"-",0)="-",0,MATCH(_xlfn.XLOOKUP($A296,Korrelation!$D$4:$D$1197,Korrelation!H$4:H$1197,"",0),DMAV_Dienste!$F$6:$F$140,0)))</f>
        <v>0</v>
      </c>
      <c r="F296" s="57">
        <f>IF($A296="","",IF(_xlfn.XLOOKUP($A296,Korrelation!$D$4:$D$1197,Korrelation!I$4:I$1197,"-",0)="-",0,MATCH(_xlfn.XLOOKUP($A296,Korrelation!$D$4:$D$1197,Korrelation!I$4:I$1197,"",0),DMAV_Dienste!$F$6:$F$140,0)))</f>
        <v>0</v>
      </c>
      <c r="G296" s="57">
        <f>IF($A296="","",IF(_xlfn.XLOOKUP($A296,Korrelation!$D$4:$D$1197,Korrelation!J$4:J$1197,"-",0)="-",0,MATCH(_xlfn.XLOOKUP($A296,Korrelation!$D$4:$D$1197,Korrelation!J$4:J$1197,"",0),DMAV_Dienste!$F$6:$F$140,0)))</f>
        <v>0</v>
      </c>
      <c r="H296" s="57">
        <f>IF($A296="","",IF(_xlfn.XLOOKUP($A296,Korrelation!$D$4:$D$1197,Korrelation!K$4:K$1197,"-",0)="-",0,MATCH(_xlfn.XLOOKUP($A296,Korrelation!$D$4:$D$1197,Korrelation!K$4:K$1197,"",0),'DM01-AV-CH'!$A$6:$A$834,0)))</f>
        <v>0</v>
      </c>
      <c r="J296" s="54" t="str" cm="1">
        <f t="array" aca="1" ref="J296" ca="1">IF(B296=0,IF(E296=0,"",HYPERLINK("#"&amp;RIGHT(CELL("adresse",OFFSET(DMAV_Dienste!$M$6,E296-1,0)),LEN(CELL("adresse",OFFSET(DMAV_Dienste!$M$6,E296-1,0)))-FIND("]",CELL("adresse",OFFSET(DMAV_Dienste!$M$6,E296-1,0)))),"Dienst")),HYPERLINK("#"&amp;RIGHT(CELL("adresse",OFFSET(DMAV_Modell!$N$6,B296-1,0)),LEN(CELL("adresse",OFFSET(DMAV_Modell!$N$6,B296-1,0)))-FIND("]",CELL("adresse",OFFSET(DMAV_Modell!$N$6,B296-1,0)))),"Modell"))</f>
        <v>Modell</v>
      </c>
      <c r="K296" s="61" t="str" cm="1">
        <f t="array" ref="K296">IF($B296=0,IF($E296=0,"",IF(INDEX(DMAV_Dienste!P$6:P$140,$E296)="","",INDEX(DMAV_Dienste!P$6:P$140,$E296))),IF(INDEX(DMAV_Modell!Q$6:Q$838,$B296)="","",INDEX(DMAV_Modell!Q$6:Q$838,$B296)))</f>
        <v>CLASS</v>
      </c>
      <c r="L296" s="62" t="str" cm="1">
        <f t="array" ref="L296">IF($B296=0,IF($E296=0,"",IF(INDEX(DMAV_Dienste!O$6:O$140,$E296)="","",INDEX(DMAV_Dienste!O$6:O$140,$E296))),IF(INDEX(DMAV_Modell!P$6:P$838,$B296)="","",INDEX(DMAV_Modell!P$6:P$838,$B296)))</f>
        <v>FixpunkteAVKategorie3</v>
      </c>
      <c r="M296" s="62" t="str" cm="1">
        <f t="array" ref="M296">IF($B296=0,IF($E296=0,"",IF(INDEX(DMAV_Dienste!Q$6:Q$140,$E296)="","",INDEX(DMAV_Dienste!Q$6:Q$140,$E296))),IF(INDEX(DMAV_Modell!R$6:R$838,$B296)="","",INDEX(DMAV_Modell!R$6:R$838,$B296)))</f>
        <v>LFP3</v>
      </c>
      <c r="N296" s="62" t="str" cm="1">
        <f t="array" ref="N296">IF($B296=0,IF($E296=0,"",IF(INDEX(DMAV_Dienste!T$6:T$140,$E296)="","",INDEX(DMAV_Dienste!T$6:T$140,$E296))),IF(INDEX(DMAV_Modell!U$6:U$838,$B296)="","",INDEX(DMAV_Modell!U$6:U$838,$B296)))</f>
        <v>IstHoheitsgrenzsteinAlt</v>
      </c>
      <c r="O296" s="63" t="str" cm="1">
        <f t="array" aca="1" ref="O296" ca="1">IF(C296=0,IF(F296=0,"",HYPERLINK("#"&amp;RIGHT(CELL("adresse",OFFSET(DMAV_Dienste!$M$6,F296-1,0)),LEN(CELL("adresse",OFFSET(DMAV_Dienste!$M$6,F296-1,0)))-FIND("]",CELL("adresse",OFFSET(DMAV_Dienste!$M$6,F296-1,0)))),"Structure")),HYPERLINK("#"&amp;RIGHT(CELL("adresse",OFFSET(DMAV_Modell!$N$6,C296-1,0)),LEN(CELL("adresse",OFFSET(DMAV_Modell!$N$6,C296-1,0)))-FIND("]",CELL("adresse",OFFSET(DMAV_Modell!$N$6,C296-1,0)))),"Structure"))</f>
        <v/>
      </c>
      <c r="P296" s="64" t="str" cm="1">
        <f t="array" aca="1" ref="P296" ca="1">IF(D296=0,IF(G296=0,"",HYPERLINK("#"&amp;RIGHT(CELL("adresse",OFFSET(DMAV_Dienste!$M$6,G296-1,0)),LEN(CELL("adresse",OFFSET(DMAV_Dienste!$M$6,G296-1,0)))-FIND("]",CELL("adresse",OFFSET(DMAV_Dienste!$M$6,G296-1,0)))),"Substructure")),HYPERLINK("#"&amp;RIGHT(CELL("adresse",OFFSET(DMAV_Modell!$N$6,D296-1,0)),LEN(CELL("adresse",OFFSET(DMAV_Modell!$N$6,D296-1,0)))-FIND("]",CELL("adresse",OFFSET(DMAV_Modell!$N$6,D296-1,0)))),"Substructure"))</f>
        <v/>
      </c>
      <c r="R296" s="80"/>
      <c r="T296" s="93"/>
      <c r="U296" s="94"/>
      <c r="V296" s="95"/>
      <c r="W296" s="96"/>
      <c r="Y296" s="85"/>
      <c r="Z296" s="86"/>
      <c r="AA296" s="87"/>
      <c r="AB296" s="88"/>
      <c r="AD296" s="77"/>
      <c r="AF296" s="54" t="str" cm="1">
        <f t="array" aca="1" ref="AF296" ca="1">IF(H296=0,"",HYPERLINK("#"&amp;RIGHT(CELL("adresse",OFFSET('DM01-AV-CH'!$G$6,H296-1,0)),LEN(CELL("adresse",OFFSET('DM01-AV-CH'!$G$6,H296-1,0)))-FIND("]",CELL("adresse",OFFSET('DM01-AV-CH'!$G$6,H296-1,0)))),"Modell"))</f>
        <v/>
      </c>
      <c r="AG296" s="72" t="str" cm="1">
        <f t="array" ref="AG296">IF($H296=0,"",IF(INDEX('DM01-AV-CH'!G$6:G$834,$H296)="","",INDEX('DM01-AV-CH'!G$6:G$834,$H296)))</f>
        <v/>
      </c>
      <c r="AH296" s="73" t="str" cm="1">
        <f t="array" ref="AH296">IF($H296=0,"",IF(INDEX('DM01-AV-CH'!H$6:H$834,$H296)="","",INDEX('DM01-AV-CH'!H$6:H$834,$H296)))</f>
        <v/>
      </c>
      <c r="AI296" s="74" t="str" cm="1">
        <f t="array" ref="AI296">IF($H296=0,"",IF(INDEX('DM01-AV-CH'!I$6:I$834,$H296)="","",INDEX('DM01-AV-CH'!I$6:I$834,$H296)))</f>
        <v/>
      </c>
    </row>
    <row r="297" spans="1:35" ht="42.75" x14ac:dyDescent="0.25">
      <c r="A297" s="57">
        <v>292</v>
      </c>
      <c r="B297" s="57">
        <f>IF($A297="","",IF(_xlfn.XLOOKUP($A297,Korrelation!$D$4:$D$1197,Korrelation!E$4:E$1197,"-",0)="-",0,MATCH(_xlfn.XLOOKUP($A297,Korrelation!$D$4:$D$1197,Korrelation!E$4:E$1197,"",0),DMAV_Modell!$G$6:$G$677,0)))</f>
        <v>93</v>
      </c>
      <c r="C297" s="57">
        <f>IF($A297="","",IF(_xlfn.XLOOKUP($A297,Korrelation!$D$4:$D$1197,Korrelation!F$4:F$1197,"-",0)="-",0,MATCH(_xlfn.XLOOKUP($A297,Korrelation!$D$4:$D$1197,Korrelation!F$4:F$1197,"",0),DMAV_Modell!$G$6:$G$677,0)))</f>
        <v>0</v>
      </c>
      <c r="D297" s="57">
        <f>IF($A297="","",IF(_xlfn.XLOOKUP($A297,Korrelation!$D$4:$D$1197,Korrelation!G$4:G$1197,"-",0)="-",0,MATCH(_xlfn.XLOOKUP($A297,Korrelation!$D$4:$D$1197,Korrelation!G$4:G$1197,"",0),DMAV_Modell!$G$6:$G$677,0)))</f>
        <v>0</v>
      </c>
      <c r="E297" s="57">
        <f>IF($A297="","",IF(_xlfn.XLOOKUP($A297,Korrelation!$D$4:$D$1197,Korrelation!H$4:H$1197,"-",0)="-",0,MATCH(_xlfn.XLOOKUP($A297,Korrelation!$D$4:$D$1197,Korrelation!H$4:H$1197,"",0),DMAV_Dienste!$F$6:$F$140,0)))</f>
        <v>0</v>
      </c>
      <c r="F297" s="57">
        <f>IF($A297="","",IF(_xlfn.XLOOKUP($A297,Korrelation!$D$4:$D$1197,Korrelation!I$4:I$1197,"-",0)="-",0,MATCH(_xlfn.XLOOKUP($A297,Korrelation!$D$4:$D$1197,Korrelation!I$4:I$1197,"",0),DMAV_Dienste!$F$6:$F$140,0)))</f>
        <v>0</v>
      </c>
      <c r="G297" s="57">
        <f>IF($A297="","",IF(_xlfn.XLOOKUP($A297,Korrelation!$D$4:$D$1197,Korrelation!J$4:J$1197,"-",0)="-",0,MATCH(_xlfn.XLOOKUP($A297,Korrelation!$D$4:$D$1197,Korrelation!J$4:J$1197,"",0),DMAV_Dienste!$F$6:$F$140,0)))</f>
        <v>0</v>
      </c>
      <c r="H297" s="57">
        <f>IF($A297="","",IF(_xlfn.XLOOKUP($A297,Korrelation!$D$4:$D$1197,Korrelation!K$4:K$1197,"-",0)="-",0,MATCH(_xlfn.XLOOKUP($A297,Korrelation!$D$4:$D$1197,Korrelation!K$4:K$1197,"",0),'DM01-AV-CH'!$A$6:$A$834,0)))</f>
        <v>0</v>
      </c>
      <c r="J297" s="54" t="str" cm="1">
        <f t="array" aca="1" ref="J297" ca="1">IF(B297=0,IF(E297=0,"",HYPERLINK("#"&amp;RIGHT(CELL("adresse",OFFSET(DMAV_Dienste!$M$6,E297-1,0)),LEN(CELL("adresse",OFFSET(DMAV_Dienste!$M$6,E297-1,0)))-FIND("]",CELL("adresse",OFFSET(DMAV_Dienste!$M$6,E297-1,0)))),"Dienst")),HYPERLINK("#"&amp;RIGHT(CELL("adresse",OFFSET(DMAV_Modell!$N$6,B297-1,0)),LEN(CELL("adresse",OFFSET(DMAV_Modell!$N$6,B297-1,0)))-FIND("]",CELL("adresse",OFFSET(DMAV_Modell!$N$6,B297-1,0)))),"Modell"))</f>
        <v>Modell</v>
      </c>
      <c r="K297" s="61" t="str" cm="1">
        <f t="array" ref="K297">IF($B297=0,IF($E297=0,"",IF(INDEX(DMAV_Dienste!P$6:P$140,$E297)="","",INDEX(DMAV_Dienste!P$6:P$140,$E297))),IF(INDEX(DMAV_Modell!Q$6:Q$838,$B297)="","",INDEX(DMAV_Modell!Q$6:Q$838,$B297)))</f>
        <v>CLASS</v>
      </c>
      <c r="L297" s="62" t="str" cm="1">
        <f t="array" ref="L297">IF($B297=0,IF($E297=0,"",IF(INDEX(DMAV_Dienste!O$6:O$140,$E297)="","",INDEX(DMAV_Dienste!O$6:O$140,$E297))),IF(INDEX(DMAV_Modell!P$6:P$838,$B297)="","",INDEX(DMAV_Modell!P$6:P$838,$B297)))</f>
        <v>FixpunkteAVKategorie3</v>
      </c>
      <c r="M297" s="62" t="str" cm="1">
        <f t="array" ref="M297">IF($B297=0,IF($E297=0,"",IF(INDEX(DMAV_Dienste!Q$6:Q$140,$E297)="","",INDEX(DMAV_Dienste!Q$6:Q$140,$E297))),IF(INDEX(DMAV_Modell!R$6:R$838,$B297)="","",INDEX(DMAV_Modell!R$6:R$838,$B297)))</f>
        <v>LFP3</v>
      </c>
      <c r="N297" s="62" t="str" cm="1">
        <f t="array" ref="N297">IF($B297=0,IF($E297=0,"",IF(INDEX(DMAV_Dienste!T$6:T$140,$E297)="","",INDEX(DMAV_Dienste!T$6:T$140,$E297))),IF(INDEX(DMAV_Modell!U$6:U$838,$B297)="","",INDEX(DMAV_Modell!U$6:U$838,$B297)))</f>
        <v>AktiverUnterhalt</v>
      </c>
      <c r="O297" s="63" t="str" cm="1">
        <f t="array" aca="1" ref="O297" ca="1">IF(C297=0,IF(F297=0,"",HYPERLINK("#"&amp;RIGHT(CELL("adresse",OFFSET(DMAV_Dienste!$M$6,F297-1,0)),LEN(CELL("adresse",OFFSET(DMAV_Dienste!$M$6,F297-1,0)))-FIND("]",CELL("adresse",OFFSET(DMAV_Dienste!$M$6,F297-1,0)))),"Structure")),HYPERLINK("#"&amp;RIGHT(CELL("adresse",OFFSET(DMAV_Modell!$N$6,C297-1,0)),LEN(CELL("adresse",OFFSET(DMAV_Modell!$N$6,C297-1,0)))-FIND("]",CELL("adresse",OFFSET(DMAV_Modell!$N$6,C297-1,0)))),"Structure"))</f>
        <v/>
      </c>
      <c r="P297" s="64" t="str" cm="1">
        <f t="array" aca="1" ref="P297" ca="1">IF(D297=0,IF(G297=0,"",HYPERLINK("#"&amp;RIGHT(CELL("adresse",OFFSET(DMAV_Dienste!$M$6,G297-1,0)),LEN(CELL("adresse",OFFSET(DMAV_Dienste!$M$6,G297-1,0)))-FIND("]",CELL("adresse",OFFSET(DMAV_Dienste!$M$6,G297-1,0)))),"Substructure")),HYPERLINK("#"&amp;RIGHT(CELL("adresse",OFFSET(DMAV_Modell!$N$6,D297-1,0)),LEN(CELL("adresse",OFFSET(DMAV_Modell!$N$6,D297-1,0)))-FIND("]",CELL("adresse",OFFSET(DMAV_Modell!$N$6,D297-1,0)))),"Substructure"))</f>
        <v/>
      </c>
      <c r="R297" s="80" t="s">
        <v>2979</v>
      </c>
      <c r="T297" s="93"/>
      <c r="U297" s="94"/>
      <c r="V297" s="95"/>
      <c r="W297" s="96"/>
      <c r="Y297" s="85"/>
      <c r="Z297" s="86"/>
      <c r="AA297" s="87"/>
      <c r="AB297" s="88"/>
      <c r="AD297" s="77"/>
      <c r="AF297" s="54" t="str" cm="1">
        <f t="array" aca="1" ref="AF297" ca="1">IF(H297=0,"",HYPERLINK("#"&amp;RIGHT(CELL("adresse",OFFSET('DM01-AV-CH'!$G$6,H297-1,0)),LEN(CELL("adresse",OFFSET('DM01-AV-CH'!$G$6,H297-1,0)))-FIND("]",CELL("adresse",OFFSET('DM01-AV-CH'!$G$6,H297-1,0)))),"Modell"))</f>
        <v/>
      </c>
      <c r="AG297" s="72" t="str" cm="1">
        <f t="array" ref="AG297">IF($H297=0,"",IF(INDEX('DM01-AV-CH'!G$6:G$834,$H297)="","",INDEX('DM01-AV-CH'!G$6:G$834,$H297)))</f>
        <v/>
      </c>
      <c r="AH297" s="73" t="str" cm="1">
        <f t="array" ref="AH297">IF($H297=0,"",IF(INDEX('DM01-AV-CH'!H$6:H$834,$H297)="","",INDEX('DM01-AV-CH'!H$6:H$834,$H297)))</f>
        <v/>
      </c>
      <c r="AI297" s="74" t="str" cm="1">
        <f t="array" ref="AI297">IF($H297=0,"",IF(INDEX('DM01-AV-CH'!I$6:I$834,$H297)="","",INDEX('DM01-AV-CH'!I$6:I$834,$H297)))</f>
        <v/>
      </c>
    </row>
    <row r="298" spans="1:35" x14ac:dyDescent="0.25">
      <c r="A298" s="57">
        <v>293</v>
      </c>
      <c r="B298" s="57">
        <f>IF($A298="","",IF(_xlfn.XLOOKUP($A298,Korrelation!$D$4:$D$1197,Korrelation!E$4:E$1197,"-",0)="-",0,MATCH(_xlfn.XLOOKUP($A298,Korrelation!$D$4:$D$1197,Korrelation!E$4:E$1197,"",0),DMAV_Modell!$G$6:$G$677,0)))</f>
        <v>0</v>
      </c>
      <c r="C298" s="57">
        <f>IF($A298="","",IF(_xlfn.XLOOKUP($A298,Korrelation!$D$4:$D$1197,Korrelation!F$4:F$1197,"-",0)="-",0,MATCH(_xlfn.XLOOKUP($A298,Korrelation!$D$4:$D$1197,Korrelation!F$4:F$1197,"",0),DMAV_Modell!$G$6:$G$677,0)))</f>
        <v>0</v>
      </c>
      <c r="D298" s="57">
        <f>IF($A298="","",IF(_xlfn.XLOOKUP($A298,Korrelation!$D$4:$D$1197,Korrelation!G$4:G$1197,"-",0)="-",0,MATCH(_xlfn.XLOOKUP($A298,Korrelation!$D$4:$D$1197,Korrelation!G$4:G$1197,"",0),DMAV_Modell!$G$6:$G$677,0)))</f>
        <v>0</v>
      </c>
      <c r="E298" s="57">
        <f>IF($A298="","",IF(_xlfn.XLOOKUP($A298,Korrelation!$D$4:$D$1197,Korrelation!H$4:H$1197,"-",0)="-",0,MATCH(_xlfn.XLOOKUP($A298,Korrelation!$D$4:$D$1197,Korrelation!H$4:H$1197,"",0),DMAV_Dienste!$F$6:$F$140,0)))</f>
        <v>0</v>
      </c>
      <c r="F298" s="57">
        <f>IF($A298="","",IF(_xlfn.XLOOKUP($A298,Korrelation!$D$4:$D$1197,Korrelation!I$4:I$1197,"-",0)="-",0,MATCH(_xlfn.XLOOKUP($A298,Korrelation!$D$4:$D$1197,Korrelation!I$4:I$1197,"",0),DMAV_Dienste!$F$6:$F$140,0)))</f>
        <v>0</v>
      </c>
      <c r="G298" s="57">
        <f>IF($A298="","",IF(_xlfn.XLOOKUP($A298,Korrelation!$D$4:$D$1197,Korrelation!J$4:J$1197,"-",0)="-",0,MATCH(_xlfn.XLOOKUP($A298,Korrelation!$D$4:$D$1197,Korrelation!J$4:J$1197,"",0),DMAV_Dienste!$F$6:$F$140,0)))</f>
        <v>0</v>
      </c>
      <c r="H298" s="57">
        <f>IF($A298="","",IF(_xlfn.XLOOKUP($A298,Korrelation!$D$4:$D$1197,Korrelation!K$4:K$1197,"-",0)="-",0,MATCH(_xlfn.XLOOKUP($A298,Korrelation!$D$4:$D$1197,Korrelation!K$4:K$1197,"",0),'DM01-AV-CH'!$A$6:$A$834,0)))</f>
        <v>141</v>
      </c>
      <c r="J298" s="54" t="str" cm="1">
        <f t="array" aca="1" ref="J298" ca="1">IF(B298=0,IF(E298=0,"",HYPERLINK("#"&amp;RIGHT(CELL("adresse",OFFSET(DMAV_Dienste!$M$6,E298-1,0)),LEN(CELL("adresse",OFFSET(DMAV_Dienste!$M$6,E298-1,0)))-FIND("]",CELL("adresse",OFFSET(DMAV_Dienste!$M$6,E298-1,0)))),"Dienst")),HYPERLINK("#"&amp;RIGHT(CELL("adresse",OFFSET(DMAV_Modell!$N$6,B298-1,0)),LEN(CELL("adresse",OFFSET(DMAV_Modell!$N$6,B298-1,0)))-FIND("]",CELL("adresse",OFFSET(DMAV_Modell!$N$6,B298-1,0)))),"Modell"))</f>
        <v/>
      </c>
      <c r="K298" s="61" t="str" cm="1">
        <f t="array" ref="K298">IF($B298=0,IF($E298=0,"",IF(INDEX(DMAV_Dienste!P$6:P$140,$E298)="","",INDEX(DMAV_Dienste!P$6:P$140,$E298))),IF(INDEX(DMAV_Modell!Q$6:Q$838,$B298)="","",INDEX(DMAV_Modell!Q$6:Q$838,$B298)))</f>
        <v/>
      </c>
      <c r="L298" s="62" t="str" cm="1">
        <f t="array" ref="L298">IF($B298=0,IF($E298=0,"",IF(INDEX(DMAV_Dienste!O$6:O$140,$E298)="","",INDEX(DMAV_Dienste!O$6:O$140,$E298))),IF(INDEX(DMAV_Modell!P$6:P$838,$B298)="","",INDEX(DMAV_Modell!P$6:P$838,$B298)))</f>
        <v/>
      </c>
      <c r="M298" s="62" t="str" cm="1">
        <f t="array" ref="M298">IF($B298=0,IF($E298=0,"",IF(INDEX(DMAV_Dienste!Q$6:Q$140,$E298)="","",INDEX(DMAV_Dienste!Q$6:Q$140,$E298))),IF(INDEX(DMAV_Modell!R$6:R$838,$B298)="","",INDEX(DMAV_Modell!R$6:R$838,$B298)))</f>
        <v/>
      </c>
      <c r="N298" s="62" t="str" cm="1">
        <f t="array" ref="N298">IF($B298=0,IF($E298=0,"",IF(INDEX(DMAV_Dienste!T$6:T$140,$E298)="","",INDEX(DMAV_Dienste!T$6:T$140,$E298))),IF(INDEX(DMAV_Modell!U$6:U$838,$B298)="","",INDEX(DMAV_Modell!U$6:U$838,$B298)))</f>
        <v/>
      </c>
      <c r="O298" s="63" t="str" cm="1">
        <f t="array" aca="1" ref="O298" ca="1">IF(C298=0,IF(F298=0,"",HYPERLINK("#"&amp;RIGHT(CELL("adresse",OFFSET(DMAV_Dienste!$M$6,F298-1,0)),LEN(CELL("adresse",OFFSET(DMAV_Dienste!$M$6,F298-1,0)))-FIND("]",CELL("adresse",OFFSET(DMAV_Dienste!$M$6,F298-1,0)))),"Structure")),HYPERLINK("#"&amp;RIGHT(CELL("adresse",OFFSET(DMAV_Modell!$N$6,C298-1,0)),LEN(CELL("adresse",OFFSET(DMAV_Modell!$N$6,C298-1,0)))-FIND("]",CELL("adresse",OFFSET(DMAV_Modell!$N$6,C298-1,0)))),"Structure"))</f>
        <v/>
      </c>
      <c r="P298" s="64" t="str" cm="1">
        <f t="array" aca="1" ref="P298" ca="1">IF(D298=0,IF(G298=0,"",HYPERLINK("#"&amp;RIGHT(CELL("adresse",OFFSET(DMAV_Dienste!$M$6,G298-1,0)),LEN(CELL("adresse",OFFSET(DMAV_Dienste!$M$6,G298-1,0)))-FIND("]",CELL("adresse",OFFSET(DMAV_Dienste!$M$6,G298-1,0)))),"Substructure")),HYPERLINK("#"&amp;RIGHT(CELL("adresse",OFFSET(DMAV_Modell!$N$6,D298-1,0)),LEN(CELL("adresse",OFFSET(DMAV_Modell!$N$6,D298-1,0)))-FIND("]",CELL("adresse",OFFSET(DMAV_Modell!$N$6,D298-1,0)))),"Substructure"))</f>
        <v/>
      </c>
      <c r="R298" s="80"/>
      <c r="T298" s="93"/>
      <c r="U298" s="94"/>
      <c r="V298" s="95"/>
      <c r="W298" s="96"/>
      <c r="Y298" s="85"/>
      <c r="Z298" s="86"/>
      <c r="AA298" s="87"/>
      <c r="AB298" s="88"/>
      <c r="AD298" s="77" t="s">
        <v>2717</v>
      </c>
      <c r="AF298" s="54" t="str" cm="1">
        <f t="array" aca="1" ref="AF298" ca="1">IF(H298=0,"",HYPERLINK("#"&amp;RIGHT(CELL("adresse",OFFSET('DM01-AV-CH'!$G$6,H298-1,0)),LEN(CELL("adresse",OFFSET('DM01-AV-CH'!$G$6,H298-1,0)))-FIND("]",CELL("adresse",OFFSET('DM01-AV-CH'!$G$6,H298-1,0)))),"Modell"))</f>
        <v>Modell</v>
      </c>
      <c r="AG298" s="72" t="str" cm="1">
        <f t="array" ref="AG298">IF($H298=0,"",IF(INDEX('DM01-AV-CH'!G$6:G$834,$H298)="","",INDEX('DM01-AV-CH'!G$6:G$834,$H298)))</f>
        <v>FixpunkteKategorie3</v>
      </c>
      <c r="AH298" s="73" t="str" cm="1">
        <f t="array" ref="AH298">IF($H298=0,"",IF(INDEX('DM01-AV-CH'!H$6:H$834,$H298)="","",INDEX('DM01-AV-CH'!H$6:H$834,$H298)))</f>
        <v>LFP3</v>
      </c>
      <c r="AI298" s="74" t="str" cm="1">
        <f t="array" ref="AI298">IF($H298=0,"",IF(INDEX('DM01-AV-CH'!I$6:I$834,$H298)="","",INDEX('DM01-AV-CH'!I$6:I$834,$H298)))</f>
        <v>Protokoll</v>
      </c>
    </row>
    <row r="299" spans="1:35" x14ac:dyDescent="0.25">
      <c r="A299" s="57">
        <v>294</v>
      </c>
      <c r="B299" s="57">
        <f>IF($A299="","",IF(_xlfn.XLOOKUP($A299,Korrelation!$D$4:$D$1197,Korrelation!E$4:E$1197,"-",0)="-",0,MATCH(_xlfn.XLOOKUP($A299,Korrelation!$D$4:$D$1197,Korrelation!E$4:E$1197,"",0),DMAV_Modell!$G$6:$G$677,0)))</f>
        <v>0</v>
      </c>
      <c r="C299" s="57">
        <f>IF($A299="","",IF(_xlfn.XLOOKUP($A299,Korrelation!$D$4:$D$1197,Korrelation!F$4:F$1197,"-",0)="-",0,MATCH(_xlfn.XLOOKUP($A299,Korrelation!$D$4:$D$1197,Korrelation!F$4:F$1197,"",0),DMAV_Modell!$G$6:$G$677,0)))</f>
        <v>0</v>
      </c>
      <c r="D299" s="57">
        <f>IF($A299="","",IF(_xlfn.XLOOKUP($A299,Korrelation!$D$4:$D$1197,Korrelation!G$4:G$1197,"-",0)="-",0,MATCH(_xlfn.XLOOKUP($A299,Korrelation!$D$4:$D$1197,Korrelation!G$4:G$1197,"",0),DMAV_Modell!$G$6:$G$677,0)))</f>
        <v>0</v>
      </c>
      <c r="E299" s="57">
        <f>IF($A299="","",IF(_xlfn.XLOOKUP($A299,Korrelation!$D$4:$D$1197,Korrelation!H$4:H$1197,"-",0)="-",0,MATCH(_xlfn.XLOOKUP($A299,Korrelation!$D$4:$D$1197,Korrelation!H$4:H$1197,"",0),DMAV_Dienste!$F$6:$F$140,0)))</f>
        <v>0</v>
      </c>
      <c r="F299" s="57">
        <f>IF($A299="","",IF(_xlfn.XLOOKUP($A299,Korrelation!$D$4:$D$1197,Korrelation!I$4:I$1197,"-",0)="-",0,MATCH(_xlfn.XLOOKUP($A299,Korrelation!$D$4:$D$1197,Korrelation!I$4:I$1197,"",0),DMAV_Dienste!$F$6:$F$140,0)))</f>
        <v>0</v>
      </c>
      <c r="G299" s="57">
        <f>IF($A299="","",IF(_xlfn.XLOOKUP($A299,Korrelation!$D$4:$D$1197,Korrelation!J$4:J$1197,"-",0)="-",0,MATCH(_xlfn.XLOOKUP($A299,Korrelation!$D$4:$D$1197,Korrelation!J$4:J$1197,"",0),DMAV_Dienste!$F$6:$F$140,0)))</f>
        <v>0</v>
      </c>
      <c r="H299" s="57">
        <f>IF($A299="","",IF(_xlfn.XLOOKUP($A299,Korrelation!$D$4:$D$1197,Korrelation!K$4:K$1197,"-",0)="-",0,MATCH(_xlfn.XLOOKUP($A299,Korrelation!$D$4:$D$1197,Korrelation!K$4:K$1197,"",0),'DM01-AV-CH'!$A$6:$A$834,0)))</f>
        <v>147</v>
      </c>
      <c r="J299" s="54" t="str" cm="1">
        <f t="array" aca="1" ref="J299" ca="1">IF(B299=0,IF(E299=0,"",HYPERLINK("#"&amp;RIGHT(CELL("adresse",OFFSET(DMAV_Dienste!$M$6,E299-1,0)),LEN(CELL("adresse",OFFSET(DMAV_Dienste!$M$6,E299-1,0)))-FIND("]",CELL("adresse",OFFSET(DMAV_Dienste!$M$6,E299-1,0)))),"Dienst")),HYPERLINK("#"&amp;RIGHT(CELL("adresse",OFFSET(DMAV_Modell!$N$6,B299-1,0)),LEN(CELL("adresse",OFFSET(DMAV_Modell!$N$6,B299-1,0)))-FIND("]",CELL("adresse",OFFSET(DMAV_Modell!$N$6,B299-1,0)))),"Modell"))</f>
        <v/>
      </c>
      <c r="K299" s="61" t="str" cm="1">
        <f t="array" ref="K299">IF($B299=0,IF($E299=0,"",IF(INDEX(DMAV_Dienste!P$6:P$140,$E299)="","",INDEX(DMAV_Dienste!P$6:P$140,$E299))),IF(INDEX(DMAV_Modell!Q$6:Q$838,$B299)="","",INDEX(DMAV_Modell!Q$6:Q$838,$B299)))</f>
        <v/>
      </c>
      <c r="L299" s="62" t="str" cm="1">
        <f t="array" ref="L299">IF($B299=0,IF($E299=0,"",IF(INDEX(DMAV_Dienste!O$6:O$140,$E299)="","",INDEX(DMAV_Dienste!O$6:O$140,$E299))),IF(INDEX(DMAV_Modell!P$6:P$838,$B299)="","",INDEX(DMAV_Modell!P$6:P$838,$B299)))</f>
        <v/>
      </c>
      <c r="M299" s="62" t="str" cm="1">
        <f t="array" ref="M299">IF($B299=0,IF($E299=0,"",IF(INDEX(DMAV_Dienste!Q$6:Q$140,$E299)="","",INDEX(DMAV_Dienste!Q$6:Q$140,$E299))),IF(INDEX(DMAV_Modell!R$6:R$838,$B299)="","",INDEX(DMAV_Modell!R$6:R$838,$B299)))</f>
        <v/>
      </c>
      <c r="N299" s="62" t="str" cm="1">
        <f t="array" ref="N299">IF($B299=0,IF($E299=0,"",IF(INDEX(DMAV_Dienste!T$6:T$140,$E299)="","",INDEX(DMAV_Dienste!T$6:T$140,$E299))),IF(INDEX(DMAV_Modell!U$6:U$838,$B299)="","",INDEX(DMAV_Modell!U$6:U$838,$B299)))</f>
        <v/>
      </c>
      <c r="O299" s="63" t="str" cm="1">
        <f t="array" aca="1" ref="O299" ca="1">IF(C299=0,IF(F299=0,"",HYPERLINK("#"&amp;RIGHT(CELL("adresse",OFFSET(DMAV_Dienste!$M$6,F299-1,0)),LEN(CELL("adresse",OFFSET(DMAV_Dienste!$M$6,F299-1,0)))-FIND("]",CELL("adresse",OFFSET(DMAV_Dienste!$M$6,F299-1,0)))),"Structure")),HYPERLINK("#"&amp;RIGHT(CELL("adresse",OFFSET(DMAV_Modell!$N$6,C299-1,0)),LEN(CELL("adresse",OFFSET(DMAV_Modell!$N$6,C299-1,0)))-FIND("]",CELL("adresse",OFFSET(DMAV_Modell!$N$6,C299-1,0)))),"Structure"))</f>
        <v/>
      </c>
      <c r="P299" s="64" t="str" cm="1">
        <f t="array" aca="1" ref="P299" ca="1">IF(D299=0,IF(G299=0,"",HYPERLINK("#"&amp;RIGHT(CELL("adresse",OFFSET(DMAV_Dienste!$M$6,G299-1,0)),LEN(CELL("adresse",OFFSET(DMAV_Dienste!$M$6,G299-1,0)))-FIND("]",CELL("adresse",OFFSET(DMAV_Dienste!$M$6,G299-1,0)))),"Substructure")),HYPERLINK("#"&amp;RIGHT(CELL("adresse",OFFSET(DMAV_Modell!$N$6,D299-1,0)),LEN(CELL("adresse",OFFSET(DMAV_Modell!$N$6,D299-1,0)))-FIND("]",CELL("adresse",OFFSET(DMAV_Modell!$N$6,D299-1,0)))),"Substructure"))</f>
        <v/>
      </c>
      <c r="R299" s="80"/>
      <c r="T299" s="93"/>
      <c r="U299" s="94"/>
      <c r="V299" s="95"/>
      <c r="W299" s="96"/>
      <c r="Y299" s="85"/>
      <c r="Z299" s="86"/>
      <c r="AA299" s="87"/>
      <c r="AB299" s="88"/>
      <c r="AD299" s="77"/>
      <c r="AF299" s="54" t="str" cm="1">
        <f t="array" aca="1" ref="AF299" ca="1">IF(H299=0,"",HYPERLINK("#"&amp;RIGHT(CELL("adresse",OFFSET('DM01-AV-CH'!$G$6,H299-1,0)),LEN(CELL("adresse",OFFSET('DM01-AV-CH'!$G$6,H299-1,0)))-FIND("]",CELL("adresse",OFFSET('DM01-AV-CH'!$G$6,H299-1,0)))),"Modell"))</f>
        <v>Modell</v>
      </c>
      <c r="AG299" s="72" t="str" cm="1">
        <f t="array" ref="AG299">IF($H299=0,"",IF(INDEX('DM01-AV-CH'!G$6:G$834,$H299)="","",INDEX('DM01-AV-CH'!G$6:G$834,$H299)))</f>
        <v>FixpunkteKategorie3</v>
      </c>
      <c r="AH299" s="73" t="str" cm="1">
        <f t="array" ref="AH299">IF($H299=0,"",IF(INDEX('DM01-AV-CH'!H$6:H$834,$H299)="","",INDEX('DM01-AV-CH'!H$6:H$834,$H299)))</f>
        <v>LFP3Symbol</v>
      </c>
      <c r="AI299" s="74" t="str" cm="1">
        <f t="array" ref="AI299">IF($H299=0,"",IF(INDEX('DM01-AV-CH'!I$6:I$834,$H299)="","",INDEX('DM01-AV-CH'!I$6:I$834,$H299)))</f>
        <v>LFP3Symbol_von</v>
      </c>
    </row>
    <row r="300" spans="1:35" ht="114" x14ac:dyDescent="0.25">
      <c r="A300" s="57">
        <v>295</v>
      </c>
      <c r="B300" s="57">
        <f>IF($A300="","",IF(_xlfn.XLOOKUP($A300,Korrelation!$D$4:$D$1197,Korrelation!E$4:E$1197,"-",0)="-",0,MATCH(_xlfn.XLOOKUP($A300,Korrelation!$D$4:$D$1197,Korrelation!E$4:E$1197,"",0),DMAV_Modell!$G$6:$G$677,0)))</f>
        <v>94</v>
      </c>
      <c r="C300" s="57">
        <f>IF($A300="","",IF(_xlfn.XLOOKUP($A300,Korrelation!$D$4:$D$1197,Korrelation!F$4:F$1197,"-",0)="-",0,MATCH(_xlfn.XLOOKUP($A300,Korrelation!$D$4:$D$1197,Korrelation!F$4:F$1197,"",0),DMAV_Modell!$G$6:$G$677,0)))</f>
        <v>0</v>
      </c>
      <c r="D300" s="57">
        <f>IF($A300="","",IF(_xlfn.XLOOKUP($A300,Korrelation!$D$4:$D$1197,Korrelation!G$4:G$1197,"-",0)="-",0,MATCH(_xlfn.XLOOKUP($A300,Korrelation!$D$4:$D$1197,Korrelation!G$4:G$1197,"",0),DMAV_Modell!$G$6:$G$677,0)))</f>
        <v>0</v>
      </c>
      <c r="E300" s="57">
        <f>IF($A300="","",IF(_xlfn.XLOOKUP($A300,Korrelation!$D$4:$D$1197,Korrelation!H$4:H$1197,"-",0)="-",0,MATCH(_xlfn.XLOOKUP($A300,Korrelation!$D$4:$D$1197,Korrelation!H$4:H$1197,"",0),DMAV_Dienste!$F$6:$F$140,0)))</f>
        <v>0</v>
      </c>
      <c r="F300" s="57">
        <f>IF($A300="","",IF(_xlfn.XLOOKUP($A300,Korrelation!$D$4:$D$1197,Korrelation!I$4:I$1197,"-",0)="-",0,MATCH(_xlfn.XLOOKUP($A300,Korrelation!$D$4:$D$1197,Korrelation!I$4:I$1197,"",0),DMAV_Dienste!$F$6:$F$140,0)))</f>
        <v>0</v>
      </c>
      <c r="G300" s="57">
        <f>IF($A300="","",IF(_xlfn.XLOOKUP($A300,Korrelation!$D$4:$D$1197,Korrelation!J$4:J$1197,"-",0)="-",0,MATCH(_xlfn.XLOOKUP($A300,Korrelation!$D$4:$D$1197,Korrelation!J$4:J$1197,"",0),DMAV_Dienste!$F$6:$F$140,0)))</f>
        <v>0</v>
      </c>
      <c r="H300" s="57">
        <f>IF($A300="","",IF(_xlfn.XLOOKUP($A300,Korrelation!$D$4:$D$1197,Korrelation!K$4:K$1197,"-",0)="-",0,MATCH(_xlfn.XLOOKUP($A300,Korrelation!$D$4:$D$1197,Korrelation!K$4:K$1197,"",0),'DM01-AV-CH'!$A$6:$A$834,0)))</f>
        <v>148</v>
      </c>
      <c r="J300" s="54" t="str" cm="1">
        <f t="array" aca="1" ref="J300" ca="1">IF(B300=0,IF(E300=0,"",HYPERLINK("#"&amp;RIGHT(CELL("adresse",OFFSET(DMAV_Dienste!$M$6,E300-1,0)),LEN(CELL("adresse",OFFSET(DMAV_Dienste!$M$6,E300-1,0)))-FIND("]",CELL("adresse",OFFSET(DMAV_Dienste!$M$6,E300-1,0)))),"Dienst")),HYPERLINK("#"&amp;RIGHT(CELL("adresse",OFFSET(DMAV_Modell!$N$6,B300-1,0)),LEN(CELL("adresse",OFFSET(DMAV_Modell!$N$6,B300-1,0)))-FIND("]",CELL("adresse",OFFSET(DMAV_Modell!$N$6,B300-1,0)))),"Modell"))</f>
        <v>Modell</v>
      </c>
      <c r="K300" s="61" t="str" cm="1">
        <f t="array" ref="K300">IF($B300=0,IF($E300=0,"",IF(INDEX(DMAV_Dienste!P$6:P$140,$E300)="","",INDEX(DMAV_Dienste!P$6:P$140,$E300))),IF(INDEX(DMAV_Modell!Q$6:Q$838,$B300)="","",INDEX(DMAV_Modell!Q$6:Q$838,$B300)))</f>
        <v>CLASS</v>
      </c>
      <c r="L300" s="62" t="str" cm="1">
        <f t="array" ref="L300">IF($B300=0,IF($E300=0,"",IF(INDEX(DMAV_Dienste!O$6:O$140,$E300)="","",INDEX(DMAV_Dienste!O$6:O$140,$E300))),IF(INDEX(DMAV_Modell!P$6:P$838,$B300)="","",INDEX(DMAV_Modell!P$6:P$838,$B300)))</f>
        <v>FixpunkteAVKategorie3</v>
      </c>
      <c r="M300" s="62" t="str" cm="1">
        <f t="array" ref="M300">IF($B300=0,IF($E300=0,"",IF(INDEX(DMAV_Dienste!Q$6:Q$140,$E300)="","",INDEX(DMAV_Dienste!Q$6:Q$140,$E300))),IF(INDEX(DMAV_Modell!R$6:R$838,$B300)="","",INDEX(DMAV_Modell!R$6:R$838,$B300)))</f>
        <v>LFP3</v>
      </c>
      <c r="N300" s="62" t="str" cm="1">
        <f t="array" ref="N300">IF($B300=0,IF($E300=0,"",IF(INDEX(DMAV_Dienste!T$6:T$140,$E300)="","",INDEX(DMAV_Dienste!T$6:T$140,$E300))),IF(INDEX(DMAV_Modell!U$6:U$838,$B300)="","",INDEX(DMAV_Modell!U$6:U$838,$B300)))</f>
        <v>SymbolOri</v>
      </c>
      <c r="O300" s="63" t="str" cm="1">
        <f t="array" aca="1" ref="O300" ca="1">IF(C300=0,IF(F300=0,"",HYPERLINK("#"&amp;RIGHT(CELL("adresse",OFFSET(DMAV_Dienste!$M$6,F300-1,0)),LEN(CELL("adresse",OFFSET(DMAV_Dienste!$M$6,F300-1,0)))-FIND("]",CELL("adresse",OFFSET(DMAV_Dienste!$M$6,F300-1,0)))),"Structure")),HYPERLINK("#"&amp;RIGHT(CELL("adresse",OFFSET(DMAV_Modell!$N$6,C300-1,0)),LEN(CELL("adresse",OFFSET(DMAV_Modell!$N$6,C300-1,0)))-FIND("]",CELL("adresse",OFFSET(DMAV_Modell!$N$6,C300-1,0)))),"Structure"))</f>
        <v/>
      </c>
      <c r="P300" s="64" t="str" cm="1">
        <f t="array" aca="1" ref="P300" ca="1">IF(D300=0,IF(G300=0,"",HYPERLINK("#"&amp;RIGHT(CELL("adresse",OFFSET(DMAV_Dienste!$M$6,G300-1,0)),LEN(CELL("adresse",OFFSET(DMAV_Dienste!$M$6,G300-1,0)))-FIND("]",CELL("adresse",OFFSET(DMAV_Dienste!$M$6,G300-1,0)))),"Substructure")),HYPERLINK("#"&amp;RIGHT(CELL("adresse",OFFSET(DMAV_Modell!$N$6,D300-1,0)),LEN(CELL("adresse",OFFSET(DMAV_Modell!$N$6,D300-1,0)))-FIND("]",CELL("adresse",OFFSET(DMAV_Modell!$N$6,D300-1,0)))),"Substructure"))</f>
        <v/>
      </c>
      <c r="R300" s="80"/>
      <c r="T300" s="93"/>
      <c r="U300" s="94"/>
      <c r="V300" s="95"/>
      <c r="W300" s="96"/>
      <c r="Y300" s="85" t="s">
        <v>3100</v>
      </c>
      <c r="Z300" s="86" t="s">
        <v>1286</v>
      </c>
      <c r="AA300" s="87" t="s">
        <v>2986</v>
      </c>
      <c r="AB300" s="88" t="s">
        <v>3050</v>
      </c>
      <c r="AD300" s="77"/>
      <c r="AF300" s="54" t="str" cm="1">
        <f t="array" aca="1" ref="AF300" ca="1">IF(H300=0,"",HYPERLINK("#"&amp;RIGHT(CELL("adresse",OFFSET('DM01-AV-CH'!$G$6,H300-1,0)),LEN(CELL("adresse",OFFSET('DM01-AV-CH'!$G$6,H300-1,0)))-FIND("]",CELL("adresse",OFFSET('DM01-AV-CH'!$G$6,H300-1,0)))),"Modell"))</f>
        <v>Modell</v>
      </c>
      <c r="AG300" s="72" t="str" cm="1">
        <f t="array" ref="AG300">IF($H300=0,"",IF(INDEX('DM01-AV-CH'!G$6:G$834,$H300)="","",INDEX('DM01-AV-CH'!G$6:G$834,$H300)))</f>
        <v>FixpunkteKategorie3</v>
      </c>
      <c r="AH300" s="73" t="str" cm="1">
        <f t="array" ref="AH300">IF($H300=0,"",IF(INDEX('DM01-AV-CH'!H$6:H$834,$H300)="","",INDEX('DM01-AV-CH'!H$6:H$834,$H300)))</f>
        <v>LFP3Symbol</v>
      </c>
      <c r="AI300" s="74" t="str" cm="1">
        <f t="array" ref="AI300">IF($H300=0,"",IF(INDEX('DM01-AV-CH'!I$6:I$834,$H300)="","",INDEX('DM01-AV-CH'!I$6:I$834,$H300)))</f>
        <v>Ori</v>
      </c>
    </row>
    <row r="301" spans="1:35" x14ac:dyDescent="0.25">
      <c r="A301" s="57">
        <v>296</v>
      </c>
      <c r="B301" s="57">
        <f>IF($A301="","",IF(_xlfn.XLOOKUP($A301,Korrelation!$D$4:$D$1197,Korrelation!E$4:E$1197,"-",0)="-",0,MATCH(_xlfn.XLOOKUP($A301,Korrelation!$D$4:$D$1197,Korrelation!E$4:E$1197,"",0),DMAV_Modell!$G$6:$G$677,0)))</f>
        <v>95</v>
      </c>
      <c r="C301" s="57">
        <f>IF($A301="","",IF(_xlfn.XLOOKUP($A301,Korrelation!$D$4:$D$1197,Korrelation!F$4:F$1197,"-",0)="-",0,MATCH(_xlfn.XLOOKUP($A301,Korrelation!$D$4:$D$1197,Korrelation!F$4:F$1197,"",0),DMAV_Modell!$G$6:$G$677,0)))</f>
        <v>26</v>
      </c>
      <c r="D301" s="57">
        <f>IF($A301="","",IF(_xlfn.XLOOKUP($A301,Korrelation!$D$4:$D$1197,Korrelation!G$4:G$1197,"-",0)="-",0,MATCH(_xlfn.XLOOKUP($A301,Korrelation!$D$4:$D$1197,Korrelation!G$4:G$1197,"",0),DMAV_Modell!$G$6:$G$677,0)))</f>
        <v>0</v>
      </c>
      <c r="E301" s="57">
        <f>IF($A301="","",IF(_xlfn.XLOOKUP($A301,Korrelation!$D$4:$D$1197,Korrelation!H$4:H$1197,"-",0)="-",0,MATCH(_xlfn.XLOOKUP($A301,Korrelation!$D$4:$D$1197,Korrelation!H$4:H$1197,"",0),DMAV_Dienste!$F$6:$F$140,0)))</f>
        <v>0</v>
      </c>
      <c r="F301" s="57">
        <f>IF($A301="","",IF(_xlfn.XLOOKUP($A301,Korrelation!$D$4:$D$1197,Korrelation!I$4:I$1197,"-",0)="-",0,MATCH(_xlfn.XLOOKUP($A301,Korrelation!$D$4:$D$1197,Korrelation!I$4:I$1197,"",0),DMAV_Dienste!$F$6:$F$140,0)))</f>
        <v>0</v>
      </c>
      <c r="G301" s="57">
        <f>IF($A301="","",IF(_xlfn.XLOOKUP($A301,Korrelation!$D$4:$D$1197,Korrelation!J$4:J$1197,"-",0)="-",0,MATCH(_xlfn.XLOOKUP($A301,Korrelation!$D$4:$D$1197,Korrelation!J$4:J$1197,"",0),DMAV_Dienste!$F$6:$F$140,0)))</f>
        <v>0</v>
      </c>
      <c r="H301" s="57">
        <f>IF($A301="","",IF(_xlfn.XLOOKUP($A301,Korrelation!$D$4:$D$1197,Korrelation!K$4:K$1197,"-",0)="-",0,MATCH(_xlfn.XLOOKUP($A301,Korrelation!$D$4:$D$1197,Korrelation!K$4:K$1197,"",0),'DM01-AV-CH'!$A$6:$A$834,0)))</f>
        <v>0</v>
      </c>
      <c r="J301" s="54" t="str" cm="1">
        <f t="array" aca="1" ref="J301" ca="1">IF(B301=0,IF(E301=0,"",HYPERLINK("#"&amp;RIGHT(CELL("adresse",OFFSET(DMAV_Dienste!$M$6,E301-1,0)),LEN(CELL("adresse",OFFSET(DMAV_Dienste!$M$6,E301-1,0)))-FIND("]",CELL("adresse",OFFSET(DMAV_Dienste!$M$6,E301-1,0)))),"Dienst")),HYPERLINK("#"&amp;RIGHT(CELL("adresse",OFFSET(DMAV_Modell!$N$6,B301-1,0)),LEN(CELL("adresse",OFFSET(DMAV_Modell!$N$6,B301-1,0)))-FIND("]",CELL("adresse",OFFSET(DMAV_Modell!$N$6,B301-1,0)))),"Modell"))</f>
        <v>Modell</v>
      </c>
      <c r="K301" s="61" t="str" cm="1">
        <f t="array" ref="K301">IF($B301=0,IF($E301=0,"",IF(INDEX(DMAV_Dienste!P$6:P$140,$E301)="","",INDEX(DMAV_Dienste!P$6:P$140,$E301))),IF(INDEX(DMAV_Modell!Q$6:Q$838,$B301)="","",INDEX(DMAV_Modell!Q$6:Q$838,$B301)))</f>
        <v>CLASS</v>
      </c>
      <c r="L301" s="62" t="str" cm="1">
        <f t="array" ref="L301">IF($B301=0,IF($E301=0,"",IF(INDEX(DMAV_Dienste!O$6:O$140,$E301)="","",INDEX(DMAV_Dienste!O$6:O$140,$E301))),IF(INDEX(DMAV_Modell!P$6:P$838,$B301)="","",INDEX(DMAV_Modell!P$6:P$838,$B301)))</f>
        <v>FixpunkteAVKategorie3</v>
      </c>
      <c r="M301" s="62" t="str" cm="1">
        <f t="array" ref="M301">IF($B301=0,IF($E301=0,"",IF(INDEX(DMAV_Dienste!Q$6:Q$140,$E301)="","",INDEX(DMAV_Dienste!Q$6:Q$140,$E301))),IF(INDEX(DMAV_Modell!R$6:R$838,$B301)="","",INDEX(DMAV_Modell!R$6:R$838,$B301)))</f>
        <v>LFP3</v>
      </c>
      <c r="N301" s="62" t="str" cm="1">
        <f t="array" ref="N301">IF($B301=0,IF($E301=0,"",IF(INDEX(DMAV_Dienste!T$6:T$140,$E301)="","",INDEX(DMAV_Dienste!T$6:T$140,$E301))),IF(INDEX(DMAV_Modell!U$6:U$838,$B301)="","",INDEX(DMAV_Modell!U$6:U$838,$B301)))</f>
        <v>Textposition</v>
      </c>
      <c r="O301" s="63" t="str" cm="1">
        <f t="array" aca="1" ref="O301" ca="1">IF(C301=0,IF(F301=0,"",HYPERLINK("#"&amp;RIGHT(CELL("adresse",OFFSET(DMAV_Dienste!$M$6,F301-1,0)),LEN(CELL("adresse",OFFSET(DMAV_Dienste!$M$6,F301-1,0)))-FIND("]",CELL("adresse",OFFSET(DMAV_Dienste!$M$6,F301-1,0)))),"Structure")),HYPERLINK("#"&amp;RIGHT(CELL("adresse",OFFSET(DMAV_Modell!$N$6,C301-1,0)),LEN(CELL("adresse",OFFSET(DMAV_Modell!$N$6,C301-1,0)))-FIND("]",CELL("adresse",OFFSET(DMAV_Modell!$N$6,C301-1,0)))),"Structure"))</f>
        <v>Structure</v>
      </c>
      <c r="P301" s="64" t="str" cm="1">
        <f t="array" aca="1" ref="P301" ca="1">IF(D301=0,IF(G301=0,"",HYPERLINK("#"&amp;RIGHT(CELL("adresse",OFFSET(DMAV_Dienste!$M$6,G301-1,0)),LEN(CELL("adresse",OFFSET(DMAV_Dienste!$M$6,G301-1,0)))-FIND("]",CELL("adresse",OFFSET(DMAV_Dienste!$M$6,G301-1,0)))),"Substructure")),HYPERLINK("#"&amp;RIGHT(CELL("adresse",OFFSET(DMAV_Modell!$N$6,D301-1,0)),LEN(CELL("adresse",OFFSET(DMAV_Modell!$N$6,D301-1,0)))-FIND("]",CELL("adresse",OFFSET(DMAV_Modell!$N$6,D301-1,0)))),"Substructure"))</f>
        <v/>
      </c>
      <c r="R301" s="80"/>
      <c r="T301" s="93"/>
      <c r="U301" s="94"/>
      <c r="V301" s="95"/>
      <c r="W301" s="96"/>
      <c r="Y301" s="85"/>
      <c r="Z301" s="86"/>
      <c r="AA301" s="87"/>
      <c r="AB301" s="88"/>
      <c r="AD301" s="77"/>
      <c r="AF301" s="54" t="str" cm="1">
        <f t="array" aca="1" ref="AF301" ca="1">IF(H301=0,"",HYPERLINK("#"&amp;RIGHT(CELL("adresse",OFFSET('DM01-AV-CH'!$G$6,H301-1,0)),LEN(CELL("adresse",OFFSET('DM01-AV-CH'!$G$6,H301-1,0)))-FIND("]",CELL("adresse",OFFSET('DM01-AV-CH'!$G$6,H301-1,0)))),"Modell"))</f>
        <v/>
      </c>
      <c r="AG301" s="72" t="str" cm="1">
        <f t="array" ref="AG301">IF($H301=0,"",IF(INDEX('DM01-AV-CH'!G$6:G$834,$H301)="","",INDEX('DM01-AV-CH'!G$6:G$834,$H301)))</f>
        <v/>
      </c>
      <c r="AH301" s="73" t="str" cm="1">
        <f t="array" ref="AH301">IF($H301=0,"",IF(INDEX('DM01-AV-CH'!H$6:H$834,$H301)="","",INDEX('DM01-AV-CH'!H$6:H$834,$H301)))</f>
        <v/>
      </c>
      <c r="AI301" s="74" t="str" cm="1">
        <f t="array" ref="AI301">IF($H301=0,"",IF(INDEX('DM01-AV-CH'!I$6:I$834,$H301)="","",INDEX('DM01-AV-CH'!I$6:I$834,$H301)))</f>
        <v/>
      </c>
    </row>
    <row r="302" spans="1:35" x14ac:dyDescent="0.25">
      <c r="A302" s="57">
        <v>297</v>
      </c>
      <c r="B302" s="57">
        <f>IF($A302="","",IF(_xlfn.XLOOKUP($A302,Korrelation!$D$4:$D$1197,Korrelation!E$4:E$1197,"-",0)="-",0,MATCH(_xlfn.XLOOKUP($A302,Korrelation!$D$4:$D$1197,Korrelation!E$4:E$1197,"",0),DMAV_Modell!$G$6:$G$677,0)))</f>
        <v>0</v>
      </c>
      <c r="C302" s="57">
        <f>IF($A302="","",IF(_xlfn.XLOOKUP($A302,Korrelation!$D$4:$D$1197,Korrelation!F$4:F$1197,"-",0)="-",0,MATCH(_xlfn.XLOOKUP($A302,Korrelation!$D$4:$D$1197,Korrelation!F$4:F$1197,"",0),DMAV_Modell!$G$6:$G$677,0)))</f>
        <v>0</v>
      </c>
      <c r="D302" s="57">
        <f>IF($A302="","",IF(_xlfn.XLOOKUP($A302,Korrelation!$D$4:$D$1197,Korrelation!G$4:G$1197,"-",0)="-",0,MATCH(_xlfn.XLOOKUP($A302,Korrelation!$D$4:$D$1197,Korrelation!G$4:G$1197,"",0),DMAV_Modell!$G$6:$G$677,0)))</f>
        <v>0</v>
      </c>
      <c r="E302" s="57">
        <f>IF($A302="","",IF(_xlfn.XLOOKUP($A302,Korrelation!$D$4:$D$1197,Korrelation!H$4:H$1197,"-",0)="-",0,MATCH(_xlfn.XLOOKUP($A302,Korrelation!$D$4:$D$1197,Korrelation!H$4:H$1197,"",0),DMAV_Dienste!$F$6:$F$140,0)))</f>
        <v>0</v>
      </c>
      <c r="F302" s="57">
        <f>IF($A302="","",IF(_xlfn.XLOOKUP($A302,Korrelation!$D$4:$D$1197,Korrelation!I$4:I$1197,"-",0)="-",0,MATCH(_xlfn.XLOOKUP($A302,Korrelation!$D$4:$D$1197,Korrelation!I$4:I$1197,"",0),DMAV_Dienste!$F$6:$F$140,0)))</f>
        <v>0</v>
      </c>
      <c r="G302" s="57">
        <f>IF($A302="","",IF(_xlfn.XLOOKUP($A302,Korrelation!$D$4:$D$1197,Korrelation!J$4:J$1197,"-",0)="-",0,MATCH(_xlfn.XLOOKUP($A302,Korrelation!$D$4:$D$1197,Korrelation!J$4:J$1197,"",0),DMAV_Dienste!$F$6:$F$140,0)))</f>
        <v>0</v>
      </c>
      <c r="H302" s="57">
        <f>IF($A302="","",IF(_xlfn.XLOOKUP($A302,Korrelation!$D$4:$D$1197,Korrelation!K$4:K$1197,"-",0)="-",0,MATCH(_xlfn.XLOOKUP($A302,Korrelation!$D$4:$D$1197,Korrelation!K$4:K$1197,"",0),'DM01-AV-CH'!$A$6:$A$834,0)))</f>
        <v>142</v>
      </c>
      <c r="J302" s="54" t="str" cm="1">
        <f t="array" aca="1" ref="J302" ca="1">IF(B302=0,IF(E302=0,"",HYPERLINK("#"&amp;RIGHT(CELL("adresse",OFFSET(DMAV_Dienste!$M$6,E302-1,0)),LEN(CELL("adresse",OFFSET(DMAV_Dienste!$M$6,E302-1,0)))-FIND("]",CELL("adresse",OFFSET(DMAV_Dienste!$M$6,E302-1,0)))),"Dienst")),HYPERLINK("#"&amp;RIGHT(CELL("adresse",OFFSET(DMAV_Modell!$N$6,B302-1,0)),LEN(CELL("adresse",OFFSET(DMAV_Modell!$N$6,B302-1,0)))-FIND("]",CELL("adresse",OFFSET(DMAV_Modell!$N$6,B302-1,0)))),"Modell"))</f>
        <v/>
      </c>
      <c r="K302" s="61" t="str" cm="1">
        <f t="array" ref="K302">IF($B302=0,IF($E302=0,"",IF(INDEX(DMAV_Dienste!P$6:P$140,$E302)="","",INDEX(DMAV_Dienste!P$6:P$140,$E302))),IF(INDEX(DMAV_Modell!Q$6:Q$838,$B302)="","",INDEX(DMAV_Modell!Q$6:Q$838,$B302)))</f>
        <v/>
      </c>
      <c r="L302" s="62" t="str" cm="1">
        <f t="array" ref="L302">IF($B302=0,IF($E302=0,"",IF(INDEX(DMAV_Dienste!O$6:O$140,$E302)="","",INDEX(DMAV_Dienste!O$6:O$140,$E302))),IF(INDEX(DMAV_Modell!P$6:P$838,$B302)="","",INDEX(DMAV_Modell!P$6:P$838,$B302)))</f>
        <v/>
      </c>
      <c r="M302" s="62" t="str" cm="1">
        <f t="array" ref="M302">IF($B302=0,IF($E302=0,"",IF(INDEX(DMAV_Dienste!Q$6:Q$140,$E302)="","",INDEX(DMAV_Dienste!Q$6:Q$140,$E302))),IF(INDEX(DMAV_Modell!R$6:R$838,$B302)="","",INDEX(DMAV_Modell!R$6:R$838,$B302)))</f>
        <v/>
      </c>
      <c r="N302" s="62" t="str" cm="1">
        <f t="array" ref="N302">IF($B302=0,IF($E302=0,"",IF(INDEX(DMAV_Dienste!T$6:T$140,$E302)="","",INDEX(DMAV_Dienste!T$6:T$140,$E302))),IF(INDEX(DMAV_Modell!U$6:U$838,$B302)="","",INDEX(DMAV_Modell!U$6:U$838,$B302)))</f>
        <v/>
      </c>
      <c r="O302" s="63" t="str" cm="1">
        <f t="array" aca="1" ref="O302" ca="1">IF(C302=0,IF(F302=0,"",HYPERLINK("#"&amp;RIGHT(CELL("adresse",OFFSET(DMAV_Dienste!$M$6,F302-1,0)),LEN(CELL("adresse",OFFSET(DMAV_Dienste!$M$6,F302-1,0)))-FIND("]",CELL("adresse",OFFSET(DMAV_Dienste!$M$6,F302-1,0)))),"Structure")),HYPERLINK("#"&amp;RIGHT(CELL("adresse",OFFSET(DMAV_Modell!$N$6,C302-1,0)),LEN(CELL("adresse",OFFSET(DMAV_Modell!$N$6,C302-1,0)))-FIND("]",CELL("adresse",OFFSET(DMAV_Modell!$N$6,C302-1,0)))),"Structure"))</f>
        <v/>
      </c>
      <c r="P302" s="64" t="str" cm="1">
        <f t="array" aca="1" ref="P302" ca="1">IF(D302=0,IF(G302=0,"",HYPERLINK("#"&amp;RIGHT(CELL("adresse",OFFSET(DMAV_Dienste!$M$6,G302-1,0)),LEN(CELL("adresse",OFFSET(DMAV_Dienste!$M$6,G302-1,0)))-FIND("]",CELL("adresse",OFFSET(DMAV_Dienste!$M$6,G302-1,0)))),"Substructure")),HYPERLINK("#"&amp;RIGHT(CELL("adresse",OFFSET(DMAV_Modell!$N$6,D302-1,0)),LEN(CELL("adresse",OFFSET(DMAV_Modell!$N$6,D302-1,0)))-FIND("]",CELL("adresse",OFFSET(DMAV_Modell!$N$6,D302-1,0)))),"Substructure"))</f>
        <v/>
      </c>
      <c r="R302" s="80"/>
      <c r="T302" s="93"/>
      <c r="U302" s="94"/>
      <c r="V302" s="95"/>
      <c r="W302" s="96"/>
      <c r="Y302" s="85"/>
      <c r="Z302" s="86"/>
      <c r="AA302" s="87"/>
      <c r="AB302" s="88"/>
      <c r="AD302" s="77"/>
      <c r="AF302" s="54" t="str" cm="1">
        <f t="array" aca="1" ref="AF302" ca="1">IF(H302=0,"",HYPERLINK("#"&amp;RIGHT(CELL("adresse",OFFSET('DM01-AV-CH'!$G$6,H302-1,0)),LEN(CELL("adresse",OFFSET('DM01-AV-CH'!$G$6,H302-1,0)))-FIND("]",CELL("adresse",OFFSET('DM01-AV-CH'!$G$6,H302-1,0)))),"Modell"))</f>
        <v>Modell</v>
      </c>
      <c r="AG302" s="72" t="str" cm="1">
        <f t="array" ref="AG302">IF($H302=0,"",IF(INDEX('DM01-AV-CH'!G$6:G$834,$H302)="","",INDEX('DM01-AV-CH'!G$6:G$834,$H302)))</f>
        <v>FixpunkteKategorie3</v>
      </c>
      <c r="AH302" s="73" t="str" cm="1">
        <f t="array" ref="AH302">IF($H302=0,"",IF(INDEX('DM01-AV-CH'!H$6:H$834,$H302)="","",INDEX('DM01-AV-CH'!H$6:H$834,$H302)))</f>
        <v>LFP3Pos</v>
      </c>
      <c r="AI302" s="74" t="str" cm="1">
        <f t="array" ref="AI302">IF($H302=0,"",IF(INDEX('DM01-AV-CH'!I$6:I$834,$H302)="","",INDEX('DM01-AV-CH'!I$6:I$834,$H302)))</f>
        <v>LFP3Pos_von</v>
      </c>
    </row>
    <row r="303" spans="1:35" x14ac:dyDescent="0.25">
      <c r="A303" s="57">
        <v>298</v>
      </c>
      <c r="B303" s="57">
        <f>IF($A303="","",IF(_xlfn.XLOOKUP($A303,Korrelation!$D$4:$D$1197,Korrelation!E$4:E$1197,"-",0)="-",0,MATCH(_xlfn.XLOOKUP($A303,Korrelation!$D$4:$D$1197,Korrelation!E$4:E$1197,"",0),DMAV_Modell!$G$6:$G$677,0)))</f>
        <v>95</v>
      </c>
      <c r="C303" s="57">
        <f>IF($A303="","",IF(_xlfn.XLOOKUP($A303,Korrelation!$D$4:$D$1197,Korrelation!F$4:F$1197,"-",0)="-",0,MATCH(_xlfn.XLOOKUP($A303,Korrelation!$D$4:$D$1197,Korrelation!F$4:F$1197,"",0),DMAV_Modell!$G$6:$G$677,0)))</f>
        <v>26</v>
      </c>
      <c r="D303" s="57">
        <f>IF($A303="","",IF(_xlfn.XLOOKUP($A303,Korrelation!$D$4:$D$1197,Korrelation!G$4:G$1197,"-",0)="-",0,MATCH(_xlfn.XLOOKUP($A303,Korrelation!$D$4:$D$1197,Korrelation!G$4:G$1197,"",0),DMAV_Modell!$G$6:$G$677,0)))</f>
        <v>26</v>
      </c>
      <c r="E303" s="57">
        <f>IF($A303="","",IF(_xlfn.XLOOKUP($A303,Korrelation!$D$4:$D$1197,Korrelation!H$4:H$1197,"-",0)="-",0,MATCH(_xlfn.XLOOKUP($A303,Korrelation!$D$4:$D$1197,Korrelation!H$4:H$1197,"",0),DMAV_Dienste!$F$6:$F$140,0)))</f>
        <v>0</v>
      </c>
      <c r="F303" s="57">
        <f>IF($A303="","",IF(_xlfn.XLOOKUP($A303,Korrelation!$D$4:$D$1197,Korrelation!I$4:I$1197,"-",0)="-",0,MATCH(_xlfn.XLOOKUP($A303,Korrelation!$D$4:$D$1197,Korrelation!I$4:I$1197,"",0),DMAV_Dienste!$F$6:$F$140,0)))</f>
        <v>0</v>
      </c>
      <c r="G303" s="57">
        <f>IF($A303="","",IF(_xlfn.XLOOKUP($A303,Korrelation!$D$4:$D$1197,Korrelation!J$4:J$1197,"-",0)="-",0,MATCH(_xlfn.XLOOKUP($A303,Korrelation!$D$4:$D$1197,Korrelation!J$4:J$1197,"",0),DMAV_Dienste!$F$6:$F$140,0)))</f>
        <v>0</v>
      </c>
      <c r="H303" s="57">
        <f>IF($A303="","",IF(_xlfn.XLOOKUP($A303,Korrelation!$D$4:$D$1197,Korrelation!K$4:K$1197,"-",0)="-",0,MATCH(_xlfn.XLOOKUP($A303,Korrelation!$D$4:$D$1197,Korrelation!K$4:K$1197,"",0),'DM01-AV-CH'!$A$6:$A$834,0)))</f>
        <v>143</v>
      </c>
      <c r="J303" s="54" t="str" cm="1">
        <f t="array" aca="1" ref="J303" ca="1">IF(B303=0,IF(E303=0,"",HYPERLINK("#"&amp;RIGHT(CELL("adresse",OFFSET(DMAV_Dienste!$M$6,E303-1,0)),LEN(CELL("adresse",OFFSET(DMAV_Dienste!$M$6,E303-1,0)))-FIND("]",CELL("adresse",OFFSET(DMAV_Dienste!$M$6,E303-1,0)))),"Dienst")),HYPERLINK("#"&amp;RIGHT(CELL("adresse",OFFSET(DMAV_Modell!$N$6,B303-1,0)),LEN(CELL("adresse",OFFSET(DMAV_Modell!$N$6,B303-1,0)))-FIND("]",CELL("adresse",OFFSET(DMAV_Modell!$N$6,B303-1,0)))),"Modell"))</f>
        <v>Modell</v>
      </c>
      <c r="K303" s="61" t="str" cm="1">
        <f t="array" ref="K303">IF($B303=0,IF($E303=0,"",IF(INDEX(DMAV_Dienste!P$6:P$140,$E303)="","",INDEX(DMAV_Dienste!P$6:P$140,$E303))),IF(INDEX(DMAV_Modell!Q$6:Q$838,$B303)="","",INDEX(DMAV_Modell!Q$6:Q$838,$B303)))</f>
        <v>CLASS</v>
      </c>
      <c r="L303" s="62" t="str" cm="1">
        <f t="array" ref="L303">IF($B303=0,IF($E303=0,"",IF(INDEX(DMAV_Dienste!O$6:O$140,$E303)="","",INDEX(DMAV_Dienste!O$6:O$140,$E303))),IF(INDEX(DMAV_Modell!P$6:P$838,$B303)="","",INDEX(DMAV_Modell!P$6:P$838,$B303)))</f>
        <v>FixpunkteAVKategorie3</v>
      </c>
      <c r="M303" s="62" t="str" cm="1">
        <f t="array" ref="M303">IF($B303=0,IF($E303=0,"",IF(INDEX(DMAV_Dienste!Q$6:Q$140,$E303)="","",INDEX(DMAV_Dienste!Q$6:Q$140,$E303))),IF(INDEX(DMAV_Modell!R$6:R$838,$B303)="","",INDEX(DMAV_Modell!R$6:R$838,$B303)))</f>
        <v>LFP3</v>
      </c>
      <c r="N303" s="62" t="str" cm="1">
        <f t="array" ref="N303">IF($B303=0,IF($E303=0,"",IF(INDEX(DMAV_Dienste!T$6:T$140,$E303)="","",INDEX(DMAV_Dienste!T$6:T$140,$E303))),IF(INDEX(DMAV_Modell!U$6:U$838,$B303)="","",INDEX(DMAV_Modell!U$6:U$838,$B303)))</f>
        <v>Textposition</v>
      </c>
      <c r="O303" s="63" t="str" cm="1">
        <f t="array" aca="1" ref="O303" ca="1">IF(C303=0,IF(F303=0,"",HYPERLINK("#"&amp;RIGHT(CELL("adresse",OFFSET(DMAV_Dienste!$M$6,F303-1,0)),LEN(CELL("adresse",OFFSET(DMAV_Dienste!$M$6,F303-1,0)))-FIND("]",CELL("adresse",OFFSET(DMAV_Dienste!$M$6,F303-1,0)))),"Structure")),HYPERLINK("#"&amp;RIGHT(CELL("adresse",OFFSET(DMAV_Modell!$N$6,C303-1,0)),LEN(CELL("adresse",OFFSET(DMAV_Modell!$N$6,C303-1,0)))-FIND("]",CELL("adresse",OFFSET(DMAV_Modell!$N$6,C303-1,0)))),"Structure"))</f>
        <v>Structure</v>
      </c>
      <c r="P303" s="64" t="str" cm="1">
        <f t="array" aca="1" ref="P303" ca="1">IF(D303=0,IF(G303=0,"",HYPERLINK("#"&amp;RIGHT(CELL("adresse",OFFSET(DMAV_Dienste!$M$6,G303-1,0)),LEN(CELL("adresse",OFFSET(DMAV_Dienste!$M$6,G303-1,0)))-FIND("]",CELL("adresse",OFFSET(DMAV_Dienste!$M$6,G303-1,0)))),"Substructure")),HYPERLINK("#"&amp;RIGHT(CELL("adresse",OFFSET(DMAV_Modell!$N$6,D303-1,0)),LEN(CELL("adresse",OFFSET(DMAV_Modell!$N$6,D303-1,0)))-FIND("]",CELL("adresse",OFFSET(DMAV_Modell!$N$6,D303-1,0)))),"Substructure"))</f>
        <v>Substructure</v>
      </c>
      <c r="R303" s="80"/>
      <c r="T303" s="93"/>
      <c r="U303" s="94"/>
      <c r="V303" s="95"/>
      <c r="W303" s="96"/>
      <c r="Y303" s="85"/>
      <c r="Z303" s="86"/>
      <c r="AA303" s="87"/>
      <c r="AB303" s="88"/>
      <c r="AD303" s="77"/>
      <c r="AF303" s="54" t="str" cm="1">
        <f t="array" aca="1" ref="AF303" ca="1">IF(H303=0,"",HYPERLINK("#"&amp;RIGHT(CELL("adresse",OFFSET('DM01-AV-CH'!$G$6,H303-1,0)),LEN(CELL("adresse",OFFSET('DM01-AV-CH'!$G$6,H303-1,0)))-FIND("]",CELL("adresse",OFFSET('DM01-AV-CH'!$G$6,H303-1,0)))),"Modell"))</f>
        <v>Modell</v>
      </c>
      <c r="AG303" s="72" t="str" cm="1">
        <f t="array" ref="AG303">IF($H303=0,"",IF(INDEX('DM01-AV-CH'!G$6:G$834,$H303)="","",INDEX('DM01-AV-CH'!G$6:G$834,$H303)))</f>
        <v>FixpunkteKategorie3</v>
      </c>
      <c r="AH303" s="73" t="str" cm="1">
        <f t="array" ref="AH303">IF($H303=0,"",IF(INDEX('DM01-AV-CH'!H$6:H$834,$H303)="","",INDEX('DM01-AV-CH'!H$6:H$834,$H303)))</f>
        <v>LFP3Pos</v>
      </c>
      <c r="AI303" s="74" t="str" cm="1">
        <f t="array" ref="AI303">IF($H303=0,"",IF(INDEX('DM01-AV-CH'!I$6:I$834,$H303)="","",INDEX('DM01-AV-CH'!I$6:I$834,$H303)))</f>
        <v>Pos</v>
      </c>
    </row>
    <row r="304" spans="1:35" x14ac:dyDescent="0.25">
      <c r="A304" s="57">
        <v>299</v>
      </c>
      <c r="B304" s="57">
        <f>IF($A304="","",IF(_xlfn.XLOOKUP($A304,Korrelation!$D$4:$D$1197,Korrelation!E$4:E$1197,"-",0)="-",0,MATCH(_xlfn.XLOOKUP($A304,Korrelation!$D$4:$D$1197,Korrelation!E$4:E$1197,"",0),DMAV_Modell!$G$6:$G$677,0)))</f>
        <v>95</v>
      </c>
      <c r="C304" s="57">
        <f>IF($A304="","",IF(_xlfn.XLOOKUP($A304,Korrelation!$D$4:$D$1197,Korrelation!F$4:F$1197,"-",0)="-",0,MATCH(_xlfn.XLOOKUP($A304,Korrelation!$D$4:$D$1197,Korrelation!F$4:F$1197,"",0),DMAV_Modell!$G$6:$G$677,0)))</f>
        <v>26</v>
      </c>
      <c r="D304" s="57">
        <f>IF($A304="","",IF(_xlfn.XLOOKUP($A304,Korrelation!$D$4:$D$1197,Korrelation!G$4:G$1197,"-",0)="-",0,MATCH(_xlfn.XLOOKUP($A304,Korrelation!$D$4:$D$1197,Korrelation!G$4:G$1197,"",0),DMAV_Modell!$G$6:$G$677,0)))</f>
        <v>27</v>
      </c>
      <c r="E304" s="57">
        <f>IF($A304="","",IF(_xlfn.XLOOKUP($A304,Korrelation!$D$4:$D$1197,Korrelation!H$4:H$1197,"-",0)="-",0,MATCH(_xlfn.XLOOKUP($A304,Korrelation!$D$4:$D$1197,Korrelation!H$4:H$1197,"",0),DMAV_Dienste!$F$6:$F$140,0)))</f>
        <v>0</v>
      </c>
      <c r="F304" s="57">
        <f>IF($A304="","",IF(_xlfn.XLOOKUP($A304,Korrelation!$D$4:$D$1197,Korrelation!I$4:I$1197,"-",0)="-",0,MATCH(_xlfn.XLOOKUP($A304,Korrelation!$D$4:$D$1197,Korrelation!I$4:I$1197,"",0),DMAV_Dienste!$F$6:$F$140,0)))</f>
        <v>0</v>
      </c>
      <c r="G304" s="57">
        <f>IF($A304="","",IF(_xlfn.XLOOKUP($A304,Korrelation!$D$4:$D$1197,Korrelation!J$4:J$1197,"-",0)="-",0,MATCH(_xlfn.XLOOKUP($A304,Korrelation!$D$4:$D$1197,Korrelation!J$4:J$1197,"",0),DMAV_Dienste!$F$6:$F$140,0)))</f>
        <v>0</v>
      </c>
      <c r="H304" s="57">
        <f>IF($A304="","",IF(_xlfn.XLOOKUP($A304,Korrelation!$D$4:$D$1197,Korrelation!K$4:K$1197,"-",0)="-",0,MATCH(_xlfn.XLOOKUP($A304,Korrelation!$D$4:$D$1197,Korrelation!K$4:K$1197,"",0),'DM01-AV-CH'!$A$6:$A$834,0)))</f>
        <v>144</v>
      </c>
      <c r="J304" s="54" t="str" cm="1">
        <f t="array" aca="1" ref="J304" ca="1">IF(B304=0,IF(E304=0,"",HYPERLINK("#"&amp;RIGHT(CELL("adresse",OFFSET(DMAV_Dienste!$M$6,E304-1,0)),LEN(CELL("adresse",OFFSET(DMAV_Dienste!$M$6,E304-1,0)))-FIND("]",CELL("adresse",OFFSET(DMAV_Dienste!$M$6,E304-1,0)))),"Dienst")),HYPERLINK("#"&amp;RIGHT(CELL("adresse",OFFSET(DMAV_Modell!$N$6,B304-1,0)),LEN(CELL("adresse",OFFSET(DMAV_Modell!$N$6,B304-1,0)))-FIND("]",CELL("adresse",OFFSET(DMAV_Modell!$N$6,B304-1,0)))),"Modell"))</f>
        <v>Modell</v>
      </c>
      <c r="K304" s="61" t="str" cm="1">
        <f t="array" ref="K304">IF($B304=0,IF($E304=0,"",IF(INDEX(DMAV_Dienste!P$6:P$140,$E304)="","",INDEX(DMAV_Dienste!P$6:P$140,$E304))),IF(INDEX(DMAV_Modell!Q$6:Q$838,$B304)="","",INDEX(DMAV_Modell!Q$6:Q$838,$B304)))</f>
        <v>CLASS</v>
      </c>
      <c r="L304" s="62" t="str" cm="1">
        <f t="array" ref="L304">IF($B304=0,IF($E304=0,"",IF(INDEX(DMAV_Dienste!O$6:O$140,$E304)="","",INDEX(DMAV_Dienste!O$6:O$140,$E304))),IF(INDEX(DMAV_Modell!P$6:P$838,$B304)="","",INDEX(DMAV_Modell!P$6:P$838,$B304)))</f>
        <v>FixpunkteAVKategorie3</v>
      </c>
      <c r="M304" s="62" t="str" cm="1">
        <f t="array" ref="M304">IF($B304=0,IF($E304=0,"",IF(INDEX(DMAV_Dienste!Q$6:Q$140,$E304)="","",INDEX(DMAV_Dienste!Q$6:Q$140,$E304))),IF(INDEX(DMAV_Modell!R$6:R$838,$B304)="","",INDEX(DMAV_Modell!R$6:R$838,$B304)))</f>
        <v>LFP3</v>
      </c>
      <c r="N304" s="62" t="str" cm="1">
        <f t="array" ref="N304">IF($B304=0,IF($E304=0,"",IF(INDEX(DMAV_Dienste!T$6:T$140,$E304)="","",INDEX(DMAV_Dienste!T$6:T$140,$E304))),IF(INDEX(DMAV_Modell!U$6:U$838,$B304)="","",INDEX(DMAV_Modell!U$6:U$838,$B304)))</f>
        <v>Textposition</v>
      </c>
      <c r="O304" s="63" t="str" cm="1">
        <f t="array" aca="1" ref="O304" ca="1">IF(C304=0,IF(F304=0,"",HYPERLINK("#"&amp;RIGHT(CELL("adresse",OFFSET(DMAV_Dienste!$M$6,F304-1,0)),LEN(CELL("adresse",OFFSET(DMAV_Dienste!$M$6,F304-1,0)))-FIND("]",CELL("adresse",OFFSET(DMAV_Dienste!$M$6,F304-1,0)))),"Structure")),HYPERLINK("#"&amp;RIGHT(CELL("adresse",OFFSET(DMAV_Modell!$N$6,C304-1,0)),LEN(CELL("adresse",OFFSET(DMAV_Modell!$N$6,C304-1,0)))-FIND("]",CELL("adresse",OFFSET(DMAV_Modell!$N$6,C304-1,0)))),"Structure"))</f>
        <v>Structure</v>
      </c>
      <c r="P304" s="64" t="str" cm="1">
        <f t="array" aca="1" ref="P304" ca="1">IF(D304=0,IF(G304=0,"",HYPERLINK("#"&amp;RIGHT(CELL("adresse",OFFSET(DMAV_Dienste!$M$6,G304-1,0)),LEN(CELL("adresse",OFFSET(DMAV_Dienste!$M$6,G304-1,0)))-FIND("]",CELL("adresse",OFFSET(DMAV_Dienste!$M$6,G304-1,0)))),"Substructure")),HYPERLINK("#"&amp;RIGHT(CELL("adresse",OFFSET(DMAV_Modell!$N$6,D304-1,0)),LEN(CELL("adresse",OFFSET(DMAV_Modell!$N$6,D304-1,0)))-FIND("]",CELL("adresse",OFFSET(DMAV_Modell!$N$6,D304-1,0)))),"Substructure"))</f>
        <v>Substructure</v>
      </c>
      <c r="R304" s="80"/>
      <c r="T304" s="93"/>
      <c r="U304" s="94"/>
      <c r="V304" s="95"/>
      <c r="W304" s="96"/>
      <c r="Y304" s="85"/>
      <c r="Z304" s="86"/>
      <c r="AA304" s="87"/>
      <c r="AB304" s="88"/>
      <c r="AD304" s="77"/>
      <c r="AF304" s="54" t="str" cm="1">
        <f t="array" aca="1" ref="AF304" ca="1">IF(H304=0,"",HYPERLINK("#"&amp;RIGHT(CELL("adresse",OFFSET('DM01-AV-CH'!$G$6,H304-1,0)),LEN(CELL("adresse",OFFSET('DM01-AV-CH'!$G$6,H304-1,0)))-FIND("]",CELL("adresse",OFFSET('DM01-AV-CH'!$G$6,H304-1,0)))),"Modell"))</f>
        <v>Modell</v>
      </c>
      <c r="AG304" s="72" t="str" cm="1">
        <f t="array" ref="AG304">IF($H304=0,"",IF(INDEX('DM01-AV-CH'!G$6:G$834,$H304)="","",INDEX('DM01-AV-CH'!G$6:G$834,$H304)))</f>
        <v>FixpunkteKategorie3</v>
      </c>
      <c r="AH304" s="73" t="str" cm="1">
        <f t="array" ref="AH304">IF($H304=0,"",IF(INDEX('DM01-AV-CH'!H$6:H$834,$H304)="","",INDEX('DM01-AV-CH'!H$6:H$834,$H304)))</f>
        <v>LFP3Pos</v>
      </c>
      <c r="AI304" s="74" t="str" cm="1">
        <f t="array" ref="AI304">IF($H304=0,"",IF(INDEX('DM01-AV-CH'!I$6:I$834,$H304)="","",INDEX('DM01-AV-CH'!I$6:I$834,$H304)))</f>
        <v>Ori</v>
      </c>
    </row>
    <row r="305" spans="1:35" x14ac:dyDescent="0.25">
      <c r="A305" s="57">
        <v>300</v>
      </c>
      <c r="B305" s="57">
        <f>IF($A305="","",IF(_xlfn.XLOOKUP($A305,Korrelation!$D$4:$D$1197,Korrelation!E$4:E$1197,"-",0)="-",0,MATCH(_xlfn.XLOOKUP($A305,Korrelation!$D$4:$D$1197,Korrelation!E$4:E$1197,"",0),DMAV_Modell!$G$6:$G$677,0)))</f>
        <v>95</v>
      </c>
      <c r="C305" s="57">
        <f>IF($A305="","",IF(_xlfn.XLOOKUP($A305,Korrelation!$D$4:$D$1197,Korrelation!F$4:F$1197,"-",0)="-",0,MATCH(_xlfn.XLOOKUP($A305,Korrelation!$D$4:$D$1197,Korrelation!F$4:F$1197,"",0),DMAV_Modell!$G$6:$G$677,0)))</f>
        <v>26</v>
      </c>
      <c r="D305" s="57">
        <f>IF($A305="","",IF(_xlfn.XLOOKUP($A305,Korrelation!$D$4:$D$1197,Korrelation!G$4:G$1197,"-",0)="-",0,MATCH(_xlfn.XLOOKUP($A305,Korrelation!$D$4:$D$1197,Korrelation!G$4:G$1197,"",0),DMAV_Modell!$G$6:$G$677,0)))</f>
        <v>30</v>
      </c>
      <c r="E305" s="57">
        <f>IF($A305="","",IF(_xlfn.XLOOKUP($A305,Korrelation!$D$4:$D$1197,Korrelation!H$4:H$1197,"-",0)="-",0,MATCH(_xlfn.XLOOKUP($A305,Korrelation!$D$4:$D$1197,Korrelation!H$4:H$1197,"",0),DMAV_Dienste!$F$6:$F$140,0)))</f>
        <v>0</v>
      </c>
      <c r="F305" s="57">
        <f>IF($A305="","",IF(_xlfn.XLOOKUP($A305,Korrelation!$D$4:$D$1197,Korrelation!I$4:I$1197,"-",0)="-",0,MATCH(_xlfn.XLOOKUP($A305,Korrelation!$D$4:$D$1197,Korrelation!I$4:I$1197,"",0),DMAV_Dienste!$F$6:$F$140,0)))</f>
        <v>0</v>
      </c>
      <c r="G305" s="57">
        <f>IF($A305="","",IF(_xlfn.XLOOKUP($A305,Korrelation!$D$4:$D$1197,Korrelation!J$4:J$1197,"-",0)="-",0,MATCH(_xlfn.XLOOKUP($A305,Korrelation!$D$4:$D$1197,Korrelation!J$4:J$1197,"",0),DMAV_Dienste!$F$6:$F$140,0)))</f>
        <v>0</v>
      </c>
      <c r="H305" s="57">
        <f>IF($A305="","",IF(_xlfn.XLOOKUP($A305,Korrelation!$D$4:$D$1197,Korrelation!K$4:K$1197,"-",0)="-",0,MATCH(_xlfn.XLOOKUP($A305,Korrelation!$D$4:$D$1197,Korrelation!K$4:K$1197,"",0),'DM01-AV-CH'!$A$6:$A$834,0)))</f>
        <v>145</v>
      </c>
      <c r="J305" s="54" t="str" cm="1">
        <f t="array" aca="1" ref="J305" ca="1">IF(B305=0,IF(E305=0,"",HYPERLINK("#"&amp;RIGHT(CELL("adresse",OFFSET(DMAV_Dienste!$M$6,E305-1,0)),LEN(CELL("adresse",OFFSET(DMAV_Dienste!$M$6,E305-1,0)))-FIND("]",CELL("adresse",OFFSET(DMAV_Dienste!$M$6,E305-1,0)))),"Dienst")),HYPERLINK("#"&amp;RIGHT(CELL("adresse",OFFSET(DMAV_Modell!$N$6,B305-1,0)),LEN(CELL("adresse",OFFSET(DMAV_Modell!$N$6,B305-1,0)))-FIND("]",CELL("adresse",OFFSET(DMAV_Modell!$N$6,B305-1,0)))),"Modell"))</f>
        <v>Modell</v>
      </c>
      <c r="K305" s="61" t="str" cm="1">
        <f t="array" ref="K305">IF($B305=0,IF($E305=0,"",IF(INDEX(DMAV_Dienste!P$6:P$140,$E305)="","",INDEX(DMAV_Dienste!P$6:P$140,$E305))),IF(INDEX(DMAV_Modell!Q$6:Q$838,$B305)="","",INDEX(DMAV_Modell!Q$6:Q$838,$B305)))</f>
        <v>CLASS</v>
      </c>
      <c r="L305" s="62" t="str" cm="1">
        <f t="array" ref="L305">IF($B305=0,IF($E305=0,"",IF(INDEX(DMAV_Dienste!O$6:O$140,$E305)="","",INDEX(DMAV_Dienste!O$6:O$140,$E305))),IF(INDEX(DMAV_Modell!P$6:P$838,$B305)="","",INDEX(DMAV_Modell!P$6:P$838,$B305)))</f>
        <v>FixpunkteAVKategorie3</v>
      </c>
      <c r="M305" s="62" t="str" cm="1">
        <f t="array" ref="M305">IF($B305=0,IF($E305=0,"",IF(INDEX(DMAV_Dienste!Q$6:Q$140,$E305)="","",INDEX(DMAV_Dienste!Q$6:Q$140,$E305))),IF(INDEX(DMAV_Modell!R$6:R$838,$B305)="","",INDEX(DMAV_Modell!R$6:R$838,$B305)))</f>
        <v>LFP3</v>
      </c>
      <c r="N305" s="62" t="str" cm="1">
        <f t="array" ref="N305">IF($B305=0,IF($E305=0,"",IF(INDEX(DMAV_Dienste!T$6:T$140,$E305)="","",INDEX(DMAV_Dienste!T$6:T$140,$E305))),IF(INDEX(DMAV_Modell!U$6:U$838,$B305)="","",INDEX(DMAV_Modell!U$6:U$838,$B305)))</f>
        <v>Textposition</v>
      </c>
      <c r="O305" s="63" t="str" cm="1">
        <f t="array" aca="1" ref="O305" ca="1">IF(C305=0,IF(F305=0,"",HYPERLINK("#"&amp;RIGHT(CELL("adresse",OFFSET(DMAV_Dienste!$M$6,F305-1,0)),LEN(CELL("adresse",OFFSET(DMAV_Dienste!$M$6,F305-1,0)))-FIND("]",CELL("adresse",OFFSET(DMAV_Dienste!$M$6,F305-1,0)))),"Structure")),HYPERLINK("#"&amp;RIGHT(CELL("adresse",OFFSET(DMAV_Modell!$N$6,C305-1,0)),LEN(CELL("adresse",OFFSET(DMAV_Modell!$N$6,C305-1,0)))-FIND("]",CELL("adresse",OFFSET(DMAV_Modell!$N$6,C305-1,0)))),"Structure"))</f>
        <v>Structure</v>
      </c>
      <c r="P305" s="64" t="str" cm="1">
        <f t="array" aca="1" ref="P305" ca="1">IF(D305=0,IF(G305=0,"",HYPERLINK("#"&amp;RIGHT(CELL("adresse",OFFSET(DMAV_Dienste!$M$6,G305-1,0)),LEN(CELL("adresse",OFFSET(DMAV_Dienste!$M$6,G305-1,0)))-FIND("]",CELL("adresse",OFFSET(DMAV_Dienste!$M$6,G305-1,0)))),"Substructure")),HYPERLINK("#"&amp;RIGHT(CELL("adresse",OFFSET(DMAV_Modell!$N$6,D305-1,0)),LEN(CELL("adresse",OFFSET(DMAV_Modell!$N$6,D305-1,0)))-FIND("]",CELL("adresse",OFFSET(DMAV_Modell!$N$6,D305-1,0)))),"Substructure"))</f>
        <v>Substructure</v>
      </c>
      <c r="R305" s="80"/>
      <c r="T305" s="93"/>
      <c r="U305" s="94"/>
      <c r="V305" s="95"/>
      <c r="W305" s="96"/>
      <c r="Y305" s="85"/>
      <c r="Z305" s="86"/>
      <c r="AA305" s="87"/>
      <c r="AB305" s="88"/>
      <c r="AD305" s="77"/>
      <c r="AF305" s="54" t="str" cm="1">
        <f t="array" aca="1" ref="AF305" ca="1">IF(H305=0,"",HYPERLINK("#"&amp;RIGHT(CELL("adresse",OFFSET('DM01-AV-CH'!$G$6,H305-1,0)),LEN(CELL("adresse",OFFSET('DM01-AV-CH'!$G$6,H305-1,0)))-FIND("]",CELL("adresse",OFFSET('DM01-AV-CH'!$G$6,H305-1,0)))),"Modell"))</f>
        <v>Modell</v>
      </c>
      <c r="AG305" s="72" t="str" cm="1">
        <f t="array" ref="AG305">IF($H305=0,"",IF(INDEX('DM01-AV-CH'!G$6:G$834,$H305)="","",INDEX('DM01-AV-CH'!G$6:G$834,$H305)))</f>
        <v>FixpunkteKategorie3</v>
      </c>
      <c r="AH305" s="73" t="str" cm="1">
        <f t="array" ref="AH305">IF($H305=0,"",IF(INDEX('DM01-AV-CH'!H$6:H$834,$H305)="","",INDEX('DM01-AV-CH'!H$6:H$834,$H305)))</f>
        <v>LFP3Pos</v>
      </c>
      <c r="AI305" s="74" t="str" cm="1">
        <f t="array" ref="AI305">IF($H305=0,"",IF(INDEX('DM01-AV-CH'!I$6:I$834,$H305)="","",INDEX('DM01-AV-CH'!I$6:I$834,$H305)))</f>
        <v>HAli</v>
      </c>
    </row>
    <row r="306" spans="1:35" x14ac:dyDescent="0.25">
      <c r="A306" s="57">
        <v>301</v>
      </c>
      <c r="B306" s="57">
        <f>IF($A306="","",IF(_xlfn.XLOOKUP($A306,Korrelation!$D$4:$D$1197,Korrelation!E$4:E$1197,"-",0)="-",0,MATCH(_xlfn.XLOOKUP($A306,Korrelation!$D$4:$D$1197,Korrelation!E$4:E$1197,"",0),DMAV_Modell!$G$6:$G$677,0)))</f>
        <v>95</v>
      </c>
      <c r="C306" s="57">
        <f>IF($A306="","",IF(_xlfn.XLOOKUP($A306,Korrelation!$D$4:$D$1197,Korrelation!F$4:F$1197,"-",0)="-",0,MATCH(_xlfn.XLOOKUP($A306,Korrelation!$D$4:$D$1197,Korrelation!F$4:F$1197,"",0),DMAV_Modell!$G$6:$G$677,0)))</f>
        <v>26</v>
      </c>
      <c r="D306" s="57">
        <f>IF($A306="","",IF(_xlfn.XLOOKUP($A306,Korrelation!$D$4:$D$1197,Korrelation!G$4:G$1197,"-",0)="-",0,MATCH(_xlfn.XLOOKUP($A306,Korrelation!$D$4:$D$1197,Korrelation!G$4:G$1197,"",0),DMAV_Modell!$G$6:$G$677,0)))</f>
        <v>31</v>
      </c>
      <c r="E306" s="57">
        <f>IF($A306="","",IF(_xlfn.XLOOKUP($A306,Korrelation!$D$4:$D$1197,Korrelation!H$4:H$1197,"-",0)="-",0,MATCH(_xlfn.XLOOKUP($A306,Korrelation!$D$4:$D$1197,Korrelation!H$4:H$1197,"",0),DMAV_Dienste!$F$6:$F$140,0)))</f>
        <v>0</v>
      </c>
      <c r="F306" s="57">
        <f>IF($A306="","",IF(_xlfn.XLOOKUP($A306,Korrelation!$D$4:$D$1197,Korrelation!I$4:I$1197,"-",0)="-",0,MATCH(_xlfn.XLOOKUP($A306,Korrelation!$D$4:$D$1197,Korrelation!I$4:I$1197,"",0),DMAV_Dienste!$F$6:$F$140,0)))</f>
        <v>0</v>
      </c>
      <c r="G306" s="57">
        <f>IF($A306="","",IF(_xlfn.XLOOKUP($A306,Korrelation!$D$4:$D$1197,Korrelation!J$4:J$1197,"-",0)="-",0,MATCH(_xlfn.XLOOKUP($A306,Korrelation!$D$4:$D$1197,Korrelation!J$4:J$1197,"",0),DMAV_Dienste!$F$6:$F$140,0)))</f>
        <v>0</v>
      </c>
      <c r="H306" s="57">
        <f>IF($A306="","",IF(_xlfn.XLOOKUP($A306,Korrelation!$D$4:$D$1197,Korrelation!K$4:K$1197,"-",0)="-",0,MATCH(_xlfn.XLOOKUP($A306,Korrelation!$D$4:$D$1197,Korrelation!K$4:K$1197,"",0),'DM01-AV-CH'!$A$6:$A$834,0)))</f>
        <v>146</v>
      </c>
      <c r="J306" s="54" t="str" cm="1">
        <f t="array" aca="1" ref="J306" ca="1">IF(B306=0,IF(E306=0,"",HYPERLINK("#"&amp;RIGHT(CELL("adresse",OFFSET(DMAV_Dienste!$M$6,E306-1,0)),LEN(CELL("adresse",OFFSET(DMAV_Dienste!$M$6,E306-1,0)))-FIND("]",CELL("adresse",OFFSET(DMAV_Dienste!$M$6,E306-1,0)))),"Dienst")),HYPERLINK("#"&amp;RIGHT(CELL("adresse",OFFSET(DMAV_Modell!$N$6,B306-1,0)),LEN(CELL("adresse",OFFSET(DMAV_Modell!$N$6,B306-1,0)))-FIND("]",CELL("adresse",OFFSET(DMAV_Modell!$N$6,B306-1,0)))),"Modell"))</f>
        <v>Modell</v>
      </c>
      <c r="K306" s="61" t="str" cm="1">
        <f t="array" ref="K306">IF($B306=0,IF($E306=0,"",IF(INDEX(DMAV_Dienste!P$6:P$140,$E306)="","",INDEX(DMAV_Dienste!P$6:P$140,$E306))),IF(INDEX(DMAV_Modell!Q$6:Q$838,$B306)="","",INDEX(DMAV_Modell!Q$6:Q$838,$B306)))</f>
        <v>CLASS</v>
      </c>
      <c r="L306" s="62" t="str" cm="1">
        <f t="array" ref="L306">IF($B306=0,IF($E306=0,"",IF(INDEX(DMAV_Dienste!O$6:O$140,$E306)="","",INDEX(DMAV_Dienste!O$6:O$140,$E306))),IF(INDEX(DMAV_Modell!P$6:P$838,$B306)="","",INDEX(DMAV_Modell!P$6:P$838,$B306)))</f>
        <v>FixpunkteAVKategorie3</v>
      </c>
      <c r="M306" s="62" t="str" cm="1">
        <f t="array" ref="M306">IF($B306=0,IF($E306=0,"",IF(INDEX(DMAV_Dienste!Q$6:Q$140,$E306)="","",INDEX(DMAV_Dienste!Q$6:Q$140,$E306))),IF(INDEX(DMAV_Modell!R$6:R$838,$B306)="","",INDEX(DMAV_Modell!R$6:R$838,$B306)))</f>
        <v>LFP3</v>
      </c>
      <c r="N306" s="62" t="str" cm="1">
        <f t="array" ref="N306">IF($B306=0,IF($E306=0,"",IF(INDEX(DMAV_Dienste!T$6:T$140,$E306)="","",INDEX(DMAV_Dienste!T$6:T$140,$E306))),IF(INDEX(DMAV_Modell!U$6:U$838,$B306)="","",INDEX(DMAV_Modell!U$6:U$838,$B306)))</f>
        <v>Textposition</v>
      </c>
      <c r="O306" s="63" t="str" cm="1">
        <f t="array" aca="1" ref="O306" ca="1">IF(C306=0,IF(F306=0,"",HYPERLINK("#"&amp;RIGHT(CELL("adresse",OFFSET(DMAV_Dienste!$M$6,F306-1,0)),LEN(CELL("adresse",OFFSET(DMAV_Dienste!$M$6,F306-1,0)))-FIND("]",CELL("adresse",OFFSET(DMAV_Dienste!$M$6,F306-1,0)))),"Structure")),HYPERLINK("#"&amp;RIGHT(CELL("adresse",OFFSET(DMAV_Modell!$N$6,C306-1,0)),LEN(CELL("adresse",OFFSET(DMAV_Modell!$N$6,C306-1,0)))-FIND("]",CELL("adresse",OFFSET(DMAV_Modell!$N$6,C306-1,0)))),"Structure"))</f>
        <v>Structure</v>
      </c>
      <c r="P306" s="64" t="str" cm="1">
        <f t="array" aca="1" ref="P306" ca="1">IF(D306=0,IF(G306=0,"",HYPERLINK("#"&amp;RIGHT(CELL("adresse",OFFSET(DMAV_Dienste!$M$6,G306-1,0)),LEN(CELL("adresse",OFFSET(DMAV_Dienste!$M$6,G306-1,0)))-FIND("]",CELL("adresse",OFFSET(DMAV_Dienste!$M$6,G306-1,0)))),"Substructure")),HYPERLINK("#"&amp;RIGHT(CELL("adresse",OFFSET(DMAV_Modell!$N$6,D306-1,0)),LEN(CELL("adresse",OFFSET(DMAV_Modell!$N$6,D306-1,0)))-FIND("]",CELL("adresse",OFFSET(DMAV_Modell!$N$6,D306-1,0)))),"Substructure"))</f>
        <v>Substructure</v>
      </c>
      <c r="R306" s="80"/>
      <c r="T306" s="93"/>
      <c r="U306" s="94"/>
      <c r="V306" s="95"/>
      <c r="W306" s="96"/>
      <c r="Y306" s="85"/>
      <c r="Z306" s="86"/>
      <c r="AA306" s="87"/>
      <c r="AB306" s="88"/>
      <c r="AD306" s="77"/>
      <c r="AF306" s="54" t="str" cm="1">
        <f t="array" aca="1" ref="AF306" ca="1">IF(H306=0,"",HYPERLINK("#"&amp;RIGHT(CELL("adresse",OFFSET('DM01-AV-CH'!$G$6,H306-1,0)),LEN(CELL("adresse",OFFSET('DM01-AV-CH'!$G$6,H306-1,0)))-FIND("]",CELL("adresse",OFFSET('DM01-AV-CH'!$G$6,H306-1,0)))),"Modell"))</f>
        <v>Modell</v>
      </c>
      <c r="AG306" s="72" t="str" cm="1">
        <f t="array" ref="AG306">IF($H306=0,"",IF(INDEX('DM01-AV-CH'!G$6:G$834,$H306)="","",INDEX('DM01-AV-CH'!G$6:G$834,$H306)))</f>
        <v>FixpunkteKategorie3</v>
      </c>
      <c r="AH306" s="73" t="str" cm="1">
        <f t="array" ref="AH306">IF($H306=0,"",IF(INDEX('DM01-AV-CH'!H$6:H$834,$H306)="","",INDEX('DM01-AV-CH'!H$6:H$834,$H306)))</f>
        <v>LFP3Pos</v>
      </c>
      <c r="AI306" s="74" t="str" cm="1">
        <f t="array" ref="AI306">IF($H306=0,"",IF(INDEX('DM01-AV-CH'!I$6:I$834,$H306)="","",INDEX('DM01-AV-CH'!I$6:I$834,$H306)))</f>
        <v>VAli</v>
      </c>
    </row>
    <row r="307" spans="1:35" x14ac:dyDescent="0.25">
      <c r="A307" s="57">
        <v>302</v>
      </c>
      <c r="B307" s="57">
        <f>IF($A307="","",IF(_xlfn.XLOOKUP($A307,Korrelation!$D$4:$D$1197,Korrelation!E$4:E$1197,"-",0)="-",0,MATCH(_xlfn.XLOOKUP($A307,Korrelation!$D$4:$D$1197,Korrelation!E$4:E$1197,"",0),DMAV_Modell!$G$6:$G$677,0)))</f>
        <v>96</v>
      </c>
      <c r="C307" s="57">
        <f>IF($A307="","",IF(_xlfn.XLOOKUP($A307,Korrelation!$D$4:$D$1197,Korrelation!F$4:F$1197,"-",0)="-",0,MATCH(_xlfn.XLOOKUP($A307,Korrelation!$D$4:$D$1197,Korrelation!F$4:F$1197,"",0),DMAV_Modell!$G$6:$G$677,0)))</f>
        <v>0</v>
      </c>
      <c r="D307" s="57">
        <f>IF($A307="","",IF(_xlfn.XLOOKUP($A307,Korrelation!$D$4:$D$1197,Korrelation!G$4:G$1197,"-",0)="-",0,MATCH(_xlfn.XLOOKUP($A307,Korrelation!$D$4:$D$1197,Korrelation!G$4:G$1197,"",0),DMAV_Modell!$G$6:$G$677,0)))</f>
        <v>0</v>
      </c>
      <c r="E307" s="57">
        <f>IF($A307="","",IF(_xlfn.XLOOKUP($A307,Korrelation!$D$4:$D$1197,Korrelation!H$4:H$1197,"-",0)="-",0,MATCH(_xlfn.XLOOKUP($A307,Korrelation!$D$4:$D$1197,Korrelation!H$4:H$1197,"",0),DMAV_Dienste!$F$6:$F$140,0)))</f>
        <v>0</v>
      </c>
      <c r="F307" s="57">
        <f>IF($A307="","",IF(_xlfn.XLOOKUP($A307,Korrelation!$D$4:$D$1197,Korrelation!I$4:I$1197,"-",0)="-",0,MATCH(_xlfn.XLOOKUP($A307,Korrelation!$D$4:$D$1197,Korrelation!I$4:I$1197,"",0),DMAV_Dienste!$F$6:$F$140,0)))</f>
        <v>0</v>
      </c>
      <c r="G307" s="57">
        <f>IF($A307="","",IF(_xlfn.XLOOKUP($A307,Korrelation!$D$4:$D$1197,Korrelation!J$4:J$1197,"-",0)="-",0,MATCH(_xlfn.XLOOKUP($A307,Korrelation!$D$4:$D$1197,Korrelation!J$4:J$1197,"",0),DMAV_Dienste!$F$6:$F$140,0)))</f>
        <v>0</v>
      </c>
      <c r="H307" s="57">
        <f>IF($A307="","",IF(_xlfn.XLOOKUP($A307,Korrelation!$D$4:$D$1197,Korrelation!K$4:K$1197,"-",0)="-",0,MATCH(_xlfn.XLOOKUP($A307,Korrelation!$D$4:$D$1197,Korrelation!K$4:K$1197,"",0),'DM01-AV-CH'!$A$6:$A$834,0)))</f>
        <v>0</v>
      </c>
      <c r="J307" s="54" t="str" cm="1">
        <f t="array" aca="1" ref="J307" ca="1">IF(B307=0,IF(E307=0,"",HYPERLINK("#"&amp;RIGHT(CELL("adresse",OFFSET(DMAV_Dienste!$M$6,E307-1,0)),LEN(CELL("adresse",OFFSET(DMAV_Dienste!$M$6,E307-1,0)))-FIND("]",CELL("adresse",OFFSET(DMAV_Dienste!$M$6,E307-1,0)))),"Dienst")),HYPERLINK("#"&amp;RIGHT(CELL("adresse",OFFSET(DMAV_Modell!$N$6,B307-1,0)),LEN(CELL("adresse",OFFSET(DMAV_Modell!$N$6,B307-1,0)))-FIND("]",CELL("adresse",OFFSET(DMAV_Modell!$N$6,B307-1,0)))),"Modell"))</f>
        <v>Modell</v>
      </c>
      <c r="K307" s="61" t="str" cm="1">
        <f t="array" ref="K307">IF($B307=0,IF($E307=0,"",IF(INDEX(DMAV_Dienste!P$6:P$140,$E307)="","",INDEX(DMAV_Dienste!P$6:P$140,$E307))),IF(INDEX(DMAV_Modell!Q$6:Q$838,$B307)="","",INDEX(DMAV_Modell!Q$6:Q$838,$B307)))</f>
        <v>CLASS.CONSTRAINT</v>
      </c>
      <c r="L307" s="62" t="str" cm="1">
        <f t="array" ref="L307">IF($B307=0,IF($E307=0,"",IF(INDEX(DMAV_Dienste!O$6:O$140,$E307)="","",INDEX(DMAV_Dienste!O$6:O$140,$E307))),IF(INDEX(DMAV_Modell!P$6:P$838,$B307)="","",INDEX(DMAV_Modell!P$6:P$838,$B307)))</f>
        <v>FixpunkteAVKategorie3</v>
      </c>
      <c r="M307" s="62" t="str" cm="1">
        <f t="array" ref="M307">IF($B307=0,IF($E307=0,"",IF(INDEX(DMAV_Dienste!Q$6:Q$140,$E307)="","",INDEX(DMAV_Dienste!Q$6:Q$140,$E307))),IF(INDEX(DMAV_Modell!R$6:R$838,$B307)="","",INDEX(DMAV_Modell!R$6:R$838,$B307)))</f>
        <v>LFP3</v>
      </c>
      <c r="N307" s="62" t="str" cm="1">
        <f t="array" ref="N307">IF($B307=0,IF($E307=0,"",IF(INDEX(DMAV_Dienste!T$6:T$140,$E307)="","",INDEX(DMAV_Dienste!T$6:T$140,$E307))),IF(INDEX(DMAV_Modell!U$6:U$838,$B307)="","",INDEX(DMAV_Modell!U$6:U$838,$B307)))</f>
        <v>DEFINED(@PH1@)==DEFINED(@PH2@)</v>
      </c>
      <c r="O307" s="63" t="str" cm="1">
        <f t="array" aca="1" ref="O307" ca="1">IF(C307=0,IF(F307=0,"",HYPERLINK("#"&amp;RIGHT(CELL("adresse",OFFSET(DMAV_Dienste!$M$6,F307-1,0)),LEN(CELL("adresse",OFFSET(DMAV_Dienste!$M$6,F307-1,0)))-FIND("]",CELL("adresse",OFFSET(DMAV_Dienste!$M$6,F307-1,0)))),"Structure")),HYPERLINK("#"&amp;RIGHT(CELL("adresse",OFFSET(DMAV_Modell!$N$6,C307-1,0)),LEN(CELL("adresse",OFFSET(DMAV_Modell!$N$6,C307-1,0)))-FIND("]",CELL("adresse",OFFSET(DMAV_Modell!$N$6,C307-1,0)))),"Structure"))</f>
        <v/>
      </c>
      <c r="P307" s="64" t="str" cm="1">
        <f t="array" aca="1" ref="P307" ca="1">IF(D307=0,IF(G307=0,"",HYPERLINK("#"&amp;RIGHT(CELL("adresse",OFFSET(DMAV_Dienste!$M$6,G307-1,0)),LEN(CELL("adresse",OFFSET(DMAV_Dienste!$M$6,G307-1,0)))-FIND("]",CELL("adresse",OFFSET(DMAV_Dienste!$M$6,G307-1,0)))),"Substructure")),HYPERLINK("#"&amp;RIGHT(CELL("adresse",OFFSET(DMAV_Modell!$N$6,D307-1,0)),LEN(CELL("adresse",OFFSET(DMAV_Modell!$N$6,D307-1,0)))-FIND("]",CELL("adresse",OFFSET(DMAV_Modell!$N$6,D307-1,0)))),"Substructure"))</f>
        <v/>
      </c>
      <c r="R307" s="80"/>
      <c r="T307" s="93"/>
      <c r="U307" s="94"/>
      <c r="V307" s="95"/>
      <c r="W307" s="96"/>
      <c r="Y307" s="85"/>
      <c r="Z307" s="86"/>
      <c r="AA307" s="87"/>
      <c r="AB307" s="88"/>
      <c r="AD307" s="77"/>
      <c r="AF307" s="54" t="str" cm="1">
        <f t="array" aca="1" ref="AF307" ca="1">IF(H307=0,"",HYPERLINK("#"&amp;RIGHT(CELL("adresse",OFFSET('DM01-AV-CH'!$G$6,H307-1,0)),LEN(CELL("adresse",OFFSET('DM01-AV-CH'!$G$6,H307-1,0)))-FIND("]",CELL("adresse",OFFSET('DM01-AV-CH'!$G$6,H307-1,0)))),"Modell"))</f>
        <v/>
      </c>
      <c r="AG307" s="72" t="str" cm="1">
        <f t="array" ref="AG307">IF($H307=0,"",IF(INDEX('DM01-AV-CH'!G$6:G$834,$H307)="","",INDEX('DM01-AV-CH'!G$6:G$834,$H307)))</f>
        <v/>
      </c>
      <c r="AH307" s="73" t="str" cm="1">
        <f t="array" ref="AH307">IF($H307=0,"",IF(INDEX('DM01-AV-CH'!H$6:H$834,$H307)="","",INDEX('DM01-AV-CH'!H$6:H$834,$H307)))</f>
        <v/>
      </c>
      <c r="AI307" s="74" t="str" cm="1">
        <f t="array" ref="AI307">IF($H307=0,"",IF(INDEX('DM01-AV-CH'!I$6:I$834,$H307)="","",INDEX('DM01-AV-CH'!I$6:I$834,$H307)))</f>
        <v/>
      </c>
    </row>
    <row r="308" spans="1:35" x14ac:dyDescent="0.25">
      <c r="A308" s="57">
        <v>303</v>
      </c>
      <c r="B308" s="57">
        <f>IF($A308="","",IF(_xlfn.XLOOKUP($A308,Korrelation!$D$4:$D$1197,Korrelation!E$4:E$1197,"-",0)="-",0,MATCH(_xlfn.XLOOKUP($A308,Korrelation!$D$4:$D$1197,Korrelation!E$4:E$1197,"",0),DMAV_Modell!$G$6:$G$677,0)))</f>
        <v>97</v>
      </c>
      <c r="C308" s="57">
        <f>IF($A308="","",IF(_xlfn.XLOOKUP($A308,Korrelation!$D$4:$D$1197,Korrelation!F$4:F$1197,"-",0)="-",0,MATCH(_xlfn.XLOOKUP($A308,Korrelation!$D$4:$D$1197,Korrelation!F$4:F$1197,"",0),DMAV_Modell!$G$6:$G$677,0)))</f>
        <v>0</v>
      </c>
      <c r="D308" s="57">
        <f>IF($A308="","",IF(_xlfn.XLOOKUP($A308,Korrelation!$D$4:$D$1197,Korrelation!G$4:G$1197,"-",0)="-",0,MATCH(_xlfn.XLOOKUP($A308,Korrelation!$D$4:$D$1197,Korrelation!G$4:G$1197,"",0),DMAV_Modell!$G$6:$G$677,0)))</f>
        <v>0</v>
      </c>
      <c r="E308" s="57">
        <f>IF($A308="","",IF(_xlfn.XLOOKUP($A308,Korrelation!$D$4:$D$1197,Korrelation!H$4:H$1197,"-",0)="-",0,MATCH(_xlfn.XLOOKUP($A308,Korrelation!$D$4:$D$1197,Korrelation!H$4:H$1197,"",0),DMAV_Dienste!$F$6:$F$140,0)))</f>
        <v>0</v>
      </c>
      <c r="F308" s="57">
        <f>IF($A308="","",IF(_xlfn.XLOOKUP($A308,Korrelation!$D$4:$D$1197,Korrelation!I$4:I$1197,"-",0)="-",0,MATCH(_xlfn.XLOOKUP($A308,Korrelation!$D$4:$D$1197,Korrelation!I$4:I$1197,"",0),DMAV_Dienste!$F$6:$F$140,0)))</f>
        <v>0</v>
      </c>
      <c r="G308" s="57">
        <f>IF($A308="","",IF(_xlfn.XLOOKUP($A308,Korrelation!$D$4:$D$1197,Korrelation!J$4:J$1197,"-",0)="-",0,MATCH(_xlfn.XLOOKUP($A308,Korrelation!$D$4:$D$1197,Korrelation!J$4:J$1197,"",0),DMAV_Dienste!$F$6:$F$140,0)))</f>
        <v>0</v>
      </c>
      <c r="H308" s="57">
        <f>IF($A308="","",IF(_xlfn.XLOOKUP($A308,Korrelation!$D$4:$D$1197,Korrelation!K$4:K$1197,"-",0)="-",0,MATCH(_xlfn.XLOOKUP($A308,Korrelation!$D$4:$D$1197,Korrelation!K$4:K$1197,"",0),'DM01-AV-CH'!$A$6:$A$834,0)))</f>
        <v>0</v>
      </c>
      <c r="J308" s="54" t="str" cm="1">
        <f t="array" aca="1" ref="J308" ca="1">IF(B308=0,IF(E308=0,"",HYPERLINK("#"&amp;RIGHT(CELL("adresse",OFFSET(DMAV_Dienste!$M$6,E308-1,0)),LEN(CELL("adresse",OFFSET(DMAV_Dienste!$M$6,E308-1,0)))-FIND("]",CELL("adresse",OFFSET(DMAV_Dienste!$M$6,E308-1,0)))),"Dienst")),HYPERLINK("#"&amp;RIGHT(CELL("adresse",OFFSET(DMAV_Modell!$N$6,B308-1,0)),LEN(CELL("adresse",OFFSET(DMAV_Modell!$N$6,B308-1,0)))-FIND("]",CELL("adresse",OFFSET(DMAV_Modell!$N$6,B308-1,0)))),"Modell"))</f>
        <v>Modell</v>
      </c>
      <c r="K308" s="61" t="str" cm="1">
        <f t="array" ref="K308">IF($B308=0,IF($E308=0,"",IF(INDEX(DMAV_Dienste!P$6:P$140,$E308)="","",INDEX(DMAV_Dienste!P$6:P$140,$E308))),IF(INDEX(DMAV_Modell!Q$6:Q$838,$B308)="","",INDEX(DMAV_Modell!Q$6:Q$838,$B308)))</f>
        <v>CLASS.CONSTRAINT</v>
      </c>
      <c r="L308" s="62" t="str" cm="1">
        <f t="array" ref="L308">IF($B308=0,IF($E308=0,"",IF(INDEX(DMAV_Dienste!O$6:O$140,$E308)="","",INDEX(DMAV_Dienste!O$6:O$140,$E308))),IF(INDEX(DMAV_Modell!P$6:P$838,$B308)="","",INDEX(DMAV_Modell!P$6:P$838,$B308)))</f>
        <v>FixpunkteAVKategorie3</v>
      </c>
      <c r="M308" s="62" t="str" cm="1">
        <f t="array" ref="M308">IF($B308=0,IF($E308=0,"",IF(INDEX(DMAV_Dienste!Q$6:Q$140,$E308)="","",INDEX(DMAV_Dienste!Q$6:Q$140,$E308))),IF(INDEX(DMAV_Modell!R$6:R$838,$B308)="","",INDEX(DMAV_Modell!R$6:R$838,$B308)))</f>
        <v>LFP3</v>
      </c>
      <c r="N308" s="62" t="str" cm="1">
        <f t="array" ref="N308">IF($B308=0,IF($E308=0,"",IF(INDEX(DMAV_Dienste!T$6:T$140,$E308)="","",INDEX(DMAV_Dienste!T$6:T$140,$E308))),IF(INDEX(DMAV_Modell!U$6:U$838,$B308)="","",INDEX(DMAV_Modell!U$6:U$838,$B308)))</f>
        <v>DEFINED(@PH1@)==DEFINED(@PH2@)</v>
      </c>
      <c r="O308" s="63" t="str" cm="1">
        <f t="array" aca="1" ref="O308" ca="1">IF(C308=0,IF(F308=0,"",HYPERLINK("#"&amp;RIGHT(CELL("adresse",OFFSET(DMAV_Dienste!$M$6,F308-1,0)),LEN(CELL("adresse",OFFSET(DMAV_Dienste!$M$6,F308-1,0)))-FIND("]",CELL("adresse",OFFSET(DMAV_Dienste!$M$6,F308-1,0)))),"Structure")),HYPERLINK("#"&amp;RIGHT(CELL("adresse",OFFSET(DMAV_Modell!$N$6,C308-1,0)),LEN(CELL("adresse",OFFSET(DMAV_Modell!$N$6,C308-1,0)))-FIND("]",CELL("adresse",OFFSET(DMAV_Modell!$N$6,C308-1,0)))),"Structure"))</f>
        <v/>
      </c>
      <c r="P308" s="64" t="str" cm="1">
        <f t="array" aca="1" ref="P308" ca="1">IF(D308=0,IF(G308=0,"",HYPERLINK("#"&amp;RIGHT(CELL("adresse",OFFSET(DMAV_Dienste!$M$6,G308-1,0)),LEN(CELL("adresse",OFFSET(DMAV_Dienste!$M$6,G308-1,0)))-FIND("]",CELL("adresse",OFFSET(DMAV_Dienste!$M$6,G308-1,0)))),"Substructure")),HYPERLINK("#"&amp;RIGHT(CELL("adresse",OFFSET(DMAV_Modell!$N$6,D308-1,0)),LEN(CELL("adresse",OFFSET(DMAV_Modell!$N$6,D308-1,0)))-FIND("]",CELL("adresse",OFFSET(DMAV_Modell!$N$6,D308-1,0)))),"Substructure"))</f>
        <v/>
      </c>
      <c r="R308" s="80"/>
      <c r="T308" s="93"/>
      <c r="U308" s="94"/>
      <c r="V308" s="95"/>
      <c r="W308" s="96"/>
      <c r="Y308" s="85"/>
      <c r="Z308" s="86"/>
      <c r="AA308" s="87"/>
      <c r="AB308" s="88"/>
      <c r="AD308" s="77"/>
      <c r="AF308" s="54" t="str" cm="1">
        <f t="array" aca="1" ref="AF308" ca="1">IF(H308=0,"",HYPERLINK("#"&amp;RIGHT(CELL("adresse",OFFSET('DM01-AV-CH'!$G$6,H308-1,0)),LEN(CELL("adresse",OFFSET('DM01-AV-CH'!$G$6,H308-1,0)))-FIND("]",CELL("adresse",OFFSET('DM01-AV-CH'!$G$6,H308-1,0)))),"Modell"))</f>
        <v/>
      </c>
      <c r="AG308" s="72" t="str" cm="1">
        <f t="array" ref="AG308">IF($H308=0,"",IF(INDEX('DM01-AV-CH'!G$6:G$834,$H308)="","",INDEX('DM01-AV-CH'!G$6:G$834,$H308)))</f>
        <v/>
      </c>
      <c r="AH308" s="73" t="str" cm="1">
        <f t="array" ref="AH308">IF($H308=0,"",IF(INDEX('DM01-AV-CH'!H$6:H$834,$H308)="","",INDEX('DM01-AV-CH'!H$6:H$834,$H308)))</f>
        <v/>
      </c>
      <c r="AI308" s="74" t="str" cm="1">
        <f t="array" ref="AI308">IF($H308=0,"",IF(INDEX('DM01-AV-CH'!I$6:I$834,$H308)="","",INDEX('DM01-AV-CH'!I$6:I$834,$H308)))</f>
        <v/>
      </c>
    </row>
    <row r="309" spans="1:35" x14ac:dyDescent="0.25">
      <c r="A309" s="57">
        <v>304</v>
      </c>
      <c r="B309" s="57">
        <f>IF($A309="","",IF(_xlfn.XLOOKUP($A309,Korrelation!$D$4:$D$1197,Korrelation!E$4:E$1197,"-",0)="-",0,MATCH(_xlfn.XLOOKUP($A309,Korrelation!$D$4:$D$1197,Korrelation!E$4:E$1197,"",0),DMAV_Modell!$G$6:$G$677,0)))</f>
        <v>98</v>
      </c>
      <c r="C309" s="57">
        <f>IF($A309="","",IF(_xlfn.XLOOKUP($A309,Korrelation!$D$4:$D$1197,Korrelation!F$4:F$1197,"-",0)="-",0,MATCH(_xlfn.XLOOKUP($A309,Korrelation!$D$4:$D$1197,Korrelation!F$4:F$1197,"",0),DMAV_Modell!$G$6:$G$677,0)))</f>
        <v>0</v>
      </c>
      <c r="D309" s="57">
        <f>IF($A309="","",IF(_xlfn.XLOOKUP($A309,Korrelation!$D$4:$D$1197,Korrelation!G$4:G$1197,"-",0)="-",0,MATCH(_xlfn.XLOOKUP($A309,Korrelation!$D$4:$D$1197,Korrelation!G$4:G$1197,"",0),DMAV_Modell!$G$6:$G$677,0)))</f>
        <v>0</v>
      </c>
      <c r="E309" s="57">
        <f>IF($A309="","",IF(_xlfn.XLOOKUP($A309,Korrelation!$D$4:$D$1197,Korrelation!H$4:H$1197,"-",0)="-",0,MATCH(_xlfn.XLOOKUP($A309,Korrelation!$D$4:$D$1197,Korrelation!H$4:H$1197,"",0),DMAV_Dienste!$F$6:$F$140,0)))</f>
        <v>0</v>
      </c>
      <c r="F309" s="57">
        <f>IF($A309="","",IF(_xlfn.XLOOKUP($A309,Korrelation!$D$4:$D$1197,Korrelation!I$4:I$1197,"-",0)="-",0,MATCH(_xlfn.XLOOKUP($A309,Korrelation!$D$4:$D$1197,Korrelation!I$4:I$1197,"",0),DMAV_Dienste!$F$6:$F$140,0)))</f>
        <v>0</v>
      </c>
      <c r="G309" s="57">
        <f>IF($A309="","",IF(_xlfn.XLOOKUP($A309,Korrelation!$D$4:$D$1197,Korrelation!J$4:J$1197,"-",0)="-",0,MATCH(_xlfn.XLOOKUP($A309,Korrelation!$D$4:$D$1197,Korrelation!J$4:J$1197,"",0),DMAV_Dienste!$F$6:$F$140,0)))</f>
        <v>0</v>
      </c>
      <c r="H309" s="57">
        <f>IF($A309="","",IF(_xlfn.XLOOKUP($A309,Korrelation!$D$4:$D$1197,Korrelation!K$4:K$1197,"-",0)="-",0,MATCH(_xlfn.XLOOKUP($A309,Korrelation!$D$4:$D$1197,Korrelation!K$4:K$1197,"",0),'DM01-AV-CH'!$A$6:$A$834,0)))</f>
        <v>0</v>
      </c>
      <c r="J309" s="54" t="str" cm="1">
        <f t="array" aca="1" ref="J309" ca="1">IF(B309=0,IF(E309=0,"",HYPERLINK("#"&amp;RIGHT(CELL("adresse",OFFSET(DMAV_Dienste!$M$6,E309-1,0)),LEN(CELL("adresse",OFFSET(DMAV_Dienste!$M$6,E309-1,0)))-FIND("]",CELL("adresse",OFFSET(DMAV_Dienste!$M$6,E309-1,0)))),"Dienst")),HYPERLINK("#"&amp;RIGHT(CELL("adresse",OFFSET(DMAV_Modell!$N$6,B309-1,0)),LEN(CELL("adresse",OFFSET(DMAV_Modell!$N$6,B309-1,0)))-FIND("]",CELL("adresse",OFFSET(DMAV_Modell!$N$6,B309-1,0)))),"Modell"))</f>
        <v>Modell</v>
      </c>
      <c r="K309" s="61" t="str" cm="1">
        <f t="array" ref="K309">IF($B309=0,IF($E309=0,"",IF(INDEX(DMAV_Dienste!P$6:P$140,$E309)="","",INDEX(DMAV_Dienste!P$6:P$140,$E309))),IF(INDEX(DMAV_Modell!Q$6:Q$838,$B309)="","",INDEX(DMAV_Modell!Q$6:Q$838,$B309)))</f>
        <v>CLASS.CONSTRAINT</v>
      </c>
      <c r="L309" s="62" t="str" cm="1">
        <f t="array" ref="L309">IF($B309=0,IF($E309=0,"",IF(INDEX(DMAV_Dienste!O$6:O$140,$E309)="","",INDEX(DMAV_Dienste!O$6:O$140,$E309))),IF(INDEX(DMAV_Modell!P$6:P$838,$B309)="","",INDEX(DMAV_Modell!P$6:P$838,$B309)))</f>
        <v>FixpunkteAVKategorie3</v>
      </c>
      <c r="M309" s="62" t="str" cm="1">
        <f t="array" ref="M309">IF($B309=0,IF($E309=0,"",IF(INDEX(DMAV_Dienste!Q$6:Q$140,$E309)="","",INDEX(DMAV_Dienste!Q$6:Q$140,$E309))),IF(INDEX(DMAV_Modell!R$6:R$838,$B309)="","",INDEX(DMAV_Modell!R$6:R$838,$B309)))</f>
        <v>LFP3</v>
      </c>
      <c r="N309" s="62" t="str" cm="1">
        <f t="array" ref="N309">IF($B309=0,IF($E309=0,"",IF(INDEX(DMAV_Dienste!T$6:T$140,$E309)="","",INDEX(DMAV_Dienste!T$6:T$140,$E309))),IF(INDEX(DMAV_Modell!U$6:U$838,$B309)="","",INDEX(DMAV_Modell!U$6:U$838,$B309)))</f>
        <v>@PH1@!=LFP3 OR @PH2@!=@PH3@</v>
      </c>
      <c r="O309" s="63" t="str" cm="1">
        <f t="array" aca="1" ref="O309" ca="1">IF(C309=0,IF(F309=0,"",HYPERLINK("#"&amp;RIGHT(CELL("adresse",OFFSET(DMAV_Dienste!$M$6,F309-1,0)),LEN(CELL("adresse",OFFSET(DMAV_Dienste!$M$6,F309-1,0)))-FIND("]",CELL("adresse",OFFSET(DMAV_Dienste!$M$6,F309-1,0)))),"Structure")),HYPERLINK("#"&amp;RIGHT(CELL("adresse",OFFSET(DMAV_Modell!$N$6,C309-1,0)),LEN(CELL("adresse",OFFSET(DMAV_Modell!$N$6,C309-1,0)))-FIND("]",CELL("adresse",OFFSET(DMAV_Modell!$N$6,C309-1,0)))),"Structure"))</f>
        <v/>
      </c>
      <c r="P309" s="64" t="str" cm="1">
        <f t="array" aca="1" ref="P309" ca="1">IF(D309=0,IF(G309=0,"",HYPERLINK("#"&amp;RIGHT(CELL("adresse",OFFSET(DMAV_Dienste!$M$6,G309-1,0)),LEN(CELL("adresse",OFFSET(DMAV_Dienste!$M$6,G309-1,0)))-FIND("]",CELL("adresse",OFFSET(DMAV_Dienste!$M$6,G309-1,0)))),"Substructure")),HYPERLINK("#"&amp;RIGHT(CELL("adresse",OFFSET(DMAV_Modell!$N$6,D309-1,0)),LEN(CELL("adresse",OFFSET(DMAV_Modell!$N$6,D309-1,0)))-FIND("]",CELL("adresse",OFFSET(DMAV_Modell!$N$6,D309-1,0)))),"Substructure"))</f>
        <v/>
      </c>
      <c r="R309" s="80"/>
      <c r="T309" s="93"/>
      <c r="U309" s="94"/>
      <c r="V309" s="95"/>
      <c r="W309" s="96"/>
      <c r="Y309" s="85"/>
      <c r="Z309" s="86"/>
      <c r="AA309" s="87"/>
      <c r="AB309" s="88"/>
      <c r="AD309" s="77"/>
      <c r="AF309" s="54" t="str" cm="1">
        <f t="array" aca="1" ref="AF309" ca="1">IF(H309=0,"",HYPERLINK("#"&amp;RIGHT(CELL("adresse",OFFSET('DM01-AV-CH'!$G$6,H309-1,0)),LEN(CELL("adresse",OFFSET('DM01-AV-CH'!$G$6,H309-1,0)))-FIND("]",CELL("adresse",OFFSET('DM01-AV-CH'!$G$6,H309-1,0)))),"Modell"))</f>
        <v/>
      </c>
      <c r="AG309" s="72" t="str" cm="1">
        <f t="array" ref="AG309">IF($H309=0,"",IF(INDEX('DM01-AV-CH'!G$6:G$834,$H309)="","",INDEX('DM01-AV-CH'!G$6:G$834,$H309)))</f>
        <v/>
      </c>
      <c r="AH309" s="73" t="str" cm="1">
        <f t="array" ref="AH309">IF($H309=0,"",IF(INDEX('DM01-AV-CH'!H$6:H$834,$H309)="","",INDEX('DM01-AV-CH'!H$6:H$834,$H309)))</f>
        <v/>
      </c>
      <c r="AI309" s="74" t="str" cm="1">
        <f t="array" ref="AI309">IF($H309=0,"",IF(INDEX('DM01-AV-CH'!I$6:I$834,$H309)="","",INDEX('DM01-AV-CH'!I$6:I$834,$H309)))</f>
        <v/>
      </c>
    </row>
    <row r="310" spans="1:35" x14ac:dyDescent="0.25">
      <c r="A310" s="57">
        <v>305</v>
      </c>
      <c r="B310" s="57">
        <f>IF($A310="","",IF(_xlfn.XLOOKUP($A310,Korrelation!$D$4:$D$1197,Korrelation!E$4:E$1197,"-",0)="-",0,MATCH(_xlfn.XLOOKUP($A310,Korrelation!$D$4:$D$1197,Korrelation!E$4:E$1197,"",0),DMAV_Modell!$G$6:$G$677,0)))</f>
        <v>99</v>
      </c>
      <c r="C310" s="57">
        <f>IF($A310="","",IF(_xlfn.XLOOKUP($A310,Korrelation!$D$4:$D$1197,Korrelation!F$4:F$1197,"-",0)="-",0,MATCH(_xlfn.XLOOKUP($A310,Korrelation!$D$4:$D$1197,Korrelation!F$4:F$1197,"",0),DMAV_Modell!$G$6:$G$677,0)))</f>
        <v>0</v>
      </c>
      <c r="D310" s="57">
        <f>IF($A310="","",IF(_xlfn.XLOOKUP($A310,Korrelation!$D$4:$D$1197,Korrelation!G$4:G$1197,"-",0)="-",0,MATCH(_xlfn.XLOOKUP($A310,Korrelation!$D$4:$D$1197,Korrelation!G$4:G$1197,"",0),DMAV_Modell!$G$6:$G$677,0)))</f>
        <v>0</v>
      </c>
      <c r="E310" s="57">
        <f>IF($A310="","",IF(_xlfn.XLOOKUP($A310,Korrelation!$D$4:$D$1197,Korrelation!H$4:H$1197,"-",0)="-",0,MATCH(_xlfn.XLOOKUP($A310,Korrelation!$D$4:$D$1197,Korrelation!H$4:H$1197,"",0),DMAV_Dienste!$F$6:$F$140,0)))</f>
        <v>0</v>
      </c>
      <c r="F310" s="57">
        <f>IF($A310="","",IF(_xlfn.XLOOKUP($A310,Korrelation!$D$4:$D$1197,Korrelation!I$4:I$1197,"-",0)="-",0,MATCH(_xlfn.XLOOKUP($A310,Korrelation!$D$4:$D$1197,Korrelation!I$4:I$1197,"",0),DMAV_Dienste!$F$6:$F$140,0)))</f>
        <v>0</v>
      </c>
      <c r="G310" s="57">
        <f>IF($A310="","",IF(_xlfn.XLOOKUP($A310,Korrelation!$D$4:$D$1197,Korrelation!J$4:J$1197,"-",0)="-",0,MATCH(_xlfn.XLOOKUP($A310,Korrelation!$D$4:$D$1197,Korrelation!J$4:J$1197,"",0),DMAV_Dienste!$F$6:$F$140,0)))</f>
        <v>0</v>
      </c>
      <c r="H310" s="57">
        <f>IF($A310="","",IF(_xlfn.XLOOKUP($A310,Korrelation!$D$4:$D$1197,Korrelation!K$4:K$1197,"-",0)="-",0,MATCH(_xlfn.XLOOKUP($A310,Korrelation!$D$4:$D$1197,Korrelation!K$4:K$1197,"",0),'DM01-AV-CH'!$A$6:$A$834,0)))</f>
        <v>0</v>
      </c>
      <c r="J310" s="54" t="str" cm="1">
        <f t="array" aca="1" ref="J310" ca="1">IF(B310=0,IF(E310=0,"",HYPERLINK("#"&amp;RIGHT(CELL("adresse",OFFSET(DMAV_Dienste!$M$6,E310-1,0)),LEN(CELL("adresse",OFFSET(DMAV_Dienste!$M$6,E310-1,0)))-FIND("]",CELL("adresse",OFFSET(DMAV_Dienste!$M$6,E310-1,0)))),"Dienst")),HYPERLINK("#"&amp;RIGHT(CELL("adresse",OFFSET(DMAV_Modell!$N$6,B310-1,0)),LEN(CELL("adresse",OFFSET(DMAV_Modell!$N$6,B310-1,0)))-FIND("]",CELL("adresse",OFFSET(DMAV_Modell!$N$6,B310-1,0)))),"Modell"))</f>
        <v>Modell</v>
      </c>
      <c r="K310" s="61" t="str" cm="1">
        <f t="array" ref="K310">IF($B310=0,IF($E310=0,"",IF(INDEX(DMAV_Dienste!P$6:P$140,$E310)="","",INDEX(DMAV_Dienste!P$6:P$140,$E310))),IF(INDEX(DMAV_Modell!Q$6:Q$838,$B310)="","",INDEX(DMAV_Modell!Q$6:Q$838,$B310)))</f>
        <v>CLASS.CONSTRAINT</v>
      </c>
      <c r="L310" s="62" t="str" cm="1">
        <f t="array" ref="L310">IF($B310=0,IF($E310=0,"",IF(INDEX(DMAV_Dienste!O$6:O$140,$E310)="","",INDEX(DMAV_Dienste!O$6:O$140,$E310))),IF(INDEX(DMAV_Modell!P$6:P$838,$B310)="","",INDEX(DMAV_Modell!P$6:P$838,$B310)))</f>
        <v>FixpunkteAVKategorie3</v>
      </c>
      <c r="M310" s="62" t="str" cm="1">
        <f t="array" ref="M310">IF($B310=0,IF($E310=0,"",IF(INDEX(DMAV_Dienste!Q$6:Q$140,$E310)="","",INDEX(DMAV_Dienste!Q$6:Q$140,$E310))),IF(INDEX(DMAV_Modell!R$6:R$838,$B310)="","",INDEX(DMAV_Modell!R$6:R$838,$B310)))</f>
        <v>LFP3</v>
      </c>
      <c r="N310" s="62" t="str" cm="1">
        <f t="array" ref="N310">IF($B310=0,IF($E310=0,"",IF(INDEX(DMAV_Dienste!T$6:T$140,$E310)="","",INDEX(DMAV_Dienste!T$6:T$140,$E310))),IF(INDEX(DMAV_Modell!U$6:U$838,$B310)="","",INDEX(DMAV_Modell!U$6:U$838,$B310)))</f>
        <v>(@PH1@!=@PH2@)==DEFINED(@PH3@)</v>
      </c>
      <c r="O310" s="63" t="str" cm="1">
        <f t="array" aca="1" ref="O310" ca="1">IF(C310=0,IF(F310=0,"",HYPERLINK("#"&amp;RIGHT(CELL("adresse",OFFSET(DMAV_Dienste!$M$6,F310-1,0)),LEN(CELL("adresse",OFFSET(DMAV_Dienste!$M$6,F310-1,0)))-FIND("]",CELL("adresse",OFFSET(DMAV_Dienste!$M$6,F310-1,0)))),"Structure")),HYPERLINK("#"&amp;RIGHT(CELL("adresse",OFFSET(DMAV_Modell!$N$6,C310-1,0)),LEN(CELL("adresse",OFFSET(DMAV_Modell!$N$6,C310-1,0)))-FIND("]",CELL("adresse",OFFSET(DMAV_Modell!$N$6,C310-1,0)))),"Structure"))</f>
        <v/>
      </c>
      <c r="P310" s="64" t="str" cm="1">
        <f t="array" aca="1" ref="P310" ca="1">IF(D310=0,IF(G310=0,"",HYPERLINK("#"&amp;RIGHT(CELL("adresse",OFFSET(DMAV_Dienste!$M$6,G310-1,0)),LEN(CELL("adresse",OFFSET(DMAV_Dienste!$M$6,G310-1,0)))-FIND("]",CELL("adresse",OFFSET(DMAV_Dienste!$M$6,G310-1,0)))),"Substructure")),HYPERLINK("#"&amp;RIGHT(CELL("adresse",OFFSET(DMAV_Modell!$N$6,D310-1,0)),LEN(CELL("adresse",OFFSET(DMAV_Modell!$N$6,D310-1,0)))-FIND("]",CELL("adresse",OFFSET(DMAV_Modell!$N$6,D310-1,0)))),"Substructure"))</f>
        <v/>
      </c>
      <c r="R310" s="80"/>
      <c r="T310" s="93"/>
      <c r="U310" s="94"/>
      <c r="V310" s="95"/>
      <c r="W310" s="96"/>
      <c r="Y310" s="85"/>
      <c r="Z310" s="86"/>
      <c r="AA310" s="87"/>
      <c r="AB310" s="88"/>
      <c r="AD310" s="77"/>
      <c r="AF310" s="54" t="str" cm="1">
        <f t="array" aca="1" ref="AF310" ca="1">IF(H310=0,"",HYPERLINK("#"&amp;RIGHT(CELL("adresse",OFFSET('DM01-AV-CH'!$G$6,H310-1,0)),LEN(CELL("adresse",OFFSET('DM01-AV-CH'!$G$6,H310-1,0)))-FIND("]",CELL("adresse",OFFSET('DM01-AV-CH'!$G$6,H310-1,0)))),"Modell"))</f>
        <v/>
      </c>
      <c r="AG310" s="72" t="str" cm="1">
        <f t="array" ref="AG310">IF($H310=0,"",IF(INDEX('DM01-AV-CH'!G$6:G$834,$H310)="","",INDEX('DM01-AV-CH'!G$6:G$834,$H310)))</f>
        <v/>
      </c>
      <c r="AH310" s="73" t="str" cm="1">
        <f t="array" ref="AH310">IF($H310=0,"",IF(INDEX('DM01-AV-CH'!H$6:H$834,$H310)="","",INDEX('DM01-AV-CH'!H$6:H$834,$H310)))</f>
        <v/>
      </c>
      <c r="AI310" s="74" t="str" cm="1">
        <f t="array" ref="AI310">IF($H310=0,"",IF(INDEX('DM01-AV-CH'!I$6:I$834,$H310)="","",INDEX('DM01-AV-CH'!I$6:I$834,$H310)))</f>
        <v/>
      </c>
    </row>
    <row r="311" spans="1:35" x14ac:dyDescent="0.25">
      <c r="A311" s="57">
        <v>306</v>
      </c>
      <c r="B311" s="57">
        <f>IF($A311="","",IF(_xlfn.XLOOKUP($A311,Korrelation!$D$4:$D$1197,Korrelation!E$4:E$1197,"-",0)="-",0,MATCH(_xlfn.XLOOKUP($A311,Korrelation!$D$4:$D$1197,Korrelation!E$4:E$1197,"",0),DMAV_Modell!$G$6:$G$677,0)))</f>
        <v>100</v>
      </c>
      <c r="C311" s="57">
        <f>IF($A311="","",IF(_xlfn.XLOOKUP($A311,Korrelation!$D$4:$D$1197,Korrelation!F$4:F$1197,"-",0)="-",0,MATCH(_xlfn.XLOOKUP($A311,Korrelation!$D$4:$D$1197,Korrelation!F$4:F$1197,"",0),DMAV_Modell!$G$6:$G$677,0)))</f>
        <v>0</v>
      </c>
      <c r="D311" s="57">
        <f>IF($A311="","",IF(_xlfn.XLOOKUP($A311,Korrelation!$D$4:$D$1197,Korrelation!G$4:G$1197,"-",0)="-",0,MATCH(_xlfn.XLOOKUP($A311,Korrelation!$D$4:$D$1197,Korrelation!G$4:G$1197,"",0),DMAV_Modell!$G$6:$G$677,0)))</f>
        <v>0</v>
      </c>
      <c r="E311" s="57">
        <f>IF($A311="","",IF(_xlfn.XLOOKUP($A311,Korrelation!$D$4:$D$1197,Korrelation!H$4:H$1197,"-",0)="-",0,MATCH(_xlfn.XLOOKUP($A311,Korrelation!$D$4:$D$1197,Korrelation!H$4:H$1197,"",0),DMAV_Dienste!$F$6:$F$140,0)))</f>
        <v>0</v>
      </c>
      <c r="F311" s="57">
        <f>IF($A311="","",IF(_xlfn.XLOOKUP($A311,Korrelation!$D$4:$D$1197,Korrelation!I$4:I$1197,"-",0)="-",0,MATCH(_xlfn.XLOOKUP($A311,Korrelation!$D$4:$D$1197,Korrelation!I$4:I$1197,"",0),DMAV_Dienste!$F$6:$F$140,0)))</f>
        <v>0</v>
      </c>
      <c r="G311" s="57">
        <f>IF($A311="","",IF(_xlfn.XLOOKUP($A311,Korrelation!$D$4:$D$1197,Korrelation!J$4:J$1197,"-",0)="-",0,MATCH(_xlfn.XLOOKUP($A311,Korrelation!$D$4:$D$1197,Korrelation!J$4:J$1197,"",0),DMAV_Dienste!$F$6:$F$140,0)))</f>
        <v>0</v>
      </c>
      <c r="H311" s="57">
        <f>IF($A311="","",IF(_xlfn.XLOOKUP($A311,Korrelation!$D$4:$D$1197,Korrelation!K$4:K$1197,"-",0)="-",0,MATCH(_xlfn.XLOOKUP($A311,Korrelation!$D$4:$D$1197,Korrelation!K$4:K$1197,"",0),'DM01-AV-CH'!$A$6:$A$834,0)))</f>
        <v>0</v>
      </c>
      <c r="J311" s="54" t="str" cm="1">
        <f t="array" aca="1" ref="J311" ca="1">IF(B311=0,IF(E311=0,"",HYPERLINK("#"&amp;RIGHT(CELL("adresse",OFFSET(DMAV_Dienste!$M$6,E311-1,0)),LEN(CELL("adresse",OFFSET(DMAV_Dienste!$M$6,E311-1,0)))-FIND("]",CELL("adresse",OFFSET(DMAV_Dienste!$M$6,E311-1,0)))),"Dienst")),HYPERLINK("#"&amp;RIGHT(CELL("adresse",OFFSET(DMAV_Modell!$N$6,B311-1,0)),LEN(CELL("adresse",OFFSET(DMAV_Modell!$N$6,B311-1,0)))-FIND("]",CELL("adresse",OFFSET(DMAV_Modell!$N$6,B311-1,0)))),"Modell"))</f>
        <v>Modell</v>
      </c>
      <c r="K311" s="61" t="str" cm="1">
        <f t="array" ref="K311">IF($B311=0,IF($E311=0,"",IF(INDEX(DMAV_Dienste!P$6:P$140,$E311)="","",INDEX(DMAV_Dienste!P$6:P$140,$E311))),IF(INDEX(DMAV_Modell!Q$6:Q$838,$B311)="","",INDEX(DMAV_Modell!Q$6:Q$838,$B311)))</f>
        <v>ASSOCIATION</v>
      </c>
      <c r="L311" s="62" t="str" cm="1">
        <f t="array" ref="L311">IF($B311=0,IF($E311=0,"",IF(INDEX(DMAV_Dienste!O$6:O$140,$E311)="","",INDEX(DMAV_Dienste!O$6:O$140,$E311))),IF(INDEX(DMAV_Modell!P$6:P$838,$B311)="","",INDEX(DMAV_Modell!P$6:P$838,$B311)))</f>
        <v>FixpunkteAVKategorie3</v>
      </c>
      <c r="M311" s="62" t="str" cm="1">
        <f t="array" ref="M311">IF($B311=0,IF($E311=0,"",IF(INDEX(DMAV_Dienste!Q$6:Q$140,$E311)="","",INDEX(DMAV_Dienste!Q$6:Q$140,$E311))),IF(INDEX(DMAV_Modell!R$6:R$838,$B311)="","",INDEX(DMAV_Modell!R$6:R$838,$B311)))</f>
        <v>Entstehung_LFP3</v>
      </c>
      <c r="N311" s="62" t="str" cm="1">
        <f t="array" ref="N311">IF($B311=0,IF($E311=0,"",IF(INDEX(DMAV_Dienste!T$6:T$140,$E311)="","",INDEX(DMAV_Dienste!T$6:T$140,$E311))),IF(INDEX(DMAV_Modell!U$6:U$838,$B311)="","",INDEX(DMAV_Modell!U$6:U$838,$B311)))</f>
        <v>Entstehung</v>
      </c>
      <c r="O311" s="63" t="str" cm="1">
        <f t="array" aca="1" ref="O311" ca="1">IF(C311=0,IF(F311=0,"",HYPERLINK("#"&amp;RIGHT(CELL("adresse",OFFSET(DMAV_Dienste!$M$6,F311-1,0)),LEN(CELL("adresse",OFFSET(DMAV_Dienste!$M$6,F311-1,0)))-FIND("]",CELL("adresse",OFFSET(DMAV_Dienste!$M$6,F311-1,0)))),"Structure")),HYPERLINK("#"&amp;RIGHT(CELL("adresse",OFFSET(DMAV_Modell!$N$6,C311-1,0)),LEN(CELL("adresse",OFFSET(DMAV_Modell!$N$6,C311-1,0)))-FIND("]",CELL("adresse",OFFSET(DMAV_Modell!$N$6,C311-1,0)))),"Structure"))</f>
        <v/>
      </c>
      <c r="P311" s="64" t="str" cm="1">
        <f t="array" aca="1" ref="P311" ca="1">IF(D311=0,IF(G311=0,"",HYPERLINK("#"&amp;RIGHT(CELL("adresse",OFFSET(DMAV_Dienste!$M$6,G311-1,0)),LEN(CELL("adresse",OFFSET(DMAV_Dienste!$M$6,G311-1,0)))-FIND("]",CELL("adresse",OFFSET(DMAV_Dienste!$M$6,G311-1,0)))),"Substructure")),HYPERLINK("#"&amp;RIGHT(CELL("adresse",OFFSET(DMAV_Modell!$N$6,D311-1,0)),LEN(CELL("adresse",OFFSET(DMAV_Modell!$N$6,D311-1,0)))-FIND("]",CELL("adresse",OFFSET(DMAV_Modell!$N$6,D311-1,0)))),"Substructure"))</f>
        <v/>
      </c>
      <c r="R311" s="80"/>
      <c r="T311" s="93"/>
      <c r="U311" s="94"/>
      <c r="V311" s="95"/>
      <c r="W311" s="96"/>
      <c r="Y311" s="85"/>
      <c r="Z311" s="86"/>
      <c r="AA311" s="87"/>
      <c r="AB311" s="88"/>
      <c r="AD311" s="77"/>
      <c r="AF311" s="54" t="str" cm="1">
        <f t="array" aca="1" ref="AF311" ca="1">IF(H311=0,"",HYPERLINK("#"&amp;RIGHT(CELL("adresse",OFFSET('DM01-AV-CH'!$G$6,H311-1,0)),LEN(CELL("adresse",OFFSET('DM01-AV-CH'!$G$6,H311-1,0)))-FIND("]",CELL("adresse",OFFSET('DM01-AV-CH'!$G$6,H311-1,0)))),"Modell"))</f>
        <v/>
      </c>
      <c r="AG311" s="72" t="str" cm="1">
        <f t="array" ref="AG311">IF($H311=0,"",IF(INDEX('DM01-AV-CH'!G$6:G$834,$H311)="","",INDEX('DM01-AV-CH'!G$6:G$834,$H311)))</f>
        <v/>
      </c>
      <c r="AH311" s="73" t="str" cm="1">
        <f t="array" ref="AH311">IF($H311=0,"",IF(INDEX('DM01-AV-CH'!H$6:H$834,$H311)="","",INDEX('DM01-AV-CH'!H$6:H$834,$H311)))</f>
        <v/>
      </c>
      <c r="AI311" s="74" t="str" cm="1">
        <f t="array" ref="AI311">IF($H311=0,"",IF(INDEX('DM01-AV-CH'!I$6:I$834,$H311)="","",INDEX('DM01-AV-CH'!I$6:I$834,$H311)))</f>
        <v/>
      </c>
    </row>
    <row r="312" spans="1:35" x14ac:dyDescent="0.25">
      <c r="A312" s="57">
        <v>307</v>
      </c>
      <c r="B312" s="57">
        <f>IF($A312="","",IF(_xlfn.XLOOKUP($A312,Korrelation!$D$4:$D$1197,Korrelation!E$4:E$1197,"-",0)="-",0,MATCH(_xlfn.XLOOKUP($A312,Korrelation!$D$4:$D$1197,Korrelation!E$4:E$1197,"",0),DMAV_Modell!$G$6:$G$677,0)))</f>
        <v>101</v>
      </c>
      <c r="C312" s="57">
        <f>IF($A312="","",IF(_xlfn.XLOOKUP($A312,Korrelation!$D$4:$D$1197,Korrelation!F$4:F$1197,"-",0)="-",0,MATCH(_xlfn.XLOOKUP($A312,Korrelation!$D$4:$D$1197,Korrelation!F$4:F$1197,"",0),DMAV_Modell!$G$6:$G$677,0)))</f>
        <v>0</v>
      </c>
      <c r="D312" s="57">
        <f>IF($A312="","",IF(_xlfn.XLOOKUP($A312,Korrelation!$D$4:$D$1197,Korrelation!G$4:G$1197,"-",0)="-",0,MATCH(_xlfn.XLOOKUP($A312,Korrelation!$D$4:$D$1197,Korrelation!G$4:G$1197,"",0),DMAV_Modell!$G$6:$G$677,0)))</f>
        <v>0</v>
      </c>
      <c r="E312" s="57">
        <f>IF($A312="","",IF(_xlfn.XLOOKUP($A312,Korrelation!$D$4:$D$1197,Korrelation!H$4:H$1197,"-",0)="-",0,MATCH(_xlfn.XLOOKUP($A312,Korrelation!$D$4:$D$1197,Korrelation!H$4:H$1197,"",0),DMAV_Dienste!$F$6:$F$140,0)))</f>
        <v>0</v>
      </c>
      <c r="F312" s="57">
        <f>IF($A312="","",IF(_xlfn.XLOOKUP($A312,Korrelation!$D$4:$D$1197,Korrelation!I$4:I$1197,"-",0)="-",0,MATCH(_xlfn.XLOOKUP($A312,Korrelation!$D$4:$D$1197,Korrelation!I$4:I$1197,"",0),DMAV_Dienste!$F$6:$F$140,0)))</f>
        <v>0</v>
      </c>
      <c r="G312" s="57">
        <f>IF($A312="","",IF(_xlfn.XLOOKUP($A312,Korrelation!$D$4:$D$1197,Korrelation!J$4:J$1197,"-",0)="-",0,MATCH(_xlfn.XLOOKUP($A312,Korrelation!$D$4:$D$1197,Korrelation!J$4:J$1197,"",0),DMAV_Dienste!$F$6:$F$140,0)))</f>
        <v>0</v>
      </c>
      <c r="H312" s="57">
        <f>IF($A312="","",IF(_xlfn.XLOOKUP($A312,Korrelation!$D$4:$D$1197,Korrelation!K$4:K$1197,"-",0)="-",0,MATCH(_xlfn.XLOOKUP($A312,Korrelation!$D$4:$D$1197,Korrelation!K$4:K$1197,"",0),'DM01-AV-CH'!$A$6:$A$834,0)))</f>
        <v>0</v>
      </c>
      <c r="J312" s="54" t="str" cm="1">
        <f t="array" aca="1" ref="J312" ca="1">IF(B312=0,IF(E312=0,"",HYPERLINK("#"&amp;RIGHT(CELL("adresse",OFFSET(DMAV_Dienste!$M$6,E312-1,0)),LEN(CELL("adresse",OFFSET(DMAV_Dienste!$M$6,E312-1,0)))-FIND("]",CELL("adresse",OFFSET(DMAV_Dienste!$M$6,E312-1,0)))),"Dienst")),HYPERLINK("#"&amp;RIGHT(CELL("adresse",OFFSET(DMAV_Modell!$N$6,B312-1,0)),LEN(CELL("adresse",OFFSET(DMAV_Modell!$N$6,B312-1,0)))-FIND("]",CELL("adresse",OFFSET(DMAV_Modell!$N$6,B312-1,0)))),"Modell"))</f>
        <v>Modell</v>
      </c>
      <c r="K312" s="61" t="str" cm="1">
        <f t="array" ref="K312">IF($B312=0,IF($E312=0,"",IF(INDEX(DMAV_Dienste!P$6:P$140,$E312)="","",INDEX(DMAV_Dienste!P$6:P$140,$E312))),IF(INDEX(DMAV_Modell!Q$6:Q$838,$B312)="","",INDEX(DMAV_Modell!Q$6:Q$838,$B312)))</f>
        <v>ASSOCIATION</v>
      </c>
      <c r="L312" s="62" t="str" cm="1">
        <f t="array" ref="L312">IF($B312=0,IF($E312=0,"",IF(INDEX(DMAV_Dienste!O$6:O$140,$E312)="","",INDEX(DMAV_Dienste!O$6:O$140,$E312))),IF(INDEX(DMAV_Modell!P$6:P$838,$B312)="","",INDEX(DMAV_Modell!P$6:P$838,$B312)))</f>
        <v>FixpunkteAVKategorie3</v>
      </c>
      <c r="M312" s="62" t="str" cm="1">
        <f t="array" ref="M312">IF($B312=0,IF($E312=0,"",IF(INDEX(DMAV_Dienste!Q$6:Q$140,$E312)="","",INDEX(DMAV_Dienste!Q$6:Q$140,$E312))),IF(INDEX(DMAV_Modell!R$6:R$838,$B312)="","",INDEX(DMAV_Modell!R$6:R$838,$B312)))</f>
        <v>Entstehung_LFP3</v>
      </c>
      <c r="N312" s="62" t="str" cm="1">
        <f t="array" ref="N312">IF($B312=0,IF($E312=0,"",IF(INDEX(DMAV_Dienste!T$6:T$140,$E312)="","",INDEX(DMAV_Dienste!T$6:T$140,$E312))),IF(INDEX(DMAV_Modell!U$6:U$838,$B312)="","",INDEX(DMAV_Modell!U$6:U$838,$B312)))</f>
        <v>entstehender_LFP3</v>
      </c>
      <c r="O312" s="63" t="str" cm="1">
        <f t="array" aca="1" ref="O312" ca="1">IF(C312=0,IF(F312=0,"",HYPERLINK("#"&amp;RIGHT(CELL("adresse",OFFSET(DMAV_Dienste!$M$6,F312-1,0)),LEN(CELL("adresse",OFFSET(DMAV_Dienste!$M$6,F312-1,0)))-FIND("]",CELL("adresse",OFFSET(DMAV_Dienste!$M$6,F312-1,0)))),"Structure")),HYPERLINK("#"&amp;RIGHT(CELL("adresse",OFFSET(DMAV_Modell!$N$6,C312-1,0)),LEN(CELL("adresse",OFFSET(DMAV_Modell!$N$6,C312-1,0)))-FIND("]",CELL("adresse",OFFSET(DMAV_Modell!$N$6,C312-1,0)))),"Structure"))</f>
        <v/>
      </c>
      <c r="P312" s="64" t="str" cm="1">
        <f t="array" aca="1" ref="P312" ca="1">IF(D312=0,IF(G312=0,"",HYPERLINK("#"&amp;RIGHT(CELL("adresse",OFFSET(DMAV_Dienste!$M$6,G312-1,0)),LEN(CELL("adresse",OFFSET(DMAV_Dienste!$M$6,G312-1,0)))-FIND("]",CELL("adresse",OFFSET(DMAV_Dienste!$M$6,G312-1,0)))),"Substructure")),HYPERLINK("#"&amp;RIGHT(CELL("adresse",OFFSET(DMAV_Modell!$N$6,D312-1,0)),LEN(CELL("adresse",OFFSET(DMAV_Modell!$N$6,D312-1,0)))-FIND("]",CELL("adresse",OFFSET(DMAV_Modell!$N$6,D312-1,0)))),"Substructure"))</f>
        <v/>
      </c>
      <c r="R312" s="80"/>
      <c r="T312" s="93"/>
      <c r="U312" s="94"/>
      <c r="V312" s="95"/>
      <c r="W312" s="96"/>
      <c r="Y312" s="85"/>
      <c r="Z312" s="86"/>
      <c r="AA312" s="87"/>
      <c r="AB312" s="88"/>
      <c r="AD312" s="77"/>
      <c r="AF312" s="54" t="str" cm="1">
        <f t="array" aca="1" ref="AF312" ca="1">IF(H312=0,"",HYPERLINK("#"&amp;RIGHT(CELL("adresse",OFFSET('DM01-AV-CH'!$G$6,H312-1,0)),LEN(CELL("adresse",OFFSET('DM01-AV-CH'!$G$6,H312-1,0)))-FIND("]",CELL("adresse",OFFSET('DM01-AV-CH'!$G$6,H312-1,0)))),"Modell"))</f>
        <v/>
      </c>
      <c r="AG312" s="72" t="str" cm="1">
        <f t="array" ref="AG312">IF($H312=0,"",IF(INDEX('DM01-AV-CH'!G$6:G$834,$H312)="","",INDEX('DM01-AV-CH'!G$6:G$834,$H312)))</f>
        <v/>
      </c>
      <c r="AH312" s="73" t="str" cm="1">
        <f t="array" ref="AH312">IF($H312=0,"",IF(INDEX('DM01-AV-CH'!H$6:H$834,$H312)="","",INDEX('DM01-AV-CH'!H$6:H$834,$H312)))</f>
        <v/>
      </c>
      <c r="AI312" s="74" t="str" cm="1">
        <f t="array" ref="AI312">IF($H312=0,"",IF(INDEX('DM01-AV-CH'!I$6:I$834,$H312)="","",INDEX('DM01-AV-CH'!I$6:I$834,$H312)))</f>
        <v/>
      </c>
    </row>
    <row r="313" spans="1:35" x14ac:dyDescent="0.25">
      <c r="A313" s="57">
        <v>308</v>
      </c>
      <c r="B313" s="57">
        <f>IF($A313="","",IF(_xlfn.XLOOKUP($A313,Korrelation!$D$4:$D$1197,Korrelation!E$4:E$1197,"-",0)="-",0,MATCH(_xlfn.XLOOKUP($A313,Korrelation!$D$4:$D$1197,Korrelation!E$4:E$1197,"",0),DMAV_Modell!$G$6:$G$677,0)))</f>
        <v>102</v>
      </c>
      <c r="C313" s="57">
        <f>IF($A313="","",IF(_xlfn.XLOOKUP($A313,Korrelation!$D$4:$D$1197,Korrelation!F$4:F$1197,"-",0)="-",0,MATCH(_xlfn.XLOOKUP($A313,Korrelation!$D$4:$D$1197,Korrelation!F$4:F$1197,"",0),DMAV_Modell!$G$6:$G$677,0)))</f>
        <v>0</v>
      </c>
      <c r="D313" s="57">
        <f>IF($A313="","",IF(_xlfn.XLOOKUP($A313,Korrelation!$D$4:$D$1197,Korrelation!G$4:G$1197,"-",0)="-",0,MATCH(_xlfn.XLOOKUP($A313,Korrelation!$D$4:$D$1197,Korrelation!G$4:G$1197,"",0),DMAV_Modell!$G$6:$G$677,0)))</f>
        <v>0</v>
      </c>
      <c r="E313" s="57">
        <f>IF($A313="","",IF(_xlfn.XLOOKUP($A313,Korrelation!$D$4:$D$1197,Korrelation!H$4:H$1197,"-",0)="-",0,MATCH(_xlfn.XLOOKUP($A313,Korrelation!$D$4:$D$1197,Korrelation!H$4:H$1197,"",0),DMAV_Dienste!$F$6:$F$140,0)))</f>
        <v>0</v>
      </c>
      <c r="F313" s="57">
        <f>IF($A313="","",IF(_xlfn.XLOOKUP($A313,Korrelation!$D$4:$D$1197,Korrelation!I$4:I$1197,"-",0)="-",0,MATCH(_xlfn.XLOOKUP($A313,Korrelation!$D$4:$D$1197,Korrelation!I$4:I$1197,"",0),DMAV_Dienste!$F$6:$F$140,0)))</f>
        <v>0</v>
      </c>
      <c r="G313" s="57">
        <f>IF($A313="","",IF(_xlfn.XLOOKUP($A313,Korrelation!$D$4:$D$1197,Korrelation!J$4:J$1197,"-",0)="-",0,MATCH(_xlfn.XLOOKUP($A313,Korrelation!$D$4:$D$1197,Korrelation!J$4:J$1197,"",0),DMAV_Dienste!$F$6:$F$140,0)))</f>
        <v>0</v>
      </c>
      <c r="H313" s="57">
        <f>IF($A313="","",IF(_xlfn.XLOOKUP($A313,Korrelation!$D$4:$D$1197,Korrelation!K$4:K$1197,"-",0)="-",0,MATCH(_xlfn.XLOOKUP($A313,Korrelation!$D$4:$D$1197,Korrelation!K$4:K$1197,"",0),'DM01-AV-CH'!$A$6:$A$834,0)))</f>
        <v>149</v>
      </c>
      <c r="J313" s="54" t="str" cm="1">
        <f t="array" aca="1" ref="J313" ca="1">IF(B313=0,IF(E313=0,"",HYPERLINK("#"&amp;RIGHT(CELL("adresse",OFFSET(DMAV_Dienste!$M$6,E313-1,0)),LEN(CELL("adresse",OFFSET(DMAV_Dienste!$M$6,E313-1,0)))-FIND("]",CELL("adresse",OFFSET(DMAV_Dienste!$M$6,E313-1,0)))),"Dienst")),HYPERLINK("#"&amp;RIGHT(CELL("adresse",OFFSET(DMAV_Modell!$N$6,B313-1,0)),LEN(CELL("adresse",OFFSET(DMAV_Modell!$N$6,B313-1,0)))-FIND("]",CELL("adresse",OFFSET(DMAV_Modell!$N$6,B313-1,0)))),"Modell"))</f>
        <v>Modell</v>
      </c>
      <c r="K313" s="61" t="str" cm="1">
        <f t="array" ref="K313">IF($B313=0,IF($E313=0,"",IF(INDEX(DMAV_Dienste!P$6:P$140,$E313)="","",INDEX(DMAV_Dienste!P$6:P$140,$E313))),IF(INDEX(DMAV_Modell!Q$6:Q$838,$B313)="","",INDEX(DMAV_Modell!Q$6:Q$838,$B313)))</f>
        <v>CLASS</v>
      </c>
      <c r="L313" s="62" t="str" cm="1">
        <f t="array" ref="L313">IF($B313=0,IF($E313=0,"",IF(INDEX(DMAV_Dienste!O$6:O$140,$E313)="","",INDEX(DMAV_Dienste!O$6:O$140,$E313))),IF(INDEX(DMAV_Modell!P$6:P$838,$B313)="","",INDEX(DMAV_Modell!P$6:P$838,$B313)))</f>
        <v>FixpunkteAVKategorie3</v>
      </c>
      <c r="M313" s="62" t="str" cm="1">
        <f t="array" ref="M313">IF($B313=0,IF($E313=0,"",IF(INDEX(DMAV_Dienste!Q$6:Q$140,$E313)="","",INDEX(DMAV_Dienste!Q$6:Q$140,$E313))),IF(INDEX(DMAV_Modell!R$6:R$838,$B313)="","",INDEX(DMAV_Modell!R$6:R$838,$B313)))</f>
        <v>HFP3Nachfuehrung</v>
      </c>
      <c r="N313" s="62" t="str" cm="1">
        <f t="array" ref="N313">IF($B313=0,IF($E313=0,"",IF(INDEX(DMAV_Dienste!T$6:T$140,$E313)="","",INDEX(DMAV_Dienste!T$6:T$140,$E313))),IF(INDEX(DMAV_Modell!U$6:U$838,$B313)="","",INDEX(DMAV_Modell!U$6:U$838,$B313)))</f>
        <v>NBIdent</v>
      </c>
      <c r="O313" s="63" t="str" cm="1">
        <f t="array" aca="1" ref="O313" ca="1">IF(C313=0,IF(F313=0,"",HYPERLINK("#"&amp;RIGHT(CELL("adresse",OFFSET(DMAV_Dienste!$M$6,F313-1,0)),LEN(CELL("adresse",OFFSET(DMAV_Dienste!$M$6,F313-1,0)))-FIND("]",CELL("adresse",OFFSET(DMAV_Dienste!$M$6,F313-1,0)))),"Structure")),HYPERLINK("#"&amp;RIGHT(CELL("adresse",OFFSET(DMAV_Modell!$N$6,C313-1,0)),LEN(CELL("adresse",OFFSET(DMAV_Modell!$N$6,C313-1,0)))-FIND("]",CELL("adresse",OFFSET(DMAV_Modell!$N$6,C313-1,0)))),"Structure"))</f>
        <v/>
      </c>
      <c r="P313" s="64" t="str" cm="1">
        <f t="array" aca="1" ref="P313" ca="1">IF(D313=0,IF(G313=0,"",HYPERLINK("#"&amp;RIGHT(CELL("adresse",OFFSET(DMAV_Dienste!$M$6,G313-1,0)),LEN(CELL("adresse",OFFSET(DMAV_Dienste!$M$6,G313-1,0)))-FIND("]",CELL("adresse",OFFSET(DMAV_Dienste!$M$6,G313-1,0)))),"Substructure")),HYPERLINK("#"&amp;RIGHT(CELL("adresse",OFFSET(DMAV_Modell!$N$6,D313-1,0)),LEN(CELL("adresse",OFFSET(DMAV_Modell!$N$6,D313-1,0)))-FIND("]",CELL("adresse",OFFSET(DMAV_Modell!$N$6,D313-1,0)))),"Substructure"))</f>
        <v/>
      </c>
      <c r="R313" s="80"/>
      <c r="T313" s="93"/>
      <c r="U313" s="94"/>
      <c r="V313" s="95"/>
      <c r="W313" s="96"/>
      <c r="Y313" s="85"/>
      <c r="Z313" s="86"/>
      <c r="AA313" s="87"/>
      <c r="AB313" s="88"/>
      <c r="AD313" s="77"/>
      <c r="AF313" s="54" t="str" cm="1">
        <f t="array" aca="1" ref="AF313" ca="1">IF(H313=0,"",HYPERLINK("#"&amp;RIGHT(CELL("adresse",OFFSET('DM01-AV-CH'!$G$6,H313-1,0)),LEN(CELL("adresse",OFFSET('DM01-AV-CH'!$G$6,H313-1,0)))-FIND("]",CELL("adresse",OFFSET('DM01-AV-CH'!$G$6,H313-1,0)))),"Modell"))</f>
        <v>Modell</v>
      </c>
      <c r="AG313" s="72" t="str" cm="1">
        <f t="array" ref="AG313">IF($H313=0,"",IF(INDEX('DM01-AV-CH'!G$6:G$834,$H313)="","",INDEX('DM01-AV-CH'!G$6:G$834,$H313)))</f>
        <v>FixpunkteKategorie3</v>
      </c>
      <c r="AH313" s="73" t="str" cm="1">
        <f t="array" ref="AH313">IF($H313=0,"",IF(INDEX('DM01-AV-CH'!H$6:H$834,$H313)="","",INDEX('DM01-AV-CH'!H$6:H$834,$H313)))</f>
        <v>HFP3Nachfuehrung</v>
      </c>
      <c r="AI313" s="74" t="str" cm="1">
        <f t="array" ref="AI313">IF($H313=0,"",IF(INDEX('DM01-AV-CH'!I$6:I$834,$H313)="","",INDEX('DM01-AV-CH'!I$6:I$834,$H313)))</f>
        <v>NBIdent</v>
      </c>
    </row>
    <row r="314" spans="1:35" x14ac:dyDescent="0.25">
      <c r="A314" s="57">
        <v>309</v>
      </c>
      <c r="B314" s="57">
        <f>IF($A314="","",IF(_xlfn.XLOOKUP($A314,Korrelation!$D$4:$D$1197,Korrelation!E$4:E$1197,"-",0)="-",0,MATCH(_xlfn.XLOOKUP($A314,Korrelation!$D$4:$D$1197,Korrelation!E$4:E$1197,"",0),DMAV_Modell!$G$6:$G$677,0)))</f>
        <v>103</v>
      </c>
      <c r="C314" s="57">
        <f>IF($A314="","",IF(_xlfn.XLOOKUP($A314,Korrelation!$D$4:$D$1197,Korrelation!F$4:F$1197,"-",0)="-",0,MATCH(_xlfn.XLOOKUP($A314,Korrelation!$D$4:$D$1197,Korrelation!F$4:F$1197,"",0),DMAV_Modell!$G$6:$G$677,0)))</f>
        <v>0</v>
      </c>
      <c r="D314" s="57">
        <f>IF($A314="","",IF(_xlfn.XLOOKUP($A314,Korrelation!$D$4:$D$1197,Korrelation!G$4:G$1197,"-",0)="-",0,MATCH(_xlfn.XLOOKUP($A314,Korrelation!$D$4:$D$1197,Korrelation!G$4:G$1197,"",0),DMAV_Modell!$G$6:$G$677,0)))</f>
        <v>0</v>
      </c>
      <c r="E314" s="57">
        <f>IF($A314="","",IF(_xlfn.XLOOKUP($A314,Korrelation!$D$4:$D$1197,Korrelation!H$4:H$1197,"-",0)="-",0,MATCH(_xlfn.XLOOKUP($A314,Korrelation!$D$4:$D$1197,Korrelation!H$4:H$1197,"",0),DMAV_Dienste!$F$6:$F$140,0)))</f>
        <v>0</v>
      </c>
      <c r="F314" s="57">
        <f>IF($A314="","",IF(_xlfn.XLOOKUP($A314,Korrelation!$D$4:$D$1197,Korrelation!I$4:I$1197,"-",0)="-",0,MATCH(_xlfn.XLOOKUP($A314,Korrelation!$D$4:$D$1197,Korrelation!I$4:I$1197,"",0),DMAV_Dienste!$F$6:$F$140,0)))</f>
        <v>0</v>
      </c>
      <c r="G314" s="57">
        <f>IF($A314="","",IF(_xlfn.XLOOKUP($A314,Korrelation!$D$4:$D$1197,Korrelation!J$4:J$1197,"-",0)="-",0,MATCH(_xlfn.XLOOKUP($A314,Korrelation!$D$4:$D$1197,Korrelation!J$4:J$1197,"",0),DMAV_Dienste!$F$6:$F$140,0)))</f>
        <v>0</v>
      </c>
      <c r="H314" s="57">
        <f>IF($A314="","",IF(_xlfn.XLOOKUP($A314,Korrelation!$D$4:$D$1197,Korrelation!K$4:K$1197,"-",0)="-",0,MATCH(_xlfn.XLOOKUP($A314,Korrelation!$D$4:$D$1197,Korrelation!K$4:K$1197,"",0),'DM01-AV-CH'!$A$6:$A$834,0)))</f>
        <v>150</v>
      </c>
      <c r="J314" s="54" t="str" cm="1">
        <f t="array" aca="1" ref="J314" ca="1">IF(B314=0,IF(E314=0,"",HYPERLINK("#"&amp;RIGHT(CELL("adresse",OFFSET(DMAV_Dienste!$M$6,E314-1,0)),LEN(CELL("adresse",OFFSET(DMAV_Dienste!$M$6,E314-1,0)))-FIND("]",CELL("adresse",OFFSET(DMAV_Dienste!$M$6,E314-1,0)))),"Dienst")),HYPERLINK("#"&amp;RIGHT(CELL("adresse",OFFSET(DMAV_Modell!$N$6,B314-1,0)),LEN(CELL("adresse",OFFSET(DMAV_Modell!$N$6,B314-1,0)))-FIND("]",CELL("adresse",OFFSET(DMAV_Modell!$N$6,B314-1,0)))),"Modell"))</f>
        <v>Modell</v>
      </c>
      <c r="K314" s="61" t="str" cm="1">
        <f t="array" ref="K314">IF($B314=0,IF($E314=0,"",IF(INDEX(DMAV_Dienste!P$6:P$140,$E314)="","",INDEX(DMAV_Dienste!P$6:P$140,$E314))),IF(INDEX(DMAV_Modell!Q$6:Q$838,$B314)="","",INDEX(DMAV_Modell!Q$6:Q$838,$B314)))</f>
        <v>CLASS</v>
      </c>
      <c r="L314" s="62" t="str" cm="1">
        <f t="array" ref="L314">IF($B314=0,IF($E314=0,"",IF(INDEX(DMAV_Dienste!O$6:O$140,$E314)="","",INDEX(DMAV_Dienste!O$6:O$140,$E314))),IF(INDEX(DMAV_Modell!P$6:P$838,$B314)="","",INDEX(DMAV_Modell!P$6:P$838,$B314)))</f>
        <v>FixpunkteAVKategorie3</v>
      </c>
      <c r="M314" s="62" t="str" cm="1">
        <f t="array" ref="M314">IF($B314=0,IF($E314=0,"",IF(INDEX(DMAV_Dienste!Q$6:Q$140,$E314)="","",INDEX(DMAV_Dienste!Q$6:Q$140,$E314))),IF(INDEX(DMAV_Modell!R$6:R$838,$B314)="","",INDEX(DMAV_Modell!R$6:R$838,$B314)))</f>
        <v>HFP3Nachfuehrung</v>
      </c>
      <c r="N314" s="62" t="str" cm="1">
        <f t="array" ref="N314">IF($B314=0,IF($E314=0,"",IF(INDEX(DMAV_Dienste!T$6:T$140,$E314)="","",INDEX(DMAV_Dienste!T$6:T$140,$E314))),IF(INDEX(DMAV_Modell!U$6:U$838,$B314)="","",INDEX(DMAV_Modell!U$6:U$838,$B314)))</f>
        <v>Identifikator</v>
      </c>
      <c r="O314" s="63" t="str" cm="1">
        <f t="array" aca="1" ref="O314" ca="1">IF(C314=0,IF(F314=0,"",HYPERLINK("#"&amp;RIGHT(CELL("adresse",OFFSET(DMAV_Dienste!$M$6,F314-1,0)),LEN(CELL("adresse",OFFSET(DMAV_Dienste!$M$6,F314-1,0)))-FIND("]",CELL("adresse",OFFSET(DMAV_Dienste!$M$6,F314-1,0)))),"Structure")),HYPERLINK("#"&amp;RIGHT(CELL("adresse",OFFSET(DMAV_Modell!$N$6,C314-1,0)),LEN(CELL("adresse",OFFSET(DMAV_Modell!$N$6,C314-1,0)))-FIND("]",CELL("adresse",OFFSET(DMAV_Modell!$N$6,C314-1,0)))),"Structure"))</f>
        <v/>
      </c>
      <c r="P314" s="64" t="str" cm="1">
        <f t="array" aca="1" ref="P314" ca="1">IF(D314=0,IF(G314=0,"",HYPERLINK("#"&amp;RIGHT(CELL("adresse",OFFSET(DMAV_Dienste!$M$6,G314-1,0)),LEN(CELL("adresse",OFFSET(DMAV_Dienste!$M$6,G314-1,0)))-FIND("]",CELL("adresse",OFFSET(DMAV_Dienste!$M$6,G314-1,0)))),"Substructure")),HYPERLINK("#"&amp;RIGHT(CELL("adresse",OFFSET(DMAV_Modell!$N$6,D314-1,0)),LEN(CELL("adresse",OFFSET(DMAV_Modell!$N$6,D314-1,0)))-FIND("]",CELL("adresse",OFFSET(DMAV_Modell!$N$6,D314-1,0)))),"Substructure"))</f>
        <v/>
      </c>
      <c r="R314" s="80"/>
      <c r="T314" s="93"/>
      <c r="U314" s="94"/>
      <c r="V314" s="95"/>
      <c r="W314" s="96"/>
      <c r="Y314" s="85"/>
      <c r="Z314" s="86"/>
      <c r="AA314" s="87"/>
      <c r="AB314" s="88"/>
      <c r="AD314" s="77"/>
      <c r="AF314" s="54" t="str" cm="1">
        <f t="array" aca="1" ref="AF314" ca="1">IF(H314=0,"",HYPERLINK("#"&amp;RIGHT(CELL("adresse",OFFSET('DM01-AV-CH'!$G$6,H314-1,0)),LEN(CELL("adresse",OFFSET('DM01-AV-CH'!$G$6,H314-1,0)))-FIND("]",CELL("adresse",OFFSET('DM01-AV-CH'!$G$6,H314-1,0)))),"Modell"))</f>
        <v>Modell</v>
      </c>
      <c r="AG314" s="72" t="str" cm="1">
        <f t="array" ref="AG314">IF($H314=0,"",IF(INDEX('DM01-AV-CH'!G$6:G$834,$H314)="","",INDEX('DM01-AV-CH'!G$6:G$834,$H314)))</f>
        <v>FixpunkteKategorie3</v>
      </c>
      <c r="AH314" s="73" t="str" cm="1">
        <f t="array" ref="AH314">IF($H314=0,"",IF(INDEX('DM01-AV-CH'!H$6:H$834,$H314)="","",INDEX('DM01-AV-CH'!H$6:H$834,$H314)))</f>
        <v>HFP3Nachfuehrung</v>
      </c>
      <c r="AI314" s="74" t="str" cm="1">
        <f t="array" ref="AI314">IF($H314=0,"",IF(INDEX('DM01-AV-CH'!I$6:I$834,$H314)="","",INDEX('DM01-AV-CH'!I$6:I$834,$H314)))</f>
        <v>Identifikator</v>
      </c>
    </row>
    <row r="315" spans="1:35" x14ac:dyDescent="0.25">
      <c r="A315" s="57">
        <v>310</v>
      </c>
      <c r="B315" s="57">
        <f>IF($A315="","",IF(_xlfn.XLOOKUP($A315,Korrelation!$D$4:$D$1197,Korrelation!E$4:E$1197,"-",0)="-",0,MATCH(_xlfn.XLOOKUP($A315,Korrelation!$D$4:$D$1197,Korrelation!E$4:E$1197,"",0),DMAV_Modell!$G$6:$G$677,0)))</f>
        <v>104</v>
      </c>
      <c r="C315" s="57">
        <f>IF($A315="","",IF(_xlfn.XLOOKUP($A315,Korrelation!$D$4:$D$1197,Korrelation!F$4:F$1197,"-",0)="-",0,MATCH(_xlfn.XLOOKUP($A315,Korrelation!$D$4:$D$1197,Korrelation!F$4:F$1197,"",0),DMAV_Modell!$G$6:$G$677,0)))</f>
        <v>0</v>
      </c>
      <c r="D315" s="57">
        <f>IF($A315="","",IF(_xlfn.XLOOKUP($A315,Korrelation!$D$4:$D$1197,Korrelation!G$4:G$1197,"-",0)="-",0,MATCH(_xlfn.XLOOKUP($A315,Korrelation!$D$4:$D$1197,Korrelation!G$4:G$1197,"",0),DMAV_Modell!$G$6:$G$677,0)))</f>
        <v>0</v>
      </c>
      <c r="E315" s="57">
        <f>IF($A315="","",IF(_xlfn.XLOOKUP($A315,Korrelation!$D$4:$D$1197,Korrelation!H$4:H$1197,"-",0)="-",0,MATCH(_xlfn.XLOOKUP($A315,Korrelation!$D$4:$D$1197,Korrelation!H$4:H$1197,"",0),DMAV_Dienste!$F$6:$F$140,0)))</f>
        <v>0</v>
      </c>
      <c r="F315" s="57">
        <f>IF($A315="","",IF(_xlfn.XLOOKUP($A315,Korrelation!$D$4:$D$1197,Korrelation!I$4:I$1197,"-",0)="-",0,MATCH(_xlfn.XLOOKUP($A315,Korrelation!$D$4:$D$1197,Korrelation!I$4:I$1197,"",0),DMAV_Dienste!$F$6:$F$140,0)))</f>
        <v>0</v>
      </c>
      <c r="G315" s="57">
        <f>IF($A315="","",IF(_xlfn.XLOOKUP($A315,Korrelation!$D$4:$D$1197,Korrelation!J$4:J$1197,"-",0)="-",0,MATCH(_xlfn.XLOOKUP($A315,Korrelation!$D$4:$D$1197,Korrelation!J$4:J$1197,"",0),DMAV_Dienste!$F$6:$F$140,0)))</f>
        <v>0</v>
      </c>
      <c r="H315" s="57">
        <f>IF($A315="","",IF(_xlfn.XLOOKUP($A315,Korrelation!$D$4:$D$1197,Korrelation!K$4:K$1197,"-",0)="-",0,MATCH(_xlfn.XLOOKUP($A315,Korrelation!$D$4:$D$1197,Korrelation!K$4:K$1197,"",0),'DM01-AV-CH'!$A$6:$A$834,0)))</f>
        <v>151</v>
      </c>
      <c r="J315" s="54" t="str" cm="1">
        <f t="array" aca="1" ref="J315" ca="1">IF(B315=0,IF(E315=0,"",HYPERLINK("#"&amp;RIGHT(CELL("adresse",OFFSET(DMAV_Dienste!$M$6,E315-1,0)),LEN(CELL("adresse",OFFSET(DMAV_Dienste!$M$6,E315-1,0)))-FIND("]",CELL("adresse",OFFSET(DMAV_Dienste!$M$6,E315-1,0)))),"Dienst")),HYPERLINK("#"&amp;RIGHT(CELL("adresse",OFFSET(DMAV_Modell!$N$6,B315-1,0)),LEN(CELL("adresse",OFFSET(DMAV_Modell!$N$6,B315-1,0)))-FIND("]",CELL("adresse",OFFSET(DMAV_Modell!$N$6,B315-1,0)))),"Modell"))</f>
        <v>Modell</v>
      </c>
      <c r="K315" s="61" t="str" cm="1">
        <f t="array" ref="K315">IF($B315=0,IF($E315=0,"",IF(INDEX(DMAV_Dienste!P$6:P$140,$E315)="","",INDEX(DMAV_Dienste!P$6:P$140,$E315))),IF(INDEX(DMAV_Modell!Q$6:Q$838,$B315)="","",INDEX(DMAV_Modell!Q$6:Q$838,$B315)))</f>
        <v>CLASS</v>
      </c>
      <c r="L315" s="62" t="str" cm="1">
        <f t="array" ref="L315">IF($B315=0,IF($E315=0,"",IF(INDEX(DMAV_Dienste!O$6:O$140,$E315)="","",INDEX(DMAV_Dienste!O$6:O$140,$E315))),IF(INDEX(DMAV_Modell!P$6:P$838,$B315)="","",INDEX(DMAV_Modell!P$6:P$838,$B315)))</f>
        <v>FixpunkteAVKategorie3</v>
      </c>
      <c r="M315" s="62" t="str" cm="1">
        <f t="array" ref="M315">IF($B315=0,IF($E315=0,"",IF(INDEX(DMAV_Dienste!Q$6:Q$140,$E315)="","",INDEX(DMAV_Dienste!Q$6:Q$140,$E315))),IF(INDEX(DMAV_Modell!R$6:R$838,$B315)="","",INDEX(DMAV_Modell!R$6:R$838,$B315)))</f>
        <v>HFP3Nachfuehrung</v>
      </c>
      <c r="N315" s="62" t="str" cm="1">
        <f t="array" ref="N315">IF($B315=0,IF($E315=0,"",IF(INDEX(DMAV_Dienste!T$6:T$140,$E315)="","",INDEX(DMAV_Dienste!T$6:T$140,$E315))),IF(INDEX(DMAV_Modell!U$6:U$838,$B315)="","",INDEX(DMAV_Modell!U$6:U$838,$B315)))</f>
        <v>Beschreibung</v>
      </c>
      <c r="O315" s="63" t="str" cm="1">
        <f t="array" aca="1" ref="O315" ca="1">IF(C315=0,IF(F315=0,"",HYPERLINK("#"&amp;RIGHT(CELL("adresse",OFFSET(DMAV_Dienste!$M$6,F315-1,0)),LEN(CELL("adresse",OFFSET(DMAV_Dienste!$M$6,F315-1,0)))-FIND("]",CELL("adresse",OFFSET(DMAV_Dienste!$M$6,F315-1,0)))),"Structure")),HYPERLINK("#"&amp;RIGHT(CELL("adresse",OFFSET(DMAV_Modell!$N$6,C315-1,0)),LEN(CELL("adresse",OFFSET(DMAV_Modell!$N$6,C315-1,0)))-FIND("]",CELL("adresse",OFFSET(DMAV_Modell!$N$6,C315-1,0)))),"Structure"))</f>
        <v/>
      </c>
      <c r="P315" s="64" t="str" cm="1">
        <f t="array" aca="1" ref="P315" ca="1">IF(D315=0,IF(G315=0,"",HYPERLINK("#"&amp;RIGHT(CELL("adresse",OFFSET(DMAV_Dienste!$M$6,G315-1,0)),LEN(CELL("adresse",OFFSET(DMAV_Dienste!$M$6,G315-1,0)))-FIND("]",CELL("adresse",OFFSET(DMAV_Dienste!$M$6,G315-1,0)))),"Substructure")),HYPERLINK("#"&amp;RIGHT(CELL("adresse",OFFSET(DMAV_Modell!$N$6,D315-1,0)),LEN(CELL("adresse",OFFSET(DMAV_Modell!$N$6,D315-1,0)))-FIND("]",CELL("adresse",OFFSET(DMAV_Modell!$N$6,D315-1,0)))),"Substructure"))</f>
        <v/>
      </c>
      <c r="R315" s="80"/>
      <c r="T315" s="93"/>
      <c r="U315" s="94"/>
      <c r="V315" s="95"/>
      <c r="W315" s="96"/>
      <c r="Y315" s="85"/>
      <c r="Z315" s="86"/>
      <c r="AA315" s="87"/>
      <c r="AB315" s="88"/>
      <c r="AD315" s="77"/>
      <c r="AF315" s="54" t="str" cm="1">
        <f t="array" aca="1" ref="AF315" ca="1">IF(H315=0,"",HYPERLINK("#"&amp;RIGHT(CELL("adresse",OFFSET('DM01-AV-CH'!$G$6,H315-1,0)),LEN(CELL("adresse",OFFSET('DM01-AV-CH'!$G$6,H315-1,0)))-FIND("]",CELL("adresse",OFFSET('DM01-AV-CH'!$G$6,H315-1,0)))),"Modell"))</f>
        <v>Modell</v>
      </c>
      <c r="AG315" s="72" t="str" cm="1">
        <f t="array" ref="AG315">IF($H315=0,"",IF(INDEX('DM01-AV-CH'!G$6:G$834,$H315)="","",INDEX('DM01-AV-CH'!G$6:G$834,$H315)))</f>
        <v>FixpunkteKategorie3</v>
      </c>
      <c r="AH315" s="73" t="str" cm="1">
        <f t="array" ref="AH315">IF($H315=0,"",IF(INDEX('DM01-AV-CH'!H$6:H$834,$H315)="","",INDEX('DM01-AV-CH'!H$6:H$834,$H315)))</f>
        <v>HFP3Nachfuehrung</v>
      </c>
      <c r="AI315" s="74" t="str" cm="1">
        <f t="array" ref="AI315">IF($H315=0,"",IF(INDEX('DM01-AV-CH'!I$6:I$834,$H315)="","",INDEX('DM01-AV-CH'!I$6:I$834,$H315)))</f>
        <v>Beschreibung</v>
      </c>
    </row>
    <row r="316" spans="1:35" x14ac:dyDescent="0.25">
      <c r="A316" s="57">
        <v>311</v>
      </c>
      <c r="B316" s="57">
        <f>IF($A316="","",IF(_xlfn.XLOOKUP($A316,Korrelation!$D$4:$D$1197,Korrelation!E$4:E$1197,"-",0)="-",0,MATCH(_xlfn.XLOOKUP($A316,Korrelation!$D$4:$D$1197,Korrelation!E$4:E$1197,"",0),DMAV_Modell!$G$6:$G$677,0)))</f>
        <v>105</v>
      </c>
      <c r="C316" s="57">
        <f>IF($A316="","",IF(_xlfn.XLOOKUP($A316,Korrelation!$D$4:$D$1197,Korrelation!F$4:F$1197,"-",0)="-",0,MATCH(_xlfn.XLOOKUP($A316,Korrelation!$D$4:$D$1197,Korrelation!F$4:F$1197,"",0),DMAV_Modell!$G$6:$G$677,0)))</f>
        <v>0</v>
      </c>
      <c r="D316" s="57">
        <f>IF($A316="","",IF(_xlfn.XLOOKUP($A316,Korrelation!$D$4:$D$1197,Korrelation!G$4:G$1197,"-",0)="-",0,MATCH(_xlfn.XLOOKUP($A316,Korrelation!$D$4:$D$1197,Korrelation!G$4:G$1197,"",0),DMAV_Modell!$G$6:$G$677,0)))</f>
        <v>0</v>
      </c>
      <c r="E316" s="57">
        <f>IF($A316="","",IF(_xlfn.XLOOKUP($A316,Korrelation!$D$4:$D$1197,Korrelation!H$4:H$1197,"-",0)="-",0,MATCH(_xlfn.XLOOKUP($A316,Korrelation!$D$4:$D$1197,Korrelation!H$4:H$1197,"",0),DMAV_Dienste!$F$6:$F$140,0)))</f>
        <v>0</v>
      </c>
      <c r="F316" s="57">
        <f>IF($A316="","",IF(_xlfn.XLOOKUP($A316,Korrelation!$D$4:$D$1197,Korrelation!I$4:I$1197,"-",0)="-",0,MATCH(_xlfn.XLOOKUP($A316,Korrelation!$D$4:$D$1197,Korrelation!I$4:I$1197,"",0),DMAV_Dienste!$F$6:$F$140,0)))</f>
        <v>0</v>
      </c>
      <c r="G316" s="57">
        <f>IF($A316="","",IF(_xlfn.XLOOKUP($A316,Korrelation!$D$4:$D$1197,Korrelation!J$4:J$1197,"-",0)="-",0,MATCH(_xlfn.XLOOKUP($A316,Korrelation!$D$4:$D$1197,Korrelation!J$4:J$1197,"",0),DMAV_Dienste!$F$6:$F$140,0)))</f>
        <v>0</v>
      </c>
      <c r="H316" s="57">
        <f>IF($A316="","",IF(_xlfn.XLOOKUP($A316,Korrelation!$D$4:$D$1197,Korrelation!K$4:K$1197,"-",0)="-",0,MATCH(_xlfn.XLOOKUP($A316,Korrelation!$D$4:$D$1197,Korrelation!K$4:K$1197,"",0),'DM01-AV-CH'!$A$6:$A$834,0)))</f>
        <v>152</v>
      </c>
      <c r="J316" s="54" t="str" cm="1">
        <f t="array" aca="1" ref="J316" ca="1">IF(B316=0,IF(E316=0,"",HYPERLINK("#"&amp;RIGHT(CELL("adresse",OFFSET(DMAV_Dienste!$M$6,E316-1,0)),LEN(CELL("adresse",OFFSET(DMAV_Dienste!$M$6,E316-1,0)))-FIND("]",CELL("adresse",OFFSET(DMAV_Dienste!$M$6,E316-1,0)))),"Dienst")),HYPERLINK("#"&amp;RIGHT(CELL("adresse",OFFSET(DMAV_Modell!$N$6,B316-1,0)),LEN(CELL("adresse",OFFSET(DMAV_Modell!$N$6,B316-1,0)))-FIND("]",CELL("adresse",OFFSET(DMAV_Modell!$N$6,B316-1,0)))),"Modell"))</f>
        <v>Modell</v>
      </c>
      <c r="K316" s="61" t="str" cm="1">
        <f t="array" ref="K316">IF($B316=0,IF($E316=0,"",IF(INDEX(DMAV_Dienste!P$6:P$140,$E316)="","",INDEX(DMAV_Dienste!P$6:P$140,$E316))),IF(INDEX(DMAV_Modell!Q$6:Q$838,$B316)="","",INDEX(DMAV_Modell!Q$6:Q$838,$B316)))</f>
        <v>CLASS</v>
      </c>
      <c r="L316" s="62" t="str" cm="1">
        <f t="array" ref="L316">IF($B316=0,IF($E316=0,"",IF(INDEX(DMAV_Dienste!O$6:O$140,$E316)="","",INDEX(DMAV_Dienste!O$6:O$140,$E316))),IF(INDEX(DMAV_Modell!P$6:P$838,$B316)="","",INDEX(DMAV_Modell!P$6:P$838,$B316)))</f>
        <v>FixpunkteAVKategorie3</v>
      </c>
      <c r="M316" s="62" t="str" cm="1">
        <f t="array" ref="M316">IF($B316=0,IF($E316=0,"",IF(INDEX(DMAV_Dienste!Q$6:Q$140,$E316)="","",INDEX(DMAV_Dienste!Q$6:Q$140,$E316))),IF(INDEX(DMAV_Modell!R$6:R$838,$B316)="","",INDEX(DMAV_Modell!R$6:R$838,$B316)))</f>
        <v>HFP3Nachfuehrung</v>
      </c>
      <c r="N316" s="62" t="str" cm="1">
        <f t="array" ref="N316">IF($B316=0,IF($E316=0,"",IF(INDEX(DMAV_Dienste!T$6:T$140,$E316)="","",INDEX(DMAV_Dienste!T$6:T$140,$E316))),IF(INDEX(DMAV_Modell!U$6:U$838,$B316)="","",INDEX(DMAV_Modell!U$6:U$838,$B316)))</f>
        <v>Perimeter</v>
      </c>
      <c r="O316" s="63" t="str" cm="1">
        <f t="array" aca="1" ref="O316" ca="1">IF(C316=0,IF(F316=0,"",HYPERLINK("#"&amp;RIGHT(CELL("adresse",OFFSET(DMAV_Dienste!$M$6,F316-1,0)),LEN(CELL("adresse",OFFSET(DMAV_Dienste!$M$6,F316-1,0)))-FIND("]",CELL("adresse",OFFSET(DMAV_Dienste!$M$6,F316-1,0)))),"Structure")),HYPERLINK("#"&amp;RIGHT(CELL("adresse",OFFSET(DMAV_Modell!$N$6,C316-1,0)),LEN(CELL("adresse",OFFSET(DMAV_Modell!$N$6,C316-1,0)))-FIND("]",CELL("adresse",OFFSET(DMAV_Modell!$N$6,C316-1,0)))),"Structure"))</f>
        <v/>
      </c>
      <c r="P316" s="64" t="str" cm="1">
        <f t="array" aca="1" ref="P316" ca="1">IF(D316=0,IF(G316=0,"",HYPERLINK("#"&amp;RIGHT(CELL("adresse",OFFSET(DMAV_Dienste!$M$6,G316-1,0)),LEN(CELL("adresse",OFFSET(DMAV_Dienste!$M$6,G316-1,0)))-FIND("]",CELL("adresse",OFFSET(DMAV_Dienste!$M$6,G316-1,0)))),"Substructure")),HYPERLINK("#"&amp;RIGHT(CELL("adresse",OFFSET(DMAV_Modell!$N$6,D316-1,0)),LEN(CELL("adresse",OFFSET(DMAV_Modell!$N$6,D316-1,0)))-FIND("]",CELL("adresse",OFFSET(DMAV_Modell!$N$6,D316-1,0)))),"Substructure"))</f>
        <v/>
      </c>
      <c r="R316" s="80"/>
      <c r="T316" s="93"/>
      <c r="U316" s="94"/>
      <c r="V316" s="95"/>
      <c r="W316" s="96"/>
      <c r="Y316" s="85"/>
      <c r="Z316" s="86"/>
      <c r="AA316" s="87"/>
      <c r="AB316" s="88"/>
      <c r="AD316" s="77"/>
      <c r="AF316" s="54" t="str" cm="1">
        <f t="array" aca="1" ref="AF316" ca="1">IF(H316=0,"",HYPERLINK("#"&amp;RIGHT(CELL("adresse",OFFSET('DM01-AV-CH'!$G$6,H316-1,0)),LEN(CELL("adresse",OFFSET('DM01-AV-CH'!$G$6,H316-1,0)))-FIND("]",CELL("adresse",OFFSET('DM01-AV-CH'!$G$6,H316-1,0)))),"Modell"))</f>
        <v>Modell</v>
      </c>
      <c r="AG316" s="72" t="str" cm="1">
        <f t="array" ref="AG316">IF($H316=0,"",IF(INDEX('DM01-AV-CH'!G$6:G$834,$H316)="","",INDEX('DM01-AV-CH'!G$6:G$834,$H316)))</f>
        <v>FixpunkteKategorie3</v>
      </c>
      <c r="AH316" s="73" t="str" cm="1">
        <f t="array" ref="AH316">IF($H316=0,"",IF(INDEX('DM01-AV-CH'!H$6:H$834,$H316)="","",INDEX('DM01-AV-CH'!H$6:H$834,$H316)))</f>
        <v>HFP3Nachfuehrung</v>
      </c>
      <c r="AI316" s="74" t="str" cm="1">
        <f t="array" ref="AI316">IF($H316=0,"",IF(INDEX('DM01-AV-CH'!I$6:I$834,$H316)="","",INDEX('DM01-AV-CH'!I$6:I$834,$H316)))</f>
        <v>Perimeter</v>
      </c>
    </row>
    <row r="317" spans="1:35" x14ac:dyDescent="0.25">
      <c r="A317" s="57">
        <v>312</v>
      </c>
      <c r="B317" s="57">
        <f>IF($A317="","",IF(_xlfn.XLOOKUP($A317,Korrelation!$D$4:$D$1197,Korrelation!E$4:E$1197,"-",0)="-",0,MATCH(_xlfn.XLOOKUP($A317,Korrelation!$D$4:$D$1197,Korrelation!E$4:E$1197,"",0),DMAV_Modell!$G$6:$G$677,0)))</f>
        <v>106</v>
      </c>
      <c r="C317" s="57">
        <f>IF($A317="","",IF(_xlfn.XLOOKUP($A317,Korrelation!$D$4:$D$1197,Korrelation!F$4:F$1197,"-",0)="-",0,MATCH(_xlfn.XLOOKUP($A317,Korrelation!$D$4:$D$1197,Korrelation!F$4:F$1197,"",0),DMAV_Modell!$G$6:$G$677,0)))</f>
        <v>0</v>
      </c>
      <c r="D317" s="57">
        <f>IF($A317="","",IF(_xlfn.XLOOKUP($A317,Korrelation!$D$4:$D$1197,Korrelation!G$4:G$1197,"-",0)="-",0,MATCH(_xlfn.XLOOKUP($A317,Korrelation!$D$4:$D$1197,Korrelation!G$4:G$1197,"",0),DMAV_Modell!$G$6:$G$677,0)))</f>
        <v>0</v>
      </c>
      <c r="E317" s="57">
        <f>IF($A317="","",IF(_xlfn.XLOOKUP($A317,Korrelation!$D$4:$D$1197,Korrelation!H$4:H$1197,"-",0)="-",0,MATCH(_xlfn.XLOOKUP($A317,Korrelation!$D$4:$D$1197,Korrelation!H$4:H$1197,"",0),DMAV_Dienste!$F$6:$F$140,0)))</f>
        <v>0</v>
      </c>
      <c r="F317" s="57">
        <f>IF($A317="","",IF(_xlfn.XLOOKUP($A317,Korrelation!$D$4:$D$1197,Korrelation!I$4:I$1197,"-",0)="-",0,MATCH(_xlfn.XLOOKUP($A317,Korrelation!$D$4:$D$1197,Korrelation!I$4:I$1197,"",0),DMAV_Dienste!$F$6:$F$140,0)))</f>
        <v>0</v>
      </c>
      <c r="G317" s="57">
        <f>IF($A317="","",IF(_xlfn.XLOOKUP($A317,Korrelation!$D$4:$D$1197,Korrelation!J$4:J$1197,"-",0)="-",0,MATCH(_xlfn.XLOOKUP($A317,Korrelation!$D$4:$D$1197,Korrelation!J$4:J$1197,"",0),DMAV_Dienste!$F$6:$F$140,0)))</f>
        <v>0</v>
      </c>
      <c r="H317" s="57">
        <f>IF($A317="","",IF(_xlfn.XLOOKUP($A317,Korrelation!$D$4:$D$1197,Korrelation!K$4:K$1197,"-",0)="-",0,MATCH(_xlfn.XLOOKUP($A317,Korrelation!$D$4:$D$1197,Korrelation!K$4:K$1197,"",0),'DM01-AV-CH'!$A$6:$A$834,0)))</f>
        <v>153</v>
      </c>
      <c r="J317" s="54" t="str" cm="1">
        <f t="array" aca="1" ref="J317" ca="1">IF(B317=0,IF(E317=0,"",HYPERLINK("#"&amp;RIGHT(CELL("adresse",OFFSET(DMAV_Dienste!$M$6,E317-1,0)),LEN(CELL("adresse",OFFSET(DMAV_Dienste!$M$6,E317-1,0)))-FIND("]",CELL("adresse",OFFSET(DMAV_Dienste!$M$6,E317-1,0)))),"Dienst")),HYPERLINK("#"&amp;RIGHT(CELL("adresse",OFFSET(DMAV_Modell!$N$6,B317-1,0)),LEN(CELL("adresse",OFFSET(DMAV_Modell!$N$6,B317-1,0)))-FIND("]",CELL("adresse",OFFSET(DMAV_Modell!$N$6,B317-1,0)))),"Modell"))</f>
        <v>Modell</v>
      </c>
      <c r="K317" s="61" t="str" cm="1">
        <f t="array" ref="K317">IF($B317=0,IF($E317=0,"",IF(INDEX(DMAV_Dienste!P$6:P$140,$E317)="","",INDEX(DMAV_Dienste!P$6:P$140,$E317))),IF(INDEX(DMAV_Modell!Q$6:Q$838,$B317)="","",INDEX(DMAV_Modell!Q$6:Q$838,$B317)))</f>
        <v>CLASS</v>
      </c>
      <c r="L317" s="62" t="str" cm="1">
        <f t="array" ref="L317">IF($B317=0,IF($E317=0,"",IF(INDEX(DMAV_Dienste!O$6:O$140,$E317)="","",INDEX(DMAV_Dienste!O$6:O$140,$E317))),IF(INDEX(DMAV_Modell!P$6:P$838,$B317)="","",INDEX(DMAV_Modell!P$6:P$838,$B317)))</f>
        <v>FixpunkteAVKategorie3</v>
      </c>
      <c r="M317" s="62" t="str" cm="1">
        <f t="array" ref="M317">IF($B317=0,IF($E317=0,"",IF(INDEX(DMAV_Dienste!Q$6:Q$140,$E317)="","",INDEX(DMAV_Dienste!Q$6:Q$140,$E317))),IF(INDEX(DMAV_Modell!R$6:R$838,$B317)="","",INDEX(DMAV_Modell!R$6:R$838,$B317)))</f>
        <v>HFP3Nachfuehrung</v>
      </c>
      <c r="N317" s="62" t="str" cm="1">
        <f t="array" ref="N317">IF($B317=0,IF($E317=0,"",IF(INDEX(DMAV_Dienste!T$6:T$140,$E317)="","",INDEX(DMAV_Dienste!T$6:T$140,$E317))),IF(INDEX(DMAV_Modell!U$6:U$838,$B317)="","",INDEX(DMAV_Modell!U$6:U$838,$B317)))</f>
        <v>GueltigerEintrag</v>
      </c>
      <c r="O317" s="63" t="str" cm="1">
        <f t="array" aca="1" ref="O317" ca="1">IF(C317=0,IF(F317=0,"",HYPERLINK("#"&amp;RIGHT(CELL("adresse",OFFSET(DMAV_Dienste!$M$6,F317-1,0)),LEN(CELL("adresse",OFFSET(DMAV_Dienste!$M$6,F317-1,0)))-FIND("]",CELL("adresse",OFFSET(DMAV_Dienste!$M$6,F317-1,0)))),"Structure")),HYPERLINK("#"&amp;RIGHT(CELL("adresse",OFFSET(DMAV_Modell!$N$6,C317-1,0)),LEN(CELL("adresse",OFFSET(DMAV_Modell!$N$6,C317-1,0)))-FIND("]",CELL("adresse",OFFSET(DMAV_Modell!$N$6,C317-1,0)))),"Structure"))</f>
        <v/>
      </c>
      <c r="P317" s="64" t="str" cm="1">
        <f t="array" aca="1" ref="P317" ca="1">IF(D317=0,IF(G317=0,"",HYPERLINK("#"&amp;RIGHT(CELL("adresse",OFFSET(DMAV_Dienste!$M$6,G317-1,0)),LEN(CELL("adresse",OFFSET(DMAV_Dienste!$M$6,G317-1,0)))-FIND("]",CELL("adresse",OFFSET(DMAV_Dienste!$M$6,G317-1,0)))),"Substructure")),HYPERLINK("#"&amp;RIGHT(CELL("adresse",OFFSET(DMAV_Modell!$N$6,D317-1,0)),LEN(CELL("adresse",OFFSET(DMAV_Modell!$N$6,D317-1,0)))-FIND("]",CELL("adresse",OFFSET(DMAV_Modell!$N$6,D317-1,0)))),"Substructure"))</f>
        <v/>
      </c>
      <c r="R317" s="80"/>
      <c r="T317" s="93"/>
      <c r="U317" s="94"/>
      <c r="V317" s="95"/>
      <c r="W317" s="96"/>
      <c r="Y317" s="85"/>
      <c r="Z317" s="86"/>
      <c r="AA317" s="87"/>
      <c r="AB317" s="88"/>
      <c r="AD317" s="77"/>
      <c r="AF317" s="54" t="str" cm="1">
        <f t="array" aca="1" ref="AF317" ca="1">IF(H317=0,"",HYPERLINK("#"&amp;RIGHT(CELL("adresse",OFFSET('DM01-AV-CH'!$G$6,H317-1,0)),LEN(CELL("adresse",OFFSET('DM01-AV-CH'!$G$6,H317-1,0)))-FIND("]",CELL("adresse",OFFSET('DM01-AV-CH'!$G$6,H317-1,0)))),"Modell"))</f>
        <v>Modell</v>
      </c>
      <c r="AG317" s="72" t="str" cm="1">
        <f t="array" ref="AG317">IF($H317=0,"",IF(INDEX('DM01-AV-CH'!G$6:G$834,$H317)="","",INDEX('DM01-AV-CH'!G$6:G$834,$H317)))</f>
        <v>FixpunkteKategorie3</v>
      </c>
      <c r="AH317" s="73" t="str" cm="1">
        <f t="array" ref="AH317">IF($H317=0,"",IF(INDEX('DM01-AV-CH'!H$6:H$834,$H317)="","",INDEX('DM01-AV-CH'!H$6:H$834,$H317)))</f>
        <v>HFP3Nachfuehrung</v>
      </c>
      <c r="AI317" s="74" t="str" cm="1">
        <f t="array" ref="AI317">IF($H317=0,"",IF(INDEX('DM01-AV-CH'!I$6:I$834,$H317)="","",INDEX('DM01-AV-CH'!I$6:I$834,$H317)))</f>
        <v>GueltigerEintrag</v>
      </c>
    </row>
    <row r="318" spans="1:35" ht="28.5" x14ac:dyDescent="0.25">
      <c r="A318" s="57">
        <v>313</v>
      </c>
      <c r="B318" s="57">
        <f>IF($A318="","",IF(_xlfn.XLOOKUP($A318,Korrelation!$D$4:$D$1197,Korrelation!E$4:E$1197,"-",0)="-",0,MATCH(_xlfn.XLOOKUP($A318,Korrelation!$D$4:$D$1197,Korrelation!E$4:E$1197,"",0),DMAV_Modell!$G$6:$G$677,0)))</f>
        <v>106</v>
      </c>
      <c r="C318" s="57">
        <f>IF($A318="","",IF(_xlfn.XLOOKUP($A318,Korrelation!$D$4:$D$1197,Korrelation!F$4:F$1197,"-",0)="-",0,MATCH(_xlfn.XLOOKUP($A318,Korrelation!$D$4:$D$1197,Korrelation!F$4:F$1197,"",0),DMAV_Modell!$G$6:$G$677,0)))</f>
        <v>0</v>
      </c>
      <c r="D318" s="57">
        <f>IF($A318="","",IF(_xlfn.XLOOKUP($A318,Korrelation!$D$4:$D$1197,Korrelation!G$4:G$1197,"-",0)="-",0,MATCH(_xlfn.XLOOKUP($A318,Korrelation!$D$4:$D$1197,Korrelation!G$4:G$1197,"",0),DMAV_Modell!$G$6:$G$677,0)))</f>
        <v>0</v>
      </c>
      <c r="E318" s="57">
        <f>IF($A318="","",IF(_xlfn.XLOOKUP($A318,Korrelation!$D$4:$D$1197,Korrelation!H$4:H$1197,"-",0)="-",0,MATCH(_xlfn.XLOOKUP($A318,Korrelation!$D$4:$D$1197,Korrelation!H$4:H$1197,"",0),DMAV_Dienste!$F$6:$F$140,0)))</f>
        <v>0</v>
      </c>
      <c r="F318" s="57">
        <f>IF($A318="","",IF(_xlfn.XLOOKUP($A318,Korrelation!$D$4:$D$1197,Korrelation!I$4:I$1197,"-",0)="-",0,MATCH(_xlfn.XLOOKUP($A318,Korrelation!$D$4:$D$1197,Korrelation!I$4:I$1197,"",0),DMAV_Dienste!$F$6:$F$140,0)))</f>
        <v>0</v>
      </c>
      <c r="G318" s="57">
        <f>IF($A318="","",IF(_xlfn.XLOOKUP($A318,Korrelation!$D$4:$D$1197,Korrelation!J$4:J$1197,"-",0)="-",0,MATCH(_xlfn.XLOOKUP($A318,Korrelation!$D$4:$D$1197,Korrelation!J$4:J$1197,"",0),DMAV_Dienste!$F$6:$F$140,0)))</f>
        <v>0</v>
      </c>
      <c r="H318" s="57">
        <f>IF($A318="","",IF(_xlfn.XLOOKUP($A318,Korrelation!$D$4:$D$1197,Korrelation!K$4:K$1197,"-",0)="-",0,MATCH(_xlfn.XLOOKUP($A318,Korrelation!$D$4:$D$1197,Korrelation!K$4:K$1197,"",0),'DM01-AV-CH'!$A$6:$A$834,0)))</f>
        <v>154</v>
      </c>
      <c r="J318" s="54" t="str" cm="1">
        <f t="array" aca="1" ref="J318" ca="1">IF(B318=0,IF(E318=0,"",HYPERLINK("#"&amp;RIGHT(CELL("adresse",OFFSET(DMAV_Dienste!$M$6,E318-1,0)),LEN(CELL("adresse",OFFSET(DMAV_Dienste!$M$6,E318-1,0)))-FIND("]",CELL("adresse",OFFSET(DMAV_Dienste!$M$6,E318-1,0)))),"Dienst")),HYPERLINK("#"&amp;RIGHT(CELL("adresse",OFFSET(DMAV_Modell!$N$6,B318-1,0)),LEN(CELL("adresse",OFFSET(DMAV_Modell!$N$6,B318-1,0)))-FIND("]",CELL("adresse",OFFSET(DMAV_Modell!$N$6,B318-1,0)))),"Modell"))</f>
        <v>Modell</v>
      </c>
      <c r="K318" s="61" t="str" cm="1">
        <f t="array" ref="K318">IF($B318=0,IF($E318=0,"",IF(INDEX(DMAV_Dienste!P$6:P$140,$E318)="","",INDEX(DMAV_Dienste!P$6:P$140,$E318))),IF(INDEX(DMAV_Modell!Q$6:Q$838,$B318)="","",INDEX(DMAV_Modell!Q$6:Q$838,$B318)))</f>
        <v>CLASS</v>
      </c>
      <c r="L318" s="62" t="str" cm="1">
        <f t="array" ref="L318">IF($B318=0,IF($E318=0,"",IF(INDEX(DMAV_Dienste!O$6:O$140,$E318)="","",INDEX(DMAV_Dienste!O$6:O$140,$E318))),IF(INDEX(DMAV_Modell!P$6:P$838,$B318)="","",INDEX(DMAV_Modell!P$6:P$838,$B318)))</f>
        <v>FixpunkteAVKategorie3</v>
      </c>
      <c r="M318" s="62" t="str" cm="1">
        <f t="array" ref="M318">IF($B318=0,IF($E318=0,"",IF(INDEX(DMAV_Dienste!Q$6:Q$140,$E318)="","",INDEX(DMAV_Dienste!Q$6:Q$140,$E318))),IF(INDEX(DMAV_Modell!R$6:R$838,$B318)="","",INDEX(DMAV_Modell!R$6:R$838,$B318)))</f>
        <v>HFP3Nachfuehrung</v>
      </c>
      <c r="N318" s="62" t="str" cm="1">
        <f t="array" ref="N318">IF($B318=0,IF($E318=0,"",IF(INDEX(DMAV_Dienste!T$6:T$140,$E318)="","",INDEX(DMAV_Dienste!T$6:T$140,$E318))),IF(INDEX(DMAV_Modell!U$6:U$838,$B318)="","",INDEX(DMAV_Modell!U$6:U$838,$B318)))</f>
        <v>GueltigerEintrag</v>
      </c>
      <c r="O318" s="63" t="str" cm="1">
        <f t="array" aca="1" ref="O318" ca="1">IF(C318=0,IF(F318=0,"",HYPERLINK("#"&amp;RIGHT(CELL("adresse",OFFSET(DMAV_Dienste!$M$6,F318-1,0)),LEN(CELL("adresse",OFFSET(DMAV_Dienste!$M$6,F318-1,0)))-FIND("]",CELL("adresse",OFFSET(DMAV_Dienste!$M$6,F318-1,0)))),"Structure")),HYPERLINK("#"&amp;RIGHT(CELL("adresse",OFFSET(DMAV_Modell!$N$6,C318-1,0)),LEN(CELL("adresse",OFFSET(DMAV_Modell!$N$6,C318-1,0)))-FIND("]",CELL("adresse",OFFSET(DMAV_Modell!$N$6,C318-1,0)))),"Structure"))</f>
        <v/>
      </c>
      <c r="P318" s="64" t="str" cm="1">
        <f t="array" aca="1" ref="P318" ca="1">IF(D318=0,IF(G318=0,"",HYPERLINK("#"&amp;RIGHT(CELL("adresse",OFFSET(DMAV_Dienste!$M$6,G318-1,0)),LEN(CELL("adresse",OFFSET(DMAV_Dienste!$M$6,G318-1,0)))-FIND("]",CELL("adresse",OFFSET(DMAV_Dienste!$M$6,G318-1,0)))),"Substructure")),HYPERLINK("#"&amp;RIGHT(CELL("adresse",OFFSET(DMAV_Modell!$N$6,D318-1,0)),LEN(CELL("adresse",OFFSET(DMAV_Modell!$N$6,D318-1,0)))-FIND("]",CELL("adresse",OFFSET(DMAV_Modell!$N$6,D318-1,0)))),"Substructure"))</f>
        <v/>
      </c>
      <c r="R318" s="80"/>
      <c r="T318" s="93" t="s">
        <v>3323</v>
      </c>
      <c r="U318" s="94"/>
      <c r="V318" s="95"/>
      <c r="W318" s="96"/>
      <c r="Y318" s="85"/>
      <c r="Z318" s="86"/>
      <c r="AA318" s="87"/>
      <c r="AB318" s="88"/>
      <c r="AD318" s="77" t="s">
        <v>3049</v>
      </c>
      <c r="AF318" s="54" t="str" cm="1">
        <f t="array" aca="1" ref="AF318" ca="1">IF(H318=0,"",HYPERLINK("#"&amp;RIGHT(CELL("adresse",OFFSET('DM01-AV-CH'!$G$6,H318-1,0)),LEN(CELL("adresse",OFFSET('DM01-AV-CH'!$G$6,H318-1,0)))-FIND("]",CELL("adresse",OFFSET('DM01-AV-CH'!$G$6,H318-1,0)))),"Modell"))</f>
        <v>Modell</v>
      </c>
      <c r="AG318" s="72" t="str" cm="1">
        <f t="array" ref="AG318">IF($H318=0,"",IF(INDEX('DM01-AV-CH'!G$6:G$834,$H318)="","",INDEX('DM01-AV-CH'!G$6:G$834,$H318)))</f>
        <v>FixpunkteKategorie3</v>
      </c>
      <c r="AH318" s="73" t="str" cm="1">
        <f t="array" ref="AH318">IF($H318=0,"",IF(INDEX('DM01-AV-CH'!H$6:H$834,$H318)="","",INDEX('DM01-AV-CH'!H$6:H$834,$H318)))</f>
        <v>HFP3Nachfuehrung</v>
      </c>
      <c r="AI318" s="74" t="str" cm="1">
        <f t="array" ref="AI318">IF($H318=0,"",IF(INDEX('DM01-AV-CH'!I$6:I$834,$H318)="","",INDEX('DM01-AV-CH'!I$6:I$834,$H318)))</f>
        <v>Datum1</v>
      </c>
    </row>
    <row r="319" spans="1:35" x14ac:dyDescent="0.25">
      <c r="A319" s="57">
        <v>314</v>
      </c>
      <c r="B319" s="57">
        <f>IF($A319="","",IF(_xlfn.XLOOKUP($A319,Korrelation!$D$4:$D$1197,Korrelation!E$4:E$1197,"-",0)="-",0,MATCH(_xlfn.XLOOKUP($A319,Korrelation!$D$4:$D$1197,Korrelation!E$4:E$1197,"",0),DMAV_Modell!$G$6:$G$677,0)))</f>
        <v>0</v>
      </c>
      <c r="C319" s="57">
        <f>IF($A319="","",IF(_xlfn.XLOOKUP($A319,Korrelation!$D$4:$D$1197,Korrelation!F$4:F$1197,"-",0)="-",0,MATCH(_xlfn.XLOOKUP($A319,Korrelation!$D$4:$D$1197,Korrelation!F$4:F$1197,"",0),DMAV_Modell!$G$6:$G$677,0)))</f>
        <v>0</v>
      </c>
      <c r="D319" s="57">
        <f>IF($A319="","",IF(_xlfn.XLOOKUP($A319,Korrelation!$D$4:$D$1197,Korrelation!G$4:G$1197,"-",0)="-",0,MATCH(_xlfn.XLOOKUP($A319,Korrelation!$D$4:$D$1197,Korrelation!G$4:G$1197,"",0),DMAV_Modell!$G$6:$G$677,0)))</f>
        <v>0</v>
      </c>
      <c r="E319" s="57">
        <f>IF($A319="","",IF(_xlfn.XLOOKUP($A319,Korrelation!$D$4:$D$1197,Korrelation!H$4:H$1197,"-",0)="-",0,MATCH(_xlfn.XLOOKUP($A319,Korrelation!$D$4:$D$1197,Korrelation!H$4:H$1197,"",0),DMAV_Dienste!$F$6:$F$140,0)))</f>
        <v>0</v>
      </c>
      <c r="F319" s="57">
        <f>IF($A319="","",IF(_xlfn.XLOOKUP($A319,Korrelation!$D$4:$D$1197,Korrelation!I$4:I$1197,"-",0)="-",0,MATCH(_xlfn.XLOOKUP($A319,Korrelation!$D$4:$D$1197,Korrelation!I$4:I$1197,"",0),DMAV_Dienste!$F$6:$F$140,0)))</f>
        <v>0</v>
      </c>
      <c r="G319" s="57">
        <f>IF($A319="","",IF(_xlfn.XLOOKUP($A319,Korrelation!$D$4:$D$1197,Korrelation!J$4:J$1197,"-",0)="-",0,MATCH(_xlfn.XLOOKUP($A319,Korrelation!$D$4:$D$1197,Korrelation!J$4:J$1197,"",0),DMAV_Dienste!$F$6:$F$140,0)))</f>
        <v>0</v>
      </c>
      <c r="H319" s="57">
        <f>IF($A319="","",IF(_xlfn.XLOOKUP($A319,Korrelation!$D$4:$D$1197,Korrelation!K$4:K$1197,"-",0)="-",0,MATCH(_xlfn.XLOOKUP($A319,Korrelation!$D$4:$D$1197,Korrelation!K$4:K$1197,"",0),'DM01-AV-CH'!$A$6:$A$834,0)))</f>
        <v>155</v>
      </c>
      <c r="J319" s="54" t="str" cm="1">
        <f t="array" aca="1" ref="J319" ca="1">IF(B319=0,IF(E319=0,"",HYPERLINK("#"&amp;RIGHT(CELL("adresse",OFFSET(DMAV_Dienste!$M$6,E319-1,0)),LEN(CELL("adresse",OFFSET(DMAV_Dienste!$M$6,E319-1,0)))-FIND("]",CELL("adresse",OFFSET(DMAV_Dienste!$M$6,E319-1,0)))),"Dienst")),HYPERLINK("#"&amp;RIGHT(CELL("adresse",OFFSET(DMAV_Modell!$N$6,B319-1,0)),LEN(CELL("adresse",OFFSET(DMAV_Modell!$N$6,B319-1,0)))-FIND("]",CELL("adresse",OFFSET(DMAV_Modell!$N$6,B319-1,0)))),"Modell"))</f>
        <v/>
      </c>
      <c r="K319" s="61" t="str" cm="1">
        <f t="array" ref="K319">IF($B319=0,IF($E319=0,"",IF(INDEX(DMAV_Dienste!P$6:P$140,$E319)="","",INDEX(DMAV_Dienste!P$6:P$140,$E319))),IF(INDEX(DMAV_Modell!Q$6:Q$838,$B319)="","",INDEX(DMAV_Modell!Q$6:Q$838,$B319)))</f>
        <v/>
      </c>
      <c r="L319" s="62" t="str" cm="1">
        <f t="array" ref="L319">IF($B319=0,IF($E319=0,"",IF(INDEX(DMAV_Dienste!O$6:O$140,$E319)="","",INDEX(DMAV_Dienste!O$6:O$140,$E319))),IF(INDEX(DMAV_Modell!P$6:P$838,$B319)="","",INDEX(DMAV_Modell!P$6:P$838,$B319)))</f>
        <v/>
      </c>
      <c r="M319" s="62" t="str" cm="1">
        <f t="array" ref="M319">IF($B319=0,IF($E319=0,"",IF(INDEX(DMAV_Dienste!Q$6:Q$140,$E319)="","",INDEX(DMAV_Dienste!Q$6:Q$140,$E319))),IF(INDEX(DMAV_Modell!R$6:R$838,$B319)="","",INDEX(DMAV_Modell!R$6:R$838,$B319)))</f>
        <v/>
      </c>
      <c r="N319" s="62" t="str" cm="1">
        <f t="array" ref="N319">IF($B319=0,IF($E319=0,"",IF(INDEX(DMAV_Dienste!T$6:T$140,$E319)="","",INDEX(DMAV_Dienste!T$6:T$140,$E319))),IF(INDEX(DMAV_Modell!U$6:U$838,$B319)="","",INDEX(DMAV_Modell!U$6:U$838,$B319)))</f>
        <v/>
      </c>
      <c r="O319" s="63" t="str" cm="1">
        <f t="array" aca="1" ref="O319" ca="1">IF(C319=0,IF(F319=0,"",HYPERLINK("#"&amp;RIGHT(CELL("adresse",OFFSET(DMAV_Dienste!$M$6,F319-1,0)),LEN(CELL("adresse",OFFSET(DMAV_Dienste!$M$6,F319-1,0)))-FIND("]",CELL("adresse",OFFSET(DMAV_Dienste!$M$6,F319-1,0)))),"Structure")),HYPERLINK("#"&amp;RIGHT(CELL("adresse",OFFSET(DMAV_Modell!$N$6,C319-1,0)),LEN(CELL("adresse",OFFSET(DMAV_Modell!$N$6,C319-1,0)))-FIND("]",CELL("adresse",OFFSET(DMAV_Modell!$N$6,C319-1,0)))),"Structure"))</f>
        <v/>
      </c>
      <c r="P319" s="64" t="str" cm="1">
        <f t="array" aca="1" ref="P319" ca="1">IF(D319=0,IF(G319=0,"",HYPERLINK("#"&amp;RIGHT(CELL("adresse",OFFSET(DMAV_Dienste!$M$6,G319-1,0)),LEN(CELL("adresse",OFFSET(DMAV_Dienste!$M$6,G319-1,0)))-FIND("]",CELL("adresse",OFFSET(DMAV_Dienste!$M$6,G319-1,0)))),"Substructure")),HYPERLINK("#"&amp;RIGHT(CELL("adresse",OFFSET(DMAV_Modell!$N$6,D319-1,0)),LEN(CELL("adresse",OFFSET(DMAV_Modell!$N$6,D319-1,0)))-FIND("]",CELL("adresse",OFFSET(DMAV_Modell!$N$6,D319-1,0)))),"Substructure"))</f>
        <v/>
      </c>
      <c r="R319" s="80"/>
      <c r="T319" s="93"/>
      <c r="U319" s="94"/>
      <c r="V319" s="95"/>
      <c r="W319" s="96"/>
      <c r="Y319" s="85"/>
      <c r="Z319" s="86"/>
      <c r="AA319" s="87"/>
      <c r="AB319" s="88"/>
      <c r="AD319" s="77"/>
      <c r="AF319" s="54" t="str" cm="1">
        <f t="array" aca="1" ref="AF319" ca="1">IF(H319=0,"",HYPERLINK("#"&amp;RIGHT(CELL("adresse",OFFSET('DM01-AV-CH'!$G$6,H319-1,0)),LEN(CELL("adresse",OFFSET('DM01-AV-CH'!$G$6,H319-1,0)))-FIND("]",CELL("adresse",OFFSET('DM01-AV-CH'!$G$6,H319-1,0)))),"Modell"))</f>
        <v>Modell</v>
      </c>
      <c r="AG319" s="72" t="str" cm="1">
        <f t="array" ref="AG319">IF($H319=0,"",IF(INDEX('DM01-AV-CH'!G$6:G$834,$H319)="","",INDEX('DM01-AV-CH'!G$6:G$834,$H319)))</f>
        <v>FixpunkteKategorie3</v>
      </c>
      <c r="AH319" s="73" t="str" cm="1">
        <f t="array" ref="AH319">IF($H319=0,"",IF(INDEX('DM01-AV-CH'!H$6:H$834,$H319)="","",INDEX('DM01-AV-CH'!H$6:H$834,$H319)))</f>
        <v>HFP3</v>
      </c>
      <c r="AI319" s="74" t="str" cm="1">
        <f t="array" ref="AI319">IF($H319=0,"",IF(INDEX('DM01-AV-CH'!I$6:I$834,$H319)="","",INDEX('DM01-AV-CH'!I$6:I$834,$H319)))</f>
        <v>Entstehung</v>
      </c>
    </row>
    <row r="320" spans="1:35" x14ac:dyDescent="0.25">
      <c r="A320" s="57">
        <v>315</v>
      </c>
      <c r="B320" s="57">
        <f>IF($A320="","",IF(_xlfn.XLOOKUP($A320,Korrelation!$D$4:$D$1197,Korrelation!E$4:E$1197,"-",0)="-",0,MATCH(_xlfn.XLOOKUP($A320,Korrelation!$D$4:$D$1197,Korrelation!E$4:E$1197,"",0),DMAV_Modell!$G$6:$G$677,0)))</f>
        <v>107</v>
      </c>
      <c r="C320" s="57">
        <f>IF($A320="","",IF(_xlfn.XLOOKUP($A320,Korrelation!$D$4:$D$1197,Korrelation!F$4:F$1197,"-",0)="-",0,MATCH(_xlfn.XLOOKUP($A320,Korrelation!$D$4:$D$1197,Korrelation!F$4:F$1197,"",0),DMAV_Modell!$G$6:$G$677,0)))</f>
        <v>0</v>
      </c>
      <c r="D320" s="57">
        <f>IF($A320="","",IF(_xlfn.XLOOKUP($A320,Korrelation!$D$4:$D$1197,Korrelation!G$4:G$1197,"-",0)="-",0,MATCH(_xlfn.XLOOKUP($A320,Korrelation!$D$4:$D$1197,Korrelation!G$4:G$1197,"",0),DMAV_Modell!$G$6:$G$677,0)))</f>
        <v>0</v>
      </c>
      <c r="E320" s="57">
        <f>IF($A320="","",IF(_xlfn.XLOOKUP($A320,Korrelation!$D$4:$D$1197,Korrelation!H$4:H$1197,"-",0)="-",0,MATCH(_xlfn.XLOOKUP($A320,Korrelation!$D$4:$D$1197,Korrelation!H$4:H$1197,"",0),DMAV_Dienste!$F$6:$F$140,0)))</f>
        <v>0</v>
      </c>
      <c r="F320" s="57">
        <f>IF($A320="","",IF(_xlfn.XLOOKUP($A320,Korrelation!$D$4:$D$1197,Korrelation!I$4:I$1197,"-",0)="-",0,MATCH(_xlfn.XLOOKUP($A320,Korrelation!$D$4:$D$1197,Korrelation!I$4:I$1197,"",0),DMAV_Dienste!$F$6:$F$140,0)))</f>
        <v>0</v>
      </c>
      <c r="G320" s="57">
        <f>IF($A320="","",IF(_xlfn.XLOOKUP($A320,Korrelation!$D$4:$D$1197,Korrelation!J$4:J$1197,"-",0)="-",0,MATCH(_xlfn.XLOOKUP($A320,Korrelation!$D$4:$D$1197,Korrelation!J$4:J$1197,"",0),DMAV_Dienste!$F$6:$F$140,0)))</f>
        <v>0</v>
      </c>
      <c r="H320" s="57">
        <f>IF($A320="","",IF(_xlfn.XLOOKUP($A320,Korrelation!$D$4:$D$1197,Korrelation!K$4:K$1197,"-",0)="-",0,MATCH(_xlfn.XLOOKUP($A320,Korrelation!$D$4:$D$1197,Korrelation!K$4:K$1197,"",0),'DM01-AV-CH'!$A$6:$A$834,0)))</f>
        <v>156</v>
      </c>
      <c r="J320" s="54" t="str" cm="1">
        <f t="array" aca="1" ref="J320" ca="1">IF(B320=0,IF(E320=0,"",HYPERLINK("#"&amp;RIGHT(CELL("adresse",OFFSET(DMAV_Dienste!$M$6,E320-1,0)),LEN(CELL("adresse",OFFSET(DMAV_Dienste!$M$6,E320-1,0)))-FIND("]",CELL("adresse",OFFSET(DMAV_Dienste!$M$6,E320-1,0)))),"Dienst")),HYPERLINK("#"&amp;RIGHT(CELL("adresse",OFFSET(DMAV_Modell!$N$6,B320-1,0)),LEN(CELL("adresse",OFFSET(DMAV_Modell!$N$6,B320-1,0)))-FIND("]",CELL("adresse",OFFSET(DMAV_Modell!$N$6,B320-1,0)))),"Modell"))</f>
        <v>Modell</v>
      </c>
      <c r="K320" s="61" t="str" cm="1">
        <f t="array" ref="K320">IF($B320=0,IF($E320=0,"",IF(INDEX(DMAV_Dienste!P$6:P$140,$E320)="","",INDEX(DMAV_Dienste!P$6:P$140,$E320))),IF(INDEX(DMAV_Modell!Q$6:Q$838,$B320)="","",INDEX(DMAV_Modell!Q$6:Q$838,$B320)))</f>
        <v>CLASS</v>
      </c>
      <c r="L320" s="62" t="str" cm="1">
        <f t="array" ref="L320">IF($B320=0,IF($E320=0,"",IF(INDEX(DMAV_Dienste!O$6:O$140,$E320)="","",INDEX(DMAV_Dienste!O$6:O$140,$E320))),IF(INDEX(DMAV_Modell!P$6:P$838,$B320)="","",INDEX(DMAV_Modell!P$6:P$838,$B320)))</f>
        <v>FixpunkteAVKategorie3</v>
      </c>
      <c r="M320" s="62" t="str" cm="1">
        <f t="array" ref="M320">IF($B320=0,IF($E320=0,"",IF(INDEX(DMAV_Dienste!Q$6:Q$140,$E320)="","",INDEX(DMAV_Dienste!Q$6:Q$140,$E320))),IF(INDEX(DMAV_Modell!R$6:R$838,$B320)="","",INDEX(DMAV_Modell!R$6:R$838,$B320)))</f>
        <v>HFP3</v>
      </c>
      <c r="N320" s="62" t="str" cm="1">
        <f t="array" ref="N320">IF($B320=0,IF($E320=0,"",IF(INDEX(DMAV_Dienste!T$6:T$140,$E320)="","",INDEX(DMAV_Dienste!T$6:T$140,$E320))),IF(INDEX(DMAV_Modell!U$6:U$838,$B320)="","",INDEX(DMAV_Modell!U$6:U$838,$B320)))</f>
        <v>NBIdent</v>
      </c>
      <c r="O320" s="63" t="str" cm="1">
        <f t="array" aca="1" ref="O320" ca="1">IF(C320=0,IF(F320=0,"",HYPERLINK("#"&amp;RIGHT(CELL("adresse",OFFSET(DMAV_Dienste!$M$6,F320-1,0)),LEN(CELL("adresse",OFFSET(DMAV_Dienste!$M$6,F320-1,0)))-FIND("]",CELL("adresse",OFFSET(DMAV_Dienste!$M$6,F320-1,0)))),"Structure")),HYPERLINK("#"&amp;RIGHT(CELL("adresse",OFFSET(DMAV_Modell!$N$6,C320-1,0)),LEN(CELL("adresse",OFFSET(DMAV_Modell!$N$6,C320-1,0)))-FIND("]",CELL("adresse",OFFSET(DMAV_Modell!$N$6,C320-1,0)))),"Structure"))</f>
        <v/>
      </c>
      <c r="P320" s="64" t="str" cm="1">
        <f t="array" aca="1" ref="P320" ca="1">IF(D320=0,IF(G320=0,"",HYPERLINK("#"&amp;RIGHT(CELL("adresse",OFFSET(DMAV_Dienste!$M$6,G320-1,0)),LEN(CELL("adresse",OFFSET(DMAV_Dienste!$M$6,G320-1,0)))-FIND("]",CELL("adresse",OFFSET(DMAV_Dienste!$M$6,G320-1,0)))),"Substructure")),HYPERLINK("#"&amp;RIGHT(CELL("adresse",OFFSET(DMAV_Modell!$N$6,D320-1,0)),LEN(CELL("adresse",OFFSET(DMAV_Modell!$N$6,D320-1,0)))-FIND("]",CELL("adresse",OFFSET(DMAV_Modell!$N$6,D320-1,0)))),"Substructure"))</f>
        <v/>
      </c>
      <c r="R320" s="80"/>
      <c r="T320" s="93"/>
      <c r="U320" s="94"/>
      <c r="V320" s="95"/>
      <c r="W320" s="96"/>
      <c r="Y320" s="85"/>
      <c r="Z320" s="86"/>
      <c r="AA320" s="87"/>
      <c r="AB320" s="88"/>
      <c r="AD320" s="77"/>
      <c r="AF320" s="54" t="str" cm="1">
        <f t="array" aca="1" ref="AF320" ca="1">IF(H320=0,"",HYPERLINK("#"&amp;RIGHT(CELL("adresse",OFFSET('DM01-AV-CH'!$G$6,H320-1,0)),LEN(CELL("adresse",OFFSET('DM01-AV-CH'!$G$6,H320-1,0)))-FIND("]",CELL("adresse",OFFSET('DM01-AV-CH'!$G$6,H320-1,0)))),"Modell"))</f>
        <v>Modell</v>
      </c>
      <c r="AG320" s="72" t="str" cm="1">
        <f t="array" ref="AG320">IF($H320=0,"",IF(INDEX('DM01-AV-CH'!G$6:G$834,$H320)="","",INDEX('DM01-AV-CH'!G$6:G$834,$H320)))</f>
        <v>FixpunkteKategorie3</v>
      </c>
      <c r="AH320" s="73" t="str" cm="1">
        <f t="array" ref="AH320">IF($H320=0,"",IF(INDEX('DM01-AV-CH'!H$6:H$834,$H320)="","",INDEX('DM01-AV-CH'!H$6:H$834,$H320)))</f>
        <v>HFP3</v>
      </c>
      <c r="AI320" s="74" t="str" cm="1">
        <f t="array" ref="AI320">IF($H320=0,"",IF(INDEX('DM01-AV-CH'!I$6:I$834,$H320)="","",INDEX('DM01-AV-CH'!I$6:I$834,$H320)))</f>
        <v>NBIdent</v>
      </c>
    </row>
    <row r="321" spans="1:35" x14ac:dyDescent="0.25">
      <c r="A321" s="57">
        <v>316</v>
      </c>
      <c r="B321" s="57">
        <f>IF($A321="","",IF(_xlfn.XLOOKUP($A321,Korrelation!$D$4:$D$1197,Korrelation!E$4:E$1197,"-",0)="-",0,MATCH(_xlfn.XLOOKUP($A321,Korrelation!$D$4:$D$1197,Korrelation!E$4:E$1197,"",0),DMAV_Modell!$G$6:$G$677,0)))</f>
        <v>108</v>
      </c>
      <c r="C321" s="57">
        <f>IF($A321="","",IF(_xlfn.XLOOKUP($A321,Korrelation!$D$4:$D$1197,Korrelation!F$4:F$1197,"-",0)="-",0,MATCH(_xlfn.XLOOKUP($A321,Korrelation!$D$4:$D$1197,Korrelation!F$4:F$1197,"",0),DMAV_Modell!$G$6:$G$677,0)))</f>
        <v>0</v>
      </c>
      <c r="D321" s="57">
        <f>IF($A321="","",IF(_xlfn.XLOOKUP($A321,Korrelation!$D$4:$D$1197,Korrelation!G$4:G$1197,"-",0)="-",0,MATCH(_xlfn.XLOOKUP($A321,Korrelation!$D$4:$D$1197,Korrelation!G$4:G$1197,"",0),DMAV_Modell!$G$6:$G$677,0)))</f>
        <v>0</v>
      </c>
      <c r="E321" s="57">
        <f>IF($A321="","",IF(_xlfn.XLOOKUP($A321,Korrelation!$D$4:$D$1197,Korrelation!H$4:H$1197,"-",0)="-",0,MATCH(_xlfn.XLOOKUP($A321,Korrelation!$D$4:$D$1197,Korrelation!H$4:H$1197,"",0),DMAV_Dienste!$F$6:$F$140,0)))</f>
        <v>0</v>
      </c>
      <c r="F321" s="57">
        <f>IF($A321="","",IF(_xlfn.XLOOKUP($A321,Korrelation!$D$4:$D$1197,Korrelation!I$4:I$1197,"-",0)="-",0,MATCH(_xlfn.XLOOKUP($A321,Korrelation!$D$4:$D$1197,Korrelation!I$4:I$1197,"",0),DMAV_Dienste!$F$6:$F$140,0)))</f>
        <v>0</v>
      </c>
      <c r="G321" s="57">
        <f>IF($A321="","",IF(_xlfn.XLOOKUP($A321,Korrelation!$D$4:$D$1197,Korrelation!J$4:J$1197,"-",0)="-",0,MATCH(_xlfn.XLOOKUP($A321,Korrelation!$D$4:$D$1197,Korrelation!J$4:J$1197,"",0),DMAV_Dienste!$F$6:$F$140,0)))</f>
        <v>0</v>
      </c>
      <c r="H321" s="57">
        <f>IF($A321="","",IF(_xlfn.XLOOKUP($A321,Korrelation!$D$4:$D$1197,Korrelation!K$4:K$1197,"-",0)="-",0,MATCH(_xlfn.XLOOKUP($A321,Korrelation!$D$4:$D$1197,Korrelation!K$4:K$1197,"",0),'DM01-AV-CH'!$A$6:$A$834,0)))</f>
        <v>157</v>
      </c>
      <c r="J321" s="54" t="str" cm="1">
        <f t="array" aca="1" ref="J321" ca="1">IF(B321=0,IF(E321=0,"",HYPERLINK("#"&amp;RIGHT(CELL("adresse",OFFSET(DMAV_Dienste!$M$6,E321-1,0)),LEN(CELL("adresse",OFFSET(DMAV_Dienste!$M$6,E321-1,0)))-FIND("]",CELL("adresse",OFFSET(DMAV_Dienste!$M$6,E321-1,0)))),"Dienst")),HYPERLINK("#"&amp;RIGHT(CELL("adresse",OFFSET(DMAV_Modell!$N$6,B321-1,0)),LEN(CELL("adresse",OFFSET(DMAV_Modell!$N$6,B321-1,0)))-FIND("]",CELL("adresse",OFFSET(DMAV_Modell!$N$6,B321-1,0)))),"Modell"))</f>
        <v>Modell</v>
      </c>
      <c r="K321" s="61" t="str" cm="1">
        <f t="array" ref="K321">IF($B321=0,IF($E321=0,"",IF(INDEX(DMAV_Dienste!P$6:P$140,$E321)="","",INDEX(DMAV_Dienste!P$6:P$140,$E321))),IF(INDEX(DMAV_Modell!Q$6:Q$838,$B321)="","",INDEX(DMAV_Modell!Q$6:Q$838,$B321)))</f>
        <v>CLASS</v>
      </c>
      <c r="L321" s="62" t="str" cm="1">
        <f t="array" ref="L321">IF($B321=0,IF($E321=0,"",IF(INDEX(DMAV_Dienste!O$6:O$140,$E321)="","",INDEX(DMAV_Dienste!O$6:O$140,$E321))),IF(INDEX(DMAV_Modell!P$6:P$838,$B321)="","",INDEX(DMAV_Modell!P$6:P$838,$B321)))</f>
        <v>FixpunkteAVKategorie3</v>
      </c>
      <c r="M321" s="62" t="str" cm="1">
        <f t="array" ref="M321">IF($B321=0,IF($E321=0,"",IF(INDEX(DMAV_Dienste!Q$6:Q$140,$E321)="","",INDEX(DMAV_Dienste!Q$6:Q$140,$E321))),IF(INDEX(DMAV_Modell!R$6:R$838,$B321)="","",INDEX(DMAV_Modell!R$6:R$838,$B321)))</f>
        <v>HFP3</v>
      </c>
      <c r="N321" s="62" t="str" cm="1">
        <f t="array" ref="N321">IF($B321=0,IF($E321=0,"",IF(INDEX(DMAV_Dienste!T$6:T$140,$E321)="","",INDEX(DMAV_Dienste!T$6:T$140,$E321))),IF(INDEX(DMAV_Modell!U$6:U$838,$B321)="","",INDEX(DMAV_Modell!U$6:U$838,$B321)))</f>
        <v>Nummer</v>
      </c>
      <c r="O321" s="63" t="str" cm="1">
        <f t="array" aca="1" ref="O321" ca="1">IF(C321=0,IF(F321=0,"",HYPERLINK("#"&amp;RIGHT(CELL("adresse",OFFSET(DMAV_Dienste!$M$6,F321-1,0)),LEN(CELL("adresse",OFFSET(DMAV_Dienste!$M$6,F321-1,0)))-FIND("]",CELL("adresse",OFFSET(DMAV_Dienste!$M$6,F321-1,0)))),"Structure")),HYPERLINK("#"&amp;RIGHT(CELL("adresse",OFFSET(DMAV_Modell!$N$6,C321-1,0)),LEN(CELL("adresse",OFFSET(DMAV_Modell!$N$6,C321-1,0)))-FIND("]",CELL("adresse",OFFSET(DMAV_Modell!$N$6,C321-1,0)))),"Structure"))</f>
        <v/>
      </c>
      <c r="P321" s="64" t="str" cm="1">
        <f t="array" aca="1" ref="P321" ca="1">IF(D321=0,IF(G321=0,"",HYPERLINK("#"&amp;RIGHT(CELL("adresse",OFFSET(DMAV_Dienste!$M$6,G321-1,0)),LEN(CELL("adresse",OFFSET(DMAV_Dienste!$M$6,G321-1,0)))-FIND("]",CELL("adresse",OFFSET(DMAV_Dienste!$M$6,G321-1,0)))),"Substructure")),HYPERLINK("#"&amp;RIGHT(CELL("adresse",OFFSET(DMAV_Modell!$N$6,D321-1,0)),LEN(CELL("adresse",OFFSET(DMAV_Modell!$N$6,D321-1,0)))-FIND("]",CELL("adresse",OFFSET(DMAV_Modell!$N$6,D321-1,0)))),"Substructure"))</f>
        <v/>
      </c>
      <c r="R321" s="80"/>
      <c r="T321" s="93"/>
      <c r="U321" s="94"/>
      <c r="V321" s="95"/>
      <c r="W321" s="96"/>
      <c r="Y321" s="85"/>
      <c r="Z321" s="86"/>
      <c r="AA321" s="87"/>
      <c r="AB321" s="88"/>
      <c r="AD321" s="77"/>
      <c r="AF321" s="54" t="str" cm="1">
        <f t="array" aca="1" ref="AF321" ca="1">IF(H321=0,"",HYPERLINK("#"&amp;RIGHT(CELL("adresse",OFFSET('DM01-AV-CH'!$G$6,H321-1,0)),LEN(CELL("adresse",OFFSET('DM01-AV-CH'!$G$6,H321-1,0)))-FIND("]",CELL("adresse",OFFSET('DM01-AV-CH'!$G$6,H321-1,0)))),"Modell"))</f>
        <v>Modell</v>
      </c>
      <c r="AG321" s="72" t="str" cm="1">
        <f t="array" ref="AG321">IF($H321=0,"",IF(INDEX('DM01-AV-CH'!G$6:G$834,$H321)="","",INDEX('DM01-AV-CH'!G$6:G$834,$H321)))</f>
        <v>FixpunkteKategorie3</v>
      </c>
      <c r="AH321" s="73" t="str" cm="1">
        <f t="array" ref="AH321">IF($H321=0,"",IF(INDEX('DM01-AV-CH'!H$6:H$834,$H321)="","",INDEX('DM01-AV-CH'!H$6:H$834,$H321)))</f>
        <v>HFP3</v>
      </c>
      <c r="AI321" s="74" t="str" cm="1">
        <f t="array" ref="AI321">IF($H321=0,"",IF(INDEX('DM01-AV-CH'!I$6:I$834,$H321)="","",INDEX('DM01-AV-CH'!I$6:I$834,$H321)))</f>
        <v>Nummer</v>
      </c>
    </row>
    <row r="322" spans="1:35" x14ac:dyDescent="0.25">
      <c r="A322" s="57">
        <v>317</v>
      </c>
      <c r="B322" s="57">
        <f>IF($A322="","",IF(_xlfn.XLOOKUP($A322,Korrelation!$D$4:$D$1197,Korrelation!E$4:E$1197,"-",0)="-",0,MATCH(_xlfn.XLOOKUP($A322,Korrelation!$D$4:$D$1197,Korrelation!E$4:E$1197,"",0),DMAV_Modell!$G$6:$G$677,0)))</f>
        <v>109</v>
      </c>
      <c r="C322" s="57">
        <f>IF($A322="","",IF(_xlfn.XLOOKUP($A322,Korrelation!$D$4:$D$1197,Korrelation!F$4:F$1197,"-",0)="-",0,MATCH(_xlfn.XLOOKUP($A322,Korrelation!$D$4:$D$1197,Korrelation!F$4:F$1197,"",0),DMAV_Modell!$G$6:$G$677,0)))</f>
        <v>0</v>
      </c>
      <c r="D322" s="57">
        <f>IF($A322="","",IF(_xlfn.XLOOKUP($A322,Korrelation!$D$4:$D$1197,Korrelation!G$4:G$1197,"-",0)="-",0,MATCH(_xlfn.XLOOKUP($A322,Korrelation!$D$4:$D$1197,Korrelation!G$4:G$1197,"",0),DMAV_Modell!$G$6:$G$677,0)))</f>
        <v>0</v>
      </c>
      <c r="E322" s="57">
        <f>IF($A322="","",IF(_xlfn.XLOOKUP($A322,Korrelation!$D$4:$D$1197,Korrelation!H$4:H$1197,"-",0)="-",0,MATCH(_xlfn.XLOOKUP($A322,Korrelation!$D$4:$D$1197,Korrelation!H$4:H$1197,"",0),DMAV_Dienste!$F$6:$F$140,0)))</f>
        <v>0</v>
      </c>
      <c r="F322" s="57">
        <f>IF($A322="","",IF(_xlfn.XLOOKUP($A322,Korrelation!$D$4:$D$1197,Korrelation!I$4:I$1197,"-",0)="-",0,MATCH(_xlfn.XLOOKUP($A322,Korrelation!$D$4:$D$1197,Korrelation!I$4:I$1197,"",0),DMAV_Dienste!$F$6:$F$140,0)))</f>
        <v>0</v>
      </c>
      <c r="G322" s="57">
        <f>IF($A322="","",IF(_xlfn.XLOOKUP($A322,Korrelation!$D$4:$D$1197,Korrelation!J$4:J$1197,"-",0)="-",0,MATCH(_xlfn.XLOOKUP($A322,Korrelation!$D$4:$D$1197,Korrelation!J$4:J$1197,"",0),DMAV_Dienste!$F$6:$F$140,0)))</f>
        <v>0</v>
      </c>
      <c r="H322" s="57">
        <f>IF($A322="","",IF(_xlfn.XLOOKUP($A322,Korrelation!$D$4:$D$1197,Korrelation!K$4:K$1197,"-",0)="-",0,MATCH(_xlfn.XLOOKUP($A322,Korrelation!$D$4:$D$1197,Korrelation!K$4:K$1197,"",0),'DM01-AV-CH'!$A$6:$A$834,0)))</f>
        <v>158</v>
      </c>
      <c r="J322" s="54" t="str" cm="1">
        <f t="array" aca="1" ref="J322" ca="1">IF(B322=0,IF(E322=0,"",HYPERLINK("#"&amp;RIGHT(CELL("adresse",OFFSET(DMAV_Dienste!$M$6,E322-1,0)),LEN(CELL("adresse",OFFSET(DMAV_Dienste!$M$6,E322-1,0)))-FIND("]",CELL("adresse",OFFSET(DMAV_Dienste!$M$6,E322-1,0)))),"Dienst")),HYPERLINK("#"&amp;RIGHT(CELL("adresse",OFFSET(DMAV_Modell!$N$6,B322-1,0)),LEN(CELL("adresse",OFFSET(DMAV_Modell!$N$6,B322-1,0)))-FIND("]",CELL("adresse",OFFSET(DMAV_Modell!$N$6,B322-1,0)))),"Modell"))</f>
        <v>Modell</v>
      </c>
      <c r="K322" s="61" t="str" cm="1">
        <f t="array" ref="K322">IF($B322=0,IF($E322=0,"",IF(INDEX(DMAV_Dienste!P$6:P$140,$E322)="","",INDEX(DMAV_Dienste!P$6:P$140,$E322))),IF(INDEX(DMAV_Modell!Q$6:Q$838,$B322)="","",INDEX(DMAV_Modell!Q$6:Q$838,$B322)))</f>
        <v>CLASS</v>
      </c>
      <c r="L322" s="62" t="str" cm="1">
        <f t="array" ref="L322">IF($B322=0,IF($E322=0,"",IF(INDEX(DMAV_Dienste!O$6:O$140,$E322)="","",INDEX(DMAV_Dienste!O$6:O$140,$E322))),IF(INDEX(DMAV_Modell!P$6:P$838,$B322)="","",INDEX(DMAV_Modell!P$6:P$838,$B322)))</f>
        <v>FixpunkteAVKategorie3</v>
      </c>
      <c r="M322" s="62" t="str" cm="1">
        <f t="array" ref="M322">IF($B322=0,IF($E322=0,"",IF(INDEX(DMAV_Dienste!Q$6:Q$140,$E322)="","",INDEX(DMAV_Dienste!Q$6:Q$140,$E322))),IF(INDEX(DMAV_Modell!R$6:R$838,$B322)="","",INDEX(DMAV_Modell!R$6:R$838,$B322)))</f>
        <v>HFP3</v>
      </c>
      <c r="N322" s="62" t="str" cm="1">
        <f t="array" ref="N322">IF($B322=0,IF($E322=0,"",IF(INDEX(DMAV_Dienste!T$6:T$140,$E322)="","",INDEX(DMAV_Dienste!T$6:T$140,$E322))),IF(INDEX(DMAV_Modell!U$6:U$838,$B322)="","",INDEX(DMAV_Modell!U$6:U$838,$B322)))</f>
        <v>Geometrie</v>
      </c>
      <c r="O322" s="63" t="str" cm="1">
        <f t="array" aca="1" ref="O322" ca="1">IF(C322=0,IF(F322=0,"",HYPERLINK("#"&amp;RIGHT(CELL("adresse",OFFSET(DMAV_Dienste!$M$6,F322-1,0)),LEN(CELL("adresse",OFFSET(DMAV_Dienste!$M$6,F322-1,0)))-FIND("]",CELL("adresse",OFFSET(DMAV_Dienste!$M$6,F322-1,0)))),"Structure")),HYPERLINK("#"&amp;RIGHT(CELL("adresse",OFFSET(DMAV_Modell!$N$6,C322-1,0)),LEN(CELL("adresse",OFFSET(DMAV_Modell!$N$6,C322-1,0)))-FIND("]",CELL("adresse",OFFSET(DMAV_Modell!$N$6,C322-1,0)))),"Structure"))</f>
        <v/>
      </c>
      <c r="P322" s="64" t="str" cm="1">
        <f t="array" aca="1" ref="P322" ca="1">IF(D322=0,IF(G322=0,"",HYPERLINK("#"&amp;RIGHT(CELL("adresse",OFFSET(DMAV_Dienste!$M$6,G322-1,0)),LEN(CELL("adresse",OFFSET(DMAV_Dienste!$M$6,G322-1,0)))-FIND("]",CELL("adresse",OFFSET(DMAV_Dienste!$M$6,G322-1,0)))),"Substructure")),HYPERLINK("#"&amp;RIGHT(CELL("adresse",OFFSET(DMAV_Modell!$N$6,D322-1,0)),LEN(CELL("adresse",OFFSET(DMAV_Modell!$N$6,D322-1,0)))-FIND("]",CELL("adresse",OFFSET(DMAV_Modell!$N$6,D322-1,0)))),"Substructure"))</f>
        <v/>
      </c>
      <c r="R322" s="80"/>
      <c r="T322" s="93"/>
      <c r="U322" s="94"/>
      <c r="V322" s="95"/>
      <c r="W322" s="96"/>
      <c r="Y322" s="85"/>
      <c r="Z322" s="86"/>
      <c r="AA322" s="87"/>
      <c r="AB322" s="88"/>
      <c r="AD322" s="77"/>
      <c r="AF322" s="54" t="str" cm="1">
        <f t="array" aca="1" ref="AF322" ca="1">IF(H322=0,"",HYPERLINK("#"&amp;RIGHT(CELL("adresse",OFFSET('DM01-AV-CH'!$G$6,H322-1,0)),LEN(CELL("adresse",OFFSET('DM01-AV-CH'!$G$6,H322-1,0)))-FIND("]",CELL("adresse",OFFSET('DM01-AV-CH'!$G$6,H322-1,0)))),"Modell"))</f>
        <v>Modell</v>
      </c>
      <c r="AG322" s="72" t="str" cm="1">
        <f t="array" ref="AG322">IF($H322=0,"",IF(INDEX('DM01-AV-CH'!G$6:G$834,$H322)="","",INDEX('DM01-AV-CH'!G$6:G$834,$H322)))</f>
        <v>FixpunkteKategorie3</v>
      </c>
      <c r="AH322" s="73" t="str" cm="1">
        <f t="array" ref="AH322">IF($H322=0,"",IF(INDEX('DM01-AV-CH'!H$6:H$834,$H322)="","",INDEX('DM01-AV-CH'!H$6:H$834,$H322)))</f>
        <v>HFP3</v>
      </c>
      <c r="AI322" s="74" t="str" cm="1">
        <f t="array" ref="AI322">IF($H322=0,"",IF(INDEX('DM01-AV-CH'!I$6:I$834,$H322)="","",INDEX('DM01-AV-CH'!I$6:I$834,$H322)))</f>
        <v>Geometrie</v>
      </c>
    </row>
    <row r="323" spans="1:35" x14ac:dyDescent="0.25">
      <c r="A323" s="57">
        <v>318</v>
      </c>
      <c r="B323" s="57">
        <f>IF($A323="","",IF(_xlfn.XLOOKUP($A323,Korrelation!$D$4:$D$1197,Korrelation!E$4:E$1197,"-",0)="-",0,MATCH(_xlfn.XLOOKUP($A323,Korrelation!$D$4:$D$1197,Korrelation!E$4:E$1197,"",0),DMAV_Modell!$G$6:$G$677,0)))</f>
        <v>110</v>
      </c>
      <c r="C323" s="57">
        <f>IF($A323="","",IF(_xlfn.XLOOKUP($A323,Korrelation!$D$4:$D$1197,Korrelation!F$4:F$1197,"-",0)="-",0,MATCH(_xlfn.XLOOKUP($A323,Korrelation!$D$4:$D$1197,Korrelation!F$4:F$1197,"",0),DMAV_Modell!$G$6:$G$677,0)))</f>
        <v>0</v>
      </c>
      <c r="D323" s="57">
        <f>IF($A323="","",IF(_xlfn.XLOOKUP($A323,Korrelation!$D$4:$D$1197,Korrelation!G$4:G$1197,"-",0)="-",0,MATCH(_xlfn.XLOOKUP($A323,Korrelation!$D$4:$D$1197,Korrelation!G$4:G$1197,"",0),DMAV_Modell!$G$6:$G$677,0)))</f>
        <v>0</v>
      </c>
      <c r="E323" s="57">
        <f>IF($A323="","",IF(_xlfn.XLOOKUP($A323,Korrelation!$D$4:$D$1197,Korrelation!H$4:H$1197,"-",0)="-",0,MATCH(_xlfn.XLOOKUP($A323,Korrelation!$D$4:$D$1197,Korrelation!H$4:H$1197,"",0),DMAV_Dienste!$F$6:$F$140,0)))</f>
        <v>0</v>
      </c>
      <c r="F323" s="57">
        <f>IF($A323="","",IF(_xlfn.XLOOKUP($A323,Korrelation!$D$4:$D$1197,Korrelation!I$4:I$1197,"-",0)="-",0,MATCH(_xlfn.XLOOKUP($A323,Korrelation!$D$4:$D$1197,Korrelation!I$4:I$1197,"",0),DMAV_Dienste!$F$6:$F$140,0)))</f>
        <v>0</v>
      </c>
      <c r="G323" s="57">
        <f>IF($A323="","",IF(_xlfn.XLOOKUP($A323,Korrelation!$D$4:$D$1197,Korrelation!J$4:J$1197,"-",0)="-",0,MATCH(_xlfn.XLOOKUP($A323,Korrelation!$D$4:$D$1197,Korrelation!J$4:J$1197,"",0),DMAV_Dienste!$F$6:$F$140,0)))</f>
        <v>0</v>
      </c>
      <c r="H323" s="57">
        <f>IF($A323="","",IF(_xlfn.XLOOKUP($A323,Korrelation!$D$4:$D$1197,Korrelation!K$4:K$1197,"-",0)="-",0,MATCH(_xlfn.XLOOKUP($A323,Korrelation!$D$4:$D$1197,Korrelation!K$4:K$1197,"",0),'DM01-AV-CH'!$A$6:$A$834,0)))</f>
        <v>159</v>
      </c>
      <c r="J323" s="54" t="str" cm="1">
        <f t="array" aca="1" ref="J323" ca="1">IF(B323=0,IF(E323=0,"",HYPERLINK("#"&amp;RIGHT(CELL("adresse",OFFSET(DMAV_Dienste!$M$6,E323-1,0)),LEN(CELL("adresse",OFFSET(DMAV_Dienste!$M$6,E323-1,0)))-FIND("]",CELL("adresse",OFFSET(DMAV_Dienste!$M$6,E323-1,0)))),"Dienst")),HYPERLINK("#"&amp;RIGHT(CELL("adresse",OFFSET(DMAV_Modell!$N$6,B323-1,0)),LEN(CELL("adresse",OFFSET(DMAV_Modell!$N$6,B323-1,0)))-FIND("]",CELL("adresse",OFFSET(DMAV_Modell!$N$6,B323-1,0)))),"Modell"))</f>
        <v>Modell</v>
      </c>
      <c r="K323" s="61" t="str" cm="1">
        <f t="array" ref="K323">IF($B323=0,IF($E323=0,"",IF(INDEX(DMAV_Dienste!P$6:P$140,$E323)="","",INDEX(DMAV_Dienste!P$6:P$140,$E323))),IF(INDEX(DMAV_Modell!Q$6:Q$838,$B323)="","",INDEX(DMAV_Modell!Q$6:Q$838,$B323)))</f>
        <v>CLASS</v>
      </c>
      <c r="L323" s="62" t="str" cm="1">
        <f t="array" ref="L323">IF($B323=0,IF($E323=0,"",IF(INDEX(DMAV_Dienste!O$6:O$140,$E323)="","",INDEX(DMAV_Dienste!O$6:O$140,$E323))),IF(INDEX(DMAV_Modell!P$6:P$838,$B323)="","",INDEX(DMAV_Modell!P$6:P$838,$B323)))</f>
        <v>FixpunkteAVKategorie3</v>
      </c>
      <c r="M323" s="62" t="str" cm="1">
        <f t="array" ref="M323">IF($B323=0,IF($E323=0,"",IF(INDEX(DMAV_Dienste!Q$6:Q$140,$E323)="","",INDEX(DMAV_Dienste!Q$6:Q$140,$E323))),IF(INDEX(DMAV_Modell!R$6:R$838,$B323)="","",INDEX(DMAV_Modell!R$6:R$838,$B323)))</f>
        <v>HFP3</v>
      </c>
      <c r="N323" s="62" t="str" cm="1">
        <f t="array" ref="N323">IF($B323=0,IF($E323=0,"",IF(INDEX(DMAV_Dienste!T$6:T$140,$E323)="","",INDEX(DMAV_Dienste!T$6:T$140,$E323))),IF(INDEX(DMAV_Modell!U$6:U$838,$B323)="","",INDEX(DMAV_Modell!U$6:U$838,$B323)))</f>
        <v>Hoehengeometrie</v>
      </c>
      <c r="O323" s="63" t="str" cm="1">
        <f t="array" aca="1" ref="O323" ca="1">IF(C323=0,IF(F323=0,"",HYPERLINK("#"&amp;RIGHT(CELL("adresse",OFFSET(DMAV_Dienste!$M$6,F323-1,0)),LEN(CELL("adresse",OFFSET(DMAV_Dienste!$M$6,F323-1,0)))-FIND("]",CELL("adresse",OFFSET(DMAV_Dienste!$M$6,F323-1,0)))),"Structure")),HYPERLINK("#"&amp;RIGHT(CELL("adresse",OFFSET(DMAV_Modell!$N$6,C323-1,0)),LEN(CELL("adresse",OFFSET(DMAV_Modell!$N$6,C323-1,0)))-FIND("]",CELL("adresse",OFFSET(DMAV_Modell!$N$6,C323-1,0)))),"Structure"))</f>
        <v/>
      </c>
      <c r="P323" s="64" t="str" cm="1">
        <f t="array" aca="1" ref="P323" ca="1">IF(D323=0,IF(G323=0,"",HYPERLINK("#"&amp;RIGHT(CELL("adresse",OFFSET(DMAV_Dienste!$M$6,G323-1,0)),LEN(CELL("adresse",OFFSET(DMAV_Dienste!$M$6,G323-1,0)))-FIND("]",CELL("adresse",OFFSET(DMAV_Dienste!$M$6,G323-1,0)))),"Substructure")),HYPERLINK("#"&amp;RIGHT(CELL("adresse",OFFSET(DMAV_Modell!$N$6,D323-1,0)),LEN(CELL("adresse",OFFSET(DMAV_Modell!$N$6,D323-1,0)))-FIND("]",CELL("adresse",OFFSET(DMAV_Modell!$N$6,D323-1,0)))),"Substructure"))</f>
        <v/>
      </c>
      <c r="R323" s="80"/>
      <c r="T323" s="93"/>
      <c r="U323" s="94"/>
      <c r="V323" s="95"/>
      <c r="W323" s="96"/>
      <c r="Y323" s="85"/>
      <c r="Z323" s="86"/>
      <c r="AA323" s="87"/>
      <c r="AB323" s="88"/>
      <c r="AD323" s="77"/>
      <c r="AF323" s="54" t="str" cm="1">
        <f t="array" aca="1" ref="AF323" ca="1">IF(H323=0,"",HYPERLINK("#"&amp;RIGHT(CELL("adresse",OFFSET('DM01-AV-CH'!$G$6,H323-1,0)),LEN(CELL("adresse",OFFSET('DM01-AV-CH'!$G$6,H323-1,0)))-FIND("]",CELL("adresse",OFFSET('DM01-AV-CH'!$G$6,H323-1,0)))),"Modell"))</f>
        <v>Modell</v>
      </c>
      <c r="AG323" s="72" t="str" cm="1">
        <f t="array" ref="AG323">IF($H323=0,"",IF(INDEX('DM01-AV-CH'!G$6:G$834,$H323)="","",INDEX('DM01-AV-CH'!G$6:G$834,$H323)))</f>
        <v>FixpunkteKategorie3</v>
      </c>
      <c r="AH323" s="73" t="str" cm="1">
        <f t="array" ref="AH323">IF($H323=0,"",IF(INDEX('DM01-AV-CH'!H$6:H$834,$H323)="","",INDEX('DM01-AV-CH'!H$6:H$834,$H323)))</f>
        <v>HFP3</v>
      </c>
      <c r="AI323" s="74" t="str" cm="1">
        <f t="array" ref="AI323">IF($H323=0,"",IF(INDEX('DM01-AV-CH'!I$6:I$834,$H323)="","",INDEX('DM01-AV-CH'!I$6:I$834,$H323)))</f>
        <v>HoeheGeom</v>
      </c>
    </row>
    <row r="324" spans="1:35" x14ac:dyDescent="0.25">
      <c r="A324" s="57">
        <v>319</v>
      </c>
      <c r="B324" s="57">
        <f>IF($A324="","",IF(_xlfn.XLOOKUP($A324,Korrelation!$D$4:$D$1197,Korrelation!E$4:E$1197,"-",0)="-",0,MATCH(_xlfn.XLOOKUP($A324,Korrelation!$D$4:$D$1197,Korrelation!E$4:E$1197,"",0),DMAV_Modell!$G$6:$G$677,0)))</f>
        <v>111</v>
      </c>
      <c r="C324" s="57">
        <f>IF($A324="","",IF(_xlfn.XLOOKUP($A324,Korrelation!$D$4:$D$1197,Korrelation!F$4:F$1197,"-",0)="-",0,MATCH(_xlfn.XLOOKUP($A324,Korrelation!$D$4:$D$1197,Korrelation!F$4:F$1197,"",0),DMAV_Modell!$G$6:$G$677,0)))</f>
        <v>0</v>
      </c>
      <c r="D324" s="57">
        <f>IF($A324="","",IF(_xlfn.XLOOKUP($A324,Korrelation!$D$4:$D$1197,Korrelation!G$4:G$1197,"-",0)="-",0,MATCH(_xlfn.XLOOKUP($A324,Korrelation!$D$4:$D$1197,Korrelation!G$4:G$1197,"",0),DMAV_Modell!$G$6:$G$677,0)))</f>
        <v>0</v>
      </c>
      <c r="E324" s="57">
        <f>IF($A324="","",IF(_xlfn.XLOOKUP($A324,Korrelation!$D$4:$D$1197,Korrelation!H$4:H$1197,"-",0)="-",0,MATCH(_xlfn.XLOOKUP($A324,Korrelation!$D$4:$D$1197,Korrelation!H$4:H$1197,"",0),DMAV_Dienste!$F$6:$F$140,0)))</f>
        <v>0</v>
      </c>
      <c r="F324" s="57">
        <f>IF($A324="","",IF(_xlfn.XLOOKUP($A324,Korrelation!$D$4:$D$1197,Korrelation!I$4:I$1197,"-",0)="-",0,MATCH(_xlfn.XLOOKUP($A324,Korrelation!$D$4:$D$1197,Korrelation!I$4:I$1197,"",0),DMAV_Dienste!$F$6:$F$140,0)))</f>
        <v>0</v>
      </c>
      <c r="G324" s="57">
        <f>IF($A324="","",IF(_xlfn.XLOOKUP($A324,Korrelation!$D$4:$D$1197,Korrelation!J$4:J$1197,"-",0)="-",0,MATCH(_xlfn.XLOOKUP($A324,Korrelation!$D$4:$D$1197,Korrelation!J$4:J$1197,"",0),DMAV_Dienste!$F$6:$F$140,0)))</f>
        <v>0</v>
      </c>
      <c r="H324" s="57">
        <f>IF($A324="","",IF(_xlfn.XLOOKUP($A324,Korrelation!$D$4:$D$1197,Korrelation!K$4:K$1197,"-",0)="-",0,MATCH(_xlfn.XLOOKUP($A324,Korrelation!$D$4:$D$1197,Korrelation!K$4:K$1197,"",0),'DM01-AV-CH'!$A$6:$A$834,0)))</f>
        <v>160</v>
      </c>
      <c r="J324" s="54" t="str" cm="1">
        <f t="array" aca="1" ref="J324" ca="1">IF(B324=0,IF(E324=0,"",HYPERLINK("#"&amp;RIGHT(CELL("adresse",OFFSET(DMAV_Dienste!$M$6,E324-1,0)),LEN(CELL("adresse",OFFSET(DMAV_Dienste!$M$6,E324-1,0)))-FIND("]",CELL("adresse",OFFSET(DMAV_Dienste!$M$6,E324-1,0)))),"Dienst")),HYPERLINK("#"&amp;RIGHT(CELL("adresse",OFFSET(DMAV_Modell!$N$6,B324-1,0)),LEN(CELL("adresse",OFFSET(DMAV_Modell!$N$6,B324-1,0)))-FIND("]",CELL("adresse",OFFSET(DMAV_Modell!$N$6,B324-1,0)))),"Modell"))</f>
        <v>Modell</v>
      </c>
      <c r="K324" s="61" t="str" cm="1">
        <f t="array" ref="K324">IF($B324=0,IF($E324=0,"",IF(INDEX(DMAV_Dienste!P$6:P$140,$E324)="","",INDEX(DMAV_Dienste!P$6:P$140,$E324))),IF(INDEX(DMAV_Modell!Q$6:Q$838,$B324)="","",INDEX(DMAV_Modell!Q$6:Q$838,$B324)))</f>
        <v>CLASS</v>
      </c>
      <c r="L324" s="62" t="str" cm="1">
        <f t="array" ref="L324">IF($B324=0,IF($E324=0,"",IF(INDEX(DMAV_Dienste!O$6:O$140,$E324)="","",INDEX(DMAV_Dienste!O$6:O$140,$E324))),IF(INDEX(DMAV_Modell!P$6:P$838,$B324)="","",INDEX(DMAV_Modell!P$6:P$838,$B324)))</f>
        <v>FixpunkteAVKategorie3</v>
      </c>
      <c r="M324" s="62" t="str" cm="1">
        <f t="array" ref="M324">IF($B324=0,IF($E324=0,"",IF(INDEX(DMAV_Dienste!Q$6:Q$140,$E324)="","",INDEX(DMAV_Dienste!Q$6:Q$140,$E324))),IF(INDEX(DMAV_Modell!R$6:R$838,$B324)="","",INDEX(DMAV_Modell!R$6:R$838,$B324)))</f>
        <v>HFP3</v>
      </c>
      <c r="N324" s="62" t="str" cm="1">
        <f t="array" ref="N324">IF($B324=0,IF($E324=0,"",IF(INDEX(DMAV_Dienste!T$6:T$140,$E324)="","",INDEX(DMAV_Dienste!T$6:T$140,$E324))),IF(INDEX(DMAV_Modell!U$6:U$838,$B324)="","",INDEX(DMAV_Modell!U$6:U$838,$B324)))</f>
        <v>Lagegenauigkeit</v>
      </c>
      <c r="O324" s="63" t="str" cm="1">
        <f t="array" aca="1" ref="O324" ca="1">IF(C324=0,IF(F324=0,"",HYPERLINK("#"&amp;RIGHT(CELL("adresse",OFFSET(DMAV_Dienste!$M$6,F324-1,0)),LEN(CELL("adresse",OFFSET(DMAV_Dienste!$M$6,F324-1,0)))-FIND("]",CELL("adresse",OFFSET(DMAV_Dienste!$M$6,F324-1,0)))),"Structure")),HYPERLINK("#"&amp;RIGHT(CELL("adresse",OFFSET(DMAV_Modell!$N$6,C324-1,0)),LEN(CELL("adresse",OFFSET(DMAV_Modell!$N$6,C324-1,0)))-FIND("]",CELL("adresse",OFFSET(DMAV_Modell!$N$6,C324-1,0)))),"Structure"))</f>
        <v/>
      </c>
      <c r="P324" s="64" t="str" cm="1">
        <f t="array" aca="1" ref="P324" ca="1">IF(D324=0,IF(G324=0,"",HYPERLINK("#"&amp;RIGHT(CELL("adresse",OFFSET(DMAV_Dienste!$M$6,G324-1,0)),LEN(CELL("adresse",OFFSET(DMAV_Dienste!$M$6,G324-1,0)))-FIND("]",CELL("adresse",OFFSET(DMAV_Dienste!$M$6,G324-1,0)))),"Substructure")),HYPERLINK("#"&amp;RIGHT(CELL("adresse",OFFSET(DMAV_Modell!$N$6,D324-1,0)),LEN(CELL("adresse",OFFSET(DMAV_Modell!$N$6,D324-1,0)))-FIND("]",CELL("adresse",OFFSET(DMAV_Modell!$N$6,D324-1,0)))),"Substructure"))</f>
        <v/>
      </c>
      <c r="R324" s="80"/>
      <c r="T324" s="93"/>
      <c r="U324" s="94"/>
      <c r="V324" s="95"/>
      <c r="W324" s="96"/>
      <c r="Y324" s="85"/>
      <c r="Z324" s="86"/>
      <c r="AA324" s="87"/>
      <c r="AB324" s="88"/>
      <c r="AD324" s="77"/>
      <c r="AF324" s="54" t="str" cm="1">
        <f t="array" aca="1" ref="AF324" ca="1">IF(H324=0,"",HYPERLINK("#"&amp;RIGHT(CELL("adresse",OFFSET('DM01-AV-CH'!$G$6,H324-1,0)),LEN(CELL("adresse",OFFSET('DM01-AV-CH'!$G$6,H324-1,0)))-FIND("]",CELL("adresse",OFFSET('DM01-AV-CH'!$G$6,H324-1,0)))),"Modell"))</f>
        <v>Modell</v>
      </c>
      <c r="AG324" s="72" t="str" cm="1">
        <f t="array" ref="AG324">IF($H324=0,"",IF(INDEX('DM01-AV-CH'!G$6:G$834,$H324)="","",INDEX('DM01-AV-CH'!G$6:G$834,$H324)))</f>
        <v>FixpunkteKategorie3</v>
      </c>
      <c r="AH324" s="73" t="str" cm="1">
        <f t="array" ref="AH324">IF($H324=0,"",IF(INDEX('DM01-AV-CH'!H$6:H$834,$H324)="","",INDEX('DM01-AV-CH'!H$6:H$834,$H324)))</f>
        <v>HFP3</v>
      </c>
      <c r="AI324" s="74" t="str" cm="1">
        <f t="array" ref="AI324">IF($H324=0,"",IF(INDEX('DM01-AV-CH'!I$6:I$834,$H324)="","",INDEX('DM01-AV-CH'!I$6:I$834,$H324)))</f>
        <v>LageGen</v>
      </c>
    </row>
    <row r="325" spans="1:35" x14ac:dyDescent="0.25">
      <c r="A325" s="57">
        <v>320</v>
      </c>
      <c r="B325" s="57">
        <f>IF($A325="","",IF(_xlfn.XLOOKUP($A325,Korrelation!$D$4:$D$1197,Korrelation!E$4:E$1197,"-",0)="-",0,MATCH(_xlfn.XLOOKUP($A325,Korrelation!$D$4:$D$1197,Korrelation!E$4:E$1197,"",0),DMAV_Modell!$G$6:$G$677,0)))</f>
        <v>112</v>
      </c>
      <c r="C325" s="57">
        <f>IF($A325="","",IF(_xlfn.XLOOKUP($A325,Korrelation!$D$4:$D$1197,Korrelation!F$4:F$1197,"-",0)="-",0,MATCH(_xlfn.XLOOKUP($A325,Korrelation!$D$4:$D$1197,Korrelation!F$4:F$1197,"",0),DMAV_Modell!$G$6:$G$677,0)))</f>
        <v>0</v>
      </c>
      <c r="D325" s="57">
        <f>IF($A325="","",IF(_xlfn.XLOOKUP($A325,Korrelation!$D$4:$D$1197,Korrelation!G$4:G$1197,"-",0)="-",0,MATCH(_xlfn.XLOOKUP($A325,Korrelation!$D$4:$D$1197,Korrelation!G$4:G$1197,"",0),DMAV_Modell!$G$6:$G$677,0)))</f>
        <v>0</v>
      </c>
      <c r="E325" s="57">
        <f>IF($A325="","",IF(_xlfn.XLOOKUP($A325,Korrelation!$D$4:$D$1197,Korrelation!H$4:H$1197,"-",0)="-",0,MATCH(_xlfn.XLOOKUP($A325,Korrelation!$D$4:$D$1197,Korrelation!H$4:H$1197,"",0),DMAV_Dienste!$F$6:$F$140,0)))</f>
        <v>0</v>
      </c>
      <c r="F325" s="57">
        <f>IF($A325="","",IF(_xlfn.XLOOKUP($A325,Korrelation!$D$4:$D$1197,Korrelation!I$4:I$1197,"-",0)="-",0,MATCH(_xlfn.XLOOKUP($A325,Korrelation!$D$4:$D$1197,Korrelation!I$4:I$1197,"",0),DMAV_Dienste!$F$6:$F$140,0)))</f>
        <v>0</v>
      </c>
      <c r="G325" s="57">
        <f>IF($A325="","",IF(_xlfn.XLOOKUP($A325,Korrelation!$D$4:$D$1197,Korrelation!J$4:J$1197,"-",0)="-",0,MATCH(_xlfn.XLOOKUP($A325,Korrelation!$D$4:$D$1197,Korrelation!J$4:J$1197,"",0),DMAV_Dienste!$F$6:$F$140,0)))</f>
        <v>0</v>
      </c>
      <c r="H325" s="57">
        <f>IF($A325="","",IF(_xlfn.XLOOKUP($A325,Korrelation!$D$4:$D$1197,Korrelation!K$4:K$1197,"-",0)="-",0,MATCH(_xlfn.XLOOKUP($A325,Korrelation!$D$4:$D$1197,Korrelation!K$4:K$1197,"",0),'DM01-AV-CH'!$A$6:$A$834,0)))</f>
        <v>161</v>
      </c>
      <c r="J325" s="54" t="str" cm="1">
        <f t="array" aca="1" ref="J325" ca="1">IF(B325=0,IF(E325=0,"",HYPERLINK("#"&amp;RIGHT(CELL("adresse",OFFSET(DMAV_Dienste!$M$6,E325-1,0)),LEN(CELL("adresse",OFFSET(DMAV_Dienste!$M$6,E325-1,0)))-FIND("]",CELL("adresse",OFFSET(DMAV_Dienste!$M$6,E325-1,0)))),"Dienst")),HYPERLINK("#"&amp;RIGHT(CELL("adresse",OFFSET(DMAV_Modell!$N$6,B325-1,0)),LEN(CELL("adresse",OFFSET(DMAV_Modell!$N$6,B325-1,0)))-FIND("]",CELL("adresse",OFFSET(DMAV_Modell!$N$6,B325-1,0)))),"Modell"))</f>
        <v>Modell</v>
      </c>
      <c r="K325" s="61" t="str" cm="1">
        <f t="array" ref="K325">IF($B325=0,IF($E325=0,"",IF(INDEX(DMAV_Dienste!P$6:P$140,$E325)="","",INDEX(DMAV_Dienste!P$6:P$140,$E325))),IF(INDEX(DMAV_Modell!Q$6:Q$838,$B325)="","",INDEX(DMAV_Modell!Q$6:Q$838,$B325)))</f>
        <v>CLASS</v>
      </c>
      <c r="L325" s="62" t="str" cm="1">
        <f t="array" ref="L325">IF($B325=0,IF($E325=0,"",IF(INDEX(DMAV_Dienste!O$6:O$140,$E325)="","",INDEX(DMAV_Dienste!O$6:O$140,$E325))),IF(INDEX(DMAV_Modell!P$6:P$838,$B325)="","",INDEX(DMAV_Modell!P$6:P$838,$B325)))</f>
        <v>FixpunkteAVKategorie3</v>
      </c>
      <c r="M325" s="62" t="str" cm="1">
        <f t="array" ref="M325">IF($B325=0,IF($E325=0,"",IF(INDEX(DMAV_Dienste!Q$6:Q$140,$E325)="","",INDEX(DMAV_Dienste!Q$6:Q$140,$E325))),IF(INDEX(DMAV_Modell!R$6:R$838,$B325)="","",INDEX(DMAV_Modell!R$6:R$838,$B325)))</f>
        <v>HFP3</v>
      </c>
      <c r="N325" s="62" t="str" cm="1">
        <f t="array" ref="N325">IF($B325=0,IF($E325=0,"",IF(INDEX(DMAV_Dienste!T$6:T$140,$E325)="","",INDEX(DMAV_Dienste!T$6:T$140,$E325))),IF(INDEX(DMAV_Modell!U$6:U$838,$B325)="","",INDEX(DMAV_Modell!U$6:U$838,$B325)))</f>
        <v>IstLagezuverlaessig</v>
      </c>
      <c r="O325" s="63" t="str" cm="1">
        <f t="array" aca="1" ref="O325" ca="1">IF(C325=0,IF(F325=0,"",HYPERLINK("#"&amp;RIGHT(CELL("adresse",OFFSET(DMAV_Dienste!$M$6,F325-1,0)),LEN(CELL("adresse",OFFSET(DMAV_Dienste!$M$6,F325-1,0)))-FIND("]",CELL("adresse",OFFSET(DMAV_Dienste!$M$6,F325-1,0)))),"Structure")),HYPERLINK("#"&amp;RIGHT(CELL("adresse",OFFSET(DMAV_Modell!$N$6,C325-1,0)),LEN(CELL("adresse",OFFSET(DMAV_Modell!$N$6,C325-1,0)))-FIND("]",CELL("adresse",OFFSET(DMAV_Modell!$N$6,C325-1,0)))),"Structure"))</f>
        <v/>
      </c>
      <c r="P325" s="64" t="str" cm="1">
        <f t="array" aca="1" ref="P325" ca="1">IF(D325=0,IF(G325=0,"",HYPERLINK("#"&amp;RIGHT(CELL("adresse",OFFSET(DMAV_Dienste!$M$6,G325-1,0)),LEN(CELL("adresse",OFFSET(DMAV_Dienste!$M$6,G325-1,0)))-FIND("]",CELL("adresse",OFFSET(DMAV_Dienste!$M$6,G325-1,0)))),"Substructure")),HYPERLINK("#"&amp;RIGHT(CELL("adresse",OFFSET(DMAV_Modell!$N$6,D325-1,0)),LEN(CELL("adresse",OFFSET(DMAV_Modell!$N$6,D325-1,0)))-FIND("]",CELL("adresse",OFFSET(DMAV_Modell!$N$6,D325-1,0)))),"Substructure"))</f>
        <v/>
      </c>
      <c r="R325" s="80"/>
      <c r="T325" s="93"/>
      <c r="U325" s="94"/>
      <c r="V325" s="95"/>
      <c r="W325" s="96"/>
      <c r="Y325" s="85"/>
      <c r="Z325" s="86"/>
      <c r="AA325" s="87"/>
      <c r="AB325" s="88"/>
      <c r="AD325" s="77"/>
      <c r="AF325" s="54" t="str" cm="1">
        <f t="array" aca="1" ref="AF325" ca="1">IF(H325=0,"",HYPERLINK("#"&amp;RIGHT(CELL("adresse",OFFSET('DM01-AV-CH'!$G$6,H325-1,0)),LEN(CELL("adresse",OFFSET('DM01-AV-CH'!$G$6,H325-1,0)))-FIND("]",CELL("adresse",OFFSET('DM01-AV-CH'!$G$6,H325-1,0)))),"Modell"))</f>
        <v>Modell</v>
      </c>
      <c r="AG325" s="72" t="str" cm="1">
        <f t="array" ref="AG325">IF($H325=0,"",IF(INDEX('DM01-AV-CH'!G$6:G$834,$H325)="","",INDEX('DM01-AV-CH'!G$6:G$834,$H325)))</f>
        <v>FixpunkteKategorie3</v>
      </c>
      <c r="AH325" s="73" t="str" cm="1">
        <f t="array" ref="AH325">IF($H325=0,"",IF(INDEX('DM01-AV-CH'!H$6:H$834,$H325)="","",INDEX('DM01-AV-CH'!H$6:H$834,$H325)))</f>
        <v>HFP3</v>
      </c>
      <c r="AI325" s="74" t="str" cm="1">
        <f t="array" ref="AI325">IF($H325=0,"",IF(INDEX('DM01-AV-CH'!I$6:I$834,$H325)="","",INDEX('DM01-AV-CH'!I$6:I$834,$H325)))</f>
        <v>LageZuv</v>
      </c>
    </row>
    <row r="326" spans="1:35" x14ac:dyDescent="0.25">
      <c r="A326" s="57">
        <v>321</v>
      </c>
      <c r="B326" s="57">
        <f>IF($A326="","",IF(_xlfn.XLOOKUP($A326,Korrelation!$D$4:$D$1197,Korrelation!E$4:E$1197,"-",0)="-",0,MATCH(_xlfn.XLOOKUP($A326,Korrelation!$D$4:$D$1197,Korrelation!E$4:E$1197,"",0),DMAV_Modell!$G$6:$G$677,0)))</f>
        <v>113</v>
      </c>
      <c r="C326" s="57">
        <f>IF($A326="","",IF(_xlfn.XLOOKUP($A326,Korrelation!$D$4:$D$1197,Korrelation!F$4:F$1197,"-",0)="-",0,MATCH(_xlfn.XLOOKUP($A326,Korrelation!$D$4:$D$1197,Korrelation!F$4:F$1197,"",0),DMAV_Modell!$G$6:$G$677,0)))</f>
        <v>0</v>
      </c>
      <c r="D326" s="57">
        <f>IF($A326="","",IF(_xlfn.XLOOKUP($A326,Korrelation!$D$4:$D$1197,Korrelation!G$4:G$1197,"-",0)="-",0,MATCH(_xlfn.XLOOKUP($A326,Korrelation!$D$4:$D$1197,Korrelation!G$4:G$1197,"",0),DMAV_Modell!$G$6:$G$677,0)))</f>
        <v>0</v>
      </c>
      <c r="E326" s="57">
        <f>IF($A326="","",IF(_xlfn.XLOOKUP($A326,Korrelation!$D$4:$D$1197,Korrelation!H$4:H$1197,"-",0)="-",0,MATCH(_xlfn.XLOOKUP($A326,Korrelation!$D$4:$D$1197,Korrelation!H$4:H$1197,"",0),DMAV_Dienste!$F$6:$F$140,0)))</f>
        <v>0</v>
      </c>
      <c r="F326" s="57">
        <f>IF($A326="","",IF(_xlfn.XLOOKUP($A326,Korrelation!$D$4:$D$1197,Korrelation!I$4:I$1197,"-",0)="-",0,MATCH(_xlfn.XLOOKUP($A326,Korrelation!$D$4:$D$1197,Korrelation!I$4:I$1197,"",0),DMAV_Dienste!$F$6:$F$140,0)))</f>
        <v>0</v>
      </c>
      <c r="G326" s="57">
        <f>IF($A326="","",IF(_xlfn.XLOOKUP($A326,Korrelation!$D$4:$D$1197,Korrelation!J$4:J$1197,"-",0)="-",0,MATCH(_xlfn.XLOOKUP($A326,Korrelation!$D$4:$D$1197,Korrelation!J$4:J$1197,"",0),DMAV_Dienste!$F$6:$F$140,0)))</f>
        <v>0</v>
      </c>
      <c r="H326" s="57">
        <f>IF($A326="","",IF(_xlfn.XLOOKUP($A326,Korrelation!$D$4:$D$1197,Korrelation!K$4:K$1197,"-",0)="-",0,MATCH(_xlfn.XLOOKUP($A326,Korrelation!$D$4:$D$1197,Korrelation!K$4:K$1197,"",0),'DM01-AV-CH'!$A$6:$A$834,0)))</f>
        <v>162</v>
      </c>
      <c r="J326" s="54" t="str" cm="1">
        <f t="array" aca="1" ref="J326" ca="1">IF(B326=0,IF(E326=0,"",HYPERLINK("#"&amp;RIGHT(CELL("adresse",OFFSET(DMAV_Dienste!$M$6,E326-1,0)),LEN(CELL("adresse",OFFSET(DMAV_Dienste!$M$6,E326-1,0)))-FIND("]",CELL("adresse",OFFSET(DMAV_Dienste!$M$6,E326-1,0)))),"Dienst")),HYPERLINK("#"&amp;RIGHT(CELL("adresse",OFFSET(DMAV_Modell!$N$6,B326-1,0)),LEN(CELL("adresse",OFFSET(DMAV_Modell!$N$6,B326-1,0)))-FIND("]",CELL("adresse",OFFSET(DMAV_Modell!$N$6,B326-1,0)))),"Modell"))</f>
        <v>Modell</v>
      </c>
      <c r="K326" s="61" t="str" cm="1">
        <f t="array" ref="K326">IF($B326=0,IF($E326=0,"",IF(INDEX(DMAV_Dienste!P$6:P$140,$E326)="","",INDEX(DMAV_Dienste!P$6:P$140,$E326))),IF(INDEX(DMAV_Modell!Q$6:Q$838,$B326)="","",INDEX(DMAV_Modell!Q$6:Q$838,$B326)))</f>
        <v>CLASS</v>
      </c>
      <c r="L326" s="62" t="str" cm="1">
        <f t="array" ref="L326">IF($B326=0,IF($E326=0,"",IF(INDEX(DMAV_Dienste!O$6:O$140,$E326)="","",INDEX(DMAV_Dienste!O$6:O$140,$E326))),IF(INDEX(DMAV_Modell!P$6:P$838,$B326)="","",INDEX(DMAV_Modell!P$6:P$838,$B326)))</f>
        <v>FixpunkteAVKategorie3</v>
      </c>
      <c r="M326" s="62" t="str" cm="1">
        <f t="array" ref="M326">IF($B326=0,IF($E326=0,"",IF(INDEX(DMAV_Dienste!Q$6:Q$140,$E326)="","",INDEX(DMAV_Dienste!Q$6:Q$140,$E326))),IF(INDEX(DMAV_Modell!R$6:R$838,$B326)="","",INDEX(DMAV_Modell!R$6:R$838,$B326)))</f>
        <v>HFP3</v>
      </c>
      <c r="N326" s="62" t="str" cm="1">
        <f t="array" ref="N326">IF($B326=0,IF($E326=0,"",IF(INDEX(DMAV_Dienste!T$6:T$140,$E326)="","",INDEX(DMAV_Dienste!T$6:T$140,$E326))),IF(INDEX(DMAV_Modell!U$6:U$838,$B326)="","",INDEX(DMAV_Modell!U$6:U$838,$B326)))</f>
        <v>Hoehengenauigkeit</v>
      </c>
      <c r="O326" s="63" t="str" cm="1">
        <f t="array" aca="1" ref="O326" ca="1">IF(C326=0,IF(F326=0,"",HYPERLINK("#"&amp;RIGHT(CELL("adresse",OFFSET(DMAV_Dienste!$M$6,F326-1,0)),LEN(CELL("adresse",OFFSET(DMAV_Dienste!$M$6,F326-1,0)))-FIND("]",CELL("adresse",OFFSET(DMAV_Dienste!$M$6,F326-1,0)))),"Structure")),HYPERLINK("#"&amp;RIGHT(CELL("adresse",OFFSET(DMAV_Modell!$N$6,C326-1,0)),LEN(CELL("adresse",OFFSET(DMAV_Modell!$N$6,C326-1,0)))-FIND("]",CELL("adresse",OFFSET(DMAV_Modell!$N$6,C326-1,0)))),"Structure"))</f>
        <v/>
      </c>
      <c r="P326" s="64" t="str" cm="1">
        <f t="array" aca="1" ref="P326" ca="1">IF(D326=0,IF(G326=0,"",HYPERLINK("#"&amp;RIGHT(CELL("adresse",OFFSET(DMAV_Dienste!$M$6,G326-1,0)),LEN(CELL("adresse",OFFSET(DMAV_Dienste!$M$6,G326-1,0)))-FIND("]",CELL("adresse",OFFSET(DMAV_Dienste!$M$6,G326-1,0)))),"Substructure")),HYPERLINK("#"&amp;RIGHT(CELL("adresse",OFFSET(DMAV_Modell!$N$6,D326-1,0)),LEN(CELL("adresse",OFFSET(DMAV_Modell!$N$6,D326-1,0)))-FIND("]",CELL("adresse",OFFSET(DMAV_Modell!$N$6,D326-1,0)))),"Substructure"))</f>
        <v/>
      </c>
      <c r="R326" s="80"/>
      <c r="T326" s="93"/>
      <c r="U326" s="94"/>
      <c r="V326" s="95"/>
      <c r="W326" s="96"/>
      <c r="Y326" s="85"/>
      <c r="Z326" s="86"/>
      <c r="AA326" s="87"/>
      <c r="AB326" s="88"/>
      <c r="AD326" s="77"/>
      <c r="AF326" s="54" t="str" cm="1">
        <f t="array" aca="1" ref="AF326" ca="1">IF(H326=0,"",HYPERLINK("#"&amp;RIGHT(CELL("adresse",OFFSET('DM01-AV-CH'!$G$6,H326-1,0)),LEN(CELL("adresse",OFFSET('DM01-AV-CH'!$G$6,H326-1,0)))-FIND("]",CELL("adresse",OFFSET('DM01-AV-CH'!$G$6,H326-1,0)))),"Modell"))</f>
        <v>Modell</v>
      </c>
      <c r="AG326" s="72" t="str" cm="1">
        <f t="array" ref="AG326">IF($H326=0,"",IF(INDEX('DM01-AV-CH'!G$6:G$834,$H326)="","",INDEX('DM01-AV-CH'!G$6:G$834,$H326)))</f>
        <v>FixpunkteKategorie3</v>
      </c>
      <c r="AH326" s="73" t="str" cm="1">
        <f t="array" ref="AH326">IF($H326=0,"",IF(INDEX('DM01-AV-CH'!H$6:H$834,$H326)="","",INDEX('DM01-AV-CH'!H$6:H$834,$H326)))</f>
        <v>HFP3</v>
      </c>
      <c r="AI326" s="74" t="str" cm="1">
        <f t="array" ref="AI326">IF($H326=0,"",IF(INDEX('DM01-AV-CH'!I$6:I$834,$H326)="","",INDEX('DM01-AV-CH'!I$6:I$834,$H326)))</f>
        <v>HoeheGen</v>
      </c>
    </row>
    <row r="327" spans="1:35" x14ac:dyDescent="0.25">
      <c r="A327" s="57">
        <v>322</v>
      </c>
      <c r="B327" s="57">
        <f>IF($A327="","",IF(_xlfn.XLOOKUP($A327,Korrelation!$D$4:$D$1197,Korrelation!E$4:E$1197,"-",0)="-",0,MATCH(_xlfn.XLOOKUP($A327,Korrelation!$D$4:$D$1197,Korrelation!E$4:E$1197,"",0),DMAV_Modell!$G$6:$G$677,0)))</f>
        <v>114</v>
      </c>
      <c r="C327" s="57">
        <f>IF($A327="","",IF(_xlfn.XLOOKUP($A327,Korrelation!$D$4:$D$1197,Korrelation!F$4:F$1197,"-",0)="-",0,MATCH(_xlfn.XLOOKUP($A327,Korrelation!$D$4:$D$1197,Korrelation!F$4:F$1197,"",0),DMAV_Modell!$G$6:$G$677,0)))</f>
        <v>0</v>
      </c>
      <c r="D327" s="57">
        <f>IF($A327="","",IF(_xlfn.XLOOKUP($A327,Korrelation!$D$4:$D$1197,Korrelation!G$4:G$1197,"-",0)="-",0,MATCH(_xlfn.XLOOKUP($A327,Korrelation!$D$4:$D$1197,Korrelation!G$4:G$1197,"",0),DMAV_Modell!$G$6:$G$677,0)))</f>
        <v>0</v>
      </c>
      <c r="E327" s="57">
        <f>IF($A327="","",IF(_xlfn.XLOOKUP($A327,Korrelation!$D$4:$D$1197,Korrelation!H$4:H$1197,"-",0)="-",0,MATCH(_xlfn.XLOOKUP($A327,Korrelation!$D$4:$D$1197,Korrelation!H$4:H$1197,"",0),DMAV_Dienste!$F$6:$F$140,0)))</f>
        <v>0</v>
      </c>
      <c r="F327" s="57">
        <f>IF($A327="","",IF(_xlfn.XLOOKUP($A327,Korrelation!$D$4:$D$1197,Korrelation!I$4:I$1197,"-",0)="-",0,MATCH(_xlfn.XLOOKUP($A327,Korrelation!$D$4:$D$1197,Korrelation!I$4:I$1197,"",0),DMAV_Dienste!$F$6:$F$140,0)))</f>
        <v>0</v>
      </c>
      <c r="G327" s="57">
        <f>IF($A327="","",IF(_xlfn.XLOOKUP($A327,Korrelation!$D$4:$D$1197,Korrelation!J$4:J$1197,"-",0)="-",0,MATCH(_xlfn.XLOOKUP($A327,Korrelation!$D$4:$D$1197,Korrelation!J$4:J$1197,"",0),DMAV_Dienste!$F$6:$F$140,0)))</f>
        <v>0</v>
      </c>
      <c r="H327" s="57">
        <f>IF($A327="","",IF(_xlfn.XLOOKUP($A327,Korrelation!$D$4:$D$1197,Korrelation!K$4:K$1197,"-",0)="-",0,MATCH(_xlfn.XLOOKUP($A327,Korrelation!$D$4:$D$1197,Korrelation!K$4:K$1197,"",0),'DM01-AV-CH'!$A$6:$A$834,0)))</f>
        <v>163</v>
      </c>
      <c r="J327" s="54" t="str" cm="1">
        <f t="array" aca="1" ref="J327" ca="1">IF(B327=0,IF(E327=0,"",HYPERLINK("#"&amp;RIGHT(CELL("adresse",OFFSET(DMAV_Dienste!$M$6,E327-1,0)),LEN(CELL("adresse",OFFSET(DMAV_Dienste!$M$6,E327-1,0)))-FIND("]",CELL("adresse",OFFSET(DMAV_Dienste!$M$6,E327-1,0)))),"Dienst")),HYPERLINK("#"&amp;RIGHT(CELL("adresse",OFFSET(DMAV_Modell!$N$6,B327-1,0)),LEN(CELL("adresse",OFFSET(DMAV_Modell!$N$6,B327-1,0)))-FIND("]",CELL("adresse",OFFSET(DMAV_Modell!$N$6,B327-1,0)))),"Modell"))</f>
        <v>Modell</v>
      </c>
      <c r="K327" s="61" t="str" cm="1">
        <f t="array" ref="K327">IF($B327=0,IF($E327=0,"",IF(INDEX(DMAV_Dienste!P$6:P$140,$E327)="","",INDEX(DMAV_Dienste!P$6:P$140,$E327))),IF(INDEX(DMAV_Modell!Q$6:Q$838,$B327)="","",INDEX(DMAV_Modell!Q$6:Q$838,$B327)))</f>
        <v>CLASS</v>
      </c>
      <c r="L327" s="62" t="str" cm="1">
        <f t="array" ref="L327">IF($B327=0,IF($E327=0,"",IF(INDEX(DMAV_Dienste!O$6:O$140,$E327)="","",INDEX(DMAV_Dienste!O$6:O$140,$E327))),IF(INDEX(DMAV_Modell!P$6:P$838,$B327)="","",INDEX(DMAV_Modell!P$6:P$838,$B327)))</f>
        <v>FixpunkteAVKategorie3</v>
      </c>
      <c r="M327" s="62" t="str" cm="1">
        <f t="array" ref="M327">IF($B327=0,IF($E327=0,"",IF(INDEX(DMAV_Dienste!Q$6:Q$140,$E327)="","",INDEX(DMAV_Dienste!Q$6:Q$140,$E327))),IF(INDEX(DMAV_Modell!R$6:R$838,$B327)="","",INDEX(DMAV_Modell!R$6:R$838,$B327)))</f>
        <v>HFP3</v>
      </c>
      <c r="N327" s="62" t="str" cm="1">
        <f t="array" ref="N327">IF($B327=0,IF($E327=0,"",IF(INDEX(DMAV_Dienste!T$6:T$140,$E327)="","",INDEX(DMAV_Dienste!T$6:T$140,$E327))),IF(INDEX(DMAV_Modell!U$6:U$838,$B327)="","",INDEX(DMAV_Modell!U$6:U$838,$B327)))</f>
        <v>IstHoehenzuverlaessig</v>
      </c>
      <c r="O327" s="63" t="str" cm="1">
        <f t="array" aca="1" ref="O327" ca="1">IF(C327=0,IF(F327=0,"",HYPERLINK("#"&amp;RIGHT(CELL("adresse",OFFSET(DMAV_Dienste!$M$6,F327-1,0)),LEN(CELL("adresse",OFFSET(DMAV_Dienste!$M$6,F327-1,0)))-FIND("]",CELL("adresse",OFFSET(DMAV_Dienste!$M$6,F327-1,0)))),"Structure")),HYPERLINK("#"&amp;RIGHT(CELL("adresse",OFFSET(DMAV_Modell!$N$6,C327-1,0)),LEN(CELL("adresse",OFFSET(DMAV_Modell!$N$6,C327-1,0)))-FIND("]",CELL("adresse",OFFSET(DMAV_Modell!$N$6,C327-1,0)))),"Structure"))</f>
        <v/>
      </c>
      <c r="P327" s="64" t="str" cm="1">
        <f t="array" aca="1" ref="P327" ca="1">IF(D327=0,IF(G327=0,"",HYPERLINK("#"&amp;RIGHT(CELL("adresse",OFFSET(DMAV_Dienste!$M$6,G327-1,0)),LEN(CELL("adresse",OFFSET(DMAV_Dienste!$M$6,G327-1,0)))-FIND("]",CELL("adresse",OFFSET(DMAV_Dienste!$M$6,G327-1,0)))),"Substructure")),HYPERLINK("#"&amp;RIGHT(CELL("adresse",OFFSET(DMAV_Modell!$N$6,D327-1,0)),LEN(CELL("adresse",OFFSET(DMAV_Modell!$N$6,D327-1,0)))-FIND("]",CELL("adresse",OFFSET(DMAV_Modell!$N$6,D327-1,0)))),"Substructure"))</f>
        <v/>
      </c>
      <c r="R327" s="80"/>
      <c r="T327" s="93"/>
      <c r="U327" s="94"/>
      <c r="V327" s="95"/>
      <c r="W327" s="96"/>
      <c r="Y327" s="85"/>
      <c r="Z327" s="86"/>
      <c r="AA327" s="87"/>
      <c r="AB327" s="88"/>
      <c r="AD327" s="77"/>
      <c r="AF327" s="54" t="str" cm="1">
        <f t="array" aca="1" ref="AF327" ca="1">IF(H327=0,"",HYPERLINK("#"&amp;RIGHT(CELL("adresse",OFFSET('DM01-AV-CH'!$G$6,H327-1,0)),LEN(CELL("adresse",OFFSET('DM01-AV-CH'!$G$6,H327-1,0)))-FIND("]",CELL("adresse",OFFSET('DM01-AV-CH'!$G$6,H327-1,0)))),"Modell"))</f>
        <v>Modell</v>
      </c>
      <c r="AG327" s="72" t="str" cm="1">
        <f t="array" ref="AG327">IF($H327=0,"",IF(INDEX('DM01-AV-CH'!G$6:G$834,$H327)="","",INDEX('DM01-AV-CH'!G$6:G$834,$H327)))</f>
        <v>FixpunkteKategorie3</v>
      </c>
      <c r="AH327" s="73" t="str" cm="1">
        <f t="array" ref="AH327">IF($H327=0,"",IF(INDEX('DM01-AV-CH'!H$6:H$834,$H327)="","",INDEX('DM01-AV-CH'!H$6:H$834,$H327)))</f>
        <v>HFP3</v>
      </c>
      <c r="AI327" s="74" t="str" cm="1">
        <f t="array" ref="AI327">IF($H327=0,"",IF(INDEX('DM01-AV-CH'!I$6:I$834,$H327)="","",INDEX('DM01-AV-CH'!I$6:I$834,$H327)))</f>
        <v>HoeheZuv</v>
      </c>
    </row>
    <row r="328" spans="1:35" x14ac:dyDescent="0.25">
      <c r="A328" s="57">
        <v>323</v>
      </c>
      <c r="B328" s="57">
        <f>IF($A328="","",IF(_xlfn.XLOOKUP($A328,Korrelation!$D$4:$D$1197,Korrelation!E$4:E$1197,"-",0)="-",0,MATCH(_xlfn.XLOOKUP($A328,Korrelation!$D$4:$D$1197,Korrelation!E$4:E$1197,"",0),DMAV_Modell!$G$6:$G$677,0)))</f>
        <v>115</v>
      </c>
      <c r="C328" s="57">
        <f>IF($A328="","",IF(_xlfn.XLOOKUP($A328,Korrelation!$D$4:$D$1197,Korrelation!F$4:F$1197,"-",0)="-",0,MATCH(_xlfn.XLOOKUP($A328,Korrelation!$D$4:$D$1197,Korrelation!F$4:F$1197,"",0),DMAV_Modell!$G$6:$G$677,0)))</f>
        <v>26</v>
      </c>
      <c r="D328" s="57">
        <f>IF($A328="","",IF(_xlfn.XLOOKUP($A328,Korrelation!$D$4:$D$1197,Korrelation!G$4:G$1197,"-",0)="-",0,MATCH(_xlfn.XLOOKUP($A328,Korrelation!$D$4:$D$1197,Korrelation!G$4:G$1197,"",0),DMAV_Modell!$G$6:$G$677,0)))</f>
        <v>0</v>
      </c>
      <c r="E328" s="57">
        <f>IF($A328="","",IF(_xlfn.XLOOKUP($A328,Korrelation!$D$4:$D$1197,Korrelation!H$4:H$1197,"-",0)="-",0,MATCH(_xlfn.XLOOKUP($A328,Korrelation!$D$4:$D$1197,Korrelation!H$4:H$1197,"",0),DMAV_Dienste!$F$6:$F$140,0)))</f>
        <v>0</v>
      </c>
      <c r="F328" s="57">
        <f>IF($A328="","",IF(_xlfn.XLOOKUP($A328,Korrelation!$D$4:$D$1197,Korrelation!I$4:I$1197,"-",0)="-",0,MATCH(_xlfn.XLOOKUP($A328,Korrelation!$D$4:$D$1197,Korrelation!I$4:I$1197,"",0),DMAV_Dienste!$F$6:$F$140,0)))</f>
        <v>0</v>
      </c>
      <c r="G328" s="57">
        <f>IF($A328="","",IF(_xlfn.XLOOKUP($A328,Korrelation!$D$4:$D$1197,Korrelation!J$4:J$1197,"-",0)="-",0,MATCH(_xlfn.XLOOKUP($A328,Korrelation!$D$4:$D$1197,Korrelation!J$4:J$1197,"",0),DMAV_Dienste!$F$6:$F$140,0)))</f>
        <v>0</v>
      </c>
      <c r="H328" s="57">
        <f>IF($A328="","",IF(_xlfn.XLOOKUP($A328,Korrelation!$D$4:$D$1197,Korrelation!K$4:K$1197,"-",0)="-",0,MATCH(_xlfn.XLOOKUP($A328,Korrelation!$D$4:$D$1197,Korrelation!K$4:K$1197,"",0),'DM01-AV-CH'!$A$6:$A$834,0)))</f>
        <v>0</v>
      </c>
      <c r="J328" s="54" t="str" cm="1">
        <f t="array" aca="1" ref="J328" ca="1">IF(B328=0,IF(E328=0,"",HYPERLINK("#"&amp;RIGHT(CELL("adresse",OFFSET(DMAV_Dienste!$M$6,E328-1,0)),LEN(CELL("adresse",OFFSET(DMAV_Dienste!$M$6,E328-1,0)))-FIND("]",CELL("adresse",OFFSET(DMAV_Dienste!$M$6,E328-1,0)))),"Dienst")),HYPERLINK("#"&amp;RIGHT(CELL("adresse",OFFSET(DMAV_Modell!$N$6,B328-1,0)),LEN(CELL("adresse",OFFSET(DMAV_Modell!$N$6,B328-1,0)))-FIND("]",CELL("adresse",OFFSET(DMAV_Modell!$N$6,B328-1,0)))),"Modell"))</f>
        <v>Modell</v>
      </c>
      <c r="K328" s="61" t="str" cm="1">
        <f t="array" ref="K328">IF($B328=0,IF($E328=0,"",IF(INDEX(DMAV_Dienste!P$6:P$140,$E328)="","",INDEX(DMAV_Dienste!P$6:P$140,$E328))),IF(INDEX(DMAV_Modell!Q$6:Q$838,$B328)="","",INDEX(DMAV_Modell!Q$6:Q$838,$B328)))</f>
        <v>CLASS</v>
      </c>
      <c r="L328" s="62" t="str" cm="1">
        <f t="array" ref="L328">IF($B328=0,IF($E328=0,"",IF(INDEX(DMAV_Dienste!O$6:O$140,$E328)="","",INDEX(DMAV_Dienste!O$6:O$140,$E328))),IF(INDEX(DMAV_Modell!P$6:P$838,$B328)="","",INDEX(DMAV_Modell!P$6:P$838,$B328)))</f>
        <v>FixpunkteAVKategorie3</v>
      </c>
      <c r="M328" s="62" t="str" cm="1">
        <f t="array" ref="M328">IF($B328=0,IF($E328=0,"",IF(INDEX(DMAV_Dienste!Q$6:Q$140,$E328)="","",INDEX(DMAV_Dienste!Q$6:Q$140,$E328))),IF(INDEX(DMAV_Modell!R$6:R$838,$B328)="","",INDEX(DMAV_Modell!R$6:R$838,$B328)))</f>
        <v>HFP3</v>
      </c>
      <c r="N328" s="62" t="str" cm="1">
        <f t="array" ref="N328">IF($B328=0,IF($E328=0,"",IF(INDEX(DMAV_Dienste!T$6:T$140,$E328)="","",INDEX(DMAV_Dienste!T$6:T$140,$E328))),IF(INDEX(DMAV_Modell!U$6:U$838,$B328)="","",INDEX(DMAV_Modell!U$6:U$838,$B328)))</f>
        <v>Textposition</v>
      </c>
      <c r="O328" s="63" t="str" cm="1">
        <f t="array" aca="1" ref="O328" ca="1">IF(C328=0,IF(F328=0,"",HYPERLINK("#"&amp;RIGHT(CELL("adresse",OFFSET(DMAV_Dienste!$M$6,F328-1,0)),LEN(CELL("adresse",OFFSET(DMAV_Dienste!$M$6,F328-1,0)))-FIND("]",CELL("adresse",OFFSET(DMAV_Dienste!$M$6,F328-1,0)))),"Structure")),HYPERLINK("#"&amp;RIGHT(CELL("adresse",OFFSET(DMAV_Modell!$N$6,C328-1,0)),LEN(CELL("adresse",OFFSET(DMAV_Modell!$N$6,C328-1,0)))-FIND("]",CELL("adresse",OFFSET(DMAV_Modell!$N$6,C328-1,0)))),"Structure"))</f>
        <v>Structure</v>
      </c>
      <c r="P328" s="64" t="str" cm="1">
        <f t="array" aca="1" ref="P328" ca="1">IF(D328=0,IF(G328=0,"",HYPERLINK("#"&amp;RIGHT(CELL("adresse",OFFSET(DMAV_Dienste!$M$6,G328-1,0)),LEN(CELL("adresse",OFFSET(DMAV_Dienste!$M$6,G328-1,0)))-FIND("]",CELL("adresse",OFFSET(DMAV_Dienste!$M$6,G328-1,0)))),"Substructure")),HYPERLINK("#"&amp;RIGHT(CELL("adresse",OFFSET(DMAV_Modell!$N$6,D328-1,0)),LEN(CELL("adresse",OFFSET(DMAV_Modell!$N$6,D328-1,0)))-FIND("]",CELL("adresse",OFFSET(DMAV_Modell!$N$6,D328-1,0)))),"Substructure"))</f>
        <v/>
      </c>
      <c r="R328" s="80"/>
      <c r="T328" s="93"/>
      <c r="U328" s="94"/>
      <c r="V328" s="95"/>
      <c r="W328" s="96"/>
      <c r="Y328" s="85"/>
      <c r="Z328" s="86"/>
      <c r="AA328" s="87"/>
      <c r="AB328" s="88"/>
      <c r="AD328" s="77"/>
      <c r="AF328" s="54" t="str" cm="1">
        <f t="array" aca="1" ref="AF328" ca="1">IF(H328=0,"",HYPERLINK("#"&amp;RIGHT(CELL("adresse",OFFSET('DM01-AV-CH'!$G$6,H328-1,0)),LEN(CELL("adresse",OFFSET('DM01-AV-CH'!$G$6,H328-1,0)))-FIND("]",CELL("adresse",OFFSET('DM01-AV-CH'!$G$6,H328-1,0)))),"Modell"))</f>
        <v/>
      </c>
      <c r="AG328" s="72" t="str" cm="1">
        <f t="array" ref="AG328">IF($H328=0,"",IF(INDEX('DM01-AV-CH'!G$6:G$834,$H328)="","",INDEX('DM01-AV-CH'!G$6:G$834,$H328)))</f>
        <v/>
      </c>
      <c r="AH328" s="73" t="str" cm="1">
        <f t="array" ref="AH328">IF($H328=0,"",IF(INDEX('DM01-AV-CH'!H$6:H$834,$H328)="","",INDEX('DM01-AV-CH'!H$6:H$834,$H328)))</f>
        <v/>
      </c>
      <c r="AI328" s="74" t="str" cm="1">
        <f t="array" ref="AI328">IF($H328=0,"",IF(INDEX('DM01-AV-CH'!I$6:I$834,$H328)="","",INDEX('DM01-AV-CH'!I$6:I$834,$H328)))</f>
        <v/>
      </c>
    </row>
    <row r="329" spans="1:35" x14ac:dyDescent="0.25">
      <c r="A329" s="57">
        <v>324</v>
      </c>
      <c r="B329" s="57">
        <f>IF($A329="","",IF(_xlfn.XLOOKUP($A329,Korrelation!$D$4:$D$1197,Korrelation!E$4:E$1197,"-",0)="-",0,MATCH(_xlfn.XLOOKUP($A329,Korrelation!$D$4:$D$1197,Korrelation!E$4:E$1197,"",0),DMAV_Modell!$G$6:$G$677,0)))</f>
        <v>0</v>
      </c>
      <c r="C329" s="57">
        <f>IF($A329="","",IF(_xlfn.XLOOKUP($A329,Korrelation!$D$4:$D$1197,Korrelation!F$4:F$1197,"-",0)="-",0,MATCH(_xlfn.XLOOKUP($A329,Korrelation!$D$4:$D$1197,Korrelation!F$4:F$1197,"",0),DMAV_Modell!$G$6:$G$677,0)))</f>
        <v>0</v>
      </c>
      <c r="D329" s="57">
        <f>IF($A329="","",IF(_xlfn.XLOOKUP($A329,Korrelation!$D$4:$D$1197,Korrelation!G$4:G$1197,"-",0)="-",0,MATCH(_xlfn.XLOOKUP($A329,Korrelation!$D$4:$D$1197,Korrelation!G$4:G$1197,"",0),DMAV_Modell!$G$6:$G$677,0)))</f>
        <v>0</v>
      </c>
      <c r="E329" s="57">
        <f>IF($A329="","",IF(_xlfn.XLOOKUP($A329,Korrelation!$D$4:$D$1197,Korrelation!H$4:H$1197,"-",0)="-",0,MATCH(_xlfn.XLOOKUP($A329,Korrelation!$D$4:$D$1197,Korrelation!H$4:H$1197,"",0),DMAV_Dienste!$F$6:$F$140,0)))</f>
        <v>0</v>
      </c>
      <c r="F329" s="57">
        <f>IF($A329="","",IF(_xlfn.XLOOKUP($A329,Korrelation!$D$4:$D$1197,Korrelation!I$4:I$1197,"-",0)="-",0,MATCH(_xlfn.XLOOKUP($A329,Korrelation!$D$4:$D$1197,Korrelation!I$4:I$1197,"",0),DMAV_Dienste!$F$6:$F$140,0)))</f>
        <v>0</v>
      </c>
      <c r="G329" s="57">
        <f>IF($A329="","",IF(_xlfn.XLOOKUP($A329,Korrelation!$D$4:$D$1197,Korrelation!J$4:J$1197,"-",0)="-",0,MATCH(_xlfn.XLOOKUP($A329,Korrelation!$D$4:$D$1197,Korrelation!J$4:J$1197,"",0),DMAV_Dienste!$F$6:$F$140,0)))</f>
        <v>0</v>
      </c>
      <c r="H329" s="57">
        <f>IF($A329="","",IF(_xlfn.XLOOKUP($A329,Korrelation!$D$4:$D$1197,Korrelation!K$4:K$1197,"-",0)="-",0,MATCH(_xlfn.XLOOKUP($A329,Korrelation!$D$4:$D$1197,Korrelation!K$4:K$1197,"",0),'DM01-AV-CH'!$A$6:$A$834,0)))</f>
        <v>164</v>
      </c>
      <c r="J329" s="54" t="str" cm="1">
        <f t="array" aca="1" ref="J329" ca="1">IF(B329=0,IF(E329=0,"",HYPERLINK("#"&amp;RIGHT(CELL("adresse",OFFSET(DMAV_Dienste!$M$6,E329-1,0)),LEN(CELL("adresse",OFFSET(DMAV_Dienste!$M$6,E329-1,0)))-FIND("]",CELL("adresse",OFFSET(DMAV_Dienste!$M$6,E329-1,0)))),"Dienst")),HYPERLINK("#"&amp;RIGHT(CELL("adresse",OFFSET(DMAV_Modell!$N$6,B329-1,0)),LEN(CELL("adresse",OFFSET(DMAV_Modell!$N$6,B329-1,0)))-FIND("]",CELL("adresse",OFFSET(DMAV_Modell!$N$6,B329-1,0)))),"Modell"))</f>
        <v/>
      </c>
      <c r="K329" s="61" t="str" cm="1">
        <f t="array" ref="K329">IF($B329=0,IF($E329=0,"",IF(INDEX(DMAV_Dienste!P$6:P$140,$E329)="","",INDEX(DMAV_Dienste!P$6:P$140,$E329))),IF(INDEX(DMAV_Modell!Q$6:Q$838,$B329)="","",INDEX(DMAV_Modell!Q$6:Q$838,$B329)))</f>
        <v/>
      </c>
      <c r="L329" s="62" t="str" cm="1">
        <f t="array" ref="L329">IF($B329=0,IF($E329=0,"",IF(INDEX(DMAV_Dienste!O$6:O$140,$E329)="","",INDEX(DMAV_Dienste!O$6:O$140,$E329))),IF(INDEX(DMAV_Modell!P$6:P$838,$B329)="","",INDEX(DMAV_Modell!P$6:P$838,$B329)))</f>
        <v/>
      </c>
      <c r="M329" s="62" t="str" cm="1">
        <f t="array" ref="M329">IF($B329=0,IF($E329=0,"",IF(INDEX(DMAV_Dienste!Q$6:Q$140,$E329)="","",INDEX(DMAV_Dienste!Q$6:Q$140,$E329))),IF(INDEX(DMAV_Modell!R$6:R$838,$B329)="","",INDEX(DMAV_Modell!R$6:R$838,$B329)))</f>
        <v/>
      </c>
      <c r="N329" s="62" t="str" cm="1">
        <f t="array" ref="N329">IF($B329=0,IF($E329=0,"",IF(INDEX(DMAV_Dienste!T$6:T$140,$E329)="","",INDEX(DMAV_Dienste!T$6:T$140,$E329))),IF(INDEX(DMAV_Modell!U$6:U$838,$B329)="","",INDEX(DMAV_Modell!U$6:U$838,$B329)))</f>
        <v/>
      </c>
      <c r="O329" s="63" t="str" cm="1">
        <f t="array" aca="1" ref="O329" ca="1">IF(C329=0,IF(F329=0,"",HYPERLINK("#"&amp;RIGHT(CELL("adresse",OFFSET(DMAV_Dienste!$M$6,F329-1,0)),LEN(CELL("adresse",OFFSET(DMAV_Dienste!$M$6,F329-1,0)))-FIND("]",CELL("adresse",OFFSET(DMAV_Dienste!$M$6,F329-1,0)))),"Structure")),HYPERLINK("#"&amp;RIGHT(CELL("adresse",OFFSET(DMAV_Modell!$N$6,C329-1,0)),LEN(CELL("adresse",OFFSET(DMAV_Modell!$N$6,C329-1,0)))-FIND("]",CELL("adresse",OFFSET(DMAV_Modell!$N$6,C329-1,0)))),"Structure"))</f>
        <v/>
      </c>
      <c r="P329" s="64" t="str" cm="1">
        <f t="array" aca="1" ref="P329" ca="1">IF(D329=0,IF(G329=0,"",HYPERLINK("#"&amp;RIGHT(CELL("adresse",OFFSET(DMAV_Dienste!$M$6,G329-1,0)),LEN(CELL("adresse",OFFSET(DMAV_Dienste!$M$6,G329-1,0)))-FIND("]",CELL("adresse",OFFSET(DMAV_Dienste!$M$6,G329-1,0)))),"Substructure")),HYPERLINK("#"&amp;RIGHT(CELL("adresse",OFFSET(DMAV_Modell!$N$6,D329-1,0)),LEN(CELL("adresse",OFFSET(DMAV_Modell!$N$6,D329-1,0)))-FIND("]",CELL("adresse",OFFSET(DMAV_Modell!$N$6,D329-1,0)))),"Substructure"))</f>
        <v/>
      </c>
      <c r="R329" s="80"/>
      <c r="T329" s="93"/>
      <c r="U329" s="94"/>
      <c r="V329" s="95"/>
      <c r="W329" s="96"/>
      <c r="Y329" s="85"/>
      <c r="Z329" s="86"/>
      <c r="AA329" s="87"/>
      <c r="AB329" s="88"/>
      <c r="AD329" s="77"/>
      <c r="AF329" s="54" t="str" cm="1">
        <f t="array" aca="1" ref="AF329" ca="1">IF(H329=0,"",HYPERLINK("#"&amp;RIGHT(CELL("adresse",OFFSET('DM01-AV-CH'!$G$6,H329-1,0)),LEN(CELL("adresse",OFFSET('DM01-AV-CH'!$G$6,H329-1,0)))-FIND("]",CELL("adresse",OFFSET('DM01-AV-CH'!$G$6,H329-1,0)))),"Modell"))</f>
        <v>Modell</v>
      </c>
      <c r="AG329" s="72" t="str" cm="1">
        <f t="array" ref="AG329">IF($H329=0,"",IF(INDEX('DM01-AV-CH'!G$6:G$834,$H329)="","",INDEX('DM01-AV-CH'!G$6:G$834,$H329)))</f>
        <v>FixpunkteKategorie3</v>
      </c>
      <c r="AH329" s="73" t="str" cm="1">
        <f t="array" ref="AH329">IF($H329=0,"",IF(INDEX('DM01-AV-CH'!H$6:H$834,$H329)="","",INDEX('DM01-AV-CH'!H$6:H$834,$H329)))</f>
        <v>HFP3Pos</v>
      </c>
      <c r="AI329" s="74" t="str" cm="1">
        <f t="array" ref="AI329">IF($H329=0,"",IF(INDEX('DM01-AV-CH'!I$6:I$834,$H329)="","",INDEX('DM01-AV-CH'!I$6:I$834,$H329)))</f>
        <v>HFP3Pos_von</v>
      </c>
    </row>
    <row r="330" spans="1:35" x14ac:dyDescent="0.25">
      <c r="A330" s="57">
        <v>325</v>
      </c>
      <c r="B330" s="57">
        <f>IF($A330="","",IF(_xlfn.XLOOKUP($A330,Korrelation!$D$4:$D$1197,Korrelation!E$4:E$1197,"-",0)="-",0,MATCH(_xlfn.XLOOKUP($A330,Korrelation!$D$4:$D$1197,Korrelation!E$4:E$1197,"",0),DMAV_Modell!$G$6:$G$677,0)))</f>
        <v>115</v>
      </c>
      <c r="C330" s="57">
        <f>IF($A330="","",IF(_xlfn.XLOOKUP($A330,Korrelation!$D$4:$D$1197,Korrelation!F$4:F$1197,"-",0)="-",0,MATCH(_xlfn.XLOOKUP($A330,Korrelation!$D$4:$D$1197,Korrelation!F$4:F$1197,"",0),DMAV_Modell!$G$6:$G$677,0)))</f>
        <v>26</v>
      </c>
      <c r="D330" s="57">
        <f>IF($A330="","",IF(_xlfn.XLOOKUP($A330,Korrelation!$D$4:$D$1197,Korrelation!G$4:G$1197,"-",0)="-",0,MATCH(_xlfn.XLOOKUP($A330,Korrelation!$D$4:$D$1197,Korrelation!G$4:G$1197,"",0),DMAV_Modell!$G$6:$G$677,0)))</f>
        <v>26</v>
      </c>
      <c r="E330" s="57">
        <f>IF($A330="","",IF(_xlfn.XLOOKUP($A330,Korrelation!$D$4:$D$1197,Korrelation!H$4:H$1197,"-",0)="-",0,MATCH(_xlfn.XLOOKUP($A330,Korrelation!$D$4:$D$1197,Korrelation!H$4:H$1197,"",0),DMAV_Dienste!$F$6:$F$140,0)))</f>
        <v>0</v>
      </c>
      <c r="F330" s="57">
        <f>IF($A330="","",IF(_xlfn.XLOOKUP($A330,Korrelation!$D$4:$D$1197,Korrelation!I$4:I$1197,"-",0)="-",0,MATCH(_xlfn.XLOOKUP($A330,Korrelation!$D$4:$D$1197,Korrelation!I$4:I$1197,"",0),DMAV_Dienste!$F$6:$F$140,0)))</f>
        <v>0</v>
      </c>
      <c r="G330" s="57">
        <f>IF($A330="","",IF(_xlfn.XLOOKUP($A330,Korrelation!$D$4:$D$1197,Korrelation!J$4:J$1197,"-",0)="-",0,MATCH(_xlfn.XLOOKUP($A330,Korrelation!$D$4:$D$1197,Korrelation!J$4:J$1197,"",0),DMAV_Dienste!$F$6:$F$140,0)))</f>
        <v>0</v>
      </c>
      <c r="H330" s="57">
        <f>IF($A330="","",IF(_xlfn.XLOOKUP($A330,Korrelation!$D$4:$D$1197,Korrelation!K$4:K$1197,"-",0)="-",0,MATCH(_xlfn.XLOOKUP($A330,Korrelation!$D$4:$D$1197,Korrelation!K$4:K$1197,"",0),'DM01-AV-CH'!$A$6:$A$834,0)))</f>
        <v>165</v>
      </c>
      <c r="J330" s="54" t="str" cm="1">
        <f t="array" aca="1" ref="J330" ca="1">IF(B330=0,IF(E330=0,"",HYPERLINK("#"&amp;RIGHT(CELL("adresse",OFFSET(DMAV_Dienste!$M$6,E330-1,0)),LEN(CELL("adresse",OFFSET(DMAV_Dienste!$M$6,E330-1,0)))-FIND("]",CELL("adresse",OFFSET(DMAV_Dienste!$M$6,E330-1,0)))),"Dienst")),HYPERLINK("#"&amp;RIGHT(CELL("adresse",OFFSET(DMAV_Modell!$N$6,B330-1,0)),LEN(CELL("adresse",OFFSET(DMAV_Modell!$N$6,B330-1,0)))-FIND("]",CELL("adresse",OFFSET(DMAV_Modell!$N$6,B330-1,0)))),"Modell"))</f>
        <v>Modell</v>
      </c>
      <c r="K330" s="61" t="str" cm="1">
        <f t="array" ref="K330">IF($B330=0,IF($E330=0,"",IF(INDEX(DMAV_Dienste!P$6:P$140,$E330)="","",INDEX(DMAV_Dienste!P$6:P$140,$E330))),IF(INDEX(DMAV_Modell!Q$6:Q$838,$B330)="","",INDEX(DMAV_Modell!Q$6:Q$838,$B330)))</f>
        <v>CLASS</v>
      </c>
      <c r="L330" s="62" t="str" cm="1">
        <f t="array" ref="L330">IF($B330=0,IF($E330=0,"",IF(INDEX(DMAV_Dienste!O$6:O$140,$E330)="","",INDEX(DMAV_Dienste!O$6:O$140,$E330))),IF(INDEX(DMAV_Modell!P$6:P$838,$B330)="","",INDEX(DMAV_Modell!P$6:P$838,$B330)))</f>
        <v>FixpunkteAVKategorie3</v>
      </c>
      <c r="M330" s="62" t="str" cm="1">
        <f t="array" ref="M330">IF($B330=0,IF($E330=0,"",IF(INDEX(DMAV_Dienste!Q$6:Q$140,$E330)="","",INDEX(DMAV_Dienste!Q$6:Q$140,$E330))),IF(INDEX(DMAV_Modell!R$6:R$838,$B330)="","",INDEX(DMAV_Modell!R$6:R$838,$B330)))</f>
        <v>HFP3</v>
      </c>
      <c r="N330" s="62" t="str" cm="1">
        <f t="array" ref="N330">IF($B330=0,IF($E330=0,"",IF(INDEX(DMAV_Dienste!T$6:T$140,$E330)="","",INDEX(DMAV_Dienste!T$6:T$140,$E330))),IF(INDEX(DMAV_Modell!U$6:U$838,$B330)="","",INDEX(DMAV_Modell!U$6:U$838,$B330)))</f>
        <v>Textposition</v>
      </c>
      <c r="O330" s="63" t="str" cm="1">
        <f t="array" aca="1" ref="O330" ca="1">IF(C330=0,IF(F330=0,"",HYPERLINK("#"&amp;RIGHT(CELL("adresse",OFFSET(DMAV_Dienste!$M$6,F330-1,0)),LEN(CELL("adresse",OFFSET(DMAV_Dienste!$M$6,F330-1,0)))-FIND("]",CELL("adresse",OFFSET(DMAV_Dienste!$M$6,F330-1,0)))),"Structure")),HYPERLINK("#"&amp;RIGHT(CELL("adresse",OFFSET(DMAV_Modell!$N$6,C330-1,0)),LEN(CELL("adresse",OFFSET(DMAV_Modell!$N$6,C330-1,0)))-FIND("]",CELL("adresse",OFFSET(DMAV_Modell!$N$6,C330-1,0)))),"Structure"))</f>
        <v>Structure</v>
      </c>
      <c r="P330" s="64" t="str" cm="1">
        <f t="array" aca="1" ref="P330" ca="1">IF(D330=0,IF(G330=0,"",HYPERLINK("#"&amp;RIGHT(CELL("adresse",OFFSET(DMAV_Dienste!$M$6,G330-1,0)),LEN(CELL("adresse",OFFSET(DMAV_Dienste!$M$6,G330-1,0)))-FIND("]",CELL("adresse",OFFSET(DMAV_Dienste!$M$6,G330-1,0)))),"Substructure")),HYPERLINK("#"&amp;RIGHT(CELL("adresse",OFFSET(DMAV_Modell!$N$6,D330-1,0)),LEN(CELL("adresse",OFFSET(DMAV_Modell!$N$6,D330-1,0)))-FIND("]",CELL("adresse",OFFSET(DMAV_Modell!$N$6,D330-1,0)))),"Substructure"))</f>
        <v>Substructure</v>
      </c>
      <c r="R330" s="80"/>
      <c r="T330" s="93"/>
      <c r="U330" s="94"/>
      <c r="V330" s="95"/>
      <c r="W330" s="96"/>
      <c r="Y330" s="85"/>
      <c r="Z330" s="86"/>
      <c r="AA330" s="87"/>
      <c r="AB330" s="88"/>
      <c r="AD330" s="77"/>
      <c r="AF330" s="54" t="str" cm="1">
        <f t="array" aca="1" ref="AF330" ca="1">IF(H330=0,"",HYPERLINK("#"&amp;RIGHT(CELL("adresse",OFFSET('DM01-AV-CH'!$G$6,H330-1,0)),LEN(CELL("adresse",OFFSET('DM01-AV-CH'!$G$6,H330-1,0)))-FIND("]",CELL("adresse",OFFSET('DM01-AV-CH'!$G$6,H330-1,0)))),"Modell"))</f>
        <v>Modell</v>
      </c>
      <c r="AG330" s="72" t="str" cm="1">
        <f t="array" ref="AG330">IF($H330=0,"",IF(INDEX('DM01-AV-CH'!G$6:G$834,$H330)="","",INDEX('DM01-AV-CH'!G$6:G$834,$H330)))</f>
        <v>FixpunkteKategorie3</v>
      </c>
      <c r="AH330" s="73" t="str" cm="1">
        <f t="array" ref="AH330">IF($H330=0,"",IF(INDEX('DM01-AV-CH'!H$6:H$834,$H330)="","",INDEX('DM01-AV-CH'!H$6:H$834,$H330)))</f>
        <v>HFP3Pos</v>
      </c>
      <c r="AI330" s="74" t="str" cm="1">
        <f t="array" ref="AI330">IF($H330=0,"",IF(INDEX('DM01-AV-CH'!I$6:I$834,$H330)="","",INDEX('DM01-AV-CH'!I$6:I$834,$H330)))</f>
        <v>Pos</v>
      </c>
    </row>
    <row r="331" spans="1:35" x14ac:dyDescent="0.25">
      <c r="A331" s="57">
        <v>326</v>
      </c>
      <c r="B331" s="57">
        <f>IF($A331="","",IF(_xlfn.XLOOKUP($A331,Korrelation!$D$4:$D$1197,Korrelation!E$4:E$1197,"-",0)="-",0,MATCH(_xlfn.XLOOKUP($A331,Korrelation!$D$4:$D$1197,Korrelation!E$4:E$1197,"",0),DMAV_Modell!$G$6:$G$677,0)))</f>
        <v>115</v>
      </c>
      <c r="C331" s="57">
        <f>IF($A331="","",IF(_xlfn.XLOOKUP($A331,Korrelation!$D$4:$D$1197,Korrelation!F$4:F$1197,"-",0)="-",0,MATCH(_xlfn.XLOOKUP($A331,Korrelation!$D$4:$D$1197,Korrelation!F$4:F$1197,"",0),DMAV_Modell!$G$6:$G$677,0)))</f>
        <v>26</v>
      </c>
      <c r="D331" s="57">
        <f>IF($A331="","",IF(_xlfn.XLOOKUP($A331,Korrelation!$D$4:$D$1197,Korrelation!G$4:G$1197,"-",0)="-",0,MATCH(_xlfn.XLOOKUP($A331,Korrelation!$D$4:$D$1197,Korrelation!G$4:G$1197,"",0),DMAV_Modell!$G$6:$G$677,0)))</f>
        <v>27</v>
      </c>
      <c r="E331" s="57">
        <f>IF($A331="","",IF(_xlfn.XLOOKUP($A331,Korrelation!$D$4:$D$1197,Korrelation!H$4:H$1197,"-",0)="-",0,MATCH(_xlfn.XLOOKUP($A331,Korrelation!$D$4:$D$1197,Korrelation!H$4:H$1197,"",0),DMAV_Dienste!$F$6:$F$140,0)))</f>
        <v>0</v>
      </c>
      <c r="F331" s="57">
        <f>IF($A331="","",IF(_xlfn.XLOOKUP($A331,Korrelation!$D$4:$D$1197,Korrelation!I$4:I$1197,"-",0)="-",0,MATCH(_xlfn.XLOOKUP($A331,Korrelation!$D$4:$D$1197,Korrelation!I$4:I$1197,"",0),DMAV_Dienste!$F$6:$F$140,0)))</f>
        <v>0</v>
      </c>
      <c r="G331" s="57">
        <f>IF($A331="","",IF(_xlfn.XLOOKUP($A331,Korrelation!$D$4:$D$1197,Korrelation!J$4:J$1197,"-",0)="-",0,MATCH(_xlfn.XLOOKUP($A331,Korrelation!$D$4:$D$1197,Korrelation!J$4:J$1197,"",0),DMAV_Dienste!$F$6:$F$140,0)))</f>
        <v>0</v>
      </c>
      <c r="H331" s="57">
        <f>IF($A331="","",IF(_xlfn.XLOOKUP($A331,Korrelation!$D$4:$D$1197,Korrelation!K$4:K$1197,"-",0)="-",0,MATCH(_xlfn.XLOOKUP($A331,Korrelation!$D$4:$D$1197,Korrelation!K$4:K$1197,"",0),'DM01-AV-CH'!$A$6:$A$834,0)))</f>
        <v>166</v>
      </c>
      <c r="J331" s="54" t="str" cm="1">
        <f t="array" aca="1" ref="J331" ca="1">IF(B331=0,IF(E331=0,"",HYPERLINK("#"&amp;RIGHT(CELL("adresse",OFFSET(DMAV_Dienste!$M$6,E331-1,0)),LEN(CELL("adresse",OFFSET(DMAV_Dienste!$M$6,E331-1,0)))-FIND("]",CELL("adresse",OFFSET(DMAV_Dienste!$M$6,E331-1,0)))),"Dienst")),HYPERLINK("#"&amp;RIGHT(CELL("adresse",OFFSET(DMAV_Modell!$N$6,B331-1,0)),LEN(CELL("adresse",OFFSET(DMAV_Modell!$N$6,B331-1,0)))-FIND("]",CELL("adresse",OFFSET(DMAV_Modell!$N$6,B331-1,0)))),"Modell"))</f>
        <v>Modell</v>
      </c>
      <c r="K331" s="61" t="str" cm="1">
        <f t="array" ref="K331">IF($B331=0,IF($E331=0,"",IF(INDEX(DMAV_Dienste!P$6:P$140,$E331)="","",INDEX(DMAV_Dienste!P$6:P$140,$E331))),IF(INDEX(DMAV_Modell!Q$6:Q$838,$B331)="","",INDEX(DMAV_Modell!Q$6:Q$838,$B331)))</f>
        <v>CLASS</v>
      </c>
      <c r="L331" s="62" t="str" cm="1">
        <f t="array" ref="L331">IF($B331=0,IF($E331=0,"",IF(INDEX(DMAV_Dienste!O$6:O$140,$E331)="","",INDEX(DMAV_Dienste!O$6:O$140,$E331))),IF(INDEX(DMAV_Modell!P$6:P$838,$B331)="","",INDEX(DMAV_Modell!P$6:P$838,$B331)))</f>
        <v>FixpunkteAVKategorie3</v>
      </c>
      <c r="M331" s="62" t="str" cm="1">
        <f t="array" ref="M331">IF($B331=0,IF($E331=0,"",IF(INDEX(DMAV_Dienste!Q$6:Q$140,$E331)="","",INDEX(DMAV_Dienste!Q$6:Q$140,$E331))),IF(INDEX(DMAV_Modell!R$6:R$838,$B331)="","",INDEX(DMAV_Modell!R$6:R$838,$B331)))</f>
        <v>HFP3</v>
      </c>
      <c r="N331" s="62" t="str" cm="1">
        <f t="array" ref="N331">IF($B331=0,IF($E331=0,"",IF(INDEX(DMAV_Dienste!T$6:T$140,$E331)="","",INDEX(DMAV_Dienste!T$6:T$140,$E331))),IF(INDEX(DMAV_Modell!U$6:U$838,$B331)="","",INDEX(DMAV_Modell!U$6:U$838,$B331)))</f>
        <v>Textposition</v>
      </c>
      <c r="O331" s="63" t="str" cm="1">
        <f t="array" aca="1" ref="O331" ca="1">IF(C331=0,IF(F331=0,"",HYPERLINK("#"&amp;RIGHT(CELL("adresse",OFFSET(DMAV_Dienste!$M$6,F331-1,0)),LEN(CELL("adresse",OFFSET(DMAV_Dienste!$M$6,F331-1,0)))-FIND("]",CELL("adresse",OFFSET(DMAV_Dienste!$M$6,F331-1,0)))),"Structure")),HYPERLINK("#"&amp;RIGHT(CELL("adresse",OFFSET(DMAV_Modell!$N$6,C331-1,0)),LEN(CELL("adresse",OFFSET(DMAV_Modell!$N$6,C331-1,0)))-FIND("]",CELL("adresse",OFFSET(DMAV_Modell!$N$6,C331-1,0)))),"Structure"))</f>
        <v>Structure</v>
      </c>
      <c r="P331" s="64" t="str" cm="1">
        <f t="array" aca="1" ref="P331" ca="1">IF(D331=0,IF(G331=0,"",HYPERLINK("#"&amp;RIGHT(CELL("adresse",OFFSET(DMAV_Dienste!$M$6,G331-1,0)),LEN(CELL("adresse",OFFSET(DMAV_Dienste!$M$6,G331-1,0)))-FIND("]",CELL("adresse",OFFSET(DMAV_Dienste!$M$6,G331-1,0)))),"Substructure")),HYPERLINK("#"&amp;RIGHT(CELL("adresse",OFFSET(DMAV_Modell!$N$6,D331-1,0)),LEN(CELL("adresse",OFFSET(DMAV_Modell!$N$6,D331-1,0)))-FIND("]",CELL("adresse",OFFSET(DMAV_Modell!$N$6,D331-1,0)))),"Substructure"))</f>
        <v>Substructure</v>
      </c>
      <c r="R331" s="80"/>
      <c r="T331" s="93"/>
      <c r="U331" s="94"/>
      <c r="V331" s="95"/>
      <c r="W331" s="96"/>
      <c r="Y331" s="85"/>
      <c r="Z331" s="86"/>
      <c r="AA331" s="87"/>
      <c r="AB331" s="88"/>
      <c r="AD331" s="77"/>
      <c r="AF331" s="54" t="str" cm="1">
        <f t="array" aca="1" ref="AF331" ca="1">IF(H331=0,"",HYPERLINK("#"&amp;RIGHT(CELL("adresse",OFFSET('DM01-AV-CH'!$G$6,H331-1,0)),LEN(CELL("adresse",OFFSET('DM01-AV-CH'!$G$6,H331-1,0)))-FIND("]",CELL("adresse",OFFSET('DM01-AV-CH'!$G$6,H331-1,0)))),"Modell"))</f>
        <v>Modell</v>
      </c>
      <c r="AG331" s="72" t="str" cm="1">
        <f t="array" ref="AG331">IF($H331=0,"",IF(INDEX('DM01-AV-CH'!G$6:G$834,$H331)="","",INDEX('DM01-AV-CH'!G$6:G$834,$H331)))</f>
        <v>FixpunkteKategorie3</v>
      </c>
      <c r="AH331" s="73" t="str" cm="1">
        <f t="array" ref="AH331">IF($H331=0,"",IF(INDEX('DM01-AV-CH'!H$6:H$834,$H331)="","",INDEX('DM01-AV-CH'!H$6:H$834,$H331)))</f>
        <v>HFP3Pos</v>
      </c>
      <c r="AI331" s="74" t="str" cm="1">
        <f t="array" ref="AI331">IF($H331=0,"",IF(INDEX('DM01-AV-CH'!I$6:I$834,$H331)="","",INDEX('DM01-AV-CH'!I$6:I$834,$H331)))</f>
        <v>Ori</v>
      </c>
    </row>
    <row r="332" spans="1:35" x14ac:dyDescent="0.25">
      <c r="A332" s="57">
        <v>327</v>
      </c>
      <c r="B332" s="57">
        <f>IF($A332="","",IF(_xlfn.XLOOKUP($A332,Korrelation!$D$4:$D$1197,Korrelation!E$4:E$1197,"-",0)="-",0,MATCH(_xlfn.XLOOKUP($A332,Korrelation!$D$4:$D$1197,Korrelation!E$4:E$1197,"",0),DMAV_Modell!$G$6:$G$677,0)))</f>
        <v>115</v>
      </c>
      <c r="C332" s="57">
        <f>IF($A332="","",IF(_xlfn.XLOOKUP($A332,Korrelation!$D$4:$D$1197,Korrelation!F$4:F$1197,"-",0)="-",0,MATCH(_xlfn.XLOOKUP($A332,Korrelation!$D$4:$D$1197,Korrelation!F$4:F$1197,"",0),DMAV_Modell!$G$6:$G$677,0)))</f>
        <v>26</v>
      </c>
      <c r="D332" s="57">
        <f>IF($A332="","",IF(_xlfn.XLOOKUP($A332,Korrelation!$D$4:$D$1197,Korrelation!G$4:G$1197,"-",0)="-",0,MATCH(_xlfn.XLOOKUP($A332,Korrelation!$D$4:$D$1197,Korrelation!G$4:G$1197,"",0),DMAV_Modell!$G$6:$G$677,0)))</f>
        <v>30</v>
      </c>
      <c r="E332" s="57">
        <f>IF($A332="","",IF(_xlfn.XLOOKUP($A332,Korrelation!$D$4:$D$1197,Korrelation!H$4:H$1197,"-",0)="-",0,MATCH(_xlfn.XLOOKUP($A332,Korrelation!$D$4:$D$1197,Korrelation!H$4:H$1197,"",0),DMAV_Dienste!$F$6:$F$140,0)))</f>
        <v>0</v>
      </c>
      <c r="F332" s="57">
        <f>IF($A332="","",IF(_xlfn.XLOOKUP($A332,Korrelation!$D$4:$D$1197,Korrelation!I$4:I$1197,"-",0)="-",0,MATCH(_xlfn.XLOOKUP($A332,Korrelation!$D$4:$D$1197,Korrelation!I$4:I$1197,"",0),DMAV_Dienste!$F$6:$F$140,0)))</f>
        <v>0</v>
      </c>
      <c r="G332" s="57">
        <f>IF($A332="","",IF(_xlfn.XLOOKUP($A332,Korrelation!$D$4:$D$1197,Korrelation!J$4:J$1197,"-",0)="-",0,MATCH(_xlfn.XLOOKUP($A332,Korrelation!$D$4:$D$1197,Korrelation!J$4:J$1197,"",0),DMAV_Dienste!$F$6:$F$140,0)))</f>
        <v>0</v>
      </c>
      <c r="H332" s="57">
        <f>IF($A332="","",IF(_xlfn.XLOOKUP($A332,Korrelation!$D$4:$D$1197,Korrelation!K$4:K$1197,"-",0)="-",0,MATCH(_xlfn.XLOOKUP($A332,Korrelation!$D$4:$D$1197,Korrelation!K$4:K$1197,"",0),'DM01-AV-CH'!$A$6:$A$834,0)))</f>
        <v>167</v>
      </c>
      <c r="J332" s="54" t="str" cm="1">
        <f t="array" aca="1" ref="J332" ca="1">IF(B332=0,IF(E332=0,"",HYPERLINK("#"&amp;RIGHT(CELL("adresse",OFFSET(DMAV_Dienste!$M$6,E332-1,0)),LEN(CELL("adresse",OFFSET(DMAV_Dienste!$M$6,E332-1,0)))-FIND("]",CELL("adresse",OFFSET(DMAV_Dienste!$M$6,E332-1,0)))),"Dienst")),HYPERLINK("#"&amp;RIGHT(CELL("adresse",OFFSET(DMAV_Modell!$N$6,B332-1,0)),LEN(CELL("adresse",OFFSET(DMAV_Modell!$N$6,B332-1,0)))-FIND("]",CELL("adresse",OFFSET(DMAV_Modell!$N$6,B332-1,0)))),"Modell"))</f>
        <v>Modell</v>
      </c>
      <c r="K332" s="61" t="str" cm="1">
        <f t="array" ref="K332">IF($B332=0,IF($E332=0,"",IF(INDEX(DMAV_Dienste!P$6:P$140,$E332)="","",INDEX(DMAV_Dienste!P$6:P$140,$E332))),IF(INDEX(DMAV_Modell!Q$6:Q$838,$B332)="","",INDEX(DMAV_Modell!Q$6:Q$838,$B332)))</f>
        <v>CLASS</v>
      </c>
      <c r="L332" s="62" t="str" cm="1">
        <f t="array" ref="L332">IF($B332=0,IF($E332=0,"",IF(INDEX(DMAV_Dienste!O$6:O$140,$E332)="","",INDEX(DMAV_Dienste!O$6:O$140,$E332))),IF(INDEX(DMAV_Modell!P$6:P$838,$B332)="","",INDEX(DMAV_Modell!P$6:P$838,$B332)))</f>
        <v>FixpunkteAVKategorie3</v>
      </c>
      <c r="M332" s="62" t="str" cm="1">
        <f t="array" ref="M332">IF($B332=0,IF($E332=0,"",IF(INDEX(DMAV_Dienste!Q$6:Q$140,$E332)="","",INDEX(DMAV_Dienste!Q$6:Q$140,$E332))),IF(INDEX(DMAV_Modell!R$6:R$838,$B332)="","",INDEX(DMAV_Modell!R$6:R$838,$B332)))</f>
        <v>HFP3</v>
      </c>
      <c r="N332" s="62" t="str" cm="1">
        <f t="array" ref="N332">IF($B332=0,IF($E332=0,"",IF(INDEX(DMAV_Dienste!T$6:T$140,$E332)="","",INDEX(DMAV_Dienste!T$6:T$140,$E332))),IF(INDEX(DMAV_Modell!U$6:U$838,$B332)="","",INDEX(DMAV_Modell!U$6:U$838,$B332)))</f>
        <v>Textposition</v>
      </c>
      <c r="O332" s="63" t="str" cm="1">
        <f t="array" aca="1" ref="O332" ca="1">IF(C332=0,IF(F332=0,"",HYPERLINK("#"&amp;RIGHT(CELL("adresse",OFFSET(DMAV_Dienste!$M$6,F332-1,0)),LEN(CELL("adresse",OFFSET(DMAV_Dienste!$M$6,F332-1,0)))-FIND("]",CELL("adresse",OFFSET(DMAV_Dienste!$M$6,F332-1,0)))),"Structure")),HYPERLINK("#"&amp;RIGHT(CELL("adresse",OFFSET(DMAV_Modell!$N$6,C332-1,0)),LEN(CELL("adresse",OFFSET(DMAV_Modell!$N$6,C332-1,0)))-FIND("]",CELL("adresse",OFFSET(DMAV_Modell!$N$6,C332-1,0)))),"Structure"))</f>
        <v>Structure</v>
      </c>
      <c r="P332" s="64" t="str" cm="1">
        <f t="array" aca="1" ref="P332" ca="1">IF(D332=0,IF(G332=0,"",HYPERLINK("#"&amp;RIGHT(CELL("adresse",OFFSET(DMAV_Dienste!$M$6,G332-1,0)),LEN(CELL("adresse",OFFSET(DMAV_Dienste!$M$6,G332-1,0)))-FIND("]",CELL("adresse",OFFSET(DMAV_Dienste!$M$6,G332-1,0)))),"Substructure")),HYPERLINK("#"&amp;RIGHT(CELL("adresse",OFFSET(DMAV_Modell!$N$6,D332-1,0)),LEN(CELL("adresse",OFFSET(DMAV_Modell!$N$6,D332-1,0)))-FIND("]",CELL("adresse",OFFSET(DMAV_Modell!$N$6,D332-1,0)))),"Substructure"))</f>
        <v>Substructure</v>
      </c>
      <c r="R332" s="80"/>
      <c r="T332" s="93"/>
      <c r="U332" s="94"/>
      <c r="V332" s="95"/>
      <c r="W332" s="96"/>
      <c r="Y332" s="85"/>
      <c r="Z332" s="86"/>
      <c r="AA332" s="87"/>
      <c r="AB332" s="88"/>
      <c r="AD332" s="77"/>
      <c r="AF332" s="54" t="str" cm="1">
        <f t="array" aca="1" ref="AF332" ca="1">IF(H332=0,"",HYPERLINK("#"&amp;RIGHT(CELL("adresse",OFFSET('DM01-AV-CH'!$G$6,H332-1,0)),LEN(CELL("adresse",OFFSET('DM01-AV-CH'!$G$6,H332-1,0)))-FIND("]",CELL("adresse",OFFSET('DM01-AV-CH'!$G$6,H332-1,0)))),"Modell"))</f>
        <v>Modell</v>
      </c>
      <c r="AG332" s="72" t="str" cm="1">
        <f t="array" ref="AG332">IF($H332=0,"",IF(INDEX('DM01-AV-CH'!G$6:G$834,$H332)="","",INDEX('DM01-AV-CH'!G$6:G$834,$H332)))</f>
        <v>FixpunkteKategorie3</v>
      </c>
      <c r="AH332" s="73" t="str" cm="1">
        <f t="array" ref="AH332">IF($H332=0,"",IF(INDEX('DM01-AV-CH'!H$6:H$834,$H332)="","",INDEX('DM01-AV-CH'!H$6:H$834,$H332)))</f>
        <v>HFP3Pos</v>
      </c>
      <c r="AI332" s="74" t="str" cm="1">
        <f t="array" ref="AI332">IF($H332=0,"",IF(INDEX('DM01-AV-CH'!I$6:I$834,$H332)="","",INDEX('DM01-AV-CH'!I$6:I$834,$H332)))</f>
        <v>HAli</v>
      </c>
    </row>
    <row r="333" spans="1:35" x14ac:dyDescent="0.25">
      <c r="A333" s="57">
        <v>328</v>
      </c>
      <c r="B333" s="57">
        <f>IF($A333="","",IF(_xlfn.XLOOKUP($A333,Korrelation!$D$4:$D$1197,Korrelation!E$4:E$1197,"-",0)="-",0,MATCH(_xlfn.XLOOKUP($A333,Korrelation!$D$4:$D$1197,Korrelation!E$4:E$1197,"",0),DMAV_Modell!$G$6:$G$677,0)))</f>
        <v>115</v>
      </c>
      <c r="C333" s="57">
        <f>IF($A333="","",IF(_xlfn.XLOOKUP($A333,Korrelation!$D$4:$D$1197,Korrelation!F$4:F$1197,"-",0)="-",0,MATCH(_xlfn.XLOOKUP($A333,Korrelation!$D$4:$D$1197,Korrelation!F$4:F$1197,"",0),DMAV_Modell!$G$6:$G$677,0)))</f>
        <v>26</v>
      </c>
      <c r="D333" s="57">
        <f>IF($A333="","",IF(_xlfn.XLOOKUP($A333,Korrelation!$D$4:$D$1197,Korrelation!G$4:G$1197,"-",0)="-",0,MATCH(_xlfn.XLOOKUP($A333,Korrelation!$D$4:$D$1197,Korrelation!G$4:G$1197,"",0),DMAV_Modell!$G$6:$G$677,0)))</f>
        <v>31</v>
      </c>
      <c r="E333" s="57">
        <f>IF($A333="","",IF(_xlfn.XLOOKUP($A333,Korrelation!$D$4:$D$1197,Korrelation!H$4:H$1197,"-",0)="-",0,MATCH(_xlfn.XLOOKUP($A333,Korrelation!$D$4:$D$1197,Korrelation!H$4:H$1197,"",0),DMAV_Dienste!$F$6:$F$140,0)))</f>
        <v>0</v>
      </c>
      <c r="F333" s="57">
        <f>IF($A333="","",IF(_xlfn.XLOOKUP($A333,Korrelation!$D$4:$D$1197,Korrelation!I$4:I$1197,"-",0)="-",0,MATCH(_xlfn.XLOOKUP($A333,Korrelation!$D$4:$D$1197,Korrelation!I$4:I$1197,"",0),DMAV_Dienste!$F$6:$F$140,0)))</f>
        <v>0</v>
      </c>
      <c r="G333" s="57">
        <f>IF($A333="","",IF(_xlfn.XLOOKUP($A333,Korrelation!$D$4:$D$1197,Korrelation!J$4:J$1197,"-",0)="-",0,MATCH(_xlfn.XLOOKUP($A333,Korrelation!$D$4:$D$1197,Korrelation!J$4:J$1197,"",0),DMAV_Dienste!$F$6:$F$140,0)))</f>
        <v>0</v>
      </c>
      <c r="H333" s="57">
        <f>IF($A333="","",IF(_xlfn.XLOOKUP($A333,Korrelation!$D$4:$D$1197,Korrelation!K$4:K$1197,"-",0)="-",0,MATCH(_xlfn.XLOOKUP($A333,Korrelation!$D$4:$D$1197,Korrelation!K$4:K$1197,"",0),'DM01-AV-CH'!$A$6:$A$834,0)))</f>
        <v>168</v>
      </c>
      <c r="J333" s="54" t="str" cm="1">
        <f t="array" aca="1" ref="J333" ca="1">IF(B333=0,IF(E333=0,"",HYPERLINK("#"&amp;RIGHT(CELL("adresse",OFFSET(DMAV_Dienste!$M$6,E333-1,0)),LEN(CELL("adresse",OFFSET(DMAV_Dienste!$M$6,E333-1,0)))-FIND("]",CELL("adresse",OFFSET(DMAV_Dienste!$M$6,E333-1,0)))),"Dienst")),HYPERLINK("#"&amp;RIGHT(CELL("adresse",OFFSET(DMAV_Modell!$N$6,B333-1,0)),LEN(CELL("adresse",OFFSET(DMAV_Modell!$N$6,B333-1,0)))-FIND("]",CELL("adresse",OFFSET(DMAV_Modell!$N$6,B333-1,0)))),"Modell"))</f>
        <v>Modell</v>
      </c>
      <c r="K333" s="61" t="str" cm="1">
        <f t="array" ref="K333">IF($B333=0,IF($E333=0,"",IF(INDEX(DMAV_Dienste!P$6:P$140,$E333)="","",INDEX(DMAV_Dienste!P$6:P$140,$E333))),IF(INDEX(DMAV_Modell!Q$6:Q$838,$B333)="","",INDEX(DMAV_Modell!Q$6:Q$838,$B333)))</f>
        <v>CLASS</v>
      </c>
      <c r="L333" s="62" t="str" cm="1">
        <f t="array" ref="L333">IF($B333=0,IF($E333=0,"",IF(INDEX(DMAV_Dienste!O$6:O$140,$E333)="","",INDEX(DMAV_Dienste!O$6:O$140,$E333))),IF(INDEX(DMAV_Modell!P$6:P$838,$B333)="","",INDEX(DMAV_Modell!P$6:P$838,$B333)))</f>
        <v>FixpunkteAVKategorie3</v>
      </c>
      <c r="M333" s="62" t="str" cm="1">
        <f t="array" ref="M333">IF($B333=0,IF($E333=0,"",IF(INDEX(DMAV_Dienste!Q$6:Q$140,$E333)="","",INDEX(DMAV_Dienste!Q$6:Q$140,$E333))),IF(INDEX(DMAV_Modell!R$6:R$838,$B333)="","",INDEX(DMAV_Modell!R$6:R$838,$B333)))</f>
        <v>HFP3</v>
      </c>
      <c r="N333" s="62" t="str" cm="1">
        <f t="array" ref="N333">IF($B333=0,IF($E333=0,"",IF(INDEX(DMAV_Dienste!T$6:T$140,$E333)="","",INDEX(DMAV_Dienste!T$6:T$140,$E333))),IF(INDEX(DMAV_Modell!U$6:U$838,$B333)="","",INDEX(DMAV_Modell!U$6:U$838,$B333)))</f>
        <v>Textposition</v>
      </c>
      <c r="O333" s="63" t="str" cm="1">
        <f t="array" aca="1" ref="O333" ca="1">IF(C333=0,IF(F333=0,"",HYPERLINK("#"&amp;RIGHT(CELL("adresse",OFFSET(DMAV_Dienste!$M$6,F333-1,0)),LEN(CELL("adresse",OFFSET(DMAV_Dienste!$M$6,F333-1,0)))-FIND("]",CELL("adresse",OFFSET(DMAV_Dienste!$M$6,F333-1,0)))),"Structure")),HYPERLINK("#"&amp;RIGHT(CELL("adresse",OFFSET(DMAV_Modell!$N$6,C333-1,0)),LEN(CELL("adresse",OFFSET(DMAV_Modell!$N$6,C333-1,0)))-FIND("]",CELL("adresse",OFFSET(DMAV_Modell!$N$6,C333-1,0)))),"Structure"))</f>
        <v>Structure</v>
      </c>
      <c r="P333" s="64" t="str" cm="1">
        <f t="array" aca="1" ref="P333" ca="1">IF(D333=0,IF(G333=0,"",HYPERLINK("#"&amp;RIGHT(CELL("adresse",OFFSET(DMAV_Dienste!$M$6,G333-1,0)),LEN(CELL("adresse",OFFSET(DMAV_Dienste!$M$6,G333-1,0)))-FIND("]",CELL("adresse",OFFSET(DMAV_Dienste!$M$6,G333-1,0)))),"Substructure")),HYPERLINK("#"&amp;RIGHT(CELL("adresse",OFFSET(DMAV_Modell!$N$6,D333-1,0)),LEN(CELL("adresse",OFFSET(DMAV_Modell!$N$6,D333-1,0)))-FIND("]",CELL("adresse",OFFSET(DMAV_Modell!$N$6,D333-1,0)))),"Substructure"))</f>
        <v>Substructure</v>
      </c>
      <c r="R333" s="80"/>
      <c r="T333" s="93"/>
      <c r="U333" s="94"/>
      <c r="V333" s="95"/>
      <c r="W333" s="96"/>
      <c r="Y333" s="85"/>
      <c r="Z333" s="86"/>
      <c r="AA333" s="87"/>
      <c r="AB333" s="88"/>
      <c r="AD333" s="77"/>
      <c r="AF333" s="54" t="str" cm="1">
        <f t="array" aca="1" ref="AF333" ca="1">IF(H333=0,"",HYPERLINK("#"&amp;RIGHT(CELL("adresse",OFFSET('DM01-AV-CH'!$G$6,H333-1,0)),LEN(CELL("adresse",OFFSET('DM01-AV-CH'!$G$6,H333-1,0)))-FIND("]",CELL("adresse",OFFSET('DM01-AV-CH'!$G$6,H333-1,0)))),"Modell"))</f>
        <v>Modell</v>
      </c>
      <c r="AG333" s="72" t="str" cm="1">
        <f t="array" ref="AG333">IF($H333=0,"",IF(INDEX('DM01-AV-CH'!G$6:G$834,$H333)="","",INDEX('DM01-AV-CH'!G$6:G$834,$H333)))</f>
        <v>FixpunkteKategorie3</v>
      </c>
      <c r="AH333" s="73" t="str" cm="1">
        <f t="array" ref="AH333">IF($H333=0,"",IF(INDEX('DM01-AV-CH'!H$6:H$834,$H333)="","",INDEX('DM01-AV-CH'!H$6:H$834,$H333)))</f>
        <v>HFP3Pos</v>
      </c>
      <c r="AI333" s="74" t="str" cm="1">
        <f t="array" ref="AI333">IF($H333=0,"",IF(INDEX('DM01-AV-CH'!I$6:I$834,$H333)="","",INDEX('DM01-AV-CH'!I$6:I$834,$H333)))</f>
        <v>VAli</v>
      </c>
    </row>
    <row r="334" spans="1:35" x14ac:dyDescent="0.25">
      <c r="A334" s="57">
        <v>329</v>
      </c>
      <c r="B334" s="57">
        <f>IF($A334="","",IF(_xlfn.XLOOKUP($A334,Korrelation!$D$4:$D$1197,Korrelation!E$4:E$1197,"-",0)="-",0,MATCH(_xlfn.XLOOKUP($A334,Korrelation!$D$4:$D$1197,Korrelation!E$4:E$1197,"",0),DMAV_Modell!$G$6:$G$677,0)))</f>
        <v>116</v>
      </c>
      <c r="C334" s="57">
        <f>IF($A334="","",IF(_xlfn.XLOOKUP($A334,Korrelation!$D$4:$D$1197,Korrelation!F$4:F$1197,"-",0)="-",0,MATCH(_xlfn.XLOOKUP($A334,Korrelation!$D$4:$D$1197,Korrelation!F$4:F$1197,"",0),DMAV_Modell!$G$6:$G$677,0)))</f>
        <v>0</v>
      </c>
      <c r="D334" s="57">
        <f>IF($A334="","",IF(_xlfn.XLOOKUP($A334,Korrelation!$D$4:$D$1197,Korrelation!G$4:G$1197,"-",0)="-",0,MATCH(_xlfn.XLOOKUP($A334,Korrelation!$D$4:$D$1197,Korrelation!G$4:G$1197,"",0),DMAV_Modell!$G$6:$G$677,0)))</f>
        <v>0</v>
      </c>
      <c r="E334" s="57">
        <f>IF($A334="","",IF(_xlfn.XLOOKUP($A334,Korrelation!$D$4:$D$1197,Korrelation!H$4:H$1197,"-",0)="-",0,MATCH(_xlfn.XLOOKUP($A334,Korrelation!$D$4:$D$1197,Korrelation!H$4:H$1197,"",0),DMAV_Dienste!$F$6:$F$140,0)))</f>
        <v>0</v>
      </c>
      <c r="F334" s="57">
        <f>IF($A334="","",IF(_xlfn.XLOOKUP($A334,Korrelation!$D$4:$D$1197,Korrelation!I$4:I$1197,"-",0)="-",0,MATCH(_xlfn.XLOOKUP($A334,Korrelation!$D$4:$D$1197,Korrelation!I$4:I$1197,"",0),DMAV_Dienste!$F$6:$F$140,0)))</f>
        <v>0</v>
      </c>
      <c r="G334" s="57">
        <f>IF($A334="","",IF(_xlfn.XLOOKUP($A334,Korrelation!$D$4:$D$1197,Korrelation!J$4:J$1197,"-",0)="-",0,MATCH(_xlfn.XLOOKUP($A334,Korrelation!$D$4:$D$1197,Korrelation!J$4:J$1197,"",0),DMAV_Dienste!$F$6:$F$140,0)))</f>
        <v>0</v>
      </c>
      <c r="H334" s="57">
        <f>IF($A334="","",IF(_xlfn.XLOOKUP($A334,Korrelation!$D$4:$D$1197,Korrelation!K$4:K$1197,"-",0)="-",0,MATCH(_xlfn.XLOOKUP($A334,Korrelation!$D$4:$D$1197,Korrelation!K$4:K$1197,"",0),'DM01-AV-CH'!$A$6:$A$834,0)))</f>
        <v>0</v>
      </c>
      <c r="J334" s="54" t="str" cm="1">
        <f t="array" aca="1" ref="J334" ca="1">IF(B334=0,IF(E334=0,"",HYPERLINK("#"&amp;RIGHT(CELL("adresse",OFFSET(DMAV_Dienste!$M$6,E334-1,0)),LEN(CELL("adresse",OFFSET(DMAV_Dienste!$M$6,E334-1,0)))-FIND("]",CELL("adresse",OFFSET(DMAV_Dienste!$M$6,E334-1,0)))),"Dienst")),HYPERLINK("#"&amp;RIGHT(CELL("adresse",OFFSET(DMAV_Modell!$N$6,B334-1,0)),LEN(CELL("adresse",OFFSET(DMAV_Modell!$N$6,B334-1,0)))-FIND("]",CELL("adresse",OFFSET(DMAV_Modell!$N$6,B334-1,0)))),"Modell"))</f>
        <v>Modell</v>
      </c>
      <c r="K334" s="61" t="str" cm="1">
        <f t="array" ref="K334">IF($B334=0,IF($E334=0,"",IF(INDEX(DMAV_Dienste!P$6:P$140,$E334)="","",INDEX(DMAV_Dienste!P$6:P$140,$E334))),IF(INDEX(DMAV_Modell!Q$6:Q$838,$B334)="","",INDEX(DMAV_Modell!Q$6:Q$838,$B334)))</f>
        <v>ASSOCIATION</v>
      </c>
      <c r="L334" s="62" t="str" cm="1">
        <f t="array" ref="L334">IF($B334=0,IF($E334=0,"",IF(INDEX(DMAV_Dienste!O$6:O$140,$E334)="","",INDEX(DMAV_Dienste!O$6:O$140,$E334))),IF(INDEX(DMAV_Modell!P$6:P$838,$B334)="","",INDEX(DMAV_Modell!P$6:P$838,$B334)))</f>
        <v>FixpunkteAVKategorie3</v>
      </c>
      <c r="M334" s="62" t="str" cm="1">
        <f t="array" ref="M334">IF($B334=0,IF($E334=0,"",IF(INDEX(DMAV_Dienste!Q$6:Q$140,$E334)="","",INDEX(DMAV_Dienste!Q$6:Q$140,$E334))),IF(INDEX(DMAV_Modell!R$6:R$838,$B334)="","",INDEX(DMAV_Modell!R$6:R$838,$B334)))</f>
        <v>Entstehung_HFP3</v>
      </c>
      <c r="N334" s="62" t="str" cm="1">
        <f t="array" ref="N334">IF($B334=0,IF($E334=0,"",IF(INDEX(DMAV_Dienste!T$6:T$140,$E334)="","",INDEX(DMAV_Dienste!T$6:T$140,$E334))),IF(INDEX(DMAV_Modell!U$6:U$838,$B334)="","",INDEX(DMAV_Modell!U$6:U$838,$B334)))</f>
        <v>Entstehung</v>
      </c>
      <c r="O334" s="63" t="str" cm="1">
        <f t="array" aca="1" ref="O334" ca="1">IF(C334=0,IF(F334=0,"",HYPERLINK("#"&amp;RIGHT(CELL("adresse",OFFSET(DMAV_Dienste!$M$6,F334-1,0)),LEN(CELL("adresse",OFFSET(DMAV_Dienste!$M$6,F334-1,0)))-FIND("]",CELL("adresse",OFFSET(DMAV_Dienste!$M$6,F334-1,0)))),"Structure")),HYPERLINK("#"&amp;RIGHT(CELL("adresse",OFFSET(DMAV_Modell!$N$6,C334-1,0)),LEN(CELL("adresse",OFFSET(DMAV_Modell!$N$6,C334-1,0)))-FIND("]",CELL("adresse",OFFSET(DMAV_Modell!$N$6,C334-1,0)))),"Structure"))</f>
        <v/>
      </c>
      <c r="P334" s="64" t="str" cm="1">
        <f t="array" aca="1" ref="P334" ca="1">IF(D334=0,IF(G334=0,"",HYPERLINK("#"&amp;RIGHT(CELL("adresse",OFFSET(DMAV_Dienste!$M$6,G334-1,0)),LEN(CELL("adresse",OFFSET(DMAV_Dienste!$M$6,G334-1,0)))-FIND("]",CELL("adresse",OFFSET(DMAV_Dienste!$M$6,G334-1,0)))),"Substructure")),HYPERLINK("#"&amp;RIGHT(CELL("adresse",OFFSET(DMAV_Modell!$N$6,D334-1,0)),LEN(CELL("adresse",OFFSET(DMAV_Modell!$N$6,D334-1,0)))-FIND("]",CELL("adresse",OFFSET(DMAV_Modell!$N$6,D334-1,0)))),"Substructure"))</f>
        <v/>
      </c>
      <c r="R334" s="80"/>
      <c r="T334" s="93"/>
      <c r="U334" s="94"/>
      <c r="V334" s="95"/>
      <c r="W334" s="96"/>
      <c r="Y334" s="85"/>
      <c r="Z334" s="86"/>
      <c r="AA334" s="87"/>
      <c r="AB334" s="88"/>
      <c r="AD334" s="77"/>
      <c r="AF334" s="54" t="str" cm="1">
        <f t="array" aca="1" ref="AF334" ca="1">IF(H334=0,"",HYPERLINK("#"&amp;RIGHT(CELL("adresse",OFFSET('DM01-AV-CH'!$G$6,H334-1,0)),LEN(CELL("adresse",OFFSET('DM01-AV-CH'!$G$6,H334-1,0)))-FIND("]",CELL("adresse",OFFSET('DM01-AV-CH'!$G$6,H334-1,0)))),"Modell"))</f>
        <v/>
      </c>
      <c r="AG334" s="72" t="str" cm="1">
        <f t="array" ref="AG334">IF($H334=0,"",IF(INDEX('DM01-AV-CH'!G$6:G$834,$H334)="","",INDEX('DM01-AV-CH'!G$6:G$834,$H334)))</f>
        <v/>
      </c>
      <c r="AH334" s="73" t="str" cm="1">
        <f t="array" ref="AH334">IF($H334=0,"",IF(INDEX('DM01-AV-CH'!H$6:H$834,$H334)="","",INDEX('DM01-AV-CH'!H$6:H$834,$H334)))</f>
        <v/>
      </c>
      <c r="AI334" s="74" t="str" cm="1">
        <f t="array" ref="AI334">IF($H334=0,"",IF(INDEX('DM01-AV-CH'!I$6:I$834,$H334)="","",INDEX('DM01-AV-CH'!I$6:I$834,$H334)))</f>
        <v/>
      </c>
    </row>
    <row r="335" spans="1:35" x14ac:dyDescent="0.25">
      <c r="A335" s="57">
        <v>330</v>
      </c>
      <c r="B335" s="57">
        <f>IF($A335="","",IF(_xlfn.XLOOKUP($A335,Korrelation!$D$4:$D$1197,Korrelation!E$4:E$1197,"-",0)="-",0,MATCH(_xlfn.XLOOKUP($A335,Korrelation!$D$4:$D$1197,Korrelation!E$4:E$1197,"",0),DMAV_Modell!$G$6:$G$677,0)))</f>
        <v>117</v>
      </c>
      <c r="C335" s="57">
        <f>IF($A335="","",IF(_xlfn.XLOOKUP($A335,Korrelation!$D$4:$D$1197,Korrelation!F$4:F$1197,"-",0)="-",0,MATCH(_xlfn.XLOOKUP($A335,Korrelation!$D$4:$D$1197,Korrelation!F$4:F$1197,"",0),DMAV_Modell!$G$6:$G$677,0)))</f>
        <v>0</v>
      </c>
      <c r="D335" s="57">
        <f>IF($A335="","",IF(_xlfn.XLOOKUP($A335,Korrelation!$D$4:$D$1197,Korrelation!G$4:G$1197,"-",0)="-",0,MATCH(_xlfn.XLOOKUP($A335,Korrelation!$D$4:$D$1197,Korrelation!G$4:G$1197,"",0),DMAV_Modell!$G$6:$G$677,0)))</f>
        <v>0</v>
      </c>
      <c r="E335" s="57">
        <f>IF($A335="","",IF(_xlfn.XLOOKUP($A335,Korrelation!$D$4:$D$1197,Korrelation!H$4:H$1197,"-",0)="-",0,MATCH(_xlfn.XLOOKUP($A335,Korrelation!$D$4:$D$1197,Korrelation!H$4:H$1197,"",0),DMAV_Dienste!$F$6:$F$140,0)))</f>
        <v>0</v>
      </c>
      <c r="F335" s="57">
        <f>IF($A335="","",IF(_xlfn.XLOOKUP($A335,Korrelation!$D$4:$D$1197,Korrelation!I$4:I$1197,"-",0)="-",0,MATCH(_xlfn.XLOOKUP($A335,Korrelation!$D$4:$D$1197,Korrelation!I$4:I$1197,"",0),DMAV_Dienste!$F$6:$F$140,0)))</f>
        <v>0</v>
      </c>
      <c r="G335" s="57">
        <f>IF($A335="","",IF(_xlfn.XLOOKUP($A335,Korrelation!$D$4:$D$1197,Korrelation!J$4:J$1197,"-",0)="-",0,MATCH(_xlfn.XLOOKUP($A335,Korrelation!$D$4:$D$1197,Korrelation!J$4:J$1197,"",0),DMAV_Dienste!$F$6:$F$140,0)))</f>
        <v>0</v>
      </c>
      <c r="H335" s="57">
        <f>IF($A335="","",IF(_xlfn.XLOOKUP($A335,Korrelation!$D$4:$D$1197,Korrelation!K$4:K$1197,"-",0)="-",0,MATCH(_xlfn.XLOOKUP($A335,Korrelation!$D$4:$D$1197,Korrelation!K$4:K$1197,"",0),'DM01-AV-CH'!$A$6:$A$834,0)))</f>
        <v>0</v>
      </c>
      <c r="J335" s="54" t="str" cm="1">
        <f t="array" aca="1" ref="J335" ca="1">IF(B335=0,IF(E335=0,"",HYPERLINK("#"&amp;RIGHT(CELL("adresse",OFFSET(DMAV_Dienste!$M$6,E335-1,0)),LEN(CELL("adresse",OFFSET(DMAV_Dienste!$M$6,E335-1,0)))-FIND("]",CELL("adresse",OFFSET(DMAV_Dienste!$M$6,E335-1,0)))),"Dienst")),HYPERLINK("#"&amp;RIGHT(CELL("adresse",OFFSET(DMAV_Modell!$N$6,B335-1,0)),LEN(CELL("adresse",OFFSET(DMAV_Modell!$N$6,B335-1,0)))-FIND("]",CELL("adresse",OFFSET(DMAV_Modell!$N$6,B335-1,0)))),"Modell"))</f>
        <v>Modell</v>
      </c>
      <c r="K335" s="61" t="str" cm="1">
        <f t="array" ref="K335">IF($B335=0,IF($E335=0,"",IF(INDEX(DMAV_Dienste!P$6:P$140,$E335)="","",INDEX(DMAV_Dienste!P$6:P$140,$E335))),IF(INDEX(DMAV_Modell!Q$6:Q$838,$B335)="","",INDEX(DMAV_Modell!Q$6:Q$838,$B335)))</f>
        <v>ASSOCIATION</v>
      </c>
      <c r="L335" s="62" t="str" cm="1">
        <f t="array" ref="L335">IF($B335=0,IF($E335=0,"",IF(INDEX(DMAV_Dienste!O$6:O$140,$E335)="","",INDEX(DMAV_Dienste!O$6:O$140,$E335))),IF(INDEX(DMAV_Modell!P$6:P$838,$B335)="","",INDEX(DMAV_Modell!P$6:P$838,$B335)))</f>
        <v>FixpunkteAVKategorie3</v>
      </c>
      <c r="M335" s="62" t="str" cm="1">
        <f t="array" ref="M335">IF($B335=0,IF($E335=0,"",IF(INDEX(DMAV_Dienste!Q$6:Q$140,$E335)="","",INDEX(DMAV_Dienste!Q$6:Q$140,$E335))),IF(INDEX(DMAV_Modell!R$6:R$838,$B335)="","",INDEX(DMAV_Modell!R$6:R$838,$B335)))</f>
        <v>Entstehung_HFP3</v>
      </c>
      <c r="N335" s="62" t="str" cm="1">
        <f t="array" ref="N335">IF($B335=0,IF($E335=0,"",IF(INDEX(DMAV_Dienste!T$6:T$140,$E335)="","",INDEX(DMAV_Dienste!T$6:T$140,$E335))),IF(INDEX(DMAV_Modell!U$6:U$838,$B335)="","",INDEX(DMAV_Modell!U$6:U$838,$B335)))</f>
        <v>entstehender_HFP3</v>
      </c>
      <c r="O335" s="63" t="str" cm="1">
        <f t="array" aca="1" ref="O335" ca="1">IF(C335=0,IF(F335=0,"",HYPERLINK("#"&amp;RIGHT(CELL("adresse",OFFSET(DMAV_Dienste!$M$6,F335-1,0)),LEN(CELL("adresse",OFFSET(DMAV_Dienste!$M$6,F335-1,0)))-FIND("]",CELL("adresse",OFFSET(DMAV_Dienste!$M$6,F335-1,0)))),"Structure")),HYPERLINK("#"&amp;RIGHT(CELL("adresse",OFFSET(DMAV_Modell!$N$6,C335-1,0)),LEN(CELL("adresse",OFFSET(DMAV_Modell!$N$6,C335-1,0)))-FIND("]",CELL("adresse",OFFSET(DMAV_Modell!$N$6,C335-1,0)))),"Structure"))</f>
        <v/>
      </c>
      <c r="P335" s="64" t="str" cm="1">
        <f t="array" aca="1" ref="P335" ca="1">IF(D335=0,IF(G335=0,"",HYPERLINK("#"&amp;RIGHT(CELL("adresse",OFFSET(DMAV_Dienste!$M$6,G335-1,0)),LEN(CELL("adresse",OFFSET(DMAV_Dienste!$M$6,G335-1,0)))-FIND("]",CELL("adresse",OFFSET(DMAV_Dienste!$M$6,G335-1,0)))),"Substructure")),HYPERLINK("#"&amp;RIGHT(CELL("adresse",OFFSET(DMAV_Modell!$N$6,D335-1,0)),LEN(CELL("adresse",OFFSET(DMAV_Modell!$N$6,D335-1,0)))-FIND("]",CELL("adresse",OFFSET(DMAV_Modell!$N$6,D335-1,0)))),"Substructure"))</f>
        <v/>
      </c>
      <c r="R335" s="80"/>
      <c r="T335" s="93"/>
      <c r="U335" s="94"/>
      <c r="V335" s="95"/>
      <c r="W335" s="96"/>
      <c r="Y335" s="85"/>
      <c r="Z335" s="86"/>
      <c r="AA335" s="87"/>
      <c r="AB335" s="88"/>
      <c r="AD335" s="77"/>
      <c r="AF335" s="54" t="str" cm="1">
        <f t="array" aca="1" ref="AF335" ca="1">IF(H335=0,"",HYPERLINK("#"&amp;RIGHT(CELL("adresse",OFFSET('DM01-AV-CH'!$G$6,H335-1,0)),LEN(CELL("adresse",OFFSET('DM01-AV-CH'!$G$6,H335-1,0)))-FIND("]",CELL("adresse",OFFSET('DM01-AV-CH'!$G$6,H335-1,0)))),"Modell"))</f>
        <v/>
      </c>
      <c r="AG335" s="72" t="str" cm="1">
        <f t="array" ref="AG335">IF($H335=0,"",IF(INDEX('DM01-AV-CH'!G$6:G$834,$H335)="","",INDEX('DM01-AV-CH'!G$6:G$834,$H335)))</f>
        <v/>
      </c>
      <c r="AH335" s="73" t="str" cm="1">
        <f t="array" ref="AH335">IF($H335=0,"",IF(INDEX('DM01-AV-CH'!H$6:H$834,$H335)="","",INDEX('DM01-AV-CH'!H$6:H$834,$H335)))</f>
        <v/>
      </c>
      <c r="AI335" s="74" t="str" cm="1">
        <f t="array" ref="AI335">IF($H335=0,"",IF(INDEX('DM01-AV-CH'!I$6:I$834,$H335)="","",INDEX('DM01-AV-CH'!I$6:I$834,$H335)))</f>
        <v/>
      </c>
    </row>
    <row r="336" spans="1:35" x14ac:dyDescent="0.25">
      <c r="A336" s="57">
        <v>331</v>
      </c>
      <c r="B336" s="57">
        <f>IF($A336="","",IF(_xlfn.XLOOKUP($A336,Korrelation!$D$4:$D$1197,Korrelation!E$4:E$1197,"-",0)="-",0,MATCH(_xlfn.XLOOKUP($A336,Korrelation!$D$4:$D$1197,Korrelation!E$4:E$1197,"",0),DMAV_Modell!$G$6:$G$677,0)))</f>
        <v>0</v>
      </c>
      <c r="C336" s="57">
        <f>IF($A336="","",IF(_xlfn.XLOOKUP($A336,Korrelation!$D$4:$D$1197,Korrelation!F$4:F$1197,"-",0)="-",0,MATCH(_xlfn.XLOOKUP($A336,Korrelation!$D$4:$D$1197,Korrelation!F$4:F$1197,"",0),DMAV_Modell!$G$6:$G$677,0)))</f>
        <v>0</v>
      </c>
      <c r="D336" s="57">
        <f>IF($A336="","",IF(_xlfn.XLOOKUP($A336,Korrelation!$D$4:$D$1197,Korrelation!G$4:G$1197,"-",0)="-",0,MATCH(_xlfn.XLOOKUP($A336,Korrelation!$D$4:$D$1197,Korrelation!G$4:G$1197,"",0),DMAV_Modell!$G$6:$G$677,0)))</f>
        <v>0</v>
      </c>
      <c r="E336" s="57">
        <f>IF($A336="","",IF(_xlfn.XLOOKUP($A336,Korrelation!$D$4:$D$1197,Korrelation!H$4:H$1197,"-",0)="-",0,MATCH(_xlfn.XLOOKUP($A336,Korrelation!$D$4:$D$1197,Korrelation!H$4:H$1197,"",0),DMAV_Dienste!$F$6:$F$140,0)))</f>
        <v>46</v>
      </c>
      <c r="F336" s="57">
        <f>IF($A336="","",IF(_xlfn.XLOOKUP($A336,Korrelation!$D$4:$D$1197,Korrelation!I$4:I$1197,"-",0)="-",0,MATCH(_xlfn.XLOOKUP($A336,Korrelation!$D$4:$D$1197,Korrelation!I$4:I$1197,"",0),DMAV_Dienste!$F$6:$F$140,0)))</f>
        <v>0</v>
      </c>
      <c r="G336" s="57">
        <f>IF($A336="","",IF(_xlfn.XLOOKUP($A336,Korrelation!$D$4:$D$1197,Korrelation!J$4:J$1197,"-",0)="-",0,MATCH(_xlfn.XLOOKUP($A336,Korrelation!$D$4:$D$1197,Korrelation!J$4:J$1197,"",0),DMAV_Dienste!$F$6:$F$140,0)))</f>
        <v>0</v>
      </c>
      <c r="H336" s="57">
        <f>IF($A336="","",IF(_xlfn.XLOOKUP($A336,Korrelation!$D$4:$D$1197,Korrelation!K$4:K$1197,"-",0)="-",0,MATCH(_xlfn.XLOOKUP($A336,Korrelation!$D$4:$D$1197,Korrelation!K$4:K$1197,"",0),'DM01-AV-CH'!$A$6:$A$834,0)))</f>
        <v>0</v>
      </c>
      <c r="J336" s="54" t="str" cm="1">
        <f t="array" aca="1" ref="J336" ca="1">IF(B336=0,IF(E336=0,"",HYPERLINK("#"&amp;RIGHT(CELL("adresse",OFFSET(DMAV_Dienste!$M$6,E336-1,0)),LEN(CELL("adresse",OFFSET(DMAV_Dienste!$M$6,E336-1,0)))-FIND("]",CELL("adresse",OFFSET(DMAV_Dienste!$M$6,E336-1,0)))),"Dienst")),HYPERLINK("#"&amp;RIGHT(CELL("adresse",OFFSET(DMAV_Modell!$N$6,B336-1,0)),LEN(CELL("adresse",OFFSET(DMAV_Modell!$N$6,B336-1,0)))-FIND("]",CELL("adresse",OFFSET(DMAV_Modell!$N$6,B336-1,0)))),"Modell"))</f>
        <v>Dienst</v>
      </c>
      <c r="K336" s="61" t="str" cm="1">
        <f t="array" ref="K336">IF($B336=0,IF($E336=0,"",IF(INDEX(DMAV_Dienste!P$6:P$140,$E336)="","",INDEX(DMAV_Dienste!P$6:P$140,$E336))),IF(INDEX(DMAV_Modell!Q$6:Q$838,$B336)="","",INDEX(DMAV_Modell!Q$6:Q$838,$B336)))</f>
        <v>IMPORTS</v>
      </c>
      <c r="L336" s="62" t="str" cm="1">
        <f t="array" ref="L336">IF($B336=0,IF($E336=0,"",IF(INDEX(DMAV_Dienste!O$6:O$140,$E336)="","",INDEX(DMAV_Dienste!O$6:O$140,$E336))),IF(INDEX(DMAV_Modell!P$6:P$838,$B336)="","",INDEX(DMAV_Modell!P$6:P$838,$B336)))</f>
        <v/>
      </c>
      <c r="M336" s="62" t="str" cm="1">
        <f t="array" ref="M336">IF($B336=0,IF($E336=0,"",IF(INDEX(DMAV_Dienste!Q$6:Q$140,$E336)="","",INDEX(DMAV_Dienste!Q$6:Q$140,$E336))),IF(INDEX(DMAV_Modell!R$6:R$838,$B336)="","",INDEX(DMAV_Modell!R$6:R$838,$B336)))</f>
        <v>GeometryCHLV95_V2</v>
      </c>
      <c r="N336" s="62" t="str" cm="1">
        <f t="array" ref="N336">IF($B336=0,IF($E336=0,"",IF(INDEX(DMAV_Dienste!T$6:T$140,$E336)="","",INDEX(DMAV_Dienste!T$6:T$140,$E336))),IF(INDEX(DMAV_Modell!U$6:U$838,$B336)="","",INDEX(DMAV_Modell!U$6:U$838,$B336)))</f>
        <v/>
      </c>
      <c r="O336" s="63" t="str" cm="1">
        <f t="array" aca="1" ref="O336" ca="1">IF(C336=0,IF(F336=0,"",HYPERLINK("#"&amp;RIGHT(CELL("adresse",OFFSET(DMAV_Dienste!$M$6,F336-1,0)),LEN(CELL("adresse",OFFSET(DMAV_Dienste!$M$6,F336-1,0)))-FIND("]",CELL("adresse",OFFSET(DMAV_Dienste!$M$6,F336-1,0)))),"Structure")),HYPERLINK("#"&amp;RIGHT(CELL("adresse",OFFSET(DMAV_Modell!$N$6,C336-1,0)),LEN(CELL("adresse",OFFSET(DMAV_Modell!$N$6,C336-1,0)))-FIND("]",CELL("adresse",OFFSET(DMAV_Modell!$N$6,C336-1,0)))),"Structure"))</f>
        <v/>
      </c>
      <c r="P336" s="64" t="str" cm="1">
        <f t="array" aca="1" ref="P336" ca="1">IF(D336=0,IF(G336=0,"",HYPERLINK("#"&amp;RIGHT(CELL("adresse",OFFSET(DMAV_Dienste!$M$6,G336-1,0)),LEN(CELL("adresse",OFFSET(DMAV_Dienste!$M$6,G336-1,0)))-FIND("]",CELL("adresse",OFFSET(DMAV_Dienste!$M$6,G336-1,0)))),"Substructure")),HYPERLINK("#"&amp;RIGHT(CELL("adresse",OFFSET(DMAV_Modell!$N$6,D336-1,0)),LEN(CELL("adresse",OFFSET(DMAV_Modell!$N$6,D336-1,0)))-FIND("]",CELL("adresse",OFFSET(DMAV_Modell!$N$6,D336-1,0)))),"Substructure"))</f>
        <v/>
      </c>
      <c r="R336" s="80"/>
      <c r="T336" s="93"/>
      <c r="U336" s="94"/>
      <c r="V336" s="95"/>
      <c r="W336" s="96"/>
      <c r="Y336" s="85"/>
      <c r="Z336" s="86"/>
      <c r="AA336" s="87"/>
      <c r="AB336" s="88"/>
      <c r="AD336" s="77"/>
      <c r="AF336" s="54" t="str" cm="1">
        <f t="array" aca="1" ref="AF336" ca="1">IF(H336=0,"",HYPERLINK("#"&amp;RIGHT(CELL("adresse",OFFSET('DM01-AV-CH'!$G$6,H336-1,0)),LEN(CELL("adresse",OFFSET('DM01-AV-CH'!$G$6,H336-1,0)))-FIND("]",CELL("adresse",OFFSET('DM01-AV-CH'!$G$6,H336-1,0)))),"Modell"))</f>
        <v/>
      </c>
      <c r="AG336" s="72" t="str" cm="1">
        <f t="array" ref="AG336">IF($H336=0,"",IF(INDEX('DM01-AV-CH'!G$6:G$834,$H336)="","",INDEX('DM01-AV-CH'!G$6:G$834,$H336)))</f>
        <v/>
      </c>
      <c r="AH336" s="73" t="str" cm="1">
        <f t="array" ref="AH336">IF($H336=0,"",IF(INDEX('DM01-AV-CH'!H$6:H$834,$H336)="","",INDEX('DM01-AV-CH'!H$6:H$834,$H336)))</f>
        <v/>
      </c>
      <c r="AI336" s="74" t="str" cm="1">
        <f t="array" ref="AI336">IF($H336=0,"",IF(INDEX('DM01-AV-CH'!I$6:I$834,$H336)="","",INDEX('DM01-AV-CH'!I$6:I$834,$H336)))</f>
        <v/>
      </c>
    </row>
    <row r="337" spans="1:35" x14ac:dyDescent="0.25">
      <c r="A337" s="57">
        <v>332</v>
      </c>
      <c r="B337" s="57">
        <f>IF($A337="","",IF(_xlfn.XLOOKUP($A337,Korrelation!$D$4:$D$1197,Korrelation!E$4:E$1197,"-",0)="-",0,MATCH(_xlfn.XLOOKUP($A337,Korrelation!$D$4:$D$1197,Korrelation!E$4:E$1197,"",0),DMAV_Modell!$G$6:$G$677,0)))</f>
        <v>0</v>
      </c>
      <c r="C337" s="57">
        <f>IF($A337="","",IF(_xlfn.XLOOKUP($A337,Korrelation!$D$4:$D$1197,Korrelation!F$4:F$1197,"-",0)="-",0,MATCH(_xlfn.XLOOKUP($A337,Korrelation!$D$4:$D$1197,Korrelation!F$4:F$1197,"",0),DMAV_Modell!$G$6:$G$677,0)))</f>
        <v>0</v>
      </c>
      <c r="D337" s="57">
        <f>IF($A337="","",IF(_xlfn.XLOOKUP($A337,Korrelation!$D$4:$D$1197,Korrelation!G$4:G$1197,"-",0)="-",0,MATCH(_xlfn.XLOOKUP($A337,Korrelation!$D$4:$D$1197,Korrelation!G$4:G$1197,"",0),DMAV_Modell!$G$6:$G$677,0)))</f>
        <v>0</v>
      </c>
      <c r="E337" s="57">
        <f>IF($A337="","",IF(_xlfn.XLOOKUP($A337,Korrelation!$D$4:$D$1197,Korrelation!H$4:H$1197,"-",0)="-",0,MATCH(_xlfn.XLOOKUP($A337,Korrelation!$D$4:$D$1197,Korrelation!H$4:H$1197,"",0),DMAV_Dienste!$F$6:$F$140,0)))</f>
        <v>47</v>
      </c>
      <c r="F337" s="57">
        <f>IF($A337="","",IF(_xlfn.XLOOKUP($A337,Korrelation!$D$4:$D$1197,Korrelation!I$4:I$1197,"-",0)="-",0,MATCH(_xlfn.XLOOKUP($A337,Korrelation!$D$4:$D$1197,Korrelation!I$4:I$1197,"",0),DMAV_Dienste!$F$6:$F$140,0)))</f>
        <v>0</v>
      </c>
      <c r="G337" s="57">
        <f>IF($A337="","",IF(_xlfn.XLOOKUP($A337,Korrelation!$D$4:$D$1197,Korrelation!J$4:J$1197,"-",0)="-",0,MATCH(_xlfn.XLOOKUP($A337,Korrelation!$D$4:$D$1197,Korrelation!J$4:J$1197,"",0),DMAV_Dienste!$F$6:$F$140,0)))</f>
        <v>0</v>
      </c>
      <c r="H337" s="57">
        <f>IF($A337="","",IF(_xlfn.XLOOKUP($A337,Korrelation!$D$4:$D$1197,Korrelation!K$4:K$1197,"-",0)="-",0,MATCH(_xlfn.XLOOKUP($A337,Korrelation!$D$4:$D$1197,Korrelation!K$4:K$1197,"",0),'DM01-AV-CH'!$A$6:$A$834,0)))</f>
        <v>623</v>
      </c>
      <c r="J337" s="54" t="str" cm="1">
        <f t="array" aca="1" ref="J337" ca="1">IF(B337=0,IF(E337=0,"",HYPERLINK("#"&amp;RIGHT(CELL("adresse",OFFSET(DMAV_Dienste!$M$6,E337-1,0)),LEN(CELL("adresse",OFFSET(DMAV_Dienste!$M$6,E337-1,0)))-FIND("]",CELL("adresse",OFFSET(DMAV_Dienste!$M$6,E337-1,0)))),"Dienst")),HYPERLINK("#"&amp;RIGHT(CELL("adresse",OFFSET(DMAV_Modell!$N$6,B337-1,0)),LEN(CELL("adresse",OFFSET(DMAV_Modell!$N$6,B337-1,0)))-FIND("]",CELL("adresse",OFFSET(DMAV_Modell!$N$6,B337-1,0)))),"Modell"))</f>
        <v>Dienst</v>
      </c>
      <c r="K337" s="61" t="str" cm="1">
        <f t="array" ref="K337">IF($B337=0,IF($E337=0,"",IF(INDEX(DMAV_Dienste!P$6:P$140,$E337)="","",INDEX(DMAV_Dienste!P$6:P$140,$E337))),IF(INDEX(DMAV_Modell!Q$6:Q$838,$B337)="","",INDEX(DMAV_Modell!Q$6:Q$838,$B337)))</f>
        <v>CLASS</v>
      </c>
      <c r="L337" s="62" t="str" cm="1">
        <f t="array" ref="L337">IF($B337=0,IF($E337=0,"",IF(INDEX(DMAV_Dienste!O$6:O$140,$E337)="","",INDEX(DMAV_Dienste!O$6:O$140,$E337))),IF(INDEX(DMAV_Modell!P$6:P$838,$B337)="","",INDEX(DMAV_Modell!P$6:P$838,$B337)))</f>
        <v>HoheitsgrenzenLV</v>
      </c>
      <c r="M337" s="62" t="str" cm="1">
        <f t="array" ref="M337">IF($B337=0,IF($E337=0,"",IF(INDEX(DMAV_Dienste!Q$6:Q$140,$E337)="","",INDEX(DMAV_Dienste!Q$6:Q$140,$E337))),IF(INDEX(DMAV_Modell!R$6:R$838,$B337)="","",INDEX(DMAV_Modell!R$6:R$838,$B337)))</f>
        <v>Landesgrenze</v>
      </c>
      <c r="N337" s="62" t="str" cm="1">
        <f t="array" ref="N337">IF($B337=0,IF($E337=0,"",IF(INDEX(DMAV_Dienste!T$6:T$140,$E337)="","",INDEX(DMAV_Dienste!T$6:T$140,$E337))),IF(INDEX(DMAV_Modell!U$6:U$838,$B337)="","",INDEX(DMAV_Modell!U$6:U$838,$B337)))</f>
        <v>Geometrie</v>
      </c>
      <c r="O337" s="63" t="str" cm="1">
        <f t="array" aca="1" ref="O337" ca="1">IF(C337=0,IF(F337=0,"",HYPERLINK("#"&amp;RIGHT(CELL("adresse",OFFSET(DMAV_Dienste!$M$6,F337-1,0)),LEN(CELL("adresse",OFFSET(DMAV_Dienste!$M$6,F337-1,0)))-FIND("]",CELL("adresse",OFFSET(DMAV_Dienste!$M$6,F337-1,0)))),"Structure")),HYPERLINK("#"&amp;RIGHT(CELL("adresse",OFFSET(DMAV_Modell!$N$6,C337-1,0)),LEN(CELL("adresse",OFFSET(DMAV_Modell!$N$6,C337-1,0)))-FIND("]",CELL("adresse",OFFSET(DMAV_Modell!$N$6,C337-1,0)))),"Structure"))</f>
        <v/>
      </c>
      <c r="P337" s="64" t="str" cm="1">
        <f t="array" aca="1" ref="P337" ca="1">IF(D337=0,IF(G337=0,"",HYPERLINK("#"&amp;RIGHT(CELL("adresse",OFFSET(DMAV_Dienste!$M$6,G337-1,0)),LEN(CELL("adresse",OFFSET(DMAV_Dienste!$M$6,G337-1,0)))-FIND("]",CELL("adresse",OFFSET(DMAV_Dienste!$M$6,G337-1,0)))),"Substructure")),HYPERLINK("#"&amp;RIGHT(CELL("adresse",OFFSET(DMAV_Modell!$N$6,D337-1,0)),LEN(CELL("adresse",OFFSET(DMAV_Modell!$N$6,D337-1,0)))-FIND("]",CELL("adresse",OFFSET(DMAV_Modell!$N$6,D337-1,0)))),"Substructure"))</f>
        <v/>
      </c>
      <c r="R337" s="80"/>
      <c r="T337" s="93"/>
      <c r="U337" s="94"/>
      <c r="V337" s="95"/>
      <c r="W337" s="96"/>
      <c r="Y337" s="85"/>
      <c r="Z337" s="86"/>
      <c r="AA337" s="87"/>
      <c r="AB337" s="88"/>
      <c r="AD337" s="77"/>
      <c r="AF337" s="54" t="str" cm="1">
        <f t="array" aca="1" ref="AF337" ca="1">IF(H337=0,"",HYPERLINK("#"&amp;RIGHT(CELL("adresse",OFFSET('DM01-AV-CH'!$G$6,H337-1,0)),LEN(CELL("adresse",OFFSET('DM01-AV-CH'!$G$6,H337-1,0)))-FIND("]",CELL("adresse",OFFSET('DM01-AV-CH'!$G$6,H337-1,0)))),"Modell"))</f>
        <v>Modell</v>
      </c>
      <c r="AG337" s="72" t="str" cm="1">
        <f t="array" ref="AG337">IF($H337=0,"",IF(INDEX('DM01-AV-CH'!G$6:G$834,$H337)="","",INDEX('DM01-AV-CH'!G$6:G$834,$H337)))</f>
        <v>Landesgrenzen</v>
      </c>
      <c r="AH337" s="73" t="str" cm="1">
        <f t="array" ref="AH337">IF($H337=0,"",IF(INDEX('DM01-AV-CH'!H$6:H$834,$H337)="","",INDEX('DM01-AV-CH'!H$6:H$834,$H337)))</f>
        <v>Landesgrenzabschnitt</v>
      </c>
      <c r="AI337" s="74" t="str" cm="1">
        <f t="array" ref="AI337">IF($H337=0,"",IF(INDEX('DM01-AV-CH'!I$6:I$834,$H337)="","",INDEX('DM01-AV-CH'!I$6:I$834,$H337)))</f>
        <v>Geometrie</v>
      </c>
    </row>
    <row r="338" spans="1:35" x14ac:dyDescent="0.25">
      <c r="A338" s="57">
        <v>333</v>
      </c>
      <c r="B338" s="57">
        <f>IF($A338="","",IF(_xlfn.XLOOKUP($A338,Korrelation!$D$4:$D$1197,Korrelation!E$4:E$1197,"-",0)="-",0,MATCH(_xlfn.XLOOKUP($A338,Korrelation!$D$4:$D$1197,Korrelation!E$4:E$1197,"",0),DMAV_Modell!$G$6:$G$677,0)))</f>
        <v>0</v>
      </c>
      <c r="C338" s="57">
        <f>IF($A338="","",IF(_xlfn.XLOOKUP($A338,Korrelation!$D$4:$D$1197,Korrelation!F$4:F$1197,"-",0)="-",0,MATCH(_xlfn.XLOOKUP($A338,Korrelation!$D$4:$D$1197,Korrelation!F$4:F$1197,"",0),DMAV_Modell!$G$6:$G$677,0)))</f>
        <v>0</v>
      </c>
      <c r="D338" s="57">
        <f>IF($A338="","",IF(_xlfn.XLOOKUP($A338,Korrelation!$D$4:$D$1197,Korrelation!G$4:G$1197,"-",0)="-",0,MATCH(_xlfn.XLOOKUP($A338,Korrelation!$D$4:$D$1197,Korrelation!G$4:G$1197,"",0),DMAV_Modell!$G$6:$G$677,0)))</f>
        <v>0</v>
      </c>
      <c r="E338" s="57">
        <f>IF($A338="","",IF(_xlfn.XLOOKUP($A338,Korrelation!$D$4:$D$1197,Korrelation!H$4:H$1197,"-",0)="-",0,MATCH(_xlfn.XLOOKUP($A338,Korrelation!$D$4:$D$1197,Korrelation!H$4:H$1197,"",0),DMAV_Dienste!$F$6:$F$140,0)))</f>
        <v>48</v>
      </c>
      <c r="F338" s="57">
        <f>IF($A338="","",IF(_xlfn.XLOOKUP($A338,Korrelation!$D$4:$D$1197,Korrelation!I$4:I$1197,"-",0)="-",0,MATCH(_xlfn.XLOOKUP($A338,Korrelation!$D$4:$D$1197,Korrelation!I$4:I$1197,"",0),DMAV_Dienste!$F$6:$F$140,0)))</f>
        <v>0</v>
      </c>
      <c r="G338" s="57">
        <f>IF($A338="","",IF(_xlfn.XLOOKUP($A338,Korrelation!$D$4:$D$1197,Korrelation!J$4:J$1197,"-",0)="-",0,MATCH(_xlfn.XLOOKUP($A338,Korrelation!$D$4:$D$1197,Korrelation!J$4:J$1197,"",0),DMAV_Dienste!$F$6:$F$140,0)))</f>
        <v>0</v>
      </c>
      <c r="H338" s="57">
        <f>IF($A338="","",IF(_xlfn.XLOOKUP($A338,Korrelation!$D$4:$D$1197,Korrelation!K$4:K$1197,"-",0)="-",0,MATCH(_xlfn.XLOOKUP($A338,Korrelation!$D$4:$D$1197,Korrelation!K$4:K$1197,"",0),'DM01-AV-CH'!$A$6:$A$834,0)))</f>
        <v>624</v>
      </c>
      <c r="J338" s="54" t="str" cm="1">
        <f t="array" aca="1" ref="J338" ca="1">IF(B338=0,IF(E338=0,"",HYPERLINK("#"&amp;RIGHT(CELL("adresse",OFFSET(DMAV_Dienste!$M$6,E338-1,0)),LEN(CELL("adresse",OFFSET(DMAV_Dienste!$M$6,E338-1,0)))-FIND("]",CELL("adresse",OFFSET(DMAV_Dienste!$M$6,E338-1,0)))),"Dienst")),HYPERLINK("#"&amp;RIGHT(CELL("adresse",OFFSET(DMAV_Modell!$N$6,B338-1,0)),LEN(CELL("adresse",OFFSET(DMAV_Modell!$N$6,B338-1,0)))-FIND("]",CELL("adresse",OFFSET(DMAV_Modell!$N$6,B338-1,0)))),"Modell"))</f>
        <v>Dienst</v>
      </c>
      <c r="K338" s="61" t="str" cm="1">
        <f t="array" ref="K338">IF($B338=0,IF($E338=0,"",IF(INDEX(DMAV_Dienste!P$6:P$140,$E338)="","",INDEX(DMAV_Dienste!P$6:P$140,$E338))),IF(INDEX(DMAV_Modell!Q$6:Q$838,$B338)="","",INDEX(DMAV_Modell!Q$6:Q$838,$B338)))</f>
        <v>CLASS</v>
      </c>
      <c r="L338" s="62" t="str" cm="1">
        <f t="array" ref="L338">IF($B338=0,IF($E338=0,"",IF(INDEX(DMAV_Dienste!O$6:O$140,$E338)="","",INDEX(DMAV_Dienste!O$6:O$140,$E338))),IF(INDEX(DMAV_Modell!P$6:P$838,$B338)="","",INDEX(DMAV_Modell!P$6:P$838,$B338)))</f>
        <v>HoheitsgrenzenLV</v>
      </c>
      <c r="M338" s="62" t="str" cm="1">
        <f t="array" ref="M338">IF($B338=0,IF($E338=0,"",IF(INDEX(DMAV_Dienste!Q$6:Q$140,$E338)="","",INDEX(DMAV_Dienste!Q$6:Q$140,$E338))),IF(INDEX(DMAV_Modell!R$6:R$838,$B338)="","",INDEX(DMAV_Modell!R$6:R$838,$B338)))</f>
        <v>Landesgrenze</v>
      </c>
      <c r="N338" s="62" t="str" cm="1">
        <f t="array" ref="N338">IF($B338=0,IF($E338=0,"",IF(INDEX(DMAV_Dienste!T$6:T$140,$E338)="","",INDEX(DMAV_Dienste!T$6:T$140,$E338))),IF(INDEX(DMAV_Modell!U$6:U$838,$B338)="","",INDEX(DMAV_Modell!U$6:U$838,$B338)))</f>
        <v>Gueltigkeit</v>
      </c>
      <c r="O338" s="63" t="str" cm="1">
        <f t="array" aca="1" ref="O338" ca="1">IF(C338=0,IF(F338=0,"",HYPERLINK("#"&amp;RIGHT(CELL("adresse",OFFSET(DMAV_Dienste!$M$6,F338-1,0)),LEN(CELL("adresse",OFFSET(DMAV_Dienste!$M$6,F338-1,0)))-FIND("]",CELL("adresse",OFFSET(DMAV_Dienste!$M$6,F338-1,0)))),"Structure")),HYPERLINK("#"&amp;RIGHT(CELL("adresse",OFFSET(DMAV_Modell!$N$6,C338-1,0)),LEN(CELL("adresse",OFFSET(DMAV_Modell!$N$6,C338-1,0)))-FIND("]",CELL("adresse",OFFSET(DMAV_Modell!$N$6,C338-1,0)))),"Structure"))</f>
        <v/>
      </c>
      <c r="P338" s="64" t="str" cm="1">
        <f t="array" aca="1" ref="P338" ca="1">IF(D338=0,IF(G338=0,"",HYPERLINK("#"&amp;RIGHT(CELL("adresse",OFFSET(DMAV_Dienste!$M$6,G338-1,0)),LEN(CELL("adresse",OFFSET(DMAV_Dienste!$M$6,G338-1,0)))-FIND("]",CELL("adresse",OFFSET(DMAV_Dienste!$M$6,G338-1,0)))),"Substructure")),HYPERLINK("#"&amp;RIGHT(CELL("adresse",OFFSET(DMAV_Modell!$N$6,D338-1,0)),LEN(CELL("adresse",OFFSET(DMAV_Modell!$N$6,D338-1,0)))-FIND("]",CELL("adresse",OFFSET(DMAV_Modell!$N$6,D338-1,0)))),"Substructure"))</f>
        <v/>
      </c>
      <c r="R338" s="80"/>
      <c r="T338" s="93"/>
      <c r="U338" s="94"/>
      <c r="V338" s="95"/>
      <c r="W338" s="96"/>
      <c r="Y338" s="85"/>
      <c r="Z338" s="86"/>
      <c r="AA338" s="87"/>
      <c r="AB338" s="88"/>
      <c r="AD338" s="77"/>
      <c r="AF338" s="54" t="str" cm="1">
        <f t="array" aca="1" ref="AF338" ca="1">IF(H338=0,"",HYPERLINK("#"&amp;RIGHT(CELL("adresse",OFFSET('DM01-AV-CH'!$G$6,H338-1,0)),LEN(CELL("adresse",OFFSET('DM01-AV-CH'!$G$6,H338-1,0)))-FIND("]",CELL("adresse",OFFSET('DM01-AV-CH'!$G$6,H338-1,0)))),"Modell"))</f>
        <v>Modell</v>
      </c>
      <c r="AG338" s="72" t="str" cm="1">
        <f t="array" ref="AG338">IF($H338=0,"",IF(INDEX('DM01-AV-CH'!G$6:G$834,$H338)="","",INDEX('DM01-AV-CH'!G$6:G$834,$H338)))</f>
        <v>Landesgrenzen</v>
      </c>
      <c r="AH338" s="73" t="str" cm="1">
        <f t="array" ref="AH338">IF($H338=0,"",IF(INDEX('DM01-AV-CH'!H$6:H$834,$H338)="","",INDEX('DM01-AV-CH'!H$6:H$834,$H338)))</f>
        <v>Landesgrenzabschnitt</v>
      </c>
      <c r="AI338" s="74" t="str" cm="1">
        <f t="array" ref="AI338">IF($H338=0,"",IF(INDEX('DM01-AV-CH'!I$6:I$834,$H338)="","",INDEX('DM01-AV-CH'!I$6:I$834,$H338)))</f>
        <v>Gueltigkeit</v>
      </c>
    </row>
    <row r="339" spans="1:35" x14ac:dyDescent="0.25">
      <c r="A339" s="57">
        <v>334</v>
      </c>
      <c r="B339" s="57">
        <f>IF($A339="","",IF(_xlfn.XLOOKUP($A339,Korrelation!$D$4:$D$1197,Korrelation!E$4:E$1197,"-",0)="-",0,MATCH(_xlfn.XLOOKUP($A339,Korrelation!$D$4:$D$1197,Korrelation!E$4:E$1197,"",0),DMAV_Modell!$G$6:$G$677,0)))</f>
        <v>118</v>
      </c>
      <c r="C339" s="57">
        <f>IF($A339="","",IF(_xlfn.XLOOKUP($A339,Korrelation!$D$4:$D$1197,Korrelation!F$4:F$1197,"-",0)="-",0,MATCH(_xlfn.XLOOKUP($A339,Korrelation!$D$4:$D$1197,Korrelation!F$4:F$1197,"",0),DMAV_Modell!$G$6:$G$677,0)))</f>
        <v>0</v>
      </c>
      <c r="D339" s="57">
        <f>IF($A339="","",IF(_xlfn.XLOOKUP($A339,Korrelation!$D$4:$D$1197,Korrelation!G$4:G$1197,"-",0)="-",0,MATCH(_xlfn.XLOOKUP($A339,Korrelation!$D$4:$D$1197,Korrelation!G$4:G$1197,"",0),DMAV_Modell!$G$6:$G$677,0)))</f>
        <v>0</v>
      </c>
      <c r="E339" s="57">
        <f>IF($A339="","",IF(_xlfn.XLOOKUP($A339,Korrelation!$D$4:$D$1197,Korrelation!H$4:H$1197,"-",0)="-",0,MATCH(_xlfn.XLOOKUP($A339,Korrelation!$D$4:$D$1197,Korrelation!H$4:H$1197,"",0),DMAV_Dienste!$F$6:$F$140,0)))</f>
        <v>0</v>
      </c>
      <c r="F339" s="57">
        <f>IF($A339="","",IF(_xlfn.XLOOKUP($A339,Korrelation!$D$4:$D$1197,Korrelation!I$4:I$1197,"-",0)="-",0,MATCH(_xlfn.XLOOKUP($A339,Korrelation!$D$4:$D$1197,Korrelation!I$4:I$1197,"",0),DMAV_Dienste!$F$6:$F$140,0)))</f>
        <v>0</v>
      </c>
      <c r="G339" s="57">
        <f>IF($A339="","",IF(_xlfn.XLOOKUP($A339,Korrelation!$D$4:$D$1197,Korrelation!J$4:J$1197,"-",0)="-",0,MATCH(_xlfn.XLOOKUP($A339,Korrelation!$D$4:$D$1197,Korrelation!J$4:J$1197,"",0),DMAV_Dienste!$F$6:$F$140,0)))</f>
        <v>0</v>
      </c>
      <c r="H339" s="57">
        <f>IF($A339="","",IF(_xlfn.XLOOKUP($A339,Korrelation!$D$4:$D$1197,Korrelation!K$4:K$1197,"-",0)="-",0,MATCH(_xlfn.XLOOKUP($A339,Korrelation!$D$4:$D$1197,Korrelation!K$4:K$1197,"",0),'DM01-AV-CH'!$A$6:$A$834,0)))</f>
        <v>0</v>
      </c>
      <c r="J339" s="54" t="str" cm="1">
        <f t="array" aca="1" ref="J339" ca="1">IF(B339=0,IF(E339=0,"",HYPERLINK("#"&amp;RIGHT(CELL("adresse",OFFSET(DMAV_Dienste!$M$6,E339-1,0)),LEN(CELL("adresse",OFFSET(DMAV_Dienste!$M$6,E339-1,0)))-FIND("]",CELL("adresse",OFFSET(DMAV_Dienste!$M$6,E339-1,0)))),"Dienst")),HYPERLINK("#"&amp;RIGHT(CELL("adresse",OFFSET(DMAV_Modell!$N$6,B339-1,0)),LEN(CELL("adresse",OFFSET(DMAV_Modell!$N$6,B339-1,0)))-FIND("]",CELL("adresse",OFFSET(DMAV_Modell!$N$6,B339-1,0)))),"Modell"))</f>
        <v>Modell</v>
      </c>
      <c r="K339" s="61" t="str" cm="1">
        <f t="array" ref="K339">IF($B339=0,IF($E339=0,"",IF(INDEX(DMAV_Dienste!P$6:P$140,$E339)="","",INDEX(DMAV_Dienste!P$6:P$140,$E339))),IF(INDEX(DMAV_Modell!Q$6:Q$838,$B339)="","",INDEX(DMAV_Modell!Q$6:Q$838,$B339)))</f>
        <v>IMPORTS</v>
      </c>
      <c r="L339" s="62" t="str" cm="1">
        <f t="array" ref="L339">IF($B339=0,IF($E339=0,"",IF(INDEX(DMAV_Dienste!O$6:O$140,$E339)="","",INDEX(DMAV_Dienste!O$6:O$140,$E339))),IF(INDEX(DMAV_Modell!P$6:P$838,$B339)="","",INDEX(DMAV_Modell!P$6:P$838,$B339)))</f>
        <v/>
      </c>
      <c r="M339" s="62" t="str" cm="1">
        <f t="array" ref="M339">IF($B339=0,IF($E339=0,"",IF(INDEX(DMAV_Dienste!Q$6:Q$140,$E339)="","",INDEX(DMAV_Dienste!Q$6:Q$140,$E339))),IF(INDEX(DMAV_Modell!R$6:R$838,$B339)="","",INDEX(DMAV_Modell!R$6:R$838,$B339)))</f>
        <v>GeometryCHLV95_V2</v>
      </c>
      <c r="N339" s="62" t="str" cm="1">
        <f t="array" ref="N339">IF($B339=0,IF($E339=0,"",IF(INDEX(DMAV_Dienste!T$6:T$140,$E339)="","",INDEX(DMAV_Dienste!T$6:T$140,$E339))),IF(INDEX(DMAV_Modell!U$6:U$838,$B339)="","",INDEX(DMAV_Modell!U$6:U$838,$B339)))</f>
        <v/>
      </c>
      <c r="O339" s="63" t="str" cm="1">
        <f t="array" aca="1" ref="O339" ca="1">IF(C339=0,IF(F339=0,"",HYPERLINK("#"&amp;RIGHT(CELL("adresse",OFFSET(DMAV_Dienste!$M$6,F339-1,0)),LEN(CELL("adresse",OFFSET(DMAV_Dienste!$M$6,F339-1,0)))-FIND("]",CELL("adresse",OFFSET(DMAV_Dienste!$M$6,F339-1,0)))),"Structure")),HYPERLINK("#"&amp;RIGHT(CELL("adresse",OFFSET(DMAV_Modell!$N$6,C339-1,0)),LEN(CELL("adresse",OFFSET(DMAV_Modell!$N$6,C339-1,0)))-FIND("]",CELL("adresse",OFFSET(DMAV_Modell!$N$6,C339-1,0)))),"Structure"))</f>
        <v/>
      </c>
      <c r="P339" s="64" t="str" cm="1">
        <f t="array" aca="1" ref="P339" ca="1">IF(D339=0,IF(G339=0,"",HYPERLINK("#"&amp;RIGHT(CELL("adresse",OFFSET(DMAV_Dienste!$M$6,G339-1,0)),LEN(CELL("adresse",OFFSET(DMAV_Dienste!$M$6,G339-1,0)))-FIND("]",CELL("adresse",OFFSET(DMAV_Dienste!$M$6,G339-1,0)))),"Substructure")),HYPERLINK("#"&amp;RIGHT(CELL("adresse",OFFSET(DMAV_Modell!$N$6,D339-1,0)),LEN(CELL("adresse",OFFSET(DMAV_Modell!$N$6,D339-1,0)))-FIND("]",CELL("adresse",OFFSET(DMAV_Modell!$N$6,D339-1,0)))),"Substructure"))</f>
        <v/>
      </c>
      <c r="R339" s="80"/>
      <c r="T339" s="93"/>
      <c r="U339" s="94"/>
      <c r="V339" s="95"/>
      <c r="W339" s="96"/>
      <c r="Y339" s="85"/>
      <c r="Z339" s="86"/>
      <c r="AA339" s="87"/>
      <c r="AB339" s="88"/>
      <c r="AD339" s="77"/>
      <c r="AF339" s="54" t="str" cm="1">
        <f t="array" aca="1" ref="AF339" ca="1">IF(H339=0,"",HYPERLINK("#"&amp;RIGHT(CELL("adresse",OFFSET('DM01-AV-CH'!$G$6,H339-1,0)),LEN(CELL("adresse",OFFSET('DM01-AV-CH'!$G$6,H339-1,0)))-FIND("]",CELL("adresse",OFFSET('DM01-AV-CH'!$G$6,H339-1,0)))),"Modell"))</f>
        <v/>
      </c>
      <c r="AG339" s="72" t="str" cm="1">
        <f t="array" ref="AG339">IF($H339=0,"",IF(INDEX('DM01-AV-CH'!G$6:G$834,$H339)="","",INDEX('DM01-AV-CH'!G$6:G$834,$H339)))</f>
        <v/>
      </c>
      <c r="AH339" s="73" t="str" cm="1">
        <f t="array" ref="AH339">IF($H339=0,"",IF(INDEX('DM01-AV-CH'!H$6:H$834,$H339)="","",INDEX('DM01-AV-CH'!H$6:H$834,$H339)))</f>
        <v/>
      </c>
      <c r="AI339" s="74" t="str" cm="1">
        <f t="array" ref="AI339">IF($H339=0,"",IF(INDEX('DM01-AV-CH'!I$6:I$834,$H339)="","",INDEX('DM01-AV-CH'!I$6:I$834,$H339)))</f>
        <v/>
      </c>
    </row>
    <row r="340" spans="1:35" x14ac:dyDescent="0.25">
      <c r="A340" s="57">
        <v>335</v>
      </c>
      <c r="B340" s="57">
        <f>IF($A340="","",IF(_xlfn.XLOOKUP($A340,Korrelation!$D$4:$D$1197,Korrelation!E$4:E$1197,"-",0)="-",0,MATCH(_xlfn.XLOOKUP($A340,Korrelation!$D$4:$D$1197,Korrelation!E$4:E$1197,"",0),DMAV_Modell!$G$6:$G$677,0)))</f>
        <v>119</v>
      </c>
      <c r="C340" s="57">
        <f>IF($A340="","",IF(_xlfn.XLOOKUP($A340,Korrelation!$D$4:$D$1197,Korrelation!F$4:F$1197,"-",0)="-",0,MATCH(_xlfn.XLOOKUP($A340,Korrelation!$D$4:$D$1197,Korrelation!F$4:F$1197,"",0),DMAV_Modell!$G$6:$G$677,0)))</f>
        <v>0</v>
      </c>
      <c r="D340" s="57">
        <f>IF($A340="","",IF(_xlfn.XLOOKUP($A340,Korrelation!$D$4:$D$1197,Korrelation!G$4:G$1197,"-",0)="-",0,MATCH(_xlfn.XLOOKUP($A340,Korrelation!$D$4:$D$1197,Korrelation!G$4:G$1197,"",0),DMAV_Modell!$G$6:$G$677,0)))</f>
        <v>0</v>
      </c>
      <c r="E340" s="57">
        <f>IF($A340="","",IF(_xlfn.XLOOKUP($A340,Korrelation!$D$4:$D$1197,Korrelation!H$4:H$1197,"-",0)="-",0,MATCH(_xlfn.XLOOKUP($A340,Korrelation!$D$4:$D$1197,Korrelation!H$4:H$1197,"",0),DMAV_Dienste!$F$6:$F$140,0)))</f>
        <v>0</v>
      </c>
      <c r="F340" s="57">
        <f>IF($A340="","",IF(_xlfn.XLOOKUP($A340,Korrelation!$D$4:$D$1197,Korrelation!I$4:I$1197,"-",0)="-",0,MATCH(_xlfn.XLOOKUP($A340,Korrelation!$D$4:$D$1197,Korrelation!I$4:I$1197,"",0),DMAV_Dienste!$F$6:$F$140,0)))</f>
        <v>0</v>
      </c>
      <c r="G340" s="57">
        <f>IF($A340="","",IF(_xlfn.XLOOKUP($A340,Korrelation!$D$4:$D$1197,Korrelation!J$4:J$1197,"-",0)="-",0,MATCH(_xlfn.XLOOKUP($A340,Korrelation!$D$4:$D$1197,Korrelation!J$4:J$1197,"",0),DMAV_Dienste!$F$6:$F$140,0)))</f>
        <v>0</v>
      </c>
      <c r="H340" s="57">
        <f>IF($A340="","",IF(_xlfn.XLOOKUP($A340,Korrelation!$D$4:$D$1197,Korrelation!K$4:K$1197,"-",0)="-",0,MATCH(_xlfn.XLOOKUP($A340,Korrelation!$D$4:$D$1197,Korrelation!K$4:K$1197,"",0),'DM01-AV-CH'!$A$6:$A$834,0)))</f>
        <v>0</v>
      </c>
      <c r="J340" s="54" t="str" cm="1">
        <f t="array" aca="1" ref="J340" ca="1">IF(B340=0,IF(E340=0,"",HYPERLINK("#"&amp;RIGHT(CELL("adresse",OFFSET(DMAV_Dienste!$M$6,E340-1,0)),LEN(CELL("adresse",OFFSET(DMAV_Dienste!$M$6,E340-1,0)))-FIND("]",CELL("adresse",OFFSET(DMAV_Dienste!$M$6,E340-1,0)))),"Dienst")),HYPERLINK("#"&amp;RIGHT(CELL("adresse",OFFSET(DMAV_Modell!$N$6,B340-1,0)),LEN(CELL("adresse",OFFSET(DMAV_Modell!$N$6,B340-1,0)))-FIND("]",CELL("adresse",OFFSET(DMAV_Modell!$N$6,B340-1,0)))),"Modell"))</f>
        <v>Modell</v>
      </c>
      <c r="K340" s="61" t="str" cm="1">
        <f t="array" ref="K340">IF($B340=0,IF($E340=0,"",IF(INDEX(DMAV_Dienste!P$6:P$140,$E340)="","",INDEX(DMAV_Dienste!P$6:P$140,$E340))),IF(INDEX(DMAV_Modell!Q$6:Q$838,$B340)="","",INDEX(DMAV_Modell!Q$6:Q$838,$B340)))</f>
        <v>IMPORTS</v>
      </c>
      <c r="L340" s="62" t="str" cm="1">
        <f t="array" ref="L340">IF($B340=0,IF($E340=0,"",IF(INDEX(DMAV_Dienste!O$6:O$140,$E340)="","",INDEX(DMAV_Dienste!O$6:O$140,$E340))),IF(INDEX(DMAV_Modell!P$6:P$838,$B340)="","",INDEX(DMAV_Modell!P$6:P$838,$B340)))</f>
        <v/>
      </c>
      <c r="M340" s="62" t="str" cm="1">
        <f t="array" ref="M340">IF($B340=0,IF($E340=0,"",IF(INDEX(DMAV_Dienste!Q$6:Q$140,$E340)="","",INDEX(DMAV_Dienste!Q$6:Q$140,$E340))),IF(INDEX(DMAV_Modell!R$6:R$838,$B340)="","",INDEX(DMAV_Modell!R$6:R$838,$B340)))</f>
        <v>CHAdminCodes_V2</v>
      </c>
      <c r="N340" s="62" t="str" cm="1">
        <f t="array" ref="N340">IF($B340=0,IF($E340=0,"",IF(INDEX(DMAV_Dienste!T$6:T$140,$E340)="","",INDEX(DMAV_Dienste!T$6:T$140,$E340))),IF(INDEX(DMAV_Modell!U$6:U$838,$B340)="","",INDEX(DMAV_Modell!U$6:U$838,$B340)))</f>
        <v/>
      </c>
      <c r="O340" s="63" t="str" cm="1">
        <f t="array" aca="1" ref="O340" ca="1">IF(C340=0,IF(F340=0,"",HYPERLINK("#"&amp;RIGHT(CELL("adresse",OFFSET(DMAV_Dienste!$M$6,F340-1,0)),LEN(CELL("adresse",OFFSET(DMAV_Dienste!$M$6,F340-1,0)))-FIND("]",CELL("adresse",OFFSET(DMAV_Dienste!$M$6,F340-1,0)))),"Structure")),HYPERLINK("#"&amp;RIGHT(CELL("adresse",OFFSET(DMAV_Modell!$N$6,C340-1,0)),LEN(CELL("adresse",OFFSET(DMAV_Modell!$N$6,C340-1,0)))-FIND("]",CELL("adresse",OFFSET(DMAV_Modell!$N$6,C340-1,0)))),"Structure"))</f>
        <v/>
      </c>
      <c r="P340" s="64" t="str" cm="1">
        <f t="array" aca="1" ref="P340" ca="1">IF(D340=0,IF(G340=0,"",HYPERLINK("#"&amp;RIGHT(CELL("adresse",OFFSET(DMAV_Dienste!$M$6,G340-1,0)),LEN(CELL("adresse",OFFSET(DMAV_Dienste!$M$6,G340-1,0)))-FIND("]",CELL("adresse",OFFSET(DMAV_Dienste!$M$6,G340-1,0)))),"Substructure")),HYPERLINK("#"&amp;RIGHT(CELL("adresse",OFFSET(DMAV_Modell!$N$6,D340-1,0)),LEN(CELL("adresse",OFFSET(DMAV_Modell!$N$6,D340-1,0)))-FIND("]",CELL("adresse",OFFSET(DMAV_Modell!$N$6,D340-1,0)))),"Substructure"))</f>
        <v/>
      </c>
      <c r="R340" s="80"/>
      <c r="T340" s="93"/>
      <c r="U340" s="94"/>
      <c r="V340" s="95"/>
      <c r="W340" s="96"/>
      <c r="Y340" s="85"/>
      <c r="Z340" s="86"/>
      <c r="AA340" s="87"/>
      <c r="AB340" s="88"/>
      <c r="AD340" s="77"/>
      <c r="AF340" s="54" t="str" cm="1">
        <f t="array" aca="1" ref="AF340" ca="1">IF(H340=0,"",HYPERLINK("#"&amp;RIGHT(CELL("adresse",OFFSET('DM01-AV-CH'!$G$6,H340-1,0)),LEN(CELL("adresse",OFFSET('DM01-AV-CH'!$G$6,H340-1,0)))-FIND("]",CELL("adresse",OFFSET('DM01-AV-CH'!$G$6,H340-1,0)))),"Modell"))</f>
        <v/>
      </c>
      <c r="AG340" s="72" t="str" cm="1">
        <f t="array" ref="AG340">IF($H340=0,"",IF(INDEX('DM01-AV-CH'!G$6:G$834,$H340)="","",INDEX('DM01-AV-CH'!G$6:G$834,$H340)))</f>
        <v/>
      </c>
      <c r="AH340" s="73" t="str" cm="1">
        <f t="array" ref="AH340">IF($H340=0,"",IF(INDEX('DM01-AV-CH'!H$6:H$834,$H340)="","",INDEX('DM01-AV-CH'!H$6:H$834,$H340)))</f>
        <v/>
      </c>
      <c r="AI340" s="74" t="str" cm="1">
        <f t="array" ref="AI340">IF($H340=0,"",IF(INDEX('DM01-AV-CH'!I$6:I$834,$H340)="","",INDEX('DM01-AV-CH'!I$6:I$834,$H340)))</f>
        <v/>
      </c>
    </row>
    <row r="341" spans="1:35" x14ac:dyDescent="0.25">
      <c r="A341" s="57">
        <v>336</v>
      </c>
      <c r="B341" s="57">
        <f>IF($A341="","",IF(_xlfn.XLOOKUP($A341,Korrelation!$D$4:$D$1197,Korrelation!E$4:E$1197,"-",0)="-",0,MATCH(_xlfn.XLOOKUP($A341,Korrelation!$D$4:$D$1197,Korrelation!E$4:E$1197,"",0),DMAV_Modell!$G$6:$G$677,0)))</f>
        <v>120</v>
      </c>
      <c r="C341" s="57">
        <f>IF($A341="","",IF(_xlfn.XLOOKUP($A341,Korrelation!$D$4:$D$1197,Korrelation!F$4:F$1197,"-",0)="-",0,MATCH(_xlfn.XLOOKUP($A341,Korrelation!$D$4:$D$1197,Korrelation!F$4:F$1197,"",0),DMAV_Modell!$G$6:$G$677,0)))</f>
        <v>0</v>
      </c>
      <c r="D341" s="57">
        <f>IF($A341="","",IF(_xlfn.XLOOKUP($A341,Korrelation!$D$4:$D$1197,Korrelation!G$4:G$1197,"-",0)="-",0,MATCH(_xlfn.XLOOKUP($A341,Korrelation!$D$4:$D$1197,Korrelation!G$4:G$1197,"",0),DMAV_Modell!$G$6:$G$677,0)))</f>
        <v>0</v>
      </c>
      <c r="E341" s="57">
        <f>IF($A341="","",IF(_xlfn.XLOOKUP($A341,Korrelation!$D$4:$D$1197,Korrelation!H$4:H$1197,"-",0)="-",0,MATCH(_xlfn.XLOOKUP($A341,Korrelation!$D$4:$D$1197,Korrelation!H$4:H$1197,"",0),DMAV_Dienste!$F$6:$F$140,0)))</f>
        <v>0</v>
      </c>
      <c r="F341" s="57">
        <f>IF($A341="","",IF(_xlfn.XLOOKUP($A341,Korrelation!$D$4:$D$1197,Korrelation!I$4:I$1197,"-",0)="-",0,MATCH(_xlfn.XLOOKUP($A341,Korrelation!$D$4:$D$1197,Korrelation!I$4:I$1197,"",0),DMAV_Dienste!$F$6:$F$140,0)))</f>
        <v>0</v>
      </c>
      <c r="G341" s="57">
        <f>IF($A341="","",IF(_xlfn.XLOOKUP($A341,Korrelation!$D$4:$D$1197,Korrelation!J$4:J$1197,"-",0)="-",0,MATCH(_xlfn.XLOOKUP($A341,Korrelation!$D$4:$D$1197,Korrelation!J$4:J$1197,"",0),DMAV_Dienste!$F$6:$F$140,0)))</f>
        <v>0</v>
      </c>
      <c r="H341" s="57">
        <f>IF($A341="","",IF(_xlfn.XLOOKUP($A341,Korrelation!$D$4:$D$1197,Korrelation!K$4:K$1197,"-",0)="-",0,MATCH(_xlfn.XLOOKUP($A341,Korrelation!$D$4:$D$1197,Korrelation!K$4:K$1197,"",0),'DM01-AV-CH'!$A$6:$A$834,0)))</f>
        <v>0</v>
      </c>
      <c r="J341" s="54" t="str" cm="1">
        <f t="array" aca="1" ref="J341" ca="1">IF(B341=0,IF(E341=0,"",HYPERLINK("#"&amp;RIGHT(CELL("adresse",OFFSET(DMAV_Dienste!$M$6,E341-1,0)),LEN(CELL("adresse",OFFSET(DMAV_Dienste!$M$6,E341-1,0)))-FIND("]",CELL("adresse",OFFSET(DMAV_Dienste!$M$6,E341-1,0)))),"Dienst")),HYPERLINK("#"&amp;RIGHT(CELL("adresse",OFFSET(DMAV_Modell!$N$6,B341-1,0)),LEN(CELL("adresse",OFFSET(DMAV_Modell!$N$6,B341-1,0)))-FIND("]",CELL("adresse",OFFSET(DMAV_Modell!$N$6,B341-1,0)))),"Modell"))</f>
        <v>Modell</v>
      </c>
      <c r="K341" s="61" t="str" cm="1">
        <f t="array" ref="K341">IF($B341=0,IF($E341=0,"",IF(INDEX(DMAV_Dienste!P$6:P$140,$E341)="","",INDEX(DMAV_Dienste!P$6:P$140,$E341))),IF(INDEX(DMAV_Modell!Q$6:Q$838,$B341)="","",INDEX(DMAV_Modell!Q$6:Q$838,$B341)))</f>
        <v>IMPORTS</v>
      </c>
      <c r="L341" s="62" t="str" cm="1">
        <f t="array" ref="L341">IF($B341=0,IF($E341=0,"",IF(INDEX(DMAV_Dienste!O$6:O$140,$E341)="","",INDEX(DMAV_Dienste!O$6:O$140,$E341))),IF(INDEX(DMAV_Modell!P$6:P$838,$B341)="","",INDEX(DMAV_Modell!P$6:P$838,$B341)))</f>
        <v/>
      </c>
      <c r="M341" s="62" t="str" cm="1">
        <f t="array" ref="M341">IF($B341=0,IF($E341=0,"",IF(INDEX(DMAV_Dienste!Q$6:Q$140,$E341)="","",INDEX(DMAV_Dienste!Q$6:Q$140,$E341))),IF(INDEX(DMAV_Modell!R$6:R$838,$B341)="","",INDEX(DMAV_Modell!R$6:R$838,$B341)))</f>
        <v>DMAVTYM_Topologie_V1_0</v>
      </c>
      <c r="N341" s="62" t="str" cm="1">
        <f t="array" ref="N341">IF($B341=0,IF($E341=0,"",IF(INDEX(DMAV_Dienste!T$6:T$140,$E341)="","",INDEX(DMAV_Dienste!T$6:T$140,$E341))),IF(INDEX(DMAV_Modell!U$6:U$838,$B341)="","",INDEX(DMAV_Modell!U$6:U$838,$B341)))</f>
        <v/>
      </c>
      <c r="O341" s="63" t="str" cm="1">
        <f t="array" aca="1" ref="O341" ca="1">IF(C341=0,IF(F341=0,"",HYPERLINK("#"&amp;RIGHT(CELL("adresse",OFFSET(DMAV_Dienste!$M$6,F341-1,0)),LEN(CELL("adresse",OFFSET(DMAV_Dienste!$M$6,F341-1,0)))-FIND("]",CELL("adresse",OFFSET(DMAV_Dienste!$M$6,F341-1,0)))),"Structure")),HYPERLINK("#"&amp;RIGHT(CELL("adresse",OFFSET(DMAV_Modell!$N$6,C341-1,0)),LEN(CELL("adresse",OFFSET(DMAV_Modell!$N$6,C341-1,0)))-FIND("]",CELL("adresse",OFFSET(DMAV_Modell!$N$6,C341-1,0)))),"Structure"))</f>
        <v/>
      </c>
      <c r="P341" s="64" t="str" cm="1">
        <f t="array" aca="1" ref="P341" ca="1">IF(D341=0,IF(G341=0,"",HYPERLINK("#"&amp;RIGHT(CELL("adresse",OFFSET(DMAV_Dienste!$M$6,G341-1,0)),LEN(CELL("adresse",OFFSET(DMAV_Dienste!$M$6,G341-1,0)))-FIND("]",CELL("adresse",OFFSET(DMAV_Dienste!$M$6,G341-1,0)))),"Substructure")),HYPERLINK("#"&amp;RIGHT(CELL("adresse",OFFSET(DMAV_Modell!$N$6,D341-1,0)),LEN(CELL("adresse",OFFSET(DMAV_Modell!$N$6,D341-1,0)))-FIND("]",CELL("adresse",OFFSET(DMAV_Modell!$N$6,D341-1,0)))),"Substructure"))</f>
        <v/>
      </c>
      <c r="R341" s="80"/>
      <c r="T341" s="93"/>
      <c r="U341" s="94"/>
      <c r="V341" s="95"/>
      <c r="W341" s="96"/>
      <c r="Y341" s="85"/>
      <c r="Z341" s="86"/>
      <c r="AA341" s="87"/>
      <c r="AB341" s="88"/>
      <c r="AD341" s="77"/>
      <c r="AF341" s="54" t="str" cm="1">
        <f t="array" aca="1" ref="AF341" ca="1">IF(H341=0,"",HYPERLINK("#"&amp;RIGHT(CELL("adresse",OFFSET('DM01-AV-CH'!$G$6,H341-1,0)),LEN(CELL("adresse",OFFSET('DM01-AV-CH'!$G$6,H341-1,0)))-FIND("]",CELL("adresse",OFFSET('DM01-AV-CH'!$G$6,H341-1,0)))),"Modell"))</f>
        <v/>
      </c>
      <c r="AG341" s="72" t="str" cm="1">
        <f t="array" ref="AG341">IF($H341=0,"",IF(INDEX('DM01-AV-CH'!G$6:G$834,$H341)="","",INDEX('DM01-AV-CH'!G$6:G$834,$H341)))</f>
        <v/>
      </c>
      <c r="AH341" s="73" t="str" cm="1">
        <f t="array" ref="AH341">IF($H341=0,"",IF(INDEX('DM01-AV-CH'!H$6:H$834,$H341)="","",INDEX('DM01-AV-CH'!H$6:H$834,$H341)))</f>
        <v/>
      </c>
      <c r="AI341" s="74" t="str" cm="1">
        <f t="array" ref="AI341">IF($H341=0,"",IF(INDEX('DM01-AV-CH'!I$6:I$834,$H341)="","",INDEX('DM01-AV-CH'!I$6:I$834,$H341)))</f>
        <v/>
      </c>
    </row>
    <row r="342" spans="1:35" x14ac:dyDescent="0.25">
      <c r="A342" s="57">
        <v>337</v>
      </c>
      <c r="B342" s="57">
        <f>IF($A342="","",IF(_xlfn.XLOOKUP($A342,Korrelation!$D$4:$D$1197,Korrelation!E$4:E$1197,"-",0)="-",0,MATCH(_xlfn.XLOOKUP($A342,Korrelation!$D$4:$D$1197,Korrelation!E$4:E$1197,"",0),DMAV_Modell!$G$6:$G$677,0)))</f>
        <v>121</v>
      </c>
      <c r="C342" s="57">
        <f>IF($A342="","",IF(_xlfn.XLOOKUP($A342,Korrelation!$D$4:$D$1197,Korrelation!F$4:F$1197,"-",0)="-",0,MATCH(_xlfn.XLOOKUP($A342,Korrelation!$D$4:$D$1197,Korrelation!F$4:F$1197,"",0),DMAV_Modell!$G$6:$G$677,0)))</f>
        <v>0</v>
      </c>
      <c r="D342" s="57">
        <f>IF($A342="","",IF(_xlfn.XLOOKUP($A342,Korrelation!$D$4:$D$1197,Korrelation!G$4:G$1197,"-",0)="-",0,MATCH(_xlfn.XLOOKUP($A342,Korrelation!$D$4:$D$1197,Korrelation!G$4:G$1197,"",0),DMAV_Modell!$G$6:$G$677,0)))</f>
        <v>0</v>
      </c>
      <c r="E342" s="57">
        <f>IF($A342="","",IF(_xlfn.XLOOKUP($A342,Korrelation!$D$4:$D$1197,Korrelation!H$4:H$1197,"-",0)="-",0,MATCH(_xlfn.XLOOKUP($A342,Korrelation!$D$4:$D$1197,Korrelation!H$4:H$1197,"",0),DMAV_Dienste!$F$6:$F$140,0)))</f>
        <v>0</v>
      </c>
      <c r="F342" s="57">
        <f>IF($A342="","",IF(_xlfn.XLOOKUP($A342,Korrelation!$D$4:$D$1197,Korrelation!I$4:I$1197,"-",0)="-",0,MATCH(_xlfn.XLOOKUP($A342,Korrelation!$D$4:$D$1197,Korrelation!I$4:I$1197,"",0),DMAV_Dienste!$F$6:$F$140,0)))</f>
        <v>0</v>
      </c>
      <c r="G342" s="57">
        <f>IF($A342="","",IF(_xlfn.XLOOKUP($A342,Korrelation!$D$4:$D$1197,Korrelation!J$4:J$1197,"-",0)="-",0,MATCH(_xlfn.XLOOKUP($A342,Korrelation!$D$4:$D$1197,Korrelation!J$4:J$1197,"",0),DMAV_Dienste!$F$6:$F$140,0)))</f>
        <v>0</v>
      </c>
      <c r="H342" s="57">
        <f>IF($A342="","",IF(_xlfn.XLOOKUP($A342,Korrelation!$D$4:$D$1197,Korrelation!K$4:K$1197,"-",0)="-",0,MATCH(_xlfn.XLOOKUP($A342,Korrelation!$D$4:$D$1197,Korrelation!K$4:K$1197,"",0),'DM01-AV-CH'!$A$6:$A$834,0)))</f>
        <v>589</v>
      </c>
      <c r="J342" s="54" t="str" cm="1">
        <f t="array" aca="1" ref="J342" ca="1">IF(B342=0,IF(E342=0,"",HYPERLINK("#"&amp;RIGHT(CELL("adresse",OFFSET(DMAV_Dienste!$M$6,E342-1,0)),LEN(CELL("adresse",OFFSET(DMAV_Dienste!$M$6,E342-1,0)))-FIND("]",CELL("adresse",OFFSET(DMAV_Dienste!$M$6,E342-1,0)))),"Dienst")),HYPERLINK("#"&amp;RIGHT(CELL("adresse",OFFSET(DMAV_Modell!$N$6,B342-1,0)),LEN(CELL("adresse",OFFSET(DMAV_Modell!$N$6,B342-1,0)))-FIND("]",CELL("adresse",OFFSET(DMAV_Modell!$N$6,B342-1,0)))),"Modell"))</f>
        <v>Modell</v>
      </c>
      <c r="K342" s="61" t="str" cm="1">
        <f t="array" ref="K342">IF($B342=0,IF($E342=0,"",IF(INDEX(DMAV_Dienste!P$6:P$140,$E342)="","",INDEX(DMAV_Dienste!P$6:P$140,$E342))),IF(INDEX(DMAV_Modell!Q$6:Q$838,$B342)="","",INDEX(DMAV_Modell!Q$6:Q$838,$B342)))</f>
        <v>CLASS</v>
      </c>
      <c r="L342" s="62" t="str" cm="1">
        <f t="array" ref="L342">IF($B342=0,IF($E342=0,"",IF(INDEX(DMAV_Dienste!O$6:O$140,$E342)="","",INDEX(DMAV_Dienste!O$6:O$140,$E342))),IF(INDEX(DMAV_Modell!P$6:P$838,$B342)="","",INDEX(DMAV_Modell!P$6:P$838,$B342)))</f>
        <v>HoheitsgrenzenAV</v>
      </c>
      <c r="M342" s="62" t="str" cm="1">
        <f t="array" ref="M342">IF($B342=0,IF($E342=0,"",IF(INDEX(DMAV_Dienste!Q$6:Q$140,$E342)="","",INDEX(DMAV_Dienste!Q$6:Q$140,$E342))),IF(INDEX(DMAV_Modell!R$6:R$838,$B342)="","",INDEX(DMAV_Modell!R$6:R$838,$B342)))</f>
        <v>HHGNachfuehrung</v>
      </c>
      <c r="N342" s="62" t="str" cm="1">
        <f t="array" ref="N342">IF($B342=0,IF($E342=0,"",IF(INDEX(DMAV_Dienste!T$6:T$140,$E342)="","",INDEX(DMAV_Dienste!T$6:T$140,$E342))),IF(INDEX(DMAV_Modell!U$6:U$838,$B342)="","",INDEX(DMAV_Modell!U$6:U$838,$B342)))</f>
        <v>NBIdent</v>
      </c>
      <c r="O342" s="63" t="str" cm="1">
        <f t="array" aca="1" ref="O342" ca="1">IF(C342=0,IF(F342=0,"",HYPERLINK("#"&amp;RIGHT(CELL("adresse",OFFSET(DMAV_Dienste!$M$6,F342-1,0)),LEN(CELL("adresse",OFFSET(DMAV_Dienste!$M$6,F342-1,0)))-FIND("]",CELL("adresse",OFFSET(DMAV_Dienste!$M$6,F342-1,0)))),"Structure")),HYPERLINK("#"&amp;RIGHT(CELL("adresse",OFFSET(DMAV_Modell!$N$6,C342-1,0)),LEN(CELL("adresse",OFFSET(DMAV_Modell!$N$6,C342-1,0)))-FIND("]",CELL("adresse",OFFSET(DMAV_Modell!$N$6,C342-1,0)))),"Structure"))</f>
        <v/>
      </c>
      <c r="P342" s="64" t="str" cm="1">
        <f t="array" aca="1" ref="P342" ca="1">IF(D342=0,IF(G342=0,"",HYPERLINK("#"&amp;RIGHT(CELL("adresse",OFFSET(DMAV_Dienste!$M$6,G342-1,0)),LEN(CELL("adresse",OFFSET(DMAV_Dienste!$M$6,G342-1,0)))-FIND("]",CELL("adresse",OFFSET(DMAV_Dienste!$M$6,G342-1,0)))),"Substructure")),HYPERLINK("#"&amp;RIGHT(CELL("adresse",OFFSET(DMAV_Modell!$N$6,D342-1,0)),LEN(CELL("adresse",OFFSET(DMAV_Modell!$N$6,D342-1,0)))-FIND("]",CELL("adresse",OFFSET(DMAV_Modell!$N$6,D342-1,0)))),"Substructure"))</f>
        <v/>
      </c>
      <c r="R342" s="80"/>
      <c r="T342" s="93"/>
      <c r="U342" s="94"/>
      <c r="V342" s="95"/>
      <c r="W342" s="96"/>
      <c r="Y342" s="85"/>
      <c r="Z342" s="86"/>
      <c r="AA342" s="87"/>
      <c r="AB342" s="88"/>
      <c r="AD342" s="77"/>
      <c r="AF342" s="54" t="str" cm="1">
        <f t="array" aca="1" ref="AF342" ca="1">IF(H342=0,"",HYPERLINK("#"&amp;RIGHT(CELL("adresse",OFFSET('DM01-AV-CH'!$G$6,H342-1,0)),LEN(CELL("adresse",OFFSET('DM01-AV-CH'!$G$6,H342-1,0)))-FIND("]",CELL("adresse",OFFSET('DM01-AV-CH'!$G$6,H342-1,0)))),"Modell"))</f>
        <v>Modell</v>
      </c>
      <c r="AG342" s="72" t="str" cm="1">
        <f t="array" ref="AG342">IF($H342=0,"",IF(INDEX('DM01-AV-CH'!G$6:G$834,$H342)="","",INDEX('DM01-AV-CH'!G$6:G$834,$H342)))</f>
        <v>Gemeindegrenzen</v>
      </c>
      <c r="AH342" s="73" t="str" cm="1">
        <f t="array" ref="AH342">IF($H342=0,"",IF(INDEX('DM01-AV-CH'!H$6:H$834,$H342)="","",INDEX('DM01-AV-CH'!H$6:H$834,$H342)))</f>
        <v>GEMNachfuehrung</v>
      </c>
      <c r="AI342" s="74" t="str" cm="1">
        <f t="array" ref="AI342">IF($H342=0,"",IF(INDEX('DM01-AV-CH'!I$6:I$834,$H342)="","",INDEX('DM01-AV-CH'!I$6:I$834,$H342)))</f>
        <v>NBIdent</v>
      </c>
    </row>
    <row r="343" spans="1:35" x14ac:dyDescent="0.25">
      <c r="A343" s="57">
        <v>338</v>
      </c>
      <c r="B343" s="57">
        <f>IF($A343="","",IF(_xlfn.XLOOKUP($A343,Korrelation!$D$4:$D$1197,Korrelation!E$4:E$1197,"-",0)="-",0,MATCH(_xlfn.XLOOKUP($A343,Korrelation!$D$4:$D$1197,Korrelation!E$4:E$1197,"",0),DMAV_Modell!$G$6:$G$677,0)))</f>
        <v>122</v>
      </c>
      <c r="C343" s="57">
        <f>IF($A343="","",IF(_xlfn.XLOOKUP($A343,Korrelation!$D$4:$D$1197,Korrelation!F$4:F$1197,"-",0)="-",0,MATCH(_xlfn.XLOOKUP($A343,Korrelation!$D$4:$D$1197,Korrelation!F$4:F$1197,"",0),DMAV_Modell!$G$6:$G$677,0)))</f>
        <v>0</v>
      </c>
      <c r="D343" s="57">
        <f>IF($A343="","",IF(_xlfn.XLOOKUP($A343,Korrelation!$D$4:$D$1197,Korrelation!G$4:G$1197,"-",0)="-",0,MATCH(_xlfn.XLOOKUP($A343,Korrelation!$D$4:$D$1197,Korrelation!G$4:G$1197,"",0),DMAV_Modell!$G$6:$G$677,0)))</f>
        <v>0</v>
      </c>
      <c r="E343" s="57">
        <f>IF($A343="","",IF(_xlfn.XLOOKUP($A343,Korrelation!$D$4:$D$1197,Korrelation!H$4:H$1197,"-",0)="-",0,MATCH(_xlfn.XLOOKUP($A343,Korrelation!$D$4:$D$1197,Korrelation!H$4:H$1197,"",0),DMAV_Dienste!$F$6:$F$140,0)))</f>
        <v>0</v>
      </c>
      <c r="F343" s="57">
        <f>IF($A343="","",IF(_xlfn.XLOOKUP($A343,Korrelation!$D$4:$D$1197,Korrelation!I$4:I$1197,"-",0)="-",0,MATCH(_xlfn.XLOOKUP($A343,Korrelation!$D$4:$D$1197,Korrelation!I$4:I$1197,"",0),DMAV_Dienste!$F$6:$F$140,0)))</f>
        <v>0</v>
      </c>
      <c r="G343" s="57">
        <f>IF($A343="","",IF(_xlfn.XLOOKUP($A343,Korrelation!$D$4:$D$1197,Korrelation!J$4:J$1197,"-",0)="-",0,MATCH(_xlfn.XLOOKUP($A343,Korrelation!$D$4:$D$1197,Korrelation!J$4:J$1197,"",0),DMAV_Dienste!$F$6:$F$140,0)))</f>
        <v>0</v>
      </c>
      <c r="H343" s="57">
        <f>IF($A343="","",IF(_xlfn.XLOOKUP($A343,Korrelation!$D$4:$D$1197,Korrelation!K$4:K$1197,"-",0)="-",0,MATCH(_xlfn.XLOOKUP($A343,Korrelation!$D$4:$D$1197,Korrelation!K$4:K$1197,"",0),'DM01-AV-CH'!$A$6:$A$834,0)))</f>
        <v>590</v>
      </c>
      <c r="J343" s="54" t="str" cm="1">
        <f t="array" aca="1" ref="J343" ca="1">IF(B343=0,IF(E343=0,"",HYPERLINK("#"&amp;RIGHT(CELL("adresse",OFFSET(DMAV_Dienste!$M$6,E343-1,0)),LEN(CELL("adresse",OFFSET(DMAV_Dienste!$M$6,E343-1,0)))-FIND("]",CELL("adresse",OFFSET(DMAV_Dienste!$M$6,E343-1,0)))),"Dienst")),HYPERLINK("#"&amp;RIGHT(CELL("adresse",OFFSET(DMAV_Modell!$N$6,B343-1,0)),LEN(CELL("adresse",OFFSET(DMAV_Modell!$N$6,B343-1,0)))-FIND("]",CELL("adresse",OFFSET(DMAV_Modell!$N$6,B343-1,0)))),"Modell"))</f>
        <v>Modell</v>
      </c>
      <c r="K343" s="61" t="str" cm="1">
        <f t="array" ref="K343">IF($B343=0,IF($E343=0,"",IF(INDEX(DMAV_Dienste!P$6:P$140,$E343)="","",INDEX(DMAV_Dienste!P$6:P$140,$E343))),IF(INDEX(DMAV_Modell!Q$6:Q$838,$B343)="","",INDEX(DMAV_Modell!Q$6:Q$838,$B343)))</f>
        <v>CLASS</v>
      </c>
      <c r="L343" s="62" t="str" cm="1">
        <f t="array" ref="L343">IF($B343=0,IF($E343=0,"",IF(INDEX(DMAV_Dienste!O$6:O$140,$E343)="","",INDEX(DMAV_Dienste!O$6:O$140,$E343))),IF(INDEX(DMAV_Modell!P$6:P$838,$B343)="","",INDEX(DMAV_Modell!P$6:P$838,$B343)))</f>
        <v>HoheitsgrenzenAV</v>
      </c>
      <c r="M343" s="62" t="str" cm="1">
        <f t="array" ref="M343">IF($B343=0,IF($E343=0,"",IF(INDEX(DMAV_Dienste!Q$6:Q$140,$E343)="","",INDEX(DMAV_Dienste!Q$6:Q$140,$E343))),IF(INDEX(DMAV_Modell!R$6:R$838,$B343)="","",INDEX(DMAV_Modell!R$6:R$838,$B343)))</f>
        <v>HHGNachfuehrung</v>
      </c>
      <c r="N343" s="62" t="str" cm="1">
        <f t="array" ref="N343">IF($B343=0,IF($E343=0,"",IF(INDEX(DMAV_Dienste!T$6:T$140,$E343)="","",INDEX(DMAV_Dienste!T$6:T$140,$E343))),IF(INDEX(DMAV_Modell!U$6:U$838,$B343)="","",INDEX(DMAV_Modell!U$6:U$838,$B343)))</f>
        <v>Identifikator</v>
      </c>
      <c r="O343" s="63" t="str" cm="1">
        <f t="array" aca="1" ref="O343" ca="1">IF(C343=0,IF(F343=0,"",HYPERLINK("#"&amp;RIGHT(CELL("adresse",OFFSET(DMAV_Dienste!$M$6,F343-1,0)),LEN(CELL("adresse",OFFSET(DMAV_Dienste!$M$6,F343-1,0)))-FIND("]",CELL("adresse",OFFSET(DMAV_Dienste!$M$6,F343-1,0)))),"Structure")),HYPERLINK("#"&amp;RIGHT(CELL("adresse",OFFSET(DMAV_Modell!$N$6,C343-1,0)),LEN(CELL("adresse",OFFSET(DMAV_Modell!$N$6,C343-1,0)))-FIND("]",CELL("adresse",OFFSET(DMAV_Modell!$N$6,C343-1,0)))),"Structure"))</f>
        <v/>
      </c>
      <c r="P343" s="64" t="str" cm="1">
        <f t="array" aca="1" ref="P343" ca="1">IF(D343=0,IF(G343=0,"",HYPERLINK("#"&amp;RIGHT(CELL("adresse",OFFSET(DMAV_Dienste!$M$6,G343-1,0)),LEN(CELL("adresse",OFFSET(DMAV_Dienste!$M$6,G343-1,0)))-FIND("]",CELL("adresse",OFFSET(DMAV_Dienste!$M$6,G343-1,0)))),"Substructure")),HYPERLINK("#"&amp;RIGHT(CELL("adresse",OFFSET(DMAV_Modell!$N$6,D343-1,0)),LEN(CELL("adresse",OFFSET(DMAV_Modell!$N$6,D343-1,0)))-FIND("]",CELL("adresse",OFFSET(DMAV_Modell!$N$6,D343-1,0)))),"Substructure"))</f>
        <v/>
      </c>
      <c r="R343" s="80"/>
      <c r="T343" s="93"/>
      <c r="U343" s="94"/>
      <c r="V343" s="95"/>
      <c r="W343" s="96"/>
      <c r="Y343" s="85"/>
      <c r="Z343" s="86"/>
      <c r="AA343" s="87"/>
      <c r="AB343" s="88"/>
      <c r="AD343" s="77"/>
      <c r="AF343" s="54" t="str" cm="1">
        <f t="array" aca="1" ref="AF343" ca="1">IF(H343=0,"",HYPERLINK("#"&amp;RIGHT(CELL("adresse",OFFSET('DM01-AV-CH'!$G$6,H343-1,0)),LEN(CELL("adresse",OFFSET('DM01-AV-CH'!$G$6,H343-1,0)))-FIND("]",CELL("adresse",OFFSET('DM01-AV-CH'!$G$6,H343-1,0)))),"Modell"))</f>
        <v>Modell</v>
      </c>
      <c r="AG343" s="72" t="str" cm="1">
        <f t="array" ref="AG343">IF($H343=0,"",IF(INDEX('DM01-AV-CH'!G$6:G$834,$H343)="","",INDEX('DM01-AV-CH'!G$6:G$834,$H343)))</f>
        <v>Gemeindegrenzen</v>
      </c>
      <c r="AH343" s="73" t="str" cm="1">
        <f t="array" ref="AH343">IF($H343=0,"",IF(INDEX('DM01-AV-CH'!H$6:H$834,$H343)="","",INDEX('DM01-AV-CH'!H$6:H$834,$H343)))</f>
        <v>GEMNachfuehrung</v>
      </c>
      <c r="AI343" s="74" t="str" cm="1">
        <f t="array" ref="AI343">IF($H343=0,"",IF(INDEX('DM01-AV-CH'!I$6:I$834,$H343)="","",INDEX('DM01-AV-CH'!I$6:I$834,$H343)))</f>
        <v>Identifikator</v>
      </c>
    </row>
    <row r="344" spans="1:35" x14ac:dyDescent="0.25">
      <c r="A344" s="57">
        <v>339</v>
      </c>
      <c r="B344" s="57">
        <f>IF($A344="","",IF(_xlfn.XLOOKUP($A344,Korrelation!$D$4:$D$1197,Korrelation!E$4:E$1197,"-",0)="-",0,MATCH(_xlfn.XLOOKUP($A344,Korrelation!$D$4:$D$1197,Korrelation!E$4:E$1197,"",0),DMAV_Modell!$G$6:$G$677,0)))</f>
        <v>123</v>
      </c>
      <c r="C344" s="57">
        <f>IF($A344="","",IF(_xlfn.XLOOKUP($A344,Korrelation!$D$4:$D$1197,Korrelation!F$4:F$1197,"-",0)="-",0,MATCH(_xlfn.XLOOKUP($A344,Korrelation!$D$4:$D$1197,Korrelation!F$4:F$1197,"",0),DMAV_Modell!$G$6:$G$677,0)))</f>
        <v>0</v>
      </c>
      <c r="D344" s="57">
        <f>IF($A344="","",IF(_xlfn.XLOOKUP($A344,Korrelation!$D$4:$D$1197,Korrelation!G$4:G$1197,"-",0)="-",0,MATCH(_xlfn.XLOOKUP($A344,Korrelation!$D$4:$D$1197,Korrelation!G$4:G$1197,"",0),DMAV_Modell!$G$6:$G$677,0)))</f>
        <v>0</v>
      </c>
      <c r="E344" s="57">
        <f>IF($A344="","",IF(_xlfn.XLOOKUP($A344,Korrelation!$D$4:$D$1197,Korrelation!H$4:H$1197,"-",0)="-",0,MATCH(_xlfn.XLOOKUP($A344,Korrelation!$D$4:$D$1197,Korrelation!H$4:H$1197,"",0),DMAV_Dienste!$F$6:$F$140,0)))</f>
        <v>0</v>
      </c>
      <c r="F344" s="57">
        <f>IF($A344="","",IF(_xlfn.XLOOKUP($A344,Korrelation!$D$4:$D$1197,Korrelation!I$4:I$1197,"-",0)="-",0,MATCH(_xlfn.XLOOKUP($A344,Korrelation!$D$4:$D$1197,Korrelation!I$4:I$1197,"",0),DMAV_Dienste!$F$6:$F$140,0)))</f>
        <v>0</v>
      </c>
      <c r="G344" s="57">
        <f>IF($A344="","",IF(_xlfn.XLOOKUP($A344,Korrelation!$D$4:$D$1197,Korrelation!J$4:J$1197,"-",0)="-",0,MATCH(_xlfn.XLOOKUP($A344,Korrelation!$D$4:$D$1197,Korrelation!J$4:J$1197,"",0),DMAV_Dienste!$F$6:$F$140,0)))</f>
        <v>0</v>
      </c>
      <c r="H344" s="57">
        <f>IF($A344="","",IF(_xlfn.XLOOKUP($A344,Korrelation!$D$4:$D$1197,Korrelation!K$4:K$1197,"-",0)="-",0,MATCH(_xlfn.XLOOKUP($A344,Korrelation!$D$4:$D$1197,Korrelation!K$4:K$1197,"",0),'DM01-AV-CH'!$A$6:$A$834,0)))</f>
        <v>591</v>
      </c>
      <c r="J344" s="54" t="str" cm="1">
        <f t="array" aca="1" ref="J344" ca="1">IF(B344=0,IF(E344=0,"",HYPERLINK("#"&amp;RIGHT(CELL("adresse",OFFSET(DMAV_Dienste!$M$6,E344-1,0)),LEN(CELL("adresse",OFFSET(DMAV_Dienste!$M$6,E344-1,0)))-FIND("]",CELL("adresse",OFFSET(DMAV_Dienste!$M$6,E344-1,0)))),"Dienst")),HYPERLINK("#"&amp;RIGHT(CELL("adresse",OFFSET(DMAV_Modell!$N$6,B344-1,0)),LEN(CELL("adresse",OFFSET(DMAV_Modell!$N$6,B344-1,0)))-FIND("]",CELL("adresse",OFFSET(DMAV_Modell!$N$6,B344-1,0)))),"Modell"))</f>
        <v>Modell</v>
      </c>
      <c r="K344" s="61" t="str" cm="1">
        <f t="array" ref="K344">IF($B344=0,IF($E344=0,"",IF(INDEX(DMAV_Dienste!P$6:P$140,$E344)="","",INDEX(DMAV_Dienste!P$6:P$140,$E344))),IF(INDEX(DMAV_Modell!Q$6:Q$838,$B344)="","",INDEX(DMAV_Modell!Q$6:Q$838,$B344)))</f>
        <v>CLASS</v>
      </c>
      <c r="L344" s="62" t="str" cm="1">
        <f t="array" ref="L344">IF($B344=0,IF($E344=0,"",IF(INDEX(DMAV_Dienste!O$6:O$140,$E344)="","",INDEX(DMAV_Dienste!O$6:O$140,$E344))),IF(INDEX(DMAV_Modell!P$6:P$838,$B344)="","",INDEX(DMAV_Modell!P$6:P$838,$B344)))</f>
        <v>HoheitsgrenzenAV</v>
      </c>
      <c r="M344" s="62" t="str" cm="1">
        <f t="array" ref="M344">IF($B344=0,IF($E344=0,"",IF(INDEX(DMAV_Dienste!Q$6:Q$140,$E344)="","",INDEX(DMAV_Dienste!Q$6:Q$140,$E344))),IF(INDEX(DMAV_Modell!R$6:R$838,$B344)="","",INDEX(DMAV_Modell!R$6:R$838,$B344)))</f>
        <v>HHGNachfuehrung</v>
      </c>
      <c r="N344" s="62" t="str" cm="1">
        <f t="array" ref="N344">IF($B344=0,IF($E344=0,"",IF(INDEX(DMAV_Dienste!T$6:T$140,$E344)="","",INDEX(DMAV_Dienste!T$6:T$140,$E344))),IF(INDEX(DMAV_Modell!U$6:U$838,$B344)="","",INDEX(DMAV_Modell!U$6:U$838,$B344)))</f>
        <v>Beschreibung</v>
      </c>
      <c r="O344" s="63" t="str" cm="1">
        <f t="array" aca="1" ref="O344" ca="1">IF(C344=0,IF(F344=0,"",HYPERLINK("#"&amp;RIGHT(CELL("adresse",OFFSET(DMAV_Dienste!$M$6,F344-1,0)),LEN(CELL("adresse",OFFSET(DMAV_Dienste!$M$6,F344-1,0)))-FIND("]",CELL("adresse",OFFSET(DMAV_Dienste!$M$6,F344-1,0)))),"Structure")),HYPERLINK("#"&amp;RIGHT(CELL("adresse",OFFSET(DMAV_Modell!$N$6,C344-1,0)),LEN(CELL("adresse",OFFSET(DMAV_Modell!$N$6,C344-1,0)))-FIND("]",CELL("adresse",OFFSET(DMAV_Modell!$N$6,C344-1,0)))),"Structure"))</f>
        <v/>
      </c>
      <c r="P344" s="64" t="str" cm="1">
        <f t="array" aca="1" ref="P344" ca="1">IF(D344=0,IF(G344=0,"",HYPERLINK("#"&amp;RIGHT(CELL("adresse",OFFSET(DMAV_Dienste!$M$6,G344-1,0)),LEN(CELL("adresse",OFFSET(DMAV_Dienste!$M$6,G344-1,0)))-FIND("]",CELL("adresse",OFFSET(DMAV_Dienste!$M$6,G344-1,0)))),"Substructure")),HYPERLINK("#"&amp;RIGHT(CELL("adresse",OFFSET(DMAV_Modell!$N$6,D344-1,0)),LEN(CELL("adresse",OFFSET(DMAV_Modell!$N$6,D344-1,0)))-FIND("]",CELL("adresse",OFFSET(DMAV_Modell!$N$6,D344-1,0)))),"Substructure"))</f>
        <v/>
      </c>
      <c r="R344" s="80"/>
      <c r="T344" s="93"/>
      <c r="U344" s="94"/>
      <c r="V344" s="95"/>
      <c r="W344" s="96"/>
      <c r="Y344" s="85"/>
      <c r="Z344" s="86"/>
      <c r="AA344" s="87"/>
      <c r="AB344" s="88"/>
      <c r="AD344" s="77"/>
      <c r="AF344" s="54" t="str" cm="1">
        <f t="array" aca="1" ref="AF344" ca="1">IF(H344=0,"",HYPERLINK("#"&amp;RIGHT(CELL("adresse",OFFSET('DM01-AV-CH'!$G$6,H344-1,0)),LEN(CELL("adresse",OFFSET('DM01-AV-CH'!$G$6,H344-1,0)))-FIND("]",CELL("adresse",OFFSET('DM01-AV-CH'!$G$6,H344-1,0)))),"Modell"))</f>
        <v>Modell</v>
      </c>
      <c r="AG344" s="72" t="str" cm="1">
        <f t="array" ref="AG344">IF($H344=0,"",IF(INDEX('DM01-AV-CH'!G$6:G$834,$H344)="","",INDEX('DM01-AV-CH'!G$6:G$834,$H344)))</f>
        <v>Gemeindegrenzen</v>
      </c>
      <c r="AH344" s="73" t="str" cm="1">
        <f t="array" ref="AH344">IF($H344=0,"",IF(INDEX('DM01-AV-CH'!H$6:H$834,$H344)="","",INDEX('DM01-AV-CH'!H$6:H$834,$H344)))</f>
        <v>GEMNachfuehrung</v>
      </c>
      <c r="AI344" s="74" t="str" cm="1">
        <f t="array" ref="AI344">IF($H344=0,"",IF(INDEX('DM01-AV-CH'!I$6:I$834,$H344)="","",INDEX('DM01-AV-CH'!I$6:I$834,$H344)))</f>
        <v>Beschreibung</v>
      </c>
    </row>
    <row r="345" spans="1:35" x14ac:dyDescent="0.25">
      <c r="A345" s="57">
        <v>340</v>
      </c>
      <c r="B345" s="57">
        <f>IF($A345="","",IF(_xlfn.XLOOKUP($A345,Korrelation!$D$4:$D$1197,Korrelation!E$4:E$1197,"-",0)="-",0,MATCH(_xlfn.XLOOKUP($A345,Korrelation!$D$4:$D$1197,Korrelation!E$4:E$1197,"",0),DMAV_Modell!$G$6:$G$677,0)))</f>
        <v>124</v>
      </c>
      <c r="C345" s="57">
        <f>IF($A345="","",IF(_xlfn.XLOOKUP($A345,Korrelation!$D$4:$D$1197,Korrelation!F$4:F$1197,"-",0)="-",0,MATCH(_xlfn.XLOOKUP($A345,Korrelation!$D$4:$D$1197,Korrelation!F$4:F$1197,"",0),DMAV_Modell!$G$6:$G$677,0)))</f>
        <v>0</v>
      </c>
      <c r="D345" s="57">
        <f>IF($A345="","",IF(_xlfn.XLOOKUP($A345,Korrelation!$D$4:$D$1197,Korrelation!G$4:G$1197,"-",0)="-",0,MATCH(_xlfn.XLOOKUP($A345,Korrelation!$D$4:$D$1197,Korrelation!G$4:G$1197,"",0),DMAV_Modell!$G$6:$G$677,0)))</f>
        <v>0</v>
      </c>
      <c r="E345" s="57">
        <f>IF($A345="","",IF(_xlfn.XLOOKUP($A345,Korrelation!$D$4:$D$1197,Korrelation!H$4:H$1197,"-",0)="-",0,MATCH(_xlfn.XLOOKUP($A345,Korrelation!$D$4:$D$1197,Korrelation!H$4:H$1197,"",0),DMAV_Dienste!$F$6:$F$140,0)))</f>
        <v>0</v>
      </c>
      <c r="F345" s="57">
        <f>IF($A345="","",IF(_xlfn.XLOOKUP($A345,Korrelation!$D$4:$D$1197,Korrelation!I$4:I$1197,"-",0)="-",0,MATCH(_xlfn.XLOOKUP($A345,Korrelation!$D$4:$D$1197,Korrelation!I$4:I$1197,"",0),DMAV_Dienste!$F$6:$F$140,0)))</f>
        <v>0</v>
      </c>
      <c r="G345" s="57">
        <f>IF($A345="","",IF(_xlfn.XLOOKUP($A345,Korrelation!$D$4:$D$1197,Korrelation!J$4:J$1197,"-",0)="-",0,MATCH(_xlfn.XLOOKUP($A345,Korrelation!$D$4:$D$1197,Korrelation!J$4:J$1197,"",0),DMAV_Dienste!$F$6:$F$140,0)))</f>
        <v>0</v>
      </c>
      <c r="H345" s="57">
        <f>IF($A345="","",IF(_xlfn.XLOOKUP($A345,Korrelation!$D$4:$D$1197,Korrelation!K$4:K$1197,"-",0)="-",0,MATCH(_xlfn.XLOOKUP($A345,Korrelation!$D$4:$D$1197,Korrelation!K$4:K$1197,"",0),'DM01-AV-CH'!$A$6:$A$834,0)))</f>
        <v>592</v>
      </c>
      <c r="J345" s="54" t="str" cm="1">
        <f t="array" aca="1" ref="J345" ca="1">IF(B345=0,IF(E345=0,"",HYPERLINK("#"&amp;RIGHT(CELL("adresse",OFFSET(DMAV_Dienste!$M$6,E345-1,0)),LEN(CELL("adresse",OFFSET(DMAV_Dienste!$M$6,E345-1,0)))-FIND("]",CELL("adresse",OFFSET(DMAV_Dienste!$M$6,E345-1,0)))),"Dienst")),HYPERLINK("#"&amp;RIGHT(CELL("adresse",OFFSET(DMAV_Modell!$N$6,B345-1,0)),LEN(CELL("adresse",OFFSET(DMAV_Modell!$N$6,B345-1,0)))-FIND("]",CELL("adresse",OFFSET(DMAV_Modell!$N$6,B345-1,0)))),"Modell"))</f>
        <v>Modell</v>
      </c>
      <c r="K345" s="61" t="str" cm="1">
        <f t="array" ref="K345">IF($B345=0,IF($E345=0,"",IF(INDEX(DMAV_Dienste!P$6:P$140,$E345)="","",INDEX(DMAV_Dienste!P$6:P$140,$E345))),IF(INDEX(DMAV_Modell!Q$6:Q$838,$B345)="","",INDEX(DMAV_Modell!Q$6:Q$838,$B345)))</f>
        <v>CLASS</v>
      </c>
      <c r="L345" s="62" t="str" cm="1">
        <f t="array" ref="L345">IF($B345=0,IF($E345=0,"",IF(INDEX(DMAV_Dienste!O$6:O$140,$E345)="","",INDEX(DMAV_Dienste!O$6:O$140,$E345))),IF(INDEX(DMAV_Modell!P$6:P$838,$B345)="","",INDEX(DMAV_Modell!P$6:P$838,$B345)))</f>
        <v>HoheitsgrenzenAV</v>
      </c>
      <c r="M345" s="62" t="str" cm="1">
        <f t="array" ref="M345">IF($B345=0,IF($E345=0,"",IF(INDEX(DMAV_Dienste!Q$6:Q$140,$E345)="","",INDEX(DMAV_Dienste!Q$6:Q$140,$E345))),IF(INDEX(DMAV_Modell!R$6:R$838,$B345)="","",INDEX(DMAV_Modell!R$6:R$838,$B345)))</f>
        <v>HHGNachfuehrung</v>
      </c>
      <c r="N345" s="62" t="str" cm="1">
        <f t="array" ref="N345">IF($B345=0,IF($E345=0,"",IF(INDEX(DMAV_Dienste!T$6:T$140,$E345)="","",INDEX(DMAV_Dienste!T$6:T$140,$E345))),IF(INDEX(DMAV_Modell!U$6:U$838,$B345)="","",INDEX(DMAV_Modell!U$6:U$838,$B345)))</f>
        <v>Perimeter</v>
      </c>
      <c r="O345" s="63" t="str" cm="1">
        <f t="array" aca="1" ref="O345" ca="1">IF(C345=0,IF(F345=0,"",HYPERLINK("#"&amp;RIGHT(CELL("adresse",OFFSET(DMAV_Dienste!$M$6,F345-1,0)),LEN(CELL("adresse",OFFSET(DMAV_Dienste!$M$6,F345-1,0)))-FIND("]",CELL("adresse",OFFSET(DMAV_Dienste!$M$6,F345-1,0)))),"Structure")),HYPERLINK("#"&amp;RIGHT(CELL("adresse",OFFSET(DMAV_Modell!$N$6,C345-1,0)),LEN(CELL("adresse",OFFSET(DMAV_Modell!$N$6,C345-1,0)))-FIND("]",CELL("adresse",OFFSET(DMAV_Modell!$N$6,C345-1,0)))),"Structure"))</f>
        <v/>
      </c>
      <c r="P345" s="64" t="str" cm="1">
        <f t="array" aca="1" ref="P345" ca="1">IF(D345=0,IF(G345=0,"",HYPERLINK("#"&amp;RIGHT(CELL("adresse",OFFSET(DMAV_Dienste!$M$6,G345-1,0)),LEN(CELL("adresse",OFFSET(DMAV_Dienste!$M$6,G345-1,0)))-FIND("]",CELL("adresse",OFFSET(DMAV_Dienste!$M$6,G345-1,0)))),"Substructure")),HYPERLINK("#"&amp;RIGHT(CELL("adresse",OFFSET(DMAV_Modell!$N$6,D345-1,0)),LEN(CELL("adresse",OFFSET(DMAV_Modell!$N$6,D345-1,0)))-FIND("]",CELL("adresse",OFFSET(DMAV_Modell!$N$6,D345-1,0)))),"Substructure"))</f>
        <v/>
      </c>
      <c r="R345" s="80"/>
      <c r="T345" s="93"/>
      <c r="U345" s="94"/>
      <c r="V345" s="95"/>
      <c r="W345" s="96"/>
      <c r="Y345" s="85"/>
      <c r="Z345" s="86"/>
      <c r="AA345" s="87"/>
      <c r="AB345" s="88"/>
      <c r="AD345" s="77"/>
      <c r="AF345" s="54" t="str" cm="1">
        <f t="array" aca="1" ref="AF345" ca="1">IF(H345=0,"",HYPERLINK("#"&amp;RIGHT(CELL("adresse",OFFSET('DM01-AV-CH'!$G$6,H345-1,0)),LEN(CELL("adresse",OFFSET('DM01-AV-CH'!$G$6,H345-1,0)))-FIND("]",CELL("adresse",OFFSET('DM01-AV-CH'!$G$6,H345-1,0)))),"Modell"))</f>
        <v>Modell</v>
      </c>
      <c r="AG345" s="72" t="str" cm="1">
        <f t="array" ref="AG345">IF($H345=0,"",IF(INDEX('DM01-AV-CH'!G$6:G$834,$H345)="","",INDEX('DM01-AV-CH'!G$6:G$834,$H345)))</f>
        <v>Gemeindegrenzen</v>
      </c>
      <c r="AH345" s="73" t="str" cm="1">
        <f t="array" ref="AH345">IF($H345=0,"",IF(INDEX('DM01-AV-CH'!H$6:H$834,$H345)="","",INDEX('DM01-AV-CH'!H$6:H$834,$H345)))</f>
        <v>GEMNachfuehrung</v>
      </c>
      <c r="AI345" s="74" t="str" cm="1">
        <f t="array" ref="AI345">IF($H345=0,"",IF(INDEX('DM01-AV-CH'!I$6:I$834,$H345)="","",INDEX('DM01-AV-CH'!I$6:I$834,$H345)))</f>
        <v>Perimeter</v>
      </c>
    </row>
    <row r="346" spans="1:35" x14ac:dyDescent="0.25">
      <c r="A346" s="57">
        <v>341</v>
      </c>
      <c r="B346" s="57">
        <f>IF($A346="","",IF(_xlfn.XLOOKUP($A346,Korrelation!$D$4:$D$1197,Korrelation!E$4:E$1197,"-",0)="-",0,MATCH(_xlfn.XLOOKUP($A346,Korrelation!$D$4:$D$1197,Korrelation!E$4:E$1197,"",0),DMAV_Modell!$G$6:$G$677,0)))</f>
        <v>125</v>
      </c>
      <c r="C346" s="57">
        <f>IF($A346="","",IF(_xlfn.XLOOKUP($A346,Korrelation!$D$4:$D$1197,Korrelation!F$4:F$1197,"-",0)="-",0,MATCH(_xlfn.XLOOKUP($A346,Korrelation!$D$4:$D$1197,Korrelation!F$4:F$1197,"",0),DMAV_Modell!$G$6:$G$677,0)))</f>
        <v>0</v>
      </c>
      <c r="D346" s="57">
        <f>IF($A346="","",IF(_xlfn.XLOOKUP($A346,Korrelation!$D$4:$D$1197,Korrelation!G$4:G$1197,"-",0)="-",0,MATCH(_xlfn.XLOOKUP($A346,Korrelation!$D$4:$D$1197,Korrelation!G$4:G$1197,"",0),DMAV_Modell!$G$6:$G$677,0)))</f>
        <v>0</v>
      </c>
      <c r="E346" s="57">
        <f>IF($A346="","",IF(_xlfn.XLOOKUP($A346,Korrelation!$D$4:$D$1197,Korrelation!H$4:H$1197,"-",0)="-",0,MATCH(_xlfn.XLOOKUP($A346,Korrelation!$D$4:$D$1197,Korrelation!H$4:H$1197,"",0),DMAV_Dienste!$F$6:$F$140,0)))</f>
        <v>0</v>
      </c>
      <c r="F346" s="57">
        <f>IF($A346="","",IF(_xlfn.XLOOKUP($A346,Korrelation!$D$4:$D$1197,Korrelation!I$4:I$1197,"-",0)="-",0,MATCH(_xlfn.XLOOKUP($A346,Korrelation!$D$4:$D$1197,Korrelation!I$4:I$1197,"",0),DMAV_Dienste!$F$6:$F$140,0)))</f>
        <v>0</v>
      </c>
      <c r="G346" s="57">
        <f>IF($A346="","",IF(_xlfn.XLOOKUP($A346,Korrelation!$D$4:$D$1197,Korrelation!J$4:J$1197,"-",0)="-",0,MATCH(_xlfn.XLOOKUP($A346,Korrelation!$D$4:$D$1197,Korrelation!J$4:J$1197,"",0),DMAV_Dienste!$F$6:$F$140,0)))</f>
        <v>0</v>
      </c>
      <c r="H346" s="57">
        <f>IF($A346="","",IF(_xlfn.XLOOKUP($A346,Korrelation!$D$4:$D$1197,Korrelation!K$4:K$1197,"-",0)="-",0,MATCH(_xlfn.XLOOKUP($A346,Korrelation!$D$4:$D$1197,Korrelation!K$4:K$1197,"",0),'DM01-AV-CH'!$A$6:$A$834,0)))</f>
        <v>593</v>
      </c>
      <c r="J346" s="54" t="str" cm="1">
        <f t="array" aca="1" ref="J346" ca="1">IF(B346=0,IF(E346=0,"",HYPERLINK("#"&amp;RIGHT(CELL("adresse",OFFSET(DMAV_Dienste!$M$6,E346-1,0)),LEN(CELL("adresse",OFFSET(DMAV_Dienste!$M$6,E346-1,0)))-FIND("]",CELL("adresse",OFFSET(DMAV_Dienste!$M$6,E346-1,0)))),"Dienst")),HYPERLINK("#"&amp;RIGHT(CELL("adresse",OFFSET(DMAV_Modell!$N$6,B346-1,0)),LEN(CELL("adresse",OFFSET(DMAV_Modell!$N$6,B346-1,0)))-FIND("]",CELL("adresse",OFFSET(DMAV_Modell!$N$6,B346-1,0)))),"Modell"))</f>
        <v>Modell</v>
      </c>
      <c r="K346" s="61" t="str" cm="1">
        <f t="array" ref="K346">IF($B346=0,IF($E346=0,"",IF(INDEX(DMAV_Dienste!P$6:P$140,$E346)="","",INDEX(DMAV_Dienste!P$6:P$140,$E346))),IF(INDEX(DMAV_Modell!Q$6:Q$838,$B346)="","",INDEX(DMAV_Modell!Q$6:Q$838,$B346)))</f>
        <v>CLASS</v>
      </c>
      <c r="L346" s="62" t="str" cm="1">
        <f t="array" ref="L346">IF($B346=0,IF($E346=0,"",IF(INDEX(DMAV_Dienste!O$6:O$140,$E346)="","",INDEX(DMAV_Dienste!O$6:O$140,$E346))),IF(INDEX(DMAV_Modell!P$6:P$838,$B346)="","",INDEX(DMAV_Modell!P$6:P$838,$B346)))</f>
        <v>HoheitsgrenzenAV</v>
      </c>
      <c r="M346" s="62" t="str" cm="1">
        <f t="array" ref="M346">IF($B346=0,IF($E346=0,"",IF(INDEX(DMAV_Dienste!Q$6:Q$140,$E346)="","",INDEX(DMAV_Dienste!Q$6:Q$140,$E346))),IF(INDEX(DMAV_Modell!R$6:R$838,$B346)="","",INDEX(DMAV_Modell!R$6:R$838,$B346)))</f>
        <v>HHGNachfuehrung</v>
      </c>
      <c r="N346" s="62" t="str" cm="1">
        <f t="array" ref="N346">IF($B346=0,IF($E346=0,"",IF(INDEX(DMAV_Dienste!T$6:T$140,$E346)="","",INDEX(DMAV_Dienste!T$6:T$140,$E346))),IF(INDEX(DMAV_Modell!U$6:U$838,$B346)="","",INDEX(DMAV_Modell!U$6:U$838,$B346)))</f>
        <v>GueltigerEintrag</v>
      </c>
      <c r="O346" s="63" t="str" cm="1">
        <f t="array" aca="1" ref="O346" ca="1">IF(C346=0,IF(F346=0,"",HYPERLINK("#"&amp;RIGHT(CELL("adresse",OFFSET(DMAV_Dienste!$M$6,F346-1,0)),LEN(CELL("adresse",OFFSET(DMAV_Dienste!$M$6,F346-1,0)))-FIND("]",CELL("adresse",OFFSET(DMAV_Dienste!$M$6,F346-1,0)))),"Structure")),HYPERLINK("#"&amp;RIGHT(CELL("adresse",OFFSET(DMAV_Modell!$N$6,C346-1,0)),LEN(CELL("adresse",OFFSET(DMAV_Modell!$N$6,C346-1,0)))-FIND("]",CELL("adresse",OFFSET(DMAV_Modell!$N$6,C346-1,0)))),"Structure"))</f>
        <v/>
      </c>
      <c r="P346" s="64" t="str" cm="1">
        <f t="array" aca="1" ref="P346" ca="1">IF(D346=0,IF(G346=0,"",HYPERLINK("#"&amp;RIGHT(CELL("adresse",OFFSET(DMAV_Dienste!$M$6,G346-1,0)),LEN(CELL("adresse",OFFSET(DMAV_Dienste!$M$6,G346-1,0)))-FIND("]",CELL("adresse",OFFSET(DMAV_Dienste!$M$6,G346-1,0)))),"Substructure")),HYPERLINK("#"&amp;RIGHT(CELL("adresse",OFFSET(DMAV_Modell!$N$6,D346-1,0)),LEN(CELL("adresse",OFFSET(DMAV_Modell!$N$6,D346-1,0)))-FIND("]",CELL("adresse",OFFSET(DMAV_Modell!$N$6,D346-1,0)))),"Substructure"))</f>
        <v/>
      </c>
      <c r="R346" s="80"/>
      <c r="T346" s="93"/>
      <c r="U346" s="94"/>
      <c r="V346" s="95"/>
      <c r="W346" s="96"/>
      <c r="Y346" s="85"/>
      <c r="Z346" s="86"/>
      <c r="AA346" s="87"/>
      <c r="AB346" s="88"/>
      <c r="AD346" s="77"/>
      <c r="AF346" s="54" t="str" cm="1">
        <f t="array" aca="1" ref="AF346" ca="1">IF(H346=0,"",HYPERLINK("#"&amp;RIGHT(CELL("adresse",OFFSET('DM01-AV-CH'!$G$6,H346-1,0)),LEN(CELL("adresse",OFFSET('DM01-AV-CH'!$G$6,H346-1,0)))-FIND("]",CELL("adresse",OFFSET('DM01-AV-CH'!$G$6,H346-1,0)))),"Modell"))</f>
        <v>Modell</v>
      </c>
      <c r="AG346" s="72" t="str" cm="1">
        <f t="array" ref="AG346">IF($H346=0,"",IF(INDEX('DM01-AV-CH'!G$6:G$834,$H346)="","",INDEX('DM01-AV-CH'!G$6:G$834,$H346)))</f>
        <v>Gemeindegrenzen</v>
      </c>
      <c r="AH346" s="73" t="str" cm="1">
        <f t="array" ref="AH346">IF($H346=0,"",IF(INDEX('DM01-AV-CH'!H$6:H$834,$H346)="","",INDEX('DM01-AV-CH'!H$6:H$834,$H346)))</f>
        <v>GEMNachfuehrung</v>
      </c>
      <c r="AI346" s="74" t="str" cm="1">
        <f t="array" ref="AI346">IF($H346=0,"",IF(INDEX('DM01-AV-CH'!I$6:I$834,$H346)="","",INDEX('DM01-AV-CH'!I$6:I$834,$H346)))</f>
        <v>Gueltigkeit</v>
      </c>
    </row>
    <row r="347" spans="1:35" x14ac:dyDescent="0.25">
      <c r="A347" s="57">
        <v>342</v>
      </c>
      <c r="B347" s="57">
        <f>IF($A347="","",IF(_xlfn.XLOOKUP($A347,Korrelation!$D$4:$D$1197,Korrelation!E$4:E$1197,"-",0)="-",0,MATCH(_xlfn.XLOOKUP($A347,Korrelation!$D$4:$D$1197,Korrelation!E$4:E$1197,"",0),DMAV_Modell!$G$6:$G$677,0)))</f>
        <v>126</v>
      </c>
      <c r="C347" s="57">
        <f>IF($A347="","",IF(_xlfn.XLOOKUP($A347,Korrelation!$D$4:$D$1197,Korrelation!F$4:F$1197,"-",0)="-",0,MATCH(_xlfn.XLOOKUP($A347,Korrelation!$D$4:$D$1197,Korrelation!F$4:F$1197,"",0),DMAV_Modell!$G$6:$G$677,0)))</f>
        <v>0</v>
      </c>
      <c r="D347" s="57">
        <f>IF($A347="","",IF(_xlfn.XLOOKUP($A347,Korrelation!$D$4:$D$1197,Korrelation!G$4:G$1197,"-",0)="-",0,MATCH(_xlfn.XLOOKUP($A347,Korrelation!$D$4:$D$1197,Korrelation!G$4:G$1197,"",0),DMAV_Modell!$G$6:$G$677,0)))</f>
        <v>0</v>
      </c>
      <c r="E347" s="57">
        <f>IF($A347="","",IF(_xlfn.XLOOKUP($A347,Korrelation!$D$4:$D$1197,Korrelation!H$4:H$1197,"-",0)="-",0,MATCH(_xlfn.XLOOKUP($A347,Korrelation!$D$4:$D$1197,Korrelation!H$4:H$1197,"",0),DMAV_Dienste!$F$6:$F$140,0)))</f>
        <v>0</v>
      </c>
      <c r="F347" s="57">
        <f>IF($A347="","",IF(_xlfn.XLOOKUP($A347,Korrelation!$D$4:$D$1197,Korrelation!I$4:I$1197,"-",0)="-",0,MATCH(_xlfn.XLOOKUP($A347,Korrelation!$D$4:$D$1197,Korrelation!I$4:I$1197,"",0),DMAV_Dienste!$F$6:$F$140,0)))</f>
        <v>0</v>
      </c>
      <c r="G347" s="57">
        <f>IF($A347="","",IF(_xlfn.XLOOKUP($A347,Korrelation!$D$4:$D$1197,Korrelation!J$4:J$1197,"-",0)="-",0,MATCH(_xlfn.XLOOKUP($A347,Korrelation!$D$4:$D$1197,Korrelation!J$4:J$1197,"",0),DMAV_Dienste!$F$6:$F$140,0)))</f>
        <v>0</v>
      </c>
      <c r="H347" s="57">
        <f>IF($A347="","",IF(_xlfn.XLOOKUP($A347,Korrelation!$D$4:$D$1197,Korrelation!K$4:K$1197,"-",0)="-",0,MATCH(_xlfn.XLOOKUP($A347,Korrelation!$D$4:$D$1197,Korrelation!K$4:K$1197,"",0),'DM01-AV-CH'!$A$6:$A$834,0)))</f>
        <v>594</v>
      </c>
      <c r="J347" s="54" t="str" cm="1">
        <f t="array" aca="1" ref="J347" ca="1">IF(B347=0,IF(E347=0,"",HYPERLINK("#"&amp;RIGHT(CELL("adresse",OFFSET(DMAV_Dienste!$M$6,E347-1,0)),LEN(CELL("adresse",OFFSET(DMAV_Dienste!$M$6,E347-1,0)))-FIND("]",CELL("adresse",OFFSET(DMAV_Dienste!$M$6,E347-1,0)))),"Dienst")),HYPERLINK("#"&amp;RIGHT(CELL("adresse",OFFSET(DMAV_Modell!$N$6,B347-1,0)),LEN(CELL("adresse",OFFSET(DMAV_Modell!$N$6,B347-1,0)))-FIND("]",CELL("adresse",OFFSET(DMAV_Modell!$N$6,B347-1,0)))),"Modell"))</f>
        <v>Modell</v>
      </c>
      <c r="K347" s="61" t="str" cm="1">
        <f t="array" ref="K347">IF($B347=0,IF($E347=0,"",IF(INDEX(DMAV_Dienste!P$6:P$140,$E347)="","",INDEX(DMAV_Dienste!P$6:P$140,$E347))),IF(INDEX(DMAV_Modell!Q$6:Q$838,$B347)="","",INDEX(DMAV_Modell!Q$6:Q$838,$B347)))</f>
        <v>CLASS</v>
      </c>
      <c r="L347" s="62" t="str" cm="1">
        <f t="array" ref="L347">IF($B347=0,IF($E347=0,"",IF(INDEX(DMAV_Dienste!O$6:O$140,$E347)="","",INDEX(DMAV_Dienste!O$6:O$140,$E347))),IF(INDEX(DMAV_Modell!P$6:P$838,$B347)="","",INDEX(DMAV_Modell!P$6:P$838,$B347)))</f>
        <v>HoheitsgrenzenAV</v>
      </c>
      <c r="M347" s="62" t="str" cm="1">
        <f t="array" ref="M347">IF($B347=0,IF($E347=0,"",IF(INDEX(DMAV_Dienste!Q$6:Q$140,$E347)="","",INDEX(DMAV_Dienste!Q$6:Q$140,$E347))),IF(INDEX(DMAV_Modell!R$6:R$838,$B347)="","",INDEX(DMAV_Modell!R$6:R$838,$B347)))</f>
        <v>HHGNachfuehrung</v>
      </c>
      <c r="N347" s="62" t="str" cm="1">
        <f t="array" ref="N347">IF($B347=0,IF($E347=0,"",IF(INDEX(DMAV_Dienste!T$6:T$140,$E347)="","",INDEX(DMAV_Dienste!T$6:T$140,$E347))),IF(INDEX(DMAV_Modell!U$6:U$838,$B347)="","",INDEX(DMAV_Modell!U$6:U$838,$B347)))</f>
        <v>GenehmigtAm</v>
      </c>
      <c r="O347" s="63" t="str" cm="1">
        <f t="array" aca="1" ref="O347" ca="1">IF(C347=0,IF(F347=0,"",HYPERLINK("#"&amp;RIGHT(CELL("adresse",OFFSET(DMAV_Dienste!$M$6,F347-1,0)),LEN(CELL("adresse",OFFSET(DMAV_Dienste!$M$6,F347-1,0)))-FIND("]",CELL("adresse",OFFSET(DMAV_Dienste!$M$6,F347-1,0)))),"Structure")),HYPERLINK("#"&amp;RIGHT(CELL("adresse",OFFSET(DMAV_Modell!$N$6,C347-1,0)),LEN(CELL("adresse",OFFSET(DMAV_Modell!$N$6,C347-1,0)))-FIND("]",CELL("adresse",OFFSET(DMAV_Modell!$N$6,C347-1,0)))),"Structure"))</f>
        <v/>
      </c>
      <c r="P347" s="64" t="str" cm="1">
        <f t="array" aca="1" ref="P347" ca="1">IF(D347=0,IF(G347=0,"",HYPERLINK("#"&amp;RIGHT(CELL("adresse",OFFSET(DMAV_Dienste!$M$6,G347-1,0)),LEN(CELL("adresse",OFFSET(DMAV_Dienste!$M$6,G347-1,0)))-FIND("]",CELL("adresse",OFFSET(DMAV_Dienste!$M$6,G347-1,0)))),"Substructure")),HYPERLINK("#"&amp;RIGHT(CELL("adresse",OFFSET(DMAV_Modell!$N$6,D347-1,0)),LEN(CELL("adresse",OFFSET(DMAV_Modell!$N$6,D347-1,0)))-FIND("]",CELL("adresse",OFFSET(DMAV_Modell!$N$6,D347-1,0)))),"Substructure"))</f>
        <v/>
      </c>
      <c r="R347" s="80"/>
      <c r="T347" s="93"/>
      <c r="U347" s="94"/>
      <c r="V347" s="95"/>
      <c r="W347" s="96"/>
      <c r="Y347" s="85"/>
      <c r="Z347" s="86"/>
      <c r="AA347" s="87"/>
      <c r="AB347" s="88"/>
      <c r="AD347" s="77"/>
      <c r="AF347" s="54" t="str" cm="1">
        <f t="array" aca="1" ref="AF347" ca="1">IF(H347=0,"",HYPERLINK("#"&amp;RIGHT(CELL("adresse",OFFSET('DM01-AV-CH'!$G$6,H347-1,0)),LEN(CELL("adresse",OFFSET('DM01-AV-CH'!$G$6,H347-1,0)))-FIND("]",CELL("adresse",OFFSET('DM01-AV-CH'!$G$6,H347-1,0)))),"Modell"))</f>
        <v>Modell</v>
      </c>
      <c r="AG347" s="72" t="str" cm="1">
        <f t="array" ref="AG347">IF($H347=0,"",IF(INDEX('DM01-AV-CH'!G$6:G$834,$H347)="","",INDEX('DM01-AV-CH'!G$6:G$834,$H347)))</f>
        <v>Gemeindegrenzen</v>
      </c>
      <c r="AH347" s="73" t="str" cm="1">
        <f t="array" ref="AH347">IF($H347=0,"",IF(INDEX('DM01-AV-CH'!H$6:H$834,$H347)="","",INDEX('DM01-AV-CH'!H$6:H$834,$H347)))</f>
        <v>GEMNachfuehrung</v>
      </c>
      <c r="AI347" s="74" t="str" cm="1">
        <f t="array" ref="AI347">IF($H347=0,"",IF(INDEX('DM01-AV-CH'!I$6:I$834,$H347)="","",INDEX('DM01-AV-CH'!I$6:I$834,$H347)))</f>
        <v>GueltigerEintrag</v>
      </c>
    </row>
    <row r="348" spans="1:35" ht="28.5" x14ac:dyDescent="0.25">
      <c r="A348" s="57">
        <v>343</v>
      </c>
      <c r="B348" s="57">
        <f>IF($A348="","",IF(_xlfn.XLOOKUP($A348,Korrelation!$D$4:$D$1197,Korrelation!E$4:E$1197,"-",0)="-",0,MATCH(_xlfn.XLOOKUP($A348,Korrelation!$D$4:$D$1197,Korrelation!E$4:E$1197,"",0),DMAV_Modell!$G$6:$G$677,0)))</f>
        <v>126</v>
      </c>
      <c r="C348" s="57">
        <f>IF($A348="","",IF(_xlfn.XLOOKUP($A348,Korrelation!$D$4:$D$1197,Korrelation!F$4:F$1197,"-",0)="-",0,MATCH(_xlfn.XLOOKUP($A348,Korrelation!$D$4:$D$1197,Korrelation!F$4:F$1197,"",0),DMAV_Modell!$G$6:$G$677,0)))</f>
        <v>0</v>
      </c>
      <c r="D348" s="57">
        <f>IF($A348="","",IF(_xlfn.XLOOKUP($A348,Korrelation!$D$4:$D$1197,Korrelation!G$4:G$1197,"-",0)="-",0,MATCH(_xlfn.XLOOKUP($A348,Korrelation!$D$4:$D$1197,Korrelation!G$4:G$1197,"",0),DMAV_Modell!$G$6:$G$677,0)))</f>
        <v>0</v>
      </c>
      <c r="E348" s="57">
        <f>IF($A348="","",IF(_xlfn.XLOOKUP($A348,Korrelation!$D$4:$D$1197,Korrelation!H$4:H$1197,"-",0)="-",0,MATCH(_xlfn.XLOOKUP($A348,Korrelation!$D$4:$D$1197,Korrelation!H$4:H$1197,"",0),DMAV_Dienste!$F$6:$F$140,0)))</f>
        <v>0</v>
      </c>
      <c r="F348" s="57">
        <f>IF($A348="","",IF(_xlfn.XLOOKUP($A348,Korrelation!$D$4:$D$1197,Korrelation!I$4:I$1197,"-",0)="-",0,MATCH(_xlfn.XLOOKUP($A348,Korrelation!$D$4:$D$1197,Korrelation!I$4:I$1197,"",0),DMAV_Dienste!$F$6:$F$140,0)))</f>
        <v>0</v>
      </c>
      <c r="G348" s="57">
        <f>IF($A348="","",IF(_xlfn.XLOOKUP($A348,Korrelation!$D$4:$D$1197,Korrelation!J$4:J$1197,"-",0)="-",0,MATCH(_xlfn.XLOOKUP($A348,Korrelation!$D$4:$D$1197,Korrelation!J$4:J$1197,"",0),DMAV_Dienste!$F$6:$F$140,0)))</f>
        <v>0</v>
      </c>
      <c r="H348" s="57">
        <f>IF($A348="","",IF(_xlfn.XLOOKUP($A348,Korrelation!$D$4:$D$1197,Korrelation!K$4:K$1197,"-",0)="-",0,MATCH(_xlfn.XLOOKUP($A348,Korrelation!$D$4:$D$1197,Korrelation!K$4:K$1197,"",0),'DM01-AV-CH'!$A$6:$A$834,0)))</f>
        <v>595</v>
      </c>
      <c r="J348" s="54" t="str" cm="1">
        <f t="array" aca="1" ref="J348" ca="1">IF(B348=0,IF(E348=0,"",HYPERLINK("#"&amp;RIGHT(CELL("adresse",OFFSET(DMAV_Dienste!$M$6,E348-1,0)),LEN(CELL("adresse",OFFSET(DMAV_Dienste!$M$6,E348-1,0)))-FIND("]",CELL("adresse",OFFSET(DMAV_Dienste!$M$6,E348-1,0)))),"Dienst")),HYPERLINK("#"&amp;RIGHT(CELL("adresse",OFFSET(DMAV_Modell!$N$6,B348-1,0)),LEN(CELL("adresse",OFFSET(DMAV_Modell!$N$6,B348-1,0)))-FIND("]",CELL("adresse",OFFSET(DMAV_Modell!$N$6,B348-1,0)))),"Modell"))</f>
        <v>Modell</v>
      </c>
      <c r="K348" s="61" t="str" cm="1">
        <f t="array" ref="K348">IF($B348=0,IF($E348=0,"",IF(INDEX(DMAV_Dienste!P$6:P$140,$E348)="","",INDEX(DMAV_Dienste!P$6:P$140,$E348))),IF(INDEX(DMAV_Modell!Q$6:Q$838,$B348)="","",INDEX(DMAV_Modell!Q$6:Q$838,$B348)))</f>
        <v>CLASS</v>
      </c>
      <c r="L348" s="62" t="str" cm="1">
        <f t="array" ref="L348">IF($B348=0,IF($E348=0,"",IF(INDEX(DMAV_Dienste!O$6:O$140,$E348)="","",INDEX(DMAV_Dienste!O$6:O$140,$E348))),IF(INDEX(DMAV_Modell!P$6:P$838,$B348)="","",INDEX(DMAV_Modell!P$6:P$838,$B348)))</f>
        <v>HoheitsgrenzenAV</v>
      </c>
      <c r="M348" s="62" t="str" cm="1">
        <f t="array" ref="M348">IF($B348=0,IF($E348=0,"",IF(INDEX(DMAV_Dienste!Q$6:Q$140,$E348)="","",INDEX(DMAV_Dienste!Q$6:Q$140,$E348))),IF(INDEX(DMAV_Modell!R$6:R$838,$B348)="","",INDEX(DMAV_Modell!R$6:R$838,$B348)))</f>
        <v>HHGNachfuehrung</v>
      </c>
      <c r="N348" s="62" t="str" cm="1">
        <f t="array" ref="N348">IF($B348=0,IF($E348=0,"",IF(INDEX(DMAV_Dienste!T$6:T$140,$E348)="","",INDEX(DMAV_Dienste!T$6:T$140,$E348))),IF(INDEX(DMAV_Modell!U$6:U$838,$B348)="","",INDEX(DMAV_Modell!U$6:U$838,$B348)))</f>
        <v>GenehmigtAm</v>
      </c>
      <c r="O348" s="63" t="str" cm="1">
        <f t="array" aca="1" ref="O348" ca="1">IF(C348=0,IF(F348=0,"",HYPERLINK("#"&amp;RIGHT(CELL("adresse",OFFSET(DMAV_Dienste!$M$6,F348-1,0)),LEN(CELL("adresse",OFFSET(DMAV_Dienste!$M$6,F348-1,0)))-FIND("]",CELL("adresse",OFFSET(DMAV_Dienste!$M$6,F348-1,0)))),"Structure")),HYPERLINK("#"&amp;RIGHT(CELL("adresse",OFFSET(DMAV_Modell!$N$6,C348-1,0)),LEN(CELL("adresse",OFFSET(DMAV_Modell!$N$6,C348-1,0)))-FIND("]",CELL("adresse",OFFSET(DMAV_Modell!$N$6,C348-1,0)))),"Structure"))</f>
        <v/>
      </c>
      <c r="P348" s="64" t="str" cm="1">
        <f t="array" aca="1" ref="P348" ca="1">IF(D348=0,IF(G348=0,"",HYPERLINK("#"&amp;RIGHT(CELL("adresse",OFFSET(DMAV_Dienste!$M$6,G348-1,0)),LEN(CELL("adresse",OFFSET(DMAV_Dienste!$M$6,G348-1,0)))-FIND("]",CELL("adresse",OFFSET(DMAV_Dienste!$M$6,G348-1,0)))),"Substructure")),HYPERLINK("#"&amp;RIGHT(CELL("adresse",OFFSET(DMAV_Modell!$N$6,D348-1,0)),LEN(CELL("adresse",OFFSET(DMAV_Modell!$N$6,D348-1,0)))-FIND("]",CELL("adresse",OFFSET(DMAV_Modell!$N$6,D348-1,0)))),"Substructure"))</f>
        <v/>
      </c>
      <c r="R348" s="80"/>
      <c r="T348" s="93" t="s">
        <v>3136</v>
      </c>
      <c r="U348" s="94"/>
      <c r="V348" s="95"/>
      <c r="W348" s="96"/>
      <c r="Y348" s="85"/>
      <c r="Z348" s="86"/>
      <c r="AA348" s="87"/>
      <c r="AB348" s="88"/>
      <c r="AD348" s="77" t="s">
        <v>3049</v>
      </c>
      <c r="AF348" s="54" t="str" cm="1">
        <f t="array" aca="1" ref="AF348" ca="1">IF(H348=0,"",HYPERLINK("#"&amp;RIGHT(CELL("adresse",OFFSET('DM01-AV-CH'!$G$6,H348-1,0)),LEN(CELL("adresse",OFFSET('DM01-AV-CH'!$G$6,H348-1,0)))-FIND("]",CELL("adresse",OFFSET('DM01-AV-CH'!$G$6,H348-1,0)))),"Modell"))</f>
        <v>Modell</v>
      </c>
      <c r="AG348" s="72" t="str" cm="1">
        <f t="array" ref="AG348">IF($H348=0,"",IF(INDEX('DM01-AV-CH'!G$6:G$834,$H348)="","",INDEX('DM01-AV-CH'!G$6:G$834,$H348)))</f>
        <v>Gemeindegrenzen</v>
      </c>
      <c r="AH348" s="73" t="str" cm="1">
        <f t="array" ref="AH348">IF($H348=0,"",IF(INDEX('DM01-AV-CH'!H$6:H$834,$H348)="","",INDEX('DM01-AV-CH'!H$6:H$834,$H348)))</f>
        <v>GEMNachfuehrung</v>
      </c>
      <c r="AI348" s="74" t="str" cm="1">
        <f t="array" ref="AI348">IF($H348=0,"",IF(INDEX('DM01-AV-CH'!I$6:I$834,$H348)="","",INDEX('DM01-AV-CH'!I$6:I$834,$H348)))</f>
        <v>Datum1</v>
      </c>
    </row>
    <row r="349" spans="1:35" x14ac:dyDescent="0.25">
      <c r="A349" s="57">
        <v>344</v>
      </c>
      <c r="B349" s="57">
        <f>IF($A349="","",IF(_xlfn.XLOOKUP($A349,Korrelation!$D$4:$D$1197,Korrelation!E$4:E$1197,"-",0)="-",0,MATCH(_xlfn.XLOOKUP($A349,Korrelation!$D$4:$D$1197,Korrelation!E$4:E$1197,"",0),DMAV_Modell!$G$6:$G$677,0)))</f>
        <v>0</v>
      </c>
      <c r="C349" s="57">
        <f>IF($A349="","",IF(_xlfn.XLOOKUP($A349,Korrelation!$D$4:$D$1197,Korrelation!F$4:F$1197,"-",0)="-",0,MATCH(_xlfn.XLOOKUP($A349,Korrelation!$D$4:$D$1197,Korrelation!F$4:F$1197,"",0),DMAV_Modell!$G$6:$G$677,0)))</f>
        <v>0</v>
      </c>
      <c r="D349" s="57">
        <f>IF($A349="","",IF(_xlfn.XLOOKUP($A349,Korrelation!$D$4:$D$1197,Korrelation!G$4:G$1197,"-",0)="-",0,MATCH(_xlfn.XLOOKUP($A349,Korrelation!$D$4:$D$1197,Korrelation!G$4:G$1197,"",0),DMAV_Modell!$G$6:$G$677,0)))</f>
        <v>0</v>
      </c>
      <c r="E349" s="57">
        <f>IF($A349="","",IF(_xlfn.XLOOKUP($A349,Korrelation!$D$4:$D$1197,Korrelation!H$4:H$1197,"-",0)="-",0,MATCH(_xlfn.XLOOKUP($A349,Korrelation!$D$4:$D$1197,Korrelation!H$4:H$1197,"",0),DMAV_Dienste!$F$6:$F$140,0)))</f>
        <v>0</v>
      </c>
      <c r="F349" s="57">
        <f>IF($A349="","",IF(_xlfn.XLOOKUP($A349,Korrelation!$D$4:$D$1197,Korrelation!I$4:I$1197,"-",0)="-",0,MATCH(_xlfn.XLOOKUP($A349,Korrelation!$D$4:$D$1197,Korrelation!I$4:I$1197,"",0),DMAV_Dienste!$F$6:$F$140,0)))</f>
        <v>0</v>
      </c>
      <c r="G349" s="57">
        <f>IF($A349="","",IF(_xlfn.XLOOKUP($A349,Korrelation!$D$4:$D$1197,Korrelation!J$4:J$1197,"-",0)="-",0,MATCH(_xlfn.XLOOKUP($A349,Korrelation!$D$4:$D$1197,Korrelation!J$4:J$1197,"",0),DMAV_Dienste!$F$6:$F$140,0)))</f>
        <v>0</v>
      </c>
      <c r="H349" s="57">
        <f>IF($A349="","",IF(_xlfn.XLOOKUP($A349,Korrelation!$D$4:$D$1197,Korrelation!K$4:K$1197,"-",0)="-",0,MATCH(_xlfn.XLOOKUP($A349,Korrelation!$D$4:$D$1197,Korrelation!K$4:K$1197,"",0),'DM01-AV-CH'!$A$6:$A$834,0)))</f>
        <v>596</v>
      </c>
      <c r="J349" s="54" t="str" cm="1">
        <f t="array" aca="1" ref="J349" ca="1">IF(B349=0,IF(E349=0,"",HYPERLINK("#"&amp;RIGHT(CELL("adresse",OFFSET(DMAV_Dienste!$M$6,E349-1,0)),LEN(CELL("adresse",OFFSET(DMAV_Dienste!$M$6,E349-1,0)))-FIND("]",CELL("adresse",OFFSET(DMAV_Dienste!$M$6,E349-1,0)))),"Dienst")),HYPERLINK("#"&amp;RIGHT(CELL("adresse",OFFSET(DMAV_Modell!$N$6,B349-1,0)),LEN(CELL("adresse",OFFSET(DMAV_Modell!$N$6,B349-1,0)))-FIND("]",CELL("adresse",OFFSET(DMAV_Modell!$N$6,B349-1,0)))),"Modell"))</f>
        <v/>
      </c>
      <c r="K349" s="61" t="str" cm="1">
        <f t="array" ref="K349">IF($B349=0,IF($E349=0,"",IF(INDEX(DMAV_Dienste!P$6:P$140,$E349)="","",INDEX(DMAV_Dienste!P$6:P$140,$E349))),IF(INDEX(DMAV_Modell!Q$6:Q$838,$B349)="","",INDEX(DMAV_Modell!Q$6:Q$838,$B349)))</f>
        <v/>
      </c>
      <c r="L349" s="62" t="str" cm="1">
        <f t="array" ref="L349">IF($B349=0,IF($E349=0,"",IF(INDEX(DMAV_Dienste!O$6:O$140,$E349)="","",INDEX(DMAV_Dienste!O$6:O$140,$E349))),IF(INDEX(DMAV_Modell!P$6:P$838,$B349)="","",INDEX(DMAV_Modell!P$6:P$838,$B349)))</f>
        <v/>
      </c>
      <c r="M349" s="62" t="str" cm="1">
        <f t="array" ref="M349">IF($B349=0,IF($E349=0,"",IF(INDEX(DMAV_Dienste!Q$6:Q$140,$E349)="","",INDEX(DMAV_Dienste!Q$6:Q$140,$E349))),IF(INDEX(DMAV_Modell!R$6:R$838,$B349)="","",INDEX(DMAV_Modell!R$6:R$838,$B349)))</f>
        <v/>
      </c>
      <c r="N349" s="62" t="str" cm="1">
        <f t="array" ref="N349">IF($B349=0,IF($E349=0,"",IF(INDEX(DMAV_Dienste!T$6:T$140,$E349)="","",INDEX(DMAV_Dienste!T$6:T$140,$E349))),IF(INDEX(DMAV_Modell!U$6:U$838,$B349)="","",INDEX(DMAV_Modell!U$6:U$838,$B349)))</f>
        <v/>
      </c>
      <c r="O349" s="63" t="str" cm="1">
        <f t="array" aca="1" ref="O349" ca="1">IF(C349=0,IF(F349=0,"",HYPERLINK("#"&amp;RIGHT(CELL("adresse",OFFSET(DMAV_Dienste!$M$6,F349-1,0)),LEN(CELL("adresse",OFFSET(DMAV_Dienste!$M$6,F349-1,0)))-FIND("]",CELL("adresse",OFFSET(DMAV_Dienste!$M$6,F349-1,0)))),"Structure")),HYPERLINK("#"&amp;RIGHT(CELL("adresse",OFFSET(DMAV_Modell!$N$6,C349-1,0)),LEN(CELL("adresse",OFFSET(DMAV_Modell!$N$6,C349-1,0)))-FIND("]",CELL("adresse",OFFSET(DMAV_Modell!$N$6,C349-1,0)))),"Structure"))</f>
        <v/>
      </c>
      <c r="P349" s="64" t="str" cm="1">
        <f t="array" aca="1" ref="P349" ca="1">IF(D349=0,IF(G349=0,"",HYPERLINK("#"&amp;RIGHT(CELL("adresse",OFFSET(DMAV_Dienste!$M$6,G349-1,0)),LEN(CELL("adresse",OFFSET(DMAV_Dienste!$M$6,G349-1,0)))-FIND("]",CELL("adresse",OFFSET(DMAV_Dienste!$M$6,G349-1,0)))),"Substructure")),HYPERLINK("#"&amp;RIGHT(CELL("adresse",OFFSET(DMAV_Modell!$N$6,D349-1,0)),LEN(CELL("adresse",OFFSET(DMAV_Modell!$N$6,D349-1,0)))-FIND("]",CELL("adresse",OFFSET(DMAV_Modell!$N$6,D349-1,0)))),"Substructure"))</f>
        <v/>
      </c>
      <c r="R349" s="80"/>
      <c r="T349" s="93"/>
      <c r="U349" s="94"/>
      <c r="V349" s="95"/>
      <c r="W349" s="96"/>
      <c r="Y349" s="85"/>
      <c r="Z349" s="86"/>
      <c r="AA349" s="87"/>
      <c r="AB349" s="88"/>
      <c r="AD349" s="77"/>
      <c r="AF349" s="54" t="str" cm="1">
        <f t="array" aca="1" ref="AF349" ca="1">IF(H349=0,"",HYPERLINK("#"&amp;RIGHT(CELL("adresse",OFFSET('DM01-AV-CH'!$G$6,H349-1,0)),LEN(CELL("adresse",OFFSET('DM01-AV-CH'!$G$6,H349-1,0)))-FIND("]",CELL("adresse",OFFSET('DM01-AV-CH'!$G$6,H349-1,0)))),"Modell"))</f>
        <v>Modell</v>
      </c>
      <c r="AG349" s="72" t="str" cm="1">
        <f t="array" ref="AG349">IF($H349=0,"",IF(INDEX('DM01-AV-CH'!G$6:G$834,$H349)="","",INDEX('DM01-AV-CH'!G$6:G$834,$H349)))</f>
        <v>Gemeindegrenzen</v>
      </c>
      <c r="AH349" s="73" t="str" cm="1">
        <f t="array" ref="AH349">IF($H349=0,"",IF(INDEX('DM01-AV-CH'!H$6:H$834,$H349)="","",INDEX('DM01-AV-CH'!H$6:H$834,$H349)))</f>
        <v>Hoheitsgrenzpunkt</v>
      </c>
      <c r="AI349" s="74" t="str" cm="1">
        <f t="array" ref="AI349">IF($H349=0,"",IF(INDEX('DM01-AV-CH'!I$6:I$834,$H349)="","",INDEX('DM01-AV-CH'!I$6:I$834,$H349)))</f>
        <v>Entstehung</v>
      </c>
    </row>
    <row r="350" spans="1:35" ht="128.25" x14ac:dyDescent="0.25">
      <c r="A350" s="57">
        <v>345</v>
      </c>
      <c r="B350" s="57">
        <f>IF($A350="","",IF(_xlfn.XLOOKUP($A350,Korrelation!$D$4:$D$1197,Korrelation!E$4:E$1197,"-",0)="-",0,MATCH(_xlfn.XLOOKUP($A350,Korrelation!$D$4:$D$1197,Korrelation!E$4:E$1197,"",0),DMAV_Modell!$G$6:$G$677,0)))</f>
        <v>0</v>
      </c>
      <c r="C350" s="57">
        <f>IF($A350="","",IF(_xlfn.XLOOKUP($A350,Korrelation!$D$4:$D$1197,Korrelation!F$4:F$1197,"-",0)="-",0,MATCH(_xlfn.XLOOKUP($A350,Korrelation!$D$4:$D$1197,Korrelation!F$4:F$1197,"",0),DMAV_Modell!$G$6:$G$677,0)))</f>
        <v>0</v>
      </c>
      <c r="D350" s="57">
        <f>IF($A350="","",IF(_xlfn.XLOOKUP($A350,Korrelation!$D$4:$D$1197,Korrelation!G$4:G$1197,"-",0)="-",0,MATCH(_xlfn.XLOOKUP($A350,Korrelation!$D$4:$D$1197,Korrelation!G$4:G$1197,"",0),DMAV_Modell!$G$6:$G$677,0)))</f>
        <v>0</v>
      </c>
      <c r="E350" s="57">
        <f>IF($A350="","",IF(_xlfn.XLOOKUP($A350,Korrelation!$D$4:$D$1197,Korrelation!H$4:H$1197,"-",0)="-",0,MATCH(_xlfn.XLOOKUP($A350,Korrelation!$D$4:$D$1197,Korrelation!H$4:H$1197,"",0),DMAV_Dienste!$F$6:$F$140,0)))</f>
        <v>0</v>
      </c>
      <c r="F350" s="57">
        <f>IF($A350="","",IF(_xlfn.XLOOKUP($A350,Korrelation!$D$4:$D$1197,Korrelation!I$4:I$1197,"-",0)="-",0,MATCH(_xlfn.XLOOKUP($A350,Korrelation!$D$4:$D$1197,Korrelation!I$4:I$1197,"",0),DMAV_Dienste!$F$6:$F$140,0)))</f>
        <v>0</v>
      </c>
      <c r="G350" s="57">
        <f>IF($A350="","",IF(_xlfn.XLOOKUP($A350,Korrelation!$D$4:$D$1197,Korrelation!J$4:J$1197,"-",0)="-",0,MATCH(_xlfn.XLOOKUP($A350,Korrelation!$D$4:$D$1197,Korrelation!J$4:J$1197,"",0),DMAV_Dienste!$F$6:$F$140,0)))</f>
        <v>0</v>
      </c>
      <c r="H350" s="57">
        <f>IF($A350="","",IF(_xlfn.XLOOKUP($A350,Korrelation!$D$4:$D$1197,Korrelation!K$4:K$1197,"-",0)="-",0,MATCH(_xlfn.XLOOKUP($A350,Korrelation!$D$4:$D$1197,Korrelation!K$4:K$1197,"",0),'DM01-AV-CH'!$A$6:$A$834,0)))</f>
        <v>597</v>
      </c>
      <c r="J350" s="54" t="str" cm="1">
        <f t="array" aca="1" ref="J350" ca="1">IF(B350=0,IF(E350=0,"",HYPERLINK("#"&amp;RIGHT(CELL("adresse",OFFSET(DMAV_Dienste!$M$6,E350-1,0)),LEN(CELL("adresse",OFFSET(DMAV_Dienste!$M$6,E350-1,0)))-FIND("]",CELL("adresse",OFFSET(DMAV_Dienste!$M$6,E350-1,0)))),"Dienst")),HYPERLINK("#"&amp;RIGHT(CELL("adresse",OFFSET(DMAV_Modell!$N$6,B350-1,0)),LEN(CELL("adresse",OFFSET(DMAV_Modell!$N$6,B350-1,0)))-FIND("]",CELL("adresse",OFFSET(DMAV_Modell!$N$6,B350-1,0)))),"Modell"))</f>
        <v/>
      </c>
      <c r="K350" s="61" t="str" cm="1">
        <f t="array" ref="K350">IF($B350=0,IF($E350=0,"",IF(INDEX(DMAV_Dienste!P$6:P$140,$E350)="","",INDEX(DMAV_Dienste!P$6:P$140,$E350))),IF(INDEX(DMAV_Modell!Q$6:Q$838,$B350)="","",INDEX(DMAV_Modell!Q$6:Q$838,$B350)))</f>
        <v/>
      </c>
      <c r="L350" s="62" t="str" cm="1">
        <f t="array" ref="L350">IF($B350=0,IF($E350=0,"",IF(INDEX(DMAV_Dienste!O$6:O$140,$E350)="","",INDEX(DMAV_Dienste!O$6:O$140,$E350))),IF(INDEX(DMAV_Modell!P$6:P$838,$B350)="","",INDEX(DMAV_Modell!P$6:P$838,$B350)))</f>
        <v/>
      </c>
      <c r="M350" s="62" t="str" cm="1">
        <f t="array" ref="M350">IF($B350=0,IF($E350=0,"",IF(INDEX(DMAV_Dienste!Q$6:Q$140,$E350)="","",INDEX(DMAV_Dienste!Q$6:Q$140,$E350))),IF(INDEX(DMAV_Modell!R$6:R$838,$B350)="","",INDEX(DMAV_Modell!R$6:R$838,$B350)))</f>
        <v/>
      </c>
      <c r="N350" s="62" t="str" cm="1">
        <f t="array" ref="N350">IF($B350=0,IF($E350=0,"",IF(INDEX(DMAV_Dienste!T$6:T$140,$E350)="","",INDEX(DMAV_Dienste!T$6:T$140,$E350))),IF(INDEX(DMAV_Modell!U$6:U$838,$B350)="","",INDEX(DMAV_Modell!U$6:U$838,$B350)))</f>
        <v/>
      </c>
      <c r="O350" s="63" t="str" cm="1">
        <f t="array" aca="1" ref="O350" ca="1">IF(C350=0,IF(F350=0,"",HYPERLINK("#"&amp;RIGHT(CELL("adresse",OFFSET(DMAV_Dienste!$M$6,F350-1,0)),LEN(CELL("adresse",OFFSET(DMAV_Dienste!$M$6,F350-1,0)))-FIND("]",CELL("adresse",OFFSET(DMAV_Dienste!$M$6,F350-1,0)))),"Structure")),HYPERLINK("#"&amp;RIGHT(CELL("adresse",OFFSET(DMAV_Modell!$N$6,C350-1,0)),LEN(CELL("adresse",OFFSET(DMAV_Modell!$N$6,C350-1,0)))-FIND("]",CELL("adresse",OFFSET(DMAV_Modell!$N$6,C350-1,0)))),"Structure"))</f>
        <v/>
      </c>
      <c r="P350" s="64" t="str" cm="1">
        <f t="array" aca="1" ref="P350" ca="1">IF(D350=0,IF(G350=0,"",HYPERLINK("#"&amp;RIGHT(CELL("adresse",OFFSET(DMAV_Dienste!$M$6,G350-1,0)),LEN(CELL("adresse",OFFSET(DMAV_Dienste!$M$6,G350-1,0)))-FIND("]",CELL("adresse",OFFSET(DMAV_Dienste!$M$6,G350-1,0)))),"Substructure")),HYPERLINK("#"&amp;RIGHT(CELL("adresse",OFFSET(DMAV_Modell!$N$6,D350-1,0)),LEN(CELL("adresse",OFFSET(DMAV_Modell!$N$6,D350-1,0)))-FIND("]",CELL("adresse",OFFSET(DMAV_Modell!$N$6,D350-1,0)))),"Substructure"))</f>
        <v/>
      </c>
      <c r="R350" s="80"/>
      <c r="T350" s="93" t="s">
        <v>3325</v>
      </c>
      <c r="U350" s="94" t="s">
        <v>2980</v>
      </c>
      <c r="V350" s="95" t="s">
        <v>3052</v>
      </c>
      <c r="W350" s="96" t="s">
        <v>3053</v>
      </c>
      <c r="Y350" s="85"/>
      <c r="Z350" s="86"/>
      <c r="AA350" s="87"/>
      <c r="AB350" s="88"/>
      <c r="AD350" s="77"/>
      <c r="AF350" s="54" t="str" cm="1">
        <f t="array" aca="1" ref="AF350" ca="1">IF(H350=0,"",HYPERLINK("#"&amp;RIGHT(CELL("adresse",OFFSET('DM01-AV-CH'!$G$6,H350-1,0)),LEN(CELL("adresse",OFFSET('DM01-AV-CH'!$G$6,H350-1,0)))-FIND("]",CELL("adresse",OFFSET('DM01-AV-CH'!$G$6,H350-1,0)))),"Modell"))</f>
        <v>Modell</v>
      </c>
      <c r="AG350" s="72" t="str" cm="1">
        <f t="array" ref="AG350">IF($H350=0,"",IF(INDEX('DM01-AV-CH'!G$6:G$834,$H350)="","",INDEX('DM01-AV-CH'!G$6:G$834,$H350)))</f>
        <v>Gemeindegrenzen</v>
      </c>
      <c r="AH350" s="73" t="str" cm="1">
        <f t="array" ref="AH350">IF($H350=0,"",IF(INDEX('DM01-AV-CH'!H$6:H$834,$H350)="","",INDEX('DM01-AV-CH'!H$6:H$834,$H350)))</f>
        <v>Hoheitsgrenzpunkt</v>
      </c>
      <c r="AI350" s="74" t="str" cm="1">
        <f t="array" ref="AI350">IF($H350=0,"",IF(INDEX('DM01-AV-CH'!I$6:I$834,$H350)="","",INDEX('DM01-AV-CH'!I$6:I$834,$H350)))</f>
        <v>Identifikator</v>
      </c>
    </row>
    <row r="351" spans="1:35" ht="128.25" x14ac:dyDescent="0.25">
      <c r="A351" s="57">
        <v>346</v>
      </c>
      <c r="B351" s="57">
        <f>IF($A351="","",IF(_xlfn.XLOOKUP($A351,Korrelation!$D$4:$D$1197,Korrelation!E$4:E$1197,"-",0)="-",0,MATCH(_xlfn.XLOOKUP($A351,Korrelation!$D$4:$D$1197,Korrelation!E$4:E$1197,"",0),DMAV_Modell!$G$6:$G$677,0)))</f>
        <v>0</v>
      </c>
      <c r="C351" s="57">
        <f>IF($A351="","",IF(_xlfn.XLOOKUP($A351,Korrelation!$D$4:$D$1197,Korrelation!F$4:F$1197,"-",0)="-",0,MATCH(_xlfn.XLOOKUP($A351,Korrelation!$D$4:$D$1197,Korrelation!F$4:F$1197,"",0),DMAV_Modell!$G$6:$G$677,0)))</f>
        <v>0</v>
      </c>
      <c r="D351" s="57">
        <f>IF($A351="","",IF(_xlfn.XLOOKUP($A351,Korrelation!$D$4:$D$1197,Korrelation!G$4:G$1197,"-",0)="-",0,MATCH(_xlfn.XLOOKUP($A351,Korrelation!$D$4:$D$1197,Korrelation!G$4:G$1197,"",0),DMAV_Modell!$G$6:$G$677,0)))</f>
        <v>0</v>
      </c>
      <c r="E351" s="57">
        <f>IF($A351="","",IF(_xlfn.XLOOKUP($A351,Korrelation!$D$4:$D$1197,Korrelation!H$4:H$1197,"-",0)="-",0,MATCH(_xlfn.XLOOKUP($A351,Korrelation!$D$4:$D$1197,Korrelation!H$4:H$1197,"",0),DMAV_Dienste!$F$6:$F$140,0)))</f>
        <v>0</v>
      </c>
      <c r="F351" s="57">
        <f>IF($A351="","",IF(_xlfn.XLOOKUP($A351,Korrelation!$D$4:$D$1197,Korrelation!I$4:I$1197,"-",0)="-",0,MATCH(_xlfn.XLOOKUP($A351,Korrelation!$D$4:$D$1197,Korrelation!I$4:I$1197,"",0),DMAV_Dienste!$F$6:$F$140,0)))</f>
        <v>0</v>
      </c>
      <c r="G351" s="57">
        <f>IF($A351="","",IF(_xlfn.XLOOKUP($A351,Korrelation!$D$4:$D$1197,Korrelation!J$4:J$1197,"-",0)="-",0,MATCH(_xlfn.XLOOKUP($A351,Korrelation!$D$4:$D$1197,Korrelation!J$4:J$1197,"",0),DMAV_Dienste!$F$6:$F$140,0)))</f>
        <v>0</v>
      </c>
      <c r="H351" s="57">
        <f>IF($A351="","",IF(_xlfn.XLOOKUP($A351,Korrelation!$D$4:$D$1197,Korrelation!K$4:K$1197,"-",0)="-",0,MATCH(_xlfn.XLOOKUP($A351,Korrelation!$D$4:$D$1197,Korrelation!K$4:K$1197,"",0),'DM01-AV-CH'!$A$6:$A$834,0)))</f>
        <v>598</v>
      </c>
      <c r="J351" s="54" t="str" cm="1">
        <f t="array" aca="1" ref="J351" ca="1">IF(B351=0,IF(E351=0,"",HYPERLINK("#"&amp;RIGHT(CELL("adresse",OFFSET(DMAV_Dienste!$M$6,E351-1,0)),LEN(CELL("adresse",OFFSET(DMAV_Dienste!$M$6,E351-1,0)))-FIND("]",CELL("adresse",OFFSET(DMAV_Dienste!$M$6,E351-1,0)))),"Dienst")),HYPERLINK("#"&amp;RIGHT(CELL("adresse",OFFSET(DMAV_Modell!$N$6,B351-1,0)),LEN(CELL("adresse",OFFSET(DMAV_Modell!$N$6,B351-1,0)))-FIND("]",CELL("adresse",OFFSET(DMAV_Modell!$N$6,B351-1,0)))),"Modell"))</f>
        <v/>
      </c>
      <c r="K351" s="61" t="str" cm="1">
        <f t="array" ref="K351">IF($B351=0,IF($E351=0,"",IF(INDEX(DMAV_Dienste!P$6:P$140,$E351)="","",INDEX(DMAV_Dienste!P$6:P$140,$E351))),IF(INDEX(DMAV_Modell!Q$6:Q$838,$B351)="","",INDEX(DMAV_Modell!Q$6:Q$838,$B351)))</f>
        <v/>
      </c>
      <c r="L351" s="62" t="str" cm="1">
        <f t="array" ref="L351">IF($B351=0,IF($E351=0,"",IF(INDEX(DMAV_Dienste!O$6:O$140,$E351)="","",INDEX(DMAV_Dienste!O$6:O$140,$E351))),IF(INDEX(DMAV_Modell!P$6:P$838,$B351)="","",INDEX(DMAV_Modell!P$6:P$838,$B351)))</f>
        <v/>
      </c>
      <c r="M351" s="62" t="str" cm="1">
        <f t="array" ref="M351">IF($B351=0,IF($E351=0,"",IF(INDEX(DMAV_Dienste!Q$6:Q$140,$E351)="","",INDEX(DMAV_Dienste!Q$6:Q$140,$E351))),IF(INDEX(DMAV_Modell!R$6:R$838,$B351)="","",INDEX(DMAV_Modell!R$6:R$838,$B351)))</f>
        <v/>
      </c>
      <c r="N351" s="62" t="str" cm="1">
        <f t="array" ref="N351">IF($B351=0,IF($E351=0,"",IF(INDEX(DMAV_Dienste!T$6:T$140,$E351)="","",INDEX(DMAV_Dienste!T$6:T$140,$E351))),IF(INDEX(DMAV_Modell!U$6:U$838,$B351)="","",INDEX(DMAV_Modell!U$6:U$838,$B351)))</f>
        <v/>
      </c>
      <c r="O351" s="63" t="str" cm="1">
        <f t="array" aca="1" ref="O351" ca="1">IF(C351=0,IF(F351=0,"",HYPERLINK("#"&amp;RIGHT(CELL("adresse",OFFSET(DMAV_Dienste!$M$6,F351-1,0)),LEN(CELL("adresse",OFFSET(DMAV_Dienste!$M$6,F351-1,0)))-FIND("]",CELL("adresse",OFFSET(DMAV_Dienste!$M$6,F351-1,0)))),"Structure")),HYPERLINK("#"&amp;RIGHT(CELL("adresse",OFFSET(DMAV_Modell!$N$6,C351-1,0)),LEN(CELL("adresse",OFFSET(DMAV_Modell!$N$6,C351-1,0)))-FIND("]",CELL("adresse",OFFSET(DMAV_Modell!$N$6,C351-1,0)))),"Structure"))</f>
        <v/>
      </c>
      <c r="P351" s="64" t="str" cm="1">
        <f t="array" aca="1" ref="P351" ca="1">IF(D351=0,IF(G351=0,"",HYPERLINK("#"&amp;RIGHT(CELL("adresse",OFFSET(DMAV_Dienste!$M$6,G351-1,0)),LEN(CELL("adresse",OFFSET(DMAV_Dienste!$M$6,G351-1,0)))-FIND("]",CELL("adresse",OFFSET(DMAV_Dienste!$M$6,G351-1,0)))),"Substructure")),HYPERLINK("#"&amp;RIGHT(CELL("adresse",OFFSET(DMAV_Modell!$N$6,D351-1,0)),LEN(CELL("adresse",OFFSET(DMAV_Modell!$N$6,D351-1,0)))-FIND("]",CELL("adresse",OFFSET(DMAV_Modell!$N$6,D351-1,0)))),"Substructure"))</f>
        <v/>
      </c>
      <c r="R351" s="80"/>
      <c r="T351" s="93" t="s">
        <v>3325</v>
      </c>
      <c r="U351" s="94" t="s">
        <v>2980</v>
      </c>
      <c r="V351" s="95" t="s">
        <v>3054</v>
      </c>
      <c r="W351" s="96" t="s">
        <v>3053</v>
      </c>
      <c r="Y351" s="85"/>
      <c r="Z351" s="86"/>
      <c r="AA351" s="87"/>
      <c r="AB351" s="88"/>
      <c r="AD351" s="77"/>
      <c r="AF351" s="54" t="str" cm="1">
        <f t="array" aca="1" ref="AF351" ca="1">IF(H351=0,"",HYPERLINK("#"&amp;RIGHT(CELL("adresse",OFFSET('DM01-AV-CH'!$G$6,H351-1,0)),LEN(CELL("adresse",OFFSET('DM01-AV-CH'!$G$6,H351-1,0)))-FIND("]",CELL("adresse",OFFSET('DM01-AV-CH'!$G$6,H351-1,0)))),"Modell"))</f>
        <v>Modell</v>
      </c>
      <c r="AG351" s="72" t="str" cm="1">
        <f t="array" ref="AG351">IF($H351=0,"",IF(INDEX('DM01-AV-CH'!G$6:G$834,$H351)="","",INDEX('DM01-AV-CH'!G$6:G$834,$H351)))</f>
        <v>Gemeindegrenzen</v>
      </c>
      <c r="AH351" s="73" t="str" cm="1">
        <f t="array" ref="AH351">IF($H351=0,"",IF(INDEX('DM01-AV-CH'!H$6:H$834,$H351)="","",INDEX('DM01-AV-CH'!H$6:H$834,$H351)))</f>
        <v>Hoheitsgrenzpunkt</v>
      </c>
      <c r="AI351" s="74" t="str" cm="1">
        <f t="array" ref="AI351">IF($H351=0,"",IF(INDEX('DM01-AV-CH'!I$6:I$834,$H351)="","",INDEX('DM01-AV-CH'!I$6:I$834,$H351)))</f>
        <v>Geometrie</v>
      </c>
    </row>
    <row r="352" spans="1:35" ht="128.25" x14ac:dyDescent="0.25">
      <c r="A352" s="57">
        <v>347</v>
      </c>
      <c r="B352" s="57">
        <f>IF($A352="","",IF(_xlfn.XLOOKUP($A352,Korrelation!$D$4:$D$1197,Korrelation!E$4:E$1197,"-",0)="-",0,MATCH(_xlfn.XLOOKUP($A352,Korrelation!$D$4:$D$1197,Korrelation!E$4:E$1197,"",0),DMAV_Modell!$G$6:$G$677,0)))</f>
        <v>0</v>
      </c>
      <c r="C352" s="57">
        <f>IF($A352="","",IF(_xlfn.XLOOKUP($A352,Korrelation!$D$4:$D$1197,Korrelation!F$4:F$1197,"-",0)="-",0,MATCH(_xlfn.XLOOKUP($A352,Korrelation!$D$4:$D$1197,Korrelation!F$4:F$1197,"",0),DMAV_Modell!$G$6:$G$677,0)))</f>
        <v>0</v>
      </c>
      <c r="D352" s="57">
        <f>IF($A352="","",IF(_xlfn.XLOOKUP($A352,Korrelation!$D$4:$D$1197,Korrelation!G$4:G$1197,"-",0)="-",0,MATCH(_xlfn.XLOOKUP($A352,Korrelation!$D$4:$D$1197,Korrelation!G$4:G$1197,"",0),DMAV_Modell!$G$6:$G$677,0)))</f>
        <v>0</v>
      </c>
      <c r="E352" s="57">
        <f>IF($A352="","",IF(_xlfn.XLOOKUP($A352,Korrelation!$D$4:$D$1197,Korrelation!H$4:H$1197,"-",0)="-",0,MATCH(_xlfn.XLOOKUP($A352,Korrelation!$D$4:$D$1197,Korrelation!H$4:H$1197,"",0),DMAV_Dienste!$F$6:$F$140,0)))</f>
        <v>0</v>
      </c>
      <c r="F352" s="57">
        <f>IF($A352="","",IF(_xlfn.XLOOKUP($A352,Korrelation!$D$4:$D$1197,Korrelation!I$4:I$1197,"-",0)="-",0,MATCH(_xlfn.XLOOKUP($A352,Korrelation!$D$4:$D$1197,Korrelation!I$4:I$1197,"",0),DMAV_Dienste!$F$6:$F$140,0)))</f>
        <v>0</v>
      </c>
      <c r="G352" s="57">
        <f>IF($A352="","",IF(_xlfn.XLOOKUP($A352,Korrelation!$D$4:$D$1197,Korrelation!J$4:J$1197,"-",0)="-",0,MATCH(_xlfn.XLOOKUP($A352,Korrelation!$D$4:$D$1197,Korrelation!J$4:J$1197,"",0),DMAV_Dienste!$F$6:$F$140,0)))</f>
        <v>0</v>
      </c>
      <c r="H352" s="57">
        <f>IF($A352="","",IF(_xlfn.XLOOKUP($A352,Korrelation!$D$4:$D$1197,Korrelation!K$4:K$1197,"-",0)="-",0,MATCH(_xlfn.XLOOKUP($A352,Korrelation!$D$4:$D$1197,Korrelation!K$4:K$1197,"",0),'DM01-AV-CH'!$A$6:$A$834,0)))</f>
        <v>599</v>
      </c>
      <c r="J352" s="54" t="str" cm="1">
        <f t="array" aca="1" ref="J352" ca="1">IF(B352=0,IF(E352=0,"",HYPERLINK("#"&amp;RIGHT(CELL("adresse",OFFSET(DMAV_Dienste!$M$6,E352-1,0)),LEN(CELL("adresse",OFFSET(DMAV_Dienste!$M$6,E352-1,0)))-FIND("]",CELL("adresse",OFFSET(DMAV_Dienste!$M$6,E352-1,0)))),"Dienst")),HYPERLINK("#"&amp;RIGHT(CELL("adresse",OFFSET(DMAV_Modell!$N$6,B352-1,0)),LEN(CELL("adresse",OFFSET(DMAV_Modell!$N$6,B352-1,0)))-FIND("]",CELL("adresse",OFFSET(DMAV_Modell!$N$6,B352-1,0)))),"Modell"))</f>
        <v/>
      </c>
      <c r="K352" s="61" t="str" cm="1">
        <f t="array" ref="K352">IF($B352=0,IF($E352=0,"",IF(INDEX(DMAV_Dienste!P$6:P$140,$E352)="","",INDEX(DMAV_Dienste!P$6:P$140,$E352))),IF(INDEX(DMAV_Modell!Q$6:Q$838,$B352)="","",INDEX(DMAV_Modell!Q$6:Q$838,$B352)))</f>
        <v/>
      </c>
      <c r="L352" s="62" t="str" cm="1">
        <f t="array" ref="L352">IF($B352=0,IF($E352=0,"",IF(INDEX(DMAV_Dienste!O$6:O$140,$E352)="","",INDEX(DMAV_Dienste!O$6:O$140,$E352))),IF(INDEX(DMAV_Modell!P$6:P$838,$B352)="","",INDEX(DMAV_Modell!P$6:P$838,$B352)))</f>
        <v/>
      </c>
      <c r="M352" s="62" t="str" cm="1">
        <f t="array" ref="M352">IF($B352=0,IF($E352=0,"",IF(INDEX(DMAV_Dienste!Q$6:Q$140,$E352)="","",INDEX(DMAV_Dienste!Q$6:Q$140,$E352))),IF(INDEX(DMAV_Modell!R$6:R$838,$B352)="","",INDEX(DMAV_Modell!R$6:R$838,$B352)))</f>
        <v/>
      </c>
      <c r="N352" s="62" t="str" cm="1">
        <f t="array" ref="N352">IF($B352=0,IF($E352=0,"",IF(INDEX(DMAV_Dienste!T$6:T$140,$E352)="","",INDEX(DMAV_Dienste!T$6:T$140,$E352))),IF(INDEX(DMAV_Modell!U$6:U$838,$B352)="","",INDEX(DMAV_Modell!U$6:U$838,$B352)))</f>
        <v/>
      </c>
      <c r="O352" s="63" t="str" cm="1">
        <f t="array" aca="1" ref="O352" ca="1">IF(C352=0,IF(F352=0,"",HYPERLINK("#"&amp;RIGHT(CELL("adresse",OFFSET(DMAV_Dienste!$M$6,F352-1,0)),LEN(CELL("adresse",OFFSET(DMAV_Dienste!$M$6,F352-1,0)))-FIND("]",CELL("adresse",OFFSET(DMAV_Dienste!$M$6,F352-1,0)))),"Structure")),HYPERLINK("#"&amp;RIGHT(CELL("adresse",OFFSET(DMAV_Modell!$N$6,C352-1,0)),LEN(CELL("adresse",OFFSET(DMAV_Modell!$N$6,C352-1,0)))-FIND("]",CELL("adresse",OFFSET(DMAV_Modell!$N$6,C352-1,0)))),"Structure"))</f>
        <v/>
      </c>
      <c r="P352" s="64" t="str" cm="1">
        <f t="array" aca="1" ref="P352" ca="1">IF(D352=0,IF(G352=0,"",HYPERLINK("#"&amp;RIGHT(CELL("adresse",OFFSET(DMAV_Dienste!$M$6,G352-1,0)),LEN(CELL("adresse",OFFSET(DMAV_Dienste!$M$6,G352-1,0)))-FIND("]",CELL("adresse",OFFSET(DMAV_Dienste!$M$6,G352-1,0)))),"Substructure")),HYPERLINK("#"&amp;RIGHT(CELL("adresse",OFFSET(DMAV_Modell!$N$6,D352-1,0)),LEN(CELL("adresse",OFFSET(DMAV_Modell!$N$6,D352-1,0)))-FIND("]",CELL("adresse",OFFSET(DMAV_Modell!$N$6,D352-1,0)))),"Substructure"))</f>
        <v/>
      </c>
      <c r="R352" s="80"/>
      <c r="T352" s="93" t="s">
        <v>3325</v>
      </c>
      <c r="U352" s="94" t="s">
        <v>2980</v>
      </c>
      <c r="V352" s="95" t="s">
        <v>3055</v>
      </c>
      <c r="W352" s="96" t="s">
        <v>3053</v>
      </c>
      <c r="Y352" s="85"/>
      <c r="Z352" s="86"/>
      <c r="AA352" s="87"/>
      <c r="AB352" s="88"/>
      <c r="AD352" s="77"/>
      <c r="AF352" s="54" t="str" cm="1">
        <f t="array" aca="1" ref="AF352" ca="1">IF(H352=0,"",HYPERLINK("#"&amp;RIGHT(CELL("adresse",OFFSET('DM01-AV-CH'!$G$6,H352-1,0)),LEN(CELL("adresse",OFFSET('DM01-AV-CH'!$G$6,H352-1,0)))-FIND("]",CELL("adresse",OFFSET('DM01-AV-CH'!$G$6,H352-1,0)))),"Modell"))</f>
        <v>Modell</v>
      </c>
      <c r="AG352" s="72" t="str" cm="1">
        <f t="array" ref="AG352">IF($H352=0,"",IF(INDEX('DM01-AV-CH'!G$6:G$834,$H352)="","",INDEX('DM01-AV-CH'!G$6:G$834,$H352)))</f>
        <v>Gemeindegrenzen</v>
      </c>
      <c r="AH352" s="73" t="str" cm="1">
        <f t="array" ref="AH352">IF($H352=0,"",IF(INDEX('DM01-AV-CH'!H$6:H$834,$H352)="","",INDEX('DM01-AV-CH'!H$6:H$834,$H352)))</f>
        <v>Hoheitsgrenzpunkt</v>
      </c>
      <c r="AI352" s="74" t="str" cm="1">
        <f t="array" ref="AI352">IF($H352=0,"",IF(INDEX('DM01-AV-CH'!I$6:I$834,$H352)="","",INDEX('DM01-AV-CH'!I$6:I$834,$H352)))</f>
        <v>LageGen</v>
      </c>
    </row>
    <row r="353" spans="1:35" ht="128.25" x14ac:dyDescent="0.25">
      <c r="A353" s="57">
        <v>348</v>
      </c>
      <c r="B353" s="57">
        <f>IF($A353="","",IF(_xlfn.XLOOKUP($A353,Korrelation!$D$4:$D$1197,Korrelation!E$4:E$1197,"-",0)="-",0,MATCH(_xlfn.XLOOKUP($A353,Korrelation!$D$4:$D$1197,Korrelation!E$4:E$1197,"",0),DMAV_Modell!$G$6:$G$677,0)))</f>
        <v>0</v>
      </c>
      <c r="C353" s="57">
        <f>IF($A353="","",IF(_xlfn.XLOOKUP($A353,Korrelation!$D$4:$D$1197,Korrelation!F$4:F$1197,"-",0)="-",0,MATCH(_xlfn.XLOOKUP($A353,Korrelation!$D$4:$D$1197,Korrelation!F$4:F$1197,"",0),DMAV_Modell!$G$6:$G$677,0)))</f>
        <v>0</v>
      </c>
      <c r="D353" s="57">
        <f>IF($A353="","",IF(_xlfn.XLOOKUP($A353,Korrelation!$D$4:$D$1197,Korrelation!G$4:G$1197,"-",0)="-",0,MATCH(_xlfn.XLOOKUP($A353,Korrelation!$D$4:$D$1197,Korrelation!G$4:G$1197,"",0),DMAV_Modell!$G$6:$G$677,0)))</f>
        <v>0</v>
      </c>
      <c r="E353" s="57">
        <f>IF($A353="","",IF(_xlfn.XLOOKUP($A353,Korrelation!$D$4:$D$1197,Korrelation!H$4:H$1197,"-",0)="-",0,MATCH(_xlfn.XLOOKUP($A353,Korrelation!$D$4:$D$1197,Korrelation!H$4:H$1197,"",0),DMAV_Dienste!$F$6:$F$140,0)))</f>
        <v>0</v>
      </c>
      <c r="F353" s="57">
        <f>IF($A353="","",IF(_xlfn.XLOOKUP($A353,Korrelation!$D$4:$D$1197,Korrelation!I$4:I$1197,"-",0)="-",0,MATCH(_xlfn.XLOOKUP($A353,Korrelation!$D$4:$D$1197,Korrelation!I$4:I$1197,"",0),DMAV_Dienste!$F$6:$F$140,0)))</f>
        <v>0</v>
      </c>
      <c r="G353" s="57">
        <f>IF($A353="","",IF(_xlfn.XLOOKUP($A353,Korrelation!$D$4:$D$1197,Korrelation!J$4:J$1197,"-",0)="-",0,MATCH(_xlfn.XLOOKUP($A353,Korrelation!$D$4:$D$1197,Korrelation!J$4:J$1197,"",0),DMAV_Dienste!$F$6:$F$140,0)))</f>
        <v>0</v>
      </c>
      <c r="H353" s="57">
        <f>IF($A353="","",IF(_xlfn.XLOOKUP($A353,Korrelation!$D$4:$D$1197,Korrelation!K$4:K$1197,"-",0)="-",0,MATCH(_xlfn.XLOOKUP($A353,Korrelation!$D$4:$D$1197,Korrelation!K$4:K$1197,"",0),'DM01-AV-CH'!$A$6:$A$834,0)))</f>
        <v>600</v>
      </c>
      <c r="J353" s="54" t="str" cm="1">
        <f t="array" aca="1" ref="J353" ca="1">IF(B353=0,IF(E353=0,"",HYPERLINK("#"&amp;RIGHT(CELL("adresse",OFFSET(DMAV_Dienste!$M$6,E353-1,0)),LEN(CELL("adresse",OFFSET(DMAV_Dienste!$M$6,E353-1,0)))-FIND("]",CELL("adresse",OFFSET(DMAV_Dienste!$M$6,E353-1,0)))),"Dienst")),HYPERLINK("#"&amp;RIGHT(CELL("adresse",OFFSET(DMAV_Modell!$N$6,B353-1,0)),LEN(CELL("adresse",OFFSET(DMAV_Modell!$N$6,B353-1,0)))-FIND("]",CELL("adresse",OFFSET(DMAV_Modell!$N$6,B353-1,0)))),"Modell"))</f>
        <v/>
      </c>
      <c r="K353" s="61" t="str" cm="1">
        <f t="array" ref="K353">IF($B353=0,IF($E353=0,"",IF(INDEX(DMAV_Dienste!P$6:P$140,$E353)="","",INDEX(DMAV_Dienste!P$6:P$140,$E353))),IF(INDEX(DMAV_Modell!Q$6:Q$838,$B353)="","",INDEX(DMAV_Modell!Q$6:Q$838,$B353)))</f>
        <v/>
      </c>
      <c r="L353" s="62" t="str" cm="1">
        <f t="array" ref="L353">IF($B353=0,IF($E353=0,"",IF(INDEX(DMAV_Dienste!O$6:O$140,$E353)="","",INDEX(DMAV_Dienste!O$6:O$140,$E353))),IF(INDEX(DMAV_Modell!P$6:P$838,$B353)="","",INDEX(DMAV_Modell!P$6:P$838,$B353)))</f>
        <v/>
      </c>
      <c r="M353" s="62" t="str" cm="1">
        <f t="array" ref="M353">IF($B353=0,IF($E353=0,"",IF(INDEX(DMAV_Dienste!Q$6:Q$140,$E353)="","",INDEX(DMAV_Dienste!Q$6:Q$140,$E353))),IF(INDEX(DMAV_Modell!R$6:R$838,$B353)="","",INDEX(DMAV_Modell!R$6:R$838,$B353)))</f>
        <v/>
      </c>
      <c r="N353" s="62" t="str" cm="1">
        <f t="array" ref="N353">IF($B353=0,IF($E353=0,"",IF(INDEX(DMAV_Dienste!T$6:T$140,$E353)="","",INDEX(DMAV_Dienste!T$6:T$140,$E353))),IF(INDEX(DMAV_Modell!U$6:U$838,$B353)="","",INDEX(DMAV_Modell!U$6:U$838,$B353)))</f>
        <v/>
      </c>
      <c r="O353" s="63" t="str" cm="1">
        <f t="array" aca="1" ref="O353" ca="1">IF(C353=0,IF(F353=0,"",HYPERLINK("#"&amp;RIGHT(CELL("adresse",OFFSET(DMAV_Dienste!$M$6,F353-1,0)),LEN(CELL("adresse",OFFSET(DMAV_Dienste!$M$6,F353-1,0)))-FIND("]",CELL("adresse",OFFSET(DMAV_Dienste!$M$6,F353-1,0)))),"Structure")),HYPERLINK("#"&amp;RIGHT(CELL("adresse",OFFSET(DMAV_Modell!$N$6,C353-1,0)),LEN(CELL("adresse",OFFSET(DMAV_Modell!$N$6,C353-1,0)))-FIND("]",CELL("adresse",OFFSET(DMAV_Modell!$N$6,C353-1,0)))),"Structure"))</f>
        <v/>
      </c>
      <c r="P353" s="64" t="str" cm="1">
        <f t="array" aca="1" ref="P353" ca="1">IF(D353=0,IF(G353=0,"",HYPERLINK("#"&amp;RIGHT(CELL("adresse",OFFSET(DMAV_Dienste!$M$6,G353-1,0)),LEN(CELL("adresse",OFFSET(DMAV_Dienste!$M$6,G353-1,0)))-FIND("]",CELL("adresse",OFFSET(DMAV_Dienste!$M$6,G353-1,0)))),"Substructure")),HYPERLINK("#"&amp;RIGHT(CELL("adresse",OFFSET(DMAV_Modell!$N$6,D353-1,0)),LEN(CELL("adresse",OFFSET(DMAV_Modell!$N$6,D353-1,0)))-FIND("]",CELL("adresse",OFFSET(DMAV_Modell!$N$6,D353-1,0)))),"Substructure"))</f>
        <v/>
      </c>
      <c r="R353" s="80"/>
      <c r="T353" s="93" t="s">
        <v>3325</v>
      </c>
      <c r="U353" s="94" t="s">
        <v>2980</v>
      </c>
      <c r="V353" s="95" t="s">
        <v>3056</v>
      </c>
      <c r="W353" s="96" t="s">
        <v>3053</v>
      </c>
      <c r="Y353" s="85"/>
      <c r="Z353" s="86"/>
      <c r="AA353" s="87"/>
      <c r="AB353" s="88"/>
      <c r="AD353" s="77"/>
      <c r="AF353" s="54" t="str" cm="1">
        <f t="array" aca="1" ref="AF353" ca="1">IF(H353=0,"",HYPERLINK("#"&amp;RIGHT(CELL("adresse",OFFSET('DM01-AV-CH'!$G$6,H353-1,0)),LEN(CELL("adresse",OFFSET('DM01-AV-CH'!$G$6,H353-1,0)))-FIND("]",CELL("adresse",OFFSET('DM01-AV-CH'!$G$6,H353-1,0)))),"Modell"))</f>
        <v>Modell</v>
      </c>
      <c r="AG353" s="72" t="str" cm="1">
        <f t="array" ref="AG353">IF($H353=0,"",IF(INDEX('DM01-AV-CH'!G$6:G$834,$H353)="","",INDEX('DM01-AV-CH'!G$6:G$834,$H353)))</f>
        <v>Gemeindegrenzen</v>
      </c>
      <c r="AH353" s="73" t="str" cm="1">
        <f t="array" ref="AH353">IF($H353=0,"",IF(INDEX('DM01-AV-CH'!H$6:H$834,$H353)="","",INDEX('DM01-AV-CH'!H$6:H$834,$H353)))</f>
        <v>Hoheitsgrenzpunkt</v>
      </c>
      <c r="AI353" s="74" t="str" cm="1">
        <f t="array" ref="AI353">IF($H353=0,"",IF(INDEX('DM01-AV-CH'!I$6:I$834,$H353)="","",INDEX('DM01-AV-CH'!I$6:I$834,$H353)))</f>
        <v>LageZuv</v>
      </c>
    </row>
    <row r="354" spans="1:35" ht="128.25" x14ac:dyDescent="0.25">
      <c r="A354" s="57">
        <v>349</v>
      </c>
      <c r="B354" s="57">
        <f>IF($A354="","",IF(_xlfn.XLOOKUP($A354,Korrelation!$D$4:$D$1197,Korrelation!E$4:E$1197,"-",0)="-",0,MATCH(_xlfn.XLOOKUP($A354,Korrelation!$D$4:$D$1197,Korrelation!E$4:E$1197,"",0),DMAV_Modell!$G$6:$G$677,0)))</f>
        <v>0</v>
      </c>
      <c r="C354" s="57">
        <f>IF($A354="","",IF(_xlfn.XLOOKUP($A354,Korrelation!$D$4:$D$1197,Korrelation!F$4:F$1197,"-",0)="-",0,MATCH(_xlfn.XLOOKUP($A354,Korrelation!$D$4:$D$1197,Korrelation!F$4:F$1197,"",0),DMAV_Modell!$G$6:$G$677,0)))</f>
        <v>0</v>
      </c>
      <c r="D354" s="57">
        <f>IF($A354="","",IF(_xlfn.XLOOKUP($A354,Korrelation!$D$4:$D$1197,Korrelation!G$4:G$1197,"-",0)="-",0,MATCH(_xlfn.XLOOKUP($A354,Korrelation!$D$4:$D$1197,Korrelation!G$4:G$1197,"",0),DMAV_Modell!$G$6:$G$677,0)))</f>
        <v>0</v>
      </c>
      <c r="E354" s="57">
        <f>IF($A354="","",IF(_xlfn.XLOOKUP($A354,Korrelation!$D$4:$D$1197,Korrelation!H$4:H$1197,"-",0)="-",0,MATCH(_xlfn.XLOOKUP($A354,Korrelation!$D$4:$D$1197,Korrelation!H$4:H$1197,"",0),DMAV_Dienste!$F$6:$F$140,0)))</f>
        <v>0</v>
      </c>
      <c r="F354" s="57">
        <f>IF($A354="","",IF(_xlfn.XLOOKUP($A354,Korrelation!$D$4:$D$1197,Korrelation!I$4:I$1197,"-",0)="-",0,MATCH(_xlfn.XLOOKUP($A354,Korrelation!$D$4:$D$1197,Korrelation!I$4:I$1197,"",0),DMAV_Dienste!$F$6:$F$140,0)))</f>
        <v>0</v>
      </c>
      <c r="G354" s="57">
        <f>IF($A354="","",IF(_xlfn.XLOOKUP($A354,Korrelation!$D$4:$D$1197,Korrelation!J$4:J$1197,"-",0)="-",0,MATCH(_xlfn.XLOOKUP($A354,Korrelation!$D$4:$D$1197,Korrelation!J$4:J$1197,"",0),DMAV_Dienste!$F$6:$F$140,0)))</f>
        <v>0</v>
      </c>
      <c r="H354" s="57">
        <f>IF($A354="","",IF(_xlfn.XLOOKUP($A354,Korrelation!$D$4:$D$1197,Korrelation!K$4:K$1197,"-",0)="-",0,MATCH(_xlfn.XLOOKUP($A354,Korrelation!$D$4:$D$1197,Korrelation!K$4:K$1197,"",0),'DM01-AV-CH'!$A$6:$A$834,0)))</f>
        <v>601</v>
      </c>
      <c r="J354" s="54" t="str" cm="1">
        <f t="array" aca="1" ref="J354" ca="1">IF(B354=0,IF(E354=0,"",HYPERLINK("#"&amp;RIGHT(CELL("adresse",OFFSET(DMAV_Dienste!$M$6,E354-1,0)),LEN(CELL("adresse",OFFSET(DMAV_Dienste!$M$6,E354-1,0)))-FIND("]",CELL("adresse",OFFSET(DMAV_Dienste!$M$6,E354-1,0)))),"Dienst")),HYPERLINK("#"&amp;RIGHT(CELL("adresse",OFFSET(DMAV_Modell!$N$6,B354-1,0)),LEN(CELL("adresse",OFFSET(DMAV_Modell!$N$6,B354-1,0)))-FIND("]",CELL("adresse",OFFSET(DMAV_Modell!$N$6,B354-1,0)))),"Modell"))</f>
        <v/>
      </c>
      <c r="K354" s="61" t="str" cm="1">
        <f t="array" ref="K354">IF($B354=0,IF($E354=0,"",IF(INDEX(DMAV_Dienste!P$6:P$140,$E354)="","",INDEX(DMAV_Dienste!P$6:P$140,$E354))),IF(INDEX(DMAV_Modell!Q$6:Q$838,$B354)="","",INDEX(DMAV_Modell!Q$6:Q$838,$B354)))</f>
        <v/>
      </c>
      <c r="L354" s="62" t="str" cm="1">
        <f t="array" ref="L354">IF($B354=0,IF($E354=0,"",IF(INDEX(DMAV_Dienste!O$6:O$140,$E354)="","",INDEX(DMAV_Dienste!O$6:O$140,$E354))),IF(INDEX(DMAV_Modell!P$6:P$838,$B354)="","",INDEX(DMAV_Modell!P$6:P$838,$B354)))</f>
        <v/>
      </c>
      <c r="M354" s="62" t="str" cm="1">
        <f t="array" ref="M354">IF($B354=0,IF($E354=0,"",IF(INDEX(DMAV_Dienste!Q$6:Q$140,$E354)="","",INDEX(DMAV_Dienste!Q$6:Q$140,$E354))),IF(INDEX(DMAV_Modell!R$6:R$838,$B354)="","",INDEX(DMAV_Modell!R$6:R$838,$B354)))</f>
        <v/>
      </c>
      <c r="N354" s="62" t="str" cm="1">
        <f t="array" ref="N354">IF($B354=0,IF($E354=0,"",IF(INDEX(DMAV_Dienste!T$6:T$140,$E354)="","",INDEX(DMAV_Dienste!T$6:T$140,$E354))),IF(INDEX(DMAV_Modell!U$6:U$838,$B354)="","",INDEX(DMAV_Modell!U$6:U$838,$B354)))</f>
        <v/>
      </c>
      <c r="O354" s="63" t="str" cm="1">
        <f t="array" aca="1" ref="O354" ca="1">IF(C354=0,IF(F354=0,"",HYPERLINK("#"&amp;RIGHT(CELL("adresse",OFFSET(DMAV_Dienste!$M$6,F354-1,0)),LEN(CELL("adresse",OFFSET(DMAV_Dienste!$M$6,F354-1,0)))-FIND("]",CELL("adresse",OFFSET(DMAV_Dienste!$M$6,F354-1,0)))),"Structure")),HYPERLINK("#"&amp;RIGHT(CELL("adresse",OFFSET(DMAV_Modell!$N$6,C354-1,0)),LEN(CELL("adresse",OFFSET(DMAV_Modell!$N$6,C354-1,0)))-FIND("]",CELL("adresse",OFFSET(DMAV_Modell!$N$6,C354-1,0)))),"Structure"))</f>
        <v/>
      </c>
      <c r="P354" s="64" t="str" cm="1">
        <f t="array" aca="1" ref="P354" ca="1">IF(D354=0,IF(G354=0,"",HYPERLINK("#"&amp;RIGHT(CELL("adresse",OFFSET(DMAV_Dienste!$M$6,G354-1,0)),LEN(CELL("adresse",OFFSET(DMAV_Dienste!$M$6,G354-1,0)))-FIND("]",CELL("adresse",OFFSET(DMAV_Dienste!$M$6,G354-1,0)))),"Substructure")),HYPERLINK("#"&amp;RIGHT(CELL("adresse",OFFSET(DMAV_Modell!$N$6,D354-1,0)),LEN(CELL("adresse",OFFSET(DMAV_Modell!$N$6,D354-1,0)))-FIND("]",CELL("adresse",OFFSET(DMAV_Modell!$N$6,D354-1,0)))),"Substructure"))</f>
        <v/>
      </c>
      <c r="R354" s="80"/>
      <c r="T354" s="93" t="s">
        <v>3325</v>
      </c>
      <c r="U354" s="94" t="s">
        <v>2980</v>
      </c>
      <c r="V354" s="95" t="s">
        <v>3057</v>
      </c>
      <c r="W354" s="96" t="s">
        <v>3053</v>
      </c>
      <c r="Y354" s="85"/>
      <c r="Z354" s="86"/>
      <c r="AA354" s="87"/>
      <c r="AB354" s="88"/>
      <c r="AD354" s="77"/>
      <c r="AF354" s="54" t="str" cm="1">
        <f t="array" aca="1" ref="AF354" ca="1">IF(H354=0,"",HYPERLINK("#"&amp;RIGHT(CELL("adresse",OFFSET('DM01-AV-CH'!$G$6,H354-1,0)),LEN(CELL("adresse",OFFSET('DM01-AV-CH'!$G$6,H354-1,0)))-FIND("]",CELL("adresse",OFFSET('DM01-AV-CH'!$G$6,H354-1,0)))),"Modell"))</f>
        <v>Modell</v>
      </c>
      <c r="AG354" s="72" t="str" cm="1">
        <f t="array" ref="AG354">IF($H354=0,"",IF(INDEX('DM01-AV-CH'!G$6:G$834,$H354)="","",INDEX('DM01-AV-CH'!G$6:G$834,$H354)))</f>
        <v>Gemeindegrenzen</v>
      </c>
      <c r="AH354" s="73" t="str" cm="1">
        <f t="array" ref="AH354">IF($H354=0,"",IF(INDEX('DM01-AV-CH'!H$6:H$834,$H354)="","",INDEX('DM01-AV-CH'!H$6:H$834,$H354)))</f>
        <v>Hoheitsgrenzpunkt</v>
      </c>
      <c r="AI354" s="74" t="str" cm="1">
        <f t="array" ref="AI354">IF($H354=0,"",IF(INDEX('DM01-AV-CH'!I$6:I$834,$H354)="","",INDEX('DM01-AV-CH'!I$6:I$834,$H354)))</f>
        <v>Punktzeichen</v>
      </c>
    </row>
    <row r="355" spans="1:35" x14ac:dyDescent="0.25">
      <c r="A355" s="57">
        <v>350</v>
      </c>
      <c r="B355" s="57">
        <f>IF($A355="","",IF(_xlfn.XLOOKUP($A355,Korrelation!$D$4:$D$1197,Korrelation!E$4:E$1197,"-",0)="-",0,MATCH(_xlfn.XLOOKUP($A355,Korrelation!$D$4:$D$1197,Korrelation!E$4:E$1197,"",0),DMAV_Modell!$G$6:$G$677,0)))</f>
        <v>0</v>
      </c>
      <c r="C355" s="57">
        <f>IF($A355="","",IF(_xlfn.XLOOKUP($A355,Korrelation!$D$4:$D$1197,Korrelation!F$4:F$1197,"-",0)="-",0,MATCH(_xlfn.XLOOKUP($A355,Korrelation!$D$4:$D$1197,Korrelation!F$4:F$1197,"",0),DMAV_Modell!$G$6:$G$677,0)))</f>
        <v>0</v>
      </c>
      <c r="D355" s="57">
        <f>IF($A355="","",IF(_xlfn.XLOOKUP($A355,Korrelation!$D$4:$D$1197,Korrelation!G$4:G$1197,"-",0)="-",0,MATCH(_xlfn.XLOOKUP($A355,Korrelation!$D$4:$D$1197,Korrelation!G$4:G$1197,"",0),DMAV_Modell!$G$6:$G$677,0)))</f>
        <v>0</v>
      </c>
      <c r="E355" s="57">
        <f>IF($A355="","",IF(_xlfn.XLOOKUP($A355,Korrelation!$D$4:$D$1197,Korrelation!H$4:H$1197,"-",0)="-",0,MATCH(_xlfn.XLOOKUP($A355,Korrelation!$D$4:$D$1197,Korrelation!H$4:H$1197,"",0),DMAV_Dienste!$F$6:$F$140,0)))</f>
        <v>0</v>
      </c>
      <c r="F355" s="57">
        <f>IF($A355="","",IF(_xlfn.XLOOKUP($A355,Korrelation!$D$4:$D$1197,Korrelation!I$4:I$1197,"-",0)="-",0,MATCH(_xlfn.XLOOKUP($A355,Korrelation!$D$4:$D$1197,Korrelation!I$4:I$1197,"",0),DMAV_Dienste!$F$6:$F$140,0)))</f>
        <v>0</v>
      </c>
      <c r="G355" s="57">
        <f>IF($A355="","",IF(_xlfn.XLOOKUP($A355,Korrelation!$D$4:$D$1197,Korrelation!J$4:J$1197,"-",0)="-",0,MATCH(_xlfn.XLOOKUP($A355,Korrelation!$D$4:$D$1197,Korrelation!J$4:J$1197,"",0),DMAV_Dienste!$F$6:$F$140,0)))</f>
        <v>0</v>
      </c>
      <c r="H355" s="57">
        <f>IF($A355="","",IF(_xlfn.XLOOKUP($A355,Korrelation!$D$4:$D$1197,Korrelation!K$4:K$1197,"-",0)="-",0,MATCH(_xlfn.XLOOKUP($A355,Korrelation!$D$4:$D$1197,Korrelation!K$4:K$1197,"",0),'DM01-AV-CH'!$A$6:$A$834,0)))</f>
        <v>602</v>
      </c>
      <c r="J355" s="54" t="str" cm="1">
        <f t="array" aca="1" ref="J355" ca="1">IF(B355=0,IF(E355=0,"",HYPERLINK("#"&amp;RIGHT(CELL("adresse",OFFSET(DMAV_Dienste!$M$6,E355-1,0)),LEN(CELL("adresse",OFFSET(DMAV_Dienste!$M$6,E355-1,0)))-FIND("]",CELL("adresse",OFFSET(DMAV_Dienste!$M$6,E355-1,0)))),"Dienst")),HYPERLINK("#"&amp;RIGHT(CELL("adresse",OFFSET(DMAV_Modell!$N$6,B355-1,0)),LEN(CELL("adresse",OFFSET(DMAV_Modell!$N$6,B355-1,0)))-FIND("]",CELL("adresse",OFFSET(DMAV_Modell!$N$6,B355-1,0)))),"Modell"))</f>
        <v/>
      </c>
      <c r="K355" s="61" t="str" cm="1">
        <f t="array" ref="K355">IF($B355=0,IF($E355=0,"",IF(INDEX(DMAV_Dienste!P$6:P$140,$E355)="","",INDEX(DMAV_Dienste!P$6:P$140,$E355))),IF(INDEX(DMAV_Modell!Q$6:Q$838,$B355)="","",INDEX(DMAV_Modell!Q$6:Q$838,$B355)))</f>
        <v/>
      </c>
      <c r="L355" s="62" t="str" cm="1">
        <f t="array" ref="L355">IF($B355=0,IF($E355=0,"",IF(INDEX(DMAV_Dienste!O$6:O$140,$E355)="","",INDEX(DMAV_Dienste!O$6:O$140,$E355))),IF(INDEX(DMAV_Modell!P$6:P$838,$B355)="","",INDEX(DMAV_Modell!P$6:P$838,$B355)))</f>
        <v/>
      </c>
      <c r="M355" s="62" t="str" cm="1">
        <f t="array" ref="M355">IF($B355=0,IF($E355=0,"",IF(INDEX(DMAV_Dienste!Q$6:Q$140,$E355)="","",INDEX(DMAV_Dienste!Q$6:Q$140,$E355))),IF(INDEX(DMAV_Modell!R$6:R$838,$B355)="","",INDEX(DMAV_Modell!R$6:R$838,$B355)))</f>
        <v/>
      </c>
      <c r="N355" s="62" t="str" cm="1">
        <f t="array" ref="N355">IF($B355=0,IF($E355=0,"",IF(INDEX(DMAV_Dienste!T$6:T$140,$E355)="","",INDEX(DMAV_Dienste!T$6:T$140,$E355))),IF(INDEX(DMAV_Modell!U$6:U$838,$B355)="","",INDEX(DMAV_Modell!U$6:U$838,$B355)))</f>
        <v/>
      </c>
      <c r="O355" s="63" t="str" cm="1">
        <f t="array" aca="1" ref="O355" ca="1">IF(C355=0,IF(F355=0,"",HYPERLINK("#"&amp;RIGHT(CELL("adresse",OFFSET(DMAV_Dienste!$M$6,F355-1,0)),LEN(CELL("adresse",OFFSET(DMAV_Dienste!$M$6,F355-1,0)))-FIND("]",CELL("adresse",OFFSET(DMAV_Dienste!$M$6,F355-1,0)))),"Structure")),HYPERLINK("#"&amp;RIGHT(CELL("adresse",OFFSET(DMAV_Modell!$N$6,C355-1,0)),LEN(CELL("adresse",OFFSET(DMAV_Modell!$N$6,C355-1,0)))-FIND("]",CELL("adresse",OFFSET(DMAV_Modell!$N$6,C355-1,0)))),"Structure"))</f>
        <v/>
      </c>
      <c r="P355" s="64" t="str" cm="1">
        <f t="array" aca="1" ref="P355" ca="1">IF(D355=0,IF(G355=0,"",HYPERLINK("#"&amp;RIGHT(CELL("adresse",OFFSET(DMAV_Dienste!$M$6,G355-1,0)),LEN(CELL("adresse",OFFSET(DMAV_Dienste!$M$6,G355-1,0)))-FIND("]",CELL("adresse",OFFSET(DMAV_Dienste!$M$6,G355-1,0)))),"Substructure")),HYPERLINK("#"&amp;RIGHT(CELL("adresse",OFFSET(DMAV_Modell!$N$6,D355-1,0)),LEN(CELL("adresse",OFFSET(DMAV_Modell!$N$6,D355-1,0)))-FIND("]",CELL("adresse",OFFSET(DMAV_Modell!$N$6,D355-1,0)))),"Substructure"))</f>
        <v/>
      </c>
      <c r="R355" s="80"/>
      <c r="T355" s="93"/>
      <c r="U355" s="94"/>
      <c r="V355" s="95"/>
      <c r="W355" s="96"/>
      <c r="Y355" s="85"/>
      <c r="Z355" s="86"/>
      <c r="AA355" s="87"/>
      <c r="AB355" s="88"/>
      <c r="AD355" s="77"/>
      <c r="AF355" s="54" t="str" cm="1">
        <f t="array" aca="1" ref="AF355" ca="1">IF(H355=0,"",HYPERLINK("#"&amp;RIGHT(CELL("adresse",OFFSET('DM01-AV-CH'!$G$6,H355-1,0)),LEN(CELL("adresse",OFFSET('DM01-AV-CH'!$G$6,H355-1,0)))-FIND("]",CELL("adresse",OFFSET('DM01-AV-CH'!$G$6,H355-1,0)))),"Modell"))</f>
        <v>Modell</v>
      </c>
      <c r="AG355" s="72" t="str" cm="1">
        <f t="array" ref="AG355">IF($H355=0,"",IF(INDEX('DM01-AV-CH'!G$6:G$834,$H355)="","",INDEX('DM01-AV-CH'!G$6:G$834,$H355)))</f>
        <v>Gemeindegrenzen</v>
      </c>
      <c r="AH355" s="73" t="str" cm="1">
        <f t="array" ref="AH355">IF($H355=0,"",IF(INDEX('DM01-AV-CH'!H$6:H$834,$H355)="","",INDEX('DM01-AV-CH'!H$6:H$834,$H355)))</f>
        <v>Hoheitsgrenzpunkt</v>
      </c>
      <c r="AI355" s="74" t="str" cm="1">
        <f t="array" ref="AI355">IF($H355=0,"",IF(INDEX('DM01-AV-CH'!I$6:I$834,$H355)="","",INDEX('DM01-AV-CH'!I$6:I$834,$H355)))</f>
        <v>Hoheitsgrenzstein</v>
      </c>
    </row>
    <row r="356" spans="1:35" ht="28.5" x14ac:dyDescent="0.25">
      <c r="A356" s="57">
        <v>351</v>
      </c>
      <c r="B356" s="57">
        <f>IF($A356="","",IF(_xlfn.XLOOKUP($A356,Korrelation!$D$4:$D$1197,Korrelation!E$4:E$1197,"-",0)="-",0,MATCH(_xlfn.XLOOKUP($A356,Korrelation!$D$4:$D$1197,Korrelation!E$4:E$1197,"",0),DMAV_Modell!$G$6:$G$677,0)))</f>
        <v>0</v>
      </c>
      <c r="C356" s="57">
        <f>IF($A356="","",IF(_xlfn.XLOOKUP($A356,Korrelation!$D$4:$D$1197,Korrelation!F$4:F$1197,"-",0)="-",0,MATCH(_xlfn.XLOOKUP($A356,Korrelation!$D$4:$D$1197,Korrelation!F$4:F$1197,"",0),DMAV_Modell!$G$6:$G$677,0)))</f>
        <v>0</v>
      </c>
      <c r="D356" s="57">
        <f>IF($A356="","",IF(_xlfn.XLOOKUP($A356,Korrelation!$D$4:$D$1197,Korrelation!G$4:G$1197,"-",0)="-",0,MATCH(_xlfn.XLOOKUP($A356,Korrelation!$D$4:$D$1197,Korrelation!G$4:G$1197,"",0),DMAV_Modell!$G$6:$G$677,0)))</f>
        <v>0</v>
      </c>
      <c r="E356" s="57">
        <f>IF($A356="","",IF(_xlfn.XLOOKUP($A356,Korrelation!$D$4:$D$1197,Korrelation!H$4:H$1197,"-",0)="-",0,MATCH(_xlfn.XLOOKUP($A356,Korrelation!$D$4:$D$1197,Korrelation!H$4:H$1197,"",0),DMAV_Dienste!$F$6:$F$140,0)))</f>
        <v>0</v>
      </c>
      <c r="F356" s="57">
        <f>IF($A356="","",IF(_xlfn.XLOOKUP($A356,Korrelation!$D$4:$D$1197,Korrelation!I$4:I$1197,"-",0)="-",0,MATCH(_xlfn.XLOOKUP($A356,Korrelation!$D$4:$D$1197,Korrelation!I$4:I$1197,"",0),DMAV_Dienste!$F$6:$F$140,0)))</f>
        <v>0</v>
      </c>
      <c r="G356" s="57">
        <f>IF($A356="","",IF(_xlfn.XLOOKUP($A356,Korrelation!$D$4:$D$1197,Korrelation!J$4:J$1197,"-",0)="-",0,MATCH(_xlfn.XLOOKUP($A356,Korrelation!$D$4:$D$1197,Korrelation!J$4:J$1197,"",0),DMAV_Dienste!$F$6:$F$140,0)))</f>
        <v>0</v>
      </c>
      <c r="H356" s="57">
        <f>IF($A356="","",IF(_xlfn.XLOOKUP($A356,Korrelation!$D$4:$D$1197,Korrelation!K$4:K$1197,"-",0)="-",0,MATCH(_xlfn.XLOOKUP($A356,Korrelation!$D$4:$D$1197,Korrelation!K$4:K$1197,"",0),'DM01-AV-CH'!$A$6:$A$834,0)))</f>
        <v>603</v>
      </c>
      <c r="J356" s="54" t="str" cm="1">
        <f t="array" aca="1" ref="J356" ca="1">IF(B356=0,IF(E356=0,"",HYPERLINK("#"&amp;RIGHT(CELL("adresse",OFFSET(DMAV_Dienste!$M$6,E356-1,0)),LEN(CELL("adresse",OFFSET(DMAV_Dienste!$M$6,E356-1,0)))-FIND("]",CELL("adresse",OFFSET(DMAV_Dienste!$M$6,E356-1,0)))),"Dienst")),HYPERLINK("#"&amp;RIGHT(CELL("adresse",OFFSET(DMAV_Modell!$N$6,B356-1,0)),LEN(CELL("adresse",OFFSET(DMAV_Modell!$N$6,B356-1,0)))-FIND("]",CELL("adresse",OFFSET(DMAV_Modell!$N$6,B356-1,0)))),"Modell"))</f>
        <v/>
      </c>
      <c r="K356" s="61" t="str" cm="1">
        <f t="array" ref="K356">IF($B356=0,IF($E356=0,"",IF(INDEX(DMAV_Dienste!P$6:P$140,$E356)="","",INDEX(DMAV_Dienste!P$6:P$140,$E356))),IF(INDEX(DMAV_Modell!Q$6:Q$838,$B356)="","",INDEX(DMAV_Modell!Q$6:Q$838,$B356)))</f>
        <v/>
      </c>
      <c r="L356" s="62" t="str" cm="1">
        <f t="array" ref="L356">IF($B356=0,IF($E356=0,"",IF(INDEX(DMAV_Dienste!O$6:O$140,$E356)="","",INDEX(DMAV_Dienste!O$6:O$140,$E356))),IF(INDEX(DMAV_Modell!P$6:P$838,$B356)="","",INDEX(DMAV_Modell!P$6:P$838,$B356)))</f>
        <v/>
      </c>
      <c r="M356" s="62" t="str" cm="1">
        <f t="array" ref="M356">IF($B356=0,IF($E356=0,"",IF(INDEX(DMAV_Dienste!Q$6:Q$140,$E356)="","",INDEX(DMAV_Dienste!Q$6:Q$140,$E356))),IF(INDEX(DMAV_Modell!R$6:R$838,$B356)="","",INDEX(DMAV_Modell!R$6:R$838,$B356)))</f>
        <v/>
      </c>
      <c r="N356" s="62" t="str" cm="1">
        <f t="array" ref="N356">IF($B356=0,IF($E356=0,"",IF(INDEX(DMAV_Dienste!T$6:T$140,$E356)="","",INDEX(DMAV_Dienste!T$6:T$140,$E356))),IF(INDEX(DMAV_Modell!U$6:U$838,$B356)="","",INDEX(DMAV_Modell!U$6:U$838,$B356)))</f>
        <v/>
      </c>
      <c r="O356" s="63" t="str" cm="1">
        <f t="array" aca="1" ref="O356" ca="1">IF(C356=0,IF(F356=0,"",HYPERLINK("#"&amp;RIGHT(CELL("adresse",OFFSET(DMAV_Dienste!$M$6,F356-1,0)),LEN(CELL("adresse",OFFSET(DMAV_Dienste!$M$6,F356-1,0)))-FIND("]",CELL("adresse",OFFSET(DMAV_Dienste!$M$6,F356-1,0)))),"Structure")),HYPERLINK("#"&amp;RIGHT(CELL("adresse",OFFSET(DMAV_Modell!$N$6,C356-1,0)),LEN(CELL("adresse",OFFSET(DMAV_Modell!$N$6,C356-1,0)))-FIND("]",CELL("adresse",OFFSET(DMAV_Modell!$N$6,C356-1,0)))),"Structure"))</f>
        <v/>
      </c>
      <c r="P356" s="64" t="str" cm="1">
        <f t="array" aca="1" ref="P356" ca="1">IF(D356=0,IF(G356=0,"",HYPERLINK("#"&amp;RIGHT(CELL("adresse",OFFSET(DMAV_Dienste!$M$6,G356-1,0)),LEN(CELL("adresse",OFFSET(DMAV_Dienste!$M$6,G356-1,0)))-FIND("]",CELL("adresse",OFFSET(DMAV_Dienste!$M$6,G356-1,0)))),"Substructure")),HYPERLINK("#"&amp;RIGHT(CELL("adresse",OFFSET(DMAV_Modell!$N$6,D356-1,0)),LEN(CELL("adresse",OFFSET(DMAV_Modell!$N$6,D356-1,0)))-FIND("]",CELL("adresse",OFFSET(DMAV_Modell!$N$6,D356-1,0)))),"Substructure"))</f>
        <v/>
      </c>
      <c r="R356" s="80" t="s">
        <v>3062</v>
      </c>
      <c r="T356" s="93" t="s">
        <v>3101</v>
      </c>
      <c r="U356" s="94" t="s">
        <v>2980</v>
      </c>
      <c r="V356" s="95" t="s">
        <v>3058</v>
      </c>
      <c r="W356" s="96" t="s">
        <v>3059</v>
      </c>
      <c r="Y356" s="85"/>
      <c r="Z356" s="86"/>
      <c r="AA356" s="87"/>
      <c r="AB356" s="88"/>
      <c r="AD356" s="77"/>
      <c r="AF356" s="54" t="str" cm="1">
        <f t="array" aca="1" ref="AF356" ca="1">IF(H356=0,"",HYPERLINK("#"&amp;RIGHT(CELL("adresse",OFFSET('DM01-AV-CH'!$G$6,H356-1,0)),LEN(CELL("adresse",OFFSET('DM01-AV-CH'!$G$6,H356-1,0)))-FIND("]",CELL("adresse",OFFSET('DM01-AV-CH'!$G$6,H356-1,0)))),"Modell"))</f>
        <v>Modell</v>
      </c>
      <c r="AG356" s="72" t="str" cm="1">
        <f t="array" ref="AG356">IF($H356=0,"",IF(INDEX('DM01-AV-CH'!G$6:G$834,$H356)="","",INDEX('DM01-AV-CH'!G$6:G$834,$H356)))</f>
        <v>Gemeindegrenzen</v>
      </c>
      <c r="AH356" s="73" t="str" cm="1">
        <f t="array" ref="AH356">IF($H356=0,"",IF(INDEX('DM01-AV-CH'!H$6:H$834,$H356)="","",INDEX('DM01-AV-CH'!H$6:H$834,$H356)))</f>
        <v>Hoheitsgrenzpunkt</v>
      </c>
      <c r="AI356" s="74" t="str" cm="1">
        <f t="array" ref="AI356">IF($H356=0,"",IF(INDEX('DM01-AV-CH'!I$6:I$834,$H356)="","",INDEX('DM01-AV-CH'!I$6:I$834,$H356)))</f>
        <v>ExaktDefiniert</v>
      </c>
    </row>
    <row r="357" spans="1:35" ht="28.5" x14ac:dyDescent="0.25">
      <c r="A357" s="57">
        <v>352</v>
      </c>
      <c r="B357" s="57">
        <f>IF($A357="","",IF(_xlfn.XLOOKUP($A357,Korrelation!$D$4:$D$1197,Korrelation!E$4:E$1197,"-",0)="-",0,MATCH(_xlfn.XLOOKUP($A357,Korrelation!$D$4:$D$1197,Korrelation!E$4:E$1197,"",0),DMAV_Modell!$G$6:$G$677,0)))</f>
        <v>0</v>
      </c>
      <c r="C357" s="57">
        <f>IF($A357="","",IF(_xlfn.XLOOKUP($A357,Korrelation!$D$4:$D$1197,Korrelation!F$4:F$1197,"-",0)="-",0,MATCH(_xlfn.XLOOKUP($A357,Korrelation!$D$4:$D$1197,Korrelation!F$4:F$1197,"",0),DMAV_Modell!$G$6:$G$677,0)))</f>
        <v>0</v>
      </c>
      <c r="D357" s="57">
        <f>IF($A357="","",IF(_xlfn.XLOOKUP($A357,Korrelation!$D$4:$D$1197,Korrelation!G$4:G$1197,"-",0)="-",0,MATCH(_xlfn.XLOOKUP($A357,Korrelation!$D$4:$D$1197,Korrelation!G$4:G$1197,"",0),DMAV_Modell!$G$6:$G$677,0)))</f>
        <v>0</v>
      </c>
      <c r="E357" s="57">
        <f>IF($A357="","",IF(_xlfn.XLOOKUP($A357,Korrelation!$D$4:$D$1197,Korrelation!H$4:H$1197,"-",0)="-",0,MATCH(_xlfn.XLOOKUP($A357,Korrelation!$D$4:$D$1197,Korrelation!H$4:H$1197,"",0),DMAV_Dienste!$F$6:$F$140,0)))</f>
        <v>0</v>
      </c>
      <c r="F357" s="57">
        <f>IF($A357="","",IF(_xlfn.XLOOKUP($A357,Korrelation!$D$4:$D$1197,Korrelation!I$4:I$1197,"-",0)="-",0,MATCH(_xlfn.XLOOKUP($A357,Korrelation!$D$4:$D$1197,Korrelation!I$4:I$1197,"",0),DMAV_Dienste!$F$6:$F$140,0)))</f>
        <v>0</v>
      </c>
      <c r="G357" s="57">
        <f>IF($A357="","",IF(_xlfn.XLOOKUP($A357,Korrelation!$D$4:$D$1197,Korrelation!J$4:J$1197,"-",0)="-",0,MATCH(_xlfn.XLOOKUP($A357,Korrelation!$D$4:$D$1197,Korrelation!J$4:J$1197,"",0),DMAV_Dienste!$F$6:$F$140,0)))</f>
        <v>0</v>
      </c>
      <c r="H357" s="57">
        <f>IF($A357="","",IF(_xlfn.XLOOKUP($A357,Korrelation!$D$4:$D$1197,Korrelation!K$4:K$1197,"-",0)="-",0,MATCH(_xlfn.XLOOKUP($A357,Korrelation!$D$4:$D$1197,Korrelation!K$4:K$1197,"",0),'DM01-AV-CH'!$A$6:$A$834,0)))</f>
        <v>604</v>
      </c>
      <c r="J357" s="54" t="str" cm="1">
        <f t="array" aca="1" ref="J357" ca="1">IF(B357=0,IF(E357=0,"",HYPERLINK("#"&amp;RIGHT(CELL("adresse",OFFSET(DMAV_Dienste!$M$6,E357-1,0)),LEN(CELL("adresse",OFFSET(DMAV_Dienste!$M$6,E357-1,0)))-FIND("]",CELL("adresse",OFFSET(DMAV_Dienste!$M$6,E357-1,0)))),"Dienst")),HYPERLINK("#"&amp;RIGHT(CELL("adresse",OFFSET(DMAV_Modell!$N$6,B357-1,0)),LEN(CELL("adresse",OFFSET(DMAV_Modell!$N$6,B357-1,0)))-FIND("]",CELL("adresse",OFFSET(DMAV_Modell!$N$6,B357-1,0)))),"Modell"))</f>
        <v/>
      </c>
      <c r="K357" s="61" t="str" cm="1">
        <f t="array" ref="K357">IF($B357=0,IF($E357=0,"",IF(INDEX(DMAV_Dienste!P$6:P$140,$E357)="","",INDEX(DMAV_Dienste!P$6:P$140,$E357))),IF(INDEX(DMAV_Modell!Q$6:Q$838,$B357)="","",INDEX(DMAV_Modell!Q$6:Q$838,$B357)))</f>
        <v/>
      </c>
      <c r="L357" s="62" t="str" cm="1">
        <f t="array" ref="L357">IF($B357=0,IF($E357=0,"",IF(INDEX(DMAV_Dienste!O$6:O$140,$E357)="","",INDEX(DMAV_Dienste!O$6:O$140,$E357))),IF(INDEX(DMAV_Modell!P$6:P$838,$B357)="","",INDEX(DMAV_Modell!P$6:P$838,$B357)))</f>
        <v/>
      </c>
      <c r="M357" s="62" t="str" cm="1">
        <f t="array" ref="M357">IF($B357=0,IF($E357=0,"",IF(INDEX(DMAV_Dienste!Q$6:Q$140,$E357)="","",INDEX(DMAV_Dienste!Q$6:Q$140,$E357))),IF(INDEX(DMAV_Modell!R$6:R$838,$B357)="","",INDEX(DMAV_Modell!R$6:R$838,$B357)))</f>
        <v/>
      </c>
      <c r="N357" s="62" t="str" cm="1">
        <f t="array" ref="N357">IF($B357=0,IF($E357=0,"",IF(INDEX(DMAV_Dienste!T$6:T$140,$E357)="","",INDEX(DMAV_Dienste!T$6:T$140,$E357))),IF(INDEX(DMAV_Modell!U$6:U$838,$B357)="","",INDEX(DMAV_Modell!U$6:U$838,$B357)))</f>
        <v/>
      </c>
      <c r="O357" s="63" t="str" cm="1">
        <f t="array" aca="1" ref="O357" ca="1">IF(C357=0,IF(F357=0,"",HYPERLINK("#"&amp;RIGHT(CELL("adresse",OFFSET(DMAV_Dienste!$M$6,F357-1,0)),LEN(CELL("adresse",OFFSET(DMAV_Dienste!$M$6,F357-1,0)))-FIND("]",CELL("adresse",OFFSET(DMAV_Dienste!$M$6,F357-1,0)))),"Structure")),HYPERLINK("#"&amp;RIGHT(CELL("adresse",OFFSET(DMAV_Modell!$N$6,C357-1,0)),LEN(CELL("adresse",OFFSET(DMAV_Modell!$N$6,C357-1,0)))-FIND("]",CELL("adresse",OFFSET(DMAV_Modell!$N$6,C357-1,0)))),"Structure"))</f>
        <v/>
      </c>
      <c r="P357" s="64" t="str" cm="1">
        <f t="array" aca="1" ref="P357" ca="1">IF(D357=0,IF(G357=0,"",HYPERLINK("#"&amp;RIGHT(CELL("adresse",OFFSET(DMAV_Dienste!$M$6,G357-1,0)),LEN(CELL("adresse",OFFSET(DMAV_Dienste!$M$6,G357-1,0)))-FIND("]",CELL("adresse",OFFSET(DMAV_Dienste!$M$6,G357-1,0)))),"Substructure")),HYPERLINK("#"&amp;RIGHT(CELL("adresse",OFFSET(DMAV_Modell!$N$6,D357-1,0)),LEN(CELL("adresse",OFFSET(DMAV_Modell!$N$6,D357-1,0)))-FIND("]",CELL("adresse",OFFSET(DMAV_Modell!$N$6,D357-1,0)))),"Substructure"))</f>
        <v/>
      </c>
      <c r="R357" s="80"/>
      <c r="T357" s="93"/>
      <c r="U357" s="94"/>
      <c r="V357" s="95"/>
      <c r="W357" s="96"/>
      <c r="Y357" s="85"/>
      <c r="Z357" s="86"/>
      <c r="AA357" s="87"/>
      <c r="AB357" s="88"/>
      <c r="AD357" s="77"/>
      <c r="AF357" s="54" t="str" cm="1">
        <f t="array" aca="1" ref="AF357" ca="1">IF(H357=0,"",HYPERLINK("#"&amp;RIGHT(CELL("adresse",OFFSET('DM01-AV-CH'!$G$6,H357-1,0)),LEN(CELL("adresse",OFFSET('DM01-AV-CH'!$G$6,H357-1,0)))-FIND("]",CELL("adresse",OFFSET('DM01-AV-CH'!$G$6,H357-1,0)))),"Modell"))</f>
        <v>Modell</v>
      </c>
      <c r="AG357" s="72" t="str" cm="1">
        <f t="array" ref="AG357">IF($H357=0,"",IF(INDEX('DM01-AV-CH'!G$6:G$834,$H357)="","",INDEX('DM01-AV-CH'!G$6:G$834,$H357)))</f>
        <v>Gemeindegrenzen</v>
      </c>
      <c r="AH357" s="73" t="str" cm="1">
        <f t="array" ref="AH357">IF($H357=0,"",IF(INDEX('DM01-AV-CH'!H$6:H$834,$H357)="","",INDEX('DM01-AV-CH'!H$6:H$834,$H357)))</f>
        <v>HoheitsgrenzpunktPos</v>
      </c>
      <c r="AI357" s="74" t="str" cm="1">
        <f t="array" ref="AI357">IF($H357=0,"",IF(INDEX('DM01-AV-CH'!I$6:I$834,$H357)="","",INDEX('DM01-AV-CH'!I$6:I$834,$H357)))</f>
        <v>HoheitsgrenzpunktPos_von</v>
      </c>
    </row>
    <row r="358" spans="1:35" x14ac:dyDescent="0.25">
      <c r="A358" s="57">
        <v>353</v>
      </c>
      <c r="B358" s="57">
        <f>IF($A358="","",IF(_xlfn.XLOOKUP($A358,Korrelation!$D$4:$D$1197,Korrelation!E$4:E$1197,"-",0)="-",0,MATCH(_xlfn.XLOOKUP($A358,Korrelation!$D$4:$D$1197,Korrelation!E$4:E$1197,"",0),DMAV_Modell!$G$6:$G$677,0)))</f>
        <v>0</v>
      </c>
      <c r="C358" s="57">
        <f>IF($A358="","",IF(_xlfn.XLOOKUP($A358,Korrelation!$D$4:$D$1197,Korrelation!F$4:F$1197,"-",0)="-",0,MATCH(_xlfn.XLOOKUP($A358,Korrelation!$D$4:$D$1197,Korrelation!F$4:F$1197,"",0),DMAV_Modell!$G$6:$G$677,0)))</f>
        <v>0</v>
      </c>
      <c r="D358" s="57">
        <f>IF($A358="","",IF(_xlfn.XLOOKUP($A358,Korrelation!$D$4:$D$1197,Korrelation!G$4:G$1197,"-",0)="-",0,MATCH(_xlfn.XLOOKUP($A358,Korrelation!$D$4:$D$1197,Korrelation!G$4:G$1197,"",0),DMAV_Modell!$G$6:$G$677,0)))</f>
        <v>0</v>
      </c>
      <c r="E358" s="57">
        <f>IF($A358="","",IF(_xlfn.XLOOKUP($A358,Korrelation!$D$4:$D$1197,Korrelation!H$4:H$1197,"-",0)="-",0,MATCH(_xlfn.XLOOKUP($A358,Korrelation!$D$4:$D$1197,Korrelation!H$4:H$1197,"",0),DMAV_Dienste!$F$6:$F$140,0)))</f>
        <v>0</v>
      </c>
      <c r="F358" s="57">
        <f>IF($A358="","",IF(_xlfn.XLOOKUP($A358,Korrelation!$D$4:$D$1197,Korrelation!I$4:I$1197,"-",0)="-",0,MATCH(_xlfn.XLOOKUP($A358,Korrelation!$D$4:$D$1197,Korrelation!I$4:I$1197,"",0),DMAV_Dienste!$F$6:$F$140,0)))</f>
        <v>0</v>
      </c>
      <c r="G358" s="57">
        <f>IF($A358="","",IF(_xlfn.XLOOKUP($A358,Korrelation!$D$4:$D$1197,Korrelation!J$4:J$1197,"-",0)="-",0,MATCH(_xlfn.XLOOKUP($A358,Korrelation!$D$4:$D$1197,Korrelation!J$4:J$1197,"",0),DMAV_Dienste!$F$6:$F$140,0)))</f>
        <v>0</v>
      </c>
      <c r="H358" s="57">
        <f>IF($A358="","",IF(_xlfn.XLOOKUP($A358,Korrelation!$D$4:$D$1197,Korrelation!K$4:K$1197,"-",0)="-",0,MATCH(_xlfn.XLOOKUP($A358,Korrelation!$D$4:$D$1197,Korrelation!K$4:K$1197,"",0),'DM01-AV-CH'!$A$6:$A$834,0)))</f>
        <v>605</v>
      </c>
      <c r="J358" s="54" t="str" cm="1">
        <f t="array" aca="1" ref="J358" ca="1">IF(B358=0,IF(E358=0,"",HYPERLINK("#"&amp;RIGHT(CELL("adresse",OFFSET(DMAV_Dienste!$M$6,E358-1,0)),LEN(CELL("adresse",OFFSET(DMAV_Dienste!$M$6,E358-1,0)))-FIND("]",CELL("adresse",OFFSET(DMAV_Dienste!$M$6,E358-1,0)))),"Dienst")),HYPERLINK("#"&amp;RIGHT(CELL("adresse",OFFSET(DMAV_Modell!$N$6,B358-1,0)),LEN(CELL("adresse",OFFSET(DMAV_Modell!$N$6,B358-1,0)))-FIND("]",CELL("adresse",OFFSET(DMAV_Modell!$N$6,B358-1,0)))),"Modell"))</f>
        <v/>
      </c>
      <c r="K358" s="61" t="str" cm="1">
        <f t="array" ref="K358">IF($B358=0,IF($E358=0,"",IF(INDEX(DMAV_Dienste!P$6:P$140,$E358)="","",INDEX(DMAV_Dienste!P$6:P$140,$E358))),IF(INDEX(DMAV_Modell!Q$6:Q$838,$B358)="","",INDEX(DMAV_Modell!Q$6:Q$838,$B358)))</f>
        <v/>
      </c>
      <c r="L358" s="62" t="str" cm="1">
        <f t="array" ref="L358">IF($B358=0,IF($E358=0,"",IF(INDEX(DMAV_Dienste!O$6:O$140,$E358)="","",INDEX(DMAV_Dienste!O$6:O$140,$E358))),IF(INDEX(DMAV_Modell!P$6:P$838,$B358)="","",INDEX(DMAV_Modell!P$6:P$838,$B358)))</f>
        <v/>
      </c>
      <c r="M358" s="62" t="str" cm="1">
        <f t="array" ref="M358">IF($B358=0,IF($E358=0,"",IF(INDEX(DMAV_Dienste!Q$6:Q$140,$E358)="","",INDEX(DMAV_Dienste!Q$6:Q$140,$E358))),IF(INDEX(DMAV_Modell!R$6:R$838,$B358)="","",INDEX(DMAV_Modell!R$6:R$838,$B358)))</f>
        <v/>
      </c>
      <c r="N358" s="62" t="str" cm="1">
        <f t="array" ref="N358">IF($B358=0,IF($E358=0,"",IF(INDEX(DMAV_Dienste!T$6:T$140,$E358)="","",INDEX(DMAV_Dienste!T$6:T$140,$E358))),IF(INDEX(DMAV_Modell!U$6:U$838,$B358)="","",INDEX(DMAV_Modell!U$6:U$838,$B358)))</f>
        <v/>
      </c>
      <c r="O358" s="63" t="str" cm="1">
        <f t="array" aca="1" ref="O358" ca="1">IF(C358=0,IF(F358=0,"",HYPERLINK("#"&amp;RIGHT(CELL("adresse",OFFSET(DMAV_Dienste!$M$6,F358-1,0)),LEN(CELL("adresse",OFFSET(DMAV_Dienste!$M$6,F358-1,0)))-FIND("]",CELL("adresse",OFFSET(DMAV_Dienste!$M$6,F358-1,0)))),"Structure")),HYPERLINK("#"&amp;RIGHT(CELL("adresse",OFFSET(DMAV_Modell!$N$6,C358-1,0)),LEN(CELL("adresse",OFFSET(DMAV_Modell!$N$6,C358-1,0)))-FIND("]",CELL("adresse",OFFSET(DMAV_Modell!$N$6,C358-1,0)))),"Structure"))</f>
        <v/>
      </c>
      <c r="P358" s="64" t="str" cm="1">
        <f t="array" aca="1" ref="P358" ca="1">IF(D358=0,IF(G358=0,"",HYPERLINK("#"&amp;RIGHT(CELL("adresse",OFFSET(DMAV_Dienste!$M$6,G358-1,0)),LEN(CELL("adresse",OFFSET(DMAV_Dienste!$M$6,G358-1,0)))-FIND("]",CELL("adresse",OFFSET(DMAV_Dienste!$M$6,G358-1,0)))),"Substructure")),HYPERLINK("#"&amp;RIGHT(CELL("adresse",OFFSET(DMAV_Modell!$N$6,D358-1,0)),LEN(CELL("adresse",OFFSET(DMAV_Modell!$N$6,D358-1,0)))-FIND("]",CELL("adresse",OFFSET(DMAV_Modell!$N$6,D358-1,0)))),"Substructure"))</f>
        <v/>
      </c>
      <c r="R358" s="80"/>
      <c r="T358" s="93"/>
      <c r="U358" s="94"/>
      <c r="V358" s="95"/>
      <c r="W358" s="96"/>
      <c r="Y358" s="85"/>
      <c r="Z358" s="86"/>
      <c r="AA358" s="87"/>
      <c r="AB358" s="88"/>
      <c r="AD358" s="77"/>
      <c r="AF358" s="54" t="str" cm="1">
        <f t="array" aca="1" ref="AF358" ca="1">IF(H358=0,"",HYPERLINK("#"&amp;RIGHT(CELL("adresse",OFFSET('DM01-AV-CH'!$G$6,H358-1,0)),LEN(CELL("adresse",OFFSET('DM01-AV-CH'!$G$6,H358-1,0)))-FIND("]",CELL("adresse",OFFSET('DM01-AV-CH'!$G$6,H358-1,0)))),"Modell"))</f>
        <v>Modell</v>
      </c>
      <c r="AG358" s="72" t="str" cm="1">
        <f t="array" ref="AG358">IF($H358=0,"",IF(INDEX('DM01-AV-CH'!G$6:G$834,$H358)="","",INDEX('DM01-AV-CH'!G$6:G$834,$H358)))</f>
        <v>Gemeindegrenzen</v>
      </c>
      <c r="AH358" s="73" t="str" cm="1">
        <f t="array" ref="AH358">IF($H358=0,"",IF(INDEX('DM01-AV-CH'!H$6:H$834,$H358)="","",INDEX('DM01-AV-CH'!H$6:H$834,$H358)))</f>
        <v>HoheitsgrenzpunktPos</v>
      </c>
      <c r="AI358" s="74" t="str" cm="1">
        <f t="array" ref="AI358">IF($H358=0,"",IF(INDEX('DM01-AV-CH'!I$6:I$834,$H358)="","",INDEX('DM01-AV-CH'!I$6:I$834,$H358)))</f>
        <v>Pos</v>
      </c>
    </row>
    <row r="359" spans="1:35" x14ac:dyDescent="0.25">
      <c r="A359" s="57">
        <v>354</v>
      </c>
      <c r="B359" s="57">
        <f>IF($A359="","",IF(_xlfn.XLOOKUP($A359,Korrelation!$D$4:$D$1197,Korrelation!E$4:E$1197,"-",0)="-",0,MATCH(_xlfn.XLOOKUP($A359,Korrelation!$D$4:$D$1197,Korrelation!E$4:E$1197,"",0),DMAV_Modell!$G$6:$G$677,0)))</f>
        <v>0</v>
      </c>
      <c r="C359" s="57">
        <f>IF($A359="","",IF(_xlfn.XLOOKUP($A359,Korrelation!$D$4:$D$1197,Korrelation!F$4:F$1197,"-",0)="-",0,MATCH(_xlfn.XLOOKUP($A359,Korrelation!$D$4:$D$1197,Korrelation!F$4:F$1197,"",0),DMAV_Modell!$G$6:$G$677,0)))</f>
        <v>0</v>
      </c>
      <c r="D359" s="57">
        <f>IF($A359="","",IF(_xlfn.XLOOKUP($A359,Korrelation!$D$4:$D$1197,Korrelation!G$4:G$1197,"-",0)="-",0,MATCH(_xlfn.XLOOKUP($A359,Korrelation!$D$4:$D$1197,Korrelation!G$4:G$1197,"",0),DMAV_Modell!$G$6:$G$677,0)))</f>
        <v>0</v>
      </c>
      <c r="E359" s="57">
        <f>IF($A359="","",IF(_xlfn.XLOOKUP($A359,Korrelation!$D$4:$D$1197,Korrelation!H$4:H$1197,"-",0)="-",0,MATCH(_xlfn.XLOOKUP($A359,Korrelation!$D$4:$D$1197,Korrelation!H$4:H$1197,"",0),DMAV_Dienste!$F$6:$F$140,0)))</f>
        <v>0</v>
      </c>
      <c r="F359" s="57">
        <f>IF($A359="","",IF(_xlfn.XLOOKUP($A359,Korrelation!$D$4:$D$1197,Korrelation!I$4:I$1197,"-",0)="-",0,MATCH(_xlfn.XLOOKUP($A359,Korrelation!$D$4:$D$1197,Korrelation!I$4:I$1197,"",0),DMAV_Dienste!$F$6:$F$140,0)))</f>
        <v>0</v>
      </c>
      <c r="G359" s="57">
        <f>IF($A359="","",IF(_xlfn.XLOOKUP($A359,Korrelation!$D$4:$D$1197,Korrelation!J$4:J$1197,"-",0)="-",0,MATCH(_xlfn.XLOOKUP($A359,Korrelation!$D$4:$D$1197,Korrelation!J$4:J$1197,"",0),DMAV_Dienste!$F$6:$F$140,0)))</f>
        <v>0</v>
      </c>
      <c r="H359" s="57">
        <f>IF($A359="","",IF(_xlfn.XLOOKUP($A359,Korrelation!$D$4:$D$1197,Korrelation!K$4:K$1197,"-",0)="-",0,MATCH(_xlfn.XLOOKUP($A359,Korrelation!$D$4:$D$1197,Korrelation!K$4:K$1197,"",0),'DM01-AV-CH'!$A$6:$A$834,0)))</f>
        <v>606</v>
      </c>
      <c r="J359" s="54" t="str" cm="1">
        <f t="array" aca="1" ref="J359" ca="1">IF(B359=0,IF(E359=0,"",HYPERLINK("#"&amp;RIGHT(CELL("adresse",OFFSET(DMAV_Dienste!$M$6,E359-1,0)),LEN(CELL("adresse",OFFSET(DMAV_Dienste!$M$6,E359-1,0)))-FIND("]",CELL("adresse",OFFSET(DMAV_Dienste!$M$6,E359-1,0)))),"Dienst")),HYPERLINK("#"&amp;RIGHT(CELL("adresse",OFFSET(DMAV_Modell!$N$6,B359-1,0)),LEN(CELL("adresse",OFFSET(DMAV_Modell!$N$6,B359-1,0)))-FIND("]",CELL("adresse",OFFSET(DMAV_Modell!$N$6,B359-1,0)))),"Modell"))</f>
        <v/>
      </c>
      <c r="K359" s="61" t="str" cm="1">
        <f t="array" ref="K359">IF($B359=0,IF($E359=0,"",IF(INDEX(DMAV_Dienste!P$6:P$140,$E359)="","",INDEX(DMAV_Dienste!P$6:P$140,$E359))),IF(INDEX(DMAV_Modell!Q$6:Q$838,$B359)="","",INDEX(DMAV_Modell!Q$6:Q$838,$B359)))</f>
        <v/>
      </c>
      <c r="L359" s="62" t="str" cm="1">
        <f t="array" ref="L359">IF($B359=0,IF($E359=0,"",IF(INDEX(DMAV_Dienste!O$6:O$140,$E359)="","",INDEX(DMAV_Dienste!O$6:O$140,$E359))),IF(INDEX(DMAV_Modell!P$6:P$838,$B359)="","",INDEX(DMAV_Modell!P$6:P$838,$B359)))</f>
        <v/>
      </c>
      <c r="M359" s="62" t="str" cm="1">
        <f t="array" ref="M359">IF($B359=0,IF($E359=0,"",IF(INDEX(DMAV_Dienste!Q$6:Q$140,$E359)="","",INDEX(DMAV_Dienste!Q$6:Q$140,$E359))),IF(INDEX(DMAV_Modell!R$6:R$838,$B359)="","",INDEX(DMAV_Modell!R$6:R$838,$B359)))</f>
        <v/>
      </c>
      <c r="N359" s="62" t="str" cm="1">
        <f t="array" ref="N359">IF($B359=0,IF($E359=0,"",IF(INDEX(DMAV_Dienste!T$6:T$140,$E359)="","",INDEX(DMAV_Dienste!T$6:T$140,$E359))),IF(INDEX(DMAV_Modell!U$6:U$838,$B359)="","",INDEX(DMAV_Modell!U$6:U$838,$B359)))</f>
        <v/>
      </c>
      <c r="O359" s="63" t="str" cm="1">
        <f t="array" aca="1" ref="O359" ca="1">IF(C359=0,IF(F359=0,"",HYPERLINK("#"&amp;RIGHT(CELL("adresse",OFFSET(DMAV_Dienste!$M$6,F359-1,0)),LEN(CELL("adresse",OFFSET(DMAV_Dienste!$M$6,F359-1,0)))-FIND("]",CELL("adresse",OFFSET(DMAV_Dienste!$M$6,F359-1,0)))),"Structure")),HYPERLINK("#"&amp;RIGHT(CELL("adresse",OFFSET(DMAV_Modell!$N$6,C359-1,0)),LEN(CELL("adresse",OFFSET(DMAV_Modell!$N$6,C359-1,0)))-FIND("]",CELL("adresse",OFFSET(DMAV_Modell!$N$6,C359-1,0)))),"Structure"))</f>
        <v/>
      </c>
      <c r="P359" s="64" t="str" cm="1">
        <f t="array" aca="1" ref="P359" ca="1">IF(D359=0,IF(G359=0,"",HYPERLINK("#"&amp;RIGHT(CELL("adresse",OFFSET(DMAV_Dienste!$M$6,G359-1,0)),LEN(CELL("adresse",OFFSET(DMAV_Dienste!$M$6,G359-1,0)))-FIND("]",CELL("adresse",OFFSET(DMAV_Dienste!$M$6,G359-1,0)))),"Substructure")),HYPERLINK("#"&amp;RIGHT(CELL("adresse",OFFSET(DMAV_Modell!$N$6,D359-1,0)),LEN(CELL("adresse",OFFSET(DMAV_Modell!$N$6,D359-1,0)))-FIND("]",CELL("adresse",OFFSET(DMAV_Modell!$N$6,D359-1,0)))),"Substructure"))</f>
        <v/>
      </c>
      <c r="R359" s="80"/>
      <c r="T359" s="93"/>
      <c r="U359" s="94"/>
      <c r="V359" s="95"/>
      <c r="W359" s="96"/>
      <c r="Y359" s="85"/>
      <c r="Z359" s="86"/>
      <c r="AA359" s="87"/>
      <c r="AB359" s="88"/>
      <c r="AD359" s="77"/>
      <c r="AF359" s="54" t="str" cm="1">
        <f t="array" aca="1" ref="AF359" ca="1">IF(H359=0,"",HYPERLINK("#"&amp;RIGHT(CELL("adresse",OFFSET('DM01-AV-CH'!$G$6,H359-1,0)),LEN(CELL("adresse",OFFSET('DM01-AV-CH'!$G$6,H359-1,0)))-FIND("]",CELL("adresse",OFFSET('DM01-AV-CH'!$G$6,H359-1,0)))),"Modell"))</f>
        <v>Modell</v>
      </c>
      <c r="AG359" s="72" t="str" cm="1">
        <f t="array" ref="AG359">IF($H359=0,"",IF(INDEX('DM01-AV-CH'!G$6:G$834,$H359)="","",INDEX('DM01-AV-CH'!G$6:G$834,$H359)))</f>
        <v>Gemeindegrenzen</v>
      </c>
      <c r="AH359" s="73" t="str" cm="1">
        <f t="array" ref="AH359">IF($H359=0,"",IF(INDEX('DM01-AV-CH'!H$6:H$834,$H359)="","",INDEX('DM01-AV-CH'!H$6:H$834,$H359)))</f>
        <v>HoheitsgrenzpunktPos</v>
      </c>
      <c r="AI359" s="74" t="str" cm="1">
        <f t="array" ref="AI359">IF($H359=0,"",IF(INDEX('DM01-AV-CH'!I$6:I$834,$H359)="","",INDEX('DM01-AV-CH'!I$6:I$834,$H359)))</f>
        <v>Ori</v>
      </c>
    </row>
    <row r="360" spans="1:35" x14ac:dyDescent="0.25">
      <c r="A360" s="57">
        <v>355</v>
      </c>
      <c r="B360" s="57">
        <f>IF($A360="","",IF(_xlfn.XLOOKUP($A360,Korrelation!$D$4:$D$1197,Korrelation!E$4:E$1197,"-",0)="-",0,MATCH(_xlfn.XLOOKUP($A360,Korrelation!$D$4:$D$1197,Korrelation!E$4:E$1197,"",0),DMAV_Modell!$G$6:$G$677,0)))</f>
        <v>0</v>
      </c>
      <c r="C360" s="57">
        <f>IF($A360="","",IF(_xlfn.XLOOKUP($A360,Korrelation!$D$4:$D$1197,Korrelation!F$4:F$1197,"-",0)="-",0,MATCH(_xlfn.XLOOKUP($A360,Korrelation!$D$4:$D$1197,Korrelation!F$4:F$1197,"",0),DMAV_Modell!$G$6:$G$677,0)))</f>
        <v>0</v>
      </c>
      <c r="D360" s="57">
        <f>IF($A360="","",IF(_xlfn.XLOOKUP($A360,Korrelation!$D$4:$D$1197,Korrelation!G$4:G$1197,"-",0)="-",0,MATCH(_xlfn.XLOOKUP($A360,Korrelation!$D$4:$D$1197,Korrelation!G$4:G$1197,"",0),DMAV_Modell!$G$6:$G$677,0)))</f>
        <v>0</v>
      </c>
      <c r="E360" s="57">
        <f>IF($A360="","",IF(_xlfn.XLOOKUP($A360,Korrelation!$D$4:$D$1197,Korrelation!H$4:H$1197,"-",0)="-",0,MATCH(_xlfn.XLOOKUP($A360,Korrelation!$D$4:$D$1197,Korrelation!H$4:H$1197,"",0),DMAV_Dienste!$F$6:$F$140,0)))</f>
        <v>0</v>
      </c>
      <c r="F360" s="57">
        <f>IF($A360="","",IF(_xlfn.XLOOKUP($A360,Korrelation!$D$4:$D$1197,Korrelation!I$4:I$1197,"-",0)="-",0,MATCH(_xlfn.XLOOKUP($A360,Korrelation!$D$4:$D$1197,Korrelation!I$4:I$1197,"",0),DMAV_Dienste!$F$6:$F$140,0)))</f>
        <v>0</v>
      </c>
      <c r="G360" s="57">
        <f>IF($A360="","",IF(_xlfn.XLOOKUP($A360,Korrelation!$D$4:$D$1197,Korrelation!J$4:J$1197,"-",0)="-",0,MATCH(_xlfn.XLOOKUP($A360,Korrelation!$D$4:$D$1197,Korrelation!J$4:J$1197,"",0),DMAV_Dienste!$F$6:$F$140,0)))</f>
        <v>0</v>
      </c>
      <c r="H360" s="57">
        <f>IF($A360="","",IF(_xlfn.XLOOKUP($A360,Korrelation!$D$4:$D$1197,Korrelation!K$4:K$1197,"-",0)="-",0,MATCH(_xlfn.XLOOKUP($A360,Korrelation!$D$4:$D$1197,Korrelation!K$4:K$1197,"",0),'DM01-AV-CH'!$A$6:$A$834,0)))</f>
        <v>607</v>
      </c>
      <c r="J360" s="54" t="str" cm="1">
        <f t="array" aca="1" ref="J360" ca="1">IF(B360=0,IF(E360=0,"",HYPERLINK("#"&amp;RIGHT(CELL("adresse",OFFSET(DMAV_Dienste!$M$6,E360-1,0)),LEN(CELL("adresse",OFFSET(DMAV_Dienste!$M$6,E360-1,0)))-FIND("]",CELL("adresse",OFFSET(DMAV_Dienste!$M$6,E360-1,0)))),"Dienst")),HYPERLINK("#"&amp;RIGHT(CELL("adresse",OFFSET(DMAV_Modell!$N$6,B360-1,0)),LEN(CELL("adresse",OFFSET(DMAV_Modell!$N$6,B360-1,0)))-FIND("]",CELL("adresse",OFFSET(DMAV_Modell!$N$6,B360-1,0)))),"Modell"))</f>
        <v/>
      </c>
      <c r="K360" s="61" t="str" cm="1">
        <f t="array" ref="K360">IF($B360=0,IF($E360=0,"",IF(INDEX(DMAV_Dienste!P$6:P$140,$E360)="","",INDEX(DMAV_Dienste!P$6:P$140,$E360))),IF(INDEX(DMAV_Modell!Q$6:Q$838,$B360)="","",INDEX(DMAV_Modell!Q$6:Q$838,$B360)))</f>
        <v/>
      </c>
      <c r="L360" s="62" t="str" cm="1">
        <f t="array" ref="L360">IF($B360=0,IF($E360=0,"",IF(INDEX(DMAV_Dienste!O$6:O$140,$E360)="","",INDEX(DMAV_Dienste!O$6:O$140,$E360))),IF(INDEX(DMAV_Modell!P$6:P$838,$B360)="","",INDEX(DMAV_Modell!P$6:P$838,$B360)))</f>
        <v/>
      </c>
      <c r="M360" s="62" t="str" cm="1">
        <f t="array" ref="M360">IF($B360=0,IF($E360=0,"",IF(INDEX(DMAV_Dienste!Q$6:Q$140,$E360)="","",INDEX(DMAV_Dienste!Q$6:Q$140,$E360))),IF(INDEX(DMAV_Modell!R$6:R$838,$B360)="","",INDEX(DMAV_Modell!R$6:R$838,$B360)))</f>
        <v/>
      </c>
      <c r="N360" s="62" t="str" cm="1">
        <f t="array" ref="N360">IF($B360=0,IF($E360=0,"",IF(INDEX(DMAV_Dienste!T$6:T$140,$E360)="","",INDEX(DMAV_Dienste!T$6:T$140,$E360))),IF(INDEX(DMAV_Modell!U$6:U$838,$B360)="","",INDEX(DMAV_Modell!U$6:U$838,$B360)))</f>
        <v/>
      </c>
      <c r="O360" s="63" t="str" cm="1">
        <f t="array" aca="1" ref="O360" ca="1">IF(C360=0,IF(F360=0,"",HYPERLINK("#"&amp;RIGHT(CELL("adresse",OFFSET(DMAV_Dienste!$M$6,F360-1,0)),LEN(CELL("adresse",OFFSET(DMAV_Dienste!$M$6,F360-1,0)))-FIND("]",CELL("adresse",OFFSET(DMAV_Dienste!$M$6,F360-1,0)))),"Structure")),HYPERLINK("#"&amp;RIGHT(CELL("adresse",OFFSET(DMAV_Modell!$N$6,C360-1,0)),LEN(CELL("adresse",OFFSET(DMAV_Modell!$N$6,C360-1,0)))-FIND("]",CELL("adresse",OFFSET(DMAV_Modell!$N$6,C360-1,0)))),"Structure"))</f>
        <v/>
      </c>
      <c r="P360" s="64" t="str" cm="1">
        <f t="array" aca="1" ref="P360" ca="1">IF(D360=0,IF(G360=0,"",HYPERLINK("#"&amp;RIGHT(CELL("adresse",OFFSET(DMAV_Dienste!$M$6,G360-1,0)),LEN(CELL("adresse",OFFSET(DMAV_Dienste!$M$6,G360-1,0)))-FIND("]",CELL("adresse",OFFSET(DMAV_Dienste!$M$6,G360-1,0)))),"Substructure")),HYPERLINK("#"&amp;RIGHT(CELL("adresse",OFFSET(DMAV_Modell!$N$6,D360-1,0)),LEN(CELL("adresse",OFFSET(DMAV_Modell!$N$6,D360-1,0)))-FIND("]",CELL("adresse",OFFSET(DMAV_Modell!$N$6,D360-1,0)))),"Substructure"))</f>
        <v/>
      </c>
      <c r="R360" s="80"/>
      <c r="T360" s="93"/>
      <c r="U360" s="94"/>
      <c r="V360" s="95"/>
      <c r="W360" s="96"/>
      <c r="Y360" s="85"/>
      <c r="Z360" s="86"/>
      <c r="AA360" s="87"/>
      <c r="AB360" s="88"/>
      <c r="AD360" s="77"/>
      <c r="AF360" s="54" t="str" cm="1">
        <f t="array" aca="1" ref="AF360" ca="1">IF(H360=0,"",HYPERLINK("#"&amp;RIGHT(CELL("adresse",OFFSET('DM01-AV-CH'!$G$6,H360-1,0)),LEN(CELL("adresse",OFFSET('DM01-AV-CH'!$G$6,H360-1,0)))-FIND("]",CELL("adresse",OFFSET('DM01-AV-CH'!$G$6,H360-1,0)))),"Modell"))</f>
        <v>Modell</v>
      </c>
      <c r="AG360" s="72" t="str" cm="1">
        <f t="array" ref="AG360">IF($H360=0,"",IF(INDEX('DM01-AV-CH'!G$6:G$834,$H360)="","",INDEX('DM01-AV-CH'!G$6:G$834,$H360)))</f>
        <v>Gemeindegrenzen</v>
      </c>
      <c r="AH360" s="73" t="str" cm="1">
        <f t="array" ref="AH360">IF($H360=0,"",IF(INDEX('DM01-AV-CH'!H$6:H$834,$H360)="","",INDEX('DM01-AV-CH'!H$6:H$834,$H360)))</f>
        <v>HoheitsgrenzpunktPos</v>
      </c>
      <c r="AI360" s="74" t="str" cm="1">
        <f t="array" ref="AI360">IF($H360=0,"",IF(INDEX('DM01-AV-CH'!I$6:I$834,$H360)="","",INDEX('DM01-AV-CH'!I$6:I$834,$H360)))</f>
        <v>HAli</v>
      </c>
    </row>
    <row r="361" spans="1:35" x14ac:dyDescent="0.25">
      <c r="A361" s="57">
        <v>356</v>
      </c>
      <c r="B361" s="57">
        <f>IF($A361="","",IF(_xlfn.XLOOKUP($A361,Korrelation!$D$4:$D$1197,Korrelation!E$4:E$1197,"-",0)="-",0,MATCH(_xlfn.XLOOKUP($A361,Korrelation!$D$4:$D$1197,Korrelation!E$4:E$1197,"",0),DMAV_Modell!$G$6:$G$677,0)))</f>
        <v>0</v>
      </c>
      <c r="C361" s="57">
        <f>IF($A361="","",IF(_xlfn.XLOOKUP($A361,Korrelation!$D$4:$D$1197,Korrelation!F$4:F$1197,"-",0)="-",0,MATCH(_xlfn.XLOOKUP($A361,Korrelation!$D$4:$D$1197,Korrelation!F$4:F$1197,"",0),DMAV_Modell!$G$6:$G$677,0)))</f>
        <v>0</v>
      </c>
      <c r="D361" s="57">
        <f>IF($A361="","",IF(_xlfn.XLOOKUP($A361,Korrelation!$D$4:$D$1197,Korrelation!G$4:G$1197,"-",0)="-",0,MATCH(_xlfn.XLOOKUP($A361,Korrelation!$D$4:$D$1197,Korrelation!G$4:G$1197,"",0),DMAV_Modell!$G$6:$G$677,0)))</f>
        <v>0</v>
      </c>
      <c r="E361" s="57">
        <f>IF($A361="","",IF(_xlfn.XLOOKUP($A361,Korrelation!$D$4:$D$1197,Korrelation!H$4:H$1197,"-",0)="-",0,MATCH(_xlfn.XLOOKUP($A361,Korrelation!$D$4:$D$1197,Korrelation!H$4:H$1197,"",0),DMAV_Dienste!$F$6:$F$140,0)))</f>
        <v>0</v>
      </c>
      <c r="F361" s="57">
        <f>IF($A361="","",IF(_xlfn.XLOOKUP($A361,Korrelation!$D$4:$D$1197,Korrelation!I$4:I$1197,"-",0)="-",0,MATCH(_xlfn.XLOOKUP($A361,Korrelation!$D$4:$D$1197,Korrelation!I$4:I$1197,"",0),DMAV_Dienste!$F$6:$F$140,0)))</f>
        <v>0</v>
      </c>
      <c r="G361" s="57">
        <f>IF($A361="","",IF(_xlfn.XLOOKUP($A361,Korrelation!$D$4:$D$1197,Korrelation!J$4:J$1197,"-",0)="-",0,MATCH(_xlfn.XLOOKUP($A361,Korrelation!$D$4:$D$1197,Korrelation!J$4:J$1197,"",0),DMAV_Dienste!$F$6:$F$140,0)))</f>
        <v>0</v>
      </c>
      <c r="H361" s="57">
        <f>IF($A361="","",IF(_xlfn.XLOOKUP($A361,Korrelation!$D$4:$D$1197,Korrelation!K$4:K$1197,"-",0)="-",0,MATCH(_xlfn.XLOOKUP($A361,Korrelation!$D$4:$D$1197,Korrelation!K$4:K$1197,"",0),'DM01-AV-CH'!$A$6:$A$834,0)))</f>
        <v>608</v>
      </c>
      <c r="J361" s="54" t="str" cm="1">
        <f t="array" aca="1" ref="J361" ca="1">IF(B361=0,IF(E361=0,"",HYPERLINK("#"&amp;RIGHT(CELL("adresse",OFFSET(DMAV_Dienste!$M$6,E361-1,0)),LEN(CELL("adresse",OFFSET(DMAV_Dienste!$M$6,E361-1,0)))-FIND("]",CELL("adresse",OFFSET(DMAV_Dienste!$M$6,E361-1,0)))),"Dienst")),HYPERLINK("#"&amp;RIGHT(CELL("adresse",OFFSET(DMAV_Modell!$N$6,B361-1,0)),LEN(CELL("adresse",OFFSET(DMAV_Modell!$N$6,B361-1,0)))-FIND("]",CELL("adresse",OFFSET(DMAV_Modell!$N$6,B361-1,0)))),"Modell"))</f>
        <v/>
      </c>
      <c r="K361" s="61" t="str" cm="1">
        <f t="array" ref="K361">IF($B361=0,IF($E361=0,"",IF(INDEX(DMAV_Dienste!P$6:P$140,$E361)="","",INDEX(DMAV_Dienste!P$6:P$140,$E361))),IF(INDEX(DMAV_Modell!Q$6:Q$838,$B361)="","",INDEX(DMAV_Modell!Q$6:Q$838,$B361)))</f>
        <v/>
      </c>
      <c r="L361" s="62" t="str" cm="1">
        <f t="array" ref="L361">IF($B361=0,IF($E361=0,"",IF(INDEX(DMAV_Dienste!O$6:O$140,$E361)="","",INDEX(DMAV_Dienste!O$6:O$140,$E361))),IF(INDEX(DMAV_Modell!P$6:P$838,$B361)="","",INDEX(DMAV_Modell!P$6:P$838,$B361)))</f>
        <v/>
      </c>
      <c r="M361" s="62" t="str" cm="1">
        <f t="array" ref="M361">IF($B361=0,IF($E361=0,"",IF(INDEX(DMAV_Dienste!Q$6:Q$140,$E361)="","",INDEX(DMAV_Dienste!Q$6:Q$140,$E361))),IF(INDEX(DMAV_Modell!R$6:R$838,$B361)="","",INDEX(DMAV_Modell!R$6:R$838,$B361)))</f>
        <v/>
      </c>
      <c r="N361" s="62" t="str" cm="1">
        <f t="array" ref="N361">IF($B361=0,IF($E361=0,"",IF(INDEX(DMAV_Dienste!T$6:T$140,$E361)="","",INDEX(DMAV_Dienste!T$6:T$140,$E361))),IF(INDEX(DMAV_Modell!U$6:U$838,$B361)="","",INDEX(DMAV_Modell!U$6:U$838,$B361)))</f>
        <v/>
      </c>
      <c r="O361" s="63" t="str" cm="1">
        <f t="array" aca="1" ref="O361" ca="1">IF(C361=0,IF(F361=0,"",HYPERLINK("#"&amp;RIGHT(CELL("adresse",OFFSET(DMAV_Dienste!$M$6,F361-1,0)),LEN(CELL("adresse",OFFSET(DMAV_Dienste!$M$6,F361-1,0)))-FIND("]",CELL("adresse",OFFSET(DMAV_Dienste!$M$6,F361-1,0)))),"Structure")),HYPERLINK("#"&amp;RIGHT(CELL("adresse",OFFSET(DMAV_Modell!$N$6,C361-1,0)),LEN(CELL("adresse",OFFSET(DMAV_Modell!$N$6,C361-1,0)))-FIND("]",CELL("adresse",OFFSET(DMAV_Modell!$N$6,C361-1,0)))),"Structure"))</f>
        <v/>
      </c>
      <c r="P361" s="64" t="str" cm="1">
        <f t="array" aca="1" ref="P361" ca="1">IF(D361=0,IF(G361=0,"",HYPERLINK("#"&amp;RIGHT(CELL("adresse",OFFSET(DMAV_Dienste!$M$6,G361-1,0)),LEN(CELL("adresse",OFFSET(DMAV_Dienste!$M$6,G361-1,0)))-FIND("]",CELL("adresse",OFFSET(DMAV_Dienste!$M$6,G361-1,0)))),"Substructure")),HYPERLINK("#"&amp;RIGHT(CELL("adresse",OFFSET(DMAV_Modell!$N$6,D361-1,0)),LEN(CELL("adresse",OFFSET(DMAV_Modell!$N$6,D361-1,0)))-FIND("]",CELL("adresse",OFFSET(DMAV_Modell!$N$6,D361-1,0)))),"Substructure"))</f>
        <v/>
      </c>
      <c r="R361" s="80"/>
      <c r="T361" s="93"/>
      <c r="U361" s="94"/>
      <c r="V361" s="95"/>
      <c r="W361" s="96"/>
      <c r="Y361" s="85"/>
      <c r="Z361" s="86"/>
      <c r="AA361" s="87"/>
      <c r="AB361" s="88"/>
      <c r="AD361" s="77"/>
      <c r="AF361" s="54" t="str" cm="1">
        <f t="array" aca="1" ref="AF361" ca="1">IF(H361=0,"",HYPERLINK("#"&amp;RIGHT(CELL("adresse",OFFSET('DM01-AV-CH'!$G$6,H361-1,0)),LEN(CELL("adresse",OFFSET('DM01-AV-CH'!$G$6,H361-1,0)))-FIND("]",CELL("adresse",OFFSET('DM01-AV-CH'!$G$6,H361-1,0)))),"Modell"))</f>
        <v>Modell</v>
      </c>
      <c r="AG361" s="72" t="str" cm="1">
        <f t="array" ref="AG361">IF($H361=0,"",IF(INDEX('DM01-AV-CH'!G$6:G$834,$H361)="","",INDEX('DM01-AV-CH'!G$6:G$834,$H361)))</f>
        <v>Gemeindegrenzen</v>
      </c>
      <c r="AH361" s="73" t="str" cm="1">
        <f t="array" ref="AH361">IF($H361=0,"",IF(INDEX('DM01-AV-CH'!H$6:H$834,$H361)="","",INDEX('DM01-AV-CH'!H$6:H$834,$H361)))</f>
        <v>HoheitsgrenzpunktPos</v>
      </c>
      <c r="AI361" s="74" t="str" cm="1">
        <f t="array" ref="AI361">IF($H361=0,"",IF(INDEX('DM01-AV-CH'!I$6:I$834,$H361)="","",INDEX('DM01-AV-CH'!I$6:I$834,$H361)))</f>
        <v>VAli</v>
      </c>
    </row>
    <row r="362" spans="1:35" ht="28.5" x14ac:dyDescent="0.25">
      <c r="A362" s="57">
        <v>357</v>
      </c>
      <c r="B362" s="57">
        <f>IF($A362="","",IF(_xlfn.XLOOKUP($A362,Korrelation!$D$4:$D$1197,Korrelation!E$4:E$1197,"-",0)="-",0,MATCH(_xlfn.XLOOKUP($A362,Korrelation!$D$4:$D$1197,Korrelation!E$4:E$1197,"",0),DMAV_Modell!$G$6:$G$677,0)))</f>
        <v>0</v>
      </c>
      <c r="C362" s="57">
        <f>IF($A362="","",IF(_xlfn.XLOOKUP($A362,Korrelation!$D$4:$D$1197,Korrelation!F$4:F$1197,"-",0)="-",0,MATCH(_xlfn.XLOOKUP($A362,Korrelation!$D$4:$D$1197,Korrelation!F$4:F$1197,"",0),DMAV_Modell!$G$6:$G$677,0)))</f>
        <v>0</v>
      </c>
      <c r="D362" s="57">
        <f>IF($A362="","",IF(_xlfn.XLOOKUP($A362,Korrelation!$D$4:$D$1197,Korrelation!G$4:G$1197,"-",0)="-",0,MATCH(_xlfn.XLOOKUP($A362,Korrelation!$D$4:$D$1197,Korrelation!G$4:G$1197,"",0),DMAV_Modell!$G$6:$G$677,0)))</f>
        <v>0</v>
      </c>
      <c r="E362" s="57">
        <f>IF($A362="","",IF(_xlfn.XLOOKUP($A362,Korrelation!$D$4:$D$1197,Korrelation!H$4:H$1197,"-",0)="-",0,MATCH(_xlfn.XLOOKUP($A362,Korrelation!$D$4:$D$1197,Korrelation!H$4:H$1197,"",0),DMAV_Dienste!$F$6:$F$140,0)))</f>
        <v>0</v>
      </c>
      <c r="F362" s="57">
        <f>IF($A362="","",IF(_xlfn.XLOOKUP($A362,Korrelation!$D$4:$D$1197,Korrelation!I$4:I$1197,"-",0)="-",0,MATCH(_xlfn.XLOOKUP($A362,Korrelation!$D$4:$D$1197,Korrelation!I$4:I$1197,"",0),DMAV_Dienste!$F$6:$F$140,0)))</f>
        <v>0</v>
      </c>
      <c r="G362" s="57">
        <f>IF($A362="","",IF(_xlfn.XLOOKUP($A362,Korrelation!$D$4:$D$1197,Korrelation!J$4:J$1197,"-",0)="-",0,MATCH(_xlfn.XLOOKUP($A362,Korrelation!$D$4:$D$1197,Korrelation!J$4:J$1197,"",0),DMAV_Dienste!$F$6:$F$140,0)))</f>
        <v>0</v>
      </c>
      <c r="H362" s="57">
        <f>IF($A362="","",IF(_xlfn.XLOOKUP($A362,Korrelation!$D$4:$D$1197,Korrelation!K$4:K$1197,"-",0)="-",0,MATCH(_xlfn.XLOOKUP($A362,Korrelation!$D$4:$D$1197,Korrelation!K$4:K$1197,"",0),'DM01-AV-CH'!$A$6:$A$834,0)))</f>
        <v>609</v>
      </c>
      <c r="J362" s="54" t="str" cm="1">
        <f t="array" aca="1" ref="J362" ca="1">IF(B362=0,IF(E362=0,"",HYPERLINK("#"&amp;RIGHT(CELL("adresse",OFFSET(DMAV_Dienste!$M$6,E362-1,0)),LEN(CELL("adresse",OFFSET(DMAV_Dienste!$M$6,E362-1,0)))-FIND("]",CELL("adresse",OFFSET(DMAV_Dienste!$M$6,E362-1,0)))),"Dienst")),HYPERLINK("#"&amp;RIGHT(CELL("adresse",OFFSET(DMAV_Modell!$N$6,B362-1,0)),LEN(CELL("adresse",OFFSET(DMAV_Modell!$N$6,B362-1,0)))-FIND("]",CELL("adresse",OFFSET(DMAV_Modell!$N$6,B362-1,0)))),"Modell"))</f>
        <v/>
      </c>
      <c r="K362" s="61" t="str" cm="1">
        <f t="array" ref="K362">IF($B362=0,IF($E362=0,"",IF(INDEX(DMAV_Dienste!P$6:P$140,$E362)="","",INDEX(DMAV_Dienste!P$6:P$140,$E362))),IF(INDEX(DMAV_Modell!Q$6:Q$838,$B362)="","",INDEX(DMAV_Modell!Q$6:Q$838,$B362)))</f>
        <v/>
      </c>
      <c r="L362" s="62" t="str" cm="1">
        <f t="array" ref="L362">IF($B362=0,IF($E362=0,"",IF(INDEX(DMAV_Dienste!O$6:O$140,$E362)="","",INDEX(DMAV_Dienste!O$6:O$140,$E362))),IF(INDEX(DMAV_Modell!P$6:P$838,$B362)="","",INDEX(DMAV_Modell!P$6:P$838,$B362)))</f>
        <v/>
      </c>
      <c r="M362" s="62" t="str" cm="1">
        <f t="array" ref="M362">IF($B362=0,IF($E362=0,"",IF(INDEX(DMAV_Dienste!Q$6:Q$140,$E362)="","",INDEX(DMAV_Dienste!Q$6:Q$140,$E362))),IF(INDEX(DMAV_Modell!R$6:R$838,$B362)="","",INDEX(DMAV_Modell!R$6:R$838,$B362)))</f>
        <v/>
      </c>
      <c r="N362" s="62" t="str" cm="1">
        <f t="array" ref="N362">IF($B362=0,IF($E362=0,"",IF(INDEX(DMAV_Dienste!T$6:T$140,$E362)="","",INDEX(DMAV_Dienste!T$6:T$140,$E362))),IF(INDEX(DMAV_Modell!U$6:U$838,$B362)="","",INDEX(DMAV_Modell!U$6:U$838,$B362)))</f>
        <v/>
      </c>
      <c r="O362" s="63" t="str" cm="1">
        <f t="array" aca="1" ref="O362" ca="1">IF(C362=0,IF(F362=0,"",HYPERLINK("#"&amp;RIGHT(CELL("adresse",OFFSET(DMAV_Dienste!$M$6,F362-1,0)),LEN(CELL("adresse",OFFSET(DMAV_Dienste!$M$6,F362-1,0)))-FIND("]",CELL("adresse",OFFSET(DMAV_Dienste!$M$6,F362-1,0)))),"Structure")),HYPERLINK("#"&amp;RIGHT(CELL("adresse",OFFSET(DMAV_Modell!$N$6,C362-1,0)),LEN(CELL("adresse",OFFSET(DMAV_Modell!$N$6,C362-1,0)))-FIND("]",CELL("adresse",OFFSET(DMAV_Modell!$N$6,C362-1,0)))),"Structure"))</f>
        <v/>
      </c>
      <c r="P362" s="64" t="str" cm="1">
        <f t="array" aca="1" ref="P362" ca="1">IF(D362=0,IF(G362=0,"",HYPERLINK("#"&amp;RIGHT(CELL("adresse",OFFSET(DMAV_Dienste!$M$6,G362-1,0)),LEN(CELL("adresse",OFFSET(DMAV_Dienste!$M$6,G362-1,0)))-FIND("]",CELL("adresse",OFFSET(DMAV_Dienste!$M$6,G362-1,0)))),"Substructure")),HYPERLINK("#"&amp;RIGHT(CELL("adresse",OFFSET(DMAV_Modell!$N$6,D362-1,0)),LEN(CELL("adresse",OFFSET(DMAV_Modell!$N$6,D362-1,0)))-FIND("]",CELL("adresse",OFFSET(DMAV_Modell!$N$6,D362-1,0)))),"Substructure"))</f>
        <v/>
      </c>
      <c r="R362" s="80"/>
      <c r="T362" s="93"/>
      <c r="U362" s="94"/>
      <c r="V362" s="95"/>
      <c r="W362" s="96"/>
      <c r="Y362" s="85"/>
      <c r="Z362" s="86"/>
      <c r="AA362" s="87"/>
      <c r="AB362" s="88"/>
      <c r="AD362" s="77"/>
      <c r="AF362" s="54" t="str" cm="1">
        <f t="array" aca="1" ref="AF362" ca="1">IF(H362=0,"",HYPERLINK("#"&amp;RIGHT(CELL("adresse",OFFSET('DM01-AV-CH'!$G$6,H362-1,0)),LEN(CELL("adresse",OFFSET('DM01-AV-CH'!$G$6,H362-1,0)))-FIND("]",CELL("adresse",OFFSET('DM01-AV-CH'!$G$6,H362-1,0)))),"Modell"))</f>
        <v>Modell</v>
      </c>
      <c r="AG362" s="72" t="str" cm="1">
        <f t="array" ref="AG362">IF($H362=0,"",IF(INDEX('DM01-AV-CH'!G$6:G$834,$H362)="","",INDEX('DM01-AV-CH'!G$6:G$834,$H362)))</f>
        <v>Gemeindegrenzen</v>
      </c>
      <c r="AH362" s="73" t="str" cm="1">
        <f t="array" ref="AH362">IF($H362=0,"",IF(INDEX('DM01-AV-CH'!H$6:H$834,$H362)="","",INDEX('DM01-AV-CH'!H$6:H$834,$H362)))</f>
        <v>HoheitsgrenzpunktSymbol</v>
      </c>
      <c r="AI362" s="74" t="str" cm="1">
        <f t="array" ref="AI362">IF($H362=0,"",IF(INDEX('DM01-AV-CH'!I$6:I$834,$H362)="","",INDEX('DM01-AV-CH'!I$6:I$834,$H362)))</f>
        <v>HoheitsgrenzpunktSymbol_von</v>
      </c>
    </row>
    <row r="363" spans="1:35" ht="128.25" x14ac:dyDescent="0.25">
      <c r="A363" s="57">
        <v>358</v>
      </c>
      <c r="B363" s="57">
        <f>IF($A363="","",IF(_xlfn.XLOOKUP($A363,Korrelation!$D$4:$D$1197,Korrelation!E$4:E$1197,"-",0)="-",0,MATCH(_xlfn.XLOOKUP($A363,Korrelation!$D$4:$D$1197,Korrelation!E$4:E$1197,"",0),DMAV_Modell!$G$6:$G$677,0)))</f>
        <v>0</v>
      </c>
      <c r="C363" s="57">
        <f>IF($A363="","",IF(_xlfn.XLOOKUP($A363,Korrelation!$D$4:$D$1197,Korrelation!F$4:F$1197,"-",0)="-",0,MATCH(_xlfn.XLOOKUP($A363,Korrelation!$D$4:$D$1197,Korrelation!F$4:F$1197,"",0),DMAV_Modell!$G$6:$G$677,0)))</f>
        <v>0</v>
      </c>
      <c r="D363" s="57">
        <f>IF($A363="","",IF(_xlfn.XLOOKUP($A363,Korrelation!$D$4:$D$1197,Korrelation!G$4:G$1197,"-",0)="-",0,MATCH(_xlfn.XLOOKUP($A363,Korrelation!$D$4:$D$1197,Korrelation!G$4:G$1197,"",0),DMAV_Modell!$G$6:$G$677,0)))</f>
        <v>0</v>
      </c>
      <c r="E363" s="57">
        <f>IF($A363="","",IF(_xlfn.XLOOKUP($A363,Korrelation!$D$4:$D$1197,Korrelation!H$4:H$1197,"-",0)="-",0,MATCH(_xlfn.XLOOKUP($A363,Korrelation!$D$4:$D$1197,Korrelation!H$4:H$1197,"",0),DMAV_Dienste!$F$6:$F$140,0)))</f>
        <v>0</v>
      </c>
      <c r="F363" s="57">
        <f>IF($A363="","",IF(_xlfn.XLOOKUP($A363,Korrelation!$D$4:$D$1197,Korrelation!I$4:I$1197,"-",0)="-",0,MATCH(_xlfn.XLOOKUP($A363,Korrelation!$D$4:$D$1197,Korrelation!I$4:I$1197,"",0),DMAV_Dienste!$F$6:$F$140,0)))</f>
        <v>0</v>
      </c>
      <c r="G363" s="57">
        <f>IF($A363="","",IF(_xlfn.XLOOKUP($A363,Korrelation!$D$4:$D$1197,Korrelation!J$4:J$1197,"-",0)="-",0,MATCH(_xlfn.XLOOKUP($A363,Korrelation!$D$4:$D$1197,Korrelation!J$4:J$1197,"",0),DMAV_Dienste!$F$6:$F$140,0)))</f>
        <v>0</v>
      </c>
      <c r="H363" s="57">
        <f>IF($A363="","",IF(_xlfn.XLOOKUP($A363,Korrelation!$D$4:$D$1197,Korrelation!K$4:K$1197,"-",0)="-",0,MATCH(_xlfn.XLOOKUP($A363,Korrelation!$D$4:$D$1197,Korrelation!K$4:K$1197,"",0),'DM01-AV-CH'!$A$6:$A$834,0)))</f>
        <v>610</v>
      </c>
      <c r="J363" s="54" t="str" cm="1">
        <f t="array" aca="1" ref="J363" ca="1">IF(B363=0,IF(E363=0,"",HYPERLINK("#"&amp;RIGHT(CELL("adresse",OFFSET(DMAV_Dienste!$M$6,E363-1,0)),LEN(CELL("adresse",OFFSET(DMAV_Dienste!$M$6,E363-1,0)))-FIND("]",CELL("adresse",OFFSET(DMAV_Dienste!$M$6,E363-1,0)))),"Dienst")),HYPERLINK("#"&amp;RIGHT(CELL("adresse",OFFSET(DMAV_Modell!$N$6,B363-1,0)),LEN(CELL("adresse",OFFSET(DMAV_Modell!$N$6,B363-1,0)))-FIND("]",CELL("adresse",OFFSET(DMAV_Modell!$N$6,B363-1,0)))),"Modell"))</f>
        <v/>
      </c>
      <c r="K363" s="61" t="str" cm="1">
        <f t="array" ref="K363">IF($B363=0,IF($E363=0,"",IF(INDEX(DMAV_Dienste!P$6:P$140,$E363)="","",INDEX(DMAV_Dienste!P$6:P$140,$E363))),IF(INDEX(DMAV_Modell!Q$6:Q$838,$B363)="","",INDEX(DMAV_Modell!Q$6:Q$838,$B363)))</f>
        <v/>
      </c>
      <c r="L363" s="62" t="str" cm="1">
        <f t="array" ref="L363">IF($B363=0,IF($E363=0,"",IF(INDEX(DMAV_Dienste!O$6:O$140,$E363)="","",INDEX(DMAV_Dienste!O$6:O$140,$E363))),IF(INDEX(DMAV_Modell!P$6:P$838,$B363)="","",INDEX(DMAV_Modell!P$6:P$838,$B363)))</f>
        <v/>
      </c>
      <c r="M363" s="62" t="str" cm="1">
        <f t="array" ref="M363">IF($B363=0,IF($E363=0,"",IF(INDEX(DMAV_Dienste!Q$6:Q$140,$E363)="","",INDEX(DMAV_Dienste!Q$6:Q$140,$E363))),IF(INDEX(DMAV_Modell!R$6:R$838,$B363)="","",INDEX(DMAV_Modell!R$6:R$838,$B363)))</f>
        <v/>
      </c>
      <c r="N363" s="62" t="str" cm="1">
        <f t="array" ref="N363">IF($B363=0,IF($E363=0,"",IF(INDEX(DMAV_Dienste!T$6:T$140,$E363)="","",INDEX(DMAV_Dienste!T$6:T$140,$E363))),IF(INDEX(DMAV_Modell!U$6:U$838,$B363)="","",INDEX(DMAV_Modell!U$6:U$838,$B363)))</f>
        <v/>
      </c>
      <c r="O363" s="63" t="str" cm="1">
        <f t="array" aca="1" ref="O363" ca="1">IF(C363=0,IF(F363=0,"",HYPERLINK("#"&amp;RIGHT(CELL("adresse",OFFSET(DMAV_Dienste!$M$6,F363-1,0)),LEN(CELL("adresse",OFFSET(DMAV_Dienste!$M$6,F363-1,0)))-FIND("]",CELL("adresse",OFFSET(DMAV_Dienste!$M$6,F363-1,0)))),"Structure")),HYPERLINK("#"&amp;RIGHT(CELL("adresse",OFFSET(DMAV_Modell!$N$6,C363-1,0)),LEN(CELL("adresse",OFFSET(DMAV_Modell!$N$6,C363-1,0)))-FIND("]",CELL("adresse",OFFSET(DMAV_Modell!$N$6,C363-1,0)))),"Structure"))</f>
        <v/>
      </c>
      <c r="P363" s="64" t="str" cm="1">
        <f t="array" aca="1" ref="P363" ca="1">IF(D363=0,IF(G363=0,"",HYPERLINK("#"&amp;RIGHT(CELL("adresse",OFFSET(DMAV_Dienste!$M$6,G363-1,0)),LEN(CELL("adresse",OFFSET(DMAV_Dienste!$M$6,G363-1,0)))-FIND("]",CELL("adresse",OFFSET(DMAV_Dienste!$M$6,G363-1,0)))),"Substructure")),HYPERLINK("#"&amp;RIGHT(CELL("adresse",OFFSET(DMAV_Modell!$N$6,D363-1,0)),LEN(CELL("adresse",OFFSET(DMAV_Modell!$N$6,D363-1,0)))-FIND("]",CELL("adresse",OFFSET(DMAV_Modell!$N$6,D363-1,0)))),"Substructure"))</f>
        <v/>
      </c>
      <c r="R363" s="80"/>
      <c r="T363" s="93" t="s">
        <v>3325</v>
      </c>
      <c r="U363" s="94" t="s">
        <v>2980</v>
      </c>
      <c r="V363" s="95" t="s">
        <v>3060</v>
      </c>
      <c r="W363" s="96" t="s">
        <v>3053</v>
      </c>
      <c r="Y363" s="85"/>
      <c r="Z363" s="86"/>
      <c r="AA363" s="87"/>
      <c r="AB363" s="88"/>
      <c r="AD363" s="77"/>
      <c r="AF363" s="54" t="str" cm="1">
        <f t="array" aca="1" ref="AF363" ca="1">IF(H363=0,"",HYPERLINK("#"&amp;RIGHT(CELL("adresse",OFFSET('DM01-AV-CH'!$G$6,H363-1,0)),LEN(CELL("adresse",OFFSET('DM01-AV-CH'!$G$6,H363-1,0)))-FIND("]",CELL("adresse",OFFSET('DM01-AV-CH'!$G$6,H363-1,0)))),"Modell"))</f>
        <v>Modell</v>
      </c>
      <c r="AG363" s="72" t="str" cm="1">
        <f t="array" ref="AG363">IF($H363=0,"",IF(INDEX('DM01-AV-CH'!G$6:G$834,$H363)="","",INDEX('DM01-AV-CH'!G$6:G$834,$H363)))</f>
        <v>Gemeindegrenzen</v>
      </c>
      <c r="AH363" s="73" t="str" cm="1">
        <f t="array" ref="AH363">IF($H363=0,"",IF(INDEX('DM01-AV-CH'!H$6:H$834,$H363)="","",INDEX('DM01-AV-CH'!H$6:H$834,$H363)))</f>
        <v>HoheitsgrenzpunktSymbol</v>
      </c>
      <c r="AI363" s="74" t="str" cm="1">
        <f t="array" ref="AI363">IF($H363=0,"",IF(INDEX('DM01-AV-CH'!I$6:I$834,$H363)="","",INDEX('DM01-AV-CH'!I$6:I$834,$H363)))</f>
        <v>Ori</v>
      </c>
    </row>
    <row r="364" spans="1:35" ht="28.5" x14ac:dyDescent="0.25">
      <c r="A364" s="57">
        <v>359</v>
      </c>
      <c r="B364" s="57">
        <f>IF($A364="","",IF(_xlfn.XLOOKUP($A364,Korrelation!$D$4:$D$1197,Korrelation!E$4:E$1197,"-",0)="-",0,MATCH(_xlfn.XLOOKUP($A364,Korrelation!$D$4:$D$1197,Korrelation!E$4:E$1197,"",0),DMAV_Modell!$G$6:$G$677,0)))</f>
        <v>127</v>
      </c>
      <c r="C364" s="57">
        <f>IF($A364="","",IF(_xlfn.XLOOKUP($A364,Korrelation!$D$4:$D$1197,Korrelation!F$4:F$1197,"-",0)="-",0,MATCH(_xlfn.XLOOKUP($A364,Korrelation!$D$4:$D$1197,Korrelation!F$4:F$1197,"",0),DMAV_Modell!$G$6:$G$677,0)))</f>
        <v>0</v>
      </c>
      <c r="D364" s="57">
        <f>IF($A364="","",IF(_xlfn.XLOOKUP($A364,Korrelation!$D$4:$D$1197,Korrelation!G$4:G$1197,"-",0)="-",0,MATCH(_xlfn.XLOOKUP($A364,Korrelation!$D$4:$D$1197,Korrelation!G$4:G$1197,"",0),DMAV_Modell!$G$6:$G$677,0)))</f>
        <v>0</v>
      </c>
      <c r="E364" s="57">
        <f>IF($A364="","",IF(_xlfn.XLOOKUP($A364,Korrelation!$D$4:$D$1197,Korrelation!H$4:H$1197,"-",0)="-",0,MATCH(_xlfn.XLOOKUP($A364,Korrelation!$D$4:$D$1197,Korrelation!H$4:H$1197,"",0),DMAV_Dienste!$F$6:$F$140,0)))</f>
        <v>0</v>
      </c>
      <c r="F364" s="57">
        <f>IF($A364="","",IF(_xlfn.XLOOKUP($A364,Korrelation!$D$4:$D$1197,Korrelation!I$4:I$1197,"-",0)="-",0,MATCH(_xlfn.XLOOKUP($A364,Korrelation!$D$4:$D$1197,Korrelation!I$4:I$1197,"",0),DMAV_Dienste!$F$6:$F$140,0)))</f>
        <v>0</v>
      </c>
      <c r="G364" s="57">
        <f>IF($A364="","",IF(_xlfn.XLOOKUP($A364,Korrelation!$D$4:$D$1197,Korrelation!J$4:J$1197,"-",0)="-",0,MATCH(_xlfn.XLOOKUP($A364,Korrelation!$D$4:$D$1197,Korrelation!J$4:J$1197,"",0),DMAV_Dienste!$F$6:$F$140,0)))</f>
        <v>0</v>
      </c>
      <c r="H364" s="57">
        <f>IF($A364="","",IF(_xlfn.XLOOKUP($A364,Korrelation!$D$4:$D$1197,Korrelation!K$4:K$1197,"-",0)="-",0,MATCH(_xlfn.XLOOKUP($A364,Korrelation!$D$4:$D$1197,Korrelation!K$4:K$1197,"",0),'DM01-AV-CH'!$A$6:$A$834,0)))</f>
        <v>611</v>
      </c>
      <c r="J364" s="54" t="str" cm="1">
        <f t="array" aca="1" ref="J364" ca="1">IF(B364=0,IF(E364=0,"",HYPERLINK("#"&amp;RIGHT(CELL("adresse",OFFSET(DMAV_Dienste!$M$6,E364-1,0)),LEN(CELL("adresse",OFFSET(DMAV_Dienste!$M$6,E364-1,0)))-FIND("]",CELL("adresse",OFFSET(DMAV_Dienste!$M$6,E364-1,0)))),"Dienst")),HYPERLINK("#"&amp;RIGHT(CELL("adresse",OFFSET(DMAV_Modell!$N$6,B364-1,0)),LEN(CELL("adresse",OFFSET(DMAV_Modell!$N$6,B364-1,0)))-FIND("]",CELL("adresse",OFFSET(DMAV_Modell!$N$6,B364-1,0)))),"Modell"))</f>
        <v>Modell</v>
      </c>
      <c r="K364" s="61" t="str" cm="1">
        <f t="array" ref="K364">IF($B364=0,IF($E364=0,"",IF(INDEX(DMAV_Dienste!P$6:P$140,$E364)="","",INDEX(DMAV_Dienste!P$6:P$140,$E364))),IF(INDEX(DMAV_Modell!Q$6:Q$838,$B364)="","",INDEX(DMAV_Modell!Q$6:Q$838,$B364)))</f>
        <v>CLASS</v>
      </c>
      <c r="L364" s="62" t="str" cm="1">
        <f t="array" ref="L364">IF($B364=0,IF($E364=0,"",IF(INDEX(DMAV_Dienste!O$6:O$140,$E364)="","",INDEX(DMAV_Dienste!O$6:O$140,$E364))),IF(INDEX(DMAV_Modell!P$6:P$838,$B364)="","",INDEX(DMAV_Modell!P$6:P$838,$B364)))</f>
        <v>HoheitsgrenzenAV</v>
      </c>
      <c r="M364" s="62" t="str" cm="1">
        <f t="array" ref="M364">IF($B364=0,IF($E364=0,"",IF(INDEX(DMAV_Dienste!Q$6:Q$140,$E364)="","",INDEX(DMAV_Dienste!Q$6:Q$140,$E364))),IF(INDEX(DMAV_Modell!R$6:R$838,$B364)="","",INDEX(DMAV_Modell!R$6:R$838,$B364)))</f>
        <v>Gemeinde</v>
      </c>
      <c r="N364" s="62" t="str" cm="1">
        <f t="array" ref="N364">IF($B364=0,IF($E364=0,"",IF(INDEX(DMAV_Dienste!T$6:T$140,$E364)="","",INDEX(DMAV_Dienste!T$6:T$140,$E364))),IF(INDEX(DMAV_Modell!U$6:U$838,$B364)="","",INDEX(DMAV_Modell!U$6:U$838,$B364)))</f>
        <v>Name</v>
      </c>
      <c r="O364" s="63" t="str" cm="1">
        <f t="array" aca="1" ref="O364" ca="1">IF(C364=0,IF(F364=0,"",HYPERLINK("#"&amp;RIGHT(CELL("adresse",OFFSET(DMAV_Dienste!$M$6,F364-1,0)),LEN(CELL("adresse",OFFSET(DMAV_Dienste!$M$6,F364-1,0)))-FIND("]",CELL("adresse",OFFSET(DMAV_Dienste!$M$6,F364-1,0)))),"Structure")),HYPERLINK("#"&amp;RIGHT(CELL("adresse",OFFSET(DMAV_Modell!$N$6,C364-1,0)),LEN(CELL("adresse",OFFSET(DMAV_Modell!$N$6,C364-1,0)))-FIND("]",CELL("adresse",OFFSET(DMAV_Modell!$N$6,C364-1,0)))),"Structure"))</f>
        <v/>
      </c>
      <c r="P364" s="64" t="str" cm="1">
        <f t="array" aca="1" ref="P364" ca="1">IF(D364=0,IF(G364=0,"",HYPERLINK("#"&amp;RIGHT(CELL("adresse",OFFSET(DMAV_Dienste!$M$6,G364-1,0)),LEN(CELL("adresse",OFFSET(DMAV_Dienste!$M$6,G364-1,0)))-FIND("]",CELL("adresse",OFFSET(DMAV_Dienste!$M$6,G364-1,0)))),"Substructure")),HYPERLINK("#"&amp;RIGHT(CELL("adresse",OFFSET(DMAV_Modell!$N$6,D364-1,0)),LEN(CELL("adresse",OFFSET(DMAV_Modell!$N$6,D364-1,0)))-FIND("]",CELL("adresse",OFFSET(DMAV_Modell!$N$6,D364-1,0)))),"Substructure"))</f>
        <v/>
      </c>
      <c r="R364" s="80"/>
      <c r="T364" s="93"/>
      <c r="U364" s="94"/>
      <c r="V364" s="95"/>
      <c r="W364" s="96"/>
      <c r="Y364" s="85" t="s">
        <v>3242</v>
      </c>
      <c r="Z364" s="86"/>
      <c r="AA364" s="87"/>
      <c r="AB364" s="88"/>
      <c r="AD364" s="77"/>
      <c r="AF364" s="54" t="str" cm="1">
        <f t="array" aca="1" ref="AF364" ca="1">IF(H364=0,"",HYPERLINK("#"&amp;RIGHT(CELL("adresse",OFFSET('DM01-AV-CH'!$G$6,H364-1,0)),LEN(CELL("adresse",OFFSET('DM01-AV-CH'!$G$6,H364-1,0)))-FIND("]",CELL("adresse",OFFSET('DM01-AV-CH'!$G$6,H364-1,0)))),"Modell"))</f>
        <v>Modell</v>
      </c>
      <c r="AG364" s="72" t="str" cm="1">
        <f t="array" ref="AG364">IF($H364=0,"",IF(INDEX('DM01-AV-CH'!G$6:G$834,$H364)="","",INDEX('DM01-AV-CH'!G$6:G$834,$H364)))</f>
        <v>Gemeindegrenzen</v>
      </c>
      <c r="AH364" s="73" t="str" cm="1">
        <f t="array" ref="AH364">IF($H364=0,"",IF(INDEX('DM01-AV-CH'!H$6:H$834,$H364)="","",INDEX('DM01-AV-CH'!H$6:H$834,$H364)))</f>
        <v>Gemeinde</v>
      </c>
      <c r="AI364" s="74" t="str" cm="1">
        <f t="array" ref="AI364">IF($H364=0,"",IF(INDEX('DM01-AV-CH'!I$6:I$834,$H364)="","",INDEX('DM01-AV-CH'!I$6:I$834,$H364)))</f>
        <v>Name</v>
      </c>
    </row>
    <row r="365" spans="1:35" ht="28.5" x14ac:dyDescent="0.25">
      <c r="A365" s="57">
        <v>360</v>
      </c>
      <c r="B365" s="57">
        <f>IF($A365="","",IF(_xlfn.XLOOKUP($A365,Korrelation!$D$4:$D$1197,Korrelation!E$4:E$1197,"-",0)="-",0,MATCH(_xlfn.XLOOKUP($A365,Korrelation!$D$4:$D$1197,Korrelation!E$4:E$1197,"",0),DMAV_Modell!$G$6:$G$677,0)))</f>
        <v>128</v>
      </c>
      <c r="C365" s="57">
        <f>IF($A365="","",IF(_xlfn.XLOOKUP($A365,Korrelation!$D$4:$D$1197,Korrelation!F$4:F$1197,"-",0)="-",0,MATCH(_xlfn.XLOOKUP($A365,Korrelation!$D$4:$D$1197,Korrelation!F$4:F$1197,"",0),DMAV_Modell!$G$6:$G$677,0)))</f>
        <v>0</v>
      </c>
      <c r="D365" s="57">
        <f>IF($A365="","",IF(_xlfn.XLOOKUP($A365,Korrelation!$D$4:$D$1197,Korrelation!G$4:G$1197,"-",0)="-",0,MATCH(_xlfn.XLOOKUP($A365,Korrelation!$D$4:$D$1197,Korrelation!G$4:G$1197,"",0),DMAV_Modell!$G$6:$G$677,0)))</f>
        <v>0</v>
      </c>
      <c r="E365" s="57">
        <f>IF($A365="","",IF(_xlfn.XLOOKUP($A365,Korrelation!$D$4:$D$1197,Korrelation!H$4:H$1197,"-",0)="-",0,MATCH(_xlfn.XLOOKUP($A365,Korrelation!$D$4:$D$1197,Korrelation!H$4:H$1197,"",0),DMAV_Dienste!$F$6:$F$140,0)))</f>
        <v>0</v>
      </c>
      <c r="F365" s="57">
        <f>IF($A365="","",IF(_xlfn.XLOOKUP($A365,Korrelation!$D$4:$D$1197,Korrelation!I$4:I$1197,"-",0)="-",0,MATCH(_xlfn.XLOOKUP($A365,Korrelation!$D$4:$D$1197,Korrelation!I$4:I$1197,"",0),DMAV_Dienste!$F$6:$F$140,0)))</f>
        <v>0</v>
      </c>
      <c r="G365" s="57">
        <f>IF($A365="","",IF(_xlfn.XLOOKUP($A365,Korrelation!$D$4:$D$1197,Korrelation!J$4:J$1197,"-",0)="-",0,MATCH(_xlfn.XLOOKUP($A365,Korrelation!$D$4:$D$1197,Korrelation!J$4:J$1197,"",0),DMAV_Dienste!$F$6:$F$140,0)))</f>
        <v>0</v>
      </c>
      <c r="H365" s="57">
        <f>IF($A365="","",IF(_xlfn.XLOOKUP($A365,Korrelation!$D$4:$D$1197,Korrelation!K$4:K$1197,"-",0)="-",0,MATCH(_xlfn.XLOOKUP($A365,Korrelation!$D$4:$D$1197,Korrelation!K$4:K$1197,"",0),'DM01-AV-CH'!$A$6:$A$834,0)))</f>
        <v>612</v>
      </c>
      <c r="J365" s="54" t="str" cm="1">
        <f t="array" aca="1" ref="J365" ca="1">IF(B365=0,IF(E365=0,"",HYPERLINK("#"&amp;RIGHT(CELL("adresse",OFFSET(DMAV_Dienste!$M$6,E365-1,0)),LEN(CELL("adresse",OFFSET(DMAV_Dienste!$M$6,E365-1,0)))-FIND("]",CELL("adresse",OFFSET(DMAV_Dienste!$M$6,E365-1,0)))),"Dienst")),HYPERLINK("#"&amp;RIGHT(CELL("adresse",OFFSET(DMAV_Modell!$N$6,B365-1,0)),LEN(CELL("adresse",OFFSET(DMAV_Modell!$N$6,B365-1,0)))-FIND("]",CELL("adresse",OFFSET(DMAV_Modell!$N$6,B365-1,0)))),"Modell"))</f>
        <v>Modell</v>
      </c>
      <c r="K365" s="61" t="str" cm="1">
        <f t="array" ref="K365">IF($B365=0,IF($E365=0,"",IF(INDEX(DMAV_Dienste!P$6:P$140,$E365)="","",INDEX(DMAV_Dienste!P$6:P$140,$E365))),IF(INDEX(DMAV_Modell!Q$6:Q$838,$B365)="","",INDEX(DMAV_Modell!Q$6:Q$838,$B365)))</f>
        <v>CLASS</v>
      </c>
      <c r="L365" s="62" t="str" cm="1">
        <f t="array" ref="L365">IF($B365=0,IF($E365=0,"",IF(INDEX(DMAV_Dienste!O$6:O$140,$E365)="","",INDEX(DMAV_Dienste!O$6:O$140,$E365))),IF(INDEX(DMAV_Modell!P$6:P$838,$B365)="","",INDEX(DMAV_Modell!P$6:P$838,$B365)))</f>
        <v>HoheitsgrenzenAV</v>
      </c>
      <c r="M365" s="62" t="str" cm="1">
        <f t="array" ref="M365">IF($B365=0,IF($E365=0,"",IF(INDEX(DMAV_Dienste!Q$6:Q$140,$E365)="","",INDEX(DMAV_Dienste!Q$6:Q$140,$E365))),IF(INDEX(DMAV_Modell!R$6:R$838,$B365)="","",INDEX(DMAV_Modell!R$6:R$838,$B365)))</f>
        <v>Gemeinde</v>
      </c>
      <c r="N365" s="62" t="str" cm="1">
        <f t="array" ref="N365">IF($B365=0,IF($E365=0,"",IF(INDEX(DMAV_Dienste!T$6:T$140,$E365)="","",INDEX(DMAV_Dienste!T$6:T$140,$E365))),IF(INDEX(DMAV_Modell!U$6:U$838,$B365)="","",INDEX(DMAV_Modell!U$6:U$838,$B365)))</f>
        <v>BFSNummer</v>
      </c>
      <c r="O365" s="63" t="str" cm="1">
        <f t="array" aca="1" ref="O365" ca="1">IF(C365=0,IF(F365=0,"",HYPERLINK("#"&amp;RIGHT(CELL("adresse",OFFSET(DMAV_Dienste!$M$6,F365-1,0)),LEN(CELL("adresse",OFFSET(DMAV_Dienste!$M$6,F365-1,0)))-FIND("]",CELL("adresse",OFFSET(DMAV_Dienste!$M$6,F365-1,0)))),"Structure")),HYPERLINK("#"&amp;RIGHT(CELL("adresse",OFFSET(DMAV_Modell!$N$6,C365-1,0)),LEN(CELL("adresse",OFFSET(DMAV_Modell!$N$6,C365-1,0)))-FIND("]",CELL("adresse",OFFSET(DMAV_Modell!$N$6,C365-1,0)))),"Structure"))</f>
        <v/>
      </c>
      <c r="P365" s="64" t="str" cm="1">
        <f t="array" aca="1" ref="P365" ca="1">IF(D365=0,IF(G365=0,"",HYPERLINK("#"&amp;RIGHT(CELL("adresse",OFFSET(DMAV_Dienste!$M$6,G365-1,0)),LEN(CELL("adresse",OFFSET(DMAV_Dienste!$M$6,G365-1,0)))-FIND("]",CELL("adresse",OFFSET(DMAV_Dienste!$M$6,G365-1,0)))),"Substructure")),HYPERLINK("#"&amp;RIGHT(CELL("adresse",OFFSET(DMAV_Modell!$N$6,D365-1,0)),LEN(CELL("adresse",OFFSET(DMAV_Modell!$N$6,D365-1,0)))-FIND("]",CELL("adresse",OFFSET(DMAV_Modell!$N$6,D365-1,0)))),"Substructure"))</f>
        <v/>
      </c>
      <c r="R365" s="80"/>
      <c r="T365" s="93"/>
      <c r="U365" s="94"/>
      <c r="V365" s="95"/>
      <c r="W365" s="96"/>
      <c r="Y365" s="85" t="s">
        <v>3242</v>
      </c>
      <c r="Z365" s="86"/>
      <c r="AA365" s="87"/>
      <c r="AB365" s="88"/>
      <c r="AD365" s="77"/>
      <c r="AF365" s="54" t="str" cm="1">
        <f t="array" aca="1" ref="AF365" ca="1">IF(H365=0,"",HYPERLINK("#"&amp;RIGHT(CELL("adresse",OFFSET('DM01-AV-CH'!$G$6,H365-1,0)),LEN(CELL("adresse",OFFSET('DM01-AV-CH'!$G$6,H365-1,0)))-FIND("]",CELL("adresse",OFFSET('DM01-AV-CH'!$G$6,H365-1,0)))),"Modell"))</f>
        <v>Modell</v>
      </c>
      <c r="AG365" s="72" t="str" cm="1">
        <f t="array" ref="AG365">IF($H365=0,"",IF(INDEX('DM01-AV-CH'!G$6:G$834,$H365)="","",INDEX('DM01-AV-CH'!G$6:G$834,$H365)))</f>
        <v>Gemeindegrenzen</v>
      </c>
      <c r="AH365" s="73" t="str" cm="1">
        <f t="array" ref="AH365">IF($H365=0,"",IF(INDEX('DM01-AV-CH'!H$6:H$834,$H365)="","",INDEX('DM01-AV-CH'!H$6:H$834,$H365)))</f>
        <v>Gemeinde</v>
      </c>
      <c r="AI365" s="74" t="str" cm="1">
        <f t="array" ref="AI365">IF($H365=0,"",IF(INDEX('DM01-AV-CH'!I$6:I$834,$H365)="","",INDEX('DM01-AV-CH'!I$6:I$834,$H365)))</f>
        <v>BFSNr</v>
      </c>
    </row>
    <row r="366" spans="1:35" x14ac:dyDescent="0.25">
      <c r="A366" s="57">
        <v>361</v>
      </c>
      <c r="B366" s="57">
        <f>IF($A366="","",IF(_xlfn.XLOOKUP($A366,Korrelation!$D$4:$D$1197,Korrelation!E$4:E$1197,"-",0)="-",0,MATCH(_xlfn.XLOOKUP($A366,Korrelation!$D$4:$D$1197,Korrelation!E$4:E$1197,"",0),DMAV_Modell!$G$6:$G$677,0)))</f>
        <v>129</v>
      </c>
      <c r="C366" s="57">
        <f>IF($A366="","",IF(_xlfn.XLOOKUP($A366,Korrelation!$D$4:$D$1197,Korrelation!F$4:F$1197,"-",0)="-",0,MATCH(_xlfn.XLOOKUP($A366,Korrelation!$D$4:$D$1197,Korrelation!F$4:F$1197,"",0),DMAV_Modell!$G$6:$G$677,0)))</f>
        <v>0</v>
      </c>
      <c r="D366" s="57">
        <f>IF($A366="","",IF(_xlfn.XLOOKUP($A366,Korrelation!$D$4:$D$1197,Korrelation!G$4:G$1197,"-",0)="-",0,MATCH(_xlfn.XLOOKUP($A366,Korrelation!$D$4:$D$1197,Korrelation!G$4:G$1197,"",0),DMAV_Modell!$G$6:$G$677,0)))</f>
        <v>0</v>
      </c>
      <c r="E366" s="57">
        <f>IF($A366="","",IF(_xlfn.XLOOKUP($A366,Korrelation!$D$4:$D$1197,Korrelation!H$4:H$1197,"-",0)="-",0,MATCH(_xlfn.XLOOKUP($A366,Korrelation!$D$4:$D$1197,Korrelation!H$4:H$1197,"",0),DMAV_Dienste!$F$6:$F$140,0)))</f>
        <v>0</v>
      </c>
      <c r="F366" s="57">
        <f>IF($A366="","",IF(_xlfn.XLOOKUP($A366,Korrelation!$D$4:$D$1197,Korrelation!I$4:I$1197,"-",0)="-",0,MATCH(_xlfn.XLOOKUP($A366,Korrelation!$D$4:$D$1197,Korrelation!I$4:I$1197,"",0),DMAV_Dienste!$F$6:$F$140,0)))</f>
        <v>0</v>
      </c>
      <c r="G366" s="57">
        <f>IF($A366="","",IF(_xlfn.XLOOKUP($A366,Korrelation!$D$4:$D$1197,Korrelation!J$4:J$1197,"-",0)="-",0,MATCH(_xlfn.XLOOKUP($A366,Korrelation!$D$4:$D$1197,Korrelation!J$4:J$1197,"",0),DMAV_Dienste!$F$6:$F$140,0)))</f>
        <v>0</v>
      </c>
      <c r="H366" s="57">
        <f>IF($A366="","",IF(_xlfn.XLOOKUP($A366,Korrelation!$D$4:$D$1197,Korrelation!K$4:K$1197,"-",0)="-",0,MATCH(_xlfn.XLOOKUP($A366,Korrelation!$D$4:$D$1197,Korrelation!K$4:K$1197,"",0),'DM01-AV-CH'!$A$6:$A$834,0)))</f>
        <v>0</v>
      </c>
      <c r="J366" s="54" t="str" cm="1">
        <f t="array" aca="1" ref="J366" ca="1">IF(B366=0,IF(E366=0,"",HYPERLINK("#"&amp;RIGHT(CELL("adresse",OFFSET(DMAV_Dienste!$M$6,E366-1,0)),LEN(CELL("adresse",OFFSET(DMAV_Dienste!$M$6,E366-1,0)))-FIND("]",CELL("adresse",OFFSET(DMAV_Dienste!$M$6,E366-1,0)))),"Dienst")),HYPERLINK("#"&amp;RIGHT(CELL("adresse",OFFSET(DMAV_Modell!$N$6,B366-1,0)),LEN(CELL("adresse",OFFSET(DMAV_Modell!$N$6,B366-1,0)))-FIND("]",CELL("adresse",OFFSET(DMAV_Modell!$N$6,B366-1,0)))),"Modell"))</f>
        <v>Modell</v>
      </c>
      <c r="K366" s="61" t="str" cm="1">
        <f t="array" ref="K366">IF($B366=0,IF($E366=0,"",IF(INDEX(DMAV_Dienste!P$6:P$140,$E366)="","",INDEX(DMAV_Dienste!P$6:P$140,$E366))),IF(INDEX(DMAV_Modell!Q$6:Q$838,$B366)="","",INDEX(DMAV_Modell!Q$6:Q$838,$B366)))</f>
        <v>CLASS</v>
      </c>
      <c r="L366" s="62" t="str" cm="1">
        <f t="array" ref="L366">IF($B366=0,IF($E366=0,"",IF(INDEX(DMAV_Dienste!O$6:O$140,$E366)="","",INDEX(DMAV_Dienste!O$6:O$140,$E366))),IF(INDEX(DMAV_Modell!P$6:P$838,$B366)="","",INDEX(DMAV_Modell!P$6:P$838,$B366)))</f>
        <v>HoheitsgrenzenAV</v>
      </c>
      <c r="M366" s="62" t="str" cm="1">
        <f t="array" ref="M366">IF($B366=0,IF($E366=0,"",IF(INDEX(DMAV_Dienste!Q$6:Q$140,$E366)="","",INDEX(DMAV_Dienste!Q$6:Q$140,$E366))),IF(INDEX(DMAV_Modell!R$6:R$838,$B366)="","",INDEX(DMAV_Modell!R$6:R$838,$B366)))</f>
        <v>Gemeinde</v>
      </c>
      <c r="N366" s="62" t="str" cm="1">
        <f t="array" ref="N366">IF($B366=0,IF($E366=0,"",IF(INDEX(DMAV_Dienste!T$6:T$140,$E366)="","",INDEX(DMAV_Dienste!T$6:T$140,$E366))),IF(INDEX(DMAV_Modell!U$6:U$838,$B366)="","",INDEX(DMAV_Modell!U$6:U$838,$B366)))</f>
        <v>Fiktiv</v>
      </c>
      <c r="O366" s="63" t="str" cm="1">
        <f t="array" aca="1" ref="O366" ca="1">IF(C366=0,IF(F366=0,"",HYPERLINK("#"&amp;RIGHT(CELL("adresse",OFFSET(DMAV_Dienste!$M$6,F366-1,0)),LEN(CELL("adresse",OFFSET(DMAV_Dienste!$M$6,F366-1,0)))-FIND("]",CELL("adresse",OFFSET(DMAV_Dienste!$M$6,F366-1,0)))),"Structure")),HYPERLINK("#"&amp;RIGHT(CELL("adresse",OFFSET(DMAV_Modell!$N$6,C366-1,0)),LEN(CELL("adresse",OFFSET(DMAV_Modell!$N$6,C366-1,0)))-FIND("]",CELL("adresse",OFFSET(DMAV_Modell!$N$6,C366-1,0)))),"Structure"))</f>
        <v/>
      </c>
      <c r="P366" s="64" t="str" cm="1">
        <f t="array" aca="1" ref="P366" ca="1">IF(D366=0,IF(G366=0,"",HYPERLINK("#"&amp;RIGHT(CELL("adresse",OFFSET(DMAV_Dienste!$M$6,G366-1,0)),LEN(CELL("adresse",OFFSET(DMAV_Dienste!$M$6,G366-1,0)))-FIND("]",CELL("adresse",OFFSET(DMAV_Dienste!$M$6,G366-1,0)))),"Substructure")),HYPERLINK("#"&amp;RIGHT(CELL("adresse",OFFSET(DMAV_Modell!$N$6,D366-1,0)),LEN(CELL("adresse",OFFSET(DMAV_Modell!$N$6,D366-1,0)))-FIND("]",CELL("adresse",OFFSET(DMAV_Modell!$N$6,D366-1,0)))),"Substructure"))</f>
        <v/>
      </c>
      <c r="R366" s="80" t="s">
        <v>214</v>
      </c>
      <c r="T366" s="93"/>
      <c r="U366" s="94"/>
      <c r="V366" s="95"/>
      <c r="W366" s="96"/>
      <c r="Y366" s="85"/>
      <c r="Z366" s="86"/>
      <c r="AA366" s="87"/>
      <c r="AB366" s="88"/>
      <c r="AD366" s="77"/>
      <c r="AF366" s="54" t="str" cm="1">
        <f t="array" aca="1" ref="AF366" ca="1">IF(H366=0,"",HYPERLINK("#"&amp;RIGHT(CELL("adresse",OFFSET('DM01-AV-CH'!$G$6,H366-1,0)),LEN(CELL("adresse",OFFSET('DM01-AV-CH'!$G$6,H366-1,0)))-FIND("]",CELL("adresse",OFFSET('DM01-AV-CH'!$G$6,H366-1,0)))),"Modell"))</f>
        <v/>
      </c>
      <c r="AG366" s="72" t="str" cm="1">
        <f t="array" ref="AG366">IF($H366=0,"",IF(INDEX('DM01-AV-CH'!G$6:G$834,$H366)="","",INDEX('DM01-AV-CH'!G$6:G$834,$H366)))</f>
        <v/>
      </c>
      <c r="AH366" s="73" t="str" cm="1">
        <f t="array" ref="AH366">IF($H366=0,"",IF(INDEX('DM01-AV-CH'!H$6:H$834,$H366)="","",INDEX('DM01-AV-CH'!H$6:H$834,$H366)))</f>
        <v/>
      </c>
      <c r="AI366" s="74" t="str" cm="1">
        <f t="array" ref="AI366">IF($H366=0,"",IF(INDEX('DM01-AV-CH'!I$6:I$834,$H366)="","",INDEX('DM01-AV-CH'!I$6:I$834,$H366)))</f>
        <v/>
      </c>
    </row>
    <row r="367" spans="1:35" x14ac:dyDescent="0.25">
      <c r="A367" s="57">
        <v>362</v>
      </c>
      <c r="B367" s="57">
        <f>IF($A367="","",IF(_xlfn.XLOOKUP($A367,Korrelation!$D$4:$D$1197,Korrelation!E$4:E$1197,"-",0)="-",0,MATCH(_xlfn.XLOOKUP($A367,Korrelation!$D$4:$D$1197,Korrelation!E$4:E$1197,"",0),DMAV_Modell!$G$6:$G$677,0)))</f>
        <v>130</v>
      </c>
      <c r="C367" s="57">
        <f>IF($A367="","",IF(_xlfn.XLOOKUP($A367,Korrelation!$D$4:$D$1197,Korrelation!F$4:F$1197,"-",0)="-",0,MATCH(_xlfn.XLOOKUP($A367,Korrelation!$D$4:$D$1197,Korrelation!F$4:F$1197,"",0),DMAV_Modell!$G$6:$G$677,0)))</f>
        <v>0</v>
      </c>
      <c r="D367" s="57">
        <f>IF($A367="","",IF(_xlfn.XLOOKUP($A367,Korrelation!$D$4:$D$1197,Korrelation!G$4:G$1197,"-",0)="-",0,MATCH(_xlfn.XLOOKUP($A367,Korrelation!$D$4:$D$1197,Korrelation!G$4:G$1197,"",0),DMAV_Modell!$G$6:$G$677,0)))</f>
        <v>0</v>
      </c>
      <c r="E367" s="57">
        <f>IF($A367="","",IF(_xlfn.XLOOKUP($A367,Korrelation!$D$4:$D$1197,Korrelation!H$4:H$1197,"-",0)="-",0,MATCH(_xlfn.XLOOKUP($A367,Korrelation!$D$4:$D$1197,Korrelation!H$4:H$1197,"",0),DMAV_Dienste!$F$6:$F$140,0)))</f>
        <v>0</v>
      </c>
      <c r="F367" s="57">
        <f>IF($A367="","",IF(_xlfn.XLOOKUP($A367,Korrelation!$D$4:$D$1197,Korrelation!I$4:I$1197,"-",0)="-",0,MATCH(_xlfn.XLOOKUP($A367,Korrelation!$D$4:$D$1197,Korrelation!I$4:I$1197,"",0),DMAV_Dienste!$F$6:$F$140,0)))</f>
        <v>0</v>
      </c>
      <c r="G367" s="57">
        <f>IF($A367="","",IF(_xlfn.XLOOKUP($A367,Korrelation!$D$4:$D$1197,Korrelation!J$4:J$1197,"-",0)="-",0,MATCH(_xlfn.XLOOKUP($A367,Korrelation!$D$4:$D$1197,Korrelation!J$4:J$1197,"",0),DMAV_Dienste!$F$6:$F$140,0)))</f>
        <v>0</v>
      </c>
      <c r="H367" s="57">
        <f>IF($A367="","",IF(_xlfn.XLOOKUP($A367,Korrelation!$D$4:$D$1197,Korrelation!K$4:K$1197,"-",0)="-",0,MATCH(_xlfn.XLOOKUP($A367,Korrelation!$D$4:$D$1197,Korrelation!K$4:K$1197,"",0),'DM01-AV-CH'!$A$6:$A$834,0)))</f>
        <v>0</v>
      </c>
      <c r="J367" s="54" t="str" cm="1">
        <f t="array" aca="1" ref="J367" ca="1">IF(B367=0,IF(E367=0,"",HYPERLINK("#"&amp;RIGHT(CELL("adresse",OFFSET(DMAV_Dienste!$M$6,E367-1,0)),LEN(CELL("adresse",OFFSET(DMAV_Dienste!$M$6,E367-1,0)))-FIND("]",CELL("adresse",OFFSET(DMAV_Dienste!$M$6,E367-1,0)))),"Dienst")),HYPERLINK("#"&amp;RIGHT(CELL("adresse",OFFSET(DMAV_Modell!$N$6,B367-1,0)),LEN(CELL("adresse",OFFSET(DMAV_Modell!$N$6,B367-1,0)))-FIND("]",CELL("adresse",OFFSET(DMAV_Modell!$N$6,B367-1,0)))),"Modell"))</f>
        <v>Modell</v>
      </c>
      <c r="K367" s="61" t="str" cm="1">
        <f t="array" ref="K367">IF($B367=0,IF($E367=0,"",IF(INDEX(DMAV_Dienste!P$6:P$140,$E367)="","",INDEX(DMAV_Dienste!P$6:P$140,$E367))),IF(INDEX(DMAV_Modell!Q$6:Q$838,$B367)="","",INDEX(DMAV_Modell!Q$6:Q$838,$B367)))</f>
        <v>ASSOCIATION</v>
      </c>
      <c r="L367" s="62" t="str" cm="1">
        <f t="array" ref="L367">IF($B367=0,IF($E367=0,"",IF(INDEX(DMAV_Dienste!O$6:O$140,$E367)="","",INDEX(DMAV_Dienste!O$6:O$140,$E367))),IF(INDEX(DMAV_Modell!P$6:P$838,$B367)="","",INDEX(DMAV_Modell!P$6:P$838,$B367)))</f>
        <v>HoheitsgrenzenAV</v>
      </c>
      <c r="M367" s="62" t="str" cm="1">
        <f t="array" ref="M367">IF($B367=0,IF($E367=0,"",IF(INDEX(DMAV_Dienste!Q$6:Q$140,$E367)="","",INDEX(DMAV_Dienste!Q$6:Q$140,$E367))),IF(INDEX(DMAV_Modell!R$6:R$838,$B367)="","",INDEX(DMAV_Modell!R$6:R$838,$B367)))</f>
        <v>Entstehung_Gemeinde</v>
      </c>
      <c r="N367" s="62" t="str" cm="1">
        <f t="array" ref="N367">IF($B367=0,IF($E367=0,"",IF(INDEX(DMAV_Dienste!T$6:T$140,$E367)="","",INDEX(DMAV_Dienste!T$6:T$140,$E367))),IF(INDEX(DMAV_Modell!U$6:U$838,$B367)="","",INDEX(DMAV_Modell!U$6:U$838,$B367)))</f>
        <v>Entstehung</v>
      </c>
      <c r="O367" s="63" t="str" cm="1">
        <f t="array" aca="1" ref="O367" ca="1">IF(C367=0,IF(F367=0,"",HYPERLINK("#"&amp;RIGHT(CELL("adresse",OFFSET(DMAV_Dienste!$M$6,F367-1,0)),LEN(CELL("adresse",OFFSET(DMAV_Dienste!$M$6,F367-1,0)))-FIND("]",CELL("adresse",OFFSET(DMAV_Dienste!$M$6,F367-1,0)))),"Structure")),HYPERLINK("#"&amp;RIGHT(CELL("adresse",OFFSET(DMAV_Modell!$N$6,C367-1,0)),LEN(CELL("adresse",OFFSET(DMAV_Modell!$N$6,C367-1,0)))-FIND("]",CELL("adresse",OFFSET(DMAV_Modell!$N$6,C367-1,0)))),"Structure"))</f>
        <v/>
      </c>
      <c r="P367" s="64" t="str" cm="1">
        <f t="array" aca="1" ref="P367" ca="1">IF(D367=0,IF(G367=0,"",HYPERLINK("#"&amp;RIGHT(CELL("adresse",OFFSET(DMAV_Dienste!$M$6,G367-1,0)),LEN(CELL("adresse",OFFSET(DMAV_Dienste!$M$6,G367-1,0)))-FIND("]",CELL("adresse",OFFSET(DMAV_Dienste!$M$6,G367-1,0)))),"Substructure")),HYPERLINK("#"&amp;RIGHT(CELL("adresse",OFFSET(DMAV_Modell!$N$6,D367-1,0)),LEN(CELL("adresse",OFFSET(DMAV_Modell!$N$6,D367-1,0)))-FIND("]",CELL("adresse",OFFSET(DMAV_Modell!$N$6,D367-1,0)))),"Substructure"))</f>
        <v/>
      </c>
      <c r="R367" s="80"/>
      <c r="T367" s="93"/>
      <c r="U367" s="94"/>
      <c r="V367" s="95"/>
      <c r="W367" s="96"/>
      <c r="Y367" s="85"/>
      <c r="Z367" s="86"/>
      <c r="AA367" s="87"/>
      <c r="AB367" s="88"/>
      <c r="AD367" s="77"/>
      <c r="AF367" s="54" t="str" cm="1">
        <f t="array" aca="1" ref="AF367" ca="1">IF(H367=0,"",HYPERLINK("#"&amp;RIGHT(CELL("adresse",OFFSET('DM01-AV-CH'!$G$6,H367-1,0)),LEN(CELL("adresse",OFFSET('DM01-AV-CH'!$G$6,H367-1,0)))-FIND("]",CELL("adresse",OFFSET('DM01-AV-CH'!$G$6,H367-1,0)))),"Modell"))</f>
        <v/>
      </c>
      <c r="AG367" s="72" t="str" cm="1">
        <f t="array" ref="AG367">IF($H367=0,"",IF(INDEX('DM01-AV-CH'!G$6:G$834,$H367)="","",INDEX('DM01-AV-CH'!G$6:G$834,$H367)))</f>
        <v/>
      </c>
      <c r="AH367" s="73" t="str" cm="1">
        <f t="array" ref="AH367">IF($H367=0,"",IF(INDEX('DM01-AV-CH'!H$6:H$834,$H367)="","",INDEX('DM01-AV-CH'!H$6:H$834,$H367)))</f>
        <v/>
      </c>
      <c r="AI367" s="74" t="str" cm="1">
        <f t="array" ref="AI367">IF($H367=0,"",IF(INDEX('DM01-AV-CH'!I$6:I$834,$H367)="","",INDEX('DM01-AV-CH'!I$6:I$834,$H367)))</f>
        <v/>
      </c>
    </row>
    <row r="368" spans="1:35" x14ac:dyDescent="0.25">
      <c r="A368" s="57">
        <v>363</v>
      </c>
      <c r="B368" s="57">
        <f>IF($A368="","",IF(_xlfn.XLOOKUP($A368,Korrelation!$D$4:$D$1197,Korrelation!E$4:E$1197,"-",0)="-",0,MATCH(_xlfn.XLOOKUP($A368,Korrelation!$D$4:$D$1197,Korrelation!E$4:E$1197,"",0),DMAV_Modell!$G$6:$G$677,0)))</f>
        <v>131</v>
      </c>
      <c r="C368" s="57">
        <f>IF($A368="","",IF(_xlfn.XLOOKUP($A368,Korrelation!$D$4:$D$1197,Korrelation!F$4:F$1197,"-",0)="-",0,MATCH(_xlfn.XLOOKUP($A368,Korrelation!$D$4:$D$1197,Korrelation!F$4:F$1197,"",0),DMAV_Modell!$G$6:$G$677,0)))</f>
        <v>0</v>
      </c>
      <c r="D368" s="57">
        <f>IF($A368="","",IF(_xlfn.XLOOKUP($A368,Korrelation!$D$4:$D$1197,Korrelation!G$4:G$1197,"-",0)="-",0,MATCH(_xlfn.XLOOKUP($A368,Korrelation!$D$4:$D$1197,Korrelation!G$4:G$1197,"",0),DMAV_Modell!$G$6:$G$677,0)))</f>
        <v>0</v>
      </c>
      <c r="E368" s="57">
        <f>IF($A368="","",IF(_xlfn.XLOOKUP($A368,Korrelation!$D$4:$D$1197,Korrelation!H$4:H$1197,"-",0)="-",0,MATCH(_xlfn.XLOOKUP($A368,Korrelation!$D$4:$D$1197,Korrelation!H$4:H$1197,"",0),DMAV_Dienste!$F$6:$F$140,0)))</f>
        <v>0</v>
      </c>
      <c r="F368" s="57">
        <f>IF($A368="","",IF(_xlfn.XLOOKUP($A368,Korrelation!$D$4:$D$1197,Korrelation!I$4:I$1197,"-",0)="-",0,MATCH(_xlfn.XLOOKUP($A368,Korrelation!$D$4:$D$1197,Korrelation!I$4:I$1197,"",0),DMAV_Dienste!$F$6:$F$140,0)))</f>
        <v>0</v>
      </c>
      <c r="G368" s="57">
        <f>IF($A368="","",IF(_xlfn.XLOOKUP($A368,Korrelation!$D$4:$D$1197,Korrelation!J$4:J$1197,"-",0)="-",0,MATCH(_xlfn.XLOOKUP($A368,Korrelation!$D$4:$D$1197,Korrelation!J$4:J$1197,"",0),DMAV_Dienste!$F$6:$F$140,0)))</f>
        <v>0</v>
      </c>
      <c r="H368" s="57">
        <f>IF($A368="","",IF(_xlfn.XLOOKUP($A368,Korrelation!$D$4:$D$1197,Korrelation!K$4:K$1197,"-",0)="-",0,MATCH(_xlfn.XLOOKUP($A368,Korrelation!$D$4:$D$1197,Korrelation!K$4:K$1197,"",0),'DM01-AV-CH'!$A$6:$A$834,0)))</f>
        <v>0</v>
      </c>
      <c r="J368" s="54" t="str" cm="1">
        <f t="array" aca="1" ref="J368" ca="1">IF(B368=0,IF(E368=0,"",HYPERLINK("#"&amp;RIGHT(CELL("adresse",OFFSET(DMAV_Dienste!$M$6,E368-1,0)),LEN(CELL("adresse",OFFSET(DMAV_Dienste!$M$6,E368-1,0)))-FIND("]",CELL("adresse",OFFSET(DMAV_Dienste!$M$6,E368-1,0)))),"Dienst")),HYPERLINK("#"&amp;RIGHT(CELL("adresse",OFFSET(DMAV_Modell!$N$6,B368-1,0)),LEN(CELL("adresse",OFFSET(DMAV_Modell!$N$6,B368-1,0)))-FIND("]",CELL("adresse",OFFSET(DMAV_Modell!$N$6,B368-1,0)))),"Modell"))</f>
        <v>Modell</v>
      </c>
      <c r="K368" s="61" t="str" cm="1">
        <f t="array" ref="K368">IF($B368=0,IF($E368=0,"",IF(INDEX(DMAV_Dienste!P$6:P$140,$E368)="","",INDEX(DMAV_Dienste!P$6:P$140,$E368))),IF(INDEX(DMAV_Modell!Q$6:Q$838,$B368)="","",INDEX(DMAV_Modell!Q$6:Q$838,$B368)))</f>
        <v>ASSOCIATION</v>
      </c>
      <c r="L368" s="62" t="str" cm="1">
        <f t="array" ref="L368">IF($B368=0,IF($E368=0,"",IF(INDEX(DMAV_Dienste!O$6:O$140,$E368)="","",INDEX(DMAV_Dienste!O$6:O$140,$E368))),IF(INDEX(DMAV_Modell!P$6:P$838,$B368)="","",INDEX(DMAV_Modell!P$6:P$838,$B368)))</f>
        <v>HoheitsgrenzenAV</v>
      </c>
      <c r="M368" s="62" t="str" cm="1">
        <f t="array" ref="M368">IF($B368=0,IF($E368=0,"",IF(INDEX(DMAV_Dienste!Q$6:Q$140,$E368)="","",INDEX(DMAV_Dienste!Q$6:Q$140,$E368))),IF(INDEX(DMAV_Modell!R$6:R$838,$B368)="","",INDEX(DMAV_Modell!R$6:R$838,$B368)))</f>
        <v>Entstehung_Gemeinde</v>
      </c>
      <c r="N368" s="62" t="str" cm="1">
        <f t="array" ref="N368">IF($B368=0,IF($E368=0,"",IF(INDEX(DMAV_Dienste!T$6:T$140,$E368)="","",INDEX(DMAV_Dienste!T$6:T$140,$E368))),IF(INDEX(DMAV_Modell!U$6:U$838,$B368)="","",INDEX(DMAV_Modell!U$6:U$838,$B368)))</f>
        <v>entstehende_Gemeinde</v>
      </c>
      <c r="O368" s="63" t="str" cm="1">
        <f t="array" aca="1" ref="O368" ca="1">IF(C368=0,IF(F368=0,"",HYPERLINK("#"&amp;RIGHT(CELL("adresse",OFFSET(DMAV_Dienste!$M$6,F368-1,0)),LEN(CELL("adresse",OFFSET(DMAV_Dienste!$M$6,F368-1,0)))-FIND("]",CELL("adresse",OFFSET(DMAV_Dienste!$M$6,F368-1,0)))),"Structure")),HYPERLINK("#"&amp;RIGHT(CELL("adresse",OFFSET(DMAV_Modell!$N$6,C368-1,0)),LEN(CELL("adresse",OFFSET(DMAV_Modell!$N$6,C368-1,0)))-FIND("]",CELL("adresse",OFFSET(DMAV_Modell!$N$6,C368-1,0)))),"Structure"))</f>
        <v/>
      </c>
      <c r="P368" s="64" t="str" cm="1">
        <f t="array" aca="1" ref="P368" ca="1">IF(D368=0,IF(G368=0,"",HYPERLINK("#"&amp;RIGHT(CELL("adresse",OFFSET(DMAV_Dienste!$M$6,G368-1,0)),LEN(CELL("adresse",OFFSET(DMAV_Dienste!$M$6,G368-1,0)))-FIND("]",CELL("adresse",OFFSET(DMAV_Dienste!$M$6,G368-1,0)))),"Substructure")),HYPERLINK("#"&amp;RIGHT(CELL("adresse",OFFSET(DMAV_Modell!$N$6,D368-1,0)),LEN(CELL("adresse",OFFSET(DMAV_Modell!$N$6,D368-1,0)))-FIND("]",CELL("adresse",OFFSET(DMAV_Modell!$N$6,D368-1,0)))),"Substructure"))</f>
        <v/>
      </c>
      <c r="R368" s="80"/>
      <c r="T368" s="93"/>
      <c r="U368" s="94"/>
      <c r="V368" s="95"/>
      <c r="W368" s="96"/>
      <c r="Y368" s="85"/>
      <c r="Z368" s="86"/>
      <c r="AA368" s="87"/>
      <c r="AB368" s="88"/>
      <c r="AD368" s="77"/>
      <c r="AF368" s="54" t="str" cm="1">
        <f t="array" aca="1" ref="AF368" ca="1">IF(H368=0,"",HYPERLINK("#"&amp;RIGHT(CELL("adresse",OFFSET('DM01-AV-CH'!$G$6,H368-1,0)),LEN(CELL("adresse",OFFSET('DM01-AV-CH'!$G$6,H368-1,0)))-FIND("]",CELL("adresse",OFFSET('DM01-AV-CH'!$G$6,H368-1,0)))),"Modell"))</f>
        <v/>
      </c>
      <c r="AG368" s="72" t="str" cm="1">
        <f t="array" ref="AG368">IF($H368=0,"",IF(INDEX('DM01-AV-CH'!G$6:G$834,$H368)="","",INDEX('DM01-AV-CH'!G$6:G$834,$H368)))</f>
        <v/>
      </c>
      <c r="AH368" s="73" t="str" cm="1">
        <f t="array" ref="AH368">IF($H368=0,"",IF(INDEX('DM01-AV-CH'!H$6:H$834,$H368)="","",INDEX('DM01-AV-CH'!H$6:H$834,$H368)))</f>
        <v/>
      </c>
      <c r="AI368" s="74" t="str" cm="1">
        <f t="array" ref="AI368">IF($H368=0,"",IF(INDEX('DM01-AV-CH'!I$6:I$834,$H368)="","",INDEX('DM01-AV-CH'!I$6:I$834,$H368)))</f>
        <v/>
      </c>
    </row>
    <row r="369" spans="1:35" x14ac:dyDescent="0.25">
      <c r="A369" s="57">
        <v>364</v>
      </c>
      <c r="B369" s="57">
        <f>IF($A369="","",IF(_xlfn.XLOOKUP($A369,Korrelation!$D$4:$D$1197,Korrelation!E$4:E$1197,"-",0)="-",0,MATCH(_xlfn.XLOOKUP($A369,Korrelation!$D$4:$D$1197,Korrelation!E$4:E$1197,"",0),DMAV_Modell!$G$6:$G$677,0)))</f>
        <v>132</v>
      </c>
      <c r="C369" s="57">
        <f>IF($A369="","",IF(_xlfn.XLOOKUP($A369,Korrelation!$D$4:$D$1197,Korrelation!F$4:F$1197,"-",0)="-",0,MATCH(_xlfn.XLOOKUP($A369,Korrelation!$D$4:$D$1197,Korrelation!F$4:F$1197,"",0),DMAV_Modell!$G$6:$G$677,0)))</f>
        <v>0</v>
      </c>
      <c r="D369" s="57">
        <f>IF($A369="","",IF(_xlfn.XLOOKUP($A369,Korrelation!$D$4:$D$1197,Korrelation!G$4:G$1197,"-",0)="-",0,MATCH(_xlfn.XLOOKUP($A369,Korrelation!$D$4:$D$1197,Korrelation!G$4:G$1197,"",0),DMAV_Modell!$G$6:$G$677,0)))</f>
        <v>0</v>
      </c>
      <c r="E369" s="57">
        <f>IF($A369="","",IF(_xlfn.XLOOKUP($A369,Korrelation!$D$4:$D$1197,Korrelation!H$4:H$1197,"-",0)="-",0,MATCH(_xlfn.XLOOKUP($A369,Korrelation!$D$4:$D$1197,Korrelation!H$4:H$1197,"",0),DMAV_Dienste!$F$6:$F$140,0)))</f>
        <v>0</v>
      </c>
      <c r="F369" s="57">
        <f>IF($A369="","",IF(_xlfn.XLOOKUP($A369,Korrelation!$D$4:$D$1197,Korrelation!I$4:I$1197,"-",0)="-",0,MATCH(_xlfn.XLOOKUP($A369,Korrelation!$D$4:$D$1197,Korrelation!I$4:I$1197,"",0),DMAV_Dienste!$F$6:$F$140,0)))</f>
        <v>0</v>
      </c>
      <c r="G369" s="57">
        <f>IF($A369="","",IF(_xlfn.XLOOKUP($A369,Korrelation!$D$4:$D$1197,Korrelation!J$4:J$1197,"-",0)="-",0,MATCH(_xlfn.XLOOKUP($A369,Korrelation!$D$4:$D$1197,Korrelation!J$4:J$1197,"",0),DMAV_Dienste!$F$6:$F$140,0)))</f>
        <v>0</v>
      </c>
      <c r="H369" s="57">
        <f>IF($A369="","",IF(_xlfn.XLOOKUP($A369,Korrelation!$D$4:$D$1197,Korrelation!K$4:K$1197,"-",0)="-",0,MATCH(_xlfn.XLOOKUP($A369,Korrelation!$D$4:$D$1197,Korrelation!K$4:K$1197,"",0),'DM01-AV-CH'!$A$6:$A$834,0)))</f>
        <v>0</v>
      </c>
      <c r="J369" s="54" t="str" cm="1">
        <f t="array" aca="1" ref="J369" ca="1">IF(B369=0,IF(E369=0,"",HYPERLINK("#"&amp;RIGHT(CELL("adresse",OFFSET(DMAV_Dienste!$M$6,E369-1,0)),LEN(CELL("adresse",OFFSET(DMAV_Dienste!$M$6,E369-1,0)))-FIND("]",CELL("adresse",OFFSET(DMAV_Dienste!$M$6,E369-1,0)))),"Dienst")),HYPERLINK("#"&amp;RIGHT(CELL("adresse",OFFSET(DMAV_Modell!$N$6,B369-1,0)),LEN(CELL("adresse",OFFSET(DMAV_Modell!$N$6,B369-1,0)))-FIND("]",CELL("adresse",OFFSET(DMAV_Modell!$N$6,B369-1,0)))),"Modell"))</f>
        <v>Modell</v>
      </c>
      <c r="K369" s="61" t="str" cm="1">
        <f t="array" ref="K369">IF($B369=0,IF($E369=0,"",IF(INDEX(DMAV_Dienste!P$6:P$140,$E369)="","",INDEX(DMAV_Dienste!P$6:P$140,$E369))),IF(INDEX(DMAV_Modell!Q$6:Q$838,$B369)="","",INDEX(DMAV_Modell!Q$6:Q$838,$B369)))</f>
        <v>ASSOCIATION</v>
      </c>
      <c r="L369" s="62" t="str" cm="1">
        <f t="array" ref="L369">IF($B369=0,IF($E369=0,"",IF(INDEX(DMAV_Dienste!O$6:O$140,$E369)="","",INDEX(DMAV_Dienste!O$6:O$140,$E369))),IF(INDEX(DMAV_Modell!P$6:P$838,$B369)="","",INDEX(DMAV_Modell!P$6:P$838,$B369)))</f>
        <v>HoheitsgrenzenAV</v>
      </c>
      <c r="M369" s="62" t="str" cm="1">
        <f t="array" ref="M369">IF($B369=0,IF($E369=0,"",IF(INDEX(DMAV_Dienste!Q$6:Q$140,$E369)="","",INDEX(DMAV_Dienste!Q$6:Q$140,$E369))),IF(INDEX(DMAV_Modell!R$6:R$838,$B369)="","",INDEX(DMAV_Modell!R$6:R$838,$B369)))</f>
        <v>Untergang_Gemeinde</v>
      </c>
      <c r="N369" s="62" t="str" cm="1">
        <f t="array" ref="N369">IF($B369=0,IF($E369=0,"",IF(INDEX(DMAV_Dienste!T$6:T$140,$E369)="","",INDEX(DMAV_Dienste!T$6:T$140,$E369))),IF(INDEX(DMAV_Modell!U$6:U$838,$B369)="","",INDEX(DMAV_Modell!U$6:U$838,$B369)))</f>
        <v>Untergang</v>
      </c>
      <c r="O369" s="63" t="str" cm="1">
        <f t="array" aca="1" ref="O369" ca="1">IF(C369=0,IF(F369=0,"",HYPERLINK("#"&amp;RIGHT(CELL("adresse",OFFSET(DMAV_Dienste!$M$6,F369-1,0)),LEN(CELL("adresse",OFFSET(DMAV_Dienste!$M$6,F369-1,0)))-FIND("]",CELL("adresse",OFFSET(DMAV_Dienste!$M$6,F369-1,0)))),"Structure")),HYPERLINK("#"&amp;RIGHT(CELL("adresse",OFFSET(DMAV_Modell!$N$6,C369-1,0)),LEN(CELL("adresse",OFFSET(DMAV_Modell!$N$6,C369-1,0)))-FIND("]",CELL("adresse",OFFSET(DMAV_Modell!$N$6,C369-1,0)))),"Structure"))</f>
        <v/>
      </c>
      <c r="P369" s="64" t="str" cm="1">
        <f t="array" aca="1" ref="P369" ca="1">IF(D369=0,IF(G369=0,"",HYPERLINK("#"&amp;RIGHT(CELL("adresse",OFFSET(DMAV_Dienste!$M$6,G369-1,0)),LEN(CELL("adresse",OFFSET(DMAV_Dienste!$M$6,G369-1,0)))-FIND("]",CELL("adresse",OFFSET(DMAV_Dienste!$M$6,G369-1,0)))),"Substructure")),HYPERLINK("#"&amp;RIGHT(CELL("adresse",OFFSET(DMAV_Modell!$N$6,D369-1,0)),LEN(CELL("adresse",OFFSET(DMAV_Modell!$N$6,D369-1,0)))-FIND("]",CELL("adresse",OFFSET(DMAV_Modell!$N$6,D369-1,0)))),"Substructure"))</f>
        <v/>
      </c>
      <c r="R369" s="80"/>
      <c r="T369" s="93"/>
      <c r="U369" s="94"/>
      <c r="V369" s="95"/>
      <c r="W369" s="96"/>
      <c r="Y369" s="85"/>
      <c r="Z369" s="86"/>
      <c r="AA369" s="87"/>
      <c r="AB369" s="88"/>
      <c r="AD369" s="77"/>
      <c r="AF369" s="54" t="str" cm="1">
        <f t="array" aca="1" ref="AF369" ca="1">IF(H369=0,"",HYPERLINK("#"&amp;RIGHT(CELL("adresse",OFFSET('DM01-AV-CH'!$G$6,H369-1,0)),LEN(CELL("adresse",OFFSET('DM01-AV-CH'!$G$6,H369-1,0)))-FIND("]",CELL("adresse",OFFSET('DM01-AV-CH'!$G$6,H369-1,0)))),"Modell"))</f>
        <v/>
      </c>
      <c r="AG369" s="72" t="str" cm="1">
        <f t="array" ref="AG369">IF($H369=0,"",IF(INDEX('DM01-AV-CH'!G$6:G$834,$H369)="","",INDEX('DM01-AV-CH'!G$6:G$834,$H369)))</f>
        <v/>
      </c>
      <c r="AH369" s="73" t="str" cm="1">
        <f t="array" ref="AH369">IF($H369=0,"",IF(INDEX('DM01-AV-CH'!H$6:H$834,$H369)="","",INDEX('DM01-AV-CH'!H$6:H$834,$H369)))</f>
        <v/>
      </c>
      <c r="AI369" s="74" t="str" cm="1">
        <f t="array" ref="AI369">IF($H369=0,"",IF(INDEX('DM01-AV-CH'!I$6:I$834,$H369)="","",INDEX('DM01-AV-CH'!I$6:I$834,$H369)))</f>
        <v/>
      </c>
    </row>
    <row r="370" spans="1:35" x14ac:dyDescent="0.25">
      <c r="A370" s="57">
        <v>365</v>
      </c>
      <c r="B370" s="57">
        <f>IF($A370="","",IF(_xlfn.XLOOKUP($A370,Korrelation!$D$4:$D$1197,Korrelation!E$4:E$1197,"-",0)="-",0,MATCH(_xlfn.XLOOKUP($A370,Korrelation!$D$4:$D$1197,Korrelation!E$4:E$1197,"",0),DMAV_Modell!$G$6:$G$677,0)))</f>
        <v>133</v>
      </c>
      <c r="C370" s="57">
        <f>IF($A370="","",IF(_xlfn.XLOOKUP($A370,Korrelation!$D$4:$D$1197,Korrelation!F$4:F$1197,"-",0)="-",0,MATCH(_xlfn.XLOOKUP($A370,Korrelation!$D$4:$D$1197,Korrelation!F$4:F$1197,"",0),DMAV_Modell!$G$6:$G$677,0)))</f>
        <v>0</v>
      </c>
      <c r="D370" s="57">
        <f>IF($A370="","",IF(_xlfn.XLOOKUP($A370,Korrelation!$D$4:$D$1197,Korrelation!G$4:G$1197,"-",0)="-",0,MATCH(_xlfn.XLOOKUP($A370,Korrelation!$D$4:$D$1197,Korrelation!G$4:G$1197,"",0),DMAV_Modell!$G$6:$G$677,0)))</f>
        <v>0</v>
      </c>
      <c r="E370" s="57">
        <f>IF($A370="","",IF(_xlfn.XLOOKUP($A370,Korrelation!$D$4:$D$1197,Korrelation!H$4:H$1197,"-",0)="-",0,MATCH(_xlfn.XLOOKUP($A370,Korrelation!$D$4:$D$1197,Korrelation!H$4:H$1197,"",0),DMAV_Dienste!$F$6:$F$140,0)))</f>
        <v>0</v>
      </c>
      <c r="F370" s="57">
        <f>IF($A370="","",IF(_xlfn.XLOOKUP($A370,Korrelation!$D$4:$D$1197,Korrelation!I$4:I$1197,"-",0)="-",0,MATCH(_xlfn.XLOOKUP($A370,Korrelation!$D$4:$D$1197,Korrelation!I$4:I$1197,"",0),DMAV_Dienste!$F$6:$F$140,0)))</f>
        <v>0</v>
      </c>
      <c r="G370" s="57">
        <f>IF($A370="","",IF(_xlfn.XLOOKUP($A370,Korrelation!$D$4:$D$1197,Korrelation!J$4:J$1197,"-",0)="-",0,MATCH(_xlfn.XLOOKUP($A370,Korrelation!$D$4:$D$1197,Korrelation!J$4:J$1197,"",0),DMAV_Dienste!$F$6:$F$140,0)))</f>
        <v>0</v>
      </c>
      <c r="H370" s="57">
        <f>IF($A370="","",IF(_xlfn.XLOOKUP($A370,Korrelation!$D$4:$D$1197,Korrelation!K$4:K$1197,"-",0)="-",0,MATCH(_xlfn.XLOOKUP($A370,Korrelation!$D$4:$D$1197,Korrelation!K$4:K$1197,"",0),'DM01-AV-CH'!$A$6:$A$834,0)))</f>
        <v>0</v>
      </c>
      <c r="J370" s="54" t="str" cm="1">
        <f t="array" aca="1" ref="J370" ca="1">IF(B370=0,IF(E370=0,"",HYPERLINK("#"&amp;RIGHT(CELL("adresse",OFFSET(DMAV_Dienste!$M$6,E370-1,0)),LEN(CELL("adresse",OFFSET(DMAV_Dienste!$M$6,E370-1,0)))-FIND("]",CELL("adresse",OFFSET(DMAV_Dienste!$M$6,E370-1,0)))),"Dienst")),HYPERLINK("#"&amp;RIGHT(CELL("adresse",OFFSET(DMAV_Modell!$N$6,B370-1,0)),LEN(CELL("adresse",OFFSET(DMAV_Modell!$N$6,B370-1,0)))-FIND("]",CELL("adresse",OFFSET(DMAV_Modell!$N$6,B370-1,0)))),"Modell"))</f>
        <v>Modell</v>
      </c>
      <c r="K370" s="61" t="str" cm="1">
        <f t="array" ref="K370">IF($B370=0,IF($E370=0,"",IF(INDEX(DMAV_Dienste!P$6:P$140,$E370)="","",INDEX(DMAV_Dienste!P$6:P$140,$E370))),IF(INDEX(DMAV_Modell!Q$6:Q$838,$B370)="","",INDEX(DMAV_Modell!Q$6:Q$838,$B370)))</f>
        <v>ASSOCIATION</v>
      </c>
      <c r="L370" s="62" t="str" cm="1">
        <f t="array" ref="L370">IF($B370=0,IF($E370=0,"",IF(INDEX(DMAV_Dienste!O$6:O$140,$E370)="","",INDEX(DMAV_Dienste!O$6:O$140,$E370))),IF(INDEX(DMAV_Modell!P$6:P$838,$B370)="","",INDEX(DMAV_Modell!P$6:P$838,$B370)))</f>
        <v>HoheitsgrenzenAV</v>
      </c>
      <c r="M370" s="62" t="str" cm="1">
        <f t="array" ref="M370">IF($B370=0,IF($E370=0,"",IF(INDEX(DMAV_Dienste!Q$6:Q$140,$E370)="","",INDEX(DMAV_Dienste!Q$6:Q$140,$E370))),IF(INDEX(DMAV_Modell!R$6:R$838,$B370)="","",INDEX(DMAV_Modell!R$6:R$838,$B370)))</f>
        <v>Untergang_Gemeinde</v>
      </c>
      <c r="N370" s="62" t="str" cm="1">
        <f t="array" ref="N370">IF($B370=0,IF($E370=0,"",IF(INDEX(DMAV_Dienste!T$6:T$140,$E370)="","",INDEX(DMAV_Dienste!T$6:T$140,$E370))),IF(INDEX(DMAV_Modell!U$6:U$838,$B370)="","",INDEX(DMAV_Modell!U$6:U$838,$B370)))</f>
        <v>untergehende_Gemeinde</v>
      </c>
      <c r="O370" s="63" t="str" cm="1">
        <f t="array" aca="1" ref="O370" ca="1">IF(C370=0,IF(F370=0,"",HYPERLINK("#"&amp;RIGHT(CELL("adresse",OFFSET(DMAV_Dienste!$M$6,F370-1,0)),LEN(CELL("adresse",OFFSET(DMAV_Dienste!$M$6,F370-1,0)))-FIND("]",CELL("adresse",OFFSET(DMAV_Dienste!$M$6,F370-1,0)))),"Structure")),HYPERLINK("#"&amp;RIGHT(CELL("adresse",OFFSET(DMAV_Modell!$N$6,C370-1,0)),LEN(CELL("adresse",OFFSET(DMAV_Modell!$N$6,C370-1,0)))-FIND("]",CELL("adresse",OFFSET(DMAV_Modell!$N$6,C370-1,0)))),"Structure"))</f>
        <v/>
      </c>
      <c r="P370" s="64" t="str" cm="1">
        <f t="array" aca="1" ref="P370" ca="1">IF(D370=0,IF(G370=0,"",HYPERLINK("#"&amp;RIGHT(CELL("adresse",OFFSET(DMAV_Dienste!$M$6,G370-1,0)),LEN(CELL("adresse",OFFSET(DMAV_Dienste!$M$6,G370-1,0)))-FIND("]",CELL("adresse",OFFSET(DMAV_Dienste!$M$6,G370-1,0)))),"Substructure")),HYPERLINK("#"&amp;RIGHT(CELL("adresse",OFFSET(DMAV_Modell!$N$6,D370-1,0)),LEN(CELL("adresse",OFFSET(DMAV_Modell!$N$6,D370-1,0)))-FIND("]",CELL("adresse",OFFSET(DMAV_Modell!$N$6,D370-1,0)))),"Substructure"))</f>
        <v/>
      </c>
      <c r="R370" s="80"/>
      <c r="T370" s="93"/>
      <c r="U370" s="94"/>
      <c r="V370" s="95"/>
      <c r="W370" s="96"/>
      <c r="Y370" s="85"/>
      <c r="Z370" s="86"/>
      <c r="AA370" s="87"/>
      <c r="AB370" s="88"/>
      <c r="AD370" s="77"/>
      <c r="AF370" s="54" t="str" cm="1">
        <f t="array" aca="1" ref="AF370" ca="1">IF(H370=0,"",HYPERLINK("#"&amp;RIGHT(CELL("adresse",OFFSET('DM01-AV-CH'!$G$6,H370-1,0)),LEN(CELL("adresse",OFFSET('DM01-AV-CH'!$G$6,H370-1,0)))-FIND("]",CELL("adresse",OFFSET('DM01-AV-CH'!$G$6,H370-1,0)))),"Modell"))</f>
        <v/>
      </c>
      <c r="AG370" s="72" t="str" cm="1">
        <f t="array" ref="AG370">IF($H370=0,"",IF(INDEX('DM01-AV-CH'!G$6:G$834,$H370)="","",INDEX('DM01-AV-CH'!G$6:G$834,$H370)))</f>
        <v/>
      </c>
      <c r="AH370" s="73" t="str" cm="1">
        <f t="array" ref="AH370">IF($H370=0,"",IF(INDEX('DM01-AV-CH'!H$6:H$834,$H370)="","",INDEX('DM01-AV-CH'!H$6:H$834,$H370)))</f>
        <v/>
      </c>
      <c r="AI370" s="74" t="str" cm="1">
        <f t="array" ref="AI370">IF($H370=0,"",IF(INDEX('DM01-AV-CH'!I$6:I$834,$H370)="","",INDEX('DM01-AV-CH'!I$6:I$834,$H370)))</f>
        <v/>
      </c>
    </row>
    <row r="371" spans="1:35" x14ac:dyDescent="0.25">
      <c r="A371" s="57">
        <v>366</v>
      </c>
      <c r="B371" s="57">
        <f>IF($A371="","",IF(_xlfn.XLOOKUP($A371,Korrelation!$D$4:$D$1197,Korrelation!E$4:E$1197,"-",0)="-",0,MATCH(_xlfn.XLOOKUP($A371,Korrelation!$D$4:$D$1197,Korrelation!E$4:E$1197,"",0),DMAV_Modell!$G$6:$G$677,0)))</f>
        <v>134</v>
      </c>
      <c r="C371" s="57">
        <f>IF($A371="","",IF(_xlfn.XLOOKUP($A371,Korrelation!$D$4:$D$1197,Korrelation!F$4:F$1197,"-",0)="-",0,MATCH(_xlfn.XLOOKUP($A371,Korrelation!$D$4:$D$1197,Korrelation!F$4:F$1197,"",0),DMAV_Modell!$G$6:$G$677,0)))</f>
        <v>0</v>
      </c>
      <c r="D371" s="57">
        <f>IF($A371="","",IF(_xlfn.XLOOKUP($A371,Korrelation!$D$4:$D$1197,Korrelation!G$4:G$1197,"-",0)="-",0,MATCH(_xlfn.XLOOKUP($A371,Korrelation!$D$4:$D$1197,Korrelation!G$4:G$1197,"",0),DMAV_Modell!$G$6:$G$677,0)))</f>
        <v>0</v>
      </c>
      <c r="E371" s="57">
        <f>IF($A371="","",IF(_xlfn.XLOOKUP($A371,Korrelation!$D$4:$D$1197,Korrelation!H$4:H$1197,"-",0)="-",0,MATCH(_xlfn.XLOOKUP($A371,Korrelation!$D$4:$D$1197,Korrelation!H$4:H$1197,"",0),DMAV_Dienste!$F$6:$F$140,0)))</f>
        <v>0</v>
      </c>
      <c r="F371" s="57">
        <f>IF($A371="","",IF(_xlfn.XLOOKUP($A371,Korrelation!$D$4:$D$1197,Korrelation!I$4:I$1197,"-",0)="-",0,MATCH(_xlfn.XLOOKUP($A371,Korrelation!$D$4:$D$1197,Korrelation!I$4:I$1197,"",0),DMAV_Dienste!$F$6:$F$140,0)))</f>
        <v>0</v>
      </c>
      <c r="G371" s="57">
        <f>IF($A371="","",IF(_xlfn.XLOOKUP($A371,Korrelation!$D$4:$D$1197,Korrelation!J$4:J$1197,"-",0)="-",0,MATCH(_xlfn.XLOOKUP($A371,Korrelation!$D$4:$D$1197,Korrelation!J$4:J$1197,"",0),DMAV_Dienste!$F$6:$F$140,0)))</f>
        <v>0</v>
      </c>
      <c r="H371" s="57">
        <f>IF($A371="","",IF(_xlfn.XLOOKUP($A371,Korrelation!$D$4:$D$1197,Korrelation!K$4:K$1197,"-",0)="-",0,MATCH(_xlfn.XLOOKUP($A371,Korrelation!$D$4:$D$1197,Korrelation!K$4:K$1197,"",0),'DM01-AV-CH'!$A$6:$A$834,0)))</f>
        <v>0</v>
      </c>
      <c r="J371" s="54" t="str" cm="1">
        <f t="array" aca="1" ref="J371" ca="1">IF(B371=0,IF(E371=0,"",HYPERLINK("#"&amp;RIGHT(CELL("adresse",OFFSET(DMAV_Dienste!$M$6,E371-1,0)),LEN(CELL("adresse",OFFSET(DMAV_Dienste!$M$6,E371-1,0)))-FIND("]",CELL("adresse",OFFSET(DMAV_Dienste!$M$6,E371-1,0)))),"Dienst")),HYPERLINK("#"&amp;RIGHT(CELL("adresse",OFFSET(DMAV_Modell!$N$6,B371-1,0)),LEN(CELL("adresse",OFFSET(DMAV_Modell!$N$6,B371-1,0)))-FIND("]",CELL("adresse",OFFSET(DMAV_Modell!$N$6,B371-1,0)))),"Modell"))</f>
        <v>Modell</v>
      </c>
      <c r="K371" s="61" t="str" cm="1">
        <f t="array" ref="K371">IF($B371=0,IF($E371=0,"",IF(INDEX(DMAV_Dienste!P$6:P$140,$E371)="","",INDEX(DMAV_Dienste!P$6:P$140,$E371))),IF(INDEX(DMAV_Modell!Q$6:Q$838,$B371)="","",INDEX(DMAV_Modell!Q$6:Q$838,$B371)))</f>
        <v>ASSOCIATION</v>
      </c>
      <c r="L371" s="62" t="str" cm="1">
        <f t="array" ref="L371">IF($B371=0,IF($E371=0,"",IF(INDEX(DMAV_Dienste!O$6:O$140,$E371)="","",INDEX(DMAV_Dienste!O$6:O$140,$E371))),IF(INDEX(DMAV_Modell!P$6:P$838,$B371)="","",INDEX(DMAV_Modell!P$6:P$838,$B371)))</f>
        <v>HoheitsgrenzenAV</v>
      </c>
      <c r="M371" s="62" t="str" cm="1">
        <f t="array" ref="M371">IF($B371=0,IF($E371=0,"",IF(INDEX(DMAV_Dienste!Q$6:Q$140,$E371)="","",INDEX(DMAV_Dienste!Q$6:Q$140,$E371))),IF(INDEX(DMAV_Modell!R$6:R$838,$B371)="","",INDEX(DMAV_Modell!R$6:R$838,$B371)))</f>
        <v>Vorgaenger_Nachfolger_Gemeinde</v>
      </c>
      <c r="N371" s="62" t="str" cm="1">
        <f t="array" ref="N371">IF($B371=0,IF($E371=0,"",IF(INDEX(DMAV_Dienste!T$6:T$140,$E371)="","",INDEX(DMAV_Dienste!T$6:T$140,$E371))),IF(INDEX(DMAV_Modell!U$6:U$838,$B371)="","",INDEX(DMAV_Modell!U$6:U$838,$B371)))</f>
        <v>Vorgaenger</v>
      </c>
      <c r="O371" s="63" t="str" cm="1">
        <f t="array" aca="1" ref="O371" ca="1">IF(C371=0,IF(F371=0,"",HYPERLINK("#"&amp;RIGHT(CELL("adresse",OFFSET(DMAV_Dienste!$M$6,F371-1,0)),LEN(CELL("adresse",OFFSET(DMAV_Dienste!$M$6,F371-1,0)))-FIND("]",CELL("adresse",OFFSET(DMAV_Dienste!$M$6,F371-1,0)))),"Structure")),HYPERLINK("#"&amp;RIGHT(CELL("adresse",OFFSET(DMAV_Modell!$N$6,C371-1,0)),LEN(CELL("adresse",OFFSET(DMAV_Modell!$N$6,C371-1,0)))-FIND("]",CELL("adresse",OFFSET(DMAV_Modell!$N$6,C371-1,0)))),"Structure"))</f>
        <v/>
      </c>
      <c r="P371" s="64" t="str" cm="1">
        <f t="array" aca="1" ref="P371" ca="1">IF(D371=0,IF(G371=0,"",HYPERLINK("#"&amp;RIGHT(CELL("adresse",OFFSET(DMAV_Dienste!$M$6,G371-1,0)),LEN(CELL("adresse",OFFSET(DMAV_Dienste!$M$6,G371-1,0)))-FIND("]",CELL("adresse",OFFSET(DMAV_Dienste!$M$6,G371-1,0)))),"Substructure")),HYPERLINK("#"&amp;RIGHT(CELL("adresse",OFFSET(DMAV_Modell!$N$6,D371-1,0)),LEN(CELL("adresse",OFFSET(DMAV_Modell!$N$6,D371-1,0)))-FIND("]",CELL("adresse",OFFSET(DMAV_Modell!$N$6,D371-1,0)))),"Substructure"))</f>
        <v/>
      </c>
      <c r="R371" s="80"/>
      <c r="T371" s="93"/>
      <c r="U371" s="94"/>
      <c r="V371" s="95"/>
      <c r="W371" s="96"/>
      <c r="Y371" s="85"/>
      <c r="Z371" s="86"/>
      <c r="AA371" s="87"/>
      <c r="AB371" s="88"/>
      <c r="AD371" s="77"/>
      <c r="AF371" s="54" t="str" cm="1">
        <f t="array" aca="1" ref="AF371" ca="1">IF(H371=0,"",HYPERLINK("#"&amp;RIGHT(CELL("adresse",OFFSET('DM01-AV-CH'!$G$6,H371-1,0)),LEN(CELL("adresse",OFFSET('DM01-AV-CH'!$G$6,H371-1,0)))-FIND("]",CELL("adresse",OFFSET('DM01-AV-CH'!$G$6,H371-1,0)))),"Modell"))</f>
        <v/>
      </c>
      <c r="AG371" s="72" t="str" cm="1">
        <f t="array" ref="AG371">IF($H371=0,"",IF(INDEX('DM01-AV-CH'!G$6:G$834,$H371)="","",INDEX('DM01-AV-CH'!G$6:G$834,$H371)))</f>
        <v/>
      </c>
      <c r="AH371" s="73" t="str" cm="1">
        <f t="array" ref="AH371">IF($H371=0,"",IF(INDEX('DM01-AV-CH'!H$6:H$834,$H371)="","",INDEX('DM01-AV-CH'!H$6:H$834,$H371)))</f>
        <v/>
      </c>
      <c r="AI371" s="74" t="str" cm="1">
        <f t="array" ref="AI371">IF($H371=0,"",IF(INDEX('DM01-AV-CH'!I$6:I$834,$H371)="","",INDEX('DM01-AV-CH'!I$6:I$834,$H371)))</f>
        <v/>
      </c>
    </row>
    <row r="372" spans="1:35" x14ac:dyDescent="0.25">
      <c r="A372" s="57">
        <v>367</v>
      </c>
      <c r="B372" s="57">
        <f>IF($A372="","",IF(_xlfn.XLOOKUP($A372,Korrelation!$D$4:$D$1197,Korrelation!E$4:E$1197,"-",0)="-",0,MATCH(_xlfn.XLOOKUP($A372,Korrelation!$D$4:$D$1197,Korrelation!E$4:E$1197,"",0),DMAV_Modell!$G$6:$G$677,0)))</f>
        <v>135</v>
      </c>
      <c r="C372" s="57">
        <f>IF($A372="","",IF(_xlfn.XLOOKUP($A372,Korrelation!$D$4:$D$1197,Korrelation!F$4:F$1197,"-",0)="-",0,MATCH(_xlfn.XLOOKUP($A372,Korrelation!$D$4:$D$1197,Korrelation!F$4:F$1197,"",0),DMAV_Modell!$G$6:$G$677,0)))</f>
        <v>0</v>
      </c>
      <c r="D372" s="57">
        <f>IF($A372="","",IF(_xlfn.XLOOKUP($A372,Korrelation!$D$4:$D$1197,Korrelation!G$4:G$1197,"-",0)="-",0,MATCH(_xlfn.XLOOKUP($A372,Korrelation!$D$4:$D$1197,Korrelation!G$4:G$1197,"",0),DMAV_Modell!$G$6:$G$677,0)))</f>
        <v>0</v>
      </c>
      <c r="E372" s="57">
        <f>IF($A372="","",IF(_xlfn.XLOOKUP($A372,Korrelation!$D$4:$D$1197,Korrelation!H$4:H$1197,"-",0)="-",0,MATCH(_xlfn.XLOOKUP($A372,Korrelation!$D$4:$D$1197,Korrelation!H$4:H$1197,"",0),DMAV_Dienste!$F$6:$F$140,0)))</f>
        <v>0</v>
      </c>
      <c r="F372" s="57">
        <f>IF($A372="","",IF(_xlfn.XLOOKUP($A372,Korrelation!$D$4:$D$1197,Korrelation!I$4:I$1197,"-",0)="-",0,MATCH(_xlfn.XLOOKUP($A372,Korrelation!$D$4:$D$1197,Korrelation!I$4:I$1197,"",0),DMAV_Dienste!$F$6:$F$140,0)))</f>
        <v>0</v>
      </c>
      <c r="G372" s="57">
        <f>IF($A372="","",IF(_xlfn.XLOOKUP($A372,Korrelation!$D$4:$D$1197,Korrelation!J$4:J$1197,"-",0)="-",0,MATCH(_xlfn.XLOOKUP($A372,Korrelation!$D$4:$D$1197,Korrelation!J$4:J$1197,"",0),DMAV_Dienste!$F$6:$F$140,0)))</f>
        <v>0</v>
      </c>
      <c r="H372" s="57">
        <f>IF($A372="","",IF(_xlfn.XLOOKUP($A372,Korrelation!$D$4:$D$1197,Korrelation!K$4:K$1197,"-",0)="-",0,MATCH(_xlfn.XLOOKUP($A372,Korrelation!$D$4:$D$1197,Korrelation!K$4:K$1197,"",0),'DM01-AV-CH'!$A$6:$A$834,0)))</f>
        <v>0</v>
      </c>
      <c r="J372" s="54" t="str" cm="1">
        <f t="array" aca="1" ref="J372" ca="1">IF(B372=0,IF(E372=0,"",HYPERLINK("#"&amp;RIGHT(CELL("adresse",OFFSET(DMAV_Dienste!$M$6,E372-1,0)),LEN(CELL("adresse",OFFSET(DMAV_Dienste!$M$6,E372-1,0)))-FIND("]",CELL("adresse",OFFSET(DMAV_Dienste!$M$6,E372-1,0)))),"Dienst")),HYPERLINK("#"&amp;RIGHT(CELL("adresse",OFFSET(DMAV_Modell!$N$6,B372-1,0)),LEN(CELL("adresse",OFFSET(DMAV_Modell!$N$6,B372-1,0)))-FIND("]",CELL("adresse",OFFSET(DMAV_Modell!$N$6,B372-1,0)))),"Modell"))</f>
        <v>Modell</v>
      </c>
      <c r="K372" s="61" t="str" cm="1">
        <f t="array" ref="K372">IF($B372=0,IF($E372=0,"",IF(INDEX(DMAV_Dienste!P$6:P$140,$E372)="","",INDEX(DMAV_Dienste!P$6:P$140,$E372))),IF(INDEX(DMAV_Modell!Q$6:Q$838,$B372)="","",INDEX(DMAV_Modell!Q$6:Q$838,$B372)))</f>
        <v>ASSOCIATION</v>
      </c>
      <c r="L372" s="62" t="str" cm="1">
        <f t="array" ref="L372">IF($B372=0,IF($E372=0,"",IF(INDEX(DMAV_Dienste!O$6:O$140,$E372)="","",INDEX(DMAV_Dienste!O$6:O$140,$E372))),IF(INDEX(DMAV_Modell!P$6:P$838,$B372)="","",INDEX(DMAV_Modell!P$6:P$838,$B372)))</f>
        <v>HoheitsgrenzenAV</v>
      </c>
      <c r="M372" s="62" t="str" cm="1">
        <f t="array" ref="M372">IF($B372=0,IF($E372=0,"",IF(INDEX(DMAV_Dienste!Q$6:Q$140,$E372)="","",INDEX(DMAV_Dienste!Q$6:Q$140,$E372))),IF(INDEX(DMAV_Modell!R$6:R$838,$B372)="","",INDEX(DMAV_Modell!R$6:R$838,$B372)))</f>
        <v>Vorgaenger_Nachfolger_Gemeinde</v>
      </c>
      <c r="N372" s="62" t="str" cm="1">
        <f t="array" ref="N372">IF($B372=0,IF($E372=0,"",IF(INDEX(DMAV_Dienste!T$6:T$140,$E372)="","",INDEX(DMAV_Dienste!T$6:T$140,$E372))),IF(INDEX(DMAV_Modell!U$6:U$838,$B372)="","",INDEX(DMAV_Modell!U$6:U$838,$B372)))</f>
        <v>Nachfolger</v>
      </c>
      <c r="O372" s="63" t="str" cm="1">
        <f t="array" aca="1" ref="O372" ca="1">IF(C372=0,IF(F372=0,"",HYPERLINK("#"&amp;RIGHT(CELL("adresse",OFFSET(DMAV_Dienste!$M$6,F372-1,0)),LEN(CELL("adresse",OFFSET(DMAV_Dienste!$M$6,F372-1,0)))-FIND("]",CELL("adresse",OFFSET(DMAV_Dienste!$M$6,F372-1,0)))),"Structure")),HYPERLINK("#"&amp;RIGHT(CELL("adresse",OFFSET(DMAV_Modell!$N$6,C372-1,0)),LEN(CELL("adresse",OFFSET(DMAV_Modell!$N$6,C372-1,0)))-FIND("]",CELL("adresse",OFFSET(DMAV_Modell!$N$6,C372-1,0)))),"Structure"))</f>
        <v/>
      </c>
      <c r="P372" s="64" t="str" cm="1">
        <f t="array" aca="1" ref="P372" ca="1">IF(D372=0,IF(G372=0,"",HYPERLINK("#"&amp;RIGHT(CELL("adresse",OFFSET(DMAV_Dienste!$M$6,G372-1,0)),LEN(CELL("adresse",OFFSET(DMAV_Dienste!$M$6,G372-1,0)))-FIND("]",CELL("adresse",OFFSET(DMAV_Dienste!$M$6,G372-1,0)))),"Substructure")),HYPERLINK("#"&amp;RIGHT(CELL("adresse",OFFSET(DMAV_Modell!$N$6,D372-1,0)),LEN(CELL("adresse",OFFSET(DMAV_Modell!$N$6,D372-1,0)))-FIND("]",CELL("adresse",OFFSET(DMAV_Modell!$N$6,D372-1,0)))),"Substructure"))</f>
        <v/>
      </c>
      <c r="R372" s="80"/>
      <c r="T372" s="93"/>
      <c r="U372" s="94"/>
      <c r="V372" s="95"/>
      <c r="W372" s="96"/>
      <c r="Y372" s="85"/>
      <c r="Z372" s="86"/>
      <c r="AA372" s="87"/>
      <c r="AB372" s="88"/>
      <c r="AD372" s="77"/>
      <c r="AF372" s="54" t="str" cm="1">
        <f t="array" aca="1" ref="AF372" ca="1">IF(H372=0,"",HYPERLINK("#"&amp;RIGHT(CELL("adresse",OFFSET('DM01-AV-CH'!$G$6,H372-1,0)),LEN(CELL("adresse",OFFSET('DM01-AV-CH'!$G$6,H372-1,0)))-FIND("]",CELL("adresse",OFFSET('DM01-AV-CH'!$G$6,H372-1,0)))),"Modell"))</f>
        <v/>
      </c>
      <c r="AG372" s="72" t="str" cm="1">
        <f t="array" ref="AG372">IF($H372=0,"",IF(INDEX('DM01-AV-CH'!G$6:G$834,$H372)="","",INDEX('DM01-AV-CH'!G$6:G$834,$H372)))</f>
        <v/>
      </c>
      <c r="AH372" s="73" t="str" cm="1">
        <f t="array" ref="AH372">IF($H372=0,"",IF(INDEX('DM01-AV-CH'!H$6:H$834,$H372)="","",INDEX('DM01-AV-CH'!H$6:H$834,$H372)))</f>
        <v/>
      </c>
      <c r="AI372" s="74" t="str" cm="1">
        <f t="array" ref="AI372">IF($H372=0,"",IF(INDEX('DM01-AV-CH'!I$6:I$834,$H372)="","",INDEX('DM01-AV-CH'!I$6:I$834,$H372)))</f>
        <v/>
      </c>
    </row>
    <row r="373" spans="1:35" x14ac:dyDescent="0.25">
      <c r="A373" s="57">
        <v>368</v>
      </c>
      <c r="B373" s="57">
        <f>IF($A373="","",IF(_xlfn.XLOOKUP($A373,Korrelation!$D$4:$D$1197,Korrelation!E$4:E$1197,"-",0)="-",0,MATCH(_xlfn.XLOOKUP($A373,Korrelation!$D$4:$D$1197,Korrelation!E$4:E$1197,"",0),DMAV_Modell!$G$6:$G$677,0)))</f>
        <v>136</v>
      </c>
      <c r="C373" s="57">
        <f>IF($A373="","",IF(_xlfn.XLOOKUP($A373,Korrelation!$D$4:$D$1197,Korrelation!F$4:F$1197,"-",0)="-",0,MATCH(_xlfn.XLOOKUP($A373,Korrelation!$D$4:$D$1197,Korrelation!F$4:F$1197,"",0),DMAV_Modell!$G$6:$G$677,0)))</f>
        <v>0</v>
      </c>
      <c r="D373" s="57">
        <f>IF($A373="","",IF(_xlfn.XLOOKUP($A373,Korrelation!$D$4:$D$1197,Korrelation!G$4:G$1197,"-",0)="-",0,MATCH(_xlfn.XLOOKUP($A373,Korrelation!$D$4:$D$1197,Korrelation!G$4:G$1197,"",0),DMAV_Modell!$G$6:$G$677,0)))</f>
        <v>0</v>
      </c>
      <c r="E373" s="57">
        <f>IF($A373="","",IF(_xlfn.XLOOKUP($A373,Korrelation!$D$4:$D$1197,Korrelation!H$4:H$1197,"-",0)="-",0,MATCH(_xlfn.XLOOKUP($A373,Korrelation!$D$4:$D$1197,Korrelation!H$4:H$1197,"",0),DMAV_Dienste!$F$6:$F$140,0)))</f>
        <v>0</v>
      </c>
      <c r="F373" s="57">
        <f>IF($A373="","",IF(_xlfn.XLOOKUP($A373,Korrelation!$D$4:$D$1197,Korrelation!I$4:I$1197,"-",0)="-",0,MATCH(_xlfn.XLOOKUP($A373,Korrelation!$D$4:$D$1197,Korrelation!I$4:I$1197,"",0),DMAV_Dienste!$F$6:$F$140,0)))</f>
        <v>0</v>
      </c>
      <c r="G373" s="57">
        <f>IF($A373="","",IF(_xlfn.XLOOKUP($A373,Korrelation!$D$4:$D$1197,Korrelation!J$4:J$1197,"-",0)="-",0,MATCH(_xlfn.XLOOKUP($A373,Korrelation!$D$4:$D$1197,Korrelation!J$4:J$1197,"",0),DMAV_Dienste!$F$6:$F$140,0)))</f>
        <v>0</v>
      </c>
      <c r="H373" s="57">
        <f>IF($A373="","",IF(_xlfn.XLOOKUP($A373,Korrelation!$D$4:$D$1197,Korrelation!K$4:K$1197,"-",0)="-",0,MATCH(_xlfn.XLOOKUP($A373,Korrelation!$D$4:$D$1197,Korrelation!K$4:K$1197,"",0),'DM01-AV-CH'!$A$6:$A$834,0)))</f>
        <v>0</v>
      </c>
      <c r="J373" s="54" t="str" cm="1">
        <f t="array" aca="1" ref="J373" ca="1">IF(B373=0,IF(E373=0,"",HYPERLINK("#"&amp;RIGHT(CELL("adresse",OFFSET(DMAV_Dienste!$M$6,E373-1,0)),LEN(CELL("adresse",OFFSET(DMAV_Dienste!$M$6,E373-1,0)))-FIND("]",CELL("adresse",OFFSET(DMAV_Dienste!$M$6,E373-1,0)))),"Dienst")),HYPERLINK("#"&amp;RIGHT(CELL("adresse",OFFSET(DMAV_Modell!$N$6,B373-1,0)),LEN(CELL("adresse",OFFSET(DMAV_Modell!$N$6,B373-1,0)))-FIND("]",CELL("adresse",OFFSET(DMAV_Modell!$N$6,B373-1,0)))),"Modell"))</f>
        <v>Modell</v>
      </c>
      <c r="K373" s="61" t="str" cm="1">
        <f t="array" ref="K373">IF($B373=0,IF($E373=0,"",IF(INDEX(DMAV_Dienste!P$6:P$140,$E373)="","",INDEX(DMAV_Dienste!P$6:P$140,$E373))),IF(INDEX(DMAV_Modell!Q$6:Q$838,$B373)="","",INDEX(DMAV_Modell!Q$6:Q$838,$B373)))</f>
        <v>VIEW</v>
      </c>
      <c r="L373" s="62" t="str" cm="1">
        <f t="array" ref="L373">IF($B373=0,IF($E373=0,"",IF(INDEX(DMAV_Dienste!O$6:O$140,$E373)="","",INDEX(DMAV_Dienste!O$6:O$140,$E373))),IF(INDEX(DMAV_Modell!P$6:P$838,$B373)="","",INDEX(DMAV_Modell!P$6:P$838,$B373)))</f>
        <v>HoheitsgrenzenAV</v>
      </c>
      <c r="M373" s="62" t="str" cm="1">
        <f t="array" ref="M373">IF($B373=0,IF($E373=0,"",IF(INDEX(DMAV_Dienste!Q$6:Q$140,$E373)="","",INDEX(DMAV_Dienste!Q$6:Q$140,$E373))),IF(INDEX(DMAV_Modell!R$6:R$838,$B373)="","",INDEX(DMAV_Modell!R$6:R$838,$B373)))</f>
        <v>Gemeinde_Gueltig</v>
      </c>
      <c r="N373" s="62" t="str" cm="1">
        <f t="array" ref="N373">IF($B373=0,IF($E373=0,"",IF(INDEX(DMAV_Dienste!T$6:T$140,$E373)="","",INDEX(DMAV_Dienste!T$6:T$140,$E373))),IF(INDEX(DMAV_Modell!U$6:U$838,$B373)="","",INDEX(DMAV_Modell!U$6:U$838,$B373)))</f>
        <v>PROJECTION OF</v>
      </c>
      <c r="O373" s="63" t="str" cm="1">
        <f t="array" aca="1" ref="O373" ca="1">IF(C373=0,IF(F373=0,"",HYPERLINK("#"&amp;RIGHT(CELL("adresse",OFFSET(DMAV_Dienste!$M$6,F373-1,0)),LEN(CELL("adresse",OFFSET(DMAV_Dienste!$M$6,F373-1,0)))-FIND("]",CELL("adresse",OFFSET(DMAV_Dienste!$M$6,F373-1,0)))),"Structure")),HYPERLINK("#"&amp;RIGHT(CELL("adresse",OFFSET(DMAV_Modell!$N$6,C373-1,0)),LEN(CELL("adresse",OFFSET(DMAV_Modell!$N$6,C373-1,0)))-FIND("]",CELL("adresse",OFFSET(DMAV_Modell!$N$6,C373-1,0)))),"Structure"))</f>
        <v/>
      </c>
      <c r="P373" s="64" t="str" cm="1">
        <f t="array" aca="1" ref="P373" ca="1">IF(D373=0,IF(G373=0,"",HYPERLINK("#"&amp;RIGHT(CELL("adresse",OFFSET(DMAV_Dienste!$M$6,G373-1,0)),LEN(CELL("adresse",OFFSET(DMAV_Dienste!$M$6,G373-1,0)))-FIND("]",CELL("adresse",OFFSET(DMAV_Dienste!$M$6,G373-1,0)))),"Substructure")),HYPERLINK("#"&amp;RIGHT(CELL("adresse",OFFSET(DMAV_Modell!$N$6,D373-1,0)),LEN(CELL("adresse",OFFSET(DMAV_Modell!$N$6,D373-1,0)))-FIND("]",CELL("adresse",OFFSET(DMAV_Modell!$N$6,D373-1,0)))),"Substructure"))</f>
        <v/>
      </c>
      <c r="R373" s="80"/>
      <c r="T373" s="93"/>
      <c r="U373" s="94"/>
      <c r="V373" s="95"/>
      <c r="W373" s="96"/>
      <c r="Y373" s="85"/>
      <c r="Z373" s="86"/>
      <c r="AA373" s="87"/>
      <c r="AB373" s="88"/>
      <c r="AD373" s="77"/>
      <c r="AF373" s="54" t="str" cm="1">
        <f t="array" aca="1" ref="AF373" ca="1">IF(H373=0,"",HYPERLINK("#"&amp;RIGHT(CELL("adresse",OFFSET('DM01-AV-CH'!$G$6,H373-1,0)),LEN(CELL("adresse",OFFSET('DM01-AV-CH'!$G$6,H373-1,0)))-FIND("]",CELL("adresse",OFFSET('DM01-AV-CH'!$G$6,H373-1,0)))),"Modell"))</f>
        <v/>
      </c>
      <c r="AG373" s="72" t="str" cm="1">
        <f t="array" ref="AG373">IF($H373=0,"",IF(INDEX('DM01-AV-CH'!G$6:G$834,$H373)="","",INDEX('DM01-AV-CH'!G$6:G$834,$H373)))</f>
        <v/>
      </c>
      <c r="AH373" s="73" t="str" cm="1">
        <f t="array" ref="AH373">IF($H373=0,"",IF(INDEX('DM01-AV-CH'!H$6:H$834,$H373)="","",INDEX('DM01-AV-CH'!H$6:H$834,$H373)))</f>
        <v/>
      </c>
      <c r="AI373" s="74" t="str" cm="1">
        <f t="array" ref="AI373">IF($H373=0,"",IF(INDEX('DM01-AV-CH'!I$6:I$834,$H373)="","",INDEX('DM01-AV-CH'!I$6:I$834,$H373)))</f>
        <v/>
      </c>
    </row>
    <row r="374" spans="1:35" x14ac:dyDescent="0.25">
      <c r="A374" s="57">
        <v>369</v>
      </c>
      <c r="B374" s="57">
        <f>IF($A374="","",IF(_xlfn.XLOOKUP($A374,Korrelation!$D$4:$D$1197,Korrelation!E$4:E$1197,"-",0)="-",0,MATCH(_xlfn.XLOOKUP($A374,Korrelation!$D$4:$D$1197,Korrelation!E$4:E$1197,"",0),DMAV_Modell!$G$6:$G$677,0)))</f>
        <v>137</v>
      </c>
      <c r="C374" s="57">
        <f>IF($A374="","",IF(_xlfn.XLOOKUP($A374,Korrelation!$D$4:$D$1197,Korrelation!F$4:F$1197,"-",0)="-",0,MATCH(_xlfn.XLOOKUP($A374,Korrelation!$D$4:$D$1197,Korrelation!F$4:F$1197,"",0),DMAV_Modell!$G$6:$G$677,0)))</f>
        <v>0</v>
      </c>
      <c r="D374" s="57">
        <f>IF($A374="","",IF(_xlfn.XLOOKUP($A374,Korrelation!$D$4:$D$1197,Korrelation!G$4:G$1197,"-",0)="-",0,MATCH(_xlfn.XLOOKUP($A374,Korrelation!$D$4:$D$1197,Korrelation!G$4:G$1197,"",0),DMAV_Modell!$G$6:$G$677,0)))</f>
        <v>0</v>
      </c>
      <c r="E374" s="57">
        <f>IF($A374="","",IF(_xlfn.XLOOKUP($A374,Korrelation!$D$4:$D$1197,Korrelation!H$4:H$1197,"-",0)="-",0,MATCH(_xlfn.XLOOKUP($A374,Korrelation!$D$4:$D$1197,Korrelation!H$4:H$1197,"",0),DMAV_Dienste!$F$6:$F$140,0)))</f>
        <v>0</v>
      </c>
      <c r="F374" s="57">
        <f>IF($A374="","",IF(_xlfn.XLOOKUP($A374,Korrelation!$D$4:$D$1197,Korrelation!I$4:I$1197,"-",0)="-",0,MATCH(_xlfn.XLOOKUP($A374,Korrelation!$D$4:$D$1197,Korrelation!I$4:I$1197,"",0),DMAV_Dienste!$F$6:$F$140,0)))</f>
        <v>0</v>
      </c>
      <c r="G374" s="57">
        <f>IF($A374="","",IF(_xlfn.XLOOKUP($A374,Korrelation!$D$4:$D$1197,Korrelation!J$4:J$1197,"-",0)="-",0,MATCH(_xlfn.XLOOKUP($A374,Korrelation!$D$4:$D$1197,Korrelation!J$4:J$1197,"",0),DMAV_Dienste!$F$6:$F$140,0)))</f>
        <v>0</v>
      </c>
      <c r="H374" s="57">
        <f>IF($A374="","",IF(_xlfn.XLOOKUP($A374,Korrelation!$D$4:$D$1197,Korrelation!K$4:K$1197,"-",0)="-",0,MATCH(_xlfn.XLOOKUP($A374,Korrelation!$D$4:$D$1197,Korrelation!K$4:K$1197,"",0),'DM01-AV-CH'!$A$6:$A$834,0)))</f>
        <v>0</v>
      </c>
      <c r="J374" s="54" t="str" cm="1">
        <f t="array" aca="1" ref="J374" ca="1">IF(B374=0,IF(E374=0,"",HYPERLINK("#"&amp;RIGHT(CELL("adresse",OFFSET(DMAV_Dienste!$M$6,E374-1,0)),LEN(CELL("adresse",OFFSET(DMAV_Dienste!$M$6,E374-1,0)))-FIND("]",CELL("adresse",OFFSET(DMAV_Dienste!$M$6,E374-1,0)))),"Dienst")),HYPERLINK("#"&amp;RIGHT(CELL("adresse",OFFSET(DMAV_Modell!$N$6,B374-1,0)),LEN(CELL("adresse",OFFSET(DMAV_Modell!$N$6,B374-1,0)))-FIND("]",CELL("adresse",OFFSET(DMAV_Modell!$N$6,B374-1,0)))),"Modell"))</f>
        <v>Modell</v>
      </c>
      <c r="K374" s="61" t="str" cm="1">
        <f t="array" ref="K374">IF($B374=0,IF($E374=0,"",IF(INDEX(DMAV_Dienste!P$6:P$140,$E374)="","",INDEX(DMAV_Dienste!P$6:P$140,$E374))),IF(INDEX(DMAV_Modell!Q$6:Q$838,$B374)="","",INDEX(DMAV_Modell!Q$6:Q$838,$B374)))</f>
        <v>VIEW</v>
      </c>
      <c r="L374" s="62" t="str" cm="1">
        <f t="array" ref="L374">IF($B374=0,IF($E374=0,"",IF(INDEX(DMAV_Dienste!O$6:O$140,$E374)="","",INDEX(DMAV_Dienste!O$6:O$140,$E374))),IF(INDEX(DMAV_Modell!P$6:P$838,$B374)="","",INDEX(DMAV_Modell!P$6:P$838,$B374)))</f>
        <v>HoheitsgrenzenAV</v>
      </c>
      <c r="M374" s="62" t="str" cm="1">
        <f t="array" ref="M374">IF($B374=0,IF($E374=0,"",IF(INDEX(DMAV_Dienste!Q$6:Q$140,$E374)="","",INDEX(DMAV_Dienste!Q$6:Q$140,$E374))),IF(INDEX(DMAV_Modell!R$6:R$838,$B374)="","",INDEX(DMAV_Modell!R$6:R$838,$B374)))</f>
        <v>Gemeinde_Gueltig</v>
      </c>
      <c r="N374" s="62" t="str" cm="1">
        <f t="array" ref="N374">IF($B374=0,IF($E374=0,"",IF(INDEX(DMAV_Dienste!T$6:T$140,$E374)="","",INDEX(DMAV_Dienste!T$6:T$140,$E374))),IF(INDEX(DMAV_Modell!U$6:U$838,$B374)="","",INDEX(DMAV_Modell!U$6:U$838,$B374)))</f>
        <v>WHERE DEFINED(@PH1@) AND DEFINED(@PH2@) AND (NOT(DEFINED(@PH3@)) OR NOT(DEFINED(@PH4@)))</v>
      </c>
      <c r="O374" s="63" t="str" cm="1">
        <f t="array" aca="1" ref="O374" ca="1">IF(C374=0,IF(F374=0,"",HYPERLINK("#"&amp;RIGHT(CELL("adresse",OFFSET(DMAV_Dienste!$M$6,F374-1,0)),LEN(CELL("adresse",OFFSET(DMAV_Dienste!$M$6,F374-1,0)))-FIND("]",CELL("adresse",OFFSET(DMAV_Dienste!$M$6,F374-1,0)))),"Structure")),HYPERLINK("#"&amp;RIGHT(CELL("adresse",OFFSET(DMAV_Modell!$N$6,C374-1,0)),LEN(CELL("adresse",OFFSET(DMAV_Modell!$N$6,C374-1,0)))-FIND("]",CELL("adresse",OFFSET(DMAV_Modell!$N$6,C374-1,0)))),"Structure"))</f>
        <v/>
      </c>
      <c r="P374" s="64" t="str" cm="1">
        <f t="array" aca="1" ref="P374" ca="1">IF(D374=0,IF(G374=0,"",HYPERLINK("#"&amp;RIGHT(CELL("adresse",OFFSET(DMAV_Dienste!$M$6,G374-1,0)),LEN(CELL("adresse",OFFSET(DMAV_Dienste!$M$6,G374-1,0)))-FIND("]",CELL("adresse",OFFSET(DMAV_Dienste!$M$6,G374-1,0)))),"Substructure")),HYPERLINK("#"&amp;RIGHT(CELL("adresse",OFFSET(DMAV_Modell!$N$6,D374-1,0)),LEN(CELL("adresse",OFFSET(DMAV_Modell!$N$6,D374-1,0)))-FIND("]",CELL("adresse",OFFSET(DMAV_Modell!$N$6,D374-1,0)))),"Substructure"))</f>
        <v/>
      </c>
      <c r="R374" s="80"/>
      <c r="T374" s="93"/>
      <c r="U374" s="94"/>
      <c r="V374" s="95"/>
      <c r="W374" s="96"/>
      <c r="Y374" s="85"/>
      <c r="Z374" s="86"/>
      <c r="AA374" s="87"/>
      <c r="AB374" s="88"/>
      <c r="AD374" s="77"/>
      <c r="AF374" s="54" t="str" cm="1">
        <f t="array" aca="1" ref="AF374" ca="1">IF(H374=0,"",HYPERLINK("#"&amp;RIGHT(CELL("adresse",OFFSET('DM01-AV-CH'!$G$6,H374-1,0)),LEN(CELL("adresse",OFFSET('DM01-AV-CH'!$G$6,H374-1,0)))-FIND("]",CELL("adresse",OFFSET('DM01-AV-CH'!$G$6,H374-1,0)))),"Modell"))</f>
        <v/>
      </c>
      <c r="AG374" s="72" t="str" cm="1">
        <f t="array" ref="AG374">IF($H374=0,"",IF(INDEX('DM01-AV-CH'!G$6:G$834,$H374)="","",INDEX('DM01-AV-CH'!G$6:G$834,$H374)))</f>
        <v/>
      </c>
      <c r="AH374" s="73" t="str" cm="1">
        <f t="array" ref="AH374">IF($H374=0,"",IF(INDEX('DM01-AV-CH'!H$6:H$834,$H374)="","",INDEX('DM01-AV-CH'!H$6:H$834,$H374)))</f>
        <v/>
      </c>
      <c r="AI374" s="74" t="str" cm="1">
        <f t="array" ref="AI374">IF($H374=0,"",IF(INDEX('DM01-AV-CH'!I$6:I$834,$H374)="","",INDEX('DM01-AV-CH'!I$6:I$834,$H374)))</f>
        <v/>
      </c>
    </row>
    <row r="375" spans="1:35" x14ac:dyDescent="0.25">
      <c r="A375" s="57">
        <v>370</v>
      </c>
      <c r="B375" s="57">
        <f>IF($A375="","",IF(_xlfn.XLOOKUP($A375,Korrelation!$D$4:$D$1197,Korrelation!E$4:E$1197,"-",0)="-",0,MATCH(_xlfn.XLOOKUP($A375,Korrelation!$D$4:$D$1197,Korrelation!E$4:E$1197,"",0),DMAV_Modell!$G$6:$G$677,0)))</f>
        <v>138</v>
      </c>
      <c r="C375" s="57">
        <f>IF($A375="","",IF(_xlfn.XLOOKUP($A375,Korrelation!$D$4:$D$1197,Korrelation!F$4:F$1197,"-",0)="-",0,MATCH(_xlfn.XLOOKUP($A375,Korrelation!$D$4:$D$1197,Korrelation!F$4:F$1197,"",0),DMAV_Modell!$G$6:$G$677,0)))</f>
        <v>0</v>
      </c>
      <c r="D375" s="57">
        <f>IF($A375="","",IF(_xlfn.XLOOKUP($A375,Korrelation!$D$4:$D$1197,Korrelation!G$4:G$1197,"-",0)="-",0,MATCH(_xlfn.XLOOKUP($A375,Korrelation!$D$4:$D$1197,Korrelation!G$4:G$1197,"",0),DMAV_Modell!$G$6:$G$677,0)))</f>
        <v>0</v>
      </c>
      <c r="E375" s="57">
        <f>IF($A375="","",IF(_xlfn.XLOOKUP($A375,Korrelation!$D$4:$D$1197,Korrelation!H$4:H$1197,"-",0)="-",0,MATCH(_xlfn.XLOOKUP($A375,Korrelation!$D$4:$D$1197,Korrelation!H$4:H$1197,"",0),DMAV_Dienste!$F$6:$F$140,0)))</f>
        <v>0</v>
      </c>
      <c r="F375" s="57">
        <f>IF($A375="","",IF(_xlfn.XLOOKUP($A375,Korrelation!$D$4:$D$1197,Korrelation!I$4:I$1197,"-",0)="-",0,MATCH(_xlfn.XLOOKUP($A375,Korrelation!$D$4:$D$1197,Korrelation!I$4:I$1197,"",0),DMAV_Dienste!$F$6:$F$140,0)))</f>
        <v>0</v>
      </c>
      <c r="G375" s="57">
        <f>IF($A375="","",IF(_xlfn.XLOOKUP($A375,Korrelation!$D$4:$D$1197,Korrelation!J$4:J$1197,"-",0)="-",0,MATCH(_xlfn.XLOOKUP($A375,Korrelation!$D$4:$D$1197,Korrelation!J$4:J$1197,"",0),DMAV_Dienste!$F$6:$F$140,0)))</f>
        <v>0</v>
      </c>
      <c r="H375" s="57">
        <f>IF($A375="","",IF(_xlfn.XLOOKUP($A375,Korrelation!$D$4:$D$1197,Korrelation!K$4:K$1197,"-",0)="-",0,MATCH(_xlfn.XLOOKUP($A375,Korrelation!$D$4:$D$1197,Korrelation!K$4:K$1197,"",0),'DM01-AV-CH'!$A$6:$A$834,0)))</f>
        <v>0</v>
      </c>
      <c r="J375" s="54" t="str" cm="1">
        <f t="array" aca="1" ref="J375" ca="1">IF(B375=0,IF(E375=0,"",HYPERLINK("#"&amp;RIGHT(CELL("adresse",OFFSET(DMAV_Dienste!$M$6,E375-1,0)),LEN(CELL("adresse",OFFSET(DMAV_Dienste!$M$6,E375-1,0)))-FIND("]",CELL("adresse",OFFSET(DMAV_Dienste!$M$6,E375-1,0)))),"Dienst")),HYPERLINK("#"&amp;RIGHT(CELL("adresse",OFFSET(DMAV_Modell!$N$6,B375-1,0)),LEN(CELL("adresse",OFFSET(DMAV_Modell!$N$6,B375-1,0)))-FIND("]",CELL("adresse",OFFSET(DMAV_Modell!$N$6,B375-1,0)))),"Modell"))</f>
        <v>Modell</v>
      </c>
      <c r="K375" s="61" t="str" cm="1">
        <f t="array" ref="K375">IF($B375=0,IF($E375=0,"",IF(INDEX(DMAV_Dienste!P$6:P$140,$E375)="","",INDEX(DMAV_Dienste!P$6:P$140,$E375))),IF(INDEX(DMAV_Modell!Q$6:Q$838,$B375)="","",INDEX(DMAV_Modell!Q$6:Q$838,$B375)))</f>
        <v>VIEW</v>
      </c>
      <c r="L375" s="62" t="str" cm="1">
        <f t="array" ref="L375">IF($B375=0,IF($E375=0,"",IF(INDEX(DMAV_Dienste!O$6:O$140,$E375)="","",INDEX(DMAV_Dienste!O$6:O$140,$E375))),IF(INDEX(DMAV_Modell!P$6:P$838,$B375)="","",INDEX(DMAV_Modell!P$6:P$838,$B375)))</f>
        <v>HoheitsgrenzenAV</v>
      </c>
      <c r="M375" s="62" t="str" cm="1">
        <f t="array" ref="M375">IF($B375=0,IF($E375=0,"",IF(INDEX(DMAV_Dienste!Q$6:Q$140,$E375)="","",INDEX(DMAV_Dienste!Q$6:Q$140,$E375))),IF(INDEX(DMAV_Modell!R$6:R$838,$B375)="","",INDEX(DMAV_Modell!R$6:R$838,$B375)))</f>
        <v>Gemeinde_Gueltig</v>
      </c>
      <c r="N375" s="62" t="str" cm="1">
        <f t="array" ref="N375">IF($B375=0,IF($E375=0,"",IF(INDEX(DMAV_Dienste!T$6:T$140,$E375)="","",INDEX(DMAV_Dienste!T$6:T$140,$E375))),IF(INDEX(DMAV_Modell!U$6:U$838,$B375)="","",INDEX(DMAV_Modell!U$6:U$838,$B375)))</f>
        <v>= ALL OF</v>
      </c>
      <c r="O375" s="63" t="str" cm="1">
        <f t="array" aca="1" ref="O375" ca="1">IF(C375=0,IF(F375=0,"",HYPERLINK("#"&amp;RIGHT(CELL("adresse",OFFSET(DMAV_Dienste!$M$6,F375-1,0)),LEN(CELL("adresse",OFFSET(DMAV_Dienste!$M$6,F375-1,0)))-FIND("]",CELL("adresse",OFFSET(DMAV_Dienste!$M$6,F375-1,0)))),"Structure")),HYPERLINK("#"&amp;RIGHT(CELL("adresse",OFFSET(DMAV_Modell!$N$6,C375-1,0)),LEN(CELL("adresse",OFFSET(DMAV_Modell!$N$6,C375-1,0)))-FIND("]",CELL("adresse",OFFSET(DMAV_Modell!$N$6,C375-1,0)))),"Structure"))</f>
        <v/>
      </c>
      <c r="P375" s="64" t="str" cm="1">
        <f t="array" aca="1" ref="P375" ca="1">IF(D375=0,IF(G375=0,"",HYPERLINK("#"&amp;RIGHT(CELL("adresse",OFFSET(DMAV_Dienste!$M$6,G375-1,0)),LEN(CELL("adresse",OFFSET(DMAV_Dienste!$M$6,G375-1,0)))-FIND("]",CELL("adresse",OFFSET(DMAV_Dienste!$M$6,G375-1,0)))),"Substructure")),HYPERLINK("#"&amp;RIGHT(CELL("adresse",OFFSET(DMAV_Modell!$N$6,D375-1,0)),LEN(CELL("adresse",OFFSET(DMAV_Modell!$N$6,D375-1,0)))-FIND("]",CELL("adresse",OFFSET(DMAV_Modell!$N$6,D375-1,0)))),"Substructure"))</f>
        <v/>
      </c>
      <c r="R375" s="80"/>
      <c r="T375" s="93"/>
      <c r="U375" s="94"/>
      <c r="V375" s="95"/>
      <c r="W375" s="96"/>
      <c r="Y375" s="85"/>
      <c r="Z375" s="86"/>
      <c r="AA375" s="87"/>
      <c r="AB375" s="88"/>
      <c r="AD375" s="77"/>
      <c r="AF375" s="54" t="str" cm="1">
        <f t="array" aca="1" ref="AF375" ca="1">IF(H375=0,"",HYPERLINK("#"&amp;RIGHT(CELL("adresse",OFFSET('DM01-AV-CH'!$G$6,H375-1,0)),LEN(CELL("adresse",OFFSET('DM01-AV-CH'!$G$6,H375-1,0)))-FIND("]",CELL("adresse",OFFSET('DM01-AV-CH'!$G$6,H375-1,0)))),"Modell"))</f>
        <v/>
      </c>
      <c r="AG375" s="72" t="str" cm="1">
        <f t="array" ref="AG375">IF($H375=0,"",IF(INDEX('DM01-AV-CH'!G$6:G$834,$H375)="","",INDEX('DM01-AV-CH'!G$6:G$834,$H375)))</f>
        <v/>
      </c>
      <c r="AH375" s="73" t="str" cm="1">
        <f t="array" ref="AH375">IF($H375=0,"",IF(INDEX('DM01-AV-CH'!H$6:H$834,$H375)="","",INDEX('DM01-AV-CH'!H$6:H$834,$H375)))</f>
        <v/>
      </c>
      <c r="AI375" s="74" t="str" cm="1">
        <f t="array" ref="AI375">IF($H375=0,"",IF(INDEX('DM01-AV-CH'!I$6:I$834,$H375)="","",INDEX('DM01-AV-CH'!I$6:I$834,$H375)))</f>
        <v/>
      </c>
    </row>
    <row r="376" spans="1:35" x14ac:dyDescent="0.25">
      <c r="A376" s="57">
        <v>371</v>
      </c>
      <c r="B376" s="57">
        <f>IF($A376="","",IF(_xlfn.XLOOKUP($A376,Korrelation!$D$4:$D$1197,Korrelation!E$4:E$1197,"-",0)="-",0,MATCH(_xlfn.XLOOKUP($A376,Korrelation!$D$4:$D$1197,Korrelation!E$4:E$1197,"",0),DMAV_Modell!$G$6:$G$677,0)))</f>
        <v>139</v>
      </c>
      <c r="C376" s="57">
        <f>IF($A376="","",IF(_xlfn.XLOOKUP($A376,Korrelation!$D$4:$D$1197,Korrelation!F$4:F$1197,"-",0)="-",0,MATCH(_xlfn.XLOOKUP($A376,Korrelation!$D$4:$D$1197,Korrelation!F$4:F$1197,"",0),DMAV_Modell!$G$6:$G$677,0)))</f>
        <v>0</v>
      </c>
      <c r="D376" s="57">
        <f>IF($A376="","",IF(_xlfn.XLOOKUP($A376,Korrelation!$D$4:$D$1197,Korrelation!G$4:G$1197,"-",0)="-",0,MATCH(_xlfn.XLOOKUP($A376,Korrelation!$D$4:$D$1197,Korrelation!G$4:G$1197,"",0),DMAV_Modell!$G$6:$G$677,0)))</f>
        <v>0</v>
      </c>
      <c r="E376" s="57">
        <f>IF($A376="","",IF(_xlfn.XLOOKUP($A376,Korrelation!$D$4:$D$1197,Korrelation!H$4:H$1197,"-",0)="-",0,MATCH(_xlfn.XLOOKUP($A376,Korrelation!$D$4:$D$1197,Korrelation!H$4:H$1197,"",0),DMAV_Dienste!$F$6:$F$140,0)))</f>
        <v>0</v>
      </c>
      <c r="F376" s="57">
        <f>IF($A376="","",IF(_xlfn.XLOOKUP($A376,Korrelation!$D$4:$D$1197,Korrelation!I$4:I$1197,"-",0)="-",0,MATCH(_xlfn.XLOOKUP($A376,Korrelation!$D$4:$D$1197,Korrelation!I$4:I$1197,"",0),DMAV_Dienste!$F$6:$F$140,0)))</f>
        <v>0</v>
      </c>
      <c r="G376" s="57">
        <f>IF($A376="","",IF(_xlfn.XLOOKUP($A376,Korrelation!$D$4:$D$1197,Korrelation!J$4:J$1197,"-",0)="-",0,MATCH(_xlfn.XLOOKUP($A376,Korrelation!$D$4:$D$1197,Korrelation!J$4:J$1197,"",0),DMAV_Dienste!$F$6:$F$140,0)))</f>
        <v>0</v>
      </c>
      <c r="H376" s="57">
        <f>IF($A376="","",IF(_xlfn.XLOOKUP($A376,Korrelation!$D$4:$D$1197,Korrelation!K$4:K$1197,"-",0)="-",0,MATCH(_xlfn.XLOOKUP($A376,Korrelation!$D$4:$D$1197,Korrelation!K$4:K$1197,"",0),'DM01-AV-CH'!$A$6:$A$834,0)))</f>
        <v>0</v>
      </c>
      <c r="J376" s="54" t="str" cm="1">
        <f t="array" aca="1" ref="J376" ca="1">IF(B376=0,IF(E376=0,"",HYPERLINK("#"&amp;RIGHT(CELL("adresse",OFFSET(DMAV_Dienste!$M$6,E376-1,0)),LEN(CELL("adresse",OFFSET(DMAV_Dienste!$M$6,E376-1,0)))-FIND("]",CELL("adresse",OFFSET(DMAV_Dienste!$M$6,E376-1,0)))),"Dienst")),HYPERLINK("#"&amp;RIGHT(CELL("adresse",OFFSET(DMAV_Modell!$N$6,B376-1,0)),LEN(CELL("adresse",OFFSET(DMAV_Modell!$N$6,B376-1,0)))-FIND("]",CELL("adresse",OFFSET(DMAV_Modell!$N$6,B376-1,0)))),"Modell"))</f>
        <v>Modell</v>
      </c>
      <c r="K376" s="61" t="str" cm="1">
        <f t="array" ref="K376">IF($B376=0,IF($E376=0,"",IF(INDEX(DMAV_Dienste!P$6:P$140,$E376)="","",INDEX(DMAV_Dienste!P$6:P$140,$E376))),IF(INDEX(DMAV_Modell!Q$6:Q$838,$B376)="","",INDEX(DMAV_Modell!Q$6:Q$838,$B376)))</f>
        <v>VIEW</v>
      </c>
      <c r="L376" s="62" t="str" cm="1">
        <f t="array" ref="L376">IF($B376=0,IF($E376=0,"",IF(INDEX(DMAV_Dienste!O$6:O$140,$E376)="","",INDEX(DMAV_Dienste!O$6:O$140,$E376))),IF(INDEX(DMAV_Modell!P$6:P$838,$B376)="","",INDEX(DMAV_Modell!P$6:P$838,$B376)))</f>
        <v>HoheitsgrenzenAV</v>
      </c>
      <c r="M376" s="62" t="str" cm="1">
        <f t="array" ref="M376">IF($B376=0,IF($E376=0,"",IF(INDEX(DMAV_Dienste!Q$6:Q$140,$E376)="","",INDEX(DMAV_Dienste!Q$6:Q$140,$E376))),IF(INDEX(DMAV_Modell!R$6:R$838,$B376)="","",INDEX(DMAV_Modell!R$6:R$838,$B376)))</f>
        <v>Gemeinde_Gueltig</v>
      </c>
      <c r="N376" s="62" t="str" cm="1">
        <f t="array" ref="N376">IF($B376=0,IF($E376=0,"",IF(INDEX(DMAV_Dienste!T$6:T$140,$E376)="","",INDEX(DMAV_Dienste!T$6:T$140,$E376))),IF(INDEX(DMAV_Modell!U$6:U$838,$B376)="","",INDEX(DMAV_Modell!U$6:U$838,$B376)))</f>
        <v>BFSNummer</v>
      </c>
      <c r="O376" s="63" t="str" cm="1">
        <f t="array" aca="1" ref="O376" ca="1">IF(C376=0,IF(F376=0,"",HYPERLINK("#"&amp;RIGHT(CELL("adresse",OFFSET(DMAV_Dienste!$M$6,F376-1,0)),LEN(CELL("adresse",OFFSET(DMAV_Dienste!$M$6,F376-1,0)))-FIND("]",CELL("adresse",OFFSET(DMAV_Dienste!$M$6,F376-1,0)))),"Structure")),HYPERLINK("#"&amp;RIGHT(CELL("adresse",OFFSET(DMAV_Modell!$N$6,C376-1,0)),LEN(CELL("adresse",OFFSET(DMAV_Modell!$N$6,C376-1,0)))-FIND("]",CELL("adresse",OFFSET(DMAV_Modell!$N$6,C376-1,0)))),"Structure"))</f>
        <v/>
      </c>
      <c r="P376" s="64" t="str" cm="1">
        <f t="array" aca="1" ref="P376" ca="1">IF(D376=0,IF(G376=0,"",HYPERLINK("#"&amp;RIGHT(CELL("adresse",OFFSET(DMAV_Dienste!$M$6,G376-1,0)),LEN(CELL("adresse",OFFSET(DMAV_Dienste!$M$6,G376-1,0)))-FIND("]",CELL("adresse",OFFSET(DMAV_Dienste!$M$6,G376-1,0)))),"Substructure")),HYPERLINK("#"&amp;RIGHT(CELL("adresse",OFFSET(DMAV_Modell!$N$6,D376-1,0)),LEN(CELL("adresse",OFFSET(DMAV_Modell!$N$6,D376-1,0)))-FIND("]",CELL("adresse",OFFSET(DMAV_Modell!$N$6,D376-1,0)))),"Substructure"))</f>
        <v/>
      </c>
      <c r="R376" s="80"/>
      <c r="T376" s="93"/>
      <c r="U376" s="94"/>
      <c r="V376" s="95"/>
      <c r="W376" s="96"/>
      <c r="Y376" s="85"/>
      <c r="Z376" s="86"/>
      <c r="AA376" s="87"/>
      <c r="AB376" s="88"/>
      <c r="AD376" s="77"/>
      <c r="AF376" s="54" t="str" cm="1">
        <f t="array" aca="1" ref="AF376" ca="1">IF(H376=0,"",HYPERLINK("#"&amp;RIGHT(CELL("adresse",OFFSET('DM01-AV-CH'!$G$6,H376-1,0)),LEN(CELL("adresse",OFFSET('DM01-AV-CH'!$G$6,H376-1,0)))-FIND("]",CELL("adresse",OFFSET('DM01-AV-CH'!$G$6,H376-1,0)))),"Modell"))</f>
        <v/>
      </c>
      <c r="AG376" s="72" t="str" cm="1">
        <f t="array" ref="AG376">IF($H376=0,"",IF(INDEX('DM01-AV-CH'!G$6:G$834,$H376)="","",INDEX('DM01-AV-CH'!G$6:G$834,$H376)))</f>
        <v/>
      </c>
      <c r="AH376" s="73" t="str" cm="1">
        <f t="array" ref="AH376">IF($H376=0,"",IF(INDEX('DM01-AV-CH'!H$6:H$834,$H376)="","",INDEX('DM01-AV-CH'!H$6:H$834,$H376)))</f>
        <v/>
      </c>
      <c r="AI376" s="74" t="str" cm="1">
        <f t="array" ref="AI376">IF($H376=0,"",IF(INDEX('DM01-AV-CH'!I$6:I$834,$H376)="","",INDEX('DM01-AV-CH'!I$6:I$834,$H376)))</f>
        <v/>
      </c>
    </row>
    <row r="377" spans="1:35" x14ac:dyDescent="0.25">
      <c r="A377" s="57">
        <v>372</v>
      </c>
      <c r="B377" s="57">
        <f>IF($A377="","",IF(_xlfn.XLOOKUP($A377,Korrelation!$D$4:$D$1197,Korrelation!E$4:E$1197,"-",0)="-",0,MATCH(_xlfn.XLOOKUP($A377,Korrelation!$D$4:$D$1197,Korrelation!E$4:E$1197,"",0),DMAV_Modell!$G$6:$G$677,0)))</f>
        <v>0</v>
      </c>
      <c r="C377" s="57">
        <f>IF($A377="","",IF(_xlfn.XLOOKUP($A377,Korrelation!$D$4:$D$1197,Korrelation!F$4:F$1197,"-",0)="-",0,MATCH(_xlfn.XLOOKUP($A377,Korrelation!$D$4:$D$1197,Korrelation!F$4:F$1197,"",0),DMAV_Modell!$G$6:$G$677,0)))</f>
        <v>0</v>
      </c>
      <c r="D377" s="57">
        <f>IF($A377="","",IF(_xlfn.XLOOKUP($A377,Korrelation!$D$4:$D$1197,Korrelation!G$4:G$1197,"-",0)="-",0,MATCH(_xlfn.XLOOKUP($A377,Korrelation!$D$4:$D$1197,Korrelation!G$4:G$1197,"",0),DMAV_Modell!$G$6:$G$677,0)))</f>
        <v>0</v>
      </c>
      <c r="E377" s="57">
        <f>IF($A377="","",IF(_xlfn.XLOOKUP($A377,Korrelation!$D$4:$D$1197,Korrelation!H$4:H$1197,"-",0)="-",0,MATCH(_xlfn.XLOOKUP($A377,Korrelation!$D$4:$D$1197,Korrelation!H$4:H$1197,"",0),DMAV_Dienste!$F$6:$F$140,0)))</f>
        <v>0</v>
      </c>
      <c r="F377" s="57">
        <f>IF($A377="","",IF(_xlfn.XLOOKUP($A377,Korrelation!$D$4:$D$1197,Korrelation!I$4:I$1197,"-",0)="-",0,MATCH(_xlfn.XLOOKUP($A377,Korrelation!$D$4:$D$1197,Korrelation!I$4:I$1197,"",0),DMAV_Dienste!$F$6:$F$140,0)))</f>
        <v>0</v>
      </c>
      <c r="G377" s="57">
        <f>IF($A377="","",IF(_xlfn.XLOOKUP($A377,Korrelation!$D$4:$D$1197,Korrelation!J$4:J$1197,"-",0)="-",0,MATCH(_xlfn.XLOOKUP($A377,Korrelation!$D$4:$D$1197,Korrelation!J$4:J$1197,"",0),DMAV_Dienste!$F$6:$F$140,0)))</f>
        <v>0</v>
      </c>
      <c r="H377" s="57">
        <f>IF($A377="","",IF(_xlfn.XLOOKUP($A377,Korrelation!$D$4:$D$1197,Korrelation!K$4:K$1197,"-",0)="-",0,MATCH(_xlfn.XLOOKUP($A377,Korrelation!$D$4:$D$1197,Korrelation!K$4:K$1197,"",0),'DM01-AV-CH'!$A$6:$A$834,0)))</f>
        <v>616</v>
      </c>
      <c r="J377" s="54" t="str" cm="1">
        <f t="array" aca="1" ref="J377" ca="1">IF(B377=0,IF(E377=0,"",HYPERLINK("#"&amp;RIGHT(CELL("adresse",OFFSET(DMAV_Dienste!$M$6,E377-1,0)),LEN(CELL("adresse",OFFSET(DMAV_Dienste!$M$6,E377-1,0)))-FIND("]",CELL("adresse",OFFSET(DMAV_Dienste!$M$6,E377-1,0)))),"Dienst")),HYPERLINK("#"&amp;RIGHT(CELL("adresse",OFFSET(DMAV_Modell!$N$6,B377-1,0)),LEN(CELL("adresse",OFFSET(DMAV_Modell!$N$6,B377-1,0)))-FIND("]",CELL("adresse",OFFSET(DMAV_Modell!$N$6,B377-1,0)))),"Modell"))</f>
        <v/>
      </c>
      <c r="K377" s="61" t="str" cm="1">
        <f t="array" ref="K377">IF($B377=0,IF($E377=0,"",IF(INDEX(DMAV_Dienste!P$6:P$140,$E377)="","",INDEX(DMAV_Dienste!P$6:P$140,$E377))),IF(INDEX(DMAV_Modell!Q$6:Q$838,$B377)="","",INDEX(DMAV_Modell!Q$6:Q$838,$B377)))</f>
        <v/>
      </c>
      <c r="L377" s="62" t="str" cm="1">
        <f t="array" ref="L377">IF($B377=0,IF($E377=0,"",IF(INDEX(DMAV_Dienste!O$6:O$140,$E377)="","",INDEX(DMAV_Dienste!O$6:O$140,$E377))),IF(INDEX(DMAV_Modell!P$6:P$838,$B377)="","",INDEX(DMAV_Modell!P$6:P$838,$B377)))</f>
        <v/>
      </c>
      <c r="M377" s="62" t="str" cm="1">
        <f t="array" ref="M377">IF($B377=0,IF($E377=0,"",IF(INDEX(DMAV_Dienste!Q$6:Q$140,$E377)="","",INDEX(DMAV_Dienste!Q$6:Q$140,$E377))),IF(INDEX(DMAV_Modell!R$6:R$838,$B377)="","",INDEX(DMAV_Modell!R$6:R$838,$B377)))</f>
        <v/>
      </c>
      <c r="N377" s="62" t="str" cm="1">
        <f t="array" ref="N377">IF($B377=0,IF($E377=0,"",IF(INDEX(DMAV_Dienste!T$6:T$140,$E377)="","",INDEX(DMAV_Dienste!T$6:T$140,$E377))),IF(INDEX(DMAV_Modell!U$6:U$838,$B377)="","",INDEX(DMAV_Modell!U$6:U$838,$B377)))</f>
        <v/>
      </c>
      <c r="O377" s="63" t="str" cm="1">
        <f t="array" aca="1" ref="O377" ca="1">IF(C377=0,IF(F377=0,"",HYPERLINK("#"&amp;RIGHT(CELL("adresse",OFFSET(DMAV_Dienste!$M$6,F377-1,0)),LEN(CELL("adresse",OFFSET(DMAV_Dienste!$M$6,F377-1,0)))-FIND("]",CELL("adresse",OFFSET(DMAV_Dienste!$M$6,F377-1,0)))),"Structure")),HYPERLINK("#"&amp;RIGHT(CELL("adresse",OFFSET(DMAV_Modell!$N$6,C377-1,0)),LEN(CELL("adresse",OFFSET(DMAV_Modell!$N$6,C377-1,0)))-FIND("]",CELL("adresse",OFFSET(DMAV_Modell!$N$6,C377-1,0)))),"Structure"))</f>
        <v/>
      </c>
      <c r="P377" s="64" t="str" cm="1">
        <f t="array" aca="1" ref="P377" ca="1">IF(D377=0,IF(G377=0,"",HYPERLINK("#"&amp;RIGHT(CELL("adresse",OFFSET(DMAV_Dienste!$M$6,G377-1,0)),LEN(CELL("adresse",OFFSET(DMAV_Dienste!$M$6,G377-1,0)))-FIND("]",CELL("adresse",OFFSET(DMAV_Dienste!$M$6,G377-1,0)))),"Substructure")),HYPERLINK("#"&amp;RIGHT(CELL("adresse",OFFSET(DMAV_Modell!$N$6,D377-1,0)),LEN(CELL("adresse",OFFSET(DMAV_Modell!$N$6,D377-1,0)))-FIND("]",CELL("adresse",OFFSET(DMAV_Modell!$N$6,D377-1,0)))),"Substructure"))</f>
        <v/>
      </c>
      <c r="R377" s="80"/>
      <c r="T377" s="93"/>
      <c r="U377" s="94"/>
      <c r="V377" s="95"/>
      <c r="W377" s="96"/>
      <c r="Y377" s="85"/>
      <c r="Z377" s="86"/>
      <c r="AA377" s="87"/>
      <c r="AB377" s="88"/>
      <c r="AD377" s="77"/>
      <c r="AF377" s="54" t="str" cm="1">
        <f t="array" aca="1" ref="AF377" ca="1">IF(H377=0,"",HYPERLINK("#"&amp;RIGHT(CELL("adresse",OFFSET('DM01-AV-CH'!$G$6,H377-1,0)),LEN(CELL("adresse",OFFSET('DM01-AV-CH'!$G$6,H377-1,0)))-FIND("]",CELL("adresse",OFFSET('DM01-AV-CH'!$G$6,H377-1,0)))),"Modell"))</f>
        <v>Modell</v>
      </c>
      <c r="AG377" s="72" t="str" cm="1">
        <f t="array" ref="AG377">IF($H377=0,"",IF(INDEX('DM01-AV-CH'!G$6:G$834,$H377)="","",INDEX('DM01-AV-CH'!G$6:G$834,$H377)))</f>
        <v>Gemeindegrenzen</v>
      </c>
      <c r="AH377" s="73" t="str" cm="1">
        <f t="array" ref="AH377">IF($H377=0,"",IF(INDEX('DM01-AV-CH'!H$6:H$834,$H377)="","",INDEX('DM01-AV-CH'!H$6:H$834,$H377)))</f>
        <v>Gemeindegrenze</v>
      </c>
      <c r="AI377" s="74" t="str" cm="1">
        <f t="array" ref="AI377">IF($H377=0,"",IF(INDEX('DM01-AV-CH'!I$6:I$834,$H377)="","",INDEX('DM01-AV-CH'!I$6:I$834,$H377)))</f>
        <v>Entstehung</v>
      </c>
    </row>
    <row r="378" spans="1:35" x14ac:dyDescent="0.25">
      <c r="A378" s="57">
        <v>373</v>
      </c>
      <c r="B378" s="57">
        <f>IF($A378="","",IF(_xlfn.XLOOKUP($A378,Korrelation!$D$4:$D$1197,Korrelation!E$4:E$1197,"-",0)="-",0,MATCH(_xlfn.XLOOKUP($A378,Korrelation!$D$4:$D$1197,Korrelation!E$4:E$1197,"",0),DMAV_Modell!$G$6:$G$677,0)))</f>
        <v>0</v>
      </c>
      <c r="C378" s="57">
        <f>IF($A378="","",IF(_xlfn.XLOOKUP($A378,Korrelation!$D$4:$D$1197,Korrelation!F$4:F$1197,"-",0)="-",0,MATCH(_xlfn.XLOOKUP($A378,Korrelation!$D$4:$D$1197,Korrelation!F$4:F$1197,"",0),DMAV_Modell!$G$6:$G$677,0)))</f>
        <v>0</v>
      </c>
      <c r="D378" s="57">
        <f>IF($A378="","",IF(_xlfn.XLOOKUP($A378,Korrelation!$D$4:$D$1197,Korrelation!G$4:G$1197,"-",0)="-",0,MATCH(_xlfn.XLOOKUP($A378,Korrelation!$D$4:$D$1197,Korrelation!G$4:G$1197,"",0),DMAV_Modell!$G$6:$G$677,0)))</f>
        <v>0</v>
      </c>
      <c r="E378" s="57">
        <f>IF($A378="","",IF(_xlfn.XLOOKUP($A378,Korrelation!$D$4:$D$1197,Korrelation!H$4:H$1197,"-",0)="-",0,MATCH(_xlfn.XLOOKUP($A378,Korrelation!$D$4:$D$1197,Korrelation!H$4:H$1197,"",0),DMAV_Dienste!$F$6:$F$140,0)))</f>
        <v>0</v>
      </c>
      <c r="F378" s="57">
        <f>IF($A378="","",IF(_xlfn.XLOOKUP($A378,Korrelation!$D$4:$D$1197,Korrelation!I$4:I$1197,"-",0)="-",0,MATCH(_xlfn.XLOOKUP($A378,Korrelation!$D$4:$D$1197,Korrelation!I$4:I$1197,"",0),DMAV_Dienste!$F$6:$F$140,0)))</f>
        <v>0</v>
      </c>
      <c r="G378" s="57">
        <f>IF($A378="","",IF(_xlfn.XLOOKUP($A378,Korrelation!$D$4:$D$1197,Korrelation!J$4:J$1197,"-",0)="-",0,MATCH(_xlfn.XLOOKUP($A378,Korrelation!$D$4:$D$1197,Korrelation!J$4:J$1197,"",0),DMAV_Dienste!$F$6:$F$140,0)))</f>
        <v>0</v>
      </c>
      <c r="H378" s="57">
        <f>IF($A378="","",IF(_xlfn.XLOOKUP($A378,Korrelation!$D$4:$D$1197,Korrelation!K$4:K$1197,"-",0)="-",0,MATCH(_xlfn.XLOOKUP($A378,Korrelation!$D$4:$D$1197,Korrelation!K$4:K$1197,"",0),'DM01-AV-CH'!$A$6:$A$834,0)))</f>
        <v>617</v>
      </c>
      <c r="J378" s="54" t="str" cm="1">
        <f t="array" aca="1" ref="J378" ca="1">IF(B378=0,IF(E378=0,"",HYPERLINK("#"&amp;RIGHT(CELL("adresse",OFFSET(DMAV_Dienste!$M$6,E378-1,0)),LEN(CELL("adresse",OFFSET(DMAV_Dienste!$M$6,E378-1,0)))-FIND("]",CELL("adresse",OFFSET(DMAV_Dienste!$M$6,E378-1,0)))),"Dienst")),HYPERLINK("#"&amp;RIGHT(CELL("adresse",OFFSET(DMAV_Modell!$N$6,B378-1,0)),LEN(CELL("adresse",OFFSET(DMAV_Modell!$N$6,B378-1,0)))-FIND("]",CELL("adresse",OFFSET(DMAV_Modell!$N$6,B378-1,0)))),"Modell"))</f>
        <v/>
      </c>
      <c r="K378" s="61" t="str" cm="1">
        <f t="array" ref="K378">IF($B378=0,IF($E378=0,"",IF(INDEX(DMAV_Dienste!P$6:P$140,$E378)="","",INDEX(DMAV_Dienste!P$6:P$140,$E378))),IF(INDEX(DMAV_Modell!Q$6:Q$838,$B378)="","",INDEX(DMAV_Modell!Q$6:Q$838,$B378)))</f>
        <v/>
      </c>
      <c r="L378" s="62" t="str" cm="1">
        <f t="array" ref="L378">IF($B378=0,IF($E378=0,"",IF(INDEX(DMAV_Dienste!O$6:O$140,$E378)="","",INDEX(DMAV_Dienste!O$6:O$140,$E378))),IF(INDEX(DMAV_Modell!P$6:P$838,$B378)="","",INDEX(DMAV_Modell!P$6:P$838,$B378)))</f>
        <v/>
      </c>
      <c r="M378" s="62" t="str" cm="1">
        <f t="array" ref="M378">IF($B378=0,IF($E378=0,"",IF(INDEX(DMAV_Dienste!Q$6:Q$140,$E378)="","",INDEX(DMAV_Dienste!Q$6:Q$140,$E378))),IF(INDEX(DMAV_Modell!R$6:R$838,$B378)="","",INDEX(DMAV_Modell!R$6:R$838,$B378)))</f>
        <v/>
      </c>
      <c r="N378" s="62" t="str" cm="1">
        <f t="array" ref="N378">IF($B378=0,IF($E378=0,"",IF(INDEX(DMAV_Dienste!T$6:T$140,$E378)="","",INDEX(DMAV_Dienste!T$6:T$140,$E378))),IF(INDEX(DMAV_Modell!U$6:U$838,$B378)="","",INDEX(DMAV_Modell!U$6:U$838,$B378)))</f>
        <v/>
      </c>
      <c r="O378" s="63" t="str" cm="1">
        <f t="array" aca="1" ref="O378" ca="1">IF(C378=0,IF(F378=0,"",HYPERLINK("#"&amp;RIGHT(CELL("adresse",OFFSET(DMAV_Dienste!$M$6,F378-1,0)),LEN(CELL("adresse",OFFSET(DMAV_Dienste!$M$6,F378-1,0)))-FIND("]",CELL("adresse",OFFSET(DMAV_Dienste!$M$6,F378-1,0)))),"Structure")),HYPERLINK("#"&amp;RIGHT(CELL("adresse",OFFSET(DMAV_Modell!$N$6,C378-1,0)),LEN(CELL("adresse",OFFSET(DMAV_Modell!$N$6,C378-1,0)))-FIND("]",CELL("adresse",OFFSET(DMAV_Modell!$N$6,C378-1,0)))),"Structure"))</f>
        <v/>
      </c>
      <c r="P378" s="64" t="str" cm="1">
        <f t="array" aca="1" ref="P378" ca="1">IF(D378=0,IF(G378=0,"",HYPERLINK("#"&amp;RIGHT(CELL("adresse",OFFSET(DMAV_Dienste!$M$6,G378-1,0)),LEN(CELL("adresse",OFFSET(DMAV_Dienste!$M$6,G378-1,0)))-FIND("]",CELL("adresse",OFFSET(DMAV_Dienste!$M$6,G378-1,0)))),"Substructure")),HYPERLINK("#"&amp;RIGHT(CELL("adresse",OFFSET(DMAV_Modell!$N$6,D378-1,0)),LEN(CELL("adresse",OFFSET(DMAV_Modell!$N$6,D378-1,0)))-FIND("]",CELL("adresse",OFFSET(DMAV_Modell!$N$6,D378-1,0)))),"Substructure"))</f>
        <v/>
      </c>
      <c r="R378" s="80"/>
      <c r="T378" s="93"/>
      <c r="U378" s="94"/>
      <c r="V378" s="95"/>
      <c r="W378" s="96"/>
      <c r="Y378" s="85"/>
      <c r="Z378" s="86"/>
      <c r="AA378" s="87"/>
      <c r="AB378" s="88"/>
      <c r="AD378" s="77"/>
      <c r="AF378" s="54" t="str" cm="1">
        <f t="array" aca="1" ref="AF378" ca="1">IF(H378=0,"",HYPERLINK("#"&amp;RIGHT(CELL("adresse",OFFSET('DM01-AV-CH'!$G$6,H378-1,0)),LEN(CELL("adresse",OFFSET('DM01-AV-CH'!$G$6,H378-1,0)))-FIND("]",CELL("adresse",OFFSET('DM01-AV-CH'!$G$6,H378-1,0)))),"Modell"))</f>
        <v>Modell</v>
      </c>
      <c r="AG378" s="72" t="str" cm="1">
        <f t="array" ref="AG378">IF($H378=0,"",IF(INDEX('DM01-AV-CH'!G$6:G$834,$H378)="","",INDEX('DM01-AV-CH'!G$6:G$834,$H378)))</f>
        <v>Gemeindegrenzen</v>
      </c>
      <c r="AH378" s="73" t="str" cm="1">
        <f t="array" ref="AH378">IF($H378=0,"",IF(INDEX('DM01-AV-CH'!H$6:H$834,$H378)="","",INDEX('DM01-AV-CH'!H$6:H$834,$H378)))</f>
        <v>Gemeindegrenze</v>
      </c>
      <c r="AI378" s="74" t="str" cm="1">
        <f t="array" ref="AI378">IF($H378=0,"",IF(INDEX('DM01-AV-CH'!I$6:I$834,$H378)="","",INDEX('DM01-AV-CH'!I$6:I$834,$H378)))</f>
        <v>Gemeindegrenze_von</v>
      </c>
    </row>
    <row r="379" spans="1:35" ht="28.5" x14ac:dyDescent="0.25">
      <c r="A379" s="57">
        <v>374</v>
      </c>
      <c r="B379" s="57">
        <f>IF($A379="","",IF(_xlfn.XLOOKUP($A379,Korrelation!$D$4:$D$1197,Korrelation!E$4:E$1197,"-",0)="-",0,MATCH(_xlfn.XLOOKUP($A379,Korrelation!$D$4:$D$1197,Korrelation!E$4:E$1197,"",0),DMAV_Modell!$G$6:$G$677,0)))</f>
        <v>140</v>
      </c>
      <c r="C379" s="57">
        <f>IF($A379="","",IF(_xlfn.XLOOKUP($A379,Korrelation!$D$4:$D$1197,Korrelation!F$4:F$1197,"-",0)="-",0,MATCH(_xlfn.XLOOKUP($A379,Korrelation!$D$4:$D$1197,Korrelation!F$4:F$1197,"",0),DMAV_Modell!$G$6:$G$677,0)))</f>
        <v>0</v>
      </c>
      <c r="D379" s="57">
        <f>IF($A379="","",IF(_xlfn.XLOOKUP($A379,Korrelation!$D$4:$D$1197,Korrelation!G$4:G$1197,"-",0)="-",0,MATCH(_xlfn.XLOOKUP($A379,Korrelation!$D$4:$D$1197,Korrelation!G$4:G$1197,"",0),DMAV_Modell!$G$6:$G$677,0)))</f>
        <v>0</v>
      </c>
      <c r="E379" s="57">
        <f>IF($A379="","",IF(_xlfn.XLOOKUP($A379,Korrelation!$D$4:$D$1197,Korrelation!H$4:H$1197,"-",0)="-",0,MATCH(_xlfn.XLOOKUP($A379,Korrelation!$D$4:$D$1197,Korrelation!H$4:H$1197,"",0),DMAV_Dienste!$F$6:$F$140,0)))</f>
        <v>0</v>
      </c>
      <c r="F379" s="57">
        <f>IF($A379="","",IF(_xlfn.XLOOKUP($A379,Korrelation!$D$4:$D$1197,Korrelation!I$4:I$1197,"-",0)="-",0,MATCH(_xlfn.XLOOKUP($A379,Korrelation!$D$4:$D$1197,Korrelation!I$4:I$1197,"",0),DMAV_Dienste!$F$6:$F$140,0)))</f>
        <v>0</v>
      </c>
      <c r="G379" s="57">
        <f>IF($A379="","",IF(_xlfn.XLOOKUP($A379,Korrelation!$D$4:$D$1197,Korrelation!J$4:J$1197,"-",0)="-",0,MATCH(_xlfn.XLOOKUP($A379,Korrelation!$D$4:$D$1197,Korrelation!J$4:J$1197,"",0),DMAV_Dienste!$F$6:$F$140,0)))</f>
        <v>0</v>
      </c>
      <c r="H379" s="57">
        <f>IF($A379="","",IF(_xlfn.XLOOKUP($A379,Korrelation!$D$4:$D$1197,Korrelation!K$4:K$1197,"-",0)="-",0,MATCH(_xlfn.XLOOKUP($A379,Korrelation!$D$4:$D$1197,Korrelation!K$4:K$1197,"",0),'DM01-AV-CH'!$A$6:$A$834,0)))</f>
        <v>618</v>
      </c>
      <c r="J379" s="54" t="str" cm="1">
        <f t="array" aca="1" ref="J379" ca="1">IF(B379=0,IF(E379=0,"",HYPERLINK("#"&amp;RIGHT(CELL("adresse",OFFSET(DMAV_Dienste!$M$6,E379-1,0)),LEN(CELL("adresse",OFFSET(DMAV_Dienste!$M$6,E379-1,0)))-FIND("]",CELL("adresse",OFFSET(DMAV_Dienste!$M$6,E379-1,0)))),"Dienst")),HYPERLINK("#"&amp;RIGHT(CELL("adresse",OFFSET(DMAV_Modell!$N$6,B379-1,0)),LEN(CELL("adresse",OFFSET(DMAV_Modell!$N$6,B379-1,0)))-FIND("]",CELL("adresse",OFFSET(DMAV_Modell!$N$6,B379-1,0)))),"Modell"))</f>
        <v>Modell</v>
      </c>
      <c r="K379" s="61" t="str" cm="1">
        <f t="array" ref="K379">IF($B379=0,IF($E379=0,"",IF(INDEX(DMAV_Dienste!P$6:P$140,$E379)="","",INDEX(DMAV_Dienste!P$6:P$140,$E379))),IF(INDEX(DMAV_Modell!Q$6:Q$838,$B379)="","",INDEX(DMAV_Modell!Q$6:Q$838,$B379)))</f>
        <v>CLASS</v>
      </c>
      <c r="L379" s="62" t="str" cm="1">
        <f t="array" ref="L379">IF($B379=0,IF($E379=0,"",IF(INDEX(DMAV_Dienste!O$6:O$140,$E379)="","",INDEX(DMAV_Dienste!O$6:O$140,$E379))),IF(INDEX(DMAV_Modell!P$6:P$838,$B379)="","",INDEX(DMAV_Modell!P$6:P$838,$B379)))</f>
        <v>HoheitsgrenzenAV</v>
      </c>
      <c r="M379" s="62" t="str" cm="1">
        <f t="array" ref="M379">IF($B379=0,IF($E379=0,"",IF(INDEX(DMAV_Dienste!Q$6:Q$140,$E379)="","",INDEX(DMAV_Dienste!Q$6:Q$140,$E379))),IF(INDEX(DMAV_Modell!R$6:R$838,$B379)="","",INDEX(DMAV_Modell!R$6:R$838,$B379)))</f>
        <v>Gemeindegrenze</v>
      </c>
      <c r="N379" s="62" t="str" cm="1">
        <f t="array" ref="N379">IF($B379=0,IF($E379=0,"",IF(INDEX(DMAV_Dienste!T$6:T$140,$E379)="","",INDEX(DMAV_Dienste!T$6:T$140,$E379))),IF(INDEX(DMAV_Modell!U$6:U$838,$B379)="","",INDEX(DMAV_Modell!U$6:U$838,$B379)))</f>
        <v>Geometrie</v>
      </c>
      <c r="O379" s="63" t="str" cm="1">
        <f t="array" aca="1" ref="O379" ca="1">IF(C379=0,IF(F379=0,"",HYPERLINK("#"&amp;RIGHT(CELL("adresse",OFFSET(DMAV_Dienste!$M$6,F379-1,0)),LEN(CELL("adresse",OFFSET(DMAV_Dienste!$M$6,F379-1,0)))-FIND("]",CELL("adresse",OFFSET(DMAV_Dienste!$M$6,F379-1,0)))),"Structure")),HYPERLINK("#"&amp;RIGHT(CELL("adresse",OFFSET(DMAV_Modell!$N$6,C379-1,0)),LEN(CELL("adresse",OFFSET(DMAV_Modell!$N$6,C379-1,0)))-FIND("]",CELL("adresse",OFFSET(DMAV_Modell!$N$6,C379-1,0)))),"Structure"))</f>
        <v/>
      </c>
      <c r="P379" s="64" t="str" cm="1">
        <f t="array" aca="1" ref="P379" ca="1">IF(D379=0,IF(G379=0,"",HYPERLINK("#"&amp;RIGHT(CELL("adresse",OFFSET(DMAV_Dienste!$M$6,G379-1,0)),LEN(CELL("adresse",OFFSET(DMAV_Dienste!$M$6,G379-1,0)))-FIND("]",CELL("adresse",OFFSET(DMAV_Dienste!$M$6,G379-1,0)))),"Substructure")),HYPERLINK("#"&amp;RIGHT(CELL("adresse",OFFSET(DMAV_Modell!$N$6,D379-1,0)),LEN(CELL("adresse",OFFSET(DMAV_Modell!$N$6,D379-1,0)))-FIND("]",CELL("adresse",OFFSET(DMAV_Modell!$N$6,D379-1,0)))),"Substructure"))</f>
        <v/>
      </c>
      <c r="R379" s="80"/>
      <c r="T379" s="93"/>
      <c r="U379" s="94"/>
      <c r="V379" s="95"/>
      <c r="W379" s="96"/>
      <c r="Y379" s="85" t="s">
        <v>3243</v>
      </c>
      <c r="Z379" s="86"/>
      <c r="AA379" s="87"/>
      <c r="AB379" s="88"/>
      <c r="AD379" s="77"/>
      <c r="AF379" s="54" t="str" cm="1">
        <f t="array" aca="1" ref="AF379" ca="1">IF(H379=0,"",HYPERLINK("#"&amp;RIGHT(CELL("adresse",OFFSET('DM01-AV-CH'!$G$6,H379-1,0)),LEN(CELL("adresse",OFFSET('DM01-AV-CH'!$G$6,H379-1,0)))-FIND("]",CELL("adresse",OFFSET('DM01-AV-CH'!$G$6,H379-1,0)))),"Modell"))</f>
        <v>Modell</v>
      </c>
      <c r="AG379" s="72" t="str" cm="1">
        <f t="array" ref="AG379">IF($H379=0,"",IF(INDEX('DM01-AV-CH'!G$6:G$834,$H379)="","",INDEX('DM01-AV-CH'!G$6:G$834,$H379)))</f>
        <v>Gemeindegrenzen</v>
      </c>
      <c r="AH379" s="73" t="str" cm="1">
        <f t="array" ref="AH379">IF($H379=0,"",IF(INDEX('DM01-AV-CH'!H$6:H$834,$H379)="","",INDEX('DM01-AV-CH'!H$6:H$834,$H379)))</f>
        <v>Gemeindegrenze</v>
      </c>
      <c r="AI379" s="74" t="str" cm="1">
        <f t="array" ref="AI379">IF($H379=0,"",IF(INDEX('DM01-AV-CH'!I$6:I$834,$H379)="","",INDEX('DM01-AV-CH'!I$6:I$834,$H379)))</f>
        <v>Geometrie</v>
      </c>
    </row>
    <row r="380" spans="1:35" x14ac:dyDescent="0.25">
      <c r="A380" s="57">
        <v>375</v>
      </c>
      <c r="B380" s="57">
        <f>IF($A380="","",IF(_xlfn.XLOOKUP($A380,Korrelation!$D$4:$D$1197,Korrelation!E$4:E$1197,"-",0)="-",0,MATCH(_xlfn.XLOOKUP($A380,Korrelation!$D$4:$D$1197,Korrelation!E$4:E$1197,"",0),DMAV_Modell!$G$6:$G$677,0)))</f>
        <v>141</v>
      </c>
      <c r="C380" s="57">
        <f>IF($A380="","",IF(_xlfn.XLOOKUP($A380,Korrelation!$D$4:$D$1197,Korrelation!F$4:F$1197,"-",0)="-",0,MATCH(_xlfn.XLOOKUP($A380,Korrelation!$D$4:$D$1197,Korrelation!F$4:F$1197,"",0),DMAV_Modell!$G$6:$G$677,0)))</f>
        <v>0</v>
      </c>
      <c r="D380" s="57">
        <f>IF($A380="","",IF(_xlfn.XLOOKUP($A380,Korrelation!$D$4:$D$1197,Korrelation!G$4:G$1197,"-",0)="-",0,MATCH(_xlfn.XLOOKUP($A380,Korrelation!$D$4:$D$1197,Korrelation!G$4:G$1197,"",0),DMAV_Modell!$G$6:$G$677,0)))</f>
        <v>0</v>
      </c>
      <c r="E380" s="57">
        <f>IF($A380="","",IF(_xlfn.XLOOKUP($A380,Korrelation!$D$4:$D$1197,Korrelation!H$4:H$1197,"-",0)="-",0,MATCH(_xlfn.XLOOKUP($A380,Korrelation!$D$4:$D$1197,Korrelation!H$4:H$1197,"",0),DMAV_Dienste!$F$6:$F$140,0)))</f>
        <v>0</v>
      </c>
      <c r="F380" s="57">
        <f>IF($A380="","",IF(_xlfn.XLOOKUP($A380,Korrelation!$D$4:$D$1197,Korrelation!I$4:I$1197,"-",0)="-",0,MATCH(_xlfn.XLOOKUP($A380,Korrelation!$D$4:$D$1197,Korrelation!I$4:I$1197,"",0),DMAV_Dienste!$F$6:$F$140,0)))</f>
        <v>0</v>
      </c>
      <c r="G380" s="57">
        <f>IF($A380="","",IF(_xlfn.XLOOKUP($A380,Korrelation!$D$4:$D$1197,Korrelation!J$4:J$1197,"-",0)="-",0,MATCH(_xlfn.XLOOKUP($A380,Korrelation!$D$4:$D$1197,Korrelation!J$4:J$1197,"",0),DMAV_Dienste!$F$6:$F$140,0)))</f>
        <v>0</v>
      </c>
      <c r="H380" s="57">
        <f>IF($A380="","",IF(_xlfn.XLOOKUP($A380,Korrelation!$D$4:$D$1197,Korrelation!K$4:K$1197,"-",0)="-",0,MATCH(_xlfn.XLOOKUP($A380,Korrelation!$D$4:$D$1197,Korrelation!K$4:K$1197,"",0),'DM01-AV-CH'!$A$6:$A$834,0)))</f>
        <v>0</v>
      </c>
      <c r="J380" s="54" t="str" cm="1">
        <f t="array" aca="1" ref="J380" ca="1">IF(B380=0,IF(E380=0,"",HYPERLINK("#"&amp;RIGHT(CELL("adresse",OFFSET(DMAV_Dienste!$M$6,E380-1,0)),LEN(CELL("adresse",OFFSET(DMAV_Dienste!$M$6,E380-1,0)))-FIND("]",CELL("adresse",OFFSET(DMAV_Dienste!$M$6,E380-1,0)))),"Dienst")),HYPERLINK("#"&amp;RIGHT(CELL("adresse",OFFSET(DMAV_Modell!$N$6,B380-1,0)),LEN(CELL("adresse",OFFSET(DMAV_Modell!$N$6,B380-1,0)))-FIND("]",CELL("adresse",OFFSET(DMAV_Modell!$N$6,B380-1,0)))),"Modell"))</f>
        <v>Modell</v>
      </c>
      <c r="K380" s="61" t="str" cm="1">
        <f t="array" ref="K380">IF($B380=0,IF($E380=0,"",IF(INDEX(DMAV_Dienste!P$6:P$140,$E380)="","",INDEX(DMAV_Dienste!P$6:P$140,$E380))),IF(INDEX(DMAV_Modell!Q$6:Q$838,$B380)="","",INDEX(DMAV_Modell!Q$6:Q$838,$B380)))</f>
        <v>CLASS</v>
      </c>
      <c r="L380" s="62" t="str" cm="1">
        <f t="array" ref="L380">IF($B380=0,IF($E380=0,"",IF(INDEX(DMAV_Dienste!O$6:O$140,$E380)="","",INDEX(DMAV_Dienste!O$6:O$140,$E380))),IF(INDEX(DMAV_Modell!P$6:P$838,$B380)="","",INDEX(DMAV_Modell!P$6:P$838,$B380)))</f>
        <v>HoheitsgrenzenAV</v>
      </c>
      <c r="M380" s="62" t="str" cm="1">
        <f t="array" ref="M380">IF($B380=0,IF($E380=0,"",IF(INDEX(DMAV_Dienste!Q$6:Q$140,$E380)="","",INDEX(DMAV_Dienste!Q$6:Q$140,$E380))),IF(INDEX(DMAV_Modell!R$6:R$838,$B380)="","",INDEX(DMAV_Modell!R$6:R$838,$B380)))</f>
        <v>Gemeindegrenze</v>
      </c>
      <c r="N380" s="62" t="str" cm="1">
        <f t="array" ref="N380">IF($B380=0,IF($E380=0,"",IF(INDEX(DMAV_Dienste!T$6:T$140,$E380)="","",INDEX(DMAV_Dienste!T$6:T$140,$E380))),IF(INDEX(DMAV_Modell!U$6:U$838,$B380)="","",INDEX(DMAV_Modell!U$6:U$838,$B380)))</f>
        <v>Fiktiv</v>
      </c>
      <c r="O380" s="63" t="str" cm="1">
        <f t="array" aca="1" ref="O380" ca="1">IF(C380=0,IF(F380=0,"",HYPERLINK("#"&amp;RIGHT(CELL("adresse",OFFSET(DMAV_Dienste!$M$6,F380-1,0)),LEN(CELL("adresse",OFFSET(DMAV_Dienste!$M$6,F380-1,0)))-FIND("]",CELL("adresse",OFFSET(DMAV_Dienste!$M$6,F380-1,0)))),"Structure")),HYPERLINK("#"&amp;RIGHT(CELL("adresse",OFFSET(DMAV_Modell!$N$6,C380-1,0)),LEN(CELL("adresse",OFFSET(DMAV_Modell!$N$6,C380-1,0)))-FIND("]",CELL("adresse",OFFSET(DMAV_Modell!$N$6,C380-1,0)))),"Structure"))</f>
        <v/>
      </c>
      <c r="P380" s="64" t="str" cm="1">
        <f t="array" aca="1" ref="P380" ca="1">IF(D380=0,IF(G380=0,"",HYPERLINK("#"&amp;RIGHT(CELL("adresse",OFFSET(DMAV_Dienste!$M$6,G380-1,0)),LEN(CELL("adresse",OFFSET(DMAV_Dienste!$M$6,G380-1,0)))-FIND("]",CELL("adresse",OFFSET(DMAV_Dienste!$M$6,G380-1,0)))),"Substructure")),HYPERLINK("#"&amp;RIGHT(CELL("adresse",OFFSET(DMAV_Modell!$N$6,D380-1,0)),LEN(CELL("adresse",OFFSET(DMAV_Modell!$N$6,D380-1,0)))-FIND("]",CELL("adresse",OFFSET(DMAV_Modell!$N$6,D380-1,0)))),"Substructure"))</f>
        <v/>
      </c>
      <c r="R380" s="80" t="s">
        <v>214</v>
      </c>
      <c r="T380" s="93"/>
      <c r="U380" s="94"/>
      <c r="V380" s="95"/>
      <c r="W380" s="96"/>
      <c r="Y380" s="85"/>
      <c r="Z380" s="86"/>
      <c r="AA380" s="87"/>
      <c r="AB380" s="88"/>
      <c r="AD380" s="77"/>
      <c r="AF380" s="54" t="str" cm="1">
        <f t="array" aca="1" ref="AF380" ca="1">IF(H380=0,"",HYPERLINK("#"&amp;RIGHT(CELL("adresse",OFFSET('DM01-AV-CH'!$G$6,H380-1,0)),LEN(CELL("adresse",OFFSET('DM01-AV-CH'!$G$6,H380-1,0)))-FIND("]",CELL("adresse",OFFSET('DM01-AV-CH'!$G$6,H380-1,0)))),"Modell"))</f>
        <v/>
      </c>
      <c r="AG380" s="72" t="str" cm="1">
        <f t="array" ref="AG380">IF($H380=0,"",IF(INDEX('DM01-AV-CH'!G$6:G$834,$H380)="","",INDEX('DM01-AV-CH'!G$6:G$834,$H380)))</f>
        <v/>
      </c>
      <c r="AH380" s="73" t="str" cm="1">
        <f t="array" ref="AH380">IF($H380=0,"",IF(INDEX('DM01-AV-CH'!H$6:H$834,$H380)="","",INDEX('DM01-AV-CH'!H$6:H$834,$H380)))</f>
        <v/>
      </c>
      <c r="AI380" s="74" t="str" cm="1">
        <f t="array" ref="AI380">IF($H380=0,"",IF(INDEX('DM01-AV-CH'!I$6:I$834,$H380)="","",INDEX('DM01-AV-CH'!I$6:I$834,$H380)))</f>
        <v/>
      </c>
    </row>
    <row r="381" spans="1:35" ht="28.5" x14ac:dyDescent="0.25">
      <c r="A381" s="57">
        <v>376</v>
      </c>
      <c r="B381" s="57">
        <f>IF($A381="","",IF(_xlfn.XLOOKUP($A381,Korrelation!$D$4:$D$1197,Korrelation!E$4:E$1197,"-",0)="-",0,MATCH(_xlfn.XLOOKUP($A381,Korrelation!$D$4:$D$1197,Korrelation!E$4:E$1197,"",0),DMAV_Modell!$G$6:$G$677,0)))</f>
        <v>142</v>
      </c>
      <c r="C381" s="57">
        <f>IF($A381="","",IF(_xlfn.XLOOKUP($A381,Korrelation!$D$4:$D$1197,Korrelation!F$4:F$1197,"-",0)="-",0,MATCH(_xlfn.XLOOKUP($A381,Korrelation!$D$4:$D$1197,Korrelation!F$4:F$1197,"",0),DMAV_Modell!$G$6:$G$677,0)))</f>
        <v>0</v>
      </c>
      <c r="D381" s="57">
        <f>IF($A381="","",IF(_xlfn.XLOOKUP($A381,Korrelation!$D$4:$D$1197,Korrelation!G$4:G$1197,"-",0)="-",0,MATCH(_xlfn.XLOOKUP($A381,Korrelation!$D$4:$D$1197,Korrelation!G$4:G$1197,"",0),DMAV_Modell!$G$6:$G$677,0)))</f>
        <v>0</v>
      </c>
      <c r="E381" s="57">
        <f>IF($A381="","",IF(_xlfn.XLOOKUP($A381,Korrelation!$D$4:$D$1197,Korrelation!H$4:H$1197,"-",0)="-",0,MATCH(_xlfn.XLOOKUP($A381,Korrelation!$D$4:$D$1197,Korrelation!H$4:H$1197,"",0),DMAV_Dienste!$F$6:$F$140,0)))</f>
        <v>0</v>
      </c>
      <c r="F381" s="57">
        <f>IF($A381="","",IF(_xlfn.XLOOKUP($A381,Korrelation!$D$4:$D$1197,Korrelation!I$4:I$1197,"-",0)="-",0,MATCH(_xlfn.XLOOKUP($A381,Korrelation!$D$4:$D$1197,Korrelation!I$4:I$1197,"",0),DMAV_Dienste!$F$6:$F$140,0)))</f>
        <v>0</v>
      </c>
      <c r="G381" s="57">
        <f>IF($A381="","",IF(_xlfn.XLOOKUP($A381,Korrelation!$D$4:$D$1197,Korrelation!J$4:J$1197,"-",0)="-",0,MATCH(_xlfn.XLOOKUP($A381,Korrelation!$D$4:$D$1197,Korrelation!J$4:J$1197,"",0),DMAV_Dienste!$F$6:$F$140,0)))</f>
        <v>0</v>
      </c>
      <c r="H381" s="57">
        <f>IF($A381="","",IF(_xlfn.XLOOKUP($A381,Korrelation!$D$4:$D$1197,Korrelation!K$4:K$1197,"-",0)="-",0,MATCH(_xlfn.XLOOKUP($A381,Korrelation!$D$4:$D$1197,Korrelation!K$4:K$1197,"",0),'DM01-AV-CH'!$A$6:$A$834,0)))</f>
        <v>0</v>
      </c>
      <c r="J381" s="54" t="str" cm="1">
        <f t="array" aca="1" ref="J381" ca="1">IF(B381=0,IF(E381=0,"",HYPERLINK("#"&amp;RIGHT(CELL("adresse",OFFSET(DMAV_Dienste!$M$6,E381-1,0)),LEN(CELL("adresse",OFFSET(DMAV_Dienste!$M$6,E381-1,0)))-FIND("]",CELL("adresse",OFFSET(DMAV_Dienste!$M$6,E381-1,0)))),"Dienst")),HYPERLINK("#"&amp;RIGHT(CELL("adresse",OFFSET(DMAV_Modell!$N$6,B381-1,0)),LEN(CELL("adresse",OFFSET(DMAV_Modell!$N$6,B381-1,0)))-FIND("]",CELL("adresse",OFFSET(DMAV_Modell!$N$6,B381-1,0)))),"Modell"))</f>
        <v>Modell</v>
      </c>
      <c r="K381" s="61" t="str" cm="1">
        <f t="array" ref="K381">IF($B381=0,IF($E381=0,"",IF(INDEX(DMAV_Dienste!P$6:P$140,$E381)="","",INDEX(DMAV_Dienste!P$6:P$140,$E381))),IF(INDEX(DMAV_Modell!Q$6:Q$838,$B381)="","",INDEX(DMAV_Modell!Q$6:Q$838,$B381)))</f>
        <v>CLASS</v>
      </c>
      <c r="L381" s="62" t="str" cm="1">
        <f t="array" ref="L381">IF($B381=0,IF($E381=0,"",IF(INDEX(DMAV_Dienste!O$6:O$140,$E381)="","",INDEX(DMAV_Dienste!O$6:O$140,$E381))),IF(INDEX(DMAV_Modell!P$6:P$838,$B381)="","",INDEX(DMAV_Modell!P$6:P$838,$B381)))</f>
        <v>HoheitsgrenzenAV</v>
      </c>
      <c r="M381" s="62" t="str" cm="1">
        <f t="array" ref="M381">IF($B381=0,IF($E381=0,"",IF(INDEX(DMAV_Dienste!Q$6:Q$140,$E381)="","",INDEX(DMAV_Dienste!Q$6:Q$140,$E381))),IF(INDEX(DMAV_Modell!R$6:R$838,$B381)="","",INDEX(DMAV_Modell!R$6:R$838,$B381)))</f>
        <v>Gemeindegrenze</v>
      </c>
      <c r="N381" s="62" t="str" cm="1">
        <f t="array" ref="N381">IF($B381=0,IF($E381=0,"",IF(INDEX(DMAV_Dienste!T$6:T$140,$E381)="","",INDEX(DMAV_Dienste!T$6:T$140,$E381))),IF(INDEX(DMAV_Modell!U$6:U$838,$B381)="","",INDEX(DMAV_Modell!U$6:U$838,$B381)))</f>
        <v>Streitig</v>
      </c>
      <c r="O381" s="63" t="str" cm="1">
        <f t="array" aca="1" ref="O381" ca="1">IF(C381=0,IF(F381=0,"",HYPERLINK("#"&amp;RIGHT(CELL("adresse",OFFSET(DMAV_Dienste!$M$6,F381-1,0)),LEN(CELL("adresse",OFFSET(DMAV_Dienste!$M$6,F381-1,0)))-FIND("]",CELL("adresse",OFFSET(DMAV_Dienste!$M$6,F381-1,0)))),"Structure")),HYPERLINK("#"&amp;RIGHT(CELL("adresse",OFFSET(DMAV_Modell!$N$6,C381-1,0)),LEN(CELL("adresse",OFFSET(DMAV_Modell!$N$6,C381-1,0)))-FIND("]",CELL("adresse",OFFSET(DMAV_Modell!$N$6,C381-1,0)))),"Structure"))</f>
        <v/>
      </c>
      <c r="P381" s="64" t="str" cm="1">
        <f t="array" aca="1" ref="P381" ca="1">IF(D381=0,IF(G381=0,"",HYPERLINK("#"&amp;RIGHT(CELL("adresse",OFFSET(DMAV_Dienste!$M$6,G381-1,0)),LEN(CELL("adresse",OFFSET(DMAV_Dienste!$M$6,G381-1,0)))-FIND("]",CELL("adresse",OFFSET(DMAV_Dienste!$M$6,G381-1,0)))),"Substructure")),HYPERLINK("#"&amp;RIGHT(CELL("adresse",OFFSET(DMAV_Modell!$N$6,D381-1,0)),LEN(CELL("adresse",OFFSET(DMAV_Modell!$N$6,D381-1,0)))-FIND("]",CELL("adresse",OFFSET(DMAV_Modell!$N$6,D381-1,0)))),"Substructure"))</f>
        <v/>
      </c>
      <c r="R381" s="80"/>
      <c r="T381" s="93" t="s">
        <v>3102</v>
      </c>
      <c r="U381" s="94" t="s">
        <v>1286</v>
      </c>
      <c r="V381" s="95"/>
      <c r="W381" s="96"/>
      <c r="Y381" s="85" t="s">
        <v>3243</v>
      </c>
      <c r="Z381" s="86" t="s">
        <v>2746</v>
      </c>
      <c r="AA381" s="87" t="s">
        <v>3137</v>
      </c>
      <c r="AB381" s="88" t="s">
        <v>3061</v>
      </c>
      <c r="AD381" s="77"/>
      <c r="AF381" s="54" t="str" cm="1">
        <f t="array" aca="1" ref="AF381" ca="1">IF(H381=0,"",HYPERLINK("#"&amp;RIGHT(CELL("adresse",OFFSET('DM01-AV-CH'!$G$6,H381-1,0)),LEN(CELL("adresse",OFFSET('DM01-AV-CH'!$G$6,H381-1,0)))-FIND("]",CELL("adresse",OFFSET('DM01-AV-CH'!$G$6,H381-1,0)))),"Modell"))</f>
        <v/>
      </c>
      <c r="AG381" s="72" t="str" cm="1">
        <f t="array" ref="AG381">IF($H381=0,"",IF(INDEX('DM01-AV-CH'!G$6:G$834,$H381)="","",INDEX('DM01-AV-CH'!G$6:G$834,$H381)))</f>
        <v/>
      </c>
      <c r="AH381" s="73" t="str" cm="1">
        <f t="array" ref="AH381">IF($H381=0,"",IF(INDEX('DM01-AV-CH'!H$6:H$834,$H381)="","",INDEX('DM01-AV-CH'!H$6:H$834,$H381)))</f>
        <v/>
      </c>
      <c r="AI381" s="74" t="str" cm="1">
        <f t="array" ref="AI381">IF($H381=0,"",IF(INDEX('DM01-AV-CH'!I$6:I$834,$H381)="","",INDEX('DM01-AV-CH'!I$6:I$834,$H381)))</f>
        <v/>
      </c>
    </row>
    <row r="382" spans="1:35" ht="28.5" x14ac:dyDescent="0.25">
      <c r="A382" s="57">
        <v>377</v>
      </c>
      <c r="B382" s="57">
        <f>IF($A382="","",IF(_xlfn.XLOOKUP($A382,Korrelation!$D$4:$D$1197,Korrelation!E$4:E$1197,"-",0)="-",0,MATCH(_xlfn.XLOOKUP($A382,Korrelation!$D$4:$D$1197,Korrelation!E$4:E$1197,"",0),DMAV_Modell!$G$6:$G$677,0)))</f>
        <v>143</v>
      </c>
      <c r="C382" s="57">
        <f>IF($A382="","",IF(_xlfn.XLOOKUP($A382,Korrelation!$D$4:$D$1197,Korrelation!F$4:F$1197,"-",0)="-",0,MATCH(_xlfn.XLOOKUP($A382,Korrelation!$D$4:$D$1197,Korrelation!F$4:F$1197,"",0),DMAV_Modell!$G$6:$G$677,0)))</f>
        <v>0</v>
      </c>
      <c r="D382" s="57">
        <f>IF($A382="","",IF(_xlfn.XLOOKUP($A382,Korrelation!$D$4:$D$1197,Korrelation!G$4:G$1197,"-",0)="-",0,MATCH(_xlfn.XLOOKUP($A382,Korrelation!$D$4:$D$1197,Korrelation!G$4:G$1197,"",0),DMAV_Modell!$G$6:$G$677,0)))</f>
        <v>0</v>
      </c>
      <c r="E382" s="57">
        <f>IF($A382="","",IF(_xlfn.XLOOKUP($A382,Korrelation!$D$4:$D$1197,Korrelation!H$4:H$1197,"-",0)="-",0,MATCH(_xlfn.XLOOKUP($A382,Korrelation!$D$4:$D$1197,Korrelation!H$4:H$1197,"",0),DMAV_Dienste!$F$6:$F$140,0)))</f>
        <v>0</v>
      </c>
      <c r="F382" s="57">
        <f>IF($A382="","",IF(_xlfn.XLOOKUP($A382,Korrelation!$D$4:$D$1197,Korrelation!I$4:I$1197,"-",0)="-",0,MATCH(_xlfn.XLOOKUP($A382,Korrelation!$D$4:$D$1197,Korrelation!I$4:I$1197,"",0),DMAV_Dienste!$F$6:$F$140,0)))</f>
        <v>0</v>
      </c>
      <c r="G382" s="57">
        <f>IF($A382="","",IF(_xlfn.XLOOKUP($A382,Korrelation!$D$4:$D$1197,Korrelation!J$4:J$1197,"-",0)="-",0,MATCH(_xlfn.XLOOKUP($A382,Korrelation!$D$4:$D$1197,Korrelation!J$4:J$1197,"",0),DMAV_Dienste!$F$6:$F$140,0)))</f>
        <v>0</v>
      </c>
      <c r="H382" s="57">
        <f>IF($A382="","",IF(_xlfn.XLOOKUP($A382,Korrelation!$D$4:$D$1197,Korrelation!K$4:K$1197,"-",0)="-",0,MATCH(_xlfn.XLOOKUP($A382,Korrelation!$D$4:$D$1197,Korrelation!K$4:K$1197,"",0),'DM01-AV-CH'!$A$6:$A$834,0)))</f>
        <v>0</v>
      </c>
      <c r="J382" s="54" t="str" cm="1">
        <f t="array" aca="1" ref="J382" ca="1">IF(B382=0,IF(E382=0,"",HYPERLINK("#"&amp;RIGHT(CELL("adresse",OFFSET(DMAV_Dienste!$M$6,E382-1,0)),LEN(CELL("adresse",OFFSET(DMAV_Dienste!$M$6,E382-1,0)))-FIND("]",CELL("adresse",OFFSET(DMAV_Dienste!$M$6,E382-1,0)))),"Dienst")),HYPERLINK("#"&amp;RIGHT(CELL("adresse",OFFSET(DMAV_Modell!$N$6,B382-1,0)),LEN(CELL("adresse",OFFSET(DMAV_Modell!$N$6,B382-1,0)))-FIND("]",CELL("adresse",OFFSET(DMAV_Modell!$N$6,B382-1,0)))),"Modell"))</f>
        <v>Modell</v>
      </c>
      <c r="K382" s="61" t="str" cm="1">
        <f t="array" ref="K382">IF($B382=0,IF($E382=0,"",IF(INDEX(DMAV_Dienste!P$6:P$140,$E382)="","",INDEX(DMAV_Dienste!P$6:P$140,$E382))),IF(INDEX(DMAV_Modell!Q$6:Q$838,$B382)="","",INDEX(DMAV_Modell!Q$6:Q$838,$B382)))</f>
        <v>CLASS</v>
      </c>
      <c r="L382" s="62" t="str" cm="1">
        <f t="array" ref="L382">IF($B382=0,IF($E382=0,"",IF(INDEX(DMAV_Dienste!O$6:O$140,$E382)="","",INDEX(DMAV_Dienste!O$6:O$140,$E382))),IF(INDEX(DMAV_Modell!P$6:P$838,$B382)="","",INDEX(DMAV_Modell!P$6:P$838,$B382)))</f>
        <v>HoheitsgrenzenAV</v>
      </c>
      <c r="M382" s="62" t="str" cm="1">
        <f t="array" ref="M382">IF($B382=0,IF($E382=0,"",IF(INDEX(DMAV_Dienste!Q$6:Q$140,$E382)="","",INDEX(DMAV_Dienste!Q$6:Q$140,$E382))),IF(INDEX(DMAV_Modell!R$6:R$838,$B382)="","",INDEX(DMAV_Modell!R$6:R$838,$B382)))</f>
        <v>Gemeindegrenze</v>
      </c>
      <c r="N382" s="62" t="str" cm="1">
        <f t="array" ref="N382">IF($B382=0,IF($E382=0,"",IF(INDEX(DMAV_Dienste!T$6:T$140,$E382)="","",INDEX(DMAV_Dienste!T$6:T$140,$E382))),IF(INDEX(DMAV_Modell!U$6:U$838,$B382)="","",INDEX(DMAV_Modell!U$6:U$838,$B382)))</f>
        <v>Provisorisch</v>
      </c>
      <c r="O382" s="63" t="str" cm="1">
        <f t="array" aca="1" ref="O382" ca="1">IF(C382=0,IF(F382=0,"",HYPERLINK("#"&amp;RIGHT(CELL("adresse",OFFSET(DMAV_Dienste!$M$6,F382-1,0)),LEN(CELL("adresse",OFFSET(DMAV_Dienste!$M$6,F382-1,0)))-FIND("]",CELL("adresse",OFFSET(DMAV_Dienste!$M$6,F382-1,0)))),"Structure")),HYPERLINK("#"&amp;RIGHT(CELL("adresse",OFFSET(DMAV_Modell!$N$6,C382-1,0)),LEN(CELL("adresse",OFFSET(DMAV_Modell!$N$6,C382-1,0)))-FIND("]",CELL("adresse",OFFSET(DMAV_Modell!$N$6,C382-1,0)))),"Structure"))</f>
        <v/>
      </c>
      <c r="P382" s="64" t="str" cm="1">
        <f t="array" aca="1" ref="P382" ca="1">IF(D382=0,IF(G382=0,"",HYPERLINK("#"&amp;RIGHT(CELL("adresse",OFFSET(DMAV_Dienste!$M$6,G382-1,0)),LEN(CELL("adresse",OFFSET(DMAV_Dienste!$M$6,G382-1,0)))-FIND("]",CELL("adresse",OFFSET(DMAV_Dienste!$M$6,G382-1,0)))),"Substructure")),HYPERLINK("#"&amp;RIGHT(CELL("adresse",OFFSET(DMAV_Modell!$N$6,D382-1,0)),LEN(CELL("adresse",OFFSET(DMAV_Modell!$N$6,D382-1,0)))-FIND("]",CELL("adresse",OFFSET(DMAV_Modell!$N$6,D382-1,0)))),"Substructure"))</f>
        <v/>
      </c>
      <c r="R382" s="80"/>
      <c r="T382" s="93" t="s">
        <v>3403</v>
      </c>
      <c r="U382" s="94" t="s">
        <v>1286</v>
      </c>
      <c r="V382" s="95"/>
      <c r="W382" s="96"/>
      <c r="Y382" s="85" t="s">
        <v>3243</v>
      </c>
      <c r="Z382" s="86" t="s">
        <v>2746</v>
      </c>
      <c r="AA382" s="87" t="s">
        <v>3137</v>
      </c>
      <c r="AB382" s="88" t="s">
        <v>3405</v>
      </c>
      <c r="AD382" s="77"/>
      <c r="AF382" s="54" t="str" cm="1">
        <f t="array" aca="1" ref="AF382" ca="1">IF(H382=0,"",HYPERLINK("#"&amp;RIGHT(CELL("adresse",OFFSET('DM01-AV-CH'!$G$6,H382-1,0)),LEN(CELL("adresse",OFFSET('DM01-AV-CH'!$G$6,H382-1,0)))-FIND("]",CELL("adresse",OFFSET('DM01-AV-CH'!$G$6,H382-1,0)))),"Modell"))</f>
        <v/>
      </c>
      <c r="AG382" s="72" t="str" cm="1">
        <f t="array" ref="AG382">IF($H382=0,"",IF(INDEX('DM01-AV-CH'!G$6:G$834,$H382)="","",INDEX('DM01-AV-CH'!G$6:G$834,$H382)))</f>
        <v/>
      </c>
      <c r="AH382" s="73" t="str" cm="1">
        <f t="array" ref="AH382">IF($H382=0,"",IF(INDEX('DM01-AV-CH'!H$6:H$834,$H382)="","",INDEX('DM01-AV-CH'!H$6:H$834,$H382)))</f>
        <v/>
      </c>
      <c r="AI382" s="74" t="str" cm="1">
        <f t="array" ref="AI382">IF($H382=0,"",IF(INDEX('DM01-AV-CH'!I$6:I$834,$H382)="","",INDEX('DM01-AV-CH'!I$6:I$834,$H382)))</f>
        <v/>
      </c>
    </row>
    <row r="383" spans="1:35" ht="28.5" x14ac:dyDescent="0.25">
      <c r="A383" s="57">
        <v>378</v>
      </c>
      <c r="B383" s="57">
        <f>IF($A383="","",IF(_xlfn.XLOOKUP($A383,Korrelation!$D$4:$D$1197,Korrelation!E$4:E$1197,"-",0)="-",0,MATCH(_xlfn.XLOOKUP($A383,Korrelation!$D$4:$D$1197,Korrelation!E$4:E$1197,"",0),DMAV_Modell!$G$6:$G$677,0)))</f>
        <v>144</v>
      </c>
      <c r="C383" s="57">
        <f>IF($A383="","",IF(_xlfn.XLOOKUP($A383,Korrelation!$D$4:$D$1197,Korrelation!F$4:F$1197,"-",0)="-",0,MATCH(_xlfn.XLOOKUP($A383,Korrelation!$D$4:$D$1197,Korrelation!F$4:F$1197,"",0),DMAV_Modell!$G$6:$G$677,0)))</f>
        <v>0</v>
      </c>
      <c r="D383" s="57">
        <f>IF($A383="","",IF(_xlfn.XLOOKUP($A383,Korrelation!$D$4:$D$1197,Korrelation!G$4:G$1197,"-",0)="-",0,MATCH(_xlfn.XLOOKUP($A383,Korrelation!$D$4:$D$1197,Korrelation!G$4:G$1197,"",0),DMAV_Modell!$G$6:$G$677,0)))</f>
        <v>0</v>
      </c>
      <c r="E383" s="57">
        <f>IF($A383="","",IF(_xlfn.XLOOKUP($A383,Korrelation!$D$4:$D$1197,Korrelation!H$4:H$1197,"-",0)="-",0,MATCH(_xlfn.XLOOKUP($A383,Korrelation!$D$4:$D$1197,Korrelation!H$4:H$1197,"",0),DMAV_Dienste!$F$6:$F$140,0)))</f>
        <v>0</v>
      </c>
      <c r="F383" s="57">
        <f>IF($A383="","",IF(_xlfn.XLOOKUP($A383,Korrelation!$D$4:$D$1197,Korrelation!I$4:I$1197,"-",0)="-",0,MATCH(_xlfn.XLOOKUP($A383,Korrelation!$D$4:$D$1197,Korrelation!I$4:I$1197,"",0),DMAV_Dienste!$F$6:$F$140,0)))</f>
        <v>0</v>
      </c>
      <c r="G383" s="57">
        <f>IF($A383="","",IF(_xlfn.XLOOKUP($A383,Korrelation!$D$4:$D$1197,Korrelation!J$4:J$1197,"-",0)="-",0,MATCH(_xlfn.XLOOKUP($A383,Korrelation!$D$4:$D$1197,Korrelation!J$4:J$1197,"",0),DMAV_Dienste!$F$6:$F$140,0)))</f>
        <v>0</v>
      </c>
      <c r="H383" s="57">
        <f>IF($A383="","",IF(_xlfn.XLOOKUP($A383,Korrelation!$D$4:$D$1197,Korrelation!K$4:K$1197,"-",0)="-",0,MATCH(_xlfn.XLOOKUP($A383,Korrelation!$D$4:$D$1197,Korrelation!K$4:K$1197,"",0),'DM01-AV-CH'!$A$6:$A$834,0)))</f>
        <v>0</v>
      </c>
      <c r="J383" s="54" t="str" cm="1">
        <f t="array" aca="1" ref="J383" ca="1">IF(B383=0,IF(E383=0,"",HYPERLINK("#"&amp;RIGHT(CELL("adresse",OFFSET(DMAV_Dienste!$M$6,E383-1,0)),LEN(CELL("adresse",OFFSET(DMAV_Dienste!$M$6,E383-1,0)))-FIND("]",CELL("adresse",OFFSET(DMAV_Dienste!$M$6,E383-1,0)))),"Dienst")),HYPERLINK("#"&amp;RIGHT(CELL("adresse",OFFSET(DMAV_Modell!$N$6,B383-1,0)),LEN(CELL("adresse",OFFSET(DMAV_Modell!$N$6,B383-1,0)))-FIND("]",CELL("adresse",OFFSET(DMAV_Modell!$N$6,B383-1,0)))),"Modell"))</f>
        <v>Modell</v>
      </c>
      <c r="K383" s="61" t="str" cm="1">
        <f t="array" ref="K383">IF($B383=0,IF($E383=0,"",IF(INDEX(DMAV_Dienste!P$6:P$140,$E383)="","",INDEX(DMAV_Dienste!P$6:P$140,$E383))),IF(INDEX(DMAV_Modell!Q$6:Q$838,$B383)="","",INDEX(DMAV_Modell!Q$6:Q$838,$B383)))</f>
        <v>CLASS</v>
      </c>
      <c r="L383" s="62" t="str" cm="1">
        <f t="array" ref="L383">IF($B383=0,IF($E383=0,"",IF(INDEX(DMAV_Dienste!O$6:O$140,$E383)="","",INDEX(DMAV_Dienste!O$6:O$140,$E383))),IF(INDEX(DMAV_Modell!P$6:P$838,$B383)="","",INDEX(DMAV_Modell!P$6:P$838,$B383)))</f>
        <v>HoheitsgrenzenAV</v>
      </c>
      <c r="M383" s="62" t="str" cm="1">
        <f t="array" ref="M383">IF($B383=0,IF($E383=0,"",IF(INDEX(DMAV_Dienste!Q$6:Q$140,$E383)="","",INDEX(DMAV_Dienste!Q$6:Q$140,$E383))),IF(INDEX(DMAV_Modell!R$6:R$838,$B383)="","",INDEX(DMAV_Modell!R$6:R$838,$B383)))</f>
        <v>Gemeindegrenze</v>
      </c>
      <c r="N383" s="62" t="str" cm="1">
        <f t="array" ref="N383">IF($B383=0,IF($E383=0,"",IF(INDEX(DMAV_Dienste!T$6:T$140,$E383)="","",INDEX(DMAV_Dienste!T$6:T$140,$E383))),IF(INDEX(DMAV_Modell!U$6:U$838,$B383)="","",INDEX(DMAV_Modell!U$6:U$838,$B383)))</f>
        <v>Undefiniert</v>
      </c>
      <c r="O383" s="63" t="str" cm="1">
        <f t="array" aca="1" ref="O383" ca="1">IF(C383=0,IF(F383=0,"",HYPERLINK("#"&amp;RIGHT(CELL("adresse",OFFSET(DMAV_Dienste!$M$6,F383-1,0)),LEN(CELL("adresse",OFFSET(DMAV_Dienste!$M$6,F383-1,0)))-FIND("]",CELL("adresse",OFFSET(DMAV_Dienste!$M$6,F383-1,0)))),"Structure")),HYPERLINK("#"&amp;RIGHT(CELL("adresse",OFFSET(DMAV_Modell!$N$6,C383-1,0)),LEN(CELL("adresse",OFFSET(DMAV_Modell!$N$6,C383-1,0)))-FIND("]",CELL("adresse",OFFSET(DMAV_Modell!$N$6,C383-1,0)))),"Structure"))</f>
        <v/>
      </c>
      <c r="P383" s="64" t="str" cm="1">
        <f t="array" aca="1" ref="P383" ca="1">IF(D383=0,IF(G383=0,"",HYPERLINK("#"&amp;RIGHT(CELL("adresse",OFFSET(DMAV_Dienste!$M$6,G383-1,0)),LEN(CELL("adresse",OFFSET(DMAV_Dienste!$M$6,G383-1,0)))-FIND("]",CELL("adresse",OFFSET(DMAV_Dienste!$M$6,G383-1,0)))),"Substructure")),HYPERLINK("#"&amp;RIGHT(CELL("adresse",OFFSET(DMAV_Modell!$N$6,D383-1,0)),LEN(CELL("adresse",OFFSET(DMAV_Modell!$N$6,D383-1,0)))-FIND("]",CELL("adresse",OFFSET(DMAV_Modell!$N$6,D383-1,0)))),"Substructure"))</f>
        <v/>
      </c>
      <c r="R383" s="80"/>
      <c r="T383" s="93" t="s">
        <v>3404</v>
      </c>
      <c r="U383" s="94" t="s">
        <v>1286</v>
      </c>
      <c r="V383" s="95"/>
      <c r="W383" s="96"/>
      <c r="Y383" s="85" t="s">
        <v>3243</v>
      </c>
      <c r="Z383" s="86" t="s">
        <v>2746</v>
      </c>
      <c r="AA383" s="87" t="s">
        <v>3137</v>
      </c>
      <c r="AB383" s="88" t="s">
        <v>3406</v>
      </c>
      <c r="AD383" s="77"/>
      <c r="AF383" s="54" t="str" cm="1">
        <f t="array" aca="1" ref="AF383" ca="1">IF(H383=0,"",HYPERLINK("#"&amp;RIGHT(CELL("adresse",OFFSET('DM01-AV-CH'!$G$6,H383-1,0)),LEN(CELL("adresse",OFFSET('DM01-AV-CH'!$G$6,H383-1,0)))-FIND("]",CELL("adresse",OFFSET('DM01-AV-CH'!$G$6,H383-1,0)))),"Modell"))</f>
        <v/>
      </c>
      <c r="AG383" s="72" t="str" cm="1">
        <f t="array" ref="AG383">IF($H383=0,"",IF(INDEX('DM01-AV-CH'!G$6:G$834,$H383)="","",INDEX('DM01-AV-CH'!G$6:G$834,$H383)))</f>
        <v/>
      </c>
      <c r="AH383" s="73" t="str" cm="1">
        <f t="array" ref="AH383">IF($H383=0,"",IF(INDEX('DM01-AV-CH'!H$6:H$834,$H383)="","",INDEX('DM01-AV-CH'!H$6:H$834,$H383)))</f>
        <v/>
      </c>
      <c r="AI383" s="74" t="str" cm="1">
        <f t="array" ref="AI383">IF($H383=0,"",IF(INDEX('DM01-AV-CH'!I$6:I$834,$H383)="","",INDEX('DM01-AV-CH'!I$6:I$834,$H383)))</f>
        <v/>
      </c>
    </row>
    <row r="384" spans="1:35" x14ac:dyDescent="0.25">
      <c r="A384" s="57">
        <v>379</v>
      </c>
      <c r="B384" s="57">
        <f>IF($A384="","",IF(_xlfn.XLOOKUP($A384,Korrelation!$D$4:$D$1197,Korrelation!E$4:E$1197,"-",0)="-",0,MATCH(_xlfn.XLOOKUP($A384,Korrelation!$D$4:$D$1197,Korrelation!E$4:E$1197,"",0),DMAV_Modell!$G$6:$G$677,0)))</f>
        <v>145</v>
      </c>
      <c r="C384" s="57">
        <f>IF($A384="","",IF(_xlfn.XLOOKUP($A384,Korrelation!$D$4:$D$1197,Korrelation!F$4:F$1197,"-",0)="-",0,MATCH(_xlfn.XLOOKUP($A384,Korrelation!$D$4:$D$1197,Korrelation!F$4:F$1197,"",0),DMAV_Modell!$G$6:$G$677,0)))</f>
        <v>0</v>
      </c>
      <c r="D384" s="57">
        <f>IF($A384="","",IF(_xlfn.XLOOKUP($A384,Korrelation!$D$4:$D$1197,Korrelation!G$4:G$1197,"-",0)="-",0,MATCH(_xlfn.XLOOKUP($A384,Korrelation!$D$4:$D$1197,Korrelation!G$4:G$1197,"",0),DMAV_Modell!$G$6:$G$677,0)))</f>
        <v>0</v>
      </c>
      <c r="E384" s="57">
        <f>IF($A384="","",IF(_xlfn.XLOOKUP($A384,Korrelation!$D$4:$D$1197,Korrelation!H$4:H$1197,"-",0)="-",0,MATCH(_xlfn.XLOOKUP($A384,Korrelation!$D$4:$D$1197,Korrelation!H$4:H$1197,"",0),DMAV_Dienste!$F$6:$F$140,0)))</f>
        <v>0</v>
      </c>
      <c r="F384" s="57">
        <f>IF($A384="","",IF(_xlfn.XLOOKUP($A384,Korrelation!$D$4:$D$1197,Korrelation!I$4:I$1197,"-",0)="-",0,MATCH(_xlfn.XLOOKUP($A384,Korrelation!$D$4:$D$1197,Korrelation!I$4:I$1197,"",0),DMAV_Dienste!$F$6:$F$140,0)))</f>
        <v>0</v>
      </c>
      <c r="G384" s="57">
        <f>IF($A384="","",IF(_xlfn.XLOOKUP($A384,Korrelation!$D$4:$D$1197,Korrelation!J$4:J$1197,"-",0)="-",0,MATCH(_xlfn.XLOOKUP($A384,Korrelation!$D$4:$D$1197,Korrelation!J$4:J$1197,"",0),DMAV_Dienste!$F$6:$F$140,0)))</f>
        <v>0</v>
      </c>
      <c r="H384" s="57">
        <f>IF($A384="","",IF(_xlfn.XLOOKUP($A384,Korrelation!$D$4:$D$1197,Korrelation!K$4:K$1197,"-",0)="-",0,MATCH(_xlfn.XLOOKUP($A384,Korrelation!$D$4:$D$1197,Korrelation!K$4:K$1197,"",0),'DM01-AV-CH'!$A$6:$A$834,0)))</f>
        <v>0</v>
      </c>
      <c r="J384" s="54" t="str" cm="1">
        <f t="array" aca="1" ref="J384" ca="1">IF(B384=0,IF(E384=0,"",HYPERLINK("#"&amp;RIGHT(CELL("adresse",OFFSET(DMAV_Dienste!$M$6,E384-1,0)),LEN(CELL("adresse",OFFSET(DMAV_Dienste!$M$6,E384-1,0)))-FIND("]",CELL("adresse",OFFSET(DMAV_Dienste!$M$6,E384-1,0)))),"Dienst")),HYPERLINK("#"&amp;RIGHT(CELL("adresse",OFFSET(DMAV_Modell!$N$6,B384-1,0)),LEN(CELL("adresse",OFFSET(DMAV_Modell!$N$6,B384-1,0)))-FIND("]",CELL("adresse",OFFSET(DMAV_Modell!$N$6,B384-1,0)))),"Modell"))</f>
        <v>Modell</v>
      </c>
      <c r="K384" s="61" t="str" cm="1">
        <f t="array" ref="K384">IF($B384=0,IF($E384=0,"",IF(INDEX(DMAV_Dienste!P$6:P$140,$E384)="","",INDEX(DMAV_Dienste!P$6:P$140,$E384))),IF(INDEX(DMAV_Modell!Q$6:Q$838,$B384)="","",INDEX(DMAV_Modell!Q$6:Q$838,$B384)))</f>
        <v>CLASS.CONSTRAINT</v>
      </c>
      <c r="L384" s="62" t="str" cm="1">
        <f t="array" ref="L384">IF($B384=0,IF($E384=0,"",IF(INDEX(DMAV_Dienste!O$6:O$140,$E384)="","",INDEX(DMAV_Dienste!O$6:O$140,$E384))),IF(INDEX(DMAV_Modell!P$6:P$838,$B384)="","",INDEX(DMAV_Modell!P$6:P$838,$B384)))</f>
        <v>HoheitsgrenzenAV</v>
      </c>
      <c r="M384" s="62" t="str" cm="1">
        <f t="array" ref="M384">IF($B384=0,IF($E384=0,"",IF(INDEX(DMAV_Dienste!Q$6:Q$140,$E384)="","",INDEX(DMAV_Dienste!Q$6:Q$140,$E384))),IF(INDEX(DMAV_Modell!R$6:R$838,$B384)="","",INDEX(DMAV_Modell!R$6:R$838,$B384)))</f>
        <v>Gemeindegrenze</v>
      </c>
      <c r="N384" s="62" t="str" cm="1">
        <f t="array" ref="N384">IF($B384=0,IF($E384=0,"",IF(INDEX(DMAV_Dienste!T$6:T$140,$E384)="","",INDEX(DMAV_Dienste!T$6:T$140,$E384))),IF(INDEX(DMAV_Modell!U$6:U$838,$B384)="","",INDEX(DMAV_Modell!U$6:U$838,$B384)))</f>
        <v>NOT(DEFINED(@PH1@)) OR @PH2@(@PH3@)</v>
      </c>
      <c r="O384" s="63" t="str" cm="1">
        <f t="array" aca="1" ref="O384" ca="1">IF(C384=0,IF(F384=0,"",HYPERLINK("#"&amp;RIGHT(CELL("adresse",OFFSET(DMAV_Dienste!$M$6,F384-1,0)),LEN(CELL("adresse",OFFSET(DMAV_Dienste!$M$6,F384-1,0)))-FIND("]",CELL("adresse",OFFSET(DMAV_Dienste!$M$6,F384-1,0)))),"Structure")),HYPERLINK("#"&amp;RIGHT(CELL("adresse",OFFSET(DMAV_Modell!$N$6,C384-1,0)),LEN(CELL("adresse",OFFSET(DMAV_Modell!$N$6,C384-1,0)))-FIND("]",CELL("adresse",OFFSET(DMAV_Modell!$N$6,C384-1,0)))),"Structure"))</f>
        <v/>
      </c>
      <c r="P384" s="64" t="str" cm="1">
        <f t="array" aca="1" ref="P384" ca="1">IF(D384=0,IF(G384=0,"",HYPERLINK("#"&amp;RIGHT(CELL("adresse",OFFSET(DMAV_Dienste!$M$6,G384-1,0)),LEN(CELL("adresse",OFFSET(DMAV_Dienste!$M$6,G384-1,0)))-FIND("]",CELL("adresse",OFFSET(DMAV_Dienste!$M$6,G384-1,0)))),"Substructure")),HYPERLINK("#"&amp;RIGHT(CELL("adresse",OFFSET(DMAV_Modell!$N$6,D384-1,0)),LEN(CELL("adresse",OFFSET(DMAV_Modell!$N$6,D384-1,0)))-FIND("]",CELL("adresse",OFFSET(DMAV_Modell!$N$6,D384-1,0)))),"Substructure"))</f>
        <v/>
      </c>
      <c r="R384" s="80"/>
      <c r="T384" s="93"/>
      <c r="U384" s="94"/>
      <c r="V384" s="95"/>
      <c r="W384" s="96"/>
      <c r="Y384" s="85"/>
      <c r="Z384" s="86"/>
      <c r="AA384" s="87"/>
      <c r="AB384" s="88"/>
      <c r="AD384" s="77"/>
      <c r="AF384" s="54" t="str" cm="1">
        <f t="array" aca="1" ref="AF384" ca="1">IF(H384=0,"",HYPERLINK("#"&amp;RIGHT(CELL("adresse",OFFSET('DM01-AV-CH'!$G$6,H384-1,0)),LEN(CELL("adresse",OFFSET('DM01-AV-CH'!$G$6,H384-1,0)))-FIND("]",CELL("adresse",OFFSET('DM01-AV-CH'!$G$6,H384-1,0)))),"Modell"))</f>
        <v/>
      </c>
      <c r="AG384" s="72" t="str" cm="1">
        <f t="array" ref="AG384">IF($H384=0,"",IF(INDEX('DM01-AV-CH'!G$6:G$834,$H384)="","",INDEX('DM01-AV-CH'!G$6:G$834,$H384)))</f>
        <v/>
      </c>
      <c r="AH384" s="73" t="str" cm="1">
        <f t="array" ref="AH384">IF($H384=0,"",IF(INDEX('DM01-AV-CH'!H$6:H$834,$H384)="","",INDEX('DM01-AV-CH'!H$6:H$834,$H384)))</f>
        <v/>
      </c>
      <c r="AI384" s="74" t="str" cm="1">
        <f t="array" ref="AI384">IF($H384=0,"",IF(INDEX('DM01-AV-CH'!I$6:I$834,$H384)="","",INDEX('DM01-AV-CH'!I$6:I$834,$H384)))</f>
        <v/>
      </c>
    </row>
    <row r="385" spans="1:35" x14ac:dyDescent="0.25">
      <c r="A385" s="57">
        <v>380</v>
      </c>
      <c r="B385" s="57">
        <f>IF($A385="","",IF(_xlfn.XLOOKUP($A385,Korrelation!$D$4:$D$1197,Korrelation!E$4:E$1197,"-",0)="-",0,MATCH(_xlfn.XLOOKUP($A385,Korrelation!$D$4:$D$1197,Korrelation!E$4:E$1197,"",0),DMAV_Modell!$G$6:$G$677,0)))</f>
        <v>146</v>
      </c>
      <c r="C385" s="57">
        <f>IF($A385="","",IF(_xlfn.XLOOKUP($A385,Korrelation!$D$4:$D$1197,Korrelation!F$4:F$1197,"-",0)="-",0,MATCH(_xlfn.XLOOKUP($A385,Korrelation!$D$4:$D$1197,Korrelation!F$4:F$1197,"",0),DMAV_Modell!$G$6:$G$677,0)))</f>
        <v>0</v>
      </c>
      <c r="D385" s="57">
        <f>IF($A385="","",IF(_xlfn.XLOOKUP($A385,Korrelation!$D$4:$D$1197,Korrelation!G$4:G$1197,"-",0)="-",0,MATCH(_xlfn.XLOOKUP($A385,Korrelation!$D$4:$D$1197,Korrelation!G$4:G$1197,"",0),DMAV_Modell!$G$6:$G$677,0)))</f>
        <v>0</v>
      </c>
      <c r="E385" s="57">
        <f>IF($A385="","",IF(_xlfn.XLOOKUP($A385,Korrelation!$D$4:$D$1197,Korrelation!H$4:H$1197,"-",0)="-",0,MATCH(_xlfn.XLOOKUP($A385,Korrelation!$D$4:$D$1197,Korrelation!H$4:H$1197,"",0),DMAV_Dienste!$F$6:$F$140,0)))</f>
        <v>0</v>
      </c>
      <c r="F385" s="57">
        <f>IF($A385="","",IF(_xlfn.XLOOKUP($A385,Korrelation!$D$4:$D$1197,Korrelation!I$4:I$1197,"-",0)="-",0,MATCH(_xlfn.XLOOKUP($A385,Korrelation!$D$4:$D$1197,Korrelation!I$4:I$1197,"",0),DMAV_Dienste!$F$6:$F$140,0)))</f>
        <v>0</v>
      </c>
      <c r="G385" s="57">
        <f>IF($A385="","",IF(_xlfn.XLOOKUP($A385,Korrelation!$D$4:$D$1197,Korrelation!J$4:J$1197,"-",0)="-",0,MATCH(_xlfn.XLOOKUP($A385,Korrelation!$D$4:$D$1197,Korrelation!J$4:J$1197,"",0),DMAV_Dienste!$F$6:$F$140,0)))</f>
        <v>0</v>
      </c>
      <c r="H385" s="57">
        <f>IF($A385="","",IF(_xlfn.XLOOKUP($A385,Korrelation!$D$4:$D$1197,Korrelation!K$4:K$1197,"-",0)="-",0,MATCH(_xlfn.XLOOKUP($A385,Korrelation!$D$4:$D$1197,Korrelation!K$4:K$1197,"",0),'DM01-AV-CH'!$A$6:$A$834,0)))</f>
        <v>0</v>
      </c>
      <c r="J385" s="54" t="str" cm="1">
        <f t="array" aca="1" ref="J385" ca="1">IF(B385=0,IF(E385=0,"",HYPERLINK("#"&amp;RIGHT(CELL("adresse",OFFSET(DMAV_Dienste!$M$6,E385-1,0)),LEN(CELL("adresse",OFFSET(DMAV_Dienste!$M$6,E385-1,0)))-FIND("]",CELL("adresse",OFFSET(DMAV_Dienste!$M$6,E385-1,0)))),"Dienst")),HYPERLINK("#"&amp;RIGHT(CELL("adresse",OFFSET(DMAV_Modell!$N$6,B385-1,0)),LEN(CELL("adresse",OFFSET(DMAV_Modell!$N$6,B385-1,0)))-FIND("]",CELL("adresse",OFFSET(DMAV_Modell!$N$6,B385-1,0)))),"Modell"))</f>
        <v>Modell</v>
      </c>
      <c r="K385" s="61" t="str" cm="1">
        <f t="array" ref="K385">IF($B385=0,IF($E385=0,"",IF(INDEX(DMAV_Dienste!P$6:P$140,$E385)="","",INDEX(DMAV_Dienste!P$6:P$140,$E385))),IF(INDEX(DMAV_Modell!Q$6:Q$838,$B385)="","",INDEX(DMAV_Modell!Q$6:Q$838,$B385)))</f>
        <v>CLASS.CONSTRAINT</v>
      </c>
      <c r="L385" s="62" t="str" cm="1">
        <f t="array" ref="L385">IF($B385=0,IF($E385=0,"",IF(INDEX(DMAV_Dienste!O$6:O$140,$E385)="","",INDEX(DMAV_Dienste!O$6:O$140,$E385))),IF(INDEX(DMAV_Modell!P$6:P$838,$B385)="","",INDEX(DMAV_Modell!P$6:P$838,$B385)))</f>
        <v>HoheitsgrenzenAV</v>
      </c>
      <c r="M385" s="62" t="str" cm="1">
        <f t="array" ref="M385">IF($B385=0,IF($E385=0,"",IF(INDEX(DMAV_Dienste!Q$6:Q$140,$E385)="","",INDEX(DMAV_Dienste!Q$6:Q$140,$E385))),IF(INDEX(DMAV_Modell!R$6:R$838,$B385)="","",INDEX(DMAV_Modell!R$6:R$838,$B385)))</f>
        <v>Gemeindegrenze</v>
      </c>
      <c r="N385" s="62" t="str" cm="1">
        <f t="array" ref="N385">IF($B385=0,IF($E385=0,"",IF(INDEX(DMAV_Dienste!T$6:T$140,$E385)="","",INDEX(DMAV_Dienste!T$6:T$140,$E385))),IF(INDEX(DMAV_Modell!U$6:U$838,$B385)="","",INDEX(DMAV_Modell!U$6:U$838,$B385)))</f>
        <v>NOT(DEFINED(@PH1@)) OR @PH2@(@PH3@)</v>
      </c>
      <c r="O385" s="63" t="str" cm="1">
        <f t="array" aca="1" ref="O385" ca="1">IF(C385=0,IF(F385=0,"",HYPERLINK("#"&amp;RIGHT(CELL("adresse",OFFSET(DMAV_Dienste!$M$6,F385-1,0)),LEN(CELL("adresse",OFFSET(DMAV_Dienste!$M$6,F385-1,0)))-FIND("]",CELL("adresse",OFFSET(DMAV_Dienste!$M$6,F385-1,0)))),"Structure")),HYPERLINK("#"&amp;RIGHT(CELL("adresse",OFFSET(DMAV_Modell!$N$6,C385-1,0)),LEN(CELL("adresse",OFFSET(DMAV_Modell!$N$6,C385-1,0)))-FIND("]",CELL("adresse",OFFSET(DMAV_Modell!$N$6,C385-1,0)))),"Structure"))</f>
        <v/>
      </c>
      <c r="P385" s="64" t="str" cm="1">
        <f t="array" aca="1" ref="P385" ca="1">IF(D385=0,IF(G385=0,"",HYPERLINK("#"&amp;RIGHT(CELL("adresse",OFFSET(DMAV_Dienste!$M$6,G385-1,0)),LEN(CELL("adresse",OFFSET(DMAV_Dienste!$M$6,G385-1,0)))-FIND("]",CELL("adresse",OFFSET(DMAV_Dienste!$M$6,G385-1,0)))),"Substructure")),HYPERLINK("#"&amp;RIGHT(CELL("adresse",OFFSET(DMAV_Modell!$N$6,D385-1,0)),LEN(CELL("adresse",OFFSET(DMAV_Modell!$N$6,D385-1,0)))-FIND("]",CELL("adresse",OFFSET(DMAV_Modell!$N$6,D385-1,0)))),"Substructure"))</f>
        <v/>
      </c>
      <c r="R385" s="80"/>
      <c r="T385" s="93"/>
      <c r="U385" s="94"/>
      <c r="V385" s="95"/>
      <c r="W385" s="96"/>
      <c r="Y385" s="85"/>
      <c r="Z385" s="86"/>
      <c r="AA385" s="87"/>
      <c r="AB385" s="88"/>
      <c r="AD385" s="77"/>
      <c r="AF385" s="54" t="str" cm="1">
        <f t="array" aca="1" ref="AF385" ca="1">IF(H385=0,"",HYPERLINK("#"&amp;RIGHT(CELL("adresse",OFFSET('DM01-AV-CH'!$G$6,H385-1,0)),LEN(CELL("adresse",OFFSET('DM01-AV-CH'!$G$6,H385-1,0)))-FIND("]",CELL("adresse",OFFSET('DM01-AV-CH'!$G$6,H385-1,0)))),"Modell"))</f>
        <v/>
      </c>
      <c r="AG385" s="72" t="str" cm="1">
        <f t="array" ref="AG385">IF($H385=0,"",IF(INDEX('DM01-AV-CH'!G$6:G$834,$H385)="","",INDEX('DM01-AV-CH'!G$6:G$834,$H385)))</f>
        <v/>
      </c>
      <c r="AH385" s="73" t="str" cm="1">
        <f t="array" ref="AH385">IF($H385=0,"",IF(INDEX('DM01-AV-CH'!H$6:H$834,$H385)="","",INDEX('DM01-AV-CH'!H$6:H$834,$H385)))</f>
        <v/>
      </c>
      <c r="AI385" s="74" t="str" cm="1">
        <f t="array" ref="AI385">IF($H385=0,"",IF(INDEX('DM01-AV-CH'!I$6:I$834,$H385)="","",INDEX('DM01-AV-CH'!I$6:I$834,$H385)))</f>
        <v/>
      </c>
    </row>
    <row r="386" spans="1:35" x14ac:dyDescent="0.25">
      <c r="A386" s="57">
        <v>381</v>
      </c>
      <c r="B386" s="57">
        <f>IF($A386="","",IF(_xlfn.XLOOKUP($A386,Korrelation!$D$4:$D$1197,Korrelation!E$4:E$1197,"-",0)="-",0,MATCH(_xlfn.XLOOKUP($A386,Korrelation!$D$4:$D$1197,Korrelation!E$4:E$1197,"",0),DMAV_Modell!$G$6:$G$677,0)))</f>
        <v>147</v>
      </c>
      <c r="C386" s="57">
        <f>IF($A386="","",IF(_xlfn.XLOOKUP($A386,Korrelation!$D$4:$D$1197,Korrelation!F$4:F$1197,"-",0)="-",0,MATCH(_xlfn.XLOOKUP($A386,Korrelation!$D$4:$D$1197,Korrelation!F$4:F$1197,"",0),DMAV_Modell!$G$6:$G$677,0)))</f>
        <v>0</v>
      </c>
      <c r="D386" s="57">
        <f>IF($A386="","",IF(_xlfn.XLOOKUP($A386,Korrelation!$D$4:$D$1197,Korrelation!G$4:G$1197,"-",0)="-",0,MATCH(_xlfn.XLOOKUP($A386,Korrelation!$D$4:$D$1197,Korrelation!G$4:G$1197,"",0),DMAV_Modell!$G$6:$G$677,0)))</f>
        <v>0</v>
      </c>
      <c r="E386" s="57">
        <f>IF($A386="","",IF(_xlfn.XLOOKUP($A386,Korrelation!$D$4:$D$1197,Korrelation!H$4:H$1197,"-",0)="-",0,MATCH(_xlfn.XLOOKUP($A386,Korrelation!$D$4:$D$1197,Korrelation!H$4:H$1197,"",0),DMAV_Dienste!$F$6:$F$140,0)))</f>
        <v>0</v>
      </c>
      <c r="F386" s="57">
        <f>IF($A386="","",IF(_xlfn.XLOOKUP($A386,Korrelation!$D$4:$D$1197,Korrelation!I$4:I$1197,"-",0)="-",0,MATCH(_xlfn.XLOOKUP($A386,Korrelation!$D$4:$D$1197,Korrelation!I$4:I$1197,"",0),DMAV_Dienste!$F$6:$F$140,0)))</f>
        <v>0</v>
      </c>
      <c r="G386" s="57">
        <f>IF($A386="","",IF(_xlfn.XLOOKUP($A386,Korrelation!$D$4:$D$1197,Korrelation!J$4:J$1197,"-",0)="-",0,MATCH(_xlfn.XLOOKUP($A386,Korrelation!$D$4:$D$1197,Korrelation!J$4:J$1197,"",0),DMAV_Dienste!$F$6:$F$140,0)))</f>
        <v>0</v>
      </c>
      <c r="H386" s="57">
        <f>IF($A386="","",IF(_xlfn.XLOOKUP($A386,Korrelation!$D$4:$D$1197,Korrelation!K$4:K$1197,"-",0)="-",0,MATCH(_xlfn.XLOOKUP($A386,Korrelation!$D$4:$D$1197,Korrelation!K$4:K$1197,"",0),'DM01-AV-CH'!$A$6:$A$834,0)))</f>
        <v>0</v>
      </c>
      <c r="J386" s="54" t="str" cm="1">
        <f t="array" aca="1" ref="J386" ca="1">IF(B386=0,IF(E386=0,"",HYPERLINK("#"&amp;RIGHT(CELL("adresse",OFFSET(DMAV_Dienste!$M$6,E386-1,0)),LEN(CELL("adresse",OFFSET(DMAV_Dienste!$M$6,E386-1,0)))-FIND("]",CELL("adresse",OFFSET(DMAV_Dienste!$M$6,E386-1,0)))),"Dienst")),HYPERLINK("#"&amp;RIGHT(CELL("adresse",OFFSET(DMAV_Modell!$N$6,B386-1,0)),LEN(CELL("adresse",OFFSET(DMAV_Modell!$N$6,B386-1,0)))-FIND("]",CELL("adresse",OFFSET(DMAV_Modell!$N$6,B386-1,0)))),"Modell"))</f>
        <v>Modell</v>
      </c>
      <c r="K386" s="61" t="str" cm="1">
        <f t="array" ref="K386">IF($B386=0,IF($E386=0,"",IF(INDEX(DMAV_Dienste!P$6:P$140,$E386)="","",INDEX(DMAV_Dienste!P$6:P$140,$E386))),IF(INDEX(DMAV_Modell!Q$6:Q$838,$B386)="","",INDEX(DMAV_Modell!Q$6:Q$838,$B386)))</f>
        <v>CLASS.CONSTRAINT</v>
      </c>
      <c r="L386" s="62" t="str" cm="1">
        <f t="array" ref="L386">IF($B386=0,IF($E386=0,"",IF(INDEX(DMAV_Dienste!O$6:O$140,$E386)="","",INDEX(DMAV_Dienste!O$6:O$140,$E386))),IF(INDEX(DMAV_Modell!P$6:P$838,$B386)="","",INDEX(DMAV_Modell!P$6:P$838,$B386)))</f>
        <v>HoheitsgrenzenAV</v>
      </c>
      <c r="M386" s="62" t="str" cm="1">
        <f t="array" ref="M386">IF($B386=0,IF($E386=0,"",IF(INDEX(DMAV_Dienste!Q$6:Q$140,$E386)="","",INDEX(DMAV_Dienste!Q$6:Q$140,$E386))),IF(INDEX(DMAV_Modell!R$6:R$838,$B386)="","",INDEX(DMAV_Modell!R$6:R$838,$B386)))</f>
        <v>Gemeindegrenze</v>
      </c>
      <c r="N386" s="62" t="str" cm="1">
        <f t="array" ref="N386">IF($B386=0,IF($E386=0,"",IF(INDEX(DMAV_Dienste!T$6:T$140,$E386)="","",INDEX(DMAV_Dienste!T$6:T$140,$E386))),IF(INDEX(DMAV_Modell!U$6:U$838,$B386)="","",INDEX(DMAV_Modell!U$6:U$838,$B386)))</f>
        <v>NOT(DEFINED(@PH1@)) OR @PH2@(@PH3@)</v>
      </c>
      <c r="O386" s="63" t="str" cm="1">
        <f t="array" aca="1" ref="O386" ca="1">IF(C386=0,IF(F386=0,"",HYPERLINK("#"&amp;RIGHT(CELL("adresse",OFFSET(DMAV_Dienste!$M$6,F386-1,0)),LEN(CELL("adresse",OFFSET(DMAV_Dienste!$M$6,F386-1,0)))-FIND("]",CELL("adresse",OFFSET(DMAV_Dienste!$M$6,F386-1,0)))),"Structure")),HYPERLINK("#"&amp;RIGHT(CELL("adresse",OFFSET(DMAV_Modell!$N$6,C386-1,0)),LEN(CELL("adresse",OFFSET(DMAV_Modell!$N$6,C386-1,0)))-FIND("]",CELL("adresse",OFFSET(DMAV_Modell!$N$6,C386-1,0)))),"Structure"))</f>
        <v/>
      </c>
      <c r="P386" s="64" t="str" cm="1">
        <f t="array" aca="1" ref="P386" ca="1">IF(D386=0,IF(G386=0,"",HYPERLINK("#"&amp;RIGHT(CELL("adresse",OFFSET(DMAV_Dienste!$M$6,G386-1,0)),LEN(CELL("adresse",OFFSET(DMAV_Dienste!$M$6,G386-1,0)))-FIND("]",CELL("adresse",OFFSET(DMAV_Dienste!$M$6,G386-1,0)))),"Substructure")),HYPERLINK("#"&amp;RIGHT(CELL("adresse",OFFSET(DMAV_Modell!$N$6,D386-1,0)),LEN(CELL("adresse",OFFSET(DMAV_Modell!$N$6,D386-1,0)))-FIND("]",CELL("adresse",OFFSET(DMAV_Modell!$N$6,D386-1,0)))),"Substructure"))</f>
        <v/>
      </c>
      <c r="R386" s="80"/>
      <c r="T386" s="93"/>
      <c r="U386" s="94"/>
      <c r="V386" s="95"/>
      <c r="W386" s="96"/>
      <c r="Y386" s="85"/>
      <c r="Z386" s="86"/>
      <c r="AA386" s="87"/>
      <c r="AB386" s="88"/>
      <c r="AD386" s="77"/>
      <c r="AF386" s="54" t="str" cm="1">
        <f t="array" aca="1" ref="AF386" ca="1">IF(H386=0,"",HYPERLINK("#"&amp;RIGHT(CELL("adresse",OFFSET('DM01-AV-CH'!$G$6,H386-1,0)),LEN(CELL("adresse",OFFSET('DM01-AV-CH'!$G$6,H386-1,0)))-FIND("]",CELL("adresse",OFFSET('DM01-AV-CH'!$G$6,H386-1,0)))),"Modell"))</f>
        <v/>
      </c>
      <c r="AG386" s="72" t="str" cm="1">
        <f t="array" ref="AG386">IF($H386=0,"",IF(INDEX('DM01-AV-CH'!G$6:G$834,$H386)="","",INDEX('DM01-AV-CH'!G$6:G$834,$H386)))</f>
        <v/>
      </c>
      <c r="AH386" s="73" t="str" cm="1">
        <f t="array" ref="AH386">IF($H386=0,"",IF(INDEX('DM01-AV-CH'!H$6:H$834,$H386)="","",INDEX('DM01-AV-CH'!H$6:H$834,$H386)))</f>
        <v/>
      </c>
      <c r="AI386" s="74" t="str" cm="1">
        <f t="array" ref="AI386">IF($H386=0,"",IF(INDEX('DM01-AV-CH'!I$6:I$834,$H386)="","",INDEX('DM01-AV-CH'!I$6:I$834,$H386)))</f>
        <v/>
      </c>
    </row>
    <row r="387" spans="1:35" x14ac:dyDescent="0.25">
      <c r="A387" s="57">
        <v>382</v>
      </c>
      <c r="B387" s="57">
        <f>IF($A387="","",IF(_xlfn.XLOOKUP($A387,Korrelation!$D$4:$D$1197,Korrelation!E$4:E$1197,"-",0)="-",0,MATCH(_xlfn.XLOOKUP($A387,Korrelation!$D$4:$D$1197,Korrelation!E$4:E$1197,"",0),DMAV_Modell!$G$6:$G$677,0)))</f>
        <v>148</v>
      </c>
      <c r="C387" s="57">
        <f>IF($A387="","",IF(_xlfn.XLOOKUP($A387,Korrelation!$D$4:$D$1197,Korrelation!F$4:F$1197,"-",0)="-",0,MATCH(_xlfn.XLOOKUP($A387,Korrelation!$D$4:$D$1197,Korrelation!F$4:F$1197,"",0),DMAV_Modell!$G$6:$G$677,0)))</f>
        <v>0</v>
      </c>
      <c r="D387" s="57">
        <f>IF($A387="","",IF(_xlfn.XLOOKUP($A387,Korrelation!$D$4:$D$1197,Korrelation!G$4:G$1197,"-",0)="-",0,MATCH(_xlfn.XLOOKUP($A387,Korrelation!$D$4:$D$1197,Korrelation!G$4:G$1197,"",0),DMAV_Modell!$G$6:$G$677,0)))</f>
        <v>0</v>
      </c>
      <c r="E387" s="57">
        <f>IF($A387="","",IF(_xlfn.XLOOKUP($A387,Korrelation!$D$4:$D$1197,Korrelation!H$4:H$1197,"-",0)="-",0,MATCH(_xlfn.XLOOKUP($A387,Korrelation!$D$4:$D$1197,Korrelation!H$4:H$1197,"",0),DMAV_Dienste!$F$6:$F$140,0)))</f>
        <v>0</v>
      </c>
      <c r="F387" s="57">
        <f>IF($A387="","",IF(_xlfn.XLOOKUP($A387,Korrelation!$D$4:$D$1197,Korrelation!I$4:I$1197,"-",0)="-",0,MATCH(_xlfn.XLOOKUP($A387,Korrelation!$D$4:$D$1197,Korrelation!I$4:I$1197,"",0),DMAV_Dienste!$F$6:$F$140,0)))</f>
        <v>0</v>
      </c>
      <c r="G387" s="57">
        <f>IF($A387="","",IF(_xlfn.XLOOKUP($A387,Korrelation!$D$4:$D$1197,Korrelation!J$4:J$1197,"-",0)="-",0,MATCH(_xlfn.XLOOKUP($A387,Korrelation!$D$4:$D$1197,Korrelation!J$4:J$1197,"",0),DMAV_Dienste!$F$6:$F$140,0)))</f>
        <v>0</v>
      </c>
      <c r="H387" s="57">
        <f>IF($A387="","",IF(_xlfn.XLOOKUP($A387,Korrelation!$D$4:$D$1197,Korrelation!K$4:K$1197,"-",0)="-",0,MATCH(_xlfn.XLOOKUP($A387,Korrelation!$D$4:$D$1197,Korrelation!K$4:K$1197,"",0),'DM01-AV-CH'!$A$6:$A$834,0)))</f>
        <v>0</v>
      </c>
      <c r="J387" s="54" t="str" cm="1">
        <f t="array" aca="1" ref="J387" ca="1">IF(B387=0,IF(E387=0,"",HYPERLINK("#"&amp;RIGHT(CELL("adresse",OFFSET(DMAV_Dienste!$M$6,E387-1,0)),LEN(CELL("adresse",OFFSET(DMAV_Dienste!$M$6,E387-1,0)))-FIND("]",CELL("adresse",OFFSET(DMAV_Dienste!$M$6,E387-1,0)))),"Dienst")),HYPERLINK("#"&amp;RIGHT(CELL("adresse",OFFSET(DMAV_Modell!$N$6,B387-1,0)),LEN(CELL("adresse",OFFSET(DMAV_Modell!$N$6,B387-1,0)))-FIND("]",CELL("adresse",OFFSET(DMAV_Modell!$N$6,B387-1,0)))),"Modell"))</f>
        <v>Modell</v>
      </c>
      <c r="K387" s="61" t="str" cm="1">
        <f t="array" ref="K387">IF($B387=0,IF($E387=0,"",IF(INDEX(DMAV_Dienste!P$6:P$140,$E387)="","",INDEX(DMAV_Dienste!P$6:P$140,$E387))),IF(INDEX(DMAV_Modell!Q$6:Q$838,$B387)="","",INDEX(DMAV_Modell!Q$6:Q$838,$B387)))</f>
        <v>ASSOCIATION</v>
      </c>
      <c r="L387" s="62" t="str" cm="1">
        <f t="array" ref="L387">IF($B387=0,IF($E387=0,"",IF(INDEX(DMAV_Dienste!O$6:O$140,$E387)="","",INDEX(DMAV_Dienste!O$6:O$140,$E387))),IF(INDEX(DMAV_Modell!P$6:P$838,$B387)="","",INDEX(DMAV_Modell!P$6:P$838,$B387)))</f>
        <v>HoheitsgrenzenAV</v>
      </c>
      <c r="M387" s="62" t="str" cm="1">
        <f t="array" ref="M387">IF($B387=0,IF($E387=0,"",IF(INDEX(DMAV_Dienste!Q$6:Q$140,$E387)="","",INDEX(DMAV_Dienste!Q$6:Q$140,$E387))),IF(INDEX(DMAV_Modell!R$6:R$838,$B387)="","",INDEX(DMAV_Modell!R$6:R$838,$B387)))</f>
        <v>Entstehung_Gemeindegrenze</v>
      </c>
      <c r="N387" s="62" t="str" cm="1">
        <f t="array" ref="N387">IF($B387=0,IF($E387=0,"",IF(INDEX(DMAV_Dienste!T$6:T$140,$E387)="","",INDEX(DMAV_Dienste!T$6:T$140,$E387))),IF(INDEX(DMAV_Modell!U$6:U$838,$B387)="","",INDEX(DMAV_Modell!U$6:U$838,$B387)))</f>
        <v>Entstehung</v>
      </c>
      <c r="O387" s="63" t="str" cm="1">
        <f t="array" aca="1" ref="O387" ca="1">IF(C387=0,IF(F387=0,"",HYPERLINK("#"&amp;RIGHT(CELL("adresse",OFFSET(DMAV_Dienste!$M$6,F387-1,0)),LEN(CELL("adresse",OFFSET(DMAV_Dienste!$M$6,F387-1,0)))-FIND("]",CELL("adresse",OFFSET(DMAV_Dienste!$M$6,F387-1,0)))),"Structure")),HYPERLINK("#"&amp;RIGHT(CELL("adresse",OFFSET(DMAV_Modell!$N$6,C387-1,0)),LEN(CELL("adresse",OFFSET(DMAV_Modell!$N$6,C387-1,0)))-FIND("]",CELL("adresse",OFFSET(DMAV_Modell!$N$6,C387-1,0)))),"Structure"))</f>
        <v/>
      </c>
      <c r="P387" s="64" t="str" cm="1">
        <f t="array" aca="1" ref="P387" ca="1">IF(D387=0,IF(G387=0,"",HYPERLINK("#"&amp;RIGHT(CELL("adresse",OFFSET(DMAV_Dienste!$M$6,G387-1,0)),LEN(CELL("adresse",OFFSET(DMAV_Dienste!$M$6,G387-1,0)))-FIND("]",CELL("adresse",OFFSET(DMAV_Dienste!$M$6,G387-1,0)))),"Substructure")),HYPERLINK("#"&amp;RIGHT(CELL("adresse",OFFSET(DMAV_Modell!$N$6,D387-1,0)),LEN(CELL("adresse",OFFSET(DMAV_Modell!$N$6,D387-1,0)))-FIND("]",CELL("adresse",OFFSET(DMAV_Modell!$N$6,D387-1,0)))),"Substructure"))</f>
        <v/>
      </c>
      <c r="R387" s="80"/>
      <c r="T387" s="93"/>
      <c r="U387" s="94"/>
      <c r="V387" s="95"/>
      <c r="W387" s="96"/>
      <c r="Y387" s="85"/>
      <c r="Z387" s="86"/>
      <c r="AA387" s="87"/>
      <c r="AB387" s="88"/>
      <c r="AD387" s="77"/>
      <c r="AF387" s="54" t="str" cm="1">
        <f t="array" aca="1" ref="AF387" ca="1">IF(H387=0,"",HYPERLINK("#"&amp;RIGHT(CELL("adresse",OFFSET('DM01-AV-CH'!$G$6,H387-1,0)),LEN(CELL("adresse",OFFSET('DM01-AV-CH'!$G$6,H387-1,0)))-FIND("]",CELL("adresse",OFFSET('DM01-AV-CH'!$G$6,H387-1,0)))),"Modell"))</f>
        <v/>
      </c>
      <c r="AG387" s="72" t="str" cm="1">
        <f t="array" ref="AG387">IF($H387=0,"",IF(INDEX('DM01-AV-CH'!G$6:G$834,$H387)="","",INDEX('DM01-AV-CH'!G$6:G$834,$H387)))</f>
        <v/>
      </c>
      <c r="AH387" s="73" t="str" cm="1">
        <f t="array" ref="AH387">IF($H387=0,"",IF(INDEX('DM01-AV-CH'!H$6:H$834,$H387)="","",INDEX('DM01-AV-CH'!H$6:H$834,$H387)))</f>
        <v/>
      </c>
      <c r="AI387" s="74" t="str" cm="1">
        <f t="array" ref="AI387">IF($H387=0,"",IF(INDEX('DM01-AV-CH'!I$6:I$834,$H387)="","",INDEX('DM01-AV-CH'!I$6:I$834,$H387)))</f>
        <v/>
      </c>
    </row>
    <row r="388" spans="1:35" x14ac:dyDescent="0.25">
      <c r="A388" s="57">
        <v>383</v>
      </c>
      <c r="B388" s="57">
        <f>IF($A388="","",IF(_xlfn.XLOOKUP($A388,Korrelation!$D$4:$D$1197,Korrelation!E$4:E$1197,"-",0)="-",0,MATCH(_xlfn.XLOOKUP($A388,Korrelation!$D$4:$D$1197,Korrelation!E$4:E$1197,"",0),DMAV_Modell!$G$6:$G$677,0)))</f>
        <v>149</v>
      </c>
      <c r="C388" s="57">
        <f>IF($A388="","",IF(_xlfn.XLOOKUP($A388,Korrelation!$D$4:$D$1197,Korrelation!F$4:F$1197,"-",0)="-",0,MATCH(_xlfn.XLOOKUP($A388,Korrelation!$D$4:$D$1197,Korrelation!F$4:F$1197,"",0),DMAV_Modell!$G$6:$G$677,0)))</f>
        <v>0</v>
      </c>
      <c r="D388" s="57">
        <f>IF($A388="","",IF(_xlfn.XLOOKUP($A388,Korrelation!$D$4:$D$1197,Korrelation!G$4:G$1197,"-",0)="-",0,MATCH(_xlfn.XLOOKUP($A388,Korrelation!$D$4:$D$1197,Korrelation!G$4:G$1197,"",0),DMAV_Modell!$G$6:$G$677,0)))</f>
        <v>0</v>
      </c>
      <c r="E388" s="57">
        <f>IF($A388="","",IF(_xlfn.XLOOKUP($A388,Korrelation!$D$4:$D$1197,Korrelation!H$4:H$1197,"-",0)="-",0,MATCH(_xlfn.XLOOKUP($A388,Korrelation!$D$4:$D$1197,Korrelation!H$4:H$1197,"",0),DMAV_Dienste!$F$6:$F$140,0)))</f>
        <v>0</v>
      </c>
      <c r="F388" s="57">
        <f>IF($A388="","",IF(_xlfn.XLOOKUP($A388,Korrelation!$D$4:$D$1197,Korrelation!I$4:I$1197,"-",0)="-",0,MATCH(_xlfn.XLOOKUP($A388,Korrelation!$D$4:$D$1197,Korrelation!I$4:I$1197,"",0),DMAV_Dienste!$F$6:$F$140,0)))</f>
        <v>0</v>
      </c>
      <c r="G388" s="57">
        <f>IF($A388="","",IF(_xlfn.XLOOKUP($A388,Korrelation!$D$4:$D$1197,Korrelation!J$4:J$1197,"-",0)="-",0,MATCH(_xlfn.XLOOKUP($A388,Korrelation!$D$4:$D$1197,Korrelation!J$4:J$1197,"",0),DMAV_Dienste!$F$6:$F$140,0)))</f>
        <v>0</v>
      </c>
      <c r="H388" s="57">
        <f>IF($A388="","",IF(_xlfn.XLOOKUP($A388,Korrelation!$D$4:$D$1197,Korrelation!K$4:K$1197,"-",0)="-",0,MATCH(_xlfn.XLOOKUP($A388,Korrelation!$D$4:$D$1197,Korrelation!K$4:K$1197,"",0),'DM01-AV-CH'!$A$6:$A$834,0)))</f>
        <v>0</v>
      </c>
      <c r="J388" s="54" t="str" cm="1">
        <f t="array" aca="1" ref="J388" ca="1">IF(B388=0,IF(E388=0,"",HYPERLINK("#"&amp;RIGHT(CELL("adresse",OFFSET(DMAV_Dienste!$M$6,E388-1,0)),LEN(CELL("adresse",OFFSET(DMAV_Dienste!$M$6,E388-1,0)))-FIND("]",CELL("adresse",OFFSET(DMAV_Dienste!$M$6,E388-1,0)))),"Dienst")),HYPERLINK("#"&amp;RIGHT(CELL("adresse",OFFSET(DMAV_Modell!$N$6,B388-1,0)),LEN(CELL("adresse",OFFSET(DMAV_Modell!$N$6,B388-1,0)))-FIND("]",CELL("adresse",OFFSET(DMAV_Modell!$N$6,B388-1,0)))),"Modell"))</f>
        <v>Modell</v>
      </c>
      <c r="K388" s="61" t="str" cm="1">
        <f t="array" ref="K388">IF($B388=0,IF($E388=0,"",IF(INDEX(DMAV_Dienste!P$6:P$140,$E388)="","",INDEX(DMAV_Dienste!P$6:P$140,$E388))),IF(INDEX(DMAV_Modell!Q$6:Q$838,$B388)="","",INDEX(DMAV_Modell!Q$6:Q$838,$B388)))</f>
        <v>ASSOCIATION</v>
      </c>
      <c r="L388" s="62" t="str" cm="1">
        <f t="array" ref="L388">IF($B388=0,IF($E388=0,"",IF(INDEX(DMAV_Dienste!O$6:O$140,$E388)="","",INDEX(DMAV_Dienste!O$6:O$140,$E388))),IF(INDEX(DMAV_Modell!P$6:P$838,$B388)="","",INDEX(DMAV_Modell!P$6:P$838,$B388)))</f>
        <v>HoheitsgrenzenAV</v>
      </c>
      <c r="M388" s="62" t="str" cm="1">
        <f t="array" ref="M388">IF($B388=0,IF($E388=0,"",IF(INDEX(DMAV_Dienste!Q$6:Q$140,$E388)="","",INDEX(DMAV_Dienste!Q$6:Q$140,$E388))),IF(INDEX(DMAV_Modell!R$6:R$838,$B388)="","",INDEX(DMAV_Modell!R$6:R$838,$B388)))</f>
        <v>Entstehung_Gemeindegrenze</v>
      </c>
      <c r="N388" s="62" t="str" cm="1">
        <f t="array" ref="N388">IF($B388=0,IF($E388=0,"",IF(INDEX(DMAV_Dienste!T$6:T$140,$E388)="","",INDEX(DMAV_Dienste!T$6:T$140,$E388))),IF(INDEX(DMAV_Modell!U$6:U$838,$B388)="","",INDEX(DMAV_Modell!U$6:U$838,$B388)))</f>
        <v>entstehende_Gemeindegrenze</v>
      </c>
      <c r="O388" s="63" t="str" cm="1">
        <f t="array" aca="1" ref="O388" ca="1">IF(C388=0,IF(F388=0,"",HYPERLINK("#"&amp;RIGHT(CELL("adresse",OFFSET(DMAV_Dienste!$M$6,F388-1,0)),LEN(CELL("adresse",OFFSET(DMAV_Dienste!$M$6,F388-1,0)))-FIND("]",CELL("adresse",OFFSET(DMAV_Dienste!$M$6,F388-1,0)))),"Structure")),HYPERLINK("#"&amp;RIGHT(CELL("adresse",OFFSET(DMAV_Modell!$N$6,C388-1,0)),LEN(CELL("adresse",OFFSET(DMAV_Modell!$N$6,C388-1,0)))-FIND("]",CELL("adresse",OFFSET(DMAV_Modell!$N$6,C388-1,0)))),"Structure"))</f>
        <v/>
      </c>
      <c r="P388" s="64" t="str" cm="1">
        <f t="array" aca="1" ref="P388" ca="1">IF(D388=0,IF(G388=0,"",HYPERLINK("#"&amp;RIGHT(CELL("adresse",OFFSET(DMAV_Dienste!$M$6,G388-1,0)),LEN(CELL("adresse",OFFSET(DMAV_Dienste!$M$6,G388-1,0)))-FIND("]",CELL("adresse",OFFSET(DMAV_Dienste!$M$6,G388-1,0)))),"Substructure")),HYPERLINK("#"&amp;RIGHT(CELL("adresse",OFFSET(DMAV_Modell!$N$6,D388-1,0)),LEN(CELL("adresse",OFFSET(DMAV_Modell!$N$6,D388-1,0)))-FIND("]",CELL("adresse",OFFSET(DMAV_Modell!$N$6,D388-1,0)))),"Substructure"))</f>
        <v/>
      </c>
      <c r="R388" s="80"/>
      <c r="T388" s="93"/>
      <c r="U388" s="94"/>
      <c r="V388" s="95"/>
      <c r="W388" s="96"/>
      <c r="Y388" s="85"/>
      <c r="Z388" s="86"/>
      <c r="AA388" s="87"/>
      <c r="AB388" s="88"/>
      <c r="AD388" s="77"/>
      <c r="AF388" s="54" t="str" cm="1">
        <f t="array" aca="1" ref="AF388" ca="1">IF(H388=0,"",HYPERLINK("#"&amp;RIGHT(CELL("adresse",OFFSET('DM01-AV-CH'!$G$6,H388-1,0)),LEN(CELL("adresse",OFFSET('DM01-AV-CH'!$G$6,H388-1,0)))-FIND("]",CELL("adresse",OFFSET('DM01-AV-CH'!$G$6,H388-1,0)))),"Modell"))</f>
        <v/>
      </c>
      <c r="AG388" s="72" t="str" cm="1">
        <f t="array" ref="AG388">IF($H388=0,"",IF(INDEX('DM01-AV-CH'!G$6:G$834,$H388)="","",INDEX('DM01-AV-CH'!G$6:G$834,$H388)))</f>
        <v/>
      </c>
      <c r="AH388" s="73" t="str" cm="1">
        <f t="array" ref="AH388">IF($H388=0,"",IF(INDEX('DM01-AV-CH'!H$6:H$834,$H388)="","",INDEX('DM01-AV-CH'!H$6:H$834,$H388)))</f>
        <v/>
      </c>
      <c r="AI388" s="74" t="str" cm="1">
        <f t="array" ref="AI388">IF($H388=0,"",IF(INDEX('DM01-AV-CH'!I$6:I$834,$H388)="","",INDEX('DM01-AV-CH'!I$6:I$834,$H388)))</f>
        <v/>
      </c>
    </row>
    <row r="389" spans="1:35" x14ac:dyDescent="0.25">
      <c r="A389" s="57">
        <v>384</v>
      </c>
      <c r="B389" s="57">
        <f>IF($A389="","",IF(_xlfn.XLOOKUP($A389,Korrelation!$D$4:$D$1197,Korrelation!E$4:E$1197,"-",0)="-",0,MATCH(_xlfn.XLOOKUP($A389,Korrelation!$D$4:$D$1197,Korrelation!E$4:E$1197,"",0),DMAV_Modell!$G$6:$G$677,0)))</f>
        <v>150</v>
      </c>
      <c r="C389" s="57">
        <f>IF($A389="","",IF(_xlfn.XLOOKUP($A389,Korrelation!$D$4:$D$1197,Korrelation!F$4:F$1197,"-",0)="-",0,MATCH(_xlfn.XLOOKUP($A389,Korrelation!$D$4:$D$1197,Korrelation!F$4:F$1197,"",0),DMAV_Modell!$G$6:$G$677,0)))</f>
        <v>0</v>
      </c>
      <c r="D389" s="57">
        <f>IF($A389="","",IF(_xlfn.XLOOKUP($A389,Korrelation!$D$4:$D$1197,Korrelation!G$4:G$1197,"-",0)="-",0,MATCH(_xlfn.XLOOKUP($A389,Korrelation!$D$4:$D$1197,Korrelation!G$4:G$1197,"",0),DMAV_Modell!$G$6:$G$677,0)))</f>
        <v>0</v>
      </c>
      <c r="E389" s="57">
        <f>IF($A389="","",IF(_xlfn.XLOOKUP($A389,Korrelation!$D$4:$D$1197,Korrelation!H$4:H$1197,"-",0)="-",0,MATCH(_xlfn.XLOOKUP($A389,Korrelation!$D$4:$D$1197,Korrelation!H$4:H$1197,"",0),DMAV_Dienste!$F$6:$F$140,0)))</f>
        <v>0</v>
      </c>
      <c r="F389" s="57">
        <f>IF($A389="","",IF(_xlfn.XLOOKUP($A389,Korrelation!$D$4:$D$1197,Korrelation!I$4:I$1197,"-",0)="-",0,MATCH(_xlfn.XLOOKUP($A389,Korrelation!$D$4:$D$1197,Korrelation!I$4:I$1197,"",0),DMAV_Dienste!$F$6:$F$140,0)))</f>
        <v>0</v>
      </c>
      <c r="G389" s="57">
        <f>IF($A389="","",IF(_xlfn.XLOOKUP($A389,Korrelation!$D$4:$D$1197,Korrelation!J$4:J$1197,"-",0)="-",0,MATCH(_xlfn.XLOOKUP($A389,Korrelation!$D$4:$D$1197,Korrelation!J$4:J$1197,"",0),DMAV_Dienste!$F$6:$F$140,0)))</f>
        <v>0</v>
      </c>
      <c r="H389" s="57">
        <f>IF($A389="","",IF(_xlfn.XLOOKUP($A389,Korrelation!$D$4:$D$1197,Korrelation!K$4:K$1197,"-",0)="-",0,MATCH(_xlfn.XLOOKUP($A389,Korrelation!$D$4:$D$1197,Korrelation!K$4:K$1197,"",0),'DM01-AV-CH'!$A$6:$A$834,0)))</f>
        <v>0</v>
      </c>
      <c r="J389" s="54" t="str" cm="1">
        <f t="array" aca="1" ref="J389" ca="1">IF(B389=0,IF(E389=0,"",HYPERLINK("#"&amp;RIGHT(CELL("adresse",OFFSET(DMAV_Dienste!$M$6,E389-1,0)),LEN(CELL("adresse",OFFSET(DMAV_Dienste!$M$6,E389-1,0)))-FIND("]",CELL("adresse",OFFSET(DMAV_Dienste!$M$6,E389-1,0)))),"Dienst")),HYPERLINK("#"&amp;RIGHT(CELL("adresse",OFFSET(DMAV_Modell!$N$6,B389-1,0)),LEN(CELL("adresse",OFFSET(DMAV_Modell!$N$6,B389-1,0)))-FIND("]",CELL("adresse",OFFSET(DMAV_Modell!$N$6,B389-1,0)))),"Modell"))</f>
        <v>Modell</v>
      </c>
      <c r="K389" s="61" t="str" cm="1">
        <f t="array" ref="K389">IF($B389=0,IF($E389=0,"",IF(INDEX(DMAV_Dienste!P$6:P$140,$E389)="","",INDEX(DMAV_Dienste!P$6:P$140,$E389))),IF(INDEX(DMAV_Modell!Q$6:Q$838,$B389)="","",INDEX(DMAV_Modell!Q$6:Q$838,$B389)))</f>
        <v>ASSOCIATION</v>
      </c>
      <c r="L389" s="62" t="str" cm="1">
        <f t="array" ref="L389">IF($B389=0,IF($E389=0,"",IF(INDEX(DMAV_Dienste!O$6:O$140,$E389)="","",INDEX(DMAV_Dienste!O$6:O$140,$E389))),IF(INDEX(DMAV_Modell!P$6:P$838,$B389)="","",INDEX(DMAV_Modell!P$6:P$838,$B389)))</f>
        <v>HoheitsgrenzenAV</v>
      </c>
      <c r="M389" s="62" t="str" cm="1">
        <f t="array" ref="M389">IF($B389=0,IF($E389=0,"",IF(INDEX(DMAV_Dienste!Q$6:Q$140,$E389)="","",INDEX(DMAV_Dienste!Q$6:Q$140,$E389))),IF(INDEX(DMAV_Modell!R$6:R$838,$B389)="","",INDEX(DMAV_Modell!R$6:R$838,$B389)))</f>
        <v>Untergang_Gemeindegrenze</v>
      </c>
      <c r="N389" s="62" t="str" cm="1">
        <f t="array" ref="N389">IF($B389=0,IF($E389=0,"",IF(INDEX(DMAV_Dienste!T$6:T$140,$E389)="","",INDEX(DMAV_Dienste!T$6:T$140,$E389))),IF(INDEX(DMAV_Modell!U$6:U$838,$B389)="","",INDEX(DMAV_Modell!U$6:U$838,$B389)))</f>
        <v>Untergang</v>
      </c>
      <c r="O389" s="63" t="str" cm="1">
        <f t="array" aca="1" ref="O389" ca="1">IF(C389=0,IF(F389=0,"",HYPERLINK("#"&amp;RIGHT(CELL("adresse",OFFSET(DMAV_Dienste!$M$6,F389-1,0)),LEN(CELL("adresse",OFFSET(DMAV_Dienste!$M$6,F389-1,0)))-FIND("]",CELL("adresse",OFFSET(DMAV_Dienste!$M$6,F389-1,0)))),"Structure")),HYPERLINK("#"&amp;RIGHT(CELL("adresse",OFFSET(DMAV_Modell!$N$6,C389-1,0)),LEN(CELL("adresse",OFFSET(DMAV_Modell!$N$6,C389-1,0)))-FIND("]",CELL("adresse",OFFSET(DMAV_Modell!$N$6,C389-1,0)))),"Structure"))</f>
        <v/>
      </c>
      <c r="P389" s="64" t="str" cm="1">
        <f t="array" aca="1" ref="P389" ca="1">IF(D389=0,IF(G389=0,"",HYPERLINK("#"&amp;RIGHT(CELL("adresse",OFFSET(DMAV_Dienste!$M$6,G389-1,0)),LEN(CELL("adresse",OFFSET(DMAV_Dienste!$M$6,G389-1,0)))-FIND("]",CELL("adresse",OFFSET(DMAV_Dienste!$M$6,G389-1,0)))),"Substructure")),HYPERLINK("#"&amp;RIGHT(CELL("adresse",OFFSET(DMAV_Modell!$N$6,D389-1,0)),LEN(CELL("adresse",OFFSET(DMAV_Modell!$N$6,D389-1,0)))-FIND("]",CELL("adresse",OFFSET(DMAV_Modell!$N$6,D389-1,0)))),"Substructure"))</f>
        <v/>
      </c>
      <c r="R389" s="80"/>
      <c r="T389" s="93"/>
      <c r="U389" s="94"/>
      <c r="V389" s="95"/>
      <c r="W389" s="96"/>
      <c r="Y389" s="85"/>
      <c r="Z389" s="86"/>
      <c r="AA389" s="87"/>
      <c r="AB389" s="88"/>
      <c r="AD389" s="77"/>
      <c r="AF389" s="54" t="str" cm="1">
        <f t="array" aca="1" ref="AF389" ca="1">IF(H389=0,"",HYPERLINK("#"&amp;RIGHT(CELL("adresse",OFFSET('DM01-AV-CH'!$G$6,H389-1,0)),LEN(CELL("adresse",OFFSET('DM01-AV-CH'!$G$6,H389-1,0)))-FIND("]",CELL("adresse",OFFSET('DM01-AV-CH'!$G$6,H389-1,0)))),"Modell"))</f>
        <v/>
      </c>
      <c r="AG389" s="72" t="str" cm="1">
        <f t="array" ref="AG389">IF($H389=0,"",IF(INDEX('DM01-AV-CH'!G$6:G$834,$H389)="","",INDEX('DM01-AV-CH'!G$6:G$834,$H389)))</f>
        <v/>
      </c>
      <c r="AH389" s="73" t="str" cm="1">
        <f t="array" ref="AH389">IF($H389=0,"",IF(INDEX('DM01-AV-CH'!H$6:H$834,$H389)="","",INDEX('DM01-AV-CH'!H$6:H$834,$H389)))</f>
        <v/>
      </c>
      <c r="AI389" s="74" t="str" cm="1">
        <f t="array" ref="AI389">IF($H389=0,"",IF(INDEX('DM01-AV-CH'!I$6:I$834,$H389)="","",INDEX('DM01-AV-CH'!I$6:I$834,$H389)))</f>
        <v/>
      </c>
    </row>
    <row r="390" spans="1:35" x14ac:dyDescent="0.25">
      <c r="A390" s="57">
        <v>385</v>
      </c>
      <c r="B390" s="57">
        <f>IF($A390="","",IF(_xlfn.XLOOKUP($A390,Korrelation!$D$4:$D$1197,Korrelation!E$4:E$1197,"-",0)="-",0,MATCH(_xlfn.XLOOKUP($A390,Korrelation!$D$4:$D$1197,Korrelation!E$4:E$1197,"",0),DMAV_Modell!$G$6:$G$677,0)))</f>
        <v>151</v>
      </c>
      <c r="C390" s="57">
        <f>IF($A390="","",IF(_xlfn.XLOOKUP($A390,Korrelation!$D$4:$D$1197,Korrelation!F$4:F$1197,"-",0)="-",0,MATCH(_xlfn.XLOOKUP($A390,Korrelation!$D$4:$D$1197,Korrelation!F$4:F$1197,"",0),DMAV_Modell!$G$6:$G$677,0)))</f>
        <v>0</v>
      </c>
      <c r="D390" s="57">
        <f>IF($A390="","",IF(_xlfn.XLOOKUP($A390,Korrelation!$D$4:$D$1197,Korrelation!G$4:G$1197,"-",0)="-",0,MATCH(_xlfn.XLOOKUP($A390,Korrelation!$D$4:$D$1197,Korrelation!G$4:G$1197,"",0),DMAV_Modell!$G$6:$G$677,0)))</f>
        <v>0</v>
      </c>
      <c r="E390" s="57">
        <f>IF($A390="","",IF(_xlfn.XLOOKUP($A390,Korrelation!$D$4:$D$1197,Korrelation!H$4:H$1197,"-",0)="-",0,MATCH(_xlfn.XLOOKUP($A390,Korrelation!$D$4:$D$1197,Korrelation!H$4:H$1197,"",0),DMAV_Dienste!$F$6:$F$140,0)))</f>
        <v>0</v>
      </c>
      <c r="F390" s="57">
        <f>IF($A390="","",IF(_xlfn.XLOOKUP($A390,Korrelation!$D$4:$D$1197,Korrelation!I$4:I$1197,"-",0)="-",0,MATCH(_xlfn.XLOOKUP($A390,Korrelation!$D$4:$D$1197,Korrelation!I$4:I$1197,"",0),DMAV_Dienste!$F$6:$F$140,0)))</f>
        <v>0</v>
      </c>
      <c r="G390" s="57">
        <f>IF($A390="","",IF(_xlfn.XLOOKUP($A390,Korrelation!$D$4:$D$1197,Korrelation!J$4:J$1197,"-",0)="-",0,MATCH(_xlfn.XLOOKUP($A390,Korrelation!$D$4:$D$1197,Korrelation!J$4:J$1197,"",0),DMAV_Dienste!$F$6:$F$140,0)))</f>
        <v>0</v>
      </c>
      <c r="H390" s="57">
        <f>IF($A390="","",IF(_xlfn.XLOOKUP($A390,Korrelation!$D$4:$D$1197,Korrelation!K$4:K$1197,"-",0)="-",0,MATCH(_xlfn.XLOOKUP($A390,Korrelation!$D$4:$D$1197,Korrelation!K$4:K$1197,"",0),'DM01-AV-CH'!$A$6:$A$834,0)))</f>
        <v>0</v>
      </c>
      <c r="J390" s="54" t="str" cm="1">
        <f t="array" aca="1" ref="J390" ca="1">IF(B390=0,IF(E390=0,"",HYPERLINK("#"&amp;RIGHT(CELL("adresse",OFFSET(DMAV_Dienste!$M$6,E390-1,0)),LEN(CELL("adresse",OFFSET(DMAV_Dienste!$M$6,E390-1,0)))-FIND("]",CELL("adresse",OFFSET(DMAV_Dienste!$M$6,E390-1,0)))),"Dienst")),HYPERLINK("#"&amp;RIGHT(CELL("adresse",OFFSET(DMAV_Modell!$N$6,B390-1,0)),LEN(CELL("adresse",OFFSET(DMAV_Modell!$N$6,B390-1,0)))-FIND("]",CELL("adresse",OFFSET(DMAV_Modell!$N$6,B390-1,0)))),"Modell"))</f>
        <v>Modell</v>
      </c>
      <c r="K390" s="61" t="str" cm="1">
        <f t="array" ref="K390">IF($B390=0,IF($E390=0,"",IF(INDEX(DMAV_Dienste!P$6:P$140,$E390)="","",INDEX(DMAV_Dienste!P$6:P$140,$E390))),IF(INDEX(DMAV_Modell!Q$6:Q$838,$B390)="","",INDEX(DMAV_Modell!Q$6:Q$838,$B390)))</f>
        <v>ASSOCIATION</v>
      </c>
      <c r="L390" s="62" t="str" cm="1">
        <f t="array" ref="L390">IF($B390=0,IF($E390=0,"",IF(INDEX(DMAV_Dienste!O$6:O$140,$E390)="","",INDEX(DMAV_Dienste!O$6:O$140,$E390))),IF(INDEX(DMAV_Modell!P$6:P$838,$B390)="","",INDEX(DMAV_Modell!P$6:P$838,$B390)))</f>
        <v>HoheitsgrenzenAV</v>
      </c>
      <c r="M390" s="62" t="str" cm="1">
        <f t="array" ref="M390">IF($B390=0,IF($E390=0,"",IF(INDEX(DMAV_Dienste!Q$6:Q$140,$E390)="","",INDEX(DMAV_Dienste!Q$6:Q$140,$E390))),IF(INDEX(DMAV_Modell!R$6:R$838,$B390)="","",INDEX(DMAV_Modell!R$6:R$838,$B390)))</f>
        <v>Untergang_Gemeindegrenze</v>
      </c>
      <c r="N390" s="62" t="str" cm="1">
        <f t="array" ref="N390">IF($B390=0,IF($E390=0,"",IF(INDEX(DMAV_Dienste!T$6:T$140,$E390)="","",INDEX(DMAV_Dienste!T$6:T$140,$E390))),IF(INDEX(DMAV_Modell!U$6:U$838,$B390)="","",INDEX(DMAV_Modell!U$6:U$838,$B390)))</f>
        <v>untergehende_Gemeindegrenze</v>
      </c>
      <c r="O390" s="63" t="str" cm="1">
        <f t="array" aca="1" ref="O390" ca="1">IF(C390=0,IF(F390=0,"",HYPERLINK("#"&amp;RIGHT(CELL("adresse",OFFSET(DMAV_Dienste!$M$6,F390-1,0)),LEN(CELL("adresse",OFFSET(DMAV_Dienste!$M$6,F390-1,0)))-FIND("]",CELL("adresse",OFFSET(DMAV_Dienste!$M$6,F390-1,0)))),"Structure")),HYPERLINK("#"&amp;RIGHT(CELL("adresse",OFFSET(DMAV_Modell!$N$6,C390-1,0)),LEN(CELL("adresse",OFFSET(DMAV_Modell!$N$6,C390-1,0)))-FIND("]",CELL("adresse",OFFSET(DMAV_Modell!$N$6,C390-1,0)))),"Structure"))</f>
        <v/>
      </c>
      <c r="P390" s="64" t="str" cm="1">
        <f t="array" aca="1" ref="P390" ca="1">IF(D390=0,IF(G390=0,"",HYPERLINK("#"&amp;RIGHT(CELL("adresse",OFFSET(DMAV_Dienste!$M$6,G390-1,0)),LEN(CELL("adresse",OFFSET(DMAV_Dienste!$M$6,G390-1,0)))-FIND("]",CELL("adresse",OFFSET(DMAV_Dienste!$M$6,G390-1,0)))),"Substructure")),HYPERLINK("#"&amp;RIGHT(CELL("adresse",OFFSET(DMAV_Modell!$N$6,D390-1,0)),LEN(CELL("adresse",OFFSET(DMAV_Modell!$N$6,D390-1,0)))-FIND("]",CELL("adresse",OFFSET(DMAV_Modell!$N$6,D390-1,0)))),"Substructure"))</f>
        <v/>
      </c>
      <c r="R390" s="80"/>
      <c r="T390" s="93"/>
      <c r="U390" s="94"/>
      <c r="V390" s="95"/>
      <c r="W390" s="96"/>
      <c r="Y390" s="85"/>
      <c r="Z390" s="86"/>
      <c r="AA390" s="87"/>
      <c r="AB390" s="88"/>
      <c r="AD390" s="77"/>
      <c r="AF390" s="54" t="str" cm="1">
        <f t="array" aca="1" ref="AF390" ca="1">IF(H390=0,"",HYPERLINK("#"&amp;RIGHT(CELL("adresse",OFFSET('DM01-AV-CH'!$G$6,H390-1,0)),LEN(CELL("adresse",OFFSET('DM01-AV-CH'!$G$6,H390-1,0)))-FIND("]",CELL("adresse",OFFSET('DM01-AV-CH'!$G$6,H390-1,0)))),"Modell"))</f>
        <v/>
      </c>
      <c r="AG390" s="72" t="str" cm="1">
        <f t="array" ref="AG390">IF($H390=0,"",IF(INDEX('DM01-AV-CH'!G$6:G$834,$H390)="","",INDEX('DM01-AV-CH'!G$6:G$834,$H390)))</f>
        <v/>
      </c>
      <c r="AH390" s="73" t="str" cm="1">
        <f t="array" ref="AH390">IF($H390=0,"",IF(INDEX('DM01-AV-CH'!H$6:H$834,$H390)="","",INDEX('DM01-AV-CH'!H$6:H$834,$H390)))</f>
        <v/>
      </c>
      <c r="AI390" s="74" t="str" cm="1">
        <f t="array" ref="AI390">IF($H390=0,"",IF(INDEX('DM01-AV-CH'!I$6:I$834,$H390)="","",INDEX('DM01-AV-CH'!I$6:I$834,$H390)))</f>
        <v/>
      </c>
    </row>
    <row r="391" spans="1:35" x14ac:dyDescent="0.25">
      <c r="A391" s="57">
        <v>386</v>
      </c>
      <c r="B391" s="57">
        <f>IF($A391="","",IF(_xlfn.XLOOKUP($A391,Korrelation!$D$4:$D$1197,Korrelation!E$4:E$1197,"-",0)="-",0,MATCH(_xlfn.XLOOKUP($A391,Korrelation!$D$4:$D$1197,Korrelation!E$4:E$1197,"",0),DMAV_Modell!$G$6:$G$677,0)))</f>
        <v>152</v>
      </c>
      <c r="C391" s="57">
        <f>IF($A391="","",IF(_xlfn.XLOOKUP($A391,Korrelation!$D$4:$D$1197,Korrelation!F$4:F$1197,"-",0)="-",0,MATCH(_xlfn.XLOOKUP($A391,Korrelation!$D$4:$D$1197,Korrelation!F$4:F$1197,"",0),DMAV_Modell!$G$6:$G$677,0)))</f>
        <v>0</v>
      </c>
      <c r="D391" s="57">
        <f>IF($A391="","",IF(_xlfn.XLOOKUP($A391,Korrelation!$D$4:$D$1197,Korrelation!G$4:G$1197,"-",0)="-",0,MATCH(_xlfn.XLOOKUP($A391,Korrelation!$D$4:$D$1197,Korrelation!G$4:G$1197,"",0),DMAV_Modell!$G$6:$G$677,0)))</f>
        <v>0</v>
      </c>
      <c r="E391" s="57">
        <f>IF($A391="","",IF(_xlfn.XLOOKUP($A391,Korrelation!$D$4:$D$1197,Korrelation!H$4:H$1197,"-",0)="-",0,MATCH(_xlfn.XLOOKUP($A391,Korrelation!$D$4:$D$1197,Korrelation!H$4:H$1197,"",0),DMAV_Dienste!$F$6:$F$140,0)))</f>
        <v>0</v>
      </c>
      <c r="F391" s="57">
        <f>IF($A391="","",IF(_xlfn.XLOOKUP($A391,Korrelation!$D$4:$D$1197,Korrelation!I$4:I$1197,"-",0)="-",0,MATCH(_xlfn.XLOOKUP($A391,Korrelation!$D$4:$D$1197,Korrelation!I$4:I$1197,"",0),DMAV_Dienste!$F$6:$F$140,0)))</f>
        <v>0</v>
      </c>
      <c r="G391" s="57">
        <f>IF($A391="","",IF(_xlfn.XLOOKUP($A391,Korrelation!$D$4:$D$1197,Korrelation!J$4:J$1197,"-",0)="-",0,MATCH(_xlfn.XLOOKUP($A391,Korrelation!$D$4:$D$1197,Korrelation!J$4:J$1197,"",0),DMAV_Dienste!$F$6:$F$140,0)))</f>
        <v>0</v>
      </c>
      <c r="H391" s="57">
        <f>IF($A391="","",IF(_xlfn.XLOOKUP($A391,Korrelation!$D$4:$D$1197,Korrelation!K$4:K$1197,"-",0)="-",0,MATCH(_xlfn.XLOOKUP($A391,Korrelation!$D$4:$D$1197,Korrelation!K$4:K$1197,"",0),'DM01-AV-CH'!$A$6:$A$834,0)))</f>
        <v>0</v>
      </c>
      <c r="J391" s="54" t="str" cm="1">
        <f t="array" aca="1" ref="J391" ca="1">IF(B391=0,IF(E391=0,"",HYPERLINK("#"&amp;RIGHT(CELL("adresse",OFFSET(DMAV_Dienste!$M$6,E391-1,0)),LEN(CELL("adresse",OFFSET(DMAV_Dienste!$M$6,E391-1,0)))-FIND("]",CELL("adresse",OFFSET(DMAV_Dienste!$M$6,E391-1,0)))),"Dienst")),HYPERLINK("#"&amp;RIGHT(CELL("adresse",OFFSET(DMAV_Modell!$N$6,B391-1,0)),LEN(CELL("adresse",OFFSET(DMAV_Modell!$N$6,B391-1,0)))-FIND("]",CELL("adresse",OFFSET(DMAV_Modell!$N$6,B391-1,0)))),"Modell"))</f>
        <v>Modell</v>
      </c>
      <c r="K391" s="61" t="str" cm="1">
        <f t="array" ref="K391">IF($B391=0,IF($E391=0,"",IF(INDEX(DMAV_Dienste!P$6:P$140,$E391)="","",INDEX(DMAV_Dienste!P$6:P$140,$E391))),IF(INDEX(DMAV_Modell!Q$6:Q$838,$B391)="","",INDEX(DMAV_Modell!Q$6:Q$838,$B391)))</f>
        <v>ASSOCIATION</v>
      </c>
      <c r="L391" s="62" t="str" cm="1">
        <f t="array" ref="L391">IF($B391=0,IF($E391=0,"",IF(INDEX(DMAV_Dienste!O$6:O$140,$E391)="","",INDEX(DMAV_Dienste!O$6:O$140,$E391))),IF(INDEX(DMAV_Modell!P$6:P$838,$B391)="","",INDEX(DMAV_Modell!P$6:P$838,$B391)))</f>
        <v>HoheitsgrenzenAV</v>
      </c>
      <c r="M391" s="62" t="str" cm="1">
        <f t="array" ref="M391">IF($B391=0,IF($E391=0,"",IF(INDEX(DMAV_Dienste!Q$6:Q$140,$E391)="","",INDEX(DMAV_Dienste!Q$6:Q$140,$E391))),IF(INDEX(DMAV_Modell!R$6:R$838,$B391)="","",INDEX(DMAV_Modell!R$6:R$838,$B391)))</f>
        <v>Vorgaenger_Nachfolger_Gemeindegrenze</v>
      </c>
      <c r="N391" s="62" t="str" cm="1">
        <f t="array" ref="N391">IF($B391=0,IF($E391=0,"",IF(INDEX(DMAV_Dienste!T$6:T$140,$E391)="","",INDEX(DMAV_Dienste!T$6:T$140,$E391))),IF(INDEX(DMAV_Modell!U$6:U$838,$B391)="","",INDEX(DMAV_Modell!U$6:U$838,$B391)))</f>
        <v>Vorgaenger</v>
      </c>
      <c r="O391" s="63" t="str" cm="1">
        <f t="array" aca="1" ref="O391" ca="1">IF(C391=0,IF(F391=0,"",HYPERLINK("#"&amp;RIGHT(CELL("adresse",OFFSET(DMAV_Dienste!$M$6,F391-1,0)),LEN(CELL("adresse",OFFSET(DMAV_Dienste!$M$6,F391-1,0)))-FIND("]",CELL("adresse",OFFSET(DMAV_Dienste!$M$6,F391-1,0)))),"Structure")),HYPERLINK("#"&amp;RIGHT(CELL("adresse",OFFSET(DMAV_Modell!$N$6,C391-1,0)),LEN(CELL("adresse",OFFSET(DMAV_Modell!$N$6,C391-1,0)))-FIND("]",CELL("adresse",OFFSET(DMAV_Modell!$N$6,C391-1,0)))),"Structure"))</f>
        <v/>
      </c>
      <c r="P391" s="64" t="str" cm="1">
        <f t="array" aca="1" ref="P391" ca="1">IF(D391=0,IF(G391=0,"",HYPERLINK("#"&amp;RIGHT(CELL("adresse",OFFSET(DMAV_Dienste!$M$6,G391-1,0)),LEN(CELL("adresse",OFFSET(DMAV_Dienste!$M$6,G391-1,0)))-FIND("]",CELL("adresse",OFFSET(DMAV_Dienste!$M$6,G391-1,0)))),"Substructure")),HYPERLINK("#"&amp;RIGHT(CELL("adresse",OFFSET(DMAV_Modell!$N$6,D391-1,0)),LEN(CELL("adresse",OFFSET(DMAV_Modell!$N$6,D391-1,0)))-FIND("]",CELL("adresse",OFFSET(DMAV_Modell!$N$6,D391-1,0)))),"Substructure"))</f>
        <v/>
      </c>
      <c r="R391" s="80"/>
      <c r="T391" s="93"/>
      <c r="U391" s="94"/>
      <c r="V391" s="95"/>
      <c r="W391" s="96"/>
      <c r="Y391" s="85"/>
      <c r="Z391" s="86"/>
      <c r="AA391" s="87"/>
      <c r="AB391" s="88"/>
      <c r="AD391" s="77"/>
      <c r="AF391" s="54" t="str" cm="1">
        <f t="array" aca="1" ref="AF391" ca="1">IF(H391=0,"",HYPERLINK("#"&amp;RIGHT(CELL("adresse",OFFSET('DM01-AV-CH'!$G$6,H391-1,0)),LEN(CELL("adresse",OFFSET('DM01-AV-CH'!$G$6,H391-1,0)))-FIND("]",CELL("adresse",OFFSET('DM01-AV-CH'!$G$6,H391-1,0)))),"Modell"))</f>
        <v/>
      </c>
      <c r="AG391" s="72" t="str" cm="1">
        <f t="array" ref="AG391">IF($H391=0,"",IF(INDEX('DM01-AV-CH'!G$6:G$834,$H391)="","",INDEX('DM01-AV-CH'!G$6:G$834,$H391)))</f>
        <v/>
      </c>
      <c r="AH391" s="73" t="str" cm="1">
        <f t="array" ref="AH391">IF($H391=0,"",IF(INDEX('DM01-AV-CH'!H$6:H$834,$H391)="","",INDEX('DM01-AV-CH'!H$6:H$834,$H391)))</f>
        <v/>
      </c>
      <c r="AI391" s="74" t="str" cm="1">
        <f t="array" ref="AI391">IF($H391=0,"",IF(INDEX('DM01-AV-CH'!I$6:I$834,$H391)="","",INDEX('DM01-AV-CH'!I$6:I$834,$H391)))</f>
        <v/>
      </c>
    </row>
    <row r="392" spans="1:35" x14ac:dyDescent="0.25">
      <c r="A392" s="57">
        <v>387</v>
      </c>
      <c r="B392" s="57">
        <f>IF($A392="","",IF(_xlfn.XLOOKUP($A392,Korrelation!$D$4:$D$1197,Korrelation!E$4:E$1197,"-",0)="-",0,MATCH(_xlfn.XLOOKUP($A392,Korrelation!$D$4:$D$1197,Korrelation!E$4:E$1197,"",0),DMAV_Modell!$G$6:$G$677,0)))</f>
        <v>153</v>
      </c>
      <c r="C392" s="57">
        <f>IF($A392="","",IF(_xlfn.XLOOKUP($A392,Korrelation!$D$4:$D$1197,Korrelation!F$4:F$1197,"-",0)="-",0,MATCH(_xlfn.XLOOKUP($A392,Korrelation!$D$4:$D$1197,Korrelation!F$4:F$1197,"",0),DMAV_Modell!$G$6:$G$677,0)))</f>
        <v>0</v>
      </c>
      <c r="D392" s="57">
        <f>IF($A392="","",IF(_xlfn.XLOOKUP($A392,Korrelation!$D$4:$D$1197,Korrelation!G$4:G$1197,"-",0)="-",0,MATCH(_xlfn.XLOOKUP($A392,Korrelation!$D$4:$D$1197,Korrelation!G$4:G$1197,"",0),DMAV_Modell!$G$6:$G$677,0)))</f>
        <v>0</v>
      </c>
      <c r="E392" s="57">
        <f>IF($A392="","",IF(_xlfn.XLOOKUP($A392,Korrelation!$D$4:$D$1197,Korrelation!H$4:H$1197,"-",0)="-",0,MATCH(_xlfn.XLOOKUP($A392,Korrelation!$D$4:$D$1197,Korrelation!H$4:H$1197,"",0),DMAV_Dienste!$F$6:$F$140,0)))</f>
        <v>0</v>
      </c>
      <c r="F392" s="57">
        <f>IF($A392="","",IF(_xlfn.XLOOKUP($A392,Korrelation!$D$4:$D$1197,Korrelation!I$4:I$1197,"-",0)="-",0,MATCH(_xlfn.XLOOKUP($A392,Korrelation!$D$4:$D$1197,Korrelation!I$4:I$1197,"",0),DMAV_Dienste!$F$6:$F$140,0)))</f>
        <v>0</v>
      </c>
      <c r="G392" s="57">
        <f>IF($A392="","",IF(_xlfn.XLOOKUP($A392,Korrelation!$D$4:$D$1197,Korrelation!J$4:J$1197,"-",0)="-",0,MATCH(_xlfn.XLOOKUP($A392,Korrelation!$D$4:$D$1197,Korrelation!J$4:J$1197,"",0),DMAV_Dienste!$F$6:$F$140,0)))</f>
        <v>0</v>
      </c>
      <c r="H392" s="57">
        <f>IF($A392="","",IF(_xlfn.XLOOKUP($A392,Korrelation!$D$4:$D$1197,Korrelation!K$4:K$1197,"-",0)="-",0,MATCH(_xlfn.XLOOKUP($A392,Korrelation!$D$4:$D$1197,Korrelation!K$4:K$1197,"",0),'DM01-AV-CH'!$A$6:$A$834,0)))</f>
        <v>0</v>
      </c>
      <c r="J392" s="54" t="str" cm="1">
        <f t="array" aca="1" ref="J392" ca="1">IF(B392=0,IF(E392=0,"",HYPERLINK("#"&amp;RIGHT(CELL("adresse",OFFSET(DMAV_Dienste!$M$6,E392-1,0)),LEN(CELL("adresse",OFFSET(DMAV_Dienste!$M$6,E392-1,0)))-FIND("]",CELL("adresse",OFFSET(DMAV_Dienste!$M$6,E392-1,0)))),"Dienst")),HYPERLINK("#"&amp;RIGHT(CELL("adresse",OFFSET(DMAV_Modell!$N$6,B392-1,0)),LEN(CELL("adresse",OFFSET(DMAV_Modell!$N$6,B392-1,0)))-FIND("]",CELL("adresse",OFFSET(DMAV_Modell!$N$6,B392-1,0)))),"Modell"))</f>
        <v>Modell</v>
      </c>
      <c r="K392" s="61" t="str" cm="1">
        <f t="array" ref="K392">IF($B392=0,IF($E392=0,"",IF(INDEX(DMAV_Dienste!P$6:P$140,$E392)="","",INDEX(DMAV_Dienste!P$6:P$140,$E392))),IF(INDEX(DMAV_Modell!Q$6:Q$838,$B392)="","",INDEX(DMAV_Modell!Q$6:Q$838,$B392)))</f>
        <v>ASSOCIATION</v>
      </c>
      <c r="L392" s="62" t="str" cm="1">
        <f t="array" ref="L392">IF($B392=0,IF($E392=0,"",IF(INDEX(DMAV_Dienste!O$6:O$140,$E392)="","",INDEX(DMAV_Dienste!O$6:O$140,$E392))),IF(INDEX(DMAV_Modell!P$6:P$838,$B392)="","",INDEX(DMAV_Modell!P$6:P$838,$B392)))</f>
        <v>HoheitsgrenzenAV</v>
      </c>
      <c r="M392" s="62" t="str" cm="1">
        <f t="array" ref="M392">IF($B392=0,IF($E392=0,"",IF(INDEX(DMAV_Dienste!Q$6:Q$140,$E392)="","",INDEX(DMAV_Dienste!Q$6:Q$140,$E392))),IF(INDEX(DMAV_Modell!R$6:R$838,$B392)="","",INDEX(DMAV_Modell!R$6:R$838,$B392)))</f>
        <v>Vorgaenger_Nachfolger_Gemeindegrenze</v>
      </c>
      <c r="N392" s="62" t="str" cm="1">
        <f t="array" ref="N392">IF($B392=0,IF($E392=0,"",IF(INDEX(DMAV_Dienste!T$6:T$140,$E392)="","",INDEX(DMAV_Dienste!T$6:T$140,$E392))),IF(INDEX(DMAV_Modell!U$6:U$838,$B392)="","",INDEX(DMAV_Modell!U$6:U$838,$B392)))</f>
        <v>Nachfolger</v>
      </c>
      <c r="O392" s="63" t="str" cm="1">
        <f t="array" aca="1" ref="O392" ca="1">IF(C392=0,IF(F392=0,"",HYPERLINK("#"&amp;RIGHT(CELL("adresse",OFFSET(DMAV_Dienste!$M$6,F392-1,0)),LEN(CELL("adresse",OFFSET(DMAV_Dienste!$M$6,F392-1,0)))-FIND("]",CELL("adresse",OFFSET(DMAV_Dienste!$M$6,F392-1,0)))),"Structure")),HYPERLINK("#"&amp;RIGHT(CELL("adresse",OFFSET(DMAV_Modell!$N$6,C392-1,0)),LEN(CELL("adresse",OFFSET(DMAV_Modell!$N$6,C392-1,0)))-FIND("]",CELL("adresse",OFFSET(DMAV_Modell!$N$6,C392-1,0)))),"Structure"))</f>
        <v/>
      </c>
      <c r="P392" s="64" t="str" cm="1">
        <f t="array" aca="1" ref="P392" ca="1">IF(D392=0,IF(G392=0,"",HYPERLINK("#"&amp;RIGHT(CELL("adresse",OFFSET(DMAV_Dienste!$M$6,G392-1,0)),LEN(CELL("adresse",OFFSET(DMAV_Dienste!$M$6,G392-1,0)))-FIND("]",CELL("adresse",OFFSET(DMAV_Dienste!$M$6,G392-1,0)))),"Substructure")),HYPERLINK("#"&amp;RIGHT(CELL("adresse",OFFSET(DMAV_Modell!$N$6,D392-1,0)),LEN(CELL("adresse",OFFSET(DMAV_Modell!$N$6,D392-1,0)))-FIND("]",CELL("adresse",OFFSET(DMAV_Modell!$N$6,D392-1,0)))),"Substructure"))</f>
        <v/>
      </c>
      <c r="R392" s="80"/>
      <c r="T392" s="93"/>
      <c r="U392" s="94"/>
      <c r="V392" s="95"/>
      <c r="W392" s="96"/>
      <c r="Y392" s="85"/>
      <c r="Z392" s="86"/>
      <c r="AA392" s="87"/>
      <c r="AB392" s="88"/>
      <c r="AD392" s="77"/>
      <c r="AF392" s="54" t="str" cm="1">
        <f t="array" aca="1" ref="AF392" ca="1">IF(H392=0,"",HYPERLINK("#"&amp;RIGHT(CELL("adresse",OFFSET('DM01-AV-CH'!$G$6,H392-1,0)),LEN(CELL("adresse",OFFSET('DM01-AV-CH'!$G$6,H392-1,0)))-FIND("]",CELL("adresse",OFFSET('DM01-AV-CH'!$G$6,H392-1,0)))),"Modell"))</f>
        <v/>
      </c>
      <c r="AG392" s="72" t="str" cm="1">
        <f t="array" ref="AG392">IF($H392=0,"",IF(INDEX('DM01-AV-CH'!G$6:G$834,$H392)="","",INDEX('DM01-AV-CH'!G$6:G$834,$H392)))</f>
        <v/>
      </c>
      <c r="AH392" s="73" t="str" cm="1">
        <f t="array" ref="AH392">IF($H392=0,"",IF(INDEX('DM01-AV-CH'!H$6:H$834,$H392)="","",INDEX('DM01-AV-CH'!H$6:H$834,$H392)))</f>
        <v/>
      </c>
      <c r="AI392" s="74" t="str" cm="1">
        <f t="array" ref="AI392">IF($H392=0,"",IF(INDEX('DM01-AV-CH'!I$6:I$834,$H392)="","",INDEX('DM01-AV-CH'!I$6:I$834,$H392)))</f>
        <v/>
      </c>
    </row>
    <row r="393" spans="1:35" x14ac:dyDescent="0.25">
      <c r="A393" s="57">
        <v>388</v>
      </c>
      <c r="B393" s="57">
        <f>IF($A393="","",IF(_xlfn.XLOOKUP($A393,Korrelation!$D$4:$D$1197,Korrelation!E$4:E$1197,"-",0)="-",0,MATCH(_xlfn.XLOOKUP($A393,Korrelation!$D$4:$D$1197,Korrelation!E$4:E$1197,"",0),DMAV_Modell!$G$6:$G$677,0)))</f>
        <v>154</v>
      </c>
      <c r="C393" s="57">
        <f>IF($A393="","",IF(_xlfn.XLOOKUP($A393,Korrelation!$D$4:$D$1197,Korrelation!F$4:F$1197,"-",0)="-",0,MATCH(_xlfn.XLOOKUP($A393,Korrelation!$D$4:$D$1197,Korrelation!F$4:F$1197,"",0),DMAV_Modell!$G$6:$G$677,0)))</f>
        <v>0</v>
      </c>
      <c r="D393" s="57">
        <f>IF($A393="","",IF(_xlfn.XLOOKUP($A393,Korrelation!$D$4:$D$1197,Korrelation!G$4:G$1197,"-",0)="-",0,MATCH(_xlfn.XLOOKUP($A393,Korrelation!$D$4:$D$1197,Korrelation!G$4:G$1197,"",0),DMAV_Modell!$G$6:$G$677,0)))</f>
        <v>0</v>
      </c>
      <c r="E393" s="57">
        <f>IF($A393="","",IF(_xlfn.XLOOKUP($A393,Korrelation!$D$4:$D$1197,Korrelation!H$4:H$1197,"-",0)="-",0,MATCH(_xlfn.XLOOKUP($A393,Korrelation!$D$4:$D$1197,Korrelation!H$4:H$1197,"",0),DMAV_Dienste!$F$6:$F$140,0)))</f>
        <v>0</v>
      </c>
      <c r="F393" s="57">
        <f>IF($A393="","",IF(_xlfn.XLOOKUP($A393,Korrelation!$D$4:$D$1197,Korrelation!I$4:I$1197,"-",0)="-",0,MATCH(_xlfn.XLOOKUP($A393,Korrelation!$D$4:$D$1197,Korrelation!I$4:I$1197,"",0),DMAV_Dienste!$F$6:$F$140,0)))</f>
        <v>0</v>
      </c>
      <c r="G393" s="57">
        <f>IF($A393="","",IF(_xlfn.XLOOKUP($A393,Korrelation!$D$4:$D$1197,Korrelation!J$4:J$1197,"-",0)="-",0,MATCH(_xlfn.XLOOKUP($A393,Korrelation!$D$4:$D$1197,Korrelation!J$4:J$1197,"",0),DMAV_Dienste!$F$6:$F$140,0)))</f>
        <v>0</v>
      </c>
      <c r="H393" s="57">
        <f>IF($A393="","",IF(_xlfn.XLOOKUP($A393,Korrelation!$D$4:$D$1197,Korrelation!K$4:K$1197,"-",0)="-",0,MATCH(_xlfn.XLOOKUP($A393,Korrelation!$D$4:$D$1197,Korrelation!K$4:K$1197,"",0),'DM01-AV-CH'!$A$6:$A$834,0)))</f>
        <v>0</v>
      </c>
      <c r="J393" s="54" t="str" cm="1">
        <f t="array" aca="1" ref="J393" ca="1">IF(B393=0,IF(E393=0,"",HYPERLINK("#"&amp;RIGHT(CELL("adresse",OFFSET(DMAV_Dienste!$M$6,E393-1,0)),LEN(CELL("adresse",OFFSET(DMAV_Dienste!$M$6,E393-1,0)))-FIND("]",CELL("adresse",OFFSET(DMAV_Dienste!$M$6,E393-1,0)))),"Dienst")),HYPERLINK("#"&amp;RIGHT(CELL("adresse",OFFSET(DMAV_Modell!$N$6,B393-1,0)),LEN(CELL("adresse",OFFSET(DMAV_Modell!$N$6,B393-1,0)))-FIND("]",CELL("adresse",OFFSET(DMAV_Modell!$N$6,B393-1,0)))),"Modell"))</f>
        <v>Modell</v>
      </c>
      <c r="K393" s="61" t="str" cm="1">
        <f t="array" ref="K393">IF($B393=0,IF($E393=0,"",IF(INDEX(DMAV_Dienste!P$6:P$140,$E393)="","",INDEX(DMAV_Dienste!P$6:P$140,$E393))),IF(INDEX(DMAV_Modell!Q$6:Q$838,$B393)="","",INDEX(DMAV_Modell!Q$6:Q$838,$B393)))</f>
        <v>VIEW</v>
      </c>
      <c r="L393" s="62" t="str" cm="1">
        <f t="array" ref="L393">IF($B393=0,IF($E393=0,"",IF(INDEX(DMAV_Dienste!O$6:O$140,$E393)="","",INDEX(DMAV_Dienste!O$6:O$140,$E393))),IF(INDEX(DMAV_Modell!P$6:P$838,$B393)="","",INDEX(DMAV_Modell!P$6:P$838,$B393)))</f>
        <v>HoheitsgrenzenAV</v>
      </c>
      <c r="M393" s="62" t="str" cm="1">
        <f t="array" ref="M393">IF($B393=0,IF($E393=0,"",IF(INDEX(DMAV_Dienste!Q$6:Q$140,$E393)="","",INDEX(DMAV_Dienste!Q$6:Q$140,$E393))),IF(INDEX(DMAV_Modell!R$6:R$838,$B393)="","",INDEX(DMAV_Modell!R$6:R$838,$B393)))</f>
        <v>Gemeindegrenze_Gueltig</v>
      </c>
      <c r="N393" s="62" t="str" cm="1">
        <f t="array" ref="N393">IF($B393=0,IF($E393=0,"",IF(INDEX(DMAV_Dienste!T$6:T$140,$E393)="","",INDEX(DMAV_Dienste!T$6:T$140,$E393))),IF(INDEX(DMAV_Modell!U$6:U$838,$B393)="","",INDEX(DMAV_Modell!U$6:U$838,$B393)))</f>
        <v>PROJECTION OF</v>
      </c>
      <c r="O393" s="63" t="str" cm="1">
        <f t="array" aca="1" ref="O393" ca="1">IF(C393=0,IF(F393=0,"",HYPERLINK("#"&amp;RIGHT(CELL("adresse",OFFSET(DMAV_Dienste!$M$6,F393-1,0)),LEN(CELL("adresse",OFFSET(DMAV_Dienste!$M$6,F393-1,0)))-FIND("]",CELL("adresse",OFFSET(DMAV_Dienste!$M$6,F393-1,0)))),"Structure")),HYPERLINK("#"&amp;RIGHT(CELL("adresse",OFFSET(DMAV_Modell!$N$6,C393-1,0)),LEN(CELL("adresse",OFFSET(DMAV_Modell!$N$6,C393-1,0)))-FIND("]",CELL("adresse",OFFSET(DMAV_Modell!$N$6,C393-1,0)))),"Structure"))</f>
        <v/>
      </c>
      <c r="P393" s="64" t="str" cm="1">
        <f t="array" aca="1" ref="P393" ca="1">IF(D393=0,IF(G393=0,"",HYPERLINK("#"&amp;RIGHT(CELL("adresse",OFFSET(DMAV_Dienste!$M$6,G393-1,0)),LEN(CELL("adresse",OFFSET(DMAV_Dienste!$M$6,G393-1,0)))-FIND("]",CELL("adresse",OFFSET(DMAV_Dienste!$M$6,G393-1,0)))),"Substructure")),HYPERLINK("#"&amp;RIGHT(CELL("adresse",OFFSET(DMAV_Modell!$N$6,D393-1,0)),LEN(CELL("adresse",OFFSET(DMAV_Modell!$N$6,D393-1,0)))-FIND("]",CELL("adresse",OFFSET(DMAV_Modell!$N$6,D393-1,0)))),"Substructure"))</f>
        <v/>
      </c>
      <c r="R393" s="80"/>
      <c r="T393" s="93"/>
      <c r="U393" s="94"/>
      <c r="V393" s="95"/>
      <c r="W393" s="96"/>
      <c r="Y393" s="85"/>
      <c r="Z393" s="86"/>
      <c r="AA393" s="87"/>
      <c r="AB393" s="88"/>
      <c r="AD393" s="77"/>
      <c r="AF393" s="54" t="str" cm="1">
        <f t="array" aca="1" ref="AF393" ca="1">IF(H393=0,"",HYPERLINK("#"&amp;RIGHT(CELL("adresse",OFFSET('DM01-AV-CH'!$G$6,H393-1,0)),LEN(CELL("adresse",OFFSET('DM01-AV-CH'!$G$6,H393-1,0)))-FIND("]",CELL("adresse",OFFSET('DM01-AV-CH'!$G$6,H393-1,0)))),"Modell"))</f>
        <v/>
      </c>
      <c r="AG393" s="72" t="str" cm="1">
        <f t="array" ref="AG393">IF($H393=0,"",IF(INDEX('DM01-AV-CH'!G$6:G$834,$H393)="","",INDEX('DM01-AV-CH'!G$6:G$834,$H393)))</f>
        <v/>
      </c>
      <c r="AH393" s="73" t="str" cm="1">
        <f t="array" ref="AH393">IF($H393=0,"",IF(INDEX('DM01-AV-CH'!H$6:H$834,$H393)="","",INDEX('DM01-AV-CH'!H$6:H$834,$H393)))</f>
        <v/>
      </c>
      <c r="AI393" s="74" t="str" cm="1">
        <f t="array" ref="AI393">IF($H393=0,"",IF(INDEX('DM01-AV-CH'!I$6:I$834,$H393)="","",INDEX('DM01-AV-CH'!I$6:I$834,$H393)))</f>
        <v/>
      </c>
    </row>
    <row r="394" spans="1:35" x14ac:dyDescent="0.25">
      <c r="A394" s="57">
        <v>389</v>
      </c>
      <c r="B394" s="57">
        <f>IF($A394="","",IF(_xlfn.XLOOKUP($A394,Korrelation!$D$4:$D$1197,Korrelation!E$4:E$1197,"-",0)="-",0,MATCH(_xlfn.XLOOKUP($A394,Korrelation!$D$4:$D$1197,Korrelation!E$4:E$1197,"",0),DMAV_Modell!$G$6:$G$677,0)))</f>
        <v>155</v>
      </c>
      <c r="C394" s="57">
        <f>IF($A394="","",IF(_xlfn.XLOOKUP($A394,Korrelation!$D$4:$D$1197,Korrelation!F$4:F$1197,"-",0)="-",0,MATCH(_xlfn.XLOOKUP($A394,Korrelation!$D$4:$D$1197,Korrelation!F$4:F$1197,"",0),DMAV_Modell!$G$6:$G$677,0)))</f>
        <v>0</v>
      </c>
      <c r="D394" s="57">
        <f>IF($A394="","",IF(_xlfn.XLOOKUP($A394,Korrelation!$D$4:$D$1197,Korrelation!G$4:G$1197,"-",0)="-",0,MATCH(_xlfn.XLOOKUP($A394,Korrelation!$D$4:$D$1197,Korrelation!G$4:G$1197,"",0),DMAV_Modell!$G$6:$G$677,0)))</f>
        <v>0</v>
      </c>
      <c r="E394" s="57">
        <f>IF($A394="","",IF(_xlfn.XLOOKUP($A394,Korrelation!$D$4:$D$1197,Korrelation!H$4:H$1197,"-",0)="-",0,MATCH(_xlfn.XLOOKUP($A394,Korrelation!$D$4:$D$1197,Korrelation!H$4:H$1197,"",0),DMAV_Dienste!$F$6:$F$140,0)))</f>
        <v>0</v>
      </c>
      <c r="F394" s="57">
        <f>IF($A394="","",IF(_xlfn.XLOOKUP($A394,Korrelation!$D$4:$D$1197,Korrelation!I$4:I$1197,"-",0)="-",0,MATCH(_xlfn.XLOOKUP($A394,Korrelation!$D$4:$D$1197,Korrelation!I$4:I$1197,"",0),DMAV_Dienste!$F$6:$F$140,0)))</f>
        <v>0</v>
      </c>
      <c r="G394" s="57">
        <f>IF($A394="","",IF(_xlfn.XLOOKUP($A394,Korrelation!$D$4:$D$1197,Korrelation!J$4:J$1197,"-",0)="-",0,MATCH(_xlfn.XLOOKUP($A394,Korrelation!$D$4:$D$1197,Korrelation!J$4:J$1197,"",0),DMAV_Dienste!$F$6:$F$140,0)))</f>
        <v>0</v>
      </c>
      <c r="H394" s="57">
        <f>IF($A394="","",IF(_xlfn.XLOOKUP($A394,Korrelation!$D$4:$D$1197,Korrelation!K$4:K$1197,"-",0)="-",0,MATCH(_xlfn.XLOOKUP($A394,Korrelation!$D$4:$D$1197,Korrelation!K$4:K$1197,"",0),'DM01-AV-CH'!$A$6:$A$834,0)))</f>
        <v>0</v>
      </c>
      <c r="J394" s="54" t="str" cm="1">
        <f t="array" aca="1" ref="J394" ca="1">IF(B394=0,IF(E394=0,"",HYPERLINK("#"&amp;RIGHT(CELL("adresse",OFFSET(DMAV_Dienste!$M$6,E394-1,0)),LEN(CELL("adresse",OFFSET(DMAV_Dienste!$M$6,E394-1,0)))-FIND("]",CELL("adresse",OFFSET(DMAV_Dienste!$M$6,E394-1,0)))),"Dienst")),HYPERLINK("#"&amp;RIGHT(CELL("adresse",OFFSET(DMAV_Modell!$N$6,B394-1,0)),LEN(CELL("adresse",OFFSET(DMAV_Modell!$N$6,B394-1,0)))-FIND("]",CELL("adresse",OFFSET(DMAV_Modell!$N$6,B394-1,0)))),"Modell"))</f>
        <v>Modell</v>
      </c>
      <c r="K394" s="61" t="str" cm="1">
        <f t="array" ref="K394">IF($B394=0,IF($E394=0,"",IF(INDEX(DMAV_Dienste!P$6:P$140,$E394)="","",INDEX(DMAV_Dienste!P$6:P$140,$E394))),IF(INDEX(DMAV_Modell!Q$6:Q$838,$B394)="","",INDEX(DMAV_Modell!Q$6:Q$838,$B394)))</f>
        <v>VIEW</v>
      </c>
      <c r="L394" s="62" t="str" cm="1">
        <f t="array" ref="L394">IF($B394=0,IF($E394=0,"",IF(INDEX(DMAV_Dienste!O$6:O$140,$E394)="","",INDEX(DMAV_Dienste!O$6:O$140,$E394))),IF(INDEX(DMAV_Modell!P$6:P$838,$B394)="","",INDEX(DMAV_Modell!P$6:P$838,$B394)))</f>
        <v>HoheitsgrenzenAV</v>
      </c>
      <c r="M394" s="62" t="str" cm="1">
        <f t="array" ref="M394">IF($B394=0,IF($E394=0,"",IF(INDEX(DMAV_Dienste!Q$6:Q$140,$E394)="","",INDEX(DMAV_Dienste!Q$6:Q$140,$E394))),IF(INDEX(DMAV_Modell!R$6:R$838,$B394)="","",INDEX(DMAV_Modell!R$6:R$838,$B394)))</f>
        <v>Gemeindegrenze_Gueltig</v>
      </c>
      <c r="N394" s="62" t="str" cm="1">
        <f t="array" ref="N394">IF($B394=0,IF($E394=0,"",IF(INDEX(DMAV_Dienste!T$6:T$140,$E394)="","",INDEX(DMAV_Dienste!T$6:T$140,$E394))),IF(INDEX(DMAV_Modell!U$6:U$838,$B394)="","",INDEX(DMAV_Modell!U$6:U$838,$B394)))</f>
        <v>WHERE DEFINED(@PH1@) AND DEFINED(@PH2@) AND (NOT(DEFINED(@PH3@)) OR NOT(DEFINED(@PH4@)))</v>
      </c>
      <c r="O394" s="63" t="str" cm="1">
        <f t="array" aca="1" ref="O394" ca="1">IF(C394=0,IF(F394=0,"",HYPERLINK("#"&amp;RIGHT(CELL("adresse",OFFSET(DMAV_Dienste!$M$6,F394-1,0)),LEN(CELL("adresse",OFFSET(DMAV_Dienste!$M$6,F394-1,0)))-FIND("]",CELL("adresse",OFFSET(DMAV_Dienste!$M$6,F394-1,0)))),"Structure")),HYPERLINK("#"&amp;RIGHT(CELL("adresse",OFFSET(DMAV_Modell!$N$6,C394-1,0)),LEN(CELL("adresse",OFFSET(DMAV_Modell!$N$6,C394-1,0)))-FIND("]",CELL("adresse",OFFSET(DMAV_Modell!$N$6,C394-1,0)))),"Structure"))</f>
        <v/>
      </c>
      <c r="P394" s="64" t="str" cm="1">
        <f t="array" aca="1" ref="P394" ca="1">IF(D394=0,IF(G394=0,"",HYPERLINK("#"&amp;RIGHT(CELL("adresse",OFFSET(DMAV_Dienste!$M$6,G394-1,0)),LEN(CELL("adresse",OFFSET(DMAV_Dienste!$M$6,G394-1,0)))-FIND("]",CELL("adresse",OFFSET(DMAV_Dienste!$M$6,G394-1,0)))),"Substructure")),HYPERLINK("#"&amp;RIGHT(CELL("adresse",OFFSET(DMAV_Modell!$N$6,D394-1,0)),LEN(CELL("adresse",OFFSET(DMAV_Modell!$N$6,D394-1,0)))-FIND("]",CELL("adresse",OFFSET(DMAV_Modell!$N$6,D394-1,0)))),"Substructure"))</f>
        <v/>
      </c>
      <c r="R394" s="80"/>
      <c r="T394" s="93"/>
      <c r="U394" s="94"/>
      <c r="V394" s="95"/>
      <c r="W394" s="96"/>
      <c r="Y394" s="85"/>
      <c r="Z394" s="86"/>
      <c r="AA394" s="87"/>
      <c r="AB394" s="88"/>
      <c r="AD394" s="77"/>
      <c r="AF394" s="54" t="str" cm="1">
        <f t="array" aca="1" ref="AF394" ca="1">IF(H394=0,"",HYPERLINK("#"&amp;RIGHT(CELL("adresse",OFFSET('DM01-AV-CH'!$G$6,H394-1,0)),LEN(CELL("adresse",OFFSET('DM01-AV-CH'!$G$6,H394-1,0)))-FIND("]",CELL("adresse",OFFSET('DM01-AV-CH'!$G$6,H394-1,0)))),"Modell"))</f>
        <v/>
      </c>
      <c r="AG394" s="72" t="str" cm="1">
        <f t="array" ref="AG394">IF($H394=0,"",IF(INDEX('DM01-AV-CH'!G$6:G$834,$H394)="","",INDEX('DM01-AV-CH'!G$6:G$834,$H394)))</f>
        <v/>
      </c>
      <c r="AH394" s="73" t="str" cm="1">
        <f t="array" ref="AH394">IF($H394=0,"",IF(INDEX('DM01-AV-CH'!H$6:H$834,$H394)="","",INDEX('DM01-AV-CH'!H$6:H$834,$H394)))</f>
        <v/>
      </c>
      <c r="AI394" s="74" t="str" cm="1">
        <f t="array" ref="AI394">IF($H394=0,"",IF(INDEX('DM01-AV-CH'!I$6:I$834,$H394)="","",INDEX('DM01-AV-CH'!I$6:I$834,$H394)))</f>
        <v/>
      </c>
    </row>
    <row r="395" spans="1:35" x14ac:dyDescent="0.25">
      <c r="A395" s="57">
        <v>390</v>
      </c>
      <c r="B395" s="57">
        <f>IF($A395="","",IF(_xlfn.XLOOKUP($A395,Korrelation!$D$4:$D$1197,Korrelation!E$4:E$1197,"-",0)="-",0,MATCH(_xlfn.XLOOKUP($A395,Korrelation!$D$4:$D$1197,Korrelation!E$4:E$1197,"",0),DMAV_Modell!$G$6:$G$677,0)))</f>
        <v>156</v>
      </c>
      <c r="C395" s="57">
        <f>IF($A395="","",IF(_xlfn.XLOOKUP($A395,Korrelation!$D$4:$D$1197,Korrelation!F$4:F$1197,"-",0)="-",0,MATCH(_xlfn.XLOOKUP($A395,Korrelation!$D$4:$D$1197,Korrelation!F$4:F$1197,"",0),DMAV_Modell!$G$6:$G$677,0)))</f>
        <v>0</v>
      </c>
      <c r="D395" s="57">
        <f>IF($A395="","",IF(_xlfn.XLOOKUP($A395,Korrelation!$D$4:$D$1197,Korrelation!G$4:G$1197,"-",0)="-",0,MATCH(_xlfn.XLOOKUP($A395,Korrelation!$D$4:$D$1197,Korrelation!G$4:G$1197,"",0),DMAV_Modell!$G$6:$G$677,0)))</f>
        <v>0</v>
      </c>
      <c r="E395" s="57">
        <f>IF($A395="","",IF(_xlfn.XLOOKUP($A395,Korrelation!$D$4:$D$1197,Korrelation!H$4:H$1197,"-",0)="-",0,MATCH(_xlfn.XLOOKUP($A395,Korrelation!$D$4:$D$1197,Korrelation!H$4:H$1197,"",0),DMAV_Dienste!$F$6:$F$140,0)))</f>
        <v>0</v>
      </c>
      <c r="F395" s="57">
        <f>IF($A395="","",IF(_xlfn.XLOOKUP($A395,Korrelation!$D$4:$D$1197,Korrelation!I$4:I$1197,"-",0)="-",0,MATCH(_xlfn.XLOOKUP($A395,Korrelation!$D$4:$D$1197,Korrelation!I$4:I$1197,"",0),DMAV_Dienste!$F$6:$F$140,0)))</f>
        <v>0</v>
      </c>
      <c r="G395" s="57">
        <f>IF($A395="","",IF(_xlfn.XLOOKUP($A395,Korrelation!$D$4:$D$1197,Korrelation!J$4:J$1197,"-",0)="-",0,MATCH(_xlfn.XLOOKUP($A395,Korrelation!$D$4:$D$1197,Korrelation!J$4:J$1197,"",0),DMAV_Dienste!$F$6:$F$140,0)))</f>
        <v>0</v>
      </c>
      <c r="H395" s="57">
        <f>IF($A395="","",IF(_xlfn.XLOOKUP($A395,Korrelation!$D$4:$D$1197,Korrelation!K$4:K$1197,"-",0)="-",0,MATCH(_xlfn.XLOOKUP($A395,Korrelation!$D$4:$D$1197,Korrelation!K$4:K$1197,"",0),'DM01-AV-CH'!$A$6:$A$834,0)))</f>
        <v>0</v>
      </c>
      <c r="J395" s="54" t="str" cm="1">
        <f t="array" aca="1" ref="J395" ca="1">IF(B395=0,IF(E395=0,"",HYPERLINK("#"&amp;RIGHT(CELL("adresse",OFFSET(DMAV_Dienste!$M$6,E395-1,0)),LEN(CELL("adresse",OFFSET(DMAV_Dienste!$M$6,E395-1,0)))-FIND("]",CELL("adresse",OFFSET(DMAV_Dienste!$M$6,E395-1,0)))),"Dienst")),HYPERLINK("#"&amp;RIGHT(CELL("adresse",OFFSET(DMAV_Modell!$N$6,B395-1,0)),LEN(CELL("adresse",OFFSET(DMAV_Modell!$N$6,B395-1,0)))-FIND("]",CELL("adresse",OFFSET(DMAV_Modell!$N$6,B395-1,0)))),"Modell"))</f>
        <v>Modell</v>
      </c>
      <c r="K395" s="61" t="str" cm="1">
        <f t="array" ref="K395">IF($B395=0,IF($E395=0,"",IF(INDEX(DMAV_Dienste!P$6:P$140,$E395)="","",INDEX(DMAV_Dienste!P$6:P$140,$E395))),IF(INDEX(DMAV_Modell!Q$6:Q$838,$B395)="","",INDEX(DMAV_Modell!Q$6:Q$838,$B395)))</f>
        <v>VIEW</v>
      </c>
      <c r="L395" s="62" t="str" cm="1">
        <f t="array" ref="L395">IF($B395=0,IF($E395=0,"",IF(INDEX(DMAV_Dienste!O$6:O$140,$E395)="","",INDEX(DMAV_Dienste!O$6:O$140,$E395))),IF(INDEX(DMAV_Modell!P$6:P$838,$B395)="","",INDEX(DMAV_Modell!P$6:P$838,$B395)))</f>
        <v>HoheitsgrenzenAV</v>
      </c>
      <c r="M395" s="62" t="str" cm="1">
        <f t="array" ref="M395">IF($B395=0,IF($E395=0,"",IF(INDEX(DMAV_Dienste!Q$6:Q$140,$E395)="","",INDEX(DMAV_Dienste!Q$6:Q$140,$E395))),IF(INDEX(DMAV_Modell!R$6:R$838,$B395)="","",INDEX(DMAV_Modell!R$6:R$838,$B395)))</f>
        <v>Gemeindegrenze_Gueltig</v>
      </c>
      <c r="N395" s="62" t="str" cm="1">
        <f t="array" ref="N395">IF($B395=0,IF($E395=0,"",IF(INDEX(DMAV_Dienste!T$6:T$140,$E395)="","",INDEX(DMAV_Dienste!T$6:T$140,$E395))),IF(INDEX(DMAV_Modell!U$6:U$838,$B395)="","",INDEX(DMAV_Modell!U$6:U$838,$B395)))</f>
        <v>= ALL OF</v>
      </c>
      <c r="O395" s="63" t="str" cm="1">
        <f t="array" aca="1" ref="O395" ca="1">IF(C395=0,IF(F395=0,"",HYPERLINK("#"&amp;RIGHT(CELL("adresse",OFFSET(DMAV_Dienste!$M$6,F395-1,0)),LEN(CELL("adresse",OFFSET(DMAV_Dienste!$M$6,F395-1,0)))-FIND("]",CELL("adresse",OFFSET(DMAV_Dienste!$M$6,F395-1,0)))),"Structure")),HYPERLINK("#"&amp;RIGHT(CELL("adresse",OFFSET(DMAV_Modell!$N$6,C395-1,0)),LEN(CELL("adresse",OFFSET(DMAV_Modell!$N$6,C395-1,0)))-FIND("]",CELL("adresse",OFFSET(DMAV_Modell!$N$6,C395-1,0)))),"Structure"))</f>
        <v/>
      </c>
      <c r="P395" s="64" t="str" cm="1">
        <f t="array" aca="1" ref="P395" ca="1">IF(D395=0,IF(G395=0,"",HYPERLINK("#"&amp;RIGHT(CELL("adresse",OFFSET(DMAV_Dienste!$M$6,G395-1,0)),LEN(CELL("adresse",OFFSET(DMAV_Dienste!$M$6,G395-1,0)))-FIND("]",CELL("adresse",OFFSET(DMAV_Dienste!$M$6,G395-1,0)))),"Substructure")),HYPERLINK("#"&amp;RIGHT(CELL("adresse",OFFSET(DMAV_Modell!$N$6,D395-1,0)),LEN(CELL("adresse",OFFSET(DMAV_Modell!$N$6,D395-1,0)))-FIND("]",CELL("adresse",OFFSET(DMAV_Modell!$N$6,D395-1,0)))),"Substructure"))</f>
        <v/>
      </c>
      <c r="R395" s="80"/>
      <c r="T395" s="93"/>
      <c r="U395" s="94"/>
      <c r="V395" s="95"/>
      <c r="W395" s="96"/>
      <c r="Y395" s="85"/>
      <c r="Z395" s="86"/>
      <c r="AA395" s="87"/>
      <c r="AB395" s="88"/>
      <c r="AD395" s="77"/>
      <c r="AF395" s="54" t="str" cm="1">
        <f t="array" aca="1" ref="AF395" ca="1">IF(H395=0,"",HYPERLINK("#"&amp;RIGHT(CELL("adresse",OFFSET('DM01-AV-CH'!$G$6,H395-1,0)),LEN(CELL("adresse",OFFSET('DM01-AV-CH'!$G$6,H395-1,0)))-FIND("]",CELL("adresse",OFFSET('DM01-AV-CH'!$G$6,H395-1,0)))),"Modell"))</f>
        <v/>
      </c>
      <c r="AG395" s="72" t="str" cm="1">
        <f t="array" ref="AG395">IF($H395=0,"",IF(INDEX('DM01-AV-CH'!G$6:G$834,$H395)="","",INDEX('DM01-AV-CH'!G$6:G$834,$H395)))</f>
        <v/>
      </c>
      <c r="AH395" s="73" t="str" cm="1">
        <f t="array" ref="AH395">IF($H395=0,"",IF(INDEX('DM01-AV-CH'!H$6:H$834,$H395)="","",INDEX('DM01-AV-CH'!H$6:H$834,$H395)))</f>
        <v/>
      </c>
      <c r="AI395" s="74" t="str" cm="1">
        <f t="array" ref="AI395">IF($H395=0,"",IF(INDEX('DM01-AV-CH'!I$6:I$834,$H395)="","",INDEX('DM01-AV-CH'!I$6:I$834,$H395)))</f>
        <v/>
      </c>
    </row>
    <row r="396" spans="1:35" x14ac:dyDescent="0.25">
      <c r="A396" s="57">
        <v>391</v>
      </c>
      <c r="B396" s="57">
        <f>IF($A396="","",IF(_xlfn.XLOOKUP($A396,Korrelation!$D$4:$D$1197,Korrelation!E$4:E$1197,"-",0)="-",0,MATCH(_xlfn.XLOOKUP($A396,Korrelation!$D$4:$D$1197,Korrelation!E$4:E$1197,"",0),DMAV_Modell!$G$6:$G$677,0)))</f>
        <v>157</v>
      </c>
      <c r="C396" s="57">
        <f>IF($A396="","",IF(_xlfn.XLOOKUP($A396,Korrelation!$D$4:$D$1197,Korrelation!F$4:F$1197,"-",0)="-",0,MATCH(_xlfn.XLOOKUP($A396,Korrelation!$D$4:$D$1197,Korrelation!F$4:F$1197,"",0),DMAV_Modell!$G$6:$G$677,0)))</f>
        <v>0</v>
      </c>
      <c r="D396" s="57">
        <f>IF($A396="","",IF(_xlfn.XLOOKUP($A396,Korrelation!$D$4:$D$1197,Korrelation!G$4:G$1197,"-",0)="-",0,MATCH(_xlfn.XLOOKUP($A396,Korrelation!$D$4:$D$1197,Korrelation!G$4:G$1197,"",0),DMAV_Modell!$G$6:$G$677,0)))</f>
        <v>0</v>
      </c>
      <c r="E396" s="57">
        <f>IF($A396="","",IF(_xlfn.XLOOKUP($A396,Korrelation!$D$4:$D$1197,Korrelation!H$4:H$1197,"-",0)="-",0,MATCH(_xlfn.XLOOKUP($A396,Korrelation!$D$4:$D$1197,Korrelation!H$4:H$1197,"",0),DMAV_Dienste!$F$6:$F$140,0)))</f>
        <v>0</v>
      </c>
      <c r="F396" s="57">
        <f>IF($A396="","",IF(_xlfn.XLOOKUP($A396,Korrelation!$D$4:$D$1197,Korrelation!I$4:I$1197,"-",0)="-",0,MATCH(_xlfn.XLOOKUP($A396,Korrelation!$D$4:$D$1197,Korrelation!I$4:I$1197,"",0),DMAV_Dienste!$F$6:$F$140,0)))</f>
        <v>0</v>
      </c>
      <c r="G396" s="57">
        <f>IF($A396="","",IF(_xlfn.XLOOKUP($A396,Korrelation!$D$4:$D$1197,Korrelation!J$4:J$1197,"-",0)="-",0,MATCH(_xlfn.XLOOKUP($A396,Korrelation!$D$4:$D$1197,Korrelation!J$4:J$1197,"",0),DMAV_Dienste!$F$6:$F$140,0)))</f>
        <v>0</v>
      </c>
      <c r="H396" s="57">
        <f>IF($A396="","",IF(_xlfn.XLOOKUP($A396,Korrelation!$D$4:$D$1197,Korrelation!K$4:K$1197,"-",0)="-",0,MATCH(_xlfn.XLOOKUP($A396,Korrelation!$D$4:$D$1197,Korrelation!K$4:K$1197,"",0),'DM01-AV-CH'!$A$6:$A$834,0)))</f>
        <v>0</v>
      </c>
      <c r="J396" s="54" t="str" cm="1">
        <f t="array" aca="1" ref="J396" ca="1">IF(B396=0,IF(E396=0,"",HYPERLINK("#"&amp;RIGHT(CELL("adresse",OFFSET(DMAV_Dienste!$M$6,E396-1,0)),LEN(CELL("adresse",OFFSET(DMAV_Dienste!$M$6,E396-1,0)))-FIND("]",CELL("adresse",OFFSET(DMAV_Dienste!$M$6,E396-1,0)))),"Dienst")),HYPERLINK("#"&amp;RIGHT(CELL("adresse",OFFSET(DMAV_Modell!$N$6,B396-1,0)),LEN(CELL("adresse",OFFSET(DMAV_Modell!$N$6,B396-1,0)))-FIND("]",CELL("adresse",OFFSET(DMAV_Modell!$N$6,B396-1,0)))),"Modell"))</f>
        <v>Modell</v>
      </c>
      <c r="K396" s="61" t="str" cm="1">
        <f t="array" ref="K396">IF($B396=0,IF($E396=0,"",IF(INDEX(DMAV_Dienste!P$6:P$140,$E396)="","",INDEX(DMAV_Dienste!P$6:P$140,$E396))),IF(INDEX(DMAV_Modell!Q$6:Q$838,$B396)="","",INDEX(DMAV_Modell!Q$6:Q$838,$B396)))</f>
        <v>VIEW.CONSTRAINT</v>
      </c>
      <c r="L396" s="62" t="str" cm="1">
        <f t="array" ref="L396">IF($B396=0,IF($E396=0,"",IF(INDEX(DMAV_Dienste!O$6:O$140,$E396)="","",INDEX(DMAV_Dienste!O$6:O$140,$E396))),IF(INDEX(DMAV_Modell!P$6:P$838,$B396)="","",INDEX(DMAV_Modell!P$6:P$838,$B396)))</f>
        <v>HoheitsgrenzenAV</v>
      </c>
      <c r="M396" s="62" t="str" cm="1">
        <f t="array" ref="M396">IF($B396=0,IF($E396=0,"",IF(INDEX(DMAV_Dienste!Q$6:Q$140,$E396)="","",INDEX(DMAV_Dienste!Q$6:Q$140,$E396))),IF(INDEX(DMAV_Modell!R$6:R$838,$B396)="","",INDEX(DMAV_Modell!R$6:R$838,$B396)))</f>
        <v>Gemeindegrenze_Gueltig</v>
      </c>
      <c r="N396" s="62" t="str" cm="1">
        <f t="array" ref="N396">IF($B396=0,IF($E396=0,"",IF(INDEX(DMAV_Dienste!T$6:T$140,$E396)="","",INDEX(DMAV_Dienste!T$6:T$140,$E396))),IF(INDEX(DMAV_Modell!U$6:U$838,$B396)="","",INDEX(DMAV_Modell!U$6:U$838,$B396)))</f>
        <v>Constraint:_x000D_
INTERLIS.areAreas(@PH1@)</v>
      </c>
      <c r="O396" s="63" t="str" cm="1">
        <f t="array" aca="1" ref="O396" ca="1">IF(C396=0,IF(F396=0,"",HYPERLINK("#"&amp;RIGHT(CELL("adresse",OFFSET(DMAV_Dienste!$M$6,F396-1,0)),LEN(CELL("adresse",OFFSET(DMAV_Dienste!$M$6,F396-1,0)))-FIND("]",CELL("adresse",OFFSET(DMAV_Dienste!$M$6,F396-1,0)))),"Structure")),HYPERLINK("#"&amp;RIGHT(CELL("adresse",OFFSET(DMAV_Modell!$N$6,C396-1,0)),LEN(CELL("adresse",OFFSET(DMAV_Modell!$N$6,C396-1,0)))-FIND("]",CELL("adresse",OFFSET(DMAV_Modell!$N$6,C396-1,0)))),"Structure"))</f>
        <v/>
      </c>
      <c r="P396" s="64" t="str" cm="1">
        <f t="array" aca="1" ref="P396" ca="1">IF(D396=0,IF(G396=0,"",HYPERLINK("#"&amp;RIGHT(CELL("adresse",OFFSET(DMAV_Dienste!$M$6,G396-1,0)),LEN(CELL("adresse",OFFSET(DMAV_Dienste!$M$6,G396-1,0)))-FIND("]",CELL("adresse",OFFSET(DMAV_Dienste!$M$6,G396-1,0)))),"Substructure")),HYPERLINK("#"&amp;RIGHT(CELL("adresse",OFFSET(DMAV_Modell!$N$6,D396-1,0)),LEN(CELL("adresse",OFFSET(DMAV_Modell!$N$6,D396-1,0)))-FIND("]",CELL("adresse",OFFSET(DMAV_Modell!$N$6,D396-1,0)))),"Substructure"))</f>
        <v/>
      </c>
      <c r="R396" s="80"/>
      <c r="T396" s="93"/>
      <c r="U396" s="94"/>
      <c r="V396" s="95"/>
      <c r="W396" s="96"/>
      <c r="Y396" s="85"/>
      <c r="Z396" s="86"/>
      <c r="AA396" s="87"/>
      <c r="AB396" s="88"/>
      <c r="AD396" s="77"/>
      <c r="AF396" s="54" t="str" cm="1">
        <f t="array" aca="1" ref="AF396" ca="1">IF(H396=0,"",HYPERLINK("#"&amp;RIGHT(CELL("adresse",OFFSET('DM01-AV-CH'!$G$6,H396-1,0)),LEN(CELL("adresse",OFFSET('DM01-AV-CH'!$G$6,H396-1,0)))-FIND("]",CELL("adresse",OFFSET('DM01-AV-CH'!$G$6,H396-1,0)))),"Modell"))</f>
        <v/>
      </c>
      <c r="AG396" s="72" t="str" cm="1">
        <f t="array" ref="AG396">IF($H396=0,"",IF(INDEX('DM01-AV-CH'!G$6:G$834,$H396)="","",INDEX('DM01-AV-CH'!G$6:G$834,$H396)))</f>
        <v/>
      </c>
      <c r="AH396" s="73" t="str" cm="1">
        <f t="array" ref="AH396">IF($H396=0,"",IF(INDEX('DM01-AV-CH'!H$6:H$834,$H396)="","",INDEX('DM01-AV-CH'!H$6:H$834,$H396)))</f>
        <v/>
      </c>
      <c r="AI396" s="74" t="str" cm="1">
        <f t="array" ref="AI396">IF($H396=0,"",IF(INDEX('DM01-AV-CH'!I$6:I$834,$H396)="","",INDEX('DM01-AV-CH'!I$6:I$834,$H396)))</f>
        <v/>
      </c>
    </row>
    <row r="397" spans="1:35" x14ac:dyDescent="0.25">
      <c r="A397" s="57">
        <v>392</v>
      </c>
      <c r="B397" s="57">
        <f>IF($A397="","",IF(_xlfn.XLOOKUP($A397,Korrelation!$D$4:$D$1197,Korrelation!E$4:E$1197,"-",0)="-",0,MATCH(_xlfn.XLOOKUP($A397,Korrelation!$D$4:$D$1197,Korrelation!E$4:E$1197,"",0),DMAV_Modell!$G$6:$G$677,0)))</f>
        <v>158</v>
      </c>
      <c r="C397" s="57">
        <f>IF($A397="","",IF(_xlfn.XLOOKUP($A397,Korrelation!$D$4:$D$1197,Korrelation!F$4:F$1197,"-",0)="-",0,MATCH(_xlfn.XLOOKUP($A397,Korrelation!$D$4:$D$1197,Korrelation!F$4:F$1197,"",0),DMAV_Modell!$G$6:$G$677,0)))</f>
        <v>0</v>
      </c>
      <c r="D397" s="57">
        <f>IF($A397="","",IF(_xlfn.XLOOKUP($A397,Korrelation!$D$4:$D$1197,Korrelation!G$4:G$1197,"-",0)="-",0,MATCH(_xlfn.XLOOKUP($A397,Korrelation!$D$4:$D$1197,Korrelation!G$4:G$1197,"",0),DMAV_Modell!$G$6:$G$677,0)))</f>
        <v>0</v>
      </c>
      <c r="E397" s="57">
        <f>IF($A397="","",IF(_xlfn.XLOOKUP($A397,Korrelation!$D$4:$D$1197,Korrelation!H$4:H$1197,"-",0)="-",0,MATCH(_xlfn.XLOOKUP($A397,Korrelation!$D$4:$D$1197,Korrelation!H$4:H$1197,"",0),DMAV_Dienste!$F$6:$F$140,0)))</f>
        <v>0</v>
      </c>
      <c r="F397" s="57">
        <f>IF($A397="","",IF(_xlfn.XLOOKUP($A397,Korrelation!$D$4:$D$1197,Korrelation!I$4:I$1197,"-",0)="-",0,MATCH(_xlfn.XLOOKUP($A397,Korrelation!$D$4:$D$1197,Korrelation!I$4:I$1197,"",0),DMAV_Dienste!$F$6:$F$140,0)))</f>
        <v>0</v>
      </c>
      <c r="G397" s="57">
        <f>IF($A397="","",IF(_xlfn.XLOOKUP($A397,Korrelation!$D$4:$D$1197,Korrelation!J$4:J$1197,"-",0)="-",0,MATCH(_xlfn.XLOOKUP($A397,Korrelation!$D$4:$D$1197,Korrelation!J$4:J$1197,"",0),DMAV_Dienste!$F$6:$F$140,0)))</f>
        <v>0</v>
      </c>
      <c r="H397" s="57">
        <f>IF($A397="","",IF(_xlfn.XLOOKUP($A397,Korrelation!$D$4:$D$1197,Korrelation!K$4:K$1197,"-",0)="-",0,MATCH(_xlfn.XLOOKUP($A397,Korrelation!$D$4:$D$1197,Korrelation!K$4:K$1197,"",0),'DM01-AV-CH'!$A$6:$A$834,0)))</f>
        <v>0</v>
      </c>
      <c r="J397" s="54" t="str" cm="1">
        <f t="array" aca="1" ref="J397" ca="1">IF(B397=0,IF(E397=0,"",HYPERLINK("#"&amp;RIGHT(CELL("adresse",OFFSET(DMAV_Dienste!$M$6,E397-1,0)),LEN(CELL("adresse",OFFSET(DMAV_Dienste!$M$6,E397-1,0)))-FIND("]",CELL("adresse",OFFSET(DMAV_Dienste!$M$6,E397-1,0)))),"Dienst")),HYPERLINK("#"&amp;RIGHT(CELL("adresse",OFFSET(DMAV_Modell!$N$6,B397-1,0)),LEN(CELL("adresse",OFFSET(DMAV_Modell!$N$6,B397-1,0)))-FIND("]",CELL("adresse",OFFSET(DMAV_Modell!$N$6,B397-1,0)))),"Modell"))</f>
        <v>Modell</v>
      </c>
      <c r="K397" s="61" t="str" cm="1">
        <f t="array" ref="K397">IF($B397=0,IF($E397=0,"",IF(INDEX(DMAV_Dienste!P$6:P$140,$E397)="","",INDEX(DMAV_Dienste!P$6:P$140,$E397))),IF(INDEX(DMAV_Modell!Q$6:Q$838,$B397)="","",INDEX(DMAV_Modell!Q$6:Q$838,$B397)))</f>
        <v>ASSOCIATION</v>
      </c>
      <c r="L397" s="62" t="str" cm="1">
        <f t="array" ref="L397">IF($B397=0,IF($E397=0,"",IF(INDEX(DMAV_Dienste!O$6:O$140,$E397)="","",INDEX(DMAV_Dienste!O$6:O$140,$E397))),IF(INDEX(DMAV_Modell!P$6:P$838,$B397)="","",INDEX(DMAV_Modell!P$6:P$838,$B397)))</f>
        <v>HoheitsgrenzenAV</v>
      </c>
      <c r="M397" s="62" t="str" cm="1">
        <f t="array" ref="M397">IF($B397=0,IF($E397=0,"",IF(INDEX(DMAV_Dienste!Q$6:Q$140,$E397)="","",INDEX(DMAV_Dienste!Q$6:Q$140,$E397))),IF(INDEX(DMAV_Modell!R$6:R$838,$B397)="","",INDEX(DMAV_Modell!R$6:R$838,$B397)))</f>
        <v>GemeindeGemeindegrenze</v>
      </c>
      <c r="N397" s="62" t="str" cm="1">
        <f t="array" ref="N397">IF($B397=0,IF($E397=0,"",IF(INDEX(DMAV_Dienste!T$6:T$140,$E397)="","",INDEX(DMAV_Dienste!T$6:T$140,$E397))),IF(INDEX(DMAV_Modell!U$6:U$838,$B397)="","",INDEX(DMAV_Modell!U$6:U$838,$B397)))</f>
        <v>Gemeinde</v>
      </c>
      <c r="O397" s="63" t="str" cm="1">
        <f t="array" aca="1" ref="O397" ca="1">IF(C397=0,IF(F397=0,"",HYPERLINK("#"&amp;RIGHT(CELL("adresse",OFFSET(DMAV_Dienste!$M$6,F397-1,0)),LEN(CELL("adresse",OFFSET(DMAV_Dienste!$M$6,F397-1,0)))-FIND("]",CELL("adresse",OFFSET(DMAV_Dienste!$M$6,F397-1,0)))),"Structure")),HYPERLINK("#"&amp;RIGHT(CELL("adresse",OFFSET(DMAV_Modell!$N$6,C397-1,0)),LEN(CELL("adresse",OFFSET(DMAV_Modell!$N$6,C397-1,0)))-FIND("]",CELL("adresse",OFFSET(DMAV_Modell!$N$6,C397-1,0)))),"Structure"))</f>
        <v/>
      </c>
      <c r="P397" s="64" t="str" cm="1">
        <f t="array" aca="1" ref="P397" ca="1">IF(D397=0,IF(G397=0,"",HYPERLINK("#"&amp;RIGHT(CELL("adresse",OFFSET(DMAV_Dienste!$M$6,G397-1,0)),LEN(CELL("adresse",OFFSET(DMAV_Dienste!$M$6,G397-1,0)))-FIND("]",CELL("adresse",OFFSET(DMAV_Dienste!$M$6,G397-1,0)))),"Substructure")),HYPERLINK("#"&amp;RIGHT(CELL("adresse",OFFSET(DMAV_Modell!$N$6,D397-1,0)),LEN(CELL("adresse",OFFSET(DMAV_Modell!$N$6,D397-1,0)))-FIND("]",CELL("adresse",OFFSET(DMAV_Modell!$N$6,D397-1,0)))),"Substructure"))</f>
        <v/>
      </c>
      <c r="R397" s="80"/>
      <c r="T397" s="93"/>
      <c r="U397" s="94"/>
      <c r="V397" s="95"/>
      <c r="W397" s="96"/>
      <c r="Y397" s="85"/>
      <c r="Z397" s="86"/>
      <c r="AA397" s="87"/>
      <c r="AB397" s="88"/>
      <c r="AD397" s="77"/>
      <c r="AF397" s="54" t="str" cm="1">
        <f t="array" aca="1" ref="AF397" ca="1">IF(H397=0,"",HYPERLINK("#"&amp;RIGHT(CELL("adresse",OFFSET('DM01-AV-CH'!$G$6,H397-1,0)),LEN(CELL("adresse",OFFSET('DM01-AV-CH'!$G$6,H397-1,0)))-FIND("]",CELL("adresse",OFFSET('DM01-AV-CH'!$G$6,H397-1,0)))),"Modell"))</f>
        <v/>
      </c>
      <c r="AG397" s="72" t="str" cm="1">
        <f t="array" ref="AG397">IF($H397=0,"",IF(INDEX('DM01-AV-CH'!G$6:G$834,$H397)="","",INDEX('DM01-AV-CH'!G$6:G$834,$H397)))</f>
        <v/>
      </c>
      <c r="AH397" s="73" t="str" cm="1">
        <f t="array" ref="AH397">IF($H397=0,"",IF(INDEX('DM01-AV-CH'!H$6:H$834,$H397)="","",INDEX('DM01-AV-CH'!H$6:H$834,$H397)))</f>
        <v/>
      </c>
      <c r="AI397" s="74" t="str" cm="1">
        <f t="array" ref="AI397">IF($H397=0,"",IF(INDEX('DM01-AV-CH'!I$6:I$834,$H397)="","",INDEX('DM01-AV-CH'!I$6:I$834,$H397)))</f>
        <v/>
      </c>
    </row>
    <row r="398" spans="1:35" x14ac:dyDescent="0.25">
      <c r="A398" s="57">
        <v>393</v>
      </c>
      <c r="B398" s="57">
        <f>IF($A398="","",IF(_xlfn.XLOOKUP($A398,Korrelation!$D$4:$D$1197,Korrelation!E$4:E$1197,"-",0)="-",0,MATCH(_xlfn.XLOOKUP($A398,Korrelation!$D$4:$D$1197,Korrelation!E$4:E$1197,"",0),DMAV_Modell!$G$6:$G$677,0)))</f>
        <v>159</v>
      </c>
      <c r="C398" s="57">
        <f>IF($A398="","",IF(_xlfn.XLOOKUP($A398,Korrelation!$D$4:$D$1197,Korrelation!F$4:F$1197,"-",0)="-",0,MATCH(_xlfn.XLOOKUP($A398,Korrelation!$D$4:$D$1197,Korrelation!F$4:F$1197,"",0),DMAV_Modell!$G$6:$G$677,0)))</f>
        <v>0</v>
      </c>
      <c r="D398" s="57">
        <f>IF($A398="","",IF(_xlfn.XLOOKUP($A398,Korrelation!$D$4:$D$1197,Korrelation!G$4:G$1197,"-",0)="-",0,MATCH(_xlfn.XLOOKUP($A398,Korrelation!$D$4:$D$1197,Korrelation!G$4:G$1197,"",0),DMAV_Modell!$G$6:$G$677,0)))</f>
        <v>0</v>
      </c>
      <c r="E398" s="57">
        <f>IF($A398="","",IF(_xlfn.XLOOKUP($A398,Korrelation!$D$4:$D$1197,Korrelation!H$4:H$1197,"-",0)="-",0,MATCH(_xlfn.XLOOKUP($A398,Korrelation!$D$4:$D$1197,Korrelation!H$4:H$1197,"",0),DMAV_Dienste!$F$6:$F$140,0)))</f>
        <v>0</v>
      </c>
      <c r="F398" s="57">
        <f>IF($A398="","",IF(_xlfn.XLOOKUP($A398,Korrelation!$D$4:$D$1197,Korrelation!I$4:I$1197,"-",0)="-",0,MATCH(_xlfn.XLOOKUP($A398,Korrelation!$D$4:$D$1197,Korrelation!I$4:I$1197,"",0),DMAV_Dienste!$F$6:$F$140,0)))</f>
        <v>0</v>
      </c>
      <c r="G398" s="57">
        <f>IF($A398="","",IF(_xlfn.XLOOKUP($A398,Korrelation!$D$4:$D$1197,Korrelation!J$4:J$1197,"-",0)="-",0,MATCH(_xlfn.XLOOKUP($A398,Korrelation!$D$4:$D$1197,Korrelation!J$4:J$1197,"",0),DMAV_Dienste!$F$6:$F$140,0)))</f>
        <v>0</v>
      </c>
      <c r="H398" s="57">
        <f>IF($A398="","",IF(_xlfn.XLOOKUP($A398,Korrelation!$D$4:$D$1197,Korrelation!K$4:K$1197,"-",0)="-",0,MATCH(_xlfn.XLOOKUP($A398,Korrelation!$D$4:$D$1197,Korrelation!K$4:K$1197,"",0),'DM01-AV-CH'!$A$6:$A$834,0)))</f>
        <v>0</v>
      </c>
      <c r="J398" s="54" t="str" cm="1">
        <f t="array" aca="1" ref="J398" ca="1">IF(B398=0,IF(E398=0,"",HYPERLINK("#"&amp;RIGHT(CELL("adresse",OFFSET(DMAV_Dienste!$M$6,E398-1,0)),LEN(CELL("adresse",OFFSET(DMAV_Dienste!$M$6,E398-1,0)))-FIND("]",CELL("adresse",OFFSET(DMAV_Dienste!$M$6,E398-1,0)))),"Dienst")),HYPERLINK("#"&amp;RIGHT(CELL("adresse",OFFSET(DMAV_Modell!$N$6,B398-1,0)),LEN(CELL("adresse",OFFSET(DMAV_Modell!$N$6,B398-1,0)))-FIND("]",CELL("adresse",OFFSET(DMAV_Modell!$N$6,B398-1,0)))),"Modell"))</f>
        <v>Modell</v>
      </c>
      <c r="K398" s="61" t="str" cm="1">
        <f t="array" ref="K398">IF($B398=0,IF($E398=0,"",IF(INDEX(DMAV_Dienste!P$6:P$140,$E398)="","",INDEX(DMAV_Dienste!P$6:P$140,$E398))),IF(INDEX(DMAV_Modell!Q$6:Q$838,$B398)="","",INDEX(DMAV_Modell!Q$6:Q$838,$B398)))</f>
        <v>ASSOCIATION</v>
      </c>
      <c r="L398" s="62" t="str" cm="1">
        <f t="array" ref="L398">IF($B398=0,IF($E398=0,"",IF(INDEX(DMAV_Dienste!O$6:O$140,$E398)="","",INDEX(DMAV_Dienste!O$6:O$140,$E398))),IF(INDEX(DMAV_Modell!P$6:P$838,$B398)="","",INDEX(DMAV_Modell!P$6:P$838,$B398)))</f>
        <v>HoheitsgrenzenAV</v>
      </c>
      <c r="M398" s="62" t="str" cm="1">
        <f t="array" ref="M398">IF($B398=0,IF($E398=0,"",IF(INDEX(DMAV_Dienste!Q$6:Q$140,$E398)="","",INDEX(DMAV_Dienste!Q$6:Q$140,$E398))),IF(INDEX(DMAV_Modell!R$6:R$838,$B398)="","",INDEX(DMAV_Modell!R$6:R$838,$B398)))</f>
        <v>GemeindeGemeindegrenze</v>
      </c>
      <c r="N398" s="62" t="str" cm="1">
        <f t="array" ref="N398">IF($B398=0,IF($E398=0,"",IF(INDEX(DMAV_Dienste!T$6:T$140,$E398)="","",INDEX(DMAV_Dienste!T$6:T$140,$E398))),IF(INDEX(DMAV_Modell!U$6:U$838,$B398)="","",INDEX(DMAV_Modell!U$6:U$838,$B398)))</f>
        <v>Gemeindegrenze</v>
      </c>
      <c r="O398" s="63" t="str" cm="1">
        <f t="array" aca="1" ref="O398" ca="1">IF(C398=0,IF(F398=0,"",HYPERLINK("#"&amp;RIGHT(CELL("adresse",OFFSET(DMAV_Dienste!$M$6,F398-1,0)),LEN(CELL("adresse",OFFSET(DMAV_Dienste!$M$6,F398-1,0)))-FIND("]",CELL("adresse",OFFSET(DMAV_Dienste!$M$6,F398-1,0)))),"Structure")),HYPERLINK("#"&amp;RIGHT(CELL("adresse",OFFSET(DMAV_Modell!$N$6,C398-1,0)),LEN(CELL("adresse",OFFSET(DMAV_Modell!$N$6,C398-1,0)))-FIND("]",CELL("adresse",OFFSET(DMAV_Modell!$N$6,C398-1,0)))),"Structure"))</f>
        <v/>
      </c>
      <c r="P398" s="64" t="str" cm="1">
        <f t="array" aca="1" ref="P398" ca="1">IF(D398=0,IF(G398=0,"",HYPERLINK("#"&amp;RIGHT(CELL("adresse",OFFSET(DMAV_Dienste!$M$6,G398-1,0)),LEN(CELL("adresse",OFFSET(DMAV_Dienste!$M$6,G398-1,0)))-FIND("]",CELL("adresse",OFFSET(DMAV_Dienste!$M$6,G398-1,0)))),"Substructure")),HYPERLINK("#"&amp;RIGHT(CELL("adresse",OFFSET(DMAV_Modell!$N$6,D398-1,0)),LEN(CELL("adresse",OFFSET(DMAV_Modell!$N$6,D398-1,0)))-FIND("]",CELL("adresse",OFFSET(DMAV_Modell!$N$6,D398-1,0)))),"Substructure"))</f>
        <v/>
      </c>
      <c r="R398" s="80"/>
      <c r="T398" s="93"/>
      <c r="U398" s="94"/>
      <c r="V398" s="95"/>
      <c r="W398" s="96"/>
      <c r="Y398" s="85"/>
      <c r="Z398" s="86"/>
      <c r="AA398" s="87"/>
      <c r="AB398" s="88"/>
      <c r="AD398" s="77"/>
      <c r="AF398" s="54" t="str" cm="1">
        <f t="array" aca="1" ref="AF398" ca="1">IF(H398=0,"",HYPERLINK("#"&amp;RIGHT(CELL("adresse",OFFSET('DM01-AV-CH'!$G$6,H398-1,0)),LEN(CELL("adresse",OFFSET('DM01-AV-CH'!$G$6,H398-1,0)))-FIND("]",CELL("adresse",OFFSET('DM01-AV-CH'!$G$6,H398-1,0)))),"Modell"))</f>
        <v/>
      </c>
      <c r="AG398" s="72" t="str" cm="1">
        <f t="array" ref="AG398">IF($H398=0,"",IF(INDEX('DM01-AV-CH'!G$6:G$834,$H398)="","",INDEX('DM01-AV-CH'!G$6:G$834,$H398)))</f>
        <v/>
      </c>
      <c r="AH398" s="73" t="str" cm="1">
        <f t="array" ref="AH398">IF($H398=0,"",IF(INDEX('DM01-AV-CH'!H$6:H$834,$H398)="","",INDEX('DM01-AV-CH'!H$6:H$834,$H398)))</f>
        <v/>
      </c>
      <c r="AI398" s="74" t="str" cm="1">
        <f t="array" ref="AI398">IF($H398=0,"",IF(INDEX('DM01-AV-CH'!I$6:I$834,$H398)="","",INDEX('DM01-AV-CH'!I$6:I$834,$H398)))</f>
        <v/>
      </c>
    </row>
    <row r="399" spans="1:35" x14ac:dyDescent="0.25">
      <c r="A399" s="57">
        <v>394</v>
      </c>
      <c r="B399" s="57">
        <f>IF($A399="","",IF(_xlfn.XLOOKUP($A399,Korrelation!$D$4:$D$1197,Korrelation!E$4:E$1197,"-",0)="-",0,MATCH(_xlfn.XLOOKUP($A399,Korrelation!$D$4:$D$1197,Korrelation!E$4:E$1197,"",0),DMAV_Modell!$G$6:$G$677,0)))</f>
        <v>160</v>
      </c>
      <c r="C399" s="57">
        <f>IF($A399="","",IF(_xlfn.XLOOKUP($A399,Korrelation!$D$4:$D$1197,Korrelation!F$4:F$1197,"-",0)="-",0,MATCH(_xlfn.XLOOKUP($A399,Korrelation!$D$4:$D$1197,Korrelation!F$4:F$1197,"",0),DMAV_Modell!$G$6:$G$677,0)))</f>
        <v>0</v>
      </c>
      <c r="D399" s="57">
        <f>IF($A399="","",IF(_xlfn.XLOOKUP($A399,Korrelation!$D$4:$D$1197,Korrelation!G$4:G$1197,"-",0)="-",0,MATCH(_xlfn.XLOOKUP($A399,Korrelation!$D$4:$D$1197,Korrelation!G$4:G$1197,"",0),DMAV_Modell!$G$6:$G$677,0)))</f>
        <v>0</v>
      </c>
      <c r="E399" s="57">
        <f>IF($A399="","",IF(_xlfn.XLOOKUP($A399,Korrelation!$D$4:$D$1197,Korrelation!H$4:H$1197,"-",0)="-",0,MATCH(_xlfn.XLOOKUP($A399,Korrelation!$D$4:$D$1197,Korrelation!H$4:H$1197,"",0),DMAV_Dienste!$F$6:$F$140,0)))</f>
        <v>0</v>
      </c>
      <c r="F399" s="57">
        <f>IF($A399="","",IF(_xlfn.XLOOKUP($A399,Korrelation!$D$4:$D$1197,Korrelation!I$4:I$1197,"-",0)="-",0,MATCH(_xlfn.XLOOKUP($A399,Korrelation!$D$4:$D$1197,Korrelation!I$4:I$1197,"",0),DMAV_Dienste!$F$6:$F$140,0)))</f>
        <v>0</v>
      </c>
      <c r="G399" s="57">
        <f>IF($A399="","",IF(_xlfn.XLOOKUP($A399,Korrelation!$D$4:$D$1197,Korrelation!J$4:J$1197,"-",0)="-",0,MATCH(_xlfn.XLOOKUP($A399,Korrelation!$D$4:$D$1197,Korrelation!J$4:J$1197,"",0),DMAV_Dienste!$F$6:$F$140,0)))</f>
        <v>0</v>
      </c>
      <c r="H399" s="57">
        <f>IF($A399="","",IF(_xlfn.XLOOKUP($A399,Korrelation!$D$4:$D$1197,Korrelation!K$4:K$1197,"-",0)="-",0,MATCH(_xlfn.XLOOKUP($A399,Korrelation!$D$4:$D$1197,Korrelation!K$4:K$1197,"",0),'DM01-AV-CH'!$A$6:$A$834,0)))</f>
        <v>0</v>
      </c>
      <c r="J399" s="54" t="str" cm="1">
        <f t="array" aca="1" ref="J399" ca="1">IF(B399=0,IF(E399=0,"",HYPERLINK("#"&amp;RIGHT(CELL("adresse",OFFSET(DMAV_Dienste!$M$6,E399-1,0)),LEN(CELL("adresse",OFFSET(DMAV_Dienste!$M$6,E399-1,0)))-FIND("]",CELL("adresse",OFFSET(DMAV_Dienste!$M$6,E399-1,0)))),"Dienst")),HYPERLINK("#"&amp;RIGHT(CELL("adresse",OFFSET(DMAV_Modell!$N$6,B399-1,0)),LEN(CELL("adresse",OFFSET(DMAV_Modell!$N$6,B399-1,0)))-FIND("]",CELL("adresse",OFFSET(DMAV_Modell!$N$6,B399-1,0)))),"Modell"))</f>
        <v>Modell</v>
      </c>
      <c r="K399" s="61" t="str" cm="1">
        <f t="array" ref="K399">IF($B399=0,IF($E399=0,"",IF(INDEX(DMAV_Dienste!P$6:P$140,$E399)="","",INDEX(DMAV_Dienste!P$6:P$140,$E399))),IF(INDEX(DMAV_Modell!Q$6:Q$838,$B399)="","",INDEX(DMAV_Modell!Q$6:Q$838,$B399)))</f>
        <v>ASSOCIATION.CONSTRAINT</v>
      </c>
      <c r="L399" s="62" t="str" cm="1">
        <f t="array" ref="L399">IF($B399=0,IF($E399=0,"",IF(INDEX(DMAV_Dienste!O$6:O$140,$E399)="","",INDEX(DMAV_Dienste!O$6:O$140,$E399))),IF(INDEX(DMAV_Modell!P$6:P$838,$B399)="","",INDEX(DMAV_Modell!P$6:P$838,$B399)))</f>
        <v>HoheitsgrenzenAV</v>
      </c>
      <c r="M399" s="62" t="str" cm="1">
        <f t="array" ref="M399">IF($B399=0,IF($E399=0,"",IF(INDEX(DMAV_Dienste!Q$6:Q$140,$E399)="","",INDEX(DMAV_Dienste!Q$6:Q$140,$E399))),IF(INDEX(DMAV_Modell!R$6:R$838,$B399)="","",INDEX(DMAV_Modell!R$6:R$838,$B399)))</f>
        <v>GemeindeGemeindegrenze</v>
      </c>
      <c r="N399" s="62" t="str" cm="1">
        <f t="array" ref="N399">IF($B399=0,IF($E399=0,"",IF(INDEX(DMAV_Dienste!T$6:T$140,$E399)="","",INDEX(DMAV_Dienste!T$6:T$140,$E399))),IF(INDEX(DMAV_Modell!U$6:U$838,$B399)="","",INDEX(DMAV_Modell!U$6:U$838,$B399)))</f>
        <v>@PH1@ == @PH2@</v>
      </c>
      <c r="O399" s="63" t="str" cm="1">
        <f t="array" aca="1" ref="O399" ca="1">IF(C399=0,IF(F399=0,"",HYPERLINK("#"&amp;RIGHT(CELL("adresse",OFFSET(DMAV_Dienste!$M$6,F399-1,0)),LEN(CELL("adresse",OFFSET(DMAV_Dienste!$M$6,F399-1,0)))-FIND("]",CELL("adresse",OFFSET(DMAV_Dienste!$M$6,F399-1,0)))),"Structure")),HYPERLINK("#"&amp;RIGHT(CELL("adresse",OFFSET(DMAV_Modell!$N$6,C399-1,0)),LEN(CELL("adresse",OFFSET(DMAV_Modell!$N$6,C399-1,0)))-FIND("]",CELL("adresse",OFFSET(DMAV_Modell!$N$6,C399-1,0)))),"Structure"))</f>
        <v/>
      </c>
      <c r="P399" s="64" t="str" cm="1">
        <f t="array" aca="1" ref="P399" ca="1">IF(D399=0,IF(G399=0,"",HYPERLINK("#"&amp;RIGHT(CELL("adresse",OFFSET(DMAV_Dienste!$M$6,G399-1,0)),LEN(CELL("adresse",OFFSET(DMAV_Dienste!$M$6,G399-1,0)))-FIND("]",CELL("adresse",OFFSET(DMAV_Dienste!$M$6,G399-1,0)))),"Substructure")),HYPERLINK("#"&amp;RIGHT(CELL("adresse",OFFSET(DMAV_Modell!$N$6,D399-1,0)),LEN(CELL("adresse",OFFSET(DMAV_Modell!$N$6,D399-1,0)))-FIND("]",CELL("adresse",OFFSET(DMAV_Modell!$N$6,D399-1,0)))),"Substructure"))</f>
        <v/>
      </c>
      <c r="R399" s="80"/>
      <c r="T399" s="93"/>
      <c r="U399" s="94"/>
      <c r="V399" s="95"/>
      <c r="W399" s="96"/>
      <c r="Y399" s="85"/>
      <c r="Z399" s="86"/>
      <c r="AA399" s="87"/>
      <c r="AB399" s="88"/>
      <c r="AD399" s="77"/>
      <c r="AF399" s="54" t="str" cm="1">
        <f t="array" aca="1" ref="AF399" ca="1">IF(H399=0,"",HYPERLINK("#"&amp;RIGHT(CELL("adresse",OFFSET('DM01-AV-CH'!$G$6,H399-1,0)),LEN(CELL("adresse",OFFSET('DM01-AV-CH'!$G$6,H399-1,0)))-FIND("]",CELL("adresse",OFFSET('DM01-AV-CH'!$G$6,H399-1,0)))),"Modell"))</f>
        <v/>
      </c>
      <c r="AG399" s="72" t="str" cm="1">
        <f t="array" ref="AG399">IF($H399=0,"",IF(INDEX('DM01-AV-CH'!G$6:G$834,$H399)="","",INDEX('DM01-AV-CH'!G$6:G$834,$H399)))</f>
        <v/>
      </c>
      <c r="AH399" s="73" t="str" cm="1">
        <f t="array" ref="AH399">IF($H399=0,"",IF(INDEX('DM01-AV-CH'!H$6:H$834,$H399)="","",INDEX('DM01-AV-CH'!H$6:H$834,$H399)))</f>
        <v/>
      </c>
      <c r="AI399" s="74" t="str" cm="1">
        <f t="array" ref="AI399">IF($H399=0,"",IF(INDEX('DM01-AV-CH'!I$6:I$834,$H399)="","",INDEX('DM01-AV-CH'!I$6:I$834,$H399)))</f>
        <v/>
      </c>
    </row>
    <row r="400" spans="1:35" x14ac:dyDescent="0.25">
      <c r="A400" s="57">
        <v>395</v>
      </c>
      <c r="B400" s="57">
        <f>IF($A400="","",IF(_xlfn.XLOOKUP($A400,Korrelation!$D$4:$D$1197,Korrelation!E$4:E$1197,"-",0)="-",0,MATCH(_xlfn.XLOOKUP($A400,Korrelation!$D$4:$D$1197,Korrelation!E$4:E$1197,"",0),DMAV_Modell!$G$6:$G$677,0)))</f>
        <v>0</v>
      </c>
      <c r="C400" s="57">
        <f>IF($A400="","",IF(_xlfn.XLOOKUP($A400,Korrelation!$D$4:$D$1197,Korrelation!F$4:F$1197,"-",0)="-",0,MATCH(_xlfn.XLOOKUP($A400,Korrelation!$D$4:$D$1197,Korrelation!F$4:F$1197,"",0),DMAV_Modell!$G$6:$G$677,0)))</f>
        <v>0</v>
      </c>
      <c r="D400" s="57">
        <f>IF($A400="","",IF(_xlfn.XLOOKUP($A400,Korrelation!$D$4:$D$1197,Korrelation!G$4:G$1197,"-",0)="-",0,MATCH(_xlfn.XLOOKUP($A400,Korrelation!$D$4:$D$1197,Korrelation!G$4:G$1197,"",0),DMAV_Modell!$G$6:$G$677,0)))</f>
        <v>0</v>
      </c>
      <c r="E400" s="57">
        <f>IF($A400="","",IF(_xlfn.XLOOKUP($A400,Korrelation!$D$4:$D$1197,Korrelation!H$4:H$1197,"-",0)="-",0,MATCH(_xlfn.XLOOKUP($A400,Korrelation!$D$4:$D$1197,Korrelation!H$4:H$1197,"",0),DMAV_Dienste!$F$6:$F$140,0)))</f>
        <v>0</v>
      </c>
      <c r="F400" s="57">
        <f>IF($A400="","",IF(_xlfn.XLOOKUP($A400,Korrelation!$D$4:$D$1197,Korrelation!I$4:I$1197,"-",0)="-",0,MATCH(_xlfn.XLOOKUP($A400,Korrelation!$D$4:$D$1197,Korrelation!I$4:I$1197,"",0),DMAV_Dienste!$F$6:$F$140,0)))</f>
        <v>0</v>
      </c>
      <c r="G400" s="57">
        <f>IF($A400="","",IF(_xlfn.XLOOKUP($A400,Korrelation!$D$4:$D$1197,Korrelation!J$4:J$1197,"-",0)="-",0,MATCH(_xlfn.XLOOKUP($A400,Korrelation!$D$4:$D$1197,Korrelation!J$4:J$1197,"",0),DMAV_Dienste!$F$6:$F$140,0)))</f>
        <v>0</v>
      </c>
      <c r="H400" s="57">
        <f>IF($A400="","",IF(_xlfn.XLOOKUP($A400,Korrelation!$D$4:$D$1197,Korrelation!K$4:K$1197,"-",0)="-",0,MATCH(_xlfn.XLOOKUP($A400,Korrelation!$D$4:$D$1197,Korrelation!K$4:K$1197,"",0),'DM01-AV-CH'!$A$6:$A$834,0)))</f>
        <v>613</v>
      </c>
      <c r="J400" s="54" t="str" cm="1">
        <f t="array" aca="1" ref="J400" ca="1">IF(B400=0,IF(E400=0,"",HYPERLINK("#"&amp;RIGHT(CELL("adresse",OFFSET(DMAV_Dienste!$M$6,E400-1,0)),LEN(CELL("adresse",OFFSET(DMAV_Dienste!$M$6,E400-1,0)))-FIND("]",CELL("adresse",OFFSET(DMAV_Dienste!$M$6,E400-1,0)))),"Dienst")),HYPERLINK("#"&amp;RIGHT(CELL("adresse",OFFSET(DMAV_Modell!$N$6,B400-1,0)),LEN(CELL("adresse",OFFSET(DMAV_Modell!$N$6,B400-1,0)))-FIND("]",CELL("adresse",OFFSET(DMAV_Modell!$N$6,B400-1,0)))),"Modell"))</f>
        <v/>
      </c>
      <c r="K400" s="61" t="str" cm="1">
        <f t="array" ref="K400">IF($B400=0,IF($E400=0,"",IF(INDEX(DMAV_Dienste!P$6:P$140,$E400)="","",INDEX(DMAV_Dienste!P$6:P$140,$E400))),IF(INDEX(DMAV_Modell!Q$6:Q$838,$B400)="","",INDEX(DMAV_Modell!Q$6:Q$838,$B400)))</f>
        <v/>
      </c>
      <c r="L400" s="62" t="str" cm="1">
        <f t="array" ref="L400">IF($B400=0,IF($E400=0,"",IF(INDEX(DMAV_Dienste!O$6:O$140,$E400)="","",INDEX(DMAV_Dienste!O$6:O$140,$E400))),IF(INDEX(DMAV_Modell!P$6:P$838,$B400)="","",INDEX(DMAV_Modell!P$6:P$838,$B400)))</f>
        <v/>
      </c>
      <c r="M400" s="62" t="str" cm="1">
        <f t="array" ref="M400">IF($B400=0,IF($E400=0,"",IF(INDEX(DMAV_Dienste!Q$6:Q$140,$E400)="","",INDEX(DMAV_Dienste!Q$6:Q$140,$E400))),IF(INDEX(DMAV_Modell!R$6:R$838,$B400)="","",INDEX(DMAV_Modell!R$6:R$838,$B400)))</f>
        <v/>
      </c>
      <c r="N400" s="62" t="str" cm="1">
        <f t="array" ref="N400">IF($B400=0,IF($E400=0,"",IF(INDEX(DMAV_Dienste!T$6:T$140,$E400)="","",INDEX(DMAV_Dienste!T$6:T$140,$E400))),IF(INDEX(DMAV_Modell!U$6:U$838,$B400)="","",INDEX(DMAV_Modell!U$6:U$838,$B400)))</f>
        <v/>
      </c>
      <c r="O400" s="63" t="str" cm="1">
        <f t="array" aca="1" ref="O400" ca="1">IF(C400=0,IF(F400=0,"",HYPERLINK("#"&amp;RIGHT(CELL("adresse",OFFSET(DMAV_Dienste!$M$6,F400-1,0)),LEN(CELL("adresse",OFFSET(DMAV_Dienste!$M$6,F400-1,0)))-FIND("]",CELL("adresse",OFFSET(DMAV_Dienste!$M$6,F400-1,0)))),"Structure")),HYPERLINK("#"&amp;RIGHT(CELL("adresse",OFFSET(DMAV_Modell!$N$6,C400-1,0)),LEN(CELL("adresse",OFFSET(DMAV_Modell!$N$6,C400-1,0)))-FIND("]",CELL("adresse",OFFSET(DMAV_Modell!$N$6,C400-1,0)))),"Structure"))</f>
        <v/>
      </c>
      <c r="P400" s="64" t="str" cm="1">
        <f t="array" aca="1" ref="P400" ca="1">IF(D400=0,IF(G400=0,"",HYPERLINK("#"&amp;RIGHT(CELL("adresse",OFFSET(DMAV_Dienste!$M$6,G400-1,0)),LEN(CELL("adresse",OFFSET(DMAV_Dienste!$M$6,G400-1,0)))-FIND("]",CELL("adresse",OFFSET(DMAV_Dienste!$M$6,G400-1,0)))),"Substructure")),HYPERLINK("#"&amp;RIGHT(CELL("adresse",OFFSET(DMAV_Modell!$N$6,D400-1,0)),LEN(CELL("adresse",OFFSET(DMAV_Modell!$N$6,D400-1,0)))-FIND("]",CELL("adresse",OFFSET(DMAV_Modell!$N$6,D400-1,0)))),"Substructure"))</f>
        <v/>
      </c>
      <c r="R400" s="80"/>
      <c r="T400" s="93"/>
      <c r="U400" s="94"/>
      <c r="V400" s="95"/>
      <c r="W400" s="96"/>
      <c r="Y400" s="85"/>
      <c r="Z400" s="86"/>
      <c r="AA400" s="87"/>
      <c r="AB400" s="88"/>
      <c r="AD400" s="77"/>
      <c r="AF400" s="54" t="str" cm="1">
        <f t="array" aca="1" ref="AF400" ca="1">IF(H400=0,"",HYPERLINK("#"&amp;RIGHT(CELL("adresse",OFFSET('DM01-AV-CH'!$G$6,H400-1,0)),LEN(CELL("adresse",OFFSET('DM01-AV-CH'!$G$6,H400-1,0)))-FIND("]",CELL("adresse",OFFSET('DM01-AV-CH'!$G$6,H400-1,0)))),"Modell"))</f>
        <v>Modell</v>
      </c>
      <c r="AG400" s="72" t="str" cm="1">
        <f t="array" ref="AG400">IF($H400=0,"",IF(INDEX('DM01-AV-CH'!G$6:G$834,$H400)="","",INDEX('DM01-AV-CH'!G$6:G$834,$H400)))</f>
        <v>Gemeindegrenzen</v>
      </c>
      <c r="AH400" s="73" t="str" cm="1">
        <f t="array" ref="AH400">IF($H400=0,"",IF(INDEX('DM01-AV-CH'!H$6:H$834,$H400)="","",INDEX('DM01-AV-CH'!H$6:H$834,$H400)))</f>
        <v>ProjGemeindegrenze</v>
      </c>
      <c r="AI400" s="74" t="str" cm="1">
        <f t="array" ref="AI400">IF($H400=0,"",IF(INDEX('DM01-AV-CH'!I$6:I$834,$H400)="","",INDEX('DM01-AV-CH'!I$6:I$834,$H400)))</f>
        <v>Entstehung</v>
      </c>
    </row>
    <row r="401" spans="1:35" x14ac:dyDescent="0.25">
      <c r="A401" s="57">
        <v>396</v>
      </c>
      <c r="B401" s="57">
        <f>IF($A401="","",IF(_xlfn.XLOOKUP($A401,Korrelation!$D$4:$D$1197,Korrelation!E$4:E$1197,"-",0)="-",0,MATCH(_xlfn.XLOOKUP($A401,Korrelation!$D$4:$D$1197,Korrelation!E$4:E$1197,"",0),DMAV_Modell!$G$6:$G$677,0)))</f>
        <v>0</v>
      </c>
      <c r="C401" s="57">
        <f>IF($A401="","",IF(_xlfn.XLOOKUP($A401,Korrelation!$D$4:$D$1197,Korrelation!F$4:F$1197,"-",0)="-",0,MATCH(_xlfn.XLOOKUP($A401,Korrelation!$D$4:$D$1197,Korrelation!F$4:F$1197,"",0),DMAV_Modell!$G$6:$G$677,0)))</f>
        <v>0</v>
      </c>
      <c r="D401" s="57">
        <f>IF($A401="","",IF(_xlfn.XLOOKUP($A401,Korrelation!$D$4:$D$1197,Korrelation!G$4:G$1197,"-",0)="-",0,MATCH(_xlfn.XLOOKUP($A401,Korrelation!$D$4:$D$1197,Korrelation!G$4:G$1197,"",0),DMAV_Modell!$G$6:$G$677,0)))</f>
        <v>0</v>
      </c>
      <c r="E401" s="57">
        <f>IF($A401="","",IF(_xlfn.XLOOKUP($A401,Korrelation!$D$4:$D$1197,Korrelation!H$4:H$1197,"-",0)="-",0,MATCH(_xlfn.XLOOKUP($A401,Korrelation!$D$4:$D$1197,Korrelation!H$4:H$1197,"",0),DMAV_Dienste!$F$6:$F$140,0)))</f>
        <v>0</v>
      </c>
      <c r="F401" s="57">
        <f>IF($A401="","",IF(_xlfn.XLOOKUP($A401,Korrelation!$D$4:$D$1197,Korrelation!I$4:I$1197,"-",0)="-",0,MATCH(_xlfn.XLOOKUP($A401,Korrelation!$D$4:$D$1197,Korrelation!I$4:I$1197,"",0),DMAV_Dienste!$F$6:$F$140,0)))</f>
        <v>0</v>
      </c>
      <c r="G401" s="57">
        <f>IF($A401="","",IF(_xlfn.XLOOKUP($A401,Korrelation!$D$4:$D$1197,Korrelation!J$4:J$1197,"-",0)="-",0,MATCH(_xlfn.XLOOKUP($A401,Korrelation!$D$4:$D$1197,Korrelation!J$4:J$1197,"",0),DMAV_Dienste!$F$6:$F$140,0)))</f>
        <v>0</v>
      </c>
      <c r="H401" s="57">
        <f>IF($A401="","",IF(_xlfn.XLOOKUP($A401,Korrelation!$D$4:$D$1197,Korrelation!K$4:K$1197,"-",0)="-",0,MATCH(_xlfn.XLOOKUP($A401,Korrelation!$D$4:$D$1197,Korrelation!K$4:K$1197,"",0),'DM01-AV-CH'!$A$6:$A$834,0)))</f>
        <v>614</v>
      </c>
      <c r="J401" s="54" t="str" cm="1">
        <f t="array" aca="1" ref="J401" ca="1">IF(B401=0,IF(E401=0,"",HYPERLINK("#"&amp;RIGHT(CELL("adresse",OFFSET(DMAV_Dienste!$M$6,E401-1,0)),LEN(CELL("adresse",OFFSET(DMAV_Dienste!$M$6,E401-1,0)))-FIND("]",CELL("adresse",OFFSET(DMAV_Dienste!$M$6,E401-1,0)))),"Dienst")),HYPERLINK("#"&amp;RIGHT(CELL("adresse",OFFSET(DMAV_Modell!$N$6,B401-1,0)),LEN(CELL("adresse",OFFSET(DMAV_Modell!$N$6,B401-1,0)))-FIND("]",CELL("adresse",OFFSET(DMAV_Modell!$N$6,B401-1,0)))),"Modell"))</f>
        <v/>
      </c>
      <c r="K401" s="61" t="str" cm="1">
        <f t="array" ref="K401">IF($B401=0,IF($E401=0,"",IF(INDEX(DMAV_Dienste!P$6:P$140,$E401)="","",INDEX(DMAV_Dienste!P$6:P$140,$E401))),IF(INDEX(DMAV_Modell!Q$6:Q$838,$B401)="","",INDEX(DMAV_Modell!Q$6:Q$838,$B401)))</f>
        <v/>
      </c>
      <c r="L401" s="62" t="str" cm="1">
        <f t="array" ref="L401">IF($B401=0,IF($E401=0,"",IF(INDEX(DMAV_Dienste!O$6:O$140,$E401)="","",INDEX(DMAV_Dienste!O$6:O$140,$E401))),IF(INDEX(DMAV_Modell!P$6:P$838,$B401)="","",INDEX(DMAV_Modell!P$6:P$838,$B401)))</f>
        <v/>
      </c>
      <c r="M401" s="62" t="str" cm="1">
        <f t="array" ref="M401">IF($B401=0,IF($E401=0,"",IF(INDEX(DMAV_Dienste!Q$6:Q$140,$E401)="","",INDEX(DMAV_Dienste!Q$6:Q$140,$E401))),IF(INDEX(DMAV_Modell!R$6:R$838,$B401)="","",INDEX(DMAV_Modell!R$6:R$838,$B401)))</f>
        <v/>
      </c>
      <c r="N401" s="62" t="str" cm="1">
        <f t="array" ref="N401">IF($B401=0,IF($E401=0,"",IF(INDEX(DMAV_Dienste!T$6:T$140,$E401)="","",INDEX(DMAV_Dienste!T$6:T$140,$E401))),IF(INDEX(DMAV_Modell!U$6:U$838,$B401)="","",INDEX(DMAV_Modell!U$6:U$838,$B401)))</f>
        <v/>
      </c>
      <c r="O401" s="63" t="str" cm="1">
        <f t="array" aca="1" ref="O401" ca="1">IF(C401=0,IF(F401=0,"",HYPERLINK("#"&amp;RIGHT(CELL("adresse",OFFSET(DMAV_Dienste!$M$6,F401-1,0)),LEN(CELL("adresse",OFFSET(DMAV_Dienste!$M$6,F401-1,0)))-FIND("]",CELL("adresse",OFFSET(DMAV_Dienste!$M$6,F401-1,0)))),"Structure")),HYPERLINK("#"&amp;RIGHT(CELL("adresse",OFFSET(DMAV_Modell!$N$6,C401-1,0)),LEN(CELL("adresse",OFFSET(DMAV_Modell!$N$6,C401-1,0)))-FIND("]",CELL("adresse",OFFSET(DMAV_Modell!$N$6,C401-1,0)))),"Structure"))</f>
        <v/>
      </c>
      <c r="P401" s="64" t="str" cm="1">
        <f t="array" aca="1" ref="P401" ca="1">IF(D401=0,IF(G401=0,"",HYPERLINK("#"&amp;RIGHT(CELL("adresse",OFFSET(DMAV_Dienste!$M$6,G401-1,0)),LEN(CELL("adresse",OFFSET(DMAV_Dienste!$M$6,G401-1,0)))-FIND("]",CELL("adresse",OFFSET(DMAV_Dienste!$M$6,G401-1,0)))),"Substructure")),HYPERLINK("#"&amp;RIGHT(CELL("adresse",OFFSET(DMAV_Modell!$N$6,D401-1,0)),LEN(CELL("adresse",OFFSET(DMAV_Modell!$N$6,D401-1,0)))-FIND("]",CELL("adresse",OFFSET(DMAV_Modell!$N$6,D401-1,0)))),"Substructure"))</f>
        <v/>
      </c>
      <c r="R401" s="80"/>
      <c r="T401" s="93"/>
      <c r="U401" s="94"/>
      <c r="V401" s="95"/>
      <c r="W401" s="96"/>
      <c r="Y401" s="85"/>
      <c r="Z401" s="86"/>
      <c r="AA401" s="87"/>
      <c r="AB401" s="88"/>
      <c r="AD401" s="77"/>
      <c r="AF401" s="54" t="str" cm="1">
        <f t="array" aca="1" ref="AF401" ca="1">IF(H401=0,"",HYPERLINK("#"&amp;RIGHT(CELL("adresse",OFFSET('DM01-AV-CH'!$G$6,H401-1,0)),LEN(CELL("adresse",OFFSET('DM01-AV-CH'!$G$6,H401-1,0)))-FIND("]",CELL("adresse",OFFSET('DM01-AV-CH'!$G$6,H401-1,0)))),"Modell"))</f>
        <v>Modell</v>
      </c>
      <c r="AG401" s="72" t="str" cm="1">
        <f t="array" ref="AG401">IF($H401=0,"",IF(INDEX('DM01-AV-CH'!G$6:G$834,$H401)="","",INDEX('DM01-AV-CH'!G$6:G$834,$H401)))</f>
        <v>Gemeindegrenzen</v>
      </c>
      <c r="AH401" s="73" t="str" cm="1">
        <f t="array" ref="AH401">IF($H401=0,"",IF(INDEX('DM01-AV-CH'!H$6:H$834,$H401)="","",INDEX('DM01-AV-CH'!H$6:H$834,$H401)))</f>
        <v>ProjGemeindegrenze</v>
      </c>
      <c r="AI401" s="74" t="str" cm="1">
        <f t="array" ref="AI401">IF($H401=0,"",IF(INDEX('DM01-AV-CH'!I$6:I$834,$H401)="","",INDEX('DM01-AV-CH'!I$6:I$834,$H401)))</f>
        <v>ProjGemeindegrenze_von</v>
      </c>
    </row>
    <row r="402" spans="1:35" x14ac:dyDescent="0.25">
      <c r="A402" s="57">
        <v>397</v>
      </c>
      <c r="B402" s="57">
        <f>IF($A402="","",IF(_xlfn.XLOOKUP($A402,Korrelation!$D$4:$D$1197,Korrelation!E$4:E$1197,"-",0)="-",0,MATCH(_xlfn.XLOOKUP($A402,Korrelation!$D$4:$D$1197,Korrelation!E$4:E$1197,"",0),DMAV_Modell!$G$6:$G$677,0)))</f>
        <v>161</v>
      </c>
      <c r="C402" s="57">
        <f>IF($A402="","",IF(_xlfn.XLOOKUP($A402,Korrelation!$D$4:$D$1197,Korrelation!F$4:F$1197,"-",0)="-",0,MATCH(_xlfn.XLOOKUP($A402,Korrelation!$D$4:$D$1197,Korrelation!F$4:F$1197,"",0),DMAV_Modell!$G$6:$G$677,0)))</f>
        <v>0</v>
      </c>
      <c r="D402" s="57">
        <f>IF($A402="","",IF(_xlfn.XLOOKUP($A402,Korrelation!$D$4:$D$1197,Korrelation!G$4:G$1197,"-",0)="-",0,MATCH(_xlfn.XLOOKUP($A402,Korrelation!$D$4:$D$1197,Korrelation!G$4:G$1197,"",0),DMAV_Modell!$G$6:$G$677,0)))</f>
        <v>0</v>
      </c>
      <c r="E402" s="57">
        <f>IF($A402="","",IF(_xlfn.XLOOKUP($A402,Korrelation!$D$4:$D$1197,Korrelation!H$4:H$1197,"-",0)="-",0,MATCH(_xlfn.XLOOKUP($A402,Korrelation!$D$4:$D$1197,Korrelation!H$4:H$1197,"",0),DMAV_Dienste!$F$6:$F$140,0)))</f>
        <v>0</v>
      </c>
      <c r="F402" s="57">
        <f>IF($A402="","",IF(_xlfn.XLOOKUP($A402,Korrelation!$D$4:$D$1197,Korrelation!I$4:I$1197,"-",0)="-",0,MATCH(_xlfn.XLOOKUP($A402,Korrelation!$D$4:$D$1197,Korrelation!I$4:I$1197,"",0),DMAV_Dienste!$F$6:$F$140,0)))</f>
        <v>0</v>
      </c>
      <c r="G402" s="57">
        <f>IF($A402="","",IF(_xlfn.XLOOKUP($A402,Korrelation!$D$4:$D$1197,Korrelation!J$4:J$1197,"-",0)="-",0,MATCH(_xlfn.XLOOKUP($A402,Korrelation!$D$4:$D$1197,Korrelation!J$4:J$1197,"",0),DMAV_Dienste!$F$6:$F$140,0)))</f>
        <v>0</v>
      </c>
      <c r="H402" s="57">
        <f>IF($A402="","",IF(_xlfn.XLOOKUP($A402,Korrelation!$D$4:$D$1197,Korrelation!K$4:K$1197,"-",0)="-",0,MATCH(_xlfn.XLOOKUP($A402,Korrelation!$D$4:$D$1197,Korrelation!K$4:K$1197,"",0),'DM01-AV-CH'!$A$6:$A$834,0)))</f>
        <v>615</v>
      </c>
      <c r="J402" s="54" t="str" cm="1">
        <f t="array" aca="1" ref="J402" ca="1">IF(B402=0,IF(E402=0,"",HYPERLINK("#"&amp;RIGHT(CELL("adresse",OFFSET(DMAV_Dienste!$M$6,E402-1,0)),LEN(CELL("adresse",OFFSET(DMAV_Dienste!$M$6,E402-1,0)))-FIND("]",CELL("adresse",OFFSET(DMAV_Dienste!$M$6,E402-1,0)))),"Dienst")),HYPERLINK("#"&amp;RIGHT(CELL("adresse",OFFSET(DMAV_Modell!$N$6,B402-1,0)),LEN(CELL("adresse",OFFSET(DMAV_Modell!$N$6,B402-1,0)))-FIND("]",CELL("adresse",OFFSET(DMAV_Modell!$N$6,B402-1,0)))),"Modell"))</f>
        <v>Modell</v>
      </c>
      <c r="K402" s="61" t="str" cm="1">
        <f t="array" ref="K402">IF($B402=0,IF($E402=0,"",IF(INDEX(DMAV_Dienste!P$6:P$140,$E402)="","",INDEX(DMAV_Dienste!P$6:P$140,$E402))),IF(INDEX(DMAV_Modell!Q$6:Q$838,$B402)="","",INDEX(DMAV_Modell!Q$6:Q$838,$B402)))</f>
        <v>CLASS</v>
      </c>
      <c r="L402" s="62" t="str" cm="1">
        <f t="array" ref="L402">IF($B402=0,IF($E402=0,"",IF(INDEX(DMAV_Dienste!O$6:O$140,$E402)="","",INDEX(DMAV_Dienste!O$6:O$140,$E402))),IF(INDEX(DMAV_Modell!P$6:P$838,$B402)="","",INDEX(DMAV_Modell!P$6:P$838,$B402)))</f>
        <v>HoheitsgrenzenAV</v>
      </c>
      <c r="M402" s="62" t="str" cm="1">
        <f t="array" ref="M402">IF($B402=0,IF($E402=0,"",IF(INDEX(DMAV_Dienste!Q$6:Q$140,$E402)="","",INDEX(DMAV_Dienste!Q$6:Q$140,$E402))),IF(INDEX(DMAV_Modell!R$6:R$838,$B402)="","",INDEX(DMAV_Modell!R$6:R$838,$B402)))</f>
        <v>ProjGemeindegrenzabschnitt</v>
      </c>
      <c r="N402" s="62" t="str" cm="1">
        <f t="array" ref="N402">IF($B402=0,IF($E402=0,"",IF(INDEX(DMAV_Dienste!T$6:T$140,$E402)="","",INDEX(DMAV_Dienste!T$6:T$140,$E402))),IF(INDEX(DMAV_Modell!U$6:U$838,$B402)="","",INDEX(DMAV_Modell!U$6:U$838,$B402)))</f>
        <v>Geometrie</v>
      </c>
      <c r="O402" s="63" t="str" cm="1">
        <f t="array" aca="1" ref="O402" ca="1">IF(C402=0,IF(F402=0,"",HYPERLINK("#"&amp;RIGHT(CELL("adresse",OFFSET(DMAV_Dienste!$M$6,F402-1,0)),LEN(CELL("adresse",OFFSET(DMAV_Dienste!$M$6,F402-1,0)))-FIND("]",CELL("adresse",OFFSET(DMAV_Dienste!$M$6,F402-1,0)))),"Structure")),HYPERLINK("#"&amp;RIGHT(CELL("adresse",OFFSET(DMAV_Modell!$N$6,C402-1,0)),LEN(CELL("adresse",OFFSET(DMAV_Modell!$N$6,C402-1,0)))-FIND("]",CELL("adresse",OFFSET(DMAV_Modell!$N$6,C402-1,0)))),"Structure"))</f>
        <v/>
      </c>
      <c r="P402" s="64" t="str" cm="1">
        <f t="array" aca="1" ref="P402" ca="1">IF(D402=0,IF(G402=0,"",HYPERLINK("#"&amp;RIGHT(CELL("adresse",OFFSET(DMAV_Dienste!$M$6,G402-1,0)),LEN(CELL("adresse",OFFSET(DMAV_Dienste!$M$6,G402-1,0)))-FIND("]",CELL("adresse",OFFSET(DMAV_Dienste!$M$6,G402-1,0)))),"Substructure")),HYPERLINK("#"&amp;RIGHT(CELL("adresse",OFFSET(DMAV_Modell!$N$6,D402-1,0)),LEN(CELL("adresse",OFFSET(DMAV_Modell!$N$6,D402-1,0)))-FIND("]",CELL("adresse",OFFSET(DMAV_Modell!$N$6,D402-1,0)))),"Substructure"))</f>
        <v/>
      </c>
      <c r="R402" s="80"/>
      <c r="T402" s="93"/>
      <c r="U402" s="94"/>
      <c r="V402" s="95"/>
      <c r="W402" s="96"/>
      <c r="Y402" s="85"/>
      <c r="Z402" s="86"/>
      <c r="AA402" s="87"/>
      <c r="AB402" s="88"/>
      <c r="AD402" s="77"/>
      <c r="AF402" s="54" t="str" cm="1">
        <f t="array" aca="1" ref="AF402" ca="1">IF(H402=0,"",HYPERLINK("#"&amp;RIGHT(CELL("adresse",OFFSET('DM01-AV-CH'!$G$6,H402-1,0)),LEN(CELL("adresse",OFFSET('DM01-AV-CH'!$G$6,H402-1,0)))-FIND("]",CELL("adresse",OFFSET('DM01-AV-CH'!$G$6,H402-1,0)))),"Modell"))</f>
        <v>Modell</v>
      </c>
      <c r="AG402" s="72" t="str" cm="1">
        <f t="array" ref="AG402">IF($H402=0,"",IF(INDEX('DM01-AV-CH'!G$6:G$834,$H402)="","",INDEX('DM01-AV-CH'!G$6:G$834,$H402)))</f>
        <v>Gemeindegrenzen</v>
      </c>
      <c r="AH402" s="73" t="str" cm="1">
        <f t="array" ref="AH402">IF($H402=0,"",IF(INDEX('DM01-AV-CH'!H$6:H$834,$H402)="","",INDEX('DM01-AV-CH'!H$6:H$834,$H402)))</f>
        <v>ProjGemeindegrenze</v>
      </c>
      <c r="AI402" s="74" t="str" cm="1">
        <f t="array" ref="AI402">IF($H402=0,"",IF(INDEX('DM01-AV-CH'!I$6:I$834,$H402)="","",INDEX('DM01-AV-CH'!I$6:I$834,$H402)))</f>
        <v>Geometrie</v>
      </c>
    </row>
    <row r="403" spans="1:35" x14ac:dyDescent="0.25">
      <c r="A403" s="57">
        <v>398</v>
      </c>
      <c r="B403" s="57">
        <f>IF($A403="","",IF(_xlfn.XLOOKUP($A403,Korrelation!$D$4:$D$1197,Korrelation!E$4:E$1197,"-",0)="-",0,MATCH(_xlfn.XLOOKUP($A403,Korrelation!$D$4:$D$1197,Korrelation!E$4:E$1197,"",0),DMAV_Modell!$G$6:$G$677,0)))</f>
        <v>162</v>
      </c>
      <c r="C403" s="57">
        <f>IF($A403="","",IF(_xlfn.XLOOKUP($A403,Korrelation!$D$4:$D$1197,Korrelation!F$4:F$1197,"-",0)="-",0,MATCH(_xlfn.XLOOKUP($A403,Korrelation!$D$4:$D$1197,Korrelation!F$4:F$1197,"",0),DMAV_Modell!$G$6:$G$677,0)))</f>
        <v>0</v>
      </c>
      <c r="D403" s="57">
        <f>IF($A403="","",IF(_xlfn.XLOOKUP($A403,Korrelation!$D$4:$D$1197,Korrelation!G$4:G$1197,"-",0)="-",0,MATCH(_xlfn.XLOOKUP($A403,Korrelation!$D$4:$D$1197,Korrelation!G$4:G$1197,"",0),DMAV_Modell!$G$6:$G$677,0)))</f>
        <v>0</v>
      </c>
      <c r="E403" s="57">
        <f>IF($A403="","",IF(_xlfn.XLOOKUP($A403,Korrelation!$D$4:$D$1197,Korrelation!H$4:H$1197,"-",0)="-",0,MATCH(_xlfn.XLOOKUP($A403,Korrelation!$D$4:$D$1197,Korrelation!H$4:H$1197,"",0),DMAV_Dienste!$F$6:$F$140,0)))</f>
        <v>0</v>
      </c>
      <c r="F403" s="57">
        <f>IF($A403="","",IF(_xlfn.XLOOKUP($A403,Korrelation!$D$4:$D$1197,Korrelation!I$4:I$1197,"-",0)="-",0,MATCH(_xlfn.XLOOKUP($A403,Korrelation!$D$4:$D$1197,Korrelation!I$4:I$1197,"",0),DMAV_Dienste!$F$6:$F$140,0)))</f>
        <v>0</v>
      </c>
      <c r="G403" s="57">
        <f>IF($A403="","",IF(_xlfn.XLOOKUP($A403,Korrelation!$D$4:$D$1197,Korrelation!J$4:J$1197,"-",0)="-",0,MATCH(_xlfn.XLOOKUP($A403,Korrelation!$D$4:$D$1197,Korrelation!J$4:J$1197,"",0),DMAV_Dienste!$F$6:$F$140,0)))</f>
        <v>0</v>
      </c>
      <c r="H403" s="57">
        <f>IF($A403="","",IF(_xlfn.XLOOKUP($A403,Korrelation!$D$4:$D$1197,Korrelation!K$4:K$1197,"-",0)="-",0,MATCH(_xlfn.XLOOKUP($A403,Korrelation!$D$4:$D$1197,Korrelation!K$4:K$1197,"",0),'DM01-AV-CH'!$A$6:$A$834,0)))</f>
        <v>0</v>
      </c>
      <c r="J403" s="54" t="str" cm="1">
        <f t="array" aca="1" ref="J403" ca="1">IF(B403=0,IF(E403=0,"",HYPERLINK("#"&amp;RIGHT(CELL("adresse",OFFSET(DMAV_Dienste!$M$6,E403-1,0)),LEN(CELL("adresse",OFFSET(DMAV_Dienste!$M$6,E403-1,0)))-FIND("]",CELL("adresse",OFFSET(DMAV_Dienste!$M$6,E403-1,0)))),"Dienst")),HYPERLINK("#"&amp;RIGHT(CELL("adresse",OFFSET(DMAV_Modell!$N$6,B403-1,0)),LEN(CELL("adresse",OFFSET(DMAV_Modell!$N$6,B403-1,0)))-FIND("]",CELL("adresse",OFFSET(DMAV_Modell!$N$6,B403-1,0)))),"Modell"))</f>
        <v>Modell</v>
      </c>
      <c r="K403" s="61" t="str" cm="1">
        <f t="array" ref="K403">IF($B403=0,IF($E403=0,"",IF(INDEX(DMAV_Dienste!P$6:P$140,$E403)="","",INDEX(DMAV_Dienste!P$6:P$140,$E403))),IF(INDEX(DMAV_Modell!Q$6:Q$838,$B403)="","",INDEX(DMAV_Modell!Q$6:Q$838,$B403)))</f>
        <v>ASSOCIATION</v>
      </c>
      <c r="L403" s="62" t="str" cm="1">
        <f t="array" ref="L403">IF($B403=0,IF($E403=0,"",IF(INDEX(DMAV_Dienste!O$6:O$140,$E403)="","",INDEX(DMAV_Dienste!O$6:O$140,$E403))),IF(INDEX(DMAV_Modell!P$6:P$838,$B403)="","",INDEX(DMAV_Modell!P$6:P$838,$B403)))</f>
        <v>HoheitsgrenzenAV</v>
      </c>
      <c r="M403" s="62" t="str" cm="1">
        <f t="array" ref="M403">IF($B403=0,IF($E403=0,"",IF(INDEX(DMAV_Dienste!Q$6:Q$140,$E403)="","",INDEX(DMAV_Dienste!Q$6:Q$140,$E403))),IF(INDEX(DMAV_Modell!R$6:R$838,$B403)="","",INDEX(DMAV_Modell!R$6:R$838,$B403)))</f>
        <v>Entstehung_ProjGemeindegrenzabschnitt</v>
      </c>
      <c r="N403" s="62" t="str" cm="1">
        <f t="array" ref="N403">IF($B403=0,IF($E403=0,"",IF(INDEX(DMAV_Dienste!T$6:T$140,$E403)="","",INDEX(DMAV_Dienste!T$6:T$140,$E403))),IF(INDEX(DMAV_Modell!U$6:U$838,$B403)="","",INDEX(DMAV_Modell!U$6:U$838,$B403)))</f>
        <v>Entstehung</v>
      </c>
      <c r="O403" s="63" t="str" cm="1">
        <f t="array" aca="1" ref="O403" ca="1">IF(C403=0,IF(F403=0,"",HYPERLINK("#"&amp;RIGHT(CELL("adresse",OFFSET(DMAV_Dienste!$M$6,F403-1,0)),LEN(CELL("adresse",OFFSET(DMAV_Dienste!$M$6,F403-1,0)))-FIND("]",CELL("adresse",OFFSET(DMAV_Dienste!$M$6,F403-1,0)))),"Structure")),HYPERLINK("#"&amp;RIGHT(CELL("adresse",OFFSET(DMAV_Modell!$N$6,C403-1,0)),LEN(CELL("adresse",OFFSET(DMAV_Modell!$N$6,C403-1,0)))-FIND("]",CELL("adresse",OFFSET(DMAV_Modell!$N$6,C403-1,0)))),"Structure"))</f>
        <v/>
      </c>
      <c r="P403" s="64" t="str" cm="1">
        <f t="array" aca="1" ref="P403" ca="1">IF(D403=0,IF(G403=0,"",HYPERLINK("#"&amp;RIGHT(CELL("adresse",OFFSET(DMAV_Dienste!$M$6,G403-1,0)),LEN(CELL("adresse",OFFSET(DMAV_Dienste!$M$6,G403-1,0)))-FIND("]",CELL("adresse",OFFSET(DMAV_Dienste!$M$6,G403-1,0)))),"Substructure")),HYPERLINK("#"&amp;RIGHT(CELL("adresse",OFFSET(DMAV_Modell!$N$6,D403-1,0)),LEN(CELL("adresse",OFFSET(DMAV_Modell!$N$6,D403-1,0)))-FIND("]",CELL("adresse",OFFSET(DMAV_Modell!$N$6,D403-1,0)))),"Substructure"))</f>
        <v/>
      </c>
      <c r="R403" s="80"/>
      <c r="T403" s="93"/>
      <c r="U403" s="94"/>
      <c r="V403" s="95"/>
      <c r="W403" s="96"/>
      <c r="Y403" s="85"/>
      <c r="Z403" s="86"/>
      <c r="AA403" s="87"/>
      <c r="AB403" s="88"/>
      <c r="AD403" s="77"/>
      <c r="AF403" s="54" t="str" cm="1">
        <f t="array" aca="1" ref="AF403" ca="1">IF(H403=0,"",HYPERLINK("#"&amp;RIGHT(CELL("adresse",OFFSET('DM01-AV-CH'!$G$6,H403-1,0)),LEN(CELL("adresse",OFFSET('DM01-AV-CH'!$G$6,H403-1,0)))-FIND("]",CELL("adresse",OFFSET('DM01-AV-CH'!$G$6,H403-1,0)))),"Modell"))</f>
        <v/>
      </c>
      <c r="AG403" s="72" t="str" cm="1">
        <f t="array" ref="AG403">IF($H403=0,"",IF(INDEX('DM01-AV-CH'!G$6:G$834,$H403)="","",INDEX('DM01-AV-CH'!G$6:G$834,$H403)))</f>
        <v/>
      </c>
      <c r="AH403" s="73" t="str" cm="1">
        <f t="array" ref="AH403">IF($H403=0,"",IF(INDEX('DM01-AV-CH'!H$6:H$834,$H403)="","",INDEX('DM01-AV-CH'!H$6:H$834,$H403)))</f>
        <v/>
      </c>
      <c r="AI403" s="74" t="str" cm="1">
        <f t="array" ref="AI403">IF($H403=0,"",IF(INDEX('DM01-AV-CH'!I$6:I$834,$H403)="","",INDEX('DM01-AV-CH'!I$6:I$834,$H403)))</f>
        <v/>
      </c>
    </row>
    <row r="404" spans="1:35" x14ac:dyDescent="0.25">
      <c r="A404" s="57">
        <v>399</v>
      </c>
      <c r="B404" s="57">
        <f>IF($A404="","",IF(_xlfn.XLOOKUP($A404,Korrelation!$D$4:$D$1197,Korrelation!E$4:E$1197,"-",0)="-",0,MATCH(_xlfn.XLOOKUP($A404,Korrelation!$D$4:$D$1197,Korrelation!E$4:E$1197,"",0),DMAV_Modell!$G$6:$G$677,0)))</f>
        <v>163</v>
      </c>
      <c r="C404" s="57">
        <f>IF($A404="","",IF(_xlfn.XLOOKUP($A404,Korrelation!$D$4:$D$1197,Korrelation!F$4:F$1197,"-",0)="-",0,MATCH(_xlfn.XLOOKUP($A404,Korrelation!$D$4:$D$1197,Korrelation!F$4:F$1197,"",0),DMAV_Modell!$G$6:$G$677,0)))</f>
        <v>0</v>
      </c>
      <c r="D404" s="57">
        <f>IF($A404="","",IF(_xlfn.XLOOKUP($A404,Korrelation!$D$4:$D$1197,Korrelation!G$4:G$1197,"-",0)="-",0,MATCH(_xlfn.XLOOKUP($A404,Korrelation!$D$4:$D$1197,Korrelation!G$4:G$1197,"",0),DMAV_Modell!$G$6:$G$677,0)))</f>
        <v>0</v>
      </c>
      <c r="E404" s="57">
        <f>IF($A404="","",IF(_xlfn.XLOOKUP($A404,Korrelation!$D$4:$D$1197,Korrelation!H$4:H$1197,"-",0)="-",0,MATCH(_xlfn.XLOOKUP($A404,Korrelation!$D$4:$D$1197,Korrelation!H$4:H$1197,"",0),DMAV_Dienste!$F$6:$F$140,0)))</f>
        <v>0</v>
      </c>
      <c r="F404" s="57">
        <f>IF($A404="","",IF(_xlfn.XLOOKUP($A404,Korrelation!$D$4:$D$1197,Korrelation!I$4:I$1197,"-",0)="-",0,MATCH(_xlfn.XLOOKUP($A404,Korrelation!$D$4:$D$1197,Korrelation!I$4:I$1197,"",0),DMAV_Dienste!$F$6:$F$140,0)))</f>
        <v>0</v>
      </c>
      <c r="G404" s="57">
        <f>IF($A404="","",IF(_xlfn.XLOOKUP($A404,Korrelation!$D$4:$D$1197,Korrelation!J$4:J$1197,"-",0)="-",0,MATCH(_xlfn.XLOOKUP($A404,Korrelation!$D$4:$D$1197,Korrelation!J$4:J$1197,"",0),DMAV_Dienste!$F$6:$F$140,0)))</f>
        <v>0</v>
      </c>
      <c r="H404" s="57">
        <f>IF($A404="","",IF(_xlfn.XLOOKUP($A404,Korrelation!$D$4:$D$1197,Korrelation!K$4:K$1197,"-",0)="-",0,MATCH(_xlfn.XLOOKUP($A404,Korrelation!$D$4:$D$1197,Korrelation!K$4:K$1197,"",0),'DM01-AV-CH'!$A$6:$A$834,0)))</f>
        <v>0</v>
      </c>
      <c r="J404" s="54" t="str" cm="1">
        <f t="array" aca="1" ref="J404" ca="1">IF(B404=0,IF(E404=0,"",HYPERLINK("#"&amp;RIGHT(CELL("adresse",OFFSET(DMAV_Dienste!$M$6,E404-1,0)),LEN(CELL("adresse",OFFSET(DMAV_Dienste!$M$6,E404-1,0)))-FIND("]",CELL("adresse",OFFSET(DMAV_Dienste!$M$6,E404-1,0)))),"Dienst")),HYPERLINK("#"&amp;RIGHT(CELL("adresse",OFFSET(DMAV_Modell!$N$6,B404-1,0)),LEN(CELL("adresse",OFFSET(DMAV_Modell!$N$6,B404-1,0)))-FIND("]",CELL("adresse",OFFSET(DMAV_Modell!$N$6,B404-1,0)))),"Modell"))</f>
        <v>Modell</v>
      </c>
      <c r="K404" s="61" t="str" cm="1">
        <f t="array" ref="K404">IF($B404=0,IF($E404=0,"",IF(INDEX(DMAV_Dienste!P$6:P$140,$E404)="","",INDEX(DMAV_Dienste!P$6:P$140,$E404))),IF(INDEX(DMAV_Modell!Q$6:Q$838,$B404)="","",INDEX(DMAV_Modell!Q$6:Q$838,$B404)))</f>
        <v>ASSOCIATION</v>
      </c>
      <c r="L404" s="62" t="str" cm="1">
        <f t="array" ref="L404">IF($B404=0,IF($E404=0,"",IF(INDEX(DMAV_Dienste!O$6:O$140,$E404)="","",INDEX(DMAV_Dienste!O$6:O$140,$E404))),IF(INDEX(DMAV_Modell!P$6:P$838,$B404)="","",INDEX(DMAV_Modell!P$6:P$838,$B404)))</f>
        <v>HoheitsgrenzenAV</v>
      </c>
      <c r="M404" s="62" t="str" cm="1">
        <f t="array" ref="M404">IF($B404=0,IF($E404=0,"",IF(INDEX(DMAV_Dienste!Q$6:Q$140,$E404)="","",INDEX(DMAV_Dienste!Q$6:Q$140,$E404))),IF(INDEX(DMAV_Modell!R$6:R$838,$B404)="","",INDEX(DMAV_Modell!R$6:R$838,$B404)))</f>
        <v>Entstehung_ProjGemeindegrenzabschnitt</v>
      </c>
      <c r="N404" s="62" t="str" cm="1">
        <f t="array" ref="N404">IF($B404=0,IF($E404=0,"",IF(INDEX(DMAV_Dienste!T$6:T$140,$E404)="","",INDEX(DMAV_Dienste!T$6:T$140,$E404))),IF(INDEX(DMAV_Modell!U$6:U$838,$B404)="","",INDEX(DMAV_Modell!U$6:U$838,$B404)))</f>
        <v>entstehender_ProjGemeindegrenzabschnitt</v>
      </c>
      <c r="O404" s="63" t="str" cm="1">
        <f t="array" aca="1" ref="O404" ca="1">IF(C404=0,IF(F404=0,"",HYPERLINK("#"&amp;RIGHT(CELL("adresse",OFFSET(DMAV_Dienste!$M$6,F404-1,0)),LEN(CELL("adresse",OFFSET(DMAV_Dienste!$M$6,F404-1,0)))-FIND("]",CELL("adresse",OFFSET(DMAV_Dienste!$M$6,F404-1,0)))),"Structure")),HYPERLINK("#"&amp;RIGHT(CELL("adresse",OFFSET(DMAV_Modell!$N$6,C404-1,0)),LEN(CELL("adresse",OFFSET(DMAV_Modell!$N$6,C404-1,0)))-FIND("]",CELL("adresse",OFFSET(DMAV_Modell!$N$6,C404-1,0)))),"Structure"))</f>
        <v/>
      </c>
      <c r="P404" s="64" t="str" cm="1">
        <f t="array" aca="1" ref="P404" ca="1">IF(D404=0,IF(G404=0,"",HYPERLINK("#"&amp;RIGHT(CELL("adresse",OFFSET(DMAV_Dienste!$M$6,G404-1,0)),LEN(CELL("adresse",OFFSET(DMAV_Dienste!$M$6,G404-1,0)))-FIND("]",CELL("adresse",OFFSET(DMAV_Dienste!$M$6,G404-1,0)))),"Substructure")),HYPERLINK("#"&amp;RIGHT(CELL("adresse",OFFSET(DMAV_Modell!$N$6,D404-1,0)),LEN(CELL("adresse",OFFSET(DMAV_Modell!$N$6,D404-1,0)))-FIND("]",CELL("adresse",OFFSET(DMAV_Modell!$N$6,D404-1,0)))),"Substructure"))</f>
        <v/>
      </c>
      <c r="R404" s="80"/>
      <c r="T404" s="93"/>
      <c r="U404" s="94"/>
      <c r="V404" s="95"/>
      <c r="W404" s="96"/>
      <c r="Y404" s="85"/>
      <c r="Z404" s="86"/>
      <c r="AA404" s="87"/>
      <c r="AB404" s="88"/>
      <c r="AD404" s="77"/>
      <c r="AF404" s="54" t="str" cm="1">
        <f t="array" aca="1" ref="AF404" ca="1">IF(H404=0,"",HYPERLINK("#"&amp;RIGHT(CELL("adresse",OFFSET('DM01-AV-CH'!$G$6,H404-1,0)),LEN(CELL("adresse",OFFSET('DM01-AV-CH'!$G$6,H404-1,0)))-FIND("]",CELL("adresse",OFFSET('DM01-AV-CH'!$G$6,H404-1,0)))),"Modell"))</f>
        <v/>
      </c>
      <c r="AG404" s="72" t="str" cm="1">
        <f t="array" ref="AG404">IF($H404=0,"",IF(INDEX('DM01-AV-CH'!G$6:G$834,$H404)="","",INDEX('DM01-AV-CH'!G$6:G$834,$H404)))</f>
        <v/>
      </c>
      <c r="AH404" s="73" t="str" cm="1">
        <f t="array" ref="AH404">IF($H404=0,"",IF(INDEX('DM01-AV-CH'!H$6:H$834,$H404)="","",INDEX('DM01-AV-CH'!H$6:H$834,$H404)))</f>
        <v/>
      </c>
      <c r="AI404" s="74" t="str" cm="1">
        <f t="array" ref="AI404">IF($H404=0,"",IF(INDEX('DM01-AV-CH'!I$6:I$834,$H404)="","",INDEX('DM01-AV-CH'!I$6:I$834,$H404)))</f>
        <v/>
      </c>
    </row>
    <row r="405" spans="1:35" x14ac:dyDescent="0.25">
      <c r="A405" s="57">
        <v>400</v>
      </c>
      <c r="B405" s="57">
        <f>IF($A405="","",IF(_xlfn.XLOOKUP($A405,Korrelation!$D$4:$D$1197,Korrelation!E$4:E$1197,"-",0)="-",0,MATCH(_xlfn.XLOOKUP($A405,Korrelation!$D$4:$D$1197,Korrelation!E$4:E$1197,"",0),DMAV_Modell!$G$6:$G$677,0)))</f>
        <v>164</v>
      </c>
      <c r="C405" s="57">
        <f>IF($A405="","",IF(_xlfn.XLOOKUP($A405,Korrelation!$D$4:$D$1197,Korrelation!F$4:F$1197,"-",0)="-",0,MATCH(_xlfn.XLOOKUP($A405,Korrelation!$D$4:$D$1197,Korrelation!F$4:F$1197,"",0),DMAV_Modell!$G$6:$G$677,0)))</f>
        <v>0</v>
      </c>
      <c r="D405" s="57">
        <f>IF($A405="","",IF(_xlfn.XLOOKUP($A405,Korrelation!$D$4:$D$1197,Korrelation!G$4:G$1197,"-",0)="-",0,MATCH(_xlfn.XLOOKUP($A405,Korrelation!$D$4:$D$1197,Korrelation!G$4:G$1197,"",0),DMAV_Modell!$G$6:$G$677,0)))</f>
        <v>0</v>
      </c>
      <c r="E405" s="57">
        <f>IF($A405="","",IF(_xlfn.XLOOKUP($A405,Korrelation!$D$4:$D$1197,Korrelation!H$4:H$1197,"-",0)="-",0,MATCH(_xlfn.XLOOKUP($A405,Korrelation!$D$4:$D$1197,Korrelation!H$4:H$1197,"",0),DMAV_Dienste!$F$6:$F$140,0)))</f>
        <v>0</v>
      </c>
      <c r="F405" s="57">
        <f>IF($A405="","",IF(_xlfn.XLOOKUP($A405,Korrelation!$D$4:$D$1197,Korrelation!I$4:I$1197,"-",0)="-",0,MATCH(_xlfn.XLOOKUP($A405,Korrelation!$D$4:$D$1197,Korrelation!I$4:I$1197,"",0),DMAV_Dienste!$F$6:$F$140,0)))</f>
        <v>0</v>
      </c>
      <c r="G405" s="57">
        <f>IF($A405="","",IF(_xlfn.XLOOKUP($A405,Korrelation!$D$4:$D$1197,Korrelation!J$4:J$1197,"-",0)="-",0,MATCH(_xlfn.XLOOKUP($A405,Korrelation!$D$4:$D$1197,Korrelation!J$4:J$1197,"",0),DMAV_Dienste!$F$6:$F$140,0)))</f>
        <v>0</v>
      </c>
      <c r="H405" s="57">
        <f>IF($A405="","",IF(_xlfn.XLOOKUP($A405,Korrelation!$D$4:$D$1197,Korrelation!K$4:K$1197,"-",0)="-",0,MATCH(_xlfn.XLOOKUP($A405,Korrelation!$D$4:$D$1197,Korrelation!K$4:K$1197,"",0),'DM01-AV-CH'!$A$6:$A$834,0)))</f>
        <v>0</v>
      </c>
      <c r="J405" s="54" t="str" cm="1">
        <f t="array" aca="1" ref="J405" ca="1">IF(B405=0,IF(E405=0,"",HYPERLINK("#"&amp;RIGHT(CELL("adresse",OFFSET(DMAV_Dienste!$M$6,E405-1,0)),LEN(CELL("adresse",OFFSET(DMAV_Dienste!$M$6,E405-1,0)))-FIND("]",CELL("adresse",OFFSET(DMAV_Dienste!$M$6,E405-1,0)))),"Dienst")),HYPERLINK("#"&amp;RIGHT(CELL("adresse",OFFSET(DMAV_Modell!$N$6,B405-1,0)),LEN(CELL("adresse",OFFSET(DMAV_Modell!$N$6,B405-1,0)))-FIND("]",CELL("adresse",OFFSET(DMAV_Modell!$N$6,B405-1,0)))),"Modell"))</f>
        <v>Modell</v>
      </c>
      <c r="K405" s="61" t="str" cm="1">
        <f t="array" ref="K405">IF($B405=0,IF($E405=0,"",IF(INDEX(DMAV_Dienste!P$6:P$140,$E405)="","",INDEX(DMAV_Dienste!P$6:P$140,$E405))),IF(INDEX(DMAV_Modell!Q$6:Q$838,$B405)="","",INDEX(DMAV_Modell!Q$6:Q$838,$B405)))</f>
        <v>ASSOCIATION</v>
      </c>
      <c r="L405" s="62" t="str" cm="1">
        <f t="array" ref="L405">IF($B405=0,IF($E405=0,"",IF(INDEX(DMAV_Dienste!O$6:O$140,$E405)="","",INDEX(DMAV_Dienste!O$6:O$140,$E405))),IF(INDEX(DMAV_Modell!P$6:P$838,$B405)="","",INDEX(DMAV_Modell!P$6:P$838,$B405)))</f>
        <v>HoheitsgrenzenAV</v>
      </c>
      <c r="M405" s="62" t="str" cm="1">
        <f t="array" ref="M405">IF($B405=0,IF($E405=0,"",IF(INDEX(DMAV_Dienste!Q$6:Q$140,$E405)="","",INDEX(DMAV_Dienste!Q$6:Q$140,$E405))),IF(INDEX(DMAV_Modell!R$6:R$838,$B405)="","",INDEX(DMAV_Modell!R$6:R$838,$B405)))</f>
        <v>Untergang_ProjGemeindegrenzabschnitt</v>
      </c>
      <c r="N405" s="62" t="str" cm="1">
        <f t="array" ref="N405">IF($B405=0,IF($E405=0,"",IF(INDEX(DMAV_Dienste!T$6:T$140,$E405)="","",INDEX(DMAV_Dienste!T$6:T$140,$E405))),IF(INDEX(DMAV_Modell!U$6:U$838,$B405)="","",INDEX(DMAV_Modell!U$6:U$838,$B405)))</f>
        <v>Untergang</v>
      </c>
      <c r="O405" s="63" t="str" cm="1">
        <f t="array" aca="1" ref="O405" ca="1">IF(C405=0,IF(F405=0,"",HYPERLINK("#"&amp;RIGHT(CELL("adresse",OFFSET(DMAV_Dienste!$M$6,F405-1,0)),LEN(CELL("adresse",OFFSET(DMAV_Dienste!$M$6,F405-1,0)))-FIND("]",CELL("adresse",OFFSET(DMAV_Dienste!$M$6,F405-1,0)))),"Structure")),HYPERLINK("#"&amp;RIGHT(CELL("adresse",OFFSET(DMAV_Modell!$N$6,C405-1,0)),LEN(CELL("adresse",OFFSET(DMAV_Modell!$N$6,C405-1,0)))-FIND("]",CELL("adresse",OFFSET(DMAV_Modell!$N$6,C405-1,0)))),"Structure"))</f>
        <v/>
      </c>
      <c r="P405" s="64" t="str" cm="1">
        <f t="array" aca="1" ref="P405" ca="1">IF(D405=0,IF(G405=0,"",HYPERLINK("#"&amp;RIGHT(CELL("adresse",OFFSET(DMAV_Dienste!$M$6,G405-1,0)),LEN(CELL("adresse",OFFSET(DMAV_Dienste!$M$6,G405-1,0)))-FIND("]",CELL("adresse",OFFSET(DMAV_Dienste!$M$6,G405-1,0)))),"Substructure")),HYPERLINK("#"&amp;RIGHT(CELL("adresse",OFFSET(DMAV_Modell!$N$6,D405-1,0)),LEN(CELL("adresse",OFFSET(DMAV_Modell!$N$6,D405-1,0)))-FIND("]",CELL("adresse",OFFSET(DMAV_Modell!$N$6,D405-1,0)))),"Substructure"))</f>
        <v/>
      </c>
      <c r="R405" s="80"/>
      <c r="T405" s="93"/>
      <c r="U405" s="94"/>
      <c r="V405" s="95"/>
      <c r="W405" s="96"/>
      <c r="Y405" s="85"/>
      <c r="Z405" s="86"/>
      <c r="AA405" s="87"/>
      <c r="AB405" s="88"/>
      <c r="AD405" s="77"/>
      <c r="AF405" s="54" t="str" cm="1">
        <f t="array" aca="1" ref="AF405" ca="1">IF(H405=0,"",HYPERLINK("#"&amp;RIGHT(CELL("adresse",OFFSET('DM01-AV-CH'!$G$6,H405-1,0)),LEN(CELL("adresse",OFFSET('DM01-AV-CH'!$G$6,H405-1,0)))-FIND("]",CELL("adresse",OFFSET('DM01-AV-CH'!$G$6,H405-1,0)))),"Modell"))</f>
        <v/>
      </c>
      <c r="AG405" s="72" t="str" cm="1">
        <f t="array" ref="AG405">IF($H405=0,"",IF(INDEX('DM01-AV-CH'!G$6:G$834,$H405)="","",INDEX('DM01-AV-CH'!G$6:G$834,$H405)))</f>
        <v/>
      </c>
      <c r="AH405" s="73" t="str" cm="1">
        <f t="array" ref="AH405">IF($H405=0,"",IF(INDEX('DM01-AV-CH'!H$6:H$834,$H405)="","",INDEX('DM01-AV-CH'!H$6:H$834,$H405)))</f>
        <v/>
      </c>
      <c r="AI405" s="74" t="str" cm="1">
        <f t="array" ref="AI405">IF($H405=0,"",IF(INDEX('DM01-AV-CH'!I$6:I$834,$H405)="","",INDEX('DM01-AV-CH'!I$6:I$834,$H405)))</f>
        <v/>
      </c>
    </row>
    <row r="406" spans="1:35" x14ac:dyDescent="0.25">
      <c r="A406" s="57">
        <v>401</v>
      </c>
      <c r="B406" s="57">
        <f>IF($A406="","",IF(_xlfn.XLOOKUP($A406,Korrelation!$D$4:$D$1197,Korrelation!E$4:E$1197,"-",0)="-",0,MATCH(_xlfn.XLOOKUP($A406,Korrelation!$D$4:$D$1197,Korrelation!E$4:E$1197,"",0),DMAV_Modell!$G$6:$G$677,0)))</f>
        <v>165</v>
      </c>
      <c r="C406" s="57">
        <f>IF($A406="","",IF(_xlfn.XLOOKUP($A406,Korrelation!$D$4:$D$1197,Korrelation!F$4:F$1197,"-",0)="-",0,MATCH(_xlfn.XLOOKUP($A406,Korrelation!$D$4:$D$1197,Korrelation!F$4:F$1197,"",0),DMAV_Modell!$G$6:$G$677,0)))</f>
        <v>0</v>
      </c>
      <c r="D406" s="57">
        <f>IF($A406="","",IF(_xlfn.XLOOKUP($A406,Korrelation!$D$4:$D$1197,Korrelation!G$4:G$1197,"-",0)="-",0,MATCH(_xlfn.XLOOKUP($A406,Korrelation!$D$4:$D$1197,Korrelation!G$4:G$1197,"",0),DMAV_Modell!$G$6:$G$677,0)))</f>
        <v>0</v>
      </c>
      <c r="E406" s="57">
        <f>IF($A406="","",IF(_xlfn.XLOOKUP($A406,Korrelation!$D$4:$D$1197,Korrelation!H$4:H$1197,"-",0)="-",0,MATCH(_xlfn.XLOOKUP($A406,Korrelation!$D$4:$D$1197,Korrelation!H$4:H$1197,"",0),DMAV_Dienste!$F$6:$F$140,0)))</f>
        <v>0</v>
      </c>
      <c r="F406" s="57">
        <f>IF($A406="","",IF(_xlfn.XLOOKUP($A406,Korrelation!$D$4:$D$1197,Korrelation!I$4:I$1197,"-",0)="-",0,MATCH(_xlfn.XLOOKUP($A406,Korrelation!$D$4:$D$1197,Korrelation!I$4:I$1197,"",0),DMAV_Dienste!$F$6:$F$140,0)))</f>
        <v>0</v>
      </c>
      <c r="G406" s="57">
        <f>IF($A406="","",IF(_xlfn.XLOOKUP($A406,Korrelation!$D$4:$D$1197,Korrelation!J$4:J$1197,"-",0)="-",0,MATCH(_xlfn.XLOOKUP($A406,Korrelation!$D$4:$D$1197,Korrelation!J$4:J$1197,"",0),DMAV_Dienste!$F$6:$F$140,0)))</f>
        <v>0</v>
      </c>
      <c r="H406" s="57">
        <f>IF($A406="","",IF(_xlfn.XLOOKUP($A406,Korrelation!$D$4:$D$1197,Korrelation!K$4:K$1197,"-",0)="-",0,MATCH(_xlfn.XLOOKUP($A406,Korrelation!$D$4:$D$1197,Korrelation!K$4:K$1197,"",0),'DM01-AV-CH'!$A$6:$A$834,0)))</f>
        <v>0</v>
      </c>
      <c r="J406" s="54" t="str" cm="1">
        <f t="array" aca="1" ref="J406" ca="1">IF(B406=0,IF(E406=0,"",HYPERLINK("#"&amp;RIGHT(CELL("adresse",OFFSET(DMAV_Dienste!$M$6,E406-1,0)),LEN(CELL("adresse",OFFSET(DMAV_Dienste!$M$6,E406-1,0)))-FIND("]",CELL("adresse",OFFSET(DMAV_Dienste!$M$6,E406-1,0)))),"Dienst")),HYPERLINK("#"&amp;RIGHT(CELL("adresse",OFFSET(DMAV_Modell!$N$6,B406-1,0)),LEN(CELL("adresse",OFFSET(DMAV_Modell!$N$6,B406-1,0)))-FIND("]",CELL("adresse",OFFSET(DMAV_Modell!$N$6,B406-1,0)))),"Modell"))</f>
        <v>Modell</v>
      </c>
      <c r="K406" s="61" t="str" cm="1">
        <f t="array" ref="K406">IF($B406=0,IF($E406=0,"",IF(INDEX(DMAV_Dienste!P$6:P$140,$E406)="","",INDEX(DMAV_Dienste!P$6:P$140,$E406))),IF(INDEX(DMAV_Modell!Q$6:Q$838,$B406)="","",INDEX(DMAV_Modell!Q$6:Q$838,$B406)))</f>
        <v>ASSOCIATION</v>
      </c>
      <c r="L406" s="62" t="str" cm="1">
        <f t="array" ref="L406">IF($B406=0,IF($E406=0,"",IF(INDEX(DMAV_Dienste!O$6:O$140,$E406)="","",INDEX(DMAV_Dienste!O$6:O$140,$E406))),IF(INDEX(DMAV_Modell!P$6:P$838,$B406)="","",INDEX(DMAV_Modell!P$6:P$838,$B406)))</f>
        <v>HoheitsgrenzenAV</v>
      </c>
      <c r="M406" s="62" t="str" cm="1">
        <f t="array" ref="M406">IF($B406=0,IF($E406=0,"",IF(INDEX(DMAV_Dienste!Q$6:Q$140,$E406)="","",INDEX(DMAV_Dienste!Q$6:Q$140,$E406))),IF(INDEX(DMAV_Modell!R$6:R$838,$B406)="","",INDEX(DMAV_Modell!R$6:R$838,$B406)))</f>
        <v>Untergang_ProjGemeindegrenzabschnitt</v>
      </c>
      <c r="N406" s="62" t="str" cm="1">
        <f t="array" ref="N406">IF($B406=0,IF($E406=0,"",IF(INDEX(DMAV_Dienste!T$6:T$140,$E406)="","",INDEX(DMAV_Dienste!T$6:T$140,$E406))),IF(INDEX(DMAV_Modell!U$6:U$838,$B406)="","",INDEX(DMAV_Modell!U$6:U$838,$B406)))</f>
        <v>untergehender_ProjGemeindegrenzabschnitt</v>
      </c>
      <c r="O406" s="63" t="str" cm="1">
        <f t="array" aca="1" ref="O406" ca="1">IF(C406=0,IF(F406=0,"",HYPERLINK("#"&amp;RIGHT(CELL("adresse",OFFSET(DMAV_Dienste!$M$6,F406-1,0)),LEN(CELL("adresse",OFFSET(DMAV_Dienste!$M$6,F406-1,0)))-FIND("]",CELL("adresse",OFFSET(DMAV_Dienste!$M$6,F406-1,0)))),"Structure")),HYPERLINK("#"&amp;RIGHT(CELL("adresse",OFFSET(DMAV_Modell!$N$6,C406-1,0)),LEN(CELL("adresse",OFFSET(DMAV_Modell!$N$6,C406-1,0)))-FIND("]",CELL("adresse",OFFSET(DMAV_Modell!$N$6,C406-1,0)))),"Structure"))</f>
        <v/>
      </c>
      <c r="P406" s="64" t="str" cm="1">
        <f t="array" aca="1" ref="P406" ca="1">IF(D406=0,IF(G406=0,"",HYPERLINK("#"&amp;RIGHT(CELL("adresse",OFFSET(DMAV_Dienste!$M$6,G406-1,0)),LEN(CELL("adresse",OFFSET(DMAV_Dienste!$M$6,G406-1,0)))-FIND("]",CELL("adresse",OFFSET(DMAV_Dienste!$M$6,G406-1,0)))),"Substructure")),HYPERLINK("#"&amp;RIGHT(CELL("adresse",OFFSET(DMAV_Modell!$N$6,D406-1,0)),LEN(CELL("adresse",OFFSET(DMAV_Modell!$N$6,D406-1,0)))-FIND("]",CELL("adresse",OFFSET(DMAV_Modell!$N$6,D406-1,0)))),"Substructure"))</f>
        <v/>
      </c>
      <c r="R406" s="80"/>
      <c r="T406" s="93"/>
      <c r="U406" s="94"/>
      <c r="V406" s="95"/>
      <c r="W406" s="96"/>
      <c r="Y406" s="85"/>
      <c r="Z406" s="86"/>
      <c r="AA406" s="87"/>
      <c r="AB406" s="88"/>
      <c r="AD406" s="77"/>
      <c r="AF406" s="54" t="str" cm="1">
        <f t="array" aca="1" ref="AF406" ca="1">IF(H406=0,"",HYPERLINK("#"&amp;RIGHT(CELL("adresse",OFFSET('DM01-AV-CH'!$G$6,H406-1,0)),LEN(CELL("adresse",OFFSET('DM01-AV-CH'!$G$6,H406-1,0)))-FIND("]",CELL("adresse",OFFSET('DM01-AV-CH'!$G$6,H406-1,0)))),"Modell"))</f>
        <v/>
      </c>
      <c r="AG406" s="72" t="str" cm="1">
        <f t="array" ref="AG406">IF($H406=0,"",IF(INDEX('DM01-AV-CH'!G$6:G$834,$H406)="","",INDEX('DM01-AV-CH'!G$6:G$834,$H406)))</f>
        <v/>
      </c>
      <c r="AH406" s="73" t="str" cm="1">
        <f t="array" ref="AH406">IF($H406=0,"",IF(INDEX('DM01-AV-CH'!H$6:H$834,$H406)="","",INDEX('DM01-AV-CH'!H$6:H$834,$H406)))</f>
        <v/>
      </c>
      <c r="AI406" s="74" t="str" cm="1">
        <f t="array" ref="AI406">IF($H406=0,"",IF(INDEX('DM01-AV-CH'!I$6:I$834,$H406)="","",INDEX('DM01-AV-CH'!I$6:I$834,$H406)))</f>
        <v/>
      </c>
    </row>
    <row r="407" spans="1:35" x14ac:dyDescent="0.25">
      <c r="A407" s="57">
        <v>402</v>
      </c>
      <c r="B407" s="57">
        <f>IF($A407="","",IF(_xlfn.XLOOKUP($A407,Korrelation!$D$4:$D$1197,Korrelation!E$4:E$1197,"-",0)="-",0,MATCH(_xlfn.XLOOKUP($A407,Korrelation!$D$4:$D$1197,Korrelation!E$4:E$1197,"",0),DMAV_Modell!$G$6:$G$677,0)))</f>
        <v>166</v>
      </c>
      <c r="C407" s="57">
        <f>IF($A407="","",IF(_xlfn.XLOOKUP($A407,Korrelation!$D$4:$D$1197,Korrelation!F$4:F$1197,"-",0)="-",0,MATCH(_xlfn.XLOOKUP($A407,Korrelation!$D$4:$D$1197,Korrelation!F$4:F$1197,"",0),DMAV_Modell!$G$6:$G$677,0)))</f>
        <v>0</v>
      </c>
      <c r="D407" s="57">
        <f>IF($A407="","",IF(_xlfn.XLOOKUP($A407,Korrelation!$D$4:$D$1197,Korrelation!G$4:G$1197,"-",0)="-",0,MATCH(_xlfn.XLOOKUP($A407,Korrelation!$D$4:$D$1197,Korrelation!G$4:G$1197,"",0),DMAV_Modell!$G$6:$G$677,0)))</f>
        <v>0</v>
      </c>
      <c r="E407" s="57">
        <f>IF($A407="","",IF(_xlfn.XLOOKUP($A407,Korrelation!$D$4:$D$1197,Korrelation!H$4:H$1197,"-",0)="-",0,MATCH(_xlfn.XLOOKUP($A407,Korrelation!$D$4:$D$1197,Korrelation!H$4:H$1197,"",0),DMAV_Dienste!$F$6:$F$140,0)))</f>
        <v>0</v>
      </c>
      <c r="F407" s="57">
        <f>IF($A407="","",IF(_xlfn.XLOOKUP($A407,Korrelation!$D$4:$D$1197,Korrelation!I$4:I$1197,"-",0)="-",0,MATCH(_xlfn.XLOOKUP($A407,Korrelation!$D$4:$D$1197,Korrelation!I$4:I$1197,"",0),DMAV_Dienste!$F$6:$F$140,0)))</f>
        <v>0</v>
      </c>
      <c r="G407" s="57">
        <f>IF($A407="","",IF(_xlfn.XLOOKUP($A407,Korrelation!$D$4:$D$1197,Korrelation!J$4:J$1197,"-",0)="-",0,MATCH(_xlfn.XLOOKUP($A407,Korrelation!$D$4:$D$1197,Korrelation!J$4:J$1197,"",0),DMAV_Dienste!$F$6:$F$140,0)))</f>
        <v>0</v>
      </c>
      <c r="H407" s="57">
        <f>IF($A407="","",IF(_xlfn.XLOOKUP($A407,Korrelation!$D$4:$D$1197,Korrelation!K$4:K$1197,"-",0)="-",0,MATCH(_xlfn.XLOOKUP($A407,Korrelation!$D$4:$D$1197,Korrelation!K$4:K$1197,"",0),'DM01-AV-CH'!$A$6:$A$834,0)))</f>
        <v>0</v>
      </c>
      <c r="J407" s="54" t="str" cm="1">
        <f t="array" aca="1" ref="J407" ca="1">IF(B407=0,IF(E407=0,"",HYPERLINK("#"&amp;RIGHT(CELL("adresse",OFFSET(DMAV_Dienste!$M$6,E407-1,0)),LEN(CELL("adresse",OFFSET(DMAV_Dienste!$M$6,E407-1,0)))-FIND("]",CELL("adresse",OFFSET(DMAV_Dienste!$M$6,E407-1,0)))),"Dienst")),HYPERLINK("#"&amp;RIGHT(CELL("adresse",OFFSET(DMAV_Modell!$N$6,B407-1,0)),LEN(CELL("adresse",OFFSET(DMAV_Modell!$N$6,B407-1,0)))-FIND("]",CELL("adresse",OFFSET(DMAV_Modell!$N$6,B407-1,0)))),"Modell"))</f>
        <v>Modell</v>
      </c>
      <c r="K407" s="61" t="str" cm="1">
        <f t="array" ref="K407">IF($B407=0,IF($E407=0,"",IF(INDEX(DMAV_Dienste!P$6:P$140,$E407)="","",INDEX(DMAV_Dienste!P$6:P$140,$E407))),IF(INDEX(DMAV_Modell!Q$6:Q$838,$B407)="","",INDEX(DMAV_Modell!Q$6:Q$838,$B407)))</f>
        <v>ASSOCIATION</v>
      </c>
      <c r="L407" s="62" t="str" cm="1">
        <f t="array" ref="L407">IF($B407=0,IF($E407=0,"",IF(INDEX(DMAV_Dienste!O$6:O$140,$E407)="","",INDEX(DMAV_Dienste!O$6:O$140,$E407))),IF(INDEX(DMAV_Modell!P$6:P$838,$B407)="","",INDEX(DMAV_Modell!P$6:P$838,$B407)))</f>
        <v>HoheitsgrenzenAV</v>
      </c>
      <c r="M407" s="62" t="str" cm="1">
        <f t="array" ref="M407">IF($B407=0,IF($E407=0,"",IF(INDEX(DMAV_Dienste!Q$6:Q$140,$E407)="","",INDEX(DMAV_Dienste!Q$6:Q$140,$E407))),IF(INDEX(DMAV_Modell!R$6:R$838,$B407)="","",INDEX(DMAV_Modell!R$6:R$838,$B407)))</f>
        <v>GemeindeProjGemeindegrenzabschnitt</v>
      </c>
      <c r="N407" s="62" t="str" cm="1">
        <f t="array" ref="N407">IF($B407=0,IF($E407=0,"",IF(INDEX(DMAV_Dienste!T$6:T$140,$E407)="","",INDEX(DMAV_Dienste!T$6:T$140,$E407))),IF(INDEX(DMAV_Modell!U$6:U$838,$B407)="","",INDEX(DMAV_Modell!U$6:U$838,$B407)))</f>
        <v>Gemeinde</v>
      </c>
      <c r="O407" s="63" t="str" cm="1">
        <f t="array" aca="1" ref="O407" ca="1">IF(C407=0,IF(F407=0,"",HYPERLINK("#"&amp;RIGHT(CELL("adresse",OFFSET(DMAV_Dienste!$M$6,F407-1,0)),LEN(CELL("adresse",OFFSET(DMAV_Dienste!$M$6,F407-1,0)))-FIND("]",CELL("adresse",OFFSET(DMAV_Dienste!$M$6,F407-1,0)))),"Structure")),HYPERLINK("#"&amp;RIGHT(CELL("adresse",OFFSET(DMAV_Modell!$N$6,C407-1,0)),LEN(CELL("adresse",OFFSET(DMAV_Modell!$N$6,C407-1,0)))-FIND("]",CELL("adresse",OFFSET(DMAV_Modell!$N$6,C407-1,0)))),"Structure"))</f>
        <v/>
      </c>
      <c r="P407" s="64" t="str" cm="1">
        <f t="array" aca="1" ref="P407" ca="1">IF(D407=0,IF(G407=0,"",HYPERLINK("#"&amp;RIGHT(CELL("adresse",OFFSET(DMAV_Dienste!$M$6,G407-1,0)),LEN(CELL("adresse",OFFSET(DMAV_Dienste!$M$6,G407-1,0)))-FIND("]",CELL("adresse",OFFSET(DMAV_Dienste!$M$6,G407-1,0)))),"Substructure")),HYPERLINK("#"&amp;RIGHT(CELL("adresse",OFFSET(DMAV_Modell!$N$6,D407-1,0)),LEN(CELL("adresse",OFFSET(DMAV_Modell!$N$6,D407-1,0)))-FIND("]",CELL("adresse",OFFSET(DMAV_Modell!$N$6,D407-1,0)))),"Substructure"))</f>
        <v/>
      </c>
      <c r="R407" s="80"/>
      <c r="T407" s="93"/>
      <c r="U407" s="94"/>
      <c r="V407" s="95"/>
      <c r="W407" s="96"/>
      <c r="Y407" s="85"/>
      <c r="Z407" s="86"/>
      <c r="AA407" s="87"/>
      <c r="AB407" s="88"/>
      <c r="AD407" s="77"/>
      <c r="AF407" s="54" t="str" cm="1">
        <f t="array" aca="1" ref="AF407" ca="1">IF(H407=0,"",HYPERLINK("#"&amp;RIGHT(CELL("adresse",OFFSET('DM01-AV-CH'!$G$6,H407-1,0)),LEN(CELL("adresse",OFFSET('DM01-AV-CH'!$G$6,H407-1,0)))-FIND("]",CELL("adresse",OFFSET('DM01-AV-CH'!$G$6,H407-1,0)))),"Modell"))</f>
        <v/>
      </c>
      <c r="AG407" s="72" t="str" cm="1">
        <f t="array" ref="AG407">IF($H407=0,"",IF(INDEX('DM01-AV-CH'!G$6:G$834,$H407)="","",INDEX('DM01-AV-CH'!G$6:G$834,$H407)))</f>
        <v/>
      </c>
      <c r="AH407" s="73" t="str" cm="1">
        <f t="array" ref="AH407">IF($H407=0,"",IF(INDEX('DM01-AV-CH'!H$6:H$834,$H407)="","",INDEX('DM01-AV-CH'!H$6:H$834,$H407)))</f>
        <v/>
      </c>
      <c r="AI407" s="74" t="str" cm="1">
        <f t="array" ref="AI407">IF($H407=0,"",IF(INDEX('DM01-AV-CH'!I$6:I$834,$H407)="","",INDEX('DM01-AV-CH'!I$6:I$834,$H407)))</f>
        <v/>
      </c>
    </row>
    <row r="408" spans="1:35" x14ac:dyDescent="0.25">
      <c r="A408" s="57">
        <v>403</v>
      </c>
      <c r="B408" s="57">
        <f>IF($A408="","",IF(_xlfn.XLOOKUP($A408,Korrelation!$D$4:$D$1197,Korrelation!E$4:E$1197,"-",0)="-",0,MATCH(_xlfn.XLOOKUP($A408,Korrelation!$D$4:$D$1197,Korrelation!E$4:E$1197,"",0),DMAV_Modell!$G$6:$G$677,0)))</f>
        <v>167</v>
      </c>
      <c r="C408" s="57">
        <f>IF($A408="","",IF(_xlfn.XLOOKUP($A408,Korrelation!$D$4:$D$1197,Korrelation!F$4:F$1197,"-",0)="-",0,MATCH(_xlfn.XLOOKUP($A408,Korrelation!$D$4:$D$1197,Korrelation!F$4:F$1197,"",0),DMAV_Modell!$G$6:$G$677,0)))</f>
        <v>0</v>
      </c>
      <c r="D408" s="57">
        <f>IF($A408="","",IF(_xlfn.XLOOKUP($A408,Korrelation!$D$4:$D$1197,Korrelation!G$4:G$1197,"-",0)="-",0,MATCH(_xlfn.XLOOKUP($A408,Korrelation!$D$4:$D$1197,Korrelation!G$4:G$1197,"",0),DMAV_Modell!$G$6:$G$677,0)))</f>
        <v>0</v>
      </c>
      <c r="E408" s="57">
        <f>IF($A408="","",IF(_xlfn.XLOOKUP($A408,Korrelation!$D$4:$D$1197,Korrelation!H$4:H$1197,"-",0)="-",0,MATCH(_xlfn.XLOOKUP($A408,Korrelation!$D$4:$D$1197,Korrelation!H$4:H$1197,"",0),DMAV_Dienste!$F$6:$F$140,0)))</f>
        <v>0</v>
      </c>
      <c r="F408" s="57">
        <f>IF($A408="","",IF(_xlfn.XLOOKUP($A408,Korrelation!$D$4:$D$1197,Korrelation!I$4:I$1197,"-",0)="-",0,MATCH(_xlfn.XLOOKUP($A408,Korrelation!$D$4:$D$1197,Korrelation!I$4:I$1197,"",0),DMAV_Dienste!$F$6:$F$140,0)))</f>
        <v>0</v>
      </c>
      <c r="G408" s="57">
        <f>IF($A408="","",IF(_xlfn.XLOOKUP($A408,Korrelation!$D$4:$D$1197,Korrelation!J$4:J$1197,"-",0)="-",0,MATCH(_xlfn.XLOOKUP($A408,Korrelation!$D$4:$D$1197,Korrelation!J$4:J$1197,"",0),DMAV_Dienste!$F$6:$F$140,0)))</f>
        <v>0</v>
      </c>
      <c r="H408" s="57">
        <f>IF($A408="","",IF(_xlfn.XLOOKUP($A408,Korrelation!$D$4:$D$1197,Korrelation!K$4:K$1197,"-",0)="-",0,MATCH(_xlfn.XLOOKUP($A408,Korrelation!$D$4:$D$1197,Korrelation!K$4:K$1197,"",0),'DM01-AV-CH'!$A$6:$A$834,0)))</f>
        <v>0</v>
      </c>
      <c r="J408" s="54" t="str" cm="1">
        <f t="array" aca="1" ref="J408" ca="1">IF(B408=0,IF(E408=0,"",HYPERLINK("#"&amp;RIGHT(CELL("adresse",OFFSET(DMAV_Dienste!$M$6,E408-1,0)),LEN(CELL("adresse",OFFSET(DMAV_Dienste!$M$6,E408-1,0)))-FIND("]",CELL("adresse",OFFSET(DMAV_Dienste!$M$6,E408-1,0)))),"Dienst")),HYPERLINK("#"&amp;RIGHT(CELL("adresse",OFFSET(DMAV_Modell!$N$6,B408-1,0)),LEN(CELL("adresse",OFFSET(DMAV_Modell!$N$6,B408-1,0)))-FIND("]",CELL("adresse",OFFSET(DMAV_Modell!$N$6,B408-1,0)))),"Modell"))</f>
        <v>Modell</v>
      </c>
      <c r="K408" s="61" t="str" cm="1">
        <f t="array" ref="K408">IF($B408=0,IF($E408=0,"",IF(INDEX(DMAV_Dienste!P$6:P$140,$E408)="","",INDEX(DMAV_Dienste!P$6:P$140,$E408))),IF(INDEX(DMAV_Modell!Q$6:Q$838,$B408)="","",INDEX(DMAV_Modell!Q$6:Q$838,$B408)))</f>
        <v>ASSOCIATION</v>
      </c>
      <c r="L408" s="62" t="str" cm="1">
        <f t="array" ref="L408">IF($B408=0,IF($E408=0,"",IF(INDEX(DMAV_Dienste!O$6:O$140,$E408)="","",INDEX(DMAV_Dienste!O$6:O$140,$E408))),IF(INDEX(DMAV_Modell!P$6:P$838,$B408)="","",INDEX(DMAV_Modell!P$6:P$838,$B408)))</f>
        <v>HoheitsgrenzenAV</v>
      </c>
      <c r="M408" s="62" t="str" cm="1">
        <f t="array" ref="M408">IF($B408=0,IF($E408=0,"",IF(INDEX(DMAV_Dienste!Q$6:Q$140,$E408)="","",INDEX(DMAV_Dienste!Q$6:Q$140,$E408))),IF(INDEX(DMAV_Modell!R$6:R$838,$B408)="","",INDEX(DMAV_Modell!R$6:R$838,$B408)))</f>
        <v>GemeindeProjGemeindegrenzabschnitt</v>
      </c>
      <c r="N408" s="62" t="str" cm="1">
        <f t="array" ref="N408">IF($B408=0,IF($E408=0,"",IF(INDEX(DMAV_Dienste!T$6:T$140,$E408)="","",INDEX(DMAV_Dienste!T$6:T$140,$E408))),IF(INDEX(DMAV_Modell!U$6:U$838,$B408)="","",INDEX(DMAV_Modell!U$6:U$838,$B408)))</f>
        <v>ProjGemeindeGrenzabschnitt</v>
      </c>
      <c r="O408" s="63" t="str" cm="1">
        <f t="array" aca="1" ref="O408" ca="1">IF(C408=0,IF(F408=0,"",HYPERLINK("#"&amp;RIGHT(CELL("adresse",OFFSET(DMAV_Dienste!$M$6,F408-1,0)),LEN(CELL("adresse",OFFSET(DMAV_Dienste!$M$6,F408-1,0)))-FIND("]",CELL("adresse",OFFSET(DMAV_Dienste!$M$6,F408-1,0)))),"Structure")),HYPERLINK("#"&amp;RIGHT(CELL("adresse",OFFSET(DMAV_Modell!$N$6,C408-1,0)),LEN(CELL("adresse",OFFSET(DMAV_Modell!$N$6,C408-1,0)))-FIND("]",CELL("adresse",OFFSET(DMAV_Modell!$N$6,C408-1,0)))),"Structure"))</f>
        <v/>
      </c>
      <c r="P408" s="64" t="str" cm="1">
        <f t="array" aca="1" ref="P408" ca="1">IF(D408=0,IF(G408=0,"",HYPERLINK("#"&amp;RIGHT(CELL("adresse",OFFSET(DMAV_Dienste!$M$6,G408-1,0)),LEN(CELL("adresse",OFFSET(DMAV_Dienste!$M$6,G408-1,0)))-FIND("]",CELL("adresse",OFFSET(DMAV_Dienste!$M$6,G408-1,0)))),"Substructure")),HYPERLINK("#"&amp;RIGHT(CELL("adresse",OFFSET(DMAV_Modell!$N$6,D408-1,0)),LEN(CELL("adresse",OFFSET(DMAV_Modell!$N$6,D408-1,0)))-FIND("]",CELL("adresse",OFFSET(DMAV_Modell!$N$6,D408-1,0)))),"Substructure"))</f>
        <v/>
      </c>
      <c r="R408" s="80"/>
      <c r="T408" s="93"/>
      <c r="U408" s="94"/>
      <c r="V408" s="95"/>
      <c r="W408" s="96"/>
      <c r="Y408" s="85"/>
      <c r="Z408" s="86"/>
      <c r="AA408" s="87"/>
      <c r="AB408" s="88"/>
      <c r="AD408" s="77"/>
      <c r="AF408" s="54" t="str" cm="1">
        <f t="array" aca="1" ref="AF408" ca="1">IF(H408=0,"",HYPERLINK("#"&amp;RIGHT(CELL("adresse",OFFSET('DM01-AV-CH'!$G$6,H408-1,0)),LEN(CELL("adresse",OFFSET('DM01-AV-CH'!$G$6,H408-1,0)))-FIND("]",CELL("adresse",OFFSET('DM01-AV-CH'!$G$6,H408-1,0)))),"Modell"))</f>
        <v/>
      </c>
      <c r="AG408" s="72" t="str" cm="1">
        <f t="array" ref="AG408">IF($H408=0,"",IF(INDEX('DM01-AV-CH'!G$6:G$834,$H408)="","",INDEX('DM01-AV-CH'!G$6:G$834,$H408)))</f>
        <v/>
      </c>
      <c r="AH408" s="73" t="str" cm="1">
        <f t="array" ref="AH408">IF($H408=0,"",IF(INDEX('DM01-AV-CH'!H$6:H$834,$H408)="","",INDEX('DM01-AV-CH'!H$6:H$834,$H408)))</f>
        <v/>
      </c>
      <c r="AI408" s="74" t="str" cm="1">
        <f t="array" ref="AI408">IF($H408=0,"",IF(INDEX('DM01-AV-CH'!I$6:I$834,$H408)="","",INDEX('DM01-AV-CH'!I$6:I$834,$H408)))</f>
        <v/>
      </c>
    </row>
    <row r="409" spans="1:35" x14ac:dyDescent="0.25">
      <c r="A409" s="57">
        <v>404</v>
      </c>
      <c r="B409" s="57">
        <f>IF($A409="","",IF(_xlfn.XLOOKUP($A409,Korrelation!$D$4:$D$1197,Korrelation!E$4:E$1197,"-",0)="-",0,MATCH(_xlfn.XLOOKUP($A409,Korrelation!$D$4:$D$1197,Korrelation!E$4:E$1197,"",0),DMAV_Modell!$G$6:$G$677,0)))</f>
        <v>168</v>
      </c>
      <c r="C409" s="57">
        <f>IF($A409="","",IF(_xlfn.XLOOKUP($A409,Korrelation!$D$4:$D$1197,Korrelation!F$4:F$1197,"-",0)="-",0,MATCH(_xlfn.XLOOKUP($A409,Korrelation!$D$4:$D$1197,Korrelation!F$4:F$1197,"",0),DMAV_Modell!$G$6:$G$677,0)))</f>
        <v>0</v>
      </c>
      <c r="D409" s="57">
        <f>IF($A409="","",IF(_xlfn.XLOOKUP($A409,Korrelation!$D$4:$D$1197,Korrelation!G$4:G$1197,"-",0)="-",0,MATCH(_xlfn.XLOOKUP($A409,Korrelation!$D$4:$D$1197,Korrelation!G$4:G$1197,"",0),DMAV_Modell!$G$6:$G$677,0)))</f>
        <v>0</v>
      </c>
      <c r="E409" s="57">
        <f>IF($A409="","",IF(_xlfn.XLOOKUP($A409,Korrelation!$D$4:$D$1197,Korrelation!H$4:H$1197,"-",0)="-",0,MATCH(_xlfn.XLOOKUP($A409,Korrelation!$D$4:$D$1197,Korrelation!H$4:H$1197,"",0),DMAV_Dienste!$F$6:$F$140,0)))</f>
        <v>0</v>
      </c>
      <c r="F409" s="57">
        <f>IF($A409="","",IF(_xlfn.XLOOKUP($A409,Korrelation!$D$4:$D$1197,Korrelation!I$4:I$1197,"-",0)="-",0,MATCH(_xlfn.XLOOKUP($A409,Korrelation!$D$4:$D$1197,Korrelation!I$4:I$1197,"",0),DMAV_Dienste!$F$6:$F$140,0)))</f>
        <v>0</v>
      </c>
      <c r="G409" s="57">
        <f>IF($A409="","",IF(_xlfn.XLOOKUP($A409,Korrelation!$D$4:$D$1197,Korrelation!J$4:J$1197,"-",0)="-",0,MATCH(_xlfn.XLOOKUP($A409,Korrelation!$D$4:$D$1197,Korrelation!J$4:J$1197,"",0),DMAV_Dienste!$F$6:$F$140,0)))</f>
        <v>0</v>
      </c>
      <c r="H409" s="57">
        <f>IF($A409="","",IF(_xlfn.XLOOKUP($A409,Korrelation!$D$4:$D$1197,Korrelation!K$4:K$1197,"-",0)="-",0,MATCH(_xlfn.XLOOKUP($A409,Korrelation!$D$4:$D$1197,Korrelation!K$4:K$1197,"",0),'DM01-AV-CH'!$A$6:$A$834,0)))</f>
        <v>0</v>
      </c>
      <c r="J409" s="54" t="str" cm="1">
        <f t="array" aca="1" ref="J409" ca="1">IF(B409=0,IF(E409=0,"",HYPERLINK("#"&amp;RIGHT(CELL("adresse",OFFSET(DMAV_Dienste!$M$6,E409-1,0)),LEN(CELL("adresse",OFFSET(DMAV_Dienste!$M$6,E409-1,0)))-FIND("]",CELL("adresse",OFFSET(DMAV_Dienste!$M$6,E409-1,0)))),"Dienst")),HYPERLINK("#"&amp;RIGHT(CELL("adresse",OFFSET(DMAV_Modell!$N$6,B409-1,0)),LEN(CELL("adresse",OFFSET(DMAV_Modell!$N$6,B409-1,0)))-FIND("]",CELL("adresse",OFFSET(DMAV_Modell!$N$6,B409-1,0)))),"Modell"))</f>
        <v>Modell</v>
      </c>
      <c r="K409" s="61" t="str" cm="1">
        <f t="array" ref="K409">IF($B409=0,IF($E409=0,"",IF(INDEX(DMAV_Dienste!P$6:P$140,$E409)="","",INDEX(DMAV_Dienste!P$6:P$140,$E409))),IF(INDEX(DMAV_Modell!Q$6:Q$838,$B409)="","",INDEX(DMAV_Modell!Q$6:Q$838,$B409)))</f>
        <v>ASSOCIATION</v>
      </c>
      <c r="L409" s="62" t="str" cm="1">
        <f t="array" ref="L409">IF($B409=0,IF($E409=0,"",IF(INDEX(DMAV_Dienste!O$6:O$140,$E409)="","",INDEX(DMAV_Dienste!O$6:O$140,$E409))),IF(INDEX(DMAV_Modell!P$6:P$838,$B409)="","",INDEX(DMAV_Modell!P$6:P$838,$B409)))</f>
        <v>HoheitsgrenzenAV</v>
      </c>
      <c r="M409" s="62" t="str" cm="1">
        <f t="array" ref="M409">IF($B409=0,IF($E409=0,"",IF(INDEX(DMAV_Dienste!Q$6:Q$140,$E409)="","",INDEX(DMAV_Dienste!Q$6:Q$140,$E409))),IF(INDEX(DMAV_Modell!R$6:R$838,$B409)="","",INDEX(DMAV_Modell!R$6:R$838,$B409)))</f>
        <v>Vorgaenger_Nachfolger_ProjGemeindegrenzabschnitt</v>
      </c>
      <c r="N409" s="62" t="str" cm="1">
        <f t="array" ref="N409">IF($B409=0,IF($E409=0,"",IF(INDEX(DMAV_Dienste!T$6:T$140,$E409)="","",INDEX(DMAV_Dienste!T$6:T$140,$E409))),IF(INDEX(DMAV_Modell!U$6:U$838,$B409)="","",INDEX(DMAV_Modell!U$6:U$838,$B409)))</f>
        <v>Vorgaenger</v>
      </c>
      <c r="O409" s="63" t="str" cm="1">
        <f t="array" aca="1" ref="O409" ca="1">IF(C409=0,IF(F409=0,"",HYPERLINK("#"&amp;RIGHT(CELL("adresse",OFFSET(DMAV_Dienste!$M$6,F409-1,0)),LEN(CELL("adresse",OFFSET(DMAV_Dienste!$M$6,F409-1,0)))-FIND("]",CELL("adresse",OFFSET(DMAV_Dienste!$M$6,F409-1,0)))),"Structure")),HYPERLINK("#"&amp;RIGHT(CELL("adresse",OFFSET(DMAV_Modell!$N$6,C409-1,0)),LEN(CELL("adresse",OFFSET(DMAV_Modell!$N$6,C409-1,0)))-FIND("]",CELL("adresse",OFFSET(DMAV_Modell!$N$6,C409-1,0)))),"Structure"))</f>
        <v/>
      </c>
      <c r="P409" s="64" t="str" cm="1">
        <f t="array" aca="1" ref="P409" ca="1">IF(D409=0,IF(G409=0,"",HYPERLINK("#"&amp;RIGHT(CELL("adresse",OFFSET(DMAV_Dienste!$M$6,G409-1,0)),LEN(CELL("adresse",OFFSET(DMAV_Dienste!$M$6,G409-1,0)))-FIND("]",CELL("adresse",OFFSET(DMAV_Dienste!$M$6,G409-1,0)))),"Substructure")),HYPERLINK("#"&amp;RIGHT(CELL("adresse",OFFSET(DMAV_Modell!$N$6,D409-1,0)),LEN(CELL("adresse",OFFSET(DMAV_Modell!$N$6,D409-1,0)))-FIND("]",CELL("adresse",OFFSET(DMAV_Modell!$N$6,D409-1,0)))),"Substructure"))</f>
        <v/>
      </c>
      <c r="R409" s="80"/>
      <c r="T409" s="93"/>
      <c r="U409" s="94"/>
      <c r="V409" s="95"/>
      <c r="W409" s="96"/>
      <c r="Y409" s="85"/>
      <c r="Z409" s="86"/>
      <c r="AA409" s="87"/>
      <c r="AB409" s="88"/>
      <c r="AD409" s="77"/>
      <c r="AF409" s="54" t="str" cm="1">
        <f t="array" aca="1" ref="AF409" ca="1">IF(H409=0,"",HYPERLINK("#"&amp;RIGHT(CELL("adresse",OFFSET('DM01-AV-CH'!$G$6,H409-1,0)),LEN(CELL("adresse",OFFSET('DM01-AV-CH'!$G$6,H409-1,0)))-FIND("]",CELL("adresse",OFFSET('DM01-AV-CH'!$G$6,H409-1,0)))),"Modell"))</f>
        <v/>
      </c>
      <c r="AG409" s="72" t="str" cm="1">
        <f t="array" ref="AG409">IF($H409=0,"",IF(INDEX('DM01-AV-CH'!G$6:G$834,$H409)="","",INDEX('DM01-AV-CH'!G$6:G$834,$H409)))</f>
        <v/>
      </c>
      <c r="AH409" s="73" t="str" cm="1">
        <f t="array" ref="AH409">IF($H409=0,"",IF(INDEX('DM01-AV-CH'!H$6:H$834,$H409)="","",INDEX('DM01-AV-CH'!H$6:H$834,$H409)))</f>
        <v/>
      </c>
      <c r="AI409" s="74" t="str" cm="1">
        <f t="array" ref="AI409">IF($H409=0,"",IF(INDEX('DM01-AV-CH'!I$6:I$834,$H409)="","",INDEX('DM01-AV-CH'!I$6:I$834,$H409)))</f>
        <v/>
      </c>
    </row>
    <row r="410" spans="1:35" x14ac:dyDescent="0.25">
      <c r="A410" s="57">
        <v>405</v>
      </c>
      <c r="B410" s="57">
        <f>IF($A410="","",IF(_xlfn.XLOOKUP($A410,Korrelation!$D$4:$D$1197,Korrelation!E$4:E$1197,"-",0)="-",0,MATCH(_xlfn.XLOOKUP($A410,Korrelation!$D$4:$D$1197,Korrelation!E$4:E$1197,"",0),DMAV_Modell!$G$6:$G$677,0)))</f>
        <v>169</v>
      </c>
      <c r="C410" s="57">
        <f>IF($A410="","",IF(_xlfn.XLOOKUP($A410,Korrelation!$D$4:$D$1197,Korrelation!F$4:F$1197,"-",0)="-",0,MATCH(_xlfn.XLOOKUP($A410,Korrelation!$D$4:$D$1197,Korrelation!F$4:F$1197,"",0),DMAV_Modell!$G$6:$G$677,0)))</f>
        <v>0</v>
      </c>
      <c r="D410" s="57">
        <f>IF($A410="","",IF(_xlfn.XLOOKUP($A410,Korrelation!$D$4:$D$1197,Korrelation!G$4:G$1197,"-",0)="-",0,MATCH(_xlfn.XLOOKUP($A410,Korrelation!$D$4:$D$1197,Korrelation!G$4:G$1197,"",0),DMAV_Modell!$G$6:$G$677,0)))</f>
        <v>0</v>
      </c>
      <c r="E410" s="57">
        <f>IF($A410="","",IF(_xlfn.XLOOKUP($A410,Korrelation!$D$4:$D$1197,Korrelation!H$4:H$1197,"-",0)="-",0,MATCH(_xlfn.XLOOKUP($A410,Korrelation!$D$4:$D$1197,Korrelation!H$4:H$1197,"",0),DMAV_Dienste!$F$6:$F$140,0)))</f>
        <v>0</v>
      </c>
      <c r="F410" s="57">
        <f>IF($A410="","",IF(_xlfn.XLOOKUP($A410,Korrelation!$D$4:$D$1197,Korrelation!I$4:I$1197,"-",0)="-",0,MATCH(_xlfn.XLOOKUP($A410,Korrelation!$D$4:$D$1197,Korrelation!I$4:I$1197,"",0),DMAV_Dienste!$F$6:$F$140,0)))</f>
        <v>0</v>
      </c>
      <c r="G410" s="57">
        <f>IF($A410="","",IF(_xlfn.XLOOKUP($A410,Korrelation!$D$4:$D$1197,Korrelation!J$4:J$1197,"-",0)="-",0,MATCH(_xlfn.XLOOKUP($A410,Korrelation!$D$4:$D$1197,Korrelation!J$4:J$1197,"",0),DMAV_Dienste!$F$6:$F$140,0)))</f>
        <v>0</v>
      </c>
      <c r="H410" s="57">
        <f>IF($A410="","",IF(_xlfn.XLOOKUP($A410,Korrelation!$D$4:$D$1197,Korrelation!K$4:K$1197,"-",0)="-",0,MATCH(_xlfn.XLOOKUP($A410,Korrelation!$D$4:$D$1197,Korrelation!K$4:K$1197,"",0),'DM01-AV-CH'!$A$6:$A$834,0)))</f>
        <v>0</v>
      </c>
      <c r="J410" s="54" t="str" cm="1">
        <f t="array" aca="1" ref="J410" ca="1">IF(B410=0,IF(E410=0,"",HYPERLINK("#"&amp;RIGHT(CELL("adresse",OFFSET(DMAV_Dienste!$M$6,E410-1,0)),LEN(CELL("adresse",OFFSET(DMAV_Dienste!$M$6,E410-1,0)))-FIND("]",CELL("adresse",OFFSET(DMAV_Dienste!$M$6,E410-1,0)))),"Dienst")),HYPERLINK("#"&amp;RIGHT(CELL("adresse",OFFSET(DMAV_Modell!$N$6,B410-1,0)),LEN(CELL("adresse",OFFSET(DMAV_Modell!$N$6,B410-1,0)))-FIND("]",CELL("adresse",OFFSET(DMAV_Modell!$N$6,B410-1,0)))),"Modell"))</f>
        <v>Modell</v>
      </c>
      <c r="K410" s="61" t="str" cm="1">
        <f t="array" ref="K410">IF($B410=0,IF($E410=0,"",IF(INDEX(DMAV_Dienste!P$6:P$140,$E410)="","",INDEX(DMAV_Dienste!P$6:P$140,$E410))),IF(INDEX(DMAV_Modell!Q$6:Q$838,$B410)="","",INDEX(DMAV_Modell!Q$6:Q$838,$B410)))</f>
        <v>ASSOCIATION</v>
      </c>
      <c r="L410" s="62" t="str" cm="1">
        <f t="array" ref="L410">IF($B410=0,IF($E410=0,"",IF(INDEX(DMAV_Dienste!O$6:O$140,$E410)="","",INDEX(DMAV_Dienste!O$6:O$140,$E410))),IF(INDEX(DMAV_Modell!P$6:P$838,$B410)="","",INDEX(DMAV_Modell!P$6:P$838,$B410)))</f>
        <v>HoheitsgrenzenAV</v>
      </c>
      <c r="M410" s="62" t="str" cm="1">
        <f t="array" ref="M410">IF($B410=0,IF($E410=0,"",IF(INDEX(DMAV_Dienste!Q$6:Q$140,$E410)="","",INDEX(DMAV_Dienste!Q$6:Q$140,$E410))),IF(INDEX(DMAV_Modell!R$6:R$838,$B410)="","",INDEX(DMAV_Modell!R$6:R$838,$B410)))</f>
        <v>Vorgaenger_Nachfolger_ProjGemeindegrenzabschnitt</v>
      </c>
      <c r="N410" s="62" t="str" cm="1">
        <f t="array" ref="N410">IF($B410=0,IF($E410=0,"",IF(INDEX(DMAV_Dienste!T$6:T$140,$E410)="","",INDEX(DMAV_Dienste!T$6:T$140,$E410))),IF(INDEX(DMAV_Modell!U$6:U$838,$B410)="","",INDEX(DMAV_Modell!U$6:U$838,$B410)))</f>
        <v>Nachfolger</v>
      </c>
      <c r="O410" s="63" t="str" cm="1">
        <f t="array" aca="1" ref="O410" ca="1">IF(C410=0,IF(F410=0,"",HYPERLINK("#"&amp;RIGHT(CELL("adresse",OFFSET(DMAV_Dienste!$M$6,F410-1,0)),LEN(CELL("adresse",OFFSET(DMAV_Dienste!$M$6,F410-1,0)))-FIND("]",CELL("adresse",OFFSET(DMAV_Dienste!$M$6,F410-1,0)))),"Structure")),HYPERLINK("#"&amp;RIGHT(CELL("adresse",OFFSET(DMAV_Modell!$N$6,C410-1,0)),LEN(CELL("adresse",OFFSET(DMAV_Modell!$N$6,C410-1,0)))-FIND("]",CELL("adresse",OFFSET(DMAV_Modell!$N$6,C410-1,0)))),"Structure"))</f>
        <v/>
      </c>
      <c r="P410" s="64" t="str" cm="1">
        <f t="array" aca="1" ref="P410" ca="1">IF(D410=0,IF(G410=0,"",HYPERLINK("#"&amp;RIGHT(CELL("adresse",OFFSET(DMAV_Dienste!$M$6,G410-1,0)),LEN(CELL("adresse",OFFSET(DMAV_Dienste!$M$6,G410-1,0)))-FIND("]",CELL("adresse",OFFSET(DMAV_Dienste!$M$6,G410-1,0)))),"Substructure")),HYPERLINK("#"&amp;RIGHT(CELL("adresse",OFFSET(DMAV_Modell!$N$6,D410-1,0)),LEN(CELL("adresse",OFFSET(DMAV_Modell!$N$6,D410-1,0)))-FIND("]",CELL("adresse",OFFSET(DMAV_Modell!$N$6,D410-1,0)))),"Substructure"))</f>
        <v/>
      </c>
      <c r="R410" s="80"/>
      <c r="T410" s="93"/>
      <c r="U410" s="94"/>
      <c r="V410" s="95"/>
      <c r="W410" s="96"/>
      <c r="Y410" s="85"/>
      <c r="Z410" s="86"/>
      <c r="AA410" s="87"/>
      <c r="AB410" s="88"/>
      <c r="AD410" s="77"/>
      <c r="AF410" s="54" t="str" cm="1">
        <f t="array" aca="1" ref="AF410" ca="1">IF(H410=0,"",HYPERLINK("#"&amp;RIGHT(CELL("adresse",OFFSET('DM01-AV-CH'!$G$6,H410-1,0)),LEN(CELL("adresse",OFFSET('DM01-AV-CH'!$G$6,H410-1,0)))-FIND("]",CELL("adresse",OFFSET('DM01-AV-CH'!$G$6,H410-1,0)))),"Modell"))</f>
        <v/>
      </c>
      <c r="AG410" s="72" t="str" cm="1">
        <f t="array" ref="AG410">IF($H410=0,"",IF(INDEX('DM01-AV-CH'!G$6:G$834,$H410)="","",INDEX('DM01-AV-CH'!G$6:G$834,$H410)))</f>
        <v/>
      </c>
      <c r="AH410" s="73" t="str" cm="1">
        <f t="array" ref="AH410">IF($H410=0,"",IF(INDEX('DM01-AV-CH'!H$6:H$834,$H410)="","",INDEX('DM01-AV-CH'!H$6:H$834,$H410)))</f>
        <v/>
      </c>
      <c r="AI410" s="74" t="str" cm="1">
        <f t="array" ref="AI410">IF($H410=0,"",IF(INDEX('DM01-AV-CH'!I$6:I$834,$H410)="","",INDEX('DM01-AV-CH'!I$6:I$834,$H410)))</f>
        <v/>
      </c>
    </row>
    <row r="411" spans="1:35" x14ac:dyDescent="0.25">
      <c r="A411" s="57">
        <v>406</v>
      </c>
      <c r="B411" s="57">
        <f>IF($A411="","",IF(_xlfn.XLOOKUP($A411,Korrelation!$D$4:$D$1197,Korrelation!E$4:E$1197,"-",0)="-",0,MATCH(_xlfn.XLOOKUP($A411,Korrelation!$D$4:$D$1197,Korrelation!E$4:E$1197,"",0),DMAV_Modell!$G$6:$G$677,0)))</f>
        <v>170</v>
      </c>
      <c r="C411" s="57">
        <f>IF($A411="","",IF(_xlfn.XLOOKUP($A411,Korrelation!$D$4:$D$1197,Korrelation!F$4:F$1197,"-",0)="-",0,MATCH(_xlfn.XLOOKUP($A411,Korrelation!$D$4:$D$1197,Korrelation!F$4:F$1197,"",0),DMAV_Modell!$G$6:$G$677,0)))</f>
        <v>0</v>
      </c>
      <c r="D411" s="57">
        <f>IF($A411="","",IF(_xlfn.XLOOKUP($A411,Korrelation!$D$4:$D$1197,Korrelation!G$4:G$1197,"-",0)="-",0,MATCH(_xlfn.XLOOKUP($A411,Korrelation!$D$4:$D$1197,Korrelation!G$4:G$1197,"",0),DMAV_Modell!$G$6:$G$677,0)))</f>
        <v>0</v>
      </c>
      <c r="E411" s="57">
        <f>IF($A411="","",IF(_xlfn.XLOOKUP($A411,Korrelation!$D$4:$D$1197,Korrelation!H$4:H$1197,"-",0)="-",0,MATCH(_xlfn.XLOOKUP($A411,Korrelation!$D$4:$D$1197,Korrelation!H$4:H$1197,"",0),DMAV_Dienste!$F$6:$F$140,0)))</f>
        <v>0</v>
      </c>
      <c r="F411" s="57">
        <f>IF($A411="","",IF(_xlfn.XLOOKUP($A411,Korrelation!$D$4:$D$1197,Korrelation!I$4:I$1197,"-",0)="-",0,MATCH(_xlfn.XLOOKUP($A411,Korrelation!$D$4:$D$1197,Korrelation!I$4:I$1197,"",0),DMAV_Dienste!$F$6:$F$140,0)))</f>
        <v>0</v>
      </c>
      <c r="G411" s="57">
        <f>IF($A411="","",IF(_xlfn.XLOOKUP($A411,Korrelation!$D$4:$D$1197,Korrelation!J$4:J$1197,"-",0)="-",0,MATCH(_xlfn.XLOOKUP($A411,Korrelation!$D$4:$D$1197,Korrelation!J$4:J$1197,"",0),DMAV_Dienste!$F$6:$F$140,0)))</f>
        <v>0</v>
      </c>
      <c r="H411" s="57">
        <f>IF($A411="","",IF(_xlfn.XLOOKUP($A411,Korrelation!$D$4:$D$1197,Korrelation!K$4:K$1197,"-",0)="-",0,MATCH(_xlfn.XLOOKUP($A411,Korrelation!$D$4:$D$1197,Korrelation!K$4:K$1197,"",0),'DM01-AV-CH'!$A$6:$A$834,0)))</f>
        <v>0</v>
      </c>
      <c r="J411" s="54" t="str" cm="1">
        <f t="array" aca="1" ref="J411" ca="1">IF(B411=0,IF(E411=0,"",HYPERLINK("#"&amp;RIGHT(CELL("adresse",OFFSET(DMAV_Dienste!$M$6,E411-1,0)),LEN(CELL("adresse",OFFSET(DMAV_Dienste!$M$6,E411-1,0)))-FIND("]",CELL("adresse",OFFSET(DMAV_Dienste!$M$6,E411-1,0)))),"Dienst")),HYPERLINK("#"&amp;RIGHT(CELL("adresse",OFFSET(DMAV_Modell!$N$6,B411-1,0)),LEN(CELL("adresse",OFFSET(DMAV_Modell!$N$6,B411-1,0)))-FIND("]",CELL("adresse",OFFSET(DMAV_Modell!$N$6,B411-1,0)))),"Modell"))</f>
        <v>Modell</v>
      </c>
      <c r="K411" s="61" t="str" cm="1">
        <f t="array" ref="K411">IF($B411=0,IF($E411=0,"",IF(INDEX(DMAV_Dienste!P$6:P$140,$E411)="","",INDEX(DMAV_Dienste!P$6:P$140,$E411))),IF(INDEX(DMAV_Modell!Q$6:Q$838,$B411)="","",INDEX(DMAV_Modell!Q$6:Q$838,$B411)))</f>
        <v>VIEW</v>
      </c>
      <c r="L411" s="62" t="str" cm="1">
        <f t="array" ref="L411">IF($B411=0,IF($E411=0,"",IF(INDEX(DMAV_Dienste!O$6:O$140,$E411)="","",INDEX(DMAV_Dienste!O$6:O$140,$E411))),IF(INDEX(DMAV_Modell!P$6:P$838,$B411)="","",INDEX(DMAV_Modell!P$6:P$838,$B411)))</f>
        <v>HoheitsgrenzenAV</v>
      </c>
      <c r="M411" s="62" t="str" cm="1">
        <f t="array" ref="M411">IF($B411=0,IF($E411=0,"",IF(INDEX(DMAV_Dienste!Q$6:Q$140,$E411)="","",INDEX(DMAV_Dienste!Q$6:Q$140,$E411))),IF(INDEX(DMAV_Modell!R$6:R$838,$B411)="","",INDEX(DMAV_Modell!R$6:R$838,$B411)))</f>
        <v>Gemeindegrenzabschnitt_Projektiert</v>
      </c>
      <c r="N411" s="62" t="str" cm="1">
        <f t="array" ref="N411">IF($B411=0,IF($E411=0,"",IF(INDEX(DMAV_Dienste!T$6:T$140,$E411)="","",INDEX(DMAV_Dienste!T$6:T$140,$E411))),IF(INDEX(DMAV_Modell!U$6:U$838,$B411)="","",INDEX(DMAV_Modell!U$6:U$838,$B411)))</f>
        <v>PROJECTION OF</v>
      </c>
      <c r="O411" s="63" t="str" cm="1">
        <f t="array" aca="1" ref="O411" ca="1">IF(C411=0,IF(F411=0,"",HYPERLINK("#"&amp;RIGHT(CELL("adresse",OFFSET(DMAV_Dienste!$M$6,F411-1,0)),LEN(CELL("adresse",OFFSET(DMAV_Dienste!$M$6,F411-1,0)))-FIND("]",CELL("adresse",OFFSET(DMAV_Dienste!$M$6,F411-1,0)))),"Structure")),HYPERLINK("#"&amp;RIGHT(CELL("adresse",OFFSET(DMAV_Modell!$N$6,C411-1,0)),LEN(CELL("adresse",OFFSET(DMAV_Modell!$N$6,C411-1,0)))-FIND("]",CELL("adresse",OFFSET(DMAV_Modell!$N$6,C411-1,0)))),"Structure"))</f>
        <v/>
      </c>
      <c r="P411" s="64" t="str" cm="1">
        <f t="array" aca="1" ref="P411" ca="1">IF(D411=0,IF(G411=0,"",HYPERLINK("#"&amp;RIGHT(CELL("adresse",OFFSET(DMAV_Dienste!$M$6,G411-1,0)),LEN(CELL("adresse",OFFSET(DMAV_Dienste!$M$6,G411-1,0)))-FIND("]",CELL("adresse",OFFSET(DMAV_Dienste!$M$6,G411-1,0)))),"Substructure")),HYPERLINK("#"&amp;RIGHT(CELL("adresse",OFFSET(DMAV_Modell!$N$6,D411-1,0)),LEN(CELL("adresse",OFFSET(DMAV_Modell!$N$6,D411-1,0)))-FIND("]",CELL("adresse",OFFSET(DMAV_Modell!$N$6,D411-1,0)))),"Substructure"))</f>
        <v/>
      </c>
      <c r="R411" s="80"/>
      <c r="T411" s="93"/>
      <c r="U411" s="94"/>
      <c r="V411" s="95"/>
      <c r="W411" s="96"/>
      <c r="Y411" s="85"/>
      <c r="Z411" s="86"/>
      <c r="AA411" s="87"/>
      <c r="AB411" s="88"/>
      <c r="AD411" s="77"/>
      <c r="AF411" s="54" t="str" cm="1">
        <f t="array" aca="1" ref="AF411" ca="1">IF(H411=0,"",HYPERLINK("#"&amp;RIGHT(CELL("adresse",OFFSET('DM01-AV-CH'!$G$6,H411-1,0)),LEN(CELL("adresse",OFFSET('DM01-AV-CH'!$G$6,H411-1,0)))-FIND("]",CELL("adresse",OFFSET('DM01-AV-CH'!$G$6,H411-1,0)))),"Modell"))</f>
        <v/>
      </c>
      <c r="AG411" s="72" t="str" cm="1">
        <f t="array" ref="AG411">IF($H411=0,"",IF(INDEX('DM01-AV-CH'!G$6:G$834,$H411)="","",INDEX('DM01-AV-CH'!G$6:G$834,$H411)))</f>
        <v/>
      </c>
      <c r="AH411" s="73" t="str" cm="1">
        <f t="array" ref="AH411">IF($H411=0,"",IF(INDEX('DM01-AV-CH'!H$6:H$834,$H411)="","",INDEX('DM01-AV-CH'!H$6:H$834,$H411)))</f>
        <v/>
      </c>
      <c r="AI411" s="74" t="str" cm="1">
        <f t="array" ref="AI411">IF($H411=0,"",IF(INDEX('DM01-AV-CH'!I$6:I$834,$H411)="","",INDEX('DM01-AV-CH'!I$6:I$834,$H411)))</f>
        <v/>
      </c>
    </row>
    <row r="412" spans="1:35" x14ac:dyDescent="0.25">
      <c r="A412" s="57">
        <v>407</v>
      </c>
      <c r="B412" s="57">
        <f>IF($A412="","",IF(_xlfn.XLOOKUP($A412,Korrelation!$D$4:$D$1197,Korrelation!E$4:E$1197,"-",0)="-",0,MATCH(_xlfn.XLOOKUP($A412,Korrelation!$D$4:$D$1197,Korrelation!E$4:E$1197,"",0),DMAV_Modell!$G$6:$G$677,0)))</f>
        <v>171</v>
      </c>
      <c r="C412" s="57">
        <f>IF($A412="","",IF(_xlfn.XLOOKUP($A412,Korrelation!$D$4:$D$1197,Korrelation!F$4:F$1197,"-",0)="-",0,MATCH(_xlfn.XLOOKUP($A412,Korrelation!$D$4:$D$1197,Korrelation!F$4:F$1197,"",0),DMAV_Modell!$G$6:$G$677,0)))</f>
        <v>0</v>
      </c>
      <c r="D412" s="57">
        <f>IF($A412="","",IF(_xlfn.XLOOKUP($A412,Korrelation!$D$4:$D$1197,Korrelation!G$4:G$1197,"-",0)="-",0,MATCH(_xlfn.XLOOKUP($A412,Korrelation!$D$4:$D$1197,Korrelation!G$4:G$1197,"",0),DMAV_Modell!$G$6:$G$677,0)))</f>
        <v>0</v>
      </c>
      <c r="E412" s="57">
        <f>IF($A412="","",IF(_xlfn.XLOOKUP($A412,Korrelation!$D$4:$D$1197,Korrelation!H$4:H$1197,"-",0)="-",0,MATCH(_xlfn.XLOOKUP($A412,Korrelation!$D$4:$D$1197,Korrelation!H$4:H$1197,"",0),DMAV_Dienste!$F$6:$F$140,0)))</f>
        <v>0</v>
      </c>
      <c r="F412" s="57">
        <f>IF($A412="","",IF(_xlfn.XLOOKUP($A412,Korrelation!$D$4:$D$1197,Korrelation!I$4:I$1197,"-",0)="-",0,MATCH(_xlfn.XLOOKUP($A412,Korrelation!$D$4:$D$1197,Korrelation!I$4:I$1197,"",0),DMAV_Dienste!$F$6:$F$140,0)))</f>
        <v>0</v>
      </c>
      <c r="G412" s="57">
        <f>IF($A412="","",IF(_xlfn.XLOOKUP($A412,Korrelation!$D$4:$D$1197,Korrelation!J$4:J$1197,"-",0)="-",0,MATCH(_xlfn.XLOOKUP($A412,Korrelation!$D$4:$D$1197,Korrelation!J$4:J$1197,"",0),DMAV_Dienste!$F$6:$F$140,0)))</f>
        <v>0</v>
      </c>
      <c r="H412" s="57">
        <f>IF($A412="","",IF(_xlfn.XLOOKUP($A412,Korrelation!$D$4:$D$1197,Korrelation!K$4:K$1197,"-",0)="-",0,MATCH(_xlfn.XLOOKUP($A412,Korrelation!$D$4:$D$1197,Korrelation!K$4:K$1197,"",0),'DM01-AV-CH'!$A$6:$A$834,0)))</f>
        <v>0</v>
      </c>
      <c r="J412" s="54" t="str" cm="1">
        <f t="array" aca="1" ref="J412" ca="1">IF(B412=0,IF(E412=0,"",HYPERLINK("#"&amp;RIGHT(CELL("adresse",OFFSET(DMAV_Dienste!$M$6,E412-1,0)),LEN(CELL("adresse",OFFSET(DMAV_Dienste!$M$6,E412-1,0)))-FIND("]",CELL("adresse",OFFSET(DMAV_Dienste!$M$6,E412-1,0)))),"Dienst")),HYPERLINK("#"&amp;RIGHT(CELL("adresse",OFFSET(DMAV_Modell!$N$6,B412-1,0)),LEN(CELL("adresse",OFFSET(DMAV_Modell!$N$6,B412-1,0)))-FIND("]",CELL("adresse",OFFSET(DMAV_Modell!$N$6,B412-1,0)))),"Modell"))</f>
        <v>Modell</v>
      </c>
      <c r="K412" s="61" t="str" cm="1">
        <f t="array" ref="K412">IF($B412=0,IF($E412=0,"",IF(INDEX(DMAV_Dienste!P$6:P$140,$E412)="","",INDEX(DMAV_Dienste!P$6:P$140,$E412))),IF(INDEX(DMAV_Modell!Q$6:Q$838,$B412)="","",INDEX(DMAV_Modell!Q$6:Q$838,$B412)))</f>
        <v>VIEW</v>
      </c>
      <c r="L412" s="62" t="str" cm="1">
        <f t="array" ref="L412">IF($B412=0,IF($E412=0,"",IF(INDEX(DMAV_Dienste!O$6:O$140,$E412)="","",INDEX(DMAV_Dienste!O$6:O$140,$E412))),IF(INDEX(DMAV_Modell!P$6:P$838,$B412)="","",INDEX(DMAV_Modell!P$6:P$838,$B412)))</f>
        <v>HoheitsgrenzenAV</v>
      </c>
      <c r="M412" s="62" t="str" cm="1">
        <f t="array" ref="M412">IF($B412=0,IF($E412=0,"",IF(INDEX(DMAV_Dienste!Q$6:Q$140,$E412)="","",INDEX(DMAV_Dienste!Q$6:Q$140,$E412))),IF(INDEX(DMAV_Modell!R$6:R$838,$B412)="","",INDEX(DMAV_Modell!R$6:R$838,$B412)))</f>
        <v>Gemeindegrenzabschnitt_Projektiert</v>
      </c>
      <c r="N412" s="62" t="str" cm="1">
        <f t="array" ref="N412">IF($B412=0,IF($E412=0,"",IF(INDEX(DMAV_Dienste!T$6:T$140,$E412)="","",INDEX(DMAV_Dienste!T$6:T$140,$E412))),IF(INDEX(DMAV_Modell!U$6:U$838,$B412)="","",INDEX(DMAV_Modell!U$6:U$838,$B412)))</f>
        <v>WHERE DEFINED(@PH1@) AND NOT(DEFINED(@PH2@))</v>
      </c>
      <c r="O412" s="63" t="str" cm="1">
        <f t="array" aca="1" ref="O412" ca="1">IF(C412=0,IF(F412=0,"",HYPERLINK("#"&amp;RIGHT(CELL("adresse",OFFSET(DMAV_Dienste!$M$6,F412-1,0)),LEN(CELL("adresse",OFFSET(DMAV_Dienste!$M$6,F412-1,0)))-FIND("]",CELL("adresse",OFFSET(DMAV_Dienste!$M$6,F412-1,0)))),"Structure")),HYPERLINK("#"&amp;RIGHT(CELL("adresse",OFFSET(DMAV_Modell!$N$6,C412-1,0)),LEN(CELL("adresse",OFFSET(DMAV_Modell!$N$6,C412-1,0)))-FIND("]",CELL("adresse",OFFSET(DMAV_Modell!$N$6,C412-1,0)))),"Structure"))</f>
        <v/>
      </c>
      <c r="P412" s="64" t="str" cm="1">
        <f t="array" aca="1" ref="P412" ca="1">IF(D412=0,IF(G412=0,"",HYPERLINK("#"&amp;RIGHT(CELL("adresse",OFFSET(DMAV_Dienste!$M$6,G412-1,0)),LEN(CELL("adresse",OFFSET(DMAV_Dienste!$M$6,G412-1,0)))-FIND("]",CELL("adresse",OFFSET(DMAV_Dienste!$M$6,G412-1,0)))),"Substructure")),HYPERLINK("#"&amp;RIGHT(CELL("adresse",OFFSET(DMAV_Modell!$N$6,D412-1,0)),LEN(CELL("adresse",OFFSET(DMAV_Modell!$N$6,D412-1,0)))-FIND("]",CELL("adresse",OFFSET(DMAV_Modell!$N$6,D412-1,0)))),"Substructure"))</f>
        <v/>
      </c>
      <c r="R412" s="80"/>
      <c r="T412" s="93"/>
      <c r="U412" s="94"/>
      <c r="V412" s="95"/>
      <c r="W412" s="96"/>
      <c r="Y412" s="85"/>
      <c r="Z412" s="86"/>
      <c r="AA412" s="87"/>
      <c r="AB412" s="88"/>
      <c r="AD412" s="77"/>
      <c r="AF412" s="54" t="str" cm="1">
        <f t="array" aca="1" ref="AF412" ca="1">IF(H412=0,"",HYPERLINK("#"&amp;RIGHT(CELL("adresse",OFFSET('DM01-AV-CH'!$G$6,H412-1,0)),LEN(CELL("adresse",OFFSET('DM01-AV-CH'!$G$6,H412-1,0)))-FIND("]",CELL("adresse",OFFSET('DM01-AV-CH'!$G$6,H412-1,0)))),"Modell"))</f>
        <v/>
      </c>
      <c r="AG412" s="72" t="str" cm="1">
        <f t="array" ref="AG412">IF($H412=0,"",IF(INDEX('DM01-AV-CH'!G$6:G$834,$H412)="","",INDEX('DM01-AV-CH'!G$6:G$834,$H412)))</f>
        <v/>
      </c>
      <c r="AH412" s="73" t="str" cm="1">
        <f t="array" ref="AH412">IF($H412=0,"",IF(INDEX('DM01-AV-CH'!H$6:H$834,$H412)="","",INDEX('DM01-AV-CH'!H$6:H$834,$H412)))</f>
        <v/>
      </c>
      <c r="AI412" s="74" t="str" cm="1">
        <f t="array" ref="AI412">IF($H412=0,"",IF(INDEX('DM01-AV-CH'!I$6:I$834,$H412)="","",INDEX('DM01-AV-CH'!I$6:I$834,$H412)))</f>
        <v/>
      </c>
    </row>
    <row r="413" spans="1:35" x14ac:dyDescent="0.25">
      <c r="A413" s="57">
        <v>408</v>
      </c>
      <c r="B413" s="57">
        <f>IF($A413="","",IF(_xlfn.XLOOKUP($A413,Korrelation!$D$4:$D$1197,Korrelation!E$4:E$1197,"-",0)="-",0,MATCH(_xlfn.XLOOKUP($A413,Korrelation!$D$4:$D$1197,Korrelation!E$4:E$1197,"",0),DMAV_Modell!$G$6:$G$677,0)))</f>
        <v>172</v>
      </c>
      <c r="C413" s="57">
        <f>IF($A413="","",IF(_xlfn.XLOOKUP($A413,Korrelation!$D$4:$D$1197,Korrelation!F$4:F$1197,"-",0)="-",0,MATCH(_xlfn.XLOOKUP($A413,Korrelation!$D$4:$D$1197,Korrelation!F$4:F$1197,"",0),DMAV_Modell!$G$6:$G$677,0)))</f>
        <v>0</v>
      </c>
      <c r="D413" s="57">
        <f>IF($A413="","",IF(_xlfn.XLOOKUP($A413,Korrelation!$D$4:$D$1197,Korrelation!G$4:G$1197,"-",0)="-",0,MATCH(_xlfn.XLOOKUP($A413,Korrelation!$D$4:$D$1197,Korrelation!G$4:G$1197,"",0),DMAV_Modell!$G$6:$G$677,0)))</f>
        <v>0</v>
      </c>
      <c r="E413" s="57">
        <f>IF($A413="","",IF(_xlfn.XLOOKUP($A413,Korrelation!$D$4:$D$1197,Korrelation!H$4:H$1197,"-",0)="-",0,MATCH(_xlfn.XLOOKUP($A413,Korrelation!$D$4:$D$1197,Korrelation!H$4:H$1197,"",0),DMAV_Dienste!$F$6:$F$140,0)))</f>
        <v>0</v>
      </c>
      <c r="F413" s="57">
        <f>IF($A413="","",IF(_xlfn.XLOOKUP($A413,Korrelation!$D$4:$D$1197,Korrelation!I$4:I$1197,"-",0)="-",0,MATCH(_xlfn.XLOOKUP($A413,Korrelation!$D$4:$D$1197,Korrelation!I$4:I$1197,"",0),DMAV_Dienste!$F$6:$F$140,0)))</f>
        <v>0</v>
      </c>
      <c r="G413" s="57">
        <f>IF($A413="","",IF(_xlfn.XLOOKUP($A413,Korrelation!$D$4:$D$1197,Korrelation!J$4:J$1197,"-",0)="-",0,MATCH(_xlfn.XLOOKUP($A413,Korrelation!$D$4:$D$1197,Korrelation!J$4:J$1197,"",0),DMAV_Dienste!$F$6:$F$140,0)))</f>
        <v>0</v>
      </c>
      <c r="H413" s="57">
        <f>IF($A413="","",IF(_xlfn.XLOOKUP($A413,Korrelation!$D$4:$D$1197,Korrelation!K$4:K$1197,"-",0)="-",0,MATCH(_xlfn.XLOOKUP($A413,Korrelation!$D$4:$D$1197,Korrelation!K$4:K$1197,"",0),'DM01-AV-CH'!$A$6:$A$834,0)))</f>
        <v>0</v>
      </c>
      <c r="J413" s="54" t="str" cm="1">
        <f t="array" aca="1" ref="J413" ca="1">IF(B413=0,IF(E413=0,"",HYPERLINK("#"&amp;RIGHT(CELL("adresse",OFFSET(DMAV_Dienste!$M$6,E413-1,0)),LEN(CELL("adresse",OFFSET(DMAV_Dienste!$M$6,E413-1,0)))-FIND("]",CELL("adresse",OFFSET(DMAV_Dienste!$M$6,E413-1,0)))),"Dienst")),HYPERLINK("#"&amp;RIGHT(CELL("adresse",OFFSET(DMAV_Modell!$N$6,B413-1,0)),LEN(CELL("adresse",OFFSET(DMAV_Modell!$N$6,B413-1,0)))-FIND("]",CELL("adresse",OFFSET(DMAV_Modell!$N$6,B413-1,0)))),"Modell"))</f>
        <v>Modell</v>
      </c>
      <c r="K413" s="61" t="str" cm="1">
        <f t="array" ref="K413">IF($B413=0,IF($E413=0,"",IF(INDEX(DMAV_Dienste!P$6:P$140,$E413)="","",INDEX(DMAV_Dienste!P$6:P$140,$E413))),IF(INDEX(DMAV_Modell!Q$6:Q$838,$B413)="","",INDEX(DMAV_Modell!Q$6:Q$838,$B413)))</f>
        <v>VIEW</v>
      </c>
      <c r="L413" s="62" t="str" cm="1">
        <f t="array" ref="L413">IF($B413=0,IF($E413=0,"",IF(INDEX(DMAV_Dienste!O$6:O$140,$E413)="","",INDEX(DMAV_Dienste!O$6:O$140,$E413))),IF(INDEX(DMAV_Modell!P$6:P$838,$B413)="","",INDEX(DMAV_Modell!P$6:P$838,$B413)))</f>
        <v>HoheitsgrenzenAV</v>
      </c>
      <c r="M413" s="62" t="str" cm="1">
        <f t="array" ref="M413">IF($B413=0,IF($E413=0,"",IF(INDEX(DMAV_Dienste!Q$6:Q$140,$E413)="","",INDEX(DMAV_Dienste!Q$6:Q$140,$E413))),IF(INDEX(DMAV_Modell!R$6:R$838,$B413)="","",INDEX(DMAV_Modell!R$6:R$838,$B413)))</f>
        <v>Gemeindegrenzabschnitt_Projektiert</v>
      </c>
      <c r="N413" s="62" t="str" cm="1">
        <f t="array" ref="N413">IF($B413=0,IF($E413=0,"",IF(INDEX(DMAV_Dienste!T$6:T$140,$E413)="","",INDEX(DMAV_Dienste!T$6:T$140,$E413))),IF(INDEX(DMAV_Modell!U$6:U$838,$B413)="","",INDEX(DMAV_Modell!U$6:U$838,$B413)))</f>
        <v>= ALL OF</v>
      </c>
      <c r="O413" s="63" t="str" cm="1">
        <f t="array" aca="1" ref="O413" ca="1">IF(C413=0,IF(F413=0,"",HYPERLINK("#"&amp;RIGHT(CELL("adresse",OFFSET(DMAV_Dienste!$M$6,F413-1,0)),LEN(CELL("adresse",OFFSET(DMAV_Dienste!$M$6,F413-1,0)))-FIND("]",CELL("adresse",OFFSET(DMAV_Dienste!$M$6,F413-1,0)))),"Structure")),HYPERLINK("#"&amp;RIGHT(CELL("adresse",OFFSET(DMAV_Modell!$N$6,C413-1,0)),LEN(CELL("adresse",OFFSET(DMAV_Modell!$N$6,C413-1,0)))-FIND("]",CELL("adresse",OFFSET(DMAV_Modell!$N$6,C413-1,0)))),"Structure"))</f>
        <v/>
      </c>
      <c r="P413" s="64" t="str" cm="1">
        <f t="array" aca="1" ref="P413" ca="1">IF(D413=0,IF(G413=0,"",HYPERLINK("#"&amp;RIGHT(CELL("adresse",OFFSET(DMAV_Dienste!$M$6,G413-1,0)),LEN(CELL("adresse",OFFSET(DMAV_Dienste!$M$6,G413-1,0)))-FIND("]",CELL("adresse",OFFSET(DMAV_Dienste!$M$6,G413-1,0)))),"Substructure")),HYPERLINK("#"&amp;RIGHT(CELL("adresse",OFFSET(DMAV_Modell!$N$6,D413-1,0)),LEN(CELL("adresse",OFFSET(DMAV_Modell!$N$6,D413-1,0)))-FIND("]",CELL("adresse",OFFSET(DMAV_Modell!$N$6,D413-1,0)))),"Substructure"))</f>
        <v/>
      </c>
      <c r="R413" s="80"/>
      <c r="T413" s="93"/>
      <c r="U413" s="94"/>
      <c r="V413" s="95"/>
      <c r="W413" s="96"/>
      <c r="Y413" s="85"/>
      <c r="Z413" s="86"/>
      <c r="AA413" s="87"/>
      <c r="AB413" s="88"/>
      <c r="AD413" s="77"/>
      <c r="AF413" s="54" t="str" cm="1">
        <f t="array" aca="1" ref="AF413" ca="1">IF(H413=0,"",HYPERLINK("#"&amp;RIGHT(CELL("adresse",OFFSET('DM01-AV-CH'!$G$6,H413-1,0)),LEN(CELL("adresse",OFFSET('DM01-AV-CH'!$G$6,H413-1,0)))-FIND("]",CELL("adresse",OFFSET('DM01-AV-CH'!$G$6,H413-1,0)))),"Modell"))</f>
        <v/>
      </c>
      <c r="AG413" s="72" t="str" cm="1">
        <f t="array" ref="AG413">IF($H413=0,"",IF(INDEX('DM01-AV-CH'!G$6:G$834,$H413)="","",INDEX('DM01-AV-CH'!G$6:G$834,$H413)))</f>
        <v/>
      </c>
      <c r="AH413" s="73" t="str" cm="1">
        <f t="array" ref="AH413">IF($H413=0,"",IF(INDEX('DM01-AV-CH'!H$6:H$834,$H413)="","",INDEX('DM01-AV-CH'!H$6:H$834,$H413)))</f>
        <v/>
      </c>
      <c r="AI413" s="74" t="str" cm="1">
        <f t="array" ref="AI413">IF($H413=0,"",IF(INDEX('DM01-AV-CH'!I$6:I$834,$H413)="","",INDEX('DM01-AV-CH'!I$6:I$834,$H413)))</f>
        <v/>
      </c>
    </row>
    <row r="414" spans="1:35" x14ac:dyDescent="0.25">
      <c r="A414" s="57">
        <v>409</v>
      </c>
      <c r="B414" s="57">
        <f>IF($A414="","",IF(_xlfn.XLOOKUP($A414,Korrelation!$D$4:$D$1197,Korrelation!E$4:E$1197,"-",0)="-",0,MATCH(_xlfn.XLOOKUP($A414,Korrelation!$D$4:$D$1197,Korrelation!E$4:E$1197,"",0),DMAV_Modell!$G$6:$G$677,0)))</f>
        <v>173</v>
      </c>
      <c r="C414" s="57">
        <f>IF($A414="","",IF(_xlfn.XLOOKUP($A414,Korrelation!$D$4:$D$1197,Korrelation!F$4:F$1197,"-",0)="-",0,MATCH(_xlfn.XLOOKUP($A414,Korrelation!$D$4:$D$1197,Korrelation!F$4:F$1197,"",0),DMAV_Modell!$G$6:$G$677,0)))</f>
        <v>0</v>
      </c>
      <c r="D414" s="57">
        <f>IF($A414="","",IF(_xlfn.XLOOKUP($A414,Korrelation!$D$4:$D$1197,Korrelation!G$4:G$1197,"-",0)="-",0,MATCH(_xlfn.XLOOKUP($A414,Korrelation!$D$4:$D$1197,Korrelation!G$4:G$1197,"",0),DMAV_Modell!$G$6:$G$677,0)))</f>
        <v>0</v>
      </c>
      <c r="E414" s="57">
        <f>IF($A414="","",IF(_xlfn.XLOOKUP($A414,Korrelation!$D$4:$D$1197,Korrelation!H$4:H$1197,"-",0)="-",0,MATCH(_xlfn.XLOOKUP($A414,Korrelation!$D$4:$D$1197,Korrelation!H$4:H$1197,"",0),DMAV_Dienste!$F$6:$F$140,0)))</f>
        <v>0</v>
      </c>
      <c r="F414" s="57">
        <f>IF($A414="","",IF(_xlfn.XLOOKUP($A414,Korrelation!$D$4:$D$1197,Korrelation!I$4:I$1197,"-",0)="-",0,MATCH(_xlfn.XLOOKUP($A414,Korrelation!$D$4:$D$1197,Korrelation!I$4:I$1197,"",0),DMAV_Dienste!$F$6:$F$140,0)))</f>
        <v>0</v>
      </c>
      <c r="G414" s="57">
        <f>IF($A414="","",IF(_xlfn.XLOOKUP($A414,Korrelation!$D$4:$D$1197,Korrelation!J$4:J$1197,"-",0)="-",0,MATCH(_xlfn.XLOOKUP($A414,Korrelation!$D$4:$D$1197,Korrelation!J$4:J$1197,"",0),DMAV_Dienste!$F$6:$F$140,0)))</f>
        <v>0</v>
      </c>
      <c r="H414" s="57">
        <f>IF($A414="","",IF(_xlfn.XLOOKUP($A414,Korrelation!$D$4:$D$1197,Korrelation!K$4:K$1197,"-",0)="-",0,MATCH(_xlfn.XLOOKUP($A414,Korrelation!$D$4:$D$1197,Korrelation!K$4:K$1197,"",0),'DM01-AV-CH'!$A$6:$A$834,0)))</f>
        <v>619</v>
      </c>
      <c r="J414" s="54" t="str" cm="1">
        <f t="array" aca="1" ref="J414" ca="1">IF(B414=0,IF(E414=0,"",HYPERLINK("#"&amp;RIGHT(CELL("adresse",OFFSET(DMAV_Dienste!$M$6,E414-1,0)),LEN(CELL("adresse",OFFSET(DMAV_Dienste!$M$6,E414-1,0)))-FIND("]",CELL("adresse",OFFSET(DMAV_Dienste!$M$6,E414-1,0)))),"Dienst")),HYPERLINK("#"&amp;RIGHT(CELL("adresse",OFFSET(DMAV_Modell!$N$6,B414-1,0)),LEN(CELL("adresse",OFFSET(DMAV_Modell!$N$6,B414-1,0)))-FIND("]",CELL("adresse",OFFSET(DMAV_Modell!$N$6,B414-1,0)))),"Modell"))</f>
        <v>Modell</v>
      </c>
      <c r="K414" s="61" t="str" cm="1">
        <f t="array" ref="K414">IF($B414=0,IF($E414=0,"",IF(INDEX(DMAV_Dienste!P$6:P$140,$E414)="","",INDEX(DMAV_Dienste!P$6:P$140,$E414))),IF(INDEX(DMAV_Modell!Q$6:Q$838,$B414)="","",INDEX(DMAV_Modell!Q$6:Q$838,$B414)))</f>
        <v>CLASS</v>
      </c>
      <c r="L414" s="62" t="str" cm="1">
        <f t="array" ref="L414">IF($B414=0,IF($E414=0,"",IF(INDEX(DMAV_Dienste!O$6:O$140,$E414)="","",INDEX(DMAV_Dienste!O$6:O$140,$E414))),IF(INDEX(DMAV_Modell!P$6:P$838,$B414)="","",INDEX(DMAV_Modell!P$6:P$838,$B414)))</f>
        <v>HoheitsgrenzenAV</v>
      </c>
      <c r="M414" s="62" t="str" cm="1">
        <f t="array" ref="M414">IF($B414=0,IF($E414=0,"",IF(INDEX(DMAV_Dienste!Q$6:Q$140,$E414)="","",INDEX(DMAV_Dienste!Q$6:Q$140,$E414))),IF(INDEX(DMAV_Modell!R$6:R$838,$B414)="","",INDEX(DMAV_Modell!R$6:R$838,$B414)))</f>
        <v>Bezirksgrenzabschnitt</v>
      </c>
      <c r="N414" s="62" t="str" cm="1">
        <f t="array" ref="N414">IF($B414=0,IF($E414=0,"",IF(INDEX(DMAV_Dienste!T$6:T$140,$E414)="","",INDEX(DMAV_Dienste!T$6:T$140,$E414))),IF(INDEX(DMAV_Modell!U$6:U$838,$B414)="","",INDEX(DMAV_Modell!U$6:U$838,$B414)))</f>
        <v>Geometrie</v>
      </c>
      <c r="O414" s="63" t="str" cm="1">
        <f t="array" aca="1" ref="O414" ca="1">IF(C414=0,IF(F414=0,"",HYPERLINK("#"&amp;RIGHT(CELL("adresse",OFFSET(DMAV_Dienste!$M$6,F414-1,0)),LEN(CELL("adresse",OFFSET(DMAV_Dienste!$M$6,F414-1,0)))-FIND("]",CELL("adresse",OFFSET(DMAV_Dienste!$M$6,F414-1,0)))),"Structure")),HYPERLINK("#"&amp;RIGHT(CELL("adresse",OFFSET(DMAV_Modell!$N$6,C414-1,0)),LEN(CELL("adresse",OFFSET(DMAV_Modell!$N$6,C414-1,0)))-FIND("]",CELL("adresse",OFFSET(DMAV_Modell!$N$6,C414-1,0)))),"Structure"))</f>
        <v/>
      </c>
      <c r="P414" s="64" t="str" cm="1">
        <f t="array" aca="1" ref="P414" ca="1">IF(D414=0,IF(G414=0,"",HYPERLINK("#"&amp;RIGHT(CELL("adresse",OFFSET(DMAV_Dienste!$M$6,G414-1,0)),LEN(CELL("adresse",OFFSET(DMAV_Dienste!$M$6,G414-1,0)))-FIND("]",CELL("adresse",OFFSET(DMAV_Dienste!$M$6,G414-1,0)))),"Substructure")),HYPERLINK("#"&amp;RIGHT(CELL("adresse",OFFSET(DMAV_Modell!$N$6,D414-1,0)),LEN(CELL("adresse",OFFSET(DMAV_Modell!$N$6,D414-1,0)))-FIND("]",CELL("adresse",OFFSET(DMAV_Modell!$N$6,D414-1,0)))),"Substructure"))</f>
        <v/>
      </c>
      <c r="R414" s="80"/>
      <c r="T414" s="93"/>
      <c r="U414" s="94"/>
      <c r="V414" s="95"/>
      <c r="W414" s="96"/>
      <c r="Y414" s="85"/>
      <c r="Z414" s="86"/>
      <c r="AA414" s="87"/>
      <c r="AB414" s="88"/>
      <c r="AD414" s="77"/>
      <c r="AF414" s="54" t="str" cm="1">
        <f t="array" aca="1" ref="AF414" ca="1">IF(H414=0,"",HYPERLINK("#"&amp;RIGHT(CELL("adresse",OFFSET('DM01-AV-CH'!$G$6,H414-1,0)),LEN(CELL("adresse",OFFSET('DM01-AV-CH'!$G$6,H414-1,0)))-FIND("]",CELL("adresse",OFFSET('DM01-AV-CH'!$G$6,H414-1,0)))),"Modell"))</f>
        <v>Modell</v>
      </c>
      <c r="AG414" s="72" t="str" cm="1">
        <f t="array" ref="AG414">IF($H414=0,"",IF(INDEX('DM01-AV-CH'!G$6:G$834,$H414)="","",INDEX('DM01-AV-CH'!G$6:G$834,$H414)))</f>
        <v>Bezirksgrenzen</v>
      </c>
      <c r="AH414" s="73" t="str" cm="1">
        <f t="array" ref="AH414">IF($H414=0,"",IF(INDEX('DM01-AV-CH'!H$6:H$834,$H414)="","",INDEX('DM01-AV-CH'!H$6:H$834,$H414)))</f>
        <v>Bezirksgrenzabschnitt</v>
      </c>
      <c r="AI414" s="74" t="str" cm="1">
        <f t="array" ref="AI414">IF($H414=0,"",IF(INDEX('DM01-AV-CH'!I$6:I$834,$H414)="","",INDEX('DM01-AV-CH'!I$6:I$834,$H414)))</f>
        <v>Geometrie</v>
      </c>
    </row>
    <row r="415" spans="1:35" x14ac:dyDescent="0.25">
      <c r="A415" s="57">
        <v>410</v>
      </c>
      <c r="B415" s="57">
        <f>IF($A415="","",IF(_xlfn.XLOOKUP($A415,Korrelation!$D$4:$D$1197,Korrelation!E$4:E$1197,"-",0)="-",0,MATCH(_xlfn.XLOOKUP($A415,Korrelation!$D$4:$D$1197,Korrelation!E$4:E$1197,"",0),DMAV_Modell!$G$6:$G$677,0)))</f>
        <v>174</v>
      </c>
      <c r="C415" s="57">
        <f>IF($A415="","",IF(_xlfn.XLOOKUP($A415,Korrelation!$D$4:$D$1197,Korrelation!F$4:F$1197,"-",0)="-",0,MATCH(_xlfn.XLOOKUP($A415,Korrelation!$D$4:$D$1197,Korrelation!F$4:F$1197,"",0),DMAV_Modell!$G$6:$G$677,0)))</f>
        <v>0</v>
      </c>
      <c r="D415" s="57">
        <f>IF($A415="","",IF(_xlfn.XLOOKUP($A415,Korrelation!$D$4:$D$1197,Korrelation!G$4:G$1197,"-",0)="-",0,MATCH(_xlfn.XLOOKUP($A415,Korrelation!$D$4:$D$1197,Korrelation!G$4:G$1197,"",0),DMAV_Modell!$G$6:$G$677,0)))</f>
        <v>0</v>
      </c>
      <c r="E415" s="57">
        <f>IF($A415="","",IF(_xlfn.XLOOKUP($A415,Korrelation!$D$4:$D$1197,Korrelation!H$4:H$1197,"-",0)="-",0,MATCH(_xlfn.XLOOKUP($A415,Korrelation!$D$4:$D$1197,Korrelation!H$4:H$1197,"",0),DMAV_Dienste!$F$6:$F$140,0)))</f>
        <v>0</v>
      </c>
      <c r="F415" s="57">
        <f>IF($A415="","",IF(_xlfn.XLOOKUP($A415,Korrelation!$D$4:$D$1197,Korrelation!I$4:I$1197,"-",0)="-",0,MATCH(_xlfn.XLOOKUP($A415,Korrelation!$D$4:$D$1197,Korrelation!I$4:I$1197,"",0),DMAV_Dienste!$F$6:$F$140,0)))</f>
        <v>0</v>
      </c>
      <c r="G415" s="57">
        <f>IF($A415="","",IF(_xlfn.XLOOKUP($A415,Korrelation!$D$4:$D$1197,Korrelation!J$4:J$1197,"-",0)="-",0,MATCH(_xlfn.XLOOKUP($A415,Korrelation!$D$4:$D$1197,Korrelation!J$4:J$1197,"",0),DMAV_Dienste!$F$6:$F$140,0)))</f>
        <v>0</v>
      </c>
      <c r="H415" s="57">
        <f>IF($A415="","",IF(_xlfn.XLOOKUP($A415,Korrelation!$D$4:$D$1197,Korrelation!K$4:K$1197,"-",0)="-",0,MATCH(_xlfn.XLOOKUP($A415,Korrelation!$D$4:$D$1197,Korrelation!K$4:K$1197,"",0),'DM01-AV-CH'!$A$6:$A$834,0)))</f>
        <v>620</v>
      </c>
      <c r="J415" s="54" t="str" cm="1">
        <f t="array" aca="1" ref="J415" ca="1">IF(B415=0,IF(E415=0,"",HYPERLINK("#"&amp;RIGHT(CELL("adresse",OFFSET(DMAV_Dienste!$M$6,E415-1,0)),LEN(CELL("adresse",OFFSET(DMAV_Dienste!$M$6,E415-1,0)))-FIND("]",CELL("adresse",OFFSET(DMAV_Dienste!$M$6,E415-1,0)))),"Dienst")),HYPERLINK("#"&amp;RIGHT(CELL("adresse",OFFSET(DMAV_Modell!$N$6,B415-1,0)),LEN(CELL("adresse",OFFSET(DMAV_Modell!$N$6,B415-1,0)))-FIND("]",CELL("adresse",OFFSET(DMAV_Modell!$N$6,B415-1,0)))),"Modell"))</f>
        <v>Modell</v>
      </c>
      <c r="K415" s="61" t="str" cm="1">
        <f t="array" ref="K415">IF($B415=0,IF($E415=0,"",IF(INDEX(DMAV_Dienste!P$6:P$140,$E415)="","",INDEX(DMAV_Dienste!P$6:P$140,$E415))),IF(INDEX(DMAV_Modell!Q$6:Q$838,$B415)="","",INDEX(DMAV_Modell!Q$6:Q$838,$B415)))</f>
        <v>CLASS</v>
      </c>
      <c r="L415" s="62" t="str" cm="1">
        <f t="array" ref="L415">IF($B415=0,IF($E415=0,"",IF(INDEX(DMAV_Dienste!O$6:O$140,$E415)="","",INDEX(DMAV_Dienste!O$6:O$140,$E415))),IF(INDEX(DMAV_Modell!P$6:P$838,$B415)="","",INDEX(DMAV_Modell!P$6:P$838,$B415)))</f>
        <v>HoheitsgrenzenAV</v>
      </c>
      <c r="M415" s="62" t="str" cm="1">
        <f t="array" ref="M415">IF($B415=0,IF($E415=0,"",IF(INDEX(DMAV_Dienste!Q$6:Q$140,$E415)="","",INDEX(DMAV_Dienste!Q$6:Q$140,$E415))),IF(INDEX(DMAV_Modell!R$6:R$838,$B415)="","",INDEX(DMAV_Modell!R$6:R$838,$B415)))</f>
        <v>Bezirksgrenzabschnitt</v>
      </c>
      <c r="N415" s="62" t="str" cm="1">
        <f t="array" ref="N415">IF($B415=0,IF($E415=0,"",IF(INDEX(DMAV_Dienste!T$6:T$140,$E415)="","",INDEX(DMAV_Dienste!T$6:T$140,$E415))),IF(INDEX(DMAV_Modell!U$6:U$838,$B415)="","",INDEX(DMAV_Modell!U$6:U$838,$B415)))</f>
        <v>Gueltigkeit</v>
      </c>
      <c r="O415" s="63" t="str" cm="1">
        <f t="array" aca="1" ref="O415" ca="1">IF(C415=0,IF(F415=0,"",HYPERLINK("#"&amp;RIGHT(CELL("adresse",OFFSET(DMAV_Dienste!$M$6,F415-1,0)),LEN(CELL("adresse",OFFSET(DMAV_Dienste!$M$6,F415-1,0)))-FIND("]",CELL("adresse",OFFSET(DMAV_Dienste!$M$6,F415-1,0)))),"Structure")),HYPERLINK("#"&amp;RIGHT(CELL("adresse",OFFSET(DMAV_Modell!$N$6,C415-1,0)),LEN(CELL("adresse",OFFSET(DMAV_Modell!$N$6,C415-1,0)))-FIND("]",CELL("adresse",OFFSET(DMAV_Modell!$N$6,C415-1,0)))),"Structure"))</f>
        <v/>
      </c>
      <c r="P415" s="64" t="str" cm="1">
        <f t="array" aca="1" ref="P415" ca="1">IF(D415=0,IF(G415=0,"",HYPERLINK("#"&amp;RIGHT(CELL("adresse",OFFSET(DMAV_Dienste!$M$6,G415-1,0)),LEN(CELL("adresse",OFFSET(DMAV_Dienste!$M$6,G415-1,0)))-FIND("]",CELL("adresse",OFFSET(DMAV_Dienste!$M$6,G415-1,0)))),"Substructure")),HYPERLINK("#"&amp;RIGHT(CELL("adresse",OFFSET(DMAV_Modell!$N$6,D415-1,0)),LEN(CELL("adresse",OFFSET(DMAV_Modell!$N$6,D415-1,0)))-FIND("]",CELL("adresse",OFFSET(DMAV_Modell!$N$6,D415-1,0)))),"Substructure"))</f>
        <v/>
      </c>
      <c r="R415" s="80"/>
      <c r="T415" s="93"/>
      <c r="U415" s="94"/>
      <c r="V415" s="95"/>
      <c r="W415" s="96"/>
      <c r="Y415" s="85"/>
      <c r="Z415" s="86"/>
      <c r="AA415" s="87"/>
      <c r="AB415" s="88"/>
      <c r="AD415" s="77"/>
      <c r="AF415" s="54" t="str" cm="1">
        <f t="array" aca="1" ref="AF415" ca="1">IF(H415=0,"",HYPERLINK("#"&amp;RIGHT(CELL("adresse",OFFSET('DM01-AV-CH'!$G$6,H415-1,0)),LEN(CELL("adresse",OFFSET('DM01-AV-CH'!$G$6,H415-1,0)))-FIND("]",CELL("adresse",OFFSET('DM01-AV-CH'!$G$6,H415-1,0)))),"Modell"))</f>
        <v>Modell</v>
      </c>
      <c r="AG415" s="72" t="str" cm="1">
        <f t="array" ref="AG415">IF($H415=0,"",IF(INDEX('DM01-AV-CH'!G$6:G$834,$H415)="","",INDEX('DM01-AV-CH'!G$6:G$834,$H415)))</f>
        <v>Bezirksgrenzen</v>
      </c>
      <c r="AH415" s="73" t="str" cm="1">
        <f t="array" ref="AH415">IF($H415=0,"",IF(INDEX('DM01-AV-CH'!H$6:H$834,$H415)="","",INDEX('DM01-AV-CH'!H$6:H$834,$H415)))</f>
        <v>Bezirksgrenzabschnitt</v>
      </c>
      <c r="AI415" s="74" t="str" cm="1">
        <f t="array" ref="AI415">IF($H415=0,"",IF(INDEX('DM01-AV-CH'!I$6:I$834,$H415)="","",INDEX('DM01-AV-CH'!I$6:I$834,$H415)))</f>
        <v>Gueltigkeit</v>
      </c>
    </row>
    <row r="416" spans="1:35" x14ac:dyDescent="0.25">
      <c r="A416" s="57">
        <v>411</v>
      </c>
      <c r="B416" s="57">
        <f>IF($A416="","",IF(_xlfn.XLOOKUP($A416,Korrelation!$D$4:$D$1197,Korrelation!E$4:E$1197,"-",0)="-",0,MATCH(_xlfn.XLOOKUP($A416,Korrelation!$D$4:$D$1197,Korrelation!E$4:E$1197,"",0),DMAV_Modell!$G$6:$G$677,0)))</f>
        <v>175</v>
      </c>
      <c r="C416" s="57">
        <f>IF($A416="","",IF(_xlfn.XLOOKUP($A416,Korrelation!$D$4:$D$1197,Korrelation!F$4:F$1197,"-",0)="-",0,MATCH(_xlfn.XLOOKUP($A416,Korrelation!$D$4:$D$1197,Korrelation!F$4:F$1197,"",0),DMAV_Modell!$G$6:$G$677,0)))</f>
        <v>0</v>
      </c>
      <c r="D416" s="57">
        <f>IF($A416="","",IF(_xlfn.XLOOKUP($A416,Korrelation!$D$4:$D$1197,Korrelation!G$4:G$1197,"-",0)="-",0,MATCH(_xlfn.XLOOKUP($A416,Korrelation!$D$4:$D$1197,Korrelation!G$4:G$1197,"",0),DMAV_Modell!$G$6:$G$677,0)))</f>
        <v>0</v>
      </c>
      <c r="E416" s="57">
        <f>IF($A416="","",IF(_xlfn.XLOOKUP($A416,Korrelation!$D$4:$D$1197,Korrelation!H$4:H$1197,"-",0)="-",0,MATCH(_xlfn.XLOOKUP($A416,Korrelation!$D$4:$D$1197,Korrelation!H$4:H$1197,"",0),DMAV_Dienste!$F$6:$F$140,0)))</f>
        <v>0</v>
      </c>
      <c r="F416" s="57">
        <f>IF($A416="","",IF(_xlfn.XLOOKUP($A416,Korrelation!$D$4:$D$1197,Korrelation!I$4:I$1197,"-",0)="-",0,MATCH(_xlfn.XLOOKUP($A416,Korrelation!$D$4:$D$1197,Korrelation!I$4:I$1197,"",0),DMAV_Dienste!$F$6:$F$140,0)))</f>
        <v>0</v>
      </c>
      <c r="G416" s="57">
        <f>IF($A416="","",IF(_xlfn.XLOOKUP($A416,Korrelation!$D$4:$D$1197,Korrelation!J$4:J$1197,"-",0)="-",0,MATCH(_xlfn.XLOOKUP($A416,Korrelation!$D$4:$D$1197,Korrelation!J$4:J$1197,"",0),DMAV_Dienste!$F$6:$F$140,0)))</f>
        <v>0</v>
      </c>
      <c r="H416" s="57">
        <f>IF($A416="","",IF(_xlfn.XLOOKUP($A416,Korrelation!$D$4:$D$1197,Korrelation!K$4:K$1197,"-",0)="-",0,MATCH(_xlfn.XLOOKUP($A416,Korrelation!$D$4:$D$1197,Korrelation!K$4:K$1197,"",0),'DM01-AV-CH'!$A$6:$A$834,0)))</f>
        <v>0</v>
      </c>
      <c r="J416" s="54" t="str" cm="1">
        <f t="array" aca="1" ref="J416" ca="1">IF(B416=0,IF(E416=0,"",HYPERLINK("#"&amp;RIGHT(CELL("adresse",OFFSET(DMAV_Dienste!$M$6,E416-1,0)),LEN(CELL("adresse",OFFSET(DMAV_Dienste!$M$6,E416-1,0)))-FIND("]",CELL("adresse",OFFSET(DMAV_Dienste!$M$6,E416-1,0)))),"Dienst")),HYPERLINK("#"&amp;RIGHT(CELL("adresse",OFFSET(DMAV_Modell!$N$6,B416-1,0)),LEN(CELL("adresse",OFFSET(DMAV_Modell!$N$6,B416-1,0)))-FIND("]",CELL("adresse",OFFSET(DMAV_Modell!$N$6,B416-1,0)))),"Modell"))</f>
        <v>Modell</v>
      </c>
      <c r="K416" s="61" t="str" cm="1">
        <f t="array" ref="K416">IF($B416=0,IF($E416=0,"",IF(INDEX(DMAV_Dienste!P$6:P$140,$E416)="","",INDEX(DMAV_Dienste!P$6:P$140,$E416))),IF(INDEX(DMAV_Modell!Q$6:Q$838,$B416)="","",INDEX(DMAV_Modell!Q$6:Q$838,$B416)))</f>
        <v>ASSOCIATION</v>
      </c>
      <c r="L416" s="62" t="str" cm="1">
        <f t="array" ref="L416">IF($B416=0,IF($E416=0,"",IF(INDEX(DMAV_Dienste!O$6:O$140,$E416)="","",INDEX(DMAV_Dienste!O$6:O$140,$E416))),IF(INDEX(DMAV_Modell!P$6:P$838,$B416)="","",INDEX(DMAV_Modell!P$6:P$838,$B416)))</f>
        <v>HoheitsgrenzenAV</v>
      </c>
      <c r="M416" s="62" t="str" cm="1">
        <f t="array" ref="M416">IF($B416=0,IF($E416=0,"",IF(INDEX(DMAV_Dienste!Q$6:Q$140,$E416)="","",INDEX(DMAV_Dienste!Q$6:Q$140,$E416))),IF(INDEX(DMAV_Modell!R$6:R$838,$B416)="","",INDEX(DMAV_Modell!R$6:R$838,$B416)))</f>
        <v>Entstehung_Bezirksgrenzabschnitt</v>
      </c>
      <c r="N416" s="62" t="str" cm="1">
        <f t="array" ref="N416">IF($B416=0,IF($E416=0,"",IF(INDEX(DMAV_Dienste!T$6:T$140,$E416)="","",INDEX(DMAV_Dienste!T$6:T$140,$E416))),IF(INDEX(DMAV_Modell!U$6:U$838,$B416)="","",INDEX(DMAV_Modell!U$6:U$838,$B416)))</f>
        <v>Entstehung</v>
      </c>
      <c r="O416" s="63" t="str" cm="1">
        <f t="array" aca="1" ref="O416" ca="1">IF(C416=0,IF(F416=0,"",HYPERLINK("#"&amp;RIGHT(CELL("adresse",OFFSET(DMAV_Dienste!$M$6,F416-1,0)),LEN(CELL("adresse",OFFSET(DMAV_Dienste!$M$6,F416-1,0)))-FIND("]",CELL("adresse",OFFSET(DMAV_Dienste!$M$6,F416-1,0)))),"Structure")),HYPERLINK("#"&amp;RIGHT(CELL("adresse",OFFSET(DMAV_Modell!$N$6,C416-1,0)),LEN(CELL("adresse",OFFSET(DMAV_Modell!$N$6,C416-1,0)))-FIND("]",CELL("adresse",OFFSET(DMAV_Modell!$N$6,C416-1,0)))),"Structure"))</f>
        <v/>
      </c>
      <c r="P416" s="64" t="str" cm="1">
        <f t="array" aca="1" ref="P416" ca="1">IF(D416=0,IF(G416=0,"",HYPERLINK("#"&amp;RIGHT(CELL("adresse",OFFSET(DMAV_Dienste!$M$6,G416-1,0)),LEN(CELL("adresse",OFFSET(DMAV_Dienste!$M$6,G416-1,0)))-FIND("]",CELL("adresse",OFFSET(DMAV_Dienste!$M$6,G416-1,0)))),"Substructure")),HYPERLINK("#"&amp;RIGHT(CELL("adresse",OFFSET(DMAV_Modell!$N$6,D416-1,0)),LEN(CELL("adresse",OFFSET(DMAV_Modell!$N$6,D416-1,0)))-FIND("]",CELL("adresse",OFFSET(DMAV_Modell!$N$6,D416-1,0)))),"Substructure"))</f>
        <v/>
      </c>
      <c r="R416" s="80"/>
      <c r="T416" s="93"/>
      <c r="U416" s="94"/>
      <c r="V416" s="95"/>
      <c r="W416" s="96"/>
      <c r="Y416" s="85"/>
      <c r="Z416" s="86"/>
      <c r="AA416" s="87"/>
      <c r="AB416" s="88"/>
      <c r="AD416" s="77"/>
      <c r="AF416" s="54" t="str" cm="1">
        <f t="array" aca="1" ref="AF416" ca="1">IF(H416=0,"",HYPERLINK("#"&amp;RIGHT(CELL("adresse",OFFSET('DM01-AV-CH'!$G$6,H416-1,0)),LEN(CELL("adresse",OFFSET('DM01-AV-CH'!$G$6,H416-1,0)))-FIND("]",CELL("adresse",OFFSET('DM01-AV-CH'!$G$6,H416-1,0)))),"Modell"))</f>
        <v/>
      </c>
      <c r="AG416" s="72" t="str" cm="1">
        <f t="array" ref="AG416">IF($H416=0,"",IF(INDEX('DM01-AV-CH'!G$6:G$834,$H416)="","",INDEX('DM01-AV-CH'!G$6:G$834,$H416)))</f>
        <v/>
      </c>
      <c r="AH416" s="73" t="str" cm="1">
        <f t="array" ref="AH416">IF($H416=0,"",IF(INDEX('DM01-AV-CH'!H$6:H$834,$H416)="","",INDEX('DM01-AV-CH'!H$6:H$834,$H416)))</f>
        <v/>
      </c>
      <c r="AI416" s="74" t="str" cm="1">
        <f t="array" ref="AI416">IF($H416=0,"",IF(INDEX('DM01-AV-CH'!I$6:I$834,$H416)="","",INDEX('DM01-AV-CH'!I$6:I$834,$H416)))</f>
        <v/>
      </c>
    </row>
    <row r="417" spans="1:35" x14ac:dyDescent="0.25">
      <c r="A417" s="57">
        <v>412</v>
      </c>
      <c r="B417" s="57">
        <f>IF($A417="","",IF(_xlfn.XLOOKUP($A417,Korrelation!$D$4:$D$1197,Korrelation!E$4:E$1197,"-",0)="-",0,MATCH(_xlfn.XLOOKUP($A417,Korrelation!$D$4:$D$1197,Korrelation!E$4:E$1197,"",0),DMAV_Modell!$G$6:$G$677,0)))</f>
        <v>176</v>
      </c>
      <c r="C417" s="57">
        <f>IF($A417="","",IF(_xlfn.XLOOKUP($A417,Korrelation!$D$4:$D$1197,Korrelation!F$4:F$1197,"-",0)="-",0,MATCH(_xlfn.XLOOKUP($A417,Korrelation!$D$4:$D$1197,Korrelation!F$4:F$1197,"",0),DMAV_Modell!$G$6:$G$677,0)))</f>
        <v>0</v>
      </c>
      <c r="D417" s="57">
        <f>IF($A417="","",IF(_xlfn.XLOOKUP($A417,Korrelation!$D$4:$D$1197,Korrelation!G$4:G$1197,"-",0)="-",0,MATCH(_xlfn.XLOOKUP($A417,Korrelation!$D$4:$D$1197,Korrelation!G$4:G$1197,"",0),DMAV_Modell!$G$6:$G$677,0)))</f>
        <v>0</v>
      </c>
      <c r="E417" s="57">
        <f>IF($A417="","",IF(_xlfn.XLOOKUP($A417,Korrelation!$D$4:$D$1197,Korrelation!H$4:H$1197,"-",0)="-",0,MATCH(_xlfn.XLOOKUP($A417,Korrelation!$D$4:$D$1197,Korrelation!H$4:H$1197,"",0),DMAV_Dienste!$F$6:$F$140,0)))</f>
        <v>0</v>
      </c>
      <c r="F417" s="57">
        <f>IF($A417="","",IF(_xlfn.XLOOKUP($A417,Korrelation!$D$4:$D$1197,Korrelation!I$4:I$1197,"-",0)="-",0,MATCH(_xlfn.XLOOKUP($A417,Korrelation!$D$4:$D$1197,Korrelation!I$4:I$1197,"",0),DMAV_Dienste!$F$6:$F$140,0)))</f>
        <v>0</v>
      </c>
      <c r="G417" s="57">
        <f>IF($A417="","",IF(_xlfn.XLOOKUP($A417,Korrelation!$D$4:$D$1197,Korrelation!J$4:J$1197,"-",0)="-",0,MATCH(_xlfn.XLOOKUP($A417,Korrelation!$D$4:$D$1197,Korrelation!J$4:J$1197,"",0),DMAV_Dienste!$F$6:$F$140,0)))</f>
        <v>0</v>
      </c>
      <c r="H417" s="57">
        <f>IF($A417="","",IF(_xlfn.XLOOKUP($A417,Korrelation!$D$4:$D$1197,Korrelation!K$4:K$1197,"-",0)="-",0,MATCH(_xlfn.XLOOKUP($A417,Korrelation!$D$4:$D$1197,Korrelation!K$4:K$1197,"",0),'DM01-AV-CH'!$A$6:$A$834,0)))</f>
        <v>0</v>
      </c>
      <c r="J417" s="54" t="str" cm="1">
        <f t="array" aca="1" ref="J417" ca="1">IF(B417=0,IF(E417=0,"",HYPERLINK("#"&amp;RIGHT(CELL("adresse",OFFSET(DMAV_Dienste!$M$6,E417-1,0)),LEN(CELL("adresse",OFFSET(DMAV_Dienste!$M$6,E417-1,0)))-FIND("]",CELL("adresse",OFFSET(DMAV_Dienste!$M$6,E417-1,0)))),"Dienst")),HYPERLINK("#"&amp;RIGHT(CELL("adresse",OFFSET(DMAV_Modell!$N$6,B417-1,0)),LEN(CELL("adresse",OFFSET(DMAV_Modell!$N$6,B417-1,0)))-FIND("]",CELL("adresse",OFFSET(DMAV_Modell!$N$6,B417-1,0)))),"Modell"))</f>
        <v>Modell</v>
      </c>
      <c r="K417" s="61" t="str" cm="1">
        <f t="array" ref="K417">IF($B417=0,IF($E417=0,"",IF(INDEX(DMAV_Dienste!P$6:P$140,$E417)="","",INDEX(DMAV_Dienste!P$6:P$140,$E417))),IF(INDEX(DMAV_Modell!Q$6:Q$838,$B417)="","",INDEX(DMAV_Modell!Q$6:Q$838,$B417)))</f>
        <v>ASSOCIATION</v>
      </c>
      <c r="L417" s="62" t="str" cm="1">
        <f t="array" ref="L417">IF($B417=0,IF($E417=0,"",IF(INDEX(DMAV_Dienste!O$6:O$140,$E417)="","",INDEX(DMAV_Dienste!O$6:O$140,$E417))),IF(INDEX(DMAV_Modell!P$6:P$838,$B417)="","",INDEX(DMAV_Modell!P$6:P$838,$B417)))</f>
        <v>HoheitsgrenzenAV</v>
      </c>
      <c r="M417" s="62" t="str" cm="1">
        <f t="array" ref="M417">IF($B417=0,IF($E417=0,"",IF(INDEX(DMAV_Dienste!Q$6:Q$140,$E417)="","",INDEX(DMAV_Dienste!Q$6:Q$140,$E417))),IF(INDEX(DMAV_Modell!R$6:R$838,$B417)="","",INDEX(DMAV_Modell!R$6:R$838,$B417)))</f>
        <v>Entstehung_Bezirksgrenzabschnitt</v>
      </c>
      <c r="N417" s="62" t="str" cm="1">
        <f t="array" ref="N417">IF($B417=0,IF($E417=0,"",IF(INDEX(DMAV_Dienste!T$6:T$140,$E417)="","",INDEX(DMAV_Dienste!T$6:T$140,$E417))),IF(INDEX(DMAV_Modell!U$6:U$838,$B417)="","",INDEX(DMAV_Modell!U$6:U$838,$B417)))</f>
        <v>entstehender_Bezirksgrenzabschnitt</v>
      </c>
      <c r="O417" s="63" t="str" cm="1">
        <f t="array" aca="1" ref="O417" ca="1">IF(C417=0,IF(F417=0,"",HYPERLINK("#"&amp;RIGHT(CELL("adresse",OFFSET(DMAV_Dienste!$M$6,F417-1,0)),LEN(CELL("adresse",OFFSET(DMAV_Dienste!$M$6,F417-1,0)))-FIND("]",CELL("adresse",OFFSET(DMAV_Dienste!$M$6,F417-1,0)))),"Structure")),HYPERLINK("#"&amp;RIGHT(CELL("adresse",OFFSET(DMAV_Modell!$N$6,C417-1,0)),LEN(CELL("adresse",OFFSET(DMAV_Modell!$N$6,C417-1,0)))-FIND("]",CELL("adresse",OFFSET(DMAV_Modell!$N$6,C417-1,0)))),"Structure"))</f>
        <v/>
      </c>
      <c r="P417" s="64" t="str" cm="1">
        <f t="array" aca="1" ref="P417" ca="1">IF(D417=0,IF(G417=0,"",HYPERLINK("#"&amp;RIGHT(CELL("adresse",OFFSET(DMAV_Dienste!$M$6,G417-1,0)),LEN(CELL("adresse",OFFSET(DMAV_Dienste!$M$6,G417-1,0)))-FIND("]",CELL("adresse",OFFSET(DMAV_Dienste!$M$6,G417-1,0)))),"Substructure")),HYPERLINK("#"&amp;RIGHT(CELL("adresse",OFFSET(DMAV_Modell!$N$6,D417-1,0)),LEN(CELL("adresse",OFFSET(DMAV_Modell!$N$6,D417-1,0)))-FIND("]",CELL("adresse",OFFSET(DMAV_Modell!$N$6,D417-1,0)))),"Substructure"))</f>
        <v/>
      </c>
      <c r="R417" s="80"/>
      <c r="T417" s="93"/>
      <c r="U417" s="94"/>
      <c r="V417" s="95"/>
      <c r="W417" s="96"/>
      <c r="Y417" s="85"/>
      <c r="Z417" s="86"/>
      <c r="AA417" s="87"/>
      <c r="AB417" s="88"/>
      <c r="AD417" s="77"/>
      <c r="AF417" s="54" t="str" cm="1">
        <f t="array" aca="1" ref="AF417" ca="1">IF(H417=0,"",HYPERLINK("#"&amp;RIGHT(CELL("adresse",OFFSET('DM01-AV-CH'!$G$6,H417-1,0)),LEN(CELL("adresse",OFFSET('DM01-AV-CH'!$G$6,H417-1,0)))-FIND("]",CELL("adresse",OFFSET('DM01-AV-CH'!$G$6,H417-1,0)))),"Modell"))</f>
        <v/>
      </c>
      <c r="AG417" s="72" t="str" cm="1">
        <f t="array" ref="AG417">IF($H417=0,"",IF(INDEX('DM01-AV-CH'!G$6:G$834,$H417)="","",INDEX('DM01-AV-CH'!G$6:G$834,$H417)))</f>
        <v/>
      </c>
      <c r="AH417" s="73" t="str" cm="1">
        <f t="array" ref="AH417">IF($H417=0,"",IF(INDEX('DM01-AV-CH'!H$6:H$834,$H417)="","",INDEX('DM01-AV-CH'!H$6:H$834,$H417)))</f>
        <v/>
      </c>
      <c r="AI417" s="74" t="str" cm="1">
        <f t="array" ref="AI417">IF($H417=0,"",IF(INDEX('DM01-AV-CH'!I$6:I$834,$H417)="","",INDEX('DM01-AV-CH'!I$6:I$834,$H417)))</f>
        <v/>
      </c>
    </row>
    <row r="418" spans="1:35" x14ac:dyDescent="0.25">
      <c r="A418" s="57">
        <v>413</v>
      </c>
      <c r="B418" s="57">
        <f>IF($A418="","",IF(_xlfn.XLOOKUP($A418,Korrelation!$D$4:$D$1197,Korrelation!E$4:E$1197,"-",0)="-",0,MATCH(_xlfn.XLOOKUP($A418,Korrelation!$D$4:$D$1197,Korrelation!E$4:E$1197,"",0),DMAV_Modell!$G$6:$G$677,0)))</f>
        <v>177</v>
      </c>
      <c r="C418" s="57">
        <f>IF($A418="","",IF(_xlfn.XLOOKUP($A418,Korrelation!$D$4:$D$1197,Korrelation!F$4:F$1197,"-",0)="-",0,MATCH(_xlfn.XLOOKUP($A418,Korrelation!$D$4:$D$1197,Korrelation!F$4:F$1197,"",0),DMAV_Modell!$G$6:$G$677,0)))</f>
        <v>0</v>
      </c>
      <c r="D418" s="57">
        <f>IF($A418="","",IF(_xlfn.XLOOKUP($A418,Korrelation!$D$4:$D$1197,Korrelation!G$4:G$1197,"-",0)="-",0,MATCH(_xlfn.XLOOKUP($A418,Korrelation!$D$4:$D$1197,Korrelation!G$4:G$1197,"",0),DMAV_Modell!$G$6:$G$677,0)))</f>
        <v>0</v>
      </c>
      <c r="E418" s="57">
        <f>IF($A418="","",IF(_xlfn.XLOOKUP($A418,Korrelation!$D$4:$D$1197,Korrelation!H$4:H$1197,"-",0)="-",0,MATCH(_xlfn.XLOOKUP($A418,Korrelation!$D$4:$D$1197,Korrelation!H$4:H$1197,"",0),DMAV_Dienste!$F$6:$F$140,0)))</f>
        <v>0</v>
      </c>
      <c r="F418" s="57">
        <f>IF($A418="","",IF(_xlfn.XLOOKUP($A418,Korrelation!$D$4:$D$1197,Korrelation!I$4:I$1197,"-",0)="-",0,MATCH(_xlfn.XLOOKUP($A418,Korrelation!$D$4:$D$1197,Korrelation!I$4:I$1197,"",0),DMAV_Dienste!$F$6:$F$140,0)))</f>
        <v>0</v>
      </c>
      <c r="G418" s="57">
        <f>IF($A418="","",IF(_xlfn.XLOOKUP($A418,Korrelation!$D$4:$D$1197,Korrelation!J$4:J$1197,"-",0)="-",0,MATCH(_xlfn.XLOOKUP($A418,Korrelation!$D$4:$D$1197,Korrelation!J$4:J$1197,"",0),DMAV_Dienste!$F$6:$F$140,0)))</f>
        <v>0</v>
      </c>
      <c r="H418" s="57">
        <f>IF($A418="","",IF(_xlfn.XLOOKUP($A418,Korrelation!$D$4:$D$1197,Korrelation!K$4:K$1197,"-",0)="-",0,MATCH(_xlfn.XLOOKUP($A418,Korrelation!$D$4:$D$1197,Korrelation!K$4:K$1197,"",0),'DM01-AV-CH'!$A$6:$A$834,0)))</f>
        <v>0</v>
      </c>
      <c r="J418" s="54" t="str" cm="1">
        <f t="array" aca="1" ref="J418" ca="1">IF(B418=0,IF(E418=0,"",HYPERLINK("#"&amp;RIGHT(CELL("adresse",OFFSET(DMAV_Dienste!$M$6,E418-1,0)),LEN(CELL("adresse",OFFSET(DMAV_Dienste!$M$6,E418-1,0)))-FIND("]",CELL("adresse",OFFSET(DMAV_Dienste!$M$6,E418-1,0)))),"Dienst")),HYPERLINK("#"&amp;RIGHT(CELL("adresse",OFFSET(DMAV_Modell!$N$6,B418-1,0)),LEN(CELL("adresse",OFFSET(DMAV_Modell!$N$6,B418-1,0)))-FIND("]",CELL("adresse",OFFSET(DMAV_Modell!$N$6,B418-1,0)))),"Modell"))</f>
        <v>Modell</v>
      </c>
      <c r="K418" s="61" t="str" cm="1">
        <f t="array" ref="K418">IF($B418=0,IF($E418=0,"",IF(INDEX(DMAV_Dienste!P$6:P$140,$E418)="","",INDEX(DMAV_Dienste!P$6:P$140,$E418))),IF(INDEX(DMAV_Modell!Q$6:Q$838,$B418)="","",INDEX(DMAV_Modell!Q$6:Q$838,$B418)))</f>
        <v>ASSOCIATION</v>
      </c>
      <c r="L418" s="62" t="str" cm="1">
        <f t="array" ref="L418">IF($B418=0,IF($E418=0,"",IF(INDEX(DMAV_Dienste!O$6:O$140,$E418)="","",INDEX(DMAV_Dienste!O$6:O$140,$E418))),IF(INDEX(DMAV_Modell!P$6:P$838,$B418)="","",INDEX(DMAV_Modell!P$6:P$838,$B418)))</f>
        <v>HoheitsgrenzenAV</v>
      </c>
      <c r="M418" s="62" t="str" cm="1">
        <f t="array" ref="M418">IF($B418=0,IF($E418=0,"",IF(INDEX(DMAV_Dienste!Q$6:Q$140,$E418)="","",INDEX(DMAV_Dienste!Q$6:Q$140,$E418))),IF(INDEX(DMAV_Modell!R$6:R$838,$B418)="","",INDEX(DMAV_Modell!R$6:R$838,$B418)))</f>
        <v>Untergang_Bezirksgrenzabschnitt</v>
      </c>
      <c r="N418" s="62" t="str" cm="1">
        <f t="array" ref="N418">IF($B418=0,IF($E418=0,"",IF(INDEX(DMAV_Dienste!T$6:T$140,$E418)="","",INDEX(DMAV_Dienste!T$6:T$140,$E418))),IF(INDEX(DMAV_Modell!U$6:U$838,$B418)="","",INDEX(DMAV_Modell!U$6:U$838,$B418)))</f>
        <v>Untergang</v>
      </c>
      <c r="O418" s="63" t="str" cm="1">
        <f t="array" aca="1" ref="O418" ca="1">IF(C418=0,IF(F418=0,"",HYPERLINK("#"&amp;RIGHT(CELL("adresse",OFFSET(DMAV_Dienste!$M$6,F418-1,0)),LEN(CELL("adresse",OFFSET(DMAV_Dienste!$M$6,F418-1,0)))-FIND("]",CELL("adresse",OFFSET(DMAV_Dienste!$M$6,F418-1,0)))),"Structure")),HYPERLINK("#"&amp;RIGHT(CELL("adresse",OFFSET(DMAV_Modell!$N$6,C418-1,0)),LEN(CELL("adresse",OFFSET(DMAV_Modell!$N$6,C418-1,0)))-FIND("]",CELL("adresse",OFFSET(DMAV_Modell!$N$6,C418-1,0)))),"Structure"))</f>
        <v/>
      </c>
      <c r="P418" s="64" t="str" cm="1">
        <f t="array" aca="1" ref="P418" ca="1">IF(D418=0,IF(G418=0,"",HYPERLINK("#"&amp;RIGHT(CELL("adresse",OFFSET(DMAV_Dienste!$M$6,G418-1,0)),LEN(CELL("adresse",OFFSET(DMAV_Dienste!$M$6,G418-1,0)))-FIND("]",CELL("adresse",OFFSET(DMAV_Dienste!$M$6,G418-1,0)))),"Substructure")),HYPERLINK("#"&amp;RIGHT(CELL("adresse",OFFSET(DMAV_Modell!$N$6,D418-1,0)),LEN(CELL("adresse",OFFSET(DMAV_Modell!$N$6,D418-1,0)))-FIND("]",CELL("adresse",OFFSET(DMAV_Modell!$N$6,D418-1,0)))),"Substructure"))</f>
        <v/>
      </c>
      <c r="R418" s="80"/>
      <c r="T418" s="93"/>
      <c r="U418" s="94"/>
      <c r="V418" s="95"/>
      <c r="W418" s="96"/>
      <c r="Y418" s="85"/>
      <c r="Z418" s="86"/>
      <c r="AA418" s="87"/>
      <c r="AB418" s="88"/>
      <c r="AD418" s="77"/>
      <c r="AF418" s="54" t="str" cm="1">
        <f t="array" aca="1" ref="AF418" ca="1">IF(H418=0,"",HYPERLINK("#"&amp;RIGHT(CELL("adresse",OFFSET('DM01-AV-CH'!$G$6,H418-1,0)),LEN(CELL("adresse",OFFSET('DM01-AV-CH'!$G$6,H418-1,0)))-FIND("]",CELL("adresse",OFFSET('DM01-AV-CH'!$G$6,H418-1,0)))),"Modell"))</f>
        <v/>
      </c>
      <c r="AG418" s="72" t="str" cm="1">
        <f t="array" ref="AG418">IF($H418=0,"",IF(INDEX('DM01-AV-CH'!G$6:G$834,$H418)="","",INDEX('DM01-AV-CH'!G$6:G$834,$H418)))</f>
        <v/>
      </c>
      <c r="AH418" s="73" t="str" cm="1">
        <f t="array" ref="AH418">IF($H418=0,"",IF(INDEX('DM01-AV-CH'!H$6:H$834,$H418)="","",INDEX('DM01-AV-CH'!H$6:H$834,$H418)))</f>
        <v/>
      </c>
      <c r="AI418" s="74" t="str" cm="1">
        <f t="array" ref="AI418">IF($H418=0,"",IF(INDEX('DM01-AV-CH'!I$6:I$834,$H418)="","",INDEX('DM01-AV-CH'!I$6:I$834,$H418)))</f>
        <v/>
      </c>
    </row>
    <row r="419" spans="1:35" x14ac:dyDescent="0.25">
      <c r="A419" s="57">
        <v>414</v>
      </c>
      <c r="B419" s="57">
        <f>IF($A419="","",IF(_xlfn.XLOOKUP($A419,Korrelation!$D$4:$D$1197,Korrelation!E$4:E$1197,"-",0)="-",0,MATCH(_xlfn.XLOOKUP($A419,Korrelation!$D$4:$D$1197,Korrelation!E$4:E$1197,"",0),DMAV_Modell!$G$6:$G$677,0)))</f>
        <v>178</v>
      </c>
      <c r="C419" s="57">
        <f>IF($A419="","",IF(_xlfn.XLOOKUP($A419,Korrelation!$D$4:$D$1197,Korrelation!F$4:F$1197,"-",0)="-",0,MATCH(_xlfn.XLOOKUP($A419,Korrelation!$D$4:$D$1197,Korrelation!F$4:F$1197,"",0),DMAV_Modell!$G$6:$G$677,0)))</f>
        <v>0</v>
      </c>
      <c r="D419" s="57">
        <f>IF($A419="","",IF(_xlfn.XLOOKUP($A419,Korrelation!$D$4:$D$1197,Korrelation!G$4:G$1197,"-",0)="-",0,MATCH(_xlfn.XLOOKUP($A419,Korrelation!$D$4:$D$1197,Korrelation!G$4:G$1197,"",0),DMAV_Modell!$G$6:$G$677,0)))</f>
        <v>0</v>
      </c>
      <c r="E419" s="57">
        <f>IF($A419="","",IF(_xlfn.XLOOKUP($A419,Korrelation!$D$4:$D$1197,Korrelation!H$4:H$1197,"-",0)="-",0,MATCH(_xlfn.XLOOKUP($A419,Korrelation!$D$4:$D$1197,Korrelation!H$4:H$1197,"",0),DMAV_Dienste!$F$6:$F$140,0)))</f>
        <v>0</v>
      </c>
      <c r="F419" s="57">
        <f>IF($A419="","",IF(_xlfn.XLOOKUP($A419,Korrelation!$D$4:$D$1197,Korrelation!I$4:I$1197,"-",0)="-",0,MATCH(_xlfn.XLOOKUP($A419,Korrelation!$D$4:$D$1197,Korrelation!I$4:I$1197,"",0),DMAV_Dienste!$F$6:$F$140,0)))</f>
        <v>0</v>
      </c>
      <c r="G419" s="57">
        <f>IF($A419="","",IF(_xlfn.XLOOKUP($A419,Korrelation!$D$4:$D$1197,Korrelation!J$4:J$1197,"-",0)="-",0,MATCH(_xlfn.XLOOKUP($A419,Korrelation!$D$4:$D$1197,Korrelation!J$4:J$1197,"",0),DMAV_Dienste!$F$6:$F$140,0)))</f>
        <v>0</v>
      </c>
      <c r="H419" s="57">
        <f>IF($A419="","",IF(_xlfn.XLOOKUP($A419,Korrelation!$D$4:$D$1197,Korrelation!K$4:K$1197,"-",0)="-",0,MATCH(_xlfn.XLOOKUP($A419,Korrelation!$D$4:$D$1197,Korrelation!K$4:K$1197,"",0),'DM01-AV-CH'!$A$6:$A$834,0)))</f>
        <v>0</v>
      </c>
      <c r="J419" s="54" t="str" cm="1">
        <f t="array" aca="1" ref="J419" ca="1">IF(B419=0,IF(E419=0,"",HYPERLINK("#"&amp;RIGHT(CELL("adresse",OFFSET(DMAV_Dienste!$M$6,E419-1,0)),LEN(CELL("adresse",OFFSET(DMAV_Dienste!$M$6,E419-1,0)))-FIND("]",CELL("adresse",OFFSET(DMAV_Dienste!$M$6,E419-1,0)))),"Dienst")),HYPERLINK("#"&amp;RIGHT(CELL("adresse",OFFSET(DMAV_Modell!$N$6,B419-1,0)),LEN(CELL("adresse",OFFSET(DMAV_Modell!$N$6,B419-1,0)))-FIND("]",CELL("adresse",OFFSET(DMAV_Modell!$N$6,B419-1,0)))),"Modell"))</f>
        <v>Modell</v>
      </c>
      <c r="K419" s="61" t="str" cm="1">
        <f t="array" ref="K419">IF($B419=0,IF($E419=0,"",IF(INDEX(DMAV_Dienste!P$6:P$140,$E419)="","",INDEX(DMAV_Dienste!P$6:P$140,$E419))),IF(INDEX(DMAV_Modell!Q$6:Q$838,$B419)="","",INDEX(DMAV_Modell!Q$6:Q$838,$B419)))</f>
        <v>ASSOCIATION</v>
      </c>
      <c r="L419" s="62" t="str" cm="1">
        <f t="array" ref="L419">IF($B419=0,IF($E419=0,"",IF(INDEX(DMAV_Dienste!O$6:O$140,$E419)="","",INDEX(DMAV_Dienste!O$6:O$140,$E419))),IF(INDEX(DMAV_Modell!P$6:P$838,$B419)="","",INDEX(DMAV_Modell!P$6:P$838,$B419)))</f>
        <v>HoheitsgrenzenAV</v>
      </c>
      <c r="M419" s="62" t="str" cm="1">
        <f t="array" ref="M419">IF($B419=0,IF($E419=0,"",IF(INDEX(DMAV_Dienste!Q$6:Q$140,$E419)="","",INDEX(DMAV_Dienste!Q$6:Q$140,$E419))),IF(INDEX(DMAV_Modell!R$6:R$838,$B419)="","",INDEX(DMAV_Modell!R$6:R$838,$B419)))</f>
        <v>Untergang_Bezirksgrenzabschnitt</v>
      </c>
      <c r="N419" s="62" t="str" cm="1">
        <f t="array" ref="N419">IF($B419=0,IF($E419=0,"",IF(INDEX(DMAV_Dienste!T$6:T$140,$E419)="","",INDEX(DMAV_Dienste!T$6:T$140,$E419))),IF(INDEX(DMAV_Modell!U$6:U$838,$B419)="","",INDEX(DMAV_Modell!U$6:U$838,$B419)))</f>
        <v>untergehender_Bezirksgrenzabschnitt</v>
      </c>
      <c r="O419" s="63" t="str" cm="1">
        <f t="array" aca="1" ref="O419" ca="1">IF(C419=0,IF(F419=0,"",HYPERLINK("#"&amp;RIGHT(CELL("adresse",OFFSET(DMAV_Dienste!$M$6,F419-1,0)),LEN(CELL("adresse",OFFSET(DMAV_Dienste!$M$6,F419-1,0)))-FIND("]",CELL("adresse",OFFSET(DMAV_Dienste!$M$6,F419-1,0)))),"Structure")),HYPERLINK("#"&amp;RIGHT(CELL("adresse",OFFSET(DMAV_Modell!$N$6,C419-1,0)),LEN(CELL("adresse",OFFSET(DMAV_Modell!$N$6,C419-1,0)))-FIND("]",CELL("adresse",OFFSET(DMAV_Modell!$N$6,C419-1,0)))),"Structure"))</f>
        <v/>
      </c>
      <c r="P419" s="64" t="str" cm="1">
        <f t="array" aca="1" ref="P419" ca="1">IF(D419=0,IF(G419=0,"",HYPERLINK("#"&amp;RIGHT(CELL("adresse",OFFSET(DMAV_Dienste!$M$6,G419-1,0)),LEN(CELL("adresse",OFFSET(DMAV_Dienste!$M$6,G419-1,0)))-FIND("]",CELL("adresse",OFFSET(DMAV_Dienste!$M$6,G419-1,0)))),"Substructure")),HYPERLINK("#"&amp;RIGHT(CELL("adresse",OFFSET(DMAV_Modell!$N$6,D419-1,0)),LEN(CELL("adresse",OFFSET(DMAV_Modell!$N$6,D419-1,0)))-FIND("]",CELL("adresse",OFFSET(DMAV_Modell!$N$6,D419-1,0)))),"Substructure"))</f>
        <v/>
      </c>
      <c r="R419" s="80"/>
      <c r="T419" s="93"/>
      <c r="U419" s="94"/>
      <c r="V419" s="95"/>
      <c r="W419" s="96"/>
      <c r="Y419" s="85"/>
      <c r="Z419" s="86"/>
      <c r="AA419" s="87"/>
      <c r="AB419" s="88"/>
      <c r="AD419" s="77"/>
      <c r="AF419" s="54" t="str" cm="1">
        <f t="array" aca="1" ref="AF419" ca="1">IF(H419=0,"",HYPERLINK("#"&amp;RIGHT(CELL("adresse",OFFSET('DM01-AV-CH'!$G$6,H419-1,0)),LEN(CELL("adresse",OFFSET('DM01-AV-CH'!$G$6,H419-1,0)))-FIND("]",CELL("adresse",OFFSET('DM01-AV-CH'!$G$6,H419-1,0)))),"Modell"))</f>
        <v/>
      </c>
      <c r="AG419" s="72" t="str" cm="1">
        <f t="array" ref="AG419">IF($H419=0,"",IF(INDEX('DM01-AV-CH'!G$6:G$834,$H419)="","",INDEX('DM01-AV-CH'!G$6:G$834,$H419)))</f>
        <v/>
      </c>
      <c r="AH419" s="73" t="str" cm="1">
        <f t="array" ref="AH419">IF($H419=0,"",IF(INDEX('DM01-AV-CH'!H$6:H$834,$H419)="","",INDEX('DM01-AV-CH'!H$6:H$834,$H419)))</f>
        <v/>
      </c>
      <c r="AI419" s="74" t="str" cm="1">
        <f t="array" ref="AI419">IF($H419=0,"",IF(INDEX('DM01-AV-CH'!I$6:I$834,$H419)="","",INDEX('DM01-AV-CH'!I$6:I$834,$H419)))</f>
        <v/>
      </c>
    </row>
    <row r="420" spans="1:35" x14ac:dyDescent="0.25">
      <c r="A420" s="57">
        <v>415</v>
      </c>
      <c r="B420" s="57">
        <f>IF($A420="","",IF(_xlfn.XLOOKUP($A420,Korrelation!$D$4:$D$1197,Korrelation!E$4:E$1197,"-",0)="-",0,MATCH(_xlfn.XLOOKUP($A420,Korrelation!$D$4:$D$1197,Korrelation!E$4:E$1197,"",0),DMAV_Modell!$G$6:$G$677,0)))</f>
        <v>179</v>
      </c>
      <c r="C420" s="57">
        <f>IF($A420="","",IF(_xlfn.XLOOKUP($A420,Korrelation!$D$4:$D$1197,Korrelation!F$4:F$1197,"-",0)="-",0,MATCH(_xlfn.XLOOKUP($A420,Korrelation!$D$4:$D$1197,Korrelation!F$4:F$1197,"",0),DMAV_Modell!$G$6:$G$677,0)))</f>
        <v>0</v>
      </c>
      <c r="D420" s="57">
        <f>IF($A420="","",IF(_xlfn.XLOOKUP($A420,Korrelation!$D$4:$D$1197,Korrelation!G$4:G$1197,"-",0)="-",0,MATCH(_xlfn.XLOOKUP($A420,Korrelation!$D$4:$D$1197,Korrelation!G$4:G$1197,"",0),DMAV_Modell!$G$6:$G$677,0)))</f>
        <v>0</v>
      </c>
      <c r="E420" s="57">
        <f>IF($A420="","",IF(_xlfn.XLOOKUP($A420,Korrelation!$D$4:$D$1197,Korrelation!H$4:H$1197,"-",0)="-",0,MATCH(_xlfn.XLOOKUP($A420,Korrelation!$D$4:$D$1197,Korrelation!H$4:H$1197,"",0),DMAV_Dienste!$F$6:$F$140,0)))</f>
        <v>0</v>
      </c>
      <c r="F420" s="57">
        <f>IF($A420="","",IF(_xlfn.XLOOKUP($A420,Korrelation!$D$4:$D$1197,Korrelation!I$4:I$1197,"-",0)="-",0,MATCH(_xlfn.XLOOKUP($A420,Korrelation!$D$4:$D$1197,Korrelation!I$4:I$1197,"",0),DMAV_Dienste!$F$6:$F$140,0)))</f>
        <v>0</v>
      </c>
      <c r="G420" s="57">
        <f>IF($A420="","",IF(_xlfn.XLOOKUP($A420,Korrelation!$D$4:$D$1197,Korrelation!J$4:J$1197,"-",0)="-",0,MATCH(_xlfn.XLOOKUP($A420,Korrelation!$D$4:$D$1197,Korrelation!J$4:J$1197,"",0),DMAV_Dienste!$F$6:$F$140,0)))</f>
        <v>0</v>
      </c>
      <c r="H420" s="57">
        <f>IF($A420="","",IF(_xlfn.XLOOKUP($A420,Korrelation!$D$4:$D$1197,Korrelation!K$4:K$1197,"-",0)="-",0,MATCH(_xlfn.XLOOKUP($A420,Korrelation!$D$4:$D$1197,Korrelation!K$4:K$1197,"",0),'DM01-AV-CH'!$A$6:$A$834,0)))</f>
        <v>0</v>
      </c>
      <c r="J420" s="54" t="str" cm="1">
        <f t="array" aca="1" ref="J420" ca="1">IF(B420=0,IF(E420=0,"",HYPERLINK("#"&amp;RIGHT(CELL("adresse",OFFSET(DMAV_Dienste!$M$6,E420-1,0)),LEN(CELL("adresse",OFFSET(DMAV_Dienste!$M$6,E420-1,0)))-FIND("]",CELL("adresse",OFFSET(DMAV_Dienste!$M$6,E420-1,0)))),"Dienst")),HYPERLINK("#"&amp;RIGHT(CELL("adresse",OFFSET(DMAV_Modell!$N$6,B420-1,0)),LEN(CELL("adresse",OFFSET(DMAV_Modell!$N$6,B420-1,0)))-FIND("]",CELL("adresse",OFFSET(DMAV_Modell!$N$6,B420-1,0)))),"Modell"))</f>
        <v>Modell</v>
      </c>
      <c r="K420" s="61" t="str" cm="1">
        <f t="array" ref="K420">IF($B420=0,IF($E420=0,"",IF(INDEX(DMAV_Dienste!P$6:P$140,$E420)="","",INDEX(DMAV_Dienste!P$6:P$140,$E420))),IF(INDEX(DMAV_Modell!Q$6:Q$838,$B420)="","",INDEX(DMAV_Modell!Q$6:Q$838,$B420)))</f>
        <v>ASSOCIATION</v>
      </c>
      <c r="L420" s="62" t="str" cm="1">
        <f t="array" ref="L420">IF($B420=0,IF($E420=0,"",IF(INDEX(DMAV_Dienste!O$6:O$140,$E420)="","",INDEX(DMAV_Dienste!O$6:O$140,$E420))),IF(INDEX(DMAV_Modell!P$6:P$838,$B420)="","",INDEX(DMAV_Modell!P$6:P$838,$B420)))</f>
        <v>HoheitsgrenzenAV</v>
      </c>
      <c r="M420" s="62" t="str" cm="1">
        <f t="array" ref="M420">IF($B420=0,IF($E420=0,"",IF(INDEX(DMAV_Dienste!Q$6:Q$140,$E420)="","",INDEX(DMAV_Dienste!Q$6:Q$140,$E420))),IF(INDEX(DMAV_Modell!R$6:R$838,$B420)="","",INDEX(DMAV_Modell!R$6:R$838,$B420)))</f>
        <v>Vorgaenger_Nachfolger_Bezirksgrenzabschnitt</v>
      </c>
      <c r="N420" s="62" t="str" cm="1">
        <f t="array" ref="N420">IF($B420=0,IF($E420=0,"",IF(INDEX(DMAV_Dienste!T$6:T$140,$E420)="","",INDEX(DMAV_Dienste!T$6:T$140,$E420))),IF(INDEX(DMAV_Modell!U$6:U$838,$B420)="","",INDEX(DMAV_Modell!U$6:U$838,$B420)))</f>
        <v>Vorgaenger</v>
      </c>
      <c r="O420" s="63" t="str" cm="1">
        <f t="array" aca="1" ref="O420" ca="1">IF(C420=0,IF(F420=0,"",HYPERLINK("#"&amp;RIGHT(CELL("adresse",OFFSET(DMAV_Dienste!$M$6,F420-1,0)),LEN(CELL("adresse",OFFSET(DMAV_Dienste!$M$6,F420-1,0)))-FIND("]",CELL("adresse",OFFSET(DMAV_Dienste!$M$6,F420-1,0)))),"Structure")),HYPERLINK("#"&amp;RIGHT(CELL("adresse",OFFSET(DMAV_Modell!$N$6,C420-1,0)),LEN(CELL("adresse",OFFSET(DMAV_Modell!$N$6,C420-1,0)))-FIND("]",CELL("adresse",OFFSET(DMAV_Modell!$N$6,C420-1,0)))),"Structure"))</f>
        <v/>
      </c>
      <c r="P420" s="64" t="str" cm="1">
        <f t="array" aca="1" ref="P420" ca="1">IF(D420=0,IF(G420=0,"",HYPERLINK("#"&amp;RIGHT(CELL("adresse",OFFSET(DMAV_Dienste!$M$6,G420-1,0)),LEN(CELL("adresse",OFFSET(DMAV_Dienste!$M$6,G420-1,0)))-FIND("]",CELL("adresse",OFFSET(DMAV_Dienste!$M$6,G420-1,0)))),"Substructure")),HYPERLINK("#"&amp;RIGHT(CELL("adresse",OFFSET(DMAV_Modell!$N$6,D420-1,0)),LEN(CELL("adresse",OFFSET(DMAV_Modell!$N$6,D420-1,0)))-FIND("]",CELL("adresse",OFFSET(DMAV_Modell!$N$6,D420-1,0)))),"Substructure"))</f>
        <v/>
      </c>
      <c r="R420" s="80"/>
      <c r="T420" s="93"/>
      <c r="U420" s="94"/>
      <c r="V420" s="95"/>
      <c r="W420" s="96"/>
      <c r="Y420" s="85"/>
      <c r="Z420" s="86"/>
      <c r="AA420" s="87"/>
      <c r="AB420" s="88"/>
      <c r="AD420" s="77"/>
      <c r="AF420" s="54" t="str" cm="1">
        <f t="array" aca="1" ref="AF420" ca="1">IF(H420=0,"",HYPERLINK("#"&amp;RIGHT(CELL("adresse",OFFSET('DM01-AV-CH'!$G$6,H420-1,0)),LEN(CELL("adresse",OFFSET('DM01-AV-CH'!$G$6,H420-1,0)))-FIND("]",CELL("adresse",OFFSET('DM01-AV-CH'!$G$6,H420-1,0)))),"Modell"))</f>
        <v/>
      </c>
      <c r="AG420" s="72" t="str" cm="1">
        <f t="array" ref="AG420">IF($H420=0,"",IF(INDEX('DM01-AV-CH'!G$6:G$834,$H420)="","",INDEX('DM01-AV-CH'!G$6:G$834,$H420)))</f>
        <v/>
      </c>
      <c r="AH420" s="73" t="str" cm="1">
        <f t="array" ref="AH420">IF($H420=0,"",IF(INDEX('DM01-AV-CH'!H$6:H$834,$H420)="","",INDEX('DM01-AV-CH'!H$6:H$834,$H420)))</f>
        <v/>
      </c>
      <c r="AI420" s="74" t="str" cm="1">
        <f t="array" ref="AI420">IF($H420=0,"",IF(INDEX('DM01-AV-CH'!I$6:I$834,$H420)="","",INDEX('DM01-AV-CH'!I$6:I$834,$H420)))</f>
        <v/>
      </c>
    </row>
    <row r="421" spans="1:35" x14ac:dyDescent="0.25">
      <c r="A421" s="57">
        <v>416</v>
      </c>
      <c r="B421" s="57">
        <f>IF($A421="","",IF(_xlfn.XLOOKUP($A421,Korrelation!$D$4:$D$1197,Korrelation!E$4:E$1197,"-",0)="-",0,MATCH(_xlfn.XLOOKUP($A421,Korrelation!$D$4:$D$1197,Korrelation!E$4:E$1197,"",0),DMAV_Modell!$G$6:$G$677,0)))</f>
        <v>180</v>
      </c>
      <c r="C421" s="57">
        <f>IF($A421="","",IF(_xlfn.XLOOKUP($A421,Korrelation!$D$4:$D$1197,Korrelation!F$4:F$1197,"-",0)="-",0,MATCH(_xlfn.XLOOKUP($A421,Korrelation!$D$4:$D$1197,Korrelation!F$4:F$1197,"",0),DMAV_Modell!$G$6:$G$677,0)))</f>
        <v>0</v>
      </c>
      <c r="D421" s="57">
        <f>IF($A421="","",IF(_xlfn.XLOOKUP($A421,Korrelation!$D$4:$D$1197,Korrelation!G$4:G$1197,"-",0)="-",0,MATCH(_xlfn.XLOOKUP($A421,Korrelation!$D$4:$D$1197,Korrelation!G$4:G$1197,"",0),DMAV_Modell!$G$6:$G$677,0)))</f>
        <v>0</v>
      </c>
      <c r="E421" s="57">
        <f>IF($A421="","",IF(_xlfn.XLOOKUP($A421,Korrelation!$D$4:$D$1197,Korrelation!H$4:H$1197,"-",0)="-",0,MATCH(_xlfn.XLOOKUP($A421,Korrelation!$D$4:$D$1197,Korrelation!H$4:H$1197,"",0),DMAV_Dienste!$F$6:$F$140,0)))</f>
        <v>0</v>
      </c>
      <c r="F421" s="57">
        <f>IF($A421="","",IF(_xlfn.XLOOKUP($A421,Korrelation!$D$4:$D$1197,Korrelation!I$4:I$1197,"-",0)="-",0,MATCH(_xlfn.XLOOKUP($A421,Korrelation!$D$4:$D$1197,Korrelation!I$4:I$1197,"",0),DMAV_Dienste!$F$6:$F$140,0)))</f>
        <v>0</v>
      </c>
      <c r="G421" s="57">
        <f>IF($A421="","",IF(_xlfn.XLOOKUP($A421,Korrelation!$D$4:$D$1197,Korrelation!J$4:J$1197,"-",0)="-",0,MATCH(_xlfn.XLOOKUP($A421,Korrelation!$D$4:$D$1197,Korrelation!J$4:J$1197,"",0),DMAV_Dienste!$F$6:$F$140,0)))</f>
        <v>0</v>
      </c>
      <c r="H421" s="57">
        <f>IF($A421="","",IF(_xlfn.XLOOKUP($A421,Korrelation!$D$4:$D$1197,Korrelation!K$4:K$1197,"-",0)="-",0,MATCH(_xlfn.XLOOKUP($A421,Korrelation!$D$4:$D$1197,Korrelation!K$4:K$1197,"",0),'DM01-AV-CH'!$A$6:$A$834,0)))</f>
        <v>0</v>
      </c>
      <c r="J421" s="54" t="str" cm="1">
        <f t="array" aca="1" ref="J421" ca="1">IF(B421=0,IF(E421=0,"",HYPERLINK("#"&amp;RIGHT(CELL("adresse",OFFSET(DMAV_Dienste!$M$6,E421-1,0)),LEN(CELL("adresse",OFFSET(DMAV_Dienste!$M$6,E421-1,0)))-FIND("]",CELL("adresse",OFFSET(DMAV_Dienste!$M$6,E421-1,0)))),"Dienst")),HYPERLINK("#"&amp;RIGHT(CELL("adresse",OFFSET(DMAV_Modell!$N$6,B421-1,0)),LEN(CELL("adresse",OFFSET(DMAV_Modell!$N$6,B421-1,0)))-FIND("]",CELL("adresse",OFFSET(DMAV_Modell!$N$6,B421-1,0)))),"Modell"))</f>
        <v>Modell</v>
      </c>
      <c r="K421" s="61" t="str" cm="1">
        <f t="array" ref="K421">IF($B421=0,IF($E421=0,"",IF(INDEX(DMAV_Dienste!P$6:P$140,$E421)="","",INDEX(DMAV_Dienste!P$6:P$140,$E421))),IF(INDEX(DMAV_Modell!Q$6:Q$838,$B421)="","",INDEX(DMAV_Modell!Q$6:Q$838,$B421)))</f>
        <v>ASSOCIATION</v>
      </c>
      <c r="L421" s="62" t="str" cm="1">
        <f t="array" ref="L421">IF($B421=0,IF($E421=0,"",IF(INDEX(DMAV_Dienste!O$6:O$140,$E421)="","",INDEX(DMAV_Dienste!O$6:O$140,$E421))),IF(INDEX(DMAV_Modell!P$6:P$838,$B421)="","",INDEX(DMAV_Modell!P$6:P$838,$B421)))</f>
        <v>HoheitsgrenzenAV</v>
      </c>
      <c r="M421" s="62" t="str" cm="1">
        <f t="array" ref="M421">IF($B421=0,IF($E421=0,"",IF(INDEX(DMAV_Dienste!Q$6:Q$140,$E421)="","",INDEX(DMAV_Dienste!Q$6:Q$140,$E421))),IF(INDEX(DMAV_Modell!R$6:R$838,$B421)="","",INDEX(DMAV_Modell!R$6:R$838,$B421)))</f>
        <v>Vorgaenger_Nachfolger_Bezirksgrenzabschnitt</v>
      </c>
      <c r="N421" s="62" t="str" cm="1">
        <f t="array" ref="N421">IF($B421=0,IF($E421=0,"",IF(INDEX(DMAV_Dienste!T$6:T$140,$E421)="","",INDEX(DMAV_Dienste!T$6:T$140,$E421))),IF(INDEX(DMAV_Modell!U$6:U$838,$B421)="","",INDEX(DMAV_Modell!U$6:U$838,$B421)))</f>
        <v>Nachfolger</v>
      </c>
      <c r="O421" s="63" t="str" cm="1">
        <f t="array" aca="1" ref="O421" ca="1">IF(C421=0,IF(F421=0,"",HYPERLINK("#"&amp;RIGHT(CELL("adresse",OFFSET(DMAV_Dienste!$M$6,F421-1,0)),LEN(CELL("adresse",OFFSET(DMAV_Dienste!$M$6,F421-1,0)))-FIND("]",CELL("adresse",OFFSET(DMAV_Dienste!$M$6,F421-1,0)))),"Structure")),HYPERLINK("#"&amp;RIGHT(CELL("adresse",OFFSET(DMAV_Modell!$N$6,C421-1,0)),LEN(CELL("adresse",OFFSET(DMAV_Modell!$N$6,C421-1,0)))-FIND("]",CELL("adresse",OFFSET(DMAV_Modell!$N$6,C421-1,0)))),"Structure"))</f>
        <v/>
      </c>
      <c r="P421" s="64" t="str" cm="1">
        <f t="array" aca="1" ref="P421" ca="1">IF(D421=0,IF(G421=0,"",HYPERLINK("#"&amp;RIGHT(CELL("adresse",OFFSET(DMAV_Dienste!$M$6,G421-1,0)),LEN(CELL("adresse",OFFSET(DMAV_Dienste!$M$6,G421-1,0)))-FIND("]",CELL("adresse",OFFSET(DMAV_Dienste!$M$6,G421-1,0)))),"Substructure")),HYPERLINK("#"&amp;RIGHT(CELL("adresse",OFFSET(DMAV_Modell!$N$6,D421-1,0)),LEN(CELL("adresse",OFFSET(DMAV_Modell!$N$6,D421-1,0)))-FIND("]",CELL("adresse",OFFSET(DMAV_Modell!$N$6,D421-1,0)))),"Substructure"))</f>
        <v/>
      </c>
      <c r="R421" s="80"/>
      <c r="T421" s="93"/>
      <c r="U421" s="94"/>
      <c r="V421" s="95"/>
      <c r="W421" s="96"/>
      <c r="Y421" s="85"/>
      <c r="Z421" s="86"/>
      <c r="AA421" s="87"/>
      <c r="AB421" s="88"/>
      <c r="AD421" s="77"/>
      <c r="AF421" s="54" t="str" cm="1">
        <f t="array" aca="1" ref="AF421" ca="1">IF(H421=0,"",HYPERLINK("#"&amp;RIGHT(CELL("adresse",OFFSET('DM01-AV-CH'!$G$6,H421-1,0)),LEN(CELL("adresse",OFFSET('DM01-AV-CH'!$G$6,H421-1,0)))-FIND("]",CELL("adresse",OFFSET('DM01-AV-CH'!$G$6,H421-1,0)))),"Modell"))</f>
        <v/>
      </c>
      <c r="AG421" s="72" t="str" cm="1">
        <f t="array" ref="AG421">IF($H421=0,"",IF(INDEX('DM01-AV-CH'!G$6:G$834,$H421)="","",INDEX('DM01-AV-CH'!G$6:G$834,$H421)))</f>
        <v/>
      </c>
      <c r="AH421" s="73" t="str" cm="1">
        <f t="array" ref="AH421">IF($H421=0,"",IF(INDEX('DM01-AV-CH'!H$6:H$834,$H421)="","",INDEX('DM01-AV-CH'!H$6:H$834,$H421)))</f>
        <v/>
      </c>
      <c r="AI421" s="74" t="str" cm="1">
        <f t="array" ref="AI421">IF($H421=0,"",IF(INDEX('DM01-AV-CH'!I$6:I$834,$H421)="","",INDEX('DM01-AV-CH'!I$6:I$834,$H421)))</f>
        <v/>
      </c>
    </row>
    <row r="422" spans="1:35" x14ac:dyDescent="0.25">
      <c r="A422" s="57">
        <v>417</v>
      </c>
      <c r="B422" s="57">
        <f>IF($A422="","",IF(_xlfn.XLOOKUP($A422,Korrelation!$D$4:$D$1197,Korrelation!E$4:E$1197,"-",0)="-",0,MATCH(_xlfn.XLOOKUP($A422,Korrelation!$D$4:$D$1197,Korrelation!E$4:E$1197,"",0),DMAV_Modell!$G$6:$G$677,0)))</f>
        <v>181</v>
      </c>
      <c r="C422" s="57">
        <f>IF($A422="","",IF(_xlfn.XLOOKUP($A422,Korrelation!$D$4:$D$1197,Korrelation!F$4:F$1197,"-",0)="-",0,MATCH(_xlfn.XLOOKUP($A422,Korrelation!$D$4:$D$1197,Korrelation!F$4:F$1197,"",0),DMAV_Modell!$G$6:$G$677,0)))</f>
        <v>0</v>
      </c>
      <c r="D422" s="57">
        <f>IF($A422="","",IF(_xlfn.XLOOKUP($A422,Korrelation!$D$4:$D$1197,Korrelation!G$4:G$1197,"-",0)="-",0,MATCH(_xlfn.XLOOKUP($A422,Korrelation!$D$4:$D$1197,Korrelation!G$4:G$1197,"",0),DMAV_Modell!$G$6:$G$677,0)))</f>
        <v>0</v>
      </c>
      <c r="E422" s="57">
        <f>IF($A422="","",IF(_xlfn.XLOOKUP($A422,Korrelation!$D$4:$D$1197,Korrelation!H$4:H$1197,"-",0)="-",0,MATCH(_xlfn.XLOOKUP($A422,Korrelation!$D$4:$D$1197,Korrelation!H$4:H$1197,"",0),DMAV_Dienste!$F$6:$F$140,0)))</f>
        <v>0</v>
      </c>
      <c r="F422" s="57">
        <f>IF($A422="","",IF(_xlfn.XLOOKUP($A422,Korrelation!$D$4:$D$1197,Korrelation!I$4:I$1197,"-",0)="-",0,MATCH(_xlfn.XLOOKUP($A422,Korrelation!$D$4:$D$1197,Korrelation!I$4:I$1197,"",0),DMAV_Dienste!$F$6:$F$140,0)))</f>
        <v>0</v>
      </c>
      <c r="G422" s="57">
        <f>IF($A422="","",IF(_xlfn.XLOOKUP($A422,Korrelation!$D$4:$D$1197,Korrelation!J$4:J$1197,"-",0)="-",0,MATCH(_xlfn.XLOOKUP($A422,Korrelation!$D$4:$D$1197,Korrelation!J$4:J$1197,"",0),DMAV_Dienste!$F$6:$F$140,0)))</f>
        <v>0</v>
      </c>
      <c r="H422" s="57">
        <f>IF($A422="","",IF(_xlfn.XLOOKUP($A422,Korrelation!$D$4:$D$1197,Korrelation!K$4:K$1197,"-",0)="-",0,MATCH(_xlfn.XLOOKUP($A422,Korrelation!$D$4:$D$1197,Korrelation!K$4:K$1197,"",0),'DM01-AV-CH'!$A$6:$A$834,0)))</f>
        <v>0</v>
      </c>
      <c r="J422" s="54" t="str" cm="1">
        <f t="array" aca="1" ref="J422" ca="1">IF(B422=0,IF(E422=0,"",HYPERLINK("#"&amp;RIGHT(CELL("adresse",OFFSET(DMAV_Dienste!$M$6,E422-1,0)),LEN(CELL("adresse",OFFSET(DMAV_Dienste!$M$6,E422-1,0)))-FIND("]",CELL("adresse",OFFSET(DMAV_Dienste!$M$6,E422-1,0)))),"Dienst")),HYPERLINK("#"&amp;RIGHT(CELL("adresse",OFFSET(DMAV_Modell!$N$6,B422-1,0)),LEN(CELL("adresse",OFFSET(DMAV_Modell!$N$6,B422-1,0)))-FIND("]",CELL("adresse",OFFSET(DMAV_Modell!$N$6,B422-1,0)))),"Modell"))</f>
        <v>Modell</v>
      </c>
      <c r="K422" s="61" t="str" cm="1">
        <f t="array" ref="K422">IF($B422=0,IF($E422=0,"",IF(INDEX(DMAV_Dienste!P$6:P$140,$E422)="","",INDEX(DMAV_Dienste!P$6:P$140,$E422))),IF(INDEX(DMAV_Modell!Q$6:Q$838,$B422)="","",INDEX(DMAV_Modell!Q$6:Q$838,$B422)))</f>
        <v>VIEW</v>
      </c>
      <c r="L422" s="62" t="str" cm="1">
        <f t="array" ref="L422">IF($B422=0,IF($E422=0,"",IF(INDEX(DMAV_Dienste!O$6:O$140,$E422)="","",INDEX(DMAV_Dienste!O$6:O$140,$E422))),IF(INDEX(DMAV_Modell!P$6:P$838,$B422)="","",INDEX(DMAV_Modell!P$6:P$838,$B422)))</f>
        <v>HoheitsgrenzenAV</v>
      </c>
      <c r="M422" s="62" t="str" cm="1">
        <f t="array" ref="M422">IF($B422=0,IF($E422=0,"",IF(INDEX(DMAV_Dienste!Q$6:Q$140,$E422)="","",INDEX(DMAV_Dienste!Q$6:Q$140,$E422))),IF(INDEX(DMAV_Modell!R$6:R$838,$B422)="","",INDEX(DMAV_Modell!R$6:R$838,$B422)))</f>
        <v>Bezirksgrenzabschnitt_Gueltig</v>
      </c>
      <c r="N422" s="62" t="str" cm="1">
        <f t="array" ref="N422">IF($B422=0,IF($E422=0,"",IF(INDEX(DMAV_Dienste!T$6:T$140,$E422)="","",INDEX(DMAV_Dienste!T$6:T$140,$E422))),IF(INDEX(DMAV_Modell!U$6:U$838,$B422)="","",INDEX(DMAV_Modell!U$6:U$838,$B422)))</f>
        <v>PROJECTION OF</v>
      </c>
      <c r="O422" s="63" t="str" cm="1">
        <f t="array" aca="1" ref="O422" ca="1">IF(C422=0,IF(F422=0,"",HYPERLINK("#"&amp;RIGHT(CELL("adresse",OFFSET(DMAV_Dienste!$M$6,F422-1,0)),LEN(CELL("adresse",OFFSET(DMAV_Dienste!$M$6,F422-1,0)))-FIND("]",CELL("adresse",OFFSET(DMAV_Dienste!$M$6,F422-1,0)))),"Structure")),HYPERLINK("#"&amp;RIGHT(CELL("adresse",OFFSET(DMAV_Modell!$N$6,C422-1,0)),LEN(CELL("adresse",OFFSET(DMAV_Modell!$N$6,C422-1,0)))-FIND("]",CELL("adresse",OFFSET(DMAV_Modell!$N$6,C422-1,0)))),"Structure"))</f>
        <v/>
      </c>
      <c r="P422" s="64" t="str" cm="1">
        <f t="array" aca="1" ref="P422" ca="1">IF(D422=0,IF(G422=0,"",HYPERLINK("#"&amp;RIGHT(CELL("adresse",OFFSET(DMAV_Dienste!$M$6,G422-1,0)),LEN(CELL("adresse",OFFSET(DMAV_Dienste!$M$6,G422-1,0)))-FIND("]",CELL("adresse",OFFSET(DMAV_Dienste!$M$6,G422-1,0)))),"Substructure")),HYPERLINK("#"&amp;RIGHT(CELL("adresse",OFFSET(DMAV_Modell!$N$6,D422-1,0)),LEN(CELL("adresse",OFFSET(DMAV_Modell!$N$6,D422-1,0)))-FIND("]",CELL("adresse",OFFSET(DMAV_Modell!$N$6,D422-1,0)))),"Substructure"))</f>
        <v/>
      </c>
      <c r="R422" s="80"/>
      <c r="T422" s="93"/>
      <c r="U422" s="94"/>
      <c r="V422" s="95"/>
      <c r="W422" s="96"/>
      <c r="Y422" s="85"/>
      <c r="Z422" s="86"/>
      <c r="AA422" s="87"/>
      <c r="AB422" s="88"/>
      <c r="AD422" s="77"/>
      <c r="AF422" s="54" t="str" cm="1">
        <f t="array" aca="1" ref="AF422" ca="1">IF(H422=0,"",HYPERLINK("#"&amp;RIGHT(CELL("adresse",OFFSET('DM01-AV-CH'!$G$6,H422-1,0)),LEN(CELL("adresse",OFFSET('DM01-AV-CH'!$G$6,H422-1,0)))-FIND("]",CELL("adresse",OFFSET('DM01-AV-CH'!$G$6,H422-1,0)))),"Modell"))</f>
        <v/>
      </c>
      <c r="AG422" s="72" t="str" cm="1">
        <f t="array" ref="AG422">IF($H422=0,"",IF(INDEX('DM01-AV-CH'!G$6:G$834,$H422)="","",INDEX('DM01-AV-CH'!G$6:G$834,$H422)))</f>
        <v/>
      </c>
      <c r="AH422" s="73" t="str" cm="1">
        <f t="array" ref="AH422">IF($H422=0,"",IF(INDEX('DM01-AV-CH'!H$6:H$834,$H422)="","",INDEX('DM01-AV-CH'!H$6:H$834,$H422)))</f>
        <v/>
      </c>
      <c r="AI422" s="74" t="str" cm="1">
        <f t="array" ref="AI422">IF($H422=0,"",IF(INDEX('DM01-AV-CH'!I$6:I$834,$H422)="","",INDEX('DM01-AV-CH'!I$6:I$834,$H422)))</f>
        <v/>
      </c>
    </row>
    <row r="423" spans="1:35" x14ac:dyDescent="0.25">
      <c r="A423" s="57">
        <v>418</v>
      </c>
      <c r="B423" s="57">
        <f>IF($A423="","",IF(_xlfn.XLOOKUP($A423,Korrelation!$D$4:$D$1197,Korrelation!E$4:E$1197,"-",0)="-",0,MATCH(_xlfn.XLOOKUP($A423,Korrelation!$D$4:$D$1197,Korrelation!E$4:E$1197,"",0),DMAV_Modell!$G$6:$G$677,0)))</f>
        <v>182</v>
      </c>
      <c r="C423" s="57">
        <f>IF($A423="","",IF(_xlfn.XLOOKUP($A423,Korrelation!$D$4:$D$1197,Korrelation!F$4:F$1197,"-",0)="-",0,MATCH(_xlfn.XLOOKUP($A423,Korrelation!$D$4:$D$1197,Korrelation!F$4:F$1197,"",0),DMAV_Modell!$G$6:$G$677,0)))</f>
        <v>0</v>
      </c>
      <c r="D423" s="57">
        <f>IF($A423="","",IF(_xlfn.XLOOKUP($A423,Korrelation!$D$4:$D$1197,Korrelation!G$4:G$1197,"-",0)="-",0,MATCH(_xlfn.XLOOKUP($A423,Korrelation!$D$4:$D$1197,Korrelation!G$4:G$1197,"",0),DMAV_Modell!$G$6:$G$677,0)))</f>
        <v>0</v>
      </c>
      <c r="E423" s="57">
        <f>IF($A423="","",IF(_xlfn.XLOOKUP($A423,Korrelation!$D$4:$D$1197,Korrelation!H$4:H$1197,"-",0)="-",0,MATCH(_xlfn.XLOOKUP($A423,Korrelation!$D$4:$D$1197,Korrelation!H$4:H$1197,"",0),DMAV_Dienste!$F$6:$F$140,0)))</f>
        <v>0</v>
      </c>
      <c r="F423" s="57">
        <f>IF($A423="","",IF(_xlfn.XLOOKUP($A423,Korrelation!$D$4:$D$1197,Korrelation!I$4:I$1197,"-",0)="-",0,MATCH(_xlfn.XLOOKUP($A423,Korrelation!$D$4:$D$1197,Korrelation!I$4:I$1197,"",0),DMAV_Dienste!$F$6:$F$140,0)))</f>
        <v>0</v>
      </c>
      <c r="G423" s="57">
        <f>IF($A423="","",IF(_xlfn.XLOOKUP($A423,Korrelation!$D$4:$D$1197,Korrelation!J$4:J$1197,"-",0)="-",0,MATCH(_xlfn.XLOOKUP($A423,Korrelation!$D$4:$D$1197,Korrelation!J$4:J$1197,"",0),DMAV_Dienste!$F$6:$F$140,0)))</f>
        <v>0</v>
      </c>
      <c r="H423" s="57">
        <f>IF($A423="","",IF(_xlfn.XLOOKUP($A423,Korrelation!$D$4:$D$1197,Korrelation!K$4:K$1197,"-",0)="-",0,MATCH(_xlfn.XLOOKUP($A423,Korrelation!$D$4:$D$1197,Korrelation!K$4:K$1197,"",0),'DM01-AV-CH'!$A$6:$A$834,0)))</f>
        <v>0</v>
      </c>
      <c r="J423" s="54" t="str" cm="1">
        <f t="array" aca="1" ref="J423" ca="1">IF(B423=0,IF(E423=0,"",HYPERLINK("#"&amp;RIGHT(CELL("adresse",OFFSET(DMAV_Dienste!$M$6,E423-1,0)),LEN(CELL("adresse",OFFSET(DMAV_Dienste!$M$6,E423-1,0)))-FIND("]",CELL("adresse",OFFSET(DMAV_Dienste!$M$6,E423-1,0)))),"Dienst")),HYPERLINK("#"&amp;RIGHT(CELL("adresse",OFFSET(DMAV_Modell!$N$6,B423-1,0)),LEN(CELL("adresse",OFFSET(DMAV_Modell!$N$6,B423-1,0)))-FIND("]",CELL("adresse",OFFSET(DMAV_Modell!$N$6,B423-1,0)))),"Modell"))</f>
        <v>Modell</v>
      </c>
      <c r="K423" s="61" t="str" cm="1">
        <f t="array" ref="K423">IF($B423=0,IF($E423=0,"",IF(INDEX(DMAV_Dienste!P$6:P$140,$E423)="","",INDEX(DMAV_Dienste!P$6:P$140,$E423))),IF(INDEX(DMAV_Modell!Q$6:Q$838,$B423)="","",INDEX(DMAV_Modell!Q$6:Q$838,$B423)))</f>
        <v>VIEW</v>
      </c>
      <c r="L423" s="62" t="str" cm="1">
        <f t="array" ref="L423">IF($B423=0,IF($E423=0,"",IF(INDEX(DMAV_Dienste!O$6:O$140,$E423)="","",INDEX(DMAV_Dienste!O$6:O$140,$E423))),IF(INDEX(DMAV_Modell!P$6:P$838,$B423)="","",INDEX(DMAV_Modell!P$6:P$838,$B423)))</f>
        <v>HoheitsgrenzenAV</v>
      </c>
      <c r="M423" s="62" t="str" cm="1">
        <f t="array" ref="M423">IF($B423=0,IF($E423=0,"",IF(INDEX(DMAV_Dienste!Q$6:Q$140,$E423)="","",INDEX(DMAV_Dienste!Q$6:Q$140,$E423))),IF(INDEX(DMAV_Modell!R$6:R$838,$B423)="","",INDEX(DMAV_Modell!R$6:R$838,$B423)))</f>
        <v>Bezirksgrenzabschnitt_Gueltig</v>
      </c>
      <c r="N423" s="62" t="str" cm="1">
        <f t="array" ref="N423">IF($B423=0,IF($E423=0,"",IF(INDEX(DMAV_Dienste!T$6:T$140,$E423)="","",INDEX(DMAV_Dienste!T$6:T$140,$E423))),IF(INDEX(DMAV_Modell!U$6:U$838,$B423)="","",INDEX(DMAV_Modell!U$6:U$838,$B423)))</f>
        <v>WHERE DEFINED(@PH1@) AND DEFINED(@PH2@) AND (NOT(DEFINED(@PH3@)) OR NOT(DEFINED(@PH4@)))</v>
      </c>
      <c r="O423" s="63" t="str" cm="1">
        <f t="array" aca="1" ref="O423" ca="1">IF(C423=0,IF(F423=0,"",HYPERLINK("#"&amp;RIGHT(CELL("adresse",OFFSET(DMAV_Dienste!$M$6,F423-1,0)),LEN(CELL("adresse",OFFSET(DMAV_Dienste!$M$6,F423-1,0)))-FIND("]",CELL("adresse",OFFSET(DMAV_Dienste!$M$6,F423-1,0)))),"Structure")),HYPERLINK("#"&amp;RIGHT(CELL("adresse",OFFSET(DMAV_Modell!$N$6,C423-1,0)),LEN(CELL("adresse",OFFSET(DMAV_Modell!$N$6,C423-1,0)))-FIND("]",CELL("adresse",OFFSET(DMAV_Modell!$N$6,C423-1,0)))),"Structure"))</f>
        <v/>
      </c>
      <c r="P423" s="64" t="str" cm="1">
        <f t="array" aca="1" ref="P423" ca="1">IF(D423=0,IF(G423=0,"",HYPERLINK("#"&amp;RIGHT(CELL("adresse",OFFSET(DMAV_Dienste!$M$6,G423-1,0)),LEN(CELL("adresse",OFFSET(DMAV_Dienste!$M$6,G423-1,0)))-FIND("]",CELL("adresse",OFFSET(DMAV_Dienste!$M$6,G423-1,0)))),"Substructure")),HYPERLINK("#"&amp;RIGHT(CELL("adresse",OFFSET(DMAV_Modell!$N$6,D423-1,0)),LEN(CELL("adresse",OFFSET(DMAV_Modell!$N$6,D423-1,0)))-FIND("]",CELL("adresse",OFFSET(DMAV_Modell!$N$6,D423-1,0)))),"Substructure"))</f>
        <v/>
      </c>
      <c r="R423" s="80"/>
      <c r="T423" s="93"/>
      <c r="U423" s="94"/>
      <c r="V423" s="95"/>
      <c r="W423" s="96"/>
      <c r="Y423" s="85"/>
      <c r="Z423" s="86"/>
      <c r="AA423" s="87"/>
      <c r="AB423" s="88"/>
      <c r="AD423" s="77"/>
      <c r="AF423" s="54" t="str" cm="1">
        <f t="array" aca="1" ref="AF423" ca="1">IF(H423=0,"",HYPERLINK("#"&amp;RIGHT(CELL("adresse",OFFSET('DM01-AV-CH'!$G$6,H423-1,0)),LEN(CELL("adresse",OFFSET('DM01-AV-CH'!$G$6,H423-1,0)))-FIND("]",CELL("adresse",OFFSET('DM01-AV-CH'!$G$6,H423-1,0)))),"Modell"))</f>
        <v/>
      </c>
      <c r="AG423" s="72" t="str" cm="1">
        <f t="array" ref="AG423">IF($H423=0,"",IF(INDEX('DM01-AV-CH'!G$6:G$834,$H423)="","",INDEX('DM01-AV-CH'!G$6:G$834,$H423)))</f>
        <v/>
      </c>
      <c r="AH423" s="73" t="str" cm="1">
        <f t="array" ref="AH423">IF($H423=0,"",IF(INDEX('DM01-AV-CH'!H$6:H$834,$H423)="","",INDEX('DM01-AV-CH'!H$6:H$834,$H423)))</f>
        <v/>
      </c>
      <c r="AI423" s="74" t="str" cm="1">
        <f t="array" ref="AI423">IF($H423=0,"",IF(INDEX('DM01-AV-CH'!I$6:I$834,$H423)="","",INDEX('DM01-AV-CH'!I$6:I$834,$H423)))</f>
        <v/>
      </c>
    </row>
    <row r="424" spans="1:35" x14ac:dyDescent="0.25">
      <c r="A424" s="57">
        <v>419</v>
      </c>
      <c r="B424" s="57">
        <f>IF($A424="","",IF(_xlfn.XLOOKUP($A424,Korrelation!$D$4:$D$1197,Korrelation!E$4:E$1197,"-",0)="-",0,MATCH(_xlfn.XLOOKUP($A424,Korrelation!$D$4:$D$1197,Korrelation!E$4:E$1197,"",0),DMAV_Modell!$G$6:$G$677,0)))</f>
        <v>183</v>
      </c>
      <c r="C424" s="57">
        <f>IF($A424="","",IF(_xlfn.XLOOKUP($A424,Korrelation!$D$4:$D$1197,Korrelation!F$4:F$1197,"-",0)="-",0,MATCH(_xlfn.XLOOKUP($A424,Korrelation!$D$4:$D$1197,Korrelation!F$4:F$1197,"",0),DMAV_Modell!$G$6:$G$677,0)))</f>
        <v>0</v>
      </c>
      <c r="D424" s="57">
        <f>IF($A424="","",IF(_xlfn.XLOOKUP($A424,Korrelation!$D$4:$D$1197,Korrelation!G$4:G$1197,"-",0)="-",0,MATCH(_xlfn.XLOOKUP($A424,Korrelation!$D$4:$D$1197,Korrelation!G$4:G$1197,"",0),DMAV_Modell!$G$6:$G$677,0)))</f>
        <v>0</v>
      </c>
      <c r="E424" s="57">
        <f>IF($A424="","",IF(_xlfn.XLOOKUP($A424,Korrelation!$D$4:$D$1197,Korrelation!H$4:H$1197,"-",0)="-",0,MATCH(_xlfn.XLOOKUP($A424,Korrelation!$D$4:$D$1197,Korrelation!H$4:H$1197,"",0),DMAV_Dienste!$F$6:$F$140,0)))</f>
        <v>0</v>
      </c>
      <c r="F424" s="57">
        <f>IF($A424="","",IF(_xlfn.XLOOKUP($A424,Korrelation!$D$4:$D$1197,Korrelation!I$4:I$1197,"-",0)="-",0,MATCH(_xlfn.XLOOKUP($A424,Korrelation!$D$4:$D$1197,Korrelation!I$4:I$1197,"",0),DMAV_Dienste!$F$6:$F$140,0)))</f>
        <v>0</v>
      </c>
      <c r="G424" s="57">
        <f>IF($A424="","",IF(_xlfn.XLOOKUP($A424,Korrelation!$D$4:$D$1197,Korrelation!J$4:J$1197,"-",0)="-",0,MATCH(_xlfn.XLOOKUP($A424,Korrelation!$D$4:$D$1197,Korrelation!J$4:J$1197,"",0),DMAV_Dienste!$F$6:$F$140,0)))</f>
        <v>0</v>
      </c>
      <c r="H424" s="57">
        <f>IF($A424="","",IF(_xlfn.XLOOKUP($A424,Korrelation!$D$4:$D$1197,Korrelation!K$4:K$1197,"-",0)="-",0,MATCH(_xlfn.XLOOKUP($A424,Korrelation!$D$4:$D$1197,Korrelation!K$4:K$1197,"",0),'DM01-AV-CH'!$A$6:$A$834,0)))</f>
        <v>0</v>
      </c>
      <c r="J424" s="54" t="str" cm="1">
        <f t="array" aca="1" ref="J424" ca="1">IF(B424=0,IF(E424=0,"",HYPERLINK("#"&amp;RIGHT(CELL("adresse",OFFSET(DMAV_Dienste!$M$6,E424-1,0)),LEN(CELL("adresse",OFFSET(DMAV_Dienste!$M$6,E424-1,0)))-FIND("]",CELL("adresse",OFFSET(DMAV_Dienste!$M$6,E424-1,0)))),"Dienst")),HYPERLINK("#"&amp;RIGHT(CELL("adresse",OFFSET(DMAV_Modell!$N$6,B424-1,0)),LEN(CELL("adresse",OFFSET(DMAV_Modell!$N$6,B424-1,0)))-FIND("]",CELL("adresse",OFFSET(DMAV_Modell!$N$6,B424-1,0)))),"Modell"))</f>
        <v>Modell</v>
      </c>
      <c r="K424" s="61" t="str" cm="1">
        <f t="array" ref="K424">IF($B424=0,IF($E424=0,"",IF(INDEX(DMAV_Dienste!P$6:P$140,$E424)="","",INDEX(DMAV_Dienste!P$6:P$140,$E424))),IF(INDEX(DMAV_Modell!Q$6:Q$838,$B424)="","",INDEX(DMAV_Modell!Q$6:Q$838,$B424)))</f>
        <v>VIEW</v>
      </c>
      <c r="L424" s="62" t="str" cm="1">
        <f t="array" ref="L424">IF($B424=0,IF($E424=0,"",IF(INDEX(DMAV_Dienste!O$6:O$140,$E424)="","",INDEX(DMAV_Dienste!O$6:O$140,$E424))),IF(INDEX(DMAV_Modell!P$6:P$838,$B424)="","",INDEX(DMAV_Modell!P$6:P$838,$B424)))</f>
        <v>HoheitsgrenzenAV</v>
      </c>
      <c r="M424" s="62" t="str" cm="1">
        <f t="array" ref="M424">IF($B424=0,IF($E424=0,"",IF(INDEX(DMAV_Dienste!Q$6:Q$140,$E424)="","",INDEX(DMAV_Dienste!Q$6:Q$140,$E424))),IF(INDEX(DMAV_Modell!R$6:R$838,$B424)="","",INDEX(DMAV_Modell!R$6:R$838,$B424)))</f>
        <v>Bezirksgrenzabschnitt_Gueltig</v>
      </c>
      <c r="N424" s="62" t="str" cm="1">
        <f t="array" ref="N424">IF($B424=0,IF($E424=0,"",IF(INDEX(DMAV_Dienste!T$6:T$140,$E424)="","",INDEX(DMAV_Dienste!T$6:T$140,$E424))),IF(INDEX(DMAV_Modell!U$6:U$838,$B424)="","",INDEX(DMAV_Modell!U$6:U$838,$B424)))</f>
        <v>= ALL OF</v>
      </c>
      <c r="O424" s="63" t="str" cm="1">
        <f t="array" aca="1" ref="O424" ca="1">IF(C424=0,IF(F424=0,"",HYPERLINK("#"&amp;RIGHT(CELL("adresse",OFFSET(DMAV_Dienste!$M$6,F424-1,0)),LEN(CELL("adresse",OFFSET(DMAV_Dienste!$M$6,F424-1,0)))-FIND("]",CELL("adresse",OFFSET(DMAV_Dienste!$M$6,F424-1,0)))),"Structure")),HYPERLINK("#"&amp;RIGHT(CELL("adresse",OFFSET(DMAV_Modell!$N$6,C424-1,0)),LEN(CELL("adresse",OFFSET(DMAV_Modell!$N$6,C424-1,0)))-FIND("]",CELL("adresse",OFFSET(DMAV_Modell!$N$6,C424-1,0)))),"Structure"))</f>
        <v/>
      </c>
      <c r="P424" s="64" t="str" cm="1">
        <f t="array" aca="1" ref="P424" ca="1">IF(D424=0,IF(G424=0,"",HYPERLINK("#"&amp;RIGHT(CELL("adresse",OFFSET(DMAV_Dienste!$M$6,G424-1,0)),LEN(CELL("adresse",OFFSET(DMAV_Dienste!$M$6,G424-1,0)))-FIND("]",CELL("adresse",OFFSET(DMAV_Dienste!$M$6,G424-1,0)))),"Substructure")),HYPERLINK("#"&amp;RIGHT(CELL("adresse",OFFSET(DMAV_Modell!$N$6,D424-1,0)),LEN(CELL("adresse",OFFSET(DMAV_Modell!$N$6,D424-1,0)))-FIND("]",CELL("adresse",OFFSET(DMAV_Modell!$N$6,D424-1,0)))),"Substructure"))</f>
        <v/>
      </c>
      <c r="R424" s="80"/>
      <c r="T424" s="93"/>
      <c r="U424" s="94"/>
      <c r="V424" s="95"/>
      <c r="W424" s="96"/>
      <c r="Y424" s="85"/>
      <c r="Z424" s="86"/>
      <c r="AA424" s="87"/>
      <c r="AB424" s="88"/>
      <c r="AD424" s="77"/>
      <c r="AF424" s="54" t="str" cm="1">
        <f t="array" aca="1" ref="AF424" ca="1">IF(H424=0,"",HYPERLINK("#"&amp;RIGHT(CELL("adresse",OFFSET('DM01-AV-CH'!$G$6,H424-1,0)),LEN(CELL("adresse",OFFSET('DM01-AV-CH'!$G$6,H424-1,0)))-FIND("]",CELL("adresse",OFFSET('DM01-AV-CH'!$G$6,H424-1,0)))),"Modell"))</f>
        <v/>
      </c>
      <c r="AG424" s="72" t="str" cm="1">
        <f t="array" ref="AG424">IF($H424=0,"",IF(INDEX('DM01-AV-CH'!G$6:G$834,$H424)="","",INDEX('DM01-AV-CH'!G$6:G$834,$H424)))</f>
        <v/>
      </c>
      <c r="AH424" s="73" t="str" cm="1">
        <f t="array" ref="AH424">IF($H424=0,"",IF(INDEX('DM01-AV-CH'!H$6:H$834,$H424)="","",INDEX('DM01-AV-CH'!H$6:H$834,$H424)))</f>
        <v/>
      </c>
      <c r="AI424" s="74" t="str" cm="1">
        <f t="array" ref="AI424">IF($H424=0,"",IF(INDEX('DM01-AV-CH'!I$6:I$834,$H424)="","",INDEX('DM01-AV-CH'!I$6:I$834,$H424)))</f>
        <v/>
      </c>
    </row>
    <row r="425" spans="1:35" x14ac:dyDescent="0.25">
      <c r="A425" s="57">
        <v>420</v>
      </c>
      <c r="B425" s="57">
        <f>IF($A425="","",IF(_xlfn.XLOOKUP($A425,Korrelation!$D$4:$D$1197,Korrelation!E$4:E$1197,"-",0)="-",0,MATCH(_xlfn.XLOOKUP($A425,Korrelation!$D$4:$D$1197,Korrelation!E$4:E$1197,"",0),DMAV_Modell!$G$6:$G$677,0)))</f>
        <v>184</v>
      </c>
      <c r="C425" s="57">
        <f>IF($A425="","",IF(_xlfn.XLOOKUP($A425,Korrelation!$D$4:$D$1197,Korrelation!F$4:F$1197,"-",0)="-",0,MATCH(_xlfn.XLOOKUP($A425,Korrelation!$D$4:$D$1197,Korrelation!F$4:F$1197,"",0),DMAV_Modell!$G$6:$G$677,0)))</f>
        <v>0</v>
      </c>
      <c r="D425" s="57">
        <f>IF($A425="","",IF(_xlfn.XLOOKUP($A425,Korrelation!$D$4:$D$1197,Korrelation!G$4:G$1197,"-",0)="-",0,MATCH(_xlfn.XLOOKUP($A425,Korrelation!$D$4:$D$1197,Korrelation!G$4:G$1197,"",0),DMAV_Modell!$G$6:$G$677,0)))</f>
        <v>0</v>
      </c>
      <c r="E425" s="57">
        <f>IF($A425="","",IF(_xlfn.XLOOKUP($A425,Korrelation!$D$4:$D$1197,Korrelation!H$4:H$1197,"-",0)="-",0,MATCH(_xlfn.XLOOKUP($A425,Korrelation!$D$4:$D$1197,Korrelation!H$4:H$1197,"",0),DMAV_Dienste!$F$6:$F$140,0)))</f>
        <v>0</v>
      </c>
      <c r="F425" s="57">
        <f>IF($A425="","",IF(_xlfn.XLOOKUP($A425,Korrelation!$D$4:$D$1197,Korrelation!I$4:I$1197,"-",0)="-",0,MATCH(_xlfn.XLOOKUP($A425,Korrelation!$D$4:$D$1197,Korrelation!I$4:I$1197,"",0),DMAV_Dienste!$F$6:$F$140,0)))</f>
        <v>0</v>
      </c>
      <c r="G425" s="57">
        <f>IF($A425="","",IF(_xlfn.XLOOKUP($A425,Korrelation!$D$4:$D$1197,Korrelation!J$4:J$1197,"-",0)="-",0,MATCH(_xlfn.XLOOKUP($A425,Korrelation!$D$4:$D$1197,Korrelation!J$4:J$1197,"",0),DMAV_Dienste!$F$6:$F$140,0)))</f>
        <v>0</v>
      </c>
      <c r="H425" s="57">
        <f>IF($A425="","",IF(_xlfn.XLOOKUP($A425,Korrelation!$D$4:$D$1197,Korrelation!K$4:K$1197,"-",0)="-",0,MATCH(_xlfn.XLOOKUP($A425,Korrelation!$D$4:$D$1197,Korrelation!K$4:K$1197,"",0),'DM01-AV-CH'!$A$6:$A$834,0)))</f>
        <v>621</v>
      </c>
      <c r="J425" s="54" t="str" cm="1">
        <f t="array" aca="1" ref="J425" ca="1">IF(B425=0,IF(E425=0,"",HYPERLINK("#"&amp;RIGHT(CELL("adresse",OFFSET(DMAV_Dienste!$M$6,E425-1,0)),LEN(CELL("adresse",OFFSET(DMAV_Dienste!$M$6,E425-1,0)))-FIND("]",CELL("adresse",OFFSET(DMAV_Dienste!$M$6,E425-1,0)))),"Dienst")),HYPERLINK("#"&amp;RIGHT(CELL("adresse",OFFSET(DMAV_Modell!$N$6,B425-1,0)),LEN(CELL("adresse",OFFSET(DMAV_Modell!$N$6,B425-1,0)))-FIND("]",CELL("adresse",OFFSET(DMAV_Modell!$N$6,B425-1,0)))),"Modell"))</f>
        <v>Modell</v>
      </c>
      <c r="K425" s="61" t="str" cm="1">
        <f t="array" ref="K425">IF($B425=0,IF($E425=0,"",IF(INDEX(DMAV_Dienste!P$6:P$140,$E425)="","",INDEX(DMAV_Dienste!P$6:P$140,$E425))),IF(INDEX(DMAV_Modell!Q$6:Q$838,$B425)="","",INDEX(DMAV_Modell!Q$6:Q$838,$B425)))</f>
        <v>CLASS</v>
      </c>
      <c r="L425" s="62" t="str" cm="1">
        <f t="array" ref="L425">IF($B425=0,IF($E425=0,"",IF(INDEX(DMAV_Dienste!O$6:O$140,$E425)="","",INDEX(DMAV_Dienste!O$6:O$140,$E425))),IF(INDEX(DMAV_Modell!P$6:P$838,$B425)="","",INDEX(DMAV_Modell!P$6:P$838,$B425)))</f>
        <v>HoheitsgrenzenAV</v>
      </c>
      <c r="M425" s="62" t="str" cm="1">
        <f t="array" ref="M425">IF($B425=0,IF($E425=0,"",IF(INDEX(DMAV_Dienste!Q$6:Q$140,$E425)="","",INDEX(DMAV_Dienste!Q$6:Q$140,$E425))),IF(INDEX(DMAV_Modell!R$6:R$838,$B425)="","",INDEX(DMAV_Modell!R$6:R$838,$B425)))</f>
        <v>Kantonsgrenzabschnitt</v>
      </c>
      <c r="N425" s="62" t="str" cm="1">
        <f t="array" ref="N425">IF($B425=0,IF($E425=0,"",IF(INDEX(DMAV_Dienste!T$6:T$140,$E425)="","",INDEX(DMAV_Dienste!T$6:T$140,$E425))),IF(INDEX(DMAV_Modell!U$6:U$838,$B425)="","",INDEX(DMAV_Modell!U$6:U$838,$B425)))</f>
        <v>Geometrie</v>
      </c>
      <c r="O425" s="63" t="str" cm="1">
        <f t="array" aca="1" ref="O425" ca="1">IF(C425=0,IF(F425=0,"",HYPERLINK("#"&amp;RIGHT(CELL("adresse",OFFSET(DMAV_Dienste!$M$6,F425-1,0)),LEN(CELL("adresse",OFFSET(DMAV_Dienste!$M$6,F425-1,0)))-FIND("]",CELL("adresse",OFFSET(DMAV_Dienste!$M$6,F425-1,0)))),"Structure")),HYPERLINK("#"&amp;RIGHT(CELL("adresse",OFFSET(DMAV_Modell!$N$6,C425-1,0)),LEN(CELL("adresse",OFFSET(DMAV_Modell!$N$6,C425-1,0)))-FIND("]",CELL("adresse",OFFSET(DMAV_Modell!$N$6,C425-1,0)))),"Structure"))</f>
        <v/>
      </c>
      <c r="P425" s="64" t="str" cm="1">
        <f t="array" aca="1" ref="P425" ca="1">IF(D425=0,IF(G425=0,"",HYPERLINK("#"&amp;RIGHT(CELL("adresse",OFFSET(DMAV_Dienste!$M$6,G425-1,0)),LEN(CELL("adresse",OFFSET(DMAV_Dienste!$M$6,G425-1,0)))-FIND("]",CELL("adresse",OFFSET(DMAV_Dienste!$M$6,G425-1,0)))),"Substructure")),HYPERLINK("#"&amp;RIGHT(CELL("adresse",OFFSET(DMAV_Modell!$N$6,D425-1,0)),LEN(CELL("adresse",OFFSET(DMAV_Modell!$N$6,D425-1,0)))-FIND("]",CELL("adresse",OFFSET(DMAV_Modell!$N$6,D425-1,0)))),"Substructure"))</f>
        <v/>
      </c>
      <c r="R425" s="80"/>
      <c r="T425" s="93"/>
      <c r="U425" s="94"/>
      <c r="V425" s="95"/>
      <c r="W425" s="96"/>
      <c r="Y425" s="85"/>
      <c r="Z425" s="86"/>
      <c r="AA425" s="87"/>
      <c r="AB425" s="88"/>
      <c r="AD425" s="77"/>
      <c r="AF425" s="54" t="str" cm="1">
        <f t="array" aca="1" ref="AF425" ca="1">IF(H425=0,"",HYPERLINK("#"&amp;RIGHT(CELL("adresse",OFFSET('DM01-AV-CH'!$G$6,H425-1,0)),LEN(CELL("adresse",OFFSET('DM01-AV-CH'!$G$6,H425-1,0)))-FIND("]",CELL("adresse",OFFSET('DM01-AV-CH'!$G$6,H425-1,0)))),"Modell"))</f>
        <v>Modell</v>
      </c>
      <c r="AG425" s="72" t="str" cm="1">
        <f t="array" ref="AG425">IF($H425=0,"",IF(INDEX('DM01-AV-CH'!G$6:G$834,$H425)="","",INDEX('DM01-AV-CH'!G$6:G$834,$H425)))</f>
        <v>Kantonsgrenzen</v>
      </c>
      <c r="AH425" s="73" t="str" cm="1">
        <f t="array" ref="AH425">IF($H425=0,"",IF(INDEX('DM01-AV-CH'!H$6:H$834,$H425)="","",INDEX('DM01-AV-CH'!H$6:H$834,$H425)))</f>
        <v>Kantonsgrenzabschnitt</v>
      </c>
      <c r="AI425" s="74" t="str" cm="1">
        <f t="array" ref="AI425">IF($H425=0,"",IF(INDEX('DM01-AV-CH'!I$6:I$834,$H425)="","",INDEX('DM01-AV-CH'!I$6:I$834,$H425)))</f>
        <v>Geometrie</v>
      </c>
    </row>
    <row r="426" spans="1:35" x14ac:dyDescent="0.25">
      <c r="A426" s="57">
        <v>421</v>
      </c>
      <c r="B426" s="57">
        <f>IF($A426="","",IF(_xlfn.XLOOKUP($A426,Korrelation!$D$4:$D$1197,Korrelation!E$4:E$1197,"-",0)="-",0,MATCH(_xlfn.XLOOKUP($A426,Korrelation!$D$4:$D$1197,Korrelation!E$4:E$1197,"",0),DMAV_Modell!$G$6:$G$677,0)))</f>
        <v>185</v>
      </c>
      <c r="C426" s="57">
        <f>IF($A426="","",IF(_xlfn.XLOOKUP($A426,Korrelation!$D$4:$D$1197,Korrelation!F$4:F$1197,"-",0)="-",0,MATCH(_xlfn.XLOOKUP($A426,Korrelation!$D$4:$D$1197,Korrelation!F$4:F$1197,"",0),DMAV_Modell!$G$6:$G$677,0)))</f>
        <v>0</v>
      </c>
      <c r="D426" s="57">
        <f>IF($A426="","",IF(_xlfn.XLOOKUP($A426,Korrelation!$D$4:$D$1197,Korrelation!G$4:G$1197,"-",0)="-",0,MATCH(_xlfn.XLOOKUP($A426,Korrelation!$D$4:$D$1197,Korrelation!G$4:G$1197,"",0),DMAV_Modell!$G$6:$G$677,0)))</f>
        <v>0</v>
      </c>
      <c r="E426" s="57">
        <f>IF($A426="","",IF(_xlfn.XLOOKUP($A426,Korrelation!$D$4:$D$1197,Korrelation!H$4:H$1197,"-",0)="-",0,MATCH(_xlfn.XLOOKUP($A426,Korrelation!$D$4:$D$1197,Korrelation!H$4:H$1197,"",0),DMAV_Dienste!$F$6:$F$140,0)))</f>
        <v>0</v>
      </c>
      <c r="F426" s="57">
        <f>IF($A426="","",IF(_xlfn.XLOOKUP($A426,Korrelation!$D$4:$D$1197,Korrelation!I$4:I$1197,"-",0)="-",0,MATCH(_xlfn.XLOOKUP($A426,Korrelation!$D$4:$D$1197,Korrelation!I$4:I$1197,"",0),DMAV_Dienste!$F$6:$F$140,0)))</f>
        <v>0</v>
      </c>
      <c r="G426" s="57">
        <f>IF($A426="","",IF(_xlfn.XLOOKUP($A426,Korrelation!$D$4:$D$1197,Korrelation!J$4:J$1197,"-",0)="-",0,MATCH(_xlfn.XLOOKUP($A426,Korrelation!$D$4:$D$1197,Korrelation!J$4:J$1197,"",0),DMAV_Dienste!$F$6:$F$140,0)))</f>
        <v>0</v>
      </c>
      <c r="H426" s="57">
        <f>IF($A426="","",IF(_xlfn.XLOOKUP($A426,Korrelation!$D$4:$D$1197,Korrelation!K$4:K$1197,"-",0)="-",0,MATCH(_xlfn.XLOOKUP($A426,Korrelation!$D$4:$D$1197,Korrelation!K$4:K$1197,"",0),'DM01-AV-CH'!$A$6:$A$834,0)))</f>
        <v>622</v>
      </c>
      <c r="J426" s="54" t="str" cm="1">
        <f t="array" aca="1" ref="J426" ca="1">IF(B426=0,IF(E426=0,"",HYPERLINK("#"&amp;RIGHT(CELL("adresse",OFFSET(DMAV_Dienste!$M$6,E426-1,0)),LEN(CELL("adresse",OFFSET(DMAV_Dienste!$M$6,E426-1,0)))-FIND("]",CELL("adresse",OFFSET(DMAV_Dienste!$M$6,E426-1,0)))),"Dienst")),HYPERLINK("#"&amp;RIGHT(CELL("adresse",OFFSET(DMAV_Modell!$N$6,B426-1,0)),LEN(CELL("adresse",OFFSET(DMAV_Modell!$N$6,B426-1,0)))-FIND("]",CELL("adresse",OFFSET(DMAV_Modell!$N$6,B426-1,0)))),"Modell"))</f>
        <v>Modell</v>
      </c>
      <c r="K426" s="61" t="str" cm="1">
        <f t="array" ref="K426">IF($B426=0,IF($E426=0,"",IF(INDEX(DMAV_Dienste!P$6:P$140,$E426)="","",INDEX(DMAV_Dienste!P$6:P$140,$E426))),IF(INDEX(DMAV_Modell!Q$6:Q$838,$B426)="","",INDEX(DMAV_Modell!Q$6:Q$838,$B426)))</f>
        <v>CLASS</v>
      </c>
      <c r="L426" s="62" t="str" cm="1">
        <f t="array" ref="L426">IF($B426=0,IF($E426=0,"",IF(INDEX(DMAV_Dienste!O$6:O$140,$E426)="","",INDEX(DMAV_Dienste!O$6:O$140,$E426))),IF(INDEX(DMAV_Modell!P$6:P$838,$B426)="","",INDEX(DMAV_Modell!P$6:P$838,$B426)))</f>
        <v>HoheitsgrenzenAV</v>
      </c>
      <c r="M426" s="62" t="str" cm="1">
        <f t="array" ref="M426">IF($B426=0,IF($E426=0,"",IF(INDEX(DMAV_Dienste!Q$6:Q$140,$E426)="","",INDEX(DMAV_Dienste!Q$6:Q$140,$E426))),IF(INDEX(DMAV_Modell!R$6:R$838,$B426)="","",INDEX(DMAV_Modell!R$6:R$838,$B426)))</f>
        <v>Kantonsgrenzabschnitt</v>
      </c>
      <c r="N426" s="62" t="str" cm="1">
        <f t="array" ref="N426">IF($B426=0,IF($E426=0,"",IF(INDEX(DMAV_Dienste!T$6:T$140,$E426)="","",INDEX(DMAV_Dienste!T$6:T$140,$E426))),IF(INDEX(DMAV_Modell!U$6:U$838,$B426)="","",INDEX(DMAV_Modell!U$6:U$838,$B426)))</f>
        <v>Gueltigkeit</v>
      </c>
      <c r="O426" s="63" t="str" cm="1">
        <f t="array" aca="1" ref="O426" ca="1">IF(C426=0,IF(F426=0,"",HYPERLINK("#"&amp;RIGHT(CELL("adresse",OFFSET(DMAV_Dienste!$M$6,F426-1,0)),LEN(CELL("adresse",OFFSET(DMAV_Dienste!$M$6,F426-1,0)))-FIND("]",CELL("adresse",OFFSET(DMAV_Dienste!$M$6,F426-1,0)))),"Structure")),HYPERLINK("#"&amp;RIGHT(CELL("adresse",OFFSET(DMAV_Modell!$N$6,C426-1,0)),LEN(CELL("adresse",OFFSET(DMAV_Modell!$N$6,C426-1,0)))-FIND("]",CELL("adresse",OFFSET(DMAV_Modell!$N$6,C426-1,0)))),"Structure"))</f>
        <v/>
      </c>
      <c r="P426" s="64" t="str" cm="1">
        <f t="array" aca="1" ref="P426" ca="1">IF(D426=0,IF(G426=0,"",HYPERLINK("#"&amp;RIGHT(CELL("adresse",OFFSET(DMAV_Dienste!$M$6,G426-1,0)),LEN(CELL("adresse",OFFSET(DMAV_Dienste!$M$6,G426-1,0)))-FIND("]",CELL("adresse",OFFSET(DMAV_Dienste!$M$6,G426-1,0)))),"Substructure")),HYPERLINK("#"&amp;RIGHT(CELL("adresse",OFFSET(DMAV_Modell!$N$6,D426-1,0)),LEN(CELL("adresse",OFFSET(DMAV_Modell!$N$6,D426-1,0)))-FIND("]",CELL("adresse",OFFSET(DMAV_Modell!$N$6,D426-1,0)))),"Substructure"))</f>
        <v/>
      </c>
      <c r="R426" s="80"/>
      <c r="T426" s="93"/>
      <c r="U426" s="94"/>
      <c r="V426" s="95"/>
      <c r="W426" s="96"/>
      <c r="Y426" s="85"/>
      <c r="Z426" s="86"/>
      <c r="AA426" s="87"/>
      <c r="AB426" s="88"/>
      <c r="AD426" s="77"/>
      <c r="AF426" s="54" t="str" cm="1">
        <f t="array" aca="1" ref="AF426" ca="1">IF(H426=0,"",HYPERLINK("#"&amp;RIGHT(CELL("adresse",OFFSET('DM01-AV-CH'!$G$6,H426-1,0)),LEN(CELL("adresse",OFFSET('DM01-AV-CH'!$G$6,H426-1,0)))-FIND("]",CELL("adresse",OFFSET('DM01-AV-CH'!$G$6,H426-1,0)))),"Modell"))</f>
        <v>Modell</v>
      </c>
      <c r="AG426" s="72" t="str" cm="1">
        <f t="array" ref="AG426">IF($H426=0,"",IF(INDEX('DM01-AV-CH'!G$6:G$834,$H426)="","",INDEX('DM01-AV-CH'!G$6:G$834,$H426)))</f>
        <v>Kantonsgrenzen</v>
      </c>
      <c r="AH426" s="73" t="str" cm="1">
        <f t="array" ref="AH426">IF($H426=0,"",IF(INDEX('DM01-AV-CH'!H$6:H$834,$H426)="","",INDEX('DM01-AV-CH'!H$6:H$834,$H426)))</f>
        <v>Kantonsgrenzabschnitt</v>
      </c>
      <c r="AI426" s="74" t="str" cm="1">
        <f t="array" ref="AI426">IF($H426=0,"",IF(INDEX('DM01-AV-CH'!I$6:I$834,$H426)="","",INDEX('DM01-AV-CH'!I$6:I$834,$H426)))</f>
        <v>Gueltigkeit</v>
      </c>
    </row>
    <row r="427" spans="1:35" x14ac:dyDescent="0.25">
      <c r="A427" s="57">
        <v>422</v>
      </c>
      <c r="B427" s="57">
        <f>IF($A427="","",IF(_xlfn.XLOOKUP($A427,Korrelation!$D$4:$D$1197,Korrelation!E$4:E$1197,"-",0)="-",0,MATCH(_xlfn.XLOOKUP($A427,Korrelation!$D$4:$D$1197,Korrelation!E$4:E$1197,"",0),DMAV_Modell!$G$6:$G$677,0)))</f>
        <v>186</v>
      </c>
      <c r="C427" s="57">
        <f>IF($A427="","",IF(_xlfn.XLOOKUP($A427,Korrelation!$D$4:$D$1197,Korrelation!F$4:F$1197,"-",0)="-",0,MATCH(_xlfn.XLOOKUP($A427,Korrelation!$D$4:$D$1197,Korrelation!F$4:F$1197,"",0),DMAV_Modell!$G$6:$G$677,0)))</f>
        <v>0</v>
      </c>
      <c r="D427" s="57">
        <f>IF($A427="","",IF(_xlfn.XLOOKUP($A427,Korrelation!$D$4:$D$1197,Korrelation!G$4:G$1197,"-",0)="-",0,MATCH(_xlfn.XLOOKUP($A427,Korrelation!$D$4:$D$1197,Korrelation!G$4:G$1197,"",0),DMAV_Modell!$G$6:$G$677,0)))</f>
        <v>0</v>
      </c>
      <c r="E427" s="57">
        <f>IF($A427="","",IF(_xlfn.XLOOKUP($A427,Korrelation!$D$4:$D$1197,Korrelation!H$4:H$1197,"-",0)="-",0,MATCH(_xlfn.XLOOKUP($A427,Korrelation!$D$4:$D$1197,Korrelation!H$4:H$1197,"",0),DMAV_Dienste!$F$6:$F$140,0)))</f>
        <v>0</v>
      </c>
      <c r="F427" s="57">
        <f>IF($A427="","",IF(_xlfn.XLOOKUP($A427,Korrelation!$D$4:$D$1197,Korrelation!I$4:I$1197,"-",0)="-",0,MATCH(_xlfn.XLOOKUP($A427,Korrelation!$D$4:$D$1197,Korrelation!I$4:I$1197,"",0),DMAV_Dienste!$F$6:$F$140,0)))</f>
        <v>0</v>
      </c>
      <c r="G427" s="57">
        <f>IF($A427="","",IF(_xlfn.XLOOKUP($A427,Korrelation!$D$4:$D$1197,Korrelation!J$4:J$1197,"-",0)="-",0,MATCH(_xlfn.XLOOKUP($A427,Korrelation!$D$4:$D$1197,Korrelation!J$4:J$1197,"",0),DMAV_Dienste!$F$6:$F$140,0)))</f>
        <v>0</v>
      </c>
      <c r="H427" s="57">
        <f>IF($A427="","",IF(_xlfn.XLOOKUP($A427,Korrelation!$D$4:$D$1197,Korrelation!K$4:K$1197,"-",0)="-",0,MATCH(_xlfn.XLOOKUP($A427,Korrelation!$D$4:$D$1197,Korrelation!K$4:K$1197,"",0),'DM01-AV-CH'!$A$6:$A$834,0)))</f>
        <v>0</v>
      </c>
      <c r="J427" s="54" t="str" cm="1">
        <f t="array" aca="1" ref="J427" ca="1">IF(B427=0,IF(E427=0,"",HYPERLINK("#"&amp;RIGHT(CELL("adresse",OFFSET(DMAV_Dienste!$M$6,E427-1,0)),LEN(CELL("adresse",OFFSET(DMAV_Dienste!$M$6,E427-1,0)))-FIND("]",CELL("adresse",OFFSET(DMAV_Dienste!$M$6,E427-1,0)))),"Dienst")),HYPERLINK("#"&amp;RIGHT(CELL("adresse",OFFSET(DMAV_Modell!$N$6,B427-1,0)),LEN(CELL("adresse",OFFSET(DMAV_Modell!$N$6,B427-1,0)))-FIND("]",CELL("adresse",OFFSET(DMAV_Modell!$N$6,B427-1,0)))),"Modell"))</f>
        <v>Modell</v>
      </c>
      <c r="K427" s="61" t="str" cm="1">
        <f t="array" ref="K427">IF($B427=0,IF($E427=0,"",IF(INDEX(DMAV_Dienste!P$6:P$140,$E427)="","",INDEX(DMAV_Dienste!P$6:P$140,$E427))),IF(INDEX(DMAV_Modell!Q$6:Q$838,$B427)="","",INDEX(DMAV_Modell!Q$6:Q$838,$B427)))</f>
        <v>ASSOCIATION</v>
      </c>
      <c r="L427" s="62" t="str" cm="1">
        <f t="array" ref="L427">IF($B427=0,IF($E427=0,"",IF(INDEX(DMAV_Dienste!O$6:O$140,$E427)="","",INDEX(DMAV_Dienste!O$6:O$140,$E427))),IF(INDEX(DMAV_Modell!P$6:P$838,$B427)="","",INDEX(DMAV_Modell!P$6:P$838,$B427)))</f>
        <v>HoheitsgrenzenAV</v>
      </c>
      <c r="M427" s="62" t="str" cm="1">
        <f t="array" ref="M427">IF($B427=0,IF($E427=0,"",IF(INDEX(DMAV_Dienste!Q$6:Q$140,$E427)="","",INDEX(DMAV_Dienste!Q$6:Q$140,$E427))),IF(INDEX(DMAV_Modell!R$6:R$838,$B427)="","",INDEX(DMAV_Modell!R$6:R$838,$B427)))</f>
        <v>Entstehung_Kantonsgrenzabschnitt</v>
      </c>
      <c r="N427" s="62" t="str" cm="1">
        <f t="array" ref="N427">IF($B427=0,IF($E427=0,"",IF(INDEX(DMAV_Dienste!T$6:T$140,$E427)="","",INDEX(DMAV_Dienste!T$6:T$140,$E427))),IF(INDEX(DMAV_Modell!U$6:U$838,$B427)="","",INDEX(DMAV_Modell!U$6:U$838,$B427)))</f>
        <v>Entstehung</v>
      </c>
      <c r="O427" s="63" t="str" cm="1">
        <f t="array" aca="1" ref="O427" ca="1">IF(C427=0,IF(F427=0,"",HYPERLINK("#"&amp;RIGHT(CELL("adresse",OFFSET(DMAV_Dienste!$M$6,F427-1,0)),LEN(CELL("adresse",OFFSET(DMAV_Dienste!$M$6,F427-1,0)))-FIND("]",CELL("adresse",OFFSET(DMAV_Dienste!$M$6,F427-1,0)))),"Structure")),HYPERLINK("#"&amp;RIGHT(CELL("adresse",OFFSET(DMAV_Modell!$N$6,C427-1,0)),LEN(CELL("adresse",OFFSET(DMAV_Modell!$N$6,C427-1,0)))-FIND("]",CELL("adresse",OFFSET(DMAV_Modell!$N$6,C427-1,0)))),"Structure"))</f>
        <v/>
      </c>
      <c r="P427" s="64" t="str" cm="1">
        <f t="array" aca="1" ref="P427" ca="1">IF(D427=0,IF(G427=0,"",HYPERLINK("#"&amp;RIGHT(CELL("adresse",OFFSET(DMAV_Dienste!$M$6,G427-1,0)),LEN(CELL("adresse",OFFSET(DMAV_Dienste!$M$6,G427-1,0)))-FIND("]",CELL("adresse",OFFSET(DMAV_Dienste!$M$6,G427-1,0)))),"Substructure")),HYPERLINK("#"&amp;RIGHT(CELL("adresse",OFFSET(DMAV_Modell!$N$6,D427-1,0)),LEN(CELL("adresse",OFFSET(DMAV_Modell!$N$6,D427-1,0)))-FIND("]",CELL("adresse",OFFSET(DMAV_Modell!$N$6,D427-1,0)))),"Substructure"))</f>
        <v/>
      </c>
      <c r="R427" s="80"/>
      <c r="T427" s="93"/>
      <c r="U427" s="94"/>
      <c r="V427" s="95"/>
      <c r="W427" s="96"/>
      <c r="Y427" s="85"/>
      <c r="Z427" s="86"/>
      <c r="AA427" s="87"/>
      <c r="AB427" s="88"/>
      <c r="AD427" s="77"/>
      <c r="AF427" s="54" t="str" cm="1">
        <f t="array" aca="1" ref="AF427" ca="1">IF(H427=0,"",HYPERLINK("#"&amp;RIGHT(CELL("adresse",OFFSET('DM01-AV-CH'!$G$6,H427-1,0)),LEN(CELL("adresse",OFFSET('DM01-AV-CH'!$G$6,H427-1,0)))-FIND("]",CELL("adresse",OFFSET('DM01-AV-CH'!$G$6,H427-1,0)))),"Modell"))</f>
        <v/>
      </c>
      <c r="AG427" s="72" t="str" cm="1">
        <f t="array" ref="AG427">IF($H427=0,"",IF(INDEX('DM01-AV-CH'!G$6:G$834,$H427)="","",INDEX('DM01-AV-CH'!G$6:G$834,$H427)))</f>
        <v/>
      </c>
      <c r="AH427" s="73" t="str" cm="1">
        <f t="array" ref="AH427">IF($H427=0,"",IF(INDEX('DM01-AV-CH'!H$6:H$834,$H427)="","",INDEX('DM01-AV-CH'!H$6:H$834,$H427)))</f>
        <v/>
      </c>
      <c r="AI427" s="74" t="str" cm="1">
        <f t="array" ref="AI427">IF($H427=0,"",IF(INDEX('DM01-AV-CH'!I$6:I$834,$H427)="","",INDEX('DM01-AV-CH'!I$6:I$834,$H427)))</f>
        <v/>
      </c>
    </row>
    <row r="428" spans="1:35" x14ac:dyDescent="0.25">
      <c r="A428" s="57">
        <v>423</v>
      </c>
      <c r="B428" s="57">
        <f>IF($A428="","",IF(_xlfn.XLOOKUP($A428,Korrelation!$D$4:$D$1197,Korrelation!E$4:E$1197,"-",0)="-",0,MATCH(_xlfn.XLOOKUP($A428,Korrelation!$D$4:$D$1197,Korrelation!E$4:E$1197,"",0),DMAV_Modell!$G$6:$G$677,0)))</f>
        <v>187</v>
      </c>
      <c r="C428" s="57">
        <f>IF($A428="","",IF(_xlfn.XLOOKUP($A428,Korrelation!$D$4:$D$1197,Korrelation!F$4:F$1197,"-",0)="-",0,MATCH(_xlfn.XLOOKUP($A428,Korrelation!$D$4:$D$1197,Korrelation!F$4:F$1197,"",0),DMAV_Modell!$G$6:$G$677,0)))</f>
        <v>0</v>
      </c>
      <c r="D428" s="57">
        <f>IF($A428="","",IF(_xlfn.XLOOKUP($A428,Korrelation!$D$4:$D$1197,Korrelation!G$4:G$1197,"-",0)="-",0,MATCH(_xlfn.XLOOKUP($A428,Korrelation!$D$4:$D$1197,Korrelation!G$4:G$1197,"",0),DMAV_Modell!$G$6:$G$677,0)))</f>
        <v>0</v>
      </c>
      <c r="E428" s="57">
        <f>IF($A428="","",IF(_xlfn.XLOOKUP($A428,Korrelation!$D$4:$D$1197,Korrelation!H$4:H$1197,"-",0)="-",0,MATCH(_xlfn.XLOOKUP($A428,Korrelation!$D$4:$D$1197,Korrelation!H$4:H$1197,"",0),DMAV_Dienste!$F$6:$F$140,0)))</f>
        <v>0</v>
      </c>
      <c r="F428" s="57">
        <f>IF($A428="","",IF(_xlfn.XLOOKUP($A428,Korrelation!$D$4:$D$1197,Korrelation!I$4:I$1197,"-",0)="-",0,MATCH(_xlfn.XLOOKUP($A428,Korrelation!$D$4:$D$1197,Korrelation!I$4:I$1197,"",0),DMAV_Dienste!$F$6:$F$140,0)))</f>
        <v>0</v>
      </c>
      <c r="G428" s="57">
        <f>IF($A428="","",IF(_xlfn.XLOOKUP($A428,Korrelation!$D$4:$D$1197,Korrelation!J$4:J$1197,"-",0)="-",0,MATCH(_xlfn.XLOOKUP($A428,Korrelation!$D$4:$D$1197,Korrelation!J$4:J$1197,"",0),DMAV_Dienste!$F$6:$F$140,0)))</f>
        <v>0</v>
      </c>
      <c r="H428" s="57">
        <f>IF($A428="","",IF(_xlfn.XLOOKUP($A428,Korrelation!$D$4:$D$1197,Korrelation!K$4:K$1197,"-",0)="-",0,MATCH(_xlfn.XLOOKUP($A428,Korrelation!$D$4:$D$1197,Korrelation!K$4:K$1197,"",0),'DM01-AV-CH'!$A$6:$A$834,0)))</f>
        <v>0</v>
      </c>
      <c r="J428" s="54" t="str" cm="1">
        <f t="array" aca="1" ref="J428" ca="1">IF(B428=0,IF(E428=0,"",HYPERLINK("#"&amp;RIGHT(CELL("adresse",OFFSET(DMAV_Dienste!$M$6,E428-1,0)),LEN(CELL("adresse",OFFSET(DMAV_Dienste!$M$6,E428-1,0)))-FIND("]",CELL("adresse",OFFSET(DMAV_Dienste!$M$6,E428-1,0)))),"Dienst")),HYPERLINK("#"&amp;RIGHT(CELL("adresse",OFFSET(DMAV_Modell!$N$6,B428-1,0)),LEN(CELL("adresse",OFFSET(DMAV_Modell!$N$6,B428-1,0)))-FIND("]",CELL("adresse",OFFSET(DMAV_Modell!$N$6,B428-1,0)))),"Modell"))</f>
        <v>Modell</v>
      </c>
      <c r="K428" s="61" t="str" cm="1">
        <f t="array" ref="K428">IF($B428=0,IF($E428=0,"",IF(INDEX(DMAV_Dienste!P$6:P$140,$E428)="","",INDEX(DMAV_Dienste!P$6:P$140,$E428))),IF(INDEX(DMAV_Modell!Q$6:Q$838,$B428)="","",INDEX(DMAV_Modell!Q$6:Q$838,$B428)))</f>
        <v>ASSOCIATION</v>
      </c>
      <c r="L428" s="62" t="str" cm="1">
        <f t="array" ref="L428">IF($B428=0,IF($E428=0,"",IF(INDEX(DMAV_Dienste!O$6:O$140,$E428)="","",INDEX(DMAV_Dienste!O$6:O$140,$E428))),IF(INDEX(DMAV_Modell!P$6:P$838,$B428)="","",INDEX(DMAV_Modell!P$6:P$838,$B428)))</f>
        <v>HoheitsgrenzenAV</v>
      </c>
      <c r="M428" s="62" t="str" cm="1">
        <f t="array" ref="M428">IF($B428=0,IF($E428=0,"",IF(INDEX(DMAV_Dienste!Q$6:Q$140,$E428)="","",INDEX(DMAV_Dienste!Q$6:Q$140,$E428))),IF(INDEX(DMAV_Modell!R$6:R$838,$B428)="","",INDEX(DMAV_Modell!R$6:R$838,$B428)))</f>
        <v>Entstehung_Kantonsgrenzabschnitt</v>
      </c>
      <c r="N428" s="62" t="str" cm="1">
        <f t="array" ref="N428">IF($B428=0,IF($E428=0,"",IF(INDEX(DMAV_Dienste!T$6:T$140,$E428)="","",INDEX(DMAV_Dienste!T$6:T$140,$E428))),IF(INDEX(DMAV_Modell!U$6:U$838,$B428)="","",INDEX(DMAV_Modell!U$6:U$838,$B428)))</f>
        <v>entstehender_Kantonsgrenzabschnitt</v>
      </c>
      <c r="O428" s="63" t="str" cm="1">
        <f t="array" aca="1" ref="O428" ca="1">IF(C428=0,IF(F428=0,"",HYPERLINK("#"&amp;RIGHT(CELL("adresse",OFFSET(DMAV_Dienste!$M$6,F428-1,0)),LEN(CELL("adresse",OFFSET(DMAV_Dienste!$M$6,F428-1,0)))-FIND("]",CELL("adresse",OFFSET(DMAV_Dienste!$M$6,F428-1,0)))),"Structure")),HYPERLINK("#"&amp;RIGHT(CELL("adresse",OFFSET(DMAV_Modell!$N$6,C428-1,0)),LEN(CELL("adresse",OFFSET(DMAV_Modell!$N$6,C428-1,0)))-FIND("]",CELL("adresse",OFFSET(DMAV_Modell!$N$6,C428-1,0)))),"Structure"))</f>
        <v/>
      </c>
      <c r="P428" s="64" t="str" cm="1">
        <f t="array" aca="1" ref="P428" ca="1">IF(D428=0,IF(G428=0,"",HYPERLINK("#"&amp;RIGHT(CELL("adresse",OFFSET(DMAV_Dienste!$M$6,G428-1,0)),LEN(CELL("adresse",OFFSET(DMAV_Dienste!$M$6,G428-1,0)))-FIND("]",CELL("adresse",OFFSET(DMAV_Dienste!$M$6,G428-1,0)))),"Substructure")),HYPERLINK("#"&amp;RIGHT(CELL("adresse",OFFSET(DMAV_Modell!$N$6,D428-1,0)),LEN(CELL("adresse",OFFSET(DMAV_Modell!$N$6,D428-1,0)))-FIND("]",CELL("adresse",OFFSET(DMAV_Modell!$N$6,D428-1,0)))),"Substructure"))</f>
        <v/>
      </c>
      <c r="R428" s="80"/>
      <c r="T428" s="93"/>
      <c r="U428" s="94"/>
      <c r="V428" s="95"/>
      <c r="W428" s="96"/>
      <c r="Y428" s="85"/>
      <c r="Z428" s="86"/>
      <c r="AA428" s="87"/>
      <c r="AB428" s="88"/>
      <c r="AD428" s="77"/>
      <c r="AF428" s="54" t="str" cm="1">
        <f t="array" aca="1" ref="AF428" ca="1">IF(H428=0,"",HYPERLINK("#"&amp;RIGHT(CELL("adresse",OFFSET('DM01-AV-CH'!$G$6,H428-1,0)),LEN(CELL("adresse",OFFSET('DM01-AV-CH'!$G$6,H428-1,0)))-FIND("]",CELL("adresse",OFFSET('DM01-AV-CH'!$G$6,H428-1,0)))),"Modell"))</f>
        <v/>
      </c>
      <c r="AG428" s="72" t="str" cm="1">
        <f t="array" ref="AG428">IF($H428=0,"",IF(INDEX('DM01-AV-CH'!G$6:G$834,$H428)="","",INDEX('DM01-AV-CH'!G$6:G$834,$H428)))</f>
        <v/>
      </c>
      <c r="AH428" s="73" t="str" cm="1">
        <f t="array" ref="AH428">IF($H428=0,"",IF(INDEX('DM01-AV-CH'!H$6:H$834,$H428)="","",INDEX('DM01-AV-CH'!H$6:H$834,$H428)))</f>
        <v/>
      </c>
      <c r="AI428" s="74" t="str" cm="1">
        <f t="array" ref="AI428">IF($H428=0,"",IF(INDEX('DM01-AV-CH'!I$6:I$834,$H428)="","",INDEX('DM01-AV-CH'!I$6:I$834,$H428)))</f>
        <v/>
      </c>
    </row>
    <row r="429" spans="1:35" x14ac:dyDescent="0.25">
      <c r="A429" s="57">
        <v>424</v>
      </c>
      <c r="B429" s="57">
        <f>IF($A429="","",IF(_xlfn.XLOOKUP($A429,Korrelation!$D$4:$D$1197,Korrelation!E$4:E$1197,"-",0)="-",0,MATCH(_xlfn.XLOOKUP($A429,Korrelation!$D$4:$D$1197,Korrelation!E$4:E$1197,"",0),DMAV_Modell!$G$6:$G$677,0)))</f>
        <v>188</v>
      </c>
      <c r="C429" s="57">
        <f>IF($A429="","",IF(_xlfn.XLOOKUP($A429,Korrelation!$D$4:$D$1197,Korrelation!F$4:F$1197,"-",0)="-",0,MATCH(_xlfn.XLOOKUP($A429,Korrelation!$D$4:$D$1197,Korrelation!F$4:F$1197,"",0),DMAV_Modell!$G$6:$G$677,0)))</f>
        <v>0</v>
      </c>
      <c r="D429" s="57">
        <f>IF($A429="","",IF(_xlfn.XLOOKUP($A429,Korrelation!$D$4:$D$1197,Korrelation!G$4:G$1197,"-",0)="-",0,MATCH(_xlfn.XLOOKUP($A429,Korrelation!$D$4:$D$1197,Korrelation!G$4:G$1197,"",0),DMAV_Modell!$G$6:$G$677,0)))</f>
        <v>0</v>
      </c>
      <c r="E429" s="57">
        <f>IF($A429="","",IF(_xlfn.XLOOKUP($A429,Korrelation!$D$4:$D$1197,Korrelation!H$4:H$1197,"-",0)="-",0,MATCH(_xlfn.XLOOKUP($A429,Korrelation!$D$4:$D$1197,Korrelation!H$4:H$1197,"",0),DMAV_Dienste!$F$6:$F$140,0)))</f>
        <v>0</v>
      </c>
      <c r="F429" s="57">
        <f>IF($A429="","",IF(_xlfn.XLOOKUP($A429,Korrelation!$D$4:$D$1197,Korrelation!I$4:I$1197,"-",0)="-",0,MATCH(_xlfn.XLOOKUP($A429,Korrelation!$D$4:$D$1197,Korrelation!I$4:I$1197,"",0),DMAV_Dienste!$F$6:$F$140,0)))</f>
        <v>0</v>
      </c>
      <c r="G429" s="57">
        <f>IF($A429="","",IF(_xlfn.XLOOKUP($A429,Korrelation!$D$4:$D$1197,Korrelation!J$4:J$1197,"-",0)="-",0,MATCH(_xlfn.XLOOKUP($A429,Korrelation!$D$4:$D$1197,Korrelation!J$4:J$1197,"",0),DMAV_Dienste!$F$6:$F$140,0)))</f>
        <v>0</v>
      </c>
      <c r="H429" s="57">
        <f>IF($A429="","",IF(_xlfn.XLOOKUP($A429,Korrelation!$D$4:$D$1197,Korrelation!K$4:K$1197,"-",0)="-",0,MATCH(_xlfn.XLOOKUP($A429,Korrelation!$D$4:$D$1197,Korrelation!K$4:K$1197,"",0),'DM01-AV-CH'!$A$6:$A$834,0)))</f>
        <v>0</v>
      </c>
      <c r="J429" s="54" t="str" cm="1">
        <f t="array" aca="1" ref="J429" ca="1">IF(B429=0,IF(E429=0,"",HYPERLINK("#"&amp;RIGHT(CELL("adresse",OFFSET(DMAV_Dienste!$M$6,E429-1,0)),LEN(CELL("adresse",OFFSET(DMAV_Dienste!$M$6,E429-1,0)))-FIND("]",CELL("adresse",OFFSET(DMAV_Dienste!$M$6,E429-1,0)))),"Dienst")),HYPERLINK("#"&amp;RIGHT(CELL("adresse",OFFSET(DMAV_Modell!$N$6,B429-1,0)),LEN(CELL("adresse",OFFSET(DMAV_Modell!$N$6,B429-1,0)))-FIND("]",CELL("adresse",OFFSET(DMAV_Modell!$N$6,B429-1,0)))),"Modell"))</f>
        <v>Modell</v>
      </c>
      <c r="K429" s="61" t="str" cm="1">
        <f t="array" ref="K429">IF($B429=0,IF($E429=0,"",IF(INDEX(DMAV_Dienste!P$6:P$140,$E429)="","",INDEX(DMAV_Dienste!P$6:P$140,$E429))),IF(INDEX(DMAV_Modell!Q$6:Q$838,$B429)="","",INDEX(DMAV_Modell!Q$6:Q$838,$B429)))</f>
        <v>ASSOCIATION</v>
      </c>
      <c r="L429" s="62" t="str" cm="1">
        <f t="array" ref="L429">IF($B429=0,IF($E429=0,"",IF(INDEX(DMAV_Dienste!O$6:O$140,$E429)="","",INDEX(DMAV_Dienste!O$6:O$140,$E429))),IF(INDEX(DMAV_Modell!P$6:P$838,$B429)="","",INDEX(DMAV_Modell!P$6:P$838,$B429)))</f>
        <v>HoheitsgrenzenAV</v>
      </c>
      <c r="M429" s="62" t="str" cm="1">
        <f t="array" ref="M429">IF($B429=0,IF($E429=0,"",IF(INDEX(DMAV_Dienste!Q$6:Q$140,$E429)="","",INDEX(DMAV_Dienste!Q$6:Q$140,$E429))),IF(INDEX(DMAV_Modell!R$6:R$838,$B429)="","",INDEX(DMAV_Modell!R$6:R$838,$B429)))</f>
        <v>Untergang_Kantonsgrenzabschnitt</v>
      </c>
      <c r="N429" s="62" t="str" cm="1">
        <f t="array" ref="N429">IF($B429=0,IF($E429=0,"",IF(INDEX(DMAV_Dienste!T$6:T$140,$E429)="","",INDEX(DMAV_Dienste!T$6:T$140,$E429))),IF(INDEX(DMAV_Modell!U$6:U$838,$B429)="","",INDEX(DMAV_Modell!U$6:U$838,$B429)))</f>
        <v>Untergang</v>
      </c>
      <c r="O429" s="63" t="str" cm="1">
        <f t="array" aca="1" ref="O429" ca="1">IF(C429=0,IF(F429=0,"",HYPERLINK("#"&amp;RIGHT(CELL("adresse",OFFSET(DMAV_Dienste!$M$6,F429-1,0)),LEN(CELL("adresse",OFFSET(DMAV_Dienste!$M$6,F429-1,0)))-FIND("]",CELL("adresse",OFFSET(DMAV_Dienste!$M$6,F429-1,0)))),"Structure")),HYPERLINK("#"&amp;RIGHT(CELL("adresse",OFFSET(DMAV_Modell!$N$6,C429-1,0)),LEN(CELL("adresse",OFFSET(DMAV_Modell!$N$6,C429-1,0)))-FIND("]",CELL("adresse",OFFSET(DMAV_Modell!$N$6,C429-1,0)))),"Structure"))</f>
        <v/>
      </c>
      <c r="P429" s="64" t="str" cm="1">
        <f t="array" aca="1" ref="P429" ca="1">IF(D429=0,IF(G429=0,"",HYPERLINK("#"&amp;RIGHT(CELL("adresse",OFFSET(DMAV_Dienste!$M$6,G429-1,0)),LEN(CELL("adresse",OFFSET(DMAV_Dienste!$M$6,G429-1,0)))-FIND("]",CELL("adresse",OFFSET(DMAV_Dienste!$M$6,G429-1,0)))),"Substructure")),HYPERLINK("#"&amp;RIGHT(CELL("adresse",OFFSET(DMAV_Modell!$N$6,D429-1,0)),LEN(CELL("adresse",OFFSET(DMAV_Modell!$N$6,D429-1,0)))-FIND("]",CELL("adresse",OFFSET(DMAV_Modell!$N$6,D429-1,0)))),"Substructure"))</f>
        <v/>
      </c>
      <c r="R429" s="80"/>
      <c r="T429" s="93"/>
      <c r="U429" s="94"/>
      <c r="V429" s="95"/>
      <c r="W429" s="96"/>
      <c r="Y429" s="85"/>
      <c r="Z429" s="86"/>
      <c r="AA429" s="87"/>
      <c r="AB429" s="88"/>
      <c r="AD429" s="77"/>
      <c r="AF429" s="54" t="str" cm="1">
        <f t="array" aca="1" ref="AF429" ca="1">IF(H429=0,"",HYPERLINK("#"&amp;RIGHT(CELL("adresse",OFFSET('DM01-AV-CH'!$G$6,H429-1,0)),LEN(CELL("adresse",OFFSET('DM01-AV-CH'!$G$6,H429-1,0)))-FIND("]",CELL("adresse",OFFSET('DM01-AV-CH'!$G$6,H429-1,0)))),"Modell"))</f>
        <v/>
      </c>
      <c r="AG429" s="72" t="str" cm="1">
        <f t="array" ref="AG429">IF($H429=0,"",IF(INDEX('DM01-AV-CH'!G$6:G$834,$H429)="","",INDEX('DM01-AV-CH'!G$6:G$834,$H429)))</f>
        <v/>
      </c>
      <c r="AH429" s="73" t="str" cm="1">
        <f t="array" ref="AH429">IF($H429=0,"",IF(INDEX('DM01-AV-CH'!H$6:H$834,$H429)="","",INDEX('DM01-AV-CH'!H$6:H$834,$H429)))</f>
        <v/>
      </c>
      <c r="AI429" s="74" t="str" cm="1">
        <f t="array" ref="AI429">IF($H429=0,"",IF(INDEX('DM01-AV-CH'!I$6:I$834,$H429)="","",INDEX('DM01-AV-CH'!I$6:I$834,$H429)))</f>
        <v/>
      </c>
    </row>
    <row r="430" spans="1:35" x14ac:dyDescent="0.25">
      <c r="A430" s="57">
        <v>425</v>
      </c>
      <c r="B430" s="57">
        <f>IF($A430="","",IF(_xlfn.XLOOKUP($A430,Korrelation!$D$4:$D$1197,Korrelation!E$4:E$1197,"-",0)="-",0,MATCH(_xlfn.XLOOKUP($A430,Korrelation!$D$4:$D$1197,Korrelation!E$4:E$1197,"",0),DMAV_Modell!$G$6:$G$677,0)))</f>
        <v>189</v>
      </c>
      <c r="C430" s="57">
        <f>IF($A430="","",IF(_xlfn.XLOOKUP($A430,Korrelation!$D$4:$D$1197,Korrelation!F$4:F$1197,"-",0)="-",0,MATCH(_xlfn.XLOOKUP($A430,Korrelation!$D$4:$D$1197,Korrelation!F$4:F$1197,"",0),DMAV_Modell!$G$6:$G$677,0)))</f>
        <v>0</v>
      </c>
      <c r="D430" s="57">
        <f>IF($A430="","",IF(_xlfn.XLOOKUP($A430,Korrelation!$D$4:$D$1197,Korrelation!G$4:G$1197,"-",0)="-",0,MATCH(_xlfn.XLOOKUP($A430,Korrelation!$D$4:$D$1197,Korrelation!G$4:G$1197,"",0),DMAV_Modell!$G$6:$G$677,0)))</f>
        <v>0</v>
      </c>
      <c r="E430" s="57">
        <f>IF($A430="","",IF(_xlfn.XLOOKUP($A430,Korrelation!$D$4:$D$1197,Korrelation!H$4:H$1197,"-",0)="-",0,MATCH(_xlfn.XLOOKUP($A430,Korrelation!$D$4:$D$1197,Korrelation!H$4:H$1197,"",0),DMAV_Dienste!$F$6:$F$140,0)))</f>
        <v>0</v>
      </c>
      <c r="F430" s="57">
        <f>IF($A430="","",IF(_xlfn.XLOOKUP($A430,Korrelation!$D$4:$D$1197,Korrelation!I$4:I$1197,"-",0)="-",0,MATCH(_xlfn.XLOOKUP($A430,Korrelation!$D$4:$D$1197,Korrelation!I$4:I$1197,"",0),DMAV_Dienste!$F$6:$F$140,0)))</f>
        <v>0</v>
      </c>
      <c r="G430" s="57">
        <f>IF($A430="","",IF(_xlfn.XLOOKUP($A430,Korrelation!$D$4:$D$1197,Korrelation!J$4:J$1197,"-",0)="-",0,MATCH(_xlfn.XLOOKUP($A430,Korrelation!$D$4:$D$1197,Korrelation!J$4:J$1197,"",0),DMAV_Dienste!$F$6:$F$140,0)))</f>
        <v>0</v>
      </c>
      <c r="H430" s="57">
        <f>IF($A430="","",IF(_xlfn.XLOOKUP($A430,Korrelation!$D$4:$D$1197,Korrelation!K$4:K$1197,"-",0)="-",0,MATCH(_xlfn.XLOOKUP($A430,Korrelation!$D$4:$D$1197,Korrelation!K$4:K$1197,"",0),'DM01-AV-CH'!$A$6:$A$834,0)))</f>
        <v>0</v>
      </c>
      <c r="J430" s="54" t="str" cm="1">
        <f t="array" aca="1" ref="J430" ca="1">IF(B430=0,IF(E430=0,"",HYPERLINK("#"&amp;RIGHT(CELL("adresse",OFFSET(DMAV_Dienste!$M$6,E430-1,0)),LEN(CELL("adresse",OFFSET(DMAV_Dienste!$M$6,E430-1,0)))-FIND("]",CELL("adresse",OFFSET(DMAV_Dienste!$M$6,E430-1,0)))),"Dienst")),HYPERLINK("#"&amp;RIGHT(CELL("adresse",OFFSET(DMAV_Modell!$N$6,B430-1,0)),LEN(CELL("adresse",OFFSET(DMAV_Modell!$N$6,B430-1,0)))-FIND("]",CELL("adresse",OFFSET(DMAV_Modell!$N$6,B430-1,0)))),"Modell"))</f>
        <v>Modell</v>
      </c>
      <c r="K430" s="61" t="str" cm="1">
        <f t="array" ref="K430">IF($B430=0,IF($E430=0,"",IF(INDEX(DMAV_Dienste!P$6:P$140,$E430)="","",INDEX(DMAV_Dienste!P$6:P$140,$E430))),IF(INDEX(DMAV_Modell!Q$6:Q$838,$B430)="","",INDEX(DMAV_Modell!Q$6:Q$838,$B430)))</f>
        <v>ASSOCIATION</v>
      </c>
      <c r="L430" s="62" t="str" cm="1">
        <f t="array" ref="L430">IF($B430=0,IF($E430=0,"",IF(INDEX(DMAV_Dienste!O$6:O$140,$E430)="","",INDEX(DMAV_Dienste!O$6:O$140,$E430))),IF(INDEX(DMAV_Modell!P$6:P$838,$B430)="","",INDEX(DMAV_Modell!P$6:P$838,$B430)))</f>
        <v>HoheitsgrenzenAV</v>
      </c>
      <c r="M430" s="62" t="str" cm="1">
        <f t="array" ref="M430">IF($B430=0,IF($E430=0,"",IF(INDEX(DMAV_Dienste!Q$6:Q$140,$E430)="","",INDEX(DMAV_Dienste!Q$6:Q$140,$E430))),IF(INDEX(DMAV_Modell!R$6:R$838,$B430)="","",INDEX(DMAV_Modell!R$6:R$838,$B430)))</f>
        <v>Untergang_Kantonsgrenzabschnitt</v>
      </c>
      <c r="N430" s="62" t="str" cm="1">
        <f t="array" ref="N430">IF($B430=0,IF($E430=0,"",IF(INDEX(DMAV_Dienste!T$6:T$140,$E430)="","",INDEX(DMAV_Dienste!T$6:T$140,$E430))),IF(INDEX(DMAV_Modell!U$6:U$838,$B430)="","",INDEX(DMAV_Modell!U$6:U$838,$B430)))</f>
        <v>untergehender_Kantonsgrenzabschnitt</v>
      </c>
      <c r="O430" s="63" t="str" cm="1">
        <f t="array" aca="1" ref="O430" ca="1">IF(C430=0,IF(F430=0,"",HYPERLINK("#"&amp;RIGHT(CELL("adresse",OFFSET(DMAV_Dienste!$M$6,F430-1,0)),LEN(CELL("adresse",OFFSET(DMAV_Dienste!$M$6,F430-1,0)))-FIND("]",CELL("adresse",OFFSET(DMAV_Dienste!$M$6,F430-1,0)))),"Structure")),HYPERLINK("#"&amp;RIGHT(CELL("adresse",OFFSET(DMAV_Modell!$N$6,C430-1,0)),LEN(CELL("adresse",OFFSET(DMAV_Modell!$N$6,C430-1,0)))-FIND("]",CELL("adresse",OFFSET(DMAV_Modell!$N$6,C430-1,0)))),"Structure"))</f>
        <v/>
      </c>
      <c r="P430" s="64" t="str" cm="1">
        <f t="array" aca="1" ref="P430" ca="1">IF(D430=0,IF(G430=0,"",HYPERLINK("#"&amp;RIGHT(CELL("adresse",OFFSET(DMAV_Dienste!$M$6,G430-1,0)),LEN(CELL("adresse",OFFSET(DMAV_Dienste!$M$6,G430-1,0)))-FIND("]",CELL("adresse",OFFSET(DMAV_Dienste!$M$6,G430-1,0)))),"Substructure")),HYPERLINK("#"&amp;RIGHT(CELL("adresse",OFFSET(DMAV_Modell!$N$6,D430-1,0)),LEN(CELL("adresse",OFFSET(DMAV_Modell!$N$6,D430-1,0)))-FIND("]",CELL("adresse",OFFSET(DMAV_Modell!$N$6,D430-1,0)))),"Substructure"))</f>
        <v/>
      </c>
      <c r="R430" s="80"/>
      <c r="T430" s="93"/>
      <c r="U430" s="94"/>
      <c r="V430" s="95"/>
      <c r="W430" s="96"/>
      <c r="Y430" s="85"/>
      <c r="Z430" s="86"/>
      <c r="AA430" s="87"/>
      <c r="AB430" s="88"/>
      <c r="AD430" s="77"/>
      <c r="AF430" s="54" t="str" cm="1">
        <f t="array" aca="1" ref="AF430" ca="1">IF(H430=0,"",HYPERLINK("#"&amp;RIGHT(CELL("adresse",OFFSET('DM01-AV-CH'!$G$6,H430-1,0)),LEN(CELL("adresse",OFFSET('DM01-AV-CH'!$G$6,H430-1,0)))-FIND("]",CELL("adresse",OFFSET('DM01-AV-CH'!$G$6,H430-1,0)))),"Modell"))</f>
        <v/>
      </c>
      <c r="AG430" s="72" t="str" cm="1">
        <f t="array" ref="AG430">IF($H430=0,"",IF(INDEX('DM01-AV-CH'!G$6:G$834,$H430)="","",INDEX('DM01-AV-CH'!G$6:G$834,$H430)))</f>
        <v/>
      </c>
      <c r="AH430" s="73" t="str" cm="1">
        <f t="array" ref="AH430">IF($H430=0,"",IF(INDEX('DM01-AV-CH'!H$6:H$834,$H430)="","",INDEX('DM01-AV-CH'!H$6:H$834,$H430)))</f>
        <v/>
      </c>
      <c r="AI430" s="74" t="str" cm="1">
        <f t="array" ref="AI430">IF($H430=0,"",IF(INDEX('DM01-AV-CH'!I$6:I$834,$H430)="","",INDEX('DM01-AV-CH'!I$6:I$834,$H430)))</f>
        <v/>
      </c>
    </row>
    <row r="431" spans="1:35" x14ac:dyDescent="0.25">
      <c r="A431" s="57">
        <v>426</v>
      </c>
      <c r="B431" s="57">
        <f>IF($A431="","",IF(_xlfn.XLOOKUP($A431,Korrelation!$D$4:$D$1197,Korrelation!E$4:E$1197,"-",0)="-",0,MATCH(_xlfn.XLOOKUP($A431,Korrelation!$D$4:$D$1197,Korrelation!E$4:E$1197,"",0),DMAV_Modell!$G$6:$G$677,0)))</f>
        <v>190</v>
      </c>
      <c r="C431" s="57">
        <f>IF($A431="","",IF(_xlfn.XLOOKUP($A431,Korrelation!$D$4:$D$1197,Korrelation!F$4:F$1197,"-",0)="-",0,MATCH(_xlfn.XLOOKUP($A431,Korrelation!$D$4:$D$1197,Korrelation!F$4:F$1197,"",0),DMAV_Modell!$G$6:$G$677,0)))</f>
        <v>0</v>
      </c>
      <c r="D431" s="57">
        <f>IF($A431="","",IF(_xlfn.XLOOKUP($A431,Korrelation!$D$4:$D$1197,Korrelation!G$4:G$1197,"-",0)="-",0,MATCH(_xlfn.XLOOKUP($A431,Korrelation!$D$4:$D$1197,Korrelation!G$4:G$1197,"",0),DMAV_Modell!$G$6:$G$677,0)))</f>
        <v>0</v>
      </c>
      <c r="E431" s="57">
        <f>IF($A431="","",IF(_xlfn.XLOOKUP($A431,Korrelation!$D$4:$D$1197,Korrelation!H$4:H$1197,"-",0)="-",0,MATCH(_xlfn.XLOOKUP($A431,Korrelation!$D$4:$D$1197,Korrelation!H$4:H$1197,"",0),DMAV_Dienste!$F$6:$F$140,0)))</f>
        <v>0</v>
      </c>
      <c r="F431" s="57">
        <f>IF($A431="","",IF(_xlfn.XLOOKUP($A431,Korrelation!$D$4:$D$1197,Korrelation!I$4:I$1197,"-",0)="-",0,MATCH(_xlfn.XLOOKUP($A431,Korrelation!$D$4:$D$1197,Korrelation!I$4:I$1197,"",0),DMAV_Dienste!$F$6:$F$140,0)))</f>
        <v>0</v>
      </c>
      <c r="G431" s="57">
        <f>IF($A431="","",IF(_xlfn.XLOOKUP($A431,Korrelation!$D$4:$D$1197,Korrelation!J$4:J$1197,"-",0)="-",0,MATCH(_xlfn.XLOOKUP($A431,Korrelation!$D$4:$D$1197,Korrelation!J$4:J$1197,"",0),DMAV_Dienste!$F$6:$F$140,0)))</f>
        <v>0</v>
      </c>
      <c r="H431" s="57">
        <f>IF($A431="","",IF(_xlfn.XLOOKUP($A431,Korrelation!$D$4:$D$1197,Korrelation!K$4:K$1197,"-",0)="-",0,MATCH(_xlfn.XLOOKUP($A431,Korrelation!$D$4:$D$1197,Korrelation!K$4:K$1197,"",0),'DM01-AV-CH'!$A$6:$A$834,0)))</f>
        <v>0</v>
      </c>
      <c r="J431" s="54" t="str" cm="1">
        <f t="array" aca="1" ref="J431" ca="1">IF(B431=0,IF(E431=0,"",HYPERLINK("#"&amp;RIGHT(CELL("adresse",OFFSET(DMAV_Dienste!$M$6,E431-1,0)),LEN(CELL("adresse",OFFSET(DMAV_Dienste!$M$6,E431-1,0)))-FIND("]",CELL("adresse",OFFSET(DMAV_Dienste!$M$6,E431-1,0)))),"Dienst")),HYPERLINK("#"&amp;RIGHT(CELL("adresse",OFFSET(DMAV_Modell!$N$6,B431-1,0)),LEN(CELL("adresse",OFFSET(DMAV_Modell!$N$6,B431-1,0)))-FIND("]",CELL("adresse",OFFSET(DMAV_Modell!$N$6,B431-1,0)))),"Modell"))</f>
        <v>Modell</v>
      </c>
      <c r="K431" s="61" t="str" cm="1">
        <f t="array" ref="K431">IF($B431=0,IF($E431=0,"",IF(INDEX(DMAV_Dienste!P$6:P$140,$E431)="","",INDEX(DMAV_Dienste!P$6:P$140,$E431))),IF(INDEX(DMAV_Modell!Q$6:Q$838,$B431)="","",INDEX(DMAV_Modell!Q$6:Q$838,$B431)))</f>
        <v>ASSOCIATION</v>
      </c>
      <c r="L431" s="62" t="str" cm="1">
        <f t="array" ref="L431">IF($B431=0,IF($E431=0,"",IF(INDEX(DMAV_Dienste!O$6:O$140,$E431)="","",INDEX(DMAV_Dienste!O$6:O$140,$E431))),IF(INDEX(DMAV_Modell!P$6:P$838,$B431)="","",INDEX(DMAV_Modell!P$6:P$838,$B431)))</f>
        <v>HoheitsgrenzenAV</v>
      </c>
      <c r="M431" s="62" t="str" cm="1">
        <f t="array" ref="M431">IF($B431=0,IF($E431=0,"",IF(INDEX(DMAV_Dienste!Q$6:Q$140,$E431)="","",INDEX(DMAV_Dienste!Q$6:Q$140,$E431))),IF(INDEX(DMAV_Modell!R$6:R$838,$B431)="","",INDEX(DMAV_Modell!R$6:R$838,$B431)))</f>
        <v>Vorgaenger_Nachfolger_Kantonsgrenzabschnitt</v>
      </c>
      <c r="N431" s="62" t="str" cm="1">
        <f t="array" ref="N431">IF($B431=0,IF($E431=0,"",IF(INDEX(DMAV_Dienste!T$6:T$140,$E431)="","",INDEX(DMAV_Dienste!T$6:T$140,$E431))),IF(INDEX(DMAV_Modell!U$6:U$838,$B431)="","",INDEX(DMAV_Modell!U$6:U$838,$B431)))</f>
        <v>Vorgaenger</v>
      </c>
      <c r="O431" s="63" t="str" cm="1">
        <f t="array" aca="1" ref="O431" ca="1">IF(C431=0,IF(F431=0,"",HYPERLINK("#"&amp;RIGHT(CELL("adresse",OFFSET(DMAV_Dienste!$M$6,F431-1,0)),LEN(CELL("adresse",OFFSET(DMAV_Dienste!$M$6,F431-1,0)))-FIND("]",CELL("adresse",OFFSET(DMAV_Dienste!$M$6,F431-1,0)))),"Structure")),HYPERLINK("#"&amp;RIGHT(CELL("adresse",OFFSET(DMAV_Modell!$N$6,C431-1,0)),LEN(CELL("adresse",OFFSET(DMAV_Modell!$N$6,C431-1,0)))-FIND("]",CELL("adresse",OFFSET(DMAV_Modell!$N$6,C431-1,0)))),"Structure"))</f>
        <v/>
      </c>
      <c r="P431" s="64" t="str" cm="1">
        <f t="array" aca="1" ref="P431" ca="1">IF(D431=0,IF(G431=0,"",HYPERLINK("#"&amp;RIGHT(CELL("adresse",OFFSET(DMAV_Dienste!$M$6,G431-1,0)),LEN(CELL("adresse",OFFSET(DMAV_Dienste!$M$6,G431-1,0)))-FIND("]",CELL("adresse",OFFSET(DMAV_Dienste!$M$6,G431-1,0)))),"Substructure")),HYPERLINK("#"&amp;RIGHT(CELL("adresse",OFFSET(DMAV_Modell!$N$6,D431-1,0)),LEN(CELL("adresse",OFFSET(DMAV_Modell!$N$6,D431-1,0)))-FIND("]",CELL("adresse",OFFSET(DMAV_Modell!$N$6,D431-1,0)))),"Substructure"))</f>
        <v/>
      </c>
      <c r="R431" s="80"/>
      <c r="T431" s="93"/>
      <c r="U431" s="94"/>
      <c r="V431" s="95"/>
      <c r="W431" s="96"/>
      <c r="Y431" s="85"/>
      <c r="Z431" s="86"/>
      <c r="AA431" s="87"/>
      <c r="AB431" s="88"/>
      <c r="AD431" s="77"/>
      <c r="AF431" s="54" t="str" cm="1">
        <f t="array" aca="1" ref="AF431" ca="1">IF(H431=0,"",HYPERLINK("#"&amp;RIGHT(CELL("adresse",OFFSET('DM01-AV-CH'!$G$6,H431-1,0)),LEN(CELL("adresse",OFFSET('DM01-AV-CH'!$G$6,H431-1,0)))-FIND("]",CELL("adresse",OFFSET('DM01-AV-CH'!$G$6,H431-1,0)))),"Modell"))</f>
        <v/>
      </c>
      <c r="AG431" s="72" t="str" cm="1">
        <f t="array" ref="AG431">IF($H431=0,"",IF(INDEX('DM01-AV-CH'!G$6:G$834,$H431)="","",INDEX('DM01-AV-CH'!G$6:G$834,$H431)))</f>
        <v/>
      </c>
      <c r="AH431" s="73" t="str" cm="1">
        <f t="array" ref="AH431">IF($H431=0,"",IF(INDEX('DM01-AV-CH'!H$6:H$834,$H431)="","",INDEX('DM01-AV-CH'!H$6:H$834,$H431)))</f>
        <v/>
      </c>
      <c r="AI431" s="74" t="str" cm="1">
        <f t="array" ref="AI431">IF($H431=0,"",IF(INDEX('DM01-AV-CH'!I$6:I$834,$H431)="","",INDEX('DM01-AV-CH'!I$6:I$834,$H431)))</f>
        <v/>
      </c>
    </row>
    <row r="432" spans="1:35" x14ac:dyDescent="0.25">
      <c r="A432" s="57">
        <v>427</v>
      </c>
      <c r="B432" s="57">
        <f>IF($A432="","",IF(_xlfn.XLOOKUP($A432,Korrelation!$D$4:$D$1197,Korrelation!E$4:E$1197,"-",0)="-",0,MATCH(_xlfn.XLOOKUP($A432,Korrelation!$D$4:$D$1197,Korrelation!E$4:E$1197,"",0),DMAV_Modell!$G$6:$G$677,0)))</f>
        <v>191</v>
      </c>
      <c r="C432" s="57">
        <f>IF($A432="","",IF(_xlfn.XLOOKUP($A432,Korrelation!$D$4:$D$1197,Korrelation!F$4:F$1197,"-",0)="-",0,MATCH(_xlfn.XLOOKUP($A432,Korrelation!$D$4:$D$1197,Korrelation!F$4:F$1197,"",0),DMAV_Modell!$G$6:$G$677,0)))</f>
        <v>0</v>
      </c>
      <c r="D432" s="57">
        <f>IF($A432="","",IF(_xlfn.XLOOKUP($A432,Korrelation!$D$4:$D$1197,Korrelation!G$4:G$1197,"-",0)="-",0,MATCH(_xlfn.XLOOKUP($A432,Korrelation!$D$4:$D$1197,Korrelation!G$4:G$1197,"",0),DMAV_Modell!$G$6:$G$677,0)))</f>
        <v>0</v>
      </c>
      <c r="E432" s="57">
        <f>IF($A432="","",IF(_xlfn.XLOOKUP($A432,Korrelation!$D$4:$D$1197,Korrelation!H$4:H$1197,"-",0)="-",0,MATCH(_xlfn.XLOOKUP($A432,Korrelation!$D$4:$D$1197,Korrelation!H$4:H$1197,"",0),DMAV_Dienste!$F$6:$F$140,0)))</f>
        <v>0</v>
      </c>
      <c r="F432" s="57">
        <f>IF($A432="","",IF(_xlfn.XLOOKUP($A432,Korrelation!$D$4:$D$1197,Korrelation!I$4:I$1197,"-",0)="-",0,MATCH(_xlfn.XLOOKUP($A432,Korrelation!$D$4:$D$1197,Korrelation!I$4:I$1197,"",0),DMAV_Dienste!$F$6:$F$140,0)))</f>
        <v>0</v>
      </c>
      <c r="G432" s="57">
        <f>IF($A432="","",IF(_xlfn.XLOOKUP($A432,Korrelation!$D$4:$D$1197,Korrelation!J$4:J$1197,"-",0)="-",0,MATCH(_xlfn.XLOOKUP($A432,Korrelation!$D$4:$D$1197,Korrelation!J$4:J$1197,"",0),DMAV_Dienste!$F$6:$F$140,0)))</f>
        <v>0</v>
      </c>
      <c r="H432" s="57">
        <f>IF($A432="","",IF(_xlfn.XLOOKUP($A432,Korrelation!$D$4:$D$1197,Korrelation!K$4:K$1197,"-",0)="-",0,MATCH(_xlfn.XLOOKUP($A432,Korrelation!$D$4:$D$1197,Korrelation!K$4:K$1197,"",0),'DM01-AV-CH'!$A$6:$A$834,0)))</f>
        <v>0</v>
      </c>
      <c r="J432" s="54" t="str" cm="1">
        <f t="array" aca="1" ref="J432" ca="1">IF(B432=0,IF(E432=0,"",HYPERLINK("#"&amp;RIGHT(CELL("adresse",OFFSET(DMAV_Dienste!$M$6,E432-1,0)),LEN(CELL("adresse",OFFSET(DMAV_Dienste!$M$6,E432-1,0)))-FIND("]",CELL("adresse",OFFSET(DMAV_Dienste!$M$6,E432-1,0)))),"Dienst")),HYPERLINK("#"&amp;RIGHT(CELL("adresse",OFFSET(DMAV_Modell!$N$6,B432-1,0)),LEN(CELL("adresse",OFFSET(DMAV_Modell!$N$6,B432-1,0)))-FIND("]",CELL("adresse",OFFSET(DMAV_Modell!$N$6,B432-1,0)))),"Modell"))</f>
        <v>Modell</v>
      </c>
      <c r="K432" s="61" t="str" cm="1">
        <f t="array" ref="K432">IF($B432=0,IF($E432=0,"",IF(INDEX(DMAV_Dienste!P$6:P$140,$E432)="","",INDEX(DMAV_Dienste!P$6:P$140,$E432))),IF(INDEX(DMAV_Modell!Q$6:Q$838,$B432)="","",INDEX(DMAV_Modell!Q$6:Q$838,$B432)))</f>
        <v>ASSOCIATION</v>
      </c>
      <c r="L432" s="62" t="str" cm="1">
        <f t="array" ref="L432">IF($B432=0,IF($E432=0,"",IF(INDEX(DMAV_Dienste!O$6:O$140,$E432)="","",INDEX(DMAV_Dienste!O$6:O$140,$E432))),IF(INDEX(DMAV_Modell!P$6:P$838,$B432)="","",INDEX(DMAV_Modell!P$6:P$838,$B432)))</f>
        <v>HoheitsgrenzenAV</v>
      </c>
      <c r="M432" s="62" t="str" cm="1">
        <f t="array" ref="M432">IF($B432=0,IF($E432=0,"",IF(INDEX(DMAV_Dienste!Q$6:Q$140,$E432)="","",INDEX(DMAV_Dienste!Q$6:Q$140,$E432))),IF(INDEX(DMAV_Modell!R$6:R$838,$B432)="","",INDEX(DMAV_Modell!R$6:R$838,$B432)))</f>
        <v>Vorgaenger_Nachfolger_Kantonsgrenzabschnitt</v>
      </c>
      <c r="N432" s="62" t="str" cm="1">
        <f t="array" ref="N432">IF($B432=0,IF($E432=0,"",IF(INDEX(DMAV_Dienste!T$6:T$140,$E432)="","",INDEX(DMAV_Dienste!T$6:T$140,$E432))),IF(INDEX(DMAV_Modell!U$6:U$838,$B432)="","",INDEX(DMAV_Modell!U$6:U$838,$B432)))</f>
        <v>Nachfolger</v>
      </c>
      <c r="O432" s="63" t="str" cm="1">
        <f t="array" aca="1" ref="O432" ca="1">IF(C432=0,IF(F432=0,"",HYPERLINK("#"&amp;RIGHT(CELL("adresse",OFFSET(DMAV_Dienste!$M$6,F432-1,0)),LEN(CELL("adresse",OFFSET(DMAV_Dienste!$M$6,F432-1,0)))-FIND("]",CELL("adresse",OFFSET(DMAV_Dienste!$M$6,F432-1,0)))),"Structure")),HYPERLINK("#"&amp;RIGHT(CELL("adresse",OFFSET(DMAV_Modell!$N$6,C432-1,0)),LEN(CELL("adresse",OFFSET(DMAV_Modell!$N$6,C432-1,0)))-FIND("]",CELL("adresse",OFFSET(DMAV_Modell!$N$6,C432-1,0)))),"Structure"))</f>
        <v/>
      </c>
      <c r="P432" s="64" t="str" cm="1">
        <f t="array" aca="1" ref="P432" ca="1">IF(D432=0,IF(G432=0,"",HYPERLINK("#"&amp;RIGHT(CELL("adresse",OFFSET(DMAV_Dienste!$M$6,G432-1,0)),LEN(CELL("adresse",OFFSET(DMAV_Dienste!$M$6,G432-1,0)))-FIND("]",CELL("adresse",OFFSET(DMAV_Dienste!$M$6,G432-1,0)))),"Substructure")),HYPERLINK("#"&amp;RIGHT(CELL("adresse",OFFSET(DMAV_Modell!$N$6,D432-1,0)),LEN(CELL("adresse",OFFSET(DMAV_Modell!$N$6,D432-1,0)))-FIND("]",CELL("adresse",OFFSET(DMAV_Modell!$N$6,D432-1,0)))),"Substructure"))</f>
        <v/>
      </c>
      <c r="R432" s="80"/>
      <c r="T432" s="93"/>
      <c r="U432" s="94"/>
      <c r="V432" s="95"/>
      <c r="W432" s="96"/>
      <c r="Y432" s="85"/>
      <c r="Z432" s="86"/>
      <c r="AA432" s="87"/>
      <c r="AB432" s="88"/>
      <c r="AD432" s="77"/>
      <c r="AF432" s="54" t="str" cm="1">
        <f t="array" aca="1" ref="AF432" ca="1">IF(H432=0,"",HYPERLINK("#"&amp;RIGHT(CELL("adresse",OFFSET('DM01-AV-CH'!$G$6,H432-1,0)),LEN(CELL("adresse",OFFSET('DM01-AV-CH'!$G$6,H432-1,0)))-FIND("]",CELL("adresse",OFFSET('DM01-AV-CH'!$G$6,H432-1,0)))),"Modell"))</f>
        <v/>
      </c>
      <c r="AG432" s="72" t="str" cm="1">
        <f t="array" ref="AG432">IF($H432=0,"",IF(INDEX('DM01-AV-CH'!G$6:G$834,$H432)="","",INDEX('DM01-AV-CH'!G$6:G$834,$H432)))</f>
        <v/>
      </c>
      <c r="AH432" s="73" t="str" cm="1">
        <f t="array" ref="AH432">IF($H432=0,"",IF(INDEX('DM01-AV-CH'!H$6:H$834,$H432)="","",INDEX('DM01-AV-CH'!H$6:H$834,$H432)))</f>
        <v/>
      </c>
      <c r="AI432" s="74" t="str" cm="1">
        <f t="array" ref="AI432">IF($H432=0,"",IF(INDEX('DM01-AV-CH'!I$6:I$834,$H432)="","",INDEX('DM01-AV-CH'!I$6:I$834,$H432)))</f>
        <v/>
      </c>
    </row>
    <row r="433" spans="1:35" x14ac:dyDescent="0.25">
      <c r="A433" s="57">
        <v>428</v>
      </c>
      <c r="B433" s="57">
        <f>IF($A433="","",IF(_xlfn.XLOOKUP($A433,Korrelation!$D$4:$D$1197,Korrelation!E$4:E$1197,"-",0)="-",0,MATCH(_xlfn.XLOOKUP($A433,Korrelation!$D$4:$D$1197,Korrelation!E$4:E$1197,"",0),DMAV_Modell!$G$6:$G$677,0)))</f>
        <v>192</v>
      </c>
      <c r="C433" s="57">
        <f>IF($A433="","",IF(_xlfn.XLOOKUP($A433,Korrelation!$D$4:$D$1197,Korrelation!F$4:F$1197,"-",0)="-",0,MATCH(_xlfn.XLOOKUP($A433,Korrelation!$D$4:$D$1197,Korrelation!F$4:F$1197,"",0),DMAV_Modell!$G$6:$G$677,0)))</f>
        <v>0</v>
      </c>
      <c r="D433" s="57">
        <f>IF($A433="","",IF(_xlfn.XLOOKUP($A433,Korrelation!$D$4:$D$1197,Korrelation!G$4:G$1197,"-",0)="-",0,MATCH(_xlfn.XLOOKUP($A433,Korrelation!$D$4:$D$1197,Korrelation!G$4:G$1197,"",0),DMAV_Modell!$G$6:$G$677,0)))</f>
        <v>0</v>
      </c>
      <c r="E433" s="57">
        <f>IF($A433="","",IF(_xlfn.XLOOKUP($A433,Korrelation!$D$4:$D$1197,Korrelation!H$4:H$1197,"-",0)="-",0,MATCH(_xlfn.XLOOKUP($A433,Korrelation!$D$4:$D$1197,Korrelation!H$4:H$1197,"",0),DMAV_Dienste!$F$6:$F$140,0)))</f>
        <v>0</v>
      </c>
      <c r="F433" s="57">
        <f>IF($A433="","",IF(_xlfn.XLOOKUP($A433,Korrelation!$D$4:$D$1197,Korrelation!I$4:I$1197,"-",0)="-",0,MATCH(_xlfn.XLOOKUP($A433,Korrelation!$D$4:$D$1197,Korrelation!I$4:I$1197,"",0),DMAV_Dienste!$F$6:$F$140,0)))</f>
        <v>0</v>
      </c>
      <c r="G433" s="57">
        <f>IF($A433="","",IF(_xlfn.XLOOKUP($A433,Korrelation!$D$4:$D$1197,Korrelation!J$4:J$1197,"-",0)="-",0,MATCH(_xlfn.XLOOKUP($A433,Korrelation!$D$4:$D$1197,Korrelation!J$4:J$1197,"",0),DMAV_Dienste!$F$6:$F$140,0)))</f>
        <v>0</v>
      </c>
      <c r="H433" s="57">
        <f>IF($A433="","",IF(_xlfn.XLOOKUP($A433,Korrelation!$D$4:$D$1197,Korrelation!K$4:K$1197,"-",0)="-",0,MATCH(_xlfn.XLOOKUP($A433,Korrelation!$D$4:$D$1197,Korrelation!K$4:K$1197,"",0),'DM01-AV-CH'!$A$6:$A$834,0)))</f>
        <v>0</v>
      </c>
      <c r="J433" s="54" t="str" cm="1">
        <f t="array" aca="1" ref="J433" ca="1">IF(B433=0,IF(E433=0,"",HYPERLINK("#"&amp;RIGHT(CELL("adresse",OFFSET(DMAV_Dienste!$M$6,E433-1,0)),LEN(CELL("adresse",OFFSET(DMAV_Dienste!$M$6,E433-1,0)))-FIND("]",CELL("adresse",OFFSET(DMAV_Dienste!$M$6,E433-1,0)))),"Dienst")),HYPERLINK("#"&amp;RIGHT(CELL("adresse",OFFSET(DMAV_Modell!$N$6,B433-1,0)),LEN(CELL("adresse",OFFSET(DMAV_Modell!$N$6,B433-1,0)))-FIND("]",CELL("adresse",OFFSET(DMAV_Modell!$N$6,B433-1,0)))),"Modell"))</f>
        <v>Modell</v>
      </c>
      <c r="K433" s="61" t="str" cm="1">
        <f t="array" ref="K433">IF($B433=0,IF($E433=0,"",IF(INDEX(DMAV_Dienste!P$6:P$140,$E433)="","",INDEX(DMAV_Dienste!P$6:P$140,$E433))),IF(INDEX(DMAV_Modell!Q$6:Q$838,$B433)="","",INDEX(DMAV_Modell!Q$6:Q$838,$B433)))</f>
        <v>VIEW</v>
      </c>
      <c r="L433" s="62" t="str" cm="1">
        <f t="array" ref="L433">IF($B433=0,IF($E433=0,"",IF(INDEX(DMAV_Dienste!O$6:O$140,$E433)="","",INDEX(DMAV_Dienste!O$6:O$140,$E433))),IF(INDEX(DMAV_Modell!P$6:P$838,$B433)="","",INDEX(DMAV_Modell!P$6:P$838,$B433)))</f>
        <v>HoheitsgrenzenAV</v>
      </c>
      <c r="M433" s="62" t="str" cm="1">
        <f t="array" ref="M433">IF($B433=0,IF($E433=0,"",IF(INDEX(DMAV_Dienste!Q$6:Q$140,$E433)="","",INDEX(DMAV_Dienste!Q$6:Q$140,$E433))),IF(INDEX(DMAV_Modell!R$6:R$838,$B433)="","",INDEX(DMAV_Modell!R$6:R$838,$B433)))</f>
        <v>Kantonsgrenzabschnitt_Gueltig</v>
      </c>
      <c r="N433" s="62" t="str" cm="1">
        <f t="array" ref="N433">IF($B433=0,IF($E433=0,"",IF(INDEX(DMAV_Dienste!T$6:T$140,$E433)="","",INDEX(DMAV_Dienste!T$6:T$140,$E433))),IF(INDEX(DMAV_Modell!U$6:U$838,$B433)="","",INDEX(DMAV_Modell!U$6:U$838,$B433)))</f>
        <v>PROJECTION OF</v>
      </c>
      <c r="O433" s="63" t="str" cm="1">
        <f t="array" aca="1" ref="O433" ca="1">IF(C433=0,IF(F433=0,"",HYPERLINK("#"&amp;RIGHT(CELL("adresse",OFFSET(DMAV_Dienste!$M$6,F433-1,0)),LEN(CELL("adresse",OFFSET(DMAV_Dienste!$M$6,F433-1,0)))-FIND("]",CELL("adresse",OFFSET(DMAV_Dienste!$M$6,F433-1,0)))),"Structure")),HYPERLINK("#"&amp;RIGHT(CELL("adresse",OFFSET(DMAV_Modell!$N$6,C433-1,0)),LEN(CELL("adresse",OFFSET(DMAV_Modell!$N$6,C433-1,0)))-FIND("]",CELL("adresse",OFFSET(DMAV_Modell!$N$6,C433-1,0)))),"Structure"))</f>
        <v/>
      </c>
      <c r="P433" s="64" t="str" cm="1">
        <f t="array" aca="1" ref="P433" ca="1">IF(D433=0,IF(G433=0,"",HYPERLINK("#"&amp;RIGHT(CELL("adresse",OFFSET(DMAV_Dienste!$M$6,G433-1,0)),LEN(CELL("adresse",OFFSET(DMAV_Dienste!$M$6,G433-1,0)))-FIND("]",CELL("adresse",OFFSET(DMAV_Dienste!$M$6,G433-1,0)))),"Substructure")),HYPERLINK("#"&amp;RIGHT(CELL("adresse",OFFSET(DMAV_Modell!$N$6,D433-1,0)),LEN(CELL("adresse",OFFSET(DMAV_Modell!$N$6,D433-1,0)))-FIND("]",CELL("adresse",OFFSET(DMAV_Modell!$N$6,D433-1,0)))),"Substructure"))</f>
        <v/>
      </c>
      <c r="R433" s="80"/>
      <c r="T433" s="93"/>
      <c r="U433" s="94"/>
      <c r="V433" s="95"/>
      <c r="W433" s="96"/>
      <c r="Y433" s="85"/>
      <c r="Z433" s="86"/>
      <c r="AA433" s="87"/>
      <c r="AB433" s="88"/>
      <c r="AD433" s="77"/>
      <c r="AF433" s="54" t="str" cm="1">
        <f t="array" aca="1" ref="AF433" ca="1">IF(H433=0,"",HYPERLINK("#"&amp;RIGHT(CELL("adresse",OFFSET('DM01-AV-CH'!$G$6,H433-1,0)),LEN(CELL("adresse",OFFSET('DM01-AV-CH'!$G$6,H433-1,0)))-FIND("]",CELL("adresse",OFFSET('DM01-AV-CH'!$G$6,H433-1,0)))),"Modell"))</f>
        <v/>
      </c>
      <c r="AG433" s="72" t="str" cm="1">
        <f t="array" ref="AG433">IF($H433=0,"",IF(INDEX('DM01-AV-CH'!G$6:G$834,$H433)="","",INDEX('DM01-AV-CH'!G$6:G$834,$H433)))</f>
        <v/>
      </c>
      <c r="AH433" s="73" t="str" cm="1">
        <f t="array" ref="AH433">IF($H433=0,"",IF(INDEX('DM01-AV-CH'!H$6:H$834,$H433)="","",INDEX('DM01-AV-CH'!H$6:H$834,$H433)))</f>
        <v/>
      </c>
      <c r="AI433" s="74" t="str" cm="1">
        <f t="array" ref="AI433">IF($H433=0,"",IF(INDEX('DM01-AV-CH'!I$6:I$834,$H433)="","",INDEX('DM01-AV-CH'!I$6:I$834,$H433)))</f>
        <v/>
      </c>
    </row>
    <row r="434" spans="1:35" x14ac:dyDescent="0.25">
      <c r="A434" s="57">
        <v>429</v>
      </c>
      <c r="B434" s="57">
        <f>IF($A434="","",IF(_xlfn.XLOOKUP($A434,Korrelation!$D$4:$D$1197,Korrelation!E$4:E$1197,"-",0)="-",0,MATCH(_xlfn.XLOOKUP($A434,Korrelation!$D$4:$D$1197,Korrelation!E$4:E$1197,"",0),DMAV_Modell!$G$6:$G$677,0)))</f>
        <v>193</v>
      </c>
      <c r="C434" s="57">
        <f>IF($A434="","",IF(_xlfn.XLOOKUP($A434,Korrelation!$D$4:$D$1197,Korrelation!F$4:F$1197,"-",0)="-",0,MATCH(_xlfn.XLOOKUP($A434,Korrelation!$D$4:$D$1197,Korrelation!F$4:F$1197,"",0),DMAV_Modell!$G$6:$G$677,0)))</f>
        <v>0</v>
      </c>
      <c r="D434" s="57">
        <f>IF($A434="","",IF(_xlfn.XLOOKUP($A434,Korrelation!$D$4:$D$1197,Korrelation!G$4:G$1197,"-",0)="-",0,MATCH(_xlfn.XLOOKUP($A434,Korrelation!$D$4:$D$1197,Korrelation!G$4:G$1197,"",0),DMAV_Modell!$G$6:$G$677,0)))</f>
        <v>0</v>
      </c>
      <c r="E434" s="57">
        <f>IF($A434="","",IF(_xlfn.XLOOKUP($A434,Korrelation!$D$4:$D$1197,Korrelation!H$4:H$1197,"-",0)="-",0,MATCH(_xlfn.XLOOKUP($A434,Korrelation!$D$4:$D$1197,Korrelation!H$4:H$1197,"",0),DMAV_Dienste!$F$6:$F$140,0)))</f>
        <v>0</v>
      </c>
      <c r="F434" s="57">
        <f>IF($A434="","",IF(_xlfn.XLOOKUP($A434,Korrelation!$D$4:$D$1197,Korrelation!I$4:I$1197,"-",0)="-",0,MATCH(_xlfn.XLOOKUP($A434,Korrelation!$D$4:$D$1197,Korrelation!I$4:I$1197,"",0),DMAV_Dienste!$F$6:$F$140,0)))</f>
        <v>0</v>
      </c>
      <c r="G434" s="57">
        <f>IF($A434="","",IF(_xlfn.XLOOKUP($A434,Korrelation!$D$4:$D$1197,Korrelation!J$4:J$1197,"-",0)="-",0,MATCH(_xlfn.XLOOKUP($A434,Korrelation!$D$4:$D$1197,Korrelation!J$4:J$1197,"",0),DMAV_Dienste!$F$6:$F$140,0)))</f>
        <v>0</v>
      </c>
      <c r="H434" s="57">
        <f>IF($A434="","",IF(_xlfn.XLOOKUP($A434,Korrelation!$D$4:$D$1197,Korrelation!K$4:K$1197,"-",0)="-",0,MATCH(_xlfn.XLOOKUP($A434,Korrelation!$D$4:$D$1197,Korrelation!K$4:K$1197,"",0),'DM01-AV-CH'!$A$6:$A$834,0)))</f>
        <v>0</v>
      </c>
      <c r="J434" s="54" t="str" cm="1">
        <f t="array" aca="1" ref="J434" ca="1">IF(B434=0,IF(E434=0,"",HYPERLINK("#"&amp;RIGHT(CELL("adresse",OFFSET(DMAV_Dienste!$M$6,E434-1,0)),LEN(CELL("adresse",OFFSET(DMAV_Dienste!$M$6,E434-1,0)))-FIND("]",CELL("adresse",OFFSET(DMAV_Dienste!$M$6,E434-1,0)))),"Dienst")),HYPERLINK("#"&amp;RIGHT(CELL("adresse",OFFSET(DMAV_Modell!$N$6,B434-1,0)),LEN(CELL("adresse",OFFSET(DMAV_Modell!$N$6,B434-1,0)))-FIND("]",CELL("adresse",OFFSET(DMAV_Modell!$N$6,B434-1,0)))),"Modell"))</f>
        <v>Modell</v>
      </c>
      <c r="K434" s="61" t="str" cm="1">
        <f t="array" ref="K434">IF($B434=0,IF($E434=0,"",IF(INDEX(DMAV_Dienste!P$6:P$140,$E434)="","",INDEX(DMAV_Dienste!P$6:P$140,$E434))),IF(INDEX(DMAV_Modell!Q$6:Q$838,$B434)="","",INDEX(DMAV_Modell!Q$6:Q$838,$B434)))</f>
        <v>VIEW</v>
      </c>
      <c r="L434" s="62" t="str" cm="1">
        <f t="array" ref="L434">IF($B434=0,IF($E434=0,"",IF(INDEX(DMAV_Dienste!O$6:O$140,$E434)="","",INDEX(DMAV_Dienste!O$6:O$140,$E434))),IF(INDEX(DMAV_Modell!P$6:P$838,$B434)="","",INDEX(DMAV_Modell!P$6:P$838,$B434)))</f>
        <v>HoheitsgrenzenAV</v>
      </c>
      <c r="M434" s="62" t="str" cm="1">
        <f t="array" ref="M434">IF($B434=0,IF($E434=0,"",IF(INDEX(DMAV_Dienste!Q$6:Q$140,$E434)="","",INDEX(DMAV_Dienste!Q$6:Q$140,$E434))),IF(INDEX(DMAV_Modell!R$6:R$838,$B434)="","",INDEX(DMAV_Modell!R$6:R$838,$B434)))</f>
        <v>Kantonsgrenzabschnitt_Gueltig</v>
      </c>
      <c r="N434" s="62" t="str" cm="1">
        <f t="array" ref="N434">IF($B434=0,IF($E434=0,"",IF(INDEX(DMAV_Dienste!T$6:T$140,$E434)="","",INDEX(DMAV_Dienste!T$6:T$140,$E434))),IF(INDEX(DMAV_Modell!U$6:U$838,$B434)="","",INDEX(DMAV_Modell!U$6:U$838,$B434)))</f>
        <v>WHERE DEFINED(@PH1@) AND DEFINED(@PH2@) AND (NOT(DEFINED(@PH3@)) OR NOT(DEFINED(@PH4@)))</v>
      </c>
      <c r="O434" s="63" t="str" cm="1">
        <f t="array" aca="1" ref="O434" ca="1">IF(C434=0,IF(F434=0,"",HYPERLINK("#"&amp;RIGHT(CELL("adresse",OFFSET(DMAV_Dienste!$M$6,F434-1,0)),LEN(CELL("adresse",OFFSET(DMAV_Dienste!$M$6,F434-1,0)))-FIND("]",CELL("adresse",OFFSET(DMAV_Dienste!$M$6,F434-1,0)))),"Structure")),HYPERLINK("#"&amp;RIGHT(CELL("adresse",OFFSET(DMAV_Modell!$N$6,C434-1,0)),LEN(CELL("adresse",OFFSET(DMAV_Modell!$N$6,C434-1,0)))-FIND("]",CELL("adresse",OFFSET(DMAV_Modell!$N$6,C434-1,0)))),"Structure"))</f>
        <v/>
      </c>
      <c r="P434" s="64" t="str" cm="1">
        <f t="array" aca="1" ref="P434" ca="1">IF(D434=0,IF(G434=0,"",HYPERLINK("#"&amp;RIGHT(CELL("adresse",OFFSET(DMAV_Dienste!$M$6,G434-1,0)),LEN(CELL("adresse",OFFSET(DMAV_Dienste!$M$6,G434-1,0)))-FIND("]",CELL("adresse",OFFSET(DMAV_Dienste!$M$6,G434-1,0)))),"Substructure")),HYPERLINK("#"&amp;RIGHT(CELL("adresse",OFFSET(DMAV_Modell!$N$6,D434-1,0)),LEN(CELL("adresse",OFFSET(DMAV_Modell!$N$6,D434-1,0)))-FIND("]",CELL("adresse",OFFSET(DMAV_Modell!$N$6,D434-1,0)))),"Substructure"))</f>
        <v/>
      </c>
      <c r="R434" s="80"/>
      <c r="T434" s="93"/>
      <c r="U434" s="94"/>
      <c r="V434" s="95"/>
      <c r="W434" s="96"/>
      <c r="Y434" s="85"/>
      <c r="Z434" s="86"/>
      <c r="AA434" s="87"/>
      <c r="AB434" s="88"/>
      <c r="AD434" s="77"/>
      <c r="AF434" s="54" t="str" cm="1">
        <f t="array" aca="1" ref="AF434" ca="1">IF(H434=0,"",HYPERLINK("#"&amp;RIGHT(CELL("adresse",OFFSET('DM01-AV-CH'!$G$6,H434-1,0)),LEN(CELL("adresse",OFFSET('DM01-AV-CH'!$G$6,H434-1,0)))-FIND("]",CELL("adresse",OFFSET('DM01-AV-CH'!$G$6,H434-1,0)))),"Modell"))</f>
        <v/>
      </c>
      <c r="AG434" s="72" t="str" cm="1">
        <f t="array" ref="AG434">IF($H434=0,"",IF(INDEX('DM01-AV-CH'!G$6:G$834,$H434)="","",INDEX('DM01-AV-CH'!G$6:G$834,$H434)))</f>
        <v/>
      </c>
      <c r="AH434" s="73" t="str" cm="1">
        <f t="array" ref="AH434">IF($H434=0,"",IF(INDEX('DM01-AV-CH'!H$6:H$834,$H434)="","",INDEX('DM01-AV-CH'!H$6:H$834,$H434)))</f>
        <v/>
      </c>
      <c r="AI434" s="74" t="str" cm="1">
        <f t="array" ref="AI434">IF($H434=0,"",IF(INDEX('DM01-AV-CH'!I$6:I$834,$H434)="","",INDEX('DM01-AV-CH'!I$6:I$834,$H434)))</f>
        <v/>
      </c>
    </row>
    <row r="435" spans="1:35" x14ac:dyDescent="0.25">
      <c r="A435" s="57">
        <v>430</v>
      </c>
      <c r="B435" s="57">
        <f>IF($A435="","",IF(_xlfn.XLOOKUP($A435,Korrelation!$D$4:$D$1197,Korrelation!E$4:E$1197,"-",0)="-",0,MATCH(_xlfn.XLOOKUP($A435,Korrelation!$D$4:$D$1197,Korrelation!E$4:E$1197,"",0),DMAV_Modell!$G$6:$G$677,0)))</f>
        <v>194</v>
      </c>
      <c r="C435" s="57">
        <f>IF($A435="","",IF(_xlfn.XLOOKUP($A435,Korrelation!$D$4:$D$1197,Korrelation!F$4:F$1197,"-",0)="-",0,MATCH(_xlfn.XLOOKUP($A435,Korrelation!$D$4:$D$1197,Korrelation!F$4:F$1197,"",0),DMAV_Modell!$G$6:$G$677,0)))</f>
        <v>0</v>
      </c>
      <c r="D435" s="57">
        <f>IF($A435="","",IF(_xlfn.XLOOKUP($A435,Korrelation!$D$4:$D$1197,Korrelation!G$4:G$1197,"-",0)="-",0,MATCH(_xlfn.XLOOKUP($A435,Korrelation!$D$4:$D$1197,Korrelation!G$4:G$1197,"",0),DMAV_Modell!$G$6:$G$677,0)))</f>
        <v>0</v>
      </c>
      <c r="E435" s="57">
        <f>IF($A435="","",IF(_xlfn.XLOOKUP($A435,Korrelation!$D$4:$D$1197,Korrelation!H$4:H$1197,"-",0)="-",0,MATCH(_xlfn.XLOOKUP($A435,Korrelation!$D$4:$D$1197,Korrelation!H$4:H$1197,"",0),DMAV_Dienste!$F$6:$F$140,0)))</f>
        <v>0</v>
      </c>
      <c r="F435" s="57">
        <f>IF($A435="","",IF(_xlfn.XLOOKUP($A435,Korrelation!$D$4:$D$1197,Korrelation!I$4:I$1197,"-",0)="-",0,MATCH(_xlfn.XLOOKUP($A435,Korrelation!$D$4:$D$1197,Korrelation!I$4:I$1197,"",0),DMAV_Dienste!$F$6:$F$140,0)))</f>
        <v>0</v>
      </c>
      <c r="G435" s="57">
        <f>IF($A435="","",IF(_xlfn.XLOOKUP($A435,Korrelation!$D$4:$D$1197,Korrelation!J$4:J$1197,"-",0)="-",0,MATCH(_xlfn.XLOOKUP($A435,Korrelation!$D$4:$D$1197,Korrelation!J$4:J$1197,"",0),DMAV_Dienste!$F$6:$F$140,0)))</f>
        <v>0</v>
      </c>
      <c r="H435" s="57">
        <f>IF($A435="","",IF(_xlfn.XLOOKUP($A435,Korrelation!$D$4:$D$1197,Korrelation!K$4:K$1197,"-",0)="-",0,MATCH(_xlfn.XLOOKUP($A435,Korrelation!$D$4:$D$1197,Korrelation!K$4:K$1197,"",0),'DM01-AV-CH'!$A$6:$A$834,0)))</f>
        <v>0</v>
      </c>
      <c r="J435" s="54" t="str" cm="1">
        <f t="array" aca="1" ref="J435" ca="1">IF(B435=0,IF(E435=0,"",HYPERLINK("#"&amp;RIGHT(CELL("adresse",OFFSET(DMAV_Dienste!$M$6,E435-1,0)),LEN(CELL("adresse",OFFSET(DMAV_Dienste!$M$6,E435-1,0)))-FIND("]",CELL("adresse",OFFSET(DMAV_Dienste!$M$6,E435-1,0)))),"Dienst")),HYPERLINK("#"&amp;RIGHT(CELL("adresse",OFFSET(DMAV_Modell!$N$6,B435-1,0)),LEN(CELL("adresse",OFFSET(DMAV_Modell!$N$6,B435-1,0)))-FIND("]",CELL("adresse",OFFSET(DMAV_Modell!$N$6,B435-1,0)))),"Modell"))</f>
        <v>Modell</v>
      </c>
      <c r="K435" s="61" t="str" cm="1">
        <f t="array" ref="K435">IF($B435=0,IF($E435=0,"",IF(INDEX(DMAV_Dienste!P$6:P$140,$E435)="","",INDEX(DMAV_Dienste!P$6:P$140,$E435))),IF(INDEX(DMAV_Modell!Q$6:Q$838,$B435)="","",INDEX(DMAV_Modell!Q$6:Q$838,$B435)))</f>
        <v>VIEW</v>
      </c>
      <c r="L435" s="62" t="str" cm="1">
        <f t="array" ref="L435">IF($B435=0,IF($E435=0,"",IF(INDEX(DMAV_Dienste!O$6:O$140,$E435)="","",INDEX(DMAV_Dienste!O$6:O$140,$E435))),IF(INDEX(DMAV_Modell!P$6:P$838,$B435)="","",INDEX(DMAV_Modell!P$6:P$838,$B435)))</f>
        <v>HoheitsgrenzenAV</v>
      </c>
      <c r="M435" s="62" t="str" cm="1">
        <f t="array" ref="M435">IF($B435=0,IF($E435=0,"",IF(INDEX(DMAV_Dienste!Q$6:Q$140,$E435)="","",INDEX(DMAV_Dienste!Q$6:Q$140,$E435))),IF(INDEX(DMAV_Modell!R$6:R$838,$B435)="","",INDEX(DMAV_Modell!R$6:R$838,$B435)))</f>
        <v>Kantonsgrenzabschnitt_Gueltig</v>
      </c>
      <c r="N435" s="62" t="str" cm="1">
        <f t="array" ref="N435">IF($B435=0,IF($E435=0,"",IF(INDEX(DMAV_Dienste!T$6:T$140,$E435)="","",INDEX(DMAV_Dienste!T$6:T$140,$E435))),IF(INDEX(DMAV_Modell!U$6:U$838,$B435)="","",INDEX(DMAV_Modell!U$6:U$838,$B435)))</f>
        <v>= ALL OF</v>
      </c>
      <c r="O435" s="63" t="str" cm="1">
        <f t="array" aca="1" ref="O435" ca="1">IF(C435=0,IF(F435=0,"",HYPERLINK("#"&amp;RIGHT(CELL("adresse",OFFSET(DMAV_Dienste!$M$6,F435-1,0)),LEN(CELL("adresse",OFFSET(DMAV_Dienste!$M$6,F435-1,0)))-FIND("]",CELL("adresse",OFFSET(DMAV_Dienste!$M$6,F435-1,0)))),"Structure")),HYPERLINK("#"&amp;RIGHT(CELL("adresse",OFFSET(DMAV_Modell!$N$6,C435-1,0)),LEN(CELL("adresse",OFFSET(DMAV_Modell!$N$6,C435-1,0)))-FIND("]",CELL("adresse",OFFSET(DMAV_Modell!$N$6,C435-1,0)))),"Structure"))</f>
        <v/>
      </c>
      <c r="P435" s="64" t="str" cm="1">
        <f t="array" aca="1" ref="P435" ca="1">IF(D435=0,IF(G435=0,"",HYPERLINK("#"&amp;RIGHT(CELL("adresse",OFFSET(DMAV_Dienste!$M$6,G435-1,0)),LEN(CELL("adresse",OFFSET(DMAV_Dienste!$M$6,G435-1,0)))-FIND("]",CELL("adresse",OFFSET(DMAV_Dienste!$M$6,G435-1,0)))),"Substructure")),HYPERLINK("#"&amp;RIGHT(CELL("adresse",OFFSET(DMAV_Modell!$N$6,D435-1,0)),LEN(CELL("adresse",OFFSET(DMAV_Modell!$N$6,D435-1,0)))-FIND("]",CELL("adresse",OFFSET(DMAV_Modell!$N$6,D435-1,0)))),"Substructure"))</f>
        <v/>
      </c>
      <c r="R435" s="80"/>
      <c r="T435" s="93"/>
      <c r="U435" s="94"/>
      <c r="V435" s="95"/>
      <c r="W435" s="96"/>
      <c r="Y435" s="85"/>
      <c r="Z435" s="86"/>
      <c r="AA435" s="87"/>
      <c r="AB435" s="88"/>
      <c r="AD435" s="77"/>
      <c r="AF435" s="54" t="str" cm="1">
        <f t="array" aca="1" ref="AF435" ca="1">IF(H435=0,"",HYPERLINK("#"&amp;RIGHT(CELL("adresse",OFFSET('DM01-AV-CH'!$G$6,H435-1,0)),LEN(CELL("adresse",OFFSET('DM01-AV-CH'!$G$6,H435-1,0)))-FIND("]",CELL("adresse",OFFSET('DM01-AV-CH'!$G$6,H435-1,0)))),"Modell"))</f>
        <v/>
      </c>
      <c r="AG435" s="72" t="str" cm="1">
        <f t="array" ref="AG435">IF($H435=0,"",IF(INDEX('DM01-AV-CH'!G$6:G$834,$H435)="","",INDEX('DM01-AV-CH'!G$6:G$834,$H435)))</f>
        <v/>
      </c>
      <c r="AH435" s="73" t="str" cm="1">
        <f t="array" ref="AH435">IF($H435=0,"",IF(INDEX('DM01-AV-CH'!H$6:H$834,$H435)="","",INDEX('DM01-AV-CH'!H$6:H$834,$H435)))</f>
        <v/>
      </c>
      <c r="AI435" s="74" t="str" cm="1">
        <f t="array" ref="AI435">IF($H435=0,"",IF(INDEX('DM01-AV-CH'!I$6:I$834,$H435)="","",INDEX('DM01-AV-CH'!I$6:I$834,$H435)))</f>
        <v/>
      </c>
    </row>
    <row r="436" spans="1:35" x14ac:dyDescent="0.25">
      <c r="A436" s="57">
        <v>431</v>
      </c>
      <c r="B436" s="57">
        <f>IF($A436="","",IF(_xlfn.XLOOKUP($A436,Korrelation!$D$4:$D$1197,Korrelation!E$4:E$1197,"-",0)="-",0,MATCH(_xlfn.XLOOKUP($A436,Korrelation!$D$4:$D$1197,Korrelation!E$4:E$1197,"",0),DMAV_Modell!$G$6:$G$677,0)))</f>
        <v>195</v>
      </c>
      <c r="C436" s="57">
        <f>IF($A436="","",IF(_xlfn.XLOOKUP($A436,Korrelation!$D$4:$D$1197,Korrelation!F$4:F$1197,"-",0)="-",0,MATCH(_xlfn.XLOOKUP($A436,Korrelation!$D$4:$D$1197,Korrelation!F$4:F$1197,"",0),DMAV_Modell!$G$6:$G$677,0)))</f>
        <v>0</v>
      </c>
      <c r="D436" s="57">
        <f>IF($A436="","",IF(_xlfn.XLOOKUP($A436,Korrelation!$D$4:$D$1197,Korrelation!G$4:G$1197,"-",0)="-",0,MATCH(_xlfn.XLOOKUP($A436,Korrelation!$D$4:$D$1197,Korrelation!G$4:G$1197,"",0),DMAV_Modell!$G$6:$G$677,0)))</f>
        <v>0</v>
      </c>
      <c r="E436" s="57">
        <f>IF($A436="","",IF(_xlfn.XLOOKUP($A436,Korrelation!$D$4:$D$1197,Korrelation!H$4:H$1197,"-",0)="-",0,MATCH(_xlfn.XLOOKUP($A436,Korrelation!$D$4:$D$1197,Korrelation!H$4:H$1197,"",0),DMAV_Dienste!$F$6:$F$140,0)))</f>
        <v>0</v>
      </c>
      <c r="F436" s="57">
        <f>IF($A436="","",IF(_xlfn.XLOOKUP($A436,Korrelation!$D$4:$D$1197,Korrelation!I$4:I$1197,"-",0)="-",0,MATCH(_xlfn.XLOOKUP($A436,Korrelation!$D$4:$D$1197,Korrelation!I$4:I$1197,"",0),DMAV_Dienste!$F$6:$F$140,0)))</f>
        <v>0</v>
      </c>
      <c r="G436" s="57">
        <f>IF($A436="","",IF(_xlfn.XLOOKUP($A436,Korrelation!$D$4:$D$1197,Korrelation!J$4:J$1197,"-",0)="-",0,MATCH(_xlfn.XLOOKUP($A436,Korrelation!$D$4:$D$1197,Korrelation!J$4:J$1197,"",0),DMAV_Dienste!$F$6:$F$140,0)))</f>
        <v>0</v>
      </c>
      <c r="H436" s="57">
        <f>IF($A436="","",IF(_xlfn.XLOOKUP($A436,Korrelation!$D$4:$D$1197,Korrelation!K$4:K$1197,"-",0)="-",0,MATCH(_xlfn.XLOOKUP($A436,Korrelation!$D$4:$D$1197,Korrelation!K$4:K$1197,"",0),'DM01-AV-CH'!$A$6:$A$834,0)))</f>
        <v>0</v>
      </c>
      <c r="J436" s="54" t="str" cm="1">
        <f t="array" aca="1" ref="J436" ca="1">IF(B436=0,IF(E436=0,"",HYPERLINK("#"&amp;RIGHT(CELL("adresse",OFFSET(DMAV_Dienste!$M$6,E436-1,0)),LEN(CELL("adresse",OFFSET(DMAV_Dienste!$M$6,E436-1,0)))-FIND("]",CELL("adresse",OFFSET(DMAV_Dienste!$M$6,E436-1,0)))),"Dienst")),HYPERLINK("#"&amp;RIGHT(CELL("adresse",OFFSET(DMAV_Modell!$N$6,B436-1,0)),LEN(CELL("adresse",OFFSET(DMAV_Modell!$N$6,B436-1,0)))-FIND("]",CELL("adresse",OFFSET(DMAV_Modell!$N$6,B436-1,0)))),"Modell"))</f>
        <v>Modell</v>
      </c>
      <c r="K436" s="61" t="str" cm="1">
        <f t="array" ref="K436">IF($B436=0,IF($E436=0,"",IF(INDEX(DMAV_Dienste!P$6:P$140,$E436)="","",INDEX(DMAV_Dienste!P$6:P$140,$E436))),IF(INDEX(DMAV_Modell!Q$6:Q$838,$B436)="","",INDEX(DMAV_Modell!Q$6:Q$838,$B436)))</f>
        <v>IMPORTS</v>
      </c>
      <c r="L436" s="62" t="str" cm="1">
        <f t="array" ref="L436">IF($B436=0,IF($E436=0,"",IF(INDEX(DMAV_Dienste!O$6:O$140,$E436)="","",INDEX(DMAV_Dienste!O$6:O$140,$E436))),IF(INDEX(DMAV_Modell!P$6:P$838,$B436)="","",INDEX(DMAV_Modell!P$6:P$838,$B436)))</f>
        <v/>
      </c>
      <c r="M436" s="62" t="str" cm="1">
        <f t="array" ref="M436">IF($B436=0,IF($E436=0,"",IF(INDEX(DMAV_Dienste!Q$6:Q$140,$E436)="","",INDEX(DMAV_Dienste!Q$6:Q$140,$E436))),IF(INDEX(DMAV_Modell!R$6:R$838,$B436)="","",INDEX(DMAV_Modell!R$6:R$838,$B436)))</f>
        <v>Units</v>
      </c>
      <c r="N436" s="62" t="str" cm="1">
        <f t="array" ref="N436">IF($B436=0,IF($E436=0,"",IF(INDEX(DMAV_Dienste!T$6:T$140,$E436)="","",INDEX(DMAV_Dienste!T$6:T$140,$E436))),IF(INDEX(DMAV_Modell!U$6:U$838,$B436)="","",INDEX(DMAV_Modell!U$6:U$838,$B436)))</f>
        <v/>
      </c>
      <c r="O436" s="63" t="str" cm="1">
        <f t="array" aca="1" ref="O436" ca="1">IF(C436=0,IF(F436=0,"",HYPERLINK("#"&amp;RIGHT(CELL("adresse",OFFSET(DMAV_Dienste!$M$6,F436-1,0)),LEN(CELL("adresse",OFFSET(DMAV_Dienste!$M$6,F436-1,0)))-FIND("]",CELL("adresse",OFFSET(DMAV_Dienste!$M$6,F436-1,0)))),"Structure")),HYPERLINK("#"&amp;RIGHT(CELL("adresse",OFFSET(DMAV_Modell!$N$6,C436-1,0)),LEN(CELL("adresse",OFFSET(DMAV_Modell!$N$6,C436-1,0)))-FIND("]",CELL("adresse",OFFSET(DMAV_Modell!$N$6,C436-1,0)))),"Structure"))</f>
        <v/>
      </c>
      <c r="P436" s="64" t="str" cm="1">
        <f t="array" aca="1" ref="P436" ca="1">IF(D436=0,IF(G436=0,"",HYPERLINK("#"&amp;RIGHT(CELL("adresse",OFFSET(DMAV_Dienste!$M$6,G436-1,0)),LEN(CELL("adresse",OFFSET(DMAV_Dienste!$M$6,G436-1,0)))-FIND("]",CELL("adresse",OFFSET(DMAV_Dienste!$M$6,G436-1,0)))),"Substructure")),HYPERLINK("#"&amp;RIGHT(CELL("adresse",OFFSET(DMAV_Modell!$N$6,D436-1,0)),LEN(CELL("adresse",OFFSET(DMAV_Modell!$N$6,D436-1,0)))-FIND("]",CELL("adresse",OFFSET(DMAV_Modell!$N$6,D436-1,0)))),"Substructure"))</f>
        <v/>
      </c>
      <c r="R436" s="80"/>
      <c r="T436" s="93"/>
      <c r="U436" s="94"/>
      <c r="V436" s="95"/>
      <c r="W436" s="96"/>
      <c r="Y436" s="85"/>
      <c r="Z436" s="86"/>
      <c r="AA436" s="87"/>
      <c r="AB436" s="88"/>
      <c r="AD436" s="77"/>
      <c r="AF436" s="54" t="str" cm="1">
        <f t="array" aca="1" ref="AF436" ca="1">IF(H436=0,"",HYPERLINK("#"&amp;RIGHT(CELL("adresse",OFFSET('DM01-AV-CH'!$G$6,H436-1,0)),LEN(CELL("adresse",OFFSET('DM01-AV-CH'!$G$6,H436-1,0)))-FIND("]",CELL("adresse",OFFSET('DM01-AV-CH'!$G$6,H436-1,0)))),"Modell"))</f>
        <v/>
      </c>
      <c r="AG436" s="72" t="str" cm="1">
        <f t="array" ref="AG436">IF($H436=0,"",IF(INDEX('DM01-AV-CH'!G$6:G$834,$H436)="","",INDEX('DM01-AV-CH'!G$6:G$834,$H436)))</f>
        <v/>
      </c>
      <c r="AH436" s="73" t="str" cm="1">
        <f t="array" ref="AH436">IF($H436=0,"",IF(INDEX('DM01-AV-CH'!H$6:H$834,$H436)="","",INDEX('DM01-AV-CH'!H$6:H$834,$H436)))</f>
        <v/>
      </c>
      <c r="AI436" s="74" t="str" cm="1">
        <f t="array" ref="AI436">IF($H436=0,"",IF(INDEX('DM01-AV-CH'!I$6:I$834,$H436)="","",INDEX('DM01-AV-CH'!I$6:I$834,$H436)))</f>
        <v/>
      </c>
    </row>
    <row r="437" spans="1:35" x14ac:dyDescent="0.25">
      <c r="A437" s="57">
        <v>432</v>
      </c>
      <c r="B437" s="57">
        <f>IF($A437="","",IF(_xlfn.XLOOKUP($A437,Korrelation!$D$4:$D$1197,Korrelation!E$4:E$1197,"-",0)="-",0,MATCH(_xlfn.XLOOKUP($A437,Korrelation!$D$4:$D$1197,Korrelation!E$4:E$1197,"",0),DMAV_Modell!$G$6:$G$677,0)))</f>
        <v>196</v>
      </c>
      <c r="C437" s="57">
        <f>IF($A437="","",IF(_xlfn.XLOOKUP($A437,Korrelation!$D$4:$D$1197,Korrelation!F$4:F$1197,"-",0)="-",0,MATCH(_xlfn.XLOOKUP($A437,Korrelation!$D$4:$D$1197,Korrelation!F$4:F$1197,"",0),DMAV_Modell!$G$6:$G$677,0)))</f>
        <v>0</v>
      </c>
      <c r="D437" s="57">
        <f>IF($A437="","",IF(_xlfn.XLOOKUP($A437,Korrelation!$D$4:$D$1197,Korrelation!G$4:G$1197,"-",0)="-",0,MATCH(_xlfn.XLOOKUP($A437,Korrelation!$D$4:$D$1197,Korrelation!G$4:G$1197,"",0),DMAV_Modell!$G$6:$G$677,0)))</f>
        <v>0</v>
      </c>
      <c r="E437" s="57">
        <f>IF($A437="","",IF(_xlfn.XLOOKUP($A437,Korrelation!$D$4:$D$1197,Korrelation!H$4:H$1197,"-",0)="-",0,MATCH(_xlfn.XLOOKUP($A437,Korrelation!$D$4:$D$1197,Korrelation!H$4:H$1197,"",0),DMAV_Dienste!$F$6:$F$140,0)))</f>
        <v>0</v>
      </c>
      <c r="F437" s="57">
        <f>IF($A437="","",IF(_xlfn.XLOOKUP($A437,Korrelation!$D$4:$D$1197,Korrelation!I$4:I$1197,"-",0)="-",0,MATCH(_xlfn.XLOOKUP($A437,Korrelation!$D$4:$D$1197,Korrelation!I$4:I$1197,"",0),DMAV_Dienste!$F$6:$F$140,0)))</f>
        <v>0</v>
      </c>
      <c r="G437" s="57">
        <f>IF($A437="","",IF(_xlfn.XLOOKUP($A437,Korrelation!$D$4:$D$1197,Korrelation!J$4:J$1197,"-",0)="-",0,MATCH(_xlfn.XLOOKUP($A437,Korrelation!$D$4:$D$1197,Korrelation!J$4:J$1197,"",0),DMAV_Dienste!$F$6:$F$140,0)))</f>
        <v>0</v>
      </c>
      <c r="H437" s="57">
        <f>IF($A437="","",IF(_xlfn.XLOOKUP($A437,Korrelation!$D$4:$D$1197,Korrelation!K$4:K$1197,"-",0)="-",0,MATCH(_xlfn.XLOOKUP($A437,Korrelation!$D$4:$D$1197,Korrelation!K$4:K$1197,"",0),'DM01-AV-CH'!$A$6:$A$834,0)))</f>
        <v>0</v>
      </c>
      <c r="J437" s="54" t="str" cm="1">
        <f t="array" aca="1" ref="J437" ca="1">IF(B437=0,IF(E437=0,"",HYPERLINK("#"&amp;RIGHT(CELL("adresse",OFFSET(DMAV_Dienste!$M$6,E437-1,0)),LEN(CELL("adresse",OFFSET(DMAV_Dienste!$M$6,E437-1,0)))-FIND("]",CELL("adresse",OFFSET(DMAV_Dienste!$M$6,E437-1,0)))),"Dienst")),HYPERLINK("#"&amp;RIGHT(CELL("adresse",OFFSET(DMAV_Modell!$N$6,B437-1,0)),LEN(CELL("adresse",OFFSET(DMAV_Modell!$N$6,B437-1,0)))-FIND("]",CELL("adresse",OFFSET(DMAV_Modell!$N$6,B437-1,0)))),"Modell"))</f>
        <v>Modell</v>
      </c>
      <c r="K437" s="61" t="str" cm="1">
        <f t="array" ref="K437">IF($B437=0,IF($E437=0,"",IF(INDEX(DMAV_Dienste!P$6:P$140,$E437)="","",INDEX(DMAV_Dienste!P$6:P$140,$E437))),IF(INDEX(DMAV_Modell!Q$6:Q$838,$B437)="","",INDEX(DMAV_Modell!Q$6:Q$838,$B437)))</f>
        <v>IMPORTS</v>
      </c>
      <c r="L437" s="62" t="str" cm="1">
        <f t="array" ref="L437">IF($B437=0,IF($E437=0,"",IF(INDEX(DMAV_Dienste!O$6:O$140,$E437)="","",INDEX(DMAV_Dienste!O$6:O$140,$E437))),IF(INDEX(DMAV_Modell!P$6:P$838,$B437)="","",INDEX(DMAV_Modell!P$6:P$838,$B437)))</f>
        <v/>
      </c>
      <c r="M437" s="62" t="str" cm="1">
        <f t="array" ref="M437">IF($B437=0,IF($E437=0,"",IF(INDEX(DMAV_Dienste!Q$6:Q$140,$E437)="","",INDEX(DMAV_Dienste!Q$6:Q$140,$E437))),IF(INDEX(DMAV_Modell!R$6:R$838,$B437)="","",INDEX(DMAV_Modell!R$6:R$838,$B437)))</f>
        <v>GeometryCHLV95_V2</v>
      </c>
      <c r="N437" s="62" t="str" cm="1">
        <f t="array" ref="N437">IF($B437=0,IF($E437=0,"",IF(INDEX(DMAV_Dienste!T$6:T$140,$E437)="","",INDEX(DMAV_Dienste!T$6:T$140,$E437))),IF(INDEX(DMAV_Modell!U$6:U$838,$B437)="","",INDEX(DMAV_Modell!U$6:U$838,$B437)))</f>
        <v/>
      </c>
      <c r="O437" s="63" t="str" cm="1">
        <f t="array" aca="1" ref="O437" ca="1">IF(C437=0,IF(F437=0,"",HYPERLINK("#"&amp;RIGHT(CELL("adresse",OFFSET(DMAV_Dienste!$M$6,F437-1,0)),LEN(CELL("adresse",OFFSET(DMAV_Dienste!$M$6,F437-1,0)))-FIND("]",CELL("adresse",OFFSET(DMAV_Dienste!$M$6,F437-1,0)))),"Structure")),HYPERLINK("#"&amp;RIGHT(CELL("adresse",OFFSET(DMAV_Modell!$N$6,C437-1,0)),LEN(CELL("adresse",OFFSET(DMAV_Modell!$N$6,C437-1,0)))-FIND("]",CELL("adresse",OFFSET(DMAV_Modell!$N$6,C437-1,0)))),"Structure"))</f>
        <v/>
      </c>
      <c r="P437" s="64" t="str" cm="1">
        <f t="array" aca="1" ref="P437" ca="1">IF(D437=0,IF(G437=0,"",HYPERLINK("#"&amp;RIGHT(CELL("adresse",OFFSET(DMAV_Dienste!$M$6,G437-1,0)),LEN(CELL("adresse",OFFSET(DMAV_Dienste!$M$6,G437-1,0)))-FIND("]",CELL("adresse",OFFSET(DMAV_Dienste!$M$6,G437-1,0)))),"Substructure")),HYPERLINK("#"&amp;RIGHT(CELL("adresse",OFFSET(DMAV_Modell!$N$6,D437-1,0)),LEN(CELL("adresse",OFFSET(DMAV_Modell!$N$6,D437-1,0)))-FIND("]",CELL("adresse",OFFSET(DMAV_Modell!$N$6,D437-1,0)))),"Substructure"))</f>
        <v/>
      </c>
      <c r="R437" s="80"/>
      <c r="T437" s="93"/>
      <c r="U437" s="94"/>
      <c r="V437" s="95"/>
      <c r="W437" s="96"/>
      <c r="Y437" s="85"/>
      <c r="Z437" s="86"/>
      <c r="AA437" s="87"/>
      <c r="AB437" s="88"/>
      <c r="AD437" s="77"/>
      <c r="AF437" s="54" t="str" cm="1">
        <f t="array" aca="1" ref="AF437" ca="1">IF(H437=0,"",HYPERLINK("#"&amp;RIGHT(CELL("adresse",OFFSET('DM01-AV-CH'!$G$6,H437-1,0)),LEN(CELL("adresse",OFFSET('DM01-AV-CH'!$G$6,H437-1,0)))-FIND("]",CELL("adresse",OFFSET('DM01-AV-CH'!$G$6,H437-1,0)))),"Modell"))</f>
        <v/>
      </c>
      <c r="AG437" s="72" t="str" cm="1">
        <f t="array" ref="AG437">IF($H437=0,"",IF(INDEX('DM01-AV-CH'!G$6:G$834,$H437)="","",INDEX('DM01-AV-CH'!G$6:G$834,$H437)))</f>
        <v/>
      </c>
      <c r="AH437" s="73" t="str" cm="1">
        <f t="array" ref="AH437">IF($H437=0,"",IF(INDEX('DM01-AV-CH'!H$6:H$834,$H437)="","",INDEX('DM01-AV-CH'!H$6:H$834,$H437)))</f>
        <v/>
      </c>
      <c r="AI437" s="74" t="str" cm="1">
        <f t="array" ref="AI437">IF($H437=0,"",IF(INDEX('DM01-AV-CH'!I$6:I$834,$H437)="","",INDEX('DM01-AV-CH'!I$6:I$834,$H437)))</f>
        <v/>
      </c>
    </row>
    <row r="438" spans="1:35" x14ac:dyDescent="0.25">
      <c r="A438" s="57">
        <v>433</v>
      </c>
      <c r="B438" s="57">
        <f>IF($A438="","",IF(_xlfn.XLOOKUP($A438,Korrelation!$D$4:$D$1197,Korrelation!E$4:E$1197,"-",0)="-",0,MATCH(_xlfn.XLOOKUP($A438,Korrelation!$D$4:$D$1197,Korrelation!E$4:E$1197,"",0),DMAV_Modell!$G$6:$G$677,0)))</f>
        <v>197</v>
      </c>
      <c r="C438" s="57">
        <f>IF($A438="","",IF(_xlfn.XLOOKUP($A438,Korrelation!$D$4:$D$1197,Korrelation!F$4:F$1197,"-",0)="-",0,MATCH(_xlfn.XLOOKUP($A438,Korrelation!$D$4:$D$1197,Korrelation!F$4:F$1197,"",0),DMAV_Modell!$G$6:$G$677,0)))</f>
        <v>0</v>
      </c>
      <c r="D438" s="57">
        <f>IF($A438="","",IF(_xlfn.XLOOKUP($A438,Korrelation!$D$4:$D$1197,Korrelation!G$4:G$1197,"-",0)="-",0,MATCH(_xlfn.XLOOKUP($A438,Korrelation!$D$4:$D$1197,Korrelation!G$4:G$1197,"",0),DMAV_Modell!$G$6:$G$677,0)))</f>
        <v>0</v>
      </c>
      <c r="E438" s="57">
        <f>IF($A438="","",IF(_xlfn.XLOOKUP($A438,Korrelation!$D$4:$D$1197,Korrelation!H$4:H$1197,"-",0)="-",0,MATCH(_xlfn.XLOOKUP($A438,Korrelation!$D$4:$D$1197,Korrelation!H$4:H$1197,"",0),DMAV_Dienste!$F$6:$F$140,0)))</f>
        <v>0</v>
      </c>
      <c r="F438" s="57">
        <f>IF($A438="","",IF(_xlfn.XLOOKUP($A438,Korrelation!$D$4:$D$1197,Korrelation!I$4:I$1197,"-",0)="-",0,MATCH(_xlfn.XLOOKUP($A438,Korrelation!$D$4:$D$1197,Korrelation!I$4:I$1197,"",0),DMAV_Dienste!$F$6:$F$140,0)))</f>
        <v>0</v>
      </c>
      <c r="G438" s="57">
        <f>IF($A438="","",IF(_xlfn.XLOOKUP($A438,Korrelation!$D$4:$D$1197,Korrelation!J$4:J$1197,"-",0)="-",0,MATCH(_xlfn.XLOOKUP($A438,Korrelation!$D$4:$D$1197,Korrelation!J$4:J$1197,"",0),DMAV_Dienste!$F$6:$F$140,0)))</f>
        <v>0</v>
      </c>
      <c r="H438" s="57">
        <f>IF($A438="","",IF(_xlfn.XLOOKUP($A438,Korrelation!$D$4:$D$1197,Korrelation!K$4:K$1197,"-",0)="-",0,MATCH(_xlfn.XLOOKUP($A438,Korrelation!$D$4:$D$1197,Korrelation!K$4:K$1197,"",0),'DM01-AV-CH'!$A$6:$A$834,0)))</f>
        <v>0</v>
      </c>
      <c r="J438" s="54" t="str" cm="1">
        <f t="array" aca="1" ref="J438" ca="1">IF(B438=0,IF(E438=0,"",HYPERLINK("#"&amp;RIGHT(CELL("adresse",OFFSET(DMAV_Dienste!$M$6,E438-1,0)),LEN(CELL("adresse",OFFSET(DMAV_Dienste!$M$6,E438-1,0)))-FIND("]",CELL("adresse",OFFSET(DMAV_Dienste!$M$6,E438-1,0)))),"Dienst")),HYPERLINK("#"&amp;RIGHT(CELL("adresse",OFFSET(DMAV_Modell!$N$6,B438-1,0)),LEN(CELL("adresse",OFFSET(DMAV_Modell!$N$6,B438-1,0)))-FIND("]",CELL("adresse",OFFSET(DMAV_Modell!$N$6,B438-1,0)))),"Modell"))</f>
        <v>Modell</v>
      </c>
      <c r="K438" s="61" t="str" cm="1">
        <f t="array" ref="K438">IF($B438=0,IF($E438=0,"",IF(INDEX(DMAV_Dienste!P$6:P$140,$E438)="","",INDEX(DMAV_Dienste!P$6:P$140,$E438))),IF(INDEX(DMAV_Modell!Q$6:Q$838,$B438)="","",INDEX(DMAV_Modell!Q$6:Q$838,$B438)))</f>
        <v>IMPORTS</v>
      </c>
      <c r="L438" s="62" t="str" cm="1">
        <f t="array" ref="L438">IF($B438=0,IF($E438=0,"",IF(INDEX(DMAV_Dienste!O$6:O$140,$E438)="","",INDEX(DMAV_Dienste!O$6:O$140,$E438))),IF(INDEX(DMAV_Modell!P$6:P$838,$B438)="","",INDEX(DMAV_Modell!P$6:P$838,$B438)))</f>
        <v/>
      </c>
      <c r="M438" s="62" t="str" cm="1">
        <f t="array" ref="M438">IF($B438=0,IF($E438=0,"",IF(INDEX(DMAV_Dienste!Q$6:Q$140,$E438)="","",INDEX(DMAV_Dienste!Q$6:Q$140,$E438))),IF(INDEX(DMAV_Modell!R$6:R$838,$B438)="","",INDEX(DMAV_Modell!R$6:R$838,$B438)))</f>
        <v>DMAVTYM_Geometrie_V1_0</v>
      </c>
      <c r="N438" s="62" t="str" cm="1">
        <f t="array" ref="N438">IF($B438=0,IF($E438=0,"",IF(INDEX(DMAV_Dienste!T$6:T$140,$E438)="","",INDEX(DMAV_Dienste!T$6:T$140,$E438))),IF(INDEX(DMAV_Modell!U$6:U$838,$B438)="","",INDEX(DMAV_Modell!U$6:U$838,$B438)))</f>
        <v/>
      </c>
      <c r="O438" s="63" t="str" cm="1">
        <f t="array" aca="1" ref="O438" ca="1">IF(C438=0,IF(F438=0,"",HYPERLINK("#"&amp;RIGHT(CELL("adresse",OFFSET(DMAV_Dienste!$M$6,F438-1,0)),LEN(CELL("adresse",OFFSET(DMAV_Dienste!$M$6,F438-1,0)))-FIND("]",CELL("adresse",OFFSET(DMAV_Dienste!$M$6,F438-1,0)))),"Structure")),HYPERLINK("#"&amp;RIGHT(CELL("adresse",OFFSET(DMAV_Modell!$N$6,C438-1,0)),LEN(CELL("adresse",OFFSET(DMAV_Modell!$N$6,C438-1,0)))-FIND("]",CELL("adresse",OFFSET(DMAV_Modell!$N$6,C438-1,0)))),"Structure"))</f>
        <v/>
      </c>
      <c r="P438" s="64" t="str" cm="1">
        <f t="array" aca="1" ref="P438" ca="1">IF(D438=0,IF(G438=0,"",HYPERLINK("#"&amp;RIGHT(CELL("adresse",OFFSET(DMAV_Dienste!$M$6,G438-1,0)),LEN(CELL("adresse",OFFSET(DMAV_Dienste!$M$6,G438-1,0)))-FIND("]",CELL("adresse",OFFSET(DMAV_Dienste!$M$6,G438-1,0)))),"Substructure")),HYPERLINK("#"&amp;RIGHT(CELL("adresse",OFFSET(DMAV_Modell!$N$6,D438-1,0)),LEN(CELL("adresse",OFFSET(DMAV_Modell!$N$6,D438-1,0)))-FIND("]",CELL("adresse",OFFSET(DMAV_Modell!$N$6,D438-1,0)))),"Substructure"))</f>
        <v/>
      </c>
      <c r="R438" s="80"/>
      <c r="T438" s="93"/>
      <c r="U438" s="94"/>
      <c r="V438" s="95"/>
      <c r="W438" s="96"/>
      <c r="Y438" s="85"/>
      <c r="Z438" s="86"/>
      <c r="AA438" s="87"/>
      <c r="AB438" s="88"/>
      <c r="AD438" s="77"/>
      <c r="AF438" s="54" t="str" cm="1">
        <f t="array" aca="1" ref="AF438" ca="1">IF(H438=0,"",HYPERLINK("#"&amp;RIGHT(CELL("adresse",OFFSET('DM01-AV-CH'!$G$6,H438-1,0)),LEN(CELL("adresse",OFFSET('DM01-AV-CH'!$G$6,H438-1,0)))-FIND("]",CELL("adresse",OFFSET('DM01-AV-CH'!$G$6,H438-1,0)))),"Modell"))</f>
        <v/>
      </c>
      <c r="AG438" s="72" t="str" cm="1">
        <f t="array" ref="AG438">IF($H438=0,"",IF(INDEX('DM01-AV-CH'!G$6:G$834,$H438)="","",INDEX('DM01-AV-CH'!G$6:G$834,$H438)))</f>
        <v/>
      </c>
      <c r="AH438" s="73" t="str" cm="1">
        <f t="array" ref="AH438">IF($H438=0,"",IF(INDEX('DM01-AV-CH'!H$6:H$834,$H438)="","",INDEX('DM01-AV-CH'!H$6:H$834,$H438)))</f>
        <v/>
      </c>
      <c r="AI438" s="74" t="str" cm="1">
        <f t="array" ref="AI438">IF($H438=0,"",IF(INDEX('DM01-AV-CH'!I$6:I$834,$H438)="","",INDEX('DM01-AV-CH'!I$6:I$834,$H438)))</f>
        <v/>
      </c>
    </row>
    <row r="439" spans="1:35" x14ac:dyDescent="0.25">
      <c r="A439" s="57">
        <v>434</v>
      </c>
      <c r="B439" s="57">
        <f>IF($A439="","",IF(_xlfn.XLOOKUP($A439,Korrelation!$D$4:$D$1197,Korrelation!E$4:E$1197,"-",0)="-",0,MATCH(_xlfn.XLOOKUP($A439,Korrelation!$D$4:$D$1197,Korrelation!E$4:E$1197,"",0),DMAV_Modell!$G$6:$G$677,0)))</f>
        <v>198</v>
      </c>
      <c r="C439" s="57">
        <f>IF($A439="","",IF(_xlfn.XLOOKUP($A439,Korrelation!$D$4:$D$1197,Korrelation!F$4:F$1197,"-",0)="-",0,MATCH(_xlfn.XLOOKUP($A439,Korrelation!$D$4:$D$1197,Korrelation!F$4:F$1197,"",0),DMAV_Modell!$G$6:$G$677,0)))</f>
        <v>0</v>
      </c>
      <c r="D439" s="57">
        <f>IF($A439="","",IF(_xlfn.XLOOKUP($A439,Korrelation!$D$4:$D$1197,Korrelation!G$4:G$1197,"-",0)="-",0,MATCH(_xlfn.XLOOKUP($A439,Korrelation!$D$4:$D$1197,Korrelation!G$4:G$1197,"",0),DMAV_Modell!$G$6:$G$677,0)))</f>
        <v>0</v>
      </c>
      <c r="E439" s="57">
        <f>IF($A439="","",IF(_xlfn.XLOOKUP($A439,Korrelation!$D$4:$D$1197,Korrelation!H$4:H$1197,"-",0)="-",0,MATCH(_xlfn.XLOOKUP($A439,Korrelation!$D$4:$D$1197,Korrelation!H$4:H$1197,"",0),DMAV_Dienste!$F$6:$F$140,0)))</f>
        <v>0</v>
      </c>
      <c r="F439" s="57">
        <f>IF($A439="","",IF(_xlfn.XLOOKUP($A439,Korrelation!$D$4:$D$1197,Korrelation!I$4:I$1197,"-",0)="-",0,MATCH(_xlfn.XLOOKUP($A439,Korrelation!$D$4:$D$1197,Korrelation!I$4:I$1197,"",0),DMAV_Dienste!$F$6:$F$140,0)))</f>
        <v>0</v>
      </c>
      <c r="G439" s="57">
        <f>IF($A439="","",IF(_xlfn.XLOOKUP($A439,Korrelation!$D$4:$D$1197,Korrelation!J$4:J$1197,"-",0)="-",0,MATCH(_xlfn.XLOOKUP($A439,Korrelation!$D$4:$D$1197,Korrelation!J$4:J$1197,"",0),DMAV_Dienste!$F$6:$F$140,0)))</f>
        <v>0</v>
      </c>
      <c r="H439" s="57">
        <f>IF($A439="","",IF(_xlfn.XLOOKUP($A439,Korrelation!$D$4:$D$1197,Korrelation!K$4:K$1197,"-",0)="-",0,MATCH(_xlfn.XLOOKUP($A439,Korrelation!$D$4:$D$1197,Korrelation!K$4:K$1197,"",0),'DM01-AV-CH'!$A$6:$A$834,0)))</f>
        <v>0</v>
      </c>
      <c r="J439" s="54" t="str" cm="1">
        <f t="array" aca="1" ref="J439" ca="1">IF(B439=0,IF(E439=0,"",HYPERLINK("#"&amp;RIGHT(CELL("adresse",OFFSET(DMAV_Dienste!$M$6,E439-1,0)),LEN(CELL("adresse",OFFSET(DMAV_Dienste!$M$6,E439-1,0)))-FIND("]",CELL("adresse",OFFSET(DMAV_Dienste!$M$6,E439-1,0)))),"Dienst")),HYPERLINK("#"&amp;RIGHT(CELL("adresse",OFFSET(DMAV_Modell!$N$6,B439-1,0)),LEN(CELL("adresse",OFFSET(DMAV_Modell!$N$6,B439-1,0)))-FIND("]",CELL("adresse",OFFSET(DMAV_Modell!$N$6,B439-1,0)))),"Modell"))</f>
        <v>Modell</v>
      </c>
      <c r="K439" s="61" t="str" cm="1">
        <f t="array" ref="K439">IF($B439=0,IF($E439=0,"",IF(INDEX(DMAV_Dienste!P$6:P$140,$E439)="","",INDEX(DMAV_Dienste!P$6:P$140,$E439))),IF(INDEX(DMAV_Modell!Q$6:Q$838,$B439)="","",INDEX(DMAV_Modell!Q$6:Q$838,$B439)))</f>
        <v>IMPORTS</v>
      </c>
      <c r="L439" s="62" t="str" cm="1">
        <f t="array" ref="L439">IF($B439=0,IF($E439=0,"",IF(INDEX(DMAV_Dienste!O$6:O$140,$E439)="","",INDEX(DMAV_Dienste!O$6:O$140,$E439))),IF(INDEX(DMAV_Modell!P$6:P$838,$B439)="","",INDEX(DMAV_Modell!P$6:P$838,$B439)))</f>
        <v/>
      </c>
      <c r="M439" s="62" t="str" cm="1">
        <f t="array" ref="M439">IF($B439=0,IF($E439=0,"",IF(INDEX(DMAV_Dienste!Q$6:Q$140,$E439)="","",INDEX(DMAV_Dienste!Q$6:Q$140,$E439))),IF(INDEX(DMAV_Modell!R$6:R$838,$B439)="","",INDEX(DMAV_Modell!R$6:R$838,$B439)))</f>
        <v>DMAVTYM_Topologie_V1_0</v>
      </c>
      <c r="N439" s="62" t="str" cm="1">
        <f t="array" ref="N439">IF($B439=0,IF($E439=0,"",IF(INDEX(DMAV_Dienste!T$6:T$140,$E439)="","",INDEX(DMAV_Dienste!T$6:T$140,$E439))),IF(INDEX(DMAV_Modell!U$6:U$838,$B439)="","",INDEX(DMAV_Modell!U$6:U$838,$B439)))</f>
        <v/>
      </c>
      <c r="O439" s="63" t="str" cm="1">
        <f t="array" aca="1" ref="O439" ca="1">IF(C439=0,IF(F439=0,"",HYPERLINK("#"&amp;RIGHT(CELL("adresse",OFFSET(DMAV_Dienste!$M$6,F439-1,0)),LEN(CELL("adresse",OFFSET(DMAV_Dienste!$M$6,F439-1,0)))-FIND("]",CELL("adresse",OFFSET(DMAV_Dienste!$M$6,F439-1,0)))),"Structure")),HYPERLINK("#"&amp;RIGHT(CELL("adresse",OFFSET(DMAV_Modell!$N$6,C439-1,0)),LEN(CELL("adresse",OFFSET(DMAV_Modell!$N$6,C439-1,0)))-FIND("]",CELL("adresse",OFFSET(DMAV_Modell!$N$6,C439-1,0)))),"Structure"))</f>
        <v/>
      </c>
      <c r="P439" s="64" t="str" cm="1">
        <f t="array" aca="1" ref="P439" ca="1">IF(D439=0,IF(G439=0,"",HYPERLINK("#"&amp;RIGHT(CELL("adresse",OFFSET(DMAV_Dienste!$M$6,G439-1,0)),LEN(CELL("adresse",OFFSET(DMAV_Dienste!$M$6,G439-1,0)))-FIND("]",CELL("adresse",OFFSET(DMAV_Dienste!$M$6,G439-1,0)))),"Substructure")),HYPERLINK("#"&amp;RIGHT(CELL("adresse",OFFSET(DMAV_Modell!$N$6,D439-1,0)),LEN(CELL("adresse",OFFSET(DMAV_Modell!$N$6,D439-1,0)))-FIND("]",CELL("adresse",OFFSET(DMAV_Modell!$N$6,D439-1,0)))),"Substructure"))</f>
        <v/>
      </c>
      <c r="R439" s="80"/>
      <c r="T439" s="93"/>
      <c r="U439" s="94"/>
      <c r="V439" s="95"/>
      <c r="W439" s="96"/>
      <c r="Y439" s="85"/>
      <c r="Z439" s="86"/>
      <c r="AA439" s="87"/>
      <c r="AB439" s="88"/>
      <c r="AD439" s="77"/>
      <c r="AF439" s="54" t="str" cm="1">
        <f t="array" aca="1" ref="AF439" ca="1">IF(H439=0,"",HYPERLINK("#"&amp;RIGHT(CELL("adresse",OFFSET('DM01-AV-CH'!$G$6,H439-1,0)),LEN(CELL("adresse",OFFSET('DM01-AV-CH'!$G$6,H439-1,0)))-FIND("]",CELL("adresse",OFFSET('DM01-AV-CH'!$G$6,H439-1,0)))),"Modell"))</f>
        <v/>
      </c>
      <c r="AG439" s="72" t="str" cm="1">
        <f t="array" ref="AG439">IF($H439=0,"",IF(INDEX('DM01-AV-CH'!G$6:G$834,$H439)="","",INDEX('DM01-AV-CH'!G$6:G$834,$H439)))</f>
        <v/>
      </c>
      <c r="AH439" s="73" t="str" cm="1">
        <f t="array" ref="AH439">IF($H439=0,"",IF(INDEX('DM01-AV-CH'!H$6:H$834,$H439)="","",INDEX('DM01-AV-CH'!H$6:H$834,$H439)))</f>
        <v/>
      </c>
      <c r="AI439" s="74" t="str" cm="1">
        <f t="array" ref="AI439">IF($H439=0,"",IF(INDEX('DM01-AV-CH'!I$6:I$834,$H439)="","",INDEX('DM01-AV-CH'!I$6:I$834,$H439)))</f>
        <v/>
      </c>
    </row>
    <row r="440" spans="1:35" x14ac:dyDescent="0.25">
      <c r="A440" s="57">
        <v>435</v>
      </c>
      <c r="B440" s="57">
        <f>IF($A440="","",IF(_xlfn.XLOOKUP($A440,Korrelation!$D$4:$D$1197,Korrelation!E$4:E$1197,"-",0)="-",0,MATCH(_xlfn.XLOOKUP($A440,Korrelation!$D$4:$D$1197,Korrelation!E$4:E$1197,"",0),DMAV_Modell!$G$6:$G$677,0)))</f>
        <v>199</v>
      </c>
      <c r="C440" s="57">
        <f>IF($A440="","",IF(_xlfn.XLOOKUP($A440,Korrelation!$D$4:$D$1197,Korrelation!F$4:F$1197,"-",0)="-",0,MATCH(_xlfn.XLOOKUP($A440,Korrelation!$D$4:$D$1197,Korrelation!F$4:F$1197,"",0),DMAV_Modell!$G$6:$G$677,0)))</f>
        <v>0</v>
      </c>
      <c r="D440" s="57">
        <f>IF($A440="","",IF(_xlfn.XLOOKUP($A440,Korrelation!$D$4:$D$1197,Korrelation!G$4:G$1197,"-",0)="-",0,MATCH(_xlfn.XLOOKUP($A440,Korrelation!$D$4:$D$1197,Korrelation!G$4:G$1197,"",0),DMAV_Modell!$G$6:$G$677,0)))</f>
        <v>0</v>
      </c>
      <c r="E440" s="57">
        <f>IF($A440="","",IF(_xlfn.XLOOKUP($A440,Korrelation!$D$4:$D$1197,Korrelation!H$4:H$1197,"-",0)="-",0,MATCH(_xlfn.XLOOKUP($A440,Korrelation!$D$4:$D$1197,Korrelation!H$4:H$1197,"",0),DMAV_Dienste!$F$6:$F$140,0)))</f>
        <v>0</v>
      </c>
      <c r="F440" s="57">
        <f>IF($A440="","",IF(_xlfn.XLOOKUP($A440,Korrelation!$D$4:$D$1197,Korrelation!I$4:I$1197,"-",0)="-",0,MATCH(_xlfn.XLOOKUP($A440,Korrelation!$D$4:$D$1197,Korrelation!I$4:I$1197,"",0),DMAV_Dienste!$F$6:$F$140,0)))</f>
        <v>0</v>
      </c>
      <c r="G440" s="57">
        <f>IF($A440="","",IF(_xlfn.XLOOKUP($A440,Korrelation!$D$4:$D$1197,Korrelation!J$4:J$1197,"-",0)="-",0,MATCH(_xlfn.XLOOKUP($A440,Korrelation!$D$4:$D$1197,Korrelation!J$4:J$1197,"",0),DMAV_Dienste!$F$6:$F$140,0)))</f>
        <v>0</v>
      </c>
      <c r="H440" s="57">
        <f>IF($A440="","",IF(_xlfn.XLOOKUP($A440,Korrelation!$D$4:$D$1197,Korrelation!K$4:K$1197,"-",0)="-",0,MATCH(_xlfn.XLOOKUP($A440,Korrelation!$D$4:$D$1197,Korrelation!K$4:K$1197,"",0),'DM01-AV-CH'!$A$6:$A$834,0)))</f>
        <v>0</v>
      </c>
      <c r="J440" s="54" t="str" cm="1">
        <f t="array" aca="1" ref="J440" ca="1">IF(B440=0,IF(E440=0,"",HYPERLINK("#"&amp;RIGHT(CELL("adresse",OFFSET(DMAV_Dienste!$M$6,E440-1,0)),LEN(CELL("adresse",OFFSET(DMAV_Dienste!$M$6,E440-1,0)))-FIND("]",CELL("adresse",OFFSET(DMAV_Dienste!$M$6,E440-1,0)))),"Dienst")),HYPERLINK("#"&amp;RIGHT(CELL("adresse",OFFSET(DMAV_Modell!$N$6,B440-1,0)),LEN(CELL("adresse",OFFSET(DMAV_Modell!$N$6,B440-1,0)))-FIND("]",CELL("adresse",OFFSET(DMAV_Modell!$N$6,B440-1,0)))),"Modell"))</f>
        <v>Modell</v>
      </c>
      <c r="K440" s="61" t="str" cm="1">
        <f t="array" ref="K440">IF($B440=0,IF($E440=0,"",IF(INDEX(DMAV_Dienste!P$6:P$140,$E440)="","",INDEX(DMAV_Dienste!P$6:P$140,$E440))),IF(INDEX(DMAV_Modell!Q$6:Q$838,$B440)="","",INDEX(DMAV_Modell!Q$6:Q$838,$B440)))</f>
        <v>IMPORTS</v>
      </c>
      <c r="L440" s="62" t="str" cm="1">
        <f t="array" ref="L440">IF($B440=0,IF($E440=0,"",IF(INDEX(DMAV_Dienste!O$6:O$140,$E440)="","",INDEX(DMAV_Dienste!O$6:O$140,$E440))),IF(INDEX(DMAV_Modell!P$6:P$838,$B440)="","",INDEX(DMAV_Modell!P$6:P$838,$B440)))</f>
        <v/>
      </c>
      <c r="M440" s="62" t="str" cm="1">
        <f t="array" ref="M440">IF($B440=0,IF($E440=0,"",IF(INDEX(DMAV_Dienste!Q$6:Q$140,$E440)="","",INDEX(DMAV_Dienste!Q$6:Q$140,$E440))),IF(INDEX(DMAV_Modell!R$6:R$838,$B440)="","",INDEX(DMAV_Modell!R$6:R$838,$B440)))</f>
        <v>DMAVTYM_Vermarkung_V1_0</v>
      </c>
      <c r="N440" s="62" t="str" cm="1">
        <f t="array" ref="N440">IF($B440=0,IF($E440=0,"",IF(INDEX(DMAV_Dienste!T$6:T$140,$E440)="","",INDEX(DMAV_Dienste!T$6:T$140,$E440))),IF(INDEX(DMAV_Modell!U$6:U$838,$B440)="","",INDEX(DMAV_Modell!U$6:U$838,$B440)))</f>
        <v/>
      </c>
      <c r="O440" s="63" t="str" cm="1">
        <f t="array" aca="1" ref="O440" ca="1">IF(C440=0,IF(F440=0,"",HYPERLINK("#"&amp;RIGHT(CELL("adresse",OFFSET(DMAV_Dienste!$M$6,F440-1,0)),LEN(CELL("adresse",OFFSET(DMAV_Dienste!$M$6,F440-1,0)))-FIND("]",CELL("adresse",OFFSET(DMAV_Dienste!$M$6,F440-1,0)))),"Structure")),HYPERLINK("#"&amp;RIGHT(CELL("adresse",OFFSET(DMAV_Modell!$N$6,C440-1,0)),LEN(CELL("adresse",OFFSET(DMAV_Modell!$N$6,C440-1,0)))-FIND("]",CELL("adresse",OFFSET(DMAV_Modell!$N$6,C440-1,0)))),"Structure"))</f>
        <v/>
      </c>
      <c r="P440" s="64" t="str" cm="1">
        <f t="array" aca="1" ref="P440" ca="1">IF(D440=0,IF(G440=0,"",HYPERLINK("#"&amp;RIGHT(CELL("adresse",OFFSET(DMAV_Dienste!$M$6,G440-1,0)),LEN(CELL("adresse",OFFSET(DMAV_Dienste!$M$6,G440-1,0)))-FIND("]",CELL("adresse",OFFSET(DMAV_Dienste!$M$6,G440-1,0)))),"Substructure")),HYPERLINK("#"&amp;RIGHT(CELL("adresse",OFFSET(DMAV_Modell!$N$6,D440-1,0)),LEN(CELL("adresse",OFFSET(DMAV_Modell!$N$6,D440-1,0)))-FIND("]",CELL("adresse",OFFSET(DMAV_Modell!$N$6,D440-1,0)))),"Substructure"))</f>
        <v/>
      </c>
      <c r="R440" s="80"/>
      <c r="T440" s="93"/>
      <c r="U440" s="94"/>
      <c r="V440" s="95"/>
      <c r="W440" s="96"/>
      <c r="Y440" s="85"/>
      <c r="Z440" s="86"/>
      <c r="AA440" s="87"/>
      <c r="AB440" s="88"/>
      <c r="AD440" s="77"/>
      <c r="AF440" s="54" t="str" cm="1">
        <f t="array" aca="1" ref="AF440" ca="1">IF(H440=0,"",HYPERLINK("#"&amp;RIGHT(CELL("adresse",OFFSET('DM01-AV-CH'!$G$6,H440-1,0)),LEN(CELL("adresse",OFFSET('DM01-AV-CH'!$G$6,H440-1,0)))-FIND("]",CELL("adresse",OFFSET('DM01-AV-CH'!$G$6,H440-1,0)))),"Modell"))</f>
        <v/>
      </c>
      <c r="AG440" s="72" t="str" cm="1">
        <f t="array" ref="AG440">IF($H440=0,"",IF(INDEX('DM01-AV-CH'!G$6:G$834,$H440)="","",INDEX('DM01-AV-CH'!G$6:G$834,$H440)))</f>
        <v/>
      </c>
      <c r="AH440" s="73" t="str" cm="1">
        <f t="array" ref="AH440">IF($H440=0,"",IF(INDEX('DM01-AV-CH'!H$6:H$834,$H440)="","",INDEX('DM01-AV-CH'!H$6:H$834,$H440)))</f>
        <v/>
      </c>
      <c r="AI440" s="74" t="str" cm="1">
        <f t="array" ref="AI440">IF($H440=0,"",IF(INDEX('DM01-AV-CH'!I$6:I$834,$H440)="","",INDEX('DM01-AV-CH'!I$6:I$834,$H440)))</f>
        <v/>
      </c>
    </row>
    <row r="441" spans="1:35" x14ac:dyDescent="0.25">
      <c r="A441" s="57">
        <v>436</v>
      </c>
      <c r="B441" s="57">
        <f>IF($A441="","",IF(_xlfn.XLOOKUP($A441,Korrelation!$D$4:$D$1197,Korrelation!E$4:E$1197,"-",0)="-",0,MATCH(_xlfn.XLOOKUP($A441,Korrelation!$D$4:$D$1197,Korrelation!E$4:E$1197,"",0),DMAV_Modell!$G$6:$G$677,0)))</f>
        <v>200</v>
      </c>
      <c r="C441" s="57">
        <f>IF($A441="","",IF(_xlfn.XLOOKUP($A441,Korrelation!$D$4:$D$1197,Korrelation!F$4:F$1197,"-",0)="-",0,MATCH(_xlfn.XLOOKUP($A441,Korrelation!$D$4:$D$1197,Korrelation!F$4:F$1197,"",0),DMAV_Modell!$G$6:$G$677,0)))</f>
        <v>0</v>
      </c>
      <c r="D441" s="57">
        <f>IF($A441="","",IF(_xlfn.XLOOKUP($A441,Korrelation!$D$4:$D$1197,Korrelation!G$4:G$1197,"-",0)="-",0,MATCH(_xlfn.XLOOKUP($A441,Korrelation!$D$4:$D$1197,Korrelation!G$4:G$1197,"",0),DMAV_Modell!$G$6:$G$677,0)))</f>
        <v>0</v>
      </c>
      <c r="E441" s="57">
        <f>IF($A441="","",IF(_xlfn.XLOOKUP($A441,Korrelation!$D$4:$D$1197,Korrelation!H$4:H$1197,"-",0)="-",0,MATCH(_xlfn.XLOOKUP($A441,Korrelation!$D$4:$D$1197,Korrelation!H$4:H$1197,"",0),DMAV_Dienste!$F$6:$F$140,0)))</f>
        <v>0</v>
      </c>
      <c r="F441" s="57">
        <f>IF($A441="","",IF(_xlfn.XLOOKUP($A441,Korrelation!$D$4:$D$1197,Korrelation!I$4:I$1197,"-",0)="-",0,MATCH(_xlfn.XLOOKUP($A441,Korrelation!$D$4:$D$1197,Korrelation!I$4:I$1197,"",0),DMAV_Dienste!$F$6:$F$140,0)))</f>
        <v>0</v>
      </c>
      <c r="G441" s="57">
        <f>IF($A441="","",IF(_xlfn.XLOOKUP($A441,Korrelation!$D$4:$D$1197,Korrelation!J$4:J$1197,"-",0)="-",0,MATCH(_xlfn.XLOOKUP($A441,Korrelation!$D$4:$D$1197,Korrelation!J$4:J$1197,"",0),DMAV_Dienste!$F$6:$F$140,0)))</f>
        <v>0</v>
      </c>
      <c r="H441" s="57">
        <f>IF($A441="","",IF(_xlfn.XLOOKUP($A441,Korrelation!$D$4:$D$1197,Korrelation!K$4:K$1197,"-",0)="-",0,MATCH(_xlfn.XLOOKUP($A441,Korrelation!$D$4:$D$1197,Korrelation!K$4:K$1197,"",0),'DM01-AV-CH'!$A$6:$A$834,0)))</f>
        <v>0</v>
      </c>
      <c r="J441" s="54" t="str" cm="1">
        <f t="array" aca="1" ref="J441" ca="1">IF(B441=0,IF(E441=0,"",HYPERLINK("#"&amp;RIGHT(CELL("adresse",OFFSET(DMAV_Dienste!$M$6,E441-1,0)),LEN(CELL("adresse",OFFSET(DMAV_Dienste!$M$6,E441-1,0)))-FIND("]",CELL("adresse",OFFSET(DMAV_Dienste!$M$6,E441-1,0)))),"Dienst")),HYPERLINK("#"&amp;RIGHT(CELL("adresse",OFFSET(DMAV_Modell!$N$6,B441-1,0)),LEN(CELL("adresse",OFFSET(DMAV_Modell!$N$6,B441-1,0)))-FIND("]",CELL("adresse",OFFSET(DMAV_Modell!$N$6,B441-1,0)))),"Modell"))</f>
        <v>Modell</v>
      </c>
      <c r="K441" s="61" t="str" cm="1">
        <f t="array" ref="K441">IF($B441=0,IF($E441=0,"",IF(INDEX(DMAV_Dienste!P$6:P$140,$E441)="","",INDEX(DMAV_Dienste!P$6:P$140,$E441))),IF(INDEX(DMAV_Modell!Q$6:Q$838,$B441)="","",INDEX(DMAV_Modell!Q$6:Q$838,$B441)))</f>
        <v>IMPORTS</v>
      </c>
      <c r="L441" s="62" t="str" cm="1">
        <f t="array" ref="L441">IF($B441=0,IF($E441=0,"",IF(INDEX(DMAV_Dienste!O$6:O$140,$E441)="","",INDEX(DMAV_Dienste!O$6:O$140,$E441))),IF(INDEX(DMAV_Modell!P$6:P$838,$B441)="","",INDEX(DMAV_Modell!P$6:P$838,$B441)))</f>
        <v/>
      </c>
      <c r="M441" s="62" t="str" cm="1">
        <f t="array" ref="M441">IF($B441=0,IF($E441=0,"",IF(INDEX(DMAV_Dienste!Q$6:Q$140,$E441)="","",INDEX(DMAV_Dienste!Q$6:Q$140,$E441))),IF(INDEX(DMAV_Modell!R$6:R$838,$B441)="","",INDEX(DMAV_Modell!R$6:R$838,$B441)))</f>
        <v>DMAVTYM_Qualitaet_V1_0</v>
      </c>
      <c r="N441" s="62" t="str" cm="1">
        <f t="array" ref="N441">IF($B441=0,IF($E441=0,"",IF(INDEX(DMAV_Dienste!T$6:T$140,$E441)="","",INDEX(DMAV_Dienste!T$6:T$140,$E441))),IF(INDEX(DMAV_Modell!U$6:U$838,$B441)="","",INDEX(DMAV_Modell!U$6:U$838,$B441)))</f>
        <v/>
      </c>
      <c r="O441" s="63" t="str" cm="1">
        <f t="array" aca="1" ref="O441" ca="1">IF(C441=0,IF(F441=0,"",HYPERLINK("#"&amp;RIGHT(CELL("adresse",OFFSET(DMAV_Dienste!$M$6,F441-1,0)),LEN(CELL("adresse",OFFSET(DMAV_Dienste!$M$6,F441-1,0)))-FIND("]",CELL("adresse",OFFSET(DMAV_Dienste!$M$6,F441-1,0)))),"Structure")),HYPERLINK("#"&amp;RIGHT(CELL("adresse",OFFSET(DMAV_Modell!$N$6,C441-1,0)),LEN(CELL("adresse",OFFSET(DMAV_Modell!$N$6,C441-1,0)))-FIND("]",CELL("adresse",OFFSET(DMAV_Modell!$N$6,C441-1,0)))),"Structure"))</f>
        <v/>
      </c>
      <c r="P441" s="64" t="str" cm="1">
        <f t="array" aca="1" ref="P441" ca="1">IF(D441=0,IF(G441=0,"",HYPERLINK("#"&amp;RIGHT(CELL("adresse",OFFSET(DMAV_Dienste!$M$6,G441-1,0)),LEN(CELL("adresse",OFFSET(DMAV_Dienste!$M$6,G441-1,0)))-FIND("]",CELL("adresse",OFFSET(DMAV_Dienste!$M$6,G441-1,0)))),"Substructure")),HYPERLINK("#"&amp;RIGHT(CELL("adresse",OFFSET(DMAV_Modell!$N$6,D441-1,0)),LEN(CELL("adresse",OFFSET(DMAV_Modell!$N$6,D441-1,0)))-FIND("]",CELL("adresse",OFFSET(DMAV_Modell!$N$6,D441-1,0)))),"Substructure"))</f>
        <v/>
      </c>
      <c r="R441" s="80"/>
      <c r="T441" s="93"/>
      <c r="U441" s="94"/>
      <c r="V441" s="95"/>
      <c r="W441" s="96"/>
      <c r="Y441" s="85"/>
      <c r="Z441" s="86"/>
      <c r="AA441" s="87"/>
      <c r="AB441" s="88"/>
      <c r="AD441" s="77"/>
      <c r="AF441" s="54" t="str" cm="1">
        <f t="array" aca="1" ref="AF441" ca="1">IF(H441=0,"",HYPERLINK("#"&amp;RIGHT(CELL("adresse",OFFSET('DM01-AV-CH'!$G$6,H441-1,0)),LEN(CELL("adresse",OFFSET('DM01-AV-CH'!$G$6,H441-1,0)))-FIND("]",CELL("adresse",OFFSET('DM01-AV-CH'!$G$6,H441-1,0)))),"Modell"))</f>
        <v/>
      </c>
      <c r="AG441" s="72" t="str" cm="1">
        <f t="array" ref="AG441">IF($H441=0,"",IF(INDEX('DM01-AV-CH'!G$6:G$834,$H441)="","",INDEX('DM01-AV-CH'!G$6:G$834,$H441)))</f>
        <v/>
      </c>
      <c r="AH441" s="73" t="str" cm="1">
        <f t="array" ref="AH441">IF($H441=0,"",IF(INDEX('DM01-AV-CH'!H$6:H$834,$H441)="","",INDEX('DM01-AV-CH'!H$6:H$834,$H441)))</f>
        <v/>
      </c>
      <c r="AI441" s="74" t="str" cm="1">
        <f t="array" ref="AI441">IF($H441=0,"",IF(INDEX('DM01-AV-CH'!I$6:I$834,$H441)="","",INDEX('DM01-AV-CH'!I$6:I$834,$H441)))</f>
        <v/>
      </c>
    </row>
    <row r="442" spans="1:35" x14ac:dyDescent="0.25">
      <c r="A442" s="57">
        <v>437</v>
      </c>
      <c r="B442" s="57">
        <f>IF($A442="","",IF(_xlfn.XLOOKUP($A442,Korrelation!$D$4:$D$1197,Korrelation!E$4:E$1197,"-",0)="-",0,MATCH(_xlfn.XLOOKUP($A442,Korrelation!$D$4:$D$1197,Korrelation!E$4:E$1197,"",0),DMAV_Modell!$G$6:$G$677,0)))</f>
        <v>201</v>
      </c>
      <c r="C442" s="57">
        <f>IF($A442="","",IF(_xlfn.XLOOKUP($A442,Korrelation!$D$4:$D$1197,Korrelation!F$4:F$1197,"-",0)="-",0,MATCH(_xlfn.XLOOKUP($A442,Korrelation!$D$4:$D$1197,Korrelation!F$4:F$1197,"",0),DMAV_Modell!$G$6:$G$677,0)))</f>
        <v>0</v>
      </c>
      <c r="D442" s="57">
        <f>IF($A442="","",IF(_xlfn.XLOOKUP($A442,Korrelation!$D$4:$D$1197,Korrelation!G$4:G$1197,"-",0)="-",0,MATCH(_xlfn.XLOOKUP($A442,Korrelation!$D$4:$D$1197,Korrelation!G$4:G$1197,"",0),DMAV_Modell!$G$6:$G$677,0)))</f>
        <v>0</v>
      </c>
      <c r="E442" s="57">
        <f>IF($A442="","",IF(_xlfn.XLOOKUP($A442,Korrelation!$D$4:$D$1197,Korrelation!H$4:H$1197,"-",0)="-",0,MATCH(_xlfn.XLOOKUP($A442,Korrelation!$D$4:$D$1197,Korrelation!H$4:H$1197,"",0),DMAV_Dienste!$F$6:$F$140,0)))</f>
        <v>0</v>
      </c>
      <c r="F442" s="57">
        <f>IF($A442="","",IF(_xlfn.XLOOKUP($A442,Korrelation!$D$4:$D$1197,Korrelation!I$4:I$1197,"-",0)="-",0,MATCH(_xlfn.XLOOKUP($A442,Korrelation!$D$4:$D$1197,Korrelation!I$4:I$1197,"",0),DMAV_Dienste!$F$6:$F$140,0)))</f>
        <v>0</v>
      </c>
      <c r="G442" s="57">
        <f>IF($A442="","",IF(_xlfn.XLOOKUP($A442,Korrelation!$D$4:$D$1197,Korrelation!J$4:J$1197,"-",0)="-",0,MATCH(_xlfn.XLOOKUP($A442,Korrelation!$D$4:$D$1197,Korrelation!J$4:J$1197,"",0),DMAV_Dienste!$F$6:$F$140,0)))</f>
        <v>0</v>
      </c>
      <c r="H442" s="57">
        <f>IF($A442="","",IF(_xlfn.XLOOKUP($A442,Korrelation!$D$4:$D$1197,Korrelation!K$4:K$1197,"-",0)="-",0,MATCH(_xlfn.XLOOKUP($A442,Korrelation!$D$4:$D$1197,Korrelation!K$4:K$1197,"",0),'DM01-AV-CH'!$A$6:$A$834,0)))</f>
        <v>0</v>
      </c>
      <c r="J442" s="54" t="str" cm="1">
        <f t="array" aca="1" ref="J442" ca="1">IF(B442=0,IF(E442=0,"",HYPERLINK("#"&amp;RIGHT(CELL("adresse",OFFSET(DMAV_Dienste!$M$6,E442-1,0)),LEN(CELL("adresse",OFFSET(DMAV_Dienste!$M$6,E442-1,0)))-FIND("]",CELL("adresse",OFFSET(DMAV_Dienste!$M$6,E442-1,0)))),"Dienst")),HYPERLINK("#"&amp;RIGHT(CELL("adresse",OFFSET(DMAV_Modell!$N$6,B442-1,0)),LEN(CELL("adresse",OFFSET(DMAV_Modell!$N$6,B442-1,0)))-FIND("]",CELL("adresse",OFFSET(DMAV_Modell!$N$6,B442-1,0)))),"Modell"))</f>
        <v>Modell</v>
      </c>
      <c r="K442" s="61" t="str" cm="1">
        <f t="array" ref="K442">IF($B442=0,IF($E442=0,"",IF(INDEX(DMAV_Dienste!P$6:P$140,$E442)="","",INDEX(DMAV_Dienste!P$6:P$140,$E442))),IF(INDEX(DMAV_Modell!Q$6:Q$838,$B442)="","",INDEX(DMAV_Modell!Q$6:Q$838,$B442)))</f>
        <v>IMPORTS</v>
      </c>
      <c r="L442" s="62" t="str" cm="1">
        <f t="array" ref="L442">IF($B442=0,IF($E442=0,"",IF(INDEX(DMAV_Dienste!O$6:O$140,$E442)="","",INDEX(DMAV_Dienste!O$6:O$140,$E442))),IF(INDEX(DMAV_Modell!P$6:P$838,$B442)="","",INDEX(DMAV_Modell!P$6:P$838,$B442)))</f>
        <v/>
      </c>
      <c r="M442" s="62" t="str" cm="1">
        <f t="array" ref="M442">IF($B442=0,IF($E442=0,"",IF(INDEX(DMAV_Dienste!Q$6:Q$140,$E442)="","",INDEX(DMAV_Dienste!Q$6:Q$140,$E442))),IF(INDEX(DMAV_Modell!R$6:R$838,$B442)="","",INDEX(DMAV_Modell!R$6:R$838,$B442)))</f>
        <v>DMAVTYM_Grafik_V1_0</v>
      </c>
      <c r="N442" s="62" t="str" cm="1">
        <f t="array" ref="N442">IF($B442=0,IF($E442=0,"",IF(INDEX(DMAV_Dienste!T$6:T$140,$E442)="","",INDEX(DMAV_Dienste!T$6:T$140,$E442))),IF(INDEX(DMAV_Modell!U$6:U$838,$B442)="","",INDEX(DMAV_Modell!U$6:U$838,$B442)))</f>
        <v/>
      </c>
      <c r="O442" s="63" t="str" cm="1">
        <f t="array" aca="1" ref="O442" ca="1">IF(C442=0,IF(F442=0,"",HYPERLINK("#"&amp;RIGHT(CELL("adresse",OFFSET(DMAV_Dienste!$M$6,F442-1,0)),LEN(CELL("adresse",OFFSET(DMAV_Dienste!$M$6,F442-1,0)))-FIND("]",CELL("adresse",OFFSET(DMAV_Dienste!$M$6,F442-1,0)))),"Structure")),HYPERLINK("#"&amp;RIGHT(CELL("adresse",OFFSET(DMAV_Modell!$N$6,C442-1,0)),LEN(CELL("adresse",OFFSET(DMAV_Modell!$N$6,C442-1,0)))-FIND("]",CELL("adresse",OFFSET(DMAV_Modell!$N$6,C442-1,0)))),"Structure"))</f>
        <v/>
      </c>
      <c r="P442" s="64" t="str" cm="1">
        <f t="array" aca="1" ref="P442" ca="1">IF(D442=0,IF(G442=0,"",HYPERLINK("#"&amp;RIGHT(CELL("adresse",OFFSET(DMAV_Dienste!$M$6,G442-1,0)),LEN(CELL("adresse",OFFSET(DMAV_Dienste!$M$6,G442-1,0)))-FIND("]",CELL("adresse",OFFSET(DMAV_Dienste!$M$6,G442-1,0)))),"Substructure")),HYPERLINK("#"&amp;RIGHT(CELL("adresse",OFFSET(DMAV_Modell!$N$6,D442-1,0)),LEN(CELL("adresse",OFFSET(DMAV_Modell!$N$6,D442-1,0)))-FIND("]",CELL("adresse",OFFSET(DMAV_Modell!$N$6,D442-1,0)))),"Substructure"))</f>
        <v/>
      </c>
      <c r="R442" s="80"/>
      <c r="T442" s="93"/>
      <c r="U442" s="94"/>
      <c r="V442" s="95"/>
      <c r="W442" s="96"/>
      <c r="Y442" s="85"/>
      <c r="Z442" s="86"/>
      <c r="AA442" s="87"/>
      <c r="AB442" s="88"/>
      <c r="AD442" s="77"/>
      <c r="AF442" s="54" t="str" cm="1">
        <f t="array" aca="1" ref="AF442" ca="1">IF(H442=0,"",HYPERLINK("#"&amp;RIGHT(CELL("adresse",OFFSET('DM01-AV-CH'!$G$6,H442-1,0)),LEN(CELL("adresse",OFFSET('DM01-AV-CH'!$G$6,H442-1,0)))-FIND("]",CELL("adresse",OFFSET('DM01-AV-CH'!$G$6,H442-1,0)))),"Modell"))</f>
        <v/>
      </c>
      <c r="AG442" s="72" t="str" cm="1">
        <f t="array" ref="AG442">IF($H442=0,"",IF(INDEX('DM01-AV-CH'!G$6:G$834,$H442)="","",INDEX('DM01-AV-CH'!G$6:G$834,$H442)))</f>
        <v/>
      </c>
      <c r="AH442" s="73" t="str" cm="1">
        <f t="array" ref="AH442">IF($H442=0,"",IF(INDEX('DM01-AV-CH'!H$6:H$834,$H442)="","",INDEX('DM01-AV-CH'!H$6:H$834,$H442)))</f>
        <v/>
      </c>
      <c r="AI442" s="74" t="str" cm="1">
        <f t="array" ref="AI442">IF($H442=0,"",IF(INDEX('DM01-AV-CH'!I$6:I$834,$H442)="","",INDEX('DM01-AV-CH'!I$6:I$834,$H442)))</f>
        <v/>
      </c>
    </row>
    <row r="443" spans="1:35" x14ac:dyDescent="0.25">
      <c r="A443" s="57">
        <v>438</v>
      </c>
      <c r="B443" s="57">
        <f>IF($A443="","",IF(_xlfn.XLOOKUP($A443,Korrelation!$D$4:$D$1197,Korrelation!E$4:E$1197,"-",0)="-",0,MATCH(_xlfn.XLOOKUP($A443,Korrelation!$D$4:$D$1197,Korrelation!E$4:E$1197,"",0),DMAV_Modell!$G$6:$G$677,0)))</f>
        <v>202</v>
      </c>
      <c r="C443" s="57">
        <f>IF($A443="","",IF(_xlfn.XLOOKUP($A443,Korrelation!$D$4:$D$1197,Korrelation!F$4:F$1197,"-",0)="-",0,MATCH(_xlfn.XLOOKUP($A443,Korrelation!$D$4:$D$1197,Korrelation!F$4:F$1197,"",0),DMAV_Modell!$G$6:$G$677,0)))</f>
        <v>0</v>
      </c>
      <c r="D443" s="57">
        <f>IF($A443="","",IF(_xlfn.XLOOKUP($A443,Korrelation!$D$4:$D$1197,Korrelation!G$4:G$1197,"-",0)="-",0,MATCH(_xlfn.XLOOKUP($A443,Korrelation!$D$4:$D$1197,Korrelation!G$4:G$1197,"",0),DMAV_Modell!$G$6:$G$677,0)))</f>
        <v>0</v>
      </c>
      <c r="E443" s="57">
        <f>IF($A443="","",IF(_xlfn.XLOOKUP($A443,Korrelation!$D$4:$D$1197,Korrelation!H$4:H$1197,"-",0)="-",0,MATCH(_xlfn.XLOOKUP($A443,Korrelation!$D$4:$D$1197,Korrelation!H$4:H$1197,"",0),DMAV_Dienste!$F$6:$F$140,0)))</f>
        <v>0</v>
      </c>
      <c r="F443" s="57">
        <f>IF($A443="","",IF(_xlfn.XLOOKUP($A443,Korrelation!$D$4:$D$1197,Korrelation!I$4:I$1197,"-",0)="-",0,MATCH(_xlfn.XLOOKUP($A443,Korrelation!$D$4:$D$1197,Korrelation!I$4:I$1197,"",0),DMAV_Dienste!$F$6:$F$140,0)))</f>
        <v>0</v>
      </c>
      <c r="G443" s="57">
        <f>IF($A443="","",IF(_xlfn.XLOOKUP($A443,Korrelation!$D$4:$D$1197,Korrelation!J$4:J$1197,"-",0)="-",0,MATCH(_xlfn.XLOOKUP($A443,Korrelation!$D$4:$D$1197,Korrelation!J$4:J$1197,"",0),DMAV_Dienste!$F$6:$F$140,0)))</f>
        <v>0</v>
      </c>
      <c r="H443" s="57">
        <f>IF($A443="","",IF(_xlfn.XLOOKUP($A443,Korrelation!$D$4:$D$1197,Korrelation!K$4:K$1197,"-",0)="-",0,MATCH(_xlfn.XLOOKUP($A443,Korrelation!$D$4:$D$1197,Korrelation!K$4:K$1197,"",0),'DM01-AV-CH'!$A$6:$A$834,0)))</f>
        <v>413</v>
      </c>
      <c r="J443" s="54" t="str" cm="1">
        <f t="array" aca="1" ref="J443" ca="1">IF(B443=0,IF(E443=0,"",HYPERLINK("#"&amp;RIGHT(CELL("adresse",OFFSET(DMAV_Dienste!$M$6,E443-1,0)),LEN(CELL("adresse",OFFSET(DMAV_Dienste!$M$6,E443-1,0)))-FIND("]",CELL("adresse",OFFSET(DMAV_Dienste!$M$6,E443-1,0)))),"Dienst")),HYPERLINK("#"&amp;RIGHT(CELL("adresse",OFFSET(DMAV_Modell!$N$6,B443-1,0)),LEN(CELL("adresse",OFFSET(DMAV_Modell!$N$6,B443-1,0)))-FIND("]",CELL("adresse",OFFSET(DMAV_Modell!$N$6,B443-1,0)))),"Modell"))</f>
        <v>Modell</v>
      </c>
      <c r="K443" s="61" t="str" cm="1">
        <f t="array" ref="K443">IF($B443=0,IF($E443=0,"",IF(INDEX(DMAV_Dienste!P$6:P$140,$E443)="","",INDEX(DMAV_Dienste!P$6:P$140,$E443))),IF(INDEX(DMAV_Modell!Q$6:Q$838,$B443)="","",INDEX(DMAV_Modell!Q$6:Q$838,$B443)))</f>
        <v>DOMAIN</v>
      </c>
      <c r="L443" s="62" t="str" cm="1">
        <f t="array" ref="L443">IF($B443=0,IF($E443=0,"",IF(INDEX(DMAV_Dienste!O$6:O$140,$E443)="","",INDEX(DMAV_Dienste!O$6:O$140,$E443))),IF(INDEX(DMAV_Modell!P$6:P$838,$B443)="","",INDEX(DMAV_Modell!P$6:P$838,$B443)))</f>
        <v>Grundstuecke</v>
      </c>
      <c r="M443" s="62" t="str" cm="1">
        <f t="array" ref="M443">IF($B443=0,IF($E443=0,"",IF(INDEX(DMAV_Dienste!Q$6:Q$140,$E443)="","",INDEX(DMAV_Dienste!Q$6:Q$140,$E443))),IF(INDEX(DMAV_Modell!R$6:R$838,$B443)="","",INDEX(DMAV_Modell!R$6:R$838,$B443)))</f>
        <v>Grundstuecksart</v>
      </c>
      <c r="N443" s="62" t="str" cm="1">
        <f t="array" ref="N443">IF($B443=0,IF($E443=0,"",IF(INDEX(DMAV_Dienste!T$6:T$140,$E443)="","",INDEX(DMAV_Dienste!T$6:T$140,$E443))),IF(INDEX(DMAV_Modell!U$6:U$838,$B443)="","",INDEX(DMAV_Modell!U$6:U$838,$B443)))</f>
        <v/>
      </c>
      <c r="O443" s="63" t="str" cm="1">
        <f t="array" aca="1" ref="O443" ca="1">IF(C443=0,IF(F443=0,"",HYPERLINK("#"&amp;RIGHT(CELL("adresse",OFFSET(DMAV_Dienste!$M$6,F443-1,0)),LEN(CELL("adresse",OFFSET(DMAV_Dienste!$M$6,F443-1,0)))-FIND("]",CELL("adresse",OFFSET(DMAV_Dienste!$M$6,F443-1,0)))),"Structure")),HYPERLINK("#"&amp;RIGHT(CELL("adresse",OFFSET(DMAV_Modell!$N$6,C443-1,0)),LEN(CELL("adresse",OFFSET(DMAV_Modell!$N$6,C443-1,0)))-FIND("]",CELL("adresse",OFFSET(DMAV_Modell!$N$6,C443-1,0)))),"Structure"))</f>
        <v/>
      </c>
      <c r="P443" s="64" t="str" cm="1">
        <f t="array" aca="1" ref="P443" ca="1">IF(D443=0,IF(G443=0,"",HYPERLINK("#"&amp;RIGHT(CELL("adresse",OFFSET(DMAV_Dienste!$M$6,G443-1,0)),LEN(CELL("adresse",OFFSET(DMAV_Dienste!$M$6,G443-1,0)))-FIND("]",CELL("adresse",OFFSET(DMAV_Dienste!$M$6,G443-1,0)))),"Substructure")),HYPERLINK("#"&amp;RIGHT(CELL("adresse",OFFSET(DMAV_Modell!$N$6,D443-1,0)),LEN(CELL("adresse",OFFSET(DMAV_Modell!$N$6,D443-1,0)))-FIND("]",CELL("adresse",OFFSET(DMAV_Modell!$N$6,D443-1,0)))),"Substructure"))</f>
        <v/>
      </c>
      <c r="R443" s="80"/>
      <c r="T443" s="93"/>
      <c r="U443" s="94"/>
      <c r="V443" s="95"/>
      <c r="W443" s="96"/>
      <c r="Y443" s="85"/>
      <c r="Z443" s="86"/>
      <c r="AA443" s="87"/>
      <c r="AB443" s="88"/>
      <c r="AD443" s="77"/>
      <c r="AF443" s="54" t="str" cm="1">
        <f t="array" aca="1" ref="AF443" ca="1">IF(H443=0,"",HYPERLINK("#"&amp;RIGHT(CELL("adresse",OFFSET('DM01-AV-CH'!$G$6,H443-1,0)),LEN(CELL("adresse",OFFSET('DM01-AV-CH'!$G$6,H443-1,0)))-FIND("]",CELL("adresse",OFFSET('DM01-AV-CH'!$G$6,H443-1,0)))),"Modell"))</f>
        <v>Modell</v>
      </c>
      <c r="AG443" s="72" t="str" cm="1">
        <f t="array" ref="AG443">IF($H443=0,"",IF(INDEX('DM01-AV-CH'!G$6:G$834,$H443)="","",INDEX('DM01-AV-CH'!G$6:G$834,$H443)))</f>
        <v>Liegenschaften</v>
      </c>
      <c r="AH443" s="73" t="str" cm="1">
        <f t="array" ref="AH443">IF($H443=0,"",IF(INDEX('DM01-AV-CH'!H$6:H$834,$H443)="","",INDEX('DM01-AV-CH'!H$6:H$834,$H443)))</f>
        <v/>
      </c>
      <c r="AI443" s="74" t="str" cm="1">
        <f t="array" ref="AI443">IF($H443=0,"",IF(INDEX('DM01-AV-CH'!I$6:I$834,$H443)="","",INDEX('DM01-AV-CH'!I$6:I$834,$H443)))</f>
        <v>Grundstuecksart</v>
      </c>
    </row>
    <row r="444" spans="1:35" x14ac:dyDescent="0.25">
      <c r="A444" s="57">
        <v>439</v>
      </c>
      <c r="B444" s="57">
        <f>IF($A444="","",IF(_xlfn.XLOOKUP($A444,Korrelation!$D$4:$D$1197,Korrelation!E$4:E$1197,"-",0)="-",0,MATCH(_xlfn.XLOOKUP($A444,Korrelation!$D$4:$D$1197,Korrelation!E$4:E$1197,"",0),DMAV_Modell!$G$6:$G$677,0)))</f>
        <v>203</v>
      </c>
      <c r="C444" s="57">
        <f>IF($A444="","",IF(_xlfn.XLOOKUP($A444,Korrelation!$D$4:$D$1197,Korrelation!F$4:F$1197,"-",0)="-",0,MATCH(_xlfn.XLOOKUP($A444,Korrelation!$D$4:$D$1197,Korrelation!F$4:F$1197,"",0),DMAV_Modell!$G$6:$G$677,0)))</f>
        <v>0</v>
      </c>
      <c r="D444" s="57">
        <f>IF($A444="","",IF(_xlfn.XLOOKUP($A444,Korrelation!$D$4:$D$1197,Korrelation!G$4:G$1197,"-",0)="-",0,MATCH(_xlfn.XLOOKUP($A444,Korrelation!$D$4:$D$1197,Korrelation!G$4:G$1197,"",0),DMAV_Modell!$G$6:$G$677,0)))</f>
        <v>0</v>
      </c>
      <c r="E444" s="57">
        <f>IF($A444="","",IF(_xlfn.XLOOKUP($A444,Korrelation!$D$4:$D$1197,Korrelation!H$4:H$1197,"-",0)="-",0,MATCH(_xlfn.XLOOKUP($A444,Korrelation!$D$4:$D$1197,Korrelation!H$4:H$1197,"",0),DMAV_Dienste!$F$6:$F$140,0)))</f>
        <v>0</v>
      </c>
      <c r="F444" s="57">
        <f>IF($A444="","",IF(_xlfn.XLOOKUP($A444,Korrelation!$D$4:$D$1197,Korrelation!I$4:I$1197,"-",0)="-",0,MATCH(_xlfn.XLOOKUP($A444,Korrelation!$D$4:$D$1197,Korrelation!I$4:I$1197,"",0),DMAV_Dienste!$F$6:$F$140,0)))</f>
        <v>0</v>
      </c>
      <c r="G444" s="57">
        <f>IF($A444="","",IF(_xlfn.XLOOKUP($A444,Korrelation!$D$4:$D$1197,Korrelation!J$4:J$1197,"-",0)="-",0,MATCH(_xlfn.XLOOKUP($A444,Korrelation!$D$4:$D$1197,Korrelation!J$4:J$1197,"",0),DMAV_Dienste!$F$6:$F$140,0)))</f>
        <v>0</v>
      </c>
      <c r="H444" s="57">
        <f>IF($A444="","",IF(_xlfn.XLOOKUP($A444,Korrelation!$D$4:$D$1197,Korrelation!K$4:K$1197,"-",0)="-",0,MATCH(_xlfn.XLOOKUP($A444,Korrelation!$D$4:$D$1197,Korrelation!K$4:K$1197,"",0),'DM01-AV-CH'!$A$6:$A$834,0)))</f>
        <v>414</v>
      </c>
      <c r="J444" s="54" t="str" cm="1">
        <f t="array" aca="1" ref="J444" ca="1">IF(B444=0,IF(E444=0,"",HYPERLINK("#"&amp;RIGHT(CELL("adresse",OFFSET(DMAV_Dienste!$M$6,E444-1,0)),LEN(CELL("adresse",OFFSET(DMAV_Dienste!$M$6,E444-1,0)))-FIND("]",CELL("adresse",OFFSET(DMAV_Dienste!$M$6,E444-1,0)))),"Dienst")),HYPERLINK("#"&amp;RIGHT(CELL("adresse",OFFSET(DMAV_Modell!$N$6,B444-1,0)),LEN(CELL("adresse",OFFSET(DMAV_Modell!$N$6,B444-1,0)))-FIND("]",CELL("adresse",OFFSET(DMAV_Modell!$N$6,B444-1,0)))),"Modell"))</f>
        <v>Modell</v>
      </c>
      <c r="K444" s="61" t="str" cm="1">
        <f t="array" ref="K444">IF($B444=0,IF($E444=0,"",IF(INDEX(DMAV_Dienste!P$6:P$140,$E444)="","",INDEX(DMAV_Dienste!P$6:P$140,$E444))),IF(INDEX(DMAV_Modell!Q$6:Q$838,$B444)="","",INDEX(DMAV_Modell!Q$6:Q$838,$B444)))</f>
        <v>DOMAIN</v>
      </c>
      <c r="L444" s="62" t="str" cm="1">
        <f t="array" ref="L444">IF($B444=0,IF($E444=0,"",IF(INDEX(DMAV_Dienste!O$6:O$140,$E444)="","",INDEX(DMAV_Dienste!O$6:O$140,$E444))),IF(INDEX(DMAV_Modell!P$6:P$838,$B444)="","",INDEX(DMAV_Modell!P$6:P$838,$B444)))</f>
        <v>Grundstuecke</v>
      </c>
      <c r="M444" s="62" t="str" cm="1">
        <f t="array" ref="M444">IF($B444=0,IF($E444=0,"",IF(INDEX(DMAV_Dienste!Q$6:Q$140,$E444)="","",INDEX(DMAV_Dienste!Q$6:Q$140,$E444))),IF(INDEX(DMAV_Modell!R$6:R$838,$B444)="","",INDEX(DMAV_Modell!R$6:R$838,$B444)))</f>
        <v>Grundstuecksart</v>
      </c>
      <c r="N444" s="62" t="str" cm="1">
        <f t="array" ref="N444">IF($B444=0,IF($E444=0,"",IF(INDEX(DMAV_Dienste!T$6:T$140,$E444)="","",INDEX(DMAV_Dienste!T$6:T$140,$E444))),IF(INDEX(DMAV_Modell!U$6:U$838,$B444)="","",INDEX(DMAV_Modell!U$6:U$838,$B444)))</f>
        <v/>
      </c>
      <c r="O444" s="63" t="str" cm="1">
        <f t="array" aca="1" ref="O444" ca="1">IF(C444=0,IF(F444=0,"",HYPERLINK("#"&amp;RIGHT(CELL("adresse",OFFSET(DMAV_Dienste!$M$6,F444-1,0)),LEN(CELL("adresse",OFFSET(DMAV_Dienste!$M$6,F444-1,0)))-FIND("]",CELL("adresse",OFFSET(DMAV_Dienste!$M$6,F444-1,0)))),"Structure")),HYPERLINK("#"&amp;RIGHT(CELL("adresse",OFFSET(DMAV_Modell!$N$6,C444-1,0)),LEN(CELL("adresse",OFFSET(DMAV_Modell!$N$6,C444-1,0)))-FIND("]",CELL("adresse",OFFSET(DMAV_Modell!$N$6,C444-1,0)))),"Structure"))</f>
        <v/>
      </c>
      <c r="P444" s="64" t="str" cm="1">
        <f t="array" aca="1" ref="P444" ca="1">IF(D444=0,IF(G444=0,"",HYPERLINK("#"&amp;RIGHT(CELL("adresse",OFFSET(DMAV_Dienste!$M$6,G444-1,0)),LEN(CELL("adresse",OFFSET(DMAV_Dienste!$M$6,G444-1,0)))-FIND("]",CELL("adresse",OFFSET(DMAV_Dienste!$M$6,G444-1,0)))),"Substructure")),HYPERLINK("#"&amp;RIGHT(CELL("adresse",OFFSET(DMAV_Modell!$N$6,D444-1,0)),LEN(CELL("adresse",OFFSET(DMAV_Modell!$N$6,D444-1,0)))-FIND("]",CELL("adresse",OFFSET(DMAV_Modell!$N$6,D444-1,0)))),"Substructure"))</f>
        <v/>
      </c>
      <c r="R444" s="80"/>
      <c r="T444" s="93"/>
      <c r="U444" s="94"/>
      <c r="V444" s="95"/>
      <c r="W444" s="96"/>
      <c r="Y444" s="85"/>
      <c r="Z444" s="86"/>
      <c r="AA444" s="87"/>
      <c r="AB444" s="88"/>
      <c r="AD444" s="77"/>
      <c r="AF444" s="54" t="str" cm="1">
        <f t="array" aca="1" ref="AF444" ca="1">IF(H444=0,"",HYPERLINK("#"&amp;RIGHT(CELL("adresse",OFFSET('DM01-AV-CH'!$G$6,H444-1,0)),LEN(CELL("adresse",OFFSET('DM01-AV-CH'!$G$6,H444-1,0)))-FIND("]",CELL("adresse",OFFSET('DM01-AV-CH'!$G$6,H444-1,0)))),"Modell"))</f>
        <v>Modell</v>
      </c>
      <c r="AG444" s="72" t="str" cm="1">
        <f t="array" ref="AG444">IF($H444=0,"",IF(INDEX('DM01-AV-CH'!G$6:G$834,$H444)="","",INDEX('DM01-AV-CH'!G$6:G$834,$H444)))</f>
        <v>Liegenschaften</v>
      </c>
      <c r="AH444" s="73" t="str" cm="1">
        <f t="array" ref="AH444">IF($H444=0,"",IF(INDEX('DM01-AV-CH'!H$6:H$834,$H444)="","",INDEX('DM01-AV-CH'!H$6:H$834,$H444)))</f>
        <v/>
      </c>
      <c r="AI444" s="74" t="str" cm="1">
        <f t="array" ref="AI444">IF($H444=0,"",IF(INDEX('DM01-AV-CH'!I$6:I$834,$H444)="","",INDEX('DM01-AV-CH'!I$6:I$834,$H444)))</f>
        <v>Grundstuecksart</v>
      </c>
    </row>
    <row r="445" spans="1:35" x14ac:dyDescent="0.25">
      <c r="A445" s="57">
        <v>440</v>
      </c>
      <c r="B445" s="57">
        <f>IF($A445="","",IF(_xlfn.XLOOKUP($A445,Korrelation!$D$4:$D$1197,Korrelation!E$4:E$1197,"-",0)="-",0,MATCH(_xlfn.XLOOKUP($A445,Korrelation!$D$4:$D$1197,Korrelation!E$4:E$1197,"",0),DMAV_Modell!$G$6:$G$677,0)))</f>
        <v>0</v>
      </c>
      <c r="C445" s="57">
        <f>IF($A445="","",IF(_xlfn.XLOOKUP($A445,Korrelation!$D$4:$D$1197,Korrelation!F$4:F$1197,"-",0)="-",0,MATCH(_xlfn.XLOOKUP($A445,Korrelation!$D$4:$D$1197,Korrelation!F$4:F$1197,"",0),DMAV_Modell!$G$6:$G$677,0)))</f>
        <v>0</v>
      </c>
      <c r="D445" s="57">
        <f>IF($A445="","",IF(_xlfn.XLOOKUP($A445,Korrelation!$D$4:$D$1197,Korrelation!G$4:G$1197,"-",0)="-",0,MATCH(_xlfn.XLOOKUP($A445,Korrelation!$D$4:$D$1197,Korrelation!G$4:G$1197,"",0),DMAV_Modell!$G$6:$G$677,0)))</f>
        <v>0</v>
      </c>
      <c r="E445" s="57">
        <f>IF($A445="","",IF(_xlfn.XLOOKUP($A445,Korrelation!$D$4:$D$1197,Korrelation!H$4:H$1197,"-",0)="-",0,MATCH(_xlfn.XLOOKUP($A445,Korrelation!$D$4:$D$1197,Korrelation!H$4:H$1197,"",0),DMAV_Dienste!$F$6:$F$140,0)))</f>
        <v>0</v>
      </c>
      <c r="F445" s="57">
        <f>IF($A445="","",IF(_xlfn.XLOOKUP($A445,Korrelation!$D$4:$D$1197,Korrelation!I$4:I$1197,"-",0)="-",0,MATCH(_xlfn.XLOOKUP($A445,Korrelation!$D$4:$D$1197,Korrelation!I$4:I$1197,"",0),DMAV_Dienste!$F$6:$F$140,0)))</f>
        <v>0</v>
      </c>
      <c r="G445" s="57">
        <f>IF($A445="","",IF(_xlfn.XLOOKUP($A445,Korrelation!$D$4:$D$1197,Korrelation!J$4:J$1197,"-",0)="-",0,MATCH(_xlfn.XLOOKUP($A445,Korrelation!$D$4:$D$1197,Korrelation!J$4:J$1197,"",0),DMAV_Dienste!$F$6:$F$140,0)))</f>
        <v>0</v>
      </c>
      <c r="H445" s="57">
        <f>IF($A445="","",IF(_xlfn.XLOOKUP($A445,Korrelation!$D$4:$D$1197,Korrelation!K$4:K$1197,"-",0)="-",0,MATCH(_xlfn.XLOOKUP($A445,Korrelation!$D$4:$D$1197,Korrelation!K$4:K$1197,"",0),'DM01-AV-CH'!$A$6:$A$834,0)))</f>
        <v>415</v>
      </c>
      <c r="J445" s="54" t="str" cm="1">
        <f t="array" aca="1" ref="J445" ca="1">IF(B445=0,IF(E445=0,"",HYPERLINK("#"&amp;RIGHT(CELL("adresse",OFFSET(DMAV_Dienste!$M$6,E445-1,0)),LEN(CELL("adresse",OFFSET(DMAV_Dienste!$M$6,E445-1,0)))-FIND("]",CELL("adresse",OFFSET(DMAV_Dienste!$M$6,E445-1,0)))),"Dienst")),HYPERLINK("#"&amp;RIGHT(CELL("adresse",OFFSET(DMAV_Modell!$N$6,B445-1,0)),LEN(CELL("adresse",OFFSET(DMAV_Modell!$N$6,B445-1,0)))-FIND("]",CELL("adresse",OFFSET(DMAV_Modell!$N$6,B445-1,0)))),"Modell"))</f>
        <v/>
      </c>
      <c r="K445" s="61" t="str" cm="1">
        <f t="array" ref="K445">IF($B445=0,IF($E445=0,"",IF(INDEX(DMAV_Dienste!P$6:P$140,$E445)="","",INDEX(DMAV_Dienste!P$6:P$140,$E445))),IF(INDEX(DMAV_Modell!Q$6:Q$838,$B445)="","",INDEX(DMAV_Modell!Q$6:Q$838,$B445)))</f>
        <v/>
      </c>
      <c r="L445" s="62" t="str" cm="1">
        <f t="array" ref="L445">IF($B445=0,IF($E445=0,"",IF(INDEX(DMAV_Dienste!O$6:O$140,$E445)="","",INDEX(DMAV_Dienste!O$6:O$140,$E445))),IF(INDEX(DMAV_Modell!P$6:P$838,$B445)="","",INDEX(DMAV_Modell!P$6:P$838,$B445)))</f>
        <v/>
      </c>
      <c r="M445" s="62" t="str" cm="1">
        <f t="array" ref="M445">IF($B445=0,IF($E445=0,"",IF(INDEX(DMAV_Dienste!Q$6:Q$140,$E445)="","",INDEX(DMAV_Dienste!Q$6:Q$140,$E445))),IF(INDEX(DMAV_Modell!R$6:R$838,$B445)="","",INDEX(DMAV_Modell!R$6:R$838,$B445)))</f>
        <v/>
      </c>
      <c r="N445" s="62" t="str" cm="1">
        <f t="array" ref="N445">IF($B445=0,IF($E445=0,"",IF(INDEX(DMAV_Dienste!T$6:T$140,$E445)="","",INDEX(DMAV_Dienste!T$6:T$140,$E445))),IF(INDEX(DMAV_Modell!U$6:U$838,$B445)="","",INDEX(DMAV_Modell!U$6:U$838,$B445)))</f>
        <v/>
      </c>
      <c r="O445" s="63" t="str" cm="1">
        <f t="array" aca="1" ref="O445" ca="1">IF(C445=0,IF(F445=0,"",HYPERLINK("#"&amp;RIGHT(CELL("adresse",OFFSET(DMAV_Dienste!$M$6,F445-1,0)),LEN(CELL("adresse",OFFSET(DMAV_Dienste!$M$6,F445-1,0)))-FIND("]",CELL("adresse",OFFSET(DMAV_Dienste!$M$6,F445-1,0)))),"Structure")),HYPERLINK("#"&amp;RIGHT(CELL("adresse",OFFSET(DMAV_Modell!$N$6,C445-1,0)),LEN(CELL("adresse",OFFSET(DMAV_Modell!$N$6,C445-1,0)))-FIND("]",CELL("adresse",OFFSET(DMAV_Modell!$N$6,C445-1,0)))),"Structure"))</f>
        <v/>
      </c>
      <c r="P445" s="64" t="str" cm="1">
        <f t="array" aca="1" ref="P445" ca="1">IF(D445=0,IF(G445=0,"",HYPERLINK("#"&amp;RIGHT(CELL("adresse",OFFSET(DMAV_Dienste!$M$6,G445-1,0)),LEN(CELL("adresse",OFFSET(DMAV_Dienste!$M$6,G445-1,0)))-FIND("]",CELL("adresse",OFFSET(DMAV_Dienste!$M$6,G445-1,0)))),"Substructure")),HYPERLINK("#"&amp;RIGHT(CELL("adresse",OFFSET(DMAV_Modell!$N$6,D445-1,0)),LEN(CELL("adresse",OFFSET(DMAV_Modell!$N$6,D445-1,0)))-FIND("]",CELL("adresse",OFFSET(DMAV_Modell!$N$6,D445-1,0)))),"Substructure"))</f>
        <v/>
      </c>
      <c r="R445" s="80"/>
      <c r="T445" s="93"/>
      <c r="U445" s="94"/>
      <c r="V445" s="95"/>
      <c r="W445" s="96"/>
      <c r="Y445" s="85"/>
      <c r="Z445" s="86"/>
      <c r="AA445" s="87"/>
      <c r="AB445" s="88"/>
      <c r="AD445" s="77"/>
      <c r="AF445" s="54" t="str" cm="1">
        <f t="array" aca="1" ref="AF445" ca="1">IF(H445=0,"",HYPERLINK("#"&amp;RIGHT(CELL("adresse",OFFSET('DM01-AV-CH'!$G$6,H445-1,0)),LEN(CELL("adresse",OFFSET('DM01-AV-CH'!$G$6,H445-1,0)))-FIND("]",CELL("adresse",OFFSET('DM01-AV-CH'!$G$6,H445-1,0)))),"Modell"))</f>
        <v>Modell</v>
      </c>
      <c r="AG445" s="72" t="str" cm="1">
        <f t="array" ref="AG445">IF($H445=0,"",IF(INDEX('DM01-AV-CH'!G$6:G$834,$H445)="","",INDEX('DM01-AV-CH'!G$6:G$834,$H445)))</f>
        <v>Liegenschaften</v>
      </c>
      <c r="AH445" s="73" t="str" cm="1">
        <f t="array" ref="AH445">IF($H445=0,"",IF(INDEX('DM01-AV-CH'!H$6:H$834,$H445)="","",INDEX('DM01-AV-CH'!H$6:H$834,$H445)))</f>
        <v/>
      </c>
      <c r="AI445" s="74" t="str" cm="1">
        <f t="array" ref="AI445">IF($H445=0,"",IF(INDEX('DM01-AV-CH'!I$6:I$834,$H445)="","",INDEX('DM01-AV-CH'!I$6:I$834,$H445)))</f>
        <v>Grundstuecksart</v>
      </c>
    </row>
    <row r="446" spans="1:35" x14ac:dyDescent="0.25">
      <c r="A446" s="57">
        <v>441</v>
      </c>
      <c r="B446" s="57">
        <f>IF($A446="","",IF(_xlfn.XLOOKUP($A446,Korrelation!$D$4:$D$1197,Korrelation!E$4:E$1197,"-",0)="-",0,MATCH(_xlfn.XLOOKUP($A446,Korrelation!$D$4:$D$1197,Korrelation!E$4:E$1197,"",0),DMAV_Modell!$G$6:$G$677,0)))</f>
        <v>0</v>
      </c>
      <c r="C446" s="57">
        <f>IF($A446="","",IF(_xlfn.XLOOKUP($A446,Korrelation!$D$4:$D$1197,Korrelation!F$4:F$1197,"-",0)="-",0,MATCH(_xlfn.XLOOKUP($A446,Korrelation!$D$4:$D$1197,Korrelation!F$4:F$1197,"",0),DMAV_Modell!$G$6:$G$677,0)))</f>
        <v>0</v>
      </c>
      <c r="D446" s="57">
        <f>IF($A446="","",IF(_xlfn.XLOOKUP($A446,Korrelation!$D$4:$D$1197,Korrelation!G$4:G$1197,"-",0)="-",0,MATCH(_xlfn.XLOOKUP($A446,Korrelation!$D$4:$D$1197,Korrelation!G$4:G$1197,"",0),DMAV_Modell!$G$6:$G$677,0)))</f>
        <v>0</v>
      </c>
      <c r="E446" s="57">
        <f>IF($A446="","",IF(_xlfn.XLOOKUP($A446,Korrelation!$D$4:$D$1197,Korrelation!H$4:H$1197,"-",0)="-",0,MATCH(_xlfn.XLOOKUP($A446,Korrelation!$D$4:$D$1197,Korrelation!H$4:H$1197,"",0),DMAV_Dienste!$F$6:$F$140,0)))</f>
        <v>0</v>
      </c>
      <c r="F446" s="57">
        <f>IF($A446="","",IF(_xlfn.XLOOKUP($A446,Korrelation!$D$4:$D$1197,Korrelation!I$4:I$1197,"-",0)="-",0,MATCH(_xlfn.XLOOKUP($A446,Korrelation!$D$4:$D$1197,Korrelation!I$4:I$1197,"",0),DMAV_Dienste!$F$6:$F$140,0)))</f>
        <v>0</v>
      </c>
      <c r="G446" s="57">
        <f>IF($A446="","",IF(_xlfn.XLOOKUP($A446,Korrelation!$D$4:$D$1197,Korrelation!J$4:J$1197,"-",0)="-",0,MATCH(_xlfn.XLOOKUP($A446,Korrelation!$D$4:$D$1197,Korrelation!J$4:J$1197,"",0),DMAV_Dienste!$F$6:$F$140,0)))</f>
        <v>0</v>
      </c>
      <c r="H446" s="57">
        <f>IF($A446="","",IF(_xlfn.XLOOKUP($A446,Korrelation!$D$4:$D$1197,Korrelation!K$4:K$1197,"-",0)="-",0,MATCH(_xlfn.XLOOKUP($A446,Korrelation!$D$4:$D$1197,Korrelation!K$4:K$1197,"",0),'DM01-AV-CH'!$A$6:$A$834,0)))</f>
        <v>416</v>
      </c>
      <c r="J446" s="54" t="str" cm="1">
        <f t="array" aca="1" ref="J446" ca="1">IF(B446=0,IF(E446=0,"",HYPERLINK("#"&amp;RIGHT(CELL("adresse",OFFSET(DMAV_Dienste!$M$6,E446-1,0)),LEN(CELL("adresse",OFFSET(DMAV_Dienste!$M$6,E446-1,0)))-FIND("]",CELL("adresse",OFFSET(DMAV_Dienste!$M$6,E446-1,0)))),"Dienst")),HYPERLINK("#"&amp;RIGHT(CELL("adresse",OFFSET(DMAV_Modell!$N$6,B446-1,0)),LEN(CELL("adresse",OFFSET(DMAV_Modell!$N$6,B446-1,0)))-FIND("]",CELL("adresse",OFFSET(DMAV_Modell!$N$6,B446-1,0)))),"Modell"))</f>
        <v/>
      </c>
      <c r="K446" s="61" t="str" cm="1">
        <f t="array" ref="K446">IF($B446=0,IF($E446=0,"",IF(INDEX(DMAV_Dienste!P$6:P$140,$E446)="","",INDEX(DMAV_Dienste!P$6:P$140,$E446))),IF(INDEX(DMAV_Modell!Q$6:Q$838,$B446)="","",INDEX(DMAV_Modell!Q$6:Q$838,$B446)))</f>
        <v/>
      </c>
      <c r="L446" s="62" t="str" cm="1">
        <f t="array" ref="L446">IF($B446=0,IF($E446=0,"",IF(INDEX(DMAV_Dienste!O$6:O$140,$E446)="","",INDEX(DMAV_Dienste!O$6:O$140,$E446))),IF(INDEX(DMAV_Modell!P$6:P$838,$B446)="","",INDEX(DMAV_Modell!P$6:P$838,$B446)))</f>
        <v/>
      </c>
      <c r="M446" s="62" t="str" cm="1">
        <f t="array" ref="M446">IF($B446=0,IF($E446=0,"",IF(INDEX(DMAV_Dienste!Q$6:Q$140,$E446)="","",INDEX(DMAV_Dienste!Q$6:Q$140,$E446))),IF(INDEX(DMAV_Modell!R$6:R$838,$B446)="","",INDEX(DMAV_Modell!R$6:R$838,$B446)))</f>
        <v/>
      </c>
      <c r="N446" s="62" t="str" cm="1">
        <f t="array" ref="N446">IF($B446=0,IF($E446=0,"",IF(INDEX(DMAV_Dienste!T$6:T$140,$E446)="","",INDEX(DMAV_Dienste!T$6:T$140,$E446))),IF(INDEX(DMAV_Modell!U$6:U$838,$B446)="","",INDEX(DMAV_Modell!U$6:U$838,$B446)))</f>
        <v/>
      </c>
      <c r="O446" s="63" t="str" cm="1">
        <f t="array" aca="1" ref="O446" ca="1">IF(C446=0,IF(F446=0,"",HYPERLINK("#"&amp;RIGHT(CELL("adresse",OFFSET(DMAV_Dienste!$M$6,F446-1,0)),LEN(CELL("adresse",OFFSET(DMAV_Dienste!$M$6,F446-1,0)))-FIND("]",CELL("adresse",OFFSET(DMAV_Dienste!$M$6,F446-1,0)))),"Structure")),HYPERLINK("#"&amp;RIGHT(CELL("adresse",OFFSET(DMAV_Modell!$N$6,C446-1,0)),LEN(CELL("adresse",OFFSET(DMAV_Modell!$N$6,C446-1,0)))-FIND("]",CELL("adresse",OFFSET(DMAV_Modell!$N$6,C446-1,0)))),"Structure"))</f>
        <v/>
      </c>
      <c r="P446" s="64" t="str" cm="1">
        <f t="array" aca="1" ref="P446" ca="1">IF(D446=0,IF(G446=0,"",HYPERLINK("#"&amp;RIGHT(CELL("adresse",OFFSET(DMAV_Dienste!$M$6,G446-1,0)),LEN(CELL("adresse",OFFSET(DMAV_Dienste!$M$6,G446-1,0)))-FIND("]",CELL("adresse",OFFSET(DMAV_Dienste!$M$6,G446-1,0)))),"Substructure")),HYPERLINK("#"&amp;RIGHT(CELL("adresse",OFFSET(DMAV_Modell!$N$6,D446-1,0)),LEN(CELL("adresse",OFFSET(DMAV_Modell!$N$6,D446-1,0)))-FIND("]",CELL("adresse",OFFSET(DMAV_Modell!$N$6,D446-1,0)))),"Substructure"))</f>
        <v/>
      </c>
      <c r="R446" s="80"/>
      <c r="T446" s="93"/>
      <c r="U446" s="94"/>
      <c r="V446" s="95"/>
      <c r="W446" s="96"/>
      <c r="Y446" s="85"/>
      <c r="Z446" s="86"/>
      <c r="AA446" s="87"/>
      <c r="AB446" s="88"/>
      <c r="AD446" s="77"/>
      <c r="AF446" s="54" t="str" cm="1">
        <f t="array" aca="1" ref="AF446" ca="1">IF(H446=0,"",HYPERLINK("#"&amp;RIGHT(CELL("adresse",OFFSET('DM01-AV-CH'!$G$6,H446-1,0)),LEN(CELL("adresse",OFFSET('DM01-AV-CH'!$G$6,H446-1,0)))-FIND("]",CELL("adresse",OFFSET('DM01-AV-CH'!$G$6,H446-1,0)))),"Modell"))</f>
        <v>Modell</v>
      </c>
      <c r="AG446" s="72" t="str" cm="1">
        <f t="array" ref="AG446">IF($H446=0,"",IF(INDEX('DM01-AV-CH'!G$6:G$834,$H446)="","",INDEX('DM01-AV-CH'!G$6:G$834,$H446)))</f>
        <v>Liegenschaften</v>
      </c>
      <c r="AH446" s="73" t="str" cm="1">
        <f t="array" ref="AH446">IF($H446=0,"",IF(INDEX('DM01-AV-CH'!H$6:H$834,$H446)="","",INDEX('DM01-AV-CH'!H$6:H$834,$H446)))</f>
        <v/>
      </c>
      <c r="AI446" s="74" t="str" cm="1">
        <f t="array" ref="AI446">IF($H446=0,"",IF(INDEX('DM01-AV-CH'!I$6:I$834,$H446)="","",INDEX('DM01-AV-CH'!I$6:I$834,$H446)))</f>
        <v>Grundstuecksart</v>
      </c>
    </row>
    <row r="447" spans="1:35" x14ac:dyDescent="0.25">
      <c r="A447" s="57">
        <v>442</v>
      </c>
      <c r="B447" s="57">
        <f>IF($A447="","",IF(_xlfn.XLOOKUP($A447,Korrelation!$D$4:$D$1197,Korrelation!E$4:E$1197,"-",0)="-",0,MATCH(_xlfn.XLOOKUP($A447,Korrelation!$D$4:$D$1197,Korrelation!E$4:E$1197,"",0),DMAV_Modell!$G$6:$G$677,0)))</f>
        <v>0</v>
      </c>
      <c r="C447" s="57">
        <f>IF($A447="","",IF(_xlfn.XLOOKUP($A447,Korrelation!$D$4:$D$1197,Korrelation!F$4:F$1197,"-",0)="-",0,MATCH(_xlfn.XLOOKUP($A447,Korrelation!$D$4:$D$1197,Korrelation!F$4:F$1197,"",0),DMAV_Modell!$G$6:$G$677,0)))</f>
        <v>0</v>
      </c>
      <c r="D447" s="57">
        <f>IF($A447="","",IF(_xlfn.XLOOKUP($A447,Korrelation!$D$4:$D$1197,Korrelation!G$4:G$1197,"-",0)="-",0,MATCH(_xlfn.XLOOKUP($A447,Korrelation!$D$4:$D$1197,Korrelation!G$4:G$1197,"",0),DMAV_Modell!$G$6:$G$677,0)))</f>
        <v>0</v>
      </c>
      <c r="E447" s="57">
        <f>IF($A447="","",IF(_xlfn.XLOOKUP($A447,Korrelation!$D$4:$D$1197,Korrelation!H$4:H$1197,"-",0)="-",0,MATCH(_xlfn.XLOOKUP($A447,Korrelation!$D$4:$D$1197,Korrelation!H$4:H$1197,"",0),DMAV_Dienste!$F$6:$F$140,0)))</f>
        <v>0</v>
      </c>
      <c r="F447" s="57">
        <f>IF($A447="","",IF(_xlfn.XLOOKUP($A447,Korrelation!$D$4:$D$1197,Korrelation!I$4:I$1197,"-",0)="-",0,MATCH(_xlfn.XLOOKUP($A447,Korrelation!$D$4:$D$1197,Korrelation!I$4:I$1197,"",0),DMAV_Dienste!$F$6:$F$140,0)))</f>
        <v>0</v>
      </c>
      <c r="G447" s="57">
        <f>IF($A447="","",IF(_xlfn.XLOOKUP($A447,Korrelation!$D$4:$D$1197,Korrelation!J$4:J$1197,"-",0)="-",0,MATCH(_xlfn.XLOOKUP($A447,Korrelation!$D$4:$D$1197,Korrelation!J$4:J$1197,"",0),DMAV_Dienste!$F$6:$F$140,0)))</f>
        <v>0</v>
      </c>
      <c r="H447" s="57">
        <f>IF($A447="","",IF(_xlfn.XLOOKUP($A447,Korrelation!$D$4:$D$1197,Korrelation!K$4:K$1197,"-",0)="-",0,MATCH(_xlfn.XLOOKUP($A447,Korrelation!$D$4:$D$1197,Korrelation!K$4:K$1197,"",0),'DM01-AV-CH'!$A$6:$A$834,0)))</f>
        <v>417</v>
      </c>
      <c r="J447" s="54" t="str" cm="1">
        <f t="array" aca="1" ref="J447" ca="1">IF(B447=0,IF(E447=0,"",HYPERLINK("#"&amp;RIGHT(CELL("adresse",OFFSET(DMAV_Dienste!$M$6,E447-1,0)),LEN(CELL("adresse",OFFSET(DMAV_Dienste!$M$6,E447-1,0)))-FIND("]",CELL("adresse",OFFSET(DMAV_Dienste!$M$6,E447-1,0)))),"Dienst")),HYPERLINK("#"&amp;RIGHT(CELL("adresse",OFFSET(DMAV_Modell!$N$6,B447-1,0)),LEN(CELL("adresse",OFFSET(DMAV_Modell!$N$6,B447-1,0)))-FIND("]",CELL("adresse",OFFSET(DMAV_Modell!$N$6,B447-1,0)))),"Modell"))</f>
        <v/>
      </c>
      <c r="K447" s="61" t="str" cm="1">
        <f t="array" ref="K447">IF($B447=0,IF($E447=0,"",IF(INDEX(DMAV_Dienste!P$6:P$140,$E447)="","",INDEX(DMAV_Dienste!P$6:P$140,$E447))),IF(INDEX(DMAV_Modell!Q$6:Q$838,$B447)="","",INDEX(DMAV_Modell!Q$6:Q$838,$B447)))</f>
        <v/>
      </c>
      <c r="L447" s="62" t="str" cm="1">
        <f t="array" ref="L447">IF($B447=0,IF($E447=0,"",IF(INDEX(DMAV_Dienste!O$6:O$140,$E447)="","",INDEX(DMAV_Dienste!O$6:O$140,$E447))),IF(INDEX(DMAV_Modell!P$6:P$838,$B447)="","",INDEX(DMAV_Modell!P$6:P$838,$B447)))</f>
        <v/>
      </c>
      <c r="M447" s="62" t="str" cm="1">
        <f t="array" ref="M447">IF($B447=0,IF($E447=0,"",IF(INDEX(DMAV_Dienste!Q$6:Q$140,$E447)="","",INDEX(DMAV_Dienste!Q$6:Q$140,$E447))),IF(INDEX(DMAV_Modell!R$6:R$838,$B447)="","",INDEX(DMAV_Modell!R$6:R$838,$B447)))</f>
        <v/>
      </c>
      <c r="N447" s="62" t="str" cm="1">
        <f t="array" ref="N447">IF($B447=0,IF($E447=0,"",IF(INDEX(DMAV_Dienste!T$6:T$140,$E447)="","",INDEX(DMAV_Dienste!T$6:T$140,$E447))),IF(INDEX(DMAV_Modell!U$6:U$838,$B447)="","",INDEX(DMAV_Modell!U$6:U$838,$B447)))</f>
        <v/>
      </c>
      <c r="O447" s="63" t="str" cm="1">
        <f t="array" aca="1" ref="O447" ca="1">IF(C447=0,IF(F447=0,"",HYPERLINK("#"&amp;RIGHT(CELL("adresse",OFFSET(DMAV_Dienste!$M$6,F447-1,0)),LEN(CELL("adresse",OFFSET(DMAV_Dienste!$M$6,F447-1,0)))-FIND("]",CELL("adresse",OFFSET(DMAV_Dienste!$M$6,F447-1,0)))),"Structure")),HYPERLINK("#"&amp;RIGHT(CELL("adresse",OFFSET(DMAV_Modell!$N$6,C447-1,0)),LEN(CELL("adresse",OFFSET(DMAV_Modell!$N$6,C447-1,0)))-FIND("]",CELL("adresse",OFFSET(DMAV_Modell!$N$6,C447-1,0)))),"Structure"))</f>
        <v/>
      </c>
      <c r="P447" s="64" t="str" cm="1">
        <f t="array" aca="1" ref="P447" ca="1">IF(D447=0,IF(G447=0,"",HYPERLINK("#"&amp;RIGHT(CELL("adresse",OFFSET(DMAV_Dienste!$M$6,G447-1,0)),LEN(CELL("adresse",OFFSET(DMAV_Dienste!$M$6,G447-1,0)))-FIND("]",CELL("adresse",OFFSET(DMAV_Dienste!$M$6,G447-1,0)))),"Substructure")),HYPERLINK("#"&amp;RIGHT(CELL("adresse",OFFSET(DMAV_Modell!$N$6,D447-1,0)),LEN(CELL("adresse",OFFSET(DMAV_Modell!$N$6,D447-1,0)))-FIND("]",CELL("adresse",OFFSET(DMAV_Modell!$N$6,D447-1,0)))),"Substructure"))</f>
        <v/>
      </c>
      <c r="R447" s="80"/>
      <c r="T447" s="93"/>
      <c r="U447" s="94"/>
      <c r="V447" s="95"/>
      <c r="W447" s="96"/>
      <c r="Y447" s="85"/>
      <c r="Z447" s="86"/>
      <c r="AA447" s="87"/>
      <c r="AB447" s="88"/>
      <c r="AD447" s="77"/>
      <c r="AF447" s="54" t="str" cm="1">
        <f t="array" aca="1" ref="AF447" ca="1">IF(H447=0,"",HYPERLINK("#"&amp;RIGHT(CELL("adresse",OFFSET('DM01-AV-CH'!$G$6,H447-1,0)),LEN(CELL("adresse",OFFSET('DM01-AV-CH'!$G$6,H447-1,0)))-FIND("]",CELL("adresse",OFFSET('DM01-AV-CH'!$G$6,H447-1,0)))),"Modell"))</f>
        <v>Modell</v>
      </c>
      <c r="AG447" s="72" t="str" cm="1">
        <f t="array" ref="AG447">IF($H447=0,"",IF(INDEX('DM01-AV-CH'!G$6:G$834,$H447)="","",INDEX('DM01-AV-CH'!G$6:G$834,$H447)))</f>
        <v>Liegenschaften</v>
      </c>
      <c r="AH447" s="73" t="str" cm="1">
        <f t="array" ref="AH447">IF($H447=0,"",IF(INDEX('DM01-AV-CH'!H$6:H$834,$H447)="","",INDEX('DM01-AV-CH'!H$6:H$834,$H447)))</f>
        <v/>
      </c>
      <c r="AI447" s="74" t="str" cm="1">
        <f t="array" ref="AI447">IF($H447=0,"",IF(INDEX('DM01-AV-CH'!I$6:I$834,$H447)="","",INDEX('DM01-AV-CH'!I$6:I$834,$H447)))</f>
        <v>Grundstuecksart</v>
      </c>
    </row>
    <row r="448" spans="1:35" x14ac:dyDescent="0.25">
      <c r="A448" s="57">
        <v>443</v>
      </c>
      <c r="B448" s="57">
        <f>IF($A448="","",IF(_xlfn.XLOOKUP($A448,Korrelation!$D$4:$D$1197,Korrelation!E$4:E$1197,"-",0)="-",0,MATCH(_xlfn.XLOOKUP($A448,Korrelation!$D$4:$D$1197,Korrelation!E$4:E$1197,"",0),DMAV_Modell!$G$6:$G$677,0)))</f>
        <v>204</v>
      </c>
      <c r="C448" s="57">
        <f>IF($A448="","",IF(_xlfn.XLOOKUP($A448,Korrelation!$D$4:$D$1197,Korrelation!F$4:F$1197,"-",0)="-",0,MATCH(_xlfn.XLOOKUP($A448,Korrelation!$D$4:$D$1197,Korrelation!F$4:F$1197,"",0),DMAV_Modell!$G$6:$G$677,0)))</f>
        <v>0</v>
      </c>
      <c r="D448" s="57">
        <f>IF($A448="","",IF(_xlfn.XLOOKUP($A448,Korrelation!$D$4:$D$1197,Korrelation!G$4:G$1197,"-",0)="-",0,MATCH(_xlfn.XLOOKUP($A448,Korrelation!$D$4:$D$1197,Korrelation!G$4:G$1197,"",0),DMAV_Modell!$G$6:$G$677,0)))</f>
        <v>0</v>
      </c>
      <c r="E448" s="57">
        <f>IF($A448="","",IF(_xlfn.XLOOKUP($A448,Korrelation!$D$4:$D$1197,Korrelation!H$4:H$1197,"-",0)="-",0,MATCH(_xlfn.XLOOKUP($A448,Korrelation!$D$4:$D$1197,Korrelation!H$4:H$1197,"",0),DMAV_Dienste!$F$6:$F$140,0)))</f>
        <v>0</v>
      </c>
      <c r="F448" s="57">
        <f>IF($A448="","",IF(_xlfn.XLOOKUP($A448,Korrelation!$D$4:$D$1197,Korrelation!I$4:I$1197,"-",0)="-",0,MATCH(_xlfn.XLOOKUP($A448,Korrelation!$D$4:$D$1197,Korrelation!I$4:I$1197,"",0),DMAV_Dienste!$F$6:$F$140,0)))</f>
        <v>0</v>
      </c>
      <c r="G448" s="57">
        <f>IF($A448="","",IF(_xlfn.XLOOKUP($A448,Korrelation!$D$4:$D$1197,Korrelation!J$4:J$1197,"-",0)="-",0,MATCH(_xlfn.XLOOKUP($A448,Korrelation!$D$4:$D$1197,Korrelation!J$4:J$1197,"",0),DMAV_Dienste!$F$6:$F$140,0)))</f>
        <v>0</v>
      </c>
      <c r="H448" s="57">
        <f>IF($A448="","",IF(_xlfn.XLOOKUP($A448,Korrelation!$D$4:$D$1197,Korrelation!K$4:K$1197,"-",0)="-",0,MATCH(_xlfn.XLOOKUP($A448,Korrelation!$D$4:$D$1197,Korrelation!K$4:K$1197,"",0),'DM01-AV-CH'!$A$6:$A$834,0)))</f>
        <v>418</v>
      </c>
      <c r="J448" s="54" t="str" cm="1">
        <f t="array" aca="1" ref="J448" ca="1">IF(B448=0,IF(E448=0,"",HYPERLINK("#"&amp;RIGHT(CELL("adresse",OFFSET(DMAV_Dienste!$M$6,E448-1,0)),LEN(CELL("adresse",OFFSET(DMAV_Dienste!$M$6,E448-1,0)))-FIND("]",CELL("adresse",OFFSET(DMAV_Dienste!$M$6,E448-1,0)))),"Dienst")),HYPERLINK("#"&amp;RIGHT(CELL("adresse",OFFSET(DMAV_Modell!$N$6,B448-1,0)),LEN(CELL("adresse",OFFSET(DMAV_Modell!$N$6,B448-1,0)))-FIND("]",CELL("adresse",OFFSET(DMAV_Modell!$N$6,B448-1,0)))),"Modell"))</f>
        <v>Modell</v>
      </c>
      <c r="K448" s="61" t="str" cm="1">
        <f t="array" ref="K448">IF($B448=0,IF($E448=0,"",IF(INDEX(DMAV_Dienste!P$6:P$140,$E448)="","",INDEX(DMAV_Dienste!P$6:P$140,$E448))),IF(INDEX(DMAV_Modell!Q$6:Q$838,$B448)="","",INDEX(DMAV_Modell!Q$6:Q$838,$B448)))</f>
        <v>DOMAIN</v>
      </c>
      <c r="L448" s="62" t="str" cm="1">
        <f t="array" ref="L448">IF($B448=0,IF($E448=0,"",IF(INDEX(DMAV_Dienste!O$6:O$140,$E448)="","",INDEX(DMAV_Dienste!O$6:O$140,$E448))),IF(INDEX(DMAV_Modell!P$6:P$838,$B448)="","",INDEX(DMAV_Modell!P$6:P$838,$B448)))</f>
        <v>Grundstuecke</v>
      </c>
      <c r="M448" s="62" t="str" cm="1">
        <f t="array" ref="M448">IF($B448=0,IF($E448=0,"",IF(INDEX(DMAV_Dienste!Q$6:Q$140,$E448)="","",INDEX(DMAV_Dienste!Q$6:Q$140,$E448))),IF(INDEX(DMAV_Modell!R$6:R$838,$B448)="","",INDEX(DMAV_Modell!R$6:R$838,$B448)))</f>
        <v>Grundstuecksart</v>
      </c>
      <c r="N448" s="62" t="str" cm="1">
        <f t="array" ref="N448">IF($B448=0,IF($E448=0,"",IF(INDEX(DMAV_Dienste!T$6:T$140,$E448)="","",INDEX(DMAV_Dienste!T$6:T$140,$E448))),IF(INDEX(DMAV_Modell!U$6:U$838,$B448)="","",INDEX(DMAV_Modell!U$6:U$838,$B448)))</f>
        <v/>
      </c>
      <c r="O448" s="63" t="str" cm="1">
        <f t="array" aca="1" ref="O448" ca="1">IF(C448=0,IF(F448=0,"",HYPERLINK("#"&amp;RIGHT(CELL("adresse",OFFSET(DMAV_Dienste!$M$6,F448-1,0)),LEN(CELL("adresse",OFFSET(DMAV_Dienste!$M$6,F448-1,0)))-FIND("]",CELL("adresse",OFFSET(DMAV_Dienste!$M$6,F448-1,0)))),"Structure")),HYPERLINK("#"&amp;RIGHT(CELL("adresse",OFFSET(DMAV_Modell!$N$6,C448-1,0)),LEN(CELL("adresse",OFFSET(DMAV_Modell!$N$6,C448-1,0)))-FIND("]",CELL("adresse",OFFSET(DMAV_Modell!$N$6,C448-1,0)))),"Structure"))</f>
        <v/>
      </c>
      <c r="P448" s="64" t="str" cm="1">
        <f t="array" aca="1" ref="P448" ca="1">IF(D448=0,IF(G448=0,"",HYPERLINK("#"&amp;RIGHT(CELL("adresse",OFFSET(DMAV_Dienste!$M$6,G448-1,0)),LEN(CELL("adresse",OFFSET(DMAV_Dienste!$M$6,G448-1,0)))-FIND("]",CELL("adresse",OFFSET(DMAV_Dienste!$M$6,G448-1,0)))),"Substructure")),HYPERLINK("#"&amp;RIGHT(CELL("adresse",OFFSET(DMAV_Modell!$N$6,D448-1,0)),LEN(CELL("adresse",OFFSET(DMAV_Modell!$N$6,D448-1,0)))-FIND("]",CELL("adresse",OFFSET(DMAV_Modell!$N$6,D448-1,0)))),"Substructure"))</f>
        <v/>
      </c>
      <c r="R448" s="80"/>
      <c r="T448" s="93"/>
      <c r="U448" s="94"/>
      <c r="V448" s="95"/>
      <c r="W448" s="96"/>
      <c r="Y448" s="85"/>
      <c r="Z448" s="86"/>
      <c r="AA448" s="87"/>
      <c r="AB448" s="88"/>
      <c r="AD448" s="77"/>
      <c r="AF448" s="54" t="str" cm="1">
        <f t="array" aca="1" ref="AF448" ca="1">IF(H448=0,"",HYPERLINK("#"&amp;RIGHT(CELL("adresse",OFFSET('DM01-AV-CH'!$G$6,H448-1,0)),LEN(CELL("adresse",OFFSET('DM01-AV-CH'!$G$6,H448-1,0)))-FIND("]",CELL("adresse",OFFSET('DM01-AV-CH'!$G$6,H448-1,0)))),"Modell"))</f>
        <v>Modell</v>
      </c>
      <c r="AG448" s="72" t="str" cm="1">
        <f t="array" ref="AG448">IF($H448=0,"",IF(INDEX('DM01-AV-CH'!G$6:G$834,$H448)="","",INDEX('DM01-AV-CH'!G$6:G$834,$H448)))</f>
        <v>Liegenschaften</v>
      </c>
      <c r="AH448" s="73" t="str" cm="1">
        <f t="array" ref="AH448">IF($H448=0,"",IF(INDEX('DM01-AV-CH'!H$6:H$834,$H448)="","",INDEX('DM01-AV-CH'!H$6:H$834,$H448)))</f>
        <v/>
      </c>
      <c r="AI448" s="74" t="str" cm="1">
        <f t="array" ref="AI448">IF($H448=0,"",IF(INDEX('DM01-AV-CH'!I$6:I$834,$H448)="","",INDEX('DM01-AV-CH'!I$6:I$834,$H448)))</f>
        <v>Grundstuecksart</v>
      </c>
    </row>
    <row r="449" spans="1:35" x14ac:dyDescent="0.25">
      <c r="A449" s="57">
        <v>444</v>
      </c>
      <c r="B449" s="57">
        <f>IF($A449="","",IF(_xlfn.XLOOKUP($A449,Korrelation!$D$4:$D$1197,Korrelation!E$4:E$1197,"-",0)="-",0,MATCH(_xlfn.XLOOKUP($A449,Korrelation!$D$4:$D$1197,Korrelation!E$4:E$1197,"",0),DMAV_Modell!$G$6:$G$677,0)))</f>
        <v>205</v>
      </c>
      <c r="C449" s="57">
        <f>IF($A449="","",IF(_xlfn.XLOOKUP($A449,Korrelation!$D$4:$D$1197,Korrelation!F$4:F$1197,"-",0)="-",0,MATCH(_xlfn.XLOOKUP($A449,Korrelation!$D$4:$D$1197,Korrelation!F$4:F$1197,"",0),DMAV_Modell!$G$6:$G$677,0)))</f>
        <v>0</v>
      </c>
      <c r="D449" s="57">
        <f>IF($A449="","",IF(_xlfn.XLOOKUP($A449,Korrelation!$D$4:$D$1197,Korrelation!G$4:G$1197,"-",0)="-",0,MATCH(_xlfn.XLOOKUP($A449,Korrelation!$D$4:$D$1197,Korrelation!G$4:G$1197,"",0),DMAV_Modell!$G$6:$G$677,0)))</f>
        <v>0</v>
      </c>
      <c r="E449" s="57">
        <f>IF($A449="","",IF(_xlfn.XLOOKUP($A449,Korrelation!$D$4:$D$1197,Korrelation!H$4:H$1197,"-",0)="-",0,MATCH(_xlfn.XLOOKUP($A449,Korrelation!$D$4:$D$1197,Korrelation!H$4:H$1197,"",0),DMAV_Dienste!$F$6:$F$140,0)))</f>
        <v>0</v>
      </c>
      <c r="F449" s="57">
        <f>IF($A449="","",IF(_xlfn.XLOOKUP($A449,Korrelation!$D$4:$D$1197,Korrelation!I$4:I$1197,"-",0)="-",0,MATCH(_xlfn.XLOOKUP($A449,Korrelation!$D$4:$D$1197,Korrelation!I$4:I$1197,"",0),DMAV_Dienste!$F$6:$F$140,0)))</f>
        <v>0</v>
      </c>
      <c r="G449" s="57">
        <f>IF($A449="","",IF(_xlfn.XLOOKUP($A449,Korrelation!$D$4:$D$1197,Korrelation!J$4:J$1197,"-",0)="-",0,MATCH(_xlfn.XLOOKUP($A449,Korrelation!$D$4:$D$1197,Korrelation!J$4:J$1197,"",0),DMAV_Dienste!$F$6:$F$140,0)))</f>
        <v>0</v>
      </c>
      <c r="H449" s="57">
        <f>IF($A449="","",IF(_xlfn.XLOOKUP($A449,Korrelation!$D$4:$D$1197,Korrelation!K$4:K$1197,"-",0)="-",0,MATCH(_xlfn.XLOOKUP($A449,Korrelation!$D$4:$D$1197,Korrelation!K$4:K$1197,"",0),'DM01-AV-CH'!$A$6:$A$834,0)))</f>
        <v>0</v>
      </c>
      <c r="J449" s="54" t="str" cm="1">
        <f t="array" aca="1" ref="J449" ca="1">IF(B449=0,IF(E449=0,"",HYPERLINK("#"&amp;RIGHT(CELL("adresse",OFFSET(DMAV_Dienste!$M$6,E449-1,0)),LEN(CELL("adresse",OFFSET(DMAV_Dienste!$M$6,E449-1,0)))-FIND("]",CELL("adresse",OFFSET(DMAV_Dienste!$M$6,E449-1,0)))),"Dienst")),HYPERLINK("#"&amp;RIGHT(CELL("adresse",OFFSET(DMAV_Modell!$N$6,B449-1,0)),LEN(CELL("adresse",OFFSET(DMAV_Modell!$N$6,B449-1,0)))-FIND("]",CELL("adresse",OFFSET(DMAV_Modell!$N$6,B449-1,0)))),"Modell"))</f>
        <v>Modell</v>
      </c>
      <c r="K449" s="61" t="str" cm="1">
        <f t="array" ref="K449">IF($B449=0,IF($E449=0,"",IF(INDEX(DMAV_Dienste!P$6:P$140,$E449)="","",INDEX(DMAV_Dienste!P$6:P$140,$E449))),IF(INDEX(DMAV_Modell!Q$6:Q$838,$B449)="","",INDEX(DMAV_Modell!Q$6:Q$838,$B449)))</f>
        <v>DOMAIN</v>
      </c>
      <c r="L449" s="62" t="str" cm="1">
        <f t="array" ref="L449">IF($B449=0,IF($E449=0,"",IF(INDEX(DMAV_Dienste!O$6:O$140,$E449)="","",INDEX(DMAV_Dienste!O$6:O$140,$E449))),IF(INDEX(DMAV_Modell!P$6:P$838,$B449)="","",INDEX(DMAV_Modell!P$6:P$838,$B449)))</f>
        <v>Grundstuecke</v>
      </c>
      <c r="M449" s="62" t="str" cm="1">
        <f t="array" ref="M449">IF($B449=0,IF($E449=0,"",IF(INDEX(DMAV_Dienste!Q$6:Q$140,$E449)="","",INDEX(DMAV_Dienste!Q$6:Q$140,$E449))),IF(INDEX(DMAV_Modell!R$6:R$838,$B449)="","",INDEX(DMAV_Modell!R$6:R$838,$B449)))</f>
        <v>Mutationsart</v>
      </c>
      <c r="N449" s="62" t="str" cm="1">
        <f t="array" ref="N449">IF($B449=0,IF($E449=0,"",IF(INDEX(DMAV_Dienste!T$6:T$140,$E449)="","",INDEX(DMAV_Dienste!T$6:T$140,$E449))),IF(INDEX(DMAV_Modell!U$6:U$838,$B449)="","",INDEX(DMAV_Modell!U$6:U$838,$B449)))</f>
        <v/>
      </c>
      <c r="O449" s="63" t="str" cm="1">
        <f t="array" aca="1" ref="O449" ca="1">IF(C449=0,IF(F449=0,"",HYPERLINK("#"&amp;RIGHT(CELL("adresse",OFFSET(DMAV_Dienste!$M$6,F449-1,0)),LEN(CELL("adresse",OFFSET(DMAV_Dienste!$M$6,F449-1,0)))-FIND("]",CELL("adresse",OFFSET(DMAV_Dienste!$M$6,F449-1,0)))),"Structure")),HYPERLINK("#"&amp;RIGHT(CELL("adresse",OFFSET(DMAV_Modell!$N$6,C449-1,0)),LEN(CELL("adresse",OFFSET(DMAV_Modell!$N$6,C449-1,0)))-FIND("]",CELL("adresse",OFFSET(DMAV_Modell!$N$6,C449-1,0)))),"Structure"))</f>
        <v/>
      </c>
      <c r="P449" s="64" t="str" cm="1">
        <f t="array" aca="1" ref="P449" ca="1">IF(D449=0,IF(G449=0,"",HYPERLINK("#"&amp;RIGHT(CELL("adresse",OFFSET(DMAV_Dienste!$M$6,G449-1,0)),LEN(CELL("adresse",OFFSET(DMAV_Dienste!$M$6,G449-1,0)))-FIND("]",CELL("adresse",OFFSET(DMAV_Dienste!$M$6,G449-1,0)))),"Substructure")),HYPERLINK("#"&amp;RIGHT(CELL("adresse",OFFSET(DMAV_Modell!$N$6,D449-1,0)),LEN(CELL("adresse",OFFSET(DMAV_Modell!$N$6,D449-1,0)))-FIND("]",CELL("adresse",OFFSET(DMAV_Modell!$N$6,D449-1,0)))),"Substructure"))</f>
        <v/>
      </c>
      <c r="R449" s="80"/>
      <c r="T449" s="93"/>
      <c r="U449" s="94"/>
      <c r="V449" s="95"/>
      <c r="W449" s="96"/>
      <c r="Y449" s="85"/>
      <c r="Z449" s="86"/>
      <c r="AA449" s="87"/>
      <c r="AB449" s="88"/>
      <c r="AD449" s="77"/>
      <c r="AF449" s="54" t="str" cm="1">
        <f t="array" aca="1" ref="AF449" ca="1">IF(H449=0,"",HYPERLINK("#"&amp;RIGHT(CELL("adresse",OFFSET('DM01-AV-CH'!$G$6,H449-1,0)),LEN(CELL("adresse",OFFSET('DM01-AV-CH'!$G$6,H449-1,0)))-FIND("]",CELL("adresse",OFFSET('DM01-AV-CH'!$G$6,H449-1,0)))),"Modell"))</f>
        <v/>
      </c>
      <c r="AG449" s="72" t="str" cm="1">
        <f t="array" ref="AG449">IF($H449=0,"",IF(INDEX('DM01-AV-CH'!G$6:G$834,$H449)="","",INDEX('DM01-AV-CH'!G$6:G$834,$H449)))</f>
        <v/>
      </c>
      <c r="AH449" s="73" t="str" cm="1">
        <f t="array" ref="AH449">IF($H449=0,"",IF(INDEX('DM01-AV-CH'!H$6:H$834,$H449)="","",INDEX('DM01-AV-CH'!H$6:H$834,$H449)))</f>
        <v/>
      </c>
      <c r="AI449" s="74" t="str" cm="1">
        <f t="array" ref="AI449">IF($H449=0,"",IF(INDEX('DM01-AV-CH'!I$6:I$834,$H449)="","",INDEX('DM01-AV-CH'!I$6:I$834,$H449)))</f>
        <v/>
      </c>
    </row>
    <row r="450" spans="1:35" x14ac:dyDescent="0.25">
      <c r="A450" s="57">
        <v>445</v>
      </c>
      <c r="B450" s="57">
        <f>IF($A450="","",IF(_xlfn.XLOOKUP($A450,Korrelation!$D$4:$D$1197,Korrelation!E$4:E$1197,"-",0)="-",0,MATCH(_xlfn.XLOOKUP($A450,Korrelation!$D$4:$D$1197,Korrelation!E$4:E$1197,"",0),DMAV_Modell!$G$6:$G$677,0)))</f>
        <v>206</v>
      </c>
      <c r="C450" s="57">
        <f>IF($A450="","",IF(_xlfn.XLOOKUP($A450,Korrelation!$D$4:$D$1197,Korrelation!F$4:F$1197,"-",0)="-",0,MATCH(_xlfn.XLOOKUP($A450,Korrelation!$D$4:$D$1197,Korrelation!F$4:F$1197,"",0),DMAV_Modell!$G$6:$G$677,0)))</f>
        <v>0</v>
      </c>
      <c r="D450" s="57">
        <f>IF($A450="","",IF(_xlfn.XLOOKUP($A450,Korrelation!$D$4:$D$1197,Korrelation!G$4:G$1197,"-",0)="-",0,MATCH(_xlfn.XLOOKUP($A450,Korrelation!$D$4:$D$1197,Korrelation!G$4:G$1197,"",0),DMAV_Modell!$G$6:$G$677,0)))</f>
        <v>0</v>
      </c>
      <c r="E450" s="57">
        <f>IF($A450="","",IF(_xlfn.XLOOKUP($A450,Korrelation!$D$4:$D$1197,Korrelation!H$4:H$1197,"-",0)="-",0,MATCH(_xlfn.XLOOKUP($A450,Korrelation!$D$4:$D$1197,Korrelation!H$4:H$1197,"",0),DMAV_Dienste!$F$6:$F$140,0)))</f>
        <v>0</v>
      </c>
      <c r="F450" s="57">
        <f>IF($A450="","",IF(_xlfn.XLOOKUP($A450,Korrelation!$D$4:$D$1197,Korrelation!I$4:I$1197,"-",0)="-",0,MATCH(_xlfn.XLOOKUP($A450,Korrelation!$D$4:$D$1197,Korrelation!I$4:I$1197,"",0),DMAV_Dienste!$F$6:$F$140,0)))</f>
        <v>0</v>
      </c>
      <c r="G450" s="57">
        <f>IF($A450="","",IF(_xlfn.XLOOKUP($A450,Korrelation!$D$4:$D$1197,Korrelation!J$4:J$1197,"-",0)="-",0,MATCH(_xlfn.XLOOKUP($A450,Korrelation!$D$4:$D$1197,Korrelation!J$4:J$1197,"",0),DMAV_Dienste!$F$6:$F$140,0)))</f>
        <v>0</v>
      </c>
      <c r="H450" s="57">
        <f>IF($A450="","",IF(_xlfn.XLOOKUP($A450,Korrelation!$D$4:$D$1197,Korrelation!K$4:K$1197,"-",0)="-",0,MATCH(_xlfn.XLOOKUP($A450,Korrelation!$D$4:$D$1197,Korrelation!K$4:K$1197,"",0),'DM01-AV-CH'!$A$6:$A$834,0)))</f>
        <v>0</v>
      </c>
      <c r="J450" s="54" t="str" cm="1">
        <f t="array" aca="1" ref="J450" ca="1">IF(B450=0,IF(E450=0,"",HYPERLINK("#"&amp;RIGHT(CELL("adresse",OFFSET(DMAV_Dienste!$M$6,E450-1,0)),LEN(CELL("adresse",OFFSET(DMAV_Dienste!$M$6,E450-1,0)))-FIND("]",CELL("adresse",OFFSET(DMAV_Dienste!$M$6,E450-1,0)))),"Dienst")),HYPERLINK("#"&amp;RIGHT(CELL("adresse",OFFSET(DMAV_Modell!$N$6,B450-1,0)),LEN(CELL("adresse",OFFSET(DMAV_Modell!$N$6,B450-1,0)))-FIND("]",CELL("adresse",OFFSET(DMAV_Modell!$N$6,B450-1,0)))),"Modell"))</f>
        <v>Modell</v>
      </c>
      <c r="K450" s="61" t="str" cm="1">
        <f t="array" ref="K450">IF($B450=0,IF($E450=0,"",IF(INDEX(DMAV_Dienste!P$6:P$140,$E450)="","",INDEX(DMAV_Dienste!P$6:P$140,$E450))),IF(INDEX(DMAV_Modell!Q$6:Q$838,$B450)="","",INDEX(DMAV_Modell!Q$6:Q$838,$B450)))</f>
        <v>DOMAIN</v>
      </c>
      <c r="L450" s="62" t="str" cm="1">
        <f t="array" ref="L450">IF($B450=0,IF($E450=0,"",IF(INDEX(DMAV_Dienste!O$6:O$140,$E450)="","",INDEX(DMAV_Dienste!O$6:O$140,$E450))),IF(INDEX(DMAV_Modell!P$6:P$838,$B450)="","",INDEX(DMAV_Modell!P$6:P$838,$B450)))</f>
        <v>Grundstuecke</v>
      </c>
      <c r="M450" s="62" t="str" cm="1">
        <f t="array" ref="M450">IF($B450=0,IF($E450=0,"",IF(INDEX(DMAV_Dienste!Q$6:Q$140,$E450)="","",INDEX(DMAV_Dienste!Q$6:Q$140,$E450))),IF(INDEX(DMAV_Modell!R$6:R$838,$B450)="","",INDEX(DMAV_Modell!R$6:R$838,$B450)))</f>
        <v>Mutationsart</v>
      </c>
      <c r="N450" s="62" t="str" cm="1">
        <f t="array" ref="N450">IF($B450=0,IF($E450=0,"",IF(INDEX(DMAV_Dienste!T$6:T$140,$E450)="","",INDEX(DMAV_Dienste!T$6:T$140,$E450))),IF(INDEX(DMAV_Modell!U$6:U$838,$B450)="","",INDEX(DMAV_Modell!U$6:U$838,$B450)))</f>
        <v/>
      </c>
      <c r="O450" s="63" t="str" cm="1">
        <f t="array" aca="1" ref="O450" ca="1">IF(C450=0,IF(F450=0,"",HYPERLINK("#"&amp;RIGHT(CELL("adresse",OFFSET(DMAV_Dienste!$M$6,F450-1,0)),LEN(CELL("adresse",OFFSET(DMAV_Dienste!$M$6,F450-1,0)))-FIND("]",CELL("adresse",OFFSET(DMAV_Dienste!$M$6,F450-1,0)))),"Structure")),HYPERLINK("#"&amp;RIGHT(CELL("adresse",OFFSET(DMAV_Modell!$N$6,C450-1,0)),LEN(CELL("adresse",OFFSET(DMAV_Modell!$N$6,C450-1,0)))-FIND("]",CELL("adresse",OFFSET(DMAV_Modell!$N$6,C450-1,0)))),"Structure"))</f>
        <v/>
      </c>
      <c r="P450" s="64" t="str" cm="1">
        <f t="array" aca="1" ref="P450" ca="1">IF(D450=0,IF(G450=0,"",HYPERLINK("#"&amp;RIGHT(CELL("adresse",OFFSET(DMAV_Dienste!$M$6,G450-1,0)),LEN(CELL("adresse",OFFSET(DMAV_Dienste!$M$6,G450-1,0)))-FIND("]",CELL("adresse",OFFSET(DMAV_Dienste!$M$6,G450-1,0)))),"Substructure")),HYPERLINK("#"&amp;RIGHT(CELL("adresse",OFFSET(DMAV_Modell!$N$6,D450-1,0)),LEN(CELL("adresse",OFFSET(DMAV_Modell!$N$6,D450-1,0)))-FIND("]",CELL("adresse",OFFSET(DMAV_Modell!$N$6,D450-1,0)))),"Substructure"))</f>
        <v/>
      </c>
      <c r="R450" s="80"/>
      <c r="T450" s="93"/>
      <c r="U450" s="94"/>
      <c r="V450" s="95"/>
      <c r="W450" s="96"/>
      <c r="Y450" s="85"/>
      <c r="Z450" s="86"/>
      <c r="AA450" s="87"/>
      <c r="AB450" s="88"/>
      <c r="AD450" s="77"/>
      <c r="AF450" s="54" t="str" cm="1">
        <f t="array" aca="1" ref="AF450" ca="1">IF(H450=0,"",HYPERLINK("#"&amp;RIGHT(CELL("adresse",OFFSET('DM01-AV-CH'!$G$6,H450-1,0)),LEN(CELL("adresse",OFFSET('DM01-AV-CH'!$G$6,H450-1,0)))-FIND("]",CELL("adresse",OFFSET('DM01-AV-CH'!$G$6,H450-1,0)))),"Modell"))</f>
        <v/>
      </c>
      <c r="AG450" s="72" t="str" cm="1">
        <f t="array" ref="AG450">IF($H450=0,"",IF(INDEX('DM01-AV-CH'!G$6:G$834,$H450)="","",INDEX('DM01-AV-CH'!G$6:G$834,$H450)))</f>
        <v/>
      </c>
      <c r="AH450" s="73" t="str" cm="1">
        <f t="array" ref="AH450">IF($H450=0,"",IF(INDEX('DM01-AV-CH'!H$6:H$834,$H450)="","",INDEX('DM01-AV-CH'!H$6:H$834,$H450)))</f>
        <v/>
      </c>
      <c r="AI450" s="74" t="str" cm="1">
        <f t="array" ref="AI450">IF($H450=0,"",IF(INDEX('DM01-AV-CH'!I$6:I$834,$H450)="","",INDEX('DM01-AV-CH'!I$6:I$834,$H450)))</f>
        <v/>
      </c>
    </row>
    <row r="451" spans="1:35" x14ac:dyDescent="0.25">
      <c r="A451" s="57">
        <v>446</v>
      </c>
      <c r="B451" s="57">
        <f>IF($A451="","",IF(_xlfn.XLOOKUP($A451,Korrelation!$D$4:$D$1197,Korrelation!E$4:E$1197,"-",0)="-",0,MATCH(_xlfn.XLOOKUP($A451,Korrelation!$D$4:$D$1197,Korrelation!E$4:E$1197,"",0),DMAV_Modell!$G$6:$G$677,0)))</f>
        <v>207</v>
      </c>
      <c r="C451" s="57">
        <f>IF($A451="","",IF(_xlfn.XLOOKUP($A451,Korrelation!$D$4:$D$1197,Korrelation!F$4:F$1197,"-",0)="-",0,MATCH(_xlfn.XLOOKUP($A451,Korrelation!$D$4:$D$1197,Korrelation!F$4:F$1197,"",0),DMAV_Modell!$G$6:$G$677,0)))</f>
        <v>0</v>
      </c>
      <c r="D451" s="57">
        <f>IF($A451="","",IF(_xlfn.XLOOKUP($A451,Korrelation!$D$4:$D$1197,Korrelation!G$4:G$1197,"-",0)="-",0,MATCH(_xlfn.XLOOKUP($A451,Korrelation!$D$4:$D$1197,Korrelation!G$4:G$1197,"",0),DMAV_Modell!$G$6:$G$677,0)))</f>
        <v>0</v>
      </c>
      <c r="E451" s="57">
        <f>IF($A451="","",IF(_xlfn.XLOOKUP($A451,Korrelation!$D$4:$D$1197,Korrelation!H$4:H$1197,"-",0)="-",0,MATCH(_xlfn.XLOOKUP($A451,Korrelation!$D$4:$D$1197,Korrelation!H$4:H$1197,"",0),DMAV_Dienste!$F$6:$F$140,0)))</f>
        <v>0</v>
      </c>
      <c r="F451" s="57">
        <f>IF($A451="","",IF(_xlfn.XLOOKUP($A451,Korrelation!$D$4:$D$1197,Korrelation!I$4:I$1197,"-",0)="-",0,MATCH(_xlfn.XLOOKUP($A451,Korrelation!$D$4:$D$1197,Korrelation!I$4:I$1197,"",0),DMAV_Dienste!$F$6:$F$140,0)))</f>
        <v>0</v>
      </c>
      <c r="G451" s="57">
        <f>IF($A451="","",IF(_xlfn.XLOOKUP($A451,Korrelation!$D$4:$D$1197,Korrelation!J$4:J$1197,"-",0)="-",0,MATCH(_xlfn.XLOOKUP($A451,Korrelation!$D$4:$D$1197,Korrelation!J$4:J$1197,"",0),DMAV_Dienste!$F$6:$F$140,0)))</f>
        <v>0</v>
      </c>
      <c r="H451" s="57">
        <f>IF($A451="","",IF(_xlfn.XLOOKUP($A451,Korrelation!$D$4:$D$1197,Korrelation!K$4:K$1197,"-",0)="-",0,MATCH(_xlfn.XLOOKUP($A451,Korrelation!$D$4:$D$1197,Korrelation!K$4:K$1197,"",0),'DM01-AV-CH'!$A$6:$A$834,0)))</f>
        <v>0</v>
      </c>
      <c r="J451" s="54" t="str" cm="1">
        <f t="array" aca="1" ref="J451" ca="1">IF(B451=0,IF(E451=0,"",HYPERLINK("#"&amp;RIGHT(CELL("adresse",OFFSET(DMAV_Dienste!$M$6,E451-1,0)),LEN(CELL("adresse",OFFSET(DMAV_Dienste!$M$6,E451-1,0)))-FIND("]",CELL("adresse",OFFSET(DMAV_Dienste!$M$6,E451-1,0)))),"Dienst")),HYPERLINK("#"&amp;RIGHT(CELL("adresse",OFFSET(DMAV_Modell!$N$6,B451-1,0)),LEN(CELL("adresse",OFFSET(DMAV_Modell!$N$6,B451-1,0)))-FIND("]",CELL("adresse",OFFSET(DMAV_Modell!$N$6,B451-1,0)))),"Modell"))</f>
        <v>Modell</v>
      </c>
      <c r="K451" s="61" t="str" cm="1">
        <f t="array" ref="K451">IF($B451=0,IF($E451=0,"",IF(INDEX(DMAV_Dienste!P$6:P$140,$E451)="","",INDEX(DMAV_Dienste!P$6:P$140,$E451))),IF(INDEX(DMAV_Modell!Q$6:Q$838,$B451)="","",INDEX(DMAV_Modell!Q$6:Q$838,$B451)))</f>
        <v>DOMAIN</v>
      </c>
      <c r="L451" s="62" t="str" cm="1">
        <f t="array" ref="L451">IF($B451=0,IF($E451=0,"",IF(INDEX(DMAV_Dienste!O$6:O$140,$E451)="","",INDEX(DMAV_Dienste!O$6:O$140,$E451))),IF(INDEX(DMAV_Modell!P$6:P$838,$B451)="","",INDEX(DMAV_Modell!P$6:P$838,$B451)))</f>
        <v>Grundstuecke</v>
      </c>
      <c r="M451" s="62" t="str" cm="1">
        <f t="array" ref="M451">IF($B451=0,IF($E451=0,"",IF(INDEX(DMAV_Dienste!Q$6:Q$140,$E451)="","",INDEX(DMAV_Dienste!Q$6:Q$140,$E451))),IF(INDEX(DMAV_Modell!R$6:R$838,$B451)="","",INDEX(DMAV_Modell!R$6:R$838,$B451)))</f>
        <v>Mutationsart</v>
      </c>
      <c r="N451" s="62" t="str" cm="1">
        <f t="array" ref="N451">IF($B451=0,IF($E451=0,"",IF(INDEX(DMAV_Dienste!T$6:T$140,$E451)="","",INDEX(DMAV_Dienste!T$6:T$140,$E451))),IF(INDEX(DMAV_Modell!U$6:U$838,$B451)="","",INDEX(DMAV_Modell!U$6:U$838,$B451)))</f>
        <v/>
      </c>
      <c r="O451" s="63" t="str" cm="1">
        <f t="array" aca="1" ref="O451" ca="1">IF(C451=0,IF(F451=0,"",HYPERLINK("#"&amp;RIGHT(CELL("adresse",OFFSET(DMAV_Dienste!$M$6,F451-1,0)),LEN(CELL("adresse",OFFSET(DMAV_Dienste!$M$6,F451-1,0)))-FIND("]",CELL("adresse",OFFSET(DMAV_Dienste!$M$6,F451-1,0)))),"Structure")),HYPERLINK("#"&amp;RIGHT(CELL("adresse",OFFSET(DMAV_Modell!$N$6,C451-1,0)),LEN(CELL("adresse",OFFSET(DMAV_Modell!$N$6,C451-1,0)))-FIND("]",CELL("adresse",OFFSET(DMAV_Modell!$N$6,C451-1,0)))),"Structure"))</f>
        <v/>
      </c>
      <c r="P451" s="64" t="str" cm="1">
        <f t="array" aca="1" ref="P451" ca="1">IF(D451=0,IF(G451=0,"",HYPERLINK("#"&amp;RIGHT(CELL("adresse",OFFSET(DMAV_Dienste!$M$6,G451-1,0)),LEN(CELL("adresse",OFFSET(DMAV_Dienste!$M$6,G451-1,0)))-FIND("]",CELL("adresse",OFFSET(DMAV_Dienste!$M$6,G451-1,0)))),"Substructure")),HYPERLINK("#"&amp;RIGHT(CELL("adresse",OFFSET(DMAV_Modell!$N$6,D451-1,0)),LEN(CELL("adresse",OFFSET(DMAV_Modell!$N$6,D451-1,0)))-FIND("]",CELL("adresse",OFFSET(DMAV_Modell!$N$6,D451-1,0)))),"Substructure"))</f>
        <v/>
      </c>
      <c r="R451" s="80"/>
      <c r="T451" s="93"/>
      <c r="U451" s="94"/>
      <c r="V451" s="95"/>
      <c r="W451" s="96"/>
      <c r="Y451" s="85"/>
      <c r="Z451" s="86"/>
      <c r="AA451" s="87"/>
      <c r="AB451" s="88"/>
      <c r="AD451" s="77"/>
      <c r="AF451" s="54" t="str" cm="1">
        <f t="array" aca="1" ref="AF451" ca="1">IF(H451=0,"",HYPERLINK("#"&amp;RIGHT(CELL("adresse",OFFSET('DM01-AV-CH'!$G$6,H451-1,0)),LEN(CELL("adresse",OFFSET('DM01-AV-CH'!$G$6,H451-1,0)))-FIND("]",CELL("adresse",OFFSET('DM01-AV-CH'!$G$6,H451-1,0)))),"Modell"))</f>
        <v/>
      </c>
      <c r="AG451" s="72" t="str" cm="1">
        <f t="array" ref="AG451">IF($H451=0,"",IF(INDEX('DM01-AV-CH'!G$6:G$834,$H451)="","",INDEX('DM01-AV-CH'!G$6:G$834,$H451)))</f>
        <v/>
      </c>
      <c r="AH451" s="73" t="str" cm="1">
        <f t="array" ref="AH451">IF($H451=0,"",IF(INDEX('DM01-AV-CH'!H$6:H$834,$H451)="","",INDEX('DM01-AV-CH'!H$6:H$834,$H451)))</f>
        <v/>
      </c>
      <c r="AI451" s="74" t="str" cm="1">
        <f t="array" ref="AI451">IF($H451=0,"",IF(INDEX('DM01-AV-CH'!I$6:I$834,$H451)="","",INDEX('DM01-AV-CH'!I$6:I$834,$H451)))</f>
        <v/>
      </c>
    </row>
    <row r="452" spans="1:35" x14ac:dyDescent="0.25">
      <c r="A452" s="57">
        <v>447</v>
      </c>
      <c r="B452" s="57">
        <f>IF($A452="","",IF(_xlfn.XLOOKUP($A452,Korrelation!$D$4:$D$1197,Korrelation!E$4:E$1197,"-",0)="-",0,MATCH(_xlfn.XLOOKUP($A452,Korrelation!$D$4:$D$1197,Korrelation!E$4:E$1197,"",0),DMAV_Modell!$G$6:$G$677,0)))</f>
        <v>208</v>
      </c>
      <c r="C452" s="57">
        <f>IF($A452="","",IF(_xlfn.XLOOKUP($A452,Korrelation!$D$4:$D$1197,Korrelation!F$4:F$1197,"-",0)="-",0,MATCH(_xlfn.XLOOKUP($A452,Korrelation!$D$4:$D$1197,Korrelation!F$4:F$1197,"",0),DMAV_Modell!$G$6:$G$677,0)))</f>
        <v>0</v>
      </c>
      <c r="D452" s="57">
        <f>IF($A452="","",IF(_xlfn.XLOOKUP($A452,Korrelation!$D$4:$D$1197,Korrelation!G$4:G$1197,"-",0)="-",0,MATCH(_xlfn.XLOOKUP($A452,Korrelation!$D$4:$D$1197,Korrelation!G$4:G$1197,"",0),DMAV_Modell!$G$6:$G$677,0)))</f>
        <v>0</v>
      </c>
      <c r="E452" s="57">
        <f>IF($A452="","",IF(_xlfn.XLOOKUP($A452,Korrelation!$D$4:$D$1197,Korrelation!H$4:H$1197,"-",0)="-",0,MATCH(_xlfn.XLOOKUP($A452,Korrelation!$D$4:$D$1197,Korrelation!H$4:H$1197,"",0),DMAV_Dienste!$F$6:$F$140,0)))</f>
        <v>0</v>
      </c>
      <c r="F452" s="57">
        <f>IF($A452="","",IF(_xlfn.XLOOKUP($A452,Korrelation!$D$4:$D$1197,Korrelation!I$4:I$1197,"-",0)="-",0,MATCH(_xlfn.XLOOKUP($A452,Korrelation!$D$4:$D$1197,Korrelation!I$4:I$1197,"",0),DMAV_Dienste!$F$6:$F$140,0)))</f>
        <v>0</v>
      </c>
      <c r="G452" s="57">
        <f>IF($A452="","",IF(_xlfn.XLOOKUP($A452,Korrelation!$D$4:$D$1197,Korrelation!J$4:J$1197,"-",0)="-",0,MATCH(_xlfn.XLOOKUP($A452,Korrelation!$D$4:$D$1197,Korrelation!J$4:J$1197,"",0),DMAV_Dienste!$F$6:$F$140,0)))</f>
        <v>0</v>
      </c>
      <c r="H452" s="57">
        <f>IF($A452="","",IF(_xlfn.XLOOKUP($A452,Korrelation!$D$4:$D$1197,Korrelation!K$4:K$1197,"-",0)="-",0,MATCH(_xlfn.XLOOKUP($A452,Korrelation!$D$4:$D$1197,Korrelation!K$4:K$1197,"",0),'DM01-AV-CH'!$A$6:$A$834,0)))</f>
        <v>419</v>
      </c>
      <c r="J452" s="54" t="str" cm="1">
        <f t="array" aca="1" ref="J452" ca="1">IF(B452=0,IF(E452=0,"",HYPERLINK("#"&amp;RIGHT(CELL("adresse",OFFSET(DMAV_Dienste!$M$6,E452-1,0)),LEN(CELL("adresse",OFFSET(DMAV_Dienste!$M$6,E452-1,0)))-FIND("]",CELL("adresse",OFFSET(DMAV_Dienste!$M$6,E452-1,0)))),"Dienst")),HYPERLINK("#"&amp;RIGHT(CELL("adresse",OFFSET(DMAV_Modell!$N$6,B452-1,0)),LEN(CELL("adresse",OFFSET(DMAV_Modell!$N$6,B452-1,0)))-FIND("]",CELL("adresse",OFFSET(DMAV_Modell!$N$6,B452-1,0)))),"Modell"))</f>
        <v>Modell</v>
      </c>
      <c r="K452" s="61" t="str" cm="1">
        <f t="array" ref="K452">IF($B452=0,IF($E452=0,"",IF(INDEX(DMAV_Dienste!P$6:P$140,$E452)="","",INDEX(DMAV_Dienste!P$6:P$140,$E452))),IF(INDEX(DMAV_Modell!Q$6:Q$838,$B452)="","",INDEX(DMAV_Modell!Q$6:Q$838,$B452)))</f>
        <v>CLASS</v>
      </c>
      <c r="L452" s="62" t="str" cm="1">
        <f t="array" ref="L452">IF($B452=0,IF($E452=0,"",IF(INDEX(DMAV_Dienste!O$6:O$140,$E452)="","",INDEX(DMAV_Dienste!O$6:O$140,$E452))),IF(INDEX(DMAV_Modell!P$6:P$838,$B452)="","",INDEX(DMAV_Modell!P$6:P$838,$B452)))</f>
        <v>Grundstuecke</v>
      </c>
      <c r="M452" s="62" t="str" cm="1">
        <f t="array" ref="M452">IF($B452=0,IF($E452=0,"",IF(INDEX(DMAV_Dienste!Q$6:Q$140,$E452)="","",INDEX(DMAV_Dienste!Q$6:Q$140,$E452))),IF(INDEX(DMAV_Modell!R$6:R$838,$B452)="","",INDEX(DMAV_Modell!R$6:R$838,$B452)))</f>
        <v>GSNachfuehrung</v>
      </c>
      <c r="N452" s="62" t="str" cm="1">
        <f t="array" ref="N452">IF($B452=0,IF($E452=0,"",IF(INDEX(DMAV_Dienste!T$6:T$140,$E452)="","",INDEX(DMAV_Dienste!T$6:T$140,$E452))),IF(INDEX(DMAV_Modell!U$6:U$838,$B452)="","",INDEX(DMAV_Modell!U$6:U$838,$B452)))</f>
        <v>NBIdent</v>
      </c>
      <c r="O452" s="63" t="str" cm="1">
        <f t="array" aca="1" ref="O452" ca="1">IF(C452=0,IF(F452=0,"",HYPERLINK("#"&amp;RIGHT(CELL("adresse",OFFSET(DMAV_Dienste!$M$6,F452-1,0)),LEN(CELL("adresse",OFFSET(DMAV_Dienste!$M$6,F452-1,0)))-FIND("]",CELL("adresse",OFFSET(DMAV_Dienste!$M$6,F452-1,0)))),"Structure")),HYPERLINK("#"&amp;RIGHT(CELL("adresse",OFFSET(DMAV_Modell!$N$6,C452-1,0)),LEN(CELL("adresse",OFFSET(DMAV_Modell!$N$6,C452-1,0)))-FIND("]",CELL("adresse",OFFSET(DMAV_Modell!$N$6,C452-1,0)))),"Structure"))</f>
        <v/>
      </c>
      <c r="P452" s="64" t="str" cm="1">
        <f t="array" aca="1" ref="P452" ca="1">IF(D452=0,IF(G452=0,"",HYPERLINK("#"&amp;RIGHT(CELL("adresse",OFFSET(DMAV_Dienste!$M$6,G452-1,0)),LEN(CELL("adresse",OFFSET(DMAV_Dienste!$M$6,G452-1,0)))-FIND("]",CELL("adresse",OFFSET(DMAV_Dienste!$M$6,G452-1,0)))),"Substructure")),HYPERLINK("#"&amp;RIGHT(CELL("adresse",OFFSET(DMAV_Modell!$N$6,D452-1,0)),LEN(CELL("adresse",OFFSET(DMAV_Modell!$N$6,D452-1,0)))-FIND("]",CELL("adresse",OFFSET(DMAV_Modell!$N$6,D452-1,0)))),"Substructure"))</f>
        <v/>
      </c>
      <c r="R452" s="80"/>
      <c r="T452" s="93"/>
      <c r="U452" s="94"/>
      <c r="V452" s="95"/>
      <c r="W452" s="96"/>
      <c r="Y452" s="85"/>
      <c r="Z452" s="86"/>
      <c r="AA452" s="87"/>
      <c r="AB452" s="88"/>
      <c r="AD452" s="77"/>
      <c r="AF452" s="54" t="str" cm="1">
        <f t="array" aca="1" ref="AF452" ca="1">IF(H452=0,"",HYPERLINK("#"&amp;RIGHT(CELL("adresse",OFFSET('DM01-AV-CH'!$G$6,H452-1,0)),LEN(CELL("adresse",OFFSET('DM01-AV-CH'!$G$6,H452-1,0)))-FIND("]",CELL("adresse",OFFSET('DM01-AV-CH'!$G$6,H452-1,0)))),"Modell"))</f>
        <v>Modell</v>
      </c>
      <c r="AG452" s="72" t="str" cm="1">
        <f t="array" ref="AG452">IF($H452=0,"",IF(INDEX('DM01-AV-CH'!G$6:G$834,$H452)="","",INDEX('DM01-AV-CH'!G$6:G$834,$H452)))</f>
        <v>Liegenschaften</v>
      </c>
      <c r="AH452" s="73" t="str" cm="1">
        <f t="array" ref="AH452">IF($H452=0,"",IF(INDEX('DM01-AV-CH'!H$6:H$834,$H452)="","",INDEX('DM01-AV-CH'!H$6:H$834,$H452)))</f>
        <v>LSNachfuehrung</v>
      </c>
      <c r="AI452" s="74" t="str" cm="1">
        <f t="array" ref="AI452">IF($H452=0,"",IF(INDEX('DM01-AV-CH'!I$6:I$834,$H452)="","",INDEX('DM01-AV-CH'!I$6:I$834,$H452)))</f>
        <v>NBIdent</v>
      </c>
    </row>
    <row r="453" spans="1:35" x14ac:dyDescent="0.25">
      <c r="A453" s="57">
        <v>448</v>
      </c>
      <c r="B453" s="57">
        <f>IF($A453="","",IF(_xlfn.XLOOKUP($A453,Korrelation!$D$4:$D$1197,Korrelation!E$4:E$1197,"-",0)="-",0,MATCH(_xlfn.XLOOKUP($A453,Korrelation!$D$4:$D$1197,Korrelation!E$4:E$1197,"",0),DMAV_Modell!$G$6:$G$677,0)))</f>
        <v>209</v>
      </c>
      <c r="C453" s="57">
        <f>IF($A453="","",IF(_xlfn.XLOOKUP($A453,Korrelation!$D$4:$D$1197,Korrelation!F$4:F$1197,"-",0)="-",0,MATCH(_xlfn.XLOOKUP($A453,Korrelation!$D$4:$D$1197,Korrelation!F$4:F$1197,"",0),DMAV_Modell!$G$6:$G$677,0)))</f>
        <v>0</v>
      </c>
      <c r="D453" s="57">
        <f>IF($A453="","",IF(_xlfn.XLOOKUP($A453,Korrelation!$D$4:$D$1197,Korrelation!G$4:G$1197,"-",0)="-",0,MATCH(_xlfn.XLOOKUP($A453,Korrelation!$D$4:$D$1197,Korrelation!G$4:G$1197,"",0),DMAV_Modell!$G$6:$G$677,0)))</f>
        <v>0</v>
      </c>
      <c r="E453" s="57">
        <f>IF($A453="","",IF(_xlfn.XLOOKUP($A453,Korrelation!$D$4:$D$1197,Korrelation!H$4:H$1197,"-",0)="-",0,MATCH(_xlfn.XLOOKUP($A453,Korrelation!$D$4:$D$1197,Korrelation!H$4:H$1197,"",0),DMAV_Dienste!$F$6:$F$140,0)))</f>
        <v>0</v>
      </c>
      <c r="F453" s="57">
        <f>IF($A453="","",IF(_xlfn.XLOOKUP($A453,Korrelation!$D$4:$D$1197,Korrelation!I$4:I$1197,"-",0)="-",0,MATCH(_xlfn.XLOOKUP($A453,Korrelation!$D$4:$D$1197,Korrelation!I$4:I$1197,"",0),DMAV_Dienste!$F$6:$F$140,0)))</f>
        <v>0</v>
      </c>
      <c r="G453" s="57">
        <f>IF($A453="","",IF(_xlfn.XLOOKUP($A453,Korrelation!$D$4:$D$1197,Korrelation!J$4:J$1197,"-",0)="-",0,MATCH(_xlfn.XLOOKUP($A453,Korrelation!$D$4:$D$1197,Korrelation!J$4:J$1197,"",0),DMAV_Dienste!$F$6:$F$140,0)))</f>
        <v>0</v>
      </c>
      <c r="H453" s="57">
        <f>IF($A453="","",IF(_xlfn.XLOOKUP($A453,Korrelation!$D$4:$D$1197,Korrelation!K$4:K$1197,"-",0)="-",0,MATCH(_xlfn.XLOOKUP($A453,Korrelation!$D$4:$D$1197,Korrelation!K$4:K$1197,"",0),'DM01-AV-CH'!$A$6:$A$834,0)))</f>
        <v>420</v>
      </c>
      <c r="J453" s="54" t="str" cm="1">
        <f t="array" aca="1" ref="J453" ca="1">IF(B453=0,IF(E453=0,"",HYPERLINK("#"&amp;RIGHT(CELL("adresse",OFFSET(DMAV_Dienste!$M$6,E453-1,0)),LEN(CELL("adresse",OFFSET(DMAV_Dienste!$M$6,E453-1,0)))-FIND("]",CELL("adresse",OFFSET(DMAV_Dienste!$M$6,E453-1,0)))),"Dienst")),HYPERLINK("#"&amp;RIGHT(CELL("adresse",OFFSET(DMAV_Modell!$N$6,B453-1,0)),LEN(CELL("adresse",OFFSET(DMAV_Modell!$N$6,B453-1,0)))-FIND("]",CELL("adresse",OFFSET(DMAV_Modell!$N$6,B453-1,0)))),"Modell"))</f>
        <v>Modell</v>
      </c>
      <c r="K453" s="61" t="str" cm="1">
        <f t="array" ref="K453">IF($B453=0,IF($E453=0,"",IF(INDEX(DMAV_Dienste!P$6:P$140,$E453)="","",INDEX(DMAV_Dienste!P$6:P$140,$E453))),IF(INDEX(DMAV_Modell!Q$6:Q$838,$B453)="","",INDEX(DMAV_Modell!Q$6:Q$838,$B453)))</f>
        <v>CLASS</v>
      </c>
      <c r="L453" s="62" t="str" cm="1">
        <f t="array" ref="L453">IF($B453=0,IF($E453=0,"",IF(INDEX(DMAV_Dienste!O$6:O$140,$E453)="","",INDEX(DMAV_Dienste!O$6:O$140,$E453))),IF(INDEX(DMAV_Modell!P$6:P$838,$B453)="","",INDEX(DMAV_Modell!P$6:P$838,$B453)))</f>
        <v>Grundstuecke</v>
      </c>
      <c r="M453" s="62" t="str" cm="1">
        <f t="array" ref="M453">IF($B453=0,IF($E453=0,"",IF(INDEX(DMAV_Dienste!Q$6:Q$140,$E453)="","",INDEX(DMAV_Dienste!Q$6:Q$140,$E453))),IF(INDEX(DMAV_Modell!R$6:R$838,$B453)="","",INDEX(DMAV_Modell!R$6:R$838,$B453)))</f>
        <v>GSNachfuehrung</v>
      </c>
      <c r="N453" s="62" t="str" cm="1">
        <f t="array" ref="N453">IF($B453=0,IF($E453=0,"",IF(INDEX(DMAV_Dienste!T$6:T$140,$E453)="","",INDEX(DMAV_Dienste!T$6:T$140,$E453))),IF(INDEX(DMAV_Modell!U$6:U$838,$B453)="","",INDEX(DMAV_Modell!U$6:U$838,$B453)))</f>
        <v>Identifikator</v>
      </c>
      <c r="O453" s="63" t="str" cm="1">
        <f t="array" aca="1" ref="O453" ca="1">IF(C453=0,IF(F453=0,"",HYPERLINK("#"&amp;RIGHT(CELL("adresse",OFFSET(DMAV_Dienste!$M$6,F453-1,0)),LEN(CELL("adresse",OFFSET(DMAV_Dienste!$M$6,F453-1,0)))-FIND("]",CELL("adresse",OFFSET(DMAV_Dienste!$M$6,F453-1,0)))),"Structure")),HYPERLINK("#"&amp;RIGHT(CELL("adresse",OFFSET(DMAV_Modell!$N$6,C453-1,0)),LEN(CELL("adresse",OFFSET(DMAV_Modell!$N$6,C453-1,0)))-FIND("]",CELL("adresse",OFFSET(DMAV_Modell!$N$6,C453-1,0)))),"Structure"))</f>
        <v/>
      </c>
      <c r="P453" s="64" t="str" cm="1">
        <f t="array" aca="1" ref="P453" ca="1">IF(D453=0,IF(G453=0,"",HYPERLINK("#"&amp;RIGHT(CELL("adresse",OFFSET(DMAV_Dienste!$M$6,G453-1,0)),LEN(CELL("adresse",OFFSET(DMAV_Dienste!$M$6,G453-1,0)))-FIND("]",CELL("adresse",OFFSET(DMAV_Dienste!$M$6,G453-1,0)))),"Substructure")),HYPERLINK("#"&amp;RIGHT(CELL("adresse",OFFSET(DMAV_Modell!$N$6,D453-1,0)),LEN(CELL("adresse",OFFSET(DMAV_Modell!$N$6,D453-1,0)))-FIND("]",CELL("adresse",OFFSET(DMAV_Modell!$N$6,D453-1,0)))),"Substructure"))</f>
        <v/>
      </c>
      <c r="R453" s="80"/>
      <c r="T453" s="93"/>
      <c r="U453" s="94"/>
      <c r="V453" s="95"/>
      <c r="W453" s="96"/>
      <c r="Y453" s="85"/>
      <c r="Z453" s="86"/>
      <c r="AA453" s="87"/>
      <c r="AB453" s="88"/>
      <c r="AD453" s="77"/>
      <c r="AF453" s="54" t="str" cm="1">
        <f t="array" aca="1" ref="AF453" ca="1">IF(H453=0,"",HYPERLINK("#"&amp;RIGHT(CELL("adresse",OFFSET('DM01-AV-CH'!$G$6,H453-1,0)),LEN(CELL("adresse",OFFSET('DM01-AV-CH'!$G$6,H453-1,0)))-FIND("]",CELL("adresse",OFFSET('DM01-AV-CH'!$G$6,H453-1,0)))),"Modell"))</f>
        <v>Modell</v>
      </c>
      <c r="AG453" s="72" t="str" cm="1">
        <f t="array" ref="AG453">IF($H453=0,"",IF(INDEX('DM01-AV-CH'!G$6:G$834,$H453)="","",INDEX('DM01-AV-CH'!G$6:G$834,$H453)))</f>
        <v>Liegenschaften</v>
      </c>
      <c r="AH453" s="73" t="str" cm="1">
        <f t="array" ref="AH453">IF($H453=0,"",IF(INDEX('DM01-AV-CH'!H$6:H$834,$H453)="","",INDEX('DM01-AV-CH'!H$6:H$834,$H453)))</f>
        <v>LSNachfuehrung</v>
      </c>
      <c r="AI453" s="74" t="str" cm="1">
        <f t="array" ref="AI453">IF($H453=0,"",IF(INDEX('DM01-AV-CH'!I$6:I$834,$H453)="","",INDEX('DM01-AV-CH'!I$6:I$834,$H453)))</f>
        <v>Identifikator</v>
      </c>
    </row>
    <row r="454" spans="1:35" x14ac:dyDescent="0.25">
      <c r="A454" s="57">
        <v>449</v>
      </c>
      <c r="B454" s="57">
        <f>IF($A454="","",IF(_xlfn.XLOOKUP($A454,Korrelation!$D$4:$D$1197,Korrelation!E$4:E$1197,"-",0)="-",0,MATCH(_xlfn.XLOOKUP($A454,Korrelation!$D$4:$D$1197,Korrelation!E$4:E$1197,"",0),DMAV_Modell!$G$6:$G$677,0)))</f>
        <v>210</v>
      </c>
      <c r="C454" s="57">
        <f>IF($A454="","",IF(_xlfn.XLOOKUP($A454,Korrelation!$D$4:$D$1197,Korrelation!F$4:F$1197,"-",0)="-",0,MATCH(_xlfn.XLOOKUP($A454,Korrelation!$D$4:$D$1197,Korrelation!F$4:F$1197,"",0),DMAV_Modell!$G$6:$G$677,0)))</f>
        <v>0</v>
      </c>
      <c r="D454" s="57">
        <f>IF($A454="","",IF(_xlfn.XLOOKUP($A454,Korrelation!$D$4:$D$1197,Korrelation!G$4:G$1197,"-",0)="-",0,MATCH(_xlfn.XLOOKUP($A454,Korrelation!$D$4:$D$1197,Korrelation!G$4:G$1197,"",0),DMAV_Modell!$G$6:$G$677,0)))</f>
        <v>0</v>
      </c>
      <c r="E454" s="57">
        <f>IF($A454="","",IF(_xlfn.XLOOKUP($A454,Korrelation!$D$4:$D$1197,Korrelation!H$4:H$1197,"-",0)="-",0,MATCH(_xlfn.XLOOKUP($A454,Korrelation!$D$4:$D$1197,Korrelation!H$4:H$1197,"",0),DMAV_Dienste!$F$6:$F$140,0)))</f>
        <v>0</v>
      </c>
      <c r="F454" s="57">
        <f>IF($A454="","",IF(_xlfn.XLOOKUP($A454,Korrelation!$D$4:$D$1197,Korrelation!I$4:I$1197,"-",0)="-",0,MATCH(_xlfn.XLOOKUP($A454,Korrelation!$D$4:$D$1197,Korrelation!I$4:I$1197,"",0),DMAV_Dienste!$F$6:$F$140,0)))</f>
        <v>0</v>
      </c>
      <c r="G454" s="57">
        <f>IF($A454="","",IF(_xlfn.XLOOKUP($A454,Korrelation!$D$4:$D$1197,Korrelation!J$4:J$1197,"-",0)="-",0,MATCH(_xlfn.XLOOKUP($A454,Korrelation!$D$4:$D$1197,Korrelation!J$4:J$1197,"",0),DMAV_Dienste!$F$6:$F$140,0)))</f>
        <v>0</v>
      </c>
      <c r="H454" s="57">
        <f>IF($A454="","",IF(_xlfn.XLOOKUP($A454,Korrelation!$D$4:$D$1197,Korrelation!K$4:K$1197,"-",0)="-",0,MATCH(_xlfn.XLOOKUP($A454,Korrelation!$D$4:$D$1197,Korrelation!K$4:K$1197,"",0),'DM01-AV-CH'!$A$6:$A$834,0)))</f>
        <v>421</v>
      </c>
      <c r="J454" s="54" t="str" cm="1">
        <f t="array" aca="1" ref="J454" ca="1">IF(B454=0,IF(E454=0,"",HYPERLINK("#"&amp;RIGHT(CELL("adresse",OFFSET(DMAV_Dienste!$M$6,E454-1,0)),LEN(CELL("adresse",OFFSET(DMAV_Dienste!$M$6,E454-1,0)))-FIND("]",CELL("adresse",OFFSET(DMAV_Dienste!$M$6,E454-1,0)))),"Dienst")),HYPERLINK("#"&amp;RIGHT(CELL("adresse",OFFSET(DMAV_Modell!$N$6,B454-1,0)),LEN(CELL("adresse",OFFSET(DMAV_Modell!$N$6,B454-1,0)))-FIND("]",CELL("adresse",OFFSET(DMAV_Modell!$N$6,B454-1,0)))),"Modell"))</f>
        <v>Modell</v>
      </c>
      <c r="K454" s="61" t="str" cm="1">
        <f t="array" ref="K454">IF($B454=0,IF($E454=0,"",IF(INDEX(DMAV_Dienste!P$6:P$140,$E454)="","",INDEX(DMAV_Dienste!P$6:P$140,$E454))),IF(INDEX(DMAV_Modell!Q$6:Q$838,$B454)="","",INDEX(DMAV_Modell!Q$6:Q$838,$B454)))</f>
        <v>CLASS</v>
      </c>
      <c r="L454" s="62" t="str" cm="1">
        <f t="array" ref="L454">IF($B454=0,IF($E454=0,"",IF(INDEX(DMAV_Dienste!O$6:O$140,$E454)="","",INDEX(DMAV_Dienste!O$6:O$140,$E454))),IF(INDEX(DMAV_Modell!P$6:P$838,$B454)="","",INDEX(DMAV_Modell!P$6:P$838,$B454)))</f>
        <v>Grundstuecke</v>
      </c>
      <c r="M454" s="62" t="str" cm="1">
        <f t="array" ref="M454">IF($B454=0,IF($E454=0,"",IF(INDEX(DMAV_Dienste!Q$6:Q$140,$E454)="","",INDEX(DMAV_Dienste!Q$6:Q$140,$E454))),IF(INDEX(DMAV_Modell!R$6:R$838,$B454)="","",INDEX(DMAV_Modell!R$6:R$838,$B454)))</f>
        <v>GSNachfuehrung</v>
      </c>
      <c r="N454" s="62" t="str" cm="1">
        <f t="array" ref="N454">IF($B454=0,IF($E454=0,"",IF(INDEX(DMAV_Dienste!T$6:T$140,$E454)="","",INDEX(DMAV_Dienste!T$6:T$140,$E454))),IF(INDEX(DMAV_Modell!U$6:U$838,$B454)="","",INDEX(DMAV_Modell!U$6:U$838,$B454)))</f>
        <v>Beschreibung</v>
      </c>
      <c r="O454" s="63" t="str" cm="1">
        <f t="array" aca="1" ref="O454" ca="1">IF(C454=0,IF(F454=0,"",HYPERLINK("#"&amp;RIGHT(CELL("adresse",OFFSET(DMAV_Dienste!$M$6,F454-1,0)),LEN(CELL("adresse",OFFSET(DMAV_Dienste!$M$6,F454-1,0)))-FIND("]",CELL("adresse",OFFSET(DMAV_Dienste!$M$6,F454-1,0)))),"Structure")),HYPERLINK("#"&amp;RIGHT(CELL("adresse",OFFSET(DMAV_Modell!$N$6,C454-1,0)),LEN(CELL("adresse",OFFSET(DMAV_Modell!$N$6,C454-1,0)))-FIND("]",CELL("adresse",OFFSET(DMAV_Modell!$N$6,C454-1,0)))),"Structure"))</f>
        <v/>
      </c>
      <c r="P454" s="64" t="str" cm="1">
        <f t="array" aca="1" ref="P454" ca="1">IF(D454=0,IF(G454=0,"",HYPERLINK("#"&amp;RIGHT(CELL("adresse",OFFSET(DMAV_Dienste!$M$6,G454-1,0)),LEN(CELL("adresse",OFFSET(DMAV_Dienste!$M$6,G454-1,0)))-FIND("]",CELL("adresse",OFFSET(DMAV_Dienste!$M$6,G454-1,0)))),"Substructure")),HYPERLINK("#"&amp;RIGHT(CELL("adresse",OFFSET(DMAV_Modell!$N$6,D454-1,0)),LEN(CELL("adresse",OFFSET(DMAV_Modell!$N$6,D454-1,0)))-FIND("]",CELL("adresse",OFFSET(DMAV_Modell!$N$6,D454-1,0)))),"Substructure"))</f>
        <v/>
      </c>
      <c r="R454" s="80"/>
      <c r="T454" s="93"/>
      <c r="U454" s="94"/>
      <c r="V454" s="95"/>
      <c r="W454" s="96"/>
      <c r="Y454" s="85"/>
      <c r="Z454" s="86"/>
      <c r="AA454" s="87"/>
      <c r="AB454" s="88"/>
      <c r="AD454" s="77"/>
      <c r="AF454" s="54" t="str" cm="1">
        <f t="array" aca="1" ref="AF454" ca="1">IF(H454=0,"",HYPERLINK("#"&amp;RIGHT(CELL("adresse",OFFSET('DM01-AV-CH'!$G$6,H454-1,0)),LEN(CELL("adresse",OFFSET('DM01-AV-CH'!$G$6,H454-1,0)))-FIND("]",CELL("adresse",OFFSET('DM01-AV-CH'!$G$6,H454-1,0)))),"Modell"))</f>
        <v>Modell</v>
      </c>
      <c r="AG454" s="72" t="str" cm="1">
        <f t="array" ref="AG454">IF($H454=0,"",IF(INDEX('DM01-AV-CH'!G$6:G$834,$H454)="","",INDEX('DM01-AV-CH'!G$6:G$834,$H454)))</f>
        <v>Liegenschaften</v>
      </c>
      <c r="AH454" s="73" t="str" cm="1">
        <f t="array" ref="AH454">IF($H454=0,"",IF(INDEX('DM01-AV-CH'!H$6:H$834,$H454)="","",INDEX('DM01-AV-CH'!H$6:H$834,$H454)))</f>
        <v>LSNachfuehrung</v>
      </c>
      <c r="AI454" s="74" t="str" cm="1">
        <f t="array" ref="AI454">IF($H454=0,"",IF(INDEX('DM01-AV-CH'!I$6:I$834,$H454)="","",INDEX('DM01-AV-CH'!I$6:I$834,$H454)))</f>
        <v>Beschreibung</v>
      </c>
    </row>
    <row r="455" spans="1:35" x14ac:dyDescent="0.25">
      <c r="A455" s="57">
        <v>450</v>
      </c>
      <c r="B455" s="57">
        <f>IF($A455="","",IF(_xlfn.XLOOKUP($A455,Korrelation!$D$4:$D$1197,Korrelation!E$4:E$1197,"-",0)="-",0,MATCH(_xlfn.XLOOKUP($A455,Korrelation!$D$4:$D$1197,Korrelation!E$4:E$1197,"",0),DMAV_Modell!$G$6:$G$677,0)))</f>
        <v>211</v>
      </c>
      <c r="C455" s="57">
        <f>IF($A455="","",IF(_xlfn.XLOOKUP($A455,Korrelation!$D$4:$D$1197,Korrelation!F$4:F$1197,"-",0)="-",0,MATCH(_xlfn.XLOOKUP($A455,Korrelation!$D$4:$D$1197,Korrelation!F$4:F$1197,"",0),DMAV_Modell!$G$6:$G$677,0)))</f>
        <v>0</v>
      </c>
      <c r="D455" s="57">
        <f>IF($A455="","",IF(_xlfn.XLOOKUP($A455,Korrelation!$D$4:$D$1197,Korrelation!G$4:G$1197,"-",0)="-",0,MATCH(_xlfn.XLOOKUP($A455,Korrelation!$D$4:$D$1197,Korrelation!G$4:G$1197,"",0),DMAV_Modell!$G$6:$G$677,0)))</f>
        <v>0</v>
      </c>
      <c r="E455" s="57">
        <f>IF($A455="","",IF(_xlfn.XLOOKUP($A455,Korrelation!$D$4:$D$1197,Korrelation!H$4:H$1197,"-",0)="-",0,MATCH(_xlfn.XLOOKUP($A455,Korrelation!$D$4:$D$1197,Korrelation!H$4:H$1197,"",0),DMAV_Dienste!$F$6:$F$140,0)))</f>
        <v>0</v>
      </c>
      <c r="F455" s="57">
        <f>IF($A455="","",IF(_xlfn.XLOOKUP($A455,Korrelation!$D$4:$D$1197,Korrelation!I$4:I$1197,"-",0)="-",0,MATCH(_xlfn.XLOOKUP($A455,Korrelation!$D$4:$D$1197,Korrelation!I$4:I$1197,"",0),DMAV_Dienste!$F$6:$F$140,0)))</f>
        <v>0</v>
      </c>
      <c r="G455" s="57">
        <f>IF($A455="","",IF(_xlfn.XLOOKUP($A455,Korrelation!$D$4:$D$1197,Korrelation!J$4:J$1197,"-",0)="-",0,MATCH(_xlfn.XLOOKUP($A455,Korrelation!$D$4:$D$1197,Korrelation!J$4:J$1197,"",0),DMAV_Dienste!$F$6:$F$140,0)))</f>
        <v>0</v>
      </c>
      <c r="H455" s="57">
        <f>IF($A455="","",IF(_xlfn.XLOOKUP($A455,Korrelation!$D$4:$D$1197,Korrelation!K$4:K$1197,"-",0)="-",0,MATCH(_xlfn.XLOOKUP($A455,Korrelation!$D$4:$D$1197,Korrelation!K$4:K$1197,"",0),'DM01-AV-CH'!$A$6:$A$834,0)))</f>
        <v>422</v>
      </c>
      <c r="J455" s="54" t="str" cm="1">
        <f t="array" aca="1" ref="J455" ca="1">IF(B455=0,IF(E455=0,"",HYPERLINK("#"&amp;RIGHT(CELL("adresse",OFFSET(DMAV_Dienste!$M$6,E455-1,0)),LEN(CELL("adresse",OFFSET(DMAV_Dienste!$M$6,E455-1,0)))-FIND("]",CELL("adresse",OFFSET(DMAV_Dienste!$M$6,E455-1,0)))),"Dienst")),HYPERLINK("#"&amp;RIGHT(CELL("adresse",OFFSET(DMAV_Modell!$N$6,B455-1,0)),LEN(CELL("adresse",OFFSET(DMAV_Modell!$N$6,B455-1,0)))-FIND("]",CELL("adresse",OFFSET(DMAV_Modell!$N$6,B455-1,0)))),"Modell"))</f>
        <v>Modell</v>
      </c>
      <c r="K455" s="61" t="str" cm="1">
        <f t="array" ref="K455">IF($B455=0,IF($E455=0,"",IF(INDEX(DMAV_Dienste!P$6:P$140,$E455)="","",INDEX(DMAV_Dienste!P$6:P$140,$E455))),IF(INDEX(DMAV_Modell!Q$6:Q$838,$B455)="","",INDEX(DMAV_Modell!Q$6:Q$838,$B455)))</f>
        <v>CLASS</v>
      </c>
      <c r="L455" s="62" t="str" cm="1">
        <f t="array" ref="L455">IF($B455=0,IF($E455=0,"",IF(INDEX(DMAV_Dienste!O$6:O$140,$E455)="","",INDEX(DMAV_Dienste!O$6:O$140,$E455))),IF(INDEX(DMAV_Modell!P$6:P$838,$B455)="","",INDEX(DMAV_Modell!P$6:P$838,$B455)))</f>
        <v>Grundstuecke</v>
      </c>
      <c r="M455" s="62" t="str" cm="1">
        <f t="array" ref="M455">IF($B455=0,IF($E455=0,"",IF(INDEX(DMAV_Dienste!Q$6:Q$140,$E455)="","",INDEX(DMAV_Dienste!Q$6:Q$140,$E455))),IF(INDEX(DMAV_Modell!R$6:R$838,$B455)="","",INDEX(DMAV_Modell!R$6:R$838,$B455)))</f>
        <v>GSNachfuehrung</v>
      </c>
      <c r="N455" s="62" t="str" cm="1">
        <f t="array" ref="N455">IF($B455=0,IF($E455=0,"",IF(INDEX(DMAV_Dienste!T$6:T$140,$E455)="","",INDEX(DMAV_Dienste!T$6:T$140,$E455))),IF(INDEX(DMAV_Modell!U$6:U$838,$B455)="","",INDEX(DMAV_Modell!U$6:U$838,$B455)))</f>
        <v>Perimeter</v>
      </c>
      <c r="O455" s="63" t="str" cm="1">
        <f t="array" aca="1" ref="O455" ca="1">IF(C455=0,IF(F455=0,"",HYPERLINK("#"&amp;RIGHT(CELL("adresse",OFFSET(DMAV_Dienste!$M$6,F455-1,0)),LEN(CELL("adresse",OFFSET(DMAV_Dienste!$M$6,F455-1,0)))-FIND("]",CELL("adresse",OFFSET(DMAV_Dienste!$M$6,F455-1,0)))),"Structure")),HYPERLINK("#"&amp;RIGHT(CELL("adresse",OFFSET(DMAV_Modell!$N$6,C455-1,0)),LEN(CELL("adresse",OFFSET(DMAV_Modell!$N$6,C455-1,0)))-FIND("]",CELL("adresse",OFFSET(DMAV_Modell!$N$6,C455-1,0)))),"Structure"))</f>
        <v/>
      </c>
      <c r="P455" s="64" t="str" cm="1">
        <f t="array" aca="1" ref="P455" ca="1">IF(D455=0,IF(G455=0,"",HYPERLINK("#"&amp;RIGHT(CELL("adresse",OFFSET(DMAV_Dienste!$M$6,G455-1,0)),LEN(CELL("adresse",OFFSET(DMAV_Dienste!$M$6,G455-1,0)))-FIND("]",CELL("adresse",OFFSET(DMAV_Dienste!$M$6,G455-1,0)))),"Substructure")),HYPERLINK("#"&amp;RIGHT(CELL("adresse",OFFSET(DMAV_Modell!$N$6,D455-1,0)),LEN(CELL("adresse",OFFSET(DMAV_Modell!$N$6,D455-1,0)))-FIND("]",CELL("adresse",OFFSET(DMAV_Modell!$N$6,D455-1,0)))),"Substructure"))</f>
        <v/>
      </c>
      <c r="R455" s="80"/>
      <c r="T455" s="93"/>
      <c r="U455" s="94"/>
      <c r="V455" s="95"/>
      <c r="W455" s="96"/>
      <c r="Y455" s="85"/>
      <c r="Z455" s="86"/>
      <c r="AA455" s="87"/>
      <c r="AB455" s="88"/>
      <c r="AD455" s="77"/>
      <c r="AF455" s="54" t="str" cm="1">
        <f t="array" aca="1" ref="AF455" ca="1">IF(H455=0,"",HYPERLINK("#"&amp;RIGHT(CELL("adresse",OFFSET('DM01-AV-CH'!$G$6,H455-1,0)),LEN(CELL("adresse",OFFSET('DM01-AV-CH'!$G$6,H455-1,0)))-FIND("]",CELL("adresse",OFFSET('DM01-AV-CH'!$G$6,H455-1,0)))),"Modell"))</f>
        <v>Modell</v>
      </c>
      <c r="AG455" s="72" t="str" cm="1">
        <f t="array" ref="AG455">IF($H455=0,"",IF(INDEX('DM01-AV-CH'!G$6:G$834,$H455)="","",INDEX('DM01-AV-CH'!G$6:G$834,$H455)))</f>
        <v>Liegenschaften</v>
      </c>
      <c r="AH455" s="73" t="str" cm="1">
        <f t="array" ref="AH455">IF($H455=0,"",IF(INDEX('DM01-AV-CH'!H$6:H$834,$H455)="","",INDEX('DM01-AV-CH'!H$6:H$834,$H455)))</f>
        <v>LSNachfuehrung</v>
      </c>
      <c r="AI455" s="74" t="str" cm="1">
        <f t="array" ref="AI455">IF($H455=0,"",IF(INDEX('DM01-AV-CH'!I$6:I$834,$H455)="","",INDEX('DM01-AV-CH'!I$6:I$834,$H455)))</f>
        <v>Perimeter</v>
      </c>
    </row>
    <row r="456" spans="1:35" x14ac:dyDescent="0.25">
      <c r="A456" s="57">
        <v>451</v>
      </c>
      <c r="B456" s="57">
        <f>IF($A456="","",IF(_xlfn.XLOOKUP($A456,Korrelation!$D$4:$D$1197,Korrelation!E$4:E$1197,"-",0)="-",0,MATCH(_xlfn.XLOOKUP($A456,Korrelation!$D$4:$D$1197,Korrelation!E$4:E$1197,"",0),DMAV_Modell!$G$6:$G$677,0)))</f>
        <v>212</v>
      </c>
      <c r="C456" s="57">
        <f>IF($A456="","",IF(_xlfn.XLOOKUP($A456,Korrelation!$D$4:$D$1197,Korrelation!F$4:F$1197,"-",0)="-",0,MATCH(_xlfn.XLOOKUP($A456,Korrelation!$D$4:$D$1197,Korrelation!F$4:F$1197,"",0),DMAV_Modell!$G$6:$G$677,0)))</f>
        <v>0</v>
      </c>
      <c r="D456" s="57">
        <f>IF($A456="","",IF(_xlfn.XLOOKUP($A456,Korrelation!$D$4:$D$1197,Korrelation!G$4:G$1197,"-",0)="-",0,MATCH(_xlfn.XLOOKUP($A456,Korrelation!$D$4:$D$1197,Korrelation!G$4:G$1197,"",0),DMAV_Modell!$G$6:$G$677,0)))</f>
        <v>0</v>
      </c>
      <c r="E456" s="57">
        <f>IF($A456="","",IF(_xlfn.XLOOKUP($A456,Korrelation!$D$4:$D$1197,Korrelation!H$4:H$1197,"-",0)="-",0,MATCH(_xlfn.XLOOKUP($A456,Korrelation!$D$4:$D$1197,Korrelation!H$4:H$1197,"",0),DMAV_Dienste!$F$6:$F$140,0)))</f>
        <v>0</v>
      </c>
      <c r="F456" s="57">
        <f>IF($A456="","",IF(_xlfn.XLOOKUP($A456,Korrelation!$D$4:$D$1197,Korrelation!I$4:I$1197,"-",0)="-",0,MATCH(_xlfn.XLOOKUP($A456,Korrelation!$D$4:$D$1197,Korrelation!I$4:I$1197,"",0),DMAV_Dienste!$F$6:$F$140,0)))</f>
        <v>0</v>
      </c>
      <c r="G456" s="57">
        <f>IF($A456="","",IF(_xlfn.XLOOKUP($A456,Korrelation!$D$4:$D$1197,Korrelation!J$4:J$1197,"-",0)="-",0,MATCH(_xlfn.XLOOKUP($A456,Korrelation!$D$4:$D$1197,Korrelation!J$4:J$1197,"",0),DMAV_Dienste!$F$6:$F$140,0)))</f>
        <v>0</v>
      </c>
      <c r="H456" s="57">
        <f>IF($A456="","",IF(_xlfn.XLOOKUP($A456,Korrelation!$D$4:$D$1197,Korrelation!K$4:K$1197,"-",0)="-",0,MATCH(_xlfn.XLOOKUP($A456,Korrelation!$D$4:$D$1197,Korrelation!K$4:K$1197,"",0),'DM01-AV-CH'!$A$6:$A$834,0)))</f>
        <v>0</v>
      </c>
      <c r="J456" s="54" t="str" cm="1">
        <f t="array" aca="1" ref="J456" ca="1">IF(B456=0,IF(E456=0,"",HYPERLINK("#"&amp;RIGHT(CELL("adresse",OFFSET(DMAV_Dienste!$M$6,E456-1,0)),LEN(CELL("adresse",OFFSET(DMAV_Dienste!$M$6,E456-1,0)))-FIND("]",CELL("adresse",OFFSET(DMAV_Dienste!$M$6,E456-1,0)))),"Dienst")),HYPERLINK("#"&amp;RIGHT(CELL("adresse",OFFSET(DMAV_Modell!$N$6,B456-1,0)),LEN(CELL("adresse",OFFSET(DMAV_Modell!$N$6,B456-1,0)))-FIND("]",CELL("adresse",OFFSET(DMAV_Modell!$N$6,B456-1,0)))),"Modell"))</f>
        <v>Modell</v>
      </c>
      <c r="K456" s="61" t="str" cm="1">
        <f t="array" ref="K456">IF($B456=0,IF($E456=0,"",IF(INDEX(DMAV_Dienste!P$6:P$140,$E456)="","",INDEX(DMAV_Dienste!P$6:P$140,$E456))),IF(INDEX(DMAV_Modell!Q$6:Q$838,$B456)="","",INDEX(DMAV_Modell!Q$6:Q$838,$B456)))</f>
        <v>CLASS</v>
      </c>
      <c r="L456" s="62" t="str" cm="1">
        <f t="array" ref="L456">IF($B456=0,IF($E456=0,"",IF(INDEX(DMAV_Dienste!O$6:O$140,$E456)="","",INDEX(DMAV_Dienste!O$6:O$140,$E456))),IF(INDEX(DMAV_Modell!P$6:P$838,$B456)="","",INDEX(DMAV_Modell!P$6:P$838,$B456)))</f>
        <v>Grundstuecke</v>
      </c>
      <c r="M456" s="62" t="str" cm="1">
        <f t="array" ref="M456">IF($B456=0,IF($E456=0,"",IF(INDEX(DMAV_Dienste!Q$6:Q$140,$E456)="","",INDEX(DMAV_Dienste!Q$6:Q$140,$E456))),IF(INDEX(DMAV_Modell!R$6:R$838,$B456)="","",INDEX(DMAV_Modell!R$6:R$838,$B456)))</f>
        <v>GSNachfuehrung</v>
      </c>
      <c r="N456" s="62" t="str" cm="1">
        <f t="array" ref="N456">IF($B456=0,IF($E456=0,"",IF(INDEX(DMAV_Dienste!T$6:T$140,$E456)="","",INDEX(DMAV_Dienste!T$6:T$140,$E456))),IF(INDEX(DMAV_Modell!U$6:U$838,$B456)="","",INDEX(DMAV_Modell!U$6:U$838,$B456)))</f>
        <v>Mutationsart</v>
      </c>
      <c r="O456" s="63" t="str" cm="1">
        <f t="array" aca="1" ref="O456" ca="1">IF(C456=0,IF(F456=0,"",HYPERLINK("#"&amp;RIGHT(CELL("adresse",OFFSET(DMAV_Dienste!$M$6,F456-1,0)),LEN(CELL("adresse",OFFSET(DMAV_Dienste!$M$6,F456-1,0)))-FIND("]",CELL("adresse",OFFSET(DMAV_Dienste!$M$6,F456-1,0)))),"Structure")),HYPERLINK("#"&amp;RIGHT(CELL("adresse",OFFSET(DMAV_Modell!$N$6,C456-1,0)),LEN(CELL("adresse",OFFSET(DMAV_Modell!$N$6,C456-1,0)))-FIND("]",CELL("adresse",OFFSET(DMAV_Modell!$N$6,C456-1,0)))),"Structure"))</f>
        <v/>
      </c>
      <c r="P456" s="64" t="str" cm="1">
        <f t="array" aca="1" ref="P456" ca="1">IF(D456=0,IF(G456=0,"",HYPERLINK("#"&amp;RIGHT(CELL("adresse",OFFSET(DMAV_Dienste!$M$6,G456-1,0)),LEN(CELL("adresse",OFFSET(DMAV_Dienste!$M$6,G456-1,0)))-FIND("]",CELL("adresse",OFFSET(DMAV_Dienste!$M$6,G456-1,0)))),"Substructure")),HYPERLINK("#"&amp;RIGHT(CELL("adresse",OFFSET(DMAV_Modell!$N$6,D456-1,0)),LEN(CELL("adresse",OFFSET(DMAV_Modell!$N$6,D456-1,0)))-FIND("]",CELL("adresse",OFFSET(DMAV_Modell!$N$6,D456-1,0)))),"Substructure"))</f>
        <v/>
      </c>
      <c r="R456" s="80" t="s">
        <v>111</v>
      </c>
      <c r="T456" s="93"/>
      <c r="U456" s="94"/>
      <c r="V456" s="95"/>
      <c r="W456" s="96"/>
      <c r="Y456" s="85"/>
      <c r="Z456" s="86"/>
      <c r="AA456" s="87"/>
      <c r="AB456" s="88"/>
      <c r="AD456" s="77"/>
      <c r="AF456" s="54" t="str" cm="1">
        <f t="array" aca="1" ref="AF456" ca="1">IF(H456=0,"",HYPERLINK("#"&amp;RIGHT(CELL("adresse",OFFSET('DM01-AV-CH'!$G$6,H456-1,0)),LEN(CELL("adresse",OFFSET('DM01-AV-CH'!$G$6,H456-1,0)))-FIND("]",CELL("adresse",OFFSET('DM01-AV-CH'!$G$6,H456-1,0)))),"Modell"))</f>
        <v/>
      </c>
      <c r="AG456" s="72" t="str" cm="1">
        <f t="array" ref="AG456">IF($H456=0,"",IF(INDEX('DM01-AV-CH'!G$6:G$834,$H456)="","",INDEX('DM01-AV-CH'!G$6:G$834,$H456)))</f>
        <v/>
      </c>
      <c r="AH456" s="73" t="str" cm="1">
        <f t="array" ref="AH456">IF($H456=0,"",IF(INDEX('DM01-AV-CH'!H$6:H$834,$H456)="","",INDEX('DM01-AV-CH'!H$6:H$834,$H456)))</f>
        <v/>
      </c>
      <c r="AI456" s="74" t="str" cm="1">
        <f t="array" ref="AI456">IF($H456=0,"",IF(INDEX('DM01-AV-CH'!I$6:I$834,$H456)="","",INDEX('DM01-AV-CH'!I$6:I$834,$H456)))</f>
        <v/>
      </c>
    </row>
    <row r="457" spans="1:35" ht="99.75" x14ac:dyDescent="0.25">
      <c r="A457" s="57">
        <v>452</v>
      </c>
      <c r="B457" s="57">
        <f>IF($A457="","",IF(_xlfn.XLOOKUP($A457,Korrelation!$D$4:$D$1197,Korrelation!E$4:E$1197,"-",0)="-",0,MATCH(_xlfn.XLOOKUP($A457,Korrelation!$D$4:$D$1197,Korrelation!E$4:E$1197,"",0),DMAV_Modell!$G$6:$G$677,0)))</f>
        <v>0</v>
      </c>
      <c r="C457" s="57">
        <f>IF($A457="","",IF(_xlfn.XLOOKUP($A457,Korrelation!$D$4:$D$1197,Korrelation!F$4:F$1197,"-",0)="-",0,MATCH(_xlfn.XLOOKUP($A457,Korrelation!$D$4:$D$1197,Korrelation!F$4:F$1197,"",0),DMAV_Modell!$G$6:$G$677,0)))</f>
        <v>0</v>
      </c>
      <c r="D457" s="57">
        <f>IF($A457="","",IF(_xlfn.XLOOKUP($A457,Korrelation!$D$4:$D$1197,Korrelation!G$4:G$1197,"-",0)="-",0,MATCH(_xlfn.XLOOKUP($A457,Korrelation!$D$4:$D$1197,Korrelation!G$4:G$1197,"",0),DMAV_Modell!$G$6:$G$677,0)))</f>
        <v>0</v>
      </c>
      <c r="E457" s="57">
        <f>IF($A457="","",IF(_xlfn.XLOOKUP($A457,Korrelation!$D$4:$D$1197,Korrelation!H$4:H$1197,"-",0)="-",0,MATCH(_xlfn.XLOOKUP($A457,Korrelation!$D$4:$D$1197,Korrelation!H$4:H$1197,"",0),DMAV_Dienste!$F$6:$F$140,0)))</f>
        <v>0</v>
      </c>
      <c r="F457" s="57">
        <f>IF($A457="","",IF(_xlfn.XLOOKUP($A457,Korrelation!$D$4:$D$1197,Korrelation!I$4:I$1197,"-",0)="-",0,MATCH(_xlfn.XLOOKUP($A457,Korrelation!$D$4:$D$1197,Korrelation!I$4:I$1197,"",0),DMAV_Dienste!$F$6:$F$140,0)))</f>
        <v>0</v>
      </c>
      <c r="G457" s="57">
        <f>IF($A457="","",IF(_xlfn.XLOOKUP($A457,Korrelation!$D$4:$D$1197,Korrelation!J$4:J$1197,"-",0)="-",0,MATCH(_xlfn.XLOOKUP($A457,Korrelation!$D$4:$D$1197,Korrelation!J$4:J$1197,"",0),DMAV_Dienste!$F$6:$F$140,0)))</f>
        <v>0</v>
      </c>
      <c r="H457" s="57">
        <f>IF($A457="","",IF(_xlfn.XLOOKUP($A457,Korrelation!$D$4:$D$1197,Korrelation!K$4:K$1197,"-",0)="-",0,MATCH(_xlfn.XLOOKUP($A457,Korrelation!$D$4:$D$1197,Korrelation!K$4:K$1197,"",0),'DM01-AV-CH'!$A$6:$A$834,0)))</f>
        <v>423</v>
      </c>
      <c r="J457" s="54" t="str" cm="1">
        <f t="array" aca="1" ref="J457" ca="1">IF(B457=0,IF(E457=0,"",HYPERLINK("#"&amp;RIGHT(CELL("adresse",OFFSET(DMAV_Dienste!$M$6,E457-1,0)),LEN(CELL("adresse",OFFSET(DMAV_Dienste!$M$6,E457-1,0)))-FIND("]",CELL("adresse",OFFSET(DMAV_Dienste!$M$6,E457-1,0)))),"Dienst")),HYPERLINK("#"&amp;RIGHT(CELL("adresse",OFFSET(DMAV_Modell!$N$6,B457-1,0)),LEN(CELL("adresse",OFFSET(DMAV_Modell!$N$6,B457-1,0)))-FIND("]",CELL("adresse",OFFSET(DMAV_Modell!$N$6,B457-1,0)))),"Modell"))</f>
        <v/>
      </c>
      <c r="K457" s="61" t="str" cm="1">
        <f t="array" ref="K457">IF($B457=0,IF($E457=0,"",IF(INDEX(DMAV_Dienste!P$6:P$140,$E457)="","",INDEX(DMAV_Dienste!P$6:P$140,$E457))),IF(INDEX(DMAV_Modell!Q$6:Q$838,$B457)="","",INDEX(DMAV_Modell!Q$6:Q$838,$B457)))</f>
        <v/>
      </c>
      <c r="L457" s="62" t="str" cm="1">
        <f t="array" ref="L457">IF($B457=0,IF($E457=0,"",IF(INDEX(DMAV_Dienste!O$6:O$140,$E457)="","",INDEX(DMAV_Dienste!O$6:O$140,$E457))),IF(INDEX(DMAV_Modell!P$6:P$838,$B457)="","",INDEX(DMAV_Modell!P$6:P$838,$B457)))</f>
        <v/>
      </c>
      <c r="M457" s="62" t="str" cm="1">
        <f t="array" ref="M457">IF($B457=0,IF($E457=0,"",IF(INDEX(DMAV_Dienste!Q$6:Q$140,$E457)="","",INDEX(DMAV_Dienste!Q$6:Q$140,$E457))),IF(INDEX(DMAV_Modell!R$6:R$838,$B457)="","",INDEX(DMAV_Modell!R$6:R$838,$B457)))</f>
        <v/>
      </c>
      <c r="N457" s="62" t="str" cm="1">
        <f t="array" ref="N457">IF($B457=0,IF($E457=0,"",IF(INDEX(DMAV_Dienste!T$6:T$140,$E457)="","",INDEX(DMAV_Dienste!T$6:T$140,$E457))),IF(INDEX(DMAV_Modell!U$6:U$838,$B457)="","",INDEX(DMAV_Modell!U$6:U$838,$B457)))</f>
        <v/>
      </c>
      <c r="O457" s="63" t="str" cm="1">
        <f t="array" aca="1" ref="O457" ca="1">IF(C457=0,IF(F457=0,"",HYPERLINK("#"&amp;RIGHT(CELL("adresse",OFFSET(DMAV_Dienste!$M$6,F457-1,0)),LEN(CELL("adresse",OFFSET(DMAV_Dienste!$M$6,F457-1,0)))-FIND("]",CELL("adresse",OFFSET(DMAV_Dienste!$M$6,F457-1,0)))),"Structure")),HYPERLINK("#"&amp;RIGHT(CELL("adresse",OFFSET(DMAV_Modell!$N$6,C457-1,0)),LEN(CELL("adresse",OFFSET(DMAV_Modell!$N$6,C457-1,0)))-FIND("]",CELL("adresse",OFFSET(DMAV_Modell!$N$6,C457-1,0)))),"Structure"))</f>
        <v/>
      </c>
      <c r="P457" s="64" t="str" cm="1">
        <f t="array" aca="1" ref="P457" ca="1">IF(D457=0,IF(G457=0,"",HYPERLINK("#"&amp;RIGHT(CELL("adresse",OFFSET(DMAV_Dienste!$M$6,G457-1,0)),LEN(CELL("adresse",OFFSET(DMAV_Dienste!$M$6,G457-1,0)))-FIND("]",CELL("adresse",OFFSET(DMAV_Dienste!$M$6,G457-1,0)))),"Substructure")),HYPERLINK("#"&amp;RIGHT(CELL("adresse",OFFSET(DMAV_Modell!$N$6,D457-1,0)),LEN(CELL("adresse",OFFSET(DMAV_Modell!$N$6,D457-1,0)))-FIND("]",CELL("adresse",OFFSET(DMAV_Modell!$N$6,D457-1,0)))),"Substructure"))</f>
        <v/>
      </c>
      <c r="R457" s="80"/>
      <c r="T457" s="93"/>
      <c r="U457" s="94"/>
      <c r="V457" s="95"/>
      <c r="W457" s="96"/>
      <c r="Y457" s="85"/>
      <c r="Z457" s="86"/>
      <c r="AA457" s="87"/>
      <c r="AB457" s="88"/>
      <c r="AD457" s="77" t="s">
        <v>5876</v>
      </c>
      <c r="AF457" s="54" t="str" cm="1">
        <f t="array" aca="1" ref="AF457" ca="1">IF(H457=0,"",HYPERLINK("#"&amp;RIGHT(CELL("adresse",OFFSET('DM01-AV-CH'!$G$6,H457-1,0)),LEN(CELL("adresse",OFFSET('DM01-AV-CH'!$G$6,H457-1,0)))-FIND("]",CELL("adresse",OFFSET('DM01-AV-CH'!$G$6,H457-1,0)))),"Modell"))</f>
        <v>Modell</v>
      </c>
      <c r="AG457" s="72" t="str" cm="1">
        <f t="array" ref="AG457">IF($H457=0,"",IF(INDEX('DM01-AV-CH'!G$6:G$834,$H457)="","",INDEX('DM01-AV-CH'!G$6:G$834,$H457)))</f>
        <v>Liegenschaften</v>
      </c>
      <c r="AH457" s="73" t="str" cm="1">
        <f t="array" ref="AH457">IF($H457=0,"",IF(INDEX('DM01-AV-CH'!H$6:H$834,$H457)="","",INDEX('DM01-AV-CH'!H$6:H$834,$H457)))</f>
        <v>LSNachfuehrung</v>
      </c>
      <c r="AI457" s="74" t="str" cm="1">
        <f t="array" ref="AI457">IF($H457=0,"",IF(INDEX('DM01-AV-CH'!I$6:I$834,$H457)="","",INDEX('DM01-AV-CH'!I$6:I$834,$H457)))</f>
        <v>Gueltigkeit</v>
      </c>
    </row>
    <row r="458" spans="1:35" x14ac:dyDescent="0.25">
      <c r="A458" s="57">
        <v>453</v>
      </c>
      <c r="B458" s="57">
        <f>IF($A458="","",IF(_xlfn.XLOOKUP($A458,Korrelation!$D$4:$D$1197,Korrelation!E$4:E$1197,"-",0)="-",0,MATCH(_xlfn.XLOOKUP($A458,Korrelation!$D$4:$D$1197,Korrelation!E$4:E$1197,"",0),DMAV_Modell!$G$6:$G$677,0)))</f>
        <v>213</v>
      </c>
      <c r="C458" s="57">
        <f>IF($A458="","",IF(_xlfn.XLOOKUP($A458,Korrelation!$D$4:$D$1197,Korrelation!F$4:F$1197,"-",0)="-",0,MATCH(_xlfn.XLOOKUP($A458,Korrelation!$D$4:$D$1197,Korrelation!F$4:F$1197,"",0),DMAV_Modell!$G$6:$G$677,0)))</f>
        <v>0</v>
      </c>
      <c r="D458" s="57">
        <f>IF($A458="","",IF(_xlfn.XLOOKUP($A458,Korrelation!$D$4:$D$1197,Korrelation!G$4:G$1197,"-",0)="-",0,MATCH(_xlfn.XLOOKUP($A458,Korrelation!$D$4:$D$1197,Korrelation!G$4:G$1197,"",0),DMAV_Modell!$G$6:$G$677,0)))</f>
        <v>0</v>
      </c>
      <c r="E458" s="57">
        <f>IF($A458="","",IF(_xlfn.XLOOKUP($A458,Korrelation!$D$4:$D$1197,Korrelation!H$4:H$1197,"-",0)="-",0,MATCH(_xlfn.XLOOKUP($A458,Korrelation!$D$4:$D$1197,Korrelation!H$4:H$1197,"",0),DMAV_Dienste!$F$6:$F$140,0)))</f>
        <v>0</v>
      </c>
      <c r="F458" s="57">
        <f>IF($A458="","",IF(_xlfn.XLOOKUP($A458,Korrelation!$D$4:$D$1197,Korrelation!I$4:I$1197,"-",0)="-",0,MATCH(_xlfn.XLOOKUP($A458,Korrelation!$D$4:$D$1197,Korrelation!I$4:I$1197,"",0),DMAV_Dienste!$F$6:$F$140,0)))</f>
        <v>0</v>
      </c>
      <c r="G458" s="57">
        <f>IF($A458="","",IF(_xlfn.XLOOKUP($A458,Korrelation!$D$4:$D$1197,Korrelation!J$4:J$1197,"-",0)="-",0,MATCH(_xlfn.XLOOKUP($A458,Korrelation!$D$4:$D$1197,Korrelation!J$4:J$1197,"",0),DMAV_Dienste!$F$6:$F$140,0)))</f>
        <v>0</v>
      </c>
      <c r="H458" s="57">
        <f>IF($A458="","",IF(_xlfn.XLOOKUP($A458,Korrelation!$D$4:$D$1197,Korrelation!K$4:K$1197,"-",0)="-",0,MATCH(_xlfn.XLOOKUP($A458,Korrelation!$D$4:$D$1197,Korrelation!K$4:K$1197,"",0),'DM01-AV-CH'!$A$6:$A$834,0)))</f>
        <v>424</v>
      </c>
      <c r="J458" s="54" t="str" cm="1">
        <f t="array" aca="1" ref="J458" ca="1">IF(B458=0,IF(E458=0,"",HYPERLINK("#"&amp;RIGHT(CELL("adresse",OFFSET(DMAV_Dienste!$M$6,E458-1,0)),LEN(CELL("adresse",OFFSET(DMAV_Dienste!$M$6,E458-1,0)))-FIND("]",CELL("adresse",OFFSET(DMAV_Dienste!$M$6,E458-1,0)))),"Dienst")),HYPERLINK("#"&amp;RIGHT(CELL("adresse",OFFSET(DMAV_Modell!$N$6,B458-1,0)),LEN(CELL("adresse",OFFSET(DMAV_Modell!$N$6,B458-1,0)))-FIND("]",CELL("adresse",OFFSET(DMAV_Modell!$N$6,B458-1,0)))),"Modell"))</f>
        <v>Modell</v>
      </c>
      <c r="K458" s="61" t="str" cm="1">
        <f t="array" ref="K458">IF($B458=0,IF($E458=0,"",IF(INDEX(DMAV_Dienste!P$6:P$140,$E458)="","",INDEX(DMAV_Dienste!P$6:P$140,$E458))),IF(INDEX(DMAV_Modell!Q$6:Q$838,$B458)="","",INDEX(DMAV_Modell!Q$6:Q$838,$B458)))</f>
        <v>CLASS</v>
      </c>
      <c r="L458" s="62" t="str" cm="1">
        <f t="array" ref="L458">IF($B458=0,IF($E458=0,"",IF(INDEX(DMAV_Dienste!O$6:O$140,$E458)="","",INDEX(DMAV_Dienste!O$6:O$140,$E458))),IF(INDEX(DMAV_Modell!P$6:P$838,$B458)="","",INDEX(DMAV_Modell!P$6:P$838,$B458)))</f>
        <v>Grundstuecke</v>
      </c>
      <c r="M458" s="62" t="str" cm="1">
        <f t="array" ref="M458">IF($B458=0,IF($E458=0,"",IF(INDEX(DMAV_Dienste!Q$6:Q$140,$E458)="","",INDEX(DMAV_Dienste!Q$6:Q$140,$E458))),IF(INDEX(DMAV_Modell!R$6:R$838,$B458)="","",INDEX(DMAV_Modell!R$6:R$838,$B458)))</f>
        <v>GSNachfuehrung</v>
      </c>
      <c r="N458" s="62" t="str" cm="1">
        <f t="array" ref="N458">IF($B458=0,IF($E458=0,"",IF(INDEX(DMAV_Dienste!T$6:T$140,$E458)="","",INDEX(DMAV_Dienste!T$6:T$140,$E458))),IF(INDEX(DMAV_Modell!U$6:U$838,$B458)="","",INDEX(DMAV_Modell!U$6:U$838,$B458)))</f>
        <v>GueltigerEintrag</v>
      </c>
      <c r="O458" s="63" t="str" cm="1">
        <f t="array" aca="1" ref="O458" ca="1">IF(C458=0,IF(F458=0,"",HYPERLINK("#"&amp;RIGHT(CELL("adresse",OFFSET(DMAV_Dienste!$M$6,F458-1,0)),LEN(CELL("adresse",OFFSET(DMAV_Dienste!$M$6,F458-1,0)))-FIND("]",CELL("adresse",OFFSET(DMAV_Dienste!$M$6,F458-1,0)))),"Structure")),HYPERLINK("#"&amp;RIGHT(CELL("adresse",OFFSET(DMAV_Modell!$N$6,C458-1,0)),LEN(CELL("adresse",OFFSET(DMAV_Modell!$N$6,C458-1,0)))-FIND("]",CELL("adresse",OFFSET(DMAV_Modell!$N$6,C458-1,0)))),"Structure"))</f>
        <v/>
      </c>
      <c r="P458" s="64" t="str" cm="1">
        <f t="array" aca="1" ref="P458" ca="1">IF(D458=0,IF(G458=0,"",HYPERLINK("#"&amp;RIGHT(CELL("adresse",OFFSET(DMAV_Dienste!$M$6,G458-1,0)),LEN(CELL("adresse",OFFSET(DMAV_Dienste!$M$6,G458-1,0)))-FIND("]",CELL("adresse",OFFSET(DMAV_Dienste!$M$6,G458-1,0)))),"Substructure")),HYPERLINK("#"&amp;RIGHT(CELL("adresse",OFFSET(DMAV_Modell!$N$6,D458-1,0)),LEN(CELL("adresse",OFFSET(DMAV_Modell!$N$6,D458-1,0)))-FIND("]",CELL("adresse",OFFSET(DMAV_Modell!$N$6,D458-1,0)))),"Substructure"))</f>
        <v/>
      </c>
      <c r="R458" s="80"/>
      <c r="T458" s="93"/>
      <c r="U458" s="94"/>
      <c r="V458" s="95"/>
      <c r="W458" s="96"/>
      <c r="Y458" s="85"/>
      <c r="Z458" s="86"/>
      <c r="AA458" s="87"/>
      <c r="AB458" s="88"/>
      <c r="AD458" s="77"/>
      <c r="AF458" s="54" t="str" cm="1">
        <f t="array" aca="1" ref="AF458" ca="1">IF(H458=0,"",HYPERLINK("#"&amp;RIGHT(CELL("adresse",OFFSET('DM01-AV-CH'!$G$6,H458-1,0)),LEN(CELL("adresse",OFFSET('DM01-AV-CH'!$G$6,H458-1,0)))-FIND("]",CELL("adresse",OFFSET('DM01-AV-CH'!$G$6,H458-1,0)))),"Modell"))</f>
        <v>Modell</v>
      </c>
      <c r="AG458" s="72" t="str" cm="1">
        <f t="array" ref="AG458">IF($H458=0,"",IF(INDEX('DM01-AV-CH'!G$6:G$834,$H458)="","",INDEX('DM01-AV-CH'!G$6:G$834,$H458)))</f>
        <v>Liegenschaften</v>
      </c>
      <c r="AH458" s="73" t="str" cm="1">
        <f t="array" ref="AH458">IF($H458=0,"",IF(INDEX('DM01-AV-CH'!H$6:H$834,$H458)="","",INDEX('DM01-AV-CH'!H$6:H$834,$H458)))</f>
        <v>LSNachfuehrung</v>
      </c>
      <c r="AI458" s="74" t="str" cm="1">
        <f t="array" ref="AI458">IF($H458=0,"",IF(INDEX('DM01-AV-CH'!I$6:I$834,$H458)="","",INDEX('DM01-AV-CH'!I$6:I$834,$H458)))</f>
        <v>GueltigerEintrag</v>
      </c>
    </row>
    <row r="459" spans="1:35" x14ac:dyDescent="0.25">
      <c r="A459" s="57">
        <v>454</v>
      </c>
      <c r="B459" s="57">
        <f>IF($A459="","",IF(_xlfn.XLOOKUP($A459,Korrelation!$D$4:$D$1197,Korrelation!E$4:E$1197,"-",0)="-",0,MATCH(_xlfn.XLOOKUP($A459,Korrelation!$D$4:$D$1197,Korrelation!E$4:E$1197,"",0),DMAV_Modell!$G$6:$G$677,0)))</f>
        <v>214</v>
      </c>
      <c r="C459" s="57">
        <f>IF($A459="","",IF(_xlfn.XLOOKUP($A459,Korrelation!$D$4:$D$1197,Korrelation!F$4:F$1197,"-",0)="-",0,MATCH(_xlfn.XLOOKUP($A459,Korrelation!$D$4:$D$1197,Korrelation!F$4:F$1197,"",0),DMAV_Modell!$G$6:$G$677,0)))</f>
        <v>0</v>
      </c>
      <c r="D459" s="57">
        <f>IF($A459="","",IF(_xlfn.XLOOKUP($A459,Korrelation!$D$4:$D$1197,Korrelation!G$4:G$1197,"-",0)="-",0,MATCH(_xlfn.XLOOKUP($A459,Korrelation!$D$4:$D$1197,Korrelation!G$4:G$1197,"",0),DMAV_Modell!$G$6:$G$677,0)))</f>
        <v>0</v>
      </c>
      <c r="E459" s="57">
        <f>IF($A459="","",IF(_xlfn.XLOOKUP($A459,Korrelation!$D$4:$D$1197,Korrelation!H$4:H$1197,"-",0)="-",0,MATCH(_xlfn.XLOOKUP($A459,Korrelation!$D$4:$D$1197,Korrelation!H$4:H$1197,"",0),DMAV_Dienste!$F$6:$F$140,0)))</f>
        <v>0</v>
      </c>
      <c r="F459" s="57">
        <f>IF($A459="","",IF(_xlfn.XLOOKUP($A459,Korrelation!$D$4:$D$1197,Korrelation!I$4:I$1197,"-",0)="-",0,MATCH(_xlfn.XLOOKUP($A459,Korrelation!$D$4:$D$1197,Korrelation!I$4:I$1197,"",0),DMAV_Dienste!$F$6:$F$140,0)))</f>
        <v>0</v>
      </c>
      <c r="G459" s="57">
        <f>IF($A459="","",IF(_xlfn.XLOOKUP($A459,Korrelation!$D$4:$D$1197,Korrelation!J$4:J$1197,"-",0)="-",0,MATCH(_xlfn.XLOOKUP($A459,Korrelation!$D$4:$D$1197,Korrelation!J$4:J$1197,"",0),DMAV_Dienste!$F$6:$F$140,0)))</f>
        <v>0</v>
      </c>
      <c r="H459" s="57">
        <f>IF($A459="","",IF(_xlfn.XLOOKUP($A459,Korrelation!$D$4:$D$1197,Korrelation!K$4:K$1197,"-",0)="-",0,MATCH(_xlfn.XLOOKUP($A459,Korrelation!$D$4:$D$1197,Korrelation!K$4:K$1197,"",0),'DM01-AV-CH'!$A$6:$A$834,0)))</f>
        <v>425</v>
      </c>
      <c r="J459" s="54" t="str" cm="1">
        <f t="array" aca="1" ref="J459" ca="1">IF(B459=0,IF(E459=0,"",HYPERLINK("#"&amp;RIGHT(CELL("adresse",OFFSET(DMAV_Dienste!$M$6,E459-1,0)),LEN(CELL("adresse",OFFSET(DMAV_Dienste!$M$6,E459-1,0)))-FIND("]",CELL("adresse",OFFSET(DMAV_Dienste!$M$6,E459-1,0)))),"Dienst")),HYPERLINK("#"&amp;RIGHT(CELL("adresse",OFFSET(DMAV_Modell!$N$6,B459-1,0)),LEN(CELL("adresse",OFFSET(DMAV_Modell!$N$6,B459-1,0)))-FIND("]",CELL("adresse",OFFSET(DMAV_Modell!$N$6,B459-1,0)))),"Modell"))</f>
        <v>Modell</v>
      </c>
      <c r="K459" s="61" t="str" cm="1">
        <f t="array" ref="K459">IF($B459=0,IF($E459=0,"",IF(INDEX(DMAV_Dienste!P$6:P$140,$E459)="","",INDEX(DMAV_Dienste!P$6:P$140,$E459))),IF(INDEX(DMAV_Modell!Q$6:Q$838,$B459)="","",INDEX(DMAV_Modell!Q$6:Q$838,$B459)))</f>
        <v>CLASS</v>
      </c>
      <c r="L459" s="62" t="str" cm="1">
        <f t="array" ref="L459">IF($B459=0,IF($E459=0,"",IF(INDEX(DMAV_Dienste!O$6:O$140,$E459)="","",INDEX(DMAV_Dienste!O$6:O$140,$E459))),IF(INDEX(DMAV_Modell!P$6:P$838,$B459)="","",INDEX(DMAV_Modell!P$6:P$838,$B459)))</f>
        <v>Grundstuecke</v>
      </c>
      <c r="M459" s="62" t="str" cm="1">
        <f t="array" ref="M459">IF($B459=0,IF($E459=0,"",IF(INDEX(DMAV_Dienste!Q$6:Q$140,$E459)="","",INDEX(DMAV_Dienste!Q$6:Q$140,$E459))),IF(INDEX(DMAV_Modell!R$6:R$838,$B459)="","",INDEX(DMAV_Modell!R$6:R$838,$B459)))</f>
        <v>GSNachfuehrung</v>
      </c>
      <c r="N459" s="62" t="str" cm="1">
        <f t="array" ref="N459">IF($B459=0,IF($E459=0,"",IF(INDEX(DMAV_Dienste!T$6:T$140,$E459)="","",INDEX(DMAV_Dienste!T$6:T$140,$E459))),IF(INDEX(DMAV_Modell!U$6:U$838,$B459)="","",INDEX(DMAV_Modell!U$6:U$838,$B459)))</f>
        <v>Grundbucheintrag</v>
      </c>
      <c r="O459" s="63" t="str" cm="1">
        <f t="array" aca="1" ref="O459" ca="1">IF(C459=0,IF(F459=0,"",HYPERLINK("#"&amp;RIGHT(CELL("adresse",OFFSET(DMAV_Dienste!$M$6,F459-1,0)),LEN(CELL("adresse",OFFSET(DMAV_Dienste!$M$6,F459-1,0)))-FIND("]",CELL("adresse",OFFSET(DMAV_Dienste!$M$6,F459-1,0)))),"Structure")),HYPERLINK("#"&amp;RIGHT(CELL("adresse",OFFSET(DMAV_Modell!$N$6,C459-1,0)),LEN(CELL("adresse",OFFSET(DMAV_Modell!$N$6,C459-1,0)))-FIND("]",CELL("adresse",OFFSET(DMAV_Modell!$N$6,C459-1,0)))),"Structure"))</f>
        <v/>
      </c>
      <c r="P459" s="64" t="str" cm="1">
        <f t="array" aca="1" ref="P459" ca="1">IF(D459=0,IF(G459=0,"",HYPERLINK("#"&amp;RIGHT(CELL("adresse",OFFSET(DMAV_Dienste!$M$6,G459-1,0)),LEN(CELL("adresse",OFFSET(DMAV_Dienste!$M$6,G459-1,0)))-FIND("]",CELL("adresse",OFFSET(DMAV_Dienste!$M$6,G459-1,0)))),"Substructure")),HYPERLINK("#"&amp;RIGHT(CELL("adresse",OFFSET(DMAV_Modell!$N$6,D459-1,0)),LEN(CELL("adresse",OFFSET(DMAV_Modell!$N$6,D459-1,0)))-FIND("]",CELL("adresse",OFFSET(DMAV_Modell!$N$6,D459-1,0)))),"Substructure"))</f>
        <v/>
      </c>
      <c r="R459" s="80"/>
      <c r="T459" s="93"/>
      <c r="U459" s="94"/>
      <c r="V459" s="95"/>
      <c r="W459" s="96"/>
      <c r="Y459" s="85"/>
      <c r="Z459" s="86"/>
      <c r="AA459" s="87"/>
      <c r="AB459" s="88"/>
      <c r="AD459" s="77"/>
      <c r="AF459" s="54" t="str" cm="1">
        <f t="array" aca="1" ref="AF459" ca="1">IF(H459=0,"",HYPERLINK("#"&amp;RIGHT(CELL("adresse",OFFSET('DM01-AV-CH'!$G$6,H459-1,0)),LEN(CELL("adresse",OFFSET('DM01-AV-CH'!$G$6,H459-1,0)))-FIND("]",CELL("adresse",OFFSET('DM01-AV-CH'!$G$6,H459-1,0)))),"Modell"))</f>
        <v>Modell</v>
      </c>
      <c r="AG459" s="72" t="str" cm="1">
        <f t="array" ref="AG459">IF($H459=0,"",IF(INDEX('DM01-AV-CH'!G$6:G$834,$H459)="","",INDEX('DM01-AV-CH'!G$6:G$834,$H459)))</f>
        <v>Liegenschaften</v>
      </c>
      <c r="AH459" s="73" t="str" cm="1">
        <f t="array" ref="AH459">IF($H459=0,"",IF(INDEX('DM01-AV-CH'!H$6:H$834,$H459)="","",INDEX('DM01-AV-CH'!H$6:H$834,$H459)))</f>
        <v>LSNachfuehrung</v>
      </c>
      <c r="AI459" s="74" t="str" cm="1">
        <f t="array" ref="AI459">IF($H459=0,"",IF(INDEX('DM01-AV-CH'!I$6:I$834,$H459)="","",INDEX('DM01-AV-CH'!I$6:I$834,$H459)))</f>
        <v>GBEintrag</v>
      </c>
    </row>
    <row r="460" spans="1:35" x14ac:dyDescent="0.25">
      <c r="A460" s="57">
        <v>455</v>
      </c>
      <c r="B460" s="57">
        <f>IF($A460="","",IF(_xlfn.XLOOKUP($A460,Korrelation!$D$4:$D$1197,Korrelation!E$4:E$1197,"-",0)="-",0,MATCH(_xlfn.XLOOKUP($A460,Korrelation!$D$4:$D$1197,Korrelation!E$4:E$1197,"",0),DMAV_Modell!$G$6:$G$677,0)))</f>
        <v>213</v>
      </c>
      <c r="C460" s="57">
        <f>IF($A460="","",IF(_xlfn.XLOOKUP($A460,Korrelation!$D$4:$D$1197,Korrelation!F$4:F$1197,"-",0)="-",0,MATCH(_xlfn.XLOOKUP($A460,Korrelation!$D$4:$D$1197,Korrelation!F$4:F$1197,"",0),DMAV_Modell!$G$6:$G$677,0)))</f>
        <v>0</v>
      </c>
      <c r="D460" s="57">
        <f>IF($A460="","",IF(_xlfn.XLOOKUP($A460,Korrelation!$D$4:$D$1197,Korrelation!G$4:G$1197,"-",0)="-",0,MATCH(_xlfn.XLOOKUP($A460,Korrelation!$D$4:$D$1197,Korrelation!G$4:G$1197,"",0),DMAV_Modell!$G$6:$G$677,0)))</f>
        <v>0</v>
      </c>
      <c r="E460" s="57">
        <f>IF($A460="","",IF(_xlfn.XLOOKUP($A460,Korrelation!$D$4:$D$1197,Korrelation!H$4:H$1197,"-",0)="-",0,MATCH(_xlfn.XLOOKUP($A460,Korrelation!$D$4:$D$1197,Korrelation!H$4:H$1197,"",0),DMAV_Dienste!$F$6:$F$140,0)))</f>
        <v>0</v>
      </c>
      <c r="F460" s="57">
        <f>IF($A460="","",IF(_xlfn.XLOOKUP($A460,Korrelation!$D$4:$D$1197,Korrelation!I$4:I$1197,"-",0)="-",0,MATCH(_xlfn.XLOOKUP($A460,Korrelation!$D$4:$D$1197,Korrelation!I$4:I$1197,"",0),DMAV_Dienste!$F$6:$F$140,0)))</f>
        <v>0</v>
      </c>
      <c r="G460" s="57">
        <f>IF($A460="","",IF(_xlfn.XLOOKUP($A460,Korrelation!$D$4:$D$1197,Korrelation!J$4:J$1197,"-",0)="-",0,MATCH(_xlfn.XLOOKUP($A460,Korrelation!$D$4:$D$1197,Korrelation!J$4:J$1197,"",0),DMAV_Dienste!$F$6:$F$140,0)))</f>
        <v>0</v>
      </c>
      <c r="H460" s="57">
        <f>IF($A460="","",IF(_xlfn.XLOOKUP($A460,Korrelation!$D$4:$D$1197,Korrelation!K$4:K$1197,"-",0)="-",0,MATCH(_xlfn.XLOOKUP($A460,Korrelation!$D$4:$D$1197,Korrelation!K$4:K$1197,"",0),'DM01-AV-CH'!$A$6:$A$834,0)))</f>
        <v>426</v>
      </c>
      <c r="J460" s="54" t="str" cm="1">
        <f t="array" aca="1" ref="J460" ca="1">IF(B460=0,IF(E460=0,"",HYPERLINK("#"&amp;RIGHT(CELL("adresse",OFFSET(DMAV_Dienste!$M$6,E460-1,0)),LEN(CELL("adresse",OFFSET(DMAV_Dienste!$M$6,E460-1,0)))-FIND("]",CELL("adresse",OFFSET(DMAV_Dienste!$M$6,E460-1,0)))),"Dienst")),HYPERLINK("#"&amp;RIGHT(CELL("adresse",OFFSET(DMAV_Modell!$N$6,B460-1,0)),LEN(CELL("adresse",OFFSET(DMAV_Modell!$N$6,B460-1,0)))-FIND("]",CELL("adresse",OFFSET(DMAV_Modell!$N$6,B460-1,0)))),"Modell"))</f>
        <v>Modell</v>
      </c>
      <c r="K460" s="61" t="str" cm="1">
        <f t="array" ref="K460">IF($B460=0,IF($E460=0,"",IF(INDEX(DMAV_Dienste!P$6:P$140,$E460)="","",INDEX(DMAV_Dienste!P$6:P$140,$E460))),IF(INDEX(DMAV_Modell!Q$6:Q$838,$B460)="","",INDEX(DMAV_Modell!Q$6:Q$838,$B460)))</f>
        <v>CLASS</v>
      </c>
      <c r="L460" s="62" t="str" cm="1">
        <f t="array" ref="L460">IF($B460=0,IF($E460=0,"",IF(INDEX(DMAV_Dienste!O$6:O$140,$E460)="","",INDEX(DMAV_Dienste!O$6:O$140,$E460))),IF(INDEX(DMAV_Modell!P$6:P$838,$B460)="","",INDEX(DMAV_Modell!P$6:P$838,$B460)))</f>
        <v>Grundstuecke</v>
      </c>
      <c r="M460" s="62" t="str" cm="1">
        <f t="array" ref="M460">IF($B460=0,IF($E460=0,"",IF(INDEX(DMAV_Dienste!Q$6:Q$140,$E460)="","",INDEX(DMAV_Dienste!Q$6:Q$140,$E460))),IF(INDEX(DMAV_Modell!R$6:R$838,$B460)="","",INDEX(DMAV_Modell!R$6:R$838,$B460)))</f>
        <v>GSNachfuehrung</v>
      </c>
      <c r="N460" s="62" t="str" cm="1">
        <f t="array" ref="N460">IF($B460=0,IF($E460=0,"",IF(INDEX(DMAV_Dienste!T$6:T$140,$E460)="","",INDEX(DMAV_Dienste!T$6:T$140,$E460))),IF(INDEX(DMAV_Modell!U$6:U$838,$B460)="","",INDEX(DMAV_Modell!U$6:U$838,$B460)))</f>
        <v>GueltigerEintrag</v>
      </c>
      <c r="O460" s="63" t="str" cm="1">
        <f t="array" aca="1" ref="O460" ca="1">IF(C460=0,IF(F460=0,"",HYPERLINK("#"&amp;RIGHT(CELL("adresse",OFFSET(DMAV_Dienste!$M$6,F460-1,0)),LEN(CELL("adresse",OFFSET(DMAV_Dienste!$M$6,F460-1,0)))-FIND("]",CELL("adresse",OFFSET(DMAV_Dienste!$M$6,F460-1,0)))),"Structure")),HYPERLINK("#"&amp;RIGHT(CELL("adresse",OFFSET(DMAV_Modell!$N$6,C460-1,0)),LEN(CELL("adresse",OFFSET(DMAV_Modell!$N$6,C460-1,0)))-FIND("]",CELL("adresse",OFFSET(DMAV_Modell!$N$6,C460-1,0)))),"Structure"))</f>
        <v/>
      </c>
      <c r="P460" s="64" t="str" cm="1">
        <f t="array" aca="1" ref="P460" ca="1">IF(D460=0,IF(G460=0,"",HYPERLINK("#"&amp;RIGHT(CELL("adresse",OFFSET(DMAV_Dienste!$M$6,G460-1,0)),LEN(CELL("adresse",OFFSET(DMAV_Dienste!$M$6,G460-1,0)))-FIND("]",CELL("adresse",OFFSET(DMAV_Dienste!$M$6,G460-1,0)))),"Substructure")),HYPERLINK("#"&amp;RIGHT(CELL("adresse",OFFSET(DMAV_Modell!$N$6,D460-1,0)),LEN(CELL("adresse",OFFSET(DMAV_Modell!$N$6,D460-1,0)))-FIND("]",CELL("adresse",OFFSET(DMAV_Modell!$N$6,D460-1,0)))),"Substructure"))</f>
        <v/>
      </c>
      <c r="R460" s="80"/>
      <c r="T460" s="93"/>
      <c r="U460" s="94"/>
      <c r="V460" s="95"/>
      <c r="W460" s="96"/>
      <c r="Y460" s="85"/>
      <c r="Z460" s="86"/>
      <c r="AA460" s="87"/>
      <c r="AB460" s="88"/>
      <c r="AD460" s="77"/>
      <c r="AF460" s="54" t="str" cm="1">
        <f t="array" aca="1" ref="AF460" ca="1">IF(H460=0,"",HYPERLINK("#"&amp;RIGHT(CELL("adresse",OFFSET('DM01-AV-CH'!$G$6,H460-1,0)),LEN(CELL("adresse",OFFSET('DM01-AV-CH'!$G$6,H460-1,0)))-FIND("]",CELL("adresse",OFFSET('DM01-AV-CH'!$G$6,H460-1,0)))),"Modell"))</f>
        <v>Modell</v>
      </c>
      <c r="AG460" s="72" t="str" cm="1">
        <f t="array" ref="AG460">IF($H460=0,"",IF(INDEX('DM01-AV-CH'!G$6:G$834,$H460)="","",INDEX('DM01-AV-CH'!G$6:G$834,$H460)))</f>
        <v>Liegenschaften</v>
      </c>
      <c r="AH460" s="73" t="str" cm="1">
        <f t="array" ref="AH460">IF($H460=0,"",IF(INDEX('DM01-AV-CH'!H$6:H$834,$H460)="","",INDEX('DM01-AV-CH'!H$6:H$834,$H460)))</f>
        <v>LSNachfuehrung</v>
      </c>
      <c r="AI460" s="74" t="str" cm="1">
        <f t="array" ref="AI460">IF($H460=0,"",IF(INDEX('DM01-AV-CH'!I$6:I$834,$H460)="","",INDEX('DM01-AV-CH'!I$6:I$834,$H460)))</f>
        <v>Datum1</v>
      </c>
    </row>
    <row r="461" spans="1:35" x14ac:dyDescent="0.25">
      <c r="A461" s="57">
        <v>456</v>
      </c>
      <c r="B461" s="57">
        <f>IF($A461="","",IF(_xlfn.XLOOKUP($A461,Korrelation!$D$4:$D$1197,Korrelation!E$4:E$1197,"-",0)="-",0,MATCH(_xlfn.XLOOKUP($A461,Korrelation!$D$4:$D$1197,Korrelation!E$4:E$1197,"",0),DMAV_Modell!$G$6:$G$677,0)))</f>
        <v>214</v>
      </c>
      <c r="C461" s="57">
        <f>IF($A461="","",IF(_xlfn.XLOOKUP($A461,Korrelation!$D$4:$D$1197,Korrelation!F$4:F$1197,"-",0)="-",0,MATCH(_xlfn.XLOOKUP($A461,Korrelation!$D$4:$D$1197,Korrelation!F$4:F$1197,"",0),DMAV_Modell!$G$6:$G$677,0)))</f>
        <v>0</v>
      </c>
      <c r="D461" s="57">
        <f>IF($A461="","",IF(_xlfn.XLOOKUP($A461,Korrelation!$D$4:$D$1197,Korrelation!G$4:G$1197,"-",0)="-",0,MATCH(_xlfn.XLOOKUP($A461,Korrelation!$D$4:$D$1197,Korrelation!G$4:G$1197,"",0),DMAV_Modell!$G$6:$G$677,0)))</f>
        <v>0</v>
      </c>
      <c r="E461" s="57">
        <f>IF($A461="","",IF(_xlfn.XLOOKUP($A461,Korrelation!$D$4:$D$1197,Korrelation!H$4:H$1197,"-",0)="-",0,MATCH(_xlfn.XLOOKUP($A461,Korrelation!$D$4:$D$1197,Korrelation!H$4:H$1197,"",0),DMAV_Dienste!$F$6:$F$140,0)))</f>
        <v>0</v>
      </c>
      <c r="F461" s="57">
        <f>IF($A461="","",IF(_xlfn.XLOOKUP($A461,Korrelation!$D$4:$D$1197,Korrelation!I$4:I$1197,"-",0)="-",0,MATCH(_xlfn.XLOOKUP($A461,Korrelation!$D$4:$D$1197,Korrelation!I$4:I$1197,"",0),DMAV_Dienste!$F$6:$F$140,0)))</f>
        <v>0</v>
      </c>
      <c r="G461" s="57">
        <f>IF($A461="","",IF(_xlfn.XLOOKUP($A461,Korrelation!$D$4:$D$1197,Korrelation!J$4:J$1197,"-",0)="-",0,MATCH(_xlfn.XLOOKUP($A461,Korrelation!$D$4:$D$1197,Korrelation!J$4:J$1197,"",0),DMAV_Dienste!$F$6:$F$140,0)))</f>
        <v>0</v>
      </c>
      <c r="H461" s="57">
        <f>IF($A461="","",IF(_xlfn.XLOOKUP($A461,Korrelation!$D$4:$D$1197,Korrelation!K$4:K$1197,"-",0)="-",0,MATCH(_xlfn.XLOOKUP($A461,Korrelation!$D$4:$D$1197,Korrelation!K$4:K$1197,"",0),'DM01-AV-CH'!$A$6:$A$834,0)))</f>
        <v>427</v>
      </c>
      <c r="J461" s="54" t="str" cm="1">
        <f t="array" aca="1" ref="J461" ca="1">IF(B461=0,IF(E461=0,"",HYPERLINK("#"&amp;RIGHT(CELL("adresse",OFFSET(DMAV_Dienste!$M$6,E461-1,0)),LEN(CELL("adresse",OFFSET(DMAV_Dienste!$M$6,E461-1,0)))-FIND("]",CELL("adresse",OFFSET(DMAV_Dienste!$M$6,E461-1,0)))),"Dienst")),HYPERLINK("#"&amp;RIGHT(CELL("adresse",OFFSET(DMAV_Modell!$N$6,B461-1,0)),LEN(CELL("adresse",OFFSET(DMAV_Modell!$N$6,B461-1,0)))-FIND("]",CELL("adresse",OFFSET(DMAV_Modell!$N$6,B461-1,0)))),"Modell"))</f>
        <v>Modell</v>
      </c>
      <c r="K461" s="61" t="str" cm="1">
        <f t="array" ref="K461">IF($B461=0,IF($E461=0,"",IF(INDEX(DMAV_Dienste!P$6:P$140,$E461)="","",INDEX(DMAV_Dienste!P$6:P$140,$E461))),IF(INDEX(DMAV_Modell!Q$6:Q$838,$B461)="","",INDEX(DMAV_Modell!Q$6:Q$838,$B461)))</f>
        <v>CLASS</v>
      </c>
      <c r="L461" s="62" t="str" cm="1">
        <f t="array" ref="L461">IF($B461=0,IF($E461=0,"",IF(INDEX(DMAV_Dienste!O$6:O$140,$E461)="","",INDEX(DMAV_Dienste!O$6:O$140,$E461))),IF(INDEX(DMAV_Modell!P$6:P$838,$B461)="","",INDEX(DMAV_Modell!P$6:P$838,$B461)))</f>
        <v>Grundstuecke</v>
      </c>
      <c r="M461" s="62" t="str" cm="1">
        <f t="array" ref="M461">IF($B461=0,IF($E461=0,"",IF(INDEX(DMAV_Dienste!Q$6:Q$140,$E461)="","",INDEX(DMAV_Dienste!Q$6:Q$140,$E461))),IF(INDEX(DMAV_Modell!R$6:R$838,$B461)="","",INDEX(DMAV_Modell!R$6:R$838,$B461)))</f>
        <v>GSNachfuehrung</v>
      </c>
      <c r="N461" s="62" t="str" cm="1">
        <f t="array" ref="N461">IF($B461=0,IF($E461=0,"",IF(INDEX(DMAV_Dienste!T$6:T$140,$E461)="","",INDEX(DMAV_Dienste!T$6:T$140,$E461))),IF(INDEX(DMAV_Modell!U$6:U$838,$B461)="","",INDEX(DMAV_Modell!U$6:U$838,$B461)))</f>
        <v>Grundbucheintrag</v>
      </c>
      <c r="O461" s="63" t="str" cm="1">
        <f t="array" aca="1" ref="O461" ca="1">IF(C461=0,IF(F461=0,"",HYPERLINK("#"&amp;RIGHT(CELL("adresse",OFFSET(DMAV_Dienste!$M$6,F461-1,0)),LEN(CELL("adresse",OFFSET(DMAV_Dienste!$M$6,F461-1,0)))-FIND("]",CELL("adresse",OFFSET(DMAV_Dienste!$M$6,F461-1,0)))),"Structure")),HYPERLINK("#"&amp;RIGHT(CELL("adresse",OFFSET(DMAV_Modell!$N$6,C461-1,0)),LEN(CELL("adresse",OFFSET(DMAV_Modell!$N$6,C461-1,0)))-FIND("]",CELL("adresse",OFFSET(DMAV_Modell!$N$6,C461-1,0)))),"Structure"))</f>
        <v/>
      </c>
      <c r="P461" s="64" t="str" cm="1">
        <f t="array" aca="1" ref="P461" ca="1">IF(D461=0,IF(G461=0,"",HYPERLINK("#"&amp;RIGHT(CELL("adresse",OFFSET(DMAV_Dienste!$M$6,G461-1,0)),LEN(CELL("adresse",OFFSET(DMAV_Dienste!$M$6,G461-1,0)))-FIND("]",CELL("adresse",OFFSET(DMAV_Dienste!$M$6,G461-1,0)))),"Substructure")),HYPERLINK("#"&amp;RIGHT(CELL("adresse",OFFSET(DMAV_Modell!$N$6,D461-1,0)),LEN(CELL("adresse",OFFSET(DMAV_Modell!$N$6,D461-1,0)))-FIND("]",CELL("adresse",OFFSET(DMAV_Modell!$N$6,D461-1,0)))),"Substructure"))</f>
        <v/>
      </c>
      <c r="R461" s="80"/>
      <c r="T461" s="93"/>
      <c r="U461" s="94"/>
      <c r="V461" s="95"/>
      <c r="W461" s="96"/>
      <c r="Y461" s="85"/>
      <c r="Z461" s="86"/>
      <c r="AA461" s="87"/>
      <c r="AB461" s="88"/>
      <c r="AD461" s="77"/>
      <c r="AF461" s="54" t="str" cm="1">
        <f t="array" aca="1" ref="AF461" ca="1">IF(H461=0,"",HYPERLINK("#"&amp;RIGHT(CELL("adresse",OFFSET('DM01-AV-CH'!$G$6,H461-1,0)),LEN(CELL("adresse",OFFSET('DM01-AV-CH'!$G$6,H461-1,0)))-FIND("]",CELL("adresse",OFFSET('DM01-AV-CH'!$G$6,H461-1,0)))),"Modell"))</f>
        <v>Modell</v>
      </c>
      <c r="AG461" s="72" t="str" cm="1">
        <f t="array" ref="AG461">IF($H461=0,"",IF(INDEX('DM01-AV-CH'!G$6:G$834,$H461)="","",INDEX('DM01-AV-CH'!G$6:G$834,$H461)))</f>
        <v>Liegenschaften</v>
      </c>
      <c r="AH461" s="73" t="str" cm="1">
        <f t="array" ref="AH461">IF($H461=0,"",IF(INDEX('DM01-AV-CH'!H$6:H$834,$H461)="","",INDEX('DM01-AV-CH'!H$6:H$834,$H461)))</f>
        <v>LSNachfuehrung</v>
      </c>
      <c r="AI461" s="74" t="str" cm="1">
        <f t="array" ref="AI461">IF($H461=0,"",IF(INDEX('DM01-AV-CH'!I$6:I$834,$H461)="","",INDEX('DM01-AV-CH'!I$6:I$834,$H461)))</f>
        <v>Datum2</v>
      </c>
    </row>
    <row r="462" spans="1:35" x14ac:dyDescent="0.25">
      <c r="A462" s="57">
        <v>457</v>
      </c>
      <c r="B462" s="57">
        <f>IF($A462="","",IF(_xlfn.XLOOKUP($A462,Korrelation!$D$4:$D$1197,Korrelation!E$4:E$1197,"-",0)="-",0,MATCH(_xlfn.XLOOKUP($A462,Korrelation!$D$4:$D$1197,Korrelation!E$4:E$1197,"",0),DMAV_Modell!$G$6:$G$677,0)))</f>
        <v>0</v>
      </c>
      <c r="C462" s="57">
        <f>IF($A462="","",IF(_xlfn.XLOOKUP($A462,Korrelation!$D$4:$D$1197,Korrelation!F$4:F$1197,"-",0)="-",0,MATCH(_xlfn.XLOOKUP($A462,Korrelation!$D$4:$D$1197,Korrelation!F$4:F$1197,"",0),DMAV_Modell!$G$6:$G$677,0)))</f>
        <v>0</v>
      </c>
      <c r="D462" s="57">
        <f>IF($A462="","",IF(_xlfn.XLOOKUP($A462,Korrelation!$D$4:$D$1197,Korrelation!G$4:G$1197,"-",0)="-",0,MATCH(_xlfn.XLOOKUP($A462,Korrelation!$D$4:$D$1197,Korrelation!G$4:G$1197,"",0),DMAV_Modell!$G$6:$G$677,0)))</f>
        <v>0</v>
      </c>
      <c r="E462" s="57">
        <f>IF($A462="","",IF(_xlfn.XLOOKUP($A462,Korrelation!$D$4:$D$1197,Korrelation!H$4:H$1197,"-",0)="-",0,MATCH(_xlfn.XLOOKUP($A462,Korrelation!$D$4:$D$1197,Korrelation!H$4:H$1197,"",0),DMAV_Dienste!$F$6:$F$140,0)))</f>
        <v>0</v>
      </c>
      <c r="F462" s="57">
        <f>IF($A462="","",IF(_xlfn.XLOOKUP($A462,Korrelation!$D$4:$D$1197,Korrelation!I$4:I$1197,"-",0)="-",0,MATCH(_xlfn.XLOOKUP($A462,Korrelation!$D$4:$D$1197,Korrelation!I$4:I$1197,"",0),DMAV_Dienste!$F$6:$F$140,0)))</f>
        <v>0</v>
      </c>
      <c r="G462" s="57">
        <f>IF($A462="","",IF(_xlfn.XLOOKUP($A462,Korrelation!$D$4:$D$1197,Korrelation!J$4:J$1197,"-",0)="-",0,MATCH(_xlfn.XLOOKUP($A462,Korrelation!$D$4:$D$1197,Korrelation!J$4:J$1197,"",0),DMAV_Dienste!$F$6:$F$140,0)))</f>
        <v>0</v>
      </c>
      <c r="H462" s="57">
        <f>IF($A462="","",IF(_xlfn.XLOOKUP($A462,Korrelation!$D$4:$D$1197,Korrelation!K$4:K$1197,"-",0)="-",0,MATCH(_xlfn.XLOOKUP($A462,Korrelation!$D$4:$D$1197,Korrelation!K$4:K$1197,"",0),'DM01-AV-CH'!$A$6:$A$834,0)))</f>
        <v>428</v>
      </c>
      <c r="J462" s="54" t="str" cm="1">
        <f t="array" aca="1" ref="J462" ca="1">IF(B462=0,IF(E462=0,"",HYPERLINK("#"&amp;RIGHT(CELL("adresse",OFFSET(DMAV_Dienste!$M$6,E462-1,0)),LEN(CELL("adresse",OFFSET(DMAV_Dienste!$M$6,E462-1,0)))-FIND("]",CELL("adresse",OFFSET(DMAV_Dienste!$M$6,E462-1,0)))),"Dienst")),HYPERLINK("#"&amp;RIGHT(CELL("adresse",OFFSET(DMAV_Modell!$N$6,B462-1,0)),LEN(CELL("adresse",OFFSET(DMAV_Modell!$N$6,B462-1,0)))-FIND("]",CELL("adresse",OFFSET(DMAV_Modell!$N$6,B462-1,0)))),"Modell"))</f>
        <v/>
      </c>
      <c r="K462" s="61" t="str" cm="1">
        <f t="array" ref="K462">IF($B462=0,IF($E462=0,"",IF(INDEX(DMAV_Dienste!P$6:P$140,$E462)="","",INDEX(DMAV_Dienste!P$6:P$140,$E462))),IF(INDEX(DMAV_Modell!Q$6:Q$838,$B462)="","",INDEX(DMAV_Modell!Q$6:Q$838,$B462)))</f>
        <v/>
      </c>
      <c r="L462" s="62" t="str" cm="1">
        <f t="array" ref="L462">IF($B462=0,IF($E462=0,"",IF(INDEX(DMAV_Dienste!O$6:O$140,$E462)="","",INDEX(DMAV_Dienste!O$6:O$140,$E462))),IF(INDEX(DMAV_Modell!P$6:P$838,$B462)="","",INDEX(DMAV_Modell!P$6:P$838,$B462)))</f>
        <v/>
      </c>
      <c r="M462" s="62" t="str" cm="1">
        <f t="array" ref="M462">IF($B462=0,IF($E462=0,"",IF(INDEX(DMAV_Dienste!Q$6:Q$140,$E462)="","",INDEX(DMAV_Dienste!Q$6:Q$140,$E462))),IF(INDEX(DMAV_Modell!R$6:R$838,$B462)="","",INDEX(DMAV_Modell!R$6:R$838,$B462)))</f>
        <v/>
      </c>
      <c r="N462" s="62" t="str" cm="1">
        <f t="array" ref="N462">IF($B462=0,IF($E462=0,"",IF(INDEX(DMAV_Dienste!T$6:T$140,$E462)="","",INDEX(DMAV_Dienste!T$6:T$140,$E462))),IF(INDEX(DMAV_Modell!U$6:U$838,$B462)="","",INDEX(DMAV_Modell!U$6:U$838,$B462)))</f>
        <v/>
      </c>
      <c r="O462" s="63" t="str" cm="1">
        <f t="array" aca="1" ref="O462" ca="1">IF(C462=0,IF(F462=0,"",HYPERLINK("#"&amp;RIGHT(CELL("adresse",OFFSET(DMAV_Dienste!$M$6,F462-1,0)),LEN(CELL("adresse",OFFSET(DMAV_Dienste!$M$6,F462-1,0)))-FIND("]",CELL("adresse",OFFSET(DMAV_Dienste!$M$6,F462-1,0)))),"Structure")),HYPERLINK("#"&amp;RIGHT(CELL("adresse",OFFSET(DMAV_Modell!$N$6,C462-1,0)),LEN(CELL("adresse",OFFSET(DMAV_Modell!$N$6,C462-1,0)))-FIND("]",CELL("adresse",OFFSET(DMAV_Modell!$N$6,C462-1,0)))),"Structure"))</f>
        <v/>
      </c>
      <c r="P462" s="64" t="str" cm="1">
        <f t="array" aca="1" ref="P462" ca="1">IF(D462=0,IF(G462=0,"",HYPERLINK("#"&amp;RIGHT(CELL("adresse",OFFSET(DMAV_Dienste!$M$6,G462-1,0)),LEN(CELL("adresse",OFFSET(DMAV_Dienste!$M$6,G462-1,0)))-FIND("]",CELL("adresse",OFFSET(DMAV_Dienste!$M$6,G462-1,0)))),"Substructure")),HYPERLINK("#"&amp;RIGHT(CELL("adresse",OFFSET(DMAV_Modell!$N$6,D462-1,0)),LEN(CELL("adresse",OFFSET(DMAV_Modell!$N$6,D462-1,0)))-FIND("]",CELL("adresse",OFFSET(DMAV_Modell!$N$6,D462-1,0)))),"Substructure"))</f>
        <v/>
      </c>
      <c r="R462" s="80"/>
      <c r="T462" s="93"/>
      <c r="U462" s="94"/>
      <c r="V462" s="95"/>
      <c r="W462" s="96"/>
      <c r="Y462" s="85"/>
      <c r="Z462" s="86"/>
      <c r="AA462" s="87"/>
      <c r="AB462" s="88"/>
      <c r="AD462" s="77"/>
      <c r="AF462" s="54" t="str" cm="1">
        <f t="array" aca="1" ref="AF462" ca="1">IF(H462=0,"",HYPERLINK("#"&amp;RIGHT(CELL("adresse",OFFSET('DM01-AV-CH'!$G$6,H462-1,0)),LEN(CELL("adresse",OFFSET('DM01-AV-CH'!$G$6,H462-1,0)))-FIND("]",CELL("adresse",OFFSET('DM01-AV-CH'!$G$6,H462-1,0)))),"Modell"))</f>
        <v>Modell</v>
      </c>
      <c r="AG462" s="72" t="str" cm="1">
        <f t="array" ref="AG462">IF($H462=0,"",IF(INDEX('DM01-AV-CH'!G$6:G$834,$H462)="","",INDEX('DM01-AV-CH'!G$6:G$834,$H462)))</f>
        <v>Liegenschaften</v>
      </c>
      <c r="AH462" s="73" t="str" cm="1">
        <f t="array" ref="AH462">IF($H462=0,"",IF(INDEX('DM01-AV-CH'!H$6:H$834,$H462)="","",INDEX('DM01-AV-CH'!H$6:H$834,$H462)))</f>
        <v>Grenzpunkt</v>
      </c>
      <c r="AI462" s="74" t="str" cm="1">
        <f t="array" ref="AI462">IF($H462=0,"",IF(INDEX('DM01-AV-CH'!I$6:I$834,$H462)="","",INDEX('DM01-AV-CH'!I$6:I$834,$H462)))</f>
        <v>Entstehung</v>
      </c>
    </row>
    <row r="463" spans="1:35" x14ac:dyDescent="0.25">
      <c r="A463" s="57">
        <v>458</v>
      </c>
      <c r="B463" s="57">
        <f>IF($A463="","",IF(_xlfn.XLOOKUP($A463,Korrelation!$D$4:$D$1197,Korrelation!E$4:E$1197,"-",0)="-",0,MATCH(_xlfn.XLOOKUP($A463,Korrelation!$D$4:$D$1197,Korrelation!E$4:E$1197,"",0),DMAV_Modell!$G$6:$G$677,0)))</f>
        <v>215</v>
      </c>
      <c r="C463" s="57">
        <f>IF($A463="","",IF(_xlfn.XLOOKUP($A463,Korrelation!$D$4:$D$1197,Korrelation!F$4:F$1197,"-",0)="-",0,MATCH(_xlfn.XLOOKUP($A463,Korrelation!$D$4:$D$1197,Korrelation!F$4:F$1197,"",0),DMAV_Modell!$G$6:$G$677,0)))</f>
        <v>0</v>
      </c>
      <c r="D463" s="57">
        <f>IF($A463="","",IF(_xlfn.XLOOKUP($A463,Korrelation!$D$4:$D$1197,Korrelation!G$4:G$1197,"-",0)="-",0,MATCH(_xlfn.XLOOKUP($A463,Korrelation!$D$4:$D$1197,Korrelation!G$4:G$1197,"",0),DMAV_Modell!$G$6:$G$677,0)))</f>
        <v>0</v>
      </c>
      <c r="E463" s="57">
        <f>IF($A463="","",IF(_xlfn.XLOOKUP($A463,Korrelation!$D$4:$D$1197,Korrelation!H$4:H$1197,"-",0)="-",0,MATCH(_xlfn.XLOOKUP($A463,Korrelation!$D$4:$D$1197,Korrelation!H$4:H$1197,"",0),DMAV_Dienste!$F$6:$F$140,0)))</f>
        <v>0</v>
      </c>
      <c r="F463" s="57">
        <f>IF($A463="","",IF(_xlfn.XLOOKUP($A463,Korrelation!$D$4:$D$1197,Korrelation!I$4:I$1197,"-",0)="-",0,MATCH(_xlfn.XLOOKUP($A463,Korrelation!$D$4:$D$1197,Korrelation!I$4:I$1197,"",0),DMAV_Dienste!$F$6:$F$140,0)))</f>
        <v>0</v>
      </c>
      <c r="G463" s="57">
        <f>IF($A463="","",IF(_xlfn.XLOOKUP($A463,Korrelation!$D$4:$D$1197,Korrelation!J$4:J$1197,"-",0)="-",0,MATCH(_xlfn.XLOOKUP($A463,Korrelation!$D$4:$D$1197,Korrelation!J$4:J$1197,"",0),DMAV_Dienste!$F$6:$F$140,0)))</f>
        <v>0</v>
      </c>
      <c r="H463" s="57">
        <f>IF($A463="","",IF(_xlfn.XLOOKUP($A463,Korrelation!$D$4:$D$1197,Korrelation!K$4:K$1197,"-",0)="-",0,MATCH(_xlfn.XLOOKUP($A463,Korrelation!$D$4:$D$1197,Korrelation!K$4:K$1197,"",0),'DM01-AV-CH'!$A$6:$A$834,0)))</f>
        <v>0</v>
      </c>
      <c r="J463" s="54" t="str" cm="1">
        <f t="array" aca="1" ref="J463" ca="1">IF(B463=0,IF(E463=0,"",HYPERLINK("#"&amp;RIGHT(CELL("adresse",OFFSET(DMAV_Dienste!$M$6,E463-1,0)),LEN(CELL("adresse",OFFSET(DMAV_Dienste!$M$6,E463-1,0)))-FIND("]",CELL("adresse",OFFSET(DMAV_Dienste!$M$6,E463-1,0)))),"Dienst")),HYPERLINK("#"&amp;RIGHT(CELL("adresse",OFFSET(DMAV_Modell!$N$6,B463-1,0)),LEN(CELL("adresse",OFFSET(DMAV_Modell!$N$6,B463-1,0)))-FIND("]",CELL("adresse",OFFSET(DMAV_Modell!$N$6,B463-1,0)))),"Modell"))</f>
        <v>Modell</v>
      </c>
      <c r="K463" s="61" t="str" cm="1">
        <f t="array" ref="K463">IF($B463=0,IF($E463=0,"",IF(INDEX(DMAV_Dienste!P$6:P$140,$E463)="","",INDEX(DMAV_Dienste!P$6:P$140,$E463))),IF(INDEX(DMAV_Modell!Q$6:Q$838,$B463)="","",INDEX(DMAV_Modell!Q$6:Q$838,$B463)))</f>
        <v>CLASS</v>
      </c>
      <c r="L463" s="62" t="str" cm="1">
        <f t="array" ref="L463">IF($B463=0,IF($E463=0,"",IF(INDEX(DMAV_Dienste!O$6:O$140,$E463)="","",INDEX(DMAV_Dienste!O$6:O$140,$E463))),IF(INDEX(DMAV_Modell!P$6:P$838,$B463)="","",INDEX(DMAV_Modell!P$6:P$838,$B463)))</f>
        <v>Grundstuecke</v>
      </c>
      <c r="M463" s="62" t="str" cm="1">
        <f t="array" ref="M463">IF($B463=0,IF($E463=0,"",IF(INDEX(DMAV_Dienste!Q$6:Q$140,$E463)="","",INDEX(DMAV_Dienste!Q$6:Q$140,$E463))),IF(INDEX(DMAV_Modell!R$6:R$838,$B463)="","",INDEX(DMAV_Modell!R$6:R$838,$B463)))</f>
        <v>Grenzpunkt</v>
      </c>
      <c r="N463" s="62" t="str" cm="1">
        <f t="array" ref="N463">IF($B463=0,IF($E463=0,"",IF(INDEX(DMAV_Dienste!T$6:T$140,$E463)="","",INDEX(DMAV_Dienste!T$6:T$140,$E463))),IF(INDEX(DMAV_Modell!U$6:U$838,$B463)="","",INDEX(DMAV_Modell!U$6:U$838,$B463)))</f>
        <v>NBIdent</v>
      </c>
      <c r="O463" s="63" t="str" cm="1">
        <f t="array" aca="1" ref="O463" ca="1">IF(C463=0,IF(F463=0,"",HYPERLINK("#"&amp;RIGHT(CELL("adresse",OFFSET(DMAV_Dienste!$M$6,F463-1,0)),LEN(CELL("adresse",OFFSET(DMAV_Dienste!$M$6,F463-1,0)))-FIND("]",CELL("adresse",OFFSET(DMAV_Dienste!$M$6,F463-1,0)))),"Structure")),HYPERLINK("#"&amp;RIGHT(CELL("adresse",OFFSET(DMAV_Modell!$N$6,C463-1,0)),LEN(CELL("adresse",OFFSET(DMAV_Modell!$N$6,C463-1,0)))-FIND("]",CELL("adresse",OFFSET(DMAV_Modell!$N$6,C463-1,0)))),"Structure"))</f>
        <v/>
      </c>
      <c r="P463" s="64" t="str" cm="1">
        <f t="array" aca="1" ref="P463" ca="1">IF(D463=0,IF(G463=0,"",HYPERLINK("#"&amp;RIGHT(CELL("adresse",OFFSET(DMAV_Dienste!$M$6,G463-1,0)),LEN(CELL("adresse",OFFSET(DMAV_Dienste!$M$6,G463-1,0)))-FIND("]",CELL("adresse",OFFSET(DMAV_Dienste!$M$6,G463-1,0)))),"Substructure")),HYPERLINK("#"&amp;RIGHT(CELL("adresse",OFFSET(DMAV_Modell!$N$6,D463-1,0)),LEN(CELL("adresse",OFFSET(DMAV_Modell!$N$6,D463-1,0)))-FIND("]",CELL("adresse",OFFSET(DMAV_Modell!$N$6,D463-1,0)))),"Substructure"))</f>
        <v/>
      </c>
      <c r="R463" s="80"/>
      <c r="T463" s="93"/>
      <c r="U463" s="94"/>
      <c r="V463" s="95"/>
      <c r="W463" s="96"/>
      <c r="Y463" s="85"/>
      <c r="Z463" s="86"/>
      <c r="AA463" s="87"/>
      <c r="AB463" s="88"/>
      <c r="AD463" s="77"/>
      <c r="AF463" s="54" t="str" cm="1">
        <f t="array" aca="1" ref="AF463" ca="1">IF(H463=0,"",HYPERLINK("#"&amp;RIGHT(CELL("adresse",OFFSET('DM01-AV-CH'!$G$6,H463-1,0)),LEN(CELL("adresse",OFFSET('DM01-AV-CH'!$G$6,H463-1,0)))-FIND("]",CELL("adresse",OFFSET('DM01-AV-CH'!$G$6,H463-1,0)))),"Modell"))</f>
        <v/>
      </c>
      <c r="AG463" s="72" t="str" cm="1">
        <f t="array" ref="AG463">IF($H463=0,"",IF(INDEX('DM01-AV-CH'!G$6:G$834,$H463)="","",INDEX('DM01-AV-CH'!G$6:G$834,$H463)))</f>
        <v/>
      </c>
      <c r="AH463" s="73" t="str" cm="1">
        <f t="array" ref="AH463">IF($H463=0,"",IF(INDEX('DM01-AV-CH'!H$6:H$834,$H463)="","",INDEX('DM01-AV-CH'!H$6:H$834,$H463)))</f>
        <v/>
      </c>
      <c r="AI463" s="74" t="str" cm="1">
        <f t="array" ref="AI463">IF($H463=0,"",IF(INDEX('DM01-AV-CH'!I$6:I$834,$H463)="","",INDEX('DM01-AV-CH'!I$6:I$834,$H463)))</f>
        <v/>
      </c>
    </row>
    <row r="464" spans="1:35" ht="28.5" x14ac:dyDescent="0.25">
      <c r="A464" s="57">
        <v>459</v>
      </c>
      <c r="B464" s="57">
        <f>IF($A464="","",IF(_xlfn.XLOOKUP($A464,Korrelation!$D$4:$D$1197,Korrelation!E$4:E$1197,"-",0)="-",0,MATCH(_xlfn.XLOOKUP($A464,Korrelation!$D$4:$D$1197,Korrelation!E$4:E$1197,"",0),DMAV_Modell!$G$6:$G$677,0)))</f>
        <v>216</v>
      </c>
      <c r="C464" s="57">
        <f>IF($A464="","",IF(_xlfn.XLOOKUP($A464,Korrelation!$D$4:$D$1197,Korrelation!F$4:F$1197,"-",0)="-",0,MATCH(_xlfn.XLOOKUP($A464,Korrelation!$D$4:$D$1197,Korrelation!F$4:F$1197,"",0),DMAV_Modell!$G$6:$G$677,0)))</f>
        <v>0</v>
      </c>
      <c r="D464" s="57">
        <f>IF($A464="","",IF(_xlfn.XLOOKUP($A464,Korrelation!$D$4:$D$1197,Korrelation!G$4:G$1197,"-",0)="-",0,MATCH(_xlfn.XLOOKUP($A464,Korrelation!$D$4:$D$1197,Korrelation!G$4:G$1197,"",0),DMAV_Modell!$G$6:$G$677,0)))</f>
        <v>0</v>
      </c>
      <c r="E464" s="57">
        <f>IF($A464="","",IF(_xlfn.XLOOKUP($A464,Korrelation!$D$4:$D$1197,Korrelation!H$4:H$1197,"-",0)="-",0,MATCH(_xlfn.XLOOKUP($A464,Korrelation!$D$4:$D$1197,Korrelation!H$4:H$1197,"",0),DMAV_Dienste!$F$6:$F$140,0)))</f>
        <v>0</v>
      </c>
      <c r="F464" s="57">
        <f>IF($A464="","",IF(_xlfn.XLOOKUP($A464,Korrelation!$D$4:$D$1197,Korrelation!I$4:I$1197,"-",0)="-",0,MATCH(_xlfn.XLOOKUP($A464,Korrelation!$D$4:$D$1197,Korrelation!I$4:I$1197,"",0),DMAV_Dienste!$F$6:$F$140,0)))</f>
        <v>0</v>
      </c>
      <c r="G464" s="57">
        <f>IF($A464="","",IF(_xlfn.XLOOKUP($A464,Korrelation!$D$4:$D$1197,Korrelation!J$4:J$1197,"-",0)="-",0,MATCH(_xlfn.XLOOKUP($A464,Korrelation!$D$4:$D$1197,Korrelation!J$4:J$1197,"",0),DMAV_Dienste!$F$6:$F$140,0)))</f>
        <v>0</v>
      </c>
      <c r="H464" s="57">
        <f>IF($A464="","",IF(_xlfn.XLOOKUP($A464,Korrelation!$D$4:$D$1197,Korrelation!K$4:K$1197,"-",0)="-",0,MATCH(_xlfn.XLOOKUP($A464,Korrelation!$D$4:$D$1197,Korrelation!K$4:K$1197,"",0),'DM01-AV-CH'!$A$6:$A$834,0)))</f>
        <v>429</v>
      </c>
      <c r="J464" s="54" t="str" cm="1">
        <f t="array" aca="1" ref="J464" ca="1">IF(B464=0,IF(E464=0,"",HYPERLINK("#"&amp;RIGHT(CELL("adresse",OFFSET(DMAV_Dienste!$M$6,E464-1,0)),LEN(CELL("adresse",OFFSET(DMAV_Dienste!$M$6,E464-1,0)))-FIND("]",CELL("adresse",OFFSET(DMAV_Dienste!$M$6,E464-1,0)))),"Dienst")),HYPERLINK("#"&amp;RIGHT(CELL("adresse",OFFSET(DMAV_Modell!$N$6,B464-1,0)),LEN(CELL("adresse",OFFSET(DMAV_Modell!$N$6,B464-1,0)))-FIND("]",CELL("adresse",OFFSET(DMAV_Modell!$N$6,B464-1,0)))),"Modell"))</f>
        <v>Modell</v>
      </c>
      <c r="K464" s="61" t="str" cm="1">
        <f t="array" ref="K464">IF($B464=0,IF($E464=0,"",IF(INDEX(DMAV_Dienste!P$6:P$140,$E464)="","",INDEX(DMAV_Dienste!P$6:P$140,$E464))),IF(INDEX(DMAV_Modell!Q$6:Q$838,$B464)="","",INDEX(DMAV_Modell!Q$6:Q$838,$B464)))</f>
        <v>CLASS</v>
      </c>
      <c r="L464" s="62" t="str" cm="1">
        <f t="array" ref="L464">IF($B464=0,IF($E464=0,"",IF(INDEX(DMAV_Dienste!O$6:O$140,$E464)="","",INDEX(DMAV_Dienste!O$6:O$140,$E464))),IF(INDEX(DMAV_Modell!P$6:P$838,$B464)="","",INDEX(DMAV_Modell!P$6:P$838,$B464)))</f>
        <v>Grundstuecke</v>
      </c>
      <c r="M464" s="62" t="str" cm="1">
        <f t="array" ref="M464">IF($B464=0,IF($E464=0,"",IF(INDEX(DMAV_Dienste!Q$6:Q$140,$E464)="","",INDEX(DMAV_Dienste!Q$6:Q$140,$E464))),IF(INDEX(DMAV_Modell!R$6:R$838,$B464)="","",INDEX(DMAV_Modell!R$6:R$838,$B464)))</f>
        <v>Grenzpunkt</v>
      </c>
      <c r="N464" s="62" t="str" cm="1">
        <f t="array" ref="N464">IF($B464=0,IF($E464=0,"",IF(INDEX(DMAV_Dienste!T$6:T$140,$E464)="","",INDEX(DMAV_Dienste!T$6:T$140,$E464))),IF(INDEX(DMAV_Modell!U$6:U$838,$B464)="","",INDEX(DMAV_Modell!U$6:U$838,$B464)))</f>
        <v>Nummer</v>
      </c>
      <c r="O464" s="63" t="str" cm="1">
        <f t="array" aca="1" ref="O464" ca="1">IF(C464=0,IF(F464=0,"",HYPERLINK("#"&amp;RIGHT(CELL("adresse",OFFSET(DMAV_Dienste!$M$6,F464-1,0)),LEN(CELL("adresse",OFFSET(DMAV_Dienste!$M$6,F464-1,0)))-FIND("]",CELL("adresse",OFFSET(DMAV_Dienste!$M$6,F464-1,0)))),"Structure")),HYPERLINK("#"&amp;RIGHT(CELL("adresse",OFFSET(DMAV_Modell!$N$6,C464-1,0)),LEN(CELL("adresse",OFFSET(DMAV_Modell!$N$6,C464-1,0)))-FIND("]",CELL("adresse",OFFSET(DMAV_Modell!$N$6,C464-1,0)))),"Structure"))</f>
        <v/>
      </c>
      <c r="P464" s="64" t="str" cm="1">
        <f t="array" aca="1" ref="P464" ca="1">IF(D464=0,IF(G464=0,"",HYPERLINK("#"&amp;RIGHT(CELL("adresse",OFFSET(DMAV_Dienste!$M$6,G464-1,0)),LEN(CELL("adresse",OFFSET(DMAV_Dienste!$M$6,G464-1,0)))-FIND("]",CELL("adresse",OFFSET(DMAV_Dienste!$M$6,G464-1,0)))),"Substructure")),HYPERLINK("#"&amp;RIGHT(CELL("adresse",OFFSET(DMAV_Modell!$N$6,D464-1,0)),LEN(CELL("adresse",OFFSET(DMAV_Modell!$N$6,D464-1,0)))-FIND("]",CELL("adresse",OFFSET(DMAV_Modell!$N$6,D464-1,0)))),"Substructure"))</f>
        <v/>
      </c>
      <c r="R464" s="80"/>
      <c r="T464" s="93"/>
      <c r="U464" s="94"/>
      <c r="V464" s="95"/>
      <c r="W464" s="96"/>
      <c r="Y464" s="85" t="s">
        <v>3103</v>
      </c>
      <c r="Z464" s="86" t="s">
        <v>1286</v>
      </c>
      <c r="AA464" s="87" t="s">
        <v>2987</v>
      </c>
      <c r="AB464" s="88" t="s">
        <v>3314</v>
      </c>
      <c r="AD464" s="77"/>
      <c r="AF464" s="54" t="str" cm="1">
        <f t="array" aca="1" ref="AF464" ca="1">IF(H464=0,"",HYPERLINK("#"&amp;RIGHT(CELL("adresse",OFFSET('DM01-AV-CH'!$G$6,H464-1,0)),LEN(CELL("adresse",OFFSET('DM01-AV-CH'!$G$6,H464-1,0)))-FIND("]",CELL("adresse",OFFSET('DM01-AV-CH'!$G$6,H464-1,0)))),"Modell"))</f>
        <v>Modell</v>
      </c>
      <c r="AG464" s="72" t="str" cm="1">
        <f t="array" ref="AG464">IF($H464=0,"",IF(INDEX('DM01-AV-CH'!G$6:G$834,$H464)="","",INDEX('DM01-AV-CH'!G$6:G$834,$H464)))</f>
        <v>Liegenschaften</v>
      </c>
      <c r="AH464" s="73" t="str" cm="1">
        <f t="array" ref="AH464">IF($H464=0,"",IF(INDEX('DM01-AV-CH'!H$6:H$834,$H464)="","",INDEX('DM01-AV-CH'!H$6:H$834,$H464)))</f>
        <v>Grenzpunkt</v>
      </c>
      <c r="AI464" s="74" t="str" cm="1">
        <f t="array" ref="AI464">IF($H464=0,"",IF(INDEX('DM01-AV-CH'!I$6:I$834,$H464)="","",INDEX('DM01-AV-CH'!I$6:I$834,$H464)))</f>
        <v>Identifikator</v>
      </c>
    </row>
    <row r="465" spans="1:35" ht="28.5" x14ac:dyDescent="0.25">
      <c r="A465" s="57">
        <v>460</v>
      </c>
      <c r="B465" s="57">
        <f>IF($A465="","",IF(_xlfn.XLOOKUP($A465,Korrelation!$D$4:$D$1197,Korrelation!E$4:E$1197,"-",0)="-",0,MATCH(_xlfn.XLOOKUP($A465,Korrelation!$D$4:$D$1197,Korrelation!E$4:E$1197,"",0),DMAV_Modell!$G$6:$G$677,0)))</f>
        <v>217</v>
      </c>
      <c r="C465" s="57">
        <f>IF($A465="","",IF(_xlfn.XLOOKUP($A465,Korrelation!$D$4:$D$1197,Korrelation!F$4:F$1197,"-",0)="-",0,MATCH(_xlfn.XLOOKUP($A465,Korrelation!$D$4:$D$1197,Korrelation!F$4:F$1197,"",0),DMAV_Modell!$G$6:$G$677,0)))</f>
        <v>0</v>
      </c>
      <c r="D465" s="57">
        <f>IF($A465="","",IF(_xlfn.XLOOKUP($A465,Korrelation!$D$4:$D$1197,Korrelation!G$4:G$1197,"-",0)="-",0,MATCH(_xlfn.XLOOKUP($A465,Korrelation!$D$4:$D$1197,Korrelation!G$4:G$1197,"",0),DMAV_Modell!$G$6:$G$677,0)))</f>
        <v>0</v>
      </c>
      <c r="E465" s="57">
        <f>IF($A465="","",IF(_xlfn.XLOOKUP($A465,Korrelation!$D$4:$D$1197,Korrelation!H$4:H$1197,"-",0)="-",0,MATCH(_xlfn.XLOOKUP($A465,Korrelation!$D$4:$D$1197,Korrelation!H$4:H$1197,"",0),DMAV_Dienste!$F$6:$F$140,0)))</f>
        <v>0</v>
      </c>
      <c r="F465" s="57">
        <f>IF($A465="","",IF(_xlfn.XLOOKUP($A465,Korrelation!$D$4:$D$1197,Korrelation!I$4:I$1197,"-",0)="-",0,MATCH(_xlfn.XLOOKUP($A465,Korrelation!$D$4:$D$1197,Korrelation!I$4:I$1197,"",0),DMAV_Dienste!$F$6:$F$140,0)))</f>
        <v>0</v>
      </c>
      <c r="G465" s="57">
        <f>IF($A465="","",IF(_xlfn.XLOOKUP($A465,Korrelation!$D$4:$D$1197,Korrelation!J$4:J$1197,"-",0)="-",0,MATCH(_xlfn.XLOOKUP($A465,Korrelation!$D$4:$D$1197,Korrelation!J$4:J$1197,"",0),DMAV_Dienste!$F$6:$F$140,0)))</f>
        <v>0</v>
      </c>
      <c r="H465" s="57">
        <f>IF($A465="","",IF(_xlfn.XLOOKUP($A465,Korrelation!$D$4:$D$1197,Korrelation!K$4:K$1197,"-",0)="-",0,MATCH(_xlfn.XLOOKUP($A465,Korrelation!$D$4:$D$1197,Korrelation!K$4:K$1197,"",0),'DM01-AV-CH'!$A$6:$A$834,0)))</f>
        <v>430</v>
      </c>
      <c r="J465" s="54" t="str" cm="1">
        <f t="array" aca="1" ref="J465" ca="1">IF(B465=0,IF(E465=0,"",HYPERLINK("#"&amp;RIGHT(CELL("adresse",OFFSET(DMAV_Dienste!$M$6,E465-1,0)),LEN(CELL("adresse",OFFSET(DMAV_Dienste!$M$6,E465-1,0)))-FIND("]",CELL("adresse",OFFSET(DMAV_Dienste!$M$6,E465-1,0)))),"Dienst")),HYPERLINK("#"&amp;RIGHT(CELL("adresse",OFFSET(DMAV_Modell!$N$6,B465-1,0)),LEN(CELL("adresse",OFFSET(DMAV_Modell!$N$6,B465-1,0)))-FIND("]",CELL("adresse",OFFSET(DMAV_Modell!$N$6,B465-1,0)))),"Modell"))</f>
        <v>Modell</v>
      </c>
      <c r="K465" s="61" t="str" cm="1">
        <f t="array" ref="K465">IF($B465=0,IF($E465=0,"",IF(INDEX(DMAV_Dienste!P$6:P$140,$E465)="","",INDEX(DMAV_Dienste!P$6:P$140,$E465))),IF(INDEX(DMAV_Modell!Q$6:Q$838,$B465)="","",INDEX(DMAV_Modell!Q$6:Q$838,$B465)))</f>
        <v>CLASS</v>
      </c>
      <c r="L465" s="62" t="str" cm="1">
        <f t="array" ref="L465">IF($B465=0,IF($E465=0,"",IF(INDEX(DMAV_Dienste!O$6:O$140,$E465)="","",INDEX(DMAV_Dienste!O$6:O$140,$E465))),IF(INDEX(DMAV_Modell!P$6:P$838,$B465)="","",INDEX(DMAV_Modell!P$6:P$838,$B465)))</f>
        <v>Grundstuecke</v>
      </c>
      <c r="M465" s="62" t="str" cm="1">
        <f t="array" ref="M465">IF($B465=0,IF($E465=0,"",IF(INDEX(DMAV_Dienste!Q$6:Q$140,$E465)="","",INDEX(DMAV_Dienste!Q$6:Q$140,$E465))),IF(INDEX(DMAV_Modell!R$6:R$838,$B465)="","",INDEX(DMAV_Modell!R$6:R$838,$B465)))</f>
        <v>Grenzpunkt</v>
      </c>
      <c r="N465" s="62" t="str" cm="1">
        <f t="array" ref="N465">IF($B465=0,IF($E465=0,"",IF(INDEX(DMAV_Dienste!T$6:T$140,$E465)="","",INDEX(DMAV_Dienste!T$6:T$140,$E465))),IF(INDEX(DMAV_Modell!U$6:U$838,$B465)="","",INDEX(DMAV_Modell!U$6:U$838,$B465)))</f>
        <v>Geometrie</v>
      </c>
      <c r="O465" s="63" t="str" cm="1">
        <f t="array" aca="1" ref="O465" ca="1">IF(C465=0,IF(F465=0,"",HYPERLINK("#"&amp;RIGHT(CELL("adresse",OFFSET(DMAV_Dienste!$M$6,F465-1,0)),LEN(CELL("adresse",OFFSET(DMAV_Dienste!$M$6,F465-1,0)))-FIND("]",CELL("adresse",OFFSET(DMAV_Dienste!$M$6,F465-1,0)))),"Structure")),HYPERLINK("#"&amp;RIGHT(CELL("adresse",OFFSET(DMAV_Modell!$N$6,C465-1,0)),LEN(CELL("adresse",OFFSET(DMAV_Modell!$N$6,C465-1,0)))-FIND("]",CELL("adresse",OFFSET(DMAV_Modell!$N$6,C465-1,0)))),"Structure"))</f>
        <v/>
      </c>
      <c r="P465" s="64" t="str" cm="1">
        <f t="array" aca="1" ref="P465" ca="1">IF(D465=0,IF(G465=0,"",HYPERLINK("#"&amp;RIGHT(CELL("adresse",OFFSET(DMAV_Dienste!$M$6,G465-1,0)),LEN(CELL("adresse",OFFSET(DMAV_Dienste!$M$6,G465-1,0)))-FIND("]",CELL("adresse",OFFSET(DMAV_Dienste!$M$6,G465-1,0)))),"Substructure")),HYPERLINK("#"&amp;RIGHT(CELL("adresse",OFFSET(DMAV_Modell!$N$6,D465-1,0)),LEN(CELL("adresse",OFFSET(DMAV_Modell!$N$6,D465-1,0)))-FIND("]",CELL("adresse",OFFSET(DMAV_Modell!$N$6,D465-1,0)))),"Substructure"))</f>
        <v/>
      </c>
      <c r="R465" s="80"/>
      <c r="T465" s="93"/>
      <c r="U465" s="94"/>
      <c r="V465" s="95"/>
      <c r="W465" s="96"/>
      <c r="Y465" s="85" t="s">
        <v>3103</v>
      </c>
      <c r="Z465" s="86" t="s">
        <v>1286</v>
      </c>
      <c r="AA465" s="87" t="s">
        <v>2988</v>
      </c>
      <c r="AB465" s="88" t="s">
        <v>3314</v>
      </c>
      <c r="AD465" s="77"/>
      <c r="AF465" s="54" t="str" cm="1">
        <f t="array" aca="1" ref="AF465" ca="1">IF(H465=0,"",HYPERLINK("#"&amp;RIGHT(CELL("adresse",OFFSET('DM01-AV-CH'!$G$6,H465-1,0)),LEN(CELL("adresse",OFFSET('DM01-AV-CH'!$G$6,H465-1,0)))-FIND("]",CELL("adresse",OFFSET('DM01-AV-CH'!$G$6,H465-1,0)))),"Modell"))</f>
        <v>Modell</v>
      </c>
      <c r="AG465" s="72" t="str" cm="1">
        <f t="array" ref="AG465">IF($H465=0,"",IF(INDEX('DM01-AV-CH'!G$6:G$834,$H465)="","",INDEX('DM01-AV-CH'!G$6:G$834,$H465)))</f>
        <v>Liegenschaften</v>
      </c>
      <c r="AH465" s="73" t="str" cm="1">
        <f t="array" ref="AH465">IF($H465=0,"",IF(INDEX('DM01-AV-CH'!H$6:H$834,$H465)="","",INDEX('DM01-AV-CH'!H$6:H$834,$H465)))</f>
        <v>Grenzpunkt</v>
      </c>
      <c r="AI465" s="74" t="str" cm="1">
        <f t="array" ref="AI465">IF($H465=0,"",IF(INDEX('DM01-AV-CH'!I$6:I$834,$H465)="","",INDEX('DM01-AV-CH'!I$6:I$834,$H465)))</f>
        <v>Geometrie</v>
      </c>
    </row>
    <row r="466" spans="1:35" x14ac:dyDescent="0.25">
      <c r="A466" s="57">
        <v>461</v>
      </c>
      <c r="B466" s="57">
        <f>IF($A466="","",IF(_xlfn.XLOOKUP($A466,Korrelation!$D$4:$D$1197,Korrelation!E$4:E$1197,"-",0)="-",0,MATCH(_xlfn.XLOOKUP($A466,Korrelation!$D$4:$D$1197,Korrelation!E$4:E$1197,"",0),DMAV_Modell!$G$6:$G$677,0)))</f>
        <v>218</v>
      </c>
      <c r="C466" s="57">
        <f>IF($A466="","",IF(_xlfn.XLOOKUP($A466,Korrelation!$D$4:$D$1197,Korrelation!F$4:F$1197,"-",0)="-",0,MATCH(_xlfn.XLOOKUP($A466,Korrelation!$D$4:$D$1197,Korrelation!F$4:F$1197,"",0),DMAV_Modell!$G$6:$G$677,0)))</f>
        <v>0</v>
      </c>
      <c r="D466" s="57">
        <f>IF($A466="","",IF(_xlfn.XLOOKUP($A466,Korrelation!$D$4:$D$1197,Korrelation!G$4:G$1197,"-",0)="-",0,MATCH(_xlfn.XLOOKUP($A466,Korrelation!$D$4:$D$1197,Korrelation!G$4:G$1197,"",0),DMAV_Modell!$G$6:$G$677,0)))</f>
        <v>0</v>
      </c>
      <c r="E466" s="57">
        <f>IF($A466="","",IF(_xlfn.XLOOKUP($A466,Korrelation!$D$4:$D$1197,Korrelation!H$4:H$1197,"-",0)="-",0,MATCH(_xlfn.XLOOKUP($A466,Korrelation!$D$4:$D$1197,Korrelation!H$4:H$1197,"",0),DMAV_Dienste!$F$6:$F$140,0)))</f>
        <v>0</v>
      </c>
      <c r="F466" s="57">
        <f>IF($A466="","",IF(_xlfn.XLOOKUP($A466,Korrelation!$D$4:$D$1197,Korrelation!I$4:I$1197,"-",0)="-",0,MATCH(_xlfn.XLOOKUP($A466,Korrelation!$D$4:$D$1197,Korrelation!I$4:I$1197,"",0),DMAV_Dienste!$F$6:$F$140,0)))</f>
        <v>0</v>
      </c>
      <c r="G466" s="57">
        <f>IF($A466="","",IF(_xlfn.XLOOKUP($A466,Korrelation!$D$4:$D$1197,Korrelation!J$4:J$1197,"-",0)="-",0,MATCH(_xlfn.XLOOKUP($A466,Korrelation!$D$4:$D$1197,Korrelation!J$4:J$1197,"",0),DMAV_Dienste!$F$6:$F$140,0)))</f>
        <v>0</v>
      </c>
      <c r="H466" s="57">
        <f>IF($A466="","",IF(_xlfn.XLOOKUP($A466,Korrelation!$D$4:$D$1197,Korrelation!K$4:K$1197,"-",0)="-",0,MATCH(_xlfn.XLOOKUP($A466,Korrelation!$D$4:$D$1197,Korrelation!K$4:K$1197,"",0),'DM01-AV-CH'!$A$6:$A$834,0)))</f>
        <v>0</v>
      </c>
      <c r="J466" s="54" t="str" cm="1">
        <f t="array" aca="1" ref="J466" ca="1">IF(B466=0,IF(E466=0,"",HYPERLINK("#"&amp;RIGHT(CELL("adresse",OFFSET(DMAV_Dienste!$M$6,E466-1,0)),LEN(CELL("adresse",OFFSET(DMAV_Dienste!$M$6,E466-1,0)))-FIND("]",CELL("adresse",OFFSET(DMAV_Dienste!$M$6,E466-1,0)))),"Dienst")),HYPERLINK("#"&amp;RIGHT(CELL("adresse",OFFSET(DMAV_Modell!$N$6,B466-1,0)),LEN(CELL("adresse",OFFSET(DMAV_Modell!$N$6,B466-1,0)))-FIND("]",CELL("adresse",OFFSET(DMAV_Modell!$N$6,B466-1,0)))),"Modell"))</f>
        <v>Modell</v>
      </c>
      <c r="K466" s="61" t="str" cm="1">
        <f t="array" ref="K466">IF($B466=0,IF($E466=0,"",IF(INDEX(DMAV_Dienste!P$6:P$140,$E466)="","",INDEX(DMAV_Dienste!P$6:P$140,$E466))),IF(INDEX(DMAV_Modell!Q$6:Q$838,$B466)="","",INDEX(DMAV_Modell!Q$6:Q$838,$B466)))</f>
        <v>CLASS</v>
      </c>
      <c r="L466" s="62" t="str" cm="1">
        <f t="array" ref="L466">IF($B466=0,IF($E466=0,"",IF(INDEX(DMAV_Dienste!O$6:O$140,$E466)="","",INDEX(DMAV_Dienste!O$6:O$140,$E466))),IF(INDEX(DMAV_Modell!P$6:P$838,$B466)="","",INDEX(DMAV_Modell!P$6:P$838,$B466)))</f>
        <v>Grundstuecke</v>
      </c>
      <c r="M466" s="62" t="str" cm="1">
        <f t="array" ref="M466">IF($B466=0,IF($E466=0,"",IF(INDEX(DMAV_Dienste!Q$6:Q$140,$E466)="","",INDEX(DMAV_Dienste!Q$6:Q$140,$E466))),IF(INDEX(DMAV_Modell!R$6:R$838,$B466)="","",INDEX(DMAV_Modell!R$6:R$838,$B466)))</f>
        <v>Grenzpunkt</v>
      </c>
      <c r="N466" s="62" t="str" cm="1">
        <f t="array" ref="N466">IF($B466=0,IF($E466=0,"",IF(INDEX(DMAV_Dienste!T$6:T$140,$E466)="","",INDEX(DMAV_Dienste!T$6:T$140,$E466))),IF(INDEX(DMAV_Modell!U$6:U$838,$B466)="","",INDEX(DMAV_Modell!U$6:U$838,$B466)))</f>
        <v>Hoehengeometrie</v>
      </c>
      <c r="O466" s="63" t="str" cm="1">
        <f t="array" aca="1" ref="O466" ca="1">IF(C466=0,IF(F466=0,"",HYPERLINK("#"&amp;RIGHT(CELL("adresse",OFFSET(DMAV_Dienste!$M$6,F466-1,0)),LEN(CELL("adresse",OFFSET(DMAV_Dienste!$M$6,F466-1,0)))-FIND("]",CELL("adresse",OFFSET(DMAV_Dienste!$M$6,F466-1,0)))),"Structure")),HYPERLINK("#"&amp;RIGHT(CELL("adresse",OFFSET(DMAV_Modell!$N$6,C466-1,0)),LEN(CELL("adresse",OFFSET(DMAV_Modell!$N$6,C466-1,0)))-FIND("]",CELL("adresse",OFFSET(DMAV_Modell!$N$6,C466-1,0)))),"Structure"))</f>
        <v/>
      </c>
      <c r="P466" s="64" t="str" cm="1">
        <f t="array" aca="1" ref="P466" ca="1">IF(D466=0,IF(G466=0,"",HYPERLINK("#"&amp;RIGHT(CELL("adresse",OFFSET(DMAV_Dienste!$M$6,G466-1,0)),LEN(CELL("adresse",OFFSET(DMAV_Dienste!$M$6,G466-1,0)))-FIND("]",CELL("adresse",OFFSET(DMAV_Dienste!$M$6,G466-1,0)))),"Substructure")),HYPERLINK("#"&amp;RIGHT(CELL("adresse",OFFSET(DMAV_Modell!$N$6,D466-1,0)),LEN(CELL("adresse",OFFSET(DMAV_Modell!$N$6,D466-1,0)))-FIND("]",CELL("adresse",OFFSET(DMAV_Modell!$N$6,D466-1,0)))),"Substructure"))</f>
        <v/>
      </c>
      <c r="R466" s="80"/>
      <c r="T466" s="93"/>
      <c r="U466" s="94"/>
      <c r="V466" s="95"/>
      <c r="W466" s="96"/>
      <c r="Y466" s="85"/>
      <c r="Z466" s="86"/>
      <c r="AA466" s="87"/>
      <c r="AB466" s="88"/>
      <c r="AD466" s="77"/>
      <c r="AF466" s="54" t="str" cm="1">
        <f t="array" aca="1" ref="AF466" ca="1">IF(H466=0,"",HYPERLINK("#"&amp;RIGHT(CELL("adresse",OFFSET('DM01-AV-CH'!$G$6,H466-1,0)),LEN(CELL("adresse",OFFSET('DM01-AV-CH'!$G$6,H466-1,0)))-FIND("]",CELL("adresse",OFFSET('DM01-AV-CH'!$G$6,H466-1,0)))),"Modell"))</f>
        <v/>
      </c>
      <c r="AG466" s="72" t="str" cm="1">
        <f t="array" ref="AG466">IF($H466=0,"",IF(INDEX('DM01-AV-CH'!G$6:G$834,$H466)="","",INDEX('DM01-AV-CH'!G$6:G$834,$H466)))</f>
        <v/>
      </c>
      <c r="AH466" s="73" t="str" cm="1">
        <f t="array" ref="AH466">IF($H466=0,"",IF(INDEX('DM01-AV-CH'!H$6:H$834,$H466)="","",INDEX('DM01-AV-CH'!H$6:H$834,$H466)))</f>
        <v/>
      </c>
      <c r="AI466" s="74" t="str" cm="1">
        <f t="array" ref="AI466">IF($H466=0,"",IF(INDEX('DM01-AV-CH'!I$6:I$834,$H466)="","",INDEX('DM01-AV-CH'!I$6:I$834,$H466)))</f>
        <v/>
      </c>
    </row>
    <row r="467" spans="1:35" ht="28.5" x14ac:dyDescent="0.25">
      <c r="A467" s="57">
        <v>462</v>
      </c>
      <c r="B467" s="57">
        <f>IF($A467="","",IF(_xlfn.XLOOKUP($A467,Korrelation!$D$4:$D$1197,Korrelation!E$4:E$1197,"-",0)="-",0,MATCH(_xlfn.XLOOKUP($A467,Korrelation!$D$4:$D$1197,Korrelation!E$4:E$1197,"",0),DMAV_Modell!$G$6:$G$677,0)))</f>
        <v>219</v>
      </c>
      <c r="C467" s="57">
        <f>IF($A467="","",IF(_xlfn.XLOOKUP($A467,Korrelation!$D$4:$D$1197,Korrelation!F$4:F$1197,"-",0)="-",0,MATCH(_xlfn.XLOOKUP($A467,Korrelation!$D$4:$D$1197,Korrelation!F$4:F$1197,"",0),DMAV_Modell!$G$6:$G$677,0)))</f>
        <v>0</v>
      </c>
      <c r="D467" s="57">
        <f>IF($A467="","",IF(_xlfn.XLOOKUP($A467,Korrelation!$D$4:$D$1197,Korrelation!G$4:G$1197,"-",0)="-",0,MATCH(_xlfn.XLOOKUP($A467,Korrelation!$D$4:$D$1197,Korrelation!G$4:G$1197,"",0),DMAV_Modell!$G$6:$G$677,0)))</f>
        <v>0</v>
      </c>
      <c r="E467" s="57">
        <f>IF($A467="","",IF(_xlfn.XLOOKUP($A467,Korrelation!$D$4:$D$1197,Korrelation!H$4:H$1197,"-",0)="-",0,MATCH(_xlfn.XLOOKUP($A467,Korrelation!$D$4:$D$1197,Korrelation!H$4:H$1197,"",0),DMAV_Dienste!$F$6:$F$140,0)))</f>
        <v>0</v>
      </c>
      <c r="F467" s="57">
        <f>IF($A467="","",IF(_xlfn.XLOOKUP($A467,Korrelation!$D$4:$D$1197,Korrelation!I$4:I$1197,"-",0)="-",0,MATCH(_xlfn.XLOOKUP($A467,Korrelation!$D$4:$D$1197,Korrelation!I$4:I$1197,"",0),DMAV_Dienste!$F$6:$F$140,0)))</f>
        <v>0</v>
      </c>
      <c r="G467" s="57">
        <f>IF($A467="","",IF(_xlfn.XLOOKUP($A467,Korrelation!$D$4:$D$1197,Korrelation!J$4:J$1197,"-",0)="-",0,MATCH(_xlfn.XLOOKUP($A467,Korrelation!$D$4:$D$1197,Korrelation!J$4:J$1197,"",0),DMAV_Dienste!$F$6:$F$140,0)))</f>
        <v>0</v>
      </c>
      <c r="H467" s="57">
        <f>IF($A467="","",IF(_xlfn.XLOOKUP($A467,Korrelation!$D$4:$D$1197,Korrelation!K$4:K$1197,"-",0)="-",0,MATCH(_xlfn.XLOOKUP($A467,Korrelation!$D$4:$D$1197,Korrelation!K$4:K$1197,"",0),'DM01-AV-CH'!$A$6:$A$834,0)))</f>
        <v>431</v>
      </c>
      <c r="J467" s="54" t="str" cm="1">
        <f t="array" aca="1" ref="J467" ca="1">IF(B467=0,IF(E467=0,"",HYPERLINK("#"&amp;RIGHT(CELL("adresse",OFFSET(DMAV_Dienste!$M$6,E467-1,0)),LEN(CELL("adresse",OFFSET(DMAV_Dienste!$M$6,E467-1,0)))-FIND("]",CELL("adresse",OFFSET(DMAV_Dienste!$M$6,E467-1,0)))),"Dienst")),HYPERLINK("#"&amp;RIGHT(CELL("adresse",OFFSET(DMAV_Modell!$N$6,B467-1,0)),LEN(CELL("adresse",OFFSET(DMAV_Modell!$N$6,B467-1,0)))-FIND("]",CELL("adresse",OFFSET(DMAV_Modell!$N$6,B467-1,0)))),"Modell"))</f>
        <v>Modell</v>
      </c>
      <c r="K467" s="61" t="str" cm="1">
        <f t="array" ref="K467">IF($B467=0,IF($E467=0,"",IF(INDEX(DMAV_Dienste!P$6:P$140,$E467)="","",INDEX(DMAV_Dienste!P$6:P$140,$E467))),IF(INDEX(DMAV_Modell!Q$6:Q$838,$B467)="","",INDEX(DMAV_Modell!Q$6:Q$838,$B467)))</f>
        <v>CLASS</v>
      </c>
      <c r="L467" s="62" t="str" cm="1">
        <f t="array" ref="L467">IF($B467=0,IF($E467=0,"",IF(INDEX(DMAV_Dienste!O$6:O$140,$E467)="","",INDEX(DMAV_Dienste!O$6:O$140,$E467))),IF(INDEX(DMAV_Modell!P$6:P$838,$B467)="","",INDEX(DMAV_Modell!P$6:P$838,$B467)))</f>
        <v>Grundstuecke</v>
      </c>
      <c r="M467" s="62" t="str" cm="1">
        <f t="array" ref="M467">IF($B467=0,IF($E467=0,"",IF(INDEX(DMAV_Dienste!Q$6:Q$140,$E467)="","",INDEX(DMAV_Dienste!Q$6:Q$140,$E467))),IF(INDEX(DMAV_Modell!R$6:R$838,$B467)="","",INDEX(DMAV_Modell!R$6:R$838,$B467)))</f>
        <v>Grenzpunkt</v>
      </c>
      <c r="N467" s="62" t="str" cm="1">
        <f t="array" ref="N467">IF($B467=0,IF($E467=0,"",IF(INDEX(DMAV_Dienste!T$6:T$140,$E467)="","",INDEX(DMAV_Dienste!T$6:T$140,$E467))),IF(INDEX(DMAV_Modell!U$6:U$838,$B467)="","",INDEX(DMAV_Modell!U$6:U$838,$B467)))</f>
        <v>Lagegenauigkeit</v>
      </c>
      <c r="O467" s="63" t="str" cm="1">
        <f t="array" aca="1" ref="O467" ca="1">IF(C467=0,IF(F467=0,"",HYPERLINK("#"&amp;RIGHT(CELL("adresse",OFFSET(DMAV_Dienste!$M$6,F467-1,0)),LEN(CELL("adresse",OFFSET(DMAV_Dienste!$M$6,F467-1,0)))-FIND("]",CELL("adresse",OFFSET(DMAV_Dienste!$M$6,F467-1,0)))),"Structure")),HYPERLINK("#"&amp;RIGHT(CELL("adresse",OFFSET(DMAV_Modell!$N$6,C467-1,0)),LEN(CELL("adresse",OFFSET(DMAV_Modell!$N$6,C467-1,0)))-FIND("]",CELL("adresse",OFFSET(DMAV_Modell!$N$6,C467-1,0)))),"Structure"))</f>
        <v/>
      </c>
      <c r="P467" s="64" t="str" cm="1">
        <f t="array" aca="1" ref="P467" ca="1">IF(D467=0,IF(G467=0,"",HYPERLINK("#"&amp;RIGHT(CELL("adresse",OFFSET(DMAV_Dienste!$M$6,G467-1,0)),LEN(CELL("adresse",OFFSET(DMAV_Dienste!$M$6,G467-1,0)))-FIND("]",CELL("adresse",OFFSET(DMAV_Dienste!$M$6,G467-1,0)))),"Substructure")),HYPERLINK("#"&amp;RIGHT(CELL("adresse",OFFSET(DMAV_Modell!$N$6,D467-1,0)),LEN(CELL("adresse",OFFSET(DMAV_Modell!$N$6,D467-1,0)))-FIND("]",CELL("adresse",OFFSET(DMAV_Modell!$N$6,D467-1,0)))),"Substructure"))</f>
        <v/>
      </c>
      <c r="R467" s="80"/>
      <c r="T467" s="93"/>
      <c r="U467" s="94"/>
      <c r="V467" s="95"/>
      <c r="W467" s="96"/>
      <c r="Y467" s="85" t="s">
        <v>3103</v>
      </c>
      <c r="Z467" s="86" t="s">
        <v>1286</v>
      </c>
      <c r="AA467" s="87" t="s">
        <v>2989</v>
      </c>
      <c r="AB467" s="88" t="s">
        <v>3314</v>
      </c>
      <c r="AD467" s="77"/>
      <c r="AF467" s="54" t="str" cm="1">
        <f t="array" aca="1" ref="AF467" ca="1">IF(H467=0,"",HYPERLINK("#"&amp;RIGHT(CELL("adresse",OFFSET('DM01-AV-CH'!$G$6,H467-1,0)),LEN(CELL("adresse",OFFSET('DM01-AV-CH'!$G$6,H467-1,0)))-FIND("]",CELL("adresse",OFFSET('DM01-AV-CH'!$G$6,H467-1,0)))),"Modell"))</f>
        <v>Modell</v>
      </c>
      <c r="AG467" s="72" t="str" cm="1">
        <f t="array" ref="AG467">IF($H467=0,"",IF(INDEX('DM01-AV-CH'!G$6:G$834,$H467)="","",INDEX('DM01-AV-CH'!G$6:G$834,$H467)))</f>
        <v>Liegenschaften</v>
      </c>
      <c r="AH467" s="73" t="str" cm="1">
        <f t="array" ref="AH467">IF($H467=0,"",IF(INDEX('DM01-AV-CH'!H$6:H$834,$H467)="","",INDEX('DM01-AV-CH'!H$6:H$834,$H467)))</f>
        <v>Grenzpunkt</v>
      </c>
      <c r="AI467" s="74" t="str" cm="1">
        <f t="array" ref="AI467">IF($H467=0,"",IF(INDEX('DM01-AV-CH'!I$6:I$834,$H467)="","",INDEX('DM01-AV-CH'!I$6:I$834,$H467)))</f>
        <v>LageGen</v>
      </c>
    </row>
    <row r="468" spans="1:35" ht="28.5" x14ac:dyDescent="0.25">
      <c r="A468" s="57">
        <v>463</v>
      </c>
      <c r="B468" s="57">
        <f>IF($A468="","",IF(_xlfn.XLOOKUP($A468,Korrelation!$D$4:$D$1197,Korrelation!E$4:E$1197,"-",0)="-",0,MATCH(_xlfn.XLOOKUP($A468,Korrelation!$D$4:$D$1197,Korrelation!E$4:E$1197,"",0),DMAV_Modell!$G$6:$G$677,0)))</f>
        <v>220</v>
      </c>
      <c r="C468" s="57">
        <f>IF($A468="","",IF(_xlfn.XLOOKUP($A468,Korrelation!$D$4:$D$1197,Korrelation!F$4:F$1197,"-",0)="-",0,MATCH(_xlfn.XLOOKUP($A468,Korrelation!$D$4:$D$1197,Korrelation!F$4:F$1197,"",0),DMAV_Modell!$G$6:$G$677,0)))</f>
        <v>0</v>
      </c>
      <c r="D468" s="57">
        <f>IF($A468="","",IF(_xlfn.XLOOKUP($A468,Korrelation!$D$4:$D$1197,Korrelation!G$4:G$1197,"-",0)="-",0,MATCH(_xlfn.XLOOKUP($A468,Korrelation!$D$4:$D$1197,Korrelation!G$4:G$1197,"",0),DMAV_Modell!$G$6:$G$677,0)))</f>
        <v>0</v>
      </c>
      <c r="E468" s="57">
        <f>IF($A468="","",IF(_xlfn.XLOOKUP($A468,Korrelation!$D$4:$D$1197,Korrelation!H$4:H$1197,"-",0)="-",0,MATCH(_xlfn.XLOOKUP($A468,Korrelation!$D$4:$D$1197,Korrelation!H$4:H$1197,"",0),DMAV_Dienste!$F$6:$F$140,0)))</f>
        <v>0</v>
      </c>
      <c r="F468" s="57">
        <f>IF($A468="","",IF(_xlfn.XLOOKUP($A468,Korrelation!$D$4:$D$1197,Korrelation!I$4:I$1197,"-",0)="-",0,MATCH(_xlfn.XLOOKUP($A468,Korrelation!$D$4:$D$1197,Korrelation!I$4:I$1197,"",0),DMAV_Dienste!$F$6:$F$140,0)))</f>
        <v>0</v>
      </c>
      <c r="G468" s="57">
        <f>IF($A468="","",IF(_xlfn.XLOOKUP($A468,Korrelation!$D$4:$D$1197,Korrelation!J$4:J$1197,"-",0)="-",0,MATCH(_xlfn.XLOOKUP($A468,Korrelation!$D$4:$D$1197,Korrelation!J$4:J$1197,"",0),DMAV_Dienste!$F$6:$F$140,0)))</f>
        <v>0</v>
      </c>
      <c r="H468" s="57">
        <f>IF($A468="","",IF(_xlfn.XLOOKUP($A468,Korrelation!$D$4:$D$1197,Korrelation!K$4:K$1197,"-",0)="-",0,MATCH(_xlfn.XLOOKUP($A468,Korrelation!$D$4:$D$1197,Korrelation!K$4:K$1197,"",0),'DM01-AV-CH'!$A$6:$A$834,0)))</f>
        <v>432</v>
      </c>
      <c r="J468" s="54" t="str" cm="1">
        <f t="array" aca="1" ref="J468" ca="1">IF(B468=0,IF(E468=0,"",HYPERLINK("#"&amp;RIGHT(CELL("adresse",OFFSET(DMAV_Dienste!$M$6,E468-1,0)),LEN(CELL("adresse",OFFSET(DMAV_Dienste!$M$6,E468-1,0)))-FIND("]",CELL("adresse",OFFSET(DMAV_Dienste!$M$6,E468-1,0)))),"Dienst")),HYPERLINK("#"&amp;RIGHT(CELL("adresse",OFFSET(DMAV_Modell!$N$6,B468-1,0)),LEN(CELL("adresse",OFFSET(DMAV_Modell!$N$6,B468-1,0)))-FIND("]",CELL("adresse",OFFSET(DMAV_Modell!$N$6,B468-1,0)))),"Modell"))</f>
        <v>Modell</v>
      </c>
      <c r="K468" s="61" t="str" cm="1">
        <f t="array" ref="K468">IF($B468=0,IF($E468=0,"",IF(INDEX(DMAV_Dienste!P$6:P$140,$E468)="","",INDEX(DMAV_Dienste!P$6:P$140,$E468))),IF(INDEX(DMAV_Modell!Q$6:Q$838,$B468)="","",INDEX(DMAV_Modell!Q$6:Q$838,$B468)))</f>
        <v>CLASS</v>
      </c>
      <c r="L468" s="62" t="str" cm="1">
        <f t="array" ref="L468">IF($B468=0,IF($E468=0,"",IF(INDEX(DMAV_Dienste!O$6:O$140,$E468)="","",INDEX(DMAV_Dienste!O$6:O$140,$E468))),IF(INDEX(DMAV_Modell!P$6:P$838,$B468)="","",INDEX(DMAV_Modell!P$6:P$838,$B468)))</f>
        <v>Grundstuecke</v>
      </c>
      <c r="M468" s="62" t="str" cm="1">
        <f t="array" ref="M468">IF($B468=0,IF($E468=0,"",IF(INDEX(DMAV_Dienste!Q$6:Q$140,$E468)="","",INDEX(DMAV_Dienste!Q$6:Q$140,$E468))),IF(INDEX(DMAV_Modell!R$6:R$838,$B468)="","",INDEX(DMAV_Modell!R$6:R$838,$B468)))</f>
        <v>Grenzpunkt</v>
      </c>
      <c r="N468" s="62" t="str" cm="1">
        <f t="array" ref="N468">IF($B468=0,IF($E468=0,"",IF(INDEX(DMAV_Dienste!T$6:T$140,$E468)="","",INDEX(DMAV_Dienste!T$6:T$140,$E468))),IF(INDEX(DMAV_Modell!U$6:U$838,$B468)="","",INDEX(DMAV_Modell!U$6:U$838,$B468)))</f>
        <v>IstLagezuverlaessig</v>
      </c>
      <c r="O468" s="63" t="str" cm="1">
        <f t="array" aca="1" ref="O468" ca="1">IF(C468=0,IF(F468=0,"",HYPERLINK("#"&amp;RIGHT(CELL("adresse",OFFSET(DMAV_Dienste!$M$6,F468-1,0)),LEN(CELL("adresse",OFFSET(DMAV_Dienste!$M$6,F468-1,0)))-FIND("]",CELL("adresse",OFFSET(DMAV_Dienste!$M$6,F468-1,0)))),"Structure")),HYPERLINK("#"&amp;RIGHT(CELL("adresse",OFFSET(DMAV_Modell!$N$6,C468-1,0)),LEN(CELL("adresse",OFFSET(DMAV_Modell!$N$6,C468-1,0)))-FIND("]",CELL("adresse",OFFSET(DMAV_Modell!$N$6,C468-1,0)))),"Structure"))</f>
        <v/>
      </c>
      <c r="P468" s="64" t="str" cm="1">
        <f t="array" aca="1" ref="P468" ca="1">IF(D468=0,IF(G468=0,"",HYPERLINK("#"&amp;RIGHT(CELL("adresse",OFFSET(DMAV_Dienste!$M$6,G468-1,0)),LEN(CELL("adresse",OFFSET(DMAV_Dienste!$M$6,G468-1,0)))-FIND("]",CELL("adresse",OFFSET(DMAV_Dienste!$M$6,G468-1,0)))),"Substructure")),HYPERLINK("#"&amp;RIGHT(CELL("adresse",OFFSET(DMAV_Modell!$N$6,D468-1,0)),LEN(CELL("adresse",OFFSET(DMAV_Modell!$N$6,D468-1,0)))-FIND("]",CELL("adresse",OFFSET(DMAV_Modell!$N$6,D468-1,0)))),"Substructure"))</f>
        <v/>
      </c>
      <c r="R468" s="80"/>
      <c r="T468" s="93"/>
      <c r="U468" s="94"/>
      <c r="V468" s="95"/>
      <c r="W468" s="96"/>
      <c r="Y468" s="85" t="s">
        <v>3103</v>
      </c>
      <c r="Z468" s="86" t="s">
        <v>1286</v>
      </c>
      <c r="AA468" s="87" t="s">
        <v>2990</v>
      </c>
      <c r="AB468" s="88" t="s">
        <v>3314</v>
      </c>
      <c r="AD468" s="77"/>
      <c r="AF468" s="54" t="str" cm="1">
        <f t="array" aca="1" ref="AF468" ca="1">IF(H468=0,"",HYPERLINK("#"&amp;RIGHT(CELL("adresse",OFFSET('DM01-AV-CH'!$G$6,H468-1,0)),LEN(CELL("adresse",OFFSET('DM01-AV-CH'!$G$6,H468-1,0)))-FIND("]",CELL("adresse",OFFSET('DM01-AV-CH'!$G$6,H468-1,0)))),"Modell"))</f>
        <v>Modell</v>
      </c>
      <c r="AG468" s="72" t="str" cm="1">
        <f t="array" ref="AG468">IF($H468=0,"",IF(INDEX('DM01-AV-CH'!G$6:G$834,$H468)="","",INDEX('DM01-AV-CH'!G$6:G$834,$H468)))</f>
        <v>Liegenschaften</v>
      </c>
      <c r="AH468" s="73" t="str" cm="1">
        <f t="array" ref="AH468">IF($H468=0,"",IF(INDEX('DM01-AV-CH'!H$6:H$834,$H468)="","",INDEX('DM01-AV-CH'!H$6:H$834,$H468)))</f>
        <v>Grenzpunkt</v>
      </c>
      <c r="AI468" s="74" t="str" cm="1">
        <f t="array" ref="AI468">IF($H468=0,"",IF(INDEX('DM01-AV-CH'!I$6:I$834,$H468)="","",INDEX('DM01-AV-CH'!I$6:I$834,$H468)))</f>
        <v>LageZuv</v>
      </c>
    </row>
    <row r="469" spans="1:35" x14ac:dyDescent="0.25">
      <c r="A469" s="57">
        <v>464</v>
      </c>
      <c r="B469" s="57">
        <f>IF($A469="","",IF(_xlfn.XLOOKUP($A469,Korrelation!$D$4:$D$1197,Korrelation!E$4:E$1197,"-",0)="-",0,MATCH(_xlfn.XLOOKUP($A469,Korrelation!$D$4:$D$1197,Korrelation!E$4:E$1197,"",0),DMAV_Modell!$G$6:$G$677,0)))</f>
        <v>221</v>
      </c>
      <c r="C469" s="57">
        <f>IF($A469="","",IF(_xlfn.XLOOKUP($A469,Korrelation!$D$4:$D$1197,Korrelation!F$4:F$1197,"-",0)="-",0,MATCH(_xlfn.XLOOKUP($A469,Korrelation!$D$4:$D$1197,Korrelation!F$4:F$1197,"",0),DMAV_Modell!$G$6:$G$677,0)))</f>
        <v>0</v>
      </c>
      <c r="D469" s="57">
        <f>IF($A469="","",IF(_xlfn.XLOOKUP($A469,Korrelation!$D$4:$D$1197,Korrelation!G$4:G$1197,"-",0)="-",0,MATCH(_xlfn.XLOOKUP($A469,Korrelation!$D$4:$D$1197,Korrelation!G$4:G$1197,"",0),DMAV_Modell!$G$6:$G$677,0)))</f>
        <v>0</v>
      </c>
      <c r="E469" s="57">
        <f>IF($A469="","",IF(_xlfn.XLOOKUP($A469,Korrelation!$D$4:$D$1197,Korrelation!H$4:H$1197,"-",0)="-",0,MATCH(_xlfn.XLOOKUP($A469,Korrelation!$D$4:$D$1197,Korrelation!H$4:H$1197,"",0),DMAV_Dienste!$F$6:$F$140,0)))</f>
        <v>0</v>
      </c>
      <c r="F469" s="57">
        <f>IF($A469="","",IF(_xlfn.XLOOKUP($A469,Korrelation!$D$4:$D$1197,Korrelation!I$4:I$1197,"-",0)="-",0,MATCH(_xlfn.XLOOKUP($A469,Korrelation!$D$4:$D$1197,Korrelation!I$4:I$1197,"",0),DMAV_Dienste!$F$6:$F$140,0)))</f>
        <v>0</v>
      </c>
      <c r="G469" s="57">
        <f>IF($A469="","",IF(_xlfn.XLOOKUP($A469,Korrelation!$D$4:$D$1197,Korrelation!J$4:J$1197,"-",0)="-",0,MATCH(_xlfn.XLOOKUP($A469,Korrelation!$D$4:$D$1197,Korrelation!J$4:J$1197,"",0),DMAV_Dienste!$F$6:$F$140,0)))</f>
        <v>0</v>
      </c>
      <c r="H469" s="57">
        <f>IF($A469="","",IF(_xlfn.XLOOKUP($A469,Korrelation!$D$4:$D$1197,Korrelation!K$4:K$1197,"-",0)="-",0,MATCH(_xlfn.XLOOKUP($A469,Korrelation!$D$4:$D$1197,Korrelation!K$4:K$1197,"",0),'DM01-AV-CH'!$A$6:$A$834,0)))</f>
        <v>0</v>
      </c>
      <c r="J469" s="54" t="str" cm="1">
        <f t="array" aca="1" ref="J469" ca="1">IF(B469=0,IF(E469=0,"",HYPERLINK("#"&amp;RIGHT(CELL("adresse",OFFSET(DMAV_Dienste!$M$6,E469-1,0)),LEN(CELL("adresse",OFFSET(DMAV_Dienste!$M$6,E469-1,0)))-FIND("]",CELL("adresse",OFFSET(DMAV_Dienste!$M$6,E469-1,0)))),"Dienst")),HYPERLINK("#"&amp;RIGHT(CELL("adresse",OFFSET(DMAV_Modell!$N$6,B469-1,0)),LEN(CELL("adresse",OFFSET(DMAV_Modell!$N$6,B469-1,0)))-FIND("]",CELL("adresse",OFFSET(DMAV_Modell!$N$6,B469-1,0)))),"Modell"))</f>
        <v>Modell</v>
      </c>
      <c r="K469" s="61" t="str" cm="1">
        <f t="array" ref="K469">IF($B469=0,IF($E469=0,"",IF(INDEX(DMAV_Dienste!P$6:P$140,$E469)="","",INDEX(DMAV_Dienste!P$6:P$140,$E469))),IF(INDEX(DMAV_Modell!Q$6:Q$838,$B469)="","",INDEX(DMAV_Modell!Q$6:Q$838,$B469)))</f>
        <v>CLASS</v>
      </c>
      <c r="L469" s="62" t="str" cm="1">
        <f t="array" ref="L469">IF($B469=0,IF($E469=0,"",IF(INDEX(DMAV_Dienste!O$6:O$140,$E469)="","",INDEX(DMAV_Dienste!O$6:O$140,$E469))),IF(INDEX(DMAV_Modell!P$6:P$838,$B469)="","",INDEX(DMAV_Modell!P$6:P$838,$B469)))</f>
        <v>Grundstuecke</v>
      </c>
      <c r="M469" s="62" t="str" cm="1">
        <f t="array" ref="M469">IF($B469=0,IF($E469=0,"",IF(INDEX(DMAV_Dienste!Q$6:Q$140,$E469)="","",INDEX(DMAV_Dienste!Q$6:Q$140,$E469))),IF(INDEX(DMAV_Modell!R$6:R$838,$B469)="","",INDEX(DMAV_Modell!R$6:R$838,$B469)))</f>
        <v>Grenzpunkt</v>
      </c>
      <c r="N469" s="62" t="str" cm="1">
        <f t="array" ref="N469">IF($B469=0,IF($E469=0,"",IF(INDEX(DMAV_Dienste!T$6:T$140,$E469)="","",INDEX(DMAV_Dienste!T$6:T$140,$E469))),IF(INDEX(DMAV_Modell!U$6:U$838,$B469)="","",INDEX(DMAV_Modell!U$6:U$838,$B469)))</f>
        <v>Hoehengenauigkeit</v>
      </c>
      <c r="O469" s="63" t="str" cm="1">
        <f t="array" aca="1" ref="O469" ca="1">IF(C469=0,IF(F469=0,"",HYPERLINK("#"&amp;RIGHT(CELL("adresse",OFFSET(DMAV_Dienste!$M$6,F469-1,0)),LEN(CELL("adresse",OFFSET(DMAV_Dienste!$M$6,F469-1,0)))-FIND("]",CELL("adresse",OFFSET(DMAV_Dienste!$M$6,F469-1,0)))),"Structure")),HYPERLINK("#"&amp;RIGHT(CELL("adresse",OFFSET(DMAV_Modell!$N$6,C469-1,0)),LEN(CELL("adresse",OFFSET(DMAV_Modell!$N$6,C469-1,0)))-FIND("]",CELL("adresse",OFFSET(DMAV_Modell!$N$6,C469-1,0)))),"Structure"))</f>
        <v/>
      </c>
      <c r="P469" s="64" t="str" cm="1">
        <f t="array" aca="1" ref="P469" ca="1">IF(D469=0,IF(G469=0,"",HYPERLINK("#"&amp;RIGHT(CELL("adresse",OFFSET(DMAV_Dienste!$M$6,G469-1,0)),LEN(CELL("adresse",OFFSET(DMAV_Dienste!$M$6,G469-1,0)))-FIND("]",CELL("adresse",OFFSET(DMAV_Dienste!$M$6,G469-1,0)))),"Substructure")),HYPERLINK("#"&amp;RIGHT(CELL("adresse",OFFSET(DMAV_Modell!$N$6,D469-1,0)),LEN(CELL("adresse",OFFSET(DMAV_Modell!$N$6,D469-1,0)))-FIND("]",CELL("adresse",OFFSET(DMAV_Modell!$N$6,D469-1,0)))),"Substructure"))</f>
        <v/>
      </c>
      <c r="R469" s="80"/>
      <c r="T469" s="93"/>
      <c r="U469" s="94"/>
      <c r="V469" s="95"/>
      <c r="W469" s="96"/>
      <c r="Y469" s="85"/>
      <c r="Z469" s="86"/>
      <c r="AA469" s="87"/>
      <c r="AB469" s="88"/>
      <c r="AD469" s="77"/>
      <c r="AF469" s="54" t="str" cm="1">
        <f t="array" aca="1" ref="AF469" ca="1">IF(H469=0,"",HYPERLINK("#"&amp;RIGHT(CELL("adresse",OFFSET('DM01-AV-CH'!$G$6,H469-1,0)),LEN(CELL("adresse",OFFSET('DM01-AV-CH'!$G$6,H469-1,0)))-FIND("]",CELL("adresse",OFFSET('DM01-AV-CH'!$G$6,H469-1,0)))),"Modell"))</f>
        <v/>
      </c>
      <c r="AG469" s="72" t="str" cm="1">
        <f t="array" ref="AG469">IF($H469=0,"",IF(INDEX('DM01-AV-CH'!G$6:G$834,$H469)="","",INDEX('DM01-AV-CH'!G$6:G$834,$H469)))</f>
        <v/>
      </c>
      <c r="AH469" s="73" t="str" cm="1">
        <f t="array" ref="AH469">IF($H469=0,"",IF(INDEX('DM01-AV-CH'!H$6:H$834,$H469)="","",INDEX('DM01-AV-CH'!H$6:H$834,$H469)))</f>
        <v/>
      </c>
      <c r="AI469" s="74" t="str" cm="1">
        <f t="array" ref="AI469">IF($H469=0,"",IF(INDEX('DM01-AV-CH'!I$6:I$834,$H469)="","",INDEX('DM01-AV-CH'!I$6:I$834,$H469)))</f>
        <v/>
      </c>
    </row>
    <row r="470" spans="1:35" x14ac:dyDescent="0.25">
      <c r="A470" s="57">
        <v>465</v>
      </c>
      <c r="B470" s="57">
        <f>IF($A470="","",IF(_xlfn.XLOOKUP($A470,Korrelation!$D$4:$D$1197,Korrelation!E$4:E$1197,"-",0)="-",0,MATCH(_xlfn.XLOOKUP($A470,Korrelation!$D$4:$D$1197,Korrelation!E$4:E$1197,"",0),DMAV_Modell!$G$6:$G$677,0)))</f>
        <v>222</v>
      </c>
      <c r="C470" s="57">
        <f>IF($A470="","",IF(_xlfn.XLOOKUP($A470,Korrelation!$D$4:$D$1197,Korrelation!F$4:F$1197,"-",0)="-",0,MATCH(_xlfn.XLOOKUP($A470,Korrelation!$D$4:$D$1197,Korrelation!F$4:F$1197,"",0),DMAV_Modell!$G$6:$G$677,0)))</f>
        <v>0</v>
      </c>
      <c r="D470" s="57">
        <f>IF($A470="","",IF(_xlfn.XLOOKUP($A470,Korrelation!$D$4:$D$1197,Korrelation!G$4:G$1197,"-",0)="-",0,MATCH(_xlfn.XLOOKUP($A470,Korrelation!$D$4:$D$1197,Korrelation!G$4:G$1197,"",0),DMAV_Modell!$G$6:$G$677,0)))</f>
        <v>0</v>
      </c>
      <c r="E470" s="57">
        <f>IF($A470="","",IF(_xlfn.XLOOKUP($A470,Korrelation!$D$4:$D$1197,Korrelation!H$4:H$1197,"-",0)="-",0,MATCH(_xlfn.XLOOKUP($A470,Korrelation!$D$4:$D$1197,Korrelation!H$4:H$1197,"",0),DMAV_Dienste!$F$6:$F$140,0)))</f>
        <v>0</v>
      </c>
      <c r="F470" s="57">
        <f>IF($A470="","",IF(_xlfn.XLOOKUP($A470,Korrelation!$D$4:$D$1197,Korrelation!I$4:I$1197,"-",0)="-",0,MATCH(_xlfn.XLOOKUP($A470,Korrelation!$D$4:$D$1197,Korrelation!I$4:I$1197,"",0),DMAV_Dienste!$F$6:$F$140,0)))</f>
        <v>0</v>
      </c>
      <c r="G470" s="57">
        <f>IF($A470="","",IF(_xlfn.XLOOKUP($A470,Korrelation!$D$4:$D$1197,Korrelation!J$4:J$1197,"-",0)="-",0,MATCH(_xlfn.XLOOKUP($A470,Korrelation!$D$4:$D$1197,Korrelation!J$4:J$1197,"",0),DMAV_Dienste!$F$6:$F$140,0)))</f>
        <v>0</v>
      </c>
      <c r="H470" s="57">
        <f>IF($A470="","",IF(_xlfn.XLOOKUP($A470,Korrelation!$D$4:$D$1197,Korrelation!K$4:K$1197,"-",0)="-",0,MATCH(_xlfn.XLOOKUP($A470,Korrelation!$D$4:$D$1197,Korrelation!K$4:K$1197,"",0),'DM01-AV-CH'!$A$6:$A$834,0)))</f>
        <v>0</v>
      </c>
      <c r="J470" s="54" t="str" cm="1">
        <f t="array" aca="1" ref="J470" ca="1">IF(B470=0,IF(E470=0,"",HYPERLINK("#"&amp;RIGHT(CELL("adresse",OFFSET(DMAV_Dienste!$M$6,E470-1,0)),LEN(CELL("adresse",OFFSET(DMAV_Dienste!$M$6,E470-1,0)))-FIND("]",CELL("adresse",OFFSET(DMAV_Dienste!$M$6,E470-1,0)))),"Dienst")),HYPERLINK("#"&amp;RIGHT(CELL("adresse",OFFSET(DMAV_Modell!$N$6,B470-1,0)),LEN(CELL("adresse",OFFSET(DMAV_Modell!$N$6,B470-1,0)))-FIND("]",CELL("adresse",OFFSET(DMAV_Modell!$N$6,B470-1,0)))),"Modell"))</f>
        <v>Modell</v>
      </c>
      <c r="K470" s="61" t="str" cm="1">
        <f t="array" ref="K470">IF($B470=0,IF($E470=0,"",IF(INDEX(DMAV_Dienste!P$6:P$140,$E470)="","",INDEX(DMAV_Dienste!P$6:P$140,$E470))),IF(INDEX(DMAV_Modell!Q$6:Q$838,$B470)="","",INDEX(DMAV_Modell!Q$6:Q$838,$B470)))</f>
        <v>CLASS</v>
      </c>
      <c r="L470" s="62" t="str" cm="1">
        <f t="array" ref="L470">IF($B470=0,IF($E470=0,"",IF(INDEX(DMAV_Dienste!O$6:O$140,$E470)="","",INDEX(DMAV_Dienste!O$6:O$140,$E470))),IF(INDEX(DMAV_Modell!P$6:P$838,$B470)="","",INDEX(DMAV_Modell!P$6:P$838,$B470)))</f>
        <v>Grundstuecke</v>
      </c>
      <c r="M470" s="62" t="str" cm="1">
        <f t="array" ref="M470">IF($B470=0,IF($E470=0,"",IF(INDEX(DMAV_Dienste!Q$6:Q$140,$E470)="","",INDEX(DMAV_Dienste!Q$6:Q$140,$E470))),IF(INDEX(DMAV_Modell!R$6:R$838,$B470)="","",INDEX(DMAV_Modell!R$6:R$838,$B470)))</f>
        <v>Grenzpunkt</v>
      </c>
      <c r="N470" s="62" t="str" cm="1">
        <f t="array" ref="N470">IF($B470=0,IF($E470=0,"",IF(INDEX(DMAV_Dienste!T$6:T$140,$E470)="","",INDEX(DMAV_Dienste!T$6:T$140,$E470))),IF(INDEX(DMAV_Modell!U$6:U$838,$B470)="","",INDEX(DMAV_Modell!U$6:U$838,$B470)))</f>
        <v>IstHoehenzuverlaessig</v>
      </c>
      <c r="O470" s="63" t="str" cm="1">
        <f t="array" aca="1" ref="O470" ca="1">IF(C470=0,IF(F470=0,"",HYPERLINK("#"&amp;RIGHT(CELL("adresse",OFFSET(DMAV_Dienste!$M$6,F470-1,0)),LEN(CELL("adresse",OFFSET(DMAV_Dienste!$M$6,F470-1,0)))-FIND("]",CELL("adresse",OFFSET(DMAV_Dienste!$M$6,F470-1,0)))),"Structure")),HYPERLINK("#"&amp;RIGHT(CELL("adresse",OFFSET(DMAV_Modell!$N$6,C470-1,0)),LEN(CELL("adresse",OFFSET(DMAV_Modell!$N$6,C470-1,0)))-FIND("]",CELL("adresse",OFFSET(DMAV_Modell!$N$6,C470-1,0)))),"Structure"))</f>
        <v/>
      </c>
      <c r="P470" s="64" t="str" cm="1">
        <f t="array" aca="1" ref="P470" ca="1">IF(D470=0,IF(G470=0,"",HYPERLINK("#"&amp;RIGHT(CELL("adresse",OFFSET(DMAV_Dienste!$M$6,G470-1,0)),LEN(CELL("adresse",OFFSET(DMAV_Dienste!$M$6,G470-1,0)))-FIND("]",CELL("adresse",OFFSET(DMAV_Dienste!$M$6,G470-1,0)))),"Substructure")),HYPERLINK("#"&amp;RIGHT(CELL("adresse",OFFSET(DMAV_Modell!$N$6,D470-1,0)),LEN(CELL("adresse",OFFSET(DMAV_Modell!$N$6,D470-1,0)))-FIND("]",CELL("adresse",OFFSET(DMAV_Modell!$N$6,D470-1,0)))),"Substructure"))</f>
        <v/>
      </c>
      <c r="R470" s="80"/>
      <c r="T470" s="93"/>
      <c r="U470" s="94"/>
      <c r="V470" s="95"/>
      <c r="W470" s="96"/>
      <c r="Y470" s="85"/>
      <c r="Z470" s="86"/>
      <c r="AA470" s="87"/>
      <c r="AB470" s="88"/>
      <c r="AD470" s="77"/>
      <c r="AF470" s="54" t="str" cm="1">
        <f t="array" aca="1" ref="AF470" ca="1">IF(H470=0,"",HYPERLINK("#"&amp;RIGHT(CELL("adresse",OFFSET('DM01-AV-CH'!$G$6,H470-1,0)),LEN(CELL("adresse",OFFSET('DM01-AV-CH'!$G$6,H470-1,0)))-FIND("]",CELL("adresse",OFFSET('DM01-AV-CH'!$G$6,H470-1,0)))),"Modell"))</f>
        <v/>
      </c>
      <c r="AG470" s="72" t="str" cm="1">
        <f t="array" ref="AG470">IF($H470=0,"",IF(INDEX('DM01-AV-CH'!G$6:G$834,$H470)="","",INDEX('DM01-AV-CH'!G$6:G$834,$H470)))</f>
        <v/>
      </c>
      <c r="AH470" s="73" t="str" cm="1">
        <f t="array" ref="AH470">IF($H470=0,"",IF(INDEX('DM01-AV-CH'!H$6:H$834,$H470)="","",INDEX('DM01-AV-CH'!H$6:H$834,$H470)))</f>
        <v/>
      </c>
      <c r="AI470" s="74" t="str" cm="1">
        <f t="array" ref="AI470">IF($H470=0,"",IF(INDEX('DM01-AV-CH'!I$6:I$834,$H470)="","",INDEX('DM01-AV-CH'!I$6:I$834,$H470)))</f>
        <v/>
      </c>
    </row>
    <row r="471" spans="1:35" ht="28.5" x14ac:dyDescent="0.25">
      <c r="A471" s="57">
        <v>466</v>
      </c>
      <c r="B471" s="57">
        <f>IF($A471="","",IF(_xlfn.XLOOKUP($A471,Korrelation!$D$4:$D$1197,Korrelation!E$4:E$1197,"-",0)="-",0,MATCH(_xlfn.XLOOKUP($A471,Korrelation!$D$4:$D$1197,Korrelation!E$4:E$1197,"",0),DMAV_Modell!$G$6:$G$677,0)))</f>
        <v>223</v>
      </c>
      <c r="C471" s="57">
        <f>IF($A471="","",IF(_xlfn.XLOOKUP($A471,Korrelation!$D$4:$D$1197,Korrelation!F$4:F$1197,"-",0)="-",0,MATCH(_xlfn.XLOOKUP($A471,Korrelation!$D$4:$D$1197,Korrelation!F$4:F$1197,"",0),DMAV_Modell!$G$6:$G$677,0)))</f>
        <v>0</v>
      </c>
      <c r="D471" s="57">
        <f>IF($A471="","",IF(_xlfn.XLOOKUP($A471,Korrelation!$D$4:$D$1197,Korrelation!G$4:G$1197,"-",0)="-",0,MATCH(_xlfn.XLOOKUP($A471,Korrelation!$D$4:$D$1197,Korrelation!G$4:G$1197,"",0),DMAV_Modell!$G$6:$G$677,0)))</f>
        <v>0</v>
      </c>
      <c r="E471" s="57">
        <f>IF($A471="","",IF(_xlfn.XLOOKUP($A471,Korrelation!$D$4:$D$1197,Korrelation!H$4:H$1197,"-",0)="-",0,MATCH(_xlfn.XLOOKUP($A471,Korrelation!$D$4:$D$1197,Korrelation!H$4:H$1197,"",0),DMAV_Dienste!$F$6:$F$140,0)))</f>
        <v>0</v>
      </c>
      <c r="F471" s="57">
        <f>IF($A471="","",IF(_xlfn.XLOOKUP($A471,Korrelation!$D$4:$D$1197,Korrelation!I$4:I$1197,"-",0)="-",0,MATCH(_xlfn.XLOOKUP($A471,Korrelation!$D$4:$D$1197,Korrelation!I$4:I$1197,"",0),DMAV_Dienste!$F$6:$F$140,0)))</f>
        <v>0</v>
      </c>
      <c r="G471" s="57">
        <f>IF($A471="","",IF(_xlfn.XLOOKUP($A471,Korrelation!$D$4:$D$1197,Korrelation!J$4:J$1197,"-",0)="-",0,MATCH(_xlfn.XLOOKUP($A471,Korrelation!$D$4:$D$1197,Korrelation!J$4:J$1197,"",0),DMAV_Dienste!$F$6:$F$140,0)))</f>
        <v>0</v>
      </c>
      <c r="H471" s="57">
        <f>IF($A471="","",IF(_xlfn.XLOOKUP($A471,Korrelation!$D$4:$D$1197,Korrelation!K$4:K$1197,"-",0)="-",0,MATCH(_xlfn.XLOOKUP($A471,Korrelation!$D$4:$D$1197,Korrelation!K$4:K$1197,"",0),'DM01-AV-CH'!$A$6:$A$834,0)))</f>
        <v>433</v>
      </c>
      <c r="J471" s="54" t="str" cm="1">
        <f t="array" aca="1" ref="J471" ca="1">IF(B471=0,IF(E471=0,"",HYPERLINK("#"&amp;RIGHT(CELL("adresse",OFFSET(DMAV_Dienste!$M$6,E471-1,0)),LEN(CELL("adresse",OFFSET(DMAV_Dienste!$M$6,E471-1,0)))-FIND("]",CELL("adresse",OFFSET(DMAV_Dienste!$M$6,E471-1,0)))),"Dienst")),HYPERLINK("#"&amp;RIGHT(CELL("adresse",OFFSET(DMAV_Modell!$N$6,B471-1,0)),LEN(CELL("adresse",OFFSET(DMAV_Modell!$N$6,B471-1,0)))-FIND("]",CELL("adresse",OFFSET(DMAV_Modell!$N$6,B471-1,0)))),"Modell"))</f>
        <v>Modell</v>
      </c>
      <c r="K471" s="61" t="str" cm="1">
        <f t="array" ref="K471">IF($B471=0,IF($E471=0,"",IF(INDEX(DMAV_Dienste!P$6:P$140,$E471)="","",INDEX(DMAV_Dienste!P$6:P$140,$E471))),IF(INDEX(DMAV_Modell!Q$6:Q$838,$B471)="","",INDEX(DMAV_Modell!Q$6:Q$838,$B471)))</f>
        <v>CLASS</v>
      </c>
      <c r="L471" s="62" t="str" cm="1">
        <f t="array" ref="L471">IF($B471=0,IF($E471=0,"",IF(INDEX(DMAV_Dienste!O$6:O$140,$E471)="","",INDEX(DMAV_Dienste!O$6:O$140,$E471))),IF(INDEX(DMAV_Modell!P$6:P$838,$B471)="","",INDEX(DMAV_Modell!P$6:P$838,$B471)))</f>
        <v>Grundstuecke</v>
      </c>
      <c r="M471" s="62" t="str" cm="1">
        <f t="array" ref="M471">IF($B471=0,IF($E471=0,"",IF(INDEX(DMAV_Dienste!Q$6:Q$140,$E471)="","",INDEX(DMAV_Dienste!Q$6:Q$140,$E471))),IF(INDEX(DMAV_Modell!R$6:R$838,$B471)="","",INDEX(DMAV_Modell!R$6:R$838,$B471)))</f>
        <v>Grenzpunkt</v>
      </c>
      <c r="N471" s="62" t="str" cm="1">
        <f t="array" ref="N471">IF($B471=0,IF($E471=0,"",IF(INDEX(DMAV_Dienste!T$6:T$140,$E471)="","",INDEX(DMAV_Dienste!T$6:T$140,$E471))),IF(INDEX(DMAV_Modell!U$6:U$838,$B471)="","",INDEX(DMAV_Modell!U$6:U$838,$B471)))</f>
        <v>Punktzeichen</v>
      </c>
      <c r="O471" s="63" t="str" cm="1">
        <f t="array" aca="1" ref="O471" ca="1">IF(C471=0,IF(F471=0,"",HYPERLINK("#"&amp;RIGHT(CELL("adresse",OFFSET(DMAV_Dienste!$M$6,F471-1,0)),LEN(CELL("adresse",OFFSET(DMAV_Dienste!$M$6,F471-1,0)))-FIND("]",CELL("adresse",OFFSET(DMAV_Dienste!$M$6,F471-1,0)))),"Structure")),HYPERLINK("#"&amp;RIGHT(CELL("adresse",OFFSET(DMAV_Modell!$N$6,C471-1,0)),LEN(CELL("adresse",OFFSET(DMAV_Modell!$N$6,C471-1,0)))-FIND("]",CELL("adresse",OFFSET(DMAV_Modell!$N$6,C471-1,0)))),"Structure"))</f>
        <v/>
      </c>
      <c r="P471" s="64" t="str" cm="1">
        <f t="array" aca="1" ref="P471" ca="1">IF(D471=0,IF(G471=0,"",HYPERLINK("#"&amp;RIGHT(CELL("adresse",OFFSET(DMAV_Dienste!$M$6,G471-1,0)),LEN(CELL("adresse",OFFSET(DMAV_Dienste!$M$6,G471-1,0)))-FIND("]",CELL("adresse",OFFSET(DMAV_Dienste!$M$6,G471-1,0)))),"Substructure")),HYPERLINK("#"&amp;RIGHT(CELL("adresse",OFFSET(DMAV_Modell!$N$6,D471-1,0)),LEN(CELL("adresse",OFFSET(DMAV_Modell!$N$6,D471-1,0)))-FIND("]",CELL("adresse",OFFSET(DMAV_Modell!$N$6,D471-1,0)))),"Substructure"))</f>
        <v/>
      </c>
      <c r="R471" s="80"/>
      <c r="T471" s="93"/>
      <c r="U471" s="94"/>
      <c r="V471" s="95"/>
      <c r="W471" s="96"/>
      <c r="Y471" s="85" t="s">
        <v>3103</v>
      </c>
      <c r="Z471" s="86" t="s">
        <v>1286</v>
      </c>
      <c r="AA471" s="87" t="s">
        <v>2991</v>
      </c>
      <c r="AB471" s="88" t="s">
        <v>3314</v>
      </c>
      <c r="AD471" s="77"/>
      <c r="AF471" s="54" t="str" cm="1">
        <f t="array" aca="1" ref="AF471" ca="1">IF(H471=0,"",HYPERLINK("#"&amp;RIGHT(CELL("adresse",OFFSET('DM01-AV-CH'!$G$6,H471-1,0)),LEN(CELL("adresse",OFFSET('DM01-AV-CH'!$G$6,H471-1,0)))-FIND("]",CELL("adresse",OFFSET('DM01-AV-CH'!$G$6,H471-1,0)))),"Modell"))</f>
        <v>Modell</v>
      </c>
      <c r="AG471" s="72" t="str" cm="1">
        <f t="array" ref="AG471">IF($H471=0,"",IF(INDEX('DM01-AV-CH'!G$6:G$834,$H471)="","",INDEX('DM01-AV-CH'!G$6:G$834,$H471)))</f>
        <v>Liegenschaften</v>
      </c>
      <c r="AH471" s="73" t="str" cm="1">
        <f t="array" ref="AH471">IF($H471=0,"",IF(INDEX('DM01-AV-CH'!H$6:H$834,$H471)="","",INDEX('DM01-AV-CH'!H$6:H$834,$H471)))</f>
        <v>Grenzpunkt</v>
      </c>
      <c r="AI471" s="74" t="str" cm="1">
        <f t="array" ref="AI471">IF($H471=0,"",IF(INDEX('DM01-AV-CH'!I$6:I$834,$H471)="","",INDEX('DM01-AV-CH'!I$6:I$834,$H471)))</f>
        <v>Punktzeichen</v>
      </c>
    </row>
    <row r="472" spans="1:35" x14ac:dyDescent="0.25">
      <c r="A472" s="57">
        <v>467</v>
      </c>
      <c r="B472" s="57">
        <f>IF($A472="","",IF(_xlfn.XLOOKUP($A472,Korrelation!$D$4:$D$1197,Korrelation!E$4:E$1197,"-",0)="-",0,MATCH(_xlfn.XLOOKUP($A472,Korrelation!$D$4:$D$1197,Korrelation!E$4:E$1197,"",0),DMAV_Modell!$G$6:$G$677,0)))</f>
        <v>224</v>
      </c>
      <c r="C472" s="57">
        <f>IF($A472="","",IF(_xlfn.XLOOKUP($A472,Korrelation!$D$4:$D$1197,Korrelation!F$4:F$1197,"-",0)="-",0,MATCH(_xlfn.XLOOKUP($A472,Korrelation!$D$4:$D$1197,Korrelation!F$4:F$1197,"",0),DMAV_Modell!$G$6:$G$677,0)))</f>
        <v>0</v>
      </c>
      <c r="D472" s="57">
        <f>IF($A472="","",IF(_xlfn.XLOOKUP($A472,Korrelation!$D$4:$D$1197,Korrelation!G$4:G$1197,"-",0)="-",0,MATCH(_xlfn.XLOOKUP($A472,Korrelation!$D$4:$D$1197,Korrelation!G$4:G$1197,"",0),DMAV_Modell!$G$6:$G$677,0)))</f>
        <v>0</v>
      </c>
      <c r="E472" s="57">
        <f>IF($A472="","",IF(_xlfn.XLOOKUP($A472,Korrelation!$D$4:$D$1197,Korrelation!H$4:H$1197,"-",0)="-",0,MATCH(_xlfn.XLOOKUP($A472,Korrelation!$D$4:$D$1197,Korrelation!H$4:H$1197,"",0),DMAV_Dienste!$F$6:$F$140,0)))</f>
        <v>0</v>
      </c>
      <c r="F472" s="57">
        <f>IF($A472="","",IF(_xlfn.XLOOKUP($A472,Korrelation!$D$4:$D$1197,Korrelation!I$4:I$1197,"-",0)="-",0,MATCH(_xlfn.XLOOKUP($A472,Korrelation!$D$4:$D$1197,Korrelation!I$4:I$1197,"",0),DMAV_Dienste!$F$6:$F$140,0)))</f>
        <v>0</v>
      </c>
      <c r="G472" s="57">
        <f>IF($A472="","",IF(_xlfn.XLOOKUP($A472,Korrelation!$D$4:$D$1197,Korrelation!J$4:J$1197,"-",0)="-",0,MATCH(_xlfn.XLOOKUP($A472,Korrelation!$D$4:$D$1197,Korrelation!J$4:J$1197,"",0),DMAV_Dienste!$F$6:$F$140,0)))</f>
        <v>0</v>
      </c>
      <c r="H472" s="57">
        <f>IF($A472="","",IF(_xlfn.XLOOKUP($A472,Korrelation!$D$4:$D$1197,Korrelation!K$4:K$1197,"-",0)="-",0,MATCH(_xlfn.XLOOKUP($A472,Korrelation!$D$4:$D$1197,Korrelation!K$4:K$1197,"",0),'DM01-AV-CH'!$A$6:$A$834,0)))</f>
        <v>0</v>
      </c>
      <c r="J472" s="54" t="str" cm="1">
        <f t="array" aca="1" ref="J472" ca="1">IF(B472=0,IF(E472=0,"",HYPERLINK("#"&amp;RIGHT(CELL("adresse",OFFSET(DMAV_Dienste!$M$6,E472-1,0)),LEN(CELL("adresse",OFFSET(DMAV_Dienste!$M$6,E472-1,0)))-FIND("]",CELL("adresse",OFFSET(DMAV_Dienste!$M$6,E472-1,0)))),"Dienst")),HYPERLINK("#"&amp;RIGHT(CELL("adresse",OFFSET(DMAV_Modell!$N$6,B472-1,0)),LEN(CELL("adresse",OFFSET(DMAV_Modell!$N$6,B472-1,0)))-FIND("]",CELL("adresse",OFFSET(DMAV_Modell!$N$6,B472-1,0)))),"Modell"))</f>
        <v>Modell</v>
      </c>
      <c r="K472" s="61" t="str" cm="1">
        <f t="array" ref="K472">IF($B472=0,IF($E472=0,"",IF(INDEX(DMAV_Dienste!P$6:P$140,$E472)="","",INDEX(DMAV_Dienste!P$6:P$140,$E472))),IF(INDEX(DMAV_Modell!Q$6:Q$838,$B472)="","",INDEX(DMAV_Modell!Q$6:Q$838,$B472)))</f>
        <v>CLASS</v>
      </c>
      <c r="L472" s="62" t="str" cm="1">
        <f t="array" ref="L472">IF($B472=0,IF($E472=0,"",IF(INDEX(DMAV_Dienste!O$6:O$140,$E472)="","",INDEX(DMAV_Dienste!O$6:O$140,$E472))),IF(INDEX(DMAV_Modell!P$6:P$838,$B472)="","",INDEX(DMAV_Modell!P$6:P$838,$B472)))</f>
        <v>Grundstuecke</v>
      </c>
      <c r="M472" s="62" t="str" cm="1">
        <f t="array" ref="M472">IF($B472=0,IF($E472=0,"",IF(INDEX(DMAV_Dienste!Q$6:Q$140,$E472)="","",INDEX(DMAV_Dienste!Q$6:Q$140,$E472))),IF(INDEX(DMAV_Modell!R$6:R$838,$B472)="","",INDEX(DMAV_Modell!R$6:R$838,$B472)))</f>
        <v>Grenzpunkt</v>
      </c>
      <c r="N472" s="62" t="str" cm="1">
        <f t="array" ref="N472">IF($B472=0,IF($E472=0,"",IF(INDEX(DMAV_Dienste!T$6:T$140,$E472)="","",INDEX(DMAV_Dienste!T$6:T$140,$E472))),IF(INDEX(DMAV_Modell!U$6:U$838,$B472)="","",INDEX(DMAV_Modell!U$6:U$838,$B472)))</f>
        <v>IstHoheitsgrenzpunkt</v>
      </c>
      <c r="O472" s="63" t="str" cm="1">
        <f t="array" aca="1" ref="O472" ca="1">IF(C472=0,IF(F472=0,"",HYPERLINK("#"&amp;RIGHT(CELL("adresse",OFFSET(DMAV_Dienste!$M$6,F472-1,0)),LEN(CELL("adresse",OFFSET(DMAV_Dienste!$M$6,F472-1,0)))-FIND("]",CELL("adresse",OFFSET(DMAV_Dienste!$M$6,F472-1,0)))),"Structure")),HYPERLINK("#"&amp;RIGHT(CELL("adresse",OFFSET(DMAV_Modell!$N$6,C472-1,0)),LEN(CELL("adresse",OFFSET(DMAV_Modell!$N$6,C472-1,0)))-FIND("]",CELL("adresse",OFFSET(DMAV_Modell!$N$6,C472-1,0)))),"Structure"))</f>
        <v/>
      </c>
      <c r="P472" s="64" t="str" cm="1">
        <f t="array" aca="1" ref="P472" ca="1">IF(D472=0,IF(G472=0,"",HYPERLINK("#"&amp;RIGHT(CELL("adresse",OFFSET(DMAV_Dienste!$M$6,G472-1,0)),LEN(CELL("adresse",OFFSET(DMAV_Dienste!$M$6,G472-1,0)))-FIND("]",CELL("adresse",OFFSET(DMAV_Dienste!$M$6,G472-1,0)))),"Substructure")),HYPERLINK("#"&amp;RIGHT(CELL("adresse",OFFSET(DMAV_Modell!$N$6,D472-1,0)),LEN(CELL("adresse",OFFSET(DMAV_Modell!$N$6,D472-1,0)))-FIND("]",CELL("adresse",OFFSET(DMAV_Modell!$N$6,D472-1,0)))),"Substructure"))</f>
        <v/>
      </c>
      <c r="R472" s="80" t="s">
        <v>214</v>
      </c>
      <c r="T472" s="93"/>
      <c r="U472" s="94"/>
      <c r="V472" s="95"/>
      <c r="W472" s="96"/>
      <c r="Y472" s="85"/>
      <c r="Z472" s="86"/>
      <c r="AA472" s="87"/>
      <c r="AB472" s="88"/>
      <c r="AD472" s="77"/>
      <c r="AF472" s="54" t="str" cm="1">
        <f t="array" aca="1" ref="AF472" ca="1">IF(H472=0,"",HYPERLINK("#"&amp;RIGHT(CELL("adresse",OFFSET('DM01-AV-CH'!$G$6,H472-1,0)),LEN(CELL("adresse",OFFSET('DM01-AV-CH'!$G$6,H472-1,0)))-FIND("]",CELL("adresse",OFFSET('DM01-AV-CH'!$G$6,H472-1,0)))),"Modell"))</f>
        <v/>
      </c>
      <c r="AG472" s="72" t="str" cm="1">
        <f t="array" ref="AG472">IF($H472=0,"",IF(INDEX('DM01-AV-CH'!G$6:G$834,$H472)="","",INDEX('DM01-AV-CH'!G$6:G$834,$H472)))</f>
        <v/>
      </c>
      <c r="AH472" s="73" t="str" cm="1">
        <f t="array" ref="AH472">IF($H472=0,"",IF(INDEX('DM01-AV-CH'!H$6:H$834,$H472)="","",INDEX('DM01-AV-CH'!H$6:H$834,$H472)))</f>
        <v/>
      </c>
      <c r="AI472" s="74" t="str" cm="1">
        <f t="array" ref="AI472">IF($H472=0,"",IF(INDEX('DM01-AV-CH'!I$6:I$834,$H472)="","",INDEX('DM01-AV-CH'!I$6:I$834,$H472)))</f>
        <v/>
      </c>
    </row>
    <row r="473" spans="1:35" ht="28.5" x14ac:dyDescent="0.25">
      <c r="A473" s="57">
        <v>468</v>
      </c>
      <c r="B473" s="57">
        <f>IF($A473="","",IF(_xlfn.XLOOKUP($A473,Korrelation!$D$4:$D$1197,Korrelation!E$4:E$1197,"-",0)="-",0,MATCH(_xlfn.XLOOKUP($A473,Korrelation!$D$4:$D$1197,Korrelation!E$4:E$1197,"",0),DMAV_Modell!$G$6:$G$677,0)))</f>
        <v>225</v>
      </c>
      <c r="C473" s="57">
        <f>IF($A473="","",IF(_xlfn.XLOOKUP($A473,Korrelation!$D$4:$D$1197,Korrelation!F$4:F$1197,"-",0)="-",0,MATCH(_xlfn.XLOOKUP($A473,Korrelation!$D$4:$D$1197,Korrelation!F$4:F$1197,"",0),DMAV_Modell!$G$6:$G$677,0)))</f>
        <v>0</v>
      </c>
      <c r="D473" s="57">
        <f>IF($A473="","",IF(_xlfn.XLOOKUP($A473,Korrelation!$D$4:$D$1197,Korrelation!G$4:G$1197,"-",0)="-",0,MATCH(_xlfn.XLOOKUP($A473,Korrelation!$D$4:$D$1197,Korrelation!G$4:G$1197,"",0),DMAV_Modell!$G$6:$G$677,0)))</f>
        <v>0</v>
      </c>
      <c r="E473" s="57">
        <f>IF($A473="","",IF(_xlfn.XLOOKUP($A473,Korrelation!$D$4:$D$1197,Korrelation!H$4:H$1197,"-",0)="-",0,MATCH(_xlfn.XLOOKUP($A473,Korrelation!$D$4:$D$1197,Korrelation!H$4:H$1197,"",0),DMAV_Dienste!$F$6:$F$140,0)))</f>
        <v>0</v>
      </c>
      <c r="F473" s="57">
        <f>IF($A473="","",IF(_xlfn.XLOOKUP($A473,Korrelation!$D$4:$D$1197,Korrelation!I$4:I$1197,"-",0)="-",0,MATCH(_xlfn.XLOOKUP($A473,Korrelation!$D$4:$D$1197,Korrelation!I$4:I$1197,"",0),DMAV_Dienste!$F$6:$F$140,0)))</f>
        <v>0</v>
      </c>
      <c r="G473" s="57">
        <f>IF($A473="","",IF(_xlfn.XLOOKUP($A473,Korrelation!$D$4:$D$1197,Korrelation!J$4:J$1197,"-",0)="-",0,MATCH(_xlfn.XLOOKUP($A473,Korrelation!$D$4:$D$1197,Korrelation!J$4:J$1197,"",0),DMAV_Dienste!$F$6:$F$140,0)))</f>
        <v>0</v>
      </c>
      <c r="H473" s="57">
        <f>IF($A473="","",IF(_xlfn.XLOOKUP($A473,Korrelation!$D$4:$D$1197,Korrelation!K$4:K$1197,"-",0)="-",0,MATCH(_xlfn.XLOOKUP($A473,Korrelation!$D$4:$D$1197,Korrelation!K$4:K$1197,"",0),'DM01-AV-CH'!$A$6:$A$834,0)))</f>
        <v>435</v>
      </c>
      <c r="J473" s="54" t="str" cm="1">
        <f t="array" aca="1" ref="J473" ca="1">IF(B473=0,IF(E473=0,"",HYPERLINK("#"&amp;RIGHT(CELL("adresse",OFFSET(DMAV_Dienste!$M$6,E473-1,0)),LEN(CELL("adresse",OFFSET(DMAV_Dienste!$M$6,E473-1,0)))-FIND("]",CELL("adresse",OFFSET(DMAV_Dienste!$M$6,E473-1,0)))),"Dienst")),HYPERLINK("#"&amp;RIGHT(CELL("adresse",OFFSET(DMAV_Modell!$N$6,B473-1,0)),LEN(CELL("adresse",OFFSET(DMAV_Modell!$N$6,B473-1,0)))-FIND("]",CELL("adresse",OFFSET(DMAV_Modell!$N$6,B473-1,0)))),"Modell"))</f>
        <v>Modell</v>
      </c>
      <c r="K473" s="61" t="str" cm="1">
        <f t="array" ref="K473">IF($B473=0,IF($E473=0,"",IF(INDEX(DMAV_Dienste!P$6:P$140,$E473)="","",INDEX(DMAV_Dienste!P$6:P$140,$E473))),IF(INDEX(DMAV_Modell!Q$6:Q$838,$B473)="","",INDEX(DMAV_Modell!Q$6:Q$838,$B473)))</f>
        <v>CLASS</v>
      </c>
      <c r="L473" s="62" t="str" cm="1">
        <f t="array" ref="L473">IF($B473=0,IF($E473=0,"",IF(INDEX(DMAV_Dienste!O$6:O$140,$E473)="","",INDEX(DMAV_Dienste!O$6:O$140,$E473))),IF(INDEX(DMAV_Modell!P$6:P$838,$B473)="","",INDEX(DMAV_Modell!P$6:P$838,$B473)))</f>
        <v>Grundstuecke</v>
      </c>
      <c r="M473" s="62" t="str" cm="1">
        <f t="array" ref="M473">IF($B473=0,IF($E473=0,"",IF(INDEX(DMAV_Dienste!Q$6:Q$140,$E473)="","",INDEX(DMAV_Dienste!Q$6:Q$140,$E473))),IF(INDEX(DMAV_Modell!R$6:R$838,$B473)="","",INDEX(DMAV_Modell!R$6:R$838,$B473)))</f>
        <v>Grenzpunkt</v>
      </c>
      <c r="N473" s="62" t="str" cm="1">
        <f t="array" ref="N473">IF($B473=0,IF($E473=0,"",IF(INDEX(DMAV_Dienste!T$6:T$140,$E473)="","",INDEX(DMAV_Dienste!T$6:T$140,$E473))),IF(INDEX(DMAV_Modell!U$6:U$838,$B473)="","",INDEX(DMAV_Modell!U$6:U$838,$B473)))</f>
        <v>IstHoheitsgrenzsteinAlt</v>
      </c>
      <c r="O473" s="63" t="str" cm="1">
        <f t="array" aca="1" ref="O473" ca="1">IF(C473=0,IF(F473=0,"",HYPERLINK("#"&amp;RIGHT(CELL("adresse",OFFSET(DMAV_Dienste!$M$6,F473-1,0)),LEN(CELL("adresse",OFFSET(DMAV_Dienste!$M$6,F473-1,0)))-FIND("]",CELL("adresse",OFFSET(DMAV_Dienste!$M$6,F473-1,0)))),"Structure")),HYPERLINK("#"&amp;RIGHT(CELL("adresse",OFFSET(DMAV_Modell!$N$6,C473-1,0)),LEN(CELL("adresse",OFFSET(DMAV_Modell!$N$6,C473-1,0)))-FIND("]",CELL("adresse",OFFSET(DMAV_Modell!$N$6,C473-1,0)))),"Structure"))</f>
        <v/>
      </c>
      <c r="P473" s="64" t="str" cm="1">
        <f t="array" aca="1" ref="P473" ca="1">IF(D473=0,IF(G473=0,"",HYPERLINK("#"&amp;RIGHT(CELL("adresse",OFFSET(DMAV_Dienste!$M$6,G473-1,0)),LEN(CELL("adresse",OFFSET(DMAV_Dienste!$M$6,G473-1,0)))-FIND("]",CELL("adresse",OFFSET(DMAV_Dienste!$M$6,G473-1,0)))),"Substructure")),HYPERLINK("#"&amp;RIGHT(CELL("adresse",OFFSET(DMAV_Modell!$N$6,D473-1,0)),LEN(CELL("adresse",OFFSET(DMAV_Modell!$N$6,D473-1,0)))-FIND("]",CELL("adresse",OFFSET(DMAV_Modell!$N$6,D473-1,0)))),"Substructure"))</f>
        <v/>
      </c>
      <c r="R473" s="80" t="s">
        <v>3062</v>
      </c>
      <c r="T473" s="93"/>
      <c r="U473" s="94"/>
      <c r="V473" s="95"/>
      <c r="W473" s="96"/>
      <c r="Y473" s="85"/>
      <c r="Z473" s="86"/>
      <c r="AA473" s="87"/>
      <c r="AB473" s="88"/>
      <c r="AD473" s="77" t="s">
        <v>2992</v>
      </c>
      <c r="AF473" s="54" t="str" cm="1">
        <f t="array" aca="1" ref="AF473" ca="1">IF(H473=0,"",HYPERLINK("#"&amp;RIGHT(CELL("adresse",OFFSET('DM01-AV-CH'!$G$6,H473-1,0)),LEN(CELL("adresse",OFFSET('DM01-AV-CH'!$G$6,H473-1,0)))-FIND("]",CELL("adresse",OFFSET('DM01-AV-CH'!$G$6,H473-1,0)))),"Modell"))</f>
        <v>Modell</v>
      </c>
      <c r="AG473" s="72" t="str" cm="1">
        <f t="array" ref="AG473">IF($H473=0,"",IF(INDEX('DM01-AV-CH'!G$6:G$834,$H473)="","",INDEX('DM01-AV-CH'!G$6:G$834,$H473)))</f>
        <v>Liegenschaften</v>
      </c>
      <c r="AH473" s="73" t="str" cm="1">
        <f t="array" ref="AH473">IF($H473=0,"",IF(INDEX('DM01-AV-CH'!H$6:H$834,$H473)="","",INDEX('DM01-AV-CH'!H$6:H$834,$H473)))</f>
        <v>Grenzpunkt</v>
      </c>
      <c r="AI473" s="74" t="str" cm="1">
        <f t="array" ref="AI473">IF($H473=0,"",IF(INDEX('DM01-AV-CH'!I$6:I$834,$H473)="","",INDEX('DM01-AV-CH'!I$6:I$834,$H473)))</f>
        <v>HoheitsgrenzsteinAlt</v>
      </c>
    </row>
    <row r="474" spans="1:35" ht="28.5" x14ac:dyDescent="0.25">
      <c r="A474" s="57">
        <v>469</v>
      </c>
      <c r="B474" s="57">
        <f>IF($A474="","",IF(_xlfn.XLOOKUP($A474,Korrelation!$D$4:$D$1197,Korrelation!E$4:E$1197,"-",0)="-",0,MATCH(_xlfn.XLOOKUP($A474,Korrelation!$D$4:$D$1197,Korrelation!E$4:E$1197,"",0),DMAV_Modell!$G$6:$G$677,0)))</f>
        <v>226</v>
      </c>
      <c r="C474" s="57">
        <f>IF($A474="","",IF(_xlfn.XLOOKUP($A474,Korrelation!$D$4:$D$1197,Korrelation!F$4:F$1197,"-",0)="-",0,MATCH(_xlfn.XLOOKUP($A474,Korrelation!$D$4:$D$1197,Korrelation!F$4:F$1197,"",0),DMAV_Modell!$G$6:$G$677,0)))</f>
        <v>0</v>
      </c>
      <c r="D474" s="57">
        <f>IF($A474="","",IF(_xlfn.XLOOKUP($A474,Korrelation!$D$4:$D$1197,Korrelation!G$4:G$1197,"-",0)="-",0,MATCH(_xlfn.XLOOKUP($A474,Korrelation!$D$4:$D$1197,Korrelation!G$4:G$1197,"",0),DMAV_Modell!$G$6:$G$677,0)))</f>
        <v>0</v>
      </c>
      <c r="E474" s="57">
        <f>IF($A474="","",IF(_xlfn.XLOOKUP($A474,Korrelation!$D$4:$D$1197,Korrelation!H$4:H$1197,"-",0)="-",0,MATCH(_xlfn.XLOOKUP($A474,Korrelation!$D$4:$D$1197,Korrelation!H$4:H$1197,"",0),DMAV_Dienste!$F$6:$F$140,0)))</f>
        <v>0</v>
      </c>
      <c r="F474" s="57">
        <f>IF($A474="","",IF(_xlfn.XLOOKUP($A474,Korrelation!$D$4:$D$1197,Korrelation!I$4:I$1197,"-",0)="-",0,MATCH(_xlfn.XLOOKUP($A474,Korrelation!$D$4:$D$1197,Korrelation!I$4:I$1197,"",0),DMAV_Dienste!$F$6:$F$140,0)))</f>
        <v>0</v>
      </c>
      <c r="G474" s="57">
        <f>IF($A474="","",IF(_xlfn.XLOOKUP($A474,Korrelation!$D$4:$D$1197,Korrelation!J$4:J$1197,"-",0)="-",0,MATCH(_xlfn.XLOOKUP($A474,Korrelation!$D$4:$D$1197,Korrelation!J$4:J$1197,"",0),DMAV_Dienste!$F$6:$F$140,0)))</f>
        <v>0</v>
      </c>
      <c r="H474" s="57">
        <f>IF($A474="","",IF(_xlfn.XLOOKUP($A474,Korrelation!$D$4:$D$1197,Korrelation!K$4:K$1197,"-",0)="-",0,MATCH(_xlfn.XLOOKUP($A474,Korrelation!$D$4:$D$1197,Korrelation!K$4:K$1197,"",0),'DM01-AV-CH'!$A$6:$A$834,0)))</f>
        <v>434</v>
      </c>
      <c r="J474" s="54" t="str" cm="1">
        <f t="array" aca="1" ref="J474" ca="1">IF(B474=0,IF(E474=0,"",HYPERLINK("#"&amp;RIGHT(CELL("adresse",OFFSET(DMAV_Dienste!$M$6,E474-1,0)),LEN(CELL("adresse",OFFSET(DMAV_Dienste!$M$6,E474-1,0)))-FIND("]",CELL("adresse",OFFSET(DMAV_Dienste!$M$6,E474-1,0)))),"Dienst")),HYPERLINK("#"&amp;RIGHT(CELL("adresse",OFFSET(DMAV_Modell!$N$6,B474-1,0)),LEN(CELL("adresse",OFFSET(DMAV_Modell!$N$6,B474-1,0)))-FIND("]",CELL("adresse",OFFSET(DMAV_Modell!$N$6,B474-1,0)))),"Modell"))</f>
        <v>Modell</v>
      </c>
      <c r="K474" s="61" t="str" cm="1">
        <f t="array" ref="K474">IF($B474=0,IF($E474=0,"",IF(INDEX(DMAV_Dienste!P$6:P$140,$E474)="","",INDEX(DMAV_Dienste!P$6:P$140,$E474))),IF(INDEX(DMAV_Modell!Q$6:Q$838,$B474)="","",INDEX(DMAV_Modell!Q$6:Q$838,$B474)))</f>
        <v>CLASS</v>
      </c>
      <c r="L474" s="62" t="str" cm="1">
        <f t="array" ref="L474">IF($B474=0,IF($E474=0,"",IF(INDEX(DMAV_Dienste!O$6:O$140,$E474)="","",INDEX(DMAV_Dienste!O$6:O$140,$E474))),IF(INDEX(DMAV_Modell!P$6:P$838,$B474)="","",INDEX(DMAV_Modell!P$6:P$838,$B474)))</f>
        <v>Grundstuecke</v>
      </c>
      <c r="M474" s="62" t="str" cm="1">
        <f t="array" ref="M474">IF($B474=0,IF($E474=0,"",IF(INDEX(DMAV_Dienste!Q$6:Q$140,$E474)="","",INDEX(DMAV_Dienste!Q$6:Q$140,$E474))),IF(INDEX(DMAV_Modell!R$6:R$838,$B474)="","",INDEX(DMAV_Modell!R$6:R$838,$B474)))</f>
        <v>Grenzpunkt</v>
      </c>
      <c r="N474" s="62" t="str" cm="1">
        <f t="array" ref="N474">IF($B474=0,IF($E474=0,"",IF(INDEX(DMAV_Dienste!T$6:T$140,$E474)="","",INDEX(DMAV_Dienste!T$6:T$140,$E474))),IF(INDEX(DMAV_Modell!U$6:U$838,$B474)="","",INDEX(DMAV_Modell!U$6:U$838,$B474)))</f>
        <v>IstExaktDefiniert</v>
      </c>
      <c r="O474" s="63" t="str" cm="1">
        <f t="array" aca="1" ref="O474" ca="1">IF(C474=0,IF(F474=0,"",HYPERLINK("#"&amp;RIGHT(CELL("adresse",OFFSET(DMAV_Dienste!$M$6,F474-1,0)),LEN(CELL("adresse",OFFSET(DMAV_Dienste!$M$6,F474-1,0)))-FIND("]",CELL("adresse",OFFSET(DMAV_Dienste!$M$6,F474-1,0)))),"Structure")),HYPERLINK("#"&amp;RIGHT(CELL("adresse",OFFSET(DMAV_Modell!$N$6,C474-1,0)),LEN(CELL("adresse",OFFSET(DMAV_Modell!$N$6,C474-1,0)))-FIND("]",CELL("adresse",OFFSET(DMAV_Modell!$N$6,C474-1,0)))),"Structure"))</f>
        <v/>
      </c>
      <c r="P474" s="64" t="str" cm="1">
        <f t="array" aca="1" ref="P474" ca="1">IF(D474=0,IF(G474=0,"",HYPERLINK("#"&amp;RIGHT(CELL("adresse",OFFSET(DMAV_Dienste!$M$6,G474-1,0)),LEN(CELL("adresse",OFFSET(DMAV_Dienste!$M$6,G474-1,0)))-FIND("]",CELL("adresse",OFFSET(DMAV_Dienste!$M$6,G474-1,0)))),"Substructure")),HYPERLINK("#"&amp;RIGHT(CELL("adresse",OFFSET(DMAV_Modell!$N$6,D474-1,0)),LEN(CELL("adresse",OFFSET(DMAV_Modell!$N$6,D474-1,0)))-FIND("]",CELL("adresse",OFFSET(DMAV_Modell!$N$6,D474-1,0)))),"Substructure"))</f>
        <v/>
      </c>
      <c r="R474" s="80" t="s">
        <v>3098</v>
      </c>
      <c r="T474" s="93"/>
      <c r="U474" s="94"/>
      <c r="V474" s="95"/>
      <c r="W474" s="96"/>
      <c r="Y474" s="85" t="s">
        <v>3103</v>
      </c>
      <c r="Z474" s="86" t="s">
        <v>1286</v>
      </c>
      <c r="AA474" s="87" t="s">
        <v>2993</v>
      </c>
      <c r="AB474" s="88" t="s">
        <v>3314</v>
      </c>
      <c r="AD474" s="77" t="s">
        <v>3099</v>
      </c>
      <c r="AF474" s="54" t="str" cm="1">
        <f t="array" aca="1" ref="AF474" ca="1">IF(H474=0,"",HYPERLINK("#"&amp;RIGHT(CELL("adresse",OFFSET('DM01-AV-CH'!$G$6,H474-1,0)),LEN(CELL("adresse",OFFSET('DM01-AV-CH'!$G$6,H474-1,0)))-FIND("]",CELL("adresse",OFFSET('DM01-AV-CH'!$G$6,H474-1,0)))),"Modell"))</f>
        <v>Modell</v>
      </c>
      <c r="AG474" s="72" t="str" cm="1">
        <f t="array" ref="AG474">IF($H474=0,"",IF(INDEX('DM01-AV-CH'!G$6:G$834,$H474)="","",INDEX('DM01-AV-CH'!G$6:G$834,$H474)))</f>
        <v>Liegenschaften</v>
      </c>
      <c r="AH474" s="73" t="str" cm="1">
        <f t="array" ref="AH474">IF($H474=0,"",IF(INDEX('DM01-AV-CH'!H$6:H$834,$H474)="","",INDEX('DM01-AV-CH'!H$6:H$834,$H474)))</f>
        <v>Grenzpunkt</v>
      </c>
      <c r="AI474" s="74" t="str" cm="1">
        <f t="array" ref="AI474">IF($H474=0,"",IF(INDEX('DM01-AV-CH'!I$6:I$834,$H474)="","",INDEX('DM01-AV-CH'!I$6:I$834,$H474)))</f>
        <v>ExaktDefiniert</v>
      </c>
    </row>
    <row r="475" spans="1:35" x14ac:dyDescent="0.25">
      <c r="A475" s="57">
        <v>470</v>
      </c>
      <c r="B475" s="57">
        <f>IF($A475="","",IF(_xlfn.XLOOKUP($A475,Korrelation!$D$4:$D$1197,Korrelation!E$4:E$1197,"-",0)="-",0,MATCH(_xlfn.XLOOKUP($A475,Korrelation!$D$4:$D$1197,Korrelation!E$4:E$1197,"",0),DMAV_Modell!$G$6:$G$677,0)))</f>
        <v>0</v>
      </c>
      <c r="C475" s="57">
        <f>IF($A475="","",IF(_xlfn.XLOOKUP($A475,Korrelation!$D$4:$D$1197,Korrelation!F$4:F$1197,"-",0)="-",0,MATCH(_xlfn.XLOOKUP($A475,Korrelation!$D$4:$D$1197,Korrelation!F$4:F$1197,"",0),DMAV_Modell!$G$6:$G$677,0)))</f>
        <v>0</v>
      </c>
      <c r="D475" s="57">
        <f>IF($A475="","",IF(_xlfn.XLOOKUP($A475,Korrelation!$D$4:$D$1197,Korrelation!G$4:G$1197,"-",0)="-",0,MATCH(_xlfn.XLOOKUP($A475,Korrelation!$D$4:$D$1197,Korrelation!G$4:G$1197,"",0),DMAV_Modell!$G$6:$G$677,0)))</f>
        <v>0</v>
      </c>
      <c r="E475" s="57">
        <f>IF($A475="","",IF(_xlfn.XLOOKUP($A475,Korrelation!$D$4:$D$1197,Korrelation!H$4:H$1197,"-",0)="-",0,MATCH(_xlfn.XLOOKUP($A475,Korrelation!$D$4:$D$1197,Korrelation!H$4:H$1197,"",0),DMAV_Dienste!$F$6:$F$140,0)))</f>
        <v>0</v>
      </c>
      <c r="F475" s="57">
        <f>IF($A475="","",IF(_xlfn.XLOOKUP($A475,Korrelation!$D$4:$D$1197,Korrelation!I$4:I$1197,"-",0)="-",0,MATCH(_xlfn.XLOOKUP($A475,Korrelation!$D$4:$D$1197,Korrelation!I$4:I$1197,"",0),DMAV_Dienste!$F$6:$F$140,0)))</f>
        <v>0</v>
      </c>
      <c r="G475" s="57">
        <f>IF($A475="","",IF(_xlfn.XLOOKUP($A475,Korrelation!$D$4:$D$1197,Korrelation!J$4:J$1197,"-",0)="-",0,MATCH(_xlfn.XLOOKUP($A475,Korrelation!$D$4:$D$1197,Korrelation!J$4:J$1197,"",0),DMAV_Dienste!$F$6:$F$140,0)))</f>
        <v>0</v>
      </c>
      <c r="H475" s="57">
        <f>IF($A475="","",IF(_xlfn.XLOOKUP($A475,Korrelation!$D$4:$D$1197,Korrelation!K$4:K$1197,"-",0)="-",0,MATCH(_xlfn.XLOOKUP($A475,Korrelation!$D$4:$D$1197,Korrelation!K$4:K$1197,"",0),'DM01-AV-CH'!$A$6:$A$834,0)))</f>
        <v>436</v>
      </c>
      <c r="J475" s="54" t="str" cm="1">
        <f t="array" aca="1" ref="J475" ca="1">IF(B475=0,IF(E475=0,"",HYPERLINK("#"&amp;RIGHT(CELL("adresse",OFFSET(DMAV_Dienste!$M$6,E475-1,0)),LEN(CELL("adresse",OFFSET(DMAV_Dienste!$M$6,E475-1,0)))-FIND("]",CELL("adresse",OFFSET(DMAV_Dienste!$M$6,E475-1,0)))),"Dienst")),HYPERLINK("#"&amp;RIGHT(CELL("adresse",OFFSET(DMAV_Modell!$N$6,B475-1,0)),LEN(CELL("adresse",OFFSET(DMAV_Modell!$N$6,B475-1,0)))-FIND("]",CELL("adresse",OFFSET(DMAV_Modell!$N$6,B475-1,0)))),"Modell"))</f>
        <v/>
      </c>
      <c r="K475" s="61" t="str" cm="1">
        <f t="array" ref="K475">IF($B475=0,IF($E475=0,"",IF(INDEX(DMAV_Dienste!P$6:P$140,$E475)="","",INDEX(DMAV_Dienste!P$6:P$140,$E475))),IF(INDEX(DMAV_Modell!Q$6:Q$838,$B475)="","",INDEX(DMAV_Modell!Q$6:Q$838,$B475)))</f>
        <v/>
      </c>
      <c r="L475" s="62" t="str" cm="1">
        <f t="array" ref="L475">IF($B475=0,IF($E475=0,"",IF(INDEX(DMAV_Dienste!O$6:O$140,$E475)="","",INDEX(DMAV_Dienste!O$6:O$140,$E475))),IF(INDEX(DMAV_Modell!P$6:P$838,$B475)="","",INDEX(DMAV_Modell!P$6:P$838,$B475)))</f>
        <v/>
      </c>
      <c r="M475" s="62" t="str" cm="1">
        <f t="array" ref="M475">IF($B475=0,IF($E475=0,"",IF(INDEX(DMAV_Dienste!Q$6:Q$140,$E475)="","",INDEX(DMAV_Dienste!Q$6:Q$140,$E475))),IF(INDEX(DMAV_Modell!R$6:R$838,$B475)="","",INDEX(DMAV_Modell!R$6:R$838,$B475)))</f>
        <v/>
      </c>
      <c r="N475" s="62" t="str" cm="1">
        <f t="array" ref="N475">IF($B475=0,IF($E475=0,"",IF(INDEX(DMAV_Dienste!T$6:T$140,$E475)="","",INDEX(DMAV_Dienste!T$6:T$140,$E475))),IF(INDEX(DMAV_Modell!U$6:U$838,$B475)="","",INDEX(DMAV_Modell!U$6:U$838,$B475)))</f>
        <v/>
      </c>
      <c r="O475" s="63" t="str" cm="1">
        <f t="array" aca="1" ref="O475" ca="1">IF(C475=0,IF(F475=0,"",HYPERLINK("#"&amp;RIGHT(CELL("adresse",OFFSET(DMAV_Dienste!$M$6,F475-1,0)),LEN(CELL("adresse",OFFSET(DMAV_Dienste!$M$6,F475-1,0)))-FIND("]",CELL("adresse",OFFSET(DMAV_Dienste!$M$6,F475-1,0)))),"Structure")),HYPERLINK("#"&amp;RIGHT(CELL("adresse",OFFSET(DMAV_Modell!$N$6,C475-1,0)),LEN(CELL("adresse",OFFSET(DMAV_Modell!$N$6,C475-1,0)))-FIND("]",CELL("adresse",OFFSET(DMAV_Modell!$N$6,C475-1,0)))),"Structure"))</f>
        <v/>
      </c>
      <c r="P475" s="64" t="str" cm="1">
        <f t="array" aca="1" ref="P475" ca="1">IF(D475=0,IF(G475=0,"",HYPERLINK("#"&amp;RIGHT(CELL("adresse",OFFSET(DMAV_Dienste!$M$6,G475-1,0)),LEN(CELL("adresse",OFFSET(DMAV_Dienste!$M$6,G475-1,0)))-FIND("]",CELL("adresse",OFFSET(DMAV_Dienste!$M$6,G475-1,0)))),"Substructure")),HYPERLINK("#"&amp;RIGHT(CELL("adresse",OFFSET(DMAV_Modell!$N$6,D475-1,0)),LEN(CELL("adresse",OFFSET(DMAV_Modell!$N$6,D475-1,0)))-FIND("]",CELL("adresse",OFFSET(DMAV_Modell!$N$6,D475-1,0)))),"Substructure"))</f>
        <v/>
      </c>
      <c r="R475" s="80"/>
      <c r="T475" s="93"/>
      <c r="U475" s="94"/>
      <c r="V475" s="95"/>
      <c r="W475" s="96"/>
      <c r="Y475" s="85"/>
      <c r="Z475" s="86"/>
      <c r="AA475" s="87"/>
      <c r="AB475" s="88"/>
      <c r="AD475" s="77"/>
      <c r="AF475" s="54" t="str" cm="1">
        <f t="array" aca="1" ref="AF475" ca="1">IF(H475=0,"",HYPERLINK("#"&amp;RIGHT(CELL("adresse",OFFSET('DM01-AV-CH'!$G$6,H475-1,0)),LEN(CELL("adresse",OFFSET('DM01-AV-CH'!$G$6,H475-1,0)))-FIND("]",CELL("adresse",OFFSET('DM01-AV-CH'!$G$6,H475-1,0)))),"Modell"))</f>
        <v>Modell</v>
      </c>
      <c r="AG475" s="72" t="str" cm="1">
        <f t="array" ref="AG475">IF($H475=0,"",IF(INDEX('DM01-AV-CH'!G$6:G$834,$H475)="","",INDEX('DM01-AV-CH'!G$6:G$834,$H475)))</f>
        <v>Liegenschaften</v>
      </c>
      <c r="AH475" s="73" t="str" cm="1">
        <f t="array" ref="AH475">IF($H475=0,"",IF(INDEX('DM01-AV-CH'!H$6:H$834,$H475)="","",INDEX('DM01-AV-CH'!H$6:H$834,$H475)))</f>
        <v>GrenzpunktPos</v>
      </c>
      <c r="AI475" s="74" t="str" cm="1">
        <f t="array" ref="AI475">IF($H475=0,"",IF(INDEX('DM01-AV-CH'!I$6:I$834,$H475)="","",INDEX('DM01-AV-CH'!I$6:I$834,$H475)))</f>
        <v>GrenzpunktPos_von</v>
      </c>
    </row>
    <row r="476" spans="1:35" x14ac:dyDescent="0.25">
      <c r="A476" s="57">
        <v>471</v>
      </c>
      <c r="B476" s="57">
        <f>IF($A476="","",IF(_xlfn.XLOOKUP($A476,Korrelation!$D$4:$D$1197,Korrelation!E$4:E$1197,"-",0)="-",0,MATCH(_xlfn.XLOOKUP($A476,Korrelation!$D$4:$D$1197,Korrelation!E$4:E$1197,"",0),DMAV_Modell!$G$6:$G$677,0)))</f>
        <v>0</v>
      </c>
      <c r="C476" s="57">
        <f>IF($A476="","",IF(_xlfn.XLOOKUP($A476,Korrelation!$D$4:$D$1197,Korrelation!F$4:F$1197,"-",0)="-",0,MATCH(_xlfn.XLOOKUP($A476,Korrelation!$D$4:$D$1197,Korrelation!F$4:F$1197,"",0),DMAV_Modell!$G$6:$G$677,0)))</f>
        <v>0</v>
      </c>
      <c r="D476" s="57">
        <f>IF($A476="","",IF(_xlfn.XLOOKUP($A476,Korrelation!$D$4:$D$1197,Korrelation!G$4:G$1197,"-",0)="-",0,MATCH(_xlfn.XLOOKUP($A476,Korrelation!$D$4:$D$1197,Korrelation!G$4:G$1197,"",0),DMAV_Modell!$G$6:$G$677,0)))</f>
        <v>0</v>
      </c>
      <c r="E476" s="57">
        <f>IF($A476="","",IF(_xlfn.XLOOKUP($A476,Korrelation!$D$4:$D$1197,Korrelation!H$4:H$1197,"-",0)="-",0,MATCH(_xlfn.XLOOKUP($A476,Korrelation!$D$4:$D$1197,Korrelation!H$4:H$1197,"",0),DMAV_Dienste!$F$6:$F$140,0)))</f>
        <v>0</v>
      </c>
      <c r="F476" s="57">
        <f>IF($A476="","",IF(_xlfn.XLOOKUP($A476,Korrelation!$D$4:$D$1197,Korrelation!I$4:I$1197,"-",0)="-",0,MATCH(_xlfn.XLOOKUP($A476,Korrelation!$D$4:$D$1197,Korrelation!I$4:I$1197,"",0),DMAV_Dienste!$F$6:$F$140,0)))</f>
        <v>0</v>
      </c>
      <c r="G476" s="57">
        <f>IF($A476="","",IF(_xlfn.XLOOKUP($A476,Korrelation!$D$4:$D$1197,Korrelation!J$4:J$1197,"-",0)="-",0,MATCH(_xlfn.XLOOKUP($A476,Korrelation!$D$4:$D$1197,Korrelation!J$4:J$1197,"",0),DMAV_Dienste!$F$6:$F$140,0)))</f>
        <v>0</v>
      </c>
      <c r="H476" s="57">
        <f>IF($A476="","",IF(_xlfn.XLOOKUP($A476,Korrelation!$D$4:$D$1197,Korrelation!K$4:K$1197,"-",0)="-",0,MATCH(_xlfn.XLOOKUP($A476,Korrelation!$D$4:$D$1197,Korrelation!K$4:K$1197,"",0),'DM01-AV-CH'!$A$6:$A$834,0)))</f>
        <v>437</v>
      </c>
      <c r="J476" s="54" t="str" cm="1">
        <f t="array" aca="1" ref="J476" ca="1">IF(B476=0,IF(E476=0,"",HYPERLINK("#"&amp;RIGHT(CELL("adresse",OFFSET(DMAV_Dienste!$M$6,E476-1,0)),LEN(CELL("adresse",OFFSET(DMAV_Dienste!$M$6,E476-1,0)))-FIND("]",CELL("adresse",OFFSET(DMAV_Dienste!$M$6,E476-1,0)))),"Dienst")),HYPERLINK("#"&amp;RIGHT(CELL("adresse",OFFSET(DMAV_Modell!$N$6,B476-1,0)),LEN(CELL("adresse",OFFSET(DMAV_Modell!$N$6,B476-1,0)))-FIND("]",CELL("adresse",OFFSET(DMAV_Modell!$N$6,B476-1,0)))),"Modell"))</f>
        <v/>
      </c>
      <c r="K476" s="61" t="str" cm="1">
        <f t="array" ref="K476">IF($B476=0,IF($E476=0,"",IF(INDEX(DMAV_Dienste!P$6:P$140,$E476)="","",INDEX(DMAV_Dienste!P$6:P$140,$E476))),IF(INDEX(DMAV_Modell!Q$6:Q$838,$B476)="","",INDEX(DMAV_Modell!Q$6:Q$838,$B476)))</f>
        <v/>
      </c>
      <c r="L476" s="62" t="str" cm="1">
        <f t="array" ref="L476">IF($B476=0,IF($E476=0,"",IF(INDEX(DMAV_Dienste!O$6:O$140,$E476)="","",INDEX(DMAV_Dienste!O$6:O$140,$E476))),IF(INDEX(DMAV_Modell!P$6:P$838,$B476)="","",INDEX(DMAV_Modell!P$6:P$838,$B476)))</f>
        <v/>
      </c>
      <c r="M476" s="62" t="str" cm="1">
        <f t="array" ref="M476">IF($B476=0,IF($E476=0,"",IF(INDEX(DMAV_Dienste!Q$6:Q$140,$E476)="","",INDEX(DMAV_Dienste!Q$6:Q$140,$E476))),IF(INDEX(DMAV_Modell!R$6:R$838,$B476)="","",INDEX(DMAV_Modell!R$6:R$838,$B476)))</f>
        <v/>
      </c>
      <c r="N476" s="62" t="str" cm="1">
        <f t="array" ref="N476">IF($B476=0,IF($E476=0,"",IF(INDEX(DMAV_Dienste!T$6:T$140,$E476)="","",INDEX(DMAV_Dienste!T$6:T$140,$E476))),IF(INDEX(DMAV_Modell!U$6:U$838,$B476)="","",INDEX(DMAV_Modell!U$6:U$838,$B476)))</f>
        <v/>
      </c>
      <c r="O476" s="63" t="str" cm="1">
        <f t="array" aca="1" ref="O476" ca="1">IF(C476=0,IF(F476=0,"",HYPERLINK("#"&amp;RIGHT(CELL("adresse",OFFSET(DMAV_Dienste!$M$6,F476-1,0)),LEN(CELL("adresse",OFFSET(DMAV_Dienste!$M$6,F476-1,0)))-FIND("]",CELL("adresse",OFFSET(DMAV_Dienste!$M$6,F476-1,0)))),"Structure")),HYPERLINK("#"&amp;RIGHT(CELL("adresse",OFFSET(DMAV_Modell!$N$6,C476-1,0)),LEN(CELL("adresse",OFFSET(DMAV_Modell!$N$6,C476-1,0)))-FIND("]",CELL("adresse",OFFSET(DMAV_Modell!$N$6,C476-1,0)))),"Structure"))</f>
        <v/>
      </c>
      <c r="P476" s="64" t="str" cm="1">
        <f t="array" aca="1" ref="P476" ca="1">IF(D476=0,IF(G476=0,"",HYPERLINK("#"&amp;RIGHT(CELL("adresse",OFFSET(DMAV_Dienste!$M$6,G476-1,0)),LEN(CELL("adresse",OFFSET(DMAV_Dienste!$M$6,G476-1,0)))-FIND("]",CELL("adresse",OFFSET(DMAV_Dienste!$M$6,G476-1,0)))),"Substructure")),HYPERLINK("#"&amp;RIGHT(CELL("adresse",OFFSET(DMAV_Modell!$N$6,D476-1,0)),LEN(CELL("adresse",OFFSET(DMAV_Modell!$N$6,D476-1,0)))-FIND("]",CELL("adresse",OFFSET(DMAV_Modell!$N$6,D476-1,0)))),"Substructure"))</f>
        <v/>
      </c>
      <c r="R476" s="80"/>
      <c r="T476" s="93"/>
      <c r="U476" s="94"/>
      <c r="V476" s="95"/>
      <c r="W476" s="96"/>
      <c r="Y476" s="85"/>
      <c r="Z476" s="86"/>
      <c r="AA476" s="87"/>
      <c r="AB476" s="88"/>
      <c r="AD476" s="77"/>
      <c r="AF476" s="54" t="str" cm="1">
        <f t="array" aca="1" ref="AF476" ca="1">IF(H476=0,"",HYPERLINK("#"&amp;RIGHT(CELL("adresse",OFFSET('DM01-AV-CH'!$G$6,H476-1,0)),LEN(CELL("adresse",OFFSET('DM01-AV-CH'!$G$6,H476-1,0)))-FIND("]",CELL("adresse",OFFSET('DM01-AV-CH'!$G$6,H476-1,0)))),"Modell"))</f>
        <v>Modell</v>
      </c>
      <c r="AG476" s="72" t="str" cm="1">
        <f t="array" ref="AG476">IF($H476=0,"",IF(INDEX('DM01-AV-CH'!G$6:G$834,$H476)="","",INDEX('DM01-AV-CH'!G$6:G$834,$H476)))</f>
        <v>Liegenschaften</v>
      </c>
      <c r="AH476" s="73" t="str" cm="1">
        <f t="array" ref="AH476">IF($H476=0,"",IF(INDEX('DM01-AV-CH'!H$6:H$834,$H476)="","",INDEX('DM01-AV-CH'!H$6:H$834,$H476)))</f>
        <v>GrenzpunktPos</v>
      </c>
      <c r="AI476" s="74" t="str" cm="1">
        <f t="array" ref="AI476">IF($H476=0,"",IF(INDEX('DM01-AV-CH'!I$6:I$834,$H476)="","",INDEX('DM01-AV-CH'!I$6:I$834,$H476)))</f>
        <v>Pos</v>
      </c>
    </row>
    <row r="477" spans="1:35" x14ac:dyDescent="0.25">
      <c r="A477" s="57">
        <v>472</v>
      </c>
      <c r="B477" s="57">
        <f>IF($A477="","",IF(_xlfn.XLOOKUP($A477,Korrelation!$D$4:$D$1197,Korrelation!E$4:E$1197,"-",0)="-",0,MATCH(_xlfn.XLOOKUP($A477,Korrelation!$D$4:$D$1197,Korrelation!E$4:E$1197,"",0),DMAV_Modell!$G$6:$G$677,0)))</f>
        <v>0</v>
      </c>
      <c r="C477" s="57">
        <f>IF($A477="","",IF(_xlfn.XLOOKUP($A477,Korrelation!$D$4:$D$1197,Korrelation!F$4:F$1197,"-",0)="-",0,MATCH(_xlfn.XLOOKUP($A477,Korrelation!$D$4:$D$1197,Korrelation!F$4:F$1197,"",0),DMAV_Modell!$G$6:$G$677,0)))</f>
        <v>0</v>
      </c>
      <c r="D477" s="57">
        <f>IF($A477="","",IF(_xlfn.XLOOKUP($A477,Korrelation!$D$4:$D$1197,Korrelation!G$4:G$1197,"-",0)="-",0,MATCH(_xlfn.XLOOKUP($A477,Korrelation!$D$4:$D$1197,Korrelation!G$4:G$1197,"",0),DMAV_Modell!$G$6:$G$677,0)))</f>
        <v>0</v>
      </c>
      <c r="E477" s="57">
        <f>IF($A477="","",IF(_xlfn.XLOOKUP($A477,Korrelation!$D$4:$D$1197,Korrelation!H$4:H$1197,"-",0)="-",0,MATCH(_xlfn.XLOOKUP($A477,Korrelation!$D$4:$D$1197,Korrelation!H$4:H$1197,"",0),DMAV_Dienste!$F$6:$F$140,0)))</f>
        <v>0</v>
      </c>
      <c r="F477" s="57">
        <f>IF($A477="","",IF(_xlfn.XLOOKUP($A477,Korrelation!$D$4:$D$1197,Korrelation!I$4:I$1197,"-",0)="-",0,MATCH(_xlfn.XLOOKUP($A477,Korrelation!$D$4:$D$1197,Korrelation!I$4:I$1197,"",0),DMAV_Dienste!$F$6:$F$140,0)))</f>
        <v>0</v>
      </c>
      <c r="G477" s="57">
        <f>IF($A477="","",IF(_xlfn.XLOOKUP($A477,Korrelation!$D$4:$D$1197,Korrelation!J$4:J$1197,"-",0)="-",0,MATCH(_xlfn.XLOOKUP($A477,Korrelation!$D$4:$D$1197,Korrelation!J$4:J$1197,"",0),DMAV_Dienste!$F$6:$F$140,0)))</f>
        <v>0</v>
      </c>
      <c r="H477" s="57">
        <f>IF($A477="","",IF(_xlfn.XLOOKUP($A477,Korrelation!$D$4:$D$1197,Korrelation!K$4:K$1197,"-",0)="-",0,MATCH(_xlfn.XLOOKUP($A477,Korrelation!$D$4:$D$1197,Korrelation!K$4:K$1197,"",0),'DM01-AV-CH'!$A$6:$A$834,0)))</f>
        <v>438</v>
      </c>
      <c r="J477" s="54" t="str" cm="1">
        <f t="array" aca="1" ref="J477" ca="1">IF(B477=0,IF(E477=0,"",HYPERLINK("#"&amp;RIGHT(CELL("adresse",OFFSET(DMAV_Dienste!$M$6,E477-1,0)),LEN(CELL("adresse",OFFSET(DMAV_Dienste!$M$6,E477-1,0)))-FIND("]",CELL("adresse",OFFSET(DMAV_Dienste!$M$6,E477-1,0)))),"Dienst")),HYPERLINK("#"&amp;RIGHT(CELL("adresse",OFFSET(DMAV_Modell!$N$6,B477-1,0)),LEN(CELL("adresse",OFFSET(DMAV_Modell!$N$6,B477-1,0)))-FIND("]",CELL("adresse",OFFSET(DMAV_Modell!$N$6,B477-1,0)))),"Modell"))</f>
        <v/>
      </c>
      <c r="K477" s="61" t="str" cm="1">
        <f t="array" ref="K477">IF($B477=0,IF($E477=0,"",IF(INDEX(DMAV_Dienste!P$6:P$140,$E477)="","",INDEX(DMAV_Dienste!P$6:P$140,$E477))),IF(INDEX(DMAV_Modell!Q$6:Q$838,$B477)="","",INDEX(DMAV_Modell!Q$6:Q$838,$B477)))</f>
        <v/>
      </c>
      <c r="L477" s="62" t="str" cm="1">
        <f t="array" ref="L477">IF($B477=0,IF($E477=0,"",IF(INDEX(DMAV_Dienste!O$6:O$140,$E477)="","",INDEX(DMAV_Dienste!O$6:O$140,$E477))),IF(INDEX(DMAV_Modell!P$6:P$838,$B477)="","",INDEX(DMAV_Modell!P$6:P$838,$B477)))</f>
        <v/>
      </c>
      <c r="M477" s="62" t="str" cm="1">
        <f t="array" ref="M477">IF($B477=0,IF($E477=0,"",IF(INDEX(DMAV_Dienste!Q$6:Q$140,$E477)="","",INDEX(DMAV_Dienste!Q$6:Q$140,$E477))),IF(INDEX(DMAV_Modell!R$6:R$838,$B477)="","",INDEX(DMAV_Modell!R$6:R$838,$B477)))</f>
        <v/>
      </c>
      <c r="N477" s="62" t="str" cm="1">
        <f t="array" ref="N477">IF($B477=0,IF($E477=0,"",IF(INDEX(DMAV_Dienste!T$6:T$140,$E477)="","",INDEX(DMAV_Dienste!T$6:T$140,$E477))),IF(INDEX(DMAV_Modell!U$6:U$838,$B477)="","",INDEX(DMAV_Modell!U$6:U$838,$B477)))</f>
        <v/>
      </c>
      <c r="O477" s="63" t="str" cm="1">
        <f t="array" aca="1" ref="O477" ca="1">IF(C477=0,IF(F477=0,"",HYPERLINK("#"&amp;RIGHT(CELL("adresse",OFFSET(DMAV_Dienste!$M$6,F477-1,0)),LEN(CELL("adresse",OFFSET(DMAV_Dienste!$M$6,F477-1,0)))-FIND("]",CELL("adresse",OFFSET(DMAV_Dienste!$M$6,F477-1,0)))),"Structure")),HYPERLINK("#"&amp;RIGHT(CELL("adresse",OFFSET(DMAV_Modell!$N$6,C477-1,0)),LEN(CELL("adresse",OFFSET(DMAV_Modell!$N$6,C477-1,0)))-FIND("]",CELL("adresse",OFFSET(DMAV_Modell!$N$6,C477-1,0)))),"Structure"))</f>
        <v/>
      </c>
      <c r="P477" s="64" t="str" cm="1">
        <f t="array" aca="1" ref="P477" ca="1">IF(D477=0,IF(G477=0,"",HYPERLINK("#"&amp;RIGHT(CELL("adresse",OFFSET(DMAV_Dienste!$M$6,G477-1,0)),LEN(CELL("adresse",OFFSET(DMAV_Dienste!$M$6,G477-1,0)))-FIND("]",CELL("adresse",OFFSET(DMAV_Dienste!$M$6,G477-1,0)))),"Substructure")),HYPERLINK("#"&amp;RIGHT(CELL("adresse",OFFSET(DMAV_Modell!$N$6,D477-1,0)),LEN(CELL("adresse",OFFSET(DMAV_Modell!$N$6,D477-1,0)))-FIND("]",CELL("adresse",OFFSET(DMAV_Modell!$N$6,D477-1,0)))),"Substructure"))</f>
        <v/>
      </c>
      <c r="R477" s="80"/>
      <c r="T477" s="93"/>
      <c r="U477" s="94"/>
      <c r="V477" s="95"/>
      <c r="W477" s="96"/>
      <c r="Y477" s="85"/>
      <c r="Z477" s="86"/>
      <c r="AA477" s="87"/>
      <c r="AB477" s="88"/>
      <c r="AD477" s="77"/>
      <c r="AF477" s="54" t="str" cm="1">
        <f t="array" aca="1" ref="AF477" ca="1">IF(H477=0,"",HYPERLINK("#"&amp;RIGHT(CELL("adresse",OFFSET('DM01-AV-CH'!$G$6,H477-1,0)),LEN(CELL("adresse",OFFSET('DM01-AV-CH'!$G$6,H477-1,0)))-FIND("]",CELL("adresse",OFFSET('DM01-AV-CH'!$G$6,H477-1,0)))),"Modell"))</f>
        <v>Modell</v>
      </c>
      <c r="AG477" s="72" t="str" cm="1">
        <f t="array" ref="AG477">IF($H477=0,"",IF(INDEX('DM01-AV-CH'!G$6:G$834,$H477)="","",INDEX('DM01-AV-CH'!G$6:G$834,$H477)))</f>
        <v>Liegenschaften</v>
      </c>
      <c r="AH477" s="73" t="str" cm="1">
        <f t="array" ref="AH477">IF($H477=0,"",IF(INDEX('DM01-AV-CH'!H$6:H$834,$H477)="","",INDEX('DM01-AV-CH'!H$6:H$834,$H477)))</f>
        <v>GrenzpunktPos</v>
      </c>
      <c r="AI477" s="74" t="str" cm="1">
        <f t="array" ref="AI477">IF($H477=0,"",IF(INDEX('DM01-AV-CH'!I$6:I$834,$H477)="","",INDEX('DM01-AV-CH'!I$6:I$834,$H477)))</f>
        <v>Ori</v>
      </c>
    </row>
    <row r="478" spans="1:35" x14ac:dyDescent="0.25">
      <c r="A478" s="57">
        <v>473</v>
      </c>
      <c r="B478" s="57">
        <f>IF($A478="","",IF(_xlfn.XLOOKUP($A478,Korrelation!$D$4:$D$1197,Korrelation!E$4:E$1197,"-",0)="-",0,MATCH(_xlfn.XLOOKUP($A478,Korrelation!$D$4:$D$1197,Korrelation!E$4:E$1197,"",0),DMAV_Modell!$G$6:$G$677,0)))</f>
        <v>0</v>
      </c>
      <c r="C478" s="57">
        <f>IF($A478="","",IF(_xlfn.XLOOKUP($A478,Korrelation!$D$4:$D$1197,Korrelation!F$4:F$1197,"-",0)="-",0,MATCH(_xlfn.XLOOKUP($A478,Korrelation!$D$4:$D$1197,Korrelation!F$4:F$1197,"",0),DMAV_Modell!$G$6:$G$677,0)))</f>
        <v>0</v>
      </c>
      <c r="D478" s="57">
        <f>IF($A478="","",IF(_xlfn.XLOOKUP($A478,Korrelation!$D$4:$D$1197,Korrelation!G$4:G$1197,"-",0)="-",0,MATCH(_xlfn.XLOOKUP($A478,Korrelation!$D$4:$D$1197,Korrelation!G$4:G$1197,"",0),DMAV_Modell!$G$6:$G$677,0)))</f>
        <v>0</v>
      </c>
      <c r="E478" s="57">
        <f>IF($A478="","",IF(_xlfn.XLOOKUP($A478,Korrelation!$D$4:$D$1197,Korrelation!H$4:H$1197,"-",0)="-",0,MATCH(_xlfn.XLOOKUP($A478,Korrelation!$D$4:$D$1197,Korrelation!H$4:H$1197,"",0),DMAV_Dienste!$F$6:$F$140,0)))</f>
        <v>0</v>
      </c>
      <c r="F478" s="57">
        <f>IF($A478="","",IF(_xlfn.XLOOKUP($A478,Korrelation!$D$4:$D$1197,Korrelation!I$4:I$1197,"-",0)="-",0,MATCH(_xlfn.XLOOKUP($A478,Korrelation!$D$4:$D$1197,Korrelation!I$4:I$1197,"",0),DMAV_Dienste!$F$6:$F$140,0)))</f>
        <v>0</v>
      </c>
      <c r="G478" s="57">
        <f>IF($A478="","",IF(_xlfn.XLOOKUP($A478,Korrelation!$D$4:$D$1197,Korrelation!J$4:J$1197,"-",0)="-",0,MATCH(_xlfn.XLOOKUP($A478,Korrelation!$D$4:$D$1197,Korrelation!J$4:J$1197,"",0),DMAV_Dienste!$F$6:$F$140,0)))</f>
        <v>0</v>
      </c>
      <c r="H478" s="57">
        <f>IF($A478="","",IF(_xlfn.XLOOKUP($A478,Korrelation!$D$4:$D$1197,Korrelation!K$4:K$1197,"-",0)="-",0,MATCH(_xlfn.XLOOKUP($A478,Korrelation!$D$4:$D$1197,Korrelation!K$4:K$1197,"",0),'DM01-AV-CH'!$A$6:$A$834,0)))</f>
        <v>439</v>
      </c>
      <c r="J478" s="54" t="str" cm="1">
        <f t="array" aca="1" ref="J478" ca="1">IF(B478=0,IF(E478=0,"",HYPERLINK("#"&amp;RIGHT(CELL("adresse",OFFSET(DMAV_Dienste!$M$6,E478-1,0)),LEN(CELL("adresse",OFFSET(DMAV_Dienste!$M$6,E478-1,0)))-FIND("]",CELL("adresse",OFFSET(DMAV_Dienste!$M$6,E478-1,0)))),"Dienst")),HYPERLINK("#"&amp;RIGHT(CELL("adresse",OFFSET(DMAV_Modell!$N$6,B478-1,0)),LEN(CELL("adresse",OFFSET(DMAV_Modell!$N$6,B478-1,0)))-FIND("]",CELL("adresse",OFFSET(DMAV_Modell!$N$6,B478-1,0)))),"Modell"))</f>
        <v/>
      </c>
      <c r="K478" s="61" t="str" cm="1">
        <f t="array" ref="K478">IF($B478=0,IF($E478=0,"",IF(INDEX(DMAV_Dienste!P$6:P$140,$E478)="","",INDEX(DMAV_Dienste!P$6:P$140,$E478))),IF(INDEX(DMAV_Modell!Q$6:Q$838,$B478)="","",INDEX(DMAV_Modell!Q$6:Q$838,$B478)))</f>
        <v/>
      </c>
      <c r="L478" s="62" t="str" cm="1">
        <f t="array" ref="L478">IF($B478=0,IF($E478=0,"",IF(INDEX(DMAV_Dienste!O$6:O$140,$E478)="","",INDEX(DMAV_Dienste!O$6:O$140,$E478))),IF(INDEX(DMAV_Modell!P$6:P$838,$B478)="","",INDEX(DMAV_Modell!P$6:P$838,$B478)))</f>
        <v/>
      </c>
      <c r="M478" s="62" t="str" cm="1">
        <f t="array" ref="M478">IF($B478=0,IF($E478=0,"",IF(INDEX(DMAV_Dienste!Q$6:Q$140,$E478)="","",INDEX(DMAV_Dienste!Q$6:Q$140,$E478))),IF(INDEX(DMAV_Modell!R$6:R$838,$B478)="","",INDEX(DMAV_Modell!R$6:R$838,$B478)))</f>
        <v/>
      </c>
      <c r="N478" s="62" t="str" cm="1">
        <f t="array" ref="N478">IF($B478=0,IF($E478=0,"",IF(INDEX(DMAV_Dienste!T$6:T$140,$E478)="","",INDEX(DMAV_Dienste!T$6:T$140,$E478))),IF(INDEX(DMAV_Modell!U$6:U$838,$B478)="","",INDEX(DMAV_Modell!U$6:U$838,$B478)))</f>
        <v/>
      </c>
      <c r="O478" s="63" t="str" cm="1">
        <f t="array" aca="1" ref="O478" ca="1">IF(C478=0,IF(F478=0,"",HYPERLINK("#"&amp;RIGHT(CELL("adresse",OFFSET(DMAV_Dienste!$M$6,F478-1,0)),LEN(CELL("adresse",OFFSET(DMAV_Dienste!$M$6,F478-1,0)))-FIND("]",CELL("adresse",OFFSET(DMAV_Dienste!$M$6,F478-1,0)))),"Structure")),HYPERLINK("#"&amp;RIGHT(CELL("adresse",OFFSET(DMAV_Modell!$N$6,C478-1,0)),LEN(CELL("adresse",OFFSET(DMAV_Modell!$N$6,C478-1,0)))-FIND("]",CELL("adresse",OFFSET(DMAV_Modell!$N$6,C478-1,0)))),"Structure"))</f>
        <v/>
      </c>
      <c r="P478" s="64" t="str" cm="1">
        <f t="array" aca="1" ref="P478" ca="1">IF(D478=0,IF(G478=0,"",HYPERLINK("#"&amp;RIGHT(CELL("adresse",OFFSET(DMAV_Dienste!$M$6,G478-1,0)),LEN(CELL("adresse",OFFSET(DMAV_Dienste!$M$6,G478-1,0)))-FIND("]",CELL("adresse",OFFSET(DMAV_Dienste!$M$6,G478-1,0)))),"Substructure")),HYPERLINK("#"&amp;RIGHT(CELL("adresse",OFFSET(DMAV_Modell!$N$6,D478-1,0)),LEN(CELL("adresse",OFFSET(DMAV_Modell!$N$6,D478-1,0)))-FIND("]",CELL("adresse",OFFSET(DMAV_Modell!$N$6,D478-1,0)))),"Substructure"))</f>
        <v/>
      </c>
      <c r="R478" s="80"/>
      <c r="T478" s="93"/>
      <c r="U478" s="94"/>
      <c r="V478" s="95"/>
      <c r="W478" s="96"/>
      <c r="Y478" s="85"/>
      <c r="Z478" s="86"/>
      <c r="AA478" s="87"/>
      <c r="AB478" s="88"/>
      <c r="AD478" s="77"/>
      <c r="AF478" s="54" t="str" cm="1">
        <f t="array" aca="1" ref="AF478" ca="1">IF(H478=0,"",HYPERLINK("#"&amp;RIGHT(CELL("adresse",OFFSET('DM01-AV-CH'!$G$6,H478-1,0)),LEN(CELL("adresse",OFFSET('DM01-AV-CH'!$G$6,H478-1,0)))-FIND("]",CELL("adresse",OFFSET('DM01-AV-CH'!$G$6,H478-1,0)))),"Modell"))</f>
        <v>Modell</v>
      </c>
      <c r="AG478" s="72" t="str" cm="1">
        <f t="array" ref="AG478">IF($H478=0,"",IF(INDEX('DM01-AV-CH'!G$6:G$834,$H478)="","",INDEX('DM01-AV-CH'!G$6:G$834,$H478)))</f>
        <v>Liegenschaften</v>
      </c>
      <c r="AH478" s="73" t="str" cm="1">
        <f t="array" ref="AH478">IF($H478=0,"",IF(INDEX('DM01-AV-CH'!H$6:H$834,$H478)="","",INDEX('DM01-AV-CH'!H$6:H$834,$H478)))</f>
        <v>GrenzpunktPos</v>
      </c>
      <c r="AI478" s="74" t="str" cm="1">
        <f t="array" ref="AI478">IF($H478=0,"",IF(INDEX('DM01-AV-CH'!I$6:I$834,$H478)="","",INDEX('DM01-AV-CH'!I$6:I$834,$H478)))</f>
        <v>HAli</v>
      </c>
    </row>
    <row r="479" spans="1:35" x14ac:dyDescent="0.25">
      <c r="A479" s="57">
        <v>474</v>
      </c>
      <c r="B479" s="57">
        <f>IF($A479="","",IF(_xlfn.XLOOKUP($A479,Korrelation!$D$4:$D$1197,Korrelation!E$4:E$1197,"-",0)="-",0,MATCH(_xlfn.XLOOKUP($A479,Korrelation!$D$4:$D$1197,Korrelation!E$4:E$1197,"",0),DMAV_Modell!$G$6:$G$677,0)))</f>
        <v>0</v>
      </c>
      <c r="C479" s="57">
        <f>IF($A479="","",IF(_xlfn.XLOOKUP($A479,Korrelation!$D$4:$D$1197,Korrelation!F$4:F$1197,"-",0)="-",0,MATCH(_xlfn.XLOOKUP($A479,Korrelation!$D$4:$D$1197,Korrelation!F$4:F$1197,"",0),DMAV_Modell!$G$6:$G$677,0)))</f>
        <v>0</v>
      </c>
      <c r="D479" s="57">
        <f>IF($A479="","",IF(_xlfn.XLOOKUP($A479,Korrelation!$D$4:$D$1197,Korrelation!G$4:G$1197,"-",0)="-",0,MATCH(_xlfn.XLOOKUP($A479,Korrelation!$D$4:$D$1197,Korrelation!G$4:G$1197,"",0),DMAV_Modell!$G$6:$G$677,0)))</f>
        <v>0</v>
      </c>
      <c r="E479" s="57">
        <f>IF($A479="","",IF(_xlfn.XLOOKUP($A479,Korrelation!$D$4:$D$1197,Korrelation!H$4:H$1197,"-",0)="-",0,MATCH(_xlfn.XLOOKUP($A479,Korrelation!$D$4:$D$1197,Korrelation!H$4:H$1197,"",0),DMAV_Dienste!$F$6:$F$140,0)))</f>
        <v>0</v>
      </c>
      <c r="F479" s="57">
        <f>IF($A479="","",IF(_xlfn.XLOOKUP($A479,Korrelation!$D$4:$D$1197,Korrelation!I$4:I$1197,"-",0)="-",0,MATCH(_xlfn.XLOOKUP($A479,Korrelation!$D$4:$D$1197,Korrelation!I$4:I$1197,"",0),DMAV_Dienste!$F$6:$F$140,0)))</f>
        <v>0</v>
      </c>
      <c r="G479" s="57">
        <f>IF($A479="","",IF(_xlfn.XLOOKUP($A479,Korrelation!$D$4:$D$1197,Korrelation!J$4:J$1197,"-",0)="-",0,MATCH(_xlfn.XLOOKUP($A479,Korrelation!$D$4:$D$1197,Korrelation!J$4:J$1197,"",0),DMAV_Dienste!$F$6:$F$140,0)))</f>
        <v>0</v>
      </c>
      <c r="H479" s="57">
        <f>IF($A479="","",IF(_xlfn.XLOOKUP($A479,Korrelation!$D$4:$D$1197,Korrelation!K$4:K$1197,"-",0)="-",0,MATCH(_xlfn.XLOOKUP($A479,Korrelation!$D$4:$D$1197,Korrelation!K$4:K$1197,"",0),'DM01-AV-CH'!$A$6:$A$834,0)))</f>
        <v>440</v>
      </c>
      <c r="J479" s="54" t="str" cm="1">
        <f t="array" aca="1" ref="J479" ca="1">IF(B479=0,IF(E479=0,"",HYPERLINK("#"&amp;RIGHT(CELL("adresse",OFFSET(DMAV_Dienste!$M$6,E479-1,0)),LEN(CELL("adresse",OFFSET(DMAV_Dienste!$M$6,E479-1,0)))-FIND("]",CELL("adresse",OFFSET(DMAV_Dienste!$M$6,E479-1,0)))),"Dienst")),HYPERLINK("#"&amp;RIGHT(CELL("adresse",OFFSET(DMAV_Modell!$N$6,B479-1,0)),LEN(CELL("adresse",OFFSET(DMAV_Modell!$N$6,B479-1,0)))-FIND("]",CELL("adresse",OFFSET(DMAV_Modell!$N$6,B479-1,0)))),"Modell"))</f>
        <v/>
      </c>
      <c r="K479" s="61" t="str" cm="1">
        <f t="array" ref="K479">IF($B479=0,IF($E479=0,"",IF(INDEX(DMAV_Dienste!P$6:P$140,$E479)="","",INDEX(DMAV_Dienste!P$6:P$140,$E479))),IF(INDEX(DMAV_Modell!Q$6:Q$838,$B479)="","",INDEX(DMAV_Modell!Q$6:Q$838,$B479)))</f>
        <v/>
      </c>
      <c r="L479" s="62" t="str" cm="1">
        <f t="array" ref="L479">IF($B479=0,IF($E479=0,"",IF(INDEX(DMAV_Dienste!O$6:O$140,$E479)="","",INDEX(DMAV_Dienste!O$6:O$140,$E479))),IF(INDEX(DMAV_Modell!P$6:P$838,$B479)="","",INDEX(DMAV_Modell!P$6:P$838,$B479)))</f>
        <v/>
      </c>
      <c r="M479" s="62" t="str" cm="1">
        <f t="array" ref="M479">IF($B479=0,IF($E479=0,"",IF(INDEX(DMAV_Dienste!Q$6:Q$140,$E479)="","",INDEX(DMAV_Dienste!Q$6:Q$140,$E479))),IF(INDEX(DMAV_Modell!R$6:R$838,$B479)="","",INDEX(DMAV_Modell!R$6:R$838,$B479)))</f>
        <v/>
      </c>
      <c r="N479" s="62" t="str" cm="1">
        <f t="array" ref="N479">IF($B479=0,IF($E479=0,"",IF(INDEX(DMAV_Dienste!T$6:T$140,$E479)="","",INDEX(DMAV_Dienste!T$6:T$140,$E479))),IF(INDEX(DMAV_Modell!U$6:U$838,$B479)="","",INDEX(DMAV_Modell!U$6:U$838,$B479)))</f>
        <v/>
      </c>
      <c r="O479" s="63" t="str" cm="1">
        <f t="array" aca="1" ref="O479" ca="1">IF(C479=0,IF(F479=0,"",HYPERLINK("#"&amp;RIGHT(CELL("adresse",OFFSET(DMAV_Dienste!$M$6,F479-1,0)),LEN(CELL("adresse",OFFSET(DMAV_Dienste!$M$6,F479-1,0)))-FIND("]",CELL("adresse",OFFSET(DMAV_Dienste!$M$6,F479-1,0)))),"Structure")),HYPERLINK("#"&amp;RIGHT(CELL("adresse",OFFSET(DMAV_Modell!$N$6,C479-1,0)),LEN(CELL("adresse",OFFSET(DMAV_Modell!$N$6,C479-1,0)))-FIND("]",CELL("adresse",OFFSET(DMAV_Modell!$N$6,C479-1,0)))),"Structure"))</f>
        <v/>
      </c>
      <c r="P479" s="64" t="str" cm="1">
        <f t="array" aca="1" ref="P479" ca="1">IF(D479=0,IF(G479=0,"",HYPERLINK("#"&amp;RIGHT(CELL("adresse",OFFSET(DMAV_Dienste!$M$6,G479-1,0)),LEN(CELL("adresse",OFFSET(DMAV_Dienste!$M$6,G479-1,0)))-FIND("]",CELL("adresse",OFFSET(DMAV_Dienste!$M$6,G479-1,0)))),"Substructure")),HYPERLINK("#"&amp;RIGHT(CELL("adresse",OFFSET(DMAV_Modell!$N$6,D479-1,0)),LEN(CELL("adresse",OFFSET(DMAV_Modell!$N$6,D479-1,0)))-FIND("]",CELL("adresse",OFFSET(DMAV_Modell!$N$6,D479-1,0)))),"Substructure"))</f>
        <v/>
      </c>
      <c r="R479" s="80"/>
      <c r="T479" s="93"/>
      <c r="U479" s="94"/>
      <c r="V479" s="95"/>
      <c r="W479" s="96"/>
      <c r="Y479" s="85"/>
      <c r="Z479" s="86"/>
      <c r="AA479" s="87"/>
      <c r="AB479" s="88"/>
      <c r="AD479" s="77"/>
      <c r="AF479" s="54" t="str" cm="1">
        <f t="array" aca="1" ref="AF479" ca="1">IF(H479=0,"",HYPERLINK("#"&amp;RIGHT(CELL("adresse",OFFSET('DM01-AV-CH'!$G$6,H479-1,0)),LEN(CELL("adresse",OFFSET('DM01-AV-CH'!$G$6,H479-1,0)))-FIND("]",CELL("adresse",OFFSET('DM01-AV-CH'!$G$6,H479-1,0)))),"Modell"))</f>
        <v>Modell</v>
      </c>
      <c r="AG479" s="72" t="str" cm="1">
        <f t="array" ref="AG479">IF($H479=0,"",IF(INDEX('DM01-AV-CH'!G$6:G$834,$H479)="","",INDEX('DM01-AV-CH'!G$6:G$834,$H479)))</f>
        <v>Liegenschaften</v>
      </c>
      <c r="AH479" s="73" t="str" cm="1">
        <f t="array" ref="AH479">IF($H479=0,"",IF(INDEX('DM01-AV-CH'!H$6:H$834,$H479)="","",INDEX('DM01-AV-CH'!H$6:H$834,$H479)))</f>
        <v>GrenzpunktPos</v>
      </c>
      <c r="AI479" s="74" t="str" cm="1">
        <f t="array" ref="AI479">IF($H479=0,"",IF(INDEX('DM01-AV-CH'!I$6:I$834,$H479)="","",INDEX('DM01-AV-CH'!I$6:I$834,$H479)))</f>
        <v>VAli</v>
      </c>
    </row>
    <row r="480" spans="1:35" x14ac:dyDescent="0.25">
      <c r="A480" s="57">
        <v>475</v>
      </c>
      <c r="B480" s="57">
        <f>IF($A480="","",IF(_xlfn.XLOOKUP($A480,Korrelation!$D$4:$D$1197,Korrelation!E$4:E$1197,"-",0)="-",0,MATCH(_xlfn.XLOOKUP($A480,Korrelation!$D$4:$D$1197,Korrelation!E$4:E$1197,"",0),DMAV_Modell!$G$6:$G$677,0)))</f>
        <v>0</v>
      </c>
      <c r="C480" s="57">
        <f>IF($A480="","",IF(_xlfn.XLOOKUP($A480,Korrelation!$D$4:$D$1197,Korrelation!F$4:F$1197,"-",0)="-",0,MATCH(_xlfn.XLOOKUP($A480,Korrelation!$D$4:$D$1197,Korrelation!F$4:F$1197,"",0),DMAV_Modell!$G$6:$G$677,0)))</f>
        <v>0</v>
      </c>
      <c r="D480" s="57">
        <f>IF($A480="","",IF(_xlfn.XLOOKUP($A480,Korrelation!$D$4:$D$1197,Korrelation!G$4:G$1197,"-",0)="-",0,MATCH(_xlfn.XLOOKUP($A480,Korrelation!$D$4:$D$1197,Korrelation!G$4:G$1197,"",0),DMAV_Modell!$G$6:$G$677,0)))</f>
        <v>0</v>
      </c>
      <c r="E480" s="57">
        <f>IF($A480="","",IF(_xlfn.XLOOKUP($A480,Korrelation!$D$4:$D$1197,Korrelation!H$4:H$1197,"-",0)="-",0,MATCH(_xlfn.XLOOKUP($A480,Korrelation!$D$4:$D$1197,Korrelation!H$4:H$1197,"",0),DMAV_Dienste!$F$6:$F$140,0)))</f>
        <v>0</v>
      </c>
      <c r="F480" s="57">
        <f>IF($A480="","",IF(_xlfn.XLOOKUP($A480,Korrelation!$D$4:$D$1197,Korrelation!I$4:I$1197,"-",0)="-",0,MATCH(_xlfn.XLOOKUP($A480,Korrelation!$D$4:$D$1197,Korrelation!I$4:I$1197,"",0),DMAV_Dienste!$F$6:$F$140,0)))</f>
        <v>0</v>
      </c>
      <c r="G480" s="57">
        <f>IF($A480="","",IF(_xlfn.XLOOKUP($A480,Korrelation!$D$4:$D$1197,Korrelation!J$4:J$1197,"-",0)="-",0,MATCH(_xlfn.XLOOKUP($A480,Korrelation!$D$4:$D$1197,Korrelation!J$4:J$1197,"",0),DMAV_Dienste!$F$6:$F$140,0)))</f>
        <v>0</v>
      </c>
      <c r="H480" s="57">
        <f>IF($A480="","",IF(_xlfn.XLOOKUP($A480,Korrelation!$D$4:$D$1197,Korrelation!K$4:K$1197,"-",0)="-",0,MATCH(_xlfn.XLOOKUP($A480,Korrelation!$D$4:$D$1197,Korrelation!K$4:K$1197,"",0),'DM01-AV-CH'!$A$6:$A$834,0)))</f>
        <v>441</v>
      </c>
      <c r="J480" s="54" t="str" cm="1">
        <f t="array" aca="1" ref="J480" ca="1">IF(B480=0,IF(E480=0,"",HYPERLINK("#"&amp;RIGHT(CELL("adresse",OFFSET(DMAV_Dienste!$M$6,E480-1,0)),LEN(CELL("adresse",OFFSET(DMAV_Dienste!$M$6,E480-1,0)))-FIND("]",CELL("adresse",OFFSET(DMAV_Dienste!$M$6,E480-1,0)))),"Dienst")),HYPERLINK("#"&amp;RIGHT(CELL("adresse",OFFSET(DMAV_Modell!$N$6,B480-1,0)),LEN(CELL("adresse",OFFSET(DMAV_Modell!$N$6,B480-1,0)))-FIND("]",CELL("adresse",OFFSET(DMAV_Modell!$N$6,B480-1,0)))),"Modell"))</f>
        <v/>
      </c>
      <c r="K480" s="61" t="str" cm="1">
        <f t="array" ref="K480">IF($B480=0,IF($E480=0,"",IF(INDEX(DMAV_Dienste!P$6:P$140,$E480)="","",INDEX(DMAV_Dienste!P$6:P$140,$E480))),IF(INDEX(DMAV_Modell!Q$6:Q$838,$B480)="","",INDEX(DMAV_Modell!Q$6:Q$838,$B480)))</f>
        <v/>
      </c>
      <c r="L480" s="62" t="str" cm="1">
        <f t="array" ref="L480">IF($B480=0,IF($E480=0,"",IF(INDEX(DMAV_Dienste!O$6:O$140,$E480)="","",INDEX(DMAV_Dienste!O$6:O$140,$E480))),IF(INDEX(DMAV_Modell!P$6:P$838,$B480)="","",INDEX(DMAV_Modell!P$6:P$838,$B480)))</f>
        <v/>
      </c>
      <c r="M480" s="62" t="str" cm="1">
        <f t="array" ref="M480">IF($B480=0,IF($E480=0,"",IF(INDEX(DMAV_Dienste!Q$6:Q$140,$E480)="","",INDEX(DMAV_Dienste!Q$6:Q$140,$E480))),IF(INDEX(DMAV_Modell!R$6:R$838,$B480)="","",INDEX(DMAV_Modell!R$6:R$838,$B480)))</f>
        <v/>
      </c>
      <c r="N480" s="62" t="str" cm="1">
        <f t="array" ref="N480">IF($B480=0,IF($E480=0,"",IF(INDEX(DMAV_Dienste!T$6:T$140,$E480)="","",INDEX(DMAV_Dienste!T$6:T$140,$E480))),IF(INDEX(DMAV_Modell!U$6:U$838,$B480)="","",INDEX(DMAV_Modell!U$6:U$838,$B480)))</f>
        <v/>
      </c>
      <c r="O480" s="63" t="str" cm="1">
        <f t="array" aca="1" ref="O480" ca="1">IF(C480=0,IF(F480=0,"",HYPERLINK("#"&amp;RIGHT(CELL("adresse",OFFSET(DMAV_Dienste!$M$6,F480-1,0)),LEN(CELL("adresse",OFFSET(DMAV_Dienste!$M$6,F480-1,0)))-FIND("]",CELL("adresse",OFFSET(DMAV_Dienste!$M$6,F480-1,0)))),"Structure")),HYPERLINK("#"&amp;RIGHT(CELL("adresse",OFFSET(DMAV_Modell!$N$6,C480-1,0)),LEN(CELL("adresse",OFFSET(DMAV_Modell!$N$6,C480-1,0)))-FIND("]",CELL("adresse",OFFSET(DMAV_Modell!$N$6,C480-1,0)))),"Structure"))</f>
        <v/>
      </c>
      <c r="P480" s="64" t="str" cm="1">
        <f t="array" aca="1" ref="P480" ca="1">IF(D480=0,IF(G480=0,"",HYPERLINK("#"&amp;RIGHT(CELL("adresse",OFFSET(DMAV_Dienste!$M$6,G480-1,0)),LEN(CELL("adresse",OFFSET(DMAV_Dienste!$M$6,G480-1,0)))-FIND("]",CELL("adresse",OFFSET(DMAV_Dienste!$M$6,G480-1,0)))),"Substructure")),HYPERLINK("#"&amp;RIGHT(CELL("adresse",OFFSET(DMAV_Modell!$N$6,D480-1,0)),LEN(CELL("adresse",OFFSET(DMAV_Modell!$N$6,D480-1,0)))-FIND("]",CELL("adresse",OFFSET(DMAV_Modell!$N$6,D480-1,0)))),"Substructure"))</f>
        <v/>
      </c>
      <c r="R480" s="80"/>
      <c r="T480" s="93"/>
      <c r="U480" s="94"/>
      <c r="V480" s="95"/>
      <c r="W480" s="96"/>
      <c r="Y480" s="85"/>
      <c r="Z480" s="86"/>
      <c r="AA480" s="87"/>
      <c r="AB480" s="88"/>
      <c r="AD480" s="77"/>
      <c r="AF480" s="54" t="str" cm="1">
        <f t="array" aca="1" ref="AF480" ca="1">IF(H480=0,"",HYPERLINK("#"&amp;RIGHT(CELL("adresse",OFFSET('DM01-AV-CH'!$G$6,H480-1,0)),LEN(CELL("adresse",OFFSET('DM01-AV-CH'!$G$6,H480-1,0)))-FIND("]",CELL("adresse",OFFSET('DM01-AV-CH'!$G$6,H480-1,0)))),"Modell"))</f>
        <v>Modell</v>
      </c>
      <c r="AG480" s="72" t="str" cm="1">
        <f t="array" ref="AG480">IF($H480=0,"",IF(INDEX('DM01-AV-CH'!G$6:G$834,$H480)="","",INDEX('DM01-AV-CH'!G$6:G$834,$H480)))</f>
        <v>Liegenschaften</v>
      </c>
      <c r="AH480" s="73" t="str" cm="1">
        <f t="array" ref="AH480">IF($H480=0,"",IF(INDEX('DM01-AV-CH'!H$6:H$834,$H480)="","",INDEX('DM01-AV-CH'!H$6:H$834,$H480)))</f>
        <v>GrenzpunktSymbol</v>
      </c>
      <c r="AI480" s="74" t="str" cm="1">
        <f t="array" ref="AI480">IF($H480=0,"",IF(INDEX('DM01-AV-CH'!I$6:I$834,$H480)="","",INDEX('DM01-AV-CH'!I$6:I$834,$H480)))</f>
        <v>GrenzpunktSymbol_von</v>
      </c>
    </row>
    <row r="481" spans="1:35" x14ac:dyDescent="0.25">
      <c r="A481" s="57">
        <v>476</v>
      </c>
      <c r="B481" s="57">
        <f>IF($A481="","",IF(_xlfn.XLOOKUP($A481,Korrelation!$D$4:$D$1197,Korrelation!E$4:E$1197,"-",0)="-",0,MATCH(_xlfn.XLOOKUP($A481,Korrelation!$D$4:$D$1197,Korrelation!E$4:E$1197,"",0),DMAV_Modell!$G$6:$G$677,0)))</f>
        <v>227</v>
      </c>
      <c r="C481" s="57">
        <f>IF($A481="","",IF(_xlfn.XLOOKUP($A481,Korrelation!$D$4:$D$1197,Korrelation!F$4:F$1197,"-",0)="-",0,MATCH(_xlfn.XLOOKUP($A481,Korrelation!$D$4:$D$1197,Korrelation!F$4:F$1197,"",0),DMAV_Modell!$G$6:$G$677,0)))</f>
        <v>0</v>
      </c>
      <c r="D481" s="57">
        <f>IF($A481="","",IF(_xlfn.XLOOKUP($A481,Korrelation!$D$4:$D$1197,Korrelation!G$4:G$1197,"-",0)="-",0,MATCH(_xlfn.XLOOKUP($A481,Korrelation!$D$4:$D$1197,Korrelation!G$4:G$1197,"",0),DMAV_Modell!$G$6:$G$677,0)))</f>
        <v>0</v>
      </c>
      <c r="E481" s="57">
        <f>IF($A481="","",IF(_xlfn.XLOOKUP($A481,Korrelation!$D$4:$D$1197,Korrelation!H$4:H$1197,"-",0)="-",0,MATCH(_xlfn.XLOOKUP($A481,Korrelation!$D$4:$D$1197,Korrelation!H$4:H$1197,"",0),DMAV_Dienste!$F$6:$F$140,0)))</f>
        <v>0</v>
      </c>
      <c r="F481" s="57">
        <f>IF($A481="","",IF(_xlfn.XLOOKUP($A481,Korrelation!$D$4:$D$1197,Korrelation!I$4:I$1197,"-",0)="-",0,MATCH(_xlfn.XLOOKUP($A481,Korrelation!$D$4:$D$1197,Korrelation!I$4:I$1197,"",0),DMAV_Dienste!$F$6:$F$140,0)))</f>
        <v>0</v>
      </c>
      <c r="G481" s="57">
        <f>IF($A481="","",IF(_xlfn.XLOOKUP($A481,Korrelation!$D$4:$D$1197,Korrelation!J$4:J$1197,"-",0)="-",0,MATCH(_xlfn.XLOOKUP($A481,Korrelation!$D$4:$D$1197,Korrelation!J$4:J$1197,"",0),DMAV_Dienste!$F$6:$F$140,0)))</f>
        <v>0</v>
      </c>
      <c r="H481" s="57">
        <f>IF($A481="","",IF(_xlfn.XLOOKUP($A481,Korrelation!$D$4:$D$1197,Korrelation!K$4:K$1197,"-",0)="-",0,MATCH(_xlfn.XLOOKUP($A481,Korrelation!$D$4:$D$1197,Korrelation!K$4:K$1197,"",0),'DM01-AV-CH'!$A$6:$A$834,0)))</f>
        <v>442</v>
      </c>
      <c r="J481" s="54" t="str" cm="1">
        <f t="array" aca="1" ref="J481" ca="1">IF(B481=0,IF(E481=0,"",HYPERLINK("#"&amp;RIGHT(CELL("adresse",OFFSET(DMAV_Dienste!$M$6,E481-1,0)),LEN(CELL("adresse",OFFSET(DMAV_Dienste!$M$6,E481-1,0)))-FIND("]",CELL("adresse",OFFSET(DMAV_Dienste!$M$6,E481-1,0)))),"Dienst")),HYPERLINK("#"&amp;RIGHT(CELL("adresse",OFFSET(DMAV_Modell!$N$6,B481-1,0)),LEN(CELL("adresse",OFFSET(DMAV_Modell!$N$6,B481-1,0)))-FIND("]",CELL("adresse",OFFSET(DMAV_Modell!$N$6,B481-1,0)))),"Modell"))</f>
        <v>Modell</v>
      </c>
      <c r="K481" s="61" t="str" cm="1">
        <f t="array" ref="K481">IF($B481=0,IF($E481=0,"",IF(INDEX(DMAV_Dienste!P$6:P$140,$E481)="","",INDEX(DMAV_Dienste!P$6:P$140,$E481))),IF(INDEX(DMAV_Modell!Q$6:Q$838,$B481)="","",INDEX(DMAV_Modell!Q$6:Q$838,$B481)))</f>
        <v>CLASS</v>
      </c>
      <c r="L481" s="62" t="str" cm="1">
        <f t="array" ref="L481">IF($B481=0,IF($E481=0,"",IF(INDEX(DMAV_Dienste!O$6:O$140,$E481)="","",INDEX(DMAV_Dienste!O$6:O$140,$E481))),IF(INDEX(DMAV_Modell!P$6:P$838,$B481)="","",INDEX(DMAV_Modell!P$6:P$838,$B481)))</f>
        <v>Grundstuecke</v>
      </c>
      <c r="M481" s="62" t="str" cm="1">
        <f t="array" ref="M481">IF($B481=0,IF($E481=0,"",IF(INDEX(DMAV_Dienste!Q$6:Q$140,$E481)="","",INDEX(DMAV_Dienste!Q$6:Q$140,$E481))),IF(INDEX(DMAV_Modell!R$6:R$838,$B481)="","",INDEX(DMAV_Modell!R$6:R$838,$B481)))</f>
        <v>Grenzpunkt</v>
      </c>
      <c r="N481" s="62" t="str" cm="1">
        <f t="array" ref="N481">IF($B481=0,IF($E481=0,"",IF(INDEX(DMAV_Dienste!T$6:T$140,$E481)="","",INDEX(DMAV_Dienste!T$6:T$140,$E481))),IF(INDEX(DMAV_Modell!U$6:U$838,$B481)="","",INDEX(DMAV_Modell!U$6:U$838,$B481)))</f>
        <v>SymbolOri</v>
      </c>
      <c r="O481" s="63" t="str" cm="1">
        <f t="array" aca="1" ref="O481" ca="1">IF(C481=0,IF(F481=0,"",HYPERLINK("#"&amp;RIGHT(CELL("adresse",OFFSET(DMAV_Dienste!$M$6,F481-1,0)),LEN(CELL("adresse",OFFSET(DMAV_Dienste!$M$6,F481-1,0)))-FIND("]",CELL("adresse",OFFSET(DMAV_Dienste!$M$6,F481-1,0)))),"Structure")),HYPERLINK("#"&amp;RIGHT(CELL("adresse",OFFSET(DMAV_Modell!$N$6,C481-1,0)),LEN(CELL("adresse",OFFSET(DMAV_Modell!$N$6,C481-1,0)))-FIND("]",CELL("adresse",OFFSET(DMAV_Modell!$N$6,C481-1,0)))),"Structure"))</f>
        <v/>
      </c>
      <c r="P481" s="64" t="str" cm="1">
        <f t="array" aca="1" ref="P481" ca="1">IF(D481=0,IF(G481=0,"",HYPERLINK("#"&amp;RIGHT(CELL("adresse",OFFSET(DMAV_Dienste!$M$6,G481-1,0)),LEN(CELL("adresse",OFFSET(DMAV_Dienste!$M$6,G481-1,0)))-FIND("]",CELL("adresse",OFFSET(DMAV_Dienste!$M$6,G481-1,0)))),"Substructure")),HYPERLINK("#"&amp;RIGHT(CELL("adresse",OFFSET(DMAV_Modell!$N$6,D481-1,0)),LEN(CELL("adresse",OFFSET(DMAV_Modell!$N$6,D481-1,0)))-FIND("]",CELL("adresse",OFFSET(DMAV_Modell!$N$6,D481-1,0)))),"Substructure"))</f>
        <v/>
      </c>
      <c r="R481" s="80"/>
      <c r="T481" s="93"/>
      <c r="U481" s="94"/>
      <c r="V481" s="95"/>
      <c r="W481" s="96"/>
      <c r="Y481" s="85"/>
      <c r="Z481" s="86"/>
      <c r="AA481" s="87"/>
      <c r="AB481" s="88"/>
      <c r="AD481" s="77"/>
      <c r="AF481" s="54" t="str" cm="1">
        <f t="array" aca="1" ref="AF481" ca="1">IF(H481=0,"",HYPERLINK("#"&amp;RIGHT(CELL("adresse",OFFSET('DM01-AV-CH'!$G$6,H481-1,0)),LEN(CELL("adresse",OFFSET('DM01-AV-CH'!$G$6,H481-1,0)))-FIND("]",CELL("adresse",OFFSET('DM01-AV-CH'!$G$6,H481-1,0)))),"Modell"))</f>
        <v>Modell</v>
      </c>
      <c r="AG481" s="72" t="str" cm="1">
        <f t="array" ref="AG481">IF($H481=0,"",IF(INDEX('DM01-AV-CH'!G$6:G$834,$H481)="","",INDEX('DM01-AV-CH'!G$6:G$834,$H481)))</f>
        <v>Liegenschaften</v>
      </c>
      <c r="AH481" s="73" t="str" cm="1">
        <f t="array" ref="AH481">IF($H481=0,"",IF(INDEX('DM01-AV-CH'!H$6:H$834,$H481)="","",INDEX('DM01-AV-CH'!H$6:H$834,$H481)))</f>
        <v>GrenzpunktSymbol</v>
      </c>
      <c r="AI481" s="74" t="str" cm="1">
        <f t="array" ref="AI481">IF($H481=0,"",IF(INDEX('DM01-AV-CH'!I$6:I$834,$H481)="","",INDEX('DM01-AV-CH'!I$6:I$834,$H481)))</f>
        <v>Ori</v>
      </c>
    </row>
    <row r="482" spans="1:35" x14ac:dyDescent="0.25">
      <c r="A482" s="57">
        <v>477</v>
      </c>
      <c r="B482" s="57">
        <f>IF($A482="","",IF(_xlfn.XLOOKUP($A482,Korrelation!$D$4:$D$1197,Korrelation!E$4:E$1197,"-",0)="-",0,MATCH(_xlfn.XLOOKUP($A482,Korrelation!$D$4:$D$1197,Korrelation!E$4:E$1197,"",0),DMAV_Modell!$G$6:$G$677,0)))</f>
        <v>228</v>
      </c>
      <c r="C482" s="57">
        <f>IF($A482="","",IF(_xlfn.XLOOKUP($A482,Korrelation!$D$4:$D$1197,Korrelation!F$4:F$1197,"-",0)="-",0,MATCH(_xlfn.XLOOKUP($A482,Korrelation!$D$4:$D$1197,Korrelation!F$4:F$1197,"",0),DMAV_Modell!$G$6:$G$677,0)))</f>
        <v>0</v>
      </c>
      <c r="D482" s="57">
        <f>IF($A482="","",IF(_xlfn.XLOOKUP($A482,Korrelation!$D$4:$D$1197,Korrelation!G$4:G$1197,"-",0)="-",0,MATCH(_xlfn.XLOOKUP($A482,Korrelation!$D$4:$D$1197,Korrelation!G$4:G$1197,"",0),DMAV_Modell!$G$6:$G$677,0)))</f>
        <v>0</v>
      </c>
      <c r="E482" s="57">
        <f>IF($A482="","",IF(_xlfn.XLOOKUP($A482,Korrelation!$D$4:$D$1197,Korrelation!H$4:H$1197,"-",0)="-",0,MATCH(_xlfn.XLOOKUP($A482,Korrelation!$D$4:$D$1197,Korrelation!H$4:H$1197,"",0),DMAV_Dienste!$F$6:$F$140,0)))</f>
        <v>0</v>
      </c>
      <c r="F482" s="57">
        <f>IF($A482="","",IF(_xlfn.XLOOKUP($A482,Korrelation!$D$4:$D$1197,Korrelation!I$4:I$1197,"-",0)="-",0,MATCH(_xlfn.XLOOKUP($A482,Korrelation!$D$4:$D$1197,Korrelation!I$4:I$1197,"",0),DMAV_Dienste!$F$6:$F$140,0)))</f>
        <v>0</v>
      </c>
      <c r="G482" s="57">
        <f>IF($A482="","",IF(_xlfn.XLOOKUP($A482,Korrelation!$D$4:$D$1197,Korrelation!J$4:J$1197,"-",0)="-",0,MATCH(_xlfn.XLOOKUP($A482,Korrelation!$D$4:$D$1197,Korrelation!J$4:J$1197,"",0),DMAV_Dienste!$F$6:$F$140,0)))</f>
        <v>0</v>
      </c>
      <c r="H482" s="57">
        <f>IF($A482="","",IF(_xlfn.XLOOKUP($A482,Korrelation!$D$4:$D$1197,Korrelation!K$4:K$1197,"-",0)="-",0,MATCH(_xlfn.XLOOKUP($A482,Korrelation!$D$4:$D$1197,Korrelation!K$4:K$1197,"",0),'DM01-AV-CH'!$A$6:$A$834,0)))</f>
        <v>0</v>
      </c>
      <c r="J482" s="54" t="str" cm="1">
        <f t="array" aca="1" ref="J482" ca="1">IF(B482=0,IF(E482=0,"",HYPERLINK("#"&amp;RIGHT(CELL("adresse",OFFSET(DMAV_Dienste!$M$6,E482-1,0)),LEN(CELL("adresse",OFFSET(DMAV_Dienste!$M$6,E482-1,0)))-FIND("]",CELL("adresse",OFFSET(DMAV_Dienste!$M$6,E482-1,0)))),"Dienst")),HYPERLINK("#"&amp;RIGHT(CELL("adresse",OFFSET(DMAV_Modell!$N$6,B482-1,0)),LEN(CELL("adresse",OFFSET(DMAV_Modell!$N$6,B482-1,0)))-FIND("]",CELL("adresse",OFFSET(DMAV_Modell!$N$6,B482-1,0)))),"Modell"))</f>
        <v>Modell</v>
      </c>
      <c r="K482" s="61" t="str" cm="1">
        <f t="array" ref="K482">IF($B482=0,IF($E482=0,"",IF(INDEX(DMAV_Dienste!P$6:P$140,$E482)="","",INDEX(DMAV_Dienste!P$6:P$140,$E482))),IF(INDEX(DMAV_Modell!Q$6:Q$838,$B482)="","",INDEX(DMAV_Modell!Q$6:Q$838,$B482)))</f>
        <v>CLASS.CONSTRAINT</v>
      </c>
      <c r="L482" s="62" t="str" cm="1">
        <f t="array" ref="L482">IF($B482=0,IF($E482=0,"",IF(INDEX(DMAV_Dienste!O$6:O$140,$E482)="","",INDEX(DMAV_Dienste!O$6:O$140,$E482))),IF(INDEX(DMAV_Modell!P$6:P$838,$B482)="","",INDEX(DMAV_Modell!P$6:P$838,$B482)))</f>
        <v>Grundstuecke</v>
      </c>
      <c r="M482" s="62" t="str" cm="1">
        <f t="array" ref="M482">IF($B482=0,IF($E482=0,"",IF(INDEX(DMAV_Dienste!Q$6:Q$140,$E482)="","",INDEX(DMAV_Dienste!Q$6:Q$140,$E482))),IF(INDEX(DMAV_Modell!R$6:R$838,$B482)="","",INDEX(DMAV_Modell!R$6:R$838,$B482)))</f>
        <v>Grenzpunkt</v>
      </c>
      <c r="N482" s="62" t="str" cm="1">
        <f t="array" ref="N482">IF($B482=0,IF($E482=0,"",IF(INDEX(DMAV_Dienste!T$6:T$140,$E482)="","",INDEX(DMAV_Dienste!T$6:T$140,$E482))),IF(INDEX(DMAV_Modell!U$6:U$838,$B482)="","",INDEX(DMAV_Modell!U$6:U$838,$B482)))</f>
        <v>DEFINED(@PH1@)==DEFINED(@PH2@)</v>
      </c>
      <c r="O482" s="63" t="str" cm="1">
        <f t="array" aca="1" ref="O482" ca="1">IF(C482=0,IF(F482=0,"",HYPERLINK("#"&amp;RIGHT(CELL("adresse",OFFSET(DMAV_Dienste!$M$6,F482-1,0)),LEN(CELL("adresse",OFFSET(DMAV_Dienste!$M$6,F482-1,0)))-FIND("]",CELL("adresse",OFFSET(DMAV_Dienste!$M$6,F482-1,0)))),"Structure")),HYPERLINK("#"&amp;RIGHT(CELL("adresse",OFFSET(DMAV_Modell!$N$6,C482-1,0)),LEN(CELL("adresse",OFFSET(DMAV_Modell!$N$6,C482-1,0)))-FIND("]",CELL("adresse",OFFSET(DMAV_Modell!$N$6,C482-1,0)))),"Structure"))</f>
        <v/>
      </c>
      <c r="P482" s="64" t="str" cm="1">
        <f t="array" aca="1" ref="P482" ca="1">IF(D482=0,IF(G482=0,"",HYPERLINK("#"&amp;RIGHT(CELL("adresse",OFFSET(DMAV_Dienste!$M$6,G482-1,0)),LEN(CELL("adresse",OFFSET(DMAV_Dienste!$M$6,G482-1,0)))-FIND("]",CELL("adresse",OFFSET(DMAV_Dienste!$M$6,G482-1,0)))),"Substructure")),HYPERLINK("#"&amp;RIGHT(CELL("adresse",OFFSET(DMAV_Modell!$N$6,D482-1,0)),LEN(CELL("adresse",OFFSET(DMAV_Modell!$N$6,D482-1,0)))-FIND("]",CELL("adresse",OFFSET(DMAV_Modell!$N$6,D482-1,0)))),"Substructure"))</f>
        <v/>
      </c>
      <c r="R482" s="80"/>
      <c r="T482" s="93"/>
      <c r="U482" s="94"/>
      <c r="V482" s="95"/>
      <c r="W482" s="96"/>
      <c r="Y482" s="85"/>
      <c r="Z482" s="86"/>
      <c r="AA482" s="87"/>
      <c r="AB482" s="88"/>
      <c r="AD482" s="77"/>
      <c r="AF482" s="54" t="str" cm="1">
        <f t="array" aca="1" ref="AF482" ca="1">IF(H482=0,"",HYPERLINK("#"&amp;RIGHT(CELL("adresse",OFFSET('DM01-AV-CH'!$G$6,H482-1,0)),LEN(CELL("adresse",OFFSET('DM01-AV-CH'!$G$6,H482-1,0)))-FIND("]",CELL("adresse",OFFSET('DM01-AV-CH'!$G$6,H482-1,0)))),"Modell"))</f>
        <v/>
      </c>
      <c r="AG482" s="72" t="str" cm="1">
        <f t="array" ref="AG482">IF($H482=0,"",IF(INDEX('DM01-AV-CH'!G$6:G$834,$H482)="","",INDEX('DM01-AV-CH'!G$6:G$834,$H482)))</f>
        <v/>
      </c>
      <c r="AH482" s="73" t="str" cm="1">
        <f t="array" ref="AH482">IF($H482=0,"",IF(INDEX('DM01-AV-CH'!H$6:H$834,$H482)="","",INDEX('DM01-AV-CH'!H$6:H$834,$H482)))</f>
        <v/>
      </c>
      <c r="AI482" s="74" t="str" cm="1">
        <f t="array" ref="AI482">IF($H482=0,"",IF(INDEX('DM01-AV-CH'!I$6:I$834,$H482)="","",INDEX('DM01-AV-CH'!I$6:I$834,$H482)))</f>
        <v/>
      </c>
    </row>
    <row r="483" spans="1:35" x14ac:dyDescent="0.25">
      <c r="A483" s="57">
        <v>478</v>
      </c>
      <c r="B483" s="57">
        <f>IF($A483="","",IF(_xlfn.XLOOKUP($A483,Korrelation!$D$4:$D$1197,Korrelation!E$4:E$1197,"-",0)="-",0,MATCH(_xlfn.XLOOKUP($A483,Korrelation!$D$4:$D$1197,Korrelation!E$4:E$1197,"",0),DMAV_Modell!$G$6:$G$677,0)))</f>
        <v>229</v>
      </c>
      <c r="C483" s="57">
        <f>IF($A483="","",IF(_xlfn.XLOOKUP($A483,Korrelation!$D$4:$D$1197,Korrelation!F$4:F$1197,"-",0)="-",0,MATCH(_xlfn.XLOOKUP($A483,Korrelation!$D$4:$D$1197,Korrelation!F$4:F$1197,"",0),DMAV_Modell!$G$6:$G$677,0)))</f>
        <v>0</v>
      </c>
      <c r="D483" s="57">
        <f>IF($A483="","",IF(_xlfn.XLOOKUP($A483,Korrelation!$D$4:$D$1197,Korrelation!G$4:G$1197,"-",0)="-",0,MATCH(_xlfn.XLOOKUP($A483,Korrelation!$D$4:$D$1197,Korrelation!G$4:G$1197,"",0),DMAV_Modell!$G$6:$G$677,0)))</f>
        <v>0</v>
      </c>
      <c r="E483" s="57">
        <f>IF($A483="","",IF(_xlfn.XLOOKUP($A483,Korrelation!$D$4:$D$1197,Korrelation!H$4:H$1197,"-",0)="-",0,MATCH(_xlfn.XLOOKUP($A483,Korrelation!$D$4:$D$1197,Korrelation!H$4:H$1197,"",0),DMAV_Dienste!$F$6:$F$140,0)))</f>
        <v>0</v>
      </c>
      <c r="F483" s="57">
        <f>IF($A483="","",IF(_xlfn.XLOOKUP($A483,Korrelation!$D$4:$D$1197,Korrelation!I$4:I$1197,"-",0)="-",0,MATCH(_xlfn.XLOOKUP($A483,Korrelation!$D$4:$D$1197,Korrelation!I$4:I$1197,"",0),DMAV_Dienste!$F$6:$F$140,0)))</f>
        <v>0</v>
      </c>
      <c r="G483" s="57">
        <f>IF($A483="","",IF(_xlfn.XLOOKUP($A483,Korrelation!$D$4:$D$1197,Korrelation!J$4:J$1197,"-",0)="-",0,MATCH(_xlfn.XLOOKUP($A483,Korrelation!$D$4:$D$1197,Korrelation!J$4:J$1197,"",0),DMAV_Dienste!$F$6:$F$140,0)))</f>
        <v>0</v>
      </c>
      <c r="H483" s="57">
        <f>IF($A483="","",IF(_xlfn.XLOOKUP($A483,Korrelation!$D$4:$D$1197,Korrelation!K$4:K$1197,"-",0)="-",0,MATCH(_xlfn.XLOOKUP($A483,Korrelation!$D$4:$D$1197,Korrelation!K$4:K$1197,"",0),'DM01-AV-CH'!$A$6:$A$834,0)))</f>
        <v>0</v>
      </c>
      <c r="J483" s="54" t="str" cm="1">
        <f t="array" aca="1" ref="J483" ca="1">IF(B483=0,IF(E483=0,"",HYPERLINK("#"&amp;RIGHT(CELL("adresse",OFFSET(DMAV_Dienste!$M$6,E483-1,0)),LEN(CELL("adresse",OFFSET(DMAV_Dienste!$M$6,E483-1,0)))-FIND("]",CELL("adresse",OFFSET(DMAV_Dienste!$M$6,E483-1,0)))),"Dienst")),HYPERLINK("#"&amp;RIGHT(CELL("adresse",OFFSET(DMAV_Modell!$N$6,B483-1,0)),LEN(CELL("adresse",OFFSET(DMAV_Modell!$N$6,B483-1,0)))-FIND("]",CELL("adresse",OFFSET(DMAV_Modell!$N$6,B483-1,0)))),"Modell"))</f>
        <v>Modell</v>
      </c>
      <c r="K483" s="61" t="str" cm="1">
        <f t="array" ref="K483">IF($B483=0,IF($E483=0,"",IF(INDEX(DMAV_Dienste!P$6:P$140,$E483)="","",INDEX(DMAV_Dienste!P$6:P$140,$E483))),IF(INDEX(DMAV_Modell!Q$6:Q$838,$B483)="","",INDEX(DMAV_Modell!Q$6:Q$838,$B483)))</f>
        <v>CLASS.CONSTRAINT</v>
      </c>
      <c r="L483" s="62" t="str" cm="1">
        <f t="array" ref="L483">IF($B483=0,IF($E483=0,"",IF(INDEX(DMAV_Dienste!O$6:O$140,$E483)="","",INDEX(DMAV_Dienste!O$6:O$140,$E483))),IF(INDEX(DMAV_Modell!P$6:P$838,$B483)="","",INDEX(DMAV_Modell!P$6:P$838,$B483)))</f>
        <v>Grundstuecke</v>
      </c>
      <c r="M483" s="62" t="str" cm="1">
        <f t="array" ref="M483">IF($B483=0,IF($E483=0,"",IF(INDEX(DMAV_Dienste!Q$6:Q$140,$E483)="","",INDEX(DMAV_Dienste!Q$6:Q$140,$E483))),IF(INDEX(DMAV_Modell!R$6:R$838,$B483)="","",INDEX(DMAV_Modell!R$6:R$838,$B483)))</f>
        <v>Grenzpunkt</v>
      </c>
      <c r="N483" s="62" t="str" cm="1">
        <f t="array" ref="N483">IF($B483=0,IF($E483=0,"",IF(INDEX(DMAV_Dienste!T$6:T$140,$E483)="","",INDEX(DMAV_Dienste!T$6:T$140,$E483))),IF(INDEX(DMAV_Modell!U$6:U$838,$B483)="","",INDEX(DMAV_Modell!U$6:U$838,$B483)))</f>
        <v>DEFINED(@PH1@)==DEFINED(@PH2@)</v>
      </c>
      <c r="O483" s="63" t="str" cm="1">
        <f t="array" aca="1" ref="O483" ca="1">IF(C483=0,IF(F483=0,"",HYPERLINK("#"&amp;RIGHT(CELL("adresse",OFFSET(DMAV_Dienste!$M$6,F483-1,0)),LEN(CELL("adresse",OFFSET(DMAV_Dienste!$M$6,F483-1,0)))-FIND("]",CELL("adresse",OFFSET(DMAV_Dienste!$M$6,F483-1,0)))),"Structure")),HYPERLINK("#"&amp;RIGHT(CELL("adresse",OFFSET(DMAV_Modell!$N$6,C483-1,0)),LEN(CELL("adresse",OFFSET(DMAV_Modell!$N$6,C483-1,0)))-FIND("]",CELL("adresse",OFFSET(DMAV_Modell!$N$6,C483-1,0)))),"Structure"))</f>
        <v/>
      </c>
      <c r="P483" s="64" t="str" cm="1">
        <f t="array" aca="1" ref="P483" ca="1">IF(D483=0,IF(G483=0,"",HYPERLINK("#"&amp;RIGHT(CELL("adresse",OFFSET(DMAV_Dienste!$M$6,G483-1,0)),LEN(CELL("adresse",OFFSET(DMAV_Dienste!$M$6,G483-1,0)))-FIND("]",CELL("adresse",OFFSET(DMAV_Dienste!$M$6,G483-1,0)))),"Substructure")),HYPERLINK("#"&amp;RIGHT(CELL("adresse",OFFSET(DMAV_Modell!$N$6,D483-1,0)),LEN(CELL("adresse",OFFSET(DMAV_Modell!$N$6,D483-1,0)))-FIND("]",CELL("adresse",OFFSET(DMAV_Modell!$N$6,D483-1,0)))),"Substructure"))</f>
        <v/>
      </c>
      <c r="R483" s="80"/>
      <c r="T483" s="93"/>
      <c r="U483" s="94"/>
      <c r="V483" s="95"/>
      <c r="W483" s="96"/>
      <c r="Y483" s="85"/>
      <c r="Z483" s="86"/>
      <c r="AA483" s="87"/>
      <c r="AB483" s="88"/>
      <c r="AD483" s="77"/>
      <c r="AF483" s="54" t="str" cm="1">
        <f t="array" aca="1" ref="AF483" ca="1">IF(H483=0,"",HYPERLINK("#"&amp;RIGHT(CELL("adresse",OFFSET('DM01-AV-CH'!$G$6,H483-1,0)),LEN(CELL("adresse",OFFSET('DM01-AV-CH'!$G$6,H483-1,0)))-FIND("]",CELL("adresse",OFFSET('DM01-AV-CH'!$G$6,H483-1,0)))),"Modell"))</f>
        <v/>
      </c>
      <c r="AG483" s="72" t="str" cm="1">
        <f t="array" ref="AG483">IF($H483=0,"",IF(INDEX('DM01-AV-CH'!G$6:G$834,$H483)="","",INDEX('DM01-AV-CH'!G$6:G$834,$H483)))</f>
        <v/>
      </c>
      <c r="AH483" s="73" t="str" cm="1">
        <f t="array" ref="AH483">IF($H483=0,"",IF(INDEX('DM01-AV-CH'!H$6:H$834,$H483)="","",INDEX('DM01-AV-CH'!H$6:H$834,$H483)))</f>
        <v/>
      </c>
      <c r="AI483" s="74" t="str" cm="1">
        <f t="array" ref="AI483">IF($H483=0,"",IF(INDEX('DM01-AV-CH'!I$6:I$834,$H483)="","",INDEX('DM01-AV-CH'!I$6:I$834,$H483)))</f>
        <v/>
      </c>
    </row>
    <row r="484" spans="1:35" x14ac:dyDescent="0.25">
      <c r="A484" s="57">
        <v>479</v>
      </c>
      <c r="B484" s="57">
        <f>IF($A484="","",IF(_xlfn.XLOOKUP($A484,Korrelation!$D$4:$D$1197,Korrelation!E$4:E$1197,"-",0)="-",0,MATCH(_xlfn.XLOOKUP($A484,Korrelation!$D$4:$D$1197,Korrelation!E$4:E$1197,"",0),DMAV_Modell!$G$6:$G$677,0)))</f>
        <v>230</v>
      </c>
      <c r="C484" s="57">
        <f>IF($A484="","",IF(_xlfn.XLOOKUP($A484,Korrelation!$D$4:$D$1197,Korrelation!F$4:F$1197,"-",0)="-",0,MATCH(_xlfn.XLOOKUP($A484,Korrelation!$D$4:$D$1197,Korrelation!F$4:F$1197,"",0),DMAV_Modell!$G$6:$G$677,0)))</f>
        <v>0</v>
      </c>
      <c r="D484" s="57">
        <f>IF($A484="","",IF(_xlfn.XLOOKUP($A484,Korrelation!$D$4:$D$1197,Korrelation!G$4:G$1197,"-",0)="-",0,MATCH(_xlfn.XLOOKUP($A484,Korrelation!$D$4:$D$1197,Korrelation!G$4:G$1197,"",0),DMAV_Modell!$G$6:$G$677,0)))</f>
        <v>0</v>
      </c>
      <c r="E484" s="57">
        <f>IF($A484="","",IF(_xlfn.XLOOKUP($A484,Korrelation!$D$4:$D$1197,Korrelation!H$4:H$1197,"-",0)="-",0,MATCH(_xlfn.XLOOKUP($A484,Korrelation!$D$4:$D$1197,Korrelation!H$4:H$1197,"",0),DMAV_Dienste!$F$6:$F$140,0)))</f>
        <v>0</v>
      </c>
      <c r="F484" s="57">
        <f>IF($A484="","",IF(_xlfn.XLOOKUP($A484,Korrelation!$D$4:$D$1197,Korrelation!I$4:I$1197,"-",0)="-",0,MATCH(_xlfn.XLOOKUP($A484,Korrelation!$D$4:$D$1197,Korrelation!I$4:I$1197,"",0),DMAV_Dienste!$F$6:$F$140,0)))</f>
        <v>0</v>
      </c>
      <c r="G484" s="57">
        <f>IF($A484="","",IF(_xlfn.XLOOKUP($A484,Korrelation!$D$4:$D$1197,Korrelation!J$4:J$1197,"-",0)="-",0,MATCH(_xlfn.XLOOKUP($A484,Korrelation!$D$4:$D$1197,Korrelation!J$4:J$1197,"",0),DMAV_Dienste!$F$6:$F$140,0)))</f>
        <v>0</v>
      </c>
      <c r="H484" s="57">
        <f>IF($A484="","",IF(_xlfn.XLOOKUP($A484,Korrelation!$D$4:$D$1197,Korrelation!K$4:K$1197,"-",0)="-",0,MATCH(_xlfn.XLOOKUP($A484,Korrelation!$D$4:$D$1197,Korrelation!K$4:K$1197,"",0),'DM01-AV-CH'!$A$6:$A$834,0)))</f>
        <v>0</v>
      </c>
      <c r="J484" s="54" t="str" cm="1">
        <f t="array" aca="1" ref="J484" ca="1">IF(B484=0,IF(E484=0,"",HYPERLINK("#"&amp;RIGHT(CELL("adresse",OFFSET(DMAV_Dienste!$M$6,E484-1,0)),LEN(CELL("adresse",OFFSET(DMAV_Dienste!$M$6,E484-1,0)))-FIND("]",CELL("adresse",OFFSET(DMAV_Dienste!$M$6,E484-1,0)))),"Dienst")),HYPERLINK("#"&amp;RIGHT(CELL("adresse",OFFSET(DMAV_Modell!$N$6,B484-1,0)),LEN(CELL("adresse",OFFSET(DMAV_Modell!$N$6,B484-1,0)))-FIND("]",CELL("adresse",OFFSET(DMAV_Modell!$N$6,B484-1,0)))),"Modell"))</f>
        <v>Modell</v>
      </c>
      <c r="K484" s="61" t="str" cm="1">
        <f t="array" ref="K484">IF($B484=0,IF($E484=0,"",IF(INDEX(DMAV_Dienste!P$6:P$140,$E484)="","",INDEX(DMAV_Dienste!P$6:P$140,$E484))),IF(INDEX(DMAV_Modell!Q$6:Q$838,$B484)="","",INDEX(DMAV_Modell!Q$6:Q$838,$B484)))</f>
        <v>CLASS.CONSTRAINT</v>
      </c>
      <c r="L484" s="62" t="str" cm="1">
        <f t="array" ref="L484">IF($B484=0,IF($E484=0,"",IF(INDEX(DMAV_Dienste!O$6:O$140,$E484)="","",INDEX(DMAV_Dienste!O$6:O$140,$E484))),IF(INDEX(DMAV_Modell!P$6:P$838,$B484)="","",INDEX(DMAV_Modell!P$6:P$838,$B484)))</f>
        <v>Grundstuecke</v>
      </c>
      <c r="M484" s="62" t="str" cm="1">
        <f t="array" ref="M484">IF($B484=0,IF($E484=0,"",IF(INDEX(DMAV_Dienste!Q$6:Q$140,$E484)="","",INDEX(DMAV_Dienste!Q$6:Q$140,$E484))),IF(INDEX(DMAV_Modell!R$6:R$838,$B484)="","",INDEX(DMAV_Modell!R$6:R$838,$B484)))</f>
        <v>Grenzpunkt</v>
      </c>
      <c r="N484" s="62" t="str" cm="1">
        <f t="array" ref="N484">IF($B484=0,IF($E484=0,"",IF(INDEX(DMAV_Dienste!T$6:T$140,$E484)="","",INDEX(DMAV_Dienste!T$6:T$140,$E484))),IF(INDEX(DMAV_Modell!U$6:U$838,$B484)="","",INDEX(DMAV_Modell!U$6:U$838,$B484)))</f>
        <v>@PH1@ OR @PH2@==@PH3@</v>
      </c>
      <c r="O484" s="63" t="str" cm="1">
        <f t="array" aca="1" ref="O484" ca="1">IF(C484=0,IF(F484=0,"",HYPERLINK("#"&amp;RIGHT(CELL("adresse",OFFSET(DMAV_Dienste!$M$6,F484-1,0)),LEN(CELL("adresse",OFFSET(DMAV_Dienste!$M$6,F484-1,0)))-FIND("]",CELL("adresse",OFFSET(DMAV_Dienste!$M$6,F484-1,0)))),"Structure")),HYPERLINK("#"&amp;RIGHT(CELL("adresse",OFFSET(DMAV_Modell!$N$6,C484-1,0)),LEN(CELL("adresse",OFFSET(DMAV_Modell!$N$6,C484-1,0)))-FIND("]",CELL("adresse",OFFSET(DMAV_Modell!$N$6,C484-1,0)))),"Structure"))</f>
        <v/>
      </c>
      <c r="P484" s="64" t="str" cm="1">
        <f t="array" aca="1" ref="P484" ca="1">IF(D484=0,IF(G484=0,"",HYPERLINK("#"&amp;RIGHT(CELL("adresse",OFFSET(DMAV_Dienste!$M$6,G484-1,0)),LEN(CELL("adresse",OFFSET(DMAV_Dienste!$M$6,G484-1,0)))-FIND("]",CELL("adresse",OFFSET(DMAV_Dienste!$M$6,G484-1,0)))),"Substructure")),HYPERLINK("#"&amp;RIGHT(CELL("adresse",OFFSET(DMAV_Modell!$N$6,D484-1,0)),LEN(CELL("adresse",OFFSET(DMAV_Modell!$N$6,D484-1,0)))-FIND("]",CELL("adresse",OFFSET(DMAV_Modell!$N$6,D484-1,0)))),"Substructure"))</f>
        <v/>
      </c>
      <c r="R484" s="80"/>
      <c r="T484" s="93"/>
      <c r="U484" s="94"/>
      <c r="V484" s="95"/>
      <c r="W484" s="96"/>
      <c r="Y484" s="85"/>
      <c r="Z484" s="86"/>
      <c r="AA484" s="87"/>
      <c r="AB484" s="88"/>
      <c r="AD484" s="77"/>
      <c r="AF484" s="54" t="str" cm="1">
        <f t="array" aca="1" ref="AF484" ca="1">IF(H484=0,"",HYPERLINK("#"&amp;RIGHT(CELL("adresse",OFFSET('DM01-AV-CH'!$G$6,H484-1,0)),LEN(CELL("adresse",OFFSET('DM01-AV-CH'!$G$6,H484-1,0)))-FIND("]",CELL("adresse",OFFSET('DM01-AV-CH'!$G$6,H484-1,0)))),"Modell"))</f>
        <v/>
      </c>
      <c r="AG484" s="72" t="str" cm="1">
        <f t="array" ref="AG484">IF($H484=0,"",IF(INDEX('DM01-AV-CH'!G$6:G$834,$H484)="","",INDEX('DM01-AV-CH'!G$6:G$834,$H484)))</f>
        <v/>
      </c>
      <c r="AH484" s="73" t="str" cm="1">
        <f t="array" ref="AH484">IF($H484=0,"",IF(INDEX('DM01-AV-CH'!H$6:H$834,$H484)="","",INDEX('DM01-AV-CH'!H$6:H$834,$H484)))</f>
        <v/>
      </c>
      <c r="AI484" s="74" t="str" cm="1">
        <f t="array" ref="AI484">IF($H484=0,"",IF(INDEX('DM01-AV-CH'!I$6:I$834,$H484)="","",INDEX('DM01-AV-CH'!I$6:I$834,$H484)))</f>
        <v/>
      </c>
    </row>
    <row r="485" spans="1:35" x14ac:dyDescent="0.25">
      <c r="A485" s="57">
        <v>480</v>
      </c>
      <c r="B485" s="57">
        <f>IF($A485="","",IF(_xlfn.XLOOKUP($A485,Korrelation!$D$4:$D$1197,Korrelation!E$4:E$1197,"-",0)="-",0,MATCH(_xlfn.XLOOKUP($A485,Korrelation!$D$4:$D$1197,Korrelation!E$4:E$1197,"",0),DMAV_Modell!$G$6:$G$677,0)))</f>
        <v>231</v>
      </c>
      <c r="C485" s="57">
        <f>IF($A485="","",IF(_xlfn.XLOOKUP($A485,Korrelation!$D$4:$D$1197,Korrelation!F$4:F$1197,"-",0)="-",0,MATCH(_xlfn.XLOOKUP($A485,Korrelation!$D$4:$D$1197,Korrelation!F$4:F$1197,"",0),DMAV_Modell!$G$6:$G$677,0)))</f>
        <v>0</v>
      </c>
      <c r="D485" s="57">
        <f>IF($A485="","",IF(_xlfn.XLOOKUP($A485,Korrelation!$D$4:$D$1197,Korrelation!G$4:G$1197,"-",0)="-",0,MATCH(_xlfn.XLOOKUP($A485,Korrelation!$D$4:$D$1197,Korrelation!G$4:G$1197,"",0),DMAV_Modell!$G$6:$G$677,0)))</f>
        <v>0</v>
      </c>
      <c r="E485" s="57">
        <f>IF($A485="","",IF(_xlfn.XLOOKUP($A485,Korrelation!$D$4:$D$1197,Korrelation!H$4:H$1197,"-",0)="-",0,MATCH(_xlfn.XLOOKUP($A485,Korrelation!$D$4:$D$1197,Korrelation!H$4:H$1197,"",0),DMAV_Dienste!$F$6:$F$140,0)))</f>
        <v>0</v>
      </c>
      <c r="F485" s="57">
        <f>IF($A485="","",IF(_xlfn.XLOOKUP($A485,Korrelation!$D$4:$D$1197,Korrelation!I$4:I$1197,"-",0)="-",0,MATCH(_xlfn.XLOOKUP($A485,Korrelation!$D$4:$D$1197,Korrelation!I$4:I$1197,"",0),DMAV_Dienste!$F$6:$F$140,0)))</f>
        <v>0</v>
      </c>
      <c r="G485" s="57">
        <f>IF($A485="","",IF(_xlfn.XLOOKUP($A485,Korrelation!$D$4:$D$1197,Korrelation!J$4:J$1197,"-",0)="-",0,MATCH(_xlfn.XLOOKUP($A485,Korrelation!$D$4:$D$1197,Korrelation!J$4:J$1197,"",0),DMAV_Dienste!$F$6:$F$140,0)))</f>
        <v>0</v>
      </c>
      <c r="H485" s="57">
        <f>IF($A485="","",IF(_xlfn.XLOOKUP($A485,Korrelation!$D$4:$D$1197,Korrelation!K$4:K$1197,"-",0)="-",0,MATCH(_xlfn.XLOOKUP($A485,Korrelation!$D$4:$D$1197,Korrelation!K$4:K$1197,"",0),'DM01-AV-CH'!$A$6:$A$834,0)))</f>
        <v>0</v>
      </c>
      <c r="J485" s="54" t="str" cm="1">
        <f t="array" aca="1" ref="J485" ca="1">IF(B485=0,IF(E485=0,"",HYPERLINK("#"&amp;RIGHT(CELL("adresse",OFFSET(DMAV_Dienste!$M$6,E485-1,0)),LEN(CELL("adresse",OFFSET(DMAV_Dienste!$M$6,E485-1,0)))-FIND("]",CELL("adresse",OFFSET(DMAV_Dienste!$M$6,E485-1,0)))),"Dienst")),HYPERLINK("#"&amp;RIGHT(CELL("adresse",OFFSET(DMAV_Modell!$N$6,B485-1,0)),LEN(CELL("adresse",OFFSET(DMAV_Modell!$N$6,B485-1,0)))-FIND("]",CELL("adresse",OFFSET(DMAV_Modell!$N$6,B485-1,0)))),"Modell"))</f>
        <v>Modell</v>
      </c>
      <c r="K485" s="61" t="str" cm="1">
        <f t="array" ref="K485">IF($B485=0,IF($E485=0,"",IF(INDEX(DMAV_Dienste!P$6:P$140,$E485)="","",INDEX(DMAV_Dienste!P$6:P$140,$E485))),IF(INDEX(DMAV_Modell!Q$6:Q$838,$B485)="","",INDEX(DMAV_Modell!Q$6:Q$838,$B485)))</f>
        <v>ASSOCIATION</v>
      </c>
      <c r="L485" s="62" t="str" cm="1">
        <f t="array" ref="L485">IF($B485=0,IF($E485=0,"",IF(INDEX(DMAV_Dienste!O$6:O$140,$E485)="","",INDEX(DMAV_Dienste!O$6:O$140,$E485))),IF(INDEX(DMAV_Modell!P$6:P$838,$B485)="","",INDEX(DMAV_Modell!P$6:P$838,$B485)))</f>
        <v>Grundstuecke</v>
      </c>
      <c r="M485" s="62" t="str" cm="1">
        <f t="array" ref="M485">IF($B485=0,IF($E485=0,"",IF(INDEX(DMAV_Dienste!Q$6:Q$140,$E485)="","",INDEX(DMAV_Dienste!Q$6:Q$140,$E485))),IF(INDEX(DMAV_Modell!R$6:R$838,$B485)="","",INDEX(DMAV_Modell!R$6:R$838,$B485)))</f>
        <v>Entstehung_Grenzpunkt</v>
      </c>
      <c r="N485" s="62" t="str" cm="1">
        <f t="array" ref="N485">IF($B485=0,IF($E485=0,"",IF(INDEX(DMAV_Dienste!T$6:T$140,$E485)="","",INDEX(DMAV_Dienste!T$6:T$140,$E485))),IF(INDEX(DMAV_Modell!U$6:U$838,$B485)="","",INDEX(DMAV_Modell!U$6:U$838,$B485)))</f>
        <v>Entstehung</v>
      </c>
      <c r="O485" s="63" t="str" cm="1">
        <f t="array" aca="1" ref="O485" ca="1">IF(C485=0,IF(F485=0,"",HYPERLINK("#"&amp;RIGHT(CELL("adresse",OFFSET(DMAV_Dienste!$M$6,F485-1,0)),LEN(CELL("adresse",OFFSET(DMAV_Dienste!$M$6,F485-1,0)))-FIND("]",CELL("adresse",OFFSET(DMAV_Dienste!$M$6,F485-1,0)))),"Structure")),HYPERLINK("#"&amp;RIGHT(CELL("adresse",OFFSET(DMAV_Modell!$N$6,C485-1,0)),LEN(CELL("adresse",OFFSET(DMAV_Modell!$N$6,C485-1,0)))-FIND("]",CELL("adresse",OFFSET(DMAV_Modell!$N$6,C485-1,0)))),"Structure"))</f>
        <v/>
      </c>
      <c r="P485" s="64" t="str" cm="1">
        <f t="array" aca="1" ref="P485" ca="1">IF(D485=0,IF(G485=0,"",HYPERLINK("#"&amp;RIGHT(CELL("adresse",OFFSET(DMAV_Dienste!$M$6,G485-1,0)),LEN(CELL("adresse",OFFSET(DMAV_Dienste!$M$6,G485-1,0)))-FIND("]",CELL("adresse",OFFSET(DMAV_Dienste!$M$6,G485-1,0)))),"Substructure")),HYPERLINK("#"&amp;RIGHT(CELL("adresse",OFFSET(DMAV_Modell!$N$6,D485-1,0)),LEN(CELL("adresse",OFFSET(DMAV_Modell!$N$6,D485-1,0)))-FIND("]",CELL("adresse",OFFSET(DMAV_Modell!$N$6,D485-1,0)))),"Substructure"))</f>
        <v/>
      </c>
      <c r="R485" s="80"/>
      <c r="T485" s="93"/>
      <c r="U485" s="94"/>
      <c r="V485" s="95"/>
      <c r="W485" s="96"/>
      <c r="Y485" s="85"/>
      <c r="Z485" s="86"/>
      <c r="AA485" s="87"/>
      <c r="AB485" s="88"/>
      <c r="AD485" s="77"/>
      <c r="AF485" s="54" t="str" cm="1">
        <f t="array" aca="1" ref="AF485" ca="1">IF(H485=0,"",HYPERLINK("#"&amp;RIGHT(CELL("adresse",OFFSET('DM01-AV-CH'!$G$6,H485-1,0)),LEN(CELL("adresse",OFFSET('DM01-AV-CH'!$G$6,H485-1,0)))-FIND("]",CELL("adresse",OFFSET('DM01-AV-CH'!$G$6,H485-1,0)))),"Modell"))</f>
        <v/>
      </c>
      <c r="AG485" s="72" t="str" cm="1">
        <f t="array" ref="AG485">IF($H485=0,"",IF(INDEX('DM01-AV-CH'!G$6:G$834,$H485)="","",INDEX('DM01-AV-CH'!G$6:G$834,$H485)))</f>
        <v/>
      </c>
      <c r="AH485" s="73" t="str" cm="1">
        <f t="array" ref="AH485">IF($H485=0,"",IF(INDEX('DM01-AV-CH'!H$6:H$834,$H485)="","",INDEX('DM01-AV-CH'!H$6:H$834,$H485)))</f>
        <v/>
      </c>
      <c r="AI485" s="74" t="str" cm="1">
        <f t="array" ref="AI485">IF($H485=0,"",IF(INDEX('DM01-AV-CH'!I$6:I$834,$H485)="","",INDEX('DM01-AV-CH'!I$6:I$834,$H485)))</f>
        <v/>
      </c>
    </row>
    <row r="486" spans="1:35" x14ac:dyDescent="0.25">
      <c r="A486" s="57">
        <v>481</v>
      </c>
      <c r="B486" s="57">
        <f>IF($A486="","",IF(_xlfn.XLOOKUP($A486,Korrelation!$D$4:$D$1197,Korrelation!E$4:E$1197,"-",0)="-",0,MATCH(_xlfn.XLOOKUP($A486,Korrelation!$D$4:$D$1197,Korrelation!E$4:E$1197,"",0),DMAV_Modell!$G$6:$G$677,0)))</f>
        <v>232</v>
      </c>
      <c r="C486" s="57">
        <f>IF($A486="","",IF(_xlfn.XLOOKUP($A486,Korrelation!$D$4:$D$1197,Korrelation!F$4:F$1197,"-",0)="-",0,MATCH(_xlfn.XLOOKUP($A486,Korrelation!$D$4:$D$1197,Korrelation!F$4:F$1197,"",0),DMAV_Modell!$G$6:$G$677,0)))</f>
        <v>0</v>
      </c>
      <c r="D486" s="57">
        <f>IF($A486="","",IF(_xlfn.XLOOKUP($A486,Korrelation!$D$4:$D$1197,Korrelation!G$4:G$1197,"-",0)="-",0,MATCH(_xlfn.XLOOKUP($A486,Korrelation!$D$4:$D$1197,Korrelation!G$4:G$1197,"",0),DMAV_Modell!$G$6:$G$677,0)))</f>
        <v>0</v>
      </c>
      <c r="E486" s="57">
        <f>IF($A486="","",IF(_xlfn.XLOOKUP($A486,Korrelation!$D$4:$D$1197,Korrelation!H$4:H$1197,"-",0)="-",0,MATCH(_xlfn.XLOOKUP($A486,Korrelation!$D$4:$D$1197,Korrelation!H$4:H$1197,"",0),DMAV_Dienste!$F$6:$F$140,0)))</f>
        <v>0</v>
      </c>
      <c r="F486" s="57">
        <f>IF($A486="","",IF(_xlfn.XLOOKUP($A486,Korrelation!$D$4:$D$1197,Korrelation!I$4:I$1197,"-",0)="-",0,MATCH(_xlfn.XLOOKUP($A486,Korrelation!$D$4:$D$1197,Korrelation!I$4:I$1197,"",0),DMAV_Dienste!$F$6:$F$140,0)))</f>
        <v>0</v>
      </c>
      <c r="G486" s="57">
        <f>IF($A486="","",IF(_xlfn.XLOOKUP($A486,Korrelation!$D$4:$D$1197,Korrelation!J$4:J$1197,"-",0)="-",0,MATCH(_xlfn.XLOOKUP($A486,Korrelation!$D$4:$D$1197,Korrelation!J$4:J$1197,"",0),DMAV_Dienste!$F$6:$F$140,0)))</f>
        <v>0</v>
      </c>
      <c r="H486" s="57">
        <f>IF($A486="","",IF(_xlfn.XLOOKUP($A486,Korrelation!$D$4:$D$1197,Korrelation!K$4:K$1197,"-",0)="-",0,MATCH(_xlfn.XLOOKUP($A486,Korrelation!$D$4:$D$1197,Korrelation!K$4:K$1197,"",0),'DM01-AV-CH'!$A$6:$A$834,0)))</f>
        <v>0</v>
      </c>
      <c r="J486" s="54" t="str" cm="1">
        <f t="array" aca="1" ref="J486" ca="1">IF(B486=0,IF(E486=0,"",HYPERLINK("#"&amp;RIGHT(CELL("adresse",OFFSET(DMAV_Dienste!$M$6,E486-1,0)),LEN(CELL("adresse",OFFSET(DMAV_Dienste!$M$6,E486-1,0)))-FIND("]",CELL("adresse",OFFSET(DMAV_Dienste!$M$6,E486-1,0)))),"Dienst")),HYPERLINK("#"&amp;RIGHT(CELL("adresse",OFFSET(DMAV_Modell!$N$6,B486-1,0)),LEN(CELL("adresse",OFFSET(DMAV_Modell!$N$6,B486-1,0)))-FIND("]",CELL("adresse",OFFSET(DMAV_Modell!$N$6,B486-1,0)))),"Modell"))</f>
        <v>Modell</v>
      </c>
      <c r="K486" s="61" t="str" cm="1">
        <f t="array" ref="K486">IF($B486=0,IF($E486=0,"",IF(INDEX(DMAV_Dienste!P$6:P$140,$E486)="","",INDEX(DMAV_Dienste!P$6:P$140,$E486))),IF(INDEX(DMAV_Modell!Q$6:Q$838,$B486)="","",INDEX(DMAV_Modell!Q$6:Q$838,$B486)))</f>
        <v>ASSOCIATION</v>
      </c>
      <c r="L486" s="62" t="str" cm="1">
        <f t="array" ref="L486">IF($B486=0,IF($E486=0,"",IF(INDEX(DMAV_Dienste!O$6:O$140,$E486)="","",INDEX(DMAV_Dienste!O$6:O$140,$E486))),IF(INDEX(DMAV_Modell!P$6:P$838,$B486)="","",INDEX(DMAV_Modell!P$6:P$838,$B486)))</f>
        <v>Grundstuecke</v>
      </c>
      <c r="M486" s="62" t="str" cm="1">
        <f t="array" ref="M486">IF($B486=0,IF($E486=0,"",IF(INDEX(DMAV_Dienste!Q$6:Q$140,$E486)="","",INDEX(DMAV_Dienste!Q$6:Q$140,$E486))),IF(INDEX(DMAV_Modell!R$6:R$838,$B486)="","",INDEX(DMAV_Modell!R$6:R$838,$B486)))</f>
        <v>Entstehung_Grenzpunkt</v>
      </c>
      <c r="N486" s="62" t="str" cm="1">
        <f t="array" ref="N486">IF($B486=0,IF($E486=0,"",IF(INDEX(DMAV_Dienste!T$6:T$140,$E486)="","",INDEX(DMAV_Dienste!T$6:T$140,$E486))),IF(INDEX(DMAV_Modell!U$6:U$838,$B486)="","",INDEX(DMAV_Modell!U$6:U$838,$B486)))</f>
        <v>entstehender_Grenzpunkt</v>
      </c>
      <c r="O486" s="63" t="str" cm="1">
        <f t="array" aca="1" ref="O486" ca="1">IF(C486=0,IF(F486=0,"",HYPERLINK("#"&amp;RIGHT(CELL("adresse",OFFSET(DMAV_Dienste!$M$6,F486-1,0)),LEN(CELL("adresse",OFFSET(DMAV_Dienste!$M$6,F486-1,0)))-FIND("]",CELL("adresse",OFFSET(DMAV_Dienste!$M$6,F486-1,0)))),"Structure")),HYPERLINK("#"&amp;RIGHT(CELL("adresse",OFFSET(DMAV_Modell!$N$6,C486-1,0)),LEN(CELL("adresse",OFFSET(DMAV_Modell!$N$6,C486-1,0)))-FIND("]",CELL("adresse",OFFSET(DMAV_Modell!$N$6,C486-1,0)))),"Structure"))</f>
        <v/>
      </c>
      <c r="P486" s="64" t="str" cm="1">
        <f t="array" aca="1" ref="P486" ca="1">IF(D486=0,IF(G486=0,"",HYPERLINK("#"&amp;RIGHT(CELL("adresse",OFFSET(DMAV_Dienste!$M$6,G486-1,0)),LEN(CELL("adresse",OFFSET(DMAV_Dienste!$M$6,G486-1,0)))-FIND("]",CELL("adresse",OFFSET(DMAV_Dienste!$M$6,G486-1,0)))),"Substructure")),HYPERLINK("#"&amp;RIGHT(CELL("adresse",OFFSET(DMAV_Modell!$N$6,D486-1,0)),LEN(CELL("adresse",OFFSET(DMAV_Modell!$N$6,D486-1,0)))-FIND("]",CELL("adresse",OFFSET(DMAV_Modell!$N$6,D486-1,0)))),"Substructure"))</f>
        <v/>
      </c>
      <c r="R486" s="80"/>
      <c r="T486" s="93"/>
      <c r="U486" s="94"/>
      <c r="V486" s="95"/>
      <c r="W486" s="96"/>
      <c r="Y486" s="85"/>
      <c r="Z486" s="86"/>
      <c r="AA486" s="87"/>
      <c r="AB486" s="88"/>
      <c r="AD486" s="77"/>
      <c r="AF486" s="54" t="str" cm="1">
        <f t="array" aca="1" ref="AF486" ca="1">IF(H486=0,"",HYPERLINK("#"&amp;RIGHT(CELL("adresse",OFFSET('DM01-AV-CH'!$G$6,H486-1,0)),LEN(CELL("adresse",OFFSET('DM01-AV-CH'!$G$6,H486-1,0)))-FIND("]",CELL("adresse",OFFSET('DM01-AV-CH'!$G$6,H486-1,0)))),"Modell"))</f>
        <v/>
      </c>
      <c r="AG486" s="72" t="str" cm="1">
        <f t="array" ref="AG486">IF($H486=0,"",IF(INDEX('DM01-AV-CH'!G$6:G$834,$H486)="","",INDEX('DM01-AV-CH'!G$6:G$834,$H486)))</f>
        <v/>
      </c>
      <c r="AH486" s="73" t="str" cm="1">
        <f t="array" ref="AH486">IF($H486=0,"",IF(INDEX('DM01-AV-CH'!H$6:H$834,$H486)="","",INDEX('DM01-AV-CH'!H$6:H$834,$H486)))</f>
        <v/>
      </c>
      <c r="AI486" s="74" t="str" cm="1">
        <f t="array" ref="AI486">IF($H486=0,"",IF(INDEX('DM01-AV-CH'!I$6:I$834,$H486)="","",INDEX('DM01-AV-CH'!I$6:I$834,$H486)))</f>
        <v/>
      </c>
    </row>
    <row r="487" spans="1:35" x14ac:dyDescent="0.25">
      <c r="A487" s="57">
        <v>482</v>
      </c>
      <c r="B487" s="57">
        <f>IF($A487="","",IF(_xlfn.XLOOKUP($A487,Korrelation!$D$4:$D$1197,Korrelation!E$4:E$1197,"-",0)="-",0,MATCH(_xlfn.XLOOKUP($A487,Korrelation!$D$4:$D$1197,Korrelation!E$4:E$1197,"",0),DMAV_Modell!$G$6:$G$677,0)))</f>
        <v>233</v>
      </c>
      <c r="C487" s="57">
        <f>IF($A487="","",IF(_xlfn.XLOOKUP($A487,Korrelation!$D$4:$D$1197,Korrelation!F$4:F$1197,"-",0)="-",0,MATCH(_xlfn.XLOOKUP($A487,Korrelation!$D$4:$D$1197,Korrelation!F$4:F$1197,"",0),DMAV_Modell!$G$6:$G$677,0)))</f>
        <v>0</v>
      </c>
      <c r="D487" s="57">
        <f>IF($A487="","",IF(_xlfn.XLOOKUP($A487,Korrelation!$D$4:$D$1197,Korrelation!G$4:G$1197,"-",0)="-",0,MATCH(_xlfn.XLOOKUP($A487,Korrelation!$D$4:$D$1197,Korrelation!G$4:G$1197,"",0),DMAV_Modell!$G$6:$G$677,0)))</f>
        <v>0</v>
      </c>
      <c r="E487" s="57">
        <f>IF($A487="","",IF(_xlfn.XLOOKUP($A487,Korrelation!$D$4:$D$1197,Korrelation!H$4:H$1197,"-",0)="-",0,MATCH(_xlfn.XLOOKUP($A487,Korrelation!$D$4:$D$1197,Korrelation!H$4:H$1197,"",0),DMAV_Dienste!$F$6:$F$140,0)))</f>
        <v>0</v>
      </c>
      <c r="F487" s="57">
        <f>IF($A487="","",IF(_xlfn.XLOOKUP($A487,Korrelation!$D$4:$D$1197,Korrelation!I$4:I$1197,"-",0)="-",0,MATCH(_xlfn.XLOOKUP($A487,Korrelation!$D$4:$D$1197,Korrelation!I$4:I$1197,"",0),DMAV_Dienste!$F$6:$F$140,0)))</f>
        <v>0</v>
      </c>
      <c r="G487" s="57">
        <f>IF($A487="","",IF(_xlfn.XLOOKUP($A487,Korrelation!$D$4:$D$1197,Korrelation!J$4:J$1197,"-",0)="-",0,MATCH(_xlfn.XLOOKUP($A487,Korrelation!$D$4:$D$1197,Korrelation!J$4:J$1197,"",0),DMAV_Dienste!$F$6:$F$140,0)))</f>
        <v>0</v>
      </c>
      <c r="H487" s="57">
        <f>IF($A487="","",IF(_xlfn.XLOOKUP($A487,Korrelation!$D$4:$D$1197,Korrelation!K$4:K$1197,"-",0)="-",0,MATCH(_xlfn.XLOOKUP($A487,Korrelation!$D$4:$D$1197,Korrelation!K$4:K$1197,"",0),'DM01-AV-CH'!$A$6:$A$834,0)))</f>
        <v>0</v>
      </c>
      <c r="J487" s="54" t="str" cm="1">
        <f t="array" aca="1" ref="J487" ca="1">IF(B487=0,IF(E487=0,"",HYPERLINK("#"&amp;RIGHT(CELL("adresse",OFFSET(DMAV_Dienste!$M$6,E487-1,0)),LEN(CELL("adresse",OFFSET(DMAV_Dienste!$M$6,E487-1,0)))-FIND("]",CELL("adresse",OFFSET(DMAV_Dienste!$M$6,E487-1,0)))),"Dienst")),HYPERLINK("#"&amp;RIGHT(CELL("adresse",OFFSET(DMAV_Modell!$N$6,B487-1,0)),LEN(CELL("adresse",OFFSET(DMAV_Modell!$N$6,B487-1,0)))-FIND("]",CELL("adresse",OFFSET(DMAV_Modell!$N$6,B487-1,0)))),"Modell"))</f>
        <v>Modell</v>
      </c>
      <c r="K487" s="61" t="str" cm="1">
        <f t="array" ref="K487">IF($B487=0,IF($E487=0,"",IF(INDEX(DMAV_Dienste!P$6:P$140,$E487)="","",INDEX(DMAV_Dienste!P$6:P$140,$E487))),IF(INDEX(DMAV_Modell!Q$6:Q$838,$B487)="","",INDEX(DMAV_Modell!Q$6:Q$838,$B487)))</f>
        <v>ASSOCIATION</v>
      </c>
      <c r="L487" s="62" t="str" cm="1">
        <f t="array" ref="L487">IF($B487=0,IF($E487=0,"",IF(INDEX(DMAV_Dienste!O$6:O$140,$E487)="","",INDEX(DMAV_Dienste!O$6:O$140,$E487))),IF(INDEX(DMAV_Modell!P$6:P$838,$B487)="","",INDEX(DMAV_Modell!P$6:P$838,$B487)))</f>
        <v>Grundstuecke</v>
      </c>
      <c r="M487" s="62" t="str" cm="1">
        <f t="array" ref="M487">IF($B487=0,IF($E487=0,"",IF(INDEX(DMAV_Dienste!Q$6:Q$140,$E487)="","",INDEX(DMAV_Dienste!Q$6:Q$140,$E487))),IF(INDEX(DMAV_Modell!R$6:R$838,$B487)="","",INDEX(DMAV_Modell!R$6:R$838,$B487)))</f>
        <v>Untergang_Grenzpunkt</v>
      </c>
      <c r="N487" s="62" t="str" cm="1">
        <f t="array" ref="N487">IF($B487=0,IF($E487=0,"",IF(INDEX(DMAV_Dienste!T$6:T$140,$E487)="","",INDEX(DMAV_Dienste!T$6:T$140,$E487))),IF(INDEX(DMAV_Modell!U$6:U$838,$B487)="","",INDEX(DMAV_Modell!U$6:U$838,$B487)))</f>
        <v>Untergang</v>
      </c>
      <c r="O487" s="63" t="str" cm="1">
        <f t="array" aca="1" ref="O487" ca="1">IF(C487=0,IF(F487=0,"",HYPERLINK("#"&amp;RIGHT(CELL("adresse",OFFSET(DMAV_Dienste!$M$6,F487-1,0)),LEN(CELL("adresse",OFFSET(DMAV_Dienste!$M$6,F487-1,0)))-FIND("]",CELL("adresse",OFFSET(DMAV_Dienste!$M$6,F487-1,0)))),"Structure")),HYPERLINK("#"&amp;RIGHT(CELL("adresse",OFFSET(DMAV_Modell!$N$6,C487-1,0)),LEN(CELL("adresse",OFFSET(DMAV_Modell!$N$6,C487-1,0)))-FIND("]",CELL("adresse",OFFSET(DMAV_Modell!$N$6,C487-1,0)))),"Structure"))</f>
        <v/>
      </c>
      <c r="P487" s="64" t="str" cm="1">
        <f t="array" aca="1" ref="P487" ca="1">IF(D487=0,IF(G487=0,"",HYPERLINK("#"&amp;RIGHT(CELL("adresse",OFFSET(DMAV_Dienste!$M$6,G487-1,0)),LEN(CELL("adresse",OFFSET(DMAV_Dienste!$M$6,G487-1,0)))-FIND("]",CELL("adresse",OFFSET(DMAV_Dienste!$M$6,G487-1,0)))),"Substructure")),HYPERLINK("#"&amp;RIGHT(CELL("adresse",OFFSET(DMAV_Modell!$N$6,D487-1,0)),LEN(CELL("adresse",OFFSET(DMAV_Modell!$N$6,D487-1,0)))-FIND("]",CELL("adresse",OFFSET(DMAV_Modell!$N$6,D487-1,0)))),"Substructure"))</f>
        <v/>
      </c>
      <c r="R487" s="80"/>
      <c r="T487" s="93"/>
      <c r="U487" s="94"/>
      <c r="V487" s="95"/>
      <c r="W487" s="96"/>
      <c r="Y487" s="85"/>
      <c r="Z487" s="86"/>
      <c r="AA487" s="87"/>
      <c r="AB487" s="88"/>
      <c r="AD487" s="77"/>
      <c r="AF487" s="54" t="str" cm="1">
        <f t="array" aca="1" ref="AF487" ca="1">IF(H487=0,"",HYPERLINK("#"&amp;RIGHT(CELL("adresse",OFFSET('DM01-AV-CH'!$G$6,H487-1,0)),LEN(CELL("adresse",OFFSET('DM01-AV-CH'!$G$6,H487-1,0)))-FIND("]",CELL("adresse",OFFSET('DM01-AV-CH'!$G$6,H487-1,0)))),"Modell"))</f>
        <v/>
      </c>
      <c r="AG487" s="72" t="str" cm="1">
        <f t="array" ref="AG487">IF($H487=0,"",IF(INDEX('DM01-AV-CH'!G$6:G$834,$H487)="","",INDEX('DM01-AV-CH'!G$6:G$834,$H487)))</f>
        <v/>
      </c>
      <c r="AH487" s="73" t="str" cm="1">
        <f t="array" ref="AH487">IF($H487=0,"",IF(INDEX('DM01-AV-CH'!H$6:H$834,$H487)="","",INDEX('DM01-AV-CH'!H$6:H$834,$H487)))</f>
        <v/>
      </c>
      <c r="AI487" s="74" t="str" cm="1">
        <f t="array" ref="AI487">IF($H487=0,"",IF(INDEX('DM01-AV-CH'!I$6:I$834,$H487)="","",INDEX('DM01-AV-CH'!I$6:I$834,$H487)))</f>
        <v/>
      </c>
    </row>
    <row r="488" spans="1:35" x14ac:dyDescent="0.25">
      <c r="A488" s="57">
        <v>483</v>
      </c>
      <c r="B488" s="57">
        <f>IF($A488="","",IF(_xlfn.XLOOKUP($A488,Korrelation!$D$4:$D$1197,Korrelation!E$4:E$1197,"-",0)="-",0,MATCH(_xlfn.XLOOKUP($A488,Korrelation!$D$4:$D$1197,Korrelation!E$4:E$1197,"",0),DMAV_Modell!$G$6:$G$677,0)))</f>
        <v>234</v>
      </c>
      <c r="C488" s="57">
        <f>IF($A488="","",IF(_xlfn.XLOOKUP($A488,Korrelation!$D$4:$D$1197,Korrelation!F$4:F$1197,"-",0)="-",0,MATCH(_xlfn.XLOOKUP($A488,Korrelation!$D$4:$D$1197,Korrelation!F$4:F$1197,"",0),DMAV_Modell!$G$6:$G$677,0)))</f>
        <v>0</v>
      </c>
      <c r="D488" s="57">
        <f>IF($A488="","",IF(_xlfn.XLOOKUP($A488,Korrelation!$D$4:$D$1197,Korrelation!G$4:G$1197,"-",0)="-",0,MATCH(_xlfn.XLOOKUP($A488,Korrelation!$D$4:$D$1197,Korrelation!G$4:G$1197,"",0),DMAV_Modell!$G$6:$G$677,0)))</f>
        <v>0</v>
      </c>
      <c r="E488" s="57">
        <f>IF($A488="","",IF(_xlfn.XLOOKUP($A488,Korrelation!$D$4:$D$1197,Korrelation!H$4:H$1197,"-",0)="-",0,MATCH(_xlfn.XLOOKUP($A488,Korrelation!$D$4:$D$1197,Korrelation!H$4:H$1197,"",0),DMAV_Dienste!$F$6:$F$140,0)))</f>
        <v>0</v>
      </c>
      <c r="F488" s="57">
        <f>IF($A488="","",IF(_xlfn.XLOOKUP($A488,Korrelation!$D$4:$D$1197,Korrelation!I$4:I$1197,"-",0)="-",0,MATCH(_xlfn.XLOOKUP($A488,Korrelation!$D$4:$D$1197,Korrelation!I$4:I$1197,"",0),DMAV_Dienste!$F$6:$F$140,0)))</f>
        <v>0</v>
      </c>
      <c r="G488" s="57">
        <f>IF($A488="","",IF(_xlfn.XLOOKUP($A488,Korrelation!$D$4:$D$1197,Korrelation!J$4:J$1197,"-",0)="-",0,MATCH(_xlfn.XLOOKUP($A488,Korrelation!$D$4:$D$1197,Korrelation!J$4:J$1197,"",0),DMAV_Dienste!$F$6:$F$140,0)))</f>
        <v>0</v>
      </c>
      <c r="H488" s="57">
        <f>IF($A488="","",IF(_xlfn.XLOOKUP($A488,Korrelation!$D$4:$D$1197,Korrelation!K$4:K$1197,"-",0)="-",0,MATCH(_xlfn.XLOOKUP($A488,Korrelation!$D$4:$D$1197,Korrelation!K$4:K$1197,"",0),'DM01-AV-CH'!$A$6:$A$834,0)))</f>
        <v>0</v>
      </c>
      <c r="J488" s="54" t="str" cm="1">
        <f t="array" aca="1" ref="J488" ca="1">IF(B488=0,IF(E488=0,"",HYPERLINK("#"&amp;RIGHT(CELL("adresse",OFFSET(DMAV_Dienste!$M$6,E488-1,0)),LEN(CELL("adresse",OFFSET(DMAV_Dienste!$M$6,E488-1,0)))-FIND("]",CELL("adresse",OFFSET(DMAV_Dienste!$M$6,E488-1,0)))),"Dienst")),HYPERLINK("#"&amp;RIGHT(CELL("adresse",OFFSET(DMAV_Modell!$N$6,B488-1,0)),LEN(CELL("adresse",OFFSET(DMAV_Modell!$N$6,B488-1,0)))-FIND("]",CELL("adresse",OFFSET(DMAV_Modell!$N$6,B488-1,0)))),"Modell"))</f>
        <v>Modell</v>
      </c>
      <c r="K488" s="61" t="str" cm="1">
        <f t="array" ref="K488">IF($B488=0,IF($E488=0,"",IF(INDEX(DMAV_Dienste!P$6:P$140,$E488)="","",INDEX(DMAV_Dienste!P$6:P$140,$E488))),IF(INDEX(DMAV_Modell!Q$6:Q$838,$B488)="","",INDEX(DMAV_Modell!Q$6:Q$838,$B488)))</f>
        <v>ASSOCIATION</v>
      </c>
      <c r="L488" s="62" t="str" cm="1">
        <f t="array" ref="L488">IF($B488=0,IF($E488=0,"",IF(INDEX(DMAV_Dienste!O$6:O$140,$E488)="","",INDEX(DMAV_Dienste!O$6:O$140,$E488))),IF(INDEX(DMAV_Modell!P$6:P$838,$B488)="","",INDEX(DMAV_Modell!P$6:P$838,$B488)))</f>
        <v>Grundstuecke</v>
      </c>
      <c r="M488" s="62" t="str" cm="1">
        <f t="array" ref="M488">IF($B488=0,IF($E488=0,"",IF(INDEX(DMAV_Dienste!Q$6:Q$140,$E488)="","",INDEX(DMAV_Dienste!Q$6:Q$140,$E488))),IF(INDEX(DMAV_Modell!R$6:R$838,$B488)="","",INDEX(DMAV_Modell!R$6:R$838,$B488)))</f>
        <v>Untergang_Grenzpunkt</v>
      </c>
      <c r="N488" s="62" t="str" cm="1">
        <f t="array" ref="N488">IF($B488=0,IF($E488=0,"",IF(INDEX(DMAV_Dienste!T$6:T$140,$E488)="","",INDEX(DMAV_Dienste!T$6:T$140,$E488))),IF(INDEX(DMAV_Modell!U$6:U$838,$B488)="","",INDEX(DMAV_Modell!U$6:U$838,$B488)))</f>
        <v>untergehender_Grenzpunkt</v>
      </c>
      <c r="O488" s="63" t="str" cm="1">
        <f t="array" aca="1" ref="O488" ca="1">IF(C488=0,IF(F488=0,"",HYPERLINK("#"&amp;RIGHT(CELL("adresse",OFFSET(DMAV_Dienste!$M$6,F488-1,0)),LEN(CELL("adresse",OFFSET(DMAV_Dienste!$M$6,F488-1,0)))-FIND("]",CELL("adresse",OFFSET(DMAV_Dienste!$M$6,F488-1,0)))),"Structure")),HYPERLINK("#"&amp;RIGHT(CELL("adresse",OFFSET(DMAV_Modell!$N$6,C488-1,0)),LEN(CELL("adresse",OFFSET(DMAV_Modell!$N$6,C488-1,0)))-FIND("]",CELL("adresse",OFFSET(DMAV_Modell!$N$6,C488-1,0)))),"Structure"))</f>
        <v/>
      </c>
      <c r="P488" s="64" t="str" cm="1">
        <f t="array" aca="1" ref="P488" ca="1">IF(D488=0,IF(G488=0,"",HYPERLINK("#"&amp;RIGHT(CELL("adresse",OFFSET(DMAV_Dienste!$M$6,G488-1,0)),LEN(CELL("adresse",OFFSET(DMAV_Dienste!$M$6,G488-1,0)))-FIND("]",CELL("adresse",OFFSET(DMAV_Dienste!$M$6,G488-1,0)))),"Substructure")),HYPERLINK("#"&amp;RIGHT(CELL("adresse",OFFSET(DMAV_Modell!$N$6,D488-1,0)),LEN(CELL("adresse",OFFSET(DMAV_Modell!$N$6,D488-1,0)))-FIND("]",CELL("adresse",OFFSET(DMAV_Modell!$N$6,D488-1,0)))),"Substructure"))</f>
        <v/>
      </c>
      <c r="R488" s="80"/>
      <c r="T488" s="93"/>
      <c r="U488" s="94"/>
      <c r="V488" s="95"/>
      <c r="W488" s="96"/>
      <c r="Y488" s="85"/>
      <c r="Z488" s="86"/>
      <c r="AA488" s="87"/>
      <c r="AB488" s="88"/>
      <c r="AD488" s="77"/>
      <c r="AF488" s="54" t="str" cm="1">
        <f t="array" aca="1" ref="AF488" ca="1">IF(H488=0,"",HYPERLINK("#"&amp;RIGHT(CELL("adresse",OFFSET('DM01-AV-CH'!$G$6,H488-1,0)),LEN(CELL("adresse",OFFSET('DM01-AV-CH'!$G$6,H488-1,0)))-FIND("]",CELL("adresse",OFFSET('DM01-AV-CH'!$G$6,H488-1,0)))),"Modell"))</f>
        <v/>
      </c>
      <c r="AG488" s="72" t="str" cm="1">
        <f t="array" ref="AG488">IF($H488=0,"",IF(INDEX('DM01-AV-CH'!G$6:G$834,$H488)="","",INDEX('DM01-AV-CH'!G$6:G$834,$H488)))</f>
        <v/>
      </c>
      <c r="AH488" s="73" t="str" cm="1">
        <f t="array" ref="AH488">IF($H488=0,"",IF(INDEX('DM01-AV-CH'!H$6:H$834,$H488)="","",INDEX('DM01-AV-CH'!H$6:H$834,$H488)))</f>
        <v/>
      </c>
      <c r="AI488" s="74" t="str" cm="1">
        <f t="array" ref="AI488">IF($H488=0,"",IF(INDEX('DM01-AV-CH'!I$6:I$834,$H488)="","",INDEX('DM01-AV-CH'!I$6:I$834,$H488)))</f>
        <v/>
      </c>
    </row>
    <row r="489" spans="1:35" x14ac:dyDescent="0.25">
      <c r="A489" s="57">
        <v>484</v>
      </c>
      <c r="B489" s="57">
        <f>IF($A489="","",IF(_xlfn.XLOOKUP($A489,Korrelation!$D$4:$D$1197,Korrelation!E$4:E$1197,"-",0)="-",0,MATCH(_xlfn.XLOOKUP($A489,Korrelation!$D$4:$D$1197,Korrelation!E$4:E$1197,"",0),DMAV_Modell!$G$6:$G$677,0)))</f>
        <v>235</v>
      </c>
      <c r="C489" s="57">
        <f>IF($A489="","",IF(_xlfn.XLOOKUP($A489,Korrelation!$D$4:$D$1197,Korrelation!F$4:F$1197,"-",0)="-",0,MATCH(_xlfn.XLOOKUP($A489,Korrelation!$D$4:$D$1197,Korrelation!F$4:F$1197,"",0),DMAV_Modell!$G$6:$G$677,0)))</f>
        <v>0</v>
      </c>
      <c r="D489" s="57">
        <f>IF($A489="","",IF(_xlfn.XLOOKUP($A489,Korrelation!$D$4:$D$1197,Korrelation!G$4:G$1197,"-",0)="-",0,MATCH(_xlfn.XLOOKUP($A489,Korrelation!$D$4:$D$1197,Korrelation!G$4:G$1197,"",0),DMAV_Modell!$G$6:$G$677,0)))</f>
        <v>0</v>
      </c>
      <c r="E489" s="57">
        <f>IF($A489="","",IF(_xlfn.XLOOKUP($A489,Korrelation!$D$4:$D$1197,Korrelation!H$4:H$1197,"-",0)="-",0,MATCH(_xlfn.XLOOKUP($A489,Korrelation!$D$4:$D$1197,Korrelation!H$4:H$1197,"",0),DMAV_Dienste!$F$6:$F$140,0)))</f>
        <v>0</v>
      </c>
      <c r="F489" s="57">
        <f>IF($A489="","",IF(_xlfn.XLOOKUP($A489,Korrelation!$D$4:$D$1197,Korrelation!I$4:I$1197,"-",0)="-",0,MATCH(_xlfn.XLOOKUP($A489,Korrelation!$D$4:$D$1197,Korrelation!I$4:I$1197,"",0),DMAV_Dienste!$F$6:$F$140,0)))</f>
        <v>0</v>
      </c>
      <c r="G489" s="57">
        <f>IF($A489="","",IF(_xlfn.XLOOKUP($A489,Korrelation!$D$4:$D$1197,Korrelation!J$4:J$1197,"-",0)="-",0,MATCH(_xlfn.XLOOKUP($A489,Korrelation!$D$4:$D$1197,Korrelation!J$4:J$1197,"",0),DMAV_Dienste!$F$6:$F$140,0)))</f>
        <v>0</v>
      </c>
      <c r="H489" s="57">
        <f>IF($A489="","",IF(_xlfn.XLOOKUP($A489,Korrelation!$D$4:$D$1197,Korrelation!K$4:K$1197,"-",0)="-",0,MATCH(_xlfn.XLOOKUP($A489,Korrelation!$D$4:$D$1197,Korrelation!K$4:K$1197,"",0),'DM01-AV-CH'!$A$6:$A$834,0)))</f>
        <v>0</v>
      </c>
      <c r="J489" s="54" t="str" cm="1">
        <f t="array" aca="1" ref="J489" ca="1">IF(B489=0,IF(E489=0,"",HYPERLINK("#"&amp;RIGHT(CELL("adresse",OFFSET(DMAV_Dienste!$M$6,E489-1,0)),LEN(CELL("adresse",OFFSET(DMAV_Dienste!$M$6,E489-1,0)))-FIND("]",CELL("adresse",OFFSET(DMAV_Dienste!$M$6,E489-1,0)))),"Dienst")),HYPERLINK("#"&amp;RIGHT(CELL("adresse",OFFSET(DMAV_Modell!$N$6,B489-1,0)),LEN(CELL("adresse",OFFSET(DMAV_Modell!$N$6,B489-1,0)))-FIND("]",CELL("adresse",OFFSET(DMAV_Modell!$N$6,B489-1,0)))),"Modell"))</f>
        <v>Modell</v>
      </c>
      <c r="K489" s="61" t="str" cm="1">
        <f t="array" ref="K489">IF($B489=0,IF($E489=0,"",IF(INDEX(DMAV_Dienste!P$6:P$140,$E489)="","",INDEX(DMAV_Dienste!P$6:P$140,$E489))),IF(INDEX(DMAV_Modell!Q$6:Q$838,$B489)="","",INDEX(DMAV_Modell!Q$6:Q$838,$B489)))</f>
        <v>VIEW</v>
      </c>
      <c r="L489" s="62" t="str" cm="1">
        <f t="array" ref="L489">IF($B489=0,IF($E489=0,"",IF(INDEX(DMAV_Dienste!O$6:O$140,$E489)="","",INDEX(DMAV_Dienste!O$6:O$140,$E489))),IF(INDEX(DMAV_Modell!P$6:P$838,$B489)="","",INDEX(DMAV_Modell!P$6:P$838,$B489)))</f>
        <v>Grundstuecke</v>
      </c>
      <c r="M489" s="62" t="str" cm="1">
        <f t="array" ref="M489">IF($B489=0,IF($E489=0,"",IF(INDEX(DMAV_Dienste!Q$6:Q$140,$E489)="","",INDEX(DMAV_Dienste!Q$6:Q$140,$E489))),IF(INDEX(DMAV_Modell!R$6:R$838,$B489)="","",INDEX(DMAV_Modell!R$6:R$838,$B489)))</f>
        <v>Grenzpunkt_Gueltig</v>
      </c>
      <c r="N489" s="62" t="str" cm="1">
        <f t="array" ref="N489">IF($B489=0,IF($E489=0,"",IF(INDEX(DMAV_Dienste!T$6:T$140,$E489)="","",INDEX(DMAV_Dienste!T$6:T$140,$E489))),IF(INDEX(DMAV_Modell!U$6:U$838,$B489)="","",INDEX(DMAV_Modell!U$6:U$838,$B489)))</f>
        <v>PROJECTION OF</v>
      </c>
      <c r="O489" s="63" t="str" cm="1">
        <f t="array" aca="1" ref="O489" ca="1">IF(C489=0,IF(F489=0,"",HYPERLINK("#"&amp;RIGHT(CELL("adresse",OFFSET(DMAV_Dienste!$M$6,F489-1,0)),LEN(CELL("adresse",OFFSET(DMAV_Dienste!$M$6,F489-1,0)))-FIND("]",CELL("adresse",OFFSET(DMAV_Dienste!$M$6,F489-1,0)))),"Structure")),HYPERLINK("#"&amp;RIGHT(CELL("adresse",OFFSET(DMAV_Modell!$N$6,C489-1,0)),LEN(CELL("adresse",OFFSET(DMAV_Modell!$N$6,C489-1,0)))-FIND("]",CELL("adresse",OFFSET(DMAV_Modell!$N$6,C489-1,0)))),"Structure"))</f>
        <v/>
      </c>
      <c r="P489" s="64" t="str" cm="1">
        <f t="array" aca="1" ref="P489" ca="1">IF(D489=0,IF(G489=0,"",HYPERLINK("#"&amp;RIGHT(CELL("adresse",OFFSET(DMAV_Dienste!$M$6,G489-1,0)),LEN(CELL("adresse",OFFSET(DMAV_Dienste!$M$6,G489-1,0)))-FIND("]",CELL("adresse",OFFSET(DMAV_Dienste!$M$6,G489-1,0)))),"Substructure")),HYPERLINK("#"&amp;RIGHT(CELL("adresse",OFFSET(DMAV_Modell!$N$6,D489-1,0)),LEN(CELL("adresse",OFFSET(DMAV_Modell!$N$6,D489-1,0)))-FIND("]",CELL("adresse",OFFSET(DMAV_Modell!$N$6,D489-1,0)))),"Substructure"))</f>
        <v/>
      </c>
      <c r="R489" s="80"/>
      <c r="T489" s="93"/>
      <c r="U489" s="94"/>
      <c r="V489" s="95"/>
      <c r="W489" s="96"/>
      <c r="Y489" s="85"/>
      <c r="Z489" s="86"/>
      <c r="AA489" s="87"/>
      <c r="AB489" s="88"/>
      <c r="AD489" s="77"/>
      <c r="AF489" s="54" t="str" cm="1">
        <f t="array" aca="1" ref="AF489" ca="1">IF(H489=0,"",HYPERLINK("#"&amp;RIGHT(CELL("adresse",OFFSET('DM01-AV-CH'!$G$6,H489-1,0)),LEN(CELL("adresse",OFFSET('DM01-AV-CH'!$G$6,H489-1,0)))-FIND("]",CELL("adresse",OFFSET('DM01-AV-CH'!$G$6,H489-1,0)))),"Modell"))</f>
        <v/>
      </c>
      <c r="AG489" s="72" t="str" cm="1">
        <f t="array" ref="AG489">IF($H489=0,"",IF(INDEX('DM01-AV-CH'!G$6:G$834,$H489)="","",INDEX('DM01-AV-CH'!G$6:G$834,$H489)))</f>
        <v/>
      </c>
      <c r="AH489" s="73" t="str" cm="1">
        <f t="array" ref="AH489">IF($H489=0,"",IF(INDEX('DM01-AV-CH'!H$6:H$834,$H489)="","",INDEX('DM01-AV-CH'!H$6:H$834,$H489)))</f>
        <v/>
      </c>
      <c r="AI489" s="74" t="str" cm="1">
        <f t="array" ref="AI489">IF($H489=0,"",IF(INDEX('DM01-AV-CH'!I$6:I$834,$H489)="","",INDEX('DM01-AV-CH'!I$6:I$834,$H489)))</f>
        <v/>
      </c>
    </row>
    <row r="490" spans="1:35" x14ac:dyDescent="0.25">
      <c r="A490" s="57">
        <v>485</v>
      </c>
      <c r="B490" s="57">
        <f>IF($A490="","",IF(_xlfn.XLOOKUP($A490,Korrelation!$D$4:$D$1197,Korrelation!E$4:E$1197,"-",0)="-",0,MATCH(_xlfn.XLOOKUP($A490,Korrelation!$D$4:$D$1197,Korrelation!E$4:E$1197,"",0),DMAV_Modell!$G$6:$G$677,0)))</f>
        <v>236</v>
      </c>
      <c r="C490" s="57">
        <f>IF($A490="","",IF(_xlfn.XLOOKUP($A490,Korrelation!$D$4:$D$1197,Korrelation!F$4:F$1197,"-",0)="-",0,MATCH(_xlfn.XLOOKUP($A490,Korrelation!$D$4:$D$1197,Korrelation!F$4:F$1197,"",0),DMAV_Modell!$G$6:$G$677,0)))</f>
        <v>0</v>
      </c>
      <c r="D490" s="57">
        <f>IF($A490="","",IF(_xlfn.XLOOKUP($A490,Korrelation!$D$4:$D$1197,Korrelation!G$4:G$1197,"-",0)="-",0,MATCH(_xlfn.XLOOKUP($A490,Korrelation!$D$4:$D$1197,Korrelation!G$4:G$1197,"",0),DMAV_Modell!$G$6:$G$677,0)))</f>
        <v>0</v>
      </c>
      <c r="E490" s="57">
        <f>IF($A490="","",IF(_xlfn.XLOOKUP($A490,Korrelation!$D$4:$D$1197,Korrelation!H$4:H$1197,"-",0)="-",0,MATCH(_xlfn.XLOOKUP($A490,Korrelation!$D$4:$D$1197,Korrelation!H$4:H$1197,"",0),DMAV_Dienste!$F$6:$F$140,0)))</f>
        <v>0</v>
      </c>
      <c r="F490" s="57">
        <f>IF($A490="","",IF(_xlfn.XLOOKUP($A490,Korrelation!$D$4:$D$1197,Korrelation!I$4:I$1197,"-",0)="-",0,MATCH(_xlfn.XLOOKUP($A490,Korrelation!$D$4:$D$1197,Korrelation!I$4:I$1197,"",0),DMAV_Dienste!$F$6:$F$140,0)))</f>
        <v>0</v>
      </c>
      <c r="G490" s="57">
        <f>IF($A490="","",IF(_xlfn.XLOOKUP($A490,Korrelation!$D$4:$D$1197,Korrelation!J$4:J$1197,"-",0)="-",0,MATCH(_xlfn.XLOOKUP($A490,Korrelation!$D$4:$D$1197,Korrelation!J$4:J$1197,"",0),DMAV_Dienste!$F$6:$F$140,0)))</f>
        <v>0</v>
      </c>
      <c r="H490" s="57">
        <f>IF($A490="","",IF(_xlfn.XLOOKUP($A490,Korrelation!$D$4:$D$1197,Korrelation!K$4:K$1197,"-",0)="-",0,MATCH(_xlfn.XLOOKUP($A490,Korrelation!$D$4:$D$1197,Korrelation!K$4:K$1197,"",0),'DM01-AV-CH'!$A$6:$A$834,0)))</f>
        <v>0</v>
      </c>
      <c r="J490" s="54" t="str" cm="1">
        <f t="array" aca="1" ref="J490" ca="1">IF(B490=0,IF(E490=0,"",HYPERLINK("#"&amp;RIGHT(CELL("adresse",OFFSET(DMAV_Dienste!$M$6,E490-1,0)),LEN(CELL("adresse",OFFSET(DMAV_Dienste!$M$6,E490-1,0)))-FIND("]",CELL("adresse",OFFSET(DMAV_Dienste!$M$6,E490-1,0)))),"Dienst")),HYPERLINK("#"&amp;RIGHT(CELL("adresse",OFFSET(DMAV_Modell!$N$6,B490-1,0)),LEN(CELL("adresse",OFFSET(DMAV_Modell!$N$6,B490-1,0)))-FIND("]",CELL("adresse",OFFSET(DMAV_Modell!$N$6,B490-1,0)))),"Modell"))</f>
        <v>Modell</v>
      </c>
      <c r="K490" s="61" t="str" cm="1">
        <f t="array" ref="K490">IF($B490=0,IF($E490=0,"",IF(INDEX(DMAV_Dienste!P$6:P$140,$E490)="","",INDEX(DMAV_Dienste!P$6:P$140,$E490))),IF(INDEX(DMAV_Modell!Q$6:Q$838,$B490)="","",INDEX(DMAV_Modell!Q$6:Q$838,$B490)))</f>
        <v>VIEW</v>
      </c>
      <c r="L490" s="62" t="str" cm="1">
        <f t="array" ref="L490">IF($B490=0,IF($E490=0,"",IF(INDEX(DMAV_Dienste!O$6:O$140,$E490)="","",INDEX(DMAV_Dienste!O$6:O$140,$E490))),IF(INDEX(DMAV_Modell!P$6:P$838,$B490)="","",INDEX(DMAV_Modell!P$6:P$838,$B490)))</f>
        <v>Grundstuecke</v>
      </c>
      <c r="M490" s="62" t="str" cm="1">
        <f t="array" ref="M490">IF($B490=0,IF($E490=0,"",IF(INDEX(DMAV_Dienste!Q$6:Q$140,$E490)="","",INDEX(DMAV_Dienste!Q$6:Q$140,$E490))),IF(INDEX(DMAV_Modell!R$6:R$838,$B490)="","",INDEX(DMAV_Modell!R$6:R$838,$B490)))</f>
        <v>Grenzpunkt_Gueltig</v>
      </c>
      <c r="N490" s="62" t="str" cm="1">
        <f t="array" ref="N490">IF($B490=0,IF($E490=0,"",IF(INDEX(DMAV_Dienste!T$6:T$140,$E490)="","",INDEX(DMAV_Dienste!T$6:T$140,$E490))),IF(INDEX(DMAV_Modell!U$6:U$838,$B490)="","",INDEX(DMAV_Modell!U$6:U$838,$B490)))</f>
        <v>WHERE DEFINED(@PH1@) AND DEFINED(@PH2@) AND (NOT(DEFINED(@PH3@)) OR NOT(DEFINED(@PH4@)))</v>
      </c>
      <c r="O490" s="63" t="str" cm="1">
        <f t="array" aca="1" ref="O490" ca="1">IF(C490=0,IF(F490=0,"",HYPERLINK("#"&amp;RIGHT(CELL("adresse",OFFSET(DMAV_Dienste!$M$6,F490-1,0)),LEN(CELL("adresse",OFFSET(DMAV_Dienste!$M$6,F490-1,0)))-FIND("]",CELL("adresse",OFFSET(DMAV_Dienste!$M$6,F490-1,0)))),"Structure")),HYPERLINK("#"&amp;RIGHT(CELL("adresse",OFFSET(DMAV_Modell!$N$6,C490-1,0)),LEN(CELL("adresse",OFFSET(DMAV_Modell!$N$6,C490-1,0)))-FIND("]",CELL("adresse",OFFSET(DMAV_Modell!$N$6,C490-1,0)))),"Structure"))</f>
        <v/>
      </c>
      <c r="P490" s="64" t="str" cm="1">
        <f t="array" aca="1" ref="P490" ca="1">IF(D490=0,IF(G490=0,"",HYPERLINK("#"&amp;RIGHT(CELL("adresse",OFFSET(DMAV_Dienste!$M$6,G490-1,0)),LEN(CELL("adresse",OFFSET(DMAV_Dienste!$M$6,G490-1,0)))-FIND("]",CELL("adresse",OFFSET(DMAV_Dienste!$M$6,G490-1,0)))),"Substructure")),HYPERLINK("#"&amp;RIGHT(CELL("adresse",OFFSET(DMAV_Modell!$N$6,D490-1,0)),LEN(CELL("adresse",OFFSET(DMAV_Modell!$N$6,D490-1,0)))-FIND("]",CELL("adresse",OFFSET(DMAV_Modell!$N$6,D490-1,0)))),"Substructure"))</f>
        <v/>
      </c>
      <c r="R490" s="80"/>
      <c r="T490" s="93"/>
      <c r="U490" s="94"/>
      <c r="V490" s="95"/>
      <c r="W490" s="96"/>
      <c r="Y490" s="85"/>
      <c r="Z490" s="86"/>
      <c r="AA490" s="87"/>
      <c r="AB490" s="88"/>
      <c r="AD490" s="77"/>
      <c r="AF490" s="54" t="str" cm="1">
        <f t="array" aca="1" ref="AF490" ca="1">IF(H490=0,"",HYPERLINK("#"&amp;RIGHT(CELL("adresse",OFFSET('DM01-AV-CH'!$G$6,H490-1,0)),LEN(CELL("adresse",OFFSET('DM01-AV-CH'!$G$6,H490-1,0)))-FIND("]",CELL("adresse",OFFSET('DM01-AV-CH'!$G$6,H490-1,0)))),"Modell"))</f>
        <v/>
      </c>
      <c r="AG490" s="72" t="str" cm="1">
        <f t="array" ref="AG490">IF($H490=0,"",IF(INDEX('DM01-AV-CH'!G$6:G$834,$H490)="","",INDEX('DM01-AV-CH'!G$6:G$834,$H490)))</f>
        <v/>
      </c>
      <c r="AH490" s="73" t="str" cm="1">
        <f t="array" ref="AH490">IF($H490=0,"",IF(INDEX('DM01-AV-CH'!H$6:H$834,$H490)="","",INDEX('DM01-AV-CH'!H$6:H$834,$H490)))</f>
        <v/>
      </c>
      <c r="AI490" s="74" t="str" cm="1">
        <f t="array" ref="AI490">IF($H490=0,"",IF(INDEX('DM01-AV-CH'!I$6:I$834,$H490)="","",INDEX('DM01-AV-CH'!I$6:I$834,$H490)))</f>
        <v/>
      </c>
    </row>
    <row r="491" spans="1:35" x14ac:dyDescent="0.25">
      <c r="A491" s="57">
        <v>486</v>
      </c>
      <c r="B491" s="57">
        <f>IF($A491="","",IF(_xlfn.XLOOKUP($A491,Korrelation!$D$4:$D$1197,Korrelation!E$4:E$1197,"-",0)="-",0,MATCH(_xlfn.XLOOKUP($A491,Korrelation!$D$4:$D$1197,Korrelation!E$4:E$1197,"",0),DMAV_Modell!$G$6:$G$677,0)))</f>
        <v>237</v>
      </c>
      <c r="C491" s="57">
        <f>IF($A491="","",IF(_xlfn.XLOOKUP($A491,Korrelation!$D$4:$D$1197,Korrelation!F$4:F$1197,"-",0)="-",0,MATCH(_xlfn.XLOOKUP($A491,Korrelation!$D$4:$D$1197,Korrelation!F$4:F$1197,"",0),DMAV_Modell!$G$6:$G$677,0)))</f>
        <v>0</v>
      </c>
      <c r="D491" s="57">
        <f>IF($A491="","",IF(_xlfn.XLOOKUP($A491,Korrelation!$D$4:$D$1197,Korrelation!G$4:G$1197,"-",0)="-",0,MATCH(_xlfn.XLOOKUP($A491,Korrelation!$D$4:$D$1197,Korrelation!G$4:G$1197,"",0),DMAV_Modell!$G$6:$G$677,0)))</f>
        <v>0</v>
      </c>
      <c r="E491" s="57">
        <f>IF($A491="","",IF(_xlfn.XLOOKUP($A491,Korrelation!$D$4:$D$1197,Korrelation!H$4:H$1197,"-",0)="-",0,MATCH(_xlfn.XLOOKUP($A491,Korrelation!$D$4:$D$1197,Korrelation!H$4:H$1197,"",0),DMAV_Dienste!$F$6:$F$140,0)))</f>
        <v>0</v>
      </c>
      <c r="F491" s="57">
        <f>IF($A491="","",IF(_xlfn.XLOOKUP($A491,Korrelation!$D$4:$D$1197,Korrelation!I$4:I$1197,"-",0)="-",0,MATCH(_xlfn.XLOOKUP($A491,Korrelation!$D$4:$D$1197,Korrelation!I$4:I$1197,"",0),DMAV_Dienste!$F$6:$F$140,0)))</f>
        <v>0</v>
      </c>
      <c r="G491" s="57">
        <f>IF($A491="","",IF(_xlfn.XLOOKUP($A491,Korrelation!$D$4:$D$1197,Korrelation!J$4:J$1197,"-",0)="-",0,MATCH(_xlfn.XLOOKUP($A491,Korrelation!$D$4:$D$1197,Korrelation!J$4:J$1197,"",0),DMAV_Dienste!$F$6:$F$140,0)))</f>
        <v>0</v>
      </c>
      <c r="H491" s="57">
        <f>IF($A491="","",IF(_xlfn.XLOOKUP($A491,Korrelation!$D$4:$D$1197,Korrelation!K$4:K$1197,"-",0)="-",0,MATCH(_xlfn.XLOOKUP($A491,Korrelation!$D$4:$D$1197,Korrelation!K$4:K$1197,"",0),'DM01-AV-CH'!$A$6:$A$834,0)))</f>
        <v>0</v>
      </c>
      <c r="J491" s="54" t="str" cm="1">
        <f t="array" aca="1" ref="J491" ca="1">IF(B491=0,IF(E491=0,"",HYPERLINK("#"&amp;RIGHT(CELL("adresse",OFFSET(DMAV_Dienste!$M$6,E491-1,0)),LEN(CELL("adresse",OFFSET(DMAV_Dienste!$M$6,E491-1,0)))-FIND("]",CELL("adresse",OFFSET(DMAV_Dienste!$M$6,E491-1,0)))),"Dienst")),HYPERLINK("#"&amp;RIGHT(CELL("adresse",OFFSET(DMAV_Modell!$N$6,B491-1,0)),LEN(CELL("adresse",OFFSET(DMAV_Modell!$N$6,B491-1,0)))-FIND("]",CELL("adresse",OFFSET(DMAV_Modell!$N$6,B491-1,0)))),"Modell"))</f>
        <v>Modell</v>
      </c>
      <c r="K491" s="61" t="str" cm="1">
        <f t="array" ref="K491">IF($B491=0,IF($E491=0,"",IF(INDEX(DMAV_Dienste!P$6:P$140,$E491)="","",INDEX(DMAV_Dienste!P$6:P$140,$E491))),IF(INDEX(DMAV_Modell!Q$6:Q$838,$B491)="","",INDEX(DMAV_Modell!Q$6:Q$838,$B491)))</f>
        <v>VIEW</v>
      </c>
      <c r="L491" s="62" t="str" cm="1">
        <f t="array" ref="L491">IF($B491=0,IF($E491=0,"",IF(INDEX(DMAV_Dienste!O$6:O$140,$E491)="","",INDEX(DMAV_Dienste!O$6:O$140,$E491))),IF(INDEX(DMAV_Modell!P$6:P$838,$B491)="","",INDEX(DMAV_Modell!P$6:P$838,$B491)))</f>
        <v>Grundstuecke</v>
      </c>
      <c r="M491" s="62" t="str" cm="1">
        <f t="array" ref="M491">IF($B491=0,IF($E491=0,"",IF(INDEX(DMAV_Dienste!Q$6:Q$140,$E491)="","",INDEX(DMAV_Dienste!Q$6:Q$140,$E491))),IF(INDEX(DMAV_Modell!R$6:R$838,$B491)="","",INDEX(DMAV_Modell!R$6:R$838,$B491)))</f>
        <v>Grenzpunkt_Gueltig</v>
      </c>
      <c r="N491" s="62" t="str" cm="1">
        <f t="array" ref="N491">IF($B491=0,IF($E491=0,"",IF(INDEX(DMAV_Dienste!T$6:T$140,$E491)="","",INDEX(DMAV_Dienste!T$6:T$140,$E491))),IF(INDEX(DMAV_Modell!U$6:U$838,$B491)="","",INDEX(DMAV_Modell!U$6:U$838,$B491)))</f>
        <v>= ALL OF</v>
      </c>
      <c r="O491" s="63" t="str" cm="1">
        <f t="array" aca="1" ref="O491" ca="1">IF(C491=0,IF(F491=0,"",HYPERLINK("#"&amp;RIGHT(CELL("adresse",OFFSET(DMAV_Dienste!$M$6,F491-1,0)),LEN(CELL("adresse",OFFSET(DMAV_Dienste!$M$6,F491-1,0)))-FIND("]",CELL("adresse",OFFSET(DMAV_Dienste!$M$6,F491-1,0)))),"Structure")),HYPERLINK("#"&amp;RIGHT(CELL("adresse",OFFSET(DMAV_Modell!$N$6,C491-1,0)),LEN(CELL("adresse",OFFSET(DMAV_Modell!$N$6,C491-1,0)))-FIND("]",CELL("adresse",OFFSET(DMAV_Modell!$N$6,C491-1,0)))),"Structure"))</f>
        <v/>
      </c>
      <c r="P491" s="64" t="str" cm="1">
        <f t="array" aca="1" ref="P491" ca="1">IF(D491=0,IF(G491=0,"",HYPERLINK("#"&amp;RIGHT(CELL("adresse",OFFSET(DMAV_Dienste!$M$6,G491-1,0)),LEN(CELL("adresse",OFFSET(DMAV_Dienste!$M$6,G491-1,0)))-FIND("]",CELL("adresse",OFFSET(DMAV_Dienste!$M$6,G491-1,0)))),"Substructure")),HYPERLINK("#"&amp;RIGHT(CELL("adresse",OFFSET(DMAV_Modell!$N$6,D491-1,0)),LEN(CELL("adresse",OFFSET(DMAV_Modell!$N$6,D491-1,0)))-FIND("]",CELL("adresse",OFFSET(DMAV_Modell!$N$6,D491-1,0)))),"Substructure"))</f>
        <v/>
      </c>
      <c r="R491" s="80"/>
      <c r="T491" s="93"/>
      <c r="U491" s="94"/>
      <c r="V491" s="95"/>
      <c r="W491" s="96"/>
      <c r="Y491" s="85"/>
      <c r="Z491" s="86"/>
      <c r="AA491" s="87"/>
      <c r="AB491" s="88"/>
      <c r="AD491" s="77"/>
      <c r="AF491" s="54" t="str" cm="1">
        <f t="array" aca="1" ref="AF491" ca="1">IF(H491=0,"",HYPERLINK("#"&amp;RIGHT(CELL("adresse",OFFSET('DM01-AV-CH'!$G$6,H491-1,0)),LEN(CELL("adresse",OFFSET('DM01-AV-CH'!$G$6,H491-1,0)))-FIND("]",CELL("adresse",OFFSET('DM01-AV-CH'!$G$6,H491-1,0)))),"Modell"))</f>
        <v/>
      </c>
      <c r="AG491" s="72" t="str" cm="1">
        <f t="array" ref="AG491">IF($H491=0,"",IF(INDEX('DM01-AV-CH'!G$6:G$834,$H491)="","",INDEX('DM01-AV-CH'!G$6:G$834,$H491)))</f>
        <v/>
      </c>
      <c r="AH491" s="73" t="str" cm="1">
        <f t="array" ref="AH491">IF($H491=0,"",IF(INDEX('DM01-AV-CH'!H$6:H$834,$H491)="","",INDEX('DM01-AV-CH'!H$6:H$834,$H491)))</f>
        <v/>
      </c>
      <c r="AI491" s="74" t="str" cm="1">
        <f t="array" ref="AI491">IF($H491=0,"",IF(INDEX('DM01-AV-CH'!I$6:I$834,$H491)="","",INDEX('DM01-AV-CH'!I$6:I$834,$H491)))</f>
        <v/>
      </c>
    </row>
    <row r="492" spans="1:35" x14ac:dyDescent="0.25">
      <c r="A492" s="57">
        <v>487</v>
      </c>
      <c r="B492" s="57">
        <f>IF($A492="","",IF(_xlfn.XLOOKUP($A492,Korrelation!$D$4:$D$1197,Korrelation!E$4:E$1197,"-",0)="-",0,MATCH(_xlfn.XLOOKUP($A492,Korrelation!$D$4:$D$1197,Korrelation!E$4:E$1197,"",0),DMAV_Modell!$G$6:$G$677,0)))</f>
        <v>238</v>
      </c>
      <c r="C492" s="57">
        <f>IF($A492="","",IF(_xlfn.XLOOKUP($A492,Korrelation!$D$4:$D$1197,Korrelation!F$4:F$1197,"-",0)="-",0,MATCH(_xlfn.XLOOKUP($A492,Korrelation!$D$4:$D$1197,Korrelation!F$4:F$1197,"",0),DMAV_Modell!$G$6:$G$677,0)))</f>
        <v>0</v>
      </c>
      <c r="D492" s="57">
        <f>IF($A492="","",IF(_xlfn.XLOOKUP($A492,Korrelation!$D$4:$D$1197,Korrelation!G$4:G$1197,"-",0)="-",0,MATCH(_xlfn.XLOOKUP($A492,Korrelation!$D$4:$D$1197,Korrelation!G$4:G$1197,"",0),DMAV_Modell!$G$6:$G$677,0)))</f>
        <v>0</v>
      </c>
      <c r="E492" s="57">
        <f>IF($A492="","",IF(_xlfn.XLOOKUP($A492,Korrelation!$D$4:$D$1197,Korrelation!H$4:H$1197,"-",0)="-",0,MATCH(_xlfn.XLOOKUP($A492,Korrelation!$D$4:$D$1197,Korrelation!H$4:H$1197,"",0),DMAV_Dienste!$F$6:$F$140,0)))</f>
        <v>0</v>
      </c>
      <c r="F492" s="57">
        <f>IF($A492="","",IF(_xlfn.XLOOKUP($A492,Korrelation!$D$4:$D$1197,Korrelation!I$4:I$1197,"-",0)="-",0,MATCH(_xlfn.XLOOKUP($A492,Korrelation!$D$4:$D$1197,Korrelation!I$4:I$1197,"",0),DMAV_Dienste!$F$6:$F$140,0)))</f>
        <v>0</v>
      </c>
      <c r="G492" s="57">
        <f>IF($A492="","",IF(_xlfn.XLOOKUP($A492,Korrelation!$D$4:$D$1197,Korrelation!J$4:J$1197,"-",0)="-",0,MATCH(_xlfn.XLOOKUP($A492,Korrelation!$D$4:$D$1197,Korrelation!J$4:J$1197,"",0),DMAV_Dienste!$F$6:$F$140,0)))</f>
        <v>0</v>
      </c>
      <c r="H492" s="57">
        <f>IF($A492="","",IF(_xlfn.XLOOKUP($A492,Korrelation!$D$4:$D$1197,Korrelation!K$4:K$1197,"-",0)="-",0,MATCH(_xlfn.XLOOKUP($A492,Korrelation!$D$4:$D$1197,Korrelation!K$4:K$1197,"",0),'DM01-AV-CH'!$A$6:$A$834,0)))</f>
        <v>0</v>
      </c>
      <c r="J492" s="54" t="str" cm="1">
        <f t="array" aca="1" ref="J492" ca="1">IF(B492=0,IF(E492=0,"",HYPERLINK("#"&amp;RIGHT(CELL("adresse",OFFSET(DMAV_Dienste!$M$6,E492-1,0)),LEN(CELL("adresse",OFFSET(DMAV_Dienste!$M$6,E492-1,0)))-FIND("]",CELL("adresse",OFFSET(DMAV_Dienste!$M$6,E492-1,0)))),"Dienst")),HYPERLINK("#"&amp;RIGHT(CELL("adresse",OFFSET(DMAV_Modell!$N$6,B492-1,0)),LEN(CELL("adresse",OFFSET(DMAV_Modell!$N$6,B492-1,0)))-FIND("]",CELL("adresse",OFFSET(DMAV_Modell!$N$6,B492-1,0)))),"Modell"))</f>
        <v>Modell</v>
      </c>
      <c r="K492" s="61" t="str" cm="1">
        <f t="array" ref="K492">IF($B492=0,IF($E492=0,"",IF(INDEX(DMAV_Dienste!P$6:P$140,$E492)="","",INDEX(DMAV_Dienste!P$6:P$140,$E492))),IF(INDEX(DMAV_Modell!Q$6:Q$838,$B492)="","",INDEX(DMAV_Modell!Q$6:Q$838,$B492)))</f>
        <v>VIEW</v>
      </c>
      <c r="L492" s="62" t="str" cm="1">
        <f t="array" ref="L492">IF($B492=0,IF($E492=0,"",IF(INDEX(DMAV_Dienste!O$6:O$140,$E492)="","",INDEX(DMAV_Dienste!O$6:O$140,$E492))),IF(INDEX(DMAV_Modell!P$6:P$838,$B492)="","",INDEX(DMAV_Modell!P$6:P$838,$B492)))</f>
        <v>Grundstuecke</v>
      </c>
      <c r="M492" s="62" t="str" cm="1">
        <f t="array" ref="M492">IF($B492=0,IF($E492=0,"",IF(INDEX(DMAV_Dienste!Q$6:Q$140,$E492)="","",INDEX(DMAV_Dienste!Q$6:Q$140,$E492))),IF(INDEX(DMAV_Modell!R$6:R$838,$B492)="","",INDEX(DMAV_Modell!R$6:R$838,$B492)))</f>
        <v>Grenzpunkt_Gueltig</v>
      </c>
      <c r="N492" s="62" t="str" cm="1">
        <f t="array" ref="N492">IF($B492=0,IF($E492=0,"",IF(INDEX(DMAV_Dienste!T$6:T$140,$E492)="","",INDEX(DMAV_Dienste!T$6:T$140,$E492))),IF(INDEX(DMAV_Modell!U$6:U$838,$B492)="","",INDEX(DMAV_Modell!U$6:U$838,$B492)))</f>
        <v>Geometrie</v>
      </c>
      <c r="O492" s="63" t="str" cm="1">
        <f t="array" aca="1" ref="O492" ca="1">IF(C492=0,IF(F492=0,"",HYPERLINK("#"&amp;RIGHT(CELL("adresse",OFFSET(DMAV_Dienste!$M$6,F492-1,0)),LEN(CELL("adresse",OFFSET(DMAV_Dienste!$M$6,F492-1,0)))-FIND("]",CELL("adresse",OFFSET(DMAV_Dienste!$M$6,F492-1,0)))),"Structure")),HYPERLINK("#"&amp;RIGHT(CELL("adresse",OFFSET(DMAV_Modell!$N$6,C492-1,0)),LEN(CELL("adresse",OFFSET(DMAV_Modell!$N$6,C492-1,0)))-FIND("]",CELL("adresse",OFFSET(DMAV_Modell!$N$6,C492-1,0)))),"Structure"))</f>
        <v/>
      </c>
      <c r="P492" s="64" t="str" cm="1">
        <f t="array" aca="1" ref="P492" ca="1">IF(D492=0,IF(G492=0,"",HYPERLINK("#"&amp;RIGHT(CELL("adresse",OFFSET(DMAV_Dienste!$M$6,G492-1,0)),LEN(CELL("adresse",OFFSET(DMAV_Dienste!$M$6,G492-1,0)))-FIND("]",CELL("adresse",OFFSET(DMAV_Dienste!$M$6,G492-1,0)))),"Substructure")),HYPERLINK("#"&amp;RIGHT(CELL("adresse",OFFSET(DMAV_Modell!$N$6,D492-1,0)),LEN(CELL("adresse",OFFSET(DMAV_Modell!$N$6,D492-1,0)))-FIND("]",CELL("adresse",OFFSET(DMAV_Modell!$N$6,D492-1,0)))),"Substructure"))</f>
        <v/>
      </c>
      <c r="R492" s="80"/>
      <c r="T492" s="93"/>
      <c r="U492" s="94"/>
      <c r="V492" s="95"/>
      <c r="W492" s="96"/>
      <c r="Y492" s="85"/>
      <c r="Z492" s="86"/>
      <c r="AA492" s="87"/>
      <c r="AB492" s="88"/>
      <c r="AD492" s="77"/>
      <c r="AF492" s="54" t="str" cm="1">
        <f t="array" aca="1" ref="AF492" ca="1">IF(H492=0,"",HYPERLINK("#"&amp;RIGHT(CELL("adresse",OFFSET('DM01-AV-CH'!$G$6,H492-1,0)),LEN(CELL("adresse",OFFSET('DM01-AV-CH'!$G$6,H492-1,0)))-FIND("]",CELL("adresse",OFFSET('DM01-AV-CH'!$G$6,H492-1,0)))),"Modell"))</f>
        <v/>
      </c>
      <c r="AG492" s="72" t="str" cm="1">
        <f t="array" ref="AG492">IF($H492=0,"",IF(INDEX('DM01-AV-CH'!G$6:G$834,$H492)="","",INDEX('DM01-AV-CH'!G$6:G$834,$H492)))</f>
        <v/>
      </c>
      <c r="AH492" s="73" t="str" cm="1">
        <f t="array" ref="AH492">IF($H492=0,"",IF(INDEX('DM01-AV-CH'!H$6:H$834,$H492)="","",INDEX('DM01-AV-CH'!H$6:H$834,$H492)))</f>
        <v/>
      </c>
      <c r="AI492" s="74" t="str" cm="1">
        <f t="array" ref="AI492">IF($H492=0,"",IF(INDEX('DM01-AV-CH'!I$6:I$834,$H492)="","",INDEX('DM01-AV-CH'!I$6:I$834,$H492)))</f>
        <v/>
      </c>
    </row>
    <row r="493" spans="1:35" x14ac:dyDescent="0.25">
      <c r="A493" s="57">
        <v>488</v>
      </c>
      <c r="B493" s="57">
        <f>IF($A493="","",IF(_xlfn.XLOOKUP($A493,Korrelation!$D$4:$D$1197,Korrelation!E$4:E$1197,"-",0)="-",0,MATCH(_xlfn.XLOOKUP($A493,Korrelation!$D$4:$D$1197,Korrelation!E$4:E$1197,"",0),DMAV_Modell!$G$6:$G$677,0)))</f>
        <v>0</v>
      </c>
      <c r="C493" s="57">
        <f>IF($A493="","",IF(_xlfn.XLOOKUP($A493,Korrelation!$D$4:$D$1197,Korrelation!F$4:F$1197,"-",0)="-",0,MATCH(_xlfn.XLOOKUP($A493,Korrelation!$D$4:$D$1197,Korrelation!F$4:F$1197,"",0),DMAV_Modell!$G$6:$G$677,0)))</f>
        <v>0</v>
      </c>
      <c r="D493" s="57">
        <f>IF($A493="","",IF(_xlfn.XLOOKUP($A493,Korrelation!$D$4:$D$1197,Korrelation!G$4:G$1197,"-",0)="-",0,MATCH(_xlfn.XLOOKUP($A493,Korrelation!$D$4:$D$1197,Korrelation!G$4:G$1197,"",0),DMAV_Modell!$G$6:$G$677,0)))</f>
        <v>0</v>
      </c>
      <c r="E493" s="57">
        <f>IF($A493="","",IF(_xlfn.XLOOKUP($A493,Korrelation!$D$4:$D$1197,Korrelation!H$4:H$1197,"-",0)="-",0,MATCH(_xlfn.XLOOKUP($A493,Korrelation!$D$4:$D$1197,Korrelation!H$4:H$1197,"",0),DMAV_Dienste!$F$6:$F$140,0)))</f>
        <v>0</v>
      </c>
      <c r="F493" s="57">
        <f>IF($A493="","",IF(_xlfn.XLOOKUP($A493,Korrelation!$D$4:$D$1197,Korrelation!I$4:I$1197,"-",0)="-",0,MATCH(_xlfn.XLOOKUP($A493,Korrelation!$D$4:$D$1197,Korrelation!I$4:I$1197,"",0),DMAV_Dienste!$F$6:$F$140,0)))</f>
        <v>0</v>
      </c>
      <c r="G493" s="57">
        <f>IF($A493="","",IF(_xlfn.XLOOKUP($A493,Korrelation!$D$4:$D$1197,Korrelation!J$4:J$1197,"-",0)="-",0,MATCH(_xlfn.XLOOKUP($A493,Korrelation!$D$4:$D$1197,Korrelation!J$4:J$1197,"",0),DMAV_Dienste!$F$6:$F$140,0)))</f>
        <v>0</v>
      </c>
      <c r="H493" s="57">
        <f>IF($A493="","",IF(_xlfn.XLOOKUP($A493,Korrelation!$D$4:$D$1197,Korrelation!K$4:K$1197,"-",0)="-",0,MATCH(_xlfn.XLOOKUP($A493,Korrelation!$D$4:$D$1197,Korrelation!K$4:K$1197,"",0),'DM01-AV-CH'!$A$6:$A$834,0)))</f>
        <v>443</v>
      </c>
      <c r="J493" s="54" t="str" cm="1">
        <f t="array" aca="1" ref="J493" ca="1">IF(B493=0,IF(E493=0,"",HYPERLINK("#"&amp;RIGHT(CELL("adresse",OFFSET(DMAV_Dienste!$M$6,E493-1,0)),LEN(CELL("adresse",OFFSET(DMAV_Dienste!$M$6,E493-1,0)))-FIND("]",CELL("adresse",OFFSET(DMAV_Dienste!$M$6,E493-1,0)))),"Dienst")),HYPERLINK("#"&amp;RIGHT(CELL("adresse",OFFSET(DMAV_Modell!$N$6,B493-1,0)),LEN(CELL("adresse",OFFSET(DMAV_Modell!$N$6,B493-1,0)))-FIND("]",CELL("adresse",OFFSET(DMAV_Modell!$N$6,B493-1,0)))),"Modell"))</f>
        <v/>
      </c>
      <c r="K493" s="61" t="str" cm="1">
        <f t="array" ref="K493">IF($B493=0,IF($E493=0,"",IF(INDEX(DMAV_Dienste!P$6:P$140,$E493)="","",INDEX(DMAV_Dienste!P$6:P$140,$E493))),IF(INDEX(DMAV_Modell!Q$6:Q$838,$B493)="","",INDEX(DMAV_Modell!Q$6:Q$838,$B493)))</f>
        <v/>
      </c>
      <c r="L493" s="62" t="str" cm="1">
        <f t="array" ref="L493">IF($B493=0,IF($E493=0,"",IF(INDEX(DMAV_Dienste!O$6:O$140,$E493)="","",INDEX(DMAV_Dienste!O$6:O$140,$E493))),IF(INDEX(DMAV_Modell!P$6:P$838,$B493)="","",INDEX(DMAV_Modell!P$6:P$838,$B493)))</f>
        <v/>
      </c>
      <c r="M493" s="62" t="str" cm="1">
        <f t="array" ref="M493">IF($B493=0,IF($E493=0,"",IF(INDEX(DMAV_Dienste!Q$6:Q$140,$E493)="","",INDEX(DMAV_Dienste!Q$6:Q$140,$E493))),IF(INDEX(DMAV_Modell!R$6:R$838,$B493)="","",INDEX(DMAV_Modell!R$6:R$838,$B493)))</f>
        <v/>
      </c>
      <c r="N493" s="62" t="str" cm="1">
        <f t="array" ref="N493">IF($B493=0,IF($E493=0,"",IF(INDEX(DMAV_Dienste!T$6:T$140,$E493)="","",INDEX(DMAV_Dienste!T$6:T$140,$E493))),IF(INDEX(DMAV_Modell!U$6:U$838,$B493)="","",INDEX(DMAV_Modell!U$6:U$838,$B493)))</f>
        <v/>
      </c>
      <c r="O493" s="63" t="str" cm="1">
        <f t="array" aca="1" ref="O493" ca="1">IF(C493=0,IF(F493=0,"",HYPERLINK("#"&amp;RIGHT(CELL("adresse",OFFSET(DMAV_Dienste!$M$6,F493-1,0)),LEN(CELL("adresse",OFFSET(DMAV_Dienste!$M$6,F493-1,0)))-FIND("]",CELL("adresse",OFFSET(DMAV_Dienste!$M$6,F493-1,0)))),"Structure")),HYPERLINK("#"&amp;RIGHT(CELL("adresse",OFFSET(DMAV_Modell!$N$6,C493-1,0)),LEN(CELL("adresse",OFFSET(DMAV_Modell!$N$6,C493-1,0)))-FIND("]",CELL("adresse",OFFSET(DMAV_Modell!$N$6,C493-1,0)))),"Structure"))</f>
        <v/>
      </c>
      <c r="P493" s="64" t="str" cm="1">
        <f t="array" aca="1" ref="P493" ca="1">IF(D493=0,IF(G493=0,"",HYPERLINK("#"&amp;RIGHT(CELL("adresse",OFFSET(DMAV_Dienste!$M$6,G493-1,0)),LEN(CELL("adresse",OFFSET(DMAV_Dienste!$M$6,G493-1,0)))-FIND("]",CELL("adresse",OFFSET(DMAV_Dienste!$M$6,G493-1,0)))),"Substructure")),HYPERLINK("#"&amp;RIGHT(CELL("adresse",OFFSET(DMAV_Modell!$N$6,D493-1,0)),LEN(CELL("adresse",OFFSET(DMAV_Modell!$N$6,D493-1,0)))-FIND("]",CELL("adresse",OFFSET(DMAV_Modell!$N$6,D493-1,0)))),"Substructure"))</f>
        <v/>
      </c>
      <c r="R493" s="80"/>
      <c r="T493" s="93"/>
      <c r="U493" s="94"/>
      <c r="V493" s="95"/>
      <c r="W493" s="96"/>
      <c r="Y493" s="85"/>
      <c r="Z493" s="86"/>
      <c r="AA493" s="87"/>
      <c r="AB493" s="88"/>
      <c r="AD493" s="77"/>
      <c r="AF493" s="54" t="str" cm="1">
        <f t="array" aca="1" ref="AF493" ca="1">IF(H493=0,"",HYPERLINK("#"&amp;RIGHT(CELL("adresse",OFFSET('DM01-AV-CH'!$G$6,H493-1,0)),LEN(CELL("adresse",OFFSET('DM01-AV-CH'!$G$6,H493-1,0)))-FIND("]",CELL("adresse",OFFSET('DM01-AV-CH'!$G$6,H493-1,0)))),"Modell"))</f>
        <v>Modell</v>
      </c>
      <c r="AG493" s="72" t="str" cm="1">
        <f t="array" ref="AG493">IF($H493=0,"",IF(INDEX('DM01-AV-CH'!G$6:G$834,$H493)="","",INDEX('DM01-AV-CH'!G$6:G$834,$H493)))</f>
        <v>Liegenschaften</v>
      </c>
      <c r="AH493" s="73" t="str" cm="1">
        <f t="array" ref="AH493">IF($H493=0,"",IF(INDEX('DM01-AV-CH'!H$6:H$834,$H493)="","",INDEX('DM01-AV-CH'!H$6:H$834,$H493)))</f>
        <v>ProjGrundstueck</v>
      </c>
      <c r="AI493" s="74" t="str" cm="1">
        <f t="array" ref="AI493">IF($H493=0,"",IF(INDEX('DM01-AV-CH'!I$6:I$834,$H493)="","",INDEX('DM01-AV-CH'!I$6:I$834,$H493)))</f>
        <v>Entstehung</v>
      </c>
    </row>
    <row r="494" spans="1:35" ht="42.75" x14ac:dyDescent="0.25">
      <c r="A494" s="57">
        <v>489</v>
      </c>
      <c r="B494" s="57">
        <f>IF($A494="","",IF(_xlfn.XLOOKUP($A494,Korrelation!$D$4:$D$1197,Korrelation!E$4:E$1197,"-",0)="-",0,MATCH(_xlfn.XLOOKUP($A494,Korrelation!$D$4:$D$1197,Korrelation!E$4:E$1197,"",0),DMAV_Modell!$G$6:$G$677,0)))</f>
        <v>0</v>
      </c>
      <c r="C494" s="57">
        <f>IF($A494="","",IF(_xlfn.XLOOKUP($A494,Korrelation!$D$4:$D$1197,Korrelation!F$4:F$1197,"-",0)="-",0,MATCH(_xlfn.XLOOKUP($A494,Korrelation!$D$4:$D$1197,Korrelation!F$4:F$1197,"",0),DMAV_Modell!$G$6:$G$677,0)))</f>
        <v>0</v>
      </c>
      <c r="D494" s="57">
        <f>IF($A494="","",IF(_xlfn.XLOOKUP($A494,Korrelation!$D$4:$D$1197,Korrelation!G$4:G$1197,"-",0)="-",0,MATCH(_xlfn.XLOOKUP($A494,Korrelation!$D$4:$D$1197,Korrelation!G$4:G$1197,"",0),DMAV_Modell!$G$6:$G$677,0)))</f>
        <v>0</v>
      </c>
      <c r="E494" s="57">
        <f>IF($A494="","",IF(_xlfn.XLOOKUP($A494,Korrelation!$D$4:$D$1197,Korrelation!H$4:H$1197,"-",0)="-",0,MATCH(_xlfn.XLOOKUP($A494,Korrelation!$D$4:$D$1197,Korrelation!H$4:H$1197,"",0),DMAV_Dienste!$F$6:$F$140,0)))</f>
        <v>0</v>
      </c>
      <c r="F494" s="57">
        <f>IF($A494="","",IF(_xlfn.XLOOKUP($A494,Korrelation!$D$4:$D$1197,Korrelation!I$4:I$1197,"-",0)="-",0,MATCH(_xlfn.XLOOKUP($A494,Korrelation!$D$4:$D$1197,Korrelation!I$4:I$1197,"",0),DMAV_Dienste!$F$6:$F$140,0)))</f>
        <v>0</v>
      </c>
      <c r="G494" s="57">
        <f>IF($A494="","",IF(_xlfn.XLOOKUP($A494,Korrelation!$D$4:$D$1197,Korrelation!J$4:J$1197,"-",0)="-",0,MATCH(_xlfn.XLOOKUP($A494,Korrelation!$D$4:$D$1197,Korrelation!J$4:J$1197,"",0),DMAV_Dienste!$F$6:$F$140,0)))</f>
        <v>0</v>
      </c>
      <c r="H494" s="57">
        <f>IF($A494="","",IF(_xlfn.XLOOKUP($A494,Korrelation!$D$4:$D$1197,Korrelation!K$4:K$1197,"-",0)="-",0,MATCH(_xlfn.XLOOKUP($A494,Korrelation!$D$4:$D$1197,Korrelation!K$4:K$1197,"",0),'DM01-AV-CH'!$A$6:$A$834,0)))</f>
        <v>444</v>
      </c>
      <c r="J494" s="54" t="str" cm="1">
        <f t="array" aca="1" ref="J494" ca="1">IF(B494=0,IF(E494=0,"",HYPERLINK("#"&amp;RIGHT(CELL("adresse",OFFSET(DMAV_Dienste!$M$6,E494-1,0)),LEN(CELL("adresse",OFFSET(DMAV_Dienste!$M$6,E494-1,0)))-FIND("]",CELL("adresse",OFFSET(DMAV_Dienste!$M$6,E494-1,0)))),"Dienst")),HYPERLINK("#"&amp;RIGHT(CELL("adresse",OFFSET(DMAV_Modell!$N$6,B494-1,0)),LEN(CELL("adresse",OFFSET(DMAV_Modell!$N$6,B494-1,0)))-FIND("]",CELL("adresse",OFFSET(DMAV_Modell!$N$6,B494-1,0)))),"Modell"))</f>
        <v/>
      </c>
      <c r="K494" s="61" t="str" cm="1">
        <f t="array" ref="K494">IF($B494=0,IF($E494=0,"",IF(INDEX(DMAV_Dienste!P$6:P$140,$E494)="","",INDEX(DMAV_Dienste!P$6:P$140,$E494))),IF(INDEX(DMAV_Modell!Q$6:Q$838,$B494)="","",INDEX(DMAV_Modell!Q$6:Q$838,$B494)))</f>
        <v/>
      </c>
      <c r="L494" s="62" t="str" cm="1">
        <f t="array" ref="L494">IF($B494=0,IF($E494=0,"",IF(INDEX(DMAV_Dienste!O$6:O$140,$E494)="","",INDEX(DMAV_Dienste!O$6:O$140,$E494))),IF(INDEX(DMAV_Modell!P$6:P$838,$B494)="","",INDEX(DMAV_Modell!P$6:P$838,$B494)))</f>
        <v/>
      </c>
      <c r="M494" s="62" t="str" cm="1">
        <f t="array" ref="M494">IF($B494=0,IF($E494=0,"",IF(INDEX(DMAV_Dienste!Q$6:Q$140,$E494)="","",INDEX(DMAV_Dienste!Q$6:Q$140,$E494))),IF(INDEX(DMAV_Modell!R$6:R$838,$B494)="","",INDEX(DMAV_Modell!R$6:R$838,$B494)))</f>
        <v/>
      </c>
      <c r="N494" s="62" t="str" cm="1">
        <f t="array" ref="N494">IF($B494=0,IF($E494=0,"",IF(INDEX(DMAV_Dienste!T$6:T$140,$E494)="","",INDEX(DMAV_Dienste!T$6:T$140,$E494))),IF(INDEX(DMAV_Modell!U$6:U$838,$B494)="","",INDEX(DMAV_Modell!U$6:U$838,$B494)))</f>
        <v/>
      </c>
      <c r="O494" s="63" t="str" cm="1">
        <f t="array" aca="1" ref="O494" ca="1">IF(C494=0,IF(F494=0,"",HYPERLINK("#"&amp;RIGHT(CELL("adresse",OFFSET(DMAV_Dienste!$M$6,F494-1,0)),LEN(CELL("adresse",OFFSET(DMAV_Dienste!$M$6,F494-1,0)))-FIND("]",CELL("adresse",OFFSET(DMAV_Dienste!$M$6,F494-1,0)))),"Structure")),HYPERLINK("#"&amp;RIGHT(CELL("adresse",OFFSET(DMAV_Modell!$N$6,C494-1,0)),LEN(CELL("adresse",OFFSET(DMAV_Modell!$N$6,C494-1,0)))-FIND("]",CELL("adresse",OFFSET(DMAV_Modell!$N$6,C494-1,0)))),"Structure"))</f>
        <v/>
      </c>
      <c r="P494" s="64" t="str" cm="1">
        <f t="array" aca="1" ref="P494" ca="1">IF(D494=0,IF(G494=0,"",HYPERLINK("#"&amp;RIGHT(CELL("adresse",OFFSET(DMAV_Dienste!$M$6,G494-1,0)),LEN(CELL("adresse",OFFSET(DMAV_Dienste!$M$6,G494-1,0)))-FIND("]",CELL("adresse",OFFSET(DMAV_Dienste!$M$6,G494-1,0)))),"Substructure")),HYPERLINK("#"&amp;RIGHT(CELL("adresse",OFFSET(DMAV_Modell!$N$6,D494-1,0)),LEN(CELL("adresse",OFFSET(DMAV_Modell!$N$6,D494-1,0)))-FIND("]",CELL("adresse",OFFSET(DMAV_Modell!$N$6,D494-1,0)))),"Substructure"))</f>
        <v/>
      </c>
      <c r="R494" s="80"/>
      <c r="T494" s="93"/>
      <c r="U494" s="94" t="s">
        <v>2980</v>
      </c>
      <c r="V494" s="95" t="s">
        <v>3104</v>
      </c>
      <c r="W494" s="96" t="s">
        <v>3106</v>
      </c>
      <c r="Y494" s="85"/>
      <c r="Z494" s="86"/>
      <c r="AA494" s="87"/>
      <c r="AB494" s="88"/>
      <c r="AD494" s="77"/>
      <c r="AF494" s="54" t="str" cm="1">
        <f t="array" aca="1" ref="AF494" ca="1">IF(H494=0,"",HYPERLINK("#"&amp;RIGHT(CELL("adresse",OFFSET('DM01-AV-CH'!$G$6,H494-1,0)),LEN(CELL("adresse",OFFSET('DM01-AV-CH'!$G$6,H494-1,0)))-FIND("]",CELL("adresse",OFFSET('DM01-AV-CH'!$G$6,H494-1,0)))),"Modell"))</f>
        <v>Modell</v>
      </c>
      <c r="AG494" s="72" t="str" cm="1">
        <f t="array" ref="AG494">IF($H494=0,"",IF(INDEX('DM01-AV-CH'!G$6:G$834,$H494)="","",INDEX('DM01-AV-CH'!G$6:G$834,$H494)))</f>
        <v>Liegenschaften</v>
      </c>
      <c r="AH494" s="73" t="str" cm="1">
        <f t="array" ref="AH494">IF($H494=0,"",IF(INDEX('DM01-AV-CH'!H$6:H$834,$H494)="","",INDEX('DM01-AV-CH'!H$6:H$834,$H494)))</f>
        <v>ProjGrundstueck</v>
      </c>
      <c r="AI494" s="74" t="str" cm="1">
        <f t="array" ref="AI494">IF($H494=0,"",IF(INDEX('DM01-AV-CH'!I$6:I$834,$H494)="","",INDEX('DM01-AV-CH'!I$6:I$834,$H494)))</f>
        <v>NBIdent</v>
      </c>
    </row>
    <row r="495" spans="1:35" ht="42.75" x14ac:dyDescent="0.25">
      <c r="A495" s="57">
        <v>490</v>
      </c>
      <c r="B495" s="57">
        <f>IF($A495="","",IF(_xlfn.XLOOKUP($A495,Korrelation!$D$4:$D$1197,Korrelation!E$4:E$1197,"-",0)="-",0,MATCH(_xlfn.XLOOKUP($A495,Korrelation!$D$4:$D$1197,Korrelation!E$4:E$1197,"",0),DMAV_Modell!$G$6:$G$677,0)))</f>
        <v>0</v>
      </c>
      <c r="C495" s="57">
        <f>IF($A495="","",IF(_xlfn.XLOOKUP($A495,Korrelation!$D$4:$D$1197,Korrelation!F$4:F$1197,"-",0)="-",0,MATCH(_xlfn.XLOOKUP($A495,Korrelation!$D$4:$D$1197,Korrelation!F$4:F$1197,"",0),DMAV_Modell!$G$6:$G$677,0)))</f>
        <v>0</v>
      </c>
      <c r="D495" s="57">
        <f>IF($A495="","",IF(_xlfn.XLOOKUP($A495,Korrelation!$D$4:$D$1197,Korrelation!G$4:G$1197,"-",0)="-",0,MATCH(_xlfn.XLOOKUP($A495,Korrelation!$D$4:$D$1197,Korrelation!G$4:G$1197,"",0),DMAV_Modell!$G$6:$G$677,0)))</f>
        <v>0</v>
      </c>
      <c r="E495" s="57">
        <f>IF($A495="","",IF(_xlfn.XLOOKUP($A495,Korrelation!$D$4:$D$1197,Korrelation!H$4:H$1197,"-",0)="-",0,MATCH(_xlfn.XLOOKUP($A495,Korrelation!$D$4:$D$1197,Korrelation!H$4:H$1197,"",0),DMAV_Dienste!$F$6:$F$140,0)))</f>
        <v>0</v>
      </c>
      <c r="F495" s="57">
        <f>IF($A495="","",IF(_xlfn.XLOOKUP($A495,Korrelation!$D$4:$D$1197,Korrelation!I$4:I$1197,"-",0)="-",0,MATCH(_xlfn.XLOOKUP($A495,Korrelation!$D$4:$D$1197,Korrelation!I$4:I$1197,"",0),DMAV_Dienste!$F$6:$F$140,0)))</f>
        <v>0</v>
      </c>
      <c r="G495" s="57">
        <f>IF($A495="","",IF(_xlfn.XLOOKUP($A495,Korrelation!$D$4:$D$1197,Korrelation!J$4:J$1197,"-",0)="-",0,MATCH(_xlfn.XLOOKUP($A495,Korrelation!$D$4:$D$1197,Korrelation!J$4:J$1197,"",0),DMAV_Dienste!$F$6:$F$140,0)))</f>
        <v>0</v>
      </c>
      <c r="H495" s="57">
        <f>IF($A495="","",IF(_xlfn.XLOOKUP($A495,Korrelation!$D$4:$D$1197,Korrelation!K$4:K$1197,"-",0)="-",0,MATCH(_xlfn.XLOOKUP($A495,Korrelation!$D$4:$D$1197,Korrelation!K$4:K$1197,"",0),'DM01-AV-CH'!$A$6:$A$834,0)))</f>
        <v>445</v>
      </c>
      <c r="J495" s="54" t="str" cm="1">
        <f t="array" aca="1" ref="J495" ca="1">IF(B495=0,IF(E495=0,"",HYPERLINK("#"&amp;RIGHT(CELL("adresse",OFFSET(DMAV_Dienste!$M$6,E495-1,0)),LEN(CELL("adresse",OFFSET(DMAV_Dienste!$M$6,E495-1,0)))-FIND("]",CELL("adresse",OFFSET(DMAV_Dienste!$M$6,E495-1,0)))),"Dienst")),HYPERLINK("#"&amp;RIGHT(CELL("adresse",OFFSET(DMAV_Modell!$N$6,B495-1,0)),LEN(CELL("adresse",OFFSET(DMAV_Modell!$N$6,B495-1,0)))-FIND("]",CELL("adresse",OFFSET(DMAV_Modell!$N$6,B495-1,0)))),"Modell"))</f>
        <v/>
      </c>
      <c r="K495" s="61" t="str" cm="1">
        <f t="array" ref="K495">IF($B495=0,IF($E495=0,"",IF(INDEX(DMAV_Dienste!P$6:P$140,$E495)="","",INDEX(DMAV_Dienste!P$6:P$140,$E495))),IF(INDEX(DMAV_Modell!Q$6:Q$838,$B495)="","",INDEX(DMAV_Modell!Q$6:Q$838,$B495)))</f>
        <v/>
      </c>
      <c r="L495" s="62" t="str" cm="1">
        <f t="array" ref="L495">IF($B495=0,IF($E495=0,"",IF(INDEX(DMAV_Dienste!O$6:O$140,$E495)="","",INDEX(DMAV_Dienste!O$6:O$140,$E495))),IF(INDEX(DMAV_Modell!P$6:P$838,$B495)="","",INDEX(DMAV_Modell!P$6:P$838,$B495)))</f>
        <v/>
      </c>
      <c r="M495" s="62" t="str" cm="1">
        <f t="array" ref="M495">IF($B495=0,IF($E495=0,"",IF(INDEX(DMAV_Dienste!Q$6:Q$140,$E495)="","",INDEX(DMAV_Dienste!Q$6:Q$140,$E495))),IF(INDEX(DMAV_Modell!R$6:R$838,$B495)="","",INDEX(DMAV_Modell!R$6:R$838,$B495)))</f>
        <v/>
      </c>
      <c r="N495" s="62" t="str" cm="1">
        <f t="array" ref="N495">IF($B495=0,IF($E495=0,"",IF(INDEX(DMAV_Dienste!T$6:T$140,$E495)="","",INDEX(DMAV_Dienste!T$6:T$140,$E495))),IF(INDEX(DMAV_Modell!U$6:U$838,$B495)="","",INDEX(DMAV_Modell!U$6:U$838,$B495)))</f>
        <v/>
      </c>
      <c r="O495" s="63" t="str" cm="1">
        <f t="array" aca="1" ref="O495" ca="1">IF(C495=0,IF(F495=0,"",HYPERLINK("#"&amp;RIGHT(CELL("adresse",OFFSET(DMAV_Dienste!$M$6,F495-1,0)),LEN(CELL("adresse",OFFSET(DMAV_Dienste!$M$6,F495-1,0)))-FIND("]",CELL("adresse",OFFSET(DMAV_Dienste!$M$6,F495-1,0)))),"Structure")),HYPERLINK("#"&amp;RIGHT(CELL("adresse",OFFSET(DMAV_Modell!$N$6,C495-1,0)),LEN(CELL("adresse",OFFSET(DMAV_Modell!$N$6,C495-1,0)))-FIND("]",CELL("adresse",OFFSET(DMAV_Modell!$N$6,C495-1,0)))),"Structure"))</f>
        <v/>
      </c>
      <c r="P495" s="64" t="str" cm="1">
        <f t="array" aca="1" ref="P495" ca="1">IF(D495=0,IF(G495=0,"",HYPERLINK("#"&amp;RIGHT(CELL("adresse",OFFSET(DMAV_Dienste!$M$6,G495-1,0)),LEN(CELL("adresse",OFFSET(DMAV_Dienste!$M$6,G495-1,0)))-FIND("]",CELL("adresse",OFFSET(DMAV_Dienste!$M$6,G495-1,0)))),"Substructure")),HYPERLINK("#"&amp;RIGHT(CELL("adresse",OFFSET(DMAV_Modell!$N$6,D495-1,0)),LEN(CELL("adresse",OFFSET(DMAV_Modell!$N$6,D495-1,0)))-FIND("]",CELL("adresse",OFFSET(DMAV_Modell!$N$6,D495-1,0)))),"Substructure"))</f>
        <v/>
      </c>
      <c r="R495" s="80"/>
      <c r="T495" s="93"/>
      <c r="U495" s="94" t="s">
        <v>2980</v>
      </c>
      <c r="V495" s="95" t="s">
        <v>2994</v>
      </c>
      <c r="W495" s="96" t="s">
        <v>3106</v>
      </c>
      <c r="Y495" s="85"/>
      <c r="Z495" s="86"/>
      <c r="AA495" s="87"/>
      <c r="AB495" s="88"/>
      <c r="AD495" s="77"/>
      <c r="AF495" s="54" t="str" cm="1">
        <f t="array" aca="1" ref="AF495" ca="1">IF(H495=0,"",HYPERLINK("#"&amp;RIGHT(CELL("adresse",OFFSET('DM01-AV-CH'!$G$6,H495-1,0)),LEN(CELL("adresse",OFFSET('DM01-AV-CH'!$G$6,H495-1,0)))-FIND("]",CELL("adresse",OFFSET('DM01-AV-CH'!$G$6,H495-1,0)))),"Modell"))</f>
        <v>Modell</v>
      </c>
      <c r="AG495" s="72" t="str" cm="1">
        <f t="array" ref="AG495">IF($H495=0,"",IF(INDEX('DM01-AV-CH'!G$6:G$834,$H495)="","",INDEX('DM01-AV-CH'!G$6:G$834,$H495)))</f>
        <v>Liegenschaften</v>
      </c>
      <c r="AH495" s="73" t="str" cm="1">
        <f t="array" ref="AH495">IF($H495=0,"",IF(INDEX('DM01-AV-CH'!H$6:H$834,$H495)="","",INDEX('DM01-AV-CH'!H$6:H$834,$H495)))</f>
        <v>ProjGrundstueck</v>
      </c>
      <c r="AI495" s="74" t="str" cm="1">
        <f t="array" ref="AI495">IF($H495=0,"",IF(INDEX('DM01-AV-CH'!I$6:I$834,$H495)="","",INDEX('DM01-AV-CH'!I$6:I$834,$H495)))</f>
        <v>Nummer</v>
      </c>
    </row>
    <row r="496" spans="1:35" ht="42.75" x14ac:dyDescent="0.25">
      <c r="A496" s="57">
        <v>491</v>
      </c>
      <c r="B496" s="57">
        <f>IF($A496="","",IF(_xlfn.XLOOKUP($A496,Korrelation!$D$4:$D$1197,Korrelation!E$4:E$1197,"-",0)="-",0,MATCH(_xlfn.XLOOKUP($A496,Korrelation!$D$4:$D$1197,Korrelation!E$4:E$1197,"",0),DMAV_Modell!$G$6:$G$677,0)))</f>
        <v>0</v>
      </c>
      <c r="C496" s="57">
        <f>IF($A496="","",IF(_xlfn.XLOOKUP($A496,Korrelation!$D$4:$D$1197,Korrelation!F$4:F$1197,"-",0)="-",0,MATCH(_xlfn.XLOOKUP($A496,Korrelation!$D$4:$D$1197,Korrelation!F$4:F$1197,"",0),DMAV_Modell!$G$6:$G$677,0)))</f>
        <v>0</v>
      </c>
      <c r="D496" s="57">
        <f>IF($A496="","",IF(_xlfn.XLOOKUP($A496,Korrelation!$D$4:$D$1197,Korrelation!G$4:G$1197,"-",0)="-",0,MATCH(_xlfn.XLOOKUP($A496,Korrelation!$D$4:$D$1197,Korrelation!G$4:G$1197,"",0),DMAV_Modell!$G$6:$G$677,0)))</f>
        <v>0</v>
      </c>
      <c r="E496" s="57">
        <f>IF($A496="","",IF(_xlfn.XLOOKUP($A496,Korrelation!$D$4:$D$1197,Korrelation!H$4:H$1197,"-",0)="-",0,MATCH(_xlfn.XLOOKUP($A496,Korrelation!$D$4:$D$1197,Korrelation!H$4:H$1197,"",0),DMAV_Dienste!$F$6:$F$140,0)))</f>
        <v>0</v>
      </c>
      <c r="F496" s="57">
        <f>IF($A496="","",IF(_xlfn.XLOOKUP($A496,Korrelation!$D$4:$D$1197,Korrelation!I$4:I$1197,"-",0)="-",0,MATCH(_xlfn.XLOOKUP($A496,Korrelation!$D$4:$D$1197,Korrelation!I$4:I$1197,"",0),DMAV_Dienste!$F$6:$F$140,0)))</f>
        <v>0</v>
      </c>
      <c r="G496" s="57">
        <f>IF($A496="","",IF(_xlfn.XLOOKUP($A496,Korrelation!$D$4:$D$1197,Korrelation!J$4:J$1197,"-",0)="-",0,MATCH(_xlfn.XLOOKUP($A496,Korrelation!$D$4:$D$1197,Korrelation!J$4:J$1197,"",0),DMAV_Dienste!$F$6:$F$140,0)))</f>
        <v>0</v>
      </c>
      <c r="H496" s="57">
        <f>IF($A496="","",IF(_xlfn.XLOOKUP($A496,Korrelation!$D$4:$D$1197,Korrelation!K$4:K$1197,"-",0)="-",0,MATCH(_xlfn.XLOOKUP($A496,Korrelation!$D$4:$D$1197,Korrelation!K$4:K$1197,"",0),'DM01-AV-CH'!$A$6:$A$834,0)))</f>
        <v>446</v>
      </c>
      <c r="J496" s="54" t="str" cm="1">
        <f t="array" aca="1" ref="J496" ca="1">IF(B496=0,IF(E496=0,"",HYPERLINK("#"&amp;RIGHT(CELL("adresse",OFFSET(DMAV_Dienste!$M$6,E496-1,0)),LEN(CELL("adresse",OFFSET(DMAV_Dienste!$M$6,E496-1,0)))-FIND("]",CELL("adresse",OFFSET(DMAV_Dienste!$M$6,E496-1,0)))),"Dienst")),HYPERLINK("#"&amp;RIGHT(CELL("adresse",OFFSET(DMAV_Modell!$N$6,B496-1,0)),LEN(CELL("adresse",OFFSET(DMAV_Modell!$N$6,B496-1,0)))-FIND("]",CELL("adresse",OFFSET(DMAV_Modell!$N$6,B496-1,0)))),"Modell"))</f>
        <v/>
      </c>
      <c r="K496" s="61" t="str" cm="1">
        <f t="array" ref="K496">IF($B496=0,IF($E496=0,"",IF(INDEX(DMAV_Dienste!P$6:P$140,$E496)="","",INDEX(DMAV_Dienste!P$6:P$140,$E496))),IF(INDEX(DMAV_Modell!Q$6:Q$838,$B496)="","",INDEX(DMAV_Modell!Q$6:Q$838,$B496)))</f>
        <v/>
      </c>
      <c r="L496" s="62" t="str" cm="1">
        <f t="array" ref="L496">IF($B496=0,IF($E496=0,"",IF(INDEX(DMAV_Dienste!O$6:O$140,$E496)="","",INDEX(DMAV_Dienste!O$6:O$140,$E496))),IF(INDEX(DMAV_Modell!P$6:P$838,$B496)="","",INDEX(DMAV_Modell!P$6:P$838,$B496)))</f>
        <v/>
      </c>
      <c r="M496" s="62" t="str" cm="1">
        <f t="array" ref="M496">IF($B496=0,IF($E496=0,"",IF(INDEX(DMAV_Dienste!Q$6:Q$140,$E496)="","",INDEX(DMAV_Dienste!Q$6:Q$140,$E496))),IF(INDEX(DMAV_Modell!R$6:R$838,$B496)="","",INDEX(DMAV_Modell!R$6:R$838,$B496)))</f>
        <v/>
      </c>
      <c r="N496" s="62" t="str" cm="1">
        <f t="array" ref="N496">IF($B496=0,IF($E496=0,"",IF(INDEX(DMAV_Dienste!T$6:T$140,$E496)="","",INDEX(DMAV_Dienste!T$6:T$140,$E496))),IF(INDEX(DMAV_Modell!U$6:U$838,$B496)="","",INDEX(DMAV_Modell!U$6:U$838,$B496)))</f>
        <v/>
      </c>
      <c r="O496" s="63" t="str" cm="1">
        <f t="array" aca="1" ref="O496" ca="1">IF(C496=0,IF(F496=0,"",HYPERLINK("#"&amp;RIGHT(CELL("adresse",OFFSET(DMAV_Dienste!$M$6,F496-1,0)),LEN(CELL("adresse",OFFSET(DMAV_Dienste!$M$6,F496-1,0)))-FIND("]",CELL("adresse",OFFSET(DMAV_Dienste!$M$6,F496-1,0)))),"Structure")),HYPERLINK("#"&amp;RIGHT(CELL("adresse",OFFSET(DMAV_Modell!$N$6,C496-1,0)),LEN(CELL("adresse",OFFSET(DMAV_Modell!$N$6,C496-1,0)))-FIND("]",CELL("adresse",OFFSET(DMAV_Modell!$N$6,C496-1,0)))),"Structure"))</f>
        <v/>
      </c>
      <c r="P496" s="64" t="str" cm="1">
        <f t="array" aca="1" ref="P496" ca="1">IF(D496=0,IF(G496=0,"",HYPERLINK("#"&amp;RIGHT(CELL("adresse",OFFSET(DMAV_Dienste!$M$6,G496-1,0)),LEN(CELL("adresse",OFFSET(DMAV_Dienste!$M$6,G496-1,0)))-FIND("]",CELL("adresse",OFFSET(DMAV_Dienste!$M$6,G496-1,0)))),"Substructure")),HYPERLINK("#"&amp;RIGHT(CELL("adresse",OFFSET(DMAV_Modell!$N$6,D496-1,0)),LEN(CELL("adresse",OFFSET(DMAV_Modell!$N$6,D496-1,0)))-FIND("]",CELL("adresse",OFFSET(DMAV_Modell!$N$6,D496-1,0)))),"Substructure"))</f>
        <v/>
      </c>
      <c r="R496" s="80"/>
      <c r="T496" s="93"/>
      <c r="U496" s="94" t="s">
        <v>2980</v>
      </c>
      <c r="V496" s="95" t="s">
        <v>2995</v>
      </c>
      <c r="W496" s="96" t="s">
        <v>3106</v>
      </c>
      <c r="Y496" s="85"/>
      <c r="Z496" s="86"/>
      <c r="AA496" s="87"/>
      <c r="AB496" s="88"/>
      <c r="AD496" s="77"/>
      <c r="AF496" s="54" t="str" cm="1">
        <f t="array" aca="1" ref="AF496" ca="1">IF(H496=0,"",HYPERLINK("#"&amp;RIGHT(CELL("adresse",OFFSET('DM01-AV-CH'!$G$6,H496-1,0)),LEN(CELL("adresse",OFFSET('DM01-AV-CH'!$G$6,H496-1,0)))-FIND("]",CELL("adresse",OFFSET('DM01-AV-CH'!$G$6,H496-1,0)))),"Modell"))</f>
        <v>Modell</v>
      </c>
      <c r="AG496" s="72" t="str" cm="1">
        <f t="array" ref="AG496">IF($H496=0,"",IF(INDEX('DM01-AV-CH'!G$6:G$834,$H496)="","",INDEX('DM01-AV-CH'!G$6:G$834,$H496)))</f>
        <v>Liegenschaften</v>
      </c>
      <c r="AH496" s="73" t="str" cm="1">
        <f t="array" ref="AH496">IF($H496=0,"",IF(INDEX('DM01-AV-CH'!H$6:H$834,$H496)="","",INDEX('DM01-AV-CH'!H$6:H$834,$H496)))</f>
        <v>ProjGrundstueck</v>
      </c>
      <c r="AI496" s="74" t="str" cm="1">
        <f t="array" ref="AI496">IF($H496=0,"",IF(INDEX('DM01-AV-CH'!I$6:I$834,$H496)="","",INDEX('DM01-AV-CH'!I$6:I$834,$H496)))</f>
        <v>EGRIS_EGRID</v>
      </c>
    </row>
    <row r="497" spans="1:35" ht="42.75" x14ac:dyDescent="0.25">
      <c r="A497" s="57">
        <v>492</v>
      </c>
      <c r="B497" s="57">
        <f>IF($A497="","",IF(_xlfn.XLOOKUP($A497,Korrelation!$D$4:$D$1197,Korrelation!E$4:E$1197,"-",0)="-",0,MATCH(_xlfn.XLOOKUP($A497,Korrelation!$D$4:$D$1197,Korrelation!E$4:E$1197,"",0),DMAV_Modell!$G$6:$G$677,0)))</f>
        <v>0</v>
      </c>
      <c r="C497" s="57">
        <f>IF($A497="","",IF(_xlfn.XLOOKUP($A497,Korrelation!$D$4:$D$1197,Korrelation!F$4:F$1197,"-",0)="-",0,MATCH(_xlfn.XLOOKUP($A497,Korrelation!$D$4:$D$1197,Korrelation!F$4:F$1197,"",0),DMAV_Modell!$G$6:$G$677,0)))</f>
        <v>0</v>
      </c>
      <c r="D497" s="57">
        <f>IF($A497="","",IF(_xlfn.XLOOKUP($A497,Korrelation!$D$4:$D$1197,Korrelation!G$4:G$1197,"-",0)="-",0,MATCH(_xlfn.XLOOKUP($A497,Korrelation!$D$4:$D$1197,Korrelation!G$4:G$1197,"",0),DMAV_Modell!$G$6:$G$677,0)))</f>
        <v>0</v>
      </c>
      <c r="E497" s="57">
        <f>IF($A497="","",IF(_xlfn.XLOOKUP($A497,Korrelation!$D$4:$D$1197,Korrelation!H$4:H$1197,"-",0)="-",0,MATCH(_xlfn.XLOOKUP($A497,Korrelation!$D$4:$D$1197,Korrelation!H$4:H$1197,"",0),DMAV_Dienste!$F$6:$F$140,0)))</f>
        <v>0</v>
      </c>
      <c r="F497" s="57">
        <f>IF($A497="","",IF(_xlfn.XLOOKUP($A497,Korrelation!$D$4:$D$1197,Korrelation!I$4:I$1197,"-",0)="-",0,MATCH(_xlfn.XLOOKUP($A497,Korrelation!$D$4:$D$1197,Korrelation!I$4:I$1197,"",0),DMAV_Dienste!$F$6:$F$140,0)))</f>
        <v>0</v>
      </c>
      <c r="G497" s="57">
        <f>IF($A497="","",IF(_xlfn.XLOOKUP($A497,Korrelation!$D$4:$D$1197,Korrelation!J$4:J$1197,"-",0)="-",0,MATCH(_xlfn.XLOOKUP($A497,Korrelation!$D$4:$D$1197,Korrelation!J$4:J$1197,"",0),DMAV_Dienste!$F$6:$F$140,0)))</f>
        <v>0</v>
      </c>
      <c r="H497" s="57">
        <f>IF($A497="","",IF(_xlfn.XLOOKUP($A497,Korrelation!$D$4:$D$1197,Korrelation!K$4:K$1197,"-",0)="-",0,MATCH(_xlfn.XLOOKUP($A497,Korrelation!$D$4:$D$1197,Korrelation!K$4:K$1197,"",0),'DM01-AV-CH'!$A$6:$A$834,0)))</f>
        <v>447</v>
      </c>
      <c r="J497" s="54" t="str" cm="1">
        <f t="array" aca="1" ref="J497" ca="1">IF(B497=0,IF(E497=0,"",HYPERLINK("#"&amp;RIGHT(CELL("adresse",OFFSET(DMAV_Dienste!$M$6,E497-1,0)),LEN(CELL("adresse",OFFSET(DMAV_Dienste!$M$6,E497-1,0)))-FIND("]",CELL("adresse",OFFSET(DMAV_Dienste!$M$6,E497-1,0)))),"Dienst")),HYPERLINK("#"&amp;RIGHT(CELL("adresse",OFFSET(DMAV_Modell!$N$6,B497-1,0)),LEN(CELL("adresse",OFFSET(DMAV_Modell!$N$6,B497-1,0)))-FIND("]",CELL("adresse",OFFSET(DMAV_Modell!$N$6,B497-1,0)))),"Modell"))</f>
        <v/>
      </c>
      <c r="K497" s="61" t="str" cm="1">
        <f t="array" ref="K497">IF($B497=0,IF($E497=0,"",IF(INDEX(DMAV_Dienste!P$6:P$140,$E497)="","",INDEX(DMAV_Dienste!P$6:P$140,$E497))),IF(INDEX(DMAV_Modell!Q$6:Q$838,$B497)="","",INDEX(DMAV_Modell!Q$6:Q$838,$B497)))</f>
        <v/>
      </c>
      <c r="L497" s="62" t="str" cm="1">
        <f t="array" ref="L497">IF($B497=0,IF($E497=0,"",IF(INDEX(DMAV_Dienste!O$6:O$140,$E497)="","",INDEX(DMAV_Dienste!O$6:O$140,$E497))),IF(INDEX(DMAV_Modell!P$6:P$838,$B497)="","",INDEX(DMAV_Modell!P$6:P$838,$B497)))</f>
        <v/>
      </c>
      <c r="M497" s="62" t="str" cm="1">
        <f t="array" ref="M497">IF($B497=0,IF($E497=0,"",IF(INDEX(DMAV_Dienste!Q$6:Q$140,$E497)="","",INDEX(DMAV_Dienste!Q$6:Q$140,$E497))),IF(INDEX(DMAV_Modell!R$6:R$838,$B497)="","",INDEX(DMAV_Modell!R$6:R$838,$B497)))</f>
        <v/>
      </c>
      <c r="N497" s="62" t="str" cm="1">
        <f t="array" ref="N497">IF($B497=0,IF($E497=0,"",IF(INDEX(DMAV_Dienste!T$6:T$140,$E497)="","",INDEX(DMAV_Dienste!T$6:T$140,$E497))),IF(INDEX(DMAV_Modell!U$6:U$838,$B497)="","",INDEX(DMAV_Modell!U$6:U$838,$B497)))</f>
        <v/>
      </c>
      <c r="O497" s="63" t="str" cm="1">
        <f t="array" aca="1" ref="O497" ca="1">IF(C497=0,IF(F497=0,"",HYPERLINK("#"&amp;RIGHT(CELL("adresse",OFFSET(DMAV_Dienste!$M$6,F497-1,0)),LEN(CELL("adresse",OFFSET(DMAV_Dienste!$M$6,F497-1,0)))-FIND("]",CELL("adresse",OFFSET(DMAV_Dienste!$M$6,F497-1,0)))),"Structure")),HYPERLINK("#"&amp;RIGHT(CELL("adresse",OFFSET(DMAV_Modell!$N$6,C497-1,0)),LEN(CELL("adresse",OFFSET(DMAV_Modell!$N$6,C497-1,0)))-FIND("]",CELL("adresse",OFFSET(DMAV_Modell!$N$6,C497-1,0)))),"Structure"))</f>
        <v/>
      </c>
      <c r="P497" s="64" t="str" cm="1">
        <f t="array" aca="1" ref="P497" ca="1">IF(D497=0,IF(G497=0,"",HYPERLINK("#"&amp;RIGHT(CELL("adresse",OFFSET(DMAV_Dienste!$M$6,G497-1,0)),LEN(CELL("adresse",OFFSET(DMAV_Dienste!$M$6,G497-1,0)))-FIND("]",CELL("adresse",OFFSET(DMAV_Dienste!$M$6,G497-1,0)))),"Substructure")),HYPERLINK("#"&amp;RIGHT(CELL("adresse",OFFSET(DMAV_Modell!$N$6,D497-1,0)),LEN(CELL("adresse",OFFSET(DMAV_Modell!$N$6,D497-1,0)))-FIND("]",CELL("adresse",OFFSET(DMAV_Modell!$N$6,D497-1,0)))),"Substructure"))</f>
        <v/>
      </c>
      <c r="R497" s="80" t="s">
        <v>2996</v>
      </c>
      <c r="T497" s="93"/>
      <c r="U497" s="94" t="s">
        <v>2980</v>
      </c>
      <c r="V497" s="95" t="s">
        <v>2997</v>
      </c>
      <c r="W497" s="96" t="s">
        <v>3106</v>
      </c>
      <c r="Y497" s="85"/>
      <c r="Z497" s="86"/>
      <c r="AA497" s="87"/>
      <c r="AB497" s="88"/>
      <c r="AD497" s="77"/>
      <c r="AF497" s="54" t="str" cm="1">
        <f t="array" aca="1" ref="AF497" ca="1">IF(H497=0,"",HYPERLINK("#"&amp;RIGHT(CELL("adresse",OFFSET('DM01-AV-CH'!$G$6,H497-1,0)),LEN(CELL("adresse",OFFSET('DM01-AV-CH'!$G$6,H497-1,0)))-FIND("]",CELL("adresse",OFFSET('DM01-AV-CH'!$G$6,H497-1,0)))),"Modell"))</f>
        <v>Modell</v>
      </c>
      <c r="AG497" s="72" t="str" cm="1">
        <f t="array" ref="AG497">IF($H497=0,"",IF(INDEX('DM01-AV-CH'!G$6:G$834,$H497)="","",INDEX('DM01-AV-CH'!G$6:G$834,$H497)))</f>
        <v>Liegenschaften</v>
      </c>
      <c r="AH497" s="73" t="str" cm="1">
        <f t="array" ref="AH497">IF($H497=0,"",IF(INDEX('DM01-AV-CH'!H$6:H$834,$H497)="","",INDEX('DM01-AV-CH'!H$6:H$834,$H497)))</f>
        <v>ProjGrundstueck</v>
      </c>
      <c r="AI497" s="74" t="str" cm="1">
        <f t="array" ref="AI497">IF($H497=0,"",IF(INDEX('DM01-AV-CH'!I$6:I$834,$H497)="","",INDEX('DM01-AV-CH'!I$6:I$834,$H497)))</f>
        <v>Gueltigkeit</v>
      </c>
    </row>
    <row r="498" spans="1:35" ht="42.75" x14ac:dyDescent="0.25">
      <c r="A498" s="57">
        <v>493</v>
      </c>
      <c r="B498" s="57">
        <f>IF($A498="","",IF(_xlfn.XLOOKUP($A498,Korrelation!$D$4:$D$1197,Korrelation!E$4:E$1197,"-",0)="-",0,MATCH(_xlfn.XLOOKUP($A498,Korrelation!$D$4:$D$1197,Korrelation!E$4:E$1197,"",0),DMAV_Modell!$G$6:$G$677,0)))</f>
        <v>0</v>
      </c>
      <c r="C498" s="57">
        <f>IF($A498="","",IF(_xlfn.XLOOKUP($A498,Korrelation!$D$4:$D$1197,Korrelation!F$4:F$1197,"-",0)="-",0,MATCH(_xlfn.XLOOKUP($A498,Korrelation!$D$4:$D$1197,Korrelation!F$4:F$1197,"",0),DMAV_Modell!$G$6:$G$677,0)))</f>
        <v>0</v>
      </c>
      <c r="D498" s="57">
        <f>IF($A498="","",IF(_xlfn.XLOOKUP($A498,Korrelation!$D$4:$D$1197,Korrelation!G$4:G$1197,"-",0)="-",0,MATCH(_xlfn.XLOOKUP($A498,Korrelation!$D$4:$D$1197,Korrelation!G$4:G$1197,"",0),DMAV_Modell!$G$6:$G$677,0)))</f>
        <v>0</v>
      </c>
      <c r="E498" s="57">
        <f>IF($A498="","",IF(_xlfn.XLOOKUP($A498,Korrelation!$D$4:$D$1197,Korrelation!H$4:H$1197,"-",0)="-",0,MATCH(_xlfn.XLOOKUP($A498,Korrelation!$D$4:$D$1197,Korrelation!H$4:H$1197,"",0),DMAV_Dienste!$F$6:$F$140,0)))</f>
        <v>0</v>
      </c>
      <c r="F498" s="57">
        <f>IF($A498="","",IF(_xlfn.XLOOKUP($A498,Korrelation!$D$4:$D$1197,Korrelation!I$4:I$1197,"-",0)="-",0,MATCH(_xlfn.XLOOKUP($A498,Korrelation!$D$4:$D$1197,Korrelation!I$4:I$1197,"",0),DMAV_Dienste!$F$6:$F$140,0)))</f>
        <v>0</v>
      </c>
      <c r="G498" s="57">
        <f>IF($A498="","",IF(_xlfn.XLOOKUP($A498,Korrelation!$D$4:$D$1197,Korrelation!J$4:J$1197,"-",0)="-",0,MATCH(_xlfn.XLOOKUP($A498,Korrelation!$D$4:$D$1197,Korrelation!J$4:J$1197,"",0),DMAV_Dienste!$F$6:$F$140,0)))</f>
        <v>0</v>
      </c>
      <c r="H498" s="57">
        <f>IF($A498="","",IF(_xlfn.XLOOKUP($A498,Korrelation!$D$4:$D$1197,Korrelation!K$4:K$1197,"-",0)="-",0,MATCH(_xlfn.XLOOKUP($A498,Korrelation!$D$4:$D$1197,Korrelation!K$4:K$1197,"",0),'DM01-AV-CH'!$A$6:$A$834,0)))</f>
        <v>448</v>
      </c>
      <c r="J498" s="54" t="str" cm="1">
        <f t="array" aca="1" ref="J498" ca="1">IF(B498=0,IF(E498=0,"",HYPERLINK("#"&amp;RIGHT(CELL("adresse",OFFSET(DMAV_Dienste!$M$6,E498-1,0)),LEN(CELL("adresse",OFFSET(DMAV_Dienste!$M$6,E498-1,0)))-FIND("]",CELL("adresse",OFFSET(DMAV_Dienste!$M$6,E498-1,0)))),"Dienst")),HYPERLINK("#"&amp;RIGHT(CELL("adresse",OFFSET(DMAV_Modell!$N$6,B498-1,0)),LEN(CELL("adresse",OFFSET(DMAV_Modell!$N$6,B498-1,0)))-FIND("]",CELL("adresse",OFFSET(DMAV_Modell!$N$6,B498-1,0)))),"Modell"))</f>
        <v/>
      </c>
      <c r="K498" s="61" t="str" cm="1">
        <f t="array" ref="K498">IF($B498=0,IF($E498=0,"",IF(INDEX(DMAV_Dienste!P$6:P$140,$E498)="","",INDEX(DMAV_Dienste!P$6:P$140,$E498))),IF(INDEX(DMAV_Modell!Q$6:Q$838,$B498)="","",INDEX(DMAV_Modell!Q$6:Q$838,$B498)))</f>
        <v/>
      </c>
      <c r="L498" s="62" t="str" cm="1">
        <f t="array" ref="L498">IF($B498=0,IF($E498=0,"",IF(INDEX(DMAV_Dienste!O$6:O$140,$E498)="","",INDEX(DMAV_Dienste!O$6:O$140,$E498))),IF(INDEX(DMAV_Modell!P$6:P$838,$B498)="","",INDEX(DMAV_Modell!P$6:P$838,$B498)))</f>
        <v/>
      </c>
      <c r="M498" s="62" t="str" cm="1">
        <f t="array" ref="M498">IF($B498=0,IF($E498=0,"",IF(INDEX(DMAV_Dienste!Q$6:Q$140,$E498)="","",INDEX(DMAV_Dienste!Q$6:Q$140,$E498))),IF(INDEX(DMAV_Modell!R$6:R$838,$B498)="","",INDEX(DMAV_Modell!R$6:R$838,$B498)))</f>
        <v/>
      </c>
      <c r="N498" s="62" t="str" cm="1">
        <f t="array" ref="N498">IF($B498=0,IF($E498=0,"",IF(INDEX(DMAV_Dienste!T$6:T$140,$E498)="","",INDEX(DMAV_Dienste!T$6:T$140,$E498))),IF(INDEX(DMAV_Modell!U$6:U$838,$B498)="","",INDEX(DMAV_Modell!U$6:U$838,$B498)))</f>
        <v/>
      </c>
      <c r="O498" s="63" t="str" cm="1">
        <f t="array" aca="1" ref="O498" ca="1">IF(C498=0,IF(F498=0,"",HYPERLINK("#"&amp;RIGHT(CELL("adresse",OFFSET(DMAV_Dienste!$M$6,F498-1,0)),LEN(CELL("adresse",OFFSET(DMAV_Dienste!$M$6,F498-1,0)))-FIND("]",CELL("adresse",OFFSET(DMAV_Dienste!$M$6,F498-1,0)))),"Structure")),HYPERLINK("#"&amp;RIGHT(CELL("adresse",OFFSET(DMAV_Modell!$N$6,C498-1,0)),LEN(CELL("adresse",OFFSET(DMAV_Modell!$N$6,C498-1,0)))-FIND("]",CELL("adresse",OFFSET(DMAV_Modell!$N$6,C498-1,0)))),"Structure"))</f>
        <v/>
      </c>
      <c r="P498" s="64" t="str" cm="1">
        <f t="array" aca="1" ref="P498" ca="1">IF(D498=0,IF(G498=0,"",HYPERLINK("#"&amp;RIGHT(CELL("adresse",OFFSET(DMAV_Dienste!$M$6,G498-1,0)),LEN(CELL("adresse",OFFSET(DMAV_Dienste!$M$6,G498-1,0)))-FIND("]",CELL("adresse",OFFSET(DMAV_Dienste!$M$6,G498-1,0)))),"Substructure")),HYPERLINK("#"&amp;RIGHT(CELL("adresse",OFFSET(DMAV_Modell!$N$6,D498-1,0)),LEN(CELL("adresse",OFFSET(DMAV_Modell!$N$6,D498-1,0)))-FIND("]",CELL("adresse",OFFSET(DMAV_Modell!$N$6,D498-1,0)))),"Substructure"))</f>
        <v/>
      </c>
      <c r="R498" s="80" t="s">
        <v>2998</v>
      </c>
      <c r="T498" s="93"/>
      <c r="U498" s="94" t="s">
        <v>2980</v>
      </c>
      <c r="V498" s="95" t="s">
        <v>2999</v>
      </c>
      <c r="W498" s="96" t="s">
        <v>3106</v>
      </c>
      <c r="Y498" s="85"/>
      <c r="Z498" s="86"/>
      <c r="AA498" s="87"/>
      <c r="AB498" s="88"/>
      <c r="AD498" s="77"/>
      <c r="AF498" s="54" t="str" cm="1">
        <f t="array" aca="1" ref="AF498" ca="1">IF(H498=0,"",HYPERLINK("#"&amp;RIGHT(CELL("adresse",OFFSET('DM01-AV-CH'!$G$6,H498-1,0)),LEN(CELL("adresse",OFFSET('DM01-AV-CH'!$G$6,H498-1,0)))-FIND("]",CELL("adresse",OFFSET('DM01-AV-CH'!$G$6,H498-1,0)))),"Modell"))</f>
        <v>Modell</v>
      </c>
      <c r="AG498" s="72" t="str" cm="1">
        <f t="array" ref="AG498">IF($H498=0,"",IF(INDEX('DM01-AV-CH'!G$6:G$834,$H498)="","",INDEX('DM01-AV-CH'!G$6:G$834,$H498)))</f>
        <v>Liegenschaften</v>
      </c>
      <c r="AH498" s="73" t="str" cm="1">
        <f t="array" ref="AH498">IF($H498=0,"",IF(INDEX('DM01-AV-CH'!H$6:H$834,$H498)="","",INDEX('DM01-AV-CH'!H$6:H$834,$H498)))</f>
        <v>ProjGrundstueck</v>
      </c>
      <c r="AI498" s="74" t="str" cm="1">
        <f t="array" ref="AI498">IF($H498=0,"",IF(INDEX('DM01-AV-CH'!I$6:I$834,$H498)="","",INDEX('DM01-AV-CH'!I$6:I$834,$H498)))</f>
        <v>Vollstaendigkeit</v>
      </c>
    </row>
    <row r="499" spans="1:35" ht="42.75" x14ac:dyDescent="0.25">
      <c r="A499" s="57">
        <v>494</v>
      </c>
      <c r="B499" s="57">
        <f>IF($A499="","",IF(_xlfn.XLOOKUP($A499,Korrelation!$D$4:$D$1197,Korrelation!E$4:E$1197,"-",0)="-",0,MATCH(_xlfn.XLOOKUP($A499,Korrelation!$D$4:$D$1197,Korrelation!E$4:E$1197,"",0),DMAV_Modell!$G$6:$G$677,0)))</f>
        <v>0</v>
      </c>
      <c r="C499" s="57">
        <f>IF($A499="","",IF(_xlfn.XLOOKUP($A499,Korrelation!$D$4:$D$1197,Korrelation!F$4:F$1197,"-",0)="-",0,MATCH(_xlfn.XLOOKUP($A499,Korrelation!$D$4:$D$1197,Korrelation!F$4:F$1197,"",0),DMAV_Modell!$G$6:$G$677,0)))</f>
        <v>0</v>
      </c>
      <c r="D499" s="57">
        <f>IF($A499="","",IF(_xlfn.XLOOKUP($A499,Korrelation!$D$4:$D$1197,Korrelation!G$4:G$1197,"-",0)="-",0,MATCH(_xlfn.XLOOKUP($A499,Korrelation!$D$4:$D$1197,Korrelation!G$4:G$1197,"",0),DMAV_Modell!$G$6:$G$677,0)))</f>
        <v>0</v>
      </c>
      <c r="E499" s="57">
        <f>IF($A499="","",IF(_xlfn.XLOOKUP($A499,Korrelation!$D$4:$D$1197,Korrelation!H$4:H$1197,"-",0)="-",0,MATCH(_xlfn.XLOOKUP($A499,Korrelation!$D$4:$D$1197,Korrelation!H$4:H$1197,"",0),DMAV_Dienste!$F$6:$F$140,0)))</f>
        <v>0</v>
      </c>
      <c r="F499" s="57">
        <f>IF($A499="","",IF(_xlfn.XLOOKUP($A499,Korrelation!$D$4:$D$1197,Korrelation!I$4:I$1197,"-",0)="-",0,MATCH(_xlfn.XLOOKUP($A499,Korrelation!$D$4:$D$1197,Korrelation!I$4:I$1197,"",0),DMAV_Dienste!$F$6:$F$140,0)))</f>
        <v>0</v>
      </c>
      <c r="G499" s="57">
        <f>IF($A499="","",IF(_xlfn.XLOOKUP($A499,Korrelation!$D$4:$D$1197,Korrelation!J$4:J$1197,"-",0)="-",0,MATCH(_xlfn.XLOOKUP($A499,Korrelation!$D$4:$D$1197,Korrelation!J$4:J$1197,"",0),DMAV_Dienste!$F$6:$F$140,0)))</f>
        <v>0</v>
      </c>
      <c r="H499" s="57">
        <f>IF($A499="","",IF(_xlfn.XLOOKUP($A499,Korrelation!$D$4:$D$1197,Korrelation!K$4:K$1197,"-",0)="-",0,MATCH(_xlfn.XLOOKUP($A499,Korrelation!$D$4:$D$1197,Korrelation!K$4:K$1197,"",0),'DM01-AV-CH'!$A$6:$A$834,0)))</f>
        <v>449</v>
      </c>
      <c r="J499" s="54" t="str" cm="1">
        <f t="array" aca="1" ref="J499" ca="1">IF(B499=0,IF(E499=0,"",HYPERLINK("#"&amp;RIGHT(CELL("adresse",OFFSET(DMAV_Dienste!$M$6,E499-1,0)),LEN(CELL("adresse",OFFSET(DMAV_Dienste!$M$6,E499-1,0)))-FIND("]",CELL("adresse",OFFSET(DMAV_Dienste!$M$6,E499-1,0)))),"Dienst")),HYPERLINK("#"&amp;RIGHT(CELL("adresse",OFFSET(DMAV_Modell!$N$6,B499-1,0)),LEN(CELL("adresse",OFFSET(DMAV_Modell!$N$6,B499-1,0)))-FIND("]",CELL("adresse",OFFSET(DMAV_Modell!$N$6,B499-1,0)))),"Modell"))</f>
        <v/>
      </c>
      <c r="K499" s="61" t="str" cm="1">
        <f t="array" ref="K499">IF($B499=0,IF($E499=0,"",IF(INDEX(DMAV_Dienste!P$6:P$140,$E499)="","",INDEX(DMAV_Dienste!P$6:P$140,$E499))),IF(INDEX(DMAV_Modell!Q$6:Q$838,$B499)="","",INDEX(DMAV_Modell!Q$6:Q$838,$B499)))</f>
        <v/>
      </c>
      <c r="L499" s="62" t="str" cm="1">
        <f t="array" ref="L499">IF($B499=0,IF($E499=0,"",IF(INDEX(DMAV_Dienste!O$6:O$140,$E499)="","",INDEX(DMAV_Dienste!O$6:O$140,$E499))),IF(INDEX(DMAV_Modell!P$6:P$838,$B499)="","",INDEX(DMAV_Modell!P$6:P$838,$B499)))</f>
        <v/>
      </c>
      <c r="M499" s="62" t="str" cm="1">
        <f t="array" ref="M499">IF($B499=0,IF($E499=0,"",IF(INDEX(DMAV_Dienste!Q$6:Q$140,$E499)="","",INDEX(DMAV_Dienste!Q$6:Q$140,$E499))),IF(INDEX(DMAV_Modell!R$6:R$838,$B499)="","",INDEX(DMAV_Modell!R$6:R$838,$B499)))</f>
        <v/>
      </c>
      <c r="N499" s="62" t="str" cm="1">
        <f t="array" ref="N499">IF($B499=0,IF($E499=0,"",IF(INDEX(DMAV_Dienste!T$6:T$140,$E499)="","",INDEX(DMAV_Dienste!T$6:T$140,$E499))),IF(INDEX(DMAV_Modell!U$6:U$838,$B499)="","",INDEX(DMAV_Modell!U$6:U$838,$B499)))</f>
        <v/>
      </c>
      <c r="O499" s="63" t="str" cm="1">
        <f t="array" aca="1" ref="O499" ca="1">IF(C499=0,IF(F499=0,"",HYPERLINK("#"&amp;RIGHT(CELL("adresse",OFFSET(DMAV_Dienste!$M$6,F499-1,0)),LEN(CELL("adresse",OFFSET(DMAV_Dienste!$M$6,F499-1,0)))-FIND("]",CELL("adresse",OFFSET(DMAV_Dienste!$M$6,F499-1,0)))),"Structure")),HYPERLINK("#"&amp;RIGHT(CELL("adresse",OFFSET(DMAV_Modell!$N$6,C499-1,0)),LEN(CELL("adresse",OFFSET(DMAV_Modell!$N$6,C499-1,0)))-FIND("]",CELL("adresse",OFFSET(DMAV_Modell!$N$6,C499-1,0)))),"Structure"))</f>
        <v/>
      </c>
      <c r="P499" s="64" t="str" cm="1">
        <f t="array" aca="1" ref="P499" ca="1">IF(D499=0,IF(G499=0,"",HYPERLINK("#"&amp;RIGHT(CELL("adresse",OFFSET(DMAV_Dienste!$M$6,G499-1,0)),LEN(CELL("adresse",OFFSET(DMAV_Dienste!$M$6,G499-1,0)))-FIND("]",CELL("adresse",OFFSET(DMAV_Dienste!$M$6,G499-1,0)))),"Substructure")),HYPERLINK("#"&amp;RIGHT(CELL("adresse",OFFSET(DMAV_Modell!$N$6,D499-1,0)),LEN(CELL("adresse",OFFSET(DMAV_Modell!$N$6,D499-1,0)))-FIND("]",CELL("adresse",OFFSET(DMAV_Modell!$N$6,D499-1,0)))),"Substructure"))</f>
        <v/>
      </c>
      <c r="R499" s="80"/>
      <c r="T499" s="93"/>
      <c r="U499" s="94" t="s">
        <v>2980</v>
      </c>
      <c r="V499" s="95" t="s">
        <v>3000</v>
      </c>
      <c r="W499" s="96" t="s">
        <v>3106</v>
      </c>
      <c r="Y499" s="85"/>
      <c r="Z499" s="86"/>
      <c r="AA499" s="87"/>
      <c r="AB499" s="88"/>
      <c r="AD499" s="77"/>
      <c r="AF499" s="54" t="str" cm="1">
        <f t="array" aca="1" ref="AF499" ca="1">IF(H499=0,"",HYPERLINK("#"&amp;RIGHT(CELL("adresse",OFFSET('DM01-AV-CH'!$G$6,H499-1,0)),LEN(CELL("adresse",OFFSET('DM01-AV-CH'!$G$6,H499-1,0)))-FIND("]",CELL("adresse",OFFSET('DM01-AV-CH'!$G$6,H499-1,0)))),"Modell"))</f>
        <v>Modell</v>
      </c>
      <c r="AG499" s="72" t="str" cm="1">
        <f t="array" ref="AG499">IF($H499=0,"",IF(INDEX('DM01-AV-CH'!G$6:G$834,$H499)="","",INDEX('DM01-AV-CH'!G$6:G$834,$H499)))</f>
        <v>Liegenschaften</v>
      </c>
      <c r="AH499" s="73" t="str" cm="1">
        <f t="array" ref="AH499">IF($H499=0,"",IF(INDEX('DM01-AV-CH'!H$6:H$834,$H499)="","",INDEX('DM01-AV-CH'!H$6:H$834,$H499)))</f>
        <v>ProjGrundstueck</v>
      </c>
      <c r="AI499" s="74" t="str" cm="1">
        <f t="array" ref="AI499">IF($H499=0,"",IF(INDEX('DM01-AV-CH'!I$6:I$834,$H499)="","",INDEX('DM01-AV-CH'!I$6:I$834,$H499)))</f>
        <v>Art</v>
      </c>
    </row>
    <row r="500" spans="1:35" ht="42.75" x14ac:dyDescent="0.25">
      <c r="A500" s="57">
        <v>495</v>
      </c>
      <c r="B500" s="57">
        <f>IF($A500="","",IF(_xlfn.XLOOKUP($A500,Korrelation!$D$4:$D$1197,Korrelation!E$4:E$1197,"-",0)="-",0,MATCH(_xlfn.XLOOKUP($A500,Korrelation!$D$4:$D$1197,Korrelation!E$4:E$1197,"",0),DMAV_Modell!$G$6:$G$677,0)))</f>
        <v>0</v>
      </c>
      <c r="C500" s="57">
        <f>IF($A500="","",IF(_xlfn.XLOOKUP($A500,Korrelation!$D$4:$D$1197,Korrelation!F$4:F$1197,"-",0)="-",0,MATCH(_xlfn.XLOOKUP($A500,Korrelation!$D$4:$D$1197,Korrelation!F$4:F$1197,"",0),DMAV_Modell!$G$6:$G$677,0)))</f>
        <v>0</v>
      </c>
      <c r="D500" s="57">
        <f>IF($A500="","",IF(_xlfn.XLOOKUP($A500,Korrelation!$D$4:$D$1197,Korrelation!G$4:G$1197,"-",0)="-",0,MATCH(_xlfn.XLOOKUP($A500,Korrelation!$D$4:$D$1197,Korrelation!G$4:G$1197,"",0),DMAV_Modell!$G$6:$G$677,0)))</f>
        <v>0</v>
      </c>
      <c r="E500" s="57">
        <f>IF($A500="","",IF(_xlfn.XLOOKUP($A500,Korrelation!$D$4:$D$1197,Korrelation!H$4:H$1197,"-",0)="-",0,MATCH(_xlfn.XLOOKUP($A500,Korrelation!$D$4:$D$1197,Korrelation!H$4:H$1197,"",0),DMAV_Dienste!$F$6:$F$140,0)))</f>
        <v>0</v>
      </c>
      <c r="F500" s="57">
        <f>IF($A500="","",IF(_xlfn.XLOOKUP($A500,Korrelation!$D$4:$D$1197,Korrelation!I$4:I$1197,"-",0)="-",0,MATCH(_xlfn.XLOOKUP($A500,Korrelation!$D$4:$D$1197,Korrelation!I$4:I$1197,"",0),DMAV_Dienste!$F$6:$F$140,0)))</f>
        <v>0</v>
      </c>
      <c r="G500" s="57">
        <f>IF($A500="","",IF(_xlfn.XLOOKUP($A500,Korrelation!$D$4:$D$1197,Korrelation!J$4:J$1197,"-",0)="-",0,MATCH(_xlfn.XLOOKUP($A500,Korrelation!$D$4:$D$1197,Korrelation!J$4:J$1197,"",0),DMAV_Dienste!$F$6:$F$140,0)))</f>
        <v>0</v>
      </c>
      <c r="H500" s="57">
        <f>IF($A500="","",IF(_xlfn.XLOOKUP($A500,Korrelation!$D$4:$D$1197,Korrelation!K$4:K$1197,"-",0)="-",0,MATCH(_xlfn.XLOOKUP($A500,Korrelation!$D$4:$D$1197,Korrelation!K$4:K$1197,"",0),'DM01-AV-CH'!$A$6:$A$834,0)))</f>
        <v>450</v>
      </c>
      <c r="J500" s="54" t="str" cm="1">
        <f t="array" aca="1" ref="J500" ca="1">IF(B500=0,IF(E500=0,"",HYPERLINK("#"&amp;RIGHT(CELL("adresse",OFFSET(DMAV_Dienste!$M$6,E500-1,0)),LEN(CELL("adresse",OFFSET(DMAV_Dienste!$M$6,E500-1,0)))-FIND("]",CELL("adresse",OFFSET(DMAV_Dienste!$M$6,E500-1,0)))),"Dienst")),HYPERLINK("#"&amp;RIGHT(CELL("adresse",OFFSET(DMAV_Modell!$N$6,B500-1,0)),LEN(CELL("adresse",OFFSET(DMAV_Modell!$N$6,B500-1,0)))-FIND("]",CELL("adresse",OFFSET(DMAV_Modell!$N$6,B500-1,0)))),"Modell"))</f>
        <v/>
      </c>
      <c r="K500" s="61" t="str" cm="1">
        <f t="array" ref="K500">IF($B500=0,IF($E500=0,"",IF(INDEX(DMAV_Dienste!P$6:P$140,$E500)="","",INDEX(DMAV_Dienste!P$6:P$140,$E500))),IF(INDEX(DMAV_Modell!Q$6:Q$838,$B500)="","",INDEX(DMAV_Modell!Q$6:Q$838,$B500)))</f>
        <v/>
      </c>
      <c r="L500" s="62" t="str" cm="1">
        <f t="array" ref="L500">IF($B500=0,IF($E500=0,"",IF(INDEX(DMAV_Dienste!O$6:O$140,$E500)="","",INDEX(DMAV_Dienste!O$6:O$140,$E500))),IF(INDEX(DMAV_Modell!P$6:P$838,$B500)="","",INDEX(DMAV_Modell!P$6:P$838,$B500)))</f>
        <v/>
      </c>
      <c r="M500" s="62" t="str" cm="1">
        <f t="array" ref="M500">IF($B500=0,IF($E500=0,"",IF(INDEX(DMAV_Dienste!Q$6:Q$140,$E500)="","",INDEX(DMAV_Dienste!Q$6:Q$140,$E500))),IF(INDEX(DMAV_Modell!R$6:R$838,$B500)="","",INDEX(DMAV_Modell!R$6:R$838,$B500)))</f>
        <v/>
      </c>
      <c r="N500" s="62" t="str" cm="1">
        <f t="array" ref="N500">IF($B500=0,IF($E500=0,"",IF(INDEX(DMAV_Dienste!T$6:T$140,$E500)="","",INDEX(DMAV_Dienste!T$6:T$140,$E500))),IF(INDEX(DMAV_Modell!U$6:U$838,$B500)="","",INDEX(DMAV_Modell!U$6:U$838,$B500)))</f>
        <v/>
      </c>
      <c r="O500" s="63" t="str" cm="1">
        <f t="array" aca="1" ref="O500" ca="1">IF(C500=0,IF(F500=0,"",HYPERLINK("#"&amp;RIGHT(CELL("adresse",OFFSET(DMAV_Dienste!$M$6,F500-1,0)),LEN(CELL("adresse",OFFSET(DMAV_Dienste!$M$6,F500-1,0)))-FIND("]",CELL("adresse",OFFSET(DMAV_Dienste!$M$6,F500-1,0)))),"Structure")),HYPERLINK("#"&amp;RIGHT(CELL("adresse",OFFSET(DMAV_Modell!$N$6,C500-1,0)),LEN(CELL("adresse",OFFSET(DMAV_Modell!$N$6,C500-1,0)))-FIND("]",CELL("adresse",OFFSET(DMAV_Modell!$N$6,C500-1,0)))),"Structure"))</f>
        <v/>
      </c>
      <c r="P500" s="64" t="str" cm="1">
        <f t="array" aca="1" ref="P500" ca="1">IF(D500=0,IF(G500=0,"",HYPERLINK("#"&amp;RIGHT(CELL("adresse",OFFSET(DMAV_Dienste!$M$6,G500-1,0)),LEN(CELL("adresse",OFFSET(DMAV_Dienste!$M$6,G500-1,0)))-FIND("]",CELL("adresse",OFFSET(DMAV_Dienste!$M$6,G500-1,0)))),"Substructure")),HYPERLINK("#"&amp;RIGHT(CELL("adresse",OFFSET(DMAV_Modell!$N$6,D500-1,0)),LEN(CELL("adresse",OFFSET(DMAV_Modell!$N$6,D500-1,0)))-FIND("]",CELL("adresse",OFFSET(DMAV_Modell!$N$6,D500-1,0)))),"Substructure"))</f>
        <v/>
      </c>
      <c r="R500" s="80"/>
      <c r="T500" s="93"/>
      <c r="U500" s="94" t="s">
        <v>2980</v>
      </c>
      <c r="V500" s="95" t="s">
        <v>3105</v>
      </c>
      <c r="W500" s="96" t="s">
        <v>3106</v>
      </c>
      <c r="Y500" s="85"/>
      <c r="Z500" s="86"/>
      <c r="AA500" s="87"/>
      <c r="AB500" s="88"/>
      <c r="AD500" s="77"/>
      <c r="AF500" s="54" t="str" cm="1">
        <f t="array" aca="1" ref="AF500" ca="1">IF(H500=0,"",HYPERLINK("#"&amp;RIGHT(CELL("adresse",OFFSET('DM01-AV-CH'!$G$6,H500-1,0)),LEN(CELL("adresse",OFFSET('DM01-AV-CH'!$G$6,H500-1,0)))-FIND("]",CELL("adresse",OFFSET('DM01-AV-CH'!$G$6,H500-1,0)))),"Modell"))</f>
        <v>Modell</v>
      </c>
      <c r="AG500" s="72" t="str" cm="1">
        <f t="array" ref="AG500">IF($H500=0,"",IF(INDEX('DM01-AV-CH'!G$6:G$834,$H500)="","",INDEX('DM01-AV-CH'!G$6:G$834,$H500)))</f>
        <v>Liegenschaften</v>
      </c>
      <c r="AH500" s="73" t="str" cm="1">
        <f t="array" ref="AH500">IF($H500=0,"",IF(INDEX('DM01-AV-CH'!H$6:H$834,$H500)="","",INDEX('DM01-AV-CH'!H$6:H$834,$H500)))</f>
        <v>ProjGrundstueck</v>
      </c>
      <c r="AI500" s="74" t="str" cm="1">
        <f t="array" ref="AI500">IF($H500=0,"",IF(INDEX('DM01-AV-CH'!I$6:I$834,$H500)="","",INDEX('DM01-AV-CH'!I$6:I$834,$H500)))</f>
        <v>GesamteFlaechenmass</v>
      </c>
    </row>
    <row r="501" spans="1:35" x14ac:dyDescent="0.25">
      <c r="A501" s="57">
        <v>496</v>
      </c>
      <c r="B501" s="57">
        <f>IF($A501="","",IF(_xlfn.XLOOKUP($A501,Korrelation!$D$4:$D$1197,Korrelation!E$4:E$1197,"-",0)="-",0,MATCH(_xlfn.XLOOKUP($A501,Korrelation!$D$4:$D$1197,Korrelation!E$4:E$1197,"",0),DMAV_Modell!$G$6:$G$677,0)))</f>
        <v>0</v>
      </c>
      <c r="C501" s="57">
        <f>IF($A501="","",IF(_xlfn.XLOOKUP($A501,Korrelation!$D$4:$D$1197,Korrelation!F$4:F$1197,"-",0)="-",0,MATCH(_xlfn.XLOOKUP($A501,Korrelation!$D$4:$D$1197,Korrelation!F$4:F$1197,"",0),DMAV_Modell!$G$6:$G$677,0)))</f>
        <v>0</v>
      </c>
      <c r="D501" s="57">
        <f>IF($A501="","",IF(_xlfn.XLOOKUP($A501,Korrelation!$D$4:$D$1197,Korrelation!G$4:G$1197,"-",0)="-",0,MATCH(_xlfn.XLOOKUP($A501,Korrelation!$D$4:$D$1197,Korrelation!G$4:G$1197,"",0),DMAV_Modell!$G$6:$G$677,0)))</f>
        <v>0</v>
      </c>
      <c r="E501" s="57">
        <f>IF($A501="","",IF(_xlfn.XLOOKUP($A501,Korrelation!$D$4:$D$1197,Korrelation!H$4:H$1197,"-",0)="-",0,MATCH(_xlfn.XLOOKUP($A501,Korrelation!$D$4:$D$1197,Korrelation!H$4:H$1197,"",0),DMAV_Dienste!$F$6:$F$140,0)))</f>
        <v>0</v>
      </c>
      <c r="F501" s="57">
        <f>IF($A501="","",IF(_xlfn.XLOOKUP($A501,Korrelation!$D$4:$D$1197,Korrelation!I$4:I$1197,"-",0)="-",0,MATCH(_xlfn.XLOOKUP($A501,Korrelation!$D$4:$D$1197,Korrelation!I$4:I$1197,"",0),DMAV_Dienste!$F$6:$F$140,0)))</f>
        <v>0</v>
      </c>
      <c r="G501" s="57">
        <f>IF($A501="","",IF(_xlfn.XLOOKUP($A501,Korrelation!$D$4:$D$1197,Korrelation!J$4:J$1197,"-",0)="-",0,MATCH(_xlfn.XLOOKUP($A501,Korrelation!$D$4:$D$1197,Korrelation!J$4:J$1197,"",0),DMAV_Dienste!$F$6:$F$140,0)))</f>
        <v>0</v>
      </c>
      <c r="H501" s="57">
        <f>IF($A501="","",IF(_xlfn.XLOOKUP($A501,Korrelation!$D$4:$D$1197,Korrelation!K$4:K$1197,"-",0)="-",0,MATCH(_xlfn.XLOOKUP($A501,Korrelation!$D$4:$D$1197,Korrelation!K$4:K$1197,"",0),'DM01-AV-CH'!$A$6:$A$834,0)))</f>
        <v>451</v>
      </c>
      <c r="J501" s="54" t="str" cm="1">
        <f t="array" aca="1" ref="J501" ca="1">IF(B501=0,IF(E501=0,"",HYPERLINK("#"&amp;RIGHT(CELL("adresse",OFFSET(DMAV_Dienste!$M$6,E501-1,0)),LEN(CELL("adresse",OFFSET(DMAV_Dienste!$M$6,E501-1,0)))-FIND("]",CELL("adresse",OFFSET(DMAV_Dienste!$M$6,E501-1,0)))),"Dienst")),HYPERLINK("#"&amp;RIGHT(CELL("adresse",OFFSET(DMAV_Modell!$N$6,B501-1,0)),LEN(CELL("adresse",OFFSET(DMAV_Modell!$N$6,B501-1,0)))-FIND("]",CELL("adresse",OFFSET(DMAV_Modell!$N$6,B501-1,0)))),"Modell"))</f>
        <v/>
      </c>
      <c r="K501" s="61" t="str" cm="1">
        <f t="array" ref="K501">IF($B501=0,IF($E501=0,"",IF(INDEX(DMAV_Dienste!P$6:P$140,$E501)="","",INDEX(DMAV_Dienste!P$6:P$140,$E501))),IF(INDEX(DMAV_Modell!Q$6:Q$838,$B501)="","",INDEX(DMAV_Modell!Q$6:Q$838,$B501)))</f>
        <v/>
      </c>
      <c r="L501" s="62" t="str" cm="1">
        <f t="array" ref="L501">IF($B501=0,IF($E501=0,"",IF(INDEX(DMAV_Dienste!O$6:O$140,$E501)="","",INDEX(DMAV_Dienste!O$6:O$140,$E501))),IF(INDEX(DMAV_Modell!P$6:P$838,$B501)="","",INDEX(DMAV_Modell!P$6:P$838,$B501)))</f>
        <v/>
      </c>
      <c r="M501" s="62" t="str" cm="1">
        <f t="array" ref="M501">IF($B501=0,IF($E501=0,"",IF(INDEX(DMAV_Dienste!Q$6:Q$140,$E501)="","",INDEX(DMAV_Dienste!Q$6:Q$140,$E501))),IF(INDEX(DMAV_Modell!R$6:R$838,$B501)="","",INDEX(DMAV_Modell!R$6:R$838,$B501)))</f>
        <v/>
      </c>
      <c r="N501" s="62" t="str" cm="1">
        <f t="array" ref="N501">IF($B501=0,IF($E501=0,"",IF(INDEX(DMAV_Dienste!T$6:T$140,$E501)="","",INDEX(DMAV_Dienste!T$6:T$140,$E501))),IF(INDEX(DMAV_Modell!U$6:U$838,$B501)="","",INDEX(DMAV_Modell!U$6:U$838,$B501)))</f>
        <v/>
      </c>
      <c r="O501" s="63" t="str" cm="1">
        <f t="array" aca="1" ref="O501" ca="1">IF(C501=0,IF(F501=0,"",HYPERLINK("#"&amp;RIGHT(CELL("adresse",OFFSET(DMAV_Dienste!$M$6,F501-1,0)),LEN(CELL("adresse",OFFSET(DMAV_Dienste!$M$6,F501-1,0)))-FIND("]",CELL("adresse",OFFSET(DMAV_Dienste!$M$6,F501-1,0)))),"Structure")),HYPERLINK("#"&amp;RIGHT(CELL("adresse",OFFSET(DMAV_Modell!$N$6,C501-1,0)),LEN(CELL("adresse",OFFSET(DMAV_Modell!$N$6,C501-1,0)))-FIND("]",CELL("adresse",OFFSET(DMAV_Modell!$N$6,C501-1,0)))),"Structure"))</f>
        <v/>
      </c>
      <c r="P501" s="64" t="str" cm="1">
        <f t="array" aca="1" ref="P501" ca="1">IF(D501=0,IF(G501=0,"",HYPERLINK("#"&amp;RIGHT(CELL("adresse",OFFSET(DMAV_Dienste!$M$6,G501-1,0)),LEN(CELL("adresse",OFFSET(DMAV_Dienste!$M$6,G501-1,0)))-FIND("]",CELL("adresse",OFFSET(DMAV_Dienste!$M$6,G501-1,0)))),"Substructure")),HYPERLINK("#"&amp;RIGHT(CELL("adresse",OFFSET(DMAV_Modell!$N$6,D501-1,0)),LEN(CELL("adresse",OFFSET(DMAV_Modell!$N$6,D501-1,0)))-FIND("]",CELL("adresse",OFFSET(DMAV_Modell!$N$6,D501-1,0)))),"Substructure"))</f>
        <v/>
      </c>
      <c r="R501" s="80"/>
      <c r="T501" s="93"/>
      <c r="U501" s="94"/>
      <c r="V501" s="95"/>
      <c r="W501" s="96"/>
      <c r="Y501" s="85"/>
      <c r="Z501" s="86"/>
      <c r="AA501" s="87"/>
      <c r="AB501" s="88"/>
      <c r="AD501" s="77"/>
      <c r="AF501" s="54" t="str" cm="1">
        <f t="array" aca="1" ref="AF501" ca="1">IF(H501=0,"",HYPERLINK("#"&amp;RIGHT(CELL("adresse",OFFSET('DM01-AV-CH'!$G$6,H501-1,0)),LEN(CELL("adresse",OFFSET('DM01-AV-CH'!$G$6,H501-1,0)))-FIND("]",CELL("adresse",OFFSET('DM01-AV-CH'!$G$6,H501-1,0)))),"Modell"))</f>
        <v>Modell</v>
      </c>
      <c r="AG501" s="72" t="str" cm="1">
        <f t="array" ref="AG501">IF($H501=0,"",IF(INDEX('DM01-AV-CH'!G$6:G$834,$H501)="","",INDEX('DM01-AV-CH'!G$6:G$834,$H501)))</f>
        <v>Liegenschaften</v>
      </c>
      <c r="AH501" s="73" t="str" cm="1">
        <f t="array" ref="AH501">IF($H501=0,"",IF(INDEX('DM01-AV-CH'!H$6:H$834,$H501)="","",INDEX('DM01-AV-CH'!H$6:H$834,$H501)))</f>
        <v>ProjGrundstueckPos</v>
      </c>
      <c r="AI501" s="74" t="str" cm="1">
        <f t="array" ref="AI501">IF($H501=0,"",IF(INDEX('DM01-AV-CH'!I$6:I$834,$H501)="","",INDEX('DM01-AV-CH'!I$6:I$834,$H501)))</f>
        <v>ProjGrundstueckPos_von</v>
      </c>
    </row>
    <row r="502" spans="1:35" ht="42.75" x14ac:dyDescent="0.25">
      <c r="A502" s="57">
        <v>497</v>
      </c>
      <c r="B502" s="57">
        <f>IF($A502="","",IF(_xlfn.XLOOKUP($A502,Korrelation!$D$4:$D$1197,Korrelation!E$4:E$1197,"-",0)="-",0,MATCH(_xlfn.XLOOKUP($A502,Korrelation!$D$4:$D$1197,Korrelation!E$4:E$1197,"",0),DMAV_Modell!$G$6:$G$677,0)))</f>
        <v>0</v>
      </c>
      <c r="C502" s="57">
        <f>IF($A502="","",IF(_xlfn.XLOOKUP($A502,Korrelation!$D$4:$D$1197,Korrelation!F$4:F$1197,"-",0)="-",0,MATCH(_xlfn.XLOOKUP($A502,Korrelation!$D$4:$D$1197,Korrelation!F$4:F$1197,"",0),DMAV_Modell!$G$6:$G$677,0)))</f>
        <v>0</v>
      </c>
      <c r="D502" s="57">
        <f>IF($A502="","",IF(_xlfn.XLOOKUP($A502,Korrelation!$D$4:$D$1197,Korrelation!G$4:G$1197,"-",0)="-",0,MATCH(_xlfn.XLOOKUP($A502,Korrelation!$D$4:$D$1197,Korrelation!G$4:G$1197,"",0),DMAV_Modell!$G$6:$G$677,0)))</f>
        <v>0</v>
      </c>
      <c r="E502" s="57">
        <f>IF($A502="","",IF(_xlfn.XLOOKUP($A502,Korrelation!$D$4:$D$1197,Korrelation!H$4:H$1197,"-",0)="-",0,MATCH(_xlfn.XLOOKUP($A502,Korrelation!$D$4:$D$1197,Korrelation!H$4:H$1197,"",0),DMAV_Dienste!$F$6:$F$140,0)))</f>
        <v>0</v>
      </c>
      <c r="F502" s="57">
        <f>IF($A502="","",IF(_xlfn.XLOOKUP($A502,Korrelation!$D$4:$D$1197,Korrelation!I$4:I$1197,"-",0)="-",0,MATCH(_xlfn.XLOOKUP($A502,Korrelation!$D$4:$D$1197,Korrelation!I$4:I$1197,"",0),DMAV_Dienste!$F$6:$F$140,0)))</f>
        <v>0</v>
      </c>
      <c r="G502" s="57">
        <f>IF($A502="","",IF(_xlfn.XLOOKUP($A502,Korrelation!$D$4:$D$1197,Korrelation!J$4:J$1197,"-",0)="-",0,MATCH(_xlfn.XLOOKUP($A502,Korrelation!$D$4:$D$1197,Korrelation!J$4:J$1197,"",0),DMAV_Dienste!$F$6:$F$140,0)))</f>
        <v>0</v>
      </c>
      <c r="H502" s="57">
        <f>IF($A502="","",IF(_xlfn.XLOOKUP($A502,Korrelation!$D$4:$D$1197,Korrelation!K$4:K$1197,"-",0)="-",0,MATCH(_xlfn.XLOOKUP($A502,Korrelation!$D$4:$D$1197,Korrelation!K$4:K$1197,"",0),'DM01-AV-CH'!$A$6:$A$834,0)))</f>
        <v>452</v>
      </c>
      <c r="J502" s="54" t="str" cm="1">
        <f t="array" aca="1" ref="J502" ca="1">IF(B502=0,IF(E502=0,"",HYPERLINK("#"&amp;RIGHT(CELL("adresse",OFFSET(DMAV_Dienste!$M$6,E502-1,0)),LEN(CELL("adresse",OFFSET(DMAV_Dienste!$M$6,E502-1,0)))-FIND("]",CELL("adresse",OFFSET(DMAV_Dienste!$M$6,E502-1,0)))),"Dienst")),HYPERLINK("#"&amp;RIGHT(CELL("adresse",OFFSET(DMAV_Modell!$N$6,B502-1,0)),LEN(CELL("adresse",OFFSET(DMAV_Modell!$N$6,B502-1,0)))-FIND("]",CELL("adresse",OFFSET(DMAV_Modell!$N$6,B502-1,0)))),"Modell"))</f>
        <v/>
      </c>
      <c r="K502" s="61" t="str" cm="1">
        <f t="array" ref="K502">IF($B502=0,IF($E502=0,"",IF(INDEX(DMAV_Dienste!P$6:P$140,$E502)="","",INDEX(DMAV_Dienste!P$6:P$140,$E502))),IF(INDEX(DMAV_Modell!Q$6:Q$838,$B502)="","",INDEX(DMAV_Modell!Q$6:Q$838,$B502)))</f>
        <v/>
      </c>
      <c r="L502" s="62" t="str" cm="1">
        <f t="array" ref="L502">IF($B502=0,IF($E502=0,"",IF(INDEX(DMAV_Dienste!O$6:O$140,$E502)="","",INDEX(DMAV_Dienste!O$6:O$140,$E502))),IF(INDEX(DMAV_Modell!P$6:P$838,$B502)="","",INDEX(DMAV_Modell!P$6:P$838,$B502)))</f>
        <v/>
      </c>
      <c r="M502" s="62" t="str" cm="1">
        <f t="array" ref="M502">IF($B502=0,IF($E502=0,"",IF(INDEX(DMAV_Dienste!Q$6:Q$140,$E502)="","",INDEX(DMAV_Dienste!Q$6:Q$140,$E502))),IF(INDEX(DMAV_Modell!R$6:R$838,$B502)="","",INDEX(DMAV_Modell!R$6:R$838,$B502)))</f>
        <v/>
      </c>
      <c r="N502" s="62" t="str" cm="1">
        <f t="array" ref="N502">IF($B502=0,IF($E502=0,"",IF(INDEX(DMAV_Dienste!T$6:T$140,$E502)="","",INDEX(DMAV_Dienste!T$6:T$140,$E502))),IF(INDEX(DMAV_Modell!U$6:U$838,$B502)="","",INDEX(DMAV_Modell!U$6:U$838,$B502)))</f>
        <v/>
      </c>
      <c r="O502" s="63" t="str" cm="1">
        <f t="array" aca="1" ref="O502" ca="1">IF(C502=0,IF(F502=0,"",HYPERLINK("#"&amp;RIGHT(CELL("adresse",OFFSET(DMAV_Dienste!$M$6,F502-1,0)),LEN(CELL("adresse",OFFSET(DMAV_Dienste!$M$6,F502-1,0)))-FIND("]",CELL("adresse",OFFSET(DMAV_Dienste!$M$6,F502-1,0)))),"Structure")),HYPERLINK("#"&amp;RIGHT(CELL("adresse",OFFSET(DMAV_Modell!$N$6,C502-1,0)),LEN(CELL("adresse",OFFSET(DMAV_Modell!$N$6,C502-1,0)))-FIND("]",CELL("adresse",OFFSET(DMAV_Modell!$N$6,C502-1,0)))),"Structure"))</f>
        <v/>
      </c>
      <c r="P502" s="64" t="str" cm="1">
        <f t="array" aca="1" ref="P502" ca="1">IF(D502=0,IF(G502=0,"",HYPERLINK("#"&amp;RIGHT(CELL("adresse",OFFSET(DMAV_Dienste!$M$6,G502-1,0)),LEN(CELL("adresse",OFFSET(DMAV_Dienste!$M$6,G502-1,0)))-FIND("]",CELL("adresse",OFFSET(DMAV_Dienste!$M$6,G502-1,0)))),"Substructure")),HYPERLINK("#"&amp;RIGHT(CELL("adresse",OFFSET(DMAV_Modell!$N$6,D502-1,0)),LEN(CELL("adresse",OFFSET(DMAV_Modell!$N$6,D502-1,0)))-FIND("]",CELL("adresse",OFFSET(DMAV_Modell!$N$6,D502-1,0)))),"Substructure"))</f>
        <v/>
      </c>
      <c r="R502" s="80"/>
      <c r="T502" s="93"/>
      <c r="U502" s="94" t="s">
        <v>2980</v>
      </c>
      <c r="V502" s="95" t="s">
        <v>3140</v>
      </c>
      <c r="W502" s="96" t="s">
        <v>3106</v>
      </c>
      <c r="Y502" s="85"/>
      <c r="Z502" s="86"/>
      <c r="AA502" s="87"/>
      <c r="AB502" s="88"/>
      <c r="AD502" s="77"/>
      <c r="AF502" s="54" t="str" cm="1">
        <f t="array" aca="1" ref="AF502" ca="1">IF(H502=0,"",HYPERLINK("#"&amp;RIGHT(CELL("adresse",OFFSET('DM01-AV-CH'!$G$6,H502-1,0)),LEN(CELL("adresse",OFFSET('DM01-AV-CH'!$G$6,H502-1,0)))-FIND("]",CELL("adresse",OFFSET('DM01-AV-CH'!$G$6,H502-1,0)))),"Modell"))</f>
        <v>Modell</v>
      </c>
      <c r="AG502" s="72" t="str" cm="1">
        <f t="array" ref="AG502">IF($H502=0,"",IF(INDEX('DM01-AV-CH'!G$6:G$834,$H502)="","",INDEX('DM01-AV-CH'!G$6:G$834,$H502)))</f>
        <v>Liegenschaften</v>
      </c>
      <c r="AH502" s="73" t="str" cm="1">
        <f t="array" ref="AH502">IF($H502=0,"",IF(INDEX('DM01-AV-CH'!H$6:H$834,$H502)="","",INDEX('DM01-AV-CH'!H$6:H$834,$H502)))</f>
        <v>ProjGrundstueckPos</v>
      </c>
      <c r="AI502" s="74" t="str" cm="1">
        <f t="array" ref="AI502">IF($H502=0,"",IF(INDEX('DM01-AV-CH'!I$6:I$834,$H502)="","",INDEX('DM01-AV-CH'!I$6:I$834,$H502)))</f>
        <v>Pos</v>
      </c>
    </row>
    <row r="503" spans="1:35" ht="42.75" x14ac:dyDescent="0.25">
      <c r="A503" s="57">
        <v>498</v>
      </c>
      <c r="B503" s="57">
        <f>IF($A503="","",IF(_xlfn.XLOOKUP($A503,Korrelation!$D$4:$D$1197,Korrelation!E$4:E$1197,"-",0)="-",0,MATCH(_xlfn.XLOOKUP($A503,Korrelation!$D$4:$D$1197,Korrelation!E$4:E$1197,"",0),DMAV_Modell!$G$6:$G$677,0)))</f>
        <v>0</v>
      </c>
      <c r="C503" s="57">
        <f>IF($A503="","",IF(_xlfn.XLOOKUP($A503,Korrelation!$D$4:$D$1197,Korrelation!F$4:F$1197,"-",0)="-",0,MATCH(_xlfn.XLOOKUP($A503,Korrelation!$D$4:$D$1197,Korrelation!F$4:F$1197,"",0),DMAV_Modell!$G$6:$G$677,0)))</f>
        <v>0</v>
      </c>
      <c r="D503" s="57">
        <f>IF($A503="","",IF(_xlfn.XLOOKUP($A503,Korrelation!$D$4:$D$1197,Korrelation!G$4:G$1197,"-",0)="-",0,MATCH(_xlfn.XLOOKUP($A503,Korrelation!$D$4:$D$1197,Korrelation!G$4:G$1197,"",0),DMAV_Modell!$G$6:$G$677,0)))</f>
        <v>0</v>
      </c>
      <c r="E503" s="57">
        <f>IF($A503="","",IF(_xlfn.XLOOKUP($A503,Korrelation!$D$4:$D$1197,Korrelation!H$4:H$1197,"-",0)="-",0,MATCH(_xlfn.XLOOKUP($A503,Korrelation!$D$4:$D$1197,Korrelation!H$4:H$1197,"",0),DMAV_Dienste!$F$6:$F$140,0)))</f>
        <v>0</v>
      </c>
      <c r="F503" s="57">
        <f>IF($A503="","",IF(_xlfn.XLOOKUP($A503,Korrelation!$D$4:$D$1197,Korrelation!I$4:I$1197,"-",0)="-",0,MATCH(_xlfn.XLOOKUP($A503,Korrelation!$D$4:$D$1197,Korrelation!I$4:I$1197,"",0),DMAV_Dienste!$F$6:$F$140,0)))</f>
        <v>0</v>
      </c>
      <c r="G503" s="57">
        <f>IF($A503="","",IF(_xlfn.XLOOKUP($A503,Korrelation!$D$4:$D$1197,Korrelation!J$4:J$1197,"-",0)="-",0,MATCH(_xlfn.XLOOKUP($A503,Korrelation!$D$4:$D$1197,Korrelation!J$4:J$1197,"",0),DMAV_Dienste!$F$6:$F$140,0)))</f>
        <v>0</v>
      </c>
      <c r="H503" s="57">
        <f>IF($A503="","",IF(_xlfn.XLOOKUP($A503,Korrelation!$D$4:$D$1197,Korrelation!K$4:K$1197,"-",0)="-",0,MATCH(_xlfn.XLOOKUP($A503,Korrelation!$D$4:$D$1197,Korrelation!K$4:K$1197,"",0),'DM01-AV-CH'!$A$6:$A$834,0)))</f>
        <v>453</v>
      </c>
      <c r="J503" s="54" t="str" cm="1">
        <f t="array" aca="1" ref="J503" ca="1">IF(B503=0,IF(E503=0,"",HYPERLINK("#"&amp;RIGHT(CELL("adresse",OFFSET(DMAV_Dienste!$M$6,E503-1,0)),LEN(CELL("adresse",OFFSET(DMAV_Dienste!$M$6,E503-1,0)))-FIND("]",CELL("adresse",OFFSET(DMAV_Dienste!$M$6,E503-1,0)))),"Dienst")),HYPERLINK("#"&amp;RIGHT(CELL("adresse",OFFSET(DMAV_Modell!$N$6,B503-1,0)),LEN(CELL("adresse",OFFSET(DMAV_Modell!$N$6,B503-1,0)))-FIND("]",CELL("adresse",OFFSET(DMAV_Modell!$N$6,B503-1,0)))),"Modell"))</f>
        <v/>
      </c>
      <c r="K503" s="61" t="str" cm="1">
        <f t="array" ref="K503">IF($B503=0,IF($E503=0,"",IF(INDEX(DMAV_Dienste!P$6:P$140,$E503)="","",INDEX(DMAV_Dienste!P$6:P$140,$E503))),IF(INDEX(DMAV_Modell!Q$6:Q$838,$B503)="","",INDEX(DMAV_Modell!Q$6:Q$838,$B503)))</f>
        <v/>
      </c>
      <c r="L503" s="62" t="str" cm="1">
        <f t="array" ref="L503">IF($B503=0,IF($E503=0,"",IF(INDEX(DMAV_Dienste!O$6:O$140,$E503)="","",INDEX(DMAV_Dienste!O$6:O$140,$E503))),IF(INDEX(DMAV_Modell!P$6:P$838,$B503)="","",INDEX(DMAV_Modell!P$6:P$838,$B503)))</f>
        <v/>
      </c>
      <c r="M503" s="62" t="str" cm="1">
        <f t="array" ref="M503">IF($B503=0,IF($E503=0,"",IF(INDEX(DMAV_Dienste!Q$6:Q$140,$E503)="","",INDEX(DMAV_Dienste!Q$6:Q$140,$E503))),IF(INDEX(DMAV_Modell!R$6:R$838,$B503)="","",INDEX(DMAV_Modell!R$6:R$838,$B503)))</f>
        <v/>
      </c>
      <c r="N503" s="62" t="str" cm="1">
        <f t="array" ref="N503">IF($B503=0,IF($E503=0,"",IF(INDEX(DMAV_Dienste!T$6:T$140,$E503)="","",INDEX(DMAV_Dienste!T$6:T$140,$E503))),IF(INDEX(DMAV_Modell!U$6:U$838,$B503)="","",INDEX(DMAV_Modell!U$6:U$838,$B503)))</f>
        <v/>
      </c>
      <c r="O503" s="63" t="str" cm="1">
        <f t="array" aca="1" ref="O503" ca="1">IF(C503=0,IF(F503=0,"",HYPERLINK("#"&amp;RIGHT(CELL("adresse",OFFSET(DMAV_Dienste!$M$6,F503-1,0)),LEN(CELL("adresse",OFFSET(DMAV_Dienste!$M$6,F503-1,0)))-FIND("]",CELL("adresse",OFFSET(DMAV_Dienste!$M$6,F503-1,0)))),"Structure")),HYPERLINK("#"&amp;RIGHT(CELL("adresse",OFFSET(DMAV_Modell!$N$6,C503-1,0)),LEN(CELL("adresse",OFFSET(DMAV_Modell!$N$6,C503-1,0)))-FIND("]",CELL("adresse",OFFSET(DMAV_Modell!$N$6,C503-1,0)))),"Structure"))</f>
        <v/>
      </c>
      <c r="P503" s="64" t="str" cm="1">
        <f t="array" aca="1" ref="P503" ca="1">IF(D503=0,IF(G503=0,"",HYPERLINK("#"&amp;RIGHT(CELL("adresse",OFFSET(DMAV_Dienste!$M$6,G503-1,0)),LEN(CELL("adresse",OFFSET(DMAV_Dienste!$M$6,G503-1,0)))-FIND("]",CELL("adresse",OFFSET(DMAV_Dienste!$M$6,G503-1,0)))),"Substructure")),HYPERLINK("#"&amp;RIGHT(CELL("adresse",OFFSET(DMAV_Modell!$N$6,D503-1,0)),LEN(CELL("adresse",OFFSET(DMAV_Modell!$N$6,D503-1,0)))-FIND("]",CELL("adresse",OFFSET(DMAV_Modell!$N$6,D503-1,0)))),"Substructure"))</f>
        <v/>
      </c>
      <c r="R503" s="80"/>
      <c r="T503" s="93"/>
      <c r="U503" s="94" t="s">
        <v>2980</v>
      </c>
      <c r="V503" s="95" t="s">
        <v>3141</v>
      </c>
      <c r="W503" s="96" t="s">
        <v>3106</v>
      </c>
      <c r="Y503" s="85"/>
      <c r="Z503" s="86"/>
      <c r="AA503" s="87"/>
      <c r="AB503" s="88"/>
      <c r="AD503" s="77"/>
      <c r="AF503" s="54" t="str" cm="1">
        <f t="array" aca="1" ref="AF503" ca="1">IF(H503=0,"",HYPERLINK("#"&amp;RIGHT(CELL("adresse",OFFSET('DM01-AV-CH'!$G$6,H503-1,0)),LEN(CELL("adresse",OFFSET('DM01-AV-CH'!$G$6,H503-1,0)))-FIND("]",CELL("adresse",OFFSET('DM01-AV-CH'!$G$6,H503-1,0)))),"Modell"))</f>
        <v>Modell</v>
      </c>
      <c r="AG503" s="72" t="str" cm="1">
        <f t="array" ref="AG503">IF($H503=0,"",IF(INDEX('DM01-AV-CH'!G$6:G$834,$H503)="","",INDEX('DM01-AV-CH'!G$6:G$834,$H503)))</f>
        <v>Liegenschaften</v>
      </c>
      <c r="AH503" s="73" t="str" cm="1">
        <f t="array" ref="AH503">IF($H503=0,"",IF(INDEX('DM01-AV-CH'!H$6:H$834,$H503)="","",INDEX('DM01-AV-CH'!H$6:H$834,$H503)))</f>
        <v>ProjGrundstueckPos</v>
      </c>
      <c r="AI503" s="74" t="str" cm="1">
        <f t="array" ref="AI503">IF($H503=0,"",IF(INDEX('DM01-AV-CH'!I$6:I$834,$H503)="","",INDEX('DM01-AV-CH'!I$6:I$834,$H503)))</f>
        <v>Ori</v>
      </c>
    </row>
    <row r="504" spans="1:35" ht="42.75" x14ac:dyDescent="0.25">
      <c r="A504" s="57">
        <v>499</v>
      </c>
      <c r="B504" s="57">
        <f>IF($A504="","",IF(_xlfn.XLOOKUP($A504,Korrelation!$D$4:$D$1197,Korrelation!E$4:E$1197,"-",0)="-",0,MATCH(_xlfn.XLOOKUP($A504,Korrelation!$D$4:$D$1197,Korrelation!E$4:E$1197,"",0),DMAV_Modell!$G$6:$G$677,0)))</f>
        <v>0</v>
      </c>
      <c r="C504" s="57">
        <f>IF($A504="","",IF(_xlfn.XLOOKUP($A504,Korrelation!$D$4:$D$1197,Korrelation!F$4:F$1197,"-",0)="-",0,MATCH(_xlfn.XLOOKUP($A504,Korrelation!$D$4:$D$1197,Korrelation!F$4:F$1197,"",0),DMAV_Modell!$G$6:$G$677,0)))</f>
        <v>0</v>
      </c>
      <c r="D504" s="57">
        <f>IF($A504="","",IF(_xlfn.XLOOKUP($A504,Korrelation!$D$4:$D$1197,Korrelation!G$4:G$1197,"-",0)="-",0,MATCH(_xlfn.XLOOKUP($A504,Korrelation!$D$4:$D$1197,Korrelation!G$4:G$1197,"",0),DMAV_Modell!$G$6:$G$677,0)))</f>
        <v>0</v>
      </c>
      <c r="E504" s="57">
        <f>IF($A504="","",IF(_xlfn.XLOOKUP($A504,Korrelation!$D$4:$D$1197,Korrelation!H$4:H$1197,"-",0)="-",0,MATCH(_xlfn.XLOOKUP($A504,Korrelation!$D$4:$D$1197,Korrelation!H$4:H$1197,"",0),DMAV_Dienste!$F$6:$F$140,0)))</f>
        <v>0</v>
      </c>
      <c r="F504" s="57">
        <f>IF($A504="","",IF(_xlfn.XLOOKUP($A504,Korrelation!$D$4:$D$1197,Korrelation!I$4:I$1197,"-",0)="-",0,MATCH(_xlfn.XLOOKUP($A504,Korrelation!$D$4:$D$1197,Korrelation!I$4:I$1197,"",0),DMAV_Dienste!$F$6:$F$140,0)))</f>
        <v>0</v>
      </c>
      <c r="G504" s="57">
        <f>IF($A504="","",IF(_xlfn.XLOOKUP($A504,Korrelation!$D$4:$D$1197,Korrelation!J$4:J$1197,"-",0)="-",0,MATCH(_xlfn.XLOOKUP($A504,Korrelation!$D$4:$D$1197,Korrelation!J$4:J$1197,"",0),DMAV_Dienste!$F$6:$F$140,0)))</f>
        <v>0</v>
      </c>
      <c r="H504" s="57">
        <f>IF($A504="","",IF(_xlfn.XLOOKUP($A504,Korrelation!$D$4:$D$1197,Korrelation!K$4:K$1197,"-",0)="-",0,MATCH(_xlfn.XLOOKUP($A504,Korrelation!$D$4:$D$1197,Korrelation!K$4:K$1197,"",0),'DM01-AV-CH'!$A$6:$A$834,0)))</f>
        <v>454</v>
      </c>
      <c r="J504" s="54" t="str" cm="1">
        <f t="array" aca="1" ref="J504" ca="1">IF(B504=0,IF(E504=0,"",HYPERLINK("#"&amp;RIGHT(CELL("adresse",OFFSET(DMAV_Dienste!$M$6,E504-1,0)),LEN(CELL("adresse",OFFSET(DMAV_Dienste!$M$6,E504-1,0)))-FIND("]",CELL("adresse",OFFSET(DMAV_Dienste!$M$6,E504-1,0)))),"Dienst")),HYPERLINK("#"&amp;RIGHT(CELL("adresse",OFFSET(DMAV_Modell!$N$6,B504-1,0)),LEN(CELL("adresse",OFFSET(DMAV_Modell!$N$6,B504-1,0)))-FIND("]",CELL("adresse",OFFSET(DMAV_Modell!$N$6,B504-1,0)))),"Modell"))</f>
        <v/>
      </c>
      <c r="K504" s="61" t="str" cm="1">
        <f t="array" ref="K504">IF($B504=0,IF($E504=0,"",IF(INDEX(DMAV_Dienste!P$6:P$140,$E504)="","",INDEX(DMAV_Dienste!P$6:P$140,$E504))),IF(INDEX(DMAV_Modell!Q$6:Q$838,$B504)="","",INDEX(DMAV_Modell!Q$6:Q$838,$B504)))</f>
        <v/>
      </c>
      <c r="L504" s="62" t="str" cm="1">
        <f t="array" ref="L504">IF($B504=0,IF($E504=0,"",IF(INDEX(DMAV_Dienste!O$6:O$140,$E504)="","",INDEX(DMAV_Dienste!O$6:O$140,$E504))),IF(INDEX(DMAV_Modell!P$6:P$838,$B504)="","",INDEX(DMAV_Modell!P$6:P$838,$B504)))</f>
        <v/>
      </c>
      <c r="M504" s="62" t="str" cm="1">
        <f t="array" ref="M504">IF($B504=0,IF($E504=0,"",IF(INDEX(DMAV_Dienste!Q$6:Q$140,$E504)="","",INDEX(DMAV_Dienste!Q$6:Q$140,$E504))),IF(INDEX(DMAV_Modell!R$6:R$838,$B504)="","",INDEX(DMAV_Modell!R$6:R$838,$B504)))</f>
        <v/>
      </c>
      <c r="N504" s="62" t="str" cm="1">
        <f t="array" ref="N504">IF($B504=0,IF($E504=0,"",IF(INDEX(DMAV_Dienste!T$6:T$140,$E504)="","",INDEX(DMAV_Dienste!T$6:T$140,$E504))),IF(INDEX(DMAV_Modell!U$6:U$838,$B504)="","",INDEX(DMAV_Modell!U$6:U$838,$B504)))</f>
        <v/>
      </c>
      <c r="O504" s="63" t="str" cm="1">
        <f t="array" aca="1" ref="O504" ca="1">IF(C504=0,IF(F504=0,"",HYPERLINK("#"&amp;RIGHT(CELL("adresse",OFFSET(DMAV_Dienste!$M$6,F504-1,0)),LEN(CELL("adresse",OFFSET(DMAV_Dienste!$M$6,F504-1,0)))-FIND("]",CELL("adresse",OFFSET(DMAV_Dienste!$M$6,F504-1,0)))),"Structure")),HYPERLINK("#"&amp;RIGHT(CELL("adresse",OFFSET(DMAV_Modell!$N$6,C504-1,0)),LEN(CELL("adresse",OFFSET(DMAV_Modell!$N$6,C504-1,0)))-FIND("]",CELL("adresse",OFFSET(DMAV_Modell!$N$6,C504-1,0)))),"Structure"))</f>
        <v/>
      </c>
      <c r="P504" s="64" t="str" cm="1">
        <f t="array" aca="1" ref="P504" ca="1">IF(D504=0,IF(G504=0,"",HYPERLINK("#"&amp;RIGHT(CELL("adresse",OFFSET(DMAV_Dienste!$M$6,G504-1,0)),LEN(CELL("adresse",OFFSET(DMAV_Dienste!$M$6,G504-1,0)))-FIND("]",CELL("adresse",OFFSET(DMAV_Dienste!$M$6,G504-1,0)))),"Substructure")),HYPERLINK("#"&amp;RIGHT(CELL("adresse",OFFSET(DMAV_Modell!$N$6,D504-1,0)),LEN(CELL("adresse",OFFSET(DMAV_Modell!$N$6,D504-1,0)))-FIND("]",CELL("adresse",OFFSET(DMAV_Modell!$N$6,D504-1,0)))),"Substructure"))</f>
        <v/>
      </c>
      <c r="R504" s="80"/>
      <c r="T504" s="93"/>
      <c r="U504" s="94" t="s">
        <v>2980</v>
      </c>
      <c r="V504" s="95" t="s">
        <v>3142</v>
      </c>
      <c r="W504" s="96" t="s">
        <v>3106</v>
      </c>
      <c r="Y504" s="85"/>
      <c r="Z504" s="86"/>
      <c r="AA504" s="87"/>
      <c r="AB504" s="88"/>
      <c r="AD504" s="77"/>
      <c r="AF504" s="54" t="str" cm="1">
        <f t="array" aca="1" ref="AF504" ca="1">IF(H504=0,"",HYPERLINK("#"&amp;RIGHT(CELL("adresse",OFFSET('DM01-AV-CH'!$G$6,H504-1,0)),LEN(CELL("adresse",OFFSET('DM01-AV-CH'!$G$6,H504-1,0)))-FIND("]",CELL("adresse",OFFSET('DM01-AV-CH'!$G$6,H504-1,0)))),"Modell"))</f>
        <v>Modell</v>
      </c>
      <c r="AG504" s="72" t="str" cm="1">
        <f t="array" ref="AG504">IF($H504=0,"",IF(INDEX('DM01-AV-CH'!G$6:G$834,$H504)="","",INDEX('DM01-AV-CH'!G$6:G$834,$H504)))</f>
        <v>Liegenschaften</v>
      </c>
      <c r="AH504" s="73" t="str" cm="1">
        <f t="array" ref="AH504">IF($H504=0,"",IF(INDEX('DM01-AV-CH'!H$6:H$834,$H504)="","",INDEX('DM01-AV-CH'!H$6:H$834,$H504)))</f>
        <v>ProjGrundstueckPos</v>
      </c>
      <c r="AI504" s="74" t="str" cm="1">
        <f t="array" ref="AI504">IF($H504=0,"",IF(INDEX('DM01-AV-CH'!I$6:I$834,$H504)="","",INDEX('DM01-AV-CH'!I$6:I$834,$H504)))</f>
        <v>HAli</v>
      </c>
    </row>
    <row r="505" spans="1:35" ht="42.75" x14ac:dyDescent="0.25">
      <c r="A505" s="57">
        <v>500</v>
      </c>
      <c r="B505" s="57">
        <f>IF($A505="","",IF(_xlfn.XLOOKUP($A505,Korrelation!$D$4:$D$1197,Korrelation!E$4:E$1197,"-",0)="-",0,MATCH(_xlfn.XLOOKUP($A505,Korrelation!$D$4:$D$1197,Korrelation!E$4:E$1197,"",0),DMAV_Modell!$G$6:$G$677,0)))</f>
        <v>0</v>
      </c>
      <c r="C505" s="57">
        <f>IF($A505="","",IF(_xlfn.XLOOKUP($A505,Korrelation!$D$4:$D$1197,Korrelation!F$4:F$1197,"-",0)="-",0,MATCH(_xlfn.XLOOKUP($A505,Korrelation!$D$4:$D$1197,Korrelation!F$4:F$1197,"",0),DMAV_Modell!$G$6:$G$677,0)))</f>
        <v>0</v>
      </c>
      <c r="D505" s="57">
        <f>IF($A505="","",IF(_xlfn.XLOOKUP($A505,Korrelation!$D$4:$D$1197,Korrelation!G$4:G$1197,"-",0)="-",0,MATCH(_xlfn.XLOOKUP($A505,Korrelation!$D$4:$D$1197,Korrelation!G$4:G$1197,"",0),DMAV_Modell!$G$6:$G$677,0)))</f>
        <v>0</v>
      </c>
      <c r="E505" s="57">
        <f>IF($A505="","",IF(_xlfn.XLOOKUP($A505,Korrelation!$D$4:$D$1197,Korrelation!H$4:H$1197,"-",0)="-",0,MATCH(_xlfn.XLOOKUP($A505,Korrelation!$D$4:$D$1197,Korrelation!H$4:H$1197,"",0),DMAV_Dienste!$F$6:$F$140,0)))</f>
        <v>0</v>
      </c>
      <c r="F505" s="57">
        <f>IF($A505="","",IF(_xlfn.XLOOKUP($A505,Korrelation!$D$4:$D$1197,Korrelation!I$4:I$1197,"-",0)="-",0,MATCH(_xlfn.XLOOKUP($A505,Korrelation!$D$4:$D$1197,Korrelation!I$4:I$1197,"",0),DMAV_Dienste!$F$6:$F$140,0)))</f>
        <v>0</v>
      </c>
      <c r="G505" s="57">
        <f>IF($A505="","",IF(_xlfn.XLOOKUP($A505,Korrelation!$D$4:$D$1197,Korrelation!J$4:J$1197,"-",0)="-",0,MATCH(_xlfn.XLOOKUP($A505,Korrelation!$D$4:$D$1197,Korrelation!J$4:J$1197,"",0),DMAV_Dienste!$F$6:$F$140,0)))</f>
        <v>0</v>
      </c>
      <c r="H505" s="57">
        <f>IF($A505="","",IF(_xlfn.XLOOKUP($A505,Korrelation!$D$4:$D$1197,Korrelation!K$4:K$1197,"-",0)="-",0,MATCH(_xlfn.XLOOKUP($A505,Korrelation!$D$4:$D$1197,Korrelation!K$4:K$1197,"",0),'DM01-AV-CH'!$A$6:$A$834,0)))</f>
        <v>455</v>
      </c>
      <c r="J505" s="54" t="str" cm="1">
        <f t="array" aca="1" ref="J505" ca="1">IF(B505=0,IF(E505=0,"",HYPERLINK("#"&amp;RIGHT(CELL("adresse",OFFSET(DMAV_Dienste!$M$6,E505-1,0)),LEN(CELL("adresse",OFFSET(DMAV_Dienste!$M$6,E505-1,0)))-FIND("]",CELL("adresse",OFFSET(DMAV_Dienste!$M$6,E505-1,0)))),"Dienst")),HYPERLINK("#"&amp;RIGHT(CELL("adresse",OFFSET(DMAV_Modell!$N$6,B505-1,0)),LEN(CELL("adresse",OFFSET(DMAV_Modell!$N$6,B505-1,0)))-FIND("]",CELL("adresse",OFFSET(DMAV_Modell!$N$6,B505-1,0)))),"Modell"))</f>
        <v/>
      </c>
      <c r="K505" s="61" t="str" cm="1">
        <f t="array" ref="K505">IF($B505=0,IF($E505=0,"",IF(INDEX(DMAV_Dienste!P$6:P$140,$E505)="","",INDEX(DMAV_Dienste!P$6:P$140,$E505))),IF(INDEX(DMAV_Modell!Q$6:Q$838,$B505)="","",INDEX(DMAV_Modell!Q$6:Q$838,$B505)))</f>
        <v/>
      </c>
      <c r="L505" s="62" t="str" cm="1">
        <f t="array" ref="L505">IF($B505=0,IF($E505=0,"",IF(INDEX(DMAV_Dienste!O$6:O$140,$E505)="","",INDEX(DMAV_Dienste!O$6:O$140,$E505))),IF(INDEX(DMAV_Modell!P$6:P$838,$B505)="","",INDEX(DMAV_Modell!P$6:P$838,$B505)))</f>
        <v/>
      </c>
      <c r="M505" s="62" t="str" cm="1">
        <f t="array" ref="M505">IF($B505=0,IF($E505=0,"",IF(INDEX(DMAV_Dienste!Q$6:Q$140,$E505)="","",INDEX(DMAV_Dienste!Q$6:Q$140,$E505))),IF(INDEX(DMAV_Modell!R$6:R$838,$B505)="","",INDEX(DMAV_Modell!R$6:R$838,$B505)))</f>
        <v/>
      </c>
      <c r="N505" s="62" t="str" cm="1">
        <f t="array" ref="N505">IF($B505=0,IF($E505=0,"",IF(INDEX(DMAV_Dienste!T$6:T$140,$E505)="","",INDEX(DMAV_Dienste!T$6:T$140,$E505))),IF(INDEX(DMAV_Modell!U$6:U$838,$B505)="","",INDEX(DMAV_Modell!U$6:U$838,$B505)))</f>
        <v/>
      </c>
      <c r="O505" s="63" t="str" cm="1">
        <f t="array" aca="1" ref="O505" ca="1">IF(C505=0,IF(F505=0,"",HYPERLINK("#"&amp;RIGHT(CELL("adresse",OFFSET(DMAV_Dienste!$M$6,F505-1,0)),LEN(CELL("adresse",OFFSET(DMAV_Dienste!$M$6,F505-1,0)))-FIND("]",CELL("adresse",OFFSET(DMAV_Dienste!$M$6,F505-1,0)))),"Structure")),HYPERLINK("#"&amp;RIGHT(CELL("adresse",OFFSET(DMAV_Modell!$N$6,C505-1,0)),LEN(CELL("adresse",OFFSET(DMAV_Modell!$N$6,C505-1,0)))-FIND("]",CELL("adresse",OFFSET(DMAV_Modell!$N$6,C505-1,0)))),"Structure"))</f>
        <v/>
      </c>
      <c r="P505" s="64" t="str" cm="1">
        <f t="array" aca="1" ref="P505" ca="1">IF(D505=0,IF(G505=0,"",HYPERLINK("#"&amp;RIGHT(CELL("adresse",OFFSET(DMAV_Dienste!$M$6,G505-1,0)),LEN(CELL("adresse",OFFSET(DMAV_Dienste!$M$6,G505-1,0)))-FIND("]",CELL("adresse",OFFSET(DMAV_Dienste!$M$6,G505-1,0)))),"Substructure")),HYPERLINK("#"&amp;RIGHT(CELL("adresse",OFFSET(DMAV_Modell!$N$6,D505-1,0)),LEN(CELL("adresse",OFFSET(DMAV_Modell!$N$6,D505-1,0)))-FIND("]",CELL("adresse",OFFSET(DMAV_Modell!$N$6,D505-1,0)))),"Substructure"))</f>
        <v/>
      </c>
      <c r="R505" s="80"/>
      <c r="T505" s="93"/>
      <c r="U505" s="94" t="s">
        <v>2980</v>
      </c>
      <c r="V505" s="95" t="s">
        <v>3143</v>
      </c>
      <c r="W505" s="96" t="s">
        <v>3106</v>
      </c>
      <c r="Y505" s="85"/>
      <c r="Z505" s="86"/>
      <c r="AA505" s="87"/>
      <c r="AB505" s="88"/>
      <c r="AD505" s="77"/>
      <c r="AF505" s="54" t="str" cm="1">
        <f t="array" aca="1" ref="AF505" ca="1">IF(H505=0,"",HYPERLINK("#"&amp;RIGHT(CELL("adresse",OFFSET('DM01-AV-CH'!$G$6,H505-1,0)),LEN(CELL("adresse",OFFSET('DM01-AV-CH'!$G$6,H505-1,0)))-FIND("]",CELL("adresse",OFFSET('DM01-AV-CH'!$G$6,H505-1,0)))),"Modell"))</f>
        <v>Modell</v>
      </c>
      <c r="AG505" s="72" t="str" cm="1">
        <f t="array" ref="AG505">IF($H505=0,"",IF(INDEX('DM01-AV-CH'!G$6:G$834,$H505)="","",INDEX('DM01-AV-CH'!G$6:G$834,$H505)))</f>
        <v>Liegenschaften</v>
      </c>
      <c r="AH505" s="73" t="str" cm="1">
        <f t="array" ref="AH505">IF($H505=0,"",IF(INDEX('DM01-AV-CH'!H$6:H$834,$H505)="","",INDEX('DM01-AV-CH'!H$6:H$834,$H505)))</f>
        <v>ProjGrundstueckPos</v>
      </c>
      <c r="AI505" s="74" t="str" cm="1">
        <f t="array" ref="AI505">IF($H505=0,"",IF(INDEX('DM01-AV-CH'!I$6:I$834,$H505)="","",INDEX('DM01-AV-CH'!I$6:I$834,$H505)))</f>
        <v>VAli</v>
      </c>
    </row>
    <row r="506" spans="1:35" ht="42.75" x14ac:dyDescent="0.25">
      <c r="A506" s="57">
        <v>501</v>
      </c>
      <c r="B506" s="57">
        <f>IF($A506="","",IF(_xlfn.XLOOKUP($A506,Korrelation!$D$4:$D$1197,Korrelation!E$4:E$1197,"-",0)="-",0,MATCH(_xlfn.XLOOKUP($A506,Korrelation!$D$4:$D$1197,Korrelation!E$4:E$1197,"",0),DMAV_Modell!$G$6:$G$677,0)))</f>
        <v>0</v>
      </c>
      <c r="C506" s="57">
        <f>IF($A506="","",IF(_xlfn.XLOOKUP($A506,Korrelation!$D$4:$D$1197,Korrelation!F$4:F$1197,"-",0)="-",0,MATCH(_xlfn.XLOOKUP($A506,Korrelation!$D$4:$D$1197,Korrelation!F$4:F$1197,"",0),DMAV_Modell!$G$6:$G$677,0)))</f>
        <v>0</v>
      </c>
      <c r="D506" s="57">
        <f>IF($A506="","",IF(_xlfn.XLOOKUP($A506,Korrelation!$D$4:$D$1197,Korrelation!G$4:G$1197,"-",0)="-",0,MATCH(_xlfn.XLOOKUP($A506,Korrelation!$D$4:$D$1197,Korrelation!G$4:G$1197,"",0),DMAV_Modell!$G$6:$G$677,0)))</f>
        <v>0</v>
      </c>
      <c r="E506" s="57">
        <f>IF($A506="","",IF(_xlfn.XLOOKUP($A506,Korrelation!$D$4:$D$1197,Korrelation!H$4:H$1197,"-",0)="-",0,MATCH(_xlfn.XLOOKUP($A506,Korrelation!$D$4:$D$1197,Korrelation!H$4:H$1197,"",0),DMAV_Dienste!$F$6:$F$140,0)))</f>
        <v>0</v>
      </c>
      <c r="F506" s="57">
        <f>IF($A506="","",IF(_xlfn.XLOOKUP($A506,Korrelation!$D$4:$D$1197,Korrelation!I$4:I$1197,"-",0)="-",0,MATCH(_xlfn.XLOOKUP($A506,Korrelation!$D$4:$D$1197,Korrelation!I$4:I$1197,"",0),DMAV_Dienste!$F$6:$F$140,0)))</f>
        <v>0</v>
      </c>
      <c r="G506" s="57">
        <f>IF($A506="","",IF(_xlfn.XLOOKUP($A506,Korrelation!$D$4:$D$1197,Korrelation!J$4:J$1197,"-",0)="-",0,MATCH(_xlfn.XLOOKUP($A506,Korrelation!$D$4:$D$1197,Korrelation!J$4:J$1197,"",0),DMAV_Dienste!$F$6:$F$140,0)))</f>
        <v>0</v>
      </c>
      <c r="H506" s="57">
        <f>IF($A506="","",IF(_xlfn.XLOOKUP($A506,Korrelation!$D$4:$D$1197,Korrelation!K$4:K$1197,"-",0)="-",0,MATCH(_xlfn.XLOOKUP($A506,Korrelation!$D$4:$D$1197,Korrelation!K$4:K$1197,"",0),'DM01-AV-CH'!$A$6:$A$834,0)))</f>
        <v>456</v>
      </c>
      <c r="J506" s="54" t="str" cm="1">
        <f t="array" aca="1" ref="J506" ca="1">IF(B506=0,IF(E506=0,"",HYPERLINK("#"&amp;RIGHT(CELL("adresse",OFFSET(DMAV_Dienste!$M$6,E506-1,0)),LEN(CELL("adresse",OFFSET(DMAV_Dienste!$M$6,E506-1,0)))-FIND("]",CELL("adresse",OFFSET(DMAV_Dienste!$M$6,E506-1,0)))),"Dienst")),HYPERLINK("#"&amp;RIGHT(CELL("adresse",OFFSET(DMAV_Modell!$N$6,B506-1,0)),LEN(CELL("adresse",OFFSET(DMAV_Modell!$N$6,B506-1,0)))-FIND("]",CELL("adresse",OFFSET(DMAV_Modell!$N$6,B506-1,0)))),"Modell"))</f>
        <v/>
      </c>
      <c r="K506" s="61" t="str" cm="1">
        <f t="array" ref="K506">IF($B506=0,IF($E506=0,"",IF(INDEX(DMAV_Dienste!P$6:P$140,$E506)="","",INDEX(DMAV_Dienste!P$6:P$140,$E506))),IF(INDEX(DMAV_Modell!Q$6:Q$838,$B506)="","",INDEX(DMAV_Modell!Q$6:Q$838,$B506)))</f>
        <v/>
      </c>
      <c r="L506" s="62" t="str" cm="1">
        <f t="array" ref="L506">IF($B506=0,IF($E506=0,"",IF(INDEX(DMAV_Dienste!O$6:O$140,$E506)="","",INDEX(DMAV_Dienste!O$6:O$140,$E506))),IF(INDEX(DMAV_Modell!P$6:P$838,$B506)="","",INDEX(DMAV_Modell!P$6:P$838,$B506)))</f>
        <v/>
      </c>
      <c r="M506" s="62" t="str" cm="1">
        <f t="array" ref="M506">IF($B506=0,IF($E506=0,"",IF(INDEX(DMAV_Dienste!Q$6:Q$140,$E506)="","",INDEX(DMAV_Dienste!Q$6:Q$140,$E506))),IF(INDEX(DMAV_Modell!R$6:R$838,$B506)="","",INDEX(DMAV_Modell!R$6:R$838,$B506)))</f>
        <v/>
      </c>
      <c r="N506" s="62" t="str" cm="1">
        <f t="array" ref="N506">IF($B506=0,IF($E506=0,"",IF(INDEX(DMAV_Dienste!T$6:T$140,$E506)="","",INDEX(DMAV_Dienste!T$6:T$140,$E506))),IF(INDEX(DMAV_Modell!U$6:U$838,$B506)="","",INDEX(DMAV_Modell!U$6:U$838,$B506)))</f>
        <v/>
      </c>
      <c r="O506" s="63" t="str" cm="1">
        <f t="array" aca="1" ref="O506" ca="1">IF(C506=0,IF(F506=0,"",HYPERLINK("#"&amp;RIGHT(CELL("adresse",OFFSET(DMAV_Dienste!$M$6,F506-1,0)),LEN(CELL("adresse",OFFSET(DMAV_Dienste!$M$6,F506-1,0)))-FIND("]",CELL("adresse",OFFSET(DMAV_Dienste!$M$6,F506-1,0)))),"Structure")),HYPERLINK("#"&amp;RIGHT(CELL("adresse",OFFSET(DMAV_Modell!$N$6,C506-1,0)),LEN(CELL("adresse",OFFSET(DMAV_Modell!$N$6,C506-1,0)))-FIND("]",CELL("adresse",OFFSET(DMAV_Modell!$N$6,C506-1,0)))),"Structure"))</f>
        <v/>
      </c>
      <c r="P506" s="64" t="str" cm="1">
        <f t="array" aca="1" ref="P506" ca="1">IF(D506=0,IF(G506=0,"",HYPERLINK("#"&amp;RIGHT(CELL("adresse",OFFSET(DMAV_Dienste!$M$6,G506-1,0)),LEN(CELL("adresse",OFFSET(DMAV_Dienste!$M$6,G506-1,0)))-FIND("]",CELL("adresse",OFFSET(DMAV_Dienste!$M$6,G506-1,0)))),"Substructure")),HYPERLINK("#"&amp;RIGHT(CELL("adresse",OFFSET(DMAV_Modell!$N$6,D506-1,0)),LEN(CELL("adresse",OFFSET(DMAV_Modell!$N$6,D506-1,0)))-FIND("]",CELL("adresse",OFFSET(DMAV_Modell!$N$6,D506-1,0)))),"Substructure"))</f>
        <v/>
      </c>
      <c r="R506" s="80"/>
      <c r="T506" s="93"/>
      <c r="U506" s="94" t="s">
        <v>2980</v>
      </c>
      <c r="V506" s="95" t="s">
        <v>3144</v>
      </c>
      <c r="W506" s="96" t="s">
        <v>3106</v>
      </c>
      <c r="Y506" s="85"/>
      <c r="Z506" s="86"/>
      <c r="AA506" s="87"/>
      <c r="AB506" s="88"/>
      <c r="AD506" s="77"/>
      <c r="AF506" s="54" t="str" cm="1">
        <f t="array" aca="1" ref="AF506" ca="1">IF(H506=0,"",HYPERLINK("#"&amp;RIGHT(CELL("adresse",OFFSET('DM01-AV-CH'!$G$6,H506-1,0)),LEN(CELL("adresse",OFFSET('DM01-AV-CH'!$G$6,H506-1,0)))-FIND("]",CELL("adresse",OFFSET('DM01-AV-CH'!$G$6,H506-1,0)))),"Modell"))</f>
        <v>Modell</v>
      </c>
      <c r="AG506" s="72" t="str" cm="1">
        <f t="array" ref="AG506">IF($H506=0,"",IF(INDEX('DM01-AV-CH'!G$6:G$834,$H506)="","",INDEX('DM01-AV-CH'!G$6:G$834,$H506)))</f>
        <v>Liegenschaften</v>
      </c>
      <c r="AH506" s="73" t="str" cm="1">
        <f t="array" ref="AH506">IF($H506=0,"",IF(INDEX('DM01-AV-CH'!H$6:H$834,$H506)="","",INDEX('DM01-AV-CH'!H$6:H$834,$H506)))</f>
        <v>ProjGrundstueckPos</v>
      </c>
      <c r="AI506" s="74" t="str" cm="1">
        <f t="array" ref="AI506">IF($H506=0,"",IF(INDEX('DM01-AV-CH'!I$6:I$834,$H506)="","",INDEX('DM01-AV-CH'!I$6:I$834,$H506)))</f>
        <v>Groesse</v>
      </c>
    </row>
    <row r="507" spans="1:35" ht="42.75" x14ac:dyDescent="0.25">
      <c r="A507" s="57">
        <v>502</v>
      </c>
      <c r="B507" s="57">
        <f>IF($A507="","",IF(_xlfn.XLOOKUP($A507,Korrelation!$D$4:$D$1197,Korrelation!E$4:E$1197,"-",0)="-",0,MATCH(_xlfn.XLOOKUP($A507,Korrelation!$D$4:$D$1197,Korrelation!E$4:E$1197,"",0),DMAV_Modell!$G$6:$G$677,0)))</f>
        <v>0</v>
      </c>
      <c r="C507" s="57">
        <f>IF($A507="","",IF(_xlfn.XLOOKUP($A507,Korrelation!$D$4:$D$1197,Korrelation!F$4:F$1197,"-",0)="-",0,MATCH(_xlfn.XLOOKUP($A507,Korrelation!$D$4:$D$1197,Korrelation!F$4:F$1197,"",0),DMAV_Modell!$G$6:$G$677,0)))</f>
        <v>0</v>
      </c>
      <c r="D507" s="57">
        <f>IF($A507="","",IF(_xlfn.XLOOKUP($A507,Korrelation!$D$4:$D$1197,Korrelation!G$4:G$1197,"-",0)="-",0,MATCH(_xlfn.XLOOKUP($A507,Korrelation!$D$4:$D$1197,Korrelation!G$4:G$1197,"",0),DMAV_Modell!$G$6:$G$677,0)))</f>
        <v>0</v>
      </c>
      <c r="E507" s="57">
        <f>IF($A507="","",IF(_xlfn.XLOOKUP($A507,Korrelation!$D$4:$D$1197,Korrelation!H$4:H$1197,"-",0)="-",0,MATCH(_xlfn.XLOOKUP($A507,Korrelation!$D$4:$D$1197,Korrelation!H$4:H$1197,"",0),DMAV_Dienste!$F$6:$F$140,0)))</f>
        <v>0</v>
      </c>
      <c r="F507" s="57">
        <f>IF($A507="","",IF(_xlfn.XLOOKUP($A507,Korrelation!$D$4:$D$1197,Korrelation!I$4:I$1197,"-",0)="-",0,MATCH(_xlfn.XLOOKUP($A507,Korrelation!$D$4:$D$1197,Korrelation!I$4:I$1197,"",0),DMAV_Dienste!$F$6:$F$140,0)))</f>
        <v>0</v>
      </c>
      <c r="G507" s="57">
        <f>IF($A507="","",IF(_xlfn.XLOOKUP($A507,Korrelation!$D$4:$D$1197,Korrelation!J$4:J$1197,"-",0)="-",0,MATCH(_xlfn.XLOOKUP($A507,Korrelation!$D$4:$D$1197,Korrelation!J$4:J$1197,"",0),DMAV_Dienste!$F$6:$F$140,0)))</f>
        <v>0</v>
      </c>
      <c r="H507" s="57">
        <f>IF($A507="","",IF(_xlfn.XLOOKUP($A507,Korrelation!$D$4:$D$1197,Korrelation!K$4:K$1197,"-",0)="-",0,MATCH(_xlfn.XLOOKUP($A507,Korrelation!$D$4:$D$1197,Korrelation!K$4:K$1197,"",0),'DM01-AV-CH'!$A$6:$A$834,0)))</f>
        <v>457</v>
      </c>
      <c r="J507" s="54" t="str" cm="1">
        <f t="array" aca="1" ref="J507" ca="1">IF(B507=0,IF(E507=0,"",HYPERLINK("#"&amp;RIGHT(CELL("adresse",OFFSET(DMAV_Dienste!$M$6,E507-1,0)),LEN(CELL("adresse",OFFSET(DMAV_Dienste!$M$6,E507-1,0)))-FIND("]",CELL("adresse",OFFSET(DMAV_Dienste!$M$6,E507-1,0)))),"Dienst")),HYPERLINK("#"&amp;RIGHT(CELL("adresse",OFFSET(DMAV_Modell!$N$6,B507-1,0)),LEN(CELL("adresse",OFFSET(DMAV_Modell!$N$6,B507-1,0)))-FIND("]",CELL("adresse",OFFSET(DMAV_Modell!$N$6,B507-1,0)))),"Modell"))</f>
        <v/>
      </c>
      <c r="K507" s="61" t="str" cm="1">
        <f t="array" ref="K507">IF($B507=0,IF($E507=0,"",IF(INDEX(DMAV_Dienste!P$6:P$140,$E507)="","",INDEX(DMAV_Dienste!P$6:P$140,$E507))),IF(INDEX(DMAV_Modell!Q$6:Q$838,$B507)="","",INDEX(DMAV_Modell!Q$6:Q$838,$B507)))</f>
        <v/>
      </c>
      <c r="L507" s="62" t="str" cm="1">
        <f t="array" ref="L507">IF($B507=0,IF($E507=0,"",IF(INDEX(DMAV_Dienste!O$6:O$140,$E507)="","",INDEX(DMAV_Dienste!O$6:O$140,$E507))),IF(INDEX(DMAV_Modell!P$6:P$838,$B507)="","",INDEX(DMAV_Modell!P$6:P$838,$B507)))</f>
        <v/>
      </c>
      <c r="M507" s="62" t="str" cm="1">
        <f t="array" ref="M507">IF($B507=0,IF($E507=0,"",IF(INDEX(DMAV_Dienste!Q$6:Q$140,$E507)="","",INDEX(DMAV_Dienste!Q$6:Q$140,$E507))),IF(INDEX(DMAV_Modell!R$6:R$838,$B507)="","",INDEX(DMAV_Modell!R$6:R$838,$B507)))</f>
        <v/>
      </c>
      <c r="N507" s="62" t="str" cm="1">
        <f t="array" ref="N507">IF($B507=0,IF($E507=0,"",IF(INDEX(DMAV_Dienste!T$6:T$140,$E507)="","",INDEX(DMAV_Dienste!T$6:T$140,$E507))),IF(INDEX(DMAV_Modell!U$6:U$838,$B507)="","",INDEX(DMAV_Modell!U$6:U$838,$B507)))</f>
        <v/>
      </c>
      <c r="O507" s="63" t="str" cm="1">
        <f t="array" aca="1" ref="O507" ca="1">IF(C507=0,IF(F507=0,"",HYPERLINK("#"&amp;RIGHT(CELL("adresse",OFFSET(DMAV_Dienste!$M$6,F507-1,0)),LEN(CELL("adresse",OFFSET(DMAV_Dienste!$M$6,F507-1,0)))-FIND("]",CELL("adresse",OFFSET(DMAV_Dienste!$M$6,F507-1,0)))),"Structure")),HYPERLINK("#"&amp;RIGHT(CELL("adresse",OFFSET(DMAV_Modell!$N$6,C507-1,0)),LEN(CELL("adresse",OFFSET(DMAV_Modell!$N$6,C507-1,0)))-FIND("]",CELL("adresse",OFFSET(DMAV_Modell!$N$6,C507-1,0)))),"Structure"))</f>
        <v/>
      </c>
      <c r="P507" s="64" t="str" cm="1">
        <f t="array" aca="1" ref="P507" ca="1">IF(D507=0,IF(G507=0,"",HYPERLINK("#"&amp;RIGHT(CELL("adresse",OFFSET(DMAV_Dienste!$M$6,G507-1,0)),LEN(CELL("adresse",OFFSET(DMAV_Dienste!$M$6,G507-1,0)))-FIND("]",CELL("adresse",OFFSET(DMAV_Dienste!$M$6,G507-1,0)))),"Substructure")),HYPERLINK("#"&amp;RIGHT(CELL("adresse",OFFSET(DMAV_Modell!$N$6,D507-1,0)),LEN(CELL("adresse",OFFSET(DMAV_Modell!$N$6,D507-1,0)))-FIND("]",CELL("adresse",OFFSET(DMAV_Modell!$N$6,D507-1,0)))),"Substructure"))</f>
        <v/>
      </c>
      <c r="R507" s="80"/>
      <c r="T507" s="93"/>
      <c r="U507" s="94" t="s">
        <v>2980</v>
      </c>
      <c r="V507" s="95" t="s">
        <v>3145</v>
      </c>
      <c r="W507" s="96" t="s">
        <v>3106</v>
      </c>
      <c r="Y507" s="85"/>
      <c r="Z507" s="86"/>
      <c r="AA507" s="87"/>
      <c r="AB507" s="88"/>
      <c r="AD507" s="77"/>
      <c r="AF507" s="54" t="str" cm="1">
        <f t="array" aca="1" ref="AF507" ca="1">IF(H507=0,"",HYPERLINK("#"&amp;RIGHT(CELL("adresse",OFFSET('DM01-AV-CH'!$G$6,H507-1,0)),LEN(CELL("adresse",OFFSET('DM01-AV-CH'!$G$6,H507-1,0)))-FIND("]",CELL("adresse",OFFSET('DM01-AV-CH'!$G$6,H507-1,0)))),"Modell"))</f>
        <v>Modell</v>
      </c>
      <c r="AG507" s="72" t="str" cm="1">
        <f t="array" ref="AG507">IF($H507=0,"",IF(INDEX('DM01-AV-CH'!G$6:G$834,$H507)="","",INDEX('DM01-AV-CH'!G$6:G$834,$H507)))</f>
        <v>Liegenschaften</v>
      </c>
      <c r="AH507" s="73" t="str" cm="1">
        <f t="array" ref="AH507">IF($H507=0,"",IF(INDEX('DM01-AV-CH'!H$6:H$834,$H507)="","",INDEX('DM01-AV-CH'!H$6:H$834,$H507)))</f>
        <v>ProjGrundstueckPos</v>
      </c>
      <c r="AI507" s="74" t="str" cm="1">
        <f t="array" ref="AI507">IF($H507=0,"",IF(INDEX('DM01-AV-CH'!I$6:I$834,$H507)="","",INDEX('DM01-AV-CH'!I$6:I$834,$H507)))</f>
        <v>Hilfslinie</v>
      </c>
    </row>
    <row r="508" spans="1:35" x14ac:dyDescent="0.25">
      <c r="A508" s="57">
        <v>503</v>
      </c>
      <c r="B508" s="57">
        <f>IF($A508="","",IF(_xlfn.XLOOKUP($A508,Korrelation!$D$4:$D$1197,Korrelation!E$4:E$1197,"-",0)="-",0,MATCH(_xlfn.XLOOKUP($A508,Korrelation!$D$4:$D$1197,Korrelation!E$4:E$1197,"",0),DMAV_Modell!$G$6:$G$677,0)))</f>
        <v>0</v>
      </c>
      <c r="C508" s="57">
        <f>IF($A508="","",IF(_xlfn.XLOOKUP($A508,Korrelation!$D$4:$D$1197,Korrelation!F$4:F$1197,"-",0)="-",0,MATCH(_xlfn.XLOOKUP($A508,Korrelation!$D$4:$D$1197,Korrelation!F$4:F$1197,"",0),DMAV_Modell!$G$6:$G$677,0)))</f>
        <v>0</v>
      </c>
      <c r="D508" s="57">
        <f>IF($A508="","",IF(_xlfn.XLOOKUP($A508,Korrelation!$D$4:$D$1197,Korrelation!G$4:G$1197,"-",0)="-",0,MATCH(_xlfn.XLOOKUP($A508,Korrelation!$D$4:$D$1197,Korrelation!G$4:G$1197,"",0),DMAV_Modell!$G$6:$G$677,0)))</f>
        <v>0</v>
      </c>
      <c r="E508" s="57">
        <f>IF($A508="","",IF(_xlfn.XLOOKUP($A508,Korrelation!$D$4:$D$1197,Korrelation!H$4:H$1197,"-",0)="-",0,MATCH(_xlfn.XLOOKUP($A508,Korrelation!$D$4:$D$1197,Korrelation!H$4:H$1197,"",0),DMAV_Dienste!$F$6:$F$140,0)))</f>
        <v>0</v>
      </c>
      <c r="F508" s="57">
        <f>IF($A508="","",IF(_xlfn.XLOOKUP($A508,Korrelation!$D$4:$D$1197,Korrelation!I$4:I$1197,"-",0)="-",0,MATCH(_xlfn.XLOOKUP($A508,Korrelation!$D$4:$D$1197,Korrelation!I$4:I$1197,"",0),DMAV_Dienste!$F$6:$F$140,0)))</f>
        <v>0</v>
      </c>
      <c r="G508" s="57">
        <f>IF($A508="","",IF(_xlfn.XLOOKUP($A508,Korrelation!$D$4:$D$1197,Korrelation!J$4:J$1197,"-",0)="-",0,MATCH(_xlfn.XLOOKUP($A508,Korrelation!$D$4:$D$1197,Korrelation!J$4:J$1197,"",0),DMAV_Dienste!$F$6:$F$140,0)))</f>
        <v>0</v>
      </c>
      <c r="H508" s="57">
        <f>IF($A508="","",IF(_xlfn.XLOOKUP($A508,Korrelation!$D$4:$D$1197,Korrelation!K$4:K$1197,"-",0)="-",0,MATCH(_xlfn.XLOOKUP($A508,Korrelation!$D$4:$D$1197,Korrelation!K$4:K$1197,"",0),'DM01-AV-CH'!$A$6:$A$834,0)))</f>
        <v>458</v>
      </c>
      <c r="J508" s="54" t="str" cm="1">
        <f t="array" aca="1" ref="J508" ca="1">IF(B508=0,IF(E508=0,"",HYPERLINK("#"&amp;RIGHT(CELL("adresse",OFFSET(DMAV_Dienste!$M$6,E508-1,0)),LEN(CELL("adresse",OFFSET(DMAV_Dienste!$M$6,E508-1,0)))-FIND("]",CELL("adresse",OFFSET(DMAV_Dienste!$M$6,E508-1,0)))),"Dienst")),HYPERLINK("#"&amp;RIGHT(CELL("adresse",OFFSET(DMAV_Modell!$N$6,B508-1,0)),LEN(CELL("adresse",OFFSET(DMAV_Modell!$N$6,B508-1,0)))-FIND("]",CELL("adresse",OFFSET(DMAV_Modell!$N$6,B508-1,0)))),"Modell"))</f>
        <v/>
      </c>
      <c r="K508" s="61" t="str" cm="1">
        <f t="array" ref="K508">IF($B508=0,IF($E508=0,"",IF(INDEX(DMAV_Dienste!P$6:P$140,$E508)="","",INDEX(DMAV_Dienste!P$6:P$140,$E508))),IF(INDEX(DMAV_Modell!Q$6:Q$838,$B508)="","",INDEX(DMAV_Modell!Q$6:Q$838,$B508)))</f>
        <v/>
      </c>
      <c r="L508" s="62" t="str" cm="1">
        <f t="array" ref="L508">IF($B508=0,IF($E508=0,"",IF(INDEX(DMAV_Dienste!O$6:O$140,$E508)="","",INDEX(DMAV_Dienste!O$6:O$140,$E508))),IF(INDEX(DMAV_Modell!P$6:P$838,$B508)="","",INDEX(DMAV_Modell!P$6:P$838,$B508)))</f>
        <v/>
      </c>
      <c r="M508" s="62" t="str" cm="1">
        <f t="array" ref="M508">IF($B508=0,IF($E508=0,"",IF(INDEX(DMAV_Dienste!Q$6:Q$140,$E508)="","",INDEX(DMAV_Dienste!Q$6:Q$140,$E508))),IF(INDEX(DMAV_Modell!R$6:R$838,$B508)="","",INDEX(DMAV_Modell!R$6:R$838,$B508)))</f>
        <v/>
      </c>
      <c r="N508" s="62" t="str" cm="1">
        <f t="array" ref="N508">IF($B508=0,IF($E508=0,"",IF(INDEX(DMAV_Dienste!T$6:T$140,$E508)="","",INDEX(DMAV_Dienste!T$6:T$140,$E508))),IF(INDEX(DMAV_Modell!U$6:U$838,$B508)="","",INDEX(DMAV_Modell!U$6:U$838,$B508)))</f>
        <v/>
      </c>
      <c r="O508" s="63" t="str" cm="1">
        <f t="array" aca="1" ref="O508" ca="1">IF(C508=0,IF(F508=0,"",HYPERLINK("#"&amp;RIGHT(CELL("adresse",OFFSET(DMAV_Dienste!$M$6,F508-1,0)),LEN(CELL("adresse",OFFSET(DMAV_Dienste!$M$6,F508-1,0)))-FIND("]",CELL("adresse",OFFSET(DMAV_Dienste!$M$6,F508-1,0)))),"Structure")),HYPERLINK("#"&amp;RIGHT(CELL("adresse",OFFSET(DMAV_Modell!$N$6,C508-1,0)),LEN(CELL("adresse",OFFSET(DMAV_Modell!$N$6,C508-1,0)))-FIND("]",CELL("adresse",OFFSET(DMAV_Modell!$N$6,C508-1,0)))),"Structure"))</f>
        <v/>
      </c>
      <c r="P508" s="64" t="str" cm="1">
        <f t="array" aca="1" ref="P508" ca="1">IF(D508=0,IF(G508=0,"",HYPERLINK("#"&amp;RIGHT(CELL("adresse",OFFSET(DMAV_Dienste!$M$6,G508-1,0)),LEN(CELL("adresse",OFFSET(DMAV_Dienste!$M$6,G508-1,0)))-FIND("]",CELL("adresse",OFFSET(DMAV_Dienste!$M$6,G508-1,0)))),"Substructure")),HYPERLINK("#"&amp;RIGHT(CELL("adresse",OFFSET(DMAV_Modell!$N$6,D508-1,0)),LEN(CELL("adresse",OFFSET(DMAV_Modell!$N$6,D508-1,0)))-FIND("]",CELL("adresse",OFFSET(DMAV_Modell!$N$6,D508-1,0)))),"Substructure"))</f>
        <v/>
      </c>
      <c r="R508" s="80"/>
      <c r="T508" s="93"/>
      <c r="U508" s="94"/>
      <c r="V508" s="95"/>
      <c r="W508" s="96"/>
      <c r="Y508" s="85"/>
      <c r="Z508" s="86"/>
      <c r="AA508" s="87"/>
      <c r="AB508" s="88"/>
      <c r="AD508" s="77"/>
      <c r="AF508" s="54" t="str" cm="1">
        <f t="array" aca="1" ref="AF508" ca="1">IF(H508=0,"",HYPERLINK("#"&amp;RIGHT(CELL("adresse",OFFSET('DM01-AV-CH'!$G$6,H508-1,0)),LEN(CELL("adresse",OFFSET('DM01-AV-CH'!$G$6,H508-1,0)))-FIND("]",CELL("adresse",OFFSET('DM01-AV-CH'!$G$6,H508-1,0)))),"Modell"))</f>
        <v>Modell</v>
      </c>
      <c r="AG508" s="72" t="str" cm="1">
        <f t="array" ref="AG508">IF($H508=0,"",IF(INDEX('DM01-AV-CH'!G$6:G$834,$H508)="","",INDEX('DM01-AV-CH'!G$6:G$834,$H508)))</f>
        <v>Liegenschaften</v>
      </c>
      <c r="AH508" s="73" t="str" cm="1">
        <f t="array" ref="AH508">IF($H508=0,"",IF(INDEX('DM01-AV-CH'!H$6:H$834,$H508)="","",INDEX('DM01-AV-CH'!H$6:H$834,$H508)))</f>
        <v>ProjLiegenschaft</v>
      </c>
      <c r="AI508" s="74" t="str" cm="1">
        <f t="array" ref="AI508">IF($H508=0,"",IF(INDEX('DM01-AV-CH'!I$6:I$834,$H508)="","",INDEX('DM01-AV-CH'!I$6:I$834,$H508)))</f>
        <v>ProjLiegenschaft_von</v>
      </c>
    </row>
    <row r="509" spans="1:35" ht="71.25" x14ac:dyDescent="0.25">
      <c r="A509" s="57">
        <v>504</v>
      </c>
      <c r="B509" s="57">
        <f>IF($A509="","",IF(_xlfn.XLOOKUP($A509,Korrelation!$D$4:$D$1197,Korrelation!E$4:E$1197,"-",0)="-",0,MATCH(_xlfn.XLOOKUP($A509,Korrelation!$D$4:$D$1197,Korrelation!E$4:E$1197,"",0),DMAV_Modell!$G$6:$G$677,0)))</f>
        <v>0</v>
      </c>
      <c r="C509" s="57">
        <f>IF($A509="","",IF(_xlfn.XLOOKUP($A509,Korrelation!$D$4:$D$1197,Korrelation!F$4:F$1197,"-",0)="-",0,MATCH(_xlfn.XLOOKUP($A509,Korrelation!$D$4:$D$1197,Korrelation!F$4:F$1197,"",0),DMAV_Modell!$G$6:$G$677,0)))</f>
        <v>0</v>
      </c>
      <c r="D509" s="57">
        <f>IF($A509="","",IF(_xlfn.XLOOKUP($A509,Korrelation!$D$4:$D$1197,Korrelation!G$4:G$1197,"-",0)="-",0,MATCH(_xlfn.XLOOKUP($A509,Korrelation!$D$4:$D$1197,Korrelation!G$4:G$1197,"",0),DMAV_Modell!$G$6:$G$677,0)))</f>
        <v>0</v>
      </c>
      <c r="E509" s="57">
        <f>IF($A509="","",IF(_xlfn.XLOOKUP($A509,Korrelation!$D$4:$D$1197,Korrelation!H$4:H$1197,"-",0)="-",0,MATCH(_xlfn.XLOOKUP($A509,Korrelation!$D$4:$D$1197,Korrelation!H$4:H$1197,"",0),DMAV_Dienste!$F$6:$F$140,0)))</f>
        <v>0</v>
      </c>
      <c r="F509" s="57">
        <f>IF($A509="","",IF(_xlfn.XLOOKUP($A509,Korrelation!$D$4:$D$1197,Korrelation!I$4:I$1197,"-",0)="-",0,MATCH(_xlfn.XLOOKUP($A509,Korrelation!$D$4:$D$1197,Korrelation!I$4:I$1197,"",0),DMAV_Dienste!$F$6:$F$140,0)))</f>
        <v>0</v>
      </c>
      <c r="G509" s="57">
        <f>IF($A509="","",IF(_xlfn.XLOOKUP($A509,Korrelation!$D$4:$D$1197,Korrelation!J$4:J$1197,"-",0)="-",0,MATCH(_xlfn.XLOOKUP($A509,Korrelation!$D$4:$D$1197,Korrelation!J$4:J$1197,"",0),DMAV_Dienste!$F$6:$F$140,0)))</f>
        <v>0</v>
      </c>
      <c r="H509" s="57">
        <f>IF($A509="","",IF(_xlfn.XLOOKUP($A509,Korrelation!$D$4:$D$1197,Korrelation!K$4:K$1197,"-",0)="-",0,MATCH(_xlfn.XLOOKUP($A509,Korrelation!$D$4:$D$1197,Korrelation!K$4:K$1197,"",0),'DM01-AV-CH'!$A$6:$A$834,0)))</f>
        <v>459</v>
      </c>
      <c r="J509" s="54" t="str" cm="1">
        <f t="array" aca="1" ref="J509" ca="1">IF(B509=0,IF(E509=0,"",HYPERLINK("#"&amp;RIGHT(CELL("adresse",OFFSET(DMAV_Dienste!$M$6,E509-1,0)),LEN(CELL("adresse",OFFSET(DMAV_Dienste!$M$6,E509-1,0)))-FIND("]",CELL("adresse",OFFSET(DMAV_Dienste!$M$6,E509-1,0)))),"Dienst")),HYPERLINK("#"&amp;RIGHT(CELL("adresse",OFFSET(DMAV_Modell!$N$6,B509-1,0)),LEN(CELL("adresse",OFFSET(DMAV_Modell!$N$6,B509-1,0)))-FIND("]",CELL("adresse",OFFSET(DMAV_Modell!$N$6,B509-1,0)))),"Modell"))</f>
        <v/>
      </c>
      <c r="K509" s="61" t="str" cm="1">
        <f t="array" ref="K509">IF($B509=0,IF($E509=0,"",IF(INDEX(DMAV_Dienste!P$6:P$140,$E509)="","",INDEX(DMAV_Dienste!P$6:P$140,$E509))),IF(INDEX(DMAV_Modell!Q$6:Q$838,$B509)="","",INDEX(DMAV_Modell!Q$6:Q$838,$B509)))</f>
        <v/>
      </c>
      <c r="L509" s="62" t="str" cm="1">
        <f t="array" ref="L509">IF($B509=0,IF($E509=0,"",IF(INDEX(DMAV_Dienste!O$6:O$140,$E509)="","",INDEX(DMAV_Dienste!O$6:O$140,$E509))),IF(INDEX(DMAV_Modell!P$6:P$838,$B509)="","",INDEX(DMAV_Modell!P$6:P$838,$B509)))</f>
        <v/>
      </c>
      <c r="M509" s="62" t="str" cm="1">
        <f t="array" ref="M509">IF($B509=0,IF($E509=0,"",IF(INDEX(DMAV_Dienste!Q$6:Q$140,$E509)="","",INDEX(DMAV_Dienste!Q$6:Q$140,$E509))),IF(INDEX(DMAV_Modell!R$6:R$838,$B509)="","",INDEX(DMAV_Modell!R$6:R$838,$B509)))</f>
        <v/>
      </c>
      <c r="N509" s="62" t="str" cm="1">
        <f t="array" ref="N509">IF($B509=0,IF($E509=0,"",IF(INDEX(DMAV_Dienste!T$6:T$140,$E509)="","",INDEX(DMAV_Dienste!T$6:T$140,$E509))),IF(INDEX(DMAV_Modell!U$6:U$838,$B509)="","",INDEX(DMAV_Modell!U$6:U$838,$B509)))</f>
        <v/>
      </c>
      <c r="O509" s="63" t="str" cm="1">
        <f t="array" aca="1" ref="O509" ca="1">IF(C509=0,IF(F509=0,"",HYPERLINK("#"&amp;RIGHT(CELL("adresse",OFFSET(DMAV_Dienste!$M$6,F509-1,0)),LEN(CELL("adresse",OFFSET(DMAV_Dienste!$M$6,F509-1,0)))-FIND("]",CELL("adresse",OFFSET(DMAV_Dienste!$M$6,F509-1,0)))),"Structure")),HYPERLINK("#"&amp;RIGHT(CELL("adresse",OFFSET(DMAV_Modell!$N$6,C509-1,0)),LEN(CELL("adresse",OFFSET(DMAV_Modell!$N$6,C509-1,0)))-FIND("]",CELL("adresse",OFFSET(DMAV_Modell!$N$6,C509-1,0)))),"Structure"))</f>
        <v/>
      </c>
      <c r="P509" s="64" t="str" cm="1">
        <f t="array" aca="1" ref="P509" ca="1">IF(D509=0,IF(G509=0,"",HYPERLINK("#"&amp;RIGHT(CELL("adresse",OFFSET(DMAV_Dienste!$M$6,G509-1,0)),LEN(CELL("adresse",OFFSET(DMAV_Dienste!$M$6,G509-1,0)))-FIND("]",CELL("adresse",OFFSET(DMAV_Dienste!$M$6,G509-1,0)))),"Substructure")),HYPERLINK("#"&amp;RIGHT(CELL("adresse",OFFSET(DMAV_Modell!$N$6,D509-1,0)),LEN(CELL("adresse",OFFSET(DMAV_Modell!$N$6,D509-1,0)))-FIND("]",CELL("adresse",OFFSET(DMAV_Modell!$N$6,D509-1,0)))),"Substructure"))</f>
        <v/>
      </c>
      <c r="R509" s="80"/>
      <c r="T509" s="93"/>
      <c r="U509" s="94" t="s">
        <v>2980</v>
      </c>
      <c r="V509" s="95" t="s">
        <v>3001</v>
      </c>
      <c r="W509" s="96" t="s">
        <v>3107</v>
      </c>
      <c r="Y509" s="85"/>
      <c r="Z509" s="86"/>
      <c r="AA509" s="87"/>
      <c r="AB509" s="88"/>
      <c r="AD509" s="77"/>
      <c r="AF509" s="54" t="str" cm="1">
        <f t="array" aca="1" ref="AF509" ca="1">IF(H509=0,"",HYPERLINK("#"&amp;RIGHT(CELL("adresse",OFFSET('DM01-AV-CH'!$G$6,H509-1,0)),LEN(CELL("adresse",OFFSET('DM01-AV-CH'!$G$6,H509-1,0)))-FIND("]",CELL("adresse",OFFSET('DM01-AV-CH'!$G$6,H509-1,0)))),"Modell"))</f>
        <v>Modell</v>
      </c>
      <c r="AG509" s="72" t="str" cm="1">
        <f t="array" ref="AG509">IF($H509=0,"",IF(INDEX('DM01-AV-CH'!G$6:G$834,$H509)="","",INDEX('DM01-AV-CH'!G$6:G$834,$H509)))</f>
        <v>Liegenschaften</v>
      </c>
      <c r="AH509" s="73" t="str" cm="1">
        <f t="array" ref="AH509">IF($H509=0,"",IF(INDEX('DM01-AV-CH'!H$6:H$834,$H509)="","",INDEX('DM01-AV-CH'!H$6:H$834,$H509)))</f>
        <v>ProjLiegenschaft</v>
      </c>
      <c r="AI509" s="74" t="str" cm="1">
        <f t="array" ref="AI509">IF($H509=0,"",IF(INDEX('DM01-AV-CH'!I$6:I$834,$H509)="","",INDEX('DM01-AV-CH'!I$6:I$834,$H509)))</f>
        <v>NummerTeilGrundstueck</v>
      </c>
    </row>
    <row r="510" spans="1:35" ht="71.25" x14ac:dyDescent="0.25">
      <c r="A510" s="57">
        <v>505</v>
      </c>
      <c r="B510" s="57">
        <f>IF($A510="","",IF(_xlfn.XLOOKUP($A510,Korrelation!$D$4:$D$1197,Korrelation!E$4:E$1197,"-",0)="-",0,MATCH(_xlfn.XLOOKUP($A510,Korrelation!$D$4:$D$1197,Korrelation!E$4:E$1197,"",0),DMAV_Modell!$G$6:$G$677,0)))</f>
        <v>0</v>
      </c>
      <c r="C510" s="57">
        <f>IF($A510="","",IF(_xlfn.XLOOKUP($A510,Korrelation!$D$4:$D$1197,Korrelation!F$4:F$1197,"-",0)="-",0,MATCH(_xlfn.XLOOKUP($A510,Korrelation!$D$4:$D$1197,Korrelation!F$4:F$1197,"",0),DMAV_Modell!$G$6:$G$677,0)))</f>
        <v>0</v>
      </c>
      <c r="D510" s="57">
        <f>IF($A510="","",IF(_xlfn.XLOOKUP($A510,Korrelation!$D$4:$D$1197,Korrelation!G$4:G$1197,"-",0)="-",0,MATCH(_xlfn.XLOOKUP($A510,Korrelation!$D$4:$D$1197,Korrelation!G$4:G$1197,"",0),DMAV_Modell!$G$6:$G$677,0)))</f>
        <v>0</v>
      </c>
      <c r="E510" s="57">
        <f>IF($A510="","",IF(_xlfn.XLOOKUP($A510,Korrelation!$D$4:$D$1197,Korrelation!H$4:H$1197,"-",0)="-",0,MATCH(_xlfn.XLOOKUP($A510,Korrelation!$D$4:$D$1197,Korrelation!H$4:H$1197,"",0),DMAV_Dienste!$F$6:$F$140,0)))</f>
        <v>0</v>
      </c>
      <c r="F510" s="57">
        <f>IF($A510="","",IF(_xlfn.XLOOKUP($A510,Korrelation!$D$4:$D$1197,Korrelation!I$4:I$1197,"-",0)="-",0,MATCH(_xlfn.XLOOKUP($A510,Korrelation!$D$4:$D$1197,Korrelation!I$4:I$1197,"",0),DMAV_Dienste!$F$6:$F$140,0)))</f>
        <v>0</v>
      </c>
      <c r="G510" s="57">
        <f>IF($A510="","",IF(_xlfn.XLOOKUP($A510,Korrelation!$D$4:$D$1197,Korrelation!J$4:J$1197,"-",0)="-",0,MATCH(_xlfn.XLOOKUP($A510,Korrelation!$D$4:$D$1197,Korrelation!J$4:J$1197,"",0),DMAV_Dienste!$F$6:$F$140,0)))</f>
        <v>0</v>
      </c>
      <c r="H510" s="57">
        <f>IF($A510="","",IF(_xlfn.XLOOKUP($A510,Korrelation!$D$4:$D$1197,Korrelation!K$4:K$1197,"-",0)="-",0,MATCH(_xlfn.XLOOKUP($A510,Korrelation!$D$4:$D$1197,Korrelation!K$4:K$1197,"",0),'DM01-AV-CH'!$A$6:$A$834,0)))</f>
        <v>460</v>
      </c>
      <c r="J510" s="54" t="str" cm="1">
        <f t="array" aca="1" ref="J510" ca="1">IF(B510=0,IF(E510=0,"",HYPERLINK("#"&amp;RIGHT(CELL("adresse",OFFSET(DMAV_Dienste!$M$6,E510-1,0)),LEN(CELL("adresse",OFFSET(DMAV_Dienste!$M$6,E510-1,0)))-FIND("]",CELL("adresse",OFFSET(DMAV_Dienste!$M$6,E510-1,0)))),"Dienst")),HYPERLINK("#"&amp;RIGHT(CELL("adresse",OFFSET(DMAV_Modell!$N$6,B510-1,0)),LEN(CELL("adresse",OFFSET(DMAV_Modell!$N$6,B510-1,0)))-FIND("]",CELL("adresse",OFFSET(DMAV_Modell!$N$6,B510-1,0)))),"Modell"))</f>
        <v/>
      </c>
      <c r="K510" s="61" t="str" cm="1">
        <f t="array" ref="K510">IF($B510=0,IF($E510=0,"",IF(INDEX(DMAV_Dienste!P$6:P$140,$E510)="","",INDEX(DMAV_Dienste!P$6:P$140,$E510))),IF(INDEX(DMAV_Modell!Q$6:Q$838,$B510)="","",INDEX(DMAV_Modell!Q$6:Q$838,$B510)))</f>
        <v/>
      </c>
      <c r="L510" s="62" t="str" cm="1">
        <f t="array" ref="L510">IF($B510=0,IF($E510=0,"",IF(INDEX(DMAV_Dienste!O$6:O$140,$E510)="","",INDEX(DMAV_Dienste!O$6:O$140,$E510))),IF(INDEX(DMAV_Modell!P$6:P$838,$B510)="","",INDEX(DMAV_Modell!P$6:P$838,$B510)))</f>
        <v/>
      </c>
      <c r="M510" s="62" t="str" cm="1">
        <f t="array" ref="M510">IF($B510=0,IF($E510=0,"",IF(INDEX(DMAV_Dienste!Q$6:Q$140,$E510)="","",INDEX(DMAV_Dienste!Q$6:Q$140,$E510))),IF(INDEX(DMAV_Modell!R$6:R$838,$B510)="","",INDEX(DMAV_Modell!R$6:R$838,$B510)))</f>
        <v/>
      </c>
      <c r="N510" s="62" t="str" cm="1">
        <f t="array" ref="N510">IF($B510=0,IF($E510=0,"",IF(INDEX(DMAV_Dienste!T$6:T$140,$E510)="","",INDEX(DMAV_Dienste!T$6:T$140,$E510))),IF(INDEX(DMAV_Modell!U$6:U$838,$B510)="","",INDEX(DMAV_Modell!U$6:U$838,$B510)))</f>
        <v/>
      </c>
      <c r="O510" s="63" t="str" cm="1">
        <f t="array" aca="1" ref="O510" ca="1">IF(C510=0,IF(F510=0,"",HYPERLINK("#"&amp;RIGHT(CELL("adresse",OFFSET(DMAV_Dienste!$M$6,F510-1,0)),LEN(CELL("adresse",OFFSET(DMAV_Dienste!$M$6,F510-1,0)))-FIND("]",CELL("adresse",OFFSET(DMAV_Dienste!$M$6,F510-1,0)))),"Structure")),HYPERLINK("#"&amp;RIGHT(CELL("adresse",OFFSET(DMAV_Modell!$N$6,C510-1,0)),LEN(CELL("adresse",OFFSET(DMAV_Modell!$N$6,C510-1,0)))-FIND("]",CELL("adresse",OFFSET(DMAV_Modell!$N$6,C510-1,0)))),"Structure"))</f>
        <v/>
      </c>
      <c r="P510" s="64" t="str" cm="1">
        <f t="array" aca="1" ref="P510" ca="1">IF(D510=0,IF(G510=0,"",HYPERLINK("#"&amp;RIGHT(CELL("adresse",OFFSET(DMAV_Dienste!$M$6,G510-1,0)),LEN(CELL("adresse",OFFSET(DMAV_Dienste!$M$6,G510-1,0)))-FIND("]",CELL("adresse",OFFSET(DMAV_Dienste!$M$6,G510-1,0)))),"Substructure")),HYPERLINK("#"&amp;RIGHT(CELL("adresse",OFFSET(DMAV_Modell!$N$6,D510-1,0)),LEN(CELL("adresse",OFFSET(DMAV_Modell!$N$6,D510-1,0)))-FIND("]",CELL("adresse",OFFSET(DMAV_Modell!$N$6,D510-1,0)))),"Substructure"))</f>
        <v/>
      </c>
      <c r="R510" s="80"/>
      <c r="T510" s="93"/>
      <c r="U510" s="94" t="s">
        <v>2980</v>
      </c>
      <c r="V510" s="95" t="s">
        <v>3002</v>
      </c>
      <c r="W510" s="96" t="s">
        <v>3107</v>
      </c>
      <c r="Y510" s="85"/>
      <c r="Z510" s="86"/>
      <c r="AA510" s="87"/>
      <c r="AB510" s="88"/>
      <c r="AD510" s="77"/>
      <c r="AF510" s="54" t="str" cm="1">
        <f t="array" aca="1" ref="AF510" ca="1">IF(H510=0,"",HYPERLINK("#"&amp;RIGHT(CELL("adresse",OFFSET('DM01-AV-CH'!$G$6,H510-1,0)),LEN(CELL("adresse",OFFSET('DM01-AV-CH'!$G$6,H510-1,0)))-FIND("]",CELL("adresse",OFFSET('DM01-AV-CH'!$G$6,H510-1,0)))),"Modell"))</f>
        <v>Modell</v>
      </c>
      <c r="AG510" s="72" t="str" cm="1">
        <f t="array" ref="AG510">IF($H510=0,"",IF(INDEX('DM01-AV-CH'!G$6:G$834,$H510)="","",INDEX('DM01-AV-CH'!G$6:G$834,$H510)))</f>
        <v>Liegenschaften</v>
      </c>
      <c r="AH510" s="73" t="str" cm="1">
        <f t="array" ref="AH510">IF($H510=0,"",IF(INDEX('DM01-AV-CH'!H$6:H$834,$H510)="","",INDEX('DM01-AV-CH'!H$6:H$834,$H510)))</f>
        <v>ProjLiegenschaft</v>
      </c>
      <c r="AI510" s="74" t="str" cm="1">
        <f t="array" ref="AI510">IF($H510=0,"",IF(INDEX('DM01-AV-CH'!I$6:I$834,$H510)="","",INDEX('DM01-AV-CH'!I$6:I$834,$H510)))</f>
        <v>Geometrie</v>
      </c>
    </row>
    <row r="511" spans="1:35" ht="71.25" x14ac:dyDescent="0.25">
      <c r="A511" s="57">
        <v>506</v>
      </c>
      <c r="B511" s="57">
        <f>IF($A511="","",IF(_xlfn.XLOOKUP($A511,Korrelation!$D$4:$D$1197,Korrelation!E$4:E$1197,"-",0)="-",0,MATCH(_xlfn.XLOOKUP($A511,Korrelation!$D$4:$D$1197,Korrelation!E$4:E$1197,"",0),DMAV_Modell!$G$6:$G$677,0)))</f>
        <v>0</v>
      </c>
      <c r="C511" s="57">
        <f>IF($A511="","",IF(_xlfn.XLOOKUP($A511,Korrelation!$D$4:$D$1197,Korrelation!F$4:F$1197,"-",0)="-",0,MATCH(_xlfn.XLOOKUP($A511,Korrelation!$D$4:$D$1197,Korrelation!F$4:F$1197,"",0),DMAV_Modell!$G$6:$G$677,0)))</f>
        <v>0</v>
      </c>
      <c r="D511" s="57">
        <f>IF($A511="","",IF(_xlfn.XLOOKUP($A511,Korrelation!$D$4:$D$1197,Korrelation!G$4:G$1197,"-",0)="-",0,MATCH(_xlfn.XLOOKUP($A511,Korrelation!$D$4:$D$1197,Korrelation!G$4:G$1197,"",0),DMAV_Modell!$G$6:$G$677,0)))</f>
        <v>0</v>
      </c>
      <c r="E511" s="57">
        <f>IF($A511="","",IF(_xlfn.XLOOKUP($A511,Korrelation!$D$4:$D$1197,Korrelation!H$4:H$1197,"-",0)="-",0,MATCH(_xlfn.XLOOKUP($A511,Korrelation!$D$4:$D$1197,Korrelation!H$4:H$1197,"",0),DMAV_Dienste!$F$6:$F$140,0)))</f>
        <v>0</v>
      </c>
      <c r="F511" s="57">
        <f>IF($A511="","",IF(_xlfn.XLOOKUP($A511,Korrelation!$D$4:$D$1197,Korrelation!I$4:I$1197,"-",0)="-",0,MATCH(_xlfn.XLOOKUP($A511,Korrelation!$D$4:$D$1197,Korrelation!I$4:I$1197,"",0),DMAV_Dienste!$F$6:$F$140,0)))</f>
        <v>0</v>
      </c>
      <c r="G511" s="57">
        <f>IF($A511="","",IF(_xlfn.XLOOKUP($A511,Korrelation!$D$4:$D$1197,Korrelation!J$4:J$1197,"-",0)="-",0,MATCH(_xlfn.XLOOKUP($A511,Korrelation!$D$4:$D$1197,Korrelation!J$4:J$1197,"",0),DMAV_Dienste!$F$6:$F$140,0)))</f>
        <v>0</v>
      </c>
      <c r="H511" s="57">
        <f>IF($A511="","",IF(_xlfn.XLOOKUP($A511,Korrelation!$D$4:$D$1197,Korrelation!K$4:K$1197,"-",0)="-",0,MATCH(_xlfn.XLOOKUP($A511,Korrelation!$D$4:$D$1197,Korrelation!K$4:K$1197,"",0),'DM01-AV-CH'!$A$6:$A$834,0)))</f>
        <v>460</v>
      </c>
      <c r="J511" s="54" t="str" cm="1">
        <f t="array" aca="1" ref="J511" ca="1">IF(B511=0,IF(E511=0,"",HYPERLINK("#"&amp;RIGHT(CELL("adresse",OFFSET(DMAV_Dienste!$M$6,E511-1,0)),LEN(CELL("adresse",OFFSET(DMAV_Dienste!$M$6,E511-1,0)))-FIND("]",CELL("adresse",OFFSET(DMAV_Dienste!$M$6,E511-1,0)))),"Dienst")),HYPERLINK("#"&amp;RIGHT(CELL("adresse",OFFSET(DMAV_Modell!$N$6,B511-1,0)),LEN(CELL("adresse",OFFSET(DMAV_Modell!$N$6,B511-1,0)))-FIND("]",CELL("adresse",OFFSET(DMAV_Modell!$N$6,B511-1,0)))),"Modell"))</f>
        <v/>
      </c>
      <c r="K511" s="61" t="str" cm="1">
        <f t="array" ref="K511">IF($B511=0,IF($E511=0,"",IF(INDEX(DMAV_Dienste!P$6:P$140,$E511)="","",INDEX(DMAV_Dienste!P$6:P$140,$E511))),IF(INDEX(DMAV_Modell!Q$6:Q$838,$B511)="","",INDEX(DMAV_Modell!Q$6:Q$838,$B511)))</f>
        <v/>
      </c>
      <c r="L511" s="62" t="str" cm="1">
        <f t="array" ref="L511">IF($B511=0,IF($E511=0,"",IF(INDEX(DMAV_Dienste!O$6:O$140,$E511)="","",INDEX(DMAV_Dienste!O$6:O$140,$E511))),IF(INDEX(DMAV_Modell!P$6:P$838,$B511)="","",INDEX(DMAV_Modell!P$6:P$838,$B511)))</f>
        <v/>
      </c>
      <c r="M511" s="62" t="str" cm="1">
        <f t="array" ref="M511">IF($B511=0,IF($E511=0,"",IF(INDEX(DMAV_Dienste!Q$6:Q$140,$E511)="","",INDEX(DMAV_Dienste!Q$6:Q$140,$E511))),IF(INDEX(DMAV_Modell!R$6:R$838,$B511)="","",INDEX(DMAV_Modell!R$6:R$838,$B511)))</f>
        <v/>
      </c>
      <c r="N511" s="62" t="str" cm="1">
        <f t="array" ref="N511">IF($B511=0,IF($E511=0,"",IF(INDEX(DMAV_Dienste!T$6:T$140,$E511)="","",INDEX(DMAV_Dienste!T$6:T$140,$E511))),IF(INDEX(DMAV_Modell!U$6:U$838,$B511)="","",INDEX(DMAV_Modell!U$6:U$838,$B511)))</f>
        <v/>
      </c>
      <c r="O511" s="63" t="str" cm="1">
        <f t="array" aca="1" ref="O511" ca="1">IF(C511=0,IF(F511=0,"",HYPERLINK("#"&amp;RIGHT(CELL("adresse",OFFSET(DMAV_Dienste!$M$6,F511-1,0)),LEN(CELL("adresse",OFFSET(DMAV_Dienste!$M$6,F511-1,0)))-FIND("]",CELL("adresse",OFFSET(DMAV_Dienste!$M$6,F511-1,0)))),"Structure")),HYPERLINK("#"&amp;RIGHT(CELL("adresse",OFFSET(DMAV_Modell!$N$6,C511-1,0)),LEN(CELL("adresse",OFFSET(DMAV_Modell!$N$6,C511-1,0)))-FIND("]",CELL("adresse",OFFSET(DMAV_Modell!$N$6,C511-1,0)))),"Structure"))</f>
        <v/>
      </c>
      <c r="P511" s="64" t="str" cm="1">
        <f t="array" aca="1" ref="P511" ca="1">IF(D511=0,IF(G511=0,"",HYPERLINK("#"&amp;RIGHT(CELL("adresse",OFFSET(DMAV_Dienste!$M$6,G511-1,0)),LEN(CELL("adresse",OFFSET(DMAV_Dienste!$M$6,G511-1,0)))-FIND("]",CELL("adresse",OFFSET(DMAV_Dienste!$M$6,G511-1,0)))),"Substructure")),HYPERLINK("#"&amp;RIGHT(CELL("adresse",OFFSET(DMAV_Modell!$N$6,D511-1,0)),LEN(CELL("adresse",OFFSET(DMAV_Modell!$N$6,D511-1,0)))-FIND("]",CELL("adresse",OFFSET(DMAV_Modell!$N$6,D511-1,0)))),"Substructure"))</f>
        <v/>
      </c>
      <c r="R511" s="80"/>
      <c r="T511" s="93" t="s">
        <v>3108</v>
      </c>
      <c r="U511" s="94" t="s">
        <v>1286</v>
      </c>
      <c r="V511" s="95" t="s">
        <v>3004</v>
      </c>
      <c r="W511" s="96" t="s">
        <v>3107</v>
      </c>
      <c r="Y511" s="85"/>
      <c r="Z511" s="86"/>
      <c r="AA511" s="87"/>
      <c r="AB511" s="88"/>
      <c r="AD511" s="77"/>
      <c r="AF511" s="54" t="str" cm="1">
        <f t="array" aca="1" ref="AF511" ca="1">IF(H511=0,"",HYPERLINK("#"&amp;RIGHT(CELL("adresse",OFFSET('DM01-AV-CH'!$G$6,H511-1,0)),LEN(CELL("adresse",OFFSET('DM01-AV-CH'!$G$6,H511-1,0)))-FIND("]",CELL("adresse",OFFSET('DM01-AV-CH'!$G$6,H511-1,0)))),"Modell"))</f>
        <v>Modell</v>
      </c>
      <c r="AG511" s="72" t="str" cm="1">
        <f t="array" ref="AG511">IF($H511=0,"",IF(INDEX('DM01-AV-CH'!G$6:G$834,$H511)="","",INDEX('DM01-AV-CH'!G$6:G$834,$H511)))</f>
        <v>Liegenschaften</v>
      </c>
      <c r="AH511" s="73" t="str" cm="1">
        <f t="array" ref="AH511">IF($H511=0,"",IF(INDEX('DM01-AV-CH'!H$6:H$834,$H511)="","",INDEX('DM01-AV-CH'!H$6:H$834,$H511)))</f>
        <v>ProjLiegenschaft</v>
      </c>
      <c r="AI511" s="74" t="str" cm="1">
        <f t="array" ref="AI511">IF($H511=0,"",IF(INDEX('DM01-AV-CH'!I$6:I$834,$H511)="","",INDEX('DM01-AV-CH'!I$6:I$834,$H511)))</f>
        <v>Geometrie</v>
      </c>
    </row>
    <row r="512" spans="1:35" ht="71.25" x14ac:dyDescent="0.25">
      <c r="A512" s="57">
        <v>507</v>
      </c>
      <c r="B512" s="57">
        <f>IF($A512="","",IF(_xlfn.XLOOKUP($A512,Korrelation!$D$4:$D$1197,Korrelation!E$4:E$1197,"-",0)="-",0,MATCH(_xlfn.XLOOKUP($A512,Korrelation!$D$4:$D$1197,Korrelation!E$4:E$1197,"",0),DMAV_Modell!$G$6:$G$677,0)))</f>
        <v>0</v>
      </c>
      <c r="C512" s="57">
        <f>IF($A512="","",IF(_xlfn.XLOOKUP($A512,Korrelation!$D$4:$D$1197,Korrelation!F$4:F$1197,"-",0)="-",0,MATCH(_xlfn.XLOOKUP($A512,Korrelation!$D$4:$D$1197,Korrelation!F$4:F$1197,"",0),DMAV_Modell!$G$6:$G$677,0)))</f>
        <v>0</v>
      </c>
      <c r="D512" s="57">
        <f>IF($A512="","",IF(_xlfn.XLOOKUP($A512,Korrelation!$D$4:$D$1197,Korrelation!G$4:G$1197,"-",0)="-",0,MATCH(_xlfn.XLOOKUP($A512,Korrelation!$D$4:$D$1197,Korrelation!G$4:G$1197,"",0),DMAV_Modell!$G$6:$G$677,0)))</f>
        <v>0</v>
      </c>
      <c r="E512" s="57">
        <f>IF($A512="","",IF(_xlfn.XLOOKUP($A512,Korrelation!$D$4:$D$1197,Korrelation!H$4:H$1197,"-",0)="-",0,MATCH(_xlfn.XLOOKUP($A512,Korrelation!$D$4:$D$1197,Korrelation!H$4:H$1197,"",0),DMAV_Dienste!$F$6:$F$140,0)))</f>
        <v>0</v>
      </c>
      <c r="F512" s="57">
        <f>IF($A512="","",IF(_xlfn.XLOOKUP($A512,Korrelation!$D$4:$D$1197,Korrelation!I$4:I$1197,"-",0)="-",0,MATCH(_xlfn.XLOOKUP($A512,Korrelation!$D$4:$D$1197,Korrelation!I$4:I$1197,"",0),DMAV_Dienste!$F$6:$F$140,0)))</f>
        <v>0</v>
      </c>
      <c r="G512" s="57">
        <f>IF($A512="","",IF(_xlfn.XLOOKUP($A512,Korrelation!$D$4:$D$1197,Korrelation!J$4:J$1197,"-",0)="-",0,MATCH(_xlfn.XLOOKUP($A512,Korrelation!$D$4:$D$1197,Korrelation!J$4:J$1197,"",0),DMAV_Dienste!$F$6:$F$140,0)))</f>
        <v>0</v>
      </c>
      <c r="H512" s="57">
        <f>IF($A512="","",IF(_xlfn.XLOOKUP($A512,Korrelation!$D$4:$D$1197,Korrelation!K$4:K$1197,"-",0)="-",0,MATCH(_xlfn.XLOOKUP($A512,Korrelation!$D$4:$D$1197,Korrelation!K$4:K$1197,"",0),'DM01-AV-CH'!$A$6:$A$834,0)))</f>
        <v>461</v>
      </c>
      <c r="J512" s="54" t="str" cm="1">
        <f t="array" aca="1" ref="J512" ca="1">IF(B512=0,IF(E512=0,"",HYPERLINK("#"&amp;RIGHT(CELL("adresse",OFFSET(DMAV_Dienste!$M$6,E512-1,0)),LEN(CELL("adresse",OFFSET(DMAV_Dienste!$M$6,E512-1,0)))-FIND("]",CELL("adresse",OFFSET(DMAV_Dienste!$M$6,E512-1,0)))),"Dienst")),HYPERLINK("#"&amp;RIGHT(CELL("adresse",OFFSET(DMAV_Modell!$N$6,B512-1,0)),LEN(CELL("adresse",OFFSET(DMAV_Modell!$N$6,B512-1,0)))-FIND("]",CELL("adresse",OFFSET(DMAV_Modell!$N$6,B512-1,0)))),"Modell"))</f>
        <v/>
      </c>
      <c r="K512" s="61" t="str" cm="1">
        <f t="array" ref="K512">IF($B512=0,IF($E512=0,"",IF(INDEX(DMAV_Dienste!P$6:P$140,$E512)="","",INDEX(DMAV_Dienste!P$6:P$140,$E512))),IF(INDEX(DMAV_Modell!Q$6:Q$838,$B512)="","",INDEX(DMAV_Modell!Q$6:Q$838,$B512)))</f>
        <v/>
      </c>
      <c r="L512" s="62" t="str" cm="1">
        <f t="array" ref="L512">IF($B512=0,IF($E512=0,"",IF(INDEX(DMAV_Dienste!O$6:O$140,$E512)="","",INDEX(DMAV_Dienste!O$6:O$140,$E512))),IF(INDEX(DMAV_Modell!P$6:P$838,$B512)="","",INDEX(DMAV_Modell!P$6:P$838,$B512)))</f>
        <v/>
      </c>
      <c r="M512" s="62" t="str" cm="1">
        <f t="array" ref="M512">IF($B512=0,IF($E512=0,"",IF(INDEX(DMAV_Dienste!Q$6:Q$140,$E512)="","",INDEX(DMAV_Dienste!Q$6:Q$140,$E512))),IF(INDEX(DMAV_Modell!R$6:R$838,$B512)="","",INDEX(DMAV_Modell!R$6:R$838,$B512)))</f>
        <v/>
      </c>
      <c r="N512" s="62" t="str" cm="1">
        <f t="array" ref="N512">IF($B512=0,IF($E512=0,"",IF(INDEX(DMAV_Dienste!T$6:T$140,$E512)="","",INDEX(DMAV_Dienste!T$6:T$140,$E512))),IF(INDEX(DMAV_Modell!U$6:U$838,$B512)="","",INDEX(DMAV_Modell!U$6:U$838,$B512)))</f>
        <v/>
      </c>
      <c r="O512" s="63" t="str" cm="1">
        <f t="array" aca="1" ref="O512" ca="1">IF(C512=0,IF(F512=0,"",HYPERLINK("#"&amp;RIGHT(CELL("adresse",OFFSET(DMAV_Dienste!$M$6,F512-1,0)),LEN(CELL("adresse",OFFSET(DMAV_Dienste!$M$6,F512-1,0)))-FIND("]",CELL("adresse",OFFSET(DMAV_Dienste!$M$6,F512-1,0)))),"Structure")),HYPERLINK("#"&amp;RIGHT(CELL("adresse",OFFSET(DMAV_Modell!$N$6,C512-1,0)),LEN(CELL("adresse",OFFSET(DMAV_Modell!$N$6,C512-1,0)))-FIND("]",CELL("adresse",OFFSET(DMAV_Modell!$N$6,C512-1,0)))),"Structure"))</f>
        <v/>
      </c>
      <c r="P512" s="64" t="str" cm="1">
        <f t="array" aca="1" ref="P512" ca="1">IF(D512=0,IF(G512=0,"",HYPERLINK("#"&amp;RIGHT(CELL("adresse",OFFSET(DMAV_Dienste!$M$6,G512-1,0)),LEN(CELL("adresse",OFFSET(DMAV_Dienste!$M$6,G512-1,0)))-FIND("]",CELL("adresse",OFFSET(DMAV_Dienste!$M$6,G512-1,0)))),"Substructure")),HYPERLINK("#"&amp;RIGHT(CELL("adresse",OFFSET(DMAV_Modell!$N$6,D512-1,0)),LEN(CELL("adresse",OFFSET(DMAV_Modell!$N$6,D512-1,0)))-FIND("]",CELL("adresse",OFFSET(DMAV_Modell!$N$6,D512-1,0)))),"Substructure"))</f>
        <v/>
      </c>
      <c r="R512" s="80"/>
      <c r="T512" s="93"/>
      <c r="U512" s="94" t="s">
        <v>2980</v>
      </c>
      <c r="V512" s="95" t="s">
        <v>3003</v>
      </c>
      <c r="W512" s="96" t="s">
        <v>3107</v>
      </c>
      <c r="Y512" s="85"/>
      <c r="Z512" s="86"/>
      <c r="AA512" s="87"/>
      <c r="AB512" s="88"/>
      <c r="AD512" s="77"/>
      <c r="AF512" s="54" t="str" cm="1">
        <f t="array" aca="1" ref="AF512" ca="1">IF(H512=0,"",HYPERLINK("#"&amp;RIGHT(CELL("adresse",OFFSET('DM01-AV-CH'!$G$6,H512-1,0)),LEN(CELL("adresse",OFFSET('DM01-AV-CH'!$G$6,H512-1,0)))-FIND("]",CELL("adresse",OFFSET('DM01-AV-CH'!$G$6,H512-1,0)))),"Modell"))</f>
        <v>Modell</v>
      </c>
      <c r="AG512" s="72" t="str" cm="1">
        <f t="array" ref="AG512">IF($H512=0,"",IF(INDEX('DM01-AV-CH'!G$6:G$834,$H512)="","",INDEX('DM01-AV-CH'!G$6:G$834,$H512)))</f>
        <v>Liegenschaften</v>
      </c>
      <c r="AH512" s="73" t="str" cm="1">
        <f t="array" ref="AH512">IF($H512=0,"",IF(INDEX('DM01-AV-CH'!H$6:H$834,$H512)="","",INDEX('DM01-AV-CH'!H$6:H$834,$H512)))</f>
        <v>ProjLiegenschaft</v>
      </c>
      <c r="AI512" s="74" t="str" cm="1">
        <f t="array" ref="AI512">IF($H512=0,"",IF(INDEX('DM01-AV-CH'!I$6:I$834,$H512)="","",INDEX('DM01-AV-CH'!I$6:I$834,$H512)))</f>
        <v>Flaechenmass</v>
      </c>
    </row>
    <row r="513" spans="1:35" x14ac:dyDescent="0.25">
      <c r="A513" s="57">
        <v>508</v>
      </c>
      <c r="B513" s="57">
        <f>IF($A513="","",IF(_xlfn.XLOOKUP($A513,Korrelation!$D$4:$D$1197,Korrelation!E$4:E$1197,"-",0)="-",0,MATCH(_xlfn.XLOOKUP($A513,Korrelation!$D$4:$D$1197,Korrelation!E$4:E$1197,"",0),DMAV_Modell!$G$6:$G$677,0)))</f>
        <v>0</v>
      </c>
      <c r="C513" s="57">
        <f>IF($A513="","",IF(_xlfn.XLOOKUP($A513,Korrelation!$D$4:$D$1197,Korrelation!F$4:F$1197,"-",0)="-",0,MATCH(_xlfn.XLOOKUP($A513,Korrelation!$D$4:$D$1197,Korrelation!F$4:F$1197,"",0),DMAV_Modell!$G$6:$G$677,0)))</f>
        <v>0</v>
      </c>
      <c r="D513" s="57">
        <f>IF($A513="","",IF(_xlfn.XLOOKUP($A513,Korrelation!$D$4:$D$1197,Korrelation!G$4:G$1197,"-",0)="-",0,MATCH(_xlfn.XLOOKUP($A513,Korrelation!$D$4:$D$1197,Korrelation!G$4:G$1197,"",0),DMAV_Modell!$G$6:$G$677,0)))</f>
        <v>0</v>
      </c>
      <c r="E513" s="57">
        <f>IF($A513="","",IF(_xlfn.XLOOKUP($A513,Korrelation!$D$4:$D$1197,Korrelation!H$4:H$1197,"-",0)="-",0,MATCH(_xlfn.XLOOKUP($A513,Korrelation!$D$4:$D$1197,Korrelation!H$4:H$1197,"",0),DMAV_Dienste!$F$6:$F$140,0)))</f>
        <v>0</v>
      </c>
      <c r="F513" s="57">
        <f>IF($A513="","",IF(_xlfn.XLOOKUP($A513,Korrelation!$D$4:$D$1197,Korrelation!I$4:I$1197,"-",0)="-",0,MATCH(_xlfn.XLOOKUP($A513,Korrelation!$D$4:$D$1197,Korrelation!I$4:I$1197,"",0),DMAV_Dienste!$F$6:$F$140,0)))</f>
        <v>0</v>
      </c>
      <c r="G513" s="57">
        <f>IF($A513="","",IF(_xlfn.XLOOKUP($A513,Korrelation!$D$4:$D$1197,Korrelation!J$4:J$1197,"-",0)="-",0,MATCH(_xlfn.XLOOKUP($A513,Korrelation!$D$4:$D$1197,Korrelation!J$4:J$1197,"",0),DMAV_Dienste!$F$6:$F$140,0)))</f>
        <v>0</v>
      </c>
      <c r="H513" s="57">
        <f>IF($A513="","",IF(_xlfn.XLOOKUP($A513,Korrelation!$D$4:$D$1197,Korrelation!K$4:K$1197,"-",0)="-",0,MATCH(_xlfn.XLOOKUP($A513,Korrelation!$D$4:$D$1197,Korrelation!K$4:K$1197,"",0),'DM01-AV-CH'!$A$6:$A$834,0)))</f>
        <v>462</v>
      </c>
      <c r="J513" s="54" t="str" cm="1">
        <f t="array" aca="1" ref="J513" ca="1">IF(B513=0,IF(E513=0,"",HYPERLINK("#"&amp;RIGHT(CELL("adresse",OFFSET(DMAV_Dienste!$M$6,E513-1,0)),LEN(CELL("adresse",OFFSET(DMAV_Dienste!$M$6,E513-1,0)))-FIND("]",CELL("adresse",OFFSET(DMAV_Dienste!$M$6,E513-1,0)))),"Dienst")),HYPERLINK("#"&amp;RIGHT(CELL("adresse",OFFSET(DMAV_Modell!$N$6,B513-1,0)),LEN(CELL("adresse",OFFSET(DMAV_Modell!$N$6,B513-1,0)))-FIND("]",CELL("adresse",OFFSET(DMAV_Modell!$N$6,B513-1,0)))),"Modell"))</f>
        <v/>
      </c>
      <c r="K513" s="61" t="str" cm="1">
        <f t="array" ref="K513">IF($B513=0,IF($E513=0,"",IF(INDEX(DMAV_Dienste!P$6:P$140,$E513)="","",INDEX(DMAV_Dienste!P$6:P$140,$E513))),IF(INDEX(DMAV_Modell!Q$6:Q$838,$B513)="","",INDEX(DMAV_Modell!Q$6:Q$838,$B513)))</f>
        <v/>
      </c>
      <c r="L513" s="62" t="str" cm="1">
        <f t="array" ref="L513">IF($B513=0,IF($E513=0,"",IF(INDEX(DMAV_Dienste!O$6:O$140,$E513)="","",INDEX(DMAV_Dienste!O$6:O$140,$E513))),IF(INDEX(DMAV_Modell!P$6:P$838,$B513)="","",INDEX(DMAV_Modell!P$6:P$838,$B513)))</f>
        <v/>
      </c>
      <c r="M513" s="62" t="str" cm="1">
        <f t="array" ref="M513">IF($B513=0,IF($E513=0,"",IF(INDEX(DMAV_Dienste!Q$6:Q$140,$E513)="","",INDEX(DMAV_Dienste!Q$6:Q$140,$E513))),IF(INDEX(DMAV_Modell!R$6:R$838,$B513)="","",INDEX(DMAV_Modell!R$6:R$838,$B513)))</f>
        <v/>
      </c>
      <c r="N513" s="62" t="str" cm="1">
        <f t="array" ref="N513">IF($B513=0,IF($E513=0,"",IF(INDEX(DMAV_Dienste!T$6:T$140,$E513)="","",INDEX(DMAV_Dienste!T$6:T$140,$E513))),IF(INDEX(DMAV_Modell!U$6:U$838,$B513)="","",INDEX(DMAV_Modell!U$6:U$838,$B513)))</f>
        <v/>
      </c>
      <c r="O513" s="63" t="str" cm="1">
        <f t="array" aca="1" ref="O513" ca="1">IF(C513=0,IF(F513=0,"",HYPERLINK("#"&amp;RIGHT(CELL("adresse",OFFSET(DMAV_Dienste!$M$6,F513-1,0)),LEN(CELL("adresse",OFFSET(DMAV_Dienste!$M$6,F513-1,0)))-FIND("]",CELL("adresse",OFFSET(DMAV_Dienste!$M$6,F513-1,0)))),"Structure")),HYPERLINK("#"&amp;RIGHT(CELL("adresse",OFFSET(DMAV_Modell!$N$6,C513-1,0)),LEN(CELL("adresse",OFFSET(DMAV_Modell!$N$6,C513-1,0)))-FIND("]",CELL("adresse",OFFSET(DMAV_Modell!$N$6,C513-1,0)))),"Structure"))</f>
        <v/>
      </c>
      <c r="P513" s="64" t="str" cm="1">
        <f t="array" aca="1" ref="P513" ca="1">IF(D513=0,IF(G513=0,"",HYPERLINK("#"&amp;RIGHT(CELL("adresse",OFFSET(DMAV_Dienste!$M$6,G513-1,0)),LEN(CELL("adresse",OFFSET(DMAV_Dienste!$M$6,G513-1,0)))-FIND("]",CELL("adresse",OFFSET(DMAV_Dienste!$M$6,G513-1,0)))),"Substructure")),HYPERLINK("#"&amp;RIGHT(CELL("adresse",OFFSET(DMAV_Modell!$N$6,D513-1,0)),LEN(CELL("adresse",OFFSET(DMAV_Modell!$N$6,D513-1,0)))-FIND("]",CELL("adresse",OFFSET(DMAV_Modell!$N$6,D513-1,0)))),"Substructure"))</f>
        <v/>
      </c>
      <c r="R513" s="80"/>
      <c r="T513" s="93"/>
      <c r="U513" s="94"/>
      <c r="V513" s="95"/>
      <c r="W513" s="96"/>
      <c r="Y513" s="85"/>
      <c r="Z513" s="86"/>
      <c r="AA513" s="87"/>
      <c r="AB513" s="88"/>
      <c r="AD513" s="77"/>
      <c r="AF513" s="54" t="str" cm="1">
        <f t="array" aca="1" ref="AF513" ca="1">IF(H513=0,"",HYPERLINK("#"&amp;RIGHT(CELL("adresse",OFFSET('DM01-AV-CH'!$G$6,H513-1,0)),LEN(CELL("adresse",OFFSET('DM01-AV-CH'!$G$6,H513-1,0)))-FIND("]",CELL("adresse",OFFSET('DM01-AV-CH'!$G$6,H513-1,0)))),"Modell"))</f>
        <v>Modell</v>
      </c>
      <c r="AG513" s="72" t="str" cm="1">
        <f t="array" ref="AG513">IF($H513=0,"",IF(INDEX('DM01-AV-CH'!G$6:G$834,$H513)="","",INDEX('DM01-AV-CH'!G$6:G$834,$H513)))</f>
        <v>Liegenschaften</v>
      </c>
      <c r="AH513" s="73" t="str" cm="1">
        <f t="array" ref="AH513">IF($H513=0,"",IF(INDEX('DM01-AV-CH'!H$6:H$834,$H513)="","",INDEX('DM01-AV-CH'!H$6:H$834,$H513)))</f>
        <v>ProjSelbstRecht</v>
      </c>
      <c r="AI513" s="74" t="str" cm="1">
        <f t="array" ref="AI513">IF($H513=0,"",IF(INDEX('DM01-AV-CH'!I$6:I$834,$H513)="","",INDEX('DM01-AV-CH'!I$6:I$834,$H513)))</f>
        <v>ProjSelbstRecht_von</v>
      </c>
    </row>
    <row r="514" spans="1:35" ht="28.5" x14ac:dyDescent="0.25">
      <c r="A514" s="57">
        <v>509</v>
      </c>
      <c r="B514" s="57">
        <f>IF($A514="","",IF(_xlfn.XLOOKUP($A514,Korrelation!$D$4:$D$1197,Korrelation!E$4:E$1197,"-",0)="-",0,MATCH(_xlfn.XLOOKUP($A514,Korrelation!$D$4:$D$1197,Korrelation!E$4:E$1197,"",0),DMAV_Modell!$G$6:$G$677,0)))</f>
        <v>0</v>
      </c>
      <c r="C514" s="57">
        <f>IF($A514="","",IF(_xlfn.XLOOKUP($A514,Korrelation!$D$4:$D$1197,Korrelation!F$4:F$1197,"-",0)="-",0,MATCH(_xlfn.XLOOKUP($A514,Korrelation!$D$4:$D$1197,Korrelation!F$4:F$1197,"",0),DMAV_Modell!$G$6:$G$677,0)))</f>
        <v>0</v>
      </c>
      <c r="D514" s="57">
        <f>IF($A514="","",IF(_xlfn.XLOOKUP($A514,Korrelation!$D$4:$D$1197,Korrelation!G$4:G$1197,"-",0)="-",0,MATCH(_xlfn.XLOOKUP($A514,Korrelation!$D$4:$D$1197,Korrelation!G$4:G$1197,"",0),DMAV_Modell!$G$6:$G$677,0)))</f>
        <v>0</v>
      </c>
      <c r="E514" s="57">
        <f>IF($A514="","",IF(_xlfn.XLOOKUP($A514,Korrelation!$D$4:$D$1197,Korrelation!H$4:H$1197,"-",0)="-",0,MATCH(_xlfn.XLOOKUP($A514,Korrelation!$D$4:$D$1197,Korrelation!H$4:H$1197,"",0),DMAV_Dienste!$F$6:$F$140,0)))</f>
        <v>0</v>
      </c>
      <c r="F514" s="57">
        <f>IF($A514="","",IF(_xlfn.XLOOKUP($A514,Korrelation!$D$4:$D$1197,Korrelation!I$4:I$1197,"-",0)="-",0,MATCH(_xlfn.XLOOKUP($A514,Korrelation!$D$4:$D$1197,Korrelation!I$4:I$1197,"",0),DMAV_Dienste!$F$6:$F$140,0)))</f>
        <v>0</v>
      </c>
      <c r="G514" s="57">
        <f>IF($A514="","",IF(_xlfn.XLOOKUP($A514,Korrelation!$D$4:$D$1197,Korrelation!J$4:J$1197,"-",0)="-",0,MATCH(_xlfn.XLOOKUP($A514,Korrelation!$D$4:$D$1197,Korrelation!J$4:J$1197,"",0),DMAV_Dienste!$F$6:$F$140,0)))</f>
        <v>0</v>
      </c>
      <c r="H514" s="57">
        <f>IF($A514="","",IF(_xlfn.XLOOKUP($A514,Korrelation!$D$4:$D$1197,Korrelation!K$4:K$1197,"-",0)="-",0,MATCH(_xlfn.XLOOKUP($A514,Korrelation!$D$4:$D$1197,Korrelation!K$4:K$1197,"",0),'DM01-AV-CH'!$A$6:$A$834,0)))</f>
        <v>463</v>
      </c>
      <c r="J514" s="54" t="str" cm="1">
        <f t="array" aca="1" ref="J514" ca="1">IF(B514=0,IF(E514=0,"",HYPERLINK("#"&amp;RIGHT(CELL("adresse",OFFSET(DMAV_Dienste!$M$6,E514-1,0)),LEN(CELL("adresse",OFFSET(DMAV_Dienste!$M$6,E514-1,0)))-FIND("]",CELL("adresse",OFFSET(DMAV_Dienste!$M$6,E514-1,0)))),"Dienst")),HYPERLINK("#"&amp;RIGHT(CELL("adresse",OFFSET(DMAV_Modell!$N$6,B514-1,0)),LEN(CELL("adresse",OFFSET(DMAV_Modell!$N$6,B514-1,0)))-FIND("]",CELL("adresse",OFFSET(DMAV_Modell!$N$6,B514-1,0)))),"Modell"))</f>
        <v/>
      </c>
      <c r="K514" s="61" t="str" cm="1">
        <f t="array" ref="K514">IF($B514=0,IF($E514=0,"",IF(INDEX(DMAV_Dienste!P$6:P$140,$E514)="","",INDEX(DMAV_Dienste!P$6:P$140,$E514))),IF(INDEX(DMAV_Modell!Q$6:Q$838,$B514)="","",INDEX(DMAV_Modell!Q$6:Q$838,$B514)))</f>
        <v/>
      </c>
      <c r="L514" s="62" t="str" cm="1">
        <f t="array" ref="L514">IF($B514=0,IF($E514=0,"",IF(INDEX(DMAV_Dienste!O$6:O$140,$E514)="","",INDEX(DMAV_Dienste!O$6:O$140,$E514))),IF(INDEX(DMAV_Modell!P$6:P$838,$B514)="","",INDEX(DMAV_Modell!P$6:P$838,$B514)))</f>
        <v/>
      </c>
      <c r="M514" s="62" t="str" cm="1">
        <f t="array" ref="M514">IF($B514=0,IF($E514=0,"",IF(INDEX(DMAV_Dienste!Q$6:Q$140,$E514)="","",INDEX(DMAV_Dienste!Q$6:Q$140,$E514))),IF(INDEX(DMAV_Modell!R$6:R$838,$B514)="","",INDEX(DMAV_Modell!R$6:R$838,$B514)))</f>
        <v/>
      </c>
      <c r="N514" s="62" t="str" cm="1">
        <f t="array" ref="N514">IF($B514=0,IF($E514=0,"",IF(INDEX(DMAV_Dienste!T$6:T$140,$E514)="","",INDEX(DMAV_Dienste!T$6:T$140,$E514))),IF(INDEX(DMAV_Modell!U$6:U$838,$B514)="","",INDEX(DMAV_Modell!U$6:U$838,$B514)))</f>
        <v/>
      </c>
      <c r="O514" s="63" t="str" cm="1">
        <f t="array" aca="1" ref="O514" ca="1">IF(C514=0,IF(F514=0,"",HYPERLINK("#"&amp;RIGHT(CELL("adresse",OFFSET(DMAV_Dienste!$M$6,F514-1,0)),LEN(CELL("adresse",OFFSET(DMAV_Dienste!$M$6,F514-1,0)))-FIND("]",CELL("adresse",OFFSET(DMAV_Dienste!$M$6,F514-1,0)))),"Structure")),HYPERLINK("#"&amp;RIGHT(CELL("adresse",OFFSET(DMAV_Modell!$N$6,C514-1,0)),LEN(CELL("adresse",OFFSET(DMAV_Modell!$N$6,C514-1,0)))-FIND("]",CELL("adresse",OFFSET(DMAV_Modell!$N$6,C514-1,0)))),"Structure"))</f>
        <v/>
      </c>
      <c r="P514" s="64" t="str" cm="1">
        <f t="array" aca="1" ref="P514" ca="1">IF(D514=0,IF(G514=0,"",HYPERLINK("#"&amp;RIGHT(CELL("adresse",OFFSET(DMAV_Dienste!$M$6,G514-1,0)),LEN(CELL("adresse",OFFSET(DMAV_Dienste!$M$6,G514-1,0)))-FIND("]",CELL("adresse",OFFSET(DMAV_Dienste!$M$6,G514-1,0)))),"Substructure")),HYPERLINK("#"&amp;RIGHT(CELL("adresse",OFFSET(DMAV_Modell!$N$6,D514-1,0)),LEN(CELL("adresse",OFFSET(DMAV_Modell!$N$6,D514-1,0)))-FIND("]",CELL("adresse",OFFSET(DMAV_Modell!$N$6,D514-1,0)))),"Substructure"))</f>
        <v/>
      </c>
      <c r="R514" s="80"/>
      <c r="T514" s="93"/>
      <c r="U514" s="94" t="s">
        <v>2980</v>
      </c>
      <c r="V514" s="95" t="s">
        <v>3005</v>
      </c>
      <c r="W514" s="96" t="s">
        <v>3006</v>
      </c>
      <c r="Y514" s="85"/>
      <c r="Z514" s="86"/>
      <c r="AA514" s="87"/>
      <c r="AB514" s="88"/>
      <c r="AD514" s="77"/>
      <c r="AF514" s="54" t="str" cm="1">
        <f t="array" aca="1" ref="AF514" ca="1">IF(H514=0,"",HYPERLINK("#"&amp;RIGHT(CELL("adresse",OFFSET('DM01-AV-CH'!$G$6,H514-1,0)),LEN(CELL("adresse",OFFSET('DM01-AV-CH'!$G$6,H514-1,0)))-FIND("]",CELL("adresse",OFFSET('DM01-AV-CH'!$G$6,H514-1,0)))),"Modell"))</f>
        <v>Modell</v>
      </c>
      <c r="AG514" s="72" t="str" cm="1">
        <f t="array" ref="AG514">IF($H514=0,"",IF(INDEX('DM01-AV-CH'!G$6:G$834,$H514)="","",INDEX('DM01-AV-CH'!G$6:G$834,$H514)))</f>
        <v>Liegenschaften</v>
      </c>
      <c r="AH514" s="73" t="str" cm="1">
        <f t="array" ref="AH514">IF($H514=0,"",IF(INDEX('DM01-AV-CH'!H$6:H$834,$H514)="","",INDEX('DM01-AV-CH'!H$6:H$834,$H514)))</f>
        <v>ProjSelbstRecht</v>
      </c>
      <c r="AI514" s="74" t="str" cm="1">
        <f t="array" ref="AI514">IF($H514=0,"",IF(INDEX('DM01-AV-CH'!I$6:I$834,$H514)="","",INDEX('DM01-AV-CH'!I$6:I$834,$H514)))</f>
        <v>NummerTeilGrundstueck</v>
      </c>
    </row>
    <row r="515" spans="1:35" ht="28.5" x14ac:dyDescent="0.25">
      <c r="A515" s="57">
        <v>510</v>
      </c>
      <c r="B515" s="57">
        <f>IF($A515="","",IF(_xlfn.XLOOKUP($A515,Korrelation!$D$4:$D$1197,Korrelation!E$4:E$1197,"-",0)="-",0,MATCH(_xlfn.XLOOKUP($A515,Korrelation!$D$4:$D$1197,Korrelation!E$4:E$1197,"",0),DMAV_Modell!$G$6:$G$677,0)))</f>
        <v>0</v>
      </c>
      <c r="C515" s="57">
        <f>IF($A515="","",IF(_xlfn.XLOOKUP($A515,Korrelation!$D$4:$D$1197,Korrelation!F$4:F$1197,"-",0)="-",0,MATCH(_xlfn.XLOOKUP($A515,Korrelation!$D$4:$D$1197,Korrelation!F$4:F$1197,"",0),DMAV_Modell!$G$6:$G$677,0)))</f>
        <v>0</v>
      </c>
      <c r="D515" s="57">
        <f>IF($A515="","",IF(_xlfn.XLOOKUP($A515,Korrelation!$D$4:$D$1197,Korrelation!G$4:G$1197,"-",0)="-",0,MATCH(_xlfn.XLOOKUP($A515,Korrelation!$D$4:$D$1197,Korrelation!G$4:G$1197,"",0),DMAV_Modell!$G$6:$G$677,0)))</f>
        <v>0</v>
      </c>
      <c r="E515" s="57">
        <f>IF($A515="","",IF(_xlfn.XLOOKUP($A515,Korrelation!$D$4:$D$1197,Korrelation!H$4:H$1197,"-",0)="-",0,MATCH(_xlfn.XLOOKUP($A515,Korrelation!$D$4:$D$1197,Korrelation!H$4:H$1197,"",0),DMAV_Dienste!$F$6:$F$140,0)))</f>
        <v>0</v>
      </c>
      <c r="F515" s="57">
        <f>IF($A515="","",IF(_xlfn.XLOOKUP($A515,Korrelation!$D$4:$D$1197,Korrelation!I$4:I$1197,"-",0)="-",0,MATCH(_xlfn.XLOOKUP($A515,Korrelation!$D$4:$D$1197,Korrelation!I$4:I$1197,"",0),DMAV_Dienste!$F$6:$F$140,0)))</f>
        <v>0</v>
      </c>
      <c r="G515" s="57">
        <f>IF($A515="","",IF(_xlfn.XLOOKUP($A515,Korrelation!$D$4:$D$1197,Korrelation!J$4:J$1197,"-",0)="-",0,MATCH(_xlfn.XLOOKUP($A515,Korrelation!$D$4:$D$1197,Korrelation!J$4:J$1197,"",0),DMAV_Dienste!$F$6:$F$140,0)))</f>
        <v>0</v>
      </c>
      <c r="H515" s="57">
        <f>IF($A515="","",IF(_xlfn.XLOOKUP($A515,Korrelation!$D$4:$D$1197,Korrelation!K$4:K$1197,"-",0)="-",0,MATCH(_xlfn.XLOOKUP($A515,Korrelation!$D$4:$D$1197,Korrelation!K$4:K$1197,"",0),'DM01-AV-CH'!$A$6:$A$834,0)))</f>
        <v>464</v>
      </c>
      <c r="J515" s="54" t="str" cm="1">
        <f t="array" aca="1" ref="J515" ca="1">IF(B515=0,IF(E515=0,"",HYPERLINK("#"&amp;RIGHT(CELL("adresse",OFFSET(DMAV_Dienste!$M$6,E515-1,0)),LEN(CELL("adresse",OFFSET(DMAV_Dienste!$M$6,E515-1,0)))-FIND("]",CELL("adresse",OFFSET(DMAV_Dienste!$M$6,E515-1,0)))),"Dienst")),HYPERLINK("#"&amp;RIGHT(CELL("adresse",OFFSET(DMAV_Modell!$N$6,B515-1,0)),LEN(CELL("adresse",OFFSET(DMAV_Modell!$N$6,B515-1,0)))-FIND("]",CELL("adresse",OFFSET(DMAV_Modell!$N$6,B515-1,0)))),"Modell"))</f>
        <v/>
      </c>
      <c r="K515" s="61" t="str" cm="1">
        <f t="array" ref="K515">IF($B515=0,IF($E515=0,"",IF(INDEX(DMAV_Dienste!P$6:P$140,$E515)="","",INDEX(DMAV_Dienste!P$6:P$140,$E515))),IF(INDEX(DMAV_Modell!Q$6:Q$838,$B515)="","",INDEX(DMAV_Modell!Q$6:Q$838,$B515)))</f>
        <v/>
      </c>
      <c r="L515" s="62" t="str" cm="1">
        <f t="array" ref="L515">IF($B515=0,IF($E515=0,"",IF(INDEX(DMAV_Dienste!O$6:O$140,$E515)="","",INDEX(DMAV_Dienste!O$6:O$140,$E515))),IF(INDEX(DMAV_Modell!P$6:P$838,$B515)="","",INDEX(DMAV_Modell!P$6:P$838,$B515)))</f>
        <v/>
      </c>
      <c r="M515" s="62" t="str" cm="1">
        <f t="array" ref="M515">IF($B515=0,IF($E515=0,"",IF(INDEX(DMAV_Dienste!Q$6:Q$140,$E515)="","",INDEX(DMAV_Dienste!Q$6:Q$140,$E515))),IF(INDEX(DMAV_Modell!R$6:R$838,$B515)="","",INDEX(DMAV_Modell!R$6:R$838,$B515)))</f>
        <v/>
      </c>
      <c r="N515" s="62" t="str" cm="1">
        <f t="array" ref="N515">IF($B515=0,IF($E515=0,"",IF(INDEX(DMAV_Dienste!T$6:T$140,$E515)="","",INDEX(DMAV_Dienste!T$6:T$140,$E515))),IF(INDEX(DMAV_Modell!U$6:U$838,$B515)="","",INDEX(DMAV_Modell!U$6:U$838,$B515)))</f>
        <v/>
      </c>
      <c r="O515" s="63" t="str" cm="1">
        <f t="array" aca="1" ref="O515" ca="1">IF(C515=0,IF(F515=0,"",HYPERLINK("#"&amp;RIGHT(CELL("adresse",OFFSET(DMAV_Dienste!$M$6,F515-1,0)),LEN(CELL("adresse",OFFSET(DMAV_Dienste!$M$6,F515-1,0)))-FIND("]",CELL("adresse",OFFSET(DMAV_Dienste!$M$6,F515-1,0)))),"Structure")),HYPERLINK("#"&amp;RIGHT(CELL("adresse",OFFSET(DMAV_Modell!$N$6,C515-1,0)),LEN(CELL("adresse",OFFSET(DMAV_Modell!$N$6,C515-1,0)))-FIND("]",CELL("adresse",OFFSET(DMAV_Modell!$N$6,C515-1,0)))),"Structure"))</f>
        <v/>
      </c>
      <c r="P515" s="64" t="str" cm="1">
        <f t="array" aca="1" ref="P515" ca="1">IF(D515=0,IF(G515=0,"",HYPERLINK("#"&amp;RIGHT(CELL("adresse",OFFSET(DMAV_Dienste!$M$6,G515-1,0)),LEN(CELL("adresse",OFFSET(DMAV_Dienste!$M$6,G515-1,0)))-FIND("]",CELL("adresse",OFFSET(DMAV_Dienste!$M$6,G515-1,0)))),"Substructure")),HYPERLINK("#"&amp;RIGHT(CELL("adresse",OFFSET(DMAV_Modell!$N$6,D515-1,0)),LEN(CELL("adresse",OFFSET(DMAV_Modell!$N$6,D515-1,0)))-FIND("]",CELL("adresse",OFFSET(DMAV_Modell!$N$6,D515-1,0)))),"Substructure"))</f>
        <v/>
      </c>
      <c r="R515" s="80"/>
      <c r="T515" s="93"/>
      <c r="U515" s="94" t="s">
        <v>2980</v>
      </c>
      <c r="V515" s="95" t="s">
        <v>3007</v>
      </c>
      <c r="W515" s="96" t="s">
        <v>3006</v>
      </c>
      <c r="Y515" s="85"/>
      <c r="Z515" s="86"/>
      <c r="AA515" s="87"/>
      <c r="AB515" s="88"/>
      <c r="AD515" s="77"/>
      <c r="AF515" s="54" t="str" cm="1">
        <f t="array" aca="1" ref="AF515" ca="1">IF(H515=0,"",HYPERLINK("#"&amp;RIGHT(CELL("adresse",OFFSET('DM01-AV-CH'!$G$6,H515-1,0)),LEN(CELL("adresse",OFFSET('DM01-AV-CH'!$G$6,H515-1,0)))-FIND("]",CELL("adresse",OFFSET('DM01-AV-CH'!$G$6,H515-1,0)))),"Modell"))</f>
        <v>Modell</v>
      </c>
      <c r="AG515" s="72" t="str" cm="1">
        <f t="array" ref="AG515">IF($H515=0,"",IF(INDEX('DM01-AV-CH'!G$6:G$834,$H515)="","",INDEX('DM01-AV-CH'!G$6:G$834,$H515)))</f>
        <v>Liegenschaften</v>
      </c>
      <c r="AH515" s="73" t="str" cm="1">
        <f t="array" ref="AH515">IF($H515=0,"",IF(INDEX('DM01-AV-CH'!H$6:H$834,$H515)="","",INDEX('DM01-AV-CH'!H$6:H$834,$H515)))</f>
        <v>ProjSelbstRecht</v>
      </c>
      <c r="AI515" s="74" t="str" cm="1">
        <f t="array" ref="AI515">IF($H515=0,"",IF(INDEX('DM01-AV-CH'!I$6:I$834,$H515)="","",INDEX('DM01-AV-CH'!I$6:I$834,$H515)))</f>
        <v>Geometrie</v>
      </c>
    </row>
    <row r="516" spans="1:35" ht="28.5" x14ac:dyDescent="0.25">
      <c r="A516" s="57">
        <v>511</v>
      </c>
      <c r="B516" s="57">
        <f>IF($A516="","",IF(_xlfn.XLOOKUP($A516,Korrelation!$D$4:$D$1197,Korrelation!E$4:E$1197,"-",0)="-",0,MATCH(_xlfn.XLOOKUP($A516,Korrelation!$D$4:$D$1197,Korrelation!E$4:E$1197,"",0),DMAV_Modell!$G$6:$G$677,0)))</f>
        <v>0</v>
      </c>
      <c r="C516" s="57">
        <f>IF($A516="","",IF(_xlfn.XLOOKUP($A516,Korrelation!$D$4:$D$1197,Korrelation!F$4:F$1197,"-",0)="-",0,MATCH(_xlfn.XLOOKUP($A516,Korrelation!$D$4:$D$1197,Korrelation!F$4:F$1197,"",0),DMAV_Modell!$G$6:$G$677,0)))</f>
        <v>0</v>
      </c>
      <c r="D516" s="57">
        <f>IF($A516="","",IF(_xlfn.XLOOKUP($A516,Korrelation!$D$4:$D$1197,Korrelation!G$4:G$1197,"-",0)="-",0,MATCH(_xlfn.XLOOKUP($A516,Korrelation!$D$4:$D$1197,Korrelation!G$4:G$1197,"",0),DMAV_Modell!$G$6:$G$677,0)))</f>
        <v>0</v>
      </c>
      <c r="E516" s="57">
        <f>IF($A516="","",IF(_xlfn.XLOOKUP($A516,Korrelation!$D$4:$D$1197,Korrelation!H$4:H$1197,"-",0)="-",0,MATCH(_xlfn.XLOOKUP($A516,Korrelation!$D$4:$D$1197,Korrelation!H$4:H$1197,"",0),DMAV_Dienste!$F$6:$F$140,0)))</f>
        <v>0</v>
      </c>
      <c r="F516" s="57">
        <f>IF($A516="","",IF(_xlfn.XLOOKUP($A516,Korrelation!$D$4:$D$1197,Korrelation!I$4:I$1197,"-",0)="-",0,MATCH(_xlfn.XLOOKUP($A516,Korrelation!$D$4:$D$1197,Korrelation!I$4:I$1197,"",0),DMAV_Dienste!$F$6:$F$140,0)))</f>
        <v>0</v>
      </c>
      <c r="G516" s="57">
        <f>IF($A516="","",IF(_xlfn.XLOOKUP($A516,Korrelation!$D$4:$D$1197,Korrelation!J$4:J$1197,"-",0)="-",0,MATCH(_xlfn.XLOOKUP($A516,Korrelation!$D$4:$D$1197,Korrelation!J$4:J$1197,"",0),DMAV_Dienste!$F$6:$F$140,0)))</f>
        <v>0</v>
      </c>
      <c r="H516" s="57">
        <f>IF($A516="","",IF(_xlfn.XLOOKUP($A516,Korrelation!$D$4:$D$1197,Korrelation!K$4:K$1197,"-",0)="-",0,MATCH(_xlfn.XLOOKUP($A516,Korrelation!$D$4:$D$1197,Korrelation!K$4:K$1197,"",0),'DM01-AV-CH'!$A$6:$A$834,0)))</f>
        <v>464</v>
      </c>
      <c r="J516" s="54" t="str" cm="1">
        <f t="array" aca="1" ref="J516" ca="1">IF(B516=0,IF(E516=0,"",HYPERLINK("#"&amp;RIGHT(CELL("adresse",OFFSET(DMAV_Dienste!$M$6,E516-1,0)),LEN(CELL("adresse",OFFSET(DMAV_Dienste!$M$6,E516-1,0)))-FIND("]",CELL("adresse",OFFSET(DMAV_Dienste!$M$6,E516-1,0)))),"Dienst")),HYPERLINK("#"&amp;RIGHT(CELL("adresse",OFFSET(DMAV_Modell!$N$6,B516-1,0)),LEN(CELL("adresse",OFFSET(DMAV_Modell!$N$6,B516-1,0)))-FIND("]",CELL("adresse",OFFSET(DMAV_Modell!$N$6,B516-1,0)))),"Modell"))</f>
        <v/>
      </c>
      <c r="K516" s="61" t="str" cm="1">
        <f t="array" ref="K516">IF($B516=0,IF($E516=0,"",IF(INDEX(DMAV_Dienste!P$6:P$140,$E516)="","",INDEX(DMAV_Dienste!P$6:P$140,$E516))),IF(INDEX(DMAV_Modell!Q$6:Q$838,$B516)="","",INDEX(DMAV_Modell!Q$6:Q$838,$B516)))</f>
        <v/>
      </c>
      <c r="L516" s="62" t="str" cm="1">
        <f t="array" ref="L516">IF($B516=0,IF($E516=0,"",IF(INDEX(DMAV_Dienste!O$6:O$140,$E516)="","",INDEX(DMAV_Dienste!O$6:O$140,$E516))),IF(INDEX(DMAV_Modell!P$6:P$838,$B516)="","",INDEX(DMAV_Modell!P$6:P$838,$B516)))</f>
        <v/>
      </c>
      <c r="M516" s="62" t="str" cm="1">
        <f t="array" ref="M516">IF($B516=0,IF($E516=0,"",IF(INDEX(DMAV_Dienste!Q$6:Q$140,$E516)="","",INDEX(DMAV_Dienste!Q$6:Q$140,$E516))),IF(INDEX(DMAV_Modell!R$6:R$838,$B516)="","",INDEX(DMAV_Modell!R$6:R$838,$B516)))</f>
        <v/>
      </c>
      <c r="N516" s="62" t="str" cm="1">
        <f t="array" ref="N516">IF($B516=0,IF($E516=0,"",IF(INDEX(DMAV_Dienste!T$6:T$140,$E516)="","",INDEX(DMAV_Dienste!T$6:T$140,$E516))),IF(INDEX(DMAV_Modell!U$6:U$838,$B516)="","",INDEX(DMAV_Modell!U$6:U$838,$B516)))</f>
        <v/>
      </c>
      <c r="O516" s="63" t="str" cm="1">
        <f t="array" aca="1" ref="O516" ca="1">IF(C516=0,IF(F516=0,"",HYPERLINK("#"&amp;RIGHT(CELL("adresse",OFFSET(DMAV_Dienste!$M$6,F516-1,0)),LEN(CELL("adresse",OFFSET(DMAV_Dienste!$M$6,F516-1,0)))-FIND("]",CELL("adresse",OFFSET(DMAV_Dienste!$M$6,F516-1,0)))),"Structure")),HYPERLINK("#"&amp;RIGHT(CELL("adresse",OFFSET(DMAV_Modell!$N$6,C516-1,0)),LEN(CELL("adresse",OFFSET(DMAV_Modell!$N$6,C516-1,0)))-FIND("]",CELL("adresse",OFFSET(DMAV_Modell!$N$6,C516-1,0)))),"Structure"))</f>
        <v/>
      </c>
      <c r="P516" s="64" t="str" cm="1">
        <f t="array" aca="1" ref="P516" ca="1">IF(D516=0,IF(G516=0,"",HYPERLINK("#"&amp;RIGHT(CELL("adresse",OFFSET(DMAV_Dienste!$M$6,G516-1,0)),LEN(CELL("adresse",OFFSET(DMAV_Dienste!$M$6,G516-1,0)))-FIND("]",CELL("adresse",OFFSET(DMAV_Dienste!$M$6,G516-1,0)))),"Substructure")),HYPERLINK("#"&amp;RIGHT(CELL("adresse",OFFSET(DMAV_Modell!$N$6,D516-1,0)),LEN(CELL("adresse",OFFSET(DMAV_Modell!$N$6,D516-1,0)))-FIND("]",CELL("adresse",OFFSET(DMAV_Modell!$N$6,D516-1,0)))),"Substructure"))</f>
        <v/>
      </c>
      <c r="R516" s="80"/>
      <c r="T516" s="93" t="s">
        <v>3109</v>
      </c>
      <c r="U516" s="94" t="s">
        <v>1286</v>
      </c>
      <c r="V516" s="95" t="s">
        <v>3009</v>
      </c>
      <c r="W516" s="96" t="s">
        <v>3006</v>
      </c>
      <c r="Y516" s="85"/>
      <c r="Z516" s="86"/>
      <c r="AA516" s="87"/>
      <c r="AB516" s="88"/>
      <c r="AD516" s="77"/>
      <c r="AF516" s="54" t="str" cm="1">
        <f t="array" aca="1" ref="AF516" ca="1">IF(H516=0,"",HYPERLINK("#"&amp;RIGHT(CELL("adresse",OFFSET('DM01-AV-CH'!$G$6,H516-1,0)),LEN(CELL("adresse",OFFSET('DM01-AV-CH'!$G$6,H516-1,0)))-FIND("]",CELL("adresse",OFFSET('DM01-AV-CH'!$G$6,H516-1,0)))),"Modell"))</f>
        <v>Modell</v>
      </c>
      <c r="AG516" s="72" t="str" cm="1">
        <f t="array" ref="AG516">IF($H516=0,"",IF(INDEX('DM01-AV-CH'!G$6:G$834,$H516)="","",INDEX('DM01-AV-CH'!G$6:G$834,$H516)))</f>
        <v>Liegenschaften</v>
      </c>
      <c r="AH516" s="73" t="str" cm="1">
        <f t="array" ref="AH516">IF($H516=0,"",IF(INDEX('DM01-AV-CH'!H$6:H$834,$H516)="","",INDEX('DM01-AV-CH'!H$6:H$834,$H516)))</f>
        <v>ProjSelbstRecht</v>
      </c>
      <c r="AI516" s="74" t="str" cm="1">
        <f t="array" ref="AI516">IF($H516=0,"",IF(INDEX('DM01-AV-CH'!I$6:I$834,$H516)="","",INDEX('DM01-AV-CH'!I$6:I$834,$H516)))</f>
        <v>Geometrie</v>
      </c>
    </row>
    <row r="517" spans="1:35" ht="28.5" x14ac:dyDescent="0.25">
      <c r="A517" s="57">
        <v>512</v>
      </c>
      <c r="B517" s="57">
        <f>IF($A517="","",IF(_xlfn.XLOOKUP($A517,Korrelation!$D$4:$D$1197,Korrelation!E$4:E$1197,"-",0)="-",0,MATCH(_xlfn.XLOOKUP($A517,Korrelation!$D$4:$D$1197,Korrelation!E$4:E$1197,"",0),DMAV_Modell!$G$6:$G$677,0)))</f>
        <v>0</v>
      </c>
      <c r="C517" s="57">
        <f>IF($A517="","",IF(_xlfn.XLOOKUP($A517,Korrelation!$D$4:$D$1197,Korrelation!F$4:F$1197,"-",0)="-",0,MATCH(_xlfn.XLOOKUP($A517,Korrelation!$D$4:$D$1197,Korrelation!F$4:F$1197,"",0),DMAV_Modell!$G$6:$G$677,0)))</f>
        <v>0</v>
      </c>
      <c r="D517" s="57">
        <f>IF($A517="","",IF(_xlfn.XLOOKUP($A517,Korrelation!$D$4:$D$1197,Korrelation!G$4:G$1197,"-",0)="-",0,MATCH(_xlfn.XLOOKUP($A517,Korrelation!$D$4:$D$1197,Korrelation!G$4:G$1197,"",0),DMAV_Modell!$G$6:$G$677,0)))</f>
        <v>0</v>
      </c>
      <c r="E517" s="57">
        <f>IF($A517="","",IF(_xlfn.XLOOKUP($A517,Korrelation!$D$4:$D$1197,Korrelation!H$4:H$1197,"-",0)="-",0,MATCH(_xlfn.XLOOKUP($A517,Korrelation!$D$4:$D$1197,Korrelation!H$4:H$1197,"",0),DMAV_Dienste!$F$6:$F$140,0)))</f>
        <v>0</v>
      </c>
      <c r="F517" s="57">
        <f>IF($A517="","",IF(_xlfn.XLOOKUP($A517,Korrelation!$D$4:$D$1197,Korrelation!I$4:I$1197,"-",0)="-",0,MATCH(_xlfn.XLOOKUP($A517,Korrelation!$D$4:$D$1197,Korrelation!I$4:I$1197,"",0),DMAV_Dienste!$F$6:$F$140,0)))</f>
        <v>0</v>
      </c>
      <c r="G517" s="57">
        <f>IF($A517="","",IF(_xlfn.XLOOKUP($A517,Korrelation!$D$4:$D$1197,Korrelation!J$4:J$1197,"-",0)="-",0,MATCH(_xlfn.XLOOKUP($A517,Korrelation!$D$4:$D$1197,Korrelation!J$4:J$1197,"",0),DMAV_Dienste!$F$6:$F$140,0)))</f>
        <v>0</v>
      </c>
      <c r="H517" s="57">
        <f>IF($A517="","",IF(_xlfn.XLOOKUP($A517,Korrelation!$D$4:$D$1197,Korrelation!K$4:K$1197,"-",0)="-",0,MATCH(_xlfn.XLOOKUP($A517,Korrelation!$D$4:$D$1197,Korrelation!K$4:K$1197,"",0),'DM01-AV-CH'!$A$6:$A$834,0)))</f>
        <v>465</v>
      </c>
      <c r="J517" s="54" t="str" cm="1">
        <f t="array" aca="1" ref="J517" ca="1">IF(B517=0,IF(E517=0,"",HYPERLINK("#"&amp;RIGHT(CELL("adresse",OFFSET(DMAV_Dienste!$M$6,E517-1,0)),LEN(CELL("adresse",OFFSET(DMAV_Dienste!$M$6,E517-1,0)))-FIND("]",CELL("adresse",OFFSET(DMAV_Dienste!$M$6,E517-1,0)))),"Dienst")),HYPERLINK("#"&amp;RIGHT(CELL("adresse",OFFSET(DMAV_Modell!$N$6,B517-1,0)),LEN(CELL("adresse",OFFSET(DMAV_Modell!$N$6,B517-1,0)))-FIND("]",CELL("adresse",OFFSET(DMAV_Modell!$N$6,B517-1,0)))),"Modell"))</f>
        <v/>
      </c>
      <c r="K517" s="61" t="str" cm="1">
        <f t="array" ref="K517">IF($B517=0,IF($E517=0,"",IF(INDEX(DMAV_Dienste!P$6:P$140,$E517)="","",INDEX(DMAV_Dienste!P$6:P$140,$E517))),IF(INDEX(DMAV_Modell!Q$6:Q$838,$B517)="","",INDEX(DMAV_Modell!Q$6:Q$838,$B517)))</f>
        <v/>
      </c>
      <c r="L517" s="62" t="str" cm="1">
        <f t="array" ref="L517">IF($B517=0,IF($E517=0,"",IF(INDEX(DMAV_Dienste!O$6:O$140,$E517)="","",INDEX(DMAV_Dienste!O$6:O$140,$E517))),IF(INDEX(DMAV_Modell!P$6:P$838,$B517)="","",INDEX(DMAV_Modell!P$6:P$838,$B517)))</f>
        <v/>
      </c>
      <c r="M517" s="62" t="str" cm="1">
        <f t="array" ref="M517">IF($B517=0,IF($E517=0,"",IF(INDEX(DMAV_Dienste!Q$6:Q$140,$E517)="","",INDEX(DMAV_Dienste!Q$6:Q$140,$E517))),IF(INDEX(DMAV_Modell!R$6:R$838,$B517)="","",INDEX(DMAV_Modell!R$6:R$838,$B517)))</f>
        <v/>
      </c>
      <c r="N517" s="62" t="str" cm="1">
        <f t="array" ref="N517">IF($B517=0,IF($E517=0,"",IF(INDEX(DMAV_Dienste!T$6:T$140,$E517)="","",INDEX(DMAV_Dienste!T$6:T$140,$E517))),IF(INDEX(DMAV_Modell!U$6:U$838,$B517)="","",INDEX(DMAV_Modell!U$6:U$838,$B517)))</f>
        <v/>
      </c>
      <c r="O517" s="63" t="str" cm="1">
        <f t="array" aca="1" ref="O517" ca="1">IF(C517=0,IF(F517=0,"",HYPERLINK("#"&amp;RIGHT(CELL("adresse",OFFSET(DMAV_Dienste!$M$6,F517-1,0)),LEN(CELL("adresse",OFFSET(DMAV_Dienste!$M$6,F517-1,0)))-FIND("]",CELL("adresse",OFFSET(DMAV_Dienste!$M$6,F517-1,0)))),"Structure")),HYPERLINK("#"&amp;RIGHT(CELL("adresse",OFFSET(DMAV_Modell!$N$6,C517-1,0)),LEN(CELL("adresse",OFFSET(DMAV_Modell!$N$6,C517-1,0)))-FIND("]",CELL("adresse",OFFSET(DMAV_Modell!$N$6,C517-1,0)))),"Structure"))</f>
        <v/>
      </c>
      <c r="P517" s="64" t="str" cm="1">
        <f t="array" aca="1" ref="P517" ca="1">IF(D517=0,IF(G517=0,"",HYPERLINK("#"&amp;RIGHT(CELL("adresse",OFFSET(DMAV_Dienste!$M$6,G517-1,0)),LEN(CELL("adresse",OFFSET(DMAV_Dienste!$M$6,G517-1,0)))-FIND("]",CELL("adresse",OFFSET(DMAV_Dienste!$M$6,G517-1,0)))),"Substructure")),HYPERLINK("#"&amp;RIGHT(CELL("adresse",OFFSET(DMAV_Modell!$N$6,D517-1,0)),LEN(CELL("adresse",OFFSET(DMAV_Modell!$N$6,D517-1,0)))-FIND("]",CELL("adresse",OFFSET(DMAV_Modell!$N$6,D517-1,0)))),"Substructure"))</f>
        <v/>
      </c>
      <c r="R517" s="80"/>
      <c r="T517" s="93"/>
      <c r="U517" s="94" t="s">
        <v>2980</v>
      </c>
      <c r="V517" s="95" t="s">
        <v>3008</v>
      </c>
      <c r="W517" s="96" t="s">
        <v>3006</v>
      </c>
      <c r="Y517" s="85"/>
      <c r="Z517" s="86"/>
      <c r="AA517" s="87"/>
      <c r="AB517" s="88"/>
      <c r="AD517" s="77"/>
      <c r="AF517" s="54" t="str" cm="1">
        <f t="array" aca="1" ref="AF517" ca="1">IF(H517=0,"",HYPERLINK("#"&amp;RIGHT(CELL("adresse",OFFSET('DM01-AV-CH'!$G$6,H517-1,0)),LEN(CELL("adresse",OFFSET('DM01-AV-CH'!$G$6,H517-1,0)))-FIND("]",CELL("adresse",OFFSET('DM01-AV-CH'!$G$6,H517-1,0)))),"Modell"))</f>
        <v>Modell</v>
      </c>
      <c r="AG517" s="72" t="str" cm="1">
        <f t="array" ref="AG517">IF($H517=0,"",IF(INDEX('DM01-AV-CH'!G$6:G$834,$H517)="","",INDEX('DM01-AV-CH'!G$6:G$834,$H517)))</f>
        <v>Liegenschaften</v>
      </c>
      <c r="AH517" s="73" t="str" cm="1">
        <f t="array" ref="AH517">IF($H517=0,"",IF(INDEX('DM01-AV-CH'!H$6:H$834,$H517)="","",INDEX('DM01-AV-CH'!H$6:H$834,$H517)))</f>
        <v>ProjSelbstRecht</v>
      </c>
      <c r="AI517" s="74" t="str" cm="1">
        <f t="array" ref="AI517">IF($H517=0,"",IF(INDEX('DM01-AV-CH'!I$6:I$834,$H517)="","",INDEX('DM01-AV-CH'!I$6:I$834,$H517)))</f>
        <v>Flaechenmass</v>
      </c>
    </row>
    <row r="518" spans="1:35" x14ac:dyDescent="0.25">
      <c r="A518" s="57">
        <v>513</v>
      </c>
      <c r="B518" s="57">
        <f>IF($A518="","",IF(_xlfn.XLOOKUP($A518,Korrelation!$D$4:$D$1197,Korrelation!E$4:E$1197,"-",0)="-",0,MATCH(_xlfn.XLOOKUP($A518,Korrelation!$D$4:$D$1197,Korrelation!E$4:E$1197,"",0),DMAV_Modell!$G$6:$G$677,0)))</f>
        <v>0</v>
      </c>
      <c r="C518" s="57">
        <f>IF($A518="","",IF(_xlfn.XLOOKUP($A518,Korrelation!$D$4:$D$1197,Korrelation!F$4:F$1197,"-",0)="-",0,MATCH(_xlfn.XLOOKUP($A518,Korrelation!$D$4:$D$1197,Korrelation!F$4:F$1197,"",0),DMAV_Modell!$G$6:$G$677,0)))</f>
        <v>0</v>
      </c>
      <c r="D518" s="57">
        <f>IF($A518="","",IF(_xlfn.XLOOKUP($A518,Korrelation!$D$4:$D$1197,Korrelation!G$4:G$1197,"-",0)="-",0,MATCH(_xlfn.XLOOKUP($A518,Korrelation!$D$4:$D$1197,Korrelation!G$4:G$1197,"",0),DMAV_Modell!$G$6:$G$677,0)))</f>
        <v>0</v>
      </c>
      <c r="E518" s="57">
        <f>IF($A518="","",IF(_xlfn.XLOOKUP($A518,Korrelation!$D$4:$D$1197,Korrelation!H$4:H$1197,"-",0)="-",0,MATCH(_xlfn.XLOOKUP($A518,Korrelation!$D$4:$D$1197,Korrelation!H$4:H$1197,"",0),DMAV_Dienste!$F$6:$F$140,0)))</f>
        <v>0</v>
      </c>
      <c r="F518" s="57">
        <f>IF($A518="","",IF(_xlfn.XLOOKUP($A518,Korrelation!$D$4:$D$1197,Korrelation!I$4:I$1197,"-",0)="-",0,MATCH(_xlfn.XLOOKUP($A518,Korrelation!$D$4:$D$1197,Korrelation!I$4:I$1197,"",0),DMAV_Dienste!$F$6:$F$140,0)))</f>
        <v>0</v>
      </c>
      <c r="G518" s="57">
        <f>IF($A518="","",IF(_xlfn.XLOOKUP($A518,Korrelation!$D$4:$D$1197,Korrelation!J$4:J$1197,"-",0)="-",0,MATCH(_xlfn.XLOOKUP($A518,Korrelation!$D$4:$D$1197,Korrelation!J$4:J$1197,"",0),DMAV_Dienste!$F$6:$F$140,0)))</f>
        <v>0</v>
      </c>
      <c r="H518" s="57">
        <f>IF($A518="","",IF(_xlfn.XLOOKUP($A518,Korrelation!$D$4:$D$1197,Korrelation!K$4:K$1197,"-",0)="-",0,MATCH(_xlfn.XLOOKUP($A518,Korrelation!$D$4:$D$1197,Korrelation!K$4:K$1197,"",0),'DM01-AV-CH'!$A$6:$A$834,0)))</f>
        <v>466</v>
      </c>
      <c r="J518" s="54" t="str" cm="1">
        <f t="array" aca="1" ref="J518" ca="1">IF(B518=0,IF(E518=0,"",HYPERLINK("#"&amp;RIGHT(CELL("adresse",OFFSET(DMAV_Dienste!$M$6,E518-1,0)),LEN(CELL("adresse",OFFSET(DMAV_Dienste!$M$6,E518-1,0)))-FIND("]",CELL("adresse",OFFSET(DMAV_Dienste!$M$6,E518-1,0)))),"Dienst")),HYPERLINK("#"&amp;RIGHT(CELL("adresse",OFFSET(DMAV_Modell!$N$6,B518-1,0)),LEN(CELL("adresse",OFFSET(DMAV_Modell!$N$6,B518-1,0)))-FIND("]",CELL("adresse",OFFSET(DMAV_Modell!$N$6,B518-1,0)))),"Modell"))</f>
        <v/>
      </c>
      <c r="K518" s="61" t="str" cm="1">
        <f t="array" ref="K518">IF($B518=0,IF($E518=0,"",IF(INDEX(DMAV_Dienste!P$6:P$140,$E518)="","",INDEX(DMAV_Dienste!P$6:P$140,$E518))),IF(INDEX(DMAV_Modell!Q$6:Q$838,$B518)="","",INDEX(DMAV_Modell!Q$6:Q$838,$B518)))</f>
        <v/>
      </c>
      <c r="L518" s="62" t="str" cm="1">
        <f t="array" ref="L518">IF($B518=0,IF($E518=0,"",IF(INDEX(DMAV_Dienste!O$6:O$140,$E518)="","",INDEX(DMAV_Dienste!O$6:O$140,$E518))),IF(INDEX(DMAV_Modell!P$6:P$838,$B518)="","",INDEX(DMAV_Modell!P$6:P$838,$B518)))</f>
        <v/>
      </c>
      <c r="M518" s="62" t="str" cm="1">
        <f t="array" ref="M518">IF($B518=0,IF($E518=0,"",IF(INDEX(DMAV_Dienste!Q$6:Q$140,$E518)="","",INDEX(DMAV_Dienste!Q$6:Q$140,$E518))),IF(INDEX(DMAV_Modell!R$6:R$838,$B518)="","",INDEX(DMAV_Modell!R$6:R$838,$B518)))</f>
        <v/>
      </c>
      <c r="N518" s="62" t="str" cm="1">
        <f t="array" ref="N518">IF($B518=0,IF($E518=0,"",IF(INDEX(DMAV_Dienste!T$6:T$140,$E518)="","",INDEX(DMAV_Dienste!T$6:T$140,$E518))),IF(INDEX(DMAV_Modell!U$6:U$838,$B518)="","",INDEX(DMAV_Modell!U$6:U$838,$B518)))</f>
        <v/>
      </c>
      <c r="O518" s="63" t="str" cm="1">
        <f t="array" aca="1" ref="O518" ca="1">IF(C518=0,IF(F518=0,"",HYPERLINK("#"&amp;RIGHT(CELL("adresse",OFFSET(DMAV_Dienste!$M$6,F518-1,0)),LEN(CELL("adresse",OFFSET(DMAV_Dienste!$M$6,F518-1,0)))-FIND("]",CELL("adresse",OFFSET(DMAV_Dienste!$M$6,F518-1,0)))),"Structure")),HYPERLINK("#"&amp;RIGHT(CELL("adresse",OFFSET(DMAV_Modell!$N$6,C518-1,0)),LEN(CELL("adresse",OFFSET(DMAV_Modell!$N$6,C518-1,0)))-FIND("]",CELL("adresse",OFFSET(DMAV_Modell!$N$6,C518-1,0)))),"Structure"))</f>
        <v/>
      </c>
      <c r="P518" s="64" t="str" cm="1">
        <f t="array" aca="1" ref="P518" ca="1">IF(D518=0,IF(G518=0,"",HYPERLINK("#"&amp;RIGHT(CELL("adresse",OFFSET(DMAV_Dienste!$M$6,G518-1,0)),LEN(CELL("adresse",OFFSET(DMAV_Dienste!$M$6,G518-1,0)))-FIND("]",CELL("adresse",OFFSET(DMAV_Dienste!$M$6,G518-1,0)))),"Substructure")),HYPERLINK("#"&amp;RIGHT(CELL("adresse",OFFSET(DMAV_Modell!$N$6,D518-1,0)),LEN(CELL("adresse",OFFSET(DMAV_Modell!$N$6,D518-1,0)))-FIND("]",CELL("adresse",OFFSET(DMAV_Modell!$N$6,D518-1,0)))),"Substructure"))</f>
        <v/>
      </c>
      <c r="R518" s="80"/>
      <c r="T518" s="93"/>
      <c r="U518" s="94"/>
      <c r="V518" s="95"/>
      <c r="W518" s="96"/>
      <c r="Y518" s="85"/>
      <c r="Z518" s="86"/>
      <c r="AA518" s="87"/>
      <c r="AB518" s="88"/>
      <c r="AD518" s="77"/>
      <c r="AF518" s="54" t="str" cm="1">
        <f t="array" aca="1" ref="AF518" ca="1">IF(H518=0,"",HYPERLINK("#"&amp;RIGHT(CELL("adresse",OFFSET('DM01-AV-CH'!$G$6,H518-1,0)),LEN(CELL("adresse",OFFSET('DM01-AV-CH'!$G$6,H518-1,0)))-FIND("]",CELL("adresse",OFFSET('DM01-AV-CH'!$G$6,H518-1,0)))),"Modell"))</f>
        <v>Modell</v>
      </c>
      <c r="AG518" s="72" t="str" cm="1">
        <f t="array" ref="AG518">IF($H518=0,"",IF(INDEX('DM01-AV-CH'!G$6:G$834,$H518)="","",INDEX('DM01-AV-CH'!G$6:G$834,$H518)))</f>
        <v>Liegenschaften</v>
      </c>
      <c r="AH518" s="73" t="str" cm="1">
        <f t="array" ref="AH518">IF($H518=0,"",IF(INDEX('DM01-AV-CH'!H$6:H$834,$H518)="","",INDEX('DM01-AV-CH'!H$6:H$834,$H518)))</f>
        <v>ProjBergwerk</v>
      </c>
      <c r="AI518" s="74" t="str" cm="1">
        <f t="array" ref="AI518">IF($H518=0,"",IF(INDEX('DM01-AV-CH'!I$6:I$834,$H518)="","",INDEX('DM01-AV-CH'!I$6:I$834,$H518)))</f>
        <v>ProjBergwerk_von</v>
      </c>
    </row>
    <row r="519" spans="1:35" ht="28.5" x14ac:dyDescent="0.25">
      <c r="A519" s="57">
        <v>514</v>
      </c>
      <c r="B519" s="57">
        <f>IF($A519="","",IF(_xlfn.XLOOKUP($A519,Korrelation!$D$4:$D$1197,Korrelation!E$4:E$1197,"-",0)="-",0,MATCH(_xlfn.XLOOKUP($A519,Korrelation!$D$4:$D$1197,Korrelation!E$4:E$1197,"",0),DMAV_Modell!$G$6:$G$677,0)))</f>
        <v>0</v>
      </c>
      <c r="C519" s="57">
        <f>IF($A519="","",IF(_xlfn.XLOOKUP($A519,Korrelation!$D$4:$D$1197,Korrelation!F$4:F$1197,"-",0)="-",0,MATCH(_xlfn.XLOOKUP($A519,Korrelation!$D$4:$D$1197,Korrelation!F$4:F$1197,"",0),DMAV_Modell!$G$6:$G$677,0)))</f>
        <v>0</v>
      </c>
      <c r="D519" s="57">
        <f>IF($A519="","",IF(_xlfn.XLOOKUP($A519,Korrelation!$D$4:$D$1197,Korrelation!G$4:G$1197,"-",0)="-",0,MATCH(_xlfn.XLOOKUP($A519,Korrelation!$D$4:$D$1197,Korrelation!G$4:G$1197,"",0),DMAV_Modell!$G$6:$G$677,0)))</f>
        <v>0</v>
      </c>
      <c r="E519" s="57">
        <f>IF($A519="","",IF(_xlfn.XLOOKUP($A519,Korrelation!$D$4:$D$1197,Korrelation!H$4:H$1197,"-",0)="-",0,MATCH(_xlfn.XLOOKUP($A519,Korrelation!$D$4:$D$1197,Korrelation!H$4:H$1197,"",0),DMAV_Dienste!$F$6:$F$140,0)))</f>
        <v>0</v>
      </c>
      <c r="F519" s="57">
        <f>IF($A519="","",IF(_xlfn.XLOOKUP($A519,Korrelation!$D$4:$D$1197,Korrelation!I$4:I$1197,"-",0)="-",0,MATCH(_xlfn.XLOOKUP($A519,Korrelation!$D$4:$D$1197,Korrelation!I$4:I$1197,"",0),DMAV_Dienste!$F$6:$F$140,0)))</f>
        <v>0</v>
      </c>
      <c r="G519" s="57">
        <f>IF($A519="","",IF(_xlfn.XLOOKUP($A519,Korrelation!$D$4:$D$1197,Korrelation!J$4:J$1197,"-",0)="-",0,MATCH(_xlfn.XLOOKUP($A519,Korrelation!$D$4:$D$1197,Korrelation!J$4:J$1197,"",0),DMAV_Dienste!$F$6:$F$140,0)))</f>
        <v>0</v>
      </c>
      <c r="H519" s="57">
        <f>IF($A519="","",IF(_xlfn.XLOOKUP($A519,Korrelation!$D$4:$D$1197,Korrelation!K$4:K$1197,"-",0)="-",0,MATCH(_xlfn.XLOOKUP($A519,Korrelation!$D$4:$D$1197,Korrelation!K$4:K$1197,"",0),'DM01-AV-CH'!$A$6:$A$834,0)))</f>
        <v>467</v>
      </c>
      <c r="J519" s="54" t="str" cm="1">
        <f t="array" aca="1" ref="J519" ca="1">IF(B519=0,IF(E519=0,"",HYPERLINK("#"&amp;RIGHT(CELL("adresse",OFFSET(DMAV_Dienste!$M$6,E519-1,0)),LEN(CELL("adresse",OFFSET(DMAV_Dienste!$M$6,E519-1,0)))-FIND("]",CELL("adresse",OFFSET(DMAV_Dienste!$M$6,E519-1,0)))),"Dienst")),HYPERLINK("#"&amp;RIGHT(CELL("adresse",OFFSET(DMAV_Modell!$N$6,B519-1,0)),LEN(CELL("adresse",OFFSET(DMAV_Modell!$N$6,B519-1,0)))-FIND("]",CELL("adresse",OFFSET(DMAV_Modell!$N$6,B519-1,0)))),"Modell"))</f>
        <v/>
      </c>
      <c r="K519" s="61" t="str" cm="1">
        <f t="array" ref="K519">IF($B519=0,IF($E519=0,"",IF(INDEX(DMAV_Dienste!P$6:P$140,$E519)="","",INDEX(DMAV_Dienste!P$6:P$140,$E519))),IF(INDEX(DMAV_Modell!Q$6:Q$838,$B519)="","",INDEX(DMAV_Modell!Q$6:Q$838,$B519)))</f>
        <v/>
      </c>
      <c r="L519" s="62" t="str" cm="1">
        <f t="array" ref="L519">IF($B519=0,IF($E519=0,"",IF(INDEX(DMAV_Dienste!O$6:O$140,$E519)="","",INDEX(DMAV_Dienste!O$6:O$140,$E519))),IF(INDEX(DMAV_Modell!P$6:P$838,$B519)="","",INDEX(DMAV_Modell!P$6:P$838,$B519)))</f>
        <v/>
      </c>
      <c r="M519" s="62" t="str" cm="1">
        <f t="array" ref="M519">IF($B519=0,IF($E519=0,"",IF(INDEX(DMAV_Dienste!Q$6:Q$140,$E519)="","",INDEX(DMAV_Dienste!Q$6:Q$140,$E519))),IF(INDEX(DMAV_Modell!R$6:R$838,$B519)="","",INDEX(DMAV_Modell!R$6:R$838,$B519)))</f>
        <v/>
      </c>
      <c r="N519" s="62" t="str" cm="1">
        <f t="array" ref="N519">IF($B519=0,IF($E519=0,"",IF(INDEX(DMAV_Dienste!T$6:T$140,$E519)="","",INDEX(DMAV_Dienste!T$6:T$140,$E519))),IF(INDEX(DMAV_Modell!U$6:U$838,$B519)="","",INDEX(DMAV_Modell!U$6:U$838,$B519)))</f>
        <v/>
      </c>
      <c r="O519" s="63" t="str" cm="1">
        <f t="array" aca="1" ref="O519" ca="1">IF(C519=0,IF(F519=0,"",HYPERLINK("#"&amp;RIGHT(CELL("adresse",OFFSET(DMAV_Dienste!$M$6,F519-1,0)),LEN(CELL("adresse",OFFSET(DMAV_Dienste!$M$6,F519-1,0)))-FIND("]",CELL("adresse",OFFSET(DMAV_Dienste!$M$6,F519-1,0)))),"Structure")),HYPERLINK("#"&amp;RIGHT(CELL("adresse",OFFSET(DMAV_Modell!$N$6,C519-1,0)),LEN(CELL("adresse",OFFSET(DMAV_Modell!$N$6,C519-1,0)))-FIND("]",CELL("adresse",OFFSET(DMAV_Modell!$N$6,C519-1,0)))),"Structure"))</f>
        <v/>
      </c>
      <c r="P519" s="64" t="str" cm="1">
        <f t="array" aca="1" ref="P519" ca="1">IF(D519=0,IF(G519=0,"",HYPERLINK("#"&amp;RIGHT(CELL("adresse",OFFSET(DMAV_Dienste!$M$6,G519-1,0)),LEN(CELL("adresse",OFFSET(DMAV_Dienste!$M$6,G519-1,0)))-FIND("]",CELL("adresse",OFFSET(DMAV_Dienste!$M$6,G519-1,0)))),"Substructure")),HYPERLINK("#"&amp;RIGHT(CELL("adresse",OFFSET(DMAV_Modell!$N$6,D519-1,0)),LEN(CELL("adresse",OFFSET(DMAV_Modell!$N$6,D519-1,0)))-FIND("]",CELL("adresse",OFFSET(DMAV_Modell!$N$6,D519-1,0)))),"Substructure"))</f>
        <v/>
      </c>
      <c r="R519" s="80"/>
      <c r="T519" s="93"/>
      <c r="U519" s="94" t="s">
        <v>2980</v>
      </c>
      <c r="V519" s="95" t="s">
        <v>3010</v>
      </c>
      <c r="W519" s="96" t="s">
        <v>3006</v>
      </c>
      <c r="Y519" s="85"/>
      <c r="Z519" s="86"/>
      <c r="AA519" s="87"/>
      <c r="AB519" s="88"/>
      <c r="AD519" s="77"/>
      <c r="AF519" s="54" t="str" cm="1">
        <f t="array" aca="1" ref="AF519" ca="1">IF(H519=0,"",HYPERLINK("#"&amp;RIGHT(CELL("adresse",OFFSET('DM01-AV-CH'!$G$6,H519-1,0)),LEN(CELL("adresse",OFFSET('DM01-AV-CH'!$G$6,H519-1,0)))-FIND("]",CELL("adresse",OFFSET('DM01-AV-CH'!$G$6,H519-1,0)))),"Modell"))</f>
        <v>Modell</v>
      </c>
      <c r="AG519" s="72" t="str" cm="1">
        <f t="array" ref="AG519">IF($H519=0,"",IF(INDEX('DM01-AV-CH'!G$6:G$834,$H519)="","",INDEX('DM01-AV-CH'!G$6:G$834,$H519)))</f>
        <v>Liegenschaften</v>
      </c>
      <c r="AH519" s="73" t="str" cm="1">
        <f t="array" ref="AH519">IF($H519=0,"",IF(INDEX('DM01-AV-CH'!H$6:H$834,$H519)="","",INDEX('DM01-AV-CH'!H$6:H$834,$H519)))</f>
        <v>ProjBergwerk</v>
      </c>
      <c r="AI519" s="74" t="str" cm="1">
        <f t="array" ref="AI519">IF($H519=0,"",IF(INDEX('DM01-AV-CH'!I$6:I$834,$H519)="","",INDEX('DM01-AV-CH'!I$6:I$834,$H519)))</f>
        <v>NummerTeilGrundstueck</v>
      </c>
    </row>
    <row r="520" spans="1:35" ht="28.5" x14ac:dyDescent="0.25">
      <c r="A520" s="57">
        <v>515</v>
      </c>
      <c r="B520" s="57">
        <f>IF($A520="","",IF(_xlfn.XLOOKUP($A520,Korrelation!$D$4:$D$1197,Korrelation!E$4:E$1197,"-",0)="-",0,MATCH(_xlfn.XLOOKUP($A520,Korrelation!$D$4:$D$1197,Korrelation!E$4:E$1197,"",0),DMAV_Modell!$G$6:$G$677,0)))</f>
        <v>0</v>
      </c>
      <c r="C520" s="57">
        <f>IF($A520="","",IF(_xlfn.XLOOKUP($A520,Korrelation!$D$4:$D$1197,Korrelation!F$4:F$1197,"-",0)="-",0,MATCH(_xlfn.XLOOKUP($A520,Korrelation!$D$4:$D$1197,Korrelation!F$4:F$1197,"",0),DMAV_Modell!$G$6:$G$677,0)))</f>
        <v>0</v>
      </c>
      <c r="D520" s="57">
        <f>IF($A520="","",IF(_xlfn.XLOOKUP($A520,Korrelation!$D$4:$D$1197,Korrelation!G$4:G$1197,"-",0)="-",0,MATCH(_xlfn.XLOOKUP($A520,Korrelation!$D$4:$D$1197,Korrelation!G$4:G$1197,"",0),DMAV_Modell!$G$6:$G$677,0)))</f>
        <v>0</v>
      </c>
      <c r="E520" s="57">
        <f>IF($A520="","",IF(_xlfn.XLOOKUP($A520,Korrelation!$D$4:$D$1197,Korrelation!H$4:H$1197,"-",0)="-",0,MATCH(_xlfn.XLOOKUP($A520,Korrelation!$D$4:$D$1197,Korrelation!H$4:H$1197,"",0),DMAV_Dienste!$F$6:$F$140,0)))</f>
        <v>0</v>
      </c>
      <c r="F520" s="57">
        <f>IF($A520="","",IF(_xlfn.XLOOKUP($A520,Korrelation!$D$4:$D$1197,Korrelation!I$4:I$1197,"-",0)="-",0,MATCH(_xlfn.XLOOKUP($A520,Korrelation!$D$4:$D$1197,Korrelation!I$4:I$1197,"",0),DMAV_Dienste!$F$6:$F$140,0)))</f>
        <v>0</v>
      </c>
      <c r="G520" s="57">
        <f>IF($A520="","",IF(_xlfn.XLOOKUP($A520,Korrelation!$D$4:$D$1197,Korrelation!J$4:J$1197,"-",0)="-",0,MATCH(_xlfn.XLOOKUP($A520,Korrelation!$D$4:$D$1197,Korrelation!J$4:J$1197,"",0),DMAV_Dienste!$F$6:$F$140,0)))</f>
        <v>0</v>
      </c>
      <c r="H520" s="57">
        <f>IF($A520="","",IF(_xlfn.XLOOKUP($A520,Korrelation!$D$4:$D$1197,Korrelation!K$4:K$1197,"-",0)="-",0,MATCH(_xlfn.XLOOKUP($A520,Korrelation!$D$4:$D$1197,Korrelation!K$4:K$1197,"",0),'DM01-AV-CH'!$A$6:$A$834,0)))</f>
        <v>468</v>
      </c>
      <c r="J520" s="54" t="str" cm="1">
        <f t="array" aca="1" ref="J520" ca="1">IF(B520=0,IF(E520=0,"",HYPERLINK("#"&amp;RIGHT(CELL("adresse",OFFSET(DMAV_Dienste!$M$6,E520-1,0)),LEN(CELL("adresse",OFFSET(DMAV_Dienste!$M$6,E520-1,0)))-FIND("]",CELL("adresse",OFFSET(DMAV_Dienste!$M$6,E520-1,0)))),"Dienst")),HYPERLINK("#"&amp;RIGHT(CELL("adresse",OFFSET(DMAV_Modell!$N$6,B520-1,0)),LEN(CELL("adresse",OFFSET(DMAV_Modell!$N$6,B520-1,0)))-FIND("]",CELL("adresse",OFFSET(DMAV_Modell!$N$6,B520-1,0)))),"Modell"))</f>
        <v/>
      </c>
      <c r="K520" s="61" t="str" cm="1">
        <f t="array" ref="K520">IF($B520=0,IF($E520=0,"",IF(INDEX(DMAV_Dienste!P$6:P$140,$E520)="","",INDEX(DMAV_Dienste!P$6:P$140,$E520))),IF(INDEX(DMAV_Modell!Q$6:Q$838,$B520)="","",INDEX(DMAV_Modell!Q$6:Q$838,$B520)))</f>
        <v/>
      </c>
      <c r="L520" s="62" t="str" cm="1">
        <f t="array" ref="L520">IF($B520=0,IF($E520=0,"",IF(INDEX(DMAV_Dienste!O$6:O$140,$E520)="","",INDEX(DMAV_Dienste!O$6:O$140,$E520))),IF(INDEX(DMAV_Modell!P$6:P$838,$B520)="","",INDEX(DMAV_Modell!P$6:P$838,$B520)))</f>
        <v/>
      </c>
      <c r="M520" s="62" t="str" cm="1">
        <f t="array" ref="M520">IF($B520=0,IF($E520=0,"",IF(INDEX(DMAV_Dienste!Q$6:Q$140,$E520)="","",INDEX(DMAV_Dienste!Q$6:Q$140,$E520))),IF(INDEX(DMAV_Modell!R$6:R$838,$B520)="","",INDEX(DMAV_Modell!R$6:R$838,$B520)))</f>
        <v/>
      </c>
      <c r="N520" s="62" t="str" cm="1">
        <f t="array" ref="N520">IF($B520=0,IF($E520=0,"",IF(INDEX(DMAV_Dienste!T$6:T$140,$E520)="","",INDEX(DMAV_Dienste!T$6:T$140,$E520))),IF(INDEX(DMAV_Modell!U$6:U$838,$B520)="","",INDEX(DMAV_Modell!U$6:U$838,$B520)))</f>
        <v/>
      </c>
      <c r="O520" s="63" t="str" cm="1">
        <f t="array" aca="1" ref="O520" ca="1">IF(C520=0,IF(F520=0,"",HYPERLINK("#"&amp;RIGHT(CELL("adresse",OFFSET(DMAV_Dienste!$M$6,F520-1,0)),LEN(CELL("adresse",OFFSET(DMAV_Dienste!$M$6,F520-1,0)))-FIND("]",CELL("adresse",OFFSET(DMAV_Dienste!$M$6,F520-1,0)))),"Structure")),HYPERLINK("#"&amp;RIGHT(CELL("adresse",OFFSET(DMAV_Modell!$N$6,C520-1,0)),LEN(CELL("adresse",OFFSET(DMAV_Modell!$N$6,C520-1,0)))-FIND("]",CELL("adresse",OFFSET(DMAV_Modell!$N$6,C520-1,0)))),"Structure"))</f>
        <v/>
      </c>
      <c r="P520" s="64" t="str" cm="1">
        <f t="array" aca="1" ref="P520" ca="1">IF(D520=0,IF(G520=0,"",HYPERLINK("#"&amp;RIGHT(CELL("adresse",OFFSET(DMAV_Dienste!$M$6,G520-1,0)),LEN(CELL("adresse",OFFSET(DMAV_Dienste!$M$6,G520-1,0)))-FIND("]",CELL("adresse",OFFSET(DMAV_Dienste!$M$6,G520-1,0)))),"Substructure")),HYPERLINK("#"&amp;RIGHT(CELL("adresse",OFFSET(DMAV_Modell!$N$6,D520-1,0)),LEN(CELL("adresse",OFFSET(DMAV_Modell!$N$6,D520-1,0)))-FIND("]",CELL("adresse",OFFSET(DMAV_Modell!$N$6,D520-1,0)))),"Substructure"))</f>
        <v/>
      </c>
      <c r="R520" s="80"/>
      <c r="T520" s="93"/>
      <c r="U520" s="94" t="s">
        <v>2980</v>
      </c>
      <c r="V520" s="95" t="s">
        <v>3011</v>
      </c>
      <c r="W520" s="96" t="s">
        <v>3006</v>
      </c>
      <c r="Y520" s="85"/>
      <c r="Z520" s="86"/>
      <c r="AA520" s="87"/>
      <c r="AB520" s="88"/>
      <c r="AD520" s="77"/>
      <c r="AF520" s="54" t="str" cm="1">
        <f t="array" aca="1" ref="AF520" ca="1">IF(H520=0,"",HYPERLINK("#"&amp;RIGHT(CELL("adresse",OFFSET('DM01-AV-CH'!$G$6,H520-1,0)),LEN(CELL("adresse",OFFSET('DM01-AV-CH'!$G$6,H520-1,0)))-FIND("]",CELL("adresse",OFFSET('DM01-AV-CH'!$G$6,H520-1,0)))),"Modell"))</f>
        <v>Modell</v>
      </c>
      <c r="AG520" s="72" t="str" cm="1">
        <f t="array" ref="AG520">IF($H520=0,"",IF(INDEX('DM01-AV-CH'!G$6:G$834,$H520)="","",INDEX('DM01-AV-CH'!G$6:G$834,$H520)))</f>
        <v>Liegenschaften</v>
      </c>
      <c r="AH520" s="73" t="str" cm="1">
        <f t="array" ref="AH520">IF($H520=0,"",IF(INDEX('DM01-AV-CH'!H$6:H$834,$H520)="","",INDEX('DM01-AV-CH'!H$6:H$834,$H520)))</f>
        <v>ProjBergwerk</v>
      </c>
      <c r="AI520" s="74" t="str" cm="1">
        <f t="array" ref="AI520">IF($H520=0,"",IF(INDEX('DM01-AV-CH'!I$6:I$834,$H520)="","",INDEX('DM01-AV-CH'!I$6:I$834,$H520)))</f>
        <v>Geometrie</v>
      </c>
    </row>
    <row r="521" spans="1:35" ht="28.5" x14ac:dyDescent="0.25">
      <c r="A521" s="57">
        <v>516</v>
      </c>
      <c r="B521" s="57">
        <f>IF($A521="","",IF(_xlfn.XLOOKUP($A521,Korrelation!$D$4:$D$1197,Korrelation!E$4:E$1197,"-",0)="-",0,MATCH(_xlfn.XLOOKUP($A521,Korrelation!$D$4:$D$1197,Korrelation!E$4:E$1197,"",0),DMAV_Modell!$G$6:$G$677,0)))</f>
        <v>0</v>
      </c>
      <c r="C521" s="57">
        <f>IF($A521="","",IF(_xlfn.XLOOKUP($A521,Korrelation!$D$4:$D$1197,Korrelation!F$4:F$1197,"-",0)="-",0,MATCH(_xlfn.XLOOKUP($A521,Korrelation!$D$4:$D$1197,Korrelation!F$4:F$1197,"",0),DMAV_Modell!$G$6:$G$677,0)))</f>
        <v>0</v>
      </c>
      <c r="D521" s="57">
        <f>IF($A521="","",IF(_xlfn.XLOOKUP($A521,Korrelation!$D$4:$D$1197,Korrelation!G$4:G$1197,"-",0)="-",0,MATCH(_xlfn.XLOOKUP($A521,Korrelation!$D$4:$D$1197,Korrelation!G$4:G$1197,"",0),DMAV_Modell!$G$6:$G$677,0)))</f>
        <v>0</v>
      </c>
      <c r="E521" s="57">
        <f>IF($A521="","",IF(_xlfn.XLOOKUP($A521,Korrelation!$D$4:$D$1197,Korrelation!H$4:H$1197,"-",0)="-",0,MATCH(_xlfn.XLOOKUP($A521,Korrelation!$D$4:$D$1197,Korrelation!H$4:H$1197,"",0),DMAV_Dienste!$F$6:$F$140,0)))</f>
        <v>0</v>
      </c>
      <c r="F521" s="57">
        <f>IF($A521="","",IF(_xlfn.XLOOKUP($A521,Korrelation!$D$4:$D$1197,Korrelation!I$4:I$1197,"-",0)="-",0,MATCH(_xlfn.XLOOKUP($A521,Korrelation!$D$4:$D$1197,Korrelation!I$4:I$1197,"",0),DMAV_Dienste!$F$6:$F$140,0)))</f>
        <v>0</v>
      </c>
      <c r="G521" s="57">
        <f>IF($A521="","",IF(_xlfn.XLOOKUP($A521,Korrelation!$D$4:$D$1197,Korrelation!J$4:J$1197,"-",0)="-",0,MATCH(_xlfn.XLOOKUP($A521,Korrelation!$D$4:$D$1197,Korrelation!J$4:J$1197,"",0),DMAV_Dienste!$F$6:$F$140,0)))</f>
        <v>0</v>
      </c>
      <c r="H521" s="57">
        <f>IF($A521="","",IF(_xlfn.XLOOKUP($A521,Korrelation!$D$4:$D$1197,Korrelation!K$4:K$1197,"-",0)="-",0,MATCH(_xlfn.XLOOKUP($A521,Korrelation!$D$4:$D$1197,Korrelation!K$4:K$1197,"",0),'DM01-AV-CH'!$A$6:$A$834,0)))</f>
        <v>468</v>
      </c>
      <c r="J521" s="54" t="str" cm="1">
        <f t="array" aca="1" ref="J521" ca="1">IF(B521=0,IF(E521=0,"",HYPERLINK("#"&amp;RIGHT(CELL("adresse",OFFSET(DMAV_Dienste!$M$6,E521-1,0)),LEN(CELL("adresse",OFFSET(DMAV_Dienste!$M$6,E521-1,0)))-FIND("]",CELL("adresse",OFFSET(DMAV_Dienste!$M$6,E521-1,0)))),"Dienst")),HYPERLINK("#"&amp;RIGHT(CELL("adresse",OFFSET(DMAV_Modell!$N$6,B521-1,0)),LEN(CELL("adresse",OFFSET(DMAV_Modell!$N$6,B521-1,0)))-FIND("]",CELL("adresse",OFFSET(DMAV_Modell!$N$6,B521-1,0)))),"Modell"))</f>
        <v/>
      </c>
      <c r="K521" s="61" t="str" cm="1">
        <f t="array" ref="K521">IF($B521=0,IF($E521=0,"",IF(INDEX(DMAV_Dienste!P$6:P$140,$E521)="","",INDEX(DMAV_Dienste!P$6:P$140,$E521))),IF(INDEX(DMAV_Modell!Q$6:Q$838,$B521)="","",INDEX(DMAV_Modell!Q$6:Q$838,$B521)))</f>
        <v/>
      </c>
      <c r="L521" s="62" t="str" cm="1">
        <f t="array" ref="L521">IF($B521=0,IF($E521=0,"",IF(INDEX(DMAV_Dienste!O$6:O$140,$E521)="","",INDEX(DMAV_Dienste!O$6:O$140,$E521))),IF(INDEX(DMAV_Modell!P$6:P$838,$B521)="","",INDEX(DMAV_Modell!P$6:P$838,$B521)))</f>
        <v/>
      </c>
      <c r="M521" s="62" t="str" cm="1">
        <f t="array" ref="M521">IF($B521=0,IF($E521=0,"",IF(INDEX(DMAV_Dienste!Q$6:Q$140,$E521)="","",INDEX(DMAV_Dienste!Q$6:Q$140,$E521))),IF(INDEX(DMAV_Modell!R$6:R$838,$B521)="","",INDEX(DMAV_Modell!R$6:R$838,$B521)))</f>
        <v/>
      </c>
      <c r="N521" s="62" t="str" cm="1">
        <f t="array" ref="N521">IF($B521=0,IF($E521=0,"",IF(INDEX(DMAV_Dienste!T$6:T$140,$E521)="","",INDEX(DMAV_Dienste!T$6:T$140,$E521))),IF(INDEX(DMAV_Modell!U$6:U$838,$B521)="","",INDEX(DMAV_Modell!U$6:U$838,$B521)))</f>
        <v/>
      </c>
      <c r="O521" s="63" t="str" cm="1">
        <f t="array" aca="1" ref="O521" ca="1">IF(C521=0,IF(F521=0,"",HYPERLINK("#"&amp;RIGHT(CELL("adresse",OFFSET(DMAV_Dienste!$M$6,F521-1,0)),LEN(CELL("adresse",OFFSET(DMAV_Dienste!$M$6,F521-1,0)))-FIND("]",CELL("adresse",OFFSET(DMAV_Dienste!$M$6,F521-1,0)))),"Structure")),HYPERLINK("#"&amp;RIGHT(CELL("adresse",OFFSET(DMAV_Modell!$N$6,C521-1,0)),LEN(CELL("adresse",OFFSET(DMAV_Modell!$N$6,C521-1,0)))-FIND("]",CELL("adresse",OFFSET(DMAV_Modell!$N$6,C521-1,0)))),"Structure"))</f>
        <v/>
      </c>
      <c r="P521" s="64" t="str" cm="1">
        <f t="array" aca="1" ref="P521" ca="1">IF(D521=0,IF(G521=0,"",HYPERLINK("#"&amp;RIGHT(CELL("adresse",OFFSET(DMAV_Dienste!$M$6,G521-1,0)),LEN(CELL("adresse",OFFSET(DMAV_Dienste!$M$6,G521-1,0)))-FIND("]",CELL("adresse",OFFSET(DMAV_Dienste!$M$6,G521-1,0)))),"Substructure")),HYPERLINK("#"&amp;RIGHT(CELL("adresse",OFFSET(DMAV_Modell!$N$6,D521-1,0)),LEN(CELL("adresse",OFFSET(DMAV_Modell!$N$6,D521-1,0)))-FIND("]",CELL("adresse",OFFSET(DMAV_Modell!$N$6,D521-1,0)))),"Substructure"))</f>
        <v/>
      </c>
      <c r="R521" s="80"/>
      <c r="T521" s="93" t="s">
        <v>3110</v>
      </c>
      <c r="U521" s="94" t="s">
        <v>1286</v>
      </c>
      <c r="V521" s="95" t="s">
        <v>3013</v>
      </c>
      <c r="W521" s="96" t="s">
        <v>3006</v>
      </c>
      <c r="Y521" s="85"/>
      <c r="Z521" s="86"/>
      <c r="AA521" s="87"/>
      <c r="AB521" s="88"/>
      <c r="AD521" s="77"/>
      <c r="AF521" s="54" t="str" cm="1">
        <f t="array" aca="1" ref="AF521" ca="1">IF(H521=0,"",HYPERLINK("#"&amp;RIGHT(CELL("adresse",OFFSET('DM01-AV-CH'!$G$6,H521-1,0)),LEN(CELL("adresse",OFFSET('DM01-AV-CH'!$G$6,H521-1,0)))-FIND("]",CELL("adresse",OFFSET('DM01-AV-CH'!$G$6,H521-1,0)))),"Modell"))</f>
        <v>Modell</v>
      </c>
      <c r="AG521" s="72" t="str" cm="1">
        <f t="array" ref="AG521">IF($H521=0,"",IF(INDEX('DM01-AV-CH'!G$6:G$834,$H521)="","",INDEX('DM01-AV-CH'!G$6:G$834,$H521)))</f>
        <v>Liegenschaften</v>
      </c>
      <c r="AH521" s="73" t="str" cm="1">
        <f t="array" ref="AH521">IF($H521=0,"",IF(INDEX('DM01-AV-CH'!H$6:H$834,$H521)="","",INDEX('DM01-AV-CH'!H$6:H$834,$H521)))</f>
        <v>ProjBergwerk</v>
      </c>
      <c r="AI521" s="74" t="str" cm="1">
        <f t="array" ref="AI521">IF($H521=0,"",IF(INDEX('DM01-AV-CH'!I$6:I$834,$H521)="","",INDEX('DM01-AV-CH'!I$6:I$834,$H521)))</f>
        <v>Geometrie</v>
      </c>
    </row>
    <row r="522" spans="1:35" ht="28.5" x14ac:dyDescent="0.25">
      <c r="A522" s="57">
        <v>517</v>
      </c>
      <c r="B522" s="57">
        <f>IF($A522="","",IF(_xlfn.XLOOKUP($A522,Korrelation!$D$4:$D$1197,Korrelation!E$4:E$1197,"-",0)="-",0,MATCH(_xlfn.XLOOKUP($A522,Korrelation!$D$4:$D$1197,Korrelation!E$4:E$1197,"",0),DMAV_Modell!$G$6:$G$677,0)))</f>
        <v>0</v>
      </c>
      <c r="C522" s="57">
        <f>IF($A522="","",IF(_xlfn.XLOOKUP($A522,Korrelation!$D$4:$D$1197,Korrelation!F$4:F$1197,"-",0)="-",0,MATCH(_xlfn.XLOOKUP($A522,Korrelation!$D$4:$D$1197,Korrelation!F$4:F$1197,"",0),DMAV_Modell!$G$6:$G$677,0)))</f>
        <v>0</v>
      </c>
      <c r="D522" s="57">
        <f>IF($A522="","",IF(_xlfn.XLOOKUP($A522,Korrelation!$D$4:$D$1197,Korrelation!G$4:G$1197,"-",0)="-",0,MATCH(_xlfn.XLOOKUP($A522,Korrelation!$D$4:$D$1197,Korrelation!G$4:G$1197,"",0),DMAV_Modell!$G$6:$G$677,0)))</f>
        <v>0</v>
      </c>
      <c r="E522" s="57">
        <f>IF($A522="","",IF(_xlfn.XLOOKUP($A522,Korrelation!$D$4:$D$1197,Korrelation!H$4:H$1197,"-",0)="-",0,MATCH(_xlfn.XLOOKUP($A522,Korrelation!$D$4:$D$1197,Korrelation!H$4:H$1197,"",0),DMAV_Dienste!$F$6:$F$140,0)))</f>
        <v>0</v>
      </c>
      <c r="F522" s="57">
        <f>IF($A522="","",IF(_xlfn.XLOOKUP($A522,Korrelation!$D$4:$D$1197,Korrelation!I$4:I$1197,"-",0)="-",0,MATCH(_xlfn.XLOOKUP($A522,Korrelation!$D$4:$D$1197,Korrelation!I$4:I$1197,"",0),DMAV_Dienste!$F$6:$F$140,0)))</f>
        <v>0</v>
      </c>
      <c r="G522" s="57">
        <f>IF($A522="","",IF(_xlfn.XLOOKUP($A522,Korrelation!$D$4:$D$1197,Korrelation!J$4:J$1197,"-",0)="-",0,MATCH(_xlfn.XLOOKUP($A522,Korrelation!$D$4:$D$1197,Korrelation!J$4:J$1197,"",0),DMAV_Dienste!$F$6:$F$140,0)))</f>
        <v>0</v>
      </c>
      <c r="H522" s="57">
        <f>IF($A522="","",IF(_xlfn.XLOOKUP($A522,Korrelation!$D$4:$D$1197,Korrelation!K$4:K$1197,"-",0)="-",0,MATCH(_xlfn.XLOOKUP($A522,Korrelation!$D$4:$D$1197,Korrelation!K$4:K$1197,"",0),'DM01-AV-CH'!$A$6:$A$834,0)))</f>
        <v>469</v>
      </c>
      <c r="J522" s="54" t="str" cm="1">
        <f t="array" aca="1" ref="J522" ca="1">IF(B522=0,IF(E522=0,"",HYPERLINK("#"&amp;RIGHT(CELL("adresse",OFFSET(DMAV_Dienste!$M$6,E522-1,0)),LEN(CELL("adresse",OFFSET(DMAV_Dienste!$M$6,E522-1,0)))-FIND("]",CELL("adresse",OFFSET(DMAV_Dienste!$M$6,E522-1,0)))),"Dienst")),HYPERLINK("#"&amp;RIGHT(CELL("adresse",OFFSET(DMAV_Modell!$N$6,B522-1,0)),LEN(CELL("adresse",OFFSET(DMAV_Modell!$N$6,B522-1,0)))-FIND("]",CELL("adresse",OFFSET(DMAV_Modell!$N$6,B522-1,0)))),"Modell"))</f>
        <v/>
      </c>
      <c r="K522" s="61" t="str" cm="1">
        <f t="array" ref="K522">IF($B522=0,IF($E522=0,"",IF(INDEX(DMAV_Dienste!P$6:P$140,$E522)="","",INDEX(DMAV_Dienste!P$6:P$140,$E522))),IF(INDEX(DMAV_Modell!Q$6:Q$838,$B522)="","",INDEX(DMAV_Modell!Q$6:Q$838,$B522)))</f>
        <v/>
      </c>
      <c r="L522" s="62" t="str" cm="1">
        <f t="array" ref="L522">IF($B522=0,IF($E522=0,"",IF(INDEX(DMAV_Dienste!O$6:O$140,$E522)="","",INDEX(DMAV_Dienste!O$6:O$140,$E522))),IF(INDEX(DMAV_Modell!P$6:P$838,$B522)="","",INDEX(DMAV_Modell!P$6:P$838,$B522)))</f>
        <v/>
      </c>
      <c r="M522" s="62" t="str" cm="1">
        <f t="array" ref="M522">IF($B522=0,IF($E522=0,"",IF(INDEX(DMAV_Dienste!Q$6:Q$140,$E522)="","",INDEX(DMAV_Dienste!Q$6:Q$140,$E522))),IF(INDEX(DMAV_Modell!R$6:R$838,$B522)="","",INDEX(DMAV_Modell!R$6:R$838,$B522)))</f>
        <v/>
      </c>
      <c r="N522" s="62" t="str" cm="1">
        <f t="array" ref="N522">IF($B522=0,IF($E522=0,"",IF(INDEX(DMAV_Dienste!T$6:T$140,$E522)="","",INDEX(DMAV_Dienste!T$6:T$140,$E522))),IF(INDEX(DMAV_Modell!U$6:U$838,$B522)="","",INDEX(DMAV_Modell!U$6:U$838,$B522)))</f>
        <v/>
      </c>
      <c r="O522" s="63" t="str" cm="1">
        <f t="array" aca="1" ref="O522" ca="1">IF(C522=0,IF(F522=0,"",HYPERLINK("#"&amp;RIGHT(CELL("adresse",OFFSET(DMAV_Dienste!$M$6,F522-1,0)),LEN(CELL("adresse",OFFSET(DMAV_Dienste!$M$6,F522-1,0)))-FIND("]",CELL("adresse",OFFSET(DMAV_Dienste!$M$6,F522-1,0)))),"Structure")),HYPERLINK("#"&amp;RIGHT(CELL("adresse",OFFSET(DMAV_Modell!$N$6,C522-1,0)),LEN(CELL("adresse",OFFSET(DMAV_Modell!$N$6,C522-1,0)))-FIND("]",CELL("adresse",OFFSET(DMAV_Modell!$N$6,C522-1,0)))),"Structure"))</f>
        <v/>
      </c>
      <c r="P522" s="64" t="str" cm="1">
        <f t="array" aca="1" ref="P522" ca="1">IF(D522=0,IF(G522=0,"",HYPERLINK("#"&amp;RIGHT(CELL("adresse",OFFSET(DMAV_Dienste!$M$6,G522-1,0)),LEN(CELL("adresse",OFFSET(DMAV_Dienste!$M$6,G522-1,0)))-FIND("]",CELL("adresse",OFFSET(DMAV_Dienste!$M$6,G522-1,0)))),"Substructure")),HYPERLINK("#"&amp;RIGHT(CELL("adresse",OFFSET(DMAV_Modell!$N$6,D522-1,0)),LEN(CELL("adresse",OFFSET(DMAV_Modell!$N$6,D522-1,0)))-FIND("]",CELL("adresse",OFFSET(DMAV_Modell!$N$6,D522-1,0)))),"Substructure"))</f>
        <v/>
      </c>
      <c r="R522" s="80"/>
      <c r="T522" s="93"/>
      <c r="U522" s="94" t="s">
        <v>2980</v>
      </c>
      <c r="V522" s="95" t="s">
        <v>3012</v>
      </c>
      <c r="W522" s="96" t="s">
        <v>3006</v>
      </c>
      <c r="Y522" s="85"/>
      <c r="Z522" s="86"/>
      <c r="AA522" s="87"/>
      <c r="AB522" s="88"/>
      <c r="AD522" s="77"/>
      <c r="AF522" s="54" t="str" cm="1">
        <f t="array" aca="1" ref="AF522" ca="1">IF(H522=0,"",HYPERLINK("#"&amp;RIGHT(CELL("adresse",OFFSET('DM01-AV-CH'!$G$6,H522-1,0)),LEN(CELL("adresse",OFFSET('DM01-AV-CH'!$G$6,H522-1,0)))-FIND("]",CELL("adresse",OFFSET('DM01-AV-CH'!$G$6,H522-1,0)))),"Modell"))</f>
        <v>Modell</v>
      </c>
      <c r="AG522" s="72" t="str" cm="1">
        <f t="array" ref="AG522">IF($H522=0,"",IF(INDEX('DM01-AV-CH'!G$6:G$834,$H522)="","",INDEX('DM01-AV-CH'!G$6:G$834,$H522)))</f>
        <v>Liegenschaften</v>
      </c>
      <c r="AH522" s="73" t="str" cm="1">
        <f t="array" ref="AH522">IF($H522=0,"",IF(INDEX('DM01-AV-CH'!H$6:H$834,$H522)="","",INDEX('DM01-AV-CH'!H$6:H$834,$H522)))</f>
        <v>ProjBergwerk</v>
      </c>
      <c r="AI522" s="74" t="str" cm="1">
        <f t="array" ref="AI522">IF($H522=0,"",IF(INDEX('DM01-AV-CH'!I$6:I$834,$H522)="","",INDEX('DM01-AV-CH'!I$6:I$834,$H522)))</f>
        <v>Flaechenmass</v>
      </c>
    </row>
    <row r="523" spans="1:35" x14ac:dyDescent="0.25">
      <c r="A523" s="57">
        <v>518</v>
      </c>
      <c r="B523" s="57">
        <f>IF($A523="","",IF(_xlfn.XLOOKUP($A523,Korrelation!$D$4:$D$1197,Korrelation!E$4:E$1197,"-",0)="-",0,MATCH(_xlfn.XLOOKUP($A523,Korrelation!$D$4:$D$1197,Korrelation!E$4:E$1197,"",0),DMAV_Modell!$G$6:$G$677,0)))</f>
        <v>0</v>
      </c>
      <c r="C523" s="57">
        <f>IF($A523="","",IF(_xlfn.XLOOKUP($A523,Korrelation!$D$4:$D$1197,Korrelation!F$4:F$1197,"-",0)="-",0,MATCH(_xlfn.XLOOKUP($A523,Korrelation!$D$4:$D$1197,Korrelation!F$4:F$1197,"",0),DMAV_Modell!$G$6:$G$677,0)))</f>
        <v>0</v>
      </c>
      <c r="D523" s="57">
        <f>IF($A523="","",IF(_xlfn.XLOOKUP($A523,Korrelation!$D$4:$D$1197,Korrelation!G$4:G$1197,"-",0)="-",0,MATCH(_xlfn.XLOOKUP($A523,Korrelation!$D$4:$D$1197,Korrelation!G$4:G$1197,"",0),DMAV_Modell!$G$6:$G$677,0)))</f>
        <v>0</v>
      </c>
      <c r="E523" s="57">
        <f>IF($A523="","",IF(_xlfn.XLOOKUP($A523,Korrelation!$D$4:$D$1197,Korrelation!H$4:H$1197,"-",0)="-",0,MATCH(_xlfn.XLOOKUP($A523,Korrelation!$D$4:$D$1197,Korrelation!H$4:H$1197,"",0),DMAV_Dienste!$F$6:$F$140,0)))</f>
        <v>0</v>
      </c>
      <c r="F523" s="57">
        <f>IF($A523="","",IF(_xlfn.XLOOKUP($A523,Korrelation!$D$4:$D$1197,Korrelation!I$4:I$1197,"-",0)="-",0,MATCH(_xlfn.XLOOKUP($A523,Korrelation!$D$4:$D$1197,Korrelation!I$4:I$1197,"",0),DMAV_Dienste!$F$6:$F$140,0)))</f>
        <v>0</v>
      </c>
      <c r="G523" s="57">
        <f>IF($A523="","",IF(_xlfn.XLOOKUP($A523,Korrelation!$D$4:$D$1197,Korrelation!J$4:J$1197,"-",0)="-",0,MATCH(_xlfn.XLOOKUP($A523,Korrelation!$D$4:$D$1197,Korrelation!J$4:J$1197,"",0),DMAV_Dienste!$F$6:$F$140,0)))</f>
        <v>0</v>
      </c>
      <c r="H523" s="57">
        <f>IF($A523="","",IF(_xlfn.XLOOKUP($A523,Korrelation!$D$4:$D$1197,Korrelation!K$4:K$1197,"-",0)="-",0,MATCH(_xlfn.XLOOKUP($A523,Korrelation!$D$4:$D$1197,Korrelation!K$4:K$1197,"",0),'DM01-AV-CH'!$A$6:$A$834,0)))</f>
        <v>470</v>
      </c>
      <c r="J523" s="54" t="str" cm="1">
        <f t="array" aca="1" ref="J523" ca="1">IF(B523=0,IF(E523=0,"",HYPERLINK("#"&amp;RIGHT(CELL("adresse",OFFSET(DMAV_Dienste!$M$6,E523-1,0)),LEN(CELL("adresse",OFFSET(DMAV_Dienste!$M$6,E523-1,0)))-FIND("]",CELL("adresse",OFFSET(DMAV_Dienste!$M$6,E523-1,0)))),"Dienst")),HYPERLINK("#"&amp;RIGHT(CELL("adresse",OFFSET(DMAV_Modell!$N$6,B523-1,0)),LEN(CELL("adresse",OFFSET(DMAV_Modell!$N$6,B523-1,0)))-FIND("]",CELL("adresse",OFFSET(DMAV_Modell!$N$6,B523-1,0)))),"Modell"))</f>
        <v/>
      </c>
      <c r="K523" s="61" t="str" cm="1">
        <f t="array" ref="K523">IF($B523=0,IF($E523=0,"",IF(INDEX(DMAV_Dienste!P$6:P$140,$E523)="","",INDEX(DMAV_Dienste!P$6:P$140,$E523))),IF(INDEX(DMAV_Modell!Q$6:Q$838,$B523)="","",INDEX(DMAV_Modell!Q$6:Q$838,$B523)))</f>
        <v/>
      </c>
      <c r="L523" s="62" t="str" cm="1">
        <f t="array" ref="L523">IF($B523=0,IF($E523=0,"",IF(INDEX(DMAV_Dienste!O$6:O$140,$E523)="","",INDEX(DMAV_Dienste!O$6:O$140,$E523))),IF(INDEX(DMAV_Modell!P$6:P$838,$B523)="","",INDEX(DMAV_Modell!P$6:P$838,$B523)))</f>
        <v/>
      </c>
      <c r="M523" s="62" t="str" cm="1">
        <f t="array" ref="M523">IF($B523=0,IF($E523=0,"",IF(INDEX(DMAV_Dienste!Q$6:Q$140,$E523)="","",INDEX(DMAV_Dienste!Q$6:Q$140,$E523))),IF(INDEX(DMAV_Modell!R$6:R$838,$B523)="","",INDEX(DMAV_Modell!R$6:R$838,$B523)))</f>
        <v/>
      </c>
      <c r="N523" s="62" t="str" cm="1">
        <f t="array" ref="N523">IF($B523=0,IF($E523=0,"",IF(INDEX(DMAV_Dienste!T$6:T$140,$E523)="","",INDEX(DMAV_Dienste!T$6:T$140,$E523))),IF(INDEX(DMAV_Modell!U$6:U$838,$B523)="","",INDEX(DMAV_Modell!U$6:U$838,$B523)))</f>
        <v/>
      </c>
      <c r="O523" s="63" t="str" cm="1">
        <f t="array" aca="1" ref="O523" ca="1">IF(C523=0,IF(F523=0,"",HYPERLINK("#"&amp;RIGHT(CELL("adresse",OFFSET(DMAV_Dienste!$M$6,F523-1,0)),LEN(CELL("adresse",OFFSET(DMAV_Dienste!$M$6,F523-1,0)))-FIND("]",CELL("adresse",OFFSET(DMAV_Dienste!$M$6,F523-1,0)))),"Structure")),HYPERLINK("#"&amp;RIGHT(CELL("adresse",OFFSET(DMAV_Modell!$N$6,C523-1,0)),LEN(CELL("adresse",OFFSET(DMAV_Modell!$N$6,C523-1,0)))-FIND("]",CELL("adresse",OFFSET(DMAV_Modell!$N$6,C523-1,0)))),"Structure"))</f>
        <v/>
      </c>
      <c r="P523" s="64" t="str" cm="1">
        <f t="array" aca="1" ref="P523" ca="1">IF(D523=0,IF(G523=0,"",HYPERLINK("#"&amp;RIGHT(CELL("adresse",OFFSET(DMAV_Dienste!$M$6,G523-1,0)),LEN(CELL("adresse",OFFSET(DMAV_Dienste!$M$6,G523-1,0)))-FIND("]",CELL("adresse",OFFSET(DMAV_Dienste!$M$6,G523-1,0)))),"Substructure")),HYPERLINK("#"&amp;RIGHT(CELL("adresse",OFFSET(DMAV_Modell!$N$6,D523-1,0)),LEN(CELL("adresse",OFFSET(DMAV_Modell!$N$6,D523-1,0)))-FIND("]",CELL("adresse",OFFSET(DMAV_Modell!$N$6,D523-1,0)))),"Substructure"))</f>
        <v/>
      </c>
      <c r="R523" s="80"/>
      <c r="T523" s="93"/>
      <c r="U523" s="94"/>
      <c r="V523" s="95"/>
      <c r="W523" s="96"/>
      <c r="Y523" s="85"/>
      <c r="Z523" s="86"/>
      <c r="AA523" s="87"/>
      <c r="AB523" s="88"/>
      <c r="AD523" s="77"/>
      <c r="AF523" s="54" t="str" cm="1">
        <f t="array" aca="1" ref="AF523" ca="1">IF(H523=0,"",HYPERLINK("#"&amp;RIGHT(CELL("adresse",OFFSET('DM01-AV-CH'!$G$6,H523-1,0)),LEN(CELL("adresse",OFFSET('DM01-AV-CH'!$G$6,H523-1,0)))-FIND("]",CELL("adresse",OFFSET('DM01-AV-CH'!$G$6,H523-1,0)))),"Modell"))</f>
        <v>Modell</v>
      </c>
      <c r="AG523" s="72" t="str" cm="1">
        <f t="array" ref="AG523">IF($H523=0,"",IF(INDEX('DM01-AV-CH'!G$6:G$834,$H523)="","",INDEX('DM01-AV-CH'!G$6:G$834,$H523)))</f>
        <v>Liegenschaften</v>
      </c>
      <c r="AH523" s="73" t="str" cm="1">
        <f t="array" ref="AH523">IF($H523=0,"",IF(INDEX('DM01-AV-CH'!H$6:H$834,$H523)="","",INDEX('DM01-AV-CH'!H$6:H$834,$H523)))</f>
        <v>Grundstueck</v>
      </c>
      <c r="AI523" s="74" t="str" cm="1">
        <f t="array" ref="AI523">IF($H523=0,"",IF(INDEX('DM01-AV-CH'!I$6:I$834,$H523)="","",INDEX('DM01-AV-CH'!I$6:I$834,$H523)))</f>
        <v>Entstehung</v>
      </c>
    </row>
    <row r="524" spans="1:35" ht="71.25" x14ac:dyDescent="0.25">
      <c r="A524" s="57">
        <v>519</v>
      </c>
      <c r="B524" s="57">
        <f>IF($A524="","",IF(_xlfn.XLOOKUP($A524,Korrelation!$D$4:$D$1197,Korrelation!E$4:E$1197,"-",0)="-",0,MATCH(_xlfn.XLOOKUP($A524,Korrelation!$D$4:$D$1197,Korrelation!E$4:E$1197,"",0),DMAV_Modell!$G$6:$G$677,0)))</f>
        <v>239</v>
      </c>
      <c r="C524" s="57">
        <f>IF($A524="","",IF(_xlfn.XLOOKUP($A524,Korrelation!$D$4:$D$1197,Korrelation!F$4:F$1197,"-",0)="-",0,MATCH(_xlfn.XLOOKUP($A524,Korrelation!$D$4:$D$1197,Korrelation!F$4:F$1197,"",0),DMAV_Modell!$G$6:$G$677,0)))</f>
        <v>0</v>
      </c>
      <c r="D524" s="57">
        <f>IF($A524="","",IF(_xlfn.XLOOKUP($A524,Korrelation!$D$4:$D$1197,Korrelation!G$4:G$1197,"-",0)="-",0,MATCH(_xlfn.XLOOKUP($A524,Korrelation!$D$4:$D$1197,Korrelation!G$4:G$1197,"",0),DMAV_Modell!$G$6:$G$677,0)))</f>
        <v>0</v>
      </c>
      <c r="E524" s="57">
        <f>IF($A524="","",IF(_xlfn.XLOOKUP($A524,Korrelation!$D$4:$D$1197,Korrelation!H$4:H$1197,"-",0)="-",0,MATCH(_xlfn.XLOOKUP($A524,Korrelation!$D$4:$D$1197,Korrelation!H$4:H$1197,"",0),DMAV_Dienste!$F$6:$F$140,0)))</f>
        <v>0</v>
      </c>
      <c r="F524" s="57">
        <f>IF($A524="","",IF(_xlfn.XLOOKUP($A524,Korrelation!$D$4:$D$1197,Korrelation!I$4:I$1197,"-",0)="-",0,MATCH(_xlfn.XLOOKUP($A524,Korrelation!$D$4:$D$1197,Korrelation!I$4:I$1197,"",0),DMAV_Dienste!$F$6:$F$140,0)))</f>
        <v>0</v>
      </c>
      <c r="G524" s="57">
        <f>IF($A524="","",IF(_xlfn.XLOOKUP($A524,Korrelation!$D$4:$D$1197,Korrelation!J$4:J$1197,"-",0)="-",0,MATCH(_xlfn.XLOOKUP($A524,Korrelation!$D$4:$D$1197,Korrelation!J$4:J$1197,"",0),DMAV_Dienste!$F$6:$F$140,0)))</f>
        <v>0</v>
      </c>
      <c r="H524" s="57">
        <f>IF($A524="","",IF(_xlfn.XLOOKUP($A524,Korrelation!$D$4:$D$1197,Korrelation!K$4:K$1197,"-",0)="-",0,MATCH(_xlfn.XLOOKUP($A524,Korrelation!$D$4:$D$1197,Korrelation!K$4:K$1197,"",0),'DM01-AV-CH'!$A$6:$A$834,0)))</f>
        <v>471</v>
      </c>
      <c r="J524" s="54" t="str" cm="1">
        <f t="array" aca="1" ref="J524" ca="1">IF(B524=0,IF(E524=0,"",HYPERLINK("#"&amp;RIGHT(CELL("adresse",OFFSET(DMAV_Dienste!$M$6,E524-1,0)),LEN(CELL("adresse",OFFSET(DMAV_Dienste!$M$6,E524-1,0)))-FIND("]",CELL("adresse",OFFSET(DMAV_Dienste!$M$6,E524-1,0)))),"Dienst")),HYPERLINK("#"&amp;RIGHT(CELL("adresse",OFFSET(DMAV_Modell!$N$6,B524-1,0)),LEN(CELL("adresse",OFFSET(DMAV_Modell!$N$6,B524-1,0)))-FIND("]",CELL("adresse",OFFSET(DMAV_Modell!$N$6,B524-1,0)))),"Modell"))</f>
        <v>Modell</v>
      </c>
      <c r="K524" s="61" t="str" cm="1">
        <f t="array" ref="K524">IF($B524=0,IF($E524=0,"",IF(INDEX(DMAV_Dienste!P$6:P$140,$E524)="","",INDEX(DMAV_Dienste!P$6:P$140,$E524))),IF(INDEX(DMAV_Modell!Q$6:Q$838,$B524)="","",INDEX(DMAV_Modell!Q$6:Q$838,$B524)))</f>
        <v>CLASS</v>
      </c>
      <c r="L524" s="62" t="str" cm="1">
        <f t="array" ref="L524">IF($B524=0,IF($E524=0,"",IF(INDEX(DMAV_Dienste!O$6:O$140,$E524)="","",INDEX(DMAV_Dienste!O$6:O$140,$E524))),IF(INDEX(DMAV_Modell!P$6:P$838,$B524)="","",INDEX(DMAV_Modell!P$6:P$838,$B524)))</f>
        <v>Grundstuecke</v>
      </c>
      <c r="M524" s="62" t="str" cm="1">
        <f t="array" ref="M524">IF($B524=0,IF($E524=0,"",IF(INDEX(DMAV_Dienste!Q$6:Q$140,$E524)="","",INDEX(DMAV_Dienste!Q$6:Q$140,$E524))),IF(INDEX(DMAV_Modell!R$6:R$838,$B524)="","",INDEX(DMAV_Modell!R$6:R$838,$B524)))</f>
        <v>Grundstueck</v>
      </c>
      <c r="N524" s="62" t="str" cm="1">
        <f t="array" ref="N524">IF($B524=0,IF($E524=0,"",IF(INDEX(DMAV_Dienste!T$6:T$140,$E524)="","",INDEX(DMAV_Dienste!T$6:T$140,$E524))),IF(INDEX(DMAV_Modell!U$6:U$838,$B524)="","",INDEX(DMAV_Modell!U$6:U$838,$B524)))</f>
        <v>NBIdent</v>
      </c>
      <c r="O524" s="63" t="str" cm="1">
        <f t="array" aca="1" ref="O524" ca="1">IF(C524=0,IF(F524=0,"",HYPERLINK("#"&amp;RIGHT(CELL("adresse",OFFSET(DMAV_Dienste!$M$6,F524-1,0)),LEN(CELL("adresse",OFFSET(DMAV_Dienste!$M$6,F524-1,0)))-FIND("]",CELL("adresse",OFFSET(DMAV_Dienste!$M$6,F524-1,0)))),"Structure")),HYPERLINK("#"&amp;RIGHT(CELL("adresse",OFFSET(DMAV_Modell!$N$6,C524-1,0)),LEN(CELL("adresse",OFFSET(DMAV_Modell!$N$6,C524-1,0)))-FIND("]",CELL("adresse",OFFSET(DMAV_Modell!$N$6,C524-1,0)))),"Structure"))</f>
        <v/>
      </c>
      <c r="P524" s="64" t="str" cm="1">
        <f t="array" aca="1" ref="P524" ca="1">IF(D524=0,IF(G524=0,"",HYPERLINK("#"&amp;RIGHT(CELL("adresse",OFFSET(DMAV_Dienste!$M$6,G524-1,0)),LEN(CELL("adresse",OFFSET(DMAV_Dienste!$M$6,G524-1,0)))-FIND("]",CELL("adresse",OFFSET(DMAV_Dienste!$M$6,G524-1,0)))),"Substructure")),HYPERLINK("#"&amp;RIGHT(CELL("adresse",OFFSET(DMAV_Modell!$N$6,D524-1,0)),LEN(CELL("adresse",OFFSET(DMAV_Modell!$N$6,D524-1,0)))-FIND("]",CELL("adresse",OFFSET(DMAV_Modell!$N$6,D524-1,0)))),"Substructure"))</f>
        <v/>
      </c>
      <c r="R524" s="80"/>
      <c r="T524" s="93"/>
      <c r="U524" s="94"/>
      <c r="V524" s="95"/>
      <c r="W524" s="96"/>
      <c r="Y524" s="85" t="s">
        <v>3111</v>
      </c>
      <c r="Z524" s="86" t="s">
        <v>2980</v>
      </c>
      <c r="AA524" s="87" t="s">
        <v>3112</v>
      </c>
      <c r="AB524" s="88"/>
      <c r="AD524" s="77"/>
      <c r="AF524" s="54" t="str" cm="1">
        <f t="array" aca="1" ref="AF524" ca="1">IF(H524=0,"",HYPERLINK("#"&amp;RIGHT(CELL("adresse",OFFSET('DM01-AV-CH'!$G$6,H524-1,0)),LEN(CELL("adresse",OFFSET('DM01-AV-CH'!$G$6,H524-1,0)))-FIND("]",CELL("adresse",OFFSET('DM01-AV-CH'!$G$6,H524-1,0)))),"Modell"))</f>
        <v>Modell</v>
      </c>
      <c r="AG524" s="72" t="str" cm="1">
        <f t="array" ref="AG524">IF($H524=0,"",IF(INDEX('DM01-AV-CH'!G$6:G$834,$H524)="","",INDEX('DM01-AV-CH'!G$6:G$834,$H524)))</f>
        <v>Liegenschaften</v>
      </c>
      <c r="AH524" s="73" t="str" cm="1">
        <f t="array" ref="AH524">IF($H524=0,"",IF(INDEX('DM01-AV-CH'!H$6:H$834,$H524)="","",INDEX('DM01-AV-CH'!H$6:H$834,$H524)))</f>
        <v>Grundstueck</v>
      </c>
      <c r="AI524" s="74" t="str" cm="1">
        <f t="array" ref="AI524">IF($H524=0,"",IF(INDEX('DM01-AV-CH'!I$6:I$834,$H524)="","",INDEX('DM01-AV-CH'!I$6:I$834,$H524)))</f>
        <v>NBIdent</v>
      </c>
    </row>
    <row r="525" spans="1:35" ht="71.25" x14ac:dyDescent="0.25">
      <c r="A525" s="57">
        <v>520</v>
      </c>
      <c r="B525" s="57">
        <f>IF($A525="","",IF(_xlfn.XLOOKUP($A525,Korrelation!$D$4:$D$1197,Korrelation!E$4:E$1197,"-",0)="-",0,MATCH(_xlfn.XLOOKUP($A525,Korrelation!$D$4:$D$1197,Korrelation!E$4:E$1197,"",0),DMAV_Modell!$G$6:$G$677,0)))</f>
        <v>240</v>
      </c>
      <c r="C525" s="57">
        <f>IF($A525="","",IF(_xlfn.XLOOKUP($A525,Korrelation!$D$4:$D$1197,Korrelation!F$4:F$1197,"-",0)="-",0,MATCH(_xlfn.XLOOKUP($A525,Korrelation!$D$4:$D$1197,Korrelation!F$4:F$1197,"",0),DMAV_Modell!$G$6:$G$677,0)))</f>
        <v>0</v>
      </c>
      <c r="D525" s="57">
        <f>IF($A525="","",IF(_xlfn.XLOOKUP($A525,Korrelation!$D$4:$D$1197,Korrelation!G$4:G$1197,"-",0)="-",0,MATCH(_xlfn.XLOOKUP($A525,Korrelation!$D$4:$D$1197,Korrelation!G$4:G$1197,"",0),DMAV_Modell!$G$6:$G$677,0)))</f>
        <v>0</v>
      </c>
      <c r="E525" s="57">
        <f>IF($A525="","",IF(_xlfn.XLOOKUP($A525,Korrelation!$D$4:$D$1197,Korrelation!H$4:H$1197,"-",0)="-",0,MATCH(_xlfn.XLOOKUP($A525,Korrelation!$D$4:$D$1197,Korrelation!H$4:H$1197,"",0),DMAV_Dienste!$F$6:$F$140,0)))</f>
        <v>0</v>
      </c>
      <c r="F525" s="57">
        <f>IF($A525="","",IF(_xlfn.XLOOKUP($A525,Korrelation!$D$4:$D$1197,Korrelation!I$4:I$1197,"-",0)="-",0,MATCH(_xlfn.XLOOKUP($A525,Korrelation!$D$4:$D$1197,Korrelation!I$4:I$1197,"",0),DMAV_Dienste!$F$6:$F$140,0)))</f>
        <v>0</v>
      </c>
      <c r="G525" s="57">
        <f>IF($A525="","",IF(_xlfn.XLOOKUP($A525,Korrelation!$D$4:$D$1197,Korrelation!J$4:J$1197,"-",0)="-",0,MATCH(_xlfn.XLOOKUP($A525,Korrelation!$D$4:$D$1197,Korrelation!J$4:J$1197,"",0),DMAV_Dienste!$F$6:$F$140,0)))</f>
        <v>0</v>
      </c>
      <c r="H525" s="57">
        <f>IF($A525="","",IF(_xlfn.XLOOKUP($A525,Korrelation!$D$4:$D$1197,Korrelation!K$4:K$1197,"-",0)="-",0,MATCH(_xlfn.XLOOKUP($A525,Korrelation!$D$4:$D$1197,Korrelation!K$4:K$1197,"",0),'DM01-AV-CH'!$A$6:$A$834,0)))</f>
        <v>472</v>
      </c>
      <c r="J525" s="54" t="str" cm="1">
        <f t="array" aca="1" ref="J525" ca="1">IF(B525=0,IF(E525=0,"",HYPERLINK("#"&amp;RIGHT(CELL("adresse",OFFSET(DMAV_Dienste!$M$6,E525-1,0)),LEN(CELL("adresse",OFFSET(DMAV_Dienste!$M$6,E525-1,0)))-FIND("]",CELL("adresse",OFFSET(DMAV_Dienste!$M$6,E525-1,0)))),"Dienst")),HYPERLINK("#"&amp;RIGHT(CELL("adresse",OFFSET(DMAV_Modell!$N$6,B525-1,0)),LEN(CELL("adresse",OFFSET(DMAV_Modell!$N$6,B525-1,0)))-FIND("]",CELL("adresse",OFFSET(DMAV_Modell!$N$6,B525-1,0)))),"Modell"))</f>
        <v>Modell</v>
      </c>
      <c r="K525" s="61" t="str" cm="1">
        <f t="array" ref="K525">IF($B525=0,IF($E525=0,"",IF(INDEX(DMAV_Dienste!P$6:P$140,$E525)="","",INDEX(DMAV_Dienste!P$6:P$140,$E525))),IF(INDEX(DMAV_Modell!Q$6:Q$838,$B525)="","",INDEX(DMAV_Modell!Q$6:Q$838,$B525)))</f>
        <v>CLASS</v>
      </c>
      <c r="L525" s="62" t="str" cm="1">
        <f t="array" ref="L525">IF($B525=0,IF($E525=0,"",IF(INDEX(DMAV_Dienste!O$6:O$140,$E525)="","",INDEX(DMAV_Dienste!O$6:O$140,$E525))),IF(INDEX(DMAV_Modell!P$6:P$838,$B525)="","",INDEX(DMAV_Modell!P$6:P$838,$B525)))</f>
        <v>Grundstuecke</v>
      </c>
      <c r="M525" s="62" t="str" cm="1">
        <f t="array" ref="M525">IF($B525=0,IF($E525=0,"",IF(INDEX(DMAV_Dienste!Q$6:Q$140,$E525)="","",INDEX(DMAV_Dienste!Q$6:Q$140,$E525))),IF(INDEX(DMAV_Modell!R$6:R$838,$B525)="","",INDEX(DMAV_Modell!R$6:R$838,$B525)))</f>
        <v>Grundstueck</v>
      </c>
      <c r="N525" s="62" t="str" cm="1">
        <f t="array" ref="N525">IF($B525=0,IF($E525=0,"",IF(INDEX(DMAV_Dienste!T$6:T$140,$E525)="","",INDEX(DMAV_Dienste!T$6:T$140,$E525))),IF(INDEX(DMAV_Modell!U$6:U$838,$B525)="","",INDEX(DMAV_Modell!U$6:U$838,$B525)))</f>
        <v>Nummer</v>
      </c>
      <c r="O525" s="63" t="str" cm="1">
        <f t="array" aca="1" ref="O525" ca="1">IF(C525=0,IF(F525=0,"",HYPERLINK("#"&amp;RIGHT(CELL("adresse",OFFSET(DMAV_Dienste!$M$6,F525-1,0)),LEN(CELL("adresse",OFFSET(DMAV_Dienste!$M$6,F525-1,0)))-FIND("]",CELL("adresse",OFFSET(DMAV_Dienste!$M$6,F525-1,0)))),"Structure")),HYPERLINK("#"&amp;RIGHT(CELL("adresse",OFFSET(DMAV_Modell!$N$6,C525-1,0)),LEN(CELL("adresse",OFFSET(DMAV_Modell!$N$6,C525-1,0)))-FIND("]",CELL("adresse",OFFSET(DMAV_Modell!$N$6,C525-1,0)))),"Structure"))</f>
        <v/>
      </c>
      <c r="P525" s="64" t="str" cm="1">
        <f t="array" aca="1" ref="P525" ca="1">IF(D525=0,IF(G525=0,"",HYPERLINK("#"&amp;RIGHT(CELL("adresse",OFFSET(DMAV_Dienste!$M$6,G525-1,0)),LEN(CELL("adresse",OFFSET(DMAV_Dienste!$M$6,G525-1,0)))-FIND("]",CELL("adresse",OFFSET(DMAV_Dienste!$M$6,G525-1,0)))),"Substructure")),HYPERLINK("#"&amp;RIGHT(CELL("adresse",OFFSET(DMAV_Modell!$N$6,D525-1,0)),LEN(CELL("adresse",OFFSET(DMAV_Modell!$N$6,D525-1,0)))-FIND("]",CELL("adresse",OFFSET(DMAV_Modell!$N$6,D525-1,0)))),"Substructure"))</f>
        <v/>
      </c>
      <c r="R525" s="80"/>
      <c r="T525" s="93"/>
      <c r="U525" s="94"/>
      <c r="V525" s="95"/>
      <c r="W525" s="96"/>
      <c r="Y525" s="85" t="s">
        <v>3111</v>
      </c>
      <c r="Z525" s="86" t="s">
        <v>2980</v>
      </c>
      <c r="AA525" s="87" t="s">
        <v>3113</v>
      </c>
      <c r="AB525" s="88"/>
      <c r="AD525" s="77"/>
      <c r="AF525" s="54" t="str" cm="1">
        <f t="array" aca="1" ref="AF525" ca="1">IF(H525=0,"",HYPERLINK("#"&amp;RIGHT(CELL("adresse",OFFSET('DM01-AV-CH'!$G$6,H525-1,0)),LEN(CELL("adresse",OFFSET('DM01-AV-CH'!$G$6,H525-1,0)))-FIND("]",CELL("adresse",OFFSET('DM01-AV-CH'!$G$6,H525-1,0)))),"Modell"))</f>
        <v>Modell</v>
      </c>
      <c r="AG525" s="72" t="str" cm="1">
        <f t="array" ref="AG525">IF($H525=0,"",IF(INDEX('DM01-AV-CH'!G$6:G$834,$H525)="","",INDEX('DM01-AV-CH'!G$6:G$834,$H525)))</f>
        <v>Liegenschaften</v>
      </c>
      <c r="AH525" s="73" t="str" cm="1">
        <f t="array" ref="AH525">IF($H525=0,"",IF(INDEX('DM01-AV-CH'!H$6:H$834,$H525)="","",INDEX('DM01-AV-CH'!H$6:H$834,$H525)))</f>
        <v>Grundstueck</v>
      </c>
      <c r="AI525" s="74" t="str" cm="1">
        <f t="array" ref="AI525">IF($H525=0,"",IF(INDEX('DM01-AV-CH'!I$6:I$834,$H525)="","",INDEX('DM01-AV-CH'!I$6:I$834,$H525)))</f>
        <v>Nummer</v>
      </c>
    </row>
    <row r="526" spans="1:35" ht="71.25" x14ac:dyDescent="0.25">
      <c r="A526" s="57">
        <v>521</v>
      </c>
      <c r="B526" s="57">
        <f>IF($A526="","",IF(_xlfn.XLOOKUP($A526,Korrelation!$D$4:$D$1197,Korrelation!E$4:E$1197,"-",0)="-",0,MATCH(_xlfn.XLOOKUP($A526,Korrelation!$D$4:$D$1197,Korrelation!E$4:E$1197,"",0),DMAV_Modell!$G$6:$G$677,0)))</f>
        <v>241</v>
      </c>
      <c r="C526" s="57">
        <f>IF($A526="","",IF(_xlfn.XLOOKUP($A526,Korrelation!$D$4:$D$1197,Korrelation!F$4:F$1197,"-",0)="-",0,MATCH(_xlfn.XLOOKUP($A526,Korrelation!$D$4:$D$1197,Korrelation!F$4:F$1197,"",0),DMAV_Modell!$G$6:$G$677,0)))</f>
        <v>0</v>
      </c>
      <c r="D526" s="57">
        <f>IF($A526="","",IF(_xlfn.XLOOKUP($A526,Korrelation!$D$4:$D$1197,Korrelation!G$4:G$1197,"-",0)="-",0,MATCH(_xlfn.XLOOKUP($A526,Korrelation!$D$4:$D$1197,Korrelation!G$4:G$1197,"",0),DMAV_Modell!$G$6:$G$677,0)))</f>
        <v>0</v>
      </c>
      <c r="E526" s="57">
        <f>IF($A526="","",IF(_xlfn.XLOOKUP($A526,Korrelation!$D$4:$D$1197,Korrelation!H$4:H$1197,"-",0)="-",0,MATCH(_xlfn.XLOOKUP($A526,Korrelation!$D$4:$D$1197,Korrelation!H$4:H$1197,"",0),DMAV_Dienste!$F$6:$F$140,0)))</f>
        <v>0</v>
      </c>
      <c r="F526" s="57">
        <f>IF($A526="","",IF(_xlfn.XLOOKUP($A526,Korrelation!$D$4:$D$1197,Korrelation!I$4:I$1197,"-",0)="-",0,MATCH(_xlfn.XLOOKUP($A526,Korrelation!$D$4:$D$1197,Korrelation!I$4:I$1197,"",0),DMAV_Dienste!$F$6:$F$140,0)))</f>
        <v>0</v>
      </c>
      <c r="G526" s="57">
        <f>IF($A526="","",IF(_xlfn.XLOOKUP($A526,Korrelation!$D$4:$D$1197,Korrelation!J$4:J$1197,"-",0)="-",0,MATCH(_xlfn.XLOOKUP($A526,Korrelation!$D$4:$D$1197,Korrelation!J$4:J$1197,"",0),DMAV_Dienste!$F$6:$F$140,0)))</f>
        <v>0</v>
      </c>
      <c r="H526" s="57">
        <f>IF($A526="","",IF(_xlfn.XLOOKUP($A526,Korrelation!$D$4:$D$1197,Korrelation!K$4:K$1197,"-",0)="-",0,MATCH(_xlfn.XLOOKUP($A526,Korrelation!$D$4:$D$1197,Korrelation!K$4:K$1197,"",0),'DM01-AV-CH'!$A$6:$A$834,0)))</f>
        <v>473</v>
      </c>
      <c r="J526" s="54" t="str" cm="1">
        <f t="array" aca="1" ref="J526" ca="1">IF(B526=0,IF(E526=0,"",HYPERLINK("#"&amp;RIGHT(CELL("adresse",OFFSET(DMAV_Dienste!$M$6,E526-1,0)),LEN(CELL("adresse",OFFSET(DMAV_Dienste!$M$6,E526-1,0)))-FIND("]",CELL("adresse",OFFSET(DMAV_Dienste!$M$6,E526-1,0)))),"Dienst")),HYPERLINK("#"&amp;RIGHT(CELL("adresse",OFFSET(DMAV_Modell!$N$6,B526-1,0)),LEN(CELL("adresse",OFFSET(DMAV_Modell!$N$6,B526-1,0)))-FIND("]",CELL("adresse",OFFSET(DMAV_Modell!$N$6,B526-1,0)))),"Modell"))</f>
        <v>Modell</v>
      </c>
      <c r="K526" s="61" t="str" cm="1">
        <f t="array" ref="K526">IF($B526=0,IF($E526=0,"",IF(INDEX(DMAV_Dienste!P$6:P$140,$E526)="","",INDEX(DMAV_Dienste!P$6:P$140,$E526))),IF(INDEX(DMAV_Modell!Q$6:Q$838,$B526)="","",INDEX(DMAV_Modell!Q$6:Q$838,$B526)))</f>
        <v>CLASS</v>
      </c>
      <c r="L526" s="62" t="str" cm="1">
        <f t="array" ref="L526">IF($B526=0,IF($E526=0,"",IF(INDEX(DMAV_Dienste!O$6:O$140,$E526)="","",INDEX(DMAV_Dienste!O$6:O$140,$E526))),IF(INDEX(DMAV_Modell!P$6:P$838,$B526)="","",INDEX(DMAV_Modell!P$6:P$838,$B526)))</f>
        <v>Grundstuecke</v>
      </c>
      <c r="M526" s="62" t="str" cm="1">
        <f t="array" ref="M526">IF($B526=0,IF($E526=0,"",IF(INDEX(DMAV_Dienste!Q$6:Q$140,$E526)="","",INDEX(DMAV_Dienste!Q$6:Q$140,$E526))),IF(INDEX(DMAV_Modell!R$6:R$838,$B526)="","",INDEX(DMAV_Modell!R$6:R$838,$B526)))</f>
        <v>Grundstueck</v>
      </c>
      <c r="N526" s="62" t="str" cm="1">
        <f t="array" ref="N526">IF($B526=0,IF($E526=0,"",IF(INDEX(DMAV_Dienste!T$6:T$140,$E526)="","",INDEX(DMAV_Dienste!T$6:T$140,$E526))),IF(INDEX(DMAV_Modell!U$6:U$838,$B526)="","",INDEX(DMAV_Modell!U$6:U$838,$B526)))</f>
        <v>EGRID</v>
      </c>
      <c r="O526" s="63" t="str" cm="1">
        <f t="array" aca="1" ref="O526" ca="1">IF(C526=0,IF(F526=0,"",HYPERLINK("#"&amp;RIGHT(CELL("adresse",OFFSET(DMAV_Dienste!$M$6,F526-1,0)),LEN(CELL("adresse",OFFSET(DMAV_Dienste!$M$6,F526-1,0)))-FIND("]",CELL("adresse",OFFSET(DMAV_Dienste!$M$6,F526-1,0)))),"Structure")),HYPERLINK("#"&amp;RIGHT(CELL("adresse",OFFSET(DMAV_Modell!$N$6,C526-1,0)),LEN(CELL("adresse",OFFSET(DMAV_Modell!$N$6,C526-1,0)))-FIND("]",CELL("adresse",OFFSET(DMAV_Modell!$N$6,C526-1,0)))),"Structure"))</f>
        <v/>
      </c>
      <c r="P526" s="64" t="str" cm="1">
        <f t="array" aca="1" ref="P526" ca="1">IF(D526=0,IF(G526=0,"",HYPERLINK("#"&amp;RIGHT(CELL("adresse",OFFSET(DMAV_Dienste!$M$6,G526-1,0)),LEN(CELL("adresse",OFFSET(DMAV_Dienste!$M$6,G526-1,0)))-FIND("]",CELL("adresse",OFFSET(DMAV_Dienste!$M$6,G526-1,0)))),"Substructure")),HYPERLINK("#"&amp;RIGHT(CELL("adresse",OFFSET(DMAV_Modell!$N$6,D526-1,0)),LEN(CELL("adresse",OFFSET(DMAV_Modell!$N$6,D526-1,0)))-FIND("]",CELL("adresse",OFFSET(DMAV_Modell!$N$6,D526-1,0)))),"Substructure"))</f>
        <v/>
      </c>
      <c r="R526" s="80"/>
      <c r="T526" s="93"/>
      <c r="U526" s="94"/>
      <c r="V526" s="95"/>
      <c r="W526" s="96"/>
      <c r="Y526" s="85" t="s">
        <v>3111</v>
      </c>
      <c r="Z526" s="86" t="s">
        <v>2980</v>
      </c>
      <c r="AA526" s="87" t="s">
        <v>3114</v>
      </c>
      <c r="AB526" s="88"/>
      <c r="AD526" s="77"/>
      <c r="AF526" s="54" t="str" cm="1">
        <f t="array" aca="1" ref="AF526" ca="1">IF(H526=0,"",HYPERLINK("#"&amp;RIGHT(CELL("adresse",OFFSET('DM01-AV-CH'!$G$6,H526-1,0)),LEN(CELL("adresse",OFFSET('DM01-AV-CH'!$G$6,H526-1,0)))-FIND("]",CELL("adresse",OFFSET('DM01-AV-CH'!$G$6,H526-1,0)))),"Modell"))</f>
        <v>Modell</v>
      </c>
      <c r="AG526" s="72" t="str" cm="1">
        <f t="array" ref="AG526">IF($H526=0,"",IF(INDEX('DM01-AV-CH'!G$6:G$834,$H526)="","",INDEX('DM01-AV-CH'!G$6:G$834,$H526)))</f>
        <v>Liegenschaften</v>
      </c>
      <c r="AH526" s="73" t="str" cm="1">
        <f t="array" ref="AH526">IF($H526=0,"",IF(INDEX('DM01-AV-CH'!H$6:H$834,$H526)="","",INDEX('DM01-AV-CH'!H$6:H$834,$H526)))</f>
        <v>Grundstueck</v>
      </c>
      <c r="AI526" s="74" t="str" cm="1">
        <f t="array" ref="AI526">IF($H526=0,"",IF(INDEX('DM01-AV-CH'!I$6:I$834,$H526)="","",INDEX('DM01-AV-CH'!I$6:I$834,$H526)))</f>
        <v>EGRIS_EGRID</v>
      </c>
    </row>
    <row r="527" spans="1:35" ht="71.25" x14ac:dyDescent="0.25">
      <c r="A527" s="57">
        <v>522</v>
      </c>
      <c r="B527" s="57">
        <f>IF($A527="","",IF(_xlfn.XLOOKUP($A527,Korrelation!$D$4:$D$1197,Korrelation!E$4:E$1197,"-",0)="-",0,MATCH(_xlfn.XLOOKUP($A527,Korrelation!$D$4:$D$1197,Korrelation!E$4:E$1197,"",0),DMAV_Modell!$G$6:$G$677,0)))</f>
        <v>242</v>
      </c>
      <c r="C527" s="57">
        <f>IF($A527="","",IF(_xlfn.XLOOKUP($A527,Korrelation!$D$4:$D$1197,Korrelation!F$4:F$1197,"-",0)="-",0,MATCH(_xlfn.XLOOKUP($A527,Korrelation!$D$4:$D$1197,Korrelation!F$4:F$1197,"",0),DMAV_Modell!$G$6:$G$677,0)))</f>
        <v>0</v>
      </c>
      <c r="D527" s="57">
        <f>IF($A527="","",IF(_xlfn.XLOOKUP($A527,Korrelation!$D$4:$D$1197,Korrelation!G$4:G$1197,"-",0)="-",0,MATCH(_xlfn.XLOOKUP($A527,Korrelation!$D$4:$D$1197,Korrelation!G$4:G$1197,"",0),DMAV_Modell!$G$6:$G$677,0)))</f>
        <v>0</v>
      </c>
      <c r="E527" s="57">
        <f>IF($A527="","",IF(_xlfn.XLOOKUP($A527,Korrelation!$D$4:$D$1197,Korrelation!H$4:H$1197,"-",0)="-",0,MATCH(_xlfn.XLOOKUP($A527,Korrelation!$D$4:$D$1197,Korrelation!H$4:H$1197,"",0),DMAV_Dienste!$F$6:$F$140,0)))</f>
        <v>0</v>
      </c>
      <c r="F527" s="57">
        <f>IF($A527="","",IF(_xlfn.XLOOKUP($A527,Korrelation!$D$4:$D$1197,Korrelation!I$4:I$1197,"-",0)="-",0,MATCH(_xlfn.XLOOKUP($A527,Korrelation!$D$4:$D$1197,Korrelation!I$4:I$1197,"",0),DMAV_Dienste!$F$6:$F$140,0)))</f>
        <v>0</v>
      </c>
      <c r="G527" s="57">
        <f>IF($A527="","",IF(_xlfn.XLOOKUP($A527,Korrelation!$D$4:$D$1197,Korrelation!J$4:J$1197,"-",0)="-",0,MATCH(_xlfn.XLOOKUP($A527,Korrelation!$D$4:$D$1197,Korrelation!J$4:J$1197,"",0),DMAV_Dienste!$F$6:$F$140,0)))</f>
        <v>0</v>
      </c>
      <c r="H527" s="57">
        <f>IF($A527="","",IF(_xlfn.XLOOKUP($A527,Korrelation!$D$4:$D$1197,Korrelation!K$4:K$1197,"-",0)="-",0,MATCH(_xlfn.XLOOKUP($A527,Korrelation!$D$4:$D$1197,Korrelation!K$4:K$1197,"",0),'DM01-AV-CH'!$A$6:$A$834,0)))</f>
        <v>474</v>
      </c>
      <c r="J527" s="54" t="str" cm="1">
        <f t="array" aca="1" ref="J527" ca="1">IF(B527=0,IF(E527=0,"",HYPERLINK("#"&amp;RIGHT(CELL("adresse",OFFSET(DMAV_Dienste!$M$6,E527-1,0)),LEN(CELL("adresse",OFFSET(DMAV_Dienste!$M$6,E527-1,0)))-FIND("]",CELL("adresse",OFFSET(DMAV_Dienste!$M$6,E527-1,0)))),"Dienst")),HYPERLINK("#"&amp;RIGHT(CELL("adresse",OFFSET(DMAV_Modell!$N$6,B527-1,0)),LEN(CELL("adresse",OFFSET(DMAV_Modell!$N$6,B527-1,0)))-FIND("]",CELL("adresse",OFFSET(DMAV_Modell!$N$6,B527-1,0)))),"Modell"))</f>
        <v>Modell</v>
      </c>
      <c r="K527" s="61" t="str" cm="1">
        <f t="array" ref="K527">IF($B527=0,IF($E527=0,"",IF(INDEX(DMAV_Dienste!P$6:P$140,$E527)="","",INDEX(DMAV_Dienste!P$6:P$140,$E527))),IF(INDEX(DMAV_Modell!Q$6:Q$838,$B527)="","",INDEX(DMAV_Modell!Q$6:Q$838,$B527)))</f>
        <v>CLASS</v>
      </c>
      <c r="L527" s="62" t="str" cm="1">
        <f t="array" ref="L527">IF($B527=0,IF($E527=0,"",IF(INDEX(DMAV_Dienste!O$6:O$140,$E527)="","",INDEX(DMAV_Dienste!O$6:O$140,$E527))),IF(INDEX(DMAV_Modell!P$6:P$838,$B527)="","",INDEX(DMAV_Modell!P$6:P$838,$B527)))</f>
        <v>Grundstuecke</v>
      </c>
      <c r="M527" s="62" t="str" cm="1">
        <f t="array" ref="M527">IF($B527=0,IF($E527=0,"",IF(INDEX(DMAV_Dienste!Q$6:Q$140,$E527)="","",INDEX(DMAV_Dienste!Q$6:Q$140,$E527))),IF(INDEX(DMAV_Modell!R$6:R$838,$B527)="","",INDEX(DMAV_Modell!R$6:R$838,$B527)))</f>
        <v>Grundstueck</v>
      </c>
      <c r="N527" s="62" t="str" cm="1">
        <f t="array" ref="N527">IF($B527=0,IF($E527=0,"",IF(INDEX(DMAV_Dienste!T$6:T$140,$E527)="","",INDEX(DMAV_Dienste!T$6:T$140,$E527))),IF(INDEX(DMAV_Modell!U$6:U$838,$B527)="","",INDEX(DMAV_Modell!U$6:U$838,$B527)))</f>
        <v>IstStreitig</v>
      </c>
      <c r="O527" s="63" t="str" cm="1">
        <f t="array" aca="1" ref="O527" ca="1">IF(C527=0,IF(F527=0,"",HYPERLINK("#"&amp;RIGHT(CELL("adresse",OFFSET(DMAV_Dienste!$M$6,F527-1,0)),LEN(CELL("adresse",OFFSET(DMAV_Dienste!$M$6,F527-1,0)))-FIND("]",CELL("adresse",OFFSET(DMAV_Dienste!$M$6,F527-1,0)))),"Structure")),HYPERLINK("#"&amp;RIGHT(CELL("adresse",OFFSET(DMAV_Modell!$N$6,C527-1,0)),LEN(CELL("adresse",OFFSET(DMAV_Modell!$N$6,C527-1,0)))-FIND("]",CELL("adresse",OFFSET(DMAV_Modell!$N$6,C527-1,0)))),"Structure"))</f>
        <v/>
      </c>
      <c r="P527" s="64" t="str" cm="1">
        <f t="array" aca="1" ref="P527" ca="1">IF(D527=0,IF(G527=0,"",HYPERLINK("#"&amp;RIGHT(CELL("adresse",OFFSET(DMAV_Dienste!$M$6,G527-1,0)),LEN(CELL("adresse",OFFSET(DMAV_Dienste!$M$6,G527-1,0)))-FIND("]",CELL("adresse",OFFSET(DMAV_Dienste!$M$6,G527-1,0)))),"Substructure")),HYPERLINK("#"&amp;RIGHT(CELL("adresse",OFFSET(DMAV_Modell!$N$6,D527-1,0)),LEN(CELL("adresse",OFFSET(DMAV_Modell!$N$6,D527-1,0)))-FIND("]",CELL("adresse",OFFSET(DMAV_Modell!$N$6,D527-1,0)))),"Substructure"))</f>
        <v/>
      </c>
      <c r="R527" s="80"/>
      <c r="T527" s="93"/>
      <c r="U527" s="94"/>
      <c r="V527" s="95"/>
      <c r="W527" s="96"/>
      <c r="Y527" s="85" t="s">
        <v>3111</v>
      </c>
      <c r="Z527" s="86" t="s">
        <v>2980</v>
      </c>
      <c r="AA527" s="87" t="s">
        <v>3115</v>
      </c>
      <c r="AB527" s="88"/>
      <c r="AD527" s="77" t="s">
        <v>3014</v>
      </c>
      <c r="AF527" s="54" t="str" cm="1">
        <f t="array" aca="1" ref="AF527" ca="1">IF(H527=0,"",HYPERLINK("#"&amp;RIGHT(CELL("adresse",OFFSET('DM01-AV-CH'!$G$6,H527-1,0)),LEN(CELL("adresse",OFFSET('DM01-AV-CH'!$G$6,H527-1,0)))-FIND("]",CELL("adresse",OFFSET('DM01-AV-CH'!$G$6,H527-1,0)))),"Modell"))</f>
        <v>Modell</v>
      </c>
      <c r="AG527" s="72" t="str" cm="1">
        <f t="array" ref="AG527">IF($H527=0,"",IF(INDEX('DM01-AV-CH'!G$6:G$834,$H527)="","",INDEX('DM01-AV-CH'!G$6:G$834,$H527)))</f>
        <v>Liegenschaften</v>
      </c>
      <c r="AH527" s="73" t="str" cm="1">
        <f t="array" ref="AH527">IF($H527=0,"",IF(INDEX('DM01-AV-CH'!H$6:H$834,$H527)="","",INDEX('DM01-AV-CH'!H$6:H$834,$H527)))</f>
        <v>Grundstueck</v>
      </c>
      <c r="AI527" s="74" t="str" cm="1">
        <f t="array" ref="AI527">IF($H527=0,"",IF(INDEX('DM01-AV-CH'!I$6:I$834,$H527)="","",INDEX('DM01-AV-CH'!I$6:I$834,$H527)))</f>
        <v>Gueltigkeit</v>
      </c>
    </row>
    <row r="528" spans="1:35" ht="71.25" x14ac:dyDescent="0.25">
      <c r="A528" s="57">
        <v>523</v>
      </c>
      <c r="B528" s="57">
        <f>IF($A528="","",IF(_xlfn.XLOOKUP($A528,Korrelation!$D$4:$D$1197,Korrelation!E$4:E$1197,"-",0)="-",0,MATCH(_xlfn.XLOOKUP($A528,Korrelation!$D$4:$D$1197,Korrelation!E$4:E$1197,"",0),DMAV_Modell!$G$6:$G$677,0)))</f>
        <v>243</v>
      </c>
      <c r="C528" s="57">
        <f>IF($A528="","",IF(_xlfn.XLOOKUP($A528,Korrelation!$D$4:$D$1197,Korrelation!F$4:F$1197,"-",0)="-",0,MATCH(_xlfn.XLOOKUP($A528,Korrelation!$D$4:$D$1197,Korrelation!F$4:F$1197,"",0),DMAV_Modell!$G$6:$G$677,0)))</f>
        <v>0</v>
      </c>
      <c r="D528" s="57">
        <f>IF($A528="","",IF(_xlfn.XLOOKUP($A528,Korrelation!$D$4:$D$1197,Korrelation!G$4:G$1197,"-",0)="-",0,MATCH(_xlfn.XLOOKUP($A528,Korrelation!$D$4:$D$1197,Korrelation!G$4:G$1197,"",0),DMAV_Modell!$G$6:$G$677,0)))</f>
        <v>0</v>
      </c>
      <c r="E528" s="57">
        <f>IF($A528="","",IF(_xlfn.XLOOKUP($A528,Korrelation!$D$4:$D$1197,Korrelation!H$4:H$1197,"-",0)="-",0,MATCH(_xlfn.XLOOKUP($A528,Korrelation!$D$4:$D$1197,Korrelation!H$4:H$1197,"",0),DMAV_Dienste!$F$6:$F$140,0)))</f>
        <v>0</v>
      </c>
      <c r="F528" s="57">
        <f>IF($A528="","",IF(_xlfn.XLOOKUP($A528,Korrelation!$D$4:$D$1197,Korrelation!I$4:I$1197,"-",0)="-",0,MATCH(_xlfn.XLOOKUP($A528,Korrelation!$D$4:$D$1197,Korrelation!I$4:I$1197,"",0),DMAV_Dienste!$F$6:$F$140,0)))</f>
        <v>0</v>
      </c>
      <c r="G528" s="57">
        <f>IF($A528="","",IF(_xlfn.XLOOKUP($A528,Korrelation!$D$4:$D$1197,Korrelation!J$4:J$1197,"-",0)="-",0,MATCH(_xlfn.XLOOKUP($A528,Korrelation!$D$4:$D$1197,Korrelation!J$4:J$1197,"",0),DMAV_Dienste!$F$6:$F$140,0)))</f>
        <v>0</v>
      </c>
      <c r="H528" s="57">
        <f>IF($A528="","",IF(_xlfn.XLOOKUP($A528,Korrelation!$D$4:$D$1197,Korrelation!K$4:K$1197,"-",0)="-",0,MATCH(_xlfn.XLOOKUP($A528,Korrelation!$D$4:$D$1197,Korrelation!K$4:K$1197,"",0),'DM01-AV-CH'!$A$6:$A$834,0)))</f>
        <v>475</v>
      </c>
      <c r="J528" s="54" t="str" cm="1">
        <f t="array" aca="1" ref="J528" ca="1">IF(B528=0,IF(E528=0,"",HYPERLINK("#"&amp;RIGHT(CELL("adresse",OFFSET(DMAV_Dienste!$M$6,E528-1,0)),LEN(CELL("adresse",OFFSET(DMAV_Dienste!$M$6,E528-1,0)))-FIND("]",CELL("adresse",OFFSET(DMAV_Dienste!$M$6,E528-1,0)))),"Dienst")),HYPERLINK("#"&amp;RIGHT(CELL("adresse",OFFSET(DMAV_Modell!$N$6,B528-1,0)),LEN(CELL("adresse",OFFSET(DMAV_Modell!$N$6,B528-1,0)))-FIND("]",CELL("adresse",OFFSET(DMAV_Modell!$N$6,B528-1,0)))),"Modell"))</f>
        <v>Modell</v>
      </c>
      <c r="K528" s="61" t="str" cm="1">
        <f t="array" ref="K528">IF($B528=0,IF($E528=0,"",IF(INDEX(DMAV_Dienste!P$6:P$140,$E528)="","",INDEX(DMAV_Dienste!P$6:P$140,$E528))),IF(INDEX(DMAV_Modell!Q$6:Q$838,$B528)="","",INDEX(DMAV_Modell!Q$6:Q$838,$B528)))</f>
        <v>CLASS</v>
      </c>
      <c r="L528" s="62" t="str" cm="1">
        <f t="array" ref="L528">IF($B528=0,IF($E528=0,"",IF(INDEX(DMAV_Dienste!O$6:O$140,$E528)="","",INDEX(DMAV_Dienste!O$6:O$140,$E528))),IF(INDEX(DMAV_Modell!P$6:P$838,$B528)="","",INDEX(DMAV_Modell!P$6:P$838,$B528)))</f>
        <v>Grundstuecke</v>
      </c>
      <c r="M528" s="62" t="str" cm="1">
        <f t="array" ref="M528">IF($B528=0,IF($E528=0,"",IF(INDEX(DMAV_Dienste!Q$6:Q$140,$E528)="","",INDEX(DMAV_Dienste!Q$6:Q$140,$E528))),IF(INDEX(DMAV_Modell!R$6:R$838,$B528)="","",INDEX(DMAV_Modell!R$6:R$838,$B528)))</f>
        <v>Grundstueck</v>
      </c>
      <c r="N528" s="62" t="str" cm="1">
        <f t="array" ref="N528">IF($B528=0,IF($E528=0,"",IF(INDEX(DMAV_Dienste!T$6:T$140,$E528)="","",INDEX(DMAV_Dienste!T$6:T$140,$E528))),IF(INDEX(DMAV_Modell!U$6:U$838,$B528)="","",INDEX(DMAV_Modell!U$6:U$838,$B528)))</f>
        <v>IstVollstaendig</v>
      </c>
      <c r="O528" s="63" t="str" cm="1">
        <f t="array" aca="1" ref="O528" ca="1">IF(C528=0,IF(F528=0,"",HYPERLINK("#"&amp;RIGHT(CELL("adresse",OFFSET(DMAV_Dienste!$M$6,F528-1,0)),LEN(CELL("adresse",OFFSET(DMAV_Dienste!$M$6,F528-1,0)))-FIND("]",CELL("adresse",OFFSET(DMAV_Dienste!$M$6,F528-1,0)))),"Structure")),HYPERLINK("#"&amp;RIGHT(CELL("adresse",OFFSET(DMAV_Modell!$N$6,C528-1,0)),LEN(CELL("adresse",OFFSET(DMAV_Modell!$N$6,C528-1,0)))-FIND("]",CELL("adresse",OFFSET(DMAV_Modell!$N$6,C528-1,0)))),"Structure"))</f>
        <v/>
      </c>
      <c r="P528" s="64" t="str" cm="1">
        <f t="array" aca="1" ref="P528" ca="1">IF(D528=0,IF(G528=0,"",HYPERLINK("#"&amp;RIGHT(CELL("adresse",OFFSET(DMAV_Dienste!$M$6,G528-1,0)),LEN(CELL("adresse",OFFSET(DMAV_Dienste!$M$6,G528-1,0)))-FIND("]",CELL("adresse",OFFSET(DMAV_Dienste!$M$6,G528-1,0)))),"Substructure")),HYPERLINK("#"&amp;RIGHT(CELL("adresse",OFFSET(DMAV_Modell!$N$6,D528-1,0)),LEN(CELL("adresse",OFFSET(DMAV_Modell!$N$6,D528-1,0)))-FIND("]",CELL("adresse",OFFSET(DMAV_Modell!$N$6,D528-1,0)))),"Substructure"))</f>
        <v/>
      </c>
      <c r="R528" s="80"/>
      <c r="T528" s="93"/>
      <c r="U528" s="94"/>
      <c r="V528" s="95"/>
      <c r="W528" s="96"/>
      <c r="Y528" s="85" t="s">
        <v>3111</v>
      </c>
      <c r="Z528" s="86" t="s">
        <v>2980</v>
      </c>
      <c r="AA528" s="87" t="s">
        <v>3116</v>
      </c>
      <c r="AB528" s="88"/>
      <c r="AD528" s="77" t="s">
        <v>3015</v>
      </c>
      <c r="AF528" s="54" t="str" cm="1">
        <f t="array" aca="1" ref="AF528" ca="1">IF(H528=0,"",HYPERLINK("#"&amp;RIGHT(CELL("adresse",OFFSET('DM01-AV-CH'!$G$6,H528-1,0)),LEN(CELL("adresse",OFFSET('DM01-AV-CH'!$G$6,H528-1,0)))-FIND("]",CELL("adresse",OFFSET('DM01-AV-CH'!$G$6,H528-1,0)))),"Modell"))</f>
        <v>Modell</v>
      </c>
      <c r="AG528" s="72" t="str" cm="1">
        <f t="array" ref="AG528">IF($H528=0,"",IF(INDEX('DM01-AV-CH'!G$6:G$834,$H528)="","",INDEX('DM01-AV-CH'!G$6:G$834,$H528)))</f>
        <v>Liegenschaften</v>
      </c>
      <c r="AH528" s="73" t="str" cm="1">
        <f t="array" ref="AH528">IF($H528=0,"",IF(INDEX('DM01-AV-CH'!H$6:H$834,$H528)="","",INDEX('DM01-AV-CH'!H$6:H$834,$H528)))</f>
        <v>Grundstueck</v>
      </c>
      <c r="AI528" s="74" t="str" cm="1">
        <f t="array" ref="AI528">IF($H528=0,"",IF(INDEX('DM01-AV-CH'!I$6:I$834,$H528)="","",INDEX('DM01-AV-CH'!I$6:I$834,$H528)))</f>
        <v>Vollstaendigkeit</v>
      </c>
    </row>
    <row r="529" spans="1:35" ht="71.25" x14ac:dyDescent="0.25">
      <c r="A529" s="57">
        <v>524</v>
      </c>
      <c r="B529" s="57">
        <f>IF($A529="","",IF(_xlfn.XLOOKUP($A529,Korrelation!$D$4:$D$1197,Korrelation!E$4:E$1197,"-",0)="-",0,MATCH(_xlfn.XLOOKUP($A529,Korrelation!$D$4:$D$1197,Korrelation!E$4:E$1197,"",0),DMAV_Modell!$G$6:$G$677,0)))</f>
        <v>244</v>
      </c>
      <c r="C529" s="57">
        <f>IF($A529="","",IF(_xlfn.XLOOKUP($A529,Korrelation!$D$4:$D$1197,Korrelation!F$4:F$1197,"-",0)="-",0,MATCH(_xlfn.XLOOKUP($A529,Korrelation!$D$4:$D$1197,Korrelation!F$4:F$1197,"",0),DMAV_Modell!$G$6:$G$677,0)))</f>
        <v>0</v>
      </c>
      <c r="D529" s="57">
        <f>IF($A529="","",IF(_xlfn.XLOOKUP($A529,Korrelation!$D$4:$D$1197,Korrelation!G$4:G$1197,"-",0)="-",0,MATCH(_xlfn.XLOOKUP($A529,Korrelation!$D$4:$D$1197,Korrelation!G$4:G$1197,"",0),DMAV_Modell!$G$6:$G$677,0)))</f>
        <v>0</v>
      </c>
      <c r="E529" s="57">
        <f>IF($A529="","",IF(_xlfn.XLOOKUP($A529,Korrelation!$D$4:$D$1197,Korrelation!H$4:H$1197,"-",0)="-",0,MATCH(_xlfn.XLOOKUP($A529,Korrelation!$D$4:$D$1197,Korrelation!H$4:H$1197,"",0),DMAV_Dienste!$F$6:$F$140,0)))</f>
        <v>0</v>
      </c>
      <c r="F529" s="57">
        <f>IF($A529="","",IF(_xlfn.XLOOKUP($A529,Korrelation!$D$4:$D$1197,Korrelation!I$4:I$1197,"-",0)="-",0,MATCH(_xlfn.XLOOKUP($A529,Korrelation!$D$4:$D$1197,Korrelation!I$4:I$1197,"",0),DMAV_Dienste!$F$6:$F$140,0)))</f>
        <v>0</v>
      </c>
      <c r="G529" s="57">
        <f>IF($A529="","",IF(_xlfn.XLOOKUP($A529,Korrelation!$D$4:$D$1197,Korrelation!J$4:J$1197,"-",0)="-",0,MATCH(_xlfn.XLOOKUP($A529,Korrelation!$D$4:$D$1197,Korrelation!J$4:J$1197,"",0),DMAV_Dienste!$F$6:$F$140,0)))</f>
        <v>0</v>
      </c>
      <c r="H529" s="57">
        <f>IF($A529="","",IF(_xlfn.XLOOKUP($A529,Korrelation!$D$4:$D$1197,Korrelation!K$4:K$1197,"-",0)="-",0,MATCH(_xlfn.XLOOKUP($A529,Korrelation!$D$4:$D$1197,Korrelation!K$4:K$1197,"",0),'DM01-AV-CH'!$A$6:$A$834,0)))</f>
        <v>476</v>
      </c>
      <c r="J529" s="54" t="str" cm="1">
        <f t="array" aca="1" ref="J529" ca="1">IF(B529=0,IF(E529=0,"",HYPERLINK("#"&amp;RIGHT(CELL("adresse",OFFSET(DMAV_Dienste!$M$6,E529-1,0)),LEN(CELL("adresse",OFFSET(DMAV_Dienste!$M$6,E529-1,0)))-FIND("]",CELL("adresse",OFFSET(DMAV_Dienste!$M$6,E529-1,0)))),"Dienst")),HYPERLINK("#"&amp;RIGHT(CELL("adresse",OFFSET(DMAV_Modell!$N$6,B529-1,0)),LEN(CELL("adresse",OFFSET(DMAV_Modell!$N$6,B529-1,0)))-FIND("]",CELL("adresse",OFFSET(DMAV_Modell!$N$6,B529-1,0)))),"Modell"))</f>
        <v>Modell</v>
      </c>
      <c r="K529" s="61" t="str" cm="1">
        <f t="array" ref="K529">IF($B529=0,IF($E529=0,"",IF(INDEX(DMAV_Dienste!P$6:P$140,$E529)="","",INDEX(DMAV_Dienste!P$6:P$140,$E529))),IF(INDEX(DMAV_Modell!Q$6:Q$838,$B529)="","",INDEX(DMAV_Modell!Q$6:Q$838,$B529)))</f>
        <v>CLASS</v>
      </c>
      <c r="L529" s="62" t="str" cm="1">
        <f t="array" ref="L529">IF($B529=0,IF($E529=0,"",IF(INDEX(DMAV_Dienste!O$6:O$140,$E529)="","",INDEX(DMAV_Dienste!O$6:O$140,$E529))),IF(INDEX(DMAV_Modell!P$6:P$838,$B529)="","",INDEX(DMAV_Modell!P$6:P$838,$B529)))</f>
        <v>Grundstuecke</v>
      </c>
      <c r="M529" s="62" t="str" cm="1">
        <f t="array" ref="M529">IF($B529=0,IF($E529=0,"",IF(INDEX(DMAV_Dienste!Q$6:Q$140,$E529)="","",INDEX(DMAV_Dienste!Q$6:Q$140,$E529))),IF(INDEX(DMAV_Modell!R$6:R$838,$B529)="","",INDEX(DMAV_Modell!R$6:R$838,$B529)))</f>
        <v>Grundstueck</v>
      </c>
      <c r="N529" s="62" t="str" cm="1">
        <f t="array" ref="N529">IF($B529=0,IF($E529=0,"",IF(INDEX(DMAV_Dienste!T$6:T$140,$E529)="","",INDEX(DMAV_Dienste!T$6:T$140,$E529))),IF(INDEX(DMAV_Modell!U$6:U$838,$B529)="","",INDEX(DMAV_Modell!U$6:U$838,$B529)))</f>
        <v>Grundstuecksart</v>
      </c>
      <c r="O529" s="63" t="str" cm="1">
        <f t="array" aca="1" ref="O529" ca="1">IF(C529=0,IF(F529=0,"",HYPERLINK("#"&amp;RIGHT(CELL("adresse",OFFSET(DMAV_Dienste!$M$6,F529-1,0)),LEN(CELL("adresse",OFFSET(DMAV_Dienste!$M$6,F529-1,0)))-FIND("]",CELL("adresse",OFFSET(DMAV_Dienste!$M$6,F529-1,0)))),"Structure")),HYPERLINK("#"&amp;RIGHT(CELL("adresse",OFFSET(DMAV_Modell!$N$6,C529-1,0)),LEN(CELL("adresse",OFFSET(DMAV_Modell!$N$6,C529-1,0)))-FIND("]",CELL("adresse",OFFSET(DMAV_Modell!$N$6,C529-1,0)))),"Structure"))</f>
        <v/>
      </c>
      <c r="P529" s="64" t="str" cm="1">
        <f t="array" aca="1" ref="P529" ca="1">IF(D529=0,IF(G529=0,"",HYPERLINK("#"&amp;RIGHT(CELL("adresse",OFFSET(DMAV_Dienste!$M$6,G529-1,0)),LEN(CELL("adresse",OFFSET(DMAV_Dienste!$M$6,G529-1,0)))-FIND("]",CELL("adresse",OFFSET(DMAV_Dienste!$M$6,G529-1,0)))),"Substructure")),HYPERLINK("#"&amp;RIGHT(CELL("adresse",OFFSET(DMAV_Modell!$N$6,D529-1,0)),LEN(CELL("adresse",OFFSET(DMAV_Modell!$N$6,D529-1,0)))-FIND("]",CELL("adresse",OFFSET(DMAV_Modell!$N$6,D529-1,0)))),"Substructure"))</f>
        <v/>
      </c>
      <c r="R529" s="80"/>
      <c r="T529" s="93"/>
      <c r="U529" s="94"/>
      <c r="V529" s="95"/>
      <c r="W529" s="96"/>
      <c r="Y529" s="85" t="s">
        <v>3111</v>
      </c>
      <c r="Z529" s="86" t="s">
        <v>2980</v>
      </c>
      <c r="AA529" s="87" t="s">
        <v>3321</v>
      </c>
      <c r="AB529" s="88"/>
      <c r="AD529" s="77"/>
      <c r="AF529" s="54" t="str" cm="1">
        <f t="array" aca="1" ref="AF529" ca="1">IF(H529=0,"",HYPERLINK("#"&amp;RIGHT(CELL("adresse",OFFSET('DM01-AV-CH'!$G$6,H529-1,0)),LEN(CELL("adresse",OFFSET('DM01-AV-CH'!$G$6,H529-1,0)))-FIND("]",CELL("adresse",OFFSET('DM01-AV-CH'!$G$6,H529-1,0)))),"Modell"))</f>
        <v>Modell</v>
      </c>
      <c r="AG529" s="72" t="str" cm="1">
        <f t="array" ref="AG529">IF($H529=0,"",IF(INDEX('DM01-AV-CH'!G$6:G$834,$H529)="","",INDEX('DM01-AV-CH'!G$6:G$834,$H529)))</f>
        <v>Liegenschaften</v>
      </c>
      <c r="AH529" s="73" t="str" cm="1">
        <f t="array" ref="AH529">IF($H529=0,"",IF(INDEX('DM01-AV-CH'!H$6:H$834,$H529)="","",INDEX('DM01-AV-CH'!H$6:H$834,$H529)))</f>
        <v>Grundstueck</v>
      </c>
      <c r="AI529" s="74" t="str" cm="1">
        <f t="array" ref="AI529">IF($H529=0,"",IF(INDEX('DM01-AV-CH'!I$6:I$834,$H529)="","",INDEX('DM01-AV-CH'!I$6:I$834,$H529)))</f>
        <v>Art</v>
      </c>
    </row>
    <row r="530" spans="1:35" x14ac:dyDescent="0.25">
      <c r="A530" s="57">
        <v>525</v>
      </c>
      <c r="B530" s="57">
        <f>IF($A530="","",IF(_xlfn.XLOOKUP($A530,Korrelation!$D$4:$D$1197,Korrelation!E$4:E$1197,"-",0)="-",0,MATCH(_xlfn.XLOOKUP($A530,Korrelation!$D$4:$D$1197,Korrelation!E$4:E$1197,"",0),DMAV_Modell!$G$6:$G$677,0)))</f>
        <v>245</v>
      </c>
      <c r="C530" s="57">
        <f>IF($A530="","",IF(_xlfn.XLOOKUP($A530,Korrelation!$D$4:$D$1197,Korrelation!F$4:F$1197,"-",0)="-",0,MATCH(_xlfn.XLOOKUP($A530,Korrelation!$D$4:$D$1197,Korrelation!F$4:F$1197,"",0),DMAV_Modell!$G$6:$G$677,0)))</f>
        <v>26</v>
      </c>
      <c r="D530" s="57">
        <f>IF($A530="","",IF(_xlfn.XLOOKUP($A530,Korrelation!$D$4:$D$1197,Korrelation!G$4:G$1197,"-",0)="-",0,MATCH(_xlfn.XLOOKUP($A530,Korrelation!$D$4:$D$1197,Korrelation!G$4:G$1197,"",0),DMAV_Modell!$G$6:$G$677,0)))</f>
        <v>0</v>
      </c>
      <c r="E530" s="57">
        <f>IF($A530="","",IF(_xlfn.XLOOKUP($A530,Korrelation!$D$4:$D$1197,Korrelation!H$4:H$1197,"-",0)="-",0,MATCH(_xlfn.XLOOKUP($A530,Korrelation!$D$4:$D$1197,Korrelation!H$4:H$1197,"",0),DMAV_Dienste!$F$6:$F$140,0)))</f>
        <v>0</v>
      </c>
      <c r="F530" s="57">
        <f>IF($A530="","",IF(_xlfn.XLOOKUP($A530,Korrelation!$D$4:$D$1197,Korrelation!I$4:I$1197,"-",0)="-",0,MATCH(_xlfn.XLOOKUP($A530,Korrelation!$D$4:$D$1197,Korrelation!I$4:I$1197,"",0),DMAV_Dienste!$F$6:$F$140,0)))</f>
        <v>0</v>
      </c>
      <c r="G530" s="57">
        <f>IF($A530="","",IF(_xlfn.XLOOKUP($A530,Korrelation!$D$4:$D$1197,Korrelation!J$4:J$1197,"-",0)="-",0,MATCH(_xlfn.XLOOKUP($A530,Korrelation!$D$4:$D$1197,Korrelation!J$4:J$1197,"",0),DMAV_Dienste!$F$6:$F$140,0)))</f>
        <v>0</v>
      </c>
      <c r="H530" s="57">
        <f>IF($A530="","",IF(_xlfn.XLOOKUP($A530,Korrelation!$D$4:$D$1197,Korrelation!K$4:K$1197,"-",0)="-",0,MATCH(_xlfn.XLOOKUP($A530,Korrelation!$D$4:$D$1197,Korrelation!K$4:K$1197,"",0),'DM01-AV-CH'!$A$6:$A$834,0)))</f>
        <v>0</v>
      </c>
      <c r="J530" s="54" t="str" cm="1">
        <f t="array" aca="1" ref="J530" ca="1">IF(B530=0,IF(E530=0,"",HYPERLINK("#"&amp;RIGHT(CELL("adresse",OFFSET(DMAV_Dienste!$M$6,E530-1,0)),LEN(CELL("adresse",OFFSET(DMAV_Dienste!$M$6,E530-1,0)))-FIND("]",CELL("adresse",OFFSET(DMAV_Dienste!$M$6,E530-1,0)))),"Dienst")),HYPERLINK("#"&amp;RIGHT(CELL("adresse",OFFSET(DMAV_Modell!$N$6,B530-1,0)),LEN(CELL("adresse",OFFSET(DMAV_Modell!$N$6,B530-1,0)))-FIND("]",CELL("adresse",OFFSET(DMAV_Modell!$N$6,B530-1,0)))),"Modell"))</f>
        <v>Modell</v>
      </c>
      <c r="K530" s="61" t="str" cm="1">
        <f t="array" ref="K530">IF($B530=0,IF($E530=0,"",IF(INDEX(DMAV_Dienste!P$6:P$140,$E530)="","",INDEX(DMAV_Dienste!P$6:P$140,$E530))),IF(INDEX(DMAV_Modell!Q$6:Q$838,$B530)="","",INDEX(DMAV_Modell!Q$6:Q$838,$B530)))</f>
        <v>CLASS</v>
      </c>
      <c r="L530" s="62" t="str" cm="1">
        <f t="array" ref="L530">IF($B530=0,IF($E530=0,"",IF(INDEX(DMAV_Dienste!O$6:O$140,$E530)="","",INDEX(DMAV_Dienste!O$6:O$140,$E530))),IF(INDEX(DMAV_Modell!P$6:P$838,$B530)="","",INDEX(DMAV_Modell!P$6:P$838,$B530)))</f>
        <v>Grundstuecke</v>
      </c>
      <c r="M530" s="62" t="str" cm="1">
        <f t="array" ref="M530">IF($B530=0,IF($E530=0,"",IF(INDEX(DMAV_Dienste!Q$6:Q$140,$E530)="","",INDEX(DMAV_Dienste!Q$6:Q$140,$E530))),IF(INDEX(DMAV_Modell!R$6:R$838,$B530)="","",INDEX(DMAV_Modell!R$6:R$838,$B530)))</f>
        <v>Grundstueck</v>
      </c>
      <c r="N530" s="62" t="str" cm="1">
        <f t="array" ref="N530">IF($B530=0,IF($E530=0,"",IF(INDEX(DMAV_Dienste!T$6:T$140,$E530)="","",INDEX(DMAV_Dienste!T$6:T$140,$E530))),IF(INDEX(DMAV_Modell!U$6:U$838,$B530)="","",INDEX(DMAV_Modell!U$6:U$838,$B530)))</f>
        <v>Textposition</v>
      </c>
      <c r="O530" s="63" t="str" cm="1">
        <f t="array" aca="1" ref="O530" ca="1">IF(C530=0,IF(F530=0,"",HYPERLINK("#"&amp;RIGHT(CELL("adresse",OFFSET(DMAV_Dienste!$M$6,F530-1,0)),LEN(CELL("adresse",OFFSET(DMAV_Dienste!$M$6,F530-1,0)))-FIND("]",CELL("adresse",OFFSET(DMAV_Dienste!$M$6,F530-1,0)))),"Structure")),HYPERLINK("#"&amp;RIGHT(CELL("adresse",OFFSET(DMAV_Modell!$N$6,C530-1,0)),LEN(CELL("adresse",OFFSET(DMAV_Modell!$N$6,C530-1,0)))-FIND("]",CELL("adresse",OFFSET(DMAV_Modell!$N$6,C530-1,0)))),"Structure"))</f>
        <v>Structure</v>
      </c>
      <c r="P530" s="64" t="str" cm="1">
        <f t="array" aca="1" ref="P530" ca="1">IF(D530=0,IF(G530=0,"",HYPERLINK("#"&amp;RIGHT(CELL("adresse",OFFSET(DMAV_Dienste!$M$6,G530-1,0)),LEN(CELL("adresse",OFFSET(DMAV_Dienste!$M$6,G530-1,0)))-FIND("]",CELL("adresse",OFFSET(DMAV_Dienste!$M$6,G530-1,0)))),"Substructure")),HYPERLINK("#"&amp;RIGHT(CELL("adresse",OFFSET(DMAV_Modell!$N$6,D530-1,0)),LEN(CELL("adresse",OFFSET(DMAV_Modell!$N$6,D530-1,0)))-FIND("]",CELL("adresse",OFFSET(DMAV_Modell!$N$6,D530-1,0)))),"Substructure"))</f>
        <v/>
      </c>
      <c r="R530" s="80"/>
      <c r="T530" s="93"/>
      <c r="U530" s="94"/>
      <c r="V530" s="95"/>
      <c r="W530" s="96"/>
      <c r="Y530" s="85"/>
      <c r="Z530" s="86"/>
      <c r="AA530" s="87"/>
      <c r="AB530" s="88"/>
      <c r="AD530" s="77"/>
      <c r="AF530" s="54" t="str" cm="1">
        <f t="array" aca="1" ref="AF530" ca="1">IF(H530=0,"",HYPERLINK("#"&amp;RIGHT(CELL("adresse",OFFSET('DM01-AV-CH'!$G$6,H530-1,0)),LEN(CELL("adresse",OFFSET('DM01-AV-CH'!$G$6,H530-1,0)))-FIND("]",CELL("adresse",OFFSET('DM01-AV-CH'!$G$6,H530-1,0)))),"Modell"))</f>
        <v/>
      </c>
      <c r="AG530" s="72" t="str" cm="1">
        <f t="array" ref="AG530">IF($H530=0,"",IF(INDEX('DM01-AV-CH'!G$6:G$834,$H530)="","",INDEX('DM01-AV-CH'!G$6:G$834,$H530)))</f>
        <v/>
      </c>
      <c r="AH530" s="73" t="str" cm="1">
        <f t="array" ref="AH530">IF($H530=0,"",IF(INDEX('DM01-AV-CH'!H$6:H$834,$H530)="","",INDEX('DM01-AV-CH'!H$6:H$834,$H530)))</f>
        <v/>
      </c>
      <c r="AI530" s="74" t="str" cm="1">
        <f t="array" ref="AI530">IF($H530=0,"",IF(INDEX('DM01-AV-CH'!I$6:I$834,$H530)="","",INDEX('DM01-AV-CH'!I$6:I$834,$H530)))</f>
        <v/>
      </c>
    </row>
    <row r="531" spans="1:35" x14ac:dyDescent="0.25">
      <c r="A531" s="57">
        <v>526</v>
      </c>
      <c r="B531" s="57">
        <f>IF($A531="","",IF(_xlfn.XLOOKUP($A531,Korrelation!$D$4:$D$1197,Korrelation!E$4:E$1197,"-",0)="-",0,MATCH(_xlfn.XLOOKUP($A531,Korrelation!$D$4:$D$1197,Korrelation!E$4:E$1197,"",0),DMAV_Modell!$G$6:$G$677,0)))</f>
        <v>0</v>
      </c>
      <c r="C531" s="57">
        <f>IF($A531="","",IF(_xlfn.XLOOKUP($A531,Korrelation!$D$4:$D$1197,Korrelation!F$4:F$1197,"-",0)="-",0,MATCH(_xlfn.XLOOKUP($A531,Korrelation!$D$4:$D$1197,Korrelation!F$4:F$1197,"",0),DMAV_Modell!$G$6:$G$677,0)))</f>
        <v>0</v>
      </c>
      <c r="D531" s="57">
        <f>IF($A531="","",IF(_xlfn.XLOOKUP($A531,Korrelation!$D$4:$D$1197,Korrelation!G$4:G$1197,"-",0)="-",0,MATCH(_xlfn.XLOOKUP($A531,Korrelation!$D$4:$D$1197,Korrelation!G$4:G$1197,"",0),DMAV_Modell!$G$6:$G$677,0)))</f>
        <v>0</v>
      </c>
      <c r="E531" s="57">
        <f>IF($A531="","",IF(_xlfn.XLOOKUP($A531,Korrelation!$D$4:$D$1197,Korrelation!H$4:H$1197,"-",0)="-",0,MATCH(_xlfn.XLOOKUP($A531,Korrelation!$D$4:$D$1197,Korrelation!H$4:H$1197,"",0),DMAV_Dienste!$F$6:$F$140,0)))</f>
        <v>0</v>
      </c>
      <c r="F531" s="57">
        <f>IF($A531="","",IF(_xlfn.XLOOKUP($A531,Korrelation!$D$4:$D$1197,Korrelation!I$4:I$1197,"-",0)="-",0,MATCH(_xlfn.XLOOKUP($A531,Korrelation!$D$4:$D$1197,Korrelation!I$4:I$1197,"",0),DMAV_Dienste!$F$6:$F$140,0)))</f>
        <v>0</v>
      </c>
      <c r="G531" s="57">
        <f>IF($A531="","",IF(_xlfn.XLOOKUP($A531,Korrelation!$D$4:$D$1197,Korrelation!J$4:J$1197,"-",0)="-",0,MATCH(_xlfn.XLOOKUP($A531,Korrelation!$D$4:$D$1197,Korrelation!J$4:J$1197,"",0),DMAV_Dienste!$F$6:$F$140,0)))</f>
        <v>0</v>
      </c>
      <c r="H531" s="57">
        <f>IF($A531="","",IF(_xlfn.XLOOKUP($A531,Korrelation!$D$4:$D$1197,Korrelation!K$4:K$1197,"-",0)="-",0,MATCH(_xlfn.XLOOKUP($A531,Korrelation!$D$4:$D$1197,Korrelation!K$4:K$1197,"",0),'DM01-AV-CH'!$A$6:$A$834,0)))</f>
        <v>478</v>
      </c>
      <c r="J531" s="54" t="str" cm="1">
        <f t="array" aca="1" ref="J531" ca="1">IF(B531=0,IF(E531=0,"",HYPERLINK("#"&amp;RIGHT(CELL("adresse",OFFSET(DMAV_Dienste!$M$6,E531-1,0)),LEN(CELL("adresse",OFFSET(DMAV_Dienste!$M$6,E531-1,0)))-FIND("]",CELL("adresse",OFFSET(DMAV_Dienste!$M$6,E531-1,0)))),"Dienst")),HYPERLINK("#"&amp;RIGHT(CELL("adresse",OFFSET(DMAV_Modell!$N$6,B531-1,0)),LEN(CELL("adresse",OFFSET(DMAV_Modell!$N$6,B531-1,0)))-FIND("]",CELL("adresse",OFFSET(DMAV_Modell!$N$6,B531-1,0)))),"Modell"))</f>
        <v/>
      </c>
      <c r="K531" s="61" t="str" cm="1">
        <f t="array" ref="K531">IF($B531=0,IF($E531=0,"",IF(INDEX(DMAV_Dienste!P$6:P$140,$E531)="","",INDEX(DMAV_Dienste!P$6:P$140,$E531))),IF(INDEX(DMAV_Modell!Q$6:Q$838,$B531)="","",INDEX(DMAV_Modell!Q$6:Q$838,$B531)))</f>
        <v/>
      </c>
      <c r="L531" s="62" t="str" cm="1">
        <f t="array" ref="L531">IF($B531=0,IF($E531=0,"",IF(INDEX(DMAV_Dienste!O$6:O$140,$E531)="","",INDEX(DMAV_Dienste!O$6:O$140,$E531))),IF(INDEX(DMAV_Modell!P$6:P$838,$B531)="","",INDEX(DMAV_Modell!P$6:P$838,$B531)))</f>
        <v/>
      </c>
      <c r="M531" s="62" t="str" cm="1">
        <f t="array" ref="M531">IF($B531=0,IF($E531=0,"",IF(INDEX(DMAV_Dienste!Q$6:Q$140,$E531)="","",INDEX(DMAV_Dienste!Q$6:Q$140,$E531))),IF(INDEX(DMAV_Modell!R$6:R$838,$B531)="","",INDEX(DMAV_Modell!R$6:R$838,$B531)))</f>
        <v/>
      </c>
      <c r="N531" s="62" t="str" cm="1">
        <f t="array" ref="N531">IF($B531=0,IF($E531=0,"",IF(INDEX(DMAV_Dienste!T$6:T$140,$E531)="","",INDEX(DMAV_Dienste!T$6:T$140,$E531))),IF(INDEX(DMAV_Modell!U$6:U$838,$B531)="","",INDEX(DMAV_Modell!U$6:U$838,$B531)))</f>
        <v/>
      </c>
      <c r="O531" s="63" t="str" cm="1">
        <f t="array" aca="1" ref="O531" ca="1">IF(C531=0,IF(F531=0,"",HYPERLINK("#"&amp;RIGHT(CELL("adresse",OFFSET(DMAV_Dienste!$M$6,F531-1,0)),LEN(CELL("adresse",OFFSET(DMAV_Dienste!$M$6,F531-1,0)))-FIND("]",CELL("adresse",OFFSET(DMAV_Dienste!$M$6,F531-1,0)))),"Structure")),HYPERLINK("#"&amp;RIGHT(CELL("adresse",OFFSET(DMAV_Modell!$N$6,C531-1,0)),LEN(CELL("adresse",OFFSET(DMAV_Modell!$N$6,C531-1,0)))-FIND("]",CELL("adresse",OFFSET(DMAV_Modell!$N$6,C531-1,0)))),"Structure"))</f>
        <v/>
      </c>
      <c r="P531" s="64" t="str" cm="1">
        <f t="array" aca="1" ref="P531" ca="1">IF(D531=0,IF(G531=0,"",HYPERLINK("#"&amp;RIGHT(CELL("adresse",OFFSET(DMAV_Dienste!$M$6,G531-1,0)),LEN(CELL("adresse",OFFSET(DMAV_Dienste!$M$6,G531-1,0)))-FIND("]",CELL("adresse",OFFSET(DMAV_Dienste!$M$6,G531-1,0)))),"Substructure")),HYPERLINK("#"&amp;RIGHT(CELL("adresse",OFFSET(DMAV_Modell!$N$6,D531-1,0)),LEN(CELL("adresse",OFFSET(DMAV_Modell!$N$6,D531-1,0)))-FIND("]",CELL("adresse",OFFSET(DMAV_Modell!$N$6,D531-1,0)))),"Substructure"))</f>
        <v/>
      </c>
      <c r="R531" s="80"/>
      <c r="T531" s="93"/>
      <c r="U531" s="94"/>
      <c r="V531" s="95"/>
      <c r="W531" s="96"/>
      <c r="Y531" s="85"/>
      <c r="Z531" s="86"/>
      <c r="AA531" s="87"/>
      <c r="AB531" s="88"/>
      <c r="AD531" s="77"/>
      <c r="AF531" s="54" t="str" cm="1">
        <f t="array" aca="1" ref="AF531" ca="1">IF(H531=0,"",HYPERLINK("#"&amp;RIGHT(CELL("adresse",OFFSET('DM01-AV-CH'!$G$6,H531-1,0)),LEN(CELL("adresse",OFFSET('DM01-AV-CH'!$G$6,H531-1,0)))-FIND("]",CELL("adresse",OFFSET('DM01-AV-CH'!$G$6,H531-1,0)))),"Modell"))</f>
        <v>Modell</v>
      </c>
      <c r="AG531" s="72" t="str" cm="1">
        <f t="array" ref="AG531">IF($H531=0,"",IF(INDEX('DM01-AV-CH'!G$6:G$834,$H531)="","",INDEX('DM01-AV-CH'!G$6:G$834,$H531)))</f>
        <v>Liegenschaften</v>
      </c>
      <c r="AH531" s="73" t="str" cm="1">
        <f t="array" ref="AH531">IF($H531=0,"",IF(INDEX('DM01-AV-CH'!H$6:H$834,$H531)="","",INDEX('DM01-AV-CH'!H$6:H$834,$H531)))</f>
        <v>GrundstueckPos</v>
      </c>
      <c r="AI531" s="74" t="str" cm="1">
        <f t="array" ref="AI531">IF($H531=0,"",IF(INDEX('DM01-AV-CH'!I$6:I$834,$H531)="","",INDEX('DM01-AV-CH'!I$6:I$834,$H531)))</f>
        <v>GrundstueckPos_von</v>
      </c>
    </row>
    <row r="532" spans="1:35" ht="71.25" x14ac:dyDescent="0.25">
      <c r="A532" s="57">
        <v>527</v>
      </c>
      <c r="B532" s="57">
        <f>IF($A532="","",IF(_xlfn.XLOOKUP($A532,Korrelation!$D$4:$D$1197,Korrelation!E$4:E$1197,"-",0)="-",0,MATCH(_xlfn.XLOOKUP($A532,Korrelation!$D$4:$D$1197,Korrelation!E$4:E$1197,"",0),DMAV_Modell!$G$6:$G$677,0)))</f>
        <v>245</v>
      </c>
      <c r="C532" s="57">
        <f>IF($A532="","",IF(_xlfn.XLOOKUP($A532,Korrelation!$D$4:$D$1197,Korrelation!F$4:F$1197,"-",0)="-",0,MATCH(_xlfn.XLOOKUP($A532,Korrelation!$D$4:$D$1197,Korrelation!F$4:F$1197,"",0),DMAV_Modell!$G$6:$G$677,0)))</f>
        <v>26</v>
      </c>
      <c r="D532" s="57">
        <f>IF($A532="","",IF(_xlfn.XLOOKUP($A532,Korrelation!$D$4:$D$1197,Korrelation!G$4:G$1197,"-",0)="-",0,MATCH(_xlfn.XLOOKUP($A532,Korrelation!$D$4:$D$1197,Korrelation!G$4:G$1197,"",0),DMAV_Modell!$G$6:$G$677,0)))</f>
        <v>26</v>
      </c>
      <c r="E532" s="57">
        <f>IF($A532="","",IF(_xlfn.XLOOKUP($A532,Korrelation!$D$4:$D$1197,Korrelation!H$4:H$1197,"-",0)="-",0,MATCH(_xlfn.XLOOKUP($A532,Korrelation!$D$4:$D$1197,Korrelation!H$4:H$1197,"",0),DMAV_Dienste!$F$6:$F$140,0)))</f>
        <v>0</v>
      </c>
      <c r="F532" s="57">
        <f>IF($A532="","",IF(_xlfn.XLOOKUP($A532,Korrelation!$D$4:$D$1197,Korrelation!I$4:I$1197,"-",0)="-",0,MATCH(_xlfn.XLOOKUP($A532,Korrelation!$D$4:$D$1197,Korrelation!I$4:I$1197,"",0),DMAV_Dienste!$F$6:$F$140,0)))</f>
        <v>0</v>
      </c>
      <c r="G532" s="57">
        <f>IF($A532="","",IF(_xlfn.XLOOKUP($A532,Korrelation!$D$4:$D$1197,Korrelation!J$4:J$1197,"-",0)="-",0,MATCH(_xlfn.XLOOKUP($A532,Korrelation!$D$4:$D$1197,Korrelation!J$4:J$1197,"",0),DMAV_Dienste!$F$6:$F$140,0)))</f>
        <v>0</v>
      </c>
      <c r="H532" s="57">
        <f>IF($A532="","",IF(_xlfn.XLOOKUP($A532,Korrelation!$D$4:$D$1197,Korrelation!K$4:K$1197,"-",0)="-",0,MATCH(_xlfn.XLOOKUP($A532,Korrelation!$D$4:$D$1197,Korrelation!K$4:K$1197,"",0),'DM01-AV-CH'!$A$6:$A$834,0)))</f>
        <v>479</v>
      </c>
      <c r="J532" s="54" t="str" cm="1">
        <f t="array" aca="1" ref="J532" ca="1">IF(B532=0,IF(E532=0,"",HYPERLINK("#"&amp;RIGHT(CELL("adresse",OFFSET(DMAV_Dienste!$M$6,E532-1,0)),LEN(CELL("adresse",OFFSET(DMAV_Dienste!$M$6,E532-1,0)))-FIND("]",CELL("adresse",OFFSET(DMAV_Dienste!$M$6,E532-1,0)))),"Dienst")),HYPERLINK("#"&amp;RIGHT(CELL("adresse",OFFSET(DMAV_Modell!$N$6,B532-1,0)),LEN(CELL("adresse",OFFSET(DMAV_Modell!$N$6,B532-1,0)))-FIND("]",CELL("adresse",OFFSET(DMAV_Modell!$N$6,B532-1,0)))),"Modell"))</f>
        <v>Modell</v>
      </c>
      <c r="K532" s="61" t="str" cm="1">
        <f t="array" ref="K532">IF($B532=0,IF($E532=0,"",IF(INDEX(DMAV_Dienste!P$6:P$140,$E532)="","",INDEX(DMAV_Dienste!P$6:P$140,$E532))),IF(INDEX(DMAV_Modell!Q$6:Q$838,$B532)="","",INDEX(DMAV_Modell!Q$6:Q$838,$B532)))</f>
        <v>CLASS</v>
      </c>
      <c r="L532" s="62" t="str" cm="1">
        <f t="array" ref="L532">IF($B532=0,IF($E532=0,"",IF(INDEX(DMAV_Dienste!O$6:O$140,$E532)="","",INDEX(DMAV_Dienste!O$6:O$140,$E532))),IF(INDEX(DMAV_Modell!P$6:P$838,$B532)="","",INDEX(DMAV_Modell!P$6:P$838,$B532)))</f>
        <v>Grundstuecke</v>
      </c>
      <c r="M532" s="62" t="str" cm="1">
        <f t="array" ref="M532">IF($B532=0,IF($E532=0,"",IF(INDEX(DMAV_Dienste!Q$6:Q$140,$E532)="","",INDEX(DMAV_Dienste!Q$6:Q$140,$E532))),IF(INDEX(DMAV_Modell!R$6:R$838,$B532)="","",INDEX(DMAV_Modell!R$6:R$838,$B532)))</f>
        <v>Grundstueck</v>
      </c>
      <c r="N532" s="62" t="str" cm="1">
        <f t="array" ref="N532">IF($B532=0,IF($E532=0,"",IF(INDEX(DMAV_Dienste!T$6:T$140,$E532)="","",INDEX(DMAV_Dienste!T$6:T$140,$E532))),IF(INDEX(DMAV_Modell!U$6:U$838,$B532)="","",INDEX(DMAV_Modell!U$6:U$838,$B532)))</f>
        <v>Textposition</v>
      </c>
      <c r="O532" s="63" t="str" cm="1">
        <f t="array" aca="1" ref="O532" ca="1">IF(C532=0,IF(F532=0,"",HYPERLINK("#"&amp;RIGHT(CELL("adresse",OFFSET(DMAV_Dienste!$M$6,F532-1,0)),LEN(CELL("adresse",OFFSET(DMAV_Dienste!$M$6,F532-1,0)))-FIND("]",CELL("adresse",OFFSET(DMAV_Dienste!$M$6,F532-1,0)))),"Structure")),HYPERLINK("#"&amp;RIGHT(CELL("adresse",OFFSET(DMAV_Modell!$N$6,C532-1,0)),LEN(CELL("adresse",OFFSET(DMAV_Modell!$N$6,C532-1,0)))-FIND("]",CELL("adresse",OFFSET(DMAV_Modell!$N$6,C532-1,0)))),"Structure"))</f>
        <v>Structure</v>
      </c>
      <c r="P532" s="64" t="str" cm="1">
        <f t="array" aca="1" ref="P532" ca="1">IF(D532=0,IF(G532=0,"",HYPERLINK("#"&amp;RIGHT(CELL("adresse",OFFSET(DMAV_Dienste!$M$6,G532-1,0)),LEN(CELL("adresse",OFFSET(DMAV_Dienste!$M$6,G532-1,0)))-FIND("]",CELL("adresse",OFFSET(DMAV_Dienste!$M$6,G532-1,0)))),"Substructure")),HYPERLINK("#"&amp;RIGHT(CELL("adresse",OFFSET(DMAV_Modell!$N$6,D532-1,0)),LEN(CELL("adresse",OFFSET(DMAV_Modell!$N$6,D532-1,0)))-FIND("]",CELL("adresse",OFFSET(DMAV_Modell!$N$6,D532-1,0)))),"Substructure"))</f>
        <v>Substructure</v>
      </c>
      <c r="R532" s="80"/>
      <c r="T532" s="93"/>
      <c r="U532" s="94" t="s">
        <v>2980</v>
      </c>
      <c r="V532" s="95" t="s">
        <v>3140</v>
      </c>
      <c r="W532" s="96"/>
      <c r="Y532" s="85" t="s">
        <v>3111</v>
      </c>
      <c r="Z532" s="86" t="s">
        <v>2980</v>
      </c>
      <c r="AA532" s="87" t="s">
        <v>3119</v>
      </c>
      <c r="AB532" s="88"/>
      <c r="AD532" s="77"/>
      <c r="AF532" s="54" t="str" cm="1">
        <f t="array" aca="1" ref="AF532" ca="1">IF(H532=0,"",HYPERLINK("#"&amp;RIGHT(CELL("adresse",OFFSET('DM01-AV-CH'!$G$6,H532-1,0)),LEN(CELL("adresse",OFFSET('DM01-AV-CH'!$G$6,H532-1,0)))-FIND("]",CELL("adresse",OFFSET('DM01-AV-CH'!$G$6,H532-1,0)))),"Modell"))</f>
        <v>Modell</v>
      </c>
      <c r="AG532" s="72" t="str" cm="1">
        <f t="array" ref="AG532">IF($H532=0,"",IF(INDEX('DM01-AV-CH'!G$6:G$834,$H532)="","",INDEX('DM01-AV-CH'!G$6:G$834,$H532)))</f>
        <v>Liegenschaften</v>
      </c>
      <c r="AH532" s="73" t="str" cm="1">
        <f t="array" ref="AH532">IF($H532=0,"",IF(INDEX('DM01-AV-CH'!H$6:H$834,$H532)="","",INDEX('DM01-AV-CH'!H$6:H$834,$H532)))</f>
        <v>GrundstueckPos</v>
      </c>
      <c r="AI532" s="74" t="str" cm="1">
        <f t="array" ref="AI532">IF($H532=0,"",IF(INDEX('DM01-AV-CH'!I$6:I$834,$H532)="","",INDEX('DM01-AV-CH'!I$6:I$834,$H532)))</f>
        <v>Pos</v>
      </c>
    </row>
    <row r="533" spans="1:35" ht="71.25" x14ac:dyDescent="0.25">
      <c r="A533" s="57">
        <v>528</v>
      </c>
      <c r="B533" s="57">
        <f>IF($A533="","",IF(_xlfn.XLOOKUP($A533,Korrelation!$D$4:$D$1197,Korrelation!E$4:E$1197,"-",0)="-",0,MATCH(_xlfn.XLOOKUP($A533,Korrelation!$D$4:$D$1197,Korrelation!E$4:E$1197,"",0),DMAV_Modell!$G$6:$G$677,0)))</f>
        <v>245</v>
      </c>
      <c r="C533" s="57">
        <f>IF($A533="","",IF(_xlfn.XLOOKUP($A533,Korrelation!$D$4:$D$1197,Korrelation!F$4:F$1197,"-",0)="-",0,MATCH(_xlfn.XLOOKUP($A533,Korrelation!$D$4:$D$1197,Korrelation!F$4:F$1197,"",0),DMAV_Modell!$G$6:$G$677,0)))</f>
        <v>26</v>
      </c>
      <c r="D533" s="57">
        <f>IF($A533="","",IF(_xlfn.XLOOKUP($A533,Korrelation!$D$4:$D$1197,Korrelation!G$4:G$1197,"-",0)="-",0,MATCH(_xlfn.XLOOKUP($A533,Korrelation!$D$4:$D$1197,Korrelation!G$4:G$1197,"",0),DMAV_Modell!$G$6:$G$677,0)))</f>
        <v>27</v>
      </c>
      <c r="E533" s="57">
        <f>IF($A533="","",IF(_xlfn.XLOOKUP($A533,Korrelation!$D$4:$D$1197,Korrelation!H$4:H$1197,"-",0)="-",0,MATCH(_xlfn.XLOOKUP($A533,Korrelation!$D$4:$D$1197,Korrelation!H$4:H$1197,"",0),DMAV_Dienste!$F$6:$F$140,0)))</f>
        <v>0</v>
      </c>
      <c r="F533" s="57">
        <f>IF($A533="","",IF(_xlfn.XLOOKUP($A533,Korrelation!$D$4:$D$1197,Korrelation!I$4:I$1197,"-",0)="-",0,MATCH(_xlfn.XLOOKUP($A533,Korrelation!$D$4:$D$1197,Korrelation!I$4:I$1197,"",0),DMAV_Dienste!$F$6:$F$140,0)))</f>
        <v>0</v>
      </c>
      <c r="G533" s="57">
        <f>IF($A533="","",IF(_xlfn.XLOOKUP($A533,Korrelation!$D$4:$D$1197,Korrelation!J$4:J$1197,"-",0)="-",0,MATCH(_xlfn.XLOOKUP($A533,Korrelation!$D$4:$D$1197,Korrelation!J$4:J$1197,"",0),DMAV_Dienste!$F$6:$F$140,0)))</f>
        <v>0</v>
      </c>
      <c r="H533" s="57">
        <f>IF($A533="","",IF(_xlfn.XLOOKUP($A533,Korrelation!$D$4:$D$1197,Korrelation!K$4:K$1197,"-",0)="-",0,MATCH(_xlfn.XLOOKUP($A533,Korrelation!$D$4:$D$1197,Korrelation!K$4:K$1197,"",0),'DM01-AV-CH'!$A$6:$A$834,0)))</f>
        <v>480</v>
      </c>
      <c r="J533" s="54" t="str" cm="1">
        <f t="array" aca="1" ref="J533" ca="1">IF(B533=0,IF(E533=0,"",HYPERLINK("#"&amp;RIGHT(CELL("adresse",OFFSET(DMAV_Dienste!$M$6,E533-1,0)),LEN(CELL("adresse",OFFSET(DMAV_Dienste!$M$6,E533-1,0)))-FIND("]",CELL("adresse",OFFSET(DMAV_Dienste!$M$6,E533-1,0)))),"Dienst")),HYPERLINK("#"&amp;RIGHT(CELL("adresse",OFFSET(DMAV_Modell!$N$6,B533-1,0)),LEN(CELL("adresse",OFFSET(DMAV_Modell!$N$6,B533-1,0)))-FIND("]",CELL("adresse",OFFSET(DMAV_Modell!$N$6,B533-1,0)))),"Modell"))</f>
        <v>Modell</v>
      </c>
      <c r="K533" s="61" t="str" cm="1">
        <f t="array" ref="K533">IF($B533=0,IF($E533=0,"",IF(INDEX(DMAV_Dienste!P$6:P$140,$E533)="","",INDEX(DMAV_Dienste!P$6:P$140,$E533))),IF(INDEX(DMAV_Modell!Q$6:Q$838,$B533)="","",INDEX(DMAV_Modell!Q$6:Q$838,$B533)))</f>
        <v>CLASS</v>
      </c>
      <c r="L533" s="62" t="str" cm="1">
        <f t="array" ref="L533">IF($B533=0,IF($E533=0,"",IF(INDEX(DMAV_Dienste!O$6:O$140,$E533)="","",INDEX(DMAV_Dienste!O$6:O$140,$E533))),IF(INDEX(DMAV_Modell!P$6:P$838,$B533)="","",INDEX(DMAV_Modell!P$6:P$838,$B533)))</f>
        <v>Grundstuecke</v>
      </c>
      <c r="M533" s="62" t="str" cm="1">
        <f t="array" ref="M533">IF($B533=0,IF($E533=0,"",IF(INDEX(DMAV_Dienste!Q$6:Q$140,$E533)="","",INDEX(DMAV_Dienste!Q$6:Q$140,$E533))),IF(INDEX(DMAV_Modell!R$6:R$838,$B533)="","",INDEX(DMAV_Modell!R$6:R$838,$B533)))</f>
        <v>Grundstueck</v>
      </c>
      <c r="N533" s="62" t="str" cm="1">
        <f t="array" ref="N533">IF($B533=0,IF($E533=0,"",IF(INDEX(DMAV_Dienste!T$6:T$140,$E533)="","",INDEX(DMAV_Dienste!T$6:T$140,$E533))),IF(INDEX(DMAV_Modell!U$6:U$838,$B533)="","",INDEX(DMAV_Modell!U$6:U$838,$B533)))</f>
        <v>Textposition</v>
      </c>
      <c r="O533" s="63" t="str" cm="1">
        <f t="array" aca="1" ref="O533" ca="1">IF(C533=0,IF(F533=0,"",HYPERLINK("#"&amp;RIGHT(CELL("adresse",OFFSET(DMAV_Dienste!$M$6,F533-1,0)),LEN(CELL("adresse",OFFSET(DMAV_Dienste!$M$6,F533-1,0)))-FIND("]",CELL("adresse",OFFSET(DMAV_Dienste!$M$6,F533-1,0)))),"Structure")),HYPERLINK("#"&amp;RIGHT(CELL("adresse",OFFSET(DMAV_Modell!$N$6,C533-1,0)),LEN(CELL("adresse",OFFSET(DMAV_Modell!$N$6,C533-1,0)))-FIND("]",CELL("adresse",OFFSET(DMAV_Modell!$N$6,C533-1,0)))),"Structure"))</f>
        <v>Structure</v>
      </c>
      <c r="P533" s="64" t="str" cm="1">
        <f t="array" aca="1" ref="P533" ca="1">IF(D533=0,IF(G533=0,"",HYPERLINK("#"&amp;RIGHT(CELL("adresse",OFFSET(DMAV_Dienste!$M$6,G533-1,0)),LEN(CELL("adresse",OFFSET(DMAV_Dienste!$M$6,G533-1,0)))-FIND("]",CELL("adresse",OFFSET(DMAV_Dienste!$M$6,G533-1,0)))),"Substructure")),HYPERLINK("#"&amp;RIGHT(CELL("adresse",OFFSET(DMAV_Modell!$N$6,D533-1,0)),LEN(CELL("adresse",OFFSET(DMAV_Modell!$N$6,D533-1,0)))-FIND("]",CELL("adresse",OFFSET(DMAV_Modell!$N$6,D533-1,0)))),"Substructure"))</f>
        <v>Substructure</v>
      </c>
      <c r="R533" s="80"/>
      <c r="T533" s="93"/>
      <c r="U533" s="94" t="s">
        <v>2980</v>
      </c>
      <c r="V533" s="95" t="s">
        <v>3141</v>
      </c>
      <c r="W533" s="96"/>
      <c r="Y533" s="85" t="s">
        <v>3111</v>
      </c>
      <c r="Z533" s="86" t="s">
        <v>2980</v>
      </c>
      <c r="AA533" s="87" t="s">
        <v>3120</v>
      </c>
      <c r="AB533" s="88"/>
      <c r="AD533" s="77"/>
      <c r="AF533" s="54" t="str" cm="1">
        <f t="array" aca="1" ref="AF533" ca="1">IF(H533=0,"",HYPERLINK("#"&amp;RIGHT(CELL("adresse",OFFSET('DM01-AV-CH'!$G$6,H533-1,0)),LEN(CELL("adresse",OFFSET('DM01-AV-CH'!$G$6,H533-1,0)))-FIND("]",CELL("adresse",OFFSET('DM01-AV-CH'!$G$6,H533-1,0)))),"Modell"))</f>
        <v>Modell</v>
      </c>
      <c r="AG533" s="72" t="str" cm="1">
        <f t="array" ref="AG533">IF($H533=0,"",IF(INDEX('DM01-AV-CH'!G$6:G$834,$H533)="","",INDEX('DM01-AV-CH'!G$6:G$834,$H533)))</f>
        <v>Liegenschaften</v>
      </c>
      <c r="AH533" s="73" t="str" cm="1">
        <f t="array" ref="AH533">IF($H533=0,"",IF(INDEX('DM01-AV-CH'!H$6:H$834,$H533)="","",INDEX('DM01-AV-CH'!H$6:H$834,$H533)))</f>
        <v>GrundstueckPos</v>
      </c>
      <c r="AI533" s="74" t="str" cm="1">
        <f t="array" ref="AI533">IF($H533=0,"",IF(INDEX('DM01-AV-CH'!I$6:I$834,$H533)="","",INDEX('DM01-AV-CH'!I$6:I$834,$H533)))</f>
        <v>Ori</v>
      </c>
    </row>
    <row r="534" spans="1:35" ht="71.25" x14ac:dyDescent="0.25">
      <c r="A534" s="57">
        <v>529</v>
      </c>
      <c r="B534" s="57">
        <f>IF($A534="","",IF(_xlfn.XLOOKUP($A534,Korrelation!$D$4:$D$1197,Korrelation!E$4:E$1197,"-",0)="-",0,MATCH(_xlfn.XLOOKUP($A534,Korrelation!$D$4:$D$1197,Korrelation!E$4:E$1197,"",0),DMAV_Modell!$G$6:$G$677,0)))</f>
        <v>245</v>
      </c>
      <c r="C534" s="57">
        <f>IF($A534="","",IF(_xlfn.XLOOKUP($A534,Korrelation!$D$4:$D$1197,Korrelation!F$4:F$1197,"-",0)="-",0,MATCH(_xlfn.XLOOKUP($A534,Korrelation!$D$4:$D$1197,Korrelation!F$4:F$1197,"",0),DMAV_Modell!$G$6:$G$677,0)))</f>
        <v>26</v>
      </c>
      <c r="D534" s="57">
        <f>IF($A534="","",IF(_xlfn.XLOOKUP($A534,Korrelation!$D$4:$D$1197,Korrelation!G$4:G$1197,"-",0)="-",0,MATCH(_xlfn.XLOOKUP($A534,Korrelation!$D$4:$D$1197,Korrelation!G$4:G$1197,"",0),DMAV_Modell!$G$6:$G$677,0)))</f>
        <v>30</v>
      </c>
      <c r="E534" s="57">
        <f>IF($A534="","",IF(_xlfn.XLOOKUP($A534,Korrelation!$D$4:$D$1197,Korrelation!H$4:H$1197,"-",0)="-",0,MATCH(_xlfn.XLOOKUP($A534,Korrelation!$D$4:$D$1197,Korrelation!H$4:H$1197,"",0),DMAV_Dienste!$F$6:$F$140,0)))</f>
        <v>0</v>
      </c>
      <c r="F534" s="57">
        <f>IF($A534="","",IF(_xlfn.XLOOKUP($A534,Korrelation!$D$4:$D$1197,Korrelation!I$4:I$1197,"-",0)="-",0,MATCH(_xlfn.XLOOKUP($A534,Korrelation!$D$4:$D$1197,Korrelation!I$4:I$1197,"",0),DMAV_Dienste!$F$6:$F$140,0)))</f>
        <v>0</v>
      </c>
      <c r="G534" s="57">
        <f>IF($A534="","",IF(_xlfn.XLOOKUP($A534,Korrelation!$D$4:$D$1197,Korrelation!J$4:J$1197,"-",0)="-",0,MATCH(_xlfn.XLOOKUP($A534,Korrelation!$D$4:$D$1197,Korrelation!J$4:J$1197,"",0),DMAV_Dienste!$F$6:$F$140,0)))</f>
        <v>0</v>
      </c>
      <c r="H534" s="57">
        <f>IF($A534="","",IF(_xlfn.XLOOKUP($A534,Korrelation!$D$4:$D$1197,Korrelation!K$4:K$1197,"-",0)="-",0,MATCH(_xlfn.XLOOKUP($A534,Korrelation!$D$4:$D$1197,Korrelation!K$4:K$1197,"",0),'DM01-AV-CH'!$A$6:$A$834,0)))</f>
        <v>481</v>
      </c>
      <c r="J534" s="54" t="str" cm="1">
        <f t="array" aca="1" ref="J534" ca="1">IF(B534=0,IF(E534=0,"",HYPERLINK("#"&amp;RIGHT(CELL("adresse",OFFSET(DMAV_Dienste!$M$6,E534-1,0)),LEN(CELL("adresse",OFFSET(DMAV_Dienste!$M$6,E534-1,0)))-FIND("]",CELL("adresse",OFFSET(DMAV_Dienste!$M$6,E534-1,0)))),"Dienst")),HYPERLINK("#"&amp;RIGHT(CELL("adresse",OFFSET(DMAV_Modell!$N$6,B534-1,0)),LEN(CELL("adresse",OFFSET(DMAV_Modell!$N$6,B534-1,0)))-FIND("]",CELL("adresse",OFFSET(DMAV_Modell!$N$6,B534-1,0)))),"Modell"))</f>
        <v>Modell</v>
      </c>
      <c r="K534" s="61" t="str" cm="1">
        <f t="array" ref="K534">IF($B534=0,IF($E534=0,"",IF(INDEX(DMAV_Dienste!P$6:P$140,$E534)="","",INDEX(DMAV_Dienste!P$6:P$140,$E534))),IF(INDEX(DMAV_Modell!Q$6:Q$838,$B534)="","",INDEX(DMAV_Modell!Q$6:Q$838,$B534)))</f>
        <v>CLASS</v>
      </c>
      <c r="L534" s="62" t="str" cm="1">
        <f t="array" ref="L534">IF($B534=0,IF($E534=0,"",IF(INDEX(DMAV_Dienste!O$6:O$140,$E534)="","",INDEX(DMAV_Dienste!O$6:O$140,$E534))),IF(INDEX(DMAV_Modell!P$6:P$838,$B534)="","",INDEX(DMAV_Modell!P$6:P$838,$B534)))</f>
        <v>Grundstuecke</v>
      </c>
      <c r="M534" s="62" t="str" cm="1">
        <f t="array" ref="M534">IF($B534=0,IF($E534=0,"",IF(INDEX(DMAV_Dienste!Q$6:Q$140,$E534)="","",INDEX(DMAV_Dienste!Q$6:Q$140,$E534))),IF(INDEX(DMAV_Modell!R$6:R$838,$B534)="","",INDEX(DMAV_Modell!R$6:R$838,$B534)))</f>
        <v>Grundstueck</v>
      </c>
      <c r="N534" s="62" t="str" cm="1">
        <f t="array" ref="N534">IF($B534=0,IF($E534=0,"",IF(INDEX(DMAV_Dienste!T$6:T$140,$E534)="","",INDEX(DMAV_Dienste!T$6:T$140,$E534))),IF(INDEX(DMAV_Modell!U$6:U$838,$B534)="","",INDEX(DMAV_Modell!U$6:U$838,$B534)))</f>
        <v>Textposition</v>
      </c>
      <c r="O534" s="63" t="str" cm="1">
        <f t="array" aca="1" ref="O534" ca="1">IF(C534=0,IF(F534=0,"",HYPERLINK("#"&amp;RIGHT(CELL("adresse",OFFSET(DMAV_Dienste!$M$6,F534-1,0)),LEN(CELL("adresse",OFFSET(DMAV_Dienste!$M$6,F534-1,0)))-FIND("]",CELL("adresse",OFFSET(DMAV_Dienste!$M$6,F534-1,0)))),"Structure")),HYPERLINK("#"&amp;RIGHT(CELL("adresse",OFFSET(DMAV_Modell!$N$6,C534-1,0)),LEN(CELL("adresse",OFFSET(DMAV_Modell!$N$6,C534-1,0)))-FIND("]",CELL("adresse",OFFSET(DMAV_Modell!$N$6,C534-1,0)))),"Structure"))</f>
        <v>Structure</v>
      </c>
      <c r="P534" s="64" t="str" cm="1">
        <f t="array" aca="1" ref="P534" ca="1">IF(D534=0,IF(G534=0,"",HYPERLINK("#"&amp;RIGHT(CELL("adresse",OFFSET(DMAV_Dienste!$M$6,G534-1,0)),LEN(CELL("adresse",OFFSET(DMAV_Dienste!$M$6,G534-1,0)))-FIND("]",CELL("adresse",OFFSET(DMAV_Dienste!$M$6,G534-1,0)))),"Substructure")),HYPERLINK("#"&amp;RIGHT(CELL("adresse",OFFSET(DMAV_Modell!$N$6,D534-1,0)),LEN(CELL("adresse",OFFSET(DMAV_Modell!$N$6,D534-1,0)))-FIND("]",CELL("adresse",OFFSET(DMAV_Modell!$N$6,D534-1,0)))),"Substructure"))</f>
        <v>Substructure</v>
      </c>
      <c r="R534" s="80"/>
      <c r="T534" s="93"/>
      <c r="U534" s="94" t="s">
        <v>2980</v>
      </c>
      <c r="V534" s="95" t="s">
        <v>3142</v>
      </c>
      <c r="W534" s="96"/>
      <c r="Y534" s="85" t="s">
        <v>3111</v>
      </c>
      <c r="Z534" s="86" t="s">
        <v>2980</v>
      </c>
      <c r="AA534" s="87" t="s">
        <v>3121</v>
      </c>
      <c r="AB534" s="88"/>
      <c r="AD534" s="77"/>
      <c r="AF534" s="54" t="str" cm="1">
        <f t="array" aca="1" ref="AF534" ca="1">IF(H534=0,"",HYPERLINK("#"&amp;RIGHT(CELL("adresse",OFFSET('DM01-AV-CH'!$G$6,H534-1,0)),LEN(CELL("adresse",OFFSET('DM01-AV-CH'!$G$6,H534-1,0)))-FIND("]",CELL("adresse",OFFSET('DM01-AV-CH'!$G$6,H534-1,0)))),"Modell"))</f>
        <v>Modell</v>
      </c>
      <c r="AG534" s="72" t="str" cm="1">
        <f t="array" ref="AG534">IF($H534=0,"",IF(INDEX('DM01-AV-CH'!G$6:G$834,$H534)="","",INDEX('DM01-AV-CH'!G$6:G$834,$H534)))</f>
        <v>Liegenschaften</v>
      </c>
      <c r="AH534" s="73" t="str" cm="1">
        <f t="array" ref="AH534">IF($H534=0,"",IF(INDEX('DM01-AV-CH'!H$6:H$834,$H534)="","",INDEX('DM01-AV-CH'!H$6:H$834,$H534)))</f>
        <v>GrundstueckPos</v>
      </c>
      <c r="AI534" s="74" t="str" cm="1">
        <f t="array" ref="AI534">IF($H534=0,"",IF(INDEX('DM01-AV-CH'!I$6:I$834,$H534)="","",INDEX('DM01-AV-CH'!I$6:I$834,$H534)))</f>
        <v>HAli</v>
      </c>
    </row>
    <row r="535" spans="1:35" ht="71.25" x14ac:dyDescent="0.25">
      <c r="A535" s="57">
        <v>530</v>
      </c>
      <c r="B535" s="57">
        <f>IF($A535="","",IF(_xlfn.XLOOKUP($A535,Korrelation!$D$4:$D$1197,Korrelation!E$4:E$1197,"-",0)="-",0,MATCH(_xlfn.XLOOKUP($A535,Korrelation!$D$4:$D$1197,Korrelation!E$4:E$1197,"",0),DMAV_Modell!$G$6:$G$677,0)))</f>
        <v>245</v>
      </c>
      <c r="C535" s="57">
        <f>IF($A535="","",IF(_xlfn.XLOOKUP($A535,Korrelation!$D$4:$D$1197,Korrelation!F$4:F$1197,"-",0)="-",0,MATCH(_xlfn.XLOOKUP($A535,Korrelation!$D$4:$D$1197,Korrelation!F$4:F$1197,"",0),DMAV_Modell!$G$6:$G$677,0)))</f>
        <v>26</v>
      </c>
      <c r="D535" s="57">
        <f>IF($A535="","",IF(_xlfn.XLOOKUP($A535,Korrelation!$D$4:$D$1197,Korrelation!G$4:G$1197,"-",0)="-",0,MATCH(_xlfn.XLOOKUP($A535,Korrelation!$D$4:$D$1197,Korrelation!G$4:G$1197,"",0),DMAV_Modell!$G$6:$G$677,0)))</f>
        <v>31</v>
      </c>
      <c r="E535" s="57">
        <f>IF($A535="","",IF(_xlfn.XLOOKUP($A535,Korrelation!$D$4:$D$1197,Korrelation!H$4:H$1197,"-",0)="-",0,MATCH(_xlfn.XLOOKUP($A535,Korrelation!$D$4:$D$1197,Korrelation!H$4:H$1197,"",0),DMAV_Dienste!$F$6:$F$140,0)))</f>
        <v>0</v>
      </c>
      <c r="F535" s="57">
        <f>IF($A535="","",IF(_xlfn.XLOOKUP($A535,Korrelation!$D$4:$D$1197,Korrelation!I$4:I$1197,"-",0)="-",0,MATCH(_xlfn.XLOOKUP($A535,Korrelation!$D$4:$D$1197,Korrelation!I$4:I$1197,"",0),DMAV_Dienste!$F$6:$F$140,0)))</f>
        <v>0</v>
      </c>
      <c r="G535" s="57">
        <f>IF($A535="","",IF(_xlfn.XLOOKUP($A535,Korrelation!$D$4:$D$1197,Korrelation!J$4:J$1197,"-",0)="-",0,MATCH(_xlfn.XLOOKUP($A535,Korrelation!$D$4:$D$1197,Korrelation!J$4:J$1197,"",0),DMAV_Dienste!$F$6:$F$140,0)))</f>
        <v>0</v>
      </c>
      <c r="H535" s="57">
        <f>IF($A535="","",IF(_xlfn.XLOOKUP($A535,Korrelation!$D$4:$D$1197,Korrelation!K$4:K$1197,"-",0)="-",0,MATCH(_xlfn.XLOOKUP($A535,Korrelation!$D$4:$D$1197,Korrelation!K$4:K$1197,"",0),'DM01-AV-CH'!$A$6:$A$834,0)))</f>
        <v>482</v>
      </c>
      <c r="J535" s="54" t="str" cm="1">
        <f t="array" aca="1" ref="J535" ca="1">IF(B535=0,IF(E535=0,"",HYPERLINK("#"&amp;RIGHT(CELL("adresse",OFFSET(DMAV_Dienste!$M$6,E535-1,0)),LEN(CELL("adresse",OFFSET(DMAV_Dienste!$M$6,E535-1,0)))-FIND("]",CELL("adresse",OFFSET(DMAV_Dienste!$M$6,E535-1,0)))),"Dienst")),HYPERLINK("#"&amp;RIGHT(CELL("adresse",OFFSET(DMAV_Modell!$N$6,B535-1,0)),LEN(CELL("adresse",OFFSET(DMAV_Modell!$N$6,B535-1,0)))-FIND("]",CELL("adresse",OFFSET(DMAV_Modell!$N$6,B535-1,0)))),"Modell"))</f>
        <v>Modell</v>
      </c>
      <c r="K535" s="61" t="str" cm="1">
        <f t="array" ref="K535">IF($B535=0,IF($E535=0,"",IF(INDEX(DMAV_Dienste!P$6:P$140,$E535)="","",INDEX(DMAV_Dienste!P$6:P$140,$E535))),IF(INDEX(DMAV_Modell!Q$6:Q$838,$B535)="","",INDEX(DMAV_Modell!Q$6:Q$838,$B535)))</f>
        <v>CLASS</v>
      </c>
      <c r="L535" s="62" t="str" cm="1">
        <f t="array" ref="L535">IF($B535=0,IF($E535=0,"",IF(INDEX(DMAV_Dienste!O$6:O$140,$E535)="","",INDEX(DMAV_Dienste!O$6:O$140,$E535))),IF(INDEX(DMAV_Modell!P$6:P$838,$B535)="","",INDEX(DMAV_Modell!P$6:P$838,$B535)))</f>
        <v>Grundstuecke</v>
      </c>
      <c r="M535" s="62" t="str" cm="1">
        <f t="array" ref="M535">IF($B535=0,IF($E535=0,"",IF(INDEX(DMAV_Dienste!Q$6:Q$140,$E535)="","",INDEX(DMAV_Dienste!Q$6:Q$140,$E535))),IF(INDEX(DMAV_Modell!R$6:R$838,$B535)="","",INDEX(DMAV_Modell!R$6:R$838,$B535)))</f>
        <v>Grundstueck</v>
      </c>
      <c r="N535" s="62" t="str" cm="1">
        <f t="array" ref="N535">IF($B535=0,IF($E535=0,"",IF(INDEX(DMAV_Dienste!T$6:T$140,$E535)="","",INDEX(DMAV_Dienste!T$6:T$140,$E535))),IF(INDEX(DMAV_Modell!U$6:U$838,$B535)="","",INDEX(DMAV_Modell!U$6:U$838,$B535)))</f>
        <v>Textposition</v>
      </c>
      <c r="O535" s="63" t="str" cm="1">
        <f t="array" aca="1" ref="O535" ca="1">IF(C535=0,IF(F535=0,"",HYPERLINK("#"&amp;RIGHT(CELL("adresse",OFFSET(DMAV_Dienste!$M$6,F535-1,0)),LEN(CELL("adresse",OFFSET(DMAV_Dienste!$M$6,F535-1,0)))-FIND("]",CELL("adresse",OFFSET(DMAV_Dienste!$M$6,F535-1,0)))),"Structure")),HYPERLINK("#"&amp;RIGHT(CELL("adresse",OFFSET(DMAV_Modell!$N$6,C535-1,0)),LEN(CELL("adresse",OFFSET(DMAV_Modell!$N$6,C535-1,0)))-FIND("]",CELL("adresse",OFFSET(DMAV_Modell!$N$6,C535-1,0)))),"Structure"))</f>
        <v>Structure</v>
      </c>
      <c r="P535" s="64" t="str" cm="1">
        <f t="array" aca="1" ref="P535" ca="1">IF(D535=0,IF(G535=0,"",HYPERLINK("#"&amp;RIGHT(CELL("adresse",OFFSET(DMAV_Dienste!$M$6,G535-1,0)),LEN(CELL("adresse",OFFSET(DMAV_Dienste!$M$6,G535-1,0)))-FIND("]",CELL("adresse",OFFSET(DMAV_Dienste!$M$6,G535-1,0)))),"Substructure")),HYPERLINK("#"&amp;RIGHT(CELL("adresse",OFFSET(DMAV_Modell!$N$6,D535-1,0)),LEN(CELL("adresse",OFFSET(DMAV_Modell!$N$6,D535-1,0)))-FIND("]",CELL("adresse",OFFSET(DMAV_Modell!$N$6,D535-1,0)))),"Substructure"))</f>
        <v>Substructure</v>
      </c>
      <c r="R535" s="80"/>
      <c r="T535" s="93"/>
      <c r="U535" s="94" t="s">
        <v>2980</v>
      </c>
      <c r="V535" s="95" t="s">
        <v>3143</v>
      </c>
      <c r="W535" s="96"/>
      <c r="Y535" s="85" t="s">
        <v>3111</v>
      </c>
      <c r="Z535" s="86" t="s">
        <v>2980</v>
      </c>
      <c r="AA535" s="87" t="s">
        <v>3122</v>
      </c>
      <c r="AB535" s="88"/>
      <c r="AD535" s="77"/>
      <c r="AF535" s="54" t="str" cm="1">
        <f t="array" aca="1" ref="AF535" ca="1">IF(H535=0,"",HYPERLINK("#"&amp;RIGHT(CELL("adresse",OFFSET('DM01-AV-CH'!$G$6,H535-1,0)),LEN(CELL("adresse",OFFSET('DM01-AV-CH'!$G$6,H535-1,0)))-FIND("]",CELL("adresse",OFFSET('DM01-AV-CH'!$G$6,H535-1,0)))),"Modell"))</f>
        <v>Modell</v>
      </c>
      <c r="AG535" s="72" t="str" cm="1">
        <f t="array" ref="AG535">IF($H535=0,"",IF(INDEX('DM01-AV-CH'!G$6:G$834,$H535)="","",INDEX('DM01-AV-CH'!G$6:G$834,$H535)))</f>
        <v>Liegenschaften</v>
      </c>
      <c r="AH535" s="73" t="str" cm="1">
        <f t="array" ref="AH535">IF($H535=0,"",IF(INDEX('DM01-AV-CH'!H$6:H$834,$H535)="","",INDEX('DM01-AV-CH'!H$6:H$834,$H535)))</f>
        <v>GrundstueckPos</v>
      </c>
      <c r="AI535" s="74" t="str" cm="1">
        <f t="array" ref="AI535">IF($H535=0,"",IF(INDEX('DM01-AV-CH'!I$6:I$834,$H535)="","",INDEX('DM01-AV-CH'!I$6:I$834,$H535)))</f>
        <v>VAli</v>
      </c>
    </row>
    <row r="536" spans="1:35" ht="71.25" x14ac:dyDescent="0.25">
      <c r="A536" s="57">
        <v>531</v>
      </c>
      <c r="B536" s="57">
        <f>IF($A536="","",IF(_xlfn.XLOOKUP($A536,Korrelation!$D$4:$D$1197,Korrelation!E$4:E$1197,"-",0)="-",0,MATCH(_xlfn.XLOOKUP($A536,Korrelation!$D$4:$D$1197,Korrelation!E$4:E$1197,"",0),DMAV_Modell!$G$6:$G$677,0)))</f>
        <v>245</v>
      </c>
      <c r="C536" s="57">
        <f>IF($A536="","",IF(_xlfn.XLOOKUP($A536,Korrelation!$D$4:$D$1197,Korrelation!F$4:F$1197,"-",0)="-",0,MATCH(_xlfn.XLOOKUP($A536,Korrelation!$D$4:$D$1197,Korrelation!F$4:F$1197,"",0),DMAV_Modell!$G$6:$G$677,0)))</f>
        <v>26</v>
      </c>
      <c r="D536" s="57">
        <f>IF($A536="","",IF(_xlfn.XLOOKUP($A536,Korrelation!$D$4:$D$1197,Korrelation!G$4:G$1197,"-",0)="-",0,MATCH(_xlfn.XLOOKUP($A536,Korrelation!$D$4:$D$1197,Korrelation!G$4:G$1197,"",0),DMAV_Modell!$G$6:$G$677,0)))</f>
        <v>29</v>
      </c>
      <c r="E536" s="57">
        <f>IF($A536="","",IF(_xlfn.XLOOKUP($A536,Korrelation!$D$4:$D$1197,Korrelation!H$4:H$1197,"-",0)="-",0,MATCH(_xlfn.XLOOKUP($A536,Korrelation!$D$4:$D$1197,Korrelation!H$4:H$1197,"",0),DMAV_Dienste!$F$6:$F$140,0)))</f>
        <v>0</v>
      </c>
      <c r="F536" s="57">
        <f>IF($A536="","",IF(_xlfn.XLOOKUP($A536,Korrelation!$D$4:$D$1197,Korrelation!I$4:I$1197,"-",0)="-",0,MATCH(_xlfn.XLOOKUP($A536,Korrelation!$D$4:$D$1197,Korrelation!I$4:I$1197,"",0),DMAV_Dienste!$F$6:$F$140,0)))</f>
        <v>0</v>
      </c>
      <c r="G536" s="57">
        <f>IF($A536="","",IF(_xlfn.XLOOKUP($A536,Korrelation!$D$4:$D$1197,Korrelation!J$4:J$1197,"-",0)="-",0,MATCH(_xlfn.XLOOKUP($A536,Korrelation!$D$4:$D$1197,Korrelation!J$4:J$1197,"",0),DMAV_Dienste!$F$6:$F$140,0)))</f>
        <v>0</v>
      </c>
      <c r="H536" s="57">
        <f>IF($A536="","",IF(_xlfn.XLOOKUP($A536,Korrelation!$D$4:$D$1197,Korrelation!K$4:K$1197,"-",0)="-",0,MATCH(_xlfn.XLOOKUP($A536,Korrelation!$D$4:$D$1197,Korrelation!K$4:K$1197,"",0),'DM01-AV-CH'!$A$6:$A$834,0)))</f>
        <v>483</v>
      </c>
      <c r="J536" s="54" t="str" cm="1">
        <f t="array" aca="1" ref="J536" ca="1">IF(B536=0,IF(E536=0,"",HYPERLINK("#"&amp;RIGHT(CELL("adresse",OFFSET(DMAV_Dienste!$M$6,E536-1,0)),LEN(CELL("adresse",OFFSET(DMAV_Dienste!$M$6,E536-1,0)))-FIND("]",CELL("adresse",OFFSET(DMAV_Dienste!$M$6,E536-1,0)))),"Dienst")),HYPERLINK("#"&amp;RIGHT(CELL("adresse",OFFSET(DMAV_Modell!$N$6,B536-1,0)),LEN(CELL("adresse",OFFSET(DMAV_Modell!$N$6,B536-1,0)))-FIND("]",CELL("adresse",OFFSET(DMAV_Modell!$N$6,B536-1,0)))),"Modell"))</f>
        <v>Modell</v>
      </c>
      <c r="K536" s="61" t="str" cm="1">
        <f t="array" ref="K536">IF($B536=0,IF($E536=0,"",IF(INDEX(DMAV_Dienste!P$6:P$140,$E536)="","",INDEX(DMAV_Dienste!P$6:P$140,$E536))),IF(INDEX(DMAV_Modell!Q$6:Q$838,$B536)="","",INDEX(DMAV_Modell!Q$6:Q$838,$B536)))</f>
        <v>CLASS</v>
      </c>
      <c r="L536" s="62" t="str" cm="1">
        <f t="array" ref="L536">IF($B536=0,IF($E536=0,"",IF(INDEX(DMAV_Dienste!O$6:O$140,$E536)="","",INDEX(DMAV_Dienste!O$6:O$140,$E536))),IF(INDEX(DMAV_Modell!P$6:P$838,$B536)="","",INDEX(DMAV_Modell!P$6:P$838,$B536)))</f>
        <v>Grundstuecke</v>
      </c>
      <c r="M536" s="62" t="str" cm="1">
        <f t="array" ref="M536">IF($B536=0,IF($E536=0,"",IF(INDEX(DMAV_Dienste!Q$6:Q$140,$E536)="","",INDEX(DMAV_Dienste!Q$6:Q$140,$E536))),IF(INDEX(DMAV_Modell!R$6:R$838,$B536)="","",INDEX(DMAV_Modell!R$6:R$838,$B536)))</f>
        <v>Grundstueck</v>
      </c>
      <c r="N536" s="62" t="str" cm="1">
        <f t="array" ref="N536">IF($B536=0,IF($E536=0,"",IF(INDEX(DMAV_Dienste!T$6:T$140,$E536)="","",INDEX(DMAV_Dienste!T$6:T$140,$E536))),IF(INDEX(DMAV_Modell!U$6:U$838,$B536)="","",INDEX(DMAV_Modell!U$6:U$838,$B536)))</f>
        <v>Textposition</v>
      </c>
      <c r="O536" s="63" t="str" cm="1">
        <f t="array" aca="1" ref="O536" ca="1">IF(C536=0,IF(F536=0,"",HYPERLINK("#"&amp;RIGHT(CELL("adresse",OFFSET(DMAV_Dienste!$M$6,F536-1,0)),LEN(CELL("adresse",OFFSET(DMAV_Dienste!$M$6,F536-1,0)))-FIND("]",CELL("adresse",OFFSET(DMAV_Dienste!$M$6,F536-1,0)))),"Structure")),HYPERLINK("#"&amp;RIGHT(CELL("adresse",OFFSET(DMAV_Modell!$N$6,C536-1,0)),LEN(CELL("adresse",OFFSET(DMAV_Modell!$N$6,C536-1,0)))-FIND("]",CELL("adresse",OFFSET(DMAV_Modell!$N$6,C536-1,0)))),"Structure"))</f>
        <v>Structure</v>
      </c>
      <c r="P536" s="64" t="str" cm="1">
        <f t="array" aca="1" ref="P536" ca="1">IF(D536=0,IF(G536=0,"",HYPERLINK("#"&amp;RIGHT(CELL("adresse",OFFSET(DMAV_Dienste!$M$6,G536-1,0)),LEN(CELL("adresse",OFFSET(DMAV_Dienste!$M$6,G536-1,0)))-FIND("]",CELL("adresse",OFFSET(DMAV_Dienste!$M$6,G536-1,0)))),"Substructure")),HYPERLINK("#"&amp;RIGHT(CELL("adresse",OFFSET(DMAV_Modell!$N$6,D536-1,0)),LEN(CELL("adresse",OFFSET(DMAV_Modell!$N$6,D536-1,0)))-FIND("]",CELL("adresse",OFFSET(DMAV_Modell!$N$6,D536-1,0)))),"Substructure"))</f>
        <v>Substructure</v>
      </c>
      <c r="R536" s="80"/>
      <c r="T536" s="93"/>
      <c r="U536" s="94" t="s">
        <v>2980</v>
      </c>
      <c r="V536" s="95" t="s">
        <v>3144</v>
      </c>
      <c r="W536" s="96"/>
      <c r="Y536" s="85" t="s">
        <v>3111</v>
      </c>
      <c r="Z536" s="86" t="s">
        <v>2980</v>
      </c>
      <c r="AA536" s="87" t="s">
        <v>3317</v>
      </c>
      <c r="AB536" s="88"/>
      <c r="AD536" s="77"/>
      <c r="AF536" s="54" t="str" cm="1">
        <f t="array" aca="1" ref="AF536" ca="1">IF(H536=0,"",HYPERLINK("#"&amp;RIGHT(CELL("adresse",OFFSET('DM01-AV-CH'!$G$6,H536-1,0)),LEN(CELL("adresse",OFFSET('DM01-AV-CH'!$G$6,H536-1,0)))-FIND("]",CELL("adresse",OFFSET('DM01-AV-CH'!$G$6,H536-1,0)))),"Modell"))</f>
        <v>Modell</v>
      </c>
      <c r="AG536" s="72" t="str" cm="1">
        <f t="array" ref="AG536">IF($H536=0,"",IF(INDEX('DM01-AV-CH'!G$6:G$834,$H536)="","",INDEX('DM01-AV-CH'!G$6:G$834,$H536)))</f>
        <v>Liegenschaften</v>
      </c>
      <c r="AH536" s="73" t="str" cm="1">
        <f t="array" ref="AH536">IF($H536=0,"",IF(INDEX('DM01-AV-CH'!H$6:H$834,$H536)="","",INDEX('DM01-AV-CH'!H$6:H$834,$H536)))</f>
        <v>GrundstueckPos</v>
      </c>
      <c r="AI536" s="74" t="str" cm="1">
        <f t="array" ref="AI536">IF($H536=0,"",IF(INDEX('DM01-AV-CH'!I$6:I$834,$H536)="","",INDEX('DM01-AV-CH'!I$6:I$834,$H536)))</f>
        <v>Groesse</v>
      </c>
    </row>
    <row r="537" spans="1:35" ht="71.25" x14ac:dyDescent="0.25">
      <c r="A537" s="57">
        <v>532</v>
      </c>
      <c r="B537" s="57">
        <f>IF($A537="","",IF(_xlfn.XLOOKUP($A537,Korrelation!$D$4:$D$1197,Korrelation!E$4:E$1197,"-",0)="-",0,MATCH(_xlfn.XLOOKUP($A537,Korrelation!$D$4:$D$1197,Korrelation!E$4:E$1197,"",0),DMAV_Modell!$G$6:$G$677,0)))</f>
        <v>245</v>
      </c>
      <c r="C537" s="57">
        <f>IF($A537="","",IF(_xlfn.XLOOKUP($A537,Korrelation!$D$4:$D$1197,Korrelation!F$4:F$1197,"-",0)="-",0,MATCH(_xlfn.XLOOKUP($A537,Korrelation!$D$4:$D$1197,Korrelation!F$4:F$1197,"",0),DMAV_Modell!$G$6:$G$677,0)))</f>
        <v>26</v>
      </c>
      <c r="D537" s="57">
        <f>IF($A537="","",IF(_xlfn.XLOOKUP($A537,Korrelation!$D$4:$D$1197,Korrelation!G$4:G$1197,"-",0)="-",0,MATCH(_xlfn.XLOOKUP($A537,Korrelation!$D$4:$D$1197,Korrelation!G$4:G$1197,"",0),DMAV_Modell!$G$6:$G$677,0)))</f>
        <v>32</v>
      </c>
      <c r="E537" s="57">
        <f>IF($A537="","",IF(_xlfn.XLOOKUP($A537,Korrelation!$D$4:$D$1197,Korrelation!H$4:H$1197,"-",0)="-",0,MATCH(_xlfn.XLOOKUP($A537,Korrelation!$D$4:$D$1197,Korrelation!H$4:H$1197,"",0),DMAV_Dienste!$F$6:$F$140,0)))</f>
        <v>0</v>
      </c>
      <c r="F537" s="57">
        <f>IF($A537="","",IF(_xlfn.XLOOKUP($A537,Korrelation!$D$4:$D$1197,Korrelation!I$4:I$1197,"-",0)="-",0,MATCH(_xlfn.XLOOKUP($A537,Korrelation!$D$4:$D$1197,Korrelation!I$4:I$1197,"",0),DMAV_Dienste!$F$6:$F$140,0)))</f>
        <v>0</v>
      </c>
      <c r="G537" s="57">
        <f>IF($A537="","",IF(_xlfn.XLOOKUP($A537,Korrelation!$D$4:$D$1197,Korrelation!J$4:J$1197,"-",0)="-",0,MATCH(_xlfn.XLOOKUP($A537,Korrelation!$D$4:$D$1197,Korrelation!J$4:J$1197,"",0),DMAV_Dienste!$F$6:$F$140,0)))</f>
        <v>0</v>
      </c>
      <c r="H537" s="57">
        <f>IF($A537="","",IF(_xlfn.XLOOKUP($A537,Korrelation!$D$4:$D$1197,Korrelation!K$4:K$1197,"-",0)="-",0,MATCH(_xlfn.XLOOKUP($A537,Korrelation!$D$4:$D$1197,Korrelation!K$4:K$1197,"",0),'DM01-AV-CH'!$A$6:$A$834,0)))</f>
        <v>484</v>
      </c>
      <c r="J537" s="54" t="str" cm="1">
        <f t="array" aca="1" ref="J537" ca="1">IF(B537=0,IF(E537=0,"",HYPERLINK("#"&amp;RIGHT(CELL("adresse",OFFSET(DMAV_Dienste!$M$6,E537-1,0)),LEN(CELL("adresse",OFFSET(DMAV_Dienste!$M$6,E537-1,0)))-FIND("]",CELL("adresse",OFFSET(DMAV_Dienste!$M$6,E537-1,0)))),"Dienst")),HYPERLINK("#"&amp;RIGHT(CELL("adresse",OFFSET(DMAV_Modell!$N$6,B537-1,0)),LEN(CELL("adresse",OFFSET(DMAV_Modell!$N$6,B537-1,0)))-FIND("]",CELL("adresse",OFFSET(DMAV_Modell!$N$6,B537-1,0)))),"Modell"))</f>
        <v>Modell</v>
      </c>
      <c r="K537" s="61" t="str" cm="1">
        <f t="array" ref="K537">IF($B537=0,IF($E537=0,"",IF(INDEX(DMAV_Dienste!P$6:P$140,$E537)="","",INDEX(DMAV_Dienste!P$6:P$140,$E537))),IF(INDEX(DMAV_Modell!Q$6:Q$838,$B537)="","",INDEX(DMAV_Modell!Q$6:Q$838,$B537)))</f>
        <v>CLASS</v>
      </c>
      <c r="L537" s="62" t="str" cm="1">
        <f t="array" ref="L537">IF($B537=0,IF($E537=0,"",IF(INDEX(DMAV_Dienste!O$6:O$140,$E537)="","",INDEX(DMAV_Dienste!O$6:O$140,$E537))),IF(INDEX(DMAV_Modell!P$6:P$838,$B537)="","",INDEX(DMAV_Modell!P$6:P$838,$B537)))</f>
        <v>Grundstuecke</v>
      </c>
      <c r="M537" s="62" t="str" cm="1">
        <f t="array" ref="M537">IF($B537=0,IF($E537=0,"",IF(INDEX(DMAV_Dienste!Q$6:Q$140,$E537)="","",INDEX(DMAV_Dienste!Q$6:Q$140,$E537))),IF(INDEX(DMAV_Modell!R$6:R$838,$B537)="","",INDEX(DMAV_Modell!R$6:R$838,$B537)))</f>
        <v>Grundstueck</v>
      </c>
      <c r="N537" s="62" t="str" cm="1">
        <f t="array" ref="N537">IF($B537=0,IF($E537=0,"",IF(INDEX(DMAV_Dienste!T$6:T$140,$E537)="","",INDEX(DMAV_Dienste!T$6:T$140,$E537))),IF(INDEX(DMAV_Modell!U$6:U$838,$B537)="","",INDEX(DMAV_Modell!U$6:U$838,$B537)))</f>
        <v>Textposition</v>
      </c>
      <c r="O537" s="63" t="str" cm="1">
        <f t="array" aca="1" ref="O537" ca="1">IF(C537=0,IF(F537=0,"",HYPERLINK("#"&amp;RIGHT(CELL("adresse",OFFSET(DMAV_Dienste!$M$6,F537-1,0)),LEN(CELL("adresse",OFFSET(DMAV_Dienste!$M$6,F537-1,0)))-FIND("]",CELL("adresse",OFFSET(DMAV_Dienste!$M$6,F537-1,0)))),"Structure")),HYPERLINK("#"&amp;RIGHT(CELL("adresse",OFFSET(DMAV_Modell!$N$6,C537-1,0)),LEN(CELL("adresse",OFFSET(DMAV_Modell!$N$6,C537-1,0)))-FIND("]",CELL("adresse",OFFSET(DMAV_Modell!$N$6,C537-1,0)))),"Structure"))</f>
        <v>Structure</v>
      </c>
      <c r="P537" s="64" t="str" cm="1">
        <f t="array" aca="1" ref="P537" ca="1">IF(D537=0,IF(G537=0,"",HYPERLINK("#"&amp;RIGHT(CELL("adresse",OFFSET(DMAV_Dienste!$M$6,G537-1,0)),LEN(CELL("adresse",OFFSET(DMAV_Dienste!$M$6,G537-1,0)))-FIND("]",CELL("adresse",OFFSET(DMAV_Dienste!$M$6,G537-1,0)))),"Substructure")),HYPERLINK("#"&amp;RIGHT(CELL("adresse",OFFSET(DMAV_Modell!$N$6,D537-1,0)),LEN(CELL("adresse",OFFSET(DMAV_Modell!$N$6,D537-1,0)))-FIND("]",CELL("adresse",OFFSET(DMAV_Modell!$N$6,D537-1,0)))),"Substructure"))</f>
        <v>Substructure</v>
      </c>
      <c r="R537" s="80"/>
      <c r="T537" s="93"/>
      <c r="U537" s="94" t="s">
        <v>2980</v>
      </c>
      <c r="V537" s="95" t="s">
        <v>3145</v>
      </c>
      <c r="W537" s="96"/>
      <c r="Y537" s="85" t="s">
        <v>3111</v>
      </c>
      <c r="Z537" s="86" t="s">
        <v>2980</v>
      </c>
      <c r="AA537" s="87" t="s">
        <v>3123</v>
      </c>
      <c r="AB537" s="88"/>
      <c r="AD537" s="77"/>
      <c r="AF537" s="54" t="str" cm="1">
        <f t="array" aca="1" ref="AF537" ca="1">IF(H537=0,"",HYPERLINK("#"&amp;RIGHT(CELL("adresse",OFFSET('DM01-AV-CH'!$G$6,H537-1,0)),LEN(CELL("adresse",OFFSET('DM01-AV-CH'!$G$6,H537-1,0)))-FIND("]",CELL("adresse",OFFSET('DM01-AV-CH'!$G$6,H537-1,0)))),"Modell"))</f>
        <v>Modell</v>
      </c>
      <c r="AG537" s="72" t="str" cm="1">
        <f t="array" ref="AG537">IF($H537=0,"",IF(INDEX('DM01-AV-CH'!G$6:G$834,$H537)="","",INDEX('DM01-AV-CH'!G$6:G$834,$H537)))</f>
        <v>Liegenschaften</v>
      </c>
      <c r="AH537" s="73" t="str" cm="1">
        <f t="array" ref="AH537">IF($H537=0,"",IF(INDEX('DM01-AV-CH'!H$6:H$834,$H537)="","",INDEX('DM01-AV-CH'!H$6:H$834,$H537)))</f>
        <v>GrundstueckPos</v>
      </c>
      <c r="AI537" s="74" t="str" cm="1">
        <f t="array" ref="AI537">IF($H537=0,"",IF(INDEX('DM01-AV-CH'!I$6:I$834,$H537)="","",INDEX('DM01-AV-CH'!I$6:I$834,$H537)))</f>
        <v>Hilfslinie</v>
      </c>
    </row>
    <row r="538" spans="1:35" x14ac:dyDescent="0.25">
      <c r="A538" s="57">
        <v>533</v>
      </c>
      <c r="B538" s="57">
        <f>IF($A538="","",IF(_xlfn.XLOOKUP($A538,Korrelation!$D$4:$D$1197,Korrelation!E$4:E$1197,"-",0)="-",0,MATCH(_xlfn.XLOOKUP($A538,Korrelation!$D$4:$D$1197,Korrelation!E$4:E$1197,"",0),DMAV_Modell!$G$6:$G$677,0)))</f>
        <v>246</v>
      </c>
      <c r="C538" s="57">
        <f>IF($A538="","",IF(_xlfn.XLOOKUP($A538,Korrelation!$D$4:$D$1197,Korrelation!F$4:F$1197,"-",0)="-",0,MATCH(_xlfn.XLOOKUP($A538,Korrelation!$D$4:$D$1197,Korrelation!F$4:F$1197,"",0),DMAV_Modell!$G$6:$G$677,0)))</f>
        <v>0</v>
      </c>
      <c r="D538" s="57">
        <f>IF($A538="","",IF(_xlfn.XLOOKUP($A538,Korrelation!$D$4:$D$1197,Korrelation!G$4:G$1197,"-",0)="-",0,MATCH(_xlfn.XLOOKUP($A538,Korrelation!$D$4:$D$1197,Korrelation!G$4:G$1197,"",0),DMAV_Modell!$G$6:$G$677,0)))</f>
        <v>0</v>
      </c>
      <c r="E538" s="57">
        <f>IF($A538="","",IF(_xlfn.XLOOKUP($A538,Korrelation!$D$4:$D$1197,Korrelation!H$4:H$1197,"-",0)="-",0,MATCH(_xlfn.XLOOKUP($A538,Korrelation!$D$4:$D$1197,Korrelation!H$4:H$1197,"",0),DMAV_Dienste!$F$6:$F$140,0)))</f>
        <v>0</v>
      </c>
      <c r="F538" s="57">
        <f>IF($A538="","",IF(_xlfn.XLOOKUP($A538,Korrelation!$D$4:$D$1197,Korrelation!I$4:I$1197,"-",0)="-",0,MATCH(_xlfn.XLOOKUP($A538,Korrelation!$D$4:$D$1197,Korrelation!I$4:I$1197,"",0),DMAV_Dienste!$F$6:$F$140,0)))</f>
        <v>0</v>
      </c>
      <c r="G538" s="57">
        <f>IF($A538="","",IF(_xlfn.XLOOKUP($A538,Korrelation!$D$4:$D$1197,Korrelation!J$4:J$1197,"-",0)="-",0,MATCH(_xlfn.XLOOKUP($A538,Korrelation!$D$4:$D$1197,Korrelation!J$4:J$1197,"",0),DMAV_Dienste!$F$6:$F$140,0)))</f>
        <v>0</v>
      </c>
      <c r="H538" s="57">
        <f>IF($A538="","",IF(_xlfn.XLOOKUP($A538,Korrelation!$D$4:$D$1197,Korrelation!K$4:K$1197,"-",0)="-",0,MATCH(_xlfn.XLOOKUP($A538,Korrelation!$D$4:$D$1197,Korrelation!K$4:K$1197,"",0),'DM01-AV-CH'!$A$6:$A$834,0)))</f>
        <v>0</v>
      </c>
      <c r="J538" s="54" t="str" cm="1">
        <f t="array" aca="1" ref="J538" ca="1">IF(B538=0,IF(E538=0,"",HYPERLINK("#"&amp;RIGHT(CELL("adresse",OFFSET(DMAV_Dienste!$M$6,E538-1,0)),LEN(CELL("adresse",OFFSET(DMAV_Dienste!$M$6,E538-1,0)))-FIND("]",CELL("adresse",OFFSET(DMAV_Dienste!$M$6,E538-1,0)))),"Dienst")),HYPERLINK("#"&amp;RIGHT(CELL("adresse",OFFSET(DMAV_Modell!$N$6,B538-1,0)),LEN(CELL("adresse",OFFSET(DMAV_Modell!$N$6,B538-1,0)))-FIND("]",CELL("adresse",OFFSET(DMAV_Modell!$N$6,B538-1,0)))),"Modell"))</f>
        <v>Modell</v>
      </c>
      <c r="K538" s="61" t="str" cm="1">
        <f t="array" ref="K538">IF($B538=0,IF($E538=0,"",IF(INDEX(DMAV_Dienste!P$6:P$140,$E538)="","",INDEX(DMAV_Dienste!P$6:P$140,$E538))),IF(INDEX(DMAV_Modell!Q$6:Q$838,$B538)="","",INDEX(DMAV_Modell!Q$6:Q$838,$B538)))</f>
        <v>CLASS</v>
      </c>
      <c r="L538" s="62" t="str" cm="1">
        <f t="array" ref="L538">IF($B538=0,IF($E538=0,"",IF(INDEX(DMAV_Dienste!O$6:O$140,$E538)="","",INDEX(DMAV_Dienste!O$6:O$140,$E538))),IF(INDEX(DMAV_Modell!P$6:P$838,$B538)="","",INDEX(DMAV_Modell!P$6:P$838,$B538)))</f>
        <v>Grundstuecke</v>
      </c>
      <c r="M538" s="62" t="str" cm="1">
        <f t="array" ref="M538">IF($B538=0,IF($E538=0,"",IF(INDEX(DMAV_Dienste!Q$6:Q$140,$E538)="","",INDEX(DMAV_Dienste!Q$6:Q$140,$E538))),IF(INDEX(DMAV_Modell!R$6:R$838,$B538)="","",INDEX(DMAV_Modell!R$6:R$838,$B538)))</f>
        <v>Grundstueck</v>
      </c>
      <c r="N538" s="62" t="str" cm="1">
        <f t="array" ref="N538">IF($B538=0,IF($E538=0,"",IF(INDEX(DMAV_Dienste!T$6:T$140,$E538)="","",INDEX(DMAV_Dienste!T$6:T$140,$E538))),IF(INDEX(DMAV_Modell!U$6:U$838,$B538)="","",INDEX(DMAV_Modell!U$6:U$838,$B538)))</f>
        <v>Fiktiv</v>
      </c>
      <c r="O538" s="63" t="str" cm="1">
        <f t="array" aca="1" ref="O538" ca="1">IF(C538=0,IF(F538=0,"",HYPERLINK("#"&amp;RIGHT(CELL("adresse",OFFSET(DMAV_Dienste!$M$6,F538-1,0)),LEN(CELL("adresse",OFFSET(DMAV_Dienste!$M$6,F538-1,0)))-FIND("]",CELL("adresse",OFFSET(DMAV_Dienste!$M$6,F538-1,0)))),"Structure")),HYPERLINK("#"&amp;RIGHT(CELL("adresse",OFFSET(DMAV_Modell!$N$6,C538-1,0)),LEN(CELL("adresse",OFFSET(DMAV_Modell!$N$6,C538-1,0)))-FIND("]",CELL("adresse",OFFSET(DMAV_Modell!$N$6,C538-1,0)))),"Structure"))</f>
        <v/>
      </c>
      <c r="P538" s="64" t="str" cm="1">
        <f t="array" aca="1" ref="P538" ca="1">IF(D538=0,IF(G538=0,"",HYPERLINK("#"&amp;RIGHT(CELL("adresse",OFFSET(DMAV_Dienste!$M$6,G538-1,0)),LEN(CELL("adresse",OFFSET(DMAV_Dienste!$M$6,G538-1,0)))-FIND("]",CELL("adresse",OFFSET(DMAV_Dienste!$M$6,G538-1,0)))),"Substructure")),HYPERLINK("#"&amp;RIGHT(CELL("adresse",OFFSET(DMAV_Modell!$N$6,D538-1,0)),LEN(CELL("adresse",OFFSET(DMAV_Modell!$N$6,D538-1,0)))-FIND("]",CELL("adresse",OFFSET(DMAV_Modell!$N$6,D538-1,0)))),"Substructure"))</f>
        <v/>
      </c>
      <c r="R538" s="80" t="s">
        <v>3117</v>
      </c>
      <c r="T538" s="93"/>
      <c r="U538" s="94"/>
      <c r="V538" s="95"/>
      <c r="W538" s="96"/>
      <c r="Y538" s="85"/>
      <c r="Z538" s="86"/>
      <c r="AA538" s="87"/>
      <c r="AB538" s="88"/>
      <c r="AD538" s="77"/>
      <c r="AF538" s="54" t="str" cm="1">
        <f t="array" aca="1" ref="AF538" ca="1">IF(H538=0,"",HYPERLINK("#"&amp;RIGHT(CELL("adresse",OFFSET('DM01-AV-CH'!$G$6,H538-1,0)),LEN(CELL("adresse",OFFSET('DM01-AV-CH'!$G$6,H538-1,0)))-FIND("]",CELL("adresse",OFFSET('DM01-AV-CH'!$G$6,H538-1,0)))),"Modell"))</f>
        <v/>
      </c>
      <c r="AG538" s="72" t="str" cm="1">
        <f t="array" ref="AG538">IF($H538=0,"",IF(INDEX('DM01-AV-CH'!G$6:G$834,$H538)="","",INDEX('DM01-AV-CH'!G$6:G$834,$H538)))</f>
        <v/>
      </c>
      <c r="AH538" s="73" t="str" cm="1">
        <f t="array" ref="AH538">IF($H538=0,"",IF(INDEX('DM01-AV-CH'!H$6:H$834,$H538)="","",INDEX('DM01-AV-CH'!H$6:H$834,$H538)))</f>
        <v/>
      </c>
      <c r="AI538" s="74" t="str" cm="1">
        <f t="array" ref="AI538">IF($H538=0,"",IF(INDEX('DM01-AV-CH'!I$6:I$834,$H538)="","",INDEX('DM01-AV-CH'!I$6:I$834,$H538)))</f>
        <v/>
      </c>
    </row>
    <row r="539" spans="1:35" ht="71.25" x14ac:dyDescent="0.25">
      <c r="A539" s="57">
        <v>534</v>
      </c>
      <c r="B539" s="57">
        <f>IF($A539="","",IF(_xlfn.XLOOKUP($A539,Korrelation!$D$4:$D$1197,Korrelation!E$4:E$1197,"-",0)="-",0,MATCH(_xlfn.XLOOKUP($A539,Korrelation!$D$4:$D$1197,Korrelation!E$4:E$1197,"",0),DMAV_Modell!$G$6:$G$677,0)))</f>
        <v>247</v>
      </c>
      <c r="C539" s="57">
        <f>IF($A539="","",IF(_xlfn.XLOOKUP($A539,Korrelation!$D$4:$D$1197,Korrelation!F$4:F$1197,"-",0)="-",0,MATCH(_xlfn.XLOOKUP($A539,Korrelation!$D$4:$D$1197,Korrelation!F$4:F$1197,"",0),DMAV_Modell!$G$6:$G$677,0)))</f>
        <v>0</v>
      </c>
      <c r="D539" s="57">
        <f>IF($A539="","",IF(_xlfn.XLOOKUP($A539,Korrelation!$D$4:$D$1197,Korrelation!G$4:G$1197,"-",0)="-",0,MATCH(_xlfn.XLOOKUP($A539,Korrelation!$D$4:$D$1197,Korrelation!G$4:G$1197,"",0),DMAV_Modell!$G$6:$G$677,0)))</f>
        <v>0</v>
      </c>
      <c r="E539" s="57">
        <f>IF($A539="","",IF(_xlfn.XLOOKUP($A539,Korrelation!$D$4:$D$1197,Korrelation!H$4:H$1197,"-",0)="-",0,MATCH(_xlfn.XLOOKUP($A539,Korrelation!$D$4:$D$1197,Korrelation!H$4:H$1197,"",0),DMAV_Dienste!$F$6:$F$140,0)))</f>
        <v>0</v>
      </c>
      <c r="F539" s="57">
        <f>IF($A539="","",IF(_xlfn.XLOOKUP($A539,Korrelation!$D$4:$D$1197,Korrelation!I$4:I$1197,"-",0)="-",0,MATCH(_xlfn.XLOOKUP($A539,Korrelation!$D$4:$D$1197,Korrelation!I$4:I$1197,"",0),DMAV_Dienste!$F$6:$F$140,0)))</f>
        <v>0</v>
      </c>
      <c r="G539" s="57">
        <f>IF($A539="","",IF(_xlfn.XLOOKUP($A539,Korrelation!$D$4:$D$1197,Korrelation!J$4:J$1197,"-",0)="-",0,MATCH(_xlfn.XLOOKUP($A539,Korrelation!$D$4:$D$1197,Korrelation!J$4:J$1197,"",0),DMAV_Dienste!$F$6:$F$140,0)))</f>
        <v>0</v>
      </c>
      <c r="H539" s="57">
        <f>IF($A539="","",IF(_xlfn.XLOOKUP($A539,Korrelation!$D$4:$D$1197,Korrelation!K$4:K$1197,"-",0)="-",0,MATCH(_xlfn.XLOOKUP($A539,Korrelation!$D$4:$D$1197,Korrelation!K$4:K$1197,"",0),'DM01-AV-CH'!$A$6:$A$834,0)))</f>
        <v>477</v>
      </c>
      <c r="J539" s="54" t="str" cm="1">
        <f t="array" aca="1" ref="J539" ca="1">IF(B539=0,IF(E539=0,"",HYPERLINK("#"&amp;RIGHT(CELL("adresse",OFFSET(DMAV_Dienste!$M$6,E539-1,0)),LEN(CELL("adresse",OFFSET(DMAV_Dienste!$M$6,E539-1,0)))-FIND("]",CELL("adresse",OFFSET(DMAV_Dienste!$M$6,E539-1,0)))),"Dienst")),HYPERLINK("#"&amp;RIGHT(CELL("adresse",OFFSET(DMAV_Modell!$N$6,B539-1,0)),LEN(CELL("adresse",OFFSET(DMAV_Modell!$N$6,B539-1,0)))-FIND("]",CELL("adresse",OFFSET(DMAV_Modell!$N$6,B539-1,0)))),"Modell"))</f>
        <v>Modell</v>
      </c>
      <c r="K539" s="61" t="str" cm="1">
        <f t="array" ref="K539">IF($B539=0,IF($E539=0,"",IF(INDEX(DMAV_Dienste!P$6:P$140,$E539)="","",INDEX(DMAV_Dienste!P$6:P$140,$E539))),IF(INDEX(DMAV_Modell!Q$6:Q$838,$B539)="","",INDEX(DMAV_Modell!Q$6:Q$838,$B539)))</f>
        <v>CLASS</v>
      </c>
      <c r="L539" s="62" t="str" cm="1">
        <f t="array" ref="L539">IF($B539=0,IF($E539=0,"",IF(INDEX(DMAV_Dienste!O$6:O$140,$E539)="","",INDEX(DMAV_Dienste!O$6:O$140,$E539))),IF(INDEX(DMAV_Modell!P$6:P$838,$B539)="","",INDEX(DMAV_Modell!P$6:P$838,$B539)))</f>
        <v>Grundstuecke</v>
      </c>
      <c r="M539" s="62" t="str" cm="1">
        <f t="array" ref="M539">IF($B539=0,IF($E539=0,"",IF(INDEX(DMAV_Dienste!Q$6:Q$140,$E539)="","",INDEX(DMAV_Dienste!Q$6:Q$140,$E539))),IF(INDEX(DMAV_Modell!R$6:R$838,$B539)="","",INDEX(DMAV_Modell!R$6:R$838,$B539)))</f>
        <v>Grundstueck</v>
      </c>
      <c r="N539" s="62" t="str" cm="1">
        <f t="array" ref="N539">IF($B539=0,IF($E539=0,"",IF(INDEX(DMAV_Dienste!T$6:T$140,$E539)="","",INDEX(DMAV_Dienste!T$6:T$140,$E539))),IF(INDEX(DMAV_Modell!U$6:U$838,$B539)="","",INDEX(DMAV_Modell!U$6:U$838,$B539)))</f>
        <v>Gesamtflaechenmass</v>
      </c>
      <c r="O539" s="63" t="str" cm="1">
        <f t="array" aca="1" ref="O539" ca="1">IF(C539=0,IF(F539=0,"",HYPERLINK("#"&amp;RIGHT(CELL("adresse",OFFSET(DMAV_Dienste!$M$6,F539-1,0)),LEN(CELL("adresse",OFFSET(DMAV_Dienste!$M$6,F539-1,0)))-FIND("]",CELL("adresse",OFFSET(DMAV_Dienste!$M$6,F539-1,0)))),"Structure")),HYPERLINK("#"&amp;RIGHT(CELL("adresse",OFFSET(DMAV_Modell!$N$6,C539-1,0)),LEN(CELL("adresse",OFFSET(DMAV_Modell!$N$6,C539-1,0)))-FIND("]",CELL("adresse",OFFSET(DMAV_Modell!$N$6,C539-1,0)))),"Structure"))</f>
        <v/>
      </c>
      <c r="P539" s="64" t="str" cm="1">
        <f t="array" aca="1" ref="P539" ca="1">IF(D539=0,IF(G539=0,"",HYPERLINK("#"&amp;RIGHT(CELL("adresse",OFFSET(DMAV_Dienste!$M$6,G539-1,0)),LEN(CELL("adresse",OFFSET(DMAV_Dienste!$M$6,G539-1,0)))-FIND("]",CELL("adresse",OFFSET(DMAV_Dienste!$M$6,G539-1,0)))),"Substructure")),HYPERLINK("#"&amp;RIGHT(CELL("adresse",OFFSET(DMAV_Modell!$N$6,D539-1,0)),LEN(CELL("adresse",OFFSET(DMAV_Modell!$N$6,D539-1,0)))-FIND("]",CELL("adresse",OFFSET(DMAV_Modell!$N$6,D539-1,0)))),"Substructure"))</f>
        <v/>
      </c>
      <c r="R539" s="80"/>
      <c r="T539" s="93"/>
      <c r="U539" s="94"/>
      <c r="V539" s="95"/>
      <c r="W539" s="96"/>
      <c r="Y539" s="85" t="s">
        <v>3111</v>
      </c>
      <c r="Z539" s="86" t="s">
        <v>2980</v>
      </c>
      <c r="AA539" s="87" t="s">
        <v>3118</v>
      </c>
      <c r="AB539" s="88"/>
      <c r="AD539" s="77"/>
      <c r="AF539" s="54" t="str" cm="1">
        <f t="array" aca="1" ref="AF539" ca="1">IF(H539=0,"",HYPERLINK("#"&amp;RIGHT(CELL("adresse",OFFSET('DM01-AV-CH'!$G$6,H539-1,0)),LEN(CELL("adresse",OFFSET('DM01-AV-CH'!$G$6,H539-1,0)))-FIND("]",CELL("adresse",OFFSET('DM01-AV-CH'!$G$6,H539-1,0)))),"Modell"))</f>
        <v>Modell</v>
      </c>
      <c r="AG539" s="72" t="str" cm="1">
        <f t="array" ref="AG539">IF($H539=0,"",IF(INDEX('DM01-AV-CH'!G$6:G$834,$H539)="","",INDEX('DM01-AV-CH'!G$6:G$834,$H539)))</f>
        <v>Liegenschaften</v>
      </c>
      <c r="AH539" s="73" t="str" cm="1">
        <f t="array" ref="AH539">IF($H539=0,"",IF(INDEX('DM01-AV-CH'!H$6:H$834,$H539)="","",INDEX('DM01-AV-CH'!H$6:H$834,$H539)))</f>
        <v>Grundstueck</v>
      </c>
      <c r="AI539" s="74" t="str" cm="1">
        <f t="array" ref="AI539">IF($H539=0,"",IF(INDEX('DM01-AV-CH'!I$6:I$834,$H539)="","",INDEX('DM01-AV-CH'!I$6:I$834,$H539)))</f>
        <v>GesamteFlaechenmass</v>
      </c>
    </row>
    <row r="540" spans="1:35" x14ac:dyDescent="0.25">
      <c r="A540" s="57">
        <v>535</v>
      </c>
      <c r="B540" s="57">
        <f>IF($A540="","",IF(_xlfn.XLOOKUP($A540,Korrelation!$D$4:$D$1197,Korrelation!E$4:E$1197,"-",0)="-",0,MATCH(_xlfn.XLOOKUP($A540,Korrelation!$D$4:$D$1197,Korrelation!E$4:E$1197,"",0),DMAV_Modell!$G$6:$G$677,0)))</f>
        <v>248</v>
      </c>
      <c r="C540" s="57">
        <f>IF($A540="","",IF(_xlfn.XLOOKUP($A540,Korrelation!$D$4:$D$1197,Korrelation!F$4:F$1197,"-",0)="-",0,MATCH(_xlfn.XLOOKUP($A540,Korrelation!$D$4:$D$1197,Korrelation!F$4:F$1197,"",0),DMAV_Modell!$G$6:$G$677,0)))</f>
        <v>0</v>
      </c>
      <c r="D540" s="57">
        <f>IF($A540="","",IF(_xlfn.XLOOKUP($A540,Korrelation!$D$4:$D$1197,Korrelation!G$4:G$1197,"-",0)="-",0,MATCH(_xlfn.XLOOKUP($A540,Korrelation!$D$4:$D$1197,Korrelation!G$4:G$1197,"",0),DMAV_Modell!$G$6:$G$677,0)))</f>
        <v>0</v>
      </c>
      <c r="E540" s="57">
        <f>IF($A540="","",IF(_xlfn.XLOOKUP($A540,Korrelation!$D$4:$D$1197,Korrelation!H$4:H$1197,"-",0)="-",0,MATCH(_xlfn.XLOOKUP($A540,Korrelation!$D$4:$D$1197,Korrelation!H$4:H$1197,"",0),DMAV_Dienste!$F$6:$F$140,0)))</f>
        <v>0</v>
      </c>
      <c r="F540" s="57">
        <f>IF($A540="","",IF(_xlfn.XLOOKUP($A540,Korrelation!$D$4:$D$1197,Korrelation!I$4:I$1197,"-",0)="-",0,MATCH(_xlfn.XLOOKUP($A540,Korrelation!$D$4:$D$1197,Korrelation!I$4:I$1197,"",0),DMAV_Dienste!$F$6:$F$140,0)))</f>
        <v>0</v>
      </c>
      <c r="G540" s="57">
        <f>IF($A540="","",IF(_xlfn.XLOOKUP($A540,Korrelation!$D$4:$D$1197,Korrelation!J$4:J$1197,"-",0)="-",0,MATCH(_xlfn.XLOOKUP($A540,Korrelation!$D$4:$D$1197,Korrelation!J$4:J$1197,"",0),DMAV_Dienste!$F$6:$F$140,0)))</f>
        <v>0</v>
      </c>
      <c r="H540" s="57">
        <f>IF($A540="","",IF(_xlfn.XLOOKUP($A540,Korrelation!$D$4:$D$1197,Korrelation!K$4:K$1197,"-",0)="-",0,MATCH(_xlfn.XLOOKUP($A540,Korrelation!$D$4:$D$1197,Korrelation!K$4:K$1197,"",0),'DM01-AV-CH'!$A$6:$A$834,0)))</f>
        <v>0</v>
      </c>
      <c r="J540" s="54" t="str" cm="1">
        <f t="array" aca="1" ref="J540" ca="1">IF(B540=0,IF(E540=0,"",HYPERLINK("#"&amp;RIGHT(CELL("adresse",OFFSET(DMAV_Dienste!$M$6,E540-1,0)),LEN(CELL("adresse",OFFSET(DMAV_Dienste!$M$6,E540-1,0)))-FIND("]",CELL("adresse",OFFSET(DMAV_Dienste!$M$6,E540-1,0)))),"Dienst")),HYPERLINK("#"&amp;RIGHT(CELL("adresse",OFFSET(DMAV_Modell!$N$6,B540-1,0)),LEN(CELL("adresse",OFFSET(DMAV_Modell!$N$6,B540-1,0)))-FIND("]",CELL("adresse",OFFSET(DMAV_Modell!$N$6,B540-1,0)))),"Modell"))</f>
        <v>Modell</v>
      </c>
      <c r="K540" s="61" t="str" cm="1">
        <f t="array" ref="K540">IF($B540=0,IF($E540=0,"",IF(INDEX(DMAV_Dienste!P$6:P$140,$E540)="","",INDEX(DMAV_Dienste!P$6:P$140,$E540))),IF(INDEX(DMAV_Modell!Q$6:Q$838,$B540)="","",INDEX(DMAV_Modell!Q$6:Q$838,$B540)))</f>
        <v>CLASS.CONSTRAINT</v>
      </c>
      <c r="L540" s="62" t="str" cm="1">
        <f t="array" ref="L540">IF($B540=0,IF($E540=0,"",IF(INDEX(DMAV_Dienste!O$6:O$140,$E540)="","",INDEX(DMAV_Dienste!O$6:O$140,$E540))),IF(INDEX(DMAV_Modell!P$6:P$838,$B540)="","",INDEX(DMAV_Modell!P$6:P$838,$B540)))</f>
        <v>Grundstuecke</v>
      </c>
      <c r="M540" s="62" t="str" cm="1">
        <f t="array" ref="M540">IF($B540=0,IF($E540=0,"",IF(INDEX(DMAV_Dienste!Q$6:Q$140,$E540)="","",INDEX(DMAV_Dienste!Q$6:Q$140,$E540))),IF(INDEX(DMAV_Modell!R$6:R$838,$B540)="","",INDEX(DMAV_Modell!R$6:R$838,$B540)))</f>
        <v>Grundstueck</v>
      </c>
      <c r="N540" s="62" t="str" cm="1">
        <f t="array" ref="N540">IF($B540=0,IF($E540=0,"",IF(INDEX(DMAV_Dienste!T$6:T$140,$E540)="","",INDEX(DMAV_Dienste!T$6:T$140,$E540))),IF(INDEX(DMAV_Modell!U$6:U$838,$B540)="","",INDEX(DMAV_Modell!U$6:U$838,$B540)))</f>
        <v>@PH1@ == NOT(DEFINED(@PH2@))</v>
      </c>
      <c r="O540" s="63" t="str" cm="1">
        <f t="array" aca="1" ref="O540" ca="1">IF(C540=0,IF(F540=0,"",HYPERLINK("#"&amp;RIGHT(CELL("adresse",OFFSET(DMAV_Dienste!$M$6,F540-1,0)),LEN(CELL("adresse",OFFSET(DMAV_Dienste!$M$6,F540-1,0)))-FIND("]",CELL("adresse",OFFSET(DMAV_Dienste!$M$6,F540-1,0)))),"Structure")),HYPERLINK("#"&amp;RIGHT(CELL("adresse",OFFSET(DMAV_Modell!$N$6,C540-1,0)),LEN(CELL("adresse",OFFSET(DMAV_Modell!$N$6,C540-1,0)))-FIND("]",CELL("adresse",OFFSET(DMAV_Modell!$N$6,C540-1,0)))),"Structure"))</f>
        <v/>
      </c>
      <c r="P540" s="64" t="str" cm="1">
        <f t="array" aca="1" ref="P540" ca="1">IF(D540=0,IF(G540=0,"",HYPERLINK("#"&amp;RIGHT(CELL("adresse",OFFSET(DMAV_Dienste!$M$6,G540-1,0)),LEN(CELL("adresse",OFFSET(DMAV_Dienste!$M$6,G540-1,0)))-FIND("]",CELL("adresse",OFFSET(DMAV_Dienste!$M$6,G540-1,0)))),"Substructure")),HYPERLINK("#"&amp;RIGHT(CELL("adresse",OFFSET(DMAV_Modell!$N$6,D540-1,0)),LEN(CELL("adresse",OFFSET(DMAV_Modell!$N$6,D540-1,0)))-FIND("]",CELL("adresse",OFFSET(DMAV_Modell!$N$6,D540-1,0)))),"Substructure"))</f>
        <v/>
      </c>
      <c r="R540" s="80"/>
      <c r="T540" s="93"/>
      <c r="U540" s="94"/>
      <c r="V540" s="95"/>
      <c r="W540" s="96"/>
      <c r="Y540" s="85"/>
      <c r="Z540" s="86"/>
      <c r="AA540" s="87"/>
      <c r="AB540" s="88"/>
      <c r="AD540" s="77"/>
      <c r="AF540" s="54" t="str" cm="1">
        <f t="array" aca="1" ref="AF540" ca="1">IF(H540=0,"",HYPERLINK("#"&amp;RIGHT(CELL("adresse",OFFSET('DM01-AV-CH'!$G$6,H540-1,0)),LEN(CELL("adresse",OFFSET('DM01-AV-CH'!$G$6,H540-1,0)))-FIND("]",CELL("adresse",OFFSET('DM01-AV-CH'!$G$6,H540-1,0)))),"Modell"))</f>
        <v/>
      </c>
      <c r="AG540" s="72" t="str" cm="1">
        <f t="array" ref="AG540">IF($H540=0,"",IF(INDEX('DM01-AV-CH'!G$6:G$834,$H540)="","",INDEX('DM01-AV-CH'!G$6:G$834,$H540)))</f>
        <v/>
      </c>
      <c r="AH540" s="73" t="str" cm="1">
        <f t="array" ref="AH540">IF($H540=0,"",IF(INDEX('DM01-AV-CH'!H$6:H$834,$H540)="","",INDEX('DM01-AV-CH'!H$6:H$834,$H540)))</f>
        <v/>
      </c>
      <c r="AI540" s="74" t="str" cm="1">
        <f t="array" ref="AI540">IF($H540=0,"",IF(INDEX('DM01-AV-CH'!I$6:I$834,$H540)="","",INDEX('DM01-AV-CH'!I$6:I$834,$H540)))</f>
        <v/>
      </c>
    </row>
    <row r="541" spans="1:35" x14ac:dyDescent="0.25">
      <c r="A541" s="57">
        <v>536</v>
      </c>
      <c r="B541" s="57">
        <f>IF($A541="","",IF(_xlfn.XLOOKUP($A541,Korrelation!$D$4:$D$1197,Korrelation!E$4:E$1197,"-",0)="-",0,MATCH(_xlfn.XLOOKUP($A541,Korrelation!$D$4:$D$1197,Korrelation!E$4:E$1197,"",0),DMAV_Modell!$G$6:$G$677,0)))</f>
        <v>249</v>
      </c>
      <c r="C541" s="57">
        <f>IF($A541="","",IF(_xlfn.XLOOKUP($A541,Korrelation!$D$4:$D$1197,Korrelation!F$4:F$1197,"-",0)="-",0,MATCH(_xlfn.XLOOKUP($A541,Korrelation!$D$4:$D$1197,Korrelation!F$4:F$1197,"",0),DMAV_Modell!$G$6:$G$677,0)))</f>
        <v>0</v>
      </c>
      <c r="D541" s="57">
        <f>IF($A541="","",IF(_xlfn.XLOOKUP($A541,Korrelation!$D$4:$D$1197,Korrelation!G$4:G$1197,"-",0)="-",0,MATCH(_xlfn.XLOOKUP($A541,Korrelation!$D$4:$D$1197,Korrelation!G$4:G$1197,"",0),DMAV_Modell!$G$6:$G$677,0)))</f>
        <v>0</v>
      </c>
      <c r="E541" s="57">
        <f>IF($A541="","",IF(_xlfn.XLOOKUP($A541,Korrelation!$D$4:$D$1197,Korrelation!H$4:H$1197,"-",0)="-",0,MATCH(_xlfn.XLOOKUP($A541,Korrelation!$D$4:$D$1197,Korrelation!H$4:H$1197,"",0),DMAV_Dienste!$F$6:$F$140,0)))</f>
        <v>0</v>
      </c>
      <c r="F541" s="57">
        <f>IF($A541="","",IF(_xlfn.XLOOKUP($A541,Korrelation!$D$4:$D$1197,Korrelation!I$4:I$1197,"-",0)="-",0,MATCH(_xlfn.XLOOKUP($A541,Korrelation!$D$4:$D$1197,Korrelation!I$4:I$1197,"",0),DMAV_Dienste!$F$6:$F$140,0)))</f>
        <v>0</v>
      </c>
      <c r="G541" s="57">
        <f>IF($A541="","",IF(_xlfn.XLOOKUP($A541,Korrelation!$D$4:$D$1197,Korrelation!J$4:J$1197,"-",0)="-",0,MATCH(_xlfn.XLOOKUP($A541,Korrelation!$D$4:$D$1197,Korrelation!J$4:J$1197,"",0),DMAV_Dienste!$F$6:$F$140,0)))</f>
        <v>0</v>
      </c>
      <c r="H541" s="57">
        <f>IF($A541="","",IF(_xlfn.XLOOKUP($A541,Korrelation!$D$4:$D$1197,Korrelation!K$4:K$1197,"-",0)="-",0,MATCH(_xlfn.XLOOKUP($A541,Korrelation!$D$4:$D$1197,Korrelation!K$4:K$1197,"",0),'DM01-AV-CH'!$A$6:$A$834,0)))</f>
        <v>0</v>
      </c>
      <c r="J541" s="54" t="str" cm="1">
        <f t="array" aca="1" ref="J541" ca="1">IF(B541=0,IF(E541=0,"",HYPERLINK("#"&amp;RIGHT(CELL("adresse",OFFSET(DMAV_Dienste!$M$6,E541-1,0)),LEN(CELL("adresse",OFFSET(DMAV_Dienste!$M$6,E541-1,0)))-FIND("]",CELL("adresse",OFFSET(DMAV_Dienste!$M$6,E541-1,0)))),"Dienst")),HYPERLINK("#"&amp;RIGHT(CELL("adresse",OFFSET(DMAV_Modell!$N$6,B541-1,0)),LEN(CELL("adresse",OFFSET(DMAV_Modell!$N$6,B541-1,0)))-FIND("]",CELL("adresse",OFFSET(DMAV_Modell!$N$6,B541-1,0)))),"Modell"))</f>
        <v>Modell</v>
      </c>
      <c r="K541" s="61" t="str" cm="1">
        <f t="array" ref="K541">IF($B541=0,IF($E541=0,"",IF(INDEX(DMAV_Dienste!P$6:P$140,$E541)="","",INDEX(DMAV_Dienste!P$6:P$140,$E541))),IF(INDEX(DMAV_Modell!Q$6:Q$838,$B541)="","",INDEX(DMAV_Modell!Q$6:Q$838,$B541)))</f>
        <v>ASSOCIATION</v>
      </c>
      <c r="L541" s="62" t="str" cm="1">
        <f t="array" ref="L541">IF($B541=0,IF($E541=0,"",IF(INDEX(DMAV_Dienste!O$6:O$140,$E541)="","",INDEX(DMAV_Dienste!O$6:O$140,$E541))),IF(INDEX(DMAV_Modell!P$6:P$838,$B541)="","",INDEX(DMAV_Modell!P$6:P$838,$B541)))</f>
        <v>Grundstuecke</v>
      </c>
      <c r="M541" s="62" t="str" cm="1">
        <f t="array" ref="M541">IF($B541=0,IF($E541=0,"",IF(INDEX(DMAV_Dienste!Q$6:Q$140,$E541)="","",INDEX(DMAV_Dienste!Q$6:Q$140,$E541))),IF(INDEX(DMAV_Modell!R$6:R$838,$B541)="","",INDEX(DMAV_Modell!R$6:R$838,$B541)))</f>
        <v>Entstehung_Grundstueck</v>
      </c>
      <c r="N541" s="62" t="str" cm="1">
        <f t="array" ref="N541">IF($B541=0,IF($E541=0,"",IF(INDEX(DMAV_Dienste!T$6:T$140,$E541)="","",INDEX(DMAV_Dienste!T$6:T$140,$E541))),IF(INDEX(DMAV_Modell!U$6:U$838,$B541)="","",INDEX(DMAV_Modell!U$6:U$838,$B541)))</f>
        <v>Entstehung</v>
      </c>
      <c r="O541" s="63" t="str" cm="1">
        <f t="array" aca="1" ref="O541" ca="1">IF(C541=0,IF(F541=0,"",HYPERLINK("#"&amp;RIGHT(CELL("adresse",OFFSET(DMAV_Dienste!$M$6,F541-1,0)),LEN(CELL("adresse",OFFSET(DMAV_Dienste!$M$6,F541-1,0)))-FIND("]",CELL("adresse",OFFSET(DMAV_Dienste!$M$6,F541-1,0)))),"Structure")),HYPERLINK("#"&amp;RIGHT(CELL("adresse",OFFSET(DMAV_Modell!$N$6,C541-1,0)),LEN(CELL("adresse",OFFSET(DMAV_Modell!$N$6,C541-1,0)))-FIND("]",CELL("adresse",OFFSET(DMAV_Modell!$N$6,C541-1,0)))),"Structure"))</f>
        <v/>
      </c>
      <c r="P541" s="64" t="str" cm="1">
        <f t="array" aca="1" ref="P541" ca="1">IF(D541=0,IF(G541=0,"",HYPERLINK("#"&amp;RIGHT(CELL("adresse",OFFSET(DMAV_Dienste!$M$6,G541-1,0)),LEN(CELL("adresse",OFFSET(DMAV_Dienste!$M$6,G541-1,0)))-FIND("]",CELL("adresse",OFFSET(DMAV_Dienste!$M$6,G541-1,0)))),"Substructure")),HYPERLINK("#"&amp;RIGHT(CELL("adresse",OFFSET(DMAV_Modell!$N$6,D541-1,0)),LEN(CELL("adresse",OFFSET(DMAV_Modell!$N$6,D541-1,0)))-FIND("]",CELL("adresse",OFFSET(DMAV_Modell!$N$6,D541-1,0)))),"Substructure"))</f>
        <v/>
      </c>
      <c r="R541" s="80"/>
      <c r="T541" s="93"/>
      <c r="U541" s="94"/>
      <c r="V541" s="95"/>
      <c r="W541" s="96"/>
      <c r="Y541" s="85"/>
      <c r="Z541" s="86"/>
      <c r="AA541" s="87"/>
      <c r="AB541" s="88"/>
      <c r="AD541" s="77"/>
      <c r="AF541" s="54" t="str" cm="1">
        <f t="array" aca="1" ref="AF541" ca="1">IF(H541=0,"",HYPERLINK("#"&amp;RIGHT(CELL("adresse",OFFSET('DM01-AV-CH'!$G$6,H541-1,0)),LEN(CELL("adresse",OFFSET('DM01-AV-CH'!$G$6,H541-1,0)))-FIND("]",CELL("adresse",OFFSET('DM01-AV-CH'!$G$6,H541-1,0)))),"Modell"))</f>
        <v/>
      </c>
      <c r="AG541" s="72" t="str" cm="1">
        <f t="array" ref="AG541">IF($H541=0,"",IF(INDEX('DM01-AV-CH'!G$6:G$834,$H541)="","",INDEX('DM01-AV-CH'!G$6:G$834,$H541)))</f>
        <v/>
      </c>
      <c r="AH541" s="73" t="str" cm="1">
        <f t="array" ref="AH541">IF($H541=0,"",IF(INDEX('DM01-AV-CH'!H$6:H$834,$H541)="","",INDEX('DM01-AV-CH'!H$6:H$834,$H541)))</f>
        <v/>
      </c>
      <c r="AI541" s="74" t="str" cm="1">
        <f t="array" ref="AI541">IF($H541=0,"",IF(INDEX('DM01-AV-CH'!I$6:I$834,$H541)="","",INDEX('DM01-AV-CH'!I$6:I$834,$H541)))</f>
        <v/>
      </c>
    </row>
    <row r="542" spans="1:35" x14ac:dyDescent="0.25">
      <c r="A542" s="57">
        <v>537</v>
      </c>
      <c r="B542" s="57">
        <f>IF($A542="","",IF(_xlfn.XLOOKUP($A542,Korrelation!$D$4:$D$1197,Korrelation!E$4:E$1197,"-",0)="-",0,MATCH(_xlfn.XLOOKUP($A542,Korrelation!$D$4:$D$1197,Korrelation!E$4:E$1197,"",0),DMAV_Modell!$G$6:$G$677,0)))</f>
        <v>250</v>
      </c>
      <c r="C542" s="57">
        <f>IF($A542="","",IF(_xlfn.XLOOKUP($A542,Korrelation!$D$4:$D$1197,Korrelation!F$4:F$1197,"-",0)="-",0,MATCH(_xlfn.XLOOKUP($A542,Korrelation!$D$4:$D$1197,Korrelation!F$4:F$1197,"",0),DMAV_Modell!$G$6:$G$677,0)))</f>
        <v>0</v>
      </c>
      <c r="D542" s="57">
        <f>IF($A542="","",IF(_xlfn.XLOOKUP($A542,Korrelation!$D$4:$D$1197,Korrelation!G$4:G$1197,"-",0)="-",0,MATCH(_xlfn.XLOOKUP($A542,Korrelation!$D$4:$D$1197,Korrelation!G$4:G$1197,"",0),DMAV_Modell!$G$6:$G$677,0)))</f>
        <v>0</v>
      </c>
      <c r="E542" s="57">
        <f>IF($A542="","",IF(_xlfn.XLOOKUP($A542,Korrelation!$D$4:$D$1197,Korrelation!H$4:H$1197,"-",0)="-",0,MATCH(_xlfn.XLOOKUP($A542,Korrelation!$D$4:$D$1197,Korrelation!H$4:H$1197,"",0),DMAV_Dienste!$F$6:$F$140,0)))</f>
        <v>0</v>
      </c>
      <c r="F542" s="57">
        <f>IF($A542="","",IF(_xlfn.XLOOKUP($A542,Korrelation!$D$4:$D$1197,Korrelation!I$4:I$1197,"-",0)="-",0,MATCH(_xlfn.XLOOKUP($A542,Korrelation!$D$4:$D$1197,Korrelation!I$4:I$1197,"",0),DMAV_Dienste!$F$6:$F$140,0)))</f>
        <v>0</v>
      </c>
      <c r="G542" s="57">
        <f>IF($A542="","",IF(_xlfn.XLOOKUP($A542,Korrelation!$D$4:$D$1197,Korrelation!J$4:J$1197,"-",0)="-",0,MATCH(_xlfn.XLOOKUP($A542,Korrelation!$D$4:$D$1197,Korrelation!J$4:J$1197,"",0),DMAV_Dienste!$F$6:$F$140,0)))</f>
        <v>0</v>
      </c>
      <c r="H542" s="57">
        <f>IF($A542="","",IF(_xlfn.XLOOKUP($A542,Korrelation!$D$4:$D$1197,Korrelation!K$4:K$1197,"-",0)="-",0,MATCH(_xlfn.XLOOKUP($A542,Korrelation!$D$4:$D$1197,Korrelation!K$4:K$1197,"",0),'DM01-AV-CH'!$A$6:$A$834,0)))</f>
        <v>0</v>
      </c>
      <c r="J542" s="54" t="str" cm="1">
        <f t="array" aca="1" ref="J542" ca="1">IF(B542=0,IF(E542=0,"",HYPERLINK("#"&amp;RIGHT(CELL("adresse",OFFSET(DMAV_Dienste!$M$6,E542-1,0)),LEN(CELL("adresse",OFFSET(DMAV_Dienste!$M$6,E542-1,0)))-FIND("]",CELL("adresse",OFFSET(DMAV_Dienste!$M$6,E542-1,0)))),"Dienst")),HYPERLINK("#"&amp;RIGHT(CELL("adresse",OFFSET(DMAV_Modell!$N$6,B542-1,0)),LEN(CELL("adresse",OFFSET(DMAV_Modell!$N$6,B542-1,0)))-FIND("]",CELL("adresse",OFFSET(DMAV_Modell!$N$6,B542-1,0)))),"Modell"))</f>
        <v>Modell</v>
      </c>
      <c r="K542" s="61" t="str" cm="1">
        <f t="array" ref="K542">IF($B542=0,IF($E542=0,"",IF(INDEX(DMAV_Dienste!P$6:P$140,$E542)="","",INDEX(DMAV_Dienste!P$6:P$140,$E542))),IF(INDEX(DMAV_Modell!Q$6:Q$838,$B542)="","",INDEX(DMAV_Modell!Q$6:Q$838,$B542)))</f>
        <v>ASSOCIATION</v>
      </c>
      <c r="L542" s="62" t="str" cm="1">
        <f t="array" ref="L542">IF($B542=0,IF($E542=0,"",IF(INDEX(DMAV_Dienste!O$6:O$140,$E542)="","",INDEX(DMAV_Dienste!O$6:O$140,$E542))),IF(INDEX(DMAV_Modell!P$6:P$838,$B542)="","",INDEX(DMAV_Modell!P$6:P$838,$B542)))</f>
        <v>Grundstuecke</v>
      </c>
      <c r="M542" s="62" t="str" cm="1">
        <f t="array" ref="M542">IF($B542=0,IF($E542=0,"",IF(INDEX(DMAV_Dienste!Q$6:Q$140,$E542)="","",INDEX(DMAV_Dienste!Q$6:Q$140,$E542))),IF(INDEX(DMAV_Modell!R$6:R$838,$B542)="","",INDEX(DMAV_Modell!R$6:R$838,$B542)))</f>
        <v>Entstehung_Grundstueck</v>
      </c>
      <c r="N542" s="62" t="str" cm="1">
        <f t="array" ref="N542">IF($B542=0,IF($E542=0,"",IF(INDEX(DMAV_Dienste!T$6:T$140,$E542)="","",INDEX(DMAV_Dienste!T$6:T$140,$E542))),IF(INDEX(DMAV_Modell!U$6:U$838,$B542)="","",INDEX(DMAV_Modell!U$6:U$838,$B542)))</f>
        <v>entstehendes_Grundstueck</v>
      </c>
      <c r="O542" s="63" t="str" cm="1">
        <f t="array" aca="1" ref="O542" ca="1">IF(C542=0,IF(F542=0,"",HYPERLINK("#"&amp;RIGHT(CELL("adresse",OFFSET(DMAV_Dienste!$M$6,F542-1,0)),LEN(CELL("adresse",OFFSET(DMAV_Dienste!$M$6,F542-1,0)))-FIND("]",CELL("adresse",OFFSET(DMAV_Dienste!$M$6,F542-1,0)))),"Structure")),HYPERLINK("#"&amp;RIGHT(CELL("adresse",OFFSET(DMAV_Modell!$N$6,C542-1,0)),LEN(CELL("adresse",OFFSET(DMAV_Modell!$N$6,C542-1,0)))-FIND("]",CELL("adresse",OFFSET(DMAV_Modell!$N$6,C542-1,0)))),"Structure"))</f>
        <v/>
      </c>
      <c r="P542" s="64" t="str" cm="1">
        <f t="array" aca="1" ref="P542" ca="1">IF(D542=0,IF(G542=0,"",HYPERLINK("#"&amp;RIGHT(CELL("adresse",OFFSET(DMAV_Dienste!$M$6,G542-1,0)),LEN(CELL("adresse",OFFSET(DMAV_Dienste!$M$6,G542-1,0)))-FIND("]",CELL("adresse",OFFSET(DMAV_Dienste!$M$6,G542-1,0)))),"Substructure")),HYPERLINK("#"&amp;RIGHT(CELL("adresse",OFFSET(DMAV_Modell!$N$6,D542-1,0)),LEN(CELL("adresse",OFFSET(DMAV_Modell!$N$6,D542-1,0)))-FIND("]",CELL("adresse",OFFSET(DMAV_Modell!$N$6,D542-1,0)))),"Substructure"))</f>
        <v/>
      </c>
      <c r="R542" s="80"/>
      <c r="T542" s="93"/>
      <c r="U542" s="94"/>
      <c r="V542" s="95"/>
      <c r="W542" s="96"/>
      <c r="Y542" s="85"/>
      <c r="Z542" s="86"/>
      <c r="AA542" s="87"/>
      <c r="AB542" s="88"/>
      <c r="AD542" s="77"/>
      <c r="AF542" s="54" t="str" cm="1">
        <f t="array" aca="1" ref="AF542" ca="1">IF(H542=0,"",HYPERLINK("#"&amp;RIGHT(CELL("adresse",OFFSET('DM01-AV-CH'!$G$6,H542-1,0)),LEN(CELL("adresse",OFFSET('DM01-AV-CH'!$G$6,H542-1,0)))-FIND("]",CELL("adresse",OFFSET('DM01-AV-CH'!$G$6,H542-1,0)))),"Modell"))</f>
        <v/>
      </c>
      <c r="AG542" s="72" t="str" cm="1">
        <f t="array" ref="AG542">IF($H542=0,"",IF(INDEX('DM01-AV-CH'!G$6:G$834,$H542)="","",INDEX('DM01-AV-CH'!G$6:G$834,$H542)))</f>
        <v/>
      </c>
      <c r="AH542" s="73" t="str" cm="1">
        <f t="array" ref="AH542">IF($H542=0,"",IF(INDEX('DM01-AV-CH'!H$6:H$834,$H542)="","",INDEX('DM01-AV-CH'!H$6:H$834,$H542)))</f>
        <v/>
      </c>
      <c r="AI542" s="74" t="str" cm="1">
        <f t="array" ref="AI542">IF($H542=0,"",IF(INDEX('DM01-AV-CH'!I$6:I$834,$H542)="","",INDEX('DM01-AV-CH'!I$6:I$834,$H542)))</f>
        <v/>
      </c>
    </row>
    <row r="543" spans="1:35" x14ac:dyDescent="0.25">
      <c r="A543" s="57">
        <v>538</v>
      </c>
      <c r="B543" s="57">
        <f>IF($A543="","",IF(_xlfn.XLOOKUP($A543,Korrelation!$D$4:$D$1197,Korrelation!E$4:E$1197,"-",0)="-",0,MATCH(_xlfn.XLOOKUP($A543,Korrelation!$D$4:$D$1197,Korrelation!E$4:E$1197,"",0),DMAV_Modell!$G$6:$G$677,0)))</f>
        <v>251</v>
      </c>
      <c r="C543" s="57">
        <f>IF($A543="","",IF(_xlfn.XLOOKUP($A543,Korrelation!$D$4:$D$1197,Korrelation!F$4:F$1197,"-",0)="-",0,MATCH(_xlfn.XLOOKUP($A543,Korrelation!$D$4:$D$1197,Korrelation!F$4:F$1197,"",0),DMAV_Modell!$G$6:$G$677,0)))</f>
        <v>0</v>
      </c>
      <c r="D543" s="57">
        <f>IF($A543="","",IF(_xlfn.XLOOKUP($A543,Korrelation!$D$4:$D$1197,Korrelation!G$4:G$1197,"-",0)="-",0,MATCH(_xlfn.XLOOKUP($A543,Korrelation!$D$4:$D$1197,Korrelation!G$4:G$1197,"",0),DMAV_Modell!$G$6:$G$677,0)))</f>
        <v>0</v>
      </c>
      <c r="E543" s="57">
        <f>IF($A543="","",IF(_xlfn.XLOOKUP($A543,Korrelation!$D$4:$D$1197,Korrelation!H$4:H$1197,"-",0)="-",0,MATCH(_xlfn.XLOOKUP($A543,Korrelation!$D$4:$D$1197,Korrelation!H$4:H$1197,"",0),DMAV_Dienste!$F$6:$F$140,0)))</f>
        <v>0</v>
      </c>
      <c r="F543" s="57">
        <f>IF($A543="","",IF(_xlfn.XLOOKUP($A543,Korrelation!$D$4:$D$1197,Korrelation!I$4:I$1197,"-",0)="-",0,MATCH(_xlfn.XLOOKUP($A543,Korrelation!$D$4:$D$1197,Korrelation!I$4:I$1197,"",0),DMAV_Dienste!$F$6:$F$140,0)))</f>
        <v>0</v>
      </c>
      <c r="G543" s="57">
        <f>IF($A543="","",IF(_xlfn.XLOOKUP($A543,Korrelation!$D$4:$D$1197,Korrelation!J$4:J$1197,"-",0)="-",0,MATCH(_xlfn.XLOOKUP($A543,Korrelation!$D$4:$D$1197,Korrelation!J$4:J$1197,"",0),DMAV_Dienste!$F$6:$F$140,0)))</f>
        <v>0</v>
      </c>
      <c r="H543" s="57">
        <f>IF($A543="","",IF(_xlfn.XLOOKUP($A543,Korrelation!$D$4:$D$1197,Korrelation!K$4:K$1197,"-",0)="-",0,MATCH(_xlfn.XLOOKUP($A543,Korrelation!$D$4:$D$1197,Korrelation!K$4:K$1197,"",0),'DM01-AV-CH'!$A$6:$A$834,0)))</f>
        <v>0</v>
      </c>
      <c r="J543" s="54" t="str" cm="1">
        <f t="array" aca="1" ref="J543" ca="1">IF(B543=0,IF(E543=0,"",HYPERLINK("#"&amp;RIGHT(CELL("adresse",OFFSET(DMAV_Dienste!$M$6,E543-1,0)),LEN(CELL("adresse",OFFSET(DMAV_Dienste!$M$6,E543-1,0)))-FIND("]",CELL("adresse",OFFSET(DMAV_Dienste!$M$6,E543-1,0)))),"Dienst")),HYPERLINK("#"&amp;RIGHT(CELL("adresse",OFFSET(DMAV_Modell!$N$6,B543-1,0)),LEN(CELL("adresse",OFFSET(DMAV_Modell!$N$6,B543-1,0)))-FIND("]",CELL("adresse",OFFSET(DMAV_Modell!$N$6,B543-1,0)))),"Modell"))</f>
        <v>Modell</v>
      </c>
      <c r="K543" s="61" t="str" cm="1">
        <f t="array" ref="K543">IF($B543=0,IF($E543=0,"",IF(INDEX(DMAV_Dienste!P$6:P$140,$E543)="","",INDEX(DMAV_Dienste!P$6:P$140,$E543))),IF(INDEX(DMAV_Modell!Q$6:Q$838,$B543)="","",INDEX(DMAV_Modell!Q$6:Q$838,$B543)))</f>
        <v>ASSOCIATION</v>
      </c>
      <c r="L543" s="62" t="str" cm="1">
        <f t="array" ref="L543">IF($B543=0,IF($E543=0,"",IF(INDEX(DMAV_Dienste!O$6:O$140,$E543)="","",INDEX(DMAV_Dienste!O$6:O$140,$E543))),IF(INDEX(DMAV_Modell!P$6:P$838,$B543)="","",INDEX(DMAV_Modell!P$6:P$838,$B543)))</f>
        <v>Grundstuecke</v>
      </c>
      <c r="M543" s="62" t="str" cm="1">
        <f t="array" ref="M543">IF($B543=0,IF($E543=0,"",IF(INDEX(DMAV_Dienste!Q$6:Q$140,$E543)="","",INDEX(DMAV_Dienste!Q$6:Q$140,$E543))),IF(INDEX(DMAV_Modell!R$6:R$838,$B543)="","",INDEX(DMAV_Modell!R$6:R$838,$B543)))</f>
        <v>Untergang_Grundstueck</v>
      </c>
      <c r="N543" s="62" t="str" cm="1">
        <f t="array" ref="N543">IF($B543=0,IF($E543=0,"",IF(INDEX(DMAV_Dienste!T$6:T$140,$E543)="","",INDEX(DMAV_Dienste!T$6:T$140,$E543))),IF(INDEX(DMAV_Modell!U$6:U$838,$B543)="","",INDEX(DMAV_Modell!U$6:U$838,$B543)))</f>
        <v>Untergang</v>
      </c>
      <c r="O543" s="63" t="str" cm="1">
        <f t="array" aca="1" ref="O543" ca="1">IF(C543=0,IF(F543=0,"",HYPERLINK("#"&amp;RIGHT(CELL("adresse",OFFSET(DMAV_Dienste!$M$6,F543-1,0)),LEN(CELL("adresse",OFFSET(DMAV_Dienste!$M$6,F543-1,0)))-FIND("]",CELL("adresse",OFFSET(DMAV_Dienste!$M$6,F543-1,0)))),"Structure")),HYPERLINK("#"&amp;RIGHT(CELL("adresse",OFFSET(DMAV_Modell!$N$6,C543-1,0)),LEN(CELL("adresse",OFFSET(DMAV_Modell!$N$6,C543-1,0)))-FIND("]",CELL("adresse",OFFSET(DMAV_Modell!$N$6,C543-1,0)))),"Structure"))</f>
        <v/>
      </c>
      <c r="P543" s="64" t="str" cm="1">
        <f t="array" aca="1" ref="P543" ca="1">IF(D543=0,IF(G543=0,"",HYPERLINK("#"&amp;RIGHT(CELL("adresse",OFFSET(DMAV_Dienste!$M$6,G543-1,0)),LEN(CELL("adresse",OFFSET(DMAV_Dienste!$M$6,G543-1,0)))-FIND("]",CELL("adresse",OFFSET(DMAV_Dienste!$M$6,G543-1,0)))),"Substructure")),HYPERLINK("#"&amp;RIGHT(CELL("adresse",OFFSET(DMAV_Modell!$N$6,D543-1,0)),LEN(CELL("adresse",OFFSET(DMAV_Modell!$N$6,D543-1,0)))-FIND("]",CELL("adresse",OFFSET(DMAV_Modell!$N$6,D543-1,0)))),"Substructure"))</f>
        <v/>
      </c>
      <c r="R543" s="80"/>
      <c r="T543" s="93"/>
      <c r="U543" s="94"/>
      <c r="V543" s="95"/>
      <c r="W543" s="96"/>
      <c r="Y543" s="85"/>
      <c r="Z543" s="86"/>
      <c r="AA543" s="87"/>
      <c r="AB543" s="88"/>
      <c r="AD543" s="77"/>
      <c r="AF543" s="54" t="str" cm="1">
        <f t="array" aca="1" ref="AF543" ca="1">IF(H543=0,"",HYPERLINK("#"&amp;RIGHT(CELL("adresse",OFFSET('DM01-AV-CH'!$G$6,H543-1,0)),LEN(CELL("adresse",OFFSET('DM01-AV-CH'!$G$6,H543-1,0)))-FIND("]",CELL("adresse",OFFSET('DM01-AV-CH'!$G$6,H543-1,0)))),"Modell"))</f>
        <v/>
      </c>
      <c r="AG543" s="72" t="str" cm="1">
        <f t="array" ref="AG543">IF($H543=0,"",IF(INDEX('DM01-AV-CH'!G$6:G$834,$H543)="","",INDEX('DM01-AV-CH'!G$6:G$834,$H543)))</f>
        <v/>
      </c>
      <c r="AH543" s="73" t="str" cm="1">
        <f t="array" ref="AH543">IF($H543=0,"",IF(INDEX('DM01-AV-CH'!H$6:H$834,$H543)="","",INDEX('DM01-AV-CH'!H$6:H$834,$H543)))</f>
        <v/>
      </c>
      <c r="AI543" s="74" t="str" cm="1">
        <f t="array" ref="AI543">IF($H543=0,"",IF(INDEX('DM01-AV-CH'!I$6:I$834,$H543)="","",INDEX('DM01-AV-CH'!I$6:I$834,$H543)))</f>
        <v/>
      </c>
    </row>
    <row r="544" spans="1:35" x14ac:dyDescent="0.25">
      <c r="A544" s="57">
        <v>539</v>
      </c>
      <c r="B544" s="57">
        <f>IF($A544="","",IF(_xlfn.XLOOKUP($A544,Korrelation!$D$4:$D$1197,Korrelation!E$4:E$1197,"-",0)="-",0,MATCH(_xlfn.XLOOKUP($A544,Korrelation!$D$4:$D$1197,Korrelation!E$4:E$1197,"",0),DMAV_Modell!$G$6:$G$677,0)))</f>
        <v>252</v>
      </c>
      <c r="C544" s="57">
        <f>IF($A544="","",IF(_xlfn.XLOOKUP($A544,Korrelation!$D$4:$D$1197,Korrelation!F$4:F$1197,"-",0)="-",0,MATCH(_xlfn.XLOOKUP($A544,Korrelation!$D$4:$D$1197,Korrelation!F$4:F$1197,"",0),DMAV_Modell!$G$6:$G$677,0)))</f>
        <v>0</v>
      </c>
      <c r="D544" s="57">
        <f>IF($A544="","",IF(_xlfn.XLOOKUP($A544,Korrelation!$D$4:$D$1197,Korrelation!G$4:G$1197,"-",0)="-",0,MATCH(_xlfn.XLOOKUP($A544,Korrelation!$D$4:$D$1197,Korrelation!G$4:G$1197,"",0),DMAV_Modell!$G$6:$G$677,0)))</f>
        <v>0</v>
      </c>
      <c r="E544" s="57">
        <f>IF($A544="","",IF(_xlfn.XLOOKUP($A544,Korrelation!$D$4:$D$1197,Korrelation!H$4:H$1197,"-",0)="-",0,MATCH(_xlfn.XLOOKUP($A544,Korrelation!$D$4:$D$1197,Korrelation!H$4:H$1197,"",0),DMAV_Dienste!$F$6:$F$140,0)))</f>
        <v>0</v>
      </c>
      <c r="F544" s="57">
        <f>IF($A544="","",IF(_xlfn.XLOOKUP($A544,Korrelation!$D$4:$D$1197,Korrelation!I$4:I$1197,"-",0)="-",0,MATCH(_xlfn.XLOOKUP($A544,Korrelation!$D$4:$D$1197,Korrelation!I$4:I$1197,"",0),DMAV_Dienste!$F$6:$F$140,0)))</f>
        <v>0</v>
      </c>
      <c r="G544" s="57">
        <f>IF($A544="","",IF(_xlfn.XLOOKUP($A544,Korrelation!$D$4:$D$1197,Korrelation!J$4:J$1197,"-",0)="-",0,MATCH(_xlfn.XLOOKUP($A544,Korrelation!$D$4:$D$1197,Korrelation!J$4:J$1197,"",0),DMAV_Dienste!$F$6:$F$140,0)))</f>
        <v>0</v>
      </c>
      <c r="H544" s="57">
        <f>IF($A544="","",IF(_xlfn.XLOOKUP($A544,Korrelation!$D$4:$D$1197,Korrelation!K$4:K$1197,"-",0)="-",0,MATCH(_xlfn.XLOOKUP($A544,Korrelation!$D$4:$D$1197,Korrelation!K$4:K$1197,"",0),'DM01-AV-CH'!$A$6:$A$834,0)))</f>
        <v>0</v>
      </c>
      <c r="J544" s="54" t="str" cm="1">
        <f t="array" aca="1" ref="J544" ca="1">IF(B544=0,IF(E544=0,"",HYPERLINK("#"&amp;RIGHT(CELL("adresse",OFFSET(DMAV_Dienste!$M$6,E544-1,0)),LEN(CELL("adresse",OFFSET(DMAV_Dienste!$M$6,E544-1,0)))-FIND("]",CELL("adresse",OFFSET(DMAV_Dienste!$M$6,E544-1,0)))),"Dienst")),HYPERLINK("#"&amp;RIGHT(CELL("adresse",OFFSET(DMAV_Modell!$N$6,B544-1,0)),LEN(CELL("adresse",OFFSET(DMAV_Modell!$N$6,B544-1,0)))-FIND("]",CELL("adresse",OFFSET(DMAV_Modell!$N$6,B544-1,0)))),"Modell"))</f>
        <v>Modell</v>
      </c>
      <c r="K544" s="61" t="str" cm="1">
        <f t="array" ref="K544">IF($B544=0,IF($E544=0,"",IF(INDEX(DMAV_Dienste!P$6:P$140,$E544)="","",INDEX(DMAV_Dienste!P$6:P$140,$E544))),IF(INDEX(DMAV_Modell!Q$6:Q$838,$B544)="","",INDEX(DMAV_Modell!Q$6:Q$838,$B544)))</f>
        <v>ASSOCIATION</v>
      </c>
      <c r="L544" s="62" t="str" cm="1">
        <f t="array" ref="L544">IF($B544=0,IF($E544=0,"",IF(INDEX(DMAV_Dienste!O$6:O$140,$E544)="","",INDEX(DMAV_Dienste!O$6:O$140,$E544))),IF(INDEX(DMAV_Modell!P$6:P$838,$B544)="","",INDEX(DMAV_Modell!P$6:P$838,$B544)))</f>
        <v>Grundstuecke</v>
      </c>
      <c r="M544" s="62" t="str" cm="1">
        <f t="array" ref="M544">IF($B544=0,IF($E544=0,"",IF(INDEX(DMAV_Dienste!Q$6:Q$140,$E544)="","",INDEX(DMAV_Dienste!Q$6:Q$140,$E544))),IF(INDEX(DMAV_Modell!R$6:R$838,$B544)="","",INDEX(DMAV_Modell!R$6:R$838,$B544)))</f>
        <v>Untergang_Grundstueck</v>
      </c>
      <c r="N544" s="62" t="str" cm="1">
        <f t="array" ref="N544">IF($B544=0,IF($E544=0,"",IF(INDEX(DMAV_Dienste!T$6:T$140,$E544)="","",INDEX(DMAV_Dienste!T$6:T$140,$E544))),IF(INDEX(DMAV_Modell!U$6:U$838,$B544)="","",INDEX(DMAV_Modell!U$6:U$838,$B544)))</f>
        <v>untergehendes_Grundstueck</v>
      </c>
      <c r="O544" s="63" t="str" cm="1">
        <f t="array" aca="1" ref="O544" ca="1">IF(C544=0,IF(F544=0,"",HYPERLINK("#"&amp;RIGHT(CELL("adresse",OFFSET(DMAV_Dienste!$M$6,F544-1,0)),LEN(CELL("adresse",OFFSET(DMAV_Dienste!$M$6,F544-1,0)))-FIND("]",CELL("adresse",OFFSET(DMAV_Dienste!$M$6,F544-1,0)))),"Structure")),HYPERLINK("#"&amp;RIGHT(CELL("adresse",OFFSET(DMAV_Modell!$N$6,C544-1,0)),LEN(CELL("adresse",OFFSET(DMAV_Modell!$N$6,C544-1,0)))-FIND("]",CELL("adresse",OFFSET(DMAV_Modell!$N$6,C544-1,0)))),"Structure"))</f>
        <v/>
      </c>
      <c r="P544" s="64" t="str" cm="1">
        <f t="array" aca="1" ref="P544" ca="1">IF(D544=0,IF(G544=0,"",HYPERLINK("#"&amp;RIGHT(CELL("adresse",OFFSET(DMAV_Dienste!$M$6,G544-1,0)),LEN(CELL("adresse",OFFSET(DMAV_Dienste!$M$6,G544-1,0)))-FIND("]",CELL("adresse",OFFSET(DMAV_Dienste!$M$6,G544-1,0)))),"Substructure")),HYPERLINK("#"&amp;RIGHT(CELL("adresse",OFFSET(DMAV_Modell!$N$6,D544-1,0)),LEN(CELL("adresse",OFFSET(DMAV_Modell!$N$6,D544-1,0)))-FIND("]",CELL("adresse",OFFSET(DMAV_Modell!$N$6,D544-1,0)))),"Substructure"))</f>
        <v/>
      </c>
      <c r="R544" s="80"/>
      <c r="T544" s="93"/>
      <c r="U544" s="94"/>
      <c r="V544" s="95"/>
      <c r="W544" s="96"/>
      <c r="Y544" s="85"/>
      <c r="Z544" s="86"/>
      <c r="AA544" s="87"/>
      <c r="AB544" s="88"/>
      <c r="AD544" s="77"/>
      <c r="AF544" s="54" t="str" cm="1">
        <f t="array" aca="1" ref="AF544" ca="1">IF(H544=0,"",HYPERLINK("#"&amp;RIGHT(CELL("adresse",OFFSET('DM01-AV-CH'!$G$6,H544-1,0)),LEN(CELL("adresse",OFFSET('DM01-AV-CH'!$G$6,H544-1,0)))-FIND("]",CELL("adresse",OFFSET('DM01-AV-CH'!$G$6,H544-1,0)))),"Modell"))</f>
        <v/>
      </c>
      <c r="AG544" s="72" t="str" cm="1">
        <f t="array" ref="AG544">IF($H544=0,"",IF(INDEX('DM01-AV-CH'!G$6:G$834,$H544)="","",INDEX('DM01-AV-CH'!G$6:G$834,$H544)))</f>
        <v/>
      </c>
      <c r="AH544" s="73" t="str" cm="1">
        <f t="array" ref="AH544">IF($H544=0,"",IF(INDEX('DM01-AV-CH'!H$6:H$834,$H544)="","",INDEX('DM01-AV-CH'!H$6:H$834,$H544)))</f>
        <v/>
      </c>
      <c r="AI544" s="74" t="str" cm="1">
        <f t="array" ref="AI544">IF($H544=0,"",IF(INDEX('DM01-AV-CH'!I$6:I$834,$H544)="","",INDEX('DM01-AV-CH'!I$6:I$834,$H544)))</f>
        <v/>
      </c>
    </row>
    <row r="545" spans="1:35" x14ac:dyDescent="0.25">
      <c r="A545" s="57">
        <v>540</v>
      </c>
      <c r="B545" s="57">
        <f>IF($A545="","",IF(_xlfn.XLOOKUP($A545,Korrelation!$D$4:$D$1197,Korrelation!E$4:E$1197,"-",0)="-",0,MATCH(_xlfn.XLOOKUP($A545,Korrelation!$D$4:$D$1197,Korrelation!E$4:E$1197,"",0),DMAV_Modell!$G$6:$G$677,0)))</f>
        <v>253</v>
      </c>
      <c r="C545" s="57">
        <f>IF($A545="","",IF(_xlfn.XLOOKUP($A545,Korrelation!$D$4:$D$1197,Korrelation!F$4:F$1197,"-",0)="-",0,MATCH(_xlfn.XLOOKUP($A545,Korrelation!$D$4:$D$1197,Korrelation!F$4:F$1197,"",0),DMAV_Modell!$G$6:$G$677,0)))</f>
        <v>0</v>
      </c>
      <c r="D545" s="57">
        <f>IF($A545="","",IF(_xlfn.XLOOKUP($A545,Korrelation!$D$4:$D$1197,Korrelation!G$4:G$1197,"-",0)="-",0,MATCH(_xlfn.XLOOKUP($A545,Korrelation!$D$4:$D$1197,Korrelation!G$4:G$1197,"",0),DMAV_Modell!$G$6:$G$677,0)))</f>
        <v>0</v>
      </c>
      <c r="E545" s="57">
        <f>IF($A545="","",IF(_xlfn.XLOOKUP($A545,Korrelation!$D$4:$D$1197,Korrelation!H$4:H$1197,"-",0)="-",0,MATCH(_xlfn.XLOOKUP($A545,Korrelation!$D$4:$D$1197,Korrelation!H$4:H$1197,"",0),DMAV_Dienste!$F$6:$F$140,0)))</f>
        <v>0</v>
      </c>
      <c r="F545" s="57">
        <f>IF($A545="","",IF(_xlfn.XLOOKUP($A545,Korrelation!$D$4:$D$1197,Korrelation!I$4:I$1197,"-",0)="-",0,MATCH(_xlfn.XLOOKUP($A545,Korrelation!$D$4:$D$1197,Korrelation!I$4:I$1197,"",0),DMAV_Dienste!$F$6:$F$140,0)))</f>
        <v>0</v>
      </c>
      <c r="G545" s="57">
        <f>IF($A545="","",IF(_xlfn.XLOOKUP($A545,Korrelation!$D$4:$D$1197,Korrelation!J$4:J$1197,"-",0)="-",0,MATCH(_xlfn.XLOOKUP($A545,Korrelation!$D$4:$D$1197,Korrelation!J$4:J$1197,"",0),DMAV_Dienste!$F$6:$F$140,0)))</f>
        <v>0</v>
      </c>
      <c r="H545" s="57">
        <f>IF($A545="","",IF(_xlfn.XLOOKUP($A545,Korrelation!$D$4:$D$1197,Korrelation!K$4:K$1197,"-",0)="-",0,MATCH(_xlfn.XLOOKUP($A545,Korrelation!$D$4:$D$1197,Korrelation!K$4:K$1197,"",0),'DM01-AV-CH'!$A$6:$A$834,0)))</f>
        <v>0</v>
      </c>
      <c r="J545" s="54" t="str" cm="1">
        <f t="array" aca="1" ref="J545" ca="1">IF(B545=0,IF(E545=0,"",HYPERLINK("#"&amp;RIGHT(CELL("adresse",OFFSET(DMAV_Dienste!$M$6,E545-1,0)),LEN(CELL("adresse",OFFSET(DMAV_Dienste!$M$6,E545-1,0)))-FIND("]",CELL("adresse",OFFSET(DMAV_Dienste!$M$6,E545-1,0)))),"Dienst")),HYPERLINK("#"&amp;RIGHT(CELL("adresse",OFFSET(DMAV_Modell!$N$6,B545-1,0)),LEN(CELL("adresse",OFFSET(DMAV_Modell!$N$6,B545-1,0)))-FIND("]",CELL("adresse",OFFSET(DMAV_Modell!$N$6,B545-1,0)))),"Modell"))</f>
        <v>Modell</v>
      </c>
      <c r="K545" s="61" t="str" cm="1">
        <f t="array" ref="K545">IF($B545=0,IF($E545=0,"",IF(INDEX(DMAV_Dienste!P$6:P$140,$E545)="","",INDEX(DMAV_Dienste!P$6:P$140,$E545))),IF(INDEX(DMAV_Modell!Q$6:Q$838,$B545)="","",INDEX(DMAV_Modell!Q$6:Q$838,$B545)))</f>
        <v>VIEW</v>
      </c>
      <c r="L545" s="62" t="str" cm="1">
        <f t="array" ref="L545">IF($B545=0,IF($E545=0,"",IF(INDEX(DMAV_Dienste!O$6:O$140,$E545)="","",INDEX(DMAV_Dienste!O$6:O$140,$E545))),IF(INDEX(DMAV_Modell!P$6:P$838,$B545)="","",INDEX(DMAV_Modell!P$6:P$838,$B545)))</f>
        <v>Grundstuecke</v>
      </c>
      <c r="M545" s="62" t="str" cm="1">
        <f t="array" ref="M545">IF($B545=0,IF($E545=0,"",IF(INDEX(DMAV_Dienste!Q$6:Q$140,$E545)="","",INDEX(DMAV_Dienste!Q$6:Q$140,$E545))),IF(INDEX(DMAV_Modell!R$6:R$838,$B545)="","",INDEX(DMAV_Modell!R$6:R$838,$B545)))</f>
        <v>Grundstueck_Gueltig</v>
      </c>
      <c r="N545" s="62" t="str" cm="1">
        <f t="array" ref="N545">IF($B545=0,IF($E545=0,"",IF(INDEX(DMAV_Dienste!T$6:T$140,$E545)="","",INDEX(DMAV_Dienste!T$6:T$140,$E545))),IF(INDEX(DMAV_Modell!U$6:U$838,$B545)="","",INDEX(DMAV_Modell!U$6:U$838,$B545)))</f>
        <v>PROJECTION OF</v>
      </c>
      <c r="O545" s="63" t="str" cm="1">
        <f t="array" aca="1" ref="O545" ca="1">IF(C545=0,IF(F545=0,"",HYPERLINK("#"&amp;RIGHT(CELL("adresse",OFFSET(DMAV_Dienste!$M$6,F545-1,0)),LEN(CELL("adresse",OFFSET(DMAV_Dienste!$M$6,F545-1,0)))-FIND("]",CELL("adresse",OFFSET(DMAV_Dienste!$M$6,F545-1,0)))),"Structure")),HYPERLINK("#"&amp;RIGHT(CELL("adresse",OFFSET(DMAV_Modell!$N$6,C545-1,0)),LEN(CELL("adresse",OFFSET(DMAV_Modell!$N$6,C545-1,0)))-FIND("]",CELL("adresse",OFFSET(DMAV_Modell!$N$6,C545-1,0)))),"Structure"))</f>
        <v/>
      </c>
      <c r="P545" s="64" t="str" cm="1">
        <f t="array" aca="1" ref="P545" ca="1">IF(D545=0,IF(G545=0,"",HYPERLINK("#"&amp;RIGHT(CELL("adresse",OFFSET(DMAV_Dienste!$M$6,G545-1,0)),LEN(CELL("adresse",OFFSET(DMAV_Dienste!$M$6,G545-1,0)))-FIND("]",CELL("adresse",OFFSET(DMAV_Dienste!$M$6,G545-1,0)))),"Substructure")),HYPERLINK("#"&amp;RIGHT(CELL("adresse",OFFSET(DMAV_Modell!$N$6,D545-1,0)),LEN(CELL("adresse",OFFSET(DMAV_Modell!$N$6,D545-1,0)))-FIND("]",CELL("adresse",OFFSET(DMAV_Modell!$N$6,D545-1,0)))),"Substructure"))</f>
        <v/>
      </c>
      <c r="R545" s="80"/>
      <c r="T545" s="93"/>
      <c r="U545" s="94"/>
      <c r="V545" s="95"/>
      <c r="W545" s="96"/>
      <c r="Y545" s="85"/>
      <c r="Z545" s="86"/>
      <c r="AA545" s="87"/>
      <c r="AB545" s="88"/>
      <c r="AD545" s="77"/>
      <c r="AF545" s="54" t="str" cm="1">
        <f t="array" aca="1" ref="AF545" ca="1">IF(H545=0,"",HYPERLINK("#"&amp;RIGHT(CELL("adresse",OFFSET('DM01-AV-CH'!$G$6,H545-1,0)),LEN(CELL("adresse",OFFSET('DM01-AV-CH'!$G$6,H545-1,0)))-FIND("]",CELL("adresse",OFFSET('DM01-AV-CH'!$G$6,H545-1,0)))),"Modell"))</f>
        <v/>
      </c>
      <c r="AG545" s="72" t="str" cm="1">
        <f t="array" ref="AG545">IF($H545=0,"",IF(INDEX('DM01-AV-CH'!G$6:G$834,$H545)="","",INDEX('DM01-AV-CH'!G$6:G$834,$H545)))</f>
        <v/>
      </c>
      <c r="AH545" s="73" t="str" cm="1">
        <f t="array" ref="AH545">IF($H545=0,"",IF(INDEX('DM01-AV-CH'!H$6:H$834,$H545)="","",INDEX('DM01-AV-CH'!H$6:H$834,$H545)))</f>
        <v/>
      </c>
      <c r="AI545" s="74" t="str" cm="1">
        <f t="array" ref="AI545">IF($H545=0,"",IF(INDEX('DM01-AV-CH'!I$6:I$834,$H545)="","",INDEX('DM01-AV-CH'!I$6:I$834,$H545)))</f>
        <v/>
      </c>
    </row>
    <row r="546" spans="1:35" x14ac:dyDescent="0.25">
      <c r="A546" s="57">
        <v>541</v>
      </c>
      <c r="B546" s="57">
        <f>IF($A546="","",IF(_xlfn.XLOOKUP($A546,Korrelation!$D$4:$D$1197,Korrelation!E$4:E$1197,"-",0)="-",0,MATCH(_xlfn.XLOOKUP($A546,Korrelation!$D$4:$D$1197,Korrelation!E$4:E$1197,"",0),DMAV_Modell!$G$6:$G$677,0)))</f>
        <v>254</v>
      </c>
      <c r="C546" s="57">
        <f>IF($A546="","",IF(_xlfn.XLOOKUP($A546,Korrelation!$D$4:$D$1197,Korrelation!F$4:F$1197,"-",0)="-",0,MATCH(_xlfn.XLOOKUP($A546,Korrelation!$D$4:$D$1197,Korrelation!F$4:F$1197,"",0),DMAV_Modell!$G$6:$G$677,0)))</f>
        <v>0</v>
      </c>
      <c r="D546" s="57">
        <f>IF($A546="","",IF(_xlfn.XLOOKUP($A546,Korrelation!$D$4:$D$1197,Korrelation!G$4:G$1197,"-",0)="-",0,MATCH(_xlfn.XLOOKUP($A546,Korrelation!$D$4:$D$1197,Korrelation!G$4:G$1197,"",0),DMAV_Modell!$G$6:$G$677,0)))</f>
        <v>0</v>
      </c>
      <c r="E546" s="57">
        <f>IF($A546="","",IF(_xlfn.XLOOKUP($A546,Korrelation!$D$4:$D$1197,Korrelation!H$4:H$1197,"-",0)="-",0,MATCH(_xlfn.XLOOKUP($A546,Korrelation!$D$4:$D$1197,Korrelation!H$4:H$1197,"",0),DMAV_Dienste!$F$6:$F$140,0)))</f>
        <v>0</v>
      </c>
      <c r="F546" s="57">
        <f>IF($A546="","",IF(_xlfn.XLOOKUP($A546,Korrelation!$D$4:$D$1197,Korrelation!I$4:I$1197,"-",0)="-",0,MATCH(_xlfn.XLOOKUP($A546,Korrelation!$D$4:$D$1197,Korrelation!I$4:I$1197,"",0),DMAV_Dienste!$F$6:$F$140,0)))</f>
        <v>0</v>
      </c>
      <c r="G546" s="57">
        <f>IF($A546="","",IF(_xlfn.XLOOKUP($A546,Korrelation!$D$4:$D$1197,Korrelation!J$4:J$1197,"-",0)="-",0,MATCH(_xlfn.XLOOKUP($A546,Korrelation!$D$4:$D$1197,Korrelation!J$4:J$1197,"",0),DMAV_Dienste!$F$6:$F$140,0)))</f>
        <v>0</v>
      </c>
      <c r="H546" s="57">
        <f>IF($A546="","",IF(_xlfn.XLOOKUP($A546,Korrelation!$D$4:$D$1197,Korrelation!K$4:K$1197,"-",0)="-",0,MATCH(_xlfn.XLOOKUP($A546,Korrelation!$D$4:$D$1197,Korrelation!K$4:K$1197,"",0),'DM01-AV-CH'!$A$6:$A$834,0)))</f>
        <v>0</v>
      </c>
      <c r="J546" s="54" t="str" cm="1">
        <f t="array" aca="1" ref="J546" ca="1">IF(B546=0,IF(E546=0,"",HYPERLINK("#"&amp;RIGHT(CELL("adresse",OFFSET(DMAV_Dienste!$M$6,E546-1,0)),LEN(CELL("adresse",OFFSET(DMAV_Dienste!$M$6,E546-1,0)))-FIND("]",CELL("adresse",OFFSET(DMAV_Dienste!$M$6,E546-1,0)))),"Dienst")),HYPERLINK("#"&amp;RIGHT(CELL("adresse",OFFSET(DMAV_Modell!$N$6,B546-1,0)),LEN(CELL("adresse",OFFSET(DMAV_Modell!$N$6,B546-1,0)))-FIND("]",CELL("adresse",OFFSET(DMAV_Modell!$N$6,B546-1,0)))),"Modell"))</f>
        <v>Modell</v>
      </c>
      <c r="K546" s="61" t="str" cm="1">
        <f t="array" ref="K546">IF($B546=0,IF($E546=0,"",IF(INDEX(DMAV_Dienste!P$6:P$140,$E546)="","",INDEX(DMAV_Dienste!P$6:P$140,$E546))),IF(INDEX(DMAV_Modell!Q$6:Q$838,$B546)="","",INDEX(DMAV_Modell!Q$6:Q$838,$B546)))</f>
        <v>VIEW</v>
      </c>
      <c r="L546" s="62" t="str" cm="1">
        <f t="array" ref="L546">IF($B546=0,IF($E546=0,"",IF(INDEX(DMAV_Dienste!O$6:O$140,$E546)="","",INDEX(DMAV_Dienste!O$6:O$140,$E546))),IF(INDEX(DMAV_Modell!P$6:P$838,$B546)="","",INDEX(DMAV_Modell!P$6:P$838,$B546)))</f>
        <v>Grundstuecke</v>
      </c>
      <c r="M546" s="62" t="str" cm="1">
        <f t="array" ref="M546">IF($B546=0,IF($E546=0,"",IF(INDEX(DMAV_Dienste!Q$6:Q$140,$E546)="","",INDEX(DMAV_Dienste!Q$6:Q$140,$E546))),IF(INDEX(DMAV_Modell!R$6:R$838,$B546)="","",INDEX(DMAV_Modell!R$6:R$838,$B546)))</f>
        <v>Grundstueck_Gueltig</v>
      </c>
      <c r="N546" s="62" t="str" cm="1">
        <f t="array" ref="N546">IF($B546=0,IF($E546=0,"",IF(INDEX(DMAV_Dienste!T$6:T$140,$E546)="","",INDEX(DMAV_Dienste!T$6:T$140,$E546))),IF(INDEX(DMAV_Modell!U$6:U$838,$B546)="","",INDEX(DMAV_Modell!U$6:U$838,$B546)))</f>
        <v>WHERE DEFINED(@PH1@) AND DEFINED(@PH2@) AND (NOT(DEFINED(@PH3@)) OR NOT(DEFINED(@PH4@)))</v>
      </c>
      <c r="O546" s="63" t="str" cm="1">
        <f t="array" aca="1" ref="O546" ca="1">IF(C546=0,IF(F546=0,"",HYPERLINK("#"&amp;RIGHT(CELL("adresse",OFFSET(DMAV_Dienste!$M$6,F546-1,0)),LEN(CELL("adresse",OFFSET(DMAV_Dienste!$M$6,F546-1,0)))-FIND("]",CELL("adresse",OFFSET(DMAV_Dienste!$M$6,F546-1,0)))),"Structure")),HYPERLINK("#"&amp;RIGHT(CELL("adresse",OFFSET(DMAV_Modell!$N$6,C546-1,0)),LEN(CELL("adresse",OFFSET(DMAV_Modell!$N$6,C546-1,0)))-FIND("]",CELL("adresse",OFFSET(DMAV_Modell!$N$6,C546-1,0)))),"Structure"))</f>
        <v/>
      </c>
      <c r="P546" s="64" t="str" cm="1">
        <f t="array" aca="1" ref="P546" ca="1">IF(D546=0,IF(G546=0,"",HYPERLINK("#"&amp;RIGHT(CELL("adresse",OFFSET(DMAV_Dienste!$M$6,G546-1,0)),LEN(CELL("adresse",OFFSET(DMAV_Dienste!$M$6,G546-1,0)))-FIND("]",CELL("adresse",OFFSET(DMAV_Dienste!$M$6,G546-1,0)))),"Substructure")),HYPERLINK("#"&amp;RIGHT(CELL("adresse",OFFSET(DMAV_Modell!$N$6,D546-1,0)),LEN(CELL("adresse",OFFSET(DMAV_Modell!$N$6,D546-1,0)))-FIND("]",CELL("adresse",OFFSET(DMAV_Modell!$N$6,D546-1,0)))),"Substructure"))</f>
        <v/>
      </c>
      <c r="R546" s="80"/>
      <c r="T546" s="93"/>
      <c r="U546" s="94"/>
      <c r="V546" s="95"/>
      <c r="W546" s="96"/>
      <c r="Y546" s="85"/>
      <c r="Z546" s="86"/>
      <c r="AA546" s="87"/>
      <c r="AB546" s="88"/>
      <c r="AD546" s="77"/>
      <c r="AF546" s="54" t="str" cm="1">
        <f t="array" aca="1" ref="AF546" ca="1">IF(H546=0,"",HYPERLINK("#"&amp;RIGHT(CELL("adresse",OFFSET('DM01-AV-CH'!$G$6,H546-1,0)),LEN(CELL("adresse",OFFSET('DM01-AV-CH'!$G$6,H546-1,0)))-FIND("]",CELL("adresse",OFFSET('DM01-AV-CH'!$G$6,H546-1,0)))),"Modell"))</f>
        <v/>
      </c>
      <c r="AG546" s="72" t="str" cm="1">
        <f t="array" ref="AG546">IF($H546=0,"",IF(INDEX('DM01-AV-CH'!G$6:G$834,$H546)="","",INDEX('DM01-AV-CH'!G$6:G$834,$H546)))</f>
        <v/>
      </c>
      <c r="AH546" s="73" t="str" cm="1">
        <f t="array" ref="AH546">IF($H546=0,"",IF(INDEX('DM01-AV-CH'!H$6:H$834,$H546)="","",INDEX('DM01-AV-CH'!H$6:H$834,$H546)))</f>
        <v/>
      </c>
      <c r="AI546" s="74" t="str" cm="1">
        <f t="array" ref="AI546">IF($H546=0,"",IF(INDEX('DM01-AV-CH'!I$6:I$834,$H546)="","",INDEX('DM01-AV-CH'!I$6:I$834,$H546)))</f>
        <v/>
      </c>
    </row>
    <row r="547" spans="1:35" x14ac:dyDescent="0.25">
      <c r="A547" s="57">
        <v>542</v>
      </c>
      <c r="B547" s="57">
        <f>IF($A547="","",IF(_xlfn.XLOOKUP($A547,Korrelation!$D$4:$D$1197,Korrelation!E$4:E$1197,"-",0)="-",0,MATCH(_xlfn.XLOOKUP($A547,Korrelation!$D$4:$D$1197,Korrelation!E$4:E$1197,"",0),DMAV_Modell!$G$6:$G$677,0)))</f>
        <v>255</v>
      </c>
      <c r="C547" s="57">
        <f>IF($A547="","",IF(_xlfn.XLOOKUP($A547,Korrelation!$D$4:$D$1197,Korrelation!F$4:F$1197,"-",0)="-",0,MATCH(_xlfn.XLOOKUP($A547,Korrelation!$D$4:$D$1197,Korrelation!F$4:F$1197,"",0),DMAV_Modell!$G$6:$G$677,0)))</f>
        <v>0</v>
      </c>
      <c r="D547" s="57">
        <f>IF($A547="","",IF(_xlfn.XLOOKUP($A547,Korrelation!$D$4:$D$1197,Korrelation!G$4:G$1197,"-",0)="-",0,MATCH(_xlfn.XLOOKUP($A547,Korrelation!$D$4:$D$1197,Korrelation!G$4:G$1197,"",0),DMAV_Modell!$G$6:$G$677,0)))</f>
        <v>0</v>
      </c>
      <c r="E547" s="57">
        <f>IF($A547="","",IF(_xlfn.XLOOKUP($A547,Korrelation!$D$4:$D$1197,Korrelation!H$4:H$1197,"-",0)="-",0,MATCH(_xlfn.XLOOKUP($A547,Korrelation!$D$4:$D$1197,Korrelation!H$4:H$1197,"",0),DMAV_Dienste!$F$6:$F$140,0)))</f>
        <v>0</v>
      </c>
      <c r="F547" s="57">
        <f>IF($A547="","",IF(_xlfn.XLOOKUP($A547,Korrelation!$D$4:$D$1197,Korrelation!I$4:I$1197,"-",0)="-",0,MATCH(_xlfn.XLOOKUP($A547,Korrelation!$D$4:$D$1197,Korrelation!I$4:I$1197,"",0),DMAV_Dienste!$F$6:$F$140,0)))</f>
        <v>0</v>
      </c>
      <c r="G547" s="57">
        <f>IF($A547="","",IF(_xlfn.XLOOKUP($A547,Korrelation!$D$4:$D$1197,Korrelation!J$4:J$1197,"-",0)="-",0,MATCH(_xlfn.XLOOKUP($A547,Korrelation!$D$4:$D$1197,Korrelation!J$4:J$1197,"",0),DMAV_Dienste!$F$6:$F$140,0)))</f>
        <v>0</v>
      </c>
      <c r="H547" s="57">
        <f>IF($A547="","",IF(_xlfn.XLOOKUP($A547,Korrelation!$D$4:$D$1197,Korrelation!K$4:K$1197,"-",0)="-",0,MATCH(_xlfn.XLOOKUP($A547,Korrelation!$D$4:$D$1197,Korrelation!K$4:K$1197,"",0),'DM01-AV-CH'!$A$6:$A$834,0)))</f>
        <v>0</v>
      </c>
      <c r="J547" s="54" t="str" cm="1">
        <f t="array" aca="1" ref="J547" ca="1">IF(B547=0,IF(E547=0,"",HYPERLINK("#"&amp;RIGHT(CELL("adresse",OFFSET(DMAV_Dienste!$M$6,E547-1,0)),LEN(CELL("adresse",OFFSET(DMAV_Dienste!$M$6,E547-1,0)))-FIND("]",CELL("adresse",OFFSET(DMAV_Dienste!$M$6,E547-1,0)))),"Dienst")),HYPERLINK("#"&amp;RIGHT(CELL("adresse",OFFSET(DMAV_Modell!$N$6,B547-1,0)),LEN(CELL("adresse",OFFSET(DMAV_Modell!$N$6,B547-1,0)))-FIND("]",CELL("adresse",OFFSET(DMAV_Modell!$N$6,B547-1,0)))),"Modell"))</f>
        <v>Modell</v>
      </c>
      <c r="K547" s="61" t="str" cm="1">
        <f t="array" ref="K547">IF($B547=0,IF($E547=0,"",IF(INDEX(DMAV_Dienste!P$6:P$140,$E547)="","",INDEX(DMAV_Dienste!P$6:P$140,$E547))),IF(INDEX(DMAV_Modell!Q$6:Q$838,$B547)="","",INDEX(DMAV_Modell!Q$6:Q$838,$B547)))</f>
        <v>VIEW</v>
      </c>
      <c r="L547" s="62" t="str" cm="1">
        <f t="array" ref="L547">IF($B547=0,IF($E547=0,"",IF(INDEX(DMAV_Dienste!O$6:O$140,$E547)="","",INDEX(DMAV_Dienste!O$6:O$140,$E547))),IF(INDEX(DMAV_Modell!P$6:P$838,$B547)="","",INDEX(DMAV_Modell!P$6:P$838,$B547)))</f>
        <v>Grundstuecke</v>
      </c>
      <c r="M547" s="62" t="str" cm="1">
        <f t="array" ref="M547">IF($B547=0,IF($E547=0,"",IF(INDEX(DMAV_Dienste!Q$6:Q$140,$E547)="","",INDEX(DMAV_Dienste!Q$6:Q$140,$E547))),IF(INDEX(DMAV_Modell!R$6:R$838,$B547)="","",INDEX(DMAV_Modell!R$6:R$838,$B547)))</f>
        <v>Grundstueck_Gueltig</v>
      </c>
      <c r="N547" s="62" t="str" cm="1">
        <f t="array" ref="N547">IF($B547=0,IF($E547=0,"",IF(INDEX(DMAV_Dienste!T$6:T$140,$E547)="","",INDEX(DMAV_Dienste!T$6:T$140,$E547))),IF(INDEX(DMAV_Modell!U$6:U$838,$B547)="","",INDEX(DMAV_Modell!U$6:U$838,$B547)))</f>
        <v>= ALL OF</v>
      </c>
      <c r="O547" s="63" t="str" cm="1">
        <f t="array" aca="1" ref="O547" ca="1">IF(C547=0,IF(F547=0,"",HYPERLINK("#"&amp;RIGHT(CELL("adresse",OFFSET(DMAV_Dienste!$M$6,F547-1,0)),LEN(CELL("adresse",OFFSET(DMAV_Dienste!$M$6,F547-1,0)))-FIND("]",CELL("adresse",OFFSET(DMAV_Dienste!$M$6,F547-1,0)))),"Structure")),HYPERLINK("#"&amp;RIGHT(CELL("adresse",OFFSET(DMAV_Modell!$N$6,C547-1,0)),LEN(CELL("adresse",OFFSET(DMAV_Modell!$N$6,C547-1,0)))-FIND("]",CELL("adresse",OFFSET(DMAV_Modell!$N$6,C547-1,0)))),"Structure"))</f>
        <v/>
      </c>
      <c r="P547" s="64" t="str" cm="1">
        <f t="array" aca="1" ref="P547" ca="1">IF(D547=0,IF(G547=0,"",HYPERLINK("#"&amp;RIGHT(CELL("adresse",OFFSET(DMAV_Dienste!$M$6,G547-1,0)),LEN(CELL("adresse",OFFSET(DMAV_Dienste!$M$6,G547-1,0)))-FIND("]",CELL("adresse",OFFSET(DMAV_Dienste!$M$6,G547-1,0)))),"Substructure")),HYPERLINK("#"&amp;RIGHT(CELL("adresse",OFFSET(DMAV_Modell!$N$6,D547-1,0)),LEN(CELL("adresse",OFFSET(DMAV_Modell!$N$6,D547-1,0)))-FIND("]",CELL("adresse",OFFSET(DMAV_Modell!$N$6,D547-1,0)))),"Substructure"))</f>
        <v/>
      </c>
      <c r="R547" s="80"/>
      <c r="T547" s="93"/>
      <c r="U547" s="94"/>
      <c r="V547" s="95"/>
      <c r="W547" s="96"/>
      <c r="Y547" s="85"/>
      <c r="Z547" s="86"/>
      <c r="AA547" s="87"/>
      <c r="AB547" s="88"/>
      <c r="AD547" s="77"/>
      <c r="AF547" s="54" t="str" cm="1">
        <f t="array" aca="1" ref="AF547" ca="1">IF(H547=0,"",HYPERLINK("#"&amp;RIGHT(CELL("adresse",OFFSET('DM01-AV-CH'!$G$6,H547-1,0)),LEN(CELL("adresse",OFFSET('DM01-AV-CH'!$G$6,H547-1,0)))-FIND("]",CELL("adresse",OFFSET('DM01-AV-CH'!$G$6,H547-1,0)))),"Modell"))</f>
        <v/>
      </c>
      <c r="AG547" s="72" t="str" cm="1">
        <f t="array" ref="AG547">IF($H547=0,"",IF(INDEX('DM01-AV-CH'!G$6:G$834,$H547)="","",INDEX('DM01-AV-CH'!G$6:G$834,$H547)))</f>
        <v/>
      </c>
      <c r="AH547" s="73" t="str" cm="1">
        <f t="array" ref="AH547">IF($H547=0,"",IF(INDEX('DM01-AV-CH'!H$6:H$834,$H547)="","",INDEX('DM01-AV-CH'!H$6:H$834,$H547)))</f>
        <v/>
      </c>
      <c r="AI547" s="74" t="str" cm="1">
        <f t="array" ref="AI547">IF($H547=0,"",IF(INDEX('DM01-AV-CH'!I$6:I$834,$H547)="","",INDEX('DM01-AV-CH'!I$6:I$834,$H547)))</f>
        <v/>
      </c>
    </row>
    <row r="548" spans="1:35" x14ac:dyDescent="0.25">
      <c r="A548" s="57">
        <v>543</v>
      </c>
      <c r="B548" s="57">
        <f>IF($A548="","",IF(_xlfn.XLOOKUP($A548,Korrelation!$D$4:$D$1197,Korrelation!E$4:E$1197,"-",0)="-",0,MATCH(_xlfn.XLOOKUP($A548,Korrelation!$D$4:$D$1197,Korrelation!E$4:E$1197,"",0),DMAV_Modell!$G$6:$G$677,0)))</f>
        <v>256</v>
      </c>
      <c r="C548" s="57">
        <f>IF($A548="","",IF(_xlfn.XLOOKUP($A548,Korrelation!$D$4:$D$1197,Korrelation!F$4:F$1197,"-",0)="-",0,MATCH(_xlfn.XLOOKUP($A548,Korrelation!$D$4:$D$1197,Korrelation!F$4:F$1197,"",0),DMAV_Modell!$G$6:$G$677,0)))</f>
        <v>0</v>
      </c>
      <c r="D548" s="57">
        <f>IF($A548="","",IF(_xlfn.XLOOKUP($A548,Korrelation!$D$4:$D$1197,Korrelation!G$4:G$1197,"-",0)="-",0,MATCH(_xlfn.XLOOKUP($A548,Korrelation!$D$4:$D$1197,Korrelation!G$4:G$1197,"",0),DMAV_Modell!$G$6:$G$677,0)))</f>
        <v>0</v>
      </c>
      <c r="E548" s="57">
        <f>IF($A548="","",IF(_xlfn.XLOOKUP($A548,Korrelation!$D$4:$D$1197,Korrelation!H$4:H$1197,"-",0)="-",0,MATCH(_xlfn.XLOOKUP($A548,Korrelation!$D$4:$D$1197,Korrelation!H$4:H$1197,"",0),DMAV_Dienste!$F$6:$F$140,0)))</f>
        <v>0</v>
      </c>
      <c r="F548" s="57">
        <f>IF($A548="","",IF(_xlfn.XLOOKUP($A548,Korrelation!$D$4:$D$1197,Korrelation!I$4:I$1197,"-",0)="-",0,MATCH(_xlfn.XLOOKUP($A548,Korrelation!$D$4:$D$1197,Korrelation!I$4:I$1197,"",0),DMAV_Dienste!$F$6:$F$140,0)))</f>
        <v>0</v>
      </c>
      <c r="G548" s="57">
        <f>IF($A548="","",IF(_xlfn.XLOOKUP($A548,Korrelation!$D$4:$D$1197,Korrelation!J$4:J$1197,"-",0)="-",0,MATCH(_xlfn.XLOOKUP($A548,Korrelation!$D$4:$D$1197,Korrelation!J$4:J$1197,"",0),DMAV_Dienste!$F$6:$F$140,0)))</f>
        <v>0</v>
      </c>
      <c r="H548" s="57">
        <f>IF($A548="","",IF(_xlfn.XLOOKUP($A548,Korrelation!$D$4:$D$1197,Korrelation!K$4:K$1197,"-",0)="-",0,MATCH(_xlfn.XLOOKUP($A548,Korrelation!$D$4:$D$1197,Korrelation!K$4:K$1197,"",0),'DM01-AV-CH'!$A$6:$A$834,0)))</f>
        <v>0</v>
      </c>
      <c r="J548" s="54" t="str" cm="1">
        <f t="array" aca="1" ref="J548" ca="1">IF(B548=0,IF(E548=0,"",HYPERLINK("#"&amp;RIGHT(CELL("adresse",OFFSET(DMAV_Dienste!$M$6,E548-1,0)),LEN(CELL("adresse",OFFSET(DMAV_Dienste!$M$6,E548-1,0)))-FIND("]",CELL("adresse",OFFSET(DMAV_Dienste!$M$6,E548-1,0)))),"Dienst")),HYPERLINK("#"&amp;RIGHT(CELL("adresse",OFFSET(DMAV_Modell!$N$6,B548-1,0)),LEN(CELL("adresse",OFFSET(DMAV_Modell!$N$6,B548-1,0)))-FIND("]",CELL("adresse",OFFSET(DMAV_Modell!$N$6,B548-1,0)))),"Modell"))</f>
        <v>Modell</v>
      </c>
      <c r="K548" s="61" t="str" cm="1">
        <f t="array" ref="K548">IF($B548=0,IF($E548=0,"",IF(INDEX(DMAV_Dienste!P$6:P$140,$E548)="","",INDEX(DMAV_Dienste!P$6:P$140,$E548))),IF(INDEX(DMAV_Modell!Q$6:Q$838,$B548)="","",INDEX(DMAV_Modell!Q$6:Q$838,$B548)))</f>
        <v>VIEW</v>
      </c>
      <c r="L548" s="62" t="str" cm="1">
        <f t="array" ref="L548">IF($B548=0,IF($E548=0,"",IF(INDEX(DMAV_Dienste!O$6:O$140,$E548)="","",INDEX(DMAV_Dienste!O$6:O$140,$E548))),IF(INDEX(DMAV_Modell!P$6:P$838,$B548)="","",INDEX(DMAV_Modell!P$6:P$838,$B548)))</f>
        <v>Grundstuecke</v>
      </c>
      <c r="M548" s="62" t="str" cm="1">
        <f t="array" ref="M548">IF($B548=0,IF($E548=0,"",IF(INDEX(DMAV_Dienste!Q$6:Q$140,$E548)="","",INDEX(DMAV_Dienste!Q$6:Q$140,$E548))),IF(INDEX(DMAV_Modell!R$6:R$838,$B548)="","",INDEX(DMAV_Modell!R$6:R$838,$B548)))</f>
        <v>Grundstueck_Gueltig</v>
      </c>
      <c r="N548" s="62" t="str" cm="1">
        <f t="array" ref="N548">IF($B548=0,IF($E548=0,"",IF(INDEX(DMAV_Dienste!T$6:T$140,$E548)="","",INDEX(DMAV_Dienste!T$6:T$140,$E548))),IF(INDEX(DMAV_Modell!U$6:U$838,$B548)="","",INDEX(DMAV_Modell!U$6:U$838,$B548)))</f>
        <v>NBIdent</v>
      </c>
      <c r="O548" s="63" t="str" cm="1">
        <f t="array" aca="1" ref="O548" ca="1">IF(C548=0,IF(F548=0,"",HYPERLINK("#"&amp;RIGHT(CELL("adresse",OFFSET(DMAV_Dienste!$M$6,F548-1,0)),LEN(CELL("adresse",OFFSET(DMAV_Dienste!$M$6,F548-1,0)))-FIND("]",CELL("adresse",OFFSET(DMAV_Dienste!$M$6,F548-1,0)))),"Structure")),HYPERLINK("#"&amp;RIGHT(CELL("adresse",OFFSET(DMAV_Modell!$N$6,C548-1,0)),LEN(CELL("adresse",OFFSET(DMAV_Modell!$N$6,C548-1,0)))-FIND("]",CELL("adresse",OFFSET(DMAV_Modell!$N$6,C548-1,0)))),"Structure"))</f>
        <v/>
      </c>
      <c r="P548" s="64" t="str" cm="1">
        <f t="array" aca="1" ref="P548" ca="1">IF(D548=0,IF(G548=0,"",HYPERLINK("#"&amp;RIGHT(CELL("adresse",OFFSET(DMAV_Dienste!$M$6,G548-1,0)),LEN(CELL("adresse",OFFSET(DMAV_Dienste!$M$6,G548-1,0)))-FIND("]",CELL("adresse",OFFSET(DMAV_Dienste!$M$6,G548-1,0)))),"Substructure")),HYPERLINK("#"&amp;RIGHT(CELL("adresse",OFFSET(DMAV_Modell!$N$6,D548-1,0)),LEN(CELL("adresse",OFFSET(DMAV_Modell!$N$6,D548-1,0)))-FIND("]",CELL("adresse",OFFSET(DMAV_Modell!$N$6,D548-1,0)))),"Substructure"))</f>
        <v/>
      </c>
      <c r="R548" s="80"/>
      <c r="T548" s="93"/>
      <c r="U548" s="94"/>
      <c r="V548" s="95"/>
      <c r="W548" s="96"/>
      <c r="Y548" s="85"/>
      <c r="Z548" s="86"/>
      <c r="AA548" s="87"/>
      <c r="AB548" s="88"/>
      <c r="AD548" s="77"/>
      <c r="AF548" s="54" t="str" cm="1">
        <f t="array" aca="1" ref="AF548" ca="1">IF(H548=0,"",HYPERLINK("#"&amp;RIGHT(CELL("adresse",OFFSET('DM01-AV-CH'!$G$6,H548-1,0)),LEN(CELL("adresse",OFFSET('DM01-AV-CH'!$G$6,H548-1,0)))-FIND("]",CELL("adresse",OFFSET('DM01-AV-CH'!$G$6,H548-1,0)))),"Modell"))</f>
        <v/>
      </c>
      <c r="AG548" s="72" t="str" cm="1">
        <f t="array" ref="AG548">IF($H548=0,"",IF(INDEX('DM01-AV-CH'!G$6:G$834,$H548)="","",INDEX('DM01-AV-CH'!G$6:G$834,$H548)))</f>
        <v/>
      </c>
      <c r="AH548" s="73" t="str" cm="1">
        <f t="array" ref="AH548">IF($H548=0,"",IF(INDEX('DM01-AV-CH'!H$6:H$834,$H548)="","",INDEX('DM01-AV-CH'!H$6:H$834,$H548)))</f>
        <v/>
      </c>
      <c r="AI548" s="74" t="str" cm="1">
        <f t="array" ref="AI548">IF($H548=0,"",IF(INDEX('DM01-AV-CH'!I$6:I$834,$H548)="","",INDEX('DM01-AV-CH'!I$6:I$834,$H548)))</f>
        <v/>
      </c>
    </row>
    <row r="549" spans="1:35" x14ac:dyDescent="0.25">
      <c r="A549" s="57">
        <v>544</v>
      </c>
      <c r="B549" s="57">
        <f>IF($A549="","",IF(_xlfn.XLOOKUP($A549,Korrelation!$D$4:$D$1197,Korrelation!E$4:E$1197,"-",0)="-",0,MATCH(_xlfn.XLOOKUP($A549,Korrelation!$D$4:$D$1197,Korrelation!E$4:E$1197,"",0),DMAV_Modell!$G$6:$G$677,0)))</f>
        <v>257</v>
      </c>
      <c r="C549" s="57">
        <f>IF($A549="","",IF(_xlfn.XLOOKUP($A549,Korrelation!$D$4:$D$1197,Korrelation!F$4:F$1197,"-",0)="-",0,MATCH(_xlfn.XLOOKUP($A549,Korrelation!$D$4:$D$1197,Korrelation!F$4:F$1197,"",0),DMAV_Modell!$G$6:$G$677,0)))</f>
        <v>0</v>
      </c>
      <c r="D549" s="57">
        <f>IF($A549="","",IF(_xlfn.XLOOKUP($A549,Korrelation!$D$4:$D$1197,Korrelation!G$4:G$1197,"-",0)="-",0,MATCH(_xlfn.XLOOKUP($A549,Korrelation!$D$4:$D$1197,Korrelation!G$4:G$1197,"",0),DMAV_Modell!$G$6:$G$677,0)))</f>
        <v>0</v>
      </c>
      <c r="E549" s="57">
        <f>IF($A549="","",IF(_xlfn.XLOOKUP($A549,Korrelation!$D$4:$D$1197,Korrelation!H$4:H$1197,"-",0)="-",0,MATCH(_xlfn.XLOOKUP($A549,Korrelation!$D$4:$D$1197,Korrelation!H$4:H$1197,"",0),DMAV_Dienste!$F$6:$F$140,0)))</f>
        <v>0</v>
      </c>
      <c r="F549" s="57">
        <f>IF($A549="","",IF(_xlfn.XLOOKUP($A549,Korrelation!$D$4:$D$1197,Korrelation!I$4:I$1197,"-",0)="-",0,MATCH(_xlfn.XLOOKUP($A549,Korrelation!$D$4:$D$1197,Korrelation!I$4:I$1197,"",0),DMAV_Dienste!$F$6:$F$140,0)))</f>
        <v>0</v>
      </c>
      <c r="G549" s="57">
        <f>IF($A549="","",IF(_xlfn.XLOOKUP($A549,Korrelation!$D$4:$D$1197,Korrelation!J$4:J$1197,"-",0)="-",0,MATCH(_xlfn.XLOOKUP($A549,Korrelation!$D$4:$D$1197,Korrelation!J$4:J$1197,"",0),DMAV_Dienste!$F$6:$F$140,0)))</f>
        <v>0</v>
      </c>
      <c r="H549" s="57">
        <f>IF($A549="","",IF(_xlfn.XLOOKUP($A549,Korrelation!$D$4:$D$1197,Korrelation!K$4:K$1197,"-",0)="-",0,MATCH(_xlfn.XLOOKUP($A549,Korrelation!$D$4:$D$1197,Korrelation!K$4:K$1197,"",0),'DM01-AV-CH'!$A$6:$A$834,0)))</f>
        <v>0</v>
      </c>
      <c r="J549" s="54" t="str" cm="1">
        <f t="array" aca="1" ref="J549" ca="1">IF(B549=0,IF(E549=0,"",HYPERLINK("#"&amp;RIGHT(CELL("adresse",OFFSET(DMAV_Dienste!$M$6,E549-1,0)),LEN(CELL("adresse",OFFSET(DMAV_Dienste!$M$6,E549-1,0)))-FIND("]",CELL("adresse",OFFSET(DMAV_Dienste!$M$6,E549-1,0)))),"Dienst")),HYPERLINK("#"&amp;RIGHT(CELL("adresse",OFFSET(DMAV_Modell!$N$6,B549-1,0)),LEN(CELL("adresse",OFFSET(DMAV_Modell!$N$6,B549-1,0)))-FIND("]",CELL("adresse",OFFSET(DMAV_Modell!$N$6,B549-1,0)))),"Modell"))</f>
        <v>Modell</v>
      </c>
      <c r="K549" s="61" t="str" cm="1">
        <f t="array" ref="K549">IF($B549=0,IF($E549=0,"",IF(INDEX(DMAV_Dienste!P$6:P$140,$E549)="","",INDEX(DMAV_Dienste!P$6:P$140,$E549))),IF(INDEX(DMAV_Modell!Q$6:Q$838,$B549)="","",INDEX(DMAV_Modell!Q$6:Q$838,$B549)))</f>
        <v>VIEW</v>
      </c>
      <c r="L549" s="62" t="str" cm="1">
        <f t="array" ref="L549">IF($B549=0,IF($E549=0,"",IF(INDEX(DMAV_Dienste!O$6:O$140,$E549)="","",INDEX(DMAV_Dienste!O$6:O$140,$E549))),IF(INDEX(DMAV_Modell!P$6:P$838,$B549)="","",INDEX(DMAV_Modell!P$6:P$838,$B549)))</f>
        <v>Grundstuecke</v>
      </c>
      <c r="M549" s="62" t="str" cm="1">
        <f t="array" ref="M549">IF($B549=0,IF($E549=0,"",IF(INDEX(DMAV_Dienste!Q$6:Q$140,$E549)="","",INDEX(DMAV_Dienste!Q$6:Q$140,$E549))),IF(INDEX(DMAV_Modell!R$6:R$838,$B549)="","",INDEX(DMAV_Modell!R$6:R$838,$B549)))</f>
        <v>Grundstueck_Gueltig</v>
      </c>
      <c r="N549" s="62" t="str" cm="1">
        <f t="array" ref="N549">IF($B549=0,IF($E549=0,"",IF(INDEX(DMAV_Dienste!T$6:T$140,$E549)="","",INDEX(DMAV_Dienste!T$6:T$140,$E549))),IF(INDEX(DMAV_Modell!U$6:U$838,$B549)="","",INDEX(DMAV_Modell!U$6:U$838,$B549)))</f>
        <v>Nummer</v>
      </c>
      <c r="O549" s="63" t="str" cm="1">
        <f t="array" aca="1" ref="O549" ca="1">IF(C549=0,IF(F549=0,"",HYPERLINK("#"&amp;RIGHT(CELL("adresse",OFFSET(DMAV_Dienste!$M$6,F549-1,0)),LEN(CELL("adresse",OFFSET(DMAV_Dienste!$M$6,F549-1,0)))-FIND("]",CELL("adresse",OFFSET(DMAV_Dienste!$M$6,F549-1,0)))),"Structure")),HYPERLINK("#"&amp;RIGHT(CELL("adresse",OFFSET(DMAV_Modell!$N$6,C549-1,0)),LEN(CELL("adresse",OFFSET(DMAV_Modell!$N$6,C549-1,0)))-FIND("]",CELL("adresse",OFFSET(DMAV_Modell!$N$6,C549-1,0)))),"Structure"))</f>
        <v/>
      </c>
      <c r="P549" s="64" t="str" cm="1">
        <f t="array" aca="1" ref="P549" ca="1">IF(D549=0,IF(G549=0,"",HYPERLINK("#"&amp;RIGHT(CELL("adresse",OFFSET(DMAV_Dienste!$M$6,G549-1,0)),LEN(CELL("adresse",OFFSET(DMAV_Dienste!$M$6,G549-1,0)))-FIND("]",CELL("adresse",OFFSET(DMAV_Dienste!$M$6,G549-1,0)))),"Substructure")),HYPERLINK("#"&amp;RIGHT(CELL("adresse",OFFSET(DMAV_Modell!$N$6,D549-1,0)),LEN(CELL("adresse",OFFSET(DMAV_Modell!$N$6,D549-1,0)))-FIND("]",CELL("adresse",OFFSET(DMAV_Modell!$N$6,D549-1,0)))),"Substructure"))</f>
        <v/>
      </c>
      <c r="R549" s="80"/>
      <c r="T549" s="93"/>
      <c r="U549" s="94"/>
      <c r="V549" s="95"/>
      <c r="W549" s="96"/>
      <c r="Y549" s="85"/>
      <c r="Z549" s="86"/>
      <c r="AA549" s="87"/>
      <c r="AB549" s="88"/>
      <c r="AD549" s="77"/>
      <c r="AF549" s="54" t="str" cm="1">
        <f t="array" aca="1" ref="AF549" ca="1">IF(H549=0,"",HYPERLINK("#"&amp;RIGHT(CELL("adresse",OFFSET('DM01-AV-CH'!$G$6,H549-1,0)),LEN(CELL("adresse",OFFSET('DM01-AV-CH'!$G$6,H549-1,0)))-FIND("]",CELL("adresse",OFFSET('DM01-AV-CH'!$G$6,H549-1,0)))),"Modell"))</f>
        <v/>
      </c>
      <c r="AG549" s="72" t="str" cm="1">
        <f t="array" ref="AG549">IF($H549=0,"",IF(INDEX('DM01-AV-CH'!G$6:G$834,$H549)="","",INDEX('DM01-AV-CH'!G$6:G$834,$H549)))</f>
        <v/>
      </c>
      <c r="AH549" s="73" t="str" cm="1">
        <f t="array" ref="AH549">IF($H549=0,"",IF(INDEX('DM01-AV-CH'!H$6:H$834,$H549)="","",INDEX('DM01-AV-CH'!H$6:H$834,$H549)))</f>
        <v/>
      </c>
      <c r="AI549" s="74" t="str" cm="1">
        <f t="array" ref="AI549">IF($H549=0,"",IF(INDEX('DM01-AV-CH'!I$6:I$834,$H549)="","",INDEX('DM01-AV-CH'!I$6:I$834,$H549)))</f>
        <v/>
      </c>
    </row>
    <row r="550" spans="1:35" x14ac:dyDescent="0.25">
      <c r="A550" s="57">
        <v>545</v>
      </c>
      <c r="B550" s="57">
        <f>IF($A550="","",IF(_xlfn.XLOOKUP($A550,Korrelation!$D$4:$D$1197,Korrelation!E$4:E$1197,"-",0)="-",0,MATCH(_xlfn.XLOOKUP($A550,Korrelation!$D$4:$D$1197,Korrelation!E$4:E$1197,"",0),DMAV_Modell!$G$6:$G$677,0)))</f>
        <v>258</v>
      </c>
      <c r="C550" s="57">
        <f>IF($A550="","",IF(_xlfn.XLOOKUP($A550,Korrelation!$D$4:$D$1197,Korrelation!F$4:F$1197,"-",0)="-",0,MATCH(_xlfn.XLOOKUP($A550,Korrelation!$D$4:$D$1197,Korrelation!F$4:F$1197,"",0),DMAV_Modell!$G$6:$G$677,0)))</f>
        <v>0</v>
      </c>
      <c r="D550" s="57">
        <f>IF($A550="","",IF(_xlfn.XLOOKUP($A550,Korrelation!$D$4:$D$1197,Korrelation!G$4:G$1197,"-",0)="-",0,MATCH(_xlfn.XLOOKUP($A550,Korrelation!$D$4:$D$1197,Korrelation!G$4:G$1197,"",0),DMAV_Modell!$G$6:$G$677,0)))</f>
        <v>0</v>
      </c>
      <c r="E550" s="57">
        <f>IF($A550="","",IF(_xlfn.XLOOKUP($A550,Korrelation!$D$4:$D$1197,Korrelation!H$4:H$1197,"-",0)="-",0,MATCH(_xlfn.XLOOKUP($A550,Korrelation!$D$4:$D$1197,Korrelation!H$4:H$1197,"",0),DMAV_Dienste!$F$6:$F$140,0)))</f>
        <v>0</v>
      </c>
      <c r="F550" s="57">
        <f>IF($A550="","",IF(_xlfn.XLOOKUP($A550,Korrelation!$D$4:$D$1197,Korrelation!I$4:I$1197,"-",0)="-",0,MATCH(_xlfn.XLOOKUP($A550,Korrelation!$D$4:$D$1197,Korrelation!I$4:I$1197,"",0),DMAV_Dienste!$F$6:$F$140,0)))</f>
        <v>0</v>
      </c>
      <c r="G550" s="57">
        <f>IF($A550="","",IF(_xlfn.XLOOKUP($A550,Korrelation!$D$4:$D$1197,Korrelation!J$4:J$1197,"-",0)="-",0,MATCH(_xlfn.XLOOKUP($A550,Korrelation!$D$4:$D$1197,Korrelation!J$4:J$1197,"",0),DMAV_Dienste!$F$6:$F$140,0)))</f>
        <v>0</v>
      </c>
      <c r="H550" s="57">
        <f>IF($A550="","",IF(_xlfn.XLOOKUP($A550,Korrelation!$D$4:$D$1197,Korrelation!K$4:K$1197,"-",0)="-",0,MATCH(_xlfn.XLOOKUP($A550,Korrelation!$D$4:$D$1197,Korrelation!K$4:K$1197,"",0),'DM01-AV-CH'!$A$6:$A$834,0)))</f>
        <v>0</v>
      </c>
      <c r="J550" s="54" t="str" cm="1">
        <f t="array" aca="1" ref="J550" ca="1">IF(B550=0,IF(E550=0,"",HYPERLINK("#"&amp;RIGHT(CELL("adresse",OFFSET(DMAV_Dienste!$M$6,E550-1,0)),LEN(CELL("adresse",OFFSET(DMAV_Dienste!$M$6,E550-1,0)))-FIND("]",CELL("adresse",OFFSET(DMAV_Dienste!$M$6,E550-1,0)))),"Dienst")),HYPERLINK("#"&amp;RIGHT(CELL("adresse",OFFSET(DMAV_Modell!$N$6,B550-1,0)),LEN(CELL("adresse",OFFSET(DMAV_Modell!$N$6,B550-1,0)))-FIND("]",CELL("adresse",OFFSET(DMAV_Modell!$N$6,B550-1,0)))),"Modell"))</f>
        <v>Modell</v>
      </c>
      <c r="K550" s="61" t="str" cm="1">
        <f t="array" ref="K550">IF($B550=0,IF($E550=0,"",IF(INDEX(DMAV_Dienste!P$6:P$140,$E550)="","",INDEX(DMAV_Dienste!P$6:P$140,$E550))),IF(INDEX(DMAV_Modell!Q$6:Q$838,$B550)="","",INDEX(DMAV_Modell!Q$6:Q$838,$B550)))</f>
        <v>VIEW</v>
      </c>
      <c r="L550" s="62" t="str" cm="1">
        <f t="array" ref="L550">IF($B550=0,IF($E550=0,"",IF(INDEX(DMAV_Dienste!O$6:O$140,$E550)="","",INDEX(DMAV_Dienste!O$6:O$140,$E550))),IF(INDEX(DMAV_Modell!P$6:P$838,$B550)="","",INDEX(DMAV_Modell!P$6:P$838,$B550)))</f>
        <v>Grundstuecke</v>
      </c>
      <c r="M550" s="62" t="str" cm="1">
        <f t="array" ref="M550">IF($B550=0,IF($E550=0,"",IF(INDEX(DMAV_Dienste!Q$6:Q$140,$E550)="","",INDEX(DMAV_Dienste!Q$6:Q$140,$E550))),IF(INDEX(DMAV_Modell!R$6:R$838,$B550)="","",INDEX(DMAV_Modell!R$6:R$838,$B550)))</f>
        <v>Grundstueck_Gueltig</v>
      </c>
      <c r="N550" s="62" t="str" cm="1">
        <f t="array" ref="N550">IF($B550=0,IF($E550=0,"",IF(INDEX(DMAV_Dienste!T$6:T$140,$E550)="","",INDEX(DMAV_Dienste!T$6:T$140,$E550))),IF(INDEX(DMAV_Modell!U$6:U$838,$B550)="","",INDEX(DMAV_Modell!U$6:U$838,$B550)))</f>
        <v>EGRID</v>
      </c>
      <c r="O550" s="63" t="str" cm="1">
        <f t="array" aca="1" ref="O550" ca="1">IF(C550=0,IF(F550=0,"",HYPERLINK("#"&amp;RIGHT(CELL("adresse",OFFSET(DMAV_Dienste!$M$6,F550-1,0)),LEN(CELL("adresse",OFFSET(DMAV_Dienste!$M$6,F550-1,0)))-FIND("]",CELL("adresse",OFFSET(DMAV_Dienste!$M$6,F550-1,0)))),"Structure")),HYPERLINK("#"&amp;RIGHT(CELL("adresse",OFFSET(DMAV_Modell!$N$6,C550-1,0)),LEN(CELL("adresse",OFFSET(DMAV_Modell!$N$6,C550-1,0)))-FIND("]",CELL("adresse",OFFSET(DMAV_Modell!$N$6,C550-1,0)))),"Structure"))</f>
        <v/>
      </c>
      <c r="P550" s="64" t="str" cm="1">
        <f t="array" aca="1" ref="P550" ca="1">IF(D550=0,IF(G550=0,"",HYPERLINK("#"&amp;RIGHT(CELL("adresse",OFFSET(DMAV_Dienste!$M$6,G550-1,0)),LEN(CELL("adresse",OFFSET(DMAV_Dienste!$M$6,G550-1,0)))-FIND("]",CELL("adresse",OFFSET(DMAV_Dienste!$M$6,G550-1,0)))),"Substructure")),HYPERLINK("#"&amp;RIGHT(CELL("adresse",OFFSET(DMAV_Modell!$N$6,D550-1,0)),LEN(CELL("adresse",OFFSET(DMAV_Modell!$N$6,D550-1,0)))-FIND("]",CELL("adresse",OFFSET(DMAV_Modell!$N$6,D550-1,0)))),"Substructure"))</f>
        <v/>
      </c>
      <c r="R550" s="80"/>
      <c r="T550" s="93"/>
      <c r="U550" s="94"/>
      <c r="V550" s="95"/>
      <c r="W550" s="96"/>
      <c r="Y550" s="85"/>
      <c r="Z550" s="86"/>
      <c r="AA550" s="87"/>
      <c r="AB550" s="88"/>
      <c r="AD550" s="77"/>
      <c r="AF550" s="54" t="str" cm="1">
        <f t="array" aca="1" ref="AF550" ca="1">IF(H550=0,"",HYPERLINK("#"&amp;RIGHT(CELL("adresse",OFFSET('DM01-AV-CH'!$G$6,H550-1,0)),LEN(CELL("adresse",OFFSET('DM01-AV-CH'!$G$6,H550-1,0)))-FIND("]",CELL("adresse",OFFSET('DM01-AV-CH'!$G$6,H550-1,0)))),"Modell"))</f>
        <v/>
      </c>
      <c r="AG550" s="72" t="str" cm="1">
        <f t="array" ref="AG550">IF($H550=0,"",IF(INDEX('DM01-AV-CH'!G$6:G$834,$H550)="","",INDEX('DM01-AV-CH'!G$6:G$834,$H550)))</f>
        <v/>
      </c>
      <c r="AH550" s="73" t="str" cm="1">
        <f t="array" ref="AH550">IF($H550=0,"",IF(INDEX('DM01-AV-CH'!H$6:H$834,$H550)="","",INDEX('DM01-AV-CH'!H$6:H$834,$H550)))</f>
        <v/>
      </c>
      <c r="AI550" s="74" t="str" cm="1">
        <f t="array" ref="AI550">IF($H550=0,"",IF(INDEX('DM01-AV-CH'!I$6:I$834,$H550)="","",INDEX('DM01-AV-CH'!I$6:I$834,$H550)))</f>
        <v/>
      </c>
    </row>
    <row r="551" spans="1:35" x14ac:dyDescent="0.25">
      <c r="A551" s="57">
        <v>546</v>
      </c>
      <c r="B551" s="57">
        <f>IF($A551="","",IF(_xlfn.XLOOKUP($A551,Korrelation!$D$4:$D$1197,Korrelation!E$4:E$1197,"-",0)="-",0,MATCH(_xlfn.XLOOKUP($A551,Korrelation!$D$4:$D$1197,Korrelation!E$4:E$1197,"",0),DMAV_Modell!$G$6:$G$677,0)))</f>
        <v>0</v>
      </c>
      <c r="C551" s="57">
        <f>IF($A551="","",IF(_xlfn.XLOOKUP($A551,Korrelation!$D$4:$D$1197,Korrelation!F$4:F$1197,"-",0)="-",0,MATCH(_xlfn.XLOOKUP($A551,Korrelation!$D$4:$D$1197,Korrelation!F$4:F$1197,"",0),DMAV_Modell!$G$6:$G$677,0)))</f>
        <v>0</v>
      </c>
      <c r="D551" s="57">
        <f>IF($A551="","",IF(_xlfn.XLOOKUP($A551,Korrelation!$D$4:$D$1197,Korrelation!G$4:G$1197,"-",0)="-",0,MATCH(_xlfn.XLOOKUP($A551,Korrelation!$D$4:$D$1197,Korrelation!G$4:G$1197,"",0),DMAV_Modell!$G$6:$G$677,0)))</f>
        <v>0</v>
      </c>
      <c r="E551" s="57">
        <f>IF($A551="","",IF(_xlfn.XLOOKUP($A551,Korrelation!$D$4:$D$1197,Korrelation!H$4:H$1197,"-",0)="-",0,MATCH(_xlfn.XLOOKUP($A551,Korrelation!$D$4:$D$1197,Korrelation!H$4:H$1197,"",0),DMAV_Dienste!$F$6:$F$140,0)))</f>
        <v>0</v>
      </c>
      <c r="F551" s="57">
        <f>IF($A551="","",IF(_xlfn.XLOOKUP($A551,Korrelation!$D$4:$D$1197,Korrelation!I$4:I$1197,"-",0)="-",0,MATCH(_xlfn.XLOOKUP($A551,Korrelation!$D$4:$D$1197,Korrelation!I$4:I$1197,"",0),DMAV_Dienste!$F$6:$F$140,0)))</f>
        <v>0</v>
      </c>
      <c r="G551" s="57">
        <f>IF($A551="","",IF(_xlfn.XLOOKUP($A551,Korrelation!$D$4:$D$1197,Korrelation!J$4:J$1197,"-",0)="-",0,MATCH(_xlfn.XLOOKUP($A551,Korrelation!$D$4:$D$1197,Korrelation!J$4:J$1197,"",0),DMAV_Dienste!$F$6:$F$140,0)))</f>
        <v>0</v>
      </c>
      <c r="H551" s="57">
        <f>IF($A551="","",IF(_xlfn.XLOOKUP($A551,Korrelation!$D$4:$D$1197,Korrelation!K$4:K$1197,"-",0)="-",0,MATCH(_xlfn.XLOOKUP($A551,Korrelation!$D$4:$D$1197,Korrelation!K$4:K$1197,"",0),'DM01-AV-CH'!$A$6:$A$834,0)))</f>
        <v>485</v>
      </c>
      <c r="J551" s="54" t="str" cm="1">
        <f t="array" aca="1" ref="J551" ca="1">IF(B551=0,IF(E551=0,"",HYPERLINK("#"&amp;RIGHT(CELL("adresse",OFFSET(DMAV_Dienste!$M$6,E551-1,0)),LEN(CELL("adresse",OFFSET(DMAV_Dienste!$M$6,E551-1,0)))-FIND("]",CELL("adresse",OFFSET(DMAV_Dienste!$M$6,E551-1,0)))),"Dienst")),HYPERLINK("#"&amp;RIGHT(CELL("adresse",OFFSET(DMAV_Modell!$N$6,B551-1,0)),LEN(CELL("adresse",OFFSET(DMAV_Modell!$N$6,B551-1,0)))-FIND("]",CELL("adresse",OFFSET(DMAV_Modell!$N$6,B551-1,0)))),"Modell"))</f>
        <v/>
      </c>
      <c r="K551" s="61" t="str" cm="1">
        <f t="array" ref="K551">IF($B551=0,IF($E551=0,"",IF(INDEX(DMAV_Dienste!P$6:P$140,$E551)="","",INDEX(DMAV_Dienste!P$6:P$140,$E551))),IF(INDEX(DMAV_Modell!Q$6:Q$838,$B551)="","",INDEX(DMAV_Modell!Q$6:Q$838,$B551)))</f>
        <v/>
      </c>
      <c r="L551" s="62" t="str" cm="1">
        <f t="array" ref="L551">IF($B551=0,IF($E551=0,"",IF(INDEX(DMAV_Dienste!O$6:O$140,$E551)="","",INDEX(DMAV_Dienste!O$6:O$140,$E551))),IF(INDEX(DMAV_Modell!P$6:P$838,$B551)="","",INDEX(DMAV_Modell!P$6:P$838,$B551)))</f>
        <v/>
      </c>
      <c r="M551" s="62" t="str" cm="1">
        <f t="array" ref="M551">IF($B551=0,IF($E551=0,"",IF(INDEX(DMAV_Dienste!Q$6:Q$140,$E551)="","",INDEX(DMAV_Dienste!Q$6:Q$140,$E551))),IF(INDEX(DMAV_Modell!R$6:R$838,$B551)="","",INDEX(DMAV_Modell!R$6:R$838,$B551)))</f>
        <v/>
      </c>
      <c r="N551" s="62" t="str" cm="1">
        <f t="array" ref="N551">IF($B551=0,IF($E551=0,"",IF(INDEX(DMAV_Dienste!T$6:T$140,$E551)="","",INDEX(DMAV_Dienste!T$6:T$140,$E551))),IF(INDEX(DMAV_Modell!U$6:U$838,$B551)="","",INDEX(DMAV_Modell!U$6:U$838,$B551)))</f>
        <v/>
      </c>
      <c r="O551" s="63" t="str" cm="1">
        <f t="array" aca="1" ref="O551" ca="1">IF(C551=0,IF(F551=0,"",HYPERLINK("#"&amp;RIGHT(CELL("adresse",OFFSET(DMAV_Dienste!$M$6,F551-1,0)),LEN(CELL("adresse",OFFSET(DMAV_Dienste!$M$6,F551-1,0)))-FIND("]",CELL("adresse",OFFSET(DMAV_Dienste!$M$6,F551-1,0)))),"Structure")),HYPERLINK("#"&amp;RIGHT(CELL("adresse",OFFSET(DMAV_Modell!$N$6,C551-1,0)),LEN(CELL("adresse",OFFSET(DMAV_Modell!$N$6,C551-1,0)))-FIND("]",CELL("adresse",OFFSET(DMAV_Modell!$N$6,C551-1,0)))),"Structure"))</f>
        <v/>
      </c>
      <c r="P551" s="64" t="str" cm="1">
        <f t="array" aca="1" ref="P551" ca="1">IF(D551=0,IF(G551=0,"",HYPERLINK("#"&amp;RIGHT(CELL("adresse",OFFSET(DMAV_Dienste!$M$6,G551-1,0)),LEN(CELL("adresse",OFFSET(DMAV_Dienste!$M$6,G551-1,0)))-FIND("]",CELL("adresse",OFFSET(DMAV_Dienste!$M$6,G551-1,0)))),"Substructure")),HYPERLINK("#"&amp;RIGHT(CELL("adresse",OFFSET(DMAV_Modell!$N$6,D551-1,0)),LEN(CELL("adresse",OFFSET(DMAV_Modell!$N$6,D551-1,0)))-FIND("]",CELL("adresse",OFFSET(DMAV_Modell!$N$6,D551-1,0)))),"Substructure"))</f>
        <v/>
      </c>
      <c r="R551" s="80"/>
      <c r="T551" s="93"/>
      <c r="U551" s="94"/>
      <c r="V551" s="95"/>
      <c r="W551" s="96"/>
      <c r="Y551" s="85"/>
      <c r="Z551" s="86"/>
      <c r="AA551" s="87"/>
      <c r="AB551" s="88"/>
      <c r="AD551" s="77"/>
      <c r="AF551" s="54" t="str" cm="1">
        <f t="array" aca="1" ref="AF551" ca="1">IF(H551=0,"",HYPERLINK("#"&amp;RIGHT(CELL("adresse",OFFSET('DM01-AV-CH'!$G$6,H551-1,0)),LEN(CELL("adresse",OFFSET('DM01-AV-CH'!$G$6,H551-1,0)))-FIND("]",CELL("adresse",OFFSET('DM01-AV-CH'!$G$6,H551-1,0)))),"Modell"))</f>
        <v>Modell</v>
      </c>
      <c r="AG551" s="72" t="str" cm="1">
        <f t="array" ref="AG551">IF($H551=0,"",IF(INDEX('DM01-AV-CH'!G$6:G$834,$H551)="","",INDEX('DM01-AV-CH'!G$6:G$834,$H551)))</f>
        <v>Liegenschaften</v>
      </c>
      <c r="AH551" s="73" t="str" cm="1">
        <f t="array" ref="AH551">IF($H551=0,"",IF(INDEX('DM01-AV-CH'!H$6:H$834,$H551)="","",INDEX('DM01-AV-CH'!H$6:H$834,$H551)))</f>
        <v>Liegenschaft</v>
      </c>
      <c r="AI551" s="74" t="str" cm="1">
        <f t="array" ref="AI551">IF($H551=0,"",IF(INDEX('DM01-AV-CH'!I$6:I$834,$H551)="","",INDEX('DM01-AV-CH'!I$6:I$834,$H551)))</f>
        <v>Liegenschaft_von</v>
      </c>
    </row>
    <row r="552" spans="1:35" ht="71.25" x14ac:dyDescent="0.25">
      <c r="A552" s="57">
        <v>547</v>
      </c>
      <c r="B552" s="57">
        <f>IF($A552="","",IF(_xlfn.XLOOKUP($A552,Korrelation!$D$4:$D$1197,Korrelation!E$4:E$1197,"-",0)="-",0,MATCH(_xlfn.XLOOKUP($A552,Korrelation!$D$4:$D$1197,Korrelation!E$4:E$1197,"",0),DMAV_Modell!$G$6:$G$677,0)))</f>
        <v>259</v>
      </c>
      <c r="C552" s="57">
        <f>IF($A552="","",IF(_xlfn.XLOOKUP($A552,Korrelation!$D$4:$D$1197,Korrelation!F$4:F$1197,"-",0)="-",0,MATCH(_xlfn.XLOOKUP($A552,Korrelation!$D$4:$D$1197,Korrelation!F$4:F$1197,"",0),DMAV_Modell!$G$6:$G$677,0)))</f>
        <v>0</v>
      </c>
      <c r="D552" s="57">
        <f>IF($A552="","",IF(_xlfn.XLOOKUP($A552,Korrelation!$D$4:$D$1197,Korrelation!G$4:G$1197,"-",0)="-",0,MATCH(_xlfn.XLOOKUP($A552,Korrelation!$D$4:$D$1197,Korrelation!G$4:G$1197,"",0),DMAV_Modell!$G$6:$G$677,0)))</f>
        <v>0</v>
      </c>
      <c r="E552" s="57">
        <f>IF($A552="","",IF(_xlfn.XLOOKUP($A552,Korrelation!$D$4:$D$1197,Korrelation!H$4:H$1197,"-",0)="-",0,MATCH(_xlfn.XLOOKUP($A552,Korrelation!$D$4:$D$1197,Korrelation!H$4:H$1197,"",0),DMAV_Dienste!$F$6:$F$140,0)))</f>
        <v>0</v>
      </c>
      <c r="F552" s="57">
        <f>IF($A552="","",IF(_xlfn.XLOOKUP($A552,Korrelation!$D$4:$D$1197,Korrelation!I$4:I$1197,"-",0)="-",0,MATCH(_xlfn.XLOOKUP($A552,Korrelation!$D$4:$D$1197,Korrelation!I$4:I$1197,"",0),DMAV_Dienste!$F$6:$F$140,0)))</f>
        <v>0</v>
      </c>
      <c r="G552" s="57">
        <f>IF($A552="","",IF(_xlfn.XLOOKUP($A552,Korrelation!$D$4:$D$1197,Korrelation!J$4:J$1197,"-",0)="-",0,MATCH(_xlfn.XLOOKUP($A552,Korrelation!$D$4:$D$1197,Korrelation!J$4:J$1197,"",0),DMAV_Dienste!$F$6:$F$140,0)))</f>
        <v>0</v>
      </c>
      <c r="H552" s="57">
        <f>IF($A552="","",IF(_xlfn.XLOOKUP($A552,Korrelation!$D$4:$D$1197,Korrelation!K$4:K$1197,"-",0)="-",0,MATCH(_xlfn.XLOOKUP($A552,Korrelation!$D$4:$D$1197,Korrelation!K$4:K$1197,"",0),'DM01-AV-CH'!$A$6:$A$834,0)))</f>
        <v>486</v>
      </c>
      <c r="J552" s="54" t="str" cm="1">
        <f t="array" aca="1" ref="J552" ca="1">IF(B552=0,IF(E552=0,"",HYPERLINK("#"&amp;RIGHT(CELL("adresse",OFFSET(DMAV_Dienste!$M$6,E552-1,0)),LEN(CELL("adresse",OFFSET(DMAV_Dienste!$M$6,E552-1,0)))-FIND("]",CELL("adresse",OFFSET(DMAV_Dienste!$M$6,E552-1,0)))),"Dienst")),HYPERLINK("#"&amp;RIGHT(CELL("adresse",OFFSET(DMAV_Modell!$N$6,B552-1,0)),LEN(CELL("adresse",OFFSET(DMAV_Modell!$N$6,B552-1,0)))-FIND("]",CELL("adresse",OFFSET(DMAV_Modell!$N$6,B552-1,0)))),"Modell"))</f>
        <v>Modell</v>
      </c>
      <c r="K552" s="61" t="str" cm="1">
        <f t="array" ref="K552">IF($B552=0,IF($E552=0,"",IF(INDEX(DMAV_Dienste!P$6:P$140,$E552)="","",INDEX(DMAV_Dienste!P$6:P$140,$E552))),IF(INDEX(DMAV_Modell!Q$6:Q$838,$B552)="","",INDEX(DMAV_Modell!Q$6:Q$838,$B552)))</f>
        <v>CLASS</v>
      </c>
      <c r="L552" s="62" t="str" cm="1">
        <f t="array" ref="L552">IF($B552=0,IF($E552=0,"",IF(INDEX(DMAV_Dienste!O$6:O$140,$E552)="","",INDEX(DMAV_Dienste!O$6:O$140,$E552))),IF(INDEX(DMAV_Modell!P$6:P$838,$B552)="","",INDEX(DMAV_Modell!P$6:P$838,$B552)))</f>
        <v>Grundstuecke</v>
      </c>
      <c r="M552" s="62" t="str" cm="1">
        <f t="array" ref="M552">IF($B552=0,IF($E552=0,"",IF(INDEX(DMAV_Dienste!Q$6:Q$140,$E552)="","",INDEX(DMAV_Dienste!Q$6:Q$140,$E552))),IF(INDEX(DMAV_Modell!R$6:R$838,$B552)="","",INDEX(DMAV_Modell!R$6:R$838,$B552)))</f>
        <v>Liegenschaft</v>
      </c>
      <c r="N552" s="62" t="str" cm="1">
        <f t="array" ref="N552">IF($B552=0,IF($E552=0,"",IF(INDEX(DMAV_Dienste!T$6:T$140,$E552)="","",INDEX(DMAV_Dienste!T$6:T$140,$E552))),IF(INDEX(DMAV_Modell!U$6:U$838,$B552)="","",INDEX(DMAV_Modell!U$6:U$838,$B552)))</f>
        <v>NummerTeilgrundstueck</v>
      </c>
      <c r="O552" s="63" t="str" cm="1">
        <f t="array" aca="1" ref="O552" ca="1">IF(C552=0,IF(F552=0,"",HYPERLINK("#"&amp;RIGHT(CELL("adresse",OFFSET(DMAV_Dienste!$M$6,F552-1,0)),LEN(CELL("adresse",OFFSET(DMAV_Dienste!$M$6,F552-1,0)))-FIND("]",CELL("adresse",OFFSET(DMAV_Dienste!$M$6,F552-1,0)))),"Structure")),HYPERLINK("#"&amp;RIGHT(CELL("adresse",OFFSET(DMAV_Modell!$N$6,C552-1,0)),LEN(CELL("adresse",OFFSET(DMAV_Modell!$N$6,C552-1,0)))-FIND("]",CELL("adresse",OFFSET(DMAV_Modell!$N$6,C552-1,0)))),"Structure"))</f>
        <v/>
      </c>
      <c r="P552" s="64" t="str" cm="1">
        <f t="array" aca="1" ref="P552" ca="1">IF(D552=0,IF(G552=0,"",HYPERLINK("#"&amp;RIGHT(CELL("adresse",OFFSET(DMAV_Dienste!$M$6,G552-1,0)),LEN(CELL("adresse",OFFSET(DMAV_Dienste!$M$6,G552-1,0)))-FIND("]",CELL("adresse",OFFSET(DMAV_Dienste!$M$6,G552-1,0)))),"Substructure")),HYPERLINK("#"&amp;RIGHT(CELL("adresse",OFFSET(DMAV_Modell!$N$6,D552-1,0)),LEN(CELL("adresse",OFFSET(DMAV_Modell!$N$6,D552-1,0)))-FIND("]",CELL("adresse",OFFSET(DMAV_Modell!$N$6,D552-1,0)))),"Substructure"))</f>
        <v/>
      </c>
      <c r="R552" s="80"/>
      <c r="T552" s="93"/>
      <c r="U552" s="94"/>
      <c r="V552" s="95"/>
      <c r="W552" s="96"/>
      <c r="Y552" s="85" t="s">
        <v>3124</v>
      </c>
      <c r="Z552" s="86" t="s">
        <v>2980</v>
      </c>
      <c r="AA552" s="87" t="s">
        <v>3016</v>
      </c>
      <c r="AB552" s="88"/>
      <c r="AD552" s="77"/>
      <c r="AF552" s="54" t="str" cm="1">
        <f t="array" aca="1" ref="AF552" ca="1">IF(H552=0,"",HYPERLINK("#"&amp;RIGHT(CELL("adresse",OFFSET('DM01-AV-CH'!$G$6,H552-1,0)),LEN(CELL("adresse",OFFSET('DM01-AV-CH'!$G$6,H552-1,0)))-FIND("]",CELL("adresse",OFFSET('DM01-AV-CH'!$G$6,H552-1,0)))),"Modell"))</f>
        <v>Modell</v>
      </c>
      <c r="AG552" s="72" t="str" cm="1">
        <f t="array" ref="AG552">IF($H552=0,"",IF(INDEX('DM01-AV-CH'!G$6:G$834,$H552)="","",INDEX('DM01-AV-CH'!G$6:G$834,$H552)))</f>
        <v>Liegenschaften</v>
      </c>
      <c r="AH552" s="73" t="str" cm="1">
        <f t="array" ref="AH552">IF($H552=0,"",IF(INDEX('DM01-AV-CH'!H$6:H$834,$H552)="","",INDEX('DM01-AV-CH'!H$6:H$834,$H552)))</f>
        <v>Liegenschaft</v>
      </c>
      <c r="AI552" s="74" t="str" cm="1">
        <f t="array" ref="AI552">IF($H552=0,"",IF(INDEX('DM01-AV-CH'!I$6:I$834,$H552)="","",INDEX('DM01-AV-CH'!I$6:I$834,$H552)))</f>
        <v>NummerTeilGrundstueck</v>
      </c>
    </row>
    <row r="553" spans="1:35" ht="71.25" x14ac:dyDescent="0.25">
      <c r="A553" s="57">
        <v>548</v>
      </c>
      <c r="B553" s="57">
        <f>IF($A553="","",IF(_xlfn.XLOOKUP($A553,Korrelation!$D$4:$D$1197,Korrelation!E$4:E$1197,"-",0)="-",0,MATCH(_xlfn.XLOOKUP($A553,Korrelation!$D$4:$D$1197,Korrelation!E$4:E$1197,"",0),DMAV_Modell!$G$6:$G$677,0)))</f>
        <v>260</v>
      </c>
      <c r="C553" s="57">
        <f>IF($A553="","",IF(_xlfn.XLOOKUP($A553,Korrelation!$D$4:$D$1197,Korrelation!F$4:F$1197,"-",0)="-",0,MATCH(_xlfn.XLOOKUP($A553,Korrelation!$D$4:$D$1197,Korrelation!F$4:F$1197,"",0),DMAV_Modell!$G$6:$G$677,0)))</f>
        <v>0</v>
      </c>
      <c r="D553" s="57">
        <f>IF($A553="","",IF(_xlfn.XLOOKUP($A553,Korrelation!$D$4:$D$1197,Korrelation!G$4:G$1197,"-",0)="-",0,MATCH(_xlfn.XLOOKUP($A553,Korrelation!$D$4:$D$1197,Korrelation!G$4:G$1197,"",0),DMAV_Modell!$G$6:$G$677,0)))</f>
        <v>0</v>
      </c>
      <c r="E553" s="57">
        <f>IF($A553="","",IF(_xlfn.XLOOKUP($A553,Korrelation!$D$4:$D$1197,Korrelation!H$4:H$1197,"-",0)="-",0,MATCH(_xlfn.XLOOKUP($A553,Korrelation!$D$4:$D$1197,Korrelation!H$4:H$1197,"",0),DMAV_Dienste!$F$6:$F$140,0)))</f>
        <v>0</v>
      </c>
      <c r="F553" s="57">
        <f>IF($A553="","",IF(_xlfn.XLOOKUP($A553,Korrelation!$D$4:$D$1197,Korrelation!I$4:I$1197,"-",0)="-",0,MATCH(_xlfn.XLOOKUP($A553,Korrelation!$D$4:$D$1197,Korrelation!I$4:I$1197,"",0),DMAV_Dienste!$F$6:$F$140,0)))</f>
        <v>0</v>
      </c>
      <c r="G553" s="57">
        <f>IF($A553="","",IF(_xlfn.XLOOKUP($A553,Korrelation!$D$4:$D$1197,Korrelation!J$4:J$1197,"-",0)="-",0,MATCH(_xlfn.XLOOKUP($A553,Korrelation!$D$4:$D$1197,Korrelation!J$4:J$1197,"",0),DMAV_Dienste!$F$6:$F$140,0)))</f>
        <v>0</v>
      </c>
      <c r="H553" s="57">
        <f>IF($A553="","",IF(_xlfn.XLOOKUP($A553,Korrelation!$D$4:$D$1197,Korrelation!K$4:K$1197,"-",0)="-",0,MATCH(_xlfn.XLOOKUP($A553,Korrelation!$D$4:$D$1197,Korrelation!K$4:K$1197,"",0),'DM01-AV-CH'!$A$6:$A$834,0)))</f>
        <v>487</v>
      </c>
      <c r="J553" s="54" t="str" cm="1">
        <f t="array" aca="1" ref="J553" ca="1">IF(B553=0,IF(E553=0,"",HYPERLINK("#"&amp;RIGHT(CELL("adresse",OFFSET(DMAV_Dienste!$M$6,E553-1,0)),LEN(CELL("adresse",OFFSET(DMAV_Dienste!$M$6,E553-1,0)))-FIND("]",CELL("adresse",OFFSET(DMAV_Dienste!$M$6,E553-1,0)))),"Dienst")),HYPERLINK("#"&amp;RIGHT(CELL("adresse",OFFSET(DMAV_Modell!$N$6,B553-1,0)),LEN(CELL("adresse",OFFSET(DMAV_Modell!$N$6,B553-1,0)))-FIND("]",CELL("adresse",OFFSET(DMAV_Modell!$N$6,B553-1,0)))),"Modell"))</f>
        <v>Modell</v>
      </c>
      <c r="K553" s="61" t="str" cm="1">
        <f t="array" ref="K553">IF($B553=0,IF($E553=0,"",IF(INDEX(DMAV_Dienste!P$6:P$140,$E553)="","",INDEX(DMAV_Dienste!P$6:P$140,$E553))),IF(INDEX(DMAV_Modell!Q$6:Q$838,$B553)="","",INDEX(DMAV_Modell!Q$6:Q$838,$B553)))</f>
        <v>CLASS</v>
      </c>
      <c r="L553" s="62" t="str" cm="1">
        <f t="array" ref="L553">IF($B553=0,IF($E553=0,"",IF(INDEX(DMAV_Dienste!O$6:O$140,$E553)="","",INDEX(DMAV_Dienste!O$6:O$140,$E553))),IF(INDEX(DMAV_Modell!P$6:P$838,$B553)="","",INDEX(DMAV_Modell!P$6:P$838,$B553)))</f>
        <v>Grundstuecke</v>
      </c>
      <c r="M553" s="62" t="str" cm="1">
        <f t="array" ref="M553">IF($B553=0,IF($E553=0,"",IF(INDEX(DMAV_Dienste!Q$6:Q$140,$E553)="","",INDEX(DMAV_Dienste!Q$6:Q$140,$E553))),IF(INDEX(DMAV_Modell!R$6:R$838,$B553)="","",INDEX(DMAV_Modell!R$6:R$838,$B553)))</f>
        <v>Liegenschaft</v>
      </c>
      <c r="N553" s="62" t="str" cm="1">
        <f t="array" ref="N553">IF($B553=0,IF($E553=0,"",IF(INDEX(DMAV_Dienste!T$6:T$140,$E553)="","",INDEX(DMAV_Dienste!T$6:T$140,$E553))),IF(INDEX(DMAV_Modell!U$6:U$838,$B553)="","",INDEX(DMAV_Modell!U$6:U$838,$B553)))</f>
        <v>Geometrie</v>
      </c>
      <c r="O553" s="63" t="str" cm="1">
        <f t="array" aca="1" ref="O553" ca="1">IF(C553=0,IF(F553=0,"",HYPERLINK("#"&amp;RIGHT(CELL("adresse",OFFSET(DMAV_Dienste!$M$6,F553-1,0)),LEN(CELL("adresse",OFFSET(DMAV_Dienste!$M$6,F553-1,0)))-FIND("]",CELL("adresse",OFFSET(DMAV_Dienste!$M$6,F553-1,0)))),"Structure")),HYPERLINK("#"&amp;RIGHT(CELL("adresse",OFFSET(DMAV_Modell!$N$6,C553-1,0)),LEN(CELL("adresse",OFFSET(DMAV_Modell!$N$6,C553-1,0)))-FIND("]",CELL("adresse",OFFSET(DMAV_Modell!$N$6,C553-1,0)))),"Structure"))</f>
        <v/>
      </c>
      <c r="P553" s="64" t="str" cm="1">
        <f t="array" aca="1" ref="P553" ca="1">IF(D553=0,IF(G553=0,"",HYPERLINK("#"&amp;RIGHT(CELL("adresse",OFFSET(DMAV_Dienste!$M$6,G553-1,0)),LEN(CELL("adresse",OFFSET(DMAV_Dienste!$M$6,G553-1,0)))-FIND("]",CELL("adresse",OFFSET(DMAV_Dienste!$M$6,G553-1,0)))),"Substructure")),HYPERLINK("#"&amp;RIGHT(CELL("adresse",OFFSET(DMAV_Modell!$N$6,D553-1,0)),LEN(CELL("adresse",OFFSET(DMAV_Modell!$N$6,D553-1,0)))-FIND("]",CELL("adresse",OFFSET(DMAV_Modell!$N$6,D553-1,0)))),"Substructure"))</f>
        <v/>
      </c>
      <c r="R553" s="80"/>
      <c r="T553" s="93"/>
      <c r="U553" s="94"/>
      <c r="V553" s="95"/>
      <c r="W553" s="96"/>
      <c r="Y553" s="85" t="s">
        <v>3124</v>
      </c>
      <c r="Z553" s="86" t="s">
        <v>2980</v>
      </c>
      <c r="AA553" s="87" t="s">
        <v>3017</v>
      </c>
      <c r="AB553" s="88"/>
      <c r="AD553" s="77"/>
      <c r="AF553" s="54" t="str" cm="1">
        <f t="array" aca="1" ref="AF553" ca="1">IF(H553=0,"",HYPERLINK("#"&amp;RIGHT(CELL("adresse",OFFSET('DM01-AV-CH'!$G$6,H553-1,0)),LEN(CELL("adresse",OFFSET('DM01-AV-CH'!$G$6,H553-1,0)))-FIND("]",CELL("adresse",OFFSET('DM01-AV-CH'!$G$6,H553-1,0)))),"Modell"))</f>
        <v>Modell</v>
      </c>
      <c r="AG553" s="72" t="str" cm="1">
        <f t="array" ref="AG553">IF($H553=0,"",IF(INDEX('DM01-AV-CH'!G$6:G$834,$H553)="","",INDEX('DM01-AV-CH'!G$6:G$834,$H553)))</f>
        <v>Liegenschaften</v>
      </c>
      <c r="AH553" s="73" t="str" cm="1">
        <f t="array" ref="AH553">IF($H553=0,"",IF(INDEX('DM01-AV-CH'!H$6:H$834,$H553)="","",INDEX('DM01-AV-CH'!H$6:H$834,$H553)))</f>
        <v>Liegenschaft</v>
      </c>
      <c r="AI553" s="74" t="str" cm="1">
        <f t="array" ref="AI553">IF($H553=0,"",IF(INDEX('DM01-AV-CH'!I$6:I$834,$H553)="","",INDEX('DM01-AV-CH'!I$6:I$834,$H553)))</f>
        <v>Geometrie</v>
      </c>
    </row>
    <row r="554" spans="1:35" x14ac:dyDescent="0.25">
      <c r="A554" s="57">
        <v>549</v>
      </c>
      <c r="B554" s="57">
        <f>IF($A554="","",IF(_xlfn.XLOOKUP($A554,Korrelation!$D$4:$D$1197,Korrelation!E$4:E$1197,"-",0)="-",0,MATCH(_xlfn.XLOOKUP($A554,Korrelation!$D$4:$D$1197,Korrelation!E$4:E$1197,"",0),DMAV_Modell!$G$6:$G$677,0)))</f>
        <v>261</v>
      </c>
      <c r="C554" s="57">
        <f>IF($A554="","",IF(_xlfn.XLOOKUP($A554,Korrelation!$D$4:$D$1197,Korrelation!F$4:F$1197,"-",0)="-",0,MATCH(_xlfn.XLOOKUP($A554,Korrelation!$D$4:$D$1197,Korrelation!F$4:F$1197,"",0),DMAV_Modell!$G$6:$G$677,0)))</f>
        <v>0</v>
      </c>
      <c r="D554" s="57">
        <f>IF($A554="","",IF(_xlfn.XLOOKUP($A554,Korrelation!$D$4:$D$1197,Korrelation!G$4:G$1197,"-",0)="-",0,MATCH(_xlfn.XLOOKUP($A554,Korrelation!$D$4:$D$1197,Korrelation!G$4:G$1197,"",0),DMAV_Modell!$G$6:$G$677,0)))</f>
        <v>0</v>
      </c>
      <c r="E554" s="57">
        <f>IF($A554="","",IF(_xlfn.XLOOKUP($A554,Korrelation!$D$4:$D$1197,Korrelation!H$4:H$1197,"-",0)="-",0,MATCH(_xlfn.XLOOKUP($A554,Korrelation!$D$4:$D$1197,Korrelation!H$4:H$1197,"",0),DMAV_Dienste!$F$6:$F$140,0)))</f>
        <v>0</v>
      </c>
      <c r="F554" s="57">
        <f>IF($A554="","",IF(_xlfn.XLOOKUP($A554,Korrelation!$D$4:$D$1197,Korrelation!I$4:I$1197,"-",0)="-",0,MATCH(_xlfn.XLOOKUP($A554,Korrelation!$D$4:$D$1197,Korrelation!I$4:I$1197,"",0),DMAV_Dienste!$F$6:$F$140,0)))</f>
        <v>0</v>
      </c>
      <c r="G554" s="57">
        <f>IF($A554="","",IF(_xlfn.XLOOKUP($A554,Korrelation!$D$4:$D$1197,Korrelation!J$4:J$1197,"-",0)="-",0,MATCH(_xlfn.XLOOKUP($A554,Korrelation!$D$4:$D$1197,Korrelation!J$4:J$1197,"",0),DMAV_Dienste!$F$6:$F$140,0)))</f>
        <v>0</v>
      </c>
      <c r="H554" s="57">
        <f>IF($A554="","",IF(_xlfn.XLOOKUP($A554,Korrelation!$D$4:$D$1197,Korrelation!K$4:K$1197,"-",0)="-",0,MATCH(_xlfn.XLOOKUP($A554,Korrelation!$D$4:$D$1197,Korrelation!K$4:K$1197,"",0),'DM01-AV-CH'!$A$6:$A$834,0)))</f>
        <v>0</v>
      </c>
      <c r="J554" s="54" t="str" cm="1">
        <f t="array" aca="1" ref="J554" ca="1">IF(B554=0,IF(E554=0,"",HYPERLINK("#"&amp;RIGHT(CELL("adresse",OFFSET(DMAV_Dienste!$M$6,E554-1,0)),LEN(CELL("adresse",OFFSET(DMAV_Dienste!$M$6,E554-1,0)))-FIND("]",CELL("adresse",OFFSET(DMAV_Dienste!$M$6,E554-1,0)))),"Dienst")),HYPERLINK("#"&amp;RIGHT(CELL("adresse",OFFSET(DMAV_Modell!$N$6,B554-1,0)),LEN(CELL("adresse",OFFSET(DMAV_Modell!$N$6,B554-1,0)))-FIND("]",CELL("adresse",OFFSET(DMAV_Modell!$N$6,B554-1,0)))),"Modell"))</f>
        <v>Modell</v>
      </c>
      <c r="K554" s="61" t="str" cm="1">
        <f t="array" ref="K554">IF($B554=0,IF($E554=0,"",IF(INDEX(DMAV_Dienste!P$6:P$140,$E554)="","",INDEX(DMAV_Dienste!P$6:P$140,$E554))),IF(INDEX(DMAV_Modell!Q$6:Q$838,$B554)="","",INDEX(DMAV_Modell!Q$6:Q$838,$B554)))</f>
        <v>CLASS</v>
      </c>
      <c r="L554" s="62" t="str" cm="1">
        <f t="array" ref="L554">IF($B554=0,IF($E554=0,"",IF(INDEX(DMAV_Dienste!O$6:O$140,$E554)="","",INDEX(DMAV_Dienste!O$6:O$140,$E554))),IF(INDEX(DMAV_Modell!P$6:P$838,$B554)="","",INDEX(DMAV_Modell!P$6:P$838,$B554)))</f>
        <v>Grundstuecke</v>
      </c>
      <c r="M554" s="62" t="str" cm="1">
        <f t="array" ref="M554">IF($B554=0,IF($E554=0,"",IF(INDEX(DMAV_Dienste!Q$6:Q$140,$E554)="","",INDEX(DMAV_Dienste!Q$6:Q$140,$E554))),IF(INDEX(DMAV_Modell!R$6:R$838,$B554)="","",INDEX(DMAV_Modell!R$6:R$838,$B554)))</f>
        <v>Liegenschaft</v>
      </c>
      <c r="N554" s="62" t="str" cm="1">
        <f t="array" ref="N554">IF($B554=0,IF($E554=0,"",IF(INDEX(DMAV_Dienste!T$6:T$140,$E554)="","",INDEX(DMAV_Dienste!T$6:T$140,$E554))),IF(INDEX(DMAV_Modell!U$6:U$838,$B554)="","",INDEX(DMAV_Modell!U$6:U$838,$B554)))</f>
        <v>Fiktiv</v>
      </c>
      <c r="O554" s="63" t="str" cm="1">
        <f t="array" aca="1" ref="O554" ca="1">IF(C554=0,IF(F554=0,"",HYPERLINK("#"&amp;RIGHT(CELL("adresse",OFFSET(DMAV_Dienste!$M$6,F554-1,0)),LEN(CELL("adresse",OFFSET(DMAV_Dienste!$M$6,F554-1,0)))-FIND("]",CELL("adresse",OFFSET(DMAV_Dienste!$M$6,F554-1,0)))),"Structure")),HYPERLINK("#"&amp;RIGHT(CELL("adresse",OFFSET(DMAV_Modell!$N$6,C554-1,0)),LEN(CELL("adresse",OFFSET(DMAV_Modell!$N$6,C554-1,0)))-FIND("]",CELL("adresse",OFFSET(DMAV_Modell!$N$6,C554-1,0)))),"Structure"))</f>
        <v/>
      </c>
      <c r="P554" s="64" t="str" cm="1">
        <f t="array" aca="1" ref="P554" ca="1">IF(D554=0,IF(G554=0,"",HYPERLINK("#"&amp;RIGHT(CELL("adresse",OFFSET(DMAV_Dienste!$M$6,G554-1,0)),LEN(CELL("adresse",OFFSET(DMAV_Dienste!$M$6,G554-1,0)))-FIND("]",CELL("adresse",OFFSET(DMAV_Dienste!$M$6,G554-1,0)))),"Substructure")),HYPERLINK("#"&amp;RIGHT(CELL("adresse",OFFSET(DMAV_Modell!$N$6,D554-1,0)),LEN(CELL("adresse",OFFSET(DMAV_Modell!$N$6,D554-1,0)))-FIND("]",CELL("adresse",OFFSET(DMAV_Modell!$N$6,D554-1,0)))),"Substructure"))</f>
        <v/>
      </c>
      <c r="R554" s="80" t="s">
        <v>3117</v>
      </c>
      <c r="T554" s="93"/>
      <c r="U554" s="94"/>
      <c r="V554" s="95"/>
      <c r="W554" s="96"/>
      <c r="Y554" s="85"/>
      <c r="Z554" s="86"/>
      <c r="AA554" s="87"/>
      <c r="AB554" s="88"/>
      <c r="AD554" s="77"/>
      <c r="AF554" s="54" t="str" cm="1">
        <f t="array" aca="1" ref="AF554" ca="1">IF(H554=0,"",HYPERLINK("#"&amp;RIGHT(CELL("adresse",OFFSET('DM01-AV-CH'!$G$6,H554-1,0)),LEN(CELL("adresse",OFFSET('DM01-AV-CH'!$G$6,H554-1,0)))-FIND("]",CELL("adresse",OFFSET('DM01-AV-CH'!$G$6,H554-1,0)))),"Modell"))</f>
        <v/>
      </c>
      <c r="AG554" s="72" t="str" cm="1">
        <f t="array" ref="AG554">IF($H554=0,"",IF(INDEX('DM01-AV-CH'!G$6:G$834,$H554)="","",INDEX('DM01-AV-CH'!G$6:G$834,$H554)))</f>
        <v/>
      </c>
      <c r="AH554" s="73" t="str" cm="1">
        <f t="array" ref="AH554">IF($H554=0,"",IF(INDEX('DM01-AV-CH'!H$6:H$834,$H554)="","",INDEX('DM01-AV-CH'!H$6:H$834,$H554)))</f>
        <v/>
      </c>
      <c r="AI554" s="74" t="str" cm="1">
        <f t="array" ref="AI554">IF($H554=0,"",IF(INDEX('DM01-AV-CH'!I$6:I$834,$H554)="","",INDEX('DM01-AV-CH'!I$6:I$834,$H554)))</f>
        <v/>
      </c>
    </row>
    <row r="555" spans="1:35" ht="71.25" x14ac:dyDescent="0.25">
      <c r="A555" s="57">
        <v>550</v>
      </c>
      <c r="B555" s="57">
        <f>IF($A555="","",IF(_xlfn.XLOOKUP($A555,Korrelation!$D$4:$D$1197,Korrelation!E$4:E$1197,"-",0)="-",0,MATCH(_xlfn.XLOOKUP($A555,Korrelation!$D$4:$D$1197,Korrelation!E$4:E$1197,"",0),DMAV_Modell!$G$6:$G$677,0)))</f>
        <v>262</v>
      </c>
      <c r="C555" s="57">
        <f>IF($A555="","",IF(_xlfn.XLOOKUP($A555,Korrelation!$D$4:$D$1197,Korrelation!F$4:F$1197,"-",0)="-",0,MATCH(_xlfn.XLOOKUP($A555,Korrelation!$D$4:$D$1197,Korrelation!F$4:F$1197,"",0),DMAV_Modell!$G$6:$G$677,0)))</f>
        <v>0</v>
      </c>
      <c r="D555" s="57">
        <f>IF($A555="","",IF(_xlfn.XLOOKUP($A555,Korrelation!$D$4:$D$1197,Korrelation!G$4:G$1197,"-",0)="-",0,MATCH(_xlfn.XLOOKUP($A555,Korrelation!$D$4:$D$1197,Korrelation!G$4:G$1197,"",0),DMAV_Modell!$G$6:$G$677,0)))</f>
        <v>0</v>
      </c>
      <c r="E555" s="57">
        <f>IF($A555="","",IF(_xlfn.XLOOKUP($A555,Korrelation!$D$4:$D$1197,Korrelation!H$4:H$1197,"-",0)="-",0,MATCH(_xlfn.XLOOKUP($A555,Korrelation!$D$4:$D$1197,Korrelation!H$4:H$1197,"",0),DMAV_Dienste!$F$6:$F$140,0)))</f>
        <v>0</v>
      </c>
      <c r="F555" s="57">
        <f>IF($A555="","",IF(_xlfn.XLOOKUP($A555,Korrelation!$D$4:$D$1197,Korrelation!I$4:I$1197,"-",0)="-",0,MATCH(_xlfn.XLOOKUP($A555,Korrelation!$D$4:$D$1197,Korrelation!I$4:I$1197,"",0),DMAV_Dienste!$F$6:$F$140,0)))</f>
        <v>0</v>
      </c>
      <c r="G555" s="57">
        <f>IF($A555="","",IF(_xlfn.XLOOKUP($A555,Korrelation!$D$4:$D$1197,Korrelation!J$4:J$1197,"-",0)="-",0,MATCH(_xlfn.XLOOKUP($A555,Korrelation!$D$4:$D$1197,Korrelation!J$4:J$1197,"",0),DMAV_Dienste!$F$6:$F$140,0)))</f>
        <v>0</v>
      </c>
      <c r="H555" s="57">
        <f>IF($A555="","",IF(_xlfn.XLOOKUP($A555,Korrelation!$D$4:$D$1197,Korrelation!K$4:K$1197,"-",0)="-",0,MATCH(_xlfn.XLOOKUP($A555,Korrelation!$D$4:$D$1197,Korrelation!K$4:K$1197,"",0),'DM01-AV-CH'!$A$6:$A$834,0)))</f>
        <v>488</v>
      </c>
      <c r="J555" s="54" t="str" cm="1">
        <f t="array" aca="1" ref="J555" ca="1">IF(B555=0,IF(E555=0,"",HYPERLINK("#"&amp;RIGHT(CELL("adresse",OFFSET(DMAV_Dienste!$M$6,E555-1,0)),LEN(CELL("adresse",OFFSET(DMAV_Dienste!$M$6,E555-1,0)))-FIND("]",CELL("adresse",OFFSET(DMAV_Dienste!$M$6,E555-1,0)))),"Dienst")),HYPERLINK("#"&amp;RIGHT(CELL("adresse",OFFSET(DMAV_Modell!$N$6,B555-1,0)),LEN(CELL("adresse",OFFSET(DMAV_Modell!$N$6,B555-1,0)))-FIND("]",CELL("adresse",OFFSET(DMAV_Modell!$N$6,B555-1,0)))),"Modell"))</f>
        <v>Modell</v>
      </c>
      <c r="K555" s="61" t="str" cm="1">
        <f t="array" ref="K555">IF($B555=0,IF($E555=0,"",IF(INDEX(DMAV_Dienste!P$6:P$140,$E555)="","",INDEX(DMAV_Dienste!P$6:P$140,$E555))),IF(INDEX(DMAV_Modell!Q$6:Q$838,$B555)="","",INDEX(DMAV_Modell!Q$6:Q$838,$B555)))</f>
        <v>CLASS</v>
      </c>
      <c r="L555" s="62" t="str" cm="1">
        <f t="array" ref="L555">IF($B555=0,IF($E555=0,"",IF(INDEX(DMAV_Dienste!O$6:O$140,$E555)="","",INDEX(DMAV_Dienste!O$6:O$140,$E555))),IF(INDEX(DMAV_Modell!P$6:P$838,$B555)="","",INDEX(DMAV_Modell!P$6:P$838,$B555)))</f>
        <v>Grundstuecke</v>
      </c>
      <c r="M555" s="62" t="str" cm="1">
        <f t="array" ref="M555">IF($B555=0,IF($E555=0,"",IF(INDEX(DMAV_Dienste!Q$6:Q$140,$E555)="","",INDEX(DMAV_Dienste!Q$6:Q$140,$E555))),IF(INDEX(DMAV_Modell!R$6:R$838,$B555)="","",INDEX(DMAV_Modell!R$6:R$838,$B555)))</f>
        <v>Liegenschaft</v>
      </c>
      <c r="N555" s="62" t="str" cm="1">
        <f t="array" ref="N555">IF($B555=0,IF($E555=0,"",IF(INDEX(DMAV_Dienste!T$6:T$140,$E555)="","",INDEX(DMAV_Dienste!T$6:T$140,$E555))),IF(INDEX(DMAV_Modell!U$6:U$838,$B555)="","",INDEX(DMAV_Modell!U$6:U$838,$B555)))</f>
        <v>Flaechenmass</v>
      </c>
      <c r="O555" s="63" t="str" cm="1">
        <f t="array" aca="1" ref="O555" ca="1">IF(C555=0,IF(F555=0,"",HYPERLINK("#"&amp;RIGHT(CELL("adresse",OFFSET(DMAV_Dienste!$M$6,F555-1,0)),LEN(CELL("adresse",OFFSET(DMAV_Dienste!$M$6,F555-1,0)))-FIND("]",CELL("adresse",OFFSET(DMAV_Dienste!$M$6,F555-1,0)))),"Structure")),HYPERLINK("#"&amp;RIGHT(CELL("adresse",OFFSET(DMAV_Modell!$N$6,C555-1,0)),LEN(CELL("adresse",OFFSET(DMAV_Modell!$N$6,C555-1,0)))-FIND("]",CELL("adresse",OFFSET(DMAV_Modell!$N$6,C555-1,0)))),"Structure"))</f>
        <v/>
      </c>
      <c r="P555" s="64" t="str" cm="1">
        <f t="array" aca="1" ref="P555" ca="1">IF(D555=0,IF(G555=0,"",HYPERLINK("#"&amp;RIGHT(CELL("adresse",OFFSET(DMAV_Dienste!$M$6,G555-1,0)),LEN(CELL("adresse",OFFSET(DMAV_Dienste!$M$6,G555-1,0)))-FIND("]",CELL("adresse",OFFSET(DMAV_Dienste!$M$6,G555-1,0)))),"Substructure")),HYPERLINK("#"&amp;RIGHT(CELL("adresse",OFFSET(DMAV_Modell!$N$6,D555-1,0)),LEN(CELL("adresse",OFFSET(DMAV_Modell!$N$6,D555-1,0)))-FIND("]",CELL("adresse",OFFSET(DMAV_Modell!$N$6,D555-1,0)))),"Substructure"))</f>
        <v/>
      </c>
      <c r="R555" s="80"/>
      <c r="T555" s="93"/>
      <c r="U555" s="94"/>
      <c r="V555" s="95"/>
      <c r="W555" s="96"/>
      <c r="Y555" s="85" t="s">
        <v>3124</v>
      </c>
      <c r="Z555" s="86" t="s">
        <v>2980</v>
      </c>
      <c r="AA555" s="87" t="s">
        <v>3018</v>
      </c>
      <c r="AB555" s="88"/>
      <c r="AD555" s="77"/>
      <c r="AF555" s="54" t="str" cm="1">
        <f t="array" aca="1" ref="AF555" ca="1">IF(H555=0,"",HYPERLINK("#"&amp;RIGHT(CELL("adresse",OFFSET('DM01-AV-CH'!$G$6,H555-1,0)),LEN(CELL("adresse",OFFSET('DM01-AV-CH'!$G$6,H555-1,0)))-FIND("]",CELL("adresse",OFFSET('DM01-AV-CH'!$G$6,H555-1,0)))),"Modell"))</f>
        <v>Modell</v>
      </c>
      <c r="AG555" s="72" t="str" cm="1">
        <f t="array" ref="AG555">IF($H555=0,"",IF(INDEX('DM01-AV-CH'!G$6:G$834,$H555)="","",INDEX('DM01-AV-CH'!G$6:G$834,$H555)))</f>
        <v>Liegenschaften</v>
      </c>
      <c r="AH555" s="73" t="str" cm="1">
        <f t="array" ref="AH555">IF($H555=0,"",IF(INDEX('DM01-AV-CH'!H$6:H$834,$H555)="","",INDEX('DM01-AV-CH'!H$6:H$834,$H555)))</f>
        <v>Liegenschaft</v>
      </c>
      <c r="AI555" s="74" t="str" cm="1">
        <f t="array" ref="AI555">IF($H555=0,"",IF(INDEX('DM01-AV-CH'!I$6:I$834,$H555)="","",INDEX('DM01-AV-CH'!I$6:I$834,$H555)))</f>
        <v>Flaechenmass</v>
      </c>
    </row>
    <row r="556" spans="1:35" ht="85.5" x14ac:dyDescent="0.25">
      <c r="A556" s="57">
        <v>551</v>
      </c>
      <c r="B556" s="57">
        <f>IF($A556="","",IF(_xlfn.XLOOKUP($A556,Korrelation!$D$4:$D$1197,Korrelation!E$4:E$1197,"-",0)="-",0,MATCH(_xlfn.XLOOKUP($A556,Korrelation!$D$4:$D$1197,Korrelation!E$4:E$1197,"",0),DMAV_Modell!$G$6:$G$677,0)))</f>
        <v>263</v>
      </c>
      <c r="C556" s="57">
        <f>IF($A556="","",IF(_xlfn.XLOOKUP($A556,Korrelation!$D$4:$D$1197,Korrelation!F$4:F$1197,"-",0)="-",0,MATCH(_xlfn.XLOOKUP($A556,Korrelation!$D$4:$D$1197,Korrelation!F$4:F$1197,"",0),DMAV_Modell!$G$6:$G$677,0)))</f>
        <v>0</v>
      </c>
      <c r="D556" s="57">
        <f>IF($A556="","",IF(_xlfn.XLOOKUP($A556,Korrelation!$D$4:$D$1197,Korrelation!G$4:G$1197,"-",0)="-",0,MATCH(_xlfn.XLOOKUP($A556,Korrelation!$D$4:$D$1197,Korrelation!G$4:G$1197,"",0),DMAV_Modell!$G$6:$G$677,0)))</f>
        <v>0</v>
      </c>
      <c r="E556" s="57">
        <f>IF($A556="","",IF(_xlfn.XLOOKUP($A556,Korrelation!$D$4:$D$1197,Korrelation!H$4:H$1197,"-",0)="-",0,MATCH(_xlfn.XLOOKUP($A556,Korrelation!$D$4:$D$1197,Korrelation!H$4:H$1197,"",0),DMAV_Dienste!$F$6:$F$140,0)))</f>
        <v>0</v>
      </c>
      <c r="F556" s="57">
        <f>IF($A556="","",IF(_xlfn.XLOOKUP($A556,Korrelation!$D$4:$D$1197,Korrelation!I$4:I$1197,"-",0)="-",0,MATCH(_xlfn.XLOOKUP($A556,Korrelation!$D$4:$D$1197,Korrelation!I$4:I$1197,"",0),DMAV_Dienste!$F$6:$F$140,0)))</f>
        <v>0</v>
      </c>
      <c r="G556" s="57">
        <f>IF($A556="","",IF(_xlfn.XLOOKUP($A556,Korrelation!$D$4:$D$1197,Korrelation!J$4:J$1197,"-",0)="-",0,MATCH(_xlfn.XLOOKUP($A556,Korrelation!$D$4:$D$1197,Korrelation!J$4:J$1197,"",0),DMAV_Dienste!$F$6:$F$140,0)))</f>
        <v>0</v>
      </c>
      <c r="H556" s="57">
        <f>IF($A556="","",IF(_xlfn.XLOOKUP($A556,Korrelation!$D$4:$D$1197,Korrelation!K$4:K$1197,"-",0)="-",0,MATCH(_xlfn.XLOOKUP($A556,Korrelation!$D$4:$D$1197,Korrelation!K$4:K$1197,"",0),'DM01-AV-CH'!$A$6:$A$834,0)))</f>
        <v>487</v>
      </c>
      <c r="J556" s="54" t="str" cm="1">
        <f t="array" aca="1" ref="J556" ca="1">IF(B556=0,IF(E556=0,"",HYPERLINK("#"&amp;RIGHT(CELL("adresse",OFFSET(DMAV_Dienste!$M$6,E556-1,0)),LEN(CELL("adresse",OFFSET(DMAV_Dienste!$M$6,E556-1,0)))-FIND("]",CELL("adresse",OFFSET(DMAV_Dienste!$M$6,E556-1,0)))),"Dienst")),HYPERLINK("#"&amp;RIGHT(CELL("adresse",OFFSET(DMAV_Modell!$N$6,B556-1,0)),LEN(CELL("adresse",OFFSET(DMAV_Modell!$N$6,B556-1,0)))-FIND("]",CELL("adresse",OFFSET(DMAV_Modell!$N$6,B556-1,0)))),"Modell"))</f>
        <v>Modell</v>
      </c>
      <c r="K556" s="61" t="str" cm="1">
        <f t="array" ref="K556">IF($B556=0,IF($E556=0,"",IF(INDEX(DMAV_Dienste!P$6:P$140,$E556)="","",INDEX(DMAV_Dienste!P$6:P$140,$E556))),IF(INDEX(DMAV_Modell!Q$6:Q$838,$B556)="","",INDEX(DMAV_Modell!Q$6:Q$838,$B556)))</f>
        <v>CLASS</v>
      </c>
      <c r="L556" s="62" t="str" cm="1">
        <f t="array" ref="L556">IF($B556=0,IF($E556=0,"",IF(INDEX(DMAV_Dienste!O$6:O$140,$E556)="","",INDEX(DMAV_Dienste!O$6:O$140,$E556))),IF(INDEX(DMAV_Modell!P$6:P$838,$B556)="","",INDEX(DMAV_Modell!P$6:P$838,$B556)))</f>
        <v>Grundstuecke</v>
      </c>
      <c r="M556" s="62" t="str" cm="1">
        <f t="array" ref="M556">IF($B556=0,IF($E556=0,"",IF(INDEX(DMAV_Dienste!Q$6:Q$140,$E556)="","",INDEX(DMAV_Dienste!Q$6:Q$140,$E556))),IF(INDEX(DMAV_Modell!R$6:R$838,$B556)="","",INDEX(DMAV_Modell!R$6:R$838,$B556)))</f>
        <v>Liegenschaft</v>
      </c>
      <c r="N556" s="62" t="str" cm="1">
        <f t="array" ref="N556">IF($B556=0,IF($E556=0,"",IF(INDEX(DMAV_Dienste!T$6:T$140,$E556)="","",INDEX(DMAV_Dienste!T$6:T$140,$E556))),IF(INDEX(DMAV_Modell!U$6:U$838,$B556)="","",INDEX(DMAV_Modell!U$6:U$838,$B556)))</f>
        <v>Streitig</v>
      </c>
      <c r="O556" s="63" t="str" cm="1">
        <f t="array" aca="1" ref="O556" ca="1">IF(C556=0,IF(F556=0,"",HYPERLINK("#"&amp;RIGHT(CELL("adresse",OFFSET(DMAV_Dienste!$M$6,F556-1,0)),LEN(CELL("adresse",OFFSET(DMAV_Dienste!$M$6,F556-1,0)))-FIND("]",CELL("adresse",OFFSET(DMAV_Dienste!$M$6,F556-1,0)))),"Structure")),HYPERLINK("#"&amp;RIGHT(CELL("adresse",OFFSET(DMAV_Modell!$N$6,C556-1,0)),LEN(CELL("adresse",OFFSET(DMAV_Modell!$N$6,C556-1,0)))-FIND("]",CELL("adresse",OFFSET(DMAV_Modell!$N$6,C556-1,0)))),"Structure"))</f>
        <v/>
      </c>
      <c r="P556" s="64" t="str" cm="1">
        <f t="array" aca="1" ref="P556" ca="1">IF(D556=0,IF(G556=0,"",HYPERLINK("#"&amp;RIGHT(CELL("adresse",OFFSET(DMAV_Dienste!$M$6,G556-1,0)),LEN(CELL("adresse",OFFSET(DMAV_Dienste!$M$6,G556-1,0)))-FIND("]",CELL("adresse",OFFSET(DMAV_Dienste!$M$6,G556-1,0)))),"Substructure")),HYPERLINK("#"&amp;RIGHT(CELL("adresse",OFFSET(DMAV_Modell!$N$6,D556-1,0)),LEN(CELL("adresse",OFFSET(DMAV_Modell!$N$6,D556-1,0)))-FIND("]",CELL("adresse",OFFSET(DMAV_Modell!$N$6,D556-1,0)))),"Substructure"))</f>
        <v/>
      </c>
      <c r="R556" s="80"/>
      <c r="T556" s="93" t="s">
        <v>3125</v>
      </c>
      <c r="U556" s="94" t="s">
        <v>1286</v>
      </c>
      <c r="V556" s="95"/>
      <c r="W556" s="96"/>
      <c r="Y556" s="85" t="s">
        <v>3124</v>
      </c>
      <c r="Z556" s="86" t="s">
        <v>2746</v>
      </c>
      <c r="AA556" s="87" t="s">
        <v>3126</v>
      </c>
      <c r="AB556" s="88" t="s">
        <v>3127</v>
      </c>
      <c r="AD556" s="77"/>
      <c r="AF556" s="54" t="str" cm="1">
        <f t="array" aca="1" ref="AF556" ca="1">IF(H556=0,"",HYPERLINK("#"&amp;RIGHT(CELL("adresse",OFFSET('DM01-AV-CH'!$G$6,H556-1,0)),LEN(CELL("adresse",OFFSET('DM01-AV-CH'!$G$6,H556-1,0)))-FIND("]",CELL("adresse",OFFSET('DM01-AV-CH'!$G$6,H556-1,0)))),"Modell"))</f>
        <v>Modell</v>
      </c>
      <c r="AG556" s="72" t="str" cm="1">
        <f t="array" ref="AG556">IF($H556=0,"",IF(INDEX('DM01-AV-CH'!G$6:G$834,$H556)="","",INDEX('DM01-AV-CH'!G$6:G$834,$H556)))</f>
        <v>Liegenschaften</v>
      </c>
      <c r="AH556" s="73" t="str" cm="1">
        <f t="array" ref="AH556">IF($H556=0,"",IF(INDEX('DM01-AV-CH'!H$6:H$834,$H556)="","",INDEX('DM01-AV-CH'!H$6:H$834,$H556)))</f>
        <v>Liegenschaft</v>
      </c>
      <c r="AI556" s="74" t="str" cm="1">
        <f t="array" ref="AI556">IF($H556=0,"",IF(INDEX('DM01-AV-CH'!I$6:I$834,$H556)="","",INDEX('DM01-AV-CH'!I$6:I$834,$H556)))</f>
        <v>Geometrie</v>
      </c>
    </row>
    <row r="557" spans="1:35" ht="28.5" x14ac:dyDescent="0.25">
      <c r="A557" s="57">
        <v>552</v>
      </c>
      <c r="B557" s="57">
        <f>IF($A557="","",IF(_xlfn.XLOOKUP($A557,Korrelation!$D$4:$D$1197,Korrelation!E$4:E$1197,"-",0)="-",0,MATCH(_xlfn.XLOOKUP($A557,Korrelation!$D$4:$D$1197,Korrelation!E$4:E$1197,"",0),DMAV_Modell!$G$6:$G$677,0)))</f>
        <v>264</v>
      </c>
      <c r="C557" s="57">
        <f>IF($A557="","",IF(_xlfn.XLOOKUP($A557,Korrelation!$D$4:$D$1197,Korrelation!F$4:F$1197,"-",0)="-",0,MATCH(_xlfn.XLOOKUP($A557,Korrelation!$D$4:$D$1197,Korrelation!F$4:F$1197,"",0),DMAV_Modell!$G$6:$G$677,0)))</f>
        <v>0</v>
      </c>
      <c r="D557" s="57">
        <f>IF($A557="","",IF(_xlfn.XLOOKUP($A557,Korrelation!$D$4:$D$1197,Korrelation!G$4:G$1197,"-",0)="-",0,MATCH(_xlfn.XLOOKUP($A557,Korrelation!$D$4:$D$1197,Korrelation!G$4:G$1197,"",0),DMAV_Modell!$G$6:$G$677,0)))</f>
        <v>0</v>
      </c>
      <c r="E557" s="57">
        <f>IF($A557="","",IF(_xlfn.XLOOKUP($A557,Korrelation!$D$4:$D$1197,Korrelation!H$4:H$1197,"-",0)="-",0,MATCH(_xlfn.XLOOKUP($A557,Korrelation!$D$4:$D$1197,Korrelation!H$4:H$1197,"",0),DMAV_Dienste!$F$6:$F$140,0)))</f>
        <v>0</v>
      </c>
      <c r="F557" s="57">
        <f>IF($A557="","",IF(_xlfn.XLOOKUP($A557,Korrelation!$D$4:$D$1197,Korrelation!I$4:I$1197,"-",0)="-",0,MATCH(_xlfn.XLOOKUP($A557,Korrelation!$D$4:$D$1197,Korrelation!I$4:I$1197,"",0),DMAV_Dienste!$F$6:$F$140,0)))</f>
        <v>0</v>
      </c>
      <c r="G557" s="57">
        <f>IF($A557="","",IF(_xlfn.XLOOKUP($A557,Korrelation!$D$4:$D$1197,Korrelation!J$4:J$1197,"-",0)="-",0,MATCH(_xlfn.XLOOKUP($A557,Korrelation!$D$4:$D$1197,Korrelation!J$4:J$1197,"",0),DMAV_Dienste!$F$6:$F$140,0)))</f>
        <v>0</v>
      </c>
      <c r="H557" s="57">
        <f>IF($A557="","",IF(_xlfn.XLOOKUP($A557,Korrelation!$D$4:$D$1197,Korrelation!K$4:K$1197,"-",0)="-",0,MATCH(_xlfn.XLOOKUP($A557,Korrelation!$D$4:$D$1197,Korrelation!K$4:K$1197,"",0),'DM01-AV-CH'!$A$6:$A$834,0)))</f>
        <v>0</v>
      </c>
      <c r="J557" s="54" t="str" cm="1">
        <f t="array" aca="1" ref="J557" ca="1">IF(B557=0,IF(E557=0,"",HYPERLINK("#"&amp;RIGHT(CELL("adresse",OFFSET(DMAV_Dienste!$M$6,E557-1,0)),LEN(CELL("adresse",OFFSET(DMAV_Dienste!$M$6,E557-1,0)))-FIND("]",CELL("adresse",OFFSET(DMAV_Dienste!$M$6,E557-1,0)))),"Dienst")),HYPERLINK("#"&amp;RIGHT(CELL("adresse",OFFSET(DMAV_Modell!$N$6,B557-1,0)),LEN(CELL("adresse",OFFSET(DMAV_Modell!$N$6,B557-1,0)))-FIND("]",CELL("adresse",OFFSET(DMAV_Modell!$N$6,B557-1,0)))),"Modell"))</f>
        <v>Modell</v>
      </c>
      <c r="K557" s="61" t="str" cm="1">
        <f t="array" ref="K557">IF($B557=0,IF($E557=0,"",IF(INDEX(DMAV_Dienste!P$6:P$140,$E557)="","",INDEX(DMAV_Dienste!P$6:P$140,$E557))),IF(INDEX(DMAV_Modell!Q$6:Q$838,$B557)="","",INDEX(DMAV_Modell!Q$6:Q$838,$B557)))</f>
        <v>CLASS</v>
      </c>
      <c r="L557" s="62" t="str" cm="1">
        <f t="array" ref="L557">IF($B557=0,IF($E557=0,"",IF(INDEX(DMAV_Dienste!O$6:O$140,$E557)="","",INDEX(DMAV_Dienste!O$6:O$140,$E557))),IF(INDEX(DMAV_Modell!P$6:P$838,$B557)="","",INDEX(DMAV_Modell!P$6:P$838,$B557)))</f>
        <v>Grundstuecke</v>
      </c>
      <c r="M557" s="62" t="str" cm="1">
        <f t="array" ref="M557">IF($B557=0,IF($E557=0,"",IF(INDEX(DMAV_Dienste!Q$6:Q$140,$E557)="","",INDEX(DMAV_Dienste!Q$6:Q$140,$E557))),IF(INDEX(DMAV_Modell!R$6:R$838,$B557)="","",INDEX(DMAV_Modell!R$6:R$838,$B557)))</f>
        <v>Liegenschaft</v>
      </c>
      <c r="N557" s="62" t="str" cm="1">
        <f t="array" ref="N557">IF($B557=0,IF($E557=0,"",IF(INDEX(DMAV_Dienste!T$6:T$140,$E557)="","",INDEX(DMAV_Dienste!T$6:T$140,$E557))),IF(INDEX(DMAV_Modell!U$6:U$838,$B557)="","",INDEX(DMAV_Modell!U$6:U$838,$B557)))</f>
        <v>Qualitaetsstandard</v>
      </c>
      <c r="O557" s="63" t="str" cm="1">
        <f t="array" aca="1" ref="O557" ca="1">IF(C557=0,IF(F557=0,"",HYPERLINK("#"&amp;RIGHT(CELL("adresse",OFFSET(DMAV_Dienste!$M$6,F557-1,0)),LEN(CELL("adresse",OFFSET(DMAV_Dienste!$M$6,F557-1,0)))-FIND("]",CELL("adresse",OFFSET(DMAV_Dienste!$M$6,F557-1,0)))),"Structure")),HYPERLINK("#"&amp;RIGHT(CELL("adresse",OFFSET(DMAV_Modell!$N$6,C557-1,0)),LEN(CELL("adresse",OFFSET(DMAV_Modell!$N$6,C557-1,0)))-FIND("]",CELL("adresse",OFFSET(DMAV_Modell!$N$6,C557-1,0)))),"Structure"))</f>
        <v/>
      </c>
      <c r="P557" s="64" t="str" cm="1">
        <f t="array" aca="1" ref="P557" ca="1">IF(D557=0,IF(G557=0,"",HYPERLINK("#"&amp;RIGHT(CELL("adresse",OFFSET(DMAV_Dienste!$M$6,G557-1,0)),LEN(CELL("adresse",OFFSET(DMAV_Dienste!$M$6,G557-1,0)))-FIND("]",CELL("adresse",OFFSET(DMAV_Dienste!$M$6,G557-1,0)))),"Substructure")),HYPERLINK("#"&amp;RIGHT(CELL("adresse",OFFSET(DMAV_Modell!$N$6,D557-1,0)),LEN(CELL("adresse",OFFSET(DMAV_Modell!$N$6,D557-1,0)))-FIND("]",CELL("adresse",OFFSET(DMAV_Modell!$N$6,D557-1,0)))),"Substructure"))</f>
        <v/>
      </c>
      <c r="R557" s="80" t="s">
        <v>3128</v>
      </c>
      <c r="T557" s="93"/>
      <c r="U557" s="94"/>
      <c r="V557" s="95"/>
      <c r="W557" s="96"/>
      <c r="Y557" s="85"/>
      <c r="Z557" s="86"/>
      <c r="AA557" s="87"/>
      <c r="AB557" s="88"/>
      <c r="AD557" s="77"/>
      <c r="AF557" s="54" t="str" cm="1">
        <f t="array" aca="1" ref="AF557" ca="1">IF(H557=0,"",HYPERLINK("#"&amp;RIGHT(CELL("adresse",OFFSET('DM01-AV-CH'!$G$6,H557-1,0)),LEN(CELL("adresse",OFFSET('DM01-AV-CH'!$G$6,H557-1,0)))-FIND("]",CELL("adresse",OFFSET('DM01-AV-CH'!$G$6,H557-1,0)))),"Modell"))</f>
        <v/>
      </c>
      <c r="AG557" s="72" t="str" cm="1">
        <f t="array" ref="AG557">IF($H557=0,"",IF(INDEX('DM01-AV-CH'!G$6:G$834,$H557)="","",INDEX('DM01-AV-CH'!G$6:G$834,$H557)))</f>
        <v/>
      </c>
      <c r="AH557" s="73" t="str" cm="1">
        <f t="array" ref="AH557">IF($H557=0,"",IF(INDEX('DM01-AV-CH'!H$6:H$834,$H557)="","",INDEX('DM01-AV-CH'!H$6:H$834,$H557)))</f>
        <v/>
      </c>
      <c r="AI557" s="74" t="str" cm="1">
        <f t="array" ref="AI557">IF($H557=0,"",IF(INDEX('DM01-AV-CH'!I$6:I$834,$H557)="","",INDEX('DM01-AV-CH'!I$6:I$834,$H557)))</f>
        <v/>
      </c>
    </row>
    <row r="558" spans="1:35" x14ac:dyDescent="0.25">
      <c r="A558" s="57">
        <v>553</v>
      </c>
      <c r="B558" s="57">
        <f>IF($A558="","",IF(_xlfn.XLOOKUP($A558,Korrelation!$D$4:$D$1197,Korrelation!E$4:E$1197,"-",0)="-",0,MATCH(_xlfn.XLOOKUP($A558,Korrelation!$D$4:$D$1197,Korrelation!E$4:E$1197,"",0),DMAV_Modell!$G$6:$G$677,0)))</f>
        <v>265</v>
      </c>
      <c r="C558" s="57">
        <f>IF($A558="","",IF(_xlfn.XLOOKUP($A558,Korrelation!$D$4:$D$1197,Korrelation!F$4:F$1197,"-",0)="-",0,MATCH(_xlfn.XLOOKUP($A558,Korrelation!$D$4:$D$1197,Korrelation!F$4:F$1197,"",0),DMAV_Modell!$G$6:$G$677,0)))</f>
        <v>0</v>
      </c>
      <c r="D558" s="57">
        <f>IF($A558="","",IF(_xlfn.XLOOKUP($A558,Korrelation!$D$4:$D$1197,Korrelation!G$4:G$1197,"-",0)="-",0,MATCH(_xlfn.XLOOKUP($A558,Korrelation!$D$4:$D$1197,Korrelation!G$4:G$1197,"",0),DMAV_Modell!$G$6:$G$677,0)))</f>
        <v>0</v>
      </c>
      <c r="E558" s="57">
        <f>IF($A558="","",IF(_xlfn.XLOOKUP($A558,Korrelation!$D$4:$D$1197,Korrelation!H$4:H$1197,"-",0)="-",0,MATCH(_xlfn.XLOOKUP($A558,Korrelation!$D$4:$D$1197,Korrelation!H$4:H$1197,"",0),DMAV_Dienste!$F$6:$F$140,0)))</f>
        <v>0</v>
      </c>
      <c r="F558" s="57">
        <f>IF($A558="","",IF(_xlfn.XLOOKUP($A558,Korrelation!$D$4:$D$1197,Korrelation!I$4:I$1197,"-",0)="-",0,MATCH(_xlfn.XLOOKUP($A558,Korrelation!$D$4:$D$1197,Korrelation!I$4:I$1197,"",0),DMAV_Dienste!$F$6:$F$140,0)))</f>
        <v>0</v>
      </c>
      <c r="G558" s="57">
        <f>IF($A558="","",IF(_xlfn.XLOOKUP($A558,Korrelation!$D$4:$D$1197,Korrelation!J$4:J$1197,"-",0)="-",0,MATCH(_xlfn.XLOOKUP($A558,Korrelation!$D$4:$D$1197,Korrelation!J$4:J$1197,"",0),DMAV_Dienste!$F$6:$F$140,0)))</f>
        <v>0</v>
      </c>
      <c r="H558" s="57">
        <f>IF($A558="","",IF(_xlfn.XLOOKUP($A558,Korrelation!$D$4:$D$1197,Korrelation!K$4:K$1197,"-",0)="-",0,MATCH(_xlfn.XLOOKUP($A558,Korrelation!$D$4:$D$1197,Korrelation!K$4:K$1197,"",0),'DM01-AV-CH'!$A$6:$A$834,0)))</f>
        <v>0</v>
      </c>
      <c r="J558" s="54" t="str" cm="1">
        <f t="array" aca="1" ref="J558" ca="1">IF(B558=0,IF(E558=0,"",HYPERLINK("#"&amp;RIGHT(CELL("adresse",OFFSET(DMAV_Dienste!$M$6,E558-1,0)),LEN(CELL("adresse",OFFSET(DMAV_Dienste!$M$6,E558-1,0)))-FIND("]",CELL("adresse",OFFSET(DMAV_Dienste!$M$6,E558-1,0)))),"Dienst")),HYPERLINK("#"&amp;RIGHT(CELL("adresse",OFFSET(DMAV_Modell!$N$6,B558-1,0)),LEN(CELL("adresse",OFFSET(DMAV_Modell!$N$6,B558-1,0)))-FIND("]",CELL("adresse",OFFSET(DMAV_Modell!$N$6,B558-1,0)))),"Modell"))</f>
        <v>Modell</v>
      </c>
      <c r="K558" s="61" t="str" cm="1">
        <f t="array" ref="K558">IF($B558=0,IF($E558=0,"",IF(INDEX(DMAV_Dienste!P$6:P$140,$E558)="","",INDEX(DMAV_Dienste!P$6:P$140,$E558))),IF(INDEX(DMAV_Modell!Q$6:Q$838,$B558)="","",INDEX(DMAV_Modell!Q$6:Q$838,$B558)))</f>
        <v>CLASS.CONSTRAINT</v>
      </c>
      <c r="L558" s="62" t="str" cm="1">
        <f t="array" ref="L558">IF($B558=0,IF($E558=0,"",IF(INDEX(DMAV_Dienste!O$6:O$140,$E558)="","",INDEX(DMAV_Dienste!O$6:O$140,$E558))),IF(INDEX(DMAV_Modell!P$6:P$838,$B558)="","",INDEX(DMAV_Modell!P$6:P$838,$B558)))</f>
        <v>Grundstuecke</v>
      </c>
      <c r="M558" s="62" t="str" cm="1">
        <f t="array" ref="M558">IF($B558=0,IF($E558=0,"",IF(INDEX(DMAV_Dienste!Q$6:Q$140,$E558)="","",INDEX(DMAV_Dienste!Q$6:Q$140,$E558))),IF(INDEX(DMAV_Modell!R$6:R$838,$B558)="","",INDEX(DMAV_Modell!R$6:R$838,$B558)))</f>
        <v>Liegenschaft</v>
      </c>
      <c r="N558" s="62" t="str" cm="1">
        <f t="array" ref="N558">IF($B558=0,IF($E558=0,"",IF(INDEX(DMAV_Dienste!T$6:T$140,$E558)="","",INDEX(DMAV_Dienste!T$6:T$140,$E558))),IF(INDEX(DMAV_Modell!U$6:U$838,$B558)="","",INDEX(DMAV_Modell!U$6:U$838,$B558)))</f>
        <v>NOT(DEFINED(@PH1@)) OR @PH2@(@PH3@)</v>
      </c>
      <c r="O558" s="63" t="str" cm="1">
        <f t="array" aca="1" ref="O558" ca="1">IF(C558=0,IF(F558=0,"",HYPERLINK("#"&amp;RIGHT(CELL("adresse",OFFSET(DMAV_Dienste!$M$6,F558-1,0)),LEN(CELL("adresse",OFFSET(DMAV_Dienste!$M$6,F558-1,0)))-FIND("]",CELL("adresse",OFFSET(DMAV_Dienste!$M$6,F558-1,0)))),"Structure")),HYPERLINK("#"&amp;RIGHT(CELL("adresse",OFFSET(DMAV_Modell!$N$6,C558-1,0)),LEN(CELL("adresse",OFFSET(DMAV_Modell!$N$6,C558-1,0)))-FIND("]",CELL("adresse",OFFSET(DMAV_Modell!$N$6,C558-1,0)))),"Structure"))</f>
        <v/>
      </c>
      <c r="P558" s="64" t="str" cm="1">
        <f t="array" aca="1" ref="P558" ca="1">IF(D558=0,IF(G558=0,"",HYPERLINK("#"&amp;RIGHT(CELL("adresse",OFFSET(DMAV_Dienste!$M$6,G558-1,0)),LEN(CELL("adresse",OFFSET(DMAV_Dienste!$M$6,G558-1,0)))-FIND("]",CELL("adresse",OFFSET(DMAV_Dienste!$M$6,G558-1,0)))),"Substructure")),HYPERLINK("#"&amp;RIGHT(CELL("adresse",OFFSET(DMAV_Modell!$N$6,D558-1,0)),LEN(CELL("adresse",OFFSET(DMAV_Modell!$N$6,D558-1,0)))-FIND("]",CELL("adresse",OFFSET(DMAV_Modell!$N$6,D558-1,0)))),"Substructure"))</f>
        <v/>
      </c>
      <c r="R558" s="80"/>
      <c r="T558" s="93"/>
      <c r="U558" s="94"/>
      <c r="V558" s="95"/>
      <c r="W558" s="96"/>
      <c r="Y558" s="85"/>
      <c r="Z558" s="86"/>
      <c r="AA558" s="87"/>
      <c r="AB558" s="88"/>
      <c r="AD558" s="77"/>
      <c r="AF558" s="54" t="str" cm="1">
        <f t="array" aca="1" ref="AF558" ca="1">IF(H558=0,"",HYPERLINK("#"&amp;RIGHT(CELL("adresse",OFFSET('DM01-AV-CH'!$G$6,H558-1,0)),LEN(CELL("adresse",OFFSET('DM01-AV-CH'!$G$6,H558-1,0)))-FIND("]",CELL("adresse",OFFSET('DM01-AV-CH'!$G$6,H558-1,0)))),"Modell"))</f>
        <v/>
      </c>
      <c r="AG558" s="72" t="str" cm="1">
        <f t="array" ref="AG558">IF($H558=0,"",IF(INDEX('DM01-AV-CH'!G$6:G$834,$H558)="","",INDEX('DM01-AV-CH'!G$6:G$834,$H558)))</f>
        <v/>
      </c>
      <c r="AH558" s="73" t="str" cm="1">
        <f t="array" ref="AH558">IF($H558=0,"",IF(INDEX('DM01-AV-CH'!H$6:H$834,$H558)="","",INDEX('DM01-AV-CH'!H$6:H$834,$H558)))</f>
        <v/>
      </c>
      <c r="AI558" s="74" t="str" cm="1">
        <f t="array" ref="AI558">IF($H558=0,"",IF(INDEX('DM01-AV-CH'!I$6:I$834,$H558)="","",INDEX('DM01-AV-CH'!I$6:I$834,$H558)))</f>
        <v/>
      </c>
    </row>
    <row r="559" spans="1:35" x14ac:dyDescent="0.25">
      <c r="A559" s="57">
        <v>554</v>
      </c>
      <c r="B559" s="57">
        <f>IF($A559="","",IF(_xlfn.XLOOKUP($A559,Korrelation!$D$4:$D$1197,Korrelation!E$4:E$1197,"-",0)="-",0,MATCH(_xlfn.XLOOKUP($A559,Korrelation!$D$4:$D$1197,Korrelation!E$4:E$1197,"",0),DMAV_Modell!$G$6:$G$677,0)))</f>
        <v>266</v>
      </c>
      <c r="C559" s="57">
        <f>IF($A559="","",IF(_xlfn.XLOOKUP($A559,Korrelation!$D$4:$D$1197,Korrelation!F$4:F$1197,"-",0)="-",0,MATCH(_xlfn.XLOOKUP($A559,Korrelation!$D$4:$D$1197,Korrelation!F$4:F$1197,"",0),DMAV_Modell!$G$6:$G$677,0)))</f>
        <v>0</v>
      </c>
      <c r="D559" s="57">
        <f>IF($A559="","",IF(_xlfn.XLOOKUP($A559,Korrelation!$D$4:$D$1197,Korrelation!G$4:G$1197,"-",0)="-",0,MATCH(_xlfn.XLOOKUP($A559,Korrelation!$D$4:$D$1197,Korrelation!G$4:G$1197,"",0),DMAV_Modell!$G$6:$G$677,0)))</f>
        <v>0</v>
      </c>
      <c r="E559" s="57">
        <f>IF($A559="","",IF(_xlfn.XLOOKUP($A559,Korrelation!$D$4:$D$1197,Korrelation!H$4:H$1197,"-",0)="-",0,MATCH(_xlfn.XLOOKUP($A559,Korrelation!$D$4:$D$1197,Korrelation!H$4:H$1197,"",0),DMAV_Dienste!$F$6:$F$140,0)))</f>
        <v>0</v>
      </c>
      <c r="F559" s="57">
        <f>IF($A559="","",IF(_xlfn.XLOOKUP($A559,Korrelation!$D$4:$D$1197,Korrelation!I$4:I$1197,"-",0)="-",0,MATCH(_xlfn.XLOOKUP($A559,Korrelation!$D$4:$D$1197,Korrelation!I$4:I$1197,"",0),DMAV_Dienste!$F$6:$F$140,0)))</f>
        <v>0</v>
      </c>
      <c r="G559" s="57">
        <f>IF($A559="","",IF(_xlfn.XLOOKUP($A559,Korrelation!$D$4:$D$1197,Korrelation!J$4:J$1197,"-",0)="-",0,MATCH(_xlfn.XLOOKUP($A559,Korrelation!$D$4:$D$1197,Korrelation!J$4:J$1197,"",0),DMAV_Dienste!$F$6:$F$140,0)))</f>
        <v>0</v>
      </c>
      <c r="H559" s="57">
        <f>IF($A559="","",IF(_xlfn.XLOOKUP($A559,Korrelation!$D$4:$D$1197,Korrelation!K$4:K$1197,"-",0)="-",0,MATCH(_xlfn.XLOOKUP($A559,Korrelation!$D$4:$D$1197,Korrelation!K$4:K$1197,"",0),'DM01-AV-CH'!$A$6:$A$834,0)))</f>
        <v>0</v>
      </c>
      <c r="J559" s="54" t="str" cm="1">
        <f t="array" aca="1" ref="J559" ca="1">IF(B559=0,IF(E559=0,"",HYPERLINK("#"&amp;RIGHT(CELL("adresse",OFFSET(DMAV_Dienste!$M$6,E559-1,0)),LEN(CELL("adresse",OFFSET(DMAV_Dienste!$M$6,E559-1,0)))-FIND("]",CELL("adresse",OFFSET(DMAV_Dienste!$M$6,E559-1,0)))),"Dienst")),HYPERLINK("#"&amp;RIGHT(CELL("adresse",OFFSET(DMAV_Modell!$N$6,B559-1,0)),LEN(CELL("adresse",OFFSET(DMAV_Modell!$N$6,B559-1,0)))-FIND("]",CELL("adresse",OFFSET(DMAV_Modell!$N$6,B559-1,0)))),"Modell"))</f>
        <v>Modell</v>
      </c>
      <c r="K559" s="61" t="str" cm="1">
        <f t="array" ref="K559">IF($B559=0,IF($E559=0,"",IF(INDEX(DMAV_Dienste!P$6:P$140,$E559)="","",INDEX(DMAV_Dienste!P$6:P$140,$E559))),IF(INDEX(DMAV_Modell!Q$6:Q$838,$B559)="","",INDEX(DMAV_Modell!Q$6:Q$838,$B559)))</f>
        <v>ASSOCIATION</v>
      </c>
      <c r="L559" s="62" t="str" cm="1">
        <f t="array" ref="L559">IF($B559=0,IF($E559=0,"",IF(INDEX(DMAV_Dienste!O$6:O$140,$E559)="","",INDEX(DMAV_Dienste!O$6:O$140,$E559))),IF(INDEX(DMAV_Modell!P$6:P$838,$B559)="","",INDEX(DMAV_Modell!P$6:P$838,$B559)))</f>
        <v>Grundstuecke</v>
      </c>
      <c r="M559" s="62" t="str" cm="1">
        <f t="array" ref="M559">IF($B559=0,IF($E559=0,"",IF(INDEX(DMAV_Dienste!Q$6:Q$140,$E559)="","",INDEX(DMAV_Dienste!Q$6:Q$140,$E559))),IF(INDEX(DMAV_Modell!R$6:R$838,$B559)="","",INDEX(DMAV_Modell!R$6:R$838,$B559)))</f>
        <v>GrundstueckLiegenschaft</v>
      </c>
      <c r="N559" s="62" t="str" cm="1">
        <f t="array" ref="N559">IF($B559=0,IF($E559=0,"",IF(INDEX(DMAV_Dienste!T$6:T$140,$E559)="","",INDEX(DMAV_Dienste!T$6:T$140,$E559))),IF(INDEX(DMAV_Modell!U$6:U$838,$B559)="","",INDEX(DMAV_Modell!U$6:U$838,$B559)))</f>
        <v>Grundstueck</v>
      </c>
      <c r="O559" s="63" t="str" cm="1">
        <f t="array" aca="1" ref="O559" ca="1">IF(C559=0,IF(F559=0,"",HYPERLINK("#"&amp;RIGHT(CELL("adresse",OFFSET(DMAV_Dienste!$M$6,F559-1,0)),LEN(CELL("adresse",OFFSET(DMAV_Dienste!$M$6,F559-1,0)))-FIND("]",CELL("adresse",OFFSET(DMAV_Dienste!$M$6,F559-1,0)))),"Structure")),HYPERLINK("#"&amp;RIGHT(CELL("adresse",OFFSET(DMAV_Modell!$N$6,C559-1,0)),LEN(CELL("adresse",OFFSET(DMAV_Modell!$N$6,C559-1,0)))-FIND("]",CELL("adresse",OFFSET(DMAV_Modell!$N$6,C559-1,0)))),"Structure"))</f>
        <v/>
      </c>
      <c r="P559" s="64" t="str" cm="1">
        <f t="array" aca="1" ref="P559" ca="1">IF(D559=0,IF(G559=0,"",HYPERLINK("#"&amp;RIGHT(CELL("adresse",OFFSET(DMAV_Dienste!$M$6,G559-1,0)),LEN(CELL("adresse",OFFSET(DMAV_Dienste!$M$6,G559-1,0)))-FIND("]",CELL("adresse",OFFSET(DMAV_Dienste!$M$6,G559-1,0)))),"Substructure")),HYPERLINK("#"&amp;RIGHT(CELL("adresse",OFFSET(DMAV_Modell!$N$6,D559-1,0)),LEN(CELL("adresse",OFFSET(DMAV_Modell!$N$6,D559-1,0)))-FIND("]",CELL("adresse",OFFSET(DMAV_Modell!$N$6,D559-1,0)))),"Substructure"))</f>
        <v/>
      </c>
      <c r="R559" s="80"/>
      <c r="T559" s="93"/>
      <c r="U559" s="94"/>
      <c r="V559" s="95"/>
      <c r="W559" s="96"/>
      <c r="Y559" s="85"/>
      <c r="Z559" s="86"/>
      <c r="AA559" s="87"/>
      <c r="AB559" s="88"/>
      <c r="AD559" s="77"/>
      <c r="AF559" s="54" t="str" cm="1">
        <f t="array" aca="1" ref="AF559" ca="1">IF(H559=0,"",HYPERLINK("#"&amp;RIGHT(CELL("adresse",OFFSET('DM01-AV-CH'!$G$6,H559-1,0)),LEN(CELL("adresse",OFFSET('DM01-AV-CH'!$G$6,H559-1,0)))-FIND("]",CELL("adresse",OFFSET('DM01-AV-CH'!$G$6,H559-1,0)))),"Modell"))</f>
        <v/>
      </c>
      <c r="AG559" s="72" t="str" cm="1">
        <f t="array" ref="AG559">IF($H559=0,"",IF(INDEX('DM01-AV-CH'!G$6:G$834,$H559)="","",INDEX('DM01-AV-CH'!G$6:G$834,$H559)))</f>
        <v/>
      </c>
      <c r="AH559" s="73" t="str" cm="1">
        <f t="array" ref="AH559">IF($H559=0,"",IF(INDEX('DM01-AV-CH'!H$6:H$834,$H559)="","",INDEX('DM01-AV-CH'!H$6:H$834,$H559)))</f>
        <v/>
      </c>
      <c r="AI559" s="74" t="str" cm="1">
        <f t="array" ref="AI559">IF($H559=0,"",IF(INDEX('DM01-AV-CH'!I$6:I$834,$H559)="","",INDEX('DM01-AV-CH'!I$6:I$834,$H559)))</f>
        <v/>
      </c>
    </row>
    <row r="560" spans="1:35" x14ac:dyDescent="0.25">
      <c r="A560" s="57">
        <v>555</v>
      </c>
      <c r="B560" s="57">
        <f>IF($A560="","",IF(_xlfn.XLOOKUP($A560,Korrelation!$D$4:$D$1197,Korrelation!E$4:E$1197,"-",0)="-",0,MATCH(_xlfn.XLOOKUP($A560,Korrelation!$D$4:$D$1197,Korrelation!E$4:E$1197,"",0),DMAV_Modell!$G$6:$G$677,0)))</f>
        <v>267</v>
      </c>
      <c r="C560" s="57">
        <f>IF($A560="","",IF(_xlfn.XLOOKUP($A560,Korrelation!$D$4:$D$1197,Korrelation!F$4:F$1197,"-",0)="-",0,MATCH(_xlfn.XLOOKUP($A560,Korrelation!$D$4:$D$1197,Korrelation!F$4:F$1197,"",0),DMAV_Modell!$G$6:$G$677,0)))</f>
        <v>0</v>
      </c>
      <c r="D560" s="57">
        <f>IF($A560="","",IF(_xlfn.XLOOKUP($A560,Korrelation!$D$4:$D$1197,Korrelation!G$4:G$1197,"-",0)="-",0,MATCH(_xlfn.XLOOKUP($A560,Korrelation!$D$4:$D$1197,Korrelation!G$4:G$1197,"",0),DMAV_Modell!$G$6:$G$677,0)))</f>
        <v>0</v>
      </c>
      <c r="E560" s="57">
        <f>IF($A560="","",IF(_xlfn.XLOOKUP($A560,Korrelation!$D$4:$D$1197,Korrelation!H$4:H$1197,"-",0)="-",0,MATCH(_xlfn.XLOOKUP($A560,Korrelation!$D$4:$D$1197,Korrelation!H$4:H$1197,"",0),DMAV_Dienste!$F$6:$F$140,0)))</f>
        <v>0</v>
      </c>
      <c r="F560" s="57">
        <f>IF($A560="","",IF(_xlfn.XLOOKUP($A560,Korrelation!$D$4:$D$1197,Korrelation!I$4:I$1197,"-",0)="-",0,MATCH(_xlfn.XLOOKUP($A560,Korrelation!$D$4:$D$1197,Korrelation!I$4:I$1197,"",0),DMAV_Dienste!$F$6:$F$140,0)))</f>
        <v>0</v>
      </c>
      <c r="G560" s="57">
        <f>IF($A560="","",IF(_xlfn.XLOOKUP($A560,Korrelation!$D$4:$D$1197,Korrelation!J$4:J$1197,"-",0)="-",0,MATCH(_xlfn.XLOOKUP($A560,Korrelation!$D$4:$D$1197,Korrelation!J$4:J$1197,"",0),DMAV_Dienste!$F$6:$F$140,0)))</f>
        <v>0</v>
      </c>
      <c r="H560" s="57">
        <f>IF($A560="","",IF(_xlfn.XLOOKUP($A560,Korrelation!$D$4:$D$1197,Korrelation!K$4:K$1197,"-",0)="-",0,MATCH(_xlfn.XLOOKUP($A560,Korrelation!$D$4:$D$1197,Korrelation!K$4:K$1197,"",0),'DM01-AV-CH'!$A$6:$A$834,0)))</f>
        <v>0</v>
      </c>
      <c r="J560" s="54" t="str" cm="1">
        <f t="array" aca="1" ref="J560" ca="1">IF(B560=0,IF(E560=0,"",HYPERLINK("#"&amp;RIGHT(CELL("adresse",OFFSET(DMAV_Dienste!$M$6,E560-1,0)),LEN(CELL("adresse",OFFSET(DMAV_Dienste!$M$6,E560-1,0)))-FIND("]",CELL("adresse",OFFSET(DMAV_Dienste!$M$6,E560-1,0)))),"Dienst")),HYPERLINK("#"&amp;RIGHT(CELL("adresse",OFFSET(DMAV_Modell!$N$6,B560-1,0)),LEN(CELL("adresse",OFFSET(DMAV_Modell!$N$6,B560-1,0)))-FIND("]",CELL("adresse",OFFSET(DMAV_Modell!$N$6,B560-1,0)))),"Modell"))</f>
        <v>Modell</v>
      </c>
      <c r="K560" s="61" t="str" cm="1">
        <f t="array" ref="K560">IF($B560=0,IF($E560=0,"",IF(INDEX(DMAV_Dienste!P$6:P$140,$E560)="","",INDEX(DMAV_Dienste!P$6:P$140,$E560))),IF(INDEX(DMAV_Modell!Q$6:Q$838,$B560)="","",INDEX(DMAV_Modell!Q$6:Q$838,$B560)))</f>
        <v>ASSOCIATION</v>
      </c>
      <c r="L560" s="62" t="str" cm="1">
        <f t="array" ref="L560">IF($B560=0,IF($E560=0,"",IF(INDEX(DMAV_Dienste!O$6:O$140,$E560)="","",INDEX(DMAV_Dienste!O$6:O$140,$E560))),IF(INDEX(DMAV_Modell!P$6:P$838,$B560)="","",INDEX(DMAV_Modell!P$6:P$838,$B560)))</f>
        <v>Grundstuecke</v>
      </c>
      <c r="M560" s="62" t="str" cm="1">
        <f t="array" ref="M560">IF($B560=0,IF($E560=0,"",IF(INDEX(DMAV_Dienste!Q$6:Q$140,$E560)="","",INDEX(DMAV_Dienste!Q$6:Q$140,$E560))),IF(INDEX(DMAV_Modell!R$6:R$838,$B560)="","",INDEX(DMAV_Modell!R$6:R$838,$B560)))</f>
        <v>GrundstueckLiegenschaft</v>
      </c>
      <c r="N560" s="62" t="str" cm="1">
        <f t="array" ref="N560">IF($B560=0,IF($E560=0,"",IF(INDEX(DMAV_Dienste!T$6:T$140,$E560)="","",INDEX(DMAV_Dienste!T$6:T$140,$E560))),IF(INDEX(DMAV_Modell!U$6:U$838,$B560)="","",INDEX(DMAV_Modell!U$6:U$838,$B560)))</f>
        <v>Liegenschaft</v>
      </c>
      <c r="O560" s="63" t="str" cm="1">
        <f t="array" aca="1" ref="O560" ca="1">IF(C560=0,IF(F560=0,"",HYPERLINK("#"&amp;RIGHT(CELL("adresse",OFFSET(DMAV_Dienste!$M$6,F560-1,0)),LEN(CELL("adresse",OFFSET(DMAV_Dienste!$M$6,F560-1,0)))-FIND("]",CELL("adresse",OFFSET(DMAV_Dienste!$M$6,F560-1,0)))),"Structure")),HYPERLINK("#"&amp;RIGHT(CELL("adresse",OFFSET(DMAV_Modell!$N$6,C560-1,0)),LEN(CELL("adresse",OFFSET(DMAV_Modell!$N$6,C560-1,0)))-FIND("]",CELL("adresse",OFFSET(DMAV_Modell!$N$6,C560-1,0)))),"Structure"))</f>
        <v/>
      </c>
      <c r="P560" s="64" t="str" cm="1">
        <f t="array" aca="1" ref="P560" ca="1">IF(D560=0,IF(G560=0,"",HYPERLINK("#"&amp;RIGHT(CELL("adresse",OFFSET(DMAV_Dienste!$M$6,G560-1,0)),LEN(CELL("adresse",OFFSET(DMAV_Dienste!$M$6,G560-1,0)))-FIND("]",CELL("adresse",OFFSET(DMAV_Dienste!$M$6,G560-1,0)))),"Substructure")),HYPERLINK("#"&amp;RIGHT(CELL("adresse",OFFSET(DMAV_Modell!$N$6,D560-1,0)),LEN(CELL("adresse",OFFSET(DMAV_Modell!$N$6,D560-1,0)))-FIND("]",CELL("adresse",OFFSET(DMAV_Modell!$N$6,D560-1,0)))),"Substructure"))</f>
        <v/>
      </c>
      <c r="R560" s="80"/>
      <c r="T560" s="93"/>
      <c r="U560" s="94"/>
      <c r="V560" s="95"/>
      <c r="W560" s="96"/>
      <c r="Y560" s="85"/>
      <c r="Z560" s="86"/>
      <c r="AA560" s="87"/>
      <c r="AB560" s="88"/>
      <c r="AD560" s="77"/>
      <c r="AF560" s="54" t="str" cm="1">
        <f t="array" aca="1" ref="AF560" ca="1">IF(H560=0,"",HYPERLINK("#"&amp;RIGHT(CELL("adresse",OFFSET('DM01-AV-CH'!$G$6,H560-1,0)),LEN(CELL("adresse",OFFSET('DM01-AV-CH'!$G$6,H560-1,0)))-FIND("]",CELL("adresse",OFFSET('DM01-AV-CH'!$G$6,H560-1,0)))),"Modell"))</f>
        <v/>
      </c>
      <c r="AG560" s="72" t="str" cm="1">
        <f t="array" ref="AG560">IF($H560=0,"",IF(INDEX('DM01-AV-CH'!G$6:G$834,$H560)="","",INDEX('DM01-AV-CH'!G$6:G$834,$H560)))</f>
        <v/>
      </c>
      <c r="AH560" s="73" t="str" cm="1">
        <f t="array" ref="AH560">IF($H560=0,"",IF(INDEX('DM01-AV-CH'!H$6:H$834,$H560)="","",INDEX('DM01-AV-CH'!H$6:H$834,$H560)))</f>
        <v/>
      </c>
      <c r="AI560" s="74" t="str" cm="1">
        <f t="array" ref="AI560">IF($H560=0,"",IF(INDEX('DM01-AV-CH'!I$6:I$834,$H560)="","",INDEX('DM01-AV-CH'!I$6:I$834,$H560)))</f>
        <v/>
      </c>
    </row>
    <row r="561" spans="1:35" x14ac:dyDescent="0.25">
      <c r="A561" s="57">
        <v>556</v>
      </c>
      <c r="B561" s="57">
        <f>IF($A561="","",IF(_xlfn.XLOOKUP($A561,Korrelation!$D$4:$D$1197,Korrelation!E$4:E$1197,"-",0)="-",0,MATCH(_xlfn.XLOOKUP($A561,Korrelation!$D$4:$D$1197,Korrelation!E$4:E$1197,"",0),DMAV_Modell!$G$6:$G$677,0)))</f>
        <v>268</v>
      </c>
      <c r="C561" s="57">
        <f>IF($A561="","",IF(_xlfn.XLOOKUP($A561,Korrelation!$D$4:$D$1197,Korrelation!F$4:F$1197,"-",0)="-",0,MATCH(_xlfn.XLOOKUP($A561,Korrelation!$D$4:$D$1197,Korrelation!F$4:F$1197,"",0),DMAV_Modell!$G$6:$G$677,0)))</f>
        <v>0</v>
      </c>
      <c r="D561" s="57">
        <f>IF($A561="","",IF(_xlfn.XLOOKUP($A561,Korrelation!$D$4:$D$1197,Korrelation!G$4:G$1197,"-",0)="-",0,MATCH(_xlfn.XLOOKUP($A561,Korrelation!$D$4:$D$1197,Korrelation!G$4:G$1197,"",0),DMAV_Modell!$G$6:$G$677,0)))</f>
        <v>0</v>
      </c>
      <c r="E561" s="57">
        <f>IF($A561="","",IF(_xlfn.XLOOKUP($A561,Korrelation!$D$4:$D$1197,Korrelation!H$4:H$1197,"-",0)="-",0,MATCH(_xlfn.XLOOKUP($A561,Korrelation!$D$4:$D$1197,Korrelation!H$4:H$1197,"",0),DMAV_Dienste!$F$6:$F$140,0)))</f>
        <v>0</v>
      </c>
      <c r="F561" s="57">
        <f>IF($A561="","",IF(_xlfn.XLOOKUP($A561,Korrelation!$D$4:$D$1197,Korrelation!I$4:I$1197,"-",0)="-",0,MATCH(_xlfn.XLOOKUP($A561,Korrelation!$D$4:$D$1197,Korrelation!I$4:I$1197,"",0),DMAV_Dienste!$F$6:$F$140,0)))</f>
        <v>0</v>
      </c>
      <c r="G561" s="57">
        <f>IF($A561="","",IF(_xlfn.XLOOKUP($A561,Korrelation!$D$4:$D$1197,Korrelation!J$4:J$1197,"-",0)="-",0,MATCH(_xlfn.XLOOKUP($A561,Korrelation!$D$4:$D$1197,Korrelation!J$4:J$1197,"",0),DMAV_Dienste!$F$6:$F$140,0)))</f>
        <v>0</v>
      </c>
      <c r="H561" s="57">
        <f>IF($A561="","",IF(_xlfn.XLOOKUP($A561,Korrelation!$D$4:$D$1197,Korrelation!K$4:K$1197,"-",0)="-",0,MATCH(_xlfn.XLOOKUP($A561,Korrelation!$D$4:$D$1197,Korrelation!K$4:K$1197,"",0),'DM01-AV-CH'!$A$6:$A$834,0)))</f>
        <v>0</v>
      </c>
      <c r="J561" s="54" t="str" cm="1">
        <f t="array" aca="1" ref="J561" ca="1">IF(B561=0,IF(E561=0,"",HYPERLINK("#"&amp;RIGHT(CELL("adresse",OFFSET(DMAV_Dienste!$M$6,E561-1,0)),LEN(CELL("adresse",OFFSET(DMAV_Dienste!$M$6,E561-1,0)))-FIND("]",CELL("adresse",OFFSET(DMAV_Dienste!$M$6,E561-1,0)))),"Dienst")),HYPERLINK("#"&amp;RIGHT(CELL("adresse",OFFSET(DMAV_Modell!$N$6,B561-1,0)),LEN(CELL("adresse",OFFSET(DMAV_Modell!$N$6,B561-1,0)))-FIND("]",CELL("adresse",OFFSET(DMAV_Modell!$N$6,B561-1,0)))),"Modell"))</f>
        <v>Modell</v>
      </c>
      <c r="K561" s="61" t="str" cm="1">
        <f t="array" ref="K561">IF($B561=0,IF($E561=0,"",IF(INDEX(DMAV_Dienste!P$6:P$140,$E561)="","",INDEX(DMAV_Dienste!P$6:P$140,$E561))),IF(INDEX(DMAV_Modell!Q$6:Q$838,$B561)="","",INDEX(DMAV_Modell!Q$6:Q$838,$B561)))</f>
        <v>ASSOCIATION.CONSTRAINT</v>
      </c>
      <c r="L561" s="62" t="str" cm="1">
        <f t="array" ref="L561">IF($B561=0,IF($E561=0,"",IF(INDEX(DMAV_Dienste!O$6:O$140,$E561)="","",INDEX(DMAV_Dienste!O$6:O$140,$E561))),IF(INDEX(DMAV_Modell!P$6:P$838,$B561)="","",INDEX(DMAV_Modell!P$6:P$838,$B561)))</f>
        <v>Grundstuecke</v>
      </c>
      <c r="M561" s="62" t="str" cm="1">
        <f t="array" ref="M561">IF($B561=0,IF($E561=0,"",IF(INDEX(DMAV_Dienste!Q$6:Q$140,$E561)="","",INDEX(DMAV_Dienste!Q$6:Q$140,$E561))),IF(INDEX(DMAV_Modell!R$6:R$838,$B561)="","",INDEX(DMAV_Modell!R$6:R$838,$B561)))</f>
        <v>GrundstueckLiegenschaft</v>
      </c>
      <c r="N561" s="62" t="str" cm="1">
        <f t="array" ref="N561">IF($B561=0,IF($E561=0,"",IF(INDEX(DMAV_Dienste!T$6:T$140,$E561)="","",INDEX(DMAV_Dienste!T$6:T$140,$E561))),IF(INDEX(DMAV_Modell!U$6:U$838,$B561)="","",INDEX(DMAV_Modell!U$6:U$838,$B561)))</f>
        <v>@PH1@ == @PH2@</v>
      </c>
      <c r="O561" s="63" t="str" cm="1">
        <f t="array" aca="1" ref="O561" ca="1">IF(C561=0,IF(F561=0,"",HYPERLINK("#"&amp;RIGHT(CELL("adresse",OFFSET(DMAV_Dienste!$M$6,F561-1,0)),LEN(CELL("adresse",OFFSET(DMAV_Dienste!$M$6,F561-1,0)))-FIND("]",CELL("adresse",OFFSET(DMAV_Dienste!$M$6,F561-1,0)))),"Structure")),HYPERLINK("#"&amp;RIGHT(CELL("adresse",OFFSET(DMAV_Modell!$N$6,C561-1,0)),LEN(CELL("adresse",OFFSET(DMAV_Modell!$N$6,C561-1,0)))-FIND("]",CELL("adresse",OFFSET(DMAV_Modell!$N$6,C561-1,0)))),"Structure"))</f>
        <v/>
      </c>
      <c r="P561" s="64" t="str" cm="1">
        <f t="array" aca="1" ref="P561" ca="1">IF(D561=0,IF(G561=0,"",HYPERLINK("#"&amp;RIGHT(CELL("adresse",OFFSET(DMAV_Dienste!$M$6,G561-1,0)),LEN(CELL("adresse",OFFSET(DMAV_Dienste!$M$6,G561-1,0)))-FIND("]",CELL("adresse",OFFSET(DMAV_Dienste!$M$6,G561-1,0)))),"Substructure")),HYPERLINK("#"&amp;RIGHT(CELL("adresse",OFFSET(DMAV_Modell!$N$6,D561-1,0)),LEN(CELL("adresse",OFFSET(DMAV_Modell!$N$6,D561-1,0)))-FIND("]",CELL("adresse",OFFSET(DMAV_Modell!$N$6,D561-1,0)))),"Substructure"))</f>
        <v/>
      </c>
      <c r="R561" s="80"/>
      <c r="T561" s="93"/>
      <c r="U561" s="94"/>
      <c r="V561" s="95"/>
      <c r="W561" s="96"/>
      <c r="Y561" s="85"/>
      <c r="Z561" s="86"/>
      <c r="AA561" s="87"/>
      <c r="AB561" s="88"/>
      <c r="AD561" s="77"/>
      <c r="AF561" s="54" t="str" cm="1">
        <f t="array" aca="1" ref="AF561" ca="1">IF(H561=0,"",HYPERLINK("#"&amp;RIGHT(CELL("adresse",OFFSET('DM01-AV-CH'!$G$6,H561-1,0)),LEN(CELL("adresse",OFFSET('DM01-AV-CH'!$G$6,H561-1,0)))-FIND("]",CELL("adresse",OFFSET('DM01-AV-CH'!$G$6,H561-1,0)))),"Modell"))</f>
        <v/>
      </c>
      <c r="AG561" s="72" t="str" cm="1">
        <f t="array" ref="AG561">IF($H561=0,"",IF(INDEX('DM01-AV-CH'!G$6:G$834,$H561)="","",INDEX('DM01-AV-CH'!G$6:G$834,$H561)))</f>
        <v/>
      </c>
      <c r="AH561" s="73" t="str" cm="1">
        <f t="array" ref="AH561">IF($H561=0,"",IF(INDEX('DM01-AV-CH'!H$6:H$834,$H561)="","",INDEX('DM01-AV-CH'!H$6:H$834,$H561)))</f>
        <v/>
      </c>
      <c r="AI561" s="74" t="str" cm="1">
        <f t="array" ref="AI561">IF($H561=0,"",IF(INDEX('DM01-AV-CH'!I$6:I$834,$H561)="","",INDEX('DM01-AV-CH'!I$6:I$834,$H561)))</f>
        <v/>
      </c>
    </row>
    <row r="562" spans="1:35" x14ac:dyDescent="0.25">
      <c r="A562" s="57">
        <v>557</v>
      </c>
      <c r="B562" s="57">
        <f>IF($A562="","",IF(_xlfn.XLOOKUP($A562,Korrelation!$D$4:$D$1197,Korrelation!E$4:E$1197,"-",0)="-",0,MATCH(_xlfn.XLOOKUP($A562,Korrelation!$D$4:$D$1197,Korrelation!E$4:E$1197,"",0),DMAV_Modell!$G$6:$G$677,0)))</f>
        <v>269</v>
      </c>
      <c r="C562" s="57">
        <f>IF($A562="","",IF(_xlfn.XLOOKUP($A562,Korrelation!$D$4:$D$1197,Korrelation!F$4:F$1197,"-",0)="-",0,MATCH(_xlfn.XLOOKUP($A562,Korrelation!$D$4:$D$1197,Korrelation!F$4:F$1197,"",0),DMAV_Modell!$G$6:$G$677,0)))</f>
        <v>0</v>
      </c>
      <c r="D562" s="57">
        <f>IF($A562="","",IF(_xlfn.XLOOKUP($A562,Korrelation!$D$4:$D$1197,Korrelation!G$4:G$1197,"-",0)="-",0,MATCH(_xlfn.XLOOKUP($A562,Korrelation!$D$4:$D$1197,Korrelation!G$4:G$1197,"",0),DMAV_Modell!$G$6:$G$677,0)))</f>
        <v>0</v>
      </c>
      <c r="E562" s="57">
        <f>IF($A562="","",IF(_xlfn.XLOOKUP($A562,Korrelation!$D$4:$D$1197,Korrelation!H$4:H$1197,"-",0)="-",0,MATCH(_xlfn.XLOOKUP($A562,Korrelation!$D$4:$D$1197,Korrelation!H$4:H$1197,"",0),DMAV_Dienste!$F$6:$F$140,0)))</f>
        <v>0</v>
      </c>
      <c r="F562" s="57">
        <f>IF($A562="","",IF(_xlfn.XLOOKUP($A562,Korrelation!$D$4:$D$1197,Korrelation!I$4:I$1197,"-",0)="-",0,MATCH(_xlfn.XLOOKUP($A562,Korrelation!$D$4:$D$1197,Korrelation!I$4:I$1197,"",0),DMAV_Dienste!$F$6:$F$140,0)))</f>
        <v>0</v>
      </c>
      <c r="G562" s="57">
        <f>IF($A562="","",IF(_xlfn.XLOOKUP($A562,Korrelation!$D$4:$D$1197,Korrelation!J$4:J$1197,"-",0)="-",0,MATCH(_xlfn.XLOOKUP($A562,Korrelation!$D$4:$D$1197,Korrelation!J$4:J$1197,"",0),DMAV_Dienste!$F$6:$F$140,0)))</f>
        <v>0</v>
      </c>
      <c r="H562" s="57">
        <f>IF($A562="","",IF(_xlfn.XLOOKUP($A562,Korrelation!$D$4:$D$1197,Korrelation!K$4:K$1197,"-",0)="-",0,MATCH(_xlfn.XLOOKUP($A562,Korrelation!$D$4:$D$1197,Korrelation!K$4:K$1197,"",0),'DM01-AV-CH'!$A$6:$A$834,0)))</f>
        <v>0</v>
      </c>
      <c r="J562" s="54" t="str" cm="1">
        <f t="array" aca="1" ref="J562" ca="1">IF(B562=0,IF(E562=0,"",HYPERLINK("#"&amp;RIGHT(CELL("adresse",OFFSET(DMAV_Dienste!$M$6,E562-1,0)),LEN(CELL("adresse",OFFSET(DMAV_Dienste!$M$6,E562-1,0)))-FIND("]",CELL("adresse",OFFSET(DMAV_Dienste!$M$6,E562-1,0)))),"Dienst")),HYPERLINK("#"&amp;RIGHT(CELL("adresse",OFFSET(DMAV_Modell!$N$6,B562-1,0)),LEN(CELL("adresse",OFFSET(DMAV_Modell!$N$6,B562-1,0)))-FIND("]",CELL("adresse",OFFSET(DMAV_Modell!$N$6,B562-1,0)))),"Modell"))</f>
        <v>Modell</v>
      </c>
      <c r="K562" s="61" t="str" cm="1">
        <f t="array" ref="K562">IF($B562=0,IF($E562=0,"",IF(INDEX(DMAV_Dienste!P$6:P$140,$E562)="","",INDEX(DMAV_Dienste!P$6:P$140,$E562))),IF(INDEX(DMAV_Modell!Q$6:Q$838,$B562)="","",INDEX(DMAV_Modell!Q$6:Q$838,$B562)))</f>
        <v>ASSOCIATION.CONSTRAINT</v>
      </c>
      <c r="L562" s="62" t="str" cm="1">
        <f t="array" ref="L562">IF($B562=0,IF($E562=0,"",IF(INDEX(DMAV_Dienste!O$6:O$140,$E562)="","",INDEX(DMAV_Dienste!O$6:O$140,$E562))),IF(INDEX(DMAV_Modell!P$6:P$838,$B562)="","",INDEX(DMAV_Modell!P$6:P$838,$B562)))</f>
        <v>Grundstuecke</v>
      </c>
      <c r="M562" s="62" t="str" cm="1">
        <f t="array" ref="M562">IF($B562=0,IF($E562=0,"",IF(INDEX(DMAV_Dienste!Q$6:Q$140,$E562)="","",INDEX(DMAV_Dienste!Q$6:Q$140,$E562))),IF(INDEX(DMAV_Modell!R$6:R$838,$B562)="","",INDEX(DMAV_Modell!R$6:R$838,$B562)))</f>
        <v>GrundstueckLiegenschaft</v>
      </c>
      <c r="N562" s="62" t="str" cm="1">
        <f t="array" ref="N562">IF($B562=0,IF($E562=0,"",IF(INDEX(DMAV_Dienste!T$6:T$140,$E562)="","",INDEX(DMAV_Dienste!T$6:T$140,$E562))),IF(INDEX(DMAV_Modell!U$6:U$838,$B562)="","",INDEX(DMAV_Modell!U$6:U$838,$B562)))</f>
        <v>@PH1@==@PH2@</v>
      </c>
      <c r="O562" s="63" t="str" cm="1">
        <f t="array" aca="1" ref="O562" ca="1">IF(C562=0,IF(F562=0,"",HYPERLINK("#"&amp;RIGHT(CELL("adresse",OFFSET(DMAV_Dienste!$M$6,F562-1,0)),LEN(CELL("adresse",OFFSET(DMAV_Dienste!$M$6,F562-1,0)))-FIND("]",CELL("adresse",OFFSET(DMAV_Dienste!$M$6,F562-1,0)))),"Structure")),HYPERLINK("#"&amp;RIGHT(CELL("adresse",OFFSET(DMAV_Modell!$N$6,C562-1,0)),LEN(CELL("adresse",OFFSET(DMAV_Modell!$N$6,C562-1,0)))-FIND("]",CELL("adresse",OFFSET(DMAV_Modell!$N$6,C562-1,0)))),"Structure"))</f>
        <v/>
      </c>
      <c r="P562" s="64" t="str" cm="1">
        <f t="array" aca="1" ref="P562" ca="1">IF(D562=0,IF(G562=0,"",HYPERLINK("#"&amp;RIGHT(CELL("adresse",OFFSET(DMAV_Dienste!$M$6,G562-1,0)),LEN(CELL("adresse",OFFSET(DMAV_Dienste!$M$6,G562-1,0)))-FIND("]",CELL("adresse",OFFSET(DMAV_Dienste!$M$6,G562-1,0)))),"Substructure")),HYPERLINK("#"&amp;RIGHT(CELL("adresse",OFFSET(DMAV_Modell!$N$6,D562-1,0)),LEN(CELL("adresse",OFFSET(DMAV_Modell!$N$6,D562-1,0)))-FIND("]",CELL("adresse",OFFSET(DMAV_Modell!$N$6,D562-1,0)))),"Substructure"))</f>
        <v/>
      </c>
      <c r="R562" s="80"/>
      <c r="T562" s="93"/>
      <c r="U562" s="94"/>
      <c r="V562" s="95"/>
      <c r="W562" s="96"/>
      <c r="Y562" s="85"/>
      <c r="Z562" s="86"/>
      <c r="AA562" s="87"/>
      <c r="AB562" s="88"/>
      <c r="AD562" s="77"/>
      <c r="AF562" s="54" t="str" cm="1">
        <f t="array" aca="1" ref="AF562" ca="1">IF(H562=0,"",HYPERLINK("#"&amp;RIGHT(CELL("adresse",OFFSET('DM01-AV-CH'!$G$6,H562-1,0)),LEN(CELL("adresse",OFFSET('DM01-AV-CH'!$G$6,H562-1,0)))-FIND("]",CELL("adresse",OFFSET('DM01-AV-CH'!$G$6,H562-1,0)))),"Modell"))</f>
        <v/>
      </c>
      <c r="AG562" s="72" t="str" cm="1">
        <f t="array" ref="AG562">IF($H562=0,"",IF(INDEX('DM01-AV-CH'!G$6:G$834,$H562)="","",INDEX('DM01-AV-CH'!G$6:G$834,$H562)))</f>
        <v/>
      </c>
      <c r="AH562" s="73" t="str" cm="1">
        <f t="array" ref="AH562">IF($H562=0,"",IF(INDEX('DM01-AV-CH'!H$6:H$834,$H562)="","",INDEX('DM01-AV-CH'!H$6:H$834,$H562)))</f>
        <v/>
      </c>
      <c r="AI562" s="74" t="str" cm="1">
        <f t="array" ref="AI562">IF($H562=0,"",IF(INDEX('DM01-AV-CH'!I$6:I$834,$H562)="","",INDEX('DM01-AV-CH'!I$6:I$834,$H562)))</f>
        <v/>
      </c>
    </row>
    <row r="563" spans="1:35" x14ac:dyDescent="0.25">
      <c r="A563" s="57">
        <v>558</v>
      </c>
      <c r="B563" s="57">
        <f>IF($A563="","",IF(_xlfn.XLOOKUP($A563,Korrelation!$D$4:$D$1197,Korrelation!E$4:E$1197,"-",0)="-",0,MATCH(_xlfn.XLOOKUP($A563,Korrelation!$D$4:$D$1197,Korrelation!E$4:E$1197,"",0),DMAV_Modell!$G$6:$G$677,0)))</f>
        <v>270</v>
      </c>
      <c r="C563" s="57">
        <f>IF($A563="","",IF(_xlfn.XLOOKUP($A563,Korrelation!$D$4:$D$1197,Korrelation!F$4:F$1197,"-",0)="-",0,MATCH(_xlfn.XLOOKUP($A563,Korrelation!$D$4:$D$1197,Korrelation!F$4:F$1197,"",0),DMAV_Modell!$G$6:$G$677,0)))</f>
        <v>0</v>
      </c>
      <c r="D563" s="57">
        <f>IF($A563="","",IF(_xlfn.XLOOKUP($A563,Korrelation!$D$4:$D$1197,Korrelation!G$4:G$1197,"-",0)="-",0,MATCH(_xlfn.XLOOKUP($A563,Korrelation!$D$4:$D$1197,Korrelation!G$4:G$1197,"",0),DMAV_Modell!$G$6:$G$677,0)))</f>
        <v>0</v>
      </c>
      <c r="E563" s="57">
        <f>IF($A563="","",IF(_xlfn.XLOOKUP($A563,Korrelation!$D$4:$D$1197,Korrelation!H$4:H$1197,"-",0)="-",0,MATCH(_xlfn.XLOOKUP($A563,Korrelation!$D$4:$D$1197,Korrelation!H$4:H$1197,"",0),DMAV_Dienste!$F$6:$F$140,0)))</f>
        <v>0</v>
      </c>
      <c r="F563" s="57">
        <f>IF($A563="","",IF(_xlfn.XLOOKUP($A563,Korrelation!$D$4:$D$1197,Korrelation!I$4:I$1197,"-",0)="-",0,MATCH(_xlfn.XLOOKUP($A563,Korrelation!$D$4:$D$1197,Korrelation!I$4:I$1197,"",0),DMAV_Dienste!$F$6:$F$140,0)))</f>
        <v>0</v>
      </c>
      <c r="G563" s="57">
        <f>IF($A563="","",IF(_xlfn.XLOOKUP($A563,Korrelation!$D$4:$D$1197,Korrelation!J$4:J$1197,"-",0)="-",0,MATCH(_xlfn.XLOOKUP($A563,Korrelation!$D$4:$D$1197,Korrelation!J$4:J$1197,"",0),DMAV_Dienste!$F$6:$F$140,0)))</f>
        <v>0</v>
      </c>
      <c r="H563" s="57">
        <f>IF($A563="","",IF(_xlfn.XLOOKUP($A563,Korrelation!$D$4:$D$1197,Korrelation!K$4:K$1197,"-",0)="-",0,MATCH(_xlfn.XLOOKUP($A563,Korrelation!$D$4:$D$1197,Korrelation!K$4:K$1197,"",0),'DM01-AV-CH'!$A$6:$A$834,0)))</f>
        <v>0</v>
      </c>
      <c r="J563" s="54" t="str" cm="1">
        <f t="array" aca="1" ref="J563" ca="1">IF(B563=0,IF(E563=0,"",HYPERLINK("#"&amp;RIGHT(CELL("adresse",OFFSET(DMAV_Dienste!$M$6,E563-1,0)),LEN(CELL("adresse",OFFSET(DMAV_Dienste!$M$6,E563-1,0)))-FIND("]",CELL("adresse",OFFSET(DMAV_Dienste!$M$6,E563-1,0)))),"Dienst")),HYPERLINK("#"&amp;RIGHT(CELL("adresse",OFFSET(DMAV_Modell!$N$6,B563-1,0)),LEN(CELL("adresse",OFFSET(DMAV_Modell!$N$6,B563-1,0)))-FIND("]",CELL("adresse",OFFSET(DMAV_Modell!$N$6,B563-1,0)))),"Modell"))</f>
        <v>Modell</v>
      </c>
      <c r="K563" s="61" t="str" cm="1">
        <f t="array" ref="K563">IF($B563=0,IF($E563=0,"",IF(INDEX(DMAV_Dienste!P$6:P$140,$E563)="","",INDEX(DMAV_Dienste!P$6:P$140,$E563))),IF(INDEX(DMAV_Modell!Q$6:Q$838,$B563)="","",INDEX(DMAV_Modell!Q$6:Q$838,$B563)))</f>
        <v>CONSTRAINTS OF.CONSTRAINT</v>
      </c>
      <c r="L563" s="62" t="str" cm="1">
        <f t="array" ref="L563">IF($B563=0,IF($E563=0,"",IF(INDEX(DMAV_Dienste!O$6:O$140,$E563)="","",INDEX(DMAV_Dienste!O$6:O$140,$E563))),IF(INDEX(DMAV_Modell!P$6:P$838,$B563)="","",INDEX(DMAV_Modell!P$6:P$838,$B563)))</f>
        <v>Grundstuecke</v>
      </c>
      <c r="M563" s="62" t="str" cm="1">
        <f t="array" ref="M563">IF($B563=0,IF($E563=0,"",IF(INDEX(DMAV_Dienste!Q$6:Q$140,$E563)="","",INDEX(DMAV_Dienste!Q$6:Q$140,$E563))),IF(INDEX(DMAV_Modell!R$6:R$838,$B563)="","",INDEX(DMAV_Modell!R$6:R$838,$B563)))</f>
        <v>Liegenschaft</v>
      </c>
      <c r="N563" s="62" t="str" cm="1">
        <f t="array" ref="N563">IF($B563=0,IF($E563=0,"",IF(INDEX(DMAV_Dienste!T$6:T$140,$E563)="","",INDEX(DMAV_Dienste!T$6:T$140,$E563))),IF(INDEX(DMAV_Modell!U$6:U$838,$B563)="","",INDEX(DMAV_Modell!U$6:U$838,$B563)))</f>
        <v>DEFINED(@PH1@)==@PH2@</v>
      </c>
      <c r="O563" s="63" t="str" cm="1">
        <f t="array" aca="1" ref="O563" ca="1">IF(C563=0,IF(F563=0,"",HYPERLINK("#"&amp;RIGHT(CELL("adresse",OFFSET(DMAV_Dienste!$M$6,F563-1,0)),LEN(CELL("adresse",OFFSET(DMAV_Dienste!$M$6,F563-1,0)))-FIND("]",CELL("adresse",OFFSET(DMAV_Dienste!$M$6,F563-1,0)))),"Structure")),HYPERLINK("#"&amp;RIGHT(CELL("adresse",OFFSET(DMAV_Modell!$N$6,C563-1,0)),LEN(CELL("adresse",OFFSET(DMAV_Modell!$N$6,C563-1,0)))-FIND("]",CELL("adresse",OFFSET(DMAV_Modell!$N$6,C563-1,0)))),"Structure"))</f>
        <v/>
      </c>
      <c r="P563" s="64" t="str" cm="1">
        <f t="array" aca="1" ref="P563" ca="1">IF(D563=0,IF(G563=0,"",HYPERLINK("#"&amp;RIGHT(CELL("adresse",OFFSET(DMAV_Dienste!$M$6,G563-1,0)),LEN(CELL("adresse",OFFSET(DMAV_Dienste!$M$6,G563-1,0)))-FIND("]",CELL("adresse",OFFSET(DMAV_Dienste!$M$6,G563-1,0)))),"Substructure")),HYPERLINK("#"&amp;RIGHT(CELL("adresse",OFFSET(DMAV_Modell!$N$6,D563-1,0)),LEN(CELL("adresse",OFFSET(DMAV_Modell!$N$6,D563-1,0)))-FIND("]",CELL("adresse",OFFSET(DMAV_Modell!$N$6,D563-1,0)))),"Substructure"))</f>
        <v/>
      </c>
      <c r="R563" s="80"/>
      <c r="T563" s="93"/>
      <c r="U563" s="94"/>
      <c r="V563" s="95"/>
      <c r="W563" s="96"/>
      <c r="Y563" s="85"/>
      <c r="Z563" s="86"/>
      <c r="AA563" s="87"/>
      <c r="AB563" s="88"/>
      <c r="AD563" s="77"/>
      <c r="AF563" s="54" t="str" cm="1">
        <f t="array" aca="1" ref="AF563" ca="1">IF(H563=0,"",HYPERLINK("#"&amp;RIGHT(CELL("adresse",OFFSET('DM01-AV-CH'!$G$6,H563-1,0)),LEN(CELL("adresse",OFFSET('DM01-AV-CH'!$G$6,H563-1,0)))-FIND("]",CELL("adresse",OFFSET('DM01-AV-CH'!$G$6,H563-1,0)))),"Modell"))</f>
        <v/>
      </c>
      <c r="AG563" s="72" t="str" cm="1">
        <f t="array" ref="AG563">IF($H563=0,"",IF(INDEX('DM01-AV-CH'!G$6:G$834,$H563)="","",INDEX('DM01-AV-CH'!G$6:G$834,$H563)))</f>
        <v/>
      </c>
      <c r="AH563" s="73" t="str" cm="1">
        <f t="array" ref="AH563">IF($H563=0,"",IF(INDEX('DM01-AV-CH'!H$6:H$834,$H563)="","",INDEX('DM01-AV-CH'!H$6:H$834,$H563)))</f>
        <v/>
      </c>
      <c r="AI563" s="74" t="str" cm="1">
        <f t="array" ref="AI563">IF($H563=0,"",IF(INDEX('DM01-AV-CH'!I$6:I$834,$H563)="","",INDEX('DM01-AV-CH'!I$6:I$834,$H563)))</f>
        <v/>
      </c>
    </row>
    <row r="564" spans="1:35" x14ac:dyDescent="0.25">
      <c r="A564" s="57">
        <v>559</v>
      </c>
      <c r="B564" s="57">
        <f>IF($A564="","",IF(_xlfn.XLOOKUP($A564,Korrelation!$D$4:$D$1197,Korrelation!E$4:E$1197,"-",0)="-",0,MATCH(_xlfn.XLOOKUP($A564,Korrelation!$D$4:$D$1197,Korrelation!E$4:E$1197,"",0),DMAV_Modell!$G$6:$G$677,0)))</f>
        <v>271</v>
      </c>
      <c r="C564" s="57">
        <f>IF($A564="","",IF(_xlfn.XLOOKUP($A564,Korrelation!$D$4:$D$1197,Korrelation!F$4:F$1197,"-",0)="-",0,MATCH(_xlfn.XLOOKUP($A564,Korrelation!$D$4:$D$1197,Korrelation!F$4:F$1197,"",0),DMAV_Modell!$G$6:$G$677,0)))</f>
        <v>0</v>
      </c>
      <c r="D564" s="57">
        <f>IF($A564="","",IF(_xlfn.XLOOKUP($A564,Korrelation!$D$4:$D$1197,Korrelation!G$4:G$1197,"-",0)="-",0,MATCH(_xlfn.XLOOKUP($A564,Korrelation!$D$4:$D$1197,Korrelation!G$4:G$1197,"",0),DMAV_Modell!$G$6:$G$677,0)))</f>
        <v>0</v>
      </c>
      <c r="E564" s="57">
        <f>IF($A564="","",IF(_xlfn.XLOOKUP($A564,Korrelation!$D$4:$D$1197,Korrelation!H$4:H$1197,"-",0)="-",0,MATCH(_xlfn.XLOOKUP($A564,Korrelation!$D$4:$D$1197,Korrelation!H$4:H$1197,"",0),DMAV_Dienste!$F$6:$F$140,0)))</f>
        <v>0</v>
      </c>
      <c r="F564" s="57">
        <f>IF($A564="","",IF(_xlfn.XLOOKUP($A564,Korrelation!$D$4:$D$1197,Korrelation!I$4:I$1197,"-",0)="-",0,MATCH(_xlfn.XLOOKUP($A564,Korrelation!$D$4:$D$1197,Korrelation!I$4:I$1197,"",0),DMAV_Dienste!$F$6:$F$140,0)))</f>
        <v>0</v>
      </c>
      <c r="G564" s="57">
        <f>IF($A564="","",IF(_xlfn.XLOOKUP($A564,Korrelation!$D$4:$D$1197,Korrelation!J$4:J$1197,"-",0)="-",0,MATCH(_xlfn.XLOOKUP($A564,Korrelation!$D$4:$D$1197,Korrelation!J$4:J$1197,"",0),DMAV_Dienste!$F$6:$F$140,0)))</f>
        <v>0</v>
      </c>
      <c r="H564" s="57">
        <f>IF($A564="","",IF(_xlfn.XLOOKUP($A564,Korrelation!$D$4:$D$1197,Korrelation!K$4:K$1197,"-",0)="-",0,MATCH(_xlfn.XLOOKUP($A564,Korrelation!$D$4:$D$1197,Korrelation!K$4:K$1197,"",0),'DM01-AV-CH'!$A$6:$A$834,0)))</f>
        <v>0</v>
      </c>
      <c r="J564" s="54" t="str" cm="1">
        <f t="array" aca="1" ref="J564" ca="1">IF(B564=0,IF(E564=0,"",HYPERLINK("#"&amp;RIGHT(CELL("adresse",OFFSET(DMAV_Dienste!$M$6,E564-1,0)),LEN(CELL("adresse",OFFSET(DMAV_Dienste!$M$6,E564-1,0)))-FIND("]",CELL("adresse",OFFSET(DMAV_Dienste!$M$6,E564-1,0)))),"Dienst")),HYPERLINK("#"&amp;RIGHT(CELL("adresse",OFFSET(DMAV_Modell!$N$6,B564-1,0)),LEN(CELL("adresse",OFFSET(DMAV_Modell!$N$6,B564-1,0)))-FIND("]",CELL("adresse",OFFSET(DMAV_Modell!$N$6,B564-1,0)))),"Modell"))</f>
        <v>Modell</v>
      </c>
      <c r="K564" s="61" t="str" cm="1">
        <f t="array" ref="K564">IF($B564=0,IF($E564=0,"",IF(INDEX(DMAV_Dienste!P$6:P$140,$E564)="","",INDEX(DMAV_Dienste!P$6:P$140,$E564))),IF(INDEX(DMAV_Modell!Q$6:Q$838,$B564)="","",INDEX(DMAV_Modell!Q$6:Q$838,$B564)))</f>
        <v>CONSTRAINTS OF.CONSTRAINT</v>
      </c>
      <c r="L564" s="62" t="str" cm="1">
        <f t="array" ref="L564">IF($B564=0,IF($E564=0,"",IF(INDEX(DMAV_Dienste!O$6:O$140,$E564)="","",INDEX(DMAV_Dienste!O$6:O$140,$E564))),IF(INDEX(DMAV_Modell!P$6:P$838,$B564)="","",INDEX(DMAV_Modell!P$6:P$838,$B564)))</f>
        <v>Grundstuecke</v>
      </c>
      <c r="M564" s="62" t="str" cm="1">
        <f t="array" ref="M564">IF($B564=0,IF($E564=0,"",IF(INDEX(DMAV_Dienste!Q$6:Q$140,$E564)="","",INDEX(DMAV_Dienste!Q$6:Q$140,$E564))),IF(INDEX(DMAV_Modell!R$6:R$838,$B564)="","",INDEX(DMAV_Modell!R$6:R$838,$B564)))</f>
        <v>Liegenschaft</v>
      </c>
      <c r="N564" s="62" t="str" cm="1">
        <f t="array" ref="N564">IF($B564=0,IF($E564=0,"",IF(INDEX(DMAV_Dienste!T$6:T$140,$E564)="","",INDEX(DMAV_Dienste!T$6:T$140,$E564))),IF(INDEX(DMAV_Modell!U$6:U$838,$B564)="","",INDEX(DMAV_Modell!U$6:U$838,$B564)))</f>
        <v>NOT(DEFINED(@PH1@)) == @PH2@</v>
      </c>
      <c r="O564" s="63" t="str" cm="1">
        <f t="array" aca="1" ref="O564" ca="1">IF(C564=0,IF(F564=0,"",HYPERLINK("#"&amp;RIGHT(CELL("adresse",OFFSET(DMAV_Dienste!$M$6,F564-1,0)),LEN(CELL("adresse",OFFSET(DMAV_Dienste!$M$6,F564-1,0)))-FIND("]",CELL("adresse",OFFSET(DMAV_Dienste!$M$6,F564-1,0)))),"Structure")),HYPERLINK("#"&amp;RIGHT(CELL("adresse",OFFSET(DMAV_Modell!$N$6,C564-1,0)),LEN(CELL("adresse",OFFSET(DMAV_Modell!$N$6,C564-1,0)))-FIND("]",CELL("adresse",OFFSET(DMAV_Modell!$N$6,C564-1,0)))),"Structure"))</f>
        <v/>
      </c>
      <c r="P564" s="64" t="str" cm="1">
        <f t="array" aca="1" ref="P564" ca="1">IF(D564=0,IF(G564=0,"",HYPERLINK("#"&amp;RIGHT(CELL("adresse",OFFSET(DMAV_Dienste!$M$6,G564-1,0)),LEN(CELL("adresse",OFFSET(DMAV_Dienste!$M$6,G564-1,0)))-FIND("]",CELL("adresse",OFFSET(DMAV_Dienste!$M$6,G564-1,0)))),"Substructure")),HYPERLINK("#"&amp;RIGHT(CELL("adresse",OFFSET(DMAV_Modell!$N$6,D564-1,0)),LEN(CELL("adresse",OFFSET(DMAV_Modell!$N$6,D564-1,0)))-FIND("]",CELL("adresse",OFFSET(DMAV_Modell!$N$6,D564-1,0)))),"Substructure"))</f>
        <v/>
      </c>
      <c r="R564" s="80"/>
      <c r="T564" s="93"/>
      <c r="U564" s="94"/>
      <c r="V564" s="95"/>
      <c r="W564" s="96"/>
      <c r="Y564" s="85"/>
      <c r="Z564" s="86"/>
      <c r="AA564" s="87"/>
      <c r="AB564" s="88"/>
      <c r="AD564" s="77"/>
      <c r="AF564" s="54" t="str" cm="1">
        <f t="array" aca="1" ref="AF564" ca="1">IF(H564=0,"",HYPERLINK("#"&amp;RIGHT(CELL("adresse",OFFSET('DM01-AV-CH'!$G$6,H564-1,0)),LEN(CELL("adresse",OFFSET('DM01-AV-CH'!$G$6,H564-1,0)))-FIND("]",CELL("adresse",OFFSET('DM01-AV-CH'!$G$6,H564-1,0)))),"Modell"))</f>
        <v/>
      </c>
      <c r="AG564" s="72" t="str" cm="1">
        <f t="array" ref="AG564">IF($H564=0,"",IF(INDEX('DM01-AV-CH'!G$6:G$834,$H564)="","",INDEX('DM01-AV-CH'!G$6:G$834,$H564)))</f>
        <v/>
      </c>
      <c r="AH564" s="73" t="str" cm="1">
        <f t="array" ref="AH564">IF($H564=0,"",IF(INDEX('DM01-AV-CH'!H$6:H$834,$H564)="","",INDEX('DM01-AV-CH'!H$6:H$834,$H564)))</f>
        <v/>
      </c>
      <c r="AI564" s="74" t="str" cm="1">
        <f t="array" ref="AI564">IF($H564=0,"",IF(INDEX('DM01-AV-CH'!I$6:I$834,$H564)="","",INDEX('DM01-AV-CH'!I$6:I$834,$H564)))</f>
        <v/>
      </c>
    </row>
    <row r="565" spans="1:35" x14ac:dyDescent="0.25">
      <c r="A565" s="57">
        <v>560</v>
      </c>
      <c r="B565" s="57">
        <f>IF($A565="","",IF(_xlfn.XLOOKUP($A565,Korrelation!$D$4:$D$1197,Korrelation!E$4:E$1197,"-",0)="-",0,MATCH(_xlfn.XLOOKUP($A565,Korrelation!$D$4:$D$1197,Korrelation!E$4:E$1197,"",0),DMAV_Modell!$G$6:$G$677,0)))</f>
        <v>272</v>
      </c>
      <c r="C565" s="57">
        <f>IF($A565="","",IF(_xlfn.XLOOKUP($A565,Korrelation!$D$4:$D$1197,Korrelation!F$4:F$1197,"-",0)="-",0,MATCH(_xlfn.XLOOKUP($A565,Korrelation!$D$4:$D$1197,Korrelation!F$4:F$1197,"",0),DMAV_Modell!$G$6:$G$677,0)))</f>
        <v>0</v>
      </c>
      <c r="D565" s="57">
        <f>IF($A565="","",IF(_xlfn.XLOOKUP($A565,Korrelation!$D$4:$D$1197,Korrelation!G$4:G$1197,"-",0)="-",0,MATCH(_xlfn.XLOOKUP($A565,Korrelation!$D$4:$D$1197,Korrelation!G$4:G$1197,"",0),DMAV_Modell!$G$6:$G$677,0)))</f>
        <v>0</v>
      </c>
      <c r="E565" s="57">
        <f>IF($A565="","",IF(_xlfn.XLOOKUP($A565,Korrelation!$D$4:$D$1197,Korrelation!H$4:H$1197,"-",0)="-",0,MATCH(_xlfn.XLOOKUP($A565,Korrelation!$D$4:$D$1197,Korrelation!H$4:H$1197,"",0),DMAV_Dienste!$F$6:$F$140,0)))</f>
        <v>0</v>
      </c>
      <c r="F565" s="57">
        <f>IF($A565="","",IF(_xlfn.XLOOKUP($A565,Korrelation!$D$4:$D$1197,Korrelation!I$4:I$1197,"-",0)="-",0,MATCH(_xlfn.XLOOKUP($A565,Korrelation!$D$4:$D$1197,Korrelation!I$4:I$1197,"",0),DMAV_Dienste!$F$6:$F$140,0)))</f>
        <v>0</v>
      </c>
      <c r="G565" s="57">
        <f>IF($A565="","",IF(_xlfn.XLOOKUP($A565,Korrelation!$D$4:$D$1197,Korrelation!J$4:J$1197,"-",0)="-",0,MATCH(_xlfn.XLOOKUP($A565,Korrelation!$D$4:$D$1197,Korrelation!J$4:J$1197,"",0),DMAV_Dienste!$F$6:$F$140,0)))</f>
        <v>0</v>
      </c>
      <c r="H565" s="57">
        <f>IF($A565="","",IF(_xlfn.XLOOKUP($A565,Korrelation!$D$4:$D$1197,Korrelation!K$4:K$1197,"-",0)="-",0,MATCH(_xlfn.XLOOKUP($A565,Korrelation!$D$4:$D$1197,Korrelation!K$4:K$1197,"",0),'DM01-AV-CH'!$A$6:$A$834,0)))</f>
        <v>0</v>
      </c>
      <c r="J565" s="54" t="str" cm="1">
        <f t="array" aca="1" ref="J565" ca="1">IF(B565=0,IF(E565=0,"",HYPERLINK("#"&amp;RIGHT(CELL("adresse",OFFSET(DMAV_Dienste!$M$6,E565-1,0)),LEN(CELL("adresse",OFFSET(DMAV_Dienste!$M$6,E565-1,0)))-FIND("]",CELL("adresse",OFFSET(DMAV_Dienste!$M$6,E565-1,0)))),"Dienst")),HYPERLINK("#"&amp;RIGHT(CELL("adresse",OFFSET(DMAV_Modell!$N$6,B565-1,0)),LEN(CELL("adresse",OFFSET(DMAV_Modell!$N$6,B565-1,0)))-FIND("]",CELL("adresse",OFFSET(DMAV_Modell!$N$6,B565-1,0)))),"Modell"))</f>
        <v>Modell</v>
      </c>
      <c r="K565" s="61" t="str" cm="1">
        <f t="array" ref="K565">IF($B565=0,IF($E565=0,"",IF(INDEX(DMAV_Dienste!P$6:P$140,$E565)="","",INDEX(DMAV_Dienste!P$6:P$140,$E565))),IF(INDEX(DMAV_Modell!Q$6:Q$838,$B565)="","",INDEX(DMAV_Modell!Q$6:Q$838,$B565)))</f>
        <v>VIEW</v>
      </c>
      <c r="L565" s="62" t="str" cm="1">
        <f t="array" ref="L565">IF($B565=0,IF($E565=0,"",IF(INDEX(DMAV_Dienste!O$6:O$140,$E565)="","",INDEX(DMAV_Dienste!O$6:O$140,$E565))),IF(INDEX(DMAV_Modell!P$6:P$838,$B565)="","",INDEX(DMAV_Modell!P$6:P$838,$B565)))</f>
        <v>Grundstuecke</v>
      </c>
      <c r="M565" s="62" t="str" cm="1">
        <f t="array" ref="M565">IF($B565=0,IF($E565=0,"",IF(INDEX(DMAV_Dienste!Q$6:Q$140,$E565)="","",INDEX(DMAV_Dienste!Q$6:Q$140,$E565))),IF(INDEX(DMAV_Modell!R$6:R$838,$B565)="","",INDEX(DMAV_Modell!R$6:R$838,$B565)))</f>
        <v>Liegenschaft_Gueltig</v>
      </c>
      <c r="N565" s="62" t="str" cm="1">
        <f t="array" ref="N565">IF($B565=0,IF($E565=0,"",IF(INDEX(DMAV_Dienste!T$6:T$140,$E565)="","",INDEX(DMAV_Dienste!T$6:T$140,$E565))),IF(INDEX(DMAV_Modell!U$6:U$838,$B565)="","",INDEX(DMAV_Modell!U$6:U$838,$B565)))</f>
        <v>PROJECTION OF</v>
      </c>
      <c r="O565" s="63" t="str" cm="1">
        <f t="array" aca="1" ref="O565" ca="1">IF(C565=0,IF(F565=0,"",HYPERLINK("#"&amp;RIGHT(CELL("adresse",OFFSET(DMAV_Dienste!$M$6,F565-1,0)),LEN(CELL("adresse",OFFSET(DMAV_Dienste!$M$6,F565-1,0)))-FIND("]",CELL("adresse",OFFSET(DMAV_Dienste!$M$6,F565-1,0)))),"Structure")),HYPERLINK("#"&amp;RIGHT(CELL("adresse",OFFSET(DMAV_Modell!$N$6,C565-1,0)),LEN(CELL("adresse",OFFSET(DMAV_Modell!$N$6,C565-1,0)))-FIND("]",CELL("adresse",OFFSET(DMAV_Modell!$N$6,C565-1,0)))),"Structure"))</f>
        <v/>
      </c>
      <c r="P565" s="64" t="str" cm="1">
        <f t="array" aca="1" ref="P565" ca="1">IF(D565=0,IF(G565=0,"",HYPERLINK("#"&amp;RIGHT(CELL("adresse",OFFSET(DMAV_Dienste!$M$6,G565-1,0)),LEN(CELL("adresse",OFFSET(DMAV_Dienste!$M$6,G565-1,0)))-FIND("]",CELL("adresse",OFFSET(DMAV_Dienste!$M$6,G565-1,0)))),"Substructure")),HYPERLINK("#"&amp;RIGHT(CELL("adresse",OFFSET(DMAV_Modell!$N$6,D565-1,0)),LEN(CELL("adresse",OFFSET(DMAV_Modell!$N$6,D565-1,0)))-FIND("]",CELL("adresse",OFFSET(DMAV_Modell!$N$6,D565-1,0)))),"Substructure"))</f>
        <v/>
      </c>
      <c r="R565" s="80"/>
      <c r="T565" s="93"/>
      <c r="U565" s="94"/>
      <c r="V565" s="95"/>
      <c r="W565" s="96"/>
      <c r="Y565" s="85"/>
      <c r="Z565" s="86"/>
      <c r="AA565" s="87"/>
      <c r="AB565" s="88"/>
      <c r="AD565" s="77"/>
      <c r="AF565" s="54" t="str" cm="1">
        <f t="array" aca="1" ref="AF565" ca="1">IF(H565=0,"",HYPERLINK("#"&amp;RIGHT(CELL("adresse",OFFSET('DM01-AV-CH'!$G$6,H565-1,0)),LEN(CELL("adresse",OFFSET('DM01-AV-CH'!$G$6,H565-1,0)))-FIND("]",CELL("adresse",OFFSET('DM01-AV-CH'!$G$6,H565-1,0)))),"Modell"))</f>
        <v/>
      </c>
      <c r="AG565" s="72" t="str" cm="1">
        <f t="array" ref="AG565">IF($H565=0,"",IF(INDEX('DM01-AV-CH'!G$6:G$834,$H565)="","",INDEX('DM01-AV-CH'!G$6:G$834,$H565)))</f>
        <v/>
      </c>
      <c r="AH565" s="73" t="str" cm="1">
        <f t="array" ref="AH565">IF($H565=0,"",IF(INDEX('DM01-AV-CH'!H$6:H$834,$H565)="","",INDEX('DM01-AV-CH'!H$6:H$834,$H565)))</f>
        <v/>
      </c>
      <c r="AI565" s="74" t="str" cm="1">
        <f t="array" ref="AI565">IF($H565=0,"",IF(INDEX('DM01-AV-CH'!I$6:I$834,$H565)="","",INDEX('DM01-AV-CH'!I$6:I$834,$H565)))</f>
        <v/>
      </c>
    </row>
    <row r="566" spans="1:35" x14ac:dyDescent="0.25">
      <c r="A566" s="57">
        <v>561</v>
      </c>
      <c r="B566" s="57">
        <f>IF($A566="","",IF(_xlfn.XLOOKUP($A566,Korrelation!$D$4:$D$1197,Korrelation!E$4:E$1197,"-",0)="-",0,MATCH(_xlfn.XLOOKUP($A566,Korrelation!$D$4:$D$1197,Korrelation!E$4:E$1197,"",0),DMAV_Modell!$G$6:$G$677,0)))</f>
        <v>273</v>
      </c>
      <c r="C566" s="57">
        <f>IF($A566="","",IF(_xlfn.XLOOKUP($A566,Korrelation!$D$4:$D$1197,Korrelation!F$4:F$1197,"-",0)="-",0,MATCH(_xlfn.XLOOKUP($A566,Korrelation!$D$4:$D$1197,Korrelation!F$4:F$1197,"",0),DMAV_Modell!$G$6:$G$677,0)))</f>
        <v>0</v>
      </c>
      <c r="D566" s="57">
        <f>IF($A566="","",IF(_xlfn.XLOOKUP($A566,Korrelation!$D$4:$D$1197,Korrelation!G$4:G$1197,"-",0)="-",0,MATCH(_xlfn.XLOOKUP($A566,Korrelation!$D$4:$D$1197,Korrelation!G$4:G$1197,"",0),DMAV_Modell!$G$6:$G$677,0)))</f>
        <v>0</v>
      </c>
      <c r="E566" s="57">
        <f>IF($A566="","",IF(_xlfn.XLOOKUP($A566,Korrelation!$D$4:$D$1197,Korrelation!H$4:H$1197,"-",0)="-",0,MATCH(_xlfn.XLOOKUP($A566,Korrelation!$D$4:$D$1197,Korrelation!H$4:H$1197,"",0),DMAV_Dienste!$F$6:$F$140,0)))</f>
        <v>0</v>
      </c>
      <c r="F566" s="57">
        <f>IF($A566="","",IF(_xlfn.XLOOKUP($A566,Korrelation!$D$4:$D$1197,Korrelation!I$4:I$1197,"-",0)="-",0,MATCH(_xlfn.XLOOKUP($A566,Korrelation!$D$4:$D$1197,Korrelation!I$4:I$1197,"",0),DMAV_Dienste!$F$6:$F$140,0)))</f>
        <v>0</v>
      </c>
      <c r="G566" s="57">
        <f>IF($A566="","",IF(_xlfn.XLOOKUP($A566,Korrelation!$D$4:$D$1197,Korrelation!J$4:J$1197,"-",0)="-",0,MATCH(_xlfn.XLOOKUP($A566,Korrelation!$D$4:$D$1197,Korrelation!J$4:J$1197,"",0),DMAV_Dienste!$F$6:$F$140,0)))</f>
        <v>0</v>
      </c>
      <c r="H566" s="57">
        <f>IF($A566="","",IF(_xlfn.XLOOKUP($A566,Korrelation!$D$4:$D$1197,Korrelation!K$4:K$1197,"-",0)="-",0,MATCH(_xlfn.XLOOKUP($A566,Korrelation!$D$4:$D$1197,Korrelation!K$4:K$1197,"",0),'DM01-AV-CH'!$A$6:$A$834,0)))</f>
        <v>0</v>
      </c>
      <c r="J566" s="54" t="str" cm="1">
        <f t="array" aca="1" ref="J566" ca="1">IF(B566=0,IF(E566=0,"",HYPERLINK("#"&amp;RIGHT(CELL("adresse",OFFSET(DMAV_Dienste!$M$6,E566-1,0)),LEN(CELL("adresse",OFFSET(DMAV_Dienste!$M$6,E566-1,0)))-FIND("]",CELL("adresse",OFFSET(DMAV_Dienste!$M$6,E566-1,0)))),"Dienst")),HYPERLINK("#"&amp;RIGHT(CELL("adresse",OFFSET(DMAV_Modell!$N$6,B566-1,0)),LEN(CELL("adresse",OFFSET(DMAV_Modell!$N$6,B566-1,0)))-FIND("]",CELL("adresse",OFFSET(DMAV_Modell!$N$6,B566-1,0)))),"Modell"))</f>
        <v>Modell</v>
      </c>
      <c r="K566" s="61" t="str" cm="1">
        <f t="array" ref="K566">IF($B566=0,IF($E566=0,"",IF(INDEX(DMAV_Dienste!P$6:P$140,$E566)="","",INDEX(DMAV_Dienste!P$6:P$140,$E566))),IF(INDEX(DMAV_Modell!Q$6:Q$838,$B566)="","",INDEX(DMAV_Modell!Q$6:Q$838,$B566)))</f>
        <v>VIEW</v>
      </c>
      <c r="L566" s="62" t="str" cm="1">
        <f t="array" ref="L566">IF($B566=0,IF($E566=0,"",IF(INDEX(DMAV_Dienste!O$6:O$140,$E566)="","",INDEX(DMAV_Dienste!O$6:O$140,$E566))),IF(INDEX(DMAV_Modell!P$6:P$838,$B566)="","",INDEX(DMAV_Modell!P$6:P$838,$B566)))</f>
        <v>Grundstuecke</v>
      </c>
      <c r="M566" s="62" t="str" cm="1">
        <f t="array" ref="M566">IF($B566=0,IF($E566=0,"",IF(INDEX(DMAV_Dienste!Q$6:Q$140,$E566)="","",INDEX(DMAV_Dienste!Q$6:Q$140,$E566))),IF(INDEX(DMAV_Modell!R$6:R$838,$B566)="","",INDEX(DMAV_Modell!R$6:R$838,$B566)))</f>
        <v>Liegenschaft_Gueltig</v>
      </c>
      <c r="N566" s="62" t="str" cm="1">
        <f t="array" ref="N566">IF($B566=0,IF($E566=0,"",IF(INDEX(DMAV_Dienste!T$6:T$140,$E566)="","",INDEX(DMAV_Dienste!T$6:T$140,$E566))),IF(INDEX(DMAV_Modell!U$6:U$838,$B566)="","",INDEX(DMAV_Modell!U$6:U$838,$B566)))</f>
        <v>WHERE DEFINED(@PH1@) AND DEFINED(@PH2@) AND (NOT(DEFINED(@PH3@)) OR NOT(DEFINED(@PH4@)))</v>
      </c>
      <c r="O566" s="63" t="str" cm="1">
        <f t="array" aca="1" ref="O566" ca="1">IF(C566=0,IF(F566=0,"",HYPERLINK("#"&amp;RIGHT(CELL("adresse",OFFSET(DMAV_Dienste!$M$6,F566-1,0)),LEN(CELL("adresse",OFFSET(DMAV_Dienste!$M$6,F566-1,0)))-FIND("]",CELL("adresse",OFFSET(DMAV_Dienste!$M$6,F566-1,0)))),"Structure")),HYPERLINK("#"&amp;RIGHT(CELL("adresse",OFFSET(DMAV_Modell!$N$6,C566-1,0)),LEN(CELL("adresse",OFFSET(DMAV_Modell!$N$6,C566-1,0)))-FIND("]",CELL("adresse",OFFSET(DMAV_Modell!$N$6,C566-1,0)))),"Structure"))</f>
        <v/>
      </c>
      <c r="P566" s="64" t="str" cm="1">
        <f t="array" aca="1" ref="P566" ca="1">IF(D566=0,IF(G566=0,"",HYPERLINK("#"&amp;RIGHT(CELL("adresse",OFFSET(DMAV_Dienste!$M$6,G566-1,0)),LEN(CELL("adresse",OFFSET(DMAV_Dienste!$M$6,G566-1,0)))-FIND("]",CELL("adresse",OFFSET(DMAV_Dienste!$M$6,G566-1,0)))),"Substructure")),HYPERLINK("#"&amp;RIGHT(CELL("adresse",OFFSET(DMAV_Modell!$N$6,D566-1,0)),LEN(CELL("adresse",OFFSET(DMAV_Modell!$N$6,D566-1,0)))-FIND("]",CELL("adresse",OFFSET(DMAV_Modell!$N$6,D566-1,0)))),"Substructure"))</f>
        <v/>
      </c>
      <c r="R566" s="80"/>
      <c r="T566" s="93"/>
      <c r="U566" s="94"/>
      <c r="V566" s="95"/>
      <c r="W566" s="96"/>
      <c r="Y566" s="85"/>
      <c r="Z566" s="86"/>
      <c r="AA566" s="87"/>
      <c r="AB566" s="88"/>
      <c r="AD566" s="77"/>
      <c r="AF566" s="54" t="str" cm="1">
        <f t="array" aca="1" ref="AF566" ca="1">IF(H566=0,"",HYPERLINK("#"&amp;RIGHT(CELL("adresse",OFFSET('DM01-AV-CH'!$G$6,H566-1,0)),LEN(CELL("adresse",OFFSET('DM01-AV-CH'!$G$6,H566-1,0)))-FIND("]",CELL("adresse",OFFSET('DM01-AV-CH'!$G$6,H566-1,0)))),"Modell"))</f>
        <v/>
      </c>
      <c r="AG566" s="72" t="str" cm="1">
        <f t="array" ref="AG566">IF($H566=0,"",IF(INDEX('DM01-AV-CH'!G$6:G$834,$H566)="","",INDEX('DM01-AV-CH'!G$6:G$834,$H566)))</f>
        <v/>
      </c>
      <c r="AH566" s="73" t="str" cm="1">
        <f t="array" ref="AH566">IF($H566=0,"",IF(INDEX('DM01-AV-CH'!H$6:H$834,$H566)="","",INDEX('DM01-AV-CH'!H$6:H$834,$H566)))</f>
        <v/>
      </c>
      <c r="AI566" s="74" t="str" cm="1">
        <f t="array" ref="AI566">IF($H566=0,"",IF(INDEX('DM01-AV-CH'!I$6:I$834,$H566)="","",INDEX('DM01-AV-CH'!I$6:I$834,$H566)))</f>
        <v/>
      </c>
    </row>
    <row r="567" spans="1:35" x14ac:dyDescent="0.25">
      <c r="A567" s="57">
        <v>562</v>
      </c>
      <c r="B567" s="57">
        <f>IF($A567="","",IF(_xlfn.XLOOKUP($A567,Korrelation!$D$4:$D$1197,Korrelation!E$4:E$1197,"-",0)="-",0,MATCH(_xlfn.XLOOKUP($A567,Korrelation!$D$4:$D$1197,Korrelation!E$4:E$1197,"",0),DMAV_Modell!$G$6:$G$677,0)))</f>
        <v>274</v>
      </c>
      <c r="C567" s="57">
        <f>IF($A567="","",IF(_xlfn.XLOOKUP($A567,Korrelation!$D$4:$D$1197,Korrelation!F$4:F$1197,"-",0)="-",0,MATCH(_xlfn.XLOOKUP($A567,Korrelation!$D$4:$D$1197,Korrelation!F$4:F$1197,"",0),DMAV_Modell!$G$6:$G$677,0)))</f>
        <v>0</v>
      </c>
      <c r="D567" s="57">
        <f>IF($A567="","",IF(_xlfn.XLOOKUP($A567,Korrelation!$D$4:$D$1197,Korrelation!G$4:G$1197,"-",0)="-",0,MATCH(_xlfn.XLOOKUP($A567,Korrelation!$D$4:$D$1197,Korrelation!G$4:G$1197,"",0),DMAV_Modell!$G$6:$G$677,0)))</f>
        <v>0</v>
      </c>
      <c r="E567" s="57">
        <f>IF($A567="","",IF(_xlfn.XLOOKUP($A567,Korrelation!$D$4:$D$1197,Korrelation!H$4:H$1197,"-",0)="-",0,MATCH(_xlfn.XLOOKUP($A567,Korrelation!$D$4:$D$1197,Korrelation!H$4:H$1197,"",0),DMAV_Dienste!$F$6:$F$140,0)))</f>
        <v>0</v>
      </c>
      <c r="F567" s="57">
        <f>IF($A567="","",IF(_xlfn.XLOOKUP($A567,Korrelation!$D$4:$D$1197,Korrelation!I$4:I$1197,"-",0)="-",0,MATCH(_xlfn.XLOOKUP($A567,Korrelation!$D$4:$D$1197,Korrelation!I$4:I$1197,"",0),DMAV_Dienste!$F$6:$F$140,0)))</f>
        <v>0</v>
      </c>
      <c r="G567" s="57">
        <f>IF($A567="","",IF(_xlfn.XLOOKUP($A567,Korrelation!$D$4:$D$1197,Korrelation!J$4:J$1197,"-",0)="-",0,MATCH(_xlfn.XLOOKUP($A567,Korrelation!$D$4:$D$1197,Korrelation!J$4:J$1197,"",0),DMAV_Dienste!$F$6:$F$140,0)))</f>
        <v>0</v>
      </c>
      <c r="H567" s="57">
        <f>IF($A567="","",IF(_xlfn.XLOOKUP($A567,Korrelation!$D$4:$D$1197,Korrelation!K$4:K$1197,"-",0)="-",0,MATCH(_xlfn.XLOOKUP($A567,Korrelation!$D$4:$D$1197,Korrelation!K$4:K$1197,"",0),'DM01-AV-CH'!$A$6:$A$834,0)))</f>
        <v>0</v>
      </c>
      <c r="J567" s="54" t="str" cm="1">
        <f t="array" aca="1" ref="J567" ca="1">IF(B567=0,IF(E567=0,"",HYPERLINK("#"&amp;RIGHT(CELL("adresse",OFFSET(DMAV_Dienste!$M$6,E567-1,0)),LEN(CELL("adresse",OFFSET(DMAV_Dienste!$M$6,E567-1,0)))-FIND("]",CELL("adresse",OFFSET(DMAV_Dienste!$M$6,E567-1,0)))),"Dienst")),HYPERLINK("#"&amp;RIGHT(CELL("adresse",OFFSET(DMAV_Modell!$N$6,B567-1,0)),LEN(CELL("adresse",OFFSET(DMAV_Modell!$N$6,B567-1,0)))-FIND("]",CELL("adresse",OFFSET(DMAV_Modell!$N$6,B567-1,0)))),"Modell"))</f>
        <v>Modell</v>
      </c>
      <c r="K567" s="61" t="str" cm="1">
        <f t="array" ref="K567">IF($B567=0,IF($E567=0,"",IF(INDEX(DMAV_Dienste!P$6:P$140,$E567)="","",INDEX(DMAV_Dienste!P$6:P$140,$E567))),IF(INDEX(DMAV_Modell!Q$6:Q$838,$B567)="","",INDEX(DMAV_Modell!Q$6:Q$838,$B567)))</f>
        <v>VIEW</v>
      </c>
      <c r="L567" s="62" t="str" cm="1">
        <f t="array" ref="L567">IF($B567=0,IF($E567=0,"",IF(INDEX(DMAV_Dienste!O$6:O$140,$E567)="","",INDEX(DMAV_Dienste!O$6:O$140,$E567))),IF(INDEX(DMAV_Modell!P$6:P$838,$B567)="","",INDEX(DMAV_Modell!P$6:P$838,$B567)))</f>
        <v>Grundstuecke</v>
      </c>
      <c r="M567" s="62" t="str" cm="1">
        <f t="array" ref="M567">IF($B567=0,IF($E567=0,"",IF(INDEX(DMAV_Dienste!Q$6:Q$140,$E567)="","",INDEX(DMAV_Dienste!Q$6:Q$140,$E567))),IF(INDEX(DMAV_Modell!R$6:R$838,$B567)="","",INDEX(DMAV_Modell!R$6:R$838,$B567)))</f>
        <v>Liegenschaft_Gueltig</v>
      </c>
      <c r="N567" s="62" t="str" cm="1">
        <f t="array" ref="N567">IF($B567=0,IF($E567=0,"",IF(INDEX(DMAV_Dienste!T$6:T$140,$E567)="","",INDEX(DMAV_Dienste!T$6:T$140,$E567))),IF(INDEX(DMAV_Modell!U$6:U$838,$B567)="","",INDEX(DMAV_Modell!U$6:U$838,$B567)))</f>
        <v>= ALL OF</v>
      </c>
      <c r="O567" s="63" t="str" cm="1">
        <f t="array" aca="1" ref="O567" ca="1">IF(C567=0,IF(F567=0,"",HYPERLINK("#"&amp;RIGHT(CELL("adresse",OFFSET(DMAV_Dienste!$M$6,F567-1,0)),LEN(CELL("adresse",OFFSET(DMAV_Dienste!$M$6,F567-1,0)))-FIND("]",CELL("adresse",OFFSET(DMAV_Dienste!$M$6,F567-1,0)))),"Structure")),HYPERLINK("#"&amp;RIGHT(CELL("adresse",OFFSET(DMAV_Modell!$N$6,C567-1,0)),LEN(CELL("adresse",OFFSET(DMAV_Modell!$N$6,C567-1,0)))-FIND("]",CELL("adresse",OFFSET(DMAV_Modell!$N$6,C567-1,0)))),"Structure"))</f>
        <v/>
      </c>
      <c r="P567" s="64" t="str" cm="1">
        <f t="array" aca="1" ref="P567" ca="1">IF(D567=0,IF(G567=0,"",HYPERLINK("#"&amp;RIGHT(CELL("adresse",OFFSET(DMAV_Dienste!$M$6,G567-1,0)),LEN(CELL("adresse",OFFSET(DMAV_Dienste!$M$6,G567-1,0)))-FIND("]",CELL("adresse",OFFSET(DMAV_Dienste!$M$6,G567-1,0)))),"Substructure")),HYPERLINK("#"&amp;RIGHT(CELL("adresse",OFFSET(DMAV_Modell!$N$6,D567-1,0)),LEN(CELL("adresse",OFFSET(DMAV_Modell!$N$6,D567-1,0)))-FIND("]",CELL("adresse",OFFSET(DMAV_Modell!$N$6,D567-1,0)))),"Substructure"))</f>
        <v/>
      </c>
      <c r="R567" s="80"/>
      <c r="T567" s="93"/>
      <c r="U567" s="94"/>
      <c r="V567" s="95"/>
      <c r="W567" s="96"/>
      <c r="Y567" s="85"/>
      <c r="Z567" s="86"/>
      <c r="AA567" s="87"/>
      <c r="AB567" s="88"/>
      <c r="AD567" s="77"/>
      <c r="AF567" s="54" t="str" cm="1">
        <f t="array" aca="1" ref="AF567" ca="1">IF(H567=0,"",HYPERLINK("#"&amp;RIGHT(CELL("adresse",OFFSET('DM01-AV-CH'!$G$6,H567-1,0)),LEN(CELL("adresse",OFFSET('DM01-AV-CH'!$G$6,H567-1,0)))-FIND("]",CELL("adresse",OFFSET('DM01-AV-CH'!$G$6,H567-1,0)))),"Modell"))</f>
        <v/>
      </c>
      <c r="AG567" s="72" t="str" cm="1">
        <f t="array" ref="AG567">IF($H567=0,"",IF(INDEX('DM01-AV-CH'!G$6:G$834,$H567)="","",INDEX('DM01-AV-CH'!G$6:G$834,$H567)))</f>
        <v/>
      </c>
      <c r="AH567" s="73" t="str" cm="1">
        <f t="array" ref="AH567">IF($H567=0,"",IF(INDEX('DM01-AV-CH'!H$6:H$834,$H567)="","",INDEX('DM01-AV-CH'!H$6:H$834,$H567)))</f>
        <v/>
      </c>
      <c r="AI567" s="74" t="str" cm="1">
        <f t="array" ref="AI567">IF($H567=0,"",IF(INDEX('DM01-AV-CH'!I$6:I$834,$H567)="","",INDEX('DM01-AV-CH'!I$6:I$834,$H567)))</f>
        <v/>
      </c>
    </row>
    <row r="568" spans="1:35" x14ac:dyDescent="0.25">
      <c r="A568" s="57">
        <v>563</v>
      </c>
      <c r="B568" s="57">
        <f>IF($A568="","",IF(_xlfn.XLOOKUP($A568,Korrelation!$D$4:$D$1197,Korrelation!E$4:E$1197,"-",0)="-",0,MATCH(_xlfn.XLOOKUP($A568,Korrelation!$D$4:$D$1197,Korrelation!E$4:E$1197,"",0),DMAV_Modell!$G$6:$G$677,0)))</f>
        <v>275</v>
      </c>
      <c r="C568" s="57">
        <f>IF($A568="","",IF(_xlfn.XLOOKUP($A568,Korrelation!$D$4:$D$1197,Korrelation!F$4:F$1197,"-",0)="-",0,MATCH(_xlfn.XLOOKUP($A568,Korrelation!$D$4:$D$1197,Korrelation!F$4:F$1197,"",0),DMAV_Modell!$G$6:$G$677,0)))</f>
        <v>0</v>
      </c>
      <c r="D568" s="57">
        <f>IF($A568="","",IF(_xlfn.XLOOKUP($A568,Korrelation!$D$4:$D$1197,Korrelation!G$4:G$1197,"-",0)="-",0,MATCH(_xlfn.XLOOKUP($A568,Korrelation!$D$4:$D$1197,Korrelation!G$4:G$1197,"",0),DMAV_Modell!$G$6:$G$677,0)))</f>
        <v>0</v>
      </c>
      <c r="E568" s="57">
        <f>IF($A568="","",IF(_xlfn.XLOOKUP($A568,Korrelation!$D$4:$D$1197,Korrelation!H$4:H$1197,"-",0)="-",0,MATCH(_xlfn.XLOOKUP($A568,Korrelation!$D$4:$D$1197,Korrelation!H$4:H$1197,"",0),DMAV_Dienste!$F$6:$F$140,0)))</f>
        <v>0</v>
      </c>
      <c r="F568" s="57">
        <f>IF($A568="","",IF(_xlfn.XLOOKUP($A568,Korrelation!$D$4:$D$1197,Korrelation!I$4:I$1197,"-",0)="-",0,MATCH(_xlfn.XLOOKUP($A568,Korrelation!$D$4:$D$1197,Korrelation!I$4:I$1197,"",0),DMAV_Dienste!$F$6:$F$140,0)))</f>
        <v>0</v>
      </c>
      <c r="G568" s="57">
        <f>IF($A568="","",IF(_xlfn.XLOOKUP($A568,Korrelation!$D$4:$D$1197,Korrelation!J$4:J$1197,"-",0)="-",0,MATCH(_xlfn.XLOOKUP($A568,Korrelation!$D$4:$D$1197,Korrelation!J$4:J$1197,"",0),DMAV_Dienste!$F$6:$F$140,0)))</f>
        <v>0</v>
      </c>
      <c r="H568" s="57">
        <f>IF($A568="","",IF(_xlfn.XLOOKUP($A568,Korrelation!$D$4:$D$1197,Korrelation!K$4:K$1197,"-",0)="-",0,MATCH(_xlfn.XLOOKUP($A568,Korrelation!$D$4:$D$1197,Korrelation!K$4:K$1197,"",0),'DM01-AV-CH'!$A$6:$A$834,0)))</f>
        <v>0</v>
      </c>
      <c r="J568" s="54" t="str" cm="1">
        <f t="array" aca="1" ref="J568" ca="1">IF(B568=0,IF(E568=0,"",HYPERLINK("#"&amp;RIGHT(CELL("adresse",OFFSET(DMAV_Dienste!$M$6,E568-1,0)),LEN(CELL("adresse",OFFSET(DMAV_Dienste!$M$6,E568-1,0)))-FIND("]",CELL("adresse",OFFSET(DMAV_Dienste!$M$6,E568-1,0)))),"Dienst")),HYPERLINK("#"&amp;RIGHT(CELL("adresse",OFFSET(DMAV_Modell!$N$6,B568-1,0)),LEN(CELL("adresse",OFFSET(DMAV_Modell!$N$6,B568-1,0)))-FIND("]",CELL("adresse",OFFSET(DMAV_Modell!$N$6,B568-1,0)))),"Modell"))</f>
        <v>Modell</v>
      </c>
      <c r="K568" s="61" t="str" cm="1">
        <f t="array" ref="K568">IF($B568=0,IF($E568=0,"",IF(INDEX(DMAV_Dienste!P$6:P$140,$E568)="","",INDEX(DMAV_Dienste!P$6:P$140,$E568))),IF(INDEX(DMAV_Modell!Q$6:Q$838,$B568)="","",INDEX(DMAV_Modell!Q$6:Q$838,$B568)))</f>
        <v>VIEW.CONSTRAINT</v>
      </c>
      <c r="L568" s="62" t="str" cm="1">
        <f t="array" ref="L568">IF($B568=0,IF($E568=0,"",IF(INDEX(DMAV_Dienste!O$6:O$140,$E568)="","",INDEX(DMAV_Dienste!O$6:O$140,$E568))),IF(INDEX(DMAV_Modell!P$6:P$838,$B568)="","",INDEX(DMAV_Modell!P$6:P$838,$B568)))</f>
        <v>Grundstuecke</v>
      </c>
      <c r="M568" s="62" t="str" cm="1">
        <f t="array" ref="M568">IF($B568=0,IF($E568=0,"",IF(INDEX(DMAV_Dienste!Q$6:Q$140,$E568)="","",INDEX(DMAV_Dienste!Q$6:Q$140,$E568))),IF(INDEX(DMAV_Modell!R$6:R$838,$B568)="","",INDEX(DMAV_Modell!R$6:R$838,$B568)))</f>
        <v>Liegenschaft_Gueltig</v>
      </c>
      <c r="N568" s="62" t="str" cm="1">
        <f t="array" ref="N568">IF($B568=0,IF($E568=0,"",IF(INDEX(DMAV_Dienste!T$6:T$140,$E568)="","",INDEX(DMAV_Dienste!T$6:T$140,$E568))),IF(INDEX(DMAV_Modell!U$6:U$838,$B568)="","",INDEX(DMAV_Modell!U$6:U$838,$B568)))</f>
        <v>Constraint:_x000D_
INTERLIS.areAreas(@PH1@)</v>
      </c>
      <c r="O568" s="63" t="str" cm="1">
        <f t="array" aca="1" ref="O568" ca="1">IF(C568=0,IF(F568=0,"",HYPERLINK("#"&amp;RIGHT(CELL("adresse",OFFSET(DMAV_Dienste!$M$6,F568-1,0)),LEN(CELL("adresse",OFFSET(DMAV_Dienste!$M$6,F568-1,0)))-FIND("]",CELL("adresse",OFFSET(DMAV_Dienste!$M$6,F568-1,0)))),"Structure")),HYPERLINK("#"&amp;RIGHT(CELL("adresse",OFFSET(DMAV_Modell!$N$6,C568-1,0)),LEN(CELL("adresse",OFFSET(DMAV_Modell!$N$6,C568-1,0)))-FIND("]",CELL("adresse",OFFSET(DMAV_Modell!$N$6,C568-1,0)))),"Structure"))</f>
        <v/>
      </c>
      <c r="P568" s="64" t="str" cm="1">
        <f t="array" aca="1" ref="P568" ca="1">IF(D568=0,IF(G568=0,"",HYPERLINK("#"&amp;RIGHT(CELL("adresse",OFFSET(DMAV_Dienste!$M$6,G568-1,0)),LEN(CELL("adresse",OFFSET(DMAV_Dienste!$M$6,G568-1,0)))-FIND("]",CELL("adresse",OFFSET(DMAV_Dienste!$M$6,G568-1,0)))),"Substructure")),HYPERLINK("#"&amp;RIGHT(CELL("adresse",OFFSET(DMAV_Modell!$N$6,D568-1,0)),LEN(CELL("adresse",OFFSET(DMAV_Modell!$N$6,D568-1,0)))-FIND("]",CELL("adresse",OFFSET(DMAV_Modell!$N$6,D568-1,0)))),"Substructure"))</f>
        <v/>
      </c>
      <c r="R568" s="80"/>
      <c r="T568" s="93"/>
      <c r="U568" s="94"/>
      <c r="V568" s="95"/>
      <c r="W568" s="96"/>
      <c r="Y568" s="85"/>
      <c r="Z568" s="86"/>
      <c r="AA568" s="87"/>
      <c r="AB568" s="88"/>
      <c r="AD568" s="77"/>
      <c r="AF568" s="54" t="str" cm="1">
        <f t="array" aca="1" ref="AF568" ca="1">IF(H568=0,"",HYPERLINK("#"&amp;RIGHT(CELL("adresse",OFFSET('DM01-AV-CH'!$G$6,H568-1,0)),LEN(CELL("adresse",OFFSET('DM01-AV-CH'!$G$6,H568-1,0)))-FIND("]",CELL("adresse",OFFSET('DM01-AV-CH'!$G$6,H568-1,0)))),"Modell"))</f>
        <v/>
      </c>
      <c r="AG568" s="72" t="str" cm="1">
        <f t="array" ref="AG568">IF($H568=0,"",IF(INDEX('DM01-AV-CH'!G$6:G$834,$H568)="","",INDEX('DM01-AV-CH'!G$6:G$834,$H568)))</f>
        <v/>
      </c>
      <c r="AH568" s="73" t="str" cm="1">
        <f t="array" ref="AH568">IF($H568=0,"",IF(INDEX('DM01-AV-CH'!H$6:H$834,$H568)="","",INDEX('DM01-AV-CH'!H$6:H$834,$H568)))</f>
        <v/>
      </c>
      <c r="AI568" s="74" t="str" cm="1">
        <f t="array" ref="AI568">IF($H568=0,"",IF(INDEX('DM01-AV-CH'!I$6:I$834,$H568)="","",INDEX('DM01-AV-CH'!I$6:I$834,$H568)))</f>
        <v/>
      </c>
    </row>
    <row r="569" spans="1:35" x14ac:dyDescent="0.25">
      <c r="A569" s="57">
        <v>564</v>
      </c>
      <c r="B569" s="57">
        <f>IF($A569="","",IF(_xlfn.XLOOKUP($A569,Korrelation!$D$4:$D$1197,Korrelation!E$4:E$1197,"-",0)="-",0,MATCH(_xlfn.XLOOKUP($A569,Korrelation!$D$4:$D$1197,Korrelation!E$4:E$1197,"",0),DMAV_Modell!$G$6:$G$677,0)))</f>
        <v>0</v>
      </c>
      <c r="C569" s="57">
        <f>IF($A569="","",IF(_xlfn.XLOOKUP($A569,Korrelation!$D$4:$D$1197,Korrelation!F$4:F$1197,"-",0)="-",0,MATCH(_xlfn.XLOOKUP($A569,Korrelation!$D$4:$D$1197,Korrelation!F$4:F$1197,"",0),DMAV_Modell!$G$6:$G$677,0)))</f>
        <v>0</v>
      </c>
      <c r="D569" s="57">
        <f>IF($A569="","",IF(_xlfn.XLOOKUP($A569,Korrelation!$D$4:$D$1197,Korrelation!G$4:G$1197,"-",0)="-",0,MATCH(_xlfn.XLOOKUP($A569,Korrelation!$D$4:$D$1197,Korrelation!G$4:G$1197,"",0),DMAV_Modell!$G$6:$G$677,0)))</f>
        <v>0</v>
      </c>
      <c r="E569" s="57">
        <f>IF($A569="","",IF(_xlfn.XLOOKUP($A569,Korrelation!$D$4:$D$1197,Korrelation!H$4:H$1197,"-",0)="-",0,MATCH(_xlfn.XLOOKUP($A569,Korrelation!$D$4:$D$1197,Korrelation!H$4:H$1197,"",0),DMAV_Dienste!$F$6:$F$140,0)))</f>
        <v>0</v>
      </c>
      <c r="F569" s="57">
        <f>IF($A569="","",IF(_xlfn.XLOOKUP($A569,Korrelation!$D$4:$D$1197,Korrelation!I$4:I$1197,"-",0)="-",0,MATCH(_xlfn.XLOOKUP($A569,Korrelation!$D$4:$D$1197,Korrelation!I$4:I$1197,"",0),DMAV_Dienste!$F$6:$F$140,0)))</f>
        <v>0</v>
      </c>
      <c r="G569" s="57">
        <f>IF($A569="","",IF(_xlfn.XLOOKUP($A569,Korrelation!$D$4:$D$1197,Korrelation!J$4:J$1197,"-",0)="-",0,MATCH(_xlfn.XLOOKUP($A569,Korrelation!$D$4:$D$1197,Korrelation!J$4:J$1197,"",0),DMAV_Dienste!$F$6:$F$140,0)))</f>
        <v>0</v>
      </c>
      <c r="H569" s="57">
        <f>IF($A569="","",IF(_xlfn.XLOOKUP($A569,Korrelation!$D$4:$D$1197,Korrelation!K$4:K$1197,"-",0)="-",0,MATCH(_xlfn.XLOOKUP($A569,Korrelation!$D$4:$D$1197,Korrelation!K$4:K$1197,"",0),'DM01-AV-CH'!$A$6:$A$834,0)))</f>
        <v>489</v>
      </c>
      <c r="J569" s="54" t="str" cm="1">
        <f t="array" aca="1" ref="J569" ca="1">IF(B569=0,IF(E569=0,"",HYPERLINK("#"&amp;RIGHT(CELL("adresse",OFFSET(DMAV_Dienste!$M$6,E569-1,0)),LEN(CELL("adresse",OFFSET(DMAV_Dienste!$M$6,E569-1,0)))-FIND("]",CELL("adresse",OFFSET(DMAV_Dienste!$M$6,E569-1,0)))),"Dienst")),HYPERLINK("#"&amp;RIGHT(CELL("adresse",OFFSET(DMAV_Modell!$N$6,B569-1,0)),LEN(CELL("adresse",OFFSET(DMAV_Modell!$N$6,B569-1,0)))-FIND("]",CELL("adresse",OFFSET(DMAV_Modell!$N$6,B569-1,0)))),"Modell"))</f>
        <v/>
      </c>
      <c r="K569" s="61" t="str" cm="1">
        <f t="array" ref="K569">IF($B569=0,IF($E569=0,"",IF(INDEX(DMAV_Dienste!P$6:P$140,$E569)="","",INDEX(DMAV_Dienste!P$6:P$140,$E569))),IF(INDEX(DMAV_Modell!Q$6:Q$838,$B569)="","",INDEX(DMAV_Modell!Q$6:Q$838,$B569)))</f>
        <v/>
      </c>
      <c r="L569" s="62" t="str" cm="1">
        <f t="array" ref="L569">IF($B569=0,IF($E569=0,"",IF(INDEX(DMAV_Dienste!O$6:O$140,$E569)="","",INDEX(DMAV_Dienste!O$6:O$140,$E569))),IF(INDEX(DMAV_Modell!P$6:P$838,$B569)="","",INDEX(DMAV_Modell!P$6:P$838,$B569)))</f>
        <v/>
      </c>
      <c r="M569" s="62" t="str" cm="1">
        <f t="array" ref="M569">IF($B569=0,IF($E569=0,"",IF(INDEX(DMAV_Dienste!Q$6:Q$140,$E569)="","",INDEX(DMAV_Dienste!Q$6:Q$140,$E569))),IF(INDEX(DMAV_Modell!R$6:R$838,$B569)="","",INDEX(DMAV_Modell!R$6:R$838,$B569)))</f>
        <v/>
      </c>
      <c r="N569" s="62" t="str" cm="1">
        <f t="array" ref="N569">IF($B569=0,IF($E569=0,"",IF(INDEX(DMAV_Dienste!T$6:T$140,$E569)="","",INDEX(DMAV_Dienste!T$6:T$140,$E569))),IF(INDEX(DMAV_Modell!U$6:U$838,$B569)="","",INDEX(DMAV_Modell!U$6:U$838,$B569)))</f>
        <v/>
      </c>
      <c r="O569" s="63" t="str" cm="1">
        <f t="array" aca="1" ref="O569" ca="1">IF(C569=0,IF(F569=0,"",HYPERLINK("#"&amp;RIGHT(CELL("adresse",OFFSET(DMAV_Dienste!$M$6,F569-1,0)),LEN(CELL("adresse",OFFSET(DMAV_Dienste!$M$6,F569-1,0)))-FIND("]",CELL("adresse",OFFSET(DMAV_Dienste!$M$6,F569-1,0)))),"Structure")),HYPERLINK("#"&amp;RIGHT(CELL("adresse",OFFSET(DMAV_Modell!$N$6,C569-1,0)),LEN(CELL("adresse",OFFSET(DMAV_Modell!$N$6,C569-1,0)))-FIND("]",CELL("adresse",OFFSET(DMAV_Modell!$N$6,C569-1,0)))),"Structure"))</f>
        <v/>
      </c>
      <c r="P569" s="64" t="str" cm="1">
        <f t="array" aca="1" ref="P569" ca="1">IF(D569=0,IF(G569=0,"",HYPERLINK("#"&amp;RIGHT(CELL("adresse",OFFSET(DMAV_Dienste!$M$6,G569-1,0)),LEN(CELL("adresse",OFFSET(DMAV_Dienste!$M$6,G569-1,0)))-FIND("]",CELL("adresse",OFFSET(DMAV_Dienste!$M$6,G569-1,0)))),"Substructure")),HYPERLINK("#"&amp;RIGHT(CELL("adresse",OFFSET(DMAV_Modell!$N$6,D569-1,0)),LEN(CELL("adresse",OFFSET(DMAV_Modell!$N$6,D569-1,0)))-FIND("]",CELL("adresse",OFFSET(DMAV_Modell!$N$6,D569-1,0)))),"Substructure"))</f>
        <v/>
      </c>
      <c r="R569" s="80"/>
      <c r="T569" s="93"/>
      <c r="U569" s="94"/>
      <c r="V569" s="95"/>
      <c r="W569" s="96"/>
      <c r="Y569" s="85"/>
      <c r="Z569" s="86"/>
      <c r="AA569" s="87"/>
      <c r="AB569" s="88"/>
      <c r="AD569" s="77"/>
      <c r="AF569" s="54" t="str" cm="1">
        <f t="array" aca="1" ref="AF569" ca="1">IF(H569=0,"",HYPERLINK("#"&amp;RIGHT(CELL("adresse",OFFSET('DM01-AV-CH'!$G$6,H569-1,0)),LEN(CELL("adresse",OFFSET('DM01-AV-CH'!$G$6,H569-1,0)))-FIND("]",CELL("adresse",OFFSET('DM01-AV-CH'!$G$6,H569-1,0)))),"Modell"))</f>
        <v>Modell</v>
      </c>
      <c r="AG569" s="72" t="str" cm="1">
        <f t="array" ref="AG569">IF($H569=0,"",IF(INDEX('DM01-AV-CH'!G$6:G$834,$H569)="","",INDEX('DM01-AV-CH'!G$6:G$834,$H569)))</f>
        <v>Liegenschaften</v>
      </c>
      <c r="AH569" s="73" t="str" cm="1">
        <f t="array" ref="AH569">IF($H569=0,"",IF(INDEX('DM01-AV-CH'!H$6:H$834,$H569)="","",INDEX('DM01-AV-CH'!H$6:H$834,$H569)))</f>
        <v>SelbstRecht</v>
      </c>
      <c r="AI569" s="74" t="str" cm="1">
        <f t="array" ref="AI569">IF($H569=0,"",IF(INDEX('DM01-AV-CH'!I$6:I$834,$H569)="","",INDEX('DM01-AV-CH'!I$6:I$834,$H569)))</f>
        <v>SelbstRecht_von</v>
      </c>
    </row>
    <row r="570" spans="1:35" ht="28.5" x14ac:dyDescent="0.25">
      <c r="A570" s="57">
        <v>565</v>
      </c>
      <c r="B570" s="57">
        <f>IF($A570="","",IF(_xlfn.XLOOKUP($A570,Korrelation!$D$4:$D$1197,Korrelation!E$4:E$1197,"-",0)="-",0,MATCH(_xlfn.XLOOKUP($A570,Korrelation!$D$4:$D$1197,Korrelation!E$4:E$1197,"",0),DMAV_Modell!$G$6:$G$677,0)))</f>
        <v>276</v>
      </c>
      <c r="C570" s="57">
        <f>IF($A570="","",IF(_xlfn.XLOOKUP($A570,Korrelation!$D$4:$D$1197,Korrelation!F$4:F$1197,"-",0)="-",0,MATCH(_xlfn.XLOOKUP($A570,Korrelation!$D$4:$D$1197,Korrelation!F$4:F$1197,"",0),DMAV_Modell!$G$6:$G$677,0)))</f>
        <v>0</v>
      </c>
      <c r="D570" s="57">
        <f>IF($A570="","",IF(_xlfn.XLOOKUP($A570,Korrelation!$D$4:$D$1197,Korrelation!G$4:G$1197,"-",0)="-",0,MATCH(_xlfn.XLOOKUP($A570,Korrelation!$D$4:$D$1197,Korrelation!G$4:G$1197,"",0),DMAV_Modell!$G$6:$G$677,0)))</f>
        <v>0</v>
      </c>
      <c r="E570" s="57">
        <f>IF($A570="","",IF(_xlfn.XLOOKUP($A570,Korrelation!$D$4:$D$1197,Korrelation!H$4:H$1197,"-",0)="-",0,MATCH(_xlfn.XLOOKUP($A570,Korrelation!$D$4:$D$1197,Korrelation!H$4:H$1197,"",0),DMAV_Dienste!$F$6:$F$140,0)))</f>
        <v>0</v>
      </c>
      <c r="F570" s="57">
        <f>IF($A570="","",IF(_xlfn.XLOOKUP($A570,Korrelation!$D$4:$D$1197,Korrelation!I$4:I$1197,"-",0)="-",0,MATCH(_xlfn.XLOOKUP($A570,Korrelation!$D$4:$D$1197,Korrelation!I$4:I$1197,"",0),DMAV_Dienste!$F$6:$F$140,0)))</f>
        <v>0</v>
      </c>
      <c r="G570" s="57">
        <f>IF($A570="","",IF(_xlfn.XLOOKUP($A570,Korrelation!$D$4:$D$1197,Korrelation!J$4:J$1197,"-",0)="-",0,MATCH(_xlfn.XLOOKUP($A570,Korrelation!$D$4:$D$1197,Korrelation!J$4:J$1197,"",0),DMAV_Dienste!$F$6:$F$140,0)))</f>
        <v>0</v>
      </c>
      <c r="H570" s="57">
        <f>IF($A570="","",IF(_xlfn.XLOOKUP($A570,Korrelation!$D$4:$D$1197,Korrelation!K$4:K$1197,"-",0)="-",0,MATCH(_xlfn.XLOOKUP($A570,Korrelation!$D$4:$D$1197,Korrelation!K$4:K$1197,"",0),'DM01-AV-CH'!$A$6:$A$834,0)))</f>
        <v>490</v>
      </c>
      <c r="J570" s="54" t="str" cm="1">
        <f t="array" aca="1" ref="J570" ca="1">IF(B570=0,IF(E570=0,"",HYPERLINK("#"&amp;RIGHT(CELL("adresse",OFFSET(DMAV_Dienste!$M$6,E570-1,0)),LEN(CELL("adresse",OFFSET(DMAV_Dienste!$M$6,E570-1,0)))-FIND("]",CELL("adresse",OFFSET(DMAV_Dienste!$M$6,E570-1,0)))),"Dienst")),HYPERLINK("#"&amp;RIGHT(CELL("adresse",OFFSET(DMAV_Modell!$N$6,B570-1,0)),LEN(CELL("adresse",OFFSET(DMAV_Modell!$N$6,B570-1,0)))-FIND("]",CELL("adresse",OFFSET(DMAV_Modell!$N$6,B570-1,0)))),"Modell"))</f>
        <v>Modell</v>
      </c>
      <c r="K570" s="61" t="str" cm="1">
        <f t="array" ref="K570">IF($B570=0,IF($E570=0,"",IF(INDEX(DMAV_Dienste!P$6:P$140,$E570)="","",INDEX(DMAV_Dienste!P$6:P$140,$E570))),IF(INDEX(DMAV_Modell!Q$6:Q$838,$B570)="","",INDEX(DMAV_Modell!Q$6:Q$838,$B570)))</f>
        <v>CLASS</v>
      </c>
      <c r="L570" s="62" t="str" cm="1">
        <f t="array" ref="L570">IF($B570=0,IF($E570=0,"",IF(INDEX(DMAV_Dienste!O$6:O$140,$E570)="","",INDEX(DMAV_Dienste!O$6:O$140,$E570))),IF(INDEX(DMAV_Modell!P$6:P$838,$B570)="","",INDEX(DMAV_Modell!P$6:P$838,$B570)))</f>
        <v>Grundstuecke</v>
      </c>
      <c r="M570" s="62" t="str" cm="1">
        <f t="array" ref="M570">IF($B570=0,IF($E570=0,"",IF(INDEX(DMAV_Dienste!Q$6:Q$140,$E570)="","",INDEX(DMAV_Dienste!Q$6:Q$140,$E570))),IF(INDEX(DMAV_Modell!R$6:R$838,$B570)="","",INDEX(DMAV_Modell!R$6:R$838,$B570)))</f>
        <v>SelbstaendigesDauerndesRecht</v>
      </c>
      <c r="N570" s="62" t="str" cm="1">
        <f t="array" ref="N570">IF($B570=0,IF($E570=0,"",IF(INDEX(DMAV_Dienste!T$6:T$140,$E570)="","",INDEX(DMAV_Dienste!T$6:T$140,$E570))),IF(INDEX(DMAV_Modell!U$6:U$838,$B570)="","",INDEX(DMAV_Modell!U$6:U$838,$B570)))</f>
        <v>NummerTeilgrundstueck</v>
      </c>
      <c r="O570" s="63" t="str" cm="1">
        <f t="array" aca="1" ref="O570" ca="1">IF(C570=0,IF(F570=0,"",HYPERLINK("#"&amp;RIGHT(CELL("adresse",OFFSET(DMAV_Dienste!$M$6,F570-1,0)),LEN(CELL("adresse",OFFSET(DMAV_Dienste!$M$6,F570-1,0)))-FIND("]",CELL("adresse",OFFSET(DMAV_Dienste!$M$6,F570-1,0)))),"Structure")),HYPERLINK("#"&amp;RIGHT(CELL("adresse",OFFSET(DMAV_Modell!$N$6,C570-1,0)),LEN(CELL("adresse",OFFSET(DMAV_Modell!$N$6,C570-1,0)))-FIND("]",CELL("adresse",OFFSET(DMAV_Modell!$N$6,C570-1,0)))),"Structure"))</f>
        <v/>
      </c>
      <c r="P570" s="64" t="str" cm="1">
        <f t="array" aca="1" ref="P570" ca="1">IF(D570=0,IF(G570=0,"",HYPERLINK("#"&amp;RIGHT(CELL("adresse",OFFSET(DMAV_Dienste!$M$6,G570-1,0)),LEN(CELL("adresse",OFFSET(DMAV_Dienste!$M$6,G570-1,0)))-FIND("]",CELL("adresse",OFFSET(DMAV_Dienste!$M$6,G570-1,0)))),"Substructure")),HYPERLINK("#"&amp;RIGHT(CELL("adresse",OFFSET(DMAV_Modell!$N$6,D570-1,0)),LEN(CELL("adresse",OFFSET(DMAV_Modell!$N$6,D570-1,0)))-FIND("]",CELL("adresse",OFFSET(DMAV_Modell!$N$6,D570-1,0)))),"Substructure"))</f>
        <v/>
      </c>
      <c r="R570" s="80"/>
      <c r="T570" s="93"/>
      <c r="U570" s="94"/>
      <c r="V570" s="95"/>
      <c r="W570" s="96"/>
      <c r="Y570" s="85" t="s">
        <v>3129</v>
      </c>
      <c r="Z570" s="86" t="s">
        <v>2980</v>
      </c>
      <c r="AA570" s="87" t="s">
        <v>3019</v>
      </c>
      <c r="AB570" s="88"/>
      <c r="AD570" s="77"/>
      <c r="AF570" s="54" t="str" cm="1">
        <f t="array" aca="1" ref="AF570" ca="1">IF(H570=0,"",HYPERLINK("#"&amp;RIGHT(CELL("adresse",OFFSET('DM01-AV-CH'!$G$6,H570-1,0)),LEN(CELL("adresse",OFFSET('DM01-AV-CH'!$G$6,H570-1,0)))-FIND("]",CELL("adresse",OFFSET('DM01-AV-CH'!$G$6,H570-1,0)))),"Modell"))</f>
        <v>Modell</v>
      </c>
      <c r="AG570" s="72" t="str" cm="1">
        <f t="array" ref="AG570">IF($H570=0,"",IF(INDEX('DM01-AV-CH'!G$6:G$834,$H570)="","",INDEX('DM01-AV-CH'!G$6:G$834,$H570)))</f>
        <v>Liegenschaften</v>
      </c>
      <c r="AH570" s="73" t="str" cm="1">
        <f t="array" ref="AH570">IF($H570=0,"",IF(INDEX('DM01-AV-CH'!H$6:H$834,$H570)="","",INDEX('DM01-AV-CH'!H$6:H$834,$H570)))</f>
        <v>SelbstRecht</v>
      </c>
      <c r="AI570" s="74" t="str" cm="1">
        <f t="array" ref="AI570">IF($H570=0,"",IF(INDEX('DM01-AV-CH'!I$6:I$834,$H570)="","",INDEX('DM01-AV-CH'!I$6:I$834,$H570)))</f>
        <v>NummerTeilGrundstueck</v>
      </c>
    </row>
    <row r="571" spans="1:35" ht="28.5" x14ac:dyDescent="0.25">
      <c r="A571" s="57">
        <v>566</v>
      </c>
      <c r="B571" s="57">
        <f>IF($A571="","",IF(_xlfn.XLOOKUP($A571,Korrelation!$D$4:$D$1197,Korrelation!E$4:E$1197,"-",0)="-",0,MATCH(_xlfn.XLOOKUP($A571,Korrelation!$D$4:$D$1197,Korrelation!E$4:E$1197,"",0),DMAV_Modell!$G$6:$G$677,0)))</f>
        <v>277</v>
      </c>
      <c r="C571" s="57">
        <f>IF($A571="","",IF(_xlfn.XLOOKUP($A571,Korrelation!$D$4:$D$1197,Korrelation!F$4:F$1197,"-",0)="-",0,MATCH(_xlfn.XLOOKUP($A571,Korrelation!$D$4:$D$1197,Korrelation!F$4:F$1197,"",0),DMAV_Modell!$G$6:$G$677,0)))</f>
        <v>0</v>
      </c>
      <c r="D571" s="57">
        <f>IF($A571="","",IF(_xlfn.XLOOKUP($A571,Korrelation!$D$4:$D$1197,Korrelation!G$4:G$1197,"-",0)="-",0,MATCH(_xlfn.XLOOKUP($A571,Korrelation!$D$4:$D$1197,Korrelation!G$4:G$1197,"",0),DMAV_Modell!$G$6:$G$677,0)))</f>
        <v>0</v>
      </c>
      <c r="E571" s="57">
        <f>IF($A571="","",IF(_xlfn.XLOOKUP($A571,Korrelation!$D$4:$D$1197,Korrelation!H$4:H$1197,"-",0)="-",0,MATCH(_xlfn.XLOOKUP($A571,Korrelation!$D$4:$D$1197,Korrelation!H$4:H$1197,"",0),DMAV_Dienste!$F$6:$F$140,0)))</f>
        <v>0</v>
      </c>
      <c r="F571" s="57">
        <f>IF($A571="","",IF(_xlfn.XLOOKUP($A571,Korrelation!$D$4:$D$1197,Korrelation!I$4:I$1197,"-",0)="-",0,MATCH(_xlfn.XLOOKUP($A571,Korrelation!$D$4:$D$1197,Korrelation!I$4:I$1197,"",0),DMAV_Dienste!$F$6:$F$140,0)))</f>
        <v>0</v>
      </c>
      <c r="G571" s="57">
        <f>IF($A571="","",IF(_xlfn.XLOOKUP($A571,Korrelation!$D$4:$D$1197,Korrelation!J$4:J$1197,"-",0)="-",0,MATCH(_xlfn.XLOOKUP($A571,Korrelation!$D$4:$D$1197,Korrelation!J$4:J$1197,"",0),DMAV_Dienste!$F$6:$F$140,0)))</f>
        <v>0</v>
      </c>
      <c r="H571" s="57">
        <f>IF($A571="","",IF(_xlfn.XLOOKUP($A571,Korrelation!$D$4:$D$1197,Korrelation!K$4:K$1197,"-",0)="-",0,MATCH(_xlfn.XLOOKUP($A571,Korrelation!$D$4:$D$1197,Korrelation!K$4:K$1197,"",0),'DM01-AV-CH'!$A$6:$A$834,0)))</f>
        <v>491</v>
      </c>
      <c r="J571" s="54" t="str" cm="1">
        <f t="array" aca="1" ref="J571" ca="1">IF(B571=0,IF(E571=0,"",HYPERLINK("#"&amp;RIGHT(CELL("adresse",OFFSET(DMAV_Dienste!$M$6,E571-1,0)),LEN(CELL("adresse",OFFSET(DMAV_Dienste!$M$6,E571-1,0)))-FIND("]",CELL("adresse",OFFSET(DMAV_Dienste!$M$6,E571-1,0)))),"Dienst")),HYPERLINK("#"&amp;RIGHT(CELL("adresse",OFFSET(DMAV_Modell!$N$6,B571-1,0)),LEN(CELL("adresse",OFFSET(DMAV_Modell!$N$6,B571-1,0)))-FIND("]",CELL("adresse",OFFSET(DMAV_Modell!$N$6,B571-1,0)))),"Modell"))</f>
        <v>Modell</v>
      </c>
      <c r="K571" s="61" t="str" cm="1">
        <f t="array" ref="K571">IF($B571=0,IF($E571=0,"",IF(INDEX(DMAV_Dienste!P$6:P$140,$E571)="","",INDEX(DMAV_Dienste!P$6:P$140,$E571))),IF(INDEX(DMAV_Modell!Q$6:Q$838,$B571)="","",INDEX(DMAV_Modell!Q$6:Q$838,$B571)))</f>
        <v>CLASS</v>
      </c>
      <c r="L571" s="62" t="str" cm="1">
        <f t="array" ref="L571">IF($B571=0,IF($E571=0,"",IF(INDEX(DMAV_Dienste!O$6:O$140,$E571)="","",INDEX(DMAV_Dienste!O$6:O$140,$E571))),IF(INDEX(DMAV_Modell!P$6:P$838,$B571)="","",INDEX(DMAV_Modell!P$6:P$838,$B571)))</f>
        <v>Grundstuecke</v>
      </c>
      <c r="M571" s="62" t="str" cm="1">
        <f t="array" ref="M571">IF($B571=0,IF($E571=0,"",IF(INDEX(DMAV_Dienste!Q$6:Q$140,$E571)="","",INDEX(DMAV_Dienste!Q$6:Q$140,$E571))),IF(INDEX(DMAV_Modell!R$6:R$838,$B571)="","",INDEX(DMAV_Modell!R$6:R$838,$B571)))</f>
        <v>SelbstaendigesDauerndesRecht</v>
      </c>
      <c r="N571" s="62" t="str" cm="1">
        <f t="array" ref="N571">IF($B571=0,IF($E571=0,"",IF(INDEX(DMAV_Dienste!T$6:T$140,$E571)="","",INDEX(DMAV_Dienste!T$6:T$140,$E571))),IF(INDEX(DMAV_Modell!U$6:U$838,$B571)="","",INDEX(DMAV_Modell!U$6:U$838,$B571)))</f>
        <v>Geometrie</v>
      </c>
      <c r="O571" s="63" t="str" cm="1">
        <f t="array" aca="1" ref="O571" ca="1">IF(C571=0,IF(F571=0,"",HYPERLINK("#"&amp;RIGHT(CELL("adresse",OFFSET(DMAV_Dienste!$M$6,F571-1,0)),LEN(CELL("adresse",OFFSET(DMAV_Dienste!$M$6,F571-1,0)))-FIND("]",CELL("adresse",OFFSET(DMAV_Dienste!$M$6,F571-1,0)))),"Structure")),HYPERLINK("#"&amp;RIGHT(CELL("adresse",OFFSET(DMAV_Modell!$N$6,C571-1,0)),LEN(CELL("adresse",OFFSET(DMAV_Modell!$N$6,C571-1,0)))-FIND("]",CELL("adresse",OFFSET(DMAV_Modell!$N$6,C571-1,0)))),"Structure"))</f>
        <v/>
      </c>
      <c r="P571" s="64" t="str" cm="1">
        <f t="array" aca="1" ref="P571" ca="1">IF(D571=0,IF(G571=0,"",HYPERLINK("#"&amp;RIGHT(CELL("adresse",OFFSET(DMAV_Dienste!$M$6,G571-1,0)),LEN(CELL("adresse",OFFSET(DMAV_Dienste!$M$6,G571-1,0)))-FIND("]",CELL("adresse",OFFSET(DMAV_Dienste!$M$6,G571-1,0)))),"Substructure")),HYPERLINK("#"&amp;RIGHT(CELL("adresse",OFFSET(DMAV_Modell!$N$6,D571-1,0)),LEN(CELL("adresse",OFFSET(DMAV_Modell!$N$6,D571-1,0)))-FIND("]",CELL("adresse",OFFSET(DMAV_Modell!$N$6,D571-1,0)))),"Substructure"))</f>
        <v/>
      </c>
      <c r="R571" s="80"/>
      <c r="T571" s="93"/>
      <c r="U571" s="94"/>
      <c r="V571" s="95"/>
      <c r="W571" s="96"/>
      <c r="Y571" s="85" t="s">
        <v>3129</v>
      </c>
      <c r="Z571" s="86" t="s">
        <v>2980</v>
      </c>
      <c r="AA571" s="87" t="s">
        <v>3020</v>
      </c>
      <c r="AB571" s="88"/>
      <c r="AD571" s="77"/>
      <c r="AF571" s="54" t="str" cm="1">
        <f t="array" aca="1" ref="AF571" ca="1">IF(H571=0,"",HYPERLINK("#"&amp;RIGHT(CELL("adresse",OFFSET('DM01-AV-CH'!$G$6,H571-1,0)),LEN(CELL("adresse",OFFSET('DM01-AV-CH'!$G$6,H571-1,0)))-FIND("]",CELL("adresse",OFFSET('DM01-AV-CH'!$G$6,H571-1,0)))),"Modell"))</f>
        <v>Modell</v>
      </c>
      <c r="AG571" s="72" t="str" cm="1">
        <f t="array" ref="AG571">IF($H571=0,"",IF(INDEX('DM01-AV-CH'!G$6:G$834,$H571)="","",INDEX('DM01-AV-CH'!G$6:G$834,$H571)))</f>
        <v>Liegenschaften</v>
      </c>
      <c r="AH571" s="73" t="str" cm="1">
        <f t="array" ref="AH571">IF($H571=0,"",IF(INDEX('DM01-AV-CH'!H$6:H$834,$H571)="","",INDEX('DM01-AV-CH'!H$6:H$834,$H571)))</f>
        <v>SelbstRecht</v>
      </c>
      <c r="AI571" s="74" t="str" cm="1">
        <f t="array" ref="AI571">IF($H571=0,"",IF(INDEX('DM01-AV-CH'!I$6:I$834,$H571)="","",INDEX('DM01-AV-CH'!I$6:I$834,$H571)))</f>
        <v>Geometrie</v>
      </c>
    </row>
    <row r="572" spans="1:35" ht="28.5" x14ac:dyDescent="0.25">
      <c r="A572" s="57">
        <v>567</v>
      </c>
      <c r="B572" s="57">
        <f>IF($A572="","",IF(_xlfn.XLOOKUP($A572,Korrelation!$D$4:$D$1197,Korrelation!E$4:E$1197,"-",0)="-",0,MATCH(_xlfn.XLOOKUP($A572,Korrelation!$D$4:$D$1197,Korrelation!E$4:E$1197,"",0),DMAV_Modell!$G$6:$G$677,0)))</f>
        <v>278</v>
      </c>
      <c r="C572" s="57">
        <f>IF($A572="","",IF(_xlfn.XLOOKUP($A572,Korrelation!$D$4:$D$1197,Korrelation!F$4:F$1197,"-",0)="-",0,MATCH(_xlfn.XLOOKUP($A572,Korrelation!$D$4:$D$1197,Korrelation!F$4:F$1197,"",0),DMAV_Modell!$G$6:$G$677,0)))</f>
        <v>0</v>
      </c>
      <c r="D572" s="57">
        <f>IF($A572="","",IF(_xlfn.XLOOKUP($A572,Korrelation!$D$4:$D$1197,Korrelation!G$4:G$1197,"-",0)="-",0,MATCH(_xlfn.XLOOKUP($A572,Korrelation!$D$4:$D$1197,Korrelation!G$4:G$1197,"",0),DMAV_Modell!$G$6:$G$677,0)))</f>
        <v>0</v>
      </c>
      <c r="E572" s="57">
        <f>IF($A572="","",IF(_xlfn.XLOOKUP($A572,Korrelation!$D$4:$D$1197,Korrelation!H$4:H$1197,"-",0)="-",0,MATCH(_xlfn.XLOOKUP($A572,Korrelation!$D$4:$D$1197,Korrelation!H$4:H$1197,"",0),DMAV_Dienste!$F$6:$F$140,0)))</f>
        <v>0</v>
      </c>
      <c r="F572" s="57">
        <f>IF($A572="","",IF(_xlfn.XLOOKUP($A572,Korrelation!$D$4:$D$1197,Korrelation!I$4:I$1197,"-",0)="-",0,MATCH(_xlfn.XLOOKUP($A572,Korrelation!$D$4:$D$1197,Korrelation!I$4:I$1197,"",0),DMAV_Dienste!$F$6:$F$140,0)))</f>
        <v>0</v>
      </c>
      <c r="G572" s="57">
        <f>IF($A572="","",IF(_xlfn.XLOOKUP($A572,Korrelation!$D$4:$D$1197,Korrelation!J$4:J$1197,"-",0)="-",0,MATCH(_xlfn.XLOOKUP($A572,Korrelation!$D$4:$D$1197,Korrelation!J$4:J$1197,"",0),DMAV_Dienste!$F$6:$F$140,0)))</f>
        <v>0</v>
      </c>
      <c r="H572" s="57">
        <f>IF($A572="","",IF(_xlfn.XLOOKUP($A572,Korrelation!$D$4:$D$1197,Korrelation!K$4:K$1197,"-",0)="-",0,MATCH(_xlfn.XLOOKUP($A572,Korrelation!$D$4:$D$1197,Korrelation!K$4:K$1197,"",0),'DM01-AV-CH'!$A$6:$A$834,0)))</f>
        <v>492</v>
      </c>
      <c r="J572" s="54" t="str" cm="1">
        <f t="array" aca="1" ref="J572" ca="1">IF(B572=0,IF(E572=0,"",HYPERLINK("#"&amp;RIGHT(CELL("adresse",OFFSET(DMAV_Dienste!$M$6,E572-1,0)),LEN(CELL("adresse",OFFSET(DMAV_Dienste!$M$6,E572-1,0)))-FIND("]",CELL("adresse",OFFSET(DMAV_Dienste!$M$6,E572-1,0)))),"Dienst")),HYPERLINK("#"&amp;RIGHT(CELL("adresse",OFFSET(DMAV_Modell!$N$6,B572-1,0)),LEN(CELL("adresse",OFFSET(DMAV_Modell!$N$6,B572-1,0)))-FIND("]",CELL("adresse",OFFSET(DMAV_Modell!$N$6,B572-1,0)))),"Modell"))</f>
        <v>Modell</v>
      </c>
      <c r="K572" s="61" t="str" cm="1">
        <f t="array" ref="K572">IF($B572=0,IF($E572=0,"",IF(INDEX(DMAV_Dienste!P$6:P$140,$E572)="","",INDEX(DMAV_Dienste!P$6:P$140,$E572))),IF(INDEX(DMAV_Modell!Q$6:Q$838,$B572)="","",INDEX(DMAV_Modell!Q$6:Q$838,$B572)))</f>
        <v>CLASS</v>
      </c>
      <c r="L572" s="62" t="str" cm="1">
        <f t="array" ref="L572">IF($B572=0,IF($E572=0,"",IF(INDEX(DMAV_Dienste!O$6:O$140,$E572)="","",INDEX(DMAV_Dienste!O$6:O$140,$E572))),IF(INDEX(DMAV_Modell!P$6:P$838,$B572)="","",INDEX(DMAV_Modell!P$6:P$838,$B572)))</f>
        <v>Grundstuecke</v>
      </c>
      <c r="M572" s="62" t="str" cm="1">
        <f t="array" ref="M572">IF($B572=0,IF($E572=0,"",IF(INDEX(DMAV_Dienste!Q$6:Q$140,$E572)="","",INDEX(DMAV_Dienste!Q$6:Q$140,$E572))),IF(INDEX(DMAV_Modell!R$6:R$838,$B572)="","",INDEX(DMAV_Modell!R$6:R$838,$B572)))</f>
        <v>SelbstaendigesDauerndesRecht</v>
      </c>
      <c r="N572" s="62" t="str" cm="1">
        <f t="array" ref="N572">IF($B572=0,IF($E572=0,"",IF(INDEX(DMAV_Dienste!T$6:T$140,$E572)="","",INDEX(DMAV_Dienste!T$6:T$140,$E572))),IF(INDEX(DMAV_Modell!U$6:U$838,$B572)="","",INDEX(DMAV_Modell!U$6:U$838,$B572)))</f>
        <v>Flaechenmass</v>
      </c>
      <c r="O572" s="63" t="str" cm="1">
        <f t="array" aca="1" ref="O572" ca="1">IF(C572=0,IF(F572=0,"",HYPERLINK("#"&amp;RIGHT(CELL("adresse",OFFSET(DMAV_Dienste!$M$6,F572-1,0)),LEN(CELL("adresse",OFFSET(DMAV_Dienste!$M$6,F572-1,0)))-FIND("]",CELL("adresse",OFFSET(DMAV_Dienste!$M$6,F572-1,0)))),"Structure")),HYPERLINK("#"&amp;RIGHT(CELL("adresse",OFFSET(DMAV_Modell!$N$6,C572-1,0)),LEN(CELL("adresse",OFFSET(DMAV_Modell!$N$6,C572-1,0)))-FIND("]",CELL("adresse",OFFSET(DMAV_Modell!$N$6,C572-1,0)))),"Structure"))</f>
        <v/>
      </c>
      <c r="P572" s="64" t="str" cm="1">
        <f t="array" aca="1" ref="P572" ca="1">IF(D572=0,IF(G572=0,"",HYPERLINK("#"&amp;RIGHT(CELL("adresse",OFFSET(DMAV_Dienste!$M$6,G572-1,0)),LEN(CELL("adresse",OFFSET(DMAV_Dienste!$M$6,G572-1,0)))-FIND("]",CELL("adresse",OFFSET(DMAV_Dienste!$M$6,G572-1,0)))),"Substructure")),HYPERLINK("#"&amp;RIGHT(CELL("adresse",OFFSET(DMAV_Modell!$N$6,D572-1,0)),LEN(CELL("adresse",OFFSET(DMAV_Modell!$N$6,D572-1,0)))-FIND("]",CELL("adresse",OFFSET(DMAV_Modell!$N$6,D572-1,0)))),"Substructure"))</f>
        <v/>
      </c>
      <c r="R572" s="80"/>
      <c r="T572" s="93"/>
      <c r="U572" s="94"/>
      <c r="V572" s="95"/>
      <c r="W572" s="96"/>
      <c r="Y572" s="85" t="s">
        <v>3129</v>
      </c>
      <c r="Z572" s="86" t="s">
        <v>2980</v>
      </c>
      <c r="AA572" s="87" t="s">
        <v>3021</v>
      </c>
      <c r="AB572" s="88"/>
      <c r="AD572" s="77"/>
      <c r="AF572" s="54" t="str" cm="1">
        <f t="array" aca="1" ref="AF572" ca="1">IF(H572=0,"",HYPERLINK("#"&amp;RIGHT(CELL("adresse",OFFSET('DM01-AV-CH'!$G$6,H572-1,0)),LEN(CELL("adresse",OFFSET('DM01-AV-CH'!$G$6,H572-1,0)))-FIND("]",CELL("adresse",OFFSET('DM01-AV-CH'!$G$6,H572-1,0)))),"Modell"))</f>
        <v>Modell</v>
      </c>
      <c r="AG572" s="72" t="str" cm="1">
        <f t="array" ref="AG572">IF($H572=0,"",IF(INDEX('DM01-AV-CH'!G$6:G$834,$H572)="","",INDEX('DM01-AV-CH'!G$6:G$834,$H572)))</f>
        <v>Liegenschaften</v>
      </c>
      <c r="AH572" s="73" t="str" cm="1">
        <f t="array" ref="AH572">IF($H572=0,"",IF(INDEX('DM01-AV-CH'!H$6:H$834,$H572)="","",INDEX('DM01-AV-CH'!H$6:H$834,$H572)))</f>
        <v>SelbstRecht</v>
      </c>
      <c r="AI572" s="74" t="str" cm="1">
        <f t="array" ref="AI572">IF($H572=0,"",IF(INDEX('DM01-AV-CH'!I$6:I$834,$H572)="","",INDEX('DM01-AV-CH'!I$6:I$834,$H572)))</f>
        <v>Flaechenmass</v>
      </c>
    </row>
    <row r="573" spans="1:35" ht="85.5" x14ac:dyDescent="0.25">
      <c r="A573" s="57">
        <v>568</v>
      </c>
      <c r="B573" s="57">
        <f>IF($A573="","",IF(_xlfn.XLOOKUP($A573,Korrelation!$D$4:$D$1197,Korrelation!E$4:E$1197,"-",0)="-",0,MATCH(_xlfn.XLOOKUP($A573,Korrelation!$D$4:$D$1197,Korrelation!E$4:E$1197,"",0),DMAV_Modell!$G$6:$G$677,0)))</f>
        <v>279</v>
      </c>
      <c r="C573" s="57">
        <f>IF($A573="","",IF(_xlfn.XLOOKUP($A573,Korrelation!$D$4:$D$1197,Korrelation!F$4:F$1197,"-",0)="-",0,MATCH(_xlfn.XLOOKUP($A573,Korrelation!$D$4:$D$1197,Korrelation!F$4:F$1197,"",0),DMAV_Modell!$G$6:$G$677,0)))</f>
        <v>0</v>
      </c>
      <c r="D573" s="57">
        <f>IF($A573="","",IF(_xlfn.XLOOKUP($A573,Korrelation!$D$4:$D$1197,Korrelation!G$4:G$1197,"-",0)="-",0,MATCH(_xlfn.XLOOKUP($A573,Korrelation!$D$4:$D$1197,Korrelation!G$4:G$1197,"",0),DMAV_Modell!$G$6:$G$677,0)))</f>
        <v>0</v>
      </c>
      <c r="E573" s="57">
        <f>IF($A573="","",IF(_xlfn.XLOOKUP($A573,Korrelation!$D$4:$D$1197,Korrelation!H$4:H$1197,"-",0)="-",0,MATCH(_xlfn.XLOOKUP($A573,Korrelation!$D$4:$D$1197,Korrelation!H$4:H$1197,"",0),DMAV_Dienste!$F$6:$F$140,0)))</f>
        <v>0</v>
      </c>
      <c r="F573" s="57">
        <f>IF($A573="","",IF(_xlfn.XLOOKUP($A573,Korrelation!$D$4:$D$1197,Korrelation!I$4:I$1197,"-",0)="-",0,MATCH(_xlfn.XLOOKUP($A573,Korrelation!$D$4:$D$1197,Korrelation!I$4:I$1197,"",0),DMAV_Dienste!$F$6:$F$140,0)))</f>
        <v>0</v>
      </c>
      <c r="G573" s="57">
        <f>IF($A573="","",IF(_xlfn.XLOOKUP($A573,Korrelation!$D$4:$D$1197,Korrelation!J$4:J$1197,"-",0)="-",0,MATCH(_xlfn.XLOOKUP($A573,Korrelation!$D$4:$D$1197,Korrelation!J$4:J$1197,"",0),DMAV_Dienste!$F$6:$F$140,0)))</f>
        <v>0</v>
      </c>
      <c r="H573" s="57">
        <f>IF($A573="","",IF(_xlfn.XLOOKUP($A573,Korrelation!$D$4:$D$1197,Korrelation!K$4:K$1197,"-",0)="-",0,MATCH(_xlfn.XLOOKUP($A573,Korrelation!$D$4:$D$1197,Korrelation!K$4:K$1197,"",0),'DM01-AV-CH'!$A$6:$A$834,0)))</f>
        <v>491</v>
      </c>
      <c r="J573" s="54" t="str" cm="1">
        <f t="array" aca="1" ref="J573" ca="1">IF(B573=0,IF(E573=0,"",HYPERLINK("#"&amp;RIGHT(CELL("adresse",OFFSET(DMAV_Dienste!$M$6,E573-1,0)),LEN(CELL("adresse",OFFSET(DMAV_Dienste!$M$6,E573-1,0)))-FIND("]",CELL("adresse",OFFSET(DMAV_Dienste!$M$6,E573-1,0)))),"Dienst")),HYPERLINK("#"&amp;RIGHT(CELL("adresse",OFFSET(DMAV_Modell!$N$6,B573-1,0)),LEN(CELL("adresse",OFFSET(DMAV_Modell!$N$6,B573-1,0)))-FIND("]",CELL("adresse",OFFSET(DMAV_Modell!$N$6,B573-1,0)))),"Modell"))</f>
        <v>Modell</v>
      </c>
      <c r="K573" s="61" t="str" cm="1">
        <f t="array" ref="K573">IF($B573=0,IF($E573=0,"",IF(INDEX(DMAV_Dienste!P$6:P$140,$E573)="","",INDEX(DMAV_Dienste!P$6:P$140,$E573))),IF(INDEX(DMAV_Modell!Q$6:Q$838,$B573)="","",INDEX(DMAV_Modell!Q$6:Q$838,$B573)))</f>
        <v>CLASS</v>
      </c>
      <c r="L573" s="62" t="str" cm="1">
        <f t="array" ref="L573">IF($B573=0,IF($E573=0,"",IF(INDEX(DMAV_Dienste!O$6:O$140,$E573)="","",INDEX(DMAV_Dienste!O$6:O$140,$E573))),IF(INDEX(DMAV_Modell!P$6:P$838,$B573)="","",INDEX(DMAV_Modell!P$6:P$838,$B573)))</f>
        <v>Grundstuecke</v>
      </c>
      <c r="M573" s="62" t="str" cm="1">
        <f t="array" ref="M573">IF($B573=0,IF($E573=0,"",IF(INDEX(DMAV_Dienste!Q$6:Q$140,$E573)="","",INDEX(DMAV_Dienste!Q$6:Q$140,$E573))),IF(INDEX(DMAV_Modell!R$6:R$838,$B573)="","",INDEX(DMAV_Modell!R$6:R$838,$B573)))</f>
        <v>SelbstaendigesDauerndesRecht</v>
      </c>
      <c r="N573" s="62" t="str" cm="1">
        <f t="array" ref="N573">IF($B573=0,IF($E573=0,"",IF(INDEX(DMAV_Dienste!T$6:T$140,$E573)="","",INDEX(DMAV_Dienste!T$6:T$140,$E573))),IF(INDEX(DMAV_Modell!U$6:U$838,$B573)="","",INDEX(DMAV_Modell!U$6:U$838,$B573)))</f>
        <v>Streitig</v>
      </c>
      <c r="O573" s="63" t="str" cm="1">
        <f t="array" aca="1" ref="O573" ca="1">IF(C573=0,IF(F573=0,"",HYPERLINK("#"&amp;RIGHT(CELL("adresse",OFFSET(DMAV_Dienste!$M$6,F573-1,0)),LEN(CELL("adresse",OFFSET(DMAV_Dienste!$M$6,F573-1,0)))-FIND("]",CELL("adresse",OFFSET(DMAV_Dienste!$M$6,F573-1,0)))),"Structure")),HYPERLINK("#"&amp;RIGHT(CELL("adresse",OFFSET(DMAV_Modell!$N$6,C573-1,0)),LEN(CELL("adresse",OFFSET(DMAV_Modell!$N$6,C573-1,0)))-FIND("]",CELL("adresse",OFFSET(DMAV_Modell!$N$6,C573-1,0)))),"Structure"))</f>
        <v/>
      </c>
      <c r="P573" s="64" t="str" cm="1">
        <f t="array" aca="1" ref="P573" ca="1">IF(D573=0,IF(G573=0,"",HYPERLINK("#"&amp;RIGHT(CELL("adresse",OFFSET(DMAV_Dienste!$M$6,G573-1,0)),LEN(CELL("adresse",OFFSET(DMAV_Dienste!$M$6,G573-1,0)))-FIND("]",CELL("adresse",OFFSET(DMAV_Dienste!$M$6,G573-1,0)))),"Substructure")),HYPERLINK("#"&amp;RIGHT(CELL("adresse",OFFSET(DMAV_Modell!$N$6,D573-1,0)),LEN(CELL("adresse",OFFSET(DMAV_Modell!$N$6,D573-1,0)))-FIND("]",CELL("adresse",OFFSET(DMAV_Modell!$N$6,D573-1,0)))),"Substructure"))</f>
        <v/>
      </c>
      <c r="R573" s="80"/>
      <c r="T573" s="93" t="s">
        <v>3324</v>
      </c>
      <c r="U573" s="94" t="s">
        <v>1286</v>
      </c>
      <c r="V573" s="95"/>
      <c r="W573" s="96"/>
      <c r="Y573" s="85" t="s">
        <v>3130</v>
      </c>
      <c r="Z573" s="86" t="s">
        <v>2746</v>
      </c>
      <c r="AA573" s="87" t="s">
        <v>3131</v>
      </c>
      <c r="AB573" s="88" t="s">
        <v>3132</v>
      </c>
      <c r="AD573" s="77"/>
      <c r="AF573" s="54" t="str" cm="1">
        <f t="array" aca="1" ref="AF573" ca="1">IF(H573=0,"",HYPERLINK("#"&amp;RIGHT(CELL("adresse",OFFSET('DM01-AV-CH'!$G$6,H573-1,0)),LEN(CELL("adresse",OFFSET('DM01-AV-CH'!$G$6,H573-1,0)))-FIND("]",CELL("adresse",OFFSET('DM01-AV-CH'!$G$6,H573-1,0)))),"Modell"))</f>
        <v>Modell</v>
      </c>
      <c r="AG573" s="72" t="str" cm="1">
        <f t="array" ref="AG573">IF($H573=0,"",IF(INDEX('DM01-AV-CH'!G$6:G$834,$H573)="","",INDEX('DM01-AV-CH'!G$6:G$834,$H573)))</f>
        <v>Liegenschaften</v>
      </c>
      <c r="AH573" s="73" t="str" cm="1">
        <f t="array" ref="AH573">IF($H573=0,"",IF(INDEX('DM01-AV-CH'!H$6:H$834,$H573)="","",INDEX('DM01-AV-CH'!H$6:H$834,$H573)))</f>
        <v>SelbstRecht</v>
      </c>
      <c r="AI573" s="74" t="str" cm="1">
        <f t="array" ref="AI573">IF($H573=0,"",IF(INDEX('DM01-AV-CH'!I$6:I$834,$H573)="","",INDEX('DM01-AV-CH'!I$6:I$834,$H573)))</f>
        <v>Geometrie</v>
      </c>
    </row>
    <row r="574" spans="1:35" ht="99.75" x14ac:dyDescent="0.25">
      <c r="A574" s="57">
        <v>569</v>
      </c>
      <c r="B574" s="57">
        <f>IF($A574="","",IF(_xlfn.XLOOKUP($A574,Korrelation!$D$4:$D$1197,Korrelation!E$4:E$1197,"-",0)="-",0,MATCH(_xlfn.XLOOKUP($A574,Korrelation!$D$4:$D$1197,Korrelation!E$4:E$1197,"",0),DMAV_Modell!$G$6:$G$677,0)))</f>
        <v>280</v>
      </c>
      <c r="C574" s="57">
        <f>IF($A574="","",IF(_xlfn.XLOOKUP($A574,Korrelation!$D$4:$D$1197,Korrelation!F$4:F$1197,"-",0)="-",0,MATCH(_xlfn.XLOOKUP($A574,Korrelation!$D$4:$D$1197,Korrelation!F$4:F$1197,"",0),DMAV_Modell!$G$6:$G$677,0)))</f>
        <v>0</v>
      </c>
      <c r="D574" s="57">
        <f>IF($A574="","",IF(_xlfn.XLOOKUP($A574,Korrelation!$D$4:$D$1197,Korrelation!G$4:G$1197,"-",0)="-",0,MATCH(_xlfn.XLOOKUP($A574,Korrelation!$D$4:$D$1197,Korrelation!G$4:G$1197,"",0),DMAV_Modell!$G$6:$G$677,0)))</f>
        <v>0</v>
      </c>
      <c r="E574" s="57">
        <f>IF($A574="","",IF(_xlfn.XLOOKUP($A574,Korrelation!$D$4:$D$1197,Korrelation!H$4:H$1197,"-",0)="-",0,MATCH(_xlfn.XLOOKUP($A574,Korrelation!$D$4:$D$1197,Korrelation!H$4:H$1197,"",0),DMAV_Dienste!$F$6:$F$140,0)))</f>
        <v>0</v>
      </c>
      <c r="F574" s="57">
        <f>IF($A574="","",IF(_xlfn.XLOOKUP($A574,Korrelation!$D$4:$D$1197,Korrelation!I$4:I$1197,"-",0)="-",0,MATCH(_xlfn.XLOOKUP($A574,Korrelation!$D$4:$D$1197,Korrelation!I$4:I$1197,"",0),DMAV_Dienste!$F$6:$F$140,0)))</f>
        <v>0</v>
      </c>
      <c r="G574" s="57">
        <f>IF($A574="","",IF(_xlfn.XLOOKUP($A574,Korrelation!$D$4:$D$1197,Korrelation!J$4:J$1197,"-",0)="-",0,MATCH(_xlfn.XLOOKUP($A574,Korrelation!$D$4:$D$1197,Korrelation!J$4:J$1197,"",0),DMAV_Dienste!$F$6:$F$140,0)))</f>
        <v>0</v>
      </c>
      <c r="H574" s="57">
        <f>IF($A574="","",IF(_xlfn.XLOOKUP($A574,Korrelation!$D$4:$D$1197,Korrelation!K$4:K$1197,"-",0)="-",0,MATCH(_xlfn.XLOOKUP($A574,Korrelation!$D$4:$D$1197,Korrelation!K$4:K$1197,"",0),'DM01-AV-CH'!$A$6:$A$834,0)))</f>
        <v>0</v>
      </c>
      <c r="J574" s="54" t="str" cm="1">
        <f t="array" aca="1" ref="J574" ca="1">IF(B574=0,IF(E574=0,"",HYPERLINK("#"&amp;RIGHT(CELL("adresse",OFFSET(DMAV_Dienste!$M$6,E574-1,0)),LEN(CELL("adresse",OFFSET(DMAV_Dienste!$M$6,E574-1,0)))-FIND("]",CELL("adresse",OFFSET(DMAV_Dienste!$M$6,E574-1,0)))),"Dienst")),HYPERLINK("#"&amp;RIGHT(CELL("adresse",OFFSET(DMAV_Modell!$N$6,B574-1,0)),LEN(CELL("adresse",OFFSET(DMAV_Modell!$N$6,B574-1,0)))-FIND("]",CELL("adresse",OFFSET(DMAV_Modell!$N$6,B574-1,0)))),"Modell"))</f>
        <v>Modell</v>
      </c>
      <c r="K574" s="61" t="str" cm="1">
        <f t="array" ref="K574">IF($B574=0,IF($E574=0,"",IF(INDEX(DMAV_Dienste!P$6:P$140,$E574)="","",INDEX(DMAV_Dienste!P$6:P$140,$E574))),IF(INDEX(DMAV_Modell!Q$6:Q$838,$B574)="","",INDEX(DMAV_Modell!Q$6:Q$838,$B574)))</f>
        <v>CLASS</v>
      </c>
      <c r="L574" s="62" t="str" cm="1">
        <f t="array" ref="L574">IF($B574=0,IF($E574=0,"",IF(INDEX(DMAV_Dienste!O$6:O$140,$E574)="","",INDEX(DMAV_Dienste!O$6:O$140,$E574))),IF(INDEX(DMAV_Modell!P$6:P$838,$B574)="","",INDEX(DMAV_Modell!P$6:P$838,$B574)))</f>
        <v>Grundstuecke</v>
      </c>
      <c r="M574" s="62" t="str" cm="1">
        <f t="array" ref="M574">IF($B574=0,IF($E574=0,"",IF(INDEX(DMAV_Dienste!Q$6:Q$140,$E574)="","",INDEX(DMAV_Dienste!Q$6:Q$140,$E574))),IF(INDEX(DMAV_Modell!R$6:R$838,$B574)="","",INDEX(DMAV_Modell!R$6:R$838,$B574)))</f>
        <v>SelbstaendigesDauerndesRecht</v>
      </c>
      <c r="N574" s="62" t="str" cm="1">
        <f t="array" ref="N574">IF($B574=0,IF($E574=0,"",IF(INDEX(DMAV_Dienste!T$6:T$140,$E574)="","",INDEX(DMAV_Dienste!T$6:T$140,$E574))),IF(INDEX(DMAV_Modell!U$6:U$838,$B574)="","",INDEX(DMAV_Modell!U$6:U$838,$B574)))</f>
        <v>IstBaurecht</v>
      </c>
      <c r="O574" s="63" t="str" cm="1">
        <f t="array" aca="1" ref="O574" ca="1">IF(C574=0,IF(F574=0,"",HYPERLINK("#"&amp;RIGHT(CELL("adresse",OFFSET(DMAV_Dienste!$M$6,F574-1,0)),LEN(CELL("adresse",OFFSET(DMAV_Dienste!$M$6,F574-1,0)))-FIND("]",CELL("adresse",OFFSET(DMAV_Dienste!$M$6,F574-1,0)))),"Structure")),HYPERLINK("#"&amp;RIGHT(CELL("adresse",OFFSET(DMAV_Modell!$N$6,C574-1,0)),LEN(CELL("adresse",OFFSET(DMAV_Modell!$N$6,C574-1,0)))-FIND("]",CELL("adresse",OFFSET(DMAV_Modell!$N$6,C574-1,0)))),"Structure"))</f>
        <v/>
      </c>
      <c r="P574" s="64" t="str" cm="1">
        <f t="array" aca="1" ref="P574" ca="1">IF(D574=0,IF(G574=0,"",HYPERLINK("#"&amp;RIGHT(CELL("adresse",OFFSET(DMAV_Dienste!$M$6,G574-1,0)),LEN(CELL("adresse",OFFSET(DMAV_Dienste!$M$6,G574-1,0)))-FIND("]",CELL("adresse",OFFSET(DMAV_Dienste!$M$6,G574-1,0)))),"Substructure")),HYPERLINK("#"&amp;RIGHT(CELL("adresse",OFFSET(DMAV_Modell!$N$6,D574-1,0)),LEN(CELL("adresse",OFFSET(DMAV_Modell!$N$6,D574-1,0)))-FIND("]",CELL("adresse",OFFSET(DMAV_Modell!$N$6,D574-1,0)))),"Substructure"))</f>
        <v/>
      </c>
      <c r="R574" s="80" t="s">
        <v>5877</v>
      </c>
      <c r="T574" s="93"/>
      <c r="U574" s="94"/>
      <c r="V574" s="95"/>
      <c r="W574" s="96"/>
      <c r="Y574" s="85"/>
      <c r="Z574" s="86"/>
      <c r="AA574" s="87"/>
      <c r="AB574" s="88"/>
      <c r="AD574" s="77"/>
      <c r="AF574" s="54" t="str" cm="1">
        <f t="array" aca="1" ref="AF574" ca="1">IF(H574=0,"",HYPERLINK("#"&amp;RIGHT(CELL("adresse",OFFSET('DM01-AV-CH'!$G$6,H574-1,0)),LEN(CELL("adresse",OFFSET('DM01-AV-CH'!$G$6,H574-1,0)))-FIND("]",CELL("adresse",OFFSET('DM01-AV-CH'!$G$6,H574-1,0)))),"Modell"))</f>
        <v/>
      </c>
      <c r="AG574" s="72" t="str" cm="1">
        <f t="array" ref="AG574">IF($H574=0,"",IF(INDEX('DM01-AV-CH'!G$6:G$834,$H574)="","",INDEX('DM01-AV-CH'!G$6:G$834,$H574)))</f>
        <v/>
      </c>
      <c r="AH574" s="73" t="str" cm="1">
        <f t="array" ref="AH574">IF($H574=0,"",IF(INDEX('DM01-AV-CH'!H$6:H$834,$H574)="","",INDEX('DM01-AV-CH'!H$6:H$834,$H574)))</f>
        <v/>
      </c>
      <c r="AI574" s="74" t="str" cm="1">
        <f t="array" ref="AI574">IF($H574=0,"",IF(INDEX('DM01-AV-CH'!I$6:I$834,$H574)="","",INDEX('DM01-AV-CH'!I$6:I$834,$H574)))</f>
        <v/>
      </c>
    </row>
    <row r="575" spans="1:35" x14ac:dyDescent="0.25">
      <c r="A575" s="57">
        <v>570</v>
      </c>
      <c r="B575" s="57">
        <f>IF($A575="","",IF(_xlfn.XLOOKUP($A575,Korrelation!$D$4:$D$1197,Korrelation!E$4:E$1197,"-",0)="-",0,MATCH(_xlfn.XLOOKUP($A575,Korrelation!$D$4:$D$1197,Korrelation!E$4:E$1197,"",0),DMAV_Modell!$G$6:$G$677,0)))</f>
        <v>281</v>
      </c>
      <c r="C575" s="57">
        <f>IF($A575="","",IF(_xlfn.XLOOKUP($A575,Korrelation!$D$4:$D$1197,Korrelation!F$4:F$1197,"-",0)="-",0,MATCH(_xlfn.XLOOKUP($A575,Korrelation!$D$4:$D$1197,Korrelation!F$4:F$1197,"",0),DMAV_Modell!$G$6:$G$677,0)))</f>
        <v>0</v>
      </c>
      <c r="D575" s="57">
        <f>IF($A575="","",IF(_xlfn.XLOOKUP($A575,Korrelation!$D$4:$D$1197,Korrelation!G$4:G$1197,"-",0)="-",0,MATCH(_xlfn.XLOOKUP($A575,Korrelation!$D$4:$D$1197,Korrelation!G$4:G$1197,"",0),DMAV_Modell!$G$6:$G$677,0)))</f>
        <v>0</v>
      </c>
      <c r="E575" s="57">
        <f>IF($A575="","",IF(_xlfn.XLOOKUP($A575,Korrelation!$D$4:$D$1197,Korrelation!H$4:H$1197,"-",0)="-",0,MATCH(_xlfn.XLOOKUP($A575,Korrelation!$D$4:$D$1197,Korrelation!H$4:H$1197,"",0),DMAV_Dienste!$F$6:$F$140,0)))</f>
        <v>0</v>
      </c>
      <c r="F575" s="57">
        <f>IF($A575="","",IF(_xlfn.XLOOKUP($A575,Korrelation!$D$4:$D$1197,Korrelation!I$4:I$1197,"-",0)="-",0,MATCH(_xlfn.XLOOKUP($A575,Korrelation!$D$4:$D$1197,Korrelation!I$4:I$1197,"",0),DMAV_Dienste!$F$6:$F$140,0)))</f>
        <v>0</v>
      </c>
      <c r="G575" s="57">
        <f>IF($A575="","",IF(_xlfn.XLOOKUP($A575,Korrelation!$D$4:$D$1197,Korrelation!J$4:J$1197,"-",0)="-",0,MATCH(_xlfn.XLOOKUP($A575,Korrelation!$D$4:$D$1197,Korrelation!J$4:J$1197,"",0),DMAV_Dienste!$F$6:$F$140,0)))</f>
        <v>0</v>
      </c>
      <c r="H575" s="57">
        <f>IF($A575="","",IF(_xlfn.XLOOKUP($A575,Korrelation!$D$4:$D$1197,Korrelation!K$4:K$1197,"-",0)="-",0,MATCH(_xlfn.XLOOKUP($A575,Korrelation!$D$4:$D$1197,Korrelation!K$4:K$1197,"",0),'DM01-AV-CH'!$A$6:$A$834,0)))</f>
        <v>0</v>
      </c>
      <c r="J575" s="54" t="str" cm="1">
        <f t="array" aca="1" ref="J575" ca="1">IF(B575=0,IF(E575=0,"",HYPERLINK("#"&amp;RIGHT(CELL("adresse",OFFSET(DMAV_Dienste!$M$6,E575-1,0)),LEN(CELL("adresse",OFFSET(DMAV_Dienste!$M$6,E575-1,0)))-FIND("]",CELL("adresse",OFFSET(DMAV_Dienste!$M$6,E575-1,0)))),"Dienst")),HYPERLINK("#"&amp;RIGHT(CELL("adresse",OFFSET(DMAV_Modell!$N$6,B575-1,0)),LEN(CELL("adresse",OFFSET(DMAV_Modell!$N$6,B575-1,0)))-FIND("]",CELL("adresse",OFFSET(DMAV_Modell!$N$6,B575-1,0)))),"Modell"))</f>
        <v>Modell</v>
      </c>
      <c r="K575" s="61" t="str" cm="1">
        <f t="array" ref="K575">IF($B575=0,IF($E575=0,"",IF(INDEX(DMAV_Dienste!P$6:P$140,$E575)="","",INDEX(DMAV_Dienste!P$6:P$140,$E575))),IF(INDEX(DMAV_Modell!Q$6:Q$838,$B575)="","",INDEX(DMAV_Modell!Q$6:Q$838,$B575)))</f>
        <v>CLASS.CONSTRAINT</v>
      </c>
      <c r="L575" s="62" t="str" cm="1">
        <f t="array" ref="L575">IF($B575=0,IF($E575=0,"",IF(INDEX(DMAV_Dienste!O$6:O$140,$E575)="","",INDEX(DMAV_Dienste!O$6:O$140,$E575))),IF(INDEX(DMAV_Modell!P$6:P$838,$B575)="","",INDEX(DMAV_Modell!P$6:P$838,$B575)))</f>
        <v>Grundstuecke</v>
      </c>
      <c r="M575" s="62" t="str" cm="1">
        <f t="array" ref="M575">IF($B575=0,IF($E575=0,"",IF(INDEX(DMAV_Dienste!Q$6:Q$140,$E575)="","",INDEX(DMAV_Dienste!Q$6:Q$140,$E575))),IF(INDEX(DMAV_Modell!R$6:R$838,$B575)="","",INDEX(DMAV_Modell!R$6:R$838,$B575)))</f>
        <v>SelbstaendigesDauerndesRecht</v>
      </c>
      <c r="N575" s="62" t="str" cm="1">
        <f t="array" ref="N575">IF($B575=0,IF($E575=0,"",IF(INDEX(DMAV_Dienste!T$6:T$140,$E575)="","",INDEX(DMAV_Dienste!T$6:T$140,$E575))),IF(INDEX(DMAV_Modell!U$6:U$838,$B575)="","",INDEX(DMAV_Modell!U$6:U$838,$B575)))</f>
        <v>NOT(DEFINED(@PH1@)) OR @PH2@(@PH3@)</v>
      </c>
      <c r="O575" s="63" t="str" cm="1">
        <f t="array" aca="1" ref="O575" ca="1">IF(C575=0,IF(F575=0,"",HYPERLINK("#"&amp;RIGHT(CELL("adresse",OFFSET(DMAV_Dienste!$M$6,F575-1,0)),LEN(CELL("adresse",OFFSET(DMAV_Dienste!$M$6,F575-1,0)))-FIND("]",CELL("adresse",OFFSET(DMAV_Dienste!$M$6,F575-1,0)))),"Structure")),HYPERLINK("#"&amp;RIGHT(CELL("adresse",OFFSET(DMAV_Modell!$N$6,C575-1,0)),LEN(CELL("adresse",OFFSET(DMAV_Modell!$N$6,C575-1,0)))-FIND("]",CELL("adresse",OFFSET(DMAV_Modell!$N$6,C575-1,0)))),"Structure"))</f>
        <v/>
      </c>
      <c r="P575" s="64" t="str" cm="1">
        <f t="array" aca="1" ref="P575" ca="1">IF(D575=0,IF(G575=0,"",HYPERLINK("#"&amp;RIGHT(CELL("adresse",OFFSET(DMAV_Dienste!$M$6,G575-1,0)),LEN(CELL("adresse",OFFSET(DMAV_Dienste!$M$6,G575-1,0)))-FIND("]",CELL("adresse",OFFSET(DMAV_Dienste!$M$6,G575-1,0)))),"Substructure")),HYPERLINK("#"&amp;RIGHT(CELL("adresse",OFFSET(DMAV_Modell!$N$6,D575-1,0)),LEN(CELL("adresse",OFFSET(DMAV_Modell!$N$6,D575-1,0)))-FIND("]",CELL("adresse",OFFSET(DMAV_Modell!$N$6,D575-1,0)))),"Substructure"))</f>
        <v/>
      </c>
      <c r="R575" s="80"/>
      <c r="T575" s="93"/>
      <c r="U575" s="94"/>
      <c r="V575" s="95"/>
      <c r="W575" s="96"/>
      <c r="Y575" s="85"/>
      <c r="Z575" s="86"/>
      <c r="AA575" s="87"/>
      <c r="AB575" s="88"/>
      <c r="AD575" s="77"/>
      <c r="AF575" s="54" t="str" cm="1">
        <f t="array" aca="1" ref="AF575" ca="1">IF(H575=0,"",HYPERLINK("#"&amp;RIGHT(CELL("adresse",OFFSET('DM01-AV-CH'!$G$6,H575-1,0)),LEN(CELL("adresse",OFFSET('DM01-AV-CH'!$G$6,H575-1,0)))-FIND("]",CELL("adresse",OFFSET('DM01-AV-CH'!$G$6,H575-1,0)))),"Modell"))</f>
        <v/>
      </c>
      <c r="AG575" s="72" t="str" cm="1">
        <f t="array" ref="AG575">IF($H575=0,"",IF(INDEX('DM01-AV-CH'!G$6:G$834,$H575)="","",INDEX('DM01-AV-CH'!G$6:G$834,$H575)))</f>
        <v/>
      </c>
      <c r="AH575" s="73" t="str" cm="1">
        <f t="array" ref="AH575">IF($H575=0,"",IF(INDEX('DM01-AV-CH'!H$6:H$834,$H575)="","",INDEX('DM01-AV-CH'!H$6:H$834,$H575)))</f>
        <v/>
      </c>
      <c r="AI575" s="74" t="str" cm="1">
        <f t="array" ref="AI575">IF($H575=0,"",IF(INDEX('DM01-AV-CH'!I$6:I$834,$H575)="","",INDEX('DM01-AV-CH'!I$6:I$834,$H575)))</f>
        <v/>
      </c>
    </row>
    <row r="576" spans="1:35" x14ac:dyDescent="0.25">
      <c r="A576" s="57">
        <v>571</v>
      </c>
      <c r="B576" s="57">
        <f>IF($A576="","",IF(_xlfn.XLOOKUP($A576,Korrelation!$D$4:$D$1197,Korrelation!E$4:E$1197,"-",0)="-",0,MATCH(_xlfn.XLOOKUP($A576,Korrelation!$D$4:$D$1197,Korrelation!E$4:E$1197,"",0),DMAV_Modell!$G$6:$G$677,0)))</f>
        <v>282</v>
      </c>
      <c r="C576" s="57">
        <f>IF($A576="","",IF(_xlfn.XLOOKUP($A576,Korrelation!$D$4:$D$1197,Korrelation!F$4:F$1197,"-",0)="-",0,MATCH(_xlfn.XLOOKUP($A576,Korrelation!$D$4:$D$1197,Korrelation!F$4:F$1197,"",0),DMAV_Modell!$G$6:$G$677,0)))</f>
        <v>0</v>
      </c>
      <c r="D576" s="57">
        <f>IF($A576="","",IF(_xlfn.XLOOKUP($A576,Korrelation!$D$4:$D$1197,Korrelation!G$4:G$1197,"-",0)="-",0,MATCH(_xlfn.XLOOKUP($A576,Korrelation!$D$4:$D$1197,Korrelation!G$4:G$1197,"",0),DMAV_Modell!$G$6:$G$677,0)))</f>
        <v>0</v>
      </c>
      <c r="E576" s="57">
        <f>IF($A576="","",IF(_xlfn.XLOOKUP($A576,Korrelation!$D$4:$D$1197,Korrelation!H$4:H$1197,"-",0)="-",0,MATCH(_xlfn.XLOOKUP($A576,Korrelation!$D$4:$D$1197,Korrelation!H$4:H$1197,"",0),DMAV_Dienste!$F$6:$F$140,0)))</f>
        <v>0</v>
      </c>
      <c r="F576" s="57">
        <f>IF($A576="","",IF(_xlfn.XLOOKUP($A576,Korrelation!$D$4:$D$1197,Korrelation!I$4:I$1197,"-",0)="-",0,MATCH(_xlfn.XLOOKUP($A576,Korrelation!$D$4:$D$1197,Korrelation!I$4:I$1197,"",0),DMAV_Dienste!$F$6:$F$140,0)))</f>
        <v>0</v>
      </c>
      <c r="G576" s="57">
        <f>IF($A576="","",IF(_xlfn.XLOOKUP($A576,Korrelation!$D$4:$D$1197,Korrelation!J$4:J$1197,"-",0)="-",0,MATCH(_xlfn.XLOOKUP($A576,Korrelation!$D$4:$D$1197,Korrelation!J$4:J$1197,"",0),DMAV_Dienste!$F$6:$F$140,0)))</f>
        <v>0</v>
      </c>
      <c r="H576" s="57">
        <f>IF($A576="","",IF(_xlfn.XLOOKUP($A576,Korrelation!$D$4:$D$1197,Korrelation!K$4:K$1197,"-",0)="-",0,MATCH(_xlfn.XLOOKUP($A576,Korrelation!$D$4:$D$1197,Korrelation!K$4:K$1197,"",0),'DM01-AV-CH'!$A$6:$A$834,0)))</f>
        <v>0</v>
      </c>
      <c r="J576" s="54" t="str" cm="1">
        <f t="array" aca="1" ref="J576" ca="1">IF(B576=0,IF(E576=0,"",HYPERLINK("#"&amp;RIGHT(CELL("adresse",OFFSET(DMAV_Dienste!$M$6,E576-1,0)),LEN(CELL("adresse",OFFSET(DMAV_Dienste!$M$6,E576-1,0)))-FIND("]",CELL("adresse",OFFSET(DMAV_Dienste!$M$6,E576-1,0)))),"Dienst")),HYPERLINK("#"&amp;RIGHT(CELL("adresse",OFFSET(DMAV_Modell!$N$6,B576-1,0)),LEN(CELL("adresse",OFFSET(DMAV_Modell!$N$6,B576-1,0)))-FIND("]",CELL("adresse",OFFSET(DMAV_Modell!$N$6,B576-1,0)))),"Modell"))</f>
        <v>Modell</v>
      </c>
      <c r="K576" s="61" t="str" cm="1">
        <f t="array" ref="K576">IF($B576=0,IF($E576=0,"",IF(INDEX(DMAV_Dienste!P$6:P$140,$E576)="","",INDEX(DMAV_Dienste!P$6:P$140,$E576))),IF(INDEX(DMAV_Modell!Q$6:Q$838,$B576)="","",INDEX(DMAV_Modell!Q$6:Q$838,$B576)))</f>
        <v>ASSOCIATION</v>
      </c>
      <c r="L576" s="62" t="str" cm="1">
        <f t="array" ref="L576">IF($B576=0,IF($E576=0,"",IF(INDEX(DMAV_Dienste!O$6:O$140,$E576)="","",INDEX(DMAV_Dienste!O$6:O$140,$E576))),IF(INDEX(DMAV_Modell!P$6:P$838,$B576)="","",INDEX(DMAV_Modell!P$6:P$838,$B576)))</f>
        <v>Grundstuecke</v>
      </c>
      <c r="M576" s="62" t="str" cm="1">
        <f t="array" ref="M576">IF($B576=0,IF($E576=0,"",IF(INDEX(DMAV_Dienste!Q$6:Q$140,$E576)="","",INDEX(DMAV_Dienste!Q$6:Q$140,$E576))),IF(INDEX(DMAV_Modell!R$6:R$838,$B576)="","",INDEX(DMAV_Modell!R$6:R$838,$B576)))</f>
        <v>GrundstueckSelbstaendigesDauerndesRecht</v>
      </c>
      <c r="N576" s="62" t="str" cm="1">
        <f t="array" ref="N576">IF($B576=0,IF($E576=0,"",IF(INDEX(DMAV_Dienste!T$6:T$140,$E576)="","",INDEX(DMAV_Dienste!T$6:T$140,$E576))),IF(INDEX(DMAV_Modell!U$6:U$838,$B576)="","",INDEX(DMAV_Modell!U$6:U$838,$B576)))</f>
        <v>Grundstueck</v>
      </c>
      <c r="O576" s="63" t="str" cm="1">
        <f t="array" aca="1" ref="O576" ca="1">IF(C576=0,IF(F576=0,"",HYPERLINK("#"&amp;RIGHT(CELL("adresse",OFFSET(DMAV_Dienste!$M$6,F576-1,0)),LEN(CELL("adresse",OFFSET(DMAV_Dienste!$M$6,F576-1,0)))-FIND("]",CELL("adresse",OFFSET(DMAV_Dienste!$M$6,F576-1,0)))),"Structure")),HYPERLINK("#"&amp;RIGHT(CELL("adresse",OFFSET(DMAV_Modell!$N$6,C576-1,0)),LEN(CELL("adresse",OFFSET(DMAV_Modell!$N$6,C576-1,0)))-FIND("]",CELL("adresse",OFFSET(DMAV_Modell!$N$6,C576-1,0)))),"Structure"))</f>
        <v/>
      </c>
      <c r="P576" s="64" t="str" cm="1">
        <f t="array" aca="1" ref="P576" ca="1">IF(D576=0,IF(G576=0,"",HYPERLINK("#"&amp;RIGHT(CELL("adresse",OFFSET(DMAV_Dienste!$M$6,G576-1,0)),LEN(CELL("adresse",OFFSET(DMAV_Dienste!$M$6,G576-1,0)))-FIND("]",CELL("adresse",OFFSET(DMAV_Dienste!$M$6,G576-1,0)))),"Substructure")),HYPERLINK("#"&amp;RIGHT(CELL("adresse",OFFSET(DMAV_Modell!$N$6,D576-1,0)),LEN(CELL("adresse",OFFSET(DMAV_Modell!$N$6,D576-1,0)))-FIND("]",CELL("adresse",OFFSET(DMAV_Modell!$N$6,D576-1,0)))),"Substructure"))</f>
        <v/>
      </c>
      <c r="R576" s="80"/>
      <c r="T576" s="93"/>
      <c r="U576" s="94"/>
      <c r="V576" s="95"/>
      <c r="W576" s="96"/>
      <c r="Y576" s="85"/>
      <c r="Z576" s="86"/>
      <c r="AA576" s="87"/>
      <c r="AB576" s="88"/>
      <c r="AD576" s="77"/>
      <c r="AF576" s="54" t="str" cm="1">
        <f t="array" aca="1" ref="AF576" ca="1">IF(H576=0,"",HYPERLINK("#"&amp;RIGHT(CELL("adresse",OFFSET('DM01-AV-CH'!$G$6,H576-1,0)),LEN(CELL("adresse",OFFSET('DM01-AV-CH'!$G$6,H576-1,0)))-FIND("]",CELL("adresse",OFFSET('DM01-AV-CH'!$G$6,H576-1,0)))),"Modell"))</f>
        <v/>
      </c>
      <c r="AG576" s="72" t="str" cm="1">
        <f t="array" ref="AG576">IF($H576=0,"",IF(INDEX('DM01-AV-CH'!G$6:G$834,$H576)="","",INDEX('DM01-AV-CH'!G$6:G$834,$H576)))</f>
        <v/>
      </c>
      <c r="AH576" s="73" t="str" cm="1">
        <f t="array" ref="AH576">IF($H576=0,"",IF(INDEX('DM01-AV-CH'!H$6:H$834,$H576)="","",INDEX('DM01-AV-CH'!H$6:H$834,$H576)))</f>
        <v/>
      </c>
      <c r="AI576" s="74" t="str" cm="1">
        <f t="array" ref="AI576">IF($H576=0,"",IF(INDEX('DM01-AV-CH'!I$6:I$834,$H576)="","",INDEX('DM01-AV-CH'!I$6:I$834,$H576)))</f>
        <v/>
      </c>
    </row>
    <row r="577" spans="1:35" x14ac:dyDescent="0.25">
      <c r="A577" s="57">
        <v>572</v>
      </c>
      <c r="B577" s="57">
        <f>IF($A577="","",IF(_xlfn.XLOOKUP($A577,Korrelation!$D$4:$D$1197,Korrelation!E$4:E$1197,"-",0)="-",0,MATCH(_xlfn.XLOOKUP($A577,Korrelation!$D$4:$D$1197,Korrelation!E$4:E$1197,"",0),DMAV_Modell!$G$6:$G$677,0)))</f>
        <v>283</v>
      </c>
      <c r="C577" s="57">
        <f>IF($A577="","",IF(_xlfn.XLOOKUP($A577,Korrelation!$D$4:$D$1197,Korrelation!F$4:F$1197,"-",0)="-",0,MATCH(_xlfn.XLOOKUP($A577,Korrelation!$D$4:$D$1197,Korrelation!F$4:F$1197,"",0),DMAV_Modell!$G$6:$G$677,0)))</f>
        <v>0</v>
      </c>
      <c r="D577" s="57">
        <f>IF($A577="","",IF(_xlfn.XLOOKUP($A577,Korrelation!$D$4:$D$1197,Korrelation!G$4:G$1197,"-",0)="-",0,MATCH(_xlfn.XLOOKUP($A577,Korrelation!$D$4:$D$1197,Korrelation!G$4:G$1197,"",0),DMAV_Modell!$G$6:$G$677,0)))</f>
        <v>0</v>
      </c>
      <c r="E577" s="57">
        <f>IF($A577="","",IF(_xlfn.XLOOKUP($A577,Korrelation!$D$4:$D$1197,Korrelation!H$4:H$1197,"-",0)="-",0,MATCH(_xlfn.XLOOKUP($A577,Korrelation!$D$4:$D$1197,Korrelation!H$4:H$1197,"",0),DMAV_Dienste!$F$6:$F$140,0)))</f>
        <v>0</v>
      </c>
      <c r="F577" s="57">
        <f>IF($A577="","",IF(_xlfn.XLOOKUP($A577,Korrelation!$D$4:$D$1197,Korrelation!I$4:I$1197,"-",0)="-",0,MATCH(_xlfn.XLOOKUP($A577,Korrelation!$D$4:$D$1197,Korrelation!I$4:I$1197,"",0),DMAV_Dienste!$F$6:$F$140,0)))</f>
        <v>0</v>
      </c>
      <c r="G577" s="57">
        <f>IF($A577="","",IF(_xlfn.XLOOKUP($A577,Korrelation!$D$4:$D$1197,Korrelation!J$4:J$1197,"-",0)="-",0,MATCH(_xlfn.XLOOKUP($A577,Korrelation!$D$4:$D$1197,Korrelation!J$4:J$1197,"",0),DMAV_Dienste!$F$6:$F$140,0)))</f>
        <v>0</v>
      </c>
      <c r="H577" s="57">
        <f>IF($A577="","",IF(_xlfn.XLOOKUP($A577,Korrelation!$D$4:$D$1197,Korrelation!K$4:K$1197,"-",0)="-",0,MATCH(_xlfn.XLOOKUP($A577,Korrelation!$D$4:$D$1197,Korrelation!K$4:K$1197,"",0),'DM01-AV-CH'!$A$6:$A$834,0)))</f>
        <v>0</v>
      </c>
      <c r="J577" s="54" t="str" cm="1">
        <f t="array" aca="1" ref="J577" ca="1">IF(B577=0,IF(E577=0,"",HYPERLINK("#"&amp;RIGHT(CELL("adresse",OFFSET(DMAV_Dienste!$M$6,E577-1,0)),LEN(CELL("adresse",OFFSET(DMAV_Dienste!$M$6,E577-1,0)))-FIND("]",CELL("adresse",OFFSET(DMAV_Dienste!$M$6,E577-1,0)))),"Dienst")),HYPERLINK("#"&amp;RIGHT(CELL("adresse",OFFSET(DMAV_Modell!$N$6,B577-1,0)),LEN(CELL("adresse",OFFSET(DMAV_Modell!$N$6,B577-1,0)))-FIND("]",CELL("adresse",OFFSET(DMAV_Modell!$N$6,B577-1,0)))),"Modell"))</f>
        <v>Modell</v>
      </c>
      <c r="K577" s="61" t="str" cm="1">
        <f t="array" ref="K577">IF($B577=0,IF($E577=0,"",IF(INDEX(DMAV_Dienste!P$6:P$140,$E577)="","",INDEX(DMAV_Dienste!P$6:P$140,$E577))),IF(INDEX(DMAV_Modell!Q$6:Q$838,$B577)="","",INDEX(DMAV_Modell!Q$6:Q$838,$B577)))</f>
        <v>ASSOCIATION</v>
      </c>
      <c r="L577" s="62" t="str" cm="1">
        <f t="array" ref="L577">IF($B577=0,IF($E577=0,"",IF(INDEX(DMAV_Dienste!O$6:O$140,$E577)="","",INDEX(DMAV_Dienste!O$6:O$140,$E577))),IF(INDEX(DMAV_Modell!P$6:P$838,$B577)="","",INDEX(DMAV_Modell!P$6:P$838,$B577)))</f>
        <v>Grundstuecke</v>
      </c>
      <c r="M577" s="62" t="str" cm="1">
        <f t="array" ref="M577">IF($B577=0,IF($E577=0,"",IF(INDEX(DMAV_Dienste!Q$6:Q$140,$E577)="","",INDEX(DMAV_Dienste!Q$6:Q$140,$E577))),IF(INDEX(DMAV_Modell!R$6:R$838,$B577)="","",INDEX(DMAV_Modell!R$6:R$838,$B577)))</f>
        <v>GrundstueckSelbstaendigesDauerndesRecht</v>
      </c>
      <c r="N577" s="62" t="str" cm="1">
        <f t="array" ref="N577">IF($B577=0,IF($E577=0,"",IF(INDEX(DMAV_Dienste!T$6:T$140,$E577)="","",INDEX(DMAV_Dienste!T$6:T$140,$E577))),IF(INDEX(DMAV_Modell!U$6:U$838,$B577)="","",INDEX(DMAV_Modell!U$6:U$838,$B577)))</f>
        <v>SelbstaendigesDauerndesRecht</v>
      </c>
      <c r="O577" s="63" t="str" cm="1">
        <f t="array" aca="1" ref="O577" ca="1">IF(C577=0,IF(F577=0,"",HYPERLINK("#"&amp;RIGHT(CELL("adresse",OFFSET(DMAV_Dienste!$M$6,F577-1,0)),LEN(CELL("adresse",OFFSET(DMAV_Dienste!$M$6,F577-1,0)))-FIND("]",CELL("adresse",OFFSET(DMAV_Dienste!$M$6,F577-1,0)))),"Structure")),HYPERLINK("#"&amp;RIGHT(CELL("adresse",OFFSET(DMAV_Modell!$N$6,C577-1,0)),LEN(CELL("adresse",OFFSET(DMAV_Modell!$N$6,C577-1,0)))-FIND("]",CELL("adresse",OFFSET(DMAV_Modell!$N$6,C577-1,0)))),"Structure"))</f>
        <v/>
      </c>
      <c r="P577" s="64" t="str" cm="1">
        <f t="array" aca="1" ref="P577" ca="1">IF(D577=0,IF(G577=0,"",HYPERLINK("#"&amp;RIGHT(CELL("adresse",OFFSET(DMAV_Dienste!$M$6,G577-1,0)),LEN(CELL("adresse",OFFSET(DMAV_Dienste!$M$6,G577-1,0)))-FIND("]",CELL("adresse",OFFSET(DMAV_Dienste!$M$6,G577-1,0)))),"Substructure")),HYPERLINK("#"&amp;RIGHT(CELL("adresse",OFFSET(DMAV_Modell!$N$6,D577-1,0)),LEN(CELL("adresse",OFFSET(DMAV_Modell!$N$6,D577-1,0)))-FIND("]",CELL("adresse",OFFSET(DMAV_Modell!$N$6,D577-1,0)))),"Substructure"))</f>
        <v/>
      </c>
      <c r="R577" s="80"/>
      <c r="T577" s="93"/>
      <c r="U577" s="94"/>
      <c r="V577" s="95"/>
      <c r="W577" s="96"/>
      <c r="Y577" s="85"/>
      <c r="Z577" s="86"/>
      <c r="AA577" s="87"/>
      <c r="AB577" s="88"/>
      <c r="AD577" s="77"/>
      <c r="AF577" s="54" t="str" cm="1">
        <f t="array" aca="1" ref="AF577" ca="1">IF(H577=0,"",HYPERLINK("#"&amp;RIGHT(CELL("adresse",OFFSET('DM01-AV-CH'!$G$6,H577-1,0)),LEN(CELL("adresse",OFFSET('DM01-AV-CH'!$G$6,H577-1,0)))-FIND("]",CELL("adresse",OFFSET('DM01-AV-CH'!$G$6,H577-1,0)))),"Modell"))</f>
        <v/>
      </c>
      <c r="AG577" s="72" t="str" cm="1">
        <f t="array" ref="AG577">IF($H577=0,"",IF(INDEX('DM01-AV-CH'!G$6:G$834,$H577)="","",INDEX('DM01-AV-CH'!G$6:G$834,$H577)))</f>
        <v/>
      </c>
      <c r="AH577" s="73" t="str" cm="1">
        <f t="array" ref="AH577">IF($H577=0,"",IF(INDEX('DM01-AV-CH'!H$6:H$834,$H577)="","",INDEX('DM01-AV-CH'!H$6:H$834,$H577)))</f>
        <v/>
      </c>
      <c r="AI577" s="74" t="str" cm="1">
        <f t="array" ref="AI577">IF($H577=0,"",IF(INDEX('DM01-AV-CH'!I$6:I$834,$H577)="","",INDEX('DM01-AV-CH'!I$6:I$834,$H577)))</f>
        <v/>
      </c>
    </row>
    <row r="578" spans="1:35" x14ac:dyDescent="0.25">
      <c r="A578" s="57">
        <v>573</v>
      </c>
      <c r="B578" s="57">
        <f>IF($A578="","",IF(_xlfn.XLOOKUP($A578,Korrelation!$D$4:$D$1197,Korrelation!E$4:E$1197,"-",0)="-",0,MATCH(_xlfn.XLOOKUP($A578,Korrelation!$D$4:$D$1197,Korrelation!E$4:E$1197,"",0),DMAV_Modell!$G$6:$G$677,0)))</f>
        <v>284</v>
      </c>
      <c r="C578" s="57">
        <f>IF($A578="","",IF(_xlfn.XLOOKUP($A578,Korrelation!$D$4:$D$1197,Korrelation!F$4:F$1197,"-",0)="-",0,MATCH(_xlfn.XLOOKUP($A578,Korrelation!$D$4:$D$1197,Korrelation!F$4:F$1197,"",0),DMAV_Modell!$G$6:$G$677,0)))</f>
        <v>0</v>
      </c>
      <c r="D578" s="57">
        <f>IF($A578="","",IF(_xlfn.XLOOKUP($A578,Korrelation!$D$4:$D$1197,Korrelation!G$4:G$1197,"-",0)="-",0,MATCH(_xlfn.XLOOKUP($A578,Korrelation!$D$4:$D$1197,Korrelation!G$4:G$1197,"",0),DMAV_Modell!$G$6:$G$677,0)))</f>
        <v>0</v>
      </c>
      <c r="E578" s="57">
        <f>IF($A578="","",IF(_xlfn.XLOOKUP($A578,Korrelation!$D$4:$D$1197,Korrelation!H$4:H$1197,"-",0)="-",0,MATCH(_xlfn.XLOOKUP($A578,Korrelation!$D$4:$D$1197,Korrelation!H$4:H$1197,"",0),DMAV_Dienste!$F$6:$F$140,0)))</f>
        <v>0</v>
      </c>
      <c r="F578" s="57">
        <f>IF($A578="","",IF(_xlfn.XLOOKUP($A578,Korrelation!$D$4:$D$1197,Korrelation!I$4:I$1197,"-",0)="-",0,MATCH(_xlfn.XLOOKUP($A578,Korrelation!$D$4:$D$1197,Korrelation!I$4:I$1197,"",0),DMAV_Dienste!$F$6:$F$140,0)))</f>
        <v>0</v>
      </c>
      <c r="G578" s="57">
        <f>IF($A578="","",IF(_xlfn.XLOOKUP($A578,Korrelation!$D$4:$D$1197,Korrelation!J$4:J$1197,"-",0)="-",0,MATCH(_xlfn.XLOOKUP($A578,Korrelation!$D$4:$D$1197,Korrelation!J$4:J$1197,"",0),DMAV_Dienste!$F$6:$F$140,0)))</f>
        <v>0</v>
      </c>
      <c r="H578" s="57">
        <f>IF($A578="","",IF(_xlfn.XLOOKUP($A578,Korrelation!$D$4:$D$1197,Korrelation!K$4:K$1197,"-",0)="-",0,MATCH(_xlfn.XLOOKUP($A578,Korrelation!$D$4:$D$1197,Korrelation!K$4:K$1197,"",0),'DM01-AV-CH'!$A$6:$A$834,0)))</f>
        <v>0</v>
      </c>
      <c r="J578" s="54" t="str" cm="1">
        <f t="array" aca="1" ref="J578" ca="1">IF(B578=0,IF(E578=0,"",HYPERLINK("#"&amp;RIGHT(CELL("adresse",OFFSET(DMAV_Dienste!$M$6,E578-1,0)),LEN(CELL("adresse",OFFSET(DMAV_Dienste!$M$6,E578-1,0)))-FIND("]",CELL("adresse",OFFSET(DMAV_Dienste!$M$6,E578-1,0)))),"Dienst")),HYPERLINK("#"&amp;RIGHT(CELL("adresse",OFFSET(DMAV_Modell!$N$6,B578-1,0)),LEN(CELL("adresse",OFFSET(DMAV_Modell!$N$6,B578-1,0)))-FIND("]",CELL("adresse",OFFSET(DMAV_Modell!$N$6,B578-1,0)))),"Modell"))</f>
        <v>Modell</v>
      </c>
      <c r="K578" s="61" t="str" cm="1">
        <f t="array" ref="K578">IF($B578=0,IF($E578=0,"",IF(INDEX(DMAV_Dienste!P$6:P$140,$E578)="","",INDEX(DMAV_Dienste!P$6:P$140,$E578))),IF(INDEX(DMAV_Modell!Q$6:Q$838,$B578)="","",INDEX(DMAV_Modell!Q$6:Q$838,$B578)))</f>
        <v>ASSOCIATION.CONSTRAINT</v>
      </c>
      <c r="L578" s="62" t="str" cm="1">
        <f t="array" ref="L578">IF($B578=0,IF($E578=0,"",IF(INDEX(DMAV_Dienste!O$6:O$140,$E578)="","",INDEX(DMAV_Dienste!O$6:O$140,$E578))),IF(INDEX(DMAV_Modell!P$6:P$838,$B578)="","",INDEX(DMAV_Modell!P$6:P$838,$B578)))</f>
        <v>Grundstuecke</v>
      </c>
      <c r="M578" s="62" t="str" cm="1">
        <f t="array" ref="M578">IF($B578=0,IF($E578=0,"",IF(INDEX(DMAV_Dienste!Q$6:Q$140,$E578)="","",INDEX(DMAV_Dienste!Q$6:Q$140,$E578))),IF(INDEX(DMAV_Modell!R$6:R$838,$B578)="","",INDEX(DMAV_Modell!R$6:R$838,$B578)))</f>
        <v>GrundstueckSelbstaendigesDauerndesRecht</v>
      </c>
      <c r="N578" s="62" t="str" cm="1">
        <f t="array" ref="N578">IF($B578=0,IF($E578=0,"",IF(INDEX(DMAV_Dienste!T$6:T$140,$E578)="","",INDEX(DMAV_Dienste!T$6:T$140,$E578))),IF(INDEX(DMAV_Modell!U$6:U$838,$B578)="","",INDEX(DMAV_Modell!U$6:U$838,$B578)))</f>
        <v>@PH1@ == @PH2@</v>
      </c>
      <c r="O578" s="63" t="str" cm="1">
        <f t="array" aca="1" ref="O578" ca="1">IF(C578=0,IF(F578=0,"",HYPERLINK("#"&amp;RIGHT(CELL("adresse",OFFSET(DMAV_Dienste!$M$6,F578-1,0)),LEN(CELL("adresse",OFFSET(DMAV_Dienste!$M$6,F578-1,0)))-FIND("]",CELL("adresse",OFFSET(DMAV_Dienste!$M$6,F578-1,0)))),"Structure")),HYPERLINK("#"&amp;RIGHT(CELL("adresse",OFFSET(DMAV_Modell!$N$6,C578-1,0)),LEN(CELL("adresse",OFFSET(DMAV_Modell!$N$6,C578-1,0)))-FIND("]",CELL("adresse",OFFSET(DMAV_Modell!$N$6,C578-1,0)))),"Structure"))</f>
        <v/>
      </c>
      <c r="P578" s="64" t="str" cm="1">
        <f t="array" aca="1" ref="P578" ca="1">IF(D578=0,IF(G578=0,"",HYPERLINK("#"&amp;RIGHT(CELL("adresse",OFFSET(DMAV_Dienste!$M$6,G578-1,0)),LEN(CELL("adresse",OFFSET(DMAV_Dienste!$M$6,G578-1,0)))-FIND("]",CELL("adresse",OFFSET(DMAV_Dienste!$M$6,G578-1,0)))),"Substructure")),HYPERLINK("#"&amp;RIGHT(CELL("adresse",OFFSET(DMAV_Modell!$N$6,D578-1,0)),LEN(CELL("adresse",OFFSET(DMAV_Modell!$N$6,D578-1,0)))-FIND("]",CELL("adresse",OFFSET(DMAV_Modell!$N$6,D578-1,0)))),"Substructure"))</f>
        <v/>
      </c>
      <c r="R578" s="80"/>
      <c r="T578" s="93"/>
      <c r="U578" s="94"/>
      <c r="V578" s="95"/>
      <c r="W578" s="96"/>
      <c r="Y578" s="85"/>
      <c r="Z578" s="86"/>
      <c r="AA578" s="87"/>
      <c r="AB578" s="88"/>
      <c r="AD578" s="77"/>
      <c r="AF578" s="54" t="str" cm="1">
        <f t="array" aca="1" ref="AF578" ca="1">IF(H578=0,"",HYPERLINK("#"&amp;RIGHT(CELL("adresse",OFFSET('DM01-AV-CH'!$G$6,H578-1,0)),LEN(CELL("adresse",OFFSET('DM01-AV-CH'!$G$6,H578-1,0)))-FIND("]",CELL("adresse",OFFSET('DM01-AV-CH'!$G$6,H578-1,0)))),"Modell"))</f>
        <v/>
      </c>
      <c r="AG578" s="72" t="str" cm="1">
        <f t="array" ref="AG578">IF($H578=0,"",IF(INDEX('DM01-AV-CH'!G$6:G$834,$H578)="","",INDEX('DM01-AV-CH'!G$6:G$834,$H578)))</f>
        <v/>
      </c>
      <c r="AH578" s="73" t="str" cm="1">
        <f t="array" ref="AH578">IF($H578=0,"",IF(INDEX('DM01-AV-CH'!H$6:H$834,$H578)="","",INDEX('DM01-AV-CH'!H$6:H$834,$H578)))</f>
        <v/>
      </c>
      <c r="AI578" s="74" t="str" cm="1">
        <f t="array" ref="AI578">IF($H578=0,"",IF(INDEX('DM01-AV-CH'!I$6:I$834,$H578)="","",INDEX('DM01-AV-CH'!I$6:I$834,$H578)))</f>
        <v/>
      </c>
    </row>
    <row r="579" spans="1:35" x14ac:dyDescent="0.25">
      <c r="A579" s="57">
        <v>574</v>
      </c>
      <c r="B579" s="57">
        <f>IF($A579="","",IF(_xlfn.XLOOKUP($A579,Korrelation!$D$4:$D$1197,Korrelation!E$4:E$1197,"-",0)="-",0,MATCH(_xlfn.XLOOKUP($A579,Korrelation!$D$4:$D$1197,Korrelation!E$4:E$1197,"",0),DMAV_Modell!$G$6:$G$677,0)))</f>
        <v>285</v>
      </c>
      <c r="C579" s="57">
        <f>IF($A579="","",IF(_xlfn.XLOOKUP($A579,Korrelation!$D$4:$D$1197,Korrelation!F$4:F$1197,"-",0)="-",0,MATCH(_xlfn.XLOOKUP($A579,Korrelation!$D$4:$D$1197,Korrelation!F$4:F$1197,"",0),DMAV_Modell!$G$6:$G$677,0)))</f>
        <v>0</v>
      </c>
      <c r="D579" s="57">
        <f>IF($A579="","",IF(_xlfn.XLOOKUP($A579,Korrelation!$D$4:$D$1197,Korrelation!G$4:G$1197,"-",0)="-",0,MATCH(_xlfn.XLOOKUP($A579,Korrelation!$D$4:$D$1197,Korrelation!G$4:G$1197,"",0),DMAV_Modell!$G$6:$G$677,0)))</f>
        <v>0</v>
      </c>
      <c r="E579" s="57">
        <f>IF($A579="","",IF(_xlfn.XLOOKUP($A579,Korrelation!$D$4:$D$1197,Korrelation!H$4:H$1197,"-",0)="-",0,MATCH(_xlfn.XLOOKUP($A579,Korrelation!$D$4:$D$1197,Korrelation!H$4:H$1197,"",0),DMAV_Dienste!$F$6:$F$140,0)))</f>
        <v>0</v>
      </c>
      <c r="F579" s="57">
        <f>IF($A579="","",IF(_xlfn.XLOOKUP($A579,Korrelation!$D$4:$D$1197,Korrelation!I$4:I$1197,"-",0)="-",0,MATCH(_xlfn.XLOOKUP($A579,Korrelation!$D$4:$D$1197,Korrelation!I$4:I$1197,"",0),DMAV_Dienste!$F$6:$F$140,0)))</f>
        <v>0</v>
      </c>
      <c r="G579" s="57">
        <f>IF($A579="","",IF(_xlfn.XLOOKUP($A579,Korrelation!$D$4:$D$1197,Korrelation!J$4:J$1197,"-",0)="-",0,MATCH(_xlfn.XLOOKUP($A579,Korrelation!$D$4:$D$1197,Korrelation!J$4:J$1197,"",0),DMAV_Dienste!$F$6:$F$140,0)))</f>
        <v>0</v>
      </c>
      <c r="H579" s="57">
        <f>IF($A579="","",IF(_xlfn.XLOOKUP($A579,Korrelation!$D$4:$D$1197,Korrelation!K$4:K$1197,"-",0)="-",0,MATCH(_xlfn.XLOOKUP($A579,Korrelation!$D$4:$D$1197,Korrelation!K$4:K$1197,"",0),'DM01-AV-CH'!$A$6:$A$834,0)))</f>
        <v>0</v>
      </c>
      <c r="J579" s="54" t="str" cm="1">
        <f t="array" aca="1" ref="J579" ca="1">IF(B579=0,IF(E579=0,"",HYPERLINK("#"&amp;RIGHT(CELL("adresse",OFFSET(DMAV_Dienste!$M$6,E579-1,0)),LEN(CELL("adresse",OFFSET(DMAV_Dienste!$M$6,E579-1,0)))-FIND("]",CELL("adresse",OFFSET(DMAV_Dienste!$M$6,E579-1,0)))),"Dienst")),HYPERLINK("#"&amp;RIGHT(CELL("adresse",OFFSET(DMAV_Modell!$N$6,B579-1,0)),LEN(CELL("adresse",OFFSET(DMAV_Modell!$N$6,B579-1,0)))-FIND("]",CELL("adresse",OFFSET(DMAV_Modell!$N$6,B579-1,0)))),"Modell"))</f>
        <v>Modell</v>
      </c>
      <c r="K579" s="61" t="str" cm="1">
        <f t="array" ref="K579">IF($B579=0,IF($E579=0,"",IF(INDEX(DMAV_Dienste!P$6:P$140,$E579)="","",INDEX(DMAV_Dienste!P$6:P$140,$E579))),IF(INDEX(DMAV_Modell!Q$6:Q$838,$B579)="","",INDEX(DMAV_Modell!Q$6:Q$838,$B579)))</f>
        <v>ASSOCIATION.CONSTRAINT</v>
      </c>
      <c r="L579" s="62" t="str" cm="1">
        <f t="array" ref="L579">IF($B579=0,IF($E579=0,"",IF(INDEX(DMAV_Dienste!O$6:O$140,$E579)="","",INDEX(DMAV_Dienste!O$6:O$140,$E579))),IF(INDEX(DMAV_Modell!P$6:P$838,$B579)="","",INDEX(DMAV_Modell!P$6:P$838,$B579)))</f>
        <v>Grundstuecke</v>
      </c>
      <c r="M579" s="62" t="str" cm="1">
        <f t="array" ref="M579">IF($B579=0,IF($E579=0,"",IF(INDEX(DMAV_Dienste!Q$6:Q$140,$E579)="","",INDEX(DMAV_Dienste!Q$6:Q$140,$E579))),IF(INDEX(DMAV_Modell!R$6:R$838,$B579)="","",INDEX(DMAV_Modell!R$6:R$838,$B579)))</f>
        <v>GrundstueckSelbstaendigesDauerndesRecht</v>
      </c>
      <c r="N579" s="62" t="str" cm="1">
        <f t="array" ref="N579">IF($B579=0,IF($E579=0,"",IF(INDEX(DMAV_Dienste!T$6:T$140,$E579)="","",INDEX(DMAV_Dienste!T$6:T$140,$E579))),IF(INDEX(DMAV_Modell!U$6:U$838,$B579)="","",INDEX(DMAV_Modell!U$6:U$838,$B579)))</f>
        <v>NOT(@PH1@)</v>
      </c>
      <c r="O579" s="63" t="str" cm="1">
        <f t="array" aca="1" ref="O579" ca="1">IF(C579=0,IF(F579=0,"",HYPERLINK("#"&amp;RIGHT(CELL("adresse",OFFSET(DMAV_Dienste!$M$6,F579-1,0)),LEN(CELL("adresse",OFFSET(DMAV_Dienste!$M$6,F579-1,0)))-FIND("]",CELL("adresse",OFFSET(DMAV_Dienste!$M$6,F579-1,0)))),"Structure")),HYPERLINK("#"&amp;RIGHT(CELL("adresse",OFFSET(DMAV_Modell!$N$6,C579-1,0)),LEN(CELL("adresse",OFFSET(DMAV_Modell!$N$6,C579-1,0)))-FIND("]",CELL("adresse",OFFSET(DMAV_Modell!$N$6,C579-1,0)))),"Structure"))</f>
        <v/>
      </c>
      <c r="P579" s="64" t="str" cm="1">
        <f t="array" aca="1" ref="P579" ca="1">IF(D579=0,IF(G579=0,"",HYPERLINK("#"&amp;RIGHT(CELL("adresse",OFFSET(DMAV_Dienste!$M$6,G579-1,0)),LEN(CELL("adresse",OFFSET(DMAV_Dienste!$M$6,G579-1,0)))-FIND("]",CELL("adresse",OFFSET(DMAV_Dienste!$M$6,G579-1,0)))),"Substructure")),HYPERLINK("#"&amp;RIGHT(CELL("adresse",OFFSET(DMAV_Modell!$N$6,D579-1,0)),LEN(CELL("adresse",OFFSET(DMAV_Modell!$N$6,D579-1,0)))-FIND("]",CELL("adresse",OFFSET(DMAV_Modell!$N$6,D579-1,0)))),"Substructure"))</f>
        <v/>
      </c>
      <c r="R579" s="80"/>
      <c r="T579" s="93"/>
      <c r="U579" s="94"/>
      <c r="V579" s="95"/>
      <c r="W579" s="96"/>
      <c r="Y579" s="85"/>
      <c r="Z579" s="86"/>
      <c r="AA579" s="87"/>
      <c r="AB579" s="88"/>
      <c r="AD579" s="77"/>
      <c r="AF579" s="54" t="str" cm="1">
        <f t="array" aca="1" ref="AF579" ca="1">IF(H579=0,"",HYPERLINK("#"&amp;RIGHT(CELL("adresse",OFFSET('DM01-AV-CH'!$G$6,H579-1,0)),LEN(CELL("adresse",OFFSET('DM01-AV-CH'!$G$6,H579-1,0)))-FIND("]",CELL("adresse",OFFSET('DM01-AV-CH'!$G$6,H579-1,0)))),"Modell"))</f>
        <v/>
      </c>
      <c r="AG579" s="72" t="str" cm="1">
        <f t="array" ref="AG579">IF($H579=0,"",IF(INDEX('DM01-AV-CH'!G$6:G$834,$H579)="","",INDEX('DM01-AV-CH'!G$6:G$834,$H579)))</f>
        <v/>
      </c>
      <c r="AH579" s="73" t="str" cm="1">
        <f t="array" ref="AH579">IF($H579=0,"",IF(INDEX('DM01-AV-CH'!H$6:H$834,$H579)="","",INDEX('DM01-AV-CH'!H$6:H$834,$H579)))</f>
        <v/>
      </c>
      <c r="AI579" s="74" t="str" cm="1">
        <f t="array" ref="AI579">IF($H579=0,"",IF(INDEX('DM01-AV-CH'!I$6:I$834,$H579)="","",INDEX('DM01-AV-CH'!I$6:I$834,$H579)))</f>
        <v/>
      </c>
    </row>
    <row r="580" spans="1:35" x14ac:dyDescent="0.25">
      <c r="A580" s="57">
        <v>575</v>
      </c>
      <c r="B580" s="57">
        <f>IF($A580="","",IF(_xlfn.XLOOKUP($A580,Korrelation!$D$4:$D$1197,Korrelation!E$4:E$1197,"-",0)="-",0,MATCH(_xlfn.XLOOKUP($A580,Korrelation!$D$4:$D$1197,Korrelation!E$4:E$1197,"",0),DMAV_Modell!$G$6:$G$677,0)))</f>
        <v>286</v>
      </c>
      <c r="C580" s="57">
        <f>IF($A580="","",IF(_xlfn.XLOOKUP($A580,Korrelation!$D$4:$D$1197,Korrelation!F$4:F$1197,"-",0)="-",0,MATCH(_xlfn.XLOOKUP($A580,Korrelation!$D$4:$D$1197,Korrelation!F$4:F$1197,"",0),DMAV_Modell!$G$6:$G$677,0)))</f>
        <v>0</v>
      </c>
      <c r="D580" s="57">
        <f>IF($A580="","",IF(_xlfn.XLOOKUP($A580,Korrelation!$D$4:$D$1197,Korrelation!G$4:G$1197,"-",0)="-",0,MATCH(_xlfn.XLOOKUP($A580,Korrelation!$D$4:$D$1197,Korrelation!G$4:G$1197,"",0),DMAV_Modell!$G$6:$G$677,0)))</f>
        <v>0</v>
      </c>
      <c r="E580" s="57">
        <f>IF($A580="","",IF(_xlfn.XLOOKUP($A580,Korrelation!$D$4:$D$1197,Korrelation!H$4:H$1197,"-",0)="-",0,MATCH(_xlfn.XLOOKUP($A580,Korrelation!$D$4:$D$1197,Korrelation!H$4:H$1197,"",0),DMAV_Dienste!$F$6:$F$140,0)))</f>
        <v>0</v>
      </c>
      <c r="F580" s="57">
        <f>IF($A580="","",IF(_xlfn.XLOOKUP($A580,Korrelation!$D$4:$D$1197,Korrelation!I$4:I$1197,"-",0)="-",0,MATCH(_xlfn.XLOOKUP($A580,Korrelation!$D$4:$D$1197,Korrelation!I$4:I$1197,"",0),DMAV_Dienste!$F$6:$F$140,0)))</f>
        <v>0</v>
      </c>
      <c r="G580" s="57">
        <f>IF($A580="","",IF(_xlfn.XLOOKUP($A580,Korrelation!$D$4:$D$1197,Korrelation!J$4:J$1197,"-",0)="-",0,MATCH(_xlfn.XLOOKUP($A580,Korrelation!$D$4:$D$1197,Korrelation!J$4:J$1197,"",0),DMAV_Dienste!$F$6:$F$140,0)))</f>
        <v>0</v>
      </c>
      <c r="H580" s="57">
        <f>IF($A580="","",IF(_xlfn.XLOOKUP($A580,Korrelation!$D$4:$D$1197,Korrelation!K$4:K$1197,"-",0)="-",0,MATCH(_xlfn.XLOOKUP($A580,Korrelation!$D$4:$D$1197,Korrelation!K$4:K$1197,"",0),'DM01-AV-CH'!$A$6:$A$834,0)))</f>
        <v>0</v>
      </c>
      <c r="J580" s="54" t="str" cm="1">
        <f t="array" aca="1" ref="J580" ca="1">IF(B580=0,IF(E580=0,"",HYPERLINK("#"&amp;RIGHT(CELL("adresse",OFFSET(DMAV_Dienste!$M$6,E580-1,0)),LEN(CELL("adresse",OFFSET(DMAV_Dienste!$M$6,E580-1,0)))-FIND("]",CELL("adresse",OFFSET(DMAV_Dienste!$M$6,E580-1,0)))),"Dienst")),HYPERLINK("#"&amp;RIGHT(CELL("adresse",OFFSET(DMAV_Modell!$N$6,B580-1,0)),LEN(CELL("adresse",OFFSET(DMAV_Modell!$N$6,B580-1,0)))-FIND("]",CELL("adresse",OFFSET(DMAV_Modell!$N$6,B580-1,0)))),"Modell"))</f>
        <v>Modell</v>
      </c>
      <c r="K580" s="61" t="str" cm="1">
        <f t="array" ref="K580">IF($B580=0,IF($E580=0,"",IF(INDEX(DMAV_Dienste!P$6:P$140,$E580)="","",INDEX(DMAV_Dienste!P$6:P$140,$E580))),IF(INDEX(DMAV_Modell!Q$6:Q$838,$B580)="","",INDEX(DMAV_Modell!Q$6:Q$838,$B580)))</f>
        <v>CONSTRAINTS OF.CONSTRAINT</v>
      </c>
      <c r="L580" s="62" t="str" cm="1">
        <f t="array" ref="L580">IF($B580=0,IF($E580=0,"",IF(INDEX(DMAV_Dienste!O$6:O$140,$E580)="","",INDEX(DMAV_Dienste!O$6:O$140,$E580))),IF(INDEX(DMAV_Modell!P$6:P$838,$B580)="","",INDEX(DMAV_Modell!P$6:P$838,$B580)))</f>
        <v>Grundstuecke</v>
      </c>
      <c r="M580" s="62" t="str" cm="1">
        <f t="array" ref="M580">IF($B580=0,IF($E580=0,"",IF(INDEX(DMAV_Dienste!Q$6:Q$140,$E580)="","",INDEX(DMAV_Dienste!Q$6:Q$140,$E580))),IF(INDEX(DMAV_Modell!R$6:R$838,$B580)="","",INDEX(DMAV_Modell!R$6:R$838,$B580)))</f>
        <v>SelbstaendigesDauerndesRecht</v>
      </c>
      <c r="N580" s="62" t="str" cm="1">
        <f t="array" ref="N580">IF($B580=0,IF($E580=0,"",IF(INDEX(DMAV_Dienste!T$6:T$140,$E580)="","",INDEX(DMAV_Dienste!T$6:T$140,$E580))),IF(INDEX(DMAV_Modell!U$6:U$838,$B580)="","",INDEX(DMAV_Modell!U$6:U$838,$B580)))</f>
        <v>DEFINED(@PH1@)==@PH2@</v>
      </c>
      <c r="O580" s="63" t="str" cm="1">
        <f t="array" aca="1" ref="O580" ca="1">IF(C580=0,IF(F580=0,"",HYPERLINK("#"&amp;RIGHT(CELL("adresse",OFFSET(DMAV_Dienste!$M$6,F580-1,0)),LEN(CELL("adresse",OFFSET(DMAV_Dienste!$M$6,F580-1,0)))-FIND("]",CELL("adresse",OFFSET(DMAV_Dienste!$M$6,F580-1,0)))),"Structure")),HYPERLINK("#"&amp;RIGHT(CELL("adresse",OFFSET(DMAV_Modell!$N$6,C580-1,0)),LEN(CELL("adresse",OFFSET(DMAV_Modell!$N$6,C580-1,0)))-FIND("]",CELL("adresse",OFFSET(DMAV_Modell!$N$6,C580-1,0)))),"Structure"))</f>
        <v/>
      </c>
      <c r="P580" s="64" t="str" cm="1">
        <f t="array" aca="1" ref="P580" ca="1">IF(D580=0,IF(G580=0,"",HYPERLINK("#"&amp;RIGHT(CELL("adresse",OFFSET(DMAV_Dienste!$M$6,G580-1,0)),LEN(CELL("adresse",OFFSET(DMAV_Dienste!$M$6,G580-1,0)))-FIND("]",CELL("adresse",OFFSET(DMAV_Dienste!$M$6,G580-1,0)))),"Substructure")),HYPERLINK("#"&amp;RIGHT(CELL("adresse",OFFSET(DMAV_Modell!$N$6,D580-1,0)),LEN(CELL("adresse",OFFSET(DMAV_Modell!$N$6,D580-1,0)))-FIND("]",CELL("adresse",OFFSET(DMAV_Modell!$N$6,D580-1,0)))),"Substructure"))</f>
        <v/>
      </c>
      <c r="R580" s="80"/>
      <c r="T580" s="93"/>
      <c r="U580" s="94"/>
      <c r="V580" s="95"/>
      <c r="W580" s="96"/>
      <c r="Y580" s="85"/>
      <c r="Z580" s="86"/>
      <c r="AA580" s="87"/>
      <c r="AB580" s="88"/>
      <c r="AD580" s="77"/>
      <c r="AF580" s="54" t="str" cm="1">
        <f t="array" aca="1" ref="AF580" ca="1">IF(H580=0,"",HYPERLINK("#"&amp;RIGHT(CELL("adresse",OFFSET('DM01-AV-CH'!$G$6,H580-1,0)),LEN(CELL("adresse",OFFSET('DM01-AV-CH'!$G$6,H580-1,0)))-FIND("]",CELL("adresse",OFFSET('DM01-AV-CH'!$G$6,H580-1,0)))),"Modell"))</f>
        <v/>
      </c>
      <c r="AG580" s="72" t="str" cm="1">
        <f t="array" ref="AG580">IF($H580=0,"",IF(INDEX('DM01-AV-CH'!G$6:G$834,$H580)="","",INDEX('DM01-AV-CH'!G$6:G$834,$H580)))</f>
        <v/>
      </c>
      <c r="AH580" s="73" t="str" cm="1">
        <f t="array" ref="AH580">IF($H580=0,"",IF(INDEX('DM01-AV-CH'!H$6:H$834,$H580)="","",INDEX('DM01-AV-CH'!H$6:H$834,$H580)))</f>
        <v/>
      </c>
      <c r="AI580" s="74" t="str" cm="1">
        <f t="array" ref="AI580">IF($H580=0,"",IF(INDEX('DM01-AV-CH'!I$6:I$834,$H580)="","",INDEX('DM01-AV-CH'!I$6:I$834,$H580)))</f>
        <v/>
      </c>
    </row>
    <row r="581" spans="1:35" x14ac:dyDescent="0.25">
      <c r="A581" s="57">
        <v>576</v>
      </c>
      <c r="B581" s="57">
        <f>IF($A581="","",IF(_xlfn.XLOOKUP($A581,Korrelation!$D$4:$D$1197,Korrelation!E$4:E$1197,"-",0)="-",0,MATCH(_xlfn.XLOOKUP($A581,Korrelation!$D$4:$D$1197,Korrelation!E$4:E$1197,"",0),DMAV_Modell!$G$6:$G$677,0)))</f>
        <v>287</v>
      </c>
      <c r="C581" s="57">
        <f>IF($A581="","",IF(_xlfn.XLOOKUP($A581,Korrelation!$D$4:$D$1197,Korrelation!F$4:F$1197,"-",0)="-",0,MATCH(_xlfn.XLOOKUP($A581,Korrelation!$D$4:$D$1197,Korrelation!F$4:F$1197,"",0),DMAV_Modell!$G$6:$G$677,0)))</f>
        <v>0</v>
      </c>
      <c r="D581" s="57">
        <f>IF($A581="","",IF(_xlfn.XLOOKUP($A581,Korrelation!$D$4:$D$1197,Korrelation!G$4:G$1197,"-",0)="-",0,MATCH(_xlfn.XLOOKUP($A581,Korrelation!$D$4:$D$1197,Korrelation!G$4:G$1197,"",0),DMAV_Modell!$G$6:$G$677,0)))</f>
        <v>0</v>
      </c>
      <c r="E581" s="57">
        <f>IF($A581="","",IF(_xlfn.XLOOKUP($A581,Korrelation!$D$4:$D$1197,Korrelation!H$4:H$1197,"-",0)="-",0,MATCH(_xlfn.XLOOKUP($A581,Korrelation!$D$4:$D$1197,Korrelation!H$4:H$1197,"",0),DMAV_Dienste!$F$6:$F$140,0)))</f>
        <v>0</v>
      </c>
      <c r="F581" s="57">
        <f>IF($A581="","",IF(_xlfn.XLOOKUP($A581,Korrelation!$D$4:$D$1197,Korrelation!I$4:I$1197,"-",0)="-",0,MATCH(_xlfn.XLOOKUP($A581,Korrelation!$D$4:$D$1197,Korrelation!I$4:I$1197,"",0),DMAV_Dienste!$F$6:$F$140,0)))</f>
        <v>0</v>
      </c>
      <c r="G581" s="57">
        <f>IF($A581="","",IF(_xlfn.XLOOKUP($A581,Korrelation!$D$4:$D$1197,Korrelation!J$4:J$1197,"-",0)="-",0,MATCH(_xlfn.XLOOKUP($A581,Korrelation!$D$4:$D$1197,Korrelation!J$4:J$1197,"",0),DMAV_Dienste!$F$6:$F$140,0)))</f>
        <v>0</v>
      </c>
      <c r="H581" s="57">
        <f>IF($A581="","",IF(_xlfn.XLOOKUP($A581,Korrelation!$D$4:$D$1197,Korrelation!K$4:K$1197,"-",0)="-",0,MATCH(_xlfn.XLOOKUP($A581,Korrelation!$D$4:$D$1197,Korrelation!K$4:K$1197,"",0),'DM01-AV-CH'!$A$6:$A$834,0)))</f>
        <v>0</v>
      </c>
      <c r="J581" s="54" t="str" cm="1">
        <f t="array" aca="1" ref="J581" ca="1">IF(B581=0,IF(E581=0,"",HYPERLINK("#"&amp;RIGHT(CELL("adresse",OFFSET(DMAV_Dienste!$M$6,E581-1,0)),LEN(CELL("adresse",OFFSET(DMAV_Dienste!$M$6,E581-1,0)))-FIND("]",CELL("adresse",OFFSET(DMAV_Dienste!$M$6,E581-1,0)))),"Dienst")),HYPERLINK("#"&amp;RIGHT(CELL("adresse",OFFSET(DMAV_Modell!$N$6,B581-1,0)),LEN(CELL("adresse",OFFSET(DMAV_Modell!$N$6,B581-1,0)))-FIND("]",CELL("adresse",OFFSET(DMAV_Modell!$N$6,B581-1,0)))),"Modell"))</f>
        <v>Modell</v>
      </c>
      <c r="K581" s="61" t="str" cm="1">
        <f t="array" ref="K581">IF($B581=0,IF($E581=0,"",IF(INDEX(DMAV_Dienste!P$6:P$140,$E581)="","",INDEX(DMAV_Dienste!P$6:P$140,$E581))),IF(INDEX(DMAV_Modell!Q$6:Q$838,$B581)="","",INDEX(DMAV_Modell!Q$6:Q$838,$B581)))</f>
        <v>CONSTRAINTS OF.CONSTRAINT</v>
      </c>
      <c r="L581" s="62" t="str" cm="1">
        <f t="array" ref="L581">IF($B581=0,IF($E581=0,"",IF(INDEX(DMAV_Dienste!O$6:O$140,$E581)="","",INDEX(DMAV_Dienste!O$6:O$140,$E581))),IF(INDEX(DMAV_Modell!P$6:P$838,$B581)="","",INDEX(DMAV_Modell!P$6:P$838,$B581)))</f>
        <v>Grundstuecke</v>
      </c>
      <c r="M581" s="62" t="str" cm="1">
        <f t="array" ref="M581">IF($B581=0,IF($E581=0,"",IF(INDEX(DMAV_Dienste!Q$6:Q$140,$E581)="","",INDEX(DMAV_Dienste!Q$6:Q$140,$E581))),IF(INDEX(DMAV_Modell!R$6:R$838,$B581)="","",INDEX(DMAV_Modell!R$6:R$838,$B581)))</f>
        <v>SelbstaendigesDauerndesRecht</v>
      </c>
      <c r="N581" s="62" t="str" cm="1">
        <f t="array" ref="N581">IF($B581=0,IF($E581=0,"",IF(INDEX(DMAV_Dienste!T$6:T$140,$E581)="","",INDEX(DMAV_Dienste!T$6:T$140,$E581))),IF(INDEX(DMAV_Modell!U$6:U$838,$B581)="","",INDEX(DMAV_Modell!U$6:U$838,$B581)))</f>
        <v>NOT(DEFINED(@PH1@)) == @PH2@</v>
      </c>
      <c r="O581" s="63" t="str" cm="1">
        <f t="array" aca="1" ref="O581" ca="1">IF(C581=0,IF(F581=0,"",HYPERLINK("#"&amp;RIGHT(CELL("adresse",OFFSET(DMAV_Dienste!$M$6,F581-1,0)),LEN(CELL("adresse",OFFSET(DMAV_Dienste!$M$6,F581-1,0)))-FIND("]",CELL("adresse",OFFSET(DMAV_Dienste!$M$6,F581-1,0)))),"Structure")),HYPERLINK("#"&amp;RIGHT(CELL("adresse",OFFSET(DMAV_Modell!$N$6,C581-1,0)),LEN(CELL("adresse",OFFSET(DMAV_Modell!$N$6,C581-1,0)))-FIND("]",CELL("adresse",OFFSET(DMAV_Modell!$N$6,C581-1,0)))),"Structure"))</f>
        <v/>
      </c>
      <c r="P581" s="64" t="str" cm="1">
        <f t="array" aca="1" ref="P581" ca="1">IF(D581=0,IF(G581=0,"",HYPERLINK("#"&amp;RIGHT(CELL("adresse",OFFSET(DMAV_Dienste!$M$6,G581-1,0)),LEN(CELL("adresse",OFFSET(DMAV_Dienste!$M$6,G581-1,0)))-FIND("]",CELL("adresse",OFFSET(DMAV_Dienste!$M$6,G581-1,0)))),"Substructure")),HYPERLINK("#"&amp;RIGHT(CELL("adresse",OFFSET(DMAV_Modell!$N$6,D581-1,0)),LEN(CELL("adresse",OFFSET(DMAV_Modell!$N$6,D581-1,0)))-FIND("]",CELL("adresse",OFFSET(DMAV_Modell!$N$6,D581-1,0)))),"Substructure"))</f>
        <v/>
      </c>
      <c r="R581" s="80"/>
      <c r="T581" s="93"/>
      <c r="U581" s="94"/>
      <c r="V581" s="95"/>
      <c r="W581" s="96"/>
      <c r="Y581" s="85"/>
      <c r="Z581" s="86"/>
      <c r="AA581" s="87"/>
      <c r="AB581" s="88"/>
      <c r="AD581" s="77"/>
      <c r="AF581" s="54" t="str" cm="1">
        <f t="array" aca="1" ref="AF581" ca="1">IF(H581=0,"",HYPERLINK("#"&amp;RIGHT(CELL("adresse",OFFSET('DM01-AV-CH'!$G$6,H581-1,0)),LEN(CELL("adresse",OFFSET('DM01-AV-CH'!$G$6,H581-1,0)))-FIND("]",CELL("adresse",OFFSET('DM01-AV-CH'!$G$6,H581-1,0)))),"Modell"))</f>
        <v/>
      </c>
      <c r="AG581" s="72" t="str" cm="1">
        <f t="array" ref="AG581">IF($H581=0,"",IF(INDEX('DM01-AV-CH'!G$6:G$834,$H581)="","",INDEX('DM01-AV-CH'!G$6:G$834,$H581)))</f>
        <v/>
      </c>
      <c r="AH581" s="73" t="str" cm="1">
        <f t="array" ref="AH581">IF($H581=0,"",IF(INDEX('DM01-AV-CH'!H$6:H$834,$H581)="","",INDEX('DM01-AV-CH'!H$6:H$834,$H581)))</f>
        <v/>
      </c>
      <c r="AI581" s="74" t="str" cm="1">
        <f t="array" ref="AI581">IF($H581=0,"",IF(INDEX('DM01-AV-CH'!I$6:I$834,$H581)="","",INDEX('DM01-AV-CH'!I$6:I$834,$H581)))</f>
        <v/>
      </c>
    </row>
    <row r="582" spans="1:35" x14ac:dyDescent="0.25">
      <c r="A582" s="57">
        <v>577</v>
      </c>
      <c r="B582" s="57">
        <f>IF($A582="","",IF(_xlfn.XLOOKUP($A582,Korrelation!$D$4:$D$1197,Korrelation!E$4:E$1197,"-",0)="-",0,MATCH(_xlfn.XLOOKUP($A582,Korrelation!$D$4:$D$1197,Korrelation!E$4:E$1197,"",0),DMAV_Modell!$G$6:$G$677,0)))</f>
        <v>288</v>
      </c>
      <c r="C582" s="57">
        <f>IF($A582="","",IF(_xlfn.XLOOKUP($A582,Korrelation!$D$4:$D$1197,Korrelation!F$4:F$1197,"-",0)="-",0,MATCH(_xlfn.XLOOKUP($A582,Korrelation!$D$4:$D$1197,Korrelation!F$4:F$1197,"",0),DMAV_Modell!$G$6:$G$677,0)))</f>
        <v>0</v>
      </c>
      <c r="D582" s="57">
        <f>IF($A582="","",IF(_xlfn.XLOOKUP($A582,Korrelation!$D$4:$D$1197,Korrelation!G$4:G$1197,"-",0)="-",0,MATCH(_xlfn.XLOOKUP($A582,Korrelation!$D$4:$D$1197,Korrelation!G$4:G$1197,"",0),DMAV_Modell!$G$6:$G$677,0)))</f>
        <v>0</v>
      </c>
      <c r="E582" s="57">
        <f>IF($A582="","",IF(_xlfn.XLOOKUP($A582,Korrelation!$D$4:$D$1197,Korrelation!H$4:H$1197,"-",0)="-",0,MATCH(_xlfn.XLOOKUP($A582,Korrelation!$D$4:$D$1197,Korrelation!H$4:H$1197,"",0),DMAV_Dienste!$F$6:$F$140,0)))</f>
        <v>0</v>
      </c>
      <c r="F582" s="57">
        <f>IF($A582="","",IF(_xlfn.XLOOKUP($A582,Korrelation!$D$4:$D$1197,Korrelation!I$4:I$1197,"-",0)="-",0,MATCH(_xlfn.XLOOKUP($A582,Korrelation!$D$4:$D$1197,Korrelation!I$4:I$1197,"",0),DMAV_Dienste!$F$6:$F$140,0)))</f>
        <v>0</v>
      </c>
      <c r="G582" s="57">
        <f>IF($A582="","",IF(_xlfn.XLOOKUP($A582,Korrelation!$D$4:$D$1197,Korrelation!J$4:J$1197,"-",0)="-",0,MATCH(_xlfn.XLOOKUP($A582,Korrelation!$D$4:$D$1197,Korrelation!J$4:J$1197,"",0),DMAV_Dienste!$F$6:$F$140,0)))</f>
        <v>0</v>
      </c>
      <c r="H582" s="57">
        <f>IF($A582="","",IF(_xlfn.XLOOKUP($A582,Korrelation!$D$4:$D$1197,Korrelation!K$4:K$1197,"-",0)="-",0,MATCH(_xlfn.XLOOKUP($A582,Korrelation!$D$4:$D$1197,Korrelation!K$4:K$1197,"",0),'DM01-AV-CH'!$A$6:$A$834,0)))</f>
        <v>0</v>
      </c>
      <c r="J582" s="54" t="str" cm="1">
        <f t="array" aca="1" ref="J582" ca="1">IF(B582=0,IF(E582=0,"",HYPERLINK("#"&amp;RIGHT(CELL("adresse",OFFSET(DMAV_Dienste!$M$6,E582-1,0)),LEN(CELL("adresse",OFFSET(DMAV_Dienste!$M$6,E582-1,0)))-FIND("]",CELL("adresse",OFFSET(DMAV_Dienste!$M$6,E582-1,0)))),"Dienst")),HYPERLINK("#"&amp;RIGHT(CELL("adresse",OFFSET(DMAV_Modell!$N$6,B582-1,0)),LEN(CELL("adresse",OFFSET(DMAV_Modell!$N$6,B582-1,0)))-FIND("]",CELL("adresse",OFFSET(DMAV_Modell!$N$6,B582-1,0)))),"Modell"))</f>
        <v>Modell</v>
      </c>
      <c r="K582" s="61" t="str" cm="1">
        <f t="array" ref="K582">IF($B582=0,IF($E582=0,"",IF(INDEX(DMAV_Dienste!P$6:P$140,$E582)="","",INDEX(DMAV_Dienste!P$6:P$140,$E582))),IF(INDEX(DMAV_Modell!Q$6:Q$838,$B582)="","",INDEX(DMAV_Modell!Q$6:Q$838,$B582)))</f>
        <v>VIEW</v>
      </c>
      <c r="L582" s="62" t="str" cm="1">
        <f t="array" ref="L582">IF($B582=0,IF($E582=0,"",IF(INDEX(DMAV_Dienste!O$6:O$140,$E582)="","",INDEX(DMAV_Dienste!O$6:O$140,$E582))),IF(INDEX(DMAV_Modell!P$6:P$838,$B582)="","",INDEX(DMAV_Modell!P$6:P$838,$B582)))</f>
        <v>Grundstuecke</v>
      </c>
      <c r="M582" s="62" t="str" cm="1">
        <f t="array" ref="M582">IF($B582=0,IF($E582=0,"",IF(INDEX(DMAV_Dienste!Q$6:Q$140,$E582)="","",INDEX(DMAV_Dienste!Q$6:Q$140,$E582))),IF(INDEX(DMAV_Modell!R$6:R$838,$B582)="","",INDEX(DMAV_Modell!R$6:R$838,$B582)))</f>
        <v>SelbstaendigesDauerndesRecht_Gueltig</v>
      </c>
      <c r="N582" s="62" t="str" cm="1">
        <f t="array" ref="N582">IF($B582=0,IF($E582=0,"",IF(INDEX(DMAV_Dienste!T$6:T$140,$E582)="","",INDEX(DMAV_Dienste!T$6:T$140,$E582))),IF(INDEX(DMAV_Modell!U$6:U$838,$B582)="","",INDEX(DMAV_Modell!U$6:U$838,$B582)))</f>
        <v>PROJECTION OF</v>
      </c>
      <c r="O582" s="63" t="str" cm="1">
        <f t="array" aca="1" ref="O582" ca="1">IF(C582=0,IF(F582=0,"",HYPERLINK("#"&amp;RIGHT(CELL("adresse",OFFSET(DMAV_Dienste!$M$6,F582-1,0)),LEN(CELL("adresse",OFFSET(DMAV_Dienste!$M$6,F582-1,0)))-FIND("]",CELL("adresse",OFFSET(DMAV_Dienste!$M$6,F582-1,0)))),"Structure")),HYPERLINK("#"&amp;RIGHT(CELL("adresse",OFFSET(DMAV_Modell!$N$6,C582-1,0)),LEN(CELL("adresse",OFFSET(DMAV_Modell!$N$6,C582-1,0)))-FIND("]",CELL("adresse",OFFSET(DMAV_Modell!$N$6,C582-1,0)))),"Structure"))</f>
        <v/>
      </c>
      <c r="P582" s="64" t="str" cm="1">
        <f t="array" aca="1" ref="P582" ca="1">IF(D582=0,IF(G582=0,"",HYPERLINK("#"&amp;RIGHT(CELL("adresse",OFFSET(DMAV_Dienste!$M$6,G582-1,0)),LEN(CELL("adresse",OFFSET(DMAV_Dienste!$M$6,G582-1,0)))-FIND("]",CELL("adresse",OFFSET(DMAV_Dienste!$M$6,G582-1,0)))),"Substructure")),HYPERLINK("#"&amp;RIGHT(CELL("adresse",OFFSET(DMAV_Modell!$N$6,D582-1,0)),LEN(CELL("adresse",OFFSET(DMAV_Modell!$N$6,D582-1,0)))-FIND("]",CELL("adresse",OFFSET(DMAV_Modell!$N$6,D582-1,0)))),"Substructure"))</f>
        <v/>
      </c>
      <c r="R582" s="80"/>
      <c r="T582" s="93"/>
      <c r="U582" s="94"/>
      <c r="V582" s="95"/>
      <c r="W582" s="96"/>
      <c r="Y582" s="85"/>
      <c r="Z582" s="86"/>
      <c r="AA582" s="87"/>
      <c r="AB582" s="88"/>
      <c r="AD582" s="77"/>
      <c r="AF582" s="54" t="str" cm="1">
        <f t="array" aca="1" ref="AF582" ca="1">IF(H582=0,"",HYPERLINK("#"&amp;RIGHT(CELL("adresse",OFFSET('DM01-AV-CH'!$G$6,H582-1,0)),LEN(CELL("adresse",OFFSET('DM01-AV-CH'!$G$6,H582-1,0)))-FIND("]",CELL("adresse",OFFSET('DM01-AV-CH'!$G$6,H582-1,0)))),"Modell"))</f>
        <v/>
      </c>
      <c r="AG582" s="72" t="str" cm="1">
        <f t="array" ref="AG582">IF($H582=0,"",IF(INDEX('DM01-AV-CH'!G$6:G$834,$H582)="","",INDEX('DM01-AV-CH'!G$6:G$834,$H582)))</f>
        <v/>
      </c>
      <c r="AH582" s="73" t="str" cm="1">
        <f t="array" ref="AH582">IF($H582=0,"",IF(INDEX('DM01-AV-CH'!H$6:H$834,$H582)="","",INDEX('DM01-AV-CH'!H$6:H$834,$H582)))</f>
        <v/>
      </c>
      <c r="AI582" s="74" t="str" cm="1">
        <f t="array" ref="AI582">IF($H582=0,"",IF(INDEX('DM01-AV-CH'!I$6:I$834,$H582)="","",INDEX('DM01-AV-CH'!I$6:I$834,$H582)))</f>
        <v/>
      </c>
    </row>
    <row r="583" spans="1:35" x14ac:dyDescent="0.25">
      <c r="A583" s="57">
        <v>578</v>
      </c>
      <c r="B583" s="57">
        <f>IF($A583="","",IF(_xlfn.XLOOKUP($A583,Korrelation!$D$4:$D$1197,Korrelation!E$4:E$1197,"-",0)="-",0,MATCH(_xlfn.XLOOKUP($A583,Korrelation!$D$4:$D$1197,Korrelation!E$4:E$1197,"",0),DMAV_Modell!$G$6:$G$677,0)))</f>
        <v>289</v>
      </c>
      <c r="C583" s="57">
        <f>IF($A583="","",IF(_xlfn.XLOOKUP($A583,Korrelation!$D$4:$D$1197,Korrelation!F$4:F$1197,"-",0)="-",0,MATCH(_xlfn.XLOOKUP($A583,Korrelation!$D$4:$D$1197,Korrelation!F$4:F$1197,"",0),DMAV_Modell!$G$6:$G$677,0)))</f>
        <v>0</v>
      </c>
      <c r="D583" s="57">
        <f>IF($A583="","",IF(_xlfn.XLOOKUP($A583,Korrelation!$D$4:$D$1197,Korrelation!G$4:G$1197,"-",0)="-",0,MATCH(_xlfn.XLOOKUP($A583,Korrelation!$D$4:$D$1197,Korrelation!G$4:G$1197,"",0),DMAV_Modell!$G$6:$G$677,0)))</f>
        <v>0</v>
      </c>
      <c r="E583" s="57">
        <f>IF($A583="","",IF(_xlfn.XLOOKUP($A583,Korrelation!$D$4:$D$1197,Korrelation!H$4:H$1197,"-",0)="-",0,MATCH(_xlfn.XLOOKUP($A583,Korrelation!$D$4:$D$1197,Korrelation!H$4:H$1197,"",0),DMAV_Dienste!$F$6:$F$140,0)))</f>
        <v>0</v>
      </c>
      <c r="F583" s="57">
        <f>IF($A583="","",IF(_xlfn.XLOOKUP($A583,Korrelation!$D$4:$D$1197,Korrelation!I$4:I$1197,"-",0)="-",0,MATCH(_xlfn.XLOOKUP($A583,Korrelation!$D$4:$D$1197,Korrelation!I$4:I$1197,"",0),DMAV_Dienste!$F$6:$F$140,0)))</f>
        <v>0</v>
      </c>
      <c r="G583" s="57">
        <f>IF($A583="","",IF(_xlfn.XLOOKUP($A583,Korrelation!$D$4:$D$1197,Korrelation!J$4:J$1197,"-",0)="-",0,MATCH(_xlfn.XLOOKUP($A583,Korrelation!$D$4:$D$1197,Korrelation!J$4:J$1197,"",0),DMAV_Dienste!$F$6:$F$140,0)))</f>
        <v>0</v>
      </c>
      <c r="H583" s="57">
        <f>IF($A583="","",IF(_xlfn.XLOOKUP($A583,Korrelation!$D$4:$D$1197,Korrelation!K$4:K$1197,"-",0)="-",0,MATCH(_xlfn.XLOOKUP($A583,Korrelation!$D$4:$D$1197,Korrelation!K$4:K$1197,"",0),'DM01-AV-CH'!$A$6:$A$834,0)))</f>
        <v>0</v>
      </c>
      <c r="J583" s="54" t="str" cm="1">
        <f t="array" aca="1" ref="J583" ca="1">IF(B583=0,IF(E583=0,"",HYPERLINK("#"&amp;RIGHT(CELL("adresse",OFFSET(DMAV_Dienste!$M$6,E583-1,0)),LEN(CELL("adresse",OFFSET(DMAV_Dienste!$M$6,E583-1,0)))-FIND("]",CELL("adresse",OFFSET(DMAV_Dienste!$M$6,E583-1,0)))),"Dienst")),HYPERLINK("#"&amp;RIGHT(CELL("adresse",OFFSET(DMAV_Modell!$N$6,B583-1,0)),LEN(CELL("adresse",OFFSET(DMAV_Modell!$N$6,B583-1,0)))-FIND("]",CELL("adresse",OFFSET(DMAV_Modell!$N$6,B583-1,0)))),"Modell"))</f>
        <v>Modell</v>
      </c>
      <c r="K583" s="61" t="str" cm="1">
        <f t="array" ref="K583">IF($B583=0,IF($E583=0,"",IF(INDEX(DMAV_Dienste!P$6:P$140,$E583)="","",INDEX(DMAV_Dienste!P$6:P$140,$E583))),IF(INDEX(DMAV_Modell!Q$6:Q$838,$B583)="","",INDEX(DMAV_Modell!Q$6:Q$838,$B583)))</f>
        <v>VIEW</v>
      </c>
      <c r="L583" s="62" t="str" cm="1">
        <f t="array" ref="L583">IF($B583=0,IF($E583=0,"",IF(INDEX(DMAV_Dienste!O$6:O$140,$E583)="","",INDEX(DMAV_Dienste!O$6:O$140,$E583))),IF(INDEX(DMAV_Modell!P$6:P$838,$B583)="","",INDEX(DMAV_Modell!P$6:P$838,$B583)))</f>
        <v>Grundstuecke</v>
      </c>
      <c r="M583" s="62" t="str" cm="1">
        <f t="array" ref="M583">IF($B583=0,IF($E583=0,"",IF(INDEX(DMAV_Dienste!Q$6:Q$140,$E583)="","",INDEX(DMAV_Dienste!Q$6:Q$140,$E583))),IF(INDEX(DMAV_Modell!R$6:R$838,$B583)="","",INDEX(DMAV_Modell!R$6:R$838,$B583)))</f>
        <v>SelbstaendigesDauerndesRecht_Gueltig</v>
      </c>
      <c r="N583" s="62" t="str" cm="1">
        <f t="array" ref="N583">IF($B583=0,IF($E583=0,"",IF(INDEX(DMAV_Dienste!T$6:T$140,$E583)="","",INDEX(DMAV_Dienste!T$6:T$140,$E583))),IF(INDEX(DMAV_Modell!U$6:U$838,$B583)="","",INDEX(DMAV_Modell!U$6:U$838,$B583)))</f>
        <v>WHERE DEFINED(@PH1@) AND DEFINED(@PH2@) AND (NOT(DEFINED(@PH3@)) OR NOT(DEFINED(@PH4@)))</v>
      </c>
      <c r="O583" s="63" t="str" cm="1">
        <f t="array" aca="1" ref="O583" ca="1">IF(C583=0,IF(F583=0,"",HYPERLINK("#"&amp;RIGHT(CELL("adresse",OFFSET(DMAV_Dienste!$M$6,F583-1,0)),LEN(CELL("adresse",OFFSET(DMAV_Dienste!$M$6,F583-1,0)))-FIND("]",CELL("adresse",OFFSET(DMAV_Dienste!$M$6,F583-1,0)))),"Structure")),HYPERLINK("#"&amp;RIGHT(CELL("adresse",OFFSET(DMAV_Modell!$N$6,C583-1,0)),LEN(CELL("adresse",OFFSET(DMAV_Modell!$N$6,C583-1,0)))-FIND("]",CELL("adresse",OFFSET(DMAV_Modell!$N$6,C583-1,0)))),"Structure"))</f>
        <v/>
      </c>
      <c r="P583" s="64" t="str" cm="1">
        <f t="array" aca="1" ref="P583" ca="1">IF(D583=0,IF(G583=0,"",HYPERLINK("#"&amp;RIGHT(CELL("adresse",OFFSET(DMAV_Dienste!$M$6,G583-1,0)),LEN(CELL("adresse",OFFSET(DMAV_Dienste!$M$6,G583-1,0)))-FIND("]",CELL("adresse",OFFSET(DMAV_Dienste!$M$6,G583-1,0)))),"Substructure")),HYPERLINK("#"&amp;RIGHT(CELL("adresse",OFFSET(DMAV_Modell!$N$6,D583-1,0)),LEN(CELL("adresse",OFFSET(DMAV_Modell!$N$6,D583-1,0)))-FIND("]",CELL("adresse",OFFSET(DMAV_Modell!$N$6,D583-1,0)))),"Substructure"))</f>
        <v/>
      </c>
      <c r="R583" s="80"/>
      <c r="T583" s="93"/>
      <c r="U583" s="94"/>
      <c r="V583" s="95"/>
      <c r="W583" s="96"/>
      <c r="Y583" s="85"/>
      <c r="Z583" s="86"/>
      <c r="AA583" s="87"/>
      <c r="AB583" s="88"/>
      <c r="AD583" s="77"/>
      <c r="AF583" s="54" t="str" cm="1">
        <f t="array" aca="1" ref="AF583" ca="1">IF(H583=0,"",HYPERLINK("#"&amp;RIGHT(CELL("adresse",OFFSET('DM01-AV-CH'!$G$6,H583-1,0)),LEN(CELL("adresse",OFFSET('DM01-AV-CH'!$G$6,H583-1,0)))-FIND("]",CELL("adresse",OFFSET('DM01-AV-CH'!$G$6,H583-1,0)))),"Modell"))</f>
        <v/>
      </c>
      <c r="AG583" s="72" t="str" cm="1">
        <f t="array" ref="AG583">IF($H583=0,"",IF(INDEX('DM01-AV-CH'!G$6:G$834,$H583)="","",INDEX('DM01-AV-CH'!G$6:G$834,$H583)))</f>
        <v/>
      </c>
      <c r="AH583" s="73" t="str" cm="1">
        <f t="array" ref="AH583">IF($H583=0,"",IF(INDEX('DM01-AV-CH'!H$6:H$834,$H583)="","",INDEX('DM01-AV-CH'!H$6:H$834,$H583)))</f>
        <v/>
      </c>
      <c r="AI583" s="74" t="str" cm="1">
        <f t="array" ref="AI583">IF($H583=0,"",IF(INDEX('DM01-AV-CH'!I$6:I$834,$H583)="","",INDEX('DM01-AV-CH'!I$6:I$834,$H583)))</f>
        <v/>
      </c>
    </row>
    <row r="584" spans="1:35" x14ac:dyDescent="0.25">
      <c r="A584" s="57">
        <v>579</v>
      </c>
      <c r="B584" s="57">
        <f>IF($A584="","",IF(_xlfn.XLOOKUP($A584,Korrelation!$D$4:$D$1197,Korrelation!E$4:E$1197,"-",0)="-",0,MATCH(_xlfn.XLOOKUP($A584,Korrelation!$D$4:$D$1197,Korrelation!E$4:E$1197,"",0),DMAV_Modell!$G$6:$G$677,0)))</f>
        <v>290</v>
      </c>
      <c r="C584" s="57">
        <f>IF($A584="","",IF(_xlfn.XLOOKUP($A584,Korrelation!$D$4:$D$1197,Korrelation!F$4:F$1197,"-",0)="-",0,MATCH(_xlfn.XLOOKUP($A584,Korrelation!$D$4:$D$1197,Korrelation!F$4:F$1197,"",0),DMAV_Modell!$G$6:$G$677,0)))</f>
        <v>0</v>
      </c>
      <c r="D584" s="57">
        <f>IF($A584="","",IF(_xlfn.XLOOKUP($A584,Korrelation!$D$4:$D$1197,Korrelation!G$4:G$1197,"-",0)="-",0,MATCH(_xlfn.XLOOKUP($A584,Korrelation!$D$4:$D$1197,Korrelation!G$4:G$1197,"",0),DMAV_Modell!$G$6:$G$677,0)))</f>
        <v>0</v>
      </c>
      <c r="E584" s="57">
        <f>IF($A584="","",IF(_xlfn.XLOOKUP($A584,Korrelation!$D$4:$D$1197,Korrelation!H$4:H$1197,"-",0)="-",0,MATCH(_xlfn.XLOOKUP($A584,Korrelation!$D$4:$D$1197,Korrelation!H$4:H$1197,"",0),DMAV_Dienste!$F$6:$F$140,0)))</f>
        <v>0</v>
      </c>
      <c r="F584" s="57">
        <f>IF($A584="","",IF(_xlfn.XLOOKUP($A584,Korrelation!$D$4:$D$1197,Korrelation!I$4:I$1197,"-",0)="-",0,MATCH(_xlfn.XLOOKUP($A584,Korrelation!$D$4:$D$1197,Korrelation!I$4:I$1197,"",0),DMAV_Dienste!$F$6:$F$140,0)))</f>
        <v>0</v>
      </c>
      <c r="G584" s="57">
        <f>IF($A584="","",IF(_xlfn.XLOOKUP($A584,Korrelation!$D$4:$D$1197,Korrelation!J$4:J$1197,"-",0)="-",0,MATCH(_xlfn.XLOOKUP($A584,Korrelation!$D$4:$D$1197,Korrelation!J$4:J$1197,"",0),DMAV_Dienste!$F$6:$F$140,0)))</f>
        <v>0</v>
      </c>
      <c r="H584" s="57">
        <f>IF($A584="","",IF(_xlfn.XLOOKUP($A584,Korrelation!$D$4:$D$1197,Korrelation!K$4:K$1197,"-",0)="-",0,MATCH(_xlfn.XLOOKUP($A584,Korrelation!$D$4:$D$1197,Korrelation!K$4:K$1197,"",0),'DM01-AV-CH'!$A$6:$A$834,0)))</f>
        <v>0</v>
      </c>
      <c r="J584" s="54" t="str" cm="1">
        <f t="array" aca="1" ref="J584" ca="1">IF(B584=0,IF(E584=0,"",HYPERLINK("#"&amp;RIGHT(CELL("adresse",OFFSET(DMAV_Dienste!$M$6,E584-1,0)),LEN(CELL("adresse",OFFSET(DMAV_Dienste!$M$6,E584-1,0)))-FIND("]",CELL("adresse",OFFSET(DMAV_Dienste!$M$6,E584-1,0)))),"Dienst")),HYPERLINK("#"&amp;RIGHT(CELL("adresse",OFFSET(DMAV_Modell!$N$6,B584-1,0)),LEN(CELL("adresse",OFFSET(DMAV_Modell!$N$6,B584-1,0)))-FIND("]",CELL("adresse",OFFSET(DMAV_Modell!$N$6,B584-1,0)))),"Modell"))</f>
        <v>Modell</v>
      </c>
      <c r="K584" s="61" t="str" cm="1">
        <f t="array" ref="K584">IF($B584=0,IF($E584=0,"",IF(INDEX(DMAV_Dienste!P$6:P$140,$E584)="","",INDEX(DMAV_Dienste!P$6:P$140,$E584))),IF(INDEX(DMAV_Modell!Q$6:Q$838,$B584)="","",INDEX(DMAV_Modell!Q$6:Q$838,$B584)))</f>
        <v>VIEW</v>
      </c>
      <c r="L584" s="62" t="str" cm="1">
        <f t="array" ref="L584">IF($B584=0,IF($E584=0,"",IF(INDEX(DMAV_Dienste!O$6:O$140,$E584)="","",INDEX(DMAV_Dienste!O$6:O$140,$E584))),IF(INDEX(DMAV_Modell!P$6:P$838,$B584)="","",INDEX(DMAV_Modell!P$6:P$838,$B584)))</f>
        <v>Grundstuecke</v>
      </c>
      <c r="M584" s="62" t="str" cm="1">
        <f t="array" ref="M584">IF($B584=0,IF($E584=0,"",IF(INDEX(DMAV_Dienste!Q$6:Q$140,$E584)="","",INDEX(DMAV_Dienste!Q$6:Q$140,$E584))),IF(INDEX(DMAV_Modell!R$6:R$838,$B584)="","",INDEX(DMAV_Modell!R$6:R$838,$B584)))</f>
        <v>SelbstaendigesDauerndesRecht_Gueltig</v>
      </c>
      <c r="N584" s="62" t="str" cm="1">
        <f t="array" ref="N584">IF($B584=0,IF($E584=0,"",IF(INDEX(DMAV_Dienste!T$6:T$140,$E584)="","",INDEX(DMAV_Dienste!T$6:T$140,$E584))),IF(INDEX(DMAV_Modell!U$6:U$838,$B584)="","",INDEX(DMAV_Modell!U$6:U$838,$B584)))</f>
        <v>= ALL OF</v>
      </c>
      <c r="O584" s="63" t="str" cm="1">
        <f t="array" aca="1" ref="O584" ca="1">IF(C584=0,IF(F584=0,"",HYPERLINK("#"&amp;RIGHT(CELL("adresse",OFFSET(DMAV_Dienste!$M$6,F584-1,0)),LEN(CELL("adresse",OFFSET(DMAV_Dienste!$M$6,F584-1,0)))-FIND("]",CELL("adresse",OFFSET(DMAV_Dienste!$M$6,F584-1,0)))),"Structure")),HYPERLINK("#"&amp;RIGHT(CELL("adresse",OFFSET(DMAV_Modell!$N$6,C584-1,0)),LEN(CELL("adresse",OFFSET(DMAV_Modell!$N$6,C584-1,0)))-FIND("]",CELL("adresse",OFFSET(DMAV_Modell!$N$6,C584-1,0)))),"Structure"))</f>
        <v/>
      </c>
      <c r="P584" s="64" t="str" cm="1">
        <f t="array" aca="1" ref="P584" ca="1">IF(D584=0,IF(G584=0,"",HYPERLINK("#"&amp;RIGHT(CELL("adresse",OFFSET(DMAV_Dienste!$M$6,G584-1,0)),LEN(CELL("adresse",OFFSET(DMAV_Dienste!$M$6,G584-1,0)))-FIND("]",CELL("adresse",OFFSET(DMAV_Dienste!$M$6,G584-1,0)))),"Substructure")),HYPERLINK("#"&amp;RIGHT(CELL("adresse",OFFSET(DMAV_Modell!$N$6,D584-1,0)),LEN(CELL("adresse",OFFSET(DMAV_Modell!$N$6,D584-1,0)))-FIND("]",CELL("adresse",OFFSET(DMAV_Modell!$N$6,D584-1,0)))),"Substructure"))</f>
        <v/>
      </c>
      <c r="R584" s="80"/>
      <c r="T584" s="93"/>
      <c r="U584" s="94"/>
      <c r="V584" s="95"/>
      <c r="W584" s="96"/>
      <c r="Y584" s="85"/>
      <c r="Z584" s="86"/>
      <c r="AA584" s="87"/>
      <c r="AB584" s="88"/>
      <c r="AD584" s="77"/>
      <c r="AF584" s="54" t="str" cm="1">
        <f t="array" aca="1" ref="AF584" ca="1">IF(H584=0,"",HYPERLINK("#"&amp;RIGHT(CELL("adresse",OFFSET('DM01-AV-CH'!$G$6,H584-1,0)),LEN(CELL("adresse",OFFSET('DM01-AV-CH'!$G$6,H584-1,0)))-FIND("]",CELL("adresse",OFFSET('DM01-AV-CH'!$G$6,H584-1,0)))),"Modell"))</f>
        <v/>
      </c>
      <c r="AG584" s="72" t="str" cm="1">
        <f t="array" ref="AG584">IF($H584=0,"",IF(INDEX('DM01-AV-CH'!G$6:G$834,$H584)="","",INDEX('DM01-AV-CH'!G$6:G$834,$H584)))</f>
        <v/>
      </c>
      <c r="AH584" s="73" t="str" cm="1">
        <f t="array" ref="AH584">IF($H584=0,"",IF(INDEX('DM01-AV-CH'!H$6:H$834,$H584)="","",INDEX('DM01-AV-CH'!H$6:H$834,$H584)))</f>
        <v/>
      </c>
      <c r="AI584" s="74" t="str" cm="1">
        <f t="array" ref="AI584">IF($H584=0,"",IF(INDEX('DM01-AV-CH'!I$6:I$834,$H584)="","",INDEX('DM01-AV-CH'!I$6:I$834,$H584)))</f>
        <v/>
      </c>
    </row>
    <row r="585" spans="1:35" x14ac:dyDescent="0.25">
      <c r="A585" s="57">
        <v>580</v>
      </c>
      <c r="B585" s="57">
        <f>IF($A585="","",IF(_xlfn.XLOOKUP($A585,Korrelation!$D$4:$D$1197,Korrelation!E$4:E$1197,"-",0)="-",0,MATCH(_xlfn.XLOOKUP($A585,Korrelation!$D$4:$D$1197,Korrelation!E$4:E$1197,"",0),DMAV_Modell!$G$6:$G$677,0)))</f>
        <v>0</v>
      </c>
      <c r="C585" s="57">
        <f>IF($A585="","",IF(_xlfn.XLOOKUP($A585,Korrelation!$D$4:$D$1197,Korrelation!F$4:F$1197,"-",0)="-",0,MATCH(_xlfn.XLOOKUP($A585,Korrelation!$D$4:$D$1197,Korrelation!F$4:F$1197,"",0),DMAV_Modell!$G$6:$G$677,0)))</f>
        <v>0</v>
      </c>
      <c r="D585" s="57">
        <f>IF($A585="","",IF(_xlfn.XLOOKUP($A585,Korrelation!$D$4:$D$1197,Korrelation!G$4:G$1197,"-",0)="-",0,MATCH(_xlfn.XLOOKUP($A585,Korrelation!$D$4:$D$1197,Korrelation!G$4:G$1197,"",0),DMAV_Modell!$G$6:$G$677,0)))</f>
        <v>0</v>
      </c>
      <c r="E585" s="57">
        <f>IF($A585="","",IF(_xlfn.XLOOKUP($A585,Korrelation!$D$4:$D$1197,Korrelation!H$4:H$1197,"-",0)="-",0,MATCH(_xlfn.XLOOKUP($A585,Korrelation!$D$4:$D$1197,Korrelation!H$4:H$1197,"",0),DMAV_Dienste!$F$6:$F$140,0)))</f>
        <v>0</v>
      </c>
      <c r="F585" s="57">
        <f>IF($A585="","",IF(_xlfn.XLOOKUP($A585,Korrelation!$D$4:$D$1197,Korrelation!I$4:I$1197,"-",0)="-",0,MATCH(_xlfn.XLOOKUP($A585,Korrelation!$D$4:$D$1197,Korrelation!I$4:I$1197,"",0),DMAV_Dienste!$F$6:$F$140,0)))</f>
        <v>0</v>
      </c>
      <c r="G585" s="57">
        <f>IF($A585="","",IF(_xlfn.XLOOKUP($A585,Korrelation!$D$4:$D$1197,Korrelation!J$4:J$1197,"-",0)="-",0,MATCH(_xlfn.XLOOKUP($A585,Korrelation!$D$4:$D$1197,Korrelation!J$4:J$1197,"",0),DMAV_Dienste!$F$6:$F$140,0)))</f>
        <v>0</v>
      </c>
      <c r="H585" s="57">
        <f>IF($A585="","",IF(_xlfn.XLOOKUP($A585,Korrelation!$D$4:$D$1197,Korrelation!K$4:K$1197,"-",0)="-",0,MATCH(_xlfn.XLOOKUP($A585,Korrelation!$D$4:$D$1197,Korrelation!K$4:K$1197,"",0),'DM01-AV-CH'!$A$6:$A$834,0)))</f>
        <v>493</v>
      </c>
      <c r="J585" s="54" t="str" cm="1">
        <f t="array" aca="1" ref="J585" ca="1">IF(B585=0,IF(E585=0,"",HYPERLINK("#"&amp;RIGHT(CELL("adresse",OFFSET(DMAV_Dienste!$M$6,E585-1,0)),LEN(CELL("adresse",OFFSET(DMAV_Dienste!$M$6,E585-1,0)))-FIND("]",CELL("adresse",OFFSET(DMAV_Dienste!$M$6,E585-1,0)))),"Dienst")),HYPERLINK("#"&amp;RIGHT(CELL("adresse",OFFSET(DMAV_Modell!$N$6,B585-1,0)),LEN(CELL("adresse",OFFSET(DMAV_Modell!$N$6,B585-1,0)))-FIND("]",CELL("adresse",OFFSET(DMAV_Modell!$N$6,B585-1,0)))),"Modell"))</f>
        <v/>
      </c>
      <c r="K585" s="61" t="str" cm="1">
        <f t="array" ref="K585">IF($B585=0,IF($E585=0,"",IF(INDEX(DMAV_Dienste!P$6:P$140,$E585)="","",INDEX(DMAV_Dienste!P$6:P$140,$E585))),IF(INDEX(DMAV_Modell!Q$6:Q$838,$B585)="","",INDEX(DMAV_Modell!Q$6:Q$838,$B585)))</f>
        <v/>
      </c>
      <c r="L585" s="62" t="str" cm="1">
        <f t="array" ref="L585">IF($B585=0,IF($E585=0,"",IF(INDEX(DMAV_Dienste!O$6:O$140,$E585)="","",INDEX(DMAV_Dienste!O$6:O$140,$E585))),IF(INDEX(DMAV_Modell!P$6:P$838,$B585)="","",INDEX(DMAV_Modell!P$6:P$838,$B585)))</f>
        <v/>
      </c>
      <c r="M585" s="62" t="str" cm="1">
        <f t="array" ref="M585">IF($B585=0,IF($E585=0,"",IF(INDEX(DMAV_Dienste!Q$6:Q$140,$E585)="","",INDEX(DMAV_Dienste!Q$6:Q$140,$E585))),IF(INDEX(DMAV_Modell!R$6:R$838,$B585)="","",INDEX(DMAV_Modell!R$6:R$838,$B585)))</f>
        <v/>
      </c>
      <c r="N585" s="62" t="str" cm="1">
        <f t="array" ref="N585">IF($B585=0,IF($E585=0,"",IF(INDEX(DMAV_Dienste!T$6:T$140,$E585)="","",INDEX(DMAV_Dienste!T$6:T$140,$E585))),IF(INDEX(DMAV_Modell!U$6:U$838,$B585)="","",INDEX(DMAV_Modell!U$6:U$838,$B585)))</f>
        <v/>
      </c>
      <c r="O585" s="63" t="str" cm="1">
        <f t="array" aca="1" ref="O585" ca="1">IF(C585=0,IF(F585=0,"",HYPERLINK("#"&amp;RIGHT(CELL("adresse",OFFSET(DMAV_Dienste!$M$6,F585-1,0)),LEN(CELL("adresse",OFFSET(DMAV_Dienste!$M$6,F585-1,0)))-FIND("]",CELL("adresse",OFFSET(DMAV_Dienste!$M$6,F585-1,0)))),"Structure")),HYPERLINK("#"&amp;RIGHT(CELL("adresse",OFFSET(DMAV_Modell!$N$6,C585-1,0)),LEN(CELL("adresse",OFFSET(DMAV_Modell!$N$6,C585-1,0)))-FIND("]",CELL("adresse",OFFSET(DMAV_Modell!$N$6,C585-1,0)))),"Structure"))</f>
        <v/>
      </c>
      <c r="P585" s="64" t="str" cm="1">
        <f t="array" aca="1" ref="P585" ca="1">IF(D585=0,IF(G585=0,"",HYPERLINK("#"&amp;RIGHT(CELL("adresse",OFFSET(DMAV_Dienste!$M$6,G585-1,0)),LEN(CELL("adresse",OFFSET(DMAV_Dienste!$M$6,G585-1,0)))-FIND("]",CELL("adresse",OFFSET(DMAV_Dienste!$M$6,G585-1,0)))),"Substructure")),HYPERLINK("#"&amp;RIGHT(CELL("adresse",OFFSET(DMAV_Modell!$N$6,D585-1,0)),LEN(CELL("adresse",OFFSET(DMAV_Modell!$N$6,D585-1,0)))-FIND("]",CELL("adresse",OFFSET(DMAV_Modell!$N$6,D585-1,0)))),"Substructure"))</f>
        <v/>
      </c>
      <c r="R585" s="80"/>
      <c r="T585" s="93"/>
      <c r="U585" s="94"/>
      <c r="V585" s="95"/>
      <c r="W585" s="96"/>
      <c r="Y585" s="85"/>
      <c r="Z585" s="86"/>
      <c r="AA585" s="87"/>
      <c r="AB585" s="88"/>
      <c r="AD585" s="77"/>
      <c r="AF585" s="54" t="str" cm="1">
        <f t="array" aca="1" ref="AF585" ca="1">IF(H585=0,"",HYPERLINK("#"&amp;RIGHT(CELL("adresse",OFFSET('DM01-AV-CH'!$G$6,H585-1,0)),LEN(CELL("adresse",OFFSET('DM01-AV-CH'!$G$6,H585-1,0)))-FIND("]",CELL("adresse",OFFSET('DM01-AV-CH'!$G$6,H585-1,0)))),"Modell"))</f>
        <v>Modell</v>
      </c>
      <c r="AG585" s="72" t="str" cm="1">
        <f t="array" ref="AG585">IF($H585=0,"",IF(INDEX('DM01-AV-CH'!G$6:G$834,$H585)="","",INDEX('DM01-AV-CH'!G$6:G$834,$H585)))</f>
        <v>Liegenschaften</v>
      </c>
      <c r="AH585" s="73" t="str" cm="1">
        <f t="array" ref="AH585">IF($H585=0,"",IF(INDEX('DM01-AV-CH'!H$6:H$834,$H585)="","",INDEX('DM01-AV-CH'!H$6:H$834,$H585)))</f>
        <v>Bergwerk</v>
      </c>
      <c r="AI585" s="74" t="str" cm="1">
        <f t="array" ref="AI585">IF($H585=0,"",IF(INDEX('DM01-AV-CH'!I$6:I$834,$H585)="","",INDEX('DM01-AV-CH'!I$6:I$834,$H585)))</f>
        <v>Bergwerk_von</v>
      </c>
    </row>
    <row r="586" spans="1:35" ht="28.5" x14ac:dyDescent="0.25">
      <c r="A586" s="57">
        <v>581</v>
      </c>
      <c r="B586" s="57">
        <f>IF($A586="","",IF(_xlfn.XLOOKUP($A586,Korrelation!$D$4:$D$1197,Korrelation!E$4:E$1197,"-",0)="-",0,MATCH(_xlfn.XLOOKUP($A586,Korrelation!$D$4:$D$1197,Korrelation!E$4:E$1197,"",0),DMAV_Modell!$G$6:$G$677,0)))</f>
        <v>291</v>
      </c>
      <c r="C586" s="57">
        <f>IF($A586="","",IF(_xlfn.XLOOKUP($A586,Korrelation!$D$4:$D$1197,Korrelation!F$4:F$1197,"-",0)="-",0,MATCH(_xlfn.XLOOKUP($A586,Korrelation!$D$4:$D$1197,Korrelation!F$4:F$1197,"",0),DMAV_Modell!$G$6:$G$677,0)))</f>
        <v>0</v>
      </c>
      <c r="D586" s="57">
        <f>IF($A586="","",IF(_xlfn.XLOOKUP($A586,Korrelation!$D$4:$D$1197,Korrelation!G$4:G$1197,"-",0)="-",0,MATCH(_xlfn.XLOOKUP($A586,Korrelation!$D$4:$D$1197,Korrelation!G$4:G$1197,"",0),DMAV_Modell!$G$6:$G$677,0)))</f>
        <v>0</v>
      </c>
      <c r="E586" s="57">
        <f>IF($A586="","",IF(_xlfn.XLOOKUP($A586,Korrelation!$D$4:$D$1197,Korrelation!H$4:H$1197,"-",0)="-",0,MATCH(_xlfn.XLOOKUP($A586,Korrelation!$D$4:$D$1197,Korrelation!H$4:H$1197,"",0),DMAV_Dienste!$F$6:$F$140,0)))</f>
        <v>0</v>
      </c>
      <c r="F586" s="57">
        <f>IF($A586="","",IF(_xlfn.XLOOKUP($A586,Korrelation!$D$4:$D$1197,Korrelation!I$4:I$1197,"-",0)="-",0,MATCH(_xlfn.XLOOKUP($A586,Korrelation!$D$4:$D$1197,Korrelation!I$4:I$1197,"",0),DMAV_Dienste!$F$6:$F$140,0)))</f>
        <v>0</v>
      </c>
      <c r="G586" s="57">
        <f>IF($A586="","",IF(_xlfn.XLOOKUP($A586,Korrelation!$D$4:$D$1197,Korrelation!J$4:J$1197,"-",0)="-",0,MATCH(_xlfn.XLOOKUP($A586,Korrelation!$D$4:$D$1197,Korrelation!J$4:J$1197,"",0),DMAV_Dienste!$F$6:$F$140,0)))</f>
        <v>0</v>
      </c>
      <c r="H586" s="57">
        <f>IF($A586="","",IF(_xlfn.XLOOKUP($A586,Korrelation!$D$4:$D$1197,Korrelation!K$4:K$1197,"-",0)="-",0,MATCH(_xlfn.XLOOKUP($A586,Korrelation!$D$4:$D$1197,Korrelation!K$4:K$1197,"",0),'DM01-AV-CH'!$A$6:$A$834,0)))</f>
        <v>494</v>
      </c>
      <c r="J586" s="54" t="str" cm="1">
        <f t="array" aca="1" ref="J586" ca="1">IF(B586=0,IF(E586=0,"",HYPERLINK("#"&amp;RIGHT(CELL("adresse",OFFSET(DMAV_Dienste!$M$6,E586-1,0)),LEN(CELL("adresse",OFFSET(DMAV_Dienste!$M$6,E586-1,0)))-FIND("]",CELL("adresse",OFFSET(DMAV_Dienste!$M$6,E586-1,0)))),"Dienst")),HYPERLINK("#"&amp;RIGHT(CELL("adresse",OFFSET(DMAV_Modell!$N$6,B586-1,0)),LEN(CELL("adresse",OFFSET(DMAV_Modell!$N$6,B586-1,0)))-FIND("]",CELL("adresse",OFFSET(DMAV_Modell!$N$6,B586-1,0)))),"Modell"))</f>
        <v>Modell</v>
      </c>
      <c r="K586" s="61" t="str" cm="1">
        <f t="array" ref="K586">IF($B586=0,IF($E586=0,"",IF(INDEX(DMAV_Dienste!P$6:P$140,$E586)="","",INDEX(DMAV_Dienste!P$6:P$140,$E586))),IF(INDEX(DMAV_Modell!Q$6:Q$838,$B586)="","",INDEX(DMAV_Modell!Q$6:Q$838,$B586)))</f>
        <v>CLASS</v>
      </c>
      <c r="L586" s="62" t="str" cm="1">
        <f t="array" ref="L586">IF($B586=0,IF($E586=0,"",IF(INDEX(DMAV_Dienste!O$6:O$140,$E586)="","",INDEX(DMAV_Dienste!O$6:O$140,$E586))),IF(INDEX(DMAV_Modell!P$6:P$838,$B586)="","",INDEX(DMAV_Modell!P$6:P$838,$B586)))</f>
        <v>Grundstuecke</v>
      </c>
      <c r="M586" s="62" t="str" cm="1">
        <f t="array" ref="M586">IF($B586=0,IF($E586=0,"",IF(INDEX(DMAV_Dienste!Q$6:Q$140,$E586)="","",INDEX(DMAV_Dienste!Q$6:Q$140,$E586))),IF(INDEX(DMAV_Modell!R$6:R$838,$B586)="","",INDEX(DMAV_Modell!R$6:R$838,$B586)))</f>
        <v>Bergwerk</v>
      </c>
      <c r="N586" s="62" t="str" cm="1">
        <f t="array" ref="N586">IF($B586=0,IF($E586=0,"",IF(INDEX(DMAV_Dienste!T$6:T$140,$E586)="","",INDEX(DMAV_Dienste!T$6:T$140,$E586))),IF(INDEX(DMAV_Modell!U$6:U$838,$B586)="","",INDEX(DMAV_Modell!U$6:U$838,$B586)))</f>
        <v>NummerTeilgrundstueck</v>
      </c>
      <c r="O586" s="63" t="str" cm="1">
        <f t="array" aca="1" ref="O586" ca="1">IF(C586=0,IF(F586=0,"",HYPERLINK("#"&amp;RIGHT(CELL("adresse",OFFSET(DMAV_Dienste!$M$6,F586-1,0)),LEN(CELL("adresse",OFFSET(DMAV_Dienste!$M$6,F586-1,0)))-FIND("]",CELL("adresse",OFFSET(DMAV_Dienste!$M$6,F586-1,0)))),"Structure")),HYPERLINK("#"&amp;RIGHT(CELL("adresse",OFFSET(DMAV_Modell!$N$6,C586-1,0)),LEN(CELL("adresse",OFFSET(DMAV_Modell!$N$6,C586-1,0)))-FIND("]",CELL("adresse",OFFSET(DMAV_Modell!$N$6,C586-1,0)))),"Structure"))</f>
        <v/>
      </c>
      <c r="P586" s="64" t="str" cm="1">
        <f t="array" aca="1" ref="P586" ca="1">IF(D586=0,IF(G586=0,"",HYPERLINK("#"&amp;RIGHT(CELL("adresse",OFFSET(DMAV_Dienste!$M$6,G586-1,0)),LEN(CELL("adresse",OFFSET(DMAV_Dienste!$M$6,G586-1,0)))-FIND("]",CELL("adresse",OFFSET(DMAV_Dienste!$M$6,G586-1,0)))),"Substructure")),HYPERLINK("#"&amp;RIGHT(CELL("adresse",OFFSET(DMAV_Modell!$N$6,D586-1,0)),LEN(CELL("adresse",OFFSET(DMAV_Modell!$N$6,D586-1,0)))-FIND("]",CELL("adresse",OFFSET(DMAV_Modell!$N$6,D586-1,0)))),"Substructure"))</f>
        <v/>
      </c>
      <c r="R586" s="80"/>
      <c r="T586" s="93"/>
      <c r="U586" s="94"/>
      <c r="V586" s="95"/>
      <c r="W586" s="96"/>
      <c r="Y586" s="85" t="s">
        <v>3129</v>
      </c>
      <c r="Z586" s="86" t="s">
        <v>2980</v>
      </c>
      <c r="AA586" s="87" t="s">
        <v>3022</v>
      </c>
      <c r="AB586" s="88"/>
      <c r="AD586" s="77"/>
      <c r="AF586" s="54" t="str" cm="1">
        <f t="array" aca="1" ref="AF586" ca="1">IF(H586=0,"",HYPERLINK("#"&amp;RIGHT(CELL("adresse",OFFSET('DM01-AV-CH'!$G$6,H586-1,0)),LEN(CELL("adresse",OFFSET('DM01-AV-CH'!$G$6,H586-1,0)))-FIND("]",CELL("adresse",OFFSET('DM01-AV-CH'!$G$6,H586-1,0)))),"Modell"))</f>
        <v>Modell</v>
      </c>
      <c r="AG586" s="72" t="str" cm="1">
        <f t="array" ref="AG586">IF($H586=0,"",IF(INDEX('DM01-AV-CH'!G$6:G$834,$H586)="","",INDEX('DM01-AV-CH'!G$6:G$834,$H586)))</f>
        <v>Liegenschaften</v>
      </c>
      <c r="AH586" s="73" t="str" cm="1">
        <f t="array" ref="AH586">IF($H586=0,"",IF(INDEX('DM01-AV-CH'!H$6:H$834,$H586)="","",INDEX('DM01-AV-CH'!H$6:H$834,$H586)))</f>
        <v>Bergwerk</v>
      </c>
      <c r="AI586" s="74" t="str" cm="1">
        <f t="array" ref="AI586">IF($H586=0,"",IF(INDEX('DM01-AV-CH'!I$6:I$834,$H586)="","",INDEX('DM01-AV-CH'!I$6:I$834,$H586)))</f>
        <v>NummerTeilGrundstueck</v>
      </c>
    </row>
    <row r="587" spans="1:35" ht="28.5" x14ac:dyDescent="0.25">
      <c r="A587" s="57">
        <v>582</v>
      </c>
      <c r="B587" s="57">
        <f>IF($A587="","",IF(_xlfn.XLOOKUP($A587,Korrelation!$D$4:$D$1197,Korrelation!E$4:E$1197,"-",0)="-",0,MATCH(_xlfn.XLOOKUP($A587,Korrelation!$D$4:$D$1197,Korrelation!E$4:E$1197,"",0),DMAV_Modell!$G$6:$G$677,0)))</f>
        <v>292</v>
      </c>
      <c r="C587" s="57">
        <f>IF($A587="","",IF(_xlfn.XLOOKUP($A587,Korrelation!$D$4:$D$1197,Korrelation!F$4:F$1197,"-",0)="-",0,MATCH(_xlfn.XLOOKUP($A587,Korrelation!$D$4:$D$1197,Korrelation!F$4:F$1197,"",0),DMAV_Modell!$G$6:$G$677,0)))</f>
        <v>0</v>
      </c>
      <c r="D587" s="57">
        <f>IF($A587="","",IF(_xlfn.XLOOKUP($A587,Korrelation!$D$4:$D$1197,Korrelation!G$4:G$1197,"-",0)="-",0,MATCH(_xlfn.XLOOKUP($A587,Korrelation!$D$4:$D$1197,Korrelation!G$4:G$1197,"",0),DMAV_Modell!$G$6:$G$677,0)))</f>
        <v>0</v>
      </c>
      <c r="E587" s="57">
        <f>IF($A587="","",IF(_xlfn.XLOOKUP($A587,Korrelation!$D$4:$D$1197,Korrelation!H$4:H$1197,"-",0)="-",0,MATCH(_xlfn.XLOOKUP($A587,Korrelation!$D$4:$D$1197,Korrelation!H$4:H$1197,"",0),DMAV_Dienste!$F$6:$F$140,0)))</f>
        <v>0</v>
      </c>
      <c r="F587" s="57">
        <f>IF($A587="","",IF(_xlfn.XLOOKUP($A587,Korrelation!$D$4:$D$1197,Korrelation!I$4:I$1197,"-",0)="-",0,MATCH(_xlfn.XLOOKUP($A587,Korrelation!$D$4:$D$1197,Korrelation!I$4:I$1197,"",0),DMAV_Dienste!$F$6:$F$140,0)))</f>
        <v>0</v>
      </c>
      <c r="G587" s="57">
        <f>IF($A587="","",IF(_xlfn.XLOOKUP($A587,Korrelation!$D$4:$D$1197,Korrelation!J$4:J$1197,"-",0)="-",0,MATCH(_xlfn.XLOOKUP($A587,Korrelation!$D$4:$D$1197,Korrelation!J$4:J$1197,"",0),DMAV_Dienste!$F$6:$F$140,0)))</f>
        <v>0</v>
      </c>
      <c r="H587" s="57">
        <f>IF($A587="","",IF(_xlfn.XLOOKUP($A587,Korrelation!$D$4:$D$1197,Korrelation!K$4:K$1197,"-",0)="-",0,MATCH(_xlfn.XLOOKUP($A587,Korrelation!$D$4:$D$1197,Korrelation!K$4:K$1197,"",0),'DM01-AV-CH'!$A$6:$A$834,0)))</f>
        <v>495</v>
      </c>
      <c r="J587" s="54" t="str" cm="1">
        <f t="array" aca="1" ref="J587" ca="1">IF(B587=0,IF(E587=0,"",HYPERLINK("#"&amp;RIGHT(CELL("adresse",OFFSET(DMAV_Dienste!$M$6,E587-1,0)),LEN(CELL("adresse",OFFSET(DMAV_Dienste!$M$6,E587-1,0)))-FIND("]",CELL("adresse",OFFSET(DMAV_Dienste!$M$6,E587-1,0)))),"Dienst")),HYPERLINK("#"&amp;RIGHT(CELL("adresse",OFFSET(DMAV_Modell!$N$6,B587-1,0)),LEN(CELL("adresse",OFFSET(DMAV_Modell!$N$6,B587-1,0)))-FIND("]",CELL("adresse",OFFSET(DMAV_Modell!$N$6,B587-1,0)))),"Modell"))</f>
        <v>Modell</v>
      </c>
      <c r="K587" s="61" t="str" cm="1">
        <f t="array" ref="K587">IF($B587=0,IF($E587=0,"",IF(INDEX(DMAV_Dienste!P$6:P$140,$E587)="","",INDEX(DMAV_Dienste!P$6:P$140,$E587))),IF(INDEX(DMAV_Modell!Q$6:Q$838,$B587)="","",INDEX(DMAV_Modell!Q$6:Q$838,$B587)))</f>
        <v>CLASS</v>
      </c>
      <c r="L587" s="62" t="str" cm="1">
        <f t="array" ref="L587">IF($B587=0,IF($E587=0,"",IF(INDEX(DMAV_Dienste!O$6:O$140,$E587)="","",INDEX(DMAV_Dienste!O$6:O$140,$E587))),IF(INDEX(DMAV_Modell!P$6:P$838,$B587)="","",INDEX(DMAV_Modell!P$6:P$838,$B587)))</f>
        <v>Grundstuecke</v>
      </c>
      <c r="M587" s="62" t="str" cm="1">
        <f t="array" ref="M587">IF($B587=0,IF($E587=0,"",IF(INDEX(DMAV_Dienste!Q$6:Q$140,$E587)="","",INDEX(DMAV_Dienste!Q$6:Q$140,$E587))),IF(INDEX(DMAV_Modell!R$6:R$838,$B587)="","",INDEX(DMAV_Modell!R$6:R$838,$B587)))</f>
        <v>Bergwerk</v>
      </c>
      <c r="N587" s="62" t="str" cm="1">
        <f t="array" ref="N587">IF($B587=0,IF($E587=0,"",IF(INDEX(DMAV_Dienste!T$6:T$140,$E587)="","",INDEX(DMAV_Dienste!T$6:T$140,$E587))),IF(INDEX(DMAV_Modell!U$6:U$838,$B587)="","",INDEX(DMAV_Modell!U$6:U$838,$B587)))</f>
        <v>Geometrie</v>
      </c>
      <c r="O587" s="63" t="str" cm="1">
        <f t="array" aca="1" ref="O587" ca="1">IF(C587=0,IF(F587=0,"",HYPERLINK("#"&amp;RIGHT(CELL("adresse",OFFSET(DMAV_Dienste!$M$6,F587-1,0)),LEN(CELL("adresse",OFFSET(DMAV_Dienste!$M$6,F587-1,0)))-FIND("]",CELL("adresse",OFFSET(DMAV_Dienste!$M$6,F587-1,0)))),"Structure")),HYPERLINK("#"&amp;RIGHT(CELL("adresse",OFFSET(DMAV_Modell!$N$6,C587-1,0)),LEN(CELL("adresse",OFFSET(DMAV_Modell!$N$6,C587-1,0)))-FIND("]",CELL("adresse",OFFSET(DMAV_Modell!$N$6,C587-1,0)))),"Structure"))</f>
        <v/>
      </c>
      <c r="P587" s="64" t="str" cm="1">
        <f t="array" aca="1" ref="P587" ca="1">IF(D587=0,IF(G587=0,"",HYPERLINK("#"&amp;RIGHT(CELL("adresse",OFFSET(DMAV_Dienste!$M$6,G587-1,0)),LEN(CELL("adresse",OFFSET(DMAV_Dienste!$M$6,G587-1,0)))-FIND("]",CELL("adresse",OFFSET(DMAV_Dienste!$M$6,G587-1,0)))),"Substructure")),HYPERLINK("#"&amp;RIGHT(CELL("adresse",OFFSET(DMAV_Modell!$N$6,D587-1,0)),LEN(CELL("adresse",OFFSET(DMAV_Modell!$N$6,D587-1,0)))-FIND("]",CELL("adresse",OFFSET(DMAV_Modell!$N$6,D587-1,0)))),"Substructure"))</f>
        <v/>
      </c>
      <c r="R587" s="80"/>
      <c r="T587" s="93"/>
      <c r="U587" s="94"/>
      <c r="V587" s="95"/>
      <c r="W587" s="96"/>
      <c r="Y587" s="85" t="s">
        <v>3129</v>
      </c>
      <c r="Z587" s="86" t="s">
        <v>2980</v>
      </c>
      <c r="AA587" s="87" t="s">
        <v>3023</v>
      </c>
      <c r="AB587" s="88"/>
      <c r="AD587" s="77"/>
      <c r="AF587" s="54" t="str" cm="1">
        <f t="array" aca="1" ref="AF587" ca="1">IF(H587=0,"",HYPERLINK("#"&amp;RIGHT(CELL("adresse",OFFSET('DM01-AV-CH'!$G$6,H587-1,0)),LEN(CELL("adresse",OFFSET('DM01-AV-CH'!$G$6,H587-1,0)))-FIND("]",CELL("adresse",OFFSET('DM01-AV-CH'!$G$6,H587-1,0)))),"Modell"))</f>
        <v>Modell</v>
      </c>
      <c r="AG587" s="72" t="str" cm="1">
        <f t="array" ref="AG587">IF($H587=0,"",IF(INDEX('DM01-AV-CH'!G$6:G$834,$H587)="","",INDEX('DM01-AV-CH'!G$6:G$834,$H587)))</f>
        <v>Liegenschaften</v>
      </c>
      <c r="AH587" s="73" t="str" cm="1">
        <f t="array" ref="AH587">IF($H587=0,"",IF(INDEX('DM01-AV-CH'!H$6:H$834,$H587)="","",INDEX('DM01-AV-CH'!H$6:H$834,$H587)))</f>
        <v>Bergwerk</v>
      </c>
      <c r="AI587" s="74" t="str" cm="1">
        <f t="array" ref="AI587">IF($H587=0,"",IF(INDEX('DM01-AV-CH'!I$6:I$834,$H587)="","",INDEX('DM01-AV-CH'!I$6:I$834,$H587)))</f>
        <v>Geometrie</v>
      </c>
    </row>
    <row r="588" spans="1:35" ht="28.5" x14ac:dyDescent="0.25">
      <c r="A588" s="57">
        <v>583</v>
      </c>
      <c r="B588" s="57">
        <f>IF($A588="","",IF(_xlfn.XLOOKUP($A588,Korrelation!$D$4:$D$1197,Korrelation!E$4:E$1197,"-",0)="-",0,MATCH(_xlfn.XLOOKUP($A588,Korrelation!$D$4:$D$1197,Korrelation!E$4:E$1197,"",0),DMAV_Modell!$G$6:$G$677,0)))</f>
        <v>293</v>
      </c>
      <c r="C588" s="57">
        <f>IF($A588="","",IF(_xlfn.XLOOKUP($A588,Korrelation!$D$4:$D$1197,Korrelation!F$4:F$1197,"-",0)="-",0,MATCH(_xlfn.XLOOKUP($A588,Korrelation!$D$4:$D$1197,Korrelation!F$4:F$1197,"",0),DMAV_Modell!$G$6:$G$677,0)))</f>
        <v>0</v>
      </c>
      <c r="D588" s="57">
        <f>IF($A588="","",IF(_xlfn.XLOOKUP($A588,Korrelation!$D$4:$D$1197,Korrelation!G$4:G$1197,"-",0)="-",0,MATCH(_xlfn.XLOOKUP($A588,Korrelation!$D$4:$D$1197,Korrelation!G$4:G$1197,"",0),DMAV_Modell!$G$6:$G$677,0)))</f>
        <v>0</v>
      </c>
      <c r="E588" s="57">
        <f>IF($A588="","",IF(_xlfn.XLOOKUP($A588,Korrelation!$D$4:$D$1197,Korrelation!H$4:H$1197,"-",0)="-",0,MATCH(_xlfn.XLOOKUP($A588,Korrelation!$D$4:$D$1197,Korrelation!H$4:H$1197,"",0),DMAV_Dienste!$F$6:$F$140,0)))</f>
        <v>0</v>
      </c>
      <c r="F588" s="57">
        <f>IF($A588="","",IF(_xlfn.XLOOKUP($A588,Korrelation!$D$4:$D$1197,Korrelation!I$4:I$1197,"-",0)="-",0,MATCH(_xlfn.XLOOKUP($A588,Korrelation!$D$4:$D$1197,Korrelation!I$4:I$1197,"",0),DMAV_Dienste!$F$6:$F$140,0)))</f>
        <v>0</v>
      </c>
      <c r="G588" s="57">
        <f>IF($A588="","",IF(_xlfn.XLOOKUP($A588,Korrelation!$D$4:$D$1197,Korrelation!J$4:J$1197,"-",0)="-",0,MATCH(_xlfn.XLOOKUP($A588,Korrelation!$D$4:$D$1197,Korrelation!J$4:J$1197,"",0),DMAV_Dienste!$F$6:$F$140,0)))</f>
        <v>0</v>
      </c>
      <c r="H588" s="57">
        <f>IF($A588="","",IF(_xlfn.XLOOKUP($A588,Korrelation!$D$4:$D$1197,Korrelation!K$4:K$1197,"-",0)="-",0,MATCH(_xlfn.XLOOKUP($A588,Korrelation!$D$4:$D$1197,Korrelation!K$4:K$1197,"",0),'DM01-AV-CH'!$A$6:$A$834,0)))</f>
        <v>496</v>
      </c>
      <c r="J588" s="54" t="str" cm="1">
        <f t="array" aca="1" ref="J588" ca="1">IF(B588=0,IF(E588=0,"",HYPERLINK("#"&amp;RIGHT(CELL("adresse",OFFSET(DMAV_Dienste!$M$6,E588-1,0)),LEN(CELL("adresse",OFFSET(DMAV_Dienste!$M$6,E588-1,0)))-FIND("]",CELL("adresse",OFFSET(DMAV_Dienste!$M$6,E588-1,0)))),"Dienst")),HYPERLINK("#"&amp;RIGHT(CELL("adresse",OFFSET(DMAV_Modell!$N$6,B588-1,0)),LEN(CELL("adresse",OFFSET(DMAV_Modell!$N$6,B588-1,0)))-FIND("]",CELL("adresse",OFFSET(DMAV_Modell!$N$6,B588-1,0)))),"Modell"))</f>
        <v>Modell</v>
      </c>
      <c r="K588" s="61" t="str" cm="1">
        <f t="array" ref="K588">IF($B588=0,IF($E588=0,"",IF(INDEX(DMAV_Dienste!P$6:P$140,$E588)="","",INDEX(DMAV_Dienste!P$6:P$140,$E588))),IF(INDEX(DMAV_Modell!Q$6:Q$838,$B588)="","",INDEX(DMAV_Modell!Q$6:Q$838,$B588)))</f>
        <v>CLASS</v>
      </c>
      <c r="L588" s="62" t="str" cm="1">
        <f t="array" ref="L588">IF($B588=0,IF($E588=0,"",IF(INDEX(DMAV_Dienste!O$6:O$140,$E588)="","",INDEX(DMAV_Dienste!O$6:O$140,$E588))),IF(INDEX(DMAV_Modell!P$6:P$838,$B588)="","",INDEX(DMAV_Modell!P$6:P$838,$B588)))</f>
        <v>Grundstuecke</v>
      </c>
      <c r="M588" s="62" t="str" cm="1">
        <f t="array" ref="M588">IF($B588=0,IF($E588=0,"",IF(INDEX(DMAV_Dienste!Q$6:Q$140,$E588)="","",INDEX(DMAV_Dienste!Q$6:Q$140,$E588))),IF(INDEX(DMAV_Modell!R$6:R$838,$B588)="","",INDEX(DMAV_Modell!R$6:R$838,$B588)))</f>
        <v>Bergwerk</v>
      </c>
      <c r="N588" s="62" t="str" cm="1">
        <f t="array" ref="N588">IF($B588=0,IF($E588=0,"",IF(INDEX(DMAV_Dienste!T$6:T$140,$E588)="","",INDEX(DMAV_Dienste!T$6:T$140,$E588))),IF(INDEX(DMAV_Modell!U$6:U$838,$B588)="","",INDEX(DMAV_Modell!U$6:U$838,$B588)))</f>
        <v>Flaechenmass</v>
      </c>
      <c r="O588" s="63" t="str" cm="1">
        <f t="array" aca="1" ref="O588" ca="1">IF(C588=0,IF(F588=0,"",HYPERLINK("#"&amp;RIGHT(CELL("adresse",OFFSET(DMAV_Dienste!$M$6,F588-1,0)),LEN(CELL("adresse",OFFSET(DMAV_Dienste!$M$6,F588-1,0)))-FIND("]",CELL("adresse",OFFSET(DMAV_Dienste!$M$6,F588-1,0)))),"Structure")),HYPERLINK("#"&amp;RIGHT(CELL("adresse",OFFSET(DMAV_Modell!$N$6,C588-1,0)),LEN(CELL("adresse",OFFSET(DMAV_Modell!$N$6,C588-1,0)))-FIND("]",CELL("adresse",OFFSET(DMAV_Modell!$N$6,C588-1,0)))),"Structure"))</f>
        <v/>
      </c>
      <c r="P588" s="64" t="str" cm="1">
        <f t="array" aca="1" ref="P588" ca="1">IF(D588=0,IF(G588=0,"",HYPERLINK("#"&amp;RIGHT(CELL("adresse",OFFSET(DMAV_Dienste!$M$6,G588-1,0)),LEN(CELL("adresse",OFFSET(DMAV_Dienste!$M$6,G588-1,0)))-FIND("]",CELL("adresse",OFFSET(DMAV_Dienste!$M$6,G588-1,0)))),"Substructure")),HYPERLINK("#"&amp;RIGHT(CELL("adresse",OFFSET(DMAV_Modell!$N$6,D588-1,0)),LEN(CELL("adresse",OFFSET(DMAV_Modell!$N$6,D588-1,0)))-FIND("]",CELL("adresse",OFFSET(DMAV_Modell!$N$6,D588-1,0)))),"Substructure"))</f>
        <v/>
      </c>
      <c r="R588" s="80"/>
      <c r="T588" s="93"/>
      <c r="U588" s="94"/>
      <c r="V588" s="95"/>
      <c r="W588" s="96"/>
      <c r="Y588" s="85" t="s">
        <v>3129</v>
      </c>
      <c r="Z588" s="86" t="s">
        <v>2980</v>
      </c>
      <c r="AA588" s="87" t="s">
        <v>3024</v>
      </c>
      <c r="AB588" s="88"/>
      <c r="AD588" s="77"/>
      <c r="AF588" s="54" t="str" cm="1">
        <f t="array" aca="1" ref="AF588" ca="1">IF(H588=0,"",HYPERLINK("#"&amp;RIGHT(CELL("adresse",OFFSET('DM01-AV-CH'!$G$6,H588-1,0)),LEN(CELL("adresse",OFFSET('DM01-AV-CH'!$G$6,H588-1,0)))-FIND("]",CELL("adresse",OFFSET('DM01-AV-CH'!$G$6,H588-1,0)))),"Modell"))</f>
        <v>Modell</v>
      </c>
      <c r="AG588" s="72" t="str" cm="1">
        <f t="array" ref="AG588">IF($H588=0,"",IF(INDEX('DM01-AV-CH'!G$6:G$834,$H588)="","",INDEX('DM01-AV-CH'!G$6:G$834,$H588)))</f>
        <v>Liegenschaften</v>
      </c>
      <c r="AH588" s="73" t="str" cm="1">
        <f t="array" ref="AH588">IF($H588=0,"",IF(INDEX('DM01-AV-CH'!H$6:H$834,$H588)="","",INDEX('DM01-AV-CH'!H$6:H$834,$H588)))</f>
        <v>Bergwerk</v>
      </c>
      <c r="AI588" s="74" t="str" cm="1">
        <f t="array" ref="AI588">IF($H588=0,"",IF(INDEX('DM01-AV-CH'!I$6:I$834,$H588)="","",INDEX('DM01-AV-CH'!I$6:I$834,$H588)))</f>
        <v>Flaechenmass</v>
      </c>
    </row>
    <row r="589" spans="1:35" ht="85.5" x14ac:dyDescent="0.25">
      <c r="A589" s="57">
        <v>584</v>
      </c>
      <c r="B589" s="57">
        <f>IF($A589="","",IF(_xlfn.XLOOKUP($A589,Korrelation!$D$4:$D$1197,Korrelation!E$4:E$1197,"-",0)="-",0,MATCH(_xlfn.XLOOKUP($A589,Korrelation!$D$4:$D$1197,Korrelation!E$4:E$1197,"",0),DMAV_Modell!$G$6:$G$677,0)))</f>
        <v>294</v>
      </c>
      <c r="C589" s="57">
        <f>IF($A589="","",IF(_xlfn.XLOOKUP($A589,Korrelation!$D$4:$D$1197,Korrelation!F$4:F$1197,"-",0)="-",0,MATCH(_xlfn.XLOOKUP($A589,Korrelation!$D$4:$D$1197,Korrelation!F$4:F$1197,"",0),DMAV_Modell!$G$6:$G$677,0)))</f>
        <v>0</v>
      </c>
      <c r="D589" s="57">
        <f>IF($A589="","",IF(_xlfn.XLOOKUP($A589,Korrelation!$D$4:$D$1197,Korrelation!G$4:G$1197,"-",0)="-",0,MATCH(_xlfn.XLOOKUP($A589,Korrelation!$D$4:$D$1197,Korrelation!G$4:G$1197,"",0),DMAV_Modell!$G$6:$G$677,0)))</f>
        <v>0</v>
      </c>
      <c r="E589" s="57">
        <f>IF($A589="","",IF(_xlfn.XLOOKUP($A589,Korrelation!$D$4:$D$1197,Korrelation!H$4:H$1197,"-",0)="-",0,MATCH(_xlfn.XLOOKUP($A589,Korrelation!$D$4:$D$1197,Korrelation!H$4:H$1197,"",0),DMAV_Dienste!$F$6:$F$140,0)))</f>
        <v>0</v>
      </c>
      <c r="F589" s="57">
        <f>IF($A589="","",IF(_xlfn.XLOOKUP($A589,Korrelation!$D$4:$D$1197,Korrelation!I$4:I$1197,"-",0)="-",0,MATCH(_xlfn.XLOOKUP($A589,Korrelation!$D$4:$D$1197,Korrelation!I$4:I$1197,"",0),DMAV_Dienste!$F$6:$F$140,0)))</f>
        <v>0</v>
      </c>
      <c r="G589" s="57">
        <f>IF($A589="","",IF(_xlfn.XLOOKUP($A589,Korrelation!$D$4:$D$1197,Korrelation!J$4:J$1197,"-",0)="-",0,MATCH(_xlfn.XLOOKUP($A589,Korrelation!$D$4:$D$1197,Korrelation!J$4:J$1197,"",0),DMAV_Dienste!$F$6:$F$140,0)))</f>
        <v>0</v>
      </c>
      <c r="H589" s="57">
        <f>IF($A589="","",IF(_xlfn.XLOOKUP($A589,Korrelation!$D$4:$D$1197,Korrelation!K$4:K$1197,"-",0)="-",0,MATCH(_xlfn.XLOOKUP($A589,Korrelation!$D$4:$D$1197,Korrelation!K$4:K$1197,"",0),'DM01-AV-CH'!$A$6:$A$834,0)))</f>
        <v>495</v>
      </c>
      <c r="J589" s="54" t="str" cm="1">
        <f t="array" aca="1" ref="J589" ca="1">IF(B589=0,IF(E589=0,"",HYPERLINK("#"&amp;RIGHT(CELL("adresse",OFFSET(DMAV_Dienste!$M$6,E589-1,0)),LEN(CELL("adresse",OFFSET(DMAV_Dienste!$M$6,E589-1,0)))-FIND("]",CELL("adresse",OFFSET(DMAV_Dienste!$M$6,E589-1,0)))),"Dienst")),HYPERLINK("#"&amp;RIGHT(CELL("adresse",OFFSET(DMAV_Modell!$N$6,B589-1,0)),LEN(CELL("adresse",OFFSET(DMAV_Modell!$N$6,B589-1,0)))-FIND("]",CELL("adresse",OFFSET(DMAV_Modell!$N$6,B589-1,0)))),"Modell"))</f>
        <v>Modell</v>
      </c>
      <c r="K589" s="61" t="str" cm="1">
        <f t="array" ref="K589">IF($B589=0,IF($E589=0,"",IF(INDEX(DMAV_Dienste!P$6:P$140,$E589)="","",INDEX(DMAV_Dienste!P$6:P$140,$E589))),IF(INDEX(DMAV_Modell!Q$6:Q$838,$B589)="","",INDEX(DMAV_Modell!Q$6:Q$838,$B589)))</f>
        <v>CLASS</v>
      </c>
      <c r="L589" s="62" t="str" cm="1">
        <f t="array" ref="L589">IF($B589=0,IF($E589=0,"",IF(INDEX(DMAV_Dienste!O$6:O$140,$E589)="","",INDEX(DMAV_Dienste!O$6:O$140,$E589))),IF(INDEX(DMAV_Modell!P$6:P$838,$B589)="","",INDEX(DMAV_Modell!P$6:P$838,$B589)))</f>
        <v>Grundstuecke</v>
      </c>
      <c r="M589" s="62" t="str" cm="1">
        <f t="array" ref="M589">IF($B589=0,IF($E589=0,"",IF(INDEX(DMAV_Dienste!Q$6:Q$140,$E589)="","",INDEX(DMAV_Dienste!Q$6:Q$140,$E589))),IF(INDEX(DMAV_Modell!R$6:R$838,$B589)="","",INDEX(DMAV_Modell!R$6:R$838,$B589)))</f>
        <v>Bergwerk</v>
      </c>
      <c r="N589" s="62" t="str" cm="1">
        <f t="array" ref="N589">IF($B589=0,IF($E589=0,"",IF(INDEX(DMAV_Dienste!T$6:T$140,$E589)="","",INDEX(DMAV_Dienste!T$6:T$140,$E589))),IF(INDEX(DMAV_Modell!U$6:U$838,$B589)="","",INDEX(DMAV_Modell!U$6:U$838,$B589)))</f>
        <v>Streitig</v>
      </c>
      <c r="O589" s="63" t="str" cm="1">
        <f t="array" aca="1" ref="O589" ca="1">IF(C589=0,IF(F589=0,"",HYPERLINK("#"&amp;RIGHT(CELL("adresse",OFFSET(DMAV_Dienste!$M$6,F589-1,0)),LEN(CELL("adresse",OFFSET(DMAV_Dienste!$M$6,F589-1,0)))-FIND("]",CELL("adresse",OFFSET(DMAV_Dienste!$M$6,F589-1,0)))),"Structure")),HYPERLINK("#"&amp;RIGHT(CELL("adresse",OFFSET(DMAV_Modell!$N$6,C589-1,0)),LEN(CELL("adresse",OFFSET(DMAV_Modell!$N$6,C589-1,0)))-FIND("]",CELL("adresse",OFFSET(DMAV_Modell!$N$6,C589-1,0)))),"Structure"))</f>
        <v/>
      </c>
      <c r="P589" s="64" t="str" cm="1">
        <f t="array" aca="1" ref="P589" ca="1">IF(D589=0,IF(G589=0,"",HYPERLINK("#"&amp;RIGHT(CELL("adresse",OFFSET(DMAV_Dienste!$M$6,G589-1,0)),LEN(CELL("adresse",OFFSET(DMAV_Dienste!$M$6,G589-1,0)))-FIND("]",CELL("adresse",OFFSET(DMAV_Dienste!$M$6,G589-1,0)))),"Substructure")),HYPERLINK("#"&amp;RIGHT(CELL("adresse",OFFSET(DMAV_Modell!$N$6,D589-1,0)),LEN(CELL("adresse",OFFSET(DMAV_Modell!$N$6,D589-1,0)))-FIND("]",CELL("adresse",OFFSET(DMAV_Modell!$N$6,D589-1,0)))),"Substructure"))</f>
        <v/>
      </c>
      <c r="R589" s="80"/>
      <c r="T589" s="93" t="s">
        <v>3556</v>
      </c>
      <c r="U589" s="94" t="s">
        <v>1286</v>
      </c>
      <c r="V589" s="95"/>
      <c r="W589" s="96"/>
      <c r="Y589" s="85" t="s">
        <v>3130</v>
      </c>
      <c r="Z589" s="86" t="s">
        <v>2746</v>
      </c>
      <c r="AA589" s="87" t="s">
        <v>3133</v>
      </c>
      <c r="AB589" s="88" t="s">
        <v>3134</v>
      </c>
      <c r="AD589" s="77"/>
      <c r="AF589" s="54" t="str" cm="1">
        <f t="array" aca="1" ref="AF589" ca="1">IF(H589=0,"",HYPERLINK("#"&amp;RIGHT(CELL("adresse",OFFSET('DM01-AV-CH'!$G$6,H589-1,0)),LEN(CELL("adresse",OFFSET('DM01-AV-CH'!$G$6,H589-1,0)))-FIND("]",CELL("adresse",OFFSET('DM01-AV-CH'!$G$6,H589-1,0)))),"Modell"))</f>
        <v>Modell</v>
      </c>
      <c r="AG589" s="72" t="str" cm="1">
        <f t="array" ref="AG589">IF($H589=0,"",IF(INDEX('DM01-AV-CH'!G$6:G$834,$H589)="","",INDEX('DM01-AV-CH'!G$6:G$834,$H589)))</f>
        <v>Liegenschaften</v>
      </c>
      <c r="AH589" s="73" t="str" cm="1">
        <f t="array" ref="AH589">IF($H589=0,"",IF(INDEX('DM01-AV-CH'!H$6:H$834,$H589)="","",INDEX('DM01-AV-CH'!H$6:H$834,$H589)))</f>
        <v>Bergwerk</v>
      </c>
      <c r="AI589" s="74" t="str" cm="1">
        <f t="array" ref="AI589">IF($H589=0,"",IF(INDEX('DM01-AV-CH'!I$6:I$834,$H589)="","",INDEX('DM01-AV-CH'!I$6:I$834,$H589)))</f>
        <v>Geometrie</v>
      </c>
    </row>
    <row r="590" spans="1:35" x14ac:dyDescent="0.25">
      <c r="A590" s="57">
        <v>585</v>
      </c>
      <c r="B590" s="57">
        <f>IF($A590="","",IF(_xlfn.XLOOKUP($A590,Korrelation!$D$4:$D$1197,Korrelation!E$4:E$1197,"-",0)="-",0,MATCH(_xlfn.XLOOKUP($A590,Korrelation!$D$4:$D$1197,Korrelation!E$4:E$1197,"",0),DMAV_Modell!$G$6:$G$677,0)))</f>
        <v>295</v>
      </c>
      <c r="C590" s="57">
        <f>IF($A590="","",IF(_xlfn.XLOOKUP($A590,Korrelation!$D$4:$D$1197,Korrelation!F$4:F$1197,"-",0)="-",0,MATCH(_xlfn.XLOOKUP($A590,Korrelation!$D$4:$D$1197,Korrelation!F$4:F$1197,"",0),DMAV_Modell!$G$6:$G$677,0)))</f>
        <v>0</v>
      </c>
      <c r="D590" s="57">
        <f>IF($A590="","",IF(_xlfn.XLOOKUP($A590,Korrelation!$D$4:$D$1197,Korrelation!G$4:G$1197,"-",0)="-",0,MATCH(_xlfn.XLOOKUP($A590,Korrelation!$D$4:$D$1197,Korrelation!G$4:G$1197,"",0),DMAV_Modell!$G$6:$G$677,0)))</f>
        <v>0</v>
      </c>
      <c r="E590" s="57">
        <f>IF($A590="","",IF(_xlfn.XLOOKUP($A590,Korrelation!$D$4:$D$1197,Korrelation!H$4:H$1197,"-",0)="-",0,MATCH(_xlfn.XLOOKUP($A590,Korrelation!$D$4:$D$1197,Korrelation!H$4:H$1197,"",0),DMAV_Dienste!$F$6:$F$140,0)))</f>
        <v>0</v>
      </c>
      <c r="F590" s="57">
        <f>IF($A590="","",IF(_xlfn.XLOOKUP($A590,Korrelation!$D$4:$D$1197,Korrelation!I$4:I$1197,"-",0)="-",0,MATCH(_xlfn.XLOOKUP($A590,Korrelation!$D$4:$D$1197,Korrelation!I$4:I$1197,"",0),DMAV_Dienste!$F$6:$F$140,0)))</f>
        <v>0</v>
      </c>
      <c r="G590" s="57">
        <f>IF($A590="","",IF(_xlfn.XLOOKUP($A590,Korrelation!$D$4:$D$1197,Korrelation!J$4:J$1197,"-",0)="-",0,MATCH(_xlfn.XLOOKUP($A590,Korrelation!$D$4:$D$1197,Korrelation!J$4:J$1197,"",0),DMAV_Dienste!$F$6:$F$140,0)))</f>
        <v>0</v>
      </c>
      <c r="H590" s="57">
        <f>IF($A590="","",IF(_xlfn.XLOOKUP($A590,Korrelation!$D$4:$D$1197,Korrelation!K$4:K$1197,"-",0)="-",0,MATCH(_xlfn.XLOOKUP($A590,Korrelation!$D$4:$D$1197,Korrelation!K$4:K$1197,"",0),'DM01-AV-CH'!$A$6:$A$834,0)))</f>
        <v>0</v>
      </c>
      <c r="J590" s="54" t="str" cm="1">
        <f t="array" aca="1" ref="J590" ca="1">IF(B590=0,IF(E590=0,"",HYPERLINK("#"&amp;RIGHT(CELL("adresse",OFFSET(DMAV_Dienste!$M$6,E590-1,0)),LEN(CELL("adresse",OFFSET(DMAV_Dienste!$M$6,E590-1,0)))-FIND("]",CELL("adresse",OFFSET(DMAV_Dienste!$M$6,E590-1,0)))),"Dienst")),HYPERLINK("#"&amp;RIGHT(CELL("adresse",OFFSET(DMAV_Modell!$N$6,B590-1,0)),LEN(CELL("adresse",OFFSET(DMAV_Modell!$N$6,B590-1,0)))-FIND("]",CELL("adresse",OFFSET(DMAV_Modell!$N$6,B590-1,0)))),"Modell"))</f>
        <v>Modell</v>
      </c>
      <c r="K590" s="61" t="str" cm="1">
        <f t="array" ref="K590">IF($B590=0,IF($E590=0,"",IF(INDEX(DMAV_Dienste!P$6:P$140,$E590)="","",INDEX(DMAV_Dienste!P$6:P$140,$E590))),IF(INDEX(DMAV_Modell!Q$6:Q$838,$B590)="","",INDEX(DMAV_Modell!Q$6:Q$838,$B590)))</f>
        <v>CLASS.CONSTRAINT</v>
      </c>
      <c r="L590" s="62" t="str" cm="1">
        <f t="array" ref="L590">IF($B590=0,IF($E590=0,"",IF(INDEX(DMAV_Dienste!O$6:O$140,$E590)="","",INDEX(DMAV_Dienste!O$6:O$140,$E590))),IF(INDEX(DMAV_Modell!P$6:P$838,$B590)="","",INDEX(DMAV_Modell!P$6:P$838,$B590)))</f>
        <v>Grundstuecke</v>
      </c>
      <c r="M590" s="62" t="str" cm="1">
        <f t="array" ref="M590">IF($B590=0,IF($E590=0,"",IF(INDEX(DMAV_Dienste!Q$6:Q$140,$E590)="","",INDEX(DMAV_Dienste!Q$6:Q$140,$E590))),IF(INDEX(DMAV_Modell!R$6:R$838,$B590)="","",INDEX(DMAV_Modell!R$6:R$838,$B590)))</f>
        <v>Bergwerk</v>
      </c>
      <c r="N590" s="62" t="str" cm="1">
        <f t="array" ref="N590">IF($B590=0,IF($E590=0,"",IF(INDEX(DMAV_Dienste!T$6:T$140,$E590)="","",INDEX(DMAV_Dienste!T$6:T$140,$E590))),IF(INDEX(DMAV_Modell!U$6:U$838,$B590)="","",INDEX(DMAV_Modell!U$6:U$838,$B590)))</f>
        <v>NOT(DEFINED(@PH1@)) OR @PH2@(@PH3@)</v>
      </c>
      <c r="O590" s="63" t="str" cm="1">
        <f t="array" aca="1" ref="O590" ca="1">IF(C590=0,IF(F590=0,"",HYPERLINK("#"&amp;RIGHT(CELL("adresse",OFFSET(DMAV_Dienste!$M$6,F590-1,0)),LEN(CELL("adresse",OFFSET(DMAV_Dienste!$M$6,F590-1,0)))-FIND("]",CELL("adresse",OFFSET(DMAV_Dienste!$M$6,F590-1,0)))),"Structure")),HYPERLINK("#"&amp;RIGHT(CELL("adresse",OFFSET(DMAV_Modell!$N$6,C590-1,0)),LEN(CELL("adresse",OFFSET(DMAV_Modell!$N$6,C590-1,0)))-FIND("]",CELL("adresse",OFFSET(DMAV_Modell!$N$6,C590-1,0)))),"Structure"))</f>
        <v/>
      </c>
      <c r="P590" s="64" t="str" cm="1">
        <f t="array" aca="1" ref="P590" ca="1">IF(D590=0,IF(G590=0,"",HYPERLINK("#"&amp;RIGHT(CELL("adresse",OFFSET(DMAV_Dienste!$M$6,G590-1,0)),LEN(CELL("adresse",OFFSET(DMAV_Dienste!$M$6,G590-1,0)))-FIND("]",CELL("adresse",OFFSET(DMAV_Dienste!$M$6,G590-1,0)))),"Substructure")),HYPERLINK("#"&amp;RIGHT(CELL("adresse",OFFSET(DMAV_Modell!$N$6,D590-1,0)),LEN(CELL("adresse",OFFSET(DMAV_Modell!$N$6,D590-1,0)))-FIND("]",CELL("adresse",OFFSET(DMAV_Modell!$N$6,D590-1,0)))),"Substructure"))</f>
        <v/>
      </c>
      <c r="R590" s="80"/>
      <c r="T590" s="93"/>
      <c r="U590" s="94"/>
      <c r="V590" s="95"/>
      <c r="W590" s="96"/>
      <c r="Y590" s="85"/>
      <c r="Z590" s="86"/>
      <c r="AA590" s="87"/>
      <c r="AB590" s="88"/>
      <c r="AD590" s="77"/>
      <c r="AF590" s="54" t="str" cm="1">
        <f t="array" aca="1" ref="AF590" ca="1">IF(H590=0,"",HYPERLINK("#"&amp;RIGHT(CELL("adresse",OFFSET('DM01-AV-CH'!$G$6,H590-1,0)),LEN(CELL("adresse",OFFSET('DM01-AV-CH'!$G$6,H590-1,0)))-FIND("]",CELL("adresse",OFFSET('DM01-AV-CH'!$G$6,H590-1,0)))),"Modell"))</f>
        <v/>
      </c>
      <c r="AG590" s="72" t="str" cm="1">
        <f t="array" ref="AG590">IF($H590=0,"",IF(INDEX('DM01-AV-CH'!G$6:G$834,$H590)="","",INDEX('DM01-AV-CH'!G$6:G$834,$H590)))</f>
        <v/>
      </c>
      <c r="AH590" s="73" t="str" cm="1">
        <f t="array" ref="AH590">IF($H590=0,"",IF(INDEX('DM01-AV-CH'!H$6:H$834,$H590)="","",INDEX('DM01-AV-CH'!H$6:H$834,$H590)))</f>
        <v/>
      </c>
      <c r="AI590" s="74" t="str" cm="1">
        <f t="array" ref="AI590">IF($H590=0,"",IF(INDEX('DM01-AV-CH'!I$6:I$834,$H590)="","",INDEX('DM01-AV-CH'!I$6:I$834,$H590)))</f>
        <v/>
      </c>
    </row>
    <row r="591" spans="1:35" x14ac:dyDescent="0.25">
      <c r="A591" s="57">
        <v>586</v>
      </c>
      <c r="B591" s="57">
        <f>IF($A591="","",IF(_xlfn.XLOOKUP($A591,Korrelation!$D$4:$D$1197,Korrelation!E$4:E$1197,"-",0)="-",0,MATCH(_xlfn.XLOOKUP($A591,Korrelation!$D$4:$D$1197,Korrelation!E$4:E$1197,"",0),DMAV_Modell!$G$6:$G$677,0)))</f>
        <v>296</v>
      </c>
      <c r="C591" s="57">
        <f>IF($A591="","",IF(_xlfn.XLOOKUP($A591,Korrelation!$D$4:$D$1197,Korrelation!F$4:F$1197,"-",0)="-",0,MATCH(_xlfn.XLOOKUP($A591,Korrelation!$D$4:$D$1197,Korrelation!F$4:F$1197,"",0),DMAV_Modell!$G$6:$G$677,0)))</f>
        <v>0</v>
      </c>
      <c r="D591" s="57">
        <f>IF($A591="","",IF(_xlfn.XLOOKUP($A591,Korrelation!$D$4:$D$1197,Korrelation!G$4:G$1197,"-",0)="-",0,MATCH(_xlfn.XLOOKUP($A591,Korrelation!$D$4:$D$1197,Korrelation!G$4:G$1197,"",0),DMAV_Modell!$G$6:$G$677,0)))</f>
        <v>0</v>
      </c>
      <c r="E591" s="57">
        <f>IF($A591="","",IF(_xlfn.XLOOKUP($A591,Korrelation!$D$4:$D$1197,Korrelation!H$4:H$1197,"-",0)="-",0,MATCH(_xlfn.XLOOKUP($A591,Korrelation!$D$4:$D$1197,Korrelation!H$4:H$1197,"",0),DMAV_Dienste!$F$6:$F$140,0)))</f>
        <v>0</v>
      </c>
      <c r="F591" s="57">
        <f>IF($A591="","",IF(_xlfn.XLOOKUP($A591,Korrelation!$D$4:$D$1197,Korrelation!I$4:I$1197,"-",0)="-",0,MATCH(_xlfn.XLOOKUP($A591,Korrelation!$D$4:$D$1197,Korrelation!I$4:I$1197,"",0),DMAV_Dienste!$F$6:$F$140,0)))</f>
        <v>0</v>
      </c>
      <c r="G591" s="57">
        <f>IF($A591="","",IF(_xlfn.XLOOKUP($A591,Korrelation!$D$4:$D$1197,Korrelation!J$4:J$1197,"-",0)="-",0,MATCH(_xlfn.XLOOKUP($A591,Korrelation!$D$4:$D$1197,Korrelation!J$4:J$1197,"",0),DMAV_Dienste!$F$6:$F$140,0)))</f>
        <v>0</v>
      </c>
      <c r="H591" s="57">
        <f>IF($A591="","",IF(_xlfn.XLOOKUP($A591,Korrelation!$D$4:$D$1197,Korrelation!K$4:K$1197,"-",0)="-",0,MATCH(_xlfn.XLOOKUP($A591,Korrelation!$D$4:$D$1197,Korrelation!K$4:K$1197,"",0),'DM01-AV-CH'!$A$6:$A$834,0)))</f>
        <v>0</v>
      </c>
      <c r="J591" s="54" t="str" cm="1">
        <f t="array" aca="1" ref="J591" ca="1">IF(B591=0,IF(E591=0,"",HYPERLINK("#"&amp;RIGHT(CELL("adresse",OFFSET(DMAV_Dienste!$M$6,E591-1,0)),LEN(CELL("adresse",OFFSET(DMAV_Dienste!$M$6,E591-1,0)))-FIND("]",CELL("adresse",OFFSET(DMAV_Dienste!$M$6,E591-1,0)))),"Dienst")),HYPERLINK("#"&amp;RIGHT(CELL("adresse",OFFSET(DMAV_Modell!$N$6,B591-1,0)),LEN(CELL("adresse",OFFSET(DMAV_Modell!$N$6,B591-1,0)))-FIND("]",CELL("adresse",OFFSET(DMAV_Modell!$N$6,B591-1,0)))),"Modell"))</f>
        <v>Modell</v>
      </c>
      <c r="K591" s="61" t="str" cm="1">
        <f t="array" ref="K591">IF($B591=0,IF($E591=0,"",IF(INDEX(DMAV_Dienste!P$6:P$140,$E591)="","",INDEX(DMAV_Dienste!P$6:P$140,$E591))),IF(INDEX(DMAV_Modell!Q$6:Q$838,$B591)="","",INDEX(DMAV_Modell!Q$6:Q$838,$B591)))</f>
        <v>ASSOCIATION</v>
      </c>
      <c r="L591" s="62" t="str" cm="1">
        <f t="array" ref="L591">IF($B591=0,IF($E591=0,"",IF(INDEX(DMAV_Dienste!O$6:O$140,$E591)="","",INDEX(DMAV_Dienste!O$6:O$140,$E591))),IF(INDEX(DMAV_Modell!P$6:P$838,$B591)="","",INDEX(DMAV_Modell!P$6:P$838,$B591)))</f>
        <v>Grundstuecke</v>
      </c>
      <c r="M591" s="62" t="str" cm="1">
        <f t="array" ref="M591">IF($B591=0,IF($E591=0,"",IF(INDEX(DMAV_Dienste!Q$6:Q$140,$E591)="","",INDEX(DMAV_Dienste!Q$6:Q$140,$E591))),IF(INDEX(DMAV_Modell!R$6:R$838,$B591)="","",INDEX(DMAV_Modell!R$6:R$838,$B591)))</f>
        <v>GrundstueckBergwerk</v>
      </c>
      <c r="N591" s="62" t="str" cm="1">
        <f t="array" ref="N591">IF($B591=0,IF($E591=0,"",IF(INDEX(DMAV_Dienste!T$6:T$140,$E591)="","",INDEX(DMAV_Dienste!T$6:T$140,$E591))),IF(INDEX(DMAV_Modell!U$6:U$838,$B591)="","",INDEX(DMAV_Modell!U$6:U$838,$B591)))</f>
        <v>Grundstueck</v>
      </c>
      <c r="O591" s="63" t="str" cm="1">
        <f t="array" aca="1" ref="O591" ca="1">IF(C591=0,IF(F591=0,"",HYPERLINK("#"&amp;RIGHT(CELL("adresse",OFFSET(DMAV_Dienste!$M$6,F591-1,0)),LEN(CELL("adresse",OFFSET(DMAV_Dienste!$M$6,F591-1,0)))-FIND("]",CELL("adresse",OFFSET(DMAV_Dienste!$M$6,F591-1,0)))),"Structure")),HYPERLINK("#"&amp;RIGHT(CELL("adresse",OFFSET(DMAV_Modell!$N$6,C591-1,0)),LEN(CELL("adresse",OFFSET(DMAV_Modell!$N$6,C591-1,0)))-FIND("]",CELL("adresse",OFFSET(DMAV_Modell!$N$6,C591-1,0)))),"Structure"))</f>
        <v/>
      </c>
      <c r="P591" s="64" t="str" cm="1">
        <f t="array" aca="1" ref="P591" ca="1">IF(D591=0,IF(G591=0,"",HYPERLINK("#"&amp;RIGHT(CELL("adresse",OFFSET(DMAV_Dienste!$M$6,G591-1,0)),LEN(CELL("adresse",OFFSET(DMAV_Dienste!$M$6,G591-1,0)))-FIND("]",CELL("adresse",OFFSET(DMAV_Dienste!$M$6,G591-1,0)))),"Substructure")),HYPERLINK("#"&amp;RIGHT(CELL("adresse",OFFSET(DMAV_Modell!$N$6,D591-1,0)),LEN(CELL("adresse",OFFSET(DMAV_Modell!$N$6,D591-1,0)))-FIND("]",CELL("adresse",OFFSET(DMAV_Modell!$N$6,D591-1,0)))),"Substructure"))</f>
        <v/>
      </c>
      <c r="R591" s="80"/>
      <c r="T591" s="93"/>
      <c r="U591" s="94"/>
      <c r="V591" s="95"/>
      <c r="W591" s="96"/>
      <c r="Y591" s="85"/>
      <c r="Z591" s="86"/>
      <c r="AA591" s="87"/>
      <c r="AB591" s="88"/>
      <c r="AD591" s="77"/>
      <c r="AF591" s="54" t="str" cm="1">
        <f t="array" aca="1" ref="AF591" ca="1">IF(H591=0,"",HYPERLINK("#"&amp;RIGHT(CELL("adresse",OFFSET('DM01-AV-CH'!$G$6,H591-1,0)),LEN(CELL("adresse",OFFSET('DM01-AV-CH'!$G$6,H591-1,0)))-FIND("]",CELL("adresse",OFFSET('DM01-AV-CH'!$G$6,H591-1,0)))),"Modell"))</f>
        <v/>
      </c>
      <c r="AG591" s="72" t="str" cm="1">
        <f t="array" ref="AG591">IF($H591=0,"",IF(INDEX('DM01-AV-CH'!G$6:G$834,$H591)="","",INDEX('DM01-AV-CH'!G$6:G$834,$H591)))</f>
        <v/>
      </c>
      <c r="AH591" s="73" t="str" cm="1">
        <f t="array" ref="AH591">IF($H591=0,"",IF(INDEX('DM01-AV-CH'!H$6:H$834,$H591)="","",INDEX('DM01-AV-CH'!H$6:H$834,$H591)))</f>
        <v/>
      </c>
      <c r="AI591" s="74" t="str" cm="1">
        <f t="array" ref="AI591">IF($H591=0,"",IF(INDEX('DM01-AV-CH'!I$6:I$834,$H591)="","",INDEX('DM01-AV-CH'!I$6:I$834,$H591)))</f>
        <v/>
      </c>
    </row>
    <row r="592" spans="1:35" x14ac:dyDescent="0.25">
      <c r="A592" s="57">
        <v>587</v>
      </c>
      <c r="B592" s="57">
        <f>IF($A592="","",IF(_xlfn.XLOOKUP($A592,Korrelation!$D$4:$D$1197,Korrelation!E$4:E$1197,"-",0)="-",0,MATCH(_xlfn.XLOOKUP($A592,Korrelation!$D$4:$D$1197,Korrelation!E$4:E$1197,"",0),DMAV_Modell!$G$6:$G$677,0)))</f>
        <v>297</v>
      </c>
      <c r="C592" s="57">
        <f>IF($A592="","",IF(_xlfn.XLOOKUP($A592,Korrelation!$D$4:$D$1197,Korrelation!F$4:F$1197,"-",0)="-",0,MATCH(_xlfn.XLOOKUP($A592,Korrelation!$D$4:$D$1197,Korrelation!F$4:F$1197,"",0),DMAV_Modell!$G$6:$G$677,0)))</f>
        <v>0</v>
      </c>
      <c r="D592" s="57">
        <f>IF($A592="","",IF(_xlfn.XLOOKUP($A592,Korrelation!$D$4:$D$1197,Korrelation!G$4:G$1197,"-",0)="-",0,MATCH(_xlfn.XLOOKUP($A592,Korrelation!$D$4:$D$1197,Korrelation!G$4:G$1197,"",0),DMAV_Modell!$G$6:$G$677,0)))</f>
        <v>0</v>
      </c>
      <c r="E592" s="57">
        <f>IF($A592="","",IF(_xlfn.XLOOKUP($A592,Korrelation!$D$4:$D$1197,Korrelation!H$4:H$1197,"-",0)="-",0,MATCH(_xlfn.XLOOKUP($A592,Korrelation!$D$4:$D$1197,Korrelation!H$4:H$1197,"",0),DMAV_Dienste!$F$6:$F$140,0)))</f>
        <v>0</v>
      </c>
      <c r="F592" s="57">
        <f>IF($A592="","",IF(_xlfn.XLOOKUP($A592,Korrelation!$D$4:$D$1197,Korrelation!I$4:I$1197,"-",0)="-",0,MATCH(_xlfn.XLOOKUP($A592,Korrelation!$D$4:$D$1197,Korrelation!I$4:I$1197,"",0),DMAV_Dienste!$F$6:$F$140,0)))</f>
        <v>0</v>
      </c>
      <c r="G592" s="57">
        <f>IF($A592="","",IF(_xlfn.XLOOKUP($A592,Korrelation!$D$4:$D$1197,Korrelation!J$4:J$1197,"-",0)="-",0,MATCH(_xlfn.XLOOKUP($A592,Korrelation!$D$4:$D$1197,Korrelation!J$4:J$1197,"",0),DMAV_Dienste!$F$6:$F$140,0)))</f>
        <v>0</v>
      </c>
      <c r="H592" s="57">
        <f>IF($A592="","",IF(_xlfn.XLOOKUP($A592,Korrelation!$D$4:$D$1197,Korrelation!K$4:K$1197,"-",0)="-",0,MATCH(_xlfn.XLOOKUP($A592,Korrelation!$D$4:$D$1197,Korrelation!K$4:K$1197,"",0),'DM01-AV-CH'!$A$6:$A$834,0)))</f>
        <v>0</v>
      </c>
      <c r="J592" s="54" t="str" cm="1">
        <f t="array" aca="1" ref="J592" ca="1">IF(B592=0,IF(E592=0,"",HYPERLINK("#"&amp;RIGHT(CELL("adresse",OFFSET(DMAV_Dienste!$M$6,E592-1,0)),LEN(CELL("adresse",OFFSET(DMAV_Dienste!$M$6,E592-1,0)))-FIND("]",CELL("adresse",OFFSET(DMAV_Dienste!$M$6,E592-1,0)))),"Dienst")),HYPERLINK("#"&amp;RIGHT(CELL("adresse",OFFSET(DMAV_Modell!$N$6,B592-1,0)),LEN(CELL("adresse",OFFSET(DMAV_Modell!$N$6,B592-1,0)))-FIND("]",CELL("adresse",OFFSET(DMAV_Modell!$N$6,B592-1,0)))),"Modell"))</f>
        <v>Modell</v>
      </c>
      <c r="K592" s="61" t="str" cm="1">
        <f t="array" ref="K592">IF($B592=0,IF($E592=0,"",IF(INDEX(DMAV_Dienste!P$6:P$140,$E592)="","",INDEX(DMAV_Dienste!P$6:P$140,$E592))),IF(INDEX(DMAV_Modell!Q$6:Q$838,$B592)="","",INDEX(DMAV_Modell!Q$6:Q$838,$B592)))</f>
        <v>ASSOCIATION</v>
      </c>
      <c r="L592" s="62" t="str" cm="1">
        <f t="array" ref="L592">IF($B592=0,IF($E592=0,"",IF(INDEX(DMAV_Dienste!O$6:O$140,$E592)="","",INDEX(DMAV_Dienste!O$6:O$140,$E592))),IF(INDEX(DMAV_Modell!P$6:P$838,$B592)="","",INDEX(DMAV_Modell!P$6:P$838,$B592)))</f>
        <v>Grundstuecke</v>
      </c>
      <c r="M592" s="62" t="str" cm="1">
        <f t="array" ref="M592">IF($B592=0,IF($E592=0,"",IF(INDEX(DMAV_Dienste!Q$6:Q$140,$E592)="","",INDEX(DMAV_Dienste!Q$6:Q$140,$E592))),IF(INDEX(DMAV_Modell!R$6:R$838,$B592)="","",INDEX(DMAV_Modell!R$6:R$838,$B592)))</f>
        <v>GrundstueckBergwerk</v>
      </c>
      <c r="N592" s="62" t="str" cm="1">
        <f t="array" ref="N592">IF($B592=0,IF($E592=0,"",IF(INDEX(DMAV_Dienste!T$6:T$140,$E592)="","",INDEX(DMAV_Dienste!T$6:T$140,$E592))),IF(INDEX(DMAV_Modell!U$6:U$838,$B592)="","",INDEX(DMAV_Modell!U$6:U$838,$B592)))</f>
        <v>Bergwerk</v>
      </c>
      <c r="O592" s="63" t="str" cm="1">
        <f t="array" aca="1" ref="O592" ca="1">IF(C592=0,IF(F592=0,"",HYPERLINK("#"&amp;RIGHT(CELL("adresse",OFFSET(DMAV_Dienste!$M$6,F592-1,0)),LEN(CELL("adresse",OFFSET(DMAV_Dienste!$M$6,F592-1,0)))-FIND("]",CELL("adresse",OFFSET(DMAV_Dienste!$M$6,F592-1,0)))),"Structure")),HYPERLINK("#"&amp;RIGHT(CELL("adresse",OFFSET(DMAV_Modell!$N$6,C592-1,0)),LEN(CELL("adresse",OFFSET(DMAV_Modell!$N$6,C592-1,0)))-FIND("]",CELL("adresse",OFFSET(DMAV_Modell!$N$6,C592-1,0)))),"Structure"))</f>
        <v/>
      </c>
      <c r="P592" s="64" t="str" cm="1">
        <f t="array" aca="1" ref="P592" ca="1">IF(D592=0,IF(G592=0,"",HYPERLINK("#"&amp;RIGHT(CELL("adresse",OFFSET(DMAV_Dienste!$M$6,G592-1,0)),LEN(CELL("adresse",OFFSET(DMAV_Dienste!$M$6,G592-1,0)))-FIND("]",CELL("adresse",OFFSET(DMAV_Dienste!$M$6,G592-1,0)))),"Substructure")),HYPERLINK("#"&amp;RIGHT(CELL("adresse",OFFSET(DMAV_Modell!$N$6,D592-1,0)),LEN(CELL("adresse",OFFSET(DMAV_Modell!$N$6,D592-1,0)))-FIND("]",CELL("adresse",OFFSET(DMAV_Modell!$N$6,D592-1,0)))),"Substructure"))</f>
        <v/>
      </c>
      <c r="R592" s="80"/>
      <c r="T592" s="93"/>
      <c r="U592" s="94"/>
      <c r="V592" s="95"/>
      <c r="W592" s="96"/>
      <c r="Y592" s="85"/>
      <c r="Z592" s="86"/>
      <c r="AA592" s="87"/>
      <c r="AB592" s="88"/>
      <c r="AD592" s="77"/>
      <c r="AF592" s="54" t="str" cm="1">
        <f t="array" aca="1" ref="AF592" ca="1">IF(H592=0,"",HYPERLINK("#"&amp;RIGHT(CELL("adresse",OFFSET('DM01-AV-CH'!$G$6,H592-1,0)),LEN(CELL("adresse",OFFSET('DM01-AV-CH'!$G$6,H592-1,0)))-FIND("]",CELL("adresse",OFFSET('DM01-AV-CH'!$G$6,H592-1,0)))),"Modell"))</f>
        <v/>
      </c>
      <c r="AG592" s="72" t="str" cm="1">
        <f t="array" ref="AG592">IF($H592=0,"",IF(INDEX('DM01-AV-CH'!G$6:G$834,$H592)="","",INDEX('DM01-AV-CH'!G$6:G$834,$H592)))</f>
        <v/>
      </c>
      <c r="AH592" s="73" t="str" cm="1">
        <f t="array" ref="AH592">IF($H592=0,"",IF(INDEX('DM01-AV-CH'!H$6:H$834,$H592)="","",INDEX('DM01-AV-CH'!H$6:H$834,$H592)))</f>
        <v/>
      </c>
      <c r="AI592" s="74" t="str" cm="1">
        <f t="array" ref="AI592">IF($H592=0,"",IF(INDEX('DM01-AV-CH'!I$6:I$834,$H592)="","",INDEX('DM01-AV-CH'!I$6:I$834,$H592)))</f>
        <v/>
      </c>
    </row>
    <row r="593" spans="1:35" x14ac:dyDescent="0.25">
      <c r="A593" s="57">
        <v>588</v>
      </c>
      <c r="B593" s="57">
        <f>IF($A593="","",IF(_xlfn.XLOOKUP($A593,Korrelation!$D$4:$D$1197,Korrelation!E$4:E$1197,"-",0)="-",0,MATCH(_xlfn.XLOOKUP($A593,Korrelation!$D$4:$D$1197,Korrelation!E$4:E$1197,"",0),DMAV_Modell!$G$6:$G$677,0)))</f>
        <v>298</v>
      </c>
      <c r="C593" s="57">
        <f>IF($A593="","",IF(_xlfn.XLOOKUP($A593,Korrelation!$D$4:$D$1197,Korrelation!F$4:F$1197,"-",0)="-",0,MATCH(_xlfn.XLOOKUP($A593,Korrelation!$D$4:$D$1197,Korrelation!F$4:F$1197,"",0),DMAV_Modell!$G$6:$G$677,0)))</f>
        <v>0</v>
      </c>
      <c r="D593" s="57">
        <f>IF($A593="","",IF(_xlfn.XLOOKUP($A593,Korrelation!$D$4:$D$1197,Korrelation!G$4:G$1197,"-",0)="-",0,MATCH(_xlfn.XLOOKUP($A593,Korrelation!$D$4:$D$1197,Korrelation!G$4:G$1197,"",0),DMAV_Modell!$G$6:$G$677,0)))</f>
        <v>0</v>
      </c>
      <c r="E593" s="57">
        <f>IF($A593="","",IF(_xlfn.XLOOKUP($A593,Korrelation!$D$4:$D$1197,Korrelation!H$4:H$1197,"-",0)="-",0,MATCH(_xlfn.XLOOKUP($A593,Korrelation!$D$4:$D$1197,Korrelation!H$4:H$1197,"",0),DMAV_Dienste!$F$6:$F$140,0)))</f>
        <v>0</v>
      </c>
      <c r="F593" s="57">
        <f>IF($A593="","",IF(_xlfn.XLOOKUP($A593,Korrelation!$D$4:$D$1197,Korrelation!I$4:I$1197,"-",0)="-",0,MATCH(_xlfn.XLOOKUP($A593,Korrelation!$D$4:$D$1197,Korrelation!I$4:I$1197,"",0),DMAV_Dienste!$F$6:$F$140,0)))</f>
        <v>0</v>
      </c>
      <c r="G593" s="57">
        <f>IF($A593="","",IF(_xlfn.XLOOKUP($A593,Korrelation!$D$4:$D$1197,Korrelation!J$4:J$1197,"-",0)="-",0,MATCH(_xlfn.XLOOKUP($A593,Korrelation!$D$4:$D$1197,Korrelation!J$4:J$1197,"",0),DMAV_Dienste!$F$6:$F$140,0)))</f>
        <v>0</v>
      </c>
      <c r="H593" s="57">
        <f>IF($A593="","",IF(_xlfn.XLOOKUP($A593,Korrelation!$D$4:$D$1197,Korrelation!K$4:K$1197,"-",0)="-",0,MATCH(_xlfn.XLOOKUP($A593,Korrelation!$D$4:$D$1197,Korrelation!K$4:K$1197,"",0),'DM01-AV-CH'!$A$6:$A$834,0)))</f>
        <v>0</v>
      </c>
      <c r="J593" s="54" t="str" cm="1">
        <f t="array" aca="1" ref="J593" ca="1">IF(B593=0,IF(E593=0,"",HYPERLINK("#"&amp;RIGHT(CELL("adresse",OFFSET(DMAV_Dienste!$M$6,E593-1,0)),LEN(CELL("adresse",OFFSET(DMAV_Dienste!$M$6,E593-1,0)))-FIND("]",CELL("adresse",OFFSET(DMAV_Dienste!$M$6,E593-1,0)))),"Dienst")),HYPERLINK("#"&amp;RIGHT(CELL("adresse",OFFSET(DMAV_Modell!$N$6,B593-1,0)),LEN(CELL("adresse",OFFSET(DMAV_Modell!$N$6,B593-1,0)))-FIND("]",CELL("adresse",OFFSET(DMAV_Modell!$N$6,B593-1,0)))),"Modell"))</f>
        <v>Modell</v>
      </c>
      <c r="K593" s="61" t="str" cm="1">
        <f t="array" ref="K593">IF($B593=0,IF($E593=0,"",IF(INDEX(DMAV_Dienste!P$6:P$140,$E593)="","",INDEX(DMAV_Dienste!P$6:P$140,$E593))),IF(INDEX(DMAV_Modell!Q$6:Q$838,$B593)="","",INDEX(DMAV_Modell!Q$6:Q$838,$B593)))</f>
        <v>ASSOCIATION.CONSTRAINT</v>
      </c>
      <c r="L593" s="62" t="str" cm="1">
        <f t="array" ref="L593">IF($B593=0,IF($E593=0,"",IF(INDEX(DMAV_Dienste!O$6:O$140,$E593)="","",INDEX(DMAV_Dienste!O$6:O$140,$E593))),IF(INDEX(DMAV_Modell!P$6:P$838,$B593)="","",INDEX(DMAV_Modell!P$6:P$838,$B593)))</f>
        <v>Grundstuecke</v>
      </c>
      <c r="M593" s="62" t="str" cm="1">
        <f t="array" ref="M593">IF($B593=0,IF($E593=0,"",IF(INDEX(DMAV_Dienste!Q$6:Q$140,$E593)="","",INDEX(DMAV_Dienste!Q$6:Q$140,$E593))),IF(INDEX(DMAV_Modell!R$6:R$838,$B593)="","",INDEX(DMAV_Modell!R$6:R$838,$B593)))</f>
        <v>GrundstueckBergwerk</v>
      </c>
      <c r="N593" s="62" t="str" cm="1">
        <f t="array" ref="N593">IF($B593=0,IF($E593=0,"",IF(INDEX(DMAV_Dienste!T$6:T$140,$E593)="","",INDEX(DMAV_Dienste!T$6:T$140,$E593))),IF(INDEX(DMAV_Modell!U$6:U$838,$B593)="","",INDEX(DMAV_Modell!U$6:U$838,$B593)))</f>
        <v>@PH1@ == @PH2@</v>
      </c>
      <c r="O593" s="63" t="str" cm="1">
        <f t="array" aca="1" ref="O593" ca="1">IF(C593=0,IF(F593=0,"",HYPERLINK("#"&amp;RIGHT(CELL("adresse",OFFSET(DMAV_Dienste!$M$6,F593-1,0)),LEN(CELL("adresse",OFFSET(DMAV_Dienste!$M$6,F593-1,0)))-FIND("]",CELL("adresse",OFFSET(DMAV_Dienste!$M$6,F593-1,0)))),"Structure")),HYPERLINK("#"&amp;RIGHT(CELL("adresse",OFFSET(DMAV_Modell!$N$6,C593-1,0)),LEN(CELL("adresse",OFFSET(DMAV_Modell!$N$6,C593-1,0)))-FIND("]",CELL("adresse",OFFSET(DMAV_Modell!$N$6,C593-1,0)))),"Structure"))</f>
        <v/>
      </c>
      <c r="P593" s="64" t="str" cm="1">
        <f t="array" aca="1" ref="P593" ca="1">IF(D593=0,IF(G593=0,"",HYPERLINK("#"&amp;RIGHT(CELL("adresse",OFFSET(DMAV_Dienste!$M$6,G593-1,0)),LEN(CELL("adresse",OFFSET(DMAV_Dienste!$M$6,G593-1,0)))-FIND("]",CELL("adresse",OFFSET(DMAV_Dienste!$M$6,G593-1,0)))),"Substructure")),HYPERLINK("#"&amp;RIGHT(CELL("adresse",OFFSET(DMAV_Modell!$N$6,D593-1,0)),LEN(CELL("adresse",OFFSET(DMAV_Modell!$N$6,D593-1,0)))-FIND("]",CELL("adresse",OFFSET(DMAV_Modell!$N$6,D593-1,0)))),"Substructure"))</f>
        <v/>
      </c>
      <c r="R593" s="80"/>
      <c r="T593" s="93"/>
      <c r="U593" s="94"/>
      <c r="V593" s="95"/>
      <c r="W593" s="96"/>
      <c r="Y593" s="85"/>
      <c r="Z593" s="86"/>
      <c r="AA593" s="87"/>
      <c r="AB593" s="88"/>
      <c r="AD593" s="77"/>
      <c r="AF593" s="54" t="str" cm="1">
        <f t="array" aca="1" ref="AF593" ca="1">IF(H593=0,"",HYPERLINK("#"&amp;RIGHT(CELL("adresse",OFFSET('DM01-AV-CH'!$G$6,H593-1,0)),LEN(CELL("adresse",OFFSET('DM01-AV-CH'!$G$6,H593-1,0)))-FIND("]",CELL("adresse",OFFSET('DM01-AV-CH'!$G$6,H593-1,0)))),"Modell"))</f>
        <v/>
      </c>
      <c r="AG593" s="72" t="str" cm="1">
        <f t="array" ref="AG593">IF($H593=0,"",IF(INDEX('DM01-AV-CH'!G$6:G$834,$H593)="","",INDEX('DM01-AV-CH'!G$6:G$834,$H593)))</f>
        <v/>
      </c>
      <c r="AH593" s="73" t="str" cm="1">
        <f t="array" ref="AH593">IF($H593=0,"",IF(INDEX('DM01-AV-CH'!H$6:H$834,$H593)="","",INDEX('DM01-AV-CH'!H$6:H$834,$H593)))</f>
        <v/>
      </c>
      <c r="AI593" s="74" t="str" cm="1">
        <f t="array" ref="AI593">IF($H593=0,"",IF(INDEX('DM01-AV-CH'!I$6:I$834,$H593)="","",INDEX('DM01-AV-CH'!I$6:I$834,$H593)))</f>
        <v/>
      </c>
    </row>
    <row r="594" spans="1:35" x14ac:dyDescent="0.25">
      <c r="A594" s="57">
        <v>589</v>
      </c>
      <c r="B594" s="57">
        <f>IF($A594="","",IF(_xlfn.XLOOKUP($A594,Korrelation!$D$4:$D$1197,Korrelation!E$4:E$1197,"-",0)="-",0,MATCH(_xlfn.XLOOKUP($A594,Korrelation!$D$4:$D$1197,Korrelation!E$4:E$1197,"",0),DMAV_Modell!$G$6:$G$677,0)))</f>
        <v>299</v>
      </c>
      <c r="C594" s="57">
        <f>IF($A594="","",IF(_xlfn.XLOOKUP($A594,Korrelation!$D$4:$D$1197,Korrelation!F$4:F$1197,"-",0)="-",0,MATCH(_xlfn.XLOOKUP($A594,Korrelation!$D$4:$D$1197,Korrelation!F$4:F$1197,"",0),DMAV_Modell!$G$6:$G$677,0)))</f>
        <v>0</v>
      </c>
      <c r="D594" s="57">
        <f>IF($A594="","",IF(_xlfn.XLOOKUP($A594,Korrelation!$D$4:$D$1197,Korrelation!G$4:G$1197,"-",0)="-",0,MATCH(_xlfn.XLOOKUP($A594,Korrelation!$D$4:$D$1197,Korrelation!G$4:G$1197,"",0),DMAV_Modell!$G$6:$G$677,0)))</f>
        <v>0</v>
      </c>
      <c r="E594" s="57">
        <f>IF($A594="","",IF(_xlfn.XLOOKUP($A594,Korrelation!$D$4:$D$1197,Korrelation!H$4:H$1197,"-",0)="-",0,MATCH(_xlfn.XLOOKUP($A594,Korrelation!$D$4:$D$1197,Korrelation!H$4:H$1197,"",0),DMAV_Dienste!$F$6:$F$140,0)))</f>
        <v>0</v>
      </c>
      <c r="F594" s="57">
        <f>IF($A594="","",IF(_xlfn.XLOOKUP($A594,Korrelation!$D$4:$D$1197,Korrelation!I$4:I$1197,"-",0)="-",0,MATCH(_xlfn.XLOOKUP($A594,Korrelation!$D$4:$D$1197,Korrelation!I$4:I$1197,"",0),DMAV_Dienste!$F$6:$F$140,0)))</f>
        <v>0</v>
      </c>
      <c r="G594" s="57">
        <f>IF($A594="","",IF(_xlfn.XLOOKUP($A594,Korrelation!$D$4:$D$1197,Korrelation!J$4:J$1197,"-",0)="-",0,MATCH(_xlfn.XLOOKUP($A594,Korrelation!$D$4:$D$1197,Korrelation!J$4:J$1197,"",0),DMAV_Dienste!$F$6:$F$140,0)))</f>
        <v>0</v>
      </c>
      <c r="H594" s="57">
        <f>IF($A594="","",IF(_xlfn.XLOOKUP($A594,Korrelation!$D$4:$D$1197,Korrelation!K$4:K$1197,"-",0)="-",0,MATCH(_xlfn.XLOOKUP($A594,Korrelation!$D$4:$D$1197,Korrelation!K$4:K$1197,"",0),'DM01-AV-CH'!$A$6:$A$834,0)))</f>
        <v>0</v>
      </c>
      <c r="J594" s="54" t="str" cm="1">
        <f t="array" aca="1" ref="J594" ca="1">IF(B594=0,IF(E594=0,"",HYPERLINK("#"&amp;RIGHT(CELL("adresse",OFFSET(DMAV_Dienste!$M$6,E594-1,0)),LEN(CELL("adresse",OFFSET(DMAV_Dienste!$M$6,E594-1,0)))-FIND("]",CELL("adresse",OFFSET(DMAV_Dienste!$M$6,E594-1,0)))),"Dienst")),HYPERLINK("#"&amp;RIGHT(CELL("adresse",OFFSET(DMAV_Modell!$N$6,B594-1,0)),LEN(CELL("adresse",OFFSET(DMAV_Modell!$N$6,B594-1,0)))-FIND("]",CELL("adresse",OFFSET(DMAV_Modell!$N$6,B594-1,0)))),"Modell"))</f>
        <v>Modell</v>
      </c>
      <c r="K594" s="61" t="str" cm="1">
        <f t="array" ref="K594">IF($B594=0,IF($E594=0,"",IF(INDEX(DMAV_Dienste!P$6:P$140,$E594)="","",INDEX(DMAV_Dienste!P$6:P$140,$E594))),IF(INDEX(DMAV_Modell!Q$6:Q$838,$B594)="","",INDEX(DMAV_Modell!Q$6:Q$838,$B594)))</f>
        <v>ASSOCIATION.CONSTRAINT</v>
      </c>
      <c r="L594" s="62" t="str" cm="1">
        <f t="array" ref="L594">IF($B594=0,IF($E594=0,"",IF(INDEX(DMAV_Dienste!O$6:O$140,$E594)="","",INDEX(DMAV_Dienste!O$6:O$140,$E594))),IF(INDEX(DMAV_Modell!P$6:P$838,$B594)="","",INDEX(DMAV_Modell!P$6:P$838,$B594)))</f>
        <v>Grundstuecke</v>
      </c>
      <c r="M594" s="62" t="str" cm="1">
        <f t="array" ref="M594">IF($B594=0,IF($E594=0,"",IF(INDEX(DMAV_Dienste!Q$6:Q$140,$E594)="","",INDEX(DMAV_Dienste!Q$6:Q$140,$E594))),IF(INDEX(DMAV_Modell!R$6:R$838,$B594)="","",INDEX(DMAV_Modell!R$6:R$838,$B594)))</f>
        <v>GrundstueckBergwerk</v>
      </c>
      <c r="N594" s="62" t="str" cm="1">
        <f t="array" ref="N594">IF($B594=0,IF($E594=0,"",IF(INDEX(DMAV_Dienste!T$6:T$140,$E594)="","",INDEX(DMAV_Dienste!T$6:T$140,$E594))),IF(INDEX(DMAV_Modell!U$6:U$838,$B594)="","",INDEX(DMAV_Modell!U$6:U$838,$B594)))</f>
        <v>NOT(@PH1@)</v>
      </c>
      <c r="O594" s="63" t="str" cm="1">
        <f t="array" aca="1" ref="O594" ca="1">IF(C594=0,IF(F594=0,"",HYPERLINK("#"&amp;RIGHT(CELL("adresse",OFFSET(DMAV_Dienste!$M$6,F594-1,0)),LEN(CELL("adresse",OFFSET(DMAV_Dienste!$M$6,F594-1,0)))-FIND("]",CELL("adresse",OFFSET(DMAV_Dienste!$M$6,F594-1,0)))),"Structure")),HYPERLINK("#"&amp;RIGHT(CELL("adresse",OFFSET(DMAV_Modell!$N$6,C594-1,0)),LEN(CELL("adresse",OFFSET(DMAV_Modell!$N$6,C594-1,0)))-FIND("]",CELL("adresse",OFFSET(DMAV_Modell!$N$6,C594-1,0)))),"Structure"))</f>
        <v/>
      </c>
      <c r="P594" s="64" t="str" cm="1">
        <f t="array" aca="1" ref="P594" ca="1">IF(D594=0,IF(G594=0,"",HYPERLINK("#"&amp;RIGHT(CELL("adresse",OFFSET(DMAV_Dienste!$M$6,G594-1,0)),LEN(CELL("adresse",OFFSET(DMAV_Dienste!$M$6,G594-1,0)))-FIND("]",CELL("adresse",OFFSET(DMAV_Dienste!$M$6,G594-1,0)))),"Substructure")),HYPERLINK("#"&amp;RIGHT(CELL("adresse",OFFSET(DMAV_Modell!$N$6,D594-1,0)),LEN(CELL("adresse",OFFSET(DMAV_Modell!$N$6,D594-1,0)))-FIND("]",CELL("adresse",OFFSET(DMAV_Modell!$N$6,D594-1,0)))),"Substructure"))</f>
        <v/>
      </c>
      <c r="R594" s="80"/>
      <c r="T594" s="93"/>
      <c r="U594" s="94"/>
      <c r="V594" s="95"/>
      <c r="W594" s="96"/>
      <c r="Y594" s="85"/>
      <c r="Z594" s="86"/>
      <c r="AA594" s="87"/>
      <c r="AB594" s="88"/>
      <c r="AD594" s="77"/>
      <c r="AF594" s="54" t="str" cm="1">
        <f t="array" aca="1" ref="AF594" ca="1">IF(H594=0,"",HYPERLINK("#"&amp;RIGHT(CELL("adresse",OFFSET('DM01-AV-CH'!$G$6,H594-1,0)),LEN(CELL("adresse",OFFSET('DM01-AV-CH'!$G$6,H594-1,0)))-FIND("]",CELL("adresse",OFFSET('DM01-AV-CH'!$G$6,H594-1,0)))),"Modell"))</f>
        <v/>
      </c>
      <c r="AG594" s="72" t="str" cm="1">
        <f t="array" ref="AG594">IF($H594=0,"",IF(INDEX('DM01-AV-CH'!G$6:G$834,$H594)="","",INDEX('DM01-AV-CH'!G$6:G$834,$H594)))</f>
        <v/>
      </c>
      <c r="AH594" s="73" t="str" cm="1">
        <f t="array" ref="AH594">IF($H594=0,"",IF(INDEX('DM01-AV-CH'!H$6:H$834,$H594)="","",INDEX('DM01-AV-CH'!H$6:H$834,$H594)))</f>
        <v/>
      </c>
      <c r="AI594" s="74" t="str" cm="1">
        <f t="array" ref="AI594">IF($H594=0,"",IF(INDEX('DM01-AV-CH'!I$6:I$834,$H594)="","",INDEX('DM01-AV-CH'!I$6:I$834,$H594)))</f>
        <v/>
      </c>
    </row>
    <row r="595" spans="1:35" x14ac:dyDescent="0.25">
      <c r="A595" s="57">
        <v>590</v>
      </c>
      <c r="B595" s="57">
        <f>IF($A595="","",IF(_xlfn.XLOOKUP($A595,Korrelation!$D$4:$D$1197,Korrelation!E$4:E$1197,"-",0)="-",0,MATCH(_xlfn.XLOOKUP($A595,Korrelation!$D$4:$D$1197,Korrelation!E$4:E$1197,"",0),DMAV_Modell!$G$6:$G$677,0)))</f>
        <v>300</v>
      </c>
      <c r="C595" s="57">
        <f>IF($A595="","",IF(_xlfn.XLOOKUP($A595,Korrelation!$D$4:$D$1197,Korrelation!F$4:F$1197,"-",0)="-",0,MATCH(_xlfn.XLOOKUP($A595,Korrelation!$D$4:$D$1197,Korrelation!F$4:F$1197,"",0),DMAV_Modell!$G$6:$G$677,0)))</f>
        <v>0</v>
      </c>
      <c r="D595" s="57">
        <f>IF($A595="","",IF(_xlfn.XLOOKUP($A595,Korrelation!$D$4:$D$1197,Korrelation!G$4:G$1197,"-",0)="-",0,MATCH(_xlfn.XLOOKUP($A595,Korrelation!$D$4:$D$1197,Korrelation!G$4:G$1197,"",0),DMAV_Modell!$G$6:$G$677,0)))</f>
        <v>0</v>
      </c>
      <c r="E595" s="57">
        <f>IF($A595="","",IF(_xlfn.XLOOKUP($A595,Korrelation!$D$4:$D$1197,Korrelation!H$4:H$1197,"-",0)="-",0,MATCH(_xlfn.XLOOKUP($A595,Korrelation!$D$4:$D$1197,Korrelation!H$4:H$1197,"",0),DMAV_Dienste!$F$6:$F$140,0)))</f>
        <v>0</v>
      </c>
      <c r="F595" s="57">
        <f>IF($A595="","",IF(_xlfn.XLOOKUP($A595,Korrelation!$D$4:$D$1197,Korrelation!I$4:I$1197,"-",0)="-",0,MATCH(_xlfn.XLOOKUP($A595,Korrelation!$D$4:$D$1197,Korrelation!I$4:I$1197,"",0),DMAV_Dienste!$F$6:$F$140,0)))</f>
        <v>0</v>
      </c>
      <c r="G595" s="57">
        <f>IF($A595="","",IF(_xlfn.XLOOKUP($A595,Korrelation!$D$4:$D$1197,Korrelation!J$4:J$1197,"-",0)="-",0,MATCH(_xlfn.XLOOKUP($A595,Korrelation!$D$4:$D$1197,Korrelation!J$4:J$1197,"",0),DMAV_Dienste!$F$6:$F$140,0)))</f>
        <v>0</v>
      </c>
      <c r="H595" s="57">
        <f>IF($A595="","",IF(_xlfn.XLOOKUP($A595,Korrelation!$D$4:$D$1197,Korrelation!K$4:K$1197,"-",0)="-",0,MATCH(_xlfn.XLOOKUP($A595,Korrelation!$D$4:$D$1197,Korrelation!K$4:K$1197,"",0),'DM01-AV-CH'!$A$6:$A$834,0)))</f>
        <v>0</v>
      </c>
      <c r="J595" s="54" t="str" cm="1">
        <f t="array" aca="1" ref="J595" ca="1">IF(B595=0,IF(E595=0,"",HYPERLINK("#"&amp;RIGHT(CELL("adresse",OFFSET(DMAV_Dienste!$M$6,E595-1,0)),LEN(CELL("adresse",OFFSET(DMAV_Dienste!$M$6,E595-1,0)))-FIND("]",CELL("adresse",OFFSET(DMAV_Dienste!$M$6,E595-1,0)))),"Dienst")),HYPERLINK("#"&amp;RIGHT(CELL("adresse",OFFSET(DMAV_Modell!$N$6,B595-1,0)),LEN(CELL("adresse",OFFSET(DMAV_Modell!$N$6,B595-1,0)))-FIND("]",CELL("adresse",OFFSET(DMAV_Modell!$N$6,B595-1,0)))),"Modell"))</f>
        <v>Modell</v>
      </c>
      <c r="K595" s="61" t="str" cm="1">
        <f t="array" ref="K595">IF($B595=0,IF($E595=0,"",IF(INDEX(DMAV_Dienste!P$6:P$140,$E595)="","",INDEX(DMAV_Dienste!P$6:P$140,$E595))),IF(INDEX(DMAV_Modell!Q$6:Q$838,$B595)="","",INDEX(DMAV_Modell!Q$6:Q$838,$B595)))</f>
        <v>CONSTRAINTS OF.CONSTRAINT</v>
      </c>
      <c r="L595" s="62" t="str" cm="1">
        <f t="array" ref="L595">IF($B595=0,IF($E595=0,"",IF(INDEX(DMAV_Dienste!O$6:O$140,$E595)="","",INDEX(DMAV_Dienste!O$6:O$140,$E595))),IF(INDEX(DMAV_Modell!P$6:P$838,$B595)="","",INDEX(DMAV_Modell!P$6:P$838,$B595)))</f>
        <v>Grundstuecke</v>
      </c>
      <c r="M595" s="62" t="str" cm="1">
        <f t="array" ref="M595">IF($B595=0,IF($E595=0,"",IF(INDEX(DMAV_Dienste!Q$6:Q$140,$E595)="","",INDEX(DMAV_Dienste!Q$6:Q$140,$E595))),IF(INDEX(DMAV_Modell!R$6:R$838,$B595)="","",INDEX(DMAV_Modell!R$6:R$838,$B595)))</f>
        <v>Bergwerk</v>
      </c>
      <c r="N595" s="62" t="str" cm="1">
        <f t="array" ref="N595">IF($B595=0,IF($E595=0,"",IF(INDEX(DMAV_Dienste!T$6:T$140,$E595)="","",INDEX(DMAV_Dienste!T$6:T$140,$E595))),IF(INDEX(DMAV_Modell!U$6:U$838,$B595)="","",INDEX(DMAV_Modell!U$6:U$838,$B595)))</f>
        <v>DEFINED(@PH1@)==@PH2@</v>
      </c>
      <c r="O595" s="63" t="str" cm="1">
        <f t="array" aca="1" ref="O595" ca="1">IF(C595=0,IF(F595=0,"",HYPERLINK("#"&amp;RIGHT(CELL("adresse",OFFSET(DMAV_Dienste!$M$6,F595-1,0)),LEN(CELL("adresse",OFFSET(DMAV_Dienste!$M$6,F595-1,0)))-FIND("]",CELL("adresse",OFFSET(DMAV_Dienste!$M$6,F595-1,0)))),"Structure")),HYPERLINK("#"&amp;RIGHT(CELL("adresse",OFFSET(DMAV_Modell!$N$6,C595-1,0)),LEN(CELL("adresse",OFFSET(DMAV_Modell!$N$6,C595-1,0)))-FIND("]",CELL("adresse",OFFSET(DMAV_Modell!$N$6,C595-1,0)))),"Structure"))</f>
        <v/>
      </c>
      <c r="P595" s="64" t="str" cm="1">
        <f t="array" aca="1" ref="P595" ca="1">IF(D595=0,IF(G595=0,"",HYPERLINK("#"&amp;RIGHT(CELL("adresse",OFFSET(DMAV_Dienste!$M$6,G595-1,0)),LEN(CELL("adresse",OFFSET(DMAV_Dienste!$M$6,G595-1,0)))-FIND("]",CELL("adresse",OFFSET(DMAV_Dienste!$M$6,G595-1,0)))),"Substructure")),HYPERLINK("#"&amp;RIGHT(CELL("adresse",OFFSET(DMAV_Modell!$N$6,D595-1,0)),LEN(CELL("adresse",OFFSET(DMAV_Modell!$N$6,D595-1,0)))-FIND("]",CELL("adresse",OFFSET(DMAV_Modell!$N$6,D595-1,0)))),"Substructure"))</f>
        <v/>
      </c>
      <c r="R595" s="80"/>
      <c r="T595" s="93"/>
      <c r="U595" s="94"/>
      <c r="V595" s="95"/>
      <c r="W595" s="96"/>
      <c r="Y595" s="85"/>
      <c r="Z595" s="86"/>
      <c r="AA595" s="87"/>
      <c r="AB595" s="88"/>
      <c r="AD595" s="77"/>
      <c r="AF595" s="54" t="str" cm="1">
        <f t="array" aca="1" ref="AF595" ca="1">IF(H595=0,"",HYPERLINK("#"&amp;RIGHT(CELL("adresse",OFFSET('DM01-AV-CH'!$G$6,H595-1,0)),LEN(CELL("adresse",OFFSET('DM01-AV-CH'!$G$6,H595-1,0)))-FIND("]",CELL("adresse",OFFSET('DM01-AV-CH'!$G$6,H595-1,0)))),"Modell"))</f>
        <v/>
      </c>
      <c r="AG595" s="72" t="str" cm="1">
        <f t="array" ref="AG595">IF($H595=0,"",IF(INDEX('DM01-AV-CH'!G$6:G$834,$H595)="","",INDEX('DM01-AV-CH'!G$6:G$834,$H595)))</f>
        <v/>
      </c>
      <c r="AH595" s="73" t="str" cm="1">
        <f t="array" ref="AH595">IF($H595=0,"",IF(INDEX('DM01-AV-CH'!H$6:H$834,$H595)="","",INDEX('DM01-AV-CH'!H$6:H$834,$H595)))</f>
        <v/>
      </c>
      <c r="AI595" s="74" t="str" cm="1">
        <f t="array" ref="AI595">IF($H595=0,"",IF(INDEX('DM01-AV-CH'!I$6:I$834,$H595)="","",INDEX('DM01-AV-CH'!I$6:I$834,$H595)))</f>
        <v/>
      </c>
    </row>
    <row r="596" spans="1:35" x14ac:dyDescent="0.25">
      <c r="A596" s="57">
        <v>591</v>
      </c>
      <c r="B596" s="57">
        <f>IF($A596="","",IF(_xlfn.XLOOKUP($A596,Korrelation!$D$4:$D$1197,Korrelation!E$4:E$1197,"-",0)="-",0,MATCH(_xlfn.XLOOKUP($A596,Korrelation!$D$4:$D$1197,Korrelation!E$4:E$1197,"",0),DMAV_Modell!$G$6:$G$677,0)))</f>
        <v>301</v>
      </c>
      <c r="C596" s="57">
        <f>IF($A596="","",IF(_xlfn.XLOOKUP($A596,Korrelation!$D$4:$D$1197,Korrelation!F$4:F$1197,"-",0)="-",0,MATCH(_xlfn.XLOOKUP($A596,Korrelation!$D$4:$D$1197,Korrelation!F$4:F$1197,"",0),DMAV_Modell!$G$6:$G$677,0)))</f>
        <v>0</v>
      </c>
      <c r="D596" s="57">
        <f>IF($A596="","",IF(_xlfn.XLOOKUP($A596,Korrelation!$D$4:$D$1197,Korrelation!G$4:G$1197,"-",0)="-",0,MATCH(_xlfn.XLOOKUP($A596,Korrelation!$D$4:$D$1197,Korrelation!G$4:G$1197,"",0),DMAV_Modell!$G$6:$G$677,0)))</f>
        <v>0</v>
      </c>
      <c r="E596" s="57">
        <f>IF($A596="","",IF(_xlfn.XLOOKUP($A596,Korrelation!$D$4:$D$1197,Korrelation!H$4:H$1197,"-",0)="-",0,MATCH(_xlfn.XLOOKUP($A596,Korrelation!$D$4:$D$1197,Korrelation!H$4:H$1197,"",0),DMAV_Dienste!$F$6:$F$140,0)))</f>
        <v>0</v>
      </c>
      <c r="F596" s="57">
        <f>IF($A596="","",IF(_xlfn.XLOOKUP($A596,Korrelation!$D$4:$D$1197,Korrelation!I$4:I$1197,"-",0)="-",0,MATCH(_xlfn.XLOOKUP($A596,Korrelation!$D$4:$D$1197,Korrelation!I$4:I$1197,"",0),DMAV_Dienste!$F$6:$F$140,0)))</f>
        <v>0</v>
      </c>
      <c r="G596" s="57">
        <f>IF($A596="","",IF(_xlfn.XLOOKUP($A596,Korrelation!$D$4:$D$1197,Korrelation!J$4:J$1197,"-",0)="-",0,MATCH(_xlfn.XLOOKUP($A596,Korrelation!$D$4:$D$1197,Korrelation!J$4:J$1197,"",0),DMAV_Dienste!$F$6:$F$140,0)))</f>
        <v>0</v>
      </c>
      <c r="H596" s="57">
        <f>IF($A596="","",IF(_xlfn.XLOOKUP($A596,Korrelation!$D$4:$D$1197,Korrelation!K$4:K$1197,"-",0)="-",0,MATCH(_xlfn.XLOOKUP($A596,Korrelation!$D$4:$D$1197,Korrelation!K$4:K$1197,"",0),'DM01-AV-CH'!$A$6:$A$834,0)))</f>
        <v>0</v>
      </c>
      <c r="J596" s="54" t="str" cm="1">
        <f t="array" aca="1" ref="J596" ca="1">IF(B596=0,IF(E596=0,"",HYPERLINK("#"&amp;RIGHT(CELL("adresse",OFFSET(DMAV_Dienste!$M$6,E596-1,0)),LEN(CELL("adresse",OFFSET(DMAV_Dienste!$M$6,E596-1,0)))-FIND("]",CELL("adresse",OFFSET(DMAV_Dienste!$M$6,E596-1,0)))),"Dienst")),HYPERLINK("#"&amp;RIGHT(CELL("adresse",OFFSET(DMAV_Modell!$N$6,B596-1,0)),LEN(CELL("adresse",OFFSET(DMAV_Modell!$N$6,B596-1,0)))-FIND("]",CELL("adresse",OFFSET(DMAV_Modell!$N$6,B596-1,0)))),"Modell"))</f>
        <v>Modell</v>
      </c>
      <c r="K596" s="61" t="str" cm="1">
        <f t="array" ref="K596">IF($B596=0,IF($E596=0,"",IF(INDEX(DMAV_Dienste!P$6:P$140,$E596)="","",INDEX(DMAV_Dienste!P$6:P$140,$E596))),IF(INDEX(DMAV_Modell!Q$6:Q$838,$B596)="","",INDEX(DMAV_Modell!Q$6:Q$838,$B596)))</f>
        <v>CONSTRAINTS OF.CONSTRAINT</v>
      </c>
      <c r="L596" s="62" t="str" cm="1">
        <f t="array" ref="L596">IF($B596=0,IF($E596=0,"",IF(INDEX(DMAV_Dienste!O$6:O$140,$E596)="","",INDEX(DMAV_Dienste!O$6:O$140,$E596))),IF(INDEX(DMAV_Modell!P$6:P$838,$B596)="","",INDEX(DMAV_Modell!P$6:P$838,$B596)))</f>
        <v>Grundstuecke</v>
      </c>
      <c r="M596" s="62" t="str" cm="1">
        <f t="array" ref="M596">IF($B596=0,IF($E596=0,"",IF(INDEX(DMAV_Dienste!Q$6:Q$140,$E596)="","",INDEX(DMAV_Dienste!Q$6:Q$140,$E596))),IF(INDEX(DMAV_Modell!R$6:R$838,$B596)="","",INDEX(DMAV_Modell!R$6:R$838,$B596)))</f>
        <v>Bergwerk</v>
      </c>
      <c r="N596" s="62" t="str" cm="1">
        <f t="array" ref="N596">IF($B596=0,IF($E596=0,"",IF(INDEX(DMAV_Dienste!T$6:T$140,$E596)="","",INDEX(DMAV_Dienste!T$6:T$140,$E596))),IF(INDEX(DMAV_Modell!U$6:U$838,$B596)="","",INDEX(DMAV_Modell!U$6:U$838,$B596)))</f>
        <v>NOT(DEFINED(@PH1@)) == @PH2@</v>
      </c>
      <c r="O596" s="63" t="str" cm="1">
        <f t="array" aca="1" ref="O596" ca="1">IF(C596=0,IF(F596=0,"",HYPERLINK("#"&amp;RIGHT(CELL("adresse",OFFSET(DMAV_Dienste!$M$6,F596-1,0)),LEN(CELL("adresse",OFFSET(DMAV_Dienste!$M$6,F596-1,0)))-FIND("]",CELL("adresse",OFFSET(DMAV_Dienste!$M$6,F596-1,0)))),"Structure")),HYPERLINK("#"&amp;RIGHT(CELL("adresse",OFFSET(DMAV_Modell!$N$6,C596-1,0)),LEN(CELL("adresse",OFFSET(DMAV_Modell!$N$6,C596-1,0)))-FIND("]",CELL("adresse",OFFSET(DMAV_Modell!$N$6,C596-1,0)))),"Structure"))</f>
        <v/>
      </c>
      <c r="P596" s="64" t="str" cm="1">
        <f t="array" aca="1" ref="P596" ca="1">IF(D596=0,IF(G596=0,"",HYPERLINK("#"&amp;RIGHT(CELL("adresse",OFFSET(DMAV_Dienste!$M$6,G596-1,0)),LEN(CELL("adresse",OFFSET(DMAV_Dienste!$M$6,G596-1,0)))-FIND("]",CELL("adresse",OFFSET(DMAV_Dienste!$M$6,G596-1,0)))),"Substructure")),HYPERLINK("#"&amp;RIGHT(CELL("adresse",OFFSET(DMAV_Modell!$N$6,D596-1,0)),LEN(CELL("adresse",OFFSET(DMAV_Modell!$N$6,D596-1,0)))-FIND("]",CELL("adresse",OFFSET(DMAV_Modell!$N$6,D596-1,0)))),"Substructure"))</f>
        <v/>
      </c>
      <c r="R596" s="80"/>
      <c r="T596" s="93"/>
      <c r="U596" s="94"/>
      <c r="V596" s="95"/>
      <c r="W596" s="96"/>
      <c r="Y596" s="85"/>
      <c r="Z596" s="86"/>
      <c r="AA596" s="87"/>
      <c r="AB596" s="88"/>
      <c r="AD596" s="77"/>
      <c r="AF596" s="54" t="str" cm="1">
        <f t="array" aca="1" ref="AF596" ca="1">IF(H596=0,"",HYPERLINK("#"&amp;RIGHT(CELL("adresse",OFFSET('DM01-AV-CH'!$G$6,H596-1,0)),LEN(CELL("adresse",OFFSET('DM01-AV-CH'!$G$6,H596-1,0)))-FIND("]",CELL("adresse",OFFSET('DM01-AV-CH'!$G$6,H596-1,0)))),"Modell"))</f>
        <v/>
      </c>
      <c r="AG596" s="72" t="str" cm="1">
        <f t="array" ref="AG596">IF($H596=0,"",IF(INDEX('DM01-AV-CH'!G$6:G$834,$H596)="","",INDEX('DM01-AV-CH'!G$6:G$834,$H596)))</f>
        <v/>
      </c>
      <c r="AH596" s="73" t="str" cm="1">
        <f t="array" ref="AH596">IF($H596=0,"",IF(INDEX('DM01-AV-CH'!H$6:H$834,$H596)="","",INDEX('DM01-AV-CH'!H$6:H$834,$H596)))</f>
        <v/>
      </c>
      <c r="AI596" s="74" t="str" cm="1">
        <f t="array" ref="AI596">IF($H596=0,"",IF(INDEX('DM01-AV-CH'!I$6:I$834,$H596)="","",INDEX('DM01-AV-CH'!I$6:I$834,$H596)))</f>
        <v/>
      </c>
    </row>
    <row r="597" spans="1:35" x14ac:dyDescent="0.25">
      <c r="A597" s="57">
        <v>592</v>
      </c>
      <c r="B597" s="57">
        <f>IF($A597="","",IF(_xlfn.XLOOKUP($A597,Korrelation!$D$4:$D$1197,Korrelation!E$4:E$1197,"-",0)="-",0,MATCH(_xlfn.XLOOKUP($A597,Korrelation!$D$4:$D$1197,Korrelation!E$4:E$1197,"",0),DMAV_Modell!$G$6:$G$677,0)))</f>
        <v>302</v>
      </c>
      <c r="C597" s="57">
        <f>IF($A597="","",IF(_xlfn.XLOOKUP($A597,Korrelation!$D$4:$D$1197,Korrelation!F$4:F$1197,"-",0)="-",0,MATCH(_xlfn.XLOOKUP($A597,Korrelation!$D$4:$D$1197,Korrelation!F$4:F$1197,"",0),DMAV_Modell!$G$6:$G$677,0)))</f>
        <v>0</v>
      </c>
      <c r="D597" s="57">
        <f>IF($A597="","",IF(_xlfn.XLOOKUP($A597,Korrelation!$D$4:$D$1197,Korrelation!G$4:G$1197,"-",0)="-",0,MATCH(_xlfn.XLOOKUP($A597,Korrelation!$D$4:$D$1197,Korrelation!G$4:G$1197,"",0),DMAV_Modell!$G$6:$G$677,0)))</f>
        <v>0</v>
      </c>
      <c r="E597" s="57">
        <f>IF($A597="","",IF(_xlfn.XLOOKUP($A597,Korrelation!$D$4:$D$1197,Korrelation!H$4:H$1197,"-",0)="-",0,MATCH(_xlfn.XLOOKUP($A597,Korrelation!$D$4:$D$1197,Korrelation!H$4:H$1197,"",0),DMAV_Dienste!$F$6:$F$140,0)))</f>
        <v>0</v>
      </c>
      <c r="F597" s="57">
        <f>IF($A597="","",IF(_xlfn.XLOOKUP($A597,Korrelation!$D$4:$D$1197,Korrelation!I$4:I$1197,"-",0)="-",0,MATCH(_xlfn.XLOOKUP($A597,Korrelation!$D$4:$D$1197,Korrelation!I$4:I$1197,"",0),DMAV_Dienste!$F$6:$F$140,0)))</f>
        <v>0</v>
      </c>
      <c r="G597" s="57">
        <f>IF($A597="","",IF(_xlfn.XLOOKUP($A597,Korrelation!$D$4:$D$1197,Korrelation!J$4:J$1197,"-",0)="-",0,MATCH(_xlfn.XLOOKUP($A597,Korrelation!$D$4:$D$1197,Korrelation!J$4:J$1197,"",0),DMAV_Dienste!$F$6:$F$140,0)))</f>
        <v>0</v>
      </c>
      <c r="H597" s="57">
        <f>IF($A597="","",IF(_xlfn.XLOOKUP($A597,Korrelation!$D$4:$D$1197,Korrelation!K$4:K$1197,"-",0)="-",0,MATCH(_xlfn.XLOOKUP($A597,Korrelation!$D$4:$D$1197,Korrelation!K$4:K$1197,"",0),'DM01-AV-CH'!$A$6:$A$834,0)))</f>
        <v>0</v>
      </c>
      <c r="J597" s="54" t="str" cm="1">
        <f t="array" aca="1" ref="J597" ca="1">IF(B597=0,IF(E597=0,"",HYPERLINK("#"&amp;RIGHT(CELL("adresse",OFFSET(DMAV_Dienste!$M$6,E597-1,0)),LEN(CELL("adresse",OFFSET(DMAV_Dienste!$M$6,E597-1,0)))-FIND("]",CELL("adresse",OFFSET(DMAV_Dienste!$M$6,E597-1,0)))),"Dienst")),HYPERLINK("#"&amp;RIGHT(CELL("adresse",OFFSET(DMAV_Modell!$N$6,B597-1,0)),LEN(CELL("adresse",OFFSET(DMAV_Modell!$N$6,B597-1,0)))-FIND("]",CELL("adresse",OFFSET(DMAV_Modell!$N$6,B597-1,0)))),"Modell"))</f>
        <v>Modell</v>
      </c>
      <c r="K597" s="61" t="str" cm="1">
        <f t="array" ref="K597">IF($B597=0,IF($E597=0,"",IF(INDEX(DMAV_Dienste!P$6:P$140,$E597)="","",INDEX(DMAV_Dienste!P$6:P$140,$E597))),IF(INDEX(DMAV_Modell!Q$6:Q$838,$B597)="","",INDEX(DMAV_Modell!Q$6:Q$838,$B597)))</f>
        <v>VIEW</v>
      </c>
      <c r="L597" s="62" t="str" cm="1">
        <f t="array" ref="L597">IF($B597=0,IF($E597=0,"",IF(INDEX(DMAV_Dienste!O$6:O$140,$E597)="","",INDEX(DMAV_Dienste!O$6:O$140,$E597))),IF(INDEX(DMAV_Modell!P$6:P$838,$B597)="","",INDEX(DMAV_Modell!P$6:P$838,$B597)))</f>
        <v>Grundstuecke</v>
      </c>
      <c r="M597" s="62" t="str" cm="1">
        <f t="array" ref="M597">IF($B597=0,IF($E597=0,"",IF(INDEX(DMAV_Dienste!Q$6:Q$140,$E597)="","",INDEX(DMAV_Dienste!Q$6:Q$140,$E597))),IF(INDEX(DMAV_Modell!R$6:R$838,$B597)="","",INDEX(DMAV_Modell!R$6:R$838,$B597)))</f>
        <v>Bergwerk_Gueltig</v>
      </c>
      <c r="N597" s="62" t="str" cm="1">
        <f t="array" ref="N597">IF($B597=0,IF($E597=0,"",IF(INDEX(DMAV_Dienste!T$6:T$140,$E597)="","",INDEX(DMAV_Dienste!T$6:T$140,$E597))),IF(INDEX(DMAV_Modell!U$6:U$838,$B597)="","",INDEX(DMAV_Modell!U$6:U$838,$B597)))</f>
        <v>PROJECTION OF</v>
      </c>
      <c r="O597" s="63" t="str" cm="1">
        <f t="array" aca="1" ref="O597" ca="1">IF(C597=0,IF(F597=0,"",HYPERLINK("#"&amp;RIGHT(CELL("adresse",OFFSET(DMAV_Dienste!$M$6,F597-1,0)),LEN(CELL("adresse",OFFSET(DMAV_Dienste!$M$6,F597-1,0)))-FIND("]",CELL("adresse",OFFSET(DMAV_Dienste!$M$6,F597-1,0)))),"Structure")),HYPERLINK("#"&amp;RIGHT(CELL("adresse",OFFSET(DMAV_Modell!$N$6,C597-1,0)),LEN(CELL("adresse",OFFSET(DMAV_Modell!$N$6,C597-1,0)))-FIND("]",CELL("adresse",OFFSET(DMAV_Modell!$N$6,C597-1,0)))),"Structure"))</f>
        <v/>
      </c>
      <c r="P597" s="64" t="str" cm="1">
        <f t="array" aca="1" ref="P597" ca="1">IF(D597=0,IF(G597=0,"",HYPERLINK("#"&amp;RIGHT(CELL("adresse",OFFSET(DMAV_Dienste!$M$6,G597-1,0)),LEN(CELL("adresse",OFFSET(DMAV_Dienste!$M$6,G597-1,0)))-FIND("]",CELL("adresse",OFFSET(DMAV_Dienste!$M$6,G597-1,0)))),"Substructure")),HYPERLINK("#"&amp;RIGHT(CELL("adresse",OFFSET(DMAV_Modell!$N$6,D597-1,0)),LEN(CELL("adresse",OFFSET(DMAV_Modell!$N$6,D597-1,0)))-FIND("]",CELL("adresse",OFFSET(DMAV_Modell!$N$6,D597-1,0)))),"Substructure"))</f>
        <v/>
      </c>
      <c r="R597" s="80"/>
      <c r="T597" s="93"/>
      <c r="U597" s="94"/>
      <c r="V597" s="95"/>
      <c r="W597" s="96"/>
      <c r="Y597" s="85"/>
      <c r="Z597" s="86"/>
      <c r="AA597" s="87"/>
      <c r="AB597" s="88"/>
      <c r="AD597" s="77"/>
      <c r="AF597" s="54" t="str" cm="1">
        <f t="array" aca="1" ref="AF597" ca="1">IF(H597=0,"",HYPERLINK("#"&amp;RIGHT(CELL("adresse",OFFSET('DM01-AV-CH'!$G$6,H597-1,0)),LEN(CELL("adresse",OFFSET('DM01-AV-CH'!$G$6,H597-1,0)))-FIND("]",CELL("adresse",OFFSET('DM01-AV-CH'!$G$6,H597-1,0)))),"Modell"))</f>
        <v/>
      </c>
      <c r="AG597" s="72" t="str" cm="1">
        <f t="array" ref="AG597">IF($H597=0,"",IF(INDEX('DM01-AV-CH'!G$6:G$834,$H597)="","",INDEX('DM01-AV-CH'!G$6:G$834,$H597)))</f>
        <v/>
      </c>
      <c r="AH597" s="73" t="str" cm="1">
        <f t="array" ref="AH597">IF($H597=0,"",IF(INDEX('DM01-AV-CH'!H$6:H$834,$H597)="","",INDEX('DM01-AV-CH'!H$6:H$834,$H597)))</f>
        <v/>
      </c>
      <c r="AI597" s="74" t="str" cm="1">
        <f t="array" ref="AI597">IF($H597=0,"",IF(INDEX('DM01-AV-CH'!I$6:I$834,$H597)="","",INDEX('DM01-AV-CH'!I$6:I$834,$H597)))</f>
        <v/>
      </c>
    </row>
    <row r="598" spans="1:35" x14ac:dyDescent="0.25">
      <c r="A598" s="57">
        <v>593</v>
      </c>
      <c r="B598" s="57">
        <f>IF($A598="","",IF(_xlfn.XLOOKUP($A598,Korrelation!$D$4:$D$1197,Korrelation!E$4:E$1197,"-",0)="-",0,MATCH(_xlfn.XLOOKUP($A598,Korrelation!$D$4:$D$1197,Korrelation!E$4:E$1197,"",0),DMAV_Modell!$G$6:$G$677,0)))</f>
        <v>303</v>
      </c>
      <c r="C598" s="57">
        <f>IF($A598="","",IF(_xlfn.XLOOKUP($A598,Korrelation!$D$4:$D$1197,Korrelation!F$4:F$1197,"-",0)="-",0,MATCH(_xlfn.XLOOKUP($A598,Korrelation!$D$4:$D$1197,Korrelation!F$4:F$1197,"",0),DMAV_Modell!$G$6:$G$677,0)))</f>
        <v>0</v>
      </c>
      <c r="D598" s="57">
        <f>IF($A598="","",IF(_xlfn.XLOOKUP($A598,Korrelation!$D$4:$D$1197,Korrelation!G$4:G$1197,"-",0)="-",0,MATCH(_xlfn.XLOOKUP($A598,Korrelation!$D$4:$D$1197,Korrelation!G$4:G$1197,"",0),DMAV_Modell!$G$6:$G$677,0)))</f>
        <v>0</v>
      </c>
      <c r="E598" s="57">
        <f>IF($A598="","",IF(_xlfn.XLOOKUP($A598,Korrelation!$D$4:$D$1197,Korrelation!H$4:H$1197,"-",0)="-",0,MATCH(_xlfn.XLOOKUP($A598,Korrelation!$D$4:$D$1197,Korrelation!H$4:H$1197,"",0),DMAV_Dienste!$F$6:$F$140,0)))</f>
        <v>0</v>
      </c>
      <c r="F598" s="57">
        <f>IF($A598="","",IF(_xlfn.XLOOKUP($A598,Korrelation!$D$4:$D$1197,Korrelation!I$4:I$1197,"-",0)="-",0,MATCH(_xlfn.XLOOKUP($A598,Korrelation!$D$4:$D$1197,Korrelation!I$4:I$1197,"",0),DMAV_Dienste!$F$6:$F$140,0)))</f>
        <v>0</v>
      </c>
      <c r="G598" s="57">
        <f>IF($A598="","",IF(_xlfn.XLOOKUP($A598,Korrelation!$D$4:$D$1197,Korrelation!J$4:J$1197,"-",0)="-",0,MATCH(_xlfn.XLOOKUP($A598,Korrelation!$D$4:$D$1197,Korrelation!J$4:J$1197,"",0),DMAV_Dienste!$F$6:$F$140,0)))</f>
        <v>0</v>
      </c>
      <c r="H598" s="57">
        <f>IF($A598="","",IF(_xlfn.XLOOKUP($A598,Korrelation!$D$4:$D$1197,Korrelation!K$4:K$1197,"-",0)="-",0,MATCH(_xlfn.XLOOKUP($A598,Korrelation!$D$4:$D$1197,Korrelation!K$4:K$1197,"",0),'DM01-AV-CH'!$A$6:$A$834,0)))</f>
        <v>0</v>
      </c>
      <c r="J598" s="54" t="str" cm="1">
        <f t="array" aca="1" ref="J598" ca="1">IF(B598=0,IF(E598=0,"",HYPERLINK("#"&amp;RIGHT(CELL("adresse",OFFSET(DMAV_Dienste!$M$6,E598-1,0)),LEN(CELL("adresse",OFFSET(DMAV_Dienste!$M$6,E598-1,0)))-FIND("]",CELL("adresse",OFFSET(DMAV_Dienste!$M$6,E598-1,0)))),"Dienst")),HYPERLINK("#"&amp;RIGHT(CELL("adresse",OFFSET(DMAV_Modell!$N$6,B598-1,0)),LEN(CELL("adresse",OFFSET(DMAV_Modell!$N$6,B598-1,0)))-FIND("]",CELL("adresse",OFFSET(DMAV_Modell!$N$6,B598-1,0)))),"Modell"))</f>
        <v>Modell</v>
      </c>
      <c r="K598" s="61" t="str" cm="1">
        <f t="array" ref="K598">IF($B598=0,IF($E598=0,"",IF(INDEX(DMAV_Dienste!P$6:P$140,$E598)="","",INDEX(DMAV_Dienste!P$6:P$140,$E598))),IF(INDEX(DMAV_Modell!Q$6:Q$838,$B598)="","",INDEX(DMAV_Modell!Q$6:Q$838,$B598)))</f>
        <v>VIEW</v>
      </c>
      <c r="L598" s="62" t="str" cm="1">
        <f t="array" ref="L598">IF($B598=0,IF($E598=0,"",IF(INDEX(DMAV_Dienste!O$6:O$140,$E598)="","",INDEX(DMAV_Dienste!O$6:O$140,$E598))),IF(INDEX(DMAV_Modell!P$6:P$838,$B598)="","",INDEX(DMAV_Modell!P$6:P$838,$B598)))</f>
        <v>Grundstuecke</v>
      </c>
      <c r="M598" s="62" t="str" cm="1">
        <f t="array" ref="M598">IF($B598=0,IF($E598=0,"",IF(INDEX(DMAV_Dienste!Q$6:Q$140,$E598)="","",INDEX(DMAV_Dienste!Q$6:Q$140,$E598))),IF(INDEX(DMAV_Modell!R$6:R$838,$B598)="","",INDEX(DMAV_Modell!R$6:R$838,$B598)))</f>
        <v>Bergwerk_Gueltig</v>
      </c>
      <c r="N598" s="62" t="str" cm="1">
        <f t="array" ref="N598">IF($B598=0,IF($E598=0,"",IF(INDEX(DMAV_Dienste!T$6:T$140,$E598)="","",INDEX(DMAV_Dienste!T$6:T$140,$E598))),IF(INDEX(DMAV_Modell!U$6:U$838,$B598)="","",INDEX(DMAV_Modell!U$6:U$838,$B598)))</f>
        <v>WHERE DEFINED(@PH1@) AND DEFINED(@PH2@) AND (NOT(DEFINED(@PH3@)) OR NOT(DEFINED(@PH4@)))</v>
      </c>
      <c r="O598" s="63" t="str" cm="1">
        <f t="array" aca="1" ref="O598" ca="1">IF(C598=0,IF(F598=0,"",HYPERLINK("#"&amp;RIGHT(CELL("adresse",OFFSET(DMAV_Dienste!$M$6,F598-1,0)),LEN(CELL("adresse",OFFSET(DMAV_Dienste!$M$6,F598-1,0)))-FIND("]",CELL("adresse",OFFSET(DMAV_Dienste!$M$6,F598-1,0)))),"Structure")),HYPERLINK("#"&amp;RIGHT(CELL("adresse",OFFSET(DMAV_Modell!$N$6,C598-1,0)),LEN(CELL("adresse",OFFSET(DMAV_Modell!$N$6,C598-1,0)))-FIND("]",CELL("adresse",OFFSET(DMAV_Modell!$N$6,C598-1,0)))),"Structure"))</f>
        <v/>
      </c>
      <c r="P598" s="64" t="str" cm="1">
        <f t="array" aca="1" ref="P598" ca="1">IF(D598=0,IF(G598=0,"",HYPERLINK("#"&amp;RIGHT(CELL("adresse",OFFSET(DMAV_Dienste!$M$6,G598-1,0)),LEN(CELL("adresse",OFFSET(DMAV_Dienste!$M$6,G598-1,0)))-FIND("]",CELL("adresse",OFFSET(DMAV_Dienste!$M$6,G598-1,0)))),"Substructure")),HYPERLINK("#"&amp;RIGHT(CELL("adresse",OFFSET(DMAV_Modell!$N$6,D598-1,0)),LEN(CELL("adresse",OFFSET(DMAV_Modell!$N$6,D598-1,0)))-FIND("]",CELL("adresse",OFFSET(DMAV_Modell!$N$6,D598-1,0)))),"Substructure"))</f>
        <v/>
      </c>
      <c r="R598" s="80"/>
      <c r="T598" s="93"/>
      <c r="U598" s="94"/>
      <c r="V598" s="95"/>
      <c r="W598" s="96"/>
      <c r="Y598" s="85"/>
      <c r="Z598" s="86"/>
      <c r="AA598" s="87"/>
      <c r="AB598" s="88"/>
      <c r="AD598" s="77"/>
      <c r="AF598" s="54" t="str" cm="1">
        <f t="array" aca="1" ref="AF598" ca="1">IF(H598=0,"",HYPERLINK("#"&amp;RIGHT(CELL("adresse",OFFSET('DM01-AV-CH'!$G$6,H598-1,0)),LEN(CELL("adresse",OFFSET('DM01-AV-CH'!$G$6,H598-1,0)))-FIND("]",CELL("adresse",OFFSET('DM01-AV-CH'!$G$6,H598-1,0)))),"Modell"))</f>
        <v/>
      </c>
      <c r="AG598" s="72" t="str" cm="1">
        <f t="array" ref="AG598">IF($H598=0,"",IF(INDEX('DM01-AV-CH'!G$6:G$834,$H598)="","",INDEX('DM01-AV-CH'!G$6:G$834,$H598)))</f>
        <v/>
      </c>
      <c r="AH598" s="73" t="str" cm="1">
        <f t="array" ref="AH598">IF($H598=0,"",IF(INDEX('DM01-AV-CH'!H$6:H$834,$H598)="","",INDEX('DM01-AV-CH'!H$6:H$834,$H598)))</f>
        <v/>
      </c>
      <c r="AI598" s="74" t="str" cm="1">
        <f t="array" ref="AI598">IF($H598=0,"",IF(INDEX('DM01-AV-CH'!I$6:I$834,$H598)="","",INDEX('DM01-AV-CH'!I$6:I$834,$H598)))</f>
        <v/>
      </c>
    </row>
    <row r="599" spans="1:35" x14ac:dyDescent="0.25">
      <c r="A599" s="57">
        <v>594</v>
      </c>
      <c r="B599" s="57">
        <f>IF($A599="","",IF(_xlfn.XLOOKUP($A599,Korrelation!$D$4:$D$1197,Korrelation!E$4:E$1197,"-",0)="-",0,MATCH(_xlfn.XLOOKUP($A599,Korrelation!$D$4:$D$1197,Korrelation!E$4:E$1197,"",0),DMAV_Modell!$G$6:$G$677,0)))</f>
        <v>304</v>
      </c>
      <c r="C599" s="57">
        <f>IF($A599="","",IF(_xlfn.XLOOKUP($A599,Korrelation!$D$4:$D$1197,Korrelation!F$4:F$1197,"-",0)="-",0,MATCH(_xlfn.XLOOKUP($A599,Korrelation!$D$4:$D$1197,Korrelation!F$4:F$1197,"",0),DMAV_Modell!$G$6:$G$677,0)))</f>
        <v>0</v>
      </c>
      <c r="D599" s="57">
        <f>IF($A599="","",IF(_xlfn.XLOOKUP($A599,Korrelation!$D$4:$D$1197,Korrelation!G$4:G$1197,"-",0)="-",0,MATCH(_xlfn.XLOOKUP($A599,Korrelation!$D$4:$D$1197,Korrelation!G$4:G$1197,"",0),DMAV_Modell!$G$6:$G$677,0)))</f>
        <v>0</v>
      </c>
      <c r="E599" s="57">
        <f>IF($A599="","",IF(_xlfn.XLOOKUP($A599,Korrelation!$D$4:$D$1197,Korrelation!H$4:H$1197,"-",0)="-",0,MATCH(_xlfn.XLOOKUP($A599,Korrelation!$D$4:$D$1197,Korrelation!H$4:H$1197,"",0),DMAV_Dienste!$F$6:$F$140,0)))</f>
        <v>0</v>
      </c>
      <c r="F599" s="57">
        <f>IF($A599="","",IF(_xlfn.XLOOKUP($A599,Korrelation!$D$4:$D$1197,Korrelation!I$4:I$1197,"-",0)="-",0,MATCH(_xlfn.XLOOKUP($A599,Korrelation!$D$4:$D$1197,Korrelation!I$4:I$1197,"",0),DMAV_Dienste!$F$6:$F$140,0)))</f>
        <v>0</v>
      </c>
      <c r="G599" s="57">
        <f>IF($A599="","",IF(_xlfn.XLOOKUP($A599,Korrelation!$D$4:$D$1197,Korrelation!J$4:J$1197,"-",0)="-",0,MATCH(_xlfn.XLOOKUP($A599,Korrelation!$D$4:$D$1197,Korrelation!J$4:J$1197,"",0),DMAV_Dienste!$F$6:$F$140,0)))</f>
        <v>0</v>
      </c>
      <c r="H599" s="57">
        <f>IF($A599="","",IF(_xlfn.XLOOKUP($A599,Korrelation!$D$4:$D$1197,Korrelation!K$4:K$1197,"-",0)="-",0,MATCH(_xlfn.XLOOKUP($A599,Korrelation!$D$4:$D$1197,Korrelation!K$4:K$1197,"",0),'DM01-AV-CH'!$A$6:$A$834,0)))</f>
        <v>0</v>
      </c>
      <c r="J599" s="54" t="str" cm="1">
        <f t="array" aca="1" ref="J599" ca="1">IF(B599=0,IF(E599=0,"",HYPERLINK("#"&amp;RIGHT(CELL("adresse",OFFSET(DMAV_Dienste!$M$6,E599-1,0)),LEN(CELL("adresse",OFFSET(DMAV_Dienste!$M$6,E599-1,0)))-FIND("]",CELL("adresse",OFFSET(DMAV_Dienste!$M$6,E599-1,0)))),"Dienst")),HYPERLINK("#"&amp;RIGHT(CELL("adresse",OFFSET(DMAV_Modell!$N$6,B599-1,0)),LEN(CELL("adresse",OFFSET(DMAV_Modell!$N$6,B599-1,0)))-FIND("]",CELL("adresse",OFFSET(DMAV_Modell!$N$6,B599-1,0)))),"Modell"))</f>
        <v>Modell</v>
      </c>
      <c r="K599" s="61" t="str" cm="1">
        <f t="array" ref="K599">IF($B599=0,IF($E599=0,"",IF(INDEX(DMAV_Dienste!P$6:P$140,$E599)="","",INDEX(DMAV_Dienste!P$6:P$140,$E599))),IF(INDEX(DMAV_Modell!Q$6:Q$838,$B599)="","",INDEX(DMAV_Modell!Q$6:Q$838,$B599)))</f>
        <v>VIEW</v>
      </c>
      <c r="L599" s="62" t="str" cm="1">
        <f t="array" ref="L599">IF($B599=0,IF($E599=0,"",IF(INDEX(DMAV_Dienste!O$6:O$140,$E599)="","",INDEX(DMAV_Dienste!O$6:O$140,$E599))),IF(INDEX(DMAV_Modell!P$6:P$838,$B599)="","",INDEX(DMAV_Modell!P$6:P$838,$B599)))</f>
        <v>Grundstuecke</v>
      </c>
      <c r="M599" s="62" t="str" cm="1">
        <f t="array" ref="M599">IF($B599=0,IF($E599=0,"",IF(INDEX(DMAV_Dienste!Q$6:Q$140,$E599)="","",INDEX(DMAV_Dienste!Q$6:Q$140,$E599))),IF(INDEX(DMAV_Modell!R$6:R$838,$B599)="","",INDEX(DMAV_Modell!R$6:R$838,$B599)))</f>
        <v>Bergwerk_Gueltig</v>
      </c>
      <c r="N599" s="62" t="str" cm="1">
        <f t="array" ref="N599">IF($B599=0,IF($E599=0,"",IF(INDEX(DMAV_Dienste!T$6:T$140,$E599)="","",INDEX(DMAV_Dienste!T$6:T$140,$E599))),IF(INDEX(DMAV_Modell!U$6:U$838,$B599)="","",INDEX(DMAV_Modell!U$6:U$838,$B599)))</f>
        <v>= ALL OF</v>
      </c>
      <c r="O599" s="63" t="str" cm="1">
        <f t="array" aca="1" ref="O599" ca="1">IF(C599=0,IF(F599=0,"",HYPERLINK("#"&amp;RIGHT(CELL("adresse",OFFSET(DMAV_Dienste!$M$6,F599-1,0)),LEN(CELL("adresse",OFFSET(DMAV_Dienste!$M$6,F599-1,0)))-FIND("]",CELL("adresse",OFFSET(DMAV_Dienste!$M$6,F599-1,0)))),"Structure")),HYPERLINK("#"&amp;RIGHT(CELL("adresse",OFFSET(DMAV_Modell!$N$6,C599-1,0)),LEN(CELL("adresse",OFFSET(DMAV_Modell!$N$6,C599-1,0)))-FIND("]",CELL("adresse",OFFSET(DMAV_Modell!$N$6,C599-1,0)))),"Structure"))</f>
        <v/>
      </c>
      <c r="P599" s="64" t="str" cm="1">
        <f t="array" aca="1" ref="P599" ca="1">IF(D599=0,IF(G599=0,"",HYPERLINK("#"&amp;RIGHT(CELL("adresse",OFFSET(DMAV_Dienste!$M$6,G599-1,0)),LEN(CELL("adresse",OFFSET(DMAV_Dienste!$M$6,G599-1,0)))-FIND("]",CELL("adresse",OFFSET(DMAV_Dienste!$M$6,G599-1,0)))),"Substructure")),HYPERLINK("#"&amp;RIGHT(CELL("adresse",OFFSET(DMAV_Modell!$N$6,D599-1,0)),LEN(CELL("adresse",OFFSET(DMAV_Modell!$N$6,D599-1,0)))-FIND("]",CELL("adresse",OFFSET(DMAV_Modell!$N$6,D599-1,0)))),"Substructure"))</f>
        <v/>
      </c>
      <c r="R599" s="80"/>
      <c r="T599" s="93"/>
      <c r="U599" s="94"/>
      <c r="V599" s="95"/>
      <c r="W599" s="96"/>
      <c r="Y599" s="85"/>
      <c r="Z599" s="86"/>
      <c r="AA599" s="87"/>
      <c r="AB599" s="88"/>
      <c r="AD599" s="77"/>
      <c r="AF599" s="54" t="str" cm="1">
        <f t="array" aca="1" ref="AF599" ca="1">IF(H599=0,"",HYPERLINK("#"&amp;RIGHT(CELL("adresse",OFFSET('DM01-AV-CH'!$G$6,H599-1,0)),LEN(CELL("adresse",OFFSET('DM01-AV-CH'!$G$6,H599-1,0)))-FIND("]",CELL("adresse",OFFSET('DM01-AV-CH'!$G$6,H599-1,0)))),"Modell"))</f>
        <v/>
      </c>
      <c r="AG599" s="72" t="str" cm="1">
        <f t="array" ref="AG599">IF($H599=0,"",IF(INDEX('DM01-AV-CH'!G$6:G$834,$H599)="","",INDEX('DM01-AV-CH'!G$6:G$834,$H599)))</f>
        <v/>
      </c>
      <c r="AH599" s="73" t="str" cm="1">
        <f t="array" ref="AH599">IF($H599=0,"",IF(INDEX('DM01-AV-CH'!H$6:H$834,$H599)="","",INDEX('DM01-AV-CH'!H$6:H$834,$H599)))</f>
        <v/>
      </c>
      <c r="AI599" s="74" t="str" cm="1">
        <f t="array" ref="AI599">IF($H599=0,"",IF(INDEX('DM01-AV-CH'!I$6:I$834,$H599)="","",INDEX('DM01-AV-CH'!I$6:I$834,$H599)))</f>
        <v/>
      </c>
    </row>
    <row r="600" spans="1:35" x14ac:dyDescent="0.25">
      <c r="A600" s="57">
        <v>595</v>
      </c>
      <c r="B600" s="57">
        <f>IF($A600="","",IF(_xlfn.XLOOKUP($A600,Korrelation!$D$4:$D$1197,Korrelation!E$4:E$1197,"-",0)="-",0,MATCH(_xlfn.XLOOKUP($A600,Korrelation!$D$4:$D$1197,Korrelation!E$4:E$1197,"",0),DMAV_Modell!$G$6:$G$677,0)))</f>
        <v>305</v>
      </c>
      <c r="C600" s="57">
        <f>IF($A600="","",IF(_xlfn.XLOOKUP($A600,Korrelation!$D$4:$D$1197,Korrelation!F$4:F$1197,"-",0)="-",0,MATCH(_xlfn.XLOOKUP($A600,Korrelation!$D$4:$D$1197,Korrelation!F$4:F$1197,"",0),DMAV_Modell!$G$6:$G$677,0)))</f>
        <v>0</v>
      </c>
      <c r="D600" s="57">
        <f>IF($A600="","",IF(_xlfn.XLOOKUP($A600,Korrelation!$D$4:$D$1197,Korrelation!G$4:G$1197,"-",0)="-",0,MATCH(_xlfn.XLOOKUP($A600,Korrelation!$D$4:$D$1197,Korrelation!G$4:G$1197,"",0),DMAV_Modell!$G$6:$G$677,0)))</f>
        <v>0</v>
      </c>
      <c r="E600" s="57">
        <f>IF($A600="","",IF(_xlfn.XLOOKUP($A600,Korrelation!$D$4:$D$1197,Korrelation!H$4:H$1197,"-",0)="-",0,MATCH(_xlfn.XLOOKUP($A600,Korrelation!$D$4:$D$1197,Korrelation!H$4:H$1197,"",0),DMAV_Dienste!$F$6:$F$140,0)))</f>
        <v>0</v>
      </c>
      <c r="F600" s="57">
        <f>IF($A600="","",IF(_xlfn.XLOOKUP($A600,Korrelation!$D$4:$D$1197,Korrelation!I$4:I$1197,"-",0)="-",0,MATCH(_xlfn.XLOOKUP($A600,Korrelation!$D$4:$D$1197,Korrelation!I$4:I$1197,"",0),DMAV_Dienste!$F$6:$F$140,0)))</f>
        <v>0</v>
      </c>
      <c r="G600" s="57">
        <f>IF($A600="","",IF(_xlfn.XLOOKUP($A600,Korrelation!$D$4:$D$1197,Korrelation!J$4:J$1197,"-",0)="-",0,MATCH(_xlfn.XLOOKUP($A600,Korrelation!$D$4:$D$1197,Korrelation!J$4:J$1197,"",0),DMAV_Dienste!$F$6:$F$140,0)))</f>
        <v>0</v>
      </c>
      <c r="H600" s="57">
        <f>IF($A600="","",IF(_xlfn.XLOOKUP($A600,Korrelation!$D$4:$D$1197,Korrelation!K$4:K$1197,"-",0)="-",0,MATCH(_xlfn.XLOOKUP($A600,Korrelation!$D$4:$D$1197,Korrelation!K$4:K$1197,"",0),'DM01-AV-CH'!$A$6:$A$834,0)))</f>
        <v>0</v>
      </c>
      <c r="J600" s="54" t="str" cm="1">
        <f t="array" aca="1" ref="J600" ca="1">IF(B600=0,IF(E600=0,"",HYPERLINK("#"&amp;RIGHT(CELL("adresse",OFFSET(DMAV_Dienste!$M$6,E600-1,0)),LEN(CELL("adresse",OFFSET(DMAV_Dienste!$M$6,E600-1,0)))-FIND("]",CELL("adresse",OFFSET(DMAV_Dienste!$M$6,E600-1,0)))),"Dienst")),HYPERLINK("#"&amp;RIGHT(CELL("adresse",OFFSET(DMAV_Modell!$N$6,B600-1,0)),LEN(CELL("adresse",OFFSET(DMAV_Modell!$N$6,B600-1,0)))-FIND("]",CELL("adresse",OFFSET(DMAV_Modell!$N$6,B600-1,0)))),"Modell"))</f>
        <v>Modell</v>
      </c>
      <c r="K600" s="61" t="str" cm="1">
        <f t="array" ref="K600">IF($B600=0,IF($E600=0,"",IF(INDEX(DMAV_Dienste!P$6:P$140,$E600)="","",INDEX(DMAV_Dienste!P$6:P$140,$E600))),IF(INDEX(DMAV_Modell!Q$6:Q$838,$B600)="","",INDEX(DMAV_Modell!Q$6:Q$838,$B600)))</f>
        <v>CONSTRAINTS OF.CONSTRAINT</v>
      </c>
      <c r="L600" s="62" t="str" cm="1">
        <f t="array" ref="L600">IF($B600=0,IF($E600=0,"",IF(INDEX(DMAV_Dienste!O$6:O$140,$E600)="","",INDEX(DMAV_Dienste!O$6:O$140,$E600))),IF(INDEX(DMAV_Modell!P$6:P$838,$B600)="","",INDEX(DMAV_Modell!P$6:P$838,$B600)))</f>
        <v>Grundstuecke</v>
      </c>
      <c r="M600" s="62" t="str" cm="1">
        <f t="array" ref="M600">IF($B600=0,IF($E600=0,"",IF(INDEX(DMAV_Dienste!Q$6:Q$140,$E600)="","",INDEX(DMAV_Dienste!Q$6:Q$140,$E600))),IF(INDEX(DMAV_Modell!R$6:R$838,$B600)="","",INDEX(DMAV_Modell!R$6:R$838,$B600)))</f>
        <v>Grundstueck</v>
      </c>
      <c r="N600" s="62" t="str" cm="1">
        <f t="array" ref="N600">IF($B600=0,IF($E600=0,"",IF(INDEX(DMAV_Dienste!T$6:T$140,$E600)="","",INDEX(DMAV_Dienste!T$6:T$140,$E600))),IF(INDEX(DMAV_Modell!U$6:U$838,$B600)="","",INDEX(DMAV_Modell!U$6:U$838,$B600)))</f>
        <v>DEFINED(@PH1@) == ((INTERLIS.objectCount(@PH2@) + INTERLIS.objectCount(@PH3@) + INTERLIS.objectCount(@PH4@))&gt;1)</v>
      </c>
      <c r="O600" s="63" t="str" cm="1">
        <f t="array" aca="1" ref="O600" ca="1">IF(C600=0,IF(F600=0,"",HYPERLINK("#"&amp;RIGHT(CELL("adresse",OFFSET(DMAV_Dienste!$M$6,F600-1,0)),LEN(CELL("adresse",OFFSET(DMAV_Dienste!$M$6,F600-1,0)))-FIND("]",CELL("adresse",OFFSET(DMAV_Dienste!$M$6,F600-1,0)))),"Structure")),HYPERLINK("#"&amp;RIGHT(CELL("adresse",OFFSET(DMAV_Modell!$N$6,C600-1,0)),LEN(CELL("adresse",OFFSET(DMAV_Modell!$N$6,C600-1,0)))-FIND("]",CELL("adresse",OFFSET(DMAV_Modell!$N$6,C600-1,0)))),"Structure"))</f>
        <v/>
      </c>
      <c r="P600" s="64" t="str" cm="1">
        <f t="array" aca="1" ref="P600" ca="1">IF(D600=0,IF(G600=0,"",HYPERLINK("#"&amp;RIGHT(CELL("adresse",OFFSET(DMAV_Dienste!$M$6,G600-1,0)),LEN(CELL("adresse",OFFSET(DMAV_Dienste!$M$6,G600-1,0)))-FIND("]",CELL("adresse",OFFSET(DMAV_Dienste!$M$6,G600-1,0)))),"Substructure")),HYPERLINK("#"&amp;RIGHT(CELL("adresse",OFFSET(DMAV_Modell!$N$6,D600-1,0)),LEN(CELL("adresse",OFFSET(DMAV_Modell!$N$6,D600-1,0)))-FIND("]",CELL("adresse",OFFSET(DMAV_Modell!$N$6,D600-1,0)))),"Substructure"))</f>
        <v/>
      </c>
      <c r="R600" s="80"/>
      <c r="T600" s="93"/>
      <c r="U600" s="94"/>
      <c r="V600" s="95"/>
      <c r="W600" s="96"/>
      <c r="Y600" s="85"/>
      <c r="Z600" s="86"/>
      <c r="AA600" s="87"/>
      <c r="AB600" s="88"/>
      <c r="AD600" s="77"/>
      <c r="AF600" s="54" t="str" cm="1">
        <f t="array" aca="1" ref="AF600" ca="1">IF(H600=0,"",HYPERLINK("#"&amp;RIGHT(CELL("adresse",OFFSET('DM01-AV-CH'!$G$6,H600-1,0)),LEN(CELL("adresse",OFFSET('DM01-AV-CH'!$G$6,H600-1,0)))-FIND("]",CELL("adresse",OFFSET('DM01-AV-CH'!$G$6,H600-1,0)))),"Modell"))</f>
        <v/>
      </c>
      <c r="AG600" s="72" t="str" cm="1">
        <f t="array" ref="AG600">IF($H600=0,"",IF(INDEX('DM01-AV-CH'!G$6:G$834,$H600)="","",INDEX('DM01-AV-CH'!G$6:G$834,$H600)))</f>
        <v/>
      </c>
      <c r="AH600" s="73" t="str" cm="1">
        <f t="array" ref="AH600">IF($H600=0,"",IF(INDEX('DM01-AV-CH'!H$6:H$834,$H600)="","",INDEX('DM01-AV-CH'!H$6:H$834,$H600)))</f>
        <v/>
      </c>
      <c r="AI600" s="74" t="str" cm="1">
        <f t="array" ref="AI600">IF($H600=0,"",IF(INDEX('DM01-AV-CH'!I$6:I$834,$H600)="","",INDEX('DM01-AV-CH'!I$6:I$834,$H600)))</f>
        <v/>
      </c>
    </row>
    <row r="601" spans="1:35" x14ac:dyDescent="0.25">
      <c r="A601" s="57">
        <v>596</v>
      </c>
      <c r="B601" s="57">
        <f>IF($A601="","",IF(_xlfn.XLOOKUP($A601,Korrelation!$D$4:$D$1197,Korrelation!E$4:E$1197,"-",0)="-",0,MATCH(_xlfn.XLOOKUP($A601,Korrelation!$D$4:$D$1197,Korrelation!E$4:E$1197,"",0),DMAV_Modell!$G$6:$G$677,0)))</f>
        <v>306</v>
      </c>
      <c r="C601" s="57">
        <f>IF($A601="","",IF(_xlfn.XLOOKUP($A601,Korrelation!$D$4:$D$1197,Korrelation!F$4:F$1197,"-",0)="-",0,MATCH(_xlfn.XLOOKUP($A601,Korrelation!$D$4:$D$1197,Korrelation!F$4:F$1197,"",0),DMAV_Modell!$G$6:$G$677,0)))</f>
        <v>0</v>
      </c>
      <c r="D601" s="57">
        <f>IF($A601="","",IF(_xlfn.XLOOKUP($A601,Korrelation!$D$4:$D$1197,Korrelation!G$4:G$1197,"-",0)="-",0,MATCH(_xlfn.XLOOKUP($A601,Korrelation!$D$4:$D$1197,Korrelation!G$4:G$1197,"",0),DMAV_Modell!$G$6:$G$677,0)))</f>
        <v>0</v>
      </c>
      <c r="E601" s="57">
        <f>IF($A601="","",IF(_xlfn.XLOOKUP($A601,Korrelation!$D$4:$D$1197,Korrelation!H$4:H$1197,"-",0)="-",0,MATCH(_xlfn.XLOOKUP($A601,Korrelation!$D$4:$D$1197,Korrelation!H$4:H$1197,"",0),DMAV_Dienste!$F$6:$F$140,0)))</f>
        <v>0</v>
      </c>
      <c r="F601" s="57">
        <f>IF($A601="","",IF(_xlfn.XLOOKUP($A601,Korrelation!$D$4:$D$1197,Korrelation!I$4:I$1197,"-",0)="-",0,MATCH(_xlfn.XLOOKUP($A601,Korrelation!$D$4:$D$1197,Korrelation!I$4:I$1197,"",0),DMAV_Dienste!$F$6:$F$140,0)))</f>
        <v>0</v>
      </c>
      <c r="G601" s="57">
        <f>IF($A601="","",IF(_xlfn.XLOOKUP($A601,Korrelation!$D$4:$D$1197,Korrelation!J$4:J$1197,"-",0)="-",0,MATCH(_xlfn.XLOOKUP($A601,Korrelation!$D$4:$D$1197,Korrelation!J$4:J$1197,"",0),DMAV_Dienste!$F$6:$F$140,0)))</f>
        <v>0</v>
      </c>
      <c r="H601" s="57">
        <f>IF($A601="","",IF(_xlfn.XLOOKUP($A601,Korrelation!$D$4:$D$1197,Korrelation!K$4:K$1197,"-",0)="-",0,MATCH(_xlfn.XLOOKUP($A601,Korrelation!$D$4:$D$1197,Korrelation!K$4:K$1197,"",0),'DM01-AV-CH'!$A$6:$A$834,0)))</f>
        <v>0</v>
      </c>
      <c r="J601" s="54" t="str" cm="1">
        <f t="array" aca="1" ref="J601" ca="1">IF(B601=0,IF(E601=0,"",HYPERLINK("#"&amp;RIGHT(CELL("adresse",OFFSET(DMAV_Dienste!$M$6,E601-1,0)),LEN(CELL("adresse",OFFSET(DMAV_Dienste!$M$6,E601-1,0)))-FIND("]",CELL("adresse",OFFSET(DMAV_Dienste!$M$6,E601-1,0)))),"Dienst")),HYPERLINK("#"&amp;RIGHT(CELL("adresse",OFFSET(DMAV_Modell!$N$6,B601-1,0)),LEN(CELL("adresse",OFFSET(DMAV_Modell!$N$6,B601-1,0)))-FIND("]",CELL("adresse",OFFSET(DMAV_Modell!$N$6,B601-1,0)))),"Modell"))</f>
        <v>Modell</v>
      </c>
      <c r="K601" s="61" t="str" cm="1">
        <f t="array" ref="K601">IF($B601=0,IF($E601=0,"",IF(INDEX(DMAV_Dienste!P$6:P$140,$E601)="","",INDEX(DMAV_Dienste!P$6:P$140,$E601))),IF(INDEX(DMAV_Modell!Q$6:Q$838,$B601)="","",INDEX(DMAV_Modell!Q$6:Q$838,$B601)))</f>
        <v>CONSTRAINTS OF.CONSTRAINT</v>
      </c>
      <c r="L601" s="62" t="str" cm="1">
        <f t="array" ref="L601">IF($B601=0,IF($E601=0,"",IF(INDEX(DMAV_Dienste!O$6:O$140,$E601)="","",INDEX(DMAV_Dienste!O$6:O$140,$E601))),IF(INDEX(DMAV_Modell!P$6:P$838,$B601)="","",INDEX(DMAV_Modell!P$6:P$838,$B601)))</f>
        <v>Grundstuecke</v>
      </c>
      <c r="M601" s="62" t="str" cm="1">
        <f t="array" ref="M601">IF($B601=0,IF($E601=0,"",IF(INDEX(DMAV_Dienste!Q$6:Q$140,$E601)="","",INDEX(DMAV_Dienste!Q$6:Q$140,$E601))),IF(INDEX(DMAV_Modell!R$6:R$838,$B601)="","",INDEX(DMAV_Modell!R$6:R$838,$B601)))</f>
        <v>Grundstueck</v>
      </c>
      <c r="N601" s="62" t="str" cm="1">
        <f t="array" ref="N601">IF($B601=0,IF($E601=0,"",IF(INDEX(DMAV_Dienste!T$6:T$140,$E601)="","",INDEX(DMAV_Dienste!T$6:T$140,$E601))),IF(INDEX(DMAV_Modell!U$6:U$838,$B601)="","",INDEX(DMAV_Modell!U$6:U$838,$B601)))</f>
        <v>(INTERLIS.objectCount(@PH1@)&gt;0 AND INTERLIS.objectCount(@PH2@)==0 AND INTERLIS.objectCount(@PH3@)==0) OR (INTERLIS.objectCount(@PH1@)==0 AND INTERLIS.objectCount(@PH2@)&gt;0 AND INTERLIS.objectCount(@PH3@)==0) OR (INTERLIS.objectCount(@PH1@)==0 AND INTERLIS.objectCount(@PH2@)==0 AND INTERLIS.objectCount(@PH3@)&gt;0)</v>
      </c>
      <c r="O601" s="63" t="str" cm="1">
        <f t="array" aca="1" ref="O601" ca="1">IF(C601=0,IF(F601=0,"",HYPERLINK("#"&amp;RIGHT(CELL("adresse",OFFSET(DMAV_Dienste!$M$6,F601-1,0)),LEN(CELL("adresse",OFFSET(DMAV_Dienste!$M$6,F601-1,0)))-FIND("]",CELL("adresse",OFFSET(DMAV_Dienste!$M$6,F601-1,0)))),"Structure")),HYPERLINK("#"&amp;RIGHT(CELL("adresse",OFFSET(DMAV_Modell!$N$6,C601-1,0)),LEN(CELL("adresse",OFFSET(DMAV_Modell!$N$6,C601-1,0)))-FIND("]",CELL("adresse",OFFSET(DMAV_Modell!$N$6,C601-1,0)))),"Structure"))</f>
        <v/>
      </c>
      <c r="P601" s="64" t="str" cm="1">
        <f t="array" aca="1" ref="P601" ca="1">IF(D601=0,IF(G601=0,"",HYPERLINK("#"&amp;RIGHT(CELL("adresse",OFFSET(DMAV_Dienste!$M$6,G601-1,0)),LEN(CELL("adresse",OFFSET(DMAV_Dienste!$M$6,G601-1,0)))-FIND("]",CELL("adresse",OFFSET(DMAV_Dienste!$M$6,G601-1,0)))),"Substructure")),HYPERLINK("#"&amp;RIGHT(CELL("adresse",OFFSET(DMAV_Modell!$N$6,D601-1,0)),LEN(CELL("adresse",OFFSET(DMAV_Modell!$N$6,D601-1,0)))-FIND("]",CELL("adresse",OFFSET(DMAV_Modell!$N$6,D601-1,0)))),"Substructure"))</f>
        <v/>
      </c>
      <c r="R601" s="80"/>
      <c r="T601" s="93"/>
      <c r="U601" s="94"/>
      <c r="V601" s="95"/>
      <c r="W601" s="96"/>
      <c r="Y601" s="85"/>
      <c r="Z601" s="86"/>
      <c r="AA601" s="87"/>
      <c r="AB601" s="88"/>
      <c r="AD601" s="77"/>
      <c r="AF601" s="54" t="str" cm="1">
        <f t="array" aca="1" ref="AF601" ca="1">IF(H601=0,"",HYPERLINK("#"&amp;RIGHT(CELL("adresse",OFFSET('DM01-AV-CH'!$G$6,H601-1,0)),LEN(CELL("adresse",OFFSET('DM01-AV-CH'!$G$6,H601-1,0)))-FIND("]",CELL("adresse",OFFSET('DM01-AV-CH'!$G$6,H601-1,0)))),"Modell"))</f>
        <v/>
      </c>
      <c r="AG601" s="72" t="str" cm="1">
        <f t="array" ref="AG601">IF($H601=0,"",IF(INDEX('DM01-AV-CH'!G$6:G$834,$H601)="","",INDEX('DM01-AV-CH'!G$6:G$834,$H601)))</f>
        <v/>
      </c>
      <c r="AH601" s="73" t="str" cm="1">
        <f t="array" ref="AH601">IF($H601=0,"",IF(INDEX('DM01-AV-CH'!H$6:H$834,$H601)="","",INDEX('DM01-AV-CH'!H$6:H$834,$H601)))</f>
        <v/>
      </c>
      <c r="AI601" s="74" t="str" cm="1">
        <f t="array" ref="AI601">IF($H601=0,"",IF(INDEX('DM01-AV-CH'!I$6:I$834,$H601)="","",INDEX('DM01-AV-CH'!I$6:I$834,$H601)))</f>
        <v/>
      </c>
    </row>
    <row r="602" spans="1:35" x14ac:dyDescent="0.25">
      <c r="A602" s="57">
        <v>597</v>
      </c>
      <c r="B602" s="57">
        <f>IF($A602="","",IF(_xlfn.XLOOKUP($A602,Korrelation!$D$4:$D$1197,Korrelation!E$4:E$1197,"-",0)="-",0,MATCH(_xlfn.XLOOKUP($A602,Korrelation!$D$4:$D$1197,Korrelation!E$4:E$1197,"",0),DMAV_Modell!$G$6:$G$677,0)))</f>
        <v>307</v>
      </c>
      <c r="C602" s="57">
        <f>IF($A602="","",IF(_xlfn.XLOOKUP($A602,Korrelation!$D$4:$D$1197,Korrelation!F$4:F$1197,"-",0)="-",0,MATCH(_xlfn.XLOOKUP($A602,Korrelation!$D$4:$D$1197,Korrelation!F$4:F$1197,"",0),DMAV_Modell!$G$6:$G$677,0)))</f>
        <v>0</v>
      </c>
      <c r="D602" s="57">
        <f>IF($A602="","",IF(_xlfn.XLOOKUP($A602,Korrelation!$D$4:$D$1197,Korrelation!G$4:G$1197,"-",0)="-",0,MATCH(_xlfn.XLOOKUP($A602,Korrelation!$D$4:$D$1197,Korrelation!G$4:G$1197,"",0),DMAV_Modell!$G$6:$G$677,0)))</f>
        <v>0</v>
      </c>
      <c r="E602" s="57">
        <f>IF($A602="","",IF(_xlfn.XLOOKUP($A602,Korrelation!$D$4:$D$1197,Korrelation!H$4:H$1197,"-",0)="-",0,MATCH(_xlfn.XLOOKUP($A602,Korrelation!$D$4:$D$1197,Korrelation!H$4:H$1197,"",0),DMAV_Dienste!$F$6:$F$140,0)))</f>
        <v>0</v>
      </c>
      <c r="F602" s="57">
        <f>IF($A602="","",IF(_xlfn.XLOOKUP($A602,Korrelation!$D$4:$D$1197,Korrelation!I$4:I$1197,"-",0)="-",0,MATCH(_xlfn.XLOOKUP($A602,Korrelation!$D$4:$D$1197,Korrelation!I$4:I$1197,"",0),DMAV_Dienste!$F$6:$F$140,0)))</f>
        <v>0</v>
      </c>
      <c r="G602" s="57">
        <f>IF($A602="","",IF(_xlfn.XLOOKUP($A602,Korrelation!$D$4:$D$1197,Korrelation!J$4:J$1197,"-",0)="-",0,MATCH(_xlfn.XLOOKUP($A602,Korrelation!$D$4:$D$1197,Korrelation!J$4:J$1197,"",0),DMAV_Dienste!$F$6:$F$140,0)))</f>
        <v>0</v>
      </c>
      <c r="H602" s="57">
        <f>IF($A602="","",IF(_xlfn.XLOOKUP($A602,Korrelation!$D$4:$D$1197,Korrelation!K$4:K$1197,"-",0)="-",0,MATCH(_xlfn.XLOOKUP($A602,Korrelation!$D$4:$D$1197,Korrelation!K$4:K$1197,"",0),'DM01-AV-CH'!$A$6:$A$834,0)))</f>
        <v>0</v>
      </c>
      <c r="J602" s="54" t="str" cm="1">
        <f t="array" aca="1" ref="J602" ca="1">IF(B602=0,IF(E602=0,"",HYPERLINK("#"&amp;RIGHT(CELL("adresse",OFFSET(DMAV_Dienste!$M$6,E602-1,0)),LEN(CELL("adresse",OFFSET(DMAV_Dienste!$M$6,E602-1,0)))-FIND("]",CELL("adresse",OFFSET(DMAV_Dienste!$M$6,E602-1,0)))),"Dienst")),HYPERLINK("#"&amp;RIGHT(CELL("adresse",OFFSET(DMAV_Modell!$N$6,B602-1,0)),LEN(CELL("adresse",OFFSET(DMAV_Modell!$N$6,B602-1,0)))-FIND("]",CELL("adresse",OFFSET(DMAV_Modell!$N$6,B602-1,0)))),"Modell"))</f>
        <v>Modell</v>
      </c>
      <c r="K602" s="61" t="str" cm="1">
        <f t="array" ref="K602">IF($B602=0,IF($E602=0,"",IF(INDEX(DMAV_Dienste!P$6:P$140,$E602)="","",INDEX(DMAV_Dienste!P$6:P$140,$E602))),IF(INDEX(DMAV_Modell!Q$6:Q$838,$B602)="","",INDEX(DMAV_Modell!Q$6:Q$838,$B602)))</f>
        <v>IMPORTS</v>
      </c>
      <c r="L602" s="62" t="str" cm="1">
        <f t="array" ref="L602">IF($B602=0,IF($E602=0,"",IF(INDEX(DMAV_Dienste!O$6:O$140,$E602)="","",INDEX(DMAV_Dienste!O$6:O$140,$E602))),IF(INDEX(DMAV_Modell!P$6:P$838,$B602)="","",INDEX(DMAV_Modell!P$6:P$838,$B602)))</f>
        <v/>
      </c>
      <c r="M602" s="62" t="str" cm="1">
        <f t="array" ref="M602">IF($B602=0,IF($E602=0,"",IF(INDEX(DMAV_Dienste!Q$6:Q$140,$E602)="","",INDEX(DMAV_Dienste!Q$6:Q$140,$E602))),IF(INDEX(DMAV_Modell!R$6:R$838,$B602)="","",INDEX(DMAV_Modell!R$6:R$838,$B602)))</f>
        <v>GeometryCHLV95_V2</v>
      </c>
      <c r="N602" s="62" t="str" cm="1">
        <f t="array" ref="N602">IF($B602=0,IF($E602=0,"",IF(INDEX(DMAV_Dienste!T$6:T$140,$E602)="","",INDEX(DMAV_Dienste!T$6:T$140,$E602))),IF(INDEX(DMAV_Modell!U$6:U$838,$B602)="","",INDEX(DMAV_Modell!U$6:U$838,$B602)))</f>
        <v/>
      </c>
      <c r="O602" s="63" t="str" cm="1">
        <f t="array" aca="1" ref="O602" ca="1">IF(C602=0,IF(F602=0,"",HYPERLINK("#"&amp;RIGHT(CELL("adresse",OFFSET(DMAV_Dienste!$M$6,F602-1,0)),LEN(CELL("adresse",OFFSET(DMAV_Dienste!$M$6,F602-1,0)))-FIND("]",CELL("adresse",OFFSET(DMAV_Dienste!$M$6,F602-1,0)))),"Structure")),HYPERLINK("#"&amp;RIGHT(CELL("adresse",OFFSET(DMAV_Modell!$N$6,C602-1,0)),LEN(CELL("adresse",OFFSET(DMAV_Modell!$N$6,C602-1,0)))-FIND("]",CELL("adresse",OFFSET(DMAV_Modell!$N$6,C602-1,0)))),"Structure"))</f>
        <v/>
      </c>
      <c r="P602" s="64" t="str" cm="1">
        <f t="array" aca="1" ref="P602" ca="1">IF(D602=0,IF(G602=0,"",HYPERLINK("#"&amp;RIGHT(CELL("adresse",OFFSET(DMAV_Dienste!$M$6,G602-1,0)),LEN(CELL("adresse",OFFSET(DMAV_Dienste!$M$6,G602-1,0)))-FIND("]",CELL("adresse",OFFSET(DMAV_Dienste!$M$6,G602-1,0)))),"Substructure")),HYPERLINK("#"&amp;RIGHT(CELL("adresse",OFFSET(DMAV_Modell!$N$6,D602-1,0)),LEN(CELL("adresse",OFFSET(DMAV_Modell!$N$6,D602-1,0)))-FIND("]",CELL("adresse",OFFSET(DMAV_Modell!$N$6,D602-1,0)))),"Substructure"))</f>
        <v/>
      </c>
      <c r="R602" s="80"/>
      <c r="T602" s="93"/>
      <c r="U602" s="94"/>
      <c r="V602" s="95"/>
      <c r="W602" s="96"/>
      <c r="Y602" s="85"/>
      <c r="Z602" s="86"/>
      <c r="AA602" s="87"/>
      <c r="AB602" s="88"/>
      <c r="AD602" s="77"/>
      <c r="AF602" s="54" t="str" cm="1">
        <f t="array" aca="1" ref="AF602" ca="1">IF(H602=0,"",HYPERLINK("#"&amp;RIGHT(CELL("adresse",OFFSET('DM01-AV-CH'!$G$6,H602-1,0)),LEN(CELL("adresse",OFFSET('DM01-AV-CH'!$G$6,H602-1,0)))-FIND("]",CELL("adresse",OFFSET('DM01-AV-CH'!$G$6,H602-1,0)))),"Modell"))</f>
        <v/>
      </c>
      <c r="AG602" s="72" t="str" cm="1">
        <f t="array" ref="AG602">IF($H602=0,"",IF(INDEX('DM01-AV-CH'!G$6:G$834,$H602)="","",INDEX('DM01-AV-CH'!G$6:G$834,$H602)))</f>
        <v/>
      </c>
      <c r="AH602" s="73" t="str" cm="1">
        <f t="array" ref="AH602">IF($H602=0,"",IF(INDEX('DM01-AV-CH'!H$6:H$834,$H602)="","",INDEX('DM01-AV-CH'!H$6:H$834,$H602)))</f>
        <v/>
      </c>
      <c r="AI602" s="74" t="str" cm="1">
        <f t="array" ref="AI602">IF($H602=0,"",IF(INDEX('DM01-AV-CH'!I$6:I$834,$H602)="","",INDEX('DM01-AV-CH'!I$6:I$834,$H602)))</f>
        <v/>
      </c>
    </row>
    <row r="603" spans="1:35" x14ac:dyDescent="0.25">
      <c r="A603" s="57">
        <v>598</v>
      </c>
      <c r="B603" s="57">
        <f>IF($A603="","",IF(_xlfn.XLOOKUP($A603,Korrelation!$D$4:$D$1197,Korrelation!E$4:E$1197,"-",0)="-",0,MATCH(_xlfn.XLOOKUP($A603,Korrelation!$D$4:$D$1197,Korrelation!E$4:E$1197,"",0),DMAV_Modell!$G$6:$G$677,0)))</f>
        <v>308</v>
      </c>
      <c r="C603" s="57">
        <f>IF($A603="","",IF(_xlfn.XLOOKUP($A603,Korrelation!$D$4:$D$1197,Korrelation!F$4:F$1197,"-",0)="-",0,MATCH(_xlfn.XLOOKUP($A603,Korrelation!$D$4:$D$1197,Korrelation!F$4:F$1197,"",0),DMAV_Modell!$G$6:$G$677,0)))</f>
        <v>0</v>
      </c>
      <c r="D603" s="57">
        <f>IF($A603="","",IF(_xlfn.XLOOKUP($A603,Korrelation!$D$4:$D$1197,Korrelation!G$4:G$1197,"-",0)="-",0,MATCH(_xlfn.XLOOKUP($A603,Korrelation!$D$4:$D$1197,Korrelation!G$4:G$1197,"",0),DMAV_Modell!$G$6:$G$677,0)))</f>
        <v>0</v>
      </c>
      <c r="E603" s="57">
        <f>IF($A603="","",IF(_xlfn.XLOOKUP($A603,Korrelation!$D$4:$D$1197,Korrelation!H$4:H$1197,"-",0)="-",0,MATCH(_xlfn.XLOOKUP($A603,Korrelation!$D$4:$D$1197,Korrelation!H$4:H$1197,"",0),DMAV_Dienste!$F$6:$F$140,0)))</f>
        <v>0</v>
      </c>
      <c r="F603" s="57">
        <f>IF($A603="","",IF(_xlfn.XLOOKUP($A603,Korrelation!$D$4:$D$1197,Korrelation!I$4:I$1197,"-",0)="-",0,MATCH(_xlfn.XLOOKUP($A603,Korrelation!$D$4:$D$1197,Korrelation!I$4:I$1197,"",0),DMAV_Dienste!$F$6:$F$140,0)))</f>
        <v>0</v>
      </c>
      <c r="G603" s="57">
        <f>IF($A603="","",IF(_xlfn.XLOOKUP($A603,Korrelation!$D$4:$D$1197,Korrelation!J$4:J$1197,"-",0)="-",0,MATCH(_xlfn.XLOOKUP($A603,Korrelation!$D$4:$D$1197,Korrelation!J$4:J$1197,"",0),DMAV_Dienste!$F$6:$F$140,0)))</f>
        <v>0</v>
      </c>
      <c r="H603" s="57">
        <f>IF($A603="","",IF(_xlfn.XLOOKUP($A603,Korrelation!$D$4:$D$1197,Korrelation!K$4:K$1197,"-",0)="-",0,MATCH(_xlfn.XLOOKUP($A603,Korrelation!$D$4:$D$1197,Korrelation!K$4:K$1197,"",0),'DM01-AV-CH'!$A$6:$A$834,0)))</f>
        <v>0</v>
      </c>
      <c r="J603" s="54" t="str" cm="1">
        <f t="array" aca="1" ref="J603" ca="1">IF(B603=0,IF(E603=0,"",HYPERLINK("#"&amp;RIGHT(CELL("adresse",OFFSET(DMAV_Dienste!$M$6,E603-1,0)),LEN(CELL("adresse",OFFSET(DMAV_Dienste!$M$6,E603-1,0)))-FIND("]",CELL("adresse",OFFSET(DMAV_Dienste!$M$6,E603-1,0)))),"Dienst")),HYPERLINK("#"&amp;RIGHT(CELL("adresse",OFFSET(DMAV_Modell!$N$6,B603-1,0)),LEN(CELL("adresse",OFFSET(DMAV_Modell!$N$6,B603-1,0)))-FIND("]",CELL("adresse",OFFSET(DMAV_Modell!$N$6,B603-1,0)))),"Modell"))</f>
        <v>Modell</v>
      </c>
      <c r="K603" s="61" t="str" cm="1">
        <f t="array" ref="K603">IF($B603=0,IF($E603=0,"",IF(INDEX(DMAV_Dienste!P$6:P$140,$E603)="","",INDEX(DMAV_Dienste!P$6:P$140,$E603))),IF(INDEX(DMAV_Modell!Q$6:Q$838,$B603)="","",INDEX(DMAV_Modell!Q$6:Q$838,$B603)))</f>
        <v>IMPORTS</v>
      </c>
      <c r="L603" s="62" t="str" cm="1">
        <f t="array" ref="L603">IF($B603=0,IF($E603=0,"",IF(INDEX(DMAV_Dienste!O$6:O$140,$E603)="","",INDEX(DMAV_Dienste!O$6:O$140,$E603))),IF(INDEX(DMAV_Modell!P$6:P$838,$B603)="","",INDEX(DMAV_Modell!P$6:P$838,$B603)))</f>
        <v/>
      </c>
      <c r="M603" s="62" t="str" cm="1">
        <f t="array" ref="M603">IF($B603=0,IF($E603=0,"",IF(INDEX(DMAV_Dienste!Q$6:Q$140,$E603)="","",INDEX(DMAV_Dienste!Q$6:Q$140,$E603))),IF(INDEX(DMAV_Modell!R$6:R$838,$B603)="","",INDEX(DMAV_Modell!R$6:R$838,$B603)))</f>
        <v>DMAVTYM_Geometrie_V1_0</v>
      </c>
      <c r="N603" s="62" t="str" cm="1">
        <f t="array" ref="N603">IF($B603=0,IF($E603=0,"",IF(INDEX(DMAV_Dienste!T$6:T$140,$E603)="","",INDEX(DMAV_Dienste!T$6:T$140,$E603))),IF(INDEX(DMAV_Modell!U$6:U$838,$B603)="","",INDEX(DMAV_Modell!U$6:U$838,$B603)))</f>
        <v/>
      </c>
      <c r="O603" s="63" t="str" cm="1">
        <f t="array" aca="1" ref="O603" ca="1">IF(C603=0,IF(F603=0,"",HYPERLINK("#"&amp;RIGHT(CELL("adresse",OFFSET(DMAV_Dienste!$M$6,F603-1,0)),LEN(CELL("adresse",OFFSET(DMAV_Dienste!$M$6,F603-1,0)))-FIND("]",CELL("adresse",OFFSET(DMAV_Dienste!$M$6,F603-1,0)))),"Structure")),HYPERLINK("#"&amp;RIGHT(CELL("adresse",OFFSET(DMAV_Modell!$N$6,C603-1,0)),LEN(CELL("adresse",OFFSET(DMAV_Modell!$N$6,C603-1,0)))-FIND("]",CELL("adresse",OFFSET(DMAV_Modell!$N$6,C603-1,0)))),"Structure"))</f>
        <v/>
      </c>
      <c r="P603" s="64" t="str" cm="1">
        <f t="array" aca="1" ref="P603" ca="1">IF(D603=0,IF(G603=0,"",HYPERLINK("#"&amp;RIGHT(CELL("adresse",OFFSET(DMAV_Dienste!$M$6,G603-1,0)),LEN(CELL("adresse",OFFSET(DMAV_Dienste!$M$6,G603-1,0)))-FIND("]",CELL("adresse",OFFSET(DMAV_Dienste!$M$6,G603-1,0)))),"Substructure")),HYPERLINK("#"&amp;RIGHT(CELL("adresse",OFFSET(DMAV_Modell!$N$6,D603-1,0)),LEN(CELL("adresse",OFFSET(DMAV_Modell!$N$6,D603-1,0)))-FIND("]",CELL("adresse",OFFSET(DMAV_Modell!$N$6,D603-1,0)))),"Substructure"))</f>
        <v/>
      </c>
      <c r="R603" s="80"/>
      <c r="T603" s="93"/>
      <c r="U603" s="94"/>
      <c r="V603" s="95"/>
      <c r="W603" s="96"/>
      <c r="Y603" s="85"/>
      <c r="Z603" s="86"/>
      <c r="AA603" s="87"/>
      <c r="AB603" s="88"/>
      <c r="AD603" s="77"/>
      <c r="AF603" s="54" t="str" cm="1">
        <f t="array" aca="1" ref="AF603" ca="1">IF(H603=0,"",HYPERLINK("#"&amp;RIGHT(CELL("adresse",OFFSET('DM01-AV-CH'!$G$6,H603-1,0)),LEN(CELL("adresse",OFFSET('DM01-AV-CH'!$G$6,H603-1,0)))-FIND("]",CELL("adresse",OFFSET('DM01-AV-CH'!$G$6,H603-1,0)))),"Modell"))</f>
        <v/>
      </c>
      <c r="AG603" s="72" t="str" cm="1">
        <f t="array" ref="AG603">IF($H603=0,"",IF(INDEX('DM01-AV-CH'!G$6:G$834,$H603)="","",INDEX('DM01-AV-CH'!G$6:G$834,$H603)))</f>
        <v/>
      </c>
      <c r="AH603" s="73" t="str" cm="1">
        <f t="array" ref="AH603">IF($H603=0,"",IF(INDEX('DM01-AV-CH'!H$6:H$834,$H603)="","",INDEX('DM01-AV-CH'!H$6:H$834,$H603)))</f>
        <v/>
      </c>
      <c r="AI603" s="74" t="str" cm="1">
        <f t="array" ref="AI603">IF($H603=0,"",IF(INDEX('DM01-AV-CH'!I$6:I$834,$H603)="","",INDEX('DM01-AV-CH'!I$6:I$834,$H603)))</f>
        <v/>
      </c>
    </row>
    <row r="604" spans="1:35" x14ac:dyDescent="0.25">
      <c r="A604" s="57">
        <v>599</v>
      </c>
      <c r="B604" s="57">
        <f>IF($A604="","",IF(_xlfn.XLOOKUP($A604,Korrelation!$D$4:$D$1197,Korrelation!E$4:E$1197,"-",0)="-",0,MATCH(_xlfn.XLOOKUP($A604,Korrelation!$D$4:$D$1197,Korrelation!E$4:E$1197,"",0),DMAV_Modell!$G$6:$G$677,0)))</f>
        <v>309</v>
      </c>
      <c r="C604" s="57">
        <f>IF($A604="","",IF(_xlfn.XLOOKUP($A604,Korrelation!$D$4:$D$1197,Korrelation!F$4:F$1197,"-",0)="-",0,MATCH(_xlfn.XLOOKUP($A604,Korrelation!$D$4:$D$1197,Korrelation!F$4:F$1197,"",0),DMAV_Modell!$G$6:$G$677,0)))</f>
        <v>0</v>
      </c>
      <c r="D604" s="57">
        <f>IF($A604="","",IF(_xlfn.XLOOKUP($A604,Korrelation!$D$4:$D$1197,Korrelation!G$4:G$1197,"-",0)="-",0,MATCH(_xlfn.XLOOKUP($A604,Korrelation!$D$4:$D$1197,Korrelation!G$4:G$1197,"",0),DMAV_Modell!$G$6:$G$677,0)))</f>
        <v>0</v>
      </c>
      <c r="E604" s="57">
        <f>IF($A604="","",IF(_xlfn.XLOOKUP($A604,Korrelation!$D$4:$D$1197,Korrelation!H$4:H$1197,"-",0)="-",0,MATCH(_xlfn.XLOOKUP($A604,Korrelation!$D$4:$D$1197,Korrelation!H$4:H$1197,"",0),DMAV_Dienste!$F$6:$F$140,0)))</f>
        <v>0</v>
      </c>
      <c r="F604" s="57">
        <f>IF($A604="","",IF(_xlfn.XLOOKUP($A604,Korrelation!$D$4:$D$1197,Korrelation!I$4:I$1197,"-",0)="-",0,MATCH(_xlfn.XLOOKUP($A604,Korrelation!$D$4:$D$1197,Korrelation!I$4:I$1197,"",0),DMAV_Dienste!$F$6:$F$140,0)))</f>
        <v>0</v>
      </c>
      <c r="G604" s="57">
        <f>IF($A604="","",IF(_xlfn.XLOOKUP($A604,Korrelation!$D$4:$D$1197,Korrelation!J$4:J$1197,"-",0)="-",0,MATCH(_xlfn.XLOOKUP($A604,Korrelation!$D$4:$D$1197,Korrelation!J$4:J$1197,"",0),DMAV_Dienste!$F$6:$F$140,0)))</f>
        <v>0</v>
      </c>
      <c r="H604" s="57">
        <f>IF($A604="","",IF(_xlfn.XLOOKUP($A604,Korrelation!$D$4:$D$1197,Korrelation!K$4:K$1197,"-",0)="-",0,MATCH(_xlfn.XLOOKUP($A604,Korrelation!$D$4:$D$1197,Korrelation!K$4:K$1197,"",0),'DM01-AV-CH'!$A$6:$A$834,0)))</f>
        <v>0</v>
      </c>
      <c r="J604" s="54" t="str" cm="1">
        <f t="array" aca="1" ref="J604" ca="1">IF(B604=0,IF(E604=0,"",HYPERLINK("#"&amp;RIGHT(CELL("adresse",OFFSET(DMAV_Dienste!$M$6,E604-1,0)),LEN(CELL("adresse",OFFSET(DMAV_Dienste!$M$6,E604-1,0)))-FIND("]",CELL("adresse",OFFSET(DMAV_Dienste!$M$6,E604-1,0)))),"Dienst")),HYPERLINK("#"&amp;RIGHT(CELL("adresse",OFFSET(DMAV_Modell!$N$6,B604-1,0)),LEN(CELL("adresse",OFFSET(DMAV_Modell!$N$6,B604-1,0)))-FIND("]",CELL("adresse",OFFSET(DMAV_Modell!$N$6,B604-1,0)))),"Modell"))</f>
        <v>Modell</v>
      </c>
      <c r="K604" s="61" t="str" cm="1">
        <f t="array" ref="K604">IF($B604=0,IF($E604=0,"",IF(INDEX(DMAV_Dienste!P$6:P$140,$E604)="","",INDEX(DMAV_Dienste!P$6:P$140,$E604))),IF(INDEX(DMAV_Modell!Q$6:Q$838,$B604)="","",INDEX(DMAV_Modell!Q$6:Q$838,$B604)))</f>
        <v>IMPORTS</v>
      </c>
      <c r="L604" s="62" t="str" cm="1">
        <f t="array" ref="L604">IF($B604=0,IF($E604=0,"",IF(INDEX(DMAV_Dienste!O$6:O$140,$E604)="","",INDEX(DMAV_Dienste!O$6:O$140,$E604))),IF(INDEX(DMAV_Modell!P$6:P$838,$B604)="","",INDEX(DMAV_Modell!P$6:P$838,$B604)))</f>
        <v/>
      </c>
      <c r="M604" s="62" t="str" cm="1">
        <f t="array" ref="M604">IF($B604=0,IF($E604=0,"",IF(INDEX(DMAV_Dienste!Q$6:Q$140,$E604)="","",INDEX(DMAV_Dienste!Q$6:Q$140,$E604))),IF(INDEX(DMAV_Modell!R$6:R$838,$B604)="","",INDEX(DMAV_Modell!R$6:R$838,$B604)))</f>
        <v>DMAVTYM_Grafik_V1_0</v>
      </c>
      <c r="N604" s="62" t="str" cm="1">
        <f t="array" ref="N604">IF($B604=0,IF($E604=0,"",IF(INDEX(DMAV_Dienste!T$6:T$140,$E604)="","",INDEX(DMAV_Dienste!T$6:T$140,$E604))),IF(INDEX(DMAV_Modell!U$6:U$838,$B604)="","",INDEX(DMAV_Modell!U$6:U$838,$B604)))</f>
        <v/>
      </c>
      <c r="O604" s="63" t="str" cm="1">
        <f t="array" aca="1" ref="O604" ca="1">IF(C604=0,IF(F604=0,"",HYPERLINK("#"&amp;RIGHT(CELL("adresse",OFFSET(DMAV_Dienste!$M$6,F604-1,0)),LEN(CELL("adresse",OFFSET(DMAV_Dienste!$M$6,F604-1,0)))-FIND("]",CELL("adresse",OFFSET(DMAV_Dienste!$M$6,F604-1,0)))),"Structure")),HYPERLINK("#"&amp;RIGHT(CELL("adresse",OFFSET(DMAV_Modell!$N$6,C604-1,0)),LEN(CELL("adresse",OFFSET(DMAV_Modell!$N$6,C604-1,0)))-FIND("]",CELL("adresse",OFFSET(DMAV_Modell!$N$6,C604-1,0)))),"Structure"))</f>
        <v/>
      </c>
      <c r="P604" s="64" t="str" cm="1">
        <f t="array" aca="1" ref="P604" ca="1">IF(D604=0,IF(G604=0,"",HYPERLINK("#"&amp;RIGHT(CELL("adresse",OFFSET(DMAV_Dienste!$M$6,G604-1,0)),LEN(CELL("adresse",OFFSET(DMAV_Dienste!$M$6,G604-1,0)))-FIND("]",CELL("adresse",OFFSET(DMAV_Dienste!$M$6,G604-1,0)))),"Substructure")),HYPERLINK("#"&amp;RIGHT(CELL("adresse",OFFSET(DMAV_Modell!$N$6,D604-1,0)),LEN(CELL("adresse",OFFSET(DMAV_Modell!$N$6,D604-1,0)))-FIND("]",CELL("adresse",OFFSET(DMAV_Modell!$N$6,D604-1,0)))),"Substructure"))</f>
        <v/>
      </c>
      <c r="R604" s="80"/>
      <c r="T604" s="93"/>
      <c r="U604" s="94"/>
      <c r="V604" s="95"/>
      <c r="W604" s="96"/>
      <c r="Y604" s="85"/>
      <c r="Z604" s="86"/>
      <c r="AA604" s="87"/>
      <c r="AB604" s="88"/>
      <c r="AD604" s="77"/>
      <c r="AF604" s="54" t="str" cm="1">
        <f t="array" aca="1" ref="AF604" ca="1">IF(H604=0,"",HYPERLINK("#"&amp;RIGHT(CELL("adresse",OFFSET('DM01-AV-CH'!$G$6,H604-1,0)),LEN(CELL("adresse",OFFSET('DM01-AV-CH'!$G$6,H604-1,0)))-FIND("]",CELL("adresse",OFFSET('DM01-AV-CH'!$G$6,H604-1,0)))),"Modell"))</f>
        <v/>
      </c>
      <c r="AG604" s="72" t="str" cm="1">
        <f t="array" ref="AG604">IF($H604=0,"",IF(INDEX('DM01-AV-CH'!G$6:G$834,$H604)="","",INDEX('DM01-AV-CH'!G$6:G$834,$H604)))</f>
        <v/>
      </c>
      <c r="AH604" s="73" t="str" cm="1">
        <f t="array" ref="AH604">IF($H604=0,"",IF(INDEX('DM01-AV-CH'!H$6:H$834,$H604)="","",INDEX('DM01-AV-CH'!H$6:H$834,$H604)))</f>
        <v/>
      </c>
      <c r="AI604" s="74" t="str" cm="1">
        <f t="array" ref="AI604">IF($H604=0,"",IF(INDEX('DM01-AV-CH'!I$6:I$834,$H604)="","",INDEX('DM01-AV-CH'!I$6:I$834,$H604)))</f>
        <v/>
      </c>
    </row>
    <row r="605" spans="1:35" x14ac:dyDescent="0.25">
      <c r="A605" s="57">
        <v>600</v>
      </c>
      <c r="B605" s="57">
        <f>IF($A605="","",IF(_xlfn.XLOOKUP($A605,Korrelation!$D$4:$D$1197,Korrelation!E$4:E$1197,"-",0)="-",0,MATCH(_xlfn.XLOOKUP($A605,Korrelation!$D$4:$D$1197,Korrelation!E$4:E$1197,"",0),DMAV_Modell!$G$6:$G$677,0)))</f>
        <v>310</v>
      </c>
      <c r="C605" s="57">
        <f>IF($A605="","",IF(_xlfn.XLOOKUP($A605,Korrelation!$D$4:$D$1197,Korrelation!F$4:F$1197,"-",0)="-",0,MATCH(_xlfn.XLOOKUP($A605,Korrelation!$D$4:$D$1197,Korrelation!F$4:F$1197,"",0),DMAV_Modell!$G$6:$G$677,0)))</f>
        <v>0</v>
      </c>
      <c r="D605" s="57">
        <f>IF($A605="","",IF(_xlfn.XLOOKUP($A605,Korrelation!$D$4:$D$1197,Korrelation!G$4:G$1197,"-",0)="-",0,MATCH(_xlfn.XLOOKUP($A605,Korrelation!$D$4:$D$1197,Korrelation!G$4:G$1197,"",0),DMAV_Modell!$G$6:$G$677,0)))</f>
        <v>0</v>
      </c>
      <c r="E605" s="57">
        <f>IF($A605="","",IF(_xlfn.XLOOKUP($A605,Korrelation!$D$4:$D$1197,Korrelation!H$4:H$1197,"-",0)="-",0,MATCH(_xlfn.XLOOKUP($A605,Korrelation!$D$4:$D$1197,Korrelation!H$4:H$1197,"",0),DMAV_Dienste!$F$6:$F$140,0)))</f>
        <v>0</v>
      </c>
      <c r="F605" s="57">
        <f>IF($A605="","",IF(_xlfn.XLOOKUP($A605,Korrelation!$D$4:$D$1197,Korrelation!I$4:I$1197,"-",0)="-",0,MATCH(_xlfn.XLOOKUP($A605,Korrelation!$D$4:$D$1197,Korrelation!I$4:I$1197,"",0),DMAV_Dienste!$F$6:$F$140,0)))</f>
        <v>0</v>
      </c>
      <c r="G605" s="57">
        <f>IF($A605="","",IF(_xlfn.XLOOKUP($A605,Korrelation!$D$4:$D$1197,Korrelation!J$4:J$1197,"-",0)="-",0,MATCH(_xlfn.XLOOKUP($A605,Korrelation!$D$4:$D$1197,Korrelation!J$4:J$1197,"",0),DMAV_Dienste!$F$6:$F$140,0)))</f>
        <v>0</v>
      </c>
      <c r="H605" s="57">
        <f>IF($A605="","",IF(_xlfn.XLOOKUP($A605,Korrelation!$D$4:$D$1197,Korrelation!K$4:K$1197,"-",0)="-",0,MATCH(_xlfn.XLOOKUP($A605,Korrelation!$D$4:$D$1197,Korrelation!K$4:K$1197,"",0),'DM01-AV-CH'!$A$6:$A$834,0)))</f>
        <v>0</v>
      </c>
      <c r="J605" s="54" t="str" cm="1">
        <f t="array" aca="1" ref="J605" ca="1">IF(B605=0,IF(E605=0,"",HYPERLINK("#"&amp;RIGHT(CELL("adresse",OFFSET(DMAV_Dienste!$M$6,E605-1,0)),LEN(CELL("adresse",OFFSET(DMAV_Dienste!$M$6,E605-1,0)))-FIND("]",CELL("adresse",OFFSET(DMAV_Dienste!$M$6,E605-1,0)))),"Dienst")),HYPERLINK("#"&amp;RIGHT(CELL("adresse",OFFSET(DMAV_Modell!$N$6,B605-1,0)),LEN(CELL("adresse",OFFSET(DMAV_Modell!$N$6,B605-1,0)))-FIND("]",CELL("adresse",OFFSET(DMAV_Modell!$N$6,B605-1,0)))),"Modell"))</f>
        <v>Modell</v>
      </c>
      <c r="K605" s="61" t="str" cm="1">
        <f t="array" ref="K605">IF($B605=0,IF($E605=0,"",IF(INDEX(DMAV_Dienste!P$6:P$140,$E605)="","",INDEX(DMAV_Dienste!P$6:P$140,$E605))),IF(INDEX(DMAV_Modell!Q$6:Q$838,$B605)="","",INDEX(DMAV_Modell!Q$6:Q$838,$B605)))</f>
        <v>DOMAIN</v>
      </c>
      <c r="L605" s="62" t="str" cm="1">
        <f t="array" ref="L605">IF($B605=0,IF($E605=0,"",IF(INDEX(DMAV_Dienste!O$6:O$140,$E605)="","",INDEX(DMAV_Dienste!O$6:O$140,$E605))),IF(INDEX(DMAV_Modell!P$6:P$838,$B605)="","",INDEX(DMAV_Modell!P$6:P$838,$B605)))</f>
        <v>Dienstbarkeitsgrenzen</v>
      </c>
      <c r="M605" s="62" t="str" cm="1">
        <f t="array" ref="M605">IF($B605=0,IF($E605=0,"",IF(INDEX(DMAV_Dienste!Q$6:Q$140,$E605)="","",INDEX(DMAV_Dienste!Q$6:Q$140,$E605))),IF(INDEX(DMAV_Modell!R$6:R$838,$B605)="","",INDEX(DMAV_Modell!R$6:R$838,$B605)))</f>
        <v>Herkunft</v>
      </c>
      <c r="N605" s="62" t="str" cm="1">
        <f t="array" ref="N605">IF($B605=0,IF($E605=0,"",IF(INDEX(DMAV_Dienste!T$6:T$140,$E605)="","",INDEX(DMAV_Dienste!T$6:T$140,$E605))),IF(INDEX(DMAV_Modell!U$6:U$838,$B605)="","",INDEX(DMAV_Modell!U$6:U$838,$B605)))</f>
        <v/>
      </c>
      <c r="O605" s="63" t="str" cm="1">
        <f t="array" aca="1" ref="O605" ca="1">IF(C605=0,IF(F605=0,"",HYPERLINK("#"&amp;RIGHT(CELL("adresse",OFFSET(DMAV_Dienste!$M$6,F605-1,0)),LEN(CELL("adresse",OFFSET(DMAV_Dienste!$M$6,F605-1,0)))-FIND("]",CELL("adresse",OFFSET(DMAV_Dienste!$M$6,F605-1,0)))),"Structure")),HYPERLINK("#"&amp;RIGHT(CELL("adresse",OFFSET(DMAV_Modell!$N$6,C605-1,0)),LEN(CELL("adresse",OFFSET(DMAV_Modell!$N$6,C605-1,0)))-FIND("]",CELL("adresse",OFFSET(DMAV_Modell!$N$6,C605-1,0)))),"Structure"))</f>
        <v/>
      </c>
      <c r="P605" s="64" t="str" cm="1">
        <f t="array" aca="1" ref="P605" ca="1">IF(D605=0,IF(G605=0,"",HYPERLINK("#"&amp;RIGHT(CELL("adresse",OFFSET(DMAV_Dienste!$M$6,G605-1,0)),LEN(CELL("adresse",OFFSET(DMAV_Dienste!$M$6,G605-1,0)))-FIND("]",CELL("adresse",OFFSET(DMAV_Dienste!$M$6,G605-1,0)))),"Substructure")),HYPERLINK("#"&amp;RIGHT(CELL("adresse",OFFSET(DMAV_Modell!$N$6,D605-1,0)),LEN(CELL("adresse",OFFSET(DMAV_Modell!$N$6,D605-1,0)))-FIND("]",CELL("adresse",OFFSET(DMAV_Modell!$N$6,D605-1,0)))),"Substructure"))</f>
        <v/>
      </c>
      <c r="R605" s="80"/>
      <c r="T605" s="93"/>
      <c r="U605" s="94"/>
      <c r="V605" s="95"/>
      <c r="W605" s="96"/>
      <c r="Y605" s="85"/>
      <c r="Z605" s="86"/>
      <c r="AA605" s="87"/>
      <c r="AB605" s="88"/>
      <c r="AD605" s="77"/>
      <c r="AF605" s="54" t="str" cm="1">
        <f t="array" aca="1" ref="AF605" ca="1">IF(H605=0,"",HYPERLINK("#"&amp;RIGHT(CELL("adresse",OFFSET('DM01-AV-CH'!$G$6,H605-1,0)),LEN(CELL("adresse",OFFSET('DM01-AV-CH'!$G$6,H605-1,0)))-FIND("]",CELL("adresse",OFFSET('DM01-AV-CH'!$G$6,H605-1,0)))),"Modell"))</f>
        <v/>
      </c>
      <c r="AG605" s="72" t="str" cm="1">
        <f t="array" ref="AG605">IF($H605=0,"",IF(INDEX('DM01-AV-CH'!G$6:G$834,$H605)="","",INDEX('DM01-AV-CH'!G$6:G$834,$H605)))</f>
        <v/>
      </c>
      <c r="AH605" s="73" t="str" cm="1">
        <f t="array" ref="AH605">IF($H605=0,"",IF(INDEX('DM01-AV-CH'!H$6:H$834,$H605)="","",INDEX('DM01-AV-CH'!H$6:H$834,$H605)))</f>
        <v/>
      </c>
      <c r="AI605" s="74" t="str" cm="1">
        <f t="array" ref="AI605">IF($H605=0,"",IF(INDEX('DM01-AV-CH'!I$6:I$834,$H605)="","",INDEX('DM01-AV-CH'!I$6:I$834,$H605)))</f>
        <v/>
      </c>
    </row>
    <row r="606" spans="1:35" x14ac:dyDescent="0.25">
      <c r="A606" s="57">
        <v>601</v>
      </c>
      <c r="B606" s="57">
        <f>IF($A606="","",IF(_xlfn.XLOOKUP($A606,Korrelation!$D$4:$D$1197,Korrelation!E$4:E$1197,"-",0)="-",0,MATCH(_xlfn.XLOOKUP($A606,Korrelation!$D$4:$D$1197,Korrelation!E$4:E$1197,"",0),DMAV_Modell!$G$6:$G$677,0)))</f>
        <v>311</v>
      </c>
      <c r="C606" s="57">
        <f>IF($A606="","",IF(_xlfn.XLOOKUP($A606,Korrelation!$D$4:$D$1197,Korrelation!F$4:F$1197,"-",0)="-",0,MATCH(_xlfn.XLOOKUP($A606,Korrelation!$D$4:$D$1197,Korrelation!F$4:F$1197,"",0),DMAV_Modell!$G$6:$G$677,0)))</f>
        <v>0</v>
      </c>
      <c r="D606" s="57">
        <f>IF($A606="","",IF(_xlfn.XLOOKUP($A606,Korrelation!$D$4:$D$1197,Korrelation!G$4:G$1197,"-",0)="-",0,MATCH(_xlfn.XLOOKUP($A606,Korrelation!$D$4:$D$1197,Korrelation!G$4:G$1197,"",0),DMAV_Modell!$G$6:$G$677,0)))</f>
        <v>0</v>
      </c>
      <c r="E606" s="57">
        <f>IF($A606="","",IF(_xlfn.XLOOKUP($A606,Korrelation!$D$4:$D$1197,Korrelation!H$4:H$1197,"-",0)="-",0,MATCH(_xlfn.XLOOKUP($A606,Korrelation!$D$4:$D$1197,Korrelation!H$4:H$1197,"",0),DMAV_Dienste!$F$6:$F$140,0)))</f>
        <v>0</v>
      </c>
      <c r="F606" s="57">
        <f>IF($A606="","",IF(_xlfn.XLOOKUP($A606,Korrelation!$D$4:$D$1197,Korrelation!I$4:I$1197,"-",0)="-",0,MATCH(_xlfn.XLOOKUP($A606,Korrelation!$D$4:$D$1197,Korrelation!I$4:I$1197,"",0),DMAV_Dienste!$F$6:$F$140,0)))</f>
        <v>0</v>
      </c>
      <c r="G606" s="57">
        <f>IF($A606="","",IF(_xlfn.XLOOKUP($A606,Korrelation!$D$4:$D$1197,Korrelation!J$4:J$1197,"-",0)="-",0,MATCH(_xlfn.XLOOKUP($A606,Korrelation!$D$4:$D$1197,Korrelation!J$4:J$1197,"",0),DMAV_Dienste!$F$6:$F$140,0)))</f>
        <v>0</v>
      </c>
      <c r="H606" s="57">
        <f>IF($A606="","",IF(_xlfn.XLOOKUP($A606,Korrelation!$D$4:$D$1197,Korrelation!K$4:K$1197,"-",0)="-",0,MATCH(_xlfn.XLOOKUP($A606,Korrelation!$D$4:$D$1197,Korrelation!K$4:K$1197,"",0),'DM01-AV-CH'!$A$6:$A$834,0)))</f>
        <v>0</v>
      </c>
      <c r="J606" s="54" t="str" cm="1">
        <f t="array" aca="1" ref="J606" ca="1">IF(B606=0,IF(E606=0,"",HYPERLINK("#"&amp;RIGHT(CELL("adresse",OFFSET(DMAV_Dienste!$M$6,E606-1,0)),LEN(CELL("adresse",OFFSET(DMAV_Dienste!$M$6,E606-1,0)))-FIND("]",CELL("adresse",OFFSET(DMAV_Dienste!$M$6,E606-1,0)))),"Dienst")),HYPERLINK("#"&amp;RIGHT(CELL("adresse",OFFSET(DMAV_Modell!$N$6,B606-1,0)),LEN(CELL("adresse",OFFSET(DMAV_Modell!$N$6,B606-1,0)))-FIND("]",CELL("adresse",OFFSET(DMAV_Modell!$N$6,B606-1,0)))),"Modell"))</f>
        <v>Modell</v>
      </c>
      <c r="K606" s="61" t="str" cm="1">
        <f t="array" ref="K606">IF($B606=0,IF($E606=0,"",IF(INDEX(DMAV_Dienste!P$6:P$140,$E606)="","",INDEX(DMAV_Dienste!P$6:P$140,$E606))),IF(INDEX(DMAV_Modell!Q$6:Q$838,$B606)="","",INDEX(DMAV_Modell!Q$6:Q$838,$B606)))</f>
        <v>DOMAIN</v>
      </c>
      <c r="L606" s="62" t="str" cm="1">
        <f t="array" ref="L606">IF($B606=0,IF($E606=0,"",IF(INDEX(DMAV_Dienste!O$6:O$140,$E606)="","",INDEX(DMAV_Dienste!O$6:O$140,$E606))),IF(INDEX(DMAV_Modell!P$6:P$838,$B606)="","",INDEX(DMAV_Modell!P$6:P$838,$B606)))</f>
        <v>Dienstbarkeitsgrenzen</v>
      </c>
      <c r="M606" s="62" t="str" cm="1">
        <f t="array" ref="M606">IF($B606=0,IF($E606=0,"",IF(INDEX(DMAV_Dienste!Q$6:Q$140,$E606)="","",INDEX(DMAV_Dienste!Q$6:Q$140,$E606))),IF(INDEX(DMAV_Modell!R$6:R$838,$B606)="","",INDEX(DMAV_Modell!R$6:R$838,$B606)))</f>
        <v>Herkunft</v>
      </c>
      <c r="N606" s="62" t="str" cm="1">
        <f t="array" ref="N606">IF($B606=0,IF($E606=0,"",IF(INDEX(DMAV_Dienste!T$6:T$140,$E606)="","",INDEX(DMAV_Dienste!T$6:T$140,$E606))),IF(INDEX(DMAV_Modell!U$6:U$838,$B606)="","",INDEX(DMAV_Modell!U$6:U$838,$B606)))</f>
        <v/>
      </c>
      <c r="O606" s="63" t="str" cm="1">
        <f t="array" aca="1" ref="O606" ca="1">IF(C606=0,IF(F606=0,"",HYPERLINK("#"&amp;RIGHT(CELL("adresse",OFFSET(DMAV_Dienste!$M$6,F606-1,0)),LEN(CELL("adresse",OFFSET(DMAV_Dienste!$M$6,F606-1,0)))-FIND("]",CELL("adresse",OFFSET(DMAV_Dienste!$M$6,F606-1,0)))),"Structure")),HYPERLINK("#"&amp;RIGHT(CELL("adresse",OFFSET(DMAV_Modell!$N$6,C606-1,0)),LEN(CELL("adresse",OFFSET(DMAV_Modell!$N$6,C606-1,0)))-FIND("]",CELL("adresse",OFFSET(DMAV_Modell!$N$6,C606-1,0)))),"Structure"))</f>
        <v/>
      </c>
      <c r="P606" s="64" t="str" cm="1">
        <f t="array" aca="1" ref="P606" ca="1">IF(D606=0,IF(G606=0,"",HYPERLINK("#"&amp;RIGHT(CELL("adresse",OFFSET(DMAV_Dienste!$M$6,G606-1,0)),LEN(CELL("adresse",OFFSET(DMAV_Dienste!$M$6,G606-1,0)))-FIND("]",CELL("adresse",OFFSET(DMAV_Dienste!$M$6,G606-1,0)))),"Substructure")),HYPERLINK("#"&amp;RIGHT(CELL("adresse",OFFSET(DMAV_Modell!$N$6,D606-1,0)),LEN(CELL("adresse",OFFSET(DMAV_Modell!$N$6,D606-1,0)))-FIND("]",CELL("adresse",OFFSET(DMAV_Modell!$N$6,D606-1,0)))),"Substructure"))</f>
        <v/>
      </c>
      <c r="R606" s="80"/>
      <c r="T606" s="93"/>
      <c r="U606" s="94"/>
      <c r="V606" s="95"/>
      <c r="W606" s="96"/>
      <c r="Y606" s="85"/>
      <c r="Z606" s="86"/>
      <c r="AA606" s="87"/>
      <c r="AB606" s="88"/>
      <c r="AD606" s="77"/>
      <c r="AF606" s="54" t="str" cm="1">
        <f t="array" aca="1" ref="AF606" ca="1">IF(H606=0,"",HYPERLINK("#"&amp;RIGHT(CELL("adresse",OFFSET('DM01-AV-CH'!$G$6,H606-1,0)),LEN(CELL("adresse",OFFSET('DM01-AV-CH'!$G$6,H606-1,0)))-FIND("]",CELL("adresse",OFFSET('DM01-AV-CH'!$G$6,H606-1,0)))),"Modell"))</f>
        <v/>
      </c>
      <c r="AG606" s="72" t="str" cm="1">
        <f t="array" ref="AG606">IF($H606=0,"",IF(INDEX('DM01-AV-CH'!G$6:G$834,$H606)="","",INDEX('DM01-AV-CH'!G$6:G$834,$H606)))</f>
        <v/>
      </c>
      <c r="AH606" s="73" t="str" cm="1">
        <f t="array" ref="AH606">IF($H606=0,"",IF(INDEX('DM01-AV-CH'!H$6:H$834,$H606)="","",INDEX('DM01-AV-CH'!H$6:H$834,$H606)))</f>
        <v/>
      </c>
      <c r="AI606" s="74" t="str" cm="1">
        <f t="array" ref="AI606">IF($H606=0,"",IF(INDEX('DM01-AV-CH'!I$6:I$834,$H606)="","",INDEX('DM01-AV-CH'!I$6:I$834,$H606)))</f>
        <v/>
      </c>
    </row>
    <row r="607" spans="1:35" x14ac:dyDescent="0.25">
      <c r="A607" s="57">
        <v>602</v>
      </c>
      <c r="B607" s="57">
        <f>IF($A607="","",IF(_xlfn.XLOOKUP($A607,Korrelation!$D$4:$D$1197,Korrelation!E$4:E$1197,"-",0)="-",0,MATCH(_xlfn.XLOOKUP($A607,Korrelation!$D$4:$D$1197,Korrelation!E$4:E$1197,"",0),DMAV_Modell!$G$6:$G$677,0)))</f>
        <v>312</v>
      </c>
      <c r="C607" s="57">
        <f>IF($A607="","",IF(_xlfn.XLOOKUP($A607,Korrelation!$D$4:$D$1197,Korrelation!F$4:F$1197,"-",0)="-",0,MATCH(_xlfn.XLOOKUP($A607,Korrelation!$D$4:$D$1197,Korrelation!F$4:F$1197,"",0),DMAV_Modell!$G$6:$G$677,0)))</f>
        <v>0</v>
      </c>
      <c r="D607" s="57">
        <f>IF($A607="","",IF(_xlfn.XLOOKUP($A607,Korrelation!$D$4:$D$1197,Korrelation!G$4:G$1197,"-",0)="-",0,MATCH(_xlfn.XLOOKUP($A607,Korrelation!$D$4:$D$1197,Korrelation!G$4:G$1197,"",0),DMAV_Modell!$G$6:$G$677,0)))</f>
        <v>0</v>
      </c>
      <c r="E607" s="57">
        <f>IF($A607="","",IF(_xlfn.XLOOKUP($A607,Korrelation!$D$4:$D$1197,Korrelation!H$4:H$1197,"-",0)="-",0,MATCH(_xlfn.XLOOKUP($A607,Korrelation!$D$4:$D$1197,Korrelation!H$4:H$1197,"",0),DMAV_Dienste!$F$6:$F$140,0)))</f>
        <v>0</v>
      </c>
      <c r="F607" s="57">
        <f>IF($A607="","",IF(_xlfn.XLOOKUP($A607,Korrelation!$D$4:$D$1197,Korrelation!I$4:I$1197,"-",0)="-",0,MATCH(_xlfn.XLOOKUP($A607,Korrelation!$D$4:$D$1197,Korrelation!I$4:I$1197,"",0),DMAV_Dienste!$F$6:$F$140,0)))</f>
        <v>0</v>
      </c>
      <c r="G607" s="57">
        <f>IF($A607="","",IF(_xlfn.XLOOKUP($A607,Korrelation!$D$4:$D$1197,Korrelation!J$4:J$1197,"-",0)="-",0,MATCH(_xlfn.XLOOKUP($A607,Korrelation!$D$4:$D$1197,Korrelation!J$4:J$1197,"",0),DMAV_Dienste!$F$6:$F$140,0)))</f>
        <v>0</v>
      </c>
      <c r="H607" s="57">
        <f>IF($A607="","",IF(_xlfn.XLOOKUP($A607,Korrelation!$D$4:$D$1197,Korrelation!K$4:K$1197,"-",0)="-",0,MATCH(_xlfn.XLOOKUP($A607,Korrelation!$D$4:$D$1197,Korrelation!K$4:K$1197,"",0),'DM01-AV-CH'!$A$6:$A$834,0)))</f>
        <v>0</v>
      </c>
      <c r="J607" s="54" t="str" cm="1">
        <f t="array" aca="1" ref="J607" ca="1">IF(B607=0,IF(E607=0,"",HYPERLINK("#"&amp;RIGHT(CELL("adresse",OFFSET(DMAV_Dienste!$M$6,E607-1,0)),LEN(CELL("adresse",OFFSET(DMAV_Dienste!$M$6,E607-1,0)))-FIND("]",CELL("adresse",OFFSET(DMAV_Dienste!$M$6,E607-1,0)))),"Dienst")),HYPERLINK("#"&amp;RIGHT(CELL("adresse",OFFSET(DMAV_Modell!$N$6,B607-1,0)),LEN(CELL("adresse",OFFSET(DMAV_Modell!$N$6,B607-1,0)))-FIND("]",CELL("adresse",OFFSET(DMAV_Modell!$N$6,B607-1,0)))),"Modell"))</f>
        <v>Modell</v>
      </c>
      <c r="K607" s="61" t="str" cm="1">
        <f t="array" ref="K607">IF($B607=0,IF($E607=0,"",IF(INDEX(DMAV_Dienste!P$6:P$140,$E607)="","",INDEX(DMAV_Dienste!P$6:P$140,$E607))),IF(INDEX(DMAV_Modell!Q$6:Q$838,$B607)="","",INDEX(DMAV_Modell!Q$6:Q$838,$B607)))</f>
        <v>DOMAIN</v>
      </c>
      <c r="L607" s="62" t="str" cm="1">
        <f t="array" ref="L607">IF($B607=0,IF($E607=0,"",IF(INDEX(DMAV_Dienste!O$6:O$140,$E607)="","",INDEX(DMAV_Dienste!O$6:O$140,$E607))),IF(INDEX(DMAV_Modell!P$6:P$838,$B607)="","",INDEX(DMAV_Modell!P$6:P$838,$B607)))</f>
        <v>Dienstbarkeitsgrenzen</v>
      </c>
      <c r="M607" s="62" t="str" cm="1">
        <f t="array" ref="M607">IF($B607=0,IF($E607=0,"",IF(INDEX(DMAV_Dienste!Q$6:Q$140,$E607)="","",INDEX(DMAV_Dienste!Q$6:Q$140,$E607))),IF(INDEX(DMAV_Modell!R$6:R$838,$B607)="","",INDEX(DMAV_Modell!R$6:R$838,$B607)))</f>
        <v>Herkunft</v>
      </c>
      <c r="N607" s="62" t="str" cm="1">
        <f t="array" ref="N607">IF($B607=0,IF($E607=0,"",IF(INDEX(DMAV_Dienste!T$6:T$140,$E607)="","",INDEX(DMAV_Dienste!T$6:T$140,$E607))),IF(INDEX(DMAV_Modell!U$6:U$838,$B607)="","",INDEX(DMAV_Modell!U$6:U$838,$B607)))</f>
        <v/>
      </c>
      <c r="O607" s="63" t="str" cm="1">
        <f t="array" aca="1" ref="O607" ca="1">IF(C607=0,IF(F607=0,"",HYPERLINK("#"&amp;RIGHT(CELL("adresse",OFFSET(DMAV_Dienste!$M$6,F607-1,0)),LEN(CELL("adresse",OFFSET(DMAV_Dienste!$M$6,F607-1,0)))-FIND("]",CELL("adresse",OFFSET(DMAV_Dienste!$M$6,F607-1,0)))),"Structure")),HYPERLINK("#"&amp;RIGHT(CELL("adresse",OFFSET(DMAV_Modell!$N$6,C607-1,0)),LEN(CELL("adresse",OFFSET(DMAV_Modell!$N$6,C607-1,0)))-FIND("]",CELL("adresse",OFFSET(DMAV_Modell!$N$6,C607-1,0)))),"Structure"))</f>
        <v/>
      </c>
      <c r="P607" s="64" t="str" cm="1">
        <f t="array" aca="1" ref="P607" ca="1">IF(D607=0,IF(G607=0,"",HYPERLINK("#"&amp;RIGHT(CELL("adresse",OFFSET(DMAV_Dienste!$M$6,G607-1,0)),LEN(CELL("adresse",OFFSET(DMAV_Dienste!$M$6,G607-1,0)))-FIND("]",CELL("adresse",OFFSET(DMAV_Dienste!$M$6,G607-1,0)))),"Substructure")),HYPERLINK("#"&amp;RIGHT(CELL("adresse",OFFSET(DMAV_Modell!$N$6,D607-1,0)),LEN(CELL("adresse",OFFSET(DMAV_Modell!$N$6,D607-1,0)))-FIND("]",CELL("adresse",OFFSET(DMAV_Modell!$N$6,D607-1,0)))),"Substructure"))</f>
        <v/>
      </c>
      <c r="R607" s="80"/>
      <c r="T607" s="93"/>
      <c r="U607" s="94"/>
      <c r="V607" s="95"/>
      <c r="W607" s="96"/>
      <c r="Y607" s="85"/>
      <c r="Z607" s="86"/>
      <c r="AA607" s="87"/>
      <c r="AB607" s="88"/>
      <c r="AD607" s="77"/>
      <c r="AF607" s="54" t="str" cm="1">
        <f t="array" aca="1" ref="AF607" ca="1">IF(H607=0,"",HYPERLINK("#"&amp;RIGHT(CELL("adresse",OFFSET('DM01-AV-CH'!$G$6,H607-1,0)),LEN(CELL("adresse",OFFSET('DM01-AV-CH'!$G$6,H607-1,0)))-FIND("]",CELL("adresse",OFFSET('DM01-AV-CH'!$G$6,H607-1,0)))),"Modell"))</f>
        <v/>
      </c>
      <c r="AG607" s="72" t="str" cm="1">
        <f t="array" ref="AG607">IF($H607=0,"",IF(INDEX('DM01-AV-CH'!G$6:G$834,$H607)="","",INDEX('DM01-AV-CH'!G$6:G$834,$H607)))</f>
        <v/>
      </c>
      <c r="AH607" s="73" t="str" cm="1">
        <f t="array" ref="AH607">IF($H607=0,"",IF(INDEX('DM01-AV-CH'!H$6:H$834,$H607)="","",INDEX('DM01-AV-CH'!H$6:H$834,$H607)))</f>
        <v/>
      </c>
      <c r="AI607" s="74" t="str" cm="1">
        <f t="array" ref="AI607">IF($H607=0,"",IF(INDEX('DM01-AV-CH'!I$6:I$834,$H607)="","",INDEX('DM01-AV-CH'!I$6:I$834,$H607)))</f>
        <v/>
      </c>
    </row>
    <row r="608" spans="1:35" x14ac:dyDescent="0.25">
      <c r="A608" s="57">
        <v>603</v>
      </c>
      <c r="B608" s="57">
        <f>IF($A608="","",IF(_xlfn.XLOOKUP($A608,Korrelation!$D$4:$D$1197,Korrelation!E$4:E$1197,"-",0)="-",0,MATCH(_xlfn.XLOOKUP($A608,Korrelation!$D$4:$D$1197,Korrelation!E$4:E$1197,"",0),DMAV_Modell!$G$6:$G$677,0)))</f>
        <v>313</v>
      </c>
      <c r="C608" s="57">
        <f>IF($A608="","",IF(_xlfn.XLOOKUP($A608,Korrelation!$D$4:$D$1197,Korrelation!F$4:F$1197,"-",0)="-",0,MATCH(_xlfn.XLOOKUP($A608,Korrelation!$D$4:$D$1197,Korrelation!F$4:F$1197,"",0),DMAV_Modell!$G$6:$G$677,0)))</f>
        <v>0</v>
      </c>
      <c r="D608" s="57">
        <f>IF($A608="","",IF(_xlfn.XLOOKUP($A608,Korrelation!$D$4:$D$1197,Korrelation!G$4:G$1197,"-",0)="-",0,MATCH(_xlfn.XLOOKUP($A608,Korrelation!$D$4:$D$1197,Korrelation!G$4:G$1197,"",0),DMAV_Modell!$G$6:$G$677,0)))</f>
        <v>0</v>
      </c>
      <c r="E608" s="57">
        <f>IF($A608="","",IF(_xlfn.XLOOKUP($A608,Korrelation!$D$4:$D$1197,Korrelation!H$4:H$1197,"-",0)="-",0,MATCH(_xlfn.XLOOKUP($A608,Korrelation!$D$4:$D$1197,Korrelation!H$4:H$1197,"",0),DMAV_Dienste!$F$6:$F$140,0)))</f>
        <v>0</v>
      </c>
      <c r="F608" s="57">
        <f>IF($A608="","",IF(_xlfn.XLOOKUP($A608,Korrelation!$D$4:$D$1197,Korrelation!I$4:I$1197,"-",0)="-",0,MATCH(_xlfn.XLOOKUP($A608,Korrelation!$D$4:$D$1197,Korrelation!I$4:I$1197,"",0),DMAV_Dienste!$F$6:$F$140,0)))</f>
        <v>0</v>
      </c>
      <c r="G608" s="57">
        <f>IF($A608="","",IF(_xlfn.XLOOKUP($A608,Korrelation!$D$4:$D$1197,Korrelation!J$4:J$1197,"-",0)="-",0,MATCH(_xlfn.XLOOKUP($A608,Korrelation!$D$4:$D$1197,Korrelation!J$4:J$1197,"",0),DMAV_Dienste!$F$6:$F$140,0)))</f>
        <v>0</v>
      </c>
      <c r="H608" s="57">
        <f>IF($A608="","",IF(_xlfn.XLOOKUP($A608,Korrelation!$D$4:$D$1197,Korrelation!K$4:K$1197,"-",0)="-",0,MATCH(_xlfn.XLOOKUP($A608,Korrelation!$D$4:$D$1197,Korrelation!K$4:K$1197,"",0),'DM01-AV-CH'!$A$6:$A$834,0)))</f>
        <v>0</v>
      </c>
      <c r="J608" s="54" t="str" cm="1">
        <f t="array" aca="1" ref="J608" ca="1">IF(B608=0,IF(E608=0,"",HYPERLINK("#"&amp;RIGHT(CELL("adresse",OFFSET(DMAV_Dienste!$M$6,E608-1,0)),LEN(CELL("adresse",OFFSET(DMAV_Dienste!$M$6,E608-1,0)))-FIND("]",CELL("adresse",OFFSET(DMAV_Dienste!$M$6,E608-1,0)))),"Dienst")),HYPERLINK("#"&amp;RIGHT(CELL("adresse",OFFSET(DMAV_Modell!$N$6,B608-1,0)),LEN(CELL("adresse",OFFSET(DMAV_Modell!$N$6,B608-1,0)))-FIND("]",CELL("adresse",OFFSET(DMAV_Modell!$N$6,B608-1,0)))),"Modell"))</f>
        <v>Modell</v>
      </c>
      <c r="K608" s="61" t="str" cm="1">
        <f t="array" ref="K608">IF($B608=0,IF($E608=0,"",IF(INDEX(DMAV_Dienste!P$6:P$140,$E608)="","",INDEX(DMAV_Dienste!P$6:P$140,$E608))),IF(INDEX(DMAV_Modell!Q$6:Q$838,$B608)="","",INDEX(DMAV_Modell!Q$6:Q$838,$B608)))</f>
        <v>CLASS</v>
      </c>
      <c r="L608" s="62" t="str" cm="1">
        <f t="array" ref="L608">IF($B608=0,IF($E608=0,"",IF(INDEX(DMAV_Dienste!O$6:O$140,$E608)="","",INDEX(DMAV_Dienste!O$6:O$140,$E608))),IF(INDEX(DMAV_Modell!P$6:P$838,$B608)="","",INDEX(DMAV_Modell!P$6:P$838,$B608)))</f>
        <v>Dienstbarkeitsgrenzen</v>
      </c>
      <c r="M608" s="62" t="str" cm="1">
        <f t="array" ref="M608">IF($B608=0,IF($E608=0,"",IF(INDEX(DMAV_Dienste!Q$6:Q$140,$E608)="","",INDEX(DMAV_Dienste!Q$6:Q$140,$E608))),IF(INDEX(DMAV_Modell!R$6:R$838,$B608)="","",INDEX(DMAV_Modell!R$6:R$838,$B608)))</f>
        <v>DiBNachfuehrung</v>
      </c>
      <c r="N608" s="62" t="str" cm="1">
        <f t="array" ref="N608">IF($B608=0,IF($E608=0,"",IF(INDEX(DMAV_Dienste!T$6:T$140,$E608)="","",INDEX(DMAV_Dienste!T$6:T$140,$E608))),IF(INDEX(DMAV_Modell!U$6:U$838,$B608)="","",INDEX(DMAV_Modell!U$6:U$838,$B608)))</f>
        <v>NBIdent</v>
      </c>
      <c r="O608" s="63" t="str" cm="1">
        <f t="array" aca="1" ref="O608" ca="1">IF(C608=0,IF(F608=0,"",HYPERLINK("#"&amp;RIGHT(CELL("adresse",OFFSET(DMAV_Dienste!$M$6,F608-1,0)),LEN(CELL("adresse",OFFSET(DMAV_Dienste!$M$6,F608-1,0)))-FIND("]",CELL("adresse",OFFSET(DMAV_Dienste!$M$6,F608-1,0)))),"Structure")),HYPERLINK("#"&amp;RIGHT(CELL("adresse",OFFSET(DMAV_Modell!$N$6,C608-1,0)),LEN(CELL("adresse",OFFSET(DMAV_Modell!$N$6,C608-1,0)))-FIND("]",CELL("adresse",OFFSET(DMAV_Modell!$N$6,C608-1,0)))),"Structure"))</f>
        <v/>
      </c>
      <c r="P608" s="64" t="str" cm="1">
        <f t="array" aca="1" ref="P608" ca="1">IF(D608=0,IF(G608=0,"",HYPERLINK("#"&amp;RIGHT(CELL("adresse",OFFSET(DMAV_Dienste!$M$6,G608-1,0)),LEN(CELL("adresse",OFFSET(DMAV_Dienste!$M$6,G608-1,0)))-FIND("]",CELL("adresse",OFFSET(DMAV_Dienste!$M$6,G608-1,0)))),"Substructure")),HYPERLINK("#"&amp;RIGHT(CELL("adresse",OFFSET(DMAV_Modell!$N$6,D608-1,0)),LEN(CELL("adresse",OFFSET(DMAV_Modell!$N$6,D608-1,0)))-FIND("]",CELL("adresse",OFFSET(DMAV_Modell!$N$6,D608-1,0)))),"Substructure"))</f>
        <v/>
      </c>
      <c r="R608" s="80"/>
      <c r="T608" s="93"/>
      <c r="U608" s="94"/>
      <c r="V608" s="95"/>
      <c r="W608" s="96"/>
      <c r="Y608" s="85"/>
      <c r="Z608" s="86"/>
      <c r="AA608" s="87"/>
      <c r="AB608" s="88"/>
      <c r="AD608" s="77"/>
      <c r="AF608" s="54" t="str" cm="1">
        <f t="array" aca="1" ref="AF608" ca="1">IF(H608=0,"",HYPERLINK("#"&amp;RIGHT(CELL("adresse",OFFSET('DM01-AV-CH'!$G$6,H608-1,0)),LEN(CELL("adresse",OFFSET('DM01-AV-CH'!$G$6,H608-1,0)))-FIND("]",CELL("adresse",OFFSET('DM01-AV-CH'!$G$6,H608-1,0)))),"Modell"))</f>
        <v/>
      </c>
      <c r="AG608" s="72" t="str" cm="1">
        <f t="array" ref="AG608">IF($H608=0,"",IF(INDEX('DM01-AV-CH'!G$6:G$834,$H608)="","",INDEX('DM01-AV-CH'!G$6:G$834,$H608)))</f>
        <v/>
      </c>
      <c r="AH608" s="73" t="str" cm="1">
        <f t="array" ref="AH608">IF($H608=0,"",IF(INDEX('DM01-AV-CH'!H$6:H$834,$H608)="","",INDEX('DM01-AV-CH'!H$6:H$834,$H608)))</f>
        <v/>
      </c>
      <c r="AI608" s="74" t="str" cm="1">
        <f t="array" ref="AI608">IF($H608=0,"",IF(INDEX('DM01-AV-CH'!I$6:I$834,$H608)="","",INDEX('DM01-AV-CH'!I$6:I$834,$H608)))</f>
        <v/>
      </c>
    </row>
    <row r="609" spans="1:35" x14ac:dyDescent="0.25">
      <c r="A609" s="57">
        <v>604</v>
      </c>
      <c r="B609" s="57">
        <f>IF($A609="","",IF(_xlfn.XLOOKUP($A609,Korrelation!$D$4:$D$1197,Korrelation!E$4:E$1197,"-",0)="-",0,MATCH(_xlfn.XLOOKUP($A609,Korrelation!$D$4:$D$1197,Korrelation!E$4:E$1197,"",0),DMAV_Modell!$G$6:$G$677,0)))</f>
        <v>314</v>
      </c>
      <c r="C609" s="57">
        <f>IF($A609="","",IF(_xlfn.XLOOKUP($A609,Korrelation!$D$4:$D$1197,Korrelation!F$4:F$1197,"-",0)="-",0,MATCH(_xlfn.XLOOKUP($A609,Korrelation!$D$4:$D$1197,Korrelation!F$4:F$1197,"",0),DMAV_Modell!$G$6:$G$677,0)))</f>
        <v>0</v>
      </c>
      <c r="D609" s="57">
        <f>IF($A609="","",IF(_xlfn.XLOOKUP($A609,Korrelation!$D$4:$D$1197,Korrelation!G$4:G$1197,"-",0)="-",0,MATCH(_xlfn.XLOOKUP($A609,Korrelation!$D$4:$D$1197,Korrelation!G$4:G$1197,"",0),DMAV_Modell!$G$6:$G$677,0)))</f>
        <v>0</v>
      </c>
      <c r="E609" s="57">
        <f>IF($A609="","",IF(_xlfn.XLOOKUP($A609,Korrelation!$D$4:$D$1197,Korrelation!H$4:H$1197,"-",0)="-",0,MATCH(_xlfn.XLOOKUP($A609,Korrelation!$D$4:$D$1197,Korrelation!H$4:H$1197,"",0),DMAV_Dienste!$F$6:$F$140,0)))</f>
        <v>0</v>
      </c>
      <c r="F609" s="57">
        <f>IF($A609="","",IF(_xlfn.XLOOKUP($A609,Korrelation!$D$4:$D$1197,Korrelation!I$4:I$1197,"-",0)="-",0,MATCH(_xlfn.XLOOKUP($A609,Korrelation!$D$4:$D$1197,Korrelation!I$4:I$1197,"",0),DMAV_Dienste!$F$6:$F$140,0)))</f>
        <v>0</v>
      </c>
      <c r="G609" s="57">
        <f>IF($A609="","",IF(_xlfn.XLOOKUP($A609,Korrelation!$D$4:$D$1197,Korrelation!J$4:J$1197,"-",0)="-",0,MATCH(_xlfn.XLOOKUP($A609,Korrelation!$D$4:$D$1197,Korrelation!J$4:J$1197,"",0),DMAV_Dienste!$F$6:$F$140,0)))</f>
        <v>0</v>
      </c>
      <c r="H609" s="57">
        <f>IF($A609="","",IF(_xlfn.XLOOKUP($A609,Korrelation!$D$4:$D$1197,Korrelation!K$4:K$1197,"-",0)="-",0,MATCH(_xlfn.XLOOKUP($A609,Korrelation!$D$4:$D$1197,Korrelation!K$4:K$1197,"",0),'DM01-AV-CH'!$A$6:$A$834,0)))</f>
        <v>0</v>
      </c>
      <c r="J609" s="54" t="str" cm="1">
        <f t="array" aca="1" ref="J609" ca="1">IF(B609=0,IF(E609=0,"",HYPERLINK("#"&amp;RIGHT(CELL("adresse",OFFSET(DMAV_Dienste!$M$6,E609-1,0)),LEN(CELL("adresse",OFFSET(DMAV_Dienste!$M$6,E609-1,0)))-FIND("]",CELL("adresse",OFFSET(DMAV_Dienste!$M$6,E609-1,0)))),"Dienst")),HYPERLINK("#"&amp;RIGHT(CELL("adresse",OFFSET(DMAV_Modell!$N$6,B609-1,0)),LEN(CELL("adresse",OFFSET(DMAV_Modell!$N$6,B609-1,0)))-FIND("]",CELL("adresse",OFFSET(DMAV_Modell!$N$6,B609-1,0)))),"Modell"))</f>
        <v>Modell</v>
      </c>
      <c r="K609" s="61" t="str" cm="1">
        <f t="array" ref="K609">IF($B609=0,IF($E609=0,"",IF(INDEX(DMAV_Dienste!P$6:P$140,$E609)="","",INDEX(DMAV_Dienste!P$6:P$140,$E609))),IF(INDEX(DMAV_Modell!Q$6:Q$838,$B609)="","",INDEX(DMAV_Modell!Q$6:Q$838,$B609)))</f>
        <v>CLASS</v>
      </c>
      <c r="L609" s="62" t="str" cm="1">
        <f t="array" ref="L609">IF($B609=0,IF($E609=0,"",IF(INDEX(DMAV_Dienste!O$6:O$140,$E609)="","",INDEX(DMAV_Dienste!O$6:O$140,$E609))),IF(INDEX(DMAV_Modell!P$6:P$838,$B609)="","",INDEX(DMAV_Modell!P$6:P$838,$B609)))</f>
        <v>Dienstbarkeitsgrenzen</v>
      </c>
      <c r="M609" s="62" t="str" cm="1">
        <f t="array" ref="M609">IF($B609=0,IF($E609=0,"",IF(INDEX(DMAV_Dienste!Q$6:Q$140,$E609)="","",INDEX(DMAV_Dienste!Q$6:Q$140,$E609))),IF(INDEX(DMAV_Modell!R$6:R$838,$B609)="","",INDEX(DMAV_Modell!R$6:R$838,$B609)))</f>
        <v>DiBNachfuehrung</v>
      </c>
      <c r="N609" s="62" t="str" cm="1">
        <f t="array" ref="N609">IF($B609=0,IF($E609=0,"",IF(INDEX(DMAV_Dienste!T$6:T$140,$E609)="","",INDEX(DMAV_Dienste!T$6:T$140,$E609))),IF(INDEX(DMAV_Modell!U$6:U$838,$B609)="","",INDEX(DMAV_Modell!U$6:U$838,$B609)))</f>
        <v>Identifikator</v>
      </c>
      <c r="O609" s="63" t="str" cm="1">
        <f t="array" aca="1" ref="O609" ca="1">IF(C609=0,IF(F609=0,"",HYPERLINK("#"&amp;RIGHT(CELL("adresse",OFFSET(DMAV_Dienste!$M$6,F609-1,0)),LEN(CELL("adresse",OFFSET(DMAV_Dienste!$M$6,F609-1,0)))-FIND("]",CELL("adresse",OFFSET(DMAV_Dienste!$M$6,F609-1,0)))),"Structure")),HYPERLINK("#"&amp;RIGHT(CELL("adresse",OFFSET(DMAV_Modell!$N$6,C609-1,0)),LEN(CELL("adresse",OFFSET(DMAV_Modell!$N$6,C609-1,0)))-FIND("]",CELL("adresse",OFFSET(DMAV_Modell!$N$6,C609-1,0)))),"Structure"))</f>
        <v/>
      </c>
      <c r="P609" s="64" t="str" cm="1">
        <f t="array" aca="1" ref="P609" ca="1">IF(D609=0,IF(G609=0,"",HYPERLINK("#"&amp;RIGHT(CELL("adresse",OFFSET(DMAV_Dienste!$M$6,G609-1,0)),LEN(CELL("adresse",OFFSET(DMAV_Dienste!$M$6,G609-1,0)))-FIND("]",CELL("adresse",OFFSET(DMAV_Dienste!$M$6,G609-1,0)))),"Substructure")),HYPERLINK("#"&amp;RIGHT(CELL("adresse",OFFSET(DMAV_Modell!$N$6,D609-1,0)),LEN(CELL("adresse",OFFSET(DMAV_Modell!$N$6,D609-1,0)))-FIND("]",CELL("adresse",OFFSET(DMAV_Modell!$N$6,D609-1,0)))),"Substructure"))</f>
        <v/>
      </c>
      <c r="R609" s="80"/>
      <c r="T609" s="93"/>
      <c r="U609" s="94"/>
      <c r="V609" s="95"/>
      <c r="W609" s="96"/>
      <c r="Y609" s="85"/>
      <c r="Z609" s="86"/>
      <c r="AA609" s="87"/>
      <c r="AB609" s="88"/>
      <c r="AD609" s="77"/>
      <c r="AF609" s="54" t="str" cm="1">
        <f t="array" aca="1" ref="AF609" ca="1">IF(H609=0,"",HYPERLINK("#"&amp;RIGHT(CELL("adresse",OFFSET('DM01-AV-CH'!$G$6,H609-1,0)),LEN(CELL("adresse",OFFSET('DM01-AV-CH'!$G$6,H609-1,0)))-FIND("]",CELL("adresse",OFFSET('DM01-AV-CH'!$G$6,H609-1,0)))),"Modell"))</f>
        <v/>
      </c>
      <c r="AG609" s="72" t="str" cm="1">
        <f t="array" ref="AG609">IF($H609=0,"",IF(INDEX('DM01-AV-CH'!G$6:G$834,$H609)="","",INDEX('DM01-AV-CH'!G$6:G$834,$H609)))</f>
        <v/>
      </c>
      <c r="AH609" s="73" t="str" cm="1">
        <f t="array" ref="AH609">IF($H609=0,"",IF(INDEX('DM01-AV-CH'!H$6:H$834,$H609)="","",INDEX('DM01-AV-CH'!H$6:H$834,$H609)))</f>
        <v/>
      </c>
      <c r="AI609" s="74" t="str" cm="1">
        <f t="array" ref="AI609">IF($H609=0,"",IF(INDEX('DM01-AV-CH'!I$6:I$834,$H609)="","",INDEX('DM01-AV-CH'!I$6:I$834,$H609)))</f>
        <v/>
      </c>
    </row>
    <row r="610" spans="1:35" x14ac:dyDescent="0.25">
      <c r="A610" s="57">
        <v>605</v>
      </c>
      <c r="B610" s="57">
        <f>IF($A610="","",IF(_xlfn.XLOOKUP($A610,Korrelation!$D$4:$D$1197,Korrelation!E$4:E$1197,"-",0)="-",0,MATCH(_xlfn.XLOOKUP($A610,Korrelation!$D$4:$D$1197,Korrelation!E$4:E$1197,"",0),DMAV_Modell!$G$6:$G$677,0)))</f>
        <v>315</v>
      </c>
      <c r="C610" s="57">
        <f>IF($A610="","",IF(_xlfn.XLOOKUP($A610,Korrelation!$D$4:$D$1197,Korrelation!F$4:F$1197,"-",0)="-",0,MATCH(_xlfn.XLOOKUP($A610,Korrelation!$D$4:$D$1197,Korrelation!F$4:F$1197,"",0),DMAV_Modell!$G$6:$G$677,0)))</f>
        <v>0</v>
      </c>
      <c r="D610" s="57">
        <f>IF($A610="","",IF(_xlfn.XLOOKUP($A610,Korrelation!$D$4:$D$1197,Korrelation!G$4:G$1197,"-",0)="-",0,MATCH(_xlfn.XLOOKUP($A610,Korrelation!$D$4:$D$1197,Korrelation!G$4:G$1197,"",0),DMAV_Modell!$G$6:$G$677,0)))</f>
        <v>0</v>
      </c>
      <c r="E610" s="57">
        <f>IF($A610="","",IF(_xlfn.XLOOKUP($A610,Korrelation!$D$4:$D$1197,Korrelation!H$4:H$1197,"-",0)="-",0,MATCH(_xlfn.XLOOKUP($A610,Korrelation!$D$4:$D$1197,Korrelation!H$4:H$1197,"",0),DMAV_Dienste!$F$6:$F$140,0)))</f>
        <v>0</v>
      </c>
      <c r="F610" s="57">
        <f>IF($A610="","",IF(_xlfn.XLOOKUP($A610,Korrelation!$D$4:$D$1197,Korrelation!I$4:I$1197,"-",0)="-",0,MATCH(_xlfn.XLOOKUP($A610,Korrelation!$D$4:$D$1197,Korrelation!I$4:I$1197,"",0),DMAV_Dienste!$F$6:$F$140,0)))</f>
        <v>0</v>
      </c>
      <c r="G610" s="57">
        <f>IF($A610="","",IF(_xlfn.XLOOKUP($A610,Korrelation!$D$4:$D$1197,Korrelation!J$4:J$1197,"-",0)="-",0,MATCH(_xlfn.XLOOKUP($A610,Korrelation!$D$4:$D$1197,Korrelation!J$4:J$1197,"",0),DMAV_Dienste!$F$6:$F$140,0)))</f>
        <v>0</v>
      </c>
      <c r="H610" s="57">
        <f>IF($A610="","",IF(_xlfn.XLOOKUP($A610,Korrelation!$D$4:$D$1197,Korrelation!K$4:K$1197,"-",0)="-",0,MATCH(_xlfn.XLOOKUP($A610,Korrelation!$D$4:$D$1197,Korrelation!K$4:K$1197,"",0),'DM01-AV-CH'!$A$6:$A$834,0)))</f>
        <v>0</v>
      </c>
      <c r="J610" s="54" t="str" cm="1">
        <f t="array" aca="1" ref="J610" ca="1">IF(B610=0,IF(E610=0,"",HYPERLINK("#"&amp;RIGHT(CELL("adresse",OFFSET(DMAV_Dienste!$M$6,E610-1,0)),LEN(CELL("adresse",OFFSET(DMAV_Dienste!$M$6,E610-1,0)))-FIND("]",CELL("adresse",OFFSET(DMAV_Dienste!$M$6,E610-1,0)))),"Dienst")),HYPERLINK("#"&amp;RIGHT(CELL("adresse",OFFSET(DMAV_Modell!$N$6,B610-1,0)),LEN(CELL("adresse",OFFSET(DMAV_Modell!$N$6,B610-1,0)))-FIND("]",CELL("adresse",OFFSET(DMAV_Modell!$N$6,B610-1,0)))),"Modell"))</f>
        <v>Modell</v>
      </c>
      <c r="K610" s="61" t="str" cm="1">
        <f t="array" ref="K610">IF($B610=0,IF($E610=0,"",IF(INDEX(DMAV_Dienste!P$6:P$140,$E610)="","",INDEX(DMAV_Dienste!P$6:P$140,$E610))),IF(INDEX(DMAV_Modell!Q$6:Q$838,$B610)="","",INDEX(DMAV_Modell!Q$6:Q$838,$B610)))</f>
        <v>CLASS</v>
      </c>
      <c r="L610" s="62" t="str" cm="1">
        <f t="array" ref="L610">IF($B610=0,IF($E610=0,"",IF(INDEX(DMAV_Dienste!O$6:O$140,$E610)="","",INDEX(DMAV_Dienste!O$6:O$140,$E610))),IF(INDEX(DMAV_Modell!P$6:P$838,$B610)="","",INDEX(DMAV_Modell!P$6:P$838,$B610)))</f>
        <v>Dienstbarkeitsgrenzen</v>
      </c>
      <c r="M610" s="62" t="str" cm="1">
        <f t="array" ref="M610">IF($B610=0,IF($E610=0,"",IF(INDEX(DMAV_Dienste!Q$6:Q$140,$E610)="","",INDEX(DMAV_Dienste!Q$6:Q$140,$E610))),IF(INDEX(DMAV_Modell!R$6:R$838,$B610)="","",INDEX(DMAV_Modell!R$6:R$838,$B610)))</f>
        <v>DiBNachfuehrung</v>
      </c>
      <c r="N610" s="62" t="str" cm="1">
        <f t="array" ref="N610">IF($B610=0,IF($E610=0,"",IF(INDEX(DMAV_Dienste!T$6:T$140,$E610)="","",INDEX(DMAV_Dienste!T$6:T$140,$E610))),IF(INDEX(DMAV_Modell!U$6:U$838,$B610)="","",INDEX(DMAV_Modell!U$6:U$838,$B610)))</f>
        <v>Beschreibung</v>
      </c>
      <c r="O610" s="63" t="str" cm="1">
        <f t="array" aca="1" ref="O610" ca="1">IF(C610=0,IF(F610=0,"",HYPERLINK("#"&amp;RIGHT(CELL("adresse",OFFSET(DMAV_Dienste!$M$6,F610-1,0)),LEN(CELL("adresse",OFFSET(DMAV_Dienste!$M$6,F610-1,0)))-FIND("]",CELL("adresse",OFFSET(DMAV_Dienste!$M$6,F610-1,0)))),"Structure")),HYPERLINK("#"&amp;RIGHT(CELL("adresse",OFFSET(DMAV_Modell!$N$6,C610-1,0)),LEN(CELL("adresse",OFFSET(DMAV_Modell!$N$6,C610-1,0)))-FIND("]",CELL("adresse",OFFSET(DMAV_Modell!$N$6,C610-1,0)))),"Structure"))</f>
        <v/>
      </c>
      <c r="P610" s="64" t="str" cm="1">
        <f t="array" aca="1" ref="P610" ca="1">IF(D610=0,IF(G610=0,"",HYPERLINK("#"&amp;RIGHT(CELL("adresse",OFFSET(DMAV_Dienste!$M$6,G610-1,0)),LEN(CELL("adresse",OFFSET(DMAV_Dienste!$M$6,G610-1,0)))-FIND("]",CELL("adresse",OFFSET(DMAV_Dienste!$M$6,G610-1,0)))),"Substructure")),HYPERLINK("#"&amp;RIGHT(CELL("adresse",OFFSET(DMAV_Modell!$N$6,D610-1,0)),LEN(CELL("adresse",OFFSET(DMAV_Modell!$N$6,D610-1,0)))-FIND("]",CELL("adresse",OFFSET(DMAV_Modell!$N$6,D610-1,0)))),"Substructure"))</f>
        <v/>
      </c>
      <c r="R610" s="80"/>
      <c r="T610" s="93"/>
      <c r="U610" s="94"/>
      <c r="V610" s="95"/>
      <c r="W610" s="96"/>
      <c r="Y610" s="85"/>
      <c r="Z610" s="86"/>
      <c r="AA610" s="87"/>
      <c r="AB610" s="88"/>
      <c r="AD610" s="77"/>
      <c r="AF610" s="54" t="str" cm="1">
        <f t="array" aca="1" ref="AF610" ca="1">IF(H610=0,"",HYPERLINK("#"&amp;RIGHT(CELL("adresse",OFFSET('DM01-AV-CH'!$G$6,H610-1,0)),LEN(CELL("adresse",OFFSET('DM01-AV-CH'!$G$6,H610-1,0)))-FIND("]",CELL("adresse",OFFSET('DM01-AV-CH'!$G$6,H610-1,0)))),"Modell"))</f>
        <v/>
      </c>
      <c r="AG610" s="72" t="str" cm="1">
        <f t="array" ref="AG610">IF($H610=0,"",IF(INDEX('DM01-AV-CH'!G$6:G$834,$H610)="","",INDEX('DM01-AV-CH'!G$6:G$834,$H610)))</f>
        <v/>
      </c>
      <c r="AH610" s="73" t="str" cm="1">
        <f t="array" ref="AH610">IF($H610=0,"",IF(INDEX('DM01-AV-CH'!H$6:H$834,$H610)="","",INDEX('DM01-AV-CH'!H$6:H$834,$H610)))</f>
        <v/>
      </c>
      <c r="AI610" s="74" t="str" cm="1">
        <f t="array" ref="AI610">IF($H610=0,"",IF(INDEX('DM01-AV-CH'!I$6:I$834,$H610)="","",INDEX('DM01-AV-CH'!I$6:I$834,$H610)))</f>
        <v/>
      </c>
    </row>
    <row r="611" spans="1:35" x14ac:dyDescent="0.25">
      <c r="A611" s="57">
        <v>606</v>
      </c>
      <c r="B611" s="57">
        <f>IF($A611="","",IF(_xlfn.XLOOKUP($A611,Korrelation!$D$4:$D$1197,Korrelation!E$4:E$1197,"-",0)="-",0,MATCH(_xlfn.XLOOKUP($A611,Korrelation!$D$4:$D$1197,Korrelation!E$4:E$1197,"",0),DMAV_Modell!$G$6:$G$677,0)))</f>
        <v>316</v>
      </c>
      <c r="C611" s="57">
        <f>IF($A611="","",IF(_xlfn.XLOOKUP($A611,Korrelation!$D$4:$D$1197,Korrelation!F$4:F$1197,"-",0)="-",0,MATCH(_xlfn.XLOOKUP($A611,Korrelation!$D$4:$D$1197,Korrelation!F$4:F$1197,"",0),DMAV_Modell!$G$6:$G$677,0)))</f>
        <v>0</v>
      </c>
      <c r="D611" s="57">
        <f>IF($A611="","",IF(_xlfn.XLOOKUP($A611,Korrelation!$D$4:$D$1197,Korrelation!G$4:G$1197,"-",0)="-",0,MATCH(_xlfn.XLOOKUP($A611,Korrelation!$D$4:$D$1197,Korrelation!G$4:G$1197,"",0),DMAV_Modell!$G$6:$G$677,0)))</f>
        <v>0</v>
      </c>
      <c r="E611" s="57">
        <f>IF($A611="","",IF(_xlfn.XLOOKUP($A611,Korrelation!$D$4:$D$1197,Korrelation!H$4:H$1197,"-",0)="-",0,MATCH(_xlfn.XLOOKUP($A611,Korrelation!$D$4:$D$1197,Korrelation!H$4:H$1197,"",0),DMAV_Dienste!$F$6:$F$140,0)))</f>
        <v>0</v>
      </c>
      <c r="F611" s="57">
        <f>IF($A611="","",IF(_xlfn.XLOOKUP($A611,Korrelation!$D$4:$D$1197,Korrelation!I$4:I$1197,"-",0)="-",0,MATCH(_xlfn.XLOOKUP($A611,Korrelation!$D$4:$D$1197,Korrelation!I$4:I$1197,"",0),DMAV_Dienste!$F$6:$F$140,0)))</f>
        <v>0</v>
      </c>
      <c r="G611" s="57">
        <f>IF($A611="","",IF(_xlfn.XLOOKUP($A611,Korrelation!$D$4:$D$1197,Korrelation!J$4:J$1197,"-",0)="-",0,MATCH(_xlfn.XLOOKUP($A611,Korrelation!$D$4:$D$1197,Korrelation!J$4:J$1197,"",0),DMAV_Dienste!$F$6:$F$140,0)))</f>
        <v>0</v>
      </c>
      <c r="H611" s="57">
        <f>IF($A611="","",IF(_xlfn.XLOOKUP($A611,Korrelation!$D$4:$D$1197,Korrelation!K$4:K$1197,"-",0)="-",0,MATCH(_xlfn.XLOOKUP($A611,Korrelation!$D$4:$D$1197,Korrelation!K$4:K$1197,"",0),'DM01-AV-CH'!$A$6:$A$834,0)))</f>
        <v>0</v>
      </c>
      <c r="J611" s="54" t="str" cm="1">
        <f t="array" aca="1" ref="J611" ca="1">IF(B611=0,IF(E611=0,"",HYPERLINK("#"&amp;RIGHT(CELL("adresse",OFFSET(DMAV_Dienste!$M$6,E611-1,0)),LEN(CELL("adresse",OFFSET(DMAV_Dienste!$M$6,E611-1,0)))-FIND("]",CELL("adresse",OFFSET(DMAV_Dienste!$M$6,E611-1,0)))),"Dienst")),HYPERLINK("#"&amp;RIGHT(CELL("adresse",OFFSET(DMAV_Modell!$N$6,B611-1,0)),LEN(CELL("adresse",OFFSET(DMAV_Modell!$N$6,B611-1,0)))-FIND("]",CELL("adresse",OFFSET(DMAV_Modell!$N$6,B611-1,0)))),"Modell"))</f>
        <v>Modell</v>
      </c>
      <c r="K611" s="61" t="str" cm="1">
        <f t="array" ref="K611">IF($B611=0,IF($E611=0,"",IF(INDEX(DMAV_Dienste!P$6:P$140,$E611)="","",INDEX(DMAV_Dienste!P$6:P$140,$E611))),IF(INDEX(DMAV_Modell!Q$6:Q$838,$B611)="","",INDEX(DMAV_Modell!Q$6:Q$838,$B611)))</f>
        <v>CLASS</v>
      </c>
      <c r="L611" s="62" t="str" cm="1">
        <f t="array" ref="L611">IF($B611=0,IF($E611=0,"",IF(INDEX(DMAV_Dienste!O$6:O$140,$E611)="","",INDEX(DMAV_Dienste!O$6:O$140,$E611))),IF(INDEX(DMAV_Modell!P$6:P$838,$B611)="","",INDEX(DMAV_Modell!P$6:P$838,$B611)))</f>
        <v>Dienstbarkeitsgrenzen</v>
      </c>
      <c r="M611" s="62" t="str" cm="1">
        <f t="array" ref="M611">IF($B611=0,IF($E611=0,"",IF(INDEX(DMAV_Dienste!Q$6:Q$140,$E611)="","",INDEX(DMAV_Dienste!Q$6:Q$140,$E611))),IF(INDEX(DMAV_Modell!R$6:R$838,$B611)="","",INDEX(DMAV_Modell!R$6:R$838,$B611)))</f>
        <v>DiBNachfuehrung</v>
      </c>
      <c r="N611" s="62" t="str" cm="1">
        <f t="array" ref="N611">IF($B611=0,IF($E611=0,"",IF(INDEX(DMAV_Dienste!T$6:T$140,$E611)="","",INDEX(DMAV_Dienste!T$6:T$140,$E611))),IF(INDEX(DMAV_Modell!U$6:U$838,$B611)="","",INDEX(DMAV_Modell!U$6:U$838,$B611)))</f>
        <v>Perimeter</v>
      </c>
      <c r="O611" s="63" t="str" cm="1">
        <f t="array" aca="1" ref="O611" ca="1">IF(C611=0,IF(F611=0,"",HYPERLINK("#"&amp;RIGHT(CELL("adresse",OFFSET(DMAV_Dienste!$M$6,F611-1,0)),LEN(CELL("adresse",OFFSET(DMAV_Dienste!$M$6,F611-1,0)))-FIND("]",CELL("adresse",OFFSET(DMAV_Dienste!$M$6,F611-1,0)))),"Structure")),HYPERLINK("#"&amp;RIGHT(CELL("adresse",OFFSET(DMAV_Modell!$N$6,C611-1,0)),LEN(CELL("adresse",OFFSET(DMAV_Modell!$N$6,C611-1,0)))-FIND("]",CELL("adresse",OFFSET(DMAV_Modell!$N$6,C611-1,0)))),"Structure"))</f>
        <v/>
      </c>
      <c r="P611" s="64" t="str" cm="1">
        <f t="array" aca="1" ref="P611" ca="1">IF(D611=0,IF(G611=0,"",HYPERLINK("#"&amp;RIGHT(CELL("adresse",OFFSET(DMAV_Dienste!$M$6,G611-1,0)),LEN(CELL("adresse",OFFSET(DMAV_Dienste!$M$6,G611-1,0)))-FIND("]",CELL("adresse",OFFSET(DMAV_Dienste!$M$6,G611-1,0)))),"Substructure")),HYPERLINK("#"&amp;RIGHT(CELL("adresse",OFFSET(DMAV_Modell!$N$6,D611-1,0)),LEN(CELL("adresse",OFFSET(DMAV_Modell!$N$6,D611-1,0)))-FIND("]",CELL("adresse",OFFSET(DMAV_Modell!$N$6,D611-1,0)))),"Substructure"))</f>
        <v/>
      </c>
      <c r="R611" s="80"/>
      <c r="T611" s="93"/>
      <c r="U611" s="94"/>
      <c r="V611" s="95"/>
      <c r="W611" s="96"/>
      <c r="Y611" s="85"/>
      <c r="Z611" s="86"/>
      <c r="AA611" s="87"/>
      <c r="AB611" s="88"/>
      <c r="AD611" s="77"/>
      <c r="AF611" s="54" t="str" cm="1">
        <f t="array" aca="1" ref="AF611" ca="1">IF(H611=0,"",HYPERLINK("#"&amp;RIGHT(CELL("adresse",OFFSET('DM01-AV-CH'!$G$6,H611-1,0)),LEN(CELL("adresse",OFFSET('DM01-AV-CH'!$G$6,H611-1,0)))-FIND("]",CELL("adresse",OFFSET('DM01-AV-CH'!$G$6,H611-1,0)))),"Modell"))</f>
        <v/>
      </c>
      <c r="AG611" s="72" t="str" cm="1">
        <f t="array" ref="AG611">IF($H611=0,"",IF(INDEX('DM01-AV-CH'!G$6:G$834,$H611)="","",INDEX('DM01-AV-CH'!G$6:G$834,$H611)))</f>
        <v/>
      </c>
      <c r="AH611" s="73" t="str" cm="1">
        <f t="array" ref="AH611">IF($H611=0,"",IF(INDEX('DM01-AV-CH'!H$6:H$834,$H611)="","",INDEX('DM01-AV-CH'!H$6:H$834,$H611)))</f>
        <v/>
      </c>
      <c r="AI611" s="74" t="str" cm="1">
        <f t="array" ref="AI611">IF($H611=0,"",IF(INDEX('DM01-AV-CH'!I$6:I$834,$H611)="","",INDEX('DM01-AV-CH'!I$6:I$834,$H611)))</f>
        <v/>
      </c>
    </row>
    <row r="612" spans="1:35" x14ac:dyDescent="0.25">
      <c r="A612" s="57">
        <v>607</v>
      </c>
      <c r="B612" s="57">
        <f>IF($A612="","",IF(_xlfn.XLOOKUP($A612,Korrelation!$D$4:$D$1197,Korrelation!E$4:E$1197,"-",0)="-",0,MATCH(_xlfn.XLOOKUP($A612,Korrelation!$D$4:$D$1197,Korrelation!E$4:E$1197,"",0),DMAV_Modell!$G$6:$G$677,0)))</f>
        <v>317</v>
      </c>
      <c r="C612" s="57">
        <f>IF($A612="","",IF(_xlfn.XLOOKUP($A612,Korrelation!$D$4:$D$1197,Korrelation!F$4:F$1197,"-",0)="-",0,MATCH(_xlfn.XLOOKUP($A612,Korrelation!$D$4:$D$1197,Korrelation!F$4:F$1197,"",0),DMAV_Modell!$G$6:$G$677,0)))</f>
        <v>0</v>
      </c>
      <c r="D612" s="57">
        <f>IF($A612="","",IF(_xlfn.XLOOKUP($A612,Korrelation!$D$4:$D$1197,Korrelation!G$4:G$1197,"-",0)="-",0,MATCH(_xlfn.XLOOKUP($A612,Korrelation!$D$4:$D$1197,Korrelation!G$4:G$1197,"",0),DMAV_Modell!$G$6:$G$677,0)))</f>
        <v>0</v>
      </c>
      <c r="E612" s="57">
        <f>IF($A612="","",IF(_xlfn.XLOOKUP($A612,Korrelation!$D$4:$D$1197,Korrelation!H$4:H$1197,"-",0)="-",0,MATCH(_xlfn.XLOOKUP($A612,Korrelation!$D$4:$D$1197,Korrelation!H$4:H$1197,"",0),DMAV_Dienste!$F$6:$F$140,0)))</f>
        <v>0</v>
      </c>
      <c r="F612" s="57">
        <f>IF($A612="","",IF(_xlfn.XLOOKUP($A612,Korrelation!$D$4:$D$1197,Korrelation!I$4:I$1197,"-",0)="-",0,MATCH(_xlfn.XLOOKUP($A612,Korrelation!$D$4:$D$1197,Korrelation!I$4:I$1197,"",0),DMAV_Dienste!$F$6:$F$140,0)))</f>
        <v>0</v>
      </c>
      <c r="G612" s="57">
        <f>IF($A612="","",IF(_xlfn.XLOOKUP($A612,Korrelation!$D$4:$D$1197,Korrelation!J$4:J$1197,"-",0)="-",0,MATCH(_xlfn.XLOOKUP($A612,Korrelation!$D$4:$D$1197,Korrelation!J$4:J$1197,"",0),DMAV_Dienste!$F$6:$F$140,0)))</f>
        <v>0</v>
      </c>
      <c r="H612" s="57">
        <f>IF($A612="","",IF(_xlfn.XLOOKUP($A612,Korrelation!$D$4:$D$1197,Korrelation!K$4:K$1197,"-",0)="-",0,MATCH(_xlfn.XLOOKUP($A612,Korrelation!$D$4:$D$1197,Korrelation!K$4:K$1197,"",0),'DM01-AV-CH'!$A$6:$A$834,0)))</f>
        <v>0</v>
      </c>
      <c r="J612" s="54" t="str" cm="1">
        <f t="array" aca="1" ref="J612" ca="1">IF(B612=0,IF(E612=0,"",HYPERLINK("#"&amp;RIGHT(CELL("adresse",OFFSET(DMAV_Dienste!$M$6,E612-1,0)),LEN(CELL("adresse",OFFSET(DMAV_Dienste!$M$6,E612-1,0)))-FIND("]",CELL("adresse",OFFSET(DMAV_Dienste!$M$6,E612-1,0)))),"Dienst")),HYPERLINK("#"&amp;RIGHT(CELL("adresse",OFFSET(DMAV_Modell!$N$6,B612-1,0)),LEN(CELL("adresse",OFFSET(DMAV_Modell!$N$6,B612-1,0)))-FIND("]",CELL("adresse",OFFSET(DMAV_Modell!$N$6,B612-1,0)))),"Modell"))</f>
        <v>Modell</v>
      </c>
      <c r="K612" s="61" t="str" cm="1">
        <f t="array" ref="K612">IF($B612=0,IF($E612=0,"",IF(INDEX(DMAV_Dienste!P$6:P$140,$E612)="","",INDEX(DMAV_Dienste!P$6:P$140,$E612))),IF(INDEX(DMAV_Modell!Q$6:Q$838,$B612)="","",INDEX(DMAV_Modell!Q$6:Q$838,$B612)))</f>
        <v>CLASS</v>
      </c>
      <c r="L612" s="62" t="str" cm="1">
        <f t="array" ref="L612">IF($B612=0,IF($E612=0,"",IF(INDEX(DMAV_Dienste!O$6:O$140,$E612)="","",INDEX(DMAV_Dienste!O$6:O$140,$E612))),IF(INDEX(DMAV_Modell!P$6:P$838,$B612)="","",INDEX(DMAV_Modell!P$6:P$838,$B612)))</f>
        <v>Dienstbarkeitsgrenzen</v>
      </c>
      <c r="M612" s="62" t="str" cm="1">
        <f t="array" ref="M612">IF($B612=0,IF($E612=0,"",IF(INDEX(DMAV_Dienste!Q$6:Q$140,$E612)="","",INDEX(DMAV_Dienste!Q$6:Q$140,$E612))),IF(INDEX(DMAV_Modell!R$6:R$838,$B612)="","",INDEX(DMAV_Modell!R$6:R$838,$B612)))</f>
        <v>DiBNachfuehrung</v>
      </c>
      <c r="N612" s="62" t="str" cm="1">
        <f t="array" ref="N612">IF($B612=0,IF($E612=0,"",IF(INDEX(DMAV_Dienste!T$6:T$140,$E612)="","",INDEX(DMAV_Dienste!T$6:T$140,$E612))),IF(INDEX(DMAV_Modell!U$6:U$838,$B612)="","",INDEX(DMAV_Modell!U$6:U$838,$B612)))</f>
        <v>GueltigerEintrag</v>
      </c>
      <c r="O612" s="63" t="str" cm="1">
        <f t="array" aca="1" ref="O612" ca="1">IF(C612=0,IF(F612=0,"",HYPERLINK("#"&amp;RIGHT(CELL("adresse",OFFSET(DMAV_Dienste!$M$6,F612-1,0)),LEN(CELL("adresse",OFFSET(DMAV_Dienste!$M$6,F612-1,0)))-FIND("]",CELL("adresse",OFFSET(DMAV_Dienste!$M$6,F612-1,0)))),"Structure")),HYPERLINK("#"&amp;RIGHT(CELL("adresse",OFFSET(DMAV_Modell!$N$6,C612-1,0)),LEN(CELL("adresse",OFFSET(DMAV_Modell!$N$6,C612-1,0)))-FIND("]",CELL("adresse",OFFSET(DMAV_Modell!$N$6,C612-1,0)))),"Structure"))</f>
        <v/>
      </c>
      <c r="P612" s="64" t="str" cm="1">
        <f t="array" aca="1" ref="P612" ca="1">IF(D612=0,IF(G612=0,"",HYPERLINK("#"&amp;RIGHT(CELL("adresse",OFFSET(DMAV_Dienste!$M$6,G612-1,0)),LEN(CELL("adresse",OFFSET(DMAV_Dienste!$M$6,G612-1,0)))-FIND("]",CELL("adresse",OFFSET(DMAV_Dienste!$M$6,G612-1,0)))),"Substructure")),HYPERLINK("#"&amp;RIGHT(CELL("adresse",OFFSET(DMAV_Modell!$N$6,D612-1,0)),LEN(CELL("adresse",OFFSET(DMAV_Modell!$N$6,D612-1,0)))-FIND("]",CELL("adresse",OFFSET(DMAV_Modell!$N$6,D612-1,0)))),"Substructure"))</f>
        <v/>
      </c>
      <c r="R612" s="80"/>
      <c r="T612" s="93"/>
      <c r="U612" s="94"/>
      <c r="V612" s="95"/>
      <c r="W612" s="96"/>
      <c r="Y612" s="85"/>
      <c r="Z612" s="86"/>
      <c r="AA612" s="87"/>
      <c r="AB612" s="88"/>
      <c r="AD612" s="77"/>
      <c r="AF612" s="54" t="str" cm="1">
        <f t="array" aca="1" ref="AF612" ca="1">IF(H612=0,"",HYPERLINK("#"&amp;RIGHT(CELL("adresse",OFFSET('DM01-AV-CH'!$G$6,H612-1,0)),LEN(CELL("adresse",OFFSET('DM01-AV-CH'!$G$6,H612-1,0)))-FIND("]",CELL("adresse",OFFSET('DM01-AV-CH'!$G$6,H612-1,0)))),"Modell"))</f>
        <v/>
      </c>
      <c r="AG612" s="72" t="str" cm="1">
        <f t="array" ref="AG612">IF($H612=0,"",IF(INDEX('DM01-AV-CH'!G$6:G$834,$H612)="","",INDEX('DM01-AV-CH'!G$6:G$834,$H612)))</f>
        <v/>
      </c>
      <c r="AH612" s="73" t="str" cm="1">
        <f t="array" ref="AH612">IF($H612=0,"",IF(INDEX('DM01-AV-CH'!H$6:H$834,$H612)="","",INDEX('DM01-AV-CH'!H$6:H$834,$H612)))</f>
        <v/>
      </c>
      <c r="AI612" s="74" t="str" cm="1">
        <f t="array" ref="AI612">IF($H612=0,"",IF(INDEX('DM01-AV-CH'!I$6:I$834,$H612)="","",INDEX('DM01-AV-CH'!I$6:I$834,$H612)))</f>
        <v/>
      </c>
    </row>
    <row r="613" spans="1:35" x14ac:dyDescent="0.25">
      <c r="A613" s="57">
        <v>608</v>
      </c>
      <c r="B613" s="57">
        <f>IF($A613="","",IF(_xlfn.XLOOKUP($A613,Korrelation!$D$4:$D$1197,Korrelation!E$4:E$1197,"-",0)="-",0,MATCH(_xlfn.XLOOKUP($A613,Korrelation!$D$4:$D$1197,Korrelation!E$4:E$1197,"",0),DMAV_Modell!$G$6:$G$677,0)))</f>
        <v>318</v>
      </c>
      <c r="C613" s="57">
        <f>IF($A613="","",IF(_xlfn.XLOOKUP($A613,Korrelation!$D$4:$D$1197,Korrelation!F$4:F$1197,"-",0)="-",0,MATCH(_xlfn.XLOOKUP($A613,Korrelation!$D$4:$D$1197,Korrelation!F$4:F$1197,"",0),DMAV_Modell!$G$6:$G$677,0)))</f>
        <v>0</v>
      </c>
      <c r="D613" s="57">
        <f>IF($A613="","",IF(_xlfn.XLOOKUP($A613,Korrelation!$D$4:$D$1197,Korrelation!G$4:G$1197,"-",0)="-",0,MATCH(_xlfn.XLOOKUP($A613,Korrelation!$D$4:$D$1197,Korrelation!G$4:G$1197,"",0),DMAV_Modell!$G$6:$G$677,0)))</f>
        <v>0</v>
      </c>
      <c r="E613" s="57">
        <f>IF($A613="","",IF(_xlfn.XLOOKUP($A613,Korrelation!$D$4:$D$1197,Korrelation!H$4:H$1197,"-",0)="-",0,MATCH(_xlfn.XLOOKUP($A613,Korrelation!$D$4:$D$1197,Korrelation!H$4:H$1197,"",0),DMAV_Dienste!$F$6:$F$140,0)))</f>
        <v>0</v>
      </c>
      <c r="F613" s="57">
        <f>IF($A613="","",IF(_xlfn.XLOOKUP($A613,Korrelation!$D$4:$D$1197,Korrelation!I$4:I$1197,"-",0)="-",0,MATCH(_xlfn.XLOOKUP($A613,Korrelation!$D$4:$D$1197,Korrelation!I$4:I$1197,"",0),DMAV_Dienste!$F$6:$F$140,0)))</f>
        <v>0</v>
      </c>
      <c r="G613" s="57">
        <f>IF($A613="","",IF(_xlfn.XLOOKUP($A613,Korrelation!$D$4:$D$1197,Korrelation!J$4:J$1197,"-",0)="-",0,MATCH(_xlfn.XLOOKUP($A613,Korrelation!$D$4:$D$1197,Korrelation!J$4:J$1197,"",0),DMAV_Dienste!$F$6:$F$140,0)))</f>
        <v>0</v>
      </c>
      <c r="H613" s="57">
        <f>IF($A613="","",IF(_xlfn.XLOOKUP($A613,Korrelation!$D$4:$D$1197,Korrelation!K$4:K$1197,"-",0)="-",0,MATCH(_xlfn.XLOOKUP($A613,Korrelation!$D$4:$D$1197,Korrelation!K$4:K$1197,"",0),'DM01-AV-CH'!$A$6:$A$834,0)))</f>
        <v>0</v>
      </c>
      <c r="J613" s="54" t="str" cm="1">
        <f t="array" aca="1" ref="J613" ca="1">IF(B613=0,IF(E613=0,"",HYPERLINK("#"&amp;RIGHT(CELL("adresse",OFFSET(DMAV_Dienste!$M$6,E613-1,0)),LEN(CELL("adresse",OFFSET(DMAV_Dienste!$M$6,E613-1,0)))-FIND("]",CELL("adresse",OFFSET(DMAV_Dienste!$M$6,E613-1,0)))),"Dienst")),HYPERLINK("#"&amp;RIGHT(CELL("adresse",OFFSET(DMAV_Modell!$N$6,B613-1,0)),LEN(CELL("adresse",OFFSET(DMAV_Modell!$N$6,B613-1,0)))-FIND("]",CELL("adresse",OFFSET(DMAV_Modell!$N$6,B613-1,0)))),"Modell"))</f>
        <v>Modell</v>
      </c>
      <c r="K613" s="61" t="str" cm="1">
        <f t="array" ref="K613">IF($B613=0,IF($E613=0,"",IF(INDEX(DMAV_Dienste!P$6:P$140,$E613)="","",INDEX(DMAV_Dienste!P$6:P$140,$E613))),IF(INDEX(DMAV_Modell!Q$6:Q$838,$B613)="","",INDEX(DMAV_Modell!Q$6:Q$838,$B613)))</f>
        <v>CLASS</v>
      </c>
      <c r="L613" s="62" t="str" cm="1">
        <f t="array" ref="L613">IF($B613=0,IF($E613=0,"",IF(INDEX(DMAV_Dienste!O$6:O$140,$E613)="","",INDEX(DMAV_Dienste!O$6:O$140,$E613))),IF(INDEX(DMAV_Modell!P$6:P$838,$B613)="","",INDEX(DMAV_Modell!P$6:P$838,$B613)))</f>
        <v>Dienstbarkeitsgrenzen</v>
      </c>
      <c r="M613" s="62" t="str" cm="1">
        <f t="array" ref="M613">IF($B613=0,IF($E613=0,"",IF(INDEX(DMAV_Dienste!Q$6:Q$140,$E613)="","",INDEX(DMAV_Dienste!Q$6:Q$140,$E613))),IF(INDEX(DMAV_Modell!R$6:R$838,$B613)="","",INDEX(DMAV_Modell!R$6:R$838,$B613)))</f>
        <v>DiBNachfuehrung</v>
      </c>
      <c r="N613" s="62" t="str" cm="1">
        <f t="array" ref="N613">IF($B613=0,IF($E613=0,"",IF(INDEX(DMAV_Dienste!T$6:T$140,$E613)="","",INDEX(DMAV_Dienste!T$6:T$140,$E613))),IF(INDEX(DMAV_Modell!U$6:U$838,$B613)="","",INDEX(DMAV_Modell!U$6:U$838,$B613)))</f>
        <v>Grundbucheintrag</v>
      </c>
      <c r="O613" s="63" t="str" cm="1">
        <f t="array" aca="1" ref="O613" ca="1">IF(C613=0,IF(F613=0,"",HYPERLINK("#"&amp;RIGHT(CELL("adresse",OFFSET(DMAV_Dienste!$M$6,F613-1,0)),LEN(CELL("adresse",OFFSET(DMAV_Dienste!$M$6,F613-1,0)))-FIND("]",CELL("adresse",OFFSET(DMAV_Dienste!$M$6,F613-1,0)))),"Structure")),HYPERLINK("#"&amp;RIGHT(CELL("adresse",OFFSET(DMAV_Modell!$N$6,C613-1,0)),LEN(CELL("adresse",OFFSET(DMAV_Modell!$N$6,C613-1,0)))-FIND("]",CELL("adresse",OFFSET(DMAV_Modell!$N$6,C613-1,0)))),"Structure"))</f>
        <v/>
      </c>
      <c r="P613" s="64" t="str" cm="1">
        <f t="array" aca="1" ref="P613" ca="1">IF(D613=0,IF(G613=0,"",HYPERLINK("#"&amp;RIGHT(CELL("adresse",OFFSET(DMAV_Dienste!$M$6,G613-1,0)),LEN(CELL("adresse",OFFSET(DMAV_Dienste!$M$6,G613-1,0)))-FIND("]",CELL("adresse",OFFSET(DMAV_Dienste!$M$6,G613-1,0)))),"Substructure")),HYPERLINK("#"&amp;RIGHT(CELL("adresse",OFFSET(DMAV_Modell!$N$6,D613-1,0)),LEN(CELL("adresse",OFFSET(DMAV_Modell!$N$6,D613-1,0)))-FIND("]",CELL("adresse",OFFSET(DMAV_Modell!$N$6,D613-1,0)))),"Substructure"))</f>
        <v/>
      </c>
      <c r="R613" s="80"/>
      <c r="T613" s="93"/>
      <c r="U613" s="94"/>
      <c r="V613" s="95"/>
      <c r="W613" s="96"/>
      <c r="Y613" s="85"/>
      <c r="Z613" s="86"/>
      <c r="AA613" s="87"/>
      <c r="AB613" s="88"/>
      <c r="AD613" s="77"/>
      <c r="AF613" s="54" t="str" cm="1">
        <f t="array" aca="1" ref="AF613" ca="1">IF(H613=0,"",HYPERLINK("#"&amp;RIGHT(CELL("adresse",OFFSET('DM01-AV-CH'!$G$6,H613-1,0)),LEN(CELL("adresse",OFFSET('DM01-AV-CH'!$G$6,H613-1,0)))-FIND("]",CELL("adresse",OFFSET('DM01-AV-CH'!$G$6,H613-1,0)))),"Modell"))</f>
        <v/>
      </c>
      <c r="AG613" s="72" t="str" cm="1">
        <f t="array" ref="AG613">IF($H613=0,"",IF(INDEX('DM01-AV-CH'!G$6:G$834,$H613)="","",INDEX('DM01-AV-CH'!G$6:G$834,$H613)))</f>
        <v/>
      </c>
      <c r="AH613" s="73" t="str" cm="1">
        <f t="array" ref="AH613">IF($H613=0,"",IF(INDEX('DM01-AV-CH'!H$6:H$834,$H613)="","",INDEX('DM01-AV-CH'!H$6:H$834,$H613)))</f>
        <v/>
      </c>
      <c r="AI613" s="74" t="str" cm="1">
        <f t="array" ref="AI613">IF($H613=0,"",IF(INDEX('DM01-AV-CH'!I$6:I$834,$H613)="","",INDEX('DM01-AV-CH'!I$6:I$834,$H613)))</f>
        <v/>
      </c>
    </row>
    <row r="614" spans="1:35" x14ac:dyDescent="0.25">
      <c r="A614" s="57">
        <v>609</v>
      </c>
      <c r="B614" s="57">
        <f>IF($A614="","",IF(_xlfn.XLOOKUP($A614,Korrelation!$D$4:$D$1197,Korrelation!E$4:E$1197,"-",0)="-",0,MATCH(_xlfn.XLOOKUP($A614,Korrelation!$D$4:$D$1197,Korrelation!E$4:E$1197,"",0),DMAV_Modell!$G$6:$G$677,0)))</f>
        <v>319</v>
      </c>
      <c r="C614" s="57">
        <f>IF($A614="","",IF(_xlfn.XLOOKUP($A614,Korrelation!$D$4:$D$1197,Korrelation!F$4:F$1197,"-",0)="-",0,MATCH(_xlfn.XLOOKUP($A614,Korrelation!$D$4:$D$1197,Korrelation!F$4:F$1197,"",0),DMAV_Modell!$G$6:$G$677,0)))</f>
        <v>0</v>
      </c>
      <c r="D614" s="57">
        <f>IF($A614="","",IF(_xlfn.XLOOKUP($A614,Korrelation!$D$4:$D$1197,Korrelation!G$4:G$1197,"-",0)="-",0,MATCH(_xlfn.XLOOKUP($A614,Korrelation!$D$4:$D$1197,Korrelation!G$4:G$1197,"",0),DMAV_Modell!$G$6:$G$677,0)))</f>
        <v>0</v>
      </c>
      <c r="E614" s="57">
        <f>IF($A614="","",IF(_xlfn.XLOOKUP($A614,Korrelation!$D$4:$D$1197,Korrelation!H$4:H$1197,"-",0)="-",0,MATCH(_xlfn.XLOOKUP($A614,Korrelation!$D$4:$D$1197,Korrelation!H$4:H$1197,"",0),DMAV_Dienste!$F$6:$F$140,0)))</f>
        <v>0</v>
      </c>
      <c r="F614" s="57">
        <f>IF($A614="","",IF(_xlfn.XLOOKUP($A614,Korrelation!$D$4:$D$1197,Korrelation!I$4:I$1197,"-",0)="-",0,MATCH(_xlfn.XLOOKUP($A614,Korrelation!$D$4:$D$1197,Korrelation!I$4:I$1197,"",0),DMAV_Dienste!$F$6:$F$140,0)))</f>
        <v>0</v>
      </c>
      <c r="G614" s="57">
        <f>IF($A614="","",IF(_xlfn.XLOOKUP($A614,Korrelation!$D$4:$D$1197,Korrelation!J$4:J$1197,"-",0)="-",0,MATCH(_xlfn.XLOOKUP($A614,Korrelation!$D$4:$D$1197,Korrelation!J$4:J$1197,"",0),DMAV_Dienste!$F$6:$F$140,0)))</f>
        <v>0</v>
      </c>
      <c r="H614" s="57">
        <f>IF($A614="","",IF(_xlfn.XLOOKUP($A614,Korrelation!$D$4:$D$1197,Korrelation!K$4:K$1197,"-",0)="-",0,MATCH(_xlfn.XLOOKUP($A614,Korrelation!$D$4:$D$1197,Korrelation!K$4:K$1197,"",0),'DM01-AV-CH'!$A$6:$A$834,0)))</f>
        <v>0</v>
      </c>
      <c r="J614" s="54" t="str" cm="1">
        <f t="array" aca="1" ref="J614" ca="1">IF(B614=0,IF(E614=0,"",HYPERLINK("#"&amp;RIGHT(CELL("adresse",OFFSET(DMAV_Dienste!$M$6,E614-1,0)),LEN(CELL("adresse",OFFSET(DMAV_Dienste!$M$6,E614-1,0)))-FIND("]",CELL("adresse",OFFSET(DMAV_Dienste!$M$6,E614-1,0)))),"Dienst")),HYPERLINK("#"&amp;RIGHT(CELL("adresse",OFFSET(DMAV_Modell!$N$6,B614-1,0)),LEN(CELL("adresse",OFFSET(DMAV_Modell!$N$6,B614-1,0)))-FIND("]",CELL("adresse",OFFSET(DMAV_Modell!$N$6,B614-1,0)))),"Modell"))</f>
        <v>Modell</v>
      </c>
      <c r="K614" s="61" t="str" cm="1">
        <f t="array" ref="K614">IF($B614=0,IF($E614=0,"",IF(INDEX(DMAV_Dienste!P$6:P$140,$E614)="","",INDEX(DMAV_Dienste!P$6:P$140,$E614))),IF(INDEX(DMAV_Modell!Q$6:Q$838,$B614)="","",INDEX(DMAV_Modell!Q$6:Q$838,$B614)))</f>
        <v>STRUCTURE</v>
      </c>
      <c r="L614" s="62" t="str" cm="1">
        <f t="array" ref="L614">IF($B614=0,IF($E614=0,"",IF(INDEX(DMAV_Dienste!O$6:O$140,$E614)="","",INDEX(DMAV_Dienste!O$6:O$140,$E614))),IF(INDEX(DMAV_Modell!P$6:P$838,$B614)="","",INDEX(DMAV_Modell!P$6:P$838,$B614)))</f>
        <v>Dienstbarkeitsgrenzen</v>
      </c>
      <c r="M614" s="62" t="str" cm="1">
        <f t="array" ref="M614">IF($B614=0,IF($E614=0,"",IF(INDEX(DMAV_Dienste!Q$6:Q$140,$E614)="","",INDEX(DMAV_Dienste!Q$6:Q$140,$E614))),IF(INDEX(DMAV_Modell!R$6:R$838,$B614)="","",INDEX(DMAV_Modell!R$6:R$838,$B614)))</f>
        <v>Flaechenelement</v>
      </c>
      <c r="N614" s="62" t="str" cm="1">
        <f t="array" ref="N614">IF($B614=0,IF($E614=0,"",IF(INDEX(DMAV_Dienste!T$6:T$140,$E614)="","",INDEX(DMAV_Dienste!T$6:T$140,$E614))),IF(INDEX(DMAV_Modell!U$6:U$838,$B614)="","",INDEX(DMAV_Modell!U$6:U$838,$B614)))</f>
        <v>Geometrie</v>
      </c>
      <c r="O614" s="63" t="str" cm="1">
        <f t="array" aca="1" ref="O614" ca="1">IF(C614=0,IF(F614=0,"",HYPERLINK("#"&amp;RIGHT(CELL("adresse",OFFSET(DMAV_Dienste!$M$6,F614-1,0)),LEN(CELL("adresse",OFFSET(DMAV_Dienste!$M$6,F614-1,0)))-FIND("]",CELL("adresse",OFFSET(DMAV_Dienste!$M$6,F614-1,0)))),"Structure")),HYPERLINK("#"&amp;RIGHT(CELL("adresse",OFFSET(DMAV_Modell!$N$6,C614-1,0)),LEN(CELL("adresse",OFFSET(DMAV_Modell!$N$6,C614-1,0)))-FIND("]",CELL("adresse",OFFSET(DMAV_Modell!$N$6,C614-1,0)))),"Structure"))</f>
        <v/>
      </c>
      <c r="P614" s="64" t="str" cm="1">
        <f t="array" aca="1" ref="P614" ca="1">IF(D614=0,IF(G614=0,"",HYPERLINK("#"&amp;RIGHT(CELL("adresse",OFFSET(DMAV_Dienste!$M$6,G614-1,0)),LEN(CELL("adresse",OFFSET(DMAV_Dienste!$M$6,G614-1,0)))-FIND("]",CELL("adresse",OFFSET(DMAV_Dienste!$M$6,G614-1,0)))),"Substructure")),HYPERLINK("#"&amp;RIGHT(CELL("adresse",OFFSET(DMAV_Modell!$N$6,D614-1,0)),LEN(CELL("adresse",OFFSET(DMAV_Modell!$N$6,D614-1,0)))-FIND("]",CELL("adresse",OFFSET(DMAV_Modell!$N$6,D614-1,0)))),"Substructure"))</f>
        <v/>
      </c>
      <c r="R614" s="80"/>
      <c r="T614" s="93"/>
      <c r="U614" s="94"/>
      <c r="V614" s="95"/>
      <c r="W614" s="96"/>
      <c r="Y614" s="85"/>
      <c r="Z614" s="86"/>
      <c r="AA614" s="87"/>
      <c r="AB614" s="88"/>
      <c r="AD614" s="77"/>
      <c r="AF614" s="54" t="str" cm="1">
        <f t="array" aca="1" ref="AF614" ca="1">IF(H614=0,"",HYPERLINK("#"&amp;RIGHT(CELL("adresse",OFFSET('DM01-AV-CH'!$G$6,H614-1,0)),LEN(CELL("adresse",OFFSET('DM01-AV-CH'!$G$6,H614-1,0)))-FIND("]",CELL("adresse",OFFSET('DM01-AV-CH'!$G$6,H614-1,0)))),"Modell"))</f>
        <v/>
      </c>
      <c r="AG614" s="72" t="str" cm="1">
        <f t="array" ref="AG614">IF($H614=0,"",IF(INDEX('DM01-AV-CH'!G$6:G$834,$H614)="","",INDEX('DM01-AV-CH'!G$6:G$834,$H614)))</f>
        <v/>
      </c>
      <c r="AH614" s="73" t="str" cm="1">
        <f t="array" ref="AH614">IF($H614=0,"",IF(INDEX('DM01-AV-CH'!H$6:H$834,$H614)="","",INDEX('DM01-AV-CH'!H$6:H$834,$H614)))</f>
        <v/>
      </c>
      <c r="AI614" s="74" t="str" cm="1">
        <f t="array" ref="AI614">IF($H614=0,"",IF(INDEX('DM01-AV-CH'!I$6:I$834,$H614)="","",INDEX('DM01-AV-CH'!I$6:I$834,$H614)))</f>
        <v/>
      </c>
    </row>
    <row r="615" spans="1:35" x14ac:dyDescent="0.25">
      <c r="A615" s="57">
        <v>610</v>
      </c>
      <c r="B615" s="57">
        <f>IF($A615="","",IF(_xlfn.XLOOKUP($A615,Korrelation!$D$4:$D$1197,Korrelation!E$4:E$1197,"-",0)="-",0,MATCH(_xlfn.XLOOKUP($A615,Korrelation!$D$4:$D$1197,Korrelation!E$4:E$1197,"",0),DMAV_Modell!$G$6:$G$677,0)))</f>
        <v>320</v>
      </c>
      <c r="C615" s="57">
        <f>IF($A615="","",IF(_xlfn.XLOOKUP($A615,Korrelation!$D$4:$D$1197,Korrelation!F$4:F$1197,"-",0)="-",0,MATCH(_xlfn.XLOOKUP($A615,Korrelation!$D$4:$D$1197,Korrelation!F$4:F$1197,"",0),DMAV_Modell!$G$6:$G$677,0)))</f>
        <v>0</v>
      </c>
      <c r="D615" s="57">
        <f>IF($A615="","",IF(_xlfn.XLOOKUP($A615,Korrelation!$D$4:$D$1197,Korrelation!G$4:G$1197,"-",0)="-",0,MATCH(_xlfn.XLOOKUP($A615,Korrelation!$D$4:$D$1197,Korrelation!G$4:G$1197,"",0),DMAV_Modell!$G$6:$G$677,0)))</f>
        <v>0</v>
      </c>
      <c r="E615" s="57">
        <f>IF($A615="","",IF(_xlfn.XLOOKUP($A615,Korrelation!$D$4:$D$1197,Korrelation!H$4:H$1197,"-",0)="-",0,MATCH(_xlfn.XLOOKUP($A615,Korrelation!$D$4:$D$1197,Korrelation!H$4:H$1197,"",0),DMAV_Dienste!$F$6:$F$140,0)))</f>
        <v>0</v>
      </c>
      <c r="F615" s="57">
        <f>IF($A615="","",IF(_xlfn.XLOOKUP($A615,Korrelation!$D$4:$D$1197,Korrelation!I$4:I$1197,"-",0)="-",0,MATCH(_xlfn.XLOOKUP($A615,Korrelation!$D$4:$D$1197,Korrelation!I$4:I$1197,"",0),DMAV_Dienste!$F$6:$F$140,0)))</f>
        <v>0</v>
      </c>
      <c r="G615" s="57">
        <f>IF($A615="","",IF(_xlfn.XLOOKUP($A615,Korrelation!$D$4:$D$1197,Korrelation!J$4:J$1197,"-",0)="-",0,MATCH(_xlfn.XLOOKUP($A615,Korrelation!$D$4:$D$1197,Korrelation!J$4:J$1197,"",0),DMAV_Dienste!$F$6:$F$140,0)))</f>
        <v>0</v>
      </c>
      <c r="H615" s="57">
        <f>IF($A615="","",IF(_xlfn.XLOOKUP($A615,Korrelation!$D$4:$D$1197,Korrelation!K$4:K$1197,"-",0)="-",0,MATCH(_xlfn.XLOOKUP($A615,Korrelation!$D$4:$D$1197,Korrelation!K$4:K$1197,"",0),'DM01-AV-CH'!$A$6:$A$834,0)))</f>
        <v>0</v>
      </c>
      <c r="J615" s="54" t="str" cm="1">
        <f t="array" aca="1" ref="J615" ca="1">IF(B615=0,IF(E615=0,"",HYPERLINK("#"&amp;RIGHT(CELL("adresse",OFFSET(DMAV_Dienste!$M$6,E615-1,0)),LEN(CELL("adresse",OFFSET(DMAV_Dienste!$M$6,E615-1,0)))-FIND("]",CELL("adresse",OFFSET(DMAV_Dienste!$M$6,E615-1,0)))),"Dienst")),HYPERLINK("#"&amp;RIGHT(CELL("adresse",OFFSET(DMAV_Modell!$N$6,B615-1,0)),LEN(CELL("adresse",OFFSET(DMAV_Modell!$N$6,B615-1,0)))-FIND("]",CELL("adresse",OFFSET(DMAV_Modell!$N$6,B615-1,0)))),"Modell"))</f>
        <v>Modell</v>
      </c>
      <c r="K615" s="61" t="str" cm="1">
        <f t="array" ref="K615">IF($B615=0,IF($E615=0,"",IF(INDEX(DMAV_Dienste!P$6:P$140,$E615)="","",INDEX(DMAV_Dienste!P$6:P$140,$E615))),IF(INDEX(DMAV_Modell!Q$6:Q$838,$B615)="","",INDEX(DMAV_Modell!Q$6:Q$838,$B615)))</f>
        <v>STRUCTURE</v>
      </c>
      <c r="L615" s="62" t="str" cm="1">
        <f t="array" ref="L615">IF($B615=0,IF($E615=0,"",IF(INDEX(DMAV_Dienste!O$6:O$140,$E615)="","",INDEX(DMAV_Dienste!O$6:O$140,$E615))),IF(INDEX(DMAV_Modell!P$6:P$838,$B615)="","",INDEX(DMAV_Modell!P$6:P$838,$B615)))</f>
        <v>Dienstbarkeitsgrenzen</v>
      </c>
      <c r="M615" s="62" t="str" cm="1">
        <f t="array" ref="M615">IF($B615=0,IF($E615=0,"",IF(INDEX(DMAV_Dienste!Q$6:Q$140,$E615)="","",INDEX(DMAV_Dienste!Q$6:Q$140,$E615))),IF(INDEX(DMAV_Modell!R$6:R$838,$B615)="","",INDEX(DMAV_Modell!R$6:R$838,$B615)))</f>
        <v>Linienelement</v>
      </c>
      <c r="N615" s="62" t="str" cm="1">
        <f t="array" ref="N615">IF($B615=0,IF($E615=0,"",IF(INDEX(DMAV_Dienste!T$6:T$140,$E615)="","",INDEX(DMAV_Dienste!T$6:T$140,$E615))),IF(INDEX(DMAV_Modell!U$6:U$838,$B615)="","",INDEX(DMAV_Modell!U$6:U$838,$B615)))</f>
        <v>Geometrie</v>
      </c>
      <c r="O615" s="63" t="str" cm="1">
        <f t="array" aca="1" ref="O615" ca="1">IF(C615=0,IF(F615=0,"",HYPERLINK("#"&amp;RIGHT(CELL("adresse",OFFSET(DMAV_Dienste!$M$6,F615-1,0)),LEN(CELL("adresse",OFFSET(DMAV_Dienste!$M$6,F615-1,0)))-FIND("]",CELL("adresse",OFFSET(DMAV_Dienste!$M$6,F615-1,0)))),"Structure")),HYPERLINK("#"&amp;RIGHT(CELL("adresse",OFFSET(DMAV_Modell!$N$6,C615-1,0)),LEN(CELL("adresse",OFFSET(DMAV_Modell!$N$6,C615-1,0)))-FIND("]",CELL("adresse",OFFSET(DMAV_Modell!$N$6,C615-1,0)))),"Structure"))</f>
        <v/>
      </c>
      <c r="P615" s="64" t="str" cm="1">
        <f t="array" aca="1" ref="P615" ca="1">IF(D615=0,IF(G615=0,"",HYPERLINK("#"&amp;RIGHT(CELL("adresse",OFFSET(DMAV_Dienste!$M$6,G615-1,0)),LEN(CELL("adresse",OFFSET(DMAV_Dienste!$M$6,G615-1,0)))-FIND("]",CELL("adresse",OFFSET(DMAV_Dienste!$M$6,G615-1,0)))),"Substructure")),HYPERLINK("#"&amp;RIGHT(CELL("adresse",OFFSET(DMAV_Modell!$N$6,D615-1,0)),LEN(CELL("adresse",OFFSET(DMAV_Modell!$N$6,D615-1,0)))-FIND("]",CELL("adresse",OFFSET(DMAV_Modell!$N$6,D615-1,0)))),"Substructure"))</f>
        <v/>
      </c>
      <c r="R615" s="80"/>
      <c r="T615" s="93"/>
      <c r="U615" s="94"/>
      <c r="V615" s="95"/>
      <c r="W615" s="96"/>
      <c r="Y615" s="85"/>
      <c r="Z615" s="86"/>
      <c r="AA615" s="87"/>
      <c r="AB615" s="88"/>
      <c r="AD615" s="77"/>
      <c r="AF615" s="54" t="str" cm="1">
        <f t="array" aca="1" ref="AF615" ca="1">IF(H615=0,"",HYPERLINK("#"&amp;RIGHT(CELL("adresse",OFFSET('DM01-AV-CH'!$G$6,H615-1,0)),LEN(CELL("adresse",OFFSET('DM01-AV-CH'!$G$6,H615-1,0)))-FIND("]",CELL("adresse",OFFSET('DM01-AV-CH'!$G$6,H615-1,0)))),"Modell"))</f>
        <v/>
      </c>
      <c r="AG615" s="72" t="str" cm="1">
        <f t="array" ref="AG615">IF($H615=0,"",IF(INDEX('DM01-AV-CH'!G$6:G$834,$H615)="","",INDEX('DM01-AV-CH'!G$6:G$834,$H615)))</f>
        <v/>
      </c>
      <c r="AH615" s="73" t="str" cm="1">
        <f t="array" ref="AH615">IF($H615=0,"",IF(INDEX('DM01-AV-CH'!H$6:H$834,$H615)="","",INDEX('DM01-AV-CH'!H$6:H$834,$H615)))</f>
        <v/>
      </c>
      <c r="AI615" s="74" t="str" cm="1">
        <f t="array" ref="AI615">IF($H615=0,"",IF(INDEX('DM01-AV-CH'!I$6:I$834,$H615)="","",INDEX('DM01-AV-CH'!I$6:I$834,$H615)))</f>
        <v/>
      </c>
    </row>
    <row r="616" spans="1:35" x14ac:dyDescent="0.25">
      <c r="A616" s="57">
        <v>611</v>
      </c>
      <c r="B616" s="57">
        <f>IF($A616="","",IF(_xlfn.XLOOKUP($A616,Korrelation!$D$4:$D$1197,Korrelation!E$4:E$1197,"-",0)="-",0,MATCH(_xlfn.XLOOKUP($A616,Korrelation!$D$4:$D$1197,Korrelation!E$4:E$1197,"",0),DMAV_Modell!$G$6:$G$677,0)))</f>
        <v>321</v>
      </c>
      <c r="C616" s="57">
        <f>IF($A616="","",IF(_xlfn.XLOOKUP($A616,Korrelation!$D$4:$D$1197,Korrelation!F$4:F$1197,"-",0)="-",0,MATCH(_xlfn.XLOOKUP($A616,Korrelation!$D$4:$D$1197,Korrelation!F$4:F$1197,"",0),DMAV_Modell!$G$6:$G$677,0)))</f>
        <v>0</v>
      </c>
      <c r="D616" s="57">
        <f>IF($A616="","",IF(_xlfn.XLOOKUP($A616,Korrelation!$D$4:$D$1197,Korrelation!G$4:G$1197,"-",0)="-",0,MATCH(_xlfn.XLOOKUP($A616,Korrelation!$D$4:$D$1197,Korrelation!G$4:G$1197,"",0),DMAV_Modell!$G$6:$G$677,0)))</f>
        <v>0</v>
      </c>
      <c r="E616" s="57">
        <f>IF($A616="","",IF(_xlfn.XLOOKUP($A616,Korrelation!$D$4:$D$1197,Korrelation!H$4:H$1197,"-",0)="-",0,MATCH(_xlfn.XLOOKUP($A616,Korrelation!$D$4:$D$1197,Korrelation!H$4:H$1197,"",0),DMAV_Dienste!$F$6:$F$140,0)))</f>
        <v>0</v>
      </c>
      <c r="F616" s="57">
        <f>IF($A616="","",IF(_xlfn.XLOOKUP($A616,Korrelation!$D$4:$D$1197,Korrelation!I$4:I$1197,"-",0)="-",0,MATCH(_xlfn.XLOOKUP($A616,Korrelation!$D$4:$D$1197,Korrelation!I$4:I$1197,"",0),DMAV_Dienste!$F$6:$F$140,0)))</f>
        <v>0</v>
      </c>
      <c r="G616" s="57">
        <f>IF($A616="","",IF(_xlfn.XLOOKUP($A616,Korrelation!$D$4:$D$1197,Korrelation!J$4:J$1197,"-",0)="-",0,MATCH(_xlfn.XLOOKUP($A616,Korrelation!$D$4:$D$1197,Korrelation!J$4:J$1197,"",0),DMAV_Dienste!$F$6:$F$140,0)))</f>
        <v>0</v>
      </c>
      <c r="H616" s="57">
        <f>IF($A616="","",IF(_xlfn.XLOOKUP($A616,Korrelation!$D$4:$D$1197,Korrelation!K$4:K$1197,"-",0)="-",0,MATCH(_xlfn.XLOOKUP($A616,Korrelation!$D$4:$D$1197,Korrelation!K$4:K$1197,"",0),'DM01-AV-CH'!$A$6:$A$834,0)))</f>
        <v>0</v>
      </c>
      <c r="J616" s="54" t="str" cm="1">
        <f t="array" aca="1" ref="J616" ca="1">IF(B616=0,IF(E616=0,"",HYPERLINK("#"&amp;RIGHT(CELL("adresse",OFFSET(DMAV_Dienste!$M$6,E616-1,0)),LEN(CELL("adresse",OFFSET(DMAV_Dienste!$M$6,E616-1,0)))-FIND("]",CELL("adresse",OFFSET(DMAV_Dienste!$M$6,E616-1,0)))),"Dienst")),HYPERLINK("#"&amp;RIGHT(CELL("adresse",OFFSET(DMAV_Modell!$N$6,B616-1,0)),LEN(CELL("adresse",OFFSET(DMAV_Modell!$N$6,B616-1,0)))-FIND("]",CELL("adresse",OFFSET(DMAV_Modell!$N$6,B616-1,0)))),"Modell"))</f>
        <v>Modell</v>
      </c>
      <c r="K616" s="61" t="str" cm="1">
        <f t="array" ref="K616">IF($B616=0,IF($E616=0,"",IF(INDEX(DMAV_Dienste!P$6:P$140,$E616)="","",INDEX(DMAV_Dienste!P$6:P$140,$E616))),IF(INDEX(DMAV_Modell!Q$6:Q$838,$B616)="","",INDEX(DMAV_Modell!Q$6:Q$838,$B616)))</f>
        <v>STRUCTURE</v>
      </c>
      <c r="L616" s="62" t="str" cm="1">
        <f t="array" ref="L616">IF($B616=0,IF($E616=0,"",IF(INDEX(DMAV_Dienste!O$6:O$140,$E616)="","",INDEX(DMAV_Dienste!O$6:O$140,$E616))),IF(INDEX(DMAV_Modell!P$6:P$838,$B616)="","",INDEX(DMAV_Modell!P$6:P$838,$B616)))</f>
        <v>Dienstbarkeitsgrenzen</v>
      </c>
      <c r="M616" s="62" t="str" cm="1">
        <f t="array" ref="M616">IF($B616=0,IF($E616=0,"",IF(INDEX(DMAV_Dienste!Q$6:Q$140,$E616)="","",INDEX(DMAV_Dienste!Q$6:Q$140,$E616))),IF(INDEX(DMAV_Modell!R$6:R$838,$B616)="","",INDEX(DMAV_Modell!R$6:R$838,$B616)))</f>
        <v>Punktelement</v>
      </c>
      <c r="N616" s="62" t="str" cm="1">
        <f t="array" ref="N616">IF($B616=0,IF($E616=0,"",IF(INDEX(DMAV_Dienste!T$6:T$140,$E616)="","",INDEX(DMAV_Dienste!T$6:T$140,$E616))),IF(INDEX(DMAV_Modell!U$6:U$838,$B616)="","",INDEX(DMAV_Modell!U$6:U$838,$B616)))</f>
        <v>Geometrie</v>
      </c>
      <c r="O616" s="63" t="str" cm="1">
        <f t="array" aca="1" ref="O616" ca="1">IF(C616=0,IF(F616=0,"",HYPERLINK("#"&amp;RIGHT(CELL("adresse",OFFSET(DMAV_Dienste!$M$6,F616-1,0)),LEN(CELL("adresse",OFFSET(DMAV_Dienste!$M$6,F616-1,0)))-FIND("]",CELL("adresse",OFFSET(DMAV_Dienste!$M$6,F616-1,0)))),"Structure")),HYPERLINK("#"&amp;RIGHT(CELL("adresse",OFFSET(DMAV_Modell!$N$6,C616-1,0)),LEN(CELL("adresse",OFFSET(DMAV_Modell!$N$6,C616-1,0)))-FIND("]",CELL("adresse",OFFSET(DMAV_Modell!$N$6,C616-1,0)))),"Structure"))</f>
        <v/>
      </c>
      <c r="P616" s="64" t="str" cm="1">
        <f t="array" aca="1" ref="P616" ca="1">IF(D616=0,IF(G616=0,"",HYPERLINK("#"&amp;RIGHT(CELL("adresse",OFFSET(DMAV_Dienste!$M$6,G616-1,0)),LEN(CELL("adresse",OFFSET(DMAV_Dienste!$M$6,G616-1,0)))-FIND("]",CELL("adresse",OFFSET(DMAV_Dienste!$M$6,G616-1,0)))),"Substructure")),HYPERLINK("#"&amp;RIGHT(CELL("adresse",OFFSET(DMAV_Modell!$N$6,D616-1,0)),LEN(CELL("adresse",OFFSET(DMAV_Modell!$N$6,D616-1,0)))-FIND("]",CELL("adresse",OFFSET(DMAV_Modell!$N$6,D616-1,0)))),"Substructure"))</f>
        <v/>
      </c>
      <c r="R616" s="80"/>
      <c r="T616" s="93"/>
      <c r="U616" s="94"/>
      <c r="V616" s="95"/>
      <c r="W616" s="96"/>
      <c r="Y616" s="85"/>
      <c r="Z616" s="86"/>
      <c r="AA616" s="87"/>
      <c r="AB616" s="88"/>
      <c r="AD616" s="77"/>
      <c r="AF616" s="54" t="str" cm="1">
        <f t="array" aca="1" ref="AF616" ca="1">IF(H616=0,"",HYPERLINK("#"&amp;RIGHT(CELL("adresse",OFFSET('DM01-AV-CH'!$G$6,H616-1,0)),LEN(CELL("adresse",OFFSET('DM01-AV-CH'!$G$6,H616-1,0)))-FIND("]",CELL("adresse",OFFSET('DM01-AV-CH'!$G$6,H616-1,0)))),"Modell"))</f>
        <v/>
      </c>
      <c r="AG616" s="72" t="str" cm="1">
        <f t="array" ref="AG616">IF($H616=0,"",IF(INDEX('DM01-AV-CH'!G$6:G$834,$H616)="","",INDEX('DM01-AV-CH'!G$6:G$834,$H616)))</f>
        <v/>
      </c>
      <c r="AH616" s="73" t="str" cm="1">
        <f t="array" ref="AH616">IF($H616=0,"",IF(INDEX('DM01-AV-CH'!H$6:H$834,$H616)="","",INDEX('DM01-AV-CH'!H$6:H$834,$H616)))</f>
        <v/>
      </c>
      <c r="AI616" s="74" t="str" cm="1">
        <f t="array" ref="AI616">IF($H616=0,"",IF(INDEX('DM01-AV-CH'!I$6:I$834,$H616)="","",INDEX('DM01-AV-CH'!I$6:I$834,$H616)))</f>
        <v/>
      </c>
    </row>
    <row r="617" spans="1:35" x14ac:dyDescent="0.25">
      <c r="A617" s="57">
        <v>612</v>
      </c>
      <c r="B617" s="57">
        <f>IF($A617="","",IF(_xlfn.XLOOKUP($A617,Korrelation!$D$4:$D$1197,Korrelation!E$4:E$1197,"-",0)="-",0,MATCH(_xlfn.XLOOKUP($A617,Korrelation!$D$4:$D$1197,Korrelation!E$4:E$1197,"",0),DMAV_Modell!$G$6:$G$677,0)))</f>
        <v>322</v>
      </c>
      <c r="C617" s="57">
        <f>IF($A617="","",IF(_xlfn.XLOOKUP($A617,Korrelation!$D$4:$D$1197,Korrelation!F$4:F$1197,"-",0)="-",0,MATCH(_xlfn.XLOOKUP($A617,Korrelation!$D$4:$D$1197,Korrelation!F$4:F$1197,"",0),DMAV_Modell!$G$6:$G$677,0)))</f>
        <v>0</v>
      </c>
      <c r="D617" s="57">
        <f>IF($A617="","",IF(_xlfn.XLOOKUP($A617,Korrelation!$D$4:$D$1197,Korrelation!G$4:G$1197,"-",0)="-",0,MATCH(_xlfn.XLOOKUP($A617,Korrelation!$D$4:$D$1197,Korrelation!G$4:G$1197,"",0),DMAV_Modell!$G$6:$G$677,0)))</f>
        <v>0</v>
      </c>
      <c r="E617" s="57">
        <f>IF($A617="","",IF(_xlfn.XLOOKUP($A617,Korrelation!$D$4:$D$1197,Korrelation!H$4:H$1197,"-",0)="-",0,MATCH(_xlfn.XLOOKUP($A617,Korrelation!$D$4:$D$1197,Korrelation!H$4:H$1197,"",0),DMAV_Dienste!$F$6:$F$140,0)))</f>
        <v>0</v>
      </c>
      <c r="F617" s="57">
        <f>IF($A617="","",IF(_xlfn.XLOOKUP($A617,Korrelation!$D$4:$D$1197,Korrelation!I$4:I$1197,"-",0)="-",0,MATCH(_xlfn.XLOOKUP($A617,Korrelation!$D$4:$D$1197,Korrelation!I$4:I$1197,"",0),DMAV_Dienste!$F$6:$F$140,0)))</f>
        <v>0</v>
      </c>
      <c r="G617" s="57">
        <f>IF($A617="","",IF(_xlfn.XLOOKUP($A617,Korrelation!$D$4:$D$1197,Korrelation!J$4:J$1197,"-",0)="-",0,MATCH(_xlfn.XLOOKUP($A617,Korrelation!$D$4:$D$1197,Korrelation!J$4:J$1197,"",0),DMAV_Dienste!$F$6:$F$140,0)))</f>
        <v>0</v>
      </c>
      <c r="H617" s="57">
        <f>IF($A617="","",IF(_xlfn.XLOOKUP($A617,Korrelation!$D$4:$D$1197,Korrelation!K$4:K$1197,"-",0)="-",0,MATCH(_xlfn.XLOOKUP($A617,Korrelation!$D$4:$D$1197,Korrelation!K$4:K$1197,"",0),'DM01-AV-CH'!$A$6:$A$834,0)))</f>
        <v>0</v>
      </c>
      <c r="J617" s="54" t="str" cm="1">
        <f t="array" aca="1" ref="J617" ca="1">IF(B617=0,IF(E617=0,"",HYPERLINK("#"&amp;RIGHT(CELL("adresse",OFFSET(DMAV_Dienste!$M$6,E617-1,0)),LEN(CELL("adresse",OFFSET(DMAV_Dienste!$M$6,E617-1,0)))-FIND("]",CELL("adresse",OFFSET(DMAV_Dienste!$M$6,E617-1,0)))),"Dienst")),HYPERLINK("#"&amp;RIGHT(CELL("adresse",OFFSET(DMAV_Modell!$N$6,B617-1,0)),LEN(CELL("adresse",OFFSET(DMAV_Modell!$N$6,B617-1,0)))-FIND("]",CELL("adresse",OFFSET(DMAV_Modell!$N$6,B617-1,0)))),"Modell"))</f>
        <v>Modell</v>
      </c>
      <c r="K617" s="61" t="str" cm="1">
        <f t="array" ref="K617">IF($B617=0,IF($E617=0,"",IF(INDEX(DMAV_Dienste!P$6:P$140,$E617)="","",INDEX(DMAV_Dienste!P$6:P$140,$E617))),IF(INDEX(DMAV_Modell!Q$6:Q$838,$B617)="","",INDEX(DMAV_Modell!Q$6:Q$838,$B617)))</f>
        <v>STRUCTURE</v>
      </c>
      <c r="L617" s="62" t="str" cm="1">
        <f t="array" ref="L617">IF($B617=0,IF($E617=0,"",IF(INDEX(DMAV_Dienste!O$6:O$140,$E617)="","",INDEX(DMAV_Dienste!O$6:O$140,$E617))),IF(INDEX(DMAV_Modell!P$6:P$838,$B617)="","",INDEX(DMAV_Modell!P$6:P$838,$B617)))</f>
        <v>Dienstbarkeitsgrenzen</v>
      </c>
      <c r="M617" s="62" t="str" cm="1">
        <f t="array" ref="M617">IF($B617=0,IF($E617=0,"",IF(INDEX(DMAV_Dienste!Q$6:Q$140,$E617)="","",INDEX(DMAV_Dienste!Q$6:Q$140,$E617))),IF(INDEX(DMAV_Modell!R$6:R$838,$B617)="","",INDEX(DMAV_Modell!R$6:R$838,$B617)))</f>
        <v>Punktelement</v>
      </c>
      <c r="N617" s="62" t="str" cm="1">
        <f t="array" ref="N617">IF($B617=0,IF($E617=0,"",IF(INDEX(DMAV_Dienste!T$6:T$140,$E617)="","",INDEX(DMAV_Dienste!T$6:T$140,$E617))),IF(INDEX(DMAV_Modell!U$6:U$838,$B617)="","",INDEX(DMAV_Modell!U$6:U$838,$B617)))</f>
        <v>SymbolOri</v>
      </c>
      <c r="O617" s="63" t="str" cm="1">
        <f t="array" aca="1" ref="O617" ca="1">IF(C617=0,IF(F617=0,"",HYPERLINK("#"&amp;RIGHT(CELL("adresse",OFFSET(DMAV_Dienste!$M$6,F617-1,0)),LEN(CELL("adresse",OFFSET(DMAV_Dienste!$M$6,F617-1,0)))-FIND("]",CELL("adresse",OFFSET(DMAV_Dienste!$M$6,F617-1,0)))),"Structure")),HYPERLINK("#"&amp;RIGHT(CELL("adresse",OFFSET(DMAV_Modell!$N$6,C617-1,0)),LEN(CELL("adresse",OFFSET(DMAV_Modell!$N$6,C617-1,0)))-FIND("]",CELL("adresse",OFFSET(DMAV_Modell!$N$6,C617-1,0)))),"Structure"))</f>
        <v/>
      </c>
      <c r="P617" s="64" t="str" cm="1">
        <f t="array" aca="1" ref="P617" ca="1">IF(D617=0,IF(G617=0,"",HYPERLINK("#"&amp;RIGHT(CELL("adresse",OFFSET(DMAV_Dienste!$M$6,G617-1,0)),LEN(CELL("adresse",OFFSET(DMAV_Dienste!$M$6,G617-1,0)))-FIND("]",CELL("adresse",OFFSET(DMAV_Dienste!$M$6,G617-1,0)))),"Substructure")),HYPERLINK("#"&amp;RIGHT(CELL("adresse",OFFSET(DMAV_Modell!$N$6,D617-1,0)),LEN(CELL("adresse",OFFSET(DMAV_Modell!$N$6,D617-1,0)))-FIND("]",CELL("adresse",OFFSET(DMAV_Modell!$N$6,D617-1,0)))),"Substructure"))</f>
        <v/>
      </c>
      <c r="R617" s="80"/>
      <c r="T617" s="93"/>
      <c r="U617" s="94"/>
      <c r="V617" s="95"/>
      <c r="W617" s="96"/>
      <c r="Y617" s="85"/>
      <c r="Z617" s="86"/>
      <c r="AA617" s="87"/>
      <c r="AB617" s="88"/>
      <c r="AD617" s="77"/>
      <c r="AF617" s="54" t="str" cm="1">
        <f t="array" aca="1" ref="AF617" ca="1">IF(H617=0,"",HYPERLINK("#"&amp;RIGHT(CELL("adresse",OFFSET('DM01-AV-CH'!$G$6,H617-1,0)),LEN(CELL("adresse",OFFSET('DM01-AV-CH'!$G$6,H617-1,0)))-FIND("]",CELL("adresse",OFFSET('DM01-AV-CH'!$G$6,H617-1,0)))),"Modell"))</f>
        <v/>
      </c>
      <c r="AG617" s="72" t="str" cm="1">
        <f t="array" ref="AG617">IF($H617=0,"",IF(INDEX('DM01-AV-CH'!G$6:G$834,$H617)="","",INDEX('DM01-AV-CH'!G$6:G$834,$H617)))</f>
        <v/>
      </c>
      <c r="AH617" s="73" t="str" cm="1">
        <f t="array" ref="AH617">IF($H617=0,"",IF(INDEX('DM01-AV-CH'!H$6:H$834,$H617)="","",INDEX('DM01-AV-CH'!H$6:H$834,$H617)))</f>
        <v/>
      </c>
      <c r="AI617" s="74" t="str" cm="1">
        <f t="array" ref="AI617">IF($H617=0,"",IF(INDEX('DM01-AV-CH'!I$6:I$834,$H617)="","",INDEX('DM01-AV-CH'!I$6:I$834,$H617)))</f>
        <v/>
      </c>
    </row>
    <row r="618" spans="1:35" x14ac:dyDescent="0.25">
      <c r="A618" s="57">
        <v>613</v>
      </c>
      <c r="B618" s="57">
        <f>IF($A618="","",IF(_xlfn.XLOOKUP($A618,Korrelation!$D$4:$D$1197,Korrelation!E$4:E$1197,"-",0)="-",0,MATCH(_xlfn.XLOOKUP($A618,Korrelation!$D$4:$D$1197,Korrelation!E$4:E$1197,"",0),DMAV_Modell!$G$6:$G$677,0)))</f>
        <v>323</v>
      </c>
      <c r="C618" s="57">
        <f>IF($A618="","",IF(_xlfn.XLOOKUP($A618,Korrelation!$D$4:$D$1197,Korrelation!F$4:F$1197,"-",0)="-",0,MATCH(_xlfn.XLOOKUP($A618,Korrelation!$D$4:$D$1197,Korrelation!F$4:F$1197,"",0),DMAV_Modell!$G$6:$G$677,0)))</f>
        <v>0</v>
      </c>
      <c r="D618" s="57">
        <f>IF($A618="","",IF(_xlfn.XLOOKUP($A618,Korrelation!$D$4:$D$1197,Korrelation!G$4:G$1197,"-",0)="-",0,MATCH(_xlfn.XLOOKUP($A618,Korrelation!$D$4:$D$1197,Korrelation!G$4:G$1197,"",0),DMAV_Modell!$G$6:$G$677,0)))</f>
        <v>0</v>
      </c>
      <c r="E618" s="57">
        <f>IF($A618="","",IF(_xlfn.XLOOKUP($A618,Korrelation!$D$4:$D$1197,Korrelation!H$4:H$1197,"-",0)="-",0,MATCH(_xlfn.XLOOKUP($A618,Korrelation!$D$4:$D$1197,Korrelation!H$4:H$1197,"",0),DMAV_Dienste!$F$6:$F$140,0)))</f>
        <v>0</v>
      </c>
      <c r="F618" s="57">
        <f>IF($A618="","",IF(_xlfn.XLOOKUP($A618,Korrelation!$D$4:$D$1197,Korrelation!I$4:I$1197,"-",0)="-",0,MATCH(_xlfn.XLOOKUP($A618,Korrelation!$D$4:$D$1197,Korrelation!I$4:I$1197,"",0),DMAV_Dienste!$F$6:$F$140,0)))</f>
        <v>0</v>
      </c>
      <c r="G618" s="57">
        <f>IF($A618="","",IF(_xlfn.XLOOKUP($A618,Korrelation!$D$4:$D$1197,Korrelation!J$4:J$1197,"-",0)="-",0,MATCH(_xlfn.XLOOKUP($A618,Korrelation!$D$4:$D$1197,Korrelation!J$4:J$1197,"",0),DMAV_Dienste!$F$6:$F$140,0)))</f>
        <v>0</v>
      </c>
      <c r="H618" s="57">
        <f>IF($A618="","",IF(_xlfn.XLOOKUP($A618,Korrelation!$D$4:$D$1197,Korrelation!K$4:K$1197,"-",0)="-",0,MATCH(_xlfn.XLOOKUP($A618,Korrelation!$D$4:$D$1197,Korrelation!K$4:K$1197,"",0),'DM01-AV-CH'!$A$6:$A$834,0)))</f>
        <v>0</v>
      </c>
      <c r="J618" s="54" t="str" cm="1">
        <f t="array" aca="1" ref="J618" ca="1">IF(B618=0,IF(E618=0,"",HYPERLINK("#"&amp;RIGHT(CELL("adresse",OFFSET(DMAV_Dienste!$M$6,E618-1,0)),LEN(CELL("adresse",OFFSET(DMAV_Dienste!$M$6,E618-1,0)))-FIND("]",CELL("adresse",OFFSET(DMAV_Dienste!$M$6,E618-1,0)))),"Dienst")),HYPERLINK("#"&amp;RIGHT(CELL("adresse",OFFSET(DMAV_Modell!$N$6,B618-1,0)),LEN(CELL("adresse",OFFSET(DMAV_Modell!$N$6,B618-1,0)))-FIND("]",CELL("adresse",OFFSET(DMAV_Modell!$N$6,B618-1,0)))),"Modell"))</f>
        <v>Modell</v>
      </c>
      <c r="K618" s="61" t="str" cm="1">
        <f t="array" ref="K618">IF($B618=0,IF($E618=0,"",IF(INDEX(DMAV_Dienste!P$6:P$140,$E618)="","",INDEX(DMAV_Dienste!P$6:P$140,$E618))),IF(INDEX(DMAV_Modell!Q$6:Q$838,$B618)="","",INDEX(DMAV_Modell!Q$6:Q$838,$B618)))</f>
        <v>CLASS</v>
      </c>
      <c r="L618" s="62" t="str" cm="1">
        <f t="array" ref="L618">IF($B618=0,IF($E618=0,"",IF(INDEX(DMAV_Dienste!O$6:O$140,$E618)="","",INDEX(DMAV_Dienste!O$6:O$140,$E618))),IF(INDEX(DMAV_Modell!P$6:P$838,$B618)="","",INDEX(DMAV_Modell!P$6:P$838,$B618)))</f>
        <v>Dienstbarkeitsgrenzen</v>
      </c>
      <c r="M618" s="62" t="str" cm="1">
        <f t="array" ref="M618">IF($B618=0,IF($E618=0,"",IF(INDEX(DMAV_Dienste!Q$6:Q$140,$E618)="","",INDEX(DMAV_Dienste!Q$6:Q$140,$E618))),IF(INDEX(DMAV_Modell!R$6:R$838,$B618)="","",INDEX(DMAV_Modell!R$6:R$838,$B618)))</f>
        <v>Dienstbarkeitsgrenze</v>
      </c>
      <c r="N618" s="62" t="str" cm="1">
        <f t="array" ref="N618">IF($B618=0,IF($E618=0,"",IF(INDEX(DMAV_Dienste!T$6:T$140,$E618)="","",INDEX(DMAV_Dienste!T$6:T$140,$E618))),IF(INDEX(DMAV_Modell!U$6:U$838,$B618)="","",INDEX(DMAV_Modell!U$6:U$838,$B618)))</f>
        <v>EREID</v>
      </c>
      <c r="O618" s="63" t="str" cm="1">
        <f t="array" aca="1" ref="O618" ca="1">IF(C618=0,IF(F618=0,"",HYPERLINK("#"&amp;RIGHT(CELL("adresse",OFFSET(DMAV_Dienste!$M$6,F618-1,0)),LEN(CELL("adresse",OFFSET(DMAV_Dienste!$M$6,F618-1,0)))-FIND("]",CELL("adresse",OFFSET(DMAV_Dienste!$M$6,F618-1,0)))),"Structure")),HYPERLINK("#"&amp;RIGHT(CELL("adresse",OFFSET(DMAV_Modell!$N$6,C618-1,0)),LEN(CELL("adresse",OFFSET(DMAV_Modell!$N$6,C618-1,0)))-FIND("]",CELL("adresse",OFFSET(DMAV_Modell!$N$6,C618-1,0)))),"Structure"))</f>
        <v/>
      </c>
      <c r="P618" s="64" t="str" cm="1">
        <f t="array" aca="1" ref="P618" ca="1">IF(D618=0,IF(G618=0,"",HYPERLINK("#"&amp;RIGHT(CELL("adresse",OFFSET(DMAV_Dienste!$M$6,G618-1,0)),LEN(CELL("adresse",OFFSET(DMAV_Dienste!$M$6,G618-1,0)))-FIND("]",CELL("adresse",OFFSET(DMAV_Dienste!$M$6,G618-1,0)))),"Substructure")),HYPERLINK("#"&amp;RIGHT(CELL("adresse",OFFSET(DMAV_Modell!$N$6,D618-1,0)),LEN(CELL("adresse",OFFSET(DMAV_Modell!$N$6,D618-1,0)))-FIND("]",CELL("adresse",OFFSET(DMAV_Modell!$N$6,D618-1,0)))),"Substructure"))</f>
        <v/>
      </c>
      <c r="R618" s="80"/>
      <c r="T618" s="93"/>
      <c r="U618" s="94"/>
      <c r="V618" s="95"/>
      <c r="W618" s="96"/>
      <c r="Y618" s="85"/>
      <c r="Z618" s="86"/>
      <c r="AA618" s="87"/>
      <c r="AB618" s="88"/>
      <c r="AD618" s="77"/>
      <c r="AF618" s="54" t="str" cm="1">
        <f t="array" aca="1" ref="AF618" ca="1">IF(H618=0,"",HYPERLINK("#"&amp;RIGHT(CELL("adresse",OFFSET('DM01-AV-CH'!$G$6,H618-1,0)),LEN(CELL("adresse",OFFSET('DM01-AV-CH'!$G$6,H618-1,0)))-FIND("]",CELL("adresse",OFFSET('DM01-AV-CH'!$G$6,H618-1,0)))),"Modell"))</f>
        <v/>
      </c>
      <c r="AG618" s="72" t="str" cm="1">
        <f t="array" ref="AG618">IF($H618=0,"",IF(INDEX('DM01-AV-CH'!G$6:G$834,$H618)="","",INDEX('DM01-AV-CH'!G$6:G$834,$H618)))</f>
        <v/>
      </c>
      <c r="AH618" s="73" t="str" cm="1">
        <f t="array" ref="AH618">IF($H618=0,"",IF(INDEX('DM01-AV-CH'!H$6:H$834,$H618)="","",INDEX('DM01-AV-CH'!H$6:H$834,$H618)))</f>
        <v/>
      </c>
      <c r="AI618" s="74" t="str" cm="1">
        <f t="array" ref="AI618">IF($H618=0,"",IF(INDEX('DM01-AV-CH'!I$6:I$834,$H618)="","",INDEX('DM01-AV-CH'!I$6:I$834,$H618)))</f>
        <v/>
      </c>
    </row>
    <row r="619" spans="1:35" x14ac:dyDescent="0.25">
      <c r="A619" s="57">
        <v>614</v>
      </c>
      <c r="B619" s="57">
        <f>IF($A619="","",IF(_xlfn.XLOOKUP($A619,Korrelation!$D$4:$D$1197,Korrelation!E$4:E$1197,"-",0)="-",0,MATCH(_xlfn.XLOOKUP($A619,Korrelation!$D$4:$D$1197,Korrelation!E$4:E$1197,"",0),DMAV_Modell!$G$6:$G$677,0)))</f>
        <v>324</v>
      </c>
      <c r="C619" s="57">
        <f>IF($A619="","",IF(_xlfn.XLOOKUP($A619,Korrelation!$D$4:$D$1197,Korrelation!F$4:F$1197,"-",0)="-",0,MATCH(_xlfn.XLOOKUP($A619,Korrelation!$D$4:$D$1197,Korrelation!F$4:F$1197,"",0),DMAV_Modell!$G$6:$G$677,0)))</f>
        <v>0</v>
      </c>
      <c r="D619" s="57">
        <f>IF($A619="","",IF(_xlfn.XLOOKUP($A619,Korrelation!$D$4:$D$1197,Korrelation!G$4:G$1197,"-",0)="-",0,MATCH(_xlfn.XLOOKUP($A619,Korrelation!$D$4:$D$1197,Korrelation!G$4:G$1197,"",0),DMAV_Modell!$G$6:$G$677,0)))</f>
        <v>0</v>
      </c>
      <c r="E619" s="57">
        <f>IF($A619="","",IF(_xlfn.XLOOKUP($A619,Korrelation!$D$4:$D$1197,Korrelation!H$4:H$1197,"-",0)="-",0,MATCH(_xlfn.XLOOKUP($A619,Korrelation!$D$4:$D$1197,Korrelation!H$4:H$1197,"",0),DMAV_Dienste!$F$6:$F$140,0)))</f>
        <v>0</v>
      </c>
      <c r="F619" s="57">
        <f>IF($A619="","",IF(_xlfn.XLOOKUP($A619,Korrelation!$D$4:$D$1197,Korrelation!I$4:I$1197,"-",0)="-",0,MATCH(_xlfn.XLOOKUP($A619,Korrelation!$D$4:$D$1197,Korrelation!I$4:I$1197,"",0),DMAV_Dienste!$F$6:$F$140,0)))</f>
        <v>0</v>
      </c>
      <c r="G619" s="57">
        <f>IF($A619="","",IF(_xlfn.XLOOKUP($A619,Korrelation!$D$4:$D$1197,Korrelation!J$4:J$1197,"-",0)="-",0,MATCH(_xlfn.XLOOKUP($A619,Korrelation!$D$4:$D$1197,Korrelation!J$4:J$1197,"",0),DMAV_Dienste!$F$6:$F$140,0)))</f>
        <v>0</v>
      </c>
      <c r="H619" s="57">
        <f>IF($A619="","",IF(_xlfn.XLOOKUP($A619,Korrelation!$D$4:$D$1197,Korrelation!K$4:K$1197,"-",0)="-",0,MATCH(_xlfn.XLOOKUP($A619,Korrelation!$D$4:$D$1197,Korrelation!K$4:K$1197,"",0),'DM01-AV-CH'!$A$6:$A$834,0)))</f>
        <v>0</v>
      </c>
      <c r="J619" s="54" t="str" cm="1">
        <f t="array" aca="1" ref="J619" ca="1">IF(B619=0,IF(E619=0,"",HYPERLINK("#"&amp;RIGHT(CELL("adresse",OFFSET(DMAV_Dienste!$M$6,E619-1,0)),LEN(CELL("adresse",OFFSET(DMAV_Dienste!$M$6,E619-1,0)))-FIND("]",CELL("adresse",OFFSET(DMAV_Dienste!$M$6,E619-1,0)))),"Dienst")),HYPERLINK("#"&amp;RIGHT(CELL("adresse",OFFSET(DMAV_Modell!$N$6,B619-1,0)),LEN(CELL("adresse",OFFSET(DMAV_Modell!$N$6,B619-1,0)))-FIND("]",CELL("adresse",OFFSET(DMAV_Modell!$N$6,B619-1,0)))),"Modell"))</f>
        <v>Modell</v>
      </c>
      <c r="K619" s="61" t="str" cm="1">
        <f t="array" ref="K619">IF($B619=0,IF($E619=0,"",IF(INDEX(DMAV_Dienste!P$6:P$140,$E619)="","",INDEX(DMAV_Dienste!P$6:P$140,$E619))),IF(INDEX(DMAV_Modell!Q$6:Q$838,$B619)="","",INDEX(DMAV_Modell!Q$6:Q$838,$B619)))</f>
        <v>CLASS</v>
      </c>
      <c r="L619" s="62" t="str" cm="1">
        <f t="array" ref="L619">IF($B619=0,IF($E619=0,"",IF(INDEX(DMAV_Dienste!O$6:O$140,$E619)="","",INDEX(DMAV_Dienste!O$6:O$140,$E619))),IF(INDEX(DMAV_Modell!P$6:P$838,$B619)="","",INDEX(DMAV_Modell!P$6:P$838,$B619)))</f>
        <v>Dienstbarkeitsgrenzen</v>
      </c>
      <c r="M619" s="62" t="str" cm="1">
        <f t="array" ref="M619">IF($B619=0,IF($E619=0,"",IF(INDEX(DMAV_Dienste!Q$6:Q$140,$E619)="","",INDEX(DMAV_Dienste!Q$6:Q$140,$E619))),IF(INDEX(DMAV_Modell!R$6:R$838,$B619)="","",INDEX(DMAV_Modell!R$6:R$838,$B619)))</f>
        <v>Dienstbarkeitsgrenze</v>
      </c>
      <c r="N619" s="62" t="str" cm="1">
        <f t="array" ref="N619">IF($B619=0,IF($E619=0,"",IF(INDEX(DMAV_Dienste!T$6:T$140,$E619)="","",INDEX(DMAV_Dienste!T$6:T$140,$E619))),IF(INDEX(DMAV_Modell!U$6:U$838,$B619)="","",INDEX(DMAV_Modell!U$6:U$838,$B619)))</f>
        <v>NBIdent</v>
      </c>
      <c r="O619" s="63" t="str" cm="1">
        <f t="array" aca="1" ref="O619" ca="1">IF(C619=0,IF(F619=0,"",HYPERLINK("#"&amp;RIGHT(CELL("adresse",OFFSET(DMAV_Dienste!$M$6,F619-1,0)),LEN(CELL("adresse",OFFSET(DMAV_Dienste!$M$6,F619-1,0)))-FIND("]",CELL("adresse",OFFSET(DMAV_Dienste!$M$6,F619-1,0)))),"Structure")),HYPERLINK("#"&amp;RIGHT(CELL("adresse",OFFSET(DMAV_Modell!$N$6,C619-1,0)),LEN(CELL("adresse",OFFSET(DMAV_Modell!$N$6,C619-1,0)))-FIND("]",CELL("adresse",OFFSET(DMAV_Modell!$N$6,C619-1,0)))),"Structure"))</f>
        <v/>
      </c>
      <c r="P619" s="64" t="str" cm="1">
        <f t="array" aca="1" ref="P619" ca="1">IF(D619=0,IF(G619=0,"",HYPERLINK("#"&amp;RIGHT(CELL("adresse",OFFSET(DMAV_Dienste!$M$6,G619-1,0)),LEN(CELL("adresse",OFFSET(DMAV_Dienste!$M$6,G619-1,0)))-FIND("]",CELL("adresse",OFFSET(DMAV_Dienste!$M$6,G619-1,0)))),"Substructure")),HYPERLINK("#"&amp;RIGHT(CELL("adresse",OFFSET(DMAV_Modell!$N$6,D619-1,0)),LEN(CELL("adresse",OFFSET(DMAV_Modell!$N$6,D619-1,0)))-FIND("]",CELL("adresse",OFFSET(DMAV_Modell!$N$6,D619-1,0)))),"Substructure"))</f>
        <v/>
      </c>
      <c r="R619" s="80"/>
      <c r="T619" s="93"/>
      <c r="U619" s="94"/>
      <c r="V619" s="95"/>
      <c r="W619" s="96"/>
      <c r="Y619" s="85"/>
      <c r="Z619" s="86"/>
      <c r="AA619" s="87"/>
      <c r="AB619" s="88"/>
      <c r="AD619" s="77"/>
      <c r="AF619" s="54" t="str" cm="1">
        <f t="array" aca="1" ref="AF619" ca="1">IF(H619=0,"",HYPERLINK("#"&amp;RIGHT(CELL("adresse",OFFSET('DM01-AV-CH'!$G$6,H619-1,0)),LEN(CELL("adresse",OFFSET('DM01-AV-CH'!$G$6,H619-1,0)))-FIND("]",CELL("adresse",OFFSET('DM01-AV-CH'!$G$6,H619-1,0)))),"Modell"))</f>
        <v/>
      </c>
      <c r="AG619" s="72" t="str" cm="1">
        <f t="array" ref="AG619">IF($H619=0,"",IF(INDEX('DM01-AV-CH'!G$6:G$834,$H619)="","",INDEX('DM01-AV-CH'!G$6:G$834,$H619)))</f>
        <v/>
      </c>
      <c r="AH619" s="73" t="str" cm="1">
        <f t="array" ref="AH619">IF($H619=0,"",IF(INDEX('DM01-AV-CH'!H$6:H$834,$H619)="","",INDEX('DM01-AV-CH'!H$6:H$834,$H619)))</f>
        <v/>
      </c>
      <c r="AI619" s="74" t="str" cm="1">
        <f t="array" ref="AI619">IF($H619=0,"",IF(INDEX('DM01-AV-CH'!I$6:I$834,$H619)="","",INDEX('DM01-AV-CH'!I$6:I$834,$H619)))</f>
        <v/>
      </c>
    </row>
    <row r="620" spans="1:35" x14ac:dyDescent="0.25">
      <c r="A620" s="57">
        <v>615</v>
      </c>
      <c r="B620" s="57">
        <f>IF($A620="","",IF(_xlfn.XLOOKUP($A620,Korrelation!$D$4:$D$1197,Korrelation!E$4:E$1197,"-",0)="-",0,MATCH(_xlfn.XLOOKUP($A620,Korrelation!$D$4:$D$1197,Korrelation!E$4:E$1197,"",0),DMAV_Modell!$G$6:$G$677,0)))</f>
        <v>325</v>
      </c>
      <c r="C620" s="57">
        <f>IF($A620="","",IF(_xlfn.XLOOKUP($A620,Korrelation!$D$4:$D$1197,Korrelation!F$4:F$1197,"-",0)="-",0,MATCH(_xlfn.XLOOKUP($A620,Korrelation!$D$4:$D$1197,Korrelation!F$4:F$1197,"",0),DMAV_Modell!$G$6:$G$677,0)))</f>
        <v>0</v>
      </c>
      <c r="D620" s="57">
        <f>IF($A620="","",IF(_xlfn.XLOOKUP($A620,Korrelation!$D$4:$D$1197,Korrelation!G$4:G$1197,"-",0)="-",0,MATCH(_xlfn.XLOOKUP($A620,Korrelation!$D$4:$D$1197,Korrelation!G$4:G$1197,"",0),DMAV_Modell!$G$6:$G$677,0)))</f>
        <v>0</v>
      </c>
      <c r="E620" s="57">
        <f>IF($A620="","",IF(_xlfn.XLOOKUP($A620,Korrelation!$D$4:$D$1197,Korrelation!H$4:H$1197,"-",0)="-",0,MATCH(_xlfn.XLOOKUP($A620,Korrelation!$D$4:$D$1197,Korrelation!H$4:H$1197,"",0),DMAV_Dienste!$F$6:$F$140,0)))</f>
        <v>0</v>
      </c>
      <c r="F620" s="57">
        <f>IF($A620="","",IF(_xlfn.XLOOKUP($A620,Korrelation!$D$4:$D$1197,Korrelation!I$4:I$1197,"-",0)="-",0,MATCH(_xlfn.XLOOKUP($A620,Korrelation!$D$4:$D$1197,Korrelation!I$4:I$1197,"",0),DMAV_Dienste!$F$6:$F$140,0)))</f>
        <v>0</v>
      </c>
      <c r="G620" s="57">
        <f>IF($A620="","",IF(_xlfn.XLOOKUP($A620,Korrelation!$D$4:$D$1197,Korrelation!J$4:J$1197,"-",0)="-",0,MATCH(_xlfn.XLOOKUP($A620,Korrelation!$D$4:$D$1197,Korrelation!J$4:J$1197,"",0),DMAV_Dienste!$F$6:$F$140,0)))</f>
        <v>0</v>
      </c>
      <c r="H620" s="57">
        <f>IF($A620="","",IF(_xlfn.XLOOKUP($A620,Korrelation!$D$4:$D$1197,Korrelation!K$4:K$1197,"-",0)="-",0,MATCH(_xlfn.XLOOKUP($A620,Korrelation!$D$4:$D$1197,Korrelation!K$4:K$1197,"",0),'DM01-AV-CH'!$A$6:$A$834,0)))</f>
        <v>0</v>
      </c>
      <c r="J620" s="54" t="str" cm="1">
        <f t="array" aca="1" ref="J620" ca="1">IF(B620=0,IF(E620=0,"",HYPERLINK("#"&amp;RIGHT(CELL("adresse",OFFSET(DMAV_Dienste!$M$6,E620-1,0)),LEN(CELL("adresse",OFFSET(DMAV_Dienste!$M$6,E620-1,0)))-FIND("]",CELL("adresse",OFFSET(DMAV_Dienste!$M$6,E620-1,0)))),"Dienst")),HYPERLINK("#"&amp;RIGHT(CELL("adresse",OFFSET(DMAV_Modell!$N$6,B620-1,0)),LEN(CELL("adresse",OFFSET(DMAV_Modell!$N$6,B620-1,0)))-FIND("]",CELL("adresse",OFFSET(DMAV_Modell!$N$6,B620-1,0)))),"Modell"))</f>
        <v>Modell</v>
      </c>
      <c r="K620" s="61" t="str" cm="1">
        <f t="array" ref="K620">IF($B620=0,IF($E620=0,"",IF(INDEX(DMAV_Dienste!P$6:P$140,$E620)="","",INDEX(DMAV_Dienste!P$6:P$140,$E620))),IF(INDEX(DMAV_Modell!Q$6:Q$838,$B620)="","",INDEX(DMAV_Modell!Q$6:Q$838,$B620)))</f>
        <v>CLASS</v>
      </c>
      <c r="L620" s="62" t="str" cm="1">
        <f t="array" ref="L620">IF($B620=0,IF($E620=0,"",IF(INDEX(DMAV_Dienste!O$6:O$140,$E620)="","",INDEX(DMAV_Dienste!O$6:O$140,$E620))),IF(INDEX(DMAV_Modell!P$6:P$838,$B620)="","",INDEX(DMAV_Modell!P$6:P$838,$B620)))</f>
        <v>Dienstbarkeitsgrenzen</v>
      </c>
      <c r="M620" s="62" t="str" cm="1">
        <f t="array" ref="M620">IF($B620=0,IF($E620=0,"",IF(INDEX(DMAV_Dienste!Q$6:Q$140,$E620)="","",INDEX(DMAV_Dienste!Q$6:Q$140,$E620))),IF(INDEX(DMAV_Modell!R$6:R$838,$B620)="","",INDEX(DMAV_Modell!R$6:R$838,$B620)))</f>
        <v>Dienstbarkeitsgrenze</v>
      </c>
      <c r="N620" s="62" t="str" cm="1">
        <f t="array" ref="N620">IF($B620=0,IF($E620=0,"",IF(INDEX(DMAV_Dienste!T$6:T$140,$E620)="","",INDEX(DMAV_Dienste!T$6:T$140,$E620))),IF(INDEX(DMAV_Modell!U$6:U$838,$B620)="","",INDEX(DMAV_Modell!U$6:U$838,$B620)))</f>
        <v>Dienstbarkeitsnummer</v>
      </c>
      <c r="O620" s="63" t="str" cm="1">
        <f t="array" aca="1" ref="O620" ca="1">IF(C620=0,IF(F620=0,"",HYPERLINK("#"&amp;RIGHT(CELL("adresse",OFFSET(DMAV_Dienste!$M$6,F620-1,0)),LEN(CELL("adresse",OFFSET(DMAV_Dienste!$M$6,F620-1,0)))-FIND("]",CELL("adresse",OFFSET(DMAV_Dienste!$M$6,F620-1,0)))),"Structure")),HYPERLINK("#"&amp;RIGHT(CELL("adresse",OFFSET(DMAV_Modell!$N$6,C620-1,0)),LEN(CELL("adresse",OFFSET(DMAV_Modell!$N$6,C620-1,0)))-FIND("]",CELL("adresse",OFFSET(DMAV_Modell!$N$6,C620-1,0)))),"Structure"))</f>
        <v/>
      </c>
      <c r="P620" s="64" t="str" cm="1">
        <f t="array" aca="1" ref="P620" ca="1">IF(D620=0,IF(G620=0,"",HYPERLINK("#"&amp;RIGHT(CELL("adresse",OFFSET(DMAV_Dienste!$M$6,G620-1,0)),LEN(CELL("adresse",OFFSET(DMAV_Dienste!$M$6,G620-1,0)))-FIND("]",CELL("adresse",OFFSET(DMAV_Dienste!$M$6,G620-1,0)))),"Substructure")),HYPERLINK("#"&amp;RIGHT(CELL("adresse",OFFSET(DMAV_Modell!$N$6,D620-1,0)),LEN(CELL("adresse",OFFSET(DMAV_Modell!$N$6,D620-1,0)))-FIND("]",CELL("adresse",OFFSET(DMAV_Modell!$N$6,D620-1,0)))),"Substructure"))</f>
        <v/>
      </c>
      <c r="R620" s="80"/>
      <c r="T620" s="93"/>
      <c r="U620" s="94"/>
      <c r="V620" s="95"/>
      <c r="W620" s="96"/>
      <c r="Y620" s="85"/>
      <c r="Z620" s="86"/>
      <c r="AA620" s="87"/>
      <c r="AB620" s="88"/>
      <c r="AD620" s="77"/>
      <c r="AF620" s="54" t="str" cm="1">
        <f t="array" aca="1" ref="AF620" ca="1">IF(H620=0,"",HYPERLINK("#"&amp;RIGHT(CELL("adresse",OFFSET('DM01-AV-CH'!$G$6,H620-1,0)),LEN(CELL("adresse",OFFSET('DM01-AV-CH'!$G$6,H620-1,0)))-FIND("]",CELL("adresse",OFFSET('DM01-AV-CH'!$G$6,H620-1,0)))),"Modell"))</f>
        <v/>
      </c>
      <c r="AG620" s="72" t="str" cm="1">
        <f t="array" ref="AG620">IF($H620=0,"",IF(INDEX('DM01-AV-CH'!G$6:G$834,$H620)="","",INDEX('DM01-AV-CH'!G$6:G$834,$H620)))</f>
        <v/>
      </c>
      <c r="AH620" s="73" t="str" cm="1">
        <f t="array" ref="AH620">IF($H620=0,"",IF(INDEX('DM01-AV-CH'!H$6:H$834,$H620)="","",INDEX('DM01-AV-CH'!H$6:H$834,$H620)))</f>
        <v/>
      </c>
      <c r="AI620" s="74" t="str" cm="1">
        <f t="array" ref="AI620">IF($H620=0,"",IF(INDEX('DM01-AV-CH'!I$6:I$834,$H620)="","",INDEX('DM01-AV-CH'!I$6:I$834,$H620)))</f>
        <v/>
      </c>
    </row>
    <row r="621" spans="1:35" x14ac:dyDescent="0.25">
      <c r="A621" s="57">
        <v>616</v>
      </c>
      <c r="B621" s="57">
        <f>IF($A621="","",IF(_xlfn.XLOOKUP($A621,Korrelation!$D$4:$D$1197,Korrelation!E$4:E$1197,"-",0)="-",0,MATCH(_xlfn.XLOOKUP($A621,Korrelation!$D$4:$D$1197,Korrelation!E$4:E$1197,"",0),DMAV_Modell!$G$6:$G$677,0)))</f>
        <v>326</v>
      </c>
      <c r="C621" s="57">
        <f>IF($A621="","",IF(_xlfn.XLOOKUP($A621,Korrelation!$D$4:$D$1197,Korrelation!F$4:F$1197,"-",0)="-",0,MATCH(_xlfn.XLOOKUP($A621,Korrelation!$D$4:$D$1197,Korrelation!F$4:F$1197,"",0),DMAV_Modell!$G$6:$G$677,0)))</f>
        <v>0</v>
      </c>
      <c r="D621" s="57">
        <f>IF($A621="","",IF(_xlfn.XLOOKUP($A621,Korrelation!$D$4:$D$1197,Korrelation!G$4:G$1197,"-",0)="-",0,MATCH(_xlfn.XLOOKUP($A621,Korrelation!$D$4:$D$1197,Korrelation!G$4:G$1197,"",0),DMAV_Modell!$G$6:$G$677,0)))</f>
        <v>0</v>
      </c>
      <c r="E621" s="57">
        <f>IF($A621="","",IF(_xlfn.XLOOKUP($A621,Korrelation!$D$4:$D$1197,Korrelation!H$4:H$1197,"-",0)="-",0,MATCH(_xlfn.XLOOKUP($A621,Korrelation!$D$4:$D$1197,Korrelation!H$4:H$1197,"",0),DMAV_Dienste!$F$6:$F$140,0)))</f>
        <v>0</v>
      </c>
      <c r="F621" s="57">
        <f>IF($A621="","",IF(_xlfn.XLOOKUP($A621,Korrelation!$D$4:$D$1197,Korrelation!I$4:I$1197,"-",0)="-",0,MATCH(_xlfn.XLOOKUP($A621,Korrelation!$D$4:$D$1197,Korrelation!I$4:I$1197,"",0),DMAV_Dienste!$F$6:$F$140,0)))</f>
        <v>0</v>
      </c>
      <c r="G621" s="57">
        <f>IF($A621="","",IF(_xlfn.XLOOKUP($A621,Korrelation!$D$4:$D$1197,Korrelation!J$4:J$1197,"-",0)="-",0,MATCH(_xlfn.XLOOKUP($A621,Korrelation!$D$4:$D$1197,Korrelation!J$4:J$1197,"",0),DMAV_Dienste!$F$6:$F$140,0)))</f>
        <v>0</v>
      </c>
      <c r="H621" s="57">
        <f>IF($A621="","",IF(_xlfn.XLOOKUP($A621,Korrelation!$D$4:$D$1197,Korrelation!K$4:K$1197,"-",0)="-",0,MATCH(_xlfn.XLOOKUP($A621,Korrelation!$D$4:$D$1197,Korrelation!K$4:K$1197,"",0),'DM01-AV-CH'!$A$6:$A$834,0)))</f>
        <v>0</v>
      </c>
      <c r="J621" s="54" t="str" cm="1">
        <f t="array" aca="1" ref="J621" ca="1">IF(B621=0,IF(E621=0,"",HYPERLINK("#"&amp;RIGHT(CELL("adresse",OFFSET(DMAV_Dienste!$M$6,E621-1,0)),LEN(CELL("adresse",OFFSET(DMAV_Dienste!$M$6,E621-1,0)))-FIND("]",CELL("adresse",OFFSET(DMAV_Dienste!$M$6,E621-1,0)))),"Dienst")),HYPERLINK("#"&amp;RIGHT(CELL("adresse",OFFSET(DMAV_Modell!$N$6,B621-1,0)),LEN(CELL("adresse",OFFSET(DMAV_Modell!$N$6,B621-1,0)))-FIND("]",CELL("adresse",OFFSET(DMAV_Modell!$N$6,B621-1,0)))),"Modell"))</f>
        <v>Modell</v>
      </c>
      <c r="K621" s="61" t="str" cm="1">
        <f t="array" ref="K621">IF($B621=0,IF($E621=0,"",IF(INDEX(DMAV_Dienste!P$6:P$140,$E621)="","",INDEX(DMAV_Dienste!P$6:P$140,$E621))),IF(INDEX(DMAV_Modell!Q$6:Q$838,$B621)="","",INDEX(DMAV_Modell!Q$6:Q$838,$B621)))</f>
        <v>CLASS</v>
      </c>
      <c r="L621" s="62" t="str" cm="1">
        <f t="array" ref="L621">IF($B621=0,IF($E621=0,"",IF(INDEX(DMAV_Dienste!O$6:O$140,$E621)="","",INDEX(DMAV_Dienste!O$6:O$140,$E621))),IF(INDEX(DMAV_Modell!P$6:P$838,$B621)="","",INDEX(DMAV_Modell!P$6:P$838,$B621)))</f>
        <v>Dienstbarkeitsgrenzen</v>
      </c>
      <c r="M621" s="62" t="str" cm="1">
        <f t="array" ref="M621">IF($B621=0,IF($E621=0,"",IF(INDEX(DMAV_Dienste!Q$6:Q$140,$E621)="","",INDEX(DMAV_Dienste!Q$6:Q$140,$E621))),IF(INDEX(DMAV_Modell!R$6:R$838,$B621)="","",INDEX(DMAV_Modell!R$6:R$838,$B621)))</f>
        <v>Dienstbarkeitsgrenze</v>
      </c>
      <c r="N621" s="62" t="str" cm="1">
        <f t="array" ref="N621">IF($B621=0,IF($E621=0,"",IF(INDEX(DMAV_Dienste!T$6:T$140,$E621)="","",INDEX(DMAV_Dienste!T$6:T$140,$E621))),IF(INDEX(DMAV_Modell!U$6:U$838,$B621)="","",INDEX(DMAV_Modell!U$6:U$838,$B621)))</f>
        <v>Dienstbarkeitsart</v>
      </c>
      <c r="O621" s="63" t="str" cm="1">
        <f t="array" aca="1" ref="O621" ca="1">IF(C621=0,IF(F621=0,"",HYPERLINK("#"&amp;RIGHT(CELL("adresse",OFFSET(DMAV_Dienste!$M$6,F621-1,0)),LEN(CELL("adresse",OFFSET(DMAV_Dienste!$M$6,F621-1,0)))-FIND("]",CELL("adresse",OFFSET(DMAV_Dienste!$M$6,F621-1,0)))),"Structure")),HYPERLINK("#"&amp;RIGHT(CELL("adresse",OFFSET(DMAV_Modell!$N$6,C621-1,0)),LEN(CELL("adresse",OFFSET(DMAV_Modell!$N$6,C621-1,0)))-FIND("]",CELL("adresse",OFFSET(DMAV_Modell!$N$6,C621-1,0)))),"Structure"))</f>
        <v/>
      </c>
      <c r="P621" s="64" t="str" cm="1">
        <f t="array" aca="1" ref="P621" ca="1">IF(D621=0,IF(G621=0,"",HYPERLINK("#"&amp;RIGHT(CELL("adresse",OFFSET(DMAV_Dienste!$M$6,G621-1,0)),LEN(CELL("adresse",OFFSET(DMAV_Dienste!$M$6,G621-1,0)))-FIND("]",CELL("adresse",OFFSET(DMAV_Dienste!$M$6,G621-1,0)))),"Substructure")),HYPERLINK("#"&amp;RIGHT(CELL("adresse",OFFSET(DMAV_Modell!$N$6,D621-1,0)),LEN(CELL("adresse",OFFSET(DMAV_Modell!$N$6,D621-1,0)))-FIND("]",CELL("adresse",OFFSET(DMAV_Modell!$N$6,D621-1,0)))),"Substructure"))</f>
        <v/>
      </c>
      <c r="R621" s="80"/>
      <c r="T621" s="93"/>
      <c r="U621" s="94"/>
      <c r="V621" s="95"/>
      <c r="W621" s="96"/>
      <c r="Y621" s="85"/>
      <c r="Z621" s="86"/>
      <c r="AA621" s="87"/>
      <c r="AB621" s="88"/>
      <c r="AD621" s="77"/>
      <c r="AF621" s="54" t="str" cm="1">
        <f t="array" aca="1" ref="AF621" ca="1">IF(H621=0,"",HYPERLINK("#"&amp;RIGHT(CELL("adresse",OFFSET('DM01-AV-CH'!$G$6,H621-1,0)),LEN(CELL("adresse",OFFSET('DM01-AV-CH'!$G$6,H621-1,0)))-FIND("]",CELL("adresse",OFFSET('DM01-AV-CH'!$G$6,H621-1,0)))),"Modell"))</f>
        <v/>
      </c>
      <c r="AG621" s="72" t="str" cm="1">
        <f t="array" ref="AG621">IF($H621=0,"",IF(INDEX('DM01-AV-CH'!G$6:G$834,$H621)="","",INDEX('DM01-AV-CH'!G$6:G$834,$H621)))</f>
        <v/>
      </c>
      <c r="AH621" s="73" t="str" cm="1">
        <f t="array" ref="AH621">IF($H621=0,"",IF(INDEX('DM01-AV-CH'!H$6:H$834,$H621)="","",INDEX('DM01-AV-CH'!H$6:H$834,$H621)))</f>
        <v/>
      </c>
      <c r="AI621" s="74" t="str" cm="1">
        <f t="array" ref="AI621">IF($H621=0,"",IF(INDEX('DM01-AV-CH'!I$6:I$834,$H621)="","",INDEX('DM01-AV-CH'!I$6:I$834,$H621)))</f>
        <v/>
      </c>
    </row>
    <row r="622" spans="1:35" x14ac:dyDescent="0.25">
      <c r="A622" s="57">
        <v>617</v>
      </c>
      <c r="B622" s="57">
        <f>IF($A622="","",IF(_xlfn.XLOOKUP($A622,Korrelation!$D$4:$D$1197,Korrelation!E$4:E$1197,"-",0)="-",0,MATCH(_xlfn.XLOOKUP($A622,Korrelation!$D$4:$D$1197,Korrelation!E$4:E$1197,"",0),DMAV_Modell!$G$6:$G$677,0)))</f>
        <v>327</v>
      </c>
      <c r="C622" s="57">
        <f>IF($A622="","",IF(_xlfn.XLOOKUP($A622,Korrelation!$D$4:$D$1197,Korrelation!F$4:F$1197,"-",0)="-",0,MATCH(_xlfn.XLOOKUP($A622,Korrelation!$D$4:$D$1197,Korrelation!F$4:F$1197,"",0),DMAV_Modell!$G$6:$G$677,0)))</f>
        <v>0</v>
      </c>
      <c r="D622" s="57">
        <f>IF($A622="","",IF(_xlfn.XLOOKUP($A622,Korrelation!$D$4:$D$1197,Korrelation!G$4:G$1197,"-",0)="-",0,MATCH(_xlfn.XLOOKUP($A622,Korrelation!$D$4:$D$1197,Korrelation!G$4:G$1197,"",0),DMAV_Modell!$G$6:$G$677,0)))</f>
        <v>0</v>
      </c>
      <c r="E622" s="57">
        <f>IF($A622="","",IF(_xlfn.XLOOKUP($A622,Korrelation!$D$4:$D$1197,Korrelation!H$4:H$1197,"-",0)="-",0,MATCH(_xlfn.XLOOKUP($A622,Korrelation!$D$4:$D$1197,Korrelation!H$4:H$1197,"",0),DMAV_Dienste!$F$6:$F$140,0)))</f>
        <v>0</v>
      </c>
      <c r="F622" s="57">
        <f>IF($A622="","",IF(_xlfn.XLOOKUP($A622,Korrelation!$D$4:$D$1197,Korrelation!I$4:I$1197,"-",0)="-",0,MATCH(_xlfn.XLOOKUP($A622,Korrelation!$D$4:$D$1197,Korrelation!I$4:I$1197,"",0),DMAV_Dienste!$F$6:$F$140,0)))</f>
        <v>0</v>
      </c>
      <c r="G622" s="57">
        <f>IF($A622="","",IF(_xlfn.XLOOKUP($A622,Korrelation!$D$4:$D$1197,Korrelation!J$4:J$1197,"-",0)="-",0,MATCH(_xlfn.XLOOKUP($A622,Korrelation!$D$4:$D$1197,Korrelation!J$4:J$1197,"",0),DMAV_Dienste!$F$6:$F$140,0)))</f>
        <v>0</v>
      </c>
      <c r="H622" s="57">
        <f>IF($A622="","",IF(_xlfn.XLOOKUP($A622,Korrelation!$D$4:$D$1197,Korrelation!K$4:K$1197,"-",0)="-",0,MATCH(_xlfn.XLOOKUP($A622,Korrelation!$D$4:$D$1197,Korrelation!K$4:K$1197,"",0),'DM01-AV-CH'!$A$6:$A$834,0)))</f>
        <v>0</v>
      </c>
      <c r="J622" s="54" t="str" cm="1">
        <f t="array" aca="1" ref="J622" ca="1">IF(B622=0,IF(E622=0,"",HYPERLINK("#"&amp;RIGHT(CELL("adresse",OFFSET(DMAV_Dienste!$M$6,E622-1,0)),LEN(CELL("adresse",OFFSET(DMAV_Dienste!$M$6,E622-1,0)))-FIND("]",CELL("adresse",OFFSET(DMAV_Dienste!$M$6,E622-1,0)))),"Dienst")),HYPERLINK("#"&amp;RIGHT(CELL("adresse",OFFSET(DMAV_Modell!$N$6,B622-1,0)),LEN(CELL("adresse",OFFSET(DMAV_Modell!$N$6,B622-1,0)))-FIND("]",CELL("adresse",OFFSET(DMAV_Modell!$N$6,B622-1,0)))),"Modell"))</f>
        <v>Modell</v>
      </c>
      <c r="K622" s="61" t="str" cm="1">
        <f t="array" ref="K622">IF($B622=0,IF($E622=0,"",IF(INDEX(DMAV_Dienste!P$6:P$140,$E622)="","",INDEX(DMAV_Dienste!P$6:P$140,$E622))),IF(INDEX(DMAV_Modell!Q$6:Q$838,$B622)="","",INDEX(DMAV_Modell!Q$6:Q$838,$B622)))</f>
        <v>CLASS</v>
      </c>
      <c r="L622" s="62" t="str" cm="1">
        <f t="array" ref="L622">IF($B622=0,IF($E622=0,"",IF(INDEX(DMAV_Dienste!O$6:O$140,$E622)="","",INDEX(DMAV_Dienste!O$6:O$140,$E622))),IF(INDEX(DMAV_Modell!P$6:P$838,$B622)="","",INDEX(DMAV_Modell!P$6:P$838,$B622)))</f>
        <v>Dienstbarkeitsgrenzen</v>
      </c>
      <c r="M622" s="62" t="str" cm="1">
        <f t="array" ref="M622">IF($B622=0,IF($E622=0,"",IF(INDEX(DMAV_Dienste!Q$6:Q$140,$E622)="","",INDEX(DMAV_Dienste!Q$6:Q$140,$E622))),IF(INDEX(DMAV_Modell!R$6:R$838,$B622)="","",INDEX(DMAV_Modell!R$6:R$838,$B622)))</f>
        <v>Dienstbarkeitsgrenze</v>
      </c>
      <c r="N622" s="62" t="str" cm="1">
        <f t="array" ref="N622">IF($B622=0,IF($E622=0,"",IF(INDEX(DMAV_Dienste!T$6:T$140,$E622)="","",INDEX(DMAV_Dienste!T$6:T$140,$E622))),IF(INDEX(DMAV_Modell!U$6:U$838,$B622)="","",INDEX(DMAV_Modell!U$6:U$838,$B622)))</f>
        <v>Hoehe</v>
      </c>
      <c r="O622" s="63" t="str" cm="1">
        <f t="array" aca="1" ref="O622" ca="1">IF(C622=0,IF(F622=0,"",HYPERLINK("#"&amp;RIGHT(CELL("adresse",OFFSET(DMAV_Dienste!$M$6,F622-1,0)),LEN(CELL("adresse",OFFSET(DMAV_Dienste!$M$6,F622-1,0)))-FIND("]",CELL("adresse",OFFSET(DMAV_Dienste!$M$6,F622-1,0)))),"Structure")),HYPERLINK("#"&amp;RIGHT(CELL("adresse",OFFSET(DMAV_Modell!$N$6,C622-1,0)),LEN(CELL("adresse",OFFSET(DMAV_Modell!$N$6,C622-1,0)))-FIND("]",CELL("adresse",OFFSET(DMAV_Modell!$N$6,C622-1,0)))),"Structure"))</f>
        <v/>
      </c>
      <c r="P622" s="64" t="str" cm="1">
        <f t="array" aca="1" ref="P622" ca="1">IF(D622=0,IF(G622=0,"",HYPERLINK("#"&amp;RIGHT(CELL("adresse",OFFSET(DMAV_Dienste!$M$6,G622-1,0)),LEN(CELL("adresse",OFFSET(DMAV_Dienste!$M$6,G622-1,0)))-FIND("]",CELL("adresse",OFFSET(DMAV_Dienste!$M$6,G622-1,0)))),"Substructure")),HYPERLINK("#"&amp;RIGHT(CELL("adresse",OFFSET(DMAV_Modell!$N$6,D622-1,0)),LEN(CELL("adresse",OFFSET(DMAV_Modell!$N$6,D622-1,0)))-FIND("]",CELL("adresse",OFFSET(DMAV_Modell!$N$6,D622-1,0)))),"Substructure"))</f>
        <v/>
      </c>
      <c r="R622" s="80"/>
      <c r="T622" s="93"/>
      <c r="U622" s="94"/>
      <c r="V622" s="95"/>
      <c r="W622" s="96"/>
      <c r="Y622" s="85"/>
      <c r="Z622" s="86"/>
      <c r="AA622" s="87"/>
      <c r="AB622" s="88"/>
      <c r="AD622" s="77"/>
      <c r="AF622" s="54" t="str" cm="1">
        <f t="array" aca="1" ref="AF622" ca="1">IF(H622=0,"",HYPERLINK("#"&amp;RIGHT(CELL("adresse",OFFSET('DM01-AV-CH'!$G$6,H622-1,0)),LEN(CELL("adresse",OFFSET('DM01-AV-CH'!$G$6,H622-1,0)))-FIND("]",CELL("adresse",OFFSET('DM01-AV-CH'!$G$6,H622-1,0)))),"Modell"))</f>
        <v/>
      </c>
      <c r="AG622" s="72" t="str" cm="1">
        <f t="array" ref="AG622">IF($H622=0,"",IF(INDEX('DM01-AV-CH'!G$6:G$834,$H622)="","",INDEX('DM01-AV-CH'!G$6:G$834,$H622)))</f>
        <v/>
      </c>
      <c r="AH622" s="73" t="str" cm="1">
        <f t="array" ref="AH622">IF($H622=0,"",IF(INDEX('DM01-AV-CH'!H$6:H$834,$H622)="","",INDEX('DM01-AV-CH'!H$6:H$834,$H622)))</f>
        <v/>
      </c>
      <c r="AI622" s="74" t="str" cm="1">
        <f t="array" ref="AI622">IF($H622=0,"",IF(INDEX('DM01-AV-CH'!I$6:I$834,$H622)="","",INDEX('DM01-AV-CH'!I$6:I$834,$H622)))</f>
        <v/>
      </c>
    </row>
    <row r="623" spans="1:35" x14ac:dyDescent="0.25">
      <c r="A623" s="57">
        <v>618</v>
      </c>
      <c r="B623" s="57">
        <f>IF($A623="","",IF(_xlfn.XLOOKUP($A623,Korrelation!$D$4:$D$1197,Korrelation!E$4:E$1197,"-",0)="-",0,MATCH(_xlfn.XLOOKUP($A623,Korrelation!$D$4:$D$1197,Korrelation!E$4:E$1197,"",0),DMAV_Modell!$G$6:$G$677,0)))</f>
        <v>328</v>
      </c>
      <c r="C623" s="57">
        <f>IF($A623="","",IF(_xlfn.XLOOKUP($A623,Korrelation!$D$4:$D$1197,Korrelation!F$4:F$1197,"-",0)="-",0,MATCH(_xlfn.XLOOKUP($A623,Korrelation!$D$4:$D$1197,Korrelation!F$4:F$1197,"",0),DMAV_Modell!$G$6:$G$677,0)))</f>
        <v>0</v>
      </c>
      <c r="D623" s="57">
        <f>IF($A623="","",IF(_xlfn.XLOOKUP($A623,Korrelation!$D$4:$D$1197,Korrelation!G$4:G$1197,"-",0)="-",0,MATCH(_xlfn.XLOOKUP($A623,Korrelation!$D$4:$D$1197,Korrelation!G$4:G$1197,"",0),DMAV_Modell!$G$6:$G$677,0)))</f>
        <v>0</v>
      </c>
      <c r="E623" s="57">
        <f>IF($A623="","",IF(_xlfn.XLOOKUP($A623,Korrelation!$D$4:$D$1197,Korrelation!H$4:H$1197,"-",0)="-",0,MATCH(_xlfn.XLOOKUP($A623,Korrelation!$D$4:$D$1197,Korrelation!H$4:H$1197,"",0),DMAV_Dienste!$F$6:$F$140,0)))</f>
        <v>0</v>
      </c>
      <c r="F623" s="57">
        <f>IF($A623="","",IF(_xlfn.XLOOKUP($A623,Korrelation!$D$4:$D$1197,Korrelation!I$4:I$1197,"-",0)="-",0,MATCH(_xlfn.XLOOKUP($A623,Korrelation!$D$4:$D$1197,Korrelation!I$4:I$1197,"",0),DMAV_Dienste!$F$6:$F$140,0)))</f>
        <v>0</v>
      </c>
      <c r="G623" s="57">
        <f>IF($A623="","",IF(_xlfn.XLOOKUP($A623,Korrelation!$D$4:$D$1197,Korrelation!J$4:J$1197,"-",0)="-",0,MATCH(_xlfn.XLOOKUP($A623,Korrelation!$D$4:$D$1197,Korrelation!J$4:J$1197,"",0),DMAV_Dienste!$F$6:$F$140,0)))</f>
        <v>0</v>
      </c>
      <c r="H623" s="57">
        <f>IF($A623="","",IF(_xlfn.XLOOKUP($A623,Korrelation!$D$4:$D$1197,Korrelation!K$4:K$1197,"-",0)="-",0,MATCH(_xlfn.XLOOKUP($A623,Korrelation!$D$4:$D$1197,Korrelation!K$4:K$1197,"",0),'DM01-AV-CH'!$A$6:$A$834,0)))</f>
        <v>0</v>
      </c>
      <c r="J623" s="54" t="str" cm="1">
        <f t="array" aca="1" ref="J623" ca="1">IF(B623=0,IF(E623=0,"",HYPERLINK("#"&amp;RIGHT(CELL("adresse",OFFSET(DMAV_Dienste!$M$6,E623-1,0)),LEN(CELL("adresse",OFFSET(DMAV_Dienste!$M$6,E623-1,0)))-FIND("]",CELL("adresse",OFFSET(DMAV_Dienste!$M$6,E623-1,0)))),"Dienst")),HYPERLINK("#"&amp;RIGHT(CELL("adresse",OFFSET(DMAV_Modell!$N$6,B623-1,0)),LEN(CELL("adresse",OFFSET(DMAV_Modell!$N$6,B623-1,0)))-FIND("]",CELL("adresse",OFFSET(DMAV_Modell!$N$6,B623-1,0)))),"Modell"))</f>
        <v>Modell</v>
      </c>
      <c r="K623" s="61" t="str" cm="1">
        <f t="array" ref="K623">IF($B623=0,IF($E623=0,"",IF(INDEX(DMAV_Dienste!P$6:P$140,$E623)="","",INDEX(DMAV_Dienste!P$6:P$140,$E623))),IF(INDEX(DMAV_Modell!Q$6:Q$838,$B623)="","",INDEX(DMAV_Modell!Q$6:Q$838,$B623)))</f>
        <v>CLASS</v>
      </c>
      <c r="L623" s="62" t="str" cm="1">
        <f t="array" ref="L623">IF($B623=0,IF($E623=0,"",IF(INDEX(DMAV_Dienste!O$6:O$140,$E623)="","",INDEX(DMAV_Dienste!O$6:O$140,$E623))),IF(INDEX(DMAV_Modell!P$6:P$838,$B623)="","",INDEX(DMAV_Modell!P$6:P$838,$B623)))</f>
        <v>Dienstbarkeitsgrenzen</v>
      </c>
      <c r="M623" s="62" t="str" cm="1">
        <f t="array" ref="M623">IF($B623=0,IF($E623=0,"",IF(INDEX(DMAV_Dienste!Q$6:Q$140,$E623)="","",INDEX(DMAV_Dienste!Q$6:Q$140,$E623))),IF(INDEX(DMAV_Modell!R$6:R$838,$B623)="","",INDEX(DMAV_Modell!R$6:R$838,$B623)))</f>
        <v>Dienstbarkeitsgrenze</v>
      </c>
      <c r="N623" s="62" t="str" cm="1">
        <f t="array" ref="N623">IF($B623=0,IF($E623=0,"",IF(INDEX(DMAV_Dienste!T$6:T$140,$E623)="","",INDEX(DMAV_Dienste!T$6:T$140,$E623))),IF(INDEX(DMAV_Modell!U$6:U$838,$B623)="","",INDEX(DMAV_Modell!U$6:U$838,$B623)))</f>
        <v>IstVollstaendig</v>
      </c>
      <c r="O623" s="63" t="str" cm="1">
        <f t="array" aca="1" ref="O623" ca="1">IF(C623=0,IF(F623=0,"",HYPERLINK("#"&amp;RIGHT(CELL("adresse",OFFSET(DMAV_Dienste!$M$6,F623-1,0)),LEN(CELL("adresse",OFFSET(DMAV_Dienste!$M$6,F623-1,0)))-FIND("]",CELL("adresse",OFFSET(DMAV_Dienste!$M$6,F623-1,0)))),"Structure")),HYPERLINK("#"&amp;RIGHT(CELL("adresse",OFFSET(DMAV_Modell!$N$6,C623-1,0)),LEN(CELL("adresse",OFFSET(DMAV_Modell!$N$6,C623-1,0)))-FIND("]",CELL("adresse",OFFSET(DMAV_Modell!$N$6,C623-1,0)))),"Structure"))</f>
        <v/>
      </c>
      <c r="P623" s="64" t="str" cm="1">
        <f t="array" aca="1" ref="P623" ca="1">IF(D623=0,IF(G623=0,"",HYPERLINK("#"&amp;RIGHT(CELL("adresse",OFFSET(DMAV_Dienste!$M$6,G623-1,0)),LEN(CELL("adresse",OFFSET(DMAV_Dienste!$M$6,G623-1,0)))-FIND("]",CELL("adresse",OFFSET(DMAV_Dienste!$M$6,G623-1,0)))),"Substructure")),HYPERLINK("#"&amp;RIGHT(CELL("adresse",OFFSET(DMAV_Modell!$N$6,D623-1,0)),LEN(CELL("adresse",OFFSET(DMAV_Modell!$N$6,D623-1,0)))-FIND("]",CELL("adresse",OFFSET(DMAV_Modell!$N$6,D623-1,0)))),"Substructure"))</f>
        <v/>
      </c>
      <c r="R623" s="80"/>
      <c r="T623" s="93"/>
      <c r="U623" s="94"/>
      <c r="V623" s="95"/>
      <c r="W623" s="96"/>
      <c r="Y623" s="85"/>
      <c r="Z623" s="86"/>
      <c r="AA623" s="87"/>
      <c r="AB623" s="88"/>
      <c r="AD623" s="77"/>
      <c r="AF623" s="54" t="str" cm="1">
        <f t="array" aca="1" ref="AF623" ca="1">IF(H623=0,"",HYPERLINK("#"&amp;RIGHT(CELL("adresse",OFFSET('DM01-AV-CH'!$G$6,H623-1,0)),LEN(CELL("adresse",OFFSET('DM01-AV-CH'!$G$6,H623-1,0)))-FIND("]",CELL("adresse",OFFSET('DM01-AV-CH'!$G$6,H623-1,0)))),"Modell"))</f>
        <v/>
      </c>
      <c r="AG623" s="72" t="str" cm="1">
        <f t="array" ref="AG623">IF($H623=0,"",IF(INDEX('DM01-AV-CH'!G$6:G$834,$H623)="","",INDEX('DM01-AV-CH'!G$6:G$834,$H623)))</f>
        <v/>
      </c>
      <c r="AH623" s="73" t="str" cm="1">
        <f t="array" ref="AH623">IF($H623=0,"",IF(INDEX('DM01-AV-CH'!H$6:H$834,$H623)="","",INDEX('DM01-AV-CH'!H$6:H$834,$H623)))</f>
        <v/>
      </c>
      <c r="AI623" s="74" t="str" cm="1">
        <f t="array" ref="AI623">IF($H623=0,"",IF(INDEX('DM01-AV-CH'!I$6:I$834,$H623)="","",INDEX('DM01-AV-CH'!I$6:I$834,$H623)))</f>
        <v/>
      </c>
    </row>
    <row r="624" spans="1:35" x14ac:dyDescent="0.25">
      <c r="A624" s="57">
        <v>619</v>
      </c>
      <c r="B624" s="57">
        <f>IF($A624="","",IF(_xlfn.XLOOKUP($A624,Korrelation!$D$4:$D$1197,Korrelation!E$4:E$1197,"-",0)="-",0,MATCH(_xlfn.XLOOKUP($A624,Korrelation!$D$4:$D$1197,Korrelation!E$4:E$1197,"",0),DMAV_Modell!$G$6:$G$677,0)))</f>
        <v>329</v>
      </c>
      <c r="C624" s="57">
        <f>IF($A624="","",IF(_xlfn.XLOOKUP($A624,Korrelation!$D$4:$D$1197,Korrelation!F$4:F$1197,"-",0)="-",0,MATCH(_xlfn.XLOOKUP($A624,Korrelation!$D$4:$D$1197,Korrelation!F$4:F$1197,"",0),DMAV_Modell!$G$6:$G$677,0)))</f>
        <v>0</v>
      </c>
      <c r="D624" s="57">
        <f>IF($A624="","",IF(_xlfn.XLOOKUP($A624,Korrelation!$D$4:$D$1197,Korrelation!G$4:G$1197,"-",0)="-",0,MATCH(_xlfn.XLOOKUP($A624,Korrelation!$D$4:$D$1197,Korrelation!G$4:G$1197,"",0),DMAV_Modell!$G$6:$G$677,0)))</f>
        <v>0</v>
      </c>
      <c r="E624" s="57">
        <f>IF($A624="","",IF(_xlfn.XLOOKUP($A624,Korrelation!$D$4:$D$1197,Korrelation!H$4:H$1197,"-",0)="-",0,MATCH(_xlfn.XLOOKUP($A624,Korrelation!$D$4:$D$1197,Korrelation!H$4:H$1197,"",0),DMAV_Dienste!$F$6:$F$140,0)))</f>
        <v>0</v>
      </c>
      <c r="F624" s="57">
        <f>IF($A624="","",IF(_xlfn.XLOOKUP($A624,Korrelation!$D$4:$D$1197,Korrelation!I$4:I$1197,"-",0)="-",0,MATCH(_xlfn.XLOOKUP($A624,Korrelation!$D$4:$D$1197,Korrelation!I$4:I$1197,"",0),DMAV_Dienste!$F$6:$F$140,0)))</f>
        <v>0</v>
      </c>
      <c r="G624" s="57">
        <f>IF($A624="","",IF(_xlfn.XLOOKUP($A624,Korrelation!$D$4:$D$1197,Korrelation!J$4:J$1197,"-",0)="-",0,MATCH(_xlfn.XLOOKUP($A624,Korrelation!$D$4:$D$1197,Korrelation!J$4:J$1197,"",0),DMAV_Dienste!$F$6:$F$140,0)))</f>
        <v>0</v>
      </c>
      <c r="H624" s="57">
        <f>IF($A624="","",IF(_xlfn.XLOOKUP($A624,Korrelation!$D$4:$D$1197,Korrelation!K$4:K$1197,"-",0)="-",0,MATCH(_xlfn.XLOOKUP($A624,Korrelation!$D$4:$D$1197,Korrelation!K$4:K$1197,"",0),'DM01-AV-CH'!$A$6:$A$834,0)))</f>
        <v>0</v>
      </c>
      <c r="J624" s="54" t="str" cm="1">
        <f t="array" aca="1" ref="J624" ca="1">IF(B624=0,IF(E624=0,"",HYPERLINK("#"&amp;RIGHT(CELL("adresse",OFFSET(DMAV_Dienste!$M$6,E624-1,0)),LEN(CELL("adresse",OFFSET(DMAV_Dienste!$M$6,E624-1,0)))-FIND("]",CELL("adresse",OFFSET(DMAV_Dienste!$M$6,E624-1,0)))),"Dienst")),HYPERLINK("#"&amp;RIGHT(CELL("adresse",OFFSET(DMAV_Modell!$N$6,B624-1,0)),LEN(CELL("adresse",OFFSET(DMAV_Modell!$N$6,B624-1,0)))-FIND("]",CELL("adresse",OFFSET(DMAV_Modell!$N$6,B624-1,0)))),"Modell"))</f>
        <v>Modell</v>
      </c>
      <c r="K624" s="61" t="str" cm="1">
        <f t="array" ref="K624">IF($B624=0,IF($E624=0,"",IF(INDEX(DMAV_Dienste!P$6:P$140,$E624)="","",INDEX(DMAV_Dienste!P$6:P$140,$E624))),IF(INDEX(DMAV_Modell!Q$6:Q$838,$B624)="","",INDEX(DMAV_Modell!Q$6:Q$838,$B624)))</f>
        <v>CLASS</v>
      </c>
      <c r="L624" s="62" t="str" cm="1">
        <f t="array" ref="L624">IF($B624=0,IF($E624=0,"",IF(INDEX(DMAV_Dienste!O$6:O$140,$E624)="","",INDEX(DMAV_Dienste!O$6:O$140,$E624))),IF(INDEX(DMAV_Modell!P$6:P$838,$B624)="","",INDEX(DMAV_Modell!P$6:P$838,$B624)))</f>
        <v>Dienstbarkeitsgrenzen</v>
      </c>
      <c r="M624" s="62" t="str" cm="1">
        <f t="array" ref="M624">IF($B624=0,IF($E624=0,"",IF(INDEX(DMAV_Dienste!Q$6:Q$140,$E624)="","",INDEX(DMAV_Dienste!Q$6:Q$140,$E624))),IF(INDEX(DMAV_Modell!R$6:R$838,$B624)="","",INDEX(DMAV_Modell!R$6:R$838,$B624)))</f>
        <v>Dienstbarkeitsgrenze</v>
      </c>
      <c r="N624" s="62" t="str" cm="1">
        <f t="array" ref="N624">IF($B624=0,IF($E624=0,"",IF(INDEX(DMAV_Dienste!T$6:T$140,$E624)="","",INDEX(DMAV_Dienste!T$6:T$140,$E624))),IF(INDEX(DMAV_Modell!U$6:U$838,$B624)="","",INDEX(DMAV_Modell!U$6:U$838,$B624)))</f>
        <v>Herkunft</v>
      </c>
      <c r="O624" s="63" t="str" cm="1">
        <f t="array" aca="1" ref="O624" ca="1">IF(C624=0,IF(F624=0,"",HYPERLINK("#"&amp;RIGHT(CELL("adresse",OFFSET(DMAV_Dienste!$M$6,F624-1,0)),LEN(CELL("adresse",OFFSET(DMAV_Dienste!$M$6,F624-1,0)))-FIND("]",CELL("adresse",OFFSET(DMAV_Dienste!$M$6,F624-1,0)))),"Structure")),HYPERLINK("#"&amp;RIGHT(CELL("adresse",OFFSET(DMAV_Modell!$N$6,C624-1,0)),LEN(CELL("adresse",OFFSET(DMAV_Modell!$N$6,C624-1,0)))-FIND("]",CELL("adresse",OFFSET(DMAV_Modell!$N$6,C624-1,0)))),"Structure"))</f>
        <v/>
      </c>
      <c r="P624" s="64" t="str" cm="1">
        <f t="array" aca="1" ref="P624" ca="1">IF(D624=0,IF(G624=0,"",HYPERLINK("#"&amp;RIGHT(CELL("adresse",OFFSET(DMAV_Dienste!$M$6,G624-1,0)),LEN(CELL("adresse",OFFSET(DMAV_Dienste!$M$6,G624-1,0)))-FIND("]",CELL("adresse",OFFSET(DMAV_Dienste!$M$6,G624-1,0)))),"Substructure")),HYPERLINK("#"&amp;RIGHT(CELL("adresse",OFFSET(DMAV_Modell!$N$6,D624-1,0)),LEN(CELL("adresse",OFFSET(DMAV_Modell!$N$6,D624-1,0)))-FIND("]",CELL("adresse",OFFSET(DMAV_Modell!$N$6,D624-1,0)))),"Substructure"))</f>
        <v/>
      </c>
      <c r="R624" s="80"/>
      <c r="T624" s="93"/>
      <c r="U624" s="94"/>
      <c r="V624" s="95"/>
      <c r="W624" s="96"/>
      <c r="Y624" s="85"/>
      <c r="Z624" s="86"/>
      <c r="AA624" s="87"/>
      <c r="AB624" s="88"/>
      <c r="AD624" s="77"/>
      <c r="AF624" s="54" t="str" cm="1">
        <f t="array" aca="1" ref="AF624" ca="1">IF(H624=0,"",HYPERLINK("#"&amp;RIGHT(CELL("adresse",OFFSET('DM01-AV-CH'!$G$6,H624-1,0)),LEN(CELL("adresse",OFFSET('DM01-AV-CH'!$G$6,H624-1,0)))-FIND("]",CELL("adresse",OFFSET('DM01-AV-CH'!$G$6,H624-1,0)))),"Modell"))</f>
        <v/>
      </c>
      <c r="AG624" s="72" t="str" cm="1">
        <f t="array" ref="AG624">IF($H624=0,"",IF(INDEX('DM01-AV-CH'!G$6:G$834,$H624)="","",INDEX('DM01-AV-CH'!G$6:G$834,$H624)))</f>
        <v/>
      </c>
      <c r="AH624" s="73" t="str" cm="1">
        <f t="array" ref="AH624">IF($H624=0,"",IF(INDEX('DM01-AV-CH'!H$6:H$834,$H624)="","",INDEX('DM01-AV-CH'!H$6:H$834,$H624)))</f>
        <v/>
      </c>
      <c r="AI624" s="74" t="str" cm="1">
        <f t="array" ref="AI624">IF($H624=0,"",IF(INDEX('DM01-AV-CH'!I$6:I$834,$H624)="","",INDEX('DM01-AV-CH'!I$6:I$834,$H624)))</f>
        <v/>
      </c>
    </row>
    <row r="625" spans="1:35" x14ac:dyDescent="0.25">
      <c r="A625" s="57">
        <v>620</v>
      </c>
      <c r="B625" s="57">
        <f>IF($A625="","",IF(_xlfn.XLOOKUP($A625,Korrelation!$D$4:$D$1197,Korrelation!E$4:E$1197,"-",0)="-",0,MATCH(_xlfn.XLOOKUP($A625,Korrelation!$D$4:$D$1197,Korrelation!E$4:E$1197,"",0),DMAV_Modell!$G$6:$G$677,0)))</f>
        <v>330</v>
      </c>
      <c r="C625" s="57">
        <f>IF($A625="","",IF(_xlfn.XLOOKUP($A625,Korrelation!$D$4:$D$1197,Korrelation!F$4:F$1197,"-",0)="-",0,MATCH(_xlfn.XLOOKUP($A625,Korrelation!$D$4:$D$1197,Korrelation!F$4:F$1197,"",0),DMAV_Modell!$G$6:$G$677,0)))</f>
        <v>319</v>
      </c>
      <c r="D625" s="57">
        <f>IF($A625="","",IF(_xlfn.XLOOKUP($A625,Korrelation!$D$4:$D$1197,Korrelation!G$4:G$1197,"-",0)="-",0,MATCH(_xlfn.XLOOKUP($A625,Korrelation!$D$4:$D$1197,Korrelation!G$4:G$1197,"",0),DMAV_Modell!$G$6:$G$677,0)))</f>
        <v>0</v>
      </c>
      <c r="E625" s="57">
        <f>IF($A625="","",IF(_xlfn.XLOOKUP($A625,Korrelation!$D$4:$D$1197,Korrelation!H$4:H$1197,"-",0)="-",0,MATCH(_xlfn.XLOOKUP($A625,Korrelation!$D$4:$D$1197,Korrelation!H$4:H$1197,"",0),DMAV_Dienste!$F$6:$F$140,0)))</f>
        <v>0</v>
      </c>
      <c r="F625" s="57">
        <f>IF($A625="","",IF(_xlfn.XLOOKUP($A625,Korrelation!$D$4:$D$1197,Korrelation!I$4:I$1197,"-",0)="-",0,MATCH(_xlfn.XLOOKUP($A625,Korrelation!$D$4:$D$1197,Korrelation!I$4:I$1197,"",0),DMAV_Dienste!$F$6:$F$140,0)))</f>
        <v>0</v>
      </c>
      <c r="G625" s="57">
        <f>IF($A625="","",IF(_xlfn.XLOOKUP($A625,Korrelation!$D$4:$D$1197,Korrelation!J$4:J$1197,"-",0)="-",0,MATCH(_xlfn.XLOOKUP($A625,Korrelation!$D$4:$D$1197,Korrelation!J$4:J$1197,"",0),DMAV_Dienste!$F$6:$F$140,0)))</f>
        <v>0</v>
      </c>
      <c r="H625" s="57">
        <f>IF($A625="","",IF(_xlfn.XLOOKUP($A625,Korrelation!$D$4:$D$1197,Korrelation!K$4:K$1197,"-",0)="-",0,MATCH(_xlfn.XLOOKUP($A625,Korrelation!$D$4:$D$1197,Korrelation!K$4:K$1197,"",0),'DM01-AV-CH'!$A$6:$A$834,0)))</f>
        <v>0</v>
      </c>
      <c r="J625" s="54" t="str" cm="1">
        <f t="array" aca="1" ref="J625" ca="1">IF(B625=0,IF(E625=0,"",HYPERLINK("#"&amp;RIGHT(CELL("adresse",OFFSET(DMAV_Dienste!$M$6,E625-1,0)),LEN(CELL("adresse",OFFSET(DMAV_Dienste!$M$6,E625-1,0)))-FIND("]",CELL("adresse",OFFSET(DMAV_Dienste!$M$6,E625-1,0)))),"Dienst")),HYPERLINK("#"&amp;RIGHT(CELL("adresse",OFFSET(DMAV_Modell!$N$6,B625-1,0)),LEN(CELL("adresse",OFFSET(DMAV_Modell!$N$6,B625-1,0)))-FIND("]",CELL("adresse",OFFSET(DMAV_Modell!$N$6,B625-1,0)))),"Modell"))</f>
        <v>Modell</v>
      </c>
      <c r="K625" s="61" t="str" cm="1">
        <f t="array" ref="K625">IF($B625=0,IF($E625=0,"",IF(INDEX(DMAV_Dienste!P$6:P$140,$E625)="","",INDEX(DMAV_Dienste!P$6:P$140,$E625))),IF(INDEX(DMAV_Modell!Q$6:Q$838,$B625)="","",INDEX(DMAV_Modell!Q$6:Q$838,$B625)))</f>
        <v>CLASS</v>
      </c>
      <c r="L625" s="62" t="str" cm="1">
        <f t="array" ref="L625">IF($B625=0,IF($E625=0,"",IF(INDEX(DMAV_Dienste!O$6:O$140,$E625)="","",INDEX(DMAV_Dienste!O$6:O$140,$E625))),IF(INDEX(DMAV_Modell!P$6:P$838,$B625)="","",INDEX(DMAV_Modell!P$6:P$838,$B625)))</f>
        <v>Dienstbarkeitsgrenzen</v>
      </c>
      <c r="M625" s="62" t="str" cm="1">
        <f t="array" ref="M625">IF($B625=0,IF($E625=0,"",IF(INDEX(DMAV_Dienste!Q$6:Q$140,$E625)="","",INDEX(DMAV_Dienste!Q$6:Q$140,$E625))),IF(INDEX(DMAV_Modell!R$6:R$838,$B625)="","",INDEX(DMAV_Modell!R$6:R$838,$B625)))</f>
        <v>Dienstbarkeitsgrenze</v>
      </c>
      <c r="N625" s="62" t="str" cm="1">
        <f t="array" ref="N625">IF($B625=0,IF($E625=0,"",IF(INDEX(DMAV_Dienste!T$6:T$140,$E625)="","",INDEX(DMAV_Dienste!T$6:T$140,$E625))),IF(INDEX(DMAV_Modell!U$6:U$838,$B625)="","",INDEX(DMAV_Modell!U$6:U$838,$B625)))</f>
        <v>Flaechenelement</v>
      </c>
      <c r="O625" s="63" t="str" cm="1">
        <f t="array" aca="1" ref="O625" ca="1">IF(C625=0,IF(F625=0,"",HYPERLINK("#"&amp;RIGHT(CELL("adresse",OFFSET(DMAV_Dienste!$M$6,F625-1,0)),LEN(CELL("adresse",OFFSET(DMAV_Dienste!$M$6,F625-1,0)))-FIND("]",CELL("adresse",OFFSET(DMAV_Dienste!$M$6,F625-1,0)))),"Structure")),HYPERLINK("#"&amp;RIGHT(CELL("adresse",OFFSET(DMAV_Modell!$N$6,C625-1,0)),LEN(CELL("adresse",OFFSET(DMAV_Modell!$N$6,C625-1,0)))-FIND("]",CELL("adresse",OFFSET(DMAV_Modell!$N$6,C625-1,0)))),"Structure"))</f>
        <v>Structure</v>
      </c>
      <c r="P625" s="64" t="str" cm="1">
        <f t="array" aca="1" ref="P625" ca="1">IF(D625=0,IF(G625=0,"",HYPERLINK("#"&amp;RIGHT(CELL("adresse",OFFSET(DMAV_Dienste!$M$6,G625-1,0)),LEN(CELL("adresse",OFFSET(DMAV_Dienste!$M$6,G625-1,0)))-FIND("]",CELL("adresse",OFFSET(DMAV_Dienste!$M$6,G625-1,0)))),"Substructure")),HYPERLINK("#"&amp;RIGHT(CELL("adresse",OFFSET(DMAV_Modell!$N$6,D625-1,0)),LEN(CELL("adresse",OFFSET(DMAV_Modell!$N$6,D625-1,0)))-FIND("]",CELL("adresse",OFFSET(DMAV_Modell!$N$6,D625-1,0)))),"Substructure"))</f>
        <v/>
      </c>
      <c r="R625" s="80"/>
      <c r="T625" s="93"/>
      <c r="U625" s="94"/>
      <c r="V625" s="95"/>
      <c r="W625" s="96"/>
      <c r="Y625" s="85"/>
      <c r="Z625" s="86"/>
      <c r="AA625" s="87"/>
      <c r="AB625" s="88"/>
      <c r="AD625" s="77"/>
      <c r="AF625" s="54" t="str" cm="1">
        <f t="array" aca="1" ref="AF625" ca="1">IF(H625=0,"",HYPERLINK("#"&amp;RIGHT(CELL("adresse",OFFSET('DM01-AV-CH'!$G$6,H625-1,0)),LEN(CELL("adresse",OFFSET('DM01-AV-CH'!$G$6,H625-1,0)))-FIND("]",CELL("adresse",OFFSET('DM01-AV-CH'!$G$6,H625-1,0)))),"Modell"))</f>
        <v/>
      </c>
      <c r="AG625" s="72" t="str" cm="1">
        <f t="array" ref="AG625">IF($H625=0,"",IF(INDEX('DM01-AV-CH'!G$6:G$834,$H625)="","",INDEX('DM01-AV-CH'!G$6:G$834,$H625)))</f>
        <v/>
      </c>
      <c r="AH625" s="73" t="str" cm="1">
        <f t="array" ref="AH625">IF($H625=0,"",IF(INDEX('DM01-AV-CH'!H$6:H$834,$H625)="","",INDEX('DM01-AV-CH'!H$6:H$834,$H625)))</f>
        <v/>
      </c>
      <c r="AI625" s="74" t="str" cm="1">
        <f t="array" ref="AI625">IF($H625=0,"",IF(INDEX('DM01-AV-CH'!I$6:I$834,$H625)="","",INDEX('DM01-AV-CH'!I$6:I$834,$H625)))</f>
        <v/>
      </c>
    </row>
    <row r="626" spans="1:35" x14ac:dyDescent="0.25">
      <c r="A626" s="57">
        <v>621</v>
      </c>
      <c r="B626" s="57">
        <f>IF($A626="","",IF(_xlfn.XLOOKUP($A626,Korrelation!$D$4:$D$1197,Korrelation!E$4:E$1197,"-",0)="-",0,MATCH(_xlfn.XLOOKUP($A626,Korrelation!$D$4:$D$1197,Korrelation!E$4:E$1197,"",0),DMAV_Modell!$G$6:$G$677,0)))</f>
        <v>331</v>
      </c>
      <c r="C626" s="57">
        <f>IF($A626="","",IF(_xlfn.XLOOKUP($A626,Korrelation!$D$4:$D$1197,Korrelation!F$4:F$1197,"-",0)="-",0,MATCH(_xlfn.XLOOKUP($A626,Korrelation!$D$4:$D$1197,Korrelation!F$4:F$1197,"",0),DMAV_Modell!$G$6:$G$677,0)))</f>
        <v>320</v>
      </c>
      <c r="D626" s="57">
        <f>IF($A626="","",IF(_xlfn.XLOOKUP($A626,Korrelation!$D$4:$D$1197,Korrelation!G$4:G$1197,"-",0)="-",0,MATCH(_xlfn.XLOOKUP($A626,Korrelation!$D$4:$D$1197,Korrelation!G$4:G$1197,"",0),DMAV_Modell!$G$6:$G$677,0)))</f>
        <v>0</v>
      </c>
      <c r="E626" s="57">
        <f>IF($A626="","",IF(_xlfn.XLOOKUP($A626,Korrelation!$D$4:$D$1197,Korrelation!H$4:H$1197,"-",0)="-",0,MATCH(_xlfn.XLOOKUP($A626,Korrelation!$D$4:$D$1197,Korrelation!H$4:H$1197,"",0),DMAV_Dienste!$F$6:$F$140,0)))</f>
        <v>0</v>
      </c>
      <c r="F626" s="57">
        <f>IF($A626="","",IF(_xlfn.XLOOKUP($A626,Korrelation!$D$4:$D$1197,Korrelation!I$4:I$1197,"-",0)="-",0,MATCH(_xlfn.XLOOKUP($A626,Korrelation!$D$4:$D$1197,Korrelation!I$4:I$1197,"",0),DMAV_Dienste!$F$6:$F$140,0)))</f>
        <v>0</v>
      </c>
      <c r="G626" s="57">
        <f>IF($A626="","",IF(_xlfn.XLOOKUP($A626,Korrelation!$D$4:$D$1197,Korrelation!J$4:J$1197,"-",0)="-",0,MATCH(_xlfn.XLOOKUP($A626,Korrelation!$D$4:$D$1197,Korrelation!J$4:J$1197,"",0),DMAV_Dienste!$F$6:$F$140,0)))</f>
        <v>0</v>
      </c>
      <c r="H626" s="57">
        <f>IF($A626="","",IF(_xlfn.XLOOKUP($A626,Korrelation!$D$4:$D$1197,Korrelation!K$4:K$1197,"-",0)="-",0,MATCH(_xlfn.XLOOKUP($A626,Korrelation!$D$4:$D$1197,Korrelation!K$4:K$1197,"",0),'DM01-AV-CH'!$A$6:$A$834,0)))</f>
        <v>0</v>
      </c>
      <c r="J626" s="54" t="str" cm="1">
        <f t="array" aca="1" ref="J626" ca="1">IF(B626=0,IF(E626=0,"",HYPERLINK("#"&amp;RIGHT(CELL("adresse",OFFSET(DMAV_Dienste!$M$6,E626-1,0)),LEN(CELL("adresse",OFFSET(DMAV_Dienste!$M$6,E626-1,0)))-FIND("]",CELL("adresse",OFFSET(DMAV_Dienste!$M$6,E626-1,0)))),"Dienst")),HYPERLINK("#"&amp;RIGHT(CELL("adresse",OFFSET(DMAV_Modell!$N$6,B626-1,0)),LEN(CELL("adresse",OFFSET(DMAV_Modell!$N$6,B626-1,0)))-FIND("]",CELL("adresse",OFFSET(DMAV_Modell!$N$6,B626-1,0)))),"Modell"))</f>
        <v>Modell</v>
      </c>
      <c r="K626" s="61" t="str" cm="1">
        <f t="array" ref="K626">IF($B626=0,IF($E626=0,"",IF(INDEX(DMAV_Dienste!P$6:P$140,$E626)="","",INDEX(DMAV_Dienste!P$6:P$140,$E626))),IF(INDEX(DMAV_Modell!Q$6:Q$838,$B626)="","",INDEX(DMAV_Modell!Q$6:Q$838,$B626)))</f>
        <v>CLASS</v>
      </c>
      <c r="L626" s="62" t="str" cm="1">
        <f t="array" ref="L626">IF($B626=0,IF($E626=0,"",IF(INDEX(DMAV_Dienste!O$6:O$140,$E626)="","",INDEX(DMAV_Dienste!O$6:O$140,$E626))),IF(INDEX(DMAV_Modell!P$6:P$838,$B626)="","",INDEX(DMAV_Modell!P$6:P$838,$B626)))</f>
        <v>Dienstbarkeitsgrenzen</v>
      </c>
      <c r="M626" s="62" t="str" cm="1">
        <f t="array" ref="M626">IF($B626=0,IF($E626=0,"",IF(INDEX(DMAV_Dienste!Q$6:Q$140,$E626)="","",INDEX(DMAV_Dienste!Q$6:Q$140,$E626))),IF(INDEX(DMAV_Modell!R$6:R$838,$B626)="","",INDEX(DMAV_Modell!R$6:R$838,$B626)))</f>
        <v>Dienstbarkeitsgrenze</v>
      </c>
      <c r="N626" s="62" t="str" cm="1">
        <f t="array" ref="N626">IF($B626=0,IF($E626=0,"",IF(INDEX(DMAV_Dienste!T$6:T$140,$E626)="","",INDEX(DMAV_Dienste!T$6:T$140,$E626))),IF(INDEX(DMAV_Modell!U$6:U$838,$B626)="","",INDEX(DMAV_Modell!U$6:U$838,$B626)))</f>
        <v>Linienelement</v>
      </c>
      <c r="O626" s="63" t="str" cm="1">
        <f t="array" aca="1" ref="O626" ca="1">IF(C626=0,IF(F626=0,"",HYPERLINK("#"&amp;RIGHT(CELL("adresse",OFFSET(DMAV_Dienste!$M$6,F626-1,0)),LEN(CELL("adresse",OFFSET(DMAV_Dienste!$M$6,F626-1,0)))-FIND("]",CELL("adresse",OFFSET(DMAV_Dienste!$M$6,F626-1,0)))),"Structure")),HYPERLINK("#"&amp;RIGHT(CELL("adresse",OFFSET(DMAV_Modell!$N$6,C626-1,0)),LEN(CELL("adresse",OFFSET(DMAV_Modell!$N$6,C626-1,0)))-FIND("]",CELL("adresse",OFFSET(DMAV_Modell!$N$6,C626-1,0)))),"Structure"))</f>
        <v>Structure</v>
      </c>
      <c r="P626" s="64" t="str" cm="1">
        <f t="array" aca="1" ref="P626" ca="1">IF(D626=0,IF(G626=0,"",HYPERLINK("#"&amp;RIGHT(CELL("adresse",OFFSET(DMAV_Dienste!$M$6,G626-1,0)),LEN(CELL("adresse",OFFSET(DMAV_Dienste!$M$6,G626-1,0)))-FIND("]",CELL("adresse",OFFSET(DMAV_Dienste!$M$6,G626-1,0)))),"Substructure")),HYPERLINK("#"&amp;RIGHT(CELL("adresse",OFFSET(DMAV_Modell!$N$6,D626-1,0)),LEN(CELL("adresse",OFFSET(DMAV_Modell!$N$6,D626-1,0)))-FIND("]",CELL("adresse",OFFSET(DMAV_Modell!$N$6,D626-1,0)))),"Substructure"))</f>
        <v/>
      </c>
      <c r="R626" s="80"/>
      <c r="T626" s="93"/>
      <c r="U626" s="94"/>
      <c r="V626" s="95"/>
      <c r="W626" s="96"/>
      <c r="Y626" s="85"/>
      <c r="Z626" s="86"/>
      <c r="AA626" s="87"/>
      <c r="AB626" s="88"/>
      <c r="AD626" s="77"/>
      <c r="AF626" s="54" t="str" cm="1">
        <f t="array" aca="1" ref="AF626" ca="1">IF(H626=0,"",HYPERLINK("#"&amp;RIGHT(CELL("adresse",OFFSET('DM01-AV-CH'!$G$6,H626-1,0)),LEN(CELL("adresse",OFFSET('DM01-AV-CH'!$G$6,H626-1,0)))-FIND("]",CELL("adresse",OFFSET('DM01-AV-CH'!$G$6,H626-1,0)))),"Modell"))</f>
        <v/>
      </c>
      <c r="AG626" s="72" t="str" cm="1">
        <f t="array" ref="AG626">IF($H626=0,"",IF(INDEX('DM01-AV-CH'!G$6:G$834,$H626)="","",INDEX('DM01-AV-CH'!G$6:G$834,$H626)))</f>
        <v/>
      </c>
      <c r="AH626" s="73" t="str" cm="1">
        <f t="array" ref="AH626">IF($H626=0,"",IF(INDEX('DM01-AV-CH'!H$6:H$834,$H626)="","",INDEX('DM01-AV-CH'!H$6:H$834,$H626)))</f>
        <v/>
      </c>
      <c r="AI626" s="74" t="str" cm="1">
        <f t="array" ref="AI626">IF($H626=0,"",IF(INDEX('DM01-AV-CH'!I$6:I$834,$H626)="","",INDEX('DM01-AV-CH'!I$6:I$834,$H626)))</f>
        <v/>
      </c>
    </row>
    <row r="627" spans="1:35" x14ac:dyDescent="0.25">
      <c r="A627" s="57">
        <v>622</v>
      </c>
      <c r="B627" s="57">
        <f>IF($A627="","",IF(_xlfn.XLOOKUP($A627,Korrelation!$D$4:$D$1197,Korrelation!E$4:E$1197,"-",0)="-",0,MATCH(_xlfn.XLOOKUP($A627,Korrelation!$D$4:$D$1197,Korrelation!E$4:E$1197,"",0),DMAV_Modell!$G$6:$G$677,0)))</f>
        <v>332</v>
      </c>
      <c r="C627" s="57">
        <f>IF($A627="","",IF(_xlfn.XLOOKUP($A627,Korrelation!$D$4:$D$1197,Korrelation!F$4:F$1197,"-",0)="-",0,MATCH(_xlfn.XLOOKUP($A627,Korrelation!$D$4:$D$1197,Korrelation!F$4:F$1197,"",0),DMAV_Modell!$G$6:$G$677,0)))</f>
        <v>321</v>
      </c>
      <c r="D627" s="57">
        <f>IF($A627="","",IF(_xlfn.XLOOKUP($A627,Korrelation!$D$4:$D$1197,Korrelation!G$4:G$1197,"-",0)="-",0,MATCH(_xlfn.XLOOKUP($A627,Korrelation!$D$4:$D$1197,Korrelation!G$4:G$1197,"",0),DMAV_Modell!$G$6:$G$677,0)))</f>
        <v>0</v>
      </c>
      <c r="E627" s="57">
        <f>IF($A627="","",IF(_xlfn.XLOOKUP($A627,Korrelation!$D$4:$D$1197,Korrelation!H$4:H$1197,"-",0)="-",0,MATCH(_xlfn.XLOOKUP($A627,Korrelation!$D$4:$D$1197,Korrelation!H$4:H$1197,"",0),DMAV_Dienste!$F$6:$F$140,0)))</f>
        <v>0</v>
      </c>
      <c r="F627" s="57">
        <f>IF($A627="","",IF(_xlfn.XLOOKUP($A627,Korrelation!$D$4:$D$1197,Korrelation!I$4:I$1197,"-",0)="-",0,MATCH(_xlfn.XLOOKUP($A627,Korrelation!$D$4:$D$1197,Korrelation!I$4:I$1197,"",0),DMAV_Dienste!$F$6:$F$140,0)))</f>
        <v>0</v>
      </c>
      <c r="G627" s="57">
        <f>IF($A627="","",IF(_xlfn.XLOOKUP($A627,Korrelation!$D$4:$D$1197,Korrelation!J$4:J$1197,"-",0)="-",0,MATCH(_xlfn.XLOOKUP($A627,Korrelation!$D$4:$D$1197,Korrelation!J$4:J$1197,"",0),DMAV_Dienste!$F$6:$F$140,0)))</f>
        <v>0</v>
      </c>
      <c r="H627" s="57">
        <f>IF($A627="","",IF(_xlfn.XLOOKUP($A627,Korrelation!$D$4:$D$1197,Korrelation!K$4:K$1197,"-",0)="-",0,MATCH(_xlfn.XLOOKUP($A627,Korrelation!$D$4:$D$1197,Korrelation!K$4:K$1197,"",0),'DM01-AV-CH'!$A$6:$A$834,0)))</f>
        <v>0</v>
      </c>
      <c r="J627" s="54" t="str" cm="1">
        <f t="array" aca="1" ref="J627" ca="1">IF(B627=0,IF(E627=0,"",HYPERLINK("#"&amp;RIGHT(CELL("adresse",OFFSET(DMAV_Dienste!$M$6,E627-1,0)),LEN(CELL("adresse",OFFSET(DMAV_Dienste!$M$6,E627-1,0)))-FIND("]",CELL("adresse",OFFSET(DMAV_Dienste!$M$6,E627-1,0)))),"Dienst")),HYPERLINK("#"&amp;RIGHT(CELL("adresse",OFFSET(DMAV_Modell!$N$6,B627-1,0)),LEN(CELL("adresse",OFFSET(DMAV_Modell!$N$6,B627-1,0)))-FIND("]",CELL("adresse",OFFSET(DMAV_Modell!$N$6,B627-1,0)))),"Modell"))</f>
        <v>Modell</v>
      </c>
      <c r="K627" s="61" t="str" cm="1">
        <f t="array" ref="K627">IF($B627=0,IF($E627=0,"",IF(INDEX(DMAV_Dienste!P$6:P$140,$E627)="","",INDEX(DMAV_Dienste!P$6:P$140,$E627))),IF(INDEX(DMAV_Modell!Q$6:Q$838,$B627)="","",INDEX(DMAV_Modell!Q$6:Q$838,$B627)))</f>
        <v>CLASS</v>
      </c>
      <c r="L627" s="62" t="str" cm="1">
        <f t="array" ref="L627">IF($B627=0,IF($E627=0,"",IF(INDEX(DMAV_Dienste!O$6:O$140,$E627)="","",INDEX(DMAV_Dienste!O$6:O$140,$E627))),IF(INDEX(DMAV_Modell!P$6:P$838,$B627)="","",INDEX(DMAV_Modell!P$6:P$838,$B627)))</f>
        <v>Dienstbarkeitsgrenzen</v>
      </c>
      <c r="M627" s="62" t="str" cm="1">
        <f t="array" ref="M627">IF($B627=0,IF($E627=0,"",IF(INDEX(DMAV_Dienste!Q$6:Q$140,$E627)="","",INDEX(DMAV_Dienste!Q$6:Q$140,$E627))),IF(INDEX(DMAV_Modell!R$6:R$838,$B627)="","",INDEX(DMAV_Modell!R$6:R$838,$B627)))</f>
        <v>Dienstbarkeitsgrenze</v>
      </c>
      <c r="N627" s="62" t="str" cm="1">
        <f t="array" ref="N627">IF($B627=0,IF($E627=0,"",IF(INDEX(DMAV_Dienste!T$6:T$140,$E627)="","",INDEX(DMAV_Dienste!T$6:T$140,$E627))),IF(INDEX(DMAV_Modell!U$6:U$838,$B627)="","",INDEX(DMAV_Modell!U$6:U$838,$B627)))</f>
        <v>Punktelement</v>
      </c>
      <c r="O627" s="63" t="str" cm="1">
        <f t="array" aca="1" ref="O627" ca="1">IF(C627=0,IF(F627=0,"",HYPERLINK("#"&amp;RIGHT(CELL("adresse",OFFSET(DMAV_Dienste!$M$6,F627-1,0)),LEN(CELL("adresse",OFFSET(DMAV_Dienste!$M$6,F627-1,0)))-FIND("]",CELL("adresse",OFFSET(DMAV_Dienste!$M$6,F627-1,0)))),"Structure")),HYPERLINK("#"&amp;RIGHT(CELL("adresse",OFFSET(DMAV_Modell!$N$6,C627-1,0)),LEN(CELL("adresse",OFFSET(DMAV_Modell!$N$6,C627-1,0)))-FIND("]",CELL("adresse",OFFSET(DMAV_Modell!$N$6,C627-1,0)))),"Structure"))</f>
        <v>Structure</v>
      </c>
      <c r="P627" s="64" t="str" cm="1">
        <f t="array" aca="1" ref="P627" ca="1">IF(D627=0,IF(G627=0,"",HYPERLINK("#"&amp;RIGHT(CELL("adresse",OFFSET(DMAV_Dienste!$M$6,G627-1,0)),LEN(CELL("adresse",OFFSET(DMAV_Dienste!$M$6,G627-1,0)))-FIND("]",CELL("adresse",OFFSET(DMAV_Dienste!$M$6,G627-1,0)))),"Substructure")),HYPERLINK("#"&amp;RIGHT(CELL("adresse",OFFSET(DMAV_Modell!$N$6,D627-1,0)),LEN(CELL("adresse",OFFSET(DMAV_Modell!$N$6,D627-1,0)))-FIND("]",CELL("adresse",OFFSET(DMAV_Modell!$N$6,D627-1,0)))),"Substructure"))</f>
        <v/>
      </c>
      <c r="R627" s="80"/>
      <c r="T627" s="93"/>
      <c r="U627" s="94"/>
      <c r="V627" s="95"/>
      <c r="W627" s="96"/>
      <c r="Y627" s="85"/>
      <c r="Z627" s="86"/>
      <c r="AA627" s="87"/>
      <c r="AB627" s="88"/>
      <c r="AD627" s="77"/>
      <c r="AF627" s="54" t="str" cm="1">
        <f t="array" aca="1" ref="AF627" ca="1">IF(H627=0,"",HYPERLINK("#"&amp;RIGHT(CELL("adresse",OFFSET('DM01-AV-CH'!$G$6,H627-1,0)),LEN(CELL("adresse",OFFSET('DM01-AV-CH'!$G$6,H627-1,0)))-FIND("]",CELL("adresse",OFFSET('DM01-AV-CH'!$G$6,H627-1,0)))),"Modell"))</f>
        <v/>
      </c>
      <c r="AG627" s="72" t="str" cm="1">
        <f t="array" ref="AG627">IF($H627=0,"",IF(INDEX('DM01-AV-CH'!G$6:G$834,$H627)="","",INDEX('DM01-AV-CH'!G$6:G$834,$H627)))</f>
        <v/>
      </c>
      <c r="AH627" s="73" t="str" cm="1">
        <f t="array" ref="AH627">IF($H627=0,"",IF(INDEX('DM01-AV-CH'!H$6:H$834,$H627)="","",INDEX('DM01-AV-CH'!H$6:H$834,$H627)))</f>
        <v/>
      </c>
      <c r="AI627" s="74" t="str" cm="1">
        <f t="array" ref="AI627">IF($H627=0,"",IF(INDEX('DM01-AV-CH'!I$6:I$834,$H627)="","",INDEX('DM01-AV-CH'!I$6:I$834,$H627)))</f>
        <v/>
      </c>
    </row>
    <row r="628" spans="1:35" x14ac:dyDescent="0.25">
      <c r="A628" s="57">
        <v>623</v>
      </c>
      <c r="B628" s="57">
        <f>IF($A628="","",IF(_xlfn.XLOOKUP($A628,Korrelation!$D$4:$D$1197,Korrelation!E$4:E$1197,"-",0)="-",0,MATCH(_xlfn.XLOOKUP($A628,Korrelation!$D$4:$D$1197,Korrelation!E$4:E$1197,"",0),DMAV_Modell!$G$6:$G$677,0)))</f>
        <v>333</v>
      </c>
      <c r="C628" s="57">
        <f>IF($A628="","",IF(_xlfn.XLOOKUP($A628,Korrelation!$D$4:$D$1197,Korrelation!F$4:F$1197,"-",0)="-",0,MATCH(_xlfn.XLOOKUP($A628,Korrelation!$D$4:$D$1197,Korrelation!F$4:F$1197,"",0),DMAV_Modell!$G$6:$G$677,0)))</f>
        <v>26</v>
      </c>
      <c r="D628" s="57">
        <f>IF($A628="","",IF(_xlfn.XLOOKUP($A628,Korrelation!$D$4:$D$1197,Korrelation!G$4:G$1197,"-",0)="-",0,MATCH(_xlfn.XLOOKUP($A628,Korrelation!$D$4:$D$1197,Korrelation!G$4:G$1197,"",0),DMAV_Modell!$G$6:$G$677,0)))</f>
        <v>0</v>
      </c>
      <c r="E628" s="57">
        <f>IF($A628="","",IF(_xlfn.XLOOKUP($A628,Korrelation!$D$4:$D$1197,Korrelation!H$4:H$1197,"-",0)="-",0,MATCH(_xlfn.XLOOKUP($A628,Korrelation!$D$4:$D$1197,Korrelation!H$4:H$1197,"",0),DMAV_Dienste!$F$6:$F$140,0)))</f>
        <v>0</v>
      </c>
      <c r="F628" s="57">
        <f>IF($A628="","",IF(_xlfn.XLOOKUP($A628,Korrelation!$D$4:$D$1197,Korrelation!I$4:I$1197,"-",0)="-",0,MATCH(_xlfn.XLOOKUP($A628,Korrelation!$D$4:$D$1197,Korrelation!I$4:I$1197,"",0),DMAV_Dienste!$F$6:$F$140,0)))</f>
        <v>0</v>
      </c>
      <c r="G628" s="57">
        <f>IF($A628="","",IF(_xlfn.XLOOKUP($A628,Korrelation!$D$4:$D$1197,Korrelation!J$4:J$1197,"-",0)="-",0,MATCH(_xlfn.XLOOKUP($A628,Korrelation!$D$4:$D$1197,Korrelation!J$4:J$1197,"",0),DMAV_Dienste!$F$6:$F$140,0)))</f>
        <v>0</v>
      </c>
      <c r="H628" s="57">
        <f>IF($A628="","",IF(_xlfn.XLOOKUP($A628,Korrelation!$D$4:$D$1197,Korrelation!K$4:K$1197,"-",0)="-",0,MATCH(_xlfn.XLOOKUP($A628,Korrelation!$D$4:$D$1197,Korrelation!K$4:K$1197,"",0),'DM01-AV-CH'!$A$6:$A$834,0)))</f>
        <v>0</v>
      </c>
      <c r="J628" s="54" t="str" cm="1">
        <f t="array" aca="1" ref="J628" ca="1">IF(B628=0,IF(E628=0,"",HYPERLINK("#"&amp;RIGHT(CELL("adresse",OFFSET(DMAV_Dienste!$M$6,E628-1,0)),LEN(CELL("adresse",OFFSET(DMAV_Dienste!$M$6,E628-1,0)))-FIND("]",CELL("adresse",OFFSET(DMAV_Dienste!$M$6,E628-1,0)))),"Dienst")),HYPERLINK("#"&amp;RIGHT(CELL("adresse",OFFSET(DMAV_Modell!$N$6,B628-1,0)),LEN(CELL("adresse",OFFSET(DMAV_Modell!$N$6,B628-1,0)))-FIND("]",CELL("adresse",OFFSET(DMAV_Modell!$N$6,B628-1,0)))),"Modell"))</f>
        <v>Modell</v>
      </c>
      <c r="K628" s="61" t="str" cm="1">
        <f t="array" ref="K628">IF($B628=0,IF($E628=0,"",IF(INDEX(DMAV_Dienste!P$6:P$140,$E628)="","",INDEX(DMAV_Dienste!P$6:P$140,$E628))),IF(INDEX(DMAV_Modell!Q$6:Q$838,$B628)="","",INDEX(DMAV_Modell!Q$6:Q$838,$B628)))</f>
        <v>CLASS</v>
      </c>
      <c r="L628" s="62" t="str" cm="1">
        <f t="array" ref="L628">IF($B628=0,IF($E628=0,"",IF(INDEX(DMAV_Dienste!O$6:O$140,$E628)="","",INDEX(DMAV_Dienste!O$6:O$140,$E628))),IF(INDEX(DMAV_Modell!P$6:P$838,$B628)="","",INDEX(DMAV_Modell!P$6:P$838,$B628)))</f>
        <v>Dienstbarkeitsgrenzen</v>
      </c>
      <c r="M628" s="62" t="str" cm="1">
        <f t="array" ref="M628">IF($B628=0,IF($E628=0,"",IF(INDEX(DMAV_Dienste!Q$6:Q$140,$E628)="","",INDEX(DMAV_Dienste!Q$6:Q$140,$E628))),IF(INDEX(DMAV_Modell!R$6:R$838,$B628)="","",INDEX(DMAV_Modell!R$6:R$838,$B628)))</f>
        <v>Dienstbarkeitsgrenze</v>
      </c>
      <c r="N628" s="62" t="str" cm="1">
        <f t="array" ref="N628">IF($B628=0,IF($E628=0,"",IF(INDEX(DMAV_Dienste!T$6:T$140,$E628)="","",INDEX(DMAV_Dienste!T$6:T$140,$E628))),IF(INDEX(DMAV_Modell!U$6:U$838,$B628)="","",INDEX(DMAV_Modell!U$6:U$838,$B628)))</f>
        <v>Textposition</v>
      </c>
      <c r="O628" s="63" t="str" cm="1">
        <f t="array" aca="1" ref="O628" ca="1">IF(C628=0,IF(F628=0,"",HYPERLINK("#"&amp;RIGHT(CELL("adresse",OFFSET(DMAV_Dienste!$M$6,F628-1,0)),LEN(CELL("adresse",OFFSET(DMAV_Dienste!$M$6,F628-1,0)))-FIND("]",CELL("adresse",OFFSET(DMAV_Dienste!$M$6,F628-1,0)))),"Structure")),HYPERLINK("#"&amp;RIGHT(CELL("adresse",OFFSET(DMAV_Modell!$N$6,C628-1,0)),LEN(CELL("adresse",OFFSET(DMAV_Modell!$N$6,C628-1,0)))-FIND("]",CELL("adresse",OFFSET(DMAV_Modell!$N$6,C628-1,0)))),"Structure"))</f>
        <v>Structure</v>
      </c>
      <c r="P628" s="64" t="str" cm="1">
        <f t="array" aca="1" ref="P628" ca="1">IF(D628=0,IF(G628=0,"",HYPERLINK("#"&amp;RIGHT(CELL("adresse",OFFSET(DMAV_Dienste!$M$6,G628-1,0)),LEN(CELL("adresse",OFFSET(DMAV_Dienste!$M$6,G628-1,0)))-FIND("]",CELL("adresse",OFFSET(DMAV_Dienste!$M$6,G628-1,0)))),"Substructure")),HYPERLINK("#"&amp;RIGHT(CELL("adresse",OFFSET(DMAV_Modell!$N$6,D628-1,0)),LEN(CELL("adresse",OFFSET(DMAV_Modell!$N$6,D628-1,0)))-FIND("]",CELL("adresse",OFFSET(DMAV_Modell!$N$6,D628-1,0)))),"Substructure"))</f>
        <v/>
      </c>
      <c r="R628" s="80"/>
      <c r="T628" s="93"/>
      <c r="U628" s="94"/>
      <c r="V628" s="95"/>
      <c r="W628" s="96"/>
      <c r="Y628" s="85"/>
      <c r="Z628" s="86"/>
      <c r="AA628" s="87"/>
      <c r="AB628" s="88"/>
      <c r="AD628" s="77"/>
      <c r="AF628" s="54" t="str" cm="1">
        <f t="array" aca="1" ref="AF628" ca="1">IF(H628=0,"",HYPERLINK("#"&amp;RIGHT(CELL("adresse",OFFSET('DM01-AV-CH'!$G$6,H628-1,0)),LEN(CELL("adresse",OFFSET('DM01-AV-CH'!$G$6,H628-1,0)))-FIND("]",CELL("adresse",OFFSET('DM01-AV-CH'!$G$6,H628-1,0)))),"Modell"))</f>
        <v/>
      </c>
      <c r="AG628" s="72" t="str" cm="1">
        <f t="array" ref="AG628">IF($H628=0,"",IF(INDEX('DM01-AV-CH'!G$6:G$834,$H628)="","",INDEX('DM01-AV-CH'!G$6:G$834,$H628)))</f>
        <v/>
      </c>
      <c r="AH628" s="73" t="str" cm="1">
        <f t="array" ref="AH628">IF($H628=0,"",IF(INDEX('DM01-AV-CH'!H$6:H$834,$H628)="","",INDEX('DM01-AV-CH'!H$6:H$834,$H628)))</f>
        <v/>
      </c>
      <c r="AI628" s="74" t="str" cm="1">
        <f t="array" ref="AI628">IF($H628=0,"",IF(INDEX('DM01-AV-CH'!I$6:I$834,$H628)="","",INDEX('DM01-AV-CH'!I$6:I$834,$H628)))</f>
        <v/>
      </c>
    </row>
    <row r="629" spans="1:35" x14ac:dyDescent="0.25">
      <c r="A629" s="57">
        <v>624</v>
      </c>
      <c r="B629" s="57">
        <f>IF($A629="","",IF(_xlfn.XLOOKUP($A629,Korrelation!$D$4:$D$1197,Korrelation!E$4:E$1197,"-",0)="-",0,MATCH(_xlfn.XLOOKUP($A629,Korrelation!$D$4:$D$1197,Korrelation!E$4:E$1197,"",0),DMAV_Modell!$G$6:$G$677,0)))</f>
        <v>334</v>
      </c>
      <c r="C629" s="57">
        <f>IF($A629="","",IF(_xlfn.XLOOKUP($A629,Korrelation!$D$4:$D$1197,Korrelation!F$4:F$1197,"-",0)="-",0,MATCH(_xlfn.XLOOKUP($A629,Korrelation!$D$4:$D$1197,Korrelation!F$4:F$1197,"",0),DMAV_Modell!$G$6:$G$677,0)))</f>
        <v>0</v>
      </c>
      <c r="D629" s="57">
        <f>IF($A629="","",IF(_xlfn.XLOOKUP($A629,Korrelation!$D$4:$D$1197,Korrelation!G$4:G$1197,"-",0)="-",0,MATCH(_xlfn.XLOOKUP($A629,Korrelation!$D$4:$D$1197,Korrelation!G$4:G$1197,"",0),DMAV_Modell!$G$6:$G$677,0)))</f>
        <v>0</v>
      </c>
      <c r="E629" s="57">
        <f>IF($A629="","",IF(_xlfn.XLOOKUP($A629,Korrelation!$D$4:$D$1197,Korrelation!H$4:H$1197,"-",0)="-",0,MATCH(_xlfn.XLOOKUP($A629,Korrelation!$D$4:$D$1197,Korrelation!H$4:H$1197,"",0),DMAV_Dienste!$F$6:$F$140,0)))</f>
        <v>0</v>
      </c>
      <c r="F629" s="57">
        <f>IF($A629="","",IF(_xlfn.XLOOKUP($A629,Korrelation!$D$4:$D$1197,Korrelation!I$4:I$1197,"-",0)="-",0,MATCH(_xlfn.XLOOKUP($A629,Korrelation!$D$4:$D$1197,Korrelation!I$4:I$1197,"",0),DMAV_Dienste!$F$6:$F$140,0)))</f>
        <v>0</v>
      </c>
      <c r="G629" s="57">
        <f>IF($A629="","",IF(_xlfn.XLOOKUP($A629,Korrelation!$D$4:$D$1197,Korrelation!J$4:J$1197,"-",0)="-",0,MATCH(_xlfn.XLOOKUP($A629,Korrelation!$D$4:$D$1197,Korrelation!J$4:J$1197,"",0),DMAV_Dienste!$F$6:$F$140,0)))</f>
        <v>0</v>
      </c>
      <c r="H629" s="57">
        <f>IF($A629="","",IF(_xlfn.XLOOKUP($A629,Korrelation!$D$4:$D$1197,Korrelation!K$4:K$1197,"-",0)="-",0,MATCH(_xlfn.XLOOKUP($A629,Korrelation!$D$4:$D$1197,Korrelation!K$4:K$1197,"",0),'DM01-AV-CH'!$A$6:$A$834,0)))</f>
        <v>0</v>
      </c>
      <c r="J629" s="54" t="str" cm="1">
        <f t="array" aca="1" ref="J629" ca="1">IF(B629=0,IF(E629=0,"",HYPERLINK("#"&amp;RIGHT(CELL("adresse",OFFSET(DMAV_Dienste!$M$6,E629-1,0)),LEN(CELL("adresse",OFFSET(DMAV_Dienste!$M$6,E629-1,0)))-FIND("]",CELL("adresse",OFFSET(DMAV_Dienste!$M$6,E629-1,0)))),"Dienst")),HYPERLINK("#"&amp;RIGHT(CELL("adresse",OFFSET(DMAV_Modell!$N$6,B629-1,0)),LEN(CELL("adresse",OFFSET(DMAV_Modell!$N$6,B629-1,0)))-FIND("]",CELL("adresse",OFFSET(DMAV_Modell!$N$6,B629-1,0)))),"Modell"))</f>
        <v>Modell</v>
      </c>
      <c r="K629" s="61" t="str" cm="1">
        <f t="array" ref="K629">IF($B629=0,IF($E629=0,"",IF(INDEX(DMAV_Dienste!P$6:P$140,$E629)="","",INDEX(DMAV_Dienste!P$6:P$140,$E629))),IF(INDEX(DMAV_Modell!Q$6:Q$838,$B629)="","",INDEX(DMAV_Modell!Q$6:Q$838,$B629)))</f>
        <v>CLASS.CONSTRAINT</v>
      </c>
      <c r="L629" s="62" t="str" cm="1">
        <f t="array" ref="L629">IF($B629=0,IF($E629=0,"",IF(INDEX(DMAV_Dienste!O$6:O$140,$E629)="","",INDEX(DMAV_Dienste!O$6:O$140,$E629))),IF(INDEX(DMAV_Modell!P$6:P$838,$B629)="","",INDEX(DMAV_Modell!P$6:P$838,$B629)))</f>
        <v>Dienstbarkeitsgrenzen</v>
      </c>
      <c r="M629" s="62" t="str" cm="1">
        <f t="array" ref="M629">IF($B629=0,IF($E629=0,"",IF(INDEX(DMAV_Dienste!Q$6:Q$140,$E629)="","",INDEX(DMAV_Dienste!Q$6:Q$140,$E629))),IF(INDEX(DMAV_Modell!R$6:R$838,$B629)="","",INDEX(DMAV_Modell!R$6:R$838,$B629)))</f>
        <v>Dienstbarkeitsgrenze</v>
      </c>
      <c r="N629" s="62" t="str" cm="1">
        <f t="array" ref="N629">IF($B629=0,IF($E629=0,"",IF(INDEX(DMAV_Dienste!T$6:T$140,$E629)="","",INDEX(DMAV_Dienste!T$6:T$140,$E629))),IF(INDEX(DMAV_Modell!U$6:U$838,$B629)="","",INDEX(DMAV_Modell!U$6:U$838,$B629)))</f>
        <v>INTERLIS.elementCount(@PH1@)&gt;0 OR INTERLIS.elementCount(@PH2@)&gt;0 OR INTERLIS.elementCount(@PH3@)&gt;0</v>
      </c>
      <c r="O629" s="63" t="str" cm="1">
        <f t="array" aca="1" ref="O629" ca="1">IF(C629=0,IF(F629=0,"",HYPERLINK("#"&amp;RIGHT(CELL("adresse",OFFSET(DMAV_Dienste!$M$6,F629-1,0)),LEN(CELL("adresse",OFFSET(DMAV_Dienste!$M$6,F629-1,0)))-FIND("]",CELL("adresse",OFFSET(DMAV_Dienste!$M$6,F629-1,0)))),"Structure")),HYPERLINK("#"&amp;RIGHT(CELL("adresse",OFFSET(DMAV_Modell!$N$6,C629-1,0)),LEN(CELL("adresse",OFFSET(DMAV_Modell!$N$6,C629-1,0)))-FIND("]",CELL("adresse",OFFSET(DMAV_Modell!$N$6,C629-1,0)))),"Structure"))</f>
        <v/>
      </c>
      <c r="P629" s="64" t="str" cm="1">
        <f t="array" aca="1" ref="P629" ca="1">IF(D629=0,IF(G629=0,"",HYPERLINK("#"&amp;RIGHT(CELL("adresse",OFFSET(DMAV_Dienste!$M$6,G629-1,0)),LEN(CELL("adresse",OFFSET(DMAV_Dienste!$M$6,G629-1,0)))-FIND("]",CELL("adresse",OFFSET(DMAV_Dienste!$M$6,G629-1,0)))),"Substructure")),HYPERLINK("#"&amp;RIGHT(CELL("adresse",OFFSET(DMAV_Modell!$N$6,D629-1,0)),LEN(CELL("adresse",OFFSET(DMAV_Modell!$N$6,D629-1,0)))-FIND("]",CELL("adresse",OFFSET(DMAV_Modell!$N$6,D629-1,0)))),"Substructure"))</f>
        <v/>
      </c>
      <c r="R629" s="80"/>
      <c r="T629" s="93"/>
      <c r="U629" s="94"/>
      <c r="V629" s="95"/>
      <c r="W629" s="96"/>
      <c r="Y629" s="85"/>
      <c r="Z629" s="86"/>
      <c r="AA629" s="87"/>
      <c r="AB629" s="88"/>
      <c r="AD629" s="77"/>
      <c r="AF629" s="54" t="str" cm="1">
        <f t="array" aca="1" ref="AF629" ca="1">IF(H629=0,"",HYPERLINK("#"&amp;RIGHT(CELL("adresse",OFFSET('DM01-AV-CH'!$G$6,H629-1,0)),LEN(CELL("adresse",OFFSET('DM01-AV-CH'!$G$6,H629-1,0)))-FIND("]",CELL("adresse",OFFSET('DM01-AV-CH'!$G$6,H629-1,0)))),"Modell"))</f>
        <v/>
      </c>
      <c r="AG629" s="72" t="str" cm="1">
        <f t="array" ref="AG629">IF($H629=0,"",IF(INDEX('DM01-AV-CH'!G$6:G$834,$H629)="","",INDEX('DM01-AV-CH'!G$6:G$834,$H629)))</f>
        <v/>
      </c>
      <c r="AH629" s="73" t="str" cm="1">
        <f t="array" ref="AH629">IF($H629=0,"",IF(INDEX('DM01-AV-CH'!H$6:H$834,$H629)="","",INDEX('DM01-AV-CH'!H$6:H$834,$H629)))</f>
        <v/>
      </c>
      <c r="AI629" s="74" t="str" cm="1">
        <f t="array" ref="AI629">IF($H629=0,"",IF(INDEX('DM01-AV-CH'!I$6:I$834,$H629)="","",INDEX('DM01-AV-CH'!I$6:I$834,$H629)))</f>
        <v/>
      </c>
    </row>
    <row r="630" spans="1:35" x14ac:dyDescent="0.25">
      <c r="A630" s="57">
        <v>625</v>
      </c>
      <c r="B630" s="57">
        <f>IF($A630="","",IF(_xlfn.XLOOKUP($A630,Korrelation!$D$4:$D$1197,Korrelation!E$4:E$1197,"-",0)="-",0,MATCH(_xlfn.XLOOKUP($A630,Korrelation!$D$4:$D$1197,Korrelation!E$4:E$1197,"",0),DMAV_Modell!$G$6:$G$677,0)))</f>
        <v>335</v>
      </c>
      <c r="C630" s="57">
        <f>IF($A630="","",IF(_xlfn.XLOOKUP($A630,Korrelation!$D$4:$D$1197,Korrelation!F$4:F$1197,"-",0)="-",0,MATCH(_xlfn.XLOOKUP($A630,Korrelation!$D$4:$D$1197,Korrelation!F$4:F$1197,"",0),DMAV_Modell!$G$6:$G$677,0)))</f>
        <v>0</v>
      </c>
      <c r="D630" s="57">
        <f>IF($A630="","",IF(_xlfn.XLOOKUP($A630,Korrelation!$D$4:$D$1197,Korrelation!G$4:G$1197,"-",0)="-",0,MATCH(_xlfn.XLOOKUP($A630,Korrelation!$D$4:$D$1197,Korrelation!G$4:G$1197,"",0),DMAV_Modell!$G$6:$G$677,0)))</f>
        <v>0</v>
      </c>
      <c r="E630" s="57">
        <f>IF($A630="","",IF(_xlfn.XLOOKUP($A630,Korrelation!$D$4:$D$1197,Korrelation!H$4:H$1197,"-",0)="-",0,MATCH(_xlfn.XLOOKUP($A630,Korrelation!$D$4:$D$1197,Korrelation!H$4:H$1197,"",0),DMAV_Dienste!$F$6:$F$140,0)))</f>
        <v>0</v>
      </c>
      <c r="F630" s="57">
        <f>IF($A630="","",IF(_xlfn.XLOOKUP($A630,Korrelation!$D$4:$D$1197,Korrelation!I$4:I$1197,"-",0)="-",0,MATCH(_xlfn.XLOOKUP($A630,Korrelation!$D$4:$D$1197,Korrelation!I$4:I$1197,"",0),DMAV_Dienste!$F$6:$F$140,0)))</f>
        <v>0</v>
      </c>
      <c r="G630" s="57">
        <f>IF($A630="","",IF(_xlfn.XLOOKUP($A630,Korrelation!$D$4:$D$1197,Korrelation!J$4:J$1197,"-",0)="-",0,MATCH(_xlfn.XLOOKUP($A630,Korrelation!$D$4:$D$1197,Korrelation!J$4:J$1197,"",0),DMAV_Dienste!$F$6:$F$140,0)))</f>
        <v>0</v>
      </c>
      <c r="H630" s="57">
        <f>IF($A630="","",IF(_xlfn.XLOOKUP($A630,Korrelation!$D$4:$D$1197,Korrelation!K$4:K$1197,"-",0)="-",0,MATCH(_xlfn.XLOOKUP($A630,Korrelation!$D$4:$D$1197,Korrelation!K$4:K$1197,"",0),'DM01-AV-CH'!$A$6:$A$834,0)))</f>
        <v>0</v>
      </c>
      <c r="J630" s="54" t="str" cm="1">
        <f t="array" aca="1" ref="J630" ca="1">IF(B630=0,IF(E630=0,"",HYPERLINK("#"&amp;RIGHT(CELL("adresse",OFFSET(DMAV_Dienste!$M$6,E630-1,0)),LEN(CELL("adresse",OFFSET(DMAV_Dienste!$M$6,E630-1,0)))-FIND("]",CELL("adresse",OFFSET(DMAV_Dienste!$M$6,E630-1,0)))),"Dienst")),HYPERLINK("#"&amp;RIGHT(CELL("adresse",OFFSET(DMAV_Modell!$N$6,B630-1,0)),LEN(CELL("adresse",OFFSET(DMAV_Modell!$N$6,B630-1,0)))-FIND("]",CELL("adresse",OFFSET(DMAV_Modell!$N$6,B630-1,0)))),"Modell"))</f>
        <v>Modell</v>
      </c>
      <c r="K630" s="61" t="str" cm="1">
        <f t="array" ref="K630">IF($B630=0,IF($E630=0,"",IF(INDEX(DMAV_Dienste!P$6:P$140,$E630)="","",INDEX(DMAV_Dienste!P$6:P$140,$E630))),IF(INDEX(DMAV_Modell!Q$6:Q$838,$B630)="","",INDEX(DMAV_Modell!Q$6:Q$838,$B630)))</f>
        <v>ASSOCIATION</v>
      </c>
      <c r="L630" s="62" t="str" cm="1">
        <f t="array" ref="L630">IF($B630=0,IF($E630=0,"",IF(INDEX(DMAV_Dienste!O$6:O$140,$E630)="","",INDEX(DMAV_Dienste!O$6:O$140,$E630))),IF(INDEX(DMAV_Modell!P$6:P$838,$B630)="","",INDEX(DMAV_Modell!P$6:P$838,$B630)))</f>
        <v>Dienstbarkeitsgrenzen</v>
      </c>
      <c r="M630" s="62" t="str" cm="1">
        <f t="array" ref="M630">IF($B630=0,IF($E630=0,"",IF(INDEX(DMAV_Dienste!Q$6:Q$140,$E630)="","",INDEX(DMAV_Dienste!Q$6:Q$140,$E630))),IF(INDEX(DMAV_Modell!R$6:R$838,$B630)="","",INDEX(DMAV_Modell!R$6:R$838,$B630)))</f>
        <v>Entstehung_Dienstbarkeitsgrenze</v>
      </c>
      <c r="N630" s="62" t="str" cm="1">
        <f t="array" ref="N630">IF($B630=0,IF($E630=0,"",IF(INDEX(DMAV_Dienste!T$6:T$140,$E630)="","",INDEX(DMAV_Dienste!T$6:T$140,$E630))),IF(INDEX(DMAV_Modell!U$6:U$838,$B630)="","",INDEX(DMAV_Modell!U$6:U$838,$B630)))</f>
        <v>Entstehung</v>
      </c>
      <c r="O630" s="63" t="str" cm="1">
        <f t="array" aca="1" ref="O630" ca="1">IF(C630=0,IF(F630=0,"",HYPERLINK("#"&amp;RIGHT(CELL("adresse",OFFSET(DMAV_Dienste!$M$6,F630-1,0)),LEN(CELL("adresse",OFFSET(DMAV_Dienste!$M$6,F630-1,0)))-FIND("]",CELL("adresse",OFFSET(DMAV_Dienste!$M$6,F630-1,0)))),"Structure")),HYPERLINK("#"&amp;RIGHT(CELL("adresse",OFFSET(DMAV_Modell!$N$6,C630-1,0)),LEN(CELL("adresse",OFFSET(DMAV_Modell!$N$6,C630-1,0)))-FIND("]",CELL("adresse",OFFSET(DMAV_Modell!$N$6,C630-1,0)))),"Structure"))</f>
        <v/>
      </c>
      <c r="P630" s="64" t="str" cm="1">
        <f t="array" aca="1" ref="P630" ca="1">IF(D630=0,IF(G630=0,"",HYPERLINK("#"&amp;RIGHT(CELL("adresse",OFFSET(DMAV_Dienste!$M$6,G630-1,0)),LEN(CELL("adresse",OFFSET(DMAV_Dienste!$M$6,G630-1,0)))-FIND("]",CELL("adresse",OFFSET(DMAV_Dienste!$M$6,G630-1,0)))),"Substructure")),HYPERLINK("#"&amp;RIGHT(CELL("adresse",OFFSET(DMAV_Modell!$N$6,D630-1,0)),LEN(CELL("adresse",OFFSET(DMAV_Modell!$N$6,D630-1,0)))-FIND("]",CELL("adresse",OFFSET(DMAV_Modell!$N$6,D630-1,0)))),"Substructure"))</f>
        <v/>
      </c>
      <c r="R630" s="80"/>
      <c r="T630" s="93"/>
      <c r="U630" s="94"/>
      <c r="V630" s="95"/>
      <c r="W630" s="96"/>
      <c r="Y630" s="85"/>
      <c r="Z630" s="86"/>
      <c r="AA630" s="87"/>
      <c r="AB630" s="88"/>
      <c r="AD630" s="77"/>
      <c r="AF630" s="54" t="str" cm="1">
        <f t="array" aca="1" ref="AF630" ca="1">IF(H630=0,"",HYPERLINK("#"&amp;RIGHT(CELL("adresse",OFFSET('DM01-AV-CH'!$G$6,H630-1,0)),LEN(CELL("adresse",OFFSET('DM01-AV-CH'!$G$6,H630-1,0)))-FIND("]",CELL("adresse",OFFSET('DM01-AV-CH'!$G$6,H630-1,0)))),"Modell"))</f>
        <v/>
      </c>
      <c r="AG630" s="72" t="str" cm="1">
        <f t="array" ref="AG630">IF($H630=0,"",IF(INDEX('DM01-AV-CH'!G$6:G$834,$H630)="","",INDEX('DM01-AV-CH'!G$6:G$834,$H630)))</f>
        <v/>
      </c>
      <c r="AH630" s="73" t="str" cm="1">
        <f t="array" ref="AH630">IF($H630=0,"",IF(INDEX('DM01-AV-CH'!H$6:H$834,$H630)="","",INDEX('DM01-AV-CH'!H$6:H$834,$H630)))</f>
        <v/>
      </c>
      <c r="AI630" s="74" t="str" cm="1">
        <f t="array" ref="AI630">IF($H630=0,"",IF(INDEX('DM01-AV-CH'!I$6:I$834,$H630)="","",INDEX('DM01-AV-CH'!I$6:I$834,$H630)))</f>
        <v/>
      </c>
    </row>
    <row r="631" spans="1:35" x14ac:dyDescent="0.25">
      <c r="A631" s="57">
        <v>626</v>
      </c>
      <c r="B631" s="57">
        <f>IF($A631="","",IF(_xlfn.XLOOKUP($A631,Korrelation!$D$4:$D$1197,Korrelation!E$4:E$1197,"-",0)="-",0,MATCH(_xlfn.XLOOKUP($A631,Korrelation!$D$4:$D$1197,Korrelation!E$4:E$1197,"",0),DMAV_Modell!$G$6:$G$677,0)))</f>
        <v>336</v>
      </c>
      <c r="C631" s="57">
        <f>IF($A631="","",IF(_xlfn.XLOOKUP($A631,Korrelation!$D$4:$D$1197,Korrelation!F$4:F$1197,"-",0)="-",0,MATCH(_xlfn.XLOOKUP($A631,Korrelation!$D$4:$D$1197,Korrelation!F$4:F$1197,"",0),DMAV_Modell!$G$6:$G$677,0)))</f>
        <v>0</v>
      </c>
      <c r="D631" s="57">
        <f>IF($A631="","",IF(_xlfn.XLOOKUP($A631,Korrelation!$D$4:$D$1197,Korrelation!G$4:G$1197,"-",0)="-",0,MATCH(_xlfn.XLOOKUP($A631,Korrelation!$D$4:$D$1197,Korrelation!G$4:G$1197,"",0),DMAV_Modell!$G$6:$G$677,0)))</f>
        <v>0</v>
      </c>
      <c r="E631" s="57">
        <f>IF($A631="","",IF(_xlfn.XLOOKUP($A631,Korrelation!$D$4:$D$1197,Korrelation!H$4:H$1197,"-",0)="-",0,MATCH(_xlfn.XLOOKUP($A631,Korrelation!$D$4:$D$1197,Korrelation!H$4:H$1197,"",0),DMAV_Dienste!$F$6:$F$140,0)))</f>
        <v>0</v>
      </c>
      <c r="F631" s="57">
        <f>IF($A631="","",IF(_xlfn.XLOOKUP($A631,Korrelation!$D$4:$D$1197,Korrelation!I$4:I$1197,"-",0)="-",0,MATCH(_xlfn.XLOOKUP($A631,Korrelation!$D$4:$D$1197,Korrelation!I$4:I$1197,"",0),DMAV_Dienste!$F$6:$F$140,0)))</f>
        <v>0</v>
      </c>
      <c r="G631" s="57">
        <f>IF($A631="","",IF(_xlfn.XLOOKUP($A631,Korrelation!$D$4:$D$1197,Korrelation!J$4:J$1197,"-",0)="-",0,MATCH(_xlfn.XLOOKUP($A631,Korrelation!$D$4:$D$1197,Korrelation!J$4:J$1197,"",0),DMAV_Dienste!$F$6:$F$140,0)))</f>
        <v>0</v>
      </c>
      <c r="H631" s="57">
        <f>IF($A631="","",IF(_xlfn.XLOOKUP($A631,Korrelation!$D$4:$D$1197,Korrelation!K$4:K$1197,"-",0)="-",0,MATCH(_xlfn.XLOOKUP($A631,Korrelation!$D$4:$D$1197,Korrelation!K$4:K$1197,"",0),'DM01-AV-CH'!$A$6:$A$834,0)))</f>
        <v>0</v>
      </c>
      <c r="J631" s="54" t="str" cm="1">
        <f t="array" aca="1" ref="J631" ca="1">IF(B631=0,IF(E631=0,"",HYPERLINK("#"&amp;RIGHT(CELL("adresse",OFFSET(DMAV_Dienste!$M$6,E631-1,0)),LEN(CELL("adresse",OFFSET(DMAV_Dienste!$M$6,E631-1,0)))-FIND("]",CELL("adresse",OFFSET(DMAV_Dienste!$M$6,E631-1,0)))),"Dienst")),HYPERLINK("#"&amp;RIGHT(CELL("adresse",OFFSET(DMAV_Modell!$N$6,B631-1,0)),LEN(CELL("adresse",OFFSET(DMAV_Modell!$N$6,B631-1,0)))-FIND("]",CELL("adresse",OFFSET(DMAV_Modell!$N$6,B631-1,0)))),"Modell"))</f>
        <v>Modell</v>
      </c>
      <c r="K631" s="61" t="str" cm="1">
        <f t="array" ref="K631">IF($B631=0,IF($E631=0,"",IF(INDEX(DMAV_Dienste!P$6:P$140,$E631)="","",INDEX(DMAV_Dienste!P$6:P$140,$E631))),IF(INDEX(DMAV_Modell!Q$6:Q$838,$B631)="","",INDEX(DMAV_Modell!Q$6:Q$838,$B631)))</f>
        <v>ASSOCIATION</v>
      </c>
      <c r="L631" s="62" t="str" cm="1">
        <f t="array" ref="L631">IF($B631=0,IF($E631=0,"",IF(INDEX(DMAV_Dienste!O$6:O$140,$E631)="","",INDEX(DMAV_Dienste!O$6:O$140,$E631))),IF(INDEX(DMAV_Modell!P$6:P$838,$B631)="","",INDEX(DMAV_Modell!P$6:P$838,$B631)))</f>
        <v>Dienstbarkeitsgrenzen</v>
      </c>
      <c r="M631" s="62" t="str" cm="1">
        <f t="array" ref="M631">IF($B631=0,IF($E631=0,"",IF(INDEX(DMAV_Dienste!Q$6:Q$140,$E631)="","",INDEX(DMAV_Dienste!Q$6:Q$140,$E631))),IF(INDEX(DMAV_Modell!R$6:R$838,$B631)="","",INDEX(DMAV_Modell!R$6:R$838,$B631)))</f>
        <v>Entstehung_Dienstbarkeitsgrenze</v>
      </c>
      <c r="N631" s="62" t="str" cm="1">
        <f t="array" ref="N631">IF($B631=0,IF($E631=0,"",IF(INDEX(DMAV_Dienste!T$6:T$140,$E631)="","",INDEX(DMAV_Dienste!T$6:T$140,$E631))),IF(INDEX(DMAV_Modell!U$6:U$838,$B631)="","",INDEX(DMAV_Modell!U$6:U$838,$B631)))</f>
        <v>entstehende_Dienstbarkeitsgrenze</v>
      </c>
      <c r="O631" s="63" t="str" cm="1">
        <f t="array" aca="1" ref="O631" ca="1">IF(C631=0,IF(F631=0,"",HYPERLINK("#"&amp;RIGHT(CELL("adresse",OFFSET(DMAV_Dienste!$M$6,F631-1,0)),LEN(CELL("adresse",OFFSET(DMAV_Dienste!$M$6,F631-1,0)))-FIND("]",CELL("adresse",OFFSET(DMAV_Dienste!$M$6,F631-1,0)))),"Structure")),HYPERLINK("#"&amp;RIGHT(CELL("adresse",OFFSET(DMAV_Modell!$N$6,C631-1,0)),LEN(CELL("adresse",OFFSET(DMAV_Modell!$N$6,C631-1,0)))-FIND("]",CELL("adresse",OFFSET(DMAV_Modell!$N$6,C631-1,0)))),"Structure"))</f>
        <v/>
      </c>
      <c r="P631" s="64" t="str" cm="1">
        <f t="array" aca="1" ref="P631" ca="1">IF(D631=0,IF(G631=0,"",HYPERLINK("#"&amp;RIGHT(CELL("adresse",OFFSET(DMAV_Dienste!$M$6,G631-1,0)),LEN(CELL("adresse",OFFSET(DMAV_Dienste!$M$6,G631-1,0)))-FIND("]",CELL("adresse",OFFSET(DMAV_Dienste!$M$6,G631-1,0)))),"Substructure")),HYPERLINK("#"&amp;RIGHT(CELL("adresse",OFFSET(DMAV_Modell!$N$6,D631-1,0)),LEN(CELL("adresse",OFFSET(DMAV_Modell!$N$6,D631-1,0)))-FIND("]",CELL("adresse",OFFSET(DMAV_Modell!$N$6,D631-1,0)))),"Substructure"))</f>
        <v/>
      </c>
      <c r="R631" s="80"/>
      <c r="T631" s="93"/>
      <c r="U631" s="94"/>
      <c r="V631" s="95"/>
      <c r="W631" s="96"/>
      <c r="Y631" s="85"/>
      <c r="Z631" s="86"/>
      <c r="AA631" s="87"/>
      <c r="AB631" s="88"/>
      <c r="AD631" s="77"/>
      <c r="AF631" s="54" t="str" cm="1">
        <f t="array" aca="1" ref="AF631" ca="1">IF(H631=0,"",HYPERLINK("#"&amp;RIGHT(CELL("adresse",OFFSET('DM01-AV-CH'!$G$6,H631-1,0)),LEN(CELL("adresse",OFFSET('DM01-AV-CH'!$G$6,H631-1,0)))-FIND("]",CELL("adresse",OFFSET('DM01-AV-CH'!$G$6,H631-1,0)))),"Modell"))</f>
        <v/>
      </c>
      <c r="AG631" s="72" t="str" cm="1">
        <f t="array" ref="AG631">IF($H631=0,"",IF(INDEX('DM01-AV-CH'!G$6:G$834,$H631)="","",INDEX('DM01-AV-CH'!G$6:G$834,$H631)))</f>
        <v/>
      </c>
      <c r="AH631" s="73" t="str" cm="1">
        <f t="array" ref="AH631">IF($H631=0,"",IF(INDEX('DM01-AV-CH'!H$6:H$834,$H631)="","",INDEX('DM01-AV-CH'!H$6:H$834,$H631)))</f>
        <v/>
      </c>
      <c r="AI631" s="74" t="str" cm="1">
        <f t="array" ref="AI631">IF($H631=0,"",IF(INDEX('DM01-AV-CH'!I$6:I$834,$H631)="","",INDEX('DM01-AV-CH'!I$6:I$834,$H631)))</f>
        <v/>
      </c>
    </row>
    <row r="632" spans="1:35" x14ac:dyDescent="0.25">
      <c r="A632" s="57">
        <v>627</v>
      </c>
      <c r="B632" s="57">
        <f>IF($A632="","",IF(_xlfn.XLOOKUP($A632,Korrelation!$D$4:$D$1197,Korrelation!E$4:E$1197,"-",0)="-",0,MATCH(_xlfn.XLOOKUP($A632,Korrelation!$D$4:$D$1197,Korrelation!E$4:E$1197,"",0),DMAV_Modell!$G$6:$G$677,0)))</f>
        <v>337</v>
      </c>
      <c r="C632" s="57">
        <f>IF($A632="","",IF(_xlfn.XLOOKUP($A632,Korrelation!$D$4:$D$1197,Korrelation!F$4:F$1197,"-",0)="-",0,MATCH(_xlfn.XLOOKUP($A632,Korrelation!$D$4:$D$1197,Korrelation!F$4:F$1197,"",0),DMAV_Modell!$G$6:$G$677,0)))</f>
        <v>0</v>
      </c>
      <c r="D632" s="57">
        <f>IF($A632="","",IF(_xlfn.XLOOKUP($A632,Korrelation!$D$4:$D$1197,Korrelation!G$4:G$1197,"-",0)="-",0,MATCH(_xlfn.XLOOKUP($A632,Korrelation!$D$4:$D$1197,Korrelation!G$4:G$1197,"",0),DMAV_Modell!$G$6:$G$677,0)))</f>
        <v>0</v>
      </c>
      <c r="E632" s="57">
        <f>IF($A632="","",IF(_xlfn.XLOOKUP($A632,Korrelation!$D$4:$D$1197,Korrelation!H$4:H$1197,"-",0)="-",0,MATCH(_xlfn.XLOOKUP($A632,Korrelation!$D$4:$D$1197,Korrelation!H$4:H$1197,"",0),DMAV_Dienste!$F$6:$F$140,0)))</f>
        <v>0</v>
      </c>
      <c r="F632" s="57">
        <f>IF($A632="","",IF(_xlfn.XLOOKUP($A632,Korrelation!$D$4:$D$1197,Korrelation!I$4:I$1197,"-",0)="-",0,MATCH(_xlfn.XLOOKUP($A632,Korrelation!$D$4:$D$1197,Korrelation!I$4:I$1197,"",0),DMAV_Dienste!$F$6:$F$140,0)))</f>
        <v>0</v>
      </c>
      <c r="G632" s="57">
        <f>IF($A632="","",IF(_xlfn.XLOOKUP($A632,Korrelation!$D$4:$D$1197,Korrelation!J$4:J$1197,"-",0)="-",0,MATCH(_xlfn.XLOOKUP($A632,Korrelation!$D$4:$D$1197,Korrelation!J$4:J$1197,"",0),DMAV_Dienste!$F$6:$F$140,0)))</f>
        <v>0</v>
      </c>
      <c r="H632" s="57">
        <f>IF($A632="","",IF(_xlfn.XLOOKUP($A632,Korrelation!$D$4:$D$1197,Korrelation!K$4:K$1197,"-",0)="-",0,MATCH(_xlfn.XLOOKUP($A632,Korrelation!$D$4:$D$1197,Korrelation!K$4:K$1197,"",0),'DM01-AV-CH'!$A$6:$A$834,0)))</f>
        <v>0</v>
      </c>
      <c r="J632" s="54" t="str" cm="1">
        <f t="array" aca="1" ref="J632" ca="1">IF(B632=0,IF(E632=0,"",HYPERLINK("#"&amp;RIGHT(CELL("adresse",OFFSET(DMAV_Dienste!$M$6,E632-1,0)),LEN(CELL("adresse",OFFSET(DMAV_Dienste!$M$6,E632-1,0)))-FIND("]",CELL("adresse",OFFSET(DMAV_Dienste!$M$6,E632-1,0)))),"Dienst")),HYPERLINK("#"&amp;RIGHT(CELL("adresse",OFFSET(DMAV_Modell!$N$6,B632-1,0)),LEN(CELL("adresse",OFFSET(DMAV_Modell!$N$6,B632-1,0)))-FIND("]",CELL("adresse",OFFSET(DMAV_Modell!$N$6,B632-1,0)))),"Modell"))</f>
        <v>Modell</v>
      </c>
      <c r="K632" s="61" t="str" cm="1">
        <f t="array" ref="K632">IF($B632=0,IF($E632=0,"",IF(INDEX(DMAV_Dienste!P$6:P$140,$E632)="","",INDEX(DMAV_Dienste!P$6:P$140,$E632))),IF(INDEX(DMAV_Modell!Q$6:Q$838,$B632)="","",INDEX(DMAV_Modell!Q$6:Q$838,$B632)))</f>
        <v>ASSOCIATION</v>
      </c>
      <c r="L632" s="62" t="str" cm="1">
        <f t="array" ref="L632">IF($B632=0,IF($E632=0,"",IF(INDEX(DMAV_Dienste!O$6:O$140,$E632)="","",INDEX(DMAV_Dienste!O$6:O$140,$E632))),IF(INDEX(DMAV_Modell!P$6:P$838,$B632)="","",INDEX(DMAV_Modell!P$6:P$838,$B632)))</f>
        <v>Dienstbarkeitsgrenzen</v>
      </c>
      <c r="M632" s="62" t="str" cm="1">
        <f t="array" ref="M632">IF($B632=0,IF($E632=0,"",IF(INDEX(DMAV_Dienste!Q$6:Q$140,$E632)="","",INDEX(DMAV_Dienste!Q$6:Q$140,$E632))),IF(INDEX(DMAV_Modell!R$6:R$838,$B632)="","",INDEX(DMAV_Modell!R$6:R$838,$B632)))</f>
        <v>Untergang_Dienstbarkeitsgrenze</v>
      </c>
      <c r="N632" s="62" t="str" cm="1">
        <f t="array" ref="N632">IF($B632=0,IF($E632=0,"",IF(INDEX(DMAV_Dienste!T$6:T$140,$E632)="","",INDEX(DMAV_Dienste!T$6:T$140,$E632))),IF(INDEX(DMAV_Modell!U$6:U$838,$B632)="","",INDEX(DMAV_Modell!U$6:U$838,$B632)))</f>
        <v>Untergang</v>
      </c>
      <c r="O632" s="63" t="str" cm="1">
        <f t="array" aca="1" ref="O632" ca="1">IF(C632=0,IF(F632=0,"",HYPERLINK("#"&amp;RIGHT(CELL("adresse",OFFSET(DMAV_Dienste!$M$6,F632-1,0)),LEN(CELL("adresse",OFFSET(DMAV_Dienste!$M$6,F632-1,0)))-FIND("]",CELL("adresse",OFFSET(DMAV_Dienste!$M$6,F632-1,0)))),"Structure")),HYPERLINK("#"&amp;RIGHT(CELL("adresse",OFFSET(DMAV_Modell!$N$6,C632-1,0)),LEN(CELL("adresse",OFFSET(DMAV_Modell!$N$6,C632-1,0)))-FIND("]",CELL("adresse",OFFSET(DMAV_Modell!$N$6,C632-1,0)))),"Structure"))</f>
        <v/>
      </c>
      <c r="P632" s="64" t="str" cm="1">
        <f t="array" aca="1" ref="P632" ca="1">IF(D632=0,IF(G632=0,"",HYPERLINK("#"&amp;RIGHT(CELL("adresse",OFFSET(DMAV_Dienste!$M$6,G632-1,0)),LEN(CELL("adresse",OFFSET(DMAV_Dienste!$M$6,G632-1,0)))-FIND("]",CELL("adresse",OFFSET(DMAV_Dienste!$M$6,G632-1,0)))),"Substructure")),HYPERLINK("#"&amp;RIGHT(CELL("adresse",OFFSET(DMAV_Modell!$N$6,D632-1,0)),LEN(CELL("adresse",OFFSET(DMAV_Modell!$N$6,D632-1,0)))-FIND("]",CELL("adresse",OFFSET(DMAV_Modell!$N$6,D632-1,0)))),"Substructure"))</f>
        <v/>
      </c>
      <c r="R632" s="80"/>
      <c r="T632" s="93"/>
      <c r="U632" s="94"/>
      <c r="V632" s="95"/>
      <c r="W632" s="96"/>
      <c r="Y632" s="85"/>
      <c r="Z632" s="86"/>
      <c r="AA632" s="87"/>
      <c r="AB632" s="88"/>
      <c r="AD632" s="77"/>
      <c r="AF632" s="54" t="str" cm="1">
        <f t="array" aca="1" ref="AF632" ca="1">IF(H632=0,"",HYPERLINK("#"&amp;RIGHT(CELL("adresse",OFFSET('DM01-AV-CH'!$G$6,H632-1,0)),LEN(CELL("adresse",OFFSET('DM01-AV-CH'!$G$6,H632-1,0)))-FIND("]",CELL("adresse",OFFSET('DM01-AV-CH'!$G$6,H632-1,0)))),"Modell"))</f>
        <v/>
      </c>
      <c r="AG632" s="72" t="str" cm="1">
        <f t="array" ref="AG632">IF($H632=0,"",IF(INDEX('DM01-AV-CH'!G$6:G$834,$H632)="","",INDEX('DM01-AV-CH'!G$6:G$834,$H632)))</f>
        <v/>
      </c>
      <c r="AH632" s="73" t="str" cm="1">
        <f t="array" ref="AH632">IF($H632=0,"",IF(INDEX('DM01-AV-CH'!H$6:H$834,$H632)="","",INDEX('DM01-AV-CH'!H$6:H$834,$H632)))</f>
        <v/>
      </c>
      <c r="AI632" s="74" t="str" cm="1">
        <f t="array" ref="AI632">IF($H632=0,"",IF(INDEX('DM01-AV-CH'!I$6:I$834,$H632)="","",INDEX('DM01-AV-CH'!I$6:I$834,$H632)))</f>
        <v/>
      </c>
    </row>
    <row r="633" spans="1:35" x14ac:dyDescent="0.25">
      <c r="A633" s="57">
        <v>628</v>
      </c>
      <c r="B633" s="57">
        <f>IF($A633="","",IF(_xlfn.XLOOKUP($A633,Korrelation!$D$4:$D$1197,Korrelation!E$4:E$1197,"-",0)="-",0,MATCH(_xlfn.XLOOKUP($A633,Korrelation!$D$4:$D$1197,Korrelation!E$4:E$1197,"",0),DMAV_Modell!$G$6:$G$677,0)))</f>
        <v>338</v>
      </c>
      <c r="C633" s="57">
        <f>IF($A633="","",IF(_xlfn.XLOOKUP($A633,Korrelation!$D$4:$D$1197,Korrelation!F$4:F$1197,"-",0)="-",0,MATCH(_xlfn.XLOOKUP($A633,Korrelation!$D$4:$D$1197,Korrelation!F$4:F$1197,"",0),DMAV_Modell!$G$6:$G$677,0)))</f>
        <v>0</v>
      </c>
      <c r="D633" s="57">
        <f>IF($A633="","",IF(_xlfn.XLOOKUP($A633,Korrelation!$D$4:$D$1197,Korrelation!G$4:G$1197,"-",0)="-",0,MATCH(_xlfn.XLOOKUP($A633,Korrelation!$D$4:$D$1197,Korrelation!G$4:G$1197,"",0),DMAV_Modell!$G$6:$G$677,0)))</f>
        <v>0</v>
      </c>
      <c r="E633" s="57">
        <f>IF($A633="","",IF(_xlfn.XLOOKUP($A633,Korrelation!$D$4:$D$1197,Korrelation!H$4:H$1197,"-",0)="-",0,MATCH(_xlfn.XLOOKUP($A633,Korrelation!$D$4:$D$1197,Korrelation!H$4:H$1197,"",0),DMAV_Dienste!$F$6:$F$140,0)))</f>
        <v>0</v>
      </c>
      <c r="F633" s="57">
        <f>IF($A633="","",IF(_xlfn.XLOOKUP($A633,Korrelation!$D$4:$D$1197,Korrelation!I$4:I$1197,"-",0)="-",0,MATCH(_xlfn.XLOOKUP($A633,Korrelation!$D$4:$D$1197,Korrelation!I$4:I$1197,"",0),DMAV_Dienste!$F$6:$F$140,0)))</f>
        <v>0</v>
      </c>
      <c r="G633" s="57">
        <f>IF($A633="","",IF(_xlfn.XLOOKUP($A633,Korrelation!$D$4:$D$1197,Korrelation!J$4:J$1197,"-",0)="-",0,MATCH(_xlfn.XLOOKUP($A633,Korrelation!$D$4:$D$1197,Korrelation!J$4:J$1197,"",0),DMAV_Dienste!$F$6:$F$140,0)))</f>
        <v>0</v>
      </c>
      <c r="H633" s="57">
        <f>IF($A633="","",IF(_xlfn.XLOOKUP($A633,Korrelation!$D$4:$D$1197,Korrelation!K$4:K$1197,"-",0)="-",0,MATCH(_xlfn.XLOOKUP($A633,Korrelation!$D$4:$D$1197,Korrelation!K$4:K$1197,"",0),'DM01-AV-CH'!$A$6:$A$834,0)))</f>
        <v>0</v>
      </c>
      <c r="J633" s="54" t="str" cm="1">
        <f t="array" aca="1" ref="J633" ca="1">IF(B633=0,IF(E633=0,"",HYPERLINK("#"&amp;RIGHT(CELL("adresse",OFFSET(DMAV_Dienste!$M$6,E633-1,0)),LEN(CELL("adresse",OFFSET(DMAV_Dienste!$M$6,E633-1,0)))-FIND("]",CELL("adresse",OFFSET(DMAV_Dienste!$M$6,E633-1,0)))),"Dienst")),HYPERLINK("#"&amp;RIGHT(CELL("adresse",OFFSET(DMAV_Modell!$N$6,B633-1,0)),LEN(CELL("adresse",OFFSET(DMAV_Modell!$N$6,B633-1,0)))-FIND("]",CELL("adresse",OFFSET(DMAV_Modell!$N$6,B633-1,0)))),"Modell"))</f>
        <v>Modell</v>
      </c>
      <c r="K633" s="61" t="str" cm="1">
        <f t="array" ref="K633">IF($B633=0,IF($E633=0,"",IF(INDEX(DMAV_Dienste!P$6:P$140,$E633)="","",INDEX(DMAV_Dienste!P$6:P$140,$E633))),IF(INDEX(DMAV_Modell!Q$6:Q$838,$B633)="","",INDEX(DMAV_Modell!Q$6:Q$838,$B633)))</f>
        <v>ASSOCIATION</v>
      </c>
      <c r="L633" s="62" t="str" cm="1">
        <f t="array" ref="L633">IF($B633=0,IF($E633=0,"",IF(INDEX(DMAV_Dienste!O$6:O$140,$E633)="","",INDEX(DMAV_Dienste!O$6:O$140,$E633))),IF(INDEX(DMAV_Modell!P$6:P$838,$B633)="","",INDEX(DMAV_Modell!P$6:P$838,$B633)))</f>
        <v>Dienstbarkeitsgrenzen</v>
      </c>
      <c r="M633" s="62" t="str" cm="1">
        <f t="array" ref="M633">IF($B633=0,IF($E633=0,"",IF(INDEX(DMAV_Dienste!Q$6:Q$140,$E633)="","",INDEX(DMAV_Dienste!Q$6:Q$140,$E633))),IF(INDEX(DMAV_Modell!R$6:R$838,$B633)="","",INDEX(DMAV_Modell!R$6:R$838,$B633)))</f>
        <v>Untergang_Dienstbarkeitsgrenze</v>
      </c>
      <c r="N633" s="62" t="str" cm="1">
        <f t="array" ref="N633">IF($B633=0,IF($E633=0,"",IF(INDEX(DMAV_Dienste!T$6:T$140,$E633)="","",INDEX(DMAV_Dienste!T$6:T$140,$E633))),IF(INDEX(DMAV_Modell!U$6:U$838,$B633)="","",INDEX(DMAV_Modell!U$6:U$838,$B633)))</f>
        <v>untergehende_Dienstbarkeitsgrenze</v>
      </c>
      <c r="O633" s="63" t="str" cm="1">
        <f t="array" aca="1" ref="O633" ca="1">IF(C633=0,IF(F633=0,"",HYPERLINK("#"&amp;RIGHT(CELL("adresse",OFFSET(DMAV_Dienste!$M$6,F633-1,0)),LEN(CELL("adresse",OFFSET(DMAV_Dienste!$M$6,F633-1,0)))-FIND("]",CELL("adresse",OFFSET(DMAV_Dienste!$M$6,F633-1,0)))),"Structure")),HYPERLINK("#"&amp;RIGHT(CELL("adresse",OFFSET(DMAV_Modell!$N$6,C633-1,0)),LEN(CELL("adresse",OFFSET(DMAV_Modell!$N$6,C633-1,0)))-FIND("]",CELL("adresse",OFFSET(DMAV_Modell!$N$6,C633-1,0)))),"Structure"))</f>
        <v/>
      </c>
      <c r="P633" s="64" t="str" cm="1">
        <f t="array" aca="1" ref="P633" ca="1">IF(D633=0,IF(G633=0,"",HYPERLINK("#"&amp;RIGHT(CELL("adresse",OFFSET(DMAV_Dienste!$M$6,G633-1,0)),LEN(CELL("adresse",OFFSET(DMAV_Dienste!$M$6,G633-1,0)))-FIND("]",CELL("adresse",OFFSET(DMAV_Dienste!$M$6,G633-1,0)))),"Substructure")),HYPERLINK("#"&amp;RIGHT(CELL("adresse",OFFSET(DMAV_Modell!$N$6,D633-1,0)),LEN(CELL("adresse",OFFSET(DMAV_Modell!$N$6,D633-1,0)))-FIND("]",CELL("adresse",OFFSET(DMAV_Modell!$N$6,D633-1,0)))),"Substructure"))</f>
        <v/>
      </c>
      <c r="R633" s="80"/>
      <c r="T633" s="93"/>
      <c r="U633" s="94"/>
      <c r="V633" s="95"/>
      <c r="W633" s="96"/>
      <c r="Y633" s="85"/>
      <c r="Z633" s="86"/>
      <c r="AA633" s="87"/>
      <c r="AB633" s="88"/>
      <c r="AD633" s="77"/>
      <c r="AF633" s="54" t="str" cm="1">
        <f t="array" aca="1" ref="AF633" ca="1">IF(H633=0,"",HYPERLINK("#"&amp;RIGHT(CELL("adresse",OFFSET('DM01-AV-CH'!$G$6,H633-1,0)),LEN(CELL("adresse",OFFSET('DM01-AV-CH'!$G$6,H633-1,0)))-FIND("]",CELL("adresse",OFFSET('DM01-AV-CH'!$G$6,H633-1,0)))),"Modell"))</f>
        <v/>
      </c>
      <c r="AG633" s="72" t="str" cm="1">
        <f t="array" ref="AG633">IF($H633=0,"",IF(INDEX('DM01-AV-CH'!G$6:G$834,$H633)="","",INDEX('DM01-AV-CH'!G$6:G$834,$H633)))</f>
        <v/>
      </c>
      <c r="AH633" s="73" t="str" cm="1">
        <f t="array" ref="AH633">IF($H633=0,"",IF(INDEX('DM01-AV-CH'!H$6:H$834,$H633)="","",INDEX('DM01-AV-CH'!H$6:H$834,$H633)))</f>
        <v/>
      </c>
      <c r="AI633" s="74" t="str" cm="1">
        <f t="array" ref="AI633">IF($H633=0,"",IF(INDEX('DM01-AV-CH'!I$6:I$834,$H633)="","",INDEX('DM01-AV-CH'!I$6:I$834,$H633)))</f>
        <v/>
      </c>
    </row>
    <row r="634" spans="1:35" x14ac:dyDescent="0.25">
      <c r="A634" s="57">
        <v>629</v>
      </c>
      <c r="B634" s="57">
        <f>IF($A634="","",IF(_xlfn.XLOOKUP($A634,Korrelation!$D$4:$D$1197,Korrelation!E$4:E$1197,"-",0)="-",0,MATCH(_xlfn.XLOOKUP($A634,Korrelation!$D$4:$D$1197,Korrelation!E$4:E$1197,"",0),DMAV_Modell!$G$6:$G$677,0)))</f>
        <v>339</v>
      </c>
      <c r="C634" s="57">
        <f>IF($A634="","",IF(_xlfn.XLOOKUP($A634,Korrelation!$D$4:$D$1197,Korrelation!F$4:F$1197,"-",0)="-",0,MATCH(_xlfn.XLOOKUP($A634,Korrelation!$D$4:$D$1197,Korrelation!F$4:F$1197,"",0),DMAV_Modell!$G$6:$G$677,0)))</f>
        <v>0</v>
      </c>
      <c r="D634" s="57">
        <f>IF($A634="","",IF(_xlfn.XLOOKUP($A634,Korrelation!$D$4:$D$1197,Korrelation!G$4:G$1197,"-",0)="-",0,MATCH(_xlfn.XLOOKUP($A634,Korrelation!$D$4:$D$1197,Korrelation!G$4:G$1197,"",0),DMAV_Modell!$G$6:$G$677,0)))</f>
        <v>0</v>
      </c>
      <c r="E634" s="57">
        <f>IF($A634="","",IF(_xlfn.XLOOKUP($A634,Korrelation!$D$4:$D$1197,Korrelation!H$4:H$1197,"-",0)="-",0,MATCH(_xlfn.XLOOKUP($A634,Korrelation!$D$4:$D$1197,Korrelation!H$4:H$1197,"",0),DMAV_Dienste!$F$6:$F$140,0)))</f>
        <v>0</v>
      </c>
      <c r="F634" s="57">
        <f>IF($A634="","",IF(_xlfn.XLOOKUP($A634,Korrelation!$D$4:$D$1197,Korrelation!I$4:I$1197,"-",0)="-",0,MATCH(_xlfn.XLOOKUP($A634,Korrelation!$D$4:$D$1197,Korrelation!I$4:I$1197,"",0),DMAV_Dienste!$F$6:$F$140,0)))</f>
        <v>0</v>
      </c>
      <c r="G634" s="57">
        <f>IF($A634="","",IF(_xlfn.XLOOKUP($A634,Korrelation!$D$4:$D$1197,Korrelation!J$4:J$1197,"-",0)="-",0,MATCH(_xlfn.XLOOKUP($A634,Korrelation!$D$4:$D$1197,Korrelation!J$4:J$1197,"",0),DMAV_Dienste!$F$6:$F$140,0)))</f>
        <v>0</v>
      </c>
      <c r="H634" s="57">
        <f>IF($A634="","",IF(_xlfn.XLOOKUP($A634,Korrelation!$D$4:$D$1197,Korrelation!K$4:K$1197,"-",0)="-",0,MATCH(_xlfn.XLOOKUP($A634,Korrelation!$D$4:$D$1197,Korrelation!K$4:K$1197,"",0),'DM01-AV-CH'!$A$6:$A$834,0)))</f>
        <v>0</v>
      </c>
      <c r="J634" s="54" t="str" cm="1">
        <f t="array" aca="1" ref="J634" ca="1">IF(B634=0,IF(E634=0,"",HYPERLINK("#"&amp;RIGHT(CELL("adresse",OFFSET(DMAV_Dienste!$M$6,E634-1,0)),LEN(CELL("adresse",OFFSET(DMAV_Dienste!$M$6,E634-1,0)))-FIND("]",CELL("adresse",OFFSET(DMAV_Dienste!$M$6,E634-1,0)))),"Dienst")),HYPERLINK("#"&amp;RIGHT(CELL("adresse",OFFSET(DMAV_Modell!$N$6,B634-1,0)),LEN(CELL("adresse",OFFSET(DMAV_Modell!$N$6,B634-1,0)))-FIND("]",CELL("adresse",OFFSET(DMAV_Modell!$N$6,B634-1,0)))),"Modell"))</f>
        <v>Modell</v>
      </c>
      <c r="K634" s="61" t="str" cm="1">
        <f t="array" ref="K634">IF($B634=0,IF($E634=0,"",IF(INDEX(DMAV_Dienste!P$6:P$140,$E634)="","",INDEX(DMAV_Dienste!P$6:P$140,$E634))),IF(INDEX(DMAV_Modell!Q$6:Q$838,$B634)="","",INDEX(DMAV_Modell!Q$6:Q$838,$B634)))</f>
        <v>VIEW</v>
      </c>
      <c r="L634" s="62" t="str" cm="1">
        <f t="array" ref="L634">IF($B634=0,IF($E634=0,"",IF(INDEX(DMAV_Dienste!O$6:O$140,$E634)="","",INDEX(DMAV_Dienste!O$6:O$140,$E634))),IF(INDEX(DMAV_Modell!P$6:P$838,$B634)="","",INDEX(DMAV_Modell!P$6:P$838,$B634)))</f>
        <v>Dienstbarkeitsgrenzen</v>
      </c>
      <c r="M634" s="62" t="str" cm="1">
        <f t="array" ref="M634">IF($B634=0,IF($E634=0,"",IF(INDEX(DMAV_Dienste!Q$6:Q$140,$E634)="","",INDEX(DMAV_Dienste!Q$6:Q$140,$E634))),IF(INDEX(DMAV_Modell!R$6:R$838,$B634)="","",INDEX(DMAV_Modell!R$6:R$838,$B634)))</f>
        <v>Dienstbarkeitsgrenze_Gueltig</v>
      </c>
      <c r="N634" s="62" t="str" cm="1">
        <f t="array" ref="N634">IF($B634=0,IF($E634=0,"",IF(INDEX(DMAV_Dienste!T$6:T$140,$E634)="","",INDEX(DMAV_Dienste!T$6:T$140,$E634))),IF(INDEX(DMAV_Modell!U$6:U$838,$B634)="","",INDEX(DMAV_Modell!U$6:U$838,$B634)))</f>
        <v>PROJECTION OF</v>
      </c>
      <c r="O634" s="63" t="str" cm="1">
        <f t="array" aca="1" ref="O634" ca="1">IF(C634=0,IF(F634=0,"",HYPERLINK("#"&amp;RIGHT(CELL("adresse",OFFSET(DMAV_Dienste!$M$6,F634-1,0)),LEN(CELL("adresse",OFFSET(DMAV_Dienste!$M$6,F634-1,0)))-FIND("]",CELL("adresse",OFFSET(DMAV_Dienste!$M$6,F634-1,0)))),"Structure")),HYPERLINK("#"&amp;RIGHT(CELL("adresse",OFFSET(DMAV_Modell!$N$6,C634-1,0)),LEN(CELL("adresse",OFFSET(DMAV_Modell!$N$6,C634-1,0)))-FIND("]",CELL("adresse",OFFSET(DMAV_Modell!$N$6,C634-1,0)))),"Structure"))</f>
        <v/>
      </c>
      <c r="P634" s="64" t="str" cm="1">
        <f t="array" aca="1" ref="P634" ca="1">IF(D634=0,IF(G634=0,"",HYPERLINK("#"&amp;RIGHT(CELL("adresse",OFFSET(DMAV_Dienste!$M$6,G634-1,0)),LEN(CELL("adresse",OFFSET(DMAV_Dienste!$M$6,G634-1,0)))-FIND("]",CELL("adresse",OFFSET(DMAV_Dienste!$M$6,G634-1,0)))),"Substructure")),HYPERLINK("#"&amp;RIGHT(CELL("adresse",OFFSET(DMAV_Modell!$N$6,D634-1,0)),LEN(CELL("adresse",OFFSET(DMAV_Modell!$N$6,D634-1,0)))-FIND("]",CELL("adresse",OFFSET(DMAV_Modell!$N$6,D634-1,0)))),"Substructure"))</f>
        <v/>
      </c>
      <c r="R634" s="80"/>
      <c r="T634" s="93"/>
      <c r="U634" s="94"/>
      <c r="V634" s="95"/>
      <c r="W634" s="96"/>
      <c r="Y634" s="85"/>
      <c r="Z634" s="86"/>
      <c r="AA634" s="87"/>
      <c r="AB634" s="88"/>
      <c r="AD634" s="77"/>
      <c r="AF634" s="54" t="str" cm="1">
        <f t="array" aca="1" ref="AF634" ca="1">IF(H634=0,"",HYPERLINK("#"&amp;RIGHT(CELL("adresse",OFFSET('DM01-AV-CH'!$G$6,H634-1,0)),LEN(CELL("adresse",OFFSET('DM01-AV-CH'!$G$6,H634-1,0)))-FIND("]",CELL("adresse",OFFSET('DM01-AV-CH'!$G$6,H634-1,0)))),"Modell"))</f>
        <v/>
      </c>
      <c r="AG634" s="72" t="str" cm="1">
        <f t="array" ref="AG634">IF($H634=0,"",IF(INDEX('DM01-AV-CH'!G$6:G$834,$H634)="","",INDEX('DM01-AV-CH'!G$6:G$834,$H634)))</f>
        <v/>
      </c>
      <c r="AH634" s="73" t="str" cm="1">
        <f t="array" ref="AH634">IF($H634=0,"",IF(INDEX('DM01-AV-CH'!H$6:H$834,$H634)="","",INDEX('DM01-AV-CH'!H$6:H$834,$H634)))</f>
        <v/>
      </c>
      <c r="AI634" s="74" t="str" cm="1">
        <f t="array" ref="AI634">IF($H634=0,"",IF(INDEX('DM01-AV-CH'!I$6:I$834,$H634)="","",INDEX('DM01-AV-CH'!I$6:I$834,$H634)))</f>
        <v/>
      </c>
    </row>
    <row r="635" spans="1:35" x14ac:dyDescent="0.25">
      <c r="A635" s="57">
        <v>630</v>
      </c>
      <c r="B635" s="57">
        <f>IF($A635="","",IF(_xlfn.XLOOKUP($A635,Korrelation!$D$4:$D$1197,Korrelation!E$4:E$1197,"-",0)="-",0,MATCH(_xlfn.XLOOKUP($A635,Korrelation!$D$4:$D$1197,Korrelation!E$4:E$1197,"",0),DMAV_Modell!$G$6:$G$677,0)))</f>
        <v>340</v>
      </c>
      <c r="C635" s="57">
        <f>IF($A635="","",IF(_xlfn.XLOOKUP($A635,Korrelation!$D$4:$D$1197,Korrelation!F$4:F$1197,"-",0)="-",0,MATCH(_xlfn.XLOOKUP($A635,Korrelation!$D$4:$D$1197,Korrelation!F$4:F$1197,"",0),DMAV_Modell!$G$6:$G$677,0)))</f>
        <v>0</v>
      </c>
      <c r="D635" s="57">
        <f>IF($A635="","",IF(_xlfn.XLOOKUP($A635,Korrelation!$D$4:$D$1197,Korrelation!G$4:G$1197,"-",0)="-",0,MATCH(_xlfn.XLOOKUP($A635,Korrelation!$D$4:$D$1197,Korrelation!G$4:G$1197,"",0),DMAV_Modell!$G$6:$G$677,0)))</f>
        <v>0</v>
      </c>
      <c r="E635" s="57">
        <f>IF($A635="","",IF(_xlfn.XLOOKUP($A635,Korrelation!$D$4:$D$1197,Korrelation!H$4:H$1197,"-",0)="-",0,MATCH(_xlfn.XLOOKUP($A635,Korrelation!$D$4:$D$1197,Korrelation!H$4:H$1197,"",0),DMAV_Dienste!$F$6:$F$140,0)))</f>
        <v>0</v>
      </c>
      <c r="F635" s="57">
        <f>IF($A635="","",IF(_xlfn.XLOOKUP($A635,Korrelation!$D$4:$D$1197,Korrelation!I$4:I$1197,"-",0)="-",0,MATCH(_xlfn.XLOOKUP($A635,Korrelation!$D$4:$D$1197,Korrelation!I$4:I$1197,"",0),DMAV_Dienste!$F$6:$F$140,0)))</f>
        <v>0</v>
      </c>
      <c r="G635" s="57">
        <f>IF($A635="","",IF(_xlfn.XLOOKUP($A635,Korrelation!$D$4:$D$1197,Korrelation!J$4:J$1197,"-",0)="-",0,MATCH(_xlfn.XLOOKUP($A635,Korrelation!$D$4:$D$1197,Korrelation!J$4:J$1197,"",0),DMAV_Dienste!$F$6:$F$140,0)))</f>
        <v>0</v>
      </c>
      <c r="H635" s="57">
        <f>IF($A635="","",IF(_xlfn.XLOOKUP($A635,Korrelation!$D$4:$D$1197,Korrelation!K$4:K$1197,"-",0)="-",0,MATCH(_xlfn.XLOOKUP($A635,Korrelation!$D$4:$D$1197,Korrelation!K$4:K$1197,"",0),'DM01-AV-CH'!$A$6:$A$834,0)))</f>
        <v>0</v>
      </c>
      <c r="J635" s="54" t="str" cm="1">
        <f t="array" aca="1" ref="J635" ca="1">IF(B635=0,IF(E635=0,"",HYPERLINK("#"&amp;RIGHT(CELL("adresse",OFFSET(DMAV_Dienste!$M$6,E635-1,0)),LEN(CELL("adresse",OFFSET(DMAV_Dienste!$M$6,E635-1,0)))-FIND("]",CELL("adresse",OFFSET(DMAV_Dienste!$M$6,E635-1,0)))),"Dienst")),HYPERLINK("#"&amp;RIGHT(CELL("adresse",OFFSET(DMAV_Modell!$N$6,B635-1,0)),LEN(CELL("adresse",OFFSET(DMAV_Modell!$N$6,B635-1,0)))-FIND("]",CELL("adresse",OFFSET(DMAV_Modell!$N$6,B635-1,0)))),"Modell"))</f>
        <v>Modell</v>
      </c>
      <c r="K635" s="61" t="str" cm="1">
        <f t="array" ref="K635">IF($B635=0,IF($E635=0,"",IF(INDEX(DMAV_Dienste!P$6:P$140,$E635)="","",INDEX(DMAV_Dienste!P$6:P$140,$E635))),IF(INDEX(DMAV_Modell!Q$6:Q$838,$B635)="","",INDEX(DMAV_Modell!Q$6:Q$838,$B635)))</f>
        <v>VIEW</v>
      </c>
      <c r="L635" s="62" t="str" cm="1">
        <f t="array" ref="L635">IF($B635=0,IF($E635=0,"",IF(INDEX(DMAV_Dienste!O$6:O$140,$E635)="","",INDEX(DMAV_Dienste!O$6:O$140,$E635))),IF(INDEX(DMAV_Modell!P$6:P$838,$B635)="","",INDEX(DMAV_Modell!P$6:P$838,$B635)))</f>
        <v>Dienstbarkeitsgrenzen</v>
      </c>
      <c r="M635" s="62" t="str" cm="1">
        <f t="array" ref="M635">IF($B635=0,IF($E635=0,"",IF(INDEX(DMAV_Dienste!Q$6:Q$140,$E635)="","",INDEX(DMAV_Dienste!Q$6:Q$140,$E635))),IF(INDEX(DMAV_Modell!R$6:R$838,$B635)="","",INDEX(DMAV_Modell!R$6:R$838,$B635)))</f>
        <v>Dienstbarkeitsgrenze_Gueltig</v>
      </c>
      <c r="N635" s="62" t="str" cm="1">
        <f t="array" ref="N635">IF($B635=0,IF($E635=0,"",IF(INDEX(DMAV_Dienste!T$6:T$140,$E635)="","",INDEX(DMAV_Dienste!T$6:T$140,$E635))),IF(INDEX(DMAV_Modell!U$6:U$838,$B635)="","",INDEX(DMAV_Modell!U$6:U$838,$B635)))</f>
        <v>WHERE DEFINED(@PH1@) AND DEFINED(@PH2@) AND (NOT(DEFINED(@PH3@)) OR NOT(DEFINED(@PH4@)))</v>
      </c>
      <c r="O635" s="63" t="str" cm="1">
        <f t="array" aca="1" ref="O635" ca="1">IF(C635=0,IF(F635=0,"",HYPERLINK("#"&amp;RIGHT(CELL("adresse",OFFSET(DMAV_Dienste!$M$6,F635-1,0)),LEN(CELL("adresse",OFFSET(DMAV_Dienste!$M$6,F635-1,0)))-FIND("]",CELL("adresse",OFFSET(DMAV_Dienste!$M$6,F635-1,0)))),"Structure")),HYPERLINK("#"&amp;RIGHT(CELL("adresse",OFFSET(DMAV_Modell!$N$6,C635-1,0)),LEN(CELL("adresse",OFFSET(DMAV_Modell!$N$6,C635-1,0)))-FIND("]",CELL("adresse",OFFSET(DMAV_Modell!$N$6,C635-1,0)))),"Structure"))</f>
        <v/>
      </c>
      <c r="P635" s="64" t="str" cm="1">
        <f t="array" aca="1" ref="P635" ca="1">IF(D635=0,IF(G635=0,"",HYPERLINK("#"&amp;RIGHT(CELL("adresse",OFFSET(DMAV_Dienste!$M$6,G635-1,0)),LEN(CELL("adresse",OFFSET(DMAV_Dienste!$M$6,G635-1,0)))-FIND("]",CELL("adresse",OFFSET(DMAV_Dienste!$M$6,G635-1,0)))),"Substructure")),HYPERLINK("#"&amp;RIGHT(CELL("adresse",OFFSET(DMAV_Modell!$N$6,D635-1,0)),LEN(CELL("adresse",OFFSET(DMAV_Modell!$N$6,D635-1,0)))-FIND("]",CELL("adresse",OFFSET(DMAV_Modell!$N$6,D635-1,0)))),"Substructure"))</f>
        <v/>
      </c>
      <c r="R635" s="80"/>
      <c r="T635" s="93"/>
      <c r="U635" s="94"/>
      <c r="V635" s="95"/>
      <c r="W635" s="96"/>
      <c r="Y635" s="85"/>
      <c r="Z635" s="86"/>
      <c r="AA635" s="87"/>
      <c r="AB635" s="88"/>
      <c r="AD635" s="77"/>
      <c r="AF635" s="54" t="str" cm="1">
        <f t="array" aca="1" ref="AF635" ca="1">IF(H635=0,"",HYPERLINK("#"&amp;RIGHT(CELL("adresse",OFFSET('DM01-AV-CH'!$G$6,H635-1,0)),LEN(CELL("adresse",OFFSET('DM01-AV-CH'!$G$6,H635-1,0)))-FIND("]",CELL("adresse",OFFSET('DM01-AV-CH'!$G$6,H635-1,0)))),"Modell"))</f>
        <v/>
      </c>
      <c r="AG635" s="72" t="str" cm="1">
        <f t="array" ref="AG635">IF($H635=0,"",IF(INDEX('DM01-AV-CH'!G$6:G$834,$H635)="","",INDEX('DM01-AV-CH'!G$6:G$834,$H635)))</f>
        <v/>
      </c>
      <c r="AH635" s="73" t="str" cm="1">
        <f t="array" ref="AH635">IF($H635=0,"",IF(INDEX('DM01-AV-CH'!H$6:H$834,$H635)="","",INDEX('DM01-AV-CH'!H$6:H$834,$H635)))</f>
        <v/>
      </c>
      <c r="AI635" s="74" t="str" cm="1">
        <f t="array" ref="AI635">IF($H635=0,"",IF(INDEX('DM01-AV-CH'!I$6:I$834,$H635)="","",INDEX('DM01-AV-CH'!I$6:I$834,$H635)))</f>
        <v/>
      </c>
    </row>
    <row r="636" spans="1:35" x14ac:dyDescent="0.25">
      <c r="A636" s="57">
        <v>631</v>
      </c>
      <c r="B636" s="57">
        <f>IF($A636="","",IF(_xlfn.XLOOKUP($A636,Korrelation!$D$4:$D$1197,Korrelation!E$4:E$1197,"-",0)="-",0,MATCH(_xlfn.XLOOKUP($A636,Korrelation!$D$4:$D$1197,Korrelation!E$4:E$1197,"",0),DMAV_Modell!$G$6:$G$677,0)))</f>
        <v>341</v>
      </c>
      <c r="C636" s="57">
        <f>IF($A636="","",IF(_xlfn.XLOOKUP($A636,Korrelation!$D$4:$D$1197,Korrelation!F$4:F$1197,"-",0)="-",0,MATCH(_xlfn.XLOOKUP($A636,Korrelation!$D$4:$D$1197,Korrelation!F$4:F$1197,"",0),DMAV_Modell!$G$6:$G$677,0)))</f>
        <v>0</v>
      </c>
      <c r="D636" s="57">
        <f>IF($A636="","",IF(_xlfn.XLOOKUP($A636,Korrelation!$D$4:$D$1197,Korrelation!G$4:G$1197,"-",0)="-",0,MATCH(_xlfn.XLOOKUP($A636,Korrelation!$D$4:$D$1197,Korrelation!G$4:G$1197,"",0),DMAV_Modell!$G$6:$G$677,0)))</f>
        <v>0</v>
      </c>
      <c r="E636" s="57">
        <f>IF($A636="","",IF(_xlfn.XLOOKUP($A636,Korrelation!$D$4:$D$1197,Korrelation!H$4:H$1197,"-",0)="-",0,MATCH(_xlfn.XLOOKUP($A636,Korrelation!$D$4:$D$1197,Korrelation!H$4:H$1197,"",0),DMAV_Dienste!$F$6:$F$140,0)))</f>
        <v>0</v>
      </c>
      <c r="F636" s="57">
        <f>IF($A636="","",IF(_xlfn.XLOOKUP($A636,Korrelation!$D$4:$D$1197,Korrelation!I$4:I$1197,"-",0)="-",0,MATCH(_xlfn.XLOOKUP($A636,Korrelation!$D$4:$D$1197,Korrelation!I$4:I$1197,"",0),DMAV_Dienste!$F$6:$F$140,0)))</f>
        <v>0</v>
      </c>
      <c r="G636" s="57">
        <f>IF($A636="","",IF(_xlfn.XLOOKUP($A636,Korrelation!$D$4:$D$1197,Korrelation!J$4:J$1197,"-",0)="-",0,MATCH(_xlfn.XLOOKUP($A636,Korrelation!$D$4:$D$1197,Korrelation!J$4:J$1197,"",0),DMAV_Dienste!$F$6:$F$140,0)))</f>
        <v>0</v>
      </c>
      <c r="H636" s="57">
        <f>IF($A636="","",IF(_xlfn.XLOOKUP($A636,Korrelation!$D$4:$D$1197,Korrelation!K$4:K$1197,"-",0)="-",0,MATCH(_xlfn.XLOOKUP($A636,Korrelation!$D$4:$D$1197,Korrelation!K$4:K$1197,"",0),'DM01-AV-CH'!$A$6:$A$834,0)))</f>
        <v>0</v>
      </c>
      <c r="J636" s="54" t="str" cm="1">
        <f t="array" aca="1" ref="J636" ca="1">IF(B636=0,IF(E636=0,"",HYPERLINK("#"&amp;RIGHT(CELL("adresse",OFFSET(DMAV_Dienste!$M$6,E636-1,0)),LEN(CELL("adresse",OFFSET(DMAV_Dienste!$M$6,E636-1,0)))-FIND("]",CELL("adresse",OFFSET(DMAV_Dienste!$M$6,E636-1,0)))),"Dienst")),HYPERLINK("#"&amp;RIGHT(CELL("adresse",OFFSET(DMAV_Modell!$N$6,B636-1,0)),LEN(CELL("adresse",OFFSET(DMAV_Modell!$N$6,B636-1,0)))-FIND("]",CELL("adresse",OFFSET(DMAV_Modell!$N$6,B636-1,0)))),"Modell"))</f>
        <v>Modell</v>
      </c>
      <c r="K636" s="61" t="str" cm="1">
        <f t="array" ref="K636">IF($B636=0,IF($E636=0,"",IF(INDEX(DMAV_Dienste!P$6:P$140,$E636)="","",INDEX(DMAV_Dienste!P$6:P$140,$E636))),IF(INDEX(DMAV_Modell!Q$6:Q$838,$B636)="","",INDEX(DMAV_Modell!Q$6:Q$838,$B636)))</f>
        <v>VIEW</v>
      </c>
      <c r="L636" s="62" t="str" cm="1">
        <f t="array" ref="L636">IF($B636=0,IF($E636=0,"",IF(INDEX(DMAV_Dienste!O$6:O$140,$E636)="","",INDEX(DMAV_Dienste!O$6:O$140,$E636))),IF(INDEX(DMAV_Modell!P$6:P$838,$B636)="","",INDEX(DMAV_Modell!P$6:P$838,$B636)))</f>
        <v>Dienstbarkeitsgrenzen</v>
      </c>
      <c r="M636" s="62" t="str" cm="1">
        <f t="array" ref="M636">IF($B636=0,IF($E636=0,"",IF(INDEX(DMAV_Dienste!Q$6:Q$140,$E636)="","",INDEX(DMAV_Dienste!Q$6:Q$140,$E636))),IF(INDEX(DMAV_Modell!R$6:R$838,$B636)="","",INDEX(DMAV_Modell!R$6:R$838,$B636)))</f>
        <v>Dienstbarkeitsgrenze_Gueltig</v>
      </c>
      <c r="N636" s="62" t="str" cm="1">
        <f t="array" ref="N636">IF($B636=0,IF($E636=0,"",IF(INDEX(DMAV_Dienste!T$6:T$140,$E636)="","",INDEX(DMAV_Dienste!T$6:T$140,$E636))),IF(INDEX(DMAV_Modell!U$6:U$838,$B636)="","",INDEX(DMAV_Modell!U$6:U$838,$B636)))</f>
        <v>= ALL OF</v>
      </c>
      <c r="O636" s="63" t="str" cm="1">
        <f t="array" aca="1" ref="O636" ca="1">IF(C636=0,IF(F636=0,"",HYPERLINK("#"&amp;RIGHT(CELL("adresse",OFFSET(DMAV_Dienste!$M$6,F636-1,0)),LEN(CELL("adresse",OFFSET(DMAV_Dienste!$M$6,F636-1,0)))-FIND("]",CELL("adresse",OFFSET(DMAV_Dienste!$M$6,F636-1,0)))),"Structure")),HYPERLINK("#"&amp;RIGHT(CELL("adresse",OFFSET(DMAV_Modell!$N$6,C636-1,0)),LEN(CELL("adresse",OFFSET(DMAV_Modell!$N$6,C636-1,0)))-FIND("]",CELL("adresse",OFFSET(DMAV_Modell!$N$6,C636-1,0)))),"Structure"))</f>
        <v/>
      </c>
      <c r="P636" s="64" t="str" cm="1">
        <f t="array" aca="1" ref="P636" ca="1">IF(D636=0,IF(G636=0,"",HYPERLINK("#"&amp;RIGHT(CELL("adresse",OFFSET(DMAV_Dienste!$M$6,G636-1,0)),LEN(CELL("adresse",OFFSET(DMAV_Dienste!$M$6,G636-1,0)))-FIND("]",CELL("adresse",OFFSET(DMAV_Dienste!$M$6,G636-1,0)))),"Substructure")),HYPERLINK("#"&amp;RIGHT(CELL("adresse",OFFSET(DMAV_Modell!$N$6,D636-1,0)),LEN(CELL("adresse",OFFSET(DMAV_Modell!$N$6,D636-1,0)))-FIND("]",CELL("adresse",OFFSET(DMAV_Modell!$N$6,D636-1,0)))),"Substructure"))</f>
        <v/>
      </c>
      <c r="R636" s="80"/>
      <c r="T636" s="93"/>
      <c r="U636" s="94"/>
      <c r="V636" s="95"/>
      <c r="W636" s="96"/>
      <c r="Y636" s="85"/>
      <c r="Z636" s="86"/>
      <c r="AA636" s="87"/>
      <c r="AB636" s="88"/>
      <c r="AD636" s="77"/>
      <c r="AF636" s="54" t="str" cm="1">
        <f t="array" aca="1" ref="AF636" ca="1">IF(H636=0,"",HYPERLINK("#"&amp;RIGHT(CELL("adresse",OFFSET('DM01-AV-CH'!$G$6,H636-1,0)),LEN(CELL("adresse",OFFSET('DM01-AV-CH'!$G$6,H636-1,0)))-FIND("]",CELL("adresse",OFFSET('DM01-AV-CH'!$G$6,H636-1,0)))),"Modell"))</f>
        <v/>
      </c>
      <c r="AG636" s="72" t="str" cm="1">
        <f t="array" ref="AG636">IF($H636=0,"",IF(INDEX('DM01-AV-CH'!G$6:G$834,$H636)="","",INDEX('DM01-AV-CH'!G$6:G$834,$H636)))</f>
        <v/>
      </c>
      <c r="AH636" s="73" t="str" cm="1">
        <f t="array" ref="AH636">IF($H636=0,"",IF(INDEX('DM01-AV-CH'!H$6:H$834,$H636)="","",INDEX('DM01-AV-CH'!H$6:H$834,$H636)))</f>
        <v/>
      </c>
      <c r="AI636" s="74" t="str" cm="1">
        <f t="array" ref="AI636">IF($H636=0,"",IF(INDEX('DM01-AV-CH'!I$6:I$834,$H636)="","",INDEX('DM01-AV-CH'!I$6:I$834,$H636)))</f>
        <v/>
      </c>
    </row>
    <row r="637" spans="1:35" x14ac:dyDescent="0.25">
      <c r="A637" s="57">
        <v>632</v>
      </c>
      <c r="B637" s="57">
        <f>IF($A637="","",IF(_xlfn.XLOOKUP($A637,Korrelation!$D$4:$D$1197,Korrelation!E$4:E$1197,"-",0)="-",0,MATCH(_xlfn.XLOOKUP($A637,Korrelation!$D$4:$D$1197,Korrelation!E$4:E$1197,"",0),DMAV_Modell!$G$6:$G$677,0)))</f>
        <v>342</v>
      </c>
      <c r="C637" s="57">
        <f>IF($A637="","",IF(_xlfn.XLOOKUP($A637,Korrelation!$D$4:$D$1197,Korrelation!F$4:F$1197,"-",0)="-",0,MATCH(_xlfn.XLOOKUP($A637,Korrelation!$D$4:$D$1197,Korrelation!F$4:F$1197,"",0),DMAV_Modell!$G$6:$G$677,0)))</f>
        <v>0</v>
      </c>
      <c r="D637" s="57">
        <f>IF($A637="","",IF(_xlfn.XLOOKUP($A637,Korrelation!$D$4:$D$1197,Korrelation!G$4:G$1197,"-",0)="-",0,MATCH(_xlfn.XLOOKUP($A637,Korrelation!$D$4:$D$1197,Korrelation!G$4:G$1197,"",0),DMAV_Modell!$G$6:$G$677,0)))</f>
        <v>0</v>
      </c>
      <c r="E637" s="57">
        <f>IF($A637="","",IF(_xlfn.XLOOKUP($A637,Korrelation!$D$4:$D$1197,Korrelation!H$4:H$1197,"-",0)="-",0,MATCH(_xlfn.XLOOKUP($A637,Korrelation!$D$4:$D$1197,Korrelation!H$4:H$1197,"",0),DMAV_Dienste!$F$6:$F$140,0)))</f>
        <v>0</v>
      </c>
      <c r="F637" s="57">
        <f>IF($A637="","",IF(_xlfn.XLOOKUP($A637,Korrelation!$D$4:$D$1197,Korrelation!I$4:I$1197,"-",0)="-",0,MATCH(_xlfn.XLOOKUP($A637,Korrelation!$D$4:$D$1197,Korrelation!I$4:I$1197,"",0),DMAV_Dienste!$F$6:$F$140,0)))</f>
        <v>0</v>
      </c>
      <c r="G637" s="57">
        <f>IF($A637="","",IF(_xlfn.XLOOKUP($A637,Korrelation!$D$4:$D$1197,Korrelation!J$4:J$1197,"-",0)="-",0,MATCH(_xlfn.XLOOKUP($A637,Korrelation!$D$4:$D$1197,Korrelation!J$4:J$1197,"",0),DMAV_Dienste!$F$6:$F$140,0)))</f>
        <v>0</v>
      </c>
      <c r="H637" s="57">
        <f>IF($A637="","",IF(_xlfn.XLOOKUP($A637,Korrelation!$D$4:$D$1197,Korrelation!K$4:K$1197,"-",0)="-",0,MATCH(_xlfn.XLOOKUP($A637,Korrelation!$D$4:$D$1197,Korrelation!K$4:K$1197,"",0),'DM01-AV-CH'!$A$6:$A$834,0)))</f>
        <v>0</v>
      </c>
      <c r="J637" s="54" t="str" cm="1">
        <f t="array" aca="1" ref="J637" ca="1">IF(B637=0,IF(E637=0,"",HYPERLINK("#"&amp;RIGHT(CELL("adresse",OFFSET(DMAV_Dienste!$M$6,E637-1,0)),LEN(CELL("adresse",OFFSET(DMAV_Dienste!$M$6,E637-1,0)))-FIND("]",CELL("adresse",OFFSET(DMAV_Dienste!$M$6,E637-1,0)))),"Dienst")),HYPERLINK("#"&amp;RIGHT(CELL("adresse",OFFSET(DMAV_Modell!$N$6,B637-1,0)),LEN(CELL("adresse",OFFSET(DMAV_Modell!$N$6,B637-1,0)))-FIND("]",CELL("adresse",OFFSET(DMAV_Modell!$N$6,B637-1,0)))),"Modell"))</f>
        <v>Modell</v>
      </c>
      <c r="K637" s="61" t="str" cm="1">
        <f t="array" ref="K637">IF($B637=0,IF($E637=0,"",IF(INDEX(DMAV_Dienste!P$6:P$140,$E637)="","",INDEX(DMAV_Dienste!P$6:P$140,$E637))),IF(INDEX(DMAV_Modell!Q$6:Q$838,$B637)="","",INDEX(DMAV_Modell!Q$6:Q$838,$B637)))</f>
        <v>VIEW</v>
      </c>
      <c r="L637" s="62" t="str" cm="1">
        <f t="array" ref="L637">IF($B637=0,IF($E637=0,"",IF(INDEX(DMAV_Dienste!O$6:O$140,$E637)="","",INDEX(DMAV_Dienste!O$6:O$140,$E637))),IF(INDEX(DMAV_Modell!P$6:P$838,$B637)="","",INDEX(DMAV_Modell!P$6:P$838,$B637)))</f>
        <v>Dienstbarkeitsgrenzen</v>
      </c>
      <c r="M637" s="62" t="str" cm="1">
        <f t="array" ref="M637">IF($B637=0,IF($E637=0,"",IF(INDEX(DMAV_Dienste!Q$6:Q$140,$E637)="","",INDEX(DMAV_Dienste!Q$6:Q$140,$E637))),IF(INDEX(DMAV_Modell!R$6:R$838,$B637)="","",INDEX(DMAV_Modell!R$6:R$838,$B637)))</f>
        <v>Dienstbarkeitsgrenze_Gueltig</v>
      </c>
      <c r="N637" s="62" t="str" cm="1">
        <f t="array" ref="N637">IF($B637=0,IF($E637=0,"",IF(INDEX(DMAV_Dienste!T$6:T$140,$E637)="","",INDEX(DMAV_Dienste!T$6:T$140,$E637))),IF(INDEX(DMAV_Modell!U$6:U$838,$B637)="","",INDEX(DMAV_Modell!U$6:U$838,$B637)))</f>
        <v>EREID</v>
      </c>
      <c r="O637" s="63" t="str" cm="1">
        <f t="array" aca="1" ref="O637" ca="1">IF(C637=0,IF(F637=0,"",HYPERLINK("#"&amp;RIGHT(CELL("adresse",OFFSET(DMAV_Dienste!$M$6,F637-1,0)),LEN(CELL("adresse",OFFSET(DMAV_Dienste!$M$6,F637-1,0)))-FIND("]",CELL("adresse",OFFSET(DMAV_Dienste!$M$6,F637-1,0)))),"Structure")),HYPERLINK("#"&amp;RIGHT(CELL("adresse",OFFSET(DMAV_Modell!$N$6,C637-1,0)),LEN(CELL("adresse",OFFSET(DMAV_Modell!$N$6,C637-1,0)))-FIND("]",CELL("adresse",OFFSET(DMAV_Modell!$N$6,C637-1,0)))),"Structure"))</f>
        <v/>
      </c>
      <c r="P637" s="64" t="str" cm="1">
        <f t="array" aca="1" ref="P637" ca="1">IF(D637=0,IF(G637=0,"",HYPERLINK("#"&amp;RIGHT(CELL("adresse",OFFSET(DMAV_Dienste!$M$6,G637-1,0)),LEN(CELL("adresse",OFFSET(DMAV_Dienste!$M$6,G637-1,0)))-FIND("]",CELL("adresse",OFFSET(DMAV_Dienste!$M$6,G637-1,0)))),"Substructure")),HYPERLINK("#"&amp;RIGHT(CELL("adresse",OFFSET(DMAV_Modell!$N$6,D637-1,0)),LEN(CELL("adresse",OFFSET(DMAV_Modell!$N$6,D637-1,0)))-FIND("]",CELL("adresse",OFFSET(DMAV_Modell!$N$6,D637-1,0)))),"Substructure"))</f>
        <v/>
      </c>
      <c r="R637" s="80"/>
      <c r="T637" s="93"/>
      <c r="U637" s="94"/>
      <c r="V637" s="95"/>
      <c r="W637" s="96"/>
      <c r="Y637" s="85"/>
      <c r="Z637" s="86"/>
      <c r="AA637" s="87"/>
      <c r="AB637" s="88"/>
      <c r="AD637" s="77"/>
      <c r="AF637" s="54" t="str" cm="1">
        <f t="array" aca="1" ref="AF637" ca="1">IF(H637=0,"",HYPERLINK("#"&amp;RIGHT(CELL("adresse",OFFSET('DM01-AV-CH'!$G$6,H637-1,0)),LEN(CELL("adresse",OFFSET('DM01-AV-CH'!$G$6,H637-1,0)))-FIND("]",CELL("adresse",OFFSET('DM01-AV-CH'!$G$6,H637-1,0)))),"Modell"))</f>
        <v/>
      </c>
      <c r="AG637" s="72" t="str" cm="1">
        <f t="array" ref="AG637">IF($H637=0,"",IF(INDEX('DM01-AV-CH'!G$6:G$834,$H637)="","",INDEX('DM01-AV-CH'!G$6:G$834,$H637)))</f>
        <v/>
      </c>
      <c r="AH637" s="73" t="str" cm="1">
        <f t="array" ref="AH637">IF($H637=0,"",IF(INDEX('DM01-AV-CH'!H$6:H$834,$H637)="","",INDEX('DM01-AV-CH'!H$6:H$834,$H637)))</f>
        <v/>
      </c>
      <c r="AI637" s="74" t="str" cm="1">
        <f t="array" ref="AI637">IF($H637=0,"",IF(INDEX('DM01-AV-CH'!I$6:I$834,$H637)="","",INDEX('DM01-AV-CH'!I$6:I$834,$H637)))</f>
        <v/>
      </c>
    </row>
    <row r="638" spans="1:35" x14ac:dyDescent="0.25">
      <c r="A638" s="57">
        <v>633</v>
      </c>
      <c r="B638" s="57">
        <f>IF($A638="","",IF(_xlfn.XLOOKUP($A638,Korrelation!$D$4:$D$1197,Korrelation!E$4:E$1197,"-",0)="-",0,MATCH(_xlfn.XLOOKUP($A638,Korrelation!$D$4:$D$1197,Korrelation!E$4:E$1197,"",0),DMAV_Modell!$G$6:$G$677,0)))</f>
        <v>343</v>
      </c>
      <c r="C638" s="57">
        <f>IF($A638="","",IF(_xlfn.XLOOKUP($A638,Korrelation!$D$4:$D$1197,Korrelation!F$4:F$1197,"-",0)="-",0,MATCH(_xlfn.XLOOKUP($A638,Korrelation!$D$4:$D$1197,Korrelation!F$4:F$1197,"",0),DMAV_Modell!$G$6:$G$677,0)))</f>
        <v>0</v>
      </c>
      <c r="D638" s="57">
        <f>IF($A638="","",IF(_xlfn.XLOOKUP($A638,Korrelation!$D$4:$D$1197,Korrelation!G$4:G$1197,"-",0)="-",0,MATCH(_xlfn.XLOOKUP($A638,Korrelation!$D$4:$D$1197,Korrelation!G$4:G$1197,"",0),DMAV_Modell!$G$6:$G$677,0)))</f>
        <v>0</v>
      </c>
      <c r="E638" s="57">
        <f>IF($A638="","",IF(_xlfn.XLOOKUP($A638,Korrelation!$D$4:$D$1197,Korrelation!H$4:H$1197,"-",0)="-",0,MATCH(_xlfn.XLOOKUP($A638,Korrelation!$D$4:$D$1197,Korrelation!H$4:H$1197,"",0),DMAV_Dienste!$F$6:$F$140,0)))</f>
        <v>0</v>
      </c>
      <c r="F638" s="57">
        <f>IF($A638="","",IF(_xlfn.XLOOKUP($A638,Korrelation!$D$4:$D$1197,Korrelation!I$4:I$1197,"-",0)="-",0,MATCH(_xlfn.XLOOKUP($A638,Korrelation!$D$4:$D$1197,Korrelation!I$4:I$1197,"",0),DMAV_Dienste!$F$6:$F$140,0)))</f>
        <v>0</v>
      </c>
      <c r="G638" s="57">
        <f>IF($A638="","",IF(_xlfn.XLOOKUP($A638,Korrelation!$D$4:$D$1197,Korrelation!J$4:J$1197,"-",0)="-",0,MATCH(_xlfn.XLOOKUP($A638,Korrelation!$D$4:$D$1197,Korrelation!J$4:J$1197,"",0),DMAV_Dienste!$F$6:$F$140,0)))</f>
        <v>0</v>
      </c>
      <c r="H638" s="57">
        <f>IF($A638="","",IF(_xlfn.XLOOKUP($A638,Korrelation!$D$4:$D$1197,Korrelation!K$4:K$1197,"-",0)="-",0,MATCH(_xlfn.XLOOKUP($A638,Korrelation!$D$4:$D$1197,Korrelation!K$4:K$1197,"",0),'DM01-AV-CH'!$A$6:$A$834,0)))</f>
        <v>0</v>
      </c>
      <c r="J638" s="54" t="str" cm="1">
        <f t="array" aca="1" ref="J638" ca="1">IF(B638=0,IF(E638=0,"",HYPERLINK("#"&amp;RIGHT(CELL("adresse",OFFSET(DMAV_Dienste!$M$6,E638-1,0)),LEN(CELL("adresse",OFFSET(DMAV_Dienste!$M$6,E638-1,0)))-FIND("]",CELL("adresse",OFFSET(DMAV_Dienste!$M$6,E638-1,0)))),"Dienst")),HYPERLINK("#"&amp;RIGHT(CELL("adresse",OFFSET(DMAV_Modell!$N$6,B638-1,0)),LEN(CELL("adresse",OFFSET(DMAV_Modell!$N$6,B638-1,0)))-FIND("]",CELL("adresse",OFFSET(DMAV_Modell!$N$6,B638-1,0)))),"Modell"))</f>
        <v>Modell</v>
      </c>
      <c r="K638" s="61" t="str" cm="1">
        <f t="array" ref="K638">IF($B638=0,IF($E638=0,"",IF(INDEX(DMAV_Dienste!P$6:P$140,$E638)="","",INDEX(DMAV_Dienste!P$6:P$140,$E638))),IF(INDEX(DMAV_Modell!Q$6:Q$838,$B638)="","",INDEX(DMAV_Modell!Q$6:Q$838,$B638)))</f>
        <v>IMPORTS</v>
      </c>
      <c r="L638" s="62" t="str" cm="1">
        <f t="array" ref="L638">IF($B638=0,IF($E638=0,"",IF(INDEX(DMAV_Dienste!O$6:O$140,$E638)="","",INDEX(DMAV_Dienste!O$6:O$140,$E638))),IF(INDEX(DMAV_Modell!P$6:P$838,$B638)="","",INDEX(DMAV_Modell!P$6:P$838,$B638)))</f>
        <v/>
      </c>
      <c r="M638" s="62" t="str" cm="1">
        <f t="array" ref="M638">IF($B638=0,IF($E638=0,"",IF(INDEX(DMAV_Dienste!Q$6:Q$140,$E638)="","",INDEX(DMAV_Dienste!Q$6:Q$140,$E638))),IF(INDEX(DMAV_Modell!R$6:R$838,$B638)="","",INDEX(DMAV_Modell!R$6:R$838,$B638)))</f>
        <v>GeometryCHLV95_V2</v>
      </c>
      <c r="N638" s="62" t="str" cm="1">
        <f t="array" ref="N638">IF($B638=0,IF($E638=0,"",IF(INDEX(DMAV_Dienste!T$6:T$140,$E638)="","",INDEX(DMAV_Dienste!T$6:T$140,$E638))),IF(INDEX(DMAV_Modell!U$6:U$838,$B638)="","",INDEX(DMAV_Modell!U$6:U$838,$B638)))</f>
        <v/>
      </c>
      <c r="O638" s="63" t="str" cm="1">
        <f t="array" aca="1" ref="O638" ca="1">IF(C638=0,IF(F638=0,"",HYPERLINK("#"&amp;RIGHT(CELL("adresse",OFFSET(DMAV_Dienste!$M$6,F638-1,0)),LEN(CELL("adresse",OFFSET(DMAV_Dienste!$M$6,F638-1,0)))-FIND("]",CELL("adresse",OFFSET(DMAV_Dienste!$M$6,F638-1,0)))),"Structure")),HYPERLINK("#"&amp;RIGHT(CELL("adresse",OFFSET(DMAV_Modell!$N$6,C638-1,0)),LEN(CELL("adresse",OFFSET(DMAV_Modell!$N$6,C638-1,0)))-FIND("]",CELL("adresse",OFFSET(DMAV_Modell!$N$6,C638-1,0)))),"Structure"))</f>
        <v/>
      </c>
      <c r="P638" s="64" t="str" cm="1">
        <f t="array" aca="1" ref="P638" ca="1">IF(D638=0,IF(G638=0,"",HYPERLINK("#"&amp;RIGHT(CELL("adresse",OFFSET(DMAV_Dienste!$M$6,G638-1,0)),LEN(CELL("adresse",OFFSET(DMAV_Dienste!$M$6,G638-1,0)))-FIND("]",CELL("adresse",OFFSET(DMAV_Dienste!$M$6,G638-1,0)))),"Substructure")),HYPERLINK("#"&amp;RIGHT(CELL("adresse",OFFSET(DMAV_Modell!$N$6,D638-1,0)),LEN(CELL("adresse",OFFSET(DMAV_Modell!$N$6,D638-1,0)))-FIND("]",CELL("adresse",OFFSET(DMAV_Modell!$N$6,D638-1,0)))),"Substructure"))</f>
        <v/>
      </c>
      <c r="R638" s="80"/>
      <c r="T638" s="93"/>
      <c r="U638" s="94"/>
      <c r="V638" s="95"/>
      <c r="W638" s="96"/>
      <c r="Y638" s="85"/>
      <c r="Z638" s="86"/>
      <c r="AA638" s="87"/>
      <c r="AB638" s="88"/>
      <c r="AD638" s="77"/>
      <c r="AF638" s="54" t="str" cm="1">
        <f t="array" aca="1" ref="AF638" ca="1">IF(H638=0,"",HYPERLINK("#"&amp;RIGHT(CELL("adresse",OFFSET('DM01-AV-CH'!$G$6,H638-1,0)),LEN(CELL("adresse",OFFSET('DM01-AV-CH'!$G$6,H638-1,0)))-FIND("]",CELL("adresse",OFFSET('DM01-AV-CH'!$G$6,H638-1,0)))),"Modell"))</f>
        <v/>
      </c>
      <c r="AG638" s="72" t="str" cm="1">
        <f t="array" ref="AG638">IF($H638=0,"",IF(INDEX('DM01-AV-CH'!G$6:G$834,$H638)="","",INDEX('DM01-AV-CH'!G$6:G$834,$H638)))</f>
        <v/>
      </c>
      <c r="AH638" s="73" t="str" cm="1">
        <f t="array" ref="AH638">IF($H638=0,"",IF(INDEX('DM01-AV-CH'!H$6:H$834,$H638)="","",INDEX('DM01-AV-CH'!H$6:H$834,$H638)))</f>
        <v/>
      </c>
      <c r="AI638" s="74" t="str" cm="1">
        <f t="array" ref="AI638">IF($H638=0,"",IF(INDEX('DM01-AV-CH'!I$6:I$834,$H638)="","",INDEX('DM01-AV-CH'!I$6:I$834,$H638)))</f>
        <v/>
      </c>
    </row>
    <row r="639" spans="1:35" x14ac:dyDescent="0.25">
      <c r="A639" s="57">
        <v>634</v>
      </c>
      <c r="B639" s="57">
        <f>IF($A639="","",IF(_xlfn.XLOOKUP($A639,Korrelation!$D$4:$D$1197,Korrelation!E$4:E$1197,"-",0)="-",0,MATCH(_xlfn.XLOOKUP($A639,Korrelation!$D$4:$D$1197,Korrelation!E$4:E$1197,"",0),DMAV_Modell!$G$6:$G$677,0)))</f>
        <v>344</v>
      </c>
      <c r="C639" s="57">
        <f>IF($A639="","",IF(_xlfn.XLOOKUP($A639,Korrelation!$D$4:$D$1197,Korrelation!F$4:F$1197,"-",0)="-",0,MATCH(_xlfn.XLOOKUP($A639,Korrelation!$D$4:$D$1197,Korrelation!F$4:F$1197,"",0),DMAV_Modell!$G$6:$G$677,0)))</f>
        <v>0</v>
      </c>
      <c r="D639" s="57">
        <f>IF($A639="","",IF(_xlfn.XLOOKUP($A639,Korrelation!$D$4:$D$1197,Korrelation!G$4:G$1197,"-",0)="-",0,MATCH(_xlfn.XLOOKUP($A639,Korrelation!$D$4:$D$1197,Korrelation!G$4:G$1197,"",0),DMAV_Modell!$G$6:$G$677,0)))</f>
        <v>0</v>
      </c>
      <c r="E639" s="57">
        <f>IF($A639="","",IF(_xlfn.XLOOKUP($A639,Korrelation!$D$4:$D$1197,Korrelation!H$4:H$1197,"-",0)="-",0,MATCH(_xlfn.XLOOKUP($A639,Korrelation!$D$4:$D$1197,Korrelation!H$4:H$1197,"",0),DMAV_Dienste!$F$6:$F$140,0)))</f>
        <v>0</v>
      </c>
      <c r="F639" s="57">
        <f>IF($A639="","",IF(_xlfn.XLOOKUP($A639,Korrelation!$D$4:$D$1197,Korrelation!I$4:I$1197,"-",0)="-",0,MATCH(_xlfn.XLOOKUP($A639,Korrelation!$D$4:$D$1197,Korrelation!I$4:I$1197,"",0),DMAV_Dienste!$F$6:$F$140,0)))</f>
        <v>0</v>
      </c>
      <c r="G639" s="57">
        <f>IF($A639="","",IF(_xlfn.XLOOKUP($A639,Korrelation!$D$4:$D$1197,Korrelation!J$4:J$1197,"-",0)="-",0,MATCH(_xlfn.XLOOKUP($A639,Korrelation!$D$4:$D$1197,Korrelation!J$4:J$1197,"",0),DMAV_Dienste!$F$6:$F$140,0)))</f>
        <v>0</v>
      </c>
      <c r="H639" s="57">
        <f>IF($A639="","",IF(_xlfn.XLOOKUP($A639,Korrelation!$D$4:$D$1197,Korrelation!K$4:K$1197,"-",0)="-",0,MATCH(_xlfn.XLOOKUP($A639,Korrelation!$D$4:$D$1197,Korrelation!K$4:K$1197,"",0),'DM01-AV-CH'!$A$6:$A$834,0)))</f>
        <v>0</v>
      </c>
      <c r="J639" s="54" t="str" cm="1">
        <f t="array" aca="1" ref="J639" ca="1">IF(B639=0,IF(E639=0,"",HYPERLINK("#"&amp;RIGHT(CELL("adresse",OFFSET(DMAV_Dienste!$M$6,E639-1,0)),LEN(CELL("adresse",OFFSET(DMAV_Dienste!$M$6,E639-1,0)))-FIND("]",CELL("adresse",OFFSET(DMAV_Dienste!$M$6,E639-1,0)))),"Dienst")),HYPERLINK("#"&amp;RIGHT(CELL("adresse",OFFSET(DMAV_Modell!$N$6,B639-1,0)),LEN(CELL("adresse",OFFSET(DMAV_Modell!$N$6,B639-1,0)))-FIND("]",CELL("adresse",OFFSET(DMAV_Modell!$N$6,B639-1,0)))),"Modell"))</f>
        <v>Modell</v>
      </c>
      <c r="K639" s="61" t="str" cm="1">
        <f t="array" ref="K639">IF($B639=0,IF($E639=0,"",IF(INDEX(DMAV_Dienste!P$6:P$140,$E639)="","",INDEX(DMAV_Dienste!P$6:P$140,$E639))),IF(INDEX(DMAV_Modell!Q$6:Q$838,$B639)="","",INDEX(DMAV_Modell!Q$6:Q$838,$B639)))</f>
        <v>IMPORTS</v>
      </c>
      <c r="L639" s="62" t="str" cm="1">
        <f t="array" ref="L639">IF($B639=0,IF($E639=0,"",IF(INDEX(DMAV_Dienste!O$6:O$140,$E639)="","",INDEX(DMAV_Dienste!O$6:O$140,$E639))),IF(INDEX(DMAV_Modell!P$6:P$838,$B639)="","",INDEX(DMAV_Modell!P$6:P$838,$B639)))</f>
        <v/>
      </c>
      <c r="M639" s="62" t="str" cm="1">
        <f t="array" ref="M639">IF($B639=0,IF($E639=0,"",IF(INDEX(DMAV_Dienste!Q$6:Q$140,$E639)="","",INDEX(DMAV_Dienste!Q$6:Q$140,$E639))),IF(INDEX(DMAV_Modell!R$6:R$838,$B639)="","",INDEX(DMAV_Modell!R$6:R$838,$B639)))</f>
        <v>DMAVTYM_Grafik_V1_0</v>
      </c>
      <c r="N639" s="62" t="str" cm="1">
        <f t="array" ref="N639">IF($B639=0,IF($E639=0,"",IF(INDEX(DMAV_Dienste!T$6:T$140,$E639)="","",INDEX(DMAV_Dienste!T$6:T$140,$E639))),IF(INDEX(DMAV_Modell!U$6:U$838,$B639)="","",INDEX(DMAV_Modell!U$6:U$838,$B639)))</f>
        <v/>
      </c>
      <c r="O639" s="63" t="str" cm="1">
        <f t="array" aca="1" ref="O639" ca="1">IF(C639=0,IF(F639=0,"",HYPERLINK("#"&amp;RIGHT(CELL("adresse",OFFSET(DMAV_Dienste!$M$6,F639-1,0)),LEN(CELL("adresse",OFFSET(DMAV_Dienste!$M$6,F639-1,0)))-FIND("]",CELL("adresse",OFFSET(DMAV_Dienste!$M$6,F639-1,0)))),"Structure")),HYPERLINK("#"&amp;RIGHT(CELL("adresse",OFFSET(DMAV_Modell!$N$6,C639-1,0)),LEN(CELL("adresse",OFFSET(DMAV_Modell!$N$6,C639-1,0)))-FIND("]",CELL("adresse",OFFSET(DMAV_Modell!$N$6,C639-1,0)))),"Structure"))</f>
        <v/>
      </c>
      <c r="P639" s="64" t="str" cm="1">
        <f t="array" aca="1" ref="P639" ca="1">IF(D639=0,IF(G639=0,"",HYPERLINK("#"&amp;RIGHT(CELL("adresse",OFFSET(DMAV_Dienste!$M$6,G639-1,0)),LEN(CELL("adresse",OFFSET(DMAV_Dienste!$M$6,G639-1,0)))-FIND("]",CELL("adresse",OFFSET(DMAV_Dienste!$M$6,G639-1,0)))),"Substructure")),HYPERLINK("#"&amp;RIGHT(CELL("adresse",OFFSET(DMAV_Modell!$N$6,D639-1,0)),LEN(CELL("adresse",OFFSET(DMAV_Modell!$N$6,D639-1,0)))-FIND("]",CELL("adresse",OFFSET(DMAV_Modell!$N$6,D639-1,0)))),"Substructure"))</f>
        <v/>
      </c>
      <c r="R639" s="80"/>
      <c r="T639" s="93"/>
      <c r="U639" s="94"/>
      <c r="V639" s="95"/>
      <c r="W639" s="96"/>
      <c r="Y639" s="85"/>
      <c r="Z639" s="86"/>
      <c r="AA639" s="87"/>
      <c r="AB639" s="88"/>
      <c r="AD639" s="77"/>
      <c r="AF639" s="54" t="str" cm="1">
        <f t="array" aca="1" ref="AF639" ca="1">IF(H639=0,"",HYPERLINK("#"&amp;RIGHT(CELL("adresse",OFFSET('DM01-AV-CH'!$G$6,H639-1,0)),LEN(CELL("adresse",OFFSET('DM01-AV-CH'!$G$6,H639-1,0)))-FIND("]",CELL("adresse",OFFSET('DM01-AV-CH'!$G$6,H639-1,0)))),"Modell"))</f>
        <v/>
      </c>
      <c r="AG639" s="72" t="str" cm="1">
        <f t="array" ref="AG639">IF($H639=0,"",IF(INDEX('DM01-AV-CH'!G$6:G$834,$H639)="","",INDEX('DM01-AV-CH'!G$6:G$834,$H639)))</f>
        <v/>
      </c>
      <c r="AH639" s="73" t="str" cm="1">
        <f t="array" ref="AH639">IF($H639=0,"",IF(INDEX('DM01-AV-CH'!H$6:H$834,$H639)="","",INDEX('DM01-AV-CH'!H$6:H$834,$H639)))</f>
        <v/>
      </c>
      <c r="AI639" s="74" t="str" cm="1">
        <f t="array" ref="AI639">IF($H639=0,"",IF(INDEX('DM01-AV-CH'!I$6:I$834,$H639)="","",INDEX('DM01-AV-CH'!I$6:I$834,$H639)))</f>
        <v/>
      </c>
    </row>
    <row r="640" spans="1:35" x14ac:dyDescent="0.25">
      <c r="A640" s="57">
        <v>635</v>
      </c>
      <c r="B640" s="57">
        <f>IF($A640="","",IF(_xlfn.XLOOKUP($A640,Korrelation!$D$4:$D$1197,Korrelation!E$4:E$1197,"-",0)="-",0,MATCH(_xlfn.XLOOKUP($A640,Korrelation!$D$4:$D$1197,Korrelation!E$4:E$1197,"",0),DMAV_Modell!$G$6:$G$677,0)))</f>
        <v>345</v>
      </c>
      <c r="C640" s="57">
        <f>IF($A640="","",IF(_xlfn.XLOOKUP($A640,Korrelation!$D$4:$D$1197,Korrelation!F$4:F$1197,"-",0)="-",0,MATCH(_xlfn.XLOOKUP($A640,Korrelation!$D$4:$D$1197,Korrelation!F$4:F$1197,"",0),DMAV_Modell!$G$6:$G$677,0)))</f>
        <v>0</v>
      </c>
      <c r="D640" s="57">
        <f>IF($A640="","",IF(_xlfn.XLOOKUP($A640,Korrelation!$D$4:$D$1197,Korrelation!G$4:G$1197,"-",0)="-",0,MATCH(_xlfn.XLOOKUP($A640,Korrelation!$D$4:$D$1197,Korrelation!G$4:G$1197,"",0),DMAV_Modell!$G$6:$G$677,0)))</f>
        <v>0</v>
      </c>
      <c r="E640" s="57">
        <f>IF($A640="","",IF(_xlfn.XLOOKUP($A640,Korrelation!$D$4:$D$1197,Korrelation!H$4:H$1197,"-",0)="-",0,MATCH(_xlfn.XLOOKUP($A640,Korrelation!$D$4:$D$1197,Korrelation!H$4:H$1197,"",0),DMAV_Dienste!$F$6:$F$140,0)))</f>
        <v>0</v>
      </c>
      <c r="F640" s="57">
        <f>IF($A640="","",IF(_xlfn.XLOOKUP($A640,Korrelation!$D$4:$D$1197,Korrelation!I$4:I$1197,"-",0)="-",0,MATCH(_xlfn.XLOOKUP($A640,Korrelation!$D$4:$D$1197,Korrelation!I$4:I$1197,"",0),DMAV_Dienste!$F$6:$F$140,0)))</f>
        <v>0</v>
      </c>
      <c r="G640" s="57">
        <f>IF($A640="","",IF(_xlfn.XLOOKUP($A640,Korrelation!$D$4:$D$1197,Korrelation!J$4:J$1197,"-",0)="-",0,MATCH(_xlfn.XLOOKUP($A640,Korrelation!$D$4:$D$1197,Korrelation!J$4:J$1197,"",0),DMAV_Dienste!$F$6:$F$140,0)))</f>
        <v>0</v>
      </c>
      <c r="H640" s="57">
        <f>IF($A640="","",IF(_xlfn.XLOOKUP($A640,Korrelation!$D$4:$D$1197,Korrelation!K$4:K$1197,"-",0)="-",0,MATCH(_xlfn.XLOOKUP($A640,Korrelation!$D$4:$D$1197,Korrelation!K$4:K$1197,"",0),'DM01-AV-CH'!$A$6:$A$834,0)))</f>
        <v>0</v>
      </c>
      <c r="J640" s="54" t="str" cm="1">
        <f t="array" aca="1" ref="J640" ca="1">IF(B640=0,IF(E640=0,"",HYPERLINK("#"&amp;RIGHT(CELL("adresse",OFFSET(DMAV_Dienste!$M$6,E640-1,0)),LEN(CELL("adresse",OFFSET(DMAV_Dienste!$M$6,E640-1,0)))-FIND("]",CELL("adresse",OFFSET(DMAV_Dienste!$M$6,E640-1,0)))),"Dienst")),HYPERLINK("#"&amp;RIGHT(CELL("adresse",OFFSET(DMAV_Modell!$N$6,B640-1,0)),LEN(CELL("adresse",OFFSET(DMAV_Modell!$N$6,B640-1,0)))-FIND("]",CELL("adresse",OFFSET(DMAV_Modell!$N$6,B640-1,0)))),"Modell"))</f>
        <v>Modell</v>
      </c>
      <c r="K640" s="61" t="str" cm="1">
        <f t="array" ref="K640">IF($B640=0,IF($E640=0,"",IF(INDEX(DMAV_Dienste!P$6:P$140,$E640)="","",INDEX(DMAV_Dienste!P$6:P$140,$E640))),IF(INDEX(DMAV_Modell!Q$6:Q$838,$B640)="","",INDEX(DMAV_Modell!Q$6:Q$838,$B640)))</f>
        <v>CLASS</v>
      </c>
      <c r="L640" s="62" t="str" cm="1">
        <f t="array" ref="L640">IF($B640=0,IF($E640=0,"",IF(INDEX(DMAV_Dienste!O$6:O$140,$E640)="","",INDEX(DMAV_Dienste!O$6:O$140,$E640))),IF(INDEX(DMAV_Modell!P$6:P$838,$B640)="","",INDEX(DMAV_Modell!P$6:P$838,$B640)))</f>
        <v>DauerndeBodenverschiebungen</v>
      </c>
      <c r="M640" s="62" t="str" cm="1">
        <f t="array" ref="M640">IF($B640=0,IF($E640=0,"",IF(INDEX(DMAV_Dienste!Q$6:Q$140,$E640)="","",INDEX(DMAV_Dienste!Q$6:Q$140,$E640))),IF(INDEX(DMAV_Modell!R$6:R$838,$B640)="","",INDEX(DMAV_Modell!R$6:R$838,$B640)))</f>
        <v>DBVNachfuehrung</v>
      </c>
      <c r="N640" s="62" t="str" cm="1">
        <f t="array" ref="N640">IF($B640=0,IF($E640=0,"",IF(INDEX(DMAV_Dienste!T$6:T$140,$E640)="","",INDEX(DMAV_Dienste!T$6:T$140,$E640))),IF(INDEX(DMAV_Modell!U$6:U$838,$B640)="","",INDEX(DMAV_Modell!U$6:U$838,$B640)))</f>
        <v>NBIdent</v>
      </c>
      <c r="O640" s="63" t="str" cm="1">
        <f t="array" aca="1" ref="O640" ca="1">IF(C640=0,IF(F640=0,"",HYPERLINK("#"&amp;RIGHT(CELL("adresse",OFFSET(DMAV_Dienste!$M$6,F640-1,0)),LEN(CELL("adresse",OFFSET(DMAV_Dienste!$M$6,F640-1,0)))-FIND("]",CELL("adresse",OFFSET(DMAV_Dienste!$M$6,F640-1,0)))),"Structure")),HYPERLINK("#"&amp;RIGHT(CELL("adresse",OFFSET(DMAV_Modell!$N$6,C640-1,0)),LEN(CELL("adresse",OFFSET(DMAV_Modell!$N$6,C640-1,0)))-FIND("]",CELL("adresse",OFFSET(DMAV_Modell!$N$6,C640-1,0)))),"Structure"))</f>
        <v/>
      </c>
      <c r="P640" s="64" t="str" cm="1">
        <f t="array" aca="1" ref="P640" ca="1">IF(D640=0,IF(G640=0,"",HYPERLINK("#"&amp;RIGHT(CELL("adresse",OFFSET(DMAV_Dienste!$M$6,G640-1,0)),LEN(CELL("adresse",OFFSET(DMAV_Dienste!$M$6,G640-1,0)))-FIND("]",CELL("adresse",OFFSET(DMAV_Dienste!$M$6,G640-1,0)))),"Substructure")),HYPERLINK("#"&amp;RIGHT(CELL("adresse",OFFSET(DMAV_Modell!$N$6,D640-1,0)),LEN(CELL("adresse",OFFSET(DMAV_Modell!$N$6,D640-1,0)))-FIND("]",CELL("adresse",OFFSET(DMAV_Modell!$N$6,D640-1,0)))),"Substructure"))</f>
        <v/>
      </c>
      <c r="R640" s="80"/>
      <c r="T640" s="93"/>
      <c r="U640" s="94"/>
      <c r="V640" s="95"/>
      <c r="W640" s="96"/>
      <c r="Y640" s="85"/>
      <c r="Z640" s="86"/>
      <c r="AA640" s="87"/>
      <c r="AB640" s="88"/>
      <c r="AD640" s="77"/>
      <c r="AF640" s="54" t="str" cm="1">
        <f t="array" aca="1" ref="AF640" ca="1">IF(H640=0,"",HYPERLINK("#"&amp;RIGHT(CELL("adresse",OFFSET('DM01-AV-CH'!$G$6,H640-1,0)),LEN(CELL("adresse",OFFSET('DM01-AV-CH'!$G$6,H640-1,0)))-FIND("]",CELL("adresse",OFFSET('DM01-AV-CH'!$G$6,H640-1,0)))),"Modell"))</f>
        <v/>
      </c>
      <c r="AG640" s="72" t="str" cm="1">
        <f t="array" ref="AG640">IF($H640=0,"",IF(INDEX('DM01-AV-CH'!G$6:G$834,$H640)="","",INDEX('DM01-AV-CH'!G$6:G$834,$H640)))</f>
        <v/>
      </c>
      <c r="AH640" s="73" t="str" cm="1">
        <f t="array" ref="AH640">IF($H640=0,"",IF(INDEX('DM01-AV-CH'!H$6:H$834,$H640)="","",INDEX('DM01-AV-CH'!H$6:H$834,$H640)))</f>
        <v/>
      </c>
      <c r="AI640" s="74" t="str" cm="1">
        <f t="array" ref="AI640">IF($H640=0,"",IF(INDEX('DM01-AV-CH'!I$6:I$834,$H640)="","",INDEX('DM01-AV-CH'!I$6:I$834,$H640)))</f>
        <v/>
      </c>
    </row>
    <row r="641" spans="1:35" x14ac:dyDescent="0.25">
      <c r="A641" s="57">
        <v>636</v>
      </c>
      <c r="B641" s="57">
        <f>IF($A641="","",IF(_xlfn.XLOOKUP($A641,Korrelation!$D$4:$D$1197,Korrelation!E$4:E$1197,"-",0)="-",0,MATCH(_xlfn.XLOOKUP($A641,Korrelation!$D$4:$D$1197,Korrelation!E$4:E$1197,"",0),DMAV_Modell!$G$6:$G$677,0)))</f>
        <v>346</v>
      </c>
      <c r="C641" s="57">
        <f>IF($A641="","",IF(_xlfn.XLOOKUP($A641,Korrelation!$D$4:$D$1197,Korrelation!F$4:F$1197,"-",0)="-",0,MATCH(_xlfn.XLOOKUP($A641,Korrelation!$D$4:$D$1197,Korrelation!F$4:F$1197,"",0),DMAV_Modell!$G$6:$G$677,0)))</f>
        <v>0</v>
      </c>
      <c r="D641" s="57">
        <f>IF($A641="","",IF(_xlfn.XLOOKUP($A641,Korrelation!$D$4:$D$1197,Korrelation!G$4:G$1197,"-",0)="-",0,MATCH(_xlfn.XLOOKUP($A641,Korrelation!$D$4:$D$1197,Korrelation!G$4:G$1197,"",0),DMAV_Modell!$G$6:$G$677,0)))</f>
        <v>0</v>
      </c>
      <c r="E641" s="57">
        <f>IF($A641="","",IF(_xlfn.XLOOKUP($A641,Korrelation!$D$4:$D$1197,Korrelation!H$4:H$1197,"-",0)="-",0,MATCH(_xlfn.XLOOKUP($A641,Korrelation!$D$4:$D$1197,Korrelation!H$4:H$1197,"",0),DMAV_Dienste!$F$6:$F$140,0)))</f>
        <v>0</v>
      </c>
      <c r="F641" s="57">
        <f>IF($A641="","",IF(_xlfn.XLOOKUP($A641,Korrelation!$D$4:$D$1197,Korrelation!I$4:I$1197,"-",0)="-",0,MATCH(_xlfn.XLOOKUP($A641,Korrelation!$D$4:$D$1197,Korrelation!I$4:I$1197,"",0),DMAV_Dienste!$F$6:$F$140,0)))</f>
        <v>0</v>
      </c>
      <c r="G641" s="57">
        <f>IF($A641="","",IF(_xlfn.XLOOKUP($A641,Korrelation!$D$4:$D$1197,Korrelation!J$4:J$1197,"-",0)="-",0,MATCH(_xlfn.XLOOKUP($A641,Korrelation!$D$4:$D$1197,Korrelation!J$4:J$1197,"",0),DMAV_Dienste!$F$6:$F$140,0)))</f>
        <v>0</v>
      </c>
      <c r="H641" s="57">
        <f>IF($A641="","",IF(_xlfn.XLOOKUP($A641,Korrelation!$D$4:$D$1197,Korrelation!K$4:K$1197,"-",0)="-",0,MATCH(_xlfn.XLOOKUP($A641,Korrelation!$D$4:$D$1197,Korrelation!K$4:K$1197,"",0),'DM01-AV-CH'!$A$6:$A$834,0)))</f>
        <v>0</v>
      </c>
      <c r="J641" s="54" t="str" cm="1">
        <f t="array" aca="1" ref="J641" ca="1">IF(B641=0,IF(E641=0,"",HYPERLINK("#"&amp;RIGHT(CELL("adresse",OFFSET(DMAV_Dienste!$M$6,E641-1,0)),LEN(CELL("adresse",OFFSET(DMAV_Dienste!$M$6,E641-1,0)))-FIND("]",CELL("adresse",OFFSET(DMAV_Dienste!$M$6,E641-1,0)))),"Dienst")),HYPERLINK("#"&amp;RIGHT(CELL("adresse",OFFSET(DMAV_Modell!$N$6,B641-1,0)),LEN(CELL("adresse",OFFSET(DMAV_Modell!$N$6,B641-1,0)))-FIND("]",CELL("adresse",OFFSET(DMAV_Modell!$N$6,B641-1,0)))),"Modell"))</f>
        <v>Modell</v>
      </c>
      <c r="K641" s="61" t="str" cm="1">
        <f t="array" ref="K641">IF($B641=0,IF($E641=0,"",IF(INDEX(DMAV_Dienste!P$6:P$140,$E641)="","",INDEX(DMAV_Dienste!P$6:P$140,$E641))),IF(INDEX(DMAV_Modell!Q$6:Q$838,$B641)="","",INDEX(DMAV_Modell!Q$6:Q$838,$B641)))</f>
        <v>CLASS</v>
      </c>
      <c r="L641" s="62" t="str" cm="1">
        <f t="array" ref="L641">IF($B641=0,IF($E641=0,"",IF(INDEX(DMAV_Dienste!O$6:O$140,$E641)="","",INDEX(DMAV_Dienste!O$6:O$140,$E641))),IF(INDEX(DMAV_Modell!P$6:P$838,$B641)="","",INDEX(DMAV_Modell!P$6:P$838,$B641)))</f>
        <v>DauerndeBodenverschiebungen</v>
      </c>
      <c r="M641" s="62" t="str" cm="1">
        <f t="array" ref="M641">IF($B641=0,IF($E641=0,"",IF(INDEX(DMAV_Dienste!Q$6:Q$140,$E641)="","",INDEX(DMAV_Dienste!Q$6:Q$140,$E641))),IF(INDEX(DMAV_Modell!R$6:R$838,$B641)="","",INDEX(DMAV_Modell!R$6:R$838,$B641)))</f>
        <v>DBVNachfuehrung</v>
      </c>
      <c r="N641" s="62" t="str" cm="1">
        <f t="array" ref="N641">IF($B641=0,IF($E641=0,"",IF(INDEX(DMAV_Dienste!T$6:T$140,$E641)="","",INDEX(DMAV_Dienste!T$6:T$140,$E641))),IF(INDEX(DMAV_Modell!U$6:U$838,$B641)="","",INDEX(DMAV_Modell!U$6:U$838,$B641)))</f>
        <v>Identifikator</v>
      </c>
      <c r="O641" s="63" t="str" cm="1">
        <f t="array" aca="1" ref="O641" ca="1">IF(C641=0,IF(F641=0,"",HYPERLINK("#"&amp;RIGHT(CELL("adresse",OFFSET(DMAV_Dienste!$M$6,F641-1,0)),LEN(CELL("adresse",OFFSET(DMAV_Dienste!$M$6,F641-1,0)))-FIND("]",CELL("adresse",OFFSET(DMAV_Dienste!$M$6,F641-1,0)))),"Structure")),HYPERLINK("#"&amp;RIGHT(CELL("adresse",OFFSET(DMAV_Modell!$N$6,C641-1,0)),LEN(CELL("adresse",OFFSET(DMAV_Modell!$N$6,C641-1,0)))-FIND("]",CELL("adresse",OFFSET(DMAV_Modell!$N$6,C641-1,0)))),"Structure"))</f>
        <v/>
      </c>
      <c r="P641" s="64" t="str" cm="1">
        <f t="array" aca="1" ref="P641" ca="1">IF(D641=0,IF(G641=0,"",HYPERLINK("#"&amp;RIGHT(CELL("adresse",OFFSET(DMAV_Dienste!$M$6,G641-1,0)),LEN(CELL("adresse",OFFSET(DMAV_Dienste!$M$6,G641-1,0)))-FIND("]",CELL("adresse",OFFSET(DMAV_Dienste!$M$6,G641-1,0)))),"Substructure")),HYPERLINK("#"&amp;RIGHT(CELL("adresse",OFFSET(DMAV_Modell!$N$6,D641-1,0)),LEN(CELL("adresse",OFFSET(DMAV_Modell!$N$6,D641-1,0)))-FIND("]",CELL("adresse",OFFSET(DMAV_Modell!$N$6,D641-1,0)))),"Substructure"))</f>
        <v/>
      </c>
      <c r="R641" s="80"/>
      <c r="T641" s="93"/>
      <c r="U641" s="94"/>
      <c r="V641" s="95"/>
      <c r="W641" s="96"/>
      <c r="Y641" s="85"/>
      <c r="Z641" s="86"/>
      <c r="AA641" s="87"/>
      <c r="AB641" s="88"/>
      <c r="AD641" s="77"/>
      <c r="AF641" s="54" t="str" cm="1">
        <f t="array" aca="1" ref="AF641" ca="1">IF(H641=0,"",HYPERLINK("#"&amp;RIGHT(CELL("adresse",OFFSET('DM01-AV-CH'!$G$6,H641-1,0)),LEN(CELL("adresse",OFFSET('DM01-AV-CH'!$G$6,H641-1,0)))-FIND("]",CELL("adresse",OFFSET('DM01-AV-CH'!$G$6,H641-1,0)))),"Modell"))</f>
        <v/>
      </c>
      <c r="AG641" s="72" t="str" cm="1">
        <f t="array" ref="AG641">IF($H641=0,"",IF(INDEX('DM01-AV-CH'!G$6:G$834,$H641)="","",INDEX('DM01-AV-CH'!G$6:G$834,$H641)))</f>
        <v/>
      </c>
      <c r="AH641" s="73" t="str" cm="1">
        <f t="array" ref="AH641">IF($H641=0,"",IF(INDEX('DM01-AV-CH'!H$6:H$834,$H641)="","",INDEX('DM01-AV-CH'!H$6:H$834,$H641)))</f>
        <v/>
      </c>
      <c r="AI641" s="74" t="str" cm="1">
        <f t="array" ref="AI641">IF($H641=0,"",IF(INDEX('DM01-AV-CH'!I$6:I$834,$H641)="","",INDEX('DM01-AV-CH'!I$6:I$834,$H641)))</f>
        <v/>
      </c>
    </row>
    <row r="642" spans="1:35" x14ac:dyDescent="0.25">
      <c r="A642" s="57">
        <v>637</v>
      </c>
      <c r="B642" s="57">
        <f>IF($A642="","",IF(_xlfn.XLOOKUP($A642,Korrelation!$D$4:$D$1197,Korrelation!E$4:E$1197,"-",0)="-",0,MATCH(_xlfn.XLOOKUP($A642,Korrelation!$D$4:$D$1197,Korrelation!E$4:E$1197,"",0),DMAV_Modell!$G$6:$G$677,0)))</f>
        <v>347</v>
      </c>
      <c r="C642" s="57">
        <f>IF($A642="","",IF(_xlfn.XLOOKUP($A642,Korrelation!$D$4:$D$1197,Korrelation!F$4:F$1197,"-",0)="-",0,MATCH(_xlfn.XLOOKUP($A642,Korrelation!$D$4:$D$1197,Korrelation!F$4:F$1197,"",0),DMAV_Modell!$G$6:$G$677,0)))</f>
        <v>0</v>
      </c>
      <c r="D642" s="57">
        <f>IF($A642="","",IF(_xlfn.XLOOKUP($A642,Korrelation!$D$4:$D$1197,Korrelation!G$4:G$1197,"-",0)="-",0,MATCH(_xlfn.XLOOKUP($A642,Korrelation!$D$4:$D$1197,Korrelation!G$4:G$1197,"",0),DMAV_Modell!$G$6:$G$677,0)))</f>
        <v>0</v>
      </c>
      <c r="E642" s="57">
        <f>IF($A642="","",IF(_xlfn.XLOOKUP($A642,Korrelation!$D$4:$D$1197,Korrelation!H$4:H$1197,"-",0)="-",0,MATCH(_xlfn.XLOOKUP($A642,Korrelation!$D$4:$D$1197,Korrelation!H$4:H$1197,"",0),DMAV_Dienste!$F$6:$F$140,0)))</f>
        <v>0</v>
      </c>
      <c r="F642" s="57">
        <f>IF($A642="","",IF(_xlfn.XLOOKUP($A642,Korrelation!$D$4:$D$1197,Korrelation!I$4:I$1197,"-",0)="-",0,MATCH(_xlfn.XLOOKUP($A642,Korrelation!$D$4:$D$1197,Korrelation!I$4:I$1197,"",0),DMAV_Dienste!$F$6:$F$140,0)))</f>
        <v>0</v>
      </c>
      <c r="G642" s="57">
        <f>IF($A642="","",IF(_xlfn.XLOOKUP($A642,Korrelation!$D$4:$D$1197,Korrelation!J$4:J$1197,"-",0)="-",0,MATCH(_xlfn.XLOOKUP($A642,Korrelation!$D$4:$D$1197,Korrelation!J$4:J$1197,"",0),DMAV_Dienste!$F$6:$F$140,0)))</f>
        <v>0</v>
      </c>
      <c r="H642" s="57">
        <f>IF($A642="","",IF(_xlfn.XLOOKUP($A642,Korrelation!$D$4:$D$1197,Korrelation!K$4:K$1197,"-",0)="-",0,MATCH(_xlfn.XLOOKUP($A642,Korrelation!$D$4:$D$1197,Korrelation!K$4:K$1197,"",0),'DM01-AV-CH'!$A$6:$A$834,0)))</f>
        <v>0</v>
      </c>
      <c r="J642" s="54" t="str" cm="1">
        <f t="array" aca="1" ref="J642" ca="1">IF(B642=0,IF(E642=0,"",HYPERLINK("#"&amp;RIGHT(CELL("adresse",OFFSET(DMAV_Dienste!$M$6,E642-1,0)),LEN(CELL("adresse",OFFSET(DMAV_Dienste!$M$6,E642-1,0)))-FIND("]",CELL("adresse",OFFSET(DMAV_Dienste!$M$6,E642-1,0)))),"Dienst")),HYPERLINK("#"&amp;RIGHT(CELL("adresse",OFFSET(DMAV_Modell!$N$6,B642-1,0)),LEN(CELL("adresse",OFFSET(DMAV_Modell!$N$6,B642-1,0)))-FIND("]",CELL("adresse",OFFSET(DMAV_Modell!$N$6,B642-1,0)))),"Modell"))</f>
        <v>Modell</v>
      </c>
      <c r="K642" s="61" t="str" cm="1">
        <f t="array" ref="K642">IF($B642=0,IF($E642=0,"",IF(INDEX(DMAV_Dienste!P$6:P$140,$E642)="","",INDEX(DMAV_Dienste!P$6:P$140,$E642))),IF(INDEX(DMAV_Modell!Q$6:Q$838,$B642)="","",INDEX(DMAV_Modell!Q$6:Q$838,$B642)))</f>
        <v>CLASS</v>
      </c>
      <c r="L642" s="62" t="str" cm="1">
        <f t="array" ref="L642">IF($B642=0,IF($E642=0,"",IF(INDEX(DMAV_Dienste!O$6:O$140,$E642)="","",INDEX(DMAV_Dienste!O$6:O$140,$E642))),IF(INDEX(DMAV_Modell!P$6:P$838,$B642)="","",INDEX(DMAV_Modell!P$6:P$838,$B642)))</f>
        <v>DauerndeBodenverschiebungen</v>
      </c>
      <c r="M642" s="62" t="str" cm="1">
        <f t="array" ref="M642">IF($B642=0,IF($E642=0,"",IF(INDEX(DMAV_Dienste!Q$6:Q$140,$E642)="","",INDEX(DMAV_Dienste!Q$6:Q$140,$E642))),IF(INDEX(DMAV_Modell!R$6:R$838,$B642)="","",INDEX(DMAV_Modell!R$6:R$838,$B642)))</f>
        <v>DBVNachfuehrung</v>
      </c>
      <c r="N642" s="62" t="str" cm="1">
        <f t="array" ref="N642">IF($B642=0,IF($E642=0,"",IF(INDEX(DMAV_Dienste!T$6:T$140,$E642)="","",INDEX(DMAV_Dienste!T$6:T$140,$E642))),IF(INDEX(DMAV_Modell!U$6:U$838,$B642)="","",INDEX(DMAV_Modell!U$6:U$838,$B642)))</f>
        <v>Beschreibung</v>
      </c>
      <c r="O642" s="63" t="str" cm="1">
        <f t="array" aca="1" ref="O642" ca="1">IF(C642=0,IF(F642=0,"",HYPERLINK("#"&amp;RIGHT(CELL("adresse",OFFSET(DMAV_Dienste!$M$6,F642-1,0)),LEN(CELL("adresse",OFFSET(DMAV_Dienste!$M$6,F642-1,0)))-FIND("]",CELL("adresse",OFFSET(DMAV_Dienste!$M$6,F642-1,0)))),"Structure")),HYPERLINK("#"&amp;RIGHT(CELL("adresse",OFFSET(DMAV_Modell!$N$6,C642-1,0)),LEN(CELL("adresse",OFFSET(DMAV_Modell!$N$6,C642-1,0)))-FIND("]",CELL("adresse",OFFSET(DMAV_Modell!$N$6,C642-1,0)))),"Structure"))</f>
        <v/>
      </c>
      <c r="P642" s="64" t="str" cm="1">
        <f t="array" aca="1" ref="P642" ca="1">IF(D642=0,IF(G642=0,"",HYPERLINK("#"&amp;RIGHT(CELL("adresse",OFFSET(DMAV_Dienste!$M$6,G642-1,0)),LEN(CELL("adresse",OFFSET(DMAV_Dienste!$M$6,G642-1,0)))-FIND("]",CELL("adresse",OFFSET(DMAV_Dienste!$M$6,G642-1,0)))),"Substructure")),HYPERLINK("#"&amp;RIGHT(CELL("adresse",OFFSET(DMAV_Modell!$N$6,D642-1,0)),LEN(CELL("adresse",OFFSET(DMAV_Modell!$N$6,D642-1,0)))-FIND("]",CELL("adresse",OFFSET(DMAV_Modell!$N$6,D642-1,0)))),"Substructure"))</f>
        <v/>
      </c>
      <c r="R642" s="80"/>
      <c r="T642" s="93"/>
      <c r="U642" s="94"/>
      <c r="V642" s="95"/>
      <c r="W642" s="96"/>
      <c r="Y642" s="85"/>
      <c r="Z642" s="86"/>
      <c r="AA642" s="87"/>
      <c r="AB642" s="88"/>
      <c r="AD642" s="77"/>
      <c r="AF642" s="54" t="str" cm="1">
        <f t="array" aca="1" ref="AF642" ca="1">IF(H642=0,"",HYPERLINK("#"&amp;RIGHT(CELL("adresse",OFFSET('DM01-AV-CH'!$G$6,H642-1,0)),LEN(CELL("adresse",OFFSET('DM01-AV-CH'!$G$6,H642-1,0)))-FIND("]",CELL("adresse",OFFSET('DM01-AV-CH'!$G$6,H642-1,0)))),"Modell"))</f>
        <v/>
      </c>
      <c r="AG642" s="72" t="str" cm="1">
        <f t="array" ref="AG642">IF($H642=0,"",IF(INDEX('DM01-AV-CH'!G$6:G$834,$H642)="","",INDEX('DM01-AV-CH'!G$6:G$834,$H642)))</f>
        <v/>
      </c>
      <c r="AH642" s="73" t="str" cm="1">
        <f t="array" ref="AH642">IF($H642=0,"",IF(INDEX('DM01-AV-CH'!H$6:H$834,$H642)="","",INDEX('DM01-AV-CH'!H$6:H$834,$H642)))</f>
        <v/>
      </c>
      <c r="AI642" s="74" t="str" cm="1">
        <f t="array" ref="AI642">IF($H642=0,"",IF(INDEX('DM01-AV-CH'!I$6:I$834,$H642)="","",INDEX('DM01-AV-CH'!I$6:I$834,$H642)))</f>
        <v/>
      </c>
    </row>
    <row r="643" spans="1:35" x14ac:dyDescent="0.25">
      <c r="A643" s="57">
        <v>638</v>
      </c>
      <c r="B643" s="57">
        <f>IF($A643="","",IF(_xlfn.XLOOKUP($A643,Korrelation!$D$4:$D$1197,Korrelation!E$4:E$1197,"-",0)="-",0,MATCH(_xlfn.XLOOKUP($A643,Korrelation!$D$4:$D$1197,Korrelation!E$4:E$1197,"",0),DMAV_Modell!$G$6:$G$677,0)))</f>
        <v>348</v>
      </c>
      <c r="C643" s="57">
        <f>IF($A643="","",IF(_xlfn.XLOOKUP($A643,Korrelation!$D$4:$D$1197,Korrelation!F$4:F$1197,"-",0)="-",0,MATCH(_xlfn.XLOOKUP($A643,Korrelation!$D$4:$D$1197,Korrelation!F$4:F$1197,"",0),DMAV_Modell!$G$6:$G$677,0)))</f>
        <v>0</v>
      </c>
      <c r="D643" s="57">
        <f>IF($A643="","",IF(_xlfn.XLOOKUP($A643,Korrelation!$D$4:$D$1197,Korrelation!G$4:G$1197,"-",0)="-",0,MATCH(_xlfn.XLOOKUP($A643,Korrelation!$D$4:$D$1197,Korrelation!G$4:G$1197,"",0),DMAV_Modell!$G$6:$G$677,0)))</f>
        <v>0</v>
      </c>
      <c r="E643" s="57">
        <f>IF($A643="","",IF(_xlfn.XLOOKUP($A643,Korrelation!$D$4:$D$1197,Korrelation!H$4:H$1197,"-",0)="-",0,MATCH(_xlfn.XLOOKUP($A643,Korrelation!$D$4:$D$1197,Korrelation!H$4:H$1197,"",0),DMAV_Dienste!$F$6:$F$140,0)))</f>
        <v>0</v>
      </c>
      <c r="F643" s="57">
        <f>IF($A643="","",IF(_xlfn.XLOOKUP($A643,Korrelation!$D$4:$D$1197,Korrelation!I$4:I$1197,"-",0)="-",0,MATCH(_xlfn.XLOOKUP($A643,Korrelation!$D$4:$D$1197,Korrelation!I$4:I$1197,"",0),DMAV_Dienste!$F$6:$F$140,0)))</f>
        <v>0</v>
      </c>
      <c r="G643" s="57">
        <f>IF($A643="","",IF(_xlfn.XLOOKUP($A643,Korrelation!$D$4:$D$1197,Korrelation!J$4:J$1197,"-",0)="-",0,MATCH(_xlfn.XLOOKUP($A643,Korrelation!$D$4:$D$1197,Korrelation!J$4:J$1197,"",0),DMAV_Dienste!$F$6:$F$140,0)))</f>
        <v>0</v>
      </c>
      <c r="H643" s="57">
        <f>IF($A643="","",IF(_xlfn.XLOOKUP($A643,Korrelation!$D$4:$D$1197,Korrelation!K$4:K$1197,"-",0)="-",0,MATCH(_xlfn.XLOOKUP($A643,Korrelation!$D$4:$D$1197,Korrelation!K$4:K$1197,"",0),'DM01-AV-CH'!$A$6:$A$834,0)))</f>
        <v>0</v>
      </c>
      <c r="J643" s="54" t="str" cm="1">
        <f t="array" aca="1" ref="J643" ca="1">IF(B643=0,IF(E643=0,"",HYPERLINK("#"&amp;RIGHT(CELL("adresse",OFFSET(DMAV_Dienste!$M$6,E643-1,0)),LEN(CELL("adresse",OFFSET(DMAV_Dienste!$M$6,E643-1,0)))-FIND("]",CELL("adresse",OFFSET(DMAV_Dienste!$M$6,E643-1,0)))),"Dienst")),HYPERLINK("#"&amp;RIGHT(CELL("adresse",OFFSET(DMAV_Modell!$N$6,B643-1,0)),LEN(CELL("adresse",OFFSET(DMAV_Modell!$N$6,B643-1,0)))-FIND("]",CELL("adresse",OFFSET(DMAV_Modell!$N$6,B643-1,0)))),"Modell"))</f>
        <v>Modell</v>
      </c>
      <c r="K643" s="61" t="str" cm="1">
        <f t="array" ref="K643">IF($B643=0,IF($E643=0,"",IF(INDEX(DMAV_Dienste!P$6:P$140,$E643)="","",INDEX(DMAV_Dienste!P$6:P$140,$E643))),IF(INDEX(DMAV_Modell!Q$6:Q$838,$B643)="","",INDEX(DMAV_Modell!Q$6:Q$838,$B643)))</f>
        <v>CLASS</v>
      </c>
      <c r="L643" s="62" t="str" cm="1">
        <f t="array" ref="L643">IF($B643=0,IF($E643=0,"",IF(INDEX(DMAV_Dienste!O$6:O$140,$E643)="","",INDEX(DMAV_Dienste!O$6:O$140,$E643))),IF(INDEX(DMAV_Modell!P$6:P$838,$B643)="","",INDEX(DMAV_Modell!P$6:P$838,$B643)))</f>
        <v>DauerndeBodenverschiebungen</v>
      </c>
      <c r="M643" s="62" t="str" cm="1">
        <f t="array" ref="M643">IF($B643=0,IF($E643=0,"",IF(INDEX(DMAV_Dienste!Q$6:Q$140,$E643)="","",INDEX(DMAV_Dienste!Q$6:Q$140,$E643))),IF(INDEX(DMAV_Modell!R$6:R$838,$B643)="","",INDEX(DMAV_Modell!R$6:R$838,$B643)))</f>
        <v>DBVNachfuehrung</v>
      </c>
      <c r="N643" s="62" t="str" cm="1">
        <f t="array" ref="N643">IF($B643=0,IF($E643=0,"",IF(INDEX(DMAV_Dienste!T$6:T$140,$E643)="","",INDEX(DMAV_Dienste!T$6:T$140,$E643))),IF(INDEX(DMAV_Modell!U$6:U$838,$B643)="","",INDEX(DMAV_Modell!U$6:U$838,$B643)))</f>
        <v>Perimeter</v>
      </c>
      <c r="O643" s="63" t="str" cm="1">
        <f t="array" aca="1" ref="O643" ca="1">IF(C643=0,IF(F643=0,"",HYPERLINK("#"&amp;RIGHT(CELL("adresse",OFFSET(DMAV_Dienste!$M$6,F643-1,0)),LEN(CELL("adresse",OFFSET(DMAV_Dienste!$M$6,F643-1,0)))-FIND("]",CELL("adresse",OFFSET(DMAV_Dienste!$M$6,F643-1,0)))),"Structure")),HYPERLINK("#"&amp;RIGHT(CELL("adresse",OFFSET(DMAV_Modell!$N$6,C643-1,0)),LEN(CELL("adresse",OFFSET(DMAV_Modell!$N$6,C643-1,0)))-FIND("]",CELL("adresse",OFFSET(DMAV_Modell!$N$6,C643-1,0)))),"Structure"))</f>
        <v/>
      </c>
      <c r="P643" s="64" t="str" cm="1">
        <f t="array" aca="1" ref="P643" ca="1">IF(D643=0,IF(G643=0,"",HYPERLINK("#"&amp;RIGHT(CELL("adresse",OFFSET(DMAV_Dienste!$M$6,G643-1,0)),LEN(CELL("adresse",OFFSET(DMAV_Dienste!$M$6,G643-1,0)))-FIND("]",CELL("adresse",OFFSET(DMAV_Dienste!$M$6,G643-1,0)))),"Substructure")),HYPERLINK("#"&amp;RIGHT(CELL("adresse",OFFSET(DMAV_Modell!$N$6,D643-1,0)),LEN(CELL("adresse",OFFSET(DMAV_Modell!$N$6,D643-1,0)))-FIND("]",CELL("adresse",OFFSET(DMAV_Modell!$N$6,D643-1,0)))),"Substructure"))</f>
        <v/>
      </c>
      <c r="R643" s="80"/>
      <c r="T643" s="93"/>
      <c r="U643" s="94"/>
      <c r="V643" s="95"/>
      <c r="W643" s="96"/>
      <c r="Y643" s="85"/>
      <c r="Z643" s="86"/>
      <c r="AA643" s="87"/>
      <c r="AB643" s="88"/>
      <c r="AD643" s="77"/>
      <c r="AF643" s="54" t="str" cm="1">
        <f t="array" aca="1" ref="AF643" ca="1">IF(H643=0,"",HYPERLINK("#"&amp;RIGHT(CELL("adresse",OFFSET('DM01-AV-CH'!$G$6,H643-1,0)),LEN(CELL("adresse",OFFSET('DM01-AV-CH'!$G$6,H643-1,0)))-FIND("]",CELL("adresse",OFFSET('DM01-AV-CH'!$G$6,H643-1,0)))),"Modell"))</f>
        <v/>
      </c>
      <c r="AG643" s="72" t="str" cm="1">
        <f t="array" ref="AG643">IF($H643=0,"",IF(INDEX('DM01-AV-CH'!G$6:G$834,$H643)="","",INDEX('DM01-AV-CH'!G$6:G$834,$H643)))</f>
        <v/>
      </c>
      <c r="AH643" s="73" t="str" cm="1">
        <f t="array" ref="AH643">IF($H643=0,"",IF(INDEX('DM01-AV-CH'!H$6:H$834,$H643)="","",INDEX('DM01-AV-CH'!H$6:H$834,$H643)))</f>
        <v/>
      </c>
      <c r="AI643" s="74" t="str" cm="1">
        <f t="array" ref="AI643">IF($H643=0,"",IF(INDEX('DM01-AV-CH'!I$6:I$834,$H643)="","",INDEX('DM01-AV-CH'!I$6:I$834,$H643)))</f>
        <v/>
      </c>
    </row>
    <row r="644" spans="1:35" x14ac:dyDescent="0.25">
      <c r="A644" s="57">
        <v>639</v>
      </c>
      <c r="B644" s="57">
        <f>IF($A644="","",IF(_xlfn.XLOOKUP($A644,Korrelation!$D$4:$D$1197,Korrelation!E$4:E$1197,"-",0)="-",0,MATCH(_xlfn.XLOOKUP($A644,Korrelation!$D$4:$D$1197,Korrelation!E$4:E$1197,"",0),DMAV_Modell!$G$6:$G$677,0)))</f>
        <v>349</v>
      </c>
      <c r="C644" s="57">
        <f>IF($A644="","",IF(_xlfn.XLOOKUP($A644,Korrelation!$D$4:$D$1197,Korrelation!F$4:F$1197,"-",0)="-",0,MATCH(_xlfn.XLOOKUP($A644,Korrelation!$D$4:$D$1197,Korrelation!F$4:F$1197,"",0),DMAV_Modell!$G$6:$G$677,0)))</f>
        <v>0</v>
      </c>
      <c r="D644" s="57">
        <f>IF($A644="","",IF(_xlfn.XLOOKUP($A644,Korrelation!$D$4:$D$1197,Korrelation!G$4:G$1197,"-",0)="-",0,MATCH(_xlfn.XLOOKUP($A644,Korrelation!$D$4:$D$1197,Korrelation!G$4:G$1197,"",0),DMAV_Modell!$G$6:$G$677,0)))</f>
        <v>0</v>
      </c>
      <c r="E644" s="57">
        <f>IF($A644="","",IF(_xlfn.XLOOKUP($A644,Korrelation!$D$4:$D$1197,Korrelation!H$4:H$1197,"-",0)="-",0,MATCH(_xlfn.XLOOKUP($A644,Korrelation!$D$4:$D$1197,Korrelation!H$4:H$1197,"",0),DMAV_Dienste!$F$6:$F$140,0)))</f>
        <v>0</v>
      </c>
      <c r="F644" s="57">
        <f>IF($A644="","",IF(_xlfn.XLOOKUP($A644,Korrelation!$D$4:$D$1197,Korrelation!I$4:I$1197,"-",0)="-",0,MATCH(_xlfn.XLOOKUP($A644,Korrelation!$D$4:$D$1197,Korrelation!I$4:I$1197,"",0),DMAV_Dienste!$F$6:$F$140,0)))</f>
        <v>0</v>
      </c>
      <c r="G644" s="57">
        <f>IF($A644="","",IF(_xlfn.XLOOKUP($A644,Korrelation!$D$4:$D$1197,Korrelation!J$4:J$1197,"-",0)="-",0,MATCH(_xlfn.XLOOKUP($A644,Korrelation!$D$4:$D$1197,Korrelation!J$4:J$1197,"",0),DMAV_Dienste!$F$6:$F$140,0)))</f>
        <v>0</v>
      </c>
      <c r="H644" s="57">
        <f>IF($A644="","",IF(_xlfn.XLOOKUP($A644,Korrelation!$D$4:$D$1197,Korrelation!K$4:K$1197,"-",0)="-",0,MATCH(_xlfn.XLOOKUP($A644,Korrelation!$D$4:$D$1197,Korrelation!K$4:K$1197,"",0),'DM01-AV-CH'!$A$6:$A$834,0)))</f>
        <v>0</v>
      </c>
      <c r="J644" s="54" t="str" cm="1">
        <f t="array" aca="1" ref="J644" ca="1">IF(B644=0,IF(E644=0,"",HYPERLINK("#"&amp;RIGHT(CELL("adresse",OFFSET(DMAV_Dienste!$M$6,E644-1,0)),LEN(CELL("adresse",OFFSET(DMAV_Dienste!$M$6,E644-1,0)))-FIND("]",CELL("adresse",OFFSET(DMAV_Dienste!$M$6,E644-1,0)))),"Dienst")),HYPERLINK("#"&amp;RIGHT(CELL("adresse",OFFSET(DMAV_Modell!$N$6,B644-1,0)),LEN(CELL("adresse",OFFSET(DMAV_Modell!$N$6,B644-1,0)))-FIND("]",CELL("adresse",OFFSET(DMAV_Modell!$N$6,B644-1,0)))),"Modell"))</f>
        <v>Modell</v>
      </c>
      <c r="K644" s="61" t="str" cm="1">
        <f t="array" ref="K644">IF($B644=0,IF($E644=0,"",IF(INDEX(DMAV_Dienste!P$6:P$140,$E644)="","",INDEX(DMAV_Dienste!P$6:P$140,$E644))),IF(INDEX(DMAV_Modell!Q$6:Q$838,$B644)="","",INDEX(DMAV_Modell!Q$6:Q$838,$B644)))</f>
        <v>CLASS</v>
      </c>
      <c r="L644" s="62" t="str" cm="1">
        <f t="array" ref="L644">IF($B644=0,IF($E644=0,"",IF(INDEX(DMAV_Dienste!O$6:O$140,$E644)="","",INDEX(DMAV_Dienste!O$6:O$140,$E644))),IF(INDEX(DMAV_Modell!P$6:P$838,$B644)="","",INDEX(DMAV_Modell!P$6:P$838,$B644)))</f>
        <v>DauerndeBodenverschiebungen</v>
      </c>
      <c r="M644" s="62" t="str" cm="1">
        <f t="array" ref="M644">IF($B644=0,IF($E644=0,"",IF(INDEX(DMAV_Dienste!Q$6:Q$140,$E644)="","",INDEX(DMAV_Dienste!Q$6:Q$140,$E644))),IF(INDEX(DMAV_Modell!R$6:R$838,$B644)="","",INDEX(DMAV_Modell!R$6:R$838,$B644)))</f>
        <v>DBVNachfuehrung</v>
      </c>
      <c r="N644" s="62" t="str" cm="1">
        <f t="array" ref="N644">IF($B644=0,IF($E644=0,"",IF(INDEX(DMAV_Dienste!T$6:T$140,$E644)="","",INDEX(DMAV_Dienste!T$6:T$140,$E644))),IF(INDEX(DMAV_Modell!U$6:U$838,$B644)="","",INDEX(DMAV_Modell!U$6:U$838,$B644)))</f>
        <v>GueltigerEintrag</v>
      </c>
      <c r="O644" s="63" t="str" cm="1">
        <f t="array" aca="1" ref="O644" ca="1">IF(C644=0,IF(F644=0,"",HYPERLINK("#"&amp;RIGHT(CELL("adresse",OFFSET(DMAV_Dienste!$M$6,F644-1,0)),LEN(CELL("adresse",OFFSET(DMAV_Dienste!$M$6,F644-1,0)))-FIND("]",CELL("adresse",OFFSET(DMAV_Dienste!$M$6,F644-1,0)))),"Structure")),HYPERLINK("#"&amp;RIGHT(CELL("adresse",OFFSET(DMAV_Modell!$N$6,C644-1,0)),LEN(CELL("adresse",OFFSET(DMAV_Modell!$N$6,C644-1,0)))-FIND("]",CELL("adresse",OFFSET(DMAV_Modell!$N$6,C644-1,0)))),"Structure"))</f>
        <v/>
      </c>
      <c r="P644" s="64" t="str" cm="1">
        <f t="array" aca="1" ref="P644" ca="1">IF(D644=0,IF(G644=0,"",HYPERLINK("#"&amp;RIGHT(CELL("adresse",OFFSET(DMAV_Dienste!$M$6,G644-1,0)),LEN(CELL("adresse",OFFSET(DMAV_Dienste!$M$6,G644-1,0)))-FIND("]",CELL("adresse",OFFSET(DMAV_Dienste!$M$6,G644-1,0)))),"Substructure")),HYPERLINK("#"&amp;RIGHT(CELL("adresse",OFFSET(DMAV_Modell!$N$6,D644-1,0)),LEN(CELL("adresse",OFFSET(DMAV_Modell!$N$6,D644-1,0)))-FIND("]",CELL("adresse",OFFSET(DMAV_Modell!$N$6,D644-1,0)))),"Substructure"))</f>
        <v/>
      </c>
      <c r="R644" s="80"/>
      <c r="T644" s="93"/>
      <c r="U644" s="94"/>
      <c r="V644" s="95"/>
      <c r="W644" s="96"/>
      <c r="Y644" s="85"/>
      <c r="Z644" s="86"/>
      <c r="AA644" s="87"/>
      <c r="AB644" s="88"/>
      <c r="AD644" s="77"/>
      <c r="AF644" s="54" t="str" cm="1">
        <f t="array" aca="1" ref="AF644" ca="1">IF(H644=0,"",HYPERLINK("#"&amp;RIGHT(CELL("adresse",OFFSET('DM01-AV-CH'!$G$6,H644-1,0)),LEN(CELL("adresse",OFFSET('DM01-AV-CH'!$G$6,H644-1,0)))-FIND("]",CELL("adresse",OFFSET('DM01-AV-CH'!$G$6,H644-1,0)))),"Modell"))</f>
        <v/>
      </c>
      <c r="AG644" s="72" t="str" cm="1">
        <f t="array" ref="AG644">IF($H644=0,"",IF(INDEX('DM01-AV-CH'!G$6:G$834,$H644)="","",INDEX('DM01-AV-CH'!G$6:G$834,$H644)))</f>
        <v/>
      </c>
      <c r="AH644" s="73" t="str" cm="1">
        <f t="array" ref="AH644">IF($H644=0,"",IF(INDEX('DM01-AV-CH'!H$6:H$834,$H644)="","",INDEX('DM01-AV-CH'!H$6:H$834,$H644)))</f>
        <v/>
      </c>
      <c r="AI644" s="74" t="str" cm="1">
        <f t="array" ref="AI644">IF($H644=0,"",IF(INDEX('DM01-AV-CH'!I$6:I$834,$H644)="","",INDEX('DM01-AV-CH'!I$6:I$834,$H644)))</f>
        <v/>
      </c>
    </row>
    <row r="645" spans="1:35" x14ac:dyDescent="0.25">
      <c r="A645" s="57">
        <v>640</v>
      </c>
      <c r="B645" s="57">
        <f>IF($A645="","",IF(_xlfn.XLOOKUP($A645,Korrelation!$D$4:$D$1197,Korrelation!E$4:E$1197,"-",0)="-",0,MATCH(_xlfn.XLOOKUP($A645,Korrelation!$D$4:$D$1197,Korrelation!E$4:E$1197,"",0),DMAV_Modell!$G$6:$G$677,0)))</f>
        <v>350</v>
      </c>
      <c r="C645" s="57">
        <f>IF($A645="","",IF(_xlfn.XLOOKUP($A645,Korrelation!$D$4:$D$1197,Korrelation!F$4:F$1197,"-",0)="-",0,MATCH(_xlfn.XLOOKUP($A645,Korrelation!$D$4:$D$1197,Korrelation!F$4:F$1197,"",0),DMAV_Modell!$G$6:$G$677,0)))</f>
        <v>0</v>
      </c>
      <c r="D645" s="57">
        <f>IF($A645="","",IF(_xlfn.XLOOKUP($A645,Korrelation!$D$4:$D$1197,Korrelation!G$4:G$1197,"-",0)="-",0,MATCH(_xlfn.XLOOKUP($A645,Korrelation!$D$4:$D$1197,Korrelation!G$4:G$1197,"",0),DMAV_Modell!$G$6:$G$677,0)))</f>
        <v>0</v>
      </c>
      <c r="E645" s="57">
        <f>IF($A645="","",IF(_xlfn.XLOOKUP($A645,Korrelation!$D$4:$D$1197,Korrelation!H$4:H$1197,"-",0)="-",0,MATCH(_xlfn.XLOOKUP($A645,Korrelation!$D$4:$D$1197,Korrelation!H$4:H$1197,"",0),DMAV_Dienste!$F$6:$F$140,0)))</f>
        <v>0</v>
      </c>
      <c r="F645" s="57">
        <f>IF($A645="","",IF(_xlfn.XLOOKUP($A645,Korrelation!$D$4:$D$1197,Korrelation!I$4:I$1197,"-",0)="-",0,MATCH(_xlfn.XLOOKUP($A645,Korrelation!$D$4:$D$1197,Korrelation!I$4:I$1197,"",0),DMAV_Dienste!$F$6:$F$140,0)))</f>
        <v>0</v>
      </c>
      <c r="G645" s="57">
        <f>IF($A645="","",IF(_xlfn.XLOOKUP($A645,Korrelation!$D$4:$D$1197,Korrelation!J$4:J$1197,"-",0)="-",0,MATCH(_xlfn.XLOOKUP($A645,Korrelation!$D$4:$D$1197,Korrelation!J$4:J$1197,"",0),DMAV_Dienste!$F$6:$F$140,0)))</f>
        <v>0</v>
      </c>
      <c r="H645" s="57">
        <f>IF($A645="","",IF(_xlfn.XLOOKUP($A645,Korrelation!$D$4:$D$1197,Korrelation!K$4:K$1197,"-",0)="-",0,MATCH(_xlfn.XLOOKUP($A645,Korrelation!$D$4:$D$1197,Korrelation!K$4:K$1197,"",0),'DM01-AV-CH'!$A$6:$A$834,0)))</f>
        <v>0</v>
      </c>
      <c r="J645" s="54" t="str" cm="1">
        <f t="array" aca="1" ref="J645" ca="1">IF(B645=0,IF(E645=0,"",HYPERLINK("#"&amp;RIGHT(CELL("adresse",OFFSET(DMAV_Dienste!$M$6,E645-1,0)),LEN(CELL("adresse",OFFSET(DMAV_Dienste!$M$6,E645-1,0)))-FIND("]",CELL("adresse",OFFSET(DMAV_Dienste!$M$6,E645-1,0)))),"Dienst")),HYPERLINK("#"&amp;RIGHT(CELL("adresse",OFFSET(DMAV_Modell!$N$6,B645-1,0)),LEN(CELL("adresse",OFFSET(DMAV_Modell!$N$6,B645-1,0)))-FIND("]",CELL("adresse",OFFSET(DMAV_Modell!$N$6,B645-1,0)))),"Modell"))</f>
        <v>Modell</v>
      </c>
      <c r="K645" s="61" t="str" cm="1">
        <f t="array" ref="K645">IF($B645=0,IF($E645=0,"",IF(INDEX(DMAV_Dienste!P$6:P$140,$E645)="","",INDEX(DMAV_Dienste!P$6:P$140,$E645))),IF(INDEX(DMAV_Modell!Q$6:Q$838,$B645)="","",INDEX(DMAV_Modell!Q$6:Q$838,$B645)))</f>
        <v>CLASS</v>
      </c>
      <c r="L645" s="62" t="str" cm="1">
        <f t="array" ref="L645">IF($B645=0,IF($E645=0,"",IF(INDEX(DMAV_Dienste!O$6:O$140,$E645)="","",INDEX(DMAV_Dienste!O$6:O$140,$E645))),IF(INDEX(DMAV_Modell!P$6:P$838,$B645)="","",INDEX(DMAV_Modell!P$6:P$838,$B645)))</f>
        <v>DauerndeBodenverschiebungen</v>
      </c>
      <c r="M645" s="62" t="str" cm="1">
        <f t="array" ref="M645">IF($B645=0,IF($E645=0,"",IF(INDEX(DMAV_Dienste!Q$6:Q$140,$E645)="","",INDEX(DMAV_Dienste!Q$6:Q$140,$E645))),IF(INDEX(DMAV_Modell!R$6:R$838,$B645)="","",INDEX(DMAV_Modell!R$6:R$838,$B645)))</f>
        <v>DBVNachfuehrung</v>
      </c>
      <c r="N645" s="62" t="str" cm="1">
        <f t="array" ref="N645">IF($B645=0,IF($E645=0,"",IF(INDEX(DMAV_Dienste!T$6:T$140,$E645)="","",INDEX(DMAV_Dienste!T$6:T$140,$E645))),IF(INDEX(DMAV_Modell!U$6:U$838,$B645)="","",INDEX(DMAV_Modell!U$6:U$838,$B645)))</f>
        <v>GenehmigtAm</v>
      </c>
      <c r="O645" s="63" t="str" cm="1">
        <f t="array" aca="1" ref="O645" ca="1">IF(C645=0,IF(F645=0,"",HYPERLINK("#"&amp;RIGHT(CELL("adresse",OFFSET(DMAV_Dienste!$M$6,F645-1,0)),LEN(CELL("adresse",OFFSET(DMAV_Dienste!$M$6,F645-1,0)))-FIND("]",CELL("adresse",OFFSET(DMAV_Dienste!$M$6,F645-1,0)))),"Structure")),HYPERLINK("#"&amp;RIGHT(CELL("adresse",OFFSET(DMAV_Modell!$N$6,C645-1,0)),LEN(CELL("adresse",OFFSET(DMAV_Modell!$N$6,C645-1,0)))-FIND("]",CELL("adresse",OFFSET(DMAV_Modell!$N$6,C645-1,0)))),"Structure"))</f>
        <v/>
      </c>
      <c r="P645" s="64" t="str" cm="1">
        <f t="array" aca="1" ref="P645" ca="1">IF(D645=0,IF(G645=0,"",HYPERLINK("#"&amp;RIGHT(CELL("adresse",OFFSET(DMAV_Dienste!$M$6,G645-1,0)),LEN(CELL("adresse",OFFSET(DMAV_Dienste!$M$6,G645-1,0)))-FIND("]",CELL("adresse",OFFSET(DMAV_Dienste!$M$6,G645-1,0)))),"Substructure")),HYPERLINK("#"&amp;RIGHT(CELL("adresse",OFFSET(DMAV_Modell!$N$6,D645-1,0)),LEN(CELL("adresse",OFFSET(DMAV_Modell!$N$6,D645-1,0)))-FIND("]",CELL("adresse",OFFSET(DMAV_Modell!$N$6,D645-1,0)))),"Substructure"))</f>
        <v/>
      </c>
      <c r="R645" s="80"/>
      <c r="T645" s="93"/>
      <c r="U645" s="94"/>
      <c r="V645" s="95"/>
      <c r="W645" s="96"/>
      <c r="Y645" s="85"/>
      <c r="Z645" s="86" t="s">
        <v>2980</v>
      </c>
      <c r="AA645" s="87" t="s">
        <v>3025</v>
      </c>
      <c r="AB645" s="88"/>
      <c r="AD645" s="77"/>
      <c r="AF645" s="54" t="str" cm="1">
        <f t="array" aca="1" ref="AF645" ca="1">IF(H645=0,"",HYPERLINK("#"&amp;RIGHT(CELL("adresse",OFFSET('DM01-AV-CH'!$G$6,H645-1,0)),LEN(CELL("adresse",OFFSET('DM01-AV-CH'!$G$6,H645-1,0)))-FIND("]",CELL("adresse",OFFSET('DM01-AV-CH'!$G$6,H645-1,0)))),"Modell"))</f>
        <v/>
      </c>
      <c r="AG645" s="72" t="str" cm="1">
        <f t="array" ref="AG645">IF($H645=0,"",IF(INDEX('DM01-AV-CH'!G$6:G$834,$H645)="","",INDEX('DM01-AV-CH'!G$6:G$834,$H645)))</f>
        <v/>
      </c>
      <c r="AH645" s="73" t="str" cm="1">
        <f t="array" ref="AH645">IF($H645=0,"",IF(INDEX('DM01-AV-CH'!H$6:H$834,$H645)="","",INDEX('DM01-AV-CH'!H$6:H$834,$H645)))</f>
        <v/>
      </c>
      <c r="AI645" s="74" t="str" cm="1">
        <f t="array" ref="AI645">IF($H645=0,"",IF(INDEX('DM01-AV-CH'!I$6:I$834,$H645)="","",INDEX('DM01-AV-CH'!I$6:I$834,$H645)))</f>
        <v/>
      </c>
    </row>
    <row r="646" spans="1:35" ht="114" x14ac:dyDescent="0.25">
      <c r="A646" s="57">
        <v>641</v>
      </c>
      <c r="B646" s="57">
        <f>IF($A646="","",IF(_xlfn.XLOOKUP($A646,Korrelation!$D$4:$D$1197,Korrelation!E$4:E$1197,"-",0)="-",0,MATCH(_xlfn.XLOOKUP($A646,Korrelation!$D$4:$D$1197,Korrelation!E$4:E$1197,"",0),DMAV_Modell!$G$6:$G$677,0)))</f>
        <v>351</v>
      </c>
      <c r="C646" s="57">
        <f>IF($A646="","",IF(_xlfn.XLOOKUP($A646,Korrelation!$D$4:$D$1197,Korrelation!F$4:F$1197,"-",0)="-",0,MATCH(_xlfn.XLOOKUP($A646,Korrelation!$D$4:$D$1197,Korrelation!F$4:F$1197,"",0),DMAV_Modell!$G$6:$G$677,0)))</f>
        <v>0</v>
      </c>
      <c r="D646" s="57">
        <f>IF($A646="","",IF(_xlfn.XLOOKUP($A646,Korrelation!$D$4:$D$1197,Korrelation!G$4:G$1197,"-",0)="-",0,MATCH(_xlfn.XLOOKUP($A646,Korrelation!$D$4:$D$1197,Korrelation!G$4:G$1197,"",0),DMAV_Modell!$G$6:$G$677,0)))</f>
        <v>0</v>
      </c>
      <c r="E646" s="57">
        <f>IF($A646="","",IF(_xlfn.XLOOKUP($A646,Korrelation!$D$4:$D$1197,Korrelation!H$4:H$1197,"-",0)="-",0,MATCH(_xlfn.XLOOKUP($A646,Korrelation!$D$4:$D$1197,Korrelation!H$4:H$1197,"",0),DMAV_Dienste!$F$6:$F$140,0)))</f>
        <v>0</v>
      </c>
      <c r="F646" s="57">
        <f>IF($A646="","",IF(_xlfn.XLOOKUP($A646,Korrelation!$D$4:$D$1197,Korrelation!I$4:I$1197,"-",0)="-",0,MATCH(_xlfn.XLOOKUP($A646,Korrelation!$D$4:$D$1197,Korrelation!I$4:I$1197,"",0),DMAV_Dienste!$F$6:$F$140,0)))</f>
        <v>0</v>
      </c>
      <c r="G646" s="57">
        <f>IF($A646="","",IF(_xlfn.XLOOKUP($A646,Korrelation!$D$4:$D$1197,Korrelation!J$4:J$1197,"-",0)="-",0,MATCH(_xlfn.XLOOKUP($A646,Korrelation!$D$4:$D$1197,Korrelation!J$4:J$1197,"",0),DMAV_Dienste!$F$6:$F$140,0)))</f>
        <v>0</v>
      </c>
      <c r="H646" s="57">
        <f>IF($A646="","",IF(_xlfn.XLOOKUP($A646,Korrelation!$D$4:$D$1197,Korrelation!K$4:K$1197,"-",0)="-",0,MATCH(_xlfn.XLOOKUP($A646,Korrelation!$D$4:$D$1197,Korrelation!K$4:K$1197,"",0),'DM01-AV-CH'!$A$6:$A$834,0)))</f>
        <v>648</v>
      </c>
      <c r="J646" s="54" t="str" cm="1">
        <f t="array" aca="1" ref="J646" ca="1">IF(B646=0,IF(E646=0,"",HYPERLINK("#"&amp;RIGHT(CELL("adresse",OFFSET(DMAV_Dienste!$M$6,E646-1,0)),LEN(CELL("adresse",OFFSET(DMAV_Dienste!$M$6,E646-1,0)))-FIND("]",CELL("adresse",OFFSET(DMAV_Dienste!$M$6,E646-1,0)))),"Dienst")),HYPERLINK("#"&amp;RIGHT(CELL("adresse",OFFSET(DMAV_Modell!$N$6,B646-1,0)),LEN(CELL("adresse",OFFSET(DMAV_Modell!$N$6,B646-1,0)))-FIND("]",CELL("adresse",OFFSET(DMAV_Modell!$N$6,B646-1,0)))),"Modell"))</f>
        <v>Modell</v>
      </c>
      <c r="K646" s="61" t="str" cm="1">
        <f t="array" ref="K646">IF($B646=0,IF($E646=0,"",IF(INDEX(DMAV_Dienste!P$6:P$140,$E646)="","",INDEX(DMAV_Dienste!P$6:P$140,$E646))),IF(INDEX(DMAV_Modell!Q$6:Q$838,$B646)="","",INDEX(DMAV_Modell!Q$6:Q$838,$B646)))</f>
        <v>CLASS</v>
      </c>
      <c r="L646" s="62" t="str" cm="1">
        <f t="array" ref="L646">IF($B646=0,IF($E646=0,"",IF(INDEX(DMAV_Dienste!O$6:O$140,$E646)="","",INDEX(DMAV_Dienste!O$6:O$140,$E646))),IF(INDEX(DMAV_Modell!P$6:P$838,$B646)="","",INDEX(DMAV_Modell!P$6:P$838,$B646)))</f>
        <v>DauerndeBodenverschiebungen</v>
      </c>
      <c r="M646" s="62" t="str" cm="1">
        <f t="array" ref="M646">IF($B646=0,IF($E646=0,"",IF(INDEX(DMAV_Dienste!Q$6:Q$140,$E646)="","",INDEX(DMAV_Dienste!Q$6:Q$140,$E646))),IF(INDEX(DMAV_Modell!R$6:R$838,$B646)="","",INDEX(DMAV_Modell!R$6:R$838,$B646)))</f>
        <v>DauerndeBodenverschiebung</v>
      </c>
      <c r="N646" s="62" t="str" cm="1">
        <f t="array" ref="N646">IF($B646=0,IF($E646=0,"",IF(INDEX(DMAV_Dienste!T$6:T$140,$E646)="","",INDEX(DMAV_Dienste!T$6:T$140,$E646))),IF(INDEX(DMAV_Modell!U$6:U$838,$B646)="","",INDEX(DMAV_Modell!U$6:U$838,$B646)))</f>
        <v>NBIdent</v>
      </c>
      <c r="O646" s="63" t="str" cm="1">
        <f t="array" aca="1" ref="O646" ca="1">IF(C646=0,IF(F646=0,"",HYPERLINK("#"&amp;RIGHT(CELL("adresse",OFFSET(DMAV_Dienste!$M$6,F646-1,0)),LEN(CELL("adresse",OFFSET(DMAV_Dienste!$M$6,F646-1,0)))-FIND("]",CELL("adresse",OFFSET(DMAV_Dienste!$M$6,F646-1,0)))),"Structure")),HYPERLINK("#"&amp;RIGHT(CELL("adresse",OFFSET(DMAV_Modell!$N$6,C646-1,0)),LEN(CELL("adresse",OFFSET(DMAV_Modell!$N$6,C646-1,0)))-FIND("]",CELL("adresse",OFFSET(DMAV_Modell!$N$6,C646-1,0)))),"Structure"))</f>
        <v/>
      </c>
      <c r="P646" s="64" t="str" cm="1">
        <f t="array" aca="1" ref="P646" ca="1">IF(D646=0,IF(G646=0,"",HYPERLINK("#"&amp;RIGHT(CELL("adresse",OFFSET(DMAV_Dienste!$M$6,G646-1,0)),LEN(CELL("adresse",OFFSET(DMAV_Dienste!$M$6,G646-1,0)))-FIND("]",CELL("adresse",OFFSET(DMAV_Dienste!$M$6,G646-1,0)))),"Substructure")),HYPERLINK("#"&amp;RIGHT(CELL("adresse",OFFSET(DMAV_Modell!$N$6,D646-1,0)),LEN(CELL("adresse",OFFSET(DMAV_Modell!$N$6,D646-1,0)))-FIND("]",CELL("adresse",OFFSET(DMAV_Modell!$N$6,D646-1,0)))),"Substructure"))</f>
        <v/>
      </c>
      <c r="R646" s="80"/>
      <c r="T646" s="93"/>
      <c r="U646" s="94"/>
      <c r="V646" s="95"/>
      <c r="W646" s="96" t="s">
        <v>3244</v>
      </c>
      <c r="Y646" s="85" t="s">
        <v>3135</v>
      </c>
      <c r="Z646" s="86"/>
      <c r="AA646" s="87"/>
      <c r="AB646" s="88"/>
      <c r="AD646" s="77"/>
      <c r="AF646" s="54" t="str" cm="1">
        <f t="array" aca="1" ref="AF646" ca="1">IF(H646=0,"",HYPERLINK("#"&amp;RIGHT(CELL("adresse",OFFSET('DM01-AV-CH'!$G$6,H646-1,0)),LEN(CELL("adresse",OFFSET('DM01-AV-CH'!$G$6,H646-1,0)))-FIND("]",CELL("adresse",OFFSET('DM01-AV-CH'!$G$6,H646-1,0)))),"Modell"))</f>
        <v>Modell</v>
      </c>
      <c r="AG646" s="72" t="str" cm="1">
        <f t="array" ref="AG646">IF($H646=0,"",IF(INDEX('DM01-AV-CH'!G$6:G$834,$H646)="","",INDEX('DM01-AV-CH'!G$6:G$834,$H646)))</f>
        <v>Rutschgebiete</v>
      </c>
      <c r="AH646" s="73" t="str" cm="1">
        <f t="array" ref="AH646">IF($H646=0,"",IF(INDEX('DM01-AV-CH'!H$6:H$834,$H646)="","",INDEX('DM01-AV-CH'!H$6:H$834,$H646)))</f>
        <v>Rutschung</v>
      </c>
      <c r="AI646" s="74" t="str" cm="1">
        <f t="array" ref="AI646">IF($H646=0,"",IF(INDEX('DM01-AV-CH'!I$6:I$834,$H646)="","",INDEX('DM01-AV-CH'!I$6:I$834,$H646)))</f>
        <v>NBIdent</v>
      </c>
    </row>
    <row r="647" spans="1:35" ht="114" x14ac:dyDescent="0.25">
      <c r="A647" s="57">
        <v>642</v>
      </c>
      <c r="B647" s="57">
        <f>IF($A647="","",IF(_xlfn.XLOOKUP($A647,Korrelation!$D$4:$D$1197,Korrelation!E$4:E$1197,"-",0)="-",0,MATCH(_xlfn.XLOOKUP($A647,Korrelation!$D$4:$D$1197,Korrelation!E$4:E$1197,"",0),DMAV_Modell!$G$6:$G$677,0)))</f>
        <v>352</v>
      </c>
      <c r="C647" s="57">
        <f>IF($A647="","",IF(_xlfn.XLOOKUP($A647,Korrelation!$D$4:$D$1197,Korrelation!F$4:F$1197,"-",0)="-",0,MATCH(_xlfn.XLOOKUP($A647,Korrelation!$D$4:$D$1197,Korrelation!F$4:F$1197,"",0),DMAV_Modell!$G$6:$G$677,0)))</f>
        <v>0</v>
      </c>
      <c r="D647" s="57">
        <f>IF($A647="","",IF(_xlfn.XLOOKUP($A647,Korrelation!$D$4:$D$1197,Korrelation!G$4:G$1197,"-",0)="-",0,MATCH(_xlfn.XLOOKUP($A647,Korrelation!$D$4:$D$1197,Korrelation!G$4:G$1197,"",0),DMAV_Modell!$G$6:$G$677,0)))</f>
        <v>0</v>
      </c>
      <c r="E647" s="57">
        <f>IF($A647="","",IF(_xlfn.XLOOKUP($A647,Korrelation!$D$4:$D$1197,Korrelation!H$4:H$1197,"-",0)="-",0,MATCH(_xlfn.XLOOKUP($A647,Korrelation!$D$4:$D$1197,Korrelation!H$4:H$1197,"",0),DMAV_Dienste!$F$6:$F$140,0)))</f>
        <v>0</v>
      </c>
      <c r="F647" s="57">
        <f>IF($A647="","",IF(_xlfn.XLOOKUP($A647,Korrelation!$D$4:$D$1197,Korrelation!I$4:I$1197,"-",0)="-",0,MATCH(_xlfn.XLOOKUP($A647,Korrelation!$D$4:$D$1197,Korrelation!I$4:I$1197,"",0),DMAV_Dienste!$F$6:$F$140,0)))</f>
        <v>0</v>
      </c>
      <c r="G647" s="57">
        <f>IF($A647="","",IF(_xlfn.XLOOKUP($A647,Korrelation!$D$4:$D$1197,Korrelation!J$4:J$1197,"-",0)="-",0,MATCH(_xlfn.XLOOKUP($A647,Korrelation!$D$4:$D$1197,Korrelation!J$4:J$1197,"",0),DMAV_Dienste!$F$6:$F$140,0)))</f>
        <v>0</v>
      </c>
      <c r="H647" s="57">
        <f>IF($A647="","",IF(_xlfn.XLOOKUP($A647,Korrelation!$D$4:$D$1197,Korrelation!K$4:K$1197,"-",0)="-",0,MATCH(_xlfn.XLOOKUP($A647,Korrelation!$D$4:$D$1197,Korrelation!K$4:K$1197,"",0),'DM01-AV-CH'!$A$6:$A$834,0)))</f>
        <v>649</v>
      </c>
      <c r="J647" s="54" t="str" cm="1">
        <f t="array" aca="1" ref="J647" ca="1">IF(B647=0,IF(E647=0,"",HYPERLINK("#"&amp;RIGHT(CELL("adresse",OFFSET(DMAV_Dienste!$M$6,E647-1,0)),LEN(CELL("adresse",OFFSET(DMAV_Dienste!$M$6,E647-1,0)))-FIND("]",CELL("adresse",OFFSET(DMAV_Dienste!$M$6,E647-1,0)))),"Dienst")),HYPERLINK("#"&amp;RIGHT(CELL("adresse",OFFSET(DMAV_Modell!$N$6,B647-1,0)),LEN(CELL("adresse",OFFSET(DMAV_Modell!$N$6,B647-1,0)))-FIND("]",CELL("adresse",OFFSET(DMAV_Modell!$N$6,B647-1,0)))),"Modell"))</f>
        <v>Modell</v>
      </c>
      <c r="K647" s="61" t="str" cm="1">
        <f t="array" ref="K647">IF($B647=0,IF($E647=0,"",IF(INDEX(DMAV_Dienste!P$6:P$140,$E647)="","",INDEX(DMAV_Dienste!P$6:P$140,$E647))),IF(INDEX(DMAV_Modell!Q$6:Q$838,$B647)="","",INDEX(DMAV_Modell!Q$6:Q$838,$B647)))</f>
        <v>CLASS</v>
      </c>
      <c r="L647" s="62" t="str" cm="1">
        <f t="array" ref="L647">IF($B647=0,IF($E647=0,"",IF(INDEX(DMAV_Dienste!O$6:O$140,$E647)="","",INDEX(DMAV_Dienste!O$6:O$140,$E647))),IF(INDEX(DMAV_Modell!P$6:P$838,$B647)="","",INDEX(DMAV_Modell!P$6:P$838,$B647)))</f>
        <v>DauerndeBodenverschiebungen</v>
      </c>
      <c r="M647" s="62" t="str" cm="1">
        <f t="array" ref="M647">IF($B647=0,IF($E647=0,"",IF(INDEX(DMAV_Dienste!Q$6:Q$140,$E647)="","",INDEX(DMAV_Dienste!Q$6:Q$140,$E647))),IF(INDEX(DMAV_Modell!R$6:R$838,$B647)="","",INDEX(DMAV_Modell!R$6:R$838,$B647)))</f>
        <v>DauerndeBodenverschiebung</v>
      </c>
      <c r="N647" s="62" t="str" cm="1">
        <f t="array" ref="N647">IF($B647=0,IF($E647=0,"",IF(INDEX(DMAV_Dienste!T$6:T$140,$E647)="","",INDEX(DMAV_Dienste!T$6:T$140,$E647))),IF(INDEX(DMAV_Modell!U$6:U$838,$B647)="","",INDEX(DMAV_Modell!U$6:U$838,$B647)))</f>
        <v>Identifikator</v>
      </c>
      <c r="O647" s="63" t="str" cm="1">
        <f t="array" aca="1" ref="O647" ca="1">IF(C647=0,IF(F647=0,"",HYPERLINK("#"&amp;RIGHT(CELL("adresse",OFFSET(DMAV_Dienste!$M$6,F647-1,0)),LEN(CELL("adresse",OFFSET(DMAV_Dienste!$M$6,F647-1,0)))-FIND("]",CELL("adresse",OFFSET(DMAV_Dienste!$M$6,F647-1,0)))),"Structure")),HYPERLINK("#"&amp;RIGHT(CELL("adresse",OFFSET(DMAV_Modell!$N$6,C647-1,0)),LEN(CELL("adresse",OFFSET(DMAV_Modell!$N$6,C647-1,0)))-FIND("]",CELL("adresse",OFFSET(DMAV_Modell!$N$6,C647-1,0)))),"Structure"))</f>
        <v/>
      </c>
      <c r="P647" s="64" t="str" cm="1">
        <f t="array" aca="1" ref="P647" ca="1">IF(D647=0,IF(G647=0,"",HYPERLINK("#"&amp;RIGHT(CELL("adresse",OFFSET(DMAV_Dienste!$M$6,G647-1,0)),LEN(CELL("adresse",OFFSET(DMAV_Dienste!$M$6,G647-1,0)))-FIND("]",CELL("adresse",OFFSET(DMAV_Dienste!$M$6,G647-1,0)))),"Substructure")),HYPERLINK("#"&amp;RIGHT(CELL("adresse",OFFSET(DMAV_Modell!$N$6,D647-1,0)),LEN(CELL("adresse",OFFSET(DMAV_Modell!$N$6,D647-1,0)))-FIND("]",CELL("adresse",OFFSET(DMAV_Modell!$N$6,D647-1,0)))),"Substructure"))</f>
        <v/>
      </c>
      <c r="R647" s="80"/>
      <c r="T647" s="93"/>
      <c r="U647" s="94"/>
      <c r="V647" s="95"/>
      <c r="W647" s="96" t="s">
        <v>3244</v>
      </c>
      <c r="Y647" s="85" t="s">
        <v>3135</v>
      </c>
      <c r="Z647" s="86"/>
      <c r="AA647" s="87"/>
      <c r="AB647" s="88"/>
      <c r="AD647" s="77"/>
      <c r="AF647" s="54" t="str" cm="1">
        <f t="array" aca="1" ref="AF647" ca="1">IF(H647=0,"",HYPERLINK("#"&amp;RIGHT(CELL("adresse",OFFSET('DM01-AV-CH'!$G$6,H647-1,0)),LEN(CELL("adresse",OFFSET('DM01-AV-CH'!$G$6,H647-1,0)))-FIND("]",CELL("adresse",OFFSET('DM01-AV-CH'!$G$6,H647-1,0)))),"Modell"))</f>
        <v>Modell</v>
      </c>
      <c r="AG647" s="72" t="str" cm="1">
        <f t="array" ref="AG647">IF($H647=0,"",IF(INDEX('DM01-AV-CH'!G$6:G$834,$H647)="","",INDEX('DM01-AV-CH'!G$6:G$834,$H647)))</f>
        <v>Rutschgebiete</v>
      </c>
      <c r="AH647" s="73" t="str" cm="1">
        <f t="array" ref="AH647">IF($H647=0,"",IF(INDEX('DM01-AV-CH'!H$6:H$834,$H647)="","",INDEX('DM01-AV-CH'!H$6:H$834,$H647)))</f>
        <v>Rutschung</v>
      </c>
      <c r="AI647" s="74" t="str" cm="1">
        <f t="array" ref="AI647">IF($H647=0,"",IF(INDEX('DM01-AV-CH'!I$6:I$834,$H647)="","",INDEX('DM01-AV-CH'!I$6:I$834,$H647)))</f>
        <v>Identifikator</v>
      </c>
    </row>
    <row r="648" spans="1:35" ht="114" x14ac:dyDescent="0.25">
      <c r="A648" s="57">
        <v>643</v>
      </c>
      <c r="B648" s="57">
        <f>IF($A648="","",IF(_xlfn.XLOOKUP($A648,Korrelation!$D$4:$D$1197,Korrelation!E$4:E$1197,"-",0)="-",0,MATCH(_xlfn.XLOOKUP($A648,Korrelation!$D$4:$D$1197,Korrelation!E$4:E$1197,"",0),DMAV_Modell!$G$6:$G$677,0)))</f>
        <v>353</v>
      </c>
      <c r="C648" s="57">
        <f>IF($A648="","",IF(_xlfn.XLOOKUP($A648,Korrelation!$D$4:$D$1197,Korrelation!F$4:F$1197,"-",0)="-",0,MATCH(_xlfn.XLOOKUP($A648,Korrelation!$D$4:$D$1197,Korrelation!F$4:F$1197,"",0),DMAV_Modell!$G$6:$G$677,0)))</f>
        <v>0</v>
      </c>
      <c r="D648" s="57">
        <f>IF($A648="","",IF(_xlfn.XLOOKUP($A648,Korrelation!$D$4:$D$1197,Korrelation!G$4:G$1197,"-",0)="-",0,MATCH(_xlfn.XLOOKUP($A648,Korrelation!$D$4:$D$1197,Korrelation!G$4:G$1197,"",0),DMAV_Modell!$G$6:$G$677,0)))</f>
        <v>0</v>
      </c>
      <c r="E648" s="57">
        <f>IF($A648="","",IF(_xlfn.XLOOKUP($A648,Korrelation!$D$4:$D$1197,Korrelation!H$4:H$1197,"-",0)="-",0,MATCH(_xlfn.XLOOKUP($A648,Korrelation!$D$4:$D$1197,Korrelation!H$4:H$1197,"",0),DMAV_Dienste!$F$6:$F$140,0)))</f>
        <v>0</v>
      </c>
      <c r="F648" s="57">
        <f>IF($A648="","",IF(_xlfn.XLOOKUP($A648,Korrelation!$D$4:$D$1197,Korrelation!I$4:I$1197,"-",0)="-",0,MATCH(_xlfn.XLOOKUP($A648,Korrelation!$D$4:$D$1197,Korrelation!I$4:I$1197,"",0),DMAV_Dienste!$F$6:$F$140,0)))</f>
        <v>0</v>
      </c>
      <c r="G648" s="57">
        <f>IF($A648="","",IF(_xlfn.XLOOKUP($A648,Korrelation!$D$4:$D$1197,Korrelation!J$4:J$1197,"-",0)="-",0,MATCH(_xlfn.XLOOKUP($A648,Korrelation!$D$4:$D$1197,Korrelation!J$4:J$1197,"",0),DMAV_Dienste!$F$6:$F$140,0)))</f>
        <v>0</v>
      </c>
      <c r="H648" s="57">
        <f>IF($A648="","",IF(_xlfn.XLOOKUP($A648,Korrelation!$D$4:$D$1197,Korrelation!K$4:K$1197,"-",0)="-",0,MATCH(_xlfn.XLOOKUP($A648,Korrelation!$D$4:$D$1197,Korrelation!K$4:K$1197,"",0),'DM01-AV-CH'!$A$6:$A$834,0)))</f>
        <v>650</v>
      </c>
      <c r="J648" s="54" t="str" cm="1">
        <f t="array" aca="1" ref="J648" ca="1">IF(B648=0,IF(E648=0,"",HYPERLINK("#"&amp;RIGHT(CELL("adresse",OFFSET(DMAV_Dienste!$M$6,E648-1,0)),LEN(CELL("adresse",OFFSET(DMAV_Dienste!$M$6,E648-1,0)))-FIND("]",CELL("adresse",OFFSET(DMAV_Dienste!$M$6,E648-1,0)))),"Dienst")),HYPERLINK("#"&amp;RIGHT(CELL("adresse",OFFSET(DMAV_Modell!$N$6,B648-1,0)),LEN(CELL("adresse",OFFSET(DMAV_Modell!$N$6,B648-1,0)))-FIND("]",CELL("adresse",OFFSET(DMAV_Modell!$N$6,B648-1,0)))),"Modell"))</f>
        <v>Modell</v>
      </c>
      <c r="K648" s="61" t="str" cm="1">
        <f t="array" ref="K648">IF($B648=0,IF($E648=0,"",IF(INDEX(DMAV_Dienste!P$6:P$140,$E648)="","",INDEX(DMAV_Dienste!P$6:P$140,$E648))),IF(INDEX(DMAV_Modell!Q$6:Q$838,$B648)="","",INDEX(DMAV_Modell!Q$6:Q$838,$B648)))</f>
        <v>CLASS</v>
      </c>
      <c r="L648" s="62" t="str" cm="1">
        <f t="array" ref="L648">IF($B648=0,IF($E648=0,"",IF(INDEX(DMAV_Dienste!O$6:O$140,$E648)="","",INDEX(DMAV_Dienste!O$6:O$140,$E648))),IF(INDEX(DMAV_Modell!P$6:P$838,$B648)="","",INDEX(DMAV_Modell!P$6:P$838,$B648)))</f>
        <v>DauerndeBodenverschiebungen</v>
      </c>
      <c r="M648" s="62" t="str" cm="1">
        <f t="array" ref="M648">IF($B648=0,IF($E648=0,"",IF(INDEX(DMAV_Dienste!Q$6:Q$140,$E648)="","",INDEX(DMAV_Dienste!Q$6:Q$140,$E648))),IF(INDEX(DMAV_Modell!R$6:R$838,$B648)="","",INDEX(DMAV_Modell!R$6:R$838,$B648)))</f>
        <v>DauerndeBodenverschiebung</v>
      </c>
      <c r="N648" s="62" t="str" cm="1">
        <f t="array" ref="N648">IF($B648=0,IF($E648=0,"",IF(INDEX(DMAV_Dienste!T$6:T$140,$E648)="","",INDEX(DMAV_Dienste!T$6:T$140,$E648))),IF(INDEX(DMAV_Modell!U$6:U$838,$B648)="","",INDEX(DMAV_Modell!U$6:U$838,$B648)))</f>
        <v>Beschreibung</v>
      </c>
      <c r="O648" s="63" t="str" cm="1">
        <f t="array" aca="1" ref="O648" ca="1">IF(C648=0,IF(F648=0,"",HYPERLINK("#"&amp;RIGHT(CELL("adresse",OFFSET(DMAV_Dienste!$M$6,F648-1,0)),LEN(CELL("adresse",OFFSET(DMAV_Dienste!$M$6,F648-1,0)))-FIND("]",CELL("adresse",OFFSET(DMAV_Dienste!$M$6,F648-1,0)))),"Structure")),HYPERLINK("#"&amp;RIGHT(CELL("adresse",OFFSET(DMAV_Modell!$N$6,C648-1,0)),LEN(CELL("adresse",OFFSET(DMAV_Modell!$N$6,C648-1,0)))-FIND("]",CELL("adresse",OFFSET(DMAV_Modell!$N$6,C648-1,0)))),"Structure"))</f>
        <v/>
      </c>
      <c r="P648" s="64" t="str" cm="1">
        <f t="array" aca="1" ref="P648" ca="1">IF(D648=0,IF(G648=0,"",HYPERLINK("#"&amp;RIGHT(CELL("adresse",OFFSET(DMAV_Dienste!$M$6,G648-1,0)),LEN(CELL("adresse",OFFSET(DMAV_Dienste!$M$6,G648-1,0)))-FIND("]",CELL("adresse",OFFSET(DMAV_Dienste!$M$6,G648-1,0)))),"Substructure")),HYPERLINK("#"&amp;RIGHT(CELL("adresse",OFFSET(DMAV_Modell!$N$6,D648-1,0)),LEN(CELL("adresse",OFFSET(DMAV_Modell!$N$6,D648-1,0)))-FIND("]",CELL("adresse",OFFSET(DMAV_Modell!$N$6,D648-1,0)))),"Substructure"))</f>
        <v/>
      </c>
      <c r="R648" s="80"/>
      <c r="T648" s="93"/>
      <c r="U648" s="94"/>
      <c r="V648" s="95"/>
      <c r="W648" s="96" t="s">
        <v>3244</v>
      </c>
      <c r="Y648" s="85" t="s">
        <v>3135</v>
      </c>
      <c r="Z648" s="86"/>
      <c r="AA648" s="87"/>
      <c r="AB648" s="88"/>
      <c r="AD648" s="77"/>
      <c r="AF648" s="54" t="str" cm="1">
        <f t="array" aca="1" ref="AF648" ca="1">IF(H648=0,"",HYPERLINK("#"&amp;RIGHT(CELL("adresse",OFFSET('DM01-AV-CH'!$G$6,H648-1,0)),LEN(CELL("adresse",OFFSET('DM01-AV-CH'!$G$6,H648-1,0)))-FIND("]",CELL("adresse",OFFSET('DM01-AV-CH'!$G$6,H648-1,0)))),"Modell"))</f>
        <v>Modell</v>
      </c>
      <c r="AG648" s="72" t="str" cm="1">
        <f t="array" ref="AG648">IF($H648=0,"",IF(INDEX('DM01-AV-CH'!G$6:G$834,$H648)="","",INDEX('DM01-AV-CH'!G$6:G$834,$H648)))</f>
        <v>Rutschgebiete</v>
      </c>
      <c r="AH648" s="73" t="str" cm="1">
        <f t="array" ref="AH648">IF($H648=0,"",IF(INDEX('DM01-AV-CH'!H$6:H$834,$H648)="","",INDEX('DM01-AV-CH'!H$6:H$834,$H648)))</f>
        <v>Rutschung</v>
      </c>
      <c r="AI648" s="74" t="str" cm="1">
        <f t="array" ref="AI648">IF($H648=0,"",IF(INDEX('DM01-AV-CH'!I$6:I$834,$H648)="","",INDEX('DM01-AV-CH'!I$6:I$834,$H648)))</f>
        <v>Name</v>
      </c>
    </row>
    <row r="649" spans="1:35" ht="114" x14ac:dyDescent="0.25">
      <c r="A649" s="57">
        <v>644</v>
      </c>
      <c r="B649" s="57">
        <f>IF($A649="","",IF(_xlfn.XLOOKUP($A649,Korrelation!$D$4:$D$1197,Korrelation!E$4:E$1197,"-",0)="-",0,MATCH(_xlfn.XLOOKUP($A649,Korrelation!$D$4:$D$1197,Korrelation!E$4:E$1197,"",0),DMAV_Modell!$G$6:$G$677,0)))</f>
        <v>354</v>
      </c>
      <c r="C649" s="57">
        <f>IF($A649="","",IF(_xlfn.XLOOKUP($A649,Korrelation!$D$4:$D$1197,Korrelation!F$4:F$1197,"-",0)="-",0,MATCH(_xlfn.XLOOKUP($A649,Korrelation!$D$4:$D$1197,Korrelation!F$4:F$1197,"",0),DMAV_Modell!$G$6:$G$677,0)))</f>
        <v>0</v>
      </c>
      <c r="D649" s="57">
        <f>IF($A649="","",IF(_xlfn.XLOOKUP($A649,Korrelation!$D$4:$D$1197,Korrelation!G$4:G$1197,"-",0)="-",0,MATCH(_xlfn.XLOOKUP($A649,Korrelation!$D$4:$D$1197,Korrelation!G$4:G$1197,"",0),DMAV_Modell!$G$6:$G$677,0)))</f>
        <v>0</v>
      </c>
      <c r="E649" s="57">
        <f>IF($A649="","",IF(_xlfn.XLOOKUP($A649,Korrelation!$D$4:$D$1197,Korrelation!H$4:H$1197,"-",0)="-",0,MATCH(_xlfn.XLOOKUP($A649,Korrelation!$D$4:$D$1197,Korrelation!H$4:H$1197,"",0),DMAV_Dienste!$F$6:$F$140,0)))</f>
        <v>0</v>
      </c>
      <c r="F649" s="57">
        <f>IF($A649="","",IF(_xlfn.XLOOKUP($A649,Korrelation!$D$4:$D$1197,Korrelation!I$4:I$1197,"-",0)="-",0,MATCH(_xlfn.XLOOKUP($A649,Korrelation!$D$4:$D$1197,Korrelation!I$4:I$1197,"",0),DMAV_Dienste!$F$6:$F$140,0)))</f>
        <v>0</v>
      </c>
      <c r="G649" s="57">
        <f>IF($A649="","",IF(_xlfn.XLOOKUP($A649,Korrelation!$D$4:$D$1197,Korrelation!J$4:J$1197,"-",0)="-",0,MATCH(_xlfn.XLOOKUP($A649,Korrelation!$D$4:$D$1197,Korrelation!J$4:J$1197,"",0),DMAV_Dienste!$F$6:$F$140,0)))</f>
        <v>0</v>
      </c>
      <c r="H649" s="57">
        <f>IF($A649="","",IF(_xlfn.XLOOKUP($A649,Korrelation!$D$4:$D$1197,Korrelation!K$4:K$1197,"-",0)="-",0,MATCH(_xlfn.XLOOKUP($A649,Korrelation!$D$4:$D$1197,Korrelation!K$4:K$1197,"",0),'DM01-AV-CH'!$A$6:$A$834,0)))</f>
        <v>651</v>
      </c>
      <c r="J649" s="54" t="str" cm="1">
        <f t="array" aca="1" ref="J649" ca="1">IF(B649=0,IF(E649=0,"",HYPERLINK("#"&amp;RIGHT(CELL("adresse",OFFSET(DMAV_Dienste!$M$6,E649-1,0)),LEN(CELL("adresse",OFFSET(DMAV_Dienste!$M$6,E649-1,0)))-FIND("]",CELL("adresse",OFFSET(DMAV_Dienste!$M$6,E649-1,0)))),"Dienst")),HYPERLINK("#"&amp;RIGHT(CELL("adresse",OFFSET(DMAV_Modell!$N$6,B649-1,0)),LEN(CELL("adresse",OFFSET(DMAV_Modell!$N$6,B649-1,0)))-FIND("]",CELL("adresse",OFFSET(DMAV_Modell!$N$6,B649-1,0)))),"Modell"))</f>
        <v>Modell</v>
      </c>
      <c r="K649" s="61" t="str" cm="1">
        <f t="array" ref="K649">IF($B649=0,IF($E649=0,"",IF(INDEX(DMAV_Dienste!P$6:P$140,$E649)="","",INDEX(DMAV_Dienste!P$6:P$140,$E649))),IF(INDEX(DMAV_Modell!Q$6:Q$838,$B649)="","",INDEX(DMAV_Modell!Q$6:Q$838,$B649)))</f>
        <v>CLASS</v>
      </c>
      <c r="L649" s="62" t="str" cm="1">
        <f t="array" ref="L649">IF($B649=0,IF($E649=0,"",IF(INDEX(DMAV_Dienste!O$6:O$140,$E649)="","",INDEX(DMAV_Dienste!O$6:O$140,$E649))),IF(INDEX(DMAV_Modell!P$6:P$838,$B649)="","",INDEX(DMAV_Modell!P$6:P$838,$B649)))</f>
        <v>DauerndeBodenverschiebungen</v>
      </c>
      <c r="M649" s="62" t="str" cm="1">
        <f t="array" ref="M649">IF($B649=0,IF($E649=0,"",IF(INDEX(DMAV_Dienste!Q$6:Q$140,$E649)="","",INDEX(DMAV_Dienste!Q$6:Q$140,$E649))),IF(INDEX(DMAV_Modell!R$6:R$838,$B649)="","",INDEX(DMAV_Modell!R$6:R$838,$B649)))</f>
        <v>DauerndeBodenverschiebung</v>
      </c>
      <c r="N649" s="62" t="str" cm="1">
        <f t="array" ref="N649">IF($B649=0,IF($E649=0,"",IF(INDEX(DMAV_Dienste!T$6:T$140,$E649)="","",INDEX(DMAV_Dienste!T$6:T$140,$E649))),IF(INDEX(DMAV_Modell!U$6:U$838,$B649)="","",INDEX(DMAV_Modell!U$6:U$838,$B649)))</f>
        <v>Geometrie</v>
      </c>
      <c r="O649" s="63" t="str" cm="1">
        <f t="array" aca="1" ref="O649" ca="1">IF(C649=0,IF(F649=0,"",HYPERLINK("#"&amp;RIGHT(CELL("adresse",OFFSET(DMAV_Dienste!$M$6,F649-1,0)),LEN(CELL("adresse",OFFSET(DMAV_Dienste!$M$6,F649-1,0)))-FIND("]",CELL("adresse",OFFSET(DMAV_Dienste!$M$6,F649-1,0)))),"Structure")),HYPERLINK("#"&amp;RIGHT(CELL("adresse",OFFSET(DMAV_Modell!$N$6,C649-1,0)),LEN(CELL("adresse",OFFSET(DMAV_Modell!$N$6,C649-1,0)))-FIND("]",CELL("adresse",OFFSET(DMAV_Modell!$N$6,C649-1,0)))),"Structure"))</f>
        <v/>
      </c>
      <c r="P649" s="64" t="str" cm="1">
        <f t="array" aca="1" ref="P649" ca="1">IF(D649=0,IF(G649=0,"",HYPERLINK("#"&amp;RIGHT(CELL("adresse",OFFSET(DMAV_Dienste!$M$6,G649-1,0)),LEN(CELL("adresse",OFFSET(DMAV_Dienste!$M$6,G649-1,0)))-FIND("]",CELL("adresse",OFFSET(DMAV_Dienste!$M$6,G649-1,0)))),"Substructure")),HYPERLINK("#"&amp;RIGHT(CELL("adresse",OFFSET(DMAV_Modell!$N$6,D649-1,0)),LEN(CELL("adresse",OFFSET(DMAV_Modell!$N$6,D649-1,0)))-FIND("]",CELL("adresse",OFFSET(DMAV_Modell!$N$6,D649-1,0)))),"Substructure"))</f>
        <v/>
      </c>
      <c r="R649" s="80"/>
      <c r="T649" s="93"/>
      <c r="U649" s="94"/>
      <c r="V649" s="95"/>
      <c r="W649" s="96" t="s">
        <v>3244</v>
      </c>
      <c r="Y649" s="85" t="s">
        <v>3135</v>
      </c>
      <c r="Z649" s="86"/>
      <c r="AA649" s="87"/>
      <c r="AB649" s="88"/>
      <c r="AD649" s="77"/>
      <c r="AF649" s="54" t="str" cm="1">
        <f t="array" aca="1" ref="AF649" ca="1">IF(H649=0,"",HYPERLINK("#"&amp;RIGHT(CELL("adresse",OFFSET('DM01-AV-CH'!$G$6,H649-1,0)),LEN(CELL("adresse",OFFSET('DM01-AV-CH'!$G$6,H649-1,0)))-FIND("]",CELL("adresse",OFFSET('DM01-AV-CH'!$G$6,H649-1,0)))),"Modell"))</f>
        <v>Modell</v>
      </c>
      <c r="AG649" s="72" t="str" cm="1">
        <f t="array" ref="AG649">IF($H649=0,"",IF(INDEX('DM01-AV-CH'!G$6:G$834,$H649)="","",INDEX('DM01-AV-CH'!G$6:G$834,$H649)))</f>
        <v>Rutschgebiete</v>
      </c>
      <c r="AH649" s="73" t="str" cm="1">
        <f t="array" ref="AH649">IF($H649=0,"",IF(INDEX('DM01-AV-CH'!H$6:H$834,$H649)="","",INDEX('DM01-AV-CH'!H$6:H$834,$H649)))</f>
        <v>Rutschung</v>
      </c>
      <c r="AI649" s="74" t="str" cm="1">
        <f t="array" ref="AI649">IF($H649=0,"",IF(INDEX('DM01-AV-CH'!I$6:I$834,$H649)="","",INDEX('DM01-AV-CH'!I$6:I$834,$H649)))</f>
        <v>Geometrie</v>
      </c>
    </row>
    <row r="650" spans="1:35" ht="28.5" x14ac:dyDescent="0.25">
      <c r="A650" s="57">
        <v>645</v>
      </c>
      <c r="B650" s="57">
        <f>IF($A650="","",IF(_xlfn.XLOOKUP($A650,Korrelation!$D$4:$D$1197,Korrelation!E$4:E$1197,"-",0)="-",0,MATCH(_xlfn.XLOOKUP($A650,Korrelation!$D$4:$D$1197,Korrelation!E$4:E$1197,"",0),DMAV_Modell!$G$6:$G$677,0)))</f>
        <v>0</v>
      </c>
      <c r="C650" s="57">
        <f>IF($A650="","",IF(_xlfn.XLOOKUP($A650,Korrelation!$D$4:$D$1197,Korrelation!F$4:F$1197,"-",0)="-",0,MATCH(_xlfn.XLOOKUP($A650,Korrelation!$D$4:$D$1197,Korrelation!F$4:F$1197,"",0),DMAV_Modell!$G$6:$G$677,0)))</f>
        <v>0</v>
      </c>
      <c r="D650" s="57">
        <f>IF($A650="","",IF(_xlfn.XLOOKUP($A650,Korrelation!$D$4:$D$1197,Korrelation!G$4:G$1197,"-",0)="-",0,MATCH(_xlfn.XLOOKUP($A650,Korrelation!$D$4:$D$1197,Korrelation!G$4:G$1197,"",0),DMAV_Modell!$G$6:$G$677,0)))</f>
        <v>0</v>
      </c>
      <c r="E650" s="57">
        <f>IF($A650="","",IF(_xlfn.XLOOKUP($A650,Korrelation!$D$4:$D$1197,Korrelation!H$4:H$1197,"-",0)="-",0,MATCH(_xlfn.XLOOKUP($A650,Korrelation!$D$4:$D$1197,Korrelation!H$4:H$1197,"",0),DMAV_Dienste!$F$6:$F$140,0)))</f>
        <v>0</v>
      </c>
      <c r="F650" s="57">
        <f>IF($A650="","",IF(_xlfn.XLOOKUP($A650,Korrelation!$D$4:$D$1197,Korrelation!I$4:I$1197,"-",0)="-",0,MATCH(_xlfn.XLOOKUP($A650,Korrelation!$D$4:$D$1197,Korrelation!I$4:I$1197,"",0),DMAV_Dienste!$F$6:$F$140,0)))</f>
        <v>0</v>
      </c>
      <c r="G650" s="57">
        <f>IF($A650="","",IF(_xlfn.XLOOKUP($A650,Korrelation!$D$4:$D$1197,Korrelation!J$4:J$1197,"-",0)="-",0,MATCH(_xlfn.XLOOKUP($A650,Korrelation!$D$4:$D$1197,Korrelation!J$4:J$1197,"",0),DMAV_Dienste!$F$6:$F$140,0)))</f>
        <v>0</v>
      </c>
      <c r="H650" s="57">
        <f>IF($A650="","",IF(_xlfn.XLOOKUP($A650,Korrelation!$D$4:$D$1197,Korrelation!K$4:K$1197,"-",0)="-",0,MATCH(_xlfn.XLOOKUP($A650,Korrelation!$D$4:$D$1197,Korrelation!K$4:K$1197,"",0),'DM01-AV-CH'!$A$6:$A$834,0)))</f>
        <v>652</v>
      </c>
      <c r="J650" s="54" t="str" cm="1">
        <f t="array" aca="1" ref="J650" ca="1">IF(B650=0,IF(E650=0,"",HYPERLINK("#"&amp;RIGHT(CELL("adresse",OFFSET(DMAV_Dienste!$M$6,E650-1,0)),LEN(CELL("adresse",OFFSET(DMAV_Dienste!$M$6,E650-1,0)))-FIND("]",CELL("adresse",OFFSET(DMAV_Dienste!$M$6,E650-1,0)))),"Dienst")),HYPERLINK("#"&amp;RIGHT(CELL("adresse",OFFSET(DMAV_Modell!$N$6,B650-1,0)),LEN(CELL("adresse",OFFSET(DMAV_Modell!$N$6,B650-1,0)))-FIND("]",CELL("adresse",OFFSET(DMAV_Modell!$N$6,B650-1,0)))),"Modell"))</f>
        <v/>
      </c>
      <c r="K650" s="61" t="str" cm="1">
        <f t="array" ref="K650">IF($B650=0,IF($E650=0,"",IF(INDEX(DMAV_Dienste!P$6:P$140,$E650)="","",INDEX(DMAV_Dienste!P$6:P$140,$E650))),IF(INDEX(DMAV_Modell!Q$6:Q$838,$B650)="","",INDEX(DMAV_Modell!Q$6:Q$838,$B650)))</f>
        <v/>
      </c>
      <c r="L650" s="62" t="str" cm="1">
        <f t="array" ref="L650">IF($B650=0,IF($E650=0,"",IF(INDEX(DMAV_Dienste!O$6:O$140,$E650)="","",INDEX(DMAV_Dienste!O$6:O$140,$E650))),IF(INDEX(DMAV_Modell!P$6:P$838,$B650)="","",INDEX(DMAV_Modell!P$6:P$838,$B650)))</f>
        <v/>
      </c>
      <c r="M650" s="62" t="str" cm="1">
        <f t="array" ref="M650">IF($B650=0,IF($E650=0,"",IF(INDEX(DMAV_Dienste!Q$6:Q$140,$E650)="","",INDEX(DMAV_Dienste!Q$6:Q$140,$E650))),IF(INDEX(DMAV_Modell!R$6:R$838,$B650)="","",INDEX(DMAV_Modell!R$6:R$838,$B650)))</f>
        <v/>
      </c>
      <c r="N650" s="62" t="str" cm="1">
        <f t="array" ref="N650">IF($B650=0,IF($E650=0,"",IF(INDEX(DMAV_Dienste!T$6:T$140,$E650)="","",INDEX(DMAV_Dienste!T$6:T$140,$E650))),IF(INDEX(DMAV_Modell!U$6:U$838,$B650)="","",INDEX(DMAV_Modell!U$6:U$838,$B650)))</f>
        <v/>
      </c>
      <c r="O650" s="63" t="str" cm="1">
        <f t="array" aca="1" ref="O650" ca="1">IF(C650=0,IF(F650=0,"",HYPERLINK("#"&amp;RIGHT(CELL("adresse",OFFSET(DMAV_Dienste!$M$6,F650-1,0)),LEN(CELL("adresse",OFFSET(DMAV_Dienste!$M$6,F650-1,0)))-FIND("]",CELL("adresse",OFFSET(DMAV_Dienste!$M$6,F650-1,0)))),"Structure")),HYPERLINK("#"&amp;RIGHT(CELL("adresse",OFFSET(DMAV_Modell!$N$6,C650-1,0)),LEN(CELL("adresse",OFFSET(DMAV_Modell!$N$6,C650-1,0)))-FIND("]",CELL("adresse",OFFSET(DMAV_Modell!$N$6,C650-1,0)))),"Structure"))</f>
        <v/>
      </c>
      <c r="P650" s="64" t="str" cm="1">
        <f t="array" aca="1" ref="P650" ca="1">IF(D650=0,IF(G650=0,"",HYPERLINK("#"&amp;RIGHT(CELL("adresse",OFFSET(DMAV_Dienste!$M$6,G650-1,0)),LEN(CELL("adresse",OFFSET(DMAV_Dienste!$M$6,G650-1,0)))-FIND("]",CELL("adresse",OFFSET(DMAV_Dienste!$M$6,G650-1,0)))),"Substructure")),HYPERLINK("#"&amp;RIGHT(CELL("adresse",OFFSET(DMAV_Modell!$N$6,D650-1,0)),LEN(CELL("adresse",OFFSET(DMAV_Modell!$N$6,D650-1,0)))-FIND("]",CELL("adresse",OFFSET(DMAV_Modell!$N$6,D650-1,0)))),"Substructure"))</f>
        <v/>
      </c>
      <c r="R650" s="80"/>
      <c r="T650" s="93"/>
      <c r="U650" s="94" t="s">
        <v>2980</v>
      </c>
      <c r="V650" s="95" t="s">
        <v>3026</v>
      </c>
      <c r="W650" s="96"/>
      <c r="Y650" s="85"/>
      <c r="Z650" s="86"/>
      <c r="AA650" s="87"/>
      <c r="AB650" s="88"/>
      <c r="AD650" s="77"/>
      <c r="AF650" s="54" t="str" cm="1">
        <f t="array" aca="1" ref="AF650" ca="1">IF(H650=0,"",HYPERLINK("#"&amp;RIGHT(CELL("adresse",OFFSET('DM01-AV-CH'!$G$6,H650-1,0)),LEN(CELL("adresse",OFFSET('DM01-AV-CH'!$G$6,H650-1,0)))-FIND("]",CELL("adresse",OFFSET('DM01-AV-CH'!$G$6,H650-1,0)))),"Modell"))</f>
        <v>Modell</v>
      </c>
      <c r="AG650" s="72" t="str" cm="1">
        <f t="array" ref="AG650">IF($H650=0,"",IF(INDEX('DM01-AV-CH'!G$6:G$834,$H650)="","",INDEX('DM01-AV-CH'!G$6:G$834,$H650)))</f>
        <v>Rutschgebiete</v>
      </c>
      <c r="AH650" s="73" t="str" cm="1">
        <f t="array" ref="AH650">IF($H650=0,"",IF(INDEX('DM01-AV-CH'!H$6:H$834,$H650)="","",INDEX('DM01-AV-CH'!H$6:H$834,$H650)))</f>
        <v>Rutschung</v>
      </c>
      <c r="AI650" s="74" t="str" cm="1">
        <f t="array" ref="AI650">IF($H650=0,"",IF(INDEX('DM01-AV-CH'!I$6:I$834,$H650)="","",INDEX('DM01-AV-CH'!I$6:I$834,$H650)))</f>
        <v>GueltigerEintrag</v>
      </c>
    </row>
    <row r="651" spans="1:35" x14ac:dyDescent="0.25">
      <c r="A651" s="57">
        <v>646</v>
      </c>
      <c r="B651" s="57">
        <f>IF($A651="","",IF(_xlfn.XLOOKUP($A651,Korrelation!$D$4:$D$1197,Korrelation!E$4:E$1197,"-",0)="-",0,MATCH(_xlfn.XLOOKUP($A651,Korrelation!$D$4:$D$1197,Korrelation!E$4:E$1197,"",0),DMAV_Modell!$G$6:$G$677,0)))</f>
        <v>355</v>
      </c>
      <c r="C651" s="57">
        <f>IF($A651="","",IF(_xlfn.XLOOKUP($A651,Korrelation!$D$4:$D$1197,Korrelation!F$4:F$1197,"-",0)="-",0,MATCH(_xlfn.XLOOKUP($A651,Korrelation!$D$4:$D$1197,Korrelation!F$4:F$1197,"",0),DMAV_Modell!$G$6:$G$677,0)))</f>
        <v>26</v>
      </c>
      <c r="D651" s="57">
        <f>IF($A651="","",IF(_xlfn.XLOOKUP($A651,Korrelation!$D$4:$D$1197,Korrelation!G$4:G$1197,"-",0)="-",0,MATCH(_xlfn.XLOOKUP($A651,Korrelation!$D$4:$D$1197,Korrelation!G$4:G$1197,"",0),DMAV_Modell!$G$6:$G$677,0)))</f>
        <v>0</v>
      </c>
      <c r="E651" s="57">
        <f>IF($A651="","",IF(_xlfn.XLOOKUP($A651,Korrelation!$D$4:$D$1197,Korrelation!H$4:H$1197,"-",0)="-",0,MATCH(_xlfn.XLOOKUP($A651,Korrelation!$D$4:$D$1197,Korrelation!H$4:H$1197,"",0),DMAV_Dienste!$F$6:$F$140,0)))</f>
        <v>0</v>
      </c>
      <c r="F651" s="57">
        <f>IF($A651="","",IF(_xlfn.XLOOKUP($A651,Korrelation!$D$4:$D$1197,Korrelation!I$4:I$1197,"-",0)="-",0,MATCH(_xlfn.XLOOKUP($A651,Korrelation!$D$4:$D$1197,Korrelation!I$4:I$1197,"",0),DMAV_Dienste!$F$6:$F$140,0)))</f>
        <v>0</v>
      </c>
      <c r="G651" s="57">
        <f>IF($A651="","",IF(_xlfn.XLOOKUP($A651,Korrelation!$D$4:$D$1197,Korrelation!J$4:J$1197,"-",0)="-",0,MATCH(_xlfn.XLOOKUP($A651,Korrelation!$D$4:$D$1197,Korrelation!J$4:J$1197,"",0),DMAV_Dienste!$F$6:$F$140,0)))</f>
        <v>0</v>
      </c>
      <c r="H651" s="57">
        <f>IF($A651="","",IF(_xlfn.XLOOKUP($A651,Korrelation!$D$4:$D$1197,Korrelation!K$4:K$1197,"-",0)="-",0,MATCH(_xlfn.XLOOKUP($A651,Korrelation!$D$4:$D$1197,Korrelation!K$4:K$1197,"",0),'DM01-AV-CH'!$A$6:$A$834,0)))</f>
        <v>0</v>
      </c>
      <c r="J651" s="54" t="str" cm="1">
        <f t="array" aca="1" ref="J651" ca="1">IF(B651=0,IF(E651=0,"",HYPERLINK("#"&amp;RIGHT(CELL("adresse",OFFSET(DMAV_Dienste!$M$6,E651-1,0)),LEN(CELL("adresse",OFFSET(DMAV_Dienste!$M$6,E651-1,0)))-FIND("]",CELL("adresse",OFFSET(DMAV_Dienste!$M$6,E651-1,0)))),"Dienst")),HYPERLINK("#"&amp;RIGHT(CELL("adresse",OFFSET(DMAV_Modell!$N$6,B651-1,0)),LEN(CELL("adresse",OFFSET(DMAV_Modell!$N$6,B651-1,0)))-FIND("]",CELL("adresse",OFFSET(DMAV_Modell!$N$6,B651-1,0)))),"Modell"))</f>
        <v>Modell</v>
      </c>
      <c r="K651" s="61" t="str" cm="1">
        <f t="array" ref="K651">IF($B651=0,IF($E651=0,"",IF(INDEX(DMAV_Dienste!P$6:P$140,$E651)="","",INDEX(DMAV_Dienste!P$6:P$140,$E651))),IF(INDEX(DMAV_Modell!Q$6:Q$838,$B651)="","",INDEX(DMAV_Modell!Q$6:Q$838,$B651)))</f>
        <v>CLASS</v>
      </c>
      <c r="L651" s="62" t="str" cm="1">
        <f t="array" ref="L651">IF($B651=0,IF($E651=0,"",IF(INDEX(DMAV_Dienste!O$6:O$140,$E651)="","",INDEX(DMAV_Dienste!O$6:O$140,$E651))),IF(INDEX(DMAV_Modell!P$6:P$838,$B651)="","",INDEX(DMAV_Modell!P$6:P$838,$B651)))</f>
        <v>DauerndeBodenverschiebungen</v>
      </c>
      <c r="M651" s="62" t="str" cm="1">
        <f t="array" ref="M651">IF($B651=0,IF($E651=0,"",IF(INDEX(DMAV_Dienste!Q$6:Q$140,$E651)="","",INDEX(DMAV_Dienste!Q$6:Q$140,$E651))),IF(INDEX(DMAV_Modell!R$6:R$838,$B651)="","",INDEX(DMAV_Modell!R$6:R$838,$B651)))</f>
        <v>DauerndeBodenverschiebung</v>
      </c>
      <c r="N651" s="62" t="str" cm="1">
        <f t="array" ref="N651">IF($B651=0,IF($E651=0,"",IF(INDEX(DMAV_Dienste!T$6:T$140,$E651)="","",INDEX(DMAV_Dienste!T$6:T$140,$E651))),IF(INDEX(DMAV_Modell!U$6:U$838,$B651)="","",INDEX(DMAV_Modell!U$6:U$838,$B651)))</f>
        <v>Textposition</v>
      </c>
      <c r="O651" s="63" t="str" cm="1">
        <f t="array" aca="1" ref="O651" ca="1">IF(C651=0,IF(F651=0,"",HYPERLINK("#"&amp;RIGHT(CELL("adresse",OFFSET(DMAV_Dienste!$M$6,F651-1,0)),LEN(CELL("adresse",OFFSET(DMAV_Dienste!$M$6,F651-1,0)))-FIND("]",CELL("adresse",OFFSET(DMAV_Dienste!$M$6,F651-1,0)))),"Structure")),HYPERLINK("#"&amp;RIGHT(CELL("adresse",OFFSET(DMAV_Modell!$N$6,C651-1,0)),LEN(CELL("adresse",OFFSET(DMAV_Modell!$N$6,C651-1,0)))-FIND("]",CELL("adresse",OFFSET(DMAV_Modell!$N$6,C651-1,0)))),"Structure"))</f>
        <v>Structure</v>
      </c>
      <c r="P651" s="64" t="str" cm="1">
        <f t="array" aca="1" ref="P651" ca="1">IF(D651=0,IF(G651=0,"",HYPERLINK("#"&amp;RIGHT(CELL("adresse",OFFSET(DMAV_Dienste!$M$6,G651-1,0)),LEN(CELL("adresse",OFFSET(DMAV_Dienste!$M$6,G651-1,0)))-FIND("]",CELL("adresse",OFFSET(DMAV_Dienste!$M$6,G651-1,0)))),"Substructure")),HYPERLINK("#"&amp;RIGHT(CELL("adresse",OFFSET(DMAV_Modell!$N$6,D651-1,0)),LEN(CELL("adresse",OFFSET(DMAV_Modell!$N$6,D651-1,0)))-FIND("]",CELL("adresse",OFFSET(DMAV_Modell!$N$6,D651-1,0)))),"Substructure"))</f>
        <v/>
      </c>
      <c r="R651" s="80"/>
      <c r="T651" s="93"/>
      <c r="U651" s="94"/>
      <c r="V651" s="95"/>
      <c r="W651" s="96"/>
      <c r="Y651" s="85"/>
      <c r="Z651" s="86"/>
      <c r="AA651" s="87"/>
      <c r="AB651" s="88"/>
      <c r="AD651" s="77"/>
      <c r="AF651" s="54" t="str" cm="1">
        <f t="array" aca="1" ref="AF651" ca="1">IF(H651=0,"",HYPERLINK("#"&amp;RIGHT(CELL("adresse",OFFSET('DM01-AV-CH'!$G$6,H651-1,0)),LEN(CELL("adresse",OFFSET('DM01-AV-CH'!$G$6,H651-1,0)))-FIND("]",CELL("adresse",OFFSET('DM01-AV-CH'!$G$6,H651-1,0)))),"Modell"))</f>
        <v/>
      </c>
      <c r="AG651" s="72" t="str" cm="1">
        <f t="array" ref="AG651">IF($H651=0,"",IF(INDEX('DM01-AV-CH'!G$6:G$834,$H651)="","",INDEX('DM01-AV-CH'!G$6:G$834,$H651)))</f>
        <v/>
      </c>
      <c r="AH651" s="73" t="str" cm="1">
        <f t="array" ref="AH651">IF($H651=0,"",IF(INDEX('DM01-AV-CH'!H$6:H$834,$H651)="","",INDEX('DM01-AV-CH'!H$6:H$834,$H651)))</f>
        <v/>
      </c>
      <c r="AI651" s="74" t="str" cm="1">
        <f t="array" ref="AI651">IF($H651=0,"",IF(INDEX('DM01-AV-CH'!I$6:I$834,$H651)="","",INDEX('DM01-AV-CH'!I$6:I$834,$H651)))</f>
        <v/>
      </c>
    </row>
    <row r="652" spans="1:35" x14ac:dyDescent="0.25">
      <c r="A652" s="57">
        <v>647</v>
      </c>
      <c r="B652" s="57">
        <f>IF($A652="","",IF(_xlfn.XLOOKUP($A652,Korrelation!$D$4:$D$1197,Korrelation!E$4:E$1197,"-",0)="-",0,MATCH(_xlfn.XLOOKUP($A652,Korrelation!$D$4:$D$1197,Korrelation!E$4:E$1197,"",0),DMAV_Modell!$G$6:$G$677,0)))</f>
        <v>0</v>
      </c>
      <c r="C652" s="57">
        <f>IF($A652="","",IF(_xlfn.XLOOKUP($A652,Korrelation!$D$4:$D$1197,Korrelation!F$4:F$1197,"-",0)="-",0,MATCH(_xlfn.XLOOKUP($A652,Korrelation!$D$4:$D$1197,Korrelation!F$4:F$1197,"",0),DMAV_Modell!$G$6:$G$677,0)))</f>
        <v>0</v>
      </c>
      <c r="D652" s="57">
        <f>IF($A652="","",IF(_xlfn.XLOOKUP($A652,Korrelation!$D$4:$D$1197,Korrelation!G$4:G$1197,"-",0)="-",0,MATCH(_xlfn.XLOOKUP($A652,Korrelation!$D$4:$D$1197,Korrelation!G$4:G$1197,"",0),DMAV_Modell!$G$6:$G$677,0)))</f>
        <v>0</v>
      </c>
      <c r="E652" s="57">
        <f>IF($A652="","",IF(_xlfn.XLOOKUP($A652,Korrelation!$D$4:$D$1197,Korrelation!H$4:H$1197,"-",0)="-",0,MATCH(_xlfn.XLOOKUP($A652,Korrelation!$D$4:$D$1197,Korrelation!H$4:H$1197,"",0),DMAV_Dienste!$F$6:$F$140,0)))</f>
        <v>0</v>
      </c>
      <c r="F652" s="57">
        <f>IF($A652="","",IF(_xlfn.XLOOKUP($A652,Korrelation!$D$4:$D$1197,Korrelation!I$4:I$1197,"-",0)="-",0,MATCH(_xlfn.XLOOKUP($A652,Korrelation!$D$4:$D$1197,Korrelation!I$4:I$1197,"",0),DMAV_Dienste!$F$6:$F$140,0)))</f>
        <v>0</v>
      </c>
      <c r="G652" s="57">
        <f>IF($A652="","",IF(_xlfn.XLOOKUP($A652,Korrelation!$D$4:$D$1197,Korrelation!J$4:J$1197,"-",0)="-",0,MATCH(_xlfn.XLOOKUP($A652,Korrelation!$D$4:$D$1197,Korrelation!J$4:J$1197,"",0),DMAV_Dienste!$F$6:$F$140,0)))</f>
        <v>0</v>
      </c>
      <c r="H652" s="57">
        <f>IF($A652="","",IF(_xlfn.XLOOKUP($A652,Korrelation!$D$4:$D$1197,Korrelation!K$4:K$1197,"-",0)="-",0,MATCH(_xlfn.XLOOKUP($A652,Korrelation!$D$4:$D$1197,Korrelation!K$4:K$1197,"",0),'DM01-AV-CH'!$A$6:$A$834,0)))</f>
        <v>653</v>
      </c>
      <c r="J652" s="54" t="str" cm="1">
        <f t="array" aca="1" ref="J652" ca="1">IF(B652=0,IF(E652=0,"",HYPERLINK("#"&amp;RIGHT(CELL("adresse",OFFSET(DMAV_Dienste!$M$6,E652-1,0)),LEN(CELL("adresse",OFFSET(DMAV_Dienste!$M$6,E652-1,0)))-FIND("]",CELL("adresse",OFFSET(DMAV_Dienste!$M$6,E652-1,0)))),"Dienst")),HYPERLINK("#"&amp;RIGHT(CELL("adresse",OFFSET(DMAV_Modell!$N$6,B652-1,0)),LEN(CELL("adresse",OFFSET(DMAV_Modell!$N$6,B652-1,0)))-FIND("]",CELL("adresse",OFFSET(DMAV_Modell!$N$6,B652-1,0)))),"Modell"))</f>
        <v/>
      </c>
      <c r="K652" s="61" t="str" cm="1">
        <f t="array" ref="K652">IF($B652=0,IF($E652=0,"",IF(INDEX(DMAV_Dienste!P$6:P$140,$E652)="","",INDEX(DMAV_Dienste!P$6:P$140,$E652))),IF(INDEX(DMAV_Modell!Q$6:Q$838,$B652)="","",INDEX(DMAV_Modell!Q$6:Q$838,$B652)))</f>
        <v/>
      </c>
      <c r="L652" s="62" t="str" cm="1">
        <f t="array" ref="L652">IF($B652=0,IF($E652=0,"",IF(INDEX(DMAV_Dienste!O$6:O$140,$E652)="","",INDEX(DMAV_Dienste!O$6:O$140,$E652))),IF(INDEX(DMAV_Modell!P$6:P$838,$B652)="","",INDEX(DMAV_Modell!P$6:P$838,$B652)))</f>
        <v/>
      </c>
      <c r="M652" s="62" t="str" cm="1">
        <f t="array" ref="M652">IF($B652=0,IF($E652=0,"",IF(INDEX(DMAV_Dienste!Q$6:Q$140,$E652)="","",INDEX(DMAV_Dienste!Q$6:Q$140,$E652))),IF(INDEX(DMAV_Modell!R$6:R$838,$B652)="","",INDEX(DMAV_Modell!R$6:R$838,$B652)))</f>
        <v/>
      </c>
      <c r="N652" s="62" t="str" cm="1">
        <f t="array" ref="N652">IF($B652=0,IF($E652=0,"",IF(INDEX(DMAV_Dienste!T$6:T$140,$E652)="","",INDEX(DMAV_Dienste!T$6:T$140,$E652))),IF(INDEX(DMAV_Modell!U$6:U$838,$B652)="","",INDEX(DMAV_Modell!U$6:U$838,$B652)))</f>
        <v/>
      </c>
      <c r="O652" s="63" t="str" cm="1">
        <f t="array" aca="1" ref="O652" ca="1">IF(C652=0,IF(F652=0,"",HYPERLINK("#"&amp;RIGHT(CELL("adresse",OFFSET(DMAV_Dienste!$M$6,F652-1,0)),LEN(CELL("adresse",OFFSET(DMAV_Dienste!$M$6,F652-1,0)))-FIND("]",CELL("adresse",OFFSET(DMAV_Dienste!$M$6,F652-1,0)))),"Structure")),HYPERLINK("#"&amp;RIGHT(CELL("adresse",OFFSET(DMAV_Modell!$N$6,C652-1,0)),LEN(CELL("adresse",OFFSET(DMAV_Modell!$N$6,C652-1,0)))-FIND("]",CELL("adresse",OFFSET(DMAV_Modell!$N$6,C652-1,0)))),"Structure"))</f>
        <v/>
      </c>
      <c r="P652" s="64" t="str" cm="1">
        <f t="array" aca="1" ref="P652" ca="1">IF(D652=0,IF(G652=0,"",HYPERLINK("#"&amp;RIGHT(CELL("adresse",OFFSET(DMAV_Dienste!$M$6,G652-1,0)),LEN(CELL("adresse",OFFSET(DMAV_Dienste!$M$6,G652-1,0)))-FIND("]",CELL("adresse",OFFSET(DMAV_Dienste!$M$6,G652-1,0)))),"Substructure")),HYPERLINK("#"&amp;RIGHT(CELL("adresse",OFFSET(DMAV_Modell!$N$6,D652-1,0)),LEN(CELL("adresse",OFFSET(DMAV_Modell!$N$6,D652-1,0)))-FIND("]",CELL("adresse",OFFSET(DMAV_Modell!$N$6,D652-1,0)))),"Substructure"))</f>
        <v/>
      </c>
      <c r="R652" s="80"/>
      <c r="T652" s="93"/>
      <c r="U652" s="94"/>
      <c r="V652" s="95"/>
      <c r="W652" s="96"/>
      <c r="Y652" s="85"/>
      <c r="Z652" s="86"/>
      <c r="AA652" s="87"/>
      <c r="AB652" s="88"/>
      <c r="AD652" s="77"/>
      <c r="AF652" s="54" t="str" cm="1">
        <f t="array" aca="1" ref="AF652" ca="1">IF(H652=0,"",HYPERLINK("#"&amp;RIGHT(CELL("adresse",OFFSET('DM01-AV-CH'!$G$6,H652-1,0)),LEN(CELL("adresse",OFFSET('DM01-AV-CH'!$G$6,H652-1,0)))-FIND("]",CELL("adresse",OFFSET('DM01-AV-CH'!$G$6,H652-1,0)))),"Modell"))</f>
        <v>Modell</v>
      </c>
      <c r="AG652" s="72" t="str" cm="1">
        <f t="array" ref="AG652">IF($H652=0,"",IF(INDEX('DM01-AV-CH'!G$6:G$834,$H652)="","",INDEX('DM01-AV-CH'!G$6:G$834,$H652)))</f>
        <v>Rutschgebiete</v>
      </c>
      <c r="AH652" s="73" t="str" cm="1">
        <f t="array" ref="AH652">IF($H652=0,"",IF(INDEX('DM01-AV-CH'!H$6:H$834,$H652)="","",INDEX('DM01-AV-CH'!H$6:H$834,$H652)))</f>
        <v>RutschungPos</v>
      </c>
      <c r="AI652" s="74" t="str" cm="1">
        <f t="array" ref="AI652">IF($H652=0,"",IF(INDEX('DM01-AV-CH'!I$6:I$834,$H652)="","",INDEX('DM01-AV-CH'!I$6:I$834,$H652)))</f>
        <v>RutschungPos_von</v>
      </c>
    </row>
    <row r="653" spans="1:35" ht="42.75" x14ac:dyDescent="0.25">
      <c r="A653" s="57">
        <v>648</v>
      </c>
      <c r="B653" s="57">
        <f>IF($A653="","",IF(_xlfn.XLOOKUP($A653,Korrelation!$D$4:$D$1197,Korrelation!E$4:E$1197,"-",0)="-",0,MATCH(_xlfn.XLOOKUP($A653,Korrelation!$D$4:$D$1197,Korrelation!E$4:E$1197,"",0),DMAV_Modell!$G$6:$G$677,0)))</f>
        <v>355</v>
      </c>
      <c r="C653" s="57">
        <f>IF($A653="","",IF(_xlfn.XLOOKUP($A653,Korrelation!$D$4:$D$1197,Korrelation!F$4:F$1197,"-",0)="-",0,MATCH(_xlfn.XLOOKUP($A653,Korrelation!$D$4:$D$1197,Korrelation!F$4:F$1197,"",0),DMAV_Modell!$G$6:$G$677,0)))</f>
        <v>26</v>
      </c>
      <c r="D653" s="57">
        <f>IF($A653="","",IF(_xlfn.XLOOKUP($A653,Korrelation!$D$4:$D$1197,Korrelation!G$4:G$1197,"-",0)="-",0,MATCH(_xlfn.XLOOKUP($A653,Korrelation!$D$4:$D$1197,Korrelation!G$4:G$1197,"",0),DMAV_Modell!$G$6:$G$677,0)))</f>
        <v>26</v>
      </c>
      <c r="E653" s="57">
        <f>IF($A653="","",IF(_xlfn.XLOOKUP($A653,Korrelation!$D$4:$D$1197,Korrelation!H$4:H$1197,"-",0)="-",0,MATCH(_xlfn.XLOOKUP($A653,Korrelation!$D$4:$D$1197,Korrelation!H$4:H$1197,"",0),DMAV_Dienste!$F$6:$F$140,0)))</f>
        <v>0</v>
      </c>
      <c r="F653" s="57">
        <f>IF($A653="","",IF(_xlfn.XLOOKUP($A653,Korrelation!$D$4:$D$1197,Korrelation!I$4:I$1197,"-",0)="-",0,MATCH(_xlfn.XLOOKUP($A653,Korrelation!$D$4:$D$1197,Korrelation!I$4:I$1197,"",0),DMAV_Dienste!$F$6:$F$140,0)))</f>
        <v>0</v>
      </c>
      <c r="G653" s="57">
        <f>IF($A653="","",IF(_xlfn.XLOOKUP($A653,Korrelation!$D$4:$D$1197,Korrelation!J$4:J$1197,"-",0)="-",0,MATCH(_xlfn.XLOOKUP($A653,Korrelation!$D$4:$D$1197,Korrelation!J$4:J$1197,"",0),DMAV_Dienste!$F$6:$F$140,0)))</f>
        <v>0</v>
      </c>
      <c r="H653" s="57">
        <f>IF($A653="","",IF(_xlfn.XLOOKUP($A653,Korrelation!$D$4:$D$1197,Korrelation!K$4:K$1197,"-",0)="-",0,MATCH(_xlfn.XLOOKUP($A653,Korrelation!$D$4:$D$1197,Korrelation!K$4:K$1197,"",0),'DM01-AV-CH'!$A$6:$A$834,0)))</f>
        <v>654</v>
      </c>
      <c r="J653" s="54" t="str" cm="1">
        <f t="array" aca="1" ref="J653" ca="1">IF(B653=0,IF(E653=0,"",HYPERLINK("#"&amp;RIGHT(CELL("adresse",OFFSET(DMAV_Dienste!$M$6,E653-1,0)),LEN(CELL("adresse",OFFSET(DMAV_Dienste!$M$6,E653-1,0)))-FIND("]",CELL("adresse",OFFSET(DMAV_Dienste!$M$6,E653-1,0)))),"Dienst")),HYPERLINK("#"&amp;RIGHT(CELL("adresse",OFFSET(DMAV_Modell!$N$6,B653-1,0)),LEN(CELL("adresse",OFFSET(DMAV_Modell!$N$6,B653-1,0)))-FIND("]",CELL("adresse",OFFSET(DMAV_Modell!$N$6,B653-1,0)))),"Modell"))</f>
        <v>Modell</v>
      </c>
      <c r="K653" s="61" t="str" cm="1">
        <f t="array" ref="K653">IF($B653=0,IF($E653=0,"",IF(INDEX(DMAV_Dienste!P$6:P$140,$E653)="","",INDEX(DMAV_Dienste!P$6:P$140,$E653))),IF(INDEX(DMAV_Modell!Q$6:Q$838,$B653)="","",INDEX(DMAV_Modell!Q$6:Q$838,$B653)))</f>
        <v>CLASS</v>
      </c>
      <c r="L653" s="62" t="str" cm="1">
        <f t="array" ref="L653">IF($B653=0,IF($E653=0,"",IF(INDEX(DMAV_Dienste!O$6:O$140,$E653)="","",INDEX(DMAV_Dienste!O$6:O$140,$E653))),IF(INDEX(DMAV_Modell!P$6:P$838,$B653)="","",INDEX(DMAV_Modell!P$6:P$838,$B653)))</f>
        <v>DauerndeBodenverschiebungen</v>
      </c>
      <c r="M653" s="62" t="str" cm="1">
        <f t="array" ref="M653">IF($B653=0,IF($E653=0,"",IF(INDEX(DMAV_Dienste!Q$6:Q$140,$E653)="","",INDEX(DMAV_Dienste!Q$6:Q$140,$E653))),IF(INDEX(DMAV_Modell!R$6:R$838,$B653)="","",INDEX(DMAV_Modell!R$6:R$838,$B653)))</f>
        <v>DauerndeBodenverschiebung</v>
      </c>
      <c r="N653" s="62" t="str" cm="1">
        <f t="array" ref="N653">IF($B653=0,IF($E653=0,"",IF(INDEX(DMAV_Dienste!T$6:T$140,$E653)="","",INDEX(DMAV_Dienste!T$6:T$140,$E653))),IF(INDEX(DMAV_Modell!U$6:U$838,$B653)="","",INDEX(DMAV_Modell!U$6:U$838,$B653)))</f>
        <v>Textposition</v>
      </c>
      <c r="O653" s="63" t="str" cm="1">
        <f t="array" aca="1" ref="O653" ca="1">IF(C653=0,IF(F653=0,"",HYPERLINK("#"&amp;RIGHT(CELL("adresse",OFFSET(DMAV_Dienste!$M$6,F653-1,0)),LEN(CELL("adresse",OFFSET(DMAV_Dienste!$M$6,F653-1,0)))-FIND("]",CELL("adresse",OFFSET(DMAV_Dienste!$M$6,F653-1,0)))),"Structure")),HYPERLINK("#"&amp;RIGHT(CELL("adresse",OFFSET(DMAV_Modell!$N$6,C653-1,0)),LEN(CELL("adresse",OFFSET(DMAV_Modell!$N$6,C653-1,0)))-FIND("]",CELL("adresse",OFFSET(DMAV_Modell!$N$6,C653-1,0)))),"Structure"))</f>
        <v>Structure</v>
      </c>
      <c r="P653" s="64" t="str" cm="1">
        <f t="array" aca="1" ref="P653" ca="1">IF(D653=0,IF(G653=0,"",HYPERLINK("#"&amp;RIGHT(CELL("adresse",OFFSET(DMAV_Dienste!$M$6,G653-1,0)),LEN(CELL("adresse",OFFSET(DMAV_Dienste!$M$6,G653-1,0)))-FIND("]",CELL("adresse",OFFSET(DMAV_Dienste!$M$6,G653-1,0)))),"Substructure")),HYPERLINK("#"&amp;RIGHT(CELL("adresse",OFFSET(DMAV_Modell!$N$6,D653-1,0)),LEN(CELL("adresse",OFFSET(DMAV_Modell!$N$6,D653-1,0)))-FIND("]",CELL("adresse",OFFSET(DMAV_Modell!$N$6,D653-1,0)))),"Substructure"))</f>
        <v>Substructure</v>
      </c>
      <c r="R653" s="80"/>
      <c r="T653" s="93"/>
      <c r="U653" s="94" t="s">
        <v>2980</v>
      </c>
      <c r="V653" s="95" t="s">
        <v>3146</v>
      </c>
      <c r="W653" s="96"/>
      <c r="Y653" s="85"/>
      <c r="Z653" s="86"/>
      <c r="AA653" s="87"/>
      <c r="AB653" s="88"/>
      <c r="AD653" s="77"/>
      <c r="AF653" s="54" t="str" cm="1">
        <f t="array" aca="1" ref="AF653" ca="1">IF(H653=0,"",HYPERLINK("#"&amp;RIGHT(CELL("adresse",OFFSET('DM01-AV-CH'!$G$6,H653-1,0)),LEN(CELL("adresse",OFFSET('DM01-AV-CH'!$G$6,H653-1,0)))-FIND("]",CELL("adresse",OFFSET('DM01-AV-CH'!$G$6,H653-1,0)))),"Modell"))</f>
        <v>Modell</v>
      </c>
      <c r="AG653" s="72" t="str" cm="1">
        <f t="array" ref="AG653">IF($H653=0,"",IF(INDEX('DM01-AV-CH'!G$6:G$834,$H653)="","",INDEX('DM01-AV-CH'!G$6:G$834,$H653)))</f>
        <v>Rutschgebiete</v>
      </c>
      <c r="AH653" s="73" t="str" cm="1">
        <f t="array" ref="AH653">IF($H653=0,"",IF(INDEX('DM01-AV-CH'!H$6:H$834,$H653)="","",INDEX('DM01-AV-CH'!H$6:H$834,$H653)))</f>
        <v>RutschungPos</v>
      </c>
      <c r="AI653" s="74" t="str" cm="1">
        <f t="array" ref="AI653">IF($H653=0,"",IF(INDEX('DM01-AV-CH'!I$6:I$834,$H653)="","",INDEX('DM01-AV-CH'!I$6:I$834,$H653)))</f>
        <v>Pos</v>
      </c>
    </row>
    <row r="654" spans="1:35" ht="42.75" x14ac:dyDescent="0.25">
      <c r="A654" s="57">
        <v>649</v>
      </c>
      <c r="B654" s="57">
        <f>IF($A654="","",IF(_xlfn.XLOOKUP($A654,Korrelation!$D$4:$D$1197,Korrelation!E$4:E$1197,"-",0)="-",0,MATCH(_xlfn.XLOOKUP($A654,Korrelation!$D$4:$D$1197,Korrelation!E$4:E$1197,"",0),DMAV_Modell!$G$6:$G$677,0)))</f>
        <v>355</v>
      </c>
      <c r="C654" s="57">
        <f>IF($A654="","",IF(_xlfn.XLOOKUP($A654,Korrelation!$D$4:$D$1197,Korrelation!F$4:F$1197,"-",0)="-",0,MATCH(_xlfn.XLOOKUP($A654,Korrelation!$D$4:$D$1197,Korrelation!F$4:F$1197,"",0),DMAV_Modell!$G$6:$G$677,0)))</f>
        <v>26</v>
      </c>
      <c r="D654" s="57">
        <f>IF($A654="","",IF(_xlfn.XLOOKUP($A654,Korrelation!$D$4:$D$1197,Korrelation!G$4:G$1197,"-",0)="-",0,MATCH(_xlfn.XLOOKUP($A654,Korrelation!$D$4:$D$1197,Korrelation!G$4:G$1197,"",0),DMAV_Modell!$G$6:$G$677,0)))</f>
        <v>27</v>
      </c>
      <c r="E654" s="57">
        <f>IF($A654="","",IF(_xlfn.XLOOKUP($A654,Korrelation!$D$4:$D$1197,Korrelation!H$4:H$1197,"-",0)="-",0,MATCH(_xlfn.XLOOKUP($A654,Korrelation!$D$4:$D$1197,Korrelation!H$4:H$1197,"",0),DMAV_Dienste!$F$6:$F$140,0)))</f>
        <v>0</v>
      </c>
      <c r="F654" s="57">
        <f>IF($A654="","",IF(_xlfn.XLOOKUP($A654,Korrelation!$D$4:$D$1197,Korrelation!I$4:I$1197,"-",0)="-",0,MATCH(_xlfn.XLOOKUP($A654,Korrelation!$D$4:$D$1197,Korrelation!I$4:I$1197,"",0),DMAV_Dienste!$F$6:$F$140,0)))</f>
        <v>0</v>
      </c>
      <c r="G654" s="57">
        <f>IF($A654="","",IF(_xlfn.XLOOKUP($A654,Korrelation!$D$4:$D$1197,Korrelation!J$4:J$1197,"-",0)="-",0,MATCH(_xlfn.XLOOKUP($A654,Korrelation!$D$4:$D$1197,Korrelation!J$4:J$1197,"",0),DMAV_Dienste!$F$6:$F$140,0)))</f>
        <v>0</v>
      </c>
      <c r="H654" s="57">
        <f>IF($A654="","",IF(_xlfn.XLOOKUP($A654,Korrelation!$D$4:$D$1197,Korrelation!K$4:K$1197,"-",0)="-",0,MATCH(_xlfn.XLOOKUP($A654,Korrelation!$D$4:$D$1197,Korrelation!K$4:K$1197,"",0),'DM01-AV-CH'!$A$6:$A$834,0)))</f>
        <v>655</v>
      </c>
      <c r="J654" s="54" t="str" cm="1">
        <f t="array" aca="1" ref="J654" ca="1">IF(B654=0,IF(E654=0,"",HYPERLINK("#"&amp;RIGHT(CELL("adresse",OFFSET(DMAV_Dienste!$M$6,E654-1,0)),LEN(CELL("adresse",OFFSET(DMAV_Dienste!$M$6,E654-1,0)))-FIND("]",CELL("adresse",OFFSET(DMAV_Dienste!$M$6,E654-1,0)))),"Dienst")),HYPERLINK("#"&amp;RIGHT(CELL("adresse",OFFSET(DMAV_Modell!$N$6,B654-1,0)),LEN(CELL("adresse",OFFSET(DMAV_Modell!$N$6,B654-1,0)))-FIND("]",CELL("adresse",OFFSET(DMAV_Modell!$N$6,B654-1,0)))),"Modell"))</f>
        <v>Modell</v>
      </c>
      <c r="K654" s="61" t="str" cm="1">
        <f t="array" ref="K654">IF($B654=0,IF($E654=0,"",IF(INDEX(DMAV_Dienste!P$6:P$140,$E654)="","",INDEX(DMAV_Dienste!P$6:P$140,$E654))),IF(INDEX(DMAV_Modell!Q$6:Q$838,$B654)="","",INDEX(DMAV_Modell!Q$6:Q$838,$B654)))</f>
        <v>CLASS</v>
      </c>
      <c r="L654" s="62" t="str" cm="1">
        <f t="array" ref="L654">IF($B654=0,IF($E654=0,"",IF(INDEX(DMAV_Dienste!O$6:O$140,$E654)="","",INDEX(DMAV_Dienste!O$6:O$140,$E654))),IF(INDEX(DMAV_Modell!P$6:P$838,$B654)="","",INDEX(DMAV_Modell!P$6:P$838,$B654)))</f>
        <v>DauerndeBodenverschiebungen</v>
      </c>
      <c r="M654" s="62" t="str" cm="1">
        <f t="array" ref="M654">IF($B654=0,IF($E654=0,"",IF(INDEX(DMAV_Dienste!Q$6:Q$140,$E654)="","",INDEX(DMAV_Dienste!Q$6:Q$140,$E654))),IF(INDEX(DMAV_Modell!R$6:R$838,$B654)="","",INDEX(DMAV_Modell!R$6:R$838,$B654)))</f>
        <v>DauerndeBodenverschiebung</v>
      </c>
      <c r="N654" s="62" t="str" cm="1">
        <f t="array" ref="N654">IF($B654=0,IF($E654=0,"",IF(INDEX(DMAV_Dienste!T$6:T$140,$E654)="","",INDEX(DMAV_Dienste!T$6:T$140,$E654))),IF(INDEX(DMAV_Modell!U$6:U$838,$B654)="","",INDEX(DMAV_Modell!U$6:U$838,$B654)))</f>
        <v>Textposition</v>
      </c>
      <c r="O654" s="63" t="str" cm="1">
        <f t="array" aca="1" ref="O654" ca="1">IF(C654=0,IF(F654=0,"",HYPERLINK("#"&amp;RIGHT(CELL("adresse",OFFSET(DMAV_Dienste!$M$6,F654-1,0)),LEN(CELL("adresse",OFFSET(DMAV_Dienste!$M$6,F654-1,0)))-FIND("]",CELL("adresse",OFFSET(DMAV_Dienste!$M$6,F654-1,0)))),"Structure")),HYPERLINK("#"&amp;RIGHT(CELL("adresse",OFFSET(DMAV_Modell!$N$6,C654-1,0)),LEN(CELL("adresse",OFFSET(DMAV_Modell!$N$6,C654-1,0)))-FIND("]",CELL("adresse",OFFSET(DMAV_Modell!$N$6,C654-1,0)))),"Structure"))</f>
        <v>Structure</v>
      </c>
      <c r="P654" s="64" t="str" cm="1">
        <f t="array" aca="1" ref="P654" ca="1">IF(D654=0,IF(G654=0,"",HYPERLINK("#"&amp;RIGHT(CELL("adresse",OFFSET(DMAV_Dienste!$M$6,G654-1,0)),LEN(CELL("adresse",OFFSET(DMAV_Dienste!$M$6,G654-1,0)))-FIND("]",CELL("adresse",OFFSET(DMAV_Dienste!$M$6,G654-1,0)))),"Substructure")),HYPERLINK("#"&amp;RIGHT(CELL("adresse",OFFSET(DMAV_Modell!$N$6,D654-1,0)),LEN(CELL("adresse",OFFSET(DMAV_Modell!$N$6,D654-1,0)))-FIND("]",CELL("adresse",OFFSET(DMAV_Modell!$N$6,D654-1,0)))),"Substructure"))</f>
        <v>Substructure</v>
      </c>
      <c r="R654" s="80"/>
      <c r="T654" s="93"/>
      <c r="U654" s="94" t="s">
        <v>2980</v>
      </c>
      <c r="V654" s="95" t="s">
        <v>3147</v>
      </c>
      <c r="W654" s="96"/>
      <c r="Y654" s="85"/>
      <c r="Z654" s="86"/>
      <c r="AA654" s="87"/>
      <c r="AB654" s="88"/>
      <c r="AD654" s="77"/>
      <c r="AF654" s="54" t="str" cm="1">
        <f t="array" aca="1" ref="AF654" ca="1">IF(H654=0,"",HYPERLINK("#"&amp;RIGHT(CELL("adresse",OFFSET('DM01-AV-CH'!$G$6,H654-1,0)),LEN(CELL("adresse",OFFSET('DM01-AV-CH'!$G$6,H654-1,0)))-FIND("]",CELL("adresse",OFFSET('DM01-AV-CH'!$G$6,H654-1,0)))),"Modell"))</f>
        <v>Modell</v>
      </c>
      <c r="AG654" s="72" t="str" cm="1">
        <f t="array" ref="AG654">IF($H654=0,"",IF(INDEX('DM01-AV-CH'!G$6:G$834,$H654)="","",INDEX('DM01-AV-CH'!G$6:G$834,$H654)))</f>
        <v>Rutschgebiete</v>
      </c>
      <c r="AH654" s="73" t="str" cm="1">
        <f t="array" ref="AH654">IF($H654=0,"",IF(INDEX('DM01-AV-CH'!H$6:H$834,$H654)="","",INDEX('DM01-AV-CH'!H$6:H$834,$H654)))</f>
        <v>RutschungPos</v>
      </c>
      <c r="AI654" s="74" t="str" cm="1">
        <f t="array" ref="AI654">IF($H654=0,"",IF(INDEX('DM01-AV-CH'!I$6:I$834,$H654)="","",INDEX('DM01-AV-CH'!I$6:I$834,$H654)))</f>
        <v>Ori</v>
      </c>
    </row>
    <row r="655" spans="1:35" ht="42.75" x14ac:dyDescent="0.25">
      <c r="A655" s="57">
        <v>650</v>
      </c>
      <c r="B655" s="57">
        <f>IF($A655="","",IF(_xlfn.XLOOKUP($A655,Korrelation!$D$4:$D$1197,Korrelation!E$4:E$1197,"-",0)="-",0,MATCH(_xlfn.XLOOKUP($A655,Korrelation!$D$4:$D$1197,Korrelation!E$4:E$1197,"",0),DMAV_Modell!$G$6:$G$677,0)))</f>
        <v>355</v>
      </c>
      <c r="C655" s="57">
        <f>IF($A655="","",IF(_xlfn.XLOOKUP($A655,Korrelation!$D$4:$D$1197,Korrelation!F$4:F$1197,"-",0)="-",0,MATCH(_xlfn.XLOOKUP($A655,Korrelation!$D$4:$D$1197,Korrelation!F$4:F$1197,"",0),DMAV_Modell!$G$6:$G$677,0)))</f>
        <v>26</v>
      </c>
      <c r="D655" s="57">
        <f>IF($A655="","",IF(_xlfn.XLOOKUP($A655,Korrelation!$D$4:$D$1197,Korrelation!G$4:G$1197,"-",0)="-",0,MATCH(_xlfn.XLOOKUP($A655,Korrelation!$D$4:$D$1197,Korrelation!G$4:G$1197,"",0),DMAV_Modell!$G$6:$G$677,0)))</f>
        <v>30</v>
      </c>
      <c r="E655" s="57">
        <f>IF($A655="","",IF(_xlfn.XLOOKUP($A655,Korrelation!$D$4:$D$1197,Korrelation!H$4:H$1197,"-",0)="-",0,MATCH(_xlfn.XLOOKUP($A655,Korrelation!$D$4:$D$1197,Korrelation!H$4:H$1197,"",0),DMAV_Dienste!$F$6:$F$140,0)))</f>
        <v>0</v>
      </c>
      <c r="F655" s="57">
        <f>IF($A655="","",IF(_xlfn.XLOOKUP($A655,Korrelation!$D$4:$D$1197,Korrelation!I$4:I$1197,"-",0)="-",0,MATCH(_xlfn.XLOOKUP($A655,Korrelation!$D$4:$D$1197,Korrelation!I$4:I$1197,"",0),DMAV_Dienste!$F$6:$F$140,0)))</f>
        <v>0</v>
      </c>
      <c r="G655" s="57">
        <f>IF($A655="","",IF(_xlfn.XLOOKUP($A655,Korrelation!$D$4:$D$1197,Korrelation!J$4:J$1197,"-",0)="-",0,MATCH(_xlfn.XLOOKUP($A655,Korrelation!$D$4:$D$1197,Korrelation!J$4:J$1197,"",0),DMAV_Dienste!$F$6:$F$140,0)))</f>
        <v>0</v>
      </c>
      <c r="H655" s="57">
        <f>IF($A655="","",IF(_xlfn.XLOOKUP($A655,Korrelation!$D$4:$D$1197,Korrelation!K$4:K$1197,"-",0)="-",0,MATCH(_xlfn.XLOOKUP($A655,Korrelation!$D$4:$D$1197,Korrelation!K$4:K$1197,"",0),'DM01-AV-CH'!$A$6:$A$834,0)))</f>
        <v>656</v>
      </c>
      <c r="J655" s="54" t="str" cm="1">
        <f t="array" aca="1" ref="J655" ca="1">IF(B655=0,IF(E655=0,"",HYPERLINK("#"&amp;RIGHT(CELL("adresse",OFFSET(DMAV_Dienste!$M$6,E655-1,0)),LEN(CELL("adresse",OFFSET(DMAV_Dienste!$M$6,E655-1,0)))-FIND("]",CELL("adresse",OFFSET(DMAV_Dienste!$M$6,E655-1,0)))),"Dienst")),HYPERLINK("#"&amp;RIGHT(CELL("adresse",OFFSET(DMAV_Modell!$N$6,B655-1,0)),LEN(CELL("adresse",OFFSET(DMAV_Modell!$N$6,B655-1,0)))-FIND("]",CELL("adresse",OFFSET(DMAV_Modell!$N$6,B655-1,0)))),"Modell"))</f>
        <v>Modell</v>
      </c>
      <c r="K655" s="61" t="str" cm="1">
        <f t="array" ref="K655">IF($B655=0,IF($E655=0,"",IF(INDEX(DMAV_Dienste!P$6:P$140,$E655)="","",INDEX(DMAV_Dienste!P$6:P$140,$E655))),IF(INDEX(DMAV_Modell!Q$6:Q$838,$B655)="","",INDEX(DMAV_Modell!Q$6:Q$838,$B655)))</f>
        <v>CLASS</v>
      </c>
      <c r="L655" s="62" t="str" cm="1">
        <f t="array" ref="L655">IF($B655=0,IF($E655=0,"",IF(INDEX(DMAV_Dienste!O$6:O$140,$E655)="","",INDEX(DMAV_Dienste!O$6:O$140,$E655))),IF(INDEX(DMAV_Modell!P$6:P$838,$B655)="","",INDEX(DMAV_Modell!P$6:P$838,$B655)))</f>
        <v>DauerndeBodenverschiebungen</v>
      </c>
      <c r="M655" s="62" t="str" cm="1">
        <f t="array" ref="M655">IF($B655=0,IF($E655=0,"",IF(INDEX(DMAV_Dienste!Q$6:Q$140,$E655)="","",INDEX(DMAV_Dienste!Q$6:Q$140,$E655))),IF(INDEX(DMAV_Modell!R$6:R$838,$B655)="","",INDEX(DMAV_Modell!R$6:R$838,$B655)))</f>
        <v>DauerndeBodenverschiebung</v>
      </c>
      <c r="N655" s="62" t="str" cm="1">
        <f t="array" ref="N655">IF($B655=0,IF($E655=0,"",IF(INDEX(DMAV_Dienste!T$6:T$140,$E655)="","",INDEX(DMAV_Dienste!T$6:T$140,$E655))),IF(INDEX(DMAV_Modell!U$6:U$838,$B655)="","",INDEX(DMAV_Modell!U$6:U$838,$B655)))</f>
        <v>Textposition</v>
      </c>
      <c r="O655" s="63" t="str" cm="1">
        <f t="array" aca="1" ref="O655" ca="1">IF(C655=0,IF(F655=0,"",HYPERLINK("#"&amp;RIGHT(CELL("adresse",OFFSET(DMAV_Dienste!$M$6,F655-1,0)),LEN(CELL("adresse",OFFSET(DMAV_Dienste!$M$6,F655-1,0)))-FIND("]",CELL("adresse",OFFSET(DMAV_Dienste!$M$6,F655-1,0)))),"Structure")),HYPERLINK("#"&amp;RIGHT(CELL("adresse",OFFSET(DMAV_Modell!$N$6,C655-1,0)),LEN(CELL("adresse",OFFSET(DMAV_Modell!$N$6,C655-1,0)))-FIND("]",CELL("adresse",OFFSET(DMAV_Modell!$N$6,C655-1,0)))),"Structure"))</f>
        <v>Structure</v>
      </c>
      <c r="P655" s="64" t="str" cm="1">
        <f t="array" aca="1" ref="P655" ca="1">IF(D655=0,IF(G655=0,"",HYPERLINK("#"&amp;RIGHT(CELL("adresse",OFFSET(DMAV_Dienste!$M$6,G655-1,0)),LEN(CELL("adresse",OFFSET(DMAV_Dienste!$M$6,G655-1,0)))-FIND("]",CELL("adresse",OFFSET(DMAV_Dienste!$M$6,G655-1,0)))),"Substructure")),HYPERLINK("#"&amp;RIGHT(CELL("adresse",OFFSET(DMAV_Modell!$N$6,D655-1,0)),LEN(CELL("adresse",OFFSET(DMAV_Modell!$N$6,D655-1,0)))-FIND("]",CELL("adresse",OFFSET(DMAV_Modell!$N$6,D655-1,0)))),"Substructure"))</f>
        <v>Substructure</v>
      </c>
      <c r="R655" s="80"/>
      <c r="T655" s="93"/>
      <c r="U655" s="94" t="s">
        <v>2980</v>
      </c>
      <c r="V655" s="95" t="s">
        <v>3148</v>
      </c>
      <c r="W655" s="96"/>
      <c r="Y655" s="85"/>
      <c r="Z655" s="86"/>
      <c r="AA655" s="87"/>
      <c r="AB655" s="88"/>
      <c r="AD655" s="77"/>
      <c r="AF655" s="54" t="str" cm="1">
        <f t="array" aca="1" ref="AF655" ca="1">IF(H655=0,"",HYPERLINK("#"&amp;RIGHT(CELL("adresse",OFFSET('DM01-AV-CH'!$G$6,H655-1,0)),LEN(CELL("adresse",OFFSET('DM01-AV-CH'!$G$6,H655-1,0)))-FIND("]",CELL("adresse",OFFSET('DM01-AV-CH'!$G$6,H655-1,0)))),"Modell"))</f>
        <v>Modell</v>
      </c>
      <c r="AG655" s="72" t="str" cm="1">
        <f t="array" ref="AG655">IF($H655=0,"",IF(INDEX('DM01-AV-CH'!G$6:G$834,$H655)="","",INDEX('DM01-AV-CH'!G$6:G$834,$H655)))</f>
        <v>Rutschgebiete</v>
      </c>
      <c r="AH655" s="73" t="str" cm="1">
        <f t="array" ref="AH655">IF($H655=0,"",IF(INDEX('DM01-AV-CH'!H$6:H$834,$H655)="","",INDEX('DM01-AV-CH'!H$6:H$834,$H655)))</f>
        <v>RutschungPos</v>
      </c>
      <c r="AI655" s="74" t="str" cm="1">
        <f t="array" ref="AI655">IF($H655=0,"",IF(INDEX('DM01-AV-CH'!I$6:I$834,$H655)="","",INDEX('DM01-AV-CH'!I$6:I$834,$H655)))</f>
        <v>HAli</v>
      </c>
    </row>
    <row r="656" spans="1:35" ht="42.75" x14ac:dyDescent="0.25">
      <c r="A656" s="57">
        <v>651</v>
      </c>
      <c r="B656" s="57">
        <f>IF($A656="","",IF(_xlfn.XLOOKUP($A656,Korrelation!$D$4:$D$1197,Korrelation!E$4:E$1197,"-",0)="-",0,MATCH(_xlfn.XLOOKUP($A656,Korrelation!$D$4:$D$1197,Korrelation!E$4:E$1197,"",0),DMAV_Modell!$G$6:$G$677,0)))</f>
        <v>355</v>
      </c>
      <c r="C656" s="57">
        <f>IF($A656="","",IF(_xlfn.XLOOKUP($A656,Korrelation!$D$4:$D$1197,Korrelation!F$4:F$1197,"-",0)="-",0,MATCH(_xlfn.XLOOKUP($A656,Korrelation!$D$4:$D$1197,Korrelation!F$4:F$1197,"",0),DMAV_Modell!$G$6:$G$677,0)))</f>
        <v>26</v>
      </c>
      <c r="D656" s="57">
        <f>IF($A656="","",IF(_xlfn.XLOOKUP($A656,Korrelation!$D$4:$D$1197,Korrelation!G$4:G$1197,"-",0)="-",0,MATCH(_xlfn.XLOOKUP($A656,Korrelation!$D$4:$D$1197,Korrelation!G$4:G$1197,"",0),DMAV_Modell!$G$6:$G$677,0)))</f>
        <v>31</v>
      </c>
      <c r="E656" s="57">
        <f>IF($A656="","",IF(_xlfn.XLOOKUP($A656,Korrelation!$D$4:$D$1197,Korrelation!H$4:H$1197,"-",0)="-",0,MATCH(_xlfn.XLOOKUP($A656,Korrelation!$D$4:$D$1197,Korrelation!H$4:H$1197,"",0),DMAV_Dienste!$F$6:$F$140,0)))</f>
        <v>0</v>
      </c>
      <c r="F656" s="57">
        <f>IF($A656="","",IF(_xlfn.XLOOKUP($A656,Korrelation!$D$4:$D$1197,Korrelation!I$4:I$1197,"-",0)="-",0,MATCH(_xlfn.XLOOKUP($A656,Korrelation!$D$4:$D$1197,Korrelation!I$4:I$1197,"",0),DMAV_Dienste!$F$6:$F$140,0)))</f>
        <v>0</v>
      </c>
      <c r="G656" s="57">
        <f>IF($A656="","",IF(_xlfn.XLOOKUP($A656,Korrelation!$D$4:$D$1197,Korrelation!J$4:J$1197,"-",0)="-",0,MATCH(_xlfn.XLOOKUP($A656,Korrelation!$D$4:$D$1197,Korrelation!J$4:J$1197,"",0),DMAV_Dienste!$F$6:$F$140,0)))</f>
        <v>0</v>
      </c>
      <c r="H656" s="57">
        <f>IF($A656="","",IF(_xlfn.XLOOKUP($A656,Korrelation!$D$4:$D$1197,Korrelation!K$4:K$1197,"-",0)="-",0,MATCH(_xlfn.XLOOKUP($A656,Korrelation!$D$4:$D$1197,Korrelation!K$4:K$1197,"",0),'DM01-AV-CH'!$A$6:$A$834,0)))</f>
        <v>657</v>
      </c>
      <c r="J656" s="54" t="str" cm="1">
        <f t="array" aca="1" ref="J656" ca="1">IF(B656=0,IF(E656=0,"",HYPERLINK("#"&amp;RIGHT(CELL("adresse",OFFSET(DMAV_Dienste!$M$6,E656-1,0)),LEN(CELL("adresse",OFFSET(DMAV_Dienste!$M$6,E656-1,0)))-FIND("]",CELL("adresse",OFFSET(DMAV_Dienste!$M$6,E656-1,0)))),"Dienst")),HYPERLINK("#"&amp;RIGHT(CELL("adresse",OFFSET(DMAV_Modell!$N$6,B656-1,0)),LEN(CELL("adresse",OFFSET(DMAV_Modell!$N$6,B656-1,0)))-FIND("]",CELL("adresse",OFFSET(DMAV_Modell!$N$6,B656-1,0)))),"Modell"))</f>
        <v>Modell</v>
      </c>
      <c r="K656" s="61" t="str" cm="1">
        <f t="array" ref="K656">IF($B656=0,IF($E656=0,"",IF(INDEX(DMAV_Dienste!P$6:P$140,$E656)="","",INDEX(DMAV_Dienste!P$6:P$140,$E656))),IF(INDEX(DMAV_Modell!Q$6:Q$838,$B656)="","",INDEX(DMAV_Modell!Q$6:Q$838,$B656)))</f>
        <v>CLASS</v>
      </c>
      <c r="L656" s="62" t="str" cm="1">
        <f t="array" ref="L656">IF($B656=0,IF($E656=0,"",IF(INDEX(DMAV_Dienste!O$6:O$140,$E656)="","",INDEX(DMAV_Dienste!O$6:O$140,$E656))),IF(INDEX(DMAV_Modell!P$6:P$838,$B656)="","",INDEX(DMAV_Modell!P$6:P$838,$B656)))</f>
        <v>DauerndeBodenverschiebungen</v>
      </c>
      <c r="M656" s="62" t="str" cm="1">
        <f t="array" ref="M656">IF($B656=0,IF($E656=0,"",IF(INDEX(DMAV_Dienste!Q$6:Q$140,$E656)="","",INDEX(DMAV_Dienste!Q$6:Q$140,$E656))),IF(INDEX(DMAV_Modell!R$6:R$838,$B656)="","",INDEX(DMAV_Modell!R$6:R$838,$B656)))</f>
        <v>DauerndeBodenverschiebung</v>
      </c>
      <c r="N656" s="62" t="str" cm="1">
        <f t="array" ref="N656">IF($B656=0,IF($E656=0,"",IF(INDEX(DMAV_Dienste!T$6:T$140,$E656)="","",INDEX(DMAV_Dienste!T$6:T$140,$E656))),IF(INDEX(DMAV_Modell!U$6:U$838,$B656)="","",INDEX(DMAV_Modell!U$6:U$838,$B656)))</f>
        <v>Textposition</v>
      </c>
      <c r="O656" s="63" t="str" cm="1">
        <f t="array" aca="1" ref="O656" ca="1">IF(C656=0,IF(F656=0,"",HYPERLINK("#"&amp;RIGHT(CELL("adresse",OFFSET(DMAV_Dienste!$M$6,F656-1,0)),LEN(CELL("adresse",OFFSET(DMAV_Dienste!$M$6,F656-1,0)))-FIND("]",CELL("adresse",OFFSET(DMAV_Dienste!$M$6,F656-1,0)))),"Structure")),HYPERLINK("#"&amp;RIGHT(CELL("adresse",OFFSET(DMAV_Modell!$N$6,C656-1,0)),LEN(CELL("adresse",OFFSET(DMAV_Modell!$N$6,C656-1,0)))-FIND("]",CELL("adresse",OFFSET(DMAV_Modell!$N$6,C656-1,0)))),"Structure"))</f>
        <v>Structure</v>
      </c>
      <c r="P656" s="64" t="str" cm="1">
        <f t="array" aca="1" ref="P656" ca="1">IF(D656=0,IF(G656=0,"",HYPERLINK("#"&amp;RIGHT(CELL("adresse",OFFSET(DMAV_Dienste!$M$6,G656-1,0)),LEN(CELL("adresse",OFFSET(DMAV_Dienste!$M$6,G656-1,0)))-FIND("]",CELL("adresse",OFFSET(DMAV_Dienste!$M$6,G656-1,0)))),"Substructure")),HYPERLINK("#"&amp;RIGHT(CELL("adresse",OFFSET(DMAV_Modell!$N$6,D656-1,0)),LEN(CELL("adresse",OFFSET(DMAV_Modell!$N$6,D656-1,0)))-FIND("]",CELL("adresse",OFFSET(DMAV_Modell!$N$6,D656-1,0)))),"Substructure"))</f>
        <v>Substructure</v>
      </c>
      <c r="R656" s="80"/>
      <c r="T656" s="93"/>
      <c r="U656" s="94" t="s">
        <v>2980</v>
      </c>
      <c r="V656" s="95" t="s">
        <v>3149</v>
      </c>
      <c r="W656" s="96"/>
      <c r="Y656" s="85"/>
      <c r="Z656" s="86"/>
      <c r="AA656" s="87"/>
      <c r="AB656" s="88"/>
      <c r="AD656" s="77"/>
      <c r="AF656" s="54" t="str" cm="1">
        <f t="array" aca="1" ref="AF656" ca="1">IF(H656=0,"",HYPERLINK("#"&amp;RIGHT(CELL("adresse",OFFSET('DM01-AV-CH'!$G$6,H656-1,0)),LEN(CELL("adresse",OFFSET('DM01-AV-CH'!$G$6,H656-1,0)))-FIND("]",CELL("adresse",OFFSET('DM01-AV-CH'!$G$6,H656-1,0)))),"Modell"))</f>
        <v>Modell</v>
      </c>
      <c r="AG656" s="72" t="str" cm="1">
        <f t="array" ref="AG656">IF($H656=0,"",IF(INDEX('DM01-AV-CH'!G$6:G$834,$H656)="","",INDEX('DM01-AV-CH'!G$6:G$834,$H656)))</f>
        <v>Rutschgebiete</v>
      </c>
      <c r="AH656" s="73" t="str" cm="1">
        <f t="array" ref="AH656">IF($H656=0,"",IF(INDEX('DM01-AV-CH'!H$6:H$834,$H656)="","",INDEX('DM01-AV-CH'!H$6:H$834,$H656)))</f>
        <v>RutschungPos</v>
      </c>
      <c r="AI656" s="74" t="str" cm="1">
        <f t="array" ref="AI656">IF($H656=0,"",IF(INDEX('DM01-AV-CH'!I$6:I$834,$H656)="","",INDEX('DM01-AV-CH'!I$6:I$834,$H656)))</f>
        <v>VAli</v>
      </c>
    </row>
    <row r="657" spans="1:35" ht="42.75" x14ac:dyDescent="0.25">
      <c r="A657" s="57">
        <v>652</v>
      </c>
      <c r="B657" s="57">
        <f>IF($A657="","",IF(_xlfn.XLOOKUP($A657,Korrelation!$D$4:$D$1197,Korrelation!E$4:E$1197,"-",0)="-",0,MATCH(_xlfn.XLOOKUP($A657,Korrelation!$D$4:$D$1197,Korrelation!E$4:E$1197,"",0),DMAV_Modell!$G$6:$G$677,0)))</f>
        <v>355</v>
      </c>
      <c r="C657" s="57">
        <f>IF($A657="","",IF(_xlfn.XLOOKUP($A657,Korrelation!$D$4:$D$1197,Korrelation!F$4:F$1197,"-",0)="-",0,MATCH(_xlfn.XLOOKUP($A657,Korrelation!$D$4:$D$1197,Korrelation!F$4:F$1197,"",0),DMAV_Modell!$G$6:$G$677,0)))</f>
        <v>26</v>
      </c>
      <c r="D657" s="57">
        <f>IF($A657="","",IF(_xlfn.XLOOKUP($A657,Korrelation!$D$4:$D$1197,Korrelation!G$4:G$1197,"-",0)="-",0,MATCH(_xlfn.XLOOKUP($A657,Korrelation!$D$4:$D$1197,Korrelation!G$4:G$1197,"",0),DMAV_Modell!$G$6:$G$677,0)))</f>
        <v>29</v>
      </c>
      <c r="E657" s="57">
        <f>IF($A657="","",IF(_xlfn.XLOOKUP($A657,Korrelation!$D$4:$D$1197,Korrelation!H$4:H$1197,"-",0)="-",0,MATCH(_xlfn.XLOOKUP($A657,Korrelation!$D$4:$D$1197,Korrelation!H$4:H$1197,"",0),DMAV_Dienste!$F$6:$F$140,0)))</f>
        <v>0</v>
      </c>
      <c r="F657" s="57">
        <f>IF($A657="","",IF(_xlfn.XLOOKUP($A657,Korrelation!$D$4:$D$1197,Korrelation!I$4:I$1197,"-",0)="-",0,MATCH(_xlfn.XLOOKUP($A657,Korrelation!$D$4:$D$1197,Korrelation!I$4:I$1197,"",0),DMAV_Dienste!$F$6:$F$140,0)))</f>
        <v>0</v>
      </c>
      <c r="G657" s="57">
        <f>IF($A657="","",IF(_xlfn.XLOOKUP($A657,Korrelation!$D$4:$D$1197,Korrelation!J$4:J$1197,"-",0)="-",0,MATCH(_xlfn.XLOOKUP($A657,Korrelation!$D$4:$D$1197,Korrelation!J$4:J$1197,"",0),DMAV_Dienste!$F$6:$F$140,0)))</f>
        <v>0</v>
      </c>
      <c r="H657" s="57">
        <f>IF($A657="","",IF(_xlfn.XLOOKUP($A657,Korrelation!$D$4:$D$1197,Korrelation!K$4:K$1197,"-",0)="-",0,MATCH(_xlfn.XLOOKUP($A657,Korrelation!$D$4:$D$1197,Korrelation!K$4:K$1197,"",0),'DM01-AV-CH'!$A$6:$A$834,0)))</f>
        <v>658</v>
      </c>
      <c r="J657" s="54" t="str" cm="1">
        <f t="array" aca="1" ref="J657" ca="1">IF(B657=0,IF(E657=0,"",HYPERLINK("#"&amp;RIGHT(CELL("adresse",OFFSET(DMAV_Dienste!$M$6,E657-1,0)),LEN(CELL("adresse",OFFSET(DMAV_Dienste!$M$6,E657-1,0)))-FIND("]",CELL("adresse",OFFSET(DMAV_Dienste!$M$6,E657-1,0)))),"Dienst")),HYPERLINK("#"&amp;RIGHT(CELL("adresse",OFFSET(DMAV_Modell!$N$6,B657-1,0)),LEN(CELL("adresse",OFFSET(DMAV_Modell!$N$6,B657-1,0)))-FIND("]",CELL("adresse",OFFSET(DMAV_Modell!$N$6,B657-1,0)))),"Modell"))</f>
        <v>Modell</v>
      </c>
      <c r="K657" s="61" t="str" cm="1">
        <f t="array" ref="K657">IF($B657=0,IF($E657=0,"",IF(INDEX(DMAV_Dienste!P$6:P$140,$E657)="","",INDEX(DMAV_Dienste!P$6:P$140,$E657))),IF(INDEX(DMAV_Modell!Q$6:Q$838,$B657)="","",INDEX(DMAV_Modell!Q$6:Q$838,$B657)))</f>
        <v>CLASS</v>
      </c>
      <c r="L657" s="62" t="str" cm="1">
        <f t="array" ref="L657">IF($B657=0,IF($E657=0,"",IF(INDEX(DMAV_Dienste!O$6:O$140,$E657)="","",INDEX(DMAV_Dienste!O$6:O$140,$E657))),IF(INDEX(DMAV_Modell!P$6:P$838,$B657)="","",INDEX(DMAV_Modell!P$6:P$838,$B657)))</f>
        <v>DauerndeBodenverschiebungen</v>
      </c>
      <c r="M657" s="62" t="str" cm="1">
        <f t="array" ref="M657">IF($B657=0,IF($E657=0,"",IF(INDEX(DMAV_Dienste!Q$6:Q$140,$E657)="","",INDEX(DMAV_Dienste!Q$6:Q$140,$E657))),IF(INDEX(DMAV_Modell!R$6:R$838,$B657)="","",INDEX(DMAV_Modell!R$6:R$838,$B657)))</f>
        <v>DauerndeBodenverschiebung</v>
      </c>
      <c r="N657" s="62" t="str" cm="1">
        <f t="array" ref="N657">IF($B657=0,IF($E657=0,"",IF(INDEX(DMAV_Dienste!T$6:T$140,$E657)="","",INDEX(DMAV_Dienste!T$6:T$140,$E657))),IF(INDEX(DMAV_Modell!U$6:U$838,$B657)="","",INDEX(DMAV_Modell!U$6:U$838,$B657)))</f>
        <v>Textposition</v>
      </c>
      <c r="O657" s="63" t="str" cm="1">
        <f t="array" aca="1" ref="O657" ca="1">IF(C657=0,IF(F657=0,"",HYPERLINK("#"&amp;RIGHT(CELL("adresse",OFFSET(DMAV_Dienste!$M$6,F657-1,0)),LEN(CELL("adresse",OFFSET(DMAV_Dienste!$M$6,F657-1,0)))-FIND("]",CELL("adresse",OFFSET(DMAV_Dienste!$M$6,F657-1,0)))),"Structure")),HYPERLINK("#"&amp;RIGHT(CELL("adresse",OFFSET(DMAV_Modell!$N$6,C657-1,0)),LEN(CELL("adresse",OFFSET(DMAV_Modell!$N$6,C657-1,0)))-FIND("]",CELL("adresse",OFFSET(DMAV_Modell!$N$6,C657-1,0)))),"Structure"))</f>
        <v>Structure</v>
      </c>
      <c r="P657" s="64" t="str" cm="1">
        <f t="array" aca="1" ref="P657" ca="1">IF(D657=0,IF(G657=0,"",HYPERLINK("#"&amp;RIGHT(CELL("adresse",OFFSET(DMAV_Dienste!$M$6,G657-1,0)),LEN(CELL("adresse",OFFSET(DMAV_Dienste!$M$6,G657-1,0)))-FIND("]",CELL("adresse",OFFSET(DMAV_Dienste!$M$6,G657-1,0)))),"Substructure")),HYPERLINK("#"&amp;RIGHT(CELL("adresse",OFFSET(DMAV_Modell!$N$6,D657-1,0)),LEN(CELL("adresse",OFFSET(DMAV_Modell!$N$6,D657-1,0)))-FIND("]",CELL("adresse",OFFSET(DMAV_Modell!$N$6,D657-1,0)))),"Substructure"))</f>
        <v>Substructure</v>
      </c>
      <c r="R657" s="80"/>
      <c r="T657" s="93"/>
      <c r="U657" s="94" t="s">
        <v>2980</v>
      </c>
      <c r="V657" s="95" t="s">
        <v>3150</v>
      </c>
      <c r="W657" s="96"/>
      <c r="Y657" s="85"/>
      <c r="Z657" s="86"/>
      <c r="AA657" s="87"/>
      <c r="AB657" s="88"/>
      <c r="AD657" s="77"/>
      <c r="AF657" s="54" t="str" cm="1">
        <f t="array" aca="1" ref="AF657" ca="1">IF(H657=0,"",HYPERLINK("#"&amp;RIGHT(CELL("adresse",OFFSET('DM01-AV-CH'!$G$6,H657-1,0)),LEN(CELL("adresse",OFFSET('DM01-AV-CH'!$G$6,H657-1,0)))-FIND("]",CELL("adresse",OFFSET('DM01-AV-CH'!$G$6,H657-1,0)))),"Modell"))</f>
        <v>Modell</v>
      </c>
      <c r="AG657" s="72" t="str" cm="1">
        <f t="array" ref="AG657">IF($H657=0,"",IF(INDEX('DM01-AV-CH'!G$6:G$834,$H657)="","",INDEX('DM01-AV-CH'!G$6:G$834,$H657)))</f>
        <v>Rutschgebiete</v>
      </c>
      <c r="AH657" s="73" t="str" cm="1">
        <f t="array" ref="AH657">IF($H657=0,"",IF(INDEX('DM01-AV-CH'!H$6:H$834,$H657)="","",INDEX('DM01-AV-CH'!H$6:H$834,$H657)))</f>
        <v>RutschungPos</v>
      </c>
      <c r="AI657" s="74" t="str" cm="1">
        <f t="array" ref="AI657">IF($H657=0,"",IF(INDEX('DM01-AV-CH'!I$6:I$834,$H657)="","",INDEX('DM01-AV-CH'!I$6:I$834,$H657)))</f>
        <v>Groesse</v>
      </c>
    </row>
    <row r="658" spans="1:35" x14ac:dyDescent="0.25">
      <c r="A658" s="57">
        <v>653</v>
      </c>
      <c r="B658" s="57">
        <f>IF($A658="","",IF(_xlfn.XLOOKUP($A658,Korrelation!$D$4:$D$1197,Korrelation!E$4:E$1197,"-",0)="-",0,MATCH(_xlfn.XLOOKUP($A658,Korrelation!$D$4:$D$1197,Korrelation!E$4:E$1197,"",0),DMAV_Modell!$G$6:$G$677,0)))</f>
        <v>356</v>
      </c>
      <c r="C658" s="57">
        <f>IF($A658="","",IF(_xlfn.XLOOKUP($A658,Korrelation!$D$4:$D$1197,Korrelation!F$4:F$1197,"-",0)="-",0,MATCH(_xlfn.XLOOKUP($A658,Korrelation!$D$4:$D$1197,Korrelation!F$4:F$1197,"",0),DMAV_Modell!$G$6:$G$677,0)))</f>
        <v>0</v>
      </c>
      <c r="D658" s="57">
        <f>IF($A658="","",IF(_xlfn.XLOOKUP($A658,Korrelation!$D$4:$D$1197,Korrelation!G$4:G$1197,"-",0)="-",0,MATCH(_xlfn.XLOOKUP($A658,Korrelation!$D$4:$D$1197,Korrelation!G$4:G$1197,"",0),DMAV_Modell!$G$6:$G$677,0)))</f>
        <v>0</v>
      </c>
      <c r="E658" s="57">
        <f>IF($A658="","",IF(_xlfn.XLOOKUP($A658,Korrelation!$D$4:$D$1197,Korrelation!H$4:H$1197,"-",0)="-",0,MATCH(_xlfn.XLOOKUP($A658,Korrelation!$D$4:$D$1197,Korrelation!H$4:H$1197,"",0),DMAV_Dienste!$F$6:$F$140,0)))</f>
        <v>0</v>
      </c>
      <c r="F658" s="57">
        <f>IF($A658="","",IF(_xlfn.XLOOKUP($A658,Korrelation!$D$4:$D$1197,Korrelation!I$4:I$1197,"-",0)="-",0,MATCH(_xlfn.XLOOKUP($A658,Korrelation!$D$4:$D$1197,Korrelation!I$4:I$1197,"",0),DMAV_Dienste!$F$6:$F$140,0)))</f>
        <v>0</v>
      </c>
      <c r="G658" s="57">
        <f>IF($A658="","",IF(_xlfn.XLOOKUP($A658,Korrelation!$D$4:$D$1197,Korrelation!J$4:J$1197,"-",0)="-",0,MATCH(_xlfn.XLOOKUP($A658,Korrelation!$D$4:$D$1197,Korrelation!J$4:J$1197,"",0),DMAV_Dienste!$F$6:$F$140,0)))</f>
        <v>0</v>
      </c>
      <c r="H658" s="57">
        <f>IF($A658="","",IF(_xlfn.XLOOKUP($A658,Korrelation!$D$4:$D$1197,Korrelation!K$4:K$1197,"-",0)="-",0,MATCH(_xlfn.XLOOKUP($A658,Korrelation!$D$4:$D$1197,Korrelation!K$4:K$1197,"",0),'DM01-AV-CH'!$A$6:$A$834,0)))</f>
        <v>0</v>
      </c>
      <c r="J658" s="54" t="str" cm="1">
        <f t="array" aca="1" ref="J658" ca="1">IF(B658=0,IF(E658=0,"",HYPERLINK("#"&amp;RIGHT(CELL("adresse",OFFSET(DMAV_Dienste!$M$6,E658-1,0)),LEN(CELL("adresse",OFFSET(DMAV_Dienste!$M$6,E658-1,0)))-FIND("]",CELL("adresse",OFFSET(DMAV_Dienste!$M$6,E658-1,0)))),"Dienst")),HYPERLINK("#"&amp;RIGHT(CELL("adresse",OFFSET(DMAV_Modell!$N$6,B658-1,0)),LEN(CELL("adresse",OFFSET(DMAV_Modell!$N$6,B658-1,0)))-FIND("]",CELL("adresse",OFFSET(DMAV_Modell!$N$6,B658-1,0)))),"Modell"))</f>
        <v>Modell</v>
      </c>
      <c r="K658" s="61" t="str" cm="1">
        <f t="array" ref="K658">IF($B658=0,IF($E658=0,"",IF(INDEX(DMAV_Dienste!P$6:P$140,$E658)="","",INDEX(DMAV_Dienste!P$6:P$140,$E658))),IF(INDEX(DMAV_Modell!Q$6:Q$838,$B658)="","",INDEX(DMAV_Modell!Q$6:Q$838,$B658)))</f>
        <v>ASSOCIATION</v>
      </c>
      <c r="L658" s="62" t="str" cm="1">
        <f t="array" ref="L658">IF($B658=0,IF($E658=0,"",IF(INDEX(DMAV_Dienste!O$6:O$140,$E658)="","",INDEX(DMAV_Dienste!O$6:O$140,$E658))),IF(INDEX(DMAV_Modell!P$6:P$838,$B658)="","",INDEX(DMAV_Modell!P$6:P$838,$B658)))</f>
        <v>DauerndeBodenverschiebungen</v>
      </c>
      <c r="M658" s="62" t="str" cm="1">
        <f t="array" ref="M658">IF($B658=0,IF($E658=0,"",IF(INDEX(DMAV_Dienste!Q$6:Q$140,$E658)="","",INDEX(DMAV_Dienste!Q$6:Q$140,$E658))),IF(INDEX(DMAV_Modell!R$6:R$838,$B658)="","",INDEX(DMAV_Modell!R$6:R$838,$B658)))</f>
        <v>Entstehung_DauerndeBodenverschiebung</v>
      </c>
      <c r="N658" s="62" t="str" cm="1">
        <f t="array" ref="N658">IF($B658=0,IF($E658=0,"",IF(INDEX(DMAV_Dienste!T$6:T$140,$E658)="","",INDEX(DMAV_Dienste!T$6:T$140,$E658))),IF(INDEX(DMAV_Modell!U$6:U$838,$B658)="","",INDEX(DMAV_Modell!U$6:U$838,$B658)))</f>
        <v>Entstehung</v>
      </c>
      <c r="O658" s="63" t="str" cm="1">
        <f t="array" aca="1" ref="O658" ca="1">IF(C658=0,IF(F658=0,"",HYPERLINK("#"&amp;RIGHT(CELL("adresse",OFFSET(DMAV_Dienste!$M$6,F658-1,0)),LEN(CELL("adresse",OFFSET(DMAV_Dienste!$M$6,F658-1,0)))-FIND("]",CELL("adresse",OFFSET(DMAV_Dienste!$M$6,F658-1,0)))),"Structure")),HYPERLINK("#"&amp;RIGHT(CELL("adresse",OFFSET(DMAV_Modell!$N$6,C658-1,0)),LEN(CELL("adresse",OFFSET(DMAV_Modell!$N$6,C658-1,0)))-FIND("]",CELL("adresse",OFFSET(DMAV_Modell!$N$6,C658-1,0)))),"Structure"))</f>
        <v/>
      </c>
      <c r="P658" s="64" t="str" cm="1">
        <f t="array" aca="1" ref="P658" ca="1">IF(D658=0,IF(G658=0,"",HYPERLINK("#"&amp;RIGHT(CELL("adresse",OFFSET(DMAV_Dienste!$M$6,G658-1,0)),LEN(CELL("adresse",OFFSET(DMAV_Dienste!$M$6,G658-1,0)))-FIND("]",CELL("adresse",OFFSET(DMAV_Dienste!$M$6,G658-1,0)))),"Substructure")),HYPERLINK("#"&amp;RIGHT(CELL("adresse",OFFSET(DMAV_Modell!$N$6,D658-1,0)),LEN(CELL("adresse",OFFSET(DMAV_Modell!$N$6,D658-1,0)))-FIND("]",CELL("adresse",OFFSET(DMAV_Modell!$N$6,D658-1,0)))),"Substructure"))</f>
        <v/>
      </c>
      <c r="R658" s="80"/>
      <c r="T658" s="93"/>
      <c r="U658" s="94"/>
      <c r="V658" s="95"/>
      <c r="W658" s="96"/>
      <c r="Y658" s="85"/>
      <c r="Z658" s="86"/>
      <c r="AA658" s="87"/>
      <c r="AB658" s="88"/>
      <c r="AD658" s="77"/>
      <c r="AF658" s="54" t="str" cm="1">
        <f t="array" aca="1" ref="AF658" ca="1">IF(H658=0,"",HYPERLINK("#"&amp;RIGHT(CELL("adresse",OFFSET('DM01-AV-CH'!$G$6,H658-1,0)),LEN(CELL("adresse",OFFSET('DM01-AV-CH'!$G$6,H658-1,0)))-FIND("]",CELL("adresse",OFFSET('DM01-AV-CH'!$G$6,H658-1,0)))),"Modell"))</f>
        <v/>
      </c>
      <c r="AG658" s="72" t="str" cm="1">
        <f t="array" ref="AG658">IF($H658=0,"",IF(INDEX('DM01-AV-CH'!G$6:G$834,$H658)="","",INDEX('DM01-AV-CH'!G$6:G$834,$H658)))</f>
        <v/>
      </c>
      <c r="AH658" s="73" t="str" cm="1">
        <f t="array" ref="AH658">IF($H658=0,"",IF(INDEX('DM01-AV-CH'!H$6:H$834,$H658)="","",INDEX('DM01-AV-CH'!H$6:H$834,$H658)))</f>
        <v/>
      </c>
      <c r="AI658" s="74" t="str" cm="1">
        <f t="array" ref="AI658">IF($H658=0,"",IF(INDEX('DM01-AV-CH'!I$6:I$834,$H658)="","",INDEX('DM01-AV-CH'!I$6:I$834,$H658)))</f>
        <v/>
      </c>
    </row>
    <row r="659" spans="1:35" x14ac:dyDescent="0.25">
      <c r="A659" s="57">
        <v>654</v>
      </c>
      <c r="B659" s="57">
        <f>IF($A659="","",IF(_xlfn.XLOOKUP($A659,Korrelation!$D$4:$D$1197,Korrelation!E$4:E$1197,"-",0)="-",0,MATCH(_xlfn.XLOOKUP($A659,Korrelation!$D$4:$D$1197,Korrelation!E$4:E$1197,"",0),DMAV_Modell!$G$6:$G$677,0)))</f>
        <v>357</v>
      </c>
      <c r="C659" s="57">
        <f>IF($A659="","",IF(_xlfn.XLOOKUP($A659,Korrelation!$D$4:$D$1197,Korrelation!F$4:F$1197,"-",0)="-",0,MATCH(_xlfn.XLOOKUP($A659,Korrelation!$D$4:$D$1197,Korrelation!F$4:F$1197,"",0),DMAV_Modell!$G$6:$G$677,0)))</f>
        <v>0</v>
      </c>
      <c r="D659" s="57">
        <f>IF($A659="","",IF(_xlfn.XLOOKUP($A659,Korrelation!$D$4:$D$1197,Korrelation!G$4:G$1197,"-",0)="-",0,MATCH(_xlfn.XLOOKUP($A659,Korrelation!$D$4:$D$1197,Korrelation!G$4:G$1197,"",0),DMAV_Modell!$G$6:$G$677,0)))</f>
        <v>0</v>
      </c>
      <c r="E659" s="57">
        <f>IF($A659="","",IF(_xlfn.XLOOKUP($A659,Korrelation!$D$4:$D$1197,Korrelation!H$4:H$1197,"-",0)="-",0,MATCH(_xlfn.XLOOKUP($A659,Korrelation!$D$4:$D$1197,Korrelation!H$4:H$1197,"",0),DMAV_Dienste!$F$6:$F$140,0)))</f>
        <v>0</v>
      </c>
      <c r="F659" s="57">
        <f>IF($A659="","",IF(_xlfn.XLOOKUP($A659,Korrelation!$D$4:$D$1197,Korrelation!I$4:I$1197,"-",0)="-",0,MATCH(_xlfn.XLOOKUP($A659,Korrelation!$D$4:$D$1197,Korrelation!I$4:I$1197,"",0),DMAV_Dienste!$F$6:$F$140,0)))</f>
        <v>0</v>
      </c>
      <c r="G659" s="57">
        <f>IF($A659="","",IF(_xlfn.XLOOKUP($A659,Korrelation!$D$4:$D$1197,Korrelation!J$4:J$1197,"-",0)="-",0,MATCH(_xlfn.XLOOKUP($A659,Korrelation!$D$4:$D$1197,Korrelation!J$4:J$1197,"",0),DMAV_Dienste!$F$6:$F$140,0)))</f>
        <v>0</v>
      </c>
      <c r="H659" s="57">
        <f>IF($A659="","",IF(_xlfn.XLOOKUP($A659,Korrelation!$D$4:$D$1197,Korrelation!K$4:K$1197,"-",0)="-",0,MATCH(_xlfn.XLOOKUP($A659,Korrelation!$D$4:$D$1197,Korrelation!K$4:K$1197,"",0),'DM01-AV-CH'!$A$6:$A$834,0)))</f>
        <v>0</v>
      </c>
      <c r="J659" s="54" t="str" cm="1">
        <f t="array" aca="1" ref="J659" ca="1">IF(B659=0,IF(E659=0,"",HYPERLINK("#"&amp;RIGHT(CELL("adresse",OFFSET(DMAV_Dienste!$M$6,E659-1,0)),LEN(CELL("adresse",OFFSET(DMAV_Dienste!$M$6,E659-1,0)))-FIND("]",CELL("adresse",OFFSET(DMAV_Dienste!$M$6,E659-1,0)))),"Dienst")),HYPERLINK("#"&amp;RIGHT(CELL("adresse",OFFSET(DMAV_Modell!$N$6,B659-1,0)),LEN(CELL("adresse",OFFSET(DMAV_Modell!$N$6,B659-1,0)))-FIND("]",CELL("adresse",OFFSET(DMAV_Modell!$N$6,B659-1,0)))),"Modell"))</f>
        <v>Modell</v>
      </c>
      <c r="K659" s="61" t="str" cm="1">
        <f t="array" ref="K659">IF($B659=0,IF($E659=0,"",IF(INDEX(DMAV_Dienste!P$6:P$140,$E659)="","",INDEX(DMAV_Dienste!P$6:P$140,$E659))),IF(INDEX(DMAV_Modell!Q$6:Q$838,$B659)="","",INDEX(DMAV_Modell!Q$6:Q$838,$B659)))</f>
        <v>ASSOCIATION</v>
      </c>
      <c r="L659" s="62" t="str" cm="1">
        <f t="array" ref="L659">IF($B659=0,IF($E659=0,"",IF(INDEX(DMAV_Dienste!O$6:O$140,$E659)="","",INDEX(DMAV_Dienste!O$6:O$140,$E659))),IF(INDEX(DMAV_Modell!P$6:P$838,$B659)="","",INDEX(DMAV_Modell!P$6:P$838,$B659)))</f>
        <v>DauerndeBodenverschiebungen</v>
      </c>
      <c r="M659" s="62" t="str" cm="1">
        <f t="array" ref="M659">IF($B659=0,IF($E659=0,"",IF(INDEX(DMAV_Dienste!Q$6:Q$140,$E659)="","",INDEX(DMAV_Dienste!Q$6:Q$140,$E659))),IF(INDEX(DMAV_Modell!R$6:R$838,$B659)="","",INDEX(DMAV_Modell!R$6:R$838,$B659)))</f>
        <v>Entstehung_DauerndeBodenverschiebung</v>
      </c>
      <c r="N659" s="62" t="str" cm="1">
        <f t="array" ref="N659">IF($B659=0,IF($E659=0,"",IF(INDEX(DMAV_Dienste!T$6:T$140,$E659)="","",INDEX(DMAV_Dienste!T$6:T$140,$E659))),IF(INDEX(DMAV_Modell!U$6:U$838,$B659)="","",INDEX(DMAV_Modell!U$6:U$838,$B659)))</f>
        <v>entstehende_DauerndeBodenverschiebung</v>
      </c>
      <c r="O659" s="63" t="str" cm="1">
        <f t="array" aca="1" ref="O659" ca="1">IF(C659=0,IF(F659=0,"",HYPERLINK("#"&amp;RIGHT(CELL("adresse",OFFSET(DMAV_Dienste!$M$6,F659-1,0)),LEN(CELL("adresse",OFFSET(DMAV_Dienste!$M$6,F659-1,0)))-FIND("]",CELL("adresse",OFFSET(DMAV_Dienste!$M$6,F659-1,0)))),"Structure")),HYPERLINK("#"&amp;RIGHT(CELL("adresse",OFFSET(DMAV_Modell!$N$6,C659-1,0)),LEN(CELL("adresse",OFFSET(DMAV_Modell!$N$6,C659-1,0)))-FIND("]",CELL("adresse",OFFSET(DMAV_Modell!$N$6,C659-1,0)))),"Structure"))</f>
        <v/>
      </c>
      <c r="P659" s="64" t="str" cm="1">
        <f t="array" aca="1" ref="P659" ca="1">IF(D659=0,IF(G659=0,"",HYPERLINK("#"&amp;RIGHT(CELL("adresse",OFFSET(DMAV_Dienste!$M$6,G659-1,0)),LEN(CELL("adresse",OFFSET(DMAV_Dienste!$M$6,G659-1,0)))-FIND("]",CELL("adresse",OFFSET(DMAV_Dienste!$M$6,G659-1,0)))),"Substructure")),HYPERLINK("#"&amp;RIGHT(CELL("adresse",OFFSET(DMAV_Modell!$N$6,D659-1,0)),LEN(CELL("adresse",OFFSET(DMAV_Modell!$N$6,D659-1,0)))-FIND("]",CELL("adresse",OFFSET(DMAV_Modell!$N$6,D659-1,0)))),"Substructure"))</f>
        <v/>
      </c>
      <c r="R659" s="80"/>
      <c r="T659" s="93"/>
      <c r="U659" s="94"/>
      <c r="V659" s="95"/>
      <c r="W659" s="96"/>
      <c r="Y659" s="85"/>
      <c r="Z659" s="86"/>
      <c r="AA659" s="87"/>
      <c r="AB659" s="88"/>
      <c r="AD659" s="77"/>
      <c r="AF659" s="54" t="str" cm="1">
        <f t="array" aca="1" ref="AF659" ca="1">IF(H659=0,"",HYPERLINK("#"&amp;RIGHT(CELL("adresse",OFFSET('DM01-AV-CH'!$G$6,H659-1,0)),LEN(CELL("adresse",OFFSET('DM01-AV-CH'!$G$6,H659-1,0)))-FIND("]",CELL("adresse",OFFSET('DM01-AV-CH'!$G$6,H659-1,0)))),"Modell"))</f>
        <v/>
      </c>
      <c r="AG659" s="72" t="str" cm="1">
        <f t="array" ref="AG659">IF($H659=0,"",IF(INDEX('DM01-AV-CH'!G$6:G$834,$H659)="","",INDEX('DM01-AV-CH'!G$6:G$834,$H659)))</f>
        <v/>
      </c>
      <c r="AH659" s="73" t="str" cm="1">
        <f t="array" ref="AH659">IF($H659=0,"",IF(INDEX('DM01-AV-CH'!H$6:H$834,$H659)="","",INDEX('DM01-AV-CH'!H$6:H$834,$H659)))</f>
        <v/>
      </c>
      <c r="AI659" s="74" t="str" cm="1">
        <f t="array" ref="AI659">IF($H659=0,"",IF(INDEX('DM01-AV-CH'!I$6:I$834,$H659)="","",INDEX('DM01-AV-CH'!I$6:I$834,$H659)))</f>
        <v/>
      </c>
    </row>
    <row r="660" spans="1:35" x14ac:dyDescent="0.25">
      <c r="A660" s="57">
        <v>655</v>
      </c>
      <c r="B660" s="57">
        <f>IF($A660="","",IF(_xlfn.XLOOKUP($A660,Korrelation!$D$4:$D$1197,Korrelation!E$4:E$1197,"-",0)="-",0,MATCH(_xlfn.XLOOKUP($A660,Korrelation!$D$4:$D$1197,Korrelation!E$4:E$1197,"",0),DMAV_Modell!$G$6:$G$677,0)))</f>
        <v>358</v>
      </c>
      <c r="C660" s="57">
        <f>IF($A660="","",IF(_xlfn.XLOOKUP($A660,Korrelation!$D$4:$D$1197,Korrelation!F$4:F$1197,"-",0)="-",0,MATCH(_xlfn.XLOOKUP($A660,Korrelation!$D$4:$D$1197,Korrelation!F$4:F$1197,"",0),DMAV_Modell!$G$6:$G$677,0)))</f>
        <v>0</v>
      </c>
      <c r="D660" s="57">
        <f>IF($A660="","",IF(_xlfn.XLOOKUP($A660,Korrelation!$D$4:$D$1197,Korrelation!G$4:G$1197,"-",0)="-",0,MATCH(_xlfn.XLOOKUP($A660,Korrelation!$D$4:$D$1197,Korrelation!G$4:G$1197,"",0),DMAV_Modell!$G$6:$G$677,0)))</f>
        <v>0</v>
      </c>
      <c r="E660" s="57">
        <f>IF($A660="","",IF(_xlfn.XLOOKUP($A660,Korrelation!$D$4:$D$1197,Korrelation!H$4:H$1197,"-",0)="-",0,MATCH(_xlfn.XLOOKUP($A660,Korrelation!$D$4:$D$1197,Korrelation!H$4:H$1197,"",0),DMAV_Dienste!$F$6:$F$140,0)))</f>
        <v>0</v>
      </c>
      <c r="F660" s="57">
        <f>IF($A660="","",IF(_xlfn.XLOOKUP($A660,Korrelation!$D$4:$D$1197,Korrelation!I$4:I$1197,"-",0)="-",0,MATCH(_xlfn.XLOOKUP($A660,Korrelation!$D$4:$D$1197,Korrelation!I$4:I$1197,"",0),DMAV_Dienste!$F$6:$F$140,0)))</f>
        <v>0</v>
      </c>
      <c r="G660" s="57">
        <f>IF($A660="","",IF(_xlfn.XLOOKUP($A660,Korrelation!$D$4:$D$1197,Korrelation!J$4:J$1197,"-",0)="-",0,MATCH(_xlfn.XLOOKUP($A660,Korrelation!$D$4:$D$1197,Korrelation!J$4:J$1197,"",0),DMAV_Dienste!$F$6:$F$140,0)))</f>
        <v>0</v>
      </c>
      <c r="H660" s="57">
        <f>IF($A660="","",IF(_xlfn.XLOOKUP($A660,Korrelation!$D$4:$D$1197,Korrelation!K$4:K$1197,"-",0)="-",0,MATCH(_xlfn.XLOOKUP($A660,Korrelation!$D$4:$D$1197,Korrelation!K$4:K$1197,"",0),'DM01-AV-CH'!$A$6:$A$834,0)))</f>
        <v>0</v>
      </c>
      <c r="J660" s="54" t="str" cm="1">
        <f t="array" aca="1" ref="J660" ca="1">IF(B660=0,IF(E660=0,"",HYPERLINK("#"&amp;RIGHT(CELL("adresse",OFFSET(DMAV_Dienste!$M$6,E660-1,0)),LEN(CELL("adresse",OFFSET(DMAV_Dienste!$M$6,E660-1,0)))-FIND("]",CELL("adresse",OFFSET(DMAV_Dienste!$M$6,E660-1,0)))),"Dienst")),HYPERLINK("#"&amp;RIGHT(CELL("adresse",OFFSET(DMAV_Modell!$N$6,B660-1,0)),LEN(CELL("adresse",OFFSET(DMAV_Modell!$N$6,B660-1,0)))-FIND("]",CELL("adresse",OFFSET(DMAV_Modell!$N$6,B660-1,0)))),"Modell"))</f>
        <v>Modell</v>
      </c>
      <c r="K660" s="61" t="str" cm="1">
        <f t="array" ref="K660">IF($B660=0,IF($E660=0,"",IF(INDEX(DMAV_Dienste!P$6:P$140,$E660)="","",INDEX(DMAV_Dienste!P$6:P$140,$E660))),IF(INDEX(DMAV_Modell!Q$6:Q$838,$B660)="","",INDEX(DMAV_Modell!Q$6:Q$838,$B660)))</f>
        <v>ASSOCIATION</v>
      </c>
      <c r="L660" s="62" t="str" cm="1">
        <f t="array" ref="L660">IF($B660=0,IF($E660=0,"",IF(INDEX(DMAV_Dienste!O$6:O$140,$E660)="","",INDEX(DMAV_Dienste!O$6:O$140,$E660))),IF(INDEX(DMAV_Modell!P$6:P$838,$B660)="","",INDEX(DMAV_Modell!P$6:P$838,$B660)))</f>
        <v>DauerndeBodenverschiebungen</v>
      </c>
      <c r="M660" s="62" t="str" cm="1">
        <f t="array" ref="M660">IF($B660=0,IF($E660=0,"",IF(INDEX(DMAV_Dienste!Q$6:Q$140,$E660)="","",INDEX(DMAV_Dienste!Q$6:Q$140,$E660))),IF(INDEX(DMAV_Modell!R$6:R$838,$B660)="","",INDEX(DMAV_Modell!R$6:R$838,$B660)))</f>
        <v>Untergang_DauerndeBodenverschiebung</v>
      </c>
      <c r="N660" s="62" t="str" cm="1">
        <f t="array" ref="N660">IF($B660=0,IF($E660=0,"",IF(INDEX(DMAV_Dienste!T$6:T$140,$E660)="","",INDEX(DMAV_Dienste!T$6:T$140,$E660))),IF(INDEX(DMAV_Modell!U$6:U$838,$B660)="","",INDEX(DMAV_Modell!U$6:U$838,$B660)))</f>
        <v>Untergang</v>
      </c>
      <c r="O660" s="63" t="str" cm="1">
        <f t="array" aca="1" ref="O660" ca="1">IF(C660=0,IF(F660=0,"",HYPERLINK("#"&amp;RIGHT(CELL("adresse",OFFSET(DMAV_Dienste!$M$6,F660-1,0)),LEN(CELL("adresse",OFFSET(DMAV_Dienste!$M$6,F660-1,0)))-FIND("]",CELL("adresse",OFFSET(DMAV_Dienste!$M$6,F660-1,0)))),"Structure")),HYPERLINK("#"&amp;RIGHT(CELL("adresse",OFFSET(DMAV_Modell!$N$6,C660-1,0)),LEN(CELL("adresse",OFFSET(DMAV_Modell!$N$6,C660-1,0)))-FIND("]",CELL("adresse",OFFSET(DMAV_Modell!$N$6,C660-1,0)))),"Structure"))</f>
        <v/>
      </c>
      <c r="P660" s="64" t="str" cm="1">
        <f t="array" aca="1" ref="P660" ca="1">IF(D660=0,IF(G660=0,"",HYPERLINK("#"&amp;RIGHT(CELL("adresse",OFFSET(DMAV_Dienste!$M$6,G660-1,0)),LEN(CELL("adresse",OFFSET(DMAV_Dienste!$M$6,G660-1,0)))-FIND("]",CELL("adresse",OFFSET(DMAV_Dienste!$M$6,G660-1,0)))),"Substructure")),HYPERLINK("#"&amp;RIGHT(CELL("adresse",OFFSET(DMAV_Modell!$N$6,D660-1,0)),LEN(CELL("adresse",OFFSET(DMAV_Modell!$N$6,D660-1,0)))-FIND("]",CELL("adresse",OFFSET(DMAV_Modell!$N$6,D660-1,0)))),"Substructure"))</f>
        <v/>
      </c>
      <c r="R660" s="80"/>
      <c r="T660" s="93"/>
      <c r="U660" s="94"/>
      <c r="V660" s="95"/>
      <c r="W660" s="96"/>
      <c r="Y660" s="85"/>
      <c r="Z660" s="86"/>
      <c r="AA660" s="87"/>
      <c r="AB660" s="88"/>
      <c r="AD660" s="77"/>
      <c r="AF660" s="54" t="str" cm="1">
        <f t="array" aca="1" ref="AF660" ca="1">IF(H660=0,"",HYPERLINK("#"&amp;RIGHT(CELL("adresse",OFFSET('DM01-AV-CH'!$G$6,H660-1,0)),LEN(CELL("adresse",OFFSET('DM01-AV-CH'!$G$6,H660-1,0)))-FIND("]",CELL("adresse",OFFSET('DM01-AV-CH'!$G$6,H660-1,0)))),"Modell"))</f>
        <v/>
      </c>
      <c r="AG660" s="72" t="str" cm="1">
        <f t="array" ref="AG660">IF($H660=0,"",IF(INDEX('DM01-AV-CH'!G$6:G$834,$H660)="","",INDEX('DM01-AV-CH'!G$6:G$834,$H660)))</f>
        <v/>
      </c>
      <c r="AH660" s="73" t="str" cm="1">
        <f t="array" ref="AH660">IF($H660=0,"",IF(INDEX('DM01-AV-CH'!H$6:H$834,$H660)="","",INDEX('DM01-AV-CH'!H$6:H$834,$H660)))</f>
        <v/>
      </c>
      <c r="AI660" s="74" t="str" cm="1">
        <f t="array" ref="AI660">IF($H660=0,"",IF(INDEX('DM01-AV-CH'!I$6:I$834,$H660)="","",INDEX('DM01-AV-CH'!I$6:I$834,$H660)))</f>
        <v/>
      </c>
    </row>
    <row r="661" spans="1:35" x14ac:dyDescent="0.25">
      <c r="A661" s="57">
        <v>656</v>
      </c>
      <c r="B661" s="57">
        <f>IF($A661="","",IF(_xlfn.XLOOKUP($A661,Korrelation!$D$4:$D$1197,Korrelation!E$4:E$1197,"-",0)="-",0,MATCH(_xlfn.XLOOKUP($A661,Korrelation!$D$4:$D$1197,Korrelation!E$4:E$1197,"",0),DMAV_Modell!$G$6:$G$677,0)))</f>
        <v>359</v>
      </c>
      <c r="C661" s="57">
        <f>IF($A661="","",IF(_xlfn.XLOOKUP($A661,Korrelation!$D$4:$D$1197,Korrelation!F$4:F$1197,"-",0)="-",0,MATCH(_xlfn.XLOOKUP($A661,Korrelation!$D$4:$D$1197,Korrelation!F$4:F$1197,"",0),DMAV_Modell!$G$6:$G$677,0)))</f>
        <v>0</v>
      </c>
      <c r="D661" s="57">
        <f>IF($A661="","",IF(_xlfn.XLOOKUP($A661,Korrelation!$D$4:$D$1197,Korrelation!G$4:G$1197,"-",0)="-",0,MATCH(_xlfn.XLOOKUP($A661,Korrelation!$D$4:$D$1197,Korrelation!G$4:G$1197,"",0),DMAV_Modell!$G$6:$G$677,0)))</f>
        <v>0</v>
      </c>
      <c r="E661" s="57">
        <f>IF($A661="","",IF(_xlfn.XLOOKUP($A661,Korrelation!$D$4:$D$1197,Korrelation!H$4:H$1197,"-",0)="-",0,MATCH(_xlfn.XLOOKUP($A661,Korrelation!$D$4:$D$1197,Korrelation!H$4:H$1197,"",0),DMAV_Dienste!$F$6:$F$140,0)))</f>
        <v>0</v>
      </c>
      <c r="F661" s="57">
        <f>IF($A661="","",IF(_xlfn.XLOOKUP($A661,Korrelation!$D$4:$D$1197,Korrelation!I$4:I$1197,"-",0)="-",0,MATCH(_xlfn.XLOOKUP($A661,Korrelation!$D$4:$D$1197,Korrelation!I$4:I$1197,"",0),DMAV_Dienste!$F$6:$F$140,0)))</f>
        <v>0</v>
      </c>
      <c r="G661" s="57">
        <f>IF($A661="","",IF(_xlfn.XLOOKUP($A661,Korrelation!$D$4:$D$1197,Korrelation!J$4:J$1197,"-",0)="-",0,MATCH(_xlfn.XLOOKUP($A661,Korrelation!$D$4:$D$1197,Korrelation!J$4:J$1197,"",0),DMAV_Dienste!$F$6:$F$140,0)))</f>
        <v>0</v>
      </c>
      <c r="H661" s="57">
        <f>IF($A661="","",IF(_xlfn.XLOOKUP($A661,Korrelation!$D$4:$D$1197,Korrelation!K$4:K$1197,"-",0)="-",0,MATCH(_xlfn.XLOOKUP($A661,Korrelation!$D$4:$D$1197,Korrelation!K$4:K$1197,"",0),'DM01-AV-CH'!$A$6:$A$834,0)))</f>
        <v>0</v>
      </c>
      <c r="J661" s="54" t="str" cm="1">
        <f t="array" aca="1" ref="J661" ca="1">IF(B661=0,IF(E661=0,"",HYPERLINK("#"&amp;RIGHT(CELL("adresse",OFFSET(DMAV_Dienste!$M$6,E661-1,0)),LEN(CELL("adresse",OFFSET(DMAV_Dienste!$M$6,E661-1,0)))-FIND("]",CELL("adresse",OFFSET(DMAV_Dienste!$M$6,E661-1,0)))),"Dienst")),HYPERLINK("#"&amp;RIGHT(CELL("adresse",OFFSET(DMAV_Modell!$N$6,B661-1,0)),LEN(CELL("adresse",OFFSET(DMAV_Modell!$N$6,B661-1,0)))-FIND("]",CELL("adresse",OFFSET(DMAV_Modell!$N$6,B661-1,0)))),"Modell"))</f>
        <v>Modell</v>
      </c>
      <c r="K661" s="61" t="str" cm="1">
        <f t="array" ref="K661">IF($B661=0,IF($E661=0,"",IF(INDEX(DMAV_Dienste!P$6:P$140,$E661)="","",INDEX(DMAV_Dienste!P$6:P$140,$E661))),IF(INDEX(DMAV_Modell!Q$6:Q$838,$B661)="","",INDEX(DMAV_Modell!Q$6:Q$838,$B661)))</f>
        <v>ASSOCIATION</v>
      </c>
      <c r="L661" s="62" t="str" cm="1">
        <f t="array" ref="L661">IF($B661=0,IF($E661=0,"",IF(INDEX(DMAV_Dienste!O$6:O$140,$E661)="","",INDEX(DMAV_Dienste!O$6:O$140,$E661))),IF(INDEX(DMAV_Modell!P$6:P$838,$B661)="","",INDEX(DMAV_Modell!P$6:P$838,$B661)))</f>
        <v>DauerndeBodenverschiebungen</v>
      </c>
      <c r="M661" s="62" t="str" cm="1">
        <f t="array" ref="M661">IF($B661=0,IF($E661=0,"",IF(INDEX(DMAV_Dienste!Q$6:Q$140,$E661)="","",INDEX(DMAV_Dienste!Q$6:Q$140,$E661))),IF(INDEX(DMAV_Modell!R$6:R$838,$B661)="","",INDEX(DMAV_Modell!R$6:R$838,$B661)))</f>
        <v>Untergang_DauerndeBodenverschiebung</v>
      </c>
      <c r="N661" s="62" t="str" cm="1">
        <f t="array" ref="N661">IF($B661=0,IF($E661=0,"",IF(INDEX(DMAV_Dienste!T$6:T$140,$E661)="","",INDEX(DMAV_Dienste!T$6:T$140,$E661))),IF(INDEX(DMAV_Modell!U$6:U$838,$B661)="","",INDEX(DMAV_Modell!U$6:U$838,$B661)))</f>
        <v>untergehende_DauerndeBodenverschiebung</v>
      </c>
      <c r="O661" s="63" t="str" cm="1">
        <f t="array" aca="1" ref="O661" ca="1">IF(C661=0,IF(F661=0,"",HYPERLINK("#"&amp;RIGHT(CELL("adresse",OFFSET(DMAV_Dienste!$M$6,F661-1,0)),LEN(CELL("adresse",OFFSET(DMAV_Dienste!$M$6,F661-1,0)))-FIND("]",CELL("adresse",OFFSET(DMAV_Dienste!$M$6,F661-1,0)))),"Structure")),HYPERLINK("#"&amp;RIGHT(CELL("adresse",OFFSET(DMAV_Modell!$N$6,C661-1,0)),LEN(CELL("adresse",OFFSET(DMAV_Modell!$N$6,C661-1,0)))-FIND("]",CELL("adresse",OFFSET(DMAV_Modell!$N$6,C661-1,0)))),"Structure"))</f>
        <v/>
      </c>
      <c r="P661" s="64" t="str" cm="1">
        <f t="array" aca="1" ref="P661" ca="1">IF(D661=0,IF(G661=0,"",HYPERLINK("#"&amp;RIGHT(CELL("adresse",OFFSET(DMAV_Dienste!$M$6,G661-1,0)),LEN(CELL("adresse",OFFSET(DMAV_Dienste!$M$6,G661-1,0)))-FIND("]",CELL("adresse",OFFSET(DMAV_Dienste!$M$6,G661-1,0)))),"Substructure")),HYPERLINK("#"&amp;RIGHT(CELL("adresse",OFFSET(DMAV_Modell!$N$6,D661-1,0)),LEN(CELL("adresse",OFFSET(DMAV_Modell!$N$6,D661-1,0)))-FIND("]",CELL("adresse",OFFSET(DMAV_Modell!$N$6,D661-1,0)))),"Substructure"))</f>
        <v/>
      </c>
      <c r="R661" s="80"/>
      <c r="T661" s="93"/>
      <c r="U661" s="94"/>
      <c r="V661" s="95"/>
      <c r="W661" s="96"/>
      <c r="Y661" s="85"/>
      <c r="Z661" s="86"/>
      <c r="AA661" s="87"/>
      <c r="AB661" s="88"/>
      <c r="AD661" s="77"/>
      <c r="AF661" s="54" t="str" cm="1">
        <f t="array" aca="1" ref="AF661" ca="1">IF(H661=0,"",HYPERLINK("#"&amp;RIGHT(CELL("adresse",OFFSET('DM01-AV-CH'!$G$6,H661-1,0)),LEN(CELL("adresse",OFFSET('DM01-AV-CH'!$G$6,H661-1,0)))-FIND("]",CELL("adresse",OFFSET('DM01-AV-CH'!$G$6,H661-1,0)))),"Modell"))</f>
        <v/>
      </c>
      <c r="AG661" s="72" t="str" cm="1">
        <f t="array" ref="AG661">IF($H661=0,"",IF(INDEX('DM01-AV-CH'!G$6:G$834,$H661)="","",INDEX('DM01-AV-CH'!G$6:G$834,$H661)))</f>
        <v/>
      </c>
      <c r="AH661" s="73" t="str" cm="1">
        <f t="array" ref="AH661">IF($H661=0,"",IF(INDEX('DM01-AV-CH'!H$6:H$834,$H661)="","",INDEX('DM01-AV-CH'!H$6:H$834,$H661)))</f>
        <v/>
      </c>
      <c r="AI661" s="74" t="str" cm="1">
        <f t="array" ref="AI661">IF($H661=0,"",IF(INDEX('DM01-AV-CH'!I$6:I$834,$H661)="","",INDEX('DM01-AV-CH'!I$6:I$834,$H661)))</f>
        <v/>
      </c>
    </row>
    <row r="662" spans="1:35" x14ac:dyDescent="0.25">
      <c r="A662" s="57">
        <v>657</v>
      </c>
      <c r="B662" s="57">
        <f>IF($A662="","",IF(_xlfn.XLOOKUP($A662,Korrelation!$D$4:$D$1197,Korrelation!E$4:E$1197,"-",0)="-",0,MATCH(_xlfn.XLOOKUP($A662,Korrelation!$D$4:$D$1197,Korrelation!E$4:E$1197,"",0),DMAV_Modell!$G$6:$G$677,0)))</f>
        <v>360</v>
      </c>
      <c r="C662" s="57">
        <f>IF($A662="","",IF(_xlfn.XLOOKUP($A662,Korrelation!$D$4:$D$1197,Korrelation!F$4:F$1197,"-",0)="-",0,MATCH(_xlfn.XLOOKUP($A662,Korrelation!$D$4:$D$1197,Korrelation!F$4:F$1197,"",0),DMAV_Modell!$G$6:$G$677,0)))</f>
        <v>0</v>
      </c>
      <c r="D662" s="57">
        <f>IF($A662="","",IF(_xlfn.XLOOKUP($A662,Korrelation!$D$4:$D$1197,Korrelation!G$4:G$1197,"-",0)="-",0,MATCH(_xlfn.XLOOKUP($A662,Korrelation!$D$4:$D$1197,Korrelation!G$4:G$1197,"",0),DMAV_Modell!$G$6:$G$677,0)))</f>
        <v>0</v>
      </c>
      <c r="E662" s="57">
        <f>IF($A662="","",IF(_xlfn.XLOOKUP($A662,Korrelation!$D$4:$D$1197,Korrelation!H$4:H$1197,"-",0)="-",0,MATCH(_xlfn.XLOOKUP($A662,Korrelation!$D$4:$D$1197,Korrelation!H$4:H$1197,"",0),DMAV_Dienste!$F$6:$F$140,0)))</f>
        <v>0</v>
      </c>
      <c r="F662" s="57">
        <f>IF($A662="","",IF(_xlfn.XLOOKUP($A662,Korrelation!$D$4:$D$1197,Korrelation!I$4:I$1197,"-",0)="-",0,MATCH(_xlfn.XLOOKUP($A662,Korrelation!$D$4:$D$1197,Korrelation!I$4:I$1197,"",0),DMAV_Dienste!$F$6:$F$140,0)))</f>
        <v>0</v>
      </c>
      <c r="G662" s="57">
        <f>IF($A662="","",IF(_xlfn.XLOOKUP($A662,Korrelation!$D$4:$D$1197,Korrelation!J$4:J$1197,"-",0)="-",0,MATCH(_xlfn.XLOOKUP($A662,Korrelation!$D$4:$D$1197,Korrelation!J$4:J$1197,"",0),DMAV_Dienste!$F$6:$F$140,0)))</f>
        <v>0</v>
      </c>
      <c r="H662" s="57">
        <f>IF($A662="","",IF(_xlfn.XLOOKUP($A662,Korrelation!$D$4:$D$1197,Korrelation!K$4:K$1197,"-",0)="-",0,MATCH(_xlfn.XLOOKUP($A662,Korrelation!$D$4:$D$1197,Korrelation!K$4:K$1197,"",0),'DM01-AV-CH'!$A$6:$A$834,0)))</f>
        <v>0</v>
      </c>
      <c r="J662" s="54" t="str" cm="1">
        <f t="array" aca="1" ref="J662" ca="1">IF(B662=0,IF(E662=0,"",HYPERLINK("#"&amp;RIGHT(CELL("adresse",OFFSET(DMAV_Dienste!$M$6,E662-1,0)),LEN(CELL("adresse",OFFSET(DMAV_Dienste!$M$6,E662-1,0)))-FIND("]",CELL("adresse",OFFSET(DMAV_Dienste!$M$6,E662-1,0)))),"Dienst")),HYPERLINK("#"&amp;RIGHT(CELL("adresse",OFFSET(DMAV_Modell!$N$6,B662-1,0)),LEN(CELL("adresse",OFFSET(DMAV_Modell!$N$6,B662-1,0)))-FIND("]",CELL("adresse",OFFSET(DMAV_Modell!$N$6,B662-1,0)))),"Modell"))</f>
        <v>Modell</v>
      </c>
      <c r="K662" s="61" t="str" cm="1">
        <f t="array" ref="K662">IF($B662=0,IF($E662=0,"",IF(INDEX(DMAV_Dienste!P$6:P$140,$E662)="","",INDEX(DMAV_Dienste!P$6:P$140,$E662))),IF(INDEX(DMAV_Modell!Q$6:Q$838,$B662)="","",INDEX(DMAV_Modell!Q$6:Q$838,$B662)))</f>
        <v>VIEW</v>
      </c>
      <c r="L662" s="62" t="str" cm="1">
        <f t="array" ref="L662">IF($B662=0,IF($E662=0,"",IF(INDEX(DMAV_Dienste!O$6:O$140,$E662)="","",INDEX(DMAV_Dienste!O$6:O$140,$E662))),IF(INDEX(DMAV_Modell!P$6:P$838,$B662)="","",INDEX(DMAV_Modell!P$6:P$838,$B662)))</f>
        <v>DauerndeBodenverschiebungen</v>
      </c>
      <c r="M662" s="62" t="str" cm="1">
        <f t="array" ref="M662">IF($B662=0,IF($E662=0,"",IF(INDEX(DMAV_Dienste!Q$6:Q$140,$E662)="","",INDEX(DMAV_Dienste!Q$6:Q$140,$E662))),IF(INDEX(DMAV_Modell!R$6:R$838,$B662)="","",INDEX(DMAV_Modell!R$6:R$838,$B662)))</f>
        <v>DauerndeBodenverschiebung_Gueltig</v>
      </c>
      <c r="N662" s="62" t="str" cm="1">
        <f t="array" ref="N662">IF($B662=0,IF($E662=0,"",IF(INDEX(DMAV_Dienste!T$6:T$140,$E662)="","",INDEX(DMAV_Dienste!T$6:T$140,$E662))),IF(INDEX(DMAV_Modell!U$6:U$838,$B662)="","",INDEX(DMAV_Modell!U$6:U$838,$B662)))</f>
        <v>PROJECTION OF</v>
      </c>
      <c r="O662" s="63" t="str" cm="1">
        <f t="array" aca="1" ref="O662" ca="1">IF(C662=0,IF(F662=0,"",HYPERLINK("#"&amp;RIGHT(CELL("adresse",OFFSET(DMAV_Dienste!$M$6,F662-1,0)),LEN(CELL("adresse",OFFSET(DMAV_Dienste!$M$6,F662-1,0)))-FIND("]",CELL("adresse",OFFSET(DMAV_Dienste!$M$6,F662-1,0)))),"Structure")),HYPERLINK("#"&amp;RIGHT(CELL("adresse",OFFSET(DMAV_Modell!$N$6,C662-1,0)),LEN(CELL("adresse",OFFSET(DMAV_Modell!$N$6,C662-1,0)))-FIND("]",CELL("adresse",OFFSET(DMAV_Modell!$N$6,C662-1,0)))),"Structure"))</f>
        <v/>
      </c>
      <c r="P662" s="64" t="str" cm="1">
        <f t="array" aca="1" ref="P662" ca="1">IF(D662=0,IF(G662=0,"",HYPERLINK("#"&amp;RIGHT(CELL("adresse",OFFSET(DMAV_Dienste!$M$6,G662-1,0)),LEN(CELL("adresse",OFFSET(DMAV_Dienste!$M$6,G662-1,0)))-FIND("]",CELL("adresse",OFFSET(DMAV_Dienste!$M$6,G662-1,0)))),"Substructure")),HYPERLINK("#"&amp;RIGHT(CELL("adresse",OFFSET(DMAV_Modell!$N$6,D662-1,0)),LEN(CELL("adresse",OFFSET(DMAV_Modell!$N$6,D662-1,0)))-FIND("]",CELL("adresse",OFFSET(DMAV_Modell!$N$6,D662-1,0)))),"Substructure"))</f>
        <v/>
      </c>
      <c r="R662" s="80"/>
      <c r="T662" s="93"/>
      <c r="U662" s="94"/>
      <c r="V662" s="95"/>
      <c r="W662" s="96"/>
      <c r="Y662" s="85"/>
      <c r="Z662" s="86"/>
      <c r="AA662" s="87"/>
      <c r="AB662" s="88"/>
      <c r="AD662" s="77"/>
      <c r="AF662" s="54" t="str" cm="1">
        <f t="array" aca="1" ref="AF662" ca="1">IF(H662=0,"",HYPERLINK("#"&amp;RIGHT(CELL("adresse",OFFSET('DM01-AV-CH'!$G$6,H662-1,0)),LEN(CELL("adresse",OFFSET('DM01-AV-CH'!$G$6,H662-1,0)))-FIND("]",CELL("adresse",OFFSET('DM01-AV-CH'!$G$6,H662-1,0)))),"Modell"))</f>
        <v/>
      </c>
      <c r="AG662" s="72" t="str" cm="1">
        <f t="array" ref="AG662">IF($H662=0,"",IF(INDEX('DM01-AV-CH'!G$6:G$834,$H662)="","",INDEX('DM01-AV-CH'!G$6:G$834,$H662)))</f>
        <v/>
      </c>
      <c r="AH662" s="73" t="str" cm="1">
        <f t="array" ref="AH662">IF($H662=0,"",IF(INDEX('DM01-AV-CH'!H$6:H$834,$H662)="","",INDEX('DM01-AV-CH'!H$6:H$834,$H662)))</f>
        <v/>
      </c>
      <c r="AI662" s="74" t="str" cm="1">
        <f t="array" ref="AI662">IF($H662=0,"",IF(INDEX('DM01-AV-CH'!I$6:I$834,$H662)="","",INDEX('DM01-AV-CH'!I$6:I$834,$H662)))</f>
        <v/>
      </c>
    </row>
    <row r="663" spans="1:35" x14ac:dyDescent="0.25">
      <c r="A663" s="57">
        <v>658</v>
      </c>
      <c r="B663" s="57">
        <f>IF($A663="","",IF(_xlfn.XLOOKUP($A663,Korrelation!$D$4:$D$1197,Korrelation!E$4:E$1197,"-",0)="-",0,MATCH(_xlfn.XLOOKUP($A663,Korrelation!$D$4:$D$1197,Korrelation!E$4:E$1197,"",0),DMAV_Modell!$G$6:$G$677,0)))</f>
        <v>361</v>
      </c>
      <c r="C663" s="57">
        <f>IF($A663="","",IF(_xlfn.XLOOKUP($A663,Korrelation!$D$4:$D$1197,Korrelation!F$4:F$1197,"-",0)="-",0,MATCH(_xlfn.XLOOKUP($A663,Korrelation!$D$4:$D$1197,Korrelation!F$4:F$1197,"",0),DMAV_Modell!$G$6:$G$677,0)))</f>
        <v>0</v>
      </c>
      <c r="D663" s="57">
        <f>IF($A663="","",IF(_xlfn.XLOOKUP($A663,Korrelation!$D$4:$D$1197,Korrelation!G$4:G$1197,"-",0)="-",0,MATCH(_xlfn.XLOOKUP($A663,Korrelation!$D$4:$D$1197,Korrelation!G$4:G$1197,"",0),DMAV_Modell!$G$6:$G$677,0)))</f>
        <v>0</v>
      </c>
      <c r="E663" s="57">
        <f>IF($A663="","",IF(_xlfn.XLOOKUP($A663,Korrelation!$D$4:$D$1197,Korrelation!H$4:H$1197,"-",0)="-",0,MATCH(_xlfn.XLOOKUP($A663,Korrelation!$D$4:$D$1197,Korrelation!H$4:H$1197,"",0),DMAV_Dienste!$F$6:$F$140,0)))</f>
        <v>0</v>
      </c>
      <c r="F663" s="57">
        <f>IF($A663="","",IF(_xlfn.XLOOKUP($A663,Korrelation!$D$4:$D$1197,Korrelation!I$4:I$1197,"-",0)="-",0,MATCH(_xlfn.XLOOKUP($A663,Korrelation!$D$4:$D$1197,Korrelation!I$4:I$1197,"",0),DMAV_Dienste!$F$6:$F$140,0)))</f>
        <v>0</v>
      </c>
      <c r="G663" s="57">
        <f>IF($A663="","",IF(_xlfn.XLOOKUP($A663,Korrelation!$D$4:$D$1197,Korrelation!J$4:J$1197,"-",0)="-",0,MATCH(_xlfn.XLOOKUP($A663,Korrelation!$D$4:$D$1197,Korrelation!J$4:J$1197,"",0),DMAV_Dienste!$F$6:$F$140,0)))</f>
        <v>0</v>
      </c>
      <c r="H663" s="57">
        <f>IF($A663="","",IF(_xlfn.XLOOKUP($A663,Korrelation!$D$4:$D$1197,Korrelation!K$4:K$1197,"-",0)="-",0,MATCH(_xlfn.XLOOKUP($A663,Korrelation!$D$4:$D$1197,Korrelation!K$4:K$1197,"",0),'DM01-AV-CH'!$A$6:$A$834,0)))</f>
        <v>0</v>
      </c>
      <c r="J663" s="54" t="str" cm="1">
        <f t="array" aca="1" ref="J663" ca="1">IF(B663=0,IF(E663=0,"",HYPERLINK("#"&amp;RIGHT(CELL("adresse",OFFSET(DMAV_Dienste!$M$6,E663-1,0)),LEN(CELL("adresse",OFFSET(DMAV_Dienste!$M$6,E663-1,0)))-FIND("]",CELL("adresse",OFFSET(DMAV_Dienste!$M$6,E663-1,0)))),"Dienst")),HYPERLINK("#"&amp;RIGHT(CELL("adresse",OFFSET(DMAV_Modell!$N$6,B663-1,0)),LEN(CELL("adresse",OFFSET(DMAV_Modell!$N$6,B663-1,0)))-FIND("]",CELL("adresse",OFFSET(DMAV_Modell!$N$6,B663-1,0)))),"Modell"))</f>
        <v>Modell</v>
      </c>
      <c r="K663" s="61" t="str" cm="1">
        <f t="array" ref="K663">IF($B663=0,IF($E663=0,"",IF(INDEX(DMAV_Dienste!P$6:P$140,$E663)="","",INDEX(DMAV_Dienste!P$6:P$140,$E663))),IF(INDEX(DMAV_Modell!Q$6:Q$838,$B663)="","",INDEX(DMAV_Modell!Q$6:Q$838,$B663)))</f>
        <v>VIEW</v>
      </c>
      <c r="L663" s="62" t="str" cm="1">
        <f t="array" ref="L663">IF($B663=0,IF($E663=0,"",IF(INDEX(DMAV_Dienste!O$6:O$140,$E663)="","",INDEX(DMAV_Dienste!O$6:O$140,$E663))),IF(INDEX(DMAV_Modell!P$6:P$838,$B663)="","",INDEX(DMAV_Modell!P$6:P$838,$B663)))</f>
        <v>DauerndeBodenverschiebungen</v>
      </c>
      <c r="M663" s="62" t="str" cm="1">
        <f t="array" ref="M663">IF($B663=0,IF($E663=0,"",IF(INDEX(DMAV_Dienste!Q$6:Q$140,$E663)="","",INDEX(DMAV_Dienste!Q$6:Q$140,$E663))),IF(INDEX(DMAV_Modell!R$6:R$838,$B663)="","",INDEX(DMAV_Modell!R$6:R$838,$B663)))</f>
        <v>DauerndeBodenverschiebung_Gueltig</v>
      </c>
      <c r="N663" s="62" t="str" cm="1">
        <f t="array" ref="N663">IF($B663=0,IF($E663=0,"",IF(INDEX(DMAV_Dienste!T$6:T$140,$E663)="","",INDEX(DMAV_Dienste!T$6:T$140,$E663))),IF(INDEX(DMAV_Modell!U$6:U$838,$B663)="","",INDEX(DMAV_Modell!U$6:U$838,$B663)))</f>
        <v>WHERE DEFINED(@PH1@) AND DEFINED(@PH2@) AND (NOT(DEFINED(@PH3@)) OR NOT(DEFINED(@PH4@)))</v>
      </c>
      <c r="O663" s="63" t="str" cm="1">
        <f t="array" aca="1" ref="O663" ca="1">IF(C663=0,IF(F663=0,"",HYPERLINK("#"&amp;RIGHT(CELL("adresse",OFFSET(DMAV_Dienste!$M$6,F663-1,0)),LEN(CELL("adresse",OFFSET(DMAV_Dienste!$M$6,F663-1,0)))-FIND("]",CELL("adresse",OFFSET(DMAV_Dienste!$M$6,F663-1,0)))),"Structure")),HYPERLINK("#"&amp;RIGHT(CELL("adresse",OFFSET(DMAV_Modell!$N$6,C663-1,0)),LEN(CELL("adresse",OFFSET(DMAV_Modell!$N$6,C663-1,0)))-FIND("]",CELL("adresse",OFFSET(DMAV_Modell!$N$6,C663-1,0)))),"Structure"))</f>
        <v/>
      </c>
      <c r="P663" s="64" t="str" cm="1">
        <f t="array" aca="1" ref="P663" ca="1">IF(D663=0,IF(G663=0,"",HYPERLINK("#"&amp;RIGHT(CELL("adresse",OFFSET(DMAV_Dienste!$M$6,G663-1,0)),LEN(CELL("adresse",OFFSET(DMAV_Dienste!$M$6,G663-1,0)))-FIND("]",CELL("adresse",OFFSET(DMAV_Dienste!$M$6,G663-1,0)))),"Substructure")),HYPERLINK("#"&amp;RIGHT(CELL("adresse",OFFSET(DMAV_Modell!$N$6,D663-1,0)),LEN(CELL("adresse",OFFSET(DMAV_Modell!$N$6,D663-1,0)))-FIND("]",CELL("adresse",OFFSET(DMAV_Modell!$N$6,D663-1,0)))),"Substructure"))</f>
        <v/>
      </c>
      <c r="R663" s="80"/>
      <c r="T663" s="93"/>
      <c r="U663" s="94"/>
      <c r="V663" s="95"/>
      <c r="W663" s="96"/>
      <c r="Y663" s="85"/>
      <c r="Z663" s="86"/>
      <c r="AA663" s="87"/>
      <c r="AB663" s="88"/>
      <c r="AD663" s="77"/>
      <c r="AF663" s="54" t="str" cm="1">
        <f t="array" aca="1" ref="AF663" ca="1">IF(H663=0,"",HYPERLINK("#"&amp;RIGHT(CELL("adresse",OFFSET('DM01-AV-CH'!$G$6,H663-1,0)),LEN(CELL("adresse",OFFSET('DM01-AV-CH'!$G$6,H663-1,0)))-FIND("]",CELL("adresse",OFFSET('DM01-AV-CH'!$G$6,H663-1,0)))),"Modell"))</f>
        <v/>
      </c>
      <c r="AG663" s="72" t="str" cm="1">
        <f t="array" ref="AG663">IF($H663=0,"",IF(INDEX('DM01-AV-CH'!G$6:G$834,$H663)="","",INDEX('DM01-AV-CH'!G$6:G$834,$H663)))</f>
        <v/>
      </c>
      <c r="AH663" s="73" t="str" cm="1">
        <f t="array" ref="AH663">IF($H663=0,"",IF(INDEX('DM01-AV-CH'!H$6:H$834,$H663)="","",INDEX('DM01-AV-CH'!H$6:H$834,$H663)))</f>
        <v/>
      </c>
      <c r="AI663" s="74" t="str" cm="1">
        <f t="array" ref="AI663">IF($H663=0,"",IF(INDEX('DM01-AV-CH'!I$6:I$834,$H663)="","",INDEX('DM01-AV-CH'!I$6:I$834,$H663)))</f>
        <v/>
      </c>
    </row>
    <row r="664" spans="1:35" x14ac:dyDescent="0.25">
      <c r="A664" s="57">
        <v>659</v>
      </c>
      <c r="B664" s="57">
        <f>IF($A664="","",IF(_xlfn.XLOOKUP($A664,Korrelation!$D$4:$D$1197,Korrelation!E$4:E$1197,"-",0)="-",0,MATCH(_xlfn.XLOOKUP($A664,Korrelation!$D$4:$D$1197,Korrelation!E$4:E$1197,"",0),DMAV_Modell!$G$6:$G$677,0)))</f>
        <v>362</v>
      </c>
      <c r="C664" s="57">
        <f>IF($A664="","",IF(_xlfn.XLOOKUP($A664,Korrelation!$D$4:$D$1197,Korrelation!F$4:F$1197,"-",0)="-",0,MATCH(_xlfn.XLOOKUP($A664,Korrelation!$D$4:$D$1197,Korrelation!F$4:F$1197,"",0),DMAV_Modell!$G$6:$G$677,0)))</f>
        <v>0</v>
      </c>
      <c r="D664" s="57">
        <f>IF($A664="","",IF(_xlfn.XLOOKUP($A664,Korrelation!$D$4:$D$1197,Korrelation!G$4:G$1197,"-",0)="-",0,MATCH(_xlfn.XLOOKUP($A664,Korrelation!$D$4:$D$1197,Korrelation!G$4:G$1197,"",0),DMAV_Modell!$G$6:$G$677,0)))</f>
        <v>0</v>
      </c>
      <c r="E664" s="57">
        <f>IF($A664="","",IF(_xlfn.XLOOKUP($A664,Korrelation!$D$4:$D$1197,Korrelation!H$4:H$1197,"-",0)="-",0,MATCH(_xlfn.XLOOKUP($A664,Korrelation!$D$4:$D$1197,Korrelation!H$4:H$1197,"",0),DMAV_Dienste!$F$6:$F$140,0)))</f>
        <v>0</v>
      </c>
      <c r="F664" s="57">
        <f>IF($A664="","",IF(_xlfn.XLOOKUP($A664,Korrelation!$D$4:$D$1197,Korrelation!I$4:I$1197,"-",0)="-",0,MATCH(_xlfn.XLOOKUP($A664,Korrelation!$D$4:$D$1197,Korrelation!I$4:I$1197,"",0),DMAV_Dienste!$F$6:$F$140,0)))</f>
        <v>0</v>
      </c>
      <c r="G664" s="57">
        <f>IF($A664="","",IF(_xlfn.XLOOKUP($A664,Korrelation!$D$4:$D$1197,Korrelation!J$4:J$1197,"-",0)="-",0,MATCH(_xlfn.XLOOKUP($A664,Korrelation!$D$4:$D$1197,Korrelation!J$4:J$1197,"",0),DMAV_Dienste!$F$6:$F$140,0)))</f>
        <v>0</v>
      </c>
      <c r="H664" s="57">
        <f>IF($A664="","",IF(_xlfn.XLOOKUP($A664,Korrelation!$D$4:$D$1197,Korrelation!K$4:K$1197,"-",0)="-",0,MATCH(_xlfn.XLOOKUP($A664,Korrelation!$D$4:$D$1197,Korrelation!K$4:K$1197,"",0),'DM01-AV-CH'!$A$6:$A$834,0)))</f>
        <v>0</v>
      </c>
      <c r="J664" s="54" t="str" cm="1">
        <f t="array" aca="1" ref="J664" ca="1">IF(B664=0,IF(E664=0,"",HYPERLINK("#"&amp;RIGHT(CELL("adresse",OFFSET(DMAV_Dienste!$M$6,E664-1,0)),LEN(CELL("adresse",OFFSET(DMAV_Dienste!$M$6,E664-1,0)))-FIND("]",CELL("adresse",OFFSET(DMAV_Dienste!$M$6,E664-1,0)))),"Dienst")),HYPERLINK("#"&amp;RIGHT(CELL("adresse",OFFSET(DMAV_Modell!$N$6,B664-1,0)),LEN(CELL("adresse",OFFSET(DMAV_Modell!$N$6,B664-1,0)))-FIND("]",CELL("adresse",OFFSET(DMAV_Modell!$N$6,B664-1,0)))),"Modell"))</f>
        <v>Modell</v>
      </c>
      <c r="K664" s="61" t="str" cm="1">
        <f t="array" ref="K664">IF($B664=0,IF($E664=0,"",IF(INDEX(DMAV_Dienste!P$6:P$140,$E664)="","",INDEX(DMAV_Dienste!P$6:P$140,$E664))),IF(INDEX(DMAV_Modell!Q$6:Q$838,$B664)="","",INDEX(DMAV_Modell!Q$6:Q$838,$B664)))</f>
        <v>VIEW</v>
      </c>
      <c r="L664" s="62" t="str" cm="1">
        <f t="array" ref="L664">IF($B664=0,IF($E664=0,"",IF(INDEX(DMAV_Dienste!O$6:O$140,$E664)="","",INDEX(DMAV_Dienste!O$6:O$140,$E664))),IF(INDEX(DMAV_Modell!P$6:P$838,$B664)="","",INDEX(DMAV_Modell!P$6:P$838,$B664)))</f>
        <v>DauerndeBodenverschiebungen</v>
      </c>
      <c r="M664" s="62" t="str" cm="1">
        <f t="array" ref="M664">IF($B664=0,IF($E664=0,"",IF(INDEX(DMAV_Dienste!Q$6:Q$140,$E664)="","",INDEX(DMAV_Dienste!Q$6:Q$140,$E664))),IF(INDEX(DMAV_Modell!R$6:R$838,$B664)="","",INDEX(DMAV_Modell!R$6:R$838,$B664)))</f>
        <v>DauerndeBodenverschiebung_Gueltig</v>
      </c>
      <c r="N664" s="62" t="str" cm="1">
        <f t="array" ref="N664">IF($B664=0,IF($E664=0,"",IF(INDEX(DMAV_Dienste!T$6:T$140,$E664)="","",INDEX(DMAV_Dienste!T$6:T$140,$E664))),IF(INDEX(DMAV_Modell!U$6:U$838,$B664)="","",INDEX(DMAV_Modell!U$6:U$838,$B664)))</f>
        <v>= ALL OF</v>
      </c>
      <c r="O664" s="63" t="str" cm="1">
        <f t="array" aca="1" ref="O664" ca="1">IF(C664=0,IF(F664=0,"",HYPERLINK("#"&amp;RIGHT(CELL("adresse",OFFSET(DMAV_Dienste!$M$6,F664-1,0)),LEN(CELL("adresse",OFFSET(DMAV_Dienste!$M$6,F664-1,0)))-FIND("]",CELL("adresse",OFFSET(DMAV_Dienste!$M$6,F664-1,0)))),"Structure")),HYPERLINK("#"&amp;RIGHT(CELL("adresse",OFFSET(DMAV_Modell!$N$6,C664-1,0)),LEN(CELL("adresse",OFFSET(DMAV_Modell!$N$6,C664-1,0)))-FIND("]",CELL("adresse",OFFSET(DMAV_Modell!$N$6,C664-1,0)))),"Structure"))</f>
        <v/>
      </c>
      <c r="P664" s="64" t="str" cm="1">
        <f t="array" aca="1" ref="P664" ca="1">IF(D664=0,IF(G664=0,"",HYPERLINK("#"&amp;RIGHT(CELL("adresse",OFFSET(DMAV_Dienste!$M$6,G664-1,0)),LEN(CELL("adresse",OFFSET(DMAV_Dienste!$M$6,G664-1,0)))-FIND("]",CELL("adresse",OFFSET(DMAV_Dienste!$M$6,G664-1,0)))),"Substructure")),HYPERLINK("#"&amp;RIGHT(CELL("adresse",OFFSET(DMAV_Modell!$N$6,D664-1,0)),LEN(CELL("adresse",OFFSET(DMAV_Modell!$N$6,D664-1,0)))-FIND("]",CELL("adresse",OFFSET(DMAV_Modell!$N$6,D664-1,0)))),"Substructure"))</f>
        <v/>
      </c>
      <c r="R664" s="80"/>
      <c r="T664" s="93"/>
      <c r="U664" s="94"/>
      <c r="V664" s="95"/>
      <c r="W664" s="96"/>
      <c r="Y664" s="85"/>
      <c r="Z664" s="86"/>
      <c r="AA664" s="87"/>
      <c r="AB664" s="88"/>
      <c r="AD664" s="77"/>
      <c r="AF664" s="54" t="str" cm="1">
        <f t="array" aca="1" ref="AF664" ca="1">IF(H664=0,"",HYPERLINK("#"&amp;RIGHT(CELL("adresse",OFFSET('DM01-AV-CH'!$G$6,H664-1,0)),LEN(CELL("adresse",OFFSET('DM01-AV-CH'!$G$6,H664-1,0)))-FIND("]",CELL("adresse",OFFSET('DM01-AV-CH'!$G$6,H664-1,0)))),"Modell"))</f>
        <v/>
      </c>
      <c r="AG664" s="72" t="str" cm="1">
        <f t="array" ref="AG664">IF($H664=0,"",IF(INDEX('DM01-AV-CH'!G$6:G$834,$H664)="","",INDEX('DM01-AV-CH'!G$6:G$834,$H664)))</f>
        <v/>
      </c>
      <c r="AH664" s="73" t="str" cm="1">
        <f t="array" ref="AH664">IF($H664=0,"",IF(INDEX('DM01-AV-CH'!H$6:H$834,$H664)="","",INDEX('DM01-AV-CH'!H$6:H$834,$H664)))</f>
        <v/>
      </c>
      <c r="AI664" s="74" t="str" cm="1">
        <f t="array" ref="AI664">IF($H664=0,"",IF(INDEX('DM01-AV-CH'!I$6:I$834,$H664)="","",INDEX('DM01-AV-CH'!I$6:I$834,$H664)))</f>
        <v/>
      </c>
    </row>
    <row r="665" spans="1:35" x14ac:dyDescent="0.25">
      <c r="A665" s="57">
        <v>660</v>
      </c>
      <c r="B665" s="57">
        <f>IF($A665="","",IF(_xlfn.XLOOKUP($A665,Korrelation!$D$4:$D$1197,Korrelation!E$4:E$1197,"-",0)="-",0,MATCH(_xlfn.XLOOKUP($A665,Korrelation!$D$4:$D$1197,Korrelation!E$4:E$1197,"",0),DMAV_Modell!$G$6:$G$677,0)))</f>
        <v>363</v>
      </c>
      <c r="C665" s="57">
        <f>IF($A665="","",IF(_xlfn.XLOOKUP($A665,Korrelation!$D$4:$D$1197,Korrelation!F$4:F$1197,"-",0)="-",0,MATCH(_xlfn.XLOOKUP($A665,Korrelation!$D$4:$D$1197,Korrelation!F$4:F$1197,"",0),DMAV_Modell!$G$6:$G$677,0)))</f>
        <v>0</v>
      </c>
      <c r="D665" s="57">
        <f>IF($A665="","",IF(_xlfn.XLOOKUP($A665,Korrelation!$D$4:$D$1197,Korrelation!G$4:G$1197,"-",0)="-",0,MATCH(_xlfn.XLOOKUP($A665,Korrelation!$D$4:$D$1197,Korrelation!G$4:G$1197,"",0),DMAV_Modell!$G$6:$G$677,0)))</f>
        <v>0</v>
      </c>
      <c r="E665" s="57">
        <f>IF($A665="","",IF(_xlfn.XLOOKUP($A665,Korrelation!$D$4:$D$1197,Korrelation!H$4:H$1197,"-",0)="-",0,MATCH(_xlfn.XLOOKUP($A665,Korrelation!$D$4:$D$1197,Korrelation!H$4:H$1197,"",0),DMAV_Dienste!$F$6:$F$140,0)))</f>
        <v>0</v>
      </c>
      <c r="F665" s="57">
        <f>IF($A665="","",IF(_xlfn.XLOOKUP($A665,Korrelation!$D$4:$D$1197,Korrelation!I$4:I$1197,"-",0)="-",0,MATCH(_xlfn.XLOOKUP($A665,Korrelation!$D$4:$D$1197,Korrelation!I$4:I$1197,"",0),DMAV_Dienste!$F$6:$F$140,0)))</f>
        <v>0</v>
      </c>
      <c r="G665" s="57">
        <f>IF($A665="","",IF(_xlfn.XLOOKUP($A665,Korrelation!$D$4:$D$1197,Korrelation!J$4:J$1197,"-",0)="-",0,MATCH(_xlfn.XLOOKUP($A665,Korrelation!$D$4:$D$1197,Korrelation!J$4:J$1197,"",0),DMAV_Dienste!$F$6:$F$140,0)))</f>
        <v>0</v>
      </c>
      <c r="H665" s="57">
        <f>IF($A665="","",IF(_xlfn.XLOOKUP($A665,Korrelation!$D$4:$D$1197,Korrelation!K$4:K$1197,"-",0)="-",0,MATCH(_xlfn.XLOOKUP($A665,Korrelation!$D$4:$D$1197,Korrelation!K$4:K$1197,"",0),'DM01-AV-CH'!$A$6:$A$834,0)))</f>
        <v>0</v>
      </c>
      <c r="J665" s="54" t="str" cm="1">
        <f t="array" aca="1" ref="J665" ca="1">IF(B665=0,IF(E665=0,"",HYPERLINK("#"&amp;RIGHT(CELL("adresse",OFFSET(DMAV_Dienste!$M$6,E665-1,0)),LEN(CELL("adresse",OFFSET(DMAV_Dienste!$M$6,E665-1,0)))-FIND("]",CELL("adresse",OFFSET(DMAV_Dienste!$M$6,E665-1,0)))),"Dienst")),HYPERLINK("#"&amp;RIGHT(CELL("adresse",OFFSET(DMAV_Modell!$N$6,B665-1,0)),LEN(CELL("adresse",OFFSET(DMAV_Modell!$N$6,B665-1,0)))-FIND("]",CELL("adresse",OFFSET(DMAV_Modell!$N$6,B665-1,0)))),"Modell"))</f>
        <v>Modell</v>
      </c>
      <c r="K665" s="61" t="str" cm="1">
        <f t="array" ref="K665">IF($B665=0,IF($E665=0,"",IF(INDEX(DMAV_Dienste!P$6:P$140,$E665)="","",INDEX(DMAV_Dienste!P$6:P$140,$E665))),IF(INDEX(DMAV_Modell!Q$6:Q$838,$B665)="","",INDEX(DMAV_Modell!Q$6:Q$838,$B665)))</f>
        <v>VIEW</v>
      </c>
      <c r="L665" s="62" t="str" cm="1">
        <f t="array" ref="L665">IF($B665=0,IF($E665=0,"",IF(INDEX(DMAV_Dienste!O$6:O$140,$E665)="","",INDEX(DMAV_Dienste!O$6:O$140,$E665))),IF(INDEX(DMAV_Modell!P$6:P$838,$B665)="","",INDEX(DMAV_Modell!P$6:P$838,$B665)))</f>
        <v>DauerndeBodenverschiebungen</v>
      </c>
      <c r="M665" s="62" t="str" cm="1">
        <f t="array" ref="M665">IF($B665=0,IF($E665=0,"",IF(INDEX(DMAV_Dienste!Q$6:Q$140,$E665)="","",INDEX(DMAV_Dienste!Q$6:Q$140,$E665))),IF(INDEX(DMAV_Modell!R$6:R$838,$B665)="","",INDEX(DMAV_Modell!R$6:R$838,$B665)))</f>
        <v>DauerndeBodenverschiebung_Gueltig</v>
      </c>
      <c r="N665" s="62" t="str" cm="1">
        <f t="array" ref="N665">IF($B665=0,IF($E665=0,"",IF(INDEX(DMAV_Dienste!T$6:T$140,$E665)="","",INDEX(DMAV_Dienste!T$6:T$140,$E665))),IF(INDEX(DMAV_Modell!U$6:U$838,$B665)="","",INDEX(DMAV_Modell!U$6:U$838,$B665)))</f>
        <v>NBIdent</v>
      </c>
      <c r="O665" s="63" t="str" cm="1">
        <f t="array" aca="1" ref="O665" ca="1">IF(C665=0,IF(F665=0,"",HYPERLINK("#"&amp;RIGHT(CELL("adresse",OFFSET(DMAV_Dienste!$M$6,F665-1,0)),LEN(CELL("adresse",OFFSET(DMAV_Dienste!$M$6,F665-1,0)))-FIND("]",CELL("adresse",OFFSET(DMAV_Dienste!$M$6,F665-1,0)))),"Structure")),HYPERLINK("#"&amp;RIGHT(CELL("adresse",OFFSET(DMAV_Modell!$N$6,C665-1,0)),LEN(CELL("adresse",OFFSET(DMAV_Modell!$N$6,C665-1,0)))-FIND("]",CELL("adresse",OFFSET(DMAV_Modell!$N$6,C665-1,0)))),"Structure"))</f>
        <v/>
      </c>
      <c r="P665" s="64" t="str" cm="1">
        <f t="array" aca="1" ref="P665" ca="1">IF(D665=0,IF(G665=0,"",HYPERLINK("#"&amp;RIGHT(CELL("adresse",OFFSET(DMAV_Dienste!$M$6,G665-1,0)),LEN(CELL("adresse",OFFSET(DMAV_Dienste!$M$6,G665-1,0)))-FIND("]",CELL("adresse",OFFSET(DMAV_Dienste!$M$6,G665-1,0)))),"Substructure")),HYPERLINK("#"&amp;RIGHT(CELL("adresse",OFFSET(DMAV_Modell!$N$6,D665-1,0)),LEN(CELL("adresse",OFFSET(DMAV_Modell!$N$6,D665-1,0)))-FIND("]",CELL("adresse",OFFSET(DMAV_Modell!$N$6,D665-1,0)))),"Substructure"))</f>
        <v/>
      </c>
      <c r="R665" s="80"/>
      <c r="T665" s="93"/>
      <c r="U665" s="94"/>
      <c r="V665" s="95"/>
      <c r="W665" s="96"/>
      <c r="Y665" s="85"/>
      <c r="Z665" s="86"/>
      <c r="AA665" s="87"/>
      <c r="AB665" s="88"/>
      <c r="AD665" s="77"/>
      <c r="AF665" s="54" t="str" cm="1">
        <f t="array" aca="1" ref="AF665" ca="1">IF(H665=0,"",HYPERLINK("#"&amp;RIGHT(CELL("adresse",OFFSET('DM01-AV-CH'!$G$6,H665-1,0)),LEN(CELL("adresse",OFFSET('DM01-AV-CH'!$G$6,H665-1,0)))-FIND("]",CELL("adresse",OFFSET('DM01-AV-CH'!$G$6,H665-1,0)))),"Modell"))</f>
        <v/>
      </c>
      <c r="AG665" s="72" t="str" cm="1">
        <f t="array" ref="AG665">IF($H665=0,"",IF(INDEX('DM01-AV-CH'!G$6:G$834,$H665)="","",INDEX('DM01-AV-CH'!G$6:G$834,$H665)))</f>
        <v/>
      </c>
      <c r="AH665" s="73" t="str" cm="1">
        <f t="array" ref="AH665">IF($H665=0,"",IF(INDEX('DM01-AV-CH'!H$6:H$834,$H665)="","",INDEX('DM01-AV-CH'!H$6:H$834,$H665)))</f>
        <v/>
      </c>
      <c r="AI665" s="74" t="str" cm="1">
        <f t="array" ref="AI665">IF($H665=0,"",IF(INDEX('DM01-AV-CH'!I$6:I$834,$H665)="","",INDEX('DM01-AV-CH'!I$6:I$834,$H665)))</f>
        <v/>
      </c>
    </row>
    <row r="666" spans="1:35" x14ac:dyDescent="0.25">
      <c r="A666" s="57">
        <v>661</v>
      </c>
      <c r="B666" s="57">
        <f>IF($A666="","",IF(_xlfn.XLOOKUP($A666,Korrelation!$D$4:$D$1197,Korrelation!E$4:E$1197,"-",0)="-",0,MATCH(_xlfn.XLOOKUP($A666,Korrelation!$D$4:$D$1197,Korrelation!E$4:E$1197,"",0),DMAV_Modell!$G$6:$G$677,0)))</f>
        <v>364</v>
      </c>
      <c r="C666" s="57">
        <f>IF($A666="","",IF(_xlfn.XLOOKUP($A666,Korrelation!$D$4:$D$1197,Korrelation!F$4:F$1197,"-",0)="-",0,MATCH(_xlfn.XLOOKUP($A666,Korrelation!$D$4:$D$1197,Korrelation!F$4:F$1197,"",0),DMAV_Modell!$G$6:$G$677,0)))</f>
        <v>0</v>
      </c>
      <c r="D666" s="57">
        <f>IF($A666="","",IF(_xlfn.XLOOKUP($A666,Korrelation!$D$4:$D$1197,Korrelation!G$4:G$1197,"-",0)="-",0,MATCH(_xlfn.XLOOKUP($A666,Korrelation!$D$4:$D$1197,Korrelation!G$4:G$1197,"",0),DMAV_Modell!$G$6:$G$677,0)))</f>
        <v>0</v>
      </c>
      <c r="E666" s="57">
        <f>IF($A666="","",IF(_xlfn.XLOOKUP($A666,Korrelation!$D$4:$D$1197,Korrelation!H$4:H$1197,"-",0)="-",0,MATCH(_xlfn.XLOOKUP($A666,Korrelation!$D$4:$D$1197,Korrelation!H$4:H$1197,"",0),DMAV_Dienste!$F$6:$F$140,0)))</f>
        <v>0</v>
      </c>
      <c r="F666" s="57">
        <f>IF($A666="","",IF(_xlfn.XLOOKUP($A666,Korrelation!$D$4:$D$1197,Korrelation!I$4:I$1197,"-",0)="-",0,MATCH(_xlfn.XLOOKUP($A666,Korrelation!$D$4:$D$1197,Korrelation!I$4:I$1197,"",0),DMAV_Dienste!$F$6:$F$140,0)))</f>
        <v>0</v>
      </c>
      <c r="G666" s="57">
        <f>IF($A666="","",IF(_xlfn.XLOOKUP($A666,Korrelation!$D$4:$D$1197,Korrelation!J$4:J$1197,"-",0)="-",0,MATCH(_xlfn.XLOOKUP($A666,Korrelation!$D$4:$D$1197,Korrelation!J$4:J$1197,"",0),DMAV_Dienste!$F$6:$F$140,0)))</f>
        <v>0</v>
      </c>
      <c r="H666" s="57">
        <f>IF($A666="","",IF(_xlfn.XLOOKUP($A666,Korrelation!$D$4:$D$1197,Korrelation!K$4:K$1197,"-",0)="-",0,MATCH(_xlfn.XLOOKUP($A666,Korrelation!$D$4:$D$1197,Korrelation!K$4:K$1197,"",0),'DM01-AV-CH'!$A$6:$A$834,0)))</f>
        <v>0</v>
      </c>
      <c r="J666" s="54" t="str" cm="1">
        <f t="array" aca="1" ref="J666" ca="1">IF(B666=0,IF(E666=0,"",HYPERLINK("#"&amp;RIGHT(CELL("adresse",OFFSET(DMAV_Dienste!$M$6,E666-1,0)),LEN(CELL("adresse",OFFSET(DMAV_Dienste!$M$6,E666-1,0)))-FIND("]",CELL("adresse",OFFSET(DMAV_Dienste!$M$6,E666-1,0)))),"Dienst")),HYPERLINK("#"&amp;RIGHT(CELL("adresse",OFFSET(DMAV_Modell!$N$6,B666-1,0)),LEN(CELL("adresse",OFFSET(DMAV_Modell!$N$6,B666-1,0)))-FIND("]",CELL("adresse",OFFSET(DMAV_Modell!$N$6,B666-1,0)))),"Modell"))</f>
        <v>Modell</v>
      </c>
      <c r="K666" s="61" t="str" cm="1">
        <f t="array" ref="K666">IF($B666=0,IF($E666=0,"",IF(INDEX(DMAV_Dienste!P$6:P$140,$E666)="","",INDEX(DMAV_Dienste!P$6:P$140,$E666))),IF(INDEX(DMAV_Modell!Q$6:Q$838,$B666)="","",INDEX(DMAV_Modell!Q$6:Q$838,$B666)))</f>
        <v>VIEW</v>
      </c>
      <c r="L666" s="62" t="str" cm="1">
        <f t="array" ref="L666">IF($B666=0,IF($E666=0,"",IF(INDEX(DMAV_Dienste!O$6:O$140,$E666)="","",INDEX(DMAV_Dienste!O$6:O$140,$E666))),IF(INDEX(DMAV_Modell!P$6:P$838,$B666)="","",INDEX(DMAV_Modell!P$6:P$838,$B666)))</f>
        <v>DauerndeBodenverschiebungen</v>
      </c>
      <c r="M666" s="62" t="str" cm="1">
        <f t="array" ref="M666">IF($B666=0,IF($E666=0,"",IF(INDEX(DMAV_Dienste!Q$6:Q$140,$E666)="","",INDEX(DMAV_Dienste!Q$6:Q$140,$E666))),IF(INDEX(DMAV_Modell!R$6:R$838,$B666)="","",INDEX(DMAV_Modell!R$6:R$838,$B666)))</f>
        <v>DauerndeBodenverschiebung_Gueltig</v>
      </c>
      <c r="N666" s="62" t="str" cm="1">
        <f t="array" ref="N666">IF($B666=0,IF($E666=0,"",IF(INDEX(DMAV_Dienste!T$6:T$140,$E666)="","",INDEX(DMAV_Dienste!T$6:T$140,$E666))),IF(INDEX(DMAV_Modell!U$6:U$838,$B666)="","",INDEX(DMAV_Modell!U$6:U$838,$B666)))</f>
        <v>Identifikator</v>
      </c>
      <c r="O666" s="63" t="str" cm="1">
        <f t="array" aca="1" ref="O666" ca="1">IF(C666=0,IF(F666=0,"",HYPERLINK("#"&amp;RIGHT(CELL("adresse",OFFSET(DMAV_Dienste!$M$6,F666-1,0)),LEN(CELL("adresse",OFFSET(DMAV_Dienste!$M$6,F666-1,0)))-FIND("]",CELL("adresse",OFFSET(DMAV_Dienste!$M$6,F666-1,0)))),"Structure")),HYPERLINK("#"&amp;RIGHT(CELL("adresse",OFFSET(DMAV_Modell!$N$6,C666-1,0)),LEN(CELL("adresse",OFFSET(DMAV_Modell!$N$6,C666-1,0)))-FIND("]",CELL("adresse",OFFSET(DMAV_Modell!$N$6,C666-1,0)))),"Structure"))</f>
        <v/>
      </c>
      <c r="P666" s="64" t="str" cm="1">
        <f t="array" aca="1" ref="P666" ca="1">IF(D666=0,IF(G666=0,"",HYPERLINK("#"&amp;RIGHT(CELL("adresse",OFFSET(DMAV_Dienste!$M$6,G666-1,0)),LEN(CELL("adresse",OFFSET(DMAV_Dienste!$M$6,G666-1,0)))-FIND("]",CELL("adresse",OFFSET(DMAV_Dienste!$M$6,G666-1,0)))),"Substructure")),HYPERLINK("#"&amp;RIGHT(CELL("adresse",OFFSET(DMAV_Modell!$N$6,D666-1,0)),LEN(CELL("adresse",OFFSET(DMAV_Modell!$N$6,D666-1,0)))-FIND("]",CELL("adresse",OFFSET(DMAV_Modell!$N$6,D666-1,0)))),"Substructure"))</f>
        <v/>
      </c>
      <c r="R666" s="80"/>
      <c r="T666" s="93"/>
      <c r="U666" s="94"/>
      <c r="V666" s="95"/>
      <c r="W666" s="96"/>
      <c r="Y666" s="85"/>
      <c r="Z666" s="86"/>
      <c r="AA666" s="87"/>
      <c r="AB666" s="88"/>
      <c r="AD666" s="77"/>
      <c r="AF666" s="54" t="str" cm="1">
        <f t="array" aca="1" ref="AF666" ca="1">IF(H666=0,"",HYPERLINK("#"&amp;RIGHT(CELL("adresse",OFFSET('DM01-AV-CH'!$G$6,H666-1,0)),LEN(CELL("adresse",OFFSET('DM01-AV-CH'!$G$6,H666-1,0)))-FIND("]",CELL("adresse",OFFSET('DM01-AV-CH'!$G$6,H666-1,0)))),"Modell"))</f>
        <v/>
      </c>
      <c r="AG666" s="72" t="str" cm="1">
        <f t="array" ref="AG666">IF($H666=0,"",IF(INDEX('DM01-AV-CH'!G$6:G$834,$H666)="","",INDEX('DM01-AV-CH'!G$6:G$834,$H666)))</f>
        <v/>
      </c>
      <c r="AH666" s="73" t="str" cm="1">
        <f t="array" ref="AH666">IF($H666=0,"",IF(INDEX('DM01-AV-CH'!H$6:H$834,$H666)="","",INDEX('DM01-AV-CH'!H$6:H$834,$H666)))</f>
        <v/>
      </c>
      <c r="AI666" s="74" t="str" cm="1">
        <f t="array" ref="AI666">IF($H666=0,"",IF(INDEX('DM01-AV-CH'!I$6:I$834,$H666)="","",INDEX('DM01-AV-CH'!I$6:I$834,$H666)))</f>
        <v/>
      </c>
    </row>
    <row r="667" spans="1:35" x14ac:dyDescent="0.25">
      <c r="A667" s="57">
        <v>662</v>
      </c>
      <c r="B667" s="57">
        <f>IF($A667="","",IF(_xlfn.XLOOKUP($A667,Korrelation!$D$4:$D$1197,Korrelation!E$4:E$1197,"-",0)="-",0,MATCH(_xlfn.XLOOKUP($A667,Korrelation!$D$4:$D$1197,Korrelation!E$4:E$1197,"",0),DMAV_Modell!$G$6:$G$677,0)))</f>
        <v>365</v>
      </c>
      <c r="C667" s="57">
        <f>IF($A667="","",IF(_xlfn.XLOOKUP($A667,Korrelation!$D$4:$D$1197,Korrelation!F$4:F$1197,"-",0)="-",0,MATCH(_xlfn.XLOOKUP($A667,Korrelation!$D$4:$D$1197,Korrelation!F$4:F$1197,"",0),DMAV_Modell!$G$6:$G$677,0)))</f>
        <v>0</v>
      </c>
      <c r="D667" s="57">
        <f>IF($A667="","",IF(_xlfn.XLOOKUP($A667,Korrelation!$D$4:$D$1197,Korrelation!G$4:G$1197,"-",0)="-",0,MATCH(_xlfn.XLOOKUP($A667,Korrelation!$D$4:$D$1197,Korrelation!G$4:G$1197,"",0),DMAV_Modell!$G$6:$G$677,0)))</f>
        <v>0</v>
      </c>
      <c r="E667" s="57">
        <f>IF($A667="","",IF(_xlfn.XLOOKUP($A667,Korrelation!$D$4:$D$1197,Korrelation!H$4:H$1197,"-",0)="-",0,MATCH(_xlfn.XLOOKUP($A667,Korrelation!$D$4:$D$1197,Korrelation!H$4:H$1197,"",0),DMAV_Dienste!$F$6:$F$140,0)))</f>
        <v>0</v>
      </c>
      <c r="F667" s="57">
        <f>IF($A667="","",IF(_xlfn.XLOOKUP($A667,Korrelation!$D$4:$D$1197,Korrelation!I$4:I$1197,"-",0)="-",0,MATCH(_xlfn.XLOOKUP($A667,Korrelation!$D$4:$D$1197,Korrelation!I$4:I$1197,"",0),DMAV_Dienste!$F$6:$F$140,0)))</f>
        <v>0</v>
      </c>
      <c r="G667" s="57">
        <f>IF($A667="","",IF(_xlfn.XLOOKUP($A667,Korrelation!$D$4:$D$1197,Korrelation!J$4:J$1197,"-",0)="-",0,MATCH(_xlfn.XLOOKUP($A667,Korrelation!$D$4:$D$1197,Korrelation!J$4:J$1197,"",0),DMAV_Dienste!$F$6:$F$140,0)))</f>
        <v>0</v>
      </c>
      <c r="H667" s="57">
        <f>IF($A667="","",IF(_xlfn.XLOOKUP($A667,Korrelation!$D$4:$D$1197,Korrelation!K$4:K$1197,"-",0)="-",0,MATCH(_xlfn.XLOOKUP($A667,Korrelation!$D$4:$D$1197,Korrelation!K$4:K$1197,"",0),'DM01-AV-CH'!$A$6:$A$834,0)))</f>
        <v>0</v>
      </c>
      <c r="J667" s="54" t="str" cm="1">
        <f t="array" aca="1" ref="J667" ca="1">IF(B667=0,IF(E667=0,"",HYPERLINK("#"&amp;RIGHT(CELL("adresse",OFFSET(DMAV_Dienste!$M$6,E667-1,0)),LEN(CELL("adresse",OFFSET(DMAV_Dienste!$M$6,E667-1,0)))-FIND("]",CELL("adresse",OFFSET(DMAV_Dienste!$M$6,E667-1,0)))),"Dienst")),HYPERLINK("#"&amp;RIGHT(CELL("adresse",OFFSET(DMAV_Modell!$N$6,B667-1,0)),LEN(CELL("adresse",OFFSET(DMAV_Modell!$N$6,B667-1,0)))-FIND("]",CELL("adresse",OFFSET(DMAV_Modell!$N$6,B667-1,0)))),"Modell"))</f>
        <v>Modell</v>
      </c>
      <c r="K667" s="61" t="str" cm="1">
        <f t="array" ref="K667">IF($B667=0,IF($E667=0,"",IF(INDEX(DMAV_Dienste!P$6:P$140,$E667)="","",INDEX(DMAV_Dienste!P$6:P$140,$E667))),IF(INDEX(DMAV_Modell!Q$6:Q$838,$B667)="","",INDEX(DMAV_Modell!Q$6:Q$838,$B667)))</f>
        <v>IMPORTS</v>
      </c>
      <c r="L667" s="62" t="str" cm="1">
        <f t="array" ref="L667">IF($B667=0,IF($E667=0,"",IF(INDEX(DMAV_Dienste!O$6:O$140,$E667)="","",INDEX(DMAV_Dienste!O$6:O$140,$E667))),IF(INDEX(DMAV_Modell!P$6:P$838,$B667)="","",INDEX(DMAV_Modell!P$6:P$838,$B667)))</f>
        <v/>
      </c>
      <c r="M667" s="62" t="str" cm="1">
        <f t="array" ref="M667">IF($B667=0,IF($E667=0,"",IF(INDEX(DMAV_Dienste!Q$6:Q$140,$E667)="","",INDEX(DMAV_Dienste!Q$6:Q$140,$E667))),IF(INDEX(DMAV_Modell!R$6:R$838,$B667)="","",INDEX(DMAV_Modell!R$6:R$838,$B667)))</f>
        <v>GeometryCHLV95_V2</v>
      </c>
      <c r="N667" s="62" t="str" cm="1">
        <f t="array" ref="N667">IF($B667=0,IF($E667=0,"",IF(INDEX(DMAV_Dienste!T$6:T$140,$E667)="","",INDEX(DMAV_Dienste!T$6:T$140,$E667))),IF(INDEX(DMAV_Modell!U$6:U$838,$B667)="","",INDEX(DMAV_Modell!U$6:U$838,$B667)))</f>
        <v/>
      </c>
      <c r="O667" s="63" t="str" cm="1">
        <f t="array" aca="1" ref="O667" ca="1">IF(C667=0,IF(F667=0,"",HYPERLINK("#"&amp;RIGHT(CELL("adresse",OFFSET(DMAV_Dienste!$M$6,F667-1,0)),LEN(CELL("adresse",OFFSET(DMAV_Dienste!$M$6,F667-1,0)))-FIND("]",CELL("adresse",OFFSET(DMAV_Dienste!$M$6,F667-1,0)))),"Structure")),HYPERLINK("#"&amp;RIGHT(CELL("adresse",OFFSET(DMAV_Modell!$N$6,C667-1,0)),LEN(CELL("adresse",OFFSET(DMAV_Modell!$N$6,C667-1,0)))-FIND("]",CELL("adresse",OFFSET(DMAV_Modell!$N$6,C667-1,0)))),"Structure"))</f>
        <v/>
      </c>
      <c r="P667" s="64" t="str" cm="1">
        <f t="array" aca="1" ref="P667" ca="1">IF(D667=0,IF(G667=0,"",HYPERLINK("#"&amp;RIGHT(CELL("adresse",OFFSET(DMAV_Dienste!$M$6,G667-1,0)),LEN(CELL("adresse",OFFSET(DMAV_Dienste!$M$6,G667-1,0)))-FIND("]",CELL("adresse",OFFSET(DMAV_Dienste!$M$6,G667-1,0)))),"Substructure")),HYPERLINK("#"&amp;RIGHT(CELL("adresse",OFFSET(DMAV_Modell!$N$6,D667-1,0)),LEN(CELL("adresse",OFFSET(DMAV_Modell!$N$6,D667-1,0)))-FIND("]",CELL("adresse",OFFSET(DMAV_Modell!$N$6,D667-1,0)))),"Substructure"))</f>
        <v/>
      </c>
      <c r="R667" s="80"/>
      <c r="T667" s="93"/>
      <c r="U667" s="94"/>
      <c r="V667" s="95"/>
      <c r="W667" s="96"/>
      <c r="Y667" s="85"/>
      <c r="Z667" s="86"/>
      <c r="AA667" s="87"/>
      <c r="AB667" s="88"/>
      <c r="AD667" s="77"/>
      <c r="AF667" s="54" t="str" cm="1">
        <f t="array" aca="1" ref="AF667" ca="1">IF(H667=0,"",HYPERLINK("#"&amp;RIGHT(CELL("adresse",OFFSET('DM01-AV-CH'!$G$6,H667-1,0)),LEN(CELL("adresse",OFFSET('DM01-AV-CH'!$G$6,H667-1,0)))-FIND("]",CELL("adresse",OFFSET('DM01-AV-CH'!$G$6,H667-1,0)))),"Modell"))</f>
        <v/>
      </c>
      <c r="AG667" s="72" t="str" cm="1">
        <f t="array" ref="AG667">IF($H667=0,"",IF(INDEX('DM01-AV-CH'!G$6:G$834,$H667)="","",INDEX('DM01-AV-CH'!G$6:G$834,$H667)))</f>
        <v/>
      </c>
      <c r="AH667" s="73" t="str" cm="1">
        <f t="array" ref="AH667">IF($H667=0,"",IF(INDEX('DM01-AV-CH'!H$6:H$834,$H667)="","",INDEX('DM01-AV-CH'!H$6:H$834,$H667)))</f>
        <v/>
      </c>
      <c r="AI667" s="74" t="str" cm="1">
        <f t="array" ref="AI667">IF($H667=0,"",IF(INDEX('DM01-AV-CH'!I$6:I$834,$H667)="","",INDEX('DM01-AV-CH'!I$6:I$834,$H667)))</f>
        <v/>
      </c>
    </row>
    <row r="668" spans="1:35" x14ac:dyDescent="0.25">
      <c r="A668" s="57">
        <v>663</v>
      </c>
      <c r="B668" s="57">
        <f>IF($A668="","",IF(_xlfn.XLOOKUP($A668,Korrelation!$D$4:$D$1197,Korrelation!E$4:E$1197,"-",0)="-",0,MATCH(_xlfn.XLOOKUP($A668,Korrelation!$D$4:$D$1197,Korrelation!E$4:E$1197,"",0),DMAV_Modell!$G$6:$G$677,0)))</f>
        <v>366</v>
      </c>
      <c r="C668" s="57">
        <f>IF($A668="","",IF(_xlfn.XLOOKUP($A668,Korrelation!$D$4:$D$1197,Korrelation!F$4:F$1197,"-",0)="-",0,MATCH(_xlfn.XLOOKUP($A668,Korrelation!$D$4:$D$1197,Korrelation!F$4:F$1197,"",0),DMAV_Modell!$G$6:$G$677,0)))</f>
        <v>0</v>
      </c>
      <c r="D668" s="57">
        <f>IF($A668="","",IF(_xlfn.XLOOKUP($A668,Korrelation!$D$4:$D$1197,Korrelation!G$4:G$1197,"-",0)="-",0,MATCH(_xlfn.XLOOKUP($A668,Korrelation!$D$4:$D$1197,Korrelation!G$4:G$1197,"",0),DMAV_Modell!$G$6:$G$677,0)))</f>
        <v>0</v>
      </c>
      <c r="E668" s="57">
        <f>IF($A668="","",IF(_xlfn.XLOOKUP($A668,Korrelation!$D$4:$D$1197,Korrelation!H$4:H$1197,"-",0)="-",0,MATCH(_xlfn.XLOOKUP($A668,Korrelation!$D$4:$D$1197,Korrelation!H$4:H$1197,"",0),DMAV_Dienste!$F$6:$F$140,0)))</f>
        <v>0</v>
      </c>
      <c r="F668" s="57">
        <f>IF($A668="","",IF(_xlfn.XLOOKUP($A668,Korrelation!$D$4:$D$1197,Korrelation!I$4:I$1197,"-",0)="-",0,MATCH(_xlfn.XLOOKUP($A668,Korrelation!$D$4:$D$1197,Korrelation!I$4:I$1197,"",0),DMAV_Dienste!$F$6:$F$140,0)))</f>
        <v>0</v>
      </c>
      <c r="G668" s="57">
        <f>IF($A668="","",IF(_xlfn.XLOOKUP($A668,Korrelation!$D$4:$D$1197,Korrelation!J$4:J$1197,"-",0)="-",0,MATCH(_xlfn.XLOOKUP($A668,Korrelation!$D$4:$D$1197,Korrelation!J$4:J$1197,"",0),DMAV_Dienste!$F$6:$F$140,0)))</f>
        <v>0</v>
      </c>
      <c r="H668" s="57">
        <f>IF($A668="","",IF(_xlfn.XLOOKUP($A668,Korrelation!$D$4:$D$1197,Korrelation!K$4:K$1197,"-",0)="-",0,MATCH(_xlfn.XLOOKUP($A668,Korrelation!$D$4:$D$1197,Korrelation!K$4:K$1197,"",0),'DM01-AV-CH'!$A$6:$A$834,0)))</f>
        <v>0</v>
      </c>
      <c r="J668" s="54" t="str" cm="1">
        <f t="array" aca="1" ref="J668" ca="1">IF(B668=0,IF(E668=0,"",HYPERLINK("#"&amp;RIGHT(CELL("adresse",OFFSET(DMAV_Dienste!$M$6,E668-1,0)),LEN(CELL("adresse",OFFSET(DMAV_Dienste!$M$6,E668-1,0)))-FIND("]",CELL("adresse",OFFSET(DMAV_Dienste!$M$6,E668-1,0)))),"Dienst")),HYPERLINK("#"&amp;RIGHT(CELL("adresse",OFFSET(DMAV_Modell!$N$6,B668-1,0)),LEN(CELL("adresse",OFFSET(DMAV_Modell!$N$6,B668-1,0)))-FIND("]",CELL("adresse",OFFSET(DMAV_Modell!$N$6,B668-1,0)))),"Modell"))</f>
        <v>Modell</v>
      </c>
      <c r="K668" s="61" t="str" cm="1">
        <f t="array" ref="K668">IF($B668=0,IF($E668=0,"",IF(INDEX(DMAV_Dienste!P$6:P$140,$E668)="","",INDEX(DMAV_Dienste!P$6:P$140,$E668))),IF(INDEX(DMAV_Modell!Q$6:Q$838,$B668)="","",INDEX(DMAV_Modell!Q$6:Q$838,$B668)))</f>
        <v>IMPORTS</v>
      </c>
      <c r="L668" s="62" t="str" cm="1">
        <f t="array" ref="L668">IF($B668=0,IF($E668=0,"",IF(INDEX(DMAV_Dienste!O$6:O$140,$E668)="","",INDEX(DMAV_Dienste!O$6:O$140,$E668))),IF(INDEX(DMAV_Modell!P$6:P$838,$B668)="","",INDEX(DMAV_Modell!P$6:P$838,$B668)))</f>
        <v/>
      </c>
      <c r="M668" s="62" t="str" cm="1">
        <f t="array" ref="M668">IF($B668=0,IF($E668=0,"",IF(INDEX(DMAV_Dienste!Q$6:Q$140,$E668)="","",INDEX(DMAV_Dienste!Q$6:Q$140,$E668))),IF(INDEX(DMAV_Modell!R$6:R$838,$B668)="","",INDEX(DMAV_Modell!R$6:R$838,$B668)))</f>
        <v>DMAVTYM_Grafik_V1_0</v>
      </c>
      <c r="N668" s="62" t="str" cm="1">
        <f t="array" ref="N668">IF($B668=0,IF($E668=0,"",IF(INDEX(DMAV_Dienste!T$6:T$140,$E668)="","",INDEX(DMAV_Dienste!T$6:T$140,$E668))),IF(INDEX(DMAV_Modell!U$6:U$838,$B668)="","",INDEX(DMAV_Modell!U$6:U$838,$B668)))</f>
        <v/>
      </c>
      <c r="O668" s="63" t="str" cm="1">
        <f t="array" aca="1" ref="O668" ca="1">IF(C668=0,IF(F668=0,"",HYPERLINK("#"&amp;RIGHT(CELL("adresse",OFFSET(DMAV_Dienste!$M$6,F668-1,0)),LEN(CELL("adresse",OFFSET(DMAV_Dienste!$M$6,F668-1,0)))-FIND("]",CELL("adresse",OFFSET(DMAV_Dienste!$M$6,F668-1,0)))),"Structure")),HYPERLINK("#"&amp;RIGHT(CELL("adresse",OFFSET(DMAV_Modell!$N$6,C668-1,0)),LEN(CELL("adresse",OFFSET(DMAV_Modell!$N$6,C668-1,0)))-FIND("]",CELL("adresse",OFFSET(DMAV_Modell!$N$6,C668-1,0)))),"Structure"))</f>
        <v/>
      </c>
      <c r="P668" s="64" t="str" cm="1">
        <f t="array" aca="1" ref="P668" ca="1">IF(D668=0,IF(G668=0,"",HYPERLINK("#"&amp;RIGHT(CELL("adresse",OFFSET(DMAV_Dienste!$M$6,G668-1,0)),LEN(CELL("adresse",OFFSET(DMAV_Dienste!$M$6,G668-1,0)))-FIND("]",CELL("adresse",OFFSET(DMAV_Dienste!$M$6,G668-1,0)))),"Substructure")),HYPERLINK("#"&amp;RIGHT(CELL("adresse",OFFSET(DMAV_Modell!$N$6,D668-1,0)),LEN(CELL("adresse",OFFSET(DMAV_Modell!$N$6,D668-1,0)))-FIND("]",CELL("adresse",OFFSET(DMAV_Modell!$N$6,D668-1,0)))),"Substructure"))</f>
        <v/>
      </c>
      <c r="R668" s="80"/>
      <c r="T668" s="93"/>
      <c r="U668" s="94"/>
      <c r="V668" s="95"/>
      <c r="W668" s="96"/>
      <c r="Y668" s="85"/>
      <c r="Z668" s="86"/>
      <c r="AA668" s="87"/>
      <c r="AB668" s="88"/>
      <c r="AD668" s="77"/>
      <c r="AF668" s="54" t="str" cm="1">
        <f t="array" aca="1" ref="AF668" ca="1">IF(H668=0,"",HYPERLINK("#"&amp;RIGHT(CELL("adresse",OFFSET('DM01-AV-CH'!$G$6,H668-1,0)),LEN(CELL("adresse",OFFSET('DM01-AV-CH'!$G$6,H668-1,0)))-FIND("]",CELL("adresse",OFFSET('DM01-AV-CH'!$G$6,H668-1,0)))),"Modell"))</f>
        <v/>
      </c>
      <c r="AG668" s="72" t="str" cm="1">
        <f t="array" ref="AG668">IF($H668=0,"",IF(INDEX('DM01-AV-CH'!G$6:G$834,$H668)="","",INDEX('DM01-AV-CH'!G$6:G$834,$H668)))</f>
        <v/>
      </c>
      <c r="AH668" s="73" t="str" cm="1">
        <f t="array" ref="AH668">IF($H668=0,"",IF(INDEX('DM01-AV-CH'!H$6:H$834,$H668)="","",INDEX('DM01-AV-CH'!H$6:H$834,$H668)))</f>
        <v/>
      </c>
      <c r="AI668" s="74" t="str" cm="1">
        <f t="array" ref="AI668">IF($H668=0,"",IF(INDEX('DM01-AV-CH'!I$6:I$834,$H668)="","",INDEX('DM01-AV-CH'!I$6:I$834,$H668)))</f>
        <v/>
      </c>
    </row>
    <row r="669" spans="1:35" x14ac:dyDescent="0.25">
      <c r="A669" s="57">
        <v>664</v>
      </c>
      <c r="B669" s="57">
        <f>IF($A669="","",IF(_xlfn.XLOOKUP($A669,Korrelation!$D$4:$D$1197,Korrelation!E$4:E$1197,"-",0)="-",0,MATCH(_xlfn.XLOOKUP($A669,Korrelation!$D$4:$D$1197,Korrelation!E$4:E$1197,"",0),DMAV_Modell!$G$6:$G$677,0)))</f>
        <v>367</v>
      </c>
      <c r="C669" s="57">
        <f>IF($A669="","",IF(_xlfn.XLOOKUP($A669,Korrelation!$D$4:$D$1197,Korrelation!F$4:F$1197,"-",0)="-",0,MATCH(_xlfn.XLOOKUP($A669,Korrelation!$D$4:$D$1197,Korrelation!F$4:F$1197,"",0),DMAV_Modell!$G$6:$G$677,0)))</f>
        <v>0</v>
      </c>
      <c r="D669" s="57">
        <f>IF($A669="","",IF(_xlfn.XLOOKUP($A669,Korrelation!$D$4:$D$1197,Korrelation!G$4:G$1197,"-",0)="-",0,MATCH(_xlfn.XLOOKUP($A669,Korrelation!$D$4:$D$1197,Korrelation!G$4:G$1197,"",0),DMAV_Modell!$G$6:$G$677,0)))</f>
        <v>0</v>
      </c>
      <c r="E669" s="57">
        <f>IF($A669="","",IF(_xlfn.XLOOKUP($A669,Korrelation!$D$4:$D$1197,Korrelation!H$4:H$1197,"-",0)="-",0,MATCH(_xlfn.XLOOKUP($A669,Korrelation!$D$4:$D$1197,Korrelation!H$4:H$1197,"",0),DMAV_Dienste!$F$6:$F$140,0)))</f>
        <v>0</v>
      </c>
      <c r="F669" s="57">
        <f>IF($A669="","",IF(_xlfn.XLOOKUP($A669,Korrelation!$D$4:$D$1197,Korrelation!I$4:I$1197,"-",0)="-",0,MATCH(_xlfn.XLOOKUP($A669,Korrelation!$D$4:$D$1197,Korrelation!I$4:I$1197,"",0),DMAV_Dienste!$F$6:$F$140,0)))</f>
        <v>0</v>
      </c>
      <c r="G669" s="57">
        <f>IF($A669="","",IF(_xlfn.XLOOKUP($A669,Korrelation!$D$4:$D$1197,Korrelation!J$4:J$1197,"-",0)="-",0,MATCH(_xlfn.XLOOKUP($A669,Korrelation!$D$4:$D$1197,Korrelation!J$4:J$1197,"",0),DMAV_Dienste!$F$6:$F$140,0)))</f>
        <v>0</v>
      </c>
      <c r="H669" s="57">
        <f>IF($A669="","",IF(_xlfn.XLOOKUP($A669,Korrelation!$D$4:$D$1197,Korrelation!K$4:K$1197,"-",0)="-",0,MATCH(_xlfn.XLOOKUP($A669,Korrelation!$D$4:$D$1197,Korrelation!K$4:K$1197,"",0),'DM01-AV-CH'!$A$6:$A$834,0)))</f>
        <v>377</v>
      </c>
      <c r="J669" s="54" t="str" cm="1">
        <f t="array" aca="1" ref="J669" ca="1">IF(B669=0,IF(E669=0,"",HYPERLINK("#"&amp;RIGHT(CELL("adresse",OFFSET(DMAV_Dienste!$M$6,E669-1,0)),LEN(CELL("adresse",OFFSET(DMAV_Dienste!$M$6,E669-1,0)))-FIND("]",CELL("adresse",OFFSET(DMAV_Dienste!$M$6,E669-1,0)))),"Dienst")),HYPERLINK("#"&amp;RIGHT(CELL("adresse",OFFSET(DMAV_Modell!$N$6,B669-1,0)),LEN(CELL("adresse",OFFSET(DMAV_Modell!$N$6,B669-1,0)))-FIND("]",CELL("adresse",OFFSET(DMAV_Modell!$N$6,B669-1,0)))),"Modell"))</f>
        <v>Modell</v>
      </c>
      <c r="K669" s="61" t="str" cm="1">
        <f t="array" ref="K669">IF($B669=0,IF($E669=0,"",IF(INDEX(DMAV_Dienste!P$6:P$140,$E669)="","",INDEX(DMAV_Dienste!P$6:P$140,$E669))),IF(INDEX(DMAV_Modell!Q$6:Q$838,$B669)="","",INDEX(DMAV_Modell!Q$6:Q$838,$B669)))</f>
        <v>CLASS</v>
      </c>
      <c r="L669" s="62" t="str" cm="1">
        <f t="array" ref="L669">IF($B669=0,IF($E669=0,"",IF(INDEX(DMAV_Dienste!O$6:O$140,$E669)="","",INDEX(DMAV_Dienste!O$6:O$140,$E669))),IF(INDEX(DMAV_Modell!P$6:P$838,$B669)="","",INDEX(DMAV_Modell!P$6:P$838,$B669)))</f>
        <v>Nomenklatur</v>
      </c>
      <c r="M669" s="62" t="str" cm="1">
        <f t="array" ref="M669">IF($B669=0,IF($E669=0,"",IF(INDEX(DMAV_Dienste!Q$6:Q$140,$E669)="","",INDEX(DMAV_Dienste!Q$6:Q$140,$E669))),IF(INDEX(DMAV_Modell!R$6:R$838,$B669)="","",INDEX(DMAV_Modell!R$6:R$838,$B669)))</f>
        <v>NKNachfuehrung</v>
      </c>
      <c r="N669" s="62" t="str" cm="1">
        <f t="array" ref="N669">IF($B669=0,IF($E669=0,"",IF(INDEX(DMAV_Dienste!T$6:T$140,$E669)="","",INDEX(DMAV_Dienste!T$6:T$140,$E669))),IF(INDEX(DMAV_Modell!U$6:U$838,$B669)="","",INDEX(DMAV_Modell!U$6:U$838,$B669)))</f>
        <v>NBIdent</v>
      </c>
      <c r="O669" s="63" t="str" cm="1">
        <f t="array" aca="1" ref="O669" ca="1">IF(C669=0,IF(F669=0,"",HYPERLINK("#"&amp;RIGHT(CELL("adresse",OFFSET(DMAV_Dienste!$M$6,F669-1,0)),LEN(CELL("adresse",OFFSET(DMAV_Dienste!$M$6,F669-1,0)))-FIND("]",CELL("adresse",OFFSET(DMAV_Dienste!$M$6,F669-1,0)))),"Structure")),HYPERLINK("#"&amp;RIGHT(CELL("adresse",OFFSET(DMAV_Modell!$N$6,C669-1,0)),LEN(CELL("adresse",OFFSET(DMAV_Modell!$N$6,C669-1,0)))-FIND("]",CELL("adresse",OFFSET(DMAV_Modell!$N$6,C669-1,0)))),"Structure"))</f>
        <v/>
      </c>
      <c r="P669" s="64" t="str" cm="1">
        <f t="array" aca="1" ref="P669" ca="1">IF(D669=0,IF(G669=0,"",HYPERLINK("#"&amp;RIGHT(CELL("adresse",OFFSET(DMAV_Dienste!$M$6,G669-1,0)),LEN(CELL("adresse",OFFSET(DMAV_Dienste!$M$6,G669-1,0)))-FIND("]",CELL("adresse",OFFSET(DMAV_Dienste!$M$6,G669-1,0)))),"Substructure")),HYPERLINK("#"&amp;RIGHT(CELL("adresse",OFFSET(DMAV_Modell!$N$6,D669-1,0)),LEN(CELL("adresse",OFFSET(DMAV_Modell!$N$6,D669-1,0)))-FIND("]",CELL("adresse",OFFSET(DMAV_Modell!$N$6,D669-1,0)))),"Substructure"))</f>
        <v/>
      </c>
      <c r="R669" s="80"/>
      <c r="T669" s="93"/>
      <c r="U669" s="94"/>
      <c r="V669" s="95"/>
      <c r="W669" s="96"/>
      <c r="Y669" s="85"/>
      <c r="Z669" s="86"/>
      <c r="AA669" s="87"/>
      <c r="AB669" s="88"/>
      <c r="AD669" s="77"/>
      <c r="AF669" s="54" t="str" cm="1">
        <f t="array" aca="1" ref="AF669" ca="1">IF(H669=0,"",HYPERLINK("#"&amp;RIGHT(CELL("adresse",OFFSET('DM01-AV-CH'!$G$6,H669-1,0)),LEN(CELL("adresse",OFFSET('DM01-AV-CH'!$G$6,H669-1,0)))-FIND("]",CELL("adresse",OFFSET('DM01-AV-CH'!$G$6,H669-1,0)))),"Modell"))</f>
        <v>Modell</v>
      </c>
      <c r="AG669" s="72" t="str" cm="1">
        <f t="array" ref="AG669">IF($H669=0,"",IF(INDEX('DM01-AV-CH'!G$6:G$834,$H669)="","",INDEX('DM01-AV-CH'!G$6:G$834,$H669)))</f>
        <v>Nomenklatur</v>
      </c>
      <c r="AH669" s="73" t="str" cm="1">
        <f t="array" ref="AH669">IF($H669=0,"",IF(INDEX('DM01-AV-CH'!H$6:H$834,$H669)="","",INDEX('DM01-AV-CH'!H$6:H$834,$H669)))</f>
        <v>NKNachfuehrung</v>
      </c>
      <c r="AI669" s="74" t="str" cm="1">
        <f t="array" ref="AI669">IF($H669=0,"",IF(INDEX('DM01-AV-CH'!I$6:I$834,$H669)="","",INDEX('DM01-AV-CH'!I$6:I$834,$H669)))</f>
        <v>NBIdent</v>
      </c>
    </row>
    <row r="670" spans="1:35" x14ac:dyDescent="0.25">
      <c r="A670" s="57">
        <v>665</v>
      </c>
      <c r="B670" s="57">
        <f>IF($A670="","",IF(_xlfn.XLOOKUP($A670,Korrelation!$D$4:$D$1197,Korrelation!E$4:E$1197,"-",0)="-",0,MATCH(_xlfn.XLOOKUP($A670,Korrelation!$D$4:$D$1197,Korrelation!E$4:E$1197,"",0),DMAV_Modell!$G$6:$G$677,0)))</f>
        <v>368</v>
      </c>
      <c r="C670" s="57">
        <f>IF($A670="","",IF(_xlfn.XLOOKUP($A670,Korrelation!$D$4:$D$1197,Korrelation!F$4:F$1197,"-",0)="-",0,MATCH(_xlfn.XLOOKUP($A670,Korrelation!$D$4:$D$1197,Korrelation!F$4:F$1197,"",0),DMAV_Modell!$G$6:$G$677,0)))</f>
        <v>0</v>
      </c>
      <c r="D670" s="57">
        <f>IF($A670="","",IF(_xlfn.XLOOKUP($A670,Korrelation!$D$4:$D$1197,Korrelation!G$4:G$1197,"-",0)="-",0,MATCH(_xlfn.XLOOKUP($A670,Korrelation!$D$4:$D$1197,Korrelation!G$4:G$1197,"",0),DMAV_Modell!$G$6:$G$677,0)))</f>
        <v>0</v>
      </c>
      <c r="E670" s="57">
        <f>IF($A670="","",IF(_xlfn.XLOOKUP($A670,Korrelation!$D$4:$D$1197,Korrelation!H$4:H$1197,"-",0)="-",0,MATCH(_xlfn.XLOOKUP($A670,Korrelation!$D$4:$D$1197,Korrelation!H$4:H$1197,"",0),DMAV_Dienste!$F$6:$F$140,0)))</f>
        <v>0</v>
      </c>
      <c r="F670" s="57">
        <f>IF($A670="","",IF(_xlfn.XLOOKUP($A670,Korrelation!$D$4:$D$1197,Korrelation!I$4:I$1197,"-",0)="-",0,MATCH(_xlfn.XLOOKUP($A670,Korrelation!$D$4:$D$1197,Korrelation!I$4:I$1197,"",0),DMAV_Dienste!$F$6:$F$140,0)))</f>
        <v>0</v>
      </c>
      <c r="G670" s="57">
        <f>IF($A670="","",IF(_xlfn.XLOOKUP($A670,Korrelation!$D$4:$D$1197,Korrelation!J$4:J$1197,"-",0)="-",0,MATCH(_xlfn.XLOOKUP($A670,Korrelation!$D$4:$D$1197,Korrelation!J$4:J$1197,"",0),DMAV_Dienste!$F$6:$F$140,0)))</f>
        <v>0</v>
      </c>
      <c r="H670" s="57">
        <f>IF($A670="","",IF(_xlfn.XLOOKUP($A670,Korrelation!$D$4:$D$1197,Korrelation!K$4:K$1197,"-",0)="-",0,MATCH(_xlfn.XLOOKUP($A670,Korrelation!$D$4:$D$1197,Korrelation!K$4:K$1197,"",0),'DM01-AV-CH'!$A$6:$A$834,0)))</f>
        <v>378</v>
      </c>
      <c r="J670" s="54" t="str" cm="1">
        <f t="array" aca="1" ref="J670" ca="1">IF(B670=0,IF(E670=0,"",HYPERLINK("#"&amp;RIGHT(CELL("adresse",OFFSET(DMAV_Dienste!$M$6,E670-1,0)),LEN(CELL("adresse",OFFSET(DMAV_Dienste!$M$6,E670-1,0)))-FIND("]",CELL("adresse",OFFSET(DMAV_Dienste!$M$6,E670-1,0)))),"Dienst")),HYPERLINK("#"&amp;RIGHT(CELL("adresse",OFFSET(DMAV_Modell!$N$6,B670-1,0)),LEN(CELL("adresse",OFFSET(DMAV_Modell!$N$6,B670-1,0)))-FIND("]",CELL("adresse",OFFSET(DMAV_Modell!$N$6,B670-1,0)))),"Modell"))</f>
        <v>Modell</v>
      </c>
      <c r="K670" s="61" t="str" cm="1">
        <f t="array" ref="K670">IF($B670=0,IF($E670=0,"",IF(INDEX(DMAV_Dienste!P$6:P$140,$E670)="","",INDEX(DMAV_Dienste!P$6:P$140,$E670))),IF(INDEX(DMAV_Modell!Q$6:Q$838,$B670)="","",INDEX(DMAV_Modell!Q$6:Q$838,$B670)))</f>
        <v>CLASS</v>
      </c>
      <c r="L670" s="62" t="str" cm="1">
        <f t="array" ref="L670">IF($B670=0,IF($E670=0,"",IF(INDEX(DMAV_Dienste!O$6:O$140,$E670)="","",INDEX(DMAV_Dienste!O$6:O$140,$E670))),IF(INDEX(DMAV_Modell!P$6:P$838,$B670)="","",INDEX(DMAV_Modell!P$6:P$838,$B670)))</f>
        <v>Nomenklatur</v>
      </c>
      <c r="M670" s="62" t="str" cm="1">
        <f t="array" ref="M670">IF($B670=0,IF($E670=0,"",IF(INDEX(DMAV_Dienste!Q$6:Q$140,$E670)="","",INDEX(DMAV_Dienste!Q$6:Q$140,$E670))),IF(INDEX(DMAV_Modell!R$6:R$838,$B670)="","",INDEX(DMAV_Modell!R$6:R$838,$B670)))</f>
        <v>NKNachfuehrung</v>
      </c>
      <c r="N670" s="62" t="str" cm="1">
        <f t="array" ref="N670">IF($B670=0,IF($E670=0,"",IF(INDEX(DMAV_Dienste!T$6:T$140,$E670)="","",INDEX(DMAV_Dienste!T$6:T$140,$E670))),IF(INDEX(DMAV_Modell!U$6:U$838,$B670)="","",INDEX(DMAV_Modell!U$6:U$838,$B670)))</f>
        <v>Identifikator</v>
      </c>
      <c r="O670" s="63" t="str" cm="1">
        <f t="array" aca="1" ref="O670" ca="1">IF(C670=0,IF(F670=0,"",HYPERLINK("#"&amp;RIGHT(CELL("adresse",OFFSET(DMAV_Dienste!$M$6,F670-1,0)),LEN(CELL("adresse",OFFSET(DMAV_Dienste!$M$6,F670-1,0)))-FIND("]",CELL("adresse",OFFSET(DMAV_Dienste!$M$6,F670-1,0)))),"Structure")),HYPERLINK("#"&amp;RIGHT(CELL("adresse",OFFSET(DMAV_Modell!$N$6,C670-1,0)),LEN(CELL("adresse",OFFSET(DMAV_Modell!$N$6,C670-1,0)))-FIND("]",CELL("adresse",OFFSET(DMAV_Modell!$N$6,C670-1,0)))),"Structure"))</f>
        <v/>
      </c>
      <c r="P670" s="64" t="str" cm="1">
        <f t="array" aca="1" ref="P670" ca="1">IF(D670=0,IF(G670=0,"",HYPERLINK("#"&amp;RIGHT(CELL("adresse",OFFSET(DMAV_Dienste!$M$6,G670-1,0)),LEN(CELL("adresse",OFFSET(DMAV_Dienste!$M$6,G670-1,0)))-FIND("]",CELL("adresse",OFFSET(DMAV_Dienste!$M$6,G670-1,0)))),"Substructure")),HYPERLINK("#"&amp;RIGHT(CELL("adresse",OFFSET(DMAV_Modell!$N$6,D670-1,0)),LEN(CELL("adresse",OFFSET(DMAV_Modell!$N$6,D670-1,0)))-FIND("]",CELL("adresse",OFFSET(DMAV_Modell!$N$6,D670-1,0)))),"Substructure"))</f>
        <v/>
      </c>
      <c r="R670" s="80"/>
      <c r="T670" s="93"/>
      <c r="U670" s="94"/>
      <c r="V670" s="95"/>
      <c r="W670" s="96"/>
      <c r="Y670" s="85"/>
      <c r="Z670" s="86"/>
      <c r="AA670" s="87"/>
      <c r="AB670" s="88"/>
      <c r="AD670" s="77"/>
      <c r="AF670" s="54" t="str" cm="1">
        <f t="array" aca="1" ref="AF670" ca="1">IF(H670=0,"",HYPERLINK("#"&amp;RIGHT(CELL("adresse",OFFSET('DM01-AV-CH'!$G$6,H670-1,0)),LEN(CELL("adresse",OFFSET('DM01-AV-CH'!$G$6,H670-1,0)))-FIND("]",CELL("adresse",OFFSET('DM01-AV-CH'!$G$6,H670-1,0)))),"Modell"))</f>
        <v>Modell</v>
      </c>
      <c r="AG670" s="72" t="str" cm="1">
        <f t="array" ref="AG670">IF($H670=0,"",IF(INDEX('DM01-AV-CH'!G$6:G$834,$H670)="","",INDEX('DM01-AV-CH'!G$6:G$834,$H670)))</f>
        <v>Nomenklatur</v>
      </c>
      <c r="AH670" s="73" t="str" cm="1">
        <f t="array" ref="AH670">IF($H670=0,"",IF(INDEX('DM01-AV-CH'!H$6:H$834,$H670)="","",INDEX('DM01-AV-CH'!H$6:H$834,$H670)))</f>
        <v>NKNachfuehrung</v>
      </c>
      <c r="AI670" s="74" t="str" cm="1">
        <f t="array" ref="AI670">IF($H670=0,"",IF(INDEX('DM01-AV-CH'!I$6:I$834,$H670)="","",INDEX('DM01-AV-CH'!I$6:I$834,$H670)))</f>
        <v>Identifikator</v>
      </c>
    </row>
    <row r="671" spans="1:35" x14ac:dyDescent="0.25">
      <c r="A671" s="57">
        <v>666</v>
      </c>
      <c r="B671" s="57">
        <f>IF($A671="","",IF(_xlfn.XLOOKUP($A671,Korrelation!$D$4:$D$1197,Korrelation!E$4:E$1197,"-",0)="-",0,MATCH(_xlfn.XLOOKUP($A671,Korrelation!$D$4:$D$1197,Korrelation!E$4:E$1197,"",0),DMAV_Modell!$G$6:$G$677,0)))</f>
        <v>369</v>
      </c>
      <c r="C671" s="57">
        <f>IF($A671="","",IF(_xlfn.XLOOKUP($A671,Korrelation!$D$4:$D$1197,Korrelation!F$4:F$1197,"-",0)="-",0,MATCH(_xlfn.XLOOKUP($A671,Korrelation!$D$4:$D$1197,Korrelation!F$4:F$1197,"",0),DMAV_Modell!$G$6:$G$677,0)))</f>
        <v>0</v>
      </c>
      <c r="D671" s="57">
        <f>IF($A671="","",IF(_xlfn.XLOOKUP($A671,Korrelation!$D$4:$D$1197,Korrelation!G$4:G$1197,"-",0)="-",0,MATCH(_xlfn.XLOOKUP($A671,Korrelation!$D$4:$D$1197,Korrelation!G$4:G$1197,"",0),DMAV_Modell!$G$6:$G$677,0)))</f>
        <v>0</v>
      </c>
      <c r="E671" s="57">
        <f>IF($A671="","",IF(_xlfn.XLOOKUP($A671,Korrelation!$D$4:$D$1197,Korrelation!H$4:H$1197,"-",0)="-",0,MATCH(_xlfn.XLOOKUP($A671,Korrelation!$D$4:$D$1197,Korrelation!H$4:H$1197,"",0),DMAV_Dienste!$F$6:$F$140,0)))</f>
        <v>0</v>
      </c>
      <c r="F671" s="57">
        <f>IF($A671="","",IF(_xlfn.XLOOKUP($A671,Korrelation!$D$4:$D$1197,Korrelation!I$4:I$1197,"-",0)="-",0,MATCH(_xlfn.XLOOKUP($A671,Korrelation!$D$4:$D$1197,Korrelation!I$4:I$1197,"",0),DMAV_Dienste!$F$6:$F$140,0)))</f>
        <v>0</v>
      </c>
      <c r="G671" s="57">
        <f>IF($A671="","",IF(_xlfn.XLOOKUP($A671,Korrelation!$D$4:$D$1197,Korrelation!J$4:J$1197,"-",0)="-",0,MATCH(_xlfn.XLOOKUP($A671,Korrelation!$D$4:$D$1197,Korrelation!J$4:J$1197,"",0),DMAV_Dienste!$F$6:$F$140,0)))</f>
        <v>0</v>
      </c>
      <c r="H671" s="57">
        <f>IF($A671="","",IF(_xlfn.XLOOKUP($A671,Korrelation!$D$4:$D$1197,Korrelation!K$4:K$1197,"-",0)="-",0,MATCH(_xlfn.XLOOKUP($A671,Korrelation!$D$4:$D$1197,Korrelation!K$4:K$1197,"",0),'DM01-AV-CH'!$A$6:$A$834,0)))</f>
        <v>379</v>
      </c>
      <c r="J671" s="54" t="str" cm="1">
        <f t="array" aca="1" ref="J671" ca="1">IF(B671=0,IF(E671=0,"",HYPERLINK("#"&amp;RIGHT(CELL("adresse",OFFSET(DMAV_Dienste!$M$6,E671-1,0)),LEN(CELL("adresse",OFFSET(DMAV_Dienste!$M$6,E671-1,0)))-FIND("]",CELL("adresse",OFFSET(DMAV_Dienste!$M$6,E671-1,0)))),"Dienst")),HYPERLINK("#"&amp;RIGHT(CELL("adresse",OFFSET(DMAV_Modell!$N$6,B671-1,0)),LEN(CELL("adresse",OFFSET(DMAV_Modell!$N$6,B671-1,0)))-FIND("]",CELL("adresse",OFFSET(DMAV_Modell!$N$6,B671-1,0)))),"Modell"))</f>
        <v>Modell</v>
      </c>
      <c r="K671" s="61" t="str" cm="1">
        <f t="array" ref="K671">IF($B671=0,IF($E671=0,"",IF(INDEX(DMAV_Dienste!P$6:P$140,$E671)="","",INDEX(DMAV_Dienste!P$6:P$140,$E671))),IF(INDEX(DMAV_Modell!Q$6:Q$838,$B671)="","",INDEX(DMAV_Modell!Q$6:Q$838,$B671)))</f>
        <v>CLASS</v>
      </c>
      <c r="L671" s="62" t="str" cm="1">
        <f t="array" ref="L671">IF($B671=0,IF($E671=0,"",IF(INDEX(DMAV_Dienste!O$6:O$140,$E671)="","",INDEX(DMAV_Dienste!O$6:O$140,$E671))),IF(INDEX(DMAV_Modell!P$6:P$838,$B671)="","",INDEX(DMAV_Modell!P$6:P$838,$B671)))</f>
        <v>Nomenklatur</v>
      </c>
      <c r="M671" s="62" t="str" cm="1">
        <f t="array" ref="M671">IF($B671=0,IF($E671=0,"",IF(INDEX(DMAV_Dienste!Q$6:Q$140,$E671)="","",INDEX(DMAV_Dienste!Q$6:Q$140,$E671))),IF(INDEX(DMAV_Modell!R$6:R$838,$B671)="","",INDEX(DMAV_Modell!R$6:R$838,$B671)))</f>
        <v>NKNachfuehrung</v>
      </c>
      <c r="N671" s="62" t="str" cm="1">
        <f t="array" ref="N671">IF($B671=0,IF($E671=0,"",IF(INDEX(DMAV_Dienste!T$6:T$140,$E671)="","",INDEX(DMAV_Dienste!T$6:T$140,$E671))),IF(INDEX(DMAV_Modell!U$6:U$838,$B671)="","",INDEX(DMAV_Modell!U$6:U$838,$B671)))</f>
        <v>Beschreibung</v>
      </c>
      <c r="O671" s="63" t="str" cm="1">
        <f t="array" aca="1" ref="O671" ca="1">IF(C671=0,IF(F671=0,"",HYPERLINK("#"&amp;RIGHT(CELL("adresse",OFFSET(DMAV_Dienste!$M$6,F671-1,0)),LEN(CELL("adresse",OFFSET(DMAV_Dienste!$M$6,F671-1,0)))-FIND("]",CELL("adresse",OFFSET(DMAV_Dienste!$M$6,F671-1,0)))),"Structure")),HYPERLINK("#"&amp;RIGHT(CELL("adresse",OFFSET(DMAV_Modell!$N$6,C671-1,0)),LEN(CELL("adresse",OFFSET(DMAV_Modell!$N$6,C671-1,0)))-FIND("]",CELL("adresse",OFFSET(DMAV_Modell!$N$6,C671-1,0)))),"Structure"))</f>
        <v/>
      </c>
      <c r="P671" s="64" t="str" cm="1">
        <f t="array" aca="1" ref="P671" ca="1">IF(D671=0,IF(G671=0,"",HYPERLINK("#"&amp;RIGHT(CELL("adresse",OFFSET(DMAV_Dienste!$M$6,G671-1,0)),LEN(CELL("adresse",OFFSET(DMAV_Dienste!$M$6,G671-1,0)))-FIND("]",CELL("adresse",OFFSET(DMAV_Dienste!$M$6,G671-1,0)))),"Substructure")),HYPERLINK("#"&amp;RIGHT(CELL("adresse",OFFSET(DMAV_Modell!$N$6,D671-1,0)),LEN(CELL("adresse",OFFSET(DMAV_Modell!$N$6,D671-1,0)))-FIND("]",CELL("adresse",OFFSET(DMAV_Modell!$N$6,D671-1,0)))),"Substructure"))</f>
        <v/>
      </c>
      <c r="R671" s="80"/>
      <c r="T671" s="93"/>
      <c r="U671" s="94"/>
      <c r="V671" s="95"/>
      <c r="W671" s="96"/>
      <c r="Y671" s="85"/>
      <c r="Z671" s="86"/>
      <c r="AA671" s="87"/>
      <c r="AB671" s="88"/>
      <c r="AD671" s="77"/>
      <c r="AF671" s="54" t="str" cm="1">
        <f t="array" aca="1" ref="AF671" ca="1">IF(H671=0,"",HYPERLINK("#"&amp;RIGHT(CELL("adresse",OFFSET('DM01-AV-CH'!$G$6,H671-1,0)),LEN(CELL("adresse",OFFSET('DM01-AV-CH'!$G$6,H671-1,0)))-FIND("]",CELL("adresse",OFFSET('DM01-AV-CH'!$G$6,H671-1,0)))),"Modell"))</f>
        <v>Modell</v>
      </c>
      <c r="AG671" s="72" t="str" cm="1">
        <f t="array" ref="AG671">IF($H671=0,"",IF(INDEX('DM01-AV-CH'!G$6:G$834,$H671)="","",INDEX('DM01-AV-CH'!G$6:G$834,$H671)))</f>
        <v>Nomenklatur</v>
      </c>
      <c r="AH671" s="73" t="str" cm="1">
        <f t="array" ref="AH671">IF($H671=0,"",IF(INDEX('DM01-AV-CH'!H$6:H$834,$H671)="","",INDEX('DM01-AV-CH'!H$6:H$834,$H671)))</f>
        <v>NKNachfuehrung</v>
      </c>
      <c r="AI671" s="74" t="str" cm="1">
        <f t="array" ref="AI671">IF($H671=0,"",IF(INDEX('DM01-AV-CH'!I$6:I$834,$H671)="","",INDEX('DM01-AV-CH'!I$6:I$834,$H671)))</f>
        <v>Beschreibung</v>
      </c>
    </row>
    <row r="672" spans="1:35" x14ac:dyDescent="0.25">
      <c r="A672" s="57">
        <v>667</v>
      </c>
      <c r="B672" s="57">
        <f>IF($A672="","",IF(_xlfn.XLOOKUP($A672,Korrelation!$D$4:$D$1197,Korrelation!E$4:E$1197,"-",0)="-",0,MATCH(_xlfn.XLOOKUP($A672,Korrelation!$D$4:$D$1197,Korrelation!E$4:E$1197,"",0),DMAV_Modell!$G$6:$G$677,0)))</f>
        <v>370</v>
      </c>
      <c r="C672" s="57">
        <f>IF($A672="","",IF(_xlfn.XLOOKUP($A672,Korrelation!$D$4:$D$1197,Korrelation!F$4:F$1197,"-",0)="-",0,MATCH(_xlfn.XLOOKUP($A672,Korrelation!$D$4:$D$1197,Korrelation!F$4:F$1197,"",0),DMAV_Modell!$G$6:$G$677,0)))</f>
        <v>0</v>
      </c>
      <c r="D672" s="57">
        <f>IF($A672="","",IF(_xlfn.XLOOKUP($A672,Korrelation!$D$4:$D$1197,Korrelation!G$4:G$1197,"-",0)="-",0,MATCH(_xlfn.XLOOKUP($A672,Korrelation!$D$4:$D$1197,Korrelation!G$4:G$1197,"",0),DMAV_Modell!$G$6:$G$677,0)))</f>
        <v>0</v>
      </c>
      <c r="E672" s="57">
        <f>IF($A672="","",IF(_xlfn.XLOOKUP($A672,Korrelation!$D$4:$D$1197,Korrelation!H$4:H$1197,"-",0)="-",0,MATCH(_xlfn.XLOOKUP($A672,Korrelation!$D$4:$D$1197,Korrelation!H$4:H$1197,"",0),DMAV_Dienste!$F$6:$F$140,0)))</f>
        <v>0</v>
      </c>
      <c r="F672" s="57">
        <f>IF($A672="","",IF(_xlfn.XLOOKUP($A672,Korrelation!$D$4:$D$1197,Korrelation!I$4:I$1197,"-",0)="-",0,MATCH(_xlfn.XLOOKUP($A672,Korrelation!$D$4:$D$1197,Korrelation!I$4:I$1197,"",0),DMAV_Dienste!$F$6:$F$140,0)))</f>
        <v>0</v>
      </c>
      <c r="G672" s="57">
        <f>IF($A672="","",IF(_xlfn.XLOOKUP($A672,Korrelation!$D$4:$D$1197,Korrelation!J$4:J$1197,"-",0)="-",0,MATCH(_xlfn.XLOOKUP($A672,Korrelation!$D$4:$D$1197,Korrelation!J$4:J$1197,"",0),DMAV_Dienste!$F$6:$F$140,0)))</f>
        <v>0</v>
      </c>
      <c r="H672" s="57">
        <f>IF($A672="","",IF(_xlfn.XLOOKUP($A672,Korrelation!$D$4:$D$1197,Korrelation!K$4:K$1197,"-",0)="-",0,MATCH(_xlfn.XLOOKUP($A672,Korrelation!$D$4:$D$1197,Korrelation!K$4:K$1197,"",0),'DM01-AV-CH'!$A$6:$A$834,0)))</f>
        <v>380</v>
      </c>
      <c r="J672" s="54" t="str" cm="1">
        <f t="array" aca="1" ref="J672" ca="1">IF(B672=0,IF(E672=0,"",HYPERLINK("#"&amp;RIGHT(CELL("adresse",OFFSET(DMAV_Dienste!$M$6,E672-1,0)),LEN(CELL("adresse",OFFSET(DMAV_Dienste!$M$6,E672-1,0)))-FIND("]",CELL("adresse",OFFSET(DMAV_Dienste!$M$6,E672-1,0)))),"Dienst")),HYPERLINK("#"&amp;RIGHT(CELL("adresse",OFFSET(DMAV_Modell!$N$6,B672-1,0)),LEN(CELL("adresse",OFFSET(DMAV_Modell!$N$6,B672-1,0)))-FIND("]",CELL("adresse",OFFSET(DMAV_Modell!$N$6,B672-1,0)))),"Modell"))</f>
        <v>Modell</v>
      </c>
      <c r="K672" s="61" t="str" cm="1">
        <f t="array" ref="K672">IF($B672=0,IF($E672=0,"",IF(INDEX(DMAV_Dienste!P$6:P$140,$E672)="","",INDEX(DMAV_Dienste!P$6:P$140,$E672))),IF(INDEX(DMAV_Modell!Q$6:Q$838,$B672)="","",INDEX(DMAV_Modell!Q$6:Q$838,$B672)))</f>
        <v>CLASS</v>
      </c>
      <c r="L672" s="62" t="str" cm="1">
        <f t="array" ref="L672">IF($B672=0,IF($E672=0,"",IF(INDEX(DMAV_Dienste!O$6:O$140,$E672)="","",INDEX(DMAV_Dienste!O$6:O$140,$E672))),IF(INDEX(DMAV_Modell!P$6:P$838,$B672)="","",INDEX(DMAV_Modell!P$6:P$838,$B672)))</f>
        <v>Nomenklatur</v>
      </c>
      <c r="M672" s="62" t="str" cm="1">
        <f t="array" ref="M672">IF($B672=0,IF($E672=0,"",IF(INDEX(DMAV_Dienste!Q$6:Q$140,$E672)="","",INDEX(DMAV_Dienste!Q$6:Q$140,$E672))),IF(INDEX(DMAV_Modell!R$6:R$838,$B672)="","",INDEX(DMAV_Modell!R$6:R$838,$B672)))</f>
        <v>NKNachfuehrung</v>
      </c>
      <c r="N672" s="62" t="str" cm="1">
        <f t="array" ref="N672">IF($B672=0,IF($E672=0,"",IF(INDEX(DMAV_Dienste!T$6:T$140,$E672)="","",INDEX(DMAV_Dienste!T$6:T$140,$E672))),IF(INDEX(DMAV_Modell!U$6:U$838,$B672)="","",INDEX(DMAV_Modell!U$6:U$838,$B672)))</f>
        <v>Perimeter</v>
      </c>
      <c r="O672" s="63" t="str" cm="1">
        <f t="array" aca="1" ref="O672" ca="1">IF(C672=0,IF(F672=0,"",HYPERLINK("#"&amp;RIGHT(CELL("adresse",OFFSET(DMAV_Dienste!$M$6,F672-1,0)),LEN(CELL("adresse",OFFSET(DMAV_Dienste!$M$6,F672-1,0)))-FIND("]",CELL("adresse",OFFSET(DMAV_Dienste!$M$6,F672-1,0)))),"Structure")),HYPERLINK("#"&amp;RIGHT(CELL("adresse",OFFSET(DMAV_Modell!$N$6,C672-1,0)),LEN(CELL("adresse",OFFSET(DMAV_Modell!$N$6,C672-1,0)))-FIND("]",CELL("adresse",OFFSET(DMAV_Modell!$N$6,C672-1,0)))),"Structure"))</f>
        <v/>
      </c>
      <c r="P672" s="64" t="str" cm="1">
        <f t="array" aca="1" ref="P672" ca="1">IF(D672=0,IF(G672=0,"",HYPERLINK("#"&amp;RIGHT(CELL("adresse",OFFSET(DMAV_Dienste!$M$6,G672-1,0)),LEN(CELL("adresse",OFFSET(DMAV_Dienste!$M$6,G672-1,0)))-FIND("]",CELL("adresse",OFFSET(DMAV_Dienste!$M$6,G672-1,0)))),"Substructure")),HYPERLINK("#"&amp;RIGHT(CELL("adresse",OFFSET(DMAV_Modell!$N$6,D672-1,0)),LEN(CELL("adresse",OFFSET(DMAV_Modell!$N$6,D672-1,0)))-FIND("]",CELL("adresse",OFFSET(DMAV_Modell!$N$6,D672-1,0)))),"Substructure"))</f>
        <v/>
      </c>
      <c r="R672" s="80"/>
      <c r="T672" s="93"/>
      <c r="U672" s="94"/>
      <c r="V672" s="95"/>
      <c r="W672" s="96"/>
      <c r="Y672" s="85"/>
      <c r="Z672" s="86"/>
      <c r="AA672" s="87"/>
      <c r="AB672" s="88"/>
      <c r="AD672" s="77"/>
      <c r="AF672" s="54" t="str" cm="1">
        <f t="array" aca="1" ref="AF672" ca="1">IF(H672=0,"",HYPERLINK("#"&amp;RIGHT(CELL("adresse",OFFSET('DM01-AV-CH'!$G$6,H672-1,0)),LEN(CELL("adresse",OFFSET('DM01-AV-CH'!$G$6,H672-1,0)))-FIND("]",CELL("adresse",OFFSET('DM01-AV-CH'!$G$6,H672-1,0)))),"Modell"))</f>
        <v>Modell</v>
      </c>
      <c r="AG672" s="72" t="str" cm="1">
        <f t="array" ref="AG672">IF($H672=0,"",IF(INDEX('DM01-AV-CH'!G$6:G$834,$H672)="","",INDEX('DM01-AV-CH'!G$6:G$834,$H672)))</f>
        <v>Nomenklatur</v>
      </c>
      <c r="AH672" s="73" t="str" cm="1">
        <f t="array" ref="AH672">IF($H672=0,"",IF(INDEX('DM01-AV-CH'!H$6:H$834,$H672)="","",INDEX('DM01-AV-CH'!H$6:H$834,$H672)))</f>
        <v>NKNachfuehrung</v>
      </c>
      <c r="AI672" s="74" t="str" cm="1">
        <f t="array" ref="AI672">IF($H672=0,"",IF(INDEX('DM01-AV-CH'!I$6:I$834,$H672)="","",INDEX('DM01-AV-CH'!I$6:I$834,$H672)))</f>
        <v>Perimeter</v>
      </c>
    </row>
    <row r="673" spans="1:35" x14ac:dyDescent="0.25">
      <c r="A673" s="57">
        <v>668</v>
      </c>
      <c r="B673" s="57">
        <f>IF($A673="","",IF(_xlfn.XLOOKUP($A673,Korrelation!$D$4:$D$1197,Korrelation!E$4:E$1197,"-",0)="-",0,MATCH(_xlfn.XLOOKUP($A673,Korrelation!$D$4:$D$1197,Korrelation!E$4:E$1197,"",0),DMAV_Modell!$G$6:$G$677,0)))</f>
        <v>371</v>
      </c>
      <c r="C673" s="57">
        <f>IF($A673="","",IF(_xlfn.XLOOKUP($A673,Korrelation!$D$4:$D$1197,Korrelation!F$4:F$1197,"-",0)="-",0,MATCH(_xlfn.XLOOKUP($A673,Korrelation!$D$4:$D$1197,Korrelation!F$4:F$1197,"",0),DMAV_Modell!$G$6:$G$677,0)))</f>
        <v>0</v>
      </c>
      <c r="D673" s="57">
        <f>IF($A673="","",IF(_xlfn.XLOOKUP($A673,Korrelation!$D$4:$D$1197,Korrelation!G$4:G$1197,"-",0)="-",0,MATCH(_xlfn.XLOOKUP($A673,Korrelation!$D$4:$D$1197,Korrelation!G$4:G$1197,"",0),DMAV_Modell!$G$6:$G$677,0)))</f>
        <v>0</v>
      </c>
      <c r="E673" s="57">
        <f>IF($A673="","",IF(_xlfn.XLOOKUP($A673,Korrelation!$D$4:$D$1197,Korrelation!H$4:H$1197,"-",0)="-",0,MATCH(_xlfn.XLOOKUP($A673,Korrelation!$D$4:$D$1197,Korrelation!H$4:H$1197,"",0),DMAV_Dienste!$F$6:$F$140,0)))</f>
        <v>0</v>
      </c>
      <c r="F673" s="57">
        <f>IF($A673="","",IF(_xlfn.XLOOKUP($A673,Korrelation!$D$4:$D$1197,Korrelation!I$4:I$1197,"-",0)="-",0,MATCH(_xlfn.XLOOKUP($A673,Korrelation!$D$4:$D$1197,Korrelation!I$4:I$1197,"",0),DMAV_Dienste!$F$6:$F$140,0)))</f>
        <v>0</v>
      </c>
      <c r="G673" s="57">
        <f>IF($A673="","",IF(_xlfn.XLOOKUP($A673,Korrelation!$D$4:$D$1197,Korrelation!J$4:J$1197,"-",0)="-",0,MATCH(_xlfn.XLOOKUP($A673,Korrelation!$D$4:$D$1197,Korrelation!J$4:J$1197,"",0),DMAV_Dienste!$F$6:$F$140,0)))</f>
        <v>0</v>
      </c>
      <c r="H673" s="57">
        <f>IF($A673="","",IF(_xlfn.XLOOKUP($A673,Korrelation!$D$4:$D$1197,Korrelation!K$4:K$1197,"-",0)="-",0,MATCH(_xlfn.XLOOKUP($A673,Korrelation!$D$4:$D$1197,Korrelation!K$4:K$1197,"",0),'DM01-AV-CH'!$A$6:$A$834,0)))</f>
        <v>381</v>
      </c>
      <c r="J673" s="54" t="str" cm="1">
        <f t="array" aca="1" ref="J673" ca="1">IF(B673=0,IF(E673=0,"",HYPERLINK("#"&amp;RIGHT(CELL("adresse",OFFSET(DMAV_Dienste!$M$6,E673-1,0)),LEN(CELL("adresse",OFFSET(DMAV_Dienste!$M$6,E673-1,0)))-FIND("]",CELL("adresse",OFFSET(DMAV_Dienste!$M$6,E673-1,0)))),"Dienst")),HYPERLINK("#"&amp;RIGHT(CELL("adresse",OFFSET(DMAV_Modell!$N$6,B673-1,0)),LEN(CELL("adresse",OFFSET(DMAV_Modell!$N$6,B673-1,0)))-FIND("]",CELL("adresse",OFFSET(DMAV_Modell!$N$6,B673-1,0)))),"Modell"))</f>
        <v>Modell</v>
      </c>
      <c r="K673" s="61" t="str" cm="1">
        <f t="array" ref="K673">IF($B673=0,IF($E673=0,"",IF(INDEX(DMAV_Dienste!P$6:P$140,$E673)="","",INDEX(DMAV_Dienste!P$6:P$140,$E673))),IF(INDEX(DMAV_Modell!Q$6:Q$838,$B673)="","",INDEX(DMAV_Modell!Q$6:Q$838,$B673)))</f>
        <v>CLASS</v>
      </c>
      <c r="L673" s="62" t="str" cm="1">
        <f t="array" ref="L673">IF($B673=0,IF($E673=0,"",IF(INDEX(DMAV_Dienste!O$6:O$140,$E673)="","",INDEX(DMAV_Dienste!O$6:O$140,$E673))),IF(INDEX(DMAV_Modell!P$6:P$838,$B673)="","",INDEX(DMAV_Modell!P$6:P$838,$B673)))</f>
        <v>Nomenklatur</v>
      </c>
      <c r="M673" s="62" t="str" cm="1">
        <f t="array" ref="M673">IF($B673=0,IF($E673=0,"",IF(INDEX(DMAV_Dienste!Q$6:Q$140,$E673)="","",INDEX(DMAV_Dienste!Q$6:Q$140,$E673))),IF(INDEX(DMAV_Modell!R$6:R$838,$B673)="","",INDEX(DMAV_Modell!R$6:R$838,$B673)))</f>
        <v>NKNachfuehrung</v>
      </c>
      <c r="N673" s="62" t="str" cm="1">
        <f t="array" ref="N673">IF($B673=0,IF($E673=0,"",IF(INDEX(DMAV_Dienste!T$6:T$140,$E673)="","",INDEX(DMAV_Dienste!T$6:T$140,$E673))),IF(INDEX(DMAV_Modell!U$6:U$838,$B673)="","",INDEX(DMAV_Modell!U$6:U$838,$B673)))</f>
        <v>GueltigerEintrag</v>
      </c>
      <c r="O673" s="63" t="str" cm="1">
        <f t="array" aca="1" ref="O673" ca="1">IF(C673=0,IF(F673=0,"",HYPERLINK("#"&amp;RIGHT(CELL("adresse",OFFSET(DMAV_Dienste!$M$6,F673-1,0)),LEN(CELL("adresse",OFFSET(DMAV_Dienste!$M$6,F673-1,0)))-FIND("]",CELL("adresse",OFFSET(DMAV_Dienste!$M$6,F673-1,0)))),"Structure")),HYPERLINK("#"&amp;RIGHT(CELL("adresse",OFFSET(DMAV_Modell!$N$6,C673-1,0)),LEN(CELL("adresse",OFFSET(DMAV_Modell!$N$6,C673-1,0)))-FIND("]",CELL("adresse",OFFSET(DMAV_Modell!$N$6,C673-1,0)))),"Structure"))</f>
        <v/>
      </c>
      <c r="P673" s="64" t="str" cm="1">
        <f t="array" aca="1" ref="P673" ca="1">IF(D673=0,IF(G673=0,"",HYPERLINK("#"&amp;RIGHT(CELL("adresse",OFFSET(DMAV_Dienste!$M$6,G673-1,0)),LEN(CELL("adresse",OFFSET(DMAV_Dienste!$M$6,G673-1,0)))-FIND("]",CELL("adresse",OFFSET(DMAV_Dienste!$M$6,G673-1,0)))),"Substructure")),HYPERLINK("#"&amp;RIGHT(CELL("adresse",OFFSET(DMAV_Modell!$N$6,D673-1,0)),LEN(CELL("adresse",OFFSET(DMAV_Modell!$N$6,D673-1,0)))-FIND("]",CELL("adresse",OFFSET(DMAV_Modell!$N$6,D673-1,0)))),"Substructure"))</f>
        <v/>
      </c>
      <c r="R673" s="80"/>
      <c r="T673" s="93"/>
      <c r="U673" s="94"/>
      <c r="V673" s="95"/>
      <c r="W673" s="96"/>
      <c r="Y673" s="85"/>
      <c r="Z673" s="86"/>
      <c r="AA673" s="87"/>
      <c r="AB673" s="88"/>
      <c r="AD673" s="77"/>
      <c r="AF673" s="54" t="str" cm="1">
        <f t="array" aca="1" ref="AF673" ca="1">IF(H673=0,"",HYPERLINK("#"&amp;RIGHT(CELL("adresse",OFFSET('DM01-AV-CH'!$G$6,H673-1,0)),LEN(CELL("adresse",OFFSET('DM01-AV-CH'!$G$6,H673-1,0)))-FIND("]",CELL("adresse",OFFSET('DM01-AV-CH'!$G$6,H673-1,0)))),"Modell"))</f>
        <v>Modell</v>
      </c>
      <c r="AG673" s="72" t="str" cm="1">
        <f t="array" ref="AG673">IF($H673=0,"",IF(INDEX('DM01-AV-CH'!G$6:G$834,$H673)="","",INDEX('DM01-AV-CH'!G$6:G$834,$H673)))</f>
        <v>Nomenklatur</v>
      </c>
      <c r="AH673" s="73" t="str" cm="1">
        <f t="array" ref="AH673">IF($H673=0,"",IF(INDEX('DM01-AV-CH'!H$6:H$834,$H673)="","",INDEX('DM01-AV-CH'!H$6:H$834,$H673)))</f>
        <v>NKNachfuehrung</v>
      </c>
      <c r="AI673" s="74" t="str" cm="1">
        <f t="array" ref="AI673">IF($H673=0,"",IF(INDEX('DM01-AV-CH'!I$6:I$834,$H673)="","",INDEX('DM01-AV-CH'!I$6:I$834,$H673)))</f>
        <v>GueltigerEintrag</v>
      </c>
    </row>
    <row r="674" spans="1:35" ht="28.5" x14ac:dyDescent="0.25">
      <c r="A674" s="57">
        <v>669</v>
      </c>
      <c r="B674" s="57">
        <f>IF($A674="","",IF(_xlfn.XLOOKUP($A674,Korrelation!$D$4:$D$1197,Korrelation!E$4:E$1197,"-",0)="-",0,MATCH(_xlfn.XLOOKUP($A674,Korrelation!$D$4:$D$1197,Korrelation!E$4:E$1197,"",0),DMAV_Modell!$G$6:$G$677,0)))</f>
        <v>371</v>
      </c>
      <c r="C674" s="57">
        <f>IF($A674="","",IF(_xlfn.XLOOKUP($A674,Korrelation!$D$4:$D$1197,Korrelation!F$4:F$1197,"-",0)="-",0,MATCH(_xlfn.XLOOKUP($A674,Korrelation!$D$4:$D$1197,Korrelation!F$4:F$1197,"",0),DMAV_Modell!$G$6:$G$677,0)))</f>
        <v>0</v>
      </c>
      <c r="D674" s="57">
        <f>IF($A674="","",IF(_xlfn.XLOOKUP($A674,Korrelation!$D$4:$D$1197,Korrelation!G$4:G$1197,"-",0)="-",0,MATCH(_xlfn.XLOOKUP($A674,Korrelation!$D$4:$D$1197,Korrelation!G$4:G$1197,"",0),DMAV_Modell!$G$6:$G$677,0)))</f>
        <v>0</v>
      </c>
      <c r="E674" s="57">
        <f>IF($A674="","",IF(_xlfn.XLOOKUP($A674,Korrelation!$D$4:$D$1197,Korrelation!H$4:H$1197,"-",0)="-",0,MATCH(_xlfn.XLOOKUP($A674,Korrelation!$D$4:$D$1197,Korrelation!H$4:H$1197,"",0),DMAV_Dienste!$F$6:$F$140,0)))</f>
        <v>0</v>
      </c>
      <c r="F674" s="57">
        <f>IF($A674="","",IF(_xlfn.XLOOKUP($A674,Korrelation!$D$4:$D$1197,Korrelation!I$4:I$1197,"-",0)="-",0,MATCH(_xlfn.XLOOKUP($A674,Korrelation!$D$4:$D$1197,Korrelation!I$4:I$1197,"",0),DMAV_Dienste!$F$6:$F$140,0)))</f>
        <v>0</v>
      </c>
      <c r="G674" s="57">
        <f>IF($A674="","",IF(_xlfn.XLOOKUP($A674,Korrelation!$D$4:$D$1197,Korrelation!J$4:J$1197,"-",0)="-",0,MATCH(_xlfn.XLOOKUP($A674,Korrelation!$D$4:$D$1197,Korrelation!J$4:J$1197,"",0),DMAV_Dienste!$F$6:$F$140,0)))</f>
        <v>0</v>
      </c>
      <c r="H674" s="57">
        <f>IF($A674="","",IF(_xlfn.XLOOKUP($A674,Korrelation!$D$4:$D$1197,Korrelation!K$4:K$1197,"-",0)="-",0,MATCH(_xlfn.XLOOKUP($A674,Korrelation!$D$4:$D$1197,Korrelation!K$4:K$1197,"",0),'DM01-AV-CH'!$A$6:$A$834,0)))</f>
        <v>382</v>
      </c>
      <c r="J674" s="54" t="str" cm="1">
        <f t="array" aca="1" ref="J674" ca="1">IF(B674=0,IF(E674=0,"",HYPERLINK("#"&amp;RIGHT(CELL("adresse",OFFSET(DMAV_Dienste!$M$6,E674-1,0)),LEN(CELL("adresse",OFFSET(DMAV_Dienste!$M$6,E674-1,0)))-FIND("]",CELL("adresse",OFFSET(DMAV_Dienste!$M$6,E674-1,0)))),"Dienst")),HYPERLINK("#"&amp;RIGHT(CELL("adresse",OFFSET(DMAV_Modell!$N$6,B674-1,0)),LEN(CELL("adresse",OFFSET(DMAV_Modell!$N$6,B674-1,0)))-FIND("]",CELL("adresse",OFFSET(DMAV_Modell!$N$6,B674-1,0)))),"Modell"))</f>
        <v>Modell</v>
      </c>
      <c r="K674" s="61" t="str" cm="1">
        <f t="array" ref="K674">IF($B674=0,IF($E674=0,"",IF(INDEX(DMAV_Dienste!P$6:P$140,$E674)="","",INDEX(DMAV_Dienste!P$6:P$140,$E674))),IF(INDEX(DMAV_Modell!Q$6:Q$838,$B674)="","",INDEX(DMAV_Modell!Q$6:Q$838,$B674)))</f>
        <v>CLASS</v>
      </c>
      <c r="L674" s="62" t="str" cm="1">
        <f t="array" ref="L674">IF($B674=0,IF($E674=0,"",IF(INDEX(DMAV_Dienste!O$6:O$140,$E674)="","",INDEX(DMAV_Dienste!O$6:O$140,$E674))),IF(INDEX(DMAV_Modell!P$6:P$838,$B674)="","",INDEX(DMAV_Modell!P$6:P$838,$B674)))</f>
        <v>Nomenklatur</v>
      </c>
      <c r="M674" s="62" t="str" cm="1">
        <f t="array" ref="M674">IF($B674=0,IF($E674=0,"",IF(INDEX(DMAV_Dienste!Q$6:Q$140,$E674)="","",INDEX(DMAV_Dienste!Q$6:Q$140,$E674))),IF(INDEX(DMAV_Modell!R$6:R$838,$B674)="","",INDEX(DMAV_Modell!R$6:R$838,$B674)))</f>
        <v>NKNachfuehrung</v>
      </c>
      <c r="N674" s="62" t="str" cm="1">
        <f t="array" ref="N674">IF($B674=0,IF($E674=0,"",IF(INDEX(DMAV_Dienste!T$6:T$140,$E674)="","",INDEX(DMAV_Dienste!T$6:T$140,$E674))),IF(INDEX(DMAV_Modell!U$6:U$838,$B674)="","",INDEX(DMAV_Modell!U$6:U$838,$B674)))</f>
        <v>GueltigerEintrag</v>
      </c>
      <c r="O674" s="63" t="str" cm="1">
        <f t="array" aca="1" ref="O674" ca="1">IF(C674=0,IF(F674=0,"",HYPERLINK("#"&amp;RIGHT(CELL("adresse",OFFSET(DMAV_Dienste!$M$6,F674-1,0)),LEN(CELL("adresse",OFFSET(DMAV_Dienste!$M$6,F674-1,0)))-FIND("]",CELL("adresse",OFFSET(DMAV_Dienste!$M$6,F674-1,0)))),"Structure")),HYPERLINK("#"&amp;RIGHT(CELL("adresse",OFFSET(DMAV_Modell!$N$6,C674-1,0)),LEN(CELL("adresse",OFFSET(DMAV_Modell!$N$6,C674-1,0)))-FIND("]",CELL("adresse",OFFSET(DMAV_Modell!$N$6,C674-1,0)))),"Structure"))</f>
        <v/>
      </c>
      <c r="P674" s="64" t="str" cm="1">
        <f t="array" aca="1" ref="P674" ca="1">IF(D674=0,IF(G674=0,"",HYPERLINK("#"&amp;RIGHT(CELL("adresse",OFFSET(DMAV_Dienste!$M$6,G674-1,0)),LEN(CELL("adresse",OFFSET(DMAV_Dienste!$M$6,G674-1,0)))-FIND("]",CELL("adresse",OFFSET(DMAV_Dienste!$M$6,G674-1,0)))),"Substructure")),HYPERLINK("#"&amp;RIGHT(CELL("adresse",OFFSET(DMAV_Modell!$N$6,D674-1,0)),LEN(CELL("adresse",OFFSET(DMAV_Modell!$N$6,D674-1,0)))-FIND("]",CELL("adresse",OFFSET(DMAV_Modell!$N$6,D674-1,0)))),"Substructure"))</f>
        <v/>
      </c>
      <c r="R674" s="80"/>
      <c r="T674" s="93" t="s">
        <v>3138</v>
      </c>
      <c r="U674" s="94"/>
      <c r="V674" s="95"/>
      <c r="W674" s="96"/>
      <c r="Y674" s="85"/>
      <c r="Z674" s="86"/>
      <c r="AA674" s="87"/>
      <c r="AB674" s="88"/>
      <c r="AD674" s="77" t="s">
        <v>3049</v>
      </c>
      <c r="AF674" s="54" t="str" cm="1">
        <f t="array" aca="1" ref="AF674" ca="1">IF(H674=0,"",HYPERLINK("#"&amp;RIGHT(CELL("adresse",OFFSET('DM01-AV-CH'!$G$6,H674-1,0)),LEN(CELL("adresse",OFFSET('DM01-AV-CH'!$G$6,H674-1,0)))-FIND("]",CELL("adresse",OFFSET('DM01-AV-CH'!$G$6,H674-1,0)))),"Modell"))</f>
        <v>Modell</v>
      </c>
      <c r="AG674" s="72" t="str" cm="1">
        <f t="array" ref="AG674">IF($H674=0,"",IF(INDEX('DM01-AV-CH'!G$6:G$834,$H674)="","",INDEX('DM01-AV-CH'!G$6:G$834,$H674)))</f>
        <v>Nomenklatur</v>
      </c>
      <c r="AH674" s="73" t="str" cm="1">
        <f t="array" ref="AH674">IF($H674=0,"",IF(INDEX('DM01-AV-CH'!H$6:H$834,$H674)="","",INDEX('DM01-AV-CH'!H$6:H$834,$H674)))</f>
        <v>NKNachfuehrung</v>
      </c>
      <c r="AI674" s="74" t="str" cm="1">
        <f t="array" ref="AI674">IF($H674=0,"",IF(INDEX('DM01-AV-CH'!I$6:I$834,$H674)="","",INDEX('DM01-AV-CH'!I$6:I$834,$H674)))</f>
        <v>Datum1</v>
      </c>
    </row>
    <row r="675" spans="1:35" x14ac:dyDescent="0.25">
      <c r="A675" s="57">
        <v>670</v>
      </c>
      <c r="B675" s="57">
        <f>IF($A675="","",IF(_xlfn.XLOOKUP($A675,Korrelation!$D$4:$D$1197,Korrelation!E$4:E$1197,"-",0)="-",0,MATCH(_xlfn.XLOOKUP($A675,Korrelation!$D$4:$D$1197,Korrelation!E$4:E$1197,"",0),DMAV_Modell!$G$6:$G$677,0)))</f>
        <v>0</v>
      </c>
      <c r="C675" s="57">
        <f>IF($A675="","",IF(_xlfn.XLOOKUP($A675,Korrelation!$D$4:$D$1197,Korrelation!F$4:F$1197,"-",0)="-",0,MATCH(_xlfn.XLOOKUP($A675,Korrelation!$D$4:$D$1197,Korrelation!F$4:F$1197,"",0),DMAV_Modell!$G$6:$G$677,0)))</f>
        <v>0</v>
      </c>
      <c r="D675" s="57">
        <f>IF($A675="","",IF(_xlfn.XLOOKUP($A675,Korrelation!$D$4:$D$1197,Korrelation!G$4:G$1197,"-",0)="-",0,MATCH(_xlfn.XLOOKUP($A675,Korrelation!$D$4:$D$1197,Korrelation!G$4:G$1197,"",0),DMAV_Modell!$G$6:$G$677,0)))</f>
        <v>0</v>
      </c>
      <c r="E675" s="57">
        <f>IF($A675="","",IF(_xlfn.XLOOKUP($A675,Korrelation!$D$4:$D$1197,Korrelation!H$4:H$1197,"-",0)="-",0,MATCH(_xlfn.XLOOKUP($A675,Korrelation!$D$4:$D$1197,Korrelation!H$4:H$1197,"",0),DMAV_Dienste!$F$6:$F$140,0)))</f>
        <v>0</v>
      </c>
      <c r="F675" s="57">
        <f>IF($A675="","",IF(_xlfn.XLOOKUP($A675,Korrelation!$D$4:$D$1197,Korrelation!I$4:I$1197,"-",0)="-",0,MATCH(_xlfn.XLOOKUP($A675,Korrelation!$D$4:$D$1197,Korrelation!I$4:I$1197,"",0),DMAV_Dienste!$F$6:$F$140,0)))</f>
        <v>0</v>
      </c>
      <c r="G675" s="57">
        <f>IF($A675="","",IF(_xlfn.XLOOKUP($A675,Korrelation!$D$4:$D$1197,Korrelation!J$4:J$1197,"-",0)="-",0,MATCH(_xlfn.XLOOKUP($A675,Korrelation!$D$4:$D$1197,Korrelation!J$4:J$1197,"",0),DMAV_Dienste!$F$6:$F$140,0)))</f>
        <v>0</v>
      </c>
      <c r="H675" s="57">
        <f>IF($A675="","",IF(_xlfn.XLOOKUP($A675,Korrelation!$D$4:$D$1197,Korrelation!K$4:K$1197,"-",0)="-",0,MATCH(_xlfn.XLOOKUP($A675,Korrelation!$D$4:$D$1197,Korrelation!K$4:K$1197,"",0),'DM01-AV-CH'!$A$6:$A$834,0)))</f>
        <v>383</v>
      </c>
      <c r="J675" s="54" t="str" cm="1">
        <f t="array" aca="1" ref="J675" ca="1">IF(B675=0,IF(E675=0,"",HYPERLINK("#"&amp;RIGHT(CELL("adresse",OFFSET(DMAV_Dienste!$M$6,E675-1,0)),LEN(CELL("adresse",OFFSET(DMAV_Dienste!$M$6,E675-1,0)))-FIND("]",CELL("adresse",OFFSET(DMAV_Dienste!$M$6,E675-1,0)))),"Dienst")),HYPERLINK("#"&amp;RIGHT(CELL("adresse",OFFSET(DMAV_Modell!$N$6,B675-1,0)),LEN(CELL("adresse",OFFSET(DMAV_Modell!$N$6,B675-1,0)))-FIND("]",CELL("adresse",OFFSET(DMAV_Modell!$N$6,B675-1,0)))),"Modell"))</f>
        <v/>
      </c>
      <c r="K675" s="61" t="str" cm="1">
        <f t="array" ref="K675">IF($B675=0,IF($E675=0,"",IF(INDEX(DMAV_Dienste!P$6:P$140,$E675)="","",INDEX(DMAV_Dienste!P$6:P$140,$E675))),IF(INDEX(DMAV_Modell!Q$6:Q$838,$B675)="","",INDEX(DMAV_Modell!Q$6:Q$838,$B675)))</f>
        <v/>
      </c>
      <c r="L675" s="62" t="str" cm="1">
        <f t="array" ref="L675">IF($B675=0,IF($E675=0,"",IF(INDEX(DMAV_Dienste!O$6:O$140,$E675)="","",INDEX(DMAV_Dienste!O$6:O$140,$E675))),IF(INDEX(DMAV_Modell!P$6:P$838,$B675)="","",INDEX(DMAV_Modell!P$6:P$838,$B675)))</f>
        <v/>
      </c>
      <c r="M675" s="62" t="str" cm="1">
        <f t="array" ref="M675">IF($B675=0,IF($E675=0,"",IF(INDEX(DMAV_Dienste!Q$6:Q$140,$E675)="","",INDEX(DMAV_Dienste!Q$6:Q$140,$E675))),IF(INDEX(DMAV_Modell!R$6:R$838,$B675)="","",INDEX(DMAV_Modell!R$6:R$838,$B675)))</f>
        <v/>
      </c>
      <c r="N675" s="62" t="str" cm="1">
        <f t="array" ref="N675">IF($B675=0,IF($E675=0,"",IF(INDEX(DMAV_Dienste!T$6:T$140,$E675)="","",INDEX(DMAV_Dienste!T$6:T$140,$E675))),IF(INDEX(DMAV_Modell!U$6:U$838,$B675)="","",INDEX(DMAV_Modell!U$6:U$838,$B675)))</f>
        <v/>
      </c>
      <c r="O675" s="63" t="str" cm="1">
        <f t="array" aca="1" ref="O675" ca="1">IF(C675=0,IF(F675=0,"",HYPERLINK("#"&amp;RIGHT(CELL("adresse",OFFSET(DMAV_Dienste!$M$6,F675-1,0)),LEN(CELL("adresse",OFFSET(DMAV_Dienste!$M$6,F675-1,0)))-FIND("]",CELL("adresse",OFFSET(DMAV_Dienste!$M$6,F675-1,0)))),"Structure")),HYPERLINK("#"&amp;RIGHT(CELL("adresse",OFFSET(DMAV_Modell!$N$6,C675-1,0)),LEN(CELL("adresse",OFFSET(DMAV_Modell!$N$6,C675-1,0)))-FIND("]",CELL("adresse",OFFSET(DMAV_Modell!$N$6,C675-1,0)))),"Structure"))</f>
        <v/>
      </c>
      <c r="P675" s="64" t="str" cm="1">
        <f t="array" aca="1" ref="P675" ca="1">IF(D675=0,IF(G675=0,"",HYPERLINK("#"&amp;RIGHT(CELL("adresse",OFFSET(DMAV_Dienste!$M$6,G675-1,0)),LEN(CELL("adresse",OFFSET(DMAV_Dienste!$M$6,G675-1,0)))-FIND("]",CELL("adresse",OFFSET(DMAV_Dienste!$M$6,G675-1,0)))),"Substructure")),HYPERLINK("#"&amp;RIGHT(CELL("adresse",OFFSET(DMAV_Modell!$N$6,D675-1,0)),LEN(CELL("adresse",OFFSET(DMAV_Modell!$N$6,D675-1,0)))-FIND("]",CELL("adresse",OFFSET(DMAV_Modell!$N$6,D675-1,0)))),"Substructure"))</f>
        <v/>
      </c>
      <c r="R675" s="80"/>
      <c r="T675" s="93"/>
      <c r="U675" s="94"/>
      <c r="V675" s="95"/>
      <c r="W675" s="96"/>
      <c r="Y675" s="85"/>
      <c r="Z675" s="86"/>
      <c r="AA675" s="87"/>
      <c r="AB675" s="88"/>
      <c r="AD675" s="77"/>
      <c r="AF675" s="54" t="str" cm="1">
        <f t="array" aca="1" ref="AF675" ca="1">IF(H675=0,"",HYPERLINK("#"&amp;RIGHT(CELL("adresse",OFFSET('DM01-AV-CH'!$G$6,H675-1,0)),LEN(CELL("adresse",OFFSET('DM01-AV-CH'!$G$6,H675-1,0)))-FIND("]",CELL("adresse",OFFSET('DM01-AV-CH'!$G$6,H675-1,0)))),"Modell"))</f>
        <v>Modell</v>
      </c>
      <c r="AG675" s="72" t="str" cm="1">
        <f t="array" ref="AG675">IF($H675=0,"",IF(INDEX('DM01-AV-CH'!G$6:G$834,$H675)="","",INDEX('DM01-AV-CH'!G$6:G$834,$H675)))</f>
        <v>Nomenklatur</v>
      </c>
      <c r="AH675" s="73" t="str" cm="1">
        <f t="array" ref="AH675">IF($H675=0,"",IF(INDEX('DM01-AV-CH'!H$6:H$834,$H675)="","",INDEX('DM01-AV-CH'!H$6:H$834,$H675)))</f>
        <v>Flurname</v>
      </c>
      <c r="AI675" s="74" t="str" cm="1">
        <f t="array" ref="AI675">IF($H675=0,"",IF(INDEX('DM01-AV-CH'!I$6:I$834,$H675)="","",INDEX('DM01-AV-CH'!I$6:I$834,$H675)))</f>
        <v>Entstehung</v>
      </c>
    </row>
    <row r="676" spans="1:35" x14ac:dyDescent="0.25">
      <c r="A676" s="57">
        <v>671</v>
      </c>
      <c r="B676" s="57">
        <f>IF($A676="","",IF(_xlfn.XLOOKUP($A676,Korrelation!$D$4:$D$1197,Korrelation!E$4:E$1197,"-",0)="-",0,MATCH(_xlfn.XLOOKUP($A676,Korrelation!$D$4:$D$1197,Korrelation!E$4:E$1197,"",0),DMAV_Modell!$G$6:$G$677,0)))</f>
        <v>372</v>
      </c>
      <c r="C676" s="57">
        <f>IF($A676="","",IF(_xlfn.XLOOKUP($A676,Korrelation!$D$4:$D$1197,Korrelation!F$4:F$1197,"-",0)="-",0,MATCH(_xlfn.XLOOKUP($A676,Korrelation!$D$4:$D$1197,Korrelation!F$4:F$1197,"",0),DMAV_Modell!$G$6:$G$677,0)))</f>
        <v>0</v>
      </c>
      <c r="D676" s="57">
        <f>IF($A676="","",IF(_xlfn.XLOOKUP($A676,Korrelation!$D$4:$D$1197,Korrelation!G$4:G$1197,"-",0)="-",0,MATCH(_xlfn.XLOOKUP($A676,Korrelation!$D$4:$D$1197,Korrelation!G$4:G$1197,"",0),DMAV_Modell!$G$6:$G$677,0)))</f>
        <v>0</v>
      </c>
      <c r="E676" s="57">
        <f>IF($A676="","",IF(_xlfn.XLOOKUP($A676,Korrelation!$D$4:$D$1197,Korrelation!H$4:H$1197,"-",0)="-",0,MATCH(_xlfn.XLOOKUP($A676,Korrelation!$D$4:$D$1197,Korrelation!H$4:H$1197,"",0),DMAV_Dienste!$F$6:$F$140,0)))</f>
        <v>0</v>
      </c>
      <c r="F676" s="57">
        <f>IF($A676="","",IF(_xlfn.XLOOKUP($A676,Korrelation!$D$4:$D$1197,Korrelation!I$4:I$1197,"-",0)="-",0,MATCH(_xlfn.XLOOKUP($A676,Korrelation!$D$4:$D$1197,Korrelation!I$4:I$1197,"",0),DMAV_Dienste!$F$6:$F$140,0)))</f>
        <v>0</v>
      </c>
      <c r="G676" s="57">
        <f>IF($A676="","",IF(_xlfn.XLOOKUP($A676,Korrelation!$D$4:$D$1197,Korrelation!J$4:J$1197,"-",0)="-",0,MATCH(_xlfn.XLOOKUP($A676,Korrelation!$D$4:$D$1197,Korrelation!J$4:J$1197,"",0),DMAV_Dienste!$F$6:$F$140,0)))</f>
        <v>0</v>
      </c>
      <c r="H676" s="57">
        <f>IF($A676="","",IF(_xlfn.XLOOKUP($A676,Korrelation!$D$4:$D$1197,Korrelation!K$4:K$1197,"-",0)="-",0,MATCH(_xlfn.XLOOKUP($A676,Korrelation!$D$4:$D$1197,Korrelation!K$4:K$1197,"",0),'DM01-AV-CH'!$A$6:$A$834,0)))</f>
        <v>384</v>
      </c>
      <c r="J676" s="54" t="str" cm="1">
        <f t="array" aca="1" ref="J676" ca="1">IF(B676=0,IF(E676=0,"",HYPERLINK("#"&amp;RIGHT(CELL("adresse",OFFSET(DMAV_Dienste!$M$6,E676-1,0)),LEN(CELL("adresse",OFFSET(DMAV_Dienste!$M$6,E676-1,0)))-FIND("]",CELL("adresse",OFFSET(DMAV_Dienste!$M$6,E676-1,0)))),"Dienst")),HYPERLINK("#"&amp;RIGHT(CELL("adresse",OFFSET(DMAV_Modell!$N$6,B676-1,0)),LEN(CELL("adresse",OFFSET(DMAV_Modell!$N$6,B676-1,0)))-FIND("]",CELL("adresse",OFFSET(DMAV_Modell!$N$6,B676-1,0)))),"Modell"))</f>
        <v>Modell</v>
      </c>
      <c r="K676" s="61" t="str" cm="1">
        <f t="array" ref="K676">IF($B676=0,IF($E676=0,"",IF(INDEX(DMAV_Dienste!P$6:P$140,$E676)="","",INDEX(DMAV_Dienste!P$6:P$140,$E676))),IF(INDEX(DMAV_Modell!Q$6:Q$838,$B676)="","",INDEX(DMAV_Modell!Q$6:Q$838,$B676)))</f>
        <v>CLASS</v>
      </c>
      <c r="L676" s="62" t="str" cm="1">
        <f t="array" ref="L676">IF($B676=0,IF($E676=0,"",IF(INDEX(DMAV_Dienste!O$6:O$140,$E676)="","",INDEX(DMAV_Dienste!O$6:O$140,$E676))),IF(INDEX(DMAV_Modell!P$6:P$838,$B676)="","",INDEX(DMAV_Modell!P$6:P$838,$B676)))</f>
        <v>Nomenklatur</v>
      </c>
      <c r="M676" s="62" t="str" cm="1">
        <f t="array" ref="M676">IF($B676=0,IF($E676=0,"",IF(INDEX(DMAV_Dienste!Q$6:Q$140,$E676)="","",INDEX(DMAV_Dienste!Q$6:Q$140,$E676))),IF(INDEX(DMAV_Modell!R$6:R$838,$B676)="","",INDEX(DMAV_Modell!R$6:R$838,$B676)))</f>
        <v>Flurname</v>
      </c>
      <c r="N676" s="62" t="str" cm="1">
        <f t="array" ref="N676">IF($B676=0,IF($E676=0,"",IF(INDEX(DMAV_Dienste!T$6:T$140,$E676)="","",INDEX(DMAV_Dienste!T$6:T$140,$E676))),IF(INDEX(DMAV_Modell!U$6:U$838,$B676)="","",INDEX(DMAV_Modell!U$6:U$838,$B676)))</f>
        <v>Name</v>
      </c>
      <c r="O676" s="63" t="str" cm="1">
        <f t="array" aca="1" ref="O676" ca="1">IF(C676=0,IF(F676=0,"",HYPERLINK("#"&amp;RIGHT(CELL("adresse",OFFSET(DMAV_Dienste!$M$6,F676-1,0)),LEN(CELL("adresse",OFFSET(DMAV_Dienste!$M$6,F676-1,0)))-FIND("]",CELL("adresse",OFFSET(DMAV_Dienste!$M$6,F676-1,0)))),"Structure")),HYPERLINK("#"&amp;RIGHT(CELL("adresse",OFFSET(DMAV_Modell!$N$6,C676-1,0)),LEN(CELL("adresse",OFFSET(DMAV_Modell!$N$6,C676-1,0)))-FIND("]",CELL("adresse",OFFSET(DMAV_Modell!$N$6,C676-1,0)))),"Structure"))</f>
        <v/>
      </c>
      <c r="P676" s="64" t="str" cm="1">
        <f t="array" aca="1" ref="P676" ca="1">IF(D676=0,IF(G676=0,"",HYPERLINK("#"&amp;RIGHT(CELL("adresse",OFFSET(DMAV_Dienste!$M$6,G676-1,0)),LEN(CELL("adresse",OFFSET(DMAV_Dienste!$M$6,G676-1,0)))-FIND("]",CELL("adresse",OFFSET(DMAV_Dienste!$M$6,G676-1,0)))),"Substructure")),HYPERLINK("#"&amp;RIGHT(CELL("adresse",OFFSET(DMAV_Modell!$N$6,D676-1,0)),LEN(CELL("adresse",OFFSET(DMAV_Modell!$N$6,D676-1,0)))-FIND("]",CELL("adresse",OFFSET(DMAV_Modell!$N$6,D676-1,0)))),"Substructure"))</f>
        <v/>
      </c>
      <c r="R676" s="80"/>
      <c r="T676" s="93"/>
      <c r="U676" s="94"/>
      <c r="V676" s="95"/>
      <c r="W676" s="96"/>
      <c r="Y676" s="85" t="s">
        <v>3245</v>
      </c>
      <c r="Z676" s="86"/>
      <c r="AA676" s="87"/>
      <c r="AB676" s="88"/>
      <c r="AD676" s="77"/>
      <c r="AF676" s="54" t="str" cm="1">
        <f t="array" aca="1" ref="AF676" ca="1">IF(H676=0,"",HYPERLINK("#"&amp;RIGHT(CELL("adresse",OFFSET('DM01-AV-CH'!$G$6,H676-1,0)),LEN(CELL("adresse",OFFSET('DM01-AV-CH'!$G$6,H676-1,0)))-FIND("]",CELL("adresse",OFFSET('DM01-AV-CH'!$G$6,H676-1,0)))),"Modell"))</f>
        <v>Modell</v>
      </c>
      <c r="AG676" s="72" t="str" cm="1">
        <f t="array" ref="AG676">IF($H676=0,"",IF(INDEX('DM01-AV-CH'!G$6:G$834,$H676)="","",INDEX('DM01-AV-CH'!G$6:G$834,$H676)))</f>
        <v>Nomenklatur</v>
      </c>
      <c r="AH676" s="73" t="str" cm="1">
        <f t="array" ref="AH676">IF($H676=0,"",IF(INDEX('DM01-AV-CH'!H$6:H$834,$H676)="","",INDEX('DM01-AV-CH'!H$6:H$834,$H676)))</f>
        <v>Flurname</v>
      </c>
      <c r="AI676" s="74" t="str" cm="1">
        <f t="array" ref="AI676">IF($H676=0,"",IF(INDEX('DM01-AV-CH'!I$6:I$834,$H676)="","",INDEX('DM01-AV-CH'!I$6:I$834,$H676)))</f>
        <v>Name</v>
      </c>
    </row>
    <row r="677" spans="1:35" x14ac:dyDescent="0.25">
      <c r="A677" s="57">
        <v>672</v>
      </c>
      <c r="B677" s="57">
        <f>IF($A677="","",IF(_xlfn.XLOOKUP($A677,Korrelation!$D$4:$D$1197,Korrelation!E$4:E$1197,"-",0)="-",0,MATCH(_xlfn.XLOOKUP($A677,Korrelation!$D$4:$D$1197,Korrelation!E$4:E$1197,"",0),DMAV_Modell!$G$6:$G$677,0)))</f>
        <v>373</v>
      </c>
      <c r="C677" s="57">
        <f>IF($A677="","",IF(_xlfn.XLOOKUP($A677,Korrelation!$D$4:$D$1197,Korrelation!F$4:F$1197,"-",0)="-",0,MATCH(_xlfn.XLOOKUP($A677,Korrelation!$D$4:$D$1197,Korrelation!F$4:F$1197,"",0),DMAV_Modell!$G$6:$G$677,0)))</f>
        <v>0</v>
      </c>
      <c r="D677" s="57">
        <f>IF($A677="","",IF(_xlfn.XLOOKUP($A677,Korrelation!$D$4:$D$1197,Korrelation!G$4:G$1197,"-",0)="-",0,MATCH(_xlfn.XLOOKUP($A677,Korrelation!$D$4:$D$1197,Korrelation!G$4:G$1197,"",0),DMAV_Modell!$G$6:$G$677,0)))</f>
        <v>0</v>
      </c>
      <c r="E677" s="57">
        <f>IF($A677="","",IF(_xlfn.XLOOKUP($A677,Korrelation!$D$4:$D$1197,Korrelation!H$4:H$1197,"-",0)="-",0,MATCH(_xlfn.XLOOKUP($A677,Korrelation!$D$4:$D$1197,Korrelation!H$4:H$1197,"",0),DMAV_Dienste!$F$6:$F$140,0)))</f>
        <v>0</v>
      </c>
      <c r="F677" s="57">
        <f>IF($A677="","",IF(_xlfn.XLOOKUP($A677,Korrelation!$D$4:$D$1197,Korrelation!I$4:I$1197,"-",0)="-",0,MATCH(_xlfn.XLOOKUP($A677,Korrelation!$D$4:$D$1197,Korrelation!I$4:I$1197,"",0),DMAV_Dienste!$F$6:$F$140,0)))</f>
        <v>0</v>
      </c>
      <c r="G677" s="57">
        <f>IF($A677="","",IF(_xlfn.XLOOKUP($A677,Korrelation!$D$4:$D$1197,Korrelation!J$4:J$1197,"-",0)="-",0,MATCH(_xlfn.XLOOKUP($A677,Korrelation!$D$4:$D$1197,Korrelation!J$4:J$1197,"",0),DMAV_Dienste!$F$6:$F$140,0)))</f>
        <v>0</v>
      </c>
      <c r="H677" s="57">
        <f>IF($A677="","",IF(_xlfn.XLOOKUP($A677,Korrelation!$D$4:$D$1197,Korrelation!K$4:K$1197,"-",0)="-",0,MATCH(_xlfn.XLOOKUP($A677,Korrelation!$D$4:$D$1197,Korrelation!K$4:K$1197,"",0),'DM01-AV-CH'!$A$6:$A$834,0)))</f>
        <v>385</v>
      </c>
      <c r="J677" s="54" t="str" cm="1">
        <f t="array" aca="1" ref="J677" ca="1">IF(B677=0,IF(E677=0,"",HYPERLINK("#"&amp;RIGHT(CELL("adresse",OFFSET(DMAV_Dienste!$M$6,E677-1,0)),LEN(CELL("adresse",OFFSET(DMAV_Dienste!$M$6,E677-1,0)))-FIND("]",CELL("adresse",OFFSET(DMAV_Dienste!$M$6,E677-1,0)))),"Dienst")),HYPERLINK("#"&amp;RIGHT(CELL("adresse",OFFSET(DMAV_Modell!$N$6,B677-1,0)),LEN(CELL("adresse",OFFSET(DMAV_Modell!$N$6,B677-1,0)))-FIND("]",CELL("adresse",OFFSET(DMAV_Modell!$N$6,B677-1,0)))),"Modell"))</f>
        <v>Modell</v>
      </c>
      <c r="K677" s="61" t="str" cm="1">
        <f t="array" ref="K677">IF($B677=0,IF($E677=0,"",IF(INDEX(DMAV_Dienste!P$6:P$140,$E677)="","",INDEX(DMAV_Dienste!P$6:P$140,$E677))),IF(INDEX(DMAV_Modell!Q$6:Q$838,$B677)="","",INDEX(DMAV_Modell!Q$6:Q$838,$B677)))</f>
        <v>CLASS</v>
      </c>
      <c r="L677" s="62" t="str" cm="1">
        <f t="array" ref="L677">IF($B677=0,IF($E677=0,"",IF(INDEX(DMAV_Dienste!O$6:O$140,$E677)="","",INDEX(DMAV_Dienste!O$6:O$140,$E677))),IF(INDEX(DMAV_Modell!P$6:P$838,$B677)="","",INDEX(DMAV_Modell!P$6:P$838,$B677)))</f>
        <v>Nomenklatur</v>
      </c>
      <c r="M677" s="62" t="str" cm="1">
        <f t="array" ref="M677">IF($B677=0,IF($E677=0,"",IF(INDEX(DMAV_Dienste!Q$6:Q$140,$E677)="","",INDEX(DMAV_Dienste!Q$6:Q$140,$E677))),IF(INDEX(DMAV_Modell!R$6:R$838,$B677)="","",INDEX(DMAV_Modell!R$6:R$838,$B677)))</f>
        <v>Flurname</v>
      </c>
      <c r="N677" s="62" t="str" cm="1">
        <f t="array" ref="N677">IF($B677=0,IF($E677=0,"",IF(INDEX(DMAV_Dienste!T$6:T$140,$E677)="","",INDEX(DMAV_Dienste!T$6:T$140,$E677))),IF(INDEX(DMAV_Modell!U$6:U$838,$B677)="","",INDEX(DMAV_Modell!U$6:U$838,$B677)))</f>
        <v>Geometrie</v>
      </c>
      <c r="O677" s="63" t="str" cm="1">
        <f t="array" aca="1" ref="O677" ca="1">IF(C677=0,IF(F677=0,"",HYPERLINK("#"&amp;RIGHT(CELL("adresse",OFFSET(DMAV_Dienste!$M$6,F677-1,0)),LEN(CELL("adresse",OFFSET(DMAV_Dienste!$M$6,F677-1,0)))-FIND("]",CELL("adresse",OFFSET(DMAV_Dienste!$M$6,F677-1,0)))),"Structure")),HYPERLINK("#"&amp;RIGHT(CELL("adresse",OFFSET(DMAV_Modell!$N$6,C677-1,0)),LEN(CELL("adresse",OFFSET(DMAV_Modell!$N$6,C677-1,0)))-FIND("]",CELL("adresse",OFFSET(DMAV_Modell!$N$6,C677-1,0)))),"Structure"))</f>
        <v/>
      </c>
      <c r="P677" s="64" t="str" cm="1">
        <f t="array" aca="1" ref="P677" ca="1">IF(D677=0,IF(G677=0,"",HYPERLINK("#"&amp;RIGHT(CELL("adresse",OFFSET(DMAV_Dienste!$M$6,G677-1,0)),LEN(CELL("adresse",OFFSET(DMAV_Dienste!$M$6,G677-1,0)))-FIND("]",CELL("adresse",OFFSET(DMAV_Dienste!$M$6,G677-1,0)))),"Substructure")),HYPERLINK("#"&amp;RIGHT(CELL("adresse",OFFSET(DMAV_Modell!$N$6,D677-1,0)),LEN(CELL("adresse",OFFSET(DMAV_Modell!$N$6,D677-1,0)))-FIND("]",CELL("adresse",OFFSET(DMAV_Modell!$N$6,D677-1,0)))),"Substructure"))</f>
        <v/>
      </c>
      <c r="R677" s="80"/>
      <c r="T677" s="93"/>
      <c r="U677" s="94"/>
      <c r="V677" s="95"/>
      <c r="W677" s="96"/>
      <c r="Y677" s="85" t="s">
        <v>3245</v>
      </c>
      <c r="Z677" s="86"/>
      <c r="AA677" s="87"/>
      <c r="AB677" s="88"/>
      <c r="AD677" s="77"/>
      <c r="AF677" s="54" t="str" cm="1">
        <f t="array" aca="1" ref="AF677" ca="1">IF(H677=0,"",HYPERLINK("#"&amp;RIGHT(CELL("adresse",OFFSET('DM01-AV-CH'!$G$6,H677-1,0)),LEN(CELL("adresse",OFFSET('DM01-AV-CH'!$G$6,H677-1,0)))-FIND("]",CELL("adresse",OFFSET('DM01-AV-CH'!$G$6,H677-1,0)))),"Modell"))</f>
        <v>Modell</v>
      </c>
      <c r="AG677" s="72" t="str" cm="1">
        <f t="array" ref="AG677">IF($H677=0,"",IF(INDEX('DM01-AV-CH'!G$6:G$834,$H677)="","",INDEX('DM01-AV-CH'!G$6:G$834,$H677)))</f>
        <v>Nomenklatur</v>
      </c>
      <c r="AH677" s="73" t="str" cm="1">
        <f t="array" ref="AH677">IF($H677=0,"",IF(INDEX('DM01-AV-CH'!H$6:H$834,$H677)="","",INDEX('DM01-AV-CH'!H$6:H$834,$H677)))</f>
        <v>Flurname</v>
      </c>
      <c r="AI677" s="74" t="str" cm="1">
        <f t="array" ref="AI677">IF($H677=0,"",IF(INDEX('DM01-AV-CH'!I$6:I$834,$H677)="","",INDEX('DM01-AV-CH'!I$6:I$834,$H677)))</f>
        <v>Geometrie</v>
      </c>
    </row>
    <row r="678" spans="1:35" x14ac:dyDescent="0.25">
      <c r="A678" s="57">
        <v>673</v>
      </c>
      <c r="B678" s="57">
        <f>IF($A678="","",IF(_xlfn.XLOOKUP($A678,Korrelation!$D$4:$D$1197,Korrelation!E$4:E$1197,"-",0)="-",0,MATCH(_xlfn.XLOOKUP($A678,Korrelation!$D$4:$D$1197,Korrelation!E$4:E$1197,"",0),DMAV_Modell!$G$6:$G$677,0)))</f>
        <v>374</v>
      </c>
      <c r="C678" s="57">
        <f>IF($A678="","",IF(_xlfn.XLOOKUP($A678,Korrelation!$D$4:$D$1197,Korrelation!F$4:F$1197,"-",0)="-",0,MATCH(_xlfn.XLOOKUP($A678,Korrelation!$D$4:$D$1197,Korrelation!F$4:F$1197,"",0),DMAV_Modell!$G$6:$G$677,0)))</f>
        <v>0</v>
      </c>
      <c r="D678" s="57">
        <f>IF($A678="","",IF(_xlfn.XLOOKUP($A678,Korrelation!$D$4:$D$1197,Korrelation!G$4:G$1197,"-",0)="-",0,MATCH(_xlfn.XLOOKUP($A678,Korrelation!$D$4:$D$1197,Korrelation!G$4:G$1197,"",0),DMAV_Modell!$G$6:$G$677,0)))</f>
        <v>0</v>
      </c>
      <c r="E678" s="57">
        <f>IF($A678="","",IF(_xlfn.XLOOKUP($A678,Korrelation!$D$4:$D$1197,Korrelation!H$4:H$1197,"-",0)="-",0,MATCH(_xlfn.XLOOKUP($A678,Korrelation!$D$4:$D$1197,Korrelation!H$4:H$1197,"",0),DMAV_Dienste!$F$6:$F$140,0)))</f>
        <v>0</v>
      </c>
      <c r="F678" s="57">
        <f>IF($A678="","",IF(_xlfn.XLOOKUP($A678,Korrelation!$D$4:$D$1197,Korrelation!I$4:I$1197,"-",0)="-",0,MATCH(_xlfn.XLOOKUP($A678,Korrelation!$D$4:$D$1197,Korrelation!I$4:I$1197,"",0),DMAV_Dienste!$F$6:$F$140,0)))</f>
        <v>0</v>
      </c>
      <c r="G678" s="57">
        <f>IF($A678="","",IF(_xlfn.XLOOKUP($A678,Korrelation!$D$4:$D$1197,Korrelation!J$4:J$1197,"-",0)="-",0,MATCH(_xlfn.XLOOKUP($A678,Korrelation!$D$4:$D$1197,Korrelation!J$4:J$1197,"",0),DMAV_Dienste!$F$6:$F$140,0)))</f>
        <v>0</v>
      </c>
      <c r="H678" s="57">
        <f>IF($A678="","",IF(_xlfn.XLOOKUP($A678,Korrelation!$D$4:$D$1197,Korrelation!K$4:K$1197,"-",0)="-",0,MATCH(_xlfn.XLOOKUP($A678,Korrelation!$D$4:$D$1197,Korrelation!K$4:K$1197,"",0),'DM01-AV-CH'!$A$6:$A$834,0)))</f>
        <v>0</v>
      </c>
      <c r="J678" s="54" t="str" cm="1">
        <f t="array" aca="1" ref="J678" ca="1">IF(B678=0,IF(E678=0,"",HYPERLINK("#"&amp;RIGHT(CELL("adresse",OFFSET(DMAV_Dienste!$M$6,E678-1,0)),LEN(CELL("adresse",OFFSET(DMAV_Dienste!$M$6,E678-1,0)))-FIND("]",CELL("adresse",OFFSET(DMAV_Dienste!$M$6,E678-1,0)))),"Dienst")),HYPERLINK("#"&amp;RIGHT(CELL("adresse",OFFSET(DMAV_Modell!$N$6,B678-1,0)),LEN(CELL("adresse",OFFSET(DMAV_Modell!$N$6,B678-1,0)))-FIND("]",CELL("adresse",OFFSET(DMAV_Modell!$N$6,B678-1,0)))),"Modell"))</f>
        <v>Modell</v>
      </c>
      <c r="K678" s="61" t="str" cm="1">
        <f t="array" ref="K678">IF($B678=0,IF($E678=0,"",IF(INDEX(DMAV_Dienste!P$6:P$140,$E678)="","",INDEX(DMAV_Dienste!P$6:P$140,$E678))),IF(INDEX(DMAV_Modell!Q$6:Q$838,$B678)="","",INDEX(DMAV_Modell!Q$6:Q$838,$B678)))</f>
        <v>CLASS</v>
      </c>
      <c r="L678" s="62" t="str" cm="1">
        <f t="array" ref="L678">IF($B678=0,IF($E678=0,"",IF(INDEX(DMAV_Dienste!O$6:O$140,$E678)="","",INDEX(DMAV_Dienste!O$6:O$140,$E678))),IF(INDEX(DMAV_Modell!P$6:P$838,$B678)="","",INDEX(DMAV_Modell!P$6:P$838,$B678)))</f>
        <v>Nomenklatur</v>
      </c>
      <c r="M678" s="62" t="str" cm="1">
        <f t="array" ref="M678">IF($B678=0,IF($E678=0,"",IF(INDEX(DMAV_Dienste!Q$6:Q$140,$E678)="","",INDEX(DMAV_Dienste!Q$6:Q$140,$E678))),IF(INDEX(DMAV_Modell!R$6:R$838,$B678)="","",INDEX(DMAV_Modell!R$6:R$838,$B678)))</f>
        <v>Flurname</v>
      </c>
      <c r="N678" s="62" t="str" cm="1">
        <f t="array" ref="N678">IF($B678=0,IF($E678=0,"",IF(INDEX(DMAV_Dienste!T$6:T$140,$E678)="","",INDEX(DMAV_Dienste!T$6:T$140,$E678))),IF(INDEX(DMAV_Modell!U$6:U$838,$B678)="","",INDEX(DMAV_Modell!U$6:U$838,$B678)))</f>
        <v>Fiktiv</v>
      </c>
      <c r="O678" s="63" t="str" cm="1">
        <f t="array" aca="1" ref="O678" ca="1">IF(C678=0,IF(F678=0,"",HYPERLINK("#"&amp;RIGHT(CELL("adresse",OFFSET(DMAV_Dienste!$M$6,F678-1,0)),LEN(CELL("adresse",OFFSET(DMAV_Dienste!$M$6,F678-1,0)))-FIND("]",CELL("adresse",OFFSET(DMAV_Dienste!$M$6,F678-1,0)))),"Structure")),HYPERLINK("#"&amp;RIGHT(CELL("adresse",OFFSET(DMAV_Modell!$N$6,C678-1,0)),LEN(CELL("adresse",OFFSET(DMAV_Modell!$N$6,C678-1,0)))-FIND("]",CELL("adresse",OFFSET(DMAV_Modell!$N$6,C678-1,0)))),"Structure"))</f>
        <v/>
      </c>
      <c r="P678" s="64" t="str" cm="1">
        <f t="array" aca="1" ref="P678" ca="1">IF(D678=0,IF(G678=0,"",HYPERLINK("#"&amp;RIGHT(CELL("adresse",OFFSET(DMAV_Dienste!$M$6,G678-1,0)),LEN(CELL("adresse",OFFSET(DMAV_Dienste!$M$6,G678-1,0)))-FIND("]",CELL("adresse",OFFSET(DMAV_Dienste!$M$6,G678-1,0)))),"Substructure")),HYPERLINK("#"&amp;RIGHT(CELL("adresse",OFFSET(DMAV_Modell!$N$6,D678-1,0)),LEN(CELL("adresse",OFFSET(DMAV_Modell!$N$6,D678-1,0)))-FIND("]",CELL("adresse",OFFSET(DMAV_Modell!$N$6,D678-1,0)))),"Substructure"))</f>
        <v/>
      </c>
      <c r="R678" s="80" t="s">
        <v>3117</v>
      </c>
      <c r="T678" s="93"/>
      <c r="U678" s="94"/>
      <c r="V678" s="95"/>
      <c r="W678" s="96"/>
      <c r="Y678" s="85"/>
      <c r="Z678" s="86"/>
      <c r="AA678" s="87"/>
      <c r="AB678" s="88"/>
      <c r="AD678" s="77"/>
      <c r="AF678" s="54" t="str" cm="1">
        <f t="array" aca="1" ref="AF678" ca="1">IF(H678=0,"",HYPERLINK("#"&amp;RIGHT(CELL("adresse",OFFSET('DM01-AV-CH'!$G$6,H678-1,0)),LEN(CELL("adresse",OFFSET('DM01-AV-CH'!$G$6,H678-1,0)))-FIND("]",CELL("adresse",OFFSET('DM01-AV-CH'!$G$6,H678-1,0)))),"Modell"))</f>
        <v/>
      </c>
      <c r="AG678" s="72" t="str" cm="1">
        <f t="array" ref="AG678">IF($H678=0,"",IF(INDEX('DM01-AV-CH'!G$6:G$834,$H678)="","",INDEX('DM01-AV-CH'!G$6:G$834,$H678)))</f>
        <v/>
      </c>
      <c r="AH678" s="73" t="str" cm="1">
        <f t="array" ref="AH678">IF($H678=0,"",IF(INDEX('DM01-AV-CH'!H$6:H$834,$H678)="","",INDEX('DM01-AV-CH'!H$6:H$834,$H678)))</f>
        <v/>
      </c>
      <c r="AI678" s="74" t="str" cm="1">
        <f t="array" ref="AI678">IF($H678=0,"",IF(INDEX('DM01-AV-CH'!I$6:I$834,$H678)="","",INDEX('DM01-AV-CH'!I$6:I$834,$H678)))</f>
        <v/>
      </c>
    </row>
    <row r="679" spans="1:35" x14ac:dyDescent="0.25">
      <c r="A679" s="57">
        <v>674</v>
      </c>
      <c r="B679" s="57">
        <f>IF($A679="","",IF(_xlfn.XLOOKUP($A679,Korrelation!$D$4:$D$1197,Korrelation!E$4:E$1197,"-",0)="-",0,MATCH(_xlfn.XLOOKUP($A679,Korrelation!$D$4:$D$1197,Korrelation!E$4:E$1197,"",0),DMAV_Modell!$G$6:$G$677,0)))</f>
        <v>375</v>
      </c>
      <c r="C679" s="57">
        <f>IF($A679="","",IF(_xlfn.XLOOKUP($A679,Korrelation!$D$4:$D$1197,Korrelation!F$4:F$1197,"-",0)="-",0,MATCH(_xlfn.XLOOKUP($A679,Korrelation!$D$4:$D$1197,Korrelation!F$4:F$1197,"",0),DMAV_Modell!$G$6:$G$677,0)))</f>
        <v>26</v>
      </c>
      <c r="D679" s="57">
        <f>IF($A679="","",IF(_xlfn.XLOOKUP($A679,Korrelation!$D$4:$D$1197,Korrelation!G$4:G$1197,"-",0)="-",0,MATCH(_xlfn.XLOOKUP($A679,Korrelation!$D$4:$D$1197,Korrelation!G$4:G$1197,"",0),DMAV_Modell!$G$6:$G$677,0)))</f>
        <v>0</v>
      </c>
      <c r="E679" s="57">
        <f>IF($A679="","",IF(_xlfn.XLOOKUP($A679,Korrelation!$D$4:$D$1197,Korrelation!H$4:H$1197,"-",0)="-",0,MATCH(_xlfn.XLOOKUP($A679,Korrelation!$D$4:$D$1197,Korrelation!H$4:H$1197,"",0),DMAV_Dienste!$F$6:$F$140,0)))</f>
        <v>0</v>
      </c>
      <c r="F679" s="57">
        <f>IF($A679="","",IF(_xlfn.XLOOKUP($A679,Korrelation!$D$4:$D$1197,Korrelation!I$4:I$1197,"-",0)="-",0,MATCH(_xlfn.XLOOKUP($A679,Korrelation!$D$4:$D$1197,Korrelation!I$4:I$1197,"",0),DMAV_Dienste!$F$6:$F$140,0)))</f>
        <v>0</v>
      </c>
      <c r="G679" s="57">
        <f>IF($A679="","",IF(_xlfn.XLOOKUP($A679,Korrelation!$D$4:$D$1197,Korrelation!J$4:J$1197,"-",0)="-",0,MATCH(_xlfn.XLOOKUP($A679,Korrelation!$D$4:$D$1197,Korrelation!J$4:J$1197,"",0),DMAV_Dienste!$F$6:$F$140,0)))</f>
        <v>0</v>
      </c>
      <c r="H679" s="57">
        <f>IF($A679="","",IF(_xlfn.XLOOKUP($A679,Korrelation!$D$4:$D$1197,Korrelation!K$4:K$1197,"-",0)="-",0,MATCH(_xlfn.XLOOKUP($A679,Korrelation!$D$4:$D$1197,Korrelation!K$4:K$1197,"",0),'DM01-AV-CH'!$A$6:$A$834,0)))</f>
        <v>0</v>
      </c>
      <c r="J679" s="54" t="str" cm="1">
        <f t="array" aca="1" ref="J679" ca="1">IF(B679=0,IF(E679=0,"",HYPERLINK("#"&amp;RIGHT(CELL("adresse",OFFSET(DMAV_Dienste!$M$6,E679-1,0)),LEN(CELL("adresse",OFFSET(DMAV_Dienste!$M$6,E679-1,0)))-FIND("]",CELL("adresse",OFFSET(DMAV_Dienste!$M$6,E679-1,0)))),"Dienst")),HYPERLINK("#"&amp;RIGHT(CELL("adresse",OFFSET(DMAV_Modell!$N$6,B679-1,0)),LEN(CELL("adresse",OFFSET(DMAV_Modell!$N$6,B679-1,0)))-FIND("]",CELL("adresse",OFFSET(DMAV_Modell!$N$6,B679-1,0)))),"Modell"))</f>
        <v>Modell</v>
      </c>
      <c r="K679" s="61" t="str" cm="1">
        <f t="array" ref="K679">IF($B679=0,IF($E679=0,"",IF(INDEX(DMAV_Dienste!P$6:P$140,$E679)="","",INDEX(DMAV_Dienste!P$6:P$140,$E679))),IF(INDEX(DMAV_Modell!Q$6:Q$838,$B679)="","",INDEX(DMAV_Modell!Q$6:Q$838,$B679)))</f>
        <v>CLASS</v>
      </c>
      <c r="L679" s="62" t="str" cm="1">
        <f t="array" ref="L679">IF($B679=0,IF($E679=0,"",IF(INDEX(DMAV_Dienste!O$6:O$140,$E679)="","",INDEX(DMAV_Dienste!O$6:O$140,$E679))),IF(INDEX(DMAV_Modell!P$6:P$838,$B679)="","",INDEX(DMAV_Modell!P$6:P$838,$B679)))</f>
        <v>Nomenklatur</v>
      </c>
      <c r="M679" s="62" t="str" cm="1">
        <f t="array" ref="M679">IF($B679=0,IF($E679=0,"",IF(INDEX(DMAV_Dienste!Q$6:Q$140,$E679)="","",INDEX(DMAV_Dienste!Q$6:Q$140,$E679))),IF(INDEX(DMAV_Modell!R$6:R$838,$B679)="","",INDEX(DMAV_Modell!R$6:R$838,$B679)))</f>
        <v>Flurname</v>
      </c>
      <c r="N679" s="62" t="str" cm="1">
        <f t="array" ref="N679">IF($B679=0,IF($E679=0,"",IF(INDEX(DMAV_Dienste!T$6:T$140,$E679)="","",INDEX(DMAV_Dienste!T$6:T$140,$E679))),IF(INDEX(DMAV_Modell!U$6:U$838,$B679)="","",INDEX(DMAV_Modell!U$6:U$838,$B679)))</f>
        <v>Textposition</v>
      </c>
      <c r="O679" s="63" t="str" cm="1">
        <f t="array" aca="1" ref="O679" ca="1">IF(C679=0,IF(F679=0,"",HYPERLINK("#"&amp;RIGHT(CELL("adresse",OFFSET(DMAV_Dienste!$M$6,F679-1,0)),LEN(CELL("adresse",OFFSET(DMAV_Dienste!$M$6,F679-1,0)))-FIND("]",CELL("adresse",OFFSET(DMAV_Dienste!$M$6,F679-1,0)))),"Structure")),HYPERLINK("#"&amp;RIGHT(CELL("adresse",OFFSET(DMAV_Modell!$N$6,C679-1,0)),LEN(CELL("adresse",OFFSET(DMAV_Modell!$N$6,C679-1,0)))-FIND("]",CELL("adresse",OFFSET(DMAV_Modell!$N$6,C679-1,0)))),"Structure"))</f>
        <v>Structure</v>
      </c>
      <c r="P679" s="64" t="str" cm="1">
        <f t="array" aca="1" ref="P679" ca="1">IF(D679=0,IF(G679=0,"",HYPERLINK("#"&amp;RIGHT(CELL("adresse",OFFSET(DMAV_Dienste!$M$6,G679-1,0)),LEN(CELL("adresse",OFFSET(DMAV_Dienste!$M$6,G679-1,0)))-FIND("]",CELL("adresse",OFFSET(DMAV_Dienste!$M$6,G679-1,0)))),"Substructure")),HYPERLINK("#"&amp;RIGHT(CELL("adresse",OFFSET(DMAV_Modell!$N$6,D679-1,0)),LEN(CELL("adresse",OFFSET(DMAV_Modell!$N$6,D679-1,0)))-FIND("]",CELL("adresse",OFFSET(DMAV_Modell!$N$6,D679-1,0)))),"Substructure"))</f>
        <v/>
      </c>
      <c r="R679" s="80"/>
      <c r="T679" s="93"/>
      <c r="U679" s="94"/>
      <c r="V679" s="95"/>
      <c r="W679" s="96"/>
      <c r="Y679" s="85"/>
      <c r="Z679" s="86"/>
      <c r="AA679" s="87"/>
      <c r="AB679" s="88"/>
      <c r="AD679" s="77"/>
      <c r="AF679" s="54" t="str" cm="1">
        <f t="array" aca="1" ref="AF679" ca="1">IF(H679=0,"",HYPERLINK("#"&amp;RIGHT(CELL("adresse",OFFSET('DM01-AV-CH'!$G$6,H679-1,0)),LEN(CELL("adresse",OFFSET('DM01-AV-CH'!$G$6,H679-1,0)))-FIND("]",CELL("adresse",OFFSET('DM01-AV-CH'!$G$6,H679-1,0)))),"Modell"))</f>
        <v/>
      </c>
      <c r="AG679" s="72" t="str" cm="1">
        <f t="array" ref="AG679">IF($H679=0,"",IF(INDEX('DM01-AV-CH'!G$6:G$834,$H679)="","",INDEX('DM01-AV-CH'!G$6:G$834,$H679)))</f>
        <v/>
      </c>
      <c r="AH679" s="73" t="str" cm="1">
        <f t="array" ref="AH679">IF($H679=0,"",IF(INDEX('DM01-AV-CH'!H$6:H$834,$H679)="","",INDEX('DM01-AV-CH'!H$6:H$834,$H679)))</f>
        <v/>
      </c>
      <c r="AI679" s="74" t="str" cm="1">
        <f t="array" ref="AI679">IF($H679=0,"",IF(INDEX('DM01-AV-CH'!I$6:I$834,$H679)="","",INDEX('DM01-AV-CH'!I$6:I$834,$H679)))</f>
        <v/>
      </c>
    </row>
    <row r="680" spans="1:35" x14ac:dyDescent="0.25">
      <c r="A680" s="57">
        <v>675</v>
      </c>
      <c r="B680" s="57">
        <f>IF($A680="","",IF(_xlfn.XLOOKUP($A680,Korrelation!$D$4:$D$1197,Korrelation!E$4:E$1197,"-",0)="-",0,MATCH(_xlfn.XLOOKUP($A680,Korrelation!$D$4:$D$1197,Korrelation!E$4:E$1197,"",0),DMAV_Modell!$G$6:$G$677,0)))</f>
        <v>0</v>
      </c>
      <c r="C680" s="57">
        <f>IF($A680="","",IF(_xlfn.XLOOKUP($A680,Korrelation!$D$4:$D$1197,Korrelation!F$4:F$1197,"-",0)="-",0,MATCH(_xlfn.XLOOKUP($A680,Korrelation!$D$4:$D$1197,Korrelation!F$4:F$1197,"",0),DMAV_Modell!$G$6:$G$677,0)))</f>
        <v>0</v>
      </c>
      <c r="D680" s="57">
        <f>IF($A680="","",IF(_xlfn.XLOOKUP($A680,Korrelation!$D$4:$D$1197,Korrelation!G$4:G$1197,"-",0)="-",0,MATCH(_xlfn.XLOOKUP($A680,Korrelation!$D$4:$D$1197,Korrelation!G$4:G$1197,"",0),DMAV_Modell!$G$6:$G$677,0)))</f>
        <v>0</v>
      </c>
      <c r="E680" s="57">
        <f>IF($A680="","",IF(_xlfn.XLOOKUP($A680,Korrelation!$D$4:$D$1197,Korrelation!H$4:H$1197,"-",0)="-",0,MATCH(_xlfn.XLOOKUP($A680,Korrelation!$D$4:$D$1197,Korrelation!H$4:H$1197,"",0),DMAV_Dienste!$F$6:$F$140,0)))</f>
        <v>0</v>
      </c>
      <c r="F680" s="57">
        <f>IF($A680="","",IF(_xlfn.XLOOKUP($A680,Korrelation!$D$4:$D$1197,Korrelation!I$4:I$1197,"-",0)="-",0,MATCH(_xlfn.XLOOKUP($A680,Korrelation!$D$4:$D$1197,Korrelation!I$4:I$1197,"",0),DMAV_Dienste!$F$6:$F$140,0)))</f>
        <v>0</v>
      </c>
      <c r="G680" s="57">
        <f>IF($A680="","",IF(_xlfn.XLOOKUP($A680,Korrelation!$D$4:$D$1197,Korrelation!J$4:J$1197,"-",0)="-",0,MATCH(_xlfn.XLOOKUP($A680,Korrelation!$D$4:$D$1197,Korrelation!J$4:J$1197,"",0),DMAV_Dienste!$F$6:$F$140,0)))</f>
        <v>0</v>
      </c>
      <c r="H680" s="57">
        <f>IF($A680="","",IF(_xlfn.XLOOKUP($A680,Korrelation!$D$4:$D$1197,Korrelation!K$4:K$1197,"-",0)="-",0,MATCH(_xlfn.XLOOKUP($A680,Korrelation!$D$4:$D$1197,Korrelation!K$4:K$1197,"",0),'DM01-AV-CH'!$A$6:$A$834,0)))</f>
        <v>386</v>
      </c>
      <c r="J680" s="54" t="str" cm="1">
        <f t="array" aca="1" ref="J680" ca="1">IF(B680=0,IF(E680=0,"",HYPERLINK("#"&amp;RIGHT(CELL("adresse",OFFSET(DMAV_Dienste!$M$6,E680-1,0)),LEN(CELL("adresse",OFFSET(DMAV_Dienste!$M$6,E680-1,0)))-FIND("]",CELL("adresse",OFFSET(DMAV_Dienste!$M$6,E680-1,0)))),"Dienst")),HYPERLINK("#"&amp;RIGHT(CELL("adresse",OFFSET(DMAV_Modell!$N$6,B680-1,0)),LEN(CELL("adresse",OFFSET(DMAV_Modell!$N$6,B680-1,0)))-FIND("]",CELL("adresse",OFFSET(DMAV_Modell!$N$6,B680-1,0)))),"Modell"))</f>
        <v/>
      </c>
      <c r="K680" s="61" t="str" cm="1">
        <f t="array" ref="K680">IF($B680=0,IF($E680=0,"",IF(INDEX(DMAV_Dienste!P$6:P$140,$E680)="","",INDEX(DMAV_Dienste!P$6:P$140,$E680))),IF(INDEX(DMAV_Modell!Q$6:Q$838,$B680)="","",INDEX(DMAV_Modell!Q$6:Q$838,$B680)))</f>
        <v/>
      </c>
      <c r="L680" s="62" t="str" cm="1">
        <f t="array" ref="L680">IF($B680=0,IF($E680=0,"",IF(INDEX(DMAV_Dienste!O$6:O$140,$E680)="","",INDEX(DMAV_Dienste!O$6:O$140,$E680))),IF(INDEX(DMAV_Modell!P$6:P$838,$B680)="","",INDEX(DMAV_Modell!P$6:P$838,$B680)))</f>
        <v/>
      </c>
      <c r="M680" s="62" t="str" cm="1">
        <f t="array" ref="M680">IF($B680=0,IF($E680=0,"",IF(INDEX(DMAV_Dienste!Q$6:Q$140,$E680)="","",INDEX(DMAV_Dienste!Q$6:Q$140,$E680))),IF(INDEX(DMAV_Modell!R$6:R$838,$B680)="","",INDEX(DMAV_Modell!R$6:R$838,$B680)))</f>
        <v/>
      </c>
      <c r="N680" s="62" t="str" cm="1">
        <f t="array" ref="N680">IF($B680=0,IF($E680=0,"",IF(INDEX(DMAV_Dienste!T$6:T$140,$E680)="","",INDEX(DMAV_Dienste!T$6:T$140,$E680))),IF(INDEX(DMAV_Modell!U$6:U$838,$B680)="","",INDEX(DMAV_Modell!U$6:U$838,$B680)))</f>
        <v/>
      </c>
      <c r="O680" s="63" t="str" cm="1">
        <f t="array" aca="1" ref="O680" ca="1">IF(C680=0,IF(F680=0,"",HYPERLINK("#"&amp;RIGHT(CELL("adresse",OFFSET(DMAV_Dienste!$M$6,F680-1,0)),LEN(CELL("adresse",OFFSET(DMAV_Dienste!$M$6,F680-1,0)))-FIND("]",CELL("adresse",OFFSET(DMAV_Dienste!$M$6,F680-1,0)))),"Structure")),HYPERLINK("#"&amp;RIGHT(CELL("adresse",OFFSET(DMAV_Modell!$N$6,C680-1,0)),LEN(CELL("adresse",OFFSET(DMAV_Modell!$N$6,C680-1,0)))-FIND("]",CELL("adresse",OFFSET(DMAV_Modell!$N$6,C680-1,0)))),"Structure"))</f>
        <v/>
      </c>
      <c r="P680" s="64" t="str" cm="1">
        <f t="array" aca="1" ref="P680" ca="1">IF(D680=0,IF(G680=0,"",HYPERLINK("#"&amp;RIGHT(CELL("adresse",OFFSET(DMAV_Dienste!$M$6,G680-1,0)),LEN(CELL("adresse",OFFSET(DMAV_Dienste!$M$6,G680-1,0)))-FIND("]",CELL("adresse",OFFSET(DMAV_Dienste!$M$6,G680-1,0)))),"Substructure")),HYPERLINK("#"&amp;RIGHT(CELL("adresse",OFFSET(DMAV_Modell!$N$6,D680-1,0)),LEN(CELL("adresse",OFFSET(DMAV_Modell!$N$6,D680-1,0)))-FIND("]",CELL("adresse",OFFSET(DMAV_Modell!$N$6,D680-1,0)))),"Substructure"))</f>
        <v/>
      </c>
      <c r="R680" s="80"/>
      <c r="T680" s="93"/>
      <c r="U680" s="94"/>
      <c r="V680" s="95"/>
      <c r="W680" s="96"/>
      <c r="Y680" s="85"/>
      <c r="Z680" s="86"/>
      <c r="AA680" s="87"/>
      <c r="AB680" s="88"/>
      <c r="AD680" s="77"/>
      <c r="AF680" s="54" t="str" cm="1">
        <f t="array" aca="1" ref="AF680" ca="1">IF(H680=0,"",HYPERLINK("#"&amp;RIGHT(CELL("adresse",OFFSET('DM01-AV-CH'!$G$6,H680-1,0)),LEN(CELL("adresse",OFFSET('DM01-AV-CH'!$G$6,H680-1,0)))-FIND("]",CELL("adresse",OFFSET('DM01-AV-CH'!$G$6,H680-1,0)))),"Modell"))</f>
        <v>Modell</v>
      </c>
      <c r="AG680" s="72" t="str" cm="1">
        <f t="array" ref="AG680">IF($H680=0,"",IF(INDEX('DM01-AV-CH'!G$6:G$834,$H680)="","",INDEX('DM01-AV-CH'!G$6:G$834,$H680)))</f>
        <v>Nomenklatur</v>
      </c>
      <c r="AH680" s="73" t="str" cm="1">
        <f t="array" ref="AH680">IF($H680=0,"",IF(INDEX('DM01-AV-CH'!H$6:H$834,$H680)="","",INDEX('DM01-AV-CH'!H$6:H$834,$H680)))</f>
        <v>FlurnamePos</v>
      </c>
      <c r="AI680" s="74" t="str" cm="1">
        <f t="array" ref="AI680">IF($H680=0,"",IF(INDEX('DM01-AV-CH'!I$6:I$834,$H680)="","",INDEX('DM01-AV-CH'!I$6:I$834,$H680)))</f>
        <v>FlurnamePos_von</v>
      </c>
    </row>
    <row r="681" spans="1:35" ht="28.5" x14ac:dyDescent="0.25">
      <c r="A681" s="57">
        <v>676</v>
      </c>
      <c r="B681" s="57">
        <f>IF($A681="","",IF(_xlfn.XLOOKUP($A681,Korrelation!$D$4:$D$1197,Korrelation!E$4:E$1197,"-",0)="-",0,MATCH(_xlfn.XLOOKUP($A681,Korrelation!$D$4:$D$1197,Korrelation!E$4:E$1197,"",0),DMAV_Modell!$G$6:$G$677,0)))</f>
        <v>375</v>
      </c>
      <c r="C681" s="57">
        <f>IF($A681="","",IF(_xlfn.XLOOKUP($A681,Korrelation!$D$4:$D$1197,Korrelation!F$4:F$1197,"-",0)="-",0,MATCH(_xlfn.XLOOKUP($A681,Korrelation!$D$4:$D$1197,Korrelation!F$4:F$1197,"",0),DMAV_Modell!$G$6:$G$677,0)))</f>
        <v>26</v>
      </c>
      <c r="D681" s="57">
        <f>IF($A681="","",IF(_xlfn.XLOOKUP($A681,Korrelation!$D$4:$D$1197,Korrelation!G$4:G$1197,"-",0)="-",0,MATCH(_xlfn.XLOOKUP($A681,Korrelation!$D$4:$D$1197,Korrelation!G$4:G$1197,"",0),DMAV_Modell!$G$6:$G$677,0)))</f>
        <v>26</v>
      </c>
      <c r="E681" s="57">
        <f>IF($A681="","",IF(_xlfn.XLOOKUP($A681,Korrelation!$D$4:$D$1197,Korrelation!H$4:H$1197,"-",0)="-",0,MATCH(_xlfn.XLOOKUP($A681,Korrelation!$D$4:$D$1197,Korrelation!H$4:H$1197,"",0),DMAV_Dienste!$F$6:$F$140,0)))</f>
        <v>0</v>
      </c>
      <c r="F681" s="57">
        <f>IF($A681="","",IF(_xlfn.XLOOKUP($A681,Korrelation!$D$4:$D$1197,Korrelation!I$4:I$1197,"-",0)="-",0,MATCH(_xlfn.XLOOKUP($A681,Korrelation!$D$4:$D$1197,Korrelation!I$4:I$1197,"",0),DMAV_Dienste!$F$6:$F$140,0)))</f>
        <v>0</v>
      </c>
      <c r="G681" s="57">
        <f>IF($A681="","",IF(_xlfn.XLOOKUP($A681,Korrelation!$D$4:$D$1197,Korrelation!J$4:J$1197,"-",0)="-",0,MATCH(_xlfn.XLOOKUP($A681,Korrelation!$D$4:$D$1197,Korrelation!J$4:J$1197,"",0),DMAV_Dienste!$F$6:$F$140,0)))</f>
        <v>0</v>
      </c>
      <c r="H681" s="57">
        <f>IF($A681="","",IF(_xlfn.XLOOKUP($A681,Korrelation!$D$4:$D$1197,Korrelation!K$4:K$1197,"-",0)="-",0,MATCH(_xlfn.XLOOKUP($A681,Korrelation!$D$4:$D$1197,Korrelation!K$4:K$1197,"",0),'DM01-AV-CH'!$A$6:$A$834,0)))</f>
        <v>387</v>
      </c>
      <c r="J681" s="54" t="str" cm="1">
        <f t="array" aca="1" ref="J681" ca="1">IF(B681=0,IF(E681=0,"",HYPERLINK("#"&amp;RIGHT(CELL("adresse",OFFSET(DMAV_Dienste!$M$6,E681-1,0)),LEN(CELL("adresse",OFFSET(DMAV_Dienste!$M$6,E681-1,0)))-FIND("]",CELL("adresse",OFFSET(DMAV_Dienste!$M$6,E681-1,0)))),"Dienst")),HYPERLINK("#"&amp;RIGHT(CELL("adresse",OFFSET(DMAV_Modell!$N$6,B681-1,0)),LEN(CELL("adresse",OFFSET(DMAV_Modell!$N$6,B681-1,0)))-FIND("]",CELL("adresse",OFFSET(DMAV_Modell!$N$6,B681-1,0)))),"Modell"))</f>
        <v>Modell</v>
      </c>
      <c r="K681" s="61" t="str" cm="1">
        <f t="array" ref="K681">IF($B681=0,IF($E681=0,"",IF(INDEX(DMAV_Dienste!P$6:P$140,$E681)="","",INDEX(DMAV_Dienste!P$6:P$140,$E681))),IF(INDEX(DMAV_Modell!Q$6:Q$838,$B681)="","",INDEX(DMAV_Modell!Q$6:Q$838,$B681)))</f>
        <v>CLASS</v>
      </c>
      <c r="L681" s="62" t="str" cm="1">
        <f t="array" ref="L681">IF($B681=0,IF($E681=0,"",IF(INDEX(DMAV_Dienste!O$6:O$140,$E681)="","",INDEX(DMAV_Dienste!O$6:O$140,$E681))),IF(INDEX(DMAV_Modell!P$6:P$838,$B681)="","",INDEX(DMAV_Modell!P$6:P$838,$B681)))</f>
        <v>Nomenklatur</v>
      </c>
      <c r="M681" s="62" t="str" cm="1">
        <f t="array" ref="M681">IF($B681=0,IF($E681=0,"",IF(INDEX(DMAV_Dienste!Q$6:Q$140,$E681)="","",INDEX(DMAV_Dienste!Q$6:Q$140,$E681))),IF(INDEX(DMAV_Modell!R$6:R$838,$B681)="","",INDEX(DMAV_Modell!R$6:R$838,$B681)))</f>
        <v>Flurname</v>
      </c>
      <c r="N681" s="62" t="str" cm="1">
        <f t="array" ref="N681">IF($B681=0,IF($E681=0,"",IF(INDEX(DMAV_Dienste!T$6:T$140,$E681)="","",INDEX(DMAV_Dienste!T$6:T$140,$E681))),IF(INDEX(DMAV_Modell!U$6:U$838,$B681)="","",INDEX(DMAV_Modell!U$6:U$838,$B681)))</f>
        <v>Textposition</v>
      </c>
      <c r="O681" s="63" t="str" cm="1">
        <f t="array" aca="1" ref="O681" ca="1">IF(C681=0,IF(F681=0,"",HYPERLINK("#"&amp;RIGHT(CELL("adresse",OFFSET(DMAV_Dienste!$M$6,F681-1,0)),LEN(CELL("adresse",OFFSET(DMAV_Dienste!$M$6,F681-1,0)))-FIND("]",CELL("adresse",OFFSET(DMAV_Dienste!$M$6,F681-1,0)))),"Structure")),HYPERLINK("#"&amp;RIGHT(CELL("adresse",OFFSET(DMAV_Modell!$N$6,C681-1,0)),LEN(CELL("adresse",OFFSET(DMAV_Modell!$N$6,C681-1,0)))-FIND("]",CELL("adresse",OFFSET(DMAV_Modell!$N$6,C681-1,0)))),"Structure"))</f>
        <v>Structure</v>
      </c>
      <c r="P681" s="64" t="str" cm="1">
        <f t="array" aca="1" ref="P681" ca="1">IF(D681=0,IF(G681=0,"",HYPERLINK("#"&amp;RIGHT(CELL("adresse",OFFSET(DMAV_Dienste!$M$6,G681-1,0)),LEN(CELL("adresse",OFFSET(DMAV_Dienste!$M$6,G681-1,0)))-FIND("]",CELL("adresse",OFFSET(DMAV_Dienste!$M$6,G681-1,0)))),"Substructure")),HYPERLINK("#"&amp;RIGHT(CELL("adresse",OFFSET(DMAV_Modell!$N$6,D681-1,0)),LEN(CELL("adresse",OFFSET(DMAV_Modell!$N$6,D681-1,0)))-FIND("]",CELL("adresse",OFFSET(DMAV_Modell!$N$6,D681-1,0)))),"Substructure"))</f>
        <v>Substructure</v>
      </c>
      <c r="R681" s="80"/>
      <c r="T681" s="93"/>
      <c r="U681" s="94" t="s">
        <v>2980</v>
      </c>
      <c r="V681" s="95" t="s">
        <v>3151</v>
      </c>
      <c r="W681" s="96"/>
      <c r="Y681" s="85" t="s">
        <v>3245</v>
      </c>
      <c r="Z681" s="86" t="s">
        <v>2980</v>
      </c>
      <c r="AA681" s="87" t="s">
        <v>3035</v>
      </c>
      <c r="AB681" s="88"/>
      <c r="AD681" s="77"/>
      <c r="AF681" s="54" t="str" cm="1">
        <f t="array" aca="1" ref="AF681" ca="1">IF(H681=0,"",HYPERLINK("#"&amp;RIGHT(CELL("adresse",OFFSET('DM01-AV-CH'!$G$6,H681-1,0)),LEN(CELL("adresse",OFFSET('DM01-AV-CH'!$G$6,H681-1,0)))-FIND("]",CELL("adresse",OFFSET('DM01-AV-CH'!$G$6,H681-1,0)))),"Modell"))</f>
        <v>Modell</v>
      </c>
      <c r="AG681" s="72" t="str" cm="1">
        <f t="array" ref="AG681">IF($H681=0,"",IF(INDEX('DM01-AV-CH'!G$6:G$834,$H681)="","",INDEX('DM01-AV-CH'!G$6:G$834,$H681)))</f>
        <v>Nomenklatur</v>
      </c>
      <c r="AH681" s="73" t="str" cm="1">
        <f t="array" ref="AH681">IF($H681=0,"",IF(INDEX('DM01-AV-CH'!H$6:H$834,$H681)="","",INDEX('DM01-AV-CH'!H$6:H$834,$H681)))</f>
        <v>FlurnamePos</v>
      </c>
      <c r="AI681" s="74" t="str" cm="1">
        <f t="array" ref="AI681">IF($H681=0,"",IF(INDEX('DM01-AV-CH'!I$6:I$834,$H681)="","",INDEX('DM01-AV-CH'!I$6:I$834,$H681)))</f>
        <v>Pos</v>
      </c>
    </row>
    <row r="682" spans="1:35" ht="28.5" x14ac:dyDescent="0.25">
      <c r="A682" s="57">
        <v>677</v>
      </c>
      <c r="B682" s="57">
        <f>IF($A682="","",IF(_xlfn.XLOOKUP($A682,Korrelation!$D$4:$D$1197,Korrelation!E$4:E$1197,"-",0)="-",0,MATCH(_xlfn.XLOOKUP($A682,Korrelation!$D$4:$D$1197,Korrelation!E$4:E$1197,"",0),DMAV_Modell!$G$6:$G$677,0)))</f>
        <v>375</v>
      </c>
      <c r="C682" s="57">
        <f>IF($A682="","",IF(_xlfn.XLOOKUP($A682,Korrelation!$D$4:$D$1197,Korrelation!F$4:F$1197,"-",0)="-",0,MATCH(_xlfn.XLOOKUP($A682,Korrelation!$D$4:$D$1197,Korrelation!F$4:F$1197,"",0),DMAV_Modell!$G$6:$G$677,0)))</f>
        <v>26</v>
      </c>
      <c r="D682" s="57">
        <f>IF($A682="","",IF(_xlfn.XLOOKUP($A682,Korrelation!$D$4:$D$1197,Korrelation!G$4:G$1197,"-",0)="-",0,MATCH(_xlfn.XLOOKUP($A682,Korrelation!$D$4:$D$1197,Korrelation!G$4:G$1197,"",0),DMAV_Modell!$G$6:$G$677,0)))</f>
        <v>27</v>
      </c>
      <c r="E682" s="57">
        <f>IF($A682="","",IF(_xlfn.XLOOKUP($A682,Korrelation!$D$4:$D$1197,Korrelation!H$4:H$1197,"-",0)="-",0,MATCH(_xlfn.XLOOKUP($A682,Korrelation!$D$4:$D$1197,Korrelation!H$4:H$1197,"",0),DMAV_Dienste!$F$6:$F$140,0)))</f>
        <v>0</v>
      </c>
      <c r="F682" s="57">
        <f>IF($A682="","",IF(_xlfn.XLOOKUP($A682,Korrelation!$D$4:$D$1197,Korrelation!I$4:I$1197,"-",0)="-",0,MATCH(_xlfn.XLOOKUP($A682,Korrelation!$D$4:$D$1197,Korrelation!I$4:I$1197,"",0),DMAV_Dienste!$F$6:$F$140,0)))</f>
        <v>0</v>
      </c>
      <c r="G682" s="57">
        <f>IF($A682="","",IF(_xlfn.XLOOKUP($A682,Korrelation!$D$4:$D$1197,Korrelation!J$4:J$1197,"-",0)="-",0,MATCH(_xlfn.XLOOKUP($A682,Korrelation!$D$4:$D$1197,Korrelation!J$4:J$1197,"",0),DMAV_Dienste!$F$6:$F$140,0)))</f>
        <v>0</v>
      </c>
      <c r="H682" s="57">
        <f>IF($A682="","",IF(_xlfn.XLOOKUP($A682,Korrelation!$D$4:$D$1197,Korrelation!K$4:K$1197,"-",0)="-",0,MATCH(_xlfn.XLOOKUP($A682,Korrelation!$D$4:$D$1197,Korrelation!K$4:K$1197,"",0),'DM01-AV-CH'!$A$6:$A$834,0)))</f>
        <v>388</v>
      </c>
      <c r="J682" s="54" t="str" cm="1">
        <f t="array" aca="1" ref="J682" ca="1">IF(B682=0,IF(E682=0,"",HYPERLINK("#"&amp;RIGHT(CELL("adresse",OFFSET(DMAV_Dienste!$M$6,E682-1,0)),LEN(CELL("adresse",OFFSET(DMAV_Dienste!$M$6,E682-1,0)))-FIND("]",CELL("adresse",OFFSET(DMAV_Dienste!$M$6,E682-1,0)))),"Dienst")),HYPERLINK("#"&amp;RIGHT(CELL("adresse",OFFSET(DMAV_Modell!$N$6,B682-1,0)),LEN(CELL("adresse",OFFSET(DMAV_Modell!$N$6,B682-1,0)))-FIND("]",CELL("adresse",OFFSET(DMAV_Modell!$N$6,B682-1,0)))),"Modell"))</f>
        <v>Modell</v>
      </c>
      <c r="K682" s="61" t="str" cm="1">
        <f t="array" ref="K682">IF($B682=0,IF($E682=0,"",IF(INDEX(DMAV_Dienste!P$6:P$140,$E682)="","",INDEX(DMAV_Dienste!P$6:P$140,$E682))),IF(INDEX(DMAV_Modell!Q$6:Q$838,$B682)="","",INDEX(DMAV_Modell!Q$6:Q$838,$B682)))</f>
        <v>CLASS</v>
      </c>
      <c r="L682" s="62" t="str" cm="1">
        <f t="array" ref="L682">IF($B682=0,IF($E682=0,"",IF(INDEX(DMAV_Dienste!O$6:O$140,$E682)="","",INDEX(DMAV_Dienste!O$6:O$140,$E682))),IF(INDEX(DMAV_Modell!P$6:P$838,$B682)="","",INDEX(DMAV_Modell!P$6:P$838,$B682)))</f>
        <v>Nomenklatur</v>
      </c>
      <c r="M682" s="62" t="str" cm="1">
        <f t="array" ref="M682">IF($B682=0,IF($E682=0,"",IF(INDEX(DMAV_Dienste!Q$6:Q$140,$E682)="","",INDEX(DMAV_Dienste!Q$6:Q$140,$E682))),IF(INDEX(DMAV_Modell!R$6:R$838,$B682)="","",INDEX(DMAV_Modell!R$6:R$838,$B682)))</f>
        <v>Flurname</v>
      </c>
      <c r="N682" s="62" t="str" cm="1">
        <f t="array" ref="N682">IF($B682=0,IF($E682=0,"",IF(INDEX(DMAV_Dienste!T$6:T$140,$E682)="","",INDEX(DMAV_Dienste!T$6:T$140,$E682))),IF(INDEX(DMAV_Modell!U$6:U$838,$B682)="","",INDEX(DMAV_Modell!U$6:U$838,$B682)))</f>
        <v>Textposition</v>
      </c>
      <c r="O682" s="63" t="str" cm="1">
        <f t="array" aca="1" ref="O682" ca="1">IF(C682=0,IF(F682=0,"",HYPERLINK("#"&amp;RIGHT(CELL("adresse",OFFSET(DMAV_Dienste!$M$6,F682-1,0)),LEN(CELL("adresse",OFFSET(DMAV_Dienste!$M$6,F682-1,0)))-FIND("]",CELL("adresse",OFFSET(DMAV_Dienste!$M$6,F682-1,0)))),"Structure")),HYPERLINK("#"&amp;RIGHT(CELL("adresse",OFFSET(DMAV_Modell!$N$6,C682-1,0)),LEN(CELL("adresse",OFFSET(DMAV_Modell!$N$6,C682-1,0)))-FIND("]",CELL("adresse",OFFSET(DMAV_Modell!$N$6,C682-1,0)))),"Structure"))</f>
        <v>Structure</v>
      </c>
      <c r="P682" s="64" t="str" cm="1">
        <f t="array" aca="1" ref="P682" ca="1">IF(D682=0,IF(G682=0,"",HYPERLINK("#"&amp;RIGHT(CELL("adresse",OFFSET(DMAV_Dienste!$M$6,G682-1,0)),LEN(CELL("adresse",OFFSET(DMAV_Dienste!$M$6,G682-1,0)))-FIND("]",CELL("adresse",OFFSET(DMAV_Dienste!$M$6,G682-1,0)))),"Substructure")),HYPERLINK("#"&amp;RIGHT(CELL("adresse",OFFSET(DMAV_Modell!$N$6,D682-1,0)),LEN(CELL("adresse",OFFSET(DMAV_Modell!$N$6,D682-1,0)))-FIND("]",CELL("adresse",OFFSET(DMAV_Modell!$N$6,D682-1,0)))),"Substructure"))</f>
        <v>Substructure</v>
      </c>
      <c r="R682" s="80"/>
      <c r="T682" s="93"/>
      <c r="U682" s="94" t="s">
        <v>2980</v>
      </c>
      <c r="V682" s="95" t="s">
        <v>3152</v>
      </c>
      <c r="W682" s="96"/>
      <c r="Y682" s="85" t="s">
        <v>3245</v>
      </c>
      <c r="Z682" s="86" t="s">
        <v>2980</v>
      </c>
      <c r="AA682" s="87" t="s">
        <v>3036</v>
      </c>
      <c r="AB682" s="88"/>
      <c r="AD682" s="77"/>
      <c r="AF682" s="54" t="str" cm="1">
        <f t="array" aca="1" ref="AF682" ca="1">IF(H682=0,"",HYPERLINK("#"&amp;RIGHT(CELL("adresse",OFFSET('DM01-AV-CH'!$G$6,H682-1,0)),LEN(CELL("adresse",OFFSET('DM01-AV-CH'!$G$6,H682-1,0)))-FIND("]",CELL("adresse",OFFSET('DM01-AV-CH'!$G$6,H682-1,0)))),"Modell"))</f>
        <v>Modell</v>
      </c>
      <c r="AG682" s="72" t="str" cm="1">
        <f t="array" ref="AG682">IF($H682=0,"",IF(INDEX('DM01-AV-CH'!G$6:G$834,$H682)="","",INDEX('DM01-AV-CH'!G$6:G$834,$H682)))</f>
        <v>Nomenklatur</v>
      </c>
      <c r="AH682" s="73" t="str" cm="1">
        <f t="array" ref="AH682">IF($H682=0,"",IF(INDEX('DM01-AV-CH'!H$6:H$834,$H682)="","",INDEX('DM01-AV-CH'!H$6:H$834,$H682)))</f>
        <v>FlurnamePos</v>
      </c>
      <c r="AI682" s="74" t="str" cm="1">
        <f t="array" ref="AI682">IF($H682=0,"",IF(INDEX('DM01-AV-CH'!I$6:I$834,$H682)="","",INDEX('DM01-AV-CH'!I$6:I$834,$H682)))</f>
        <v>Ori</v>
      </c>
    </row>
    <row r="683" spans="1:35" ht="28.5" x14ac:dyDescent="0.25">
      <c r="A683" s="57">
        <v>678</v>
      </c>
      <c r="B683" s="57">
        <f>IF($A683="","",IF(_xlfn.XLOOKUP($A683,Korrelation!$D$4:$D$1197,Korrelation!E$4:E$1197,"-",0)="-",0,MATCH(_xlfn.XLOOKUP($A683,Korrelation!$D$4:$D$1197,Korrelation!E$4:E$1197,"",0),DMAV_Modell!$G$6:$G$677,0)))</f>
        <v>375</v>
      </c>
      <c r="C683" s="57">
        <f>IF($A683="","",IF(_xlfn.XLOOKUP($A683,Korrelation!$D$4:$D$1197,Korrelation!F$4:F$1197,"-",0)="-",0,MATCH(_xlfn.XLOOKUP($A683,Korrelation!$D$4:$D$1197,Korrelation!F$4:F$1197,"",0),DMAV_Modell!$G$6:$G$677,0)))</f>
        <v>26</v>
      </c>
      <c r="D683" s="57">
        <f>IF($A683="","",IF(_xlfn.XLOOKUP($A683,Korrelation!$D$4:$D$1197,Korrelation!G$4:G$1197,"-",0)="-",0,MATCH(_xlfn.XLOOKUP($A683,Korrelation!$D$4:$D$1197,Korrelation!G$4:G$1197,"",0),DMAV_Modell!$G$6:$G$677,0)))</f>
        <v>30</v>
      </c>
      <c r="E683" s="57">
        <f>IF($A683="","",IF(_xlfn.XLOOKUP($A683,Korrelation!$D$4:$D$1197,Korrelation!H$4:H$1197,"-",0)="-",0,MATCH(_xlfn.XLOOKUP($A683,Korrelation!$D$4:$D$1197,Korrelation!H$4:H$1197,"",0),DMAV_Dienste!$F$6:$F$140,0)))</f>
        <v>0</v>
      </c>
      <c r="F683" s="57">
        <f>IF($A683="","",IF(_xlfn.XLOOKUP($A683,Korrelation!$D$4:$D$1197,Korrelation!I$4:I$1197,"-",0)="-",0,MATCH(_xlfn.XLOOKUP($A683,Korrelation!$D$4:$D$1197,Korrelation!I$4:I$1197,"",0),DMAV_Dienste!$F$6:$F$140,0)))</f>
        <v>0</v>
      </c>
      <c r="G683" s="57">
        <f>IF($A683="","",IF(_xlfn.XLOOKUP($A683,Korrelation!$D$4:$D$1197,Korrelation!J$4:J$1197,"-",0)="-",0,MATCH(_xlfn.XLOOKUP($A683,Korrelation!$D$4:$D$1197,Korrelation!J$4:J$1197,"",0),DMAV_Dienste!$F$6:$F$140,0)))</f>
        <v>0</v>
      </c>
      <c r="H683" s="57">
        <f>IF($A683="","",IF(_xlfn.XLOOKUP($A683,Korrelation!$D$4:$D$1197,Korrelation!K$4:K$1197,"-",0)="-",0,MATCH(_xlfn.XLOOKUP($A683,Korrelation!$D$4:$D$1197,Korrelation!K$4:K$1197,"",0),'DM01-AV-CH'!$A$6:$A$834,0)))</f>
        <v>389</v>
      </c>
      <c r="J683" s="54" t="str" cm="1">
        <f t="array" aca="1" ref="J683" ca="1">IF(B683=0,IF(E683=0,"",HYPERLINK("#"&amp;RIGHT(CELL("adresse",OFFSET(DMAV_Dienste!$M$6,E683-1,0)),LEN(CELL("adresse",OFFSET(DMAV_Dienste!$M$6,E683-1,0)))-FIND("]",CELL("adresse",OFFSET(DMAV_Dienste!$M$6,E683-1,0)))),"Dienst")),HYPERLINK("#"&amp;RIGHT(CELL("adresse",OFFSET(DMAV_Modell!$N$6,B683-1,0)),LEN(CELL("adresse",OFFSET(DMAV_Modell!$N$6,B683-1,0)))-FIND("]",CELL("adresse",OFFSET(DMAV_Modell!$N$6,B683-1,0)))),"Modell"))</f>
        <v>Modell</v>
      </c>
      <c r="K683" s="61" t="str" cm="1">
        <f t="array" ref="K683">IF($B683=0,IF($E683=0,"",IF(INDEX(DMAV_Dienste!P$6:P$140,$E683)="","",INDEX(DMAV_Dienste!P$6:P$140,$E683))),IF(INDEX(DMAV_Modell!Q$6:Q$838,$B683)="","",INDEX(DMAV_Modell!Q$6:Q$838,$B683)))</f>
        <v>CLASS</v>
      </c>
      <c r="L683" s="62" t="str" cm="1">
        <f t="array" ref="L683">IF($B683=0,IF($E683=0,"",IF(INDEX(DMAV_Dienste!O$6:O$140,$E683)="","",INDEX(DMAV_Dienste!O$6:O$140,$E683))),IF(INDEX(DMAV_Modell!P$6:P$838,$B683)="","",INDEX(DMAV_Modell!P$6:P$838,$B683)))</f>
        <v>Nomenklatur</v>
      </c>
      <c r="M683" s="62" t="str" cm="1">
        <f t="array" ref="M683">IF($B683=0,IF($E683=0,"",IF(INDEX(DMAV_Dienste!Q$6:Q$140,$E683)="","",INDEX(DMAV_Dienste!Q$6:Q$140,$E683))),IF(INDEX(DMAV_Modell!R$6:R$838,$B683)="","",INDEX(DMAV_Modell!R$6:R$838,$B683)))</f>
        <v>Flurname</v>
      </c>
      <c r="N683" s="62" t="str" cm="1">
        <f t="array" ref="N683">IF($B683=0,IF($E683=0,"",IF(INDEX(DMAV_Dienste!T$6:T$140,$E683)="","",INDEX(DMAV_Dienste!T$6:T$140,$E683))),IF(INDEX(DMAV_Modell!U$6:U$838,$B683)="","",INDEX(DMAV_Modell!U$6:U$838,$B683)))</f>
        <v>Textposition</v>
      </c>
      <c r="O683" s="63" t="str" cm="1">
        <f t="array" aca="1" ref="O683" ca="1">IF(C683=0,IF(F683=0,"",HYPERLINK("#"&amp;RIGHT(CELL("adresse",OFFSET(DMAV_Dienste!$M$6,F683-1,0)),LEN(CELL("adresse",OFFSET(DMAV_Dienste!$M$6,F683-1,0)))-FIND("]",CELL("adresse",OFFSET(DMAV_Dienste!$M$6,F683-1,0)))),"Structure")),HYPERLINK("#"&amp;RIGHT(CELL("adresse",OFFSET(DMAV_Modell!$N$6,C683-1,0)),LEN(CELL("adresse",OFFSET(DMAV_Modell!$N$6,C683-1,0)))-FIND("]",CELL("adresse",OFFSET(DMAV_Modell!$N$6,C683-1,0)))),"Structure"))</f>
        <v>Structure</v>
      </c>
      <c r="P683" s="64" t="str" cm="1">
        <f t="array" aca="1" ref="P683" ca="1">IF(D683=0,IF(G683=0,"",HYPERLINK("#"&amp;RIGHT(CELL("adresse",OFFSET(DMAV_Dienste!$M$6,G683-1,0)),LEN(CELL("adresse",OFFSET(DMAV_Dienste!$M$6,G683-1,0)))-FIND("]",CELL("adresse",OFFSET(DMAV_Dienste!$M$6,G683-1,0)))),"Substructure")),HYPERLINK("#"&amp;RIGHT(CELL("adresse",OFFSET(DMAV_Modell!$N$6,D683-1,0)),LEN(CELL("adresse",OFFSET(DMAV_Modell!$N$6,D683-1,0)))-FIND("]",CELL("adresse",OFFSET(DMAV_Modell!$N$6,D683-1,0)))),"Substructure"))</f>
        <v>Substructure</v>
      </c>
      <c r="R683" s="80"/>
      <c r="T683" s="93"/>
      <c r="U683" s="94" t="s">
        <v>2980</v>
      </c>
      <c r="V683" s="95" t="s">
        <v>3153</v>
      </c>
      <c r="W683" s="96"/>
      <c r="Y683" s="85" t="s">
        <v>3245</v>
      </c>
      <c r="Z683" s="86" t="s">
        <v>2980</v>
      </c>
      <c r="AA683" s="87" t="s">
        <v>3037</v>
      </c>
      <c r="AB683" s="88"/>
      <c r="AD683" s="77"/>
      <c r="AF683" s="54" t="str" cm="1">
        <f t="array" aca="1" ref="AF683" ca="1">IF(H683=0,"",HYPERLINK("#"&amp;RIGHT(CELL("adresse",OFFSET('DM01-AV-CH'!$G$6,H683-1,0)),LEN(CELL("adresse",OFFSET('DM01-AV-CH'!$G$6,H683-1,0)))-FIND("]",CELL("adresse",OFFSET('DM01-AV-CH'!$G$6,H683-1,0)))),"Modell"))</f>
        <v>Modell</v>
      </c>
      <c r="AG683" s="72" t="str" cm="1">
        <f t="array" ref="AG683">IF($H683=0,"",IF(INDEX('DM01-AV-CH'!G$6:G$834,$H683)="","",INDEX('DM01-AV-CH'!G$6:G$834,$H683)))</f>
        <v>Nomenklatur</v>
      </c>
      <c r="AH683" s="73" t="str" cm="1">
        <f t="array" ref="AH683">IF($H683=0,"",IF(INDEX('DM01-AV-CH'!H$6:H$834,$H683)="","",INDEX('DM01-AV-CH'!H$6:H$834,$H683)))</f>
        <v>FlurnamePos</v>
      </c>
      <c r="AI683" s="74" t="str" cm="1">
        <f t="array" ref="AI683">IF($H683=0,"",IF(INDEX('DM01-AV-CH'!I$6:I$834,$H683)="","",INDEX('DM01-AV-CH'!I$6:I$834,$H683)))</f>
        <v>HAli</v>
      </c>
    </row>
    <row r="684" spans="1:35" ht="28.5" x14ac:dyDescent="0.25">
      <c r="A684" s="57">
        <v>679</v>
      </c>
      <c r="B684" s="57">
        <f>IF($A684="","",IF(_xlfn.XLOOKUP($A684,Korrelation!$D$4:$D$1197,Korrelation!E$4:E$1197,"-",0)="-",0,MATCH(_xlfn.XLOOKUP($A684,Korrelation!$D$4:$D$1197,Korrelation!E$4:E$1197,"",0),DMAV_Modell!$G$6:$G$677,0)))</f>
        <v>375</v>
      </c>
      <c r="C684" s="57">
        <f>IF($A684="","",IF(_xlfn.XLOOKUP($A684,Korrelation!$D$4:$D$1197,Korrelation!F$4:F$1197,"-",0)="-",0,MATCH(_xlfn.XLOOKUP($A684,Korrelation!$D$4:$D$1197,Korrelation!F$4:F$1197,"",0),DMAV_Modell!$G$6:$G$677,0)))</f>
        <v>26</v>
      </c>
      <c r="D684" s="57">
        <f>IF($A684="","",IF(_xlfn.XLOOKUP($A684,Korrelation!$D$4:$D$1197,Korrelation!G$4:G$1197,"-",0)="-",0,MATCH(_xlfn.XLOOKUP($A684,Korrelation!$D$4:$D$1197,Korrelation!G$4:G$1197,"",0),DMAV_Modell!$G$6:$G$677,0)))</f>
        <v>31</v>
      </c>
      <c r="E684" s="57">
        <f>IF($A684="","",IF(_xlfn.XLOOKUP($A684,Korrelation!$D$4:$D$1197,Korrelation!H$4:H$1197,"-",0)="-",0,MATCH(_xlfn.XLOOKUP($A684,Korrelation!$D$4:$D$1197,Korrelation!H$4:H$1197,"",0),DMAV_Dienste!$F$6:$F$140,0)))</f>
        <v>0</v>
      </c>
      <c r="F684" s="57">
        <f>IF($A684="","",IF(_xlfn.XLOOKUP($A684,Korrelation!$D$4:$D$1197,Korrelation!I$4:I$1197,"-",0)="-",0,MATCH(_xlfn.XLOOKUP($A684,Korrelation!$D$4:$D$1197,Korrelation!I$4:I$1197,"",0),DMAV_Dienste!$F$6:$F$140,0)))</f>
        <v>0</v>
      </c>
      <c r="G684" s="57">
        <f>IF($A684="","",IF(_xlfn.XLOOKUP($A684,Korrelation!$D$4:$D$1197,Korrelation!J$4:J$1197,"-",0)="-",0,MATCH(_xlfn.XLOOKUP($A684,Korrelation!$D$4:$D$1197,Korrelation!J$4:J$1197,"",0),DMAV_Dienste!$F$6:$F$140,0)))</f>
        <v>0</v>
      </c>
      <c r="H684" s="57">
        <f>IF($A684="","",IF(_xlfn.XLOOKUP($A684,Korrelation!$D$4:$D$1197,Korrelation!K$4:K$1197,"-",0)="-",0,MATCH(_xlfn.XLOOKUP($A684,Korrelation!$D$4:$D$1197,Korrelation!K$4:K$1197,"",0),'DM01-AV-CH'!$A$6:$A$834,0)))</f>
        <v>390</v>
      </c>
      <c r="J684" s="54" t="str" cm="1">
        <f t="array" aca="1" ref="J684" ca="1">IF(B684=0,IF(E684=0,"",HYPERLINK("#"&amp;RIGHT(CELL("adresse",OFFSET(DMAV_Dienste!$M$6,E684-1,0)),LEN(CELL("adresse",OFFSET(DMAV_Dienste!$M$6,E684-1,0)))-FIND("]",CELL("adresse",OFFSET(DMAV_Dienste!$M$6,E684-1,0)))),"Dienst")),HYPERLINK("#"&amp;RIGHT(CELL("adresse",OFFSET(DMAV_Modell!$N$6,B684-1,0)),LEN(CELL("adresse",OFFSET(DMAV_Modell!$N$6,B684-1,0)))-FIND("]",CELL("adresse",OFFSET(DMAV_Modell!$N$6,B684-1,0)))),"Modell"))</f>
        <v>Modell</v>
      </c>
      <c r="K684" s="61" t="str" cm="1">
        <f t="array" ref="K684">IF($B684=0,IF($E684=0,"",IF(INDEX(DMAV_Dienste!P$6:P$140,$E684)="","",INDEX(DMAV_Dienste!P$6:P$140,$E684))),IF(INDEX(DMAV_Modell!Q$6:Q$838,$B684)="","",INDEX(DMAV_Modell!Q$6:Q$838,$B684)))</f>
        <v>CLASS</v>
      </c>
      <c r="L684" s="62" t="str" cm="1">
        <f t="array" ref="L684">IF($B684=0,IF($E684=0,"",IF(INDEX(DMAV_Dienste!O$6:O$140,$E684)="","",INDEX(DMAV_Dienste!O$6:O$140,$E684))),IF(INDEX(DMAV_Modell!P$6:P$838,$B684)="","",INDEX(DMAV_Modell!P$6:P$838,$B684)))</f>
        <v>Nomenklatur</v>
      </c>
      <c r="M684" s="62" t="str" cm="1">
        <f t="array" ref="M684">IF($B684=0,IF($E684=0,"",IF(INDEX(DMAV_Dienste!Q$6:Q$140,$E684)="","",INDEX(DMAV_Dienste!Q$6:Q$140,$E684))),IF(INDEX(DMAV_Modell!R$6:R$838,$B684)="","",INDEX(DMAV_Modell!R$6:R$838,$B684)))</f>
        <v>Flurname</v>
      </c>
      <c r="N684" s="62" t="str" cm="1">
        <f t="array" ref="N684">IF($B684=0,IF($E684=0,"",IF(INDEX(DMAV_Dienste!T$6:T$140,$E684)="","",INDEX(DMAV_Dienste!T$6:T$140,$E684))),IF(INDEX(DMAV_Modell!U$6:U$838,$B684)="","",INDEX(DMAV_Modell!U$6:U$838,$B684)))</f>
        <v>Textposition</v>
      </c>
      <c r="O684" s="63" t="str" cm="1">
        <f t="array" aca="1" ref="O684" ca="1">IF(C684=0,IF(F684=0,"",HYPERLINK("#"&amp;RIGHT(CELL("adresse",OFFSET(DMAV_Dienste!$M$6,F684-1,0)),LEN(CELL("adresse",OFFSET(DMAV_Dienste!$M$6,F684-1,0)))-FIND("]",CELL("adresse",OFFSET(DMAV_Dienste!$M$6,F684-1,0)))),"Structure")),HYPERLINK("#"&amp;RIGHT(CELL("adresse",OFFSET(DMAV_Modell!$N$6,C684-1,0)),LEN(CELL("adresse",OFFSET(DMAV_Modell!$N$6,C684-1,0)))-FIND("]",CELL("adresse",OFFSET(DMAV_Modell!$N$6,C684-1,0)))),"Structure"))</f>
        <v>Structure</v>
      </c>
      <c r="P684" s="64" t="str" cm="1">
        <f t="array" aca="1" ref="P684" ca="1">IF(D684=0,IF(G684=0,"",HYPERLINK("#"&amp;RIGHT(CELL("adresse",OFFSET(DMAV_Dienste!$M$6,G684-1,0)),LEN(CELL("adresse",OFFSET(DMAV_Dienste!$M$6,G684-1,0)))-FIND("]",CELL("adresse",OFFSET(DMAV_Dienste!$M$6,G684-1,0)))),"Substructure")),HYPERLINK("#"&amp;RIGHT(CELL("adresse",OFFSET(DMAV_Modell!$N$6,D684-1,0)),LEN(CELL("adresse",OFFSET(DMAV_Modell!$N$6,D684-1,0)))-FIND("]",CELL("adresse",OFFSET(DMAV_Modell!$N$6,D684-1,0)))),"Substructure"))</f>
        <v>Substructure</v>
      </c>
      <c r="R684" s="80"/>
      <c r="T684" s="93"/>
      <c r="U684" s="94" t="s">
        <v>2980</v>
      </c>
      <c r="V684" s="95" t="s">
        <v>3154</v>
      </c>
      <c r="W684" s="96"/>
      <c r="Y684" s="85" t="s">
        <v>3245</v>
      </c>
      <c r="Z684" s="86" t="s">
        <v>2980</v>
      </c>
      <c r="AA684" s="87" t="s">
        <v>3038</v>
      </c>
      <c r="AB684" s="88"/>
      <c r="AD684" s="77"/>
      <c r="AF684" s="54" t="str" cm="1">
        <f t="array" aca="1" ref="AF684" ca="1">IF(H684=0,"",HYPERLINK("#"&amp;RIGHT(CELL("adresse",OFFSET('DM01-AV-CH'!$G$6,H684-1,0)),LEN(CELL("adresse",OFFSET('DM01-AV-CH'!$G$6,H684-1,0)))-FIND("]",CELL("adresse",OFFSET('DM01-AV-CH'!$G$6,H684-1,0)))),"Modell"))</f>
        <v>Modell</v>
      </c>
      <c r="AG684" s="72" t="str" cm="1">
        <f t="array" ref="AG684">IF($H684=0,"",IF(INDEX('DM01-AV-CH'!G$6:G$834,$H684)="","",INDEX('DM01-AV-CH'!G$6:G$834,$H684)))</f>
        <v>Nomenklatur</v>
      </c>
      <c r="AH684" s="73" t="str" cm="1">
        <f t="array" ref="AH684">IF($H684=0,"",IF(INDEX('DM01-AV-CH'!H$6:H$834,$H684)="","",INDEX('DM01-AV-CH'!H$6:H$834,$H684)))</f>
        <v>FlurnamePos</v>
      </c>
      <c r="AI684" s="74" t="str" cm="1">
        <f t="array" ref="AI684">IF($H684=0,"",IF(INDEX('DM01-AV-CH'!I$6:I$834,$H684)="","",INDEX('DM01-AV-CH'!I$6:I$834,$H684)))</f>
        <v>VAli</v>
      </c>
    </row>
    <row r="685" spans="1:35" ht="28.5" x14ac:dyDescent="0.25">
      <c r="A685" s="57">
        <v>680</v>
      </c>
      <c r="B685" s="57">
        <f>IF($A685="","",IF(_xlfn.XLOOKUP($A685,Korrelation!$D$4:$D$1197,Korrelation!E$4:E$1197,"-",0)="-",0,MATCH(_xlfn.XLOOKUP($A685,Korrelation!$D$4:$D$1197,Korrelation!E$4:E$1197,"",0),DMAV_Modell!$G$6:$G$677,0)))</f>
        <v>375</v>
      </c>
      <c r="C685" s="57">
        <f>IF($A685="","",IF(_xlfn.XLOOKUP($A685,Korrelation!$D$4:$D$1197,Korrelation!F$4:F$1197,"-",0)="-",0,MATCH(_xlfn.XLOOKUP($A685,Korrelation!$D$4:$D$1197,Korrelation!F$4:F$1197,"",0),DMAV_Modell!$G$6:$G$677,0)))</f>
        <v>26</v>
      </c>
      <c r="D685" s="57">
        <f>IF($A685="","",IF(_xlfn.XLOOKUP($A685,Korrelation!$D$4:$D$1197,Korrelation!G$4:G$1197,"-",0)="-",0,MATCH(_xlfn.XLOOKUP($A685,Korrelation!$D$4:$D$1197,Korrelation!G$4:G$1197,"",0),DMAV_Modell!$G$6:$G$677,0)))</f>
        <v>29</v>
      </c>
      <c r="E685" s="57">
        <f>IF($A685="","",IF(_xlfn.XLOOKUP($A685,Korrelation!$D$4:$D$1197,Korrelation!H$4:H$1197,"-",0)="-",0,MATCH(_xlfn.XLOOKUP($A685,Korrelation!$D$4:$D$1197,Korrelation!H$4:H$1197,"",0),DMAV_Dienste!$F$6:$F$140,0)))</f>
        <v>0</v>
      </c>
      <c r="F685" s="57">
        <f>IF($A685="","",IF(_xlfn.XLOOKUP($A685,Korrelation!$D$4:$D$1197,Korrelation!I$4:I$1197,"-",0)="-",0,MATCH(_xlfn.XLOOKUP($A685,Korrelation!$D$4:$D$1197,Korrelation!I$4:I$1197,"",0),DMAV_Dienste!$F$6:$F$140,0)))</f>
        <v>0</v>
      </c>
      <c r="G685" s="57">
        <f>IF($A685="","",IF(_xlfn.XLOOKUP($A685,Korrelation!$D$4:$D$1197,Korrelation!J$4:J$1197,"-",0)="-",0,MATCH(_xlfn.XLOOKUP($A685,Korrelation!$D$4:$D$1197,Korrelation!J$4:J$1197,"",0),DMAV_Dienste!$F$6:$F$140,0)))</f>
        <v>0</v>
      </c>
      <c r="H685" s="57">
        <f>IF($A685="","",IF(_xlfn.XLOOKUP($A685,Korrelation!$D$4:$D$1197,Korrelation!K$4:K$1197,"-",0)="-",0,MATCH(_xlfn.XLOOKUP($A685,Korrelation!$D$4:$D$1197,Korrelation!K$4:K$1197,"",0),'DM01-AV-CH'!$A$6:$A$834,0)))</f>
        <v>391</v>
      </c>
      <c r="J685" s="54" t="str" cm="1">
        <f t="array" aca="1" ref="J685" ca="1">IF(B685=0,IF(E685=0,"",HYPERLINK("#"&amp;RIGHT(CELL("adresse",OFFSET(DMAV_Dienste!$M$6,E685-1,0)),LEN(CELL("adresse",OFFSET(DMAV_Dienste!$M$6,E685-1,0)))-FIND("]",CELL("adresse",OFFSET(DMAV_Dienste!$M$6,E685-1,0)))),"Dienst")),HYPERLINK("#"&amp;RIGHT(CELL("adresse",OFFSET(DMAV_Modell!$N$6,B685-1,0)),LEN(CELL("adresse",OFFSET(DMAV_Modell!$N$6,B685-1,0)))-FIND("]",CELL("adresse",OFFSET(DMAV_Modell!$N$6,B685-1,0)))),"Modell"))</f>
        <v>Modell</v>
      </c>
      <c r="K685" s="61" t="str" cm="1">
        <f t="array" ref="K685">IF($B685=0,IF($E685=0,"",IF(INDEX(DMAV_Dienste!P$6:P$140,$E685)="","",INDEX(DMAV_Dienste!P$6:P$140,$E685))),IF(INDEX(DMAV_Modell!Q$6:Q$838,$B685)="","",INDEX(DMAV_Modell!Q$6:Q$838,$B685)))</f>
        <v>CLASS</v>
      </c>
      <c r="L685" s="62" t="str" cm="1">
        <f t="array" ref="L685">IF($B685=0,IF($E685=0,"",IF(INDEX(DMAV_Dienste!O$6:O$140,$E685)="","",INDEX(DMAV_Dienste!O$6:O$140,$E685))),IF(INDEX(DMAV_Modell!P$6:P$838,$B685)="","",INDEX(DMAV_Modell!P$6:P$838,$B685)))</f>
        <v>Nomenklatur</v>
      </c>
      <c r="M685" s="62" t="str" cm="1">
        <f t="array" ref="M685">IF($B685=0,IF($E685=0,"",IF(INDEX(DMAV_Dienste!Q$6:Q$140,$E685)="","",INDEX(DMAV_Dienste!Q$6:Q$140,$E685))),IF(INDEX(DMAV_Modell!R$6:R$838,$B685)="","",INDEX(DMAV_Modell!R$6:R$838,$B685)))</f>
        <v>Flurname</v>
      </c>
      <c r="N685" s="62" t="str" cm="1">
        <f t="array" ref="N685">IF($B685=0,IF($E685=0,"",IF(INDEX(DMAV_Dienste!T$6:T$140,$E685)="","",INDEX(DMAV_Dienste!T$6:T$140,$E685))),IF(INDEX(DMAV_Modell!U$6:U$838,$B685)="","",INDEX(DMAV_Modell!U$6:U$838,$B685)))</f>
        <v>Textposition</v>
      </c>
      <c r="O685" s="63" t="str" cm="1">
        <f t="array" aca="1" ref="O685" ca="1">IF(C685=0,IF(F685=0,"",HYPERLINK("#"&amp;RIGHT(CELL("adresse",OFFSET(DMAV_Dienste!$M$6,F685-1,0)),LEN(CELL("adresse",OFFSET(DMAV_Dienste!$M$6,F685-1,0)))-FIND("]",CELL("adresse",OFFSET(DMAV_Dienste!$M$6,F685-1,0)))),"Structure")),HYPERLINK("#"&amp;RIGHT(CELL("adresse",OFFSET(DMAV_Modell!$N$6,C685-1,0)),LEN(CELL("adresse",OFFSET(DMAV_Modell!$N$6,C685-1,0)))-FIND("]",CELL("adresse",OFFSET(DMAV_Modell!$N$6,C685-1,0)))),"Structure"))</f>
        <v>Structure</v>
      </c>
      <c r="P685" s="64" t="str" cm="1">
        <f t="array" aca="1" ref="P685" ca="1">IF(D685=0,IF(G685=0,"",HYPERLINK("#"&amp;RIGHT(CELL("adresse",OFFSET(DMAV_Dienste!$M$6,G685-1,0)),LEN(CELL("adresse",OFFSET(DMAV_Dienste!$M$6,G685-1,0)))-FIND("]",CELL("adresse",OFFSET(DMAV_Dienste!$M$6,G685-1,0)))),"Substructure")),HYPERLINK("#"&amp;RIGHT(CELL("adresse",OFFSET(DMAV_Modell!$N$6,D685-1,0)),LEN(CELL("adresse",OFFSET(DMAV_Modell!$N$6,D685-1,0)))-FIND("]",CELL("adresse",OFFSET(DMAV_Modell!$N$6,D685-1,0)))),"Substructure"))</f>
        <v>Substructure</v>
      </c>
      <c r="R685" s="80"/>
      <c r="T685" s="93"/>
      <c r="U685" s="94" t="s">
        <v>2980</v>
      </c>
      <c r="V685" s="95" t="s">
        <v>3155</v>
      </c>
      <c r="W685" s="96"/>
      <c r="Y685" s="85" t="s">
        <v>3245</v>
      </c>
      <c r="Z685" s="86" t="s">
        <v>2980</v>
      </c>
      <c r="AA685" s="87" t="s">
        <v>3318</v>
      </c>
      <c r="AB685" s="88"/>
      <c r="AD685" s="77"/>
      <c r="AF685" s="54" t="str" cm="1">
        <f t="array" aca="1" ref="AF685" ca="1">IF(H685=0,"",HYPERLINK("#"&amp;RIGHT(CELL("adresse",OFFSET('DM01-AV-CH'!$G$6,H685-1,0)),LEN(CELL("adresse",OFFSET('DM01-AV-CH'!$G$6,H685-1,0)))-FIND("]",CELL("adresse",OFFSET('DM01-AV-CH'!$G$6,H685-1,0)))),"Modell"))</f>
        <v>Modell</v>
      </c>
      <c r="AG685" s="72" t="str" cm="1">
        <f t="array" ref="AG685">IF($H685=0,"",IF(INDEX('DM01-AV-CH'!G$6:G$834,$H685)="","",INDEX('DM01-AV-CH'!G$6:G$834,$H685)))</f>
        <v>Nomenklatur</v>
      </c>
      <c r="AH685" s="73" t="str" cm="1">
        <f t="array" ref="AH685">IF($H685=0,"",IF(INDEX('DM01-AV-CH'!H$6:H$834,$H685)="","",INDEX('DM01-AV-CH'!H$6:H$834,$H685)))</f>
        <v>FlurnamePos</v>
      </c>
      <c r="AI685" s="74" t="str" cm="1">
        <f t="array" ref="AI685">IF($H685=0,"",IF(INDEX('DM01-AV-CH'!I$6:I$834,$H685)="","",INDEX('DM01-AV-CH'!I$6:I$834,$H685)))</f>
        <v>Groesse</v>
      </c>
    </row>
    <row r="686" spans="1:35" x14ac:dyDescent="0.25">
      <c r="A686" s="57">
        <v>681</v>
      </c>
      <c r="B686" s="57">
        <f>IF($A686="","",IF(_xlfn.XLOOKUP($A686,Korrelation!$D$4:$D$1197,Korrelation!E$4:E$1197,"-",0)="-",0,MATCH(_xlfn.XLOOKUP($A686,Korrelation!$D$4:$D$1197,Korrelation!E$4:E$1197,"",0),DMAV_Modell!$G$6:$G$677,0)))</f>
        <v>0</v>
      </c>
      <c r="C686" s="57">
        <f>IF($A686="","",IF(_xlfn.XLOOKUP($A686,Korrelation!$D$4:$D$1197,Korrelation!F$4:F$1197,"-",0)="-",0,MATCH(_xlfn.XLOOKUP($A686,Korrelation!$D$4:$D$1197,Korrelation!F$4:F$1197,"",0),DMAV_Modell!$G$6:$G$677,0)))</f>
        <v>0</v>
      </c>
      <c r="D686" s="57">
        <f>IF($A686="","",IF(_xlfn.XLOOKUP($A686,Korrelation!$D$4:$D$1197,Korrelation!G$4:G$1197,"-",0)="-",0,MATCH(_xlfn.XLOOKUP($A686,Korrelation!$D$4:$D$1197,Korrelation!G$4:G$1197,"",0),DMAV_Modell!$G$6:$G$677,0)))</f>
        <v>0</v>
      </c>
      <c r="E686" s="57">
        <f>IF($A686="","",IF(_xlfn.XLOOKUP($A686,Korrelation!$D$4:$D$1197,Korrelation!H$4:H$1197,"-",0)="-",0,MATCH(_xlfn.XLOOKUP($A686,Korrelation!$D$4:$D$1197,Korrelation!H$4:H$1197,"",0),DMAV_Dienste!$F$6:$F$140,0)))</f>
        <v>0</v>
      </c>
      <c r="F686" s="57">
        <f>IF($A686="","",IF(_xlfn.XLOOKUP($A686,Korrelation!$D$4:$D$1197,Korrelation!I$4:I$1197,"-",0)="-",0,MATCH(_xlfn.XLOOKUP($A686,Korrelation!$D$4:$D$1197,Korrelation!I$4:I$1197,"",0),DMAV_Dienste!$F$6:$F$140,0)))</f>
        <v>0</v>
      </c>
      <c r="G686" s="57">
        <f>IF($A686="","",IF(_xlfn.XLOOKUP($A686,Korrelation!$D$4:$D$1197,Korrelation!J$4:J$1197,"-",0)="-",0,MATCH(_xlfn.XLOOKUP($A686,Korrelation!$D$4:$D$1197,Korrelation!J$4:J$1197,"",0),DMAV_Dienste!$F$6:$F$140,0)))</f>
        <v>0</v>
      </c>
      <c r="H686" s="57">
        <f>IF($A686="","",IF(_xlfn.XLOOKUP($A686,Korrelation!$D$4:$D$1197,Korrelation!K$4:K$1197,"-",0)="-",0,MATCH(_xlfn.XLOOKUP($A686,Korrelation!$D$4:$D$1197,Korrelation!K$4:K$1197,"",0),'DM01-AV-CH'!$A$6:$A$834,0)))</f>
        <v>392</v>
      </c>
      <c r="J686" s="54" t="str" cm="1">
        <f t="array" aca="1" ref="J686" ca="1">IF(B686=0,IF(E686=0,"",HYPERLINK("#"&amp;RIGHT(CELL("adresse",OFFSET(DMAV_Dienste!$M$6,E686-1,0)),LEN(CELL("adresse",OFFSET(DMAV_Dienste!$M$6,E686-1,0)))-FIND("]",CELL("adresse",OFFSET(DMAV_Dienste!$M$6,E686-1,0)))),"Dienst")),HYPERLINK("#"&amp;RIGHT(CELL("adresse",OFFSET(DMAV_Modell!$N$6,B686-1,0)),LEN(CELL("adresse",OFFSET(DMAV_Modell!$N$6,B686-1,0)))-FIND("]",CELL("adresse",OFFSET(DMAV_Modell!$N$6,B686-1,0)))),"Modell"))</f>
        <v/>
      </c>
      <c r="K686" s="61" t="str" cm="1">
        <f t="array" ref="K686">IF($B686=0,IF($E686=0,"",IF(INDEX(DMAV_Dienste!P$6:P$140,$E686)="","",INDEX(DMAV_Dienste!P$6:P$140,$E686))),IF(INDEX(DMAV_Modell!Q$6:Q$838,$B686)="","",INDEX(DMAV_Modell!Q$6:Q$838,$B686)))</f>
        <v/>
      </c>
      <c r="L686" s="62" t="str" cm="1">
        <f t="array" ref="L686">IF($B686=0,IF($E686=0,"",IF(INDEX(DMAV_Dienste!O$6:O$140,$E686)="","",INDEX(DMAV_Dienste!O$6:O$140,$E686))),IF(INDEX(DMAV_Modell!P$6:P$838,$B686)="","",INDEX(DMAV_Modell!P$6:P$838,$B686)))</f>
        <v/>
      </c>
      <c r="M686" s="62" t="str" cm="1">
        <f t="array" ref="M686">IF($B686=0,IF($E686=0,"",IF(INDEX(DMAV_Dienste!Q$6:Q$140,$E686)="","",INDEX(DMAV_Dienste!Q$6:Q$140,$E686))),IF(INDEX(DMAV_Modell!R$6:R$838,$B686)="","",INDEX(DMAV_Modell!R$6:R$838,$B686)))</f>
        <v/>
      </c>
      <c r="N686" s="62" t="str" cm="1">
        <f t="array" ref="N686">IF($B686=0,IF($E686=0,"",IF(INDEX(DMAV_Dienste!T$6:T$140,$E686)="","",INDEX(DMAV_Dienste!T$6:T$140,$E686))),IF(INDEX(DMAV_Modell!U$6:U$838,$B686)="","",INDEX(DMAV_Modell!U$6:U$838,$B686)))</f>
        <v/>
      </c>
      <c r="O686" s="63" t="str" cm="1">
        <f t="array" aca="1" ref="O686" ca="1">IF(C686=0,IF(F686=0,"",HYPERLINK("#"&amp;RIGHT(CELL("adresse",OFFSET(DMAV_Dienste!$M$6,F686-1,0)),LEN(CELL("adresse",OFFSET(DMAV_Dienste!$M$6,F686-1,0)))-FIND("]",CELL("adresse",OFFSET(DMAV_Dienste!$M$6,F686-1,0)))),"Structure")),HYPERLINK("#"&amp;RIGHT(CELL("adresse",OFFSET(DMAV_Modell!$N$6,C686-1,0)),LEN(CELL("adresse",OFFSET(DMAV_Modell!$N$6,C686-1,0)))-FIND("]",CELL("adresse",OFFSET(DMAV_Modell!$N$6,C686-1,0)))),"Structure"))</f>
        <v/>
      </c>
      <c r="P686" s="64" t="str" cm="1">
        <f t="array" aca="1" ref="P686" ca="1">IF(D686=0,IF(G686=0,"",HYPERLINK("#"&amp;RIGHT(CELL("adresse",OFFSET(DMAV_Dienste!$M$6,G686-1,0)),LEN(CELL("adresse",OFFSET(DMAV_Dienste!$M$6,G686-1,0)))-FIND("]",CELL("adresse",OFFSET(DMAV_Dienste!$M$6,G686-1,0)))),"Substructure")),HYPERLINK("#"&amp;RIGHT(CELL("adresse",OFFSET(DMAV_Modell!$N$6,D686-1,0)),LEN(CELL("adresse",OFFSET(DMAV_Modell!$N$6,D686-1,0)))-FIND("]",CELL("adresse",OFFSET(DMAV_Modell!$N$6,D686-1,0)))),"Substructure"))</f>
        <v/>
      </c>
      <c r="R686" s="80"/>
      <c r="T686" s="93"/>
      <c r="U686" s="94"/>
      <c r="V686" s="95"/>
      <c r="W686" s="96"/>
      <c r="Y686" s="85"/>
      <c r="Z686" s="86"/>
      <c r="AA686" s="87"/>
      <c r="AB686" s="88"/>
      <c r="AD686" s="77" t="s">
        <v>2178</v>
      </c>
      <c r="AF686" s="54" t="str" cm="1">
        <f t="array" aca="1" ref="AF686" ca="1">IF(H686=0,"",HYPERLINK("#"&amp;RIGHT(CELL("adresse",OFFSET('DM01-AV-CH'!$G$6,H686-1,0)),LEN(CELL("adresse",OFFSET('DM01-AV-CH'!$G$6,H686-1,0)))-FIND("]",CELL("adresse",OFFSET('DM01-AV-CH'!$G$6,H686-1,0)))),"Modell"))</f>
        <v>Modell</v>
      </c>
      <c r="AG686" s="72" t="str" cm="1">
        <f t="array" ref="AG686">IF($H686=0,"",IF(INDEX('DM01-AV-CH'!G$6:G$834,$H686)="","",INDEX('DM01-AV-CH'!G$6:G$834,$H686)))</f>
        <v>Nomenklatur</v>
      </c>
      <c r="AH686" s="73" t="str" cm="1">
        <f t="array" ref="AH686">IF($H686=0,"",IF(INDEX('DM01-AV-CH'!H$6:H$834,$H686)="","",INDEX('DM01-AV-CH'!H$6:H$834,$H686)))</f>
        <v>FlurnamePos</v>
      </c>
      <c r="AI686" s="74" t="str" cm="1">
        <f t="array" ref="AI686">IF($H686=0,"",IF(INDEX('DM01-AV-CH'!I$6:I$834,$H686)="","",INDEX('DM01-AV-CH'!I$6:I$834,$H686)))</f>
        <v>Stil</v>
      </c>
    </row>
    <row r="687" spans="1:35" x14ac:dyDescent="0.25">
      <c r="A687" s="57">
        <v>682</v>
      </c>
      <c r="B687" s="57">
        <f>IF($A687="","",IF(_xlfn.XLOOKUP($A687,Korrelation!$D$4:$D$1197,Korrelation!E$4:E$1197,"-",0)="-",0,MATCH(_xlfn.XLOOKUP($A687,Korrelation!$D$4:$D$1197,Korrelation!E$4:E$1197,"",0),DMAV_Modell!$G$6:$G$677,0)))</f>
        <v>376</v>
      </c>
      <c r="C687" s="57">
        <f>IF($A687="","",IF(_xlfn.XLOOKUP($A687,Korrelation!$D$4:$D$1197,Korrelation!F$4:F$1197,"-",0)="-",0,MATCH(_xlfn.XLOOKUP($A687,Korrelation!$D$4:$D$1197,Korrelation!F$4:F$1197,"",0),DMAV_Modell!$G$6:$G$677,0)))</f>
        <v>0</v>
      </c>
      <c r="D687" s="57">
        <f>IF($A687="","",IF(_xlfn.XLOOKUP($A687,Korrelation!$D$4:$D$1197,Korrelation!G$4:G$1197,"-",0)="-",0,MATCH(_xlfn.XLOOKUP($A687,Korrelation!$D$4:$D$1197,Korrelation!G$4:G$1197,"",0),DMAV_Modell!$G$6:$G$677,0)))</f>
        <v>0</v>
      </c>
      <c r="E687" s="57">
        <f>IF($A687="","",IF(_xlfn.XLOOKUP($A687,Korrelation!$D$4:$D$1197,Korrelation!H$4:H$1197,"-",0)="-",0,MATCH(_xlfn.XLOOKUP($A687,Korrelation!$D$4:$D$1197,Korrelation!H$4:H$1197,"",0),DMAV_Dienste!$F$6:$F$140,0)))</f>
        <v>0</v>
      </c>
      <c r="F687" s="57">
        <f>IF($A687="","",IF(_xlfn.XLOOKUP($A687,Korrelation!$D$4:$D$1197,Korrelation!I$4:I$1197,"-",0)="-",0,MATCH(_xlfn.XLOOKUP($A687,Korrelation!$D$4:$D$1197,Korrelation!I$4:I$1197,"",0),DMAV_Dienste!$F$6:$F$140,0)))</f>
        <v>0</v>
      </c>
      <c r="G687" s="57">
        <f>IF($A687="","",IF(_xlfn.XLOOKUP($A687,Korrelation!$D$4:$D$1197,Korrelation!J$4:J$1197,"-",0)="-",0,MATCH(_xlfn.XLOOKUP($A687,Korrelation!$D$4:$D$1197,Korrelation!J$4:J$1197,"",0),DMAV_Dienste!$F$6:$F$140,0)))</f>
        <v>0</v>
      </c>
      <c r="H687" s="57">
        <f>IF($A687="","",IF(_xlfn.XLOOKUP($A687,Korrelation!$D$4:$D$1197,Korrelation!K$4:K$1197,"-",0)="-",0,MATCH(_xlfn.XLOOKUP($A687,Korrelation!$D$4:$D$1197,Korrelation!K$4:K$1197,"",0),'DM01-AV-CH'!$A$6:$A$834,0)))</f>
        <v>0</v>
      </c>
      <c r="J687" s="54" t="str" cm="1">
        <f t="array" aca="1" ref="J687" ca="1">IF(B687=0,IF(E687=0,"",HYPERLINK("#"&amp;RIGHT(CELL("adresse",OFFSET(DMAV_Dienste!$M$6,E687-1,0)),LEN(CELL("adresse",OFFSET(DMAV_Dienste!$M$6,E687-1,0)))-FIND("]",CELL("adresse",OFFSET(DMAV_Dienste!$M$6,E687-1,0)))),"Dienst")),HYPERLINK("#"&amp;RIGHT(CELL("adresse",OFFSET(DMAV_Modell!$N$6,B687-1,0)),LEN(CELL("adresse",OFFSET(DMAV_Modell!$N$6,B687-1,0)))-FIND("]",CELL("adresse",OFFSET(DMAV_Modell!$N$6,B687-1,0)))),"Modell"))</f>
        <v>Modell</v>
      </c>
      <c r="K687" s="61" t="str" cm="1">
        <f t="array" ref="K687">IF($B687=0,IF($E687=0,"",IF(INDEX(DMAV_Dienste!P$6:P$140,$E687)="","",INDEX(DMAV_Dienste!P$6:P$140,$E687))),IF(INDEX(DMAV_Modell!Q$6:Q$838,$B687)="","",INDEX(DMAV_Modell!Q$6:Q$838,$B687)))</f>
        <v>ASSOCIATION</v>
      </c>
      <c r="L687" s="62" t="str" cm="1">
        <f t="array" ref="L687">IF($B687=0,IF($E687=0,"",IF(INDEX(DMAV_Dienste!O$6:O$140,$E687)="","",INDEX(DMAV_Dienste!O$6:O$140,$E687))),IF(INDEX(DMAV_Modell!P$6:P$838,$B687)="","",INDEX(DMAV_Modell!P$6:P$838,$B687)))</f>
        <v>Nomenklatur</v>
      </c>
      <c r="M687" s="62" t="str" cm="1">
        <f t="array" ref="M687">IF($B687=0,IF($E687=0,"",IF(INDEX(DMAV_Dienste!Q$6:Q$140,$E687)="","",INDEX(DMAV_Dienste!Q$6:Q$140,$E687))),IF(INDEX(DMAV_Modell!R$6:R$838,$B687)="","",INDEX(DMAV_Modell!R$6:R$838,$B687)))</f>
        <v>Entstehung_Flurname</v>
      </c>
      <c r="N687" s="62" t="str" cm="1">
        <f t="array" ref="N687">IF($B687=0,IF($E687=0,"",IF(INDEX(DMAV_Dienste!T$6:T$140,$E687)="","",INDEX(DMAV_Dienste!T$6:T$140,$E687))),IF(INDEX(DMAV_Modell!U$6:U$838,$B687)="","",INDEX(DMAV_Modell!U$6:U$838,$B687)))</f>
        <v>Entstehung</v>
      </c>
      <c r="O687" s="63" t="str" cm="1">
        <f t="array" aca="1" ref="O687" ca="1">IF(C687=0,IF(F687=0,"",HYPERLINK("#"&amp;RIGHT(CELL("adresse",OFFSET(DMAV_Dienste!$M$6,F687-1,0)),LEN(CELL("adresse",OFFSET(DMAV_Dienste!$M$6,F687-1,0)))-FIND("]",CELL("adresse",OFFSET(DMAV_Dienste!$M$6,F687-1,0)))),"Structure")),HYPERLINK("#"&amp;RIGHT(CELL("adresse",OFFSET(DMAV_Modell!$N$6,C687-1,0)),LEN(CELL("adresse",OFFSET(DMAV_Modell!$N$6,C687-1,0)))-FIND("]",CELL("adresse",OFFSET(DMAV_Modell!$N$6,C687-1,0)))),"Structure"))</f>
        <v/>
      </c>
      <c r="P687" s="64" t="str" cm="1">
        <f t="array" aca="1" ref="P687" ca="1">IF(D687=0,IF(G687=0,"",HYPERLINK("#"&amp;RIGHT(CELL("adresse",OFFSET(DMAV_Dienste!$M$6,G687-1,0)),LEN(CELL("adresse",OFFSET(DMAV_Dienste!$M$6,G687-1,0)))-FIND("]",CELL("adresse",OFFSET(DMAV_Dienste!$M$6,G687-1,0)))),"Substructure")),HYPERLINK("#"&amp;RIGHT(CELL("adresse",OFFSET(DMAV_Modell!$N$6,D687-1,0)),LEN(CELL("adresse",OFFSET(DMAV_Modell!$N$6,D687-1,0)))-FIND("]",CELL("adresse",OFFSET(DMAV_Modell!$N$6,D687-1,0)))),"Substructure"))</f>
        <v/>
      </c>
      <c r="R687" s="80"/>
      <c r="T687" s="93"/>
      <c r="U687" s="94"/>
      <c r="V687" s="95"/>
      <c r="W687" s="96"/>
      <c r="Y687" s="85"/>
      <c r="Z687" s="86"/>
      <c r="AA687" s="87"/>
      <c r="AB687" s="88"/>
      <c r="AD687" s="77"/>
      <c r="AF687" s="54" t="str" cm="1">
        <f t="array" aca="1" ref="AF687" ca="1">IF(H687=0,"",HYPERLINK("#"&amp;RIGHT(CELL("adresse",OFFSET('DM01-AV-CH'!$G$6,H687-1,0)),LEN(CELL("adresse",OFFSET('DM01-AV-CH'!$G$6,H687-1,0)))-FIND("]",CELL("adresse",OFFSET('DM01-AV-CH'!$G$6,H687-1,0)))),"Modell"))</f>
        <v/>
      </c>
      <c r="AG687" s="72" t="str" cm="1">
        <f t="array" ref="AG687">IF($H687=0,"",IF(INDEX('DM01-AV-CH'!G$6:G$834,$H687)="","",INDEX('DM01-AV-CH'!G$6:G$834,$H687)))</f>
        <v/>
      </c>
      <c r="AH687" s="73" t="str" cm="1">
        <f t="array" ref="AH687">IF($H687=0,"",IF(INDEX('DM01-AV-CH'!H$6:H$834,$H687)="","",INDEX('DM01-AV-CH'!H$6:H$834,$H687)))</f>
        <v/>
      </c>
      <c r="AI687" s="74" t="str" cm="1">
        <f t="array" ref="AI687">IF($H687=0,"",IF(INDEX('DM01-AV-CH'!I$6:I$834,$H687)="","",INDEX('DM01-AV-CH'!I$6:I$834,$H687)))</f>
        <v/>
      </c>
    </row>
    <row r="688" spans="1:35" x14ac:dyDescent="0.25">
      <c r="A688" s="57">
        <v>683</v>
      </c>
      <c r="B688" s="57">
        <f>IF($A688="","",IF(_xlfn.XLOOKUP($A688,Korrelation!$D$4:$D$1197,Korrelation!E$4:E$1197,"-",0)="-",0,MATCH(_xlfn.XLOOKUP($A688,Korrelation!$D$4:$D$1197,Korrelation!E$4:E$1197,"",0),DMAV_Modell!$G$6:$G$677,0)))</f>
        <v>377</v>
      </c>
      <c r="C688" s="57">
        <f>IF($A688="","",IF(_xlfn.XLOOKUP($A688,Korrelation!$D$4:$D$1197,Korrelation!F$4:F$1197,"-",0)="-",0,MATCH(_xlfn.XLOOKUP($A688,Korrelation!$D$4:$D$1197,Korrelation!F$4:F$1197,"",0),DMAV_Modell!$G$6:$G$677,0)))</f>
        <v>0</v>
      </c>
      <c r="D688" s="57">
        <f>IF($A688="","",IF(_xlfn.XLOOKUP($A688,Korrelation!$D$4:$D$1197,Korrelation!G$4:G$1197,"-",0)="-",0,MATCH(_xlfn.XLOOKUP($A688,Korrelation!$D$4:$D$1197,Korrelation!G$4:G$1197,"",0),DMAV_Modell!$G$6:$G$677,0)))</f>
        <v>0</v>
      </c>
      <c r="E688" s="57">
        <f>IF($A688="","",IF(_xlfn.XLOOKUP($A688,Korrelation!$D$4:$D$1197,Korrelation!H$4:H$1197,"-",0)="-",0,MATCH(_xlfn.XLOOKUP($A688,Korrelation!$D$4:$D$1197,Korrelation!H$4:H$1197,"",0),DMAV_Dienste!$F$6:$F$140,0)))</f>
        <v>0</v>
      </c>
      <c r="F688" s="57">
        <f>IF($A688="","",IF(_xlfn.XLOOKUP($A688,Korrelation!$D$4:$D$1197,Korrelation!I$4:I$1197,"-",0)="-",0,MATCH(_xlfn.XLOOKUP($A688,Korrelation!$D$4:$D$1197,Korrelation!I$4:I$1197,"",0),DMAV_Dienste!$F$6:$F$140,0)))</f>
        <v>0</v>
      </c>
      <c r="G688" s="57">
        <f>IF($A688="","",IF(_xlfn.XLOOKUP($A688,Korrelation!$D$4:$D$1197,Korrelation!J$4:J$1197,"-",0)="-",0,MATCH(_xlfn.XLOOKUP($A688,Korrelation!$D$4:$D$1197,Korrelation!J$4:J$1197,"",0),DMAV_Dienste!$F$6:$F$140,0)))</f>
        <v>0</v>
      </c>
      <c r="H688" s="57">
        <f>IF($A688="","",IF(_xlfn.XLOOKUP($A688,Korrelation!$D$4:$D$1197,Korrelation!K$4:K$1197,"-",0)="-",0,MATCH(_xlfn.XLOOKUP($A688,Korrelation!$D$4:$D$1197,Korrelation!K$4:K$1197,"",0),'DM01-AV-CH'!$A$6:$A$834,0)))</f>
        <v>0</v>
      </c>
      <c r="J688" s="54" t="str" cm="1">
        <f t="array" aca="1" ref="J688" ca="1">IF(B688=0,IF(E688=0,"",HYPERLINK("#"&amp;RIGHT(CELL("adresse",OFFSET(DMAV_Dienste!$M$6,E688-1,0)),LEN(CELL("adresse",OFFSET(DMAV_Dienste!$M$6,E688-1,0)))-FIND("]",CELL("adresse",OFFSET(DMAV_Dienste!$M$6,E688-1,0)))),"Dienst")),HYPERLINK("#"&amp;RIGHT(CELL("adresse",OFFSET(DMAV_Modell!$N$6,B688-1,0)),LEN(CELL("adresse",OFFSET(DMAV_Modell!$N$6,B688-1,0)))-FIND("]",CELL("adresse",OFFSET(DMAV_Modell!$N$6,B688-1,0)))),"Modell"))</f>
        <v>Modell</v>
      </c>
      <c r="K688" s="61" t="str" cm="1">
        <f t="array" ref="K688">IF($B688=0,IF($E688=0,"",IF(INDEX(DMAV_Dienste!P$6:P$140,$E688)="","",INDEX(DMAV_Dienste!P$6:P$140,$E688))),IF(INDEX(DMAV_Modell!Q$6:Q$838,$B688)="","",INDEX(DMAV_Modell!Q$6:Q$838,$B688)))</f>
        <v>ASSOCIATION</v>
      </c>
      <c r="L688" s="62" t="str" cm="1">
        <f t="array" ref="L688">IF($B688=0,IF($E688=0,"",IF(INDEX(DMAV_Dienste!O$6:O$140,$E688)="","",INDEX(DMAV_Dienste!O$6:O$140,$E688))),IF(INDEX(DMAV_Modell!P$6:P$838,$B688)="","",INDEX(DMAV_Modell!P$6:P$838,$B688)))</f>
        <v>Nomenklatur</v>
      </c>
      <c r="M688" s="62" t="str" cm="1">
        <f t="array" ref="M688">IF($B688=0,IF($E688=0,"",IF(INDEX(DMAV_Dienste!Q$6:Q$140,$E688)="","",INDEX(DMAV_Dienste!Q$6:Q$140,$E688))),IF(INDEX(DMAV_Modell!R$6:R$838,$B688)="","",INDEX(DMAV_Modell!R$6:R$838,$B688)))</f>
        <v>Entstehung_Flurname</v>
      </c>
      <c r="N688" s="62" t="str" cm="1">
        <f t="array" ref="N688">IF($B688=0,IF($E688=0,"",IF(INDEX(DMAV_Dienste!T$6:T$140,$E688)="","",INDEX(DMAV_Dienste!T$6:T$140,$E688))),IF(INDEX(DMAV_Modell!U$6:U$838,$B688)="","",INDEX(DMAV_Modell!U$6:U$838,$B688)))</f>
        <v>entstehender_Flurname</v>
      </c>
      <c r="O688" s="63" t="str" cm="1">
        <f t="array" aca="1" ref="O688" ca="1">IF(C688=0,IF(F688=0,"",HYPERLINK("#"&amp;RIGHT(CELL("adresse",OFFSET(DMAV_Dienste!$M$6,F688-1,0)),LEN(CELL("adresse",OFFSET(DMAV_Dienste!$M$6,F688-1,0)))-FIND("]",CELL("adresse",OFFSET(DMAV_Dienste!$M$6,F688-1,0)))),"Structure")),HYPERLINK("#"&amp;RIGHT(CELL("adresse",OFFSET(DMAV_Modell!$N$6,C688-1,0)),LEN(CELL("adresse",OFFSET(DMAV_Modell!$N$6,C688-1,0)))-FIND("]",CELL("adresse",OFFSET(DMAV_Modell!$N$6,C688-1,0)))),"Structure"))</f>
        <v/>
      </c>
      <c r="P688" s="64" t="str" cm="1">
        <f t="array" aca="1" ref="P688" ca="1">IF(D688=0,IF(G688=0,"",HYPERLINK("#"&amp;RIGHT(CELL("adresse",OFFSET(DMAV_Dienste!$M$6,G688-1,0)),LEN(CELL("adresse",OFFSET(DMAV_Dienste!$M$6,G688-1,0)))-FIND("]",CELL("adresse",OFFSET(DMAV_Dienste!$M$6,G688-1,0)))),"Substructure")),HYPERLINK("#"&amp;RIGHT(CELL("adresse",OFFSET(DMAV_Modell!$N$6,D688-1,0)),LEN(CELL("adresse",OFFSET(DMAV_Modell!$N$6,D688-1,0)))-FIND("]",CELL("adresse",OFFSET(DMAV_Modell!$N$6,D688-1,0)))),"Substructure"))</f>
        <v/>
      </c>
      <c r="R688" s="80"/>
      <c r="T688" s="93"/>
      <c r="U688" s="94"/>
      <c r="V688" s="95"/>
      <c r="W688" s="96"/>
      <c r="Y688" s="85"/>
      <c r="Z688" s="86"/>
      <c r="AA688" s="87"/>
      <c r="AB688" s="88"/>
      <c r="AD688" s="77"/>
      <c r="AF688" s="54" t="str" cm="1">
        <f t="array" aca="1" ref="AF688" ca="1">IF(H688=0,"",HYPERLINK("#"&amp;RIGHT(CELL("adresse",OFFSET('DM01-AV-CH'!$G$6,H688-1,0)),LEN(CELL("adresse",OFFSET('DM01-AV-CH'!$G$6,H688-1,0)))-FIND("]",CELL("adresse",OFFSET('DM01-AV-CH'!$G$6,H688-1,0)))),"Modell"))</f>
        <v/>
      </c>
      <c r="AG688" s="72" t="str" cm="1">
        <f t="array" ref="AG688">IF($H688=0,"",IF(INDEX('DM01-AV-CH'!G$6:G$834,$H688)="","",INDEX('DM01-AV-CH'!G$6:G$834,$H688)))</f>
        <v/>
      </c>
      <c r="AH688" s="73" t="str" cm="1">
        <f t="array" ref="AH688">IF($H688=0,"",IF(INDEX('DM01-AV-CH'!H$6:H$834,$H688)="","",INDEX('DM01-AV-CH'!H$6:H$834,$H688)))</f>
        <v/>
      </c>
      <c r="AI688" s="74" t="str" cm="1">
        <f t="array" ref="AI688">IF($H688=0,"",IF(INDEX('DM01-AV-CH'!I$6:I$834,$H688)="","",INDEX('DM01-AV-CH'!I$6:I$834,$H688)))</f>
        <v/>
      </c>
    </row>
    <row r="689" spans="1:35" x14ac:dyDescent="0.25">
      <c r="A689" s="57">
        <v>684</v>
      </c>
      <c r="B689" s="57">
        <f>IF($A689="","",IF(_xlfn.XLOOKUP($A689,Korrelation!$D$4:$D$1197,Korrelation!E$4:E$1197,"-",0)="-",0,MATCH(_xlfn.XLOOKUP($A689,Korrelation!$D$4:$D$1197,Korrelation!E$4:E$1197,"",0),DMAV_Modell!$G$6:$G$677,0)))</f>
        <v>0</v>
      </c>
      <c r="C689" s="57">
        <f>IF($A689="","",IF(_xlfn.XLOOKUP($A689,Korrelation!$D$4:$D$1197,Korrelation!F$4:F$1197,"-",0)="-",0,MATCH(_xlfn.XLOOKUP($A689,Korrelation!$D$4:$D$1197,Korrelation!F$4:F$1197,"",0),DMAV_Modell!$G$6:$G$677,0)))</f>
        <v>0</v>
      </c>
      <c r="D689" s="57">
        <f>IF($A689="","",IF(_xlfn.XLOOKUP($A689,Korrelation!$D$4:$D$1197,Korrelation!G$4:G$1197,"-",0)="-",0,MATCH(_xlfn.XLOOKUP($A689,Korrelation!$D$4:$D$1197,Korrelation!G$4:G$1197,"",0),DMAV_Modell!$G$6:$G$677,0)))</f>
        <v>0</v>
      </c>
      <c r="E689" s="57">
        <f>IF($A689="","",IF(_xlfn.XLOOKUP($A689,Korrelation!$D$4:$D$1197,Korrelation!H$4:H$1197,"-",0)="-",0,MATCH(_xlfn.XLOOKUP($A689,Korrelation!$D$4:$D$1197,Korrelation!H$4:H$1197,"",0),DMAV_Dienste!$F$6:$F$140,0)))</f>
        <v>0</v>
      </c>
      <c r="F689" s="57">
        <f>IF($A689="","",IF(_xlfn.XLOOKUP($A689,Korrelation!$D$4:$D$1197,Korrelation!I$4:I$1197,"-",0)="-",0,MATCH(_xlfn.XLOOKUP($A689,Korrelation!$D$4:$D$1197,Korrelation!I$4:I$1197,"",0),DMAV_Dienste!$F$6:$F$140,0)))</f>
        <v>0</v>
      </c>
      <c r="G689" s="57">
        <f>IF($A689="","",IF(_xlfn.XLOOKUP($A689,Korrelation!$D$4:$D$1197,Korrelation!J$4:J$1197,"-",0)="-",0,MATCH(_xlfn.XLOOKUP($A689,Korrelation!$D$4:$D$1197,Korrelation!J$4:J$1197,"",0),DMAV_Dienste!$F$6:$F$140,0)))</f>
        <v>0</v>
      </c>
      <c r="H689" s="57">
        <f>IF($A689="","",IF(_xlfn.XLOOKUP($A689,Korrelation!$D$4:$D$1197,Korrelation!K$4:K$1197,"-",0)="-",0,MATCH(_xlfn.XLOOKUP($A689,Korrelation!$D$4:$D$1197,Korrelation!K$4:K$1197,"",0),'DM01-AV-CH'!$A$6:$A$834,0)))</f>
        <v>393</v>
      </c>
      <c r="J689" s="54" t="str" cm="1">
        <f t="array" aca="1" ref="J689" ca="1">IF(B689=0,IF(E689=0,"",HYPERLINK("#"&amp;RIGHT(CELL("adresse",OFFSET(DMAV_Dienste!$M$6,E689-1,0)),LEN(CELL("adresse",OFFSET(DMAV_Dienste!$M$6,E689-1,0)))-FIND("]",CELL("adresse",OFFSET(DMAV_Dienste!$M$6,E689-1,0)))),"Dienst")),HYPERLINK("#"&amp;RIGHT(CELL("adresse",OFFSET(DMAV_Modell!$N$6,B689-1,0)),LEN(CELL("adresse",OFFSET(DMAV_Modell!$N$6,B689-1,0)))-FIND("]",CELL("adresse",OFFSET(DMAV_Modell!$N$6,B689-1,0)))),"Modell"))</f>
        <v/>
      </c>
      <c r="K689" s="61" t="str" cm="1">
        <f t="array" ref="K689">IF($B689=0,IF($E689=0,"",IF(INDEX(DMAV_Dienste!P$6:P$140,$E689)="","",INDEX(DMAV_Dienste!P$6:P$140,$E689))),IF(INDEX(DMAV_Modell!Q$6:Q$838,$B689)="","",INDEX(DMAV_Modell!Q$6:Q$838,$B689)))</f>
        <v/>
      </c>
      <c r="L689" s="62" t="str" cm="1">
        <f t="array" ref="L689">IF($B689=0,IF($E689=0,"",IF(INDEX(DMAV_Dienste!O$6:O$140,$E689)="","",INDEX(DMAV_Dienste!O$6:O$140,$E689))),IF(INDEX(DMAV_Modell!P$6:P$838,$B689)="","",INDEX(DMAV_Modell!P$6:P$838,$B689)))</f>
        <v/>
      </c>
      <c r="M689" s="62" t="str" cm="1">
        <f t="array" ref="M689">IF($B689=0,IF($E689=0,"",IF(INDEX(DMAV_Dienste!Q$6:Q$140,$E689)="","",INDEX(DMAV_Dienste!Q$6:Q$140,$E689))),IF(INDEX(DMAV_Modell!R$6:R$838,$B689)="","",INDEX(DMAV_Modell!R$6:R$838,$B689)))</f>
        <v/>
      </c>
      <c r="N689" s="62" t="str" cm="1">
        <f t="array" ref="N689">IF($B689=0,IF($E689=0,"",IF(INDEX(DMAV_Dienste!T$6:T$140,$E689)="","",INDEX(DMAV_Dienste!T$6:T$140,$E689))),IF(INDEX(DMAV_Modell!U$6:U$838,$B689)="","",INDEX(DMAV_Modell!U$6:U$838,$B689)))</f>
        <v/>
      </c>
      <c r="O689" s="63" t="str" cm="1">
        <f t="array" aca="1" ref="O689" ca="1">IF(C689=0,IF(F689=0,"",HYPERLINK("#"&amp;RIGHT(CELL("adresse",OFFSET(DMAV_Dienste!$M$6,F689-1,0)),LEN(CELL("adresse",OFFSET(DMAV_Dienste!$M$6,F689-1,0)))-FIND("]",CELL("adresse",OFFSET(DMAV_Dienste!$M$6,F689-1,0)))),"Structure")),HYPERLINK("#"&amp;RIGHT(CELL("adresse",OFFSET(DMAV_Modell!$N$6,C689-1,0)),LEN(CELL("adresse",OFFSET(DMAV_Modell!$N$6,C689-1,0)))-FIND("]",CELL("adresse",OFFSET(DMAV_Modell!$N$6,C689-1,0)))),"Structure"))</f>
        <v/>
      </c>
      <c r="P689" s="64" t="str" cm="1">
        <f t="array" aca="1" ref="P689" ca="1">IF(D689=0,IF(G689=0,"",HYPERLINK("#"&amp;RIGHT(CELL("adresse",OFFSET(DMAV_Dienste!$M$6,G689-1,0)),LEN(CELL("adresse",OFFSET(DMAV_Dienste!$M$6,G689-1,0)))-FIND("]",CELL("adresse",OFFSET(DMAV_Dienste!$M$6,G689-1,0)))),"Substructure")),HYPERLINK("#"&amp;RIGHT(CELL("adresse",OFFSET(DMAV_Modell!$N$6,D689-1,0)),LEN(CELL("adresse",OFFSET(DMAV_Modell!$N$6,D689-1,0)))-FIND("]",CELL("adresse",OFFSET(DMAV_Modell!$N$6,D689-1,0)))),"Substructure"))</f>
        <v/>
      </c>
      <c r="R689" s="80"/>
      <c r="T689" s="93"/>
      <c r="U689" s="94"/>
      <c r="V689" s="95"/>
      <c r="W689" s="96"/>
      <c r="Y689" s="85"/>
      <c r="Z689" s="86"/>
      <c r="AA689" s="87"/>
      <c r="AB689" s="88"/>
      <c r="AD689" s="77"/>
      <c r="AF689" s="54" t="str" cm="1">
        <f t="array" aca="1" ref="AF689" ca="1">IF(H689=0,"",HYPERLINK("#"&amp;RIGHT(CELL("adresse",OFFSET('DM01-AV-CH'!$G$6,H689-1,0)),LEN(CELL("adresse",OFFSET('DM01-AV-CH'!$G$6,H689-1,0)))-FIND("]",CELL("adresse",OFFSET('DM01-AV-CH'!$G$6,H689-1,0)))),"Modell"))</f>
        <v>Modell</v>
      </c>
      <c r="AG689" s="72" t="str" cm="1">
        <f t="array" ref="AG689">IF($H689=0,"",IF(INDEX('DM01-AV-CH'!G$6:G$834,$H689)="","",INDEX('DM01-AV-CH'!G$6:G$834,$H689)))</f>
        <v>Nomenklatur</v>
      </c>
      <c r="AH689" s="73" t="str" cm="1">
        <f t="array" ref="AH689">IF($H689=0,"",IF(INDEX('DM01-AV-CH'!H$6:H$834,$H689)="","",INDEX('DM01-AV-CH'!H$6:H$834,$H689)))</f>
        <v>Ortsname</v>
      </c>
      <c r="AI689" s="74" t="str" cm="1">
        <f t="array" ref="AI689">IF($H689=0,"",IF(INDEX('DM01-AV-CH'!I$6:I$834,$H689)="","",INDEX('DM01-AV-CH'!I$6:I$834,$H689)))</f>
        <v>Entstehung</v>
      </c>
    </row>
    <row r="690" spans="1:35" x14ac:dyDescent="0.25">
      <c r="A690" s="57">
        <v>685</v>
      </c>
      <c r="B690" s="57">
        <f>IF($A690="","",IF(_xlfn.XLOOKUP($A690,Korrelation!$D$4:$D$1197,Korrelation!E$4:E$1197,"-",0)="-",0,MATCH(_xlfn.XLOOKUP($A690,Korrelation!$D$4:$D$1197,Korrelation!E$4:E$1197,"",0),DMAV_Modell!$G$6:$G$677,0)))</f>
        <v>378</v>
      </c>
      <c r="C690" s="57">
        <f>IF($A690="","",IF(_xlfn.XLOOKUP($A690,Korrelation!$D$4:$D$1197,Korrelation!F$4:F$1197,"-",0)="-",0,MATCH(_xlfn.XLOOKUP($A690,Korrelation!$D$4:$D$1197,Korrelation!F$4:F$1197,"",0),DMAV_Modell!$G$6:$G$677,0)))</f>
        <v>0</v>
      </c>
      <c r="D690" s="57">
        <f>IF($A690="","",IF(_xlfn.XLOOKUP($A690,Korrelation!$D$4:$D$1197,Korrelation!G$4:G$1197,"-",0)="-",0,MATCH(_xlfn.XLOOKUP($A690,Korrelation!$D$4:$D$1197,Korrelation!G$4:G$1197,"",0),DMAV_Modell!$G$6:$G$677,0)))</f>
        <v>0</v>
      </c>
      <c r="E690" s="57">
        <f>IF($A690="","",IF(_xlfn.XLOOKUP($A690,Korrelation!$D$4:$D$1197,Korrelation!H$4:H$1197,"-",0)="-",0,MATCH(_xlfn.XLOOKUP($A690,Korrelation!$D$4:$D$1197,Korrelation!H$4:H$1197,"",0),DMAV_Dienste!$F$6:$F$140,0)))</f>
        <v>0</v>
      </c>
      <c r="F690" s="57">
        <f>IF($A690="","",IF(_xlfn.XLOOKUP($A690,Korrelation!$D$4:$D$1197,Korrelation!I$4:I$1197,"-",0)="-",0,MATCH(_xlfn.XLOOKUP($A690,Korrelation!$D$4:$D$1197,Korrelation!I$4:I$1197,"",0),DMAV_Dienste!$F$6:$F$140,0)))</f>
        <v>0</v>
      </c>
      <c r="G690" s="57">
        <f>IF($A690="","",IF(_xlfn.XLOOKUP($A690,Korrelation!$D$4:$D$1197,Korrelation!J$4:J$1197,"-",0)="-",0,MATCH(_xlfn.XLOOKUP($A690,Korrelation!$D$4:$D$1197,Korrelation!J$4:J$1197,"",0),DMAV_Dienste!$F$6:$F$140,0)))</f>
        <v>0</v>
      </c>
      <c r="H690" s="57">
        <f>IF($A690="","",IF(_xlfn.XLOOKUP($A690,Korrelation!$D$4:$D$1197,Korrelation!K$4:K$1197,"-",0)="-",0,MATCH(_xlfn.XLOOKUP($A690,Korrelation!$D$4:$D$1197,Korrelation!K$4:K$1197,"",0),'DM01-AV-CH'!$A$6:$A$834,0)))</f>
        <v>394</v>
      </c>
      <c r="J690" s="54" t="str" cm="1">
        <f t="array" aca="1" ref="J690" ca="1">IF(B690=0,IF(E690=0,"",HYPERLINK("#"&amp;RIGHT(CELL("adresse",OFFSET(DMAV_Dienste!$M$6,E690-1,0)),LEN(CELL("adresse",OFFSET(DMAV_Dienste!$M$6,E690-1,0)))-FIND("]",CELL("adresse",OFFSET(DMAV_Dienste!$M$6,E690-1,0)))),"Dienst")),HYPERLINK("#"&amp;RIGHT(CELL("adresse",OFFSET(DMAV_Modell!$N$6,B690-1,0)),LEN(CELL("adresse",OFFSET(DMAV_Modell!$N$6,B690-1,0)))-FIND("]",CELL("adresse",OFFSET(DMAV_Modell!$N$6,B690-1,0)))),"Modell"))</f>
        <v>Modell</v>
      </c>
      <c r="K690" s="61" t="str" cm="1">
        <f t="array" ref="K690">IF($B690=0,IF($E690=0,"",IF(INDEX(DMAV_Dienste!P$6:P$140,$E690)="","",INDEX(DMAV_Dienste!P$6:P$140,$E690))),IF(INDEX(DMAV_Modell!Q$6:Q$838,$B690)="","",INDEX(DMAV_Modell!Q$6:Q$838,$B690)))</f>
        <v>CLASS</v>
      </c>
      <c r="L690" s="62" t="str" cm="1">
        <f t="array" ref="L690">IF($B690=0,IF($E690=0,"",IF(INDEX(DMAV_Dienste!O$6:O$140,$E690)="","",INDEX(DMAV_Dienste!O$6:O$140,$E690))),IF(INDEX(DMAV_Modell!P$6:P$838,$B690)="","",INDEX(DMAV_Modell!P$6:P$838,$B690)))</f>
        <v>Nomenklatur</v>
      </c>
      <c r="M690" s="62" t="str" cm="1">
        <f t="array" ref="M690">IF($B690=0,IF($E690=0,"",IF(INDEX(DMAV_Dienste!Q$6:Q$140,$E690)="","",INDEX(DMAV_Dienste!Q$6:Q$140,$E690))),IF(INDEX(DMAV_Modell!R$6:R$838,$B690)="","",INDEX(DMAV_Modell!R$6:R$838,$B690)))</f>
        <v>Ortsname</v>
      </c>
      <c r="N690" s="62" t="str" cm="1">
        <f t="array" ref="N690">IF($B690=0,IF($E690=0,"",IF(INDEX(DMAV_Dienste!T$6:T$140,$E690)="","",INDEX(DMAV_Dienste!T$6:T$140,$E690))),IF(INDEX(DMAV_Modell!U$6:U$838,$B690)="","",INDEX(DMAV_Modell!U$6:U$838,$B690)))</f>
        <v>Name</v>
      </c>
      <c r="O690" s="63" t="str" cm="1">
        <f t="array" aca="1" ref="O690" ca="1">IF(C690=0,IF(F690=0,"",HYPERLINK("#"&amp;RIGHT(CELL("adresse",OFFSET(DMAV_Dienste!$M$6,F690-1,0)),LEN(CELL("adresse",OFFSET(DMAV_Dienste!$M$6,F690-1,0)))-FIND("]",CELL("adresse",OFFSET(DMAV_Dienste!$M$6,F690-1,0)))),"Structure")),HYPERLINK("#"&amp;RIGHT(CELL("adresse",OFFSET(DMAV_Modell!$N$6,C690-1,0)),LEN(CELL("adresse",OFFSET(DMAV_Modell!$N$6,C690-1,0)))-FIND("]",CELL("adresse",OFFSET(DMAV_Modell!$N$6,C690-1,0)))),"Structure"))</f>
        <v/>
      </c>
      <c r="P690" s="64" t="str" cm="1">
        <f t="array" aca="1" ref="P690" ca="1">IF(D690=0,IF(G690=0,"",HYPERLINK("#"&amp;RIGHT(CELL("adresse",OFFSET(DMAV_Dienste!$M$6,G690-1,0)),LEN(CELL("adresse",OFFSET(DMAV_Dienste!$M$6,G690-1,0)))-FIND("]",CELL("adresse",OFFSET(DMAV_Dienste!$M$6,G690-1,0)))),"Substructure")),HYPERLINK("#"&amp;RIGHT(CELL("adresse",OFFSET(DMAV_Modell!$N$6,D690-1,0)),LEN(CELL("adresse",OFFSET(DMAV_Modell!$N$6,D690-1,0)))-FIND("]",CELL("adresse",OFFSET(DMAV_Modell!$N$6,D690-1,0)))),"Substructure"))</f>
        <v/>
      </c>
      <c r="R690" s="80"/>
      <c r="T690" s="93"/>
      <c r="U690" s="94"/>
      <c r="V690" s="95"/>
      <c r="W690" s="96"/>
      <c r="Y690" s="85"/>
      <c r="Z690" s="86"/>
      <c r="AA690" s="87"/>
      <c r="AB690" s="88"/>
      <c r="AD690" s="77"/>
      <c r="AF690" s="54" t="str" cm="1">
        <f t="array" aca="1" ref="AF690" ca="1">IF(H690=0,"",HYPERLINK("#"&amp;RIGHT(CELL("adresse",OFFSET('DM01-AV-CH'!$G$6,H690-1,0)),LEN(CELL("adresse",OFFSET('DM01-AV-CH'!$G$6,H690-1,0)))-FIND("]",CELL("adresse",OFFSET('DM01-AV-CH'!$G$6,H690-1,0)))),"Modell"))</f>
        <v>Modell</v>
      </c>
      <c r="AG690" s="72" t="str" cm="1">
        <f t="array" ref="AG690">IF($H690=0,"",IF(INDEX('DM01-AV-CH'!G$6:G$834,$H690)="","",INDEX('DM01-AV-CH'!G$6:G$834,$H690)))</f>
        <v>Nomenklatur</v>
      </c>
      <c r="AH690" s="73" t="str" cm="1">
        <f t="array" ref="AH690">IF($H690=0,"",IF(INDEX('DM01-AV-CH'!H$6:H$834,$H690)="","",INDEX('DM01-AV-CH'!H$6:H$834,$H690)))</f>
        <v>Ortsname</v>
      </c>
      <c r="AI690" s="74" t="str" cm="1">
        <f t="array" ref="AI690">IF($H690=0,"",IF(INDEX('DM01-AV-CH'!I$6:I$834,$H690)="","",INDEX('DM01-AV-CH'!I$6:I$834,$H690)))</f>
        <v>Name</v>
      </c>
    </row>
    <row r="691" spans="1:35" x14ac:dyDescent="0.25">
      <c r="A691" s="57">
        <v>686</v>
      </c>
      <c r="B691" s="57">
        <f>IF($A691="","",IF(_xlfn.XLOOKUP($A691,Korrelation!$D$4:$D$1197,Korrelation!E$4:E$1197,"-",0)="-",0,MATCH(_xlfn.XLOOKUP($A691,Korrelation!$D$4:$D$1197,Korrelation!E$4:E$1197,"",0),DMAV_Modell!$G$6:$G$677,0)))</f>
        <v>379</v>
      </c>
      <c r="C691" s="57">
        <f>IF($A691="","",IF(_xlfn.XLOOKUP($A691,Korrelation!$D$4:$D$1197,Korrelation!F$4:F$1197,"-",0)="-",0,MATCH(_xlfn.XLOOKUP($A691,Korrelation!$D$4:$D$1197,Korrelation!F$4:F$1197,"",0),DMAV_Modell!$G$6:$G$677,0)))</f>
        <v>0</v>
      </c>
      <c r="D691" s="57">
        <f>IF($A691="","",IF(_xlfn.XLOOKUP($A691,Korrelation!$D$4:$D$1197,Korrelation!G$4:G$1197,"-",0)="-",0,MATCH(_xlfn.XLOOKUP($A691,Korrelation!$D$4:$D$1197,Korrelation!G$4:G$1197,"",0),DMAV_Modell!$G$6:$G$677,0)))</f>
        <v>0</v>
      </c>
      <c r="E691" s="57">
        <f>IF($A691="","",IF(_xlfn.XLOOKUP($A691,Korrelation!$D$4:$D$1197,Korrelation!H$4:H$1197,"-",0)="-",0,MATCH(_xlfn.XLOOKUP($A691,Korrelation!$D$4:$D$1197,Korrelation!H$4:H$1197,"",0),DMAV_Dienste!$F$6:$F$140,0)))</f>
        <v>0</v>
      </c>
      <c r="F691" s="57">
        <f>IF($A691="","",IF(_xlfn.XLOOKUP($A691,Korrelation!$D$4:$D$1197,Korrelation!I$4:I$1197,"-",0)="-",0,MATCH(_xlfn.XLOOKUP($A691,Korrelation!$D$4:$D$1197,Korrelation!I$4:I$1197,"",0),DMAV_Dienste!$F$6:$F$140,0)))</f>
        <v>0</v>
      </c>
      <c r="G691" s="57">
        <f>IF($A691="","",IF(_xlfn.XLOOKUP($A691,Korrelation!$D$4:$D$1197,Korrelation!J$4:J$1197,"-",0)="-",0,MATCH(_xlfn.XLOOKUP($A691,Korrelation!$D$4:$D$1197,Korrelation!J$4:J$1197,"",0),DMAV_Dienste!$F$6:$F$140,0)))</f>
        <v>0</v>
      </c>
      <c r="H691" s="57">
        <f>IF($A691="","",IF(_xlfn.XLOOKUP($A691,Korrelation!$D$4:$D$1197,Korrelation!K$4:K$1197,"-",0)="-",0,MATCH(_xlfn.XLOOKUP($A691,Korrelation!$D$4:$D$1197,Korrelation!K$4:K$1197,"",0),'DM01-AV-CH'!$A$6:$A$834,0)))</f>
        <v>395</v>
      </c>
      <c r="J691" s="54" t="str" cm="1">
        <f t="array" aca="1" ref="J691" ca="1">IF(B691=0,IF(E691=0,"",HYPERLINK("#"&amp;RIGHT(CELL("adresse",OFFSET(DMAV_Dienste!$M$6,E691-1,0)),LEN(CELL("adresse",OFFSET(DMAV_Dienste!$M$6,E691-1,0)))-FIND("]",CELL("adresse",OFFSET(DMAV_Dienste!$M$6,E691-1,0)))),"Dienst")),HYPERLINK("#"&amp;RIGHT(CELL("adresse",OFFSET(DMAV_Modell!$N$6,B691-1,0)),LEN(CELL("adresse",OFFSET(DMAV_Modell!$N$6,B691-1,0)))-FIND("]",CELL("adresse",OFFSET(DMAV_Modell!$N$6,B691-1,0)))),"Modell"))</f>
        <v>Modell</v>
      </c>
      <c r="K691" s="61" t="str" cm="1">
        <f t="array" ref="K691">IF($B691=0,IF($E691=0,"",IF(INDEX(DMAV_Dienste!P$6:P$140,$E691)="","",INDEX(DMAV_Dienste!P$6:P$140,$E691))),IF(INDEX(DMAV_Modell!Q$6:Q$838,$B691)="","",INDEX(DMAV_Modell!Q$6:Q$838,$B691)))</f>
        <v>CLASS</v>
      </c>
      <c r="L691" s="62" t="str" cm="1">
        <f t="array" ref="L691">IF($B691=0,IF($E691=0,"",IF(INDEX(DMAV_Dienste!O$6:O$140,$E691)="","",INDEX(DMAV_Dienste!O$6:O$140,$E691))),IF(INDEX(DMAV_Modell!P$6:P$838,$B691)="","",INDEX(DMAV_Modell!P$6:P$838,$B691)))</f>
        <v>Nomenklatur</v>
      </c>
      <c r="M691" s="62" t="str" cm="1">
        <f t="array" ref="M691">IF($B691=0,IF($E691=0,"",IF(INDEX(DMAV_Dienste!Q$6:Q$140,$E691)="","",INDEX(DMAV_Dienste!Q$6:Q$140,$E691))),IF(INDEX(DMAV_Modell!R$6:R$838,$B691)="","",INDEX(DMAV_Modell!R$6:R$838,$B691)))</f>
        <v>Ortsname</v>
      </c>
      <c r="N691" s="62" t="str" cm="1">
        <f t="array" ref="N691">IF($B691=0,IF($E691=0,"",IF(INDEX(DMAV_Dienste!T$6:T$140,$E691)="","",INDEX(DMAV_Dienste!T$6:T$140,$E691))),IF(INDEX(DMAV_Modell!U$6:U$838,$B691)="","",INDEX(DMAV_Modell!U$6:U$838,$B691)))</f>
        <v>Geometrie</v>
      </c>
      <c r="O691" s="63" t="str" cm="1">
        <f t="array" aca="1" ref="O691" ca="1">IF(C691=0,IF(F691=0,"",HYPERLINK("#"&amp;RIGHT(CELL("adresse",OFFSET(DMAV_Dienste!$M$6,F691-1,0)),LEN(CELL("adresse",OFFSET(DMAV_Dienste!$M$6,F691-1,0)))-FIND("]",CELL("adresse",OFFSET(DMAV_Dienste!$M$6,F691-1,0)))),"Structure")),HYPERLINK("#"&amp;RIGHT(CELL("adresse",OFFSET(DMAV_Modell!$N$6,C691-1,0)),LEN(CELL("adresse",OFFSET(DMAV_Modell!$N$6,C691-1,0)))-FIND("]",CELL("adresse",OFFSET(DMAV_Modell!$N$6,C691-1,0)))),"Structure"))</f>
        <v/>
      </c>
      <c r="P691" s="64" t="str" cm="1">
        <f t="array" aca="1" ref="P691" ca="1">IF(D691=0,IF(G691=0,"",HYPERLINK("#"&amp;RIGHT(CELL("adresse",OFFSET(DMAV_Dienste!$M$6,G691-1,0)),LEN(CELL("adresse",OFFSET(DMAV_Dienste!$M$6,G691-1,0)))-FIND("]",CELL("adresse",OFFSET(DMAV_Dienste!$M$6,G691-1,0)))),"Substructure")),HYPERLINK("#"&amp;RIGHT(CELL("adresse",OFFSET(DMAV_Modell!$N$6,D691-1,0)),LEN(CELL("adresse",OFFSET(DMAV_Modell!$N$6,D691-1,0)))-FIND("]",CELL("adresse",OFFSET(DMAV_Modell!$N$6,D691-1,0)))),"Substructure"))</f>
        <v/>
      </c>
      <c r="R691" s="80"/>
      <c r="T691" s="93"/>
      <c r="U691" s="94"/>
      <c r="V691" s="95"/>
      <c r="W691" s="96"/>
      <c r="Y691" s="85"/>
      <c r="Z691" s="86"/>
      <c r="AA691" s="87"/>
      <c r="AB691" s="88"/>
      <c r="AD691" s="77"/>
      <c r="AF691" s="54" t="str" cm="1">
        <f t="array" aca="1" ref="AF691" ca="1">IF(H691=0,"",HYPERLINK("#"&amp;RIGHT(CELL("adresse",OFFSET('DM01-AV-CH'!$G$6,H691-1,0)),LEN(CELL("adresse",OFFSET('DM01-AV-CH'!$G$6,H691-1,0)))-FIND("]",CELL("adresse",OFFSET('DM01-AV-CH'!$G$6,H691-1,0)))),"Modell"))</f>
        <v>Modell</v>
      </c>
      <c r="AG691" s="72" t="str" cm="1">
        <f t="array" ref="AG691">IF($H691=0,"",IF(INDEX('DM01-AV-CH'!G$6:G$834,$H691)="","",INDEX('DM01-AV-CH'!G$6:G$834,$H691)))</f>
        <v>Nomenklatur</v>
      </c>
      <c r="AH691" s="73" t="str" cm="1">
        <f t="array" ref="AH691">IF($H691=0,"",IF(INDEX('DM01-AV-CH'!H$6:H$834,$H691)="","",INDEX('DM01-AV-CH'!H$6:H$834,$H691)))</f>
        <v>Ortsname</v>
      </c>
      <c r="AI691" s="74" t="str" cm="1">
        <f t="array" ref="AI691">IF($H691=0,"",IF(INDEX('DM01-AV-CH'!I$6:I$834,$H691)="","",INDEX('DM01-AV-CH'!I$6:I$834,$H691)))</f>
        <v>Geometrie</v>
      </c>
    </row>
    <row r="692" spans="1:35" x14ac:dyDescent="0.25">
      <c r="A692" s="57">
        <v>687</v>
      </c>
      <c r="B692" s="57">
        <f>IF($A692="","",IF(_xlfn.XLOOKUP($A692,Korrelation!$D$4:$D$1197,Korrelation!E$4:E$1197,"-",0)="-",0,MATCH(_xlfn.XLOOKUP($A692,Korrelation!$D$4:$D$1197,Korrelation!E$4:E$1197,"",0),DMAV_Modell!$G$6:$G$677,0)))</f>
        <v>380</v>
      </c>
      <c r="C692" s="57">
        <f>IF($A692="","",IF(_xlfn.XLOOKUP($A692,Korrelation!$D$4:$D$1197,Korrelation!F$4:F$1197,"-",0)="-",0,MATCH(_xlfn.XLOOKUP($A692,Korrelation!$D$4:$D$1197,Korrelation!F$4:F$1197,"",0),DMAV_Modell!$G$6:$G$677,0)))</f>
        <v>0</v>
      </c>
      <c r="D692" s="57">
        <f>IF($A692="","",IF(_xlfn.XLOOKUP($A692,Korrelation!$D$4:$D$1197,Korrelation!G$4:G$1197,"-",0)="-",0,MATCH(_xlfn.XLOOKUP($A692,Korrelation!$D$4:$D$1197,Korrelation!G$4:G$1197,"",0),DMAV_Modell!$G$6:$G$677,0)))</f>
        <v>0</v>
      </c>
      <c r="E692" s="57">
        <f>IF($A692="","",IF(_xlfn.XLOOKUP($A692,Korrelation!$D$4:$D$1197,Korrelation!H$4:H$1197,"-",0)="-",0,MATCH(_xlfn.XLOOKUP($A692,Korrelation!$D$4:$D$1197,Korrelation!H$4:H$1197,"",0),DMAV_Dienste!$F$6:$F$140,0)))</f>
        <v>0</v>
      </c>
      <c r="F692" s="57">
        <f>IF($A692="","",IF(_xlfn.XLOOKUP($A692,Korrelation!$D$4:$D$1197,Korrelation!I$4:I$1197,"-",0)="-",0,MATCH(_xlfn.XLOOKUP($A692,Korrelation!$D$4:$D$1197,Korrelation!I$4:I$1197,"",0),DMAV_Dienste!$F$6:$F$140,0)))</f>
        <v>0</v>
      </c>
      <c r="G692" s="57">
        <f>IF($A692="","",IF(_xlfn.XLOOKUP($A692,Korrelation!$D$4:$D$1197,Korrelation!J$4:J$1197,"-",0)="-",0,MATCH(_xlfn.XLOOKUP($A692,Korrelation!$D$4:$D$1197,Korrelation!J$4:J$1197,"",0),DMAV_Dienste!$F$6:$F$140,0)))</f>
        <v>0</v>
      </c>
      <c r="H692" s="57">
        <f>IF($A692="","",IF(_xlfn.XLOOKUP($A692,Korrelation!$D$4:$D$1197,Korrelation!K$4:K$1197,"-",0)="-",0,MATCH(_xlfn.XLOOKUP($A692,Korrelation!$D$4:$D$1197,Korrelation!K$4:K$1197,"",0),'DM01-AV-CH'!$A$6:$A$834,0)))</f>
        <v>396</v>
      </c>
      <c r="J692" s="54" t="str" cm="1">
        <f t="array" aca="1" ref="J692" ca="1">IF(B692=0,IF(E692=0,"",HYPERLINK("#"&amp;RIGHT(CELL("adresse",OFFSET(DMAV_Dienste!$M$6,E692-1,0)),LEN(CELL("adresse",OFFSET(DMAV_Dienste!$M$6,E692-1,0)))-FIND("]",CELL("adresse",OFFSET(DMAV_Dienste!$M$6,E692-1,0)))),"Dienst")),HYPERLINK("#"&amp;RIGHT(CELL("adresse",OFFSET(DMAV_Modell!$N$6,B692-1,0)),LEN(CELL("adresse",OFFSET(DMAV_Modell!$N$6,B692-1,0)))-FIND("]",CELL("adresse",OFFSET(DMAV_Modell!$N$6,B692-1,0)))),"Modell"))</f>
        <v>Modell</v>
      </c>
      <c r="K692" s="61" t="str" cm="1">
        <f t="array" ref="K692">IF($B692=0,IF($E692=0,"",IF(INDEX(DMAV_Dienste!P$6:P$140,$E692)="","",INDEX(DMAV_Dienste!P$6:P$140,$E692))),IF(INDEX(DMAV_Modell!Q$6:Q$838,$B692)="","",INDEX(DMAV_Modell!Q$6:Q$838,$B692)))</f>
        <v>CLASS</v>
      </c>
      <c r="L692" s="62" t="str" cm="1">
        <f t="array" ref="L692">IF($B692=0,IF($E692=0,"",IF(INDEX(DMAV_Dienste!O$6:O$140,$E692)="","",INDEX(DMAV_Dienste!O$6:O$140,$E692))),IF(INDEX(DMAV_Modell!P$6:P$838,$B692)="","",INDEX(DMAV_Modell!P$6:P$838,$B692)))</f>
        <v>Nomenklatur</v>
      </c>
      <c r="M692" s="62" t="str" cm="1">
        <f t="array" ref="M692">IF($B692=0,IF($E692=0,"",IF(INDEX(DMAV_Dienste!Q$6:Q$140,$E692)="","",INDEX(DMAV_Dienste!Q$6:Q$140,$E692))),IF(INDEX(DMAV_Modell!R$6:R$838,$B692)="","",INDEX(DMAV_Modell!R$6:R$838,$B692)))</f>
        <v>Ortsname</v>
      </c>
      <c r="N692" s="62" t="str" cm="1">
        <f t="array" ref="N692">IF($B692=0,IF($E692=0,"",IF(INDEX(DMAV_Dienste!T$6:T$140,$E692)="","",INDEX(DMAV_Dienste!T$6:T$140,$E692))),IF(INDEX(DMAV_Modell!U$6:U$838,$B692)="","",INDEX(DMAV_Modell!U$6:U$838,$B692)))</f>
        <v>Typ</v>
      </c>
      <c r="O692" s="63" t="str" cm="1">
        <f t="array" aca="1" ref="O692" ca="1">IF(C692=0,IF(F692=0,"",HYPERLINK("#"&amp;RIGHT(CELL("adresse",OFFSET(DMAV_Dienste!$M$6,F692-1,0)),LEN(CELL("adresse",OFFSET(DMAV_Dienste!$M$6,F692-1,0)))-FIND("]",CELL("adresse",OFFSET(DMAV_Dienste!$M$6,F692-1,0)))),"Structure")),HYPERLINK("#"&amp;RIGHT(CELL("adresse",OFFSET(DMAV_Modell!$N$6,C692-1,0)),LEN(CELL("adresse",OFFSET(DMAV_Modell!$N$6,C692-1,0)))-FIND("]",CELL("adresse",OFFSET(DMAV_Modell!$N$6,C692-1,0)))),"Structure"))</f>
        <v/>
      </c>
      <c r="P692" s="64" t="str" cm="1">
        <f t="array" aca="1" ref="P692" ca="1">IF(D692=0,IF(G692=0,"",HYPERLINK("#"&amp;RIGHT(CELL("adresse",OFFSET(DMAV_Dienste!$M$6,G692-1,0)),LEN(CELL("adresse",OFFSET(DMAV_Dienste!$M$6,G692-1,0)))-FIND("]",CELL("adresse",OFFSET(DMAV_Dienste!$M$6,G692-1,0)))),"Substructure")),HYPERLINK("#"&amp;RIGHT(CELL("adresse",OFFSET(DMAV_Modell!$N$6,D692-1,0)),LEN(CELL("adresse",OFFSET(DMAV_Modell!$N$6,D692-1,0)))-FIND("]",CELL("adresse",OFFSET(DMAV_Modell!$N$6,D692-1,0)))),"Substructure"))</f>
        <v/>
      </c>
      <c r="R692" s="80"/>
      <c r="T692" s="93"/>
      <c r="U692" s="94"/>
      <c r="V692" s="95"/>
      <c r="W692" s="96"/>
      <c r="Y692" s="85"/>
      <c r="Z692" s="86"/>
      <c r="AA692" s="87"/>
      <c r="AB692" s="88"/>
      <c r="AD692" s="77"/>
      <c r="AF692" s="54" t="str" cm="1">
        <f t="array" aca="1" ref="AF692" ca="1">IF(H692=0,"",HYPERLINK("#"&amp;RIGHT(CELL("adresse",OFFSET('DM01-AV-CH'!$G$6,H692-1,0)),LEN(CELL("adresse",OFFSET('DM01-AV-CH'!$G$6,H692-1,0)))-FIND("]",CELL("adresse",OFFSET('DM01-AV-CH'!$G$6,H692-1,0)))),"Modell"))</f>
        <v>Modell</v>
      </c>
      <c r="AG692" s="72" t="str" cm="1">
        <f t="array" ref="AG692">IF($H692=0,"",IF(INDEX('DM01-AV-CH'!G$6:G$834,$H692)="","",INDEX('DM01-AV-CH'!G$6:G$834,$H692)))</f>
        <v>Nomenklatur</v>
      </c>
      <c r="AH692" s="73" t="str" cm="1">
        <f t="array" ref="AH692">IF($H692=0,"",IF(INDEX('DM01-AV-CH'!H$6:H$834,$H692)="","",INDEX('DM01-AV-CH'!H$6:H$834,$H692)))</f>
        <v>Ortsname</v>
      </c>
      <c r="AI692" s="74" t="str" cm="1">
        <f t="array" ref="AI692">IF($H692=0,"",IF(INDEX('DM01-AV-CH'!I$6:I$834,$H692)="","",INDEX('DM01-AV-CH'!I$6:I$834,$H692)))</f>
        <v>Typ</v>
      </c>
    </row>
    <row r="693" spans="1:35" x14ac:dyDescent="0.25">
      <c r="A693" s="57">
        <v>688</v>
      </c>
      <c r="B693" s="57">
        <f>IF($A693="","",IF(_xlfn.XLOOKUP($A693,Korrelation!$D$4:$D$1197,Korrelation!E$4:E$1197,"-",0)="-",0,MATCH(_xlfn.XLOOKUP($A693,Korrelation!$D$4:$D$1197,Korrelation!E$4:E$1197,"",0),DMAV_Modell!$G$6:$G$677,0)))</f>
        <v>381</v>
      </c>
      <c r="C693" s="57">
        <f>IF($A693="","",IF(_xlfn.XLOOKUP($A693,Korrelation!$D$4:$D$1197,Korrelation!F$4:F$1197,"-",0)="-",0,MATCH(_xlfn.XLOOKUP($A693,Korrelation!$D$4:$D$1197,Korrelation!F$4:F$1197,"",0),DMAV_Modell!$G$6:$G$677,0)))</f>
        <v>26</v>
      </c>
      <c r="D693" s="57">
        <f>IF($A693="","",IF(_xlfn.XLOOKUP($A693,Korrelation!$D$4:$D$1197,Korrelation!G$4:G$1197,"-",0)="-",0,MATCH(_xlfn.XLOOKUP($A693,Korrelation!$D$4:$D$1197,Korrelation!G$4:G$1197,"",0),DMAV_Modell!$G$6:$G$677,0)))</f>
        <v>0</v>
      </c>
      <c r="E693" s="57">
        <f>IF($A693="","",IF(_xlfn.XLOOKUP($A693,Korrelation!$D$4:$D$1197,Korrelation!H$4:H$1197,"-",0)="-",0,MATCH(_xlfn.XLOOKUP($A693,Korrelation!$D$4:$D$1197,Korrelation!H$4:H$1197,"",0),DMAV_Dienste!$F$6:$F$140,0)))</f>
        <v>0</v>
      </c>
      <c r="F693" s="57">
        <f>IF($A693="","",IF(_xlfn.XLOOKUP($A693,Korrelation!$D$4:$D$1197,Korrelation!I$4:I$1197,"-",0)="-",0,MATCH(_xlfn.XLOOKUP($A693,Korrelation!$D$4:$D$1197,Korrelation!I$4:I$1197,"",0),DMAV_Dienste!$F$6:$F$140,0)))</f>
        <v>0</v>
      </c>
      <c r="G693" s="57">
        <f>IF($A693="","",IF(_xlfn.XLOOKUP($A693,Korrelation!$D$4:$D$1197,Korrelation!J$4:J$1197,"-",0)="-",0,MATCH(_xlfn.XLOOKUP($A693,Korrelation!$D$4:$D$1197,Korrelation!J$4:J$1197,"",0),DMAV_Dienste!$F$6:$F$140,0)))</f>
        <v>0</v>
      </c>
      <c r="H693" s="57">
        <f>IF($A693="","",IF(_xlfn.XLOOKUP($A693,Korrelation!$D$4:$D$1197,Korrelation!K$4:K$1197,"-",0)="-",0,MATCH(_xlfn.XLOOKUP($A693,Korrelation!$D$4:$D$1197,Korrelation!K$4:K$1197,"",0),'DM01-AV-CH'!$A$6:$A$834,0)))</f>
        <v>0</v>
      </c>
      <c r="J693" s="54" t="str" cm="1">
        <f t="array" aca="1" ref="J693" ca="1">IF(B693=0,IF(E693=0,"",HYPERLINK("#"&amp;RIGHT(CELL("adresse",OFFSET(DMAV_Dienste!$M$6,E693-1,0)),LEN(CELL("adresse",OFFSET(DMAV_Dienste!$M$6,E693-1,0)))-FIND("]",CELL("adresse",OFFSET(DMAV_Dienste!$M$6,E693-1,0)))),"Dienst")),HYPERLINK("#"&amp;RIGHT(CELL("adresse",OFFSET(DMAV_Modell!$N$6,B693-1,0)),LEN(CELL("adresse",OFFSET(DMAV_Modell!$N$6,B693-1,0)))-FIND("]",CELL("adresse",OFFSET(DMAV_Modell!$N$6,B693-1,0)))),"Modell"))</f>
        <v>Modell</v>
      </c>
      <c r="K693" s="61" t="str" cm="1">
        <f t="array" ref="K693">IF($B693=0,IF($E693=0,"",IF(INDEX(DMAV_Dienste!P$6:P$140,$E693)="","",INDEX(DMAV_Dienste!P$6:P$140,$E693))),IF(INDEX(DMAV_Modell!Q$6:Q$838,$B693)="","",INDEX(DMAV_Modell!Q$6:Q$838,$B693)))</f>
        <v>CLASS</v>
      </c>
      <c r="L693" s="62" t="str" cm="1">
        <f t="array" ref="L693">IF($B693=0,IF($E693=0,"",IF(INDEX(DMAV_Dienste!O$6:O$140,$E693)="","",INDEX(DMAV_Dienste!O$6:O$140,$E693))),IF(INDEX(DMAV_Modell!P$6:P$838,$B693)="","",INDEX(DMAV_Modell!P$6:P$838,$B693)))</f>
        <v>Nomenklatur</v>
      </c>
      <c r="M693" s="62" t="str" cm="1">
        <f t="array" ref="M693">IF($B693=0,IF($E693=0,"",IF(INDEX(DMAV_Dienste!Q$6:Q$140,$E693)="","",INDEX(DMAV_Dienste!Q$6:Q$140,$E693))),IF(INDEX(DMAV_Modell!R$6:R$838,$B693)="","",INDEX(DMAV_Modell!R$6:R$838,$B693)))</f>
        <v>Ortsname</v>
      </c>
      <c r="N693" s="62" t="str" cm="1">
        <f t="array" ref="N693">IF($B693=0,IF($E693=0,"",IF(INDEX(DMAV_Dienste!T$6:T$140,$E693)="","",INDEX(DMAV_Dienste!T$6:T$140,$E693))),IF(INDEX(DMAV_Modell!U$6:U$838,$B693)="","",INDEX(DMAV_Modell!U$6:U$838,$B693)))</f>
        <v>Textposition</v>
      </c>
      <c r="O693" s="63" t="str" cm="1">
        <f t="array" aca="1" ref="O693" ca="1">IF(C693=0,IF(F693=0,"",HYPERLINK("#"&amp;RIGHT(CELL("adresse",OFFSET(DMAV_Dienste!$M$6,F693-1,0)),LEN(CELL("adresse",OFFSET(DMAV_Dienste!$M$6,F693-1,0)))-FIND("]",CELL("adresse",OFFSET(DMAV_Dienste!$M$6,F693-1,0)))),"Structure")),HYPERLINK("#"&amp;RIGHT(CELL("adresse",OFFSET(DMAV_Modell!$N$6,C693-1,0)),LEN(CELL("adresse",OFFSET(DMAV_Modell!$N$6,C693-1,0)))-FIND("]",CELL("adresse",OFFSET(DMAV_Modell!$N$6,C693-1,0)))),"Structure"))</f>
        <v>Structure</v>
      </c>
      <c r="P693" s="64" t="str" cm="1">
        <f t="array" aca="1" ref="P693" ca="1">IF(D693=0,IF(G693=0,"",HYPERLINK("#"&amp;RIGHT(CELL("adresse",OFFSET(DMAV_Dienste!$M$6,G693-1,0)),LEN(CELL("adresse",OFFSET(DMAV_Dienste!$M$6,G693-1,0)))-FIND("]",CELL("adresse",OFFSET(DMAV_Dienste!$M$6,G693-1,0)))),"Substructure")),HYPERLINK("#"&amp;RIGHT(CELL("adresse",OFFSET(DMAV_Modell!$N$6,D693-1,0)),LEN(CELL("adresse",OFFSET(DMAV_Modell!$N$6,D693-1,0)))-FIND("]",CELL("adresse",OFFSET(DMAV_Modell!$N$6,D693-1,0)))),"Substructure"))</f>
        <v/>
      </c>
      <c r="R693" s="80"/>
      <c r="T693" s="93"/>
      <c r="U693" s="94"/>
      <c r="V693" s="95"/>
      <c r="W693" s="96"/>
      <c r="Y693" s="85"/>
      <c r="Z693" s="86"/>
      <c r="AA693" s="87"/>
      <c r="AB693" s="88"/>
      <c r="AD693" s="77"/>
      <c r="AF693" s="54" t="str" cm="1">
        <f t="array" aca="1" ref="AF693" ca="1">IF(H693=0,"",HYPERLINK("#"&amp;RIGHT(CELL("adresse",OFFSET('DM01-AV-CH'!$G$6,H693-1,0)),LEN(CELL("adresse",OFFSET('DM01-AV-CH'!$G$6,H693-1,0)))-FIND("]",CELL("adresse",OFFSET('DM01-AV-CH'!$G$6,H693-1,0)))),"Modell"))</f>
        <v/>
      </c>
      <c r="AG693" s="72" t="str" cm="1">
        <f t="array" ref="AG693">IF($H693=0,"",IF(INDEX('DM01-AV-CH'!G$6:G$834,$H693)="","",INDEX('DM01-AV-CH'!G$6:G$834,$H693)))</f>
        <v/>
      </c>
      <c r="AH693" s="73" t="str" cm="1">
        <f t="array" ref="AH693">IF($H693=0,"",IF(INDEX('DM01-AV-CH'!H$6:H$834,$H693)="","",INDEX('DM01-AV-CH'!H$6:H$834,$H693)))</f>
        <v/>
      </c>
      <c r="AI693" s="74" t="str" cm="1">
        <f t="array" ref="AI693">IF($H693=0,"",IF(INDEX('DM01-AV-CH'!I$6:I$834,$H693)="","",INDEX('DM01-AV-CH'!I$6:I$834,$H693)))</f>
        <v/>
      </c>
    </row>
    <row r="694" spans="1:35" x14ac:dyDescent="0.25">
      <c r="A694" s="57">
        <v>689</v>
      </c>
      <c r="B694" s="57">
        <f>IF($A694="","",IF(_xlfn.XLOOKUP($A694,Korrelation!$D$4:$D$1197,Korrelation!E$4:E$1197,"-",0)="-",0,MATCH(_xlfn.XLOOKUP($A694,Korrelation!$D$4:$D$1197,Korrelation!E$4:E$1197,"",0),DMAV_Modell!$G$6:$G$677,0)))</f>
        <v>0</v>
      </c>
      <c r="C694" s="57">
        <f>IF($A694="","",IF(_xlfn.XLOOKUP($A694,Korrelation!$D$4:$D$1197,Korrelation!F$4:F$1197,"-",0)="-",0,MATCH(_xlfn.XLOOKUP($A694,Korrelation!$D$4:$D$1197,Korrelation!F$4:F$1197,"",0),DMAV_Modell!$G$6:$G$677,0)))</f>
        <v>0</v>
      </c>
      <c r="D694" s="57">
        <f>IF($A694="","",IF(_xlfn.XLOOKUP($A694,Korrelation!$D$4:$D$1197,Korrelation!G$4:G$1197,"-",0)="-",0,MATCH(_xlfn.XLOOKUP($A694,Korrelation!$D$4:$D$1197,Korrelation!G$4:G$1197,"",0),DMAV_Modell!$G$6:$G$677,0)))</f>
        <v>0</v>
      </c>
      <c r="E694" s="57">
        <f>IF($A694="","",IF(_xlfn.XLOOKUP($A694,Korrelation!$D$4:$D$1197,Korrelation!H$4:H$1197,"-",0)="-",0,MATCH(_xlfn.XLOOKUP($A694,Korrelation!$D$4:$D$1197,Korrelation!H$4:H$1197,"",0),DMAV_Dienste!$F$6:$F$140,0)))</f>
        <v>0</v>
      </c>
      <c r="F694" s="57">
        <f>IF($A694="","",IF(_xlfn.XLOOKUP($A694,Korrelation!$D$4:$D$1197,Korrelation!I$4:I$1197,"-",0)="-",0,MATCH(_xlfn.XLOOKUP($A694,Korrelation!$D$4:$D$1197,Korrelation!I$4:I$1197,"",0),DMAV_Dienste!$F$6:$F$140,0)))</f>
        <v>0</v>
      </c>
      <c r="G694" s="57">
        <f>IF($A694="","",IF(_xlfn.XLOOKUP($A694,Korrelation!$D$4:$D$1197,Korrelation!J$4:J$1197,"-",0)="-",0,MATCH(_xlfn.XLOOKUP($A694,Korrelation!$D$4:$D$1197,Korrelation!J$4:J$1197,"",0),DMAV_Dienste!$F$6:$F$140,0)))</f>
        <v>0</v>
      </c>
      <c r="H694" s="57">
        <f>IF($A694="","",IF(_xlfn.XLOOKUP($A694,Korrelation!$D$4:$D$1197,Korrelation!K$4:K$1197,"-",0)="-",0,MATCH(_xlfn.XLOOKUP($A694,Korrelation!$D$4:$D$1197,Korrelation!K$4:K$1197,"",0),'DM01-AV-CH'!$A$6:$A$834,0)))</f>
        <v>397</v>
      </c>
      <c r="J694" s="54" t="str" cm="1">
        <f t="array" aca="1" ref="J694" ca="1">IF(B694=0,IF(E694=0,"",HYPERLINK("#"&amp;RIGHT(CELL("adresse",OFFSET(DMAV_Dienste!$M$6,E694-1,0)),LEN(CELL("adresse",OFFSET(DMAV_Dienste!$M$6,E694-1,0)))-FIND("]",CELL("adresse",OFFSET(DMAV_Dienste!$M$6,E694-1,0)))),"Dienst")),HYPERLINK("#"&amp;RIGHT(CELL("adresse",OFFSET(DMAV_Modell!$N$6,B694-1,0)),LEN(CELL("adresse",OFFSET(DMAV_Modell!$N$6,B694-1,0)))-FIND("]",CELL("adresse",OFFSET(DMAV_Modell!$N$6,B694-1,0)))),"Modell"))</f>
        <v/>
      </c>
      <c r="K694" s="61" t="str" cm="1">
        <f t="array" ref="K694">IF($B694=0,IF($E694=0,"",IF(INDEX(DMAV_Dienste!P$6:P$140,$E694)="","",INDEX(DMAV_Dienste!P$6:P$140,$E694))),IF(INDEX(DMAV_Modell!Q$6:Q$838,$B694)="","",INDEX(DMAV_Modell!Q$6:Q$838,$B694)))</f>
        <v/>
      </c>
      <c r="L694" s="62" t="str" cm="1">
        <f t="array" ref="L694">IF($B694=0,IF($E694=0,"",IF(INDEX(DMAV_Dienste!O$6:O$140,$E694)="","",INDEX(DMAV_Dienste!O$6:O$140,$E694))),IF(INDEX(DMAV_Modell!P$6:P$838,$B694)="","",INDEX(DMAV_Modell!P$6:P$838,$B694)))</f>
        <v/>
      </c>
      <c r="M694" s="62" t="str" cm="1">
        <f t="array" ref="M694">IF($B694=0,IF($E694=0,"",IF(INDEX(DMAV_Dienste!Q$6:Q$140,$E694)="","",INDEX(DMAV_Dienste!Q$6:Q$140,$E694))),IF(INDEX(DMAV_Modell!R$6:R$838,$B694)="","",INDEX(DMAV_Modell!R$6:R$838,$B694)))</f>
        <v/>
      </c>
      <c r="N694" s="62" t="str" cm="1">
        <f t="array" ref="N694">IF($B694=0,IF($E694=0,"",IF(INDEX(DMAV_Dienste!T$6:T$140,$E694)="","",INDEX(DMAV_Dienste!T$6:T$140,$E694))),IF(INDEX(DMAV_Modell!U$6:U$838,$B694)="","",INDEX(DMAV_Modell!U$6:U$838,$B694)))</f>
        <v/>
      </c>
      <c r="O694" s="63" t="str" cm="1">
        <f t="array" aca="1" ref="O694" ca="1">IF(C694=0,IF(F694=0,"",HYPERLINK("#"&amp;RIGHT(CELL("adresse",OFFSET(DMAV_Dienste!$M$6,F694-1,0)),LEN(CELL("adresse",OFFSET(DMAV_Dienste!$M$6,F694-1,0)))-FIND("]",CELL("adresse",OFFSET(DMAV_Dienste!$M$6,F694-1,0)))),"Structure")),HYPERLINK("#"&amp;RIGHT(CELL("adresse",OFFSET(DMAV_Modell!$N$6,C694-1,0)),LEN(CELL("adresse",OFFSET(DMAV_Modell!$N$6,C694-1,0)))-FIND("]",CELL("adresse",OFFSET(DMAV_Modell!$N$6,C694-1,0)))),"Structure"))</f>
        <v/>
      </c>
      <c r="P694" s="64" t="str" cm="1">
        <f t="array" aca="1" ref="P694" ca="1">IF(D694=0,IF(G694=0,"",HYPERLINK("#"&amp;RIGHT(CELL("adresse",OFFSET(DMAV_Dienste!$M$6,G694-1,0)),LEN(CELL("adresse",OFFSET(DMAV_Dienste!$M$6,G694-1,0)))-FIND("]",CELL("adresse",OFFSET(DMAV_Dienste!$M$6,G694-1,0)))),"Substructure")),HYPERLINK("#"&amp;RIGHT(CELL("adresse",OFFSET(DMAV_Modell!$N$6,D694-1,0)),LEN(CELL("adresse",OFFSET(DMAV_Modell!$N$6,D694-1,0)))-FIND("]",CELL("adresse",OFFSET(DMAV_Modell!$N$6,D694-1,0)))),"Substructure"))</f>
        <v/>
      </c>
      <c r="R694" s="80"/>
      <c r="T694" s="93"/>
      <c r="U694" s="94"/>
      <c r="V694" s="95"/>
      <c r="W694" s="96"/>
      <c r="Y694" s="85"/>
      <c r="Z694" s="86"/>
      <c r="AA694" s="87"/>
      <c r="AB694" s="88"/>
      <c r="AD694" s="77"/>
      <c r="AF694" s="54" t="str" cm="1">
        <f t="array" aca="1" ref="AF694" ca="1">IF(H694=0,"",HYPERLINK("#"&amp;RIGHT(CELL("adresse",OFFSET('DM01-AV-CH'!$G$6,H694-1,0)),LEN(CELL("adresse",OFFSET('DM01-AV-CH'!$G$6,H694-1,0)))-FIND("]",CELL("adresse",OFFSET('DM01-AV-CH'!$G$6,H694-1,0)))),"Modell"))</f>
        <v>Modell</v>
      </c>
      <c r="AG694" s="72" t="str" cm="1">
        <f t="array" ref="AG694">IF($H694=0,"",IF(INDEX('DM01-AV-CH'!G$6:G$834,$H694)="","",INDEX('DM01-AV-CH'!G$6:G$834,$H694)))</f>
        <v>Nomenklatur</v>
      </c>
      <c r="AH694" s="73" t="str" cm="1">
        <f t="array" ref="AH694">IF($H694=0,"",IF(INDEX('DM01-AV-CH'!H$6:H$834,$H694)="","",INDEX('DM01-AV-CH'!H$6:H$834,$H694)))</f>
        <v>OrtsnamePos</v>
      </c>
      <c r="AI694" s="74" t="str" cm="1">
        <f t="array" ref="AI694">IF($H694=0,"",IF(INDEX('DM01-AV-CH'!I$6:I$834,$H694)="","",INDEX('DM01-AV-CH'!I$6:I$834,$H694)))</f>
        <v>OrtsnamePos_von</v>
      </c>
    </row>
    <row r="695" spans="1:35" ht="28.5" x14ac:dyDescent="0.25">
      <c r="A695" s="57">
        <v>690</v>
      </c>
      <c r="B695" s="57">
        <f>IF($A695="","",IF(_xlfn.XLOOKUP($A695,Korrelation!$D$4:$D$1197,Korrelation!E$4:E$1197,"-",0)="-",0,MATCH(_xlfn.XLOOKUP($A695,Korrelation!$D$4:$D$1197,Korrelation!E$4:E$1197,"",0),DMAV_Modell!$G$6:$G$677,0)))</f>
        <v>381</v>
      </c>
      <c r="C695" s="57">
        <f>IF($A695="","",IF(_xlfn.XLOOKUP($A695,Korrelation!$D$4:$D$1197,Korrelation!F$4:F$1197,"-",0)="-",0,MATCH(_xlfn.XLOOKUP($A695,Korrelation!$D$4:$D$1197,Korrelation!F$4:F$1197,"",0),DMAV_Modell!$G$6:$G$677,0)))</f>
        <v>26</v>
      </c>
      <c r="D695" s="57">
        <f>IF($A695="","",IF(_xlfn.XLOOKUP($A695,Korrelation!$D$4:$D$1197,Korrelation!G$4:G$1197,"-",0)="-",0,MATCH(_xlfn.XLOOKUP($A695,Korrelation!$D$4:$D$1197,Korrelation!G$4:G$1197,"",0),DMAV_Modell!$G$6:$G$677,0)))</f>
        <v>26</v>
      </c>
      <c r="E695" s="57">
        <f>IF($A695="","",IF(_xlfn.XLOOKUP($A695,Korrelation!$D$4:$D$1197,Korrelation!H$4:H$1197,"-",0)="-",0,MATCH(_xlfn.XLOOKUP($A695,Korrelation!$D$4:$D$1197,Korrelation!H$4:H$1197,"",0),DMAV_Dienste!$F$6:$F$140,0)))</f>
        <v>0</v>
      </c>
      <c r="F695" s="57">
        <f>IF($A695="","",IF(_xlfn.XLOOKUP($A695,Korrelation!$D$4:$D$1197,Korrelation!I$4:I$1197,"-",0)="-",0,MATCH(_xlfn.XLOOKUP($A695,Korrelation!$D$4:$D$1197,Korrelation!I$4:I$1197,"",0),DMAV_Dienste!$F$6:$F$140,0)))</f>
        <v>0</v>
      </c>
      <c r="G695" s="57">
        <f>IF($A695="","",IF(_xlfn.XLOOKUP($A695,Korrelation!$D$4:$D$1197,Korrelation!J$4:J$1197,"-",0)="-",0,MATCH(_xlfn.XLOOKUP($A695,Korrelation!$D$4:$D$1197,Korrelation!J$4:J$1197,"",0),DMAV_Dienste!$F$6:$F$140,0)))</f>
        <v>0</v>
      </c>
      <c r="H695" s="57">
        <f>IF($A695="","",IF(_xlfn.XLOOKUP($A695,Korrelation!$D$4:$D$1197,Korrelation!K$4:K$1197,"-",0)="-",0,MATCH(_xlfn.XLOOKUP($A695,Korrelation!$D$4:$D$1197,Korrelation!K$4:K$1197,"",0),'DM01-AV-CH'!$A$6:$A$834,0)))</f>
        <v>398</v>
      </c>
      <c r="J695" s="54" t="str" cm="1">
        <f t="array" aca="1" ref="J695" ca="1">IF(B695=0,IF(E695=0,"",HYPERLINK("#"&amp;RIGHT(CELL("adresse",OFFSET(DMAV_Dienste!$M$6,E695-1,0)),LEN(CELL("adresse",OFFSET(DMAV_Dienste!$M$6,E695-1,0)))-FIND("]",CELL("adresse",OFFSET(DMAV_Dienste!$M$6,E695-1,0)))),"Dienst")),HYPERLINK("#"&amp;RIGHT(CELL("adresse",OFFSET(DMAV_Modell!$N$6,B695-1,0)),LEN(CELL("adresse",OFFSET(DMAV_Modell!$N$6,B695-1,0)))-FIND("]",CELL("adresse",OFFSET(DMAV_Modell!$N$6,B695-1,0)))),"Modell"))</f>
        <v>Modell</v>
      </c>
      <c r="K695" s="61" t="str" cm="1">
        <f t="array" ref="K695">IF($B695=0,IF($E695=0,"",IF(INDEX(DMAV_Dienste!P$6:P$140,$E695)="","",INDEX(DMAV_Dienste!P$6:P$140,$E695))),IF(INDEX(DMAV_Modell!Q$6:Q$838,$B695)="","",INDEX(DMAV_Modell!Q$6:Q$838,$B695)))</f>
        <v>CLASS</v>
      </c>
      <c r="L695" s="62" t="str" cm="1">
        <f t="array" ref="L695">IF($B695=0,IF($E695=0,"",IF(INDEX(DMAV_Dienste!O$6:O$140,$E695)="","",INDEX(DMAV_Dienste!O$6:O$140,$E695))),IF(INDEX(DMAV_Modell!P$6:P$838,$B695)="","",INDEX(DMAV_Modell!P$6:P$838,$B695)))</f>
        <v>Nomenklatur</v>
      </c>
      <c r="M695" s="62" t="str" cm="1">
        <f t="array" ref="M695">IF($B695=0,IF($E695=0,"",IF(INDEX(DMAV_Dienste!Q$6:Q$140,$E695)="","",INDEX(DMAV_Dienste!Q$6:Q$140,$E695))),IF(INDEX(DMAV_Modell!R$6:R$838,$B695)="","",INDEX(DMAV_Modell!R$6:R$838,$B695)))</f>
        <v>Ortsname</v>
      </c>
      <c r="N695" s="62" t="str" cm="1">
        <f t="array" ref="N695">IF($B695=0,IF($E695=0,"",IF(INDEX(DMAV_Dienste!T$6:T$140,$E695)="","",INDEX(DMAV_Dienste!T$6:T$140,$E695))),IF(INDEX(DMAV_Modell!U$6:U$838,$B695)="","",INDEX(DMAV_Modell!U$6:U$838,$B695)))</f>
        <v>Textposition</v>
      </c>
      <c r="O695" s="63" t="str" cm="1">
        <f t="array" aca="1" ref="O695" ca="1">IF(C695=0,IF(F695=0,"",HYPERLINK("#"&amp;RIGHT(CELL("adresse",OFFSET(DMAV_Dienste!$M$6,F695-1,0)),LEN(CELL("adresse",OFFSET(DMAV_Dienste!$M$6,F695-1,0)))-FIND("]",CELL("adresse",OFFSET(DMAV_Dienste!$M$6,F695-1,0)))),"Structure")),HYPERLINK("#"&amp;RIGHT(CELL("adresse",OFFSET(DMAV_Modell!$N$6,C695-1,0)),LEN(CELL("adresse",OFFSET(DMAV_Modell!$N$6,C695-1,0)))-FIND("]",CELL("adresse",OFFSET(DMAV_Modell!$N$6,C695-1,0)))),"Structure"))</f>
        <v>Structure</v>
      </c>
      <c r="P695" s="64" t="str" cm="1">
        <f t="array" aca="1" ref="P695" ca="1">IF(D695=0,IF(G695=0,"",HYPERLINK("#"&amp;RIGHT(CELL("adresse",OFFSET(DMAV_Dienste!$M$6,G695-1,0)),LEN(CELL("adresse",OFFSET(DMAV_Dienste!$M$6,G695-1,0)))-FIND("]",CELL("adresse",OFFSET(DMAV_Dienste!$M$6,G695-1,0)))),"Substructure")),HYPERLINK("#"&amp;RIGHT(CELL("adresse",OFFSET(DMAV_Modell!$N$6,D695-1,0)),LEN(CELL("adresse",OFFSET(DMAV_Modell!$N$6,D695-1,0)))-FIND("]",CELL("adresse",OFFSET(DMAV_Modell!$N$6,D695-1,0)))),"Substructure"))</f>
        <v>Substructure</v>
      </c>
      <c r="R695" s="80"/>
      <c r="T695" s="93"/>
      <c r="U695" s="94" t="s">
        <v>2980</v>
      </c>
      <c r="V695" s="95" t="s">
        <v>3156</v>
      </c>
      <c r="W695" s="96"/>
      <c r="Y695" s="85"/>
      <c r="Z695" s="86" t="s">
        <v>2980</v>
      </c>
      <c r="AA695" s="87" t="s">
        <v>3039</v>
      </c>
      <c r="AB695" s="88"/>
      <c r="AD695" s="77"/>
      <c r="AF695" s="54" t="str" cm="1">
        <f t="array" aca="1" ref="AF695" ca="1">IF(H695=0,"",HYPERLINK("#"&amp;RIGHT(CELL("adresse",OFFSET('DM01-AV-CH'!$G$6,H695-1,0)),LEN(CELL("adresse",OFFSET('DM01-AV-CH'!$G$6,H695-1,0)))-FIND("]",CELL("adresse",OFFSET('DM01-AV-CH'!$G$6,H695-1,0)))),"Modell"))</f>
        <v>Modell</v>
      </c>
      <c r="AG695" s="72" t="str" cm="1">
        <f t="array" ref="AG695">IF($H695=0,"",IF(INDEX('DM01-AV-CH'!G$6:G$834,$H695)="","",INDEX('DM01-AV-CH'!G$6:G$834,$H695)))</f>
        <v>Nomenklatur</v>
      </c>
      <c r="AH695" s="73" t="str" cm="1">
        <f t="array" ref="AH695">IF($H695=0,"",IF(INDEX('DM01-AV-CH'!H$6:H$834,$H695)="","",INDEX('DM01-AV-CH'!H$6:H$834,$H695)))</f>
        <v>OrtsnamePos</v>
      </c>
      <c r="AI695" s="74" t="str" cm="1">
        <f t="array" ref="AI695">IF($H695=0,"",IF(INDEX('DM01-AV-CH'!I$6:I$834,$H695)="","",INDEX('DM01-AV-CH'!I$6:I$834,$H695)))</f>
        <v>Pos</v>
      </c>
    </row>
    <row r="696" spans="1:35" ht="28.5" x14ac:dyDescent="0.25">
      <c r="A696" s="57">
        <v>691</v>
      </c>
      <c r="B696" s="57">
        <f>IF($A696="","",IF(_xlfn.XLOOKUP($A696,Korrelation!$D$4:$D$1197,Korrelation!E$4:E$1197,"-",0)="-",0,MATCH(_xlfn.XLOOKUP($A696,Korrelation!$D$4:$D$1197,Korrelation!E$4:E$1197,"",0),DMAV_Modell!$G$6:$G$677,0)))</f>
        <v>381</v>
      </c>
      <c r="C696" s="57">
        <f>IF($A696="","",IF(_xlfn.XLOOKUP($A696,Korrelation!$D$4:$D$1197,Korrelation!F$4:F$1197,"-",0)="-",0,MATCH(_xlfn.XLOOKUP($A696,Korrelation!$D$4:$D$1197,Korrelation!F$4:F$1197,"",0),DMAV_Modell!$G$6:$G$677,0)))</f>
        <v>26</v>
      </c>
      <c r="D696" s="57">
        <f>IF($A696="","",IF(_xlfn.XLOOKUP($A696,Korrelation!$D$4:$D$1197,Korrelation!G$4:G$1197,"-",0)="-",0,MATCH(_xlfn.XLOOKUP($A696,Korrelation!$D$4:$D$1197,Korrelation!G$4:G$1197,"",0),DMAV_Modell!$G$6:$G$677,0)))</f>
        <v>27</v>
      </c>
      <c r="E696" s="57">
        <f>IF($A696="","",IF(_xlfn.XLOOKUP($A696,Korrelation!$D$4:$D$1197,Korrelation!H$4:H$1197,"-",0)="-",0,MATCH(_xlfn.XLOOKUP($A696,Korrelation!$D$4:$D$1197,Korrelation!H$4:H$1197,"",0),DMAV_Dienste!$F$6:$F$140,0)))</f>
        <v>0</v>
      </c>
      <c r="F696" s="57">
        <f>IF($A696="","",IF(_xlfn.XLOOKUP($A696,Korrelation!$D$4:$D$1197,Korrelation!I$4:I$1197,"-",0)="-",0,MATCH(_xlfn.XLOOKUP($A696,Korrelation!$D$4:$D$1197,Korrelation!I$4:I$1197,"",0),DMAV_Dienste!$F$6:$F$140,0)))</f>
        <v>0</v>
      </c>
      <c r="G696" s="57">
        <f>IF($A696="","",IF(_xlfn.XLOOKUP($A696,Korrelation!$D$4:$D$1197,Korrelation!J$4:J$1197,"-",0)="-",0,MATCH(_xlfn.XLOOKUP($A696,Korrelation!$D$4:$D$1197,Korrelation!J$4:J$1197,"",0),DMAV_Dienste!$F$6:$F$140,0)))</f>
        <v>0</v>
      </c>
      <c r="H696" s="57">
        <f>IF($A696="","",IF(_xlfn.XLOOKUP($A696,Korrelation!$D$4:$D$1197,Korrelation!K$4:K$1197,"-",0)="-",0,MATCH(_xlfn.XLOOKUP($A696,Korrelation!$D$4:$D$1197,Korrelation!K$4:K$1197,"",0),'DM01-AV-CH'!$A$6:$A$834,0)))</f>
        <v>399</v>
      </c>
      <c r="J696" s="54" t="str" cm="1">
        <f t="array" aca="1" ref="J696" ca="1">IF(B696=0,IF(E696=0,"",HYPERLINK("#"&amp;RIGHT(CELL("adresse",OFFSET(DMAV_Dienste!$M$6,E696-1,0)),LEN(CELL("adresse",OFFSET(DMAV_Dienste!$M$6,E696-1,0)))-FIND("]",CELL("adresse",OFFSET(DMAV_Dienste!$M$6,E696-1,0)))),"Dienst")),HYPERLINK("#"&amp;RIGHT(CELL("adresse",OFFSET(DMAV_Modell!$N$6,B696-1,0)),LEN(CELL("adresse",OFFSET(DMAV_Modell!$N$6,B696-1,0)))-FIND("]",CELL("adresse",OFFSET(DMAV_Modell!$N$6,B696-1,0)))),"Modell"))</f>
        <v>Modell</v>
      </c>
      <c r="K696" s="61" t="str" cm="1">
        <f t="array" ref="K696">IF($B696=0,IF($E696=0,"",IF(INDEX(DMAV_Dienste!P$6:P$140,$E696)="","",INDEX(DMAV_Dienste!P$6:P$140,$E696))),IF(INDEX(DMAV_Modell!Q$6:Q$838,$B696)="","",INDEX(DMAV_Modell!Q$6:Q$838,$B696)))</f>
        <v>CLASS</v>
      </c>
      <c r="L696" s="62" t="str" cm="1">
        <f t="array" ref="L696">IF($B696=0,IF($E696=0,"",IF(INDEX(DMAV_Dienste!O$6:O$140,$E696)="","",INDEX(DMAV_Dienste!O$6:O$140,$E696))),IF(INDEX(DMAV_Modell!P$6:P$838,$B696)="","",INDEX(DMAV_Modell!P$6:P$838,$B696)))</f>
        <v>Nomenklatur</v>
      </c>
      <c r="M696" s="62" t="str" cm="1">
        <f t="array" ref="M696">IF($B696=0,IF($E696=0,"",IF(INDEX(DMAV_Dienste!Q$6:Q$140,$E696)="","",INDEX(DMAV_Dienste!Q$6:Q$140,$E696))),IF(INDEX(DMAV_Modell!R$6:R$838,$B696)="","",INDEX(DMAV_Modell!R$6:R$838,$B696)))</f>
        <v>Ortsname</v>
      </c>
      <c r="N696" s="62" t="str" cm="1">
        <f t="array" ref="N696">IF($B696=0,IF($E696=0,"",IF(INDEX(DMAV_Dienste!T$6:T$140,$E696)="","",INDEX(DMAV_Dienste!T$6:T$140,$E696))),IF(INDEX(DMAV_Modell!U$6:U$838,$B696)="","",INDEX(DMAV_Modell!U$6:U$838,$B696)))</f>
        <v>Textposition</v>
      </c>
      <c r="O696" s="63" t="str" cm="1">
        <f t="array" aca="1" ref="O696" ca="1">IF(C696=0,IF(F696=0,"",HYPERLINK("#"&amp;RIGHT(CELL("adresse",OFFSET(DMAV_Dienste!$M$6,F696-1,0)),LEN(CELL("adresse",OFFSET(DMAV_Dienste!$M$6,F696-1,0)))-FIND("]",CELL("adresse",OFFSET(DMAV_Dienste!$M$6,F696-1,0)))),"Structure")),HYPERLINK("#"&amp;RIGHT(CELL("adresse",OFFSET(DMAV_Modell!$N$6,C696-1,0)),LEN(CELL("adresse",OFFSET(DMAV_Modell!$N$6,C696-1,0)))-FIND("]",CELL("adresse",OFFSET(DMAV_Modell!$N$6,C696-1,0)))),"Structure"))</f>
        <v>Structure</v>
      </c>
      <c r="P696" s="64" t="str" cm="1">
        <f t="array" aca="1" ref="P696" ca="1">IF(D696=0,IF(G696=0,"",HYPERLINK("#"&amp;RIGHT(CELL("adresse",OFFSET(DMAV_Dienste!$M$6,G696-1,0)),LEN(CELL("adresse",OFFSET(DMAV_Dienste!$M$6,G696-1,0)))-FIND("]",CELL("adresse",OFFSET(DMAV_Dienste!$M$6,G696-1,0)))),"Substructure")),HYPERLINK("#"&amp;RIGHT(CELL("adresse",OFFSET(DMAV_Modell!$N$6,D696-1,0)),LEN(CELL("adresse",OFFSET(DMAV_Modell!$N$6,D696-1,0)))-FIND("]",CELL("adresse",OFFSET(DMAV_Modell!$N$6,D696-1,0)))),"Substructure"))</f>
        <v>Substructure</v>
      </c>
      <c r="R696" s="80"/>
      <c r="T696" s="93"/>
      <c r="U696" s="94" t="s">
        <v>2980</v>
      </c>
      <c r="V696" s="95" t="s">
        <v>3157</v>
      </c>
      <c r="W696" s="96"/>
      <c r="Y696" s="85"/>
      <c r="Z696" s="86" t="s">
        <v>2980</v>
      </c>
      <c r="AA696" s="87" t="s">
        <v>3040</v>
      </c>
      <c r="AB696" s="88"/>
      <c r="AD696" s="77"/>
      <c r="AF696" s="54" t="str" cm="1">
        <f t="array" aca="1" ref="AF696" ca="1">IF(H696=0,"",HYPERLINK("#"&amp;RIGHT(CELL("adresse",OFFSET('DM01-AV-CH'!$G$6,H696-1,0)),LEN(CELL("adresse",OFFSET('DM01-AV-CH'!$G$6,H696-1,0)))-FIND("]",CELL("adresse",OFFSET('DM01-AV-CH'!$G$6,H696-1,0)))),"Modell"))</f>
        <v>Modell</v>
      </c>
      <c r="AG696" s="72" t="str" cm="1">
        <f t="array" ref="AG696">IF($H696=0,"",IF(INDEX('DM01-AV-CH'!G$6:G$834,$H696)="","",INDEX('DM01-AV-CH'!G$6:G$834,$H696)))</f>
        <v>Nomenklatur</v>
      </c>
      <c r="AH696" s="73" t="str" cm="1">
        <f t="array" ref="AH696">IF($H696=0,"",IF(INDEX('DM01-AV-CH'!H$6:H$834,$H696)="","",INDEX('DM01-AV-CH'!H$6:H$834,$H696)))</f>
        <v>OrtsnamePos</v>
      </c>
      <c r="AI696" s="74" t="str" cm="1">
        <f t="array" ref="AI696">IF($H696=0,"",IF(INDEX('DM01-AV-CH'!I$6:I$834,$H696)="","",INDEX('DM01-AV-CH'!I$6:I$834,$H696)))</f>
        <v>Ori</v>
      </c>
    </row>
    <row r="697" spans="1:35" ht="28.5" x14ac:dyDescent="0.25">
      <c r="A697" s="57">
        <v>692</v>
      </c>
      <c r="B697" s="57">
        <f>IF($A697="","",IF(_xlfn.XLOOKUP($A697,Korrelation!$D$4:$D$1197,Korrelation!E$4:E$1197,"-",0)="-",0,MATCH(_xlfn.XLOOKUP($A697,Korrelation!$D$4:$D$1197,Korrelation!E$4:E$1197,"",0),DMAV_Modell!$G$6:$G$677,0)))</f>
        <v>381</v>
      </c>
      <c r="C697" s="57">
        <f>IF($A697="","",IF(_xlfn.XLOOKUP($A697,Korrelation!$D$4:$D$1197,Korrelation!F$4:F$1197,"-",0)="-",0,MATCH(_xlfn.XLOOKUP($A697,Korrelation!$D$4:$D$1197,Korrelation!F$4:F$1197,"",0),DMAV_Modell!$G$6:$G$677,0)))</f>
        <v>26</v>
      </c>
      <c r="D697" s="57">
        <f>IF($A697="","",IF(_xlfn.XLOOKUP($A697,Korrelation!$D$4:$D$1197,Korrelation!G$4:G$1197,"-",0)="-",0,MATCH(_xlfn.XLOOKUP($A697,Korrelation!$D$4:$D$1197,Korrelation!G$4:G$1197,"",0),DMAV_Modell!$G$6:$G$677,0)))</f>
        <v>30</v>
      </c>
      <c r="E697" s="57">
        <f>IF($A697="","",IF(_xlfn.XLOOKUP($A697,Korrelation!$D$4:$D$1197,Korrelation!H$4:H$1197,"-",0)="-",0,MATCH(_xlfn.XLOOKUP($A697,Korrelation!$D$4:$D$1197,Korrelation!H$4:H$1197,"",0),DMAV_Dienste!$F$6:$F$140,0)))</f>
        <v>0</v>
      </c>
      <c r="F697" s="57">
        <f>IF($A697="","",IF(_xlfn.XLOOKUP($A697,Korrelation!$D$4:$D$1197,Korrelation!I$4:I$1197,"-",0)="-",0,MATCH(_xlfn.XLOOKUP($A697,Korrelation!$D$4:$D$1197,Korrelation!I$4:I$1197,"",0),DMAV_Dienste!$F$6:$F$140,0)))</f>
        <v>0</v>
      </c>
      <c r="G697" s="57">
        <f>IF($A697="","",IF(_xlfn.XLOOKUP($A697,Korrelation!$D$4:$D$1197,Korrelation!J$4:J$1197,"-",0)="-",0,MATCH(_xlfn.XLOOKUP($A697,Korrelation!$D$4:$D$1197,Korrelation!J$4:J$1197,"",0),DMAV_Dienste!$F$6:$F$140,0)))</f>
        <v>0</v>
      </c>
      <c r="H697" s="57">
        <f>IF($A697="","",IF(_xlfn.XLOOKUP($A697,Korrelation!$D$4:$D$1197,Korrelation!K$4:K$1197,"-",0)="-",0,MATCH(_xlfn.XLOOKUP($A697,Korrelation!$D$4:$D$1197,Korrelation!K$4:K$1197,"",0),'DM01-AV-CH'!$A$6:$A$834,0)))</f>
        <v>400</v>
      </c>
      <c r="J697" s="54" t="str" cm="1">
        <f t="array" aca="1" ref="J697" ca="1">IF(B697=0,IF(E697=0,"",HYPERLINK("#"&amp;RIGHT(CELL("adresse",OFFSET(DMAV_Dienste!$M$6,E697-1,0)),LEN(CELL("adresse",OFFSET(DMAV_Dienste!$M$6,E697-1,0)))-FIND("]",CELL("adresse",OFFSET(DMAV_Dienste!$M$6,E697-1,0)))),"Dienst")),HYPERLINK("#"&amp;RIGHT(CELL("adresse",OFFSET(DMAV_Modell!$N$6,B697-1,0)),LEN(CELL("adresse",OFFSET(DMAV_Modell!$N$6,B697-1,0)))-FIND("]",CELL("adresse",OFFSET(DMAV_Modell!$N$6,B697-1,0)))),"Modell"))</f>
        <v>Modell</v>
      </c>
      <c r="K697" s="61" t="str" cm="1">
        <f t="array" ref="K697">IF($B697=0,IF($E697=0,"",IF(INDEX(DMAV_Dienste!P$6:P$140,$E697)="","",INDEX(DMAV_Dienste!P$6:P$140,$E697))),IF(INDEX(DMAV_Modell!Q$6:Q$838,$B697)="","",INDEX(DMAV_Modell!Q$6:Q$838,$B697)))</f>
        <v>CLASS</v>
      </c>
      <c r="L697" s="62" t="str" cm="1">
        <f t="array" ref="L697">IF($B697=0,IF($E697=0,"",IF(INDEX(DMAV_Dienste!O$6:O$140,$E697)="","",INDEX(DMAV_Dienste!O$6:O$140,$E697))),IF(INDEX(DMAV_Modell!P$6:P$838,$B697)="","",INDEX(DMAV_Modell!P$6:P$838,$B697)))</f>
        <v>Nomenklatur</v>
      </c>
      <c r="M697" s="62" t="str" cm="1">
        <f t="array" ref="M697">IF($B697=0,IF($E697=0,"",IF(INDEX(DMAV_Dienste!Q$6:Q$140,$E697)="","",INDEX(DMAV_Dienste!Q$6:Q$140,$E697))),IF(INDEX(DMAV_Modell!R$6:R$838,$B697)="","",INDEX(DMAV_Modell!R$6:R$838,$B697)))</f>
        <v>Ortsname</v>
      </c>
      <c r="N697" s="62" t="str" cm="1">
        <f t="array" ref="N697">IF($B697=0,IF($E697=0,"",IF(INDEX(DMAV_Dienste!T$6:T$140,$E697)="","",INDEX(DMAV_Dienste!T$6:T$140,$E697))),IF(INDEX(DMAV_Modell!U$6:U$838,$B697)="","",INDEX(DMAV_Modell!U$6:U$838,$B697)))</f>
        <v>Textposition</v>
      </c>
      <c r="O697" s="63" t="str" cm="1">
        <f t="array" aca="1" ref="O697" ca="1">IF(C697=0,IF(F697=0,"",HYPERLINK("#"&amp;RIGHT(CELL("adresse",OFFSET(DMAV_Dienste!$M$6,F697-1,0)),LEN(CELL("adresse",OFFSET(DMAV_Dienste!$M$6,F697-1,0)))-FIND("]",CELL("adresse",OFFSET(DMAV_Dienste!$M$6,F697-1,0)))),"Structure")),HYPERLINK("#"&amp;RIGHT(CELL("adresse",OFFSET(DMAV_Modell!$N$6,C697-1,0)),LEN(CELL("adresse",OFFSET(DMAV_Modell!$N$6,C697-1,0)))-FIND("]",CELL("adresse",OFFSET(DMAV_Modell!$N$6,C697-1,0)))),"Structure"))</f>
        <v>Structure</v>
      </c>
      <c r="P697" s="64" t="str" cm="1">
        <f t="array" aca="1" ref="P697" ca="1">IF(D697=0,IF(G697=0,"",HYPERLINK("#"&amp;RIGHT(CELL("adresse",OFFSET(DMAV_Dienste!$M$6,G697-1,0)),LEN(CELL("adresse",OFFSET(DMAV_Dienste!$M$6,G697-1,0)))-FIND("]",CELL("adresse",OFFSET(DMAV_Dienste!$M$6,G697-1,0)))),"Substructure")),HYPERLINK("#"&amp;RIGHT(CELL("adresse",OFFSET(DMAV_Modell!$N$6,D697-1,0)),LEN(CELL("adresse",OFFSET(DMAV_Modell!$N$6,D697-1,0)))-FIND("]",CELL("adresse",OFFSET(DMAV_Modell!$N$6,D697-1,0)))),"Substructure"))</f>
        <v>Substructure</v>
      </c>
      <c r="R697" s="80"/>
      <c r="T697" s="93"/>
      <c r="U697" s="94" t="s">
        <v>2980</v>
      </c>
      <c r="V697" s="95" t="s">
        <v>3158</v>
      </c>
      <c r="W697" s="96"/>
      <c r="Y697" s="85"/>
      <c r="Z697" s="86" t="s">
        <v>2980</v>
      </c>
      <c r="AA697" s="87" t="s">
        <v>3041</v>
      </c>
      <c r="AB697" s="88"/>
      <c r="AD697" s="77"/>
      <c r="AF697" s="54" t="str" cm="1">
        <f t="array" aca="1" ref="AF697" ca="1">IF(H697=0,"",HYPERLINK("#"&amp;RIGHT(CELL("adresse",OFFSET('DM01-AV-CH'!$G$6,H697-1,0)),LEN(CELL("adresse",OFFSET('DM01-AV-CH'!$G$6,H697-1,0)))-FIND("]",CELL("adresse",OFFSET('DM01-AV-CH'!$G$6,H697-1,0)))),"Modell"))</f>
        <v>Modell</v>
      </c>
      <c r="AG697" s="72" t="str" cm="1">
        <f t="array" ref="AG697">IF($H697=0,"",IF(INDEX('DM01-AV-CH'!G$6:G$834,$H697)="","",INDEX('DM01-AV-CH'!G$6:G$834,$H697)))</f>
        <v>Nomenklatur</v>
      </c>
      <c r="AH697" s="73" t="str" cm="1">
        <f t="array" ref="AH697">IF($H697=0,"",IF(INDEX('DM01-AV-CH'!H$6:H$834,$H697)="","",INDEX('DM01-AV-CH'!H$6:H$834,$H697)))</f>
        <v>OrtsnamePos</v>
      </c>
      <c r="AI697" s="74" t="str" cm="1">
        <f t="array" ref="AI697">IF($H697=0,"",IF(INDEX('DM01-AV-CH'!I$6:I$834,$H697)="","",INDEX('DM01-AV-CH'!I$6:I$834,$H697)))</f>
        <v>HAli</v>
      </c>
    </row>
    <row r="698" spans="1:35" ht="28.5" x14ac:dyDescent="0.25">
      <c r="A698" s="57">
        <v>693</v>
      </c>
      <c r="B698" s="57">
        <f>IF($A698="","",IF(_xlfn.XLOOKUP($A698,Korrelation!$D$4:$D$1197,Korrelation!E$4:E$1197,"-",0)="-",0,MATCH(_xlfn.XLOOKUP($A698,Korrelation!$D$4:$D$1197,Korrelation!E$4:E$1197,"",0),DMAV_Modell!$G$6:$G$677,0)))</f>
        <v>381</v>
      </c>
      <c r="C698" s="57">
        <f>IF($A698="","",IF(_xlfn.XLOOKUP($A698,Korrelation!$D$4:$D$1197,Korrelation!F$4:F$1197,"-",0)="-",0,MATCH(_xlfn.XLOOKUP($A698,Korrelation!$D$4:$D$1197,Korrelation!F$4:F$1197,"",0),DMAV_Modell!$G$6:$G$677,0)))</f>
        <v>26</v>
      </c>
      <c r="D698" s="57">
        <f>IF($A698="","",IF(_xlfn.XLOOKUP($A698,Korrelation!$D$4:$D$1197,Korrelation!G$4:G$1197,"-",0)="-",0,MATCH(_xlfn.XLOOKUP($A698,Korrelation!$D$4:$D$1197,Korrelation!G$4:G$1197,"",0),DMAV_Modell!$G$6:$G$677,0)))</f>
        <v>31</v>
      </c>
      <c r="E698" s="57">
        <f>IF($A698="","",IF(_xlfn.XLOOKUP($A698,Korrelation!$D$4:$D$1197,Korrelation!H$4:H$1197,"-",0)="-",0,MATCH(_xlfn.XLOOKUP($A698,Korrelation!$D$4:$D$1197,Korrelation!H$4:H$1197,"",0),DMAV_Dienste!$F$6:$F$140,0)))</f>
        <v>0</v>
      </c>
      <c r="F698" s="57">
        <f>IF($A698="","",IF(_xlfn.XLOOKUP($A698,Korrelation!$D$4:$D$1197,Korrelation!I$4:I$1197,"-",0)="-",0,MATCH(_xlfn.XLOOKUP($A698,Korrelation!$D$4:$D$1197,Korrelation!I$4:I$1197,"",0),DMAV_Dienste!$F$6:$F$140,0)))</f>
        <v>0</v>
      </c>
      <c r="G698" s="57">
        <f>IF($A698="","",IF(_xlfn.XLOOKUP($A698,Korrelation!$D$4:$D$1197,Korrelation!J$4:J$1197,"-",0)="-",0,MATCH(_xlfn.XLOOKUP($A698,Korrelation!$D$4:$D$1197,Korrelation!J$4:J$1197,"",0),DMAV_Dienste!$F$6:$F$140,0)))</f>
        <v>0</v>
      </c>
      <c r="H698" s="57">
        <f>IF($A698="","",IF(_xlfn.XLOOKUP($A698,Korrelation!$D$4:$D$1197,Korrelation!K$4:K$1197,"-",0)="-",0,MATCH(_xlfn.XLOOKUP($A698,Korrelation!$D$4:$D$1197,Korrelation!K$4:K$1197,"",0),'DM01-AV-CH'!$A$6:$A$834,0)))</f>
        <v>401</v>
      </c>
      <c r="J698" s="54" t="str" cm="1">
        <f t="array" aca="1" ref="J698" ca="1">IF(B698=0,IF(E698=0,"",HYPERLINK("#"&amp;RIGHT(CELL("adresse",OFFSET(DMAV_Dienste!$M$6,E698-1,0)),LEN(CELL("adresse",OFFSET(DMAV_Dienste!$M$6,E698-1,0)))-FIND("]",CELL("adresse",OFFSET(DMAV_Dienste!$M$6,E698-1,0)))),"Dienst")),HYPERLINK("#"&amp;RIGHT(CELL("adresse",OFFSET(DMAV_Modell!$N$6,B698-1,0)),LEN(CELL("adresse",OFFSET(DMAV_Modell!$N$6,B698-1,0)))-FIND("]",CELL("adresse",OFFSET(DMAV_Modell!$N$6,B698-1,0)))),"Modell"))</f>
        <v>Modell</v>
      </c>
      <c r="K698" s="61" t="str" cm="1">
        <f t="array" ref="K698">IF($B698=0,IF($E698=0,"",IF(INDEX(DMAV_Dienste!P$6:P$140,$E698)="","",INDEX(DMAV_Dienste!P$6:P$140,$E698))),IF(INDEX(DMAV_Modell!Q$6:Q$838,$B698)="","",INDEX(DMAV_Modell!Q$6:Q$838,$B698)))</f>
        <v>CLASS</v>
      </c>
      <c r="L698" s="62" t="str" cm="1">
        <f t="array" ref="L698">IF($B698=0,IF($E698=0,"",IF(INDEX(DMAV_Dienste!O$6:O$140,$E698)="","",INDEX(DMAV_Dienste!O$6:O$140,$E698))),IF(INDEX(DMAV_Modell!P$6:P$838,$B698)="","",INDEX(DMAV_Modell!P$6:P$838,$B698)))</f>
        <v>Nomenklatur</v>
      </c>
      <c r="M698" s="62" t="str" cm="1">
        <f t="array" ref="M698">IF($B698=0,IF($E698=0,"",IF(INDEX(DMAV_Dienste!Q$6:Q$140,$E698)="","",INDEX(DMAV_Dienste!Q$6:Q$140,$E698))),IF(INDEX(DMAV_Modell!R$6:R$838,$B698)="","",INDEX(DMAV_Modell!R$6:R$838,$B698)))</f>
        <v>Ortsname</v>
      </c>
      <c r="N698" s="62" t="str" cm="1">
        <f t="array" ref="N698">IF($B698=0,IF($E698=0,"",IF(INDEX(DMAV_Dienste!T$6:T$140,$E698)="","",INDEX(DMAV_Dienste!T$6:T$140,$E698))),IF(INDEX(DMAV_Modell!U$6:U$838,$B698)="","",INDEX(DMAV_Modell!U$6:U$838,$B698)))</f>
        <v>Textposition</v>
      </c>
      <c r="O698" s="63" t="str" cm="1">
        <f t="array" aca="1" ref="O698" ca="1">IF(C698=0,IF(F698=0,"",HYPERLINK("#"&amp;RIGHT(CELL("adresse",OFFSET(DMAV_Dienste!$M$6,F698-1,0)),LEN(CELL("adresse",OFFSET(DMAV_Dienste!$M$6,F698-1,0)))-FIND("]",CELL("adresse",OFFSET(DMAV_Dienste!$M$6,F698-1,0)))),"Structure")),HYPERLINK("#"&amp;RIGHT(CELL("adresse",OFFSET(DMAV_Modell!$N$6,C698-1,0)),LEN(CELL("adresse",OFFSET(DMAV_Modell!$N$6,C698-1,0)))-FIND("]",CELL("adresse",OFFSET(DMAV_Modell!$N$6,C698-1,0)))),"Structure"))</f>
        <v>Structure</v>
      </c>
      <c r="P698" s="64" t="str" cm="1">
        <f t="array" aca="1" ref="P698" ca="1">IF(D698=0,IF(G698=0,"",HYPERLINK("#"&amp;RIGHT(CELL("adresse",OFFSET(DMAV_Dienste!$M$6,G698-1,0)),LEN(CELL("adresse",OFFSET(DMAV_Dienste!$M$6,G698-1,0)))-FIND("]",CELL("adresse",OFFSET(DMAV_Dienste!$M$6,G698-1,0)))),"Substructure")),HYPERLINK("#"&amp;RIGHT(CELL("adresse",OFFSET(DMAV_Modell!$N$6,D698-1,0)),LEN(CELL("adresse",OFFSET(DMAV_Modell!$N$6,D698-1,0)))-FIND("]",CELL("adresse",OFFSET(DMAV_Modell!$N$6,D698-1,0)))),"Substructure"))</f>
        <v>Substructure</v>
      </c>
      <c r="R698" s="80"/>
      <c r="T698" s="93"/>
      <c r="U698" s="94" t="s">
        <v>2980</v>
      </c>
      <c r="V698" s="95" t="s">
        <v>3159</v>
      </c>
      <c r="W698" s="96"/>
      <c r="Y698" s="85"/>
      <c r="Z698" s="86" t="s">
        <v>2980</v>
      </c>
      <c r="AA698" s="87" t="s">
        <v>3042</v>
      </c>
      <c r="AB698" s="88"/>
      <c r="AD698" s="77"/>
      <c r="AF698" s="54" t="str" cm="1">
        <f t="array" aca="1" ref="AF698" ca="1">IF(H698=0,"",HYPERLINK("#"&amp;RIGHT(CELL("adresse",OFFSET('DM01-AV-CH'!$G$6,H698-1,0)),LEN(CELL("adresse",OFFSET('DM01-AV-CH'!$G$6,H698-1,0)))-FIND("]",CELL("adresse",OFFSET('DM01-AV-CH'!$G$6,H698-1,0)))),"Modell"))</f>
        <v>Modell</v>
      </c>
      <c r="AG698" s="72" t="str" cm="1">
        <f t="array" ref="AG698">IF($H698=0,"",IF(INDEX('DM01-AV-CH'!G$6:G$834,$H698)="","",INDEX('DM01-AV-CH'!G$6:G$834,$H698)))</f>
        <v>Nomenklatur</v>
      </c>
      <c r="AH698" s="73" t="str" cm="1">
        <f t="array" ref="AH698">IF($H698=0,"",IF(INDEX('DM01-AV-CH'!H$6:H$834,$H698)="","",INDEX('DM01-AV-CH'!H$6:H$834,$H698)))</f>
        <v>OrtsnamePos</v>
      </c>
      <c r="AI698" s="74" t="str" cm="1">
        <f t="array" ref="AI698">IF($H698=0,"",IF(INDEX('DM01-AV-CH'!I$6:I$834,$H698)="","",INDEX('DM01-AV-CH'!I$6:I$834,$H698)))</f>
        <v>VAli</v>
      </c>
    </row>
    <row r="699" spans="1:35" ht="28.5" x14ac:dyDescent="0.25">
      <c r="A699" s="57">
        <v>694</v>
      </c>
      <c r="B699" s="57">
        <f>IF($A699="","",IF(_xlfn.XLOOKUP($A699,Korrelation!$D$4:$D$1197,Korrelation!E$4:E$1197,"-",0)="-",0,MATCH(_xlfn.XLOOKUP($A699,Korrelation!$D$4:$D$1197,Korrelation!E$4:E$1197,"",0),DMAV_Modell!$G$6:$G$677,0)))</f>
        <v>381</v>
      </c>
      <c r="C699" s="57">
        <f>IF($A699="","",IF(_xlfn.XLOOKUP($A699,Korrelation!$D$4:$D$1197,Korrelation!F$4:F$1197,"-",0)="-",0,MATCH(_xlfn.XLOOKUP($A699,Korrelation!$D$4:$D$1197,Korrelation!F$4:F$1197,"",0),DMAV_Modell!$G$6:$G$677,0)))</f>
        <v>26</v>
      </c>
      <c r="D699" s="57">
        <f>IF($A699="","",IF(_xlfn.XLOOKUP($A699,Korrelation!$D$4:$D$1197,Korrelation!G$4:G$1197,"-",0)="-",0,MATCH(_xlfn.XLOOKUP($A699,Korrelation!$D$4:$D$1197,Korrelation!G$4:G$1197,"",0),DMAV_Modell!$G$6:$G$677,0)))</f>
        <v>29</v>
      </c>
      <c r="E699" s="57">
        <f>IF($A699="","",IF(_xlfn.XLOOKUP($A699,Korrelation!$D$4:$D$1197,Korrelation!H$4:H$1197,"-",0)="-",0,MATCH(_xlfn.XLOOKUP($A699,Korrelation!$D$4:$D$1197,Korrelation!H$4:H$1197,"",0),DMAV_Dienste!$F$6:$F$140,0)))</f>
        <v>0</v>
      </c>
      <c r="F699" s="57">
        <f>IF($A699="","",IF(_xlfn.XLOOKUP($A699,Korrelation!$D$4:$D$1197,Korrelation!I$4:I$1197,"-",0)="-",0,MATCH(_xlfn.XLOOKUP($A699,Korrelation!$D$4:$D$1197,Korrelation!I$4:I$1197,"",0),DMAV_Dienste!$F$6:$F$140,0)))</f>
        <v>0</v>
      </c>
      <c r="G699" s="57">
        <f>IF($A699="","",IF(_xlfn.XLOOKUP($A699,Korrelation!$D$4:$D$1197,Korrelation!J$4:J$1197,"-",0)="-",0,MATCH(_xlfn.XLOOKUP($A699,Korrelation!$D$4:$D$1197,Korrelation!J$4:J$1197,"",0),DMAV_Dienste!$F$6:$F$140,0)))</f>
        <v>0</v>
      </c>
      <c r="H699" s="57">
        <f>IF($A699="","",IF(_xlfn.XLOOKUP($A699,Korrelation!$D$4:$D$1197,Korrelation!K$4:K$1197,"-",0)="-",0,MATCH(_xlfn.XLOOKUP($A699,Korrelation!$D$4:$D$1197,Korrelation!K$4:K$1197,"",0),'DM01-AV-CH'!$A$6:$A$834,0)))</f>
        <v>402</v>
      </c>
      <c r="J699" s="54" t="str" cm="1">
        <f t="array" aca="1" ref="J699" ca="1">IF(B699=0,IF(E699=0,"",HYPERLINK("#"&amp;RIGHT(CELL("adresse",OFFSET(DMAV_Dienste!$M$6,E699-1,0)),LEN(CELL("adresse",OFFSET(DMAV_Dienste!$M$6,E699-1,0)))-FIND("]",CELL("adresse",OFFSET(DMAV_Dienste!$M$6,E699-1,0)))),"Dienst")),HYPERLINK("#"&amp;RIGHT(CELL("adresse",OFFSET(DMAV_Modell!$N$6,B699-1,0)),LEN(CELL("adresse",OFFSET(DMAV_Modell!$N$6,B699-1,0)))-FIND("]",CELL("adresse",OFFSET(DMAV_Modell!$N$6,B699-1,0)))),"Modell"))</f>
        <v>Modell</v>
      </c>
      <c r="K699" s="61" t="str" cm="1">
        <f t="array" ref="K699">IF($B699=0,IF($E699=0,"",IF(INDEX(DMAV_Dienste!P$6:P$140,$E699)="","",INDEX(DMAV_Dienste!P$6:P$140,$E699))),IF(INDEX(DMAV_Modell!Q$6:Q$838,$B699)="","",INDEX(DMAV_Modell!Q$6:Q$838,$B699)))</f>
        <v>CLASS</v>
      </c>
      <c r="L699" s="62" t="str" cm="1">
        <f t="array" ref="L699">IF($B699=0,IF($E699=0,"",IF(INDEX(DMAV_Dienste!O$6:O$140,$E699)="","",INDEX(DMAV_Dienste!O$6:O$140,$E699))),IF(INDEX(DMAV_Modell!P$6:P$838,$B699)="","",INDEX(DMAV_Modell!P$6:P$838,$B699)))</f>
        <v>Nomenklatur</v>
      </c>
      <c r="M699" s="62" t="str" cm="1">
        <f t="array" ref="M699">IF($B699=0,IF($E699=0,"",IF(INDEX(DMAV_Dienste!Q$6:Q$140,$E699)="","",INDEX(DMAV_Dienste!Q$6:Q$140,$E699))),IF(INDEX(DMAV_Modell!R$6:R$838,$B699)="","",INDEX(DMAV_Modell!R$6:R$838,$B699)))</f>
        <v>Ortsname</v>
      </c>
      <c r="N699" s="62" t="str" cm="1">
        <f t="array" ref="N699">IF($B699=0,IF($E699=0,"",IF(INDEX(DMAV_Dienste!T$6:T$140,$E699)="","",INDEX(DMAV_Dienste!T$6:T$140,$E699))),IF(INDEX(DMAV_Modell!U$6:U$838,$B699)="","",INDEX(DMAV_Modell!U$6:U$838,$B699)))</f>
        <v>Textposition</v>
      </c>
      <c r="O699" s="63" t="str" cm="1">
        <f t="array" aca="1" ref="O699" ca="1">IF(C699=0,IF(F699=0,"",HYPERLINK("#"&amp;RIGHT(CELL("adresse",OFFSET(DMAV_Dienste!$M$6,F699-1,0)),LEN(CELL("adresse",OFFSET(DMAV_Dienste!$M$6,F699-1,0)))-FIND("]",CELL("adresse",OFFSET(DMAV_Dienste!$M$6,F699-1,0)))),"Structure")),HYPERLINK("#"&amp;RIGHT(CELL("adresse",OFFSET(DMAV_Modell!$N$6,C699-1,0)),LEN(CELL("adresse",OFFSET(DMAV_Modell!$N$6,C699-1,0)))-FIND("]",CELL("adresse",OFFSET(DMAV_Modell!$N$6,C699-1,0)))),"Structure"))</f>
        <v>Structure</v>
      </c>
      <c r="P699" s="64" t="str" cm="1">
        <f t="array" aca="1" ref="P699" ca="1">IF(D699=0,IF(G699=0,"",HYPERLINK("#"&amp;RIGHT(CELL("adresse",OFFSET(DMAV_Dienste!$M$6,G699-1,0)),LEN(CELL("adresse",OFFSET(DMAV_Dienste!$M$6,G699-1,0)))-FIND("]",CELL("adresse",OFFSET(DMAV_Dienste!$M$6,G699-1,0)))),"Substructure")),HYPERLINK("#"&amp;RIGHT(CELL("adresse",OFFSET(DMAV_Modell!$N$6,D699-1,0)),LEN(CELL("adresse",OFFSET(DMAV_Modell!$N$6,D699-1,0)))-FIND("]",CELL("adresse",OFFSET(DMAV_Modell!$N$6,D699-1,0)))),"Substructure"))</f>
        <v>Substructure</v>
      </c>
      <c r="R699" s="80"/>
      <c r="T699" s="93"/>
      <c r="U699" s="94" t="s">
        <v>2980</v>
      </c>
      <c r="V699" s="95" t="s">
        <v>3160</v>
      </c>
      <c r="W699" s="96"/>
      <c r="Y699" s="85"/>
      <c r="Z699" s="86" t="s">
        <v>2980</v>
      </c>
      <c r="AA699" s="87" t="s">
        <v>3319</v>
      </c>
      <c r="AB699" s="88"/>
      <c r="AD699" s="77"/>
      <c r="AF699" s="54" t="str" cm="1">
        <f t="array" aca="1" ref="AF699" ca="1">IF(H699=0,"",HYPERLINK("#"&amp;RIGHT(CELL("adresse",OFFSET('DM01-AV-CH'!$G$6,H699-1,0)),LEN(CELL("adresse",OFFSET('DM01-AV-CH'!$G$6,H699-1,0)))-FIND("]",CELL("adresse",OFFSET('DM01-AV-CH'!$G$6,H699-1,0)))),"Modell"))</f>
        <v>Modell</v>
      </c>
      <c r="AG699" s="72" t="str" cm="1">
        <f t="array" ref="AG699">IF($H699=0,"",IF(INDEX('DM01-AV-CH'!G$6:G$834,$H699)="","",INDEX('DM01-AV-CH'!G$6:G$834,$H699)))</f>
        <v>Nomenklatur</v>
      </c>
      <c r="AH699" s="73" t="str" cm="1">
        <f t="array" ref="AH699">IF($H699=0,"",IF(INDEX('DM01-AV-CH'!H$6:H$834,$H699)="","",INDEX('DM01-AV-CH'!H$6:H$834,$H699)))</f>
        <v>OrtsnamePos</v>
      </c>
      <c r="AI699" s="74" t="str" cm="1">
        <f t="array" ref="AI699">IF($H699=0,"",IF(INDEX('DM01-AV-CH'!I$6:I$834,$H699)="","",INDEX('DM01-AV-CH'!I$6:I$834,$H699)))</f>
        <v>Groesse</v>
      </c>
    </row>
    <row r="700" spans="1:35" x14ac:dyDescent="0.25">
      <c r="A700" s="57">
        <v>695</v>
      </c>
      <c r="B700" s="57">
        <f>IF($A700="","",IF(_xlfn.XLOOKUP($A700,Korrelation!$D$4:$D$1197,Korrelation!E$4:E$1197,"-",0)="-",0,MATCH(_xlfn.XLOOKUP($A700,Korrelation!$D$4:$D$1197,Korrelation!E$4:E$1197,"",0),DMAV_Modell!$G$6:$G$677,0)))</f>
        <v>0</v>
      </c>
      <c r="C700" s="57">
        <f>IF($A700="","",IF(_xlfn.XLOOKUP($A700,Korrelation!$D$4:$D$1197,Korrelation!F$4:F$1197,"-",0)="-",0,MATCH(_xlfn.XLOOKUP($A700,Korrelation!$D$4:$D$1197,Korrelation!F$4:F$1197,"",0),DMAV_Modell!$G$6:$G$677,0)))</f>
        <v>0</v>
      </c>
      <c r="D700" s="57">
        <f>IF($A700="","",IF(_xlfn.XLOOKUP($A700,Korrelation!$D$4:$D$1197,Korrelation!G$4:G$1197,"-",0)="-",0,MATCH(_xlfn.XLOOKUP($A700,Korrelation!$D$4:$D$1197,Korrelation!G$4:G$1197,"",0),DMAV_Modell!$G$6:$G$677,0)))</f>
        <v>0</v>
      </c>
      <c r="E700" s="57">
        <f>IF($A700="","",IF(_xlfn.XLOOKUP($A700,Korrelation!$D$4:$D$1197,Korrelation!H$4:H$1197,"-",0)="-",0,MATCH(_xlfn.XLOOKUP($A700,Korrelation!$D$4:$D$1197,Korrelation!H$4:H$1197,"",0),DMAV_Dienste!$F$6:$F$140,0)))</f>
        <v>0</v>
      </c>
      <c r="F700" s="57">
        <f>IF($A700="","",IF(_xlfn.XLOOKUP($A700,Korrelation!$D$4:$D$1197,Korrelation!I$4:I$1197,"-",0)="-",0,MATCH(_xlfn.XLOOKUP($A700,Korrelation!$D$4:$D$1197,Korrelation!I$4:I$1197,"",0),DMAV_Dienste!$F$6:$F$140,0)))</f>
        <v>0</v>
      </c>
      <c r="G700" s="57">
        <f>IF($A700="","",IF(_xlfn.XLOOKUP($A700,Korrelation!$D$4:$D$1197,Korrelation!J$4:J$1197,"-",0)="-",0,MATCH(_xlfn.XLOOKUP($A700,Korrelation!$D$4:$D$1197,Korrelation!J$4:J$1197,"",0),DMAV_Dienste!$F$6:$F$140,0)))</f>
        <v>0</v>
      </c>
      <c r="H700" s="57">
        <f>IF($A700="","",IF(_xlfn.XLOOKUP($A700,Korrelation!$D$4:$D$1197,Korrelation!K$4:K$1197,"-",0)="-",0,MATCH(_xlfn.XLOOKUP($A700,Korrelation!$D$4:$D$1197,Korrelation!K$4:K$1197,"",0),'DM01-AV-CH'!$A$6:$A$834,0)))</f>
        <v>403</v>
      </c>
      <c r="J700" s="54" t="str" cm="1">
        <f t="array" aca="1" ref="J700" ca="1">IF(B700=0,IF(E700=0,"",HYPERLINK("#"&amp;RIGHT(CELL("adresse",OFFSET(DMAV_Dienste!$M$6,E700-1,0)),LEN(CELL("adresse",OFFSET(DMAV_Dienste!$M$6,E700-1,0)))-FIND("]",CELL("adresse",OFFSET(DMAV_Dienste!$M$6,E700-1,0)))),"Dienst")),HYPERLINK("#"&amp;RIGHT(CELL("adresse",OFFSET(DMAV_Modell!$N$6,B700-1,0)),LEN(CELL("adresse",OFFSET(DMAV_Modell!$N$6,B700-1,0)))-FIND("]",CELL("adresse",OFFSET(DMAV_Modell!$N$6,B700-1,0)))),"Modell"))</f>
        <v/>
      </c>
      <c r="K700" s="61" t="str" cm="1">
        <f t="array" ref="K700">IF($B700=0,IF($E700=0,"",IF(INDEX(DMAV_Dienste!P$6:P$140,$E700)="","",INDEX(DMAV_Dienste!P$6:P$140,$E700))),IF(INDEX(DMAV_Modell!Q$6:Q$838,$B700)="","",INDEX(DMAV_Modell!Q$6:Q$838,$B700)))</f>
        <v/>
      </c>
      <c r="L700" s="62" t="str" cm="1">
        <f t="array" ref="L700">IF($B700=0,IF($E700=0,"",IF(INDEX(DMAV_Dienste!O$6:O$140,$E700)="","",INDEX(DMAV_Dienste!O$6:O$140,$E700))),IF(INDEX(DMAV_Modell!P$6:P$838,$B700)="","",INDEX(DMAV_Modell!P$6:P$838,$B700)))</f>
        <v/>
      </c>
      <c r="M700" s="62" t="str" cm="1">
        <f t="array" ref="M700">IF($B700=0,IF($E700=0,"",IF(INDEX(DMAV_Dienste!Q$6:Q$140,$E700)="","",INDEX(DMAV_Dienste!Q$6:Q$140,$E700))),IF(INDEX(DMAV_Modell!R$6:R$838,$B700)="","",INDEX(DMAV_Modell!R$6:R$838,$B700)))</f>
        <v/>
      </c>
      <c r="N700" s="62" t="str" cm="1">
        <f t="array" ref="N700">IF($B700=0,IF($E700=0,"",IF(INDEX(DMAV_Dienste!T$6:T$140,$E700)="","",INDEX(DMAV_Dienste!T$6:T$140,$E700))),IF(INDEX(DMAV_Modell!U$6:U$838,$B700)="","",INDEX(DMAV_Modell!U$6:U$838,$B700)))</f>
        <v/>
      </c>
      <c r="O700" s="63" t="str" cm="1">
        <f t="array" aca="1" ref="O700" ca="1">IF(C700=0,IF(F700=0,"",HYPERLINK("#"&amp;RIGHT(CELL("adresse",OFFSET(DMAV_Dienste!$M$6,F700-1,0)),LEN(CELL("adresse",OFFSET(DMAV_Dienste!$M$6,F700-1,0)))-FIND("]",CELL("adresse",OFFSET(DMAV_Dienste!$M$6,F700-1,0)))),"Structure")),HYPERLINK("#"&amp;RIGHT(CELL("adresse",OFFSET(DMAV_Modell!$N$6,C700-1,0)),LEN(CELL("adresse",OFFSET(DMAV_Modell!$N$6,C700-1,0)))-FIND("]",CELL("adresse",OFFSET(DMAV_Modell!$N$6,C700-1,0)))),"Structure"))</f>
        <v/>
      </c>
      <c r="P700" s="64" t="str" cm="1">
        <f t="array" aca="1" ref="P700" ca="1">IF(D700=0,IF(G700=0,"",HYPERLINK("#"&amp;RIGHT(CELL("adresse",OFFSET(DMAV_Dienste!$M$6,G700-1,0)),LEN(CELL("adresse",OFFSET(DMAV_Dienste!$M$6,G700-1,0)))-FIND("]",CELL("adresse",OFFSET(DMAV_Dienste!$M$6,G700-1,0)))),"Substructure")),HYPERLINK("#"&amp;RIGHT(CELL("adresse",OFFSET(DMAV_Modell!$N$6,D700-1,0)),LEN(CELL("adresse",OFFSET(DMAV_Modell!$N$6,D700-1,0)))-FIND("]",CELL("adresse",OFFSET(DMAV_Modell!$N$6,D700-1,0)))),"Substructure"))</f>
        <v/>
      </c>
      <c r="R700" s="80"/>
      <c r="T700" s="93"/>
      <c r="U700" s="94"/>
      <c r="V700" s="95"/>
      <c r="W700" s="96"/>
      <c r="Y700" s="85"/>
      <c r="Z700" s="86"/>
      <c r="AA700" s="87"/>
      <c r="AB700" s="88"/>
      <c r="AD700" s="77" t="s">
        <v>2178</v>
      </c>
      <c r="AF700" s="54" t="str" cm="1">
        <f t="array" aca="1" ref="AF700" ca="1">IF(H700=0,"",HYPERLINK("#"&amp;RIGHT(CELL("adresse",OFFSET('DM01-AV-CH'!$G$6,H700-1,0)),LEN(CELL("adresse",OFFSET('DM01-AV-CH'!$G$6,H700-1,0)))-FIND("]",CELL("adresse",OFFSET('DM01-AV-CH'!$G$6,H700-1,0)))),"Modell"))</f>
        <v>Modell</v>
      </c>
      <c r="AG700" s="72" t="str" cm="1">
        <f t="array" ref="AG700">IF($H700=0,"",IF(INDEX('DM01-AV-CH'!G$6:G$834,$H700)="","",INDEX('DM01-AV-CH'!G$6:G$834,$H700)))</f>
        <v>Nomenklatur</v>
      </c>
      <c r="AH700" s="73" t="str" cm="1">
        <f t="array" ref="AH700">IF($H700=0,"",IF(INDEX('DM01-AV-CH'!H$6:H$834,$H700)="","",INDEX('DM01-AV-CH'!H$6:H$834,$H700)))</f>
        <v>OrtsnamePos</v>
      </c>
      <c r="AI700" s="74" t="str" cm="1">
        <f t="array" ref="AI700">IF($H700=0,"",IF(INDEX('DM01-AV-CH'!I$6:I$834,$H700)="","",INDEX('DM01-AV-CH'!I$6:I$834,$H700)))</f>
        <v>Stil</v>
      </c>
    </row>
    <row r="701" spans="1:35" x14ac:dyDescent="0.25">
      <c r="A701" s="57">
        <v>696</v>
      </c>
      <c r="B701" s="57">
        <f>IF($A701="","",IF(_xlfn.XLOOKUP($A701,Korrelation!$D$4:$D$1197,Korrelation!E$4:E$1197,"-",0)="-",0,MATCH(_xlfn.XLOOKUP($A701,Korrelation!$D$4:$D$1197,Korrelation!E$4:E$1197,"",0),DMAV_Modell!$G$6:$G$677,0)))</f>
        <v>382</v>
      </c>
      <c r="C701" s="57">
        <f>IF($A701="","",IF(_xlfn.XLOOKUP($A701,Korrelation!$D$4:$D$1197,Korrelation!F$4:F$1197,"-",0)="-",0,MATCH(_xlfn.XLOOKUP($A701,Korrelation!$D$4:$D$1197,Korrelation!F$4:F$1197,"",0),DMAV_Modell!$G$6:$G$677,0)))</f>
        <v>0</v>
      </c>
      <c r="D701" s="57">
        <f>IF($A701="","",IF(_xlfn.XLOOKUP($A701,Korrelation!$D$4:$D$1197,Korrelation!G$4:G$1197,"-",0)="-",0,MATCH(_xlfn.XLOOKUP($A701,Korrelation!$D$4:$D$1197,Korrelation!G$4:G$1197,"",0),DMAV_Modell!$G$6:$G$677,0)))</f>
        <v>0</v>
      </c>
      <c r="E701" s="57">
        <f>IF($A701="","",IF(_xlfn.XLOOKUP($A701,Korrelation!$D$4:$D$1197,Korrelation!H$4:H$1197,"-",0)="-",0,MATCH(_xlfn.XLOOKUP($A701,Korrelation!$D$4:$D$1197,Korrelation!H$4:H$1197,"",0),DMAV_Dienste!$F$6:$F$140,0)))</f>
        <v>0</v>
      </c>
      <c r="F701" s="57">
        <f>IF($A701="","",IF(_xlfn.XLOOKUP($A701,Korrelation!$D$4:$D$1197,Korrelation!I$4:I$1197,"-",0)="-",0,MATCH(_xlfn.XLOOKUP($A701,Korrelation!$D$4:$D$1197,Korrelation!I$4:I$1197,"",0),DMAV_Dienste!$F$6:$F$140,0)))</f>
        <v>0</v>
      </c>
      <c r="G701" s="57">
        <f>IF($A701="","",IF(_xlfn.XLOOKUP($A701,Korrelation!$D$4:$D$1197,Korrelation!J$4:J$1197,"-",0)="-",0,MATCH(_xlfn.XLOOKUP($A701,Korrelation!$D$4:$D$1197,Korrelation!J$4:J$1197,"",0),DMAV_Dienste!$F$6:$F$140,0)))</f>
        <v>0</v>
      </c>
      <c r="H701" s="57">
        <f>IF($A701="","",IF(_xlfn.XLOOKUP($A701,Korrelation!$D$4:$D$1197,Korrelation!K$4:K$1197,"-",0)="-",0,MATCH(_xlfn.XLOOKUP($A701,Korrelation!$D$4:$D$1197,Korrelation!K$4:K$1197,"",0),'DM01-AV-CH'!$A$6:$A$834,0)))</f>
        <v>0</v>
      </c>
      <c r="J701" s="54" t="str" cm="1">
        <f t="array" aca="1" ref="J701" ca="1">IF(B701=0,IF(E701=0,"",HYPERLINK("#"&amp;RIGHT(CELL("adresse",OFFSET(DMAV_Dienste!$M$6,E701-1,0)),LEN(CELL("adresse",OFFSET(DMAV_Dienste!$M$6,E701-1,0)))-FIND("]",CELL("adresse",OFFSET(DMAV_Dienste!$M$6,E701-1,0)))),"Dienst")),HYPERLINK("#"&amp;RIGHT(CELL("adresse",OFFSET(DMAV_Modell!$N$6,B701-1,0)),LEN(CELL("adresse",OFFSET(DMAV_Modell!$N$6,B701-1,0)))-FIND("]",CELL("adresse",OFFSET(DMAV_Modell!$N$6,B701-1,0)))),"Modell"))</f>
        <v>Modell</v>
      </c>
      <c r="K701" s="61" t="str" cm="1">
        <f t="array" ref="K701">IF($B701=0,IF($E701=0,"",IF(INDEX(DMAV_Dienste!P$6:P$140,$E701)="","",INDEX(DMAV_Dienste!P$6:P$140,$E701))),IF(INDEX(DMAV_Modell!Q$6:Q$838,$B701)="","",INDEX(DMAV_Modell!Q$6:Q$838,$B701)))</f>
        <v>ASSOCIATION</v>
      </c>
      <c r="L701" s="62" t="str" cm="1">
        <f t="array" ref="L701">IF($B701=0,IF($E701=0,"",IF(INDEX(DMAV_Dienste!O$6:O$140,$E701)="","",INDEX(DMAV_Dienste!O$6:O$140,$E701))),IF(INDEX(DMAV_Modell!P$6:P$838,$B701)="","",INDEX(DMAV_Modell!P$6:P$838,$B701)))</f>
        <v>Nomenklatur</v>
      </c>
      <c r="M701" s="62" t="str" cm="1">
        <f t="array" ref="M701">IF($B701=0,IF($E701=0,"",IF(INDEX(DMAV_Dienste!Q$6:Q$140,$E701)="","",INDEX(DMAV_Dienste!Q$6:Q$140,$E701))),IF(INDEX(DMAV_Modell!R$6:R$838,$B701)="","",INDEX(DMAV_Modell!R$6:R$838,$B701)))</f>
        <v>Entstehung_Ortsname</v>
      </c>
      <c r="N701" s="62" t="str" cm="1">
        <f t="array" ref="N701">IF($B701=0,IF($E701=0,"",IF(INDEX(DMAV_Dienste!T$6:T$140,$E701)="","",INDEX(DMAV_Dienste!T$6:T$140,$E701))),IF(INDEX(DMAV_Modell!U$6:U$838,$B701)="","",INDEX(DMAV_Modell!U$6:U$838,$B701)))</f>
        <v>Entstehung</v>
      </c>
      <c r="O701" s="63" t="str" cm="1">
        <f t="array" aca="1" ref="O701" ca="1">IF(C701=0,IF(F701=0,"",HYPERLINK("#"&amp;RIGHT(CELL("adresse",OFFSET(DMAV_Dienste!$M$6,F701-1,0)),LEN(CELL("adresse",OFFSET(DMAV_Dienste!$M$6,F701-1,0)))-FIND("]",CELL("adresse",OFFSET(DMAV_Dienste!$M$6,F701-1,0)))),"Structure")),HYPERLINK("#"&amp;RIGHT(CELL("adresse",OFFSET(DMAV_Modell!$N$6,C701-1,0)),LEN(CELL("adresse",OFFSET(DMAV_Modell!$N$6,C701-1,0)))-FIND("]",CELL("adresse",OFFSET(DMAV_Modell!$N$6,C701-1,0)))),"Structure"))</f>
        <v/>
      </c>
      <c r="P701" s="64" t="str" cm="1">
        <f t="array" aca="1" ref="P701" ca="1">IF(D701=0,IF(G701=0,"",HYPERLINK("#"&amp;RIGHT(CELL("adresse",OFFSET(DMAV_Dienste!$M$6,G701-1,0)),LEN(CELL("adresse",OFFSET(DMAV_Dienste!$M$6,G701-1,0)))-FIND("]",CELL("adresse",OFFSET(DMAV_Dienste!$M$6,G701-1,0)))),"Substructure")),HYPERLINK("#"&amp;RIGHT(CELL("adresse",OFFSET(DMAV_Modell!$N$6,D701-1,0)),LEN(CELL("adresse",OFFSET(DMAV_Modell!$N$6,D701-1,0)))-FIND("]",CELL("adresse",OFFSET(DMAV_Modell!$N$6,D701-1,0)))),"Substructure"))</f>
        <v/>
      </c>
      <c r="R701" s="80"/>
      <c r="T701" s="93"/>
      <c r="U701" s="94"/>
      <c r="V701" s="95"/>
      <c r="W701" s="96"/>
      <c r="Y701" s="85"/>
      <c r="Z701" s="86"/>
      <c r="AA701" s="87"/>
      <c r="AB701" s="88"/>
      <c r="AD701" s="77"/>
      <c r="AF701" s="54" t="str" cm="1">
        <f t="array" aca="1" ref="AF701" ca="1">IF(H701=0,"",HYPERLINK("#"&amp;RIGHT(CELL("adresse",OFFSET('DM01-AV-CH'!$G$6,H701-1,0)),LEN(CELL("adresse",OFFSET('DM01-AV-CH'!$G$6,H701-1,0)))-FIND("]",CELL("adresse",OFFSET('DM01-AV-CH'!$G$6,H701-1,0)))),"Modell"))</f>
        <v/>
      </c>
      <c r="AG701" s="72" t="str" cm="1">
        <f t="array" ref="AG701">IF($H701=0,"",IF(INDEX('DM01-AV-CH'!G$6:G$834,$H701)="","",INDEX('DM01-AV-CH'!G$6:G$834,$H701)))</f>
        <v/>
      </c>
      <c r="AH701" s="73" t="str" cm="1">
        <f t="array" ref="AH701">IF($H701=0,"",IF(INDEX('DM01-AV-CH'!H$6:H$834,$H701)="","",INDEX('DM01-AV-CH'!H$6:H$834,$H701)))</f>
        <v/>
      </c>
      <c r="AI701" s="74" t="str" cm="1">
        <f t="array" ref="AI701">IF($H701=0,"",IF(INDEX('DM01-AV-CH'!I$6:I$834,$H701)="","",INDEX('DM01-AV-CH'!I$6:I$834,$H701)))</f>
        <v/>
      </c>
    </row>
    <row r="702" spans="1:35" x14ac:dyDescent="0.25">
      <c r="A702" s="57">
        <v>697</v>
      </c>
      <c r="B702" s="57">
        <f>IF($A702="","",IF(_xlfn.XLOOKUP($A702,Korrelation!$D$4:$D$1197,Korrelation!E$4:E$1197,"-",0)="-",0,MATCH(_xlfn.XLOOKUP($A702,Korrelation!$D$4:$D$1197,Korrelation!E$4:E$1197,"",0),DMAV_Modell!$G$6:$G$677,0)))</f>
        <v>383</v>
      </c>
      <c r="C702" s="57">
        <f>IF($A702="","",IF(_xlfn.XLOOKUP($A702,Korrelation!$D$4:$D$1197,Korrelation!F$4:F$1197,"-",0)="-",0,MATCH(_xlfn.XLOOKUP($A702,Korrelation!$D$4:$D$1197,Korrelation!F$4:F$1197,"",0),DMAV_Modell!$G$6:$G$677,0)))</f>
        <v>0</v>
      </c>
      <c r="D702" s="57">
        <f>IF($A702="","",IF(_xlfn.XLOOKUP($A702,Korrelation!$D$4:$D$1197,Korrelation!G$4:G$1197,"-",0)="-",0,MATCH(_xlfn.XLOOKUP($A702,Korrelation!$D$4:$D$1197,Korrelation!G$4:G$1197,"",0),DMAV_Modell!$G$6:$G$677,0)))</f>
        <v>0</v>
      </c>
      <c r="E702" s="57">
        <f>IF($A702="","",IF(_xlfn.XLOOKUP($A702,Korrelation!$D$4:$D$1197,Korrelation!H$4:H$1197,"-",0)="-",0,MATCH(_xlfn.XLOOKUP($A702,Korrelation!$D$4:$D$1197,Korrelation!H$4:H$1197,"",0),DMAV_Dienste!$F$6:$F$140,0)))</f>
        <v>0</v>
      </c>
      <c r="F702" s="57">
        <f>IF($A702="","",IF(_xlfn.XLOOKUP($A702,Korrelation!$D$4:$D$1197,Korrelation!I$4:I$1197,"-",0)="-",0,MATCH(_xlfn.XLOOKUP($A702,Korrelation!$D$4:$D$1197,Korrelation!I$4:I$1197,"",0),DMAV_Dienste!$F$6:$F$140,0)))</f>
        <v>0</v>
      </c>
      <c r="G702" s="57">
        <f>IF($A702="","",IF(_xlfn.XLOOKUP($A702,Korrelation!$D$4:$D$1197,Korrelation!J$4:J$1197,"-",0)="-",0,MATCH(_xlfn.XLOOKUP($A702,Korrelation!$D$4:$D$1197,Korrelation!J$4:J$1197,"",0),DMAV_Dienste!$F$6:$F$140,0)))</f>
        <v>0</v>
      </c>
      <c r="H702" s="57">
        <f>IF($A702="","",IF(_xlfn.XLOOKUP($A702,Korrelation!$D$4:$D$1197,Korrelation!K$4:K$1197,"-",0)="-",0,MATCH(_xlfn.XLOOKUP($A702,Korrelation!$D$4:$D$1197,Korrelation!K$4:K$1197,"",0),'DM01-AV-CH'!$A$6:$A$834,0)))</f>
        <v>0</v>
      </c>
      <c r="J702" s="54" t="str" cm="1">
        <f t="array" aca="1" ref="J702" ca="1">IF(B702=0,IF(E702=0,"",HYPERLINK("#"&amp;RIGHT(CELL("adresse",OFFSET(DMAV_Dienste!$M$6,E702-1,0)),LEN(CELL("adresse",OFFSET(DMAV_Dienste!$M$6,E702-1,0)))-FIND("]",CELL("adresse",OFFSET(DMAV_Dienste!$M$6,E702-1,0)))),"Dienst")),HYPERLINK("#"&amp;RIGHT(CELL("adresse",OFFSET(DMAV_Modell!$N$6,B702-1,0)),LEN(CELL("adresse",OFFSET(DMAV_Modell!$N$6,B702-1,0)))-FIND("]",CELL("adresse",OFFSET(DMAV_Modell!$N$6,B702-1,0)))),"Modell"))</f>
        <v>Modell</v>
      </c>
      <c r="K702" s="61" t="str" cm="1">
        <f t="array" ref="K702">IF($B702=0,IF($E702=0,"",IF(INDEX(DMAV_Dienste!P$6:P$140,$E702)="","",INDEX(DMAV_Dienste!P$6:P$140,$E702))),IF(INDEX(DMAV_Modell!Q$6:Q$838,$B702)="","",INDEX(DMAV_Modell!Q$6:Q$838,$B702)))</f>
        <v>ASSOCIATION</v>
      </c>
      <c r="L702" s="62" t="str" cm="1">
        <f t="array" ref="L702">IF($B702=0,IF($E702=0,"",IF(INDEX(DMAV_Dienste!O$6:O$140,$E702)="","",INDEX(DMAV_Dienste!O$6:O$140,$E702))),IF(INDEX(DMAV_Modell!P$6:P$838,$B702)="","",INDEX(DMAV_Modell!P$6:P$838,$B702)))</f>
        <v>Nomenklatur</v>
      </c>
      <c r="M702" s="62" t="str" cm="1">
        <f t="array" ref="M702">IF($B702=0,IF($E702=0,"",IF(INDEX(DMAV_Dienste!Q$6:Q$140,$E702)="","",INDEX(DMAV_Dienste!Q$6:Q$140,$E702))),IF(INDEX(DMAV_Modell!R$6:R$838,$B702)="","",INDEX(DMAV_Modell!R$6:R$838,$B702)))</f>
        <v>Entstehung_Ortsname</v>
      </c>
      <c r="N702" s="62" t="str" cm="1">
        <f t="array" ref="N702">IF($B702=0,IF($E702=0,"",IF(INDEX(DMAV_Dienste!T$6:T$140,$E702)="","",INDEX(DMAV_Dienste!T$6:T$140,$E702))),IF(INDEX(DMAV_Modell!U$6:U$838,$B702)="","",INDEX(DMAV_Modell!U$6:U$838,$B702)))</f>
        <v>entstehender_Ortsname</v>
      </c>
      <c r="O702" s="63" t="str" cm="1">
        <f t="array" aca="1" ref="O702" ca="1">IF(C702=0,IF(F702=0,"",HYPERLINK("#"&amp;RIGHT(CELL("adresse",OFFSET(DMAV_Dienste!$M$6,F702-1,0)),LEN(CELL("adresse",OFFSET(DMAV_Dienste!$M$6,F702-1,0)))-FIND("]",CELL("adresse",OFFSET(DMAV_Dienste!$M$6,F702-1,0)))),"Structure")),HYPERLINK("#"&amp;RIGHT(CELL("adresse",OFFSET(DMAV_Modell!$N$6,C702-1,0)),LEN(CELL("adresse",OFFSET(DMAV_Modell!$N$6,C702-1,0)))-FIND("]",CELL("adresse",OFFSET(DMAV_Modell!$N$6,C702-1,0)))),"Structure"))</f>
        <v/>
      </c>
      <c r="P702" s="64" t="str" cm="1">
        <f t="array" aca="1" ref="P702" ca="1">IF(D702=0,IF(G702=0,"",HYPERLINK("#"&amp;RIGHT(CELL("adresse",OFFSET(DMAV_Dienste!$M$6,G702-1,0)),LEN(CELL("adresse",OFFSET(DMAV_Dienste!$M$6,G702-1,0)))-FIND("]",CELL("adresse",OFFSET(DMAV_Dienste!$M$6,G702-1,0)))),"Substructure")),HYPERLINK("#"&amp;RIGHT(CELL("adresse",OFFSET(DMAV_Modell!$N$6,D702-1,0)),LEN(CELL("adresse",OFFSET(DMAV_Modell!$N$6,D702-1,0)))-FIND("]",CELL("adresse",OFFSET(DMAV_Modell!$N$6,D702-1,0)))),"Substructure"))</f>
        <v/>
      </c>
      <c r="R702" s="80"/>
      <c r="T702" s="93"/>
      <c r="U702" s="94"/>
      <c r="V702" s="95"/>
      <c r="W702" s="96"/>
      <c r="Y702" s="85"/>
      <c r="Z702" s="86"/>
      <c r="AA702" s="87"/>
      <c r="AB702" s="88"/>
      <c r="AD702" s="77"/>
      <c r="AF702" s="54" t="str" cm="1">
        <f t="array" aca="1" ref="AF702" ca="1">IF(H702=0,"",HYPERLINK("#"&amp;RIGHT(CELL("adresse",OFFSET('DM01-AV-CH'!$G$6,H702-1,0)),LEN(CELL("adresse",OFFSET('DM01-AV-CH'!$G$6,H702-1,0)))-FIND("]",CELL("adresse",OFFSET('DM01-AV-CH'!$G$6,H702-1,0)))),"Modell"))</f>
        <v/>
      </c>
      <c r="AG702" s="72" t="str" cm="1">
        <f t="array" ref="AG702">IF($H702=0,"",IF(INDEX('DM01-AV-CH'!G$6:G$834,$H702)="","",INDEX('DM01-AV-CH'!G$6:G$834,$H702)))</f>
        <v/>
      </c>
      <c r="AH702" s="73" t="str" cm="1">
        <f t="array" ref="AH702">IF($H702=0,"",IF(INDEX('DM01-AV-CH'!H$6:H$834,$H702)="","",INDEX('DM01-AV-CH'!H$6:H$834,$H702)))</f>
        <v/>
      </c>
      <c r="AI702" s="74" t="str" cm="1">
        <f t="array" ref="AI702">IF($H702=0,"",IF(INDEX('DM01-AV-CH'!I$6:I$834,$H702)="","",INDEX('DM01-AV-CH'!I$6:I$834,$H702)))</f>
        <v/>
      </c>
    </row>
    <row r="703" spans="1:35" x14ac:dyDescent="0.25">
      <c r="A703" s="57">
        <v>698</v>
      </c>
      <c r="B703" s="57">
        <f>IF($A703="","",IF(_xlfn.XLOOKUP($A703,Korrelation!$D$4:$D$1197,Korrelation!E$4:E$1197,"-",0)="-",0,MATCH(_xlfn.XLOOKUP($A703,Korrelation!$D$4:$D$1197,Korrelation!E$4:E$1197,"",0),DMAV_Modell!$G$6:$G$677,0)))</f>
        <v>0</v>
      </c>
      <c r="C703" s="57">
        <f>IF($A703="","",IF(_xlfn.XLOOKUP($A703,Korrelation!$D$4:$D$1197,Korrelation!F$4:F$1197,"-",0)="-",0,MATCH(_xlfn.XLOOKUP($A703,Korrelation!$D$4:$D$1197,Korrelation!F$4:F$1197,"",0),DMAV_Modell!$G$6:$G$677,0)))</f>
        <v>0</v>
      </c>
      <c r="D703" s="57">
        <f>IF($A703="","",IF(_xlfn.XLOOKUP($A703,Korrelation!$D$4:$D$1197,Korrelation!G$4:G$1197,"-",0)="-",0,MATCH(_xlfn.XLOOKUP($A703,Korrelation!$D$4:$D$1197,Korrelation!G$4:G$1197,"",0),DMAV_Modell!$G$6:$G$677,0)))</f>
        <v>0</v>
      </c>
      <c r="E703" s="57">
        <f>IF($A703="","",IF(_xlfn.XLOOKUP($A703,Korrelation!$D$4:$D$1197,Korrelation!H$4:H$1197,"-",0)="-",0,MATCH(_xlfn.XLOOKUP($A703,Korrelation!$D$4:$D$1197,Korrelation!H$4:H$1197,"",0),DMAV_Dienste!$F$6:$F$140,0)))</f>
        <v>0</v>
      </c>
      <c r="F703" s="57">
        <f>IF($A703="","",IF(_xlfn.XLOOKUP($A703,Korrelation!$D$4:$D$1197,Korrelation!I$4:I$1197,"-",0)="-",0,MATCH(_xlfn.XLOOKUP($A703,Korrelation!$D$4:$D$1197,Korrelation!I$4:I$1197,"",0),DMAV_Dienste!$F$6:$F$140,0)))</f>
        <v>0</v>
      </c>
      <c r="G703" s="57">
        <f>IF($A703="","",IF(_xlfn.XLOOKUP($A703,Korrelation!$D$4:$D$1197,Korrelation!J$4:J$1197,"-",0)="-",0,MATCH(_xlfn.XLOOKUP($A703,Korrelation!$D$4:$D$1197,Korrelation!J$4:J$1197,"",0),DMAV_Dienste!$F$6:$F$140,0)))</f>
        <v>0</v>
      </c>
      <c r="H703" s="57">
        <f>IF($A703="","",IF(_xlfn.XLOOKUP($A703,Korrelation!$D$4:$D$1197,Korrelation!K$4:K$1197,"-",0)="-",0,MATCH(_xlfn.XLOOKUP($A703,Korrelation!$D$4:$D$1197,Korrelation!K$4:K$1197,"",0),'DM01-AV-CH'!$A$6:$A$834,0)))</f>
        <v>404</v>
      </c>
      <c r="J703" s="54" t="str" cm="1">
        <f t="array" aca="1" ref="J703" ca="1">IF(B703=0,IF(E703=0,"",HYPERLINK("#"&amp;RIGHT(CELL("adresse",OFFSET(DMAV_Dienste!$M$6,E703-1,0)),LEN(CELL("adresse",OFFSET(DMAV_Dienste!$M$6,E703-1,0)))-FIND("]",CELL("adresse",OFFSET(DMAV_Dienste!$M$6,E703-1,0)))),"Dienst")),HYPERLINK("#"&amp;RIGHT(CELL("adresse",OFFSET(DMAV_Modell!$N$6,B703-1,0)),LEN(CELL("adresse",OFFSET(DMAV_Modell!$N$6,B703-1,0)))-FIND("]",CELL("adresse",OFFSET(DMAV_Modell!$N$6,B703-1,0)))),"Modell"))</f>
        <v/>
      </c>
      <c r="K703" s="61" t="str" cm="1">
        <f t="array" ref="K703">IF($B703=0,IF($E703=0,"",IF(INDEX(DMAV_Dienste!P$6:P$140,$E703)="","",INDEX(DMAV_Dienste!P$6:P$140,$E703))),IF(INDEX(DMAV_Modell!Q$6:Q$838,$B703)="","",INDEX(DMAV_Modell!Q$6:Q$838,$B703)))</f>
        <v/>
      </c>
      <c r="L703" s="62" t="str" cm="1">
        <f t="array" ref="L703">IF($B703=0,IF($E703=0,"",IF(INDEX(DMAV_Dienste!O$6:O$140,$E703)="","",INDEX(DMAV_Dienste!O$6:O$140,$E703))),IF(INDEX(DMAV_Modell!P$6:P$838,$B703)="","",INDEX(DMAV_Modell!P$6:P$838,$B703)))</f>
        <v/>
      </c>
      <c r="M703" s="62" t="str" cm="1">
        <f t="array" ref="M703">IF($B703=0,IF($E703=0,"",IF(INDEX(DMAV_Dienste!Q$6:Q$140,$E703)="","",INDEX(DMAV_Dienste!Q$6:Q$140,$E703))),IF(INDEX(DMAV_Modell!R$6:R$838,$B703)="","",INDEX(DMAV_Modell!R$6:R$838,$B703)))</f>
        <v/>
      </c>
      <c r="N703" s="62" t="str" cm="1">
        <f t="array" ref="N703">IF($B703=0,IF($E703=0,"",IF(INDEX(DMAV_Dienste!T$6:T$140,$E703)="","",INDEX(DMAV_Dienste!T$6:T$140,$E703))),IF(INDEX(DMAV_Modell!U$6:U$838,$B703)="","",INDEX(DMAV_Modell!U$6:U$838,$B703)))</f>
        <v/>
      </c>
      <c r="O703" s="63" t="str" cm="1">
        <f t="array" aca="1" ref="O703" ca="1">IF(C703=0,IF(F703=0,"",HYPERLINK("#"&amp;RIGHT(CELL("adresse",OFFSET(DMAV_Dienste!$M$6,F703-1,0)),LEN(CELL("adresse",OFFSET(DMAV_Dienste!$M$6,F703-1,0)))-FIND("]",CELL("adresse",OFFSET(DMAV_Dienste!$M$6,F703-1,0)))),"Structure")),HYPERLINK("#"&amp;RIGHT(CELL("adresse",OFFSET(DMAV_Modell!$N$6,C703-1,0)),LEN(CELL("adresse",OFFSET(DMAV_Modell!$N$6,C703-1,0)))-FIND("]",CELL("adresse",OFFSET(DMAV_Modell!$N$6,C703-1,0)))),"Structure"))</f>
        <v/>
      </c>
      <c r="P703" s="64" t="str" cm="1">
        <f t="array" aca="1" ref="P703" ca="1">IF(D703=0,IF(G703=0,"",HYPERLINK("#"&amp;RIGHT(CELL("adresse",OFFSET(DMAV_Dienste!$M$6,G703-1,0)),LEN(CELL("adresse",OFFSET(DMAV_Dienste!$M$6,G703-1,0)))-FIND("]",CELL("adresse",OFFSET(DMAV_Dienste!$M$6,G703-1,0)))),"Substructure")),HYPERLINK("#"&amp;RIGHT(CELL("adresse",OFFSET(DMAV_Modell!$N$6,D703-1,0)),LEN(CELL("adresse",OFFSET(DMAV_Modell!$N$6,D703-1,0)))-FIND("]",CELL("adresse",OFFSET(DMAV_Modell!$N$6,D703-1,0)))),"Substructure"))</f>
        <v/>
      </c>
      <c r="R703" s="80"/>
      <c r="T703" s="93"/>
      <c r="U703" s="94"/>
      <c r="V703" s="95"/>
      <c r="W703" s="96"/>
      <c r="Y703" s="85"/>
      <c r="Z703" s="86"/>
      <c r="AA703" s="87"/>
      <c r="AB703" s="88"/>
      <c r="AD703" s="77"/>
      <c r="AF703" s="54" t="str" cm="1">
        <f t="array" aca="1" ref="AF703" ca="1">IF(H703=0,"",HYPERLINK("#"&amp;RIGHT(CELL("adresse",OFFSET('DM01-AV-CH'!$G$6,H703-1,0)),LEN(CELL("adresse",OFFSET('DM01-AV-CH'!$G$6,H703-1,0)))-FIND("]",CELL("adresse",OFFSET('DM01-AV-CH'!$G$6,H703-1,0)))),"Modell"))</f>
        <v>Modell</v>
      </c>
      <c r="AG703" s="72" t="str" cm="1">
        <f t="array" ref="AG703">IF($H703=0,"",IF(INDEX('DM01-AV-CH'!G$6:G$834,$H703)="","",INDEX('DM01-AV-CH'!G$6:G$834,$H703)))</f>
        <v>Nomenklatur</v>
      </c>
      <c r="AH703" s="73" t="str" cm="1">
        <f t="array" ref="AH703">IF($H703=0,"",IF(INDEX('DM01-AV-CH'!H$6:H$834,$H703)="","",INDEX('DM01-AV-CH'!H$6:H$834,$H703)))</f>
        <v>Gelaendename</v>
      </c>
      <c r="AI703" s="74" t="str" cm="1">
        <f t="array" ref="AI703">IF($H703=0,"",IF(INDEX('DM01-AV-CH'!I$6:I$834,$H703)="","",INDEX('DM01-AV-CH'!I$6:I$834,$H703)))</f>
        <v>Entstehung</v>
      </c>
    </row>
    <row r="704" spans="1:35" x14ac:dyDescent="0.25">
      <c r="A704" s="57">
        <v>699</v>
      </c>
      <c r="B704" s="57">
        <f>IF($A704="","",IF(_xlfn.XLOOKUP($A704,Korrelation!$D$4:$D$1197,Korrelation!E$4:E$1197,"-",0)="-",0,MATCH(_xlfn.XLOOKUP($A704,Korrelation!$D$4:$D$1197,Korrelation!E$4:E$1197,"",0),DMAV_Modell!$G$6:$G$677,0)))</f>
        <v>384</v>
      </c>
      <c r="C704" s="57">
        <f>IF($A704="","",IF(_xlfn.XLOOKUP($A704,Korrelation!$D$4:$D$1197,Korrelation!F$4:F$1197,"-",0)="-",0,MATCH(_xlfn.XLOOKUP($A704,Korrelation!$D$4:$D$1197,Korrelation!F$4:F$1197,"",0),DMAV_Modell!$G$6:$G$677,0)))</f>
        <v>0</v>
      </c>
      <c r="D704" s="57">
        <f>IF($A704="","",IF(_xlfn.XLOOKUP($A704,Korrelation!$D$4:$D$1197,Korrelation!G$4:G$1197,"-",0)="-",0,MATCH(_xlfn.XLOOKUP($A704,Korrelation!$D$4:$D$1197,Korrelation!G$4:G$1197,"",0),DMAV_Modell!$G$6:$G$677,0)))</f>
        <v>0</v>
      </c>
      <c r="E704" s="57">
        <f>IF($A704="","",IF(_xlfn.XLOOKUP($A704,Korrelation!$D$4:$D$1197,Korrelation!H$4:H$1197,"-",0)="-",0,MATCH(_xlfn.XLOOKUP($A704,Korrelation!$D$4:$D$1197,Korrelation!H$4:H$1197,"",0),DMAV_Dienste!$F$6:$F$140,0)))</f>
        <v>0</v>
      </c>
      <c r="F704" s="57">
        <f>IF($A704="","",IF(_xlfn.XLOOKUP($A704,Korrelation!$D$4:$D$1197,Korrelation!I$4:I$1197,"-",0)="-",0,MATCH(_xlfn.XLOOKUP($A704,Korrelation!$D$4:$D$1197,Korrelation!I$4:I$1197,"",0),DMAV_Dienste!$F$6:$F$140,0)))</f>
        <v>0</v>
      </c>
      <c r="G704" s="57">
        <f>IF($A704="","",IF(_xlfn.XLOOKUP($A704,Korrelation!$D$4:$D$1197,Korrelation!J$4:J$1197,"-",0)="-",0,MATCH(_xlfn.XLOOKUP($A704,Korrelation!$D$4:$D$1197,Korrelation!J$4:J$1197,"",0),DMAV_Dienste!$F$6:$F$140,0)))</f>
        <v>0</v>
      </c>
      <c r="H704" s="57">
        <f>IF($A704="","",IF(_xlfn.XLOOKUP($A704,Korrelation!$D$4:$D$1197,Korrelation!K$4:K$1197,"-",0)="-",0,MATCH(_xlfn.XLOOKUP($A704,Korrelation!$D$4:$D$1197,Korrelation!K$4:K$1197,"",0),'DM01-AV-CH'!$A$6:$A$834,0)))</f>
        <v>405</v>
      </c>
      <c r="J704" s="54" t="str" cm="1">
        <f t="array" aca="1" ref="J704" ca="1">IF(B704=0,IF(E704=0,"",HYPERLINK("#"&amp;RIGHT(CELL("adresse",OFFSET(DMAV_Dienste!$M$6,E704-1,0)),LEN(CELL("adresse",OFFSET(DMAV_Dienste!$M$6,E704-1,0)))-FIND("]",CELL("adresse",OFFSET(DMAV_Dienste!$M$6,E704-1,0)))),"Dienst")),HYPERLINK("#"&amp;RIGHT(CELL("adresse",OFFSET(DMAV_Modell!$N$6,B704-1,0)),LEN(CELL("adresse",OFFSET(DMAV_Modell!$N$6,B704-1,0)))-FIND("]",CELL("adresse",OFFSET(DMAV_Modell!$N$6,B704-1,0)))),"Modell"))</f>
        <v>Modell</v>
      </c>
      <c r="K704" s="61" t="str" cm="1">
        <f t="array" ref="K704">IF($B704=0,IF($E704=0,"",IF(INDEX(DMAV_Dienste!P$6:P$140,$E704)="","",INDEX(DMAV_Dienste!P$6:P$140,$E704))),IF(INDEX(DMAV_Modell!Q$6:Q$838,$B704)="","",INDEX(DMAV_Modell!Q$6:Q$838,$B704)))</f>
        <v>CLASS</v>
      </c>
      <c r="L704" s="62" t="str" cm="1">
        <f t="array" ref="L704">IF($B704=0,IF($E704=0,"",IF(INDEX(DMAV_Dienste!O$6:O$140,$E704)="","",INDEX(DMAV_Dienste!O$6:O$140,$E704))),IF(INDEX(DMAV_Modell!P$6:P$838,$B704)="","",INDEX(DMAV_Modell!P$6:P$838,$B704)))</f>
        <v>Nomenklatur</v>
      </c>
      <c r="M704" s="62" t="str" cm="1">
        <f t="array" ref="M704">IF($B704=0,IF($E704=0,"",IF(INDEX(DMAV_Dienste!Q$6:Q$140,$E704)="","",INDEX(DMAV_Dienste!Q$6:Q$140,$E704))),IF(INDEX(DMAV_Modell!R$6:R$838,$B704)="","",INDEX(DMAV_Modell!R$6:R$838,$B704)))</f>
        <v>Gelaendename</v>
      </c>
      <c r="N704" s="62" t="str" cm="1">
        <f t="array" ref="N704">IF($B704=0,IF($E704=0,"",IF(INDEX(DMAV_Dienste!T$6:T$140,$E704)="","",INDEX(DMAV_Dienste!T$6:T$140,$E704))),IF(INDEX(DMAV_Modell!U$6:U$838,$B704)="","",INDEX(DMAV_Modell!U$6:U$838,$B704)))</f>
        <v>Name</v>
      </c>
      <c r="O704" s="63" t="str" cm="1">
        <f t="array" aca="1" ref="O704" ca="1">IF(C704=0,IF(F704=0,"",HYPERLINK("#"&amp;RIGHT(CELL("adresse",OFFSET(DMAV_Dienste!$M$6,F704-1,0)),LEN(CELL("adresse",OFFSET(DMAV_Dienste!$M$6,F704-1,0)))-FIND("]",CELL("adresse",OFFSET(DMAV_Dienste!$M$6,F704-1,0)))),"Structure")),HYPERLINK("#"&amp;RIGHT(CELL("adresse",OFFSET(DMAV_Modell!$N$6,C704-1,0)),LEN(CELL("adresse",OFFSET(DMAV_Modell!$N$6,C704-1,0)))-FIND("]",CELL("adresse",OFFSET(DMAV_Modell!$N$6,C704-1,0)))),"Structure"))</f>
        <v/>
      </c>
      <c r="P704" s="64" t="str" cm="1">
        <f t="array" aca="1" ref="P704" ca="1">IF(D704=0,IF(G704=0,"",HYPERLINK("#"&amp;RIGHT(CELL("adresse",OFFSET(DMAV_Dienste!$M$6,G704-1,0)),LEN(CELL("adresse",OFFSET(DMAV_Dienste!$M$6,G704-1,0)))-FIND("]",CELL("adresse",OFFSET(DMAV_Dienste!$M$6,G704-1,0)))),"Substructure")),HYPERLINK("#"&amp;RIGHT(CELL("adresse",OFFSET(DMAV_Modell!$N$6,D704-1,0)),LEN(CELL("adresse",OFFSET(DMAV_Modell!$N$6,D704-1,0)))-FIND("]",CELL("adresse",OFFSET(DMAV_Modell!$N$6,D704-1,0)))),"Substructure"))</f>
        <v/>
      </c>
      <c r="R704" s="80"/>
      <c r="T704" s="93"/>
      <c r="U704" s="94"/>
      <c r="V704" s="95"/>
      <c r="W704" s="96"/>
      <c r="Y704" s="85"/>
      <c r="Z704" s="86"/>
      <c r="AA704" s="87"/>
      <c r="AB704" s="88"/>
      <c r="AD704" s="77"/>
      <c r="AF704" s="54" t="str" cm="1">
        <f t="array" aca="1" ref="AF704" ca="1">IF(H704=0,"",HYPERLINK("#"&amp;RIGHT(CELL("adresse",OFFSET('DM01-AV-CH'!$G$6,H704-1,0)),LEN(CELL("adresse",OFFSET('DM01-AV-CH'!$G$6,H704-1,0)))-FIND("]",CELL("adresse",OFFSET('DM01-AV-CH'!$G$6,H704-1,0)))),"Modell"))</f>
        <v>Modell</v>
      </c>
      <c r="AG704" s="72" t="str" cm="1">
        <f t="array" ref="AG704">IF($H704=0,"",IF(INDEX('DM01-AV-CH'!G$6:G$834,$H704)="","",INDEX('DM01-AV-CH'!G$6:G$834,$H704)))</f>
        <v>Nomenklatur</v>
      </c>
      <c r="AH704" s="73" t="str" cm="1">
        <f t="array" ref="AH704">IF($H704=0,"",IF(INDEX('DM01-AV-CH'!H$6:H$834,$H704)="","",INDEX('DM01-AV-CH'!H$6:H$834,$H704)))</f>
        <v>Gelaendename</v>
      </c>
      <c r="AI704" s="74" t="str" cm="1">
        <f t="array" ref="AI704">IF($H704=0,"",IF(INDEX('DM01-AV-CH'!I$6:I$834,$H704)="","",INDEX('DM01-AV-CH'!I$6:I$834,$H704)))</f>
        <v>Name</v>
      </c>
    </row>
    <row r="705" spans="1:35" x14ac:dyDescent="0.25">
      <c r="A705" s="57">
        <v>700</v>
      </c>
      <c r="B705" s="57">
        <f>IF($A705="","",IF(_xlfn.XLOOKUP($A705,Korrelation!$D$4:$D$1197,Korrelation!E$4:E$1197,"-",0)="-",0,MATCH(_xlfn.XLOOKUP($A705,Korrelation!$D$4:$D$1197,Korrelation!E$4:E$1197,"",0),DMAV_Modell!$G$6:$G$677,0)))</f>
        <v>385</v>
      </c>
      <c r="C705" s="57">
        <f>IF($A705="","",IF(_xlfn.XLOOKUP($A705,Korrelation!$D$4:$D$1197,Korrelation!F$4:F$1197,"-",0)="-",0,MATCH(_xlfn.XLOOKUP($A705,Korrelation!$D$4:$D$1197,Korrelation!F$4:F$1197,"",0),DMAV_Modell!$G$6:$G$677,0)))</f>
        <v>0</v>
      </c>
      <c r="D705" s="57">
        <f>IF($A705="","",IF(_xlfn.XLOOKUP($A705,Korrelation!$D$4:$D$1197,Korrelation!G$4:G$1197,"-",0)="-",0,MATCH(_xlfn.XLOOKUP($A705,Korrelation!$D$4:$D$1197,Korrelation!G$4:G$1197,"",0),DMAV_Modell!$G$6:$G$677,0)))</f>
        <v>0</v>
      </c>
      <c r="E705" s="57">
        <f>IF($A705="","",IF(_xlfn.XLOOKUP($A705,Korrelation!$D$4:$D$1197,Korrelation!H$4:H$1197,"-",0)="-",0,MATCH(_xlfn.XLOOKUP($A705,Korrelation!$D$4:$D$1197,Korrelation!H$4:H$1197,"",0),DMAV_Dienste!$F$6:$F$140,0)))</f>
        <v>0</v>
      </c>
      <c r="F705" s="57">
        <f>IF($A705="","",IF(_xlfn.XLOOKUP($A705,Korrelation!$D$4:$D$1197,Korrelation!I$4:I$1197,"-",0)="-",0,MATCH(_xlfn.XLOOKUP($A705,Korrelation!$D$4:$D$1197,Korrelation!I$4:I$1197,"",0),DMAV_Dienste!$F$6:$F$140,0)))</f>
        <v>0</v>
      </c>
      <c r="G705" s="57">
        <f>IF($A705="","",IF(_xlfn.XLOOKUP($A705,Korrelation!$D$4:$D$1197,Korrelation!J$4:J$1197,"-",0)="-",0,MATCH(_xlfn.XLOOKUP($A705,Korrelation!$D$4:$D$1197,Korrelation!J$4:J$1197,"",0),DMAV_Dienste!$F$6:$F$140,0)))</f>
        <v>0</v>
      </c>
      <c r="H705" s="57">
        <f>IF($A705="","",IF(_xlfn.XLOOKUP($A705,Korrelation!$D$4:$D$1197,Korrelation!K$4:K$1197,"-",0)="-",0,MATCH(_xlfn.XLOOKUP($A705,Korrelation!$D$4:$D$1197,Korrelation!K$4:K$1197,"",0),'DM01-AV-CH'!$A$6:$A$834,0)))</f>
        <v>0</v>
      </c>
      <c r="J705" s="54" t="str" cm="1">
        <f t="array" aca="1" ref="J705" ca="1">IF(B705=0,IF(E705=0,"",HYPERLINK("#"&amp;RIGHT(CELL("adresse",OFFSET(DMAV_Dienste!$M$6,E705-1,0)),LEN(CELL("adresse",OFFSET(DMAV_Dienste!$M$6,E705-1,0)))-FIND("]",CELL("adresse",OFFSET(DMAV_Dienste!$M$6,E705-1,0)))),"Dienst")),HYPERLINK("#"&amp;RIGHT(CELL("adresse",OFFSET(DMAV_Modell!$N$6,B705-1,0)),LEN(CELL("adresse",OFFSET(DMAV_Modell!$N$6,B705-1,0)))-FIND("]",CELL("adresse",OFFSET(DMAV_Modell!$N$6,B705-1,0)))),"Modell"))</f>
        <v>Modell</v>
      </c>
      <c r="K705" s="61" t="str" cm="1">
        <f t="array" ref="K705">IF($B705=0,IF($E705=0,"",IF(INDEX(DMAV_Dienste!P$6:P$140,$E705)="","",INDEX(DMAV_Dienste!P$6:P$140,$E705))),IF(INDEX(DMAV_Modell!Q$6:Q$838,$B705)="","",INDEX(DMAV_Modell!Q$6:Q$838,$B705)))</f>
        <v>CLASS</v>
      </c>
      <c r="L705" s="62" t="str" cm="1">
        <f t="array" ref="L705">IF($B705=0,IF($E705=0,"",IF(INDEX(DMAV_Dienste!O$6:O$140,$E705)="","",INDEX(DMAV_Dienste!O$6:O$140,$E705))),IF(INDEX(DMAV_Modell!P$6:P$838,$B705)="","",INDEX(DMAV_Modell!P$6:P$838,$B705)))</f>
        <v>Nomenklatur</v>
      </c>
      <c r="M705" s="62" t="str" cm="1">
        <f t="array" ref="M705">IF($B705=0,IF($E705=0,"",IF(INDEX(DMAV_Dienste!Q$6:Q$140,$E705)="","",INDEX(DMAV_Dienste!Q$6:Q$140,$E705))),IF(INDEX(DMAV_Modell!R$6:R$838,$B705)="","",INDEX(DMAV_Modell!R$6:R$838,$B705)))</f>
        <v>Gelaendename</v>
      </c>
      <c r="N705" s="62" t="str" cm="1">
        <f t="array" ref="N705">IF($B705=0,IF($E705=0,"",IF(INDEX(DMAV_Dienste!T$6:T$140,$E705)="","",INDEX(DMAV_Dienste!T$6:T$140,$E705))),IF(INDEX(DMAV_Modell!U$6:U$838,$B705)="","",INDEX(DMAV_Modell!U$6:U$838,$B705)))</f>
        <v>Geometrie</v>
      </c>
      <c r="O705" s="63" t="str" cm="1">
        <f t="array" aca="1" ref="O705" ca="1">IF(C705=0,IF(F705=0,"",HYPERLINK("#"&amp;RIGHT(CELL("adresse",OFFSET(DMAV_Dienste!$M$6,F705-1,0)),LEN(CELL("adresse",OFFSET(DMAV_Dienste!$M$6,F705-1,0)))-FIND("]",CELL("adresse",OFFSET(DMAV_Dienste!$M$6,F705-1,0)))),"Structure")),HYPERLINK("#"&amp;RIGHT(CELL("adresse",OFFSET(DMAV_Modell!$N$6,C705-1,0)),LEN(CELL("adresse",OFFSET(DMAV_Modell!$N$6,C705-1,0)))-FIND("]",CELL("adresse",OFFSET(DMAV_Modell!$N$6,C705-1,0)))),"Structure"))</f>
        <v/>
      </c>
      <c r="P705" s="64" t="str" cm="1">
        <f t="array" aca="1" ref="P705" ca="1">IF(D705=0,IF(G705=0,"",HYPERLINK("#"&amp;RIGHT(CELL("adresse",OFFSET(DMAV_Dienste!$M$6,G705-1,0)),LEN(CELL("adresse",OFFSET(DMAV_Dienste!$M$6,G705-1,0)))-FIND("]",CELL("adresse",OFFSET(DMAV_Dienste!$M$6,G705-1,0)))),"Substructure")),HYPERLINK("#"&amp;RIGHT(CELL("adresse",OFFSET(DMAV_Modell!$N$6,D705-1,0)),LEN(CELL("adresse",OFFSET(DMAV_Modell!$N$6,D705-1,0)))-FIND("]",CELL("adresse",OFFSET(DMAV_Modell!$N$6,D705-1,0)))),"Substructure"))</f>
        <v/>
      </c>
      <c r="R705" s="80"/>
      <c r="T705" s="93"/>
      <c r="U705" s="94"/>
      <c r="V705" s="95"/>
      <c r="W705" s="96"/>
      <c r="Y705" s="85"/>
      <c r="Z705" s="86"/>
      <c r="AA705" s="87"/>
      <c r="AB705" s="88"/>
      <c r="AD705" s="77"/>
      <c r="AF705" s="54" t="str" cm="1">
        <f t="array" aca="1" ref="AF705" ca="1">IF(H705=0,"",HYPERLINK("#"&amp;RIGHT(CELL("adresse",OFFSET('DM01-AV-CH'!$G$6,H705-1,0)),LEN(CELL("adresse",OFFSET('DM01-AV-CH'!$G$6,H705-1,0)))-FIND("]",CELL("adresse",OFFSET('DM01-AV-CH'!$G$6,H705-1,0)))),"Modell"))</f>
        <v/>
      </c>
      <c r="AG705" s="72" t="str" cm="1">
        <f t="array" ref="AG705">IF($H705=0,"",IF(INDEX('DM01-AV-CH'!G$6:G$834,$H705)="","",INDEX('DM01-AV-CH'!G$6:G$834,$H705)))</f>
        <v/>
      </c>
      <c r="AH705" s="73" t="str" cm="1">
        <f t="array" ref="AH705">IF($H705=0,"",IF(INDEX('DM01-AV-CH'!H$6:H$834,$H705)="","",INDEX('DM01-AV-CH'!H$6:H$834,$H705)))</f>
        <v/>
      </c>
      <c r="AI705" s="74" t="str" cm="1">
        <f t="array" ref="AI705">IF($H705=0,"",IF(INDEX('DM01-AV-CH'!I$6:I$834,$H705)="","",INDEX('DM01-AV-CH'!I$6:I$834,$H705)))</f>
        <v/>
      </c>
    </row>
    <row r="706" spans="1:35" x14ac:dyDescent="0.25">
      <c r="A706" s="57">
        <v>701</v>
      </c>
      <c r="B706" s="57">
        <f>IF($A706="","",IF(_xlfn.XLOOKUP($A706,Korrelation!$D$4:$D$1197,Korrelation!E$4:E$1197,"-",0)="-",0,MATCH(_xlfn.XLOOKUP($A706,Korrelation!$D$4:$D$1197,Korrelation!E$4:E$1197,"",0),DMAV_Modell!$G$6:$G$677,0)))</f>
        <v>386</v>
      </c>
      <c r="C706" s="57">
        <f>IF($A706="","",IF(_xlfn.XLOOKUP($A706,Korrelation!$D$4:$D$1197,Korrelation!F$4:F$1197,"-",0)="-",0,MATCH(_xlfn.XLOOKUP($A706,Korrelation!$D$4:$D$1197,Korrelation!F$4:F$1197,"",0),DMAV_Modell!$G$6:$G$677,0)))</f>
        <v>26</v>
      </c>
      <c r="D706" s="57">
        <f>IF($A706="","",IF(_xlfn.XLOOKUP($A706,Korrelation!$D$4:$D$1197,Korrelation!G$4:G$1197,"-",0)="-",0,MATCH(_xlfn.XLOOKUP($A706,Korrelation!$D$4:$D$1197,Korrelation!G$4:G$1197,"",0),DMAV_Modell!$G$6:$G$677,0)))</f>
        <v>0</v>
      </c>
      <c r="E706" s="57">
        <f>IF($A706="","",IF(_xlfn.XLOOKUP($A706,Korrelation!$D$4:$D$1197,Korrelation!H$4:H$1197,"-",0)="-",0,MATCH(_xlfn.XLOOKUP($A706,Korrelation!$D$4:$D$1197,Korrelation!H$4:H$1197,"",0),DMAV_Dienste!$F$6:$F$140,0)))</f>
        <v>0</v>
      </c>
      <c r="F706" s="57">
        <f>IF($A706="","",IF(_xlfn.XLOOKUP($A706,Korrelation!$D$4:$D$1197,Korrelation!I$4:I$1197,"-",0)="-",0,MATCH(_xlfn.XLOOKUP($A706,Korrelation!$D$4:$D$1197,Korrelation!I$4:I$1197,"",0),DMAV_Dienste!$F$6:$F$140,0)))</f>
        <v>0</v>
      </c>
      <c r="G706" s="57">
        <f>IF($A706="","",IF(_xlfn.XLOOKUP($A706,Korrelation!$D$4:$D$1197,Korrelation!J$4:J$1197,"-",0)="-",0,MATCH(_xlfn.XLOOKUP($A706,Korrelation!$D$4:$D$1197,Korrelation!J$4:J$1197,"",0),DMAV_Dienste!$F$6:$F$140,0)))</f>
        <v>0</v>
      </c>
      <c r="H706" s="57">
        <f>IF($A706="","",IF(_xlfn.XLOOKUP($A706,Korrelation!$D$4:$D$1197,Korrelation!K$4:K$1197,"-",0)="-",0,MATCH(_xlfn.XLOOKUP($A706,Korrelation!$D$4:$D$1197,Korrelation!K$4:K$1197,"",0),'DM01-AV-CH'!$A$6:$A$834,0)))</f>
        <v>0</v>
      </c>
      <c r="J706" s="54" t="str" cm="1">
        <f t="array" aca="1" ref="J706" ca="1">IF(B706=0,IF(E706=0,"",HYPERLINK("#"&amp;RIGHT(CELL("adresse",OFFSET(DMAV_Dienste!$M$6,E706-1,0)),LEN(CELL("adresse",OFFSET(DMAV_Dienste!$M$6,E706-1,0)))-FIND("]",CELL("adresse",OFFSET(DMAV_Dienste!$M$6,E706-1,0)))),"Dienst")),HYPERLINK("#"&amp;RIGHT(CELL("adresse",OFFSET(DMAV_Modell!$N$6,B706-1,0)),LEN(CELL("adresse",OFFSET(DMAV_Modell!$N$6,B706-1,0)))-FIND("]",CELL("adresse",OFFSET(DMAV_Modell!$N$6,B706-1,0)))),"Modell"))</f>
        <v>Modell</v>
      </c>
      <c r="K706" s="61" t="str" cm="1">
        <f t="array" ref="K706">IF($B706=0,IF($E706=0,"",IF(INDEX(DMAV_Dienste!P$6:P$140,$E706)="","",INDEX(DMAV_Dienste!P$6:P$140,$E706))),IF(INDEX(DMAV_Modell!Q$6:Q$838,$B706)="","",INDEX(DMAV_Modell!Q$6:Q$838,$B706)))</f>
        <v>CLASS</v>
      </c>
      <c r="L706" s="62" t="str" cm="1">
        <f t="array" ref="L706">IF($B706=0,IF($E706=0,"",IF(INDEX(DMAV_Dienste!O$6:O$140,$E706)="","",INDEX(DMAV_Dienste!O$6:O$140,$E706))),IF(INDEX(DMAV_Modell!P$6:P$838,$B706)="","",INDEX(DMAV_Modell!P$6:P$838,$B706)))</f>
        <v>Nomenklatur</v>
      </c>
      <c r="M706" s="62" t="str" cm="1">
        <f t="array" ref="M706">IF($B706=0,IF($E706=0,"",IF(INDEX(DMAV_Dienste!Q$6:Q$140,$E706)="","",INDEX(DMAV_Dienste!Q$6:Q$140,$E706))),IF(INDEX(DMAV_Modell!R$6:R$838,$B706)="","",INDEX(DMAV_Modell!R$6:R$838,$B706)))</f>
        <v>Gelaendename</v>
      </c>
      <c r="N706" s="62" t="str" cm="1">
        <f t="array" ref="N706">IF($B706=0,IF($E706=0,"",IF(INDEX(DMAV_Dienste!T$6:T$140,$E706)="","",INDEX(DMAV_Dienste!T$6:T$140,$E706))),IF(INDEX(DMAV_Modell!U$6:U$838,$B706)="","",INDEX(DMAV_Modell!U$6:U$838,$B706)))</f>
        <v>Textposition</v>
      </c>
      <c r="O706" s="63" t="str" cm="1">
        <f t="array" aca="1" ref="O706" ca="1">IF(C706=0,IF(F706=0,"",HYPERLINK("#"&amp;RIGHT(CELL("adresse",OFFSET(DMAV_Dienste!$M$6,F706-1,0)),LEN(CELL("adresse",OFFSET(DMAV_Dienste!$M$6,F706-1,0)))-FIND("]",CELL("adresse",OFFSET(DMAV_Dienste!$M$6,F706-1,0)))),"Structure")),HYPERLINK("#"&amp;RIGHT(CELL("adresse",OFFSET(DMAV_Modell!$N$6,C706-1,0)),LEN(CELL("adresse",OFFSET(DMAV_Modell!$N$6,C706-1,0)))-FIND("]",CELL("adresse",OFFSET(DMAV_Modell!$N$6,C706-1,0)))),"Structure"))</f>
        <v>Structure</v>
      </c>
      <c r="P706" s="64" t="str" cm="1">
        <f t="array" aca="1" ref="P706" ca="1">IF(D706=0,IF(G706=0,"",HYPERLINK("#"&amp;RIGHT(CELL("adresse",OFFSET(DMAV_Dienste!$M$6,G706-1,0)),LEN(CELL("adresse",OFFSET(DMAV_Dienste!$M$6,G706-1,0)))-FIND("]",CELL("adresse",OFFSET(DMAV_Dienste!$M$6,G706-1,0)))),"Substructure")),HYPERLINK("#"&amp;RIGHT(CELL("adresse",OFFSET(DMAV_Modell!$N$6,D706-1,0)),LEN(CELL("adresse",OFFSET(DMAV_Modell!$N$6,D706-1,0)))-FIND("]",CELL("adresse",OFFSET(DMAV_Modell!$N$6,D706-1,0)))),"Substructure"))</f>
        <v/>
      </c>
      <c r="R706" s="80"/>
      <c r="T706" s="93"/>
      <c r="U706" s="94"/>
      <c r="V706" s="95"/>
      <c r="W706" s="96"/>
      <c r="Y706" s="85"/>
      <c r="Z706" s="86"/>
      <c r="AA706" s="87"/>
      <c r="AB706" s="88"/>
      <c r="AD706" s="77"/>
      <c r="AF706" s="54" t="str" cm="1">
        <f t="array" aca="1" ref="AF706" ca="1">IF(H706=0,"",HYPERLINK("#"&amp;RIGHT(CELL("adresse",OFFSET('DM01-AV-CH'!$G$6,H706-1,0)),LEN(CELL("adresse",OFFSET('DM01-AV-CH'!$G$6,H706-1,0)))-FIND("]",CELL("adresse",OFFSET('DM01-AV-CH'!$G$6,H706-1,0)))),"Modell"))</f>
        <v/>
      </c>
      <c r="AG706" s="72" t="str" cm="1">
        <f t="array" ref="AG706">IF($H706=0,"",IF(INDEX('DM01-AV-CH'!G$6:G$834,$H706)="","",INDEX('DM01-AV-CH'!G$6:G$834,$H706)))</f>
        <v/>
      </c>
      <c r="AH706" s="73" t="str" cm="1">
        <f t="array" ref="AH706">IF($H706=0,"",IF(INDEX('DM01-AV-CH'!H$6:H$834,$H706)="","",INDEX('DM01-AV-CH'!H$6:H$834,$H706)))</f>
        <v/>
      </c>
      <c r="AI706" s="74" t="str" cm="1">
        <f t="array" ref="AI706">IF($H706=0,"",IF(INDEX('DM01-AV-CH'!I$6:I$834,$H706)="","",INDEX('DM01-AV-CH'!I$6:I$834,$H706)))</f>
        <v/>
      </c>
    </row>
    <row r="707" spans="1:35" x14ac:dyDescent="0.25">
      <c r="A707" s="57">
        <v>702</v>
      </c>
      <c r="B707" s="57">
        <f>IF($A707="","",IF(_xlfn.XLOOKUP($A707,Korrelation!$D$4:$D$1197,Korrelation!E$4:E$1197,"-",0)="-",0,MATCH(_xlfn.XLOOKUP($A707,Korrelation!$D$4:$D$1197,Korrelation!E$4:E$1197,"",0),DMAV_Modell!$G$6:$G$677,0)))</f>
        <v>0</v>
      </c>
      <c r="C707" s="57">
        <f>IF($A707="","",IF(_xlfn.XLOOKUP($A707,Korrelation!$D$4:$D$1197,Korrelation!F$4:F$1197,"-",0)="-",0,MATCH(_xlfn.XLOOKUP($A707,Korrelation!$D$4:$D$1197,Korrelation!F$4:F$1197,"",0),DMAV_Modell!$G$6:$G$677,0)))</f>
        <v>0</v>
      </c>
      <c r="D707" s="57">
        <f>IF($A707="","",IF(_xlfn.XLOOKUP($A707,Korrelation!$D$4:$D$1197,Korrelation!G$4:G$1197,"-",0)="-",0,MATCH(_xlfn.XLOOKUP($A707,Korrelation!$D$4:$D$1197,Korrelation!G$4:G$1197,"",0),DMAV_Modell!$G$6:$G$677,0)))</f>
        <v>0</v>
      </c>
      <c r="E707" s="57">
        <f>IF($A707="","",IF(_xlfn.XLOOKUP($A707,Korrelation!$D$4:$D$1197,Korrelation!H$4:H$1197,"-",0)="-",0,MATCH(_xlfn.XLOOKUP($A707,Korrelation!$D$4:$D$1197,Korrelation!H$4:H$1197,"",0),DMAV_Dienste!$F$6:$F$140,0)))</f>
        <v>0</v>
      </c>
      <c r="F707" s="57">
        <f>IF($A707="","",IF(_xlfn.XLOOKUP($A707,Korrelation!$D$4:$D$1197,Korrelation!I$4:I$1197,"-",0)="-",0,MATCH(_xlfn.XLOOKUP($A707,Korrelation!$D$4:$D$1197,Korrelation!I$4:I$1197,"",0),DMAV_Dienste!$F$6:$F$140,0)))</f>
        <v>0</v>
      </c>
      <c r="G707" s="57">
        <f>IF($A707="","",IF(_xlfn.XLOOKUP($A707,Korrelation!$D$4:$D$1197,Korrelation!J$4:J$1197,"-",0)="-",0,MATCH(_xlfn.XLOOKUP($A707,Korrelation!$D$4:$D$1197,Korrelation!J$4:J$1197,"",0),DMAV_Dienste!$F$6:$F$140,0)))</f>
        <v>0</v>
      </c>
      <c r="H707" s="57">
        <f>IF($A707="","",IF(_xlfn.XLOOKUP($A707,Korrelation!$D$4:$D$1197,Korrelation!K$4:K$1197,"-",0)="-",0,MATCH(_xlfn.XLOOKUP($A707,Korrelation!$D$4:$D$1197,Korrelation!K$4:K$1197,"",0),'DM01-AV-CH'!$A$6:$A$834,0)))</f>
        <v>406</v>
      </c>
      <c r="J707" s="54" t="str" cm="1">
        <f t="array" aca="1" ref="J707" ca="1">IF(B707=0,IF(E707=0,"",HYPERLINK("#"&amp;RIGHT(CELL("adresse",OFFSET(DMAV_Dienste!$M$6,E707-1,0)),LEN(CELL("adresse",OFFSET(DMAV_Dienste!$M$6,E707-1,0)))-FIND("]",CELL("adresse",OFFSET(DMAV_Dienste!$M$6,E707-1,0)))),"Dienst")),HYPERLINK("#"&amp;RIGHT(CELL("adresse",OFFSET(DMAV_Modell!$N$6,B707-1,0)),LEN(CELL("adresse",OFFSET(DMAV_Modell!$N$6,B707-1,0)))-FIND("]",CELL("adresse",OFFSET(DMAV_Modell!$N$6,B707-1,0)))),"Modell"))</f>
        <v/>
      </c>
      <c r="K707" s="61" t="str" cm="1">
        <f t="array" ref="K707">IF($B707=0,IF($E707=0,"",IF(INDEX(DMAV_Dienste!P$6:P$140,$E707)="","",INDEX(DMAV_Dienste!P$6:P$140,$E707))),IF(INDEX(DMAV_Modell!Q$6:Q$838,$B707)="","",INDEX(DMAV_Modell!Q$6:Q$838,$B707)))</f>
        <v/>
      </c>
      <c r="L707" s="62" t="str" cm="1">
        <f t="array" ref="L707">IF($B707=0,IF($E707=0,"",IF(INDEX(DMAV_Dienste!O$6:O$140,$E707)="","",INDEX(DMAV_Dienste!O$6:O$140,$E707))),IF(INDEX(DMAV_Modell!P$6:P$838,$B707)="","",INDEX(DMAV_Modell!P$6:P$838,$B707)))</f>
        <v/>
      </c>
      <c r="M707" s="62" t="str" cm="1">
        <f t="array" ref="M707">IF($B707=0,IF($E707=0,"",IF(INDEX(DMAV_Dienste!Q$6:Q$140,$E707)="","",INDEX(DMAV_Dienste!Q$6:Q$140,$E707))),IF(INDEX(DMAV_Modell!R$6:R$838,$B707)="","",INDEX(DMAV_Modell!R$6:R$838,$B707)))</f>
        <v/>
      </c>
      <c r="N707" s="62" t="str" cm="1">
        <f t="array" ref="N707">IF($B707=0,IF($E707=0,"",IF(INDEX(DMAV_Dienste!T$6:T$140,$E707)="","",INDEX(DMAV_Dienste!T$6:T$140,$E707))),IF(INDEX(DMAV_Modell!U$6:U$838,$B707)="","",INDEX(DMAV_Modell!U$6:U$838,$B707)))</f>
        <v/>
      </c>
      <c r="O707" s="63" t="str" cm="1">
        <f t="array" aca="1" ref="O707" ca="1">IF(C707=0,IF(F707=0,"",HYPERLINK("#"&amp;RIGHT(CELL("adresse",OFFSET(DMAV_Dienste!$M$6,F707-1,0)),LEN(CELL("adresse",OFFSET(DMAV_Dienste!$M$6,F707-1,0)))-FIND("]",CELL("adresse",OFFSET(DMAV_Dienste!$M$6,F707-1,0)))),"Structure")),HYPERLINK("#"&amp;RIGHT(CELL("adresse",OFFSET(DMAV_Modell!$N$6,C707-1,0)),LEN(CELL("adresse",OFFSET(DMAV_Modell!$N$6,C707-1,0)))-FIND("]",CELL("adresse",OFFSET(DMAV_Modell!$N$6,C707-1,0)))),"Structure"))</f>
        <v/>
      </c>
      <c r="P707" s="64" t="str" cm="1">
        <f t="array" aca="1" ref="P707" ca="1">IF(D707=0,IF(G707=0,"",HYPERLINK("#"&amp;RIGHT(CELL("adresse",OFFSET(DMAV_Dienste!$M$6,G707-1,0)),LEN(CELL("adresse",OFFSET(DMAV_Dienste!$M$6,G707-1,0)))-FIND("]",CELL("adresse",OFFSET(DMAV_Dienste!$M$6,G707-1,0)))),"Substructure")),HYPERLINK("#"&amp;RIGHT(CELL("adresse",OFFSET(DMAV_Modell!$N$6,D707-1,0)),LEN(CELL("adresse",OFFSET(DMAV_Modell!$N$6,D707-1,0)))-FIND("]",CELL("adresse",OFFSET(DMAV_Modell!$N$6,D707-1,0)))),"Substructure"))</f>
        <v/>
      </c>
      <c r="R707" s="80"/>
      <c r="T707" s="93"/>
      <c r="U707" s="94"/>
      <c r="V707" s="95"/>
      <c r="W707" s="96"/>
      <c r="Y707" s="85"/>
      <c r="Z707" s="86"/>
      <c r="AA707" s="87"/>
      <c r="AB707" s="88"/>
      <c r="AD707" s="77"/>
      <c r="AF707" s="54" t="str" cm="1">
        <f t="array" aca="1" ref="AF707" ca="1">IF(H707=0,"",HYPERLINK("#"&amp;RIGHT(CELL("adresse",OFFSET('DM01-AV-CH'!$G$6,H707-1,0)),LEN(CELL("adresse",OFFSET('DM01-AV-CH'!$G$6,H707-1,0)))-FIND("]",CELL("adresse",OFFSET('DM01-AV-CH'!$G$6,H707-1,0)))),"Modell"))</f>
        <v>Modell</v>
      </c>
      <c r="AG707" s="72" t="str" cm="1">
        <f t="array" ref="AG707">IF($H707=0,"",IF(INDEX('DM01-AV-CH'!G$6:G$834,$H707)="","",INDEX('DM01-AV-CH'!G$6:G$834,$H707)))</f>
        <v>Nomenklatur</v>
      </c>
      <c r="AH707" s="73" t="str" cm="1">
        <f t="array" ref="AH707">IF($H707=0,"",IF(INDEX('DM01-AV-CH'!H$6:H$834,$H707)="","",INDEX('DM01-AV-CH'!H$6:H$834,$H707)))</f>
        <v>GelaendenamePos</v>
      </c>
      <c r="AI707" s="74" t="str" cm="1">
        <f t="array" ref="AI707">IF($H707=0,"",IF(INDEX('DM01-AV-CH'!I$6:I$834,$H707)="","",INDEX('DM01-AV-CH'!I$6:I$834,$H707)))</f>
        <v>GelaendenamePos_von</v>
      </c>
    </row>
    <row r="708" spans="1:35" ht="57" x14ac:dyDescent="0.25">
      <c r="A708" s="57">
        <v>703</v>
      </c>
      <c r="B708" s="57">
        <f>IF($A708="","",IF(_xlfn.XLOOKUP($A708,Korrelation!$D$4:$D$1197,Korrelation!E$4:E$1197,"-",0)="-",0,MATCH(_xlfn.XLOOKUP($A708,Korrelation!$D$4:$D$1197,Korrelation!E$4:E$1197,"",0),DMAV_Modell!$G$6:$G$677,0)))</f>
        <v>386</v>
      </c>
      <c r="C708" s="57">
        <f>IF($A708="","",IF(_xlfn.XLOOKUP($A708,Korrelation!$D$4:$D$1197,Korrelation!F$4:F$1197,"-",0)="-",0,MATCH(_xlfn.XLOOKUP($A708,Korrelation!$D$4:$D$1197,Korrelation!F$4:F$1197,"",0),DMAV_Modell!$G$6:$G$677,0)))</f>
        <v>26</v>
      </c>
      <c r="D708" s="57">
        <f>IF($A708="","",IF(_xlfn.XLOOKUP($A708,Korrelation!$D$4:$D$1197,Korrelation!G$4:G$1197,"-",0)="-",0,MATCH(_xlfn.XLOOKUP($A708,Korrelation!$D$4:$D$1197,Korrelation!G$4:G$1197,"",0),DMAV_Modell!$G$6:$G$677,0)))</f>
        <v>26</v>
      </c>
      <c r="E708" s="57">
        <f>IF($A708="","",IF(_xlfn.XLOOKUP($A708,Korrelation!$D$4:$D$1197,Korrelation!H$4:H$1197,"-",0)="-",0,MATCH(_xlfn.XLOOKUP($A708,Korrelation!$D$4:$D$1197,Korrelation!H$4:H$1197,"",0),DMAV_Dienste!$F$6:$F$140,0)))</f>
        <v>0</v>
      </c>
      <c r="F708" s="57">
        <f>IF($A708="","",IF(_xlfn.XLOOKUP($A708,Korrelation!$D$4:$D$1197,Korrelation!I$4:I$1197,"-",0)="-",0,MATCH(_xlfn.XLOOKUP($A708,Korrelation!$D$4:$D$1197,Korrelation!I$4:I$1197,"",0),DMAV_Dienste!$F$6:$F$140,0)))</f>
        <v>0</v>
      </c>
      <c r="G708" s="57">
        <f>IF($A708="","",IF(_xlfn.XLOOKUP($A708,Korrelation!$D$4:$D$1197,Korrelation!J$4:J$1197,"-",0)="-",0,MATCH(_xlfn.XLOOKUP($A708,Korrelation!$D$4:$D$1197,Korrelation!J$4:J$1197,"",0),DMAV_Dienste!$F$6:$F$140,0)))</f>
        <v>0</v>
      </c>
      <c r="H708" s="57">
        <f>IF($A708="","",IF(_xlfn.XLOOKUP($A708,Korrelation!$D$4:$D$1197,Korrelation!K$4:K$1197,"-",0)="-",0,MATCH(_xlfn.XLOOKUP($A708,Korrelation!$D$4:$D$1197,Korrelation!K$4:K$1197,"",0),'DM01-AV-CH'!$A$6:$A$834,0)))</f>
        <v>407</v>
      </c>
      <c r="J708" s="54" t="str" cm="1">
        <f t="array" aca="1" ref="J708" ca="1">IF(B708=0,IF(E708=0,"",HYPERLINK("#"&amp;RIGHT(CELL("adresse",OFFSET(DMAV_Dienste!$M$6,E708-1,0)),LEN(CELL("adresse",OFFSET(DMAV_Dienste!$M$6,E708-1,0)))-FIND("]",CELL("adresse",OFFSET(DMAV_Dienste!$M$6,E708-1,0)))),"Dienst")),HYPERLINK("#"&amp;RIGHT(CELL("adresse",OFFSET(DMAV_Modell!$N$6,B708-1,0)),LEN(CELL("adresse",OFFSET(DMAV_Modell!$N$6,B708-1,0)))-FIND("]",CELL("adresse",OFFSET(DMAV_Modell!$N$6,B708-1,0)))),"Modell"))</f>
        <v>Modell</v>
      </c>
      <c r="K708" s="61" t="str" cm="1">
        <f t="array" ref="K708">IF($B708=0,IF($E708=0,"",IF(INDEX(DMAV_Dienste!P$6:P$140,$E708)="","",INDEX(DMAV_Dienste!P$6:P$140,$E708))),IF(INDEX(DMAV_Modell!Q$6:Q$838,$B708)="","",INDEX(DMAV_Modell!Q$6:Q$838,$B708)))</f>
        <v>CLASS</v>
      </c>
      <c r="L708" s="62" t="str" cm="1">
        <f t="array" ref="L708">IF($B708=0,IF($E708=0,"",IF(INDEX(DMAV_Dienste!O$6:O$140,$E708)="","",INDEX(DMAV_Dienste!O$6:O$140,$E708))),IF(INDEX(DMAV_Modell!P$6:P$838,$B708)="","",INDEX(DMAV_Modell!P$6:P$838,$B708)))</f>
        <v>Nomenklatur</v>
      </c>
      <c r="M708" s="62" t="str" cm="1">
        <f t="array" ref="M708">IF($B708=0,IF($E708=0,"",IF(INDEX(DMAV_Dienste!Q$6:Q$140,$E708)="","",INDEX(DMAV_Dienste!Q$6:Q$140,$E708))),IF(INDEX(DMAV_Modell!R$6:R$838,$B708)="","",INDEX(DMAV_Modell!R$6:R$838,$B708)))</f>
        <v>Gelaendename</v>
      </c>
      <c r="N708" s="62" t="str" cm="1">
        <f t="array" ref="N708">IF($B708=0,IF($E708=0,"",IF(INDEX(DMAV_Dienste!T$6:T$140,$E708)="","",INDEX(DMAV_Dienste!T$6:T$140,$E708))),IF(INDEX(DMAV_Modell!U$6:U$838,$B708)="","",INDEX(DMAV_Modell!U$6:U$838,$B708)))</f>
        <v>Textposition</v>
      </c>
      <c r="O708" s="63" t="str" cm="1">
        <f t="array" aca="1" ref="O708" ca="1">IF(C708=0,IF(F708=0,"",HYPERLINK("#"&amp;RIGHT(CELL("adresse",OFFSET(DMAV_Dienste!$M$6,F708-1,0)),LEN(CELL("adresse",OFFSET(DMAV_Dienste!$M$6,F708-1,0)))-FIND("]",CELL("adresse",OFFSET(DMAV_Dienste!$M$6,F708-1,0)))),"Structure")),HYPERLINK("#"&amp;RIGHT(CELL("adresse",OFFSET(DMAV_Modell!$N$6,C708-1,0)),LEN(CELL("adresse",OFFSET(DMAV_Modell!$N$6,C708-1,0)))-FIND("]",CELL("adresse",OFFSET(DMAV_Modell!$N$6,C708-1,0)))),"Structure"))</f>
        <v>Structure</v>
      </c>
      <c r="P708" s="64" t="str" cm="1">
        <f t="array" aca="1" ref="P708" ca="1">IF(D708=0,IF(G708=0,"",HYPERLINK("#"&amp;RIGHT(CELL("adresse",OFFSET(DMAV_Dienste!$M$6,G708-1,0)),LEN(CELL("adresse",OFFSET(DMAV_Dienste!$M$6,G708-1,0)))-FIND("]",CELL("adresse",OFFSET(DMAV_Dienste!$M$6,G708-1,0)))),"Substructure")),HYPERLINK("#"&amp;RIGHT(CELL("adresse",OFFSET(DMAV_Modell!$N$6,D708-1,0)),LEN(CELL("adresse",OFFSET(DMAV_Modell!$N$6,D708-1,0)))-FIND("]",CELL("adresse",OFFSET(DMAV_Modell!$N$6,D708-1,0)))),"Substructure"))</f>
        <v>Substructure</v>
      </c>
      <c r="R708" s="80"/>
      <c r="T708" s="93"/>
      <c r="U708" s="94" t="s">
        <v>3044</v>
      </c>
      <c r="V708" s="95" t="s">
        <v>3161</v>
      </c>
      <c r="W708" s="96"/>
      <c r="Y708" s="85"/>
      <c r="Z708" s="86" t="s">
        <v>2980</v>
      </c>
      <c r="AA708" s="87" t="s">
        <v>3043</v>
      </c>
      <c r="AB708" s="88"/>
      <c r="AD708" s="77"/>
      <c r="AF708" s="54" t="str" cm="1">
        <f t="array" aca="1" ref="AF708" ca="1">IF(H708=0,"",HYPERLINK("#"&amp;RIGHT(CELL("adresse",OFFSET('DM01-AV-CH'!$G$6,H708-1,0)),LEN(CELL("adresse",OFFSET('DM01-AV-CH'!$G$6,H708-1,0)))-FIND("]",CELL("adresse",OFFSET('DM01-AV-CH'!$G$6,H708-1,0)))),"Modell"))</f>
        <v>Modell</v>
      </c>
      <c r="AG708" s="72" t="str" cm="1">
        <f t="array" ref="AG708">IF($H708=0,"",IF(INDEX('DM01-AV-CH'!G$6:G$834,$H708)="","",INDEX('DM01-AV-CH'!G$6:G$834,$H708)))</f>
        <v>Nomenklatur</v>
      </c>
      <c r="AH708" s="73" t="str" cm="1">
        <f t="array" ref="AH708">IF($H708=0,"",IF(INDEX('DM01-AV-CH'!H$6:H$834,$H708)="","",INDEX('DM01-AV-CH'!H$6:H$834,$H708)))</f>
        <v>GelaendenamePos</v>
      </c>
      <c r="AI708" s="74" t="str" cm="1">
        <f t="array" ref="AI708">IF($H708=0,"",IF(INDEX('DM01-AV-CH'!I$6:I$834,$H708)="","",INDEX('DM01-AV-CH'!I$6:I$834,$H708)))</f>
        <v>Pos</v>
      </c>
    </row>
    <row r="709" spans="1:35" ht="28.5" x14ac:dyDescent="0.25">
      <c r="A709" s="57">
        <v>704</v>
      </c>
      <c r="B709" s="57">
        <f>IF($A709="","",IF(_xlfn.XLOOKUP($A709,Korrelation!$D$4:$D$1197,Korrelation!E$4:E$1197,"-",0)="-",0,MATCH(_xlfn.XLOOKUP($A709,Korrelation!$D$4:$D$1197,Korrelation!E$4:E$1197,"",0),DMAV_Modell!$G$6:$G$677,0)))</f>
        <v>386</v>
      </c>
      <c r="C709" s="57">
        <f>IF($A709="","",IF(_xlfn.XLOOKUP($A709,Korrelation!$D$4:$D$1197,Korrelation!F$4:F$1197,"-",0)="-",0,MATCH(_xlfn.XLOOKUP($A709,Korrelation!$D$4:$D$1197,Korrelation!F$4:F$1197,"",0),DMAV_Modell!$G$6:$G$677,0)))</f>
        <v>26</v>
      </c>
      <c r="D709" s="57">
        <f>IF($A709="","",IF(_xlfn.XLOOKUP($A709,Korrelation!$D$4:$D$1197,Korrelation!G$4:G$1197,"-",0)="-",0,MATCH(_xlfn.XLOOKUP($A709,Korrelation!$D$4:$D$1197,Korrelation!G$4:G$1197,"",0),DMAV_Modell!$G$6:$G$677,0)))</f>
        <v>27</v>
      </c>
      <c r="E709" s="57">
        <f>IF($A709="","",IF(_xlfn.XLOOKUP($A709,Korrelation!$D$4:$D$1197,Korrelation!H$4:H$1197,"-",0)="-",0,MATCH(_xlfn.XLOOKUP($A709,Korrelation!$D$4:$D$1197,Korrelation!H$4:H$1197,"",0),DMAV_Dienste!$F$6:$F$140,0)))</f>
        <v>0</v>
      </c>
      <c r="F709" s="57">
        <f>IF($A709="","",IF(_xlfn.XLOOKUP($A709,Korrelation!$D$4:$D$1197,Korrelation!I$4:I$1197,"-",0)="-",0,MATCH(_xlfn.XLOOKUP($A709,Korrelation!$D$4:$D$1197,Korrelation!I$4:I$1197,"",0),DMAV_Dienste!$F$6:$F$140,0)))</f>
        <v>0</v>
      </c>
      <c r="G709" s="57">
        <f>IF($A709="","",IF(_xlfn.XLOOKUP($A709,Korrelation!$D$4:$D$1197,Korrelation!J$4:J$1197,"-",0)="-",0,MATCH(_xlfn.XLOOKUP($A709,Korrelation!$D$4:$D$1197,Korrelation!J$4:J$1197,"",0),DMAV_Dienste!$F$6:$F$140,0)))</f>
        <v>0</v>
      </c>
      <c r="H709" s="57">
        <f>IF($A709="","",IF(_xlfn.XLOOKUP($A709,Korrelation!$D$4:$D$1197,Korrelation!K$4:K$1197,"-",0)="-",0,MATCH(_xlfn.XLOOKUP($A709,Korrelation!$D$4:$D$1197,Korrelation!K$4:K$1197,"",0),'DM01-AV-CH'!$A$6:$A$834,0)))</f>
        <v>408</v>
      </c>
      <c r="J709" s="54" t="str" cm="1">
        <f t="array" aca="1" ref="J709" ca="1">IF(B709=0,IF(E709=0,"",HYPERLINK("#"&amp;RIGHT(CELL("adresse",OFFSET(DMAV_Dienste!$M$6,E709-1,0)),LEN(CELL("adresse",OFFSET(DMAV_Dienste!$M$6,E709-1,0)))-FIND("]",CELL("adresse",OFFSET(DMAV_Dienste!$M$6,E709-1,0)))),"Dienst")),HYPERLINK("#"&amp;RIGHT(CELL("adresse",OFFSET(DMAV_Modell!$N$6,B709-1,0)),LEN(CELL("adresse",OFFSET(DMAV_Modell!$N$6,B709-1,0)))-FIND("]",CELL("adresse",OFFSET(DMAV_Modell!$N$6,B709-1,0)))),"Modell"))</f>
        <v>Modell</v>
      </c>
      <c r="K709" s="61" t="str" cm="1">
        <f t="array" ref="K709">IF($B709=0,IF($E709=0,"",IF(INDEX(DMAV_Dienste!P$6:P$140,$E709)="","",INDEX(DMAV_Dienste!P$6:P$140,$E709))),IF(INDEX(DMAV_Modell!Q$6:Q$838,$B709)="","",INDEX(DMAV_Modell!Q$6:Q$838,$B709)))</f>
        <v>CLASS</v>
      </c>
      <c r="L709" s="62" t="str" cm="1">
        <f t="array" ref="L709">IF($B709=0,IF($E709=0,"",IF(INDEX(DMAV_Dienste!O$6:O$140,$E709)="","",INDEX(DMAV_Dienste!O$6:O$140,$E709))),IF(INDEX(DMAV_Modell!P$6:P$838,$B709)="","",INDEX(DMAV_Modell!P$6:P$838,$B709)))</f>
        <v>Nomenklatur</v>
      </c>
      <c r="M709" s="62" t="str" cm="1">
        <f t="array" ref="M709">IF($B709=0,IF($E709=0,"",IF(INDEX(DMAV_Dienste!Q$6:Q$140,$E709)="","",INDEX(DMAV_Dienste!Q$6:Q$140,$E709))),IF(INDEX(DMAV_Modell!R$6:R$838,$B709)="","",INDEX(DMAV_Modell!R$6:R$838,$B709)))</f>
        <v>Gelaendename</v>
      </c>
      <c r="N709" s="62" t="str" cm="1">
        <f t="array" ref="N709">IF($B709=0,IF($E709=0,"",IF(INDEX(DMAV_Dienste!T$6:T$140,$E709)="","",INDEX(DMAV_Dienste!T$6:T$140,$E709))),IF(INDEX(DMAV_Modell!U$6:U$838,$B709)="","",INDEX(DMAV_Modell!U$6:U$838,$B709)))</f>
        <v>Textposition</v>
      </c>
      <c r="O709" s="63" t="str" cm="1">
        <f t="array" aca="1" ref="O709" ca="1">IF(C709=0,IF(F709=0,"",HYPERLINK("#"&amp;RIGHT(CELL("adresse",OFFSET(DMAV_Dienste!$M$6,F709-1,0)),LEN(CELL("adresse",OFFSET(DMAV_Dienste!$M$6,F709-1,0)))-FIND("]",CELL("adresse",OFFSET(DMAV_Dienste!$M$6,F709-1,0)))),"Structure")),HYPERLINK("#"&amp;RIGHT(CELL("adresse",OFFSET(DMAV_Modell!$N$6,C709-1,0)),LEN(CELL("adresse",OFFSET(DMAV_Modell!$N$6,C709-1,0)))-FIND("]",CELL("adresse",OFFSET(DMAV_Modell!$N$6,C709-1,0)))),"Structure"))</f>
        <v>Structure</v>
      </c>
      <c r="P709" s="64" t="str" cm="1">
        <f t="array" aca="1" ref="P709" ca="1">IF(D709=0,IF(G709=0,"",HYPERLINK("#"&amp;RIGHT(CELL("adresse",OFFSET(DMAV_Dienste!$M$6,G709-1,0)),LEN(CELL("adresse",OFFSET(DMAV_Dienste!$M$6,G709-1,0)))-FIND("]",CELL("adresse",OFFSET(DMAV_Dienste!$M$6,G709-1,0)))),"Substructure")),HYPERLINK("#"&amp;RIGHT(CELL("adresse",OFFSET(DMAV_Modell!$N$6,D709-1,0)),LEN(CELL("adresse",OFFSET(DMAV_Modell!$N$6,D709-1,0)))-FIND("]",CELL("adresse",OFFSET(DMAV_Modell!$N$6,D709-1,0)))),"Substructure"))</f>
        <v>Substructure</v>
      </c>
      <c r="R709" s="80"/>
      <c r="T709" s="93"/>
      <c r="U709" s="94"/>
      <c r="V709" s="95" t="s">
        <v>3162</v>
      </c>
      <c r="W709" s="96"/>
      <c r="Y709" s="85"/>
      <c r="Z709" s="86" t="s">
        <v>2980</v>
      </c>
      <c r="AA709" s="87" t="s">
        <v>3045</v>
      </c>
      <c r="AB709" s="88"/>
      <c r="AD709" s="77"/>
      <c r="AF709" s="54" t="str" cm="1">
        <f t="array" aca="1" ref="AF709" ca="1">IF(H709=0,"",HYPERLINK("#"&amp;RIGHT(CELL("adresse",OFFSET('DM01-AV-CH'!$G$6,H709-1,0)),LEN(CELL("adresse",OFFSET('DM01-AV-CH'!$G$6,H709-1,0)))-FIND("]",CELL("adresse",OFFSET('DM01-AV-CH'!$G$6,H709-1,0)))),"Modell"))</f>
        <v>Modell</v>
      </c>
      <c r="AG709" s="72" t="str" cm="1">
        <f t="array" ref="AG709">IF($H709=0,"",IF(INDEX('DM01-AV-CH'!G$6:G$834,$H709)="","",INDEX('DM01-AV-CH'!G$6:G$834,$H709)))</f>
        <v>Nomenklatur</v>
      </c>
      <c r="AH709" s="73" t="str" cm="1">
        <f t="array" ref="AH709">IF($H709=0,"",IF(INDEX('DM01-AV-CH'!H$6:H$834,$H709)="","",INDEX('DM01-AV-CH'!H$6:H$834,$H709)))</f>
        <v>GelaendenamePos</v>
      </c>
      <c r="AI709" s="74" t="str" cm="1">
        <f t="array" ref="AI709">IF($H709=0,"",IF(INDEX('DM01-AV-CH'!I$6:I$834,$H709)="","",INDEX('DM01-AV-CH'!I$6:I$834,$H709)))</f>
        <v>Ori</v>
      </c>
    </row>
    <row r="710" spans="1:35" ht="28.5" x14ac:dyDescent="0.25">
      <c r="A710" s="57">
        <v>705</v>
      </c>
      <c r="B710" s="57">
        <f>IF($A710="","",IF(_xlfn.XLOOKUP($A710,Korrelation!$D$4:$D$1197,Korrelation!E$4:E$1197,"-",0)="-",0,MATCH(_xlfn.XLOOKUP($A710,Korrelation!$D$4:$D$1197,Korrelation!E$4:E$1197,"",0),DMAV_Modell!$G$6:$G$677,0)))</f>
        <v>386</v>
      </c>
      <c r="C710" s="57">
        <f>IF($A710="","",IF(_xlfn.XLOOKUP($A710,Korrelation!$D$4:$D$1197,Korrelation!F$4:F$1197,"-",0)="-",0,MATCH(_xlfn.XLOOKUP($A710,Korrelation!$D$4:$D$1197,Korrelation!F$4:F$1197,"",0),DMAV_Modell!$G$6:$G$677,0)))</f>
        <v>26</v>
      </c>
      <c r="D710" s="57">
        <f>IF($A710="","",IF(_xlfn.XLOOKUP($A710,Korrelation!$D$4:$D$1197,Korrelation!G$4:G$1197,"-",0)="-",0,MATCH(_xlfn.XLOOKUP($A710,Korrelation!$D$4:$D$1197,Korrelation!G$4:G$1197,"",0),DMAV_Modell!$G$6:$G$677,0)))</f>
        <v>30</v>
      </c>
      <c r="E710" s="57">
        <f>IF($A710="","",IF(_xlfn.XLOOKUP($A710,Korrelation!$D$4:$D$1197,Korrelation!H$4:H$1197,"-",0)="-",0,MATCH(_xlfn.XLOOKUP($A710,Korrelation!$D$4:$D$1197,Korrelation!H$4:H$1197,"",0),DMAV_Dienste!$F$6:$F$140,0)))</f>
        <v>0</v>
      </c>
      <c r="F710" s="57">
        <f>IF($A710="","",IF(_xlfn.XLOOKUP($A710,Korrelation!$D$4:$D$1197,Korrelation!I$4:I$1197,"-",0)="-",0,MATCH(_xlfn.XLOOKUP($A710,Korrelation!$D$4:$D$1197,Korrelation!I$4:I$1197,"",0),DMAV_Dienste!$F$6:$F$140,0)))</f>
        <v>0</v>
      </c>
      <c r="G710" s="57">
        <f>IF($A710="","",IF(_xlfn.XLOOKUP($A710,Korrelation!$D$4:$D$1197,Korrelation!J$4:J$1197,"-",0)="-",0,MATCH(_xlfn.XLOOKUP($A710,Korrelation!$D$4:$D$1197,Korrelation!J$4:J$1197,"",0),DMAV_Dienste!$F$6:$F$140,0)))</f>
        <v>0</v>
      </c>
      <c r="H710" s="57">
        <f>IF($A710="","",IF(_xlfn.XLOOKUP($A710,Korrelation!$D$4:$D$1197,Korrelation!K$4:K$1197,"-",0)="-",0,MATCH(_xlfn.XLOOKUP($A710,Korrelation!$D$4:$D$1197,Korrelation!K$4:K$1197,"",0),'DM01-AV-CH'!$A$6:$A$834,0)))</f>
        <v>409</v>
      </c>
      <c r="J710" s="54" t="str" cm="1">
        <f t="array" aca="1" ref="J710" ca="1">IF(B710=0,IF(E710=0,"",HYPERLINK("#"&amp;RIGHT(CELL("adresse",OFFSET(DMAV_Dienste!$M$6,E710-1,0)),LEN(CELL("adresse",OFFSET(DMAV_Dienste!$M$6,E710-1,0)))-FIND("]",CELL("adresse",OFFSET(DMAV_Dienste!$M$6,E710-1,0)))),"Dienst")),HYPERLINK("#"&amp;RIGHT(CELL("adresse",OFFSET(DMAV_Modell!$N$6,B710-1,0)),LEN(CELL("adresse",OFFSET(DMAV_Modell!$N$6,B710-1,0)))-FIND("]",CELL("adresse",OFFSET(DMAV_Modell!$N$6,B710-1,0)))),"Modell"))</f>
        <v>Modell</v>
      </c>
      <c r="K710" s="61" t="str" cm="1">
        <f t="array" ref="K710">IF($B710=0,IF($E710=0,"",IF(INDEX(DMAV_Dienste!P$6:P$140,$E710)="","",INDEX(DMAV_Dienste!P$6:P$140,$E710))),IF(INDEX(DMAV_Modell!Q$6:Q$838,$B710)="","",INDEX(DMAV_Modell!Q$6:Q$838,$B710)))</f>
        <v>CLASS</v>
      </c>
      <c r="L710" s="62" t="str" cm="1">
        <f t="array" ref="L710">IF($B710=0,IF($E710=0,"",IF(INDEX(DMAV_Dienste!O$6:O$140,$E710)="","",INDEX(DMAV_Dienste!O$6:O$140,$E710))),IF(INDEX(DMAV_Modell!P$6:P$838,$B710)="","",INDEX(DMAV_Modell!P$6:P$838,$B710)))</f>
        <v>Nomenklatur</v>
      </c>
      <c r="M710" s="62" t="str" cm="1">
        <f t="array" ref="M710">IF($B710=0,IF($E710=0,"",IF(INDEX(DMAV_Dienste!Q$6:Q$140,$E710)="","",INDEX(DMAV_Dienste!Q$6:Q$140,$E710))),IF(INDEX(DMAV_Modell!R$6:R$838,$B710)="","",INDEX(DMAV_Modell!R$6:R$838,$B710)))</f>
        <v>Gelaendename</v>
      </c>
      <c r="N710" s="62" t="str" cm="1">
        <f t="array" ref="N710">IF($B710=0,IF($E710=0,"",IF(INDEX(DMAV_Dienste!T$6:T$140,$E710)="","",INDEX(DMAV_Dienste!T$6:T$140,$E710))),IF(INDEX(DMAV_Modell!U$6:U$838,$B710)="","",INDEX(DMAV_Modell!U$6:U$838,$B710)))</f>
        <v>Textposition</v>
      </c>
      <c r="O710" s="63" t="str" cm="1">
        <f t="array" aca="1" ref="O710" ca="1">IF(C710=0,IF(F710=0,"",HYPERLINK("#"&amp;RIGHT(CELL("adresse",OFFSET(DMAV_Dienste!$M$6,F710-1,0)),LEN(CELL("adresse",OFFSET(DMAV_Dienste!$M$6,F710-1,0)))-FIND("]",CELL("adresse",OFFSET(DMAV_Dienste!$M$6,F710-1,0)))),"Structure")),HYPERLINK("#"&amp;RIGHT(CELL("adresse",OFFSET(DMAV_Modell!$N$6,C710-1,0)),LEN(CELL("adresse",OFFSET(DMAV_Modell!$N$6,C710-1,0)))-FIND("]",CELL("adresse",OFFSET(DMAV_Modell!$N$6,C710-1,0)))),"Structure"))</f>
        <v>Structure</v>
      </c>
      <c r="P710" s="64" t="str" cm="1">
        <f t="array" aca="1" ref="P710" ca="1">IF(D710=0,IF(G710=0,"",HYPERLINK("#"&amp;RIGHT(CELL("adresse",OFFSET(DMAV_Dienste!$M$6,G710-1,0)),LEN(CELL("adresse",OFFSET(DMAV_Dienste!$M$6,G710-1,0)))-FIND("]",CELL("adresse",OFFSET(DMAV_Dienste!$M$6,G710-1,0)))),"Substructure")),HYPERLINK("#"&amp;RIGHT(CELL("adresse",OFFSET(DMAV_Modell!$N$6,D710-1,0)),LEN(CELL("adresse",OFFSET(DMAV_Modell!$N$6,D710-1,0)))-FIND("]",CELL("adresse",OFFSET(DMAV_Modell!$N$6,D710-1,0)))),"Substructure"))</f>
        <v>Substructure</v>
      </c>
      <c r="R710" s="80"/>
      <c r="T710" s="93"/>
      <c r="U710" s="94"/>
      <c r="V710" s="95" t="s">
        <v>3163</v>
      </c>
      <c r="W710" s="96"/>
      <c r="Y710" s="85"/>
      <c r="Z710" s="86" t="s">
        <v>2980</v>
      </c>
      <c r="AA710" s="87" t="s">
        <v>3046</v>
      </c>
      <c r="AB710" s="88"/>
      <c r="AD710" s="77"/>
      <c r="AF710" s="54" t="str" cm="1">
        <f t="array" aca="1" ref="AF710" ca="1">IF(H710=0,"",HYPERLINK("#"&amp;RIGHT(CELL("adresse",OFFSET('DM01-AV-CH'!$G$6,H710-1,0)),LEN(CELL("adresse",OFFSET('DM01-AV-CH'!$G$6,H710-1,0)))-FIND("]",CELL("adresse",OFFSET('DM01-AV-CH'!$G$6,H710-1,0)))),"Modell"))</f>
        <v>Modell</v>
      </c>
      <c r="AG710" s="72" t="str" cm="1">
        <f t="array" ref="AG710">IF($H710=0,"",IF(INDEX('DM01-AV-CH'!G$6:G$834,$H710)="","",INDEX('DM01-AV-CH'!G$6:G$834,$H710)))</f>
        <v>Nomenklatur</v>
      </c>
      <c r="AH710" s="73" t="str" cm="1">
        <f t="array" ref="AH710">IF($H710=0,"",IF(INDEX('DM01-AV-CH'!H$6:H$834,$H710)="","",INDEX('DM01-AV-CH'!H$6:H$834,$H710)))</f>
        <v>GelaendenamePos</v>
      </c>
      <c r="AI710" s="74" t="str" cm="1">
        <f t="array" ref="AI710">IF($H710=0,"",IF(INDEX('DM01-AV-CH'!I$6:I$834,$H710)="","",INDEX('DM01-AV-CH'!I$6:I$834,$H710)))</f>
        <v>HAli</v>
      </c>
    </row>
    <row r="711" spans="1:35" ht="28.5" x14ac:dyDescent="0.25">
      <c r="A711" s="57">
        <v>706</v>
      </c>
      <c r="B711" s="57">
        <f>IF($A711="","",IF(_xlfn.XLOOKUP($A711,Korrelation!$D$4:$D$1197,Korrelation!E$4:E$1197,"-",0)="-",0,MATCH(_xlfn.XLOOKUP($A711,Korrelation!$D$4:$D$1197,Korrelation!E$4:E$1197,"",0),DMAV_Modell!$G$6:$G$677,0)))</f>
        <v>386</v>
      </c>
      <c r="C711" s="57">
        <f>IF($A711="","",IF(_xlfn.XLOOKUP($A711,Korrelation!$D$4:$D$1197,Korrelation!F$4:F$1197,"-",0)="-",0,MATCH(_xlfn.XLOOKUP($A711,Korrelation!$D$4:$D$1197,Korrelation!F$4:F$1197,"",0),DMAV_Modell!$G$6:$G$677,0)))</f>
        <v>26</v>
      </c>
      <c r="D711" s="57">
        <f>IF($A711="","",IF(_xlfn.XLOOKUP($A711,Korrelation!$D$4:$D$1197,Korrelation!G$4:G$1197,"-",0)="-",0,MATCH(_xlfn.XLOOKUP($A711,Korrelation!$D$4:$D$1197,Korrelation!G$4:G$1197,"",0),DMAV_Modell!$G$6:$G$677,0)))</f>
        <v>31</v>
      </c>
      <c r="E711" s="57">
        <f>IF($A711="","",IF(_xlfn.XLOOKUP($A711,Korrelation!$D$4:$D$1197,Korrelation!H$4:H$1197,"-",0)="-",0,MATCH(_xlfn.XLOOKUP($A711,Korrelation!$D$4:$D$1197,Korrelation!H$4:H$1197,"",0),DMAV_Dienste!$F$6:$F$140,0)))</f>
        <v>0</v>
      </c>
      <c r="F711" s="57">
        <f>IF($A711="","",IF(_xlfn.XLOOKUP($A711,Korrelation!$D$4:$D$1197,Korrelation!I$4:I$1197,"-",0)="-",0,MATCH(_xlfn.XLOOKUP($A711,Korrelation!$D$4:$D$1197,Korrelation!I$4:I$1197,"",0),DMAV_Dienste!$F$6:$F$140,0)))</f>
        <v>0</v>
      </c>
      <c r="G711" s="57">
        <f>IF($A711="","",IF(_xlfn.XLOOKUP($A711,Korrelation!$D$4:$D$1197,Korrelation!J$4:J$1197,"-",0)="-",0,MATCH(_xlfn.XLOOKUP($A711,Korrelation!$D$4:$D$1197,Korrelation!J$4:J$1197,"",0),DMAV_Dienste!$F$6:$F$140,0)))</f>
        <v>0</v>
      </c>
      <c r="H711" s="57">
        <f>IF($A711="","",IF(_xlfn.XLOOKUP($A711,Korrelation!$D$4:$D$1197,Korrelation!K$4:K$1197,"-",0)="-",0,MATCH(_xlfn.XLOOKUP($A711,Korrelation!$D$4:$D$1197,Korrelation!K$4:K$1197,"",0),'DM01-AV-CH'!$A$6:$A$834,0)))</f>
        <v>410</v>
      </c>
      <c r="J711" s="54" t="str" cm="1">
        <f t="array" aca="1" ref="J711" ca="1">IF(B711=0,IF(E711=0,"",HYPERLINK("#"&amp;RIGHT(CELL("adresse",OFFSET(DMAV_Dienste!$M$6,E711-1,0)),LEN(CELL("adresse",OFFSET(DMAV_Dienste!$M$6,E711-1,0)))-FIND("]",CELL("adresse",OFFSET(DMAV_Dienste!$M$6,E711-1,0)))),"Dienst")),HYPERLINK("#"&amp;RIGHT(CELL("adresse",OFFSET(DMAV_Modell!$N$6,B711-1,0)),LEN(CELL("adresse",OFFSET(DMAV_Modell!$N$6,B711-1,0)))-FIND("]",CELL("adresse",OFFSET(DMAV_Modell!$N$6,B711-1,0)))),"Modell"))</f>
        <v>Modell</v>
      </c>
      <c r="K711" s="61" t="str" cm="1">
        <f t="array" ref="K711">IF($B711=0,IF($E711=0,"",IF(INDEX(DMAV_Dienste!P$6:P$140,$E711)="","",INDEX(DMAV_Dienste!P$6:P$140,$E711))),IF(INDEX(DMAV_Modell!Q$6:Q$838,$B711)="","",INDEX(DMAV_Modell!Q$6:Q$838,$B711)))</f>
        <v>CLASS</v>
      </c>
      <c r="L711" s="62" t="str" cm="1">
        <f t="array" ref="L711">IF($B711=0,IF($E711=0,"",IF(INDEX(DMAV_Dienste!O$6:O$140,$E711)="","",INDEX(DMAV_Dienste!O$6:O$140,$E711))),IF(INDEX(DMAV_Modell!P$6:P$838,$B711)="","",INDEX(DMAV_Modell!P$6:P$838,$B711)))</f>
        <v>Nomenklatur</v>
      </c>
      <c r="M711" s="62" t="str" cm="1">
        <f t="array" ref="M711">IF($B711=0,IF($E711=0,"",IF(INDEX(DMAV_Dienste!Q$6:Q$140,$E711)="","",INDEX(DMAV_Dienste!Q$6:Q$140,$E711))),IF(INDEX(DMAV_Modell!R$6:R$838,$B711)="","",INDEX(DMAV_Modell!R$6:R$838,$B711)))</f>
        <v>Gelaendename</v>
      </c>
      <c r="N711" s="62" t="str" cm="1">
        <f t="array" ref="N711">IF($B711=0,IF($E711=0,"",IF(INDEX(DMAV_Dienste!T$6:T$140,$E711)="","",INDEX(DMAV_Dienste!T$6:T$140,$E711))),IF(INDEX(DMAV_Modell!U$6:U$838,$B711)="","",INDEX(DMAV_Modell!U$6:U$838,$B711)))</f>
        <v>Textposition</v>
      </c>
      <c r="O711" s="63" t="str" cm="1">
        <f t="array" aca="1" ref="O711" ca="1">IF(C711=0,IF(F711=0,"",HYPERLINK("#"&amp;RIGHT(CELL("adresse",OFFSET(DMAV_Dienste!$M$6,F711-1,0)),LEN(CELL("adresse",OFFSET(DMAV_Dienste!$M$6,F711-1,0)))-FIND("]",CELL("adresse",OFFSET(DMAV_Dienste!$M$6,F711-1,0)))),"Structure")),HYPERLINK("#"&amp;RIGHT(CELL("adresse",OFFSET(DMAV_Modell!$N$6,C711-1,0)),LEN(CELL("adresse",OFFSET(DMAV_Modell!$N$6,C711-1,0)))-FIND("]",CELL("adresse",OFFSET(DMAV_Modell!$N$6,C711-1,0)))),"Structure"))</f>
        <v>Structure</v>
      </c>
      <c r="P711" s="64" t="str" cm="1">
        <f t="array" aca="1" ref="P711" ca="1">IF(D711=0,IF(G711=0,"",HYPERLINK("#"&amp;RIGHT(CELL("adresse",OFFSET(DMAV_Dienste!$M$6,G711-1,0)),LEN(CELL("adresse",OFFSET(DMAV_Dienste!$M$6,G711-1,0)))-FIND("]",CELL("adresse",OFFSET(DMAV_Dienste!$M$6,G711-1,0)))),"Substructure")),HYPERLINK("#"&amp;RIGHT(CELL("adresse",OFFSET(DMAV_Modell!$N$6,D711-1,0)),LEN(CELL("adresse",OFFSET(DMAV_Modell!$N$6,D711-1,0)))-FIND("]",CELL("adresse",OFFSET(DMAV_Modell!$N$6,D711-1,0)))),"Substructure"))</f>
        <v>Substructure</v>
      </c>
      <c r="R711" s="80"/>
      <c r="T711" s="93"/>
      <c r="U711" s="94"/>
      <c r="V711" s="95" t="s">
        <v>3164</v>
      </c>
      <c r="W711" s="96"/>
      <c r="Y711" s="85"/>
      <c r="Z711" s="86" t="s">
        <v>2980</v>
      </c>
      <c r="AA711" s="87" t="s">
        <v>3047</v>
      </c>
      <c r="AB711" s="88"/>
      <c r="AD711" s="77"/>
      <c r="AF711" s="54" t="str" cm="1">
        <f t="array" aca="1" ref="AF711" ca="1">IF(H711=0,"",HYPERLINK("#"&amp;RIGHT(CELL("adresse",OFFSET('DM01-AV-CH'!$G$6,H711-1,0)),LEN(CELL("adresse",OFFSET('DM01-AV-CH'!$G$6,H711-1,0)))-FIND("]",CELL("adresse",OFFSET('DM01-AV-CH'!$G$6,H711-1,0)))),"Modell"))</f>
        <v>Modell</v>
      </c>
      <c r="AG711" s="72" t="str" cm="1">
        <f t="array" ref="AG711">IF($H711=0,"",IF(INDEX('DM01-AV-CH'!G$6:G$834,$H711)="","",INDEX('DM01-AV-CH'!G$6:G$834,$H711)))</f>
        <v>Nomenklatur</v>
      </c>
      <c r="AH711" s="73" t="str" cm="1">
        <f t="array" ref="AH711">IF($H711=0,"",IF(INDEX('DM01-AV-CH'!H$6:H$834,$H711)="","",INDEX('DM01-AV-CH'!H$6:H$834,$H711)))</f>
        <v>GelaendenamePos</v>
      </c>
      <c r="AI711" s="74" t="str" cm="1">
        <f t="array" ref="AI711">IF($H711=0,"",IF(INDEX('DM01-AV-CH'!I$6:I$834,$H711)="","",INDEX('DM01-AV-CH'!I$6:I$834,$H711)))</f>
        <v>VAli</v>
      </c>
    </row>
    <row r="712" spans="1:35" ht="28.5" x14ac:dyDescent="0.25">
      <c r="A712" s="57">
        <v>707</v>
      </c>
      <c r="B712" s="57">
        <f>IF($A712="","",IF(_xlfn.XLOOKUP($A712,Korrelation!$D$4:$D$1197,Korrelation!E$4:E$1197,"-",0)="-",0,MATCH(_xlfn.XLOOKUP($A712,Korrelation!$D$4:$D$1197,Korrelation!E$4:E$1197,"",0),DMAV_Modell!$G$6:$G$677,0)))</f>
        <v>386</v>
      </c>
      <c r="C712" s="57">
        <f>IF($A712="","",IF(_xlfn.XLOOKUP($A712,Korrelation!$D$4:$D$1197,Korrelation!F$4:F$1197,"-",0)="-",0,MATCH(_xlfn.XLOOKUP($A712,Korrelation!$D$4:$D$1197,Korrelation!F$4:F$1197,"",0),DMAV_Modell!$G$6:$G$677,0)))</f>
        <v>26</v>
      </c>
      <c r="D712" s="57">
        <f>IF($A712="","",IF(_xlfn.XLOOKUP($A712,Korrelation!$D$4:$D$1197,Korrelation!G$4:G$1197,"-",0)="-",0,MATCH(_xlfn.XLOOKUP($A712,Korrelation!$D$4:$D$1197,Korrelation!G$4:G$1197,"",0),DMAV_Modell!$G$6:$G$677,0)))</f>
        <v>29</v>
      </c>
      <c r="E712" s="57">
        <f>IF($A712="","",IF(_xlfn.XLOOKUP($A712,Korrelation!$D$4:$D$1197,Korrelation!H$4:H$1197,"-",0)="-",0,MATCH(_xlfn.XLOOKUP($A712,Korrelation!$D$4:$D$1197,Korrelation!H$4:H$1197,"",0),DMAV_Dienste!$F$6:$F$140,0)))</f>
        <v>0</v>
      </c>
      <c r="F712" s="57">
        <f>IF($A712="","",IF(_xlfn.XLOOKUP($A712,Korrelation!$D$4:$D$1197,Korrelation!I$4:I$1197,"-",0)="-",0,MATCH(_xlfn.XLOOKUP($A712,Korrelation!$D$4:$D$1197,Korrelation!I$4:I$1197,"",0),DMAV_Dienste!$F$6:$F$140,0)))</f>
        <v>0</v>
      </c>
      <c r="G712" s="57">
        <f>IF($A712="","",IF(_xlfn.XLOOKUP($A712,Korrelation!$D$4:$D$1197,Korrelation!J$4:J$1197,"-",0)="-",0,MATCH(_xlfn.XLOOKUP($A712,Korrelation!$D$4:$D$1197,Korrelation!J$4:J$1197,"",0),DMAV_Dienste!$F$6:$F$140,0)))</f>
        <v>0</v>
      </c>
      <c r="H712" s="57">
        <f>IF($A712="","",IF(_xlfn.XLOOKUP($A712,Korrelation!$D$4:$D$1197,Korrelation!K$4:K$1197,"-",0)="-",0,MATCH(_xlfn.XLOOKUP($A712,Korrelation!$D$4:$D$1197,Korrelation!K$4:K$1197,"",0),'DM01-AV-CH'!$A$6:$A$834,0)))</f>
        <v>411</v>
      </c>
      <c r="J712" s="54" t="str" cm="1">
        <f t="array" aca="1" ref="J712" ca="1">IF(B712=0,IF(E712=0,"",HYPERLINK("#"&amp;RIGHT(CELL("adresse",OFFSET(DMAV_Dienste!$M$6,E712-1,0)),LEN(CELL("adresse",OFFSET(DMAV_Dienste!$M$6,E712-1,0)))-FIND("]",CELL("adresse",OFFSET(DMAV_Dienste!$M$6,E712-1,0)))),"Dienst")),HYPERLINK("#"&amp;RIGHT(CELL("adresse",OFFSET(DMAV_Modell!$N$6,B712-1,0)),LEN(CELL("adresse",OFFSET(DMAV_Modell!$N$6,B712-1,0)))-FIND("]",CELL("adresse",OFFSET(DMAV_Modell!$N$6,B712-1,0)))),"Modell"))</f>
        <v>Modell</v>
      </c>
      <c r="K712" s="61" t="str" cm="1">
        <f t="array" ref="K712">IF($B712=0,IF($E712=0,"",IF(INDEX(DMAV_Dienste!P$6:P$140,$E712)="","",INDEX(DMAV_Dienste!P$6:P$140,$E712))),IF(INDEX(DMAV_Modell!Q$6:Q$838,$B712)="","",INDEX(DMAV_Modell!Q$6:Q$838,$B712)))</f>
        <v>CLASS</v>
      </c>
      <c r="L712" s="62" t="str" cm="1">
        <f t="array" ref="L712">IF($B712=0,IF($E712=0,"",IF(INDEX(DMAV_Dienste!O$6:O$140,$E712)="","",INDEX(DMAV_Dienste!O$6:O$140,$E712))),IF(INDEX(DMAV_Modell!P$6:P$838,$B712)="","",INDEX(DMAV_Modell!P$6:P$838,$B712)))</f>
        <v>Nomenklatur</v>
      </c>
      <c r="M712" s="62" t="str" cm="1">
        <f t="array" ref="M712">IF($B712=0,IF($E712=0,"",IF(INDEX(DMAV_Dienste!Q$6:Q$140,$E712)="","",INDEX(DMAV_Dienste!Q$6:Q$140,$E712))),IF(INDEX(DMAV_Modell!R$6:R$838,$B712)="","",INDEX(DMAV_Modell!R$6:R$838,$B712)))</f>
        <v>Gelaendename</v>
      </c>
      <c r="N712" s="62" t="str" cm="1">
        <f t="array" ref="N712">IF($B712=0,IF($E712=0,"",IF(INDEX(DMAV_Dienste!T$6:T$140,$E712)="","",INDEX(DMAV_Dienste!T$6:T$140,$E712))),IF(INDEX(DMAV_Modell!U$6:U$838,$B712)="","",INDEX(DMAV_Modell!U$6:U$838,$B712)))</f>
        <v>Textposition</v>
      </c>
      <c r="O712" s="63" t="str" cm="1">
        <f t="array" aca="1" ref="O712" ca="1">IF(C712=0,IF(F712=0,"",HYPERLINK("#"&amp;RIGHT(CELL("adresse",OFFSET(DMAV_Dienste!$M$6,F712-1,0)),LEN(CELL("adresse",OFFSET(DMAV_Dienste!$M$6,F712-1,0)))-FIND("]",CELL("adresse",OFFSET(DMAV_Dienste!$M$6,F712-1,0)))),"Structure")),HYPERLINK("#"&amp;RIGHT(CELL("adresse",OFFSET(DMAV_Modell!$N$6,C712-1,0)),LEN(CELL("adresse",OFFSET(DMAV_Modell!$N$6,C712-1,0)))-FIND("]",CELL("adresse",OFFSET(DMAV_Modell!$N$6,C712-1,0)))),"Structure"))</f>
        <v>Structure</v>
      </c>
      <c r="P712" s="64" t="str" cm="1">
        <f t="array" aca="1" ref="P712" ca="1">IF(D712=0,IF(G712=0,"",HYPERLINK("#"&amp;RIGHT(CELL("adresse",OFFSET(DMAV_Dienste!$M$6,G712-1,0)),LEN(CELL("adresse",OFFSET(DMAV_Dienste!$M$6,G712-1,0)))-FIND("]",CELL("adresse",OFFSET(DMAV_Dienste!$M$6,G712-1,0)))),"Substructure")),HYPERLINK("#"&amp;RIGHT(CELL("adresse",OFFSET(DMAV_Modell!$N$6,D712-1,0)),LEN(CELL("adresse",OFFSET(DMAV_Modell!$N$6,D712-1,0)))-FIND("]",CELL("adresse",OFFSET(DMAV_Modell!$N$6,D712-1,0)))),"Substructure"))</f>
        <v>Substructure</v>
      </c>
      <c r="R712" s="80"/>
      <c r="T712" s="93"/>
      <c r="U712" s="94"/>
      <c r="V712" s="95" t="s">
        <v>3165</v>
      </c>
      <c r="W712" s="96"/>
      <c r="Y712" s="85"/>
      <c r="Z712" s="86" t="s">
        <v>2980</v>
      </c>
      <c r="AA712" s="87" t="s">
        <v>3320</v>
      </c>
      <c r="AB712" s="88"/>
      <c r="AD712" s="77"/>
      <c r="AF712" s="54" t="str" cm="1">
        <f t="array" aca="1" ref="AF712" ca="1">IF(H712=0,"",HYPERLINK("#"&amp;RIGHT(CELL("adresse",OFFSET('DM01-AV-CH'!$G$6,H712-1,0)),LEN(CELL("adresse",OFFSET('DM01-AV-CH'!$G$6,H712-1,0)))-FIND("]",CELL("adresse",OFFSET('DM01-AV-CH'!$G$6,H712-1,0)))),"Modell"))</f>
        <v>Modell</v>
      </c>
      <c r="AG712" s="72" t="str" cm="1">
        <f t="array" ref="AG712">IF($H712=0,"",IF(INDEX('DM01-AV-CH'!G$6:G$834,$H712)="","",INDEX('DM01-AV-CH'!G$6:G$834,$H712)))</f>
        <v>Nomenklatur</v>
      </c>
      <c r="AH712" s="73" t="str" cm="1">
        <f t="array" ref="AH712">IF($H712=0,"",IF(INDEX('DM01-AV-CH'!H$6:H$834,$H712)="","",INDEX('DM01-AV-CH'!H$6:H$834,$H712)))</f>
        <v>GelaendenamePos</v>
      </c>
      <c r="AI712" s="74" t="str" cm="1">
        <f t="array" ref="AI712">IF($H712=0,"",IF(INDEX('DM01-AV-CH'!I$6:I$834,$H712)="","",INDEX('DM01-AV-CH'!I$6:I$834,$H712)))</f>
        <v>Groesse</v>
      </c>
    </row>
    <row r="713" spans="1:35" x14ac:dyDescent="0.25">
      <c r="A713" s="57">
        <v>708</v>
      </c>
      <c r="B713" s="57">
        <f>IF($A713="","",IF(_xlfn.XLOOKUP($A713,Korrelation!$D$4:$D$1197,Korrelation!E$4:E$1197,"-",0)="-",0,MATCH(_xlfn.XLOOKUP($A713,Korrelation!$D$4:$D$1197,Korrelation!E$4:E$1197,"",0),DMAV_Modell!$G$6:$G$677,0)))</f>
        <v>0</v>
      </c>
      <c r="C713" s="57">
        <f>IF($A713="","",IF(_xlfn.XLOOKUP($A713,Korrelation!$D$4:$D$1197,Korrelation!F$4:F$1197,"-",0)="-",0,MATCH(_xlfn.XLOOKUP($A713,Korrelation!$D$4:$D$1197,Korrelation!F$4:F$1197,"",0),DMAV_Modell!$G$6:$G$677,0)))</f>
        <v>0</v>
      </c>
      <c r="D713" s="57">
        <f>IF($A713="","",IF(_xlfn.XLOOKUP($A713,Korrelation!$D$4:$D$1197,Korrelation!G$4:G$1197,"-",0)="-",0,MATCH(_xlfn.XLOOKUP($A713,Korrelation!$D$4:$D$1197,Korrelation!G$4:G$1197,"",0),DMAV_Modell!$G$6:$G$677,0)))</f>
        <v>0</v>
      </c>
      <c r="E713" s="57">
        <f>IF($A713="","",IF(_xlfn.XLOOKUP($A713,Korrelation!$D$4:$D$1197,Korrelation!H$4:H$1197,"-",0)="-",0,MATCH(_xlfn.XLOOKUP($A713,Korrelation!$D$4:$D$1197,Korrelation!H$4:H$1197,"",0),DMAV_Dienste!$F$6:$F$140,0)))</f>
        <v>0</v>
      </c>
      <c r="F713" s="57">
        <f>IF($A713="","",IF(_xlfn.XLOOKUP($A713,Korrelation!$D$4:$D$1197,Korrelation!I$4:I$1197,"-",0)="-",0,MATCH(_xlfn.XLOOKUP($A713,Korrelation!$D$4:$D$1197,Korrelation!I$4:I$1197,"",0),DMAV_Dienste!$F$6:$F$140,0)))</f>
        <v>0</v>
      </c>
      <c r="G713" s="57">
        <f>IF($A713="","",IF(_xlfn.XLOOKUP($A713,Korrelation!$D$4:$D$1197,Korrelation!J$4:J$1197,"-",0)="-",0,MATCH(_xlfn.XLOOKUP($A713,Korrelation!$D$4:$D$1197,Korrelation!J$4:J$1197,"",0),DMAV_Dienste!$F$6:$F$140,0)))</f>
        <v>0</v>
      </c>
      <c r="H713" s="57">
        <f>IF($A713="","",IF(_xlfn.XLOOKUP($A713,Korrelation!$D$4:$D$1197,Korrelation!K$4:K$1197,"-",0)="-",0,MATCH(_xlfn.XLOOKUP($A713,Korrelation!$D$4:$D$1197,Korrelation!K$4:K$1197,"",0),'DM01-AV-CH'!$A$6:$A$834,0)))</f>
        <v>412</v>
      </c>
      <c r="J713" s="54" t="str" cm="1">
        <f t="array" aca="1" ref="J713" ca="1">IF(B713=0,IF(E713=0,"",HYPERLINK("#"&amp;RIGHT(CELL("adresse",OFFSET(DMAV_Dienste!$M$6,E713-1,0)),LEN(CELL("adresse",OFFSET(DMAV_Dienste!$M$6,E713-1,0)))-FIND("]",CELL("adresse",OFFSET(DMAV_Dienste!$M$6,E713-1,0)))),"Dienst")),HYPERLINK("#"&amp;RIGHT(CELL("adresse",OFFSET(DMAV_Modell!$N$6,B713-1,0)),LEN(CELL("adresse",OFFSET(DMAV_Modell!$N$6,B713-1,0)))-FIND("]",CELL("adresse",OFFSET(DMAV_Modell!$N$6,B713-1,0)))),"Modell"))</f>
        <v/>
      </c>
      <c r="K713" s="61" t="str" cm="1">
        <f t="array" ref="K713">IF($B713=0,IF($E713=0,"",IF(INDEX(DMAV_Dienste!P$6:P$140,$E713)="","",INDEX(DMAV_Dienste!P$6:P$140,$E713))),IF(INDEX(DMAV_Modell!Q$6:Q$838,$B713)="","",INDEX(DMAV_Modell!Q$6:Q$838,$B713)))</f>
        <v/>
      </c>
      <c r="L713" s="62" t="str" cm="1">
        <f t="array" ref="L713">IF($B713=0,IF($E713=0,"",IF(INDEX(DMAV_Dienste!O$6:O$140,$E713)="","",INDEX(DMAV_Dienste!O$6:O$140,$E713))),IF(INDEX(DMAV_Modell!P$6:P$838,$B713)="","",INDEX(DMAV_Modell!P$6:P$838,$B713)))</f>
        <v/>
      </c>
      <c r="M713" s="62" t="str" cm="1">
        <f t="array" ref="M713">IF($B713=0,IF($E713=0,"",IF(INDEX(DMAV_Dienste!Q$6:Q$140,$E713)="","",INDEX(DMAV_Dienste!Q$6:Q$140,$E713))),IF(INDEX(DMAV_Modell!R$6:R$838,$B713)="","",INDEX(DMAV_Modell!R$6:R$838,$B713)))</f>
        <v/>
      </c>
      <c r="N713" s="62" t="str" cm="1">
        <f t="array" ref="N713">IF($B713=0,IF($E713=0,"",IF(INDEX(DMAV_Dienste!T$6:T$140,$E713)="","",INDEX(DMAV_Dienste!T$6:T$140,$E713))),IF(INDEX(DMAV_Modell!U$6:U$838,$B713)="","",INDEX(DMAV_Modell!U$6:U$838,$B713)))</f>
        <v/>
      </c>
      <c r="O713" s="63" t="str" cm="1">
        <f t="array" aca="1" ref="O713" ca="1">IF(C713=0,IF(F713=0,"",HYPERLINK("#"&amp;RIGHT(CELL("adresse",OFFSET(DMAV_Dienste!$M$6,F713-1,0)),LEN(CELL("adresse",OFFSET(DMAV_Dienste!$M$6,F713-1,0)))-FIND("]",CELL("adresse",OFFSET(DMAV_Dienste!$M$6,F713-1,0)))),"Structure")),HYPERLINK("#"&amp;RIGHT(CELL("adresse",OFFSET(DMAV_Modell!$N$6,C713-1,0)),LEN(CELL("adresse",OFFSET(DMAV_Modell!$N$6,C713-1,0)))-FIND("]",CELL("adresse",OFFSET(DMAV_Modell!$N$6,C713-1,0)))),"Structure"))</f>
        <v/>
      </c>
      <c r="P713" s="64" t="str" cm="1">
        <f t="array" aca="1" ref="P713" ca="1">IF(D713=0,IF(G713=0,"",HYPERLINK("#"&amp;RIGHT(CELL("adresse",OFFSET(DMAV_Dienste!$M$6,G713-1,0)),LEN(CELL("adresse",OFFSET(DMAV_Dienste!$M$6,G713-1,0)))-FIND("]",CELL("adresse",OFFSET(DMAV_Dienste!$M$6,G713-1,0)))),"Substructure")),HYPERLINK("#"&amp;RIGHT(CELL("adresse",OFFSET(DMAV_Modell!$N$6,D713-1,0)),LEN(CELL("adresse",OFFSET(DMAV_Modell!$N$6,D713-1,0)))-FIND("]",CELL("adresse",OFFSET(DMAV_Modell!$N$6,D713-1,0)))),"Substructure"))</f>
        <v/>
      </c>
      <c r="R713" s="80"/>
      <c r="T713" s="93"/>
      <c r="U713" s="94"/>
      <c r="V713" s="95"/>
      <c r="W713" s="96"/>
      <c r="Y713" s="85"/>
      <c r="Z713" s="86"/>
      <c r="AA713" s="87"/>
      <c r="AB713" s="88"/>
      <c r="AD713" s="77" t="s">
        <v>2178</v>
      </c>
      <c r="AF713" s="54" t="str" cm="1">
        <f t="array" aca="1" ref="AF713" ca="1">IF(H713=0,"",HYPERLINK("#"&amp;RIGHT(CELL("adresse",OFFSET('DM01-AV-CH'!$G$6,H713-1,0)),LEN(CELL("adresse",OFFSET('DM01-AV-CH'!$G$6,H713-1,0)))-FIND("]",CELL("adresse",OFFSET('DM01-AV-CH'!$G$6,H713-1,0)))),"Modell"))</f>
        <v>Modell</v>
      </c>
      <c r="AG713" s="72" t="str" cm="1">
        <f t="array" ref="AG713">IF($H713=0,"",IF(INDEX('DM01-AV-CH'!G$6:G$834,$H713)="","",INDEX('DM01-AV-CH'!G$6:G$834,$H713)))</f>
        <v>Nomenklatur</v>
      </c>
      <c r="AH713" s="73" t="str" cm="1">
        <f t="array" ref="AH713">IF($H713=0,"",IF(INDEX('DM01-AV-CH'!H$6:H$834,$H713)="","",INDEX('DM01-AV-CH'!H$6:H$834,$H713)))</f>
        <v>GelaendenamePos</v>
      </c>
      <c r="AI713" s="74" t="str" cm="1">
        <f t="array" ref="AI713">IF($H713=0,"",IF(INDEX('DM01-AV-CH'!I$6:I$834,$H713)="","",INDEX('DM01-AV-CH'!I$6:I$834,$H713)))</f>
        <v>Stil</v>
      </c>
    </row>
    <row r="714" spans="1:35" x14ac:dyDescent="0.25">
      <c r="A714" s="57">
        <v>709</v>
      </c>
      <c r="B714" s="57">
        <f>IF($A714="","",IF(_xlfn.XLOOKUP($A714,Korrelation!$D$4:$D$1197,Korrelation!E$4:E$1197,"-",0)="-",0,MATCH(_xlfn.XLOOKUP($A714,Korrelation!$D$4:$D$1197,Korrelation!E$4:E$1197,"",0),DMAV_Modell!$G$6:$G$677,0)))</f>
        <v>387</v>
      </c>
      <c r="C714" s="57">
        <f>IF($A714="","",IF(_xlfn.XLOOKUP($A714,Korrelation!$D$4:$D$1197,Korrelation!F$4:F$1197,"-",0)="-",0,MATCH(_xlfn.XLOOKUP($A714,Korrelation!$D$4:$D$1197,Korrelation!F$4:F$1197,"",0),DMAV_Modell!$G$6:$G$677,0)))</f>
        <v>0</v>
      </c>
      <c r="D714" s="57">
        <f>IF($A714="","",IF(_xlfn.XLOOKUP($A714,Korrelation!$D$4:$D$1197,Korrelation!G$4:G$1197,"-",0)="-",0,MATCH(_xlfn.XLOOKUP($A714,Korrelation!$D$4:$D$1197,Korrelation!G$4:G$1197,"",0),DMAV_Modell!$G$6:$G$677,0)))</f>
        <v>0</v>
      </c>
      <c r="E714" s="57">
        <f>IF($A714="","",IF(_xlfn.XLOOKUP($A714,Korrelation!$D$4:$D$1197,Korrelation!H$4:H$1197,"-",0)="-",0,MATCH(_xlfn.XLOOKUP($A714,Korrelation!$D$4:$D$1197,Korrelation!H$4:H$1197,"",0),DMAV_Dienste!$F$6:$F$140,0)))</f>
        <v>0</v>
      </c>
      <c r="F714" s="57">
        <f>IF($A714="","",IF(_xlfn.XLOOKUP($A714,Korrelation!$D$4:$D$1197,Korrelation!I$4:I$1197,"-",0)="-",0,MATCH(_xlfn.XLOOKUP($A714,Korrelation!$D$4:$D$1197,Korrelation!I$4:I$1197,"",0),DMAV_Dienste!$F$6:$F$140,0)))</f>
        <v>0</v>
      </c>
      <c r="G714" s="57">
        <f>IF($A714="","",IF(_xlfn.XLOOKUP($A714,Korrelation!$D$4:$D$1197,Korrelation!J$4:J$1197,"-",0)="-",0,MATCH(_xlfn.XLOOKUP($A714,Korrelation!$D$4:$D$1197,Korrelation!J$4:J$1197,"",0),DMAV_Dienste!$F$6:$F$140,0)))</f>
        <v>0</v>
      </c>
      <c r="H714" s="57">
        <f>IF($A714="","",IF(_xlfn.XLOOKUP($A714,Korrelation!$D$4:$D$1197,Korrelation!K$4:K$1197,"-",0)="-",0,MATCH(_xlfn.XLOOKUP($A714,Korrelation!$D$4:$D$1197,Korrelation!K$4:K$1197,"",0),'DM01-AV-CH'!$A$6:$A$834,0)))</f>
        <v>0</v>
      </c>
      <c r="J714" s="54" t="str" cm="1">
        <f t="array" aca="1" ref="J714" ca="1">IF(B714=0,IF(E714=0,"",HYPERLINK("#"&amp;RIGHT(CELL("adresse",OFFSET(DMAV_Dienste!$M$6,E714-1,0)),LEN(CELL("adresse",OFFSET(DMAV_Dienste!$M$6,E714-1,0)))-FIND("]",CELL("adresse",OFFSET(DMAV_Dienste!$M$6,E714-1,0)))),"Dienst")),HYPERLINK("#"&amp;RIGHT(CELL("adresse",OFFSET(DMAV_Modell!$N$6,B714-1,0)),LEN(CELL("adresse",OFFSET(DMAV_Modell!$N$6,B714-1,0)))-FIND("]",CELL("adresse",OFFSET(DMAV_Modell!$N$6,B714-1,0)))),"Modell"))</f>
        <v>Modell</v>
      </c>
      <c r="K714" s="61" t="str" cm="1">
        <f t="array" ref="K714">IF($B714=0,IF($E714=0,"",IF(INDEX(DMAV_Dienste!P$6:P$140,$E714)="","",INDEX(DMAV_Dienste!P$6:P$140,$E714))),IF(INDEX(DMAV_Modell!Q$6:Q$838,$B714)="","",INDEX(DMAV_Modell!Q$6:Q$838,$B714)))</f>
        <v>ASSOCIATION</v>
      </c>
      <c r="L714" s="62" t="str" cm="1">
        <f t="array" ref="L714">IF($B714=0,IF($E714=0,"",IF(INDEX(DMAV_Dienste!O$6:O$140,$E714)="","",INDEX(DMAV_Dienste!O$6:O$140,$E714))),IF(INDEX(DMAV_Modell!P$6:P$838,$B714)="","",INDEX(DMAV_Modell!P$6:P$838,$B714)))</f>
        <v>Nomenklatur</v>
      </c>
      <c r="M714" s="62" t="str" cm="1">
        <f t="array" ref="M714">IF($B714=0,IF($E714=0,"",IF(INDEX(DMAV_Dienste!Q$6:Q$140,$E714)="","",INDEX(DMAV_Dienste!Q$6:Q$140,$E714))),IF(INDEX(DMAV_Modell!R$6:R$838,$B714)="","",INDEX(DMAV_Modell!R$6:R$838,$B714)))</f>
        <v>Entstehung_Gelaendename</v>
      </c>
      <c r="N714" s="62" t="str" cm="1">
        <f t="array" ref="N714">IF($B714=0,IF($E714=0,"",IF(INDEX(DMAV_Dienste!T$6:T$140,$E714)="","",INDEX(DMAV_Dienste!T$6:T$140,$E714))),IF(INDEX(DMAV_Modell!U$6:U$838,$B714)="","",INDEX(DMAV_Modell!U$6:U$838,$B714)))</f>
        <v>Entstehung</v>
      </c>
      <c r="O714" s="63" t="str" cm="1">
        <f t="array" aca="1" ref="O714" ca="1">IF(C714=0,IF(F714=0,"",HYPERLINK("#"&amp;RIGHT(CELL("adresse",OFFSET(DMAV_Dienste!$M$6,F714-1,0)),LEN(CELL("adresse",OFFSET(DMAV_Dienste!$M$6,F714-1,0)))-FIND("]",CELL("adresse",OFFSET(DMAV_Dienste!$M$6,F714-1,0)))),"Structure")),HYPERLINK("#"&amp;RIGHT(CELL("adresse",OFFSET(DMAV_Modell!$N$6,C714-1,0)),LEN(CELL("adresse",OFFSET(DMAV_Modell!$N$6,C714-1,0)))-FIND("]",CELL("adresse",OFFSET(DMAV_Modell!$N$6,C714-1,0)))),"Structure"))</f>
        <v/>
      </c>
      <c r="P714" s="64" t="str" cm="1">
        <f t="array" aca="1" ref="P714" ca="1">IF(D714=0,IF(G714=0,"",HYPERLINK("#"&amp;RIGHT(CELL("adresse",OFFSET(DMAV_Dienste!$M$6,G714-1,0)),LEN(CELL("adresse",OFFSET(DMAV_Dienste!$M$6,G714-1,0)))-FIND("]",CELL("adresse",OFFSET(DMAV_Dienste!$M$6,G714-1,0)))),"Substructure")),HYPERLINK("#"&amp;RIGHT(CELL("adresse",OFFSET(DMAV_Modell!$N$6,D714-1,0)),LEN(CELL("adresse",OFFSET(DMAV_Modell!$N$6,D714-1,0)))-FIND("]",CELL("adresse",OFFSET(DMAV_Modell!$N$6,D714-1,0)))),"Substructure"))</f>
        <v/>
      </c>
      <c r="R714" s="80"/>
      <c r="T714" s="93"/>
      <c r="U714" s="94"/>
      <c r="V714" s="95"/>
      <c r="W714" s="96"/>
      <c r="Y714" s="85"/>
      <c r="Z714" s="86"/>
      <c r="AA714" s="87"/>
      <c r="AB714" s="88"/>
      <c r="AD714" s="77"/>
      <c r="AF714" s="54" t="str" cm="1">
        <f t="array" aca="1" ref="AF714" ca="1">IF(H714=0,"",HYPERLINK("#"&amp;RIGHT(CELL("adresse",OFFSET('DM01-AV-CH'!$G$6,H714-1,0)),LEN(CELL("adresse",OFFSET('DM01-AV-CH'!$G$6,H714-1,0)))-FIND("]",CELL("adresse",OFFSET('DM01-AV-CH'!$G$6,H714-1,0)))),"Modell"))</f>
        <v/>
      </c>
      <c r="AG714" s="72" t="str" cm="1">
        <f t="array" ref="AG714">IF($H714=0,"",IF(INDEX('DM01-AV-CH'!G$6:G$834,$H714)="","",INDEX('DM01-AV-CH'!G$6:G$834,$H714)))</f>
        <v/>
      </c>
      <c r="AH714" s="73" t="str" cm="1">
        <f t="array" ref="AH714">IF($H714=0,"",IF(INDEX('DM01-AV-CH'!H$6:H$834,$H714)="","",INDEX('DM01-AV-CH'!H$6:H$834,$H714)))</f>
        <v/>
      </c>
      <c r="AI714" s="74" t="str" cm="1">
        <f t="array" ref="AI714">IF($H714=0,"",IF(INDEX('DM01-AV-CH'!I$6:I$834,$H714)="","",INDEX('DM01-AV-CH'!I$6:I$834,$H714)))</f>
        <v/>
      </c>
    </row>
    <row r="715" spans="1:35" x14ac:dyDescent="0.25">
      <c r="A715" s="57">
        <v>710</v>
      </c>
      <c r="B715" s="57">
        <f>IF($A715="","",IF(_xlfn.XLOOKUP($A715,Korrelation!$D$4:$D$1197,Korrelation!E$4:E$1197,"-",0)="-",0,MATCH(_xlfn.XLOOKUP($A715,Korrelation!$D$4:$D$1197,Korrelation!E$4:E$1197,"",0),DMAV_Modell!$G$6:$G$677,0)))</f>
        <v>388</v>
      </c>
      <c r="C715" s="57">
        <f>IF($A715="","",IF(_xlfn.XLOOKUP($A715,Korrelation!$D$4:$D$1197,Korrelation!F$4:F$1197,"-",0)="-",0,MATCH(_xlfn.XLOOKUP($A715,Korrelation!$D$4:$D$1197,Korrelation!F$4:F$1197,"",0),DMAV_Modell!$G$6:$G$677,0)))</f>
        <v>0</v>
      </c>
      <c r="D715" s="57">
        <f>IF($A715="","",IF(_xlfn.XLOOKUP($A715,Korrelation!$D$4:$D$1197,Korrelation!G$4:G$1197,"-",0)="-",0,MATCH(_xlfn.XLOOKUP($A715,Korrelation!$D$4:$D$1197,Korrelation!G$4:G$1197,"",0),DMAV_Modell!$G$6:$G$677,0)))</f>
        <v>0</v>
      </c>
      <c r="E715" s="57">
        <f>IF($A715="","",IF(_xlfn.XLOOKUP($A715,Korrelation!$D$4:$D$1197,Korrelation!H$4:H$1197,"-",0)="-",0,MATCH(_xlfn.XLOOKUP($A715,Korrelation!$D$4:$D$1197,Korrelation!H$4:H$1197,"",0),DMAV_Dienste!$F$6:$F$140,0)))</f>
        <v>0</v>
      </c>
      <c r="F715" s="57">
        <f>IF($A715="","",IF(_xlfn.XLOOKUP($A715,Korrelation!$D$4:$D$1197,Korrelation!I$4:I$1197,"-",0)="-",0,MATCH(_xlfn.XLOOKUP($A715,Korrelation!$D$4:$D$1197,Korrelation!I$4:I$1197,"",0),DMAV_Dienste!$F$6:$F$140,0)))</f>
        <v>0</v>
      </c>
      <c r="G715" s="57">
        <f>IF($A715="","",IF(_xlfn.XLOOKUP($A715,Korrelation!$D$4:$D$1197,Korrelation!J$4:J$1197,"-",0)="-",0,MATCH(_xlfn.XLOOKUP($A715,Korrelation!$D$4:$D$1197,Korrelation!J$4:J$1197,"",0),DMAV_Dienste!$F$6:$F$140,0)))</f>
        <v>0</v>
      </c>
      <c r="H715" s="57">
        <f>IF($A715="","",IF(_xlfn.XLOOKUP($A715,Korrelation!$D$4:$D$1197,Korrelation!K$4:K$1197,"-",0)="-",0,MATCH(_xlfn.XLOOKUP($A715,Korrelation!$D$4:$D$1197,Korrelation!K$4:K$1197,"",0),'DM01-AV-CH'!$A$6:$A$834,0)))</f>
        <v>0</v>
      </c>
      <c r="J715" s="54" t="str" cm="1">
        <f t="array" aca="1" ref="J715" ca="1">IF(B715=0,IF(E715=0,"",HYPERLINK("#"&amp;RIGHT(CELL("adresse",OFFSET(DMAV_Dienste!$M$6,E715-1,0)),LEN(CELL("adresse",OFFSET(DMAV_Dienste!$M$6,E715-1,0)))-FIND("]",CELL("adresse",OFFSET(DMAV_Dienste!$M$6,E715-1,0)))),"Dienst")),HYPERLINK("#"&amp;RIGHT(CELL("adresse",OFFSET(DMAV_Modell!$N$6,B715-1,0)),LEN(CELL("adresse",OFFSET(DMAV_Modell!$N$6,B715-1,0)))-FIND("]",CELL("adresse",OFFSET(DMAV_Modell!$N$6,B715-1,0)))),"Modell"))</f>
        <v>Modell</v>
      </c>
      <c r="K715" s="61" t="str" cm="1">
        <f t="array" ref="K715">IF($B715=0,IF($E715=0,"",IF(INDEX(DMAV_Dienste!P$6:P$140,$E715)="","",INDEX(DMAV_Dienste!P$6:P$140,$E715))),IF(INDEX(DMAV_Modell!Q$6:Q$838,$B715)="","",INDEX(DMAV_Modell!Q$6:Q$838,$B715)))</f>
        <v>ASSOCIATION</v>
      </c>
      <c r="L715" s="62" t="str" cm="1">
        <f t="array" ref="L715">IF($B715=0,IF($E715=0,"",IF(INDEX(DMAV_Dienste!O$6:O$140,$E715)="","",INDEX(DMAV_Dienste!O$6:O$140,$E715))),IF(INDEX(DMAV_Modell!P$6:P$838,$B715)="","",INDEX(DMAV_Modell!P$6:P$838,$B715)))</f>
        <v>Nomenklatur</v>
      </c>
      <c r="M715" s="62" t="str" cm="1">
        <f t="array" ref="M715">IF($B715=0,IF($E715=0,"",IF(INDEX(DMAV_Dienste!Q$6:Q$140,$E715)="","",INDEX(DMAV_Dienste!Q$6:Q$140,$E715))),IF(INDEX(DMAV_Modell!R$6:R$838,$B715)="","",INDEX(DMAV_Modell!R$6:R$838,$B715)))</f>
        <v>Entstehung_Gelaendename</v>
      </c>
      <c r="N715" s="62" t="str" cm="1">
        <f t="array" ref="N715">IF($B715=0,IF($E715=0,"",IF(INDEX(DMAV_Dienste!T$6:T$140,$E715)="","",INDEX(DMAV_Dienste!T$6:T$140,$E715))),IF(INDEX(DMAV_Modell!U$6:U$838,$B715)="","",INDEX(DMAV_Modell!U$6:U$838,$B715)))</f>
        <v>entstehender_Gelaendename</v>
      </c>
      <c r="O715" s="63" t="str" cm="1">
        <f t="array" aca="1" ref="O715" ca="1">IF(C715=0,IF(F715=0,"",HYPERLINK("#"&amp;RIGHT(CELL("adresse",OFFSET(DMAV_Dienste!$M$6,F715-1,0)),LEN(CELL("adresse",OFFSET(DMAV_Dienste!$M$6,F715-1,0)))-FIND("]",CELL("adresse",OFFSET(DMAV_Dienste!$M$6,F715-1,0)))),"Structure")),HYPERLINK("#"&amp;RIGHT(CELL("adresse",OFFSET(DMAV_Modell!$N$6,C715-1,0)),LEN(CELL("adresse",OFFSET(DMAV_Modell!$N$6,C715-1,0)))-FIND("]",CELL("adresse",OFFSET(DMAV_Modell!$N$6,C715-1,0)))),"Structure"))</f>
        <v/>
      </c>
      <c r="P715" s="64" t="str" cm="1">
        <f t="array" aca="1" ref="P715" ca="1">IF(D715=0,IF(G715=0,"",HYPERLINK("#"&amp;RIGHT(CELL("adresse",OFFSET(DMAV_Dienste!$M$6,G715-1,0)),LEN(CELL("adresse",OFFSET(DMAV_Dienste!$M$6,G715-1,0)))-FIND("]",CELL("adresse",OFFSET(DMAV_Dienste!$M$6,G715-1,0)))),"Substructure")),HYPERLINK("#"&amp;RIGHT(CELL("adresse",OFFSET(DMAV_Modell!$N$6,D715-1,0)),LEN(CELL("adresse",OFFSET(DMAV_Modell!$N$6,D715-1,0)))-FIND("]",CELL("adresse",OFFSET(DMAV_Modell!$N$6,D715-1,0)))),"Substructure"))</f>
        <v/>
      </c>
      <c r="R715" s="80"/>
      <c r="T715" s="93"/>
      <c r="U715" s="94"/>
      <c r="V715" s="95"/>
      <c r="W715" s="96"/>
      <c r="Y715" s="85"/>
      <c r="Z715" s="86"/>
      <c r="AA715" s="87"/>
      <c r="AB715" s="88"/>
      <c r="AD715" s="77"/>
      <c r="AF715" s="54" t="str" cm="1">
        <f t="array" aca="1" ref="AF715" ca="1">IF(H715=0,"",HYPERLINK("#"&amp;RIGHT(CELL("adresse",OFFSET('DM01-AV-CH'!$G$6,H715-1,0)),LEN(CELL("adresse",OFFSET('DM01-AV-CH'!$G$6,H715-1,0)))-FIND("]",CELL("adresse",OFFSET('DM01-AV-CH'!$G$6,H715-1,0)))),"Modell"))</f>
        <v/>
      </c>
      <c r="AG715" s="72" t="str" cm="1">
        <f t="array" ref="AG715">IF($H715=0,"",IF(INDEX('DM01-AV-CH'!G$6:G$834,$H715)="","",INDEX('DM01-AV-CH'!G$6:G$834,$H715)))</f>
        <v/>
      </c>
      <c r="AH715" s="73" t="str" cm="1">
        <f t="array" ref="AH715">IF($H715=0,"",IF(INDEX('DM01-AV-CH'!H$6:H$834,$H715)="","",INDEX('DM01-AV-CH'!H$6:H$834,$H715)))</f>
        <v/>
      </c>
      <c r="AI715" s="74" t="str" cm="1">
        <f t="array" ref="AI715">IF($H715=0,"",IF(INDEX('DM01-AV-CH'!I$6:I$834,$H715)="","",INDEX('DM01-AV-CH'!I$6:I$834,$H715)))</f>
        <v/>
      </c>
    </row>
    <row r="716" spans="1:35" x14ac:dyDescent="0.25">
      <c r="A716" s="57">
        <v>711</v>
      </c>
      <c r="B716" s="57">
        <f>IF($A716="","",IF(_xlfn.XLOOKUP($A716,Korrelation!$D$4:$D$1197,Korrelation!E$4:E$1197,"-",0)="-",0,MATCH(_xlfn.XLOOKUP($A716,Korrelation!$D$4:$D$1197,Korrelation!E$4:E$1197,"",0),DMAV_Modell!$G$6:$G$677,0)))</f>
        <v>389</v>
      </c>
      <c r="C716" s="57">
        <f>IF($A716="","",IF(_xlfn.XLOOKUP($A716,Korrelation!$D$4:$D$1197,Korrelation!F$4:F$1197,"-",0)="-",0,MATCH(_xlfn.XLOOKUP($A716,Korrelation!$D$4:$D$1197,Korrelation!F$4:F$1197,"",0),DMAV_Modell!$G$6:$G$677,0)))</f>
        <v>0</v>
      </c>
      <c r="D716" s="57">
        <f>IF($A716="","",IF(_xlfn.XLOOKUP($A716,Korrelation!$D$4:$D$1197,Korrelation!G$4:G$1197,"-",0)="-",0,MATCH(_xlfn.XLOOKUP($A716,Korrelation!$D$4:$D$1197,Korrelation!G$4:G$1197,"",0),DMAV_Modell!$G$6:$G$677,0)))</f>
        <v>0</v>
      </c>
      <c r="E716" s="57">
        <f>IF($A716="","",IF(_xlfn.XLOOKUP($A716,Korrelation!$D$4:$D$1197,Korrelation!H$4:H$1197,"-",0)="-",0,MATCH(_xlfn.XLOOKUP($A716,Korrelation!$D$4:$D$1197,Korrelation!H$4:H$1197,"",0),DMAV_Dienste!$F$6:$F$140,0)))</f>
        <v>0</v>
      </c>
      <c r="F716" s="57">
        <f>IF($A716="","",IF(_xlfn.XLOOKUP($A716,Korrelation!$D$4:$D$1197,Korrelation!I$4:I$1197,"-",0)="-",0,MATCH(_xlfn.XLOOKUP($A716,Korrelation!$D$4:$D$1197,Korrelation!I$4:I$1197,"",0),DMAV_Dienste!$F$6:$F$140,0)))</f>
        <v>0</v>
      </c>
      <c r="G716" s="57">
        <f>IF($A716="","",IF(_xlfn.XLOOKUP($A716,Korrelation!$D$4:$D$1197,Korrelation!J$4:J$1197,"-",0)="-",0,MATCH(_xlfn.XLOOKUP($A716,Korrelation!$D$4:$D$1197,Korrelation!J$4:J$1197,"",0),DMAV_Dienste!$F$6:$F$140,0)))</f>
        <v>0</v>
      </c>
      <c r="H716" s="57">
        <f>IF($A716="","",IF(_xlfn.XLOOKUP($A716,Korrelation!$D$4:$D$1197,Korrelation!K$4:K$1197,"-",0)="-",0,MATCH(_xlfn.XLOOKUP($A716,Korrelation!$D$4:$D$1197,Korrelation!K$4:K$1197,"",0),'DM01-AV-CH'!$A$6:$A$834,0)))</f>
        <v>0</v>
      </c>
      <c r="J716" s="54" t="str" cm="1">
        <f t="array" aca="1" ref="J716" ca="1">IF(B716=0,IF(E716=0,"",HYPERLINK("#"&amp;RIGHT(CELL("adresse",OFFSET(DMAV_Dienste!$M$6,E716-1,0)),LEN(CELL("adresse",OFFSET(DMAV_Dienste!$M$6,E716-1,0)))-FIND("]",CELL("adresse",OFFSET(DMAV_Dienste!$M$6,E716-1,0)))),"Dienst")),HYPERLINK("#"&amp;RIGHT(CELL("adresse",OFFSET(DMAV_Modell!$N$6,B716-1,0)),LEN(CELL("adresse",OFFSET(DMAV_Modell!$N$6,B716-1,0)))-FIND("]",CELL("adresse",OFFSET(DMAV_Modell!$N$6,B716-1,0)))),"Modell"))</f>
        <v>Modell</v>
      </c>
      <c r="K716" s="61" t="str" cm="1">
        <f t="array" ref="K716">IF($B716=0,IF($E716=0,"",IF(INDEX(DMAV_Dienste!P$6:P$140,$E716)="","",INDEX(DMAV_Dienste!P$6:P$140,$E716))),IF(INDEX(DMAV_Modell!Q$6:Q$838,$B716)="","",INDEX(DMAV_Modell!Q$6:Q$838,$B716)))</f>
        <v>IMPORTS</v>
      </c>
      <c r="L716" s="62" t="str" cm="1">
        <f t="array" ref="L716">IF($B716=0,IF($E716=0,"",IF(INDEX(DMAV_Dienste!O$6:O$140,$E716)="","",INDEX(DMAV_Dienste!O$6:O$140,$E716))),IF(INDEX(DMAV_Modell!P$6:P$838,$B716)="","",INDEX(DMAV_Modell!P$6:P$838,$B716)))</f>
        <v/>
      </c>
      <c r="M716" s="62" t="str" cm="1">
        <f t="array" ref="M716">IF($B716=0,IF($E716=0,"",IF(INDEX(DMAV_Dienste!Q$6:Q$140,$E716)="","",INDEX(DMAV_Dienste!Q$6:Q$140,$E716))),IF(INDEX(DMAV_Modell!R$6:R$838,$B716)="","",INDEX(DMAV_Modell!R$6:R$838,$B716)))</f>
        <v>GeometryCHLV95_V2</v>
      </c>
      <c r="N716" s="62" t="str" cm="1">
        <f t="array" ref="N716">IF($B716=0,IF($E716=0,"",IF(INDEX(DMAV_Dienste!T$6:T$140,$E716)="","",INDEX(DMAV_Dienste!T$6:T$140,$E716))),IF(INDEX(DMAV_Modell!U$6:U$838,$B716)="","",INDEX(DMAV_Modell!U$6:U$838,$B716)))</f>
        <v/>
      </c>
      <c r="O716" s="63" t="str" cm="1">
        <f t="array" aca="1" ref="O716" ca="1">IF(C716=0,IF(F716=0,"",HYPERLINK("#"&amp;RIGHT(CELL("adresse",OFFSET(DMAV_Dienste!$M$6,F716-1,0)),LEN(CELL("adresse",OFFSET(DMAV_Dienste!$M$6,F716-1,0)))-FIND("]",CELL("adresse",OFFSET(DMAV_Dienste!$M$6,F716-1,0)))),"Structure")),HYPERLINK("#"&amp;RIGHT(CELL("adresse",OFFSET(DMAV_Modell!$N$6,C716-1,0)),LEN(CELL("adresse",OFFSET(DMAV_Modell!$N$6,C716-1,0)))-FIND("]",CELL("adresse",OFFSET(DMAV_Modell!$N$6,C716-1,0)))),"Structure"))</f>
        <v/>
      </c>
      <c r="P716" s="64" t="str" cm="1">
        <f t="array" aca="1" ref="P716" ca="1">IF(D716=0,IF(G716=0,"",HYPERLINK("#"&amp;RIGHT(CELL("adresse",OFFSET(DMAV_Dienste!$M$6,G716-1,0)),LEN(CELL("adresse",OFFSET(DMAV_Dienste!$M$6,G716-1,0)))-FIND("]",CELL("adresse",OFFSET(DMAV_Dienste!$M$6,G716-1,0)))),"Substructure")),HYPERLINK("#"&amp;RIGHT(CELL("adresse",OFFSET(DMAV_Modell!$N$6,D716-1,0)),LEN(CELL("adresse",OFFSET(DMAV_Modell!$N$6,D716-1,0)))-FIND("]",CELL("adresse",OFFSET(DMAV_Modell!$N$6,D716-1,0)))),"Substructure"))</f>
        <v/>
      </c>
      <c r="R716" s="80"/>
      <c r="T716" s="93"/>
      <c r="U716" s="94"/>
      <c r="V716" s="95"/>
      <c r="W716" s="96"/>
      <c r="Y716" s="85"/>
      <c r="Z716" s="86"/>
      <c r="AA716" s="87"/>
      <c r="AB716" s="88"/>
      <c r="AD716" s="77"/>
      <c r="AF716" s="54" t="str" cm="1">
        <f t="array" aca="1" ref="AF716" ca="1">IF(H716=0,"",HYPERLINK("#"&amp;RIGHT(CELL("adresse",OFFSET('DM01-AV-CH'!$G$6,H716-1,0)),LEN(CELL("adresse",OFFSET('DM01-AV-CH'!$G$6,H716-1,0)))-FIND("]",CELL("adresse",OFFSET('DM01-AV-CH'!$G$6,H716-1,0)))),"Modell"))</f>
        <v/>
      </c>
      <c r="AG716" s="72" t="str" cm="1">
        <f t="array" ref="AG716">IF($H716=0,"",IF(INDEX('DM01-AV-CH'!G$6:G$834,$H716)="","",INDEX('DM01-AV-CH'!G$6:G$834,$H716)))</f>
        <v/>
      </c>
      <c r="AH716" s="73" t="str" cm="1">
        <f t="array" ref="AH716">IF($H716=0,"",IF(INDEX('DM01-AV-CH'!H$6:H$834,$H716)="","",INDEX('DM01-AV-CH'!H$6:H$834,$H716)))</f>
        <v/>
      </c>
      <c r="AI716" s="74" t="str" cm="1">
        <f t="array" ref="AI716">IF($H716=0,"",IF(INDEX('DM01-AV-CH'!I$6:I$834,$H716)="","",INDEX('DM01-AV-CH'!I$6:I$834,$H716)))</f>
        <v/>
      </c>
    </row>
    <row r="717" spans="1:35" x14ac:dyDescent="0.25">
      <c r="A717" s="57">
        <v>712</v>
      </c>
      <c r="B717" s="57">
        <f>IF($A717="","",IF(_xlfn.XLOOKUP($A717,Korrelation!$D$4:$D$1197,Korrelation!E$4:E$1197,"-",0)="-",0,MATCH(_xlfn.XLOOKUP($A717,Korrelation!$D$4:$D$1197,Korrelation!E$4:E$1197,"",0),DMAV_Modell!$G$6:$G$677,0)))</f>
        <v>390</v>
      </c>
      <c r="C717" s="57">
        <f>IF($A717="","",IF(_xlfn.XLOOKUP($A717,Korrelation!$D$4:$D$1197,Korrelation!F$4:F$1197,"-",0)="-",0,MATCH(_xlfn.XLOOKUP($A717,Korrelation!$D$4:$D$1197,Korrelation!F$4:F$1197,"",0),DMAV_Modell!$G$6:$G$677,0)))</f>
        <v>0</v>
      </c>
      <c r="D717" s="57">
        <f>IF($A717="","",IF(_xlfn.XLOOKUP($A717,Korrelation!$D$4:$D$1197,Korrelation!G$4:G$1197,"-",0)="-",0,MATCH(_xlfn.XLOOKUP($A717,Korrelation!$D$4:$D$1197,Korrelation!G$4:G$1197,"",0),DMAV_Modell!$G$6:$G$677,0)))</f>
        <v>0</v>
      </c>
      <c r="E717" s="57">
        <f>IF($A717="","",IF(_xlfn.XLOOKUP($A717,Korrelation!$D$4:$D$1197,Korrelation!H$4:H$1197,"-",0)="-",0,MATCH(_xlfn.XLOOKUP($A717,Korrelation!$D$4:$D$1197,Korrelation!H$4:H$1197,"",0),DMAV_Dienste!$F$6:$F$140,0)))</f>
        <v>0</v>
      </c>
      <c r="F717" s="57">
        <f>IF($A717="","",IF(_xlfn.XLOOKUP($A717,Korrelation!$D$4:$D$1197,Korrelation!I$4:I$1197,"-",0)="-",0,MATCH(_xlfn.XLOOKUP($A717,Korrelation!$D$4:$D$1197,Korrelation!I$4:I$1197,"",0),DMAV_Dienste!$F$6:$F$140,0)))</f>
        <v>0</v>
      </c>
      <c r="G717" s="57">
        <f>IF($A717="","",IF(_xlfn.XLOOKUP($A717,Korrelation!$D$4:$D$1197,Korrelation!J$4:J$1197,"-",0)="-",0,MATCH(_xlfn.XLOOKUP($A717,Korrelation!$D$4:$D$1197,Korrelation!J$4:J$1197,"",0),DMAV_Dienste!$F$6:$F$140,0)))</f>
        <v>0</v>
      </c>
      <c r="H717" s="57">
        <f>IF($A717="","",IF(_xlfn.XLOOKUP($A717,Korrelation!$D$4:$D$1197,Korrelation!K$4:K$1197,"-",0)="-",0,MATCH(_xlfn.XLOOKUP($A717,Korrelation!$D$4:$D$1197,Korrelation!K$4:K$1197,"",0),'DM01-AV-CH'!$A$6:$A$834,0)))</f>
        <v>0</v>
      </c>
      <c r="J717" s="54" t="str" cm="1">
        <f t="array" aca="1" ref="J717" ca="1">IF(B717=0,IF(E717=0,"",HYPERLINK("#"&amp;RIGHT(CELL("adresse",OFFSET(DMAV_Dienste!$M$6,E717-1,0)),LEN(CELL("adresse",OFFSET(DMAV_Dienste!$M$6,E717-1,0)))-FIND("]",CELL("adresse",OFFSET(DMAV_Dienste!$M$6,E717-1,0)))),"Dienst")),HYPERLINK("#"&amp;RIGHT(CELL("adresse",OFFSET(DMAV_Modell!$N$6,B717-1,0)),LEN(CELL("adresse",OFFSET(DMAV_Modell!$N$6,B717-1,0)))-FIND("]",CELL("adresse",OFFSET(DMAV_Modell!$N$6,B717-1,0)))),"Modell"))</f>
        <v>Modell</v>
      </c>
      <c r="K717" s="61" t="str" cm="1">
        <f t="array" ref="K717">IF($B717=0,IF($E717=0,"",IF(INDEX(DMAV_Dienste!P$6:P$140,$E717)="","",INDEX(DMAV_Dienste!P$6:P$140,$E717))),IF(INDEX(DMAV_Modell!Q$6:Q$838,$B717)="","",INDEX(DMAV_Modell!Q$6:Q$838,$B717)))</f>
        <v>IMPORTS</v>
      </c>
      <c r="L717" s="62" t="str" cm="1">
        <f t="array" ref="L717">IF($B717=0,IF($E717=0,"",IF(INDEX(DMAV_Dienste!O$6:O$140,$E717)="","",INDEX(DMAV_Dienste!O$6:O$140,$E717))),IF(INDEX(DMAV_Modell!P$6:P$838,$B717)="","",INDEX(DMAV_Modell!P$6:P$838,$B717)))</f>
        <v/>
      </c>
      <c r="M717" s="62" t="str" cm="1">
        <f t="array" ref="M717">IF($B717=0,IF($E717=0,"",IF(INDEX(DMAV_Dienste!Q$6:Q$140,$E717)="","",INDEX(DMAV_Dienste!Q$6:Q$140,$E717))),IF(INDEX(DMAV_Modell!R$6:R$838,$B717)="","",INDEX(DMAV_Modell!R$6:R$838,$B717)))</f>
        <v>DMAVTYM_Geometrie_V1_0</v>
      </c>
      <c r="N717" s="62" t="str" cm="1">
        <f t="array" ref="N717">IF($B717=0,IF($E717=0,"",IF(INDEX(DMAV_Dienste!T$6:T$140,$E717)="","",INDEX(DMAV_Dienste!T$6:T$140,$E717))),IF(INDEX(DMAV_Modell!U$6:U$838,$B717)="","",INDEX(DMAV_Modell!U$6:U$838,$B717)))</f>
        <v/>
      </c>
      <c r="O717" s="63" t="str" cm="1">
        <f t="array" aca="1" ref="O717" ca="1">IF(C717=0,IF(F717=0,"",HYPERLINK("#"&amp;RIGHT(CELL("adresse",OFFSET(DMAV_Dienste!$M$6,F717-1,0)),LEN(CELL("adresse",OFFSET(DMAV_Dienste!$M$6,F717-1,0)))-FIND("]",CELL("adresse",OFFSET(DMAV_Dienste!$M$6,F717-1,0)))),"Structure")),HYPERLINK("#"&amp;RIGHT(CELL("adresse",OFFSET(DMAV_Modell!$N$6,C717-1,0)),LEN(CELL("adresse",OFFSET(DMAV_Modell!$N$6,C717-1,0)))-FIND("]",CELL("adresse",OFFSET(DMAV_Modell!$N$6,C717-1,0)))),"Structure"))</f>
        <v/>
      </c>
      <c r="P717" s="64" t="str" cm="1">
        <f t="array" aca="1" ref="P717" ca="1">IF(D717=0,IF(G717=0,"",HYPERLINK("#"&amp;RIGHT(CELL("adresse",OFFSET(DMAV_Dienste!$M$6,G717-1,0)),LEN(CELL("adresse",OFFSET(DMAV_Dienste!$M$6,G717-1,0)))-FIND("]",CELL("adresse",OFFSET(DMAV_Dienste!$M$6,G717-1,0)))),"Substructure")),HYPERLINK("#"&amp;RIGHT(CELL("adresse",OFFSET(DMAV_Modell!$N$6,D717-1,0)),LEN(CELL("adresse",OFFSET(DMAV_Modell!$N$6,D717-1,0)))-FIND("]",CELL("adresse",OFFSET(DMAV_Modell!$N$6,D717-1,0)))),"Substructure"))</f>
        <v/>
      </c>
      <c r="R717" s="80"/>
      <c r="T717" s="93"/>
      <c r="U717" s="94"/>
      <c r="V717" s="95"/>
      <c r="W717" s="96"/>
      <c r="Y717" s="85"/>
      <c r="Z717" s="86"/>
      <c r="AA717" s="87"/>
      <c r="AB717" s="88"/>
      <c r="AD717" s="77"/>
      <c r="AF717" s="54" t="str" cm="1">
        <f t="array" aca="1" ref="AF717" ca="1">IF(H717=0,"",HYPERLINK("#"&amp;RIGHT(CELL("adresse",OFFSET('DM01-AV-CH'!$G$6,H717-1,0)),LEN(CELL("adresse",OFFSET('DM01-AV-CH'!$G$6,H717-1,0)))-FIND("]",CELL("adresse",OFFSET('DM01-AV-CH'!$G$6,H717-1,0)))),"Modell"))</f>
        <v/>
      </c>
      <c r="AG717" s="72" t="str" cm="1">
        <f t="array" ref="AG717">IF($H717=0,"",IF(INDEX('DM01-AV-CH'!G$6:G$834,$H717)="","",INDEX('DM01-AV-CH'!G$6:G$834,$H717)))</f>
        <v/>
      </c>
      <c r="AH717" s="73" t="str" cm="1">
        <f t="array" ref="AH717">IF($H717=0,"",IF(INDEX('DM01-AV-CH'!H$6:H$834,$H717)="","",INDEX('DM01-AV-CH'!H$6:H$834,$H717)))</f>
        <v/>
      </c>
      <c r="AI717" s="74" t="str" cm="1">
        <f t="array" ref="AI717">IF($H717=0,"",IF(INDEX('DM01-AV-CH'!I$6:I$834,$H717)="","",INDEX('DM01-AV-CH'!I$6:I$834,$H717)))</f>
        <v/>
      </c>
    </row>
    <row r="718" spans="1:35" x14ac:dyDescent="0.25">
      <c r="A718" s="57">
        <v>713</v>
      </c>
      <c r="B718" s="57">
        <f>IF($A718="","",IF(_xlfn.XLOOKUP($A718,Korrelation!$D$4:$D$1197,Korrelation!E$4:E$1197,"-",0)="-",0,MATCH(_xlfn.XLOOKUP($A718,Korrelation!$D$4:$D$1197,Korrelation!E$4:E$1197,"",0),DMAV_Modell!$G$6:$G$677,0)))</f>
        <v>391</v>
      </c>
      <c r="C718" s="57">
        <f>IF($A718="","",IF(_xlfn.XLOOKUP($A718,Korrelation!$D$4:$D$1197,Korrelation!F$4:F$1197,"-",0)="-",0,MATCH(_xlfn.XLOOKUP($A718,Korrelation!$D$4:$D$1197,Korrelation!F$4:F$1197,"",0),DMAV_Modell!$G$6:$G$677,0)))</f>
        <v>0</v>
      </c>
      <c r="D718" s="57">
        <f>IF($A718="","",IF(_xlfn.XLOOKUP($A718,Korrelation!$D$4:$D$1197,Korrelation!G$4:G$1197,"-",0)="-",0,MATCH(_xlfn.XLOOKUP($A718,Korrelation!$D$4:$D$1197,Korrelation!G$4:G$1197,"",0),DMAV_Modell!$G$6:$G$677,0)))</f>
        <v>0</v>
      </c>
      <c r="E718" s="57">
        <f>IF($A718="","",IF(_xlfn.XLOOKUP($A718,Korrelation!$D$4:$D$1197,Korrelation!H$4:H$1197,"-",0)="-",0,MATCH(_xlfn.XLOOKUP($A718,Korrelation!$D$4:$D$1197,Korrelation!H$4:H$1197,"",0),DMAV_Dienste!$F$6:$F$140,0)))</f>
        <v>0</v>
      </c>
      <c r="F718" s="57">
        <f>IF($A718="","",IF(_xlfn.XLOOKUP($A718,Korrelation!$D$4:$D$1197,Korrelation!I$4:I$1197,"-",0)="-",0,MATCH(_xlfn.XLOOKUP($A718,Korrelation!$D$4:$D$1197,Korrelation!I$4:I$1197,"",0),DMAV_Dienste!$F$6:$F$140,0)))</f>
        <v>0</v>
      </c>
      <c r="G718" s="57">
        <f>IF($A718="","",IF(_xlfn.XLOOKUP($A718,Korrelation!$D$4:$D$1197,Korrelation!J$4:J$1197,"-",0)="-",0,MATCH(_xlfn.XLOOKUP($A718,Korrelation!$D$4:$D$1197,Korrelation!J$4:J$1197,"",0),DMAV_Dienste!$F$6:$F$140,0)))</f>
        <v>0</v>
      </c>
      <c r="H718" s="57">
        <f>IF($A718="","",IF(_xlfn.XLOOKUP($A718,Korrelation!$D$4:$D$1197,Korrelation!K$4:K$1197,"-",0)="-",0,MATCH(_xlfn.XLOOKUP($A718,Korrelation!$D$4:$D$1197,Korrelation!K$4:K$1197,"",0),'DM01-AV-CH'!$A$6:$A$834,0)))</f>
        <v>0</v>
      </c>
      <c r="J718" s="54" t="str" cm="1">
        <f t="array" aca="1" ref="J718" ca="1">IF(B718=0,IF(E718=0,"",HYPERLINK("#"&amp;RIGHT(CELL("adresse",OFFSET(DMAV_Dienste!$M$6,E718-1,0)),LEN(CELL("adresse",OFFSET(DMAV_Dienste!$M$6,E718-1,0)))-FIND("]",CELL("adresse",OFFSET(DMAV_Dienste!$M$6,E718-1,0)))),"Dienst")),HYPERLINK("#"&amp;RIGHT(CELL("adresse",OFFSET(DMAV_Modell!$N$6,B718-1,0)),LEN(CELL("adresse",OFFSET(DMAV_Modell!$N$6,B718-1,0)))-FIND("]",CELL("adresse",OFFSET(DMAV_Modell!$N$6,B718-1,0)))),"Modell"))</f>
        <v>Modell</v>
      </c>
      <c r="K718" s="61" t="str" cm="1">
        <f t="array" ref="K718">IF($B718=0,IF($E718=0,"",IF(INDEX(DMAV_Dienste!P$6:P$140,$E718)="","",INDEX(DMAV_Dienste!P$6:P$140,$E718))),IF(INDEX(DMAV_Modell!Q$6:Q$838,$B718)="","",INDEX(DMAV_Modell!Q$6:Q$838,$B718)))</f>
        <v>IMPORTS</v>
      </c>
      <c r="L718" s="62" t="str" cm="1">
        <f t="array" ref="L718">IF($B718=0,IF($E718=0,"",IF(INDEX(DMAV_Dienste!O$6:O$140,$E718)="","",INDEX(DMAV_Dienste!O$6:O$140,$E718))),IF(INDEX(DMAV_Modell!P$6:P$838,$B718)="","",INDEX(DMAV_Modell!P$6:P$838,$B718)))</f>
        <v/>
      </c>
      <c r="M718" s="62" t="str" cm="1">
        <f t="array" ref="M718">IF($B718=0,IF($E718=0,"",IF(INDEX(DMAV_Dienste!Q$6:Q$140,$E718)="","",INDEX(DMAV_Dienste!Q$6:Q$140,$E718))),IF(INDEX(DMAV_Modell!R$6:R$838,$B718)="","",INDEX(DMAV_Modell!R$6:R$838,$B718)))</f>
        <v>DMAVTYM_Modinfo_V1_0</v>
      </c>
      <c r="N718" s="62" t="str" cm="1">
        <f t="array" ref="N718">IF($B718=0,IF($E718=0,"",IF(INDEX(DMAV_Dienste!T$6:T$140,$E718)="","",INDEX(DMAV_Dienste!T$6:T$140,$E718))),IF(INDEX(DMAV_Modell!U$6:U$838,$B718)="","",INDEX(DMAV_Modell!U$6:U$838,$B718)))</f>
        <v/>
      </c>
      <c r="O718" s="63" t="str" cm="1">
        <f t="array" aca="1" ref="O718" ca="1">IF(C718=0,IF(F718=0,"",HYPERLINK("#"&amp;RIGHT(CELL("adresse",OFFSET(DMAV_Dienste!$M$6,F718-1,0)),LEN(CELL("adresse",OFFSET(DMAV_Dienste!$M$6,F718-1,0)))-FIND("]",CELL("adresse",OFFSET(DMAV_Dienste!$M$6,F718-1,0)))),"Structure")),HYPERLINK("#"&amp;RIGHT(CELL("adresse",OFFSET(DMAV_Modell!$N$6,C718-1,0)),LEN(CELL("adresse",OFFSET(DMAV_Modell!$N$6,C718-1,0)))-FIND("]",CELL("adresse",OFFSET(DMAV_Modell!$N$6,C718-1,0)))),"Structure"))</f>
        <v/>
      </c>
      <c r="P718" s="64" t="str" cm="1">
        <f t="array" aca="1" ref="P718" ca="1">IF(D718=0,IF(G718=0,"",HYPERLINK("#"&amp;RIGHT(CELL("adresse",OFFSET(DMAV_Dienste!$M$6,G718-1,0)),LEN(CELL("adresse",OFFSET(DMAV_Dienste!$M$6,G718-1,0)))-FIND("]",CELL("adresse",OFFSET(DMAV_Dienste!$M$6,G718-1,0)))),"Substructure")),HYPERLINK("#"&amp;RIGHT(CELL("adresse",OFFSET(DMAV_Modell!$N$6,D718-1,0)),LEN(CELL("adresse",OFFSET(DMAV_Modell!$N$6,D718-1,0)))-FIND("]",CELL("adresse",OFFSET(DMAV_Modell!$N$6,D718-1,0)))),"Substructure"))</f>
        <v/>
      </c>
      <c r="R718" s="80"/>
      <c r="T718" s="93"/>
      <c r="U718" s="94"/>
      <c r="V718" s="95"/>
      <c r="W718" s="96"/>
      <c r="Y718" s="85"/>
      <c r="Z718" s="86"/>
      <c r="AA718" s="87"/>
      <c r="AB718" s="88"/>
      <c r="AD718" s="77"/>
      <c r="AF718" s="54" t="str" cm="1">
        <f t="array" aca="1" ref="AF718" ca="1">IF(H718=0,"",HYPERLINK("#"&amp;RIGHT(CELL("adresse",OFFSET('DM01-AV-CH'!$G$6,H718-1,0)),LEN(CELL("adresse",OFFSET('DM01-AV-CH'!$G$6,H718-1,0)))-FIND("]",CELL("adresse",OFFSET('DM01-AV-CH'!$G$6,H718-1,0)))),"Modell"))</f>
        <v/>
      </c>
      <c r="AG718" s="72" t="str" cm="1">
        <f t="array" ref="AG718">IF($H718=0,"",IF(INDEX('DM01-AV-CH'!G$6:G$834,$H718)="","",INDEX('DM01-AV-CH'!G$6:G$834,$H718)))</f>
        <v/>
      </c>
      <c r="AH718" s="73" t="str" cm="1">
        <f t="array" ref="AH718">IF($H718=0,"",IF(INDEX('DM01-AV-CH'!H$6:H$834,$H718)="","",INDEX('DM01-AV-CH'!H$6:H$834,$H718)))</f>
        <v/>
      </c>
      <c r="AI718" s="74" t="str" cm="1">
        <f t="array" ref="AI718">IF($H718=0,"",IF(INDEX('DM01-AV-CH'!I$6:I$834,$H718)="","",INDEX('DM01-AV-CH'!I$6:I$834,$H718)))</f>
        <v/>
      </c>
    </row>
    <row r="719" spans="1:35" x14ac:dyDescent="0.25">
      <c r="A719" s="57">
        <v>714</v>
      </c>
      <c r="B719" s="57">
        <f>IF($A719="","",IF(_xlfn.XLOOKUP($A719,Korrelation!$D$4:$D$1197,Korrelation!E$4:E$1197,"-",0)="-",0,MATCH(_xlfn.XLOOKUP($A719,Korrelation!$D$4:$D$1197,Korrelation!E$4:E$1197,"",0),DMAV_Modell!$G$6:$G$677,0)))</f>
        <v>392</v>
      </c>
      <c r="C719" s="57">
        <f>IF($A719="","",IF(_xlfn.XLOOKUP($A719,Korrelation!$D$4:$D$1197,Korrelation!F$4:F$1197,"-",0)="-",0,MATCH(_xlfn.XLOOKUP($A719,Korrelation!$D$4:$D$1197,Korrelation!F$4:F$1197,"",0),DMAV_Modell!$G$6:$G$677,0)))</f>
        <v>0</v>
      </c>
      <c r="D719" s="57">
        <f>IF($A719="","",IF(_xlfn.XLOOKUP($A719,Korrelation!$D$4:$D$1197,Korrelation!G$4:G$1197,"-",0)="-",0,MATCH(_xlfn.XLOOKUP($A719,Korrelation!$D$4:$D$1197,Korrelation!G$4:G$1197,"",0),DMAV_Modell!$G$6:$G$677,0)))</f>
        <v>0</v>
      </c>
      <c r="E719" s="57">
        <f>IF($A719="","",IF(_xlfn.XLOOKUP($A719,Korrelation!$D$4:$D$1197,Korrelation!H$4:H$1197,"-",0)="-",0,MATCH(_xlfn.XLOOKUP($A719,Korrelation!$D$4:$D$1197,Korrelation!H$4:H$1197,"",0),DMAV_Dienste!$F$6:$F$140,0)))</f>
        <v>0</v>
      </c>
      <c r="F719" s="57">
        <f>IF($A719="","",IF(_xlfn.XLOOKUP($A719,Korrelation!$D$4:$D$1197,Korrelation!I$4:I$1197,"-",0)="-",0,MATCH(_xlfn.XLOOKUP($A719,Korrelation!$D$4:$D$1197,Korrelation!I$4:I$1197,"",0),DMAV_Dienste!$F$6:$F$140,0)))</f>
        <v>0</v>
      </c>
      <c r="G719" s="57">
        <f>IF($A719="","",IF(_xlfn.XLOOKUP($A719,Korrelation!$D$4:$D$1197,Korrelation!J$4:J$1197,"-",0)="-",0,MATCH(_xlfn.XLOOKUP($A719,Korrelation!$D$4:$D$1197,Korrelation!J$4:J$1197,"",0),DMAV_Dienste!$F$6:$F$140,0)))</f>
        <v>0</v>
      </c>
      <c r="H719" s="57">
        <f>IF($A719="","",IF(_xlfn.XLOOKUP($A719,Korrelation!$D$4:$D$1197,Korrelation!K$4:K$1197,"-",0)="-",0,MATCH(_xlfn.XLOOKUP($A719,Korrelation!$D$4:$D$1197,Korrelation!K$4:K$1197,"",0),'DM01-AV-CH'!$A$6:$A$834,0)))</f>
        <v>0</v>
      </c>
      <c r="J719" s="54" t="str" cm="1">
        <f t="array" aca="1" ref="J719" ca="1">IF(B719=0,IF(E719=0,"",HYPERLINK("#"&amp;RIGHT(CELL("adresse",OFFSET(DMAV_Dienste!$M$6,E719-1,0)),LEN(CELL("adresse",OFFSET(DMAV_Dienste!$M$6,E719-1,0)))-FIND("]",CELL("adresse",OFFSET(DMAV_Dienste!$M$6,E719-1,0)))),"Dienst")),HYPERLINK("#"&amp;RIGHT(CELL("adresse",OFFSET(DMAV_Modell!$N$6,B719-1,0)),LEN(CELL("adresse",OFFSET(DMAV_Modell!$N$6,B719-1,0)))-FIND("]",CELL("adresse",OFFSET(DMAV_Modell!$N$6,B719-1,0)))),"Modell"))</f>
        <v>Modell</v>
      </c>
      <c r="K719" s="61" t="str" cm="1">
        <f t="array" ref="K719">IF($B719=0,IF($E719=0,"",IF(INDEX(DMAV_Dienste!P$6:P$140,$E719)="","",INDEX(DMAV_Dienste!P$6:P$140,$E719))),IF(INDEX(DMAV_Modell!Q$6:Q$838,$B719)="","",INDEX(DMAV_Modell!Q$6:Q$838,$B719)))</f>
        <v>IMPORTS</v>
      </c>
      <c r="L719" s="62" t="str" cm="1">
        <f t="array" ref="L719">IF($B719=0,IF($E719=0,"",IF(INDEX(DMAV_Dienste!O$6:O$140,$E719)="","",INDEX(DMAV_Dienste!O$6:O$140,$E719))),IF(INDEX(DMAV_Modell!P$6:P$838,$B719)="","",INDEX(DMAV_Modell!P$6:P$838,$B719)))</f>
        <v/>
      </c>
      <c r="M719" s="62" t="str" cm="1">
        <f t="array" ref="M719">IF($B719=0,IF($E719=0,"",IF(INDEX(DMAV_Dienste!Q$6:Q$140,$E719)="","",INDEX(DMAV_Dienste!Q$6:Q$140,$E719))),IF(INDEX(DMAV_Modell!R$6:R$838,$B719)="","",INDEX(DMAV_Modell!R$6:R$838,$B719)))</f>
        <v>DMAVTYM_Qualitaet_V1_0</v>
      </c>
      <c r="N719" s="62" t="str" cm="1">
        <f t="array" ref="N719">IF($B719=0,IF($E719=0,"",IF(INDEX(DMAV_Dienste!T$6:T$140,$E719)="","",INDEX(DMAV_Dienste!T$6:T$140,$E719))),IF(INDEX(DMAV_Modell!U$6:U$838,$B719)="","",INDEX(DMAV_Modell!U$6:U$838,$B719)))</f>
        <v/>
      </c>
      <c r="O719" s="63" t="str" cm="1">
        <f t="array" aca="1" ref="O719" ca="1">IF(C719=0,IF(F719=0,"",HYPERLINK("#"&amp;RIGHT(CELL("adresse",OFFSET(DMAV_Dienste!$M$6,F719-1,0)),LEN(CELL("adresse",OFFSET(DMAV_Dienste!$M$6,F719-1,0)))-FIND("]",CELL("adresse",OFFSET(DMAV_Dienste!$M$6,F719-1,0)))),"Structure")),HYPERLINK("#"&amp;RIGHT(CELL("adresse",OFFSET(DMAV_Modell!$N$6,C719-1,0)),LEN(CELL("adresse",OFFSET(DMAV_Modell!$N$6,C719-1,0)))-FIND("]",CELL("adresse",OFFSET(DMAV_Modell!$N$6,C719-1,0)))),"Structure"))</f>
        <v/>
      </c>
      <c r="P719" s="64" t="str" cm="1">
        <f t="array" aca="1" ref="P719" ca="1">IF(D719=0,IF(G719=0,"",HYPERLINK("#"&amp;RIGHT(CELL("adresse",OFFSET(DMAV_Dienste!$M$6,G719-1,0)),LEN(CELL("adresse",OFFSET(DMAV_Dienste!$M$6,G719-1,0)))-FIND("]",CELL("adresse",OFFSET(DMAV_Dienste!$M$6,G719-1,0)))),"Substructure")),HYPERLINK("#"&amp;RIGHT(CELL("adresse",OFFSET(DMAV_Modell!$N$6,D719-1,0)),LEN(CELL("adresse",OFFSET(DMAV_Modell!$N$6,D719-1,0)))-FIND("]",CELL("adresse",OFFSET(DMAV_Modell!$N$6,D719-1,0)))),"Substructure"))</f>
        <v/>
      </c>
      <c r="R719" s="80"/>
      <c r="T719" s="93"/>
      <c r="U719" s="94"/>
      <c r="V719" s="95"/>
      <c r="W719" s="96"/>
      <c r="Y719" s="85"/>
      <c r="Z719" s="86"/>
      <c r="AA719" s="87"/>
      <c r="AB719" s="88"/>
      <c r="AD719" s="77"/>
      <c r="AF719" s="54" t="str" cm="1">
        <f t="array" aca="1" ref="AF719" ca="1">IF(H719=0,"",HYPERLINK("#"&amp;RIGHT(CELL("adresse",OFFSET('DM01-AV-CH'!$G$6,H719-1,0)),LEN(CELL("adresse",OFFSET('DM01-AV-CH'!$G$6,H719-1,0)))-FIND("]",CELL("adresse",OFFSET('DM01-AV-CH'!$G$6,H719-1,0)))),"Modell"))</f>
        <v/>
      </c>
      <c r="AG719" s="72" t="str" cm="1">
        <f t="array" ref="AG719">IF($H719=0,"",IF(INDEX('DM01-AV-CH'!G$6:G$834,$H719)="","",INDEX('DM01-AV-CH'!G$6:G$834,$H719)))</f>
        <v/>
      </c>
      <c r="AH719" s="73" t="str" cm="1">
        <f t="array" ref="AH719">IF($H719=0,"",IF(INDEX('DM01-AV-CH'!H$6:H$834,$H719)="","",INDEX('DM01-AV-CH'!H$6:H$834,$H719)))</f>
        <v/>
      </c>
      <c r="AI719" s="74" t="str" cm="1">
        <f t="array" ref="AI719">IF($H719=0,"",IF(INDEX('DM01-AV-CH'!I$6:I$834,$H719)="","",INDEX('DM01-AV-CH'!I$6:I$834,$H719)))</f>
        <v/>
      </c>
    </row>
    <row r="720" spans="1:35" x14ac:dyDescent="0.25">
      <c r="A720" s="57">
        <v>715</v>
      </c>
      <c r="B720" s="57">
        <f>IF($A720="","",IF(_xlfn.XLOOKUP($A720,Korrelation!$D$4:$D$1197,Korrelation!E$4:E$1197,"-",0)="-",0,MATCH(_xlfn.XLOOKUP($A720,Korrelation!$D$4:$D$1197,Korrelation!E$4:E$1197,"",0),DMAV_Modell!$G$6:$G$677,0)))</f>
        <v>393</v>
      </c>
      <c r="C720" s="57">
        <f>IF($A720="","",IF(_xlfn.XLOOKUP($A720,Korrelation!$D$4:$D$1197,Korrelation!F$4:F$1197,"-",0)="-",0,MATCH(_xlfn.XLOOKUP($A720,Korrelation!$D$4:$D$1197,Korrelation!F$4:F$1197,"",0),DMAV_Modell!$G$6:$G$677,0)))</f>
        <v>0</v>
      </c>
      <c r="D720" s="57">
        <f>IF($A720="","",IF(_xlfn.XLOOKUP($A720,Korrelation!$D$4:$D$1197,Korrelation!G$4:G$1197,"-",0)="-",0,MATCH(_xlfn.XLOOKUP($A720,Korrelation!$D$4:$D$1197,Korrelation!G$4:G$1197,"",0),DMAV_Modell!$G$6:$G$677,0)))</f>
        <v>0</v>
      </c>
      <c r="E720" s="57">
        <f>IF($A720="","",IF(_xlfn.XLOOKUP($A720,Korrelation!$D$4:$D$1197,Korrelation!H$4:H$1197,"-",0)="-",0,MATCH(_xlfn.XLOOKUP($A720,Korrelation!$D$4:$D$1197,Korrelation!H$4:H$1197,"",0),DMAV_Dienste!$F$6:$F$140,0)))</f>
        <v>0</v>
      </c>
      <c r="F720" s="57">
        <f>IF($A720="","",IF(_xlfn.XLOOKUP($A720,Korrelation!$D$4:$D$1197,Korrelation!I$4:I$1197,"-",0)="-",0,MATCH(_xlfn.XLOOKUP($A720,Korrelation!$D$4:$D$1197,Korrelation!I$4:I$1197,"",0),DMAV_Dienste!$F$6:$F$140,0)))</f>
        <v>0</v>
      </c>
      <c r="G720" s="57">
        <f>IF($A720="","",IF(_xlfn.XLOOKUP($A720,Korrelation!$D$4:$D$1197,Korrelation!J$4:J$1197,"-",0)="-",0,MATCH(_xlfn.XLOOKUP($A720,Korrelation!$D$4:$D$1197,Korrelation!J$4:J$1197,"",0),DMAV_Dienste!$F$6:$F$140,0)))</f>
        <v>0</v>
      </c>
      <c r="H720" s="57">
        <f>IF($A720="","",IF(_xlfn.XLOOKUP($A720,Korrelation!$D$4:$D$1197,Korrelation!K$4:K$1197,"-",0)="-",0,MATCH(_xlfn.XLOOKUP($A720,Korrelation!$D$4:$D$1197,Korrelation!K$4:K$1197,"",0),'DM01-AV-CH'!$A$6:$A$834,0)))</f>
        <v>0</v>
      </c>
      <c r="J720" s="54" t="str" cm="1">
        <f t="array" aca="1" ref="J720" ca="1">IF(B720=0,IF(E720=0,"",HYPERLINK("#"&amp;RIGHT(CELL("adresse",OFFSET(DMAV_Dienste!$M$6,E720-1,0)),LEN(CELL("adresse",OFFSET(DMAV_Dienste!$M$6,E720-1,0)))-FIND("]",CELL("adresse",OFFSET(DMAV_Dienste!$M$6,E720-1,0)))),"Dienst")),HYPERLINK("#"&amp;RIGHT(CELL("adresse",OFFSET(DMAV_Modell!$N$6,B720-1,0)),LEN(CELL("adresse",OFFSET(DMAV_Modell!$N$6,B720-1,0)))-FIND("]",CELL("adresse",OFFSET(DMAV_Modell!$N$6,B720-1,0)))),"Modell"))</f>
        <v>Modell</v>
      </c>
      <c r="K720" s="61" t="str" cm="1">
        <f t="array" ref="K720">IF($B720=0,IF($E720=0,"",IF(INDEX(DMAV_Dienste!P$6:P$140,$E720)="","",INDEX(DMAV_Dienste!P$6:P$140,$E720))),IF(INDEX(DMAV_Modell!Q$6:Q$838,$B720)="","",INDEX(DMAV_Modell!Q$6:Q$838,$B720)))</f>
        <v>IMPORTS</v>
      </c>
      <c r="L720" s="62" t="str" cm="1">
        <f t="array" ref="L720">IF($B720=0,IF($E720=0,"",IF(INDEX(DMAV_Dienste!O$6:O$140,$E720)="","",INDEX(DMAV_Dienste!O$6:O$140,$E720))),IF(INDEX(DMAV_Modell!P$6:P$838,$B720)="","",INDEX(DMAV_Modell!P$6:P$838,$B720)))</f>
        <v/>
      </c>
      <c r="M720" s="62" t="str" cm="1">
        <f t="array" ref="M720">IF($B720=0,IF($E720=0,"",IF(INDEX(DMAV_Dienste!Q$6:Q$140,$E720)="","",INDEX(DMAV_Dienste!Q$6:Q$140,$E720))),IF(INDEX(DMAV_Modell!R$6:R$838,$B720)="","",INDEX(DMAV_Modell!R$6:R$838,$B720)))</f>
        <v>DMAVTYM_Grafik_V1_0</v>
      </c>
      <c r="N720" s="62" t="str" cm="1">
        <f t="array" ref="N720">IF($B720=0,IF($E720=0,"",IF(INDEX(DMAV_Dienste!T$6:T$140,$E720)="","",INDEX(DMAV_Dienste!T$6:T$140,$E720))),IF(INDEX(DMAV_Modell!U$6:U$838,$B720)="","",INDEX(DMAV_Modell!U$6:U$838,$B720)))</f>
        <v/>
      </c>
      <c r="O720" s="63" t="str" cm="1">
        <f t="array" aca="1" ref="O720" ca="1">IF(C720=0,IF(F720=0,"",HYPERLINK("#"&amp;RIGHT(CELL("adresse",OFFSET(DMAV_Dienste!$M$6,F720-1,0)),LEN(CELL("adresse",OFFSET(DMAV_Dienste!$M$6,F720-1,0)))-FIND("]",CELL("adresse",OFFSET(DMAV_Dienste!$M$6,F720-1,0)))),"Structure")),HYPERLINK("#"&amp;RIGHT(CELL("adresse",OFFSET(DMAV_Modell!$N$6,C720-1,0)),LEN(CELL("adresse",OFFSET(DMAV_Modell!$N$6,C720-1,0)))-FIND("]",CELL("adresse",OFFSET(DMAV_Modell!$N$6,C720-1,0)))),"Structure"))</f>
        <v/>
      </c>
      <c r="P720" s="64" t="str" cm="1">
        <f t="array" aca="1" ref="P720" ca="1">IF(D720=0,IF(G720=0,"",HYPERLINK("#"&amp;RIGHT(CELL("adresse",OFFSET(DMAV_Dienste!$M$6,G720-1,0)),LEN(CELL("adresse",OFFSET(DMAV_Dienste!$M$6,G720-1,0)))-FIND("]",CELL("adresse",OFFSET(DMAV_Dienste!$M$6,G720-1,0)))),"Substructure")),HYPERLINK("#"&amp;RIGHT(CELL("adresse",OFFSET(DMAV_Modell!$N$6,D720-1,0)),LEN(CELL("adresse",OFFSET(DMAV_Modell!$N$6,D720-1,0)))-FIND("]",CELL("adresse",OFFSET(DMAV_Modell!$N$6,D720-1,0)))),"Substructure"))</f>
        <v/>
      </c>
      <c r="R720" s="80"/>
      <c r="T720" s="93"/>
      <c r="U720" s="94"/>
      <c r="V720" s="95"/>
      <c r="W720" s="96"/>
      <c r="Y720" s="85"/>
      <c r="Z720" s="86"/>
      <c r="AA720" s="87"/>
      <c r="AB720" s="88"/>
      <c r="AD720" s="77"/>
      <c r="AF720" s="54" t="str" cm="1">
        <f t="array" aca="1" ref="AF720" ca="1">IF(H720=0,"",HYPERLINK("#"&amp;RIGHT(CELL("adresse",OFFSET('DM01-AV-CH'!$G$6,H720-1,0)),LEN(CELL("adresse",OFFSET('DM01-AV-CH'!$G$6,H720-1,0)))-FIND("]",CELL("adresse",OFFSET('DM01-AV-CH'!$G$6,H720-1,0)))),"Modell"))</f>
        <v/>
      </c>
      <c r="AG720" s="72" t="str" cm="1">
        <f t="array" ref="AG720">IF($H720=0,"",IF(INDEX('DM01-AV-CH'!G$6:G$834,$H720)="","",INDEX('DM01-AV-CH'!G$6:G$834,$H720)))</f>
        <v/>
      </c>
      <c r="AH720" s="73" t="str" cm="1">
        <f t="array" ref="AH720">IF($H720=0,"",IF(INDEX('DM01-AV-CH'!H$6:H$834,$H720)="","",INDEX('DM01-AV-CH'!H$6:H$834,$H720)))</f>
        <v/>
      </c>
      <c r="AI720" s="74" t="str" cm="1">
        <f t="array" ref="AI720">IF($H720=0,"",IF(INDEX('DM01-AV-CH'!I$6:I$834,$H720)="","",INDEX('DM01-AV-CH'!I$6:I$834,$H720)))</f>
        <v/>
      </c>
    </row>
    <row r="721" spans="1:35" x14ac:dyDescent="0.25">
      <c r="A721" s="57">
        <v>716</v>
      </c>
      <c r="B721" s="57">
        <f>IF($A721="","",IF(_xlfn.XLOOKUP($A721,Korrelation!$D$4:$D$1197,Korrelation!E$4:E$1197,"-",0)="-",0,MATCH(_xlfn.XLOOKUP($A721,Korrelation!$D$4:$D$1197,Korrelation!E$4:E$1197,"",0),DMAV_Modell!$G$6:$G$677,0)))</f>
        <v>394</v>
      </c>
      <c r="C721" s="57">
        <f>IF($A721="","",IF(_xlfn.XLOOKUP($A721,Korrelation!$D$4:$D$1197,Korrelation!F$4:F$1197,"-",0)="-",0,MATCH(_xlfn.XLOOKUP($A721,Korrelation!$D$4:$D$1197,Korrelation!F$4:F$1197,"",0),DMAV_Modell!$G$6:$G$677,0)))</f>
        <v>0</v>
      </c>
      <c r="D721" s="57">
        <f>IF($A721="","",IF(_xlfn.XLOOKUP($A721,Korrelation!$D$4:$D$1197,Korrelation!G$4:G$1197,"-",0)="-",0,MATCH(_xlfn.XLOOKUP($A721,Korrelation!$D$4:$D$1197,Korrelation!G$4:G$1197,"",0),DMAV_Modell!$G$6:$G$677,0)))</f>
        <v>0</v>
      </c>
      <c r="E721" s="57">
        <f>IF($A721="","",IF(_xlfn.XLOOKUP($A721,Korrelation!$D$4:$D$1197,Korrelation!H$4:H$1197,"-",0)="-",0,MATCH(_xlfn.XLOOKUP($A721,Korrelation!$D$4:$D$1197,Korrelation!H$4:H$1197,"",0),DMAV_Dienste!$F$6:$F$140,0)))</f>
        <v>0</v>
      </c>
      <c r="F721" s="57">
        <f>IF($A721="","",IF(_xlfn.XLOOKUP($A721,Korrelation!$D$4:$D$1197,Korrelation!I$4:I$1197,"-",0)="-",0,MATCH(_xlfn.XLOOKUP($A721,Korrelation!$D$4:$D$1197,Korrelation!I$4:I$1197,"",0),DMAV_Dienste!$F$6:$F$140,0)))</f>
        <v>0</v>
      </c>
      <c r="G721" s="57">
        <f>IF($A721="","",IF(_xlfn.XLOOKUP($A721,Korrelation!$D$4:$D$1197,Korrelation!J$4:J$1197,"-",0)="-",0,MATCH(_xlfn.XLOOKUP($A721,Korrelation!$D$4:$D$1197,Korrelation!J$4:J$1197,"",0),DMAV_Dienste!$F$6:$F$140,0)))</f>
        <v>0</v>
      </c>
      <c r="H721" s="57">
        <f>IF($A721="","",IF(_xlfn.XLOOKUP($A721,Korrelation!$D$4:$D$1197,Korrelation!K$4:K$1197,"-",0)="-",0,MATCH(_xlfn.XLOOKUP($A721,Korrelation!$D$4:$D$1197,Korrelation!K$4:K$1197,"",0),'DM01-AV-CH'!$A$6:$A$834,0)))</f>
        <v>169</v>
      </c>
      <c r="J721" s="54" t="str" cm="1">
        <f t="array" aca="1" ref="J721" ca="1">IF(B721=0,IF(E721=0,"",HYPERLINK("#"&amp;RIGHT(CELL("adresse",OFFSET(DMAV_Dienste!$M$6,E721-1,0)),LEN(CELL("adresse",OFFSET(DMAV_Dienste!$M$6,E721-1,0)))-FIND("]",CELL("adresse",OFFSET(DMAV_Dienste!$M$6,E721-1,0)))),"Dienst")),HYPERLINK("#"&amp;RIGHT(CELL("adresse",OFFSET(DMAV_Modell!$N$6,B721-1,0)),LEN(CELL("adresse",OFFSET(DMAV_Modell!$N$6,B721-1,0)))-FIND("]",CELL("adresse",OFFSET(DMAV_Modell!$N$6,B721-1,0)))),"Modell"))</f>
        <v>Modell</v>
      </c>
      <c r="K721" s="61" t="str" cm="1">
        <f t="array" ref="K721">IF($B721=0,IF($E721=0,"",IF(INDEX(DMAV_Dienste!P$6:P$140,$E721)="","",INDEX(DMAV_Dienste!P$6:P$140,$E721))),IF(INDEX(DMAV_Modell!Q$6:Q$838,$B721)="","",INDEX(DMAV_Modell!Q$6:Q$838,$B721)))</f>
        <v>DOMAIN</v>
      </c>
      <c r="L721" s="62" t="str" cm="1">
        <f t="array" ref="L721">IF($B721=0,IF($E721=0,"",IF(INDEX(DMAV_Dienste!O$6:O$140,$E721)="","",INDEX(DMAV_Dienste!O$6:O$140,$E721))),IF(INDEX(DMAV_Modell!P$6:P$838,$B721)="","",INDEX(DMAV_Modell!P$6:P$838,$B721)))</f>
        <v>Bodenbedeckung</v>
      </c>
      <c r="M721" s="62" t="str" cm="1">
        <f t="array" ref="M721">IF($B721=0,IF($E721=0,"",IF(INDEX(DMAV_Dienste!Q$6:Q$140,$E721)="","",INDEX(DMAV_Dienste!Q$6:Q$140,$E721))),IF(INDEX(DMAV_Modell!R$6:R$838,$B721)="","",INDEX(DMAV_Modell!R$6:R$838,$B721)))</f>
        <v>Bodenbedeckungsart</v>
      </c>
      <c r="N721" s="62" t="str" cm="1">
        <f t="array" ref="N721">IF($B721=0,IF($E721=0,"",IF(INDEX(DMAV_Dienste!T$6:T$140,$E721)="","",INDEX(DMAV_Dienste!T$6:T$140,$E721))),IF(INDEX(DMAV_Modell!U$6:U$838,$B721)="","",INDEX(DMAV_Modell!U$6:U$838,$B721)))</f>
        <v/>
      </c>
      <c r="O721" s="63" t="str" cm="1">
        <f t="array" aca="1" ref="O721" ca="1">IF(C721=0,IF(F721=0,"",HYPERLINK("#"&amp;RIGHT(CELL("adresse",OFFSET(DMAV_Dienste!$M$6,F721-1,0)),LEN(CELL("adresse",OFFSET(DMAV_Dienste!$M$6,F721-1,0)))-FIND("]",CELL("adresse",OFFSET(DMAV_Dienste!$M$6,F721-1,0)))),"Structure")),HYPERLINK("#"&amp;RIGHT(CELL("adresse",OFFSET(DMAV_Modell!$N$6,C721-1,0)),LEN(CELL("adresse",OFFSET(DMAV_Modell!$N$6,C721-1,0)))-FIND("]",CELL("adresse",OFFSET(DMAV_Modell!$N$6,C721-1,0)))),"Structure"))</f>
        <v/>
      </c>
      <c r="P721" s="64" t="str" cm="1">
        <f t="array" aca="1" ref="P721" ca="1">IF(D721=0,IF(G721=0,"",HYPERLINK("#"&amp;RIGHT(CELL("adresse",OFFSET(DMAV_Dienste!$M$6,G721-1,0)),LEN(CELL("adresse",OFFSET(DMAV_Dienste!$M$6,G721-1,0)))-FIND("]",CELL("adresse",OFFSET(DMAV_Dienste!$M$6,G721-1,0)))),"Substructure")),HYPERLINK("#"&amp;RIGHT(CELL("adresse",OFFSET(DMAV_Modell!$N$6,D721-1,0)),LEN(CELL("adresse",OFFSET(DMAV_Modell!$N$6,D721-1,0)))-FIND("]",CELL("adresse",OFFSET(DMAV_Modell!$N$6,D721-1,0)))),"Substructure"))</f>
        <v/>
      </c>
      <c r="R721" s="80"/>
      <c r="T721" s="93"/>
      <c r="U721" s="94"/>
      <c r="V721" s="95"/>
      <c r="W721" s="96"/>
      <c r="Y721" s="85"/>
      <c r="Z721" s="86"/>
      <c r="AA721" s="87"/>
      <c r="AB721" s="88"/>
      <c r="AD721" s="77"/>
      <c r="AF721" s="54" t="str" cm="1">
        <f t="array" aca="1" ref="AF721" ca="1">IF(H721=0,"",HYPERLINK("#"&amp;RIGHT(CELL("adresse",OFFSET('DM01-AV-CH'!$G$6,H721-1,0)),LEN(CELL("adresse",OFFSET('DM01-AV-CH'!$G$6,H721-1,0)))-FIND("]",CELL("adresse",OFFSET('DM01-AV-CH'!$G$6,H721-1,0)))),"Modell"))</f>
        <v>Modell</v>
      </c>
      <c r="AG721" s="72" t="str" cm="1">
        <f t="array" ref="AG721">IF($H721=0,"",IF(INDEX('DM01-AV-CH'!G$6:G$834,$H721)="","",INDEX('DM01-AV-CH'!G$6:G$834,$H721)))</f>
        <v>Bodenbedeckung</v>
      </c>
      <c r="AH721" s="73" t="str" cm="1">
        <f t="array" ref="AH721">IF($H721=0,"",IF(INDEX('DM01-AV-CH'!H$6:H$834,$H721)="","",INDEX('DM01-AV-CH'!H$6:H$834,$H721)))</f>
        <v/>
      </c>
      <c r="AI721" s="74" t="str" cm="1">
        <f t="array" ref="AI721">IF($H721=0,"",IF(INDEX('DM01-AV-CH'!I$6:I$834,$H721)="","",INDEX('DM01-AV-CH'!I$6:I$834,$H721)))</f>
        <v>BBArt</v>
      </c>
    </row>
    <row r="722" spans="1:35" x14ac:dyDescent="0.25">
      <c r="A722" s="57">
        <v>717</v>
      </c>
      <c r="B722" s="57">
        <f>IF($A722="","",IF(_xlfn.XLOOKUP($A722,Korrelation!$D$4:$D$1197,Korrelation!E$4:E$1197,"-",0)="-",0,MATCH(_xlfn.XLOOKUP($A722,Korrelation!$D$4:$D$1197,Korrelation!E$4:E$1197,"",0),DMAV_Modell!$G$6:$G$677,0)))</f>
        <v>395</v>
      </c>
      <c r="C722" s="57">
        <f>IF($A722="","",IF(_xlfn.XLOOKUP($A722,Korrelation!$D$4:$D$1197,Korrelation!F$4:F$1197,"-",0)="-",0,MATCH(_xlfn.XLOOKUP($A722,Korrelation!$D$4:$D$1197,Korrelation!F$4:F$1197,"",0),DMAV_Modell!$G$6:$G$677,0)))</f>
        <v>0</v>
      </c>
      <c r="D722" s="57">
        <f>IF($A722="","",IF(_xlfn.XLOOKUP($A722,Korrelation!$D$4:$D$1197,Korrelation!G$4:G$1197,"-",0)="-",0,MATCH(_xlfn.XLOOKUP($A722,Korrelation!$D$4:$D$1197,Korrelation!G$4:G$1197,"",0),DMAV_Modell!$G$6:$G$677,0)))</f>
        <v>0</v>
      </c>
      <c r="E722" s="57">
        <f>IF($A722="","",IF(_xlfn.XLOOKUP($A722,Korrelation!$D$4:$D$1197,Korrelation!H$4:H$1197,"-",0)="-",0,MATCH(_xlfn.XLOOKUP($A722,Korrelation!$D$4:$D$1197,Korrelation!H$4:H$1197,"",0),DMAV_Dienste!$F$6:$F$140,0)))</f>
        <v>0</v>
      </c>
      <c r="F722" s="57">
        <f>IF($A722="","",IF(_xlfn.XLOOKUP($A722,Korrelation!$D$4:$D$1197,Korrelation!I$4:I$1197,"-",0)="-",0,MATCH(_xlfn.XLOOKUP($A722,Korrelation!$D$4:$D$1197,Korrelation!I$4:I$1197,"",0),DMAV_Dienste!$F$6:$F$140,0)))</f>
        <v>0</v>
      </c>
      <c r="G722" s="57">
        <f>IF($A722="","",IF(_xlfn.XLOOKUP($A722,Korrelation!$D$4:$D$1197,Korrelation!J$4:J$1197,"-",0)="-",0,MATCH(_xlfn.XLOOKUP($A722,Korrelation!$D$4:$D$1197,Korrelation!J$4:J$1197,"",0),DMAV_Dienste!$F$6:$F$140,0)))</f>
        <v>0</v>
      </c>
      <c r="H722" s="57">
        <f>IF($A722="","",IF(_xlfn.XLOOKUP($A722,Korrelation!$D$4:$D$1197,Korrelation!K$4:K$1197,"-",0)="-",0,MATCH(_xlfn.XLOOKUP($A722,Korrelation!$D$4:$D$1197,Korrelation!K$4:K$1197,"",0),'DM01-AV-CH'!$A$6:$A$834,0)))</f>
        <v>170</v>
      </c>
      <c r="J722" s="54" t="str" cm="1">
        <f t="array" aca="1" ref="J722" ca="1">IF(B722=0,IF(E722=0,"",HYPERLINK("#"&amp;RIGHT(CELL("adresse",OFFSET(DMAV_Dienste!$M$6,E722-1,0)),LEN(CELL("adresse",OFFSET(DMAV_Dienste!$M$6,E722-1,0)))-FIND("]",CELL("adresse",OFFSET(DMAV_Dienste!$M$6,E722-1,0)))),"Dienst")),HYPERLINK("#"&amp;RIGHT(CELL("adresse",OFFSET(DMAV_Modell!$N$6,B722-1,0)),LEN(CELL("adresse",OFFSET(DMAV_Modell!$N$6,B722-1,0)))-FIND("]",CELL("adresse",OFFSET(DMAV_Modell!$N$6,B722-1,0)))),"Modell"))</f>
        <v>Modell</v>
      </c>
      <c r="K722" s="61" t="str" cm="1">
        <f t="array" ref="K722">IF($B722=0,IF($E722=0,"",IF(INDEX(DMAV_Dienste!P$6:P$140,$E722)="","",INDEX(DMAV_Dienste!P$6:P$140,$E722))),IF(INDEX(DMAV_Modell!Q$6:Q$838,$B722)="","",INDEX(DMAV_Modell!Q$6:Q$838,$B722)))</f>
        <v>DOMAIN</v>
      </c>
      <c r="L722" s="62" t="str" cm="1">
        <f t="array" ref="L722">IF($B722=0,IF($E722=0,"",IF(INDEX(DMAV_Dienste!O$6:O$140,$E722)="","",INDEX(DMAV_Dienste!O$6:O$140,$E722))),IF(INDEX(DMAV_Modell!P$6:P$838,$B722)="","",INDEX(DMAV_Modell!P$6:P$838,$B722)))</f>
        <v>Bodenbedeckung</v>
      </c>
      <c r="M722" s="62" t="str" cm="1">
        <f t="array" ref="M722">IF($B722=0,IF($E722=0,"",IF(INDEX(DMAV_Dienste!Q$6:Q$140,$E722)="","",INDEX(DMAV_Dienste!Q$6:Q$140,$E722))),IF(INDEX(DMAV_Modell!R$6:R$838,$B722)="","",INDEX(DMAV_Modell!R$6:R$838,$B722)))</f>
        <v>Bodenbedeckungsart</v>
      </c>
      <c r="N722" s="62" t="str" cm="1">
        <f t="array" ref="N722">IF($B722=0,IF($E722=0,"",IF(INDEX(DMAV_Dienste!T$6:T$140,$E722)="","",INDEX(DMAV_Dienste!T$6:T$140,$E722))),IF(INDEX(DMAV_Modell!U$6:U$838,$B722)="","",INDEX(DMAV_Modell!U$6:U$838,$B722)))</f>
        <v/>
      </c>
      <c r="O722" s="63" t="str" cm="1">
        <f t="array" aca="1" ref="O722" ca="1">IF(C722=0,IF(F722=0,"",HYPERLINK("#"&amp;RIGHT(CELL("adresse",OFFSET(DMAV_Dienste!$M$6,F722-1,0)),LEN(CELL("adresse",OFFSET(DMAV_Dienste!$M$6,F722-1,0)))-FIND("]",CELL("adresse",OFFSET(DMAV_Dienste!$M$6,F722-1,0)))),"Structure")),HYPERLINK("#"&amp;RIGHT(CELL("adresse",OFFSET(DMAV_Modell!$N$6,C722-1,0)),LEN(CELL("adresse",OFFSET(DMAV_Modell!$N$6,C722-1,0)))-FIND("]",CELL("adresse",OFFSET(DMAV_Modell!$N$6,C722-1,0)))),"Structure"))</f>
        <v/>
      </c>
      <c r="P722" s="64" t="str" cm="1">
        <f t="array" aca="1" ref="P722" ca="1">IF(D722=0,IF(G722=0,"",HYPERLINK("#"&amp;RIGHT(CELL("adresse",OFFSET(DMAV_Dienste!$M$6,G722-1,0)),LEN(CELL("adresse",OFFSET(DMAV_Dienste!$M$6,G722-1,0)))-FIND("]",CELL("adresse",OFFSET(DMAV_Dienste!$M$6,G722-1,0)))),"Substructure")),HYPERLINK("#"&amp;RIGHT(CELL("adresse",OFFSET(DMAV_Modell!$N$6,D722-1,0)),LEN(CELL("adresse",OFFSET(DMAV_Modell!$N$6,D722-1,0)))-FIND("]",CELL("adresse",OFFSET(DMAV_Modell!$N$6,D722-1,0)))),"Substructure"))</f>
        <v/>
      </c>
      <c r="R722" s="80"/>
      <c r="T722" s="93"/>
      <c r="U722" s="94"/>
      <c r="V722" s="95"/>
      <c r="W722" s="96"/>
      <c r="Y722" s="85"/>
      <c r="Z722" s="86"/>
      <c r="AA722" s="87"/>
      <c r="AB722" s="88"/>
      <c r="AD722" s="77"/>
      <c r="AF722" s="54" t="str" cm="1">
        <f t="array" aca="1" ref="AF722" ca="1">IF(H722=0,"",HYPERLINK("#"&amp;RIGHT(CELL("adresse",OFFSET('DM01-AV-CH'!$G$6,H722-1,0)),LEN(CELL("adresse",OFFSET('DM01-AV-CH'!$G$6,H722-1,0)))-FIND("]",CELL("adresse",OFFSET('DM01-AV-CH'!$G$6,H722-1,0)))),"Modell"))</f>
        <v>Modell</v>
      </c>
      <c r="AG722" s="72" t="str" cm="1">
        <f t="array" ref="AG722">IF($H722=0,"",IF(INDEX('DM01-AV-CH'!G$6:G$834,$H722)="","",INDEX('DM01-AV-CH'!G$6:G$834,$H722)))</f>
        <v>Bodenbedeckung</v>
      </c>
      <c r="AH722" s="73" t="str" cm="1">
        <f t="array" ref="AH722">IF($H722=0,"",IF(INDEX('DM01-AV-CH'!H$6:H$834,$H722)="","",INDEX('DM01-AV-CH'!H$6:H$834,$H722)))</f>
        <v/>
      </c>
      <c r="AI722" s="74" t="str" cm="1">
        <f t="array" ref="AI722">IF($H722=0,"",IF(INDEX('DM01-AV-CH'!I$6:I$834,$H722)="","",INDEX('DM01-AV-CH'!I$6:I$834,$H722)))</f>
        <v>BBArt</v>
      </c>
    </row>
    <row r="723" spans="1:35" x14ac:dyDescent="0.25">
      <c r="A723" s="57">
        <v>718</v>
      </c>
      <c r="B723" s="57">
        <f>IF($A723="","",IF(_xlfn.XLOOKUP($A723,Korrelation!$D$4:$D$1197,Korrelation!E$4:E$1197,"-",0)="-",0,MATCH(_xlfn.XLOOKUP($A723,Korrelation!$D$4:$D$1197,Korrelation!E$4:E$1197,"",0),DMAV_Modell!$G$6:$G$677,0)))</f>
        <v>396</v>
      </c>
      <c r="C723" s="57">
        <f>IF($A723="","",IF(_xlfn.XLOOKUP($A723,Korrelation!$D$4:$D$1197,Korrelation!F$4:F$1197,"-",0)="-",0,MATCH(_xlfn.XLOOKUP($A723,Korrelation!$D$4:$D$1197,Korrelation!F$4:F$1197,"",0),DMAV_Modell!$G$6:$G$677,0)))</f>
        <v>0</v>
      </c>
      <c r="D723" s="57">
        <f>IF($A723="","",IF(_xlfn.XLOOKUP($A723,Korrelation!$D$4:$D$1197,Korrelation!G$4:G$1197,"-",0)="-",0,MATCH(_xlfn.XLOOKUP($A723,Korrelation!$D$4:$D$1197,Korrelation!G$4:G$1197,"",0),DMAV_Modell!$G$6:$G$677,0)))</f>
        <v>0</v>
      </c>
      <c r="E723" s="57">
        <f>IF($A723="","",IF(_xlfn.XLOOKUP($A723,Korrelation!$D$4:$D$1197,Korrelation!H$4:H$1197,"-",0)="-",0,MATCH(_xlfn.XLOOKUP($A723,Korrelation!$D$4:$D$1197,Korrelation!H$4:H$1197,"",0),DMAV_Dienste!$F$6:$F$140,0)))</f>
        <v>0</v>
      </c>
      <c r="F723" s="57">
        <f>IF($A723="","",IF(_xlfn.XLOOKUP($A723,Korrelation!$D$4:$D$1197,Korrelation!I$4:I$1197,"-",0)="-",0,MATCH(_xlfn.XLOOKUP($A723,Korrelation!$D$4:$D$1197,Korrelation!I$4:I$1197,"",0),DMAV_Dienste!$F$6:$F$140,0)))</f>
        <v>0</v>
      </c>
      <c r="G723" s="57">
        <f>IF($A723="","",IF(_xlfn.XLOOKUP($A723,Korrelation!$D$4:$D$1197,Korrelation!J$4:J$1197,"-",0)="-",0,MATCH(_xlfn.XLOOKUP($A723,Korrelation!$D$4:$D$1197,Korrelation!J$4:J$1197,"",0),DMAV_Dienste!$F$6:$F$140,0)))</f>
        <v>0</v>
      </c>
      <c r="H723" s="57">
        <f>IF($A723="","",IF(_xlfn.XLOOKUP($A723,Korrelation!$D$4:$D$1197,Korrelation!K$4:K$1197,"-",0)="-",0,MATCH(_xlfn.XLOOKUP($A723,Korrelation!$D$4:$D$1197,Korrelation!K$4:K$1197,"",0),'DM01-AV-CH'!$A$6:$A$834,0)))</f>
        <v>171</v>
      </c>
      <c r="J723" s="54" t="str" cm="1">
        <f t="array" aca="1" ref="J723" ca="1">IF(B723=0,IF(E723=0,"",HYPERLINK("#"&amp;RIGHT(CELL("adresse",OFFSET(DMAV_Dienste!$M$6,E723-1,0)),LEN(CELL("adresse",OFFSET(DMAV_Dienste!$M$6,E723-1,0)))-FIND("]",CELL("adresse",OFFSET(DMAV_Dienste!$M$6,E723-1,0)))),"Dienst")),HYPERLINK("#"&amp;RIGHT(CELL("adresse",OFFSET(DMAV_Modell!$N$6,B723-1,0)),LEN(CELL("adresse",OFFSET(DMAV_Modell!$N$6,B723-1,0)))-FIND("]",CELL("adresse",OFFSET(DMAV_Modell!$N$6,B723-1,0)))),"Modell"))</f>
        <v>Modell</v>
      </c>
      <c r="K723" s="61" t="str" cm="1">
        <f t="array" ref="K723">IF($B723=0,IF($E723=0,"",IF(INDEX(DMAV_Dienste!P$6:P$140,$E723)="","",INDEX(DMAV_Dienste!P$6:P$140,$E723))),IF(INDEX(DMAV_Modell!Q$6:Q$838,$B723)="","",INDEX(DMAV_Modell!Q$6:Q$838,$B723)))</f>
        <v>DOMAIN</v>
      </c>
      <c r="L723" s="62" t="str" cm="1">
        <f t="array" ref="L723">IF($B723=0,IF($E723=0,"",IF(INDEX(DMAV_Dienste!O$6:O$140,$E723)="","",INDEX(DMAV_Dienste!O$6:O$140,$E723))),IF(INDEX(DMAV_Modell!P$6:P$838,$B723)="","",INDEX(DMAV_Modell!P$6:P$838,$B723)))</f>
        <v>Bodenbedeckung</v>
      </c>
      <c r="M723" s="62" t="str" cm="1">
        <f t="array" ref="M723">IF($B723=0,IF($E723=0,"",IF(INDEX(DMAV_Dienste!Q$6:Q$140,$E723)="","",INDEX(DMAV_Dienste!Q$6:Q$140,$E723))),IF(INDEX(DMAV_Modell!R$6:R$838,$B723)="","",INDEX(DMAV_Modell!R$6:R$838,$B723)))</f>
        <v>Bodenbedeckungsart</v>
      </c>
      <c r="N723" s="62" t="str" cm="1">
        <f t="array" ref="N723">IF($B723=0,IF($E723=0,"",IF(INDEX(DMAV_Dienste!T$6:T$140,$E723)="","",INDEX(DMAV_Dienste!T$6:T$140,$E723))),IF(INDEX(DMAV_Modell!U$6:U$838,$B723)="","",INDEX(DMAV_Modell!U$6:U$838,$B723)))</f>
        <v/>
      </c>
      <c r="O723" s="63" t="str" cm="1">
        <f t="array" aca="1" ref="O723" ca="1">IF(C723=0,IF(F723=0,"",HYPERLINK("#"&amp;RIGHT(CELL("adresse",OFFSET(DMAV_Dienste!$M$6,F723-1,0)),LEN(CELL("adresse",OFFSET(DMAV_Dienste!$M$6,F723-1,0)))-FIND("]",CELL("adresse",OFFSET(DMAV_Dienste!$M$6,F723-1,0)))),"Structure")),HYPERLINK("#"&amp;RIGHT(CELL("adresse",OFFSET(DMAV_Modell!$N$6,C723-1,0)),LEN(CELL("adresse",OFFSET(DMAV_Modell!$N$6,C723-1,0)))-FIND("]",CELL("adresse",OFFSET(DMAV_Modell!$N$6,C723-1,0)))),"Structure"))</f>
        <v/>
      </c>
      <c r="P723" s="64" t="str" cm="1">
        <f t="array" aca="1" ref="P723" ca="1">IF(D723=0,IF(G723=0,"",HYPERLINK("#"&amp;RIGHT(CELL("adresse",OFFSET(DMAV_Dienste!$M$6,G723-1,0)),LEN(CELL("adresse",OFFSET(DMAV_Dienste!$M$6,G723-1,0)))-FIND("]",CELL("adresse",OFFSET(DMAV_Dienste!$M$6,G723-1,0)))),"Substructure")),HYPERLINK("#"&amp;RIGHT(CELL("adresse",OFFSET(DMAV_Modell!$N$6,D723-1,0)),LEN(CELL("adresse",OFFSET(DMAV_Modell!$N$6,D723-1,0)))-FIND("]",CELL("adresse",OFFSET(DMAV_Modell!$N$6,D723-1,0)))),"Substructure"))</f>
        <v/>
      </c>
      <c r="R723" s="80"/>
      <c r="T723" s="93"/>
      <c r="U723" s="94"/>
      <c r="V723" s="95"/>
      <c r="W723" s="96"/>
      <c r="Y723" s="85"/>
      <c r="Z723" s="86"/>
      <c r="AA723" s="87"/>
      <c r="AB723" s="88"/>
      <c r="AD723" s="77"/>
      <c r="AF723" s="54" t="str" cm="1">
        <f t="array" aca="1" ref="AF723" ca="1">IF(H723=0,"",HYPERLINK("#"&amp;RIGHT(CELL("adresse",OFFSET('DM01-AV-CH'!$G$6,H723-1,0)),LEN(CELL("adresse",OFFSET('DM01-AV-CH'!$G$6,H723-1,0)))-FIND("]",CELL("adresse",OFFSET('DM01-AV-CH'!$G$6,H723-1,0)))),"Modell"))</f>
        <v>Modell</v>
      </c>
      <c r="AG723" s="72" t="str" cm="1">
        <f t="array" ref="AG723">IF($H723=0,"",IF(INDEX('DM01-AV-CH'!G$6:G$834,$H723)="","",INDEX('DM01-AV-CH'!G$6:G$834,$H723)))</f>
        <v>Bodenbedeckung</v>
      </c>
      <c r="AH723" s="73" t="str" cm="1">
        <f t="array" ref="AH723">IF($H723=0,"",IF(INDEX('DM01-AV-CH'!H$6:H$834,$H723)="","",INDEX('DM01-AV-CH'!H$6:H$834,$H723)))</f>
        <v/>
      </c>
      <c r="AI723" s="74" t="str" cm="1">
        <f t="array" ref="AI723">IF($H723=0,"",IF(INDEX('DM01-AV-CH'!I$6:I$834,$H723)="","",INDEX('DM01-AV-CH'!I$6:I$834,$H723)))</f>
        <v>BBArt</v>
      </c>
    </row>
    <row r="724" spans="1:35" x14ac:dyDescent="0.25">
      <c r="A724" s="57">
        <v>719</v>
      </c>
      <c r="B724" s="57">
        <f>IF($A724="","",IF(_xlfn.XLOOKUP($A724,Korrelation!$D$4:$D$1197,Korrelation!E$4:E$1197,"-",0)="-",0,MATCH(_xlfn.XLOOKUP($A724,Korrelation!$D$4:$D$1197,Korrelation!E$4:E$1197,"",0),DMAV_Modell!$G$6:$G$677,0)))</f>
        <v>397</v>
      </c>
      <c r="C724" s="57">
        <f>IF($A724="","",IF(_xlfn.XLOOKUP($A724,Korrelation!$D$4:$D$1197,Korrelation!F$4:F$1197,"-",0)="-",0,MATCH(_xlfn.XLOOKUP($A724,Korrelation!$D$4:$D$1197,Korrelation!F$4:F$1197,"",0),DMAV_Modell!$G$6:$G$677,0)))</f>
        <v>0</v>
      </c>
      <c r="D724" s="57">
        <f>IF($A724="","",IF(_xlfn.XLOOKUP($A724,Korrelation!$D$4:$D$1197,Korrelation!G$4:G$1197,"-",0)="-",0,MATCH(_xlfn.XLOOKUP($A724,Korrelation!$D$4:$D$1197,Korrelation!G$4:G$1197,"",0),DMAV_Modell!$G$6:$G$677,0)))</f>
        <v>0</v>
      </c>
      <c r="E724" s="57">
        <f>IF($A724="","",IF(_xlfn.XLOOKUP($A724,Korrelation!$D$4:$D$1197,Korrelation!H$4:H$1197,"-",0)="-",0,MATCH(_xlfn.XLOOKUP($A724,Korrelation!$D$4:$D$1197,Korrelation!H$4:H$1197,"",0),DMAV_Dienste!$F$6:$F$140,0)))</f>
        <v>0</v>
      </c>
      <c r="F724" s="57">
        <f>IF($A724="","",IF(_xlfn.XLOOKUP($A724,Korrelation!$D$4:$D$1197,Korrelation!I$4:I$1197,"-",0)="-",0,MATCH(_xlfn.XLOOKUP($A724,Korrelation!$D$4:$D$1197,Korrelation!I$4:I$1197,"",0),DMAV_Dienste!$F$6:$F$140,0)))</f>
        <v>0</v>
      </c>
      <c r="G724" s="57">
        <f>IF($A724="","",IF(_xlfn.XLOOKUP($A724,Korrelation!$D$4:$D$1197,Korrelation!J$4:J$1197,"-",0)="-",0,MATCH(_xlfn.XLOOKUP($A724,Korrelation!$D$4:$D$1197,Korrelation!J$4:J$1197,"",0),DMAV_Dienste!$F$6:$F$140,0)))</f>
        <v>0</v>
      </c>
      <c r="H724" s="57">
        <f>IF($A724="","",IF(_xlfn.XLOOKUP($A724,Korrelation!$D$4:$D$1197,Korrelation!K$4:K$1197,"-",0)="-",0,MATCH(_xlfn.XLOOKUP($A724,Korrelation!$D$4:$D$1197,Korrelation!K$4:K$1197,"",0),'DM01-AV-CH'!$A$6:$A$834,0)))</f>
        <v>172</v>
      </c>
      <c r="J724" s="54" t="str" cm="1">
        <f t="array" aca="1" ref="J724" ca="1">IF(B724=0,IF(E724=0,"",HYPERLINK("#"&amp;RIGHT(CELL("adresse",OFFSET(DMAV_Dienste!$M$6,E724-1,0)),LEN(CELL("adresse",OFFSET(DMAV_Dienste!$M$6,E724-1,0)))-FIND("]",CELL("adresse",OFFSET(DMAV_Dienste!$M$6,E724-1,0)))),"Dienst")),HYPERLINK("#"&amp;RIGHT(CELL("adresse",OFFSET(DMAV_Modell!$N$6,B724-1,0)),LEN(CELL("adresse",OFFSET(DMAV_Modell!$N$6,B724-1,0)))-FIND("]",CELL("adresse",OFFSET(DMAV_Modell!$N$6,B724-1,0)))),"Modell"))</f>
        <v>Modell</v>
      </c>
      <c r="K724" s="61" t="str" cm="1">
        <f t="array" ref="K724">IF($B724=0,IF($E724=0,"",IF(INDEX(DMAV_Dienste!P$6:P$140,$E724)="","",INDEX(DMAV_Dienste!P$6:P$140,$E724))),IF(INDEX(DMAV_Modell!Q$6:Q$838,$B724)="","",INDEX(DMAV_Modell!Q$6:Q$838,$B724)))</f>
        <v>DOMAIN</v>
      </c>
      <c r="L724" s="62" t="str" cm="1">
        <f t="array" ref="L724">IF($B724=0,IF($E724=0,"",IF(INDEX(DMAV_Dienste!O$6:O$140,$E724)="","",INDEX(DMAV_Dienste!O$6:O$140,$E724))),IF(INDEX(DMAV_Modell!P$6:P$838,$B724)="","",INDEX(DMAV_Modell!P$6:P$838,$B724)))</f>
        <v>Bodenbedeckung</v>
      </c>
      <c r="M724" s="62" t="str" cm="1">
        <f t="array" ref="M724">IF($B724=0,IF($E724=0,"",IF(INDEX(DMAV_Dienste!Q$6:Q$140,$E724)="","",INDEX(DMAV_Dienste!Q$6:Q$140,$E724))),IF(INDEX(DMAV_Modell!R$6:R$838,$B724)="","",INDEX(DMAV_Modell!R$6:R$838,$B724)))</f>
        <v>Bodenbedeckungsart</v>
      </c>
      <c r="N724" s="62" t="str" cm="1">
        <f t="array" ref="N724">IF($B724=0,IF($E724=0,"",IF(INDEX(DMAV_Dienste!T$6:T$140,$E724)="","",INDEX(DMAV_Dienste!T$6:T$140,$E724))),IF(INDEX(DMAV_Modell!U$6:U$838,$B724)="","",INDEX(DMAV_Modell!U$6:U$838,$B724)))</f>
        <v/>
      </c>
      <c r="O724" s="63" t="str" cm="1">
        <f t="array" aca="1" ref="O724" ca="1">IF(C724=0,IF(F724=0,"",HYPERLINK("#"&amp;RIGHT(CELL("adresse",OFFSET(DMAV_Dienste!$M$6,F724-1,0)),LEN(CELL("adresse",OFFSET(DMAV_Dienste!$M$6,F724-1,0)))-FIND("]",CELL("adresse",OFFSET(DMAV_Dienste!$M$6,F724-1,0)))),"Structure")),HYPERLINK("#"&amp;RIGHT(CELL("adresse",OFFSET(DMAV_Modell!$N$6,C724-1,0)),LEN(CELL("adresse",OFFSET(DMAV_Modell!$N$6,C724-1,0)))-FIND("]",CELL("adresse",OFFSET(DMAV_Modell!$N$6,C724-1,0)))),"Structure"))</f>
        <v/>
      </c>
      <c r="P724" s="64" t="str" cm="1">
        <f t="array" aca="1" ref="P724" ca="1">IF(D724=0,IF(G724=0,"",HYPERLINK("#"&amp;RIGHT(CELL("adresse",OFFSET(DMAV_Dienste!$M$6,G724-1,0)),LEN(CELL("adresse",OFFSET(DMAV_Dienste!$M$6,G724-1,0)))-FIND("]",CELL("adresse",OFFSET(DMAV_Dienste!$M$6,G724-1,0)))),"Substructure")),HYPERLINK("#"&amp;RIGHT(CELL("adresse",OFFSET(DMAV_Modell!$N$6,D724-1,0)),LEN(CELL("adresse",OFFSET(DMAV_Modell!$N$6,D724-1,0)))-FIND("]",CELL("adresse",OFFSET(DMAV_Modell!$N$6,D724-1,0)))),"Substructure"))</f>
        <v/>
      </c>
      <c r="R724" s="80"/>
      <c r="T724" s="93"/>
      <c r="U724" s="94"/>
      <c r="V724" s="95"/>
      <c r="W724" s="96"/>
      <c r="Y724" s="85"/>
      <c r="Z724" s="86"/>
      <c r="AA724" s="87"/>
      <c r="AB724" s="88"/>
      <c r="AD724" s="77"/>
      <c r="AF724" s="54" t="str" cm="1">
        <f t="array" aca="1" ref="AF724" ca="1">IF(H724=0,"",HYPERLINK("#"&amp;RIGHT(CELL("adresse",OFFSET('DM01-AV-CH'!$G$6,H724-1,0)),LEN(CELL("adresse",OFFSET('DM01-AV-CH'!$G$6,H724-1,0)))-FIND("]",CELL("adresse",OFFSET('DM01-AV-CH'!$G$6,H724-1,0)))),"Modell"))</f>
        <v>Modell</v>
      </c>
      <c r="AG724" s="72" t="str" cm="1">
        <f t="array" ref="AG724">IF($H724=0,"",IF(INDEX('DM01-AV-CH'!G$6:G$834,$H724)="","",INDEX('DM01-AV-CH'!G$6:G$834,$H724)))</f>
        <v>Bodenbedeckung</v>
      </c>
      <c r="AH724" s="73" t="str" cm="1">
        <f t="array" ref="AH724">IF($H724=0,"",IF(INDEX('DM01-AV-CH'!H$6:H$834,$H724)="","",INDEX('DM01-AV-CH'!H$6:H$834,$H724)))</f>
        <v/>
      </c>
      <c r="AI724" s="74" t="str" cm="1">
        <f t="array" ref="AI724">IF($H724=0,"",IF(INDEX('DM01-AV-CH'!I$6:I$834,$H724)="","",INDEX('DM01-AV-CH'!I$6:I$834,$H724)))</f>
        <v>BBArt</v>
      </c>
    </row>
    <row r="725" spans="1:35" x14ac:dyDescent="0.25">
      <c r="A725" s="57">
        <v>720</v>
      </c>
      <c r="B725" s="57">
        <f>IF($A725="","",IF(_xlfn.XLOOKUP($A725,Korrelation!$D$4:$D$1197,Korrelation!E$4:E$1197,"-",0)="-",0,MATCH(_xlfn.XLOOKUP($A725,Korrelation!$D$4:$D$1197,Korrelation!E$4:E$1197,"",0),DMAV_Modell!$G$6:$G$677,0)))</f>
        <v>398</v>
      </c>
      <c r="C725" s="57">
        <f>IF($A725="","",IF(_xlfn.XLOOKUP($A725,Korrelation!$D$4:$D$1197,Korrelation!F$4:F$1197,"-",0)="-",0,MATCH(_xlfn.XLOOKUP($A725,Korrelation!$D$4:$D$1197,Korrelation!F$4:F$1197,"",0),DMAV_Modell!$G$6:$G$677,0)))</f>
        <v>0</v>
      </c>
      <c r="D725" s="57">
        <f>IF($A725="","",IF(_xlfn.XLOOKUP($A725,Korrelation!$D$4:$D$1197,Korrelation!G$4:G$1197,"-",0)="-",0,MATCH(_xlfn.XLOOKUP($A725,Korrelation!$D$4:$D$1197,Korrelation!G$4:G$1197,"",0),DMAV_Modell!$G$6:$G$677,0)))</f>
        <v>0</v>
      </c>
      <c r="E725" s="57">
        <f>IF($A725="","",IF(_xlfn.XLOOKUP($A725,Korrelation!$D$4:$D$1197,Korrelation!H$4:H$1197,"-",0)="-",0,MATCH(_xlfn.XLOOKUP($A725,Korrelation!$D$4:$D$1197,Korrelation!H$4:H$1197,"",0),DMAV_Dienste!$F$6:$F$140,0)))</f>
        <v>0</v>
      </c>
      <c r="F725" s="57">
        <f>IF($A725="","",IF(_xlfn.XLOOKUP($A725,Korrelation!$D$4:$D$1197,Korrelation!I$4:I$1197,"-",0)="-",0,MATCH(_xlfn.XLOOKUP($A725,Korrelation!$D$4:$D$1197,Korrelation!I$4:I$1197,"",0),DMAV_Dienste!$F$6:$F$140,0)))</f>
        <v>0</v>
      </c>
      <c r="G725" s="57">
        <f>IF($A725="","",IF(_xlfn.XLOOKUP($A725,Korrelation!$D$4:$D$1197,Korrelation!J$4:J$1197,"-",0)="-",0,MATCH(_xlfn.XLOOKUP($A725,Korrelation!$D$4:$D$1197,Korrelation!J$4:J$1197,"",0),DMAV_Dienste!$F$6:$F$140,0)))</f>
        <v>0</v>
      </c>
      <c r="H725" s="57">
        <f>IF($A725="","",IF(_xlfn.XLOOKUP($A725,Korrelation!$D$4:$D$1197,Korrelation!K$4:K$1197,"-",0)="-",0,MATCH(_xlfn.XLOOKUP($A725,Korrelation!$D$4:$D$1197,Korrelation!K$4:K$1197,"",0),'DM01-AV-CH'!$A$6:$A$834,0)))</f>
        <v>173</v>
      </c>
      <c r="J725" s="54" t="str" cm="1">
        <f t="array" aca="1" ref="J725" ca="1">IF(B725=0,IF(E725=0,"",HYPERLINK("#"&amp;RIGHT(CELL("adresse",OFFSET(DMAV_Dienste!$M$6,E725-1,0)),LEN(CELL("adresse",OFFSET(DMAV_Dienste!$M$6,E725-1,0)))-FIND("]",CELL("adresse",OFFSET(DMAV_Dienste!$M$6,E725-1,0)))),"Dienst")),HYPERLINK("#"&amp;RIGHT(CELL("adresse",OFFSET(DMAV_Modell!$N$6,B725-1,0)),LEN(CELL("adresse",OFFSET(DMAV_Modell!$N$6,B725-1,0)))-FIND("]",CELL("adresse",OFFSET(DMAV_Modell!$N$6,B725-1,0)))),"Modell"))</f>
        <v>Modell</v>
      </c>
      <c r="K725" s="61" t="str" cm="1">
        <f t="array" ref="K725">IF($B725=0,IF($E725=0,"",IF(INDEX(DMAV_Dienste!P$6:P$140,$E725)="","",INDEX(DMAV_Dienste!P$6:P$140,$E725))),IF(INDEX(DMAV_Modell!Q$6:Q$838,$B725)="","",INDEX(DMAV_Modell!Q$6:Q$838,$B725)))</f>
        <v>DOMAIN</v>
      </c>
      <c r="L725" s="62" t="str" cm="1">
        <f t="array" ref="L725">IF($B725=0,IF($E725=0,"",IF(INDEX(DMAV_Dienste!O$6:O$140,$E725)="","",INDEX(DMAV_Dienste!O$6:O$140,$E725))),IF(INDEX(DMAV_Modell!P$6:P$838,$B725)="","",INDEX(DMAV_Modell!P$6:P$838,$B725)))</f>
        <v>Bodenbedeckung</v>
      </c>
      <c r="M725" s="62" t="str" cm="1">
        <f t="array" ref="M725">IF($B725=0,IF($E725=0,"",IF(INDEX(DMAV_Dienste!Q$6:Q$140,$E725)="","",INDEX(DMAV_Dienste!Q$6:Q$140,$E725))),IF(INDEX(DMAV_Modell!R$6:R$838,$B725)="","",INDEX(DMAV_Modell!R$6:R$838,$B725)))</f>
        <v>Bodenbedeckungsart</v>
      </c>
      <c r="N725" s="62" t="str" cm="1">
        <f t="array" ref="N725">IF($B725=0,IF($E725=0,"",IF(INDEX(DMAV_Dienste!T$6:T$140,$E725)="","",INDEX(DMAV_Dienste!T$6:T$140,$E725))),IF(INDEX(DMAV_Modell!U$6:U$838,$B725)="","",INDEX(DMAV_Modell!U$6:U$838,$B725)))</f>
        <v/>
      </c>
      <c r="O725" s="63" t="str" cm="1">
        <f t="array" aca="1" ref="O725" ca="1">IF(C725=0,IF(F725=0,"",HYPERLINK("#"&amp;RIGHT(CELL("adresse",OFFSET(DMAV_Dienste!$M$6,F725-1,0)),LEN(CELL("adresse",OFFSET(DMAV_Dienste!$M$6,F725-1,0)))-FIND("]",CELL("adresse",OFFSET(DMAV_Dienste!$M$6,F725-1,0)))),"Structure")),HYPERLINK("#"&amp;RIGHT(CELL("adresse",OFFSET(DMAV_Modell!$N$6,C725-1,0)),LEN(CELL("adresse",OFFSET(DMAV_Modell!$N$6,C725-1,0)))-FIND("]",CELL("adresse",OFFSET(DMAV_Modell!$N$6,C725-1,0)))),"Structure"))</f>
        <v/>
      </c>
      <c r="P725" s="64" t="str" cm="1">
        <f t="array" aca="1" ref="P725" ca="1">IF(D725=0,IF(G725=0,"",HYPERLINK("#"&amp;RIGHT(CELL("adresse",OFFSET(DMAV_Dienste!$M$6,G725-1,0)),LEN(CELL("adresse",OFFSET(DMAV_Dienste!$M$6,G725-1,0)))-FIND("]",CELL("adresse",OFFSET(DMAV_Dienste!$M$6,G725-1,0)))),"Substructure")),HYPERLINK("#"&amp;RIGHT(CELL("adresse",OFFSET(DMAV_Modell!$N$6,D725-1,0)),LEN(CELL("adresse",OFFSET(DMAV_Modell!$N$6,D725-1,0)))-FIND("]",CELL("adresse",OFFSET(DMAV_Modell!$N$6,D725-1,0)))),"Substructure"))</f>
        <v/>
      </c>
      <c r="R725" s="80"/>
      <c r="T725" s="93"/>
      <c r="U725" s="94"/>
      <c r="V725" s="95"/>
      <c r="W725" s="96"/>
      <c r="Y725" s="85"/>
      <c r="Z725" s="86"/>
      <c r="AA725" s="87"/>
      <c r="AB725" s="88"/>
      <c r="AD725" s="77"/>
      <c r="AF725" s="54" t="str" cm="1">
        <f t="array" aca="1" ref="AF725" ca="1">IF(H725=0,"",HYPERLINK("#"&amp;RIGHT(CELL("adresse",OFFSET('DM01-AV-CH'!$G$6,H725-1,0)),LEN(CELL("adresse",OFFSET('DM01-AV-CH'!$G$6,H725-1,0)))-FIND("]",CELL("adresse",OFFSET('DM01-AV-CH'!$G$6,H725-1,0)))),"Modell"))</f>
        <v>Modell</v>
      </c>
      <c r="AG725" s="72" t="str" cm="1">
        <f t="array" ref="AG725">IF($H725=0,"",IF(INDEX('DM01-AV-CH'!G$6:G$834,$H725)="","",INDEX('DM01-AV-CH'!G$6:G$834,$H725)))</f>
        <v>Bodenbedeckung</v>
      </c>
      <c r="AH725" s="73" t="str" cm="1">
        <f t="array" ref="AH725">IF($H725=0,"",IF(INDEX('DM01-AV-CH'!H$6:H$834,$H725)="","",INDEX('DM01-AV-CH'!H$6:H$834,$H725)))</f>
        <v/>
      </c>
      <c r="AI725" s="74" t="str" cm="1">
        <f t="array" ref="AI725">IF($H725=0,"",IF(INDEX('DM01-AV-CH'!I$6:I$834,$H725)="","",INDEX('DM01-AV-CH'!I$6:I$834,$H725)))</f>
        <v>BBArt</v>
      </c>
    </row>
    <row r="726" spans="1:35" x14ac:dyDescent="0.25">
      <c r="A726" s="57">
        <v>721</v>
      </c>
      <c r="B726" s="57">
        <f>IF($A726="","",IF(_xlfn.XLOOKUP($A726,Korrelation!$D$4:$D$1197,Korrelation!E$4:E$1197,"-",0)="-",0,MATCH(_xlfn.XLOOKUP($A726,Korrelation!$D$4:$D$1197,Korrelation!E$4:E$1197,"",0),DMAV_Modell!$G$6:$G$677,0)))</f>
        <v>399</v>
      </c>
      <c r="C726" s="57">
        <f>IF($A726="","",IF(_xlfn.XLOOKUP($A726,Korrelation!$D$4:$D$1197,Korrelation!F$4:F$1197,"-",0)="-",0,MATCH(_xlfn.XLOOKUP($A726,Korrelation!$D$4:$D$1197,Korrelation!F$4:F$1197,"",0),DMAV_Modell!$G$6:$G$677,0)))</f>
        <v>0</v>
      </c>
      <c r="D726" s="57">
        <f>IF($A726="","",IF(_xlfn.XLOOKUP($A726,Korrelation!$D$4:$D$1197,Korrelation!G$4:G$1197,"-",0)="-",0,MATCH(_xlfn.XLOOKUP($A726,Korrelation!$D$4:$D$1197,Korrelation!G$4:G$1197,"",0),DMAV_Modell!$G$6:$G$677,0)))</f>
        <v>0</v>
      </c>
      <c r="E726" s="57">
        <f>IF($A726="","",IF(_xlfn.XLOOKUP($A726,Korrelation!$D$4:$D$1197,Korrelation!H$4:H$1197,"-",0)="-",0,MATCH(_xlfn.XLOOKUP($A726,Korrelation!$D$4:$D$1197,Korrelation!H$4:H$1197,"",0),DMAV_Dienste!$F$6:$F$140,0)))</f>
        <v>0</v>
      </c>
      <c r="F726" s="57">
        <f>IF($A726="","",IF(_xlfn.XLOOKUP($A726,Korrelation!$D$4:$D$1197,Korrelation!I$4:I$1197,"-",0)="-",0,MATCH(_xlfn.XLOOKUP($A726,Korrelation!$D$4:$D$1197,Korrelation!I$4:I$1197,"",0),DMAV_Dienste!$F$6:$F$140,0)))</f>
        <v>0</v>
      </c>
      <c r="G726" s="57">
        <f>IF($A726="","",IF(_xlfn.XLOOKUP($A726,Korrelation!$D$4:$D$1197,Korrelation!J$4:J$1197,"-",0)="-",0,MATCH(_xlfn.XLOOKUP($A726,Korrelation!$D$4:$D$1197,Korrelation!J$4:J$1197,"",0),DMAV_Dienste!$F$6:$F$140,0)))</f>
        <v>0</v>
      </c>
      <c r="H726" s="57">
        <f>IF($A726="","",IF(_xlfn.XLOOKUP($A726,Korrelation!$D$4:$D$1197,Korrelation!K$4:K$1197,"-",0)="-",0,MATCH(_xlfn.XLOOKUP($A726,Korrelation!$D$4:$D$1197,Korrelation!K$4:K$1197,"",0),'DM01-AV-CH'!$A$6:$A$834,0)))</f>
        <v>174</v>
      </c>
      <c r="J726" s="54" t="str" cm="1">
        <f t="array" aca="1" ref="J726" ca="1">IF(B726=0,IF(E726=0,"",HYPERLINK("#"&amp;RIGHT(CELL("adresse",OFFSET(DMAV_Dienste!$M$6,E726-1,0)),LEN(CELL("adresse",OFFSET(DMAV_Dienste!$M$6,E726-1,0)))-FIND("]",CELL("adresse",OFFSET(DMAV_Dienste!$M$6,E726-1,0)))),"Dienst")),HYPERLINK("#"&amp;RIGHT(CELL("adresse",OFFSET(DMAV_Modell!$N$6,B726-1,0)),LEN(CELL("adresse",OFFSET(DMAV_Modell!$N$6,B726-1,0)))-FIND("]",CELL("adresse",OFFSET(DMAV_Modell!$N$6,B726-1,0)))),"Modell"))</f>
        <v>Modell</v>
      </c>
      <c r="K726" s="61" t="str" cm="1">
        <f t="array" ref="K726">IF($B726=0,IF($E726=0,"",IF(INDEX(DMAV_Dienste!P$6:P$140,$E726)="","",INDEX(DMAV_Dienste!P$6:P$140,$E726))),IF(INDEX(DMAV_Modell!Q$6:Q$838,$B726)="","",INDEX(DMAV_Modell!Q$6:Q$838,$B726)))</f>
        <v>DOMAIN</v>
      </c>
      <c r="L726" s="62" t="str" cm="1">
        <f t="array" ref="L726">IF($B726=0,IF($E726=0,"",IF(INDEX(DMAV_Dienste!O$6:O$140,$E726)="","",INDEX(DMAV_Dienste!O$6:O$140,$E726))),IF(INDEX(DMAV_Modell!P$6:P$838,$B726)="","",INDEX(DMAV_Modell!P$6:P$838,$B726)))</f>
        <v>Bodenbedeckung</v>
      </c>
      <c r="M726" s="62" t="str" cm="1">
        <f t="array" ref="M726">IF($B726=0,IF($E726=0,"",IF(INDEX(DMAV_Dienste!Q$6:Q$140,$E726)="","",INDEX(DMAV_Dienste!Q$6:Q$140,$E726))),IF(INDEX(DMAV_Modell!R$6:R$838,$B726)="","",INDEX(DMAV_Modell!R$6:R$838,$B726)))</f>
        <v>Bodenbedeckungsart</v>
      </c>
      <c r="N726" s="62" t="str" cm="1">
        <f t="array" ref="N726">IF($B726=0,IF($E726=0,"",IF(INDEX(DMAV_Dienste!T$6:T$140,$E726)="","",INDEX(DMAV_Dienste!T$6:T$140,$E726))),IF(INDEX(DMAV_Modell!U$6:U$838,$B726)="","",INDEX(DMAV_Modell!U$6:U$838,$B726)))</f>
        <v/>
      </c>
      <c r="O726" s="63" t="str" cm="1">
        <f t="array" aca="1" ref="O726" ca="1">IF(C726=0,IF(F726=0,"",HYPERLINK("#"&amp;RIGHT(CELL("adresse",OFFSET(DMAV_Dienste!$M$6,F726-1,0)),LEN(CELL("adresse",OFFSET(DMAV_Dienste!$M$6,F726-1,0)))-FIND("]",CELL("adresse",OFFSET(DMAV_Dienste!$M$6,F726-1,0)))),"Structure")),HYPERLINK("#"&amp;RIGHT(CELL("adresse",OFFSET(DMAV_Modell!$N$6,C726-1,0)),LEN(CELL("adresse",OFFSET(DMAV_Modell!$N$6,C726-1,0)))-FIND("]",CELL("adresse",OFFSET(DMAV_Modell!$N$6,C726-1,0)))),"Structure"))</f>
        <v/>
      </c>
      <c r="P726" s="64" t="str" cm="1">
        <f t="array" aca="1" ref="P726" ca="1">IF(D726=0,IF(G726=0,"",HYPERLINK("#"&amp;RIGHT(CELL("adresse",OFFSET(DMAV_Dienste!$M$6,G726-1,0)),LEN(CELL("adresse",OFFSET(DMAV_Dienste!$M$6,G726-1,0)))-FIND("]",CELL("adresse",OFFSET(DMAV_Dienste!$M$6,G726-1,0)))),"Substructure")),HYPERLINK("#"&amp;RIGHT(CELL("adresse",OFFSET(DMAV_Modell!$N$6,D726-1,0)),LEN(CELL("adresse",OFFSET(DMAV_Modell!$N$6,D726-1,0)))-FIND("]",CELL("adresse",OFFSET(DMAV_Modell!$N$6,D726-1,0)))),"Substructure"))</f>
        <v/>
      </c>
      <c r="R726" s="80"/>
      <c r="T726" s="93"/>
      <c r="U726" s="94"/>
      <c r="V726" s="95"/>
      <c r="W726" s="96"/>
      <c r="Y726" s="85"/>
      <c r="Z726" s="86"/>
      <c r="AA726" s="87"/>
      <c r="AB726" s="88"/>
      <c r="AD726" s="77"/>
      <c r="AF726" s="54" t="str" cm="1">
        <f t="array" aca="1" ref="AF726" ca="1">IF(H726=0,"",HYPERLINK("#"&amp;RIGHT(CELL("adresse",OFFSET('DM01-AV-CH'!$G$6,H726-1,0)),LEN(CELL("adresse",OFFSET('DM01-AV-CH'!$G$6,H726-1,0)))-FIND("]",CELL("adresse",OFFSET('DM01-AV-CH'!$G$6,H726-1,0)))),"Modell"))</f>
        <v>Modell</v>
      </c>
      <c r="AG726" s="72" t="str" cm="1">
        <f t="array" ref="AG726">IF($H726=0,"",IF(INDEX('DM01-AV-CH'!G$6:G$834,$H726)="","",INDEX('DM01-AV-CH'!G$6:G$834,$H726)))</f>
        <v>Bodenbedeckung</v>
      </c>
      <c r="AH726" s="73" t="str" cm="1">
        <f t="array" ref="AH726">IF($H726=0,"",IF(INDEX('DM01-AV-CH'!H$6:H$834,$H726)="","",INDEX('DM01-AV-CH'!H$6:H$834,$H726)))</f>
        <v/>
      </c>
      <c r="AI726" s="74" t="str" cm="1">
        <f t="array" ref="AI726">IF($H726=0,"",IF(INDEX('DM01-AV-CH'!I$6:I$834,$H726)="","",INDEX('DM01-AV-CH'!I$6:I$834,$H726)))</f>
        <v>BBArt</v>
      </c>
    </row>
    <row r="727" spans="1:35" x14ac:dyDescent="0.25">
      <c r="A727" s="57">
        <v>722</v>
      </c>
      <c r="B727" s="57">
        <f>IF($A727="","",IF(_xlfn.XLOOKUP($A727,Korrelation!$D$4:$D$1197,Korrelation!E$4:E$1197,"-",0)="-",0,MATCH(_xlfn.XLOOKUP($A727,Korrelation!$D$4:$D$1197,Korrelation!E$4:E$1197,"",0),DMAV_Modell!$G$6:$G$677,0)))</f>
        <v>400</v>
      </c>
      <c r="C727" s="57">
        <f>IF($A727="","",IF(_xlfn.XLOOKUP($A727,Korrelation!$D$4:$D$1197,Korrelation!F$4:F$1197,"-",0)="-",0,MATCH(_xlfn.XLOOKUP($A727,Korrelation!$D$4:$D$1197,Korrelation!F$4:F$1197,"",0),DMAV_Modell!$G$6:$G$677,0)))</f>
        <v>0</v>
      </c>
      <c r="D727" s="57">
        <f>IF($A727="","",IF(_xlfn.XLOOKUP($A727,Korrelation!$D$4:$D$1197,Korrelation!G$4:G$1197,"-",0)="-",0,MATCH(_xlfn.XLOOKUP($A727,Korrelation!$D$4:$D$1197,Korrelation!G$4:G$1197,"",0),DMAV_Modell!$G$6:$G$677,0)))</f>
        <v>0</v>
      </c>
      <c r="E727" s="57">
        <f>IF($A727="","",IF(_xlfn.XLOOKUP($A727,Korrelation!$D$4:$D$1197,Korrelation!H$4:H$1197,"-",0)="-",0,MATCH(_xlfn.XLOOKUP($A727,Korrelation!$D$4:$D$1197,Korrelation!H$4:H$1197,"",0),DMAV_Dienste!$F$6:$F$140,0)))</f>
        <v>0</v>
      </c>
      <c r="F727" s="57">
        <f>IF($A727="","",IF(_xlfn.XLOOKUP($A727,Korrelation!$D$4:$D$1197,Korrelation!I$4:I$1197,"-",0)="-",0,MATCH(_xlfn.XLOOKUP($A727,Korrelation!$D$4:$D$1197,Korrelation!I$4:I$1197,"",0),DMAV_Dienste!$F$6:$F$140,0)))</f>
        <v>0</v>
      </c>
      <c r="G727" s="57">
        <f>IF($A727="","",IF(_xlfn.XLOOKUP($A727,Korrelation!$D$4:$D$1197,Korrelation!J$4:J$1197,"-",0)="-",0,MATCH(_xlfn.XLOOKUP($A727,Korrelation!$D$4:$D$1197,Korrelation!J$4:J$1197,"",0),DMAV_Dienste!$F$6:$F$140,0)))</f>
        <v>0</v>
      </c>
      <c r="H727" s="57">
        <f>IF($A727="","",IF(_xlfn.XLOOKUP($A727,Korrelation!$D$4:$D$1197,Korrelation!K$4:K$1197,"-",0)="-",0,MATCH(_xlfn.XLOOKUP($A727,Korrelation!$D$4:$D$1197,Korrelation!K$4:K$1197,"",0),'DM01-AV-CH'!$A$6:$A$834,0)))</f>
        <v>175</v>
      </c>
      <c r="J727" s="54" t="str" cm="1">
        <f t="array" aca="1" ref="J727" ca="1">IF(B727=0,IF(E727=0,"",HYPERLINK("#"&amp;RIGHT(CELL("adresse",OFFSET(DMAV_Dienste!$M$6,E727-1,0)),LEN(CELL("adresse",OFFSET(DMAV_Dienste!$M$6,E727-1,0)))-FIND("]",CELL("adresse",OFFSET(DMAV_Dienste!$M$6,E727-1,0)))),"Dienst")),HYPERLINK("#"&amp;RIGHT(CELL("adresse",OFFSET(DMAV_Modell!$N$6,B727-1,0)),LEN(CELL("adresse",OFFSET(DMAV_Modell!$N$6,B727-1,0)))-FIND("]",CELL("adresse",OFFSET(DMAV_Modell!$N$6,B727-1,0)))),"Modell"))</f>
        <v>Modell</v>
      </c>
      <c r="K727" s="61" t="str" cm="1">
        <f t="array" ref="K727">IF($B727=0,IF($E727=0,"",IF(INDEX(DMAV_Dienste!P$6:P$140,$E727)="","",INDEX(DMAV_Dienste!P$6:P$140,$E727))),IF(INDEX(DMAV_Modell!Q$6:Q$838,$B727)="","",INDEX(DMAV_Modell!Q$6:Q$838,$B727)))</f>
        <v>DOMAIN</v>
      </c>
      <c r="L727" s="62" t="str" cm="1">
        <f t="array" ref="L727">IF($B727=0,IF($E727=0,"",IF(INDEX(DMAV_Dienste!O$6:O$140,$E727)="","",INDEX(DMAV_Dienste!O$6:O$140,$E727))),IF(INDEX(DMAV_Modell!P$6:P$838,$B727)="","",INDEX(DMAV_Modell!P$6:P$838,$B727)))</f>
        <v>Bodenbedeckung</v>
      </c>
      <c r="M727" s="62" t="str" cm="1">
        <f t="array" ref="M727">IF($B727=0,IF($E727=0,"",IF(INDEX(DMAV_Dienste!Q$6:Q$140,$E727)="","",INDEX(DMAV_Dienste!Q$6:Q$140,$E727))),IF(INDEX(DMAV_Modell!R$6:R$838,$B727)="","",INDEX(DMAV_Modell!R$6:R$838,$B727)))</f>
        <v>Bodenbedeckungsart</v>
      </c>
      <c r="N727" s="62" t="str" cm="1">
        <f t="array" ref="N727">IF($B727=0,IF($E727=0,"",IF(INDEX(DMAV_Dienste!T$6:T$140,$E727)="","",INDEX(DMAV_Dienste!T$6:T$140,$E727))),IF(INDEX(DMAV_Modell!U$6:U$838,$B727)="","",INDEX(DMAV_Modell!U$6:U$838,$B727)))</f>
        <v/>
      </c>
      <c r="O727" s="63" t="str" cm="1">
        <f t="array" aca="1" ref="O727" ca="1">IF(C727=0,IF(F727=0,"",HYPERLINK("#"&amp;RIGHT(CELL("adresse",OFFSET(DMAV_Dienste!$M$6,F727-1,0)),LEN(CELL("adresse",OFFSET(DMAV_Dienste!$M$6,F727-1,0)))-FIND("]",CELL("adresse",OFFSET(DMAV_Dienste!$M$6,F727-1,0)))),"Structure")),HYPERLINK("#"&amp;RIGHT(CELL("adresse",OFFSET(DMAV_Modell!$N$6,C727-1,0)),LEN(CELL("adresse",OFFSET(DMAV_Modell!$N$6,C727-1,0)))-FIND("]",CELL("adresse",OFFSET(DMAV_Modell!$N$6,C727-1,0)))),"Structure"))</f>
        <v/>
      </c>
      <c r="P727" s="64" t="str" cm="1">
        <f t="array" aca="1" ref="P727" ca="1">IF(D727=0,IF(G727=0,"",HYPERLINK("#"&amp;RIGHT(CELL("adresse",OFFSET(DMAV_Dienste!$M$6,G727-1,0)),LEN(CELL("adresse",OFFSET(DMAV_Dienste!$M$6,G727-1,0)))-FIND("]",CELL("adresse",OFFSET(DMAV_Dienste!$M$6,G727-1,0)))),"Substructure")),HYPERLINK("#"&amp;RIGHT(CELL("adresse",OFFSET(DMAV_Modell!$N$6,D727-1,0)),LEN(CELL("adresse",OFFSET(DMAV_Modell!$N$6,D727-1,0)))-FIND("]",CELL("adresse",OFFSET(DMAV_Modell!$N$6,D727-1,0)))),"Substructure"))</f>
        <v/>
      </c>
      <c r="R727" s="80"/>
      <c r="T727" s="93"/>
      <c r="U727" s="94"/>
      <c r="V727" s="95"/>
      <c r="W727" s="96"/>
      <c r="Y727" s="85"/>
      <c r="Z727" s="86"/>
      <c r="AA727" s="87"/>
      <c r="AB727" s="88"/>
      <c r="AD727" s="77"/>
      <c r="AF727" s="54" t="str" cm="1">
        <f t="array" aca="1" ref="AF727" ca="1">IF(H727=0,"",HYPERLINK("#"&amp;RIGHT(CELL("adresse",OFFSET('DM01-AV-CH'!$G$6,H727-1,0)),LEN(CELL("adresse",OFFSET('DM01-AV-CH'!$G$6,H727-1,0)))-FIND("]",CELL("adresse",OFFSET('DM01-AV-CH'!$G$6,H727-1,0)))),"Modell"))</f>
        <v>Modell</v>
      </c>
      <c r="AG727" s="72" t="str" cm="1">
        <f t="array" ref="AG727">IF($H727=0,"",IF(INDEX('DM01-AV-CH'!G$6:G$834,$H727)="","",INDEX('DM01-AV-CH'!G$6:G$834,$H727)))</f>
        <v>Bodenbedeckung</v>
      </c>
      <c r="AH727" s="73" t="str" cm="1">
        <f t="array" ref="AH727">IF($H727=0,"",IF(INDEX('DM01-AV-CH'!H$6:H$834,$H727)="","",INDEX('DM01-AV-CH'!H$6:H$834,$H727)))</f>
        <v/>
      </c>
      <c r="AI727" s="74" t="str" cm="1">
        <f t="array" ref="AI727">IF($H727=0,"",IF(INDEX('DM01-AV-CH'!I$6:I$834,$H727)="","",INDEX('DM01-AV-CH'!I$6:I$834,$H727)))</f>
        <v>BBArt</v>
      </c>
    </row>
    <row r="728" spans="1:35" x14ac:dyDescent="0.25">
      <c r="A728" s="57">
        <v>723</v>
      </c>
      <c r="B728" s="57">
        <f>IF($A728="","",IF(_xlfn.XLOOKUP($A728,Korrelation!$D$4:$D$1197,Korrelation!E$4:E$1197,"-",0)="-",0,MATCH(_xlfn.XLOOKUP($A728,Korrelation!$D$4:$D$1197,Korrelation!E$4:E$1197,"",0),DMAV_Modell!$G$6:$G$677,0)))</f>
        <v>401</v>
      </c>
      <c r="C728" s="57">
        <f>IF($A728="","",IF(_xlfn.XLOOKUP($A728,Korrelation!$D$4:$D$1197,Korrelation!F$4:F$1197,"-",0)="-",0,MATCH(_xlfn.XLOOKUP($A728,Korrelation!$D$4:$D$1197,Korrelation!F$4:F$1197,"",0),DMAV_Modell!$G$6:$G$677,0)))</f>
        <v>0</v>
      </c>
      <c r="D728" s="57">
        <f>IF($A728="","",IF(_xlfn.XLOOKUP($A728,Korrelation!$D$4:$D$1197,Korrelation!G$4:G$1197,"-",0)="-",0,MATCH(_xlfn.XLOOKUP($A728,Korrelation!$D$4:$D$1197,Korrelation!G$4:G$1197,"",0),DMAV_Modell!$G$6:$G$677,0)))</f>
        <v>0</v>
      </c>
      <c r="E728" s="57">
        <f>IF($A728="","",IF(_xlfn.XLOOKUP($A728,Korrelation!$D$4:$D$1197,Korrelation!H$4:H$1197,"-",0)="-",0,MATCH(_xlfn.XLOOKUP($A728,Korrelation!$D$4:$D$1197,Korrelation!H$4:H$1197,"",0),DMAV_Dienste!$F$6:$F$140,0)))</f>
        <v>0</v>
      </c>
      <c r="F728" s="57">
        <f>IF($A728="","",IF(_xlfn.XLOOKUP($A728,Korrelation!$D$4:$D$1197,Korrelation!I$4:I$1197,"-",0)="-",0,MATCH(_xlfn.XLOOKUP($A728,Korrelation!$D$4:$D$1197,Korrelation!I$4:I$1197,"",0),DMAV_Dienste!$F$6:$F$140,0)))</f>
        <v>0</v>
      </c>
      <c r="G728" s="57">
        <f>IF($A728="","",IF(_xlfn.XLOOKUP($A728,Korrelation!$D$4:$D$1197,Korrelation!J$4:J$1197,"-",0)="-",0,MATCH(_xlfn.XLOOKUP($A728,Korrelation!$D$4:$D$1197,Korrelation!J$4:J$1197,"",0),DMAV_Dienste!$F$6:$F$140,0)))</f>
        <v>0</v>
      </c>
      <c r="H728" s="57">
        <f>IF($A728="","",IF(_xlfn.XLOOKUP($A728,Korrelation!$D$4:$D$1197,Korrelation!K$4:K$1197,"-",0)="-",0,MATCH(_xlfn.XLOOKUP($A728,Korrelation!$D$4:$D$1197,Korrelation!K$4:K$1197,"",0),'DM01-AV-CH'!$A$6:$A$834,0)))</f>
        <v>176</v>
      </c>
      <c r="J728" s="54" t="str" cm="1">
        <f t="array" aca="1" ref="J728" ca="1">IF(B728=0,IF(E728=0,"",HYPERLINK("#"&amp;RIGHT(CELL("adresse",OFFSET(DMAV_Dienste!$M$6,E728-1,0)),LEN(CELL("adresse",OFFSET(DMAV_Dienste!$M$6,E728-1,0)))-FIND("]",CELL("adresse",OFFSET(DMAV_Dienste!$M$6,E728-1,0)))),"Dienst")),HYPERLINK("#"&amp;RIGHT(CELL("adresse",OFFSET(DMAV_Modell!$N$6,B728-1,0)),LEN(CELL("adresse",OFFSET(DMAV_Modell!$N$6,B728-1,0)))-FIND("]",CELL("adresse",OFFSET(DMAV_Modell!$N$6,B728-1,0)))),"Modell"))</f>
        <v>Modell</v>
      </c>
      <c r="K728" s="61" t="str" cm="1">
        <f t="array" ref="K728">IF($B728=0,IF($E728=0,"",IF(INDEX(DMAV_Dienste!P$6:P$140,$E728)="","",INDEX(DMAV_Dienste!P$6:P$140,$E728))),IF(INDEX(DMAV_Modell!Q$6:Q$838,$B728)="","",INDEX(DMAV_Modell!Q$6:Q$838,$B728)))</f>
        <v>DOMAIN</v>
      </c>
      <c r="L728" s="62" t="str" cm="1">
        <f t="array" ref="L728">IF($B728=0,IF($E728=0,"",IF(INDEX(DMAV_Dienste!O$6:O$140,$E728)="","",INDEX(DMAV_Dienste!O$6:O$140,$E728))),IF(INDEX(DMAV_Modell!P$6:P$838,$B728)="","",INDEX(DMAV_Modell!P$6:P$838,$B728)))</f>
        <v>Bodenbedeckung</v>
      </c>
      <c r="M728" s="62" t="str" cm="1">
        <f t="array" ref="M728">IF($B728=0,IF($E728=0,"",IF(INDEX(DMAV_Dienste!Q$6:Q$140,$E728)="","",INDEX(DMAV_Dienste!Q$6:Q$140,$E728))),IF(INDEX(DMAV_Modell!R$6:R$838,$B728)="","",INDEX(DMAV_Modell!R$6:R$838,$B728)))</f>
        <v>Bodenbedeckungsart</v>
      </c>
      <c r="N728" s="62" t="str" cm="1">
        <f t="array" ref="N728">IF($B728=0,IF($E728=0,"",IF(INDEX(DMAV_Dienste!T$6:T$140,$E728)="","",INDEX(DMAV_Dienste!T$6:T$140,$E728))),IF(INDEX(DMAV_Modell!U$6:U$838,$B728)="","",INDEX(DMAV_Modell!U$6:U$838,$B728)))</f>
        <v/>
      </c>
      <c r="O728" s="63" t="str" cm="1">
        <f t="array" aca="1" ref="O728" ca="1">IF(C728=0,IF(F728=0,"",HYPERLINK("#"&amp;RIGHT(CELL("adresse",OFFSET(DMAV_Dienste!$M$6,F728-1,0)),LEN(CELL("adresse",OFFSET(DMAV_Dienste!$M$6,F728-1,0)))-FIND("]",CELL("adresse",OFFSET(DMAV_Dienste!$M$6,F728-1,0)))),"Structure")),HYPERLINK("#"&amp;RIGHT(CELL("adresse",OFFSET(DMAV_Modell!$N$6,C728-1,0)),LEN(CELL("adresse",OFFSET(DMAV_Modell!$N$6,C728-1,0)))-FIND("]",CELL("adresse",OFFSET(DMAV_Modell!$N$6,C728-1,0)))),"Structure"))</f>
        <v/>
      </c>
      <c r="P728" s="64" t="str" cm="1">
        <f t="array" aca="1" ref="P728" ca="1">IF(D728=0,IF(G728=0,"",HYPERLINK("#"&amp;RIGHT(CELL("adresse",OFFSET(DMAV_Dienste!$M$6,G728-1,0)),LEN(CELL("adresse",OFFSET(DMAV_Dienste!$M$6,G728-1,0)))-FIND("]",CELL("adresse",OFFSET(DMAV_Dienste!$M$6,G728-1,0)))),"Substructure")),HYPERLINK("#"&amp;RIGHT(CELL("adresse",OFFSET(DMAV_Modell!$N$6,D728-1,0)),LEN(CELL("adresse",OFFSET(DMAV_Modell!$N$6,D728-1,0)))-FIND("]",CELL("adresse",OFFSET(DMAV_Modell!$N$6,D728-1,0)))),"Substructure"))</f>
        <v/>
      </c>
      <c r="R728" s="80"/>
      <c r="T728" s="93"/>
      <c r="U728" s="94"/>
      <c r="V728" s="95"/>
      <c r="W728" s="96"/>
      <c r="Y728" s="85"/>
      <c r="Z728" s="86"/>
      <c r="AA728" s="87"/>
      <c r="AB728" s="88"/>
      <c r="AD728" s="77"/>
      <c r="AF728" s="54" t="str" cm="1">
        <f t="array" aca="1" ref="AF728" ca="1">IF(H728=0,"",HYPERLINK("#"&amp;RIGHT(CELL("adresse",OFFSET('DM01-AV-CH'!$G$6,H728-1,0)),LEN(CELL("adresse",OFFSET('DM01-AV-CH'!$G$6,H728-1,0)))-FIND("]",CELL("adresse",OFFSET('DM01-AV-CH'!$G$6,H728-1,0)))),"Modell"))</f>
        <v>Modell</v>
      </c>
      <c r="AG728" s="72" t="str" cm="1">
        <f t="array" ref="AG728">IF($H728=0,"",IF(INDEX('DM01-AV-CH'!G$6:G$834,$H728)="","",INDEX('DM01-AV-CH'!G$6:G$834,$H728)))</f>
        <v>Bodenbedeckung</v>
      </c>
      <c r="AH728" s="73" t="str" cm="1">
        <f t="array" ref="AH728">IF($H728=0,"",IF(INDEX('DM01-AV-CH'!H$6:H$834,$H728)="","",INDEX('DM01-AV-CH'!H$6:H$834,$H728)))</f>
        <v/>
      </c>
      <c r="AI728" s="74" t="str" cm="1">
        <f t="array" ref="AI728">IF($H728=0,"",IF(INDEX('DM01-AV-CH'!I$6:I$834,$H728)="","",INDEX('DM01-AV-CH'!I$6:I$834,$H728)))</f>
        <v>BBArt</v>
      </c>
    </row>
    <row r="729" spans="1:35" x14ac:dyDescent="0.25">
      <c r="A729" s="57">
        <v>724</v>
      </c>
      <c r="B729" s="57">
        <f>IF($A729="","",IF(_xlfn.XLOOKUP($A729,Korrelation!$D$4:$D$1197,Korrelation!E$4:E$1197,"-",0)="-",0,MATCH(_xlfn.XLOOKUP($A729,Korrelation!$D$4:$D$1197,Korrelation!E$4:E$1197,"",0),DMAV_Modell!$G$6:$G$677,0)))</f>
        <v>402</v>
      </c>
      <c r="C729" s="57">
        <f>IF($A729="","",IF(_xlfn.XLOOKUP($A729,Korrelation!$D$4:$D$1197,Korrelation!F$4:F$1197,"-",0)="-",0,MATCH(_xlfn.XLOOKUP($A729,Korrelation!$D$4:$D$1197,Korrelation!F$4:F$1197,"",0),DMAV_Modell!$G$6:$G$677,0)))</f>
        <v>0</v>
      </c>
      <c r="D729" s="57">
        <f>IF($A729="","",IF(_xlfn.XLOOKUP($A729,Korrelation!$D$4:$D$1197,Korrelation!G$4:G$1197,"-",0)="-",0,MATCH(_xlfn.XLOOKUP($A729,Korrelation!$D$4:$D$1197,Korrelation!G$4:G$1197,"",0),DMAV_Modell!$G$6:$G$677,0)))</f>
        <v>0</v>
      </c>
      <c r="E729" s="57">
        <f>IF($A729="","",IF(_xlfn.XLOOKUP($A729,Korrelation!$D$4:$D$1197,Korrelation!H$4:H$1197,"-",0)="-",0,MATCH(_xlfn.XLOOKUP($A729,Korrelation!$D$4:$D$1197,Korrelation!H$4:H$1197,"",0),DMAV_Dienste!$F$6:$F$140,0)))</f>
        <v>0</v>
      </c>
      <c r="F729" s="57">
        <f>IF($A729="","",IF(_xlfn.XLOOKUP($A729,Korrelation!$D$4:$D$1197,Korrelation!I$4:I$1197,"-",0)="-",0,MATCH(_xlfn.XLOOKUP($A729,Korrelation!$D$4:$D$1197,Korrelation!I$4:I$1197,"",0),DMAV_Dienste!$F$6:$F$140,0)))</f>
        <v>0</v>
      </c>
      <c r="G729" s="57">
        <f>IF($A729="","",IF(_xlfn.XLOOKUP($A729,Korrelation!$D$4:$D$1197,Korrelation!J$4:J$1197,"-",0)="-",0,MATCH(_xlfn.XLOOKUP($A729,Korrelation!$D$4:$D$1197,Korrelation!J$4:J$1197,"",0),DMAV_Dienste!$F$6:$F$140,0)))</f>
        <v>0</v>
      </c>
      <c r="H729" s="57">
        <f>IF($A729="","",IF(_xlfn.XLOOKUP($A729,Korrelation!$D$4:$D$1197,Korrelation!K$4:K$1197,"-",0)="-",0,MATCH(_xlfn.XLOOKUP($A729,Korrelation!$D$4:$D$1197,Korrelation!K$4:K$1197,"",0),'DM01-AV-CH'!$A$6:$A$834,0)))</f>
        <v>177</v>
      </c>
      <c r="J729" s="54" t="str" cm="1">
        <f t="array" aca="1" ref="J729" ca="1">IF(B729=0,IF(E729=0,"",HYPERLINK("#"&amp;RIGHT(CELL("adresse",OFFSET(DMAV_Dienste!$M$6,E729-1,0)),LEN(CELL("adresse",OFFSET(DMAV_Dienste!$M$6,E729-1,0)))-FIND("]",CELL("adresse",OFFSET(DMAV_Dienste!$M$6,E729-1,0)))),"Dienst")),HYPERLINK("#"&amp;RIGHT(CELL("adresse",OFFSET(DMAV_Modell!$N$6,B729-1,0)),LEN(CELL("adresse",OFFSET(DMAV_Modell!$N$6,B729-1,0)))-FIND("]",CELL("adresse",OFFSET(DMAV_Modell!$N$6,B729-1,0)))),"Modell"))</f>
        <v>Modell</v>
      </c>
      <c r="K729" s="61" t="str" cm="1">
        <f t="array" ref="K729">IF($B729=0,IF($E729=0,"",IF(INDEX(DMAV_Dienste!P$6:P$140,$E729)="","",INDEX(DMAV_Dienste!P$6:P$140,$E729))),IF(INDEX(DMAV_Modell!Q$6:Q$838,$B729)="","",INDEX(DMAV_Modell!Q$6:Q$838,$B729)))</f>
        <v>DOMAIN</v>
      </c>
      <c r="L729" s="62" t="str" cm="1">
        <f t="array" ref="L729">IF($B729=0,IF($E729=0,"",IF(INDEX(DMAV_Dienste!O$6:O$140,$E729)="","",INDEX(DMAV_Dienste!O$6:O$140,$E729))),IF(INDEX(DMAV_Modell!P$6:P$838,$B729)="","",INDEX(DMAV_Modell!P$6:P$838,$B729)))</f>
        <v>Bodenbedeckung</v>
      </c>
      <c r="M729" s="62" t="str" cm="1">
        <f t="array" ref="M729">IF($B729=0,IF($E729=0,"",IF(INDEX(DMAV_Dienste!Q$6:Q$140,$E729)="","",INDEX(DMAV_Dienste!Q$6:Q$140,$E729))),IF(INDEX(DMAV_Modell!R$6:R$838,$B729)="","",INDEX(DMAV_Modell!R$6:R$838,$B729)))</f>
        <v>Bodenbedeckungsart</v>
      </c>
      <c r="N729" s="62" t="str" cm="1">
        <f t="array" ref="N729">IF($B729=0,IF($E729=0,"",IF(INDEX(DMAV_Dienste!T$6:T$140,$E729)="","",INDEX(DMAV_Dienste!T$6:T$140,$E729))),IF(INDEX(DMAV_Modell!U$6:U$838,$B729)="","",INDEX(DMAV_Modell!U$6:U$838,$B729)))</f>
        <v/>
      </c>
      <c r="O729" s="63" t="str" cm="1">
        <f t="array" aca="1" ref="O729" ca="1">IF(C729=0,IF(F729=0,"",HYPERLINK("#"&amp;RIGHT(CELL("adresse",OFFSET(DMAV_Dienste!$M$6,F729-1,0)),LEN(CELL("adresse",OFFSET(DMAV_Dienste!$M$6,F729-1,0)))-FIND("]",CELL("adresse",OFFSET(DMAV_Dienste!$M$6,F729-1,0)))),"Structure")),HYPERLINK("#"&amp;RIGHT(CELL("adresse",OFFSET(DMAV_Modell!$N$6,C729-1,0)),LEN(CELL("adresse",OFFSET(DMAV_Modell!$N$6,C729-1,0)))-FIND("]",CELL("adresse",OFFSET(DMAV_Modell!$N$6,C729-1,0)))),"Structure"))</f>
        <v/>
      </c>
      <c r="P729" s="64" t="str" cm="1">
        <f t="array" aca="1" ref="P729" ca="1">IF(D729=0,IF(G729=0,"",HYPERLINK("#"&amp;RIGHT(CELL("adresse",OFFSET(DMAV_Dienste!$M$6,G729-1,0)),LEN(CELL("adresse",OFFSET(DMAV_Dienste!$M$6,G729-1,0)))-FIND("]",CELL("adresse",OFFSET(DMAV_Dienste!$M$6,G729-1,0)))),"Substructure")),HYPERLINK("#"&amp;RIGHT(CELL("adresse",OFFSET(DMAV_Modell!$N$6,D729-1,0)),LEN(CELL("adresse",OFFSET(DMAV_Modell!$N$6,D729-1,0)))-FIND("]",CELL("adresse",OFFSET(DMAV_Modell!$N$6,D729-1,0)))),"Substructure"))</f>
        <v/>
      </c>
      <c r="R729" s="80"/>
      <c r="T729" s="93"/>
      <c r="U729" s="94"/>
      <c r="V729" s="95"/>
      <c r="W729" s="96"/>
      <c r="Y729" s="85"/>
      <c r="Z729" s="86"/>
      <c r="AA729" s="87"/>
      <c r="AB729" s="88"/>
      <c r="AD729" s="77"/>
      <c r="AF729" s="54" t="str" cm="1">
        <f t="array" aca="1" ref="AF729" ca="1">IF(H729=0,"",HYPERLINK("#"&amp;RIGHT(CELL("adresse",OFFSET('DM01-AV-CH'!$G$6,H729-1,0)),LEN(CELL("adresse",OFFSET('DM01-AV-CH'!$G$6,H729-1,0)))-FIND("]",CELL("adresse",OFFSET('DM01-AV-CH'!$G$6,H729-1,0)))),"Modell"))</f>
        <v>Modell</v>
      </c>
      <c r="AG729" s="72" t="str" cm="1">
        <f t="array" ref="AG729">IF($H729=0,"",IF(INDEX('DM01-AV-CH'!G$6:G$834,$H729)="","",INDEX('DM01-AV-CH'!G$6:G$834,$H729)))</f>
        <v>Bodenbedeckung</v>
      </c>
      <c r="AH729" s="73" t="str" cm="1">
        <f t="array" ref="AH729">IF($H729=0,"",IF(INDEX('DM01-AV-CH'!H$6:H$834,$H729)="","",INDEX('DM01-AV-CH'!H$6:H$834,$H729)))</f>
        <v/>
      </c>
      <c r="AI729" s="74" t="str" cm="1">
        <f t="array" ref="AI729">IF($H729=0,"",IF(INDEX('DM01-AV-CH'!I$6:I$834,$H729)="","",INDEX('DM01-AV-CH'!I$6:I$834,$H729)))</f>
        <v>BBArt</v>
      </c>
    </row>
    <row r="730" spans="1:35" x14ac:dyDescent="0.25">
      <c r="A730" s="57">
        <v>725</v>
      </c>
      <c r="B730" s="57">
        <f>IF($A730="","",IF(_xlfn.XLOOKUP($A730,Korrelation!$D$4:$D$1197,Korrelation!E$4:E$1197,"-",0)="-",0,MATCH(_xlfn.XLOOKUP($A730,Korrelation!$D$4:$D$1197,Korrelation!E$4:E$1197,"",0),DMAV_Modell!$G$6:$G$677,0)))</f>
        <v>403</v>
      </c>
      <c r="C730" s="57">
        <f>IF($A730="","",IF(_xlfn.XLOOKUP($A730,Korrelation!$D$4:$D$1197,Korrelation!F$4:F$1197,"-",0)="-",0,MATCH(_xlfn.XLOOKUP($A730,Korrelation!$D$4:$D$1197,Korrelation!F$4:F$1197,"",0),DMAV_Modell!$G$6:$G$677,0)))</f>
        <v>0</v>
      </c>
      <c r="D730" s="57">
        <f>IF($A730="","",IF(_xlfn.XLOOKUP($A730,Korrelation!$D$4:$D$1197,Korrelation!G$4:G$1197,"-",0)="-",0,MATCH(_xlfn.XLOOKUP($A730,Korrelation!$D$4:$D$1197,Korrelation!G$4:G$1197,"",0),DMAV_Modell!$G$6:$G$677,0)))</f>
        <v>0</v>
      </c>
      <c r="E730" s="57">
        <f>IF($A730="","",IF(_xlfn.XLOOKUP($A730,Korrelation!$D$4:$D$1197,Korrelation!H$4:H$1197,"-",0)="-",0,MATCH(_xlfn.XLOOKUP($A730,Korrelation!$D$4:$D$1197,Korrelation!H$4:H$1197,"",0),DMAV_Dienste!$F$6:$F$140,0)))</f>
        <v>0</v>
      </c>
      <c r="F730" s="57">
        <f>IF($A730="","",IF(_xlfn.XLOOKUP($A730,Korrelation!$D$4:$D$1197,Korrelation!I$4:I$1197,"-",0)="-",0,MATCH(_xlfn.XLOOKUP($A730,Korrelation!$D$4:$D$1197,Korrelation!I$4:I$1197,"",0),DMAV_Dienste!$F$6:$F$140,0)))</f>
        <v>0</v>
      </c>
      <c r="G730" s="57">
        <f>IF($A730="","",IF(_xlfn.XLOOKUP($A730,Korrelation!$D$4:$D$1197,Korrelation!J$4:J$1197,"-",0)="-",0,MATCH(_xlfn.XLOOKUP($A730,Korrelation!$D$4:$D$1197,Korrelation!J$4:J$1197,"",0),DMAV_Dienste!$F$6:$F$140,0)))</f>
        <v>0</v>
      </c>
      <c r="H730" s="57">
        <f>IF($A730="","",IF(_xlfn.XLOOKUP($A730,Korrelation!$D$4:$D$1197,Korrelation!K$4:K$1197,"-",0)="-",0,MATCH(_xlfn.XLOOKUP($A730,Korrelation!$D$4:$D$1197,Korrelation!K$4:K$1197,"",0),'DM01-AV-CH'!$A$6:$A$834,0)))</f>
        <v>178</v>
      </c>
      <c r="J730" s="54" t="str" cm="1">
        <f t="array" aca="1" ref="J730" ca="1">IF(B730=0,IF(E730=0,"",HYPERLINK("#"&amp;RIGHT(CELL("adresse",OFFSET(DMAV_Dienste!$M$6,E730-1,0)),LEN(CELL("adresse",OFFSET(DMAV_Dienste!$M$6,E730-1,0)))-FIND("]",CELL("adresse",OFFSET(DMAV_Dienste!$M$6,E730-1,0)))),"Dienst")),HYPERLINK("#"&amp;RIGHT(CELL("adresse",OFFSET(DMAV_Modell!$N$6,B730-1,0)),LEN(CELL("adresse",OFFSET(DMAV_Modell!$N$6,B730-1,0)))-FIND("]",CELL("adresse",OFFSET(DMAV_Modell!$N$6,B730-1,0)))),"Modell"))</f>
        <v>Modell</v>
      </c>
      <c r="K730" s="61" t="str" cm="1">
        <f t="array" ref="K730">IF($B730=0,IF($E730=0,"",IF(INDEX(DMAV_Dienste!P$6:P$140,$E730)="","",INDEX(DMAV_Dienste!P$6:P$140,$E730))),IF(INDEX(DMAV_Modell!Q$6:Q$838,$B730)="","",INDEX(DMAV_Modell!Q$6:Q$838,$B730)))</f>
        <v>DOMAIN</v>
      </c>
      <c r="L730" s="62" t="str" cm="1">
        <f t="array" ref="L730">IF($B730=0,IF($E730=0,"",IF(INDEX(DMAV_Dienste!O$6:O$140,$E730)="","",INDEX(DMAV_Dienste!O$6:O$140,$E730))),IF(INDEX(DMAV_Modell!P$6:P$838,$B730)="","",INDEX(DMAV_Modell!P$6:P$838,$B730)))</f>
        <v>Bodenbedeckung</v>
      </c>
      <c r="M730" s="62" t="str" cm="1">
        <f t="array" ref="M730">IF($B730=0,IF($E730=0,"",IF(INDEX(DMAV_Dienste!Q$6:Q$140,$E730)="","",INDEX(DMAV_Dienste!Q$6:Q$140,$E730))),IF(INDEX(DMAV_Modell!R$6:R$838,$B730)="","",INDEX(DMAV_Modell!R$6:R$838,$B730)))</f>
        <v>Bodenbedeckungsart</v>
      </c>
      <c r="N730" s="62" t="str" cm="1">
        <f t="array" ref="N730">IF($B730=0,IF($E730=0,"",IF(INDEX(DMAV_Dienste!T$6:T$140,$E730)="","",INDEX(DMAV_Dienste!T$6:T$140,$E730))),IF(INDEX(DMAV_Modell!U$6:U$838,$B730)="","",INDEX(DMAV_Modell!U$6:U$838,$B730)))</f>
        <v/>
      </c>
      <c r="O730" s="63" t="str" cm="1">
        <f t="array" aca="1" ref="O730" ca="1">IF(C730=0,IF(F730=0,"",HYPERLINK("#"&amp;RIGHT(CELL("adresse",OFFSET(DMAV_Dienste!$M$6,F730-1,0)),LEN(CELL("adresse",OFFSET(DMAV_Dienste!$M$6,F730-1,0)))-FIND("]",CELL("adresse",OFFSET(DMAV_Dienste!$M$6,F730-1,0)))),"Structure")),HYPERLINK("#"&amp;RIGHT(CELL("adresse",OFFSET(DMAV_Modell!$N$6,C730-1,0)),LEN(CELL("adresse",OFFSET(DMAV_Modell!$N$6,C730-1,0)))-FIND("]",CELL("adresse",OFFSET(DMAV_Modell!$N$6,C730-1,0)))),"Structure"))</f>
        <v/>
      </c>
      <c r="P730" s="64" t="str" cm="1">
        <f t="array" aca="1" ref="P730" ca="1">IF(D730=0,IF(G730=0,"",HYPERLINK("#"&amp;RIGHT(CELL("adresse",OFFSET(DMAV_Dienste!$M$6,G730-1,0)),LEN(CELL("adresse",OFFSET(DMAV_Dienste!$M$6,G730-1,0)))-FIND("]",CELL("adresse",OFFSET(DMAV_Dienste!$M$6,G730-1,0)))),"Substructure")),HYPERLINK("#"&amp;RIGHT(CELL("adresse",OFFSET(DMAV_Modell!$N$6,D730-1,0)),LEN(CELL("adresse",OFFSET(DMAV_Modell!$N$6,D730-1,0)))-FIND("]",CELL("adresse",OFFSET(DMAV_Modell!$N$6,D730-1,0)))),"Substructure"))</f>
        <v/>
      </c>
      <c r="R730" s="80"/>
      <c r="T730" s="93"/>
      <c r="U730" s="94"/>
      <c r="V730" s="95"/>
      <c r="W730" s="96"/>
      <c r="Y730" s="85"/>
      <c r="Z730" s="86"/>
      <c r="AA730" s="87"/>
      <c r="AB730" s="88"/>
      <c r="AD730" s="77"/>
      <c r="AF730" s="54" t="str" cm="1">
        <f t="array" aca="1" ref="AF730" ca="1">IF(H730=0,"",HYPERLINK("#"&amp;RIGHT(CELL("adresse",OFFSET('DM01-AV-CH'!$G$6,H730-1,0)),LEN(CELL("adresse",OFFSET('DM01-AV-CH'!$G$6,H730-1,0)))-FIND("]",CELL("adresse",OFFSET('DM01-AV-CH'!$G$6,H730-1,0)))),"Modell"))</f>
        <v>Modell</v>
      </c>
      <c r="AG730" s="72" t="str" cm="1">
        <f t="array" ref="AG730">IF($H730=0,"",IF(INDEX('DM01-AV-CH'!G$6:G$834,$H730)="","",INDEX('DM01-AV-CH'!G$6:G$834,$H730)))</f>
        <v>Bodenbedeckung</v>
      </c>
      <c r="AH730" s="73" t="str" cm="1">
        <f t="array" ref="AH730">IF($H730=0,"",IF(INDEX('DM01-AV-CH'!H$6:H$834,$H730)="","",INDEX('DM01-AV-CH'!H$6:H$834,$H730)))</f>
        <v/>
      </c>
      <c r="AI730" s="74" t="str" cm="1">
        <f t="array" ref="AI730">IF($H730=0,"",IF(INDEX('DM01-AV-CH'!I$6:I$834,$H730)="","",INDEX('DM01-AV-CH'!I$6:I$834,$H730)))</f>
        <v>BBArt</v>
      </c>
    </row>
    <row r="731" spans="1:35" x14ac:dyDescent="0.25">
      <c r="A731" s="57">
        <v>726</v>
      </c>
      <c r="B731" s="57">
        <f>IF($A731="","",IF(_xlfn.XLOOKUP($A731,Korrelation!$D$4:$D$1197,Korrelation!E$4:E$1197,"-",0)="-",0,MATCH(_xlfn.XLOOKUP($A731,Korrelation!$D$4:$D$1197,Korrelation!E$4:E$1197,"",0),DMAV_Modell!$G$6:$G$677,0)))</f>
        <v>404</v>
      </c>
      <c r="C731" s="57">
        <f>IF($A731="","",IF(_xlfn.XLOOKUP($A731,Korrelation!$D$4:$D$1197,Korrelation!F$4:F$1197,"-",0)="-",0,MATCH(_xlfn.XLOOKUP($A731,Korrelation!$D$4:$D$1197,Korrelation!F$4:F$1197,"",0),DMAV_Modell!$G$6:$G$677,0)))</f>
        <v>0</v>
      </c>
      <c r="D731" s="57">
        <f>IF($A731="","",IF(_xlfn.XLOOKUP($A731,Korrelation!$D$4:$D$1197,Korrelation!G$4:G$1197,"-",0)="-",0,MATCH(_xlfn.XLOOKUP($A731,Korrelation!$D$4:$D$1197,Korrelation!G$4:G$1197,"",0),DMAV_Modell!$G$6:$G$677,0)))</f>
        <v>0</v>
      </c>
      <c r="E731" s="57">
        <f>IF($A731="","",IF(_xlfn.XLOOKUP($A731,Korrelation!$D$4:$D$1197,Korrelation!H$4:H$1197,"-",0)="-",0,MATCH(_xlfn.XLOOKUP($A731,Korrelation!$D$4:$D$1197,Korrelation!H$4:H$1197,"",0),DMAV_Dienste!$F$6:$F$140,0)))</f>
        <v>0</v>
      </c>
      <c r="F731" s="57">
        <f>IF($A731="","",IF(_xlfn.XLOOKUP($A731,Korrelation!$D$4:$D$1197,Korrelation!I$4:I$1197,"-",0)="-",0,MATCH(_xlfn.XLOOKUP($A731,Korrelation!$D$4:$D$1197,Korrelation!I$4:I$1197,"",0),DMAV_Dienste!$F$6:$F$140,0)))</f>
        <v>0</v>
      </c>
      <c r="G731" s="57">
        <f>IF($A731="","",IF(_xlfn.XLOOKUP($A731,Korrelation!$D$4:$D$1197,Korrelation!J$4:J$1197,"-",0)="-",0,MATCH(_xlfn.XLOOKUP($A731,Korrelation!$D$4:$D$1197,Korrelation!J$4:J$1197,"",0),DMAV_Dienste!$F$6:$F$140,0)))</f>
        <v>0</v>
      </c>
      <c r="H731" s="57">
        <f>IF($A731="","",IF(_xlfn.XLOOKUP($A731,Korrelation!$D$4:$D$1197,Korrelation!K$4:K$1197,"-",0)="-",0,MATCH(_xlfn.XLOOKUP($A731,Korrelation!$D$4:$D$1197,Korrelation!K$4:K$1197,"",0),'DM01-AV-CH'!$A$6:$A$834,0)))</f>
        <v>179</v>
      </c>
      <c r="J731" s="54" t="str" cm="1">
        <f t="array" aca="1" ref="J731" ca="1">IF(B731=0,IF(E731=0,"",HYPERLINK("#"&amp;RIGHT(CELL("adresse",OFFSET(DMAV_Dienste!$M$6,E731-1,0)),LEN(CELL("adresse",OFFSET(DMAV_Dienste!$M$6,E731-1,0)))-FIND("]",CELL("adresse",OFFSET(DMAV_Dienste!$M$6,E731-1,0)))),"Dienst")),HYPERLINK("#"&amp;RIGHT(CELL("adresse",OFFSET(DMAV_Modell!$N$6,B731-1,0)),LEN(CELL("adresse",OFFSET(DMAV_Modell!$N$6,B731-1,0)))-FIND("]",CELL("adresse",OFFSET(DMAV_Modell!$N$6,B731-1,0)))),"Modell"))</f>
        <v>Modell</v>
      </c>
      <c r="K731" s="61" t="str" cm="1">
        <f t="array" ref="K731">IF($B731=0,IF($E731=0,"",IF(INDEX(DMAV_Dienste!P$6:P$140,$E731)="","",INDEX(DMAV_Dienste!P$6:P$140,$E731))),IF(INDEX(DMAV_Modell!Q$6:Q$838,$B731)="","",INDEX(DMAV_Modell!Q$6:Q$838,$B731)))</f>
        <v>DOMAIN</v>
      </c>
      <c r="L731" s="62" t="str" cm="1">
        <f t="array" ref="L731">IF($B731=0,IF($E731=0,"",IF(INDEX(DMAV_Dienste!O$6:O$140,$E731)="","",INDEX(DMAV_Dienste!O$6:O$140,$E731))),IF(INDEX(DMAV_Modell!P$6:P$838,$B731)="","",INDEX(DMAV_Modell!P$6:P$838,$B731)))</f>
        <v>Bodenbedeckung</v>
      </c>
      <c r="M731" s="62" t="str" cm="1">
        <f t="array" ref="M731">IF($B731=0,IF($E731=0,"",IF(INDEX(DMAV_Dienste!Q$6:Q$140,$E731)="","",INDEX(DMAV_Dienste!Q$6:Q$140,$E731))),IF(INDEX(DMAV_Modell!R$6:R$838,$B731)="","",INDEX(DMAV_Modell!R$6:R$838,$B731)))</f>
        <v>Bodenbedeckungsart</v>
      </c>
      <c r="N731" s="62" t="str" cm="1">
        <f t="array" ref="N731">IF($B731=0,IF($E731=0,"",IF(INDEX(DMAV_Dienste!T$6:T$140,$E731)="","",INDEX(DMAV_Dienste!T$6:T$140,$E731))),IF(INDEX(DMAV_Modell!U$6:U$838,$B731)="","",INDEX(DMAV_Modell!U$6:U$838,$B731)))</f>
        <v/>
      </c>
      <c r="O731" s="63" t="str" cm="1">
        <f t="array" aca="1" ref="O731" ca="1">IF(C731=0,IF(F731=0,"",HYPERLINK("#"&amp;RIGHT(CELL("adresse",OFFSET(DMAV_Dienste!$M$6,F731-1,0)),LEN(CELL("adresse",OFFSET(DMAV_Dienste!$M$6,F731-1,0)))-FIND("]",CELL("adresse",OFFSET(DMAV_Dienste!$M$6,F731-1,0)))),"Structure")),HYPERLINK("#"&amp;RIGHT(CELL("adresse",OFFSET(DMAV_Modell!$N$6,C731-1,0)),LEN(CELL("adresse",OFFSET(DMAV_Modell!$N$6,C731-1,0)))-FIND("]",CELL("adresse",OFFSET(DMAV_Modell!$N$6,C731-1,0)))),"Structure"))</f>
        <v/>
      </c>
      <c r="P731" s="64" t="str" cm="1">
        <f t="array" aca="1" ref="P731" ca="1">IF(D731=0,IF(G731=0,"",HYPERLINK("#"&amp;RIGHT(CELL("adresse",OFFSET(DMAV_Dienste!$M$6,G731-1,0)),LEN(CELL("adresse",OFFSET(DMAV_Dienste!$M$6,G731-1,0)))-FIND("]",CELL("adresse",OFFSET(DMAV_Dienste!$M$6,G731-1,0)))),"Substructure")),HYPERLINK("#"&amp;RIGHT(CELL("adresse",OFFSET(DMAV_Modell!$N$6,D731-1,0)),LEN(CELL("adresse",OFFSET(DMAV_Modell!$N$6,D731-1,0)))-FIND("]",CELL("adresse",OFFSET(DMAV_Modell!$N$6,D731-1,0)))),"Substructure"))</f>
        <v/>
      </c>
      <c r="R731" s="80"/>
      <c r="T731" s="93"/>
      <c r="U731" s="94"/>
      <c r="V731" s="95"/>
      <c r="W731" s="96"/>
      <c r="Y731" s="85"/>
      <c r="Z731" s="86"/>
      <c r="AA731" s="87"/>
      <c r="AB731" s="88"/>
      <c r="AD731" s="77"/>
      <c r="AF731" s="54" t="str" cm="1">
        <f t="array" aca="1" ref="AF731" ca="1">IF(H731=0,"",HYPERLINK("#"&amp;RIGHT(CELL("adresse",OFFSET('DM01-AV-CH'!$G$6,H731-1,0)),LEN(CELL("adresse",OFFSET('DM01-AV-CH'!$G$6,H731-1,0)))-FIND("]",CELL("adresse",OFFSET('DM01-AV-CH'!$G$6,H731-1,0)))),"Modell"))</f>
        <v>Modell</v>
      </c>
      <c r="AG731" s="72" t="str" cm="1">
        <f t="array" ref="AG731">IF($H731=0,"",IF(INDEX('DM01-AV-CH'!G$6:G$834,$H731)="","",INDEX('DM01-AV-CH'!G$6:G$834,$H731)))</f>
        <v>Bodenbedeckung</v>
      </c>
      <c r="AH731" s="73" t="str" cm="1">
        <f t="array" ref="AH731">IF($H731=0,"",IF(INDEX('DM01-AV-CH'!H$6:H$834,$H731)="","",INDEX('DM01-AV-CH'!H$6:H$834,$H731)))</f>
        <v/>
      </c>
      <c r="AI731" s="74" t="str" cm="1">
        <f t="array" ref="AI731">IF($H731=0,"",IF(INDEX('DM01-AV-CH'!I$6:I$834,$H731)="","",INDEX('DM01-AV-CH'!I$6:I$834,$H731)))</f>
        <v>BBArt</v>
      </c>
    </row>
    <row r="732" spans="1:35" x14ac:dyDescent="0.25">
      <c r="A732" s="57">
        <v>727</v>
      </c>
      <c r="B732" s="57">
        <f>IF($A732="","",IF(_xlfn.XLOOKUP($A732,Korrelation!$D$4:$D$1197,Korrelation!E$4:E$1197,"-",0)="-",0,MATCH(_xlfn.XLOOKUP($A732,Korrelation!$D$4:$D$1197,Korrelation!E$4:E$1197,"",0),DMAV_Modell!$G$6:$G$677,0)))</f>
        <v>405</v>
      </c>
      <c r="C732" s="57">
        <f>IF($A732="","",IF(_xlfn.XLOOKUP($A732,Korrelation!$D$4:$D$1197,Korrelation!F$4:F$1197,"-",0)="-",0,MATCH(_xlfn.XLOOKUP($A732,Korrelation!$D$4:$D$1197,Korrelation!F$4:F$1197,"",0),DMAV_Modell!$G$6:$G$677,0)))</f>
        <v>0</v>
      </c>
      <c r="D732" s="57">
        <f>IF($A732="","",IF(_xlfn.XLOOKUP($A732,Korrelation!$D$4:$D$1197,Korrelation!G$4:G$1197,"-",0)="-",0,MATCH(_xlfn.XLOOKUP($A732,Korrelation!$D$4:$D$1197,Korrelation!G$4:G$1197,"",0),DMAV_Modell!$G$6:$G$677,0)))</f>
        <v>0</v>
      </c>
      <c r="E732" s="57">
        <f>IF($A732="","",IF(_xlfn.XLOOKUP($A732,Korrelation!$D$4:$D$1197,Korrelation!H$4:H$1197,"-",0)="-",0,MATCH(_xlfn.XLOOKUP($A732,Korrelation!$D$4:$D$1197,Korrelation!H$4:H$1197,"",0),DMAV_Dienste!$F$6:$F$140,0)))</f>
        <v>0</v>
      </c>
      <c r="F732" s="57">
        <f>IF($A732="","",IF(_xlfn.XLOOKUP($A732,Korrelation!$D$4:$D$1197,Korrelation!I$4:I$1197,"-",0)="-",0,MATCH(_xlfn.XLOOKUP($A732,Korrelation!$D$4:$D$1197,Korrelation!I$4:I$1197,"",0),DMAV_Dienste!$F$6:$F$140,0)))</f>
        <v>0</v>
      </c>
      <c r="G732" s="57">
        <f>IF($A732="","",IF(_xlfn.XLOOKUP($A732,Korrelation!$D$4:$D$1197,Korrelation!J$4:J$1197,"-",0)="-",0,MATCH(_xlfn.XLOOKUP($A732,Korrelation!$D$4:$D$1197,Korrelation!J$4:J$1197,"",0),DMAV_Dienste!$F$6:$F$140,0)))</f>
        <v>0</v>
      </c>
      <c r="H732" s="57">
        <f>IF($A732="","",IF(_xlfn.XLOOKUP($A732,Korrelation!$D$4:$D$1197,Korrelation!K$4:K$1197,"-",0)="-",0,MATCH(_xlfn.XLOOKUP($A732,Korrelation!$D$4:$D$1197,Korrelation!K$4:K$1197,"",0),'DM01-AV-CH'!$A$6:$A$834,0)))</f>
        <v>180</v>
      </c>
      <c r="J732" s="54" t="str" cm="1">
        <f t="array" aca="1" ref="J732" ca="1">IF(B732=0,IF(E732=0,"",HYPERLINK("#"&amp;RIGHT(CELL("adresse",OFFSET(DMAV_Dienste!$M$6,E732-1,0)),LEN(CELL("adresse",OFFSET(DMAV_Dienste!$M$6,E732-1,0)))-FIND("]",CELL("adresse",OFFSET(DMAV_Dienste!$M$6,E732-1,0)))),"Dienst")),HYPERLINK("#"&amp;RIGHT(CELL("adresse",OFFSET(DMAV_Modell!$N$6,B732-1,0)),LEN(CELL("adresse",OFFSET(DMAV_Modell!$N$6,B732-1,0)))-FIND("]",CELL("adresse",OFFSET(DMAV_Modell!$N$6,B732-1,0)))),"Modell"))</f>
        <v>Modell</v>
      </c>
      <c r="K732" s="61" t="str" cm="1">
        <f t="array" ref="K732">IF($B732=0,IF($E732=0,"",IF(INDEX(DMAV_Dienste!P$6:P$140,$E732)="","",INDEX(DMAV_Dienste!P$6:P$140,$E732))),IF(INDEX(DMAV_Modell!Q$6:Q$838,$B732)="","",INDEX(DMAV_Modell!Q$6:Q$838,$B732)))</f>
        <v>DOMAIN</v>
      </c>
      <c r="L732" s="62" t="str" cm="1">
        <f t="array" ref="L732">IF($B732=0,IF($E732=0,"",IF(INDEX(DMAV_Dienste!O$6:O$140,$E732)="","",INDEX(DMAV_Dienste!O$6:O$140,$E732))),IF(INDEX(DMAV_Modell!P$6:P$838,$B732)="","",INDEX(DMAV_Modell!P$6:P$838,$B732)))</f>
        <v>Bodenbedeckung</v>
      </c>
      <c r="M732" s="62" t="str" cm="1">
        <f t="array" ref="M732">IF($B732=0,IF($E732=0,"",IF(INDEX(DMAV_Dienste!Q$6:Q$140,$E732)="","",INDEX(DMAV_Dienste!Q$6:Q$140,$E732))),IF(INDEX(DMAV_Modell!R$6:R$838,$B732)="","",INDEX(DMAV_Modell!R$6:R$838,$B732)))</f>
        <v>Bodenbedeckungsart</v>
      </c>
      <c r="N732" s="62" t="str" cm="1">
        <f t="array" ref="N732">IF($B732=0,IF($E732=0,"",IF(INDEX(DMAV_Dienste!T$6:T$140,$E732)="","",INDEX(DMAV_Dienste!T$6:T$140,$E732))),IF(INDEX(DMAV_Modell!U$6:U$838,$B732)="","",INDEX(DMAV_Modell!U$6:U$838,$B732)))</f>
        <v/>
      </c>
      <c r="O732" s="63" t="str" cm="1">
        <f t="array" aca="1" ref="O732" ca="1">IF(C732=0,IF(F732=0,"",HYPERLINK("#"&amp;RIGHT(CELL("adresse",OFFSET(DMAV_Dienste!$M$6,F732-1,0)),LEN(CELL("adresse",OFFSET(DMAV_Dienste!$M$6,F732-1,0)))-FIND("]",CELL("adresse",OFFSET(DMAV_Dienste!$M$6,F732-1,0)))),"Structure")),HYPERLINK("#"&amp;RIGHT(CELL("adresse",OFFSET(DMAV_Modell!$N$6,C732-1,0)),LEN(CELL("adresse",OFFSET(DMAV_Modell!$N$6,C732-1,0)))-FIND("]",CELL("adresse",OFFSET(DMAV_Modell!$N$6,C732-1,0)))),"Structure"))</f>
        <v/>
      </c>
      <c r="P732" s="64" t="str" cm="1">
        <f t="array" aca="1" ref="P732" ca="1">IF(D732=0,IF(G732=0,"",HYPERLINK("#"&amp;RIGHT(CELL("adresse",OFFSET(DMAV_Dienste!$M$6,G732-1,0)),LEN(CELL("adresse",OFFSET(DMAV_Dienste!$M$6,G732-1,0)))-FIND("]",CELL("adresse",OFFSET(DMAV_Dienste!$M$6,G732-1,0)))),"Substructure")),HYPERLINK("#"&amp;RIGHT(CELL("adresse",OFFSET(DMAV_Modell!$N$6,D732-1,0)),LEN(CELL("adresse",OFFSET(DMAV_Modell!$N$6,D732-1,0)))-FIND("]",CELL("adresse",OFFSET(DMAV_Modell!$N$6,D732-1,0)))),"Substructure"))</f>
        <v/>
      </c>
      <c r="R732" s="80"/>
      <c r="T732" s="93"/>
      <c r="U732" s="94"/>
      <c r="V732" s="95"/>
      <c r="W732" s="96"/>
      <c r="Y732" s="85"/>
      <c r="Z732" s="86"/>
      <c r="AA732" s="87"/>
      <c r="AB732" s="88"/>
      <c r="AD732" s="77"/>
      <c r="AF732" s="54" t="str" cm="1">
        <f t="array" aca="1" ref="AF732" ca="1">IF(H732=0,"",HYPERLINK("#"&amp;RIGHT(CELL("adresse",OFFSET('DM01-AV-CH'!$G$6,H732-1,0)),LEN(CELL("adresse",OFFSET('DM01-AV-CH'!$G$6,H732-1,0)))-FIND("]",CELL("adresse",OFFSET('DM01-AV-CH'!$G$6,H732-1,0)))),"Modell"))</f>
        <v>Modell</v>
      </c>
      <c r="AG732" s="72" t="str" cm="1">
        <f t="array" ref="AG732">IF($H732=0,"",IF(INDEX('DM01-AV-CH'!G$6:G$834,$H732)="","",INDEX('DM01-AV-CH'!G$6:G$834,$H732)))</f>
        <v>Bodenbedeckung</v>
      </c>
      <c r="AH732" s="73" t="str" cm="1">
        <f t="array" ref="AH732">IF($H732=0,"",IF(INDEX('DM01-AV-CH'!H$6:H$834,$H732)="","",INDEX('DM01-AV-CH'!H$6:H$834,$H732)))</f>
        <v/>
      </c>
      <c r="AI732" s="74" t="str" cm="1">
        <f t="array" ref="AI732">IF($H732=0,"",IF(INDEX('DM01-AV-CH'!I$6:I$834,$H732)="","",INDEX('DM01-AV-CH'!I$6:I$834,$H732)))</f>
        <v>BBArt</v>
      </c>
    </row>
    <row r="733" spans="1:35" x14ac:dyDescent="0.25">
      <c r="A733" s="57">
        <v>728</v>
      </c>
      <c r="B733" s="57">
        <f>IF($A733="","",IF(_xlfn.XLOOKUP($A733,Korrelation!$D$4:$D$1197,Korrelation!E$4:E$1197,"-",0)="-",0,MATCH(_xlfn.XLOOKUP($A733,Korrelation!$D$4:$D$1197,Korrelation!E$4:E$1197,"",0),DMAV_Modell!$G$6:$G$677,0)))</f>
        <v>406</v>
      </c>
      <c r="C733" s="57">
        <f>IF($A733="","",IF(_xlfn.XLOOKUP($A733,Korrelation!$D$4:$D$1197,Korrelation!F$4:F$1197,"-",0)="-",0,MATCH(_xlfn.XLOOKUP($A733,Korrelation!$D$4:$D$1197,Korrelation!F$4:F$1197,"",0),DMAV_Modell!$G$6:$G$677,0)))</f>
        <v>0</v>
      </c>
      <c r="D733" s="57">
        <f>IF($A733="","",IF(_xlfn.XLOOKUP($A733,Korrelation!$D$4:$D$1197,Korrelation!G$4:G$1197,"-",0)="-",0,MATCH(_xlfn.XLOOKUP($A733,Korrelation!$D$4:$D$1197,Korrelation!G$4:G$1197,"",0),DMAV_Modell!$G$6:$G$677,0)))</f>
        <v>0</v>
      </c>
      <c r="E733" s="57">
        <f>IF($A733="","",IF(_xlfn.XLOOKUP($A733,Korrelation!$D$4:$D$1197,Korrelation!H$4:H$1197,"-",0)="-",0,MATCH(_xlfn.XLOOKUP($A733,Korrelation!$D$4:$D$1197,Korrelation!H$4:H$1197,"",0),DMAV_Dienste!$F$6:$F$140,0)))</f>
        <v>0</v>
      </c>
      <c r="F733" s="57">
        <f>IF($A733="","",IF(_xlfn.XLOOKUP($A733,Korrelation!$D$4:$D$1197,Korrelation!I$4:I$1197,"-",0)="-",0,MATCH(_xlfn.XLOOKUP($A733,Korrelation!$D$4:$D$1197,Korrelation!I$4:I$1197,"",0),DMAV_Dienste!$F$6:$F$140,0)))</f>
        <v>0</v>
      </c>
      <c r="G733" s="57">
        <f>IF($A733="","",IF(_xlfn.XLOOKUP($A733,Korrelation!$D$4:$D$1197,Korrelation!J$4:J$1197,"-",0)="-",0,MATCH(_xlfn.XLOOKUP($A733,Korrelation!$D$4:$D$1197,Korrelation!J$4:J$1197,"",0),DMAV_Dienste!$F$6:$F$140,0)))</f>
        <v>0</v>
      </c>
      <c r="H733" s="57">
        <f>IF($A733="","",IF(_xlfn.XLOOKUP($A733,Korrelation!$D$4:$D$1197,Korrelation!K$4:K$1197,"-",0)="-",0,MATCH(_xlfn.XLOOKUP($A733,Korrelation!$D$4:$D$1197,Korrelation!K$4:K$1197,"",0),'DM01-AV-CH'!$A$6:$A$834,0)))</f>
        <v>181</v>
      </c>
      <c r="J733" s="54" t="str" cm="1">
        <f t="array" aca="1" ref="J733" ca="1">IF(B733=0,IF(E733=0,"",HYPERLINK("#"&amp;RIGHT(CELL("adresse",OFFSET(DMAV_Dienste!$M$6,E733-1,0)),LEN(CELL("adresse",OFFSET(DMAV_Dienste!$M$6,E733-1,0)))-FIND("]",CELL("adresse",OFFSET(DMAV_Dienste!$M$6,E733-1,0)))),"Dienst")),HYPERLINK("#"&amp;RIGHT(CELL("adresse",OFFSET(DMAV_Modell!$N$6,B733-1,0)),LEN(CELL("adresse",OFFSET(DMAV_Modell!$N$6,B733-1,0)))-FIND("]",CELL("adresse",OFFSET(DMAV_Modell!$N$6,B733-1,0)))),"Modell"))</f>
        <v>Modell</v>
      </c>
      <c r="K733" s="61" t="str" cm="1">
        <f t="array" ref="K733">IF($B733=0,IF($E733=0,"",IF(INDEX(DMAV_Dienste!P$6:P$140,$E733)="","",INDEX(DMAV_Dienste!P$6:P$140,$E733))),IF(INDEX(DMAV_Modell!Q$6:Q$838,$B733)="","",INDEX(DMAV_Modell!Q$6:Q$838,$B733)))</f>
        <v>DOMAIN</v>
      </c>
      <c r="L733" s="62" t="str" cm="1">
        <f t="array" ref="L733">IF($B733=0,IF($E733=0,"",IF(INDEX(DMAV_Dienste!O$6:O$140,$E733)="","",INDEX(DMAV_Dienste!O$6:O$140,$E733))),IF(INDEX(DMAV_Modell!P$6:P$838,$B733)="","",INDEX(DMAV_Modell!P$6:P$838,$B733)))</f>
        <v>Bodenbedeckung</v>
      </c>
      <c r="M733" s="62" t="str" cm="1">
        <f t="array" ref="M733">IF($B733=0,IF($E733=0,"",IF(INDEX(DMAV_Dienste!Q$6:Q$140,$E733)="","",INDEX(DMAV_Dienste!Q$6:Q$140,$E733))),IF(INDEX(DMAV_Modell!R$6:R$838,$B733)="","",INDEX(DMAV_Modell!R$6:R$838,$B733)))</f>
        <v>Bodenbedeckungsart</v>
      </c>
      <c r="N733" s="62" t="str" cm="1">
        <f t="array" ref="N733">IF($B733=0,IF($E733=0,"",IF(INDEX(DMAV_Dienste!T$6:T$140,$E733)="","",INDEX(DMAV_Dienste!T$6:T$140,$E733))),IF(INDEX(DMAV_Modell!U$6:U$838,$B733)="","",INDEX(DMAV_Modell!U$6:U$838,$B733)))</f>
        <v/>
      </c>
      <c r="O733" s="63" t="str" cm="1">
        <f t="array" aca="1" ref="O733" ca="1">IF(C733=0,IF(F733=0,"",HYPERLINK("#"&amp;RIGHT(CELL("adresse",OFFSET(DMAV_Dienste!$M$6,F733-1,0)),LEN(CELL("adresse",OFFSET(DMAV_Dienste!$M$6,F733-1,0)))-FIND("]",CELL("adresse",OFFSET(DMAV_Dienste!$M$6,F733-1,0)))),"Structure")),HYPERLINK("#"&amp;RIGHT(CELL("adresse",OFFSET(DMAV_Modell!$N$6,C733-1,0)),LEN(CELL("adresse",OFFSET(DMAV_Modell!$N$6,C733-1,0)))-FIND("]",CELL("adresse",OFFSET(DMAV_Modell!$N$6,C733-1,0)))),"Structure"))</f>
        <v/>
      </c>
      <c r="P733" s="64" t="str" cm="1">
        <f t="array" aca="1" ref="P733" ca="1">IF(D733=0,IF(G733=0,"",HYPERLINK("#"&amp;RIGHT(CELL("adresse",OFFSET(DMAV_Dienste!$M$6,G733-1,0)),LEN(CELL("adresse",OFFSET(DMAV_Dienste!$M$6,G733-1,0)))-FIND("]",CELL("adresse",OFFSET(DMAV_Dienste!$M$6,G733-1,0)))),"Substructure")),HYPERLINK("#"&amp;RIGHT(CELL("adresse",OFFSET(DMAV_Modell!$N$6,D733-1,0)),LEN(CELL("adresse",OFFSET(DMAV_Modell!$N$6,D733-1,0)))-FIND("]",CELL("adresse",OFFSET(DMAV_Modell!$N$6,D733-1,0)))),"Substructure"))</f>
        <v/>
      </c>
      <c r="R733" s="80"/>
      <c r="T733" s="93"/>
      <c r="U733" s="94"/>
      <c r="V733" s="95"/>
      <c r="W733" s="96"/>
      <c r="Y733" s="85"/>
      <c r="Z733" s="86"/>
      <c r="AA733" s="87"/>
      <c r="AB733" s="88"/>
      <c r="AD733" s="77"/>
      <c r="AF733" s="54" t="str" cm="1">
        <f t="array" aca="1" ref="AF733" ca="1">IF(H733=0,"",HYPERLINK("#"&amp;RIGHT(CELL("adresse",OFFSET('DM01-AV-CH'!$G$6,H733-1,0)),LEN(CELL("adresse",OFFSET('DM01-AV-CH'!$G$6,H733-1,0)))-FIND("]",CELL("adresse",OFFSET('DM01-AV-CH'!$G$6,H733-1,0)))),"Modell"))</f>
        <v>Modell</v>
      </c>
      <c r="AG733" s="72" t="str" cm="1">
        <f t="array" ref="AG733">IF($H733=0,"",IF(INDEX('DM01-AV-CH'!G$6:G$834,$H733)="","",INDEX('DM01-AV-CH'!G$6:G$834,$H733)))</f>
        <v>Bodenbedeckung</v>
      </c>
      <c r="AH733" s="73" t="str" cm="1">
        <f t="array" ref="AH733">IF($H733=0,"",IF(INDEX('DM01-AV-CH'!H$6:H$834,$H733)="","",INDEX('DM01-AV-CH'!H$6:H$834,$H733)))</f>
        <v/>
      </c>
      <c r="AI733" s="74" t="str" cm="1">
        <f t="array" ref="AI733">IF($H733=0,"",IF(INDEX('DM01-AV-CH'!I$6:I$834,$H733)="","",INDEX('DM01-AV-CH'!I$6:I$834,$H733)))</f>
        <v>BBArt</v>
      </c>
    </row>
    <row r="734" spans="1:35" x14ac:dyDescent="0.25">
      <c r="A734" s="57">
        <v>729</v>
      </c>
      <c r="B734" s="57">
        <f>IF($A734="","",IF(_xlfn.XLOOKUP($A734,Korrelation!$D$4:$D$1197,Korrelation!E$4:E$1197,"-",0)="-",0,MATCH(_xlfn.XLOOKUP($A734,Korrelation!$D$4:$D$1197,Korrelation!E$4:E$1197,"",0),DMAV_Modell!$G$6:$G$677,0)))</f>
        <v>407</v>
      </c>
      <c r="C734" s="57">
        <f>IF($A734="","",IF(_xlfn.XLOOKUP($A734,Korrelation!$D$4:$D$1197,Korrelation!F$4:F$1197,"-",0)="-",0,MATCH(_xlfn.XLOOKUP($A734,Korrelation!$D$4:$D$1197,Korrelation!F$4:F$1197,"",0),DMAV_Modell!$G$6:$G$677,0)))</f>
        <v>0</v>
      </c>
      <c r="D734" s="57">
        <f>IF($A734="","",IF(_xlfn.XLOOKUP($A734,Korrelation!$D$4:$D$1197,Korrelation!G$4:G$1197,"-",0)="-",0,MATCH(_xlfn.XLOOKUP($A734,Korrelation!$D$4:$D$1197,Korrelation!G$4:G$1197,"",0),DMAV_Modell!$G$6:$G$677,0)))</f>
        <v>0</v>
      </c>
      <c r="E734" s="57">
        <f>IF($A734="","",IF(_xlfn.XLOOKUP($A734,Korrelation!$D$4:$D$1197,Korrelation!H$4:H$1197,"-",0)="-",0,MATCH(_xlfn.XLOOKUP($A734,Korrelation!$D$4:$D$1197,Korrelation!H$4:H$1197,"",0),DMAV_Dienste!$F$6:$F$140,0)))</f>
        <v>0</v>
      </c>
      <c r="F734" s="57">
        <f>IF($A734="","",IF(_xlfn.XLOOKUP($A734,Korrelation!$D$4:$D$1197,Korrelation!I$4:I$1197,"-",0)="-",0,MATCH(_xlfn.XLOOKUP($A734,Korrelation!$D$4:$D$1197,Korrelation!I$4:I$1197,"",0),DMAV_Dienste!$F$6:$F$140,0)))</f>
        <v>0</v>
      </c>
      <c r="G734" s="57">
        <f>IF($A734="","",IF(_xlfn.XLOOKUP($A734,Korrelation!$D$4:$D$1197,Korrelation!J$4:J$1197,"-",0)="-",0,MATCH(_xlfn.XLOOKUP($A734,Korrelation!$D$4:$D$1197,Korrelation!J$4:J$1197,"",0),DMAV_Dienste!$F$6:$F$140,0)))</f>
        <v>0</v>
      </c>
      <c r="H734" s="57">
        <f>IF($A734="","",IF(_xlfn.XLOOKUP($A734,Korrelation!$D$4:$D$1197,Korrelation!K$4:K$1197,"-",0)="-",0,MATCH(_xlfn.XLOOKUP($A734,Korrelation!$D$4:$D$1197,Korrelation!K$4:K$1197,"",0),'DM01-AV-CH'!$A$6:$A$834,0)))</f>
        <v>182</v>
      </c>
      <c r="J734" s="54" t="str" cm="1">
        <f t="array" aca="1" ref="J734" ca="1">IF(B734=0,IF(E734=0,"",HYPERLINK("#"&amp;RIGHT(CELL("adresse",OFFSET(DMAV_Dienste!$M$6,E734-1,0)),LEN(CELL("adresse",OFFSET(DMAV_Dienste!$M$6,E734-1,0)))-FIND("]",CELL("adresse",OFFSET(DMAV_Dienste!$M$6,E734-1,0)))),"Dienst")),HYPERLINK("#"&amp;RIGHT(CELL("adresse",OFFSET(DMAV_Modell!$N$6,B734-1,0)),LEN(CELL("adresse",OFFSET(DMAV_Modell!$N$6,B734-1,0)))-FIND("]",CELL("adresse",OFFSET(DMAV_Modell!$N$6,B734-1,0)))),"Modell"))</f>
        <v>Modell</v>
      </c>
      <c r="K734" s="61" t="str" cm="1">
        <f t="array" ref="K734">IF($B734=0,IF($E734=0,"",IF(INDEX(DMAV_Dienste!P$6:P$140,$E734)="","",INDEX(DMAV_Dienste!P$6:P$140,$E734))),IF(INDEX(DMAV_Modell!Q$6:Q$838,$B734)="","",INDEX(DMAV_Modell!Q$6:Q$838,$B734)))</f>
        <v>DOMAIN</v>
      </c>
      <c r="L734" s="62" t="str" cm="1">
        <f t="array" ref="L734">IF($B734=0,IF($E734=0,"",IF(INDEX(DMAV_Dienste!O$6:O$140,$E734)="","",INDEX(DMAV_Dienste!O$6:O$140,$E734))),IF(INDEX(DMAV_Modell!P$6:P$838,$B734)="","",INDEX(DMAV_Modell!P$6:P$838,$B734)))</f>
        <v>Bodenbedeckung</v>
      </c>
      <c r="M734" s="62" t="str" cm="1">
        <f t="array" ref="M734">IF($B734=0,IF($E734=0,"",IF(INDEX(DMAV_Dienste!Q$6:Q$140,$E734)="","",INDEX(DMAV_Dienste!Q$6:Q$140,$E734))),IF(INDEX(DMAV_Modell!R$6:R$838,$B734)="","",INDEX(DMAV_Modell!R$6:R$838,$B734)))</f>
        <v>Bodenbedeckungsart</v>
      </c>
      <c r="N734" s="62" t="str" cm="1">
        <f t="array" ref="N734">IF($B734=0,IF($E734=0,"",IF(INDEX(DMAV_Dienste!T$6:T$140,$E734)="","",INDEX(DMAV_Dienste!T$6:T$140,$E734))),IF(INDEX(DMAV_Modell!U$6:U$838,$B734)="","",INDEX(DMAV_Modell!U$6:U$838,$B734)))</f>
        <v/>
      </c>
      <c r="O734" s="63" t="str" cm="1">
        <f t="array" aca="1" ref="O734" ca="1">IF(C734=0,IF(F734=0,"",HYPERLINK("#"&amp;RIGHT(CELL("adresse",OFFSET(DMAV_Dienste!$M$6,F734-1,0)),LEN(CELL("adresse",OFFSET(DMAV_Dienste!$M$6,F734-1,0)))-FIND("]",CELL("adresse",OFFSET(DMAV_Dienste!$M$6,F734-1,0)))),"Structure")),HYPERLINK("#"&amp;RIGHT(CELL("adresse",OFFSET(DMAV_Modell!$N$6,C734-1,0)),LEN(CELL("adresse",OFFSET(DMAV_Modell!$N$6,C734-1,0)))-FIND("]",CELL("adresse",OFFSET(DMAV_Modell!$N$6,C734-1,0)))),"Structure"))</f>
        <v/>
      </c>
      <c r="P734" s="64" t="str" cm="1">
        <f t="array" aca="1" ref="P734" ca="1">IF(D734=0,IF(G734=0,"",HYPERLINK("#"&amp;RIGHT(CELL("adresse",OFFSET(DMAV_Dienste!$M$6,G734-1,0)),LEN(CELL("adresse",OFFSET(DMAV_Dienste!$M$6,G734-1,0)))-FIND("]",CELL("adresse",OFFSET(DMAV_Dienste!$M$6,G734-1,0)))),"Substructure")),HYPERLINK("#"&amp;RIGHT(CELL("adresse",OFFSET(DMAV_Modell!$N$6,D734-1,0)),LEN(CELL("adresse",OFFSET(DMAV_Modell!$N$6,D734-1,0)))-FIND("]",CELL("adresse",OFFSET(DMAV_Modell!$N$6,D734-1,0)))),"Substructure"))</f>
        <v/>
      </c>
      <c r="R734" s="80"/>
      <c r="T734" s="93"/>
      <c r="U734" s="94"/>
      <c r="V734" s="95"/>
      <c r="W734" s="96"/>
      <c r="Y734" s="85"/>
      <c r="Z734" s="86"/>
      <c r="AA734" s="87"/>
      <c r="AB734" s="88"/>
      <c r="AD734" s="77"/>
      <c r="AF734" s="54" t="str" cm="1">
        <f t="array" aca="1" ref="AF734" ca="1">IF(H734=0,"",HYPERLINK("#"&amp;RIGHT(CELL("adresse",OFFSET('DM01-AV-CH'!$G$6,H734-1,0)),LEN(CELL("adresse",OFFSET('DM01-AV-CH'!$G$6,H734-1,0)))-FIND("]",CELL("adresse",OFFSET('DM01-AV-CH'!$G$6,H734-1,0)))),"Modell"))</f>
        <v>Modell</v>
      </c>
      <c r="AG734" s="72" t="str" cm="1">
        <f t="array" ref="AG734">IF($H734=0,"",IF(INDEX('DM01-AV-CH'!G$6:G$834,$H734)="","",INDEX('DM01-AV-CH'!G$6:G$834,$H734)))</f>
        <v>Bodenbedeckung</v>
      </c>
      <c r="AH734" s="73" t="str" cm="1">
        <f t="array" ref="AH734">IF($H734=0,"",IF(INDEX('DM01-AV-CH'!H$6:H$834,$H734)="","",INDEX('DM01-AV-CH'!H$6:H$834,$H734)))</f>
        <v/>
      </c>
      <c r="AI734" s="74" t="str" cm="1">
        <f t="array" ref="AI734">IF($H734=0,"",IF(INDEX('DM01-AV-CH'!I$6:I$834,$H734)="","",INDEX('DM01-AV-CH'!I$6:I$834,$H734)))</f>
        <v>BBArt</v>
      </c>
    </row>
    <row r="735" spans="1:35" x14ac:dyDescent="0.25">
      <c r="A735" s="57">
        <v>730</v>
      </c>
      <c r="B735" s="57">
        <f>IF($A735="","",IF(_xlfn.XLOOKUP($A735,Korrelation!$D$4:$D$1197,Korrelation!E$4:E$1197,"-",0)="-",0,MATCH(_xlfn.XLOOKUP($A735,Korrelation!$D$4:$D$1197,Korrelation!E$4:E$1197,"",0),DMAV_Modell!$G$6:$G$677,0)))</f>
        <v>408</v>
      </c>
      <c r="C735" s="57">
        <f>IF($A735="","",IF(_xlfn.XLOOKUP($A735,Korrelation!$D$4:$D$1197,Korrelation!F$4:F$1197,"-",0)="-",0,MATCH(_xlfn.XLOOKUP($A735,Korrelation!$D$4:$D$1197,Korrelation!F$4:F$1197,"",0),DMAV_Modell!$G$6:$G$677,0)))</f>
        <v>0</v>
      </c>
      <c r="D735" s="57">
        <f>IF($A735="","",IF(_xlfn.XLOOKUP($A735,Korrelation!$D$4:$D$1197,Korrelation!G$4:G$1197,"-",0)="-",0,MATCH(_xlfn.XLOOKUP($A735,Korrelation!$D$4:$D$1197,Korrelation!G$4:G$1197,"",0),DMAV_Modell!$G$6:$G$677,0)))</f>
        <v>0</v>
      </c>
      <c r="E735" s="57">
        <f>IF($A735="","",IF(_xlfn.XLOOKUP($A735,Korrelation!$D$4:$D$1197,Korrelation!H$4:H$1197,"-",0)="-",0,MATCH(_xlfn.XLOOKUP($A735,Korrelation!$D$4:$D$1197,Korrelation!H$4:H$1197,"",0),DMAV_Dienste!$F$6:$F$140,0)))</f>
        <v>0</v>
      </c>
      <c r="F735" s="57">
        <f>IF($A735="","",IF(_xlfn.XLOOKUP($A735,Korrelation!$D$4:$D$1197,Korrelation!I$4:I$1197,"-",0)="-",0,MATCH(_xlfn.XLOOKUP($A735,Korrelation!$D$4:$D$1197,Korrelation!I$4:I$1197,"",0),DMAV_Dienste!$F$6:$F$140,0)))</f>
        <v>0</v>
      </c>
      <c r="G735" s="57">
        <f>IF($A735="","",IF(_xlfn.XLOOKUP($A735,Korrelation!$D$4:$D$1197,Korrelation!J$4:J$1197,"-",0)="-",0,MATCH(_xlfn.XLOOKUP($A735,Korrelation!$D$4:$D$1197,Korrelation!J$4:J$1197,"",0),DMAV_Dienste!$F$6:$F$140,0)))</f>
        <v>0</v>
      </c>
      <c r="H735" s="57">
        <f>IF($A735="","",IF(_xlfn.XLOOKUP($A735,Korrelation!$D$4:$D$1197,Korrelation!K$4:K$1197,"-",0)="-",0,MATCH(_xlfn.XLOOKUP($A735,Korrelation!$D$4:$D$1197,Korrelation!K$4:K$1197,"",0),'DM01-AV-CH'!$A$6:$A$834,0)))</f>
        <v>183</v>
      </c>
      <c r="J735" s="54" t="str" cm="1">
        <f t="array" aca="1" ref="J735" ca="1">IF(B735=0,IF(E735=0,"",HYPERLINK("#"&amp;RIGHT(CELL("adresse",OFFSET(DMAV_Dienste!$M$6,E735-1,0)),LEN(CELL("adresse",OFFSET(DMAV_Dienste!$M$6,E735-1,0)))-FIND("]",CELL("adresse",OFFSET(DMAV_Dienste!$M$6,E735-1,0)))),"Dienst")),HYPERLINK("#"&amp;RIGHT(CELL("adresse",OFFSET(DMAV_Modell!$N$6,B735-1,0)),LEN(CELL("adresse",OFFSET(DMAV_Modell!$N$6,B735-1,0)))-FIND("]",CELL("adresse",OFFSET(DMAV_Modell!$N$6,B735-1,0)))),"Modell"))</f>
        <v>Modell</v>
      </c>
      <c r="K735" s="61" t="str" cm="1">
        <f t="array" ref="K735">IF($B735=0,IF($E735=0,"",IF(INDEX(DMAV_Dienste!P$6:P$140,$E735)="","",INDEX(DMAV_Dienste!P$6:P$140,$E735))),IF(INDEX(DMAV_Modell!Q$6:Q$838,$B735)="","",INDEX(DMAV_Modell!Q$6:Q$838,$B735)))</f>
        <v>DOMAIN</v>
      </c>
      <c r="L735" s="62" t="str" cm="1">
        <f t="array" ref="L735">IF($B735=0,IF($E735=0,"",IF(INDEX(DMAV_Dienste!O$6:O$140,$E735)="","",INDEX(DMAV_Dienste!O$6:O$140,$E735))),IF(INDEX(DMAV_Modell!P$6:P$838,$B735)="","",INDEX(DMAV_Modell!P$6:P$838,$B735)))</f>
        <v>Bodenbedeckung</v>
      </c>
      <c r="M735" s="62" t="str" cm="1">
        <f t="array" ref="M735">IF($B735=0,IF($E735=0,"",IF(INDEX(DMAV_Dienste!Q$6:Q$140,$E735)="","",INDEX(DMAV_Dienste!Q$6:Q$140,$E735))),IF(INDEX(DMAV_Modell!R$6:R$838,$B735)="","",INDEX(DMAV_Modell!R$6:R$838,$B735)))</f>
        <v>Bodenbedeckungsart</v>
      </c>
      <c r="N735" s="62" t="str" cm="1">
        <f t="array" ref="N735">IF($B735=0,IF($E735=0,"",IF(INDEX(DMAV_Dienste!T$6:T$140,$E735)="","",INDEX(DMAV_Dienste!T$6:T$140,$E735))),IF(INDEX(DMAV_Modell!U$6:U$838,$B735)="","",INDEX(DMAV_Modell!U$6:U$838,$B735)))</f>
        <v/>
      </c>
      <c r="O735" s="63" t="str" cm="1">
        <f t="array" aca="1" ref="O735" ca="1">IF(C735=0,IF(F735=0,"",HYPERLINK("#"&amp;RIGHT(CELL("adresse",OFFSET(DMAV_Dienste!$M$6,F735-1,0)),LEN(CELL("adresse",OFFSET(DMAV_Dienste!$M$6,F735-1,0)))-FIND("]",CELL("adresse",OFFSET(DMAV_Dienste!$M$6,F735-1,0)))),"Structure")),HYPERLINK("#"&amp;RIGHT(CELL("adresse",OFFSET(DMAV_Modell!$N$6,C735-1,0)),LEN(CELL("adresse",OFFSET(DMAV_Modell!$N$6,C735-1,0)))-FIND("]",CELL("adresse",OFFSET(DMAV_Modell!$N$6,C735-1,0)))),"Structure"))</f>
        <v/>
      </c>
      <c r="P735" s="64" t="str" cm="1">
        <f t="array" aca="1" ref="P735" ca="1">IF(D735=0,IF(G735=0,"",HYPERLINK("#"&amp;RIGHT(CELL("adresse",OFFSET(DMAV_Dienste!$M$6,G735-1,0)),LEN(CELL("adresse",OFFSET(DMAV_Dienste!$M$6,G735-1,0)))-FIND("]",CELL("adresse",OFFSET(DMAV_Dienste!$M$6,G735-1,0)))),"Substructure")),HYPERLINK("#"&amp;RIGHT(CELL("adresse",OFFSET(DMAV_Modell!$N$6,D735-1,0)),LEN(CELL("adresse",OFFSET(DMAV_Modell!$N$6,D735-1,0)))-FIND("]",CELL("adresse",OFFSET(DMAV_Modell!$N$6,D735-1,0)))),"Substructure"))</f>
        <v/>
      </c>
      <c r="R735" s="80"/>
      <c r="T735" s="93"/>
      <c r="U735" s="94"/>
      <c r="V735" s="95"/>
      <c r="W735" s="96"/>
      <c r="Y735" s="85"/>
      <c r="Z735" s="86"/>
      <c r="AA735" s="87"/>
      <c r="AB735" s="88"/>
      <c r="AD735" s="77"/>
      <c r="AF735" s="54" t="str" cm="1">
        <f t="array" aca="1" ref="AF735" ca="1">IF(H735=0,"",HYPERLINK("#"&amp;RIGHT(CELL("adresse",OFFSET('DM01-AV-CH'!$G$6,H735-1,0)),LEN(CELL("adresse",OFFSET('DM01-AV-CH'!$G$6,H735-1,0)))-FIND("]",CELL("adresse",OFFSET('DM01-AV-CH'!$G$6,H735-1,0)))),"Modell"))</f>
        <v>Modell</v>
      </c>
      <c r="AG735" s="72" t="str" cm="1">
        <f t="array" ref="AG735">IF($H735=0,"",IF(INDEX('DM01-AV-CH'!G$6:G$834,$H735)="","",INDEX('DM01-AV-CH'!G$6:G$834,$H735)))</f>
        <v>Bodenbedeckung</v>
      </c>
      <c r="AH735" s="73" t="str" cm="1">
        <f t="array" ref="AH735">IF($H735=0,"",IF(INDEX('DM01-AV-CH'!H$6:H$834,$H735)="","",INDEX('DM01-AV-CH'!H$6:H$834,$H735)))</f>
        <v/>
      </c>
      <c r="AI735" s="74" t="str" cm="1">
        <f t="array" ref="AI735">IF($H735=0,"",IF(INDEX('DM01-AV-CH'!I$6:I$834,$H735)="","",INDEX('DM01-AV-CH'!I$6:I$834,$H735)))</f>
        <v>BBArt</v>
      </c>
    </row>
    <row r="736" spans="1:35" x14ac:dyDescent="0.25">
      <c r="A736" s="57">
        <v>731</v>
      </c>
      <c r="B736" s="57">
        <f>IF($A736="","",IF(_xlfn.XLOOKUP($A736,Korrelation!$D$4:$D$1197,Korrelation!E$4:E$1197,"-",0)="-",0,MATCH(_xlfn.XLOOKUP($A736,Korrelation!$D$4:$D$1197,Korrelation!E$4:E$1197,"",0),DMAV_Modell!$G$6:$G$677,0)))</f>
        <v>409</v>
      </c>
      <c r="C736" s="57">
        <f>IF($A736="","",IF(_xlfn.XLOOKUP($A736,Korrelation!$D$4:$D$1197,Korrelation!F$4:F$1197,"-",0)="-",0,MATCH(_xlfn.XLOOKUP($A736,Korrelation!$D$4:$D$1197,Korrelation!F$4:F$1197,"",0),DMAV_Modell!$G$6:$G$677,0)))</f>
        <v>0</v>
      </c>
      <c r="D736" s="57">
        <f>IF($A736="","",IF(_xlfn.XLOOKUP($A736,Korrelation!$D$4:$D$1197,Korrelation!G$4:G$1197,"-",0)="-",0,MATCH(_xlfn.XLOOKUP($A736,Korrelation!$D$4:$D$1197,Korrelation!G$4:G$1197,"",0),DMAV_Modell!$G$6:$G$677,0)))</f>
        <v>0</v>
      </c>
      <c r="E736" s="57">
        <f>IF($A736="","",IF(_xlfn.XLOOKUP($A736,Korrelation!$D$4:$D$1197,Korrelation!H$4:H$1197,"-",0)="-",0,MATCH(_xlfn.XLOOKUP($A736,Korrelation!$D$4:$D$1197,Korrelation!H$4:H$1197,"",0),DMAV_Dienste!$F$6:$F$140,0)))</f>
        <v>0</v>
      </c>
      <c r="F736" s="57">
        <f>IF($A736="","",IF(_xlfn.XLOOKUP($A736,Korrelation!$D$4:$D$1197,Korrelation!I$4:I$1197,"-",0)="-",0,MATCH(_xlfn.XLOOKUP($A736,Korrelation!$D$4:$D$1197,Korrelation!I$4:I$1197,"",0),DMAV_Dienste!$F$6:$F$140,0)))</f>
        <v>0</v>
      </c>
      <c r="G736" s="57">
        <f>IF($A736="","",IF(_xlfn.XLOOKUP($A736,Korrelation!$D$4:$D$1197,Korrelation!J$4:J$1197,"-",0)="-",0,MATCH(_xlfn.XLOOKUP($A736,Korrelation!$D$4:$D$1197,Korrelation!J$4:J$1197,"",0),DMAV_Dienste!$F$6:$F$140,0)))</f>
        <v>0</v>
      </c>
      <c r="H736" s="57">
        <f>IF($A736="","",IF(_xlfn.XLOOKUP($A736,Korrelation!$D$4:$D$1197,Korrelation!K$4:K$1197,"-",0)="-",0,MATCH(_xlfn.XLOOKUP($A736,Korrelation!$D$4:$D$1197,Korrelation!K$4:K$1197,"",0),'DM01-AV-CH'!$A$6:$A$834,0)))</f>
        <v>184</v>
      </c>
      <c r="J736" s="54" t="str" cm="1">
        <f t="array" aca="1" ref="J736" ca="1">IF(B736=0,IF(E736=0,"",HYPERLINK("#"&amp;RIGHT(CELL("adresse",OFFSET(DMAV_Dienste!$M$6,E736-1,0)),LEN(CELL("adresse",OFFSET(DMAV_Dienste!$M$6,E736-1,0)))-FIND("]",CELL("adresse",OFFSET(DMAV_Dienste!$M$6,E736-1,0)))),"Dienst")),HYPERLINK("#"&amp;RIGHT(CELL("adresse",OFFSET(DMAV_Modell!$N$6,B736-1,0)),LEN(CELL("adresse",OFFSET(DMAV_Modell!$N$6,B736-1,0)))-FIND("]",CELL("adresse",OFFSET(DMAV_Modell!$N$6,B736-1,0)))),"Modell"))</f>
        <v>Modell</v>
      </c>
      <c r="K736" s="61" t="str" cm="1">
        <f t="array" ref="K736">IF($B736=0,IF($E736=0,"",IF(INDEX(DMAV_Dienste!P$6:P$140,$E736)="","",INDEX(DMAV_Dienste!P$6:P$140,$E736))),IF(INDEX(DMAV_Modell!Q$6:Q$838,$B736)="","",INDEX(DMAV_Modell!Q$6:Q$838,$B736)))</f>
        <v>DOMAIN</v>
      </c>
      <c r="L736" s="62" t="str" cm="1">
        <f t="array" ref="L736">IF($B736=0,IF($E736=0,"",IF(INDEX(DMAV_Dienste!O$6:O$140,$E736)="","",INDEX(DMAV_Dienste!O$6:O$140,$E736))),IF(INDEX(DMAV_Modell!P$6:P$838,$B736)="","",INDEX(DMAV_Modell!P$6:P$838,$B736)))</f>
        <v>Bodenbedeckung</v>
      </c>
      <c r="M736" s="62" t="str" cm="1">
        <f t="array" ref="M736">IF($B736=0,IF($E736=0,"",IF(INDEX(DMAV_Dienste!Q$6:Q$140,$E736)="","",INDEX(DMAV_Dienste!Q$6:Q$140,$E736))),IF(INDEX(DMAV_Modell!R$6:R$838,$B736)="","",INDEX(DMAV_Modell!R$6:R$838,$B736)))</f>
        <v>Bodenbedeckungsart</v>
      </c>
      <c r="N736" s="62" t="str" cm="1">
        <f t="array" ref="N736">IF($B736=0,IF($E736=0,"",IF(INDEX(DMAV_Dienste!T$6:T$140,$E736)="","",INDEX(DMAV_Dienste!T$6:T$140,$E736))),IF(INDEX(DMAV_Modell!U$6:U$838,$B736)="","",INDEX(DMAV_Modell!U$6:U$838,$B736)))</f>
        <v/>
      </c>
      <c r="O736" s="63" t="str" cm="1">
        <f t="array" aca="1" ref="O736" ca="1">IF(C736=0,IF(F736=0,"",HYPERLINK("#"&amp;RIGHT(CELL("adresse",OFFSET(DMAV_Dienste!$M$6,F736-1,0)),LEN(CELL("adresse",OFFSET(DMAV_Dienste!$M$6,F736-1,0)))-FIND("]",CELL("adresse",OFFSET(DMAV_Dienste!$M$6,F736-1,0)))),"Structure")),HYPERLINK("#"&amp;RIGHT(CELL("adresse",OFFSET(DMAV_Modell!$N$6,C736-1,0)),LEN(CELL("adresse",OFFSET(DMAV_Modell!$N$6,C736-1,0)))-FIND("]",CELL("adresse",OFFSET(DMAV_Modell!$N$6,C736-1,0)))),"Structure"))</f>
        <v/>
      </c>
      <c r="P736" s="64" t="str" cm="1">
        <f t="array" aca="1" ref="P736" ca="1">IF(D736=0,IF(G736=0,"",HYPERLINK("#"&amp;RIGHT(CELL("adresse",OFFSET(DMAV_Dienste!$M$6,G736-1,0)),LEN(CELL("adresse",OFFSET(DMAV_Dienste!$M$6,G736-1,0)))-FIND("]",CELL("adresse",OFFSET(DMAV_Dienste!$M$6,G736-1,0)))),"Substructure")),HYPERLINK("#"&amp;RIGHT(CELL("adresse",OFFSET(DMAV_Modell!$N$6,D736-1,0)),LEN(CELL("adresse",OFFSET(DMAV_Modell!$N$6,D736-1,0)))-FIND("]",CELL("adresse",OFFSET(DMAV_Modell!$N$6,D736-1,0)))),"Substructure"))</f>
        <v/>
      </c>
      <c r="R736" s="80"/>
      <c r="T736" s="93"/>
      <c r="U736" s="94"/>
      <c r="V736" s="95"/>
      <c r="W736" s="96"/>
      <c r="Y736" s="85"/>
      <c r="Z736" s="86"/>
      <c r="AA736" s="87"/>
      <c r="AB736" s="88"/>
      <c r="AD736" s="77"/>
      <c r="AF736" s="54" t="str" cm="1">
        <f t="array" aca="1" ref="AF736" ca="1">IF(H736=0,"",HYPERLINK("#"&amp;RIGHT(CELL("adresse",OFFSET('DM01-AV-CH'!$G$6,H736-1,0)),LEN(CELL("adresse",OFFSET('DM01-AV-CH'!$G$6,H736-1,0)))-FIND("]",CELL("adresse",OFFSET('DM01-AV-CH'!$G$6,H736-1,0)))),"Modell"))</f>
        <v>Modell</v>
      </c>
      <c r="AG736" s="72" t="str" cm="1">
        <f t="array" ref="AG736">IF($H736=0,"",IF(INDEX('DM01-AV-CH'!G$6:G$834,$H736)="","",INDEX('DM01-AV-CH'!G$6:G$834,$H736)))</f>
        <v>Bodenbedeckung</v>
      </c>
      <c r="AH736" s="73" t="str" cm="1">
        <f t="array" ref="AH736">IF($H736=0,"",IF(INDEX('DM01-AV-CH'!H$6:H$834,$H736)="","",INDEX('DM01-AV-CH'!H$6:H$834,$H736)))</f>
        <v/>
      </c>
      <c r="AI736" s="74" t="str" cm="1">
        <f t="array" ref="AI736">IF($H736=0,"",IF(INDEX('DM01-AV-CH'!I$6:I$834,$H736)="","",INDEX('DM01-AV-CH'!I$6:I$834,$H736)))</f>
        <v>BBArt</v>
      </c>
    </row>
    <row r="737" spans="1:35" x14ac:dyDescent="0.25">
      <c r="A737" s="57">
        <v>732</v>
      </c>
      <c r="B737" s="57">
        <f>IF($A737="","",IF(_xlfn.XLOOKUP($A737,Korrelation!$D$4:$D$1197,Korrelation!E$4:E$1197,"-",0)="-",0,MATCH(_xlfn.XLOOKUP($A737,Korrelation!$D$4:$D$1197,Korrelation!E$4:E$1197,"",0),DMAV_Modell!$G$6:$G$677,0)))</f>
        <v>410</v>
      </c>
      <c r="C737" s="57">
        <f>IF($A737="","",IF(_xlfn.XLOOKUP($A737,Korrelation!$D$4:$D$1197,Korrelation!F$4:F$1197,"-",0)="-",0,MATCH(_xlfn.XLOOKUP($A737,Korrelation!$D$4:$D$1197,Korrelation!F$4:F$1197,"",0),DMAV_Modell!$G$6:$G$677,0)))</f>
        <v>0</v>
      </c>
      <c r="D737" s="57">
        <f>IF($A737="","",IF(_xlfn.XLOOKUP($A737,Korrelation!$D$4:$D$1197,Korrelation!G$4:G$1197,"-",0)="-",0,MATCH(_xlfn.XLOOKUP($A737,Korrelation!$D$4:$D$1197,Korrelation!G$4:G$1197,"",0),DMAV_Modell!$G$6:$G$677,0)))</f>
        <v>0</v>
      </c>
      <c r="E737" s="57">
        <f>IF($A737="","",IF(_xlfn.XLOOKUP($A737,Korrelation!$D$4:$D$1197,Korrelation!H$4:H$1197,"-",0)="-",0,MATCH(_xlfn.XLOOKUP($A737,Korrelation!$D$4:$D$1197,Korrelation!H$4:H$1197,"",0),DMAV_Dienste!$F$6:$F$140,0)))</f>
        <v>0</v>
      </c>
      <c r="F737" s="57">
        <f>IF($A737="","",IF(_xlfn.XLOOKUP($A737,Korrelation!$D$4:$D$1197,Korrelation!I$4:I$1197,"-",0)="-",0,MATCH(_xlfn.XLOOKUP($A737,Korrelation!$D$4:$D$1197,Korrelation!I$4:I$1197,"",0),DMAV_Dienste!$F$6:$F$140,0)))</f>
        <v>0</v>
      </c>
      <c r="G737" s="57">
        <f>IF($A737="","",IF(_xlfn.XLOOKUP($A737,Korrelation!$D$4:$D$1197,Korrelation!J$4:J$1197,"-",0)="-",0,MATCH(_xlfn.XLOOKUP($A737,Korrelation!$D$4:$D$1197,Korrelation!J$4:J$1197,"",0),DMAV_Dienste!$F$6:$F$140,0)))</f>
        <v>0</v>
      </c>
      <c r="H737" s="57">
        <f>IF($A737="","",IF(_xlfn.XLOOKUP($A737,Korrelation!$D$4:$D$1197,Korrelation!K$4:K$1197,"-",0)="-",0,MATCH(_xlfn.XLOOKUP($A737,Korrelation!$D$4:$D$1197,Korrelation!K$4:K$1197,"",0),'DM01-AV-CH'!$A$6:$A$834,0)))</f>
        <v>185</v>
      </c>
      <c r="J737" s="54" t="str" cm="1">
        <f t="array" aca="1" ref="J737" ca="1">IF(B737=0,IF(E737=0,"",HYPERLINK("#"&amp;RIGHT(CELL("adresse",OFFSET(DMAV_Dienste!$M$6,E737-1,0)),LEN(CELL("adresse",OFFSET(DMAV_Dienste!$M$6,E737-1,0)))-FIND("]",CELL("adresse",OFFSET(DMAV_Dienste!$M$6,E737-1,0)))),"Dienst")),HYPERLINK("#"&amp;RIGHT(CELL("adresse",OFFSET(DMAV_Modell!$N$6,B737-1,0)),LEN(CELL("adresse",OFFSET(DMAV_Modell!$N$6,B737-1,0)))-FIND("]",CELL("adresse",OFFSET(DMAV_Modell!$N$6,B737-1,0)))),"Modell"))</f>
        <v>Modell</v>
      </c>
      <c r="K737" s="61" t="str" cm="1">
        <f t="array" ref="K737">IF($B737=0,IF($E737=0,"",IF(INDEX(DMAV_Dienste!P$6:P$140,$E737)="","",INDEX(DMAV_Dienste!P$6:P$140,$E737))),IF(INDEX(DMAV_Modell!Q$6:Q$838,$B737)="","",INDEX(DMAV_Modell!Q$6:Q$838,$B737)))</f>
        <v>DOMAIN</v>
      </c>
      <c r="L737" s="62" t="str" cm="1">
        <f t="array" ref="L737">IF($B737=0,IF($E737=0,"",IF(INDEX(DMAV_Dienste!O$6:O$140,$E737)="","",INDEX(DMAV_Dienste!O$6:O$140,$E737))),IF(INDEX(DMAV_Modell!P$6:P$838,$B737)="","",INDEX(DMAV_Modell!P$6:P$838,$B737)))</f>
        <v>Bodenbedeckung</v>
      </c>
      <c r="M737" s="62" t="str" cm="1">
        <f t="array" ref="M737">IF($B737=0,IF($E737=0,"",IF(INDEX(DMAV_Dienste!Q$6:Q$140,$E737)="","",INDEX(DMAV_Dienste!Q$6:Q$140,$E737))),IF(INDEX(DMAV_Modell!R$6:R$838,$B737)="","",INDEX(DMAV_Modell!R$6:R$838,$B737)))</f>
        <v>Bodenbedeckungsart</v>
      </c>
      <c r="N737" s="62" t="str" cm="1">
        <f t="array" ref="N737">IF($B737=0,IF($E737=0,"",IF(INDEX(DMAV_Dienste!T$6:T$140,$E737)="","",INDEX(DMAV_Dienste!T$6:T$140,$E737))),IF(INDEX(DMAV_Modell!U$6:U$838,$B737)="","",INDEX(DMAV_Modell!U$6:U$838,$B737)))</f>
        <v/>
      </c>
      <c r="O737" s="63" t="str" cm="1">
        <f t="array" aca="1" ref="O737" ca="1">IF(C737=0,IF(F737=0,"",HYPERLINK("#"&amp;RIGHT(CELL("adresse",OFFSET(DMAV_Dienste!$M$6,F737-1,0)),LEN(CELL("adresse",OFFSET(DMAV_Dienste!$M$6,F737-1,0)))-FIND("]",CELL("adresse",OFFSET(DMAV_Dienste!$M$6,F737-1,0)))),"Structure")),HYPERLINK("#"&amp;RIGHT(CELL("adresse",OFFSET(DMAV_Modell!$N$6,C737-1,0)),LEN(CELL("adresse",OFFSET(DMAV_Modell!$N$6,C737-1,0)))-FIND("]",CELL("adresse",OFFSET(DMAV_Modell!$N$6,C737-1,0)))),"Structure"))</f>
        <v/>
      </c>
      <c r="P737" s="64" t="str" cm="1">
        <f t="array" aca="1" ref="P737" ca="1">IF(D737=0,IF(G737=0,"",HYPERLINK("#"&amp;RIGHT(CELL("adresse",OFFSET(DMAV_Dienste!$M$6,G737-1,0)),LEN(CELL("adresse",OFFSET(DMAV_Dienste!$M$6,G737-1,0)))-FIND("]",CELL("adresse",OFFSET(DMAV_Dienste!$M$6,G737-1,0)))),"Substructure")),HYPERLINK("#"&amp;RIGHT(CELL("adresse",OFFSET(DMAV_Modell!$N$6,D737-1,0)),LEN(CELL("adresse",OFFSET(DMAV_Modell!$N$6,D737-1,0)))-FIND("]",CELL("adresse",OFFSET(DMAV_Modell!$N$6,D737-1,0)))),"Substructure"))</f>
        <v/>
      </c>
      <c r="R737" s="80"/>
      <c r="T737" s="93"/>
      <c r="U737" s="94"/>
      <c r="V737" s="95"/>
      <c r="W737" s="96"/>
      <c r="Y737" s="85"/>
      <c r="Z737" s="86"/>
      <c r="AA737" s="87"/>
      <c r="AB737" s="88"/>
      <c r="AD737" s="77"/>
      <c r="AF737" s="54" t="str" cm="1">
        <f t="array" aca="1" ref="AF737" ca="1">IF(H737=0,"",HYPERLINK("#"&amp;RIGHT(CELL("adresse",OFFSET('DM01-AV-CH'!$G$6,H737-1,0)),LEN(CELL("adresse",OFFSET('DM01-AV-CH'!$G$6,H737-1,0)))-FIND("]",CELL("adresse",OFFSET('DM01-AV-CH'!$G$6,H737-1,0)))),"Modell"))</f>
        <v>Modell</v>
      </c>
      <c r="AG737" s="72" t="str" cm="1">
        <f t="array" ref="AG737">IF($H737=0,"",IF(INDEX('DM01-AV-CH'!G$6:G$834,$H737)="","",INDEX('DM01-AV-CH'!G$6:G$834,$H737)))</f>
        <v>Bodenbedeckung</v>
      </c>
      <c r="AH737" s="73" t="str" cm="1">
        <f t="array" ref="AH737">IF($H737=0,"",IF(INDEX('DM01-AV-CH'!H$6:H$834,$H737)="","",INDEX('DM01-AV-CH'!H$6:H$834,$H737)))</f>
        <v/>
      </c>
      <c r="AI737" s="74" t="str" cm="1">
        <f t="array" ref="AI737">IF($H737=0,"",IF(INDEX('DM01-AV-CH'!I$6:I$834,$H737)="","",INDEX('DM01-AV-CH'!I$6:I$834,$H737)))</f>
        <v>BBArt</v>
      </c>
    </row>
    <row r="738" spans="1:35" x14ac:dyDescent="0.25">
      <c r="A738" s="57">
        <v>733</v>
      </c>
      <c r="B738" s="57">
        <f>IF($A738="","",IF(_xlfn.XLOOKUP($A738,Korrelation!$D$4:$D$1197,Korrelation!E$4:E$1197,"-",0)="-",0,MATCH(_xlfn.XLOOKUP($A738,Korrelation!$D$4:$D$1197,Korrelation!E$4:E$1197,"",0),DMAV_Modell!$G$6:$G$677,0)))</f>
        <v>411</v>
      </c>
      <c r="C738" s="57">
        <f>IF($A738="","",IF(_xlfn.XLOOKUP($A738,Korrelation!$D$4:$D$1197,Korrelation!F$4:F$1197,"-",0)="-",0,MATCH(_xlfn.XLOOKUP($A738,Korrelation!$D$4:$D$1197,Korrelation!F$4:F$1197,"",0),DMAV_Modell!$G$6:$G$677,0)))</f>
        <v>0</v>
      </c>
      <c r="D738" s="57">
        <f>IF($A738="","",IF(_xlfn.XLOOKUP($A738,Korrelation!$D$4:$D$1197,Korrelation!G$4:G$1197,"-",0)="-",0,MATCH(_xlfn.XLOOKUP($A738,Korrelation!$D$4:$D$1197,Korrelation!G$4:G$1197,"",0),DMAV_Modell!$G$6:$G$677,0)))</f>
        <v>0</v>
      </c>
      <c r="E738" s="57">
        <f>IF($A738="","",IF(_xlfn.XLOOKUP($A738,Korrelation!$D$4:$D$1197,Korrelation!H$4:H$1197,"-",0)="-",0,MATCH(_xlfn.XLOOKUP($A738,Korrelation!$D$4:$D$1197,Korrelation!H$4:H$1197,"",0),DMAV_Dienste!$F$6:$F$140,0)))</f>
        <v>0</v>
      </c>
      <c r="F738" s="57">
        <f>IF($A738="","",IF(_xlfn.XLOOKUP($A738,Korrelation!$D$4:$D$1197,Korrelation!I$4:I$1197,"-",0)="-",0,MATCH(_xlfn.XLOOKUP($A738,Korrelation!$D$4:$D$1197,Korrelation!I$4:I$1197,"",0),DMAV_Dienste!$F$6:$F$140,0)))</f>
        <v>0</v>
      </c>
      <c r="G738" s="57">
        <f>IF($A738="","",IF(_xlfn.XLOOKUP($A738,Korrelation!$D$4:$D$1197,Korrelation!J$4:J$1197,"-",0)="-",0,MATCH(_xlfn.XLOOKUP($A738,Korrelation!$D$4:$D$1197,Korrelation!J$4:J$1197,"",0),DMAV_Dienste!$F$6:$F$140,0)))</f>
        <v>0</v>
      </c>
      <c r="H738" s="57">
        <f>IF($A738="","",IF(_xlfn.XLOOKUP($A738,Korrelation!$D$4:$D$1197,Korrelation!K$4:K$1197,"-",0)="-",0,MATCH(_xlfn.XLOOKUP($A738,Korrelation!$D$4:$D$1197,Korrelation!K$4:K$1197,"",0),'DM01-AV-CH'!$A$6:$A$834,0)))</f>
        <v>186</v>
      </c>
      <c r="J738" s="54" t="str" cm="1">
        <f t="array" aca="1" ref="J738" ca="1">IF(B738=0,IF(E738=0,"",HYPERLINK("#"&amp;RIGHT(CELL("adresse",OFFSET(DMAV_Dienste!$M$6,E738-1,0)),LEN(CELL("adresse",OFFSET(DMAV_Dienste!$M$6,E738-1,0)))-FIND("]",CELL("adresse",OFFSET(DMAV_Dienste!$M$6,E738-1,0)))),"Dienst")),HYPERLINK("#"&amp;RIGHT(CELL("adresse",OFFSET(DMAV_Modell!$N$6,B738-1,0)),LEN(CELL("adresse",OFFSET(DMAV_Modell!$N$6,B738-1,0)))-FIND("]",CELL("adresse",OFFSET(DMAV_Modell!$N$6,B738-1,0)))),"Modell"))</f>
        <v>Modell</v>
      </c>
      <c r="K738" s="61" t="str" cm="1">
        <f t="array" ref="K738">IF($B738=0,IF($E738=0,"",IF(INDEX(DMAV_Dienste!P$6:P$140,$E738)="","",INDEX(DMAV_Dienste!P$6:P$140,$E738))),IF(INDEX(DMAV_Modell!Q$6:Q$838,$B738)="","",INDEX(DMAV_Modell!Q$6:Q$838,$B738)))</f>
        <v>DOMAIN</v>
      </c>
      <c r="L738" s="62" t="str" cm="1">
        <f t="array" ref="L738">IF($B738=0,IF($E738=0,"",IF(INDEX(DMAV_Dienste!O$6:O$140,$E738)="","",INDEX(DMAV_Dienste!O$6:O$140,$E738))),IF(INDEX(DMAV_Modell!P$6:P$838,$B738)="","",INDEX(DMAV_Modell!P$6:P$838,$B738)))</f>
        <v>Bodenbedeckung</v>
      </c>
      <c r="M738" s="62" t="str" cm="1">
        <f t="array" ref="M738">IF($B738=0,IF($E738=0,"",IF(INDEX(DMAV_Dienste!Q$6:Q$140,$E738)="","",INDEX(DMAV_Dienste!Q$6:Q$140,$E738))),IF(INDEX(DMAV_Modell!R$6:R$838,$B738)="","",INDEX(DMAV_Modell!R$6:R$838,$B738)))</f>
        <v>Bodenbedeckungsart</v>
      </c>
      <c r="N738" s="62" t="str" cm="1">
        <f t="array" ref="N738">IF($B738=0,IF($E738=0,"",IF(INDEX(DMAV_Dienste!T$6:T$140,$E738)="","",INDEX(DMAV_Dienste!T$6:T$140,$E738))),IF(INDEX(DMAV_Modell!U$6:U$838,$B738)="","",INDEX(DMAV_Modell!U$6:U$838,$B738)))</f>
        <v/>
      </c>
      <c r="O738" s="63" t="str" cm="1">
        <f t="array" aca="1" ref="O738" ca="1">IF(C738=0,IF(F738=0,"",HYPERLINK("#"&amp;RIGHT(CELL("adresse",OFFSET(DMAV_Dienste!$M$6,F738-1,0)),LEN(CELL("adresse",OFFSET(DMAV_Dienste!$M$6,F738-1,0)))-FIND("]",CELL("adresse",OFFSET(DMAV_Dienste!$M$6,F738-1,0)))),"Structure")),HYPERLINK("#"&amp;RIGHT(CELL("adresse",OFFSET(DMAV_Modell!$N$6,C738-1,0)),LEN(CELL("adresse",OFFSET(DMAV_Modell!$N$6,C738-1,0)))-FIND("]",CELL("adresse",OFFSET(DMAV_Modell!$N$6,C738-1,0)))),"Structure"))</f>
        <v/>
      </c>
      <c r="P738" s="64" t="str" cm="1">
        <f t="array" aca="1" ref="P738" ca="1">IF(D738=0,IF(G738=0,"",HYPERLINK("#"&amp;RIGHT(CELL("adresse",OFFSET(DMAV_Dienste!$M$6,G738-1,0)),LEN(CELL("adresse",OFFSET(DMAV_Dienste!$M$6,G738-1,0)))-FIND("]",CELL("adresse",OFFSET(DMAV_Dienste!$M$6,G738-1,0)))),"Substructure")),HYPERLINK("#"&amp;RIGHT(CELL("adresse",OFFSET(DMAV_Modell!$N$6,D738-1,0)),LEN(CELL("adresse",OFFSET(DMAV_Modell!$N$6,D738-1,0)))-FIND("]",CELL("adresse",OFFSET(DMAV_Modell!$N$6,D738-1,0)))),"Substructure"))</f>
        <v/>
      </c>
      <c r="R738" s="80"/>
      <c r="T738" s="93"/>
      <c r="U738" s="94"/>
      <c r="V738" s="95"/>
      <c r="W738" s="96"/>
      <c r="Y738" s="85"/>
      <c r="Z738" s="86"/>
      <c r="AA738" s="87"/>
      <c r="AB738" s="88"/>
      <c r="AD738" s="77"/>
      <c r="AF738" s="54" t="str" cm="1">
        <f t="array" aca="1" ref="AF738" ca="1">IF(H738=0,"",HYPERLINK("#"&amp;RIGHT(CELL("adresse",OFFSET('DM01-AV-CH'!$G$6,H738-1,0)),LEN(CELL("adresse",OFFSET('DM01-AV-CH'!$G$6,H738-1,0)))-FIND("]",CELL("adresse",OFFSET('DM01-AV-CH'!$G$6,H738-1,0)))),"Modell"))</f>
        <v>Modell</v>
      </c>
      <c r="AG738" s="72" t="str" cm="1">
        <f t="array" ref="AG738">IF($H738=0,"",IF(INDEX('DM01-AV-CH'!G$6:G$834,$H738)="","",INDEX('DM01-AV-CH'!G$6:G$834,$H738)))</f>
        <v>Bodenbedeckung</v>
      </c>
      <c r="AH738" s="73" t="str" cm="1">
        <f t="array" ref="AH738">IF($H738=0,"",IF(INDEX('DM01-AV-CH'!H$6:H$834,$H738)="","",INDEX('DM01-AV-CH'!H$6:H$834,$H738)))</f>
        <v/>
      </c>
      <c r="AI738" s="74" t="str" cm="1">
        <f t="array" ref="AI738">IF($H738=0,"",IF(INDEX('DM01-AV-CH'!I$6:I$834,$H738)="","",INDEX('DM01-AV-CH'!I$6:I$834,$H738)))</f>
        <v>BBArt</v>
      </c>
    </row>
    <row r="739" spans="1:35" x14ac:dyDescent="0.25">
      <c r="A739" s="57">
        <v>734</v>
      </c>
      <c r="B739" s="57">
        <f>IF($A739="","",IF(_xlfn.XLOOKUP($A739,Korrelation!$D$4:$D$1197,Korrelation!E$4:E$1197,"-",0)="-",0,MATCH(_xlfn.XLOOKUP($A739,Korrelation!$D$4:$D$1197,Korrelation!E$4:E$1197,"",0),DMAV_Modell!$G$6:$G$677,0)))</f>
        <v>412</v>
      </c>
      <c r="C739" s="57">
        <f>IF($A739="","",IF(_xlfn.XLOOKUP($A739,Korrelation!$D$4:$D$1197,Korrelation!F$4:F$1197,"-",0)="-",0,MATCH(_xlfn.XLOOKUP($A739,Korrelation!$D$4:$D$1197,Korrelation!F$4:F$1197,"",0),DMAV_Modell!$G$6:$G$677,0)))</f>
        <v>0</v>
      </c>
      <c r="D739" s="57">
        <f>IF($A739="","",IF(_xlfn.XLOOKUP($A739,Korrelation!$D$4:$D$1197,Korrelation!G$4:G$1197,"-",0)="-",0,MATCH(_xlfn.XLOOKUP($A739,Korrelation!$D$4:$D$1197,Korrelation!G$4:G$1197,"",0),DMAV_Modell!$G$6:$G$677,0)))</f>
        <v>0</v>
      </c>
      <c r="E739" s="57">
        <f>IF($A739="","",IF(_xlfn.XLOOKUP($A739,Korrelation!$D$4:$D$1197,Korrelation!H$4:H$1197,"-",0)="-",0,MATCH(_xlfn.XLOOKUP($A739,Korrelation!$D$4:$D$1197,Korrelation!H$4:H$1197,"",0),DMAV_Dienste!$F$6:$F$140,0)))</f>
        <v>0</v>
      </c>
      <c r="F739" s="57">
        <f>IF($A739="","",IF(_xlfn.XLOOKUP($A739,Korrelation!$D$4:$D$1197,Korrelation!I$4:I$1197,"-",0)="-",0,MATCH(_xlfn.XLOOKUP($A739,Korrelation!$D$4:$D$1197,Korrelation!I$4:I$1197,"",0),DMAV_Dienste!$F$6:$F$140,0)))</f>
        <v>0</v>
      </c>
      <c r="G739" s="57">
        <f>IF($A739="","",IF(_xlfn.XLOOKUP($A739,Korrelation!$D$4:$D$1197,Korrelation!J$4:J$1197,"-",0)="-",0,MATCH(_xlfn.XLOOKUP($A739,Korrelation!$D$4:$D$1197,Korrelation!J$4:J$1197,"",0),DMAV_Dienste!$F$6:$F$140,0)))</f>
        <v>0</v>
      </c>
      <c r="H739" s="57">
        <f>IF($A739="","",IF(_xlfn.XLOOKUP($A739,Korrelation!$D$4:$D$1197,Korrelation!K$4:K$1197,"-",0)="-",0,MATCH(_xlfn.XLOOKUP($A739,Korrelation!$D$4:$D$1197,Korrelation!K$4:K$1197,"",0),'DM01-AV-CH'!$A$6:$A$834,0)))</f>
        <v>187</v>
      </c>
      <c r="J739" s="54" t="str" cm="1">
        <f t="array" aca="1" ref="J739" ca="1">IF(B739=0,IF(E739=0,"",HYPERLINK("#"&amp;RIGHT(CELL("adresse",OFFSET(DMAV_Dienste!$M$6,E739-1,0)),LEN(CELL("adresse",OFFSET(DMAV_Dienste!$M$6,E739-1,0)))-FIND("]",CELL("adresse",OFFSET(DMAV_Dienste!$M$6,E739-1,0)))),"Dienst")),HYPERLINK("#"&amp;RIGHT(CELL("adresse",OFFSET(DMAV_Modell!$N$6,B739-1,0)),LEN(CELL("adresse",OFFSET(DMAV_Modell!$N$6,B739-1,0)))-FIND("]",CELL("adresse",OFFSET(DMAV_Modell!$N$6,B739-1,0)))),"Modell"))</f>
        <v>Modell</v>
      </c>
      <c r="K739" s="61" t="str" cm="1">
        <f t="array" ref="K739">IF($B739=0,IF($E739=0,"",IF(INDEX(DMAV_Dienste!P$6:P$140,$E739)="","",INDEX(DMAV_Dienste!P$6:P$140,$E739))),IF(INDEX(DMAV_Modell!Q$6:Q$838,$B739)="","",INDEX(DMAV_Modell!Q$6:Q$838,$B739)))</f>
        <v>DOMAIN</v>
      </c>
      <c r="L739" s="62" t="str" cm="1">
        <f t="array" ref="L739">IF($B739=0,IF($E739=0,"",IF(INDEX(DMAV_Dienste!O$6:O$140,$E739)="","",INDEX(DMAV_Dienste!O$6:O$140,$E739))),IF(INDEX(DMAV_Modell!P$6:P$838,$B739)="","",INDEX(DMAV_Modell!P$6:P$838,$B739)))</f>
        <v>Bodenbedeckung</v>
      </c>
      <c r="M739" s="62" t="str" cm="1">
        <f t="array" ref="M739">IF($B739=0,IF($E739=0,"",IF(INDEX(DMAV_Dienste!Q$6:Q$140,$E739)="","",INDEX(DMAV_Dienste!Q$6:Q$140,$E739))),IF(INDEX(DMAV_Modell!R$6:R$838,$B739)="","",INDEX(DMAV_Modell!R$6:R$838,$B739)))</f>
        <v>Bodenbedeckungsart</v>
      </c>
      <c r="N739" s="62" t="str" cm="1">
        <f t="array" ref="N739">IF($B739=0,IF($E739=0,"",IF(INDEX(DMAV_Dienste!T$6:T$140,$E739)="","",INDEX(DMAV_Dienste!T$6:T$140,$E739))),IF(INDEX(DMAV_Modell!U$6:U$838,$B739)="","",INDEX(DMAV_Modell!U$6:U$838,$B739)))</f>
        <v/>
      </c>
      <c r="O739" s="63" t="str" cm="1">
        <f t="array" aca="1" ref="O739" ca="1">IF(C739=0,IF(F739=0,"",HYPERLINK("#"&amp;RIGHT(CELL("adresse",OFFSET(DMAV_Dienste!$M$6,F739-1,0)),LEN(CELL("adresse",OFFSET(DMAV_Dienste!$M$6,F739-1,0)))-FIND("]",CELL("adresse",OFFSET(DMAV_Dienste!$M$6,F739-1,0)))),"Structure")),HYPERLINK("#"&amp;RIGHT(CELL("adresse",OFFSET(DMAV_Modell!$N$6,C739-1,0)),LEN(CELL("adresse",OFFSET(DMAV_Modell!$N$6,C739-1,0)))-FIND("]",CELL("adresse",OFFSET(DMAV_Modell!$N$6,C739-1,0)))),"Structure"))</f>
        <v/>
      </c>
      <c r="P739" s="64" t="str" cm="1">
        <f t="array" aca="1" ref="P739" ca="1">IF(D739=0,IF(G739=0,"",HYPERLINK("#"&amp;RIGHT(CELL("adresse",OFFSET(DMAV_Dienste!$M$6,G739-1,0)),LEN(CELL("adresse",OFFSET(DMAV_Dienste!$M$6,G739-1,0)))-FIND("]",CELL("adresse",OFFSET(DMAV_Dienste!$M$6,G739-1,0)))),"Substructure")),HYPERLINK("#"&amp;RIGHT(CELL("adresse",OFFSET(DMAV_Modell!$N$6,D739-1,0)),LEN(CELL("adresse",OFFSET(DMAV_Modell!$N$6,D739-1,0)))-FIND("]",CELL("adresse",OFFSET(DMAV_Modell!$N$6,D739-1,0)))),"Substructure"))</f>
        <v/>
      </c>
      <c r="R739" s="80"/>
      <c r="T739" s="93"/>
      <c r="U739" s="94"/>
      <c r="V739" s="95"/>
      <c r="W739" s="96"/>
      <c r="Y739" s="85"/>
      <c r="Z739" s="86"/>
      <c r="AA739" s="87"/>
      <c r="AB739" s="88"/>
      <c r="AD739" s="77"/>
      <c r="AF739" s="54" t="str" cm="1">
        <f t="array" aca="1" ref="AF739" ca="1">IF(H739=0,"",HYPERLINK("#"&amp;RIGHT(CELL("adresse",OFFSET('DM01-AV-CH'!$G$6,H739-1,0)),LEN(CELL("adresse",OFFSET('DM01-AV-CH'!$G$6,H739-1,0)))-FIND("]",CELL("adresse",OFFSET('DM01-AV-CH'!$G$6,H739-1,0)))),"Modell"))</f>
        <v>Modell</v>
      </c>
      <c r="AG739" s="72" t="str" cm="1">
        <f t="array" ref="AG739">IF($H739=0,"",IF(INDEX('DM01-AV-CH'!G$6:G$834,$H739)="","",INDEX('DM01-AV-CH'!G$6:G$834,$H739)))</f>
        <v>Bodenbedeckung</v>
      </c>
      <c r="AH739" s="73" t="str" cm="1">
        <f t="array" ref="AH739">IF($H739=0,"",IF(INDEX('DM01-AV-CH'!H$6:H$834,$H739)="","",INDEX('DM01-AV-CH'!H$6:H$834,$H739)))</f>
        <v/>
      </c>
      <c r="AI739" s="74" t="str" cm="1">
        <f t="array" ref="AI739">IF($H739=0,"",IF(INDEX('DM01-AV-CH'!I$6:I$834,$H739)="","",INDEX('DM01-AV-CH'!I$6:I$834,$H739)))</f>
        <v>BBArt</v>
      </c>
    </row>
    <row r="740" spans="1:35" x14ac:dyDescent="0.25">
      <c r="A740" s="57">
        <v>735</v>
      </c>
      <c r="B740" s="57">
        <f>IF($A740="","",IF(_xlfn.XLOOKUP($A740,Korrelation!$D$4:$D$1197,Korrelation!E$4:E$1197,"-",0)="-",0,MATCH(_xlfn.XLOOKUP($A740,Korrelation!$D$4:$D$1197,Korrelation!E$4:E$1197,"",0),DMAV_Modell!$G$6:$G$677,0)))</f>
        <v>413</v>
      </c>
      <c r="C740" s="57">
        <f>IF($A740="","",IF(_xlfn.XLOOKUP($A740,Korrelation!$D$4:$D$1197,Korrelation!F$4:F$1197,"-",0)="-",0,MATCH(_xlfn.XLOOKUP($A740,Korrelation!$D$4:$D$1197,Korrelation!F$4:F$1197,"",0),DMAV_Modell!$G$6:$G$677,0)))</f>
        <v>0</v>
      </c>
      <c r="D740" s="57">
        <f>IF($A740="","",IF(_xlfn.XLOOKUP($A740,Korrelation!$D$4:$D$1197,Korrelation!G$4:G$1197,"-",0)="-",0,MATCH(_xlfn.XLOOKUP($A740,Korrelation!$D$4:$D$1197,Korrelation!G$4:G$1197,"",0),DMAV_Modell!$G$6:$G$677,0)))</f>
        <v>0</v>
      </c>
      <c r="E740" s="57">
        <f>IF($A740="","",IF(_xlfn.XLOOKUP($A740,Korrelation!$D$4:$D$1197,Korrelation!H$4:H$1197,"-",0)="-",0,MATCH(_xlfn.XLOOKUP($A740,Korrelation!$D$4:$D$1197,Korrelation!H$4:H$1197,"",0),DMAV_Dienste!$F$6:$F$140,0)))</f>
        <v>0</v>
      </c>
      <c r="F740" s="57">
        <f>IF($A740="","",IF(_xlfn.XLOOKUP($A740,Korrelation!$D$4:$D$1197,Korrelation!I$4:I$1197,"-",0)="-",0,MATCH(_xlfn.XLOOKUP($A740,Korrelation!$D$4:$D$1197,Korrelation!I$4:I$1197,"",0),DMAV_Dienste!$F$6:$F$140,0)))</f>
        <v>0</v>
      </c>
      <c r="G740" s="57">
        <f>IF($A740="","",IF(_xlfn.XLOOKUP($A740,Korrelation!$D$4:$D$1197,Korrelation!J$4:J$1197,"-",0)="-",0,MATCH(_xlfn.XLOOKUP($A740,Korrelation!$D$4:$D$1197,Korrelation!J$4:J$1197,"",0),DMAV_Dienste!$F$6:$F$140,0)))</f>
        <v>0</v>
      </c>
      <c r="H740" s="57">
        <f>IF($A740="","",IF(_xlfn.XLOOKUP($A740,Korrelation!$D$4:$D$1197,Korrelation!K$4:K$1197,"-",0)="-",0,MATCH(_xlfn.XLOOKUP($A740,Korrelation!$D$4:$D$1197,Korrelation!K$4:K$1197,"",0),'DM01-AV-CH'!$A$6:$A$834,0)))</f>
        <v>188</v>
      </c>
      <c r="J740" s="54" t="str" cm="1">
        <f t="array" aca="1" ref="J740" ca="1">IF(B740=0,IF(E740=0,"",HYPERLINK("#"&amp;RIGHT(CELL("adresse",OFFSET(DMAV_Dienste!$M$6,E740-1,0)),LEN(CELL("adresse",OFFSET(DMAV_Dienste!$M$6,E740-1,0)))-FIND("]",CELL("adresse",OFFSET(DMAV_Dienste!$M$6,E740-1,0)))),"Dienst")),HYPERLINK("#"&amp;RIGHT(CELL("adresse",OFFSET(DMAV_Modell!$N$6,B740-1,0)),LEN(CELL("adresse",OFFSET(DMAV_Modell!$N$6,B740-1,0)))-FIND("]",CELL("adresse",OFFSET(DMAV_Modell!$N$6,B740-1,0)))),"Modell"))</f>
        <v>Modell</v>
      </c>
      <c r="K740" s="61" t="str" cm="1">
        <f t="array" ref="K740">IF($B740=0,IF($E740=0,"",IF(INDEX(DMAV_Dienste!P$6:P$140,$E740)="","",INDEX(DMAV_Dienste!P$6:P$140,$E740))),IF(INDEX(DMAV_Modell!Q$6:Q$838,$B740)="","",INDEX(DMAV_Modell!Q$6:Q$838,$B740)))</f>
        <v>DOMAIN</v>
      </c>
      <c r="L740" s="62" t="str" cm="1">
        <f t="array" ref="L740">IF($B740=0,IF($E740=0,"",IF(INDEX(DMAV_Dienste!O$6:O$140,$E740)="","",INDEX(DMAV_Dienste!O$6:O$140,$E740))),IF(INDEX(DMAV_Modell!P$6:P$838,$B740)="","",INDEX(DMAV_Modell!P$6:P$838,$B740)))</f>
        <v>Bodenbedeckung</v>
      </c>
      <c r="M740" s="62" t="str" cm="1">
        <f t="array" ref="M740">IF($B740=0,IF($E740=0,"",IF(INDEX(DMAV_Dienste!Q$6:Q$140,$E740)="","",INDEX(DMAV_Dienste!Q$6:Q$140,$E740))),IF(INDEX(DMAV_Modell!R$6:R$838,$B740)="","",INDEX(DMAV_Modell!R$6:R$838,$B740)))</f>
        <v>Bodenbedeckungsart</v>
      </c>
      <c r="N740" s="62" t="str" cm="1">
        <f t="array" ref="N740">IF($B740=0,IF($E740=0,"",IF(INDEX(DMAV_Dienste!T$6:T$140,$E740)="","",INDEX(DMAV_Dienste!T$6:T$140,$E740))),IF(INDEX(DMAV_Modell!U$6:U$838,$B740)="","",INDEX(DMAV_Modell!U$6:U$838,$B740)))</f>
        <v/>
      </c>
      <c r="O740" s="63" t="str" cm="1">
        <f t="array" aca="1" ref="O740" ca="1">IF(C740=0,IF(F740=0,"",HYPERLINK("#"&amp;RIGHT(CELL("adresse",OFFSET(DMAV_Dienste!$M$6,F740-1,0)),LEN(CELL("adresse",OFFSET(DMAV_Dienste!$M$6,F740-1,0)))-FIND("]",CELL("adresse",OFFSET(DMAV_Dienste!$M$6,F740-1,0)))),"Structure")),HYPERLINK("#"&amp;RIGHT(CELL("adresse",OFFSET(DMAV_Modell!$N$6,C740-1,0)),LEN(CELL("adresse",OFFSET(DMAV_Modell!$N$6,C740-1,0)))-FIND("]",CELL("adresse",OFFSET(DMAV_Modell!$N$6,C740-1,0)))),"Structure"))</f>
        <v/>
      </c>
      <c r="P740" s="64" t="str" cm="1">
        <f t="array" aca="1" ref="P740" ca="1">IF(D740=0,IF(G740=0,"",HYPERLINK("#"&amp;RIGHT(CELL("adresse",OFFSET(DMAV_Dienste!$M$6,G740-1,0)),LEN(CELL("adresse",OFFSET(DMAV_Dienste!$M$6,G740-1,0)))-FIND("]",CELL("adresse",OFFSET(DMAV_Dienste!$M$6,G740-1,0)))),"Substructure")),HYPERLINK("#"&amp;RIGHT(CELL("adresse",OFFSET(DMAV_Modell!$N$6,D740-1,0)),LEN(CELL("adresse",OFFSET(DMAV_Modell!$N$6,D740-1,0)))-FIND("]",CELL("adresse",OFFSET(DMAV_Modell!$N$6,D740-1,0)))),"Substructure"))</f>
        <v/>
      </c>
      <c r="R740" s="80"/>
      <c r="T740" s="93"/>
      <c r="U740" s="94"/>
      <c r="V740" s="95"/>
      <c r="W740" s="96"/>
      <c r="Y740" s="85"/>
      <c r="Z740" s="86"/>
      <c r="AA740" s="87"/>
      <c r="AB740" s="88"/>
      <c r="AD740" s="77"/>
      <c r="AF740" s="54" t="str" cm="1">
        <f t="array" aca="1" ref="AF740" ca="1">IF(H740=0,"",HYPERLINK("#"&amp;RIGHT(CELL("adresse",OFFSET('DM01-AV-CH'!$G$6,H740-1,0)),LEN(CELL("adresse",OFFSET('DM01-AV-CH'!$G$6,H740-1,0)))-FIND("]",CELL("adresse",OFFSET('DM01-AV-CH'!$G$6,H740-1,0)))),"Modell"))</f>
        <v>Modell</v>
      </c>
      <c r="AG740" s="72" t="str" cm="1">
        <f t="array" ref="AG740">IF($H740=0,"",IF(INDEX('DM01-AV-CH'!G$6:G$834,$H740)="","",INDEX('DM01-AV-CH'!G$6:G$834,$H740)))</f>
        <v>Bodenbedeckung</v>
      </c>
      <c r="AH740" s="73" t="str" cm="1">
        <f t="array" ref="AH740">IF($H740=0,"",IF(INDEX('DM01-AV-CH'!H$6:H$834,$H740)="","",INDEX('DM01-AV-CH'!H$6:H$834,$H740)))</f>
        <v/>
      </c>
      <c r="AI740" s="74" t="str" cm="1">
        <f t="array" ref="AI740">IF($H740=0,"",IF(INDEX('DM01-AV-CH'!I$6:I$834,$H740)="","",INDEX('DM01-AV-CH'!I$6:I$834,$H740)))</f>
        <v>BBArt</v>
      </c>
    </row>
    <row r="741" spans="1:35" x14ac:dyDescent="0.25">
      <c r="A741" s="57">
        <v>736</v>
      </c>
      <c r="B741" s="57">
        <f>IF($A741="","",IF(_xlfn.XLOOKUP($A741,Korrelation!$D$4:$D$1197,Korrelation!E$4:E$1197,"-",0)="-",0,MATCH(_xlfn.XLOOKUP($A741,Korrelation!$D$4:$D$1197,Korrelation!E$4:E$1197,"",0),DMAV_Modell!$G$6:$G$677,0)))</f>
        <v>414</v>
      </c>
      <c r="C741" s="57">
        <f>IF($A741="","",IF(_xlfn.XLOOKUP($A741,Korrelation!$D$4:$D$1197,Korrelation!F$4:F$1197,"-",0)="-",0,MATCH(_xlfn.XLOOKUP($A741,Korrelation!$D$4:$D$1197,Korrelation!F$4:F$1197,"",0),DMAV_Modell!$G$6:$G$677,0)))</f>
        <v>0</v>
      </c>
      <c r="D741" s="57">
        <f>IF($A741="","",IF(_xlfn.XLOOKUP($A741,Korrelation!$D$4:$D$1197,Korrelation!G$4:G$1197,"-",0)="-",0,MATCH(_xlfn.XLOOKUP($A741,Korrelation!$D$4:$D$1197,Korrelation!G$4:G$1197,"",0),DMAV_Modell!$G$6:$G$677,0)))</f>
        <v>0</v>
      </c>
      <c r="E741" s="57">
        <f>IF($A741="","",IF(_xlfn.XLOOKUP($A741,Korrelation!$D$4:$D$1197,Korrelation!H$4:H$1197,"-",0)="-",0,MATCH(_xlfn.XLOOKUP($A741,Korrelation!$D$4:$D$1197,Korrelation!H$4:H$1197,"",0),DMAV_Dienste!$F$6:$F$140,0)))</f>
        <v>0</v>
      </c>
      <c r="F741" s="57">
        <f>IF($A741="","",IF(_xlfn.XLOOKUP($A741,Korrelation!$D$4:$D$1197,Korrelation!I$4:I$1197,"-",0)="-",0,MATCH(_xlfn.XLOOKUP($A741,Korrelation!$D$4:$D$1197,Korrelation!I$4:I$1197,"",0),DMAV_Dienste!$F$6:$F$140,0)))</f>
        <v>0</v>
      </c>
      <c r="G741" s="57">
        <f>IF($A741="","",IF(_xlfn.XLOOKUP($A741,Korrelation!$D$4:$D$1197,Korrelation!J$4:J$1197,"-",0)="-",0,MATCH(_xlfn.XLOOKUP($A741,Korrelation!$D$4:$D$1197,Korrelation!J$4:J$1197,"",0),DMAV_Dienste!$F$6:$F$140,0)))</f>
        <v>0</v>
      </c>
      <c r="H741" s="57">
        <f>IF($A741="","",IF(_xlfn.XLOOKUP($A741,Korrelation!$D$4:$D$1197,Korrelation!K$4:K$1197,"-",0)="-",0,MATCH(_xlfn.XLOOKUP($A741,Korrelation!$D$4:$D$1197,Korrelation!K$4:K$1197,"",0),'DM01-AV-CH'!$A$6:$A$834,0)))</f>
        <v>189</v>
      </c>
      <c r="J741" s="54" t="str" cm="1">
        <f t="array" aca="1" ref="J741" ca="1">IF(B741=0,IF(E741=0,"",HYPERLINK("#"&amp;RIGHT(CELL("adresse",OFFSET(DMAV_Dienste!$M$6,E741-1,0)),LEN(CELL("adresse",OFFSET(DMAV_Dienste!$M$6,E741-1,0)))-FIND("]",CELL("adresse",OFFSET(DMAV_Dienste!$M$6,E741-1,0)))),"Dienst")),HYPERLINK("#"&amp;RIGHT(CELL("adresse",OFFSET(DMAV_Modell!$N$6,B741-1,0)),LEN(CELL("adresse",OFFSET(DMAV_Modell!$N$6,B741-1,0)))-FIND("]",CELL("adresse",OFFSET(DMAV_Modell!$N$6,B741-1,0)))),"Modell"))</f>
        <v>Modell</v>
      </c>
      <c r="K741" s="61" t="str" cm="1">
        <f t="array" ref="K741">IF($B741=0,IF($E741=0,"",IF(INDEX(DMAV_Dienste!P$6:P$140,$E741)="","",INDEX(DMAV_Dienste!P$6:P$140,$E741))),IF(INDEX(DMAV_Modell!Q$6:Q$838,$B741)="","",INDEX(DMAV_Modell!Q$6:Q$838,$B741)))</f>
        <v>DOMAIN</v>
      </c>
      <c r="L741" s="62" t="str" cm="1">
        <f t="array" ref="L741">IF($B741=0,IF($E741=0,"",IF(INDEX(DMAV_Dienste!O$6:O$140,$E741)="","",INDEX(DMAV_Dienste!O$6:O$140,$E741))),IF(INDEX(DMAV_Modell!P$6:P$838,$B741)="","",INDEX(DMAV_Modell!P$6:P$838,$B741)))</f>
        <v>Bodenbedeckung</v>
      </c>
      <c r="M741" s="62" t="str" cm="1">
        <f t="array" ref="M741">IF($B741=0,IF($E741=0,"",IF(INDEX(DMAV_Dienste!Q$6:Q$140,$E741)="","",INDEX(DMAV_Dienste!Q$6:Q$140,$E741))),IF(INDEX(DMAV_Modell!R$6:R$838,$B741)="","",INDEX(DMAV_Modell!R$6:R$838,$B741)))</f>
        <v>Bodenbedeckungsart</v>
      </c>
      <c r="N741" s="62" t="str" cm="1">
        <f t="array" ref="N741">IF($B741=0,IF($E741=0,"",IF(INDEX(DMAV_Dienste!T$6:T$140,$E741)="","",INDEX(DMAV_Dienste!T$6:T$140,$E741))),IF(INDEX(DMAV_Modell!U$6:U$838,$B741)="","",INDEX(DMAV_Modell!U$6:U$838,$B741)))</f>
        <v/>
      </c>
      <c r="O741" s="63" t="str" cm="1">
        <f t="array" aca="1" ref="O741" ca="1">IF(C741=0,IF(F741=0,"",HYPERLINK("#"&amp;RIGHT(CELL("adresse",OFFSET(DMAV_Dienste!$M$6,F741-1,0)),LEN(CELL("adresse",OFFSET(DMAV_Dienste!$M$6,F741-1,0)))-FIND("]",CELL("adresse",OFFSET(DMAV_Dienste!$M$6,F741-1,0)))),"Structure")),HYPERLINK("#"&amp;RIGHT(CELL("adresse",OFFSET(DMAV_Modell!$N$6,C741-1,0)),LEN(CELL("adresse",OFFSET(DMAV_Modell!$N$6,C741-1,0)))-FIND("]",CELL("adresse",OFFSET(DMAV_Modell!$N$6,C741-1,0)))),"Structure"))</f>
        <v/>
      </c>
      <c r="P741" s="64" t="str" cm="1">
        <f t="array" aca="1" ref="P741" ca="1">IF(D741=0,IF(G741=0,"",HYPERLINK("#"&amp;RIGHT(CELL("adresse",OFFSET(DMAV_Dienste!$M$6,G741-1,0)),LEN(CELL("adresse",OFFSET(DMAV_Dienste!$M$6,G741-1,0)))-FIND("]",CELL("adresse",OFFSET(DMAV_Dienste!$M$6,G741-1,0)))),"Substructure")),HYPERLINK("#"&amp;RIGHT(CELL("adresse",OFFSET(DMAV_Modell!$N$6,D741-1,0)),LEN(CELL("adresse",OFFSET(DMAV_Modell!$N$6,D741-1,0)))-FIND("]",CELL("adresse",OFFSET(DMAV_Modell!$N$6,D741-1,0)))),"Substructure"))</f>
        <v/>
      </c>
      <c r="R741" s="80"/>
      <c r="T741" s="93"/>
      <c r="U741" s="94"/>
      <c r="V741" s="95"/>
      <c r="W741" s="96"/>
      <c r="Y741" s="85"/>
      <c r="Z741" s="86"/>
      <c r="AA741" s="87"/>
      <c r="AB741" s="88"/>
      <c r="AD741" s="77"/>
      <c r="AF741" s="54" t="str" cm="1">
        <f t="array" aca="1" ref="AF741" ca="1">IF(H741=0,"",HYPERLINK("#"&amp;RIGHT(CELL("adresse",OFFSET('DM01-AV-CH'!$G$6,H741-1,0)),LEN(CELL("adresse",OFFSET('DM01-AV-CH'!$G$6,H741-1,0)))-FIND("]",CELL("adresse",OFFSET('DM01-AV-CH'!$G$6,H741-1,0)))),"Modell"))</f>
        <v>Modell</v>
      </c>
      <c r="AG741" s="72" t="str" cm="1">
        <f t="array" ref="AG741">IF($H741=0,"",IF(INDEX('DM01-AV-CH'!G$6:G$834,$H741)="","",INDEX('DM01-AV-CH'!G$6:G$834,$H741)))</f>
        <v>Bodenbedeckung</v>
      </c>
      <c r="AH741" s="73" t="str" cm="1">
        <f t="array" ref="AH741">IF($H741=0,"",IF(INDEX('DM01-AV-CH'!H$6:H$834,$H741)="","",INDEX('DM01-AV-CH'!H$6:H$834,$H741)))</f>
        <v/>
      </c>
      <c r="AI741" s="74" t="str" cm="1">
        <f t="array" ref="AI741">IF($H741=0,"",IF(INDEX('DM01-AV-CH'!I$6:I$834,$H741)="","",INDEX('DM01-AV-CH'!I$6:I$834,$H741)))</f>
        <v>BBArt</v>
      </c>
    </row>
    <row r="742" spans="1:35" x14ac:dyDescent="0.25">
      <c r="A742" s="57">
        <v>737</v>
      </c>
      <c r="B742" s="57">
        <f>IF($A742="","",IF(_xlfn.XLOOKUP($A742,Korrelation!$D$4:$D$1197,Korrelation!E$4:E$1197,"-",0)="-",0,MATCH(_xlfn.XLOOKUP($A742,Korrelation!$D$4:$D$1197,Korrelation!E$4:E$1197,"",0),DMAV_Modell!$G$6:$G$677,0)))</f>
        <v>415</v>
      </c>
      <c r="C742" s="57">
        <f>IF($A742="","",IF(_xlfn.XLOOKUP($A742,Korrelation!$D$4:$D$1197,Korrelation!F$4:F$1197,"-",0)="-",0,MATCH(_xlfn.XLOOKUP($A742,Korrelation!$D$4:$D$1197,Korrelation!F$4:F$1197,"",0),DMAV_Modell!$G$6:$G$677,0)))</f>
        <v>0</v>
      </c>
      <c r="D742" s="57">
        <f>IF($A742="","",IF(_xlfn.XLOOKUP($A742,Korrelation!$D$4:$D$1197,Korrelation!G$4:G$1197,"-",0)="-",0,MATCH(_xlfn.XLOOKUP($A742,Korrelation!$D$4:$D$1197,Korrelation!G$4:G$1197,"",0),DMAV_Modell!$G$6:$G$677,0)))</f>
        <v>0</v>
      </c>
      <c r="E742" s="57">
        <f>IF($A742="","",IF(_xlfn.XLOOKUP($A742,Korrelation!$D$4:$D$1197,Korrelation!H$4:H$1197,"-",0)="-",0,MATCH(_xlfn.XLOOKUP($A742,Korrelation!$D$4:$D$1197,Korrelation!H$4:H$1197,"",0),DMAV_Dienste!$F$6:$F$140,0)))</f>
        <v>0</v>
      </c>
      <c r="F742" s="57">
        <f>IF($A742="","",IF(_xlfn.XLOOKUP($A742,Korrelation!$D$4:$D$1197,Korrelation!I$4:I$1197,"-",0)="-",0,MATCH(_xlfn.XLOOKUP($A742,Korrelation!$D$4:$D$1197,Korrelation!I$4:I$1197,"",0),DMAV_Dienste!$F$6:$F$140,0)))</f>
        <v>0</v>
      </c>
      <c r="G742" s="57">
        <f>IF($A742="","",IF(_xlfn.XLOOKUP($A742,Korrelation!$D$4:$D$1197,Korrelation!J$4:J$1197,"-",0)="-",0,MATCH(_xlfn.XLOOKUP($A742,Korrelation!$D$4:$D$1197,Korrelation!J$4:J$1197,"",0),DMAV_Dienste!$F$6:$F$140,0)))</f>
        <v>0</v>
      </c>
      <c r="H742" s="57">
        <f>IF($A742="","",IF(_xlfn.XLOOKUP($A742,Korrelation!$D$4:$D$1197,Korrelation!K$4:K$1197,"-",0)="-",0,MATCH(_xlfn.XLOOKUP($A742,Korrelation!$D$4:$D$1197,Korrelation!K$4:K$1197,"",0),'DM01-AV-CH'!$A$6:$A$834,0)))</f>
        <v>190</v>
      </c>
      <c r="J742" s="54" t="str" cm="1">
        <f t="array" aca="1" ref="J742" ca="1">IF(B742=0,IF(E742=0,"",HYPERLINK("#"&amp;RIGHT(CELL("adresse",OFFSET(DMAV_Dienste!$M$6,E742-1,0)),LEN(CELL("adresse",OFFSET(DMAV_Dienste!$M$6,E742-1,0)))-FIND("]",CELL("adresse",OFFSET(DMAV_Dienste!$M$6,E742-1,0)))),"Dienst")),HYPERLINK("#"&amp;RIGHT(CELL("adresse",OFFSET(DMAV_Modell!$N$6,B742-1,0)),LEN(CELL("adresse",OFFSET(DMAV_Modell!$N$6,B742-1,0)))-FIND("]",CELL("adresse",OFFSET(DMAV_Modell!$N$6,B742-1,0)))),"Modell"))</f>
        <v>Modell</v>
      </c>
      <c r="K742" s="61" t="str" cm="1">
        <f t="array" ref="K742">IF($B742=0,IF($E742=0,"",IF(INDEX(DMAV_Dienste!P$6:P$140,$E742)="","",INDEX(DMAV_Dienste!P$6:P$140,$E742))),IF(INDEX(DMAV_Modell!Q$6:Q$838,$B742)="","",INDEX(DMAV_Modell!Q$6:Q$838,$B742)))</f>
        <v>DOMAIN</v>
      </c>
      <c r="L742" s="62" t="str" cm="1">
        <f t="array" ref="L742">IF($B742=0,IF($E742=0,"",IF(INDEX(DMAV_Dienste!O$6:O$140,$E742)="","",INDEX(DMAV_Dienste!O$6:O$140,$E742))),IF(INDEX(DMAV_Modell!P$6:P$838,$B742)="","",INDEX(DMAV_Modell!P$6:P$838,$B742)))</f>
        <v>Bodenbedeckung</v>
      </c>
      <c r="M742" s="62" t="str" cm="1">
        <f t="array" ref="M742">IF($B742=0,IF($E742=0,"",IF(INDEX(DMAV_Dienste!Q$6:Q$140,$E742)="","",INDEX(DMAV_Dienste!Q$6:Q$140,$E742))),IF(INDEX(DMAV_Modell!R$6:R$838,$B742)="","",INDEX(DMAV_Modell!R$6:R$838,$B742)))</f>
        <v>Bodenbedeckungsart</v>
      </c>
      <c r="N742" s="62" t="str" cm="1">
        <f t="array" ref="N742">IF($B742=0,IF($E742=0,"",IF(INDEX(DMAV_Dienste!T$6:T$140,$E742)="","",INDEX(DMAV_Dienste!T$6:T$140,$E742))),IF(INDEX(DMAV_Modell!U$6:U$838,$B742)="","",INDEX(DMAV_Modell!U$6:U$838,$B742)))</f>
        <v/>
      </c>
      <c r="O742" s="63" t="str" cm="1">
        <f t="array" aca="1" ref="O742" ca="1">IF(C742=0,IF(F742=0,"",HYPERLINK("#"&amp;RIGHT(CELL("adresse",OFFSET(DMAV_Dienste!$M$6,F742-1,0)),LEN(CELL("adresse",OFFSET(DMAV_Dienste!$M$6,F742-1,0)))-FIND("]",CELL("adresse",OFFSET(DMAV_Dienste!$M$6,F742-1,0)))),"Structure")),HYPERLINK("#"&amp;RIGHT(CELL("adresse",OFFSET(DMAV_Modell!$N$6,C742-1,0)),LEN(CELL("adresse",OFFSET(DMAV_Modell!$N$6,C742-1,0)))-FIND("]",CELL("adresse",OFFSET(DMAV_Modell!$N$6,C742-1,0)))),"Structure"))</f>
        <v/>
      </c>
      <c r="P742" s="64" t="str" cm="1">
        <f t="array" aca="1" ref="P742" ca="1">IF(D742=0,IF(G742=0,"",HYPERLINK("#"&amp;RIGHT(CELL("adresse",OFFSET(DMAV_Dienste!$M$6,G742-1,0)),LEN(CELL("adresse",OFFSET(DMAV_Dienste!$M$6,G742-1,0)))-FIND("]",CELL("adresse",OFFSET(DMAV_Dienste!$M$6,G742-1,0)))),"Substructure")),HYPERLINK("#"&amp;RIGHT(CELL("adresse",OFFSET(DMAV_Modell!$N$6,D742-1,0)),LEN(CELL("adresse",OFFSET(DMAV_Modell!$N$6,D742-1,0)))-FIND("]",CELL("adresse",OFFSET(DMAV_Modell!$N$6,D742-1,0)))),"Substructure"))</f>
        <v/>
      </c>
      <c r="R742" s="80"/>
      <c r="T742" s="93"/>
      <c r="U742" s="94"/>
      <c r="V742" s="95"/>
      <c r="W742" s="96"/>
      <c r="Y742" s="85"/>
      <c r="Z742" s="86"/>
      <c r="AA742" s="87"/>
      <c r="AB742" s="88"/>
      <c r="AD742" s="77"/>
      <c r="AF742" s="54" t="str" cm="1">
        <f t="array" aca="1" ref="AF742" ca="1">IF(H742=0,"",HYPERLINK("#"&amp;RIGHT(CELL("adresse",OFFSET('DM01-AV-CH'!$G$6,H742-1,0)),LEN(CELL("adresse",OFFSET('DM01-AV-CH'!$G$6,H742-1,0)))-FIND("]",CELL("adresse",OFFSET('DM01-AV-CH'!$G$6,H742-1,0)))),"Modell"))</f>
        <v>Modell</v>
      </c>
      <c r="AG742" s="72" t="str" cm="1">
        <f t="array" ref="AG742">IF($H742=0,"",IF(INDEX('DM01-AV-CH'!G$6:G$834,$H742)="","",INDEX('DM01-AV-CH'!G$6:G$834,$H742)))</f>
        <v>Bodenbedeckung</v>
      </c>
      <c r="AH742" s="73" t="str" cm="1">
        <f t="array" ref="AH742">IF($H742=0,"",IF(INDEX('DM01-AV-CH'!H$6:H$834,$H742)="","",INDEX('DM01-AV-CH'!H$6:H$834,$H742)))</f>
        <v/>
      </c>
      <c r="AI742" s="74" t="str" cm="1">
        <f t="array" ref="AI742">IF($H742=0,"",IF(INDEX('DM01-AV-CH'!I$6:I$834,$H742)="","",INDEX('DM01-AV-CH'!I$6:I$834,$H742)))</f>
        <v>BBArt</v>
      </c>
    </row>
    <row r="743" spans="1:35" x14ac:dyDescent="0.25">
      <c r="A743" s="57">
        <v>738</v>
      </c>
      <c r="B743" s="57">
        <f>IF($A743="","",IF(_xlfn.XLOOKUP($A743,Korrelation!$D$4:$D$1197,Korrelation!E$4:E$1197,"-",0)="-",0,MATCH(_xlfn.XLOOKUP($A743,Korrelation!$D$4:$D$1197,Korrelation!E$4:E$1197,"",0),DMAV_Modell!$G$6:$G$677,0)))</f>
        <v>416</v>
      </c>
      <c r="C743" s="57">
        <f>IF($A743="","",IF(_xlfn.XLOOKUP($A743,Korrelation!$D$4:$D$1197,Korrelation!F$4:F$1197,"-",0)="-",0,MATCH(_xlfn.XLOOKUP($A743,Korrelation!$D$4:$D$1197,Korrelation!F$4:F$1197,"",0),DMAV_Modell!$G$6:$G$677,0)))</f>
        <v>0</v>
      </c>
      <c r="D743" s="57">
        <f>IF($A743="","",IF(_xlfn.XLOOKUP($A743,Korrelation!$D$4:$D$1197,Korrelation!G$4:G$1197,"-",0)="-",0,MATCH(_xlfn.XLOOKUP($A743,Korrelation!$D$4:$D$1197,Korrelation!G$4:G$1197,"",0),DMAV_Modell!$G$6:$G$677,0)))</f>
        <v>0</v>
      </c>
      <c r="E743" s="57">
        <f>IF($A743="","",IF(_xlfn.XLOOKUP($A743,Korrelation!$D$4:$D$1197,Korrelation!H$4:H$1197,"-",0)="-",0,MATCH(_xlfn.XLOOKUP($A743,Korrelation!$D$4:$D$1197,Korrelation!H$4:H$1197,"",0),DMAV_Dienste!$F$6:$F$140,0)))</f>
        <v>0</v>
      </c>
      <c r="F743" s="57">
        <f>IF($A743="","",IF(_xlfn.XLOOKUP($A743,Korrelation!$D$4:$D$1197,Korrelation!I$4:I$1197,"-",0)="-",0,MATCH(_xlfn.XLOOKUP($A743,Korrelation!$D$4:$D$1197,Korrelation!I$4:I$1197,"",0),DMAV_Dienste!$F$6:$F$140,0)))</f>
        <v>0</v>
      </c>
      <c r="G743" s="57">
        <f>IF($A743="","",IF(_xlfn.XLOOKUP($A743,Korrelation!$D$4:$D$1197,Korrelation!J$4:J$1197,"-",0)="-",0,MATCH(_xlfn.XLOOKUP($A743,Korrelation!$D$4:$D$1197,Korrelation!J$4:J$1197,"",0),DMAV_Dienste!$F$6:$F$140,0)))</f>
        <v>0</v>
      </c>
      <c r="H743" s="57">
        <f>IF($A743="","",IF(_xlfn.XLOOKUP($A743,Korrelation!$D$4:$D$1197,Korrelation!K$4:K$1197,"-",0)="-",0,MATCH(_xlfn.XLOOKUP($A743,Korrelation!$D$4:$D$1197,Korrelation!K$4:K$1197,"",0),'DM01-AV-CH'!$A$6:$A$834,0)))</f>
        <v>191</v>
      </c>
      <c r="J743" s="54" t="str" cm="1">
        <f t="array" aca="1" ref="J743" ca="1">IF(B743=0,IF(E743=0,"",HYPERLINK("#"&amp;RIGHT(CELL("adresse",OFFSET(DMAV_Dienste!$M$6,E743-1,0)),LEN(CELL("adresse",OFFSET(DMAV_Dienste!$M$6,E743-1,0)))-FIND("]",CELL("adresse",OFFSET(DMAV_Dienste!$M$6,E743-1,0)))),"Dienst")),HYPERLINK("#"&amp;RIGHT(CELL("adresse",OFFSET(DMAV_Modell!$N$6,B743-1,0)),LEN(CELL("adresse",OFFSET(DMAV_Modell!$N$6,B743-1,0)))-FIND("]",CELL("adresse",OFFSET(DMAV_Modell!$N$6,B743-1,0)))),"Modell"))</f>
        <v>Modell</v>
      </c>
      <c r="K743" s="61" t="str" cm="1">
        <f t="array" ref="K743">IF($B743=0,IF($E743=0,"",IF(INDEX(DMAV_Dienste!P$6:P$140,$E743)="","",INDEX(DMAV_Dienste!P$6:P$140,$E743))),IF(INDEX(DMAV_Modell!Q$6:Q$838,$B743)="","",INDEX(DMAV_Modell!Q$6:Q$838,$B743)))</f>
        <v>DOMAIN</v>
      </c>
      <c r="L743" s="62" t="str" cm="1">
        <f t="array" ref="L743">IF($B743=0,IF($E743=0,"",IF(INDEX(DMAV_Dienste!O$6:O$140,$E743)="","",INDEX(DMAV_Dienste!O$6:O$140,$E743))),IF(INDEX(DMAV_Modell!P$6:P$838,$B743)="","",INDEX(DMAV_Modell!P$6:P$838,$B743)))</f>
        <v>Bodenbedeckung</v>
      </c>
      <c r="M743" s="62" t="str" cm="1">
        <f t="array" ref="M743">IF($B743=0,IF($E743=0,"",IF(INDEX(DMAV_Dienste!Q$6:Q$140,$E743)="","",INDEX(DMAV_Dienste!Q$6:Q$140,$E743))),IF(INDEX(DMAV_Modell!R$6:R$838,$B743)="","",INDEX(DMAV_Modell!R$6:R$838,$B743)))</f>
        <v>Bodenbedeckungsart</v>
      </c>
      <c r="N743" s="62" t="str" cm="1">
        <f t="array" ref="N743">IF($B743=0,IF($E743=0,"",IF(INDEX(DMAV_Dienste!T$6:T$140,$E743)="","",INDEX(DMAV_Dienste!T$6:T$140,$E743))),IF(INDEX(DMAV_Modell!U$6:U$838,$B743)="","",INDEX(DMAV_Modell!U$6:U$838,$B743)))</f>
        <v/>
      </c>
      <c r="O743" s="63" t="str" cm="1">
        <f t="array" aca="1" ref="O743" ca="1">IF(C743=0,IF(F743=0,"",HYPERLINK("#"&amp;RIGHT(CELL("adresse",OFFSET(DMAV_Dienste!$M$6,F743-1,0)),LEN(CELL("adresse",OFFSET(DMAV_Dienste!$M$6,F743-1,0)))-FIND("]",CELL("adresse",OFFSET(DMAV_Dienste!$M$6,F743-1,0)))),"Structure")),HYPERLINK("#"&amp;RIGHT(CELL("adresse",OFFSET(DMAV_Modell!$N$6,C743-1,0)),LEN(CELL("adresse",OFFSET(DMAV_Modell!$N$6,C743-1,0)))-FIND("]",CELL("adresse",OFFSET(DMAV_Modell!$N$6,C743-1,0)))),"Structure"))</f>
        <v/>
      </c>
      <c r="P743" s="64" t="str" cm="1">
        <f t="array" aca="1" ref="P743" ca="1">IF(D743=0,IF(G743=0,"",HYPERLINK("#"&amp;RIGHT(CELL("adresse",OFFSET(DMAV_Dienste!$M$6,G743-1,0)),LEN(CELL("adresse",OFFSET(DMAV_Dienste!$M$6,G743-1,0)))-FIND("]",CELL("adresse",OFFSET(DMAV_Dienste!$M$6,G743-1,0)))),"Substructure")),HYPERLINK("#"&amp;RIGHT(CELL("adresse",OFFSET(DMAV_Modell!$N$6,D743-1,0)),LEN(CELL("adresse",OFFSET(DMAV_Modell!$N$6,D743-1,0)))-FIND("]",CELL("adresse",OFFSET(DMAV_Modell!$N$6,D743-1,0)))),"Substructure"))</f>
        <v/>
      </c>
      <c r="R743" s="80"/>
      <c r="T743" s="93"/>
      <c r="U743" s="94"/>
      <c r="V743" s="95"/>
      <c r="W743" s="96"/>
      <c r="Y743" s="85"/>
      <c r="Z743" s="86"/>
      <c r="AA743" s="87"/>
      <c r="AB743" s="88"/>
      <c r="AD743" s="77"/>
      <c r="AF743" s="54" t="str" cm="1">
        <f t="array" aca="1" ref="AF743" ca="1">IF(H743=0,"",HYPERLINK("#"&amp;RIGHT(CELL("adresse",OFFSET('DM01-AV-CH'!$G$6,H743-1,0)),LEN(CELL("adresse",OFFSET('DM01-AV-CH'!$G$6,H743-1,0)))-FIND("]",CELL("adresse",OFFSET('DM01-AV-CH'!$G$6,H743-1,0)))),"Modell"))</f>
        <v>Modell</v>
      </c>
      <c r="AG743" s="72" t="str" cm="1">
        <f t="array" ref="AG743">IF($H743=0,"",IF(INDEX('DM01-AV-CH'!G$6:G$834,$H743)="","",INDEX('DM01-AV-CH'!G$6:G$834,$H743)))</f>
        <v>Bodenbedeckung</v>
      </c>
      <c r="AH743" s="73" t="str" cm="1">
        <f t="array" ref="AH743">IF($H743=0,"",IF(INDEX('DM01-AV-CH'!H$6:H$834,$H743)="","",INDEX('DM01-AV-CH'!H$6:H$834,$H743)))</f>
        <v/>
      </c>
      <c r="AI743" s="74" t="str" cm="1">
        <f t="array" ref="AI743">IF($H743=0,"",IF(INDEX('DM01-AV-CH'!I$6:I$834,$H743)="","",INDEX('DM01-AV-CH'!I$6:I$834,$H743)))</f>
        <v>BBArt</v>
      </c>
    </row>
    <row r="744" spans="1:35" x14ac:dyDescent="0.25">
      <c r="A744" s="57">
        <v>739</v>
      </c>
      <c r="B744" s="57">
        <f>IF($A744="","",IF(_xlfn.XLOOKUP($A744,Korrelation!$D$4:$D$1197,Korrelation!E$4:E$1197,"-",0)="-",0,MATCH(_xlfn.XLOOKUP($A744,Korrelation!$D$4:$D$1197,Korrelation!E$4:E$1197,"",0),DMAV_Modell!$G$6:$G$677,0)))</f>
        <v>417</v>
      </c>
      <c r="C744" s="57">
        <f>IF($A744="","",IF(_xlfn.XLOOKUP($A744,Korrelation!$D$4:$D$1197,Korrelation!F$4:F$1197,"-",0)="-",0,MATCH(_xlfn.XLOOKUP($A744,Korrelation!$D$4:$D$1197,Korrelation!F$4:F$1197,"",0),DMAV_Modell!$G$6:$G$677,0)))</f>
        <v>0</v>
      </c>
      <c r="D744" s="57">
        <f>IF($A744="","",IF(_xlfn.XLOOKUP($A744,Korrelation!$D$4:$D$1197,Korrelation!G$4:G$1197,"-",0)="-",0,MATCH(_xlfn.XLOOKUP($A744,Korrelation!$D$4:$D$1197,Korrelation!G$4:G$1197,"",0),DMAV_Modell!$G$6:$G$677,0)))</f>
        <v>0</v>
      </c>
      <c r="E744" s="57">
        <f>IF($A744="","",IF(_xlfn.XLOOKUP($A744,Korrelation!$D$4:$D$1197,Korrelation!H$4:H$1197,"-",0)="-",0,MATCH(_xlfn.XLOOKUP($A744,Korrelation!$D$4:$D$1197,Korrelation!H$4:H$1197,"",0),DMAV_Dienste!$F$6:$F$140,0)))</f>
        <v>0</v>
      </c>
      <c r="F744" s="57">
        <f>IF($A744="","",IF(_xlfn.XLOOKUP($A744,Korrelation!$D$4:$D$1197,Korrelation!I$4:I$1197,"-",0)="-",0,MATCH(_xlfn.XLOOKUP($A744,Korrelation!$D$4:$D$1197,Korrelation!I$4:I$1197,"",0),DMAV_Dienste!$F$6:$F$140,0)))</f>
        <v>0</v>
      </c>
      <c r="G744" s="57">
        <f>IF($A744="","",IF(_xlfn.XLOOKUP($A744,Korrelation!$D$4:$D$1197,Korrelation!J$4:J$1197,"-",0)="-",0,MATCH(_xlfn.XLOOKUP($A744,Korrelation!$D$4:$D$1197,Korrelation!J$4:J$1197,"",0),DMAV_Dienste!$F$6:$F$140,0)))</f>
        <v>0</v>
      </c>
      <c r="H744" s="57">
        <f>IF($A744="","",IF(_xlfn.XLOOKUP($A744,Korrelation!$D$4:$D$1197,Korrelation!K$4:K$1197,"-",0)="-",0,MATCH(_xlfn.XLOOKUP($A744,Korrelation!$D$4:$D$1197,Korrelation!K$4:K$1197,"",0),'DM01-AV-CH'!$A$6:$A$834,0)))</f>
        <v>192</v>
      </c>
      <c r="J744" s="54" t="str" cm="1">
        <f t="array" aca="1" ref="J744" ca="1">IF(B744=0,IF(E744=0,"",HYPERLINK("#"&amp;RIGHT(CELL("adresse",OFFSET(DMAV_Dienste!$M$6,E744-1,0)),LEN(CELL("adresse",OFFSET(DMAV_Dienste!$M$6,E744-1,0)))-FIND("]",CELL("adresse",OFFSET(DMAV_Dienste!$M$6,E744-1,0)))),"Dienst")),HYPERLINK("#"&amp;RIGHT(CELL("adresse",OFFSET(DMAV_Modell!$N$6,B744-1,0)),LEN(CELL("adresse",OFFSET(DMAV_Modell!$N$6,B744-1,0)))-FIND("]",CELL("adresse",OFFSET(DMAV_Modell!$N$6,B744-1,0)))),"Modell"))</f>
        <v>Modell</v>
      </c>
      <c r="K744" s="61" t="str" cm="1">
        <f t="array" ref="K744">IF($B744=0,IF($E744=0,"",IF(INDEX(DMAV_Dienste!P$6:P$140,$E744)="","",INDEX(DMAV_Dienste!P$6:P$140,$E744))),IF(INDEX(DMAV_Modell!Q$6:Q$838,$B744)="","",INDEX(DMAV_Modell!Q$6:Q$838,$B744)))</f>
        <v>DOMAIN</v>
      </c>
      <c r="L744" s="62" t="str" cm="1">
        <f t="array" ref="L744">IF($B744=0,IF($E744=0,"",IF(INDEX(DMAV_Dienste!O$6:O$140,$E744)="","",INDEX(DMAV_Dienste!O$6:O$140,$E744))),IF(INDEX(DMAV_Modell!P$6:P$838,$B744)="","",INDEX(DMAV_Modell!P$6:P$838,$B744)))</f>
        <v>Bodenbedeckung</v>
      </c>
      <c r="M744" s="62" t="str" cm="1">
        <f t="array" ref="M744">IF($B744=0,IF($E744=0,"",IF(INDEX(DMAV_Dienste!Q$6:Q$140,$E744)="","",INDEX(DMAV_Dienste!Q$6:Q$140,$E744))),IF(INDEX(DMAV_Modell!R$6:R$838,$B744)="","",INDEX(DMAV_Modell!R$6:R$838,$B744)))</f>
        <v>Bodenbedeckungsart</v>
      </c>
      <c r="N744" s="62" t="str" cm="1">
        <f t="array" ref="N744">IF($B744=0,IF($E744=0,"",IF(INDEX(DMAV_Dienste!T$6:T$140,$E744)="","",INDEX(DMAV_Dienste!T$6:T$140,$E744))),IF(INDEX(DMAV_Modell!U$6:U$838,$B744)="","",INDEX(DMAV_Modell!U$6:U$838,$B744)))</f>
        <v/>
      </c>
      <c r="O744" s="63" t="str" cm="1">
        <f t="array" aca="1" ref="O744" ca="1">IF(C744=0,IF(F744=0,"",HYPERLINK("#"&amp;RIGHT(CELL("adresse",OFFSET(DMAV_Dienste!$M$6,F744-1,0)),LEN(CELL("adresse",OFFSET(DMAV_Dienste!$M$6,F744-1,0)))-FIND("]",CELL("adresse",OFFSET(DMAV_Dienste!$M$6,F744-1,0)))),"Structure")),HYPERLINK("#"&amp;RIGHT(CELL("adresse",OFFSET(DMAV_Modell!$N$6,C744-1,0)),LEN(CELL("adresse",OFFSET(DMAV_Modell!$N$6,C744-1,0)))-FIND("]",CELL("adresse",OFFSET(DMAV_Modell!$N$6,C744-1,0)))),"Structure"))</f>
        <v/>
      </c>
      <c r="P744" s="64" t="str" cm="1">
        <f t="array" aca="1" ref="P744" ca="1">IF(D744=0,IF(G744=0,"",HYPERLINK("#"&amp;RIGHT(CELL("adresse",OFFSET(DMAV_Dienste!$M$6,G744-1,0)),LEN(CELL("adresse",OFFSET(DMAV_Dienste!$M$6,G744-1,0)))-FIND("]",CELL("adresse",OFFSET(DMAV_Dienste!$M$6,G744-1,0)))),"Substructure")),HYPERLINK("#"&amp;RIGHT(CELL("adresse",OFFSET(DMAV_Modell!$N$6,D744-1,0)),LEN(CELL("adresse",OFFSET(DMAV_Modell!$N$6,D744-1,0)))-FIND("]",CELL("adresse",OFFSET(DMAV_Modell!$N$6,D744-1,0)))),"Substructure"))</f>
        <v/>
      </c>
      <c r="R744" s="80"/>
      <c r="T744" s="93"/>
      <c r="U744" s="94"/>
      <c r="V744" s="95"/>
      <c r="W744" s="96"/>
      <c r="Y744" s="85"/>
      <c r="Z744" s="86"/>
      <c r="AA744" s="87"/>
      <c r="AB744" s="88"/>
      <c r="AD744" s="77"/>
      <c r="AF744" s="54" t="str" cm="1">
        <f t="array" aca="1" ref="AF744" ca="1">IF(H744=0,"",HYPERLINK("#"&amp;RIGHT(CELL("adresse",OFFSET('DM01-AV-CH'!$G$6,H744-1,0)),LEN(CELL("adresse",OFFSET('DM01-AV-CH'!$G$6,H744-1,0)))-FIND("]",CELL("adresse",OFFSET('DM01-AV-CH'!$G$6,H744-1,0)))),"Modell"))</f>
        <v>Modell</v>
      </c>
      <c r="AG744" s="72" t="str" cm="1">
        <f t="array" ref="AG744">IF($H744=0,"",IF(INDEX('DM01-AV-CH'!G$6:G$834,$H744)="","",INDEX('DM01-AV-CH'!G$6:G$834,$H744)))</f>
        <v>Bodenbedeckung</v>
      </c>
      <c r="AH744" s="73" t="str" cm="1">
        <f t="array" ref="AH744">IF($H744=0,"",IF(INDEX('DM01-AV-CH'!H$6:H$834,$H744)="","",INDEX('DM01-AV-CH'!H$6:H$834,$H744)))</f>
        <v/>
      </c>
      <c r="AI744" s="74" t="str" cm="1">
        <f t="array" ref="AI744">IF($H744=0,"",IF(INDEX('DM01-AV-CH'!I$6:I$834,$H744)="","",INDEX('DM01-AV-CH'!I$6:I$834,$H744)))</f>
        <v>BBArt</v>
      </c>
    </row>
    <row r="745" spans="1:35" x14ac:dyDescent="0.25">
      <c r="A745" s="57">
        <v>740</v>
      </c>
      <c r="B745" s="57">
        <f>IF($A745="","",IF(_xlfn.XLOOKUP($A745,Korrelation!$D$4:$D$1197,Korrelation!E$4:E$1197,"-",0)="-",0,MATCH(_xlfn.XLOOKUP($A745,Korrelation!$D$4:$D$1197,Korrelation!E$4:E$1197,"",0),DMAV_Modell!$G$6:$G$677,0)))</f>
        <v>418</v>
      </c>
      <c r="C745" s="57">
        <f>IF($A745="","",IF(_xlfn.XLOOKUP($A745,Korrelation!$D$4:$D$1197,Korrelation!F$4:F$1197,"-",0)="-",0,MATCH(_xlfn.XLOOKUP($A745,Korrelation!$D$4:$D$1197,Korrelation!F$4:F$1197,"",0),DMAV_Modell!$G$6:$G$677,0)))</f>
        <v>0</v>
      </c>
      <c r="D745" s="57">
        <f>IF($A745="","",IF(_xlfn.XLOOKUP($A745,Korrelation!$D$4:$D$1197,Korrelation!G$4:G$1197,"-",0)="-",0,MATCH(_xlfn.XLOOKUP($A745,Korrelation!$D$4:$D$1197,Korrelation!G$4:G$1197,"",0),DMAV_Modell!$G$6:$G$677,0)))</f>
        <v>0</v>
      </c>
      <c r="E745" s="57">
        <f>IF($A745="","",IF(_xlfn.XLOOKUP($A745,Korrelation!$D$4:$D$1197,Korrelation!H$4:H$1197,"-",0)="-",0,MATCH(_xlfn.XLOOKUP($A745,Korrelation!$D$4:$D$1197,Korrelation!H$4:H$1197,"",0),DMAV_Dienste!$F$6:$F$140,0)))</f>
        <v>0</v>
      </c>
      <c r="F745" s="57">
        <f>IF($A745="","",IF(_xlfn.XLOOKUP($A745,Korrelation!$D$4:$D$1197,Korrelation!I$4:I$1197,"-",0)="-",0,MATCH(_xlfn.XLOOKUP($A745,Korrelation!$D$4:$D$1197,Korrelation!I$4:I$1197,"",0),DMAV_Dienste!$F$6:$F$140,0)))</f>
        <v>0</v>
      </c>
      <c r="G745" s="57">
        <f>IF($A745="","",IF(_xlfn.XLOOKUP($A745,Korrelation!$D$4:$D$1197,Korrelation!J$4:J$1197,"-",0)="-",0,MATCH(_xlfn.XLOOKUP($A745,Korrelation!$D$4:$D$1197,Korrelation!J$4:J$1197,"",0),DMAV_Dienste!$F$6:$F$140,0)))</f>
        <v>0</v>
      </c>
      <c r="H745" s="57">
        <f>IF($A745="","",IF(_xlfn.XLOOKUP($A745,Korrelation!$D$4:$D$1197,Korrelation!K$4:K$1197,"-",0)="-",0,MATCH(_xlfn.XLOOKUP($A745,Korrelation!$D$4:$D$1197,Korrelation!K$4:K$1197,"",0),'DM01-AV-CH'!$A$6:$A$834,0)))</f>
        <v>193</v>
      </c>
      <c r="J745" s="54" t="str" cm="1">
        <f t="array" aca="1" ref="J745" ca="1">IF(B745=0,IF(E745=0,"",HYPERLINK("#"&amp;RIGHT(CELL("adresse",OFFSET(DMAV_Dienste!$M$6,E745-1,0)),LEN(CELL("adresse",OFFSET(DMAV_Dienste!$M$6,E745-1,0)))-FIND("]",CELL("adresse",OFFSET(DMAV_Dienste!$M$6,E745-1,0)))),"Dienst")),HYPERLINK("#"&amp;RIGHT(CELL("adresse",OFFSET(DMAV_Modell!$N$6,B745-1,0)),LEN(CELL("adresse",OFFSET(DMAV_Modell!$N$6,B745-1,0)))-FIND("]",CELL("adresse",OFFSET(DMAV_Modell!$N$6,B745-1,0)))),"Modell"))</f>
        <v>Modell</v>
      </c>
      <c r="K745" s="61" t="str" cm="1">
        <f t="array" ref="K745">IF($B745=0,IF($E745=0,"",IF(INDEX(DMAV_Dienste!P$6:P$140,$E745)="","",INDEX(DMAV_Dienste!P$6:P$140,$E745))),IF(INDEX(DMAV_Modell!Q$6:Q$838,$B745)="","",INDEX(DMAV_Modell!Q$6:Q$838,$B745)))</f>
        <v>DOMAIN</v>
      </c>
      <c r="L745" s="62" t="str" cm="1">
        <f t="array" ref="L745">IF($B745=0,IF($E745=0,"",IF(INDEX(DMAV_Dienste!O$6:O$140,$E745)="","",INDEX(DMAV_Dienste!O$6:O$140,$E745))),IF(INDEX(DMAV_Modell!P$6:P$838,$B745)="","",INDEX(DMAV_Modell!P$6:P$838,$B745)))</f>
        <v>Bodenbedeckung</v>
      </c>
      <c r="M745" s="62" t="str" cm="1">
        <f t="array" ref="M745">IF($B745=0,IF($E745=0,"",IF(INDEX(DMAV_Dienste!Q$6:Q$140,$E745)="","",INDEX(DMAV_Dienste!Q$6:Q$140,$E745))),IF(INDEX(DMAV_Modell!R$6:R$838,$B745)="","",INDEX(DMAV_Modell!R$6:R$838,$B745)))</f>
        <v>Bodenbedeckungsart</v>
      </c>
      <c r="N745" s="62" t="str" cm="1">
        <f t="array" ref="N745">IF($B745=0,IF($E745=0,"",IF(INDEX(DMAV_Dienste!T$6:T$140,$E745)="","",INDEX(DMAV_Dienste!T$6:T$140,$E745))),IF(INDEX(DMAV_Modell!U$6:U$838,$B745)="","",INDEX(DMAV_Modell!U$6:U$838,$B745)))</f>
        <v/>
      </c>
      <c r="O745" s="63" t="str" cm="1">
        <f t="array" aca="1" ref="O745" ca="1">IF(C745=0,IF(F745=0,"",HYPERLINK("#"&amp;RIGHT(CELL("adresse",OFFSET(DMAV_Dienste!$M$6,F745-1,0)),LEN(CELL("adresse",OFFSET(DMAV_Dienste!$M$6,F745-1,0)))-FIND("]",CELL("adresse",OFFSET(DMAV_Dienste!$M$6,F745-1,0)))),"Structure")),HYPERLINK("#"&amp;RIGHT(CELL("adresse",OFFSET(DMAV_Modell!$N$6,C745-1,0)),LEN(CELL("adresse",OFFSET(DMAV_Modell!$N$6,C745-1,0)))-FIND("]",CELL("adresse",OFFSET(DMAV_Modell!$N$6,C745-1,0)))),"Structure"))</f>
        <v/>
      </c>
      <c r="P745" s="64" t="str" cm="1">
        <f t="array" aca="1" ref="P745" ca="1">IF(D745=0,IF(G745=0,"",HYPERLINK("#"&amp;RIGHT(CELL("adresse",OFFSET(DMAV_Dienste!$M$6,G745-1,0)),LEN(CELL("adresse",OFFSET(DMAV_Dienste!$M$6,G745-1,0)))-FIND("]",CELL("adresse",OFFSET(DMAV_Dienste!$M$6,G745-1,0)))),"Substructure")),HYPERLINK("#"&amp;RIGHT(CELL("adresse",OFFSET(DMAV_Modell!$N$6,D745-1,0)),LEN(CELL("adresse",OFFSET(DMAV_Modell!$N$6,D745-1,0)))-FIND("]",CELL("adresse",OFFSET(DMAV_Modell!$N$6,D745-1,0)))),"Substructure"))</f>
        <v/>
      </c>
      <c r="R745" s="80"/>
      <c r="T745" s="93"/>
      <c r="U745" s="94"/>
      <c r="V745" s="95"/>
      <c r="W745" s="96"/>
      <c r="Y745" s="85"/>
      <c r="Z745" s="86"/>
      <c r="AA745" s="87"/>
      <c r="AB745" s="88"/>
      <c r="AD745" s="77"/>
      <c r="AF745" s="54" t="str" cm="1">
        <f t="array" aca="1" ref="AF745" ca="1">IF(H745=0,"",HYPERLINK("#"&amp;RIGHT(CELL("adresse",OFFSET('DM01-AV-CH'!$G$6,H745-1,0)),LEN(CELL("adresse",OFFSET('DM01-AV-CH'!$G$6,H745-1,0)))-FIND("]",CELL("adresse",OFFSET('DM01-AV-CH'!$G$6,H745-1,0)))),"Modell"))</f>
        <v>Modell</v>
      </c>
      <c r="AG745" s="72" t="str" cm="1">
        <f t="array" ref="AG745">IF($H745=0,"",IF(INDEX('DM01-AV-CH'!G$6:G$834,$H745)="","",INDEX('DM01-AV-CH'!G$6:G$834,$H745)))</f>
        <v>Bodenbedeckung</v>
      </c>
      <c r="AH745" s="73" t="str" cm="1">
        <f t="array" ref="AH745">IF($H745=0,"",IF(INDEX('DM01-AV-CH'!H$6:H$834,$H745)="","",INDEX('DM01-AV-CH'!H$6:H$834,$H745)))</f>
        <v/>
      </c>
      <c r="AI745" s="74" t="str" cm="1">
        <f t="array" ref="AI745">IF($H745=0,"",IF(INDEX('DM01-AV-CH'!I$6:I$834,$H745)="","",INDEX('DM01-AV-CH'!I$6:I$834,$H745)))</f>
        <v>BBArt</v>
      </c>
    </row>
    <row r="746" spans="1:35" x14ac:dyDescent="0.25">
      <c r="A746" s="57">
        <v>741</v>
      </c>
      <c r="B746" s="57">
        <f>IF($A746="","",IF(_xlfn.XLOOKUP($A746,Korrelation!$D$4:$D$1197,Korrelation!E$4:E$1197,"-",0)="-",0,MATCH(_xlfn.XLOOKUP($A746,Korrelation!$D$4:$D$1197,Korrelation!E$4:E$1197,"",0),DMAV_Modell!$G$6:$G$677,0)))</f>
        <v>419</v>
      </c>
      <c r="C746" s="57">
        <f>IF($A746="","",IF(_xlfn.XLOOKUP($A746,Korrelation!$D$4:$D$1197,Korrelation!F$4:F$1197,"-",0)="-",0,MATCH(_xlfn.XLOOKUP($A746,Korrelation!$D$4:$D$1197,Korrelation!F$4:F$1197,"",0),DMAV_Modell!$G$6:$G$677,0)))</f>
        <v>0</v>
      </c>
      <c r="D746" s="57">
        <f>IF($A746="","",IF(_xlfn.XLOOKUP($A746,Korrelation!$D$4:$D$1197,Korrelation!G$4:G$1197,"-",0)="-",0,MATCH(_xlfn.XLOOKUP($A746,Korrelation!$D$4:$D$1197,Korrelation!G$4:G$1197,"",0),DMAV_Modell!$G$6:$G$677,0)))</f>
        <v>0</v>
      </c>
      <c r="E746" s="57">
        <f>IF($A746="","",IF(_xlfn.XLOOKUP($A746,Korrelation!$D$4:$D$1197,Korrelation!H$4:H$1197,"-",0)="-",0,MATCH(_xlfn.XLOOKUP($A746,Korrelation!$D$4:$D$1197,Korrelation!H$4:H$1197,"",0),DMAV_Dienste!$F$6:$F$140,0)))</f>
        <v>0</v>
      </c>
      <c r="F746" s="57">
        <f>IF($A746="","",IF(_xlfn.XLOOKUP($A746,Korrelation!$D$4:$D$1197,Korrelation!I$4:I$1197,"-",0)="-",0,MATCH(_xlfn.XLOOKUP($A746,Korrelation!$D$4:$D$1197,Korrelation!I$4:I$1197,"",0),DMAV_Dienste!$F$6:$F$140,0)))</f>
        <v>0</v>
      </c>
      <c r="G746" s="57">
        <f>IF($A746="","",IF(_xlfn.XLOOKUP($A746,Korrelation!$D$4:$D$1197,Korrelation!J$4:J$1197,"-",0)="-",0,MATCH(_xlfn.XLOOKUP($A746,Korrelation!$D$4:$D$1197,Korrelation!J$4:J$1197,"",0),DMAV_Dienste!$F$6:$F$140,0)))</f>
        <v>0</v>
      </c>
      <c r="H746" s="57">
        <f>IF($A746="","",IF(_xlfn.XLOOKUP($A746,Korrelation!$D$4:$D$1197,Korrelation!K$4:K$1197,"-",0)="-",0,MATCH(_xlfn.XLOOKUP($A746,Korrelation!$D$4:$D$1197,Korrelation!K$4:K$1197,"",0),'DM01-AV-CH'!$A$6:$A$834,0)))</f>
        <v>194</v>
      </c>
      <c r="J746" s="54" t="str" cm="1">
        <f t="array" aca="1" ref="J746" ca="1">IF(B746=0,IF(E746=0,"",HYPERLINK("#"&amp;RIGHT(CELL("adresse",OFFSET(DMAV_Dienste!$M$6,E746-1,0)),LEN(CELL("adresse",OFFSET(DMAV_Dienste!$M$6,E746-1,0)))-FIND("]",CELL("adresse",OFFSET(DMAV_Dienste!$M$6,E746-1,0)))),"Dienst")),HYPERLINK("#"&amp;RIGHT(CELL("adresse",OFFSET(DMAV_Modell!$N$6,B746-1,0)),LEN(CELL("adresse",OFFSET(DMAV_Modell!$N$6,B746-1,0)))-FIND("]",CELL("adresse",OFFSET(DMAV_Modell!$N$6,B746-1,0)))),"Modell"))</f>
        <v>Modell</v>
      </c>
      <c r="K746" s="61" t="str" cm="1">
        <f t="array" ref="K746">IF($B746=0,IF($E746=0,"",IF(INDEX(DMAV_Dienste!P$6:P$140,$E746)="","",INDEX(DMAV_Dienste!P$6:P$140,$E746))),IF(INDEX(DMAV_Modell!Q$6:Q$838,$B746)="","",INDEX(DMAV_Modell!Q$6:Q$838,$B746)))</f>
        <v>DOMAIN</v>
      </c>
      <c r="L746" s="62" t="str" cm="1">
        <f t="array" ref="L746">IF($B746=0,IF($E746=0,"",IF(INDEX(DMAV_Dienste!O$6:O$140,$E746)="","",INDEX(DMAV_Dienste!O$6:O$140,$E746))),IF(INDEX(DMAV_Modell!P$6:P$838,$B746)="","",INDEX(DMAV_Modell!P$6:P$838,$B746)))</f>
        <v>Bodenbedeckung</v>
      </c>
      <c r="M746" s="62" t="str" cm="1">
        <f t="array" ref="M746">IF($B746=0,IF($E746=0,"",IF(INDEX(DMAV_Dienste!Q$6:Q$140,$E746)="","",INDEX(DMAV_Dienste!Q$6:Q$140,$E746))),IF(INDEX(DMAV_Modell!R$6:R$838,$B746)="","",INDEX(DMAV_Modell!R$6:R$838,$B746)))</f>
        <v>Bodenbedeckungsart</v>
      </c>
      <c r="N746" s="62" t="str" cm="1">
        <f t="array" ref="N746">IF($B746=0,IF($E746=0,"",IF(INDEX(DMAV_Dienste!T$6:T$140,$E746)="","",INDEX(DMAV_Dienste!T$6:T$140,$E746))),IF(INDEX(DMAV_Modell!U$6:U$838,$B746)="","",INDEX(DMAV_Modell!U$6:U$838,$B746)))</f>
        <v/>
      </c>
      <c r="O746" s="63" t="str" cm="1">
        <f t="array" aca="1" ref="O746" ca="1">IF(C746=0,IF(F746=0,"",HYPERLINK("#"&amp;RIGHT(CELL("adresse",OFFSET(DMAV_Dienste!$M$6,F746-1,0)),LEN(CELL("adresse",OFFSET(DMAV_Dienste!$M$6,F746-1,0)))-FIND("]",CELL("adresse",OFFSET(DMAV_Dienste!$M$6,F746-1,0)))),"Structure")),HYPERLINK("#"&amp;RIGHT(CELL("adresse",OFFSET(DMAV_Modell!$N$6,C746-1,0)),LEN(CELL("adresse",OFFSET(DMAV_Modell!$N$6,C746-1,0)))-FIND("]",CELL("adresse",OFFSET(DMAV_Modell!$N$6,C746-1,0)))),"Structure"))</f>
        <v/>
      </c>
      <c r="P746" s="64" t="str" cm="1">
        <f t="array" aca="1" ref="P746" ca="1">IF(D746=0,IF(G746=0,"",HYPERLINK("#"&amp;RIGHT(CELL("adresse",OFFSET(DMAV_Dienste!$M$6,G746-1,0)),LEN(CELL("adresse",OFFSET(DMAV_Dienste!$M$6,G746-1,0)))-FIND("]",CELL("adresse",OFFSET(DMAV_Dienste!$M$6,G746-1,0)))),"Substructure")),HYPERLINK("#"&amp;RIGHT(CELL("adresse",OFFSET(DMAV_Modell!$N$6,D746-1,0)),LEN(CELL("adresse",OFFSET(DMAV_Modell!$N$6,D746-1,0)))-FIND("]",CELL("adresse",OFFSET(DMAV_Modell!$N$6,D746-1,0)))),"Substructure"))</f>
        <v/>
      </c>
      <c r="R746" s="80"/>
      <c r="T746" s="93"/>
      <c r="U746" s="94"/>
      <c r="V746" s="95"/>
      <c r="W746" s="96"/>
      <c r="Y746" s="85"/>
      <c r="Z746" s="86"/>
      <c r="AA746" s="87"/>
      <c r="AB746" s="88"/>
      <c r="AD746" s="77"/>
      <c r="AF746" s="54" t="str" cm="1">
        <f t="array" aca="1" ref="AF746" ca="1">IF(H746=0,"",HYPERLINK("#"&amp;RIGHT(CELL("adresse",OFFSET('DM01-AV-CH'!$G$6,H746-1,0)),LEN(CELL("adresse",OFFSET('DM01-AV-CH'!$G$6,H746-1,0)))-FIND("]",CELL("adresse",OFFSET('DM01-AV-CH'!$G$6,H746-1,0)))),"Modell"))</f>
        <v>Modell</v>
      </c>
      <c r="AG746" s="72" t="str" cm="1">
        <f t="array" ref="AG746">IF($H746=0,"",IF(INDEX('DM01-AV-CH'!G$6:G$834,$H746)="","",INDEX('DM01-AV-CH'!G$6:G$834,$H746)))</f>
        <v>Bodenbedeckung</v>
      </c>
      <c r="AH746" s="73" t="str" cm="1">
        <f t="array" ref="AH746">IF($H746=0,"",IF(INDEX('DM01-AV-CH'!H$6:H$834,$H746)="","",INDEX('DM01-AV-CH'!H$6:H$834,$H746)))</f>
        <v/>
      </c>
      <c r="AI746" s="74" t="str" cm="1">
        <f t="array" ref="AI746">IF($H746=0,"",IF(INDEX('DM01-AV-CH'!I$6:I$834,$H746)="","",INDEX('DM01-AV-CH'!I$6:I$834,$H746)))</f>
        <v>BBArt</v>
      </c>
    </row>
    <row r="747" spans="1:35" x14ac:dyDescent="0.25">
      <c r="A747" s="57">
        <v>742</v>
      </c>
      <c r="B747" s="57">
        <f>IF($A747="","",IF(_xlfn.XLOOKUP($A747,Korrelation!$D$4:$D$1197,Korrelation!E$4:E$1197,"-",0)="-",0,MATCH(_xlfn.XLOOKUP($A747,Korrelation!$D$4:$D$1197,Korrelation!E$4:E$1197,"",0),DMAV_Modell!$G$6:$G$677,0)))</f>
        <v>420</v>
      </c>
      <c r="C747" s="57">
        <f>IF($A747="","",IF(_xlfn.XLOOKUP($A747,Korrelation!$D$4:$D$1197,Korrelation!F$4:F$1197,"-",0)="-",0,MATCH(_xlfn.XLOOKUP($A747,Korrelation!$D$4:$D$1197,Korrelation!F$4:F$1197,"",0),DMAV_Modell!$G$6:$G$677,0)))</f>
        <v>0</v>
      </c>
      <c r="D747" s="57">
        <f>IF($A747="","",IF(_xlfn.XLOOKUP($A747,Korrelation!$D$4:$D$1197,Korrelation!G$4:G$1197,"-",0)="-",0,MATCH(_xlfn.XLOOKUP($A747,Korrelation!$D$4:$D$1197,Korrelation!G$4:G$1197,"",0),DMAV_Modell!$G$6:$G$677,0)))</f>
        <v>0</v>
      </c>
      <c r="E747" s="57">
        <f>IF($A747="","",IF(_xlfn.XLOOKUP($A747,Korrelation!$D$4:$D$1197,Korrelation!H$4:H$1197,"-",0)="-",0,MATCH(_xlfn.XLOOKUP($A747,Korrelation!$D$4:$D$1197,Korrelation!H$4:H$1197,"",0),DMAV_Dienste!$F$6:$F$140,0)))</f>
        <v>0</v>
      </c>
      <c r="F747" s="57">
        <f>IF($A747="","",IF(_xlfn.XLOOKUP($A747,Korrelation!$D$4:$D$1197,Korrelation!I$4:I$1197,"-",0)="-",0,MATCH(_xlfn.XLOOKUP($A747,Korrelation!$D$4:$D$1197,Korrelation!I$4:I$1197,"",0),DMAV_Dienste!$F$6:$F$140,0)))</f>
        <v>0</v>
      </c>
      <c r="G747" s="57">
        <f>IF($A747="","",IF(_xlfn.XLOOKUP($A747,Korrelation!$D$4:$D$1197,Korrelation!J$4:J$1197,"-",0)="-",0,MATCH(_xlfn.XLOOKUP($A747,Korrelation!$D$4:$D$1197,Korrelation!J$4:J$1197,"",0),DMAV_Dienste!$F$6:$F$140,0)))</f>
        <v>0</v>
      </c>
      <c r="H747" s="57">
        <f>IF($A747="","",IF(_xlfn.XLOOKUP($A747,Korrelation!$D$4:$D$1197,Korrelation!K$4:K$1197,"-",0)="-",0,MATCH(_xlfn.XLOOKUP($A747,Korrelation!$D$4:$D$1197,Korrelation!K$4:K$1197,"",0),'DM01-AV-CH'!$A$6:$A$834,0)))</f>
        <v>195</v>
      </c>
      <c r="J747" s="54" t="str" cm="1">
        <f t="array" aca="1" ref="J747" ca="1">IF(B747=0,IF(E747=0,"",HYPERLINK("#"&amp;RIGHT(CELL("adresse",OFFSET(DMAV_Dienste!$M$6,E747-1,0)),LEN(CELL("adresse",OFFSET(DMAV_Dienste!$M$6,E747-1,0)))-FIND("]",CELL("adresse",OFFSET(DMAV_Dienste!$M$6,E747-1,0)))),"Dienst")),HYPERLINK("#"&amp;RIGHT(CELL("adresse",OFFSET(DMAV_Modell!$N$6,B747-1,0)),LEN(CELL("adresse",OFFSET(DMAV_Modell!$N$6,B747-1,0)))-FIND("]",CELL("adresse",OFFSET(DMAV_Modell!$N$6,B747-1,0)))),"Modell"))</f>
        <v>Modell</v>
      </c>
      <c r="K747" s="61" t="str" cm="1">
        <f t="array" ref="K747">IF($B747=0,IF($E747=0,"",IF(INDEX(DMAV_Dienste!P$6:P$140,$E747)="","",INDEX(DMAV_Dienste!P$6:P$140,$E747))),IF(INDEX(DMAV_Modell!Q$6:Q$838,$B747)="","",INDEX(DMAV_Modell!Q$6:Q$838,$B747)))</f>
        <v>CLASS</v>
      </c>
      <c r="L747" s="62" t="str" cm="1">
        <f t="array" ref="L747">IF($B747=0,IF($E747=0,"",IF(INDEX(DMAV_Dienste!O$6:O$140,$E747)="","",INDEX(DMAV_Dienste!O$6:O$140,$E747))),IF(INDEX(DMAV_Modell!P$6:P$838,$B747)="","",INDEX(DMAV_Modell!P$6:P$838,$B747)))</f>
        <v>Bodenbedeckung</v>
      </c>
      <c r="M747" s="62" t="str" cm="1">
        <f t="array" ref="M747">IF($B747=0,IF($E747=0,"",IF(INDEX(DMAV_Dienste!Q$6:Q$140,$E747)="","",INDEX(DMAV_Dienste!Q$6:Q$140,$E747))),IF(INDEX(DMAV_Modell!R$6:R$838,$B747)="","",INDEX(DMAV_Modell!R$6:R$838,$B747)))</f>
        <v>BBNachfuehrung</v>
      </c>
      <c r="N747" s="62" t="str" cm="1">
        <f t="array" ref="N747">IF($B747=0,IF($E747=0,"",IF(INDEX(DMAV_Dienste!T$6:T$140,$E747)="","",INDEX(DMAV_Dienste!T$6:T$140,$E747))),IF(INDEX(DMAV_Modell!U$6:U$838,$B747)="","",INDEX(DMAV_Modell!U$6:U$838,$B747)))</f>
        <v>NBIdent</v>
      </c>
      <c r="O747" s="63" t="str" cm="1">
        <f t="array" aca="1" ref="O747" ca="1">IF(C747=0,IF(F747=0,"",HYPERLINK("#"&amp;RIGHT(CELL("adresse",OFFSET(DMAV_Dienste!$M$6,F747-1,0)),LEN(CELL("adresse",OFFSET(DMAV_Dienste!$M$6,F747-1,0)))-FIND("]",CELL("adresse",OFFSET(DMAV_Dienste!$M$6,F747-1,0)))),"Structure")),HYPERLINK("#"&amp;RIGHT(CELL("adresse",OFFSET(DMAV_Modell!$N$6,C747-1,0)),LEN(CELL("adresse",OFFSET(DMAV_Modell!$N$6,C747-1,0)))-FIND("]",CELL("adresse",OFFSET(DMAV_Modell!$N$6,C747-1,0)))),"Structure"))</f>
        <v/>
      </c>
      <c r="P747" s="64" t="str" cm="1">
        <f t="array" aca="1" ref="P747" ca="1">IF(D747=0,IF(G747=0,"",HYPERLINK("#"&amp;RIGHT(CELL("adresse",OFFSET(DMAV_Dienste!$M$6,G747-1,0)),LEN(CELL("adresse",OFFSET(DMAV_Dienste!$M$6,G747-1,0)))-FIND("]",CELL("adresse",OFFSET(DMAV_Dienste!$M$6,G747-1,0)))),"Substructure")),HYPERLINK("#"&amp;RIGHT(CELL("adresse",OFFSET(DMAV_Modell!$N$6,D747-1,0)),LEN(CELL("adresse",OFFSET(DMAV_Modell!$N$6,D747-1,0)))-FIND("]",CELL("adresse",OFFSET(DMAV_Modell!$N$6,D747-1,0)))),"Substructure"))</f>
        <v/>
      </c>
      <c r="R747" s="80"/>
      <c r="T747" s="93"/>
      <c r="U747" s="94"/>
      <c r="V747" s="95"/>
      <c r="W747" s="96"/>
      <c r="Y747" s="85"/>
      <c r="Z747" s="86"/>
      <c r="AA747" s="87"/>
      <c r="AB747" s="88"/>
      <c r="AD747" s="77"/>
      <c r="AF747" s="54" t="str" cm="1">
        <f t="array" aca="1" ref="AF747" ca="1">IF(H747=0,"",HYPERLINK("#"&amp;RIGHT(CELL("adresse",OFFSET('DM01-AV-CH'!$G$6,H747-1,0)),LEN(CELL("adresse",OFFSET('DM01-AV-CH'!$G$6,H747-1,0)))-FIND("]",CELL("adresse",OFFSET('DM01-AV-CH'!$G$6,H747-1,0)))),"Modell"))</f>
        <v>Modell</v>
      </c>
      <c r="AG747" s="72" t="str" cm="1">
        <f t="array" ref="AG747">IF($H747=0,"",IF(INDEX('DM01-AV-CH'!G$6:G$834,$H747)="","",INDEX('DM01-AV-CH'!G$6:G$834,$H747)))</f>
        <v>Bodenbedeckung</v>
      </c>
      <c r="AH747" s="73" t="str" cm="1">
        <f t="array" ref="AH747">IF($H747=0,"",IF(INDEX('DM01-AV-CH'!H$6:H$834,$H747)="","",INDEX('DM01-AV-CH'!H$6:H$834,$H747)))</f>
        <v>BBNachfuehrung</v>
      </c>
      <c r="AI747" s="74" t="str" cm="1">
        <f t="array" ref="AI747">IF($H747=0,"",IF(INDEX('DM01-AV-CH'!I$6:I$834,$H747)="","",INDEX('DM01-AV-CH'!I$6:I$834,$H747)))</f>
        <v>NBIdent</v>
      </c>
    </row>
    <row r="748" spans="1:35" x14ac:dyDescent="0.25">
      <c r="A748" s="57">
        <v>743</v>
      </c>
      <c r="B748" s="57">
        <f>IF($A748="","",IF(_xlfn.XLOOKUP($A748,Korrelation!$D$4:$D$1197,Korrelation!E$4:E$1197,"-",0)="-",0,MATCH(_xlfn.XLOOKUP($A748,Korrelation!$D$4:$D$1197,Korrelation!E$4:E$1197,"",0),DMAV_Modell!$G$6:$G$677,0)))</f>
        <v>421</v>
      </c>
      <c r="C748" s="57">
        <f>IF($A748="","",IF(_xlfn.XLOOKUP($A748,Korrelation!$D$4:$D$1197,Korrelation!F$4:F$1197,"-",0)="-",0,MATCH(_xlfn.XLOOKUP($A748,Korrelation!$D$4:$D$1197,Korrelation!F$4:F$1197,"",0),DMAV_Modell!$G$6:$G$677,0)))</f>
        <v>0</v>
      </c>
      <c r="D748" s="57">
        <f>IF($A748="","",IF(_xlfn.XLOOKUP($A748,Korrelation!$D$4:$D$1197,Korrelation!G$4:G$1197,"-",0)="-",0,MATCH(_xlfn.XLOOKUP($A748,Korrelation!$D$4:$D$1197,Korrelation!G$4:G$1197,"",0),DMAV_Modell!$G$6:$G$677,0)))</f>
        <v>0</v>
      </c>
      <c r="E748" s="57">
        <f>IF($A748="","",IF(_xlfn.XLOOKUP($A748,Korrelation!$D$4:$D$1197,Korrelation!H$4:H$1197,"-",0)="-",0,MATCH(_xlfn.XLOOKUP($A748,Korrelation!$D$4:$D$1197,Korrelation!H$4:H$1197,"",0),DMAV_Dienste!$F$6:$F$140,0)))</f>
        <v>0</v>
      </c>
      <c r="F748" s="57">
        <f>IF($A748="","",IF(_xlfn.XLOOKUP($A748,Korrelation!$D$4:$D$1197,Korrelation!I$4:I$1197,"-",0)="-",0,MATCH(_xlfn.XLOOKUP($A748,Korrelation!$D$4:$D$1197,Korrelation!I$4:I$1197,"",0),DMAV_Dienste!$F$6:$F$140,0)))</f>
        <v>0</v>
      </c>
      <c r="G748" s="57">
        <f>IF($A748="","",IF(_xlfn.XLOOKUP($A748,Korrelation!$D$4:$D$1197,Korrelation!J$4:J$1197,"-",0)="-",0,MATCH(_xlfn.XLOOKUP($A748,Korrelation!$D$4:$D$1197,Korrelation!J$4:J$1197,"",0),DMAV_Dienste!$F$6:$F$140,0)))</f>
        <v>0</v>
      </c>
      <c r="H748" s="57">
        <f>IF($A748="","",IF(_xlfn.XLOOKUP($A748,Korrelation!$D$4:$D$1197,Korrelation!K$4:K$1197,"-",0)="-",0,MATCH(_xlfn.XLOOKUP($A748,Korrelation!$D$4:$D$1197,Korrelation!K$4:K$1197,"",0),'DM01-AV-CH'!$A$6:$A$834,0)))</f>
        <v>196</v>
      </c>
      <c r="J748" s="54" t="str" cm="1">
        <f t="array" aca="1" ref="J748" ca="1">IF(B748=0,IF(E748=0,"",HYPERLINK("#"&amp;RIGHT(CELL("adresse",OFFSET(DMAV_Dienste!$M$6,E748-1,0)),LEN(CELL("adresse",OFFSET(DMAV_Dienste!$M$6,E748-1,0)))-FIND("]",CELL("adresse",OFFSET(DMAV_Dienste!$M$6,E748-1,0)))),"Dienst")),HYPERLINK("#"&amp;RIGHT(CELL("adresse",OFFSET(DMAV_Modell!$N$6,B748-1,0)),LEN(CELL("adresse",OFFSET(DMAV_Modell!$N$6,B748-1,0)))-FIND("]",CELL("adresse",OFFSET(DMAV_Modell!$N$6,B748-1,0)))),"Modell"))</f>
        <v>Modell</v>
      </c>
      <c r="K748" s="61" t="str" cm="1">
        <f t="array" ref="K748">IF($B748=0,IF($E748=0,"",IF(INDEX(DMAV_Dienste!P$6:P$140,$E748)="","",INDEX(DMAV_Dienste!P$6:P$140,$E748))),IF(INDEX(DMAV_Modell!Q$6:Q$838,$B748)="","",INDEX(DMAV_Modell!Q$6:Q$838,$B748)))</f>
        <v>CLASS</v>
      </c>
      <c r="L748" s="62" t="str" cm="1">
        <f t="array" ref="L748">IF($B748=0,IF($E748=0,"",IF(INDEX(DMAV_Dienste!O$6:O$140,$E748)="","",INDEX(DMAV_Dienste!O$6:O$140,$E748))),IF(INDEX(DMAV_Modell!P$6:P$838,$B748)="","",INDEX(DMAV_Modell!P$6:P$838,$B748)))</f>
        <v>Bodenbedeckung</v>
      </c>
      <c r="M748" s="62" t="str" cm="1">
        <f t="array" ref="M748">IF($B748=0,IF($E748=0,"",IF(INDEX(DMAV_Dienste!Q$6:Q$140,$E748)="","",INDEX(DMAV_Dienste!Q$6:Q$140,$E748))),IF(INDEX(DMAV_Modell!R$6:R$838,$B748)="","",INDEX(DMAV_Modell!R$6:R$838,$B748)))</f>
        <v>BBNachfuehrung</v>
      </c>
      <c r="N748" s="62" t="str" cm="1">
        <f t="array" ref="N748">IF($B748=0,IF($E748=0,"",IF(INDEX(DMAV_Dienste!T$6:T$140,$E748)="","",INDEX(DMAV_Dienste!T$6:T$140,$E748))),IF(INDEX(DMAV_Modell!U$6:U$838,$B748)="","",INDEX(DMAV_Modell!U$6:U$838,$B748)))</f>
        <v>Identifikator</v>
      </c>
      <c r="O748" s="63" t="str" cm="1">
        <f t="array" aca="1" ref="O748" ca="1">IF(C748=0,IF(F748=0,"",HYPERLINK("#"&amp;RIGHT(CELL("adresse",OFFSET(DMAV_Dienste!$M$6,F748-1,0)),LEN(CELL("adresse",OFFSET(DMAV_Dienste!$M$6,F748-1,0)))-FIND("]",CELL("adresse",OFFSET(DMAV_Dienste!$M$6,F748-1,0)))),"Structure")),HYPERLINK("#"&amp;RIGHT(CELL("adresse",OFFSET(DMAV_Modell!$N$6,C748-1,0)),LEN(CELL("adresse",OFFSET(DMAV_Modell!$N$6,C748-1,0)))-FIND("]",CELL("adresse",OFFSET(DMAV_Modell!$N$6,C748-1,0)))),"Structure"))</f>
        <v/>
      </c>
      <c r="P748" s="64" t="str" cm="1">
        <f t="array" aca="1" ref="P748" ca="1">IF(D748=0,IF(G748=0,"",HYPERLINK("#"&amp;RIGHT(CELL("adresse",OFFSET(DMAV_Dienste!$M$6,G748-1,0)),LEN(CELL("adresse",OFFSET(DMAV_Dienste!$M$6,G748-1,0)))-FIND("]",CELL("adresse",OFFSET(DMAV_Dienste!$M$6,G748-1,0)))),"Substructure")),HYPERLINK("#"&amp;RIGHT(CELL("adresse",OFFSET(DMAV_Modell!$N$6,D748-1,0)),LEN(CELL("adresse",OFFSET(DMAV_Modell!$N$6,D748-1,0)))-FIND("]",CELL("adresse",OFFSET(DMAV_Modell!$N$6,D748-1,0)))),"Substructure"))</f>
        <v/>
      </c>
      <c r="R748" s="80"/>
      <c r="T748" s="93"/>
      <c r="U748" s="94"/>
      <c r="V748" s="95"/>
      <c r="W748" s="96"/>
      <c r="Y748" s="85"/>
      <c r="Z748" s="86"/>
      <c r="AA748" s="87"/>
      <c r="AB748" s="88"/>
      <c r="AD748" s="77"/>
      <c r="AF748" s="54" t="str" cm="1">
        <f t="array" aca="1" ref="AF748" ca="1">IF(H748=0,"",HYPERLINK("#"&amp;RIGHT(CELL("adresse",OFFSET('DM01-AV-CH'!$G$6,H748-1,0)),LEN(CELL("adresse",OFFSET('DM01-AV-CH'!$G$6,H748-1,0)))-FIND("]",CELL("adresse",OFFSET('DM01-AV-CH'!$G$6,H748-1,0)))),"Modell"))</f>
        <v>Modell</v>
      </c>
      <c r="AG748" s="72" t="str" cm="1">
        <f t="array" ref="AG748">IF($H748=0,"",IF(INDEX('DM01-AV-CH'!G$6:G$834,$H748)="","",INDEX('DM01-AV-CH'!G$6:G$834,$H748)))</f>
        <v>Bodenbedeckung</v>
      </c>
      <c r="AH748" s="73" t="str" cm="1">
        <f t="array" ref="AH748">IF($H748=0,"",IF(INDEX('DM01-AV-CH'!H$6:H$834,$H748)="","",INDEX('DM01-AV-CH'!H$6:H$834,$H748)))</f>
        <v>BBNachfuehrung</v>
      </c>
      <c r="AI748" s="74" t="str" cm="1">
        <f t="array" ref="AI748">IF($H748=0,"",IF(INDEX('DM01-AV-CH'!I$6:I$834,$H748)="","",INDEX('DM01-AV-CH'!I$6:I$834,$H748)))</f>
        <v>Identifikator</v>
      </c>
    </row>
    <row r="749" spans="1:35" x14ac:dyDescent="0.25">
      <c r="A749" s="57">
        <v>744</v>
      </c>
      <c r="B749" s="57">
        <f>IF($A749="","",IF(_xlfn.XLOOKUP($A749,Korrelation!$D$4:$D$1197,Korrelation!E$4:E$1197,"-",0)="-",0,MATCH(_xlfn.XLOOKUP($A749,Korrelation!$D$4:$D$1197,Korrelation!E$4:E$1197,"",0),DMAV_Modell!$G$6:$G$677,0)))</f>
        <v>422</v>
      </c>
      <c r="C749" s="57">
        <f>IF($A749="","",IF(_xlfn.XLOOKUP($A749,Korrelation!$D$4:$D$1197,Korrelation!F$4:F$1197,"-",0)="-",0,MATCH(_xlfn.XLOOKUP($A749,Korrelation!$D$4:$D$1197,Korrelation!F$4:F$1197,"",0),DMAV_Modell!$G$6:$G$677,0)))</f>
        <v>0</v>
      </c>
      <c r="D749" s="57">
        <f>IF($A749="","",IF(_xlfn.XLOOKUP($A749,Korrelation!$D$4:$D$1197,Korrelation!G$4:G$1197,"-",0)="-",0,MATCH(_xlfn.XLOOKUP($A749,Korrelation!$D$4:$D$1197,Korrelation!G$4:G$1197,"",0),DMAV_Modell!$G$6:$G$677,0)))</f>
        <v>0</v>
      </c>
      <c r="E749" s="57">
        <f>IF($A749="","",IF(_xlfn.XLOOKUP($A749,Korrelation!$D$4:$D$1197,Korrelation!H$4:H$1197,"-",0)="-",0,MATCH(_xlfn.XLOOKUP($A749,Korrelation!$D$4:$D$1197,Korrelation!H$4:H$1197,"",0),DMAV_Dienste!$F$6:$F$140,0)))</f>
        <v>0</v>
      </c>
      <c r="F749" s="57">
        <f>IF($A749="","",IF(_xlfn.XLOOKUP($A749,Korrelation!$D$4:$D$1197,Korrelation!I$4:I$1197,"-",0)="-",0,MATCH(_xlfn.XLOOKUP($A749,Korrelation!$D$4:$D$1197,Korrelation!I$4:I$1197,"",0),DMAV_Dienste!$F$6:$F$140,0)))</f>
        <v>0</v>
      </c>
      <c r="G749" s="57">
        <f>IF($A749="","",IF(_xlfn.XLOOKUP($A749,Korrelation!$D$4:$D$1197,Korrelation!J$4:J$1197,"-",0)="-",0,MATCH(_xlfn.XLOOKUP($A749,Korrelation!$D$4:$D$1197,Korrelation!J$4:J$1197,"",0),DMAV_Dienste!$F$6:$F$140,0)))</f>
        <v>0</v>
      </c>
      <c r="H749" s="57">
        <f>IF($A749="","",IF(_xlfn.XLOOKUP($A749,Korrelation!$D$4:$D$1197,Korrelation!K$4:K$1197,"-",0)="-",0,MATCH(_xlfn.XLOOKUP($A749,Korrelation!$D$4:$D$1197,Korrelation!K$4:K$1197,"",0),'DM01-AV-CH'!$A$6:$A$834,0)))</f>
        <v>197</v>
      </c>
      <c r="J749" s="54" t="str" cm="1">
        <f t="array" aca="1" ref="J749" ca="1">IF(B749=0,IF(E749=0,"",HYPERLINK("#"&amp;RIGHT(CELL("adresse",OFFSET(DMAV_Dienste!$M$6,E749-1,0)),LEN(CELL("adresse",OFFSET(DMAV_Dienste!$M$6,E749-1,0)))-FIND("]",CELL("adresse",OFFSET(DMAV_Dienste!$M$6,E749-1,0)))),"Dienst")),HYPERLINK("#"&amp;RIGHT(CELL("adresse",OFFSET(DMAV_Modell!$N$6,B749-1,0)),LEN(CELL("adresse",OFFSET(DMAV_Modell!$N$6,B749-1,0)))-FIND("]",CELL("adresse",OFFSET(DMAV_Modell!$N$6,B749-1,0)))),"Modell"))</f>
        <v>Modell</v>
      </c>
      <c r="K749" s="61" t="str" cm="1">
        <f t="array" ref="K749">IF($B749=0,IF($E749=0,"",IF(INDEX(DMAV_Dienste!P$6:P$140,$E749)="","",INDEX(DMAV_Dienste!P$6:P$140,$E749))),IF(INDEX(DMAV_Modell!Q$6:Q$838,$B749)="","",INDEX(DMAV_Modell!Q$6:Q$838,$B749)))</f>
        <v>CLASS</v>
      </c>
      <c r="L749" s="62" t="str" cm="1">
        <f t="array" ref="L749">IF($B749=0,IF($E749=0,"",IF(INDEX(DMAV_Dienste!O$6:O$140,$E749)="","",INDEX(DMAV_Dienste!O$6:O$140,$E749))),IF(INDEX(DMAV_Modell!P$6:P$838,$B749)="","",INDEX(DMAV_Modell!P$6:P$838,$B749)))</f>
        <v>Bodenbedeckung</v>
      </c>
      <c r="M749" s="62" t="str" cm="1">
        <f t="array" ref="M749">IF($B749=0,IF($E749=0,"",IF(INDEX(DMAV_Dienste!Q$6:Q$140,$E749)="","",INDEX(DMAV_Dienste!Q$6:Q$140,$E749))),IF(INDEX(DMAV_Modell!R$6:R$838,$B749)="","",INDEX(DMAV_Modell!R$6:R$838,$B749)))</f>
        <v>BBNachfuehrung</v>
      </c>
      <c r="N749" s="62" t="str" cm="1">
        <f t="array" ref="N749">IF($B749=0,IF($E749=0,"",IF(INDEX(DMAV_Dienste!T$6:T$140,$E749)="","",INDEX(DMAV_Dienste!T$6:T$140,$E749))),IF(INDEX(DMAV_Modell!U$6:U$838,$B749)="","",INDEX(DMAV_Modell!U$6:U$838,$B749)))</f>
        <v>Beschreibung</v>
      </c>
      <c r="O749" s="63" t="str" cm="1">
        <f t="array" aca="1" ref="O749" ca="1">IF(C749=0,IF(F749=0,"",HYPERLINK("#"&amp;RIGHT(CELL("adresse",OFFSET(DMAV_Dienste!$M$6,F749-1,0)),LEN(CELL("adresse",OFFSET(DMAV_Dienste!$M$6,F749-1,0)))-FIND("]",CELL("adresse",OFFSET(DMAV_Dienste!$M$6,F749-1,0)))),"Structure")),HYPERLINK("#"&amp;RIGHT(CELL("adresse",OFFSET(DMAV_Modell!$N$6,C749-1,0)),LEN(CELL("adresse",OFFSET(DMAV_Modell!$N$6,C749-1,0)))-FIND("]",CELL("adresse",OFFSET(DMAV_Modell!$N$6,C749-1,0)))),"Structure"))</f>
        <v/>
      </c>
      <c r="P749" s="64" t="str" cm="1">
        <f t="array" aca="1" ref="P749" ca="1">IF(D749=0,IF(G749=0,"",HYPERLINK("#"&amp;RIGHT(CELL("adresse",OFFSET(DMAV_Dienste!$M$6,G749-1,0)),LEN(CELL("adresse",OFFSET(DMAV_Dienste!$M$6,G749-1,0)))-FIND("]",CELL("adresse",OFFSET(DMAV_Dienste!$M$6,G749-1,0)))),"Substructure")),HYPERLINK("#"&amp;RIGHT(CELL("adresse",OFFSET(DMAV_Modell!$N$6,D749-1,0)),LEN(CELL("adresse",OFFSET(DMAV_Modell!$N$6,D749-1,0)))-FIND("]",CELL("adresse",OFFSET(DMAV_Modell!$N$6,D749-1,0)))),"Substructure"))</f>
        <v/>
      </c>
      <c r="R749" s="80"/>
      <c r="T749" s="93"/>
      <c r="U749" s="94"/>
      <c r="V749" s="95"/>
      <c r="W749" s="96"/>
      <c r="Y749" s="85"/>
      <c r="Z749" s="86"/>
      <c r="AA749" s="87"/>
      <c r="AB749" s="88"/>
      <c r="AD749" s="77"/>
      <c r="AF749" s="54" t="str" cm="1">
        <f t="array" aca="1" ref="AF749" ca="1">IF(H749=0,"",HYPERLINK("#"&amp;RIGHT(CELL("adresse",OFFSET('DM01-AV-CH'!$G$6,H749-1,0)),LEN(CELL("adresse",OFFSET('DM01-AV-CH'!$G$6,H749-1,0)))-FIND("]",CELL("adresse",OFFSET('DM01-AV-CH'!$G$6,H749-1,0)))),"Modell"))</f>
        <v>Modell</v>
      </c>
      <c r="AG749" s="72" t="str" cm="1">
        <f t="array" ref="AG749">IF($H749=0,"",IF(INDEX('DM01-AV-CH'!G$6:G$834,$H749)="","",INDEX('DM01-AV-CH'!G$6:G$834,$H749)))</f>
        <v>Bodenbedeckung</v>
      </c>
      <c r="AH749" s="73" t="str" cm="1">
        <f t="array" ref="AH749">IF($H749=0,"",IF(INDEX('DM01-AV-CH'!H$6:H$834,$H749)="","",INDEX('DM01-AV-CH'!H$6:H$834,$H749)))</f>
        <v>BBNachfuehrung</v>
      </c>
      <c r="AI749" s="74" t="str" cm="1">
        <f t="array" ref="AI749">IF($H749=0,"",IF(INDEX('DM01-AV-CH'!I$6:I$834,$H749)="","",INDEX('DM01-AV-CH'!I$6:I$834,$H749)))</f>
        <v>Beschreibung</v>
      </c>
    </row>
    <row r="750" spans="1:35" x14ac:dyDescent="0.25">
      <c r="A750" s="57">
        <v>745</v>
      </c>
      <c r="B750" s="57">
        <f>IF($A750="","",IF(_xlfn.XLOOKUP($A750,Korrelation!$D$4:$D$1197,Korrelation!E$4:E$1197,"-",0)="-",0,MATCH(_xlfn.XLOOKUP($A750,Korrelation!$D$4:$D$1197,Korrelation!E$4:E$1197,"",0),DMAV_Modell!$G$6:$G$677,0)))</f>
        <v>423</v>
      </c>
      <c r="C750" s="57">
        <f>IF($A750="","",IF(_xlfn.XLOOKUP($A750,Korrelation!$D$4:$D$1197,Korrelation!F$4:F$1197,"-",0)="-",0,MATCH(_xlfn.XLOOKUP($A750,Korrelation!$D$4:$D$1197,Korrelation!F$4:F$1197,"",0),DMAV_Modell!$G$6:$G$677,0)))</f>
        <v>0</v>
      </c>
      <c r="D750" s="57">
        <f>IF($A750="","",IF(_xlfn.XLOOKUP($A750,Korrelation!$D$4:$D$1197,Korrelation!G$4:G$1197,"-",0)="-",0,MATCH(_xlfn.XLOOKUP($A750,Korrelation!$D$4:$D$1197,Korrelation!G$4:G$1197,"",0),DMAV_Modell!$G$6:$G$677,0)))</f>
        <v>0</v>
      </c>
      <c r="E750" s="57">
        <f>IF($A750="","",IF(_xlfn.XLOOKUP($A750,Korrelation!$D$4:$D$1197,Korrelation!H$4:H$1197,"-",0)="-",0,MATCH(_xlfn.XLOOKUP($A750,Korrelation!$D$4:$D$1197,Korrelation!H$4:H$1197,"",0),DMAV_Dienste!$F$6:$F$140,0)))</f>
        <v>0</v>
      </c>
      <c r="F750" s="57">
        <f>IF($A750="","",IF(_xlfn.XLOOKUP($A750,Korrelation!$D$4:$D$1197,Korrelation!I$4:I$1197,"-",0)="-",0,MATCH(_xlfn.XLOOKUP($A750,Korrelation!$D$4:$D$1197,Korrelation!I$4:I$1197,"",0),DMAV_Dienste!$F$6:$F$140,0)))</f>
        <v>0</v>
      </c>
      <c r="G750" s="57">
        <f>IF($A750="","",IF(_xlfn.XLOOKUP($A750,Korrelation!$D$4:$D$1197,Korrelation!J$4:J$1197,"-",0)="-",0,MATCH(_xlfn.XLOOKUP($A750,Korrelation!$D$4:$D$1197,Korrelation!J$4:J$1197,"",0),DMAV_Dienste!$F$6:$F$140,0)))</f>
        <v>0</v>
      </c>
      <c r="H750" s="57">
        <f>IF($A750="","",IF(_xlfn.XLOOKUP($A750,Korrelation!$D$4:$D$1197,Korrelation!K$4:K$1197,"-",0)="-",0,MATCH(_xlfn.XLOOKUP($A750,Korrelation!$D$4:$D$1197,Korrelation!K$4:K$1197,"",0),'DM01-AV-CH'!$A$6:$A$834,0)))</f>
        <v>198</v>
      </c>
      <c r="J750" s="54" t="str" cm="1">
        <f t="array" aca="1" ref="J750" ca="1">IF(B750=0,IF(E750=0,"",HYPERLINK("#"&amp;RIGHT(CELL("adresse",OFFSET(DMAV_Dienste!$M$6,E750-1,0)),LEN(CELL("adresse",OFFSET(DMAV_Dienste!$M$6,E750-1,0)))-FIND("]",CELL("adresse",OFFSET(DMAV_Dienste!$M$6,E750-1,0)))),"Dienst")),HYPERLINK("#"&amp;RIGHT(CELL("adresse",OFFSET(DMAV_Modell!$N$6,B750-1,0)),LEN(CELL("adresse",OFFSET(DMAV_Modell!$N$6,B750-1,0)))-FIND("]",CELL("adresse",OFFSET(DMAV_Modell!$N$6,B750-1,0)))),"Modell"))</f>
        <v>Modell</v>
      </c>
      <c r="K750" s="61" t="str" cm="1">
        <f t="array" ref="K750">IF($B750=0,IF($E750=0,"",IF(INDEX(DMAV_Dienste!P$6:P$140,$E750)="","",INDEX(DMAV_Dienste!P$6:P$140,$E750))),IF(INDEX(DMAV_Modell!Q$6:Q$838,$B750)="","",INDEX(DMAV_Modell!Q$6:Q$838,$B750)))</f>
        <v>CLASS</v>
      </c>
      <c r="L750" s="62" t="str" cm="1">
        <f t="array" ref="L750">IF($B750=0,IF($E750=0,"",IF(INDEX(DMAV_Dienste!O$6:O$140,$E750)="","",INDEX(DMAV_Dienste!O$6:O$140,$E750))),IF(INDEX(DMAV_Modell!P$6:P$838,$B750)="","",INDEX(DMAV_Modell!P$6:P$838,$B750)))</f>
        <v>Bodenbedeckung</v>
      </c>
      <c r="M750" s="62" t="str" cm="1">
        <f t="array" ref="M750">IF($B750=0,IF($E750=0,"",IF(INDEX(DMAV_Dienste!Q$6:Q$140,$E750)="","",INDEX(DMAV_Dienste!Q$6:Q$140,$E750))),IF(INDEX(DMAV_Modell!R$6:R$838,$B750)="","",INDEX(DMAV_Modell!R$6:R$838,$B750)))</f>
        <v>BBNachfuehrung</v>
      </c>
      <c r="N750" s="62" t="str" cm="1">
        <f t="array" ref="N750">IF($B750=0,IF($E750=0,"",IF(INDEX(DMAV_Dienste!T$6:T$140,$E750)="","",INDEX(DMAV_Dienste!T$6:T$140,$E750))),IF(INDEX(DMAV_Modell!U$6:U$838,$B750)="","",INDEX(DMAV_Modell!U$6:U$838,$B750)))</f>
        <v>Perimeter</v>
      </c>
      <c r="O750" s="63" t="str" cm="1">
        <f t="array" aca="1" ref="O750" ca="1">IF(C750=0,IF(F750=0,"",HYPERLINK("#"&amp;RIGHT(CELL("adresse",OFFSET(DMAV_Dienste!$M$6,F750-1,0)),LEN(CELL("adresse",OFFSET(DMAV_Dienste!$M$6,F750-1,0)))-FIND("]",CELL("adresse",OFFSET(DMAV_Dienste!$M$6,F750-1,0)))),"Structure")),HYPERLINK("#"&amp;RIGHT(CELL("adresse",OFFSET(DMAV_Modell!$N$6,C750-1,0)),LEN(CELL("adresse",OFFSET(DMAV_Modell!$N$6,C750-1,0)))-FIND("]",CELL("adresse",OFFSET(DMAV_Modell!$N$6,C750-1,0)))),"Structure"))</f>
        <v/>
      </c>
      <c r="P750" s="64" t="str" cm="1">
        <f t="array" aca="1" ref="P750" ca="1">IF(D750=0,IF(G750=0,"",HYPERLINK("#"&amp;RIGHT(CELL("adresse",OFFSET(DMAV_Dienste!$M$6,G750-1,0)),LEN(CELL("adresse",OFFSET(DMAV_Dienste!$M$6,G750-1,0)))-FIND("]",CELL("adresse",OFFSET(DMAV_Dienste!$M$6,G750-1,0)))),"Substructure")),HYPERLINK("#"&amp;RIGHT(CELL("adresse",OFFSET(DMAV_Modell!$N$6,D750-1,0)),LEN(CELL("adresse",OFFSET(DMAV_Modell!$N$6,D750-1,0)))-FIND("]",CELL("adresse",OFFSET(DMAV_Modell!$N$6,D750-1,0)))),"Substructure"))</f>
        <v/>
      </c>
      <c r="R750" s="80"/>
      <c r="T750" s="93"/>
      <c r="U750" s="94"/>
      <c r="V750" s="95"/>
      <c r="W750" s="96"/>
      <c r="Y750" s="85"/>
      <c r="Z750" s="86"/>
      <c r="AA750" s="87"/>
      <c r="AB750" s="88"/>
      <c r="AD750" s="77"/>
      <c r="AF750" s="54" t="str" cm="1">
        <f t="array" aca="1" ref="AF750" ca="1">IF(H750=0,"",HYPERLINK("#"&amp;RIGHT(CELL("adresse",OFFSET('DM01-AV-CH'!$G$6,H750-1,0)),LEN(CELL("adresse",OFFSET('DM01-AV-CH'!$G$6,H750-1,0)))-FIND("]",CELL("adresse",OFFSET('DM01-AV-CH'!$G$6,H750-1,0)))),"Modell"))</f>
        <v>Modell</v>
      </c>
      <c r="AG750" s="72" t="str" cm="1">
        <f t="array" ref="AG750">IF($H750=0,"",IF(INDEX('DM01-AV-CH'!G$6:G$834,$H750)="","",INDEX('DM01-AV-CH'!G$6:G$834,$H750)))</f>
        <v>Bodenbedeckung</v>
      </c>
      <c r="AH750" s="73" t="str" cm="1">
        <f t="array" ref="AH750">IF($H750=0,"",IF(INDEX('DM01-AV-CH'!H$6:H$834,$H750)="","",INDEX('DM01-AV-CH'!H$6:H$834,$H750)))</f>
        <v>BBNachfuehrung</v>
      </c>
      <c r="AI750" s="74" t="str" cm="1">
        <f t="array" ref="AI750">IF($H750=0,"",IF(INDEX('DM01-AV-CH'!I$6:I$834,$H750)="","",INDEX('DM01-AV-CH'!I$6:I$834,$H750)))</f>
        <v>Perimeter</v>
      </c>
    </row>
    <row r="751" spans="1:35" x14ac:dyDescent="0.25">
      <c r="A751" s="57">
        <v>746</v>
      </c>
      <c r="B751" s="57">
        <f>IF($A751="","",IF(_xlfn.XLOOKUP($A751,Korrelation!$D$4:$D$1197,Korrelation!E$4:E$1197,"-",0)="-",0,MATCH(_xlfn.XLOOKUP($A751,Korrelation!$D$4:$D$1197,Korrelation!E$4:E$1197,"",0),DMAV_Modell!$G$6:$G$677,0)))</f>
        <v>0</v>
      </c>
      <c r="C751" s="57">
        <f>IF($A751="","",IF(_xlfn.XLOOKUP($A751,Korrelation!$D$4:$D$1197,Korrelation!F$4:F$1197,"-",0)="-",0,MATCH(_xlfn.XLOOKUP($A751,Korrelation!$D$4:$D$1197,Korrelation!F$4:F$1197,"",0),DMAV_Modell!$G$6:$G$677,0)))</f>
        <v>0</v>
      </c>
      <c r="D751" s="57">
        <f>IF($A751="","",IF(_xlfn.XLOOKUP($A751,Korrelation!$D$4:$D$1197,Korrelation!G$4:G$1197,"-",0)="-",0,MATCH(_xlfn.XLOOKUP($A751,Korrelation!$D$4:$D$1197,Korrelation!G$4:G$1197,"",0),DMAV_Modell!$G$6:$G$677,0)))</f>
        <v>0</v>
      </c>
      <c r="E751" s="57">
        <f>IF($A751="","",IF(_xlfn.XLOOKUP($A751,Korrelation!$D$4:$D$1197,Korrelation!H$4:H$1197,"-",0)="-",0,MATCH(_xlfn.XLOOKUP($A751,Korrelation!$D$4:$D$1197,Korrelation!H$4:H$1197,"",0),DMAV_Dienste!$F$6:$F$140,0)))</f>
        <v>0</v>
      </c>
      <c r="F751" s="57">
        <f>IF($A751="","",IF(_xlfn.XLOOKUP($A751,Korrelation!$D$4:$D$1197,Korrelation!I$4:I$1197,"-",0)="-",0,MATCH(_xlfn.XLOOKUP($A751,Korrelation!$D$4:$D$1197,Korrelation!I$4:I$1197,"",0),DMAV_Dienste!$F$6:$F$140,0)))</f>
        <v>0</v>
      </c>
      <c r="G751" s="57">
        <f>IF($A751="","",IF(_xlfn.XLOOKUP($A751,Korrelation!$D$4:$D$1197,Korrelation!J$4:J$1197,"-",0)="-",0,MATCH(_xlfn.XLOOKUP($A751,Korrelation!$D$4:$D$1197,Korrelation!J$4:J$1197,"",0),DMAV_Dienste!$F$6:$F$140,0)))</f>
        <v>0</v>
      </c>
      <c r="H751" s="57">
        <f>IF($A751="","",IF(_xlfn.XLOOKUP($A751,Korrelation!$D$4:$D$1197,Korrelation!K$4:K$1197,"-",0)="-",0,MATCH(_xlfn.XLOOKUP($A751,Korrelation!$D$4:$D$1197,Korrelation!K$4:K$1197,"",0),'DM01-AV-CH'!$A$6:$A$834,0)))</f>
        <v>199</v>
      </c>
      <c r="J751" s="54" t="str" cm="1">
        <f t="array" aca="1" ref="J751" ca="1">IF(B751=0,IF(E751=0,"",HYPERLINK("#"&amp;RIGHT(CELL("adresse",OFFSET(DMAV_Dienste!$M$6,E751-1,0)),LEN(CELL("adresse",OFFSET(DMAV_Dienste!$M$6,E751-1,0)))-FIND("]",CELL("adresse",OFFSET(DMAV_Dienste!$M$6,E751-1,0)))),"Dienst")),HYPERLINK("#"&amp;RIGHT(CELL("adresse",OFFSET(DMAV_Modell!$N$6,B751-1,0)),LEN(CELL("adresse",OFFSET(DMAV_Modell!$N$6,B751-1,0)))-FIND("]",CELL("adresse",OFFSET(DMAV_Modell!$N$6,B751-1,0)))),"Modell"))</f>
        <v/>
      </c>
      <c r="K751" s="61" t="str" cm="1">
        <f t="array" ref="K751">IF($B751=0,IF($E751=0,"",IF(INDEX(DMAV_Dienste!P$6:P$140,$E751)="","",INDEX(DMAV_Dienste!P$6:P$140,$E751))),IF(INDEX(DMAV_Modell!Q$6:Q$838,$B751)="","",INDEX(DMAV_Modell!Q$6:Q$838,$B751)))</f>
        <v/>
      </c>
      <c r="L751" s="62" t="str" cm="1">
        <f t="array" ref="L751">IF($B751=0,IF($E751=0,"",IF(INDEX(DMAV_Dienste!O$6:O$140,$E751)="","",INDEX(DMAV_Dienste!O$6:O$140,$E751))),IF(INDEX(DMAV_Modell!P$6:P$838,$B751)="","",INDEX(DMAV_Modell!P$6:P$838,$B751)))</f>
        <v/>
      </c>
      <c r="M751" s="62" t="str" cm="1">
        <f t="array" ref="M751">IF($B751=0,IF($E751=0,"",IF(INDEX(DMAV_Dienste!Q$6:Q$140,$E751)="","",INDEX(DMAV_Dienste!Q$6:Q$140,$E751))),IF(INDEX(DMAV_Modell!R$6:R$838,$B751)="","",INDEX(DMAV_Modell!R$6:R$838,$B751)))</f>
        <v/>
      </c>
      <c r="N751" s="62" t="str" cm="1">
        <f t="array" ref="N751">IF($B751=0,IF($E751=0,"",IF(INDEX(DMAV_Dienste!T$6:T$140,$E751)="","",INDEX(DMAV_Dienste!T$6:T$140,$E751))),IF(INDEX(DMAV_Modell!U$6:U$838,$B751)="","",INDEX(DMAV_Modell!U$6:U$838,$B751)))</f>
        <v/>
      </c>
      <c r="O751" s="63" t="str" cm="1">
        <f t="array" aca="1" ref="O751" ca="1">IF(C751=0,IF(F751=0,"",HYPERLINK("#"&amp;RIGHT(CELL("adresse",OFFSET(DMAV_Dienste!$M$6,F751-1,0)),LEN(CELL("adresse",OFFSET(DMAV_Dienste!$M$6,F751-1,0)))-FIND("]",CELL("adresse",OFFSET(DMAV_Dienste!$M$6,F751-1,0)))),"Structure")),HYPERLINK("#"&amp;RIGHT(CELL("adresse",OFFSET(DMAV_Modell!$N$6,C751-1,0)),LEN(CELL("adresse",OFFSET(DMAV_Modell!$N$6,C751-1,0)))-FIND("]",CELL("adresse",OFFSET(DMAV_Modell!$N$6,C751-1,0)))),"Structure"))</f>
        <v/>
      </c>
      <c r="P751" s="64" t="str" cm="1">
        <f t="array" aca="1" ref="P751" ca="1">IF(D751=0,IF(G751=0,"",HYPERLINK("#"&amp;RIGHT(CELL("adresse",OFFSET(DMAV_Dienste!$M$6,G751-1,0)),LEN(CELL("adresse",OFFSET(DMAV_Dienste!$M$6,G751-1,0)))-FIND("]",CELL("adresse",OFFSET(DMAV_Dienste!$M$6,G751-1,0)))),"Substructure")),HYPERLINK("#"&amp;RIGHT(CELL("adresse",OFFSET(DMAV_Modell!$N$6,D751-1,0)),LEN(CELL("adresse",OFFSET(DMAV_Modell!$N$6,D751-1,0)))-FIND("]",CELL("adresse",OFFSET(DMAV_Modell!$N$6,D751-1,0)))),"Substructure"))</f>
        <v/>
      </c>
      <c r="R751" s="80"/>
      <c r="T751" s="93"/>
      <c r="U751" s="94"/>
      <c r="V751" s="95"/>
      <c r="W751" s="96"/>
      <c r="Y751" s="85"/>
      <c r="Z751" s="86"/>
      <c r="AA751" s="87"/>
      <c r="AB751" s="88"/>
      <c r="AD751" s="77" t="s">
        <v>2711</v>
      </c>
      <c r="AF751" s="54" t="str" cm="1">
        <f t="array" aca="1" ref="AF751" ca="1">IF(H751=0,"",HYPERLINK("#"&amp;RIGHT(CELL("adresse",OFFSET('DM01-AV-CH'!$G$6,H751-1,0)),LEN(CELL("adresse",OFFSET('DM01-AV-CH'!$G$6,H751-1,0)))-FIND("]",CELL("adresse",OFFSET('DM01-AV-CH'!$G$6,H751-1,0)))),"Modell"))</f>
        <v>Modell</v>
      </c>
      <c r="AG751" s="72" t="str" cm="1">
        <f t="array" ref="AG751">IF($H751=0,"",IF(INDEX('DM01-AV-CH'!G$6:G$834,$H751)="","",INDEX('DM01-AV-CH'!G$6:G$834,$H751)))</f>
        <v>Bodenbedeckung</v>
      </c>
      <c r="AH751" s="73" t="str" cm="1">
        <f t="array" ref="AH751">IF($H751=0,"",IF(INDEX('DM01-AV-CH'!H$6:H$834,$H751)="","",INDEX('DM01-AV-CH'!H$6:H$834,$H751)))</f>
        <v>BBNachfuehrung</v>
      </c>
      <c r="AI751" s="74" t="str" cm="1">
        <f t="array" ref="AI751">IF($H751=0,"",IF(INDEX('DM01-AV-CH'!I$6:I$834,$H751)="","",INDEX('DM01-AV-CH'!I$6:I$834,$H751)))</f>
        <v>Gueltigkeit</v>
      </c>
    </row>
    <row r="752" spans="1:35" x14ac:dyDescent="0.25">
      <c r="A752" s="57">
        <v>747</v>
      </c>
      <c r="B752" s="57">
        <f>IF($A752="","",IF(_xlfn.XLOOKUP($A752,Korrelation!$D$4:$D$1197,Korrelation!E$4:E$1197,"-",0)="-",0,MATCH(_xlfn.XLOOKUP($A752,Korrelation!$D$4:$D$1197,Korrelation!E$4:E$1197,"",0),DMAV_Modell!$G$6:$G$677,0)))</f>
        <v>424</v>
      </c>
      <c r="C752" s="57">
        <f>IF($A752="","",IF(_xlfn.XLOOKUP($A752,Korrelation!$D$4:$D$1197,Korrelation!F$4:F$1197,"-",0)="-",0,MATCH(_xlfn.XLOOKUP($A752,Korrelation!$D$4:$D$1197,Korrelation!F$4:F$1197,"",0),DMAV_Modell!$G$6:$G$677,0)))</f>
        <v>0</v>
      </c>
      <c r="D752" s="57">
        <f>IF($A752="","",IF(_xlfn.XLOOKUP($A752,Korrelation!$D$4:$D$1197,Korrelation!G$4:G$1197,"-",0)="-",0,MATCH(_xlfn.XLOOKUP($A752,Korrelation!$D$4:$D$1197,Korrelation!G$4:G$1197,"",0),DMAV_Modell!$G$6:$G$677,0)))</f>
        <v>0</v>
      </c>
      <c r="E752" s="57">
        <f>IF($A752="","",IF(_xlfn.XLOOKUP($A752,Korrelation!$D$4:$D$1197,Korrelation!H$4:H$1197,"-",0)="-",0,MATCH(_xlfn.XLOOKUP($A752,Korrelation!$D$4:$D$1197,Korrelation!H$4:H$1197,"",0),DMAV_Dienste!$F$6:$F$140,0)))</f>
        <v>0</v>
      </c>
      <c r="F752" s="57">
        <f>IF($A752="","",IF(_xlfn.XLOOKUP($A752,Korrelation!$D$4:$D$1197,Korrelation!I$4:I$1197,"-",0)="-",0,MATCH(_xlfn.XLOOKUP($A752,Korrelation!$D$4:$D$1197,Korrelation!I$4:I$1197,"",0),DMAV_Dienste!$F$6:$F$140,0)))</f>
        <v>0</v>
      </c>
      <c r="G752" s="57">
        <f>IF($A752="","",IF(_xlfn.XLOOKUP($A752,Korrelation!$D$4:$D$1197,Korrelation!J$4:J$1197,"-",0)="-",0,MATCH(_xlfn.XLOOKUP($A752,Korrelation!$D$4:$D$1197,Korrelation!J$4:J$1197,"",0),DMAV_Dienste!$F$6:$F$140,0)))</f>
        <v>0</v>
      </c>
      <c r="H752" s="57">
        <f>IF($A752="","",IF(_xlfn.XLOOKUP($A752,Korrelation!$D$4:$D$1197,Korrelation!K$4:K$1197,"-",0)="-",0,MATCH(_xlfn.XLOOKUP($A752,Korrelation!$D$4:$D$1197,Korrelation!K$4:K$1197,"",0),'DM01-AV-CH'!$A$6:$A$834,0)))</f>
        <v>200</v>
      </c>
      <c r="J752" s="54" t="str" cm="1">
        <f t="array" aca="1" ref="J752" ca="1">IF(B752=0,IF(E752=0,"",HYPERLINK("#"&amp;RIGHT(CELL("adresse",OFFSET(DMAV_Dienste!$M$6,E752-1,0)),LEN(CELL("adresse",OFFSET(DMAV_Dienste!$M$6,E752-1,0)))-FIND("]",CELL("adresse",OFFSET(DMAV_Dienste!$M$6,E752-1,0)))),"Dienst")),HYPERLINK("#"&amp;RIGHT(CELL("adresse",OFFSET(DMAV_Modell!$N$6,B752-1,0)),LEN(CELL("adresse",OFFSET(DMAV_Modell!$N$6,B752-1,0)))-FIND("]",CELL("adresse",OFFSET(DMAV_Modell!$N$6,B752-1,0)))),"Modell"))</f>
        <v>Modell</v>
      </c>
      <c r="K752" s="61" t="str" cm="1">
        <f t="array" ref="K752">IF($B752=0,IF($E752=0,"",IF(INDEX(DMAV_Dienste!P$6:P$140,$E752)="","",INDEX(DMAV_Dienste!P$6:P$140,$E752))),IF(INDEX(DMAV_Modell!Q$6:Q$838,$B752)="","",INDEX(DMAV_Modell!Q$6:Q$838,$B752)))</f>
        <v>CLASS</v>
      </c>
      <c r="L752" s="62" t="str" cm="1">
        <f t="array" ref="L752">IF($B752=0,IF($E752=0,"",IF(INDEX(DMAV_Dienste!O$6:O$140,$E752)="","",INDEX(DMAV_Dienste!O$6:O$140,$E752))),IF(INDEX(DMAV_Modell!P$6:P$838,$B752)="","",INDEX(DMAV_Modell!P$6:P$838,$B752)))</f>
        <v>Bodenbedeckung</v>
      </c>
      <c r="M752" s="62" t="str" cm="1">
        <f t="array" ref="M752">IF($B752=0,IF($E752=0,"",IF(INDEX(DMAV_Dienste!Q$6:Q$140,$E752)="","",INDEX(DMAV_Dienste!Q$6:Q$140,$E752))),IF(INDEX(DMAV_Modell!R$6:R$838,$B752)="","",INDEX(DMAV_Modell!R$6:R$838,$B752)))</f>
        <v>BBNachfuehrung</v>
      </c>
      <c r="N752" s="62" t="str" cm="1">
        <f t="array" ref="N752">IF($B752=0,IF($E752=0,"",IF(INDEX(DMAV_Dienste!T$6:T$140,$E752)="","",INDEX(DMAV_Dienste!T$6:T$140,$E752))),IF(INDEX(DMAV_Modell!U$6:U$838,$B752)="","",INDEX(DMAV_Modell!U$6:U$838,$B752)))</f>
        <v>GueltigerEintrag</v>
      </c>
      <c r="O752" s="63" t="str" cm="1">
        <f t="array" aca="1" ref="O752" ca="1">IF(C752=0,IF(F752=0,"",HYPERLINK("#"&amp;RIGHT(CELL("adresse",OFFSET(DMAV_Dienste!$M$6,F752-1,0)),LEN(CELL("adresse",OFFSET(DMAV_Dienste!$M$6,F752-1,0)))-FIND("]",CELL("adresse",OFFSET(DMAV_Dienste!$M$6,F752-1,0)))),"Structure")),HYPERLINK("#"&amp;RIGHT(CELL("adresse",OFFSET(DMAV_Modell!$N$6,C752-1,0)),LEN(CELL("adresse",OFFSET(DMAV_Modell!$N$6,C752-1,0)))-FIND("]",CELL("adresse",OFFSET(DMAV_Modell!$N$6,C752-1,0)))),"Structure"))</f>
        <v/>
      </c>
      <c r="P752" s="64" t="str" cm="1">
        <f t="array" aca="1" ref="P752" ca="1">IF(D752=0,IF(G752=0,"",HYPERLINK("#"&amp;RIGHT(CELL("adresse",OFFSET(DMAV_Dienste!$M$6,G752-1,0)),LEN(CELL("adresse",OFFSET(DMAV_Dienste!$M$6,G752-1,0)))-FIND("]",CELL("adresse",OFFSET(DMAV_Dienste!$M$6,G752-1,0)))),"Substructure")),HYPERLINK("#"&amp;RIGHT(CELL("adresse",OFFSET(DMAV_Modell!$N$6,D752-1,0)),LEN(CELL("adresse",OFFSET(DMAV_Modell!$N$6,D752-1,0)))-FIND("]",CELL("adresse",OFFSET(DMAV_Modell!$N$6,D752-1,0)))),"Substructure"))</f>
        <v/>
      </c>
      <c r="R752" s="80"/>
      <c r="T752" s="93"/>
      <c r="U752" s="94"/>
      <c r="V752" s="95"/>
      <c r="W752" s="96"/>
      <c r="Y752" s="85"/>
      <c r="Z752" s="86"/>
      <c r="AA752" s="87"/>
      <c r="AB752" s="88"/>
      <c r="AD752" s="77"/>
      <c r="AF752" s="54" t="str" cm="1">
        <f t="array" aca="1" ref="AF752" ca="1">IF(H752=0,"",HYPERLINK("#"&amp;RIGHT(CELL("adresse",OFFSET('DM01-AV-CH'!$G$6,H752-1,0)),LEN(CELL("adresse",OFFSET('DM01-AV-CH'!$G$6,H752-1,0)))-FIND("]",CELL("adresse",OFFSET('DM01-AV-CH'!$G$6,H752-1,0)))),"Modell"))</f>
        <v>Modell</v>
      </c>
      <c r="AG752" s="72" t="str" cm="1">
        <f t="array" ref="AG752">IF($H752=0,"",IF(INDEX('DM01-AV-CH'!G$6:G$834,$H752)="","",INDEX('DM01-AV-CH'!G$6:G$834,$H752)))</f>
        <v>Bodenbedeckung</v>
      </c>
      <c r="AH752" s="73" t="str" cm="1">
        <f t="array" ref="AH752">IF($H752=0,"",IF(INDEX('DM01-AV-CH'!H$6:H$834,$H752)="","",INDEX('DM01-AV-CH'!H$6:H$834,$H752)))</f>
        <v>BBNachfuehrung</v>
      </c>
      <c r="AI752" s="74" t="str" cm="1">
        <f t="array" ref="AI752">IF($H752=0,"",IF(INDEX('DM01-AV-CH'!I$6:I$834,$H752)="","",INDEX('DM01-AV-CH'!I$6:I$834,$H752)))</f>
        <v>GueltigerEintrag</v>
      </c>
    </row>
    <row r="753" spans="1:35" ht="28.5" x14ac:dyDescent="0.25">
      <c r="A753" s="57">
        <v>748</v>
      </c>
      <c r="B753" s="57">
        <f>IF($A753="","",IF(_xlfn.XLOOKUP($A753,Korrelation!$D$4:$D$1197,Korrelation!E$4:E$1197,"-",0)="-",0,MATCH(_xlfn.XLOOKUP($A753,Korrelation!$D$4:$D$1197,Korrelation!E$4:E$1197,"",0),DMAV_Modell!$G$6:$G$677,0)))</f>
        <v>424</v>
      </c>
      <c r="C753" s="57">
        <f>IF($A753="","",IF(_xlfn.XLOOKUP($A753,Korrelation!$D$4:$D$1197,Korrelation!F$4:F$1197,"-",0)="-",0,MATCH(_xlfn.XLOOKUP($A753,Korrelation!$D$4:$D$1197,Korrelation!F$4:F$1197,"",0),DMAV_Modell!$G$6:$G$677,0)))</f>
        <v>0</v>
      </c>
      <c r="D753" s="57">
        <f>IF($A753="","",IF(_xlfn.XLOOKUP($A753,Korrelation!$D$4:$D$1197,Korrelation!G$4:G$1197,"-",0)="-",0,MATCH(_xlfn.XLOOKUP($A753,Korrelation!$D$4:$D$1197,Korrelation!G$4:G$1197,"",0),DMAV_Modell!$G$6:$G$677,0)))</f>
        <v>0</v>
      </c>
      <c r="E753" s="57">
        <f>IF($A753="","",IF(_xlfn.XLOOKUP($A753,Korrelation!$D$4:$D$1197,Korrelation!H$4:H$1197,"-",0)="-",0,MATCH(_xlfn.XLOOKUP($A753,Korrelation!$D$4:$D$1197,Korrelation!H$4:H$1197,"",0),DMAV_Dienste!$F$6:$F$140,0)))</f>
        <v>0</v>
      </c>
      <c r="F753" s="57">
        <f>IF($A753="","",IF(_xlfn.XLOOKUP($A753,Korrelation!$D$4:$D$1197,Korrelation!I$4:I$1197,"-",0)="-",0,MATCH(_xlfn.XLOOKUP($A753,Korrelation!$D$4:$D$1197,Korrelation!I$4:I$1197,"",0),DMAV_Dienste!$F$6:$F$140,0)))</f>
        <v>0</v>
      </c>
      <c r="G753" s="57">
        <f>IF($A753="","",IF(_xlfn.XLOOKUP($A753,Korrelation!$D$4:$D$1197,Korrelation!J$4:J$1197,"-",0)="-",0,MATCH(_xlfn.XLOOKUP($A753,Korrelation!$D$4:$D$1197,Korrelation!J$4:J$1197,"",0),DMAV_Dienste!$F$6:$F$140,0)))</f>
        <v>0</v>
      </c>
      <c r="H753" s="57">
        <f>IF($A753="","",IF(_xlfn.XLOOKUP($A753,Korrelation!$D$4:$D$1197,Korrelation!K$4:K$1197,"-",0)="-",0,MATCH(_xlfn.XLOOKUP($A753,Korrelation!$D$4:$D$1197,Korrelation!K$4:K$1197,"",0),'DM01-AV-CH'!$A$6:$A$834,0)))</f>
        <v>201</v>
      </c>
      <c r="J753" s="54" t="str" cm="1">
        <f t="array" aca="1" ref="J753" ca="1">IF(B753=0,IF(E753=0,"",HYPERLINK("#"&amp;RIGHT(CELL("adresse",OFFSET(DMAV_Dienste!$M$6,E753-1,0)),LEN(CELL("adresse",OFFSET(DMAV_Dienste!$M$6,E753-1,0)))-FIND("]",CELL("adresse",OFFSET(DMAV_Dienste!$M$6,E753-1,0)))),"Dienst")),HYPERLINK("#"&amp;RIGHT(CELL("adresse",OFFSET(DMAV_Modell!$N$6,B753-1,0)),LEN(CELL("adresse",OFFSET(DMAV_Modell!$N$6,B753-1,0)))-FIND("]",CELL("adresse",OFFSET(DMAV_Modell!$N$6,B753-1,0)))),"Modell"))</f>
        <v>Modell</v>
      </c>
      <c r="K753" s="61" t="str" cm="1">
        <f t="array" ref="K753">IF($B753=0,IF($E753=0,"",IF(INDEX(DMAV_Dienste!P$6:P$140,$E753)="","",INDEX(DMAV_Dienste!P$6:P$140,$E753))),IF(INDEX(DMAV_Modell!Q$6:Q$838,$B753)="","",INDEX(DMAV_Modell!Q$6:Q$838,$B753)))</f>
        <v>CLASS</v>
      </c>
      <c r="L753" s="62" t="str" cm="1">
        <f t="array" ref="L753">IF($B753=0,IF($E753=0,"",IF(INDEX(DMAV_Dienste!O$6:O$140,$E753)="","",INDEX(DMAV_Dienste!O$6:O$140,$E753))),IF(INDEX(DMAV_Modell!P$6:P$838,$B753)="","",INDEX(DMAV_Modell!P$6:P$838,$B753)))</f>
        <v>Bodenbedeckung</v>
      </c>
      <c r="M753" s="62" t="str" cm="1">
        <f t="array" ref="M753">IF($B753=0,IF($E753=0,"",IF(INDEX(DMAV_Dienste!Q$6:Q$140,$E753)="","",INDEX(DMAV_Dienste!Q$6:Q$140,$E753))),IF(INDEX(DMAV_Modell!R$6:R$838,$B753)="","",INDEX(DMAV_Modell!R$6:R$838,$B753)))</f>
        <v>BBNachfuehrung</v>
      </c>
      <c r="N753" s="62" t="str" cm="1">
        <f t="array" ref="N753">IF($B753=0,IF($E753=0,"",IF(INDEX(DMAV_Dienste!T$6:T$140,$E753)="","",INDEX(DMAV_Dienste!T$6:T$140,$E753))),IF(INDEX(DMAV_Modell!U$6:U$838,$B753)="","",INDEX(DMAV_Modell!U$6:U$838,$B753)))</f>
        <v>GueltigerEintrag</v>
      </c>
      <c r="O753" s="63" t="str" cm="1">
        <f t="array" aca="1" ref="O753" ca="1">IF(C753=0,IF(F753=0,"",HYPERLINK("#"&amp;RIGHT(CELL("adresse",OFFSET(DMAV_Dienste!$M$6,F753-1,0)),LEN(CELL("adresse",OFFSET(DMAV_Dienste!$M$6,F753-1,0)))-FIND("]",CELL("adresse",OFFSET(DMAV_Dienste!$M$6,F753-1,0)))),"Structure")),HYPERLINK("#"&amp;RIGHT(CELL("adresse",OFFSET(DMAV_Modell!$N$6,C753-1,0)),LEN(CELL("adresse",OFFSET(DMAV_Modell!$N$6,C753-1,0)))-FIND("]",CELL("adresse",OFFSET(DMAV_Modell!$N$6,C753-1,0)))),"Structure"))</f>
        <v/>
      </c>
      <c r="P753" s="64" t="str" cm="1">
        <f t="array" aca="1" ref="P753" ca="1">IF(D753=0,IF(G753=0,"",HYPERLINK("#"&amp;RIGHT(CELL("adresse",OFFSET(DMAV_Dienste!$M$6,G753-1,0)),LEN(CELL("adresse",OFFSET(DMAV_Dienste!$M$6,G753-1,0)))-FIND("]",CELL("adresse",OFFSET(DMAV_Dienste!$M$6,G753-1,0)))),"Substructure")),HYPERLINK("#"&amp;RIGHT(CELL("adresse",OFFSET(DMAV_Modell!$N$6,D753-1,0)),LEN(CELL("adresse",OFFSET(DMAV_Modell!$N$6,D753-1,0)))-FIND("]",CELL("adresse",OFFSET(DMAV_Modell!$N$6,D753-1,0)))),"Substructure"))</f>
        <v/>
      </c>
      <c r="R753" s="80"/>
      <c r="T753" s="93" t="s">
        <v>3139</v>
      </c>
      <c r="U753" s="94"/>
      <c r="V753" s="95"/>
      <c r="W753" s="96"/>
      <c r="Y753" s="85"/>
      <c r="Z753" s="86"/>
      <c r="AA753" s="87"/>
      <c r="AB753" s="88"/>
      <c r="AD753" s="77" t="s">
        <v>3049</v>
      </c>
      <c r="AF753" s="54" t="str" cm="1">
        <f t="array" aca="1" ref="AF753" ca="1">IF(H753=0,"",HYPERLINK("#"&amp;RIGHT(CELL("adresse",OFFSET('DM01-AV-CH'!$G$6,H753-1,0)),LEN(CELL("adresse",OFFSET('DM01-AV-CH'!$G$6,H753-1,0)))-FIND("]",CELL("adresse",OFFSET('DM01-AV-CH'!$G$6,H753-1,0)))),"Modell"))</f>
        <v>Modell</v>
      </c>
      <c r="AG753" s="72" t="str" cm="1">
        <f t="array" ref="AG753">IF($H753=0,"",IF(INDEX('DM01-AV-CH'!G$6:G$834,$H753)="","",INDEX('DM01-AV-CH'!G$6:G$834,$H753)))</f>
        <v>Bodenbedeckung</v>
      </c>
      <c r="AH753" s="73" t="str" cm="1">
        <f t="array" ref="AH753">IF($H753=0,"",IF(INDEX('DM01-AV-CH'!H$6:H$834,$H753)="","",INDEX('DM01-AV-CH'!H$6:H$834,$H753)))</f>
        <v>BBNachfuehrung</v>
      </c>
      <c r="AI753" s="74" t="str" cm="1">
        <f t="array" ref="AI753">IF($H753=0,"",IF(INDEX('DM01-AV-CH'!I$6:I$834,$H753)="","",INDEX('DM01-AV-CH'!I$6:I$834,$H753)))</f>
        <v>Datum1</v>
      </c>
    </row>
    <row r="754" spans="1:35" x14ac:dyDescent="0.25">
      <c r="A754" s="57">
        <v>749</v>
      </c>
      <c r="B754" s="57">
        <f>IF($A754="","",IF(_xlfn.XLOOKUP($A754,Korrelation!$D$4:$D$1197,Korrelation!E$4:E$1197,"-",0)="-",0,MATCH(_xlfn.XLOOKUP($A754,Korrelation!$D$4:$D$1197,Korrelation!E$4:E$1197,"",0),DMAV_Modell!$G$6:$G$677,0)))</f>
        <v>425</v>
      </c>
      <c r="C754" s="57">
        <f>IF($A754="","",IF(_xlfn.XLOOKUP($A754,Korrelation!$D$4:$D$1197,Korrelation!F$4:F$1197,"-",0)="-",0,MATCH(_xlfn.XLOOKUP($A754,Korrelation!$D$4:$D$1197,Korrelation!F$4:F$1197,"",0),DMAV_Modell!$G$6:$G$677,0)))</f>
        <v>0</v>
      </c>
      <c r="D754" s="57">
        <f>IF($A754="","",IF(_xlfn.XLOOKUP($A754,Korrelation!$D$4:$D$1197,Korrelation!G$4:G$1197,"-",0)="-",0,MATCH(_xlfn.XLOOKUP($A754,Korrelation!$D$4:$D$1197,Korrelation!G$4:G$1197,"",0),DMAV_Modell!$G$6:$G$677,0)))</f>
        <v>0</v>
      </c>
      <c r="E754" s="57">
        <f>IF($A754="","",IF(_xlfn.XLOOKUP($A754,Korrelation!$D$4:$D$1197,Korrelation!H$4:H$1197,"-",0)="-",0,MATCH(_xlfn.XLOOKUP($A754,Korrelation!$D$4:$D$1197,Korrelation!H$4:H$1197,"",0),DMAV_Dienste!$F$6:$F$140,0)))</f>
        <v>0</v>
      </c>
      <c r="F754" s="57">
        <f>IF($A754="","",IF(_xlfn.XLOOKUP($A754,Korrelation!$D$4:$D$1197,Korrelation!I$4:I$1197,"-",0)="-",0,MATCH(_xlfn.XLOOKUP($A754,Korrelation!$D$4:$D$1197,Korrelation!I$4:I$1197,"",0),DMAV_Dienste!$F$6:$F$140,0)))</f>
        <v>0</v>
      </c>
      <c r="G754" s="57">
        <f>IF($A754="","",IF(_xlfn.XLOOKUP($A754,Korrelation!$D$4:$D$1197,Korrelation!J$4:J$1197,"-",0)="-",0,MATCH(_xlfn.XLOOKUP($A754,Korrelation!$D$4:$D$1197,Korrelation!J$4:J$1197,"",0),DMAV_Dienste!$F$6:$F$140,0)))</f>
        <v>0</v>
      </c>
      <c r="H754" s="57">
        <f>IF($A754="","",IF(_xlfn.XLOOKUP($A754,Korrelation!$D$4:$D$1197,Korrelation!K$4:K$1197,"-",0)="-",0,MATCH(_xlfn.XLOOKUP($A754,Korrelation!$D$4:$D$1197,Korrelation!K$4:K$1197,"",0),'DM01-AV-CH'!$A$6:$A$834,0)))</f>
        <v>0</v>
      </c>
      <c r="J754" s="54" t="str" cm="1">
        <f t="array" aca="1" ref="J754" ca="1">IF(B754=0,IF(E754=0,"",HYPERLINK("#"&amp;RIGHT(CELL("adresse",OFFSET(DMAV_Dienste!$M$6,E754-1,0)),LEN(CELL("adresse",OFFSET(DMAV_Dienste!$M$6,E754-1,0)))-FIND("]",CELL("adresse",OFFSET(DMAV_Dienste!$M$6,E754-1,0)))),"Dienst")),HYPERLINK("#"&amp;RIGHT(CELL("adresse",OFFSET(DMAV_Modell!$N$6,B754-1,0)),LEN(CELL("adresse",OFFSET(DMAV_Modell!$N$6,B754-1,0)))-FIND("]",CELL("adresse",OFFSET(DMAV_Modell!$N$6,B754-1,0)))),"Modell"))</f>
        <v>Modell</v>
      </c>
      <c r="K754" s="61" t="str" cm="1">
        <f t="array" ref="K754">IF($B754=0,IF($E754=0,"",IF(INDEX(DMAV_Dienste!P$6:P$140,$E754)="","",INDEX(DMAV_Dienste!P$6:P$140,$E754))),IF(INDEX(DMAV_Modell!Q$6:Q$838,$B754)="","",INDEX(DMAV_Modell!Q$6:Q$838,$B754)))</f>
        <v>STRUCTURE</v>
      </c>
      <c r="L754" s="62" t="str" cm="1">
        <f t="array" ref="L754">IF($B754=0,IF($E754=0,"",IF(INDEX(DMAV_Dienste!O$6:O$140,$E754)="","",INDEX(DMAV_Dienste!O$6:O$140,$E754))),IF(INDEX(DMAV_Modell!P$6:P$838,$B754)="","",INDEX(DMAV_Modell!P$6:P$838,$B754)))</f>
        <v>Bodenbedeckung</v>
      </c>
      <c r="M754" s="62" t="str" cm="1">
        <f t="array" ref="M754">IF($B754=0,IF($E754=0,"",IF(INDEX(DMAV_Dienste!Q$6:Q$140,$E754)="","",INDEX(DMAV_Dienste!Q$6:Q$140,$E754))),IF(INDEX(DMAV_Modell!R$6:R$838,$B754)="","",INDEX(DMAV_Modell!R$6:R$838,$B754)))</f>
        <v>Objektnummer</v>
      </c>
      <c r="N754" s="62" t="str" cm="1">
        <f t="array" ref="N754">IF($B754=0,IF($E754=0,"",IF(INDEX(DMAV_Dienste!T$6:T$140,$E754)="","",INDEX(DMAV_Dienste!T$6:T$140,$E754))),IF(INDEX(DMAV_Modell!U$6:U$838,$B754)="","",INDEX(DMAV_Modell!U$6:U$838,$B754)))</f>
        <v>Nummer</v>
      </c>
      <c r="O754" s="63" t="str" cm="1">
        <f t="array" aca="1" ref="O754" ca="1">IF(C754=0,IF(F754=0,"",HYPERLINK("#"&amp;RIGHT(CELL("adresse",OFFSET(DMAV_Dienste!$M$6,F754-1,0)),LEN(CELL("adresse",OFFSET(DMAV_Dienste!$M$6,F754-1,0)))-FIND("]",CELL("adresse",OFFSET(DMAV_Dienste!$M$6,F754-1,0)))),"Structure")),HYPERLINK("#"&amp;RIGHT(CELL("adresse",OFFSET(DMAV_Modell!$N$6,C754-1,0)),LEN(CELL("adresse",OFFSET(DMAV_Modell!$N$6,C754-1,0)))-FIND("]",CELL("adresse",OFFSET(DMAV_Modell!$N$6,C754-1,0)))),"Structure"))</f>
        <v/>
      </c>
      <c r="P754" s="64" t="str" cm="1">
        <f t="array" aca="1" ref="P754" ca="1">IF(D754=0,IF(G754=0,"",HYPERLINK("#"&amp;RIGHT(CELL("adresse",OFFSET(DMAV_Dienste!$M$6,G754-1,0)),LEN(CELL("adresse",OFFSET(DMAV_Dienste!$M$6,G754-1,0)))-FIND("]",CELL("adresse",OFFSET(DMAV_Dienste!$M$6,G754-1,0)))),"Substructure")),HYPERLINK("#"&amp;RIGHT(CELL("adresse",OFFSET(DMAV_Modell!$N$6,D754-1,0)),LEN(CELL("adresse",OFFSET(DMAV_Modell!$N$6,D754-1,0)))-FIND("]",CELL("adresse",OFFSET(DMAV_Modell!$N$6,D754-1,0)))),"Substructure"))</f>
        <v/>
      </c>
      <c r="R754" s="80"/>
      <c r="T754" s="93"/>
      <c r="U754" s="94"/>
      <c r="V754" s="95"/>
      <c r="W754" s="96"/>
      <c r="Y754" s="85"/>
      <c r="Z754" s="86"/>
      <c r="AA754" s="87"/>
      <c r="AB754" s="88"/>
      <c r="AD754" s="77"/>
      <c r="AF754" s="54" t="str" cm="1">
        <f t="array" aca="1" ref="AF754" ca="1">IF(H754=0,"",HYPERLINK("#"&amp;RIGHT(CELL("adresse",OFFSET('DM01-AV-CH'!$G$6,H754-1,0)),LEN(CELL("adresse",OFFSET('DM01-AV-CH'!$G$6,H754-1,0)))-FIND("]",CELL("adresse",OFFSET('DM01-AV-CH'!$G$6,H754-1,0)))),"Modell"))</f>
        <v/>
      </c>
      <c r="AG754" s="72" t="str" cm="1">
        <f t="array" ref="AG754">IF($H754=0,"",IF(INDEX('DM01-AV-CH'!G$6:G$834,$H754)="","",INDEX('DM01-AV-CH'!G$6:G$834,$H754)))</f>
        <v/>
      </c>
      <c r="AH754" s="73" t="str" cm="1">
        <f t="array" ref="AH754">IF($H754=0,"",IF(INDEX('DM01-AV-CH'!H$6:H$834,$H754)="","",INDEX('DM01-AV-CH'!H$6:H$834,$H754)))</f>
        <v/>
      </c>
      <c r="AI754" s="74" t="str" cm="1">
        <f t="array" ref="AI754">IF($H754=0,"",IF(INDEX('DM01-AV-CH'!I$6:I$834,$H754)="","",INDEX('DM01-AV-CH'!I$6:I$834,$H754)))</f>
        <v/>
      </c>
    </row>
    <row r="755" spans="1:35" x14ac:dyDescent="0.25">
      <c r="A755" s="57">
        <v>750</v>
      </c>
      <c r="B755" s="57">
        <f>IF($A755="","",IF(_xlfn.XLOOKUP($A755,Korrelation!$D$4:$D$1197,Korrelation!E$4:E$1197,"-",0)="-",0,MATCH(_xlfn.XLOOKUP($A755,Korrelation!$D$4:$D$1197,Korrelation!E$4:E$1197,"",0),DMAV_Modell!$G$6:$G$677,0)))</f>
        <v>426</v>
      </c>
      <c r="C755" s="57">
        <f>IF($A755="","",IF(_xlfn.XLOOKUP($A755,Korrelation!$D$4:$D$1197,Korrelation!F$4:F$1197,"-",0)="-",0,MATCH(_xlfn.XLOOKUP($A755,Korrelation!$D$4:$D$1197,Korrelation!F$4:F$1197,"",0),DMAV_Modell!$G$6:$G$677,0)))</f>
        <v>26</v>
      </c>
      <c r="D755" s="57">
        <f>IF($A755="","",IF(_xlfn.XLOOKUP($A755,Korrelation!$D$4:$D$1197,Korrelation!G$4:G$1197,"-",0)="-",0,MATCH(_xlfn.XLOOKUP($A755,Korrelation!$D$4:$D$1197,Korrelation!G$4:G$1197,"",0),DMAV_Modell!$G$6:$G$677,0)))</f>
        <v>0</v>
      </c>
      <c r="E755" s="57">
        <f>IF($A755="","",IF(_xlfn.XLOOKUP($A755,Korrelation!$D$4:$D$1197,Korrelation!H$4:H$1197,"-",0)="-",0,MATCH(_xlfn.XLOOKUP($A755,Korrelation!$D$4:$D$1197,Korrelation!H$4:H$1197,"",0),DMAV_Dienste!$F$6:$F$140,0)))</f>
        <v>0</v>
      </c>
      <c r="F755" s="57">
        <f>IF($A755="","",IF(_xlfn.XLOOKUP($A755,Korrelation!$D$4:$D$1197,Korrelation!I$4:I$1197,"-",0)="-",0,MATCH(_xlfn.XLOOKUP($A755,Korrelation!$D$4:$D$1197,Korrelation!I$4:I$1197,"",0),DMAV_Dienste!$F$6:$F$140,0)))</f>
        <v>0</v>
      </c>
      <c r="G755" s="57">
        <f>IF($A755="","",IF(_xlfn.XLOOKUP($A755,Korrelation!$D$4:$D$1197,Korrelation!J$4:J$1197,"-",0)="-",0,MATCH(_xlfn.XLOOKUP($A755,Korrelation!$D$4:$D$1197,Korrelation!J$4:J$1197,"",0),DMAV_Dienste!$F$6:$F$140,0)))</f>
        <v>0</v>
      </c>
      <c r="H755" s="57">
        <f>IF($A755="","",IF(_xlfn.XLOOKUP($A755,Korrelation!$D$4:$D$1197,Korrelation!K$4:K$1197,"-",0)="-",0,MATCH(_xlfn.XLOOKUP($A755,Korrelation!$D$4:$D$1197,Korrelation!K$4:K$1197,"",0),'DM01-AV-CH'!$A$6:$A$834,0)))</f>
        <v>0</v>
      </c>
      <c r="J755" s="54" t="str" cm="1">
        <f t="array" aca="1" ref="J755" ca="1">IF(B755=0,IF(E755=0,"",HYPERLINK("#"&amp;RIGHT(CELL("adresse",OFFSET(DMAV_Dienste!$M$6,E755-1,0)),LEN(CELL("adresse",OFFSET(DMAV_Dienste!$M$6,E755-1,0)))-FIND("]",CELL("adresse",OFFSET(DMAV_Dienste!$M$6,E755-1,0)))),"Dienst")),HYPERLINK("#"&amp;RIGHT(CELL("adresse",OFFSET(DMAV_Modell!$N$6,B755-1,0)),LEN(CELL("adresse",OFFSET(DMAV_Modell!$N$6,B755-1,0)))-FIND("]",CELL("adresse",OFFSET(DMAV_Modell!$N$6,B755-1,0)))),"Modell"))</f>
        <v>Modell</v>
      </c>
      <c r="K755" s="61" t="str" cm="1">
        <f t="array" ref="K755">IF($B755=0,IF($E755=0,"",IF(INDEX(DMAV_Dienste!P$6:P$140,$E755)="","",INDEX(DMAV_Dienste!P$6:P$140,$E755))),IF(INDEX(DMAV_Modell!Q$6:Q$838,$B755)="","",INDEX(DMAV_Modell!Q$6:Q$838,$B755)))</f>
        <v>STRUCTURE</v>
      </c>
      <c r="L755" s="62" t="str" cm="1">
        <f t="array" ref="L755">IF($B755=0,IF($E755=0,"",IF(INDEX(DMAV_Dienste!O$6:O$140,$E755)="","",INDEX(DMAV_Dienste!O$6:O$140,$E755))),IF(INDEX(DMAV_Modell!P$6:P$838,$B755)="","",INDEX(DMAV_Modell!P$6:P$838,$B755)))</f>
        <v>Bodenbedeckung</v>
      </c>
      <c r="M755" s="62" t="str" cm="1">
        <f t="array" ref="M755">IF($B755=0,IF($E755=0,"",IF(INDEX(DMAV_Dienste!Q$6:Q$140,$E755)="","",INDEX(DMAV_Dienste!Q$6:Q$140,$E755))),IF(INDEX(DMAV_Modell!R$6:R$838,$B755)="","",INDEX(DMAV_Modell!R$6:R$838,$B755)))</f>
        <v>Objektnummer</v>
      </c>
      <c r="N755" s="62" t="str" cm="1">
        <f t="array" ref="N755">IF($B755=0,IF($E755=0,"",IF(INDEX(DMAV_Dienste!T$6:T$140,$E755)="","",INDEX(DMAV_Dienste!T$6:T$140,$E755))),IF(INDEX(DMAV_Modell!U$6:U$838,$B755)="","",INDEX(DMAV_Modell!U$6:U$838,$B755)))</f>
        <v>Textposition</v>
      </c>
      <c r="O755" s="63" t="str" cm="1">
        <f t="array" aca="1" ref="O755" ca="1">IF(C755=0,IF(F755=0,"",HYPERLINK("#"&amp;RIGHT(CELL("adresse",OFFSET(DMAV_Dienste!$M$6,F755-1,0)),LEN(CELL("adresse",OFFSET(DMAV_Dienste!$M$6,F755-1,0)))-FIND("]",CELL("adresse",OFFSET(DMAV_Dienste!$M$6,F755-1,0)))),"Structure")),HYPERLINK("#"&amp;RIGHT(CELL("adresse",OFFSET(DMAV_Modell!$N$6,C755-1,0)),LEN(CELL("adresse",OFFSET(DMAV_Modell!$N$6,C755-1,0)))-FIND("]",CELL("adresse",OFFSET(DMAV_Modell!$N$6,C755-1,0)))),"Structure"))</f>
        <v>Structure</v>
      </c>
      <c r="P755" s="64" t="str" cm="1">
        <f t="array" aca="1" ref="P755" ca="1">IF(D755=0,IF(G755=0,"",HYPERLINK("#"&amp;RIGHT(CELL("adresse",OFFSET(DMAV_Dienste!$M$6,G755-1,0)),LEN(CELL("adresse",OFFSET(DMAV_Dienste!$M$6,G755-1,0)))-FIND("]",CELL("adresse",OFFSET(DMAV_Dienste!$M$6,G755-1,0)))),"Substructure")),HYPERLINK("#"&amp;RIGHT(CELL("adresse",OFFSET(DMAV_Modell!$N$6,D755-1,0)),LEN(CELL("adresse",OFFSET(DMAV_Modell!$N$6,D755-1,0)))-FIND("]",CELL("adresse",OFFSET(DMAV_Modell!$N$6,D755-1,0)))),"Substructure"))</f>
        <v/>
      </c>
      <c r="R755" s="80"/>
      <c r="T755" s="93"/>
      <c r="U755" s="94"/>
      <c r="V755" s="95"/>
      <c r="W755" s="96"/>
      <c r="Y755" s="85"/>
      <c r="Z755" s="86"/>
      <c r="AA755" s="87"/>
      <c r="AB755" s="88"/>
      <c r="AD755" s="77"/>
      <c r="AF755" s="54" t="str" cm="1">
        <f t="array" aca="1" ref="AF755" ca="1">IF(H755=0,"",HYPERLINK("#"&amp;RIGHT(CELL("adresse",OFFSET('DM01-AV-CH'!$G$6,H755-1,0)),LEN(CELL("adresse",OFFSET('DM01-AV-CH'!$G$6,H755-1,0)))-FIND("]",CELL("adresse",OFFSET('DM01-AV-CH'!$G$6,H755-1,0)))),"Modell"))</f>
        <v/>
      </c>
      <c r="AG755" s="72" t="str" cm="1">
        <f t="array" ref="AG755">IF($H755=0,"",IF(INDEX('DM01-AV-CH'!G$6:G$834,$H755)="","",INDEX('DM01-AV-CH'!G$6:G$834,$H755)))</f>
        <v/>
      </c>
      <c r="AH755" s="73" t="str" cm="1">
        <f t="array" ref="AH755">IF($H755=0,"",IF(INDEX('DM01-AV-CH'!H$6:H$834,$H755)="","",INDEX('DM01-AV-CH'!H$6:H$834,$H755)))</f>
        <v/>
      </c>
      <c r="AI755" s="74" t="str" cm="1">
        <f t="array" ref="AI755">IF($H755=0,"",IF(INDEX('DM01-AV-CH'!I$6:I$834,$H755)="","",INDEX('DM01-AV-CH'!I$6:I$834,$H755)))</f>
        <v/>
      </c>
    </row>
    <row r="756" spans="1:35" x14ac:dyDescent="0.25">
      <c r="A756" s="57">
        <v>751</v>
      </c>
      <c r="B756" s="57">
        <f>IF($A756="","",IF(_xlfn.XLOOKUP($A756,Korrelation!$D$4:$D$1197,Korrelation!E$4:E$1197,"-",0)="-",0,MATCH(_xlfn.XLOOKUP($A756,Korrelation!$D$4:$D$1197,Korrelation!E$4:E$1197,"",0),DMAV_Modell!$G$6:$G$677,0)))</f>
        <v>427</v>
      </c>
      <c r="C756" s="57">
        <f>IF($A756="","",IF(_xlfn.XLOOKUP($A756,Korrelation!$D$4:$D$1197,Korrelation!F$4:F$1197,"-",0)="-",0,MATCH(_xlfn.XLOOKUP($A756,Korrelation!$D$4:$D$1197,Korrelation!F$4:F$1197,"",0),DMAV_Modell!$G$6:$G$677,0)))</f>
        <v>0</v>
      </c>
      <c r="D756" s="57">
        <f>IF($A756="","",IF(_xlfn.XLOOKUP($A756,Korrelation!$D$4:$D$1197,Korrelation!G$4:G$1197,"-",0)="-",0,MATCH(_xlfn.XLOOKUP($A756,Korrelation!$D$4:$D$1197,Korrelation!G$4:G$1197,"",0),DMAV_Modell!$G$6:$G$677,0)))</f>
        <v>0</v>
      </c>
      <c r="E756" s="57">
        <f>IF($A756="","",IF(_xlfn.XLOOKUP($A756,Korrelation!$D$4:$D$1197,Korrelation!H$4:H$1197,"-",0)="-",0,MATCH(_xlfn.XLOOKUP($A756,Korrelation!$D$4:$D$1197,Korrelation!H$4:H$1197,"",0),DMAV_Dienste!$F$6:$F$140,0)))</f>
        <v>0</v>
      </c>
      <c r="F756" s="57">
        <f>IF($A756="","",IF(_xlfn.XLOOKUP($A756,Korrelation!$D$4:$D$1197,Korrelation!I$4:I$1197,"-",0)="-",0,MATCH(_xlfn.XLOOKUP($A756,Korrelation!$D$4:$D$1197,Korrelation!I$4:I$1197,"",0),DMAV_Dienste!$F$6:$F$140,0)))</f>
        <v>0</v>
      </c>
      <c r="G756" s="57">
        <f>IF($A756="","",IF(_xlfn.XLOOKUP($A756,Korrelation!$D$4:$D$1197,Korrelation!J$4:J$1197,"-",0)="-",0,MATCH(_xlfn.XLOOKUP($A756,Korrelation!$D$4:$D$1197,Korrelation!J$4:J$1197,"",0),DMAV_Dienste!$F$6:$F$140,0)))</f>
        <v>0</v>
      </c>
      <c r="H756" s="57">
        <f>IF($A756="","",IF(_xlfn.XLOOKUP($A756,Korrelation!$D$4:$D$1197,Korrelation!K$4:K$1197,"-",0)="-",0,MATCH(_xlfn.XLOOKUP($A756,Korrelation!$D$4:$D$1197,Korrelation!K$4:K$1197,"",0),'DM01-AV-CH'!$A$6:$A$834,0)))</f>
        <v>0</v>
      </c>
      <c r="J756" s="54" t="str" cm="1">
        <f t="array" aca="1" ref="J756" ca="1">IF(B756=0,IF(E756=0,"",HYPERLINK("#"&amp;RIGHT(CELL("adresse",OFFSET(DMAV_Dienste!$M$6,E756-1,0)),LEN(CELL("adresse",OFFSET(DMAV_Dienste!$M$6,E756-1,0)))-FIND("]",CELL("adresse",OFFSET(DMAV_Dienste!$M$6,E756-1,0)))),"Dienst")),HYPERLINK("#"&amp;RIGHT(CELL("adresse",OFFSET(DMAV_Modell!$N$6,B756-1,0)),LEN(CELL("adresse",OFFSET(DMAV_Modell!$N$6,B756-1,0)))-FIND("]",CELL("adresse",OFFSET(DMAV_Modell!$N$6,B756-1,0)))),"Modell"))</f>
        <v>Modell</v>
      </c>
      <c r="K756" s="61" t="str" cm="1">
        <f t="array" ref="K756">IF($B756=0,IF($E756=0,"",IF(INDEX(DMAV_Dienste!P$6:P$140,$E756)="","",INDEX(DMAV_Dienste!P$6:P$140,$E756))),IF(INDEX(DMAV_Modell!Q$6:Q$838,$B756)="","",INDEX(DMAV_Modell!Q$6:Q$838,$B756)))</f>
        <v>STRUCTURE</v>
      </c>
      <c r="L756" s="62" t="str" cm="1">
        <f t="array" ref="L756">IF($B756=0,IF($E756=0,"",IF(INDEX(DMAV_Dienste!O$6:O$140,$E756)="","",INDEX(DMAV_Dienste!O$6:O$140,$E756))),IF(INDEX(DMAV_Modell!P$6:P$838,$B756)="","",INDEX(DMAV_Modell!P$6:P$838,$B756)))</f>
        <v>Bodenbedeckung</v>
      </c>
      <c r="M756" s="62" t="str" cm="1">
        <f t="array" ref="M756">IF($B756=0,IF($E756=0,"",IF(INDEX(DMAV_Dienste!Q$6:Q$140,$E756)="","",INDEX(DMAV_Dienste!Q$6:Q$140,$E756))),IF(INDEX(DMAV_Modell!R$6:R$838,$B756)="","",INDEX(DMAV_Modell!R$6:R$838,$B756)))</f>
        <v>Objektname</v>
      </c>
      <c r="N756" s="62" t="str" cm="1">
        <f t="array" ref="N756">IF($B756=0,IF($E756=0,"",IF(INDEX(DMAV_Dienste!T$6:T$140,$E756)="","",INDEX(DMAV_Dienste!T$6:T$140,$E756))),IF(INDEX(DMAV_Modell!U$6:U$838,$B756)="","",INDEX(DMAV_Modell!U$6:U$838,$B756)))</f>
        <v>Name</v>
      </c>
      <c r="O756" s="63" t="str" cm="1">
        <f t="array" aca="1" ref="O756" ca="1">IF(C756=0,IF(F756=0,"",HYPERLINK("#"&amp;RIGHT(CELL("adresse",OFFSET(DMAV_Dienste!$M$6,F756-1,0)),LEN(CELL("adresse",OFFSET(DMAV_Dienste!$M$6,F756-1,0)))-FIND("]",CELL("adresse",OFFSET(DMAV_Dienste!$M$6,F756-1,0)))),"Structure")),HYPERLINK("#"&amp;RIGHT(CELL("adresse",OFFSET(DMAV_Modell!$N$6,C756-1,0)),LEN(CELL("adresse",OFFSET(DMAV_Modell!$N$6,C756-1,0)))-FIND("]",CELL("adresse",OFFSET(DMAV_Modell!$N$6,C756-1,0)))),"Structure"))</f>
        <v/>
      </c>
      <c r="P756" s="64" t="str" cm="1">
        <f t="array" aca="1" ref="P756" ca="1">IF(D756=0,IF(G756=0,"",HYPERLINK("#"&amp;RIGHT(CELL("adresse",OFFSET(DMAV_Dienste!$M$6,G756-1,0)),LEN(CELL("adresse",OFFSET(DMAV_Dienste!$M$6,G756-1,0)))-FIND("]",CELL("adresse",OFFSET(DMAV_Dienste!$M$6,G756-1,0)))),"Substructure")),HYPERLINK("#"&amp;RIGHT(CELL("adresse",OFFSET(DMAV_Modell!$N$6,D756-1,0)),LEN(CELL("adresse",OFFSET(DMAV_Modell!$N$6,D756-1,0)))-FIND("]",CELL("adresse",OFFSET(DMAV_Modell!$N$6,D756-1,0)))),"Substructure"))</f>
        <v/>
      </c>
      <c r="R756" s="80"/>
      <c r="T756" s="93"/>
      <c r="U756" s="94"/>
      <c r="V756" s="95"/>
      <c r="W756" s="96"/>
      <c r="Y756" s="85"/>
      <c r="Z756" s="86"/>
      <c r="AA756" s="87"/>
      <c r="AB756" s="88"/>
      <c r="AD756" s="77"/>
      <c r="AF756" s="54" t="str" cm="1">
        <f t="array" aca="1" ref="AF756" ca="1">IF(H756=0,"",HYPERLINK("#"&amp;RIGHT(CELL("adresse",OFFSET('DM01-AV-CH'!$G$6,H756-1,0)),LEN(CELL("adresse",OFFSET('DM01-AV-CH'!$G$6,H756-1,0)))-FIND("]",CELL("adresse",OFFSET('DM01-AV-CH'!$G$6,H756-1,0)))),"Modell"))</f>
        <v/>
      </c>
      <c r="AG756" s="72" t="str" cm="1">
        <f t="array" ref="AG756">IF($H756=0,"",IF(INDEX('DM01-AV-CH'!G$6:G$834,$H756)="","",INDEX('DM01-AV-CH'!G$6:G$834,$H756)))</f>
        <v/>
      </c>
      <c r="AH756" s="73" t="str" cm="1">
        <f t="array" ref="AH756">IF($H756=0,"",IF(INDEX('DM01-AV-CH'!H$6:H$834,$H756)="","",INDEX('DM01-AV-CH'!H$6:H$834,$H756)))</f>
        <v/>
      </c>
      <c r="AI756" s="74" t="str" cm="1">
        <f t="array" ref="AI756">IF($H756=0,"",IF(INDEX('DM01-AV-CH'!I$6:I$834,$H756)="","",INDEX('DM01-AV-CH'!I$6:I$834,$H756)))</f>
        <v/>
      </c>
    </row>
    <row r="757" spans="1:35" x14ac:dyDescent="0.25">
      <c r="A757" s="57">
        <v>752</v>
      </c>
      <c r="B757" s="57">
        <f>IF($A757="","",IF(_xlfn.XLOOKUP($A757,Korrelation!$D$4:$D$1197,Korrelation!E$4:E$1197,"-",0)="-",0,MATCH(_xlfn.XLOOKUP($A757,Korrelation!$D$4:$D$1197,Korrelation!E$4:E$1197,"",0),DMAV_Modell!$G$6:$G$677,0)))</f>
        <v>428</v>
      </c>
      <c r="C757" s="57">
        <f>IF($A757="","",IF(_xlfn.XLOOKUP($A757,Korrelation!$D$4:$D$1197,Korrelation!F$4:F$1197,"-",0)="-",0,MATCH(_xlfn.XLOOKUP($A757,Korrelation!$D$4:$D$1197,Korrelation!F$4:F$1197,"",0),DMAV_Modell!$G$6:$G$677,0)))</f>
        <v>26</v>
      </c>
      <c r="D757" s="57">
        <f>IF($A757="","",IF(_xlfn.XLOOKUP($A757,Korrelation!$D$4:$D$1197,Korrelation!G$4:G$1197,"-",0)="-",0,MATCH(_xlfn.XLOOKUP($A757,Korrelation!$D$4:$D$1197,Korrelation!G$4:G$1197,"",0),DMAV_Modell!$G$6:$G$677,0)))</f>
        <v>0</v>
      </c>
      <c r="E757" s="57">
        <f>IF($A757="","",IF(_xlfn.XLOOKUP($A757,Korrelation!$D$4:$D$1197,Korrelation!H$4:H$1197,"-",0)="-",0,MATCH(_xlfn.XLOOKUP($A757,Korrelation!$D$4:$D$1197,Korrelation!H$4:H$1197,"",0),DMAV_Dienste!$F$6:$F$140,0)))</f>
        <v>0</v>
      </c>
      <c r="F757" s="57">
        <f>IF($A757="","",IF(_xlfn.XLOOKUP($A757,Korrelation!$D$4:$D$1197,Korrelation!I$4:I$1197,"-",0)="-",0,MATCH(_xlfn.XLOOKUP($A757,Korrelation!$D$4:$D$1197,Korrelation!I$4:I$1197,"",0),DMAV_Dienste!$F$6:$F$140,0)))</f>
        <v>0</v>
      </c>
      <c r="G757" s="57">
        <f>IF($A757="","",IF(_xlfn.XLOOKUP($A757,Korrelation!$D$4:$D$1197,Korrelation!J$4:J$1197,"-",0)="-",0,MATCH(_xlfn.XLOOKUP($A757,Korrelation!$D$4:$D$1197,Korrelation!J$4:J$1197,"",0),DMAV_Dienste!$F$6:$F$140,0)))</f>
        <v>0</v>
      </c>
      <c r="H757" s="57">
        <f>IF($A757="","",IF(_xlfn.XLOOKUP($A757,Korrelation!$D$4:$D$1197,Korrelation!K$4:K$1197,"-",0)="-",0,MATCH(_xlfn.XLOOKUP($A757,Korrelation!$D$4:$D$1197,Korrelation!K$4:K$1197,"",0),'DM01-AV-CH'!$A$6:$A$834,0)))</f>
        <v>0</v>
      </c>
      <c r="J757" s="54" t="str" cm="1">
        <f t="array" aca="1" ref="J757" ca="1">IF(B757=0,IF(E757=0,"",HYPERLINK("#"&amp;RIGHT(CELL("adresse",OFFSET(DMAV_Dienste!$M$6,E757-1,0)),LEN(CELL("adresse",OFFSET(DMAV_Dienste!$M$6,E757-1,0)))-FIND("]",CELL("adresse",OFFSET(DMAV_Dienste!$M$6,E757-1,0)))),"Dienst")),HYPERLINK("#"&amp;RIGHT(CELL("adresse",OFFSET(DMAV_Modell!$N$6,B757-1,0)),LEN(CELL("adresse",OFFSET(DMAV_Modell!$N$6,B757-1,0)))-FIND("]",CELL("adresse",OFFSET(DMAV_Modell!$N$6,B757-1,0)))),"Modell"))</f>
        <v>Modell</v>
      </c>
      <c r="K757" s="61" t="str" cm="1">
        <f t="array" ref="K757">IF($B757=0,IF($E757=0,"",IF(INDEX(DMAV_Dienste!P$6:P$140,$E757)="","",INDEX(DMAV_Dienste!P$6:P$140,$E757))),IF(INDEX(DMAV_Modell!Q$6:Q$838,$B757)="","",INDEX(DMAV_Modell!Q$6:Q$838,$B757)))</f>
        <v>STRUCTURE</v>
      </c>
      <c r="L757" s="62" t="str" cm="1">
        <f t="array" ref="L757">IF($B757=0,IF($E757=0,"",IF(INDEX(DMAV_Dienste!O$6:O$140,$E757)="","",INDEX(DMAV_Dienste!O$6:O$140,$E757))),IF(INDEX(DMAV_Modell!P$6:P$838,$B757)="","",INDEX(DMAV_Modell!P$6:P$838,$B757)))</f>
        <v>Bodenbedeckung</v>
      </c>
      <c r="M757" s="62" t="str" cm="1">
        <f t="array" ref="M757">IF($B757=0,IF($E757=0,"",IF(INDEX(DMAV_Dienste!Q$6:Q$140,$E757)="","",INDEX(DMAV_Dienste!Q$6:Q$140,$E757))),IF(INDEX(DMAV_Modell!R$6:R$838,$B757)="","",INDEX(DMAV_Modell!R$6:R$838,$B757)))</f>
        <v>Objektname</v>
      </c>
      <c r="N757" s="62" t="str" cm="1">
        <f t="array" ref="N757">IF($B757=0,IF($E757=0,"",IF(INDEX(DMAV_Dienste!T$6:T$140,$E757)="","",INDEX(DMAV_Dienste!T$6:T$140,$E757))),IF(INDEX(DMAV_Modell!U$6:U$838,$B757)="","",INDEX(DMAV_Modell!U$6:U$838,$B757)))</f>
        <v>Textposition</v>
      </c>
      <c r="O757" s="63" t="str" cm="1">
        <f t="array" aca="1" ref="O757" ca="1">IF(C757=0,IF(F757=0,"",HYPERLINK("#"&amp;RIGHT(CELL("adresse",OFFSET(DMAV_Dienste!$M$6,F757-1,0)),LEN(CELL("adresse",OFFSET(DMAV_Dienste!$M$6,F757-1,0)))-FIND("]",CELL("adresse",OFFSET(DMAV_Dienste!$M$6,F757-1,0)))),"Structure")),HYPERLINK("#"&amp;RIGHT(CELL("adresse",OFFSET(DMAV_Modell!$N$6,C757-1,0)),LEN(CELL("adresse",OFFSET(DMAV_Modell!$N$6,C757-1,0)))-FIND("]",CELL("adresse",OFFSET(DMAV_Modell!$N$6,C757-1,0)))),"Structure"))</f>
        <v>Structure</v>
      </c>
      <c r="P757" s="64" t="str" cm="1">
        <f t="array" aca="1" ref="P757" ca="1">IF(D757=0,IF(G757=0,"",HYPERLINK("#"&amp;RIGHT(CELL("adresse",OFFSET(DMAV_Dienste!$M$6,G757-1,0)),LEN(CELL("adresse",OFFSET(DMAV_Dienste!$M$6,G757-1,0)))-FIND("]",CELL("adresse",OFFSET(DMAV_Dienste!$M$6,G757-1,0)))),"Substructure")),HYPERLINK("#"&amp;RIGHT(CELL("adresse",OFFSET(DMAV_Modell!$N$6,D757-1,0)),LEN(CELL("adresse",OFFSET(DMAV_Modell!$N$6,D757-1,0)))-FIND("]",CELL("adresse",OFFSET(DMAV_Modell!$N$6,D757-1,0)))),"Substructure"))</f>
        <v/>
      </c>
      <c r="R757" s="80"/>
      <c r="T757" s="93"/>
      <c r="U757" s="94"/>
      <c r="V757" s="95"/>
      <c r="W757" s="96"/>
      <c r="Y757" s="85"/>
      <c r="Z757" s="86"/>
      <c r="AA757" s="87"/>
      <c r="AB757" s="88"/>
      <c r="AD757" s="77"/>
      <c r="AF757" s="54" t="str" cm="1">
        <f t="array" aca="1" ref="AF757" ca="1">IF(H757=0,"",HYPERLINK("#"&amp;RIGHT(CELL("adresse",OFFSET('DM01-AV-CH'!$G$6,H757-1,0)),LEN(CELL("adresse",OFFSET('DM01-AV-CH'!$G$6,H757-1,0)))-FIND("]",CELL("adresse",OFFSET('DM01-AV-CH'!$G$6,H757-1,0)))),"Modell"))</f>
        <v/>
      </c>
      <c r="AG757" s="72" t="str" cm="1">
        <f t="array" ref="AG757">IF($H757=0,"",IF(INDEX('DM01-AV-CH'!G$6:G$834,$H757)="","",INDEX('DM01-AV-CH'!G$6:G$834,$H757)))</f>
        <v/>
      </c>
      <c r="AH757" s="73" t="str" cm="1">
        <f t="array" ref="AH757">IF($H757=0,"",IF(INDEX('DM01-AV-CH'!H$6:H$834,$H757)="","",INDEX('DM01-AV-CH'!H$6:H$834,$H757)))</f>
        <v/>
      </c>
      <c r="AI757" s="74" t="str" cm="1">
        <f t="array" ref="AI757">IF($H757=0,"",IF(INDEX('DM01-AV-CH'!I$6:I$834,$H757)="","",INDEX('DM01-AV-CH'!I$6:I$834,$H757)))</f>
        <v/>
      </c>
    </row>
    <row r="758" spans="1:35" x14ac:dyDescent="0.25">
      <c r="A758" s="57">
        <v>753</v>
      </c>
      <c r="B758" s="57">
        <f>IF($A758="","",IF(_xlfn.XLOOKUP($A758,Korrelation!$D$4:$D$1197,Korrelation!E$4:E$1197,"-",0)="-",0,MATCH(_xlfn.XLOOKUP($A758,Korrelation!$D$4:$D$1197,Korrelation!E$4:E$1197,"",0),DMAV_Modell!$G$6:$G$677,0)))</f>
        <v>0</v>
      </c>
      <c r="C758" s="57">
        <f>IF($A758="","",IF(_xlfn.XLOOKUP($A758,Korrelation!$D$4:$D$1197,Korrelation!F$4:F$1197,"-",0)="-",0,MATCH(_xlfn.XLOOKUP($A758,Korrelation!$D$4:$D$1197,Korrelation!F$4:F$1197,"",0),DMAV_Modell!$G$6:$G$677,0)))</f>
        <v>0</v>
      </c>
      <c r="D758" s="57">
        <f>IF($A758="","",IF(_xlfn.XLOOKUP($A758,Korrelation!$D$4:$D$1197,Korrelation!G$4:G$1197,"-",0)="-",0,MATCH(_xlfn.XLOOKUP($A758,Korrelation!$D$4:$D$1197,Korrelation!G$4:G$1197,"",0),DMAV_Modell!$G$6:$G$677,0)))</f>
        <v>0</v>
      </c>
      <c r="E758" s="57">
        <f>IF($A758="","",IF(_xlfn.XLOOKUP($A758,Korrelation!$D$4:$D$1197,Korrelation!H$4:H$1197,"-",0)="-",0,MATCH(_xlfn.XLOOKUP($A758,Korrelation!$D$4:$D$1197,Korrelation!H$4:H$1197,"",0),DMAV_Dienste!$F$6:$F$140,0)))</f>
        <v>0</v>
      </c>
      <c r="F758" s="57">
        <f>IF($A758="","",IF(_xlfn.XLOOKUP($A758,Korrelation!$D$4:$D$1197,Korrelation!I$4:I$1197,"-",0)="-",0,MATCH(_xlfn.XLOOKUP($A758,Korrelation!$D$4:$D$1197,Korrelation!I$4:I$1197,"",0),DMAV_Dienste!$F$6:$F$140,0)))</f>
        <v>0</v>
      </c>
      <c r="G758" s="57">
        <f>IF($A758="","",IF(_xlfn.XLOOKUP($A758,Korrelation!$D$4:$D$1197,Korrelation!J$4:J$1197,"-",0)="-",0,MATCH(_xlfn.XLOOKUP($A758,Korrelation!$D$4:$D$1197,Korrelation!J$4:J$1197,"",0),DMAV_Dienste!$F$6:$F$140,0)))</f>
        <v>0</v>
      </c>
      <c r="H758" s="57">
        <f>IF($A758="","",IF(_xlfn.XLOOKUP($A758,Korrelation!$D$4:$D$1197,Korrelation!K$4:K$1197,"-",0)="-",0,MATCH(_xlfn.XLOOKUP($A758,Korrelation!$D$4:$D$1197,Korrelation!K$4:K$1197,"",0),'DM01-AV-CH'!$A$6:$A$834,0)))</f>
        <v>202</v>
      </c>
      <c r="J758" s="54" t="str" cm="1">
        <f t="array" aca="1" ref="J758" ca="1">IF(B758=0,IF(E758=0,"",HYPERLINK("#"&amp;RIGHT(CELL("adresse",OFFSET(DMAV_Dienste!$M$6,E758-1,0)),LEN(CELL("adresse",OFFSET(DMAV_Dienste!$M$6,E758-1,0)))-FIND("]",CELL("adresse",OFFSET(DMAV_Dienste!$M$6,E758-1,0)))),"Dienst")),HYPERLINK("#"&amp;RIGHT(CELL("adresse",OFFSET(DMAV_Modell!$N$6,B758-1,0)),LEN(CELL("adresse",OFFSET(DMAV_Modell!$N$6,B758-1,0)))-FIND("]",CELL("adresse",OFFSET(DMAV_Modell!$N$6,B758-1,0)))),"Modell"))</f>
        <v/>
      </c>
      <c r="K758" s="61" t="str" cm="1">
        <f t="array" ref="K758">IF($B758=0,IF($E758=0,"",IF(INDEX(DMAV_Dienste!P$6:P$140,$E758)="","",INDEX(DMAV_Dienste!P$6:P$140,$E758))),IF(INDEX(DMAV_Modell!Q$6:Q$838,$B758)="","",INDEX(DMAV_Modell!Q$6:Q$838,$B758)))</f>
        <v/>
      </c>
      <c r="L758" s="62" t="str" cm="1">
        <f t="array" ref="L758">IF($B758=0,IF($E758=0,"",IF(INDEX(DMAV_Dienste!O$6:O$140,$E758)="","",INDEX(DMAV_Dienste!O$6:O$140,$E758))),IF(INDEX(DMAV_Modell!P$6:P$838,$B758)="","",INDEX(DMAV_Modell!P$6:P$838,$B758)))</f>
        <v/>
      </c>
      <c r="M758" s="62" t="str" cm="1">
        <f t="array" ref="M758">IF($B758=0,IF($E758=0,"",IF(INDEX(DMAV_Dienste!Q$6:Q$140,$E758)="","",INDEX(DMAV_Dienste!Q$6:Q$140,$E758))),IF(INDEX(DMAV_Modell!R$6:R$838,$B758)="","",INDEX(DMAV_Modell!R$6:R$838,$B758)))</f>
        <v/>
      </c>
      <c r="N758" s="62" t="str" cm="1">
        <f t="array" ref="N758">IF($B758=0,IF($E758=0,"",IF(INDEX(DMAV_Dienste!T$6:T$140,$E758)="","",INDEX(DMAV_Dienste!T$6:T$140,$E758))),IF(INDEX(DMAV_Modell!U$6:U$838,$B758)="","",INDEX(DMAV_Modell!U$6:U$838,$B758)))</f>
        <v/>
      </c>
      <c r="O758" s="63" t="str" cm="1">
        <f t="array" aca="1" ref="O758" ca="1">IF(C758=0,IF(F758=0,"",HYPERLINK("#"&amp;RIGHT(CELL("adresse",OFFSET(DMAV_Dienste!$M$6,F758-1,0)),LEN(CELL("adresse",OFFSET(DMAV_Dienste!$M$6,F758-1,0)))-FIND("]",CELL("adresse",OFFSET(DMAV_Dienste!$M$6,F758-1,0)))),"Structure")),HYPERLINK("#"&amp;RIGHT(CELL("adresse",OFFSET(DMAV_Modell!$N$6,C758-1,0)),LEN(CELL("adresse",OFFSET(DMAV_Modell!$N$6,C758-1,0)))-FIND("]",CELL("adresse",OFFSET(DMAV_Modell!$N$6,C758-1,0)))),"Structure"))</f>
        <v/>
      </c>
      <c r="P758" s="64" t="str" cm="1">
        <f t="array" aca="1" ref="P758" ca="1">IF(D758=0,IF(G758=0,"",HYPERLINK("#"&amp;RIGHT(CELL("adresse",OFFSET(DMAV_Dienste!$M$6,G758-1,0)),LEN(CELL("adresse",OFFSET(DMAV_Dienste!$M$6,G758-1,0)))-FIND("]",CELL("adresse",OFFSET(DMAV_Dienste!$M$6,G758-1,0)))),"Substructure")),HYPERLINK("#"&amp;RIGHT(CELL("adresse",OFFSET(DMAV_Modell!$N$6,D758-1,0)),LEN(CELL("adresse",OFFSET(DMAV_Modell!$N$6,D758-1,0)))-FIND("]",CELL("adresse",OFFSET(DMAV_Modell!$N$6,D758-1,0)))),"Substructure"))</f>
        <v/>
      </c>
      <c r="R758" s="80"/>
      <c r="T758" s="93"/>
      <c r="U758" s="94"/>
      <c r="V758" s="95"/>
      <c r="W758" s="96"/>
      <c r="Y758" s="85"/>
      <c r="Z758" s="86"/>
      <c r="AA758" s="87"/>
      <c r="AB758" s="88"/>
      <c r="AD758" s="77"/>
      <c r="AF758" s="54" t="str" cm="1">
        <f t="array" aca="1" ref="AF758" ca="1">IF(H758=0,"",HYPERLINK("#"&amp;RIGHT(CELL("adresse",OFFSET('DM01-AV-CH'!$G$6,H758-1,0)),LEN(CELL("adresse",OFFSET('DM01-AV-CH'!$G$6,H758-1,0)))-FIND("]",CELL("adresse",OFFSET('DM01-AV-CH'!$G$6,H758-1,0)))),"Modell"))</f>
        <v>Modell</v>
      </c>
      <c r="AG758" s="72" t="str" cm="1">
        <f t="array" ref="AG758">IF($H758=0,"",IF(INDEX('DM01-AV-CH'!G$6:G$834,$H758)="","",INDEX('DM01-AV-CH'!G$6:G$834,$H758)))</f>
        <v>Bodenbedeckung</v>
      </c>
      <c r="AH758" s="73" t="str" cm="1">
        <f t="array" ref="AH758">IF($H758=0,"",IF(INDEX('DM01-AV-CH'!H$6:H$834,$H758)="","",INDEX('DM01-AV-CH'!H$6:H$834,$H758)))</f>
        <v>ProjBoFlaeche</v>
      </c>
      <c r="AI758" s="74" t="str" cm="1">
        <f t="array" ref="AI758">IF($H758=0,"",IF(INDEX('DM01-AV-CH'!I$6:I$834,$H758)="","",INDEX('DM01-AV-CH'!I$6:I$834,$H758)))</f>
        <v>Entstehung</v>
      </c>
    </row>
    <row r="759" spans="1:35" ht="57" x14ac:dyDescent="0.25">
      <c r="A759" s="57">
        <v>754</v>
      </c>
      <c r="B759" s="57">
        <f>IF($A759="","",IF(_xlfn.XLOOKUP($A759,Korrelation!$D$4:$D$1197,Korrelation!E$4:E$1197,"-",0)="-",0,MATCH(_xlfn.XLOOKUP($A759,Korrelation!$D$4:$D$1197,Korrelation!E$4:E$1197,"",0),DMAV_Modell!$G$6:$G$677,0)))</f>
        <v>0</v>
      </c>
      <c r="C759" s="57">
        <f>IF($A759="","",IF(_xlfn.XLOOKUP($A759,Korrelation!$D$4:$D$1197,Korrelation!F$4:F$1197,"-",0)="-",0,MATCH(_xlfn.XLOOKUP($A759,Korrelation!$D$4:$D$1197,Korrelation!F$4:F$1197,"",0),DMAV_Modell!$G$6:$G$677,0)))</f>
        <v>0</v>
      </c>
      <c r="D759" s="57">
        <f>IF($A759="","",IF(_xlfn.XLOOKUP($A759,Korrelation!$D$4:$D$1197,Korrelation!G$4:G$1197,"-",0)="-",0,MATCH(_xlfn.XLOOKUP($A759,Korrelation!$D$4:$D$1197,Korrelation!G$4:G$1197,"",0),DMAV_Modell!$G$6:$G$677,0)))</f>
        <v>0</v>
      </c>
      <c r="E759" s="57">
        <f>IF($A759="","",IF(_xlfn.XLOOKUP($A759,Korrelation!$D$4:$D$1197,Korrelation!H$4:H$1197,"-",0)="-",0,MATCH(_xlfn.XLOOKUP($A759,Korrelation!$D$4:$D$1197,Korrelation!H$4:H$1197,"",0),DMAV_Dienste!$F$6:$F$140,0)))</f>
        <v>0</v>
      </c>
      <c r="F759" s="57">
        <f>IF($A759="","",IF(_xlfn.XLOOKUP($A759,Korrelation!$D$4:$D$1197,Korrelation!I$4:I$1197,"-",0)="-",0,MATCH(_xlfn.XLOOKUP($A759,Korrelation!$D$4:$D$1197,Korrelation!I$4:I$1197,"",0),DMAV_Dienste!$F$6:$F$140,0)))</f>
        <v>0</v>
      </c>
      <c r="G759" s="57">
        <f>IF($A759="","",IF(_xlfn.XLOOKUP($A759,Korrelation!$D$4:$D$1197,Korrelation!J$4:J$1197,"-",0)="-",0,MATCH(_xlfn.XLOOKUP($A759,Korrelation!$D$4:$D$1197,Korrelation!J$4:J$1197,"",0),DMAV_Dienste!$F$6:$F$140,0)))</f>
        <v>0</v>
      </c>
      <c r="H759" s="57">
        <f>IF($A759="","",IF(_xlfn.XLOOKUP($A759,Korrelation!$D$4:$D$1197,Korrelation!K$4:K$1197,"-",0)="-",0,MATCH(_xlfn.XLOOKUP($A759,Korrelation!$D$4:$D$1197,Korrelation!K$4:K$1197,"",0),'DM01-AV-CH'!$A$6:$A$834,0)))</f>
        <v>203</v>
      </c>
      <c r="J759" s="54" t="str" cm="1">
        <f t="array" aca="1" ref="J759" ca="1">IF(B759=0,IF(E759=0,"",HYPERLINK("#"&amp;RIGHT(CELL("adresse",OFFSET(DMAV_Dienste!$M$6,E759-1,0)),LEN(CELL("adresse",OFFSET(DMAV_Dienste!$M$6,E759-1,0)))-FIND("]",CELL("adresse",OFFSET(DMAV_Dienste!$M$6,E759-1,0)))),"Dienst")),HYPERLINK("#"&amp;RIGHT(CELL("adresse",OFFSET(DMAV_Modell!$N$6,B759-1,0)),LEN(CELL("adresse",OFFSET(DMAV_Modell!$N$6,B759-1,0)))-FIND("]",CELL("adresse",OFFSET(DMAV_Modell!$N$6,B759-1,0)))),"Modell"))</f>
        <v/>
      </c>
      <c r="K759" s="61" t="str" cm="1">
        <f t="array" ref="K759">IF($B759=0,IF($E759=0,"",IF(INDEX(DMAV_Dienste!P$6:P$140,$E759)="","",INDEX(DMAV_Dienste!P$6:P$140,$E759))),IF(INDEX(DMAV_Modell!Q$6:Q$838,$B759)="","",INDEX(DMAV_Modell!Q$6:Q$838,$B759)))</f>
        <v/>
      </c>
      <c r="L759" s="62" t="str" cm="1">
        <f t="array" ref="L759">IF($B759=0,IF($E759=0,"",IF(INDEX(DMAV_Dienste!O$6:O$140,$E759)="","",INDEX(DMAV_Dienste!O$6:O$140,$E759))),IF(INDEX(DMAV_Modell!P$6:P$838,$B759)="","",INDEX(DMAV_Modell!P$6:P$838,$B759)))</f>
        <v/>
      </c>
      <c r="M759" s="62" t="str" cm="1">
        <f t="array" ref="M759">IF($B759=0,IF($E759=0,"",IF(INDEX(DMAV_Dienste!Q$6:Q$140,$E759)="","",INDEX(DMAV_Dienste!Q$6:Q$140,$E759))),IF(INDEX(DMAV_Modell!R$6:R$838,$B759)="","",INDEX(DMAV_Modell!R$6:R$838,$B759)))</f>
        <v/>
      </c>
      <c r="N759" s="62" t="str" cm="1">
        <f t="array" ref="N759">IF($B759=0,IF($E759=0,"",IF(INDEX(DMAV_Dienste!T$6:T$140,$E759)="","",INDEX(DMAV_Dienste!T$6:T$140,$E759))),IF(INDEX(DMAV_Modell!U$6:U$838,$B759)="","",INDEX(DMAV_Modell!U$6:U$838,$B759)))</f>
        <v/>
      </c>
      <c r="O759" s="63" t="str" cm="1">
        <f t="array" aca="1" ref="O759" ca="1">IF(C759=0,IF(F759=0,"",HYPERLINK("#"&amp;RIGHT(CELL("adresse",OFFSET(DMAV_Dienste!$M$6,F759-1,0)),LEN(CELL("adresse",OFFSET(DMAV_Dienste!$M$6,F759-1,0)))-FIND("]",CELL("adresse",OFFSET(DMAV_Dienste!$M$6,F759-1,0)))),"Structure")),HYPERLINK("#"&amp;RIGHT(CELL("adresse",OFFSET(DMAV_Modell!$N$6,C759-1,0)),LEN(CELL("adresse",OFFSET(DMAV_Modell!$N$6,C759-1,0)))-FIND("]",CELL("adresse",OFFSET(DMAV_Modell!$N$6,C759-1,0)))),"Structure"))</f>
        <v/>
      </c>
      <c r="P759" s="64" t="str" cm="1">
        <f t="array" aca="1" ref="P759" ca="1">IF(D759=0,IF(G759=0,"",HYPERLINK("#"&amp;RIGHT(CELL("adresse",OFFSET(DMAV_Dienste!$M$6,G759-1,0)),LEN(CELL("adresse",OFFSET(DMAV_Dienste!$M$6,G759-1,0)))-FIND("]",CELL("adresse",OFFSET(DMAV_Dienste!$M$6,G759-1,0)))),"Substructure")),HYPERLINK("#"&amp;RIGHT(CELL("adresse",OFFSET(DMAV_Modell!$N$6,D759-1,0)),LEN(CELL("adresse",OFFSET(DMAV_Modell!$N$6,D759-1,0)))-FIND("]",CELL("adresse",OFFSET(DMAV_Modell!$N$6,D759-1,0)))),"Substructure"))</f>
        <v/>
      </c>
      <c r="R759" s="80"/>
      <c r="T759" s="93"/>
      <c r="U759" s="94" t="s">
        <v>2980</v>
      </c>
      <c r="V759" s="95" t="s">
        <v>3029</v>
      </c>
      <c r="W759" s="96" t="s">
        <v>3166</v>
      </c>
      <c r="Y759" s="85"/>
      <c r="Z759" s="86"/>
      <c r="AA759" s="87"/>
      <c r="AB759" s="88"/>
      <c r="AD759" s="77"/>
      <c r="AF759" s="54" t="str" cm="1">
        <f t="array" aca="1" ref="AF759" ca="1">IF(H759=0,"",HYPERLINK("#"&amp;RIGHT(CELL("adresse",OFFSET('DM01-AV-CH'!$G$6,H759-1,0)),LEN(CELL("adresse",OFFSET('DM01-AV-CH'!$G$6,H759-1,0)))-FIND("]",CELL("adresse",OFFSET('DM01-AV-CH'!$G$6,H759-1,0)))),"Modell"))</f>
        <v>Modell</v>
      </c>
      <c r="AG759" s="72" t="str" cm="1">
        <f t="array" ref="AG759">IF($H759=0,"",IF(INDEX('DM01-AV-CH'!G$6:G$834,$H759)="","",INDEX('DM01-AV-CH'!G$6:G$834,$H759)))</f>
        <v>Bodenbedeckung</v>
      </c>
      <c r="AH759" s="73" t="str" cm="1">
        <f t="array" ref="AH759">IF($H759=0,"",IF(INDEX('DM01-AV-CH'!H$6:H$834,$H759)="","",INDEX('DM01-AV-CH'!H$6:H$834,$H759)))</f>
        <v>ProjBoFlaeche</v>
      </c>
      <c r="AI759" s="74" t="str" cm="1">
        <f t="array" ref="AI759">IF($H759=0,"",IF(INDEX('DM01-AV-CH'!I$6:I$834,$H759)="","",INDEX('DM01-AV-CH'!I$6:I$834,$H759)))</f>
        <v>Geometrie</v>
      </c>
    </row>
    <row r="760" spans="1:35" ht="57" x14ac:dyDescent="0.25">
      <c r="A760" s="57">
        <v>755</v>
      </c>
      <c r="B760" s="57">
        <f>IF($A760="","",IF(_xlfn.XLOOKUP($A760,Korrelation!$D$4:$D$1197,Korrelation!E$4:E$1197,"-",0)="-",0,MATCH(_xlfn.XLOOKUP($A760,Korrelation!$D$4:$D$1197,Korrelation!E$4:E$1197,"",0),DMAV_Modell!$G$6:$G$677,0)))</f>
        <v>0</v>
      </c>
      <c r="C760" s="57">
        <f>IF($A760="","",IF(_xlfn.XLOOKUP($A760,Korrelation!$D$4:$D$1197,Korrelation!F$4:F$1197,"-",0)="-",0,MATCH(_xlfn.XLOOKUP($A760,Korrelation!$D$4:$D$1197,Korrelation!F$4:F$1197,"",0),DMAV_Modell!$G$6:$G$677,0)))</f>
        <v>0</v>
      </c>
      <c r="D760" s="57">
        <f>IF($A760="","",IF(_xlfn.XLOOKUP($A760,Korrelation!$D$4:$D$1197,Korrelation!G$4:G$1197,"-",0)="-",0,MATCH(_xlfn.XLOOKUP($A760,Korrelation!$D$4:$D$1197,Korrelation!G$4:G$1197,"",0),DMAV_Modell!$G$6:$G$677,0)))</f>
        <v>0</v>
      </c>
      <c r="E760" s="57">
        <f>IF($A760="","",IF(_xlfn.XLOOKUP($A760,Korrelation!$D$4:$D$1197,Korrelation!H$4:H$1197,"-",0)="-",0,MATCH(_xlfn.XLOOKUP($A760,Korrelation!$D$4:$D$1197,Korrelation!H$4:H$1197,"",0),DMAV_Dienste!$F$6:$F$140,0)))</f>
        <v>0</v>
      </c>
      <c r="F760" s="57">
        <f>IF($A760="","",IF(_xlfn.XLOOKUP($A760,Korrelation!$D$4:$D$1197,Korrelation!I$4:I$1197,"-",0)="-",0,MATCH(_xlfn.XLOOKUP($A760,Korrelation!$D$4:$D$1197,Korrelation!I$4:I$1197,"",0),DMAV_Dienste!$F$6:$F$140,0)))</f>
        <v>0</v>
      </c>
      <c r="G760" s="57">
        <f>IF($A760="","",IF(_xlfn.XLOOKUP($A760,Korrelation!$D$4:$D$1197,Korrelation!J$4:J$1197,"-",0)="-",0,MATCH(_xlfn.XLOOKUP($A760,Korrelation!$D$4:$D$1197,Korrelation!J$4:J$1197,"",0),DMAV_Dienste!$F$6:$F$140,0)))</f>
        <v>0</v>
      </c>
      <c r="H760" s="57">
        <f>IF($A760="","",IF(_xlfn.XLOOKUP($A760,Korrelation!$D$4:$D$1197,Korrelation!K$4:K$1197,"-",0)="-",0,MATCH(_xlfn.XLOOKUP($A760,Korrelation!$D$4:$D$1197,Korrelation!K$4:K$1197,"",0),'DM01-AV-CH'!$A$6:$A$834,0)))</f>
        <v>204</v>
      </c>
      <c r="J760" s="54" t="str" cm="1">
        <f t="array" aca="1" ref="J760" ca="1">IF(B760=0,IF(E760=0,"",HYPERLINK("#"&amp;RIGHT(CELL("adresse",OFFSET(DMAV_Dienste!$M$6,E760-1,0)),LEN(CELL("adresse",OFFSET(DMAV_Dienste!$M$6,E760-1,0)))-FIND("]",CELL("adresse",OFFSET(DMAV_Dienste!$M$6,E760-1,0)))),"Dienst")),HYPERLINK("#"&amp;RIGHT(CELL("adresse",OFFSET(DMAV_Modell!$N$6,B760-1,0)),LEN(CELL("adresse",OFFSET(DMAV_Modell!$N$6,B760-1,0)))-FIND("]",CELL("adresse",OFFSET(DMAV_Modell!$N$6,B760-1,0)))),"Modell"))</f>
        <v/>
      </c>
      <c r="K760" s="61" t="str" cm="1">
        <f t="array" ref="K760">IF($B760=0,IF($E760=0,"",IF(INDEX(DMAV_Dienste!P$6:P$140,$E760)="","",INDEX(DMAV_Dienste!P$6:P$140,$E760))),IF(INDEX(DMAV_Modell!Q$6:Q$838,$B760)="","",INDEX(DMAV_Modell!Q$6:Q$838,$B760)))</f>
        <v/>
      </c>
      <c r="L760" s="62" t="str" cm="1">
        <f t="array" ref="L760">IF($B760=0,IF($E760=0,"",IF(INDEX(DMAV_Dienste!O$6:O$140,$E760)="","",INDEX(DMAV_Dienste!O$6:O$140,$E760))),IF(INDEX(DMAV_Modell!P$6:P$838,$B760)="","",INDEX(DMAV_Modell!P$6:P$838,$B760)))</f>
        <v/>
      </c>
      <c r="M760" s="62" t="str" cm="1">
        <f t="array" ref="M760">IF($B760=0,IF($E760=0,"",IF(INDEX(DMAV_Dienste!Q$6:Q$140,$E760)="","",INDEX(DMAV_Dienste!Q$6:Q$140,$E760))),IF(INDEX(DMAV_Modell!R$6:R$838,$B760)="","",INDEX(DMAV_Modell!R$6:R$838,$B760)))</f>
        <v/>
      </c>
      <c r="N760" s="62" t="str" cm="1">
        <f t="array" ref="N760">IF($B760=0,IF($E760=0,"",IF(INDEX(DMAV_Dienste!T$6:T$140,$E760)="","",INDEX(DMAV_Dienste!T$6:T$140,$E760))),IF(INDEX(DMAV_Modell!U$6:U$838,$B760)="","",INDEX(DMAV_Modell!U$6:U$838,$B760)))</f>
        <v/>
      </c>
      <c r="O760" s="63" t="str" cm="1">
        <f t="array" aca="1" ref="O760" ca="1">IF(C760=0,IF(F760=0,"",HYPERLINK("#"&amp;RIGHT(CELL("adresse",OFFSET(DMAV_Dienste!$M$6,F760-1,0)),LEN(CELL("adresse",OFFSET(DMAV_Dienste!$M$6,F760-1,0)))-FIND("]",CELL("adresse",OFFSET(DMAV_Dienste!$M$6,F760-1,0)))),"Structure")),HYPERLINK("#"&amp;RIGHT(CELL("adresse",OFFSET(DMAV_Modell!$N$6,C760-1,0)),LEN(CELL("adresse",OFFSET(DMAV_Modell!$N$6,C760-1,0)))-FIND("]",CELL("adresse",OFFSET(DMAV_Modell!$N$6,C760-1,0)))),"Structure"))</f>
        <v/>
      </c>
      <c r="P760" s="64" t="str" cm="1">
        <f t="array" aca="1" ref="P760" ca="1">IF(D760=0,IF(G760=0,"",HYPERLINK("#"&amp;RIGHT(CELL("adresse",OFFSET(DMAV_Dienste!$M$6,G760-1,0)),LEN(CELL("adresse",OFFSET(DMAV_Dienste!$M$6,G760-1,0)))-FIND("]",CELL("adresse",OFFSET(DMAV_Dienste!$M$6,G760-1,0)))),"Substructure")),HYPERLINK("#"&amp;RIGHT(CELL("adresse",OFFSET(DMAV_Modell!$N$6,D760-1,0)),LEN(CELL("adresse",OFFSET(DMAV_Modell!$N$6,D760-1,0)))-FIND("]",CELL("adresse",OFFSET(DMAV_Modell!$N$6,D760-1,0)))),"Substructure"))</f>
        <v/>
      </c>
      <c r="R760" s="80"/>
      <c r="T760" s="93"/>
      <c r="U760" s="94" t="s">
        <v>2980</v>
      </c>
      <c r="V760" s="95" t="s">
        <v>3030</v>
      </c>
      <c r="W760" s="96" t="s">
        <v>3166</v>
      </c>
      <c r="Y760" s="85"/>
      <c r="Z760" s="86"/>
      <c r="AA760" s="87"/>
      <c r="AB760" s="88"/>
      <c r="AD760" s="77"/>
      <c r="AF760" s="54" t="str" cm="1">
        <f t="array" aca="1" ref="AF760" ca="1">IF(H760=0,"",HYPERLINK("#"&amp;RIGHT(CELL("adresse",OFFSET('DM01-AV-CH'!$G$6,H760-1,0)),LEN(CELL("adresse",OFFSET('DM01-AV-CH'!$G$6,H760-1,0)))-FIND("]",CELL("adresse",OFFSET('DM01-AV-CH'!$G$6,H760-1,0)))),"Modell"))</f>
        <v>Modell</v>
      </c>
      <c r="AG760" s="72" t="str" cm="1">
        <f t="array" ref="AG760">IF($H760=0,"",IF(INDEX('DM01-AV-CH'!G$6:G$834,$H760)="","",INDEX('DM01-AV-CH'!G$6:G$834,$H760)))</f>
        <v>Bodenbedeckung</v>
      </c>
      <c r="AH760" s="73" t="str" cm="1">
        <f t="array" ref="AH760">IF($H760=0,"",IF(INDEX('DM01-AV-CH'!H$6:H$834,$H760)="","",INDEX('DM01-AV-CH'!H$6:H$834,$H760)))</f>
        <v>ProjBoFlaeche</v>
      </c>
      <c r="AI760" s="74" t="str" cm="1">
        <f t="array" ref="AI760">IF($H760=0,"",IF(INDEX('DM01-AV-CH'!I$6:I$834,$H760)="","",INDEX('DM01-AV-CH'!I$6:I$834,$H760)))</f>
        <v>Qualitaet</v>
      </c>
    </row>
    <row r="761" spans="1:35" ht="57" x14ac:dyDescent="0.25">
      <c r="A761" s="57">
        <v>756</v>
      </c>
      <c r="B761" s="57">
        <f>IF($A761="","",IF(_xlfn.XLOOKUP($A761,Korrelation!$D$4:$D$1197,Korrelation!E$4:E$1197,"-",0)="-",0,MATCH(_xlfn.XLOOKUP($A761,Korrelation!$D$4:$D$1197,Korrelation!E$4:E$1197,"",0),DMAV_Modell!$G$6:$G$677,0)))</f>
        <v>0</v>
      </c>
      <c r="C761" s="57">
        <f>IF($A761="","",IF(_xlfn.XLOOKUP($A761,Korrelation!$D$4:$D$1197,Korrelation!F$4:F$1197,"-",0)="-",0,MATCH(_xlfn.XLOOKUP($A761,Korrelation!$D$4:$D$1197,Korrelation!F$4:F$1197,"",0),DMAV_Modell!$G$6:$G$677,0)))</f>
        <v>0</v>
      </c>
      <c r="D761" s="57">
        <f>IF($A761="","",IF(_xlfn.XLOOKUP($A761,Korrelation!$D$4:$D$1197,Korrelation!G$4:G$1197,"-",0)="-",0,MATCH(_xlfn.XLOOKUP($A761,Korrelation!$D$4:$D$1197,Korrelation!G$4:G$1197,"",0),DMAV_Modell!$G$6:$G$677,0)))</f>
        <v>0</v>
      </c>
      <c r="E761" s="57">
        <f>IF($A761="","",IF(_xlfn.XLOOKUP($A761,Korrelation!$D$4:$D$1197,Korrelation!H$4:H$1197,"-",0)="-",0,MATCH(_xlfn.XLOOKUP($A761,Korrelation!$D$4:$D$1197,Korrelation!H$4:H$1197,"",0),DMAV_Dienste!$F$6:$F$140,0)))</f>
        <v>0</v>
      </c>
      <c r="F761" s="57">
        <f>IF($A761="","",IF(_xlfn.XLOOKUP($A761,Korrelation!$D$4:$D$1197,Korrelation!I$4:I$1197,"-",0)="-",0,MATCH(_xlfn.XLOOKUP($A761,Korrelation!$D$4:$D$1197,Korrelation!I$4:I$1197,"",0),DMAV_Dienste!$F$6:$F$140,0)))</f>
        <v>0</v>
      </c>
      <c r="G761" s="57">
        <f>IF($A761="","",IF(_xlfn.XLOOKUP($A761,Korrelation!$D$4:$D$1197,Korrelation!J$4:J$1197,"-",0)="-",0,MATCH(_xlfn.XLOOKUP($A761,Korrelation!$D$4:$D$1197,Korrelation!J$4:J$1197,"",0),DMAV_Dienste!$F$6:$F$140,0)))</f>
        <v>0</v>
      </c>
      <c r="H761" s="57">
        <f>IF($A761="","",IF(_xlfn.XLOOKUP($A761,Korrelation!$D$4:$D$1197,Korrelation!K$4:K$1197,"-",0)="-",0,MATCH(_xlfn.XLOOKUP($A761,Korrelation!$D$4:$D$1197,Korrelation!K$4:K$1197,"",0),'DM01-AV-CH'!$A$6:$A$834,0)))</f>
        <v>205</v>
      </c>
      <c r="J761" s="54" t="str" cm="1">
        <f t="array" aca="1" ref="J761" ca="1">IF(B761=0,IF(E761=0,"",HYPERLINK("#"&amp;RIGHT(CELL("adresse",OFFSET(DMAV_Dienste!$M$6,E761-1,0)),LEN(CELL("adresse",OFFSET(DMAV_Dienste!$M$6,E761-1,0)))-FIND("]",CELL("adresse",OFFSET(DMAV_Dienste!$M$6,E761-1,0)))),"Dienst")),HYPERLINK("#"&amp;RIGHT(CELL("adresse",OFFSET(DMAV_Modell!$N$6,B761-1,0)),LEN(CELL("adresse",OFFSET(DMAV_Modell!$N$6,B761-1,0)))-FIND("]",CELL("adresse",OFFSET(DMAV_Modell!$N$6,B761-1,0)))),"Modell"))</f>
        <v/>
      </c>
      <c r="K761" s="61" t="str" cm="1">
        <f t="array" ref="K761">IF($B761=0,IF($E761=0,"",IF(INDEX(DMAV_Dienste!P$6:P$140,$E761)="","",INDEX(DMAV_Dienste!P$6:P$140,$E761))),IF(INDEX(DMAV_Modell!Q$6:Q$838,$B761)="","",INDEX(DMAV_Modell!Q$6:Q$838,$B761)))</f>
        <v/>
      </c>
      <c r="L761" s="62" t="str" cm="1">
        <f t="array" ref="L761">IF($B761=0,IF($E761=0,"",IF(INDEX(DMAV_Dienste!O$6:O$140,$E761)="","",INDEX(DMAV_Dienste!O$6:O$140,$E761))),IF(INDEX(DMAV_Modell!P$6:P$838,$B761)="","",INDEX(DMAV_Modell!P$6:P$838,$B761)))</f>
        <v/>
      </c>
      <c r="M761" s="62" t="str" cm="1">
        <f t="array" ref="M761">IF($B761=0,IF($E761=0,"",IF(INDEX(DMAV_Dienste!Q$6:Q$140,$E761)="","",INDEX(DMAV_Dienste!Q$6:Q$140,$E761))),IF(INDEX(DMAV_Modell!R$6:R$838,$B761)="","",INDEX(DMAV_Modell!R$6:R$838,$B761)))</f>
        <v/>
      </c>
      <c r="N761" s="62" t="str" cm="1">
        <f t="array" ref="N761">IF($B761=0,IF($E761=0,"",IF(INDEX(DMAV_Dienste!T$6:T$140,$E761)="","",INDEX(DMAV_Dienste!T$6:T$140,$E761))),IF(INDEX(DMAV_Modell!U$6:U$838,$B761)="","",INDEX(DMAV_Modell!U$6:U$838,$B761)))</f>
        <v/>
      </c>
      <c r="O761" s="63" t="str" cm="1">
        <f t="array" aca="1" ref="O761" ca="1">IF(C761=0,IF(F761=0,"",HYPERLINK("#"&amp;RIGHT(CELL("adresse",OFFSET(DMAV_Dienste!$M$6,F761-1,0)),LEN(CELL("adresse",OFFSET(DMAV_Dienste!$M$6,F761-1,0)))-FIND("]",CELL("adresse",OFFSET(DMAV_Dienste!$M$6,F761-1,0)))),"Structure")),HYPERLINK("#"&amp;RIGHT(CELL("adresse",OFFSET(DMAV_Modell!$N$6,C761-1,0)),LEN(CELL("adresse",OFFSET(DMAV_Modell!$N$6,C761-1,0)))-FIND("]",CELL("adresse",OFFSET(DMAV_Modell!$N$6,C761-1,0)))),"Structure"))</f>
        <v/>
      </c>
      <c r="P761" s="64" t="str" cm="1">
        <f t="array" aca="1" ref="P761" ca="1">IF(D761=0,IF(G761=0,"",HYPERLINK("#"&amp;RIGHT(CELL("adresse",OFFSET(DMAV_Dienste!$M$6,G761-1,0)),LEN(CELL("adresse",OFFSET(DMAV_Dienste!$M$6,G761-1,0)))-FIND("]",CELL("adresse",OFFSET(DMAV_Dienste!$M$6,G761-1,0)))),"Substructure")),HYPERLINK("#"&amp;RIGHT(CELL("adresse",OFFSET(DMAV_Modell!$N$6,D761-1,0)),LEN(CELL("adresse",OFFSET(DMAV_Modell!$N$6,D761-1,0)))-FIND("]",CELL("adresse",OFFSET(DMAV_Modell!$N$6,D761-1,0)))),"Substructure"))</f>
        <v/>
      </c>
      <c r="R761" s="80"/>
      <c r="T761" s="93"/>
      <c r="U761" s="94" t="s">
        <v>2980</v>
      </c>
      <c r="V761" s="95" t="s">
        <v>3031</v>
      </c>
      <c r="W761" s="96" t="s">
        <v>3166</v>
      </c>
      <c r="Y761" s="85"/>
      <c r="Z761" s="86"/>
      <c r="AA761" s="87"/>
      <c r="AB761" s="88"/>
      <c r="AD761" s="77"/>
      <c r="AF761" s="54" t="str" cm="1">
        <f t="array" aca="1" ref="AF761" ca="1">IF(H761=0,"",HYPERLINK("#"&amp;RIGHT(CELL("adresse",OFFSET('DM01-AV-CH'!$G$6,H761-1,0)),LEN(CELL("adresse",OFFSET('DM01-AV-CH'!$G$6,H761-1,0)))-FIND("]",CELL("adresse",OFFSET('DM01-AV-CH'!$G$6,H761-1,0)))),"Modell"))</f>
        <v>Modell</v>
      </c>
      <c r="AG761" s="72" t="str" cm="1">
        <f t="array" ref="AG761">IF($H761=0,"",IF(INDEX('DM01-AV-CH'!G$6:G$834,$H761)="","",INDEX('DM01-AV-CH'!G$6:G$834,$H761)))</f>
        <v>Bodenbedeckung</v>
      </c>
      <c r="AH761" s="73" t="str" cm="1">
        <f t="array" ref="AH761">IF($H761=0,"",IF(INDEX('DM01-AV-CH'!H$6:H$834,$H761)="","",INDEX('DM01-AV-CH'!H$6:H$834,$H761)))</f>
        <v>ProjBoFlaeche</v>
      </c>
      <c r="AI761" s="74" t="str" cm="1">
        <f t="array" ref="AI761">IF($H761=0,"",IF(INDEX('DM01-AV-CH'!I$6:I$834,$H761)="","",INDEX('DM01-AV-CH'!I$6:I$834,$H761)))</f>
        <v>Art</v>
      </c>
    </row>
    <row r="762" spans="1:35" ht="28.5" x14ac:dyDescent="0.25">
      <c r="A762" s="57">
        <v>757</v>
      </c>
      <c r="B762" s="57">
        <f>IF($A762="","",IF(_xlfn.XLOOKUP($A762,Korrelation!$D$4:$D$1197,Korrelation!E$4:E$1197,"-",0)="-",0,MATCH(_xlfn.XLOOKUP($A762,Korrelation!$D$4:$D$1197,Korrelation!E$4:E$1197,"",0),DMAV_Modell!$G$6:$G$677,0)))</f>
        <v>0</v>
      </c>
      <c r="C762" s="57">
        <f>IF($A762="","",IF(_xlfn.XLOOKUP($A762,Korrelation!$D$4:$D$1197,Korrelation!F$4:F$1197,"-",0)="-",0,MATCH(_xlfn.XLOOKUP($A762,Korrelation!$D$4:$D$1197,Korrelation!F$4:F$1197,"",0),DMAV_Modell!$G$6:$G$677,0)))</f>
        <v>0</v>
      </c>
      <c r="D762" s="57">
        <f>IF($A762="","",IF(_xlfn.XLOOKUP($A762,Korrelation!$D$4:$D$1197,Korrelation!G$4:G$1197,"-",0)="-",0,MATCH(_xlfn.XLOOKUP($A762,Korrelation!$D$4:$D$1197,Korrelation!G$4:G$1197,"",0),DMAV_Modell!$G$6:$G$677,0)))</f>
        <v>0</v>
      </c>
      <c r="E762" s="57">
        <f>IF($A762="","",IF(_xlfn.XLOOKUP($A762,Korrelation!$D$4:$D$1197,Korrelation!H$4:H$1197,"-",0)="-",0,MATCH(_xlfn.XLOOKUP($A762,Korrelation!$D$4:$D$1197,Korrelation!H$4:H$1197,"",0),DMAV_Dienste!$F$6:$F$140,0)))</f>
        <v>0</v>
      </c>
      <c r="F762" s="57">
        <f>IF($A762="","",IF(_xlfn.XLOOKUP($A762,Korrelation!$D$4:$D$1197,Korrelation!I$4:I$1197,"-",0)="-",0,MATCH(_xlfn.XLOOKUP($A762,Korrelation!$D$4:$D$1197,Korrelation!I$4:I$1197,"",0),DMAV_Dienste!$F$6:$F$140,0)))</f>
        <v>0</v>
      </c>
      <c r="G762" s="57">
        <f>IF($A762="","",IF(_xlfn.XLOOKUP($A762,Korrelation!$D$4:$D$1197,Korrelation!J$4:J$1197,"-",0)="-",0,MATCH(_xlfn.XLOOKUP($A762,Korrelation!$D$4:$D$1197,Korrelation!J$4:J$1197,"",0),DMAV_Dienste!$F$6:$F$140,0)))</f>
        <v>0</v>
      </c>
      <c r="H762" s="57">
        <f>IF($A762="","",IF(_xlfn.XLOOKUP($A762,Korrelation!$D$4:$D$1197,Korrelation!K$4:K$1197,"-",0)="-",0,MATCH(_xlfn.XLOOKUP($A762,Korrelation!$D$4:$D$1197,Korrelation!K$4:K$1197,"",0),'DM01-AV-CH'!$A$6:$A$834,0)))</f>
        <v>206</v>
      </c>
      <c r="J762" s="54" t="str" cm="1">
        <f t="array" aca="1" ref="J762" ca="1">IF(B762=0,IF(E762=0,"",HYPERLINK("#"&amp;RIGHT(CELL("adresse",OFFSET(DMAV_Dienste!$M$6,E762-1,0)),LEN(CELL("adresse",OFFSET(DMAV_Dienste!$M$6,E762-1,0)))-FIND("]",CELL("adresse",OFFSET(DMAV_Dienste!$M$6,E762-1,0)))),"Dienst")),HYPERLINK("#"&amp;RIGHT(CELL("adresse",OFFSET(DMAV_Modell!$N$6,B762-1,0)),LEN(CELL("adresse",OFFSET(DMAV_Modell!$N$6,B762-1,0)))-FIND("]",CELL("adresse",OFFSET(DMAV_Modell!$N$6,B762-1,0)))),"Modell"))</f>
        <v/>
      </c>
      <c r="K762" s="61" t="str" cm="1">
        <f t="array" ref="K762">IF($B762=0,IF($E762=0,"",IF(INDEX(DMAV_Dienste!P$6:P$140,$E762)="","",INDEX(DMAV_Dienste!P$6:P$140,$E762))),IF(INDEX(DMAV_Modell!Q$6:Q$838,$B762)="","",INDEX(DMAV_Modell!Q$6:Q$838,$B762)))</f>
        <v/>
      </c>
      <c r="L762" s="62" t="str" cm="1">
        <f t="array" ref="L762">IF($B762=0,IF($E762=0,"",IF(INDEX(DMAV_Dienste!O$6:O$140,$E762)="","",INDEX(DMAV_Dienste!O$6:O$140,$E762))),IF(INDEX(DMAV_Modell!P$6:P$838,$B762)="","",INDEX(DMAV_Modell!P$6:P$838,$B762)))</f>
        <v/>
      </c>
      <c r="M762" s="62" t="str" cm="1">
        <f t="array" ref="M762">IF($B762=0,IF($E762=0,"",IF(INDEX(DMAV_Dienste!Q$6:Q$140,$E762)="","",INDEX(DMAV_Dienste!Q$6:Q$140,$E762))),IF(INDEX(DMAV_Modell!R$6:R$838,$B762)="","",INDEX(DMAV_Modell!R$6:R$838,$B762)))</f>
        <v/>
      </c>
      <c r="N762" s="62" t="str" cm="1">
        <f t="array" ref="N762">IF($B762=0,IF($E762=0,"",IF(INDEX(DMAV_Dienste!T$6:T$140,$E762)="","",INDEX(DMAV_Dienste!T$6:T$140,$E762))),IF(INDEX(DMAV_Modell!U$6:U$838,$B762)="","",INDEX(DMAV_Modell!U$6:U$838,$B762)))</f>
        <v/>
      </c>
      <c r="O762" s="63" t="str" cm="1">
        <f t="array" aca="1" ref="O762" ca="1">IF(C762=0,IF(F762=0,"",HYPERLINK("#"&amp;RIGHT(CELL("adresse",OFFSET(DMAV_Dienste!$M$6,F762-1,0)),LEN(CELL("adresse",OFFSET(DMAV_Dienste!$M$6,F762-1,0)))-FIND("]",CELL("adresse",OFFSET(DMAV_Dienste!$M$6,F762-1,0)))),"Structure")),HYPERLINK("#"&amp;RIGHT(CELL("adresse",OFFSET(DMAV_Modell!$N$6,C762-1,0)),LEN(CELL("adresse",OFFSET(DMAV_Modell!$N$6,C762-1,0)))-FIND("]",CELL("adresse",OFFSET(DMAV_Modell!$N$6,C762-1,0)))),"Structure"))</f>
        <v/>
      </c>
      <c r="P762" s="64" t="str" cm="1">
        <f t="array" aca="1" ref="P762" ca="1">IF(D762=0,IF(G762=0,"",HYPERLINK("#"&amp;RIGHT(CELL("adresse",OFFSET(DMAV_Dienste!$M$6,G762-1,0)),LEN(CELL("adresse",OFFSET(DMAV_Dienste!$M$6,G762-1,0)))-FIND("]",CELL("adresse",OFFSET(DMAV_Dienste!$M$6,G762-1,0)))),"Substructure")),HYPERLINK("#"&amp;RIGHT(CELL("adresse",OFFSET(DMAV_Modell!$N$6,D762-1,0)),LEN(CELL("adresse",OFFSET(DMAV_Modell!$N$6,D762-1,0)))-FIND("]",CELL("adresse",OFFSET(DMAV_Modell!$N$6,D762-1,0)))),"Substructure"))</f>
        <v/>
      </c>
      <c r="R762" s="80"/>
      <c r="T762" s="93"/>
      <c r="U762" s="94"/>
      <c r="V762" s="95"/>
      <c r="W762" s="96"/>
      <c r="Y762" s="85"/>
      <c r="Z762" s="86"/>
      <c r="AA762" s="87"/>
      <c r="AB762" s="88"/>
      <c r="AD762" s="77"/>
      <c r="AF762" s="54" t="str" cm="1">
        <f t="array" aca="1" ref="AF762" ca="1">IF(H762=0,"",HYPERLINK("#"&amp;RIGHT(CELL("adresse",OFFSET('DM01-AV-CH'!$G$6,H762-1,0)),LEN(CELL("adresse",OFFSET('DM01-AV-CH'!$G$6,H762-1,0)))-FIND("]",CELL("adresse",OFFSET('DM01-AV-CH'!$G$6,H762-1,0)))),"Modell"))</f>
        <v>Modell</v>
      </c>
      <c r="AG762" s="72" t="str" cm="1">
        <f t="array" ref="AG762">IF($H762=0,"",IF(INDEX('DM01-AV-CH'!G$6:G$834,$H762)="","",INDEX('DM01-AV-CH'!G$6:G$834,$H762)))</f>
        <v>Bodenbedeckung</v>
      </c>
      <c r="AH762" s="73" t="str" cm="1">
        <f t="array" ref="AH762">IF($H762=0,"",IF(INDEX('DM01-AV-CH'!H$6:H$834,$H762)="","",INDEX('DM01-AV-CH'!H$6:H$834,$H762)))</f>
        <v>ProjGebaeudenummer</v>
      </c>
      <c r="AI762" s="74" t="str" cm="1">
        <f t="array" ref="AI762">IF($H762=0,"",IF(INDEX('DM01-AV-CH'!I$6:I$834,$H762)="","",INDEX('DM01-AV-CH'!I$6:I$834,$H762)))</f>
        <v>ProjGebaeudenummer_von</v>
      </c>
    </row>
    <row r="763" spans="1:35" ht="57" x14ac:dyDescent="0.25">
      <c r="A763" s="57">
        <v>758</v>
      </c>
      <c r="B763" s="57">
        <f>IF($A763="","",IF(_xlfn.XLOOKUP($A763,Korrelation!$D$4:$D$1197,Korrelation!E$4:E$1197,"-",0)="-",0,MATCH(_xlfn.XLOOKUP($A763,Korrelation!$D$4:$D$1197,Korrelation!E$4:E$1197,"",0),DMAV_Modell!$G$6:$G$677,0)))</f>
        <v>0</v>
      </c>
      <c r="C763" s="57">
        <f>IF($A763="","",IF(_xlfn.XLOOKUP($A763,Korrelation!$D$4:$D$1197,Korrelation!F$4:F$1197,"-",0)="-",0,MATCH(_xlfn.XLOOKUP($A763,Korrelation!$D$4:$D$1197,Korrelation!F$4:F$1197,"",0),DMAV_Modell!$G$6:$G$677,0)))</f>
        <v>0</v>
      </c>
      <c r="D763" s="57">
        <f>IF($A763="","",IF(_xlfn.XLOOKUP($A763,Korrelation!$D$4:$D$1197,Korrelation!G$4:G$1197,"-",0)="-",0,MATCH(_xlfn.XLOOKUP($A763,Korrelation!$D$4:$D$1197,Korrelation!G$4:G$1197,"",0),DMAV_Modell!$G$6:$G$677,0)))</f>
        <v>0</v>
      </c>
      <c r="E763" s="57">
        <f>IF($A763="","",IF(_xlfn.XLOOKUP($A763,Korrelation!$D$4:$D$1197,Korrelation!H$4:H$1197,"-",0)="-",0,MATCH(_xlfn.XLOOKUP($A763,Korrelation!$D$4:$D$1197,Korrelation!H$4:H$1197,"",0),DMAV_Dienste!$F$6:$F$140,0)))</f>
        <v>0</v>
      </c>
      <c r="F763" s="57">
        <f>IF($A763="","",IF(_xlfn.XLOOKUP($A763,Korrelation!$D$4:$D$1197,Korrelation!I$4:I$1197,"-",0)="-",0,MATCH(_xlfn.XLOOKUP($A763,Korrelation!$D$4:$D$1197,Korrelation!I$4:I$1197,"",0),DMAV_Dienste!$F$6:$F$140,0)))</f>
        <v>0</v>
      </c>
      <c r="G763" s="57">
        <f>IF($A763="","",IF(_xlfn.XLOOKUP($A763,Korrelation!$D$4:$D$1197,Korrelation!J$4:J$1197,"-",0)="-",0,MATCH(_xlfn.XLOOKUP($A763,Korrelation!$D$4:$D$1197,Korrelation!J$4:J$1197,"",0),DMAV_Dienste!$F$6:$F$140,0)))</f>
        <v>0</v>
      </c>
      <c r="H763" s="57">
        <f>IF($A763="","",IF(_xlfn.XLOOKUP($A763,Korrelation!$D$4:$D$1197,Korrelation!K$4:K$1197,"-",0)="-",0,MATCH(_xlfn.XLOOKUP($A763,Korrelation!$D$4:$D$1197,Korrelation!K$4:K$1197,"",0),'DM01-AV-CH'!$A$6:$A$834,0)))</f>
        <v>207</v>
      </c>
      <c r="J763" s="54" t="str" cm="1">
        <f t="array" aca="1" ref="J763" ca="1">IF(B763=0,IF(E763=0,"",HYPERLINK("#"&amp;RIGHT(CELL("adresse",OFFSET(DMAV_Dienste!$M$6,E763-1,0)),LEN(CELL("adresse",OFFSET(DMAV_Dienste!$M$6,E763-1,0)))-FIND("]",CELL("adresse",OFFSET(DMAV_Dienste!$M$6,E763-1,0)))),"Dienst")),HYPERLINK("#"&amp;RIGHT(CELL("adresse",OFFSET(DMAV_Modell!$N$6,B763-1,0)),LEN(CELL("adresse",OFFSET(DMAV_Modell!$N$6,B763-1,0)))-FIND("]",CELL("adresse",OFFSET(DMAV_Modell!$N$6,B763-1,0)))),"Modell"))</f>
        <v/>
      </c>
      <c r="K763" s="61" t="str" cm="1">
        <f t="array" ref="K763">IF($B763=0,IF($E763=0,"",IF(INDEX(DMAV_Dienste!P$6:P$140,$E763)="","",INDEX(DMAV_Dienste!P$6:P$140,$E763))),IF(INDEX(DMAV_Modell!Q$6:Q$838,$B763)="","",INDEX(DMAV_Modell!Q$6:Q$838,$B763)))</f>
        <v/>
      </c>
      <c r="L763" s="62" t="str" cm="1">
        <f t="array" ref="L763">IF($B763=0,IF($E763=0,"",IF(INDEX(DMAV_Dienste!O$6:O$140,$E763)="","",INDEX(DMAV_Dienste!O$6:O$140,$E763))),IF(INDEX(DMAV_Modell!P$6:P$838,$B763)="","",INDEX(DMAV_Modell!P$6:P$838,$B763)))</f>
        <v/>
      </c>
      <c r="M763" s="62" t="str" cm="1">
        <f t="array" ref="M763">IF($B763=0,IF($E763=0,"",IF(INDEX(DMAV_Dienste!Q$6:Q$140,$E763)="","",INDEX(DMAV_Dienste!Q$6:Q$140,$E763))),IF(INDEX(DMAV_Modell!R$6:R$838,$B763)="","",INDEX(DMAV_Modell!R$6:R$838,$B763)))</f>
        <v/>
      </c>
      <c r="N763" s="62" t="str" cm="1">
        <f t="array" ref="N763">IF($B763=0,IF($E763=0,"",IF(INDEX(DMAV_Dienste!T$6:T$140,$E763)="","",INDEX(DMAV_Dienste!T$6:T$140,$E763))),IF(INDEX(DMAV_Modell!U$6:U$838,$B763)="","",INDEX(DMAV_Modell!U$6:U$838,$B763)))</f>
        <v/>
      </c>
      <c r="O763" s="63" t="str" cm="1">
        <f t="array" aca="1" ref="O763" ca="1">IF(C763=0,IF(F763=0,"",HYPERLINK("#"&amp;RIGHT(CELL("adresse",OFFSET(DMAV_Dienste!$M$6,F763-1,0)),LEN(CELL("adresse",OFFSET(DMAV_Dienste!$M$6,F763-1,0)))-FIND("]",CELL("adresse",OFFSET(DMAV_Dienste!$M$6,F763-1,0)))),"Structure")),HYPERLINK("#"&amp;RIGHT(CELL("adresse",OFFSET(DMAV_Modell!$N$6,C763-1,0)),LEN(CELL("adresse",OFFSET(DMAV_Modell!$N$6,C763-1,0)))-FIND("]",CELL("adresse",OFFSET(DMAV_Modell!$N$6,C763-1,0)))),"Structure"))</f>
        <v/>
      </c>
      <c r="P763" s="64" t="str" cm="1">
        <f t="array" aca="1" ref="P763" ca="1">IF(D763=0,IF(G763=0,"",HYPERLINK("#"&amp;RIGHT(CELL("adresse",OFFSET(DMAV_Dienste!$M$6,G763-1,0)),LEN(CELL("adresse",OFFSET(DMAV_Dienste!$M$6,G763-1,0)))-FIND("]",CELL("adresse",OFFSET(DMAV_Dienste!$M$6,G763-1,0)))),"Substructure")),HYPERLINK("#"&amp;RIGHT(CELL("adresse",OFFSET(DMAV_Modell!$N$6,D763-1,0)),LEN(CELL("adresse",OFFSET(DMAV_Modell!$N$6,D763-1,0)))-FIND("]",CELL("adresse",OFFSET(DMAV_Modell!$N$6,D763-1,0)))),"Substructure"))</f>
        <v/>
      </c>
      <c r="R763" s="80"/>
      <c r="T763" s="93"/>
      <c r="U763" s="94" t="s">
        <v>2980</v>
      </c>
      <c r="V763" s="95" t="s">
        <v>3167</v>
      </c>
      <c r="W763" s="96" t="s">
        <v>3166</v>
      </c>
      <c r="Y763" s="85"/>
      <c r="Z763" s="86"/>
      <c r="AA763" s="87"/>
      <c r="AB763" s="88"/>
      <c r="AD763" s="77"/>
      <c r="AF763" s="54" t="str" cm="1">
        <f t="array" aca="1" ref="AF763" ca="1">IF(H763=0,"",HYPERLINK("#"&amp;RIGHT(CELL("adresse",OFFSET('DM01-AV-CH'!$G$6,H763-1,0)),LEN(CELL("adresse",OFFSET('DM01-AV-CH'!$G$6,H763-1,0)))-FIND("]",CELL("adresse",OFFSET('DM01-AV-CH'!$G$6,H763-1,0)))),"Modell"))</f>
        <v>Modell</v>
      </c>
      <c r="AG763" s="72" t="str" cm="1">
        <f t="array" ref="AG763">IF($H763=0,"",IF(INDEX('DM01-AV-CH'!G$6:G$834,$H763)="","",INDEX('DM01-AV-CH'!G$6:G$834,$H763)))</f>
        <v>Bodenbedeckung</v>
      </c>
      <c r="AH763" s="73" t="str" cm="1">
        <f t="array" ref="AH763">IF($H763=0,"",IF(INDEX('DM01-AV-CH'!H$6:H$834,$H763)="","",INDEX('DM01-AV-CH'!H$6:H$834,$H763)))</f>
        <v>ProjGebaeudenummer</v>
      </c>
      <c r="AI763" s="74" t="str" cm="1">
        <f t="array" ref="AI763">IF($H763=0,"",IF(INDEX('DM01-AV-CH'!I$6:I$834,$H763)="","",INDEX('DM01-AV-CH'!I$6:I$834,$H763)))</f>
        <v>Nummer</v>
      </c>
    </row>
    <row r="764" spans="1:35" ht="57" x14ac:dyDescent="0.25">
      <c r="A764" s="57">
        <v>759</v>
      </c>
      <c r="B764" s="57">
        <f>IF($A764="","",IF(_xlfn.XLOOKUP($A764,Korrelation!$D$4:$D$1197,Korrelation!E$4:E$1197,"-",0)="-",0,MATCH(_xlfn.XLOOKUP($A764,Korrelation!$D$4:$D$1197,Korrelation!E$4:E$1197,"",0),DMAV_Modell!$G$6:$G$677,0)))</f>
        <v>0</v>
      </c>
      <c r="C764" s="57">
        <f>IF($A764="","",IF(_xlfn.XLOOKUP($A764,Korrelation!$D$4:$D$1197,Korrelation!F$4:F$1197,"-",0)="-",0,MATCH(_xlfn.XLOOKUP($A764,Korrelation!$D$4:$D$1197,Korrelation!F$4:F$1197,"",0),DMAV_Modell!$G$6:$G$677,0)))</f>
        <v>0</v>
      </c>
      <c r="D764" s="57">
        <f>IF($A764="","",IF(_xlfn.XLOOKUP($A764,Korrelation!$D$4:$D$1197,Korrelation!G$4:G$1197,"-",0)="-",0,MATCH(_xlfn.XLOOKUP($A764,Korrelation!$D$4:$D$1197,Korrelation!G$4:G$1197,"",0),DMAV_Modell!$G$6:$G$677,0)))</f>
        <v>0</v>
      </c>
      <c r="E764" s="57">
        <f>IF($A764="","",IF(_xlfn.XLOOKUP($A764,Korrelation!$D$4:$D$1197,Korrelation!H$4:H$1197,"-",0)="-",0,MATCH(_xlfn.XLOOKUP($A764,Korrelation!$D$4:$D$1197,Korrelation!H$4:H$1197,"",0),DMAV_Dienste!$F$6:$F$140,0)))</f>
        <v>0</v>
      </c>
      <c r="F764" s="57">
        <f>IF($A764="","",IF(_xlfn.XLOOKUP($A764,Korrelation!$D$4:$D$1197,Korrelation!I$4:I$1197,"-",0)="-",0,MATCH(_xlfn.XLOOKUP($A764,Korrelation!$D$4:$D$1197,Korrelation!I$4:I$1197,"",0),DMAV_Dienste!$F$6:$F$140,0)))</f>
        <v>0</v>
      </c>
      <c r="G764" s="57">
        <f>IF($A764="","",IF(_xlfn.XLOOKUP($A764,Korrelation!$D$4:$D$1197,Korrelation!J$4:J$1197,"-",0)="-",0,MATCH(_xlfn.XLOOKUP($A764,Korrelation!$D$4:$D$1197,Korrelation!J$4:J$1197,"",0),DMAV_Dienste!$F$6:$F$140,0)))</f>
        <v>0</v>
      </c>
      <c r="H764" s="57">
        <f>IF($A764="","",IF(_xlfn.XLOOKUP($A764,Korrelation!$D$4:$D$1197,Korrelation!K$4:K$1197,"-",0)="-",0,MATCH(_xlfn.XLOOKUP($A764,Korrelation!$D$4:$D$1197,Korrelation!K$4:K$1197,"",0),'DM01-AV-CH'!$A$6:$A$834,0)))</f>
        <v>208</v>
      </c>
      <c r="J764" s="54" t="str" cm="1">
        <f t="array" aca="1" ref="J764" ca="1">IF(B764=0,IF(E764=0,"",HYPERLINK("#"&amp;RIGHT(CELL("adresse",OFFSET(DMAV_Dienste!$M$6,E764-1,0)),LEN(CELL("adresse",OFFSET(DMAV_Dienste!$M$6,E764-1,0)))-FIND("]",CELL("adresse",OFFSET(DMAV_Dienste!$M$6,E764-1,0)))),"Dienst")),HYPERLINK("#"&amp;RIGHT(CELL("adresse",OFFSET(DMAV_Modell!$N$6,B764-1,0)),LEN(CELL("adresse",OFFSET(DMAV_Modell!$N$6,B764-1,0)))-FIND("]",CELL("adresse",OFFSET(DMAV_Modell!$N$6,B764-1,0)))),"Modell"))</f>
        <v/>
      </c>
      <c r="K764" s="61" t="str" cm="1">
        <f t="array" ref="K764">IF($B764=0,IF($E764=0,"",IF(INDEX(DMAV_Dienste!P$6:P$140,$E764)="","",INDEX(DMAV_Dienste!P$6:P$140,$E764))),IF(INDEX(DMAV_Modell!Q$6:Q$838,$B764)="","",INDEX(DMAV_Modell!Q$6:Q$838,$B764)))</f>
        <v/>
      </c>
      <c r="L764" s="62" t="str" cm="1">
        <f t="array" ref="L764">IF($B764=0,IF($E764=0,"",IF(INDEX(DMAV_Dienste!O$6:O$140,$E764)="","",INDEX(DMAV_Dienste!O$6:O$140,$E764))),IF(INDEX(DMAV_Modell!P$6:P$838,$B764)="","",INDEX(DMAV_Modell!P$6:P$838,$B764)))</f>
        <v/>
      </c>
      <c r="M764" s="62" t="str" cm="1">
        <f t="array" ref="M764">IF($B764=0,IF($E764=0,"",IF(INDEX(DMAV_Dienste!Q$6:Q$140,$E764)="","",INDEX(DMAV_Dienste!Q$6:Q$140,$E764))),IF(INDEX(DMAV_Modell!R$6:R$838,$B764)="","",INDEX(DMAV_Modell!R$6:R$838,$B764)))</f>
        <v/>
      </c>
      <c r="N764" s="62" t="str" cm="1">
        <f t="array" ref="N764">IF($B764=0,IF($E764=0,"",IF(INDEX(DMAV_Dienste!T$6:T$140,$E764)="","",INDEX(DMAV_Dienste!T$6:T$140,$E764))),IF(INDEX(DMAV_Modell!U$6:U$838,$B764)="","",INDEX(DMAV_Modell!U$6:U$838,$B764)))</f>
        <v/>
      </c>
      <c r="O764" s="63" t="str" cm="1">
        <f t="array" aca="1" ref="O764" ca="1">IF(C764=0,IF(F764=0,"",HYPERLINK("#"&amp;RIGHT(CELL("adresse",OFFSET(DMAV_Dienste!$M$6,F764-1,0)),LEN(CELL("adresse",OFFSET(DMAV_Dienste!$M$6,F764-1,0)))-FIND("]",CELL("adresse",OFFSET(DMAV_Dienste!$M$6,F764-1,0)))),"Structure")),HYPERLINK("#"&amp;RIGHT(CELL("adresse",OFFSET(DMAV_Modell!$N$6,C764-1,0)),LEN(CELL("adresse",OFFSET(DMAV_Modell!$N$6,C764-1,0)))-FIND("]",CELL("adresse",OFFSET(DMAV_Modell!$N$6,C764-1,0)))),"Structure"))</f>
        <v/>
      </c>
      <c r="P764" s="64" t="str" cm="1">
        <f t="array" aca="1" ref="P764" ca="1">IF(D764=0,IF(G764=0,"",HYPERLINK("#"&amp;RIGHT(CELL("adresse",OFFSET(DMAV_Dienste!$M$6,G764-1,0)),LEN(CELL("adresse",OFFSET(DMAV_Dienste!$M$6,G764-1,0)))-FIND("]",CELL("adresse",OFFSET(DMAV_Dienste!$M$6,G764-1,0)))),"Substructure")),HYPERLINK("#"&amp;RIGHT(CELL("adresse",OFFSET(DMAV_Modell!$N$6,D764-1,0)),LEN(CELL("adresse",OFFSET(DMAV_Modell!$N$6,D764-1,0)))-FIND("]",CELL("adresse",OFFSET(DMAV_Modell!$N$6,D764-1,0)))),"Substructure"))</f>
        <v/>
      </c>
      <c r="R764" s="80"/>
      <c r="T764" s="93"/>
      <c r="U764" s="94" t="s">
        <v>2980</v>
      </c>
      <c r="V764" s="95" t="s">
        <v>3032</v>
      </c>
      <c r="W764" s="96" t="s">
        <v>3166</v>
      </c>
      <c r="Y764" s="85"/>
      <c r="Z764" s="86"/>
      <c r="AA764" s="87"/>
      <c r="AB764" s="88"/>
      <c r="AD764" s="77"/>
      <c r="AF764" s="54" t="str" cm="1">
        <f t="array" aca="1" ref="AF764" ca="1">IF(H764=0,"",HYPERLINK("#"&amp;RIGHT(CELL("adresse",OFFSET('DM01-AV-CH'!$G$6,H764-1,0)),LEN(CELL("adresse",OFFSET('DM01-AV-CH'!$G$6,H764-1,0)))-FIND("]",CELL("adresse",OFFSET('DM01-AV-CH'!$G$6,H764-1,0)))),"Modell"))</f>
        <v>Modell</v>
      </c>
      <c r="AG764" s="72" t="str" cm="1">
        <f t="array" ref="AG764">IF($H764=0,"",IF(INDEX('DM01-AV-CH'!G$6:G$834,$H764)="","",INDEX('DM01-AV-CH'!G$6:G$834,$H764)))</f>
        <v>Bodenbedeckung</v>
      </c>
      <c r="AH764" s="73" t="str" cm="1">
        <f t="array" ref="AH764">IF($H764=0,"",IF(INDEX('DM01-AV-CH'!H$6:H$834,$H764)="","",INDEX('DM01-AV-CH'!H$6:H$834,$H764)))</f>
        <v>ProjGebaeudenummer</v>
      </c>
      <c r="AI764" s="74" t="str" cm="1">
        <f t="array" ref="AI764">IF($H764=0,"",IF(INDEX('DM01-AV-CH'!I$6:I$834,$H764)="","",INDEX('DM01-AV-CH'!I$6:I$834,$H764)))</f>
        <v>GWR_EGID</v>
      </c>
    </row>
    <row r="765" spans="1:35" ht="28.5" x14ac:dyDescent="0.25">
      <c r="A765" s="57">
        <v>760</v>
      </c>
      <c r="B765" s="57">
        <f>IF($A765="","",IF(_xlfn.XLOOKUP($A765,Korrelation!$D$4:$D$1197,Korrelation!E$4:E$1197,"-",0)="-",0,MATCH(_xlfn.XLOOKUP($A765,Korrelation!$D$4:$D$1197,Korrelation!E$4:E$1197,"",0),DMAV_Modell!$G$6:$G$677,0)))</f>
        <v>0</v>
      </c>
      <c r="C765" s="57">
        <f>IF($A765="","",IF(_xlfn.XLOOKUP($A765,Korrelation!$D$4:$D$1197,Korrelation!F$4:F$1197,"-",0)="-",0,MATCH(_xlfn.XLOOKUP($A765,Korrelation!$D$4:$D$1197,Korrelation!F$4:F$1197,"",0),DMAV_Modell!$G$6:$G$677,0)))</f>
        <v>0</v>
      </c>
      <c r="D765" s="57">
        <f>IF($A765="","",IF(_xlfn.XLOOKUP($A765,Korrelation!$D$4:$D$1197,Korrelation!G$4:G$1197,"-",0)="-",0,MATCH(_xlfn.XLOOKUP($A765,Korrelation!$D$4:$D$1197,Korrelation!G$4:G$1197,"",0),DMAV_Modell!$G$6:$G$677,0)))</f>
        <v>0</v>
      </c>
      <c r="E765" s="57">
        <f>IF($A765="","",IF(_xlfn.XLOOKUP($A765,Korrelation!$D$4:$D$1197,Korrelation!H$4:H$1197,"-",0)="-",0,MATCH(_xlfn.XLOOKUP($A765,Korrelation!$D$4:$D$1197,Korrelation!H$4:H$1197,"",0),DMAV_Dienste!$F$6:$F$140,0)))</f>
        <v>0</v>
      </c>
      <c r="F765" s="57">
        <f>IF($A765="","",IF(_xlfn.XLOOKUP($A765,Korrelation!$D$4:$D$1197,Korrelation!I$4:I$1197,"-",0)="-",0,MATCH(_xlfn.XLOOKUP($A765,Korrelation!$D$4:$D$1197,Korrelation!I$4:I$1197,"",0),DMAV_Dienste!$F$6:$F$140,0)))</f>
        <v>0</v>
      </c>
      <c r="G765" s="57">
        <f>IF($A765="","",IF(_xlfn.XLOOKUP($A765,Korrelation!$D$4:$D$1197,Korrelation!J$4:J$1197,"-",0)="-",0,MATCH(_xlfn.XLOOKUP($A765,Korrelation!$D$4:$D$1197,Korrelation!J$4:J$1197,"",0),DMAV_Dienste!$F$6:$F$140,0)))</f>
        <v>0</v>
      </c>
      <c r="H765" s="57">
        <f>IF($A765="","",IF(_xlfn.XLOOKUP($A765,Korrelation!$D$4:$D$1197,Korrelation!K$4:K$1197,"-",0)="-",0,MATCH(_xlfn.XLOOKUP($A765,Korrelation!$D$4:$D$1197,Korrelation!K$4:K$1197,"",0),'DM01-AV-CH'!$A$6:$A$834,0)))</f>
        <v>209</v>
      </c>
      <c r="J765" s="54" t="str" cm="1">
        <f t="array" aca="1" ref="J765" ca="1">IF(B765=0,IF(E765=0,"",HYPERLINK("#"&amp;RIGHT(CELL("adresse",OFFSET(DMAV_Dienste!$M$6,E765-1,0)),LEN(CELL("adresse",OFFSET(DMAV_Dienste!$M$6,E765-1,0)))-FIND("]",CELL("adresse",OFFSET(DMAV_Dienste!$M$6,E765-1,0)))),"Dienst")),HYPERLINK("#"&amp;RIGHT(CELL("adresse",OFFSET(DMAV_Modell!$N$6,B765-1,0)),LEN(CELL("adresse",OFFSET(DMAV_Modell!$N$6,B765-1,0)))-FIND("]",CELL("adresse",OFFSET(DMAV_Modell!$N$6,B765-1,0)))),"Modell"))</f>
        <v/>
      </c>
      <c r="K765" s="61" t="str" cm="1">
        <f t="array" ref="K765">IF($B765=0,IF($E765=0,"",IF(INDEX(DMAV_Dienste!P$6:P$140,$E765)="","",INDEX(DMAV_Dienste!P$6:P$140,$E765))),IF(INDEX(DMAV_Modell!Q$6:Q$838,$B765)="","",INDEX(DMAV_Modell!Q$6:Q$838,$B765)))</f>
        <v/>
      </c>
      <c r="L765" s="62" t="str" cm="1">
        <f t="array" ref="L765">IF($B765=0,IF($E765=0,"",IF(INDEX(DMAV_Dienste!O$6:O$140,$E765)="","",INDEX(DMAV_Dienste!O$6:O$140,$E765))),IF(INDEX(DMAV_Modell!P$6:P$838,$B765)="","",INDEX(DMAV_Modell!P$6:P$838,$B765)))</f>
        <v/>
      </c>
      <c r="M765" s="62" t="str" cm="1">
        <f t="array" ref="M765">IF($B765=0,IF($E765=0,"",IF(INDEX(DMAV_Dienste!Q$6:Q$140,$E765)="","",INDEX(DMAV_Dienste!Q$6:Q$140,$E765))),IF(INDEX(DMAV_Modell!R$6:R$838,$B765)="","",INDEX(DMAV_Modell!R$6:R$838,$B765)))</f>
        <v/>
      </c>
      <c r="N765" s="62" t="str" cm="1">
        <f t="array" ref="N765">IF($B765=0,IF($E765=0,"",IF(INDEX(DMAV_Dienste!T$6:T$140,$E765)="","",INDEX(DMAV_Dienste!T$6:T$140,$E765))),IF(INDEX(DMAV_Modell!U$6:U$838,$B765)="","",INDEX(DMAV_Modell!U$6:U$838,$B765)))</f>
        <v/>
      </c>
      <c r="O765" s="63" t="str" cm="1">
        <f t="array" aca="1" ref="O765" ca="1">IF(C765=0,IF(F765=0,"",HYPERLINK("#"&amp;RIGHT(CELL("adresse",OFFSET(DMAV_Dienste!$M$6,F765-1,0)),LEN(CELL("adresse",OFFSET(DMAV_Dienste!$M$6,F765-1,0)))-FIND("]",CELL("adresse",OFFSET(DMAV_Dienste!$M$6,F765-1,0)))),"Structure")),HYPERLINK("#"&amp;RIGHT(CELL("adresse",OFFSET(DMAV_Modell!$N$6,C765-1,0)),LEN(CELL("adresse",OFFSET(DMAV_Modell!$N$6,C765-1,0)))-FIND("]",CELL("adresse",OFFSET(DMAV_Modell!$N$6,C765-1,0)))),"Structure"))</f>
        <v/>
      </c>
      <c r="P765" s="64" t="str" cm="1">
        <f t="array" aca="1" ref="P765" ca="1">IF(D765=0,IF(G765=0,"",HYPERLINK("#"&amp;RIGHT(CELL("adresse",OFFSET(DMAV_Dienste!$M$6,G765-1,0)),LEN(CELL("adresse",OFFSET(DMAV_Dienste!$M$6,G765-1,0)))-FIND("]",CELL("adresse",OFFSET(DMAV_Dienste!$M$6,G765-1,0)))),"Substructure")),HYPERLINK("#"&amp;RIGHT(CELL("adresse",OFFSET(DMAV_Modell!$N$6,D765-1,0)),LEN(CELL("adresse",OFFSET(DMAV_Modell!$N$6,D765-1,0)))-FIND("]",CELL("adresse",OFFSET(DMAV_Modell!$N$6,D765-1,0)))),"Substructure"))</f>
        <v/>
      </c>
      <c r="R765" s="80"/>
      <c r="T765" s="93"/>
      <c r="U765" s="94"/>
      <c r="V765" s="95"/>
      <c r="W765" s="96"/>
      <c r="Y765" s="85"/>
      <c r="Z765" s="86"/>
      <c r="AA765" s="87"/>
      <c r="AB765" s="88"/>
      <c r="AD765" s="77"/>
      <c r="AF765" s="54" t="str" cm="1">
        <f t="array" aca="1" ref="AF765" ca="1">IF(H765=0,"",HYPERLINK("#"&amp;RIGHT(CELL("adresse",OFFSET('DM01-AV-CH'!$G$6,H765-1,0)),LEN(CELL("adresse",OFFSET('DM01-AV-CH'!$G$6,H765-1,0)))-FIND("]",CELL("adresse",OFFSET('DM01-AV-CH'!$G$6,H765-1,0)))),"Modell"))</f>
        <v>Modell</v>
      </c>
      <c r="AG765" s="72" t="str" cm="1">
        <f t="array" ref="AG765">IF($H765=0,"",IF(INDEX('DM01-AV-CH'!G$6:G$834,$H765)="","",INDEX('DM01-AV-CH'!G$6:G$834,$H765)))</f>
        <v>Bodenbedeckung</v>
      </c>
      <c r="AH765" s="73" t="str" cm="1">
        <f t="array" ref="AH765">IF($H765=0,"",IF(INDEX('DM01-AV-CH'!H$6:H$834,$H765)="","",INDEX('DM01-AV-CH'!H$6:H$834,$H765)))</f>
        <v>ProjGebaeudenummerPos</v>
      </c>
      <c r="AI765" s="74" t="str" cm="1">
        <f t="array" ref="AI765">IF($H765=0,"",IF(INDEX('DM01-AV-CH'!I$6:I$834,$H765)="","",INDEX('DM01-AV-CH'!I$6:I$834,$H765)))</f>
        <v>ProjGebaeudenummerPos_von</v>
      </c>
    </row>
    <row r="766" spans="1:35" ht="57" x14ac:dyDescent="0.25">
      <c r="A766" s="57">
        <v>761</v>
      </c>
      <c r="B766" s="57">
        <f>IF($A766="","",IF(_xlfn.XLOOKUP($A766,Korrelation!$D$4:$D$1197,Korrelation!E$4:E$1197,"-",0)="-",0,MATCH(_xlfn.XLOOKUP($A766,Korrelation!$D$4:$D$1197,Korrelation!E$4:E$1197,"",0),DMAV_Modell!$G$6:$G$677,0)))</f>
        <v>0</v>
      </c>
      <c r="C766" s="57">
        <f>IF($A766="","",IF(_xlfn.XLOOKUP($A766,Korrelation!$D$4:$D$1197,Korrelation!F$4:F$1197,"-",0)="-",0,MATCH(_xlfn.XLOOKUP($A766,Korrelation!$D$4:$D$1197,Korrelation!F$4:F$1197,"",0),DMAV_Modell!$G$6:$G$677,0)))</f>
        <v>0</v>
      </c>
      <c r="D766" s="57">
        <f>IF($A766="","",IF(_xlfn.XLOOKUP($A766,Korrelation!$D$4:$D$1197,Korrelation!G$4:G$1197,"-",0)="-",0,MATCH(_xlfn.XLOOKUP($A766,Korrelation!$D$4:$D$1197,Korrelation!G$4:G$1197,"",0),DMAV_Modell!$G$6:$G$677,0)))</f>
        <v>0</v>
      </c>
      <c r="E766" s="57">
        <f>IF($A766="","",IF(_xlfn.XLOOKUP($A766,Korrelation!$D$4:$D$1197,Korrelation!H$4:H$1197,"-",0)="-",0,MATCH(_xlfn.XLOOKUP($A766,Korrelation!$D$4:$D$1197,Korrelation!H$4:H$1197,"",0),DMAV_Dienste!$F$6:$F$140,0)))</f>
        <v>0</v>
      </c>
      <c r="F766" s="57">
        <f>IF($A766="","",IF(_xlfn.XLOOKUP($A766,Korrelation!$D$4:$D$1197,Korrelation!I$4:I$1197,"-",0)="-",0,MATCH(_xlfn.XLOOKUP($A766,Korrelation!$D$4:$D$1197,Korrelation!I$4:I$1197,"",0),DMAV_Dienste!$F$6:$F$140,0)))</f>
        <v>0</v>
      </c>
      <c r="G766" s="57">
        <f>IF($A766="","",IF(_xlfn.XLOOKUP($A766,Korrelation!$D$4:$D$1197,Korrelation!J$4:J$1197,"-",0)="-",0,MATCH(_xlfn.XLOOKUP($A766,Korrelation!$D$4:$D$1197,Korrelation!J$4:J$1197,"",0),DMAV_Dienste!$F$6:$F$140,0)))</f>
        <v>0</v>
      </c>
      <c r="H766" s="57">
        <f>IF($A766="","",IF(_xlfn.XLOOKUP($A766,Korrelation!$D$4:$D$1197,Korrelation!K$4:K$1197,"-",0)="-",0,MATCH(_xlfn.XLOOKUP($A766,Korrelation!$D$4:$D$1197,Korrelation!K$4:K$1197,"",0),'DM01-AV-CH'!$A$6:$A$834,0)))</f>
        <v>210</v>
      </c>
      <c r="J766" s="54" t="str" cm="1">
        <f t="array" aca="1" ref="J766" ca="1">IF(B766=0,IF(E766=0,"",HYPERLINK("#"&amp;RIGHT(CELL("adresse",OFFSET(DMAV_Dienste!$M$6,E766-1,0)),LEN(CELL("adresse",OFFSET(DMAV_Dienste!$M$6,E766-1,0)))-FIND("]",CELL("adresse",OFFSET(DMAV_Dienste!$M$6,E766-1,0)))),"Dienst")),HYPERLINK("#"&amp;RIGHT(CELL("adresse",OFFSET(DMAV_Modell!$N$6,B766-1,0)),LEN(CELL("adresse",OFFSET(DMAV_Modell!$N$6,B766-1,0)))-FIND("]",CELL("adresse",OFFSET(DMAV_Modell!$N$6,B766-1,0)))),"Modell"))</f>
        <v/>
      </c>
      <c r="K766" s="61" t="str" cm="1">
        <f t="array" ref="K766">IF($B766=0,IF($E766=0,"",IF(INDEX(DMAV_Dienste!P$6:P$140,$E766)="","",INDEX(DMAV_Dienste!P$6:P$140,$E766))),IF(INDEX(DMAV_Modell!Q$6:Q$838,$B766)="","",INDEX(DMAV_Modell!Q$6:Q$838,$B766)))</f>
        <v/>
      </c>
      <c r="L766" s="62" t="str" cm="1">
        <f t="array" ref="L766">IF($B766=0,IF($E766=0,"",IF(INDEX(DMAV_Dienste!O$6:O$140,$E766)="","",INDEX(DMAV_Dienste!O$6:O$140,$E766))),IF(INDEX(DMAV_Modell!P$6:P$838,$B766)="","",INDEX(DMAV_Modell!P$6:P$838,$B766)))</f>
        <v/>
      </c>
      <c r="M766" s="62" t="str" cm="1">
        <f t="array" ref="M766">IF($B766=0,IF($E766=0,"",IF(INDEX(DMAV_Dienste!Q$6:Q$140,$E766)="","",INDEX(DMAV_Dienste!Q$6:Q$140,$E766))),IF(INDEX(DMAV_Modell!R$6:R$838,$B766)="","",INDEX(DMAV_Modell!R$6:R$838,$B766)))</f>
        <v/>
      </c>
      <c r="N766" s="62" t="str" cm="1">
        <f t="array" ref="N766">IF($B766=0,IF($E766=0,"",IF(INDEX(DMAV_Dienste!T$6:T$140,$E766)="","",INDEX(DMAV_Dienste!T$6:T$140,$E766))),IF(INDEX(DMAV_Modell!U$6:U$838,$B766)="","",INDEX(DMAV_Modell!U$6:U$838,$B766)))</f>
        <v/>
      </c>
      <c r="O766" s="63" t="str" cm="1">
        <f t="array" aca="1" ref="O766" ca="1">IF(C766=0,IF(F766=0,"",HYPERLINK("#"&amp;RIGHT(CELL("adresse",OFFSET(DMAV_Dienste!$M$6,F766-1,0)),LEN(CELL("adresse",OFFSET(DMAV_Dienste!$M$6,F766-1,0)))-FIND("]",CELL("adresse",OFFSET(DMAV_Dienste!$M$6,F766-1,0)))),"Structure")),HYPERLINK("#"&amp;RIGHT(CELL("adresse",OFFSET(DMAV_Modell!$N$6,C766-1,0)),LEN(CELL("adresse",OFFSET(DMAV_Modell!$N$6,C766-1,0)))-FIND("]",CELL("adresse",OFFSET(DMAV_Modell!$N$6,C766-1,0)))),"Structure"))</f>
        <v/>
      </c>
      <c r="P766" s="64" t="str" cm="1">
        <f t="array" aca="1" ref="P766" ca="1">IF(D766=0,IF(G766=0,"",HYPERLINK("#"&amp;RIGHT(CELL("adresse",OFFSET(DMAV_Dienste!$M$6,G766-1,0)),LEN(CELL("adresse",OFFSET(DMAV_Dienste!$M$6,G766-1,0)))-FIND("]",CELL("adresse",OFFSET(DMAV_Dienste!$M$6,G766-1,0)))),"Substructure")),HYPERLINK("#"&amp;RIGHT(CELL("adresse",OFFSET(DMAV_Modell!$N$6,D766-1,0)),LEN(CELL("adresse",OFFSET(DMAV_Modell!$N$6,D766-1,0)))-FIND("]",CELL("adresse",OFFSET(DMAV_Modell!$N$6,D766-1,0)))),"Substructure"))</f>
        <v/>
      </c>
      <c r="R766" s="80"/>
      <c r="T766" s="93"/>
      <c r="U766" s="94" t="s">
        <v>2980</v>
      </c>
      <c r="V766" s="95" t="s">
        <v>3168</v>
      </c>
      <c r="W766" s="96" t="s">
        <v>3166</v>
      </c>
      <c r="Y766" s="85"/>
      <c r="Z766" s="86"/>
      <c r="AA766" s="87"/>
      <c r="AB766" s="88"/>
      <c r="AD766" s="77"/>
      <c r="AF766" s="54" t="str" cm="1">
        <f t="array" aca="1" ref="AF766" ca="1">IF(H766=0,"",HYPERLINK("#"&amp;RIGHT(CELL("adresse",OFFSET('DM01-AV-CH'!$G$6,H766-1,0)),LEN(CELL("adresse",OFFSET('DM01-AV-CH'!$G$6,H766-1,0)))-FIND("]",CELL("adresse",OFFSET('DM01-AV-CH'!$G$6,H766-1,0)))),"Modell"))</f>
        <v>Modell</v>
      </c>
      <c r="AG766" s="72" t="str" cm="1">
        <f t="array" ref="AG766">IF($H766=0,"",IF(INDEX('DM01-AV-CH'!G$6:G$834,$H766)="","",INDEX('DM01-AV-CH'!G$6:G$834,$H766)))</f>
        <v>Bodenbedeckung</v>
      </c>
      <c r="AH766" s="73" t="str" cm="1">
        <f t="array" ref="AH766">IF($H766=0,"",IF(INDEX('DM01-AV-CH'!H$6:H$834,$H766)="","",INDEX('DM01-AV-CH'!H$6:H$834,$H766)))</f>
        <v>ProjGebaeudenummerPos</v>
      </c>
      <c r="AI766" s="74" t="str" cm="1">
        <f t="array" ref="AI766">IF($H766=0,"",IF(INDEX('DM01-AV-CH'!I$6:I$834,$H766)="","",INDEX('DM01-AV-CH'!I$6:I$834,$H766)))</f>
        <v>Pos</v>
      </c>
    </row>
    <row r="767" spans="1:35" ht="57" x14ac:dyDescent="0.25">
      <c r="A767" s="57">
        <v>762</v>
      </c>
      <c r="B767" s="57">
        <f>IF($A767="","",IF(_xlfn.XLOOKUP($A767,Korrelation!$D$4:$D$1197,Korrelation!E$4:E$1197,"-",0)="-",0,MATCH(_xlfn.XLOOKUP($A767,Korrelation!$D$4:$D$1197,Korrelation!E$4:E$1197,"",0),DMAV_Modell!$G$6:$G$677,0)))</f>
        <v>0</v>
      </c>
      <c r="C767" s="57">
        <f>IF($A767="","",IF(_xlfn.XLOOKUP($A767,Korrelation!$D$4:$D$1197,Korrelation!F$4:F$1197,"-",0)="-",0,MATCH(_xlfn.XLOOKUP($A767,Korrelation!$D$4:$D$1197,Korrelation!F$4:F$1197,"",0),DMAV_Modell!$G$6:$G$677,0)))</f>
        <v>0</v>
      </c>
      <c r="D767" s="57">
        <f>IF($A767="","",IF(_xlfn.XLOOKUP($A767,Korrelation!$D$4:$D$1197,Korrelation!G$4:G$1197,"-",0)="-",0,MATCH(_xlfn.XLOOKUP($A767,Korrelation!$D$4:$D$1197,Korrelation!G$4:G$1197,"",0),DMAV_Modell!$G$6:$G$677,0)))</f>
        <v>0</v>
      </c>
      <c r="E767" s="57">
        <f>IF($A767="","",IF(_xlfn.XLOOKUP($A767,Korrelation!$D$4:$D$1197,Korrelation!H$4:H$1197,"-",0)="-",0,MATCH(_xlfn.XLOOKUP($A767,Korrelation!$D$4:$D$1197,Korrelation!H$4:H$1197,"",0),DMAV_Dienste!$F$6:$F$140,0)))</f>
        <v>0</v>
      </c>
      <c r="F767" s="57">
        <f>IF($A767="","",IF(_xlfn.XLOOKUP($A767,Korrelation!$D$4:$D$1197,Korrelation!I$4:I$1197,"-",0)="-",0,MATCH(_xlfn.XLOOKUP($A767,Korrelation!$D$4:$D$1197,Korrelation!I$4:I$1197,"",0),DMAV_Dienste!$F$6:$F$140,0)))</f>
        <v>0</v>
      </c>
      <c r="G767" s="57">
        <f>IF($A767="","",IF(_xlfn.XLOOKUP($A767,Korrelation!$D$4:$D$1197,Korrelation!J$4:J$1197,"-",0)="-",0,MATCH(_xlfn.XLOOKUP($A767,Korrelation!$D$4:$D$1197,Korrelation!J$4:J$1197,"",0),DMAV_Dienste!$F$6:$F$140,0)))</f>
        <v>0</v>
      </c>
      <c r="H767" s="57">
        <f>IF($A767="","",IF(_xlfn.XLOOKUP($A767,Korrelation!$D$4:$D$1197,Korrelation!K$4:K$1197,"-",0)="-",0,MATCH(_xlfn.XLOOKUP($A767,Korrelation!$D$4:$D$1197,Korrelation!K$4:K$1197,"",0),'DM01-AV-CH'!$A$6:$A$834,0)))</f>
        <v>211</v>
      </c>
      <c r="J767" s="54" t="str" cm="1">
        <f t="array" aca="1" ref="J767" ca="1">IF(B767=0,IF(E767=0,"",HYPERLINK("#"&amp;RIGHT(CELL("adresse",OFFSET(DMAV_Dienste!$M$6,E767-1,0)),LEN(CELL("adresse",OFFSET(DMAV_Dienste!$M$6,E767-1,0)))-FIND("]",CELL("adresse",OFFSET(DMAV_Dienste!$M$6,E767-1,0)))),"Dienst")),HYPERLINK("#"&amp;RIGHT(CELL("adresse",OFFSET(DMAV_Modell!$N$6,B767-1,0)),LEN(CELL("adresse",OFFSET(DMAV_Modell!$N$6,B767-1,0)))-FIND("]",CELL("adresse",OFFSET(DMAV_Modell!$N$6,B767-1,0)))),"Modell"))</f>
        <v/>
      </c>
      <c r="K767" s="61" t="str" cm="1">
        <f t="array" ref="K767">IF($B767=0,IF($E767=0,"",IF(INDEX(DMAV_Dienste!P$6:P$140,$E767)="","",INDEX(DMAV_Dienste!P$6:P$140,$E767))),IF(INDEX(DMAV_Modell!Q$6:Q$838,$B767)="","",INDEX(DMAV_Modell!Q$6:Q$838,$B767)))</f>
        <v/>
      </c>
      <c r="L767" s="62" t="str" cm="1">
        <f t="array" ref="L767">IF($B767=0,IF($E767=0,"",IF(INDEX(DMAV_Dienste!O$6:O$140,$E767)="","",INDEX(DMAV_Dienste!O$6:O$140,$E767))),IF(INDEX(DMAV_Modell!P$6:P$838,$B767)="","",INDEX(DMAV_Modell!P$6:P$838,$B767)))</f>
        <v/>
      </c>
      <c r="M767" s="62" t="str" cm="1">
        <f t="array" ref="M767">IF($B767=0,IF($E767=0,"",IF(INDEX(DMAV_Dienste!Q$6:Q$140,$E767)="","",INDEX(DMAV_Dienste!Q$6:Q$140,$E767))),IF(INDEX(DMAV_Modell!R$6:R$838,$B767)="","",INDEX(DMAV_Modell!R$6:R$838,$B767)))</f>
        <v/>
      </c>
      <c r="N767" s="62" t="str" cm="1">
        <f t="array" ref="N767">IF($B767=0,IF($E767=0,"",IF(INDEX(DMAV_Dienste!T$6:T$140,$E767)="","",INDEX(DMAV_Dienste!T$6:T$140,$E767))),IF(INDEX(DMAV_Modell!U$6:U$838,$B767)="","",INDEX(DMAV_Modell!U$6:U$838,$B767)))</f>
        <v/>
      </c>
      <c r="O767" s="63" t="str" cm="1">
        <f t="array" aca="1" ref="O767" ca="1">IF(C767=0,IF(F767=0,"",HYPERLINK("#"&amp;RIGHT(CELL("adresse",OFFSET(DMAV_Dienste!$M$6,F767-1,0)),LEN(CELL("adresse",OFFSET(DMAV_Dienste!$M$6,F767-1,0)))-FIND("]",CELL("adresse",OFFSET(DMAV_Dienste!$M$6,F767-1,0)))),"Structure")),HYPERLINK("#"&amp;RIGHT(CELL("adresse",OFFSET(DMAV_Modell!$N$6,C767-1,0)),LEN(CELL("adresse",OFFSET(DMAV_Modell!$N$6,C767-1,0)))-FIND("]",CELL("adresse",OFFSET(DMAV_Modell!$N$6,C767-1,0)))),"Structure"))</f>
        <v/>
      </c>
      <c r="P767" s="64" t="str" cm="1">
        <f t="array" aca="1" ref="P767" ca="1">IF(D767=0,IF(G767=0,"",HYPERLINK("#"&amp;RIGHT(CELL("adresse",OFFSET(DMAV_Dienste!$M$6,G767-1,0)),LEN(CELL("adresse",OFFSET(DMAV_Dienste!$M$6,G767-1,0)))-FIND("]",CELL("adresse",OFFSET(DMAV_Dienste!$M$6,G767-1,0)))),"Substructure")),HYPERLINK("#"&amp;RIGHT(CELL("adresse",OFFSET(DMAV_Modell!$N$6,D767-1,0)),LEN(CELL("adresse",OFFSET(DMAV_Modell!$N$6,D767-1,0)))-FIND("]",CELL("adresse",OFFSET(DMAV_Modell!$N$6,D767-1,0)))),"Substructure"))</f>
        <v/>
      </c>
      <c r="R767" s="80"/>
      <c r="T767" s="93"/>
      <c r="U767" s="94" t="s">
        <v>2980</v>
      </c>
      <c r="V767" s="95" t="s">
        <v>3169</v>
      </c>
      <c r="W767" s="96" t="s">
        <v>3166</v>
      </c>
      <c r="Y767" s="85"/>
      <c r="Z767" s="86"/>
      <c r="AA767" s="87"/>
      <c r="AB767" s="88"/>
      <c r="AD767" s="77"/>
      <c r="AF767" s="54" t="str" cm="1">
        <f t="array" aca="1" ref="AF767" ca="1">IF(H767=0,"",HYPERLINK("#"&amp;RIGHT(CELL("adresse",OFFSET('DM01-AV-CH'!$G$6,H767-1,0)),LEN(CELL("adresse",OFFSET('DM01-AV-CH'!$G$6,H767-1,0)))-FIND("]",CELL("adresse",OFFSET('DM01-AV-CH'!$G$6,H767-1,0)))),"Modell"))</f>
        <v>Modell</v>
      </c>
      <c r="AG767" s="72" t="str" cm="1">
        <f t="array" ref="AG767">IF($H767=0,"",IF(INDEX('DM01-AV-CH'!G$6:G$834,$H767)="","",INDEX('DM01-AV-CH'!G$6:G$834,$H767)))</f>
        <v>Bodenbedeckung</v>
      </c>
      <c r="AH767" s="73" t="str" cm="1">
        <f t="array" ref="AH767">IF($H767=0,"",IF(INDEX('DM01-AV-CH'!H$6:H$834,$H767)="","",INDEX('DM01-AV-CH'!H$6:H$834,$H767)))</f>
        <v>ProjGebaeudenummerPos</v>
      </c>
      <c r="AI767" s="74" t="str" cm="1">
        <f t="array" ref="AI767">IF($H767=0,"",IF(INDEX('DM01-AV-CH'!I$6:I$834,$H767)="","",INDEX('DM01-AV-CH'!I$6:I$834,$H767)))</f>
        <v>Ori</v>
      </c>
    </row>
    <row r="768" spans="1:35" ht="57" x14ac:dyDescent="0.25">
      <c r="A768" s="57">
        <v>763</v>
      </c>
      <c r="B768" s="57">
        <f>IF($A768="","",IF(_xlfn.XLOOKUP($A768,Korrelation!$D$4:$D$1197,Korrelation!E$4:E$1197,"-",0)="-",0,MATCH(_xlfn.XLOOKUP($A768,Korrelation!$D$4:$D$1197,Korrelation!E$4:E$1197,"",0),DMAV_Modell!$G$6:$G$677,0)))</f>
        <v>0</v>
      </c>
      <c r="C768" s="57">
        <f>IF($A768="","",IF(_xlfn.XLOOKUP($A768,Korrelation!$D$4:$D$1197,Korrelation!F$4:F$1197,"-",0)="-",0,MATCH(_xlfn.XLOOKUP($A768,Korrelation!$D$4:$D$1197,Korrelation!F$4:F$1197,"",0),DMAV_Modell!$G$6:$G$677,0)))</f>
        <v>0</v>
      </c>
      <c r="D768" s="57">
        <f>IF($A768="","",IF(_xlfn.XLOOKUP($A768,Korrelation!$D$4:$D$1197,Korrelation!G$4:G$1197,"-",0)="-",0,MATCH(_xlfn.XLOOKUP($A768,Korrelation!$D$4:$D$1197,Korrelation!G$4:G$1197,"",0),DMAV_Modell!$G$6:$G$677,0)))</f>
        <v>0</v>
      </c>
      <c r="E768" s="57">
        <f>IF($A768="","",IF(_xlfn.XLOOKUP($A768,Korrelation!$D$4:$D$1197,Korrelation!H$4:H$1197,"-",0)="-",0,MATCH(_xlfn.XLOOKUP($A768,Korrelation!$D$4:$D$1197,Korrelation!H$4:H$1197,"",0),DMAV_Dienste!$F$6:$F$140,0)))</f>
        <v>0</v>
      </c>
      <c r="F768" s="57">
        <f>IF($A768="","",IF(_xlfn.XLOOKUP($A768,Korrelation!$D$4:$D$1197,Korrelation!I$4:I$1197,"-",0)="-",0,MATCH(_xlfn.XLOOKUP($A768,Korrelation!$D$4:$D$1197,Korrelation!I$4:I$1197,"",0),DMAV_Dienste!$F$6:$F$140,0)))</f>
        <v>0</v>
      </c>
      <c r="G768" s="57">
        <f>IF($A768="","",IF(_xlfn.XLOOKUP($A768,Korrelation!$D$4:$D$1197,Korrelation!J$4:J$1197,"-",0)="-",0,MATCH(_xlfn.XLOOKUP($A768,Korrelation!$D$4:$D$1197,Korrelation!J$4:J$1197,"",0),DMAV_Dienste!$F$6:$F$140,0)))</f>
        <v>0</v>
      </c>
      <c r="H768" s="57">
        <f>IF($A768="","",IF(_xlfn.XLOOKUP($A768,Korrelation!$D$4:$D$1197,Korrelation!K$4:K$1197,"-",0)="-",0,MATCH(_xlfn.XLOOKUP($A768,Korrelation!$D$4:$D$1197,Korrelation!K$4:K$1197,"",0),'DM01-AV-CH'!$A$6:$A$834,0)))</f>
        <v>212</v>
      </c>
      <c r="J768" s="54" t="str" cm="1">
        <f t="array" aca="1" ref="J768" ca="1">IF(B768=0,IF(E768=0,"",HYPERLINK("#"&amp;RIGHT(CELL("adresse",OFFSET(DMAV_Dienste!$M$6,E768-1,0)),LEN(CELL("adresse",OFFSET(DMAV_Dienste!$M$6,E768-1,0)))-FIND("]",CELL("adresse",OFFSET(DMAV_Dienste!$M$6,E768-1,0)))),"Dienst")),HYPERLINK("#"&amp;RIGHT(CELL("adresse",OFFSET(DMAV_Modell!$N$6,B768-1,0)),LEN(CELL("adresse",OFFSET(DMAV_Modell!$N$6,B768-1,0)))-FIND("]",CELL("adresse",OFFSET(DMAV_Modell!$N$6,B768-1,0)))),"Modell"))</f>
        <v/>
      </c>
      <c r="K768" s="61" t="str" cm="1">
        <f t="array" ref="K768">IF($B768=0,IF($E768=0,"",IF(INDEX(DMAV_Dienste!P$6:P$140,$E768)="","",INDEX(DMAV_Dienste!P$6:P$140,$E768))),IF(INDEX(DMAV_Modell!Q$6:Q$838,$B768)="","",INDEX(DMAV_Modell!Q$6:Q$838,$B768)))</f>
        <v/>
      </c>
      <c r="L768" s="62" t="str" cm="1">
        <f t="array" ref="L768">IF($B768=0,IF($E768=0,"",IF(INDEX(DMAV_Dienste!O$6:O$140,$E768)="","",INDEX(DMAV_Dienste!O$6:O$140,$E768))),IF(INDEX(DMAV_Modell!P$6:P$838,$B768)="","",INDEX(DMAV_Modell!P$6:P$838,$B768)))</f>
        <v/>
      </c>
      <c r="M768" s="62" t="str" cm="1">
        <f t="array" ref="M768">IF($B768=0,IF($E768=0,"",IF(INDEX(DMAV_Dienste!Q$6:Q$140,$E768)="","",INDEX(DMAV_Dienste!Q$6:Q$140,$E768))),IF(INDEX(DMAV_Modell!R$6:R$838,$B768)="","",INDEX(DMAV_Modell!R$6:R$838,$B768)))</f>
        <v/>
      </c>
      <c r="N768" s="62" t="str" cm="1">
        <f t="array" ref="N768">IF($B768=0,IF($E768=0,"",IF(INDEX(DMAV_Dienste!T$6:T$140,$E768)="","",INDEX(DMAV_Dienste!T$6:T$140,$E768))),IF(INDEX(DMAV_Modell!U$6:U$838,$B768)="","",INDEX(DMAV_Modell!U$6:U$838,$B768)))</f>
        <v/>
      </c>
      <c r="O768" s="63" t="str" cm="1">
        <f t="array" aca="1" ref="O768" ca="1">IF(C768=0,IF(F768=0,"",HYPERLINK("#"&amp;RIGHT(CELL("adresse",OFFSET(DMAV_Dienste!$M$6,F768-1,0)),LEN(CELL("adresse",OFFSET(DMAV_Dienste!$M$6,F768-1,0)))-FIND("]",CELL("adresse",OFFSET(DMAV_Dienste!$M$6,F768-1,0)))),"Structure")),HYPERLINK("#"&amp;RIGHT(CELL("adresse",OFFSET(DMAV_Modell!$N$6,C768-1,0)),LEN(CELL("adresse",OFFSET(DMAV_Modell!$N$6,C768-1,0)))-FIND("]",CELL("adresse",OFFSET(DMAV_Modell!$N$6,C768-1,0)))),"Structure"))</f>
        <v/>
      </c>
      <c r="P768" s="64" t="str" cm="1">
        <f t="array" aca="1" ref="P768" ca="1">IF(D768=0,IF(G768=0,"",HYPERLINK("#"&amp;RIGHT(CELL("adresse",OFFSET(DMAV_Dienste!$M$6,G768-1,0)),LEN(CELL("adresse",OFFSET(DMAV_Dienste!$M$6,G768-1,0)))-FIND("]",CELL("adresse",OFFSET(DMAV_Dienste!$M$6,G768-1,0)))),"Substructure")),HYPERLINK("#"&amp;RIGHT(CELL("adresse",OFFSET(DMAV_Modell!$N$6,D768-1,0)),LEN(CELL("adresse",OFFSET(DMAV_Modell!$N$6,D768-1,0)))-FIND("]",CELL("adresse",OFFSET(DMAV_Modell!$N$6,D768-1,0)))),"Substructure"))</f>
        <v/>
      </c>
      <c r="R768" s="80"/>
      <c r="T768" s="93"/>
      <c r="U768" s="94" t="s">
        <v>2980</v>
      </c>
      <c r="V768" s="95" t="s">
        <v>3170</v>
      </c>
      <c r="W768" s="96" t="s">
        <v>3166</v>
      </c>
      <c r="Y768" s="85"/>
      <c r="Z768" s="86"/>
      <c r="AA768" s="87"/>
      <c r="AB768" s="88"/>
      <c r="AD768" s="77"/>
      <c r="AF768" s="54" t="str" cm="1">
        <f t="array" aca="1" ref="AF768" ca="1">IF(H768=0,"",HYPERLINK("#"&amp;RIGHT(CELL("adresse",OFFSET('DM01-AV-CH'!$G$6,H768-1,0)),LEN(CELL("adresse",OFFSET('DM01-AV-CH'!$G$6,H768-1,0)))-FIND("]",CELL("adresse",OFFSET('DM01-AV-CH'!$G$6,H768-1,0)))),"Modell"))</f>
        <v>Modell</v>
      </c>
      <c r="AG768" s="72" t="str" cm="1">
        <f t="array" ref="AG768">IF($H768=0,"",IF(INDEX('DM01-AV-CH'!G$6:G$834,$H768)="","",INDEX('DM01-AV-CH'!G$6:G$834,$H768)))</f>
        <v>Bodenbedeckung</v>
      </c>
      <c r="AH768" s="73" t="str" cm="1">
        <f t="array" ref="AH768">IF($H768=0,"",IF(INDEX('DM01-AV-CH'!H$6:H$834,$H768)="","",INDEX('DM01-AV-CH'!H$6:H$834,$H768)))</f>
        <v>ProjGebaeudenummerPos</v>
      </c>
      <c r="AI768" s="74" t="str" cm="1">
        <f t="array" ref="AI768">IF($H768=0,"",IF(INDEX('DM01-AV-CH'!I$6:I$834,$H768)="","",INDEX('DM01-AV-CH'!I$6:I$834,$H768)))</f>
        <v>HAli</v>
      </c>
    </row>
    <row r="769" spans="1:35" ht="57" x14ac:dyDescent="0.25">
      <c r="A769" s="57">
        <v>764</v>
      </c>
      <c r="B769" s="57">
        <f>IF($A769="","",IF(_xlfn.XLOOKUP($A769,Korrelation!$D$4:$D$1197,Korrelation!E$4:E$1197,"-",0)="-",0,MATCH(_xlfn.XLOOKUP($A769,Korrelation!$D$4:$D$1197,Korrelation!E$4:E$1197,"",0),DMAV_Modell!$G$6:$G$677,0)))</f>
        <v>0</v>
      </c>
      <c r="C769" s="57">
        <f>IF($A769="","",IF(_xlfn.XLOOKUP($A769,Korrelation!$D$4:$D$1197,Korrelation!F$4:F$1197,"-",0)="-",0,MATCH(_xlfn.XLOOKUP($A769,Korrelation!$D$4:$D$1197,Korrelation!F$4:F$1197,"",0),DMAV_Modell!$G$6:$G$677,0)))</f>
        <v>0</v>
      </c>
      <c r="D769" s="57">
        <f>IF($A769="","",IF(_xlfn.XLOOKUP($A769,Korrelation!$D$4:$D$1197,Korrelation!G$4:G$1197,"-",0)="-",0,MATCH(_xlfn.XLOOKUP($A769,Korrelation!$D$4:$D$1197,Korrelation!G$4:G$1197,"",0),DMAV_Modell!$G$6:$G$677,0)))</f>
        <v>0</v>
      </c>
      <c r="E769" s="57">
        <f>IF($A769="","",IF(_xlfn.XLOOKUP($A769,Korrelation!$D$4:$D$1197,Korrelation!H$4:H$1197,"-",0)="-",0,MATCH(_xlfn.XLOOKUP($A769,Korrelation!$D$4:$D$1197,Korrelation!H$4:H$1197,"",0),DMAV_Dienste!$F$6:$F$140,0)))</f>
        <v>0</v>
      </c>
      <c r="F769" s="57">
        <f>IF($A769="","",IF(_xlfn.XLOOKUP($A769,Korrelation!$D$4:$D$1197,Korrelation!I$4:I$1197,"-",0)="-",0,MATCH(_xlfn.XLOOKUP($A769,Korrelation!$D$4:$D$1197,Korrelation!I$4:I$1197,"",0),DMAV_Dienste!$F$6:$F$140,0)))</f>
        <v>0</v>
      </c>
      <c r="G769" s="57">
        <f>IF($A769="","",IF(_xlfn.XLOOKUP($A769,Korrelation!$D$4:$D$1197,Korrelation!J$4:J$1197,"-",0)="-",0,MATCH(_xlfn.XLOOKUP($A769,Korrelation!$D$4:$D$1197,Korrelation!J$4:J$1197,"",0),DMAV_Dienste!$F$6:$F$140,0)))</f>
        <v>0</v>
      </c>
      <c r="H769" s="57">
        <f>IF($A769="","",IF(_xlfn.XLOOKUP($A769,Korrelation!$D$4:$D$1197,Korrelation!K$4:K$1197,"-",0)="-",0,MATCH(_xlfn.XLOOKUP($A769,Korrelation!$D$4:$D$1197,Korrelation!K$4:K$1197,"",0),'DM01-AV-CH'!$A$6:$A$834,0)))</f>
        <v>213</v>
      </c>
      <c r="J769" s="54" t="str" cm="1">
        <f t="array" aca="1" ref="J769" ca="1">IF(B769=0,IF(E769=0,"",HYPERLINK("#"&amp;RIGHT(CELL("adresse",OFFSET(DMAV_Dienste!$M$6,E769-1,0)),LEN(CELL("adresse",OFFSET(DMAV_Dienste!$M$6,E769-1,0)))-FIND("]",CELL("adresse",OFFSET(DMAV_Dienste!$M$6,E769-1,0)))),"Dienst")),HYPERLINK("#"&amp;RIGHT(CELL("adresse",OFFSET(DMAV_Modell!$N$6,B769-1,0)),LEN(CELL("adresse",OFFSET(DMAV_Modell!$N$6,B769-1,0)))-FIND("]",CELL("adresse",OFFSET(DMAV_Modell!$N$6,B769-1,0)))),"Modell"))</f>
        <v/>
      </c>
      <c r="K769" s="61" t="str" cm="1">
        <f t="array" ref="K769">IF($B769=0,IF($E769=0,"",IF(INDEX(DMAV_Dienste!P$6:P$140,$E769)="","",INDEX(DMAV_Dienste!P$6:P$140,$E769))),IF(INDEX(DMAV_Modell!Q$6:Q$838,$B769)="","",INDEX(DMAV_Modell!Q$6:Q$838,$B769)))</f>
        <v/>
      </c>
      <c r="L769" s="62" t="str" cm="1">
        <f t="array" ref="L769">IF($B769=0,IF($E769=0,"",IF(INDEX(DMAV_Dienste!O$6:O$140,$E769)="","",INDEX(DMAV_Dienste!O$6:O$140,$E769))),IF(INDEX(DMAV_Modell!P$6:P$838,$B769)="","",INDEX(DMAV_Modell!P$6:P$838,$B769)))</f>
        <v/>
      </c>
      <c r="M769" s="62" t="str" cm="1">
        <f t="array" ref="M769">IF($B769=0,IF($E769=0,"",IF(INDEX(DMAV_Dienste!Q$6:Q$140,$E769)="","",INDEX(DMAV_Dienste!Q$6:Q$140,$E769))),IF(INDEX(DMAV_Modell!R$6:R$838,$B769)="","",INDEX(DMAV_Modell!R$6:R$838,$B769)))</f>
        <v/>
      </c>
      <c r="N769" s="62" t="str" cm="1">
        <f t="array" ref="N769">IF($B769=0,IF($E769=0,"",IF(INDEX(DMAV_Dienste!T$6:T$140,$E769)="","",INDEX(DMAV_Dienste!T$6:T$140,$E769))),IF(INDEX(DMAV_Modell!U$6:U$838,$B769)="","",INDEX(DMAV_Modell!U$6:U$838,$B769)))</f>
        <v/>
      </c>
      <c r="O769" s="63" t="str" cm="1">
        <f t="array" aca="1" ref="O769" ca="1">IF(C769=0,IF(F769=0,"",HYPERLINK("#"&amp;RIGHT(CELL("adresse",OFFSET(DMAV_Dienste!$M$6,F769-1,0)),LEN(CELL("adresse",OFFSET(DMAV_Dienste!$M$6,F769-1,0)))-FIND("]",CELL("adresse",OFFSET(DMAV_Dienste!$M$6,F769-1,0)))),"Structure")),HYPERLINK("#"&amp;RIGHT(CELL("adresse",OFFSET(DMAV_Modell!$N$6,C769-1,0)),LEN(CELL("adresse",OFFSET(DMAV_Modell!$N$6,C769-1,0)))-FIND("]",CELL("adresse",OFFSET(DMAV_Modell!$N$6,C769-1,0)))),"Structure"))</f>
        <v/>
      </c>
      <c r="P769" s="64" t="str" cm="1">
        <f t="array" aca="1" ref="P769" ca="1">IF(D769=0,IF(G769=0,"",HYPERLINK("#"&amp;RIGHT(CELL("adresse",OFFSET(DMAV_Dienste!$M$6,G769-1,0)),LEN(CELL("adresse",OFFSET(DMAV_Dienste!$M$6,G769-1,0)))-FIND("]",CELL("adresse",OFFSET(DMAV_Dienste!$M$6,G769-1,0)))),"Substructure")),HYPERLINK("#"&amp;RIGHT(CELL("adresse",OFFSET(DMAV_Modell!$N$6,D769-1,0)),LEN(CELL("adresse",OFFSET(DMAV_Modell!$N$6,D769-1,0)))-FIND("]",CELL("adresse",OFFSET(DMAV_Modell!$N$6,D769-1,0)))),"Substructure"))</f>
        <v/>
      </c>
      <c r="R769" s="80"/>
      <c r="T769" s="93"/>
      <c r="U769" s="94" t="s">
        <v>2980</v>
      </c>
      <c r="V769" s="95" t="s">
        <v>3171</v>
      </c>
      <c r="W769" s="96" t="s">
        <v>3166</v>
      </c>
      <c r="Y769" s="85"/>
      <c r="Z769" s="86"/>
      <c r="AA769" s="87"/>
      <c r="AB769" s="88"/>
      <c r="AD769" s="77"/>
      <c r="AF769" s="54" t="str" cm="1">
        <f t="array" aca="1" ref="AF769" ca="1">IF(H769=0,"",HYPERLINK("#"&amp;RIGHT(CELL("adresse",OFFSET('DM01-AV-CH'!$G$6,H769-1,0)),LEN(CELL("adresse",OFFSET('DM01-AV-CH'!$G$6,H769-1,0)))-FIND("]",CELL("adresse",OFFSET('DM01-AV-CH'!$G$6,H769-1,0)))),"Modell"))</f>
        <v>Modell</v>
      </c>
      <c r="AG769" s="72" t="str" cm="1">
        <f t="array" ref="AG769">IF($H769=0,"",IF(INDEX('DM01-AV-CH'!G$6:G$834,$H769)="","",INDEX('DM01-AV-CH'!G$6:G$834,$H769)))</f>
        <v>Bodenbedeckung</v>
      </c>
      <c r="AH769" s="73" t="str" cm="1">
        <f t="array" ref="AH769">IF($H769=0,"",IF(INDEX('DM01-AV-CH'!H$6:H$834,$H769)="","",INDEX('DM01-AV-CH'!H$6:H$834,$H769)))</f>
        <v>ProjGebaeudenummerPos</v>
      </c>
      <c r="AI769" s="74" t="str" cm="1">
        <f t="array" ref="AI769">IF($H769=0,"",IF(INDEX('DM01-AV-CH'!I$6:I$834,$H769)="","",INDEX('DM01-AV-CH'!I$6:I$834,$H769)))</f>
        <v>VAli</v>
      </c>
    </row>
    <row r="770" spans="1:35" ht="57" x14ac:dyDescent="0.25">
      <c r="A770" s="57">
        <v>765</v>
      </c>
      <c r="B770" s="57">
        <f>IF($A770="","",IF(_xlfn.XLOOKUP($A770,Korrelation!$D$4:$D$1197,Korrelation!E$4:E$1197,"-",0)="-",0,MATCH(_xlfn.XLOOKUP($A770,Korrelation!$D$4:$D$1197,Korrelation!E$4:E$1197,"",0),DMAV_Modell!$G$6:$G$677,0)))</f>
        <v>0</v>
      </c>
      <c r="C770" s="57">
        <f>IF($A770="","",IF(_xlfn.XLOOKUP($A770,Korrelation!$D$4:$D$1197,Korrelation!F$4:F$1197,"-",0)="-",0,MATCH(_xlfn.XLOOKUP($A770,Korrelation!$D$4:$D$1197,Korrelation!F$4:F$1197,"",0),DMAV_Modell!$G$6:$G$677,0)))</f>
        <v>0</v>
      </c>
      <c r="D770" s="57">
        <f>IF($A770="","",IF(_xlfn.XLOOKUP($A770,Korrelation!$D$4:$D$1197,Korrelation!G$4:G$1197,"-",0)="-",0,MATCH(_xlfn.XLOOKUP($A770,Korrelation!$D$4:$D$1197,Korrelation!G$4:G$1197,"",0),DMAV_Modell!$G$6:$G$677,0)))</f>
        <v>0</v>
      </c>
      <c r="E770" s="57">
        <f>IF($A770="","",IF(_xlfn.XLOOKUP($A770,Korrelation!$D$4:$D$1197,Korrelation!H$4:H$1197,"-",0)="-",0,MATCH(_xlfn.XLOOKUP($A770,Korrelation!$D$4:$D$1197,Korrelation!H$4:H$1197,"",0),DMAV_Dienste!$F$6:$F$140,0)))</f>
        <v>0</v>
      </c>
      <c r="F770" s="57">
        <f>IF($A770="","",IF(_xlfn.XLOOKUP($A770,Korrelation!$D$4:$D$1197,Korrelation!I$4:I$1197,"-",0)="-",0,MATCH(_xlfn.XLOOKUP($A770,Korrelation!$D$4:$D$1197,Korrelation!I$4:I$1197,"",0),DMAV_Dienste!$F$6:$F$140,0)))</f>
        <v>0</v>
      </c>
      <c r="G770" s="57">
        <f>IF($A770="","",IF(_xlfn.XLOOKUP($A770,Korrelation!$D$4:$D$1197,Korrelation!J$4:J$1197,"-",0)="-",0,MATCH(_xlfn.XLOOKUP($A770,Korrelation!$D$4:$D$1197,Korrelation!J$4:J$1197,"",0),DMAV_Dienste!$F$6:$F$140,0)))</f>
        <v>0</v>
      </c>
      <c r="H770" s="57">
        <f>IF($A770="","",IF(_xlfn.XLOOKUP($A770,Korrelation!$D$4:$D$1197,Korrelation!K$4:K$1197,"-",0)="-",0,MATCH(_xlfn.XLOOKUP($A770,Korrelation!$D$4:$D$1197,Korrelation!K$4:K$1197,"",0),'DM01-AV-CH'!$A$6:$A$834,0)))</f>
        <v>214</v>
      </c>
      <c r="J770" s="54" t="str" cm="1">
        <f t="array" aca="1" ref="J770" ca="1">IF(B770=0,IF(E770=0,"",HYPERLINK("#"&amp;RIGHT(CELL("adresse",OFFSET(DMAV_Dienste!$M$6,E770-1,0)),LEN(CELL("adresse",OFFSET(DMAV_Dienste!$M$6,E770-1,0)))-FIND("]",CELL("adresse",OFFSET(DMAV_Dienste!$M$6,E770-1,0)))),"Dienst")),HYPERLINK("#"&amp;RIGHT(CELL("adresse",OFFSET(DMAV_Modell!$N$6,B770-1,0)),LEN(CELL("adresse",OFFSET(DMAV_Modell!$N$6,B770-1,0)))-FIND("]",CELL("adresse",OFFSET(DMAV_Modell!$N$6,B770-1,0)))),"Modell"))</f>
        <v/>
      </c>
      <c r="K770" s="61" t="str" cm="1">
        <f t="array" ref="K770">IF($B770=0,IF($E770=0,"",IF(INDEX(DMAV_Dienste!P$6:P$140,$E770)="","",INDEX(DMAV_Dienste!P$6:P$140,$E770))),IF(INDEX(DMAV_Modell!Q$6:Q$838,$B770)="","",INDEX(DMAV_Modell!Q$6:Q$838,$B770)))</f>
        <v/>
      </c>
      <c r="L770" s="62" t="str" cm="1">
        <f t="array" ref="L770">IF($B770=0,IF($E770=0,"",IF(INDEX(DMAV_Dienste!O$6:O$140,$E770)="","",INDEX(DMAV_Dienste!O$6:O$140,$E770))),IF(INDEX(DMAV_Modell!P$6:P$838,$B770)="","",INDEX(DMAV_Modell!P$6:P$838,$B770)))</f>
        <v/>
      </c>
      <c r="M770" s="62" t="str" cm="1">
        <f t="array" ref="M770">IF($B770=0,IF($E770=0,"",IF(INDEX(DMAV_Dienste!Q$6:Q$140,$E770)="","",INDEX(DMAV_Dienste!Q$6:Q$140,$E770))),IF(INDEX(DMAV_Modell!R$6:R$838,$B770)="","",INDEX(DMAV_Modell!R$6:R$838,$B770)))</f>
        <v/>
      </c>
      <c r="N770" s="62" t="str" cm="1">
        <f t="array" ref="N770">IF($B770=0,IF($E770=0,"",IF(INDEX(DMAV_Dienste!T$6:T$140,$E770)="","",INDEX(DMAV_Dienste!T$6:T$140,$E770))),IF(INDEX(DMAV_Modell!U$6:U$838,$B770)="","",INDEX(DMAV_Modell!U$6:U$838,$B770)))</f>
        <v/>
      </c>
      <c r="O770" s="63" t="str" cm="1">
        <f t="array" aca="1" ref="O770" ca="1">IF(C770=0,IF(F770=0,"",HYPERLINK("#"&amp;RIGHT(CELL("adresse",OFFSET(DMAV_Dienste!$M$6,F770-1,0)),LEN(CELL("adresse",OFFSET(DMAV_Dienste!$M$6,F770-1,0)))-FIND("]",CELL("adresse",OFFSET(DMAV_Dienste!$M$6,F770-1,0)))),"Structure")),HYPERLINK("#"&amp;RIGHT(CELL("adresse",OFFSET(DMAV_Modell!$N$6,C770-1,0)),LEN(CELL("adresse",OFFSET(DMAV_Modell!$N$6,C770-1,0)))-FIND("]",CELL("adresse",OFFSET(DMAV_Modell!$N$6,C770-1,0)))),"Structure"))</f>
        <v/>
      </c>
      <c r="P770" s="64" t="str" cm="1">
        <f t="array" aca="1" ref="P770" ca="1">IF(D770=0,IF(G770=0,"",HYPERLINK("#"&amp;RIGHT(CELL("adresse",OFFSET(DMAV_Dienste!$M$6,G770-1,0)),LEN(CELL("adresse",OFFSET(DMAV_Dienste!$M$6,G770-1,0)))-FIND("]",CELL("adresse",OFFSET(DMAV_Dienste!$M$6,G770-1,0)))),"Substructure")),HYPERLINK("#"&amp;RIGHT(CELL("adresse",OFFSET(DMAV_Modell!$N$6,D770-1,0)),LEN(CELL("adresse",OFFSET(DMAV_Modell!$N$6,D770-1,0)))-FIND("]",CELL("adresse",OFFSET(DMAV_Modell!$N$6,D770-1,0)))),"Substructure"))</f>
        <v/>
      </c>
      <c r="R770" s="80"/>
      <c r="T770" s="93"/>
      <c r="U770" s="94" t="s">
        <v>2980</v>
      </c>
      <c r="V770" s="95" t="s">
        <v>3172</v>
      </c>
      <c r="W770" s="96" t="s">
        <v>3166</v>
      </c>
      <c r="Y770" s="85"/>
      <c r="Z770" s="86"/>
      <c r="AA770" s="87"/>
      <c r="AB770" s="88"/>
      <c r="AD770" s="77"/>
      <c r="AF770" s="54" t="str" cm="1">
        <f t="array" aca="1" ref="AF770" ca="1">IF(H770=0,"",HYPERLINK("#"&amp;RIGHT(CELL("adresse",OFFSET('DM01-AV-CH'!$G$6,H770-1,0)),LEN(CELL("adresse",OFFSET('DM01-AV-CH'!$G$6,H770-1,0)))-FIND("]",CELL("adresse",OFFSET('DM01-AV-CH'!$G$6,H770-1,0)))),"Modell"))</f>
        <v>Modell</v>
      </c>
      <c r="AG770" s="72" t="str" cm="1">
        <f t="array" ref="AG770">IF($H770=0,"",IF(INDEX('DM01-AV-CH'!G$6:G$834,$H770)="","",INDEX('DM01-AV-CH'!G$6:G$834,$H770)))</f>
        <v>Bodenbedeckung</v>
      </c>
      <c r="AH770" s="73" t="str" cm="1">
        <f t="array" ref="AH770">IF($H770=0,"",IF(INDEX('DM01-AV-CH'!H$6:H$834,$H770)="","",INDEX('DM01-AV-CH'!H$6:H$834,$H770)))</f>
        <v>ProjGebaeudenummerPos</v>
      </c>
      <c r="AI770" s="74" t="str" cm="1">
        <f t="array" ref="AI770">IF($H770=0,"",IF(INDEX('DM01-AV-CH'!I$6:I$834,$H770)="","",INDEX('DM01-AV-CH'!I$6:I$834,$H770)))</f>
        <v>Groesse</v>
      </c>
    </row>
    <row r="771" spans="1:35" x14ac:dyDescent="0.25">
      <c r="A771" s="57">
        <v>766</v>
      </c>
      <c r="B771" s="57">
        <f>IF($A771="","",IF(_xlfn.XLOOKUP($A771,Korrelation!$D$4:$D$1197,Korrelation!E$4:E$1197,"-",0)="-",0,MATCH(_xlfn.XLOOKUP($A771,Korrelation!$D$4:$D$1197,Korrelation!E$4:E$1197,"",0),DMAV_Modell!$G$6:$G$677,0)))</f>
        <v>0</v>
      </c>
      <c r="C771" s="57">
        <f>IF($A771="","",IF(_xlfn.XLOOKUP($A771,Korrelation!$D$4:$D$1197,Korrelation!F$4:F$1197,"-",0)="-",0,MATCH(_xlfn.XLOOKUP($A771,Korrelation!$D$4:$D$1197,Korrelation!F$4:F$1197,"",0),DMAV_Modell!$G$6:$G$677,0)))</f>
        <v>0</v>
      </c>
      <c r="D771" s="57">
        <f>IF($A771="","",IF(_xlfn.XLOOKUP($A771,Korrelation!$D$4:$D$1197,Korrelation!G$4:G$1197,"-",0)="-",0,MATCH(_xlfn.XLOOKUP($A771,Korrelation!$D$4:$D$1197,Korrelation!G$4:G$1197,"",0),DMAV_Modell!$G$6:$G$677,0)))</f>
        <v>0</v>
      </c>
      <c r="E771" s="57">
        <f>IF($A771="","",IF(_xlfn.XLOOKUP($A771,Korrelation!$D$4:$D$1197,Korrelation!H$4:H$1197,"-",0)="-",0,MATCH(_xlfn.XLOOKUP($A771,Korrelation!$D$4:$D$1197,Korrelation!H$4:H$1197,"",0),DMAV_Dienste!$F$6:$F$140,0)))</f>
        <v>0</v>
      </c>
      <c r="F771" s="57">
        <f>IF($A771="","",IF(_xlfn.XLOOKUP($A771,Korrelation!$D$4:$D$1197,Korrelation!I$4:I$1197,"-",0)="-",0,MATCH(_xlfn.XLOOKUP($A771,Korrelation!$D$4:$D$1197,Korrelation!I$4:I$1197,"",0),DMAV_Dienste!$F$6:$F$140,0)))</f>
        <v>0</v>
      </c>
      <c r="G771" s="57">
        <f>IF($A771="","",IF(_xlfn.XLOOKUP($A771,Korrelation!$D$4:$D$1197,Korrelation!J$4:J$1197,"-",0)="-",0,MATCH(_xlfn.XLOOKUP($A771,Korrelation!$D$4:$D$1197,Korrelation!J$4:J$1197,"",0),DMAV_Dienste!$F$6:$F$140,0)))</f>
        <v>0</v>
      </c>
      <c r="H771" s="57">
        <f>IF($A771="","",IF(_xlfn.XLOOKUP($A771,Korrelation!$D$4:$D$1197,Korrelation!K$4:K$1197,"-",0)="-",0,MATCH(_xlfn.XLOOKUP($A771,Korrelation!$D$4:$D$1197,Korrelation!K$4:K$1197,"",0),'DM01-AV-CH'!$A$6:$A$834,0)))</f>
        <v>215</v>
      </c>
      <c r="J771" s="54" t="str" cm="1">
        <f t="array" aca="1" ref="J771" ca="1">IF(B771=0,IF(E771=0,"",HYPERLINK("#"&amp;RIGHT(CELL("adresse",OFFSET(DMAV_Dienste!$M$6,E771-1,0)),LEN(CELL("adresse",OFFSET(DMAV_Dienste!$M$6,E771-1,0)))-FIND("]",CELL("adresse",OFFSET(DMAV_Dienste!$M$6,E771-1,0)))),"Dienst")),HYPERLINK("#"&amp;RIGHT(CELL("adresse",OFFSET(DMAV_Modell!$N$6,B771-1,0)),LEN(CELL("adresse",OFFSET(DMAV_Modell!$N$6,B771-1,0)))-FIND("]",CELL("adresse",OFFSET(DMAV_Modell!$N$6,B771-1,0)))),"Modell"))</f>
        <v/>
      </c>
      <c r="K771" s="61" t="str" cm="1">
        <f t="array" ref="K771">IF($B771=0,IF($E771=0,"",IF(INDEX(DMAV_Dienste!P$6:P$140,$E771)="","",INDEX(DMAV_Dienste!P$6:P$140,$E771))),IF(INDEX(DMAV_Modell!Q$6:Q$838,$B771)="","",INDEX(DMAV_Modell!Q$6:Q$838,$B771)))</f>
        <v/>
      </c>
      <c r="L771" s="62" t="str" cm="1">
        <f t="array" ref="L771">IF($B771=0,IF($E771=0,"",IF(INDEX(DMAV_Dienste!O$6:O$140,$E771)="","",INDEX(DMAV_Dienste!O$6:O$140,$E771))),IF(INDEX(DMAV_Modell!P$6:P$838,$B771)="","",INDEX(DMAV_Modell!P$6:P$838,$B771)))</f>
        <v/>
      </c>
      <c r="M771" s="62" t="str" cm="1">
        <f t="array" ref="M771">IF($B771=0,IF($E771=0,"",IF(INDEX(DMAV_Dienste!Q$6:Q$140,$E771)="","",INDEX(DMAV_Dienste!Q$6:Q$140,$E771))),IF(INDEX(DMAV_Modell!R$6:R$838,$B771)="","",INDEX(DMAV_Modell!R$6:R$838,$B771)))</f>
        <v/>
      </c>
      <c r="N771" s="62" t="str" cm="1">
        <f t="array" ref="N771">IF($B771=0,IF($E771=0,"",IF(INDEX(DMAV_Dienste!T$6:T$140,$E771)="","",INDEX(DMAV_Dienste!T$6:T$140,$E771))),IF(INDEX(DMAV_Modell!U$6:U$838,$B771)="","",INDEX(DMAV_Modell!U$6:U$838,$B771)))</f>
        <v/>
      </c>
      <c r="O771" s="63" t="str" cm="1">
        <f t="array" aca="1" ref="O771" ca="1">IF(C771=0,IF(F771=0,"",HYPERLINK("#"&amp;RIGHT(CELL("adresse",OFFSET(DMAV_Dienste!$M$6,F771-1,0)),LEN(CELL("adresse",OFFSET(DMAV_Dienste!$M$6,F771-1,0)))-FIND("]",CELL("adresse",OFFSET(DMAV_Dienste!$M$6,F771-1,0)))),"Structure")),HYPERLINK("#"&amp;RIGHT(CELL("adresse",OFFSET(DMAV_Modell!$N$6,C771-1,0)),LEN(CELL("adresse",OFFSET(DMAV_Modell!$N$6,C771-1,0)))-FIND("]",CELL("adresse",OFFSET(DMAV_Modell!$N$6,C771-1,0)))),"Structure"))</f>
        <v/>
      </c>
      <c r="P771" s="64" t="str" cm="1">
        <f t="array" aca="1" ref="P771" ca="1">IF(D771=0,IF(G771=0,"",HYPERLINK("#"&amp;RIGHT(CELL("adresse",OFFSET(DMAV_Dienste!$M$6,G771-1,0)),LEN(CELL("adresse",OFFSET(DMAV_Dienste!$M$6,G771-1,0)))-FIND("]",CELL("adresse",OFFSET(DMAV_Dienste!$M$6,G771-1,0)))),"Substructure")),HYPERLINK("#"&amp;RIGHT(CELL("adresse",OFFSET(DMAV_Modell!$N$6,D771-1,0)),LEN(CELL("adresse",OFFSET(DMAV_Modell!$N$6,D771-1,0)))-FIND("]",CELL("adresse",OFFSET(DMAV_Modell!$N$6,D771-1,0)))),"Substructure"))</f>
        <v/>
      </c>
      <c r="R771" s="80"/>
      <c r="T771" s="93"/>
      <c r="U771" s="94"/>
      <c r="V771" s="95"/>
      <c r="W771" s="96"/>
      <c r="Y771" s="85"/>
      <c r="Z771" s="86"/>
      <c r="AA771" s="87"/>
      <c r="AB771" s="88"/>
      <c r="AD771" s="77"/>
      <c r="AF771" s="54" t="str" cm="1">
        <f t="array" aca="1" ref="AF771" ca="1">IF(H771=0,"",HYPERLINK("#"&amp;RIGHT(CELL("adresse",OFFSET('DM01-AV-CH'!$G$6,H771-1,0)),LEN(CELL("adresse",OFFSET('DM01-AV-CH'!$G$6,H771-1,0)))-FIND("]",CELL("adresse",OFFSET('DM01-AV-CH'!$G$6,H771-1,0)))),"Modell"))</f>
        <v>Modell</v>
      </c>
      <c r="AG771" s="72" t="str" cm="1">
        <f t="array" ref="AG771">IF($H771=0,"",IF(INDEX('DM01-AV-CH'!G$6:G$834,$H771)="","",INDEX('DM01-AV-CH'!G$6:G$834,$H771)))</f>
        <v>Bodenbedeckung</v>
      </c>
      <c r="AH771" s="73" t="str" cm="1">
        <f t="array" ref="AH771">IF($H771=0,"",IF(INDEX('DM01-AV-CH'!H$6:H$834,$H771)="","",INDEX('DM01-AV-CH'!H$6:H$834,$H771)))</f>
        <v>ProjObjektname</v>
      </c>
      <c r="AI771" s="74" t="str" cm="1">
        <f t="array" ref="AI771">IF($H771=0,"",IF(INDEX('DM01-AV-CH'!I$6:I$834,$H771)="","",INDEX('DM01-AV-CH'!I$6:I$834,$H771)))</f>
        <v>ProjObjektname_von</v>
      </c>
    </row>
    <row r="772" spans="1:35" ht="57" x14ac:dyDescent="0.25">
      <c r="A772" s="57">
        <v>767</v>
      </c>
      <c r="B772" s="57">
        <f>IF($A772="","",IF(_xlfn.XLOOKUP($A772,Korrelation!$D$4:$D$1197,Korrelation!E$4:E$1197,"-",0)="-",0,MATCH(_xlfn.XLOOKUP($A772,Korrelation!$D$4:$D$1197,Korrelation!E$4:E$1197,"",0),DMAV_Modell!$G$6:$G$677,0)))</f>
        <v>0</v>
      </c>
      <c r="C772" s="57">
        <f>IF($A772="","",IF(_xlfn.XLOOKUP($A772,Korrelation!$D$4:$D$1197,Korrelation!F$4:F$1197,"-",0)="-",0,MATCH(_xlfn.XLOOKUP($A772,Korrelation!$D$4:$D$1197,Korrelation!F$4:F$1197,"",0),DMAV_Modell!$G$6:$G$677,0)))</f>
        <v>0</v>
      </c>
      <c r="D772" s="57">
        <f>IF($A772="","",IF(_xlfn.XLOOKUP($A772,Korrelation!$D$4:$D$1197,Korrelation!G$4:G$1197,"-",0)="-",0,MATCH(_xlfn.XLOOKUP($A772,Korrelation!$D$4:$D$1197,Korrelation!G$4:G$1197,"",0),DMAV_Modell!$G$6:$G$677,0)))</f>
        <v>0</v>
      </c>
      <c r="E772" s="57">
        <f>IF($A772="","",IF(_xlfn.XLOOKUP($A772,Korrelation!$D$4:$D$1197,Korrelation!H$4:H$1197,"-",0)="-",0,MATCH(_xlfn.XLOOKUP($A772,Korrelation!$D$4:$D$1197,Korrelation!H$4:H$1197,"",0),DMAV_Dienste!$F$6:$F$140,0)))</f>
        <v>0</v>
      </c>
      <c r="F772" s="57">
        <f>IF($A772="","",IF(_xlfn.XLOOKUP($A772,Korrelation!$D$4:$D$1197,Korrelation!I$4:I$1197,"-",0)="-",0,MATCH(_xlfn.XLOOKUP($A772,Korrelation!$D$4:$D$1197,Korrelation!I$4:I$1197,"",0),DMAV_Dienste!$F$6:$F$140,0)))</f>
        <v>0</v>
      </c>
      <c r="G772" s="57">
        <f>IF($A772="","",IF(_xlfn.XLOOKUP($A772,Korrelation!$D$4:$D$1197,Korrelation!J$4:J$1197,"-",0)="-",0,MATCH(_xlfn.XLOOKUP($A772,Korrelation!$D$4:$D$1197,Korrelation!J$4:J$1197,"",0),DMAV_Dienste!$F$6:$F$140,0)))</f>
        <v>0</v>
      </c>
      <c r="H772" s="57">
        <f>IF($A772="","",IF(_xlfn.XLOOKUP($A772,Korrelation!$D$4:$D$1197,Korrelation!K$4:K$1197,"-",0)="-",0,MATCH(_xlfn.XLOOKUP($A772,Korrelation!$D$4:$D$1197,Korrelation!K$4:K$1197,"",0),'DM01-AV-CH'!$A$6:$A$834,0)))</f>
        <v>216</v>
      </c>
      <c r="J772" s="54" t="str" cm="1">
        <f t="array" aca="1" ref="J772" ca="1">IF(B772=0,IF(E772=0,"",HYPERLINK("#"&amp;RIGHT(CELL("adresse",OFFSET(DMAV_Dienste!$M$6,E772-1,0)),LEN(CELL("adresse",OFFSET(DMAV_Dienste!$M$6,E772-1,0)))-FIND("]",CELL("adresse",OFFSET(DMAV_Dienste!$M$6,E772-1,0)))),"Dienst")),HYPERLINK("#"&amp;RIGHT(CELL("adresse",OFFSET(DMAV_Modell!$N$6,B772-1,0)),LEN(CELL("adresse",OFFSET(DMAV_Modell!$N$6,B772-1,0)))-FIND("]",CELL("adresse",OFFSET(DMAV_Modell!$N$6,B772-1,0)))),"Modell"))</f>
        <v/>
      </c>
      <c r="K772" s="61" t="str" cm="1">
        <f t="array" ref="K772">IF($B772=0,IF($E772=0,"",IF(INDEX(DMAV_Dienste!P$6:P$140,$E772)="","",INDEX(DMAV_Dienste!P$6:P$140,$E772))),IF(INDEX(DMAV_Modell!Q$6:Q$838,$B772)="","",INDEX(DMAV_Modell!Q$6:Q$838,$B772)))</f>
        <v/>
      </c>
      <c r="L772" s="62" t="str" cm="1">
        <f t="array" ref="L772">IF($B772=0,IF($E772=0,"",IF(INDEX(DMAV_Dienste!O$6:O$140,$E772)="","",INDEX(DMAV_Dienste!O$6:O$140,$E772))),IF(INDEX(DMAV_Modell!P$6:P$838,$B772)="","",INDEX(DMAV_Modell!P$6:P$838,$B772)))</f>
        <v/>
      </c>
      <c r="M772" s="62" t="str" cm="1">
        <f t="array" ref="M772">IF($B772=0,IF($E772=0,"",IF(INDEX(DMAV_Dienste!Q$6:Q$140,$E772)="","",INDEX(DMAV_Dienste!Q$6:Q$140,$E772))),IF(INDEX(DMAV_Modell!R$6:R$838,$B772)="","",INDEX(DMAV_Modell!R$6:R$838,$B772)))</f>
        <v/>
      </c>
      <c r="N772" s="62" t="str" cm="1">
        <f t="array" ref="N772">IF($B772=0,IF($E772=0,"",IF(INDEX(DMAV_Dienste!T$6:T$140,$E772)="","",INDEX(DMAV_Dienste!T$6:T$140,$E772))),IF(INDEX(DMAV_Modell!U$6:U$838,$B772)="","",INDEX(DMAV_Modell!U$6:U$838,$B772)))</f>
        <v/>
      </c>
      <c r="O772" s="63" t="str" cm="1">
        <f t="array" aca="1" ref="O772" ca="1">IF(C772=0,IF(F772=0,"",HYPERLINK("#"&amp;RIGHT(CELL("adresse",OFFSET(DMAV_Dienste!$M$6,F772-1,0)),LEN(CELL("adresse",OFFSET(DMAV_Dienste!$M$6,F772-1,0)))-FIND("]",CELL("adresse",OFFSET(DMAV_Dienste!$M$6,F772-1,0)))),"Structure")),HYPERLINK("#"&amp;RIGHT(CELL("adresse",OFFSET(DMAV_Modell!$N$6,C772-1,0)),LEN(CELL("adresse",OFFSET(DMAV_Modell!$N$6,C772-1,0)))-FIND("]",CELL("adresse",OFFSET(DMAV_Modell!$N$6,C772-1,0)))),"Structure"))</f>
        <v/>
      </c>
      <c r="P772" s="64" t="str" cm="1">
        <f t="array" aca="1" ref="P772" ca="1">IF(D772=0,IF(G772=0,"",HYPERLINK("#"&amp;RIGHT(CELL("adresse",OFFSET(DMAV_Dienste!$M$6,G772-1,0)),LEN(CELL("adresse",OFFSET(DMAV_Dienste!$M$6,G772-1,0)))-FIND("]",CELL("adresse",OFFSET(DMAV_Dienste!$M$6,G772-1,0)))),"Substructure")),HYPERLINK("#"&amp;RIGHT(CELL("adresse",OFFSET(DMAV_Modell!$N$6,D772-1,0)),LEN(CELL("adresse",OFFSET(DMAV_Modell!$N$6,D772-1,0)))-FIND("]",CELL("adresse",OFFSET(DMAV_Modell!$N$6,D772-1,0)))),"Substructure"))</f>
        <v/>
      </c>
      <c r="R772" s="80"/>
      <c r="T772" s="93"/>
      <c r="U772" s="94" t="s">
        <v>2980</v>
      </c>
      <c r="V772" s="95" t="s">
        <v>3173</v>
      </c>
      <c r="W772" s="96" t="s">
        <v>3166</v>
      </c>
      <c r="Y772" s="85"/>
      <c r="Z772" s="86"/>
      <c r="AA772" s="87"/>
      <c r="AB772" s="88"/>
      <c r="AD772" s="77"/>
      <c r="AF772" s="54" t="str" cm="1">
        <f t="array" aca="1" ref="AF772" ca="1">IF(H772=0,"",HYPERLINK("#"&amp;RIGHT(CELL("adresse",OFFSET('DM01-AV-CH'!$G$6,H772-1,0)),LEN(CELL("adresse",OFFSET('DM01-AV-CH'!$G$6,H772-1,0)))-FIND("]",CELL("adresse",OFFSET('DM01-AV-CH'!$G$6,H772-1,0)))),"Modell"))</f>
        <v>Modell</v>
      </c>
      <c r="AG772" s="72" t="str" cm="1">
        <f t="array" ref="AG772">IF($H772=0,"",IF(INDEX('DM01-AV-CH'!G$6:G$834,$H772)="","",INDEX('DM01-AV-CH'!G$6:G$834,$H772)))</f>
        <v>Bodenbedeckung</v>
      </c>
      <c r="AH772" s="73" t="str" cm="1">
        <f t="array" ref="AH772">IF($H772=0,"",IF(INDEX('DM01-AV-CH'!H$6:H$834,$H772)="","",INDEX('DM01-AV-CH'!H$6:H$834,$H772)))</f>
        <v>ProjObjektname</v>
      </c>
      <c r="AI772" s="74" t="str" cm="1">
        <f t="array" ref="AI772">IF($H772=0,"",IF(INDEX('DM01-AV-CH'!I$6:I$834,$H772)="","",INDEX('DM01-AV-CH'!I$6:I$834,$H772)))</f>
        <v>Name</v>
      </c>
    </row>
    <row r="773" spans="1:35" x14ac:dyDescent="0.25">
      <c r="A773" s="57">
        <v>768</v>
      </c>
      <c r="B773" s="57">
        <f>IF($A773="","",IF(_xlfn.XLOOKUP($A773,Korrelation!$D$4:$D$1197,Korrelation!E$4:E$1197,"-",0)="-",0,MATCH(_xlfn.XLOOKUP($A773,Korrelation!$D$4:$D$1197,Korrelation!E$4:E$1197,"",0),DMAV_Modell!$G$6:$G$677,0)))</f>
        <v>0</v>
      </c>
      <c r="C773" s="57">
        <f>IF($A773="","",IF(_xlfn.XLOOKUP($A773,Korrelation!$D$4:$D$1197,Korrelation!F$4:F$1197,"-",0)="-",0,MATCH(_xlfn.XLOOKUP($A773,Korrelation!$D$4:$D$1197,Korrelation!F$4:F$1197,"",0),DMAV_Modell!$G$6:$G$677,0)))</f>
        <v>0</v>
      </c>
      <c r="D773" s="57">
        <f>IF($A773="","",IF(_xlfn.XLOOKUP($A773,Korrelation!$D$4:$D$1197,Korrelation!G$4:G$1197,"-",0)="-",0,MATCH(_xlfn.XLOOKUP($A773,Korrelation!$D$4:$D$1197,Korrelation!G$4:G$1197,"",0),DMAV_Modell!$G$6:$G$677,0)))</f>
        <v>0</v>
      </c>
      <c r="E773" s="57">
        <f>IF($A773="","",IF(_xlfn.XLOOKUP($A773,Korrelation!$D$4:$D$1197,Korrelation!H$4:H$1197,"-",0)="-",0,MATCH(_xlfn.XLOOKUP($A773,Korrelation!$D$4:$D$1197,Korrelation!H$4:H$1197,"",0),DMAV_Dienste!$F$6:$F$140,0)))</f>
        <v>0</v>
      </c>
      <c r="F773" s="57">
        <f>IF($A773="","",IF(_xlfn.XLOOKUP($A773,Korrelation!$D$4:$D$1197,Korrelation!I$4:I$1197,"-",0)="-",0,MATCH(_xlfn.XLOOKUP($A773,Korrelation!$D$4:$D$1197,Korrelation!I$4:I$1197,"",0),DMAV_Dienste!$F$6:$F$140,0)))</f>
        <v>0</v>
      </c>
      <c r="G773" s="57">
        <f>IF($A773="","",IF(_xlfn.XLOOKUP($A773,Korrelation!$D$4:$D$1197,Korrelation!J$4:J$1197,"-",0)="-",0,MATCH(_xlfn.XLOOKUP($A773,Korrelation!$D$4:$D$1197,Korrelation!J$4:J$1197,"",0),DMAV_Dienste!$F$6:$F$140,0)))</f>
        <v>0</v>
      </c>
      <c r="H773" s="57">
        <f>IF($A773="","",IF(_xlfn.XLOOKUP($A773,Korrelation!$D$4:$D$1197,Korrelation!K$4:K$1197,"-",0)="-",0,MATCH(_xlfn.XLOOKUP($A773,Korrelation!$D$4:$D$1197,Korrelation!K$4:K$1197,"",0),'DM01-AV-CH'!$A$6:$A$834,0)))</f>
        <v>217</v>
      </c>
      <c r="J773" s="54" t="str" cm="1">
        <f t="array" aca="1" ref="J773" ca="1">IF(B773=0,IF(E773=0,"",HYPERLINK("#"&amp;RIGHT(CELL("adresse",OFFSET(DMAV_Dienste!$M$6,E773-1,0)),LEN(CELL("adresse",OFFSET(DMAV_Dienste!$M$6,E773-1,0)))-FIND("]",CELL("adresse",OFFSET(DMAV_Dienste!$M$6,E773-1,0)))),"Dienst")),HYPERLINK("#"&amp;RIGHT(CELL("adresse",OFFSET(DMAV_Modell!$N$6,B773-1,0)),LEN(CELL("adresse",OFFSET(DMAV_Modell!$N$6,B773-1,0)))-FIND("]",CELL("adresse",OFFSET(DMAV_Modell!$N$6,B773-1,0)))),"Modell"))</f>
        <v/>
      </c>
      <c r="K773" s="61" t="str" cm="1">
        <f t="array" ref="K773">IF($B773=0,IF($E773=0,"",IF(INDEX(DMAV_Dienste!P$6:P$140,$E773)="","",INDEX(DMAV_Dienste!P$6:P$140,$E773))),IF(INDEX(DMAV_Modell!Q$6:Q$838,$B773)="","",INDEX(DMAV_Modell!Q$6:Q$838,$B773)))</f>
        <v/>
      </c>
      <c r="L773" s="62" t="str" cm="1">
        <f t="array" ref="L773">IF($B773=0,IF($E773=0,"",IF(INDEX(DMAV_Dienste!O$6:O$140,$E773)="","",INDEX(DMAV_Dienste!O$6:O$140,$E773))),IF(INDEX(DMAV_Modell!P$6:P$838,$B773)="","",INDEX(DMAV_Modell!P$6:P$838,$B773)))</f>
        <v/>
      </c>
      <c r="M773" s="62" t="str" cm="1">
        <f t="array" ref="M773">IF($B773=0,IF($E773=0,"",IF(INDEX(DMAV_Dienste!Q$6:Q$140,$E773)="","",INDEX(DMAV_Dienste!Q$6:Q$140,$E773))),IF(INDEX(DMAV_Modell!R$6:R$838,$B773)="","",INDEX(DMAV_Modell!R$6:R$838,$B773)))</f>
        <v/>
      </c>
      <c r="N773" s="62" t="str" cm="1">
        <f t="array" ref="N773">IF($B773=0,IF($E773=0,"",IF(INDEX(DMAV_Dienste!T$6:T$140,$E773)="","",INDEX(DMAV_Dienste!T$6:T$140,$E773))),IF(INDEX(DMAV_Modell!U$6:U$838,$B773)="","",INDEX(DMAV_Modell!U$6:U$838,$B773)))</f>
        <v/>
      </c>
      <c r="O773" s="63" t="str" cm="1">
        <f t="array" aca="1" ref="O773" ca="1">IF(C773=0,IF(F773=0,"",HYPERLINK("#"&amp;RIGHT(CELL("adresse",OFFSET(DMAV_Dienste!$M$6,F773-1,0)),LEN(CELL("adresse",OFFSET(DMAV_Dienste!$M$6,F773-1,0)))-FIND("]",CELL("adresse",OFFSET(DMAV_Dienste!$M$6,F773-1,0)))),"Structure")),HYPERLINK("#"&amp;RIGHT(CELL("adresse",OFFSET(DMAV_Modell!$N$6,C773-1,0)),LEN(CELL("adresse",OFFSET(DMAV_Modell!$N$6,C773-1,0)))-FIND("]",CELL("adresse",OFFSET(DMAV_Modell!$N$6,C773-1,0)))),"Structure"))</f>
        <v/>
      </c>
      <c r="P773" s="64" t="str" cm="1">
        <f t="array" aca="1" ref="P773" ca="1">IF(D773=0,IF(G773=0,"",HYPERLINK("#"&amp;RIGHT(CELL("adresse",OFFSET(DMAV_Dienste!$M$6,G773-1,0)),LEN(CELL("adresse",OFFSET(DMAV_Dienste!$M$6,G773-1,0)))-FIND("]",CELL("adresse",OFFSET(DMAV_Dienste!$M$6,G773-1,0)))),"Substructure")),HYPERLINK("#"&amp;RIGHT(CELL("adresse",OFFSET(DMAV_Modell!$N$6,D773-1,0)),LEN(CELL("adresse",OFFSET(DMAV_Modell!$N$6,D773-1,0)))-FIND("]",CELL("adresse",OFFSET(DMAV_Modell!$N$6,D773-1,0)))),"Substructure"))</f>
        <v/>
      </c>
      <c r="R773" s="80"/>
      <c r="T773" s="93"/>
      <c r="U773" s="94"/>
      <c r="V773" s="95"/>
      <c r="W773" s="96"/>
      <c r="Y773" s="85"/>
      <c r="Z773" s="86"/>
      <c r="AA773" s="87"/>
      <c r="AB773" s="88"/>
      <c r="AD773" s="77"/>
      <c r="AF773" s="54" t="str" cm="1">
        <f t="array" aca="1" ref="AF773" ca="1">IF(H773=0,"",HYPERLINK("#"&amp;RIGHT(CELL("adresse",OFFSET('DM01-AV-CH'!$G$6,H773-1,0)),LEN(CELL("adresse",OFFSET('DM01-AV-CH'!$G$6,H773-1,0)))-FIND("]",CELL("adresse",OFFSET('DM01-AV-CH'!$G$6,H773-1,0)))),"Modell"))</f>
        <v>Modell</v>
      </c>
      <c r="AG773" s="72" t="str" cm="1">
        <f t="array" ref="AG773">IF($H773=0,"",IF(INDEX('DM01-AV-CH'!G$6:G$834,$H773)="","",INDEX('DM01-AV-CH'!G$6:G$834,$H773)))</f>
        <v>Bodenbedeckung</v>
      </c>
      <c r="AH773" s="73" t="str" cm="1">
        <f t="array" ref="AH773">IF($H773=0,"",IF(INDEX('DM01-AV-CH'!H$6:H$834,$H773)="","",INDEX('DM01-AV-CH'!H$6:H$834,$H773)))</f>
        <v>ProjObjektnamePos</v>
      </c>
      <c r="AI773" s="74" t="str" cm="1">
        <f t="array" ref="AI773">IF($H773=0,"",IF(INDEX('DM01-AV-CH'!I$6:I$834,$H773)="","",INDEX('DM01-AV-CH'!I$6:I$834,$H773)))</f>
        <v>ProjObjektnamePos_von</v>
      </c>
    </row>
    <row r="774" spans="1:35" ht="57" x14ac:dyDescent="0.25">
      <c r="A774" s="57">
        <v>769</v>
      </c>
      <c r="B774" s="57">
        <f>IF($A774="","",IF(_xlfn.XLOOKUP($A774,Korrelation!$D$4:$D$1197,Korrelation!E$4:E$1197,"-",0)="-",0,MATCH(_xlfn.XLOOKUP($A774,Korrelation!$D$4:$D$1197,Korrelation!E$4:E$1197,"",0),DMAV_Modell!$G$6:$G$677,0)))</f>
        <v>0</v>
      </c>
      <c r="C774" s="57">
        <f>IF($A774="","",IF(_xlfn.XLOOKUP($A774,Korrelation!$D$4:$D$1197,Korrelation!F$4:F$1197,"-",0)="-",0,MATCH(_xlfn.XLOOKUP($A774,Korrelation!$D$4:$D$1197,Korrelation!F$4:F$1197,"",0),DMAV_Modell!$G$6:$G$677,0)))</f>
        <v>0</v>
      </c>
      <c r="D774" s="57">
        <f>IF($A774="","",IF(_xlfn.XLOOKUP($A774,Korrelation!$D$4:$D$1197,Korrelation!G$4:G$1197,"-",0)="-",0,MATCH(_xlfn.XLOOKUP($A774,Korrelation!$D$4:$D$1197,Korrelation!G$4:G$1197,"",0),DMAV_Modell!$G$6:$G$677,0)))</f>
        <v>0</v>
      </c>
      <c r="E774" s="57">
        <f>IF($A774="","",IF(_xlfn.XLOOKUP($A774,Korrelation!$D$4:$D$1197,Korrelation!H$4:H$1197,"-",0)="-",0,MATCH(_xlfn.XLOOKUP($A774,Korrelation!$D$4:$D$1197,Korrelation!H$4:H$1197,"",0),DMAV_Dienste!$F$6:$F$140,0)))</f>
        <v>0</v>
      </c>
      <c r="F774" s="57">
        <f>IF($A774="","",IF(_xlfn.XLOOKUP($A774,Korrelation!$D$4:$D$1197,Korrelation!I$4:I$1197,"-",0)="-",0,MATCH(_xlfn.XLOOKUP($A774,Korrelation!$D$4:$D$1197,Korrelation!I$4:I$1197,"",0),DMAV_Dienste!$F$6:$F$140,0)))</f>
        <v>0</v>
      </c>
      <c r="G774" s="57">
        <f>IF($A774="","",IF(_xlfn.XLOOKUP($A774,Korrelation!$D$4:$D$1197,Korrelation!J$4:J$1197,"-",0)="-",0,MATCH(_xlfn.XLOOKUP($A774,Korrelation!$D$4:$D$1197,Korrelation!J$4:J$1197,"",0),DMAV_Dienste!$F$6:$F$140,0)))</f>
        <v>0</v>
      </c>
      <c r="H774" s="57">
        <f>IF($A774="","",IF(_xlfn.XLOOKUP($A774,Korrelation!$D$4:$D$1197,Korrelation!K$4:K$1197,"-",0)="-",0,MATCH(_xlfn.XLOOKUP($A774,Korrelation!$D$4:$D$1197,Korrelation!K$4:K$1197,"",0),'DM01-AV-CH'!$A$6:$A$834,0)))</f>
        <v>218</v>
      </c>
      <c r="J774" s="54" t="str" cm="1">
        <f t="array" aca="1" ref="J774" ca="1">IF(B774=0,IF(E774=0,"",HYPERLINK("#"&amp;RIGHT(CELL("adresse",OFFSET(DMAV_Dienste!$M$6,E774-1,0)),LEN(CELL("adresse",OFFSET(DMAV_Dienste!$M$6,E774-1,0)))-FIND("]",CELL("adresse",OFFSET(DMAV_Dienste!$M$6,E774-1,0)))),"Dienst")),HYPERLINK("#"&amp;RIGHT(CELL("adresse",OFFSET(DMAV_Modell!$N$6,B774-1,0)),LEN(CELL("adresse",OFFSET(DMAV_Modell!$N$6,B774-1,0)))-FIND("]",CELL("adresse",OFFSET(DMAV_Modell!$N$6,B774-1,0)))),"Modell"))</f>
        <v/>
      </c>
      <c r="K774" s="61" t="str" cm="1">
        <f t="array" ref="K774">IF($B774=0,IF($E774=0,"",IF(INDEX(DMAV_Dienste!P$6:P$140,$E774)="","",INDEX(DMAV_Dienste!P$6:P$140,$E774))),IF(INDEX(DMAV_Modell!Q$6:Q$838,$B774)="","",INDEX(DMAV_Modell!Q$6:Q$838,$B774)))</f>
        <v/>
      </c>
      <c r="L774" s="62" t="str" cm="1">
        <f t="array" ref="L774">IF($B774=0,IF($E774=0,"",IF(INDEX(DMAV_Dienste!O$6:O$140,$E774)="","",INDEX(DMAV_Dienste!O$6:O$140,$E774))),IF(INDEX(DMAV_Modell!P$6:P$838,$B774)="","",INDEX(DMAV_Modell!P$6:P$838,$B774)))</f>
        <v/>
      </c>
      <c r="M774" s="62" t="str" cm="1">
        <f t="array" ref="M774">IF($B774=0,IF($E774=0,"",IF(INDEX(DMAV_Dienste!Q$6:Q$140,$E774)="","",INDEX(DMAV_Dienste!Q$6:Q$140,$E774))),IF(INDEX(DMAV_Modell!R$6:R$838,$B774)="","",INDEX(DMAV_Modell!R$6:R$838,$B774)))</f>
        <v/>
      </c>
      <c r="N774" s="62" t="str" cm="1">
        <f t="array" ref="N774">IF($B774=0,IF($E774=0,"",IF(INDEX(DMAV_Dienste!T$6:T$140,$E774)="","",INDEX(DMAV_Dienste!T$6:T$140,$E774))),IF(INDEX(DMAV_Modell!U$6:U$838,$B774)="","",INDEX(DMAV_Modell!U$6:U$838,$B774)))</f>
        <v/>
      </c>
      <c r="O774" s="63" t="str" cm="1">
        <f t="array" aca="1" ref="O774" ca="1">IF(C774=0,IF(F774=0,"",HYPERLINK("#"&amp;RIGHT(CELL("adresse",OFFSET(DMAV_Dienste!$M$6,F774-1,0)),LEN(CELL("adresse",OFFSET(DMAV_Dienste!$M$6,F774-1,0)))-FIND("]",CELL("adresse",OFFSET(DMAV_Dienste!$M$6,F774-1,0)))),"Structure")),HYPERLINK("#"&amp;RIGHT(CELL("adresse",OFFSET(DMAV_Modell!$N$6,C774-1,0)),LEN(CELL("adresse",OFFSET(DMAV_Modell!$N$6,C774-1,0)))-FIND("]",CELL("adresse",OFFSET(DMAV_Modell!$N$6,C774-1,0)))),"Structure"))</f>
        <v/>
      </c>
      <c r="P774" s="64" t="str" cm="1">
        <f t="array" aca="1" ref="P774" ca="1">IF(D774=0,IF(G774=0,"",HYPERLINK("#"&amp;RIGHT(CELL("adresse",OFFSET(DMAV_Dienste!$M$6,G774-1,0)),LEN(CELL("adresse",OFFSET(DMAV_Dienste!$M$6,G774-1,0)))-FIND("]",CELL("adresse",OFFSET(DMAV_Dienste!$M$6,G774-1,0)))),"Substructure")),HYPERLINK("#"&amp;RIGHT(CELL("adresse",OFFSET(DMAV_Modell!$N$6,D774-1,0)),LEN(CELL("adresse",OFFSET(DMAV_Modell!$N$6,D774-1,0)))-FIND("]",CELL("adresse",OFFSET(DMAV_Modell!$N$6,D774-1,0)))),"Substructure"))</f>
        <v/>
      </c>
      <c r="R774" s="80"/>
      <c r="T774" s="93"/>
      <c r="U774" s="94" t="s">
        <v>2980</v>
      </c>
      <c r="V774" s="95" t="s">
        <v>3174</v>
      </c>
      <c r="W774" s="96" t="s">
        <v>3166</v>
      </c>
      <c r="Y774" s="85"/>
      <c r="Z774" s="86"/>
      <c r="AA774" s="87"/>
      <c r="AB774" s="88"/>
      <c r="AD774" s="77"/>
      <c r="AF774" s="54" t="str" cm="1">
        <f t="array" aca="1" ref="AF774" ca="1">IF(H774=0,"",HYPERLINK("#"&amp;RIGHT(CELL("adresse",OFFSET('DM01-AV-CH'!$G$6,H774-1,0)),LEN(CELL("adresse",OFFSET('DM01-AV-CH'!$G$6,H774-1,0)))-FIND("]",CELL("adresse",OFFSET('DM01-AV-CH'!$G$6,H774-1,0)))),"Modell"))</f>
        <v>Modell</v>
      </c>
      <c r="AG774" s="72" t="str" cm="1">
        <f t="array" ref="AG774">IF($H774=0,"",IF(INDEX('DM01-AV-CH'!G$6:G$834,$H774)="","",INDEX('DM01-AV-CH'!G$6:G$834,$H774)))</f>
        <v>Bodenbedeckung</v>
      </c>
      <c r="AH774" s="73" t="str" cm="1">
        <f t="array" ref="AH774">IF($H774=0,"",IF(INDEX('DM01-AV-CH'!H$6:H$834,$H774)="","",INDEX('DM01-AV-CH'!H$6:H$834,$H774)))</f>
        <v>ProjObjektnamePos</v>
      </c>
      <c r="AI774" s="74" t="str" cm="1">
        <f t="array" ref="AI774">IF($H774=0,"",IF(INDEX('DM01-AV-CH'!I$6:I$834,$H774)="","",INDEX('DM01-AV-CH'!I$6:I$834,$H774)))</f>
        <v>Pos</v>
      </c>
    </row>
    <row r="775" spans="1:35" ht="57" x14ac:dyDescent="0.25">
      <c r="A775" s="57">
        <v>770</v>
      </c>
      <c r="B775" s="57">
        <f>IF($A775="","",IF(_xlfn.XLOOKUP($A775,Korrelation!$D$4:$D$1197,Korrelation!E$4:E$1197,"-",0)="-",0,MATCH(_xlfn.XLOOKUP($A775,Korrelation!$D$4:$D$1197,Korrelation!E$4:E$1197,"",0),DMAV_Modell!$G$6:$G$677,0)))</f>
        <v>0</v>
      </c>
      <c r="C775" s="57">
        <f>IF($A775="","",IF(_xlfn.XLOOKUP($A775,Korrelation!$D$4:$D$1197,Korrelation!F$4:F$1197,"-",0)="-",0,MATCH(_xlfn.XLOOKUP($A775,Korrelation!$D$4:$D$1197,Korrelation!F$4:F$1197,"",0),DMAV_Modell!$G$6:$G$677,0)))</f>
        <v>0</v>
      </c>
      <c r="D775" s="57">
        <f>IF($A775="","",IF(_xlfn.XLOOKUP($A775,Korrelation!$D$4:$D$1197,Korrelation!G$4:G$1197,"-",0)="-",0,MATCH(_xlfn.XLOOKUP($A775,Korrelation!$D$4:$D$1197,Korrelation!G$4:G$1197,"",0),DMAV_Modell!$G$6:$G$677,0)))</f>
        <v>0</v>
      </c>
      <c r="E775" s="57">
        <f>IF($A775="","",IF(_xlfn.XLOOKUP($A775,Korrelation!$D$4:$D$1197,Korrelation!H$4:H$1197,"-",0)="-",0,MATCH(_xlfn.XLOOKUP($A775,Korrelation!$D$4:$D$1197,Korrelation!H$4:H$1197,"",0),DMAV_Dienste!$F$6:$F$140,0)))</f>
        <v>0</v>
      </c>
      <c r="F775" s="57">
        <f>IF($A775="","",IF(_xlfn.XLOOKUP($A775,Korrelation!$D$4:$D$1197,Korrelation!I$4:I$1197,"-",0)="-",0,MATCH(_xlfn.XLOOKUP($A775,Korrelation!$D$4:$D$1197,Korrelation!I$4:I$1197,"",0),DMAV_Dienste!$F$6:$F$140,0)))</f>
        <v>0</v>
      </c>
      <c r="G775" s="57">
        <f>IF($A775="","",IF(_xlfn.XLOOKUP($A775,Korrelation!$D$4:$D$1197,Korrelation!J$4:J$1197,"-",0)="-",0,MATCH(_xlfn.XLOOKUP($A775,Korrelation!$D$4:$D$1197,Korrelation!J$4:J$1197,"",0),DMAV_Dienste!$F$6:$F$140,0)))</f>
        <v>0</v>
      </c>
      <c r="H775" s="57">
        <f>IF($A775="","",IF(_xlfn.XLOOKUP($A775,Korrelation!$D$4:$D$1197,Korrelation!K$4:K$1197,"-",0)="-",0,MATCH(_xlfn.XLOOKUP($A775,Korrelation!$D$4:$D$1197,Korrelation!K$4:K$1197,"",0),'DM01-AV-CH'!$A$6:$A$834,0)))</f>
        <v>219</v>
      </c>
      <c r="J775" s="54" t="str" cm="1">
        <f t="array" aca="1" ref="J775" ca="1">IF(B775=0,IF(E775=0,"",HYPERLINK("#"&amp;RIGHT(CELL("adresse",OFFSET(DMAV_Dienste!$M$6,E775-1,0)),LEN(CELL("adresse",OFFSET(DMAV_Dienste!$M$6,E775-1,0)))-FIND("]",CELL("adresse",OFFSET(DMAV_Dienste!$M$6,E775-1,0)))),"Dienst")),HYPERLINK("#"&amp;RIGHT(CELL("adresse",OFFSET(DMAV_Modell!$N$6,B775-1,0)),LEN(CELL("adresse",OFFSET(DMAV_Modell!$N$6,B775-1,0)))-FIND("]",CELL("adresse",OFFSET(DMAV_Modell!$N$6,B775-1,0)))),"Modell"))</f>
        <v/>
      </c>
      <c r="K775" s="61" t="str" cm="1">
        <f t="array" ref="K775">IF($B775=0,IF($E775=0,"",IF(INDEX(DMAV_Dienste!P$6:P$140,$E775)="","",INDEX(DMAV_Dienste!P$6:P$140,$E775))),IF(INDEX(DMAV_Modell!Q$6:Q$838,$B775)="","",INDEX(DMAV_Modell!Q$6:Q$838,$B775)))</f>
        <v/>
      </c>
      <c r="L775" s="62" t="str" cm="1">
        <f t="array" ref="L775">IF($B775=0,IF($E775=0,"",IF(INDEX(DMAV_Dienste!O$6:O$140,$E775)="","",INDEX(DMAV_Dienste!O$6:O$140,$E775))),IF(INDEX(DMAV_Modell!P$6:P$838,$B775)="","",INDEX(DMAV_Modell!P$6:P$838,$B775)))</f>
        <v/>
      </c>
      <c r="M775" s="62" t="str" cm="1">
        <f t="array" ref="M775">IF($B775=0,IF($E775=0,"",IF(INDEX(DMAV_Dienste!Q$6:Q$140,$E775)="","",INDEX(DMAV_Dienste!Q$6:Q$140,$E775))),IF(INDEX(DMAV_Modell!R$6:R$838,$B775)="","",INDEX(DMAV_Modell!R$6:R$838,$B775)))</f>
        <v/>
      </c>
      <c r="N775" s="62" t="str" cm="1">
        <f t="array" ref="N775">IF($B775=0,IF($E775=0,"",IF(INDEX(DMAV_Dienste!T$6:T$140,$E775)="","",INDEX(DMAV_Dienste!T$6:T$140,$E775))),IF(INDEX(DMAV_Modell!U$6:U$838,$B775)="","",INDEX(DMAV_Modell!U$6:U$838,$B775)))</f>
        <v/>
      </c>
      <c r="O775" s="63" t="str" cm="1">
        <f t="array" aca="1" ref="O775" ca="1">IF(C775=0,IF(F775=0,"",HYPERLINK("#"&amp;RIGHT(CELL("adresse",OFFSET(DMAV_Dienste!$M$6,F775-1,0)),LEN(CELL("adresse",OFFSET(DMAV_Dienste!$M$6,F775-1,0)))-FIND("]",CELL("adresse",OFFSET(DMAV_Dienste!$M$6,F775-1,0)))),"Structure")),HYPERLINK("#"&amp;RIGHT(CELL("adresse",OFFSET(DMAV_Modell!$N$6,C775-1,0)),LEN(CELL("adresse",OFFSET(DMAV_Modell!$N$6,C775-1,0)))-FIND("]",CELL("adresse",OFFSET(DMAV_Modell!$N$6,C775-1,0)))),"Structure"))</f>
        <v/>
      </c>
      <c r="P775" s="64" t="str" cm="1">
        <f t="array" aca="1" ref="P775" ca="1">IF(D775=0,IF(G775=0,"",HYPERLINK("#"&amp;RIGHT(CELL("adresse",OFFSET(DMAV_Dienste!$M$6,G775-1,0)),LEN(CELL("adresse",OFFSET(DMAV_Dienste!$M$6,G775-1,0)))-FIND("]",CELL("adresse",OFFSET(DMAV_Dienste!$M$6,G775-1,0)))),"Substructure")),HYPERLINK("#"&amp;RIGHT(CELL("adresse",OFFSET(DMAV_Modell!$N$6,D775-1,0)),LEN(CELL("adresse",OFFSET(DMAV_Modell!$N$6,D775-1,0)))-FIND("]",CELL("adresse",OFFSET(DMAV_Modell!$N$6,D775-1,0)))),"Substructure"))</f>
        <v/>
      </c>
      <c r="R775" s="80"/>
      <c r="T775" s="93"/>
      <c r="U775" s="94" t="s">
        <v>2980</v>
      </c>
      <c r="V775" s="95" t="s">
        <v>3175</v>
      </c>
      <c r="W775" s="96" t="s">
        <v>3166</v>
      </c>
      <c r="Y775" s="85"/>
      <c r="Z775" s="86"/>
      <c r="AA775" s="87"/>
      <c r="AB775" s="88"/>
      <c r="AD775" s="77"/>
      <c r="AF775" s="54" t="str" cm="1">
        <f t="array" aca="1" ref="AF775" ca="1">IF(H775=0,"",HYPERLINK("#"&amp;RIGHT(CELL("adresse",OFFSET('DM01-AV-CH'!$G$6,H775-1,0)),LEN(CELL("adresse",OFFSET('DM01-AV-CH'!$G$6,H775-1,0)))-FIND("]",CELL("adresse",OFFSET('DM01-AV-CH'!$G$6,H775-1,0)))),"Modell"))</f>
        <v>Modell</v>
      </c>
      <c r="AG775" s="72" t="str" cm="1">
        <f t="array" ref="AG775">IF($H775=0,"",IF(INDEX('DM01-AV-CH'!G$6:G$834,$H775)="","",INDEX('DM01-AV-CH'!G$6:G$834,$H775)))</f>
        <v>Bodenbedeckung</v>
      </c>
      <c r="AH775" s="73" t="str" cm="1">
        <f t="array" ref="AH775">IF($H775=0,"",IF(INDEX('DM01-AV-CH'!H$6:H$834,$H775)="","",INDEX('DM01-AV-CH'!H$6:H$834,$H775)))</f>
        <v>ProjObjektnamePos</v>
      </c>
      <c r="AI775" s="74" t="str" cm="1">
        <f t="array" ref="AI775">IF($H775=0,"",IF(INDEX('DM01-AV-CH'!I$6:I$834,$H775)="","",INDEX('DM01-AV-CH'!I$6:I$834,$H775)))</f>
        <v>Ori</v>
      </c>
    </row>
    <row r="776" spans="1:35" ht="57" x14ac:dyDescent="0.25">
      <c r="A776" s="57">
        <v>771</v>
      </c>
      <c r="B776" s="57">
        <f>IF($A776="","",IF(_xlfn.XLOOKUP($A776,Korrelation!$D$4:$D$1197,Korrelation!E$4:E$1197,"-",0)="-",0,MATCH(_xlfn.XLOOKUP($A776,Korrelation!$D$4:$D$1197,Korrelation!E$4:E$1197,"",0),DMAV_Modell!$G$6:$G$677,0)))</f>
        <v>0</v>
      </c>
      <c r="C776" s="57">
        <f>IF($A776="","",IF(_xlfn.XLOOKUP($A776,Korrelation!$D$4:$D$1197,Korrelation!F$4:F$1197,"-",0)="-",0,MATCH(_xlfn.XLOOKUP($A776,Korrelation!$D$4:$D$1197,Korrelation!F$4:F$1197,"",0),DMAV_Modell!$G$6:$G$677,0)))</f>
        <v>0</v>
      </c>
      <c r="D776" s="57">
        <f>IF($A776="","",IF(_xlfn.XLOOKUP($A776,Korrelation!$D$4:$D$1197,Korrelation!G$4:G$1197,"-",0)="-",0,MATCH(_xlfn.XLOOKUP($A776,Korrelation!$D$4:$D$1197,Korrelation!G$4:G$1197,"",0),DMAV_Modell!$G$6:$G$677,0)))</f>
        <v>0</v>
      </c>
      <c r="E776" s="57">
        <f>IF($A776="","",IF(_xlfn.XLOOKUP($A776,Korrelation!$D$4:$D$1197,Korrelation!H$4:H$1197,"-",0)="-",0,MATCH(_xlfn.XLOOKUP($A776,Korrelation!$D$4:$D$1197,Korrelation!H$4:H$1197,"",0),DMAV_Dienste!$F$6:$F$140,0)))</f>
        <v>0</v>
      </c>
      <c r="F776" s="57">
        <f>IF($A776="","",IF(_xlfn.XLOOKUP($A776,Korrelation!$D$4:$D$1197,Korrelation!I$4:I$1197,"-",0)="-",0,MATCH(_xlfn.XLOOKUP($A776,Korrelation!$D$4:$D$1197,Korrelation!I$4:I$1197,"",0),DMAV_Dienste!$F$6:$F$140,0)))</f>
        <v>0</v>
      </c>
      <c r="G776" s="57">
        <f>IF($A776="","",IF(_xlfn.XLOOKUP($A776,Korrelation!$D$4:$D$1197,Korrelation!J$4:J$1197,"-",0)="-",0,MATCH(_xlfn.XLOOKUP($A776,Korrelation!$D$4:$D$1197,Korrelation!J$4:J$1197,"",0),DMAV_Dienste!$F$6:$F$140,0)))</f>
        <v>0</v>
      </c>
      <c r="H776" s="57">
        <f>IF($A776="","",IF(_xlfn.XLOOKUP($A776,Korrelation!$D$4:$D$1197,Korrelation!K$4:K$1197,"-",0)="-",0,MATCH(_xlfn.XLOOKUP($A776,Korrelation!$D$4:$D$1197,Korrelation!K$4:K$1197,"",0),'DM01-AV-CH'!$A$6:$A$834,0)))</f>
        <v>220</v>
      </c>
      <c r="J776" s="54" t="str" cm="1">
        <f t="array" aca="1" ref="J776" ca="1">IF(B776=0,IF(E776=0,"",HYPERLINK("#"&amp;RIGHT(CELL("adresse",OFFSET(DMAV_Dienste!$M$6,E776-1,0)),LEN(CELL("adresse",OFFSET(DMAV_Dienste!$M$6,E776-1,0)))-FIND("]",CELL("adresse",OFFSET(DMAV_Dienste!$M$6,E776-1,0)))),"Dienst")),HYPERLINK("#"&amp;RIGHT(CELL("adresse",OFFSET(DMAV_Modell!$N$6,B776-1,0)),LEN(CELL("adresse",OFFSET(DMAV_Modell!$N$6,B776-1,0)))-FIND("]",CELL("adresse",OFFSET(DMAV_Modell!$N$6,B776-1,0)))),"Modell"))</f>
        <v/>
      </c>
      <c r="K776" s="61" t="str" cm="1">
        <f t="array" ref="K776">IF($B776=0,IF($E776=0,"",IF(INDEX(DMAV_Dienste!P$6:P$140,$E776)="","",INDEX(DMAV_Dienste!P$6:P$140,$E776))),IF(INDEX(DMAV_Modell!Q$6:Q$838,$B776)="","",INDEX(DMAV_Modell!Q$6:Q$838,$B776)))</f>
        <v/>
      </c>
      <c r="L776" s="62" t="str" cm="1">
        <f t="array" ref="L776">IF($B776=0,IF($E776=0,"",IF(INDEX(DMAV_Dienste!O$6:O$140,$E776)="","",INDEX(DMAV_Dienste!O$6:O$140,$E776))),IF(INDEX(DMAV_Modell!P$6:P$838,$B776)="","",INDEX(DMAV_Modell!P$6:P$838,$B776)))</f>
        <v/>
      </c>
      <c r="M776" s="62" t="str" cm="1">
        <f t="array" ref="M776">IF($B776=0,IF($E776=0,"",IF(INDEX(DMAV_Dienste!Q$6:Q$140,$E776)="","",INDEX(DMAV_Dienste!Q$6:Q$140,$E776))),IF(INDEX(DMAV_Modell!R$6:R$838,$B776)="","",INDEX(DMAV_Modell!R$6:R$838,$B776)))</f>
        <v/>
      </c>
      <c r="N776" s="62" t="str" cm="1">
        <f t="array" ref="N776">IF($B776=0,IF($E776=0,"",IF(INDEX(DMAV_Dienste!T$6:T$140,$E776)="","",INDEX(DMAV_Dienste!T$6:T$140,$E776))),IF(INDEX(DMAV_Modell!U$6:U$838,$B776)="","",INDEX(DMAV_Modell!U$6:U$838,$B776)))</f>
        <v/>
      </c>
      <c r="O776" s="63" t="str" cm="1">
        <f t="array" aca="1" ref="O776" ca="1">IF(C776=0,IF(F776=0,"",HYPERLINK("#"&amp;RIGHT(CELL("adresse",OFFSET(DMAV_Dienste!$M$6,F776-1,0)),LEN(CELL("adresse",OFFSET(DMAV_Dienste!$M$6,F776-1,0)))-FIND("]",CELL("adresse",OFFSET(DMAV_Dienste!$M$6,F776-1,0)))),"Structure")),HYPERLINK("#"&amp;RIGHT(CELL("adresse",OFFSET(DMAV_Modell!$N$6,C776-1,0)),LEN(CELL("adresse",OFFSET(DMAV_Modell!$N$6,C776-1,0)))-FIND("]",CELL("adresse",OFFSET(DMAV_Modell!$N$6,C776-1,0)))),"Structure"))</f>
        <v/>
      </c>
      <c r="P776" s="64" t="str" cm="1">
        <f t="array" aca="1" ref="P776" ca="1">IF(D776=0,IF(G776=0,"",HYPERLINK("#"&amp;RIGHT(CELL("adresse",OFFSET(DMAV_Dienste!$M$6,G776-1,0)),LEN(CELL("adresse",OFFSET(DMAV_Dienste!$M$6,G776-1,0)))-FIND("]",CELL("adresse",OFFSET(DMAV_Dienste!$M$6,G776-1,0)))),"Substructure")),HYPERLINK("#"&amp;RIGHT(CELL("adresse",OFFSET(DMAV_Modell!$N$6,D776-1,0)),LEN(CELL("adresse",OFFSET(DMAV_Modell!$N$6,D776-1,0)))-FIND("]",CELL("adresse",OFFSET(DMAV_Modell!$N$6,D776-1,0)))),"Substructure"))</f>
        <v/>
      </c>
      <c r="R776" s="80"/>
      <c r="T776" s="93"/>
      <c r="U776" s="94" t="s">
        <v>2980</v>
      </c>
      <c r="V776" s="95" t="s">
        <v>3176</v>
      </c>
      <c r="W776" s="96" t="s">
        <v>3166</v>
      </c>
      <c r="Y776" s="85"/>
      <c r="Z776" s="86"/>
      <c r="AA776" s="87"/>
      <c r="AB776" s="88"/>
      <c r="AD776" s="77"/>
      <c r="AF776" s="54" t="str" cm="1">
        <f t="array" aca="1" ref="AF776" ca="1">IF(H776=0,"",HYPERLINK("#"&amp;RIGHT(CELL("adresse",OFFSET('DM01-AV-CH'!$G$6,H776-1,0)),LEN(CELL("adresse",OFFSET('DM01-AV-CH'!$G$6,H776-1,0)))-FIND("]",CELL("adresse",OFFSET('DM01-AV-CH'!$G$6,H776-1,0)))),"Modell"))</f>
        <v>Modell</v>
      </c>
      <c r="AG776" s="72" t="str" cm="1">
        <f t="array" ref="AG776">IF($H776=0,"",IF(INDEX('DM01-AV-CH'!G$6:G$834,$H776)="","",INDEX('DM01-AV-CH'!G$6:G$834,$H776)))</f>
        <v>Bodenbedeckung</v>
      </c>
      <c r="AH776" s="73" t="str" cm="1">
        <f t="array" ref="AH776">IF($H776=0,"",IF(INDEX('DM01-AV-CH'!H$6:H$834,$H776)="","",INDEX('DM01-AV-CH'!H$6:H$834,$H776)))</f>
        <v>ProjObjektnamePos</v>
      </c>
      <c r="AI776" s="74" t="str" cm="1">
        <f t="array" ref="AI776">IF($H776=0,"",IF(INDEX('DM01-AV-CH'!I$6:I$834,$H776)="","",INDEX('DM01-AV-CH'!I$6:I$834,$H776)))</f>
        <v>HAli</v>
      </c>
    </row>
    <row r="777" spans="1:35" ht="57" x14ac:dyDescent="0.25">
      <c r="A777" s="57">
        <v>772</v>
      </c>
      <c r="B777" s="57">
        <f>IF($A777="","",IF(_xlfn.XLOOKUP($A777,Korrelation!$D$4:$D$1197,Korrelation!E$4:E$1197,"-",0)="-",0,MATCH(_xlfn.XLOOKUP($A777,Korrelation!$D$4:$D$1197,Korrelation!E$4:E$1197,"",0),DMAV_Modell!$G$6:$G$677,0)))</f>
        <v>0</v>
      </c>
      <c r="C777" s="57">
        <f>IF($A777="","",IF(_xlfn.XLOOKUP($A777,Korrelation!$D$4:$D$1197,Korrelation!F$4:F$1197,"-",0)="-",0,MATCH(_xlfn.XLOOKUP($A777,Korrelation!$D$4:$D$1197,Korrelation!F$4:F$1197,"",0),DMAV_Modell!$G$6:$G$677,0)))</f>
        <v>0</v>
      </c>
      <c r="D777" s="57">
        <f>IF($A777="","",IF(_xlfn.XLOOKUP($A777,Korrelation!$D$4:$D$1197,Korrelation!G$4:G$1197,"-",0)="-",0,MATCH(_xlfn.XLOOKUP($A777,Korrelation!$D$4:$D$1197,Korrelation!G$4:G$1197,"",0),DMAV_Modell!$G$6:$G$677,0)))</f>
        <v>0</v>
      </c>
      <c r="E777" s="57">
        <f>IF($A777="","",IF(_xlfn.XLOOKUP($A777,Korrelation!$D$4:$D$1197,Korrelation!H$4:H$1197,"-",0)="-",0,MATCH(_xlfn.XLOOKUP($A777,Korrelation!$D$4:$D$1197,Korrelation!H$4:H$1197,"",0),DMAV_Dienste!$F$6:$F$140,0)))</f>
        <v>0</v>
      </c>
      <c r="F777" s="57">
        <f>IF($A777="","",IF(_xlfn.XLOOKUP($A777,Korrelation!$D$4:$D$1197,Korrelation!I$4:I$1197,"-",0)="-",0,MATCH(_xlfn.XLOOKUP($A777,Korrelation!$D$4:$D$1197,Korrelation!I$4:I$1197,"",0),DMAV_Dienste!$F$6:$F$140,0)))</f>
        <v>0</v>
      </c>
      <c r="G777" s="57">
        <f>IF($A777="","",IF(_xlfn.XLOOKUP($A777,Korrelation!$D$4:$D$1197,Korrelation!J$4:J$1197,"-",0)="-",0,MATCH(_xlfn.XLOOKUP($A777,Korrelation!$D$4:$D$1197,Korrelation!J$4:J$1197,"",0),DMAV_Dienste!$F$6:$F$140,0)))</f>
        <v>0</v>
      </c>
      <c r="H777" s="57">
        <f>IF($A777="","",IF(_xlfn.XLOOKUP($A777,Korrelation!$D$4:$D$1197,Korrelation!K$4:K$1197,"-",0)="-",0,MATCH(_xlfn.XLOOKUP($A777,Korrelation!$D$4:$D$1197,Korrelation!K$4:K$1197,"",0),'DM01-AV-CH'!$A$6:$A$834,0)))</f>
        <v>221</v>
      </c>
      <c r="J777" s="54" t="str" cm="1">
        <f t="array" aca="1" ref="J777" ca="1">IF(B777=0,IF(E777=0,"",HYPERLINK("#"&amp;RIGHT(CELL("adresse",OFFSET(DMAV_Dienste!$M$6,E777-1,0)),LEN(CELL("adresse",OFFSET(DMAV_Dienste!$M$6,E777-1,0)))-FIND("]",CELL("adresse",OFFSET(DMAV_Dienste!$M$6,E777-1,0)))),"Dienst")),HYPERLINK("#"&amp;RIGHT(CELL("adresse",OFFSET(DMAV_Modell!$N$6,B777-1,0)),LEN(CELL("adresse",OFFSET(DMAV_Modell!$N$6,B777-1,0)))-FIND("]",CELL("adresse",OFFSET(DMAV_Modell!$N$6,B777-1,0)))),"Modell"))</f>
        <v/>
      </c>
      <c r="K777" s="61" t="str" cm="1">
        <f t="array" ref="K777">IF($B777=0,IF($E777=0,"",IF(INDEX(DMAV_Dienste!P$6:P$140,$E777)="","",INDEX(DMAV_Dienste!P$6:P$140,$E777))),IF(INDEX(DMAV_Modell!Q$6:Q$838,$B777)="","",INDEX(DMAV_Modell!Q$6:Q$838,$B777)))</f>
        <v/>
      </c>
      <c r="L777" s="62" t="str" cm="1">
        <f t="array" ref="L777">IF($B777=0,IF($E777=0,"",IF(INDEX(DMAV_Dienste!O$6:O$140,$E777)="","",INDEX(DMAV_Dienste!O$6:O$140,$E777))),IF(INDEX(DMAV_Modell!P$6:P$838,$B777)="","",INDEX(DMAV_Modell!P$6:P$838,$B777)))</f>
        <v/>
      </c>
      <c r="M777" s="62" t="str" cm="1">
        <f t="array" ref="M777">IF($B777=0,IF($E777=0,"",IF(INDEX(DMAV_Dienste!Q$6:Q$140,$E777)="","",INDEX(DMAV_Dienste!Q$6:Q$140,$E777))),IF(INDEX(DMAV_Modell!R$6:R$838,$B777)="","",INDEX(DMAV_Modell!R$6:R$838,$B777)))</f>
        <v/>
      </c>
      <c r="N777" s="62" t="str" cm="1">
        <f t="array" ref="N777">IF($B777=0,IF($E777=0,"",IF(INDEX(DMAV_Dienste!T$6:T$140,$E777)="","",INDEX(DMAV_Dienste!T$6:T$140,$E777))),IF(INDEX(DMAV_Modell!U$6:U$838,$B777)="","",INDEX(DMAV_Modell!U$6:U$838,$B777)))</f>
        <v/>
      </c>
      <c r="O777" s="63" t="str" cm="1">
        <f t="array" aca="1" ref="O777" ca="1">IF(C777=0,IF(F777=0,"",HYPERLINK("#"&amp;RIGHT(CELL("adresse",OFFSET(DMAV_Dienste!$M$6,F777-1,0)),LEN(CELL("adresse",OFFSET(DMAV_Dienste!$M$6,F777-1,0)))-FIND("]",CELL("adresse",OFFSET(DMAV_Dienste!$M$6,F777-1,0)))),"Structure")),HYPERLINK("#"&amp;RIGHT(CELL("adresse",OFFSET(DMAV_Modell!$N$6,C777-1,0)),LEN(CELL("adresse",OFFSET(DMAV_Modell!$N$6,C777-1,0)))-FIND("]",CELL("adresse",OFFSET(DMAV_Modell!$N$6,C777-1,0)))),"Structure"))</f>
        <v/>
      </c>
      <c r="P777" s="64" t="str" cm="1">
        <f t="array" aca="1" ref="P777" ca="1">IF(D777=0,IF(G777=0,"",HYPERLINK("#"&amp;RIGHT(CELL("adresse",OFFSET(DMAV_Dienste!$M$6,G777-1,0)),LEN(CELL("adresse",OFFSET(DMAV_Dienste!$M$6,G777-1,0)))-FIND("]",CELL("adresse",OFFSET(DMAV_Dienste!$M$6,G777-1,0)))),"Substructure")),HYPERLINK("#"&amp;RIGHT(CELL("adresse",OFFSET(DMAV_Modell!$N$6,D777-1,0)),LEN(CELL("adresse",OFFSET(DMAV_Modell!$N$6,D777-1,0)))-FIND("]",CELL("adresse",OFFSET(DMAV_Modell!$N$6,D777-1,0)))),"Substructure"))</f>
        <v/>
      </c>
      <c r="R777" s="80"/>
      <c r="T777" s="93"/>
      <c r="U777" s="94" t="s">
        <v>2980</v>
      </c>
      <c r="V777" s="95" t="s">
        <v>3177</v>
      </c>
      <c r="W777" s="96" t="s">
        <v>3166</v>
      </c>
      <c r="Y777" s="85"/>
      <c r="Z777" s="86"/>
      <c r="AA777" s="87"/>
      <c r="AB777" s="88"/>
      <c r="AD777" s="77"/>
      <c r="AF777" s="54" t="str" cm="1">
        <f t="array" aca="1" ref="AF777" ca="1">IF(H777=0,"",HYPERLINK("#"&amp;RIGHT(CELL("adresse",OFFSET('DM01-AV-CH'!$G$6,H777-1,0)),LEN(CELL("adresse",OFFSET('DM01-AV-CH'!$G$6,H777-1,0)))-FIND("]",CELL("adresse",OFFSET('DM01-AV-CH'!$G$6,H777-1,0)))),"Modell"))</f>
        <v>Modell</v>
      </c>
      <c r="AG777" s="72" t="str" cm="1">
        <f t="array" ref="AG777">IF($H777=0,"",IF(INDEX('DM01-AV-CH'!G$6:G$834,$H777)="","",INDEX('DM01-AV-CH'!G$6:G$834,$H777)))</f>
        <v>Bodenbedeckung</v>
      </c>
      <c r="AH777" s="73" t="str" cm="1">
        <f t="array" ref="AH777">IF($H777=0,"",IF(INDEX('DM01-AV-CH'!H$6:H$834,$H777)="","",INDEX('DM01-AV-CH'!H$6:H$834,$H777)))</f>
        <v>ProjObjektnamePos</v>
      </c>
      <c r="AI777" s="74" t="str" cm="1">
        <f t="array" ref="AI777">IF($H777=0,"",IF(INDEX('DM01-AV-CH'!I$6:I$834,$H777)="","",INDEX('DM01-AV-CH'!I$6:I$834,$H777)))</f>
        <v>VAli</v>
      </c>
    </row>
    <row r="778" spans="1:35" ht="57" x14ac:dyDescent="0.25">
      <c r="A778" s="57">
        <v>773</v>
      </c>
      <c r="B778" s="57">
        <f>IF($A778="","",IF(_xlfn.XLOOKUP($A778,Korrelation!$D$4:$D$1197,Korrelation!E$4:E$1197,"-",0)="-",0,MATCH(_xlfn.XLOOKUP($A778,Korrelation!$D$4:$D$1197,Korrelation!E$4:E$1197,"",0),DMAV_Modell!$G$6:$G$677,0)))</f>
        <v>0</v>
      </c>
      <c r="C778" s="57">
        <f>IF($A778="","",IF(_xlfn.XLOOKUP($A778,Korrelation!$D$4:$D$1197,Korrelation!F$4:F$1197,"-",0)="-",0,MATCH(_xlfn.XLOOKUP($A778,Korrelation!$D$4:$D$1197,Korrelation!F$4:F$1197,"",0),DMAV_Modell!$G$6:$G$677,0)))</f>
        <v>0</v>
      </c>
      <c r="D778" s="57">
        <f>IF($A778="","",IF(_xlfn.XLOOKUP($A778,Korrelation!$D$4:$D$1197,Korrelation!G$4:G$1197,"-",0)="-",0,MATCH(_xlfn.XLOOKUP($A778,Korrelation!$D$4:$D$1197,Korrelation!G$4:G$1197,"",0),DMAV_Modell!$G$6:$G$677,0)))</f>
        <v>0</v>
      </c>
      <c r="E778" s="57">
        <f>IF($A778="","",IF(_xlfn.XLOOKUP($A778,Korrelation!$D$4:$D$1197,Korrelation!H$4:H$1197,"-",0)="-",0,MATCH(_xlfn.XLOOKUP($A778,Korrelation!$D$4:$D$1197,Korrelation!H$4:H$1197,"",0),DMAV_Dienste!$F$6:$F$140,0)))</f>
        <v>0</v>
      </c>
      <c r="F778" s="57">
        <f>IF($A778="","",IF(_xlfn.XLOOKUP($A778,Korrelation!$D$4:$D$1197,Korrelation!I$4:I$1197,"-",0)="-",0,MATCH(_xlfn.XLOOKUP($A778,Korrelation!$D$4:$D$1197,Korrelation!I$4:I$1197,"",0),DMAV_Dienste!$F$6:$F$140,0)))</f>
        <v>0</v>
      </c>
      <c r="G778" s="57">
        <f>IF($A778="","",IF(_xlfn.XLOOKUP($A778,Korrelation!$D$4:$D$1197,Korrelation!J$4:J$1197,"-",0)="-",0,MATCH(_xlfn.XLOOKUP($A778,Korrelation!$D$4:$D$1197,Korrelation!J$4:J$1197,"",0),DMAV_Dienste!$F$6:$F$140,0)))</f>
        <v>0</v>
      </c>
      <c r="H778" s="57">
        <f>IF($A778="","",IF(_xlfn.XLOOKUP($A778,Korrelation!$D$4:$D$1197,Korrelation!K$4:K$1197,"-",0)="-",0,MATCH(_xlfn.XLOOKUP($A778,Korrelation!$D$4:$D$1197,Korrelation!K$4:K$1197,"",0),'DM01-AV-CH'!$A$6:$A$834,0)))</f>
        <v>222</v>
      </c>
      <c r="J778" s="54" t="str" cm="1">
        <f t="array" aca="1" ref="J778" ca="1">IF(B778=0,IF(E778=0,"",HYPERLINK("#"&amp;RIGHT(CELL("adresse",OFFSET(DMAV_Dienste!$M$6,E778-1,0)),LEN(CELL("adresse",OFFSET(DMAV_Dienste!$M$6,E778-1,0)))-FIND("]",CELL("adresse",OFFSET(DMAV_Dienste!$M$6,E778-1,0)))),"Dienst")),HYPERLINK("#"&amp;RIGHT(CELL("adresse",OFFSET(DMAV_Modell!$N$6,B778-1,0)),LEN(CELL("adresse",OFFSET(DMAV_Modell!$N$6,B778-1,0)))-FIND("]",CELL("adresse",OFFSET(DMAV_Modell!$N$6,B778-1,0)))),"Modell"))</f>
        <v/>
      </c>
      <c r="K778" s="61" t="str" cm="1">
        <f t="array" ref="K778">IF($B778=0,IF($E778=0,"",IF(INDEX(DMAV_Dienste!P$6:P$140,$E778)="","",INDEX(DMAV_Dienste!P$6:P$140,$E778))),IF(INDEX(DMAV_Modell!Q$6:Q$838,$B778)="","",INDEX(DMAV_Modell!Q$6:Q$838,$B778)))</f>
        <v/>
      </c>
      <c r="L778" s="62" t="str" cm="1">
        <f t="array" ref="L778">IF($B778=0,IF($E778=0,"",IF(INDEX(DMAV_Dienste!O$6:O$140,$E778)="","",INDEX(DMAV_Dienste!O$6:O$140,$E778))),IF(INDEX(DMAV_Modell!P$6:P$838,$B778)="","",INDEX(DMAV_Modell!P$6:P$838,$B778)))</f>
        <v/>
      </c>
      <c r="M778" s="62" t="str" cm="1">
        <f t="array" ref="M778">IF($B778=0,IF($E778=0,"",IF(INDEX(DMAV_Dienste!Q$6:Q$140,$E778)="","",INDEX(DMAV_Dienste!Q$6:Q$140,$E778))),IF(INDEX(DMAV_Modell!R$6:R$838,$B778)="","",INDEX(DMAV_Modell!R$6:R$838,$B778)))</f>
        <v/>
      </c>
      <c r="N778" s="62" t="str" cm="1">
        <f t="array" ref="N778">IF($B778=0,IF($E778=0,"",IF(INDEX(DMAV_Dienste!T$6:T$140,$E778)="","",INDEX(DMAV_Dienste!T$6:T$140,$E778))),IF(INDEX(DMAV_Modell!U$6:U$838,$B778)="","",INDEX(DMAV_Modell!U$6:U$838,$B778)))</f>
        <v/>
      </c>
      <c r="O778" s="63" t="str" cm="1">
        <f t="array" aca="1" ref="O778" ca="1">IF(C778=0,IF(F778=0,"",HYPERLINK("#"&amp;RIGHT(CELL("adresse",OFFSET(DMAV_Dienste!$M$6,F778-1,0)),LEN(CELL("adresse",OFFSET(DMAV_Dienste!$M$6,F778-1,0)))-FIND("]",CELL("adresse",OFFSET(DMAV_Dienste!$M$6,F778-1,0)))),"Structure")),HYPERLINK("#"&amp;RIGHT(CELL("adresse",OFFSET(DMAV_Modell!$N$6,C778-1,0)),LEN(CELL("adresse",OFFSET(DMAV_Modell!$N$6,C778-1,0)))-FIND("]",CELL("adresse",OFFSET(DMAV_Modell!$N$6,C778-1,0)))),"Structure"))</f>
        <v/>
      </c>
      <c r="P778" s="64" t="str" cm="1">
        <f t="array" aca="1" ref="P778" ca="1">IF(D778=0,IF(G778=0,"",HYPERLINK("#"&amp;RIGHT(CELL("adresse",OFFSET(DMAV_Dienste!$M$6,G778-1,0)),LEN(CELL("adresse",OFFSET(DMAV_Dienste!$M$6,G778-1,0)))-FIND("]",CELL("adresse",OFFSET(DMAV_Dienste!$M$6,G778-1,0)))),"Substructure")),HYPERLINK("#"&amp;RIGHT(CELL("adresse",OFFSET(DMAV_Modell!$N$6,D778-1,0)),LEN(CELL("adresse",OFFSET(DMAV_Modell!$N$6,D778-1,0)))-FIND("]",CELL("adresse",OFFSET(DMAV_Modell!$N$6,D778-1,0)))),"Substructure"))</f>
        <v/>
      </c>
      <c r="R778" s="80"/>
      <c r="T778" s="93"/>
      <c r="U778" s="94" t="s">
        <v>2980</v>
      </c>
      <c r="V778" s="95" t="s">
        <v>3178</v>
      </c>
      <c r="W778" s="96" t="s">
        <v>3166</v>
      </c>
      <c r="Y778" s="85"/>
      <c r="Z778" s="86"/>
      <c r="AA778" s="87"/>
      <c r="AB778" s="88"/>
      <c r="AD778" s="77"/>
      <c r="AF778" s="54" t="str" cm="1">
        <f t="array" aca="1" ref="AF778" ca="1">IF(H778=0,"",HYPERLINK("#"&amp;RIGHT(CELL("adresse",OFFSET('DM01-AV-CH'!$G$6,H778-1,0)),LEN(CELL("adresse",OFFSET('DM01-AV-CH'!$G$6,H778-1,0)))-FIND("]",CELL("adresse",OFFSET('DM01-AV-CH'!$G$6,H778-1,0)))),"Modell"))</f>
        <v>Modell</v>
      </c>
      <c r="AG778" s="72" t="str" cm="1">
        <f t="array" ref="AG778">IF($H778=0,"",IF(INDEX('DM01-AV-CH'!G$6:G$834,$H778)="","",INDEX('DM01-AV-CH'!G$6:G$834,$H778)))</f>
        <v>Bodenbedeckung</v>
      </c>
      <c r="AH778" s="73" t="str" cm="1">
        <f t="array" ref="AH778">IF($H778=0,"",IF(INDEX('DM01-AV-CH'!H$6:H$834,$H778)="","",INDEX('DM01-AV-CH'!H$6:H$834,$H778)))</f>
        <v>ProjObjektnamePos</v>
      </c>
      <c r="AI778" s="74" t="str" cm="1">
        <f t="array" ref="AI778">IF($H778=0,"",IF(INDEX('DM01-AV-CH'!I$6:I$834,$H778)="","",INDEX('DM01-AV-CH'!I$6:I$834,$H778)))</f>
        <v>Groesse</v>
      </c>
    </row>
    <row r="779" spans="1:35" ht="28.5" x14ac:dyDescent="0.25">
      <c r="A779" s="57">
        <v>774</v>
      </c>
      <c r="B779" s="57">
        <f>IF($A779="","",IF(_xlfn.XLOOKUP($A779,Korrelation!$D$4:$D$1197,Korrelation!E$4:E$1197,"-",0)="-",0,MATCH(_xlfn.XLOOKUP($A779,Korrelation!$D$4:$D$1197,Korrelation!E$4:E$1197,"",0),DMAV_Modell!$G$6:$G$677,0)))</f>
        <v>0</v>
      </c>
      <c r="C779" s="57">
        <f>IF($A779="","",IF(_xlfn.XLOOKUP($A779,Korrelation!$D$4:$D$1197,Korrelation!F$4:F$1197,"-",0)="-",0,MATCH(_xlfn.XLOOKUP($A779,Korrelation!$D$4:$D$1197,Korrelation!F$4:F$1197,"",0),DMAV_Modell!$G$6:$G$677,0)))</f>
        <v>0</v>
      </c>
      <c r="D779" s="57">
        <f>IF($A779="","",IF(_xlfn.XLOOKUP($A779,Korrelation!$D$4:$D$1197,Korrelation!G$4:G$1197,"-",0)="-",0,MATCH(_xlfn.XLOOKUP($A779,Korrelation!$D$4:$D$1197,Korrelation!G$4:G$1197,"",0),DMAV_Modell!$G$6:$G$677,0)))</f>
        <v>0</v>
      </c>
      <c r="E779" s="57">
        <f>IF($A779="","",IF(_xlfn.XLOOKUP($A779,Korrelation!$D$4:$D$1197,Korrelation!H$4:H$1197,"-",0)="-",0,MATCH(_xlfn.XLOOKUP($A779,Korrelation!$D$4:$D$1197,Korrelation!H$4:H$1197,"",0),DMAV_Dienste!$F$6:$F$140,0)))</f>
        <v>0</v>
      </c>
      <c r="F779" s="57">
        <f>IF($A779="","",IF(_xlfn.XLOOKUP($A779,Korrelation!$D$4:$D$1197,Korrelation!I$4:I$1197,"-",0)="-",0,MATCH(_xlfn.XLOOKUP($A779,Korrelation!$D$4:$D$1197,Korrelation!I$4:I$1197,"",0),DMAV_Dienste!$F$6:$F$140,0)))</f>
        <v>0</v>
      </c>
      <c r="G779" s="57">
        <f>IF($A779="","",IF(_xlfn.XLOOKUP($A779,Korrelation!$D$4:$D$1197,Korrelation!J$4:J$1197,"-",0)="-",0,MATCH(_xlfn.XLOOKUP($A779,Korrelation!$D$4:$D$1197,Korrelation!J$4:J$1197,"",0),DMAV_Dienste!$F$6:$F$140,0)))</f>
        <v>0</v>
      </c>
      <c r="H779" s="57">
        <f>IF($A779="","",IF(_xlfn.XLOOKUP($A779,Korrelation!$D$4:$D$1197,Korrelation!K$4:K$1197,"-",0)="-",0,MATCH(_xlfn.XLOOKUP($A779,Korrelation!$D$4:$D$1197,Korrelation!K$4:K$1197,"",0),'DM01-AV-CH'!$A$6:$A$834,0)))</f>
        <v>223</v>
      </c>
      <c r="J779" s="54" t="str" cm="1">
        <f t="array" aca="1" ref="J779" ca="1">IF(B779=0,IF(E779=0,"",HYPERLINK("#"&amp;RIGHT(CELL("adresse",OFFSET(DMAV_Dienste!$M$6,E779-1,0)),LEN(CELL("adresse",OFFSET(DMAV_Dienste!$M$6,E779-1,0)))-FIND("]",CELL("adresse",OFFSET(DMAV_Dienste!$M$6,E779-1,0)))),"Dienst")),HYPERLINK("#"&amp;RIGHT(CELL("adresse",OFFSET(DMAV_Modell!$N$6,B779-1,0)),LEN(CELL("adresse",OFFSET(DMAV_Modell!$N$6,B779-1,0)))-FIND("]",CELL("adresse",OFFSET(DMAV_Modell!$N$6,B779-1,0)))),"Modell"))</f>
        <v/>
      </c>
      <c r="K779" s="61" t="str" cm="1">
        <f t="array" ref="K779">IF($B779=0,IF($E779=0,"",IF(INDEX(DMAV_Dienste!P$6:P$140,$E779)="","",INDEX(DMAV_Dienste!P$6:P$140,$E779))),IF(INDEX(DMAV_Modell!Q$6:Q$838,$B779)="","",INDEX(DMAV_Modell!Q$6:Q$838,$B779)))</f>
        <v/>
      </c>
      <c r="L779" s="62" t="str" cm="1">
        <f t="array" ref="L779">IF($B779=0,IF($E779=0,"",IF(INDEX(DMAV_Dienste!O$6:O$140,$E779)="","",INDEX(DMAV_Dienste!O$6:O$140,$E779))),IF(INDEX(DMAV_Modell!P$6:P$838,$B779)="","",INDEX(DMAV_Modell!P$6:P$838,$B779)))</f>
        <v/>
      </c>
      <c r="M779" s="62" t="str" cm="1">
        <f t="array" ref="M779">IF($B779=0,IF($E779=0,"",IF(INDEX(DMAV_Dienste!Q$6:Q$140,$E779)="","",INDEX(DMAV_Dienste!Q$6:Q$140,$E779))),IF(INDEX(DMAV_Modell!R$6:R$838,$B779)="","",INDEX(DMAV_Modell!R$6:R$838,$B779)))</f>
        <v/>
      </c>
      <c r="N779" s="62" t="str" cm="1">
        <f t="array" ref="N779">IF($B779=0,IF($E779=0,"",IF(INDEX(DMAV_Dienste!T$6:T$140,$E779)="","",INDEX(DMAV_Dienste!T$6:T$140,$E779))),IF(INDEX(DMAV_Modell!U$6:U$838,$B779)="","",INDEX(DMAV_Modell!U$6:U$838,$B779)))</f>
        <v/>
      </c>
      <c r="O779" s="63" t="str" cm="1">
        <f t="array" aca="1" ref="O779" ca="1">IF(C779=0,IF(F779=0,"",HYPERLINK("#"&amp;RIGHT(CELL("adresse",OFFSET(DMAV_Dienste!$M$6,F779-1,0)),LEN(CELL("adresse",OFFSET(DMAV_Dienste!$M$6,F779-1,0)))-FIND("]",CELL("adresse",OFFSET(DMAV_Dienste!$M$6,F779-1,0)))),"Structure")),HYPERLINK("#"&amp;RIGHT(CELL("adresse",OFFSET(DMAV_Modell!$N$6,C779-1,0)),LEN(CELL("adresse",OFFSET(DMAV_Modell!$N$6,C779-1,0)))-FIND("]",CELL("adresse",OFFSET(DMAV_Modell!$N$6,C779-1,0)))),"Structure"))</f>
        <v/>
      </c>
      <c r="P779" s="64" t="str" cm="1">
        <f t="array" aca="1" ref="P779" ca="1">IF(D779=0,IF(G779=0,"",HYPERLINK("#"&amp;RIGHT(CELL("adresse",OFFSET(DMAV_Dienste!$M$6,G779-1,0)),LEN(CELL("adresse",OFFSET(DMAV_Dienste!$M$6,G779-1,0)))-FIND("]",CELL("adresse",OFFSET(DMAV_Dienste!$M$6,G779-1,0)))),"Substructure")),HYPERLINK("#"&amp;RIGHT(CELL("adresse",OFFSET(DMAV_Modell!$N$6,D779-1,0)),LEN(CELL("adresse",OFFSET(DMAV_Modell!$N$6,D779-1,0)))-FIND("]",CELL("adresse",OFFSET(DMAV_Modell!$N$6,D779-1,0)))),"Substructure"))</f>
        <v/>
      </c>
      <c r="R779" s="80"/>
      <c r="T779" s="93"/>
      <c r="U779" s="94"/>
      <c r="V779" s="95"/>
      <c r="W779" s="96"/>
      <c r="Y779" s="85"/>
      <c r="Z779" s="86"/>
      <c r="AA779" s="87"/>
      <c r="AB779" s="88"/>
      <c r="AD779" s="77"/>
      <c r="AF779" s="54" t="str" cm="1">
        <f t="array" aca="1" ref="AF779" ca="1">IF(H779=0,"",HYPERLINK("#"&amp;RIGHT(CELL("adresse",OFFSET('DM01-AV-CH'!$G$6,H779-1,0)),LEN(CELL("adresse",OFFSET('DM01-AV-CH'!$G$6,H779-1,0)))-FIND("]",CELL("adresse",OFFSET('DM01-AV-CH'!$G$6,H779-1,0)))),"Modell"))</f>
        <v>Modell</v>
      </c>
      <c r="AG779" s="72" t="str" cm="1">
        <f t="array" ref="AG779">IF($H779=0,"",IF(INDEX('DM01-AV-CH'!G$6:G$834,$H779)="","",INDEX('DM01-AV-CH'!G$6:G$834,$H779)))</f>
        <v>Bodenbedeckung</v>
      </c>
      <c r="AH779" s="73" t="str" cm="1">
        <f t="array" ref="AH779">IF($H779=0,"",IF(INDEX('DM01-AV-CH'!H$6:H$834,$H779)="","",INDEX('DM01-AV-CH'!H$6:H$834,$H779)))</f>
        <v>ProjBoFlaecheSymbol</v>
      </c>
      <c r="AI779" s="74" t="str" cm="1">
        <f t="array" ref="AI779">IF($H779=0,"",IF(INDEX('DM01-AV-CH'!I$6:I$834,$H779)="","",INDEX('DM01-AV-CH'!I$6:I$834,$H779)))</f>
        <v>ProjBoFlaecheSymbol_von</v>
      </c>
    </row>
    <row r="780" spans="1:35" ht="57" x14ac:dyDescent="0.25">
      <c r="A780" s="57">
        <v>775</v>
      </c>
      <c r="B780" s="57">
        <f>IF($A780="","",IF(_xlfn.XLOOKUP($A780,Korrelation!$D$4:$D$1197,Korrelation!E$4:E$1197,"-",0)="-",0,MATCH(_xlfn.XLOOKUP($A780,Korrelation!$D$4:$D$1197,Korrelation!E$4:E$1197,"",0),DMAV_Modell!$G$6:$G$677,0)))</f>
        <v>0</v>
      </c>
      <c r="C780" s="57">
        <f>IF($A780="","",IF(_xlfn.XLOOKUP($A780,Korrelation!$D$4:$D$1197,Korrelation!F$4:F$1197,"-",0)="-",0,MATCH(_xlfn.XLOOKUP($A780,Korrelation!$D$4:$D$1197,Korrelation!F$4:F$1197,"",0),DMAV_Modell!$G$6:$G$677,0)))</f>
        <v>0</v>
      </c>
      <c r="D780" s="57">
        <f>IF($A780="","",IF(_xlfn.XLOOKUP($A780,Korrelation!$D$4:$D$1197,Korrelation!G$4:G$1197,"-",0)="-",0,MATCH(_xlfn.XLOOKUP($A780,Korrelation!$D$4:$D$1197,Korrelation!G$4:G$1197,"",0),DMAV_Modell!$G$6:$G$677,0)))</f>
        <v>0</v>
      </c>
      <c r="E780" s="57">
        <f>IF($A780="","",IF(_xlfn.XLOOKUP($A780,Korrelation!$D$4:$D$1197,Korrelation!H$4:H$1197,"-",0)="-",0,MATCH(_xlfn.XLOOKUP($A780,Korrelation!$D$4:$D$1197,Korrelation!H$4:H$1197,"",0),DMAV_Dienste!$F$6:$F$140,0)))</f>
        <v>0</v>
      </c>
      <c r="F780" s="57">
        <f>IF($A780="","",IF(_xlfn.XLOOKUP($A780,Korrelation!$D$4:$D$1197,Korrelation!I$4:I$1197,"-",0)="-",0,MATCH(_xlfn.XLOOKUP($A780,Korrelation!$D$4:$D$1197,Korrelation!I$4:I$1197,"",0),DMAV_Dienste!$F$6:$F$140,0)))</f>
        <v>0</v>
      </c>
      <c r="G780" s="57">
        <f>IF($A780="","",IF(_xlfn.XLOOKUP($A780,Korrelation!$D$4:$D$1197,Korrelation!J$4:J$1197,"-",0)="-",0,MATCH(_xlfn.XLOOKUP($A780,Korrelation!$D$4:$D$1197,Korrelation!J$4:J$1197,"",0),DMAV_Dienste!$F$6:$F$140,0)))</f>
        <v>0</v>
      </c>
      <c r="H780" s="57">
        <f>IF($A780="","",IF(_xlfn.XLOOKUP($A780,Korrelation!$D$4:$D$1197,Korrelation!K$4:K$1197,"-",0)="-",0,MATCH(_xlfn.XLOOKUP($A780,Korrelation!$D$4:$D$1197,Korrelation!K$4:K$1197,"",0),'DM01-AV-CH'!$A$6:$A$834,0)))</f>
        <v>224</v>
      </c>
      <c r="J780" s="54" t="str" cm="1">
        <f t="array" aca="1" ref="J780" ca="1">IF(B780=0,IF(E780=0,"",HYPERLINK("#"&amp;RIGHT(CELL("adresse",OFFSET(DMAV_Dienste!$M$6,E780-1,0)),LEN(CELL("adresse",OFFSET(DMAV_Dienste!$M$6,E780-1,0)))-FIND("]",CELL("adresse",OFFSET(DMAV_Dienste!$M$6,E780-1,0)))),"Dienst")),HYPERLINK("#"&amp;RIGHT(CELL("adresse",OFFSET(DMAV_Modell!$N$6,B780-1,0)),LEN(CELL("adresse",OFFSET(DMAV_Modell!$N$6,B780-1,0)))-FIND("]",CELL("adresse",OFFSET(DMAV_Modell!$N$6,B780-1,0)))),"Modell"))</f>
        <v/>
      </c>
      <c r="K780" s="61" t="str" cm="1">
        <f t="array" ref="K780">IF($B780=0,IF($E780=0,"",IF(INDEX(DMAV_Dienste!P$6:P$140,$E780)="","",INDEX(DMAV_Dienste!P$6:P$140,$E780))),IF(INDEX(DMAV_Modell!Q$6:Q$838,$B780)="","",INDEX(DMAV_Modell!Q$6:Q$838,$B780)))</f>
        <v/>
      </c>
      <c r="L780" s="62" t="str" cm="1">
        <f t="array" ref="L780">IF($B780=0,IF($E780=0,"",IF(INDEX(DMAV_Dienste!O$6:O$140,$E780)="","",INDEX(DMAV_Dienste!O$6:O$140,$E780))),IF(INDEX(DMAV_Modell!P$6:P$838,$B780)="","",INDEX(DMAV_Modell!P$6:P$838,$B780)))</f>
        <v/>
      </c>
      <c r="M780" s="62" t="str" cm="1">
        <f t="array" ref="M780">IF($B780=0,IF($E780=0,"",IF(INDEX(DMAV_Dienste!Q$6:Q$140,$E780)="","",INDEX(DMAV_Dienste!Q$6:Q$140,$E780))),IF(INDEX(DMAV_Modell!R$6:R$838,$B780)="","",INDEX(DMAV_Modell!R$6:R$838,$B780)))</f>
        <v/>
      </c>
      <c r="N780" s="62" t="str" cm="1">
        <f t="array" ref="N780">IF($B780=0,IF($E780=0,"",IF(INDEX(DMAV_Dienste!T$6:T$140,$E780)="","",INDEX(DMAV_Dienste!T$6:T$140,$E780))),IF(INDEX(DMAV_Modell!U$6:U$838,$B780)="","",INDEX(DMAV_Modell!U$6:U$838,$B780)))</f>
        <v/>
      </c>
      <c r="O780" s="63" t="str" cm="1">
        <f t="array" aca="1" ref="O780" ca="1">IF(C780=0,IF(F780=0,"",HYPERLINK("#"&amp;RIGHT(CELL("adresse",OFFSET(DMAV_Dienste!$M$6,F780-1,0)),LEN(CELL("adresse",OFFSET(DMAV_Dienste!$M$6,F780-1,0)))-FIND("]",CELL("adresse",OFFSET(DMAV_Dienste!$M$6,F780-1,0)))),"Structure")),HYPERLINK("#"&amp;RIGHT(CELL("adresse",OFFSET(DMAV_Modell!$N$6,C780-1,0)),LEN(CELL("adresse",OFFSET(DMAV_Modell!$N$6,C780-1,0)))-FIND("]",CELL("adresse",OFFSET(DMAV_Modell!$N$6,C780-1,0)))),"Structure"))</f>
        <v/>
      </c>
      <c r="P780" s="64" t="str" cm="1">
        <f t="array" aca="1" ref="P780" ca="1">IF(D780=0,IF(G780=0,"",HYPERLINK("#"&amp;RIGHT(CELL("adresse",OFFSET(DMAV_Dienste!$M$6,G780-1,0)),LEN(CELL("adresse",OFFSET(DMAV_Dienste!$M$6,G780-1,0)))-FIND("]",CELL("adresse",OFFSET(DMAV_Dienste!$M$6,G780-1,0)))),"Substructure")),HYPERLINK("#"&amp;RIGHT(CELL("adresse",OFFSET(DMAV_Modell!$N$6,D780-1,0)),LEN(CELL("adresse",OFFSET(DMAV_Modell!$N$6,D780-1,0)))-FIND("]",CELL("adresse",OFFSET(DMAV_Modell!$N$6,D780-1,0)))),"Substructure"))</f>
        <v/>
      </c>
      <c r="R780" s="80"/>
      <c r="T780" s="93"/>
      <c r="U780" s="94" t="s">
        <v>2980</v>
      </c>
      <c r="V780" s="95" t="s">
        <v>3033</v>
      </c>
      <c r="W780" s="96" t="s">
        <v>3166</v>
      </c>
      <c r="Y780" s="85"/>
      <c r="Z780" s="86"/>
      <c r="AA780" s="87"/>
      <c r="AB780" s="88"/>
      <c r="AD780" s="77"/>
      <c r="AF780" s="54" t="str" cm="1">
        <f t="array" aca="1" ref="AF780" ca="1">IF(H780=0,"",HYPERLINK("#"&amp;RIGHT(CELL("adresse",OFFSET('DM01-AV-CH'!$G$6,H780-1,0)),LEN(CELL("adresse",OFFSET('DM01-AV-CH'!$G$6,H780-1,0)))-FIND("]",CELL("adresse",OFFSET('DM01-AV-CH'!$G$6,H780-1,0)))),"Modell"))</f>
        <v>Modell</v>
      </c>
      <c r="AG780" s="72" t="str" cm="1">
        <f t="array" ref="AG780">IF($H780=0,"",IF(INDEX('DM01-AV-CH'!G$6:G$834,$H780)="","",INDEX('DM01-AV-CH'!G$6:G$834,$H780)))</f>
        <v>Bodenbedeckung</v>
      </c>
      <c r="AH780" s="73" t="str" cm="1">
        <f t="array" ref="AH780">IF($H780=0,"",IF(INDEX('DM01-AV-CH'!H$6:H$834,$H780)="","",INDEX('DM01-AV-CH'!H$6:H$834,$H780)))</f>
        <v>ProjBoFlaecheSymbol</v>
      </c>
      <c r="AI780" s="74" t="str" cm="1">
        <f t="array" ref="AI780">IF($H780=0,"",IF(INDEX('DM01-AV-CH'!I$6:I$834,$H780)="","",INDEX('DM01-AV-CH'!I$6:I$834,$H780)))</f>
        <v>Pos</v>
      </c>
    </row>
    <row r="781" spans="1:35" ht="57" x14ac:dyDescent="0.25">
      <c r="A781" s="57">
        <v>776</v>
      </c>
      <c r="B781" s="57">
        <f>IF($A781="","",IF(_xlfn.XLOOKUP($A781,Korrelation!$D$4:$D$1197,Korrelation!E$4:E$1197,"-",0)="-",0,MATCH(_xlfn.XLOOKUP($A781,Korrelation!$D$4:$D$1197,Korrelation!E$4:E$1197,"",0),DMAV_Modell!$G$6:$G$677,0)))</f>
        <v>0</v>
      </c>
      <c r="C781" s="57">
        <f>IF($A781="","",IF(_xlfn.XLOOKUP($A781,Korrelation!$D$4:$D$1197,Korrelation!F$4:F$1197,"-",0)="-",0,MATCH(_xlfn.XLOOKUP($A781,Korrelation!$D$4:$D$1197,Korrelation!F$4:F$1197,"",0),DMAV_Modell!$G$6:$G$677,0)))</f>
        <v>0</v>
      </c>
      <c r="D781" s="57">
        <f>IF($A781="","",IF(_xlfn.XLOOKUP($A781,Korrelation!$D$4:$D$1197,Korrelation!G$4:G$1197,"-",0)="-",0,MATCH(_xlfn.XLOOKUP($A781,Korrelation!$D$4:$D$1197,Korrelation!G$4:G$1197,"",0),DMAV_Modell!$G$6:$G$677,0)))</f>
        <v>0</v>
      </c>
      <c r="E781" s="57">
        <f>IF($A781="","",IF(_xlfn.XLOOKUP($A781,Korrelation!$D$4:$D$1197,Korrelation!H$4:H$1197,"-",0)="-",0,MATCH(_xlfn.XLOOKUP($A781,Korrelation!$D$4:$D$1197,Korrelation!H$4:H$1197,"",0),DMAV_Dienste!$F$6:$F$140,0)))</f>
        <v>0</v>
      </c>
      <c r="F781" s="57">
        <f>IF($A781="","",IF(_xlfn.XLOOKUP($A781,Korrelation!$D$4:$D$1197,Korrelation!I$4:I$1197,"-",0)="-",0,MATCH(_xlfn.XLOOKUP($A781,Korrelation!$D$4:$D$1197,Korrelation!I$4:I$1197,"",0),DMAV_Dienste!$F$6:$F$140,0)))</f>
        <v>0</v>
      </c>
      <c r="G781" s="57">
        <f>IF($A781="","",IF(_xlfn.XLOOKUP($A781,Korrelation!$D$4:$D$1197,Korrelation!J$4:J$1197,"-",0)="-",0,MATCH(_xlfn.XLOOKUP($A781,Korrelation!$D$4:$D$1197,Korrelation!J$4:J$1197,"",0),DMAV_Dienste!$F$6:$F$140,0)))</f>
        <v>0</v>
      </c>
      <c r="H781" s="57">
        <f>IF($A781="","",IF(_xlfn.XLOOKUP($A781,Korrelation!$D$4:$D$1197,Korrelation!K$4:K$1197,"-",0)="-",0,MATCH(_xlfn.XLOOKUP($A781,Korrelation!$D$4:$D$1197,Korrelation!K$4:K$1197,"",0),'DM01-AV-CH'!$A$6:$A$834,0)))</f>
        <v>225</v>
      </c>
      <c r="J781" s="54" t="str" cm="1">
        <f t="array" aca="1" ref="J781" ca="1">IF(B781=0,IF(E781=0,"",HYPERLINK("#"&amp;RIGHT(CELL("adresse",OFFSET(DMAV_Dienste!$M$6,E781-1,0)),LEN(CELL("adresse",OFFSET(DMAV_Dienste!$M$6,E781-1,0)))-FIND("]",CELL("adresse",OFFSET(DMAV_Dienste!$M$6,E781-1,0)))),"Dienst")),HYPERLINK("#"&amp;RIGHT(CELL("adresse",OFFSET(DMAV_Modell!$N$6,B781-1,0)),LEN(CELL("adresse",OFFSET(DMAV_Modell!$N$6,B781-1,0)))-FIND("]",CELL("adresse",OFFSET(DMAV_Modell!$N$6,B781-1,0)))),"Modell"))</f>
        <v/>
      </c>
      <c r="K781" s="61" t="str" cm="1">
        <f t="array" ref="K781">IF($B781=0,IF($E781=0,"",IF(INDEX(DMAV_Dienste!P$6:P$140,$E781)="","",INDEX(DMAV_Dienste!P$6:P$140,$E781))),IF(INDEX(DMAV_Modell!Q$6:Q$838,$B781)="","",INDEX(DMAV_Modell!Q$6:Q$838,$B781)))</f>
        <v/>
      </c>
      <c r="L781" s="62" t="str" cm="1">
        <f t="array" ref="L781">IF($B781=0,IF($E781=0,"",IF(INDEX(DMAV_Dienste!O$6:O$140,$E781)="","",INDEX(DMAV_Dienste!O$6:O$140,$E781))),IF(INDEX(DMAV_Modell!P$6:P$838,$B781)="","",INDEX(DMAV_Modell!P$6:P$838,$B781)))</f>
        <v/>
      </c>
      <c r="M781" s="62" t="str" cm="1">
        <f t="array" ref="M781">IF($B781=0,IF($E781=0,"",IF(INDEX(DMAV_Dienste!Q$6:Q$140,$E781)="","",INDEX(DMAV_Dienste!Q$6:Q$140,$E781))),IF(INDEX(DMAV_Modell!R$6:R$838,$B781)="","",INDEX(DMAV_Modell!R$6:R$838,$B781)))</f>
        <v/>
      </c>
      <c r="N781" s="62" t="str" cm="1">
        <f t="array" ref="N781">IF($B781=0,IF($E781=0,"",IF(INDEX(DMAV_Dienste!T$6:T$140,$E781)="","",INDEX(DMAV_Dienste!T$6:T$140,$E781))),IF(INDEX(DMAV_Modell!U$6:U$838,$B781)="","",INDEX(DMAV_Modell!U$6:U$838,$B781)))</f>
        <v/>
      </c>
      <c r="O781" s="63" t="str" cm="1">
        <f t="array" aca="1" ref="O781" ca="1">IF(C781=0,IF(F781=0,"",HYPERLINK("#"&amp;RIGHT(CELL("adresse",OFFSET(DMAV_Dienste!$M$6,F781-1,0)),LEN(CELL("adresse",OFFSET(DMAV_Dienste!$M$6,F781-1,0)))-FIND("]",CELL("adresse",OFFSET(DMAV_Dienste!$M$6,F781-1,0)))),"Structure")),HYPERLINK("#"&amp;RIGHT(CELL("adresse",OFFSET(DMAV_Modell!$N$6,C781-1,0)),LEN(CELL("adresse",OFFSET(DMAV_Modell!$N$6,C781-1,0)))-FIND("]",CELL("adresse",OFFSET(DMAV_Modell!$N$6,C781-1,0)))),"Structure"))</f>
        <v/>
      </c>
      <c r="P781" s="64" t="str" cm="1">
        <f t="array" aca="1" ref="P781" ca="1">IF(D781=0,IF(G781=0,"",HYPERLINK("#"&amp;RIGHT(CELL("adresse",OFFSET(DMAV_Dienste!$M$6,G781-1,0)),LEN(CELL("adresse",OFFSET(DMAV_Dienste!$M$6,G781-1,0)))-FIND("]",CELL("adresse",OFFSET(DMAV_Dienste!$M$6,G781-1,0)))),"Substructure")),HYPERLINK("#"&amp;RIGHT(CELL("adresse",OFFSET(DMAV_Modell!$N$6,D781-1,0)),LEN(CELL("adresse",OFFSET(DMAV_Modell!$N$6,D781-1,0)))-FIND("]",CELL("adresse",OFFSET(DMAV_Modell!$N$6,D781-1,0)))),"Substructure"))</f>
        <v/>
      </c>
      <c r="R781" s="80"/>
      <c r="T781" s="93"/>
      <c r="U781" s="94" t="s">
        <v>2980</v>
      </c>
      <c r="V781" s="95" t="s">
        <v>3034</v>
      </c>
      <c r="W781" s="96" t="s">
        <v>3166</v>
      </c>
      <c r="Y781" s="85"/>
      <c r="Z781" s="86"/>
      <c r="AA781" s="87"/>
      <c r="AB781" s="88"/>
      <c r="AD781" s="77"/>
      <c r="AF781" s="54" t="str" cm="1">
        <f t="array" aca="1" ref="AF781" ca="1">IF(H781=0,"",HYPERLINK("#"&amp;RIGHT(CELL("adresse",OFFSET('DM01-AV-CH'!$G$6,H781-1,0)),LEN(CELL("adresse",OFFSET('DM01-AV-CH'!$G$6,H781-1,0)))-FIND("]",CELL("adresse",OFFSET('DM01-AV-CH'!$G$6,H781-1,0)))),"Modell"))</f>
        <v>Modell</v>
      </c>
      <c r="AG781" s="72" t="str" cm="1">
        <f t="array" ref="AG781">IF($H781=0,"",IF(INDEX('DM01-AV-CH'!G$6:G$834,$H781)="","",INDEX('DM01-AV-CH'!G$6:G$834,$H781)))</f>
        <v>Bodenbedeckung</v>
      </c>
      <c r="AH781" s="73" t="str" cm="1">
        <f t="array" ref="AH781">IF($H781=0,"",IF(INDEX('DM01-AV-CH'!H$6:H$834,$H781)="","",INDEX('DM01-AV-CH'!H$6:H$834,$H781)))</f>
        <v>ProjBoFlaecheSymbol</v>
      </c>
      <c r="AI781" s="74" t="str" cm="1">
        <f t="array" ref="AI781">IF($H781=0,"",IF(INDEX('DM01-AV-CH'!I$6:I$834,$H781)="","",INDEX('DM01-AV-CH'!I$6:I$834,$H781)))</f>
        <v>Ori</v>
      </c>
    </row>
    <row r="782" spans="1:35" x14ac:dyDescent="0.25">
      <c r="A782" s="57">
        <v>777</v>
      </c>
      <c r="B782" s="57">
        <f>IF($A782="","",IF(_xlfn.XLOOKUP($A782,Korrelation!$D$4:$D$1197,Korrelation!E$4:E$1197,"-",0)="-",0,MATCH(_xlfn.XLOOKUP($A782,Korrelation!$D$4:$D$1197,Korrelation!E$4:E$1197,"",0),DMAV_Modell!$G$6:$G$677,0)))</f>
        <v>0</v>
      </c>
      <c r="C782" s="57">
        <f>IF($A782="","",IF(_xlfn.XLOOKUP($A782,Korrelation!$D$4:$D$1197,Korrelation!F$4:F$1197,"-",0)="-",0,MATCH(_xlfn.XLOOKUP($A782,Korrelation!$D$4:$D$1197,Korrelation!F$4:F$1197,"",0),DMAV_Modell!$G$6:$G$677,0)))</f>
        <v>0</v>
      </c>
      <c r="D782" s="57">
        <f>IF($A782="","",IF(_xlfn.XLOOKUP($A782,Korrelation!$D$4:$D$1197,Korrelation!G$4:G$1197,"-",0)="-",0,MATCH(_xlfn.XLOOKUP($A782,Korrelation!$D$4:$D$1197,Korrelation!G$4:G$1197,"",0),DMAV_Modell!$G$6:$G$677,0)))</f>
        <v>0</v>
      </c>
      <c r="E782" s="57">
        <f>IF($A782="","",IF(_xlfn.XLOOKUP($A782,Korrelation!$D$4:$D$1197,Korrelation!H$4:H$1197,"-",0)="-",0,MATCH(_xlfn.XLOOKUP($A782,Korrelation!$D$4:$D$1197,Korrelation!H$4:H$1197,"",0),DMAV_Dienste!$F$6:$F$140,0)))</f>
        <v>0</v>
      </c>
      <c r="F782" s="57">
        <f>IF($A782="","",IF(_xlfn.XLOOKUP($A782,Korrelation!$D$4:$D$1197,Korrelation!I$4:I$1197,"-",0)="-",0,MATCH(_xlfn.XLOOKUP($A782,Korrelation!$D$4:$D$1197,Korrelation!I$4:I$1197,"",0),DMAV_Dienste!$F$6:$F$140,0)))</f>
        <v>0</v>
      </c>
      <c r="G782" s="57">
        <f>IF($A782="","",IF(_xlfn.XLOOKUP($A782,Korrelation!$D$4:$D$1197,Korrelation!J$4:J$1197,"-",0)="-",0,MATCH(_xlfn.XLOOKUP($A782,Korrelation!$D$4:$D$1197,Korrelation!J$4:J$1197,"",0),DMAV_Dienste!$F$6:$F$140,0)))</f>
        <v>0</v>
      </c>
      <c r="H782" s="57">
        <f>IF($A782="","",IF(_xlfn.XLOOKUP($A782,Korrelation!$D$4:$D$1197,Korrelation!K$4:K$1197,"-",0)="-",0,MATCH(_xlfn.XLOOKUP($A782,Korrelation!$D$4:$D$1197,Korrelation!K$4:K$1197,"",0),'DM01-AV-CH'!$A$6:$A$834,0)))</f>
        <v>226</v>
      </c>
      <c r="J782" s="54" t="str" cm="1">
        <f t="array" aca="1" ref="J782" ca="1">IF(B782=0,IF(E782=0,"",HYPERLINK("#"&amp;RIGHT(CELL("adresse",OFFSET(DMAV_Dienste!$M$6,E782-1,0)),LEN(CELL("adresse",OFFSET(DMAV_Dienste!$M$6,E782-1,0)))-FIND("]",CELL("adresse",OFFSET(DMAV_Dienste!$M$6,E782-1,0)))),"Dienst")),HYPERLINK("#"&amp;RIGHT(CELL("adresse",OFFSET(DMAV_Modell!$N$6,B782-1,0)),LEN(CELL("adresse",OFFSET(DMAV_Modell!$N$6,B782-1,0)))-FIND("]",CELL("adresse",OFFSET(DMAV_Modell!$N$6,B782-1,0)))),"Modell"))</f>
        <v/>
      </c>
      <c r="K782" s="61" t="str" cm="1">
        <f t="array" ref="K782">IF($B782=0,IF($E782=0,"",IF(INDEX(DMAV_Dienste!P$6:P$140,$E782)="","",INDEX(DMAV_Dienste!P$6:P$140,$E782))),IF(INDEX(DMAV_Modell!Q$6:Q$838,$B782)="","",INDEX(DMAV_Modell!Q$6:Q$838,$B782)))</f>
        <v/>
      </c>
      <c r="L782" s="62" t="str" cm="1">
        <f t="array" ref="L782">IF($B782=0,IF($E782=0,"",IF(INDEX(DMAV_Dienste!O$6:O$140,$E782)="","",INDEX(DMAV_Dienste!O$6:O$140,$E782))),IF(INDEX(DMAV_Modell!P$6:P$838,$B782)="","",INDEX(DMAV_Modell!P$6:P$838,$B782)))</f>
        <v/>
      </c>
      <c r="M782" s="62" t="str" cm="1">
        <f t="array" ref="M782">IF($B782=0,IF($E782=0,"",IF(INDEX(DMAV_Dienste!Q$6:Q$140,$E782)="","",INDEX(DMAV_Dienste!Q$6:Q$140,$E782))),IF(INDEX(DMAV_Modell!R$6:R$838,$B782)="","",INDEX(DMAV_Modell!R$6:R$838,$B782)))</f>
        <v/>
      </c>
      <c r="N782" s="62" t="str" cm="1">
        <f t="array" ref="N782">IF($B782=0,IF($E782=0,"",IF(INDEX(DMAV_Dienste!T$6:T$140,$E782)="","",INDEX(DMAV_Dienste!T$6:T$140,$E782))),IF(INDEX(DMAV_Modell!U$6:U$838,$B782)="","",INDEX(DMAV_Modell!U$6:U$838,$B782)))</f>
        <v/>
      </c>
      <c r="O782" s="63" t="str" cm="1">
        <f t="array" aca="1" ref="O782" ca="1">IF(C782=0,IF(F782=0,"",HYPERLINK("#"&amp;RIGHT(CELL("adresse",OFFSET(DMAV_Dienste!$M$6,F782-1,0)),LEN(CELL("adresse",OFFSET(DMAV_Dienste!$M$6,F782-1,0)))-FIND("]",CELL("adresse",OFFSET(DMAV_Dienste!$M$6,F782-1,0)))),"Structure")),HYPERLINK("#"&amp;RIGHT(CELL("adresse",OFFSET(DMAV_Modell!$N$6,C782-1,0)),LEN(CELL("adresse",OFFSET(DMAV_Modell!$N$6,C782-1,0)))-FIND("]",CELL("adresse",OFFSET(DMAV_Modell!$N$6,C782-1,0)))),"Structure"))</f>
        <v/>
      </c>
      <c r="P782" s="64" t="str" cm="1">
        <f t="array" aca="1" ref="P782" ca="1">IF(D782=0,IF(G782=0,"",HYPERLINK("#"&amp;RIGHT(CELL("adresse",OFFSET(DMAV_Dienste!$M$6,G782-1,0)),LEN(CELL("adresse",OFFSET(DMAV_Dienste!$M$6,G782-1,0)))-FIND("]",CELL("adresse",OFFSET(DMAV_Dienste!$M$6,G782-1,0)))),"Substructure")),HYPERLINK("#"&amp;RIGHT(CELL("adresse",OFFSET(DMAV_Modell!$N$6,D782-1,0)),LEN(CELL("adresse",OFFSET(DMAV_Modell!$N$6,D782-1,0)))-FIND("]",CELL("adresse",OFFSET(DMAV_Modell!$N$6,D782-1,0)))),"Substructure"))</f>
        <v/>
      </c>
      <c r="R782" s="80"/>
      <c r="T782" s="93"/>
      <c r="U782" s="94"/>
      <c r="V782" s="95"/>
      <c r="W782" s="96"/>
      <c r="Y782" s="85"/>
      <c r="Z782" s="86"/>
      <c r="AA782" s="87"/>
      <c r="AB782" s="88"/>
      <c r="AD782" s="77"/>
      <c r="AF782" s="54" t="str" cm="1">
        <f t="array" aca="1" ref="AF782" ca="1">IF(H782=0,"",HYPERLINK("#"&amp;RIGHT(CELL("adresse",OFFSET('DM01-AV-CH'!$G$6,H782-1,0)),LEN(CELL("adresse",OFFSET('DM01-AV-CH'!$G$6,H782-1,0)))-FIND("]",CELL("adresse",OFFSET('DM01-AV-CH'!$G$6,H782-1,0)))),"Modell"))</f>
        <v>Modell</v>
      </c>
      <c r="AG782" s="72" t="str" cm="1">
        <f t="array" ref="AG782">IF($H782=0,"",IF(INDEX('DM01-AV-CH'!G$6:G$834,$H782)="","",INDEX('DM01-AV-CH'!G$6:G$834,$H782)))</f>
        <v>Bodenbedeckung</v>
      </c>
      <c r="AH782" s="73" t="str" cm="1">
        <f t="array" ref="AH782">IF($H782=0,"",IF(INDEX('DM01-AV-CH'!H$6:H$834,$H782)="","",INDEX('DM01-AV-CH'!H$6:H$834,$H782)))</f>
        <v>BoFlaeche</v>
      </c>
      <c r="AI782" s="74" t="str" cm="1">
        <f t="array" ref="AI782">IF($H782=0,"",IF(INDEX('DM01-AV-CH'!I$6:I$834,$H782)="","",INDEX('DM01-AV-CH'!I$6:I$834,$H782)))</f>
        <v>Entstehung</v>
      </c>
    </row>
    <row r="783" spans="1:35" ht="57" x14ac:dyDescent="0.25">
      <c r="A783" s="57">
        <v>778</v>
      </c>
      <c r="B783" s="57">
        <f>IF($A783="","",IF(_xlfn.XLOOKUP($A783,Korrelation!$D$4:$D$1197,Korrelation!E$4:E$1197,"-",0)="-",0,MATCH(_xlfn.XLOOKUP($A783,Korrelation!$D$4:$D$1197,Korrelation!E$4:E$1197,"",0),DMAV_Modell!$G$6:$G$677,0)))</f>
        <v>429</v>
      </c>
      <c r="C783" s="57">
        <f>IF($A783="","",IF(_xlfn.XLOOKUP($A783,Korrelation!$D$4:$D$1197,Korrelation!F$4:F$1197,"-",0)="-",0,MATCH(_xlfn.XLOOKUP($A783,Korrelation!$D$4:$D$1197,Korrelation!F$4:F$1197,"",0),DMAV_Modell!$G$6:$G$677,0)))</f>
        <v>0</v>
      </c>
      <c r="D783" s="57">
        <f>IF($A783="","",IF(_xlfn.XLOOKUP($A783,Korrelation!$D$4:$D$1197,Korrelation!G$4:G$1197,"-",0)="-",0,MATCH(_xlfn.XLOOKUP($A783,Korrelation!$D$4:$D$1197,Korrelation!G$4:G$1197,"",0),DMAV_Modell!$G$6:$G$677,0)))</f>
        <v>0</v>
      </c>
      <c r="E783" s="57">
        <f>IF($A783="","",IF(_xlfn.XLOOKUP($A783,Korrelation!$D$4:$D$1197,Korrelation!H$4:H$1197,"-",0)="-",0,MATCH(_xlfn.XLOOKUP($A783,Korrelation!$D$4:$D$1197,Korrelation!H$4:H$1197,"",0),DMAV_Dienste!$F$6:$F$140,0)))</f>
        <v>0</v>
      </c>
      <c r="F783" s="57">
        <f>IF($A783="","",IF(_xlfn.XLOOKUP($A783,Korrelation!$D$4:$D$1197,Korrelation!I$4:I$1197,"-",0)="-",0,MATCH(_xlfn.XLOOKUP($A783,Korrelation!$D$4:$D$1197,Korrelation!I$4:I$1197,"",0),DMAV_Dienste!$F$6:$F$140,0)))</f>
        <v>0</v>
      </c>
      <c r="G783" s="57">
        <f>IF($A783="","",IF(_xlfn.XLOOKUP($A783,Korrelation!$D$4:$D$1197,Korrelation!J$4:J$1197,"-",0)="-",0,MATCH(_xlfn.XLOOKUP($A783,Korrelation!$D$4:$D$1197,Korrelation!J$4:J$1197,"",0),DMAV_Dienste!$F$6:$F$140,0)))</f>
        <v>0</v>
      </c>
      <c r="H783" s="57">
        <f>IF($A783="","",IF(_xlfn.XLOOKUP($A783,Korrelation!$D$4:$D$1197,Korrelation!K$4:K$1197,"-",0)="-",0,MATCH(_xlfn.XLOOKUP($A783,Korrelation!$D$4:$D$1197,Korrelation!K$4:K$1197,"",0),'DM01-AV-CH'!$A$6:$A$834,0)))</f>
        <v>227</v>
      </c>
      <c r="J783" s="54" t="str" cm="1">
        <f t="array" aca="1" ref="J783" ca="1">IF(B783=0,IF(E783=0,"",HYPERLINK("#"&amp;RIGHT(CELL("adresse",OFFSET(DMAV_Dienste!$M$6,E783-1,0)),LEN(CELL("adresse",OFFSET(DMAV_Dienste!$M$6,E783-1,0)))-FIND("]",CELL("adresse",OFFSET(DMAV_Dienste!$M$6,E783-1,0)))),"Dienst")),HYPERLINK("#"&amp;RIGHT(CELL("adresse",OFFSET(DMAV_Modell!$N$6,B783-1,0)),LEN(CELL("adresse",OFFSET(DMAV_Modell!$N$6,B783-1,0)))-FIND("]",CELL("adresse",OFFSET(DMAV_Modell!$N$6,B783-1,0)))),"Modell"))</f>
        <v>Modell</v>
      </c>
      <c r="K783" s="61" t="str" cm="1">
        <f t="array" ref="K783">IF($B783=0,IF($E783=0,"",IF(INDEX(DMAV_Dienste!P$6:P$140,$E783)="","",INDEX(DMAV_Dienste!P$6:P$140,$E783))),IF(INDEX(DMAV_Modell!Q$6:Q$838,$B783)="","",INDEX(DMAV_Modell!Q$6:Q$838,$B783)))</f>
        <v>CLASS</v>
      </c>
      <c r="L783" s="62" t="str" cm="1">
        <f t="array" ref="L783">IF($B783=0,IF($E783=0,"",IF(INDEX(DMAV_Dienste!O$6:O$140,$E783)="","",INDEX(DMAV_Dienste!O$6:O$140,$E783))),IF(INDEX(DMAV_Modell!P$6:P$838,$B783)="","",INDEX(DMAV_Modell!P$6:P$838,$B783)))</f>
        <v>Bodenbedeckung</v>
      </c>
      <c r="M783" s="62" t="str" cm="1">
        <f t="array" ref="M783">IF($B783=0,IF($E783=0,"",IF(INDEX(DMAV_Dienste!Q$6:Q$140,$E783)="","",INDEX(DMAV_Dienste!Q$6:Q$140,$E783))),IF(INDEX(DMAV_Modell!R$6:R$838,$B783)="","",INDEX(DMAV_Modell!R$6:R$838,$B783)))</f>
        <v>Bodenbedeckung</v>
      </c>
      <c r="N783" s="62" t="str" cm="1">
        <f t="array" ref="N783">IF($B783=0,IF($E783=0,"",IF(INDEX(DMAV_Dienste!T$6:T$140,$E783)="","",INDEX(DMAV_Dienste!T$6:T$140,$E783))),IF(INDEX(DMAV_Modell!U$6:U$838,$B783)="","",INDEX(DMAV_Modell!U$6:U$838,$B783)))</f>
        <v>Geometrie</v>
      </c>
      <c r="O783" s="63" t="str" cm="1">
        <f t="array" aca="1" ref="O783" ca="1">IF(C783=0,IF(F783=0,"",HYPERLINK("#"&amp;RIGHT(CELL("adresse",OFFSET(DMAV_Dienste!$M$6,F783-1,0)),LEN(CELL("adresse",OFFSET(DMAV_Dienste!$M$6,F783-1,0)))-FIND("]",CELL("adresse",OFFSET(DMAV_Dienste!$M$6,F783-1,0)))),"Structure")),HYPERLINK("#"&amp;RIGHT(CELL("adresse",OFFSET(DMAV_Modell!$N$6,C783-1,0)),LEN(CELL("adresse",OFFSET(DMAV_Modell!$N$6,C783-1,0)))-FIND("]",CELL("adresse",OFFSET(DMAV_Modell!$N$6,C783-1,0)))),"Structure"))</f>
        <v/>
      </c>
      <c r="P783" s="64" t="str" cm="1">
        <f t="array" aca="1" ref="P783" ca="1">IF(D783=0,IF(G783=0,"",HYPERLINK("#"&amp;RIGHT(CELL("adresse",OFFSET(DMAV_Dienste!$M$6,G783-1,0)),LEN(CELL("adresse",OFFSET(DMAV_Dienste!$M$6,G783-1,0)))-FIND("]",CELL("adresse",OFFSET(DMAV_Dienste!$M$6,G783-1,0)))),"Substructure")),HYPERLINK("#"&amp;RIGHT(CELL("adresse",OFFSET(DMAV_Modell!$N$6,D783-1,0)),LEN(CELL("adresse",OFFSET(DMAV_Modell!$N$6,D783-1,0)))-FIND("]",CELL("adresse",OFFSET(DMAV_Modell!$N$6,D783-1,0)))),"Substructure"))</f>
        <v/>
      </c>
      <c r="R783" s="80"/>
      <c r="T783" s="93"/>
      <c r="U783" s="94"/>
      <c r="V783" s="95"/>
      <c r="W783" s="96"/>
      <c r="Y783" s="85" t="s">
        <v>3179</v>
      </c>
      <c r="Z783" s="86" t="s">
        <v>2980</v>
      </c>
      <c r="AA783" s="87" t="s">
        <v>3180</v>
      </c>
      <c r="AB783" s="88"/>
      <c r="AD783" s="77"/>
      <c r="AF783" s="54" t="str" cm="1">
        <f t="array" aca="1" ref="AF783" ca="1">IF(H783=0,"",HYPERLINK("#"&amp;RIGHT(CELL("adresse",OFFSET('DM01-AV-CH'!$G$6,H783-1,0)),LEN(CELL("adresse",OFFSET('DM01-AV-CH'!$G$6,H783-1,0)))-FIND("]",CELL("adresse",OFFSET('DM01-AV-CH'!$G$6,H783-1,0)))),"Modell"))</f>
        <v>Modell</v>
      </c>
      <c r="AG783" s="72" t="str" cm="1">
        <f t="array" ref="AG783">IF($H783=0,"",IF(INDEX('DM01-AV-CH'!G$6:G$834,$H783)="","",INDEX('DM01-AV-CH'!G$6:G$834,$H783)))</f>
        <v>Bodenbedeckung</v>
      </c>
      <c r="AH783" s="73" t="str" cm="1">
        <f t="array" ref="AH783">IF($H783=0,"",IF(INDEX('DM01-AV-CH'!H$6:H$834,$H783)="","",INDEX('DM01-AV-CH'!H$6:H$834,$H783)))</f>
        <v>BoFlaeche</v>
      </c>
      <c r="AI783" s="74" t="str" cm="1">
        <f t="array" ref="AI783">IF($H783=0,"",IF(INDEX('DM01-AV-CH'!I$6:I$834,$H783)="","",INDEX('DM01-AV-CH'!I$6:I$834,$H783)))</f>
        <v>Geometrie</v>
      </c>
    </row>
    <row r="784" spans="1:35" ht="57" x14ac:dyDescent="0.25">
      <c r="A784" s="57">
        <v>779</v>
      </c>
      <c r="B784" s="57">
        <f>IF($A784="","",IF(_xlfn.XLOOKUP($A784,Korrelation!$D$4:$D$1197,Korrelation!E$4:E$1197,"-",0)="-",0,MATCH(_xlfn.XLOOKUP($A784,Korrelation!$D$4:$D$1197,Korrelation!E$4:E$1197,"",0),DMAV_Modell!$G$6:$G$677,0)))</f>
        <v>430</v>
      </c>
      <c r="C784" s="57">
        <f>IF($A784="","",IF(_xlfn.XLOOKUP($A784,Korrelation!$D$4:$D$1197,Korrelation!F$4:F$1197,"-",0)="-",0,MATCH(_xlfn.XLOOKUP($A784,Korrelation!$D$4:$D$1197,Korrelation!F$4:F$1197,"",0),DMAV_Modell!$G$6:$G$677,0)))</f>
        <v>0</v>
      </c>
      <c r="D784" s="57">
        <f>IF($A784="","",IF(_xlfn.XLOOKUP($A784,Korrelation!$D$4:$D$1197,Korrelation!G$4:G$1197,"-",0)="-",0,MATCH(_xlfn.XLOOKUP($A784,Korrelation!$D$4:$D$1197,Korrelation!G$4:G$1197,"",0),DMAV_Modell!$G$6:$G$677,0)))</f>
        <v>0</v>
      </c>
      <c r="E784" s="57">
        <f>IF($A784="","",IF(_xlfn.XLOOKUP($A784,Korrelation!$D$4:$D$1197,Korrelation!H$4:H$1197,"-",0)="-",0,MATCH(_xlfn.XLOOKUP($A784,Korrelation!$D$4:$D$1197,Korrelation!H$4:H$1197,"",0),DMAV_Dienste!$F$6:$F$140,0)))</f>
        <v>0</v>
      </c>
      <c r="F784" s="57">
        <f>IF($A784="","",IF(_xlfn.XLOOKUP($A784,Korrelation!$D$4:$D$1197,Korrelation!I$4:I$1197,"-",0)="-",0,MATCH(_xlfn.XLOOKUP($A784,Korrelation!$D$4:$D$1197,Korrelation!I$4:I$1197,"",0),DMAV_Dienste!$F$6:$F$140,0)))</f>
        <v>0</v>
      </c>
      <c r="G784" s="57">
        <f>IF($A784="","",IF(_xlfn.XLOOKUP($A784,Korrelation!$D$4:$D$1197,Korrelation!J$4:J$1197,"-",0)="-",0,MATCH(_xlfn.XLOOKUP($A784,Korrelation!$D$4:$D$1197,Korrelation!J$4:J$1197,"",0),DMAV_Dienste!$F$6:$F$140,0)))</f>
        <v>0</v>
      </c>
      <c r="H784" s="57">
        <f>IF($A784="","",IF(_xlfn.XLOOKUP($A784,Korrelation!$D$4:$D$1197,Korrelation!K$4:K$1197,"-",0)="-",0,MATCH(_xlfn.XLOOKUP($A784,Korrelation!$D$4:$D$1197,Korrelation!K$4:K$1197,"",0),'DM01-AV-CH'!$A$6:$A$834,0)))</f>
        <v>228</v>
      </c>
      <c r="J784" s="54" t="str" cm="1">
        <f t="array" aca="1" ref="J784" ca="1">IF(B784=0,IF(E784=0,"",HYPERLINK("#"&amp;RIGHT(CELL("adresse",OFFSET(DMAV_Dienste!$M$6,E784-1,0)),LEN(CELL("adresse",OFFSET(DMAV_Dienste!$M$6,E784-1,0)))-FIND("]",CELL("adresse",OFFSET(DMAV_Dienste!$M$6,E784-1,0)))),"Dienst")),HYPERLINK("#"&amp;RIGHT(CELL("adresse",OFFSET(DMAV_Modell!$N$6,B784-1,0)),LEN(CELL("adresse",OFFSET(DMAV_Modell!$N$6,B784-1,0)))-FIND("]",CELL("adresse",OFFSET(DMAV_Modell!$N$6,B784-1,0)))),"Modell"))</f>
        <v>Modell</v>
      </c>
      <c r="K784" s="61" t="str" cm="1">
        <f t="array" ref="K784">IF($B784=0,IF($E784=0,"",IF(INDEX(DMAV_Dienste!P$6:P$140,$E784)="","",INDEX(DMAV_Dienste!P$6:P$140,$E784))),IF(INDEX(DMAV_Modell!Q$6:Q$838,$B784)="","",INDEX(DMAV_Modell!Q$6:Q$838,$B784)))</f>
        <v>CLASS</v>
      </c>
      <c r="L784" s="62" t="str" cm="1">
        <f t="array" ref="L784">IF($B784=0,IF($E784=0,"",IF(INDEX(DMAV_Dienste!O$6:O$140,$E784)="","",INDEX(DMAV_Dienste!O$6:O$140,$E784))),IF(INDEX(DMAV_Modell!P$6:P$838,$B784)="","",INDEX(DMAV_Modell!P$6:P$838,$B784)))</f>
        <v>Bodenbedeckung</v>
      </c>
      <c r="M784" s="62" t="str" cm="1">
        <f t="array" ref="M784">IF($B784=0,IF($E784=0,"",IF(INDEX(DMAV_Dienste!Q$6:Q$140,$E784)="","",INDEX(DMAV_Dienste!Q$6:Q$140,$E784))),IF(INDEX(DMAV_Modell!R$6:R$838,$B784)="","",INDEX(DMAV_Modell!R$6:R$838,$B784)))</f>
        <v>Bodenbedeckung</v>
      </c>
      <c r="N784" s="62" t="str" cm="1">
        <f t="array" ref="N784">IF($B784=0,IF($E784=0,"",IF(INDEX(DMAV_Dienste!T$6:T$140,$E784)="","",INDEX(DMAV_Dienste!T$6:T$140,$E784))),IF(INDEX(DMAV_Modell!U$6:U$838,$B784)="","",INDEX(DMAV_Modell!U$6:U$838,$B784)))</f>
        <v>Qualitaetsstandard</v>
      </c>
      <c r="O784" s="63" t="str" cm="1">
        <f t="array" aca="1" ref="O784" ca="1">IF(C784=0,IF(F784=0,"",HYPERLINK("#"&amp;RIGHT(CELL("adresse",OFFSET(DMAV_Dienste!$M$6,F784-1,0)),LEN(CELL("adresse",OFFSET(DMAV_Dienste!$M$6,F784-1,0)))-FIND("]",CELL("adresse",OFFSET(DMAV_Dienste!$M$6,F784-1,0)))),"Structure")),HYPERLINK("#"&amp;RIGHT(CELL("adresse",OFFSET(DMAV_Modell!$N$6,C784-1,0)),LEN(CELL("adresse",OFFSET(DMAV_Modell!$N$6,C784-1,0)))-FIND("]",CELL("adresse",OFFSET(DMAV_Modell!$N$6,C784-1,0)))),"Structure"))</f>
        <v/>
      </c>
      <c r="P784" s="64" t="str" cm="1">
        <f t="array" aca="1" ref="P784" ca="1">IF(D784=0,IF(G784=0,"",HYPERLINK("#"&amp;RIGHT(CELL("adresse",OFFSET(DMAV_Dienste!$M$6,G784-1,0)),LEN(CELL("adresse",OFFSET(DMAV_Dienste!$M$6,G784-1,0)))-FIND("]",CELL("adresse",OFFSET(DMAV_Dienste!$M$6,G784-1,0)))),"Substructure")),HYPERLINK("#"&amp;RIGHT(CELL("adresse",OFFSET(DMAV_Modell!$N$6,D784-1,0)),LEN(CELL("adresse",OFFSET(DMAV_Modell!$N$6,D784-1,0)))-FIND("]",CELL("adresse",OFFSET(DMAV_Modell!$N$6,D784-1,0)))),"Substructure"))</f>
        <v/>
      </c>
      <c r="R784" s="80"/>
      <c r="T784" s="93"/>
      <c r="U784" s="94"/>
      <c r="V784" s="95"/>
      <c r="W784" s="96"/>
      <c r="Y784" s="85" t="s">
        <v>3179</v>
      </c>
      <c r="Z784" s="86" t="s">
        <v>2980</v>
      </c>
      <c r="AA784" s="87" t="s">
        <v>3181</v>
      </c>
      <c r="AB784" s="88"/>
      <c r="AD784" s="77"/>
      <c r="AF784" s="54" t="str" cm="1">
        <f t="array" aca="1" ref="AF784" ca="1">IF(H784=0,"",HYPERLINK("#"&amp;RIGHT(CELL("adresse",OFFSET('DM01-AV-CH'!$G$6,H784-1,0)),LEN(CELL("adresse",OFFSET('DM01-AV-CH'!$G$6,H784-1,0)))-FIND("]",CELL("adresse",OFFSET('DM01-AV-CH'!$G$6,H784-1,0)))),"Modell"))</f>
        <v>Modell</v>
      </c>
      <c r="AG784" s="72" t="str" cm="1">
        <f t="array" ref="AG784">IF($H784=0,"",IF(INDEX('DM01-AV-CH'!G$6:G$834,$H784)="","",INDEX('DM01-AV-CH'!G$6:G$834,$H784)))</f>
        <v>Bodenbedeckung</v>
      </c>
      <c r="AH784" s="73" t="str" cm="1">
        <f t="array" ref="AH784">IF($H784=0,"",IF(INDEX('DM01-AV-CH'!H$6:H$834,$H784)="","",INDEX('DM01-AV-CH'!H$6:H$834,$H784)))</f>
        <v>BoFlaeche</v>
      </c>
      <c r="AI784" s="74" t="str" cm="1">
        <f t="array" ref="AI784">IF($H784=0,"",IF(INDEX('DM01-AV-CH'!I$6:I$834,$H784)="","",INDEX('DM01-AV-CH'!I$6:I$834,$H784)))</f>
        <v>Qualitaet</v>
      </c>
    </row>
    <row r="785" spans="1:35" ht="57" x14ac:dyDescent="0.25">
      <c r="A785" s="57">
        <v>780</v>
      </c>
      <c r="B785" s="57">
        <f>IF($A785="","",IF(_xlfn.XLOOKUP($A785,Korrelation!$D$4:$D$1197,Korrelation!E$4:E$1197,"-",0)="-",0,MATCH(_xlfn.XLOOKUP($A785,Korrelation!$D$4:$D$1197,Korrelation!E$4:E$1197,"",0),DMAV_Modell!$G$6:$G$677,0)))</f>
        <v>431</v>
      </c>
      <c r="C785" s="57">
        <f>IF($A785="","",IF(_xlfn.XLOOKUP($A785,Korrelation!$D$4:$D$1197,Korrelation!F$4:F$1197,"-",0)="-",0,MATCH(_xlfn.XLOOKUP($A785,Korrelation!$D$4:$D$1197,Korrelation!F$4:F$1197,"",0),DMAV_Modell!$G$6:$G$677,0)))</f>
        <v>0</v>
      </c>
      <c r="D785" s="57">
        <f>IF($A785="","",IF(_xlfn.XLOOKUP($A785,Korrelation!$D$4:$D$1197,Korrelation!G$4:G$1197,"-",0)="-",0,MATCH(_xlfn.XLOOKUP($A785,Korrelation!$D$4:$D$1197,Korrelation!G$4:G$1197,"",0),DMAV_Modell!$G$6:$G$677,0)))</f>
        <v>0</v>
      </c>
      <c r="E785" s="57">
        <f>IF($A785="","",IF(_xlfn.XLOOKUP($A785,Korrelation!$D$4:$D$1197,Korrelation!H$4:H$1197,"-",0)="-",0,MATCH(_xlfn.XLOOKUP($A785,Korrelation!$D$4:$D$1197,Korrelation!H$4:H$1197,"",0),DMAV_Dienste!$F$6:$F$140,0)))</f>
        <v>0</v>
      </c>
      <c r="F785" s="57">
        <f>IF($A785="","",IF(_xlfn.XLOOKUP($A785,Korrelation!$D$4:$D$1197,Korrelation!I$4:I$1197,"-",0)="-",0,MATCH(_xlfn.XLOOKUP($A785,Korrelation!$D$4:$D$1197,Korrelation!I$4:I$1197,"",0),DMAV_Dienste!$F$6:$F$140,0)))</f>
        <v>0</v>
      </c>
      <c r="G785" s="57">
        <f>IF($A785="","",IF(_xlfn.XLOOKUP($A785,Korrelation!$D$4:$D$1197,Korrelation!J$4:J$1197,"-",0)="-",0,MATCH(_xlfn.XLOOKUP($A785,Korrelation!$D$4:$D$1197,Korrelation!J$4:J$1197,"",0),DMAV_Dienste!$F$6:$F$140,0)))</f>
        <v>0</v>
      </c>
      <c r="H785" s="57">
        <f>IF($A785="","",IF(_xlfn.XLOOKUP($A785,Korrelation!$D$4:$D$1197,Korrelation!K$4:K$1197,"-",0)="-",0,MATCH(_xlfn.XLOOKUP($A785,Korrelation!$D$4:$D$1197,Korrelation!K$4:K$1197,"",0),'DM01-AV-CH'!$A$6:$A$834,0)))</f>
        <v>229</v>
      </c>
      <c r="J785" s="54" t="str" cm="1">
        <f t="array" aca="1" ref="J785" ca="1">IF(B785=0,IF(E785=0,"",HYPERLINK("#"&amp;RIGHT(CELL("adresse",OFFSET(DMAV_Dienste!$M$6,E785-1,0)),LEN(CELL("adresse",OFFSET(DMAV_Dienste!$M$6,E785-1,0)))-FIND("]",CELL("adresse",OFFSET(DMAV_Dienste!$M$6,E785-1,0)))),"Dienst")),HYPERLINK("#"&amp;RIGHT(CELL("adresse",OFFSET(DMAV_Modell!$N$6,B785-1,0)),LEN(CELL("adresse",OFFSET(DMAV_Modell!$N$6,B785-1,0)))-FIND("]",CELL("adresse",OFFSET(DMAV_Modell!$N$6,B785-1,0)))),"Modell"))</f>
        <v>Modell</v>
      </c>
      <c r="K785" s="61" t="str" cm="1">
        <f t="array" ref="K785">IF($B785=0,IF($E785=0,"",IF(INDEX(DMAV_Dienste!P$6:P$140,$E785)="","",INDEX(DMAV_Dienste!P$6:P$140,$E785))),IF(INDEX(DMAV_Modell!Q$6:Q$838,$B785)="","",INDEX(DMAV_Modell!Q$6:Q$838,$B785)))</f>
        <v>CLASS</v>
      </c>
      <c r="L785" s="62" t="str" cm="1">
        <f t="array" ref="L785">IF($B785=0,IF($E785=0,"",IF(INDEX(DMAV_Dienste!O$6:O$140,$E785)="","",INDEX(DMAV_Dienste!O$6:O$140,$E785))),IF(INDEX(DMAV_Modell!P$6:P$838,$B785)="","",INDEX(DMAV_Modell!P$6:P$838,$B785)))</f>
        <v>Bodenbedeckung</v>
      </c>
      <c r="M785" s="62" t="str" cm="1">
        <f t="array" ref="M785">IF($B785=0,IF($E785=0,"",IF(INDEX(DMAV_Dienste!Q$6:Q$140,$E785)="","",INDEX(DMAV_Dienste!Q$6:Q$140,$E785))),IF(INDEX(DMAV_Modell!R$6:R$838,$B785)="","",INDEX(DMAV_Modell!R$6:R$838,$B785)))</f>
        <v>Bodenbedeckung</v>
      </c>
      <c r="N785" s="62" t="str" cm="1">
        <f t="array" ref="N785">IF($B785=0,IF($E785=0,"",IF(INDEX(DMAV_Dienste!T$6:T$140,$E785)="","",INDEX(DMAV_Dienste!T$6:T$140,$E785))),IF(INDEX(DMAV_Modell!U$6:U$838,$B785)="","",INDEX(DMAV_Modell!U$6:U$838,$B785)))</f>
        <v>Bodenbedeckungsart</v>
      </c>
      <c r="O785" s="63" t="str" cm="1">
        <f t="array" aca="1" ref="O785" ca="1">IF(C785=0,IF(F785=0,"",HYPERLINK("#"&amp;RIGHT(CELL("adresse",OFFSET(DMAV_Dienste!$M$6,F785-1,0)),LEN(CELL("adresse",OFFSET(DMAV_Dienste!$M$6,F785-1,0)))-FIND("]",CELL("adresse",OFFSET(DMAV_Dienste!$M$6,F785-1,0)))),"Structure")),HYPERLINK("#"&amp;RIGHT(CELL("adresse",OFFSET(DMAV_Modell!$N$6,C785-1,0)),LEN(CELL("adresse",OFFSET(DMAV_Modell!$N$6,C785-1,0)))-FIND("]",CELL("adresse",OFFSET(DMAV_Modell!$N$6,C785-1,0)))),"Structure"))</f>
        <v/>
      </c>
      <c r="P785" s="64" t="str" cm="1">
        <f t="array" aca="1" ref="P785" ca="1">IF(D785=0,IF(G785=0,"",HYPERLINK("#"&amp;RIGHT(CELL("adresse",OFFSET(DMAV_Dienste!$M$6,G785-1,0)),LEN(CELL("adresse",OFFSET(DMAV_Dienste!$M$6,G785-1,0)))-FIND("]",CELL("adresse",OFFSET(DMAV_Dienste!$M$6,G785-1,0)))),"Substructure")),HYPERLINK("#"&amp;RIGHT(CELL("adresse",OFFSET(DMAV_Modell!$N$6,D785-1,0)),LEN(CELL("adresse",OFFSET(DMAV_Modell!$N$6,D785-1,0)))-FIND("]",CELL("adresse",OFFSET(DMAV_Modell!$N$6,D785-1,0)))),"Substructure"))</f>
        <v/>
      </c>
      <c r="R785" s="80"/>
      <c r="T785" s="93"/>
      <c r="U785" s="94"/>
      <c r="V785" s="95"/>
      <c r="W785" s="96"/>
      <c r="Y785" s="85" t="s">
        <v>3179</v>
      </c>
      <c r="Z785" s="86" t="s">
        <v>2980</v>
      </c>
      <c r="AA785" s="87" t="s">
        <v>3246</v>
      </c>
      <c r="AB785" s="88"/>
      <c r="AD785" s="77"/>
      <c r="AF785" s="54" t="str" cm="1">
        <f t="array" aca="1" ref="AF785" ca="1">IF(H785=0,"",HYPERLINK("#"&amp;RIGHT(CELL("adresse",OFFSET('DM01-AV-CH'!$G$6,H785-1,0)),LEN(CELL("adresse",OFFSET('DM01-AV-CH'!$G$6,H785-1,0)))-FIND("]",CELL("adresse",OFFSET('DM01-AV-CH'!$G$6,H785-1,0)))),"Modell"))</f>
        <v>Modell</v>
      </c>
      <c r="AG785" s="72" t="str" cm="1">
        <f t="array" ref="AG785">IF($H785=0,"",IF(INDEX('DM01-AV-CH'!G$6:G$834,$H785)="","",INDEX('DM01-AV-CH'!G$6:G$834,$H785)))</f>
        <v>Bodenbedeckung</v>
      </c>
      <c r="AH785" s="73" t="str" cm="1">
        <f t="array" ref="AH785">IF($H785=0,"",IF(INDEX('DM01-AV-CH'!H$6:H$834,$H785)="","",INDEX('DM01-AV-CH'!H$6:H$834,$H785)))</f>
        <v>BoFlaeche</v>
      </c>
      <c r="AI785" s="74" t="str" cm="1">
        <f t="array" ref="AI785">IF($H785=0,"",IF(INDEX('DM01-AV-CH'!I$6:I$834,$H785)="","",INDEX('DM01-AV-CH'!I$6:I$834,$H785)))</f>
        <v>Art</v>
      </c>
    </row>
    <row r="786" spans="1:35" x14ac:dyDescent="0.25">
      <c r="A786" s="57">
        <v>781</v>
      </c>
      <c r="B786" s="57">
        <f>IF($A786="","",IF(_xlfn.XLOOKUP($A786,Korrelation!$D$4:$D$1197,Korrelation!E$4:E$1197,"-",0)="-",0,MATCH(_xlfn.XLOOKUP($A786,Korrelation!$D$4:$D$1197,Korrelation!E$4:E$1197,"",0),DMAV_Modell!$G$6:$G$677,0)))</f>
        <v>432</v>
      </c>
      <c r="C786" s="57">
        <f>IF($A786="","",IF(_xlfn.XLOOKUP($A786,Korrelation!$D$4:$D$1197,Korrelation!F$4:F$1197,"-",0)="-",0,MATCH(_xlfn.XLOOKUP($A786,Korrelation!$D$4:$D$1197,Korrelation!F$4:F$1197,"",0),DMAV_Modell!$G$6:$G$677,0)))</f>
        <v>0</v>
      </c>
      <c r="D786" s="57">
        <f>IF($A786="","",IF(_xlfn.XLOOKUP($A786,Korrelation!$D$4:$D$1197,Korrelation!G$4:G$1197,"-",0)="-",0,MATCH(_xlfn.XLOOKUP($A786,Korrelation!$D$4:$D$1197,Korrelation!G$4:G$1197,"",0),DMAV_Modell!$G$6:$G$677,0)))</f>
        <v>0</v>
      </c>
      <c r="E786" s="57">
        <f>IF($A786="","",IF(_xlfn.XLOOKUP($A786,Korrelation!$D$4:$D$1197,Korrelation!H$4:H$1197,"-",0)="-",0,MATCH(_xlfn.XLOOKUP($A786,Korrelation!$D$4:$D$1197,Korrelation!H$4:H$1197,"",0),DMAV_Dienste!$F$6:$F$140,0)))</f>
        <v>0</v>
      </c>
      <c r="F786" s="57">
        <f>IF($A786="","",IF(_xlfn.XLOOKUP($A786,Korrelation!$D$4:$D$1197,Korrelation!I$4:I$1197,"-",0)="-",0,MATCH(_xlfn.XLOOKUP($A786,Korrelation!$D$4:$D$1197,Korrelation!I$4:I$1197,"",0),DMAV_Dienste!$F$6:$F$140,0)))</f>
        <v>0</v>
      </c>
      <c r="G786" s="57">
        <f>IF($A786="","",IF(_xlfn.XLOOKUP($A786,Korrelation!$D$4:$D$1197,Korrelation!J$4:J$1197,"-",0)="-",0,MATCH(_xlfn.XLOOKUP($A786,Korrelation!$D$4:$D$1197,Korrelation!J$4:J$1197,"",0),DMAV_Dienste!$F$6:$F$140,0)))</f>
        <v>0</v>
      </c>
      <c r="H786" s="57">
        <f>IF($A786="","",IF(_xlfn.XLOOKUP($A786,Korrelation!$D$4:$D$1197,Korrelation!K$4:K$1197,"-",0)="-",0,MATCH(_xlfn.XLOOKUP($A786,Korrelation!$D$4:$D$1197,Korrelation!K$4:K$1197,"",0),'DM01-AV-CH'!$A$6:$A$834,0)))</f>
        <v>0</v>
      </c>
      <c r="J786" s="54" t="str" cm="1">
        <f t="array" aca="1" ref="J786" ca="1">IF(B786=0,IF(E786=0,"",HYPERLINK("#"&amp;RIGHT(CELL("adresse",OFFSET(DMAV_Dienste!$M$6,E786-1,0)),LEN(CELL("adresse",OFFSET(DMAV_Dienste!$M$6,E786-1,0)))-FIND("]",CELL("adresse",OFFSET(DMAV_Dienste!$M$6,E786-1,0)))),"Dienst")),HYPERLINK("#"&amp;RIGHT(CELL("adresse",OFFSET(DMAV_Modell!$N$6,B786-1,0)),LEN(CELL("adresse",OFFSET(DMAV_Modell!$N$6,B786-1,0)))-FIND("]",CELL("adresse",OFFSET(DMAV_Modell!$N$6,B786-1,0)))),"Modell"))</f>
        <v>Modell</v>
      </c>
      <c r="K786" s="61" t="str" cm="1">
        <f t="array" ref="K786">IF($B786=0,IF($E786=0,"",IF(INDEX(DMAV_Dienste!P$6:P$140,$E786)="","",INDEX(DMAV_Dienste!P$6:P$140,$E786))),IF(INDEX(DMAV_Modell!Q$6:Q$838,$B786)="","",INDEX(DMAV_Modell!Q$6:Q$838,$B786)))</f>
        <v>CLASS</v>
      </c>
      <c r="L786" s="62" t="str" cm="1">
        <f t="array" ref="L786">IF($B786=0,IF($E786=0,"",IF(INDEX(DMAV_Dienste!O$6:O$140,$E786)="","",INDEX(DMAV_Dienste!O$6:O$140,$E786))),IF(INDEX(DMAV_Modell!P$6:P$838,$B786)="","",INDEX(DMAV_Modell!P$6:P$838,$B786)))</f>
        <v>Bodenbedeckung</v>
      </c>
      <c r="M786" s="62" t="str" cm="1">
        <f t="array" ref="M786">IF($B786=0,IF($E786=0,"",IF(INDEX(DMAV_Dienste!Q$6:Q$140,$E786)="","",INDEX(DMAV_Dienste!Q$6:Q$140,$E786))),IF(INDEX(DMAV_Modell!R$6:R$838,$B786)="","",INDEX(DMAV_Modell!R$6:R$838,$B786)))</f>
        <v>Bodenbedeckung</v>
      </c>
      <c r="N786" s="62" t="str" cm="1">
        <f t="array" ref="N786">IF($B786=0,IF($E786=0,"",IF(INDEX(DMAV_Dienste!T$6:T$140,$E786)="","",INDEX(DMAV_Dienste!T$6:T$140,$E786))),IF(INDEX(DMAV_Modell!U$6:U$838,$B786)="","",INDEX(DMAV_Modell!U$6:U$838,$B786)))</f>
        <v>Fiktiv</v>
      </c>
      <c r="O786" s="63" t="str" cm="1">
        <f t="array" aca="1" ref="O786" ca="1">IF(C786=0,IF(F786=0,"",HYPERLINK("#"&amp;RIGHT(CELL("adresse",OFFSET(DMAV_Dienste!$M$6,F786-1,0)),LEN(CELL("adresse",OFFSET(DMAV_Dienste!$M$6,F786-1,0)))-FIND("]",CELL("adresse",OFFSET(DMAV_Dienste!$M$6,F786-1,0)))),"Structure")),HYPERLINK("#"&amp;RIGHT(CELL("adresse",OFFSET(DMAV_Modell!$N$6,C786-1,0)),LEN(CELL("adresse",OFFSET(DMAV_Modell!$N$6,C786-1,0)))-FIND("]",CELL("adresse",OFFSET(DMAV_Modell!$N$6,C786-1,0)))),"Structure"))</f>
        <v/>
      </c>
      <c r="P786" s="64" t="str" cm="1">
        <f t="array" aca="1" ref="P786" ca="1">IF(D786=0,IF(G786=0,"",HYPERLINK("#"&amp;RIGHT(CELL("adresse",OFFSET(DMAV_Dienste!$M$6,G786-1,0)),LEN(CELL("adresse",OFFSET(DMAV_Dienste!$M$6,G786-1,0)))-FIND("]",CELL("adresse",OFFSET(DMAV_Dienste!$M$6,G786-1,0)))),"Substructure")),HYPERLINK("#"&amp;RIGHT(CELL("adresse",OFFSET(DMAV_Modell!$N$6,D786-1,0)),LEN(CELL("adresse",OFFSET(DMAV_Modell!$N$6,D786-1,0)))-FIND("]",CELL("adresse",OFFSET(DMAV_Modell!$N$6,D786-1,0)))),"Substructure"))</f>
        <v/>
      </c>
      <c r="R786" s="80" t="s">
        <v>3117</v>
      </c>
      <c r="T786" s="93"/>
      <c r="U786" s="94"/>
      <c r="V786" s="95"/>
      <c r="W786" s="96"/>
      <c r="Y786" s="85"/>
      <c r="Z786" s="86"/>
      <c r="AA786" s="87"/>
      <c r="AB786" s="88"/>
      <c r="AD786" s="77"/>
      <c r="AF786" s="54" t="str" cm="1">
        <f t="array" aca="1" ref="AF786" ca="1">IF(H786=0,"",HYPERLINK("#"&amp;RIGHT(CELL("adresse",OFFSET('DM01-AV-CH'!$G$6,H786-1,0)),LEN(CELL("adresse",OFFSET('DM01-AV-CH'!$G$6,H786-1,0)))-FIND("]",CELL("adresse",OFFSET('DM01-AV-CH'!$G$6,H786-1,0)))),"Modell"))</f>
        <v/>
      </c>
      <c r="AG786" s="72" t="str" cm="1">
        <f t="array" ref="AG786">IF($H786=0,"",IF(INDEX('DM01-AV-CH'!G$6:G$834,$H786)="","",INDEX('DM01-AV-CH'!G$6:G$834,$H786)))</f>
        <v/>
      </c>
      <c r="AH786" s="73" t="str" cm="1">
        <f t="array" ref="AH786">IF($H786=0,"",IF(INDEX('DM01-AV-CH'!H$6:H$834,$H786)="","",INDEX('DM01-AV-CH'!H$6:H$834,$H786)))</f>
        <v/>
      </c>
      <c r="AI786" s="74" t="str" cm="1">
        <f t="array" ref="AI786">IF($H786=0,"",IF(INDEX('DM01-AV-CH'!I$6:I$834,$H786)="","",INDEX('DM01-AV-CH'!I$6:I$834,$H786)))</f>
        <v/>
      </c>
    </row>
    <row r="787" spans="1:35" x14ac:dyDescent="0.25">
      <c r="A787" s="57">
        <v>782</v>
      </c>
      <c r="B787" s="57">
        <f>IF($A787="","",IF(_xlfn.XLOOKUP($A787,Korrelation!$D$4:$D$1197,Korrelation!E$4:E$1197,"-",0)="-",0,MATCH(_xlfn.XLOOKUP($A787,Korrelation!$D$4:$D$1197,Korrelation!E$4:E$1197,"",0),DMAV_Modell!$G$6:$G$677,0)))</f>
        <v>433</v>
      </c>
      <c r="C787" s="57">
        <f>IF($A787="","",IF(_xlfn.XLOOKUP($A787,Korrelation!$D$4:$D$1197,Korrelation!F$4:F$1197,"-",0)="-",0,MATCH(_xlfn.XLOOKUP($A787,Korrelation!$D$4:$D$1197,Korrelation!F$4:F$1197,"",0),DMAV_Modell!$G$6:$G$677,0)))</f>
        <v>0</v>
      </c>
      <c r="D787" s="57">
        <f>IF($A787="","",IF(_xlfn.XLOOKUP($A787,Korrelation!$D$4:$D$1197,Korrelation!G$4:G$1197,"-",0)="-",0,MATCH(_xlfn.XLOOKUP($A787,Korrelation!$D$4:$D$1197,Korrelation!G$4:G$1197,"",0),DMAV_Modell!$G$6:$G$677,0)))</f>
        <v>0</v>
      </c>
      <c r="E787" s="57">
        <f>IF($A787="","",IF(_xlfn.XLOOKUP($A787,Korrelation!$D$4:$D$1197,Korrelation!H$4:H$1197,"-",0)="-",0,MATCH(_xlfn.XLOOKUP($A787,Korrelation!$D$4:$D$1197,Korrelation!H$4:H$1197,"",0),DMAV_Dienste!$F$6:$F$140,0)))</f>
        <v>0</v>
      </c>
      <c r="F787" s="57">
        <f>IF($A787="","",IF(_xlfn.XLOOKUP($A787,Korrelation!$D$4:$D$1197,Korrelation!I$4:I$1197,"-",0)="-",0,MATCH(_xlfn.XLOOKUP($A787,Korrelation!$D$4:$D$1197,Korrelation!I$4:I$1197,"",0),DMAV_Dienste!$F$6:$F$140,0)))</f>
        <v>0</v>
      </c>
      <c r="G787" s="57">
        <f>IF($A787="","",IF(_xlfn.XLOOKUP($A787,Korrelation!$D$4:$D$1197,Korrelation!J$4:J$1197,"-",0)="-",0,MATCH(_xlfn.XLOOKUP($A787,Korrelation!$D$4:$D$1197,Korrelation!J$4:J$1197,"",0),DMAV_Dienste!$F$6:$F$140,0)))</f>
        <v>0</v>
      </c>
      <c r="H787" s="57">
        <f>IF($A787="","",IF(_xlfn.XLOOKUP($A787,Korrelation!$D$4:$D$1197,Korrelation!K$4:K$1197,"-",0)="-",0,MATCH(_xlfn.XLOOKUP($A787,Korrelation!$D$4:$D$1197,Korrelation!K$4:K$1197,"",0),'DM01-AV-CH'!$A$6:$A$834,0)))</f>
        <v>0</v>
      </c>
      <c r="J787" s="54" t="str" cm="1">
        <f t="array" aca="1" ref="J787" ca="1">IF(B787=0,IF(E787=0,"",HYPERLINK("#"&amp;RIGHT(CELL("adresse",OFFSET(DMAV_Dienste!$M$6,E787-1,0)),LEN(CELL("adresse",OFFSET(DMAV_Dienste!$M$6,E787-1,0)))-FIND("]",CELL("adresse",OFFSET(DMAV_Dienste!$M$6,E787-1,0)))),"Dienst")),HYPERLINK("#"&amp;RIGHT(CELL("adresse",OFFSET(DMAV_Modell!$N$6,B787-1,0)),LEN(CELL("adresse",OFFSET(DMAV_Modell!$N$6,B787-1,0)))-FIND("]",CELL("adresse",OFFSET(DMAV_Modell!$N$6,B787-1,0)))),"Modell"))</f>
        <v>Modell</v>
      </c>
      <c r="K787" s="61" t="str" cm="1">
        <f t="array" ref="K787">IF($B787=0,IF($E787=0,"",IF(INDEX(DMAV_Dienste!P$6:P$140,$E787)="","",INDEX(DMAV_Dienste!P$6:P$140,$E787))),IF(INDEX(DMAV_Modell!Q$6:Q$838,$B787)="","",INDEX(DMAV_Modell!Q$6:Q$838,$B787)))</f>
        <v>CLASS</v>
      </c>
      <c r="L787" s="62" t="str" cm="1">
        <f t="array" ref="L787">IF($B787=0,IF($E787=0,"",IF(INDEX(DMAV_Dienste!O$6:O$140,$E787)="","",INDEX(DMAV_Dienste!O$6:O$140,$E787))),IF(INDEX(DMAV_Modell!P$6:P$838,$B787)="","",INDEX(DMAV_Modell!P$6:P$838,$B787)))</f>
        <v>Bodenbedeckung</v>
      </c>
      <c r="M787" s="62" t="str" cm="1">
        <f t="array" ref="M787">IF($B787=0,IF($E787=0,"",IF(INDEX(DMAV_Dienste!Q$6:Q$140,$E787)="","",INDEX(DMAV_Dienste!Q$6:Q$140,$E787))),IF(INDEX(DMAV_Modell!R$6:R$838,$B787)="","",INDEX(DMAV_Modell!R$6:R$838,$B787)))</f>
        <v>Bodenbedeckung</v>
      </c>
      <c r="N787" s="62" t="str" cm="1">
        <f t="array" ref="N787">IF($B787=0,IF($E787=0,"",IF(INDEX(DMAV_Dienste!T$6:T$140,$E787)="","",INDEX(DMAV_Dienste!T$6:T$140,$E787))),IF(INDEX(DMAV_Modell!U$6:U$838,$B787)="","",INDEX(DMAV_Modell!U$6:U$838,$B787)))</f>
        <v>Objektstatus</v>
      </c>
      <c r="O787" s="63" t="str" cm="1">
        <f t="array" aca="1" ref="O787" ca="1">IF(C787=0,IF(F787=0,"",HYPERLINK("#"&amp;RIGHT(CELL("adresse",OFFSET(DMAV_Dienste!$M$6,F787-1,0)),LEN(CELL("adresse",OFFSET(DMAV_Dienste!$M$6,F787-1,0)))-FIND("]",CELL("adresse",OFFSET(DMAV_Dienste!$M$6,F787-1,0)))),"Structure")),HYPERLINK("#"&amp;RIGHT(CELL("adresse",OFFSET(DMAV_Modell!$N$6,C787-1,0)),LEN(CELL("adresse",OFFSET(DMAV_Modell!$N$6,C787-1,0)))-FIND("]",CELL("adresse",OFFSET(DMAV_Modell!$N$6,C787-1,0)))),"Structure"))</f>
        <v/>
      </c>
      <c r="P787" s="64" t="str" cm="1">
        <f t="array" aca="1" ref="P787" ca="1">IF(D787=0,IF(G787=0,"",HYPERLINK("#"&amp;RIGHT(CELL("adresse",OFFSET(DMAV_Dienste!$M$6,G787-1,0)),LEN(CELL("adresse",OFFSET(DMAV_Dienste!$M$6,G787-1,0)))-FIND("]",CELL("adresse",OFFSET(DMAV_Dienste!$M$6,G787-1,0)))),"Substructure")),HYPERLINK("#"&amp;RIGHT(CELL("adresse",OFFSET(DMAV_Modell!$N$6,D787-1,0)),LEN(CELL("adresse",OFFSET(DMAV_Modell!$N$6,D787-1,0)))-FIND("]",CELL("adresse",OFFSET(DMAV_Modell!$N$6,D787-1,0)))),"Substructure"))</f>
        <v/>
      </c>
      <c r="R787" s="80" t="s">
        <v>396</v>
      </c>
      <c r="T787" s="93"/>
      <c r="U787" s="94"/>
      <c r="V787" s="95"/>
      <c r="W787" s="96"/>
      <c r="Y787" s="85"/>
      <c r="Z787" s="86"/>
      <c r="AA787" s="87"/>
      <c r="AB787" s="88"/>
      <c r="AD787" s="77"/>
      <c r="AF787" s="54" t="str" cm="1">
        <f t="array" aca="1" ref="AF787" ca="1">IF(H787=0,"",HYPERLINK("#"&amp;RIGHT(CELL("adresse",OFFSET('DM01-AV-CH'!$G$6,H787-1,0)),LEN(CELL("adresse",OFFSET('DM01-AV-CH'!$G$6,H787-1,0)))-FIND("]",CELL("adresse",OFFSET('DM01-AV-CH'!$G$6,H787-1,0)))),"Modell"))</f>
        <v/>
      </c>
      <c r="AG787" s="72" t="str" cm="1">
        <f t="array" ref="AG787">IF($H787=0,"",IF(INDEX('DM01-AV-CH'!G$6:G$834,$H787)="","",INDEX('DM01-AV-CH'!G$6:G$834,$H787)))</f>
        <v/>
      </c>
      <c r="AH787" s="73" t="str" cm="1">
        <f t="array" ref="AH787">IF($H787=0,"",IF(INDEX('DM01-AV-CH'!H$6:H$834,$H787)="","",INDEX('DM01-AV-CH'!H$6:H$834,$H787)))</f>
        <v/>
      </c>
      <c r="AI787" s="74" t="str" cm="1">
        <f t="array" ref="AI787">IF($H787=0,"",IF(INDEX('DM01-AV-CH'!I$6:I$834,$H787)="","",INDEX('DM01-AV-CH'!I$6:I$834,$H787)))</f>
        <v/>
      </c>
    </row>
    <row r="788" spans="1:35" x14ac:dyDescent="0.25">
      <c r="A788" s="57">
        <v>783</v>
      </c>
      <c r="B788" s="57">
        <f>IF($A788="","",IF(_xlfn.XLOOKUP($A788,Korrelation!$D$4:$D$1197,Korrelation!E$4:E$1197,"-",0)="-",0,MATCH(_xlfn.XLOOKUP($A788,Korrelation!$D$4:$D$1197,Korrelation!E$4:E$1197,"",0),DMAV_Modell!$G$6:$G$677,0)))</f>
        <v>0</v>
      </c>
      <c r="C788" s="57">
        <f>IF($A788="","",IF(_xlfn.XLOOKUP($A788,Korrelation!$D$4:$D$1197,Korrelation!F$4:F$1197,"-",0)="-",0,MATCH(_xlfn.XLOOKUP($A788,Korrelation!$D$4:$D$1197,Korrelation!F$4:F$1197,"",0),DMAV_Modell!$G$6:$G$677,0)))</f>
        <v>0</v>
      </c>
      <c r="D788" s="57">
        <f>IF($A788="","",IF(_xlfn.XLOOKUP($A788,Korrelation!$D$4:$D$1197,Korrelation!G$4:G$1197,"-",0)="-",0,MATCH(_xlfn.XLOOKUP($A788,Korrelation!$D$4:$D$1197,Korrelation!G$4:G$1197,"",0),DMAV_Modell!$G$6:$G$677,0)))</f>
        <v>0</v>
      </c>
      <c r="E788" s="57">
        <f>IF($A788="","",IF(_xlfn.XLOOKUP($A788,Korrelation!$D$4:$D$1197,Korrelation!H$4:H$1197,"-",0)="-",0,MATCH(_xlfn.XLOOKUP($A788,Korrelation!$D$4:$D$1197,Korrelation!H$4:H$1197,"",0),DMAV_Dienste!$F$6:$F$140,0)))</f>
        <v>0</v>
      </c>
      <c r="F788" s="57">
        <f>IF($A788="","",IF(_xlfn.XLOOKUP($A788,Korrelation!$D$4:$D$1197,Korrelation!I$4:I$1197,"-",0)="-",0,MATCH(_xlfn.XLOOKUP($A788,Korrelation!$D$4:$D$1197,Korrelation!I$4:I$1197,"",0),DMAV_Dienste!$F$6:$F$140,0)))</f>
        <v>0</v>
      </c>
      <c r="G788" s="57">
        <f>IF($A788="","",IF(_xlfn.XLOOKUP($A788,Korrelation!$D$4:$D$1197,Korrelation!J$4:J$1197,"-",0)="-",0,MATCH(_xlfn.XLOOKUP($A788,Korrelation!$D$4:$D$1197,Korrelation!J$4:J$1197,"",0),DMAV_Dienste!$F$6:$F$140,0)))</f>
        <v>0</v>
      </c>
      <c r="H788" s="57">
        <f>IF($A788="","",IF(_xlfn.XLOOKUP($A788,Korrelation!$D$4:$D$1197,Korrelation!K$4:K$1197,"-",0)="-",0,MATCH(_xlfn.XLOOKUP($A788,Korrelation!$D$4:$D$1197,Korrelation!K$4:K$1197,"",0),'DM01-AV-CH'!$A$6:$A$834,0)))</f>
        <v>230</v>
      </c>
      <c r="J788" s="54" t="str" cm="1">
        <f t="array" aca="1" ref="J788" ca="1">IF(B788=0,IF(E788=0,"",HYPERLINK("#"&amp;RIGHT(CELL("adresse",OFFSET(DMAV_Dienste!$M$6,E788-1,0)),LEN(CELL("adresse",OFFSET(DMAV_Dienste!$M$6,E788-1,0)))-FIND("]",CELL("adresse",OFFSET(DMAV_Dienste!$M$6,E788-1,0)))),"Dienst")),HYPERLINK("#"&amp;RIGHT(CELL("adresse",OFFSET(DMAV_Modell!$N$6,B788-1,0)),LEN(CELL("adresse",OFFSET(DMAV_Modell!$N$6,B788-1,0)))-FIND("]",CELL("adresse",OFFSET(DMAV_Modell!$N$6,B788-1,0)))),"Modell"))</f>
        <v/>
      </c>
      <c r="K788" s="61" t="str" cm="1">
        <f t="array" ref="K788">IF($B788=0,IF($E788=0,"",IF(INDEX(DMAV_Dienste!P$6:P$140,$E788)="","",INDEX(DMAV_Dienste!P$6:P$140,$E788))),IF(INDEX(DMAV_Modell!Q$6:Q$838,$B788)="","",INDEX(DMAV_Modell!Q$6:Q$838,$B788)))</f>
        <v/>
      </c>
      <c r="L788" s="62" t="str" cm="1">
        <f t="array" ref="L788">IF($B788=0,IF($E788=0,"",IF(INDEX(DMAV_Dienste!O$6:O$140,$E788)="","",INDEX(DMAV_Dienste!O$6:O$140,$E788))),IF(INDEX(DMAV_Modell!P$6:P$838,$B788)="","",INDEX(DMAV_Modell!P$6:P$838,$B788)))</f>
        <v/>
      </c>
      <c r="M788" s="62" t="str" cm="1">
        <f t="array" ref="M788">IF($B788=0,IF($E788=0,"",IF(INDEX(DMAV_Dienste!Q$6:Q$140,$E788)="","",INDEX(DMAV_Dienste!Q$6:Q$140,$E788))),IF(INDEX(DMAV_Modell!R$6:R$838,$B788)="","",INDEX(DMAV_Modell!R$6:R$838,$B788)))</f>
        <v/>
      </c>
      <c r="N788" s="62" t="str" cm="1">
        <f t="array" ref="N788">IF($B788=0,IF($E788=0,"",IF(INDEX(DMAV_Dienste!T$6:T$140,$E788)="","",INDEX(DMAV_Dienste!T$6:T$140,$E788))),IF(INDEX(DMAV_Modell!U$6:U$838,$B788)="","",INDEX(DMAV_Modell!U$6:U$838,$B788)))</f>
        <v/>
      </c>
      <c r="O788" s="63" t="str" cm="1">
        <f t="array" aca="1" ref="O788" ca="1">IF(C788=0,IF(F788=0,"",HYPERLINK("#"&amp;RIGHT(CELL("adresse",OFFSET(DMAV_Dienste!$M$6,F788-1,0)),LEN(CELL("adresse",OFFSET(DMAV_Dienste!$M$6,F788-1,0)))-FIND("]",CELL("adresse",OFFSET(DMAV_Dienste!$M$6,F788-1,0)))),"Structure")),HYPERLINK("#"&amp;RIGHT(CELL("adresse",OFFSET(DMAV_Modell!$N$6,C788-1,0)),LEN(CELL("adresse",OFFSET(DMAV_Modell!$N$6,C788-1,0)))-FIND("]",CELL("adresse",OFFSET(DMAV_Modell!$N$6,C788-1,0)))),"Structure"))</f>
        <v/>
      </c>
      <c r="P788" s="64" t="str" cm="1">
        <f t="array" aca="1" ref="P788" ca="1">IF(D788=0,IF(G788=0,"",HYPERLINK("#"&amp;RIGHT(CELL("adresse",OFFSET(DMAV_Dienste!$M$6,G788-1,0)),LEN(CELL("adresse",OFFSET(DMAV_Dienste!$M$6,G788-1,0)))-FIND("]",CELL("adresse",OFFSET(DMAV_Dienste!$M$6,G788-1,0)))),"Substructure")),HYPERLINK("#"&amp;RIGHT(CELL("adresse",OFFSET(DMAV_Modell!$N$6,D788-1,0)),LEN(CELL("adresse",OFFSET(DMAV_Modell!$N$6,D788-1,0)))-FIND("]",CELL("adresse",OFFSET(DMAV_Modell!$N$6,D788-1,0)))),"Substructure"))</f>
        <v/>
      </c>
      <c r="R788" s="80"/>
      <c r="T788" s="93"/>
      <c r="U788" s="94"/>
      <c r="V788" s="95"/>
      <c r="W788" s="96"/>
      <c r="Y788" s="85"/>
      <c r="Z788" s="86"/>
      <c r="AA788" s="87"/>
      <c r="AB788" s="88"/>
      <c r="AD788" s="77"/>
      <c r="AF788" s="54" t="str" cm="1">
        <f t="array" aca="1" ref="AF788" ca="1">IF(H788=0,"",HYPERLINK("#"&amp;RIGHT(CELL("adresse",OFFSET('DM01-AV-CH'!$G$6,H788-1,0)),LEN(CELL("adresse",OFFSET('DM01-AV-CH'!$G$6,H788-1,0)))-FIND("]",CELL("adresse",OFFSET('DM01-AV-CH'!$G$6,H788-1,0)))),"Modell"))</f>
        <v>Modell</v>
      </c>
      <c r="AG788" s="72" t="str" cm="1">
        <f t="array" ref="AG788">IF($H788=0,"",IF(INDEX('DM01-AV-CH'!G$6:G$834,$H788)="","",INDEX('DM01-AV-CH'!G$6:G$834,$H788)))</f>
        <v>Bodenbedeckung</v>
      </c>
      <c r="AH788" s="73" t="str" cm="1">
        <f t="array" ref="AH788">IF($H788=0,"",IF(INDEX('DM01-AV-CH'!H$6:H$834,$H788)="","",INDEX('DM01-AV-CH'!H$6:H$834,$H788)))</f>
        <v>Gebaeudenummer</v>
      </c>
      <c r="AI788" s="74" t="str" cm="1">
        <f t="array" ref="AI788">IF($H788=0,"",IF(INDEX('DM01-AV-CH'!I$6:I$834,$H788)="","",INDEX('DM01-AV-CH'!I$6:I$834,$H788)))</f>
        <v>Gebaeudenummer_von</v>
      </c>
    </row>
    <row r="789" spans="1:35" ht="57" x14ac:dyDescent="0.25">
      <c r="A789" s="57">
        <v>784</v>
      </c>
      <c r="B789" s="57">
        <f>IF($A789="","",IF(_xlfn.XLOOKUP($A789,Korrelation!$D$4:$D$1197,Korrelation!E$4:E$1197,"-",0)="-",0,MATCH(_xlfn.XLOOKUP($A789,Korrelation!$D$4:$D$1197,Korrelation!E$4:E$1197,"",0),DMAV_Modell!$G$6:$G$677,0)))</f>
        <v>434</v>
      </c>
      <c r="C789" s="57">
        <f>IF($A789="","",IF(_xlfn.XLOOKUP($A789,Korrelation!$D$4:$D$1197,Korrelation!F$4:F$1197,"-",0)="-",0,MATCH(_xlfn.XLOOKUP($A789,Korrelation!$D$4:$D$1197,Korrelation!F$4:F$1197,"",0),DMAV_Modell!$G$6:$G$677,0)))</f>
        <v>425</v>
      </c>
      <c r="D789" s="57">
        <f>IF($A789="","",IF(_xlfn.XLOOKUP($A789,Korrelation!$D$4:$D$1197,Korrelation!G$4:G$1197,"-",0)="-",0,MATCH(_xlfn.XLOOKUP($A789,Korrelation!$D$4:$D$1197,Korrelation!G$4:G$1197,"",0),DMAV_Modell!$G$6:$G$677,0)))</f>
        <v>0</v>
      </c>
      <c r="E789" s="57">
        <f>IF($A789="","",IF(_xlfn.XLOOKUP($A789,Korrelation!$D$4:$D$1197,Korrelation!H$4:H$1197,"-",0)="-",0,MATCH(_xlfn.XLOOKUP($A789,Korrelation!$D$4:$D$1197,Korrelation!H$4:H$1197,"",0),DMAV_Dienste!$F$6:$F$140,0)))</f>
        <v>0</v>
      </c>
      <c r="F789" s="57">
        <f>IF($A789="","",IF(_xlfn.XLOOKUP($A789,Korrelation!$D$4:$D$1197,Korrelation!I$4:I$1197,"-",0)="-",0,MATCH(_xlfn.XLOOKUP($A789,Korrelation!$D$4:$D$1197,Korrelation!I$4:I$1197,"",0),DMAV_Dienste!$F$6:$F$140,0)))</f>
        <v>0</v>
      </c>
      <c r="G789" s="57">
        <f>IF($A789="","",IF(_xlfn.XLOOKUP($A789,Korrelation!$D$4:$D$1197,Korrelation!J$4:J$1197,"-",0)="-",0,MATCH(_xlfn.XLOOKUP($A789,Korrelation!$D$4:$D$1197,Korrelation!J$4:J$1197,"",0),DMAV_Dienste!$F$6:$F$140,0)))</f>
        <v>0</v>
      </c>
      <c r="H789" s="57">
        <f>IF($A789="","",IF(_xlfn.XLOOKUP($A789,Korrelation!$D$4:$D$1197,Korrelation!K$4:K$1197,"-",0)="-",0,MATCH(_xlfn.XLOOKUP($A789,Korrelation!$D$4:$D$1197,Korrelation!K$4:K$1197,"",0),'DM01-AV-CH'!$A$6:$A$834,0)))</f>
        <v>231</v>
      </c>
      <c r="J789" s="54" t="str" cm="1">
        <f t="array" aca="1" ref="J789" ca="1">IF(B789=0,IF(E789=0,"",HYPERLINK("#"&amp;RIGHT(CELL("adresse",OFFSET(DMAV_Dienste!$M$6,E789-1,0)),LEN(CELL("adresse",OFFSET(DMAV_Dienste!$M$6,E789-1,0)))-FIND("]",CELL("adresse",OFFSET(DMAV_Dienste!$M$6,E789-1,0)))),"Dienst")),HYPERLINK("#"&amp;RIGHT(CELL("adresse",OFFSET(DMAV_Modell!$N$6,B789-1,0)),LEN(CELL("adresse",OFFSET(DMAV_Modell!$N$6,B789-1,0)))-FIND("]",CELL("adresse",OFFSET(DMAV_Modell!$N$6,B789-1,0)))),"Modell"))</f>
        <v>Modell</v>
      </c>
      <c r="K789" s="61" t="str" cm="1">
        <f t="array" ref="K789">IF($B789=0,IF($E789=0,"",IF(INDEX(DMAV_Dienste!P$6:P$140,$E789)="","",INDEX(DMAV_Dienste!P$6:P$140,$E789))),IF(INDEX(DMAV_Modell!Q$6:Q$838,$B789)="","",INDEX(DMAV_Modell!Q$6:Q$838,$B789)))</f>
        <v>CLASS</v>
      </c>
      <c r="L789" s="62" t="str" cm="1">
        <f t="array" ref="L789">IF($B789=0,IF($E789=0,"",IF(INDEX(DMAV_Dienste!O$6:O$140,$E789)="","",INDEX(DMAV_Dienste!O$6:O$140,$E789))),IF(INDEX(DMAV_Modell!P$6:P$838,$B789)="","",INDEX(DMAV_Modell!P$6:P$838,$B789)))</f>
        <v>Bodenbedeckung</v>
      </c>
      <c r="M789" s="62" t="str" cm="1">
        <f t="array" ref="M789">IF($B789=0,IF($E789=0,"",IF(INDEX(DMAV_Dienste!Q$6:Q$140,$E789)="","",INDEX(DMAV_Dienste!Q$6:Q$140,$E789))),IF(INDEX(DMAV_Modell!R$6:R$838,$B789)="","",INDEX(DMAV_Modell!R$6:R$838,$B789)))</f>
        <v>Bodenbedeckung</v>
      </c>
      <c r="N789" s="62" t="str" cm="1">
        <f t="array" ref="N789">IF($B789=0,IF($E789=0,"",IF(INDEX(DMAV_Dienste!T$6:T$140,$E789)="","",INDEX(DMAV_Dienste!T$6:T$140,$E789))),IF(INDEX(DMAV_Modell!U$6:U$838,$B789)="","",INDEX(DMAV_Modell!U$6:U$838,$B789)))</f>
        <v>Objektnummer</v>
      </c>
      <c r="O789" s="63" t="str" cm="1">
        <f t="array" aca="1" ref="O789" ca="1">IF(C789=0,IF(F789=0,"",HYPERLINK("#"&amp;RIGHT(CELL("adresse",OFFSET(DMAV_Dienste!$M$6,F789-1,0)),LEN(CELL("adresse",OFFSET(DMAV_Dienste!$M$6,F789-1,0)))-FIND("]",CELL("adresse",OFFSET(DMAV_Dienste!$M$6,F789-1,0)))),"Structure")),HYPERLINK("#"&amp;RIGHT(CELL("adresse",OFFSET(DMAV_Modell!$N$6,C789-1,0)),LEN(CELL("adresse",OFFSET(DMAV_Modell!$N$6,C789-1,0)))-FIND("]",CELL("adresse",OFFSET(DMAV_Modell!$N$6,C789-1,0)))),"Structure"))</f>
        <v>Structure</v>
      </c>
      <c r="P789" s="64" t="str" cm="1">
        <f t="array" aca="1" ref="P789" ca="1">IF(D789=0,IF(G789=0,"",HYPERLINK("#"&amp;RIGHT(CELL("adresse",OFFSET(DMAV_Dienste!$M$6,G789-1,0)),LEN(CELL("adresse",OFFSET(DMAV_Dienste!$M$6,G789-1,0)))-FIND("]",CELL("adresse",OFFSET(DMAV_Dienste!$M$6,G789-1,0)))),"Substructure")),HYPERLINK("#"&amp;RIGHT(CELL("adresse",OFFSET(DMAV_Modell!$N$6,D789-1,0)),LEN(CELL("adresse",OFFSET(DMAV_Modell!$N$6,D789-1,0)))-FIND("]",CELL("adresse",OFFSET(DMAV_Modell!$N$6,D789-1,0)))),"Substructure"))</f>
        <v/>
      </c>
      <c r="R789" s="80"/>
      <c r="T789" s="93"/>
      <c r="U789" s="94"/>
      <c r="V789" s="95" t="s">
        <v>3167</v>
      </c>
      <c r="W789" s="96"/>
      <c r="Y789" s="85" t="s">
        <v>3179</v>
      </c>
      <c r="Z789" s="86" t="s">
        <v>2980</v>
      </c>
      <c r="AA789" s="87" t="s">
        <v>3182</v>
      </c>
      <c r="AB789" s="88"/>
      <c r="AD789" s="77"/>
      <c r="AF789" s="54" t="str" cm="1">
        <f t="array" aca="1" ref="AF789" ca="1">IF(H789=0,"",HYPERLINK("#"&amp;RIGHT(CELL("adresse",OFFSET('DM01-AV-CH'!$G$6,H789-1,0)),LEN(CELL("adresse",OFFSET('DM01-AV-CH'!$G$6,H789-1,0)))-FIND("]",CELL("adresse",OFFSET('DM01-AV-CH'!$G$6,H789-1,0)))),"Modell"))</f>
        <v>Modell</v>
      </c>
      <c r="AG789" s="72" t="str" cm="1">
        <f t="array" ref="AG789">IF($H789=0,"",IF(INDEX('DM01-AV-CH'!G$6:G$834,$H789)="","",INDEX('DM01-AV-CH'!G$6:G$834,$H789)))</f>
        <v>Bodenbedeckung</v>
      </c>
      <c r="AH789" s="73" t="str" cm="1">
        <f t="array" ref="AH789">IF($H789=0,"",IF(INDEX('DM01-AV-CH'!H$6:H$834,$H789)="","",INDEX('DM01-AV-CH'!H$6:H$834,$H789)))</f>
        <v>Gebaeudenummer</v>
      </c>
      <c r="AI789" s="74" t="str" cm="1">
        <f t="array" ref="AI789">IF($H789=0,"",IF(INDEX('DM01-AV-CH'!I$6:I$834,$H789)="","",INDEX('DM01-AV-CH'!I$6:I$834,$H789)))</f>
        <v>Nummer</v>
      </c>
    </row>
    <row r="790" spans="1:35" ht="28.5" x14ac:dyDescent="0.25">
      <c r="A790" s="57">
        <v>785</v>
      </c>
      <c r="B790" s="57">
        <f>IF($A790="","",IF(_xlfn.XLOOKUP($A790,Korrelation!$D$4:$D$1197,Korrelation!E$4:E$1197,"-",0)="-",0,MATCH(_xlfn.XLOOKUP($A790,Korrelation!$D$4:$D$1197,Korrelation!E$4:E$1197,"",0),DMAV_Modell!$G$6:$G$677,0)))</f>
        <v>0</v>
      </c>
      <c r="C790" s="57">
        <f>IF($A790="","",IF(_xlfn.XLOOKUP($A790,Korrelation!$D$4:$D$1197,Korrelation!F$4:F$1197,"-",0)="-",0,MATCH(_xlfn.XLOOKUP($A790,Korrelation!$D$4:$D$1197,Korrelation!F$4:F$1197,"",0),DMAV_Modell!$G$6:$G$677,0)))</f>
        <v>0</v>
      </c>
      <c r="D790" s="57">
        <f>IF($A790="","",IF(_xlfn.XLOOKUP($A790,Korrelation!$D$4:$D$1197,Korrelation!G$4:G$1197,"-",0)="-",0,MATCH(_xlfn.XLOOKUP($A790,Korrelation!$D$4:$D$1197,Korrelation!G$4:G$1197,"",0),DMAV_Modell!$G$6:$G$677,0)))</f>
        <v>0</v>
      </c>
      <c r="E790" s="57">
        <f>IF($A790="","",IF(_xlfn.XLOOKUP($A790,Korrelation!$D$4:$D$1197,Korrelation!H$4:H$1197,"-",0)="-",0,MATCH(_xlfn.XLOOKUP($A790,Korrelation!$D$4:$D$1197,Korrelation!H$4:H$1197,"",0),DMAV_Dienste!$F$6:$F$140,0)))</f>
        <v>0</v>
      </c>
      <c r="F790" s="57">
        <f>IF($A790="","",IF(_xlfn.XLOOKUP($A790,Korrelation!$D$4:$D$1197,Korrelation!I$4:I$1197,"-",0)="-",0,MATCH(_xlfn.XLOOKUP($A790,Korrelation!$D$4:$D$1197,Korrelation!I$4:I$1197,"",0),DMAV_Dienste!$F$6:$F$140,0)))</f>
        <v>0</v>
      </c>
      <c r="G790" s="57">
        <f>IF($A790="","",IF(_xlfn.XLOOKUP($A790,Korrelation!$D$4:$D$1197,Korrelation!J$4:J$1197,"-",0)="-",0,MATCH(_xlfn.XLOOKUP($A790,Korrelation!$D$4:$D$1197,Korrelation!J$4:J$1197,"",0),DMAV_Dienste!$F$6:$F$140,0)))</f>
        <v>0</v>
      </c>
      <c r="H790" s="57">
        <f>IF($A790="","",IF(_xlfn.XLOOKUP($A790,Korrelation!$D$4:$D$1197,Korrelation!K$4:K$1197,"-",0)="-",0,MATCH(_xlfn.XLOOKUP($A790,Korrelation!$D$4:$D$1197,Korrelation!K$4:K$1197,"",0),'DM01-AV-CH'!$A$6:$A$834,0)))</f>
        <v>233</v>
      </c>
      <c r="J790" s="54" t="str" cm="1">
        <f t="array" aca="1" ref="J790" ca="1">IF(B790=0,IF(E790=0,"",HYPERLINK("#"&amp;RIGHT(CELL("adresse",OFFSET(DMAV_Dienste!$M$6,E790-1,0)),LEN(CELL("adresse",OFFSET(DMAV_Dienste!$M$6,E790-1,0)))-FIND("]",CELL("adresse",OFFSET(DMAV_Dienste!$M$6,E790-1,0)))),"Dienst")),HYPERLINK("#"&amp;RIGHT(CELL("adresse",OFFSET(DMAV_Modell!$N$6,B790-1,0)),LEN(CELL("adresse",OFFSET(DMAV_Modell!$N$6,B790-1,0)))-FIND("]",CELL("adresse",OFFSET(DMAV_Modell!$N$6,B790-1,0)))),"Modell"))</f>
        <v/>
      </c>
      <c r="K790" s="61" t="str" cm="1">
        <f t="array" ref="K790">IF($B790=0,IF($E790=0,"",IF(INDEX(DMAV_Dienste!P$6:P$140,$E790)="","",INDEX(DMAV_Dienste!P$6:P$140,$E790))),IF(INDEX(DMAV_Modell!Q$6:Q$838,$B790)="","",INDEX(DMAV_Modell!Q$6:Q$838,$B790)))</f>
        <v/>
      </c>
      <c r="L790" s="62" t="str" cm="1">
        <f t="array" ref="L790">IF($B790=0,IF($E790=0,"",IF(INDEX(DMAV_Dienste!O$6:O$140,$E790)="","",INDEX(DMAV_Dienste!O$6:O$140,$E790))),IF(INDEX(DMAV_Modell!P$6:P$838,$B790)="","",INDEX(DMAV_Modell!P$6:P$838,$B790)))</f>
        <v/>
      </c>
      <c r="M790" s="62" t="str" cm="1">
        <f t="array" ref="M790">IF($B790=0,IF($E790=0,"",IF(INDEX(DMAV_Dienste!Q$6:Q$140,$E790)="","",INDEX(DMAV_Dienste!Q$6:Q$140,$E790))),IF(INDEX(DMAV_Modell!R$6:R$838,$B790)="","",INDEX(DMAV_Modell!R$6:R$838,$B790)))</f>
        <v/>
      </c>
      <c r="N790" s="62" t="str" cm="1">
        <f t="array" ref="N790">IF($B790=0,IF($E790=0,"",IF(INDEX(DMAV_Dienste!T$6:T$140,$E790)="","",INDEX(DMAV_Dienste!T$6:T$140,$E790))),IF(INDEX(DMAV_Modell!U$6:U$838,$B790)="","",INDEX(DMAV_Modell!U$6:U$838,$B790)))</f>
        <v/>
      </c>
      <c r="O790" s="63" t="str" cm="1">
        <f t="array" aca="1" ref="O790" ca="1">IF(C790=0,IF(F790=0,"",HYPERLINK("#"&amp;RIGHT(CELL("adresse",OFFSET(DMAV_Dienste!$M$6,F790-1,0)),LEN(CELL("adresse",OFFSET(DMAV_Dienste!$M$6,F790-1,0)))-FIND("]",CELL("adresse",OFFSET(DMAV_Dienste!$M$6,F790-1,0)))),"Structure")),HYPERLINK("#"&amp;RIGHT(CELL("adresse",OFFSET(DMAV_Modell!$N$6,C790-1,0)),LEN(CELL("adresse",OFFSET(DMAV_Modell!$N$6,C790-1,0)))-FIND("]",CELL("adresse",OFFSET(DMAV_Modell!$N$6,C790-1,0)))),"Structure"))</f>
        <v/>
      </c>
      <c r="P790" s="64" t="str" cm="1">
        <f t="array" aca="1" ref="P790" ca="1">IF(D790=0,IF(G790=0,"",HYPERLINK("#"&amp;RIGHT(CELL("adresse",OFFSET(DMAV_Dienste!$M$6,G790-1,0)),LEN(CELL("adresse",OFFSET(DMAV_Dienste!$M$6,G790-1,0)))-FIND("]",CELL("adresse",OFFSET(DMAV_Dienste!$M$6,G790-1,0)))),"Substructure")),HYPERLINK("#"&amp;RIGHT(CELL("adresse",OFFSET(DMAV_Modell!$N$6,D790-1,0)),LEN(CELL("adresse",OFFSET(DMAV_Modell!$N$6,D790-1,0)))-FIND("]",CELL("adresse",OFFSET(DMAV_Modell!$N$6,D790-1,0)))),"Substructure"))</f>
        <v/>
      </c>
      <c r="R790" s="80"/>
      <c r="T790" s="93"/>
      <c r="U790" s="94"/>
      <c r="V790" s="95"/>
      <c r="W790" s="96"/>
      <c r="Y790" s="85"/>
      <c r="Z790" s="86"/>
      <c r="AA790" s="87"/>
      <c r="AB790" s="88"/>
      <c r="AD790" s="77"/>
      <c r="AF790" s="54" t="str" cm="1">
        <f t="array" aca="1" ref="AF790" ca="1">IF(H790=0,"",HYPERLINK("#"&amp;RIGHT(CELL("adresse",OFFSET('DM01-AV-CH'!$G$6,H790-1,0)),LEN(CELL("adresse",OFFSET('DM01-AV-CH'!$G$6,H790-1,0)))-FIND("]",CELL("adresse",OFFSET('DM01-AV-CH'!$G$6,H790-1,0)))),"Modell"))</f>
        <v>Modell</v>
      </c>
      <c r="AG790" s="72" t="str" cm="1">
        <f t="array" ref="AG790">IF($H790=0,"",IF(INDEX('DM01-AV-CH'!G$6:G$834,$H790)="","",INDEX('DM01-AV-CH'!G$6:G$834,$H790)))</f>
        <v>Bodenbedeckung</v>
      </c>
      <c r="AH790" s="73" t="str" cm="1">
        <f t="array" ref="AH790">IF($H790=0,"",IF(INDEX('DM01-AV-CH'!H$6:H$834,$H790)="","",INDEX('DM01-AV-CH'!H$6:H$834,$H790)))</f>
        <v>GebaeudenummerPos</v>
      </c>
      <c r="AI790" s="74" t="str" cm="1">
        <f t="array" ref="AI790">IF($H790=0,"",IF(INDEX('DM01-AV-CH'!I$6:I$834,$H790)="","",INDEX('DM01-AV-CH'!I$6:I$834,$H790)))</f>
        <v>GebaeudenummerPos_von</v>
      </c>
    </row>
    <row r="791" spans="1:35" ht="57" x14ac:dyDescent="0.25">
      <c r="A791" s="57">
        <v>786</v>
      </c>
      <c r="B791" s="57">
        <f>IF($A791="","",IF(_xlfn.XLOOKUP($A791,Korrelation!$D$4:$D$1197,Korrelation!E$4:E$1197,"-",0)="-",0,MATCH(_xlfn.XLOOKUP($A791,Korrelation!$D$4:$D$1197,Korrelation!E$4:E$1197,"",0),DMAV_Modell!$G$6:$G$677,0)))</f>
        <v>434</v>
      </c>
      <c r="C791" s="57">
        <f>IF($A791="","",IF(_xlfn.XLOOKUP($A791,Korrelation!$D$4:$D$1197,Korrelation!F$4:F$1197,"-",0)="-",0,MATCH(_xlfn.XLOOKUP($A791,Korrelation!$D$4:$D$1197,Korrelation!F$4:F$1197,"",0),DMAV_Modell!$G$6:$G$677,0)))</f>
        <v>425</v>
      </c>
      <c r="D791" s="57">
        <f>IF($A791="","",IF(_xlfn.XLOOKUP($A791,Korrelation!$D$4:$D$1197,Korrelation!G$4:G$1197,"-",0)="-",0,MATCH(_xlfn.XLOOKUP($A791,Korrelation!$D$4:$D$1197,Korrelation!G$4:G$1197,"",0),DMAV_Modell!$G$6:$G$677,0)))</f>
        <v>26</v>
      </c>
      <c r="E791" s="57">
        <f>IF($A791="","",IF(_xlfn.XLOOKUP($A791,Korrelation!$D$4:$D$1197,Korrelation!H$4:H$1197,"-",0)="-",0,MATCH(_xlfn.XLOOKUP($A791,Korrelation!$D$4:$D$1197,Korrelation!H$4:H$1197,"",0),DMAV_Dienste!$F$6:$F$140,0)))</f>
        <v>0</v>
      </c>
      <c r="F791" s="57">
        <f>IF($A791="","",IF(_xlfn.XLOOKUP($A791,Korrelation!$D$4:$D$1197,Korrelation!I$4:I$1197,"-",0)="-",0,MATCH(_xlfn.XLOOKUP($A791,Korrelation!$D$4:$D$1197,Korrelation!I$4:I$1197,"",0),DMAV_Dienste!$F$6:$F$140,0)))</f>
        <v>0</v>
      </c>
      <c r="G791" s="57">
        <f>IF($A791="","",IF(_xlfn.XLOOKUP($A791,Korrelation!$D$4:$D$1197,Korrelation!J$4:J$1197,"-",0)="-",0,MATCH(_xlfn.XLOOKUP($A791,Korrelation!$D$4:$D$1197,Korrelation!J$4:J$1197,"",0),DMAV_Dienste!$F$6:$F$140,0)))</f>
        <v>0</v>
      </c>
      <c r="H791" s="57">
        <f>IF($A791="","",IF(_xlfn.XLOOKUP($A791,Korrelation!$D$4:$D$1197,Korrelation!K$4:K$1197,"-",0)="-",0,MATCH(_xlfn.XLOOKUP($A791,Korrelation!$D$4:$D$1197,Korrelation!K$4:K$1197,"",0),'DM01-AV-CH'!$A$6:$A$834,0)))</f>
        <v>234</v>
      </c>
      <c r="J791" s="54" t="str" cm="1">
        <f t="array" aca="1" ref="J791" ca="1">IF(B791=0,IF(E791=0,"",HYPERLINK("#"&amp;RIGHT(CELL("adresse",OFFSET(DMAV_Dienste!$M$6,E791-1,0)),LEN(CELL("adresse",OFFSET(DMAV_Dienste!$M$6,E791-1,0)))-FIND("]",CELL("adresse",OFFSET(DMAV_Dienste!$M$6,E791-1,0)))),"Dienst")),HYPERLINK("#"&amp;RIGHT(CELL("adresse",OFFSET(DMAV_Modell!$N$6,B791-1,0)),LEN(CELL("adresse",OFFSET(DMAV_Modell!$N$6,B791-1,0)))-FIND("]",CELL("adresse",OFFSET(DMAV_Modell!$N$6,B791-1,0)))),"Modell"))</f>
        <v>Modell</v>
      </c>
      <c r="K791" s="61" t="str" cm="1">
        <f t="array" ref="K791">IF($B791=0,IF($E791=0,"",IF(INDEX(DMAV_Dienste!P$6:P$140,$E791)="","",INDEX(DMAV_Dienste!P$6:P$140,$E791))),IF(INDEX(DMAV_Modell!Q$6:Q$838,$B791)="","",INDEX(DMAV_Modell!Q$6:Q$838,$B791)))</f>
        <v>CLASS</v>
      </c>
      <c r="L791" s="62" t="str" cm="1">
        <f t="array" ref="L791">IF($B791=0,IF($E791=0,"",IF(INDEX(DMAV_Dienste!O$6:O$140,$E791)="","",INDEX(DMAV_Dienste!O$6:O$140,$E791))),IF(INDEX(DMAV_Modell!P$6:P$838,$B791)="","",INDEX(DMAV_Modell!P$6:P$838,$B791)))</f>
        <v>Bodenbedeckung</v>
      </c>
      <c r="M791" s="62" t="str" cm="1">
        <f t="array" ref="M791">IF($B791=0,IF($E791=0,"",IF(INDEX(DMAV_Dienste!Q$6:Q$140,$E791)="","",INDEX(DMAV_Dienste!Q$6:Q$140,$E791))),IF(INDEX(DMAV_Modell!R$6:R$838,$B791)="","",INDEX(DMAV_Modell!R$6:R$838,$B791)))</f>
        <v>Bodenbedeckung</v>
      </c>
      <c r="N791" s="62" t="str" cm="1">
        <f t="array" ref="N791">IF($B791=0,IF($E791=0,"",IF(INDEX(DMAV_Dienste!T$6:T$140,$E791)="","",INDEX(DMAV_Dienste!T$6:T$140,$E791))),IF(INDEX(DMAV_Modell!U$6:U$838,$B791)="","",INDEX(DMAV_Modell!U$6:U$838,$B791)))</f>
        <v>Objektnummer</v>
      </c>
      <c r="O791" s="63" t="str" cm="1">
        <f t="array" aca="1" ref="O791" ca="1">IF(C791=0,IF(F791=0,"",HYPERLINK("#"&amp;RIGHT(CELL("adresse",OFFSET(DMAV_Dienste!$M$6,F791-1,0)),LEN(CELL("adresse",OFFSET(DMAV_Dienste!$M$6,F791-1,0)))-FIND("]",CELL("adresse",OFFSET(DMAV_Dienste!$M$6,F791-1,0)))),"Structure")),HYPERLINK("#"&amp;RIGHT(CELL("adresse",OFFSET(DMAV_Modell!$N$6,C791-1,0)),LEN(CELL("adresse",OFFSET(DMAV_Modell!$N$6,C791-1,0)))-FIND("]",CELL("adresse",OFFSET(DMAV_Modell!$N$6,C791-1,0)))),"Structure"))</f>
        <v>Structure</v>
      </c>
      <c r="P791" s="64" t="str" cm="1">
        <f t="array" aca="1" ref="P791" ca="1">IF(D791=0,IF(G791=0,"",HYPERLINK("#"&amp;RIGHT(CELL("adresse",OFFSET(DMAV_Dienste!$M$6,G791-1,0)),LEN(CELL("adresse",OFFSET(DMAV_Dienste!$M$6,G791-1,0)))-FIND("]",CELL("adresse",OFFSET(DMAV_Dienste!$M$6,G791-1,0)))),"Substructure")),HYPERLINK("#"&amp;RIGHT(CELL("adresse",OFFSET(DMAV_Modell!$N$6,D791-1,0)),LEN(CELL("adresse",OFFSET(DMAV_Modell!$N$6,D791-1,0)))-FIND("]",CELL("adresse",OFFSET(DMAV_Modell!$N$6,D791-1,0)))),"Substructure"))</f>
        <v>Substructure</v>
      </c>
      <c r="R791" s="80"/>
      <c r="T791" s="93"/>
      <c r="U791" s="94"/>
      <c r="V791" s="95" t="s">
        <v>3168</v>
      </c>
      <c r="W791" s="96"/>
      <c r="Y791" s="85" t="s">
        <v>3179</v>
      </c>
      <c r="Z791" s="86" t="s">
        <v>2980</v>
      </c>
      <c r="AA791" s="87" t="s">
        <v>3183</v>
      </c>
      <c r="AB791" s="88"/>
      <c r="AD791" s="77"/>
      <c r="AF791" s="54" t="str" cm="1">
        <f t="array" aca="1" ref="AF791" ca="1">IF(H791=0,"",HYPERLINK("#"&amp;RIGHT(CELL("adresse",OFFSET('DM01-AV-CH'!$G$6,H791-1,0)),LEN(CELL("adresse",OFFSET('DM01-AV-CH'!$G$6,H791-1,0)))-FIND("]",CELL("adresse",OFFSET('DM01-AV-CH'!$G$6,H791-1,0)))),"Modell"))</f>
        <v>Modell</v>
      </c>
      <c r="AG791" s="72" t="str" cm="1">
        <f t="array" ref="AG791">IF($H791=0,"",IF(INDEX('DM01-AV-CH'!G$6:G$834,$H791)="","",INDEX('DM01-AV-CH'!G$6:G$834,$H791)))</f>
        <v>Bodenbedeckung</v>
      </c>
      <c r="AH791" s="73" t="str" cm="1">
        <f t="array" ref="AH791">IF($H791=0,"",IF(INDEX('DM01-AV-CH'!H$6:H$834,$H791)="","",INDEX('DM01-AV-CH'!H$6:H$834,$H791)))</f>
        <v>GebaeudenummerPos</v>
      </c>
      <c r="AI791" s="74" t="str" cm="1">
        <f t="array" ref="AI791">IF($H791=0,"",IF(INDEX('DM01-AV-CH'!I$6:I$834,$H791)="","",INDEX('DM01-AV-CH'!I$6:I$834,$H791)))</f>
        <v>Pos</v>
      </c>
    </row>
    <row r="792" spans="1:35" ht="57" x14ac:dyDescent="0.25">
      <c r="A792" s="57">
        <v>787</v>
      </c>
      <c r="B792" s="57">
        <f>IF($A792="","",IF(_xlfn.XLOOKUP($A792,Korrelation!$D$4:$D$1197,Korrelation!E$4:E$1197,"-",0)="-",0,MATCH(_xlfn.XLOOKUP($A792,Korrelation!$D$4:$D$1197,Korrelation!E$4:E$1197,"",0),DMAV_Modell!$G$6:$G$677,0)))</f>
        <v>434</v>
      </c>
      <c r="C792" s="57">
        <f>IF($A792="","",IF(_xlfn.XLOOKUP($A792,Korrelation!$D$4:$D$1197,Korrelation!F$4:F$1197,"-",0)="-",0,MATCH(_xlfn.XLOOKUP($A792,Korrelation!$D$4:$D$1197,Korrelation!F$4:F$1197,"",0),DMAV_Modell!$G$6:$G$677,0)))</f>
        <v>425</v>
      </c>
      <c r="D792" s="57">
        <f>IF($A792="","",IF(_xlfn.XLOOKUP($A792,Korrelation!$D$4:$D$1197,Korrelation!G$4:G$1197,"-",0)="-",0,MATCH(_xlfn.XLOOKUP($A792,Korrelation!$D$4:$D$1197,Korrelation!G$4:G$1197,"",0),DMAV_Modell!$G$6:$G$677,0)))</f>
        <v>27</v>
      </c>
      <c r="E792" s="57">
        <f>IF($A792="","",IF(_xlfn.XLOOKUP($A792,Korrelation!$D$4:$D$1197,Korrelation!H$4:H$1197,"-",0)="-",0,MATCH(_xlfn.XLOOKUP($A792,Korrelation!$D$4:$D$1197,Korrelation!H$4:H$1197,"",0),DMAV_Dienste!$F$6:$F$140,0)))</f>
        <v>0</v>
      </c>
      <c r="F792" s="57">
        <f>IF($A792="","",IF(_xlfn.XLOOKUP($A792,Korrelation!$D$4:$D$1197,Korrelation!I$4:I$1197,"-",0)="-",0,MATCH(_xlfn.XLOOKUP($A792,Korrelation!$D$4:$D$1197,Korrelation!I$4:I$1197,"",0),DMAV_Dienste!$F$6:$F$140,0)))</f>
        <v>0</v>
      </c>
      <c r="G792" s="57">
        <f>IF($A792="","",IF(_xlfn.XLOOKUP($A792,Korrelation!$D$4:$D$1197,Korrelation!J$4:J$1197,"-",0)="-",0,MATCH(_xlfn.XLOOKUP($A792,Korrelation!$D$4:$D$1197,Korrelation!J$4:J$1197,"",0),DMAV_Dienste!$F$6:$F$140,0)))</f>
        <v>0</v>
      </c>
      <c r="H792" s="57">
        <f>IF($A792="","",IF(_xlfn.XLOOKUP($A792,Korrelation!$D$4:$D$1197,Korrelation!K$4:K$1197,"-",0)="-",0,MATCH(_xlfn.XLOOKUP($A792,Korrelation!$D$4:$D$1197,Korrelation!K$4:K$1197,"",0),'DM01-AV-CH'!$A$6:$A$834,0)))</f>
        <v>235</v>
      </c>
      <c r="J792" s="54" t="str" cm="1">
        <f t="array" aca="1" ref="J792" ca="1">IF(B792=0,IF(E792=0,"",HYPERLINK("#"&amp;RIGHT(CELL("adresse",OFFSET(DMAV_Dienste!$M$6,E792-1,0)),LEN(CELL("adresse",OFFSET(DMAV_Dienste!$M$6,E792-1,0)))-FIND("]",CELL("adresse",OFFSET(DMAV_Dienste!$M$6,E792-1,0)))),"Dienst")),HYPERLINK("#"&amp;RIGHT(CELL("adresse",OFFSET(DMAV_Modell!$N$6,B792-1,0)),LEN(CELL("adresse",OFFSET(DMAV_Modell!$N$6,B792-1,0)))-FIND("]",CELL("adresse",OFFSET(DMAV_Modell!$N$6,B792-1,0)))),"Modell"))</f>
        <v>Modell</v>
      </c>
      <c r="K792" s="61" t="str" cm="1">
        <f t="array" ref="K792">IF($B792=0,IF($E792=0,"",IF(INDEX(DMAV_Dienste!P$6:P$140,$E792)="","",INDEX(DMAV_Dienste!P$6:P$140,$E792))),IF(INDEX(DMAV_Modell!Q$6:Q$838,$B792)="","",INDEX(DMAV_Modell!Q$6:Q$838,$B792)))</f>
        <v>CLASS</v>
      </c>
      <c r="L792" s="62" t="str" cm="1">
        <f t="array" ref="L792">IF($B792=0,IF($E792=0,"",IF(INDEX(DMAV_Dienste!O$6:O$140,$E792)="","",INDEX(DMAV_Dienste!O$6:O$140,$E792))),IF(INDEX(DMAV_Modell!P$6:P$838,$B792)="","",INDEX(DMAV_Modell!P$6:P$838,$B792)))</f>
        <v>Bodenbedeckung</v>
      </c>
      <c r="M792" s="62" t="str" cm="1">
        <f t="array" ref="M792">IF($B792=0,IF($E792=0,"",IF(INDEX(DMAV_Dienste!Q$6:Q$140,$E792)="","",INDEX(DMAV_Dienste!Q$6:Q$140,$E792))),IF(INDEX(DMAV_Modell!R$6:R$838,$B792)="","",INDEX(DMAV_Modell!R$6:R$838,$B792)))</f>
        <v>Bodenbedeckung</v>
      </c>
      <c r="N792" s="62" t="str" cm="1">
        <f t="array" ref="N792">IF($B792=0,IF($E792=0,"",IF(INDEX(DMAV_Dienste!T$6:T$140,$E792)="","",INDEX(DMAV_Dienste!T$6:T$140,$E792))),IF(INDEX(DMAV_Modell!U$6:U$838,$B792)="","",INDEX(DMAV_Modell!U$6:U$838,$B792)))</f>
        <v>Objektnummer</v>
      </c>
      <c r="O792" s="63" t="str" cm="1">
        <f t="array" aca="1" ref="O792" ca="1">IF(C792=0,IF(F792=0,"",HYPERLINK("#"&amp;RIGHT(CELL("adresse",OFFSET(DMAV_Dienste!$M$6,F792-1,0)),LEN(CELL("adresse",OFFSET(DMAV_Dienste!$M$6,F792-1,0)))-FIND("]",CELL("adresse",OFFSET(DMAV_Dienste!$M$6,F792-1,0)))),"Structure")),HYPERLINK("#"&amp;RIGHT(CELL("adresse",OFFSET(DMAV_Modell!$N$6,C792-1,0)),LEN(CELL("adresse",OFFSET(DMAV_Modell!$N$6,C792-1,0)))-FIND("]",CELL("adresse",OFFSET(DMAV_Modell!$N$6,C792-1,0)))),"Structure"))</f>
        <v>Structure</v>
      </c>
      <c r="P792" s="64" t="str" cm="1">
        <f t="array" aca="1" ref="P792" ca="1">IF(D792=0,IF(G792=0,"",HYPERLINK("#"&amp;RIGHT(CELL("adresse",OFFSET(DMAV_Dienste!$M$6,G792-1,0)),LEN(CELL("adresse",OFFSET(DMAV_Dienste!$M$6,G792-1,0)))-FIND("]",CELL("adresse",OFFSET(DMAV_Dienste!$M$6,G792-1,0)))),"Substructure")),HYPERLINK("#"&amp;RIGHT(CELL("adresse",OFFSET(DMAV_Modell!$N$6,D792-1,0)),LEN(CELL("adresse",OFFSET(DMAV_Modell!$N$6,D792-1,0)))-FIND("]",CELL("adresse",OFFSET(DMAV_Modell!$N$6,D792-1,0)))),"Substructure"))</f>
        <v>Substructure</v>
      </c>
      <c r="R792" s="80"/>
      <c r="T792" s="93"/>
      <c r="U792" s="94"/>
      <c r="V792" s="95" t="s">
        <v>3169</v>
      </c>
      <c r="W792" s="96"/>
      <c r="Y792" s="85" t="s">
        <v>3179</v>
      </c>
      <c r="Z792" s="86" t="s">
        <v>2980</v>
      </c>
      <c r="AA792" s="87" t="s">
        <v>3184</v>
      </c>
      <c r="AB792" s="88"/>
      <c r="AD792" s="77"/>
      <c r="AF792" s="54" t="str" cm="1">
        <f t="array" aca="1" ref="AF792" ca="1">IF(H792=0,"",HYPERLINK("#"&amp;RIGHT(CELL("adresse",OFFSET('DM01-AV-CH'!$G$6,H792-1,0)),LEN(CELL("adresse",OFFSET('DM01-AV-CH'!$G$6,H792-1,0)))-FIND("]",CELL("adresse",OFFSET('DM01-AV-CH'!$G$6,H792-1,0)))),"Modell"))</f>
        <v>Modell</v>
      </c>
      <c r="AG792" s="72" t="str" cm="1">
        <f t="array" ref="AG792">IF($H792=0,"",IF(INDEX('DM01-AV-CH'!G$6:G$834,$H792)="","",INDEX('DM01-AV-CH'!G$6:G$834,$H792)))</f>
        <v>Bodenbedeckung</v>
      </c>
      <c r="AH792" s="73" t="str" cm="1">
        <f t="array" ref="AH792">IF($H792=0,"",IF(INDEX('DM01-AV-CH'!H$6:H$834,$H792)="","",INDEX('DM01-AV-CH'!H$6:H$834,$H792)))</f>
        <v>GebaeudenummerPos</v>
      </c>
      <c r="AI792" s="74" t="str" cm="1">
        <f t="array" ref="AI792">IF($H792=0,"",IF(INDEX('DM01-AV-CH'!I$6:I$834,$H792)="","",INDEX('DM01-AV-CH'!I$6:I$834,$H792)))</f>
        <v>Ori</v>
      </c>
    </row>
    <row r="793" spans="1:35" ht="57" x14ac:dyDescent="0.25">
      <c r="A793" s="57">
        <v>788</v>
      </c>
      <c r="B793" s="57">
        <f>IF($A793="","",IF(_xlfn.XLOOKUP($A793,Korrelation!$D$4:$D$1197,Korrelation!E$4:E$1197,"-",0)="-",0,MATCH(_xlfn.XLOOKUP($A793,Korrelation!$D$4:$D$1197,Korrelation!E$4:E$1197,"",0),DMAV_Modell!$G$6:$G$677,0)))</f>
        <v>434</v>
      </c>
      <c r="C793" s="57">
        <f>IF($A793="","",IF(_xlfn.XLOOKUP($A793,Korrelation!$D$4:$D$1197,Korrelation!F$4:F$1197,"-",0)="-",0,MATCH(_xlfn.XLOOKUP($A793,Korrelation!$D$4:$D$1197,Korrelation!F$4:F$1197,"",0),DMAV_Modell!$G$6:$G$677,0)))</f>
        <v>425</v>
      </c>
      <c r="D793" s="57">
        <f>IF($A793="","",IF(_xlfn.XLOOKUP($A793,Korrelation!$D$4:$D$1197,Korrelation!G$4:G$1197,"-",0)="-",0,MATCH(_xlfn.XLOOKUP($A793,Korrelation!$D$4:$D$1197,Korrelation!G$4:G$1197,"",0),DMAV_Modell!$G$6:$G$677,0)))</f>
        <v>30</v>
      </c>
      <c r="E793" s="57">
        <f>IF($A793="","",IF(_xlfn.XLOOKUP($A793,Korrelation!$D$4:$D$1197,Korrelation!H$4:H$1197,"-",0)="-",0,MATCH(_xlfn.XLOOKUP($A793,Korrelation!$D$4:$D$1197,Korrelation!H$4:H$1197,"",0),DMAV_Dienste!$F$6:$F$140,0)))</f>
        <v>0</v>
      </c>
      <c r="F793" s="57">
        <f>IF($A793="","",IF(_xlfn.XLOOKUP($A793,Korrelation!$D$4:$D$1197,Korrelation!I$4:I$1197,"-",0)="-",0,MATCH(_xlfn.XLOOKUP($A793,Korrelation!$D$4:$D$1197,Korrelation!I$4:I$1197,"",0),DMAV_Dienste!$F$6:$F$140,0)))</f>
        <v>0</v>
      </c>
      <c r="G793" s="57">
        <f>IF($A793="","",IF(_xlfn.XLOOKUP($A793,Korrelation!$D$4:$D$1197,Korrelation!J$4:J$1197,"-",0)="-",0,MATCH(_xlfn.XLOOKUP($A793,Korrelation!$D$4:$D$1197,Korrelation!J$4:J$1197,"",0),DMAV_Dienste!$F$6:$F$140,0)))</f>
        <v>0</v>
      </c>
      <c r="H793" s="57">
        <f>IF($A793="","",IF(_xlfn.XLOOKUP($A793,Korrelation!$D$4:$D$1197,Korrelation!K$4:K$1197,"-",0)="-",0,MATCH(_xlfn.XLOOKUP($A793,Korrelation!$D$4:$D$1197,Korrelation!K$4:K$1197,"",0),'DM01-AV-CH'!$A$6:$A$834,0)))</f>
        <v>236</v>
      </c>
      <c r="J793" s="54" t="str" cm="1">
        <f t="array" aca="1" ref="J793" ca="1">IF(B793=0,IF(E793=0,"",HYPERLINK("#"&amp;RIGHT(CELL("adresse",OFFSET(DMAV_Dienste!$M$6,E793-1,0)),LEN(CELL("adresse",OFFSET(DMAV_Dienste!$M$6,E793-1,0)))-FIND("]",CELL("adresse",OFFSET(DMAV_Dienste!$M$6,E793-1,0)))),"Dienst")),HYPERLINK("#"&amp;RIGHT(CELL("adresse",OFFSET(DMAV_Modell!$N$6,B793-1,0)),LEN(CELL("adresse",OFFSET(DMAV_Modell!$N$6,B793-1,0)))-FIND("]",CELL("adresse",OFFSET(DMAV_Modell!$N$6,B793-1,0)))),"Modell"))</f>
        <v>Modell</v>
      </c>
      <c r="K793" s="61" t="str" cm="1">
        <f t="array" ref="K793">IF($B793=0,IF($E793=0,"",IF(INDEX(DMAV_Dienste!P$6:P$140,$E793)="","",INDEX(DMAV_Dienste!P$6:P$140,$E793))),IF(INDEX(DMAV_Modell!Q$6:Q$838,$B793)="","",INDEX(DMAV_Modell!Q$6:Q$838,$B793)))</f>
        <v>CLASS</v>
      </c>
      <c r="L793" s="62" t="str" cm="1">
        <f t="array" ref="L793">IF($B793=0,IF($E793=0,"",IF(INDEX(DMAV_Dienste!O$6:O$140,$E793)="","",INDEX(DMAV_Dienste!O$6:O$140,$E793))),IF(INDEX(DMAV_Modell!P$6:P$838,$B793)="","",INDEX(DMAV_Modell!P$6:P$838,$B793)))</f>
        <v>Bodenbedeckung</v>
      </c>
      <c r="M793" s="62" t="str" cm="1">
        <f t="array" ref="M793">IF($B793=0,IF($E793=0,"",IF(INDEX(DMAV_Dienste!Q$6:Q$140,$E793)="","",INDEX(DMAV_Dienste!Q$6:Q$140,$E793))),IF(INDEX(DMAV_Modell!R$6:R$838,$B793)="","",INDEX(DMAV_Modell!R$6:R$838,$B793)))</f>
        <v>Bodenbedeckung</v>
      </c>
      <c r="N793" s="62" t="str" cm="1">
        <f t="array" ref="N793">IF($B793=0,IF($E793=0,"",IF(INDEX(DMAV_Dienste!T$6:T$140,$E793)="","",INDEX(DMAV_Dienste!T$6:T$140,$E793))),IF(INDEX(DMAV_Modell!U$6:U$838,$B793)="","",INDEX(DMAV_Modell!U$6:U$838,$B793)))</f>
        <v>Objektnummer</v>
      </c>
      <c r="O793" s="63" t="str" cm="1">
        <f t="array" aca="1" ref="O793" ca="1">IF(C793=0,IF(F793=0,"",HYPERLINK("#"&amp;RIGHT(CELL("adresse",OFFSET(DMAV_Dienste!$M$6,F793-1,0)),LEN(CELL("adresse",OFFSET(DMAV_Dienste!$M$6,F793-1,0)))-FIND("]",CELL("adresse",OFFSET(DMAV_Dienste!$M$6,F793-1,0)))),"Structure")),HYPERLINK("#"&amp;RIGHT(CELL("adresse",OFFSET(DMAV_Modell!$N$6,C793-1,0)),LEN(CELL("adresse",OFFSET(DMAV_Modell!$N$6,C793-1,0)))-FIND("]",CELL("adresse",OFFSET(DMAV_Modell!$N$6,C793-1,0)))),"Structure"))</f>
        <v>Structure</v>
      </c>
      <c r="P793" s="64" t="str" cm="1">
        <f t="array" aca="1" ref="P793" ca="1">IF(D793=0,IF(G793=0,"",HYPERLINK("#"&amp;RIGHT(CELL("adresse",OFFSET(DMAV_Dienste!$M$6,G793-1,0)),LEN(CELL("adresse",OFFSET(DMAV_Dienste!$M$6,G793-1,0)))-FIND("]",CELL("adresse",OFFSET(DMAV_Dienste!$M$6,G793-1,0)))),"Substructure")),HYPERLINK("#"&amp;RIGHT(CELL("adresse",OFFSET(DMAV_Modell!$N$6,D793-1,0)),LEN(CELL("adresse",OFFSET(DMAV_Modell!$N$6,D793-1,0)))-FIND("]",CELL("adresse",OFFSET(DMAV_Modell!$N$6,D793-1,0)))),"Substructure"))</f>
        <v>Substructure</v>
      </c>
      <c r="R793" s="80"/>
      <c r="T793" s="93"/>
      <c r="U793" s="94"/>
      <c r="V793" s="95" t="s">
        <v>3170</v>
      </c>
      <c r="W793" s="96"/>
      <c r="Y793" s="85" t="s">
        <v>3179</v>
      </c>
      <c r="Z793" s="86" t="s">
        <v>2980</v>
      </c>
      <c r="AA793" s="87" t="s">
        <v>3185</v>
      </c>
      <c r="AB793" s="88"/>
      <c r="AD793" s="77"/>
      <c r="AF793" s="54" t="str" cm="1">
        <f t="array" aca="1" ref="AF793" ca="1">IF(H793=0,"",HYPERLINK("#"&amp;RIGHT(CELL("adresse",OFFSET('DM01-AV-CH'!$G$6,H793-1,0)),LEN(CELL("adresse",OFFSET('DM01-AV-CH'!$G$6,H793-1,0)))-FIND("]",CELL("adresse",OFFSET('DM01-AV-CH'!$G$6,H793-1,0)))),"Modell"))</f>
        <v>Modell</v>
      </c>
      <c r="AG793" s="72" t="str" cm="1">
        <f t="array" ref="AG793">IF($H793=0,"",IF(INDEX('DM01-AV-CH'!G$6:G$834,$H793)="","",INDEX('DM01-AV-CH'!G$6:G$834,$H793)))</f>
        <v>Bodenbedeckung</v>
      </c>
      <c r="AH793" s="73" t="str" cm="1">
        <f t="array" ref="AH793">IF($H793=0,"",IF(INDEX('DM01-AV-CH'!H$6:H$834,$H793)="","",INDEX('DM01-AV-CH'!H$6:H$834,$H793)))</f>
        <v>GebaeudenummerPos</v>
      </c>
      <c r="AI793" s="74" t="str" cm="1">
        <f t="array" ref="AI793">IF($H793=0,"",IF(INDEX('DM01-AV-CH'!I$6:I$834,$H793)="","",INDEX('DM01-AV-CH'!I$6:I$834,$H793)))</f>
        <v>HAli</v>
      </c>
    </row>
    <row r="794" spans="1:35" ht="57" x14ac:dyDescent="0.25">
      <c r="A794" s="57">
        <v>789</v>
      </c>
      <c r="B794" s="57">
        <f>IF($A794="","",IF(_xlfn.XLOOKUP($A794,Korrelation!$D$4:$D$1197,Korrelation!E$4:E$1197,"-",0)="-",0,MATCH(_xlfn.XLOOKUP($A794,Korrelation!$D$4:$D$1197,Korrelation!E$4:E$1197,"",0),DMAV_Modell!$G$6:$G$677,0)))</f>
        <v>434</v>
      </c>
      <c r="C794" s="57">
        <f>IF($A794="","",IF(_xlfn.XLOOKUP($A794,Korrelation!$D$4:$D$1197,Korrelation!F$4:F$1197,"-",0)="-",0,MATCH(_xlfn.XLOOKUP($A794,Korrelation!$D$4:$D$1197,Korrelation!F$4:F$1197,"",0),DMAV_Modell!$G$6:$G$677,0)))</f>
        <v>425</v>
      </c>
      <c r="D794" s="57">
        <f>IF($A794="","",IF(_xlfn.XLOOKUP($A794,Korrelation!$D$4:$D$1197,Korrelation!G$4:G$1197,"-",0)="-",0,MATCH(_xlfn.XLOOKUP($A794,Korrelation!$D$4:$D$1197,Korrelation!G$4:G$1197,"",0),DMAV_Modell!$G$6:$G$677,0)))</f>
        <v>31</v>
      </c>
      <c r="E794" s="57">
        <f>IF($A794="","",IF(_xlfn.XLOOKUP($A794,Korrelation!$D$4:$D$1197,Korrelation!H$4:H$1197,"-",0)="-",0,MATCH(_xlfn.XLOOKUP($A794,Korrelation!$D$4:$D$1197,Korrelation!H$4:H$1197,"",0),DMAV_Dienste!$F$6:$F$140,0)))</f>
        <v>0</v>
      </c>
      <c r="F794" s="57">
        <f>IF($A794="","",IF(_xlfn.XLOOKUP($A794,Korrelation!$D$4:$D$1197,Korrelation!I$4:I$1197,"-",0)="-",0,MATCH(_xlfn.XLOOKUP($A794,Korrelation!$D$4:$D$1197,Korrelation!I$4:I$1197,"",0),DMAV_Dienste!$F$6:$F$140,0)))</f>
        <v>0</v>
      </c>
      <c r="G794" s="57">
        <f>IF($A794="","",IF(_xlfn.XLOOKUP($A794,Korrelation!$D$4:$D$1197,Korrelation!J$4:J$1197,"-",0)="-",0,MATCH(_xlfn.XLOOKUP($A794,Korrelation!$D$4:$D$1197,Korrelation!J$4:J$1197,"",0),DMAV_Dienste!$F$6:$F$140,0)))</f>
        <v>0</v>
      </c>
      <c r="H794" s="57">
        <f>IF($A794="","",IF(_xlfn.XLOOKUP($A794,Korrelation!$D$4:$D$1197,Korrelation!K$4:K$1197,"-",0)="-",0,MATCH(_xlfn.XLOOKUP($A794,Korrelation!$D$4:$D$1197,Korrelation!K$4:K$1197,"",0),'DM01-AV-CH'!$A$6:$A$834,0)))</f>
        <v>237</v>
      </c>
      <c r="J794" s="54" t="str" cm="1">
        <f t="array" aca="1" ref="J794" ca="1">IF(B794=0,IF(E794=0,"",HYPERLINK("#"&amp;RIGHT(CELL("adresse",OFFSET(DMAV_Dienste!$M$6,E794-1,0)),LEN(CELL("adresse",OFFSET(DMAV_Dienste!$M$6,E794-1,0)))-FIND("]",CELL("adresse",OFFSET(DMAV_Dienste!$M$6,E794-1,0)))),"Dienst")),HYPERLINK("#"&amp;RIGHT(CELL("adresse",OFFSET(DMAV_Modell!$N$6,B794-1,0)),LEN(CELL("adresse",OFFSET(DMAV_Modell!$N$6,B794-1,0)))-FIND("]",CELL("adresse",OFFSET(DMAV_Modell!$N$6,B794-1,0)))),"Modell"))</f>
        <v>Modell</v>
      </c>
      <c r="K794" s="61" t="str" cm="1">
        <f t="array" ref="K794">IF($B794=0,IF($E794=0,"",IF(INDEX(DMAV_Dienste!P$6:P$140,$E794)="","",INDEX(DMAV_Dienste!P$6:P$140,$E794))),IF(INDEX(DMAV_Modell!Q$6:Q$838,$B794)="","",INDEX(DMAV_Modell!Q$6:Q$838,$B794)))</f>
        <v>CLASS</v>
      </c>
      <c r="L794" s="62" t="str" cm="1">
        <f t="array" ref="L794">IF($B794=0,IF($E794=0,"",IF(INDEX(DMAV_Dienste!O$6:O$140,$E794)="","",INDEX(DMAV_Dienste!O$6:O$140,$E794))),IF(INDEX(DMAV_Modell!P$6:P$838,$B794)="","",INDEX(DMAV_Modell!P$6:P$838,$B794)))</f>
        <v>Bodenbedeckung</v>
      </c>
      <c r="M794" s="62" t="str" cm="1">
        <f t="array" ref="M794">IF($B794=0,IF($E794=0,"",IF(INDEX(DMAV_Dienste!Q$6:Q$140,$E794)="","",INDEX(DMAV_Dienste!Q$6:Q$140,$E794))),IF(INDEX(DMAV_Modell!R$6:R$838,$B794)="","",INDEX(DMAV_Modell!R$6:R$838,$B794)))</f>
        <v>Bodenbedeckung</v>
      </c>
      <c r="N794" s="62" t="str" cm="1">
        <f t="array" ref="N794">IF($B794=0,IF($E794=0,"",IF(INDEX(DMAV_Dienste!T$6:T$140,$E794)="","",INDEX(DMAV_Dienste!T$6:T$140,$E794))),IF(INDEX(DMAV_Modell!U$6:U$838,$B794)="","",INDEX(DMAV_Modell!U$6:U$838,$B794)))</f>
        <v>Objektnummer</v>
      </c>
      <c r="O794" s="63" t="str" cm="1">
        <f t="array" aca="1" ref="O794" ca="1">IF(C794=0,IF(F794=0,"",HYPERLINK("#"&amp;RIGHT(CELL("adresse",OFFSET(DMAV_Dienste!$M$6,F794-1,0)),LEN(CELL("adresse",OFFSET(DMAV_Dienste!$M$6,F794-1,0)))-FIND("]",CELL("adresse",OFFSET(DMAV_Dienste!$M$6,F794-1,0)))),"Structure")),HYPERLINK("#"&amp;RIGHT(CELL("adresse",OFFSET(DMAV_Modell!$N$6,C794-1,0)),LEN(CELL("adresse",OFFSET(DMAV_Modell!$N$6,C794-1,0)))-FIND("]",CELL("adresse",OFFSET(DMAV_Modell!$N$6,C794-1,0)))),"Structure"))</f>
        <v>Structure</v>
      </c>
      <c r="P794" s="64" t="str" cm="1">
        <f t="array" aca="1" ref="P794" ca="1">IF(D794=0,IF(G794=0,"",HYPERLINK("#"&amp;RIGHT(CELL("adresse",OFFSET(DMAV_Dienste!$M$6,G794-1,0)),LEN(CELL("adresse",OFFSET(DMAV_Dienste!$M$6,G794-1,0)))-FIND("]",CELL("adresse",OFFSET(DMAV_Dienste!$M$6,G794-1,0)))),"Substructure")),HYPERLINK("#"&amp;RIGHT(CELL("adresse",OFFSET(DMAV_Modell!$N$6,D794-1,0)),LEN(CELL("adresse",OFFSET(DMAV_Modell!$N$6,D794-1,0)))-FIND("]",CELL("adresse",OFFSET(DMAV_Modell!$N$6,D794-1,0)))),"Substructure"))</f>
        <v>Substructure</v>
      </c>
      <c r="R794" s="80"/>
      <c r="T794" s="93"/>
      <c r="U794" s="94"/>
      <c r="V794" s="95" t="s">
        <v>3171</v>
      </c>
      <c r="W794" s="96"/>
      <c r="Y794" s="85" t="s">
        <v>3179</v>
      </c>
      <c r="Z794" s="86" t="s">
        <v>2980</v>
      </c>
      <c r="AA794" s="87" t="s">
        <v>3186</v>
      </c>
      <c r="AB794" s="88"/>
      <c r="AD794" s="77"/>
      <c r="AF794" s="54" t="str" cm="1">
        <f t="array" aca="1" ref="AF794" ca="1">IF(H794=0,"",HYPERLINK("#"&amp;RIGHT(CELL("adresse",OFFSET('DM01-AV-CH'!$G$6,H794-1,0)),LEN(CELL("adresse",OFFSET('DM01-AV-CH'!$G$6,H794-1,0)))-FIND("]",CELL("adresse",OFFSET('DM01-AV-CH'!$G$6,H794-1,0)))),"Modell"))</f>
        <v>Modell</v>
      </c>
      <c r="AG794" s="72" t="str" cm="1">
        <f t="array" ref="AG794">IF($H794=0,"",IF(INDEX('DM01-AV-CH'!G$6:G$834,$H794)="","",INDEX('DM01-AV-CH'!G$6:G$834,$H794)))</f>
        <v>Bodenbedeckung</v>
      </c>
      <c r="AH794" s="73" t="str" cm="1">
        <f t="array" ref="AH794">IF($H794=0,"",IF(INDEX('DM01-AV-CH'!H$6:H$834,$H794)="","",INDEX('DM01-AV-CH'!H$6:H$834,$H794)))</f>
        <v>GebaeudenummerPos</v>
      </c>
      <c r="AI794" s="74" t="str" cm="1">
        <f t="array" ref="AI794">IF($H794=0,"",IF(INDEX('DM01-AV-CH'!I$6:I$834,$H794)="","",INDEX('DM01-AV-CH'!I$6:I$834,$H794)))</f>
        <v>VAli</v>
      </c>
    </row>
    <row r="795" spans="1:35" ht="57" x14ac:dyDescent="0.25">
      <c r="A795" s="57">
        <v>790</v>
      </c>
      <c r="B795" s="57">
        <f>IF($A795="","",IF(_xlfn.XLOOKUP($A795,Korrelation!$D$4:$D$1197,Korrelation!E$4:E$1197,"-",0)="-",0,MATCH(_xlfn.XLOOKUP($A795,Korrelation!$D$4:$D$1197,Korrelation!E$4:E$1197,"",0),DMAV_Modell!$G$6:$G$677,0)))</f>
        <v>434</v>
      </c>
      <c r="C795" s="57">
        <f>IF($A795="","",IF(_xlfn.XLOOKUP($A795,Korrelation!$D$4:$D$1197,Korrelation!F$4:F$1197,"-",0)="-",0,MATCH(_xlfn.XLOOKUP($A795,Korrelation!$D$4:$D$1197,Korrelation!F$4:F$1197,"",0),DMAV_Modell!$G$6:$G$677,0)))</f>
        <v>425</v>
      </c>
      <c r="D795" s="57">
        <f>IF($A795="","",IF(_xlfn.XLOOKUP($A795,Korrelation!$D$4:$D$1197,Korrelation!G$4:G$1197,"-",0)="-",0,MATCH(_xlfn.XLOOKUP($A795,Korrelation!$D$4:$D$1197,Korrelation!G$4:G$1197,"",0),DMAV_Modell!$G$6:$G$677,0)))</f>
        <v>29</v>
      </c>
      <c r="E795" s="57">
        <f>IF($A795="","",IF(_xlfn.XLOOKUP($A795,Korrelation!$D$4:$D$1197,Korrelation!H$4:H$1197,"-",0)="-",0,MATCH(_xlfn.XLOOKUP($A795,Korrelation!$D$4:$D$1197,Korrelation!H$4:H$1197,"",0),DMAV_Dienste!$F$6:$F$140,0)))</f>
        <v>0</v>
      </c>
      <c r="F795" s="57">
        <f>IF($A795="","",IF(_xlfn.XLOOKUP($A795,Korrelation!$D$4:$D$1197,Korrelation!I$4:I$1197,"-",0)="-",0,MATCH(_xlfn.XLOOKUP($A795,Korrelation!$D$4:$D$1197,Korrelation!I$4:I$1197,"",0),DMAV_Dienste!$F$6:$F$140,0)))</f>
        <v>0</v>
      </c>
      <c r="G795" s="57">
        <f>IF($A795="","",IF(_xlfn.XLOOKUP($A795,Korrelation!$D$4:$D$1197,Korrelation!J$4:J$1197,"-",0)="-",0,MATCH(_xlfn.XLOOKUP($A795,Korrelation!$D$4:$D$1197,Korrelation!J$4:J$1197,"",0),DMAV_Dienste!$F$6:$F$140,0)))</f>
        <v>0</v>
      </c>
      <c r="H795" s="57">
        <f>IF($A795="","",IF(_xlfn.XLOOKUP($A795,Korrelation!$D$4:$D$1197,Korrelation!K$4:K$1197,"-",0)="-",0,MATCH(_xlfn.XLOOKUP($A795,Korrelation!$D$4:$D$1197,Korrelation!K$4:K$1197,"",0),'DM01-AV-CH'!$A$6:$A$834,0)))</f>
        <v>238</v>
      </c>
      <c r="J795" s="54" t="str" cm="1">
        <f t="array" aca="1" ref="J795" ca="1">IF(B795=0,IF(E795=0,"",HYPERLINK("#"&amp;RIGHT(CELL("adresse",OFFSET(DMAV_Dienste!$M$6,E795-1,0)),LEN(CELL("adresse",OFFSET(DMAV_Dienste!$M$6,E795-1,0)))-FIND("]",CELL("adresse",OFFSET(DMAV_Dienste!$M$6,E795-1,0)))),"Dienst")),HYPERLINK("#"&amp;RIGHT(CELL("adresse",OFFSET(DMAV_Modell!$N$6,B795-1,0)),LEN(CELL("adresse",OFFSET(DMAV_Modell!$N$6,B795-1,0)))-FIND("]",CELL("adresse",OFFSET(DMAV_Modell!$N$6,B795-1,0)))),"Modell"))</f>
        <v>Modell</v>
      </c>
      <c r="K795" s="61" t="str" cm="1">
        <f t="array" ref="K795">IF($B795=0,IF($E795=0,"",IF(INDEX(DMAV_Dienste!P$6:P$140,$E795)="","",INDEX(DMAV_Dienste!P$6:P$140,$E795))),IF(INDEX(DMAV_Modell!Q$6:Q$838,$B795)="","",INDEX(DMAV_Modell!Q$6:Q$838,$B795)))</f>
        <v>CLASS</v>
      </c>
      <c r="L795" s="62" t="str" cm="1">
        <f t="array" ref="L795">IF($B795=0,IF($E795=0,"",IF(INDEX(DMAV_Dienste!O$6:O$140,$E795)="","",INDEX(DMAV_Dienste!O$6:O$140,$E795))),IF(INDEX(DMAV_Modell!P$6:P$838,$B795)="","",INDEX(DMAV_Modell!P$6:P$838,$B795)))</f>
        <v>Bodenbedeckung</v>
      </c>
      <c r="M795" s="62" t="str" cm="1">
        <f t="array" ref="M795">IF($B795=0,IF($E795=0,"",IF(INDEX(DMAV_Dienste!Q$6:Q$140,$E795)="","",INDEX(DMAV_Dienste!Q$6:Q$140,$E795))),IF(INDEX(DMAV_Modell!R$6:R$838,$B795)="","",INDEX(DMAV_Modell!R$6:R$838,$B795)))</f>
        <v>Bodenbedeckung</v>
      </c>
      <c r="N795" s="62" t="str" cm="1">
        <f t="array" ref="N795">IF($B795=0,IF($E795=0,"",IF(INDEX(DMAV_Dienste!T$6:T$140,$E795)="","",INDEX(DMAV_Dienste!T$6:T$140,$E795))),IF(INDEX(DMAV_Modell!U$6:U$838,$B795)="","",INDEX(DMAV_Modell!U$6:U$838,$B795)))</f>
        <v>Objektnummer</v>
      </c>
      <c r="O795" s="63" t="str" cm="1">
        <f t="array" aca="1" ref="O795" ca="1">IF(C795=0,IF(F795=0,"",HYPERLINK("#"&amp;RIGHT(CELL("adresse",OFFSET(DMAV_Dienste!$M$6,F795-1,0)),LEN(CELL("adresse",OFFSET(DMAV_Dienste!$M$6,F795-1,0)))-FIND("]",CELL("adresse",OFFSET(DMAV_Dienste!$M$6,F795-1,0)))),"Structure")),HYPERLINK("#"&amp;RIGHT(CELL("adresse",OFFSET(DMAV_Modell!$N$6,C795-1,0)),LEN(CELL("adresse",OFFSET(DMAV_Modell!$N$6,C795-1,0)))-FIND("]",CELL("adresse",OFFSET(DMAV_Modell!$N$6,C795-1,0)))),"Structure"))</f>
        <v>Structure</v>
      </c>
      <c r="P795" s="64" t="str" cm="1">
        <f t="array" aca="1" ref="P795" ca="1">IF(D795=0,IF(G795=0,"",HYPERLINK("#"&amp;RIGHT(CELL("adresse",OFFSET(DMAV_Dienste!$M$6,G795-1,0)),LEN(CELL("adresse",OFFSET(DMAV_Dienste!$M$6,G795-1,0)))-FIND("]",CELL("adresse",OFFSET(DMAV_Dienste!$M$6,G795-1,0)))),"Substructure")),HYPERLINK("#"&amp;RIGHT(CELL("adresse",OFFSET(DMAV_Modell!$N$6,D795-1,0)),LEN(CELL("adresse",OFFSET(DMAV_Modell!$N$6,D795-1,0)))-FIND("]",CELL("adresse",OFFSET(DMAV_Modell!$N$6,D795-1,0)))),"Substructure"))</f>
        <v>Substructure</v>
      </c>
      <c r="R795" s="80"/>
      <c r="T795" s="93"/>
      <c r="U795" s="94"/>
      <c r="V795" s="95" t="s">
        <v>3172</v>
      </c>
      <c r="W795" s="96"/>
      <c r="Y795" s="85" t="s">
        <v>3179</v>
      </c>
      <c r="Z795" s="86" t="s">
        <v>2980</v>
      </c>
      <c r="AA795" s="87" t="s">
        <v>3187</v>
      </c>
      <c r="AB795" s="88"/>
      <c r="AD795" s="77"/>
      <c r="AF795" s="54" t="str" cm="1">
        <f t="array" aca="1" ref="AF795" ca="1">IF(H795=0,"",HYPERLINK("#"&amp;RIGHT(CELL("adresse",OFFSET('DM01-AV-CH'!$G$6,H795-1,0)),LEN(CELL("adresse",OFFSET('DM01-AV-CH'!$G$6,H795-1,0)))-FIND("]",CELL("adresse",OFFSET('DM01-AV-CH'!$G$6,H795-1,0)))),"Modell"))</f>
        <v>Modell</v>
      </c>
      <c r="AG795" s="72" t="str" cm="1">
        <f t="array" ref="AG795">IF($H795=0,"",IF(INDEX('DM01-AV-CH'!G$6:G$834,$H795)="","",INDEX('DM01-AV-CH'!G$6:G$834,$H795)))</f>
        <v>Bodenbedeckung</v>
      </c>
      <c r="AH795" s="73" t="str" cm="1">
        <f t="array" ref="AH795">IF($H795=0,"",IF(INDEX('DM01-AV-CH'!H$6:H$834,$H795)="","",INDEX('DM01-AV-CH'!H$6:H$834,$H795)))</f>
        <v>GebaeudenummerPos</v>
      </c>
      <c r="AI795" s="74" t="str" cm="1">
        <f t="array" ref="AI795">IF($H795=0,"",IF(INDEX('DM01-AV-CH'!I$6:I$834,$H795)="","",INDEX('DM01-AV-CH'!I$6:I$834,$H795)))</f>
        <v>Groesse</v>
      </c>
    </row>
    <row r="796" spans="1:35" x14ac:dyDescent="0.25">
      <c r="A796" s="57">
        <v>791</v>
      </c>
      <c r="B796" s="57">
        <f>IF($A796="","",IF(_xlfn.XLOOKUP($A796,Korrelation!$D$4:$D$1197,Korrelation!E$4:E$1197,"-",0)="-",0,MATCH(_xlfn.XLOOKUP($A796,Korrelation!$D$4:$D$1197,Korrelation!E$4:E$1197,"",0),DMAV_Modell!$G$6:$G$677,0)))</f>
        <v>0</v>
      </c>
      <c r="C796" s="57">
        <f>IF($A796="","",IF(_xlfn.XLOOKUP($A796,Korrelation!$D$4:$D$1197,Korrelation!F$4:F$1197,"-",0)="-",0,MATCH(_xlfn.XLOOKUP($A796,Korrelation!$D$4:$D$1197,Korrelation!F$4:F$1197,"",0),DMAV_Modell!$G$6:$G$677,0)))</f>
        <v>0</v>
      </c>
      <c r="D796" s="57">
        <f>IF($A796="","",IF(_xlfn.XLOOKUP($A796,Korrelation!$D$4:$D$1197,Korrelation!G$4:G$1197,"-",0)="-",0,MATCH(_xlfn.XLOOKUP($A796,Korrelation!$D$4:$D$1197,Korrelation!G$4:G$1197,"",0),DMAV_Modell!$G$6:$G$677,0)))</f>
        <v>0</v>
      </c>
      <c r="E796" s="57">
        <f>IF($A796="","",IF(_xlfn.XLOOKUP($A796,Korrelation!$D$4:$D$1197,Korrelation!H$4:H$1197,"-",0)="-",0,MATCH(_xlfn.XLOOKUP($A796,Korrelation!$D$4:$D$1197,Korrelation!H$4:H$1197,"",0),DMAV_Dienste!$F$6:$F$140,0)))</f>
        <v>0</v>
      </c>
      <c r="F796" s="57">
        <f>IF($A796="","",IF(_xlfn.XLOOKUP($A796,Korrelation!$D$4:$D$1197,Korrelation!I$4:I$1197,"-",0)="-",0,MATCH(_xlfn.XLOOKUP($A796,Korrelation!$D$4:$D$1197,Korrelation!I$4:I$1197,"",0),DMAV_Dienste!$F$6:$F$140,0)))</f>
        <v>0</v>
      </c>
      <c r="G796" s="57">
        <f>IF($A796="","",IF(_xlfn.XLOOKUP($A796,Korrelation!$D$4:$D$1197,Korrelation!J$4:J$1197,"-",0)="-",0,MATCH(_xlfn.XLOOKUP($A796,Korrelation!$D$4:$D$1197,Korrelation!J$4:J$1197,"",0),DMAV_Dienste!$F$6:$F$140,0)))</f>
        <v>0</v>
      </c>
      <c r="H796" s="57">
        <f>IF($A796="","",IF(_xlfn.XLOOKUP($A796,Korrelation!$D$4:$D$1197,Korrelation!K$4:K$1197,"-",0)="-",0,MATCH(_xlfn.XLOOKUP($A796,Korrelation!$D$4:$D$1197,Korrelation!K$4:K$1197,"",0),'DM01-AV-CH'!$A$6:$A$834,0)))</f>
        <v>239</v>
      </c>
      <c r="J796" s="54" t="str" cm="1">
        <f t="array" aca="1" ref="J796" ca="1">IF(B796=0,IF(E796=0,"",HYPERLINK("#"&amp;RIGHT(CELL("adresse",OFFSET(DMAV_Dienste!$M$6,E796-1,0)),LEN(CELL("adresse",OFFSET(DMAV_Dienste!$M$6,E796-1,0)))-FIND("]",CELL("adresse",OFFSET(DMAV_Dienste!$M$6,E796-1,0)))),"Dienst")),HYPERLINK("#"&amp;RIGHT(CELL("adresse",OFFSET(DMAV_Modell!$N$6,B796-1,0)),LEN(CELL("adresse",OFFSET(DMAV_Modell!$N$6,B796-1,0)))-FIND("]",CELL("adresse",OFFSET(DMAV_Modell!$N$6,B796-1,0)))),"Modell"))</f>
        <v/>
      </c>
      <c r="K796" s="61" t="str" cm="1">
        <f t="array" ref="K796">IF($B796=0,IF($E796=0,"",IF(INDEX(DMAV_Dienste!P$6:P$140,$E796)="","",INDEX(DMAV_Dienste!P$6:P$140,$E796))),IF(INDEX(DMAV_Modell!Q$6:Q$838,$B796)="","",INDEX(DMAV_Modell!Q$6:Q$838,$B796)))</f>
        <v/>
      </c>
      <c r="L796" s="62" t="str" cm="1">
        <f t="array" ref="L796">IF($B796=0,IF($E796=0,"",IF(INDEX(DMAV_Dienste!O$6:O$140,$E796)="","",INDEX(DMAV_Dienste!O$6:O$140,$E796))),IF(INDEX(DMAV_Modell!P$6:P$838,$B796)="","",INDEX(DMAV_Modell!P$6:P$838,$B796)))</f>
        <v/>
      </c>
      <c r="M796" s="62" t="str" cm="1">
        <f t="array" ref="M796">IF($B796=0,IF($E796=0,"",IF(INDEX(DMAV_Dienste!Q$6:Q$140,$E796)="","",INDEX(DMAV_Dienste!Q$6:Q$140,$E796))),IF(INDEX(DMAV_Modell!R$6:R$838,$B796)="","",INDEX(DMAV_Modell!R$6:R$838,$B796)))</f>
        <v/>
      </c>
      <c r="N796" s="62" t="str" cm="1">
        <f t="array" ref="N796">IF($B796=0,IF($E796=0,"",IF(INDEX(DMAV_Dienste!T$6:T$140,$E796)="","",INDEX(DMAV_Dienste!T$6:T$140,$E796))),IF(INDEX(DMAV_Modell!U$6:U$838,$B796)="","",INDEX(DMAV_Modell!U$6:U$838,$B796)))</f>
        <v/>
      </c>
      <c r="O796" s="63" t="str" cm="1">
        <f t="array" aca="1" ref="O796" ca="1">IF(C796=0,IF(F796=0,"",HYPERLINK("#"&amp;RIGHT(CELL("adresse",OFFSET(DMAV_Dienste!$M$6,F796-1,0)),LEN(CELL("adresse",OFFSET(DMAV_Dienste!$M$6,F796-1,0)))-FIND("]",CELL("adresse",OFFSET(DMAV_Dienste!$M$6,F796-1,0)))),"Structure")),HYPERLINK("#"&amp;RIGHT(CELL("adresse",OFFSET(DMAV_Modell!$N$6,C796-1,0)),LEN(CELL("adresse",OFFSET(DMAV_Modell!$N$6,C796-1,0)))-FIND("]",CELL("adresse",OFFSET(DMAV_Modell!$N$6,C796-1,0)))),"Structure"))</f>
        <v/>
      </c>
      <c r="P796" s="64" t="str" cm="1">
        <f t="array" aca="1" ref="P796" ca="1">IF(D796=0,IF(G796=0,"",HYPERLINK("#"&amp;RIGHT(CELL("adresse",OFFSET(DMAV_Dienste!$M$6,G796-1,0)),LEN(CELL("adresse",OFFSET(DMAV_Dienste!$M$6,G796-1,0)))-FIND("]",CELL("adresse",OFFSET(DMAV_Dienste!$M$6,G796-1,0)))),"Substructure")),HYPERLINK("#"&amp;RIGHT(CELL("adresse",OFFSET(DMAV_Modell!$N$6,D796-1,0)),LEN(CELL("adresse",OFFSET(DMAV_Modell!$N$6,D796-1,0)))-FIND("]",CELL("adresse",OFFSET(DMAV_Modell!$N$6,D796-1,0)))),"Substructure"))</f>
        <v/>
      </c>
      <c r="R796" s="80"/>
      <c r="T796" s="93"/>
      <c r="U796" s="94"/>
      <c r="V796" s="95"/>
      <c r="W796" s="96"/>
      <c r="Y796" s="85"/>
      <c r="Z796" s="86"/>
      <c r="AA796" s="87"/>
      <c r="AB796" s="88"/>
      <c r="AD796" s="77"/>
      <c r="AF796" s="54" t="str" cm="1">
        <f t="array" aca="1" ref="AF796" ca="1">IF(H796=0,"",HYPERLINK("#"&amp;RIGHT(CELL("adresse",OFFSET('DM01-AV-CH'!$G$6,H796-1,0)),LEN(CELL("adresse",OFFSET('DM01-AV-CH'!$G$6,H796-1,0)))-FIND("]",CELL("adresse",OFFSET('DM01-AV-CH'!$G$6,H796-1,0)))),"Modell"))</f>
        <v>Modell</v>
      </c>
      <c r="AG796" s="72" t="str" cm="1">
        <f t="array" ref="AG796">IF($H796=0,"",IF(INDEX('DM01-AV-CH'!G$6:G$834,$H796)="","",INDEX('DM01-AV-CH'!G$6:G$834,$H796)))</f>
        <v>Bodenbedeckung</v>
      </c>
      <c r="AH796" s="73" t="str" cm="1">
        <f t="array" ref="AH796">IF($H796=0,"",IF(INDEX('DM01-AV-CH'!H$6:H$834,$H796)="","",INDEX('DM01-AV-CH'!H$6:H$834,$H796)))</f>
        <v>Objektname</v>
      </c>
      <c r="AI796" s="74" t="str" cm="1">
        <f t="array" ref="AI796">IF($H796=0,"",IF(INDEX('DM01-AV-CH'!I$6:I$834,$H796)="","",INDEX('DM01-AV-CH'!I$6:I$834,$H796)))</f>
        <v>Objektname_von</v>
      </c>
    </row>
    <row r="797" spans="1:35" ht="57" x14ac:dyDescent="0.25">
      <c r="A797" s="57">
        <v>792</v>
      </c>
      <c r="B797" s="57">
        <f>IF($A797="","",IF(_xlfn.XLOOKUP($A797,Korrelation!$D$4:$D$1197,Korrelation!E$4:E$1197,"-",0)="-",0,MATCH(_xlfn.XLOOKUP($A797,Korrelation!$D$4:$D$1197,Korrelation!E$4:E$1197,"",0),DMAV_Modell!$G$6:$G$677,0)))</f>
        <v>435</v>
      </c>
      <c r="C797" s="57">
        <f>IF($A797="","",IF(_xlfn.XLOOKUP($A797,Korrelation!$D$4:$D$1197,Korrelation!F$4:F$1197,"-",0)="-",0,MATCH(_xlfn.XLOOKUP($A797,Korrelation!$D$4:$D$1197,Korrelation!F$4:F$1197,"",0),DMAV_Modell!$G$6:$G$677,0)))</f>
        <v>427</v>
      </c>
      <c r="D797" s="57">
        <f>IF($A797="","",IF(_xlfn.XLOOKUP($A797,Korrelation!$D$4:$D$1197,Korrelation!G$4:G$1197,"-",0)="-",0,MATCH(_xlfn.XLOOKUP($A797,Korrelation!$D$4:$D$1197,Korrelation!G$4:G$1197,"",0),DMAV_Modell!$G$6:$G$677,0)))</f>
        <v>0</v>
      </c>
      <c r="E797" s="57">
        <f>IF($A797="","",IF(_xlfn.XLOOKUP($A797,Korrelation!$D$4:$D$1197,Korrelation!H$4:H$1197,"-",0)="-",0,MATCH(_xlfn.XLOOKUP($A797,Korrelation!$D$4:$D$1197,Korrelation!H$4:H$1197,"",0),DMAV_Dienste!$F$6:$F$140,0)))</f>
        <v>0</v>
      </c>
      <c r="F797" s="57">
        <f>IF($A797="","",IF(_xlfn.XLOOKUP($A797,Korrelation!$D$4:$D$1197,Korrelation!I$4:I$1197,"-",0)="-",0,MATCH(_xlfn.XLOOKUP($A797,Korrelation!$D$4:$D$1197,Korrelation!I$4:I$1197,"",0),DMAV_Dienste!$F$6:$F$140,0)))</f>
        <v>0</v>
      </c>
      <c r="G797" s="57">
        <f>IF($A797="","",IF(_xlfn.XLOOKUP($A797,Korrelation!$D$4:$D$1197,Korrelation!J$4:J$1197,"-",0)="-",0,MATCH(_xlfn.XLOOKUP($A797,Korrelation!$D$4:$D$1197,Korrelation!J$4:J$1197,"",0),DMAV_Dienste!$F$6:$F$140,0)))</f>
        <v>0</v>
      </c>
      <c r="H797" s="57">
        <f>IF($A797="","",IF(_xlfn.XLOOKUP($A797,Korrelation!$D$4:$D$1197,Korrelation!K$4:K$1197,"-",0)="-",0,MATCH(_xlfn.XLOOKUP($A797,Korrelation!$D$4:$D$1197,Korrelation!K$4:K$1197,"",0),'DM01-AV-CH'!$A$6:$A$834,0)))</f>
        <v>240</v>
      </c>
      <c r="J797" s="54" t="str" cm="1">
        <f t="array" aca="1" ref="J797" ca="1">IF(B797=0,IF(E797=0,"",HYPERLINK("#"&amp;RIGHT(CELL("adresse",OFFSET(DMAV_Dienste!$M$6,E797-1,0)),LEN(CELL("adresse",OFFSET(DMAV_Dienste!$M$6,E797-1,0)))-FIND("]",CELL("adresse",OFFSET(DMAV_Dienste!$M$6,E797-1,0)))),"Dienst")),HYPERLINK("#"&amp;RIGHT(CELL("adresse",OFFSET(DMAV_Modell!$N$6,B797-1,0)),LEN(CELL("adresse",OFFSET(DMAV_Modell!$N$6,B797-1,0)))-FIND("]",CELL("adresse",OFFSET(DMAV_Modell!$N$6,B797-1,0)))),"Modell"))</f>
        <v>Modell</v>
      </c>
      <c r="K797" s="61" t="str" cm="1">
        <f t="array" ref="K797">IF($B797=0,IF($E797=0,"",IF(INDEX(DMAV_Dienste!P$6:P$140,$E797)="","",INDEX(DMAV_Dienste!P$6:P$140,$E797))),IF(INDEX(DMAV_Modell!Q$6:Q$838,$B797)="","",INDEX(DMAV_Modell!Q$6:Q$838,$B797)))</f>
        <v>CLASS</v>
      </c>
      <c r="L797" s="62" t="str" cm="1">
        <f t="array" ref="L797">IF($B797=0,IF($E797=0,"",IF(INDEX(DMAV_Dienste!O$6:O$140,$E797)="","",INDEX(DMAV_Dienste!O$6:O$140,$E797))),IF(INDEX(DMAV_Modell!P$6:P$838,$B797)="","",INDEX(DMAV_Modell!P$6:P$838,$B797)))</f>
        <v>Bodenbedeckung</v>
      </c>
      <c r="M797" s="62" t="str" cm="1">
        <f t="array" ref="M797">IF($B797=0,IF($E797=0,"",IF(INDEX(DMAV_Dienste!Q$6:Q$140,$E797)="","",INDEX(DMAV_Dienste!Q$6:Q$140,$E797))),IF(INDEX(DMAV_Modell!R$6:R$838,$B797)="","",INDEX(DMAV_Modell!R$6:R$838,$B797)))</f>
        <v>Bodenbedeckung</v>
      </c>
      <c r="N797" s="62" t="str" cm="1">
        <f t="array" ref="N797">IF($B797=0,IF($E797=0,"",IF(INDEX(DMAV_Dienste!T$6:T$140,$E797)="","",INDEX(DMAV_Dienste!T$6:T$140,$E797))),IF(INDEX(DMAV_Modell!U$6:U$838,$B797)="","",INDEX(DMAV_Modell!U$6:U$838,$B797)))</f>
        <v>Objektname</v>
      </c>
      <c r="O797" s="63" t="str" cm="1">
        <f t="array" aca="1" ref="O797" ca="1">IF(C797=0,IF(F797=0,"",HYPERLINK("#"&amp;RIGHT(CELL("adresse",OFFSET(DMAV_Dienste!$M$6,F797-1,0)),LEN(CELL("adresse",OFFSET(DMAV_Dienste!$M$6,F797-1,0)))-FIND("]",CELL("adresse",OFFSET(DMAV_Dienste!$M$6,F797-1,0)))),"Structure")),HYPERLINK("#"&amp;RIGHT(CELL("adresse",OFFSET(DMAV_Modell!$N$6,C797-1,0)),LEN(CELL("adresse",OFFSET(DMAV_Modell!$N$6,C797-1,0)))-FIND("]",CELL("adresse",OFFSET(DMAV_Modell!$N$6,C797-1,0)))),"Structure"))</f>
        <v>Structure</v>
      </c>
      <c r="P797" s="64" t="str" cm="1">
        <f t="array" aca="1" ref="P797" ca="1">IF(D797=0,IF(G797=0,"",HYPERLINK("#"&amp;RIGHT(CELL("adresse",OFFSET(DMAV_Dienste!$M$6,G797-1,0)),LEN(CELL("adresse",OFFSET(DMAV_Dienste!$M$6,G797-1,0)))-FIND("]",CELL("adresse",OFFSET(DMAV_Dienste!$M$6,G797-1,0)))),"Substructure")),HYPERLINK("#"&amp;RIGHT(CELL("adresse",OFFSET(DMAV_Modell!$N$6,D797-1,0)),LEN(CELL("adresse",OFFSET(DMAV_Modell!$N$6,D797-1,0)))-FIND("]",CELL("adresse",OFFSET(DMAV_Modell!$N$6,D797-1,0)))),"Substructure"))</f>
        <v/>
      </c>
      <c r="R797" s="80"/>
      <c r="T797" s="93"/>
      <c r="U797" s="94"/>
      <c r="V797" s="95" t="s">
        <v>3173</v>
      </c>
      <c r="W797" s="96"/>
      <c r="Y797" s="85" t="s">
        <v>3179</v>
      </c>
      <c r="Z797" s="86" t="s">
        <v>2980</v>
      </c>
      <c r="AA797" s="87" t="s">
        <v>3188</v>
      </c>
      <c r="AB797" s="88"/>
      <c r="AD797" s="77"/>
      <c r="AF797" s="54" t="str" cm="1">
        <f t="array" aca="1" ref="AF797" ca="1">IF(H797=0,"",HYPERLINK("#"&amp;RIGHT(CELL("adresse",OFFSET('DM01-AV-CH'!$G$6,H797-1,0)),LEN(CELL("adresse",OFFSET('DM01-AV-CH'!$G$6,H797-1,0)))-FIND("]",CELL("adresse",OFFSET('DM01-AV-CH'!$G$6,H797-1,0)))),"Modell"))</f>
        <v>Modell</v>
      </c>
      <c r="AG797" s="72" t="str" cm="1">
        <f t="array" ref="AG797">IF($H797=0,"",IF(INDEX('DM01-AV-CH'!G$6:G$834,$H797)="","",INDEX('DM01-AV-CH'!G$6:G$834,$H797)))</f>
        <v>Bodenbedeckung</v>
      </c>
      <c r="AH797" s="73" t="str" cm="1">
        <f t="array" ref="AH797">IF($H797=0,"",IF(INDEX('DM01-AV-CH'!H$6:H$834,$H797)="","",INDEX('DM01-AV-CH'!H$6:H$834,$H797)))</f>
        <v>Objektname</v>
      </c>
      <c r="AI797" s="74" t="str" cm="1">
        <f t="array" ref="AI797">IF($H797=0,"",IF(INDEX('DM01-AV-CH'!I$6:I$834,$H797)="","",INDEX('DM01-AV-CH'!I$6:I$834,$H797)))</f>
        <v>Name</v>
      </c>
    </row>
    <row r="798" spans="1:35" x14ac:dyDescent="0.25">
      <c r="A798" s="57">
        <v>793</v>
      </c>
      <c r="B798" s="57">
        <f>IF($A798="","",IF(_xlfn.XLOOKUP($A798,Korrelation!$D$4:$D$1197,Korrelation!E$4:E$1197,"-",0)="-",0,MATCH(_xlfn.XLOOKUP($A798,Korrelation!$D$4:$D$1197,Korrelation!E$4:E$1197,"",0),DMAV_Modell!$G$6:$G$677,0)))</f>
        <v>0</v>
      </c>
      <c r="C798" s="57">
        <f>IF($A798="","",IF(_xlfn.XLOOKUP($A798,Korrelation!$D$4:$D$1197,Korrelation!F$4:F$1197,"-",0)="-",0,MATCH(_xlfn.XLOOKUP($A798,Korrelation!$D$4:$D$1197,Korrelation!F$4:F$1197,"",0),DMAV_Modell!$G$6:$G$677,0)))</f>
        <v>0</v>
      </c>
      <c r="D798" s="57">
        <f>IF($A798="","",IF(_xlfn.XLOOKUP($A798,Korrelation!$D$4:$D$1197,Korrelation!G$4:G$1197,"-",0)="-",0,MATCH(_xlfn.XLOOKUP($A798,Korrelation!$D$4:$D$1197,Korrelation!G$4:G$1197,"",0),DMAV_Modell!$G$6:$G$677,0)))</f>
        <v>0</v>
      </c>
      <c r="E798" s="57">
        <f>IF($A798="","",IF(_xlfn.XLOOKUP($A798,Korrelation!$D$4:$D$1197,Korrelation!H$4:H$1197,"-",0)="-",0,MATCH(_xlfn.XLOOKUP($A798,Korrelation!$D$4:$D$1197,Korrelation!H$4:H$1197,"",0),DMAV_Dienste!$F$6:$F$140,0)))</f>
        <v>0</v>
      </c>
      <c r="F798" s="57">
        <f>IF($A798="","",IF(_xlfn.XLOOKUP($A798,Korrelation!$D$4:$D$1197,Korrelation!I$4:I$1197,"-",0)="-",0,MATCH(_xlfn.XLOOKUP($A798,Korrelation!$D$4:$D$1197,Korrelation!I$4:I$1197,"",0),DMAV_Dienste!$F$6:$F$140,0)))</f>
        <v>0</v>
      </c>
      <c r="G798" s="57">
        <f>IF($A798="","",IF(_xlfn.XLOOKUP($A798,Korrelation!$D$4:$D$1197,Korrelation!J$4:J$1197,"-",0)="-",0,MATCH(_xlfn.XLOOKUP($A798,Korrelation!$D$4:$D$1197,Korrelation!J$4:J$1197,"",0),DMAV_Dienste!$F$6:$F$140,0)))</f>
        <v>0</v>
      </c>
      <c r="H798" s="57">
        <f>IF($A798="","",IF(_xlfn.XLOOKUP($A798,Korrelation!$D$4:$D$1197,Korrelation!K$4:K$1197,"-",0)="-",0,MATCH(_xlfn.XLOOKUP($A798,Korrelation!$D$4:$D$1197,Korrelation!K$4:K$1197,"",0),'DM01-AV-CH'!$A$6:$A$834,0)))</f>
        <v>241</v>
      </c>
      <c r="J798" s="54" t="str" cm="1">
        <f t="array" aca="1" ref="J798" ca="1">IF(B798=0,IF(E798=0,"",HYPERLINK("#"&amp;RIGHT(CELL("adresse",OFFSET(DMAV_Dienste!$M$6,E798-1,0)),LEN(CELL("adresse",OFFSET(DMAV_Dienste!$M$6,E798-1,0)))-FIND("]",CELL("adresse",OFFSET(DMAV_Dienste!$M$6,E798-1,0)))),"Dienst")),HYPERLINK("#"&amp;RIGHT(CELL("adresse",OFFSET(DMAV_Modell!$N$6,B798-1,0)),LEN(CELL("adresse",OFFSET(DMAV_Modell!$N$6,B798-1,0)))-FIND("]",CELL("adresse",OFFSET(DMAV_Modell!$N$6,B798-1,0)))),"Modell"))</f>
        <v/>
      </c>
      <c r="K798" s="61" t="str" cm="1">
        <f t="array" ref="K798">IF($B798=0,IF($E798=0,"",IF(INDEX(DMAV_Dienste!P$6:P$140,$E798)="","",INDEX(DMAV_Dienste!P$6:P$140,$E798))),IF(INDEX(DMAV_Modell!Q$6:Q$838,$B798)="","",INDEX(DMAV_Modell!Q$6:Q$838,$B798)))</f>
        <v/>
      </c>
      <c r="L798" s="62" t="str" cm="1">
        <f t="array" ref="L798">IF($B798=0,IF($E798=0,"",IF(INDEX(DMAV_Dienste!O$6:O$140,$E798)="","",INDEX(DMAV_Dienste!O$6:O$140,$E798))),IF(INDEX(DMAV_Modell!P$6:P$838,$B798)="","",INDEX(DMAV_Modell!P$6:P$838,$B798)))</f>
        <v/>
      </c>
      <c r="M798" s="62" t="str" cm="1">
        <f t="array" ref="M798">IF($B798=0,IF($E798=0,"",IF(INDEX(DMAV_Dienste!Q$6:Q$140,$E798)="","",INDEX(DMAV_Dienste!Q$6:Q$140,$E798))),IF(INDEX(DMAV_Modell!R$6:R$838,$B798)="","",INDEX(DMAV_Modell!R$6:R$838,$B798)))</f>
        <v/>
      </c>
      <c r="N798" s="62" t="str" cm="1">
        <f t="array" ref="N798">IF($B798=0,IF($E798=0,"",IF(INDEX(DMAV_Dienste!T$6:T$140,$E798)="","",INDEX(DMAV_Dienste!T$6:T$140,$E798))),IF(INDEX(DMAV_Modell!U$6:U$838,$B798)="","",INDEX(DMAV_Modell!U$6:U$838,$B798)))</f>
        <v/>
      </c>
      <c r="O798" s="63" t="str" cm="1">
        <f t="array" aca="1" ref="O798" ca="1">IF(C798=0,IF(F798=0,"",HYPERLINK("#"&amp;RIGHT(CELL("adresse",OFFSET(DMAV_Dienste!$M$6,F798-1,0)),LEN(CELL("adresse",OFFSET(DMAV_Dienste!$M$6,F798-1,0)))-FIND("]",CELL("adresse",OFFSET(DMAV_Dienste!$M$6,F798-1,0)))),"Structure")),HYPERLINK("#"&amp;RIGHT(CELL("adresse",OFFSET(DMAV_Modell!$N$6,C798-1,0)),LEN(CELL("adresse",OFFSET(DMAV_Modell!$N$6,C798-1,0)))-FIND("]",CELL("adresse",OFFSET(DMAV_Modell!$N$6,C798-1,0)))),"Structure"))</f>
        <v/>
      </c>
      <c r="P798" s="64" t="str" cm="1">
        <f t="array" aca="1" ref="P798" ca="1">IF(D798=0,IF(G798=0,"",HYPERLINK("#"&amp;RIGHT(CELL("adresse",OFFSET(DMAV_Dienste!$M$6,G798-1,0)),LEN(CELL("adresse",OFFSET(DMAV_Dienste!$M$6,G798-1,0)))-FIND("]",CELL("adresse",OFFSET(DMAV_Dienste!$M$6,G798-1,0)))),"Substructure")),HYPERLINK("#"&amp;RIGHT(CELL("adresse",OFFSET(DMAV_Modell!$N$6,D798-1,0)),LEN(CELL("adresse",OFFSET(DMAV_Modell!$N$6,D798-1,0)))-FIND("]",CELL("adresse",OFFSET(DMAV_Modell!$N$6,D798-1,0)))),"Substructure"))</f>
        <v/>
      </c>
      <c r="R798" s="80"/>
      <c r="T798" s="93"/>
      <c r="U798" s="94"/>
      <c r="V798" s="95"/>
      <c r="W798" s="96"/>
      <c r="Y798" s="85"/>
      <c r="Z798" s="86"/>
      <c r="AA798" s="87"/>
      <c r="AB798" s="88"/>
      <c r="AD798" s="77"/>
      <c r="AF798" s="54" t="str" cm="1">
        <f t="array" aca="1" ref="AF798" ca="1">IF(H798=0,"",HYPERLINK("#"&amp;RIGHT(CELL("adresse",OFFSET('DM01-AV-CH'!$G$6,H798-1,0)),LEN(CELL("adresse",OFFSET('DM01-AV-CH'!$G$6,H798-1,0)))-FIND("]",CELL("adresse",OFFSET('DM01-AV-CH'!$G$6,H798-1,0)))),"Modell"))</f>
        <v>Modell</v>
      </c>
      <c r="AG798" s="72" t="str" cm="1">
        <f t="array" ref="AG798">IF($H798=0,"",IF(INDEX('DM01-AV-CH'!G$6:G$834,$H798)="","",INDEX('DM01-AV-CH'!G$6:G$834,$H798)))</f>
        <v>Bodenbedeckung</v>
      </c>
      <c r="AH798" s="73" t="str" cm="1">
        <f t="array" ref="AH798">IF($H798=0,"",IF(INDEX('DM01-AV-CH'!H$6:H$834,$H798)="","",INDEX('DM01-AV-CH'!H$6:H$834,$H798)))</f>
        <v>ObjektnamePos</v>
      </c>
      <c r="AI798" s="74" t="str" cm="1">
        <f t="array" ref="AI798">IF($H798=0,"",IF(INDEX('DM01-AV-CH'!I$6:I$834,$H798)="","",INDEX('DM01-AV-CH'!I$6:I$834,$H798)))</f>
        <v>ObjektnamePos_von</v>
      </c>
    </row>
    <row r="799" spans="1:35" ht="57" x14ac:dyDescent="0.25">
      <c r="A799" s="57">
        <v>794</v>
      </c>
      <c r="B799" s="57">
        <f>IF($A799="","",IF(_xlfn.XLOOKUP($A799,Korrelation!$D$4:$D$1197,Korrelation!E$4:E$1197,"-",0)="-",0,MATCH(_xlfn.XLOOKUP($A799,Korrelation!$D$4:$D$1197,Korrelation!E$4:E$1197,"",0),DMAV_Modell!$G$6:$G$677,0)))</f>
        <v>435</v>
      </c>
      <c r="C799" s="57">
        <f>IF($A799="","",IF(_xlfn.XLOOKUP($A799,Korrelation!$D$4:$D$1197,Korrelation!F$4:F$1197,"-",0)="-",0,MATCH(_xlfn.XLOOKUP($A799,Korrelation!$D$4:$D$1197,Korrelation!F$4:F$1197,"",0),DMAV_Modell!$G$6:$G$677,0)))</f>
        <v>427</v>
      </c>
      <c r="D799" s="57">
        <f>IF($A799="","",IF(_xlfn.XLOOKUP($A799,Korrelation!$D$4:$D$1197,Korrelation!G$4:G$1197,"-",0)="-",0,MATCH(_xlfn.XLOOKUP($A799,Korrelation!$D$4:$D$1197,Korrelation!G$4:G$1197,"",0),DMAV_Modell!$G$6:$G$677,0)))</f>
        <v>26</v>
      </c>
      <c r="E799" s="57">
        <f>IF($A799="","",IF(_xlfn.XLOOKUP($A799,Korrelation!$D$4:$D$1197,Korrelation!H$4:H$1197,"-",0)="-",0,MATCH(_xlfn.XLOOKUP($A799,Korrelation!$D$4:$D$1197,Korrelation!H$4:H$1197,"",0),DMAV_Dienste!$F$6:$F$140,0)))</f>
        <v>0</v>
      </c>
      <c r="F799" s="57">
        <f>IF($A799="","",IF(_xlfn.XLOOKUP($A799,Korrelation!$D$4:$D$1197,Korrelation!I$4:I$1197,"-",0)="-",0,MATCH(_xlfn.XLOOKUP($A799,Korrelation!$D$4:$D$1197,Korrelation!I$4:I$1197,"",0),DMAV_Dienste!$F$6:$F$140,0)))</f>
        <v>0</v>
      </c>
      <c r="G799" s="57">
        <f>IF($A799="","",IF(_xlfn.XLOOKUP($A799,Korrelation!$D$4:$D$1197,Korrelation!J$4:J$1197,"-",0)="-",0,MATCH(_xlfn.XLOOKUP($A799,Korrelation!$D$4:$D$1197,Korrelation!J$4:J$1197,"",0),DMAV_Dienste!$F$6:$F$140,0)))</f>
        <v>0</v>
      </c>
      <c r="H799" s="57">
        <f>IF($A799="","",IF(_xlfn.XLOOKUP($A799,Korrelation!$D$4:$D$1197,Korrelation!K$4:K$1197,"-",0)="-",0,MATCH(_xlfn.XLOOKUP($A799,Korrelation!$D$4:$D$1197,Korrelation!K$4:K$1197,"",0),'DM01-AV-CH'!$A$6:$A$834,0)))</f>
        <v>242</v>
      </c>
      <c r="J799" s="54" t="str" cm="1">
        <f t="array" aca="1" ref="J799" ca="1">IF(B799=0,IF(E799=0,"",HYPERLINK("#"&amp;RIGHT(CELL("adresse",OFFSET(DMAV_Dienste!$M$6,E799-1,0)),LEN(CELL("adresse",OFFSET(DMAV_Dienste!$M$6,E799-1,0)))-FIND("]",CELL("adresse",OFFSET(DMAV_Dienste!$M$6,E799-1,0)))),"Dienst")),HYPERLINK("#"&amp;RIGHT(CELL("adresse",OFFSET(DMAV_Modell!$N$6,B799-1,0)),LEN(CELL("adresse",OFFSET(DMAV_Modell!$N$6,B799-1,0)))-FIND("]",CELL("adresse",OFFSET(DMAV_Modell!$N$6,B799-1,0)))),"Modell"))</f>
        <v>Modell</v>
      </c>
      <c r="K799" s="61" t="str" cm="1">
        <f t="array" ref="K799">IF($B799=0,IF($E799=0,"",IF(INDEX(DMAV_Dienste!P$6:P$140,$E799)="","",INDEX(DMAV_Dienste!P$6:P$140,$E799))),IF(INDEX(DMAV_Modell!Q$6:Q$838,$B799)="","",INDEX(DMAV_Modell!Q$6:Q$838,$B799)))</f>
        <v>CLASS</v>
      </c>
      <c r="L799" s="62" t="str" cm="1">
        <f t="array" ref="L799">IF($B799=0,IF($E799=0,"",IF(INDEX(DMAV_Dienste!O$6:O$140,$E799)="","",INDEX(DMAV_Dienste!O$6:O$140,$E799))),IF(INDEX(DMAV_Modell!P$6:P$838,$B799)="","",INDEX(DMAV_Modell!P$6:P$838,$B799)))</f>
        <v>Bodenbedeckung</v>
      </c>
      <c r="M799" s="62" t="str" cm="1">
        <f t="array" ref="M799">IF($B799=0,IF($E799=0,"",IF(INDEX(DMAV_Dienste!Q$6:Q$140,$E799)="","",INDEX(DMAV_Dienste!Q$6:Q$140,$E799))),IF(INDEX(DMAV_Modell!R$6:R$838,$B799)="","",INDEX(DMAV_Modell!R$6:R$838,$B799)))</f>
        <v>Bodenbedeckung</v>
      </c>
      <c r="N799" s="62" t="str" cm="1">
        <f t="array" ref="N799">IF($B799=0,IF($E799=0,"",IF(INDEX(DMAV_Dienste!T$6:T$140,$E799)="","",INDEX(DMAV_Dienste!T$6:T$140,$E799))),IF(INDEX(DMAV_Modell!U$6:U$838,$B799)="","",INDEX(DMAV_Modell!U$6:U$838,$B799)))</f>
        <v>Objektname</v>
      </c>
      <c r="O799" s="63" t="str" cm="1">
        <f t="array" aca="1" ref="O799" ca="1">IF(C799=0,IF(F799=0,"",HYPERLINK("#"&amp;RIGHT(CELL("adresse",OFFSET(DMAV_Dienste!$M$6,F799-1,0)),LEN(CELL("adresse",OFFSET(DMAV_Dienste!$M$6,F799-1,0)))-FIND("]",CELL("adresse",OFFSET(DMAV_Dienste!$M$6,F799-1,0)))),"Structure")),HYPERLINK("#"&amp;RIGHT(CELL("adresse",OFFSET(DMAV_Modell!$N$6,C799-1,0)),LEN(CELL("adresse",OFFSET(DMAV_Modell!$N$6,C799-1,0)))-FIND("]",CELL("adresse",OFFSET(DMAV_Modell!$N$6,C799-1,0)))),"Structure"))</f>
        <v>Structure</v>
      </c>
      <c r="P799" s="64" t="str" cm="1">
        <f t="array" aca="1" ref="P799" ca="1">IF(D799=0,IF(G799=0,"",HYPERLINK("#"&amp;RIGHT(CELL("adresse",OFFSET(DMAV_Dienste!$M$6,G799-1,0)),LEN(CELL("adresse",OFFSET(DMAV_Dienste!$M$6,G799-1,0)))-FIND("]",CELL("adresse",OFFSET(DMAV_Dienste!$M$6,G799-1,0)))),"Substructure")),HYPERLINK("#"&amp;RIGHT(CELL("adresse",OFFSET(DMAV_Modell!$N$6,D799-1,0)),LEN(CELL("adresse",OFFSET(DMAV_Modell!$N$6,D799-1,0)))-FIND("]",CELL("adresse",OFFSET(DMAV_Modell!$N$6,D799-1,0)))),"Substructure"))</f>
        <v>Substructure</v>
      </c>
      <c r="R799" s="80"/>
      <c r="T799" s="93"/>
      <c r="U799" s="94"/>
      <c r="V799" s="95" t="s">
        <v>3174</v>
      </c>
      <c r="W799" s="96"/>
      <c r="Y799" s="85" t="s">
        <v>3179</v>
      </c>
      <c r="Z799" s="86" t="s">
        <v>2980</v>
      </c>
      <c r="AA799" s="87" t="s">
        <v>3189</v>
      </c>
      <c r="AB799" s="88"/>
      <c r="AD799" s="77"/>
      <c r="AF799" s="54" t="str" cm="1">
        <f t="array" aca="1" ref="AF799" ca="1">IF(H799=0,"",HYPERLINK("#"&amp;RIGHT(CELL("adresse",OFFSET('DM01-AV-CH'!$G$6,H799-1,0)),LEN(CELL("adresse",OFFSET('DM01-AV-CH'!$G$6,H799-1,0)))-FIND("]",CELL("adresse",OFFSET('DM01-AV-CH'!$G$6,H799-1,0)))),"Modell"))</f>
        <v>Modell</v>
      </c>
      <c r="AG799" s="72" t="str" cm="1">
        <f t="array" ref="AG799">IF($H799=0,"",IF(INDEX('DM01-AV-CH'!G$6:G$834,$H799)="","",INDEX('DM01-AV-CH'!G$6:G$834,$H799)))</f>
        <v>Bodenbedeckung</v>
      </c>
      <c r="AH799" s="73" t="str" cm="1">
        <f t="array" ref="AH799">IF($H799=0,"",IF(INDEX('DM01-AV-CH'!H$6:H$834,$H799)="","",INDEX('DM01-AV-CH'!H$6:H$834,$H799)))</f>
        <v>ObjektnamePos</v>
      </c>
      <c r="AI799" s="74" t="str" cm="1">
        <f t="array" ref="AI799">IF($H799=0,"",IF(INDEX('DM01-AV-CH'!I$6:I$834,$H799)="","",INDEX('DM01-AV-CH'!I$6:I$834,$H799)))</f>
        <v>Pos</v>
      </c>
    </row>
    <row r="800" spans="1:35" ht="57" x14ac:dyDescent="0.25">
      <c r="A800" s="57">
        <v>795</v>
      </c>
      <c r="B800" s="57">
        <f>IF($A800="","",IF(_xlfn.XLOOKUP($A800,Korrelation!$D$4:$D$1197,Korrelation!E$4:E$1197,"-",0)="-",0,MATCH(_xlfn.XLOOKUP($A800,Korrelation!$D$4:$D$1197,Korrelation!E$4:E$1197,"",0),DMAV_Modell!$G$6:$G$677,0)))</f>
        <v>435</v>
      </c>
      <c r="C800" s="57">
        <f>IF($A800="","",IF(_xlfn.XLOOKUP($A800,Korrelation!$D$4:$D$1197,Korrelation!F$4:F$1197,"-",0)="-",0,MATCH(_xlfn.XLOOKUP($A800,Korrelation!$D$4:$D$1197,Korrelation!F$4:F$1197,"",0),DMAV_Modell!$G$6:$G$677,0)))</f>
        <v>427</v>
      </c>
      <c r="D800" s="57">
        <f>IF($A800="","",IF(_xlfn.XLOOKUP($A800,Korrelation!$D$4:$D$1197,Korrelation!G$4:G$1197,"-",0)="-",0,MATCH(_xlfn.XLOOKUP($A800,Korrelation!$D$4:$D$1197,Korrelation!G$4:G$1197,"",0),DMAV_Modell!$G$6:$G$677,0)))</f>
        <v>27</v>
      </c>
      <c r="E800" s="57">
        <f>IF($A800="","",IF(_xlfn.XLOOKUP($A800,Korrelation!$D$4:$D$1197,Korrelation!H$4:H$1197,"-",0)="-",0,MATCH(_xlfn.XLOOKUP($A800,Korrelation!$D$4:$D$1197,Korrelation!H$4:H$1197,"",0),DMAV_Dienste!$F$6:$F$140,0)))</f>
        <v>0</v>
      </c>
      <c r="F800" s="57">
        <f>IF($A800="","",IF(_xlfn.XLOOKUP($A800,Korrelation!$D$4:$D$1197,Korrelation!I$4:I$1197,"-",0)="-",0,MATCH(_xlfn.XLOOKUP($A800,Korrelation!$D$4:$D$1197,Korrelation!I$4:I$1197,"",0),DMAV_Dienste!$F$6:$F$140,0)))</f>
        <v>0</v>
      </c>
      <c r="G800" s="57">
        <f>IF($A800="","",IF(_xlfn.XLOOKUP($A800,Korrelation!$D$4:$D$1197,Korrelation!J$4:J$1197,"-",0)="-",0,MATCH(_xlfn.XLOOKUP($A800,Korrelation!$D$4:$D$1197,Korrelation!J$4:J$1197,"",0),DMAV_Dienste!$F$6:$F$140,0)))</f>
        <v>0</v>
      </c>
      <c r="H800" s="57">
        <f>IF($A800="","",IF(_xlfn.XLOOKUP($A800,Korrelation!$D$4:$D$1197,Korrelation!K$4:K$1197,"-",0)="-",0,MATCH(_xlfn.XLOOKUP($A800,Korrelation!$D$4:$D$1197,Korrelation!K$4:K$1197,"",0),'DM01-AV-CH'!$A$6:$A$834,0)))</f>
        <v>243</v>
      </c>
      <c r="J800" s="54" t="str" cm="1">
        <f t="array" aca="1" ref="J800" ca="1">IF(B800=0,IF(E800=0,"",HYPERLINK("#"&amp;RIGHT(CELL("adresse",OFFSET(DMAV_Dienste!$M$6,E800-1,0)),LEN(CELL("adresse",OFFSET(DMAV_Dienste!$M$6,E800-1,0)))-FIND("]",CELL("adresse",OFFSET(DMAV_Dienste!$M$6,E800-1,0)))),"Dienst")),HYPERLINK("#"&amp;RIGHT(CELL("adresse",OFFSET(DMAV_Modell!$N$6,B800-1,0)),LEN(CELL("adresse",OFFSET(DMAV_Modell!$N$6,B800-1,0)))-FIND("]",CELL("adresse",OFFSET(DMAV_Modell!$N$6,B800-1,0)))),"Modell"))</f>
        <v>Modell</v>
      </c>
      <c r="K800" s="61" t="str" cm="1">
        <f t="array" ref="K800">IF($B800=0,IF($E800=0,"",IF(INDEX(DMAV_Dienste!P$6:P$140,$E800)="","",INDEX(DMAV_Dienste!P$6:P$140,$E800))),IF(INDEX(DMAV_Modell!Q$6:Q$838,$B800)="","",INDEX(DMAV_Modell!Q$6:Q$838,$B800)))</f>
        <v>CLASS</v>
      </c>
      <c r="L800" s="62" t="str" cm="1">
        <f t="array" ref="L800">IF($B800=0,IF($E800=0,"",IF(INDEX(DMAV_Dienste!O$6:O$140,$E800)="","",INDEX(DMAV_Dienste!O$6:O$140,$E800))),IF(INDEX(DMAV_Modell!P$6:P$838,$B800)="","",INDEX(DMAV_Modell!P$6:P$838,$B800)))</f>
        <v>Bodenbedeckung</v>
      </c>
      <c r="M800" s="62" t="str" cm="1">
        <f t="array" ref="M800">IF($B800=0,IF($E800=0,"",IF(INDEX(DMAV_Dienste!Q$6:Q$140,$E800)="","",INDEX(DMAV_Dienste!Q$6:Q$140,$E800))),IF(INDEX(DMAV_Modell!R$6:R$838,$B800)="","",INDEX(DMAV_Modell!R$6:R$838,$B800)))</f>
        <v>Bodenbedeckung</v>
      </c>
      <c r="N800" s="62" t="str" cm="1">
        <f t="array" ref="N800">IF($B800=0,IF($E800=0,"",IF(INDEX(DMAV_Dienste!T$6:T$140,$E800)="","",INDEX(DMAV_Dienste!T$6:T$140,$E800))),IF(INDEX(DMAV_Modell!U$6:U$838,$B800)="","",INDEX(DMAV_Modell!U$6:U$838,$B800)))</f>
        <v>Objektname</v>
      </c>
      <c r="O800" s="63" t="str" cm="1">
        <f t="array" aca="1" ref="O800" ca="1">IF(C800=0,IF(F800=0,"",HYPERLINK("#"&amp;RIGHT(CELL("adresse",OFFSET(DMAV_Dienste!$M$6,F800-1,0)),LEN(CELL("adresse",OFFSET(DMAV_Dienste!$M$6,F800-1,0)))-FIND("]",CELL("adresse",OFFSET(DMAV_Dienste!$M$6,F800-1,0)))),"Structure")),HYPERLINK("#"&amp;RIGHT(CELL("adresse",OFFSET(DMAV_Modell!$N$6,C800-1,0)),LEN(CELL("adresse",OFFSET(DMAV_Modell!$N$6,C800-1,0)))-FIND("]",CELL("adresse",OFFSET(DMAV_Modell!$N$6,C800-1,0)))),"Structure"))</f>
        <v>Structure</v>
      </c>
      <c r="P800" s="64" t="str" cm="1">
        <f t="array" aca="1" ref="P800" ca="1">IF(D800=0,IF(G800=0,"",HYPERLINK("#"&amp;RIGHT(CELL("adresse",OFFSET(DMAV_Dienste!$M$6,G800-1,0)),LEN(CELL("adresse",OFFSET(DMAV_Dienste!$M$6,G800-1,0)))-FIND("]",CELL("adresse",OFFSET(DMAV_Dienste!$M$6,G800-1,0)))),"Substructure")),HYPERLINK("#"&amp;RIGHT(CELL("adresse",OFFSET(DMAV_Modell!$N$6,D800-1,0)),LEN(CELL("adresse",OFFSET(DMAV_Modell!$N$6,D800-1,0)))-FIND("]",CELL("adresse",OFFSET(DMAV_Modell!$N$6,D800-1,0)))),"Substructure"))</f>
        <v>Substructure</v>
      </c>
      <c r="R800" s="80"/>
      <c r="T800" s="93"/>
      <c r="U800" s="94"/>
      <c r="V800" s="95" t="s">
        <v>3175</v>
      </c>
      <c r="W800" s="96"/>
      <c r="Y800" s="85" t="s">
        <v>3179</v>
      </c>
      <c r="Z800" s="86" t="s">
        <v>2980</v>
      </c>
      <c r="AA800" s="87" t="s">
        <v>3190</v>
      </c>
      <c r="AB800" s="88"/>
      <c r="AD800" s="77"/>
      <c r="AF800" s="54" t="str" cm="1">
        <f t="array" aca="1" ref="AF800" ca="1">IF(H800=0,"",HYPERLINK("#"&amp;RIGHT(CELL("adresse",OFFSET('DM01-AV-CH'!$G$6,H800-1,0)),LEN(CELL("adresse",OFFSET('DM01-AV-CH'!$G$6,H800-1,0)))-FIND("]",CELL("adresse",OFFSET('DM01-AV-CH'!$G$6,H800-1,0)))),"Modell"))</f>
        <v>Modell</v>
      </c>
      <c r="AG800" s="72" t="str" cm="1">
        <f t="array" ref="AG800">IF($H800=0,"",IF(INDEX('DM01-AV-CH'!G$6:G$834,$H800)="","",INDEX('DM01-AV-CH'!G$6:G$834,$H800)))</f>
        <v>Bodenbedeckung</v>
      </c>
      <c r="AH800" s="73" t="str" cm="1">
        <f t="array" ref="AH800">IF($H800=0,"",IF(INDEX('DM01-AV-CH'!H$6:H$834,$H800)="","",INDEX('DM01-AV-CH'!H$6:H$834,$H800)))</f>
        <v>ObjektnamePos</v>
      </c>
      <c r="AI800" s="74" t="str" cm="1">
        <f t="array" ref="AI800">IF($H800=0,"",IF(INDEX('DM01-AV-CH'!I$6:I$834,$H800)="","",INDEX('DM01-AV-CH'!I$6:I$834,$H800)))</f>
        <v>Ori</v>
      </c>
    </row>
    <row r="801" spans="1:35" ht="57" x14ac:dyDescent="0.25">
      <c r="A801" s="57">
        <v>796</v>
      </c>
      <c r="B801" s="57">
        <f>IF($A801="","",IF(_xlfn.XLOOKUP($A801,Korrelation!$D$4:$D$1197,Korrelation!E$4:E$1197,"-",0)="-",0,MATCH(_xlfn.XLOOKUP($A801,Korrelation!$D$4:$D$1197,Korrelation!E$4:E$1197,"",0),DMAV_Modell!$G$6:$G$677,0)))</f>
        <v>435</v>
      </c>
      <c r="C801" s="57">
        <f>IF($A801="","",IF(_xlfn.XLOOKUP($A801,Korrelation!$D$4:$D$1197,Korrelation!F$4:F$1197,"-",0)="-",0,MATCH(_xlfn.XLOOKUP($A801,Korrelation!$D$4:$D$1197,Korrelation!F$4:F$1197,"",0),DMAV_Modell!$G$6:$G$677,0)))</f>
        <v>427</v>
      </c>
      <c r="D801" s="57">
        <f>IF($A801="","",IF(_xlfn.XLOOKUP($A801,Korrelation!$D$4:$D$1197,Korrelation!G$4:G$1197,"-",0)="-",0,MATCH(_xlfn.XLOOKUP($A801,Korrelation!$D$4:$D$1197,Korrelation!G$4:G$1197,"",0),DMAV_Modell!$G$6:$G$677,0)))</f>
        <v>30</v>
      </c>
      <c r="E801" s="57">
        <f>IF($A801="","",IF(_xlfn.XLOOKUP($A801,Korrelation!$D$4:$D$1197,Korrelation!H$4:H$1197,"-",0)="-",0,MATCH(_xlfn.XLOOKUP($A801,Korrelation!$D$4:$D$1197,Korrelation!H$4:H$1197,"",0),DMAV_Dienste!$F$6:$F$140,0)))</f>
        <v>0</v>
      </c>
      <c r="F801" s="57">
        <f>IF($A801="","",IF(_xlfn.XLOOKUP($A801,Korrelation!$D$4:$D$1197,Korrelation!I$4:I$1197,"-",0)="-",0,MATCH(_xlfn.XLOOKUP($A801,Korrelation!$D$4:$D$1197,Korrelation!I$4:I$1197,"",0),DMAV_Dienste!$F$6:$F$140,0)))</f>
        <v>0</v>
      </c>
      <c r="G801" s="57">
        <f>IF($A801="","",IF(_xlfn.XLOOKUP($A801,Korrelation!$D$4:$D$1197,Korrelation!J$4:J$1197,"-",0)="-",0,MATCH(_xlfn.XLOOKUP($A801,Korrelation!$D$4:$D$1197,Korrelation!J$4:J$1197,"",0),DMAV_Dienste!$F$6:$F$140,0)))</f>
        <v>0</v>
      </c>
      <c r="H801" s="57">
        <f>IF($A801="","",IF(_xlfn.XLOOKUP($A801,Korrelation!$D$4:$D$1197,Korrelation!K$4:K$1197,"-",0)="-",0,MATCH(_xlfn.XLOOKUP($A801,Korrelation!$D$4:$D$1197,Korrelation!K$4:K$1197,"",0),'DM01-AV-CH'!$A$6:$A$834,0)))</f>
        <v>244</v>
      </c>
      <c r="J801" s="54" t="str" cm="1">
        <f t="array" aca="1" ref="J801" ca="1">IF(B801=0,IF(E801=0,"",HYPERLINK("#"&amp;RIGHT(CELL("adresse",OFFSET(DMAV_Dienste!$M$6,E801-1,0)),LEN(CELL("adresse",OFFSET(DMAV_Dienste!$M$6,E801-1,0)))-FIND("]",CELL("adresse",OFFSET(DMAV_Dienste!$M$6,E801-1,0)))),"Dienst")),HYPERLINK("#"&amp;RIGHT(CELL("adresse",OFFSET(DMAV_Modell!$N$6,B801-1,0)),LEN(CELL("adresse",OFFSET(DMAV_Modell!$N$6,B801-1,0)))-FIND("]",CELL("adresse",OFFSET(DMAV_Modell!$N$6,B801-1,0)))),"Modell"))</f>
        <v>Modell</v>
      </c>
      <c r="K801" s="61" t="str" cm="1">
        <f t="array" ref="K801">IF($B801=0,IF($E801=0,"",IF(INDEX(DMAV_Dienste!P$6:P$140,$E801)="","",INDEX(DMAV_Dienste!P$6:P$140,$E801))),IF(INDEX(DMAV_Modell!Q$6:Q$838,$B801)="","",INDEX(DMAV_Modell!Q$6:Q$838,$B801)))</f>
        <v>CLASS</v>
      </c>
      <c r="L801" s="62" t="str" cm="1">
        <f t="array" ref="L801">IF($B801=0,IF($E801=0,"",IF(INDEX(DMAV_Dienste!O$6:O$140,$E801)="","",INDEX(DMAV_Dienste!O$6:O$140,$E801))),IF(INDEX(DMAV_Modell!P$6:P$838,$B801)="","",INDEX(DMAV_Modell!P$6:P$838,$B801)))</f>
        <v>Bodenbedeckung</v>
      </c>
      <c r="M801" s="62" t="str" cm="1">
        <f t="array" ref="M801">IF($B801=0,IF($E801=0,"",IF(INDEX(DMAV_Dienste!Q$6:Q$140,$E801)="","",INDEX(DMAV_Dienste!Q$6:Q$140,$E801))),IF(INDEX(DMAV_Modell!R$6:R$838,$B801)="","",INDEX(DMAV_Modell!R$6:R$838,$B801)))</f>
        <v>Bodenbedeckung</v>
      </c>
      <c r="N801" s="62" t="str" cm="1">
        <f t="array" ref="N801">IF($B801=0,IF($E801=0,"",IF(INDEX(DMAV_Dienste!T$6:T$140,$E801)="","",INDEX(DMAV_Dienste!T$6:T$140,$E801))),IF(INDEX(DMAV_Modell!U$6:U$838,$B801)="","",INDEX(DMAV_Modell!U$6:U$838,$B801)))</f>
        <v>Objektname</v>
      </c>
      <c r="O801" s="63" t="str" cm="1">
        <f t="array" aca="1" ref="O801" ca="1">IF(C801=0,IF(F801=0,"",HYPERLINK("#"&amp;RIGHT(CELL("adresse",OFFSET(DMAV_Dienste!$M$6,F801-1,0)),LEN(CELL("adresse",OFFSET(DMAV_Dienste!$M$6,F801-1,0)))-FIND("]",CELL("adresse",OFFSET(DMAV_Dienste!$M$6,F801-1,0)))),"Structure")),HYPERLINK("#"&amp;RIGHT(CELL("adresse",OFFSET(DMAV_Modell!$N$6,C801-1,0)),LEN(CELL("adresse",OFFSET(DMAV_Modell!$N$6,C801-1,0)))-FIND("]",CELL("adresse",OFFSET(DMAV_Modell!$N$6,C801-1,0)))),"Structure"))</f>
        <v>Structure</v>
      </c>
      <c r="P801" s="64" t="str" cm="1">
        <f t="array" aca="1" ref="P801" ca="1">IF(D801=0,IF(G801=0,"",HYPERLINK("#"&amp;RIGHT(CELL("adresse",OFFSET(DMAV_Dienste!$M$6,G801-1,0)),LEN(CELL("adresse",OFFSET(DMAV_Dienste!$M$6,G801-1,0)))-FIND("]",CELL("adresse",OFFSET(DMAV_Dienste!$M$6,G801-1,0)))),"Substructure")),HYPERLINK("#"&amp;RIGHT(CELL("adresse",OFFSET(DMAV_Modell!$N$6,D801-1,0)),LEN(CELL("adresse",OFFSET(DMAV_Modell!$N$6,D801-1,0)))-FIND("]",CELL("adresse",OFFSET(DMAV_Modell!$N$6,D801-1,0)))),"Substructure"))</f>
        <v>Substructure</v>
      </c>
      <c r="R801" s="80"/>
      <c r="T801" s="93"/>
      <c r="U801" s="94"/>
      <c r="V801" s="95" t="s">
        <v>3176</v>
      </c>
      <c r="W801" s="96"/>
      <c r="Y801" s="85" t="s">
        <v>3179</v>
      </c>
      <c r="Z801" s="86" t="s">
        <v>2980</v>
      </c>
      <c r="AA801" s="87" t="s">
        <v>3191</v>
      </c>
      <c r="AB801" s="88"/>
      <c r="AD801" s="77"/>
      <c r="AF801" s="54" t="str" cm="1">
        <f t="array" aca="1" ref="AF801" ca="1">IF(H801=0,"",HYPERLINK("#"&amp;RIGHT(CELL("adresse",OFFSET('DM01-AV-CH'!$G$6,H801-1,0)),LEN(CELL("adresse",OFFSET('DM01-AV-CH'!$G$6,H801-1,0)))-FIND("]",CELL("adresse",OFFSET('DM01-AV-CH'!$G$6,H801-1,0)))),"Modell"))</f>
        <v>Modell</v>
      </c>
      <c r="AG801" s="72" t="str" cm="1">
        <f t="array" ref="AG801">IF($H801=0,"",IF(INDEX('DM01-AV-CH'!G$6:G$834,$H801)="","",INDEX('DM01-AV-CH'!G$6:G$834,$H801)))</f>
        <v>Bodenbedeckung</v>
      </c>
      <c r="AH801" s="73" t="str" cm="1">
        <f t="array" ref="AH801">IF($H801=0,"",IF(INDEX('DM01-AV-CH'!H$6:H$834,$H801)="","",INDEX('DM01-AV-CH'!H$6:H$834,$H801)))</f>
        <v>ObjektnamePos</v>
      </c>
      <c r="AI801" s="74" t="str" cm="1">
        <f t="array" ref="AI801">IF($H801=0,"",IF(INDEX('DM01-AV-CH'!I$6:I$834,$H801)="","",INDEX('DM01-AV-CH'!I$6:I$834,$H801)))</f>
        <v>HAli</v>
      </c>
    </row>
    <row r="802" spans="1:35" ht="57" x14ac:dyDescent="0.25">
      <c r="A802" s="57">
        <v>797</v>
      </c>
      <c r="B802" s="57">
        <f>IF($A802="","",IF(_xlfn.XLOOKUP($A802,Korrelation!$D$4:$D$1197,Korrelation!E$4:E$1197,"-",0)="-",0,MATCH(_xlfn.XLOOKUP($A802,Korrelation!$D$4:$D$1197,Korrelation!E$4:E$1197,"",0),DMAV_Modell!$G$6:$G$677,0)))</f>
        <v>435</v>
      </c>
      <c r="C802" s="57">
        <f>IF($A802="","",IF(_xlfn.XLOOKUP($A802,Korrelation!$D$4:$D$1197,Korrelation!F$4:F$1197,"-",0)="-",0,MATCH(_xlfn.XLOOKUP($A802,Korrelation!$D$4:$D$1197,Korrelation!F$4:F$1197,"",0),DMAV_Modell!$G$6:$G$677,0)))</f>
        <v>427</v>
      </c>
      <c r="D802" s="57">
        <f>IF($A802="","",IF(_xlfn.XLOOKUP($A802,Korrelation!$D$4:$D$1197,Korrelation!G$4:G$1197,"-",0)="-",0,MATCH(_xlfn.XLOOKUP($A802,Korrelation!$D$4:$D$1197,Korrelation!G$4:G$1197,"",0),DMAV_Modell!$G$6:$G$677,0)))</f>
        <v>31</v>
      </c>
      <c r="E802" s="57">
        <f>IF($A802="","",IF(_xlfn.XLOOKUP($A802,Korrelation!$D$4:$D$1197,Korrelation!H$4:H$1197,"-",0)="-",0,MATCH(_xlfn.XLOOKUP($A802,Korrelation!$D$4:$D$1197,Korrelation!H$4:H$1197,"",0),DMAV_Dienste!$F$6:$F$140,0)))</f>
        <v>0</v>
      </c>
      <c r="F802" s="57">
        <f>IF($A802="","",IF(_xlfn.XLOOKUP($A802,Korrelation!$D$4:$D$1197,Korrelation!I$4:I$1197,"-",0)="-",0,MATCH(_xlfn.XLOOKUP($A802,Korrelation!$D$4:$D$1197,Korrelation!I$4:I$1197,"",0),DMAV_Dienste!$F$6:$F$140,0)))</f>
        <v>0</v>
      </c>
      <c r="G802" s="57">
        <f>IF($A802="","",IF(_xlfn.XLOOKUP($A802,Korrelation!$D$4:$D$1197,Korrelation!J$4:J$1197,"-",0)="-",0,MATCH(_xlfn.XLOOKUP($A802,Korrelation!$D$4:$D$1197,Korrelation!J$4:J$1197,"",0),DMAV_Dienste!$F$6:$F$140,0)))</f>
        <v>0</v>
      </c>
      <c r="H802" s="57">
        <f>IF($A802="","",IF(_xlfn.XLOOKUP($A802,Korrelation!$D$4:$D$1197,Korrelation!K$4:K$1197,"-",0)="-",0,MATCH(_xlfn.XLOOKUP($A802,Korrelation!$D$4:$D$1197,Korrelation!K$4:K$1197,"",0),'DM01-AV-CH'!$A$6:$A$834,0)))</f>
        <v>245</v>
      </c>
      <c r="J802" s="54" t="str" cm="1">
        <f t="array" aca="1" ref="J802" ca="1">IF(B802=0,IF(E802=0,"",HYPERLINK("#"&amp;RIGHT(CELL("adresse",OFFSET(DMAV_Dienste!$M$6,E802-1,0)),LEN(CELL("adresse",OFFSET(DMAV_Dienste!$M$6,E802-1,0)))-FIND("]",CELL("adresse",OFFSET(DMAV_Dienste!$M$6,E802-1,0)))),"Dienst")),HYPERLINK("#"&amp;RIGHT(CELL("adresse",OFFSET(DMAV_Modell!$N$6,B802-1,0)),LEN(CELL("adresse",OFFSET(DMAV_Modell!$N$6,B802-1,0)))-FIND("]",CELL("adresse",OFFSET(DMAV_Modell!$N$6,B802-1,0)))),"Modell"))</f>
        <v>Modell</v>
      </c>
      <c r="K802" s="61" t="str" cm="1">
        <f t="array" ref="K802">IF($B802=0,IF($E802=0,"",IF(INDEX(DMAV_Dienste!P$6:P$140,$E802)="","",INDEX(DMAV_Dienste!P$6:P$140,$E802))),IF(INDEX(DMAV_Modell!Q$6:Q$838,$B802)="","",INDEX(DMAV_Modell!Q$6:Q$838,$B802)))</f>
        <v>CLASS</v>
      </c>
      <c r="L802" s="62" t="str" cm="1">
        <f t="array" ref="L802">IF($B802=0,IF($E802=0,"",IF(INDEX(DMAV_Dienste!O$6:O$140,$E802)="","",INDEX(DMAV_Dienste!O$6:O$140,$E802))),IF(INDEX(DMAV_Modell!P$6:P$838,$B802)="","",INDEX(DMAV_Modell!P$6:P$838,$B802)))</f>
        <v>Bodenbedeckung</v>
      </c>
      <c r="M802" s="62" t="str" cm="1">
        <f t="array" ref="M802">IF($B802=0,IF($E802=0,"",IF(INDEX(DMAV_Dienste!Q$6:Q$140,$E802)="","",INDEX(DMAV_Dienste!Q$6:Q$140,$E802))),IF(INDEX(DMAV_Modell!R$6:R$838,$B802)="","",INDEX(DMAV_Modell!R$6:R$838,$B802)))</f>
        <v>Bodenbedeckung</v>
      </c>
      <c r="N802" s="62" t="str" cm="1">
        <f t="array" ref="N802">IF($B802=0,IF($E802=0,"",IF(INDEX(DMAV_Dienste!T$6:T$140,$E802)="","",INDEX(DMAV_Dienste!T$6:T$140,$E802))),IF(INDEX(DMAV_Modell!U$6:U$838,$B802)="","",INDEX(DMAV_Modell!U$6:U$838,$B802)))</f>
        <v>Objektname</v>
      </c>
      <c r="O802" s="63" t="str" cm="1">
        <f t="array" aca="1" ref="O802" ca="1">IF(C802=0,IF(F802=0,"",HYPERLINK("#"&amp;RIGHT(CELL("adresse",OFFSET(DMAV_Dienste!$M$6,F802-1,0)),LEN(CELL("adresse",OFFSET(DMAV_Dienste!$M$6,F802-1,0)))-FIND("]",CELL("adresse",OFFSET(DMAV_Dienste!$M$6,F802-1,0)))),"Structure")),HYPERLINK("#"&amp;RIGHT(CELL("adresse",OFFSET(DMAV_Modell!$N$6,C802-1,0)),LEN(CELL("adresse",OFFSET(DMAV_Modell!$N$6,C802-1,0)))-FIND("]",CELL("adresse",OFFSET(DMAV_Modell!$N$6,C802-1,0)))),"Structure"))</f>
        <v>Structure</v>
      </c>
      <c r="P802" s="64" t="str" cm="1">
        <f t="array" aca="1" ref="P802" ca="1">IF(D802=0,IF(G802=0,"",HYPERLINK("#"&amp;RIGHT(CELL("adresse",OFFSET(DMAV_Dienste!$M$6,G802-1,0)),LEN(CELL("adresse",OFFSET(DMAV_Dienste!$M$6,G802-1,0)))-FIND("]",CELL("adresse",OFFSET(DMAV_Dienste!$M$6,G802-1,0)))),"Substructure")),HYPERLINK("#"&amp;RIGHT(CELL("adresse",OFFSET(DMAV_Modell!$N$6,D802-1,0)),LEN(CELL("adresse",OFFSET(DMAV_Modell!$N$6,D802-1,0)))-FIND("]",CELL("adresse",OFFSET(DMAV_Modell!$N$6,D802-1,0)))),"Substructure"))</f>
        <v>Substructure</v>
      </c>
      <c r="R802" s="80"/>
      <c r="T802" s="93"/>
      <c r="U802" s="94"/>
      <c r="V802" s="95" t="s">
        <v>3177</v>
      </c>
      <c r="W802" s="96"/>
      <c r="Y802" s="85" t="s">
        <v>3179</v>
      </c>
      <c r="Z802" s="86" t="s">
        <v>2980</v>
      </c>
      <c r="AA802" s="87" t="s">
        <v>3192</v>
      </c>
      <c r="AB802" s="88"/>
      <c r="AD802" s="77"/>
      <c r="AF802" s="54" t="str" cm="1">
        <f t="array" aca="1" ref="AF802" ca="1">IF(H802=0,"",HYPERLINK("#"&amp;RIGHT(CELL("adresse",OFFSET('DM01-AV-CH'!$G$6,H802-1,0)),LEN(CELL("adresse",OFFSET('DM01-AV-CH'!$G$6,H802-1,0)))-FIND("]",CELL("adresse",OFFSET('DM01-AV-CH'!$G$6,H802-1,0)))),"Modell"))</f>
        <v>Modell</v>
      </c>
      <c r="AG802" s="72" t="str" cm="1">
        <f t="array" ref="AG802">IF($H802=0,"",IF(INDEX('DM01-AV-CH'!G$6:G$834,$H802)="","",INDEX('DM01-AV-CH'!G$6:G$834,$H802)))</f>
        <v>Bodenbedeckung</v>
      </c>
      <c r="AH802" s="73" t="str" cm="1">
        <f t="array" ref="AH802">IF($H802=0,"",IF(INDEX('DM01-AV-CH'!H$6:H$834,$H802)="","",INDEX('DM01-AV-CH'!H$6:H$834,$H802)))</f>
        <v>ObjektnamePos</v>
      </c>
      <c r="AI802" s="74" t="str" cm="1">
        <f t="array" ref="AI802">IF($H802=0,"",IF(INDEX('DM01-AV-CH'!I$6:I$834,$H802)="","",INDEX('DM01-AV-CH'!I$6:I$834,$H802)))</f>
        <v>VAli</v>
      </c>
    </row>
    <row r="803" spans="1:35" ht="57" x14ac:dyDescent="0.25">
      <c r="A803" s="57">
        <v>798</v>
      </c>
      <c r="B803" s="57">
        <f>IF($A803="","",IF(_xlfn.XLOOKUP($A803,Korrelation!$D$4:$D$1197,Korrelation!E$4:E$1197,"-",0)="-",0,MATCH(_xlfn.XLOOKUP($A803,Korrelation!$D$4:$D$1197,Korrelation!E$4:E$1197,"",0),DMAV_Modell!$G$6:$G$677,0)))</f>
        <v>435</v>
      </c>
      <c r="C803" s="57">
        <f>IF($A803="","",IF(_xlfn.XLOOKUP($A803,Korrelation!$D$4:$D$1197,Korrelation!F$4:F$1197,"-",0)="-",0,MATCH(_xlfn.XLOOKUP($A803,Korrelation!$D$4:$D$1197,Korrelation!F$4:F$1197,"",0),DMAV_Modell!$G$6:$G$677,0)))</f>
        <v>427</v>
      </c>
      <c r="D803" s="57">
        <f>IF($A803="","",IF(_xlfn.XLOOKUP($A803,Korrelation!$D$4:$D$1197,Korrelation!G$4:G$1197,"-",0)="-",0,MATCH(_xlfn.XLOOKUP($A803,Korrelation!$D$4:$D$1197,Korrelation!G$4:G$1197,"",0),DMAV_Modell!$G$6:$G$677,0)))</f>
        <v>29</v>
      </c>
      <c r="E803" s="57">
        <f>IF($A803="","",IF(_xlfn.XLOOKUP($A803,Korrelation!$D$4:$D$1197,Korrelation!H$4:H$1197,"-",0)="-",0,MATCH(_xlfn.XLOOKUP($A803,Korrelation!$D$4:$D$1197,Korrelation!H$4:H$1197,"",0),DMAV_Dienste!$F$6:$F$140,0)))</f>
        <v>0</v>
      </c>
      <c r="F803" s="57">
        <f>IF($A803="","",IF(_xlfn.XLOOKUP($A803,Korrelation!$D$4:$D$1197,Korrelation!I$4:I$1197,"-",0)="-",0,MATCH(_xlfn.XLOOKUP($A803,Korrelation!$D$4:$D$1197,Korrelation!I$4:I$1197,"",0),DMAV_Dienste!$F$6:$F$140,0)))</f>
        <v>0</v>
      </c>
      <c r="G803" s="57">
        <f>IF($A803="","",IF(_xlfn.XLOOKUP($A803,Korrelation!$D$4:$D$1197,Korrelation!J$4:J$1197,"-",0)="-",0,MATCH(_xlfn.XLOOKUP($A803,Korrelation!$D$4:$D$1197,Korrelation!J$4:J$1197,"",0),DMAV_Dienste!$F$6:$F$140,0)))</f>
        <v>0</v>
      </c>
      <c r="H803" s="57">
        <f>IF($A803="","",IF(_xlfn.XLOOKUP($A803,Korrelation!$D$4:$D$1197,Korrelation!K$4:K$1197,"-",0)="-",0,MATCH(_xlfn.XLOOKUP($A803,Korrelation!$D$4:$D$1197,Korrelation!K$4:K$1197,"",0),'DM01-AV-CH'!$A$6:$A$834,0)))</f>
        <v>246</v>
      </c>
      <c r="J803" s="54" t="str" cm="1">
        <f t="array" aca="1" ref="J803" ca="1">IF(B803=0,IF(E803=0,"",HYPERLINK("#"&amp;RIGHT(CELL("adresse",OFFSET(DMAV_Dienste!$M$6,E803-1,0)),LEN(CELL("adresse",OFFSET(DMAV_Dienste!$M$6,E803-1,0)))-FIND("]",CELL("adresse",OFFSET(DMAV_Dienste!$M$6,E803-1,0)))),"Dienst")),HYPERLINK("#"&amp;RIGHT(CELL("adresse",OFFSET(DMAV_Modell!$N$6,B803-1,0)),LEN(CELL("adresse",OFFSET(DMAV_Modell!$N$6,B803-1,0)))-FIND("]",CELL("adresse",OFFSET(DMAV_Modell!$N$6,B803-1,0)))),"Modell"))</f>
        <v>Modell</v>
      </c>
      <c r="K803" s="61" t="str" cm="1">
        <f t="array" ref="K803">IF($B803=0,IF($E803=0,"",IF(INDEX(DMAV_Dienste!P$6:P$140,$E803)="","",INDEX(DMAV_Dienste!P$6:P$140,$E803))),IF(INDEX(DMAV_Modell!Q$6:Q$838,$B803)="","",INDEX(DMAV_Modell!Q$6:Q$838,$B803)))</f>
        <v>CLASS</v>
      </c>
      <c r="L803" s="62" t="str" cm="1">
        <f t="array" ref="L803">IF($B803=0,IF($E803=0,"",IF(INDEX(DMAV_Dienste!O$6:O$140,$E803)="","",INDEX(DMAV_Dienste!O$6:O$140,$E803))),IF(INDEX(DMAV_Modell!P$6:P$838,$B803)="","",INDEX(DMAV_Modell!P$6:P$838,$B803)))</f>
        <v>Bodenbedeckung</v>
      </c>
      <c r="M803" s="62" t="str" cm="1">
        <f t="array" ref="M803">IF($B803=0,IF($E803=0,"",IF(INDEX(DMAV_Dienste!Q$6:Q$140,$E803)="","",INDEX(DMAV_Dienste!Q$6:Q$140,$E803))),IF(INDEX(DMAV_Modell!R$6:R$838,$B803)="","",INDEX(DMAV_Modell!R$6:R$838,$B803)))</f>
        <v>Bodenbedeckung</v>
      </c>
      <c r="N803" s="62" t="str" cm="1">
        <f t="array" ref="N803">IF($B803=0,IF($E803=0,"",IF(INDEX(DMAV_Dienste!T$6:T$140,$E803)="","",INDEX(DMAV_Dienste!T$6:T$140,$E803))),IF(INDEX(DMAV_Modell!U$6:U$838,$B803)="","",INDEX(DMAV_Modell!U$6:U$838,$B803)))</f>
        <v>Objektname</v>
      </c>
      <c r="O803" s="63" t="str" cm="1">
        <f t="array" aca="1" ref="O803" ca="1">IF(C803=0,IF(F803=0,"",HYPERLINK("#"&amp;RIGHT(CELL("adresse",OFFSET(DMAV_Dienste!$M$6,F803-1,0)),LEN(CELL("adresse",OFFSET(DMAV_Dienste!$M$6,F803-1,0)))-FIND("]",CELL("adresse",OFFSET(DMAV_Dienste!$M$6,F803-1,0)))),"Structure")),HYPERLINK("#"&amp;RIGHT(CELL("adresse",OFFSET(DMAV_Modell!$N$6,C803-1,0)),LEN(CELL("adresse",OFFSET(DMAV_Modell!$N$6,C803-1,0)))-FIND("]",CELL("adresse",OFFSET(DMAV_Modell!$N$6,C803-1,0)))),"Structure"))</f>
        <v>Structure</v>
      </c>
      <c r="P803" s="64" t="str" cm="1">
        <f t="array" aca="1" ref="P803" ca="1">IF(D803=0,IF(G803=0,"",HYPERLINK("#"&amp;RIGHT(CELL("adresse",OFFSET(DMAV_Dienste!$M$6,G803-1,0)),LEN(CELL("adresse",OFFSET(DMAV_Dienste!$M$6,G803-1,0)))-FIND("]",CELL("adresse",OFFSET(DMAV_Dienste!$M$6,G803-1,0)))),"Substructure")),HYPERLINK("#"&amp;RIGHT(CELL("adresse",OFFSET(DMAV_Modell!$N$6,D803-1,0)),LEN(CELL("adresse",OFFSET(DMAV_Modell!$N$6,D803-1,0)))-FIND("]",CELL("adresse",OFFSET(DMAV_Modell!$N$6,D803-1,0)))),"Substructure"))</f>
        <v>Substructure</v>
      </c>
      <c r="R803" s="80"/>
      <c r="T803" s="93"/>
      <c r="U803" s="94"/>
      <c r="V803" s="95" t="s">
        <v>3178</v>
      </c>
      <c r="W803" s="96"/>
      <c r="Y803" s="85" t="s">
        <v>3179</v>
      </c>
      <c r="Z803" s="86" t="s">
        <v>2980</v>
      </c>
      <c r="AA803" s="87" t="s">
        <v>3193</v>
      </c>
      <c r="AB803" s="88"/>
      <c r="AD803" s="77"/>
      <c r="AF803" s="54" t="str" cm="1">
        <f t="array" aca="1" ref="AF803" ca="1">IF(H803=0,"",HYPERLINK("#"&amp;RIGHT(CELL("adresse",OFFSET('DM01-AV-CH'!$G$6,H803-1,0)),LEN(CELL("adresse",OFFSET('DM01-AV-CH'!$G$6,H803-1,0)))-FIND("]",CELL("adresse",OFFSET('DM01-AV-CH'!$G$6,H803-1,0)))),"Modell"))</f>
        <v>Modell</v>
      </c>
      <c r="AG803" s="72" t="str" cm="1">
        <f t="array" ref="AG803">IF($H803=0,"",IF(INDEX('DM01-AV-CH'!G$6:G$834,$H803)="","",INDEX('DM01-AV-CH'!G$6:G$834,$H803)))</f>
        <v>Bodenbedeckung</v>
      </c>
      <c r="AH803" s="73" t="str" cm="1">
        <f t="array" ref="AH803">IF($H803=0,"",IF(INDEX('DM01-AV-CH'!H$6:H$834,$H803)="","",INDEX('DM01-AV-CH'!H$6:H$834,$H803)))</f>
        <v>ObjektnamePos</v>
      </c>
      <c r="AI803" s="74" t="str" cm="1">
        <f t="array" ref="AI803">IF($H803=0,"",IF(INDEX('DM01-AV-CH'!I$6:I$834,$H803)="","",INDEX('DM01-AV-CH'!I$6:I$834,$H803)))</f>
        <v>Groesse</v>
      </c>
    </row>
    <row r="804" spans="1:35" ht="57" x14ac:dyDescent="0.25">
      <c r="A804" s="57">
        <v>799</v>
      </c>
      <c r="B804" s="57">
        <f>IF($A804="","",IF(_xlfn.XLOOKUP($A804,Korrelation!$D$4:$D$1197,Korrelation!E$4:E$1197,"-",0)="-",0,MATCH(_xlfn.XLOOKUP($A804,Korrelation!$D$4:$D$1197,Korrelation!E$4:E$1197,"",0),DMAV_Modell!$G$6:$G$677,0)))</f>
        <v>436</v>
      </c>
      <c r="C804" s="57">
        <f>IF($A804="","",IF(_xlfn.XLOOKUP($A804,Korrelation!$D$4:$D$1197,Korrelation!F$4:F$1197,"-",0)="-",0,MATCH(_xlfn.XLOOKUP($A804,Korrelation!$D$4:$D$1197,Korrelation!F$4:F$1197,"",0),DMAV_Modell!$G$6:$G$677,0)))</f>
        <v>0</v>
      </c>
      <c r="D804" s="57">
        <f>IF($A804="","",IF(_xlfn.XLOOKUP($A804,Korrelation!$D$4:$D$1197,Korrelation!G$4:G$1197,"-",0)="-",0,MATCH(_xlfn.XLOOKUP($A804,Korrelation!$D$4:$D$1197,Korrelation!G$4:G$1197,"",0),DMAV_Modell!$G$6:$G$677,0)))</f>
        <v>0</v>
      </c>
      <c r="E804" s="57">
        <f>IF($A804="","",IF(_xlfn.XLOOKUP($A804,Korrelation!$D$4:$D$1197,Korrelation!H$4:H$1197,"-",0)="-",0,MATCH(_xlfn.XLOOKUP($A804,Korrelation!$D$4:$D$1197,Korrelation!H$4:H$1197,"",0),DMAV_Dienste!$F$6:$F$140,0)))</f>
        <v>0</v>
      </c>
      <c r="F804" s="57">
        <f>IF($A804="","",IF(_xlfn.XLOOKUP($A804,Korrelation!$D$4:$D$1197,Korrelation!I$4:I$1197,"-",0)="-",0,MATCH(_xlfn.XLOOKUP($A804,Korrelation!$D$4:$D$1197,Korrelation!I$4:I$1197,"",0),DMAV_Dienste!$F$6:$F$140,0)))</f>
        <v>0</v>
      </c>
      <c r="G804" s="57">
        <f>IF($A804="","",IF(_xlfn.XLOOKUP($A804,Korrelation!$D$4:$D$1197,Korrelation!J$4:J$1197,"-",0)="-",0,MATCH(_xlfn.XLOOKUP($A804,Korrelation!$D$4:$D$1197,Korrelation!J$4:J$1197,"",0),DMAV_Dienste!$F$6:$F$140,0)))</f>
        <v>0</v>
      </c>
      <c r="H804" s="57">
        <f>IF($A804="","",IF(_xlfn.XLOOKUP($A804,Korrelation!$D$4:$D$1197,Korrelation!K$4:K$1197,"-",0)="-",0,MATCH(_xlfn.XLOOKUP($A804,Korrelation!$D$4:$D$1197,Korrelation!K$4:K$1197,"",0),'DM01-AV-CH'!$A$6:$A$834,0)))</f>
        <v>232</v>
      </c>
      <c r="J804" s="54" t="str" cm="1">
        <f t="array" aca="1" ref="J804" ca="1">IF(B804=0,IF(E804=0,"",HYPERLINK("#"&amp;RIGHT(CELL("adresse",OFFSET(DMAV_Dienste!$M$6,E804-1,0)),LEN(CELL("adresse",OFFSET(DMAV_Dienste!$M$6,E804-1,0)))-FIND("]",CELL("adresse",OFFSET(DMAV_Dienste!$M$6,E804-1,0)))),"Dienst")),HYPERLINK("#"&amp;RIGHT(CELL("adresse",OFFSET(DMAV_Modell!$N$6,B804-1,0)),LEN(CELL("adresse",OFFSET(DMAV_Modell!$N$6,B804-1,0)))-FIND("]",CELL("adresse",OFFSET(DMAV_Modell!$N$6,B804-1,0)))),"Modell"))</f>
        <v>Modell</v>
      </c>
      <c r="K804" s="61" t="str" cm="1">
        <f t="array" ref="K804">IF($B804=0,IF($E804=0,"",IF(INDEX(DMAV_Dienste!P$6:P$140,$E804)="","",INDEX(DMAV_Dienste!P$6:P$140,$E804))),IF(INDEX(DMAV_Modell!Q$6:Q$838,$B804)="","",INDEX(DMAV_Modell!Q$6:Q$838,$B804)))</f>
        <v>CLASS</v>
      </c>
      <c r="L804" s="62" t="str" cm="1">
        <f t="array" ref="L804">IF($B804=0,IF($E804=0,"",IF(INDEX(DMAV_Dienste!O$6:O$140,$E804)="","",INDEX(DMAV_Dienste!O$6:O$140,$E804))),IF(INDEX(DMAV_Modell!P$6:P$838,$B804)="","",INDEX(DMAV_Modell!P$6:P$838,$B804)))</f>
        <v>Bodenbedeckung</v>
      </c>
      <c r="M804" s="62" t="str" cm="1">
        <f t="array" ref="M804">IF($B804=0,IF($E804=0,"",IF(INDEX(DMAV_Dienste!Q$6:Q$140,$E804)="","",INDEX(DMAV_Dienste!Q$6:Q$140,$E804))),IF(INDEX(DMAV_Modell!R$6:R$838,$B804)="","",INDEX(DMAV_Modell!R$6:R$838,$B804)))</f>
        <v>Bodenbedeckung</v>
      </c>
      <c r="N804" s="62" t="str" cm="1">
        <f t="array" ref="N804">IF($B804=0,IF($E804=0,"",IF(INDEX(DMAV_Dienste!T$6:T$140,$E804)="","",INDEX(DMAV_Dienste!T$6:T$140,$E804))),IF(INDEX(DMAV_Modell!U$6:U$838,$B804)="","",INDEX(DMAV_Modell!U$6:U$838,$B804)))</f>
        <v>EGID</v>
      </c>
      <c r="O804" s="63" t="str" cm="1">
        <f t="array" aca="1" ref="O804" ca="1">IF(C804=0,IF(F804=0,"",HYPERLINK("#"&amp;RIGHT(CELL("adresse",OFFSET(DMAV_Dienste!$M$6,F804-1,0)),LEN(CELL("adresse",OFFSET(DMAV_Dienste!$M$6,F804-1,0)))-FIND("]",CELL("adresse",OFFSET(DMAV_Dienste!$M$6,F804-1,0)))),"Structure")),HYPERLINK("#"&amp;RIGHT(CELL("adresse",OFFSET(DMAV_Modell!$N$6,C804-1,0)),LEN(CELL("adresse",OFFSET(DMAV_Modell!$N$6,C804-1,0)))-FIND("]",CELL("adresse",OFFSET(DMAV_Modell!$N$6,C804-1,0)))),"Structure"))</f>
        <v/>
      </c>
      <c r="P804" s="64" t="str" cm="1">
        <f t="array" aca="1" ref="P804" ca="1">IF(D804=0,IF(G804=0,"",HYPERLINK("#"&amp;RIGHT(CELL("adresse",OFFSET(DMAV_Dienste!$M$6,G804-1,0)),LEN(CELL("adresse",OFFSET(DMAV_Dienste!$M$6,G804-1,0)))-FIND("]",CELL("adresse",OFFSET(DMAV_Dienste!$M$6,G804-1,0)))),"Substructure")),HYPERLINK("#"&amp;RIGHT(CELL("adresse",OFFSET(DMAV_Modell!$N$6,D804-1,0)),LEN(CELL("adresse",OFFSET(DMAV_Modell!$N$6,D804-1,0)))-FIND("]",CELL("adresse",OFFSET(DMAV_Modell!$N$6,D804-1,0)))),"Substructure"))</f>
        <v/>
      </c>
      <c r="R804" s="80"/>
      <c r="T804" s="93"/>
      <c r="U804" s="94"/>
      <c r="V804" s="95"/>
      <c r="W804" s="96"/>
      <c r="Y804" s="85" t="s">
        <v>3179</v>
      </c>
      <c r="Z804" s="86" t="s">
        <v>2980</v>
      </c>
      <c r="AA804" s="87" t="s">
        <v>3194</v>
      </c>
      <c r="AB804" s="88"/>
      <c r="AD804" s="77"/>
      <c r="AF804" s="54" t="str" cm="1">
        <f t="array" aca="1" ref="AF804" ca="1">IF(H804=0,"",HYPERLINK("#"&amp;RIGHT(CELL("adresse",OFFSET('DM01-AV-CH'!$G$6,H804-1,0)),LEN(CELL("adresse",OFFSET('DM01-AV-CH'!$G$6,H804-1,0)))-FIND("]",CELL("adresse",OFFSET('DM01-AV-CH'!$G$6,H804-1,0)))),"Modell"))</f>
        <v>Modell</v>
      </c>
      <c r="AG804" s="72" t="str" cm="1">
        <f t="array" ref="AG804">IF($H804=0,"",IF(INDEX('DM01-AV-CH'!G$6:G$834,$H804)="","",INDEX('DM01-AV-CH'!G$6:G$834,$H804)))</f>
        <v>Bodenbedeckung</v>
      </c>
      <c r="AH804" s="73" t="str" cm="1">
        <f t="array" ref="AH804">IF($H804=0,"",IF(INDEX('DM01-AV-CH'!H$6:H$834,$H804)="","",INDEX('DM01-AV-CH'!H$6:H$834,$H804)))</f>
        <v>Gebaeudenummer</v>
      </c>
      <c r="AI804" s="74" t="str" cm="1">
        <f t="array" ref="AI804">IF($H804=0,"",IF(INDEX('DM01-AV-CH'!I$6:I$834,$H804)="","",INDEX('DM01-AV-CH'!I$6:I$834,$H804)))</f>
        <v>GWR_EGID</v>
      </c>
    </row>
    <row r="805" spans="1:35" x14ac:dyDescent="0.25">
      <c r="A805" s="57">
        <v>800</v>
      </c>
      <c r="B805" s="57">
        <f>IF($A805="","",IF(_xlfn.XLOOKUP($A805,Korrelation!$D$4:$D$1197,Korrelation!E$4:E$1197,"-",0)="-",0,MATCH(_xlfn.XLOOKUP($A805,Korrelation!$D$4:$D$1197,Korrelation!E$4:E$1197,"",0),DMAV_Modell!$G$6:$G$677,0)))</f>
        <v>0</v>
      </c>
      <c r="C805" s="57">
        <f>IF($A805="","",IF(_xlfn.XLOOKUP($A805,Korrelation!$D$4:$D$1197,Korrelation!F$4:F$1197,"-",0)="-",0,MATCH(_xlfn.XLOOKUP($A805,Korrelation!$D$4:$D$1197,Korrelation!F$4:F$1197,"",0),DMAV_Modell!$G$6:$G$677,0)))</f>
        <v>0</v>
      </c>
      <c r="D805" s="57">
        <f>IF($A805="","",IF(_xlfn.XLOOKUP($A805,Korrelation!$D$4:$D$1197,Korrelation!G$4:G$1197,"-",0)="-",0,MATCH(_xlfn.XLOOKUP($A805,Korrelation!$D$4:$D$1197,Korrelation!G$4:G$1197,"",0),DMAV_Modell!$G$6:$G$677,0)))</f>
        <v>0</v>
      </c>
      <c r="E805" s="57">
        <f>IF($A805="","",IF(_xlfn.XLOOKUP($A805,Korrelation!$D$4:$D$1197,Korrelation!H$4:H$1197,"-",0)="-",0,MATCH(_xlfn.XLOOKUP($A805,Korrelation!$D$4:$D$1197,Korrelation!H$4:H$1197,"",0),DMAV_Dienste!$F$6:$F$140,0)))</f>
        <v>0</v>
      </c>
      <c r="F805" s="57">
        <f>IF($A805="","",IF(_xlfn.XLOOKUP($A805,Korrelation!$D$4:$D$1197,Korrelation!I$4:I$1197,"-",0)="-",0,MATCH(_xlfn.XLOOKUP($A805,Korrelation!$D$4:$D$1197,Korrelation!I$4:I$1197,"",0),DMAV_Dienste!$F$6:$F$140,0)))</f>
        <v>0</v>
      </c>
      <c r="G805" s="57">
        <f>IF($A805="","",IF(_xlfn.XLOOKUP($A805,Korrelation!$D$4:$D$1197,Korrelation!J$4:J$1197,"-",0)="-",0,MATCH(_xlfn.XLOOKUP($A805,Korrelation!$D$4:$D$1197,Korrelation!J$4:J$1197,"",0),DMAV_Dienste!$F$6:$F$140,0)))</f>
        <v>0</v>
      </c>
      <c r="H805" s="57">
        <f>IF($A805="","",IF(_xlfn.XLOOKUP($A805,Korrelation!$D$4:$D$1197,Korrelation!K$4:K$1197,"-",0)="-",0,MATCH(_xlfn.XLOOKUP($A805,Korrelation!$D$4:$D$1197,Korrelation!K$4:K$1197,"",0),'DM01-AV-CH'!$A$6:$A$834,0)))</f>
        <v>247</v>
      </c>
      <c r="J805" s="54" t="str" cm="1">
        <f t="array" aca="1" ref="J805" ca="1">IF(B805=0,IF(E805=0,"",HYPERLINK("#"&amp;RIGHT(CELL("adresse",OFFSET(DMAV_Dienste!$M$6,E805-1,0)),LEN(CELL("adresse",OFFSET(DMAV_Dienste!$M$6,E805-1,0)))-FIND("]",CELL("adresse",OFFSET(DMAV_Dienste!$M$6,E805-1,0)))),"Dienst")),HYPERLINK("#"&amp;RIGHT(CELL("adresse",OFFSET(DMAV_Modell!$N$6,B805-1,0)),LEN(CELL("adresse",OFFSET(DMAV_Modell!$N$6,B805-1,0)))-FIND("]",CELL("adresse",OFFSET(DMAV_Modell!$N$6,B805-1,0)))),"Modell"))</f>
        <v/>
      </c>
      <c r="K805" s="61" t="str" cm="1">
        <f t="array" ref="K805">IF($B805=0,IF($E805=0,"",IF(INDEX(DMAV_Dienste!P$6:P$140,$E805)="","",INDEX(DMAV_Dienste!P$6:P$140,$E805))),IF(INDEX(DMAV_Modell!Q$6:Q$838,$B805)="","",INDEX(DMAV_Modell!Q$6:Q$838,$B805)))</f>
        <v/>
      </c>
      <c r="L805" s="62" t="str" cm="1">
        <f t="array" ref="L805">IF($B805=0,IF($E805=0,"",IF(INDEX(DMAV_Dienste!O$6:O$140,$E805)="","",INDEX(DMAV_Dienste!O$6:O$140,$E805))),IF(INDEX(DMAV_Modell!P$6:P$838,$B805)="","",INDEX(DMAV_Modell!P$6:P$838,$B805)))</f>
        <v/>
      </c>
      <c r="M805" s="62" t="str" cm="1">
        <f t="array" ref="M805">IF($B805=0,IF($E805=0,"",IF(INDEX(DMAV_Dienste!Q$6:Q$140,$E805)="","",INDEX(DMAV_Dienste!Q$6:Q$140,$E805))),IF(INDEX(DMAV_Modell!R$6:R$838,$B805)="","",INDEX(DMAV_Modell!R$6:R$838,$B805)))</f>
        <v/>
      </c>
      <c r="N805" s="62" t="str" cm="1">
        <f t="array" ref="N805">IF($B805=0,IF($E805=0,"",IF(INDEX(DMAV_Dienste!T$6:T$140,$E805)="","",INDEX(DMAV_Dienste!T$6:T$140,$E805))),IF(INDEX(DMAV_Modell!U$6:U$838,$B805)="","",INDEX(DMAV_Modell!U$6:U$838,$B805)))</f>
        <v/>
      </c>
      <c r="O805" s="63" t="str" cm="1">
        <f t="array" aca="1" ref="O805" ca="1">IF(C805=0,IF(F805=0,"",HYPERLINK("#"&amp;RIGHT(CELL("adresse",OFFSET(DMAV_Dienste!$M$6,F805-1,0)),LEN(CELL("adresse",OFFSET(DMAV_Dienste!$M$6,F805-1,0)))-FIND("]",CELL("adresse",OFFSET(DMAV_Dienste!$M$6,F805-1,0)))),"Structure")),HYPERLINK("#"&amp;RIGHT(CELL("adresse",OFFSET(DMAV_Modell!$N$6,C805-1,0)),LEN(CELL("adresse",OFFSET(DMAV_Modell!$N$6,C805-1,0)))-FIND("]",CELL("adresse",OFFSET(DMAV_Modell!$N$6,C805-1,0)))),"Structure"))</f>
        <v/>
      </c>
      <c r="P805" s="64" t="str" cm="1">
        <f t="array" aca="1" ref="P805" ca="1">IF(D805=0,IF(G805=0,"",HYPERLINK("#"&amp;RIGHT(CELL("adresse",OFFSET(DMAV_Dienste!$M$6,G805-1,0)),LEN(CELL("adresse",OFFSET(DMAV_Dienste!$M$6,G805-1,0)))-FIND("]",CELL("adresse",OFFSET(DMAV_Dienste!$M$6,G805-1,0)))),"Substructure")),HYPERLINK("#"&amp;RIGHT(CELL("adresse",OFFSET(DMAV_Modell!$N$6,D805-1,0)),LEN(CELL("adresse",OFFSET(DMAV_Modell!$N$6,D805-1,0)))-FIND("]",CELL("adresse",OFFSET(DMAV_Modell!$N$6,D805-1,0)))),"Substructure"))</f>
        <v/>
      </c>
      <c r="R805" s="80"/>
      <c r="T805" s="93"/>
      <c r="U805" s="94"/>
      <c r="V805" s="95"/>
      <c r="W805" s="96"/>
      <c r="Y805" s="85"/>
      <c r="Z805" s="86"/>
      <c r="AA805" s="87"/>
      <c r="AB805" s="88"/>
      <c r="AD805" s="77"/>
      <c r="AF805" s="54" t="str" cm="1">
        <f t="array" aca="1" ref="AF805" ca="1">IF(H805=0,"",HYPERLINK("#"&amp;RIGHT(CELL("adresse",OFFSET('DM01-AV-CH'!$G$6,H805-1,0)),LEN(CELL("adresse",OFFSET('DM01-AV-CH'!$G$6,H805-1,0)))-FIND("]",CELL("adresse",OFFSET('DM01-AV-CH'!$G$6,H805-1,0)))),"Modell"))</f>
        <v>Modell</v>
      </c>
      <c r="AG805" s="72" t="str" cm="1">
        <f t="array" ref="AG805">IF($H805=0,"",IF(INDEX('DM01-AV-CH'!G$6:G$834,$H805)="","",INDEX('DM01-AV-CH'!G$6:G$834,$H805)))</f>
        <v>Bodenbedeckung</v>
      </c>
      <c r="AH805" s="73" t="str" cm="1">
        <f t="array" ref="AH805">IF($H805=0,"",IF(INDEX('DM01-AV-CH'!H$6:H$834,$H805)="","",INDEX('DM01-AV-CH'!H$6:H$834,$H805)))</f>
        <v>BoFlaecheSymbol</v>
      </c>
      <c r="AI805" s="74" t="str" cm="1">
        <f t="array" ref="AI805">IF($H805=0,"",IF(INDEX('DM01-AV-CH'!I$6:I$834,$H805)="","",INDEX('DM01-AV-CH'!I$6:I$834,$H805)))</f>
        <v>BoFlaecheSymbol_von</v>
      </c>
    </row>
    <row r="806" spans="1:35" x14ac:dyDescent="0.25">
      <c r="A806" s="57">
        <v>801</v>
      </c>
      <c r="B806" s="57">
        <f>IF($A806="","",IF(_xlfn.XLOOKUP($A806,Korrelation!$D$4:$D$1197,Korrelation!E$4:E$1197,"-",0)="-",0,MATCH(_xlfn.XLOOKUP($A806,Korrelation!$D$4:$D$1197,Korrelation!E$4:E$1197,"",0),DMAV_Modell!$G$6:$G$677,0)))</f>
        <v>437</v>
      </c>
      <c r="C806" s="57">
        <f>IF($A806="","",IF(_xlfn.XLOOKUP($A806,Korrelation!$D$4:$D$1197,Korrelation!F$4:F$1197,"-",0)="-",0,MATCH(_xlfn.XLOOKUP($A806,Korrelation!$D$4:$D$1197,Korrelation!F$4:F$1197,"",0),DMAV_Modell!$G$6:$G$677,0)))</f>
        <v>33</v>
      </c>
      <c r="D806" s="57">
        <f>IF($A806="","",IF(_xlfn.XLOOKUP($A806,Korrelation!$D$4:$D$1197,Korrelation!G$4:G$1197,"-",0)="-",0,MATCH(_xlfn.XLOOKUP($A806,Korrelation!$D$4:$D$1197,Korrelation!G$4:G$1197,"",0),DMAV_Modell!$G$6:$G$677,0)))</f>
        <v>0</v>
      </c>
      <c r="E806" s="57">
        <f>IF($A806="","",IF(_xlfn.XLOOKUP($A806,Korrelation!$D$4:$D$1197,Korrelation!H$4:H$1197,"-",0)="-",0,MATCH(_xlfn.XLOOKUP($A806,Korrelation!$D$4:$D$1197,Korrelation!H$4:H$1197,"",0),DMAV_Dienste!$F$6:$F$140,0)))</f>
        <v>0</v>
      </c>
      <c r="F806" s="57">
        <f>IF($A806="","",IF(_xlfn.XLOOKUP($A806,Korrelation!$D$4:$D$1197,Korrelation!I$4:I$1197,"-",0)="-",0,MATCH(_xlfn.XLOOKUP($A806,Korrelation!$D$4:$D$1197,Korrelation!I$4:I$1197,"",0),DMAV_Dienste!$F$6:$F$140,0)))</f>
        <v>0</v>
      </c>
      <c r="G806" s="57">
        <f>IF($A806="","",IF(_xlfn.XLOOKUP($A806,Korrelation!$D$4:$D$1197,Korrelation!J$4:J$1197,"-",0)="-",0,MATCH(_xlfn.XLOOKUP($A806,Korrelation!$D$4:$D$1197,Korrelation!J$4:J$1197,"",0),DMAV_Dienste!$F$6:$F$140,0)))</f>
        <v>0</v>
      </c>
      <c r="H806" s="57">
        <f>IF($A806="","",IF(_xlfn.XLOOKUP($A806,Korrelation!$D$4:$D$1197,Korrelation!K$4:K$1197,"-",0)="-",0,MATCH(_xlfn.XLOOKUP($A806,Korrelation!$D$4:$D$1197,Korrelation!K$4:K$1197,"",0),'DM01-AV-CH'!$A$6:$A$834,0)))</f>
        <v>0</v>
      </c>
      <c r="J806" s="54" t="str" cm="1">
        <f t="array" aca="1" ref="J806" ca="1">IF(B806=0,IF(E806=0,"",HYPERLINK("#"&amp;RIGHT(CELL("adresse",OFFSET(DMAV_Dienste!$M$6,E806-1,0)),LEN(CELL("adresse",OFFSET(DMAV_Dienste!$M$6,E806-1,0)))-FIND("]",CELL("adresse",OFFSET(DMAV_Dienste!$M$6,E806-1,0)))),"Dienst")),HYPERLINK("#"&amp;RIGHT(CELL("adresse",OFFSET(DMAV_Modell!$N$6,B806-1,0)),LEN(CELL("adresse",OFFSET(DMAV_Modell!$N$6,B806-1,0)))-FIND("]",CELL("adresse",OFFSET(DMAV_Modell!$N$6,B806-1,0)))),"Modell"))</f>
        <v>Modell</v>
      </c>
      <c r="K806" s="61" t="str" cm="1">
        <f t="array" ref="K806">IF($B806=0,IF($E806=0,"",IF(INDEX(DMAV_Dienste!P$6:P$140,$E806)="","",INDEX(DMAV_Dienste!P$6:P$140,$E806))),IF(INDEX(DMAV_Modell!Q$6:Q$838,$B806)="","",INDEX(DMAV_Modell!Q$6:Q$838,$B806)))</f>
        <v>CLASS</v>
      </c>
      <c r="L806" s="62" t="str" cm="1">
        <f t="array" ref="L806">IF($B806=0,IF($E806=0,"",IF(INDEX(DMAV_Dienste!O$6:O$140,$E806)="","",INDEX(DMAV_Dienste!O$6:O$140,$E806))),IF(INDEX(DMAV_Modell!P$6:P$838,$B806)="","",INDEX(DMAV_Modell!P$6:P$838,$B806)))</f>
        <v>Bodenbedeckung</v>
      </c>
      <c r="M806" s="62" t="str" cm="1">
        <f t="array" ref="M806">IF($B806=0,IF($E806=0,"",IF(INDEX(DMAV_Dienste!Q$6:Q$140,$E806)="","",INDEX(DMAV_Dienste!Q$6:Q$140,$E806))),IF(INDEX(DMAV_Modell!R$6:R$838,$B806)="","",INDEX(DMAV_Modell!R$6:R$838,$B806)))</f>
        <v>Bodenbedeckung</v>
      </c>
      <c r="N806" s="62" t="str" cm="1">
        <f t="array" ref="N806">IF($B806=0,IF($E806=0,"",IF(INDEX(DMAV_Dienste!T$6:T$140,$E806)="","",INDEX(DMAV_Dienste!T$6:T$140,$E806))),IF(INDEX(DMAV_Modell!U$6:U$838,$B806)="","",INDEX(DMAV_Modell!U$6:U$838,$B806)))</f>
        <v>Symbolposition</v>
      </c>
      <c r="O806" s="63" t="str" cm="1">
        <f t="array" aca="1" ref="O806" ca="1">IF(C806=0,IF(F806=0,"",HYPERLINK("#"&amp;RIGHT(CELL("adresse",OFFSET(DMAV_Dienste!$M$6,F806-1,0)),LEN(CELL("adresse",OFFSET(DMAV_Dienste!$M$6,F806-1,0)))-FIND("]",CELL("adresse",OFFSET(DMAV_Dienste!$M$6,F806-1,0)))),"Structure")),HYPERLINK("#"&amp;RIGHT(CELL("adresse",OFFSET(DMAV_Modell!$N$6,C806-1,0)),LEN(CELL("adresse",OFFSET(DMAV_Modell!$N$6,C806-1,0)))-FIND("]",CELL("adresse",OFFSET(DMAV_Modell!$N$6,C806-1,0)))),"Structure"))</f>
        <v>Structure</v>
      </c>
      <c r="P806" s="64" t="str" cm="1">
        <f t="array" aca="1" ref="P806" ca="1">IF(D806=0,IF(G806=0,"",HYPERLINK("#"&amp;RIGHT(CELL("adresse",OFFSET(DMAV_Dienste!$M$6,G806-1,0)),LEN(CELL("adresse",OFFSET(DMAV_Dienste!$M$6,G806-1,0)))-FIND("]",CELL("adresse",OFFSET(DMAV_Dienste!$M$6,G806-1,0)))),"Substructure")),HYPERLINK("#"&amp;RIGHT(CELL("adresse",OFFSET(DMAV_Modell!$N$6,D806-1,0)),LEN(CELL("adresse",OFFSET(DMAV_Modell!$N$6,D806-1,0)))-FIND("]",CELL("adresse",OFFSET(DMAV_Modell!$N$6,D806-1,0)))),"Substructure"))</f>
        <v/>
      </c>
      <c r="R806" s="80"/>
      <c r="T806" s="93"/>
      <c r="U806" s="94"/>
      <c r="V806" s="95"/>
      <c r="W806" s="96"/>
      <c r="Y806" s="85"/>
      <c r="Z806" s="86"/>
      <c r="AA806" s="87"/>
      <c r="AB806" s="88"/>
      <c r="AD806" s="77"/>
      <c r="AF806" s="54" t="str" cm="1">
        <f t="array" aca="1" ref="AF806" ca="1">IF(H806=0,"",HYPERLINK("#"&amp;RIGHT(CELL("adresse",OFFSET('DM01-AV-CH'!$G$6,H806-1,0)),LEN(CELL("adresse",OFFSET('DM01-AV-CH'!$G$6,H806-1,0)))-FIND("]",CELL("adresse",OFFSET('DM01-AV-CH'!$G$6,H806-1,0)))),"Modell"))</f>
        <v/>
      </c>
      <c r="AG806" s="72" t="str" cm="1">
        <f t="array" ref="AG806">IF($H806=0,"",IF(INDEX('DM01-AV-CH'!G$6:G$834,$H806)="","",INDEX('DM01-AV-CH'!G$6:G$834,$H806)))</f>
        <v/>
      </c>
      <c r="AH806" s="73" t="str" cm="1">
        <f t="array" ref="AH806">IF($H806=0,"",IF(INDEX('DM01-AV-CH'!H$6:H$834,$H806)="","",INDEX('DM01-AV-CH'!H$6:H$834,$H806)))</f>
        <v/>
      </c>
      <c r="AI806" s="74" t="str" cm="1">
        <f t="array" ref="AI806">IF($H806=0,"",IF(INDEX('DM01-AV-CH'!I$6:I$834,$H806)="","",INDEX('DM01-AV-CH'!I$6:I$834,$H806)))</f>
        <v/>
      </c>
    </row>
    <row r="807" spans="1:35" ht="57" x14ac:dyDescent="0.25">
      <c r="A807" s="57">
        <v>802</v>
      </c>
      <c r="B807" s="57">
        <f>IF($A807="","",IF(_xlfn.XLOOKUP($A807,Korrelation!$D$4:$D$1197,Korrelation!E$4:E$1197,"-",0)="-",0,MATCH(_xlfn.XLOOKUP($A807,Korrelation!$D$4:$D$1197,Korrelation!E$4:E$1197,"",0),DMAV_Modell!$G$6:$G$677,0)))</f>
        <v>437</v>
      </c>
      <c r="C807" s="57">
        <f>IF($A807="","",IF(_xlfn.XLOOKUP($A807,Korrelation!$D$4:$D$1197,Korrelation!F$4:F$1197,"-",0)="-",0,MATCH(_xlfn.XLOOKUP($A807,Korrelation!$D$4:$D$1197,Korrelation!F$4:F$1197,"",0),DMAV_Modell!$G$6:$G$677,0)))</f>
        <v>33</v>
      </c>
      <c r="D807" s="57">
        <f>IF($A807="","",IF(_xlfn.XLOOKUP($A807,Korrelation!$D$4:$D$1197,Korrelation!G$4:G$1197,"-",0)="-",0,MATCH(_xlfn.XLOOKUP($A807,Korrelation!$D$4:$D$1197,Korrelation!G$4:G$1197,"",0),DMAV_Modell!$G$6:$G$677,0)))</f>
        <v>33</v>
      </c>
      <c r="E807" s="57">
        <f>IF($A807="","",IF(_xlfn.XLOOKUP($A807,Korrelation!$D$4:$D$1197,Korrelation!H$4:H$1197,"-",0)="-",0,MATCH(_xlfn.XLOOKUP($A807,Korrelation!$D$4:$D$1197,Korrelation!H$4:H$1197,"",0),DMAV_Dienste!$F$6:$F$140,0)))</f>
        <v>0</v>
      </c>
      <c r="F807" s="57">
        <f>IF($A807="","",IF(_xlfn.XLOOKUP($A807,Korrelation!$D$4:$D$1197,Korrelation!I$4:I$1197,"-",0)="-",0,MATCH(_xlfn.XLOOKUP($A807,Korrelation!$D$4:$D$1197,Korrelation!I$4:I$1197,"",0),DMAV_Dienste!$F$6:$F$140,0)))</f>
        <v>0</v>
      </c>
      <c r="G807" s="57">
        <f>IF($A807="","",IF(_xlfn.XLOOKUP($A807,Korrelation!$D$4:$D$1197,Korrelation!J$4:J$1197,"-",0)="-",0,MATCH(_xlfn.XLOOKUP($A807,Korrelation!$D$4:$D$1197,Korrelation!J$4:J$1197,"",0),DMAV_Dienste!$F$6:$F$140,0)))</f>
        <v>0</v>
      </c>
      <c r="H807" s="57">
        <f>IF($A807="","",IF(_xlfn.XLOOKUP($A807,Korrelation!$D$4:$D$1197,Korrelation!K$4:K$1197,"-",0)="-",0,MATCH(_xlfn.XLOOKUP($A807,Korrelation!$D$4:$D$1197,Korrelation!K$4:K$1197,"",0),'DM01-AV-CH'!$A$6:$A$834,0)))</f>
        <v>248</v>
      </c>
      <c r="J807" s="54" t="str" cm="1">
        <f t="array" aca="1" ref="J807" ca="1">IF(B807=0,IF(E807=0,"",HYPERLINK("#"&amp;RIGHT(CELL("adresse",OFFSET(DMAV_Dienste!$M$6,E807-1,0)),LEN(CELL("adresse",OFFSET(DMAV_Dienste!$M$6,E807-1,0)))-FIND("]",CELL("adresse",OFFSET(DMAV_Dienste!$M$6,E807-1,0)))),"Dienst")),HYPERLINK("#"&amp;RIGHT(CELL("adresse",OFFSET(DMAV_Modell!$N$6,B807-1,0)),LEN(CELL("adresse",OFFSET(DMAV_Modell!$N$6,B807-1,0)))-FIND("]",CELL("adresse",OFFSET(DMAV_Modell!$N$6,B807-1,0)))),"Modell"))</f>
        <v>Modell</v>
      </c>
      <c r="K807" s="61" t="str" cm="1">
        <f t="array" ref="K807">IF($B807=0,IF($E807=0,"",IF(INDEX(DMAV_Dienste!P$6:P$140,$E807)="","",INDEX(DMAV_Dienste!P$6:P$140,$E807))),IF(INDEX(DMAV_Modell!Q$6:Q$838,$B807)="","",INDEX(DMAV_Modell!Q$6:Q$838,$B807)))</f>
        <v>CLASS</v>
      </c>
      <c r="L807" s="62" t="str" cm="1">
        <f t="array" ref="L807">IF($B807=0,IF($E807=0,"",IF(INDEX(DMAV_Dienste!O$6:O$140,$E807)="","",INDEX(DMAV_Dienste!O$6:O$140,$E807))),IF(INDEX(DMAV_Modell!P$6:P$838,$B807)="","",INDEX(DMAV_Modell!P$6:P$838,$B807)))</f>
        <v>Bodenbedeckung</v>
      </c>
      <c r="M807" s="62" t="str" cm="1">
        <f t="array" ref="M807">IF($B807=0,IF($E807=0,"",IF(INDEX(DMAV_Dienste!Q$6:Q$140,$E807)="","",INDEX(DMAV_Dienste!Q$6:Q$140,$E807))),IF(INDEX(DMAV_Modell!R$6:R$838,$B807)="","",INDEX(DMAV_Modell!R$6:R$838,$B807)))</f>
        <v>Bodenbedeckung</v>
      </c>
      <c r="N807" s="62" t="str" cm="1">
        <f t="array" ref="N807">IF($B807=0,IF($E807=0,"",IF(INDEX(DMAV_Dienste!T$6:T$140,$E807)="","",INDEX(DMAV_Dienste!T$6:T$140,$E807))),IF(INDEX(DMAV_Modell!U$6:U$838,$B807)="","",INDEX(DMAV_Modell!U$6:U$838,$B807)))</f>
        <v>Symbolposition</v>
      </c>
      <c r="O807" s="63" t="str" cm="1">
        <f t="array" aca="1" ref="O807" ca="1">IF(C807=0,IF(F807=0,"",HYPERLINK("#"&amp;RIGHT(CELL("adresse",OFFSET(DMAV_Dienste!$M$6,F807-1,0)),LEN(CELL("adresse",OFFSET(DMAV_Dienste!$M$6,F807-1,0)))-FIND("]",CELL("adresse",OFFSET(DMAV_Dienste!$M$6,F807-1,0)))),"Structure")),HYPERLINK("#"&amp;RIGHT(CELL("adresse",OFFSET(DMAV_Modell!$N$6,C807-1,0)),LEN(CELL("adresse",OFFSET(DMAV_Modell!$N$6,C807-1,0)))-FIND("]",CELL("adresse",OFFSET(DMAV_Modell!$N$6,C807-1,0)))),"Structure"))</f>
        <v>Structure</v>
      </c>
      <c r="P807" s="64" t="str" cm="1">
        <f t="array" aca="1" ref="P807" ca="1">IF(D807=0,IF(G807=0,"",HYPERLINK("#"&amp;RIGHT(CELL("adresse",OFFSET(DMAV_Dienste!$M$6,G807-1,0)),LEN(CELL("adresse",OFFSET(DMAV_Dienste!$M$6,G807-1,0)))-FIND("]",CELL("adresse",OFFSET(DMAV_Dienste!$M$6,G807-1,0)))),"Substructure")),HYPERLINK("#"&amp;RIGHT(CELL("adresse",OFFSET(DMAV_Modell!$N$6,D807-1,0)),LEN(CELL("adresse",OFFSET(DMAV_Modell!$N$6,D807-1,0)))-FIND("]",CELL("adresse",OFFSET(DMAV_Modell!$N$6,D807-1,0)))),"Substructure"))</f>
        <v>Substructure</v>
      </c>
      <c r="R807" s="80"/>
      <c r="T807" s="93"/>
      <c r="U807" s="94"/>
      <c r="V807" s="95" t="s">
        <v>3033</v>
      </c>
      <c r="W807" s="96"/>
      <c r="Y807" s="85" t="s">
        <v>3179</v>
      </c>
      <c r="Z807" s="86" t="s">
        <v>2980</v>
      </c>
      <c r="AA807" s="87" t="s">
        <v>3195</v>
      </c>
      <c r="AB807" s="88"/>
      <c r="AD807" s="77"/>
      <c r="AF807" s="54" t="str" cm="1">
        <f t="array" aca="1" ref="AF807" ca="1">IF(H807=0,"",HYPERLINK("#"&amp;RIGHT(CELL("adresse",OFFSET('DM01-AV-CH'!$G$6,H807-1,0)),LEN(CELL("adresse",OFFSET('DM01-AV-CH'!$G$6,H807-1,0)))-FIND("]",CELL("adresse",OFFSET('DM01-AV-CH'!$G$6,H807-1,0)))),"Modell"))</f>
        <v>Modell</v>
      </c>
      <c r="AG807" s="72" t="str" cm="1">
        <f t="array" ref="AG807">IF($H807=0,"",IF(INDEX('DM01-AV-CH'!G$6:G$834,$H807)="","",INDEX('DM01-AV-CH'!G$6:G$834,$H807)))</f>
        <v>Bodenbedeckung</v>
      </c>
      <c r="AH807" s="73" t="str" cm="1">
        <f t="array" ref="AH807">IF($H807=0,"",IF(INDEX('DM01-AV-CH'!H$6:H$834,$H807)="","",INDEX('DM01-AV-CH'!H$6:H$834,$H807)))</f>
        <v>BoFlaecheSymbol</v>
      </c>
      <c r="AI807" s="74" t="str" cm="1">
        <f t="array" ref="AI807">IF($H807=0,"",IF(INDEX('DM01-AV-CH'!I$6:I$834,$H807)="","",INDEX('DM01-AV-CH'!I$6:I$834,$H807)))</f>
        <v>Pos</v>
      </c>
    </row>
    <row r="808" spans="1:35" ht="57" x14ac:dyDescent="0.25">
      <c r="A808" s="57">
        <v>803</v>
      </c>
      <c r="B808" s="57">
        <f>IF($A808="","",IF(_xlfn.XLOOKUP($A808,Korrelation!$D$4:$D$1197,Korrelation!E$4:E$1197,"-",0)="-",0,MATCH(_xlfn.XLOOKUP($A808,Korrelation!$D$4:$D$1197,Korrelation!E$4:E$1197,"",0),DMAV_Modell!$G$6:$G$677,0)))</f>
        <v>437</v>
      </c>
      <c r="C808" s="57">
        <f>IF($A808="","",IF(_xlfn.XLOOKUP($A808,Korrelation!$D$4:$D$1197,Korrelation!F$4:F$1197,"-",0)="-",0,MATCH(_xlfn.XLOOKUP($A808,Korrelation!$D$4:$D$1197,Korrelation!F$4:F$1197,"",0),DMAV_Modell!$G$6:$G$677,0)))</f>
        <v>33</v>
      </c>
      <c r="D808" s="57">
        <f>IF($A808="","",IF(_xlfn.XLOOKUP($A808,Korrelation!$D$4:$D$1197,Korrelation!G$4:G$1197,"-",0)="-",0,MATCH(_xlfn.XLOOKUP($A808,Korrelation!$D$4:$D$1197,Korrelation!G$4:G$1197,"",0),DMAV_Modell!$G$6:$G$677,0)))</f>
        <v>34</v>
      </c>
      <c r="E808" s="57">
        <f>IF($A808="","",IF(_xlfn.XLOOKUP($A808,Korrelation!$D$4:$D$1197,Korrelation!H$4:H$1197,"-",0)="-",0,MATCH(_xlfn.XLOOKUP($A808,Korrelation!$D$4:$D$1197,Korrelation!H$4:H$1197,"",0),DMAV_Dienste!$F$6:$F$140,0)))</f>
        <v>0</v>
      </c>
      <c r="F808" s="57">
        <f>IF($A808="","",IF(_xlfn.XLOOKUP($A808,Korrelation!$D$4:$D$1197,Korrelation!I$4:I$1197,"-",0)="-",0,MATCH(_xlfn.XLOOKUP($A808,Korrelation!$D$4:$D$1197,Korrelation!I$4:I$1197,"",0),DMAV_Dienste!$F$6:$F$140,0)))</f>
        <v>0</v>
      </c>
      <c r="G808" s="57">
        <f>IF($A808="","",IF(_xlfn.XLOOKUP($A808,Korrelation!$D$4:$D$1197,Korrelation!J$4:J$1197,"-",0)="-",0,MATCH(_xlfn.XLOOKUP($A808,Korrelation!$D$4:$D$1197,Korrelation!J$4:J$1197,"",0),DMAV_Dienste!$F$6:$F$140,0)))</f>
        <v>0</v>
      </c>
      <c r="H808" s="57">
        <f>IF($A808="","",IF(_xlfn.XLOOKUP($A808,Korrelation!$D$4:$D$1197,Korrelation!K$4:K$1197,"-",0)="-",0,MATCH(_xlfn.XLOOKUP($A808,Korrelation!$D$4:$D$1197,Korrelation!K$4:K$1197,"",0),'DM01-AV-CH'!$A$6:$A$834,0)))</f>
        <v>249</v>
      </c>
      <c r="J808" s="54" t="str" cm="1">
        <f t="array" aca="1" ref="J808" ca="1">IF(B808=0,IF(E808=0,"",HYPERLINK("#"&amp;RIGHT(CELL("adresse",OFFSET(DMAV_Dienste!$M$6,E808-1,0)),LEN(CELL("adresse",OFFSET(DMAV_Dienste!$M$6,E808-1,0)))-FIND("]",CELL("adresse",OFFSET(DMAV_Dienste!$M$6,E808-1,0)))),"Dienst")),HYPERLINK("#"&amp;RIGHT(CELL("adresse",OFFSET(DMAV_Modell!$N$6,B808-1,0)),LEN(CELL("adresse",OFFSET(DMAV_Modell!$N$6,B808-1,0)))-FIND("]",CELL("adresse",OFFSET(DMAV_Modell!$N$6,B808-1,0)))),"Modell"))</f>
        <v>Modell</v>
      </c>
      <c r="K808" s="61" t="str" cm="1">
        <f t="array" ref="K808">IF($B808=0,IF($E808=0,"",IF(INDEX(DMAV_Dienste!P$6:P$140,$E808)="","",INDEX(DMAV_Dienste!P$6:P$140,$E808))),IF(INDEX(DMAV_Modell!Q$6:Q$838,$B808)="","",INDEX(DMAV_Modell!Q$6:Q$838,$B808)))</f>
        <v>CLASS</v>
      </c>
      <c r="L808" s="62" t="str" cm="1">
        <f t="array" ref="L808">IF($B808=0,IF($E808=0,"",IF(INDEX(DMAV_Dienste!O$6:O$140,$E808)="","",INDEX(DMAV_Dienste!O$6:O$140,$E808))),IF(INDEX(DMAV_Modell!P$6:P$838,$B808)="","",INDEX(DMAV_Modell!P$6:P$838,$B808)))</f>
        <v>Bodenbedeckung</v>
      </c>
      <c r="M808" s="62" t="str" cm="1">
        <f t="array" ref="M808">IF($B808=0,IF($E808=0,"",IF(INDEX(DMAV_Dienste!Q$6:Q$140,$E808)="","",INDEX(DMAV_Dienste!Q$6:Q$140,$E808))),IF(INDEX(DMAV_Modell!R$6:R$838,$B808)="","",INDEX(DMAV_Modell!R$6:R$838,$B808)))</f>
        <v>Bodenbedeckung</v>
      </c>
      <c r="N808" s="62" t="str" cm="1">
        <f t="array" ref="N808">IF($B808=0,IF($E808=0,"",IF(INDEX(DMAV_Dienste!T$6:T$140,$E808)="","",INDEX(DMAV_Dienste!T$6:T$140,$E808))),IF(INDEX(DMAV_Modell!U$6:U$838,$B808)="","",INDEX(DMAV_Modell!U$6:U$838,$B808)))</f>
        <v>Symbolposition</v>
      </c>
      <c r="O808" s="63" t="str" cm="1">
        <f t="array" aca="1" ref="O808" ca="1">IF(C808=0,IF(F808=0,"",HYPERLINK("#"&amp;RIGHT(CELL("adresse",OFFSET(DMAV_Dienste!$M$6,F808-1,0)),LEN(CELL("adresse",OFFSET(DMAV_Dienste!$M$6,F808-1,0)))-FIND("]",CELL("adresse",OFFSET(DMAV_Dienste!$M$6,F808-1,0)))),"Structure")),HYPERLINK("#"&amp;RIGHT(CELL("adresse",OFFSET(DMAV_Modell!$N$6,C808-1,0)),LEN(CELL("adresse",OFFSET(DMAV_Modell!$N$6,C808-1,0)))-FIND("]",CELL("adresse",OFFSET(DMAV_Modell!$N$6,C808-1,0)))),"Structure"))</f>
        <v>Structure</v>
      </c>
      <c r="P808" s="64" t="str" cm="1">
        <f t="array" aca="1" ref="P808" ca="1">IF(D808=0,IF(G808=0,"",HYPERLINK("#"&amp;RIGHT(CELL("adresse",OFFSET(DMAV_Dienste!$M$6,G808-1,0)),LEN(CELL("adresse",OFFSET(DMAV_Dienste!$M$6,G808-1,0)))-FIND("]",CELL("adresse",OFFSET(DMAV_Dienste!$M$6,G808-1,0)))),"Substructure")),HYPERLINK("#"&amp;RIGHT(CELL("adresse",OFFSET(DMAV_Modell!$N$6,D808-1,0)),LEN(CELL("adresse",OFFSET(DMAV_Modell!$N$6,D808-1,0)))-FIND("]",CELL("adresse",OFFSET(DMAV_Modell!$N$6,D808-1,0)))),"Substructure"))</f>
        <v>Substructure</v>
      </c>
      <c r="R808" s="80"/>
      <c r="T808" s="93"/>
      <c r="U808" s="94"/>
      <c r="V808" s="95" t="s">
        <v>3034</v>
      </c>
      <c r="W808" s="96"/>
      <c r="Y808" s="85" t="s">
        <v>3179</v>
      </c>
      <c r="Z808" s="86" t="s">
        <v>2980</v>
      </c>
      <c r="AA808" s="87" t="s">
        <v>3196</v>
      </c>
      <c r="AB808" s="88"/>
      <c r="AD808" s="77"/>
      <c r="AF808" s="54" t="str" cm="1">
        <f t="array" aca="1" ref="AF808" ca="1">IF(H808=0,"",HYPERLINK("#"&amp;RIGHT(CELL("adresse",OFFSET('DM01-AV-CH'!$G$6,H808-1,0)),LEN(CELL("adresse",OFFSET('DM01-AV-CH'!$G$6,H808-1,0)))-FIND("]",CELL("adresse",OFFSET('DM01-AV-CH'!$G$6,H808-1,0)))),"Modell"))</f>
        <v>Modell</v>
      </c>
      <c r="AG808" s="72" t="str" cm="1">
        <f t="array" ref="AG808">IF($H808=0,"",IF(INDEX('DM01-AV-CH'!G$6:G$834,$H808)="","",INDEX('DM01-AV-CH'!G$6:G$834,$H808)))</f>
        <v>Bodenbedeckung</v>
      </c>
      <c r="AH808" s="73" t="str" cm="1">
        <f t="array" ref="AH808">IF($H808=0,"",IF(INDEX('DM01-AV-CH'!H$6:H$834,$H808)="","",INDEX('DM01-AV-CH'!H$6:H$834,$H808)))</f>
        <v>BoFlaecheSymbol</v>
      </c>
      <c r="AI808" s="74" t="str" cm="1">
        <f t="array" ref="AI808">IF($H808=0,"",IF(INDEX('DM01-AV-CH'!I$6:I$834,$H808)="","",INDEX('DM01-AV-CH'!I$6:I$834,$H808)))</f>
        <v>Ori</v>
      </c>
    </row>
    <row r="809" spans="1:35" x14ac:dyDescent="0.25">
      <c r="A809" s="57">
        <v>804</v>
      </c>
      <c r="B809" s="57">
        <f>IF($A809="","",IF(_xlfn.XLOOKUP($A809,Korrelation!$D$4:$D$1197,Korrelation!E$4:E$1197,"-",0)="-",0,MATCH(_xlfn.XLOOKUP($A809,Korrelation!$D$4:$D$1197,Korrelation!E$4:E$1197,"",0),DMAV_Modell!$G$6:$G$677,0)))</f>
        <v>438</v>
      </c>
      <c r="C809" s="57">
        <f>IF($A809="","",IF(_xlfn.XLOOKUP($A809,Korrelation!$D$4:$D$1197,Korrelation!F$4:F$1197,"-",0)="-",0,MATCH(_xlfn.XLOOKUP($A809,Korrelation!$D$4:$D$1197,Korrelation!F$4:F$1197,"",0),DMAV_Modell!$G$6:$G$677,0)))</f>
        <v>0</v>
      </c>
      <c r="D809" s="57">
        <f>IF($A809="","",IF(_xlfn.XLOOKUP($A809,Korrelation!$D$4:$D$1197,Korrelation!G$4:G$1197,"-",0)="-",0,MATCH(_xlfn.XLOOKUP($A809,Korrelation!$D$4:$D$1197,Korrelation!G$4:G$1197,"",0),DMAV_Modell!$G$6:$G$677,0)))</f>
        <v>0</v>
      </c>
      <c r="E809" s="57">
        <f>IF($A809="","",IF(_xlfn.XLOOKUP($A809,Korrelation!$D$4:$D$1197,Korrelation!H$4:H$1197,"-",0)="-",0,MATCH(_xlfn.XLOOKUP($A809,Korrelation!$D$4:$D$1197,Korrelation!H$4:H$1197,"",0),DMAV_Dienste!$F$6:$F$140,0)))</f>
        <v>0</v>
      </c>
      <c r="F809" s="57">
        <f>IF($A809="","",IF(_xlfn.XLOOKUP($A809,Korrelation!$D$4:$D$1197,Korrelation!I$4:I$1197,"-",0)="-",0,MATCH(_xlfn.XLOOKUP($A809,Korrelation!$D$4:$D$1197,Korrelation!I$4:I$1197,"",0),DMAV_Dienste!$F$6:$F$140,0)))</f>
        <v>0</v>
      </c>
      <c r="G809" s="57">
        <f>IF($A809="","",IF(_xlfn.XLOOKUP($A809,Korrelation!$D$4:$D$1197,Korrelation!J$4:J$1197,"-",0)="-",0,MATCH(_xlfn.XLOOKUP($A809,Korrelation!$D$4:$D$1197,Korrelation!J$4:J$1197,"",0),DMAV_Dienste!$F$6:$F$140,0)))</f>
        <v>0</v>
      </c>
      <c r="H809" s="57">
        <f>IF($A809="","",IF(_xlfn.XLOOKUP($A809,Korrelation!$D$4:$D$1197,Korrelation!K$4:K$1197,"-",0)="-",0,MATCH(_xlfn.XLOOKUP($A809,Korrelation!$D$4:$D$1197,Korrelation!K$4:K$1197,"",0),'DM01-AV-CH'!$A$6:$A$834,0)))</f>
        <v>0</v>
      </c>
      <c r="J809" s="54" t="str" cm="1">
        <f t="array" aca="1" ref="J809" ca="1">IF(B809=0,IF(E809=0,"",HYPERLINK("#"&amp;RIGHT(CELL("adresse",OFFSET(DMAV_Dienste!$M$6,E809-1,0)),LEN(CELL("adresse",OFFSET(DMAV_Dienste!$M$6,E809-1,0)))-FIND("]",CELL("adresse",OFFSET(DMAV_Dienste!$M$6,E809-1,0)))),"Dienst")),HYPERLINK("#"&amp;RIGHT(CELL("adresse",OFFSET(DMAV_Modell!$N$6,B809-1,0)),LEN(CELL("adresse",OFFSET(DMAV_Modell!$N$6,B809-1,0)))-FIND("]",CELL("adresse",OFFSET(DMAV_Modell!$N$6,B809-1,0)))),"Modell"))</f>
        <v>Modell</v>
      </c>
      <c r="K809" s="61" t="str" cm="1">
        <f t="array" ref="K809">IF($B809=0,IF($E809=0,"",IF(INDEX(DMAV_Dienste!P$6:P$140,$E809)="","",INDEX(DMAV_Dienste!P$6:P$140,$E809))),IF(INDEX(DMAV_Modell!Q$6:Q$838,$B809)="","",INDEX(DMAV_Modell!Q$6:Q$838,$B809)))</f>
        <v>CLASS.CONSTRAINT</v>
      </c>
      <c r="L809" s="62" t="str" cm="1">
        <f t="array" ref="L809">IF($B809=0,IF($E809=0,"",IF(INDEX(DMAV_Dienste!O$6:O$140,$E809)="","",INDEX(DMAV_Dienste!O$6:O$140,$E809))),IF(INDEX(DMAV_Modell!P$6:P$838,$B809)="","",INDEX(DMAV_Modell!P$6:P$838,$B809)))</f>
        <v>Bodenbedeckung</v>
      </c>
      <c r="M809" s="62" t="str" cm="1">
        <f t="array" ref="M809">IF($B809=0,IF($E809=0,"",IF(INDEX(DMAV_Dienste!Q$6:Q$140,$E809)="","",INDEX(DMAV_Dienste!Q$6:Q$140,$E809))),IF(INDEX(DMAV_Modell!R$6:R$838,$B809)="","",INDEX(DMAV_Modell!R$6:R$838,$B809)))</f>
        <v>Bodenbedeckung</v>
      </c>
      <c r="N809" s="62" t="str" cm="1">
        <f t="array" ref="N809">IF($B809=0,IF($E809=0,"",IF(INDEX(DMAV_Dienste!T$6:T$140,$E809)="","",INDEX(DMAV_Dienste!T$6:T$140,$E809))),IF(INDEX(DMAV_Modell!U$6:U$838,$B809)="","",INDEX(DMAV_Modell!U$6:U$838,$B809)))</f>
        <v>(@PH1@!=@PH2@ AND @PH1@!=@PH3@ ) OR INTERLIS.elementCount(@PH4@)&gt;0</v>
      </c>
      <c r="O809" s="63" t="str" cm="1">
        <f t="array" aca="1" ref="O809" ca="1">IF(C809=0,IF(F809=0,"",HYPERLINK("#"&amp;RIGHT(CELL("adresse",OFFSET(DMAV_Dienste!$M$6,F809-1,0)),LEN(CELL("adresse",OFFSET(DMAV_Dienste!$M$6,F809-1,0)))-FIND("]",CELL("adresse",OFFSET(DMAV_Dienste!$M$6,F809-1,0)))),"Structure")),HYPERLINK("#"&amp;RIGHT(CELL("adresse",OFFSET(DMAV_Modell!$N$6,C809-1,0)),LEN(CELL("adresse",OFFSET(DMAV_Modell!$N$6,C809-1,0)))-FIND("]",CELL("adresse",OFFSET(DMAV_Modell!$N$6,C809-1,0)))),"Structure"))</f>
        <v/>
      </c>
      <c r="P809" s="64" t="str" cm="1">
        <f t="array" aca="1" ref="P809" ca="1">IF(D809=0,IF(G809=0,"",HYPERLINK("#"&amp;RIGHT(CELL("adresse",OFFSET(DMAV_Dienste!$M$6,G809-1,0)),LEN(CELL("adresse",OFFSET(DMAV_Dienste!$M$6,G809-1,0)))-FIND("]",CELL("adresse",OFFSET(DMAV_Dienste!$M$6,G809-1,0)))),"Substructure")),HYPERLINK("#"&amp;RIGHT(CELL("adresse",OFFSET(DMAV_Modell!$N$6,D809-1,0)),LEN(CELL("adresse",OFFSET(DMAV_Modell!$N$6,D809-1,0)))-FIND("]",CELL("adresse",OFFSET(DMAV_Modell!$N$6,D809-1,0)))),"Substructure"))</f>
        <v/>
      </c>
      <c r="R809" s="80"/>
      <c r="T809" s="93"/>
      <c r="U809" s="94"/>
      <c r="V809" s="95"/>
      <c r="W809" s="96"/>
      <c r="Y809" s="85"/>
      <c r="Z809" s="86"/>
      <c r="AA809" s="87"/>
      <c r="AB809" s="88"/>
      <c r="AD809" s="77"/>
      <c r="AF809" s="54" t="str" cm="1">
        <f t="array" aca="1" ref="AF809" ca="1">IF(H809=0,"",HYPERLINK("#"&amp;RIGHT(CELL("adresse",OFFSET('DM01-AV-CH'!$G$6,H809-1,0)),LEN(CELL("adresse",OFFSET('DM01-AV-CH'!$G$6,H809-1,0)))-FIND("]",CELL("adresse",OFFSET('DM01-AV-CH'!$G$6,H809-1,0)))),"Modell"))</f>
        <v/>
      </c>
      <c r="AG809" s="72" t="str" cm="1">
        <f t="array" ref="AG809">IF($H809=0,"",IF(INDEX('DM01-AV-CH'!G$6:G$834,$H809)="","",INDEX('DM01-AV-CH'!G$6:G$834,$H809)))</f>
        <v/>
      </c>
      <c r="AH809" s="73" t="str" cm="1">
        <f t="array" ref="AH809">IF($H809=0,"",IF(INDEX('DM01-AV-CH'!H$6:H$834,$H809)="","",INDEX('DM01-AV-CH'!H$6:H$834,$H809)))</f>
        <v/>
      </c>
      <c r="AI809" s="74" t="str" cm="1">
        <f t="array" ref="AI809">IF($H809=0,"",IF(INDEX('DM01-AV-CH'!I$6:I$834,$H809)="","",INDEX('DM01-AV-CH'!I$6:I$834,$H809)))</f>
        <v/>
      </c>
    </row>
    <row r="810" spans="1:35" x14ac:dyDescent="0.25">
      <c r="A810" s="57">
        <v>805</v>
      </c>
      <c r="B810" s="57">
        <f>IF($A810="","",IF(_xlfn.XLOOKUP($A810,Korrelation!$D$4:$D$1197,Korrelation!E$4:E$1197,"-",0)="-",0,MATCH(_xlfn.XLOOKUP($A810,Korrelation!$D$4:$D$1197,Korrelation!E$4:E$1197,"",0),DMAV_Modell!$G$6:$G$677,0)))</f>
        <v>439</v>
      </c>
      <c r="C810" s="57">
        <f>IF($A810="","",IF(_xlfn.XLOOKUP($A810,Korrelation!$D$4:$D$1197,Korrelation!F$4:F$1197,"-",0)="-",0,MATCH(_xlfn.XLOOKUP($A810,Korrelation!$D$4:$D$1197,Korrelation!F$4:F$1197,"",0),DMAV_Modell!$G$6:$G$677,0)))</f>
        <v>0</v>
      </c>
      <c r="D810" s="57">
        <f>IF($A810="","",IF(_xlfn.XLOOKUP($A810,Korrelation!$D$4:$D$1197,Korrelation!G$4:G$1197,"-",0)="-",0,MATCH(_xlfn.XLOOKUP($A810,Korrelation!$D$4:$D$1197,Korrelation!G$4:G$1197,"",0),DMAV_Modell!$G$6:$G$677,0)))</f>
        <v>0</v>
      </c>
      <c r="E810" s="57">
        <f>IF($A810="","",IF(_xlfn.XLOOKUP($A810,Korrelation!$D$4:$D$1197,Korrelation!H$4:H$1197,"-",0)="-",0,MATCH(_xlfn.XLOOKUP($A810,Korrelation!$D$4:$D$1197,Korrelation!H$4:H$1197,"",0),DMAV_Dienste!$F$6:$F$140,0)))</f>
        <v>0</v>
      </c>
      <c r="F810" s="57">
        <f>IF($A810="","",IF(_xlfn.XLOOKUP($A810,Korrelation!$D$4:$D$1197,Korrelation!I$4:I$1197,"-",0)="-",0,MATCH(_xlfn.XLOOKUP($A810,Korrelation!$D$4:$D$1197,Korrelation!I$4:I$1197,"",0),DMAV_Dienste!$F$6:$F$140,0)))</f>
        <v>0</v>
      </c>
      <c r="G810" s="57">
        <f>IF($A810="","",IF(_xlfn.XLOOKUP($A810,Korrelation!$D$4:$D$1197,Korrelation!J$4:J$1197,"-",0)="-",0,MATCH(_xlfn.XLOOKUP($A810,Korrelation!$D$4:$D$1197,Korrelation!J$4:J$1197,"",0),DMAV_Dienste!$F$6:$F$140,0)))</f>
        <v>0</v>
      </c>
      <c r="H810" s="57">
        <f>IF($A810="","",IF(_xlfn.XLOOKUP($A810,Korrelation!$D$4:$D$1197,Korrelation!K$4:K$1197,"-",0)="-",0,MATCH(_xlfn.XLOOKUP($A810,Korrelation!$D$4:$D$1197,Korrelation!K$4:K$1197,"",0),'DM01-AV-CH'!$A$6:$A$834,0)))</f>
        <v>0</v>
      </c>
      <c r="J810" s="54" t="str" cm="1">
        <f t="array" aca="1" ref="J810" ca="1">IF(B810=0,IF(E810=0,"",HYPERLINK("#"&amp;RIGHT(CELL("adresse",OFFSET(DMAV_Dienste!$M$6,E810-1,0)),LEN(CELL("adresse",OFFSET(DMAV_Dienste!$M$6,E810-1,0)))-FIND("]",CELL("adresse",OFFSET(DMAV_Dienste!$M$6,E810-1,0)))),"Dienst")),HYPERLINK("#"&amp;RIGHT(CELL("adresse",OFFSET(DMAV_Modell!$N$6,B810-1,0)),LEN(CELL("adresse",OFFSET(DMAV_Modell!$N$6,B810-1,0)))-FIND("]",CELL("adresse",OFFSET(DMAV_Modell!$N$6,B810-1,0)))),"Modell"))</f>
        <v>Modell</v>
      </c>
      <c r="K810" s="61" t="str" cm="1">
        <f t="array" ref="K810">IF($B810=0,IF($E810=0,"",IF(INDEX(DMAV_Dienste!P$6:P$140,$E810)="","",INDEX(DMAV_Dienste!P$6:P$140,$E810))),IF(INDEX(DMAV_Modell!Q$6:Q$838,$B810)="","",INDEX(DMAV_Modell!Q$6:Q$838,$B810)))</f>
        <v>CLASS.CONSTRAINT</v>
      </c>
      <c r="L810" s="62" t="str" cm="1">
        <f t="array" ref="L810">IF($B810=0,IF($E810=0,"",IF(INDEX(DMAV_Dienste!O$6:O$140,$E810)="","",INDEX(DMAV_Dienste!O$6:O$140,$E810))),IF(INDEX(DMAV_Modell!P$6:P$838,$B810)="","",INDEX(DMAV_Modell!P$6:P$838,$B810)))</f>
        <v>Bodenbedeckung</v>
      </c>
      <c r="M810" s="62" t="str" cm="1">
        <f t="array" ref="M810">IF($B810=0,IF($E810=0,"",IF(INDEX(DMAV_Dienste!Q$6:Q$140,$E810)="","",INDEX(DMAV_Dienste!Q$6:Q$140,$E810))),IF(INDEX(DMAV_Modell!R$6:R$838,$B810)="","",INDEX(DMAV_Modell!R$6:R$838,$B810)))</f>
        <v>Bodenbedeckung</v>
      </c>
      <c r="N810" s="62" t="str" cm="1">
        <f t="array" ref="N810">IF($B810=0,IF($E810=0,"",IF(INDEX(DMAV_Dienste!T$6:T$140,$E810)="","",INDEX(DMAV_Dienste!T$6:T$140,$E810))),IF(INDEX(DMAV_Modell!U$6:U$838,$B810)="","",INDEX(DMAV_Modell!U$6:U$838,$B810)))</f>
        <v>@PH1@!=DEFINED(@PH2@)</v>
      </c>
      <c r="O810" s="63" t="str" cm="1">
        <f t="array" aca="1" ref="O810" ca="1">IF(C810=0,IF(F810=0,"",HYPERLINK("#"&amp;RIGHT(CELL("adresse",OFFSET(DMAV_Dienste!$M$6,F810-1,0)),LEN(CELL("adresse",OFFSET(DMAV_Dienste!$M$6,F810-1,0)))-FIND("]",CELL("adresse",OFFSET(DMAV_Dienste!$M$6,F810-1,0)))),"Structure")),HYPERLINK("#"&amp;RIGHT(CELL("adresse",OFFSET(DMAV_Modell!$N$6,C810-1,0)),LEN(CELL("adresse",OFFSET(DMAV_Modell!$N$6,C810-1,0)))-FIND("]",CELL("adresse",OFFSET(DMAV_Modell!$N$6,C810-1,0)))),"Structure"))</f>
        <v/>
      </c>
      <c r="P810" s="64" t="str" cm="1">
        <f t="array" aca="1" ref="P810" ca="1">IF(D810=0,IF(G810=0,"",HYPERLINK("#"&amp;RIGHT(CELL("adresse",OFFSET(DMAV_Dienste!$M$6,G810-1,0)),LEN(CELL("adresse",OFFSET(DMAV_Dienste!$M$6,G810-1,0)))-FIND("]",CELL("adresse",OFFSET(DMAV_Dienste!$M$6,G810-1,0)))),"Substructure")),HYPERLINK("#"&amp;RIGHT(CELL("adresse",OFFSET(DMAV_Modell!$N$6,D810-1,0)),LEN(CELL("adresse",OFFSET(DMAV_Modell!$N$6,D810-1,0)))-FIND("]",CELL("adresse",OFFSET(DMAV_Modell!$N$6,D810-1,0)))),"Substructure"))</f>
        <v/>
      </c>
      <c r="R810" s="80"/>
      <c r="T810" s="93"/>
      <c r="U810" s="94"/>
      <c r="V810" s="95"/>
      <c r="W810" s="96"/>
      <c r="Y810" s="85"/>
      <c r="Z810" s="86"/>
      <c r="AA810" s="87"/>
      <c r="AB810" s="88"/>
      <c r="AD810" s="77"/>
      <c r="AF810" s="54" t="str" cm="1">
        <f t="array" aca="1" ref="AF810" ca="1">IF(H810=0,"",HYPERLINK("#"&amp;RIGHT(CELL("adresse",OFFSET('DM01-AV-CH'!$G$6,H810-1,0)),LEN(CELL("adresse",OFFSET('DM01-AV-CH'!$G$6,H810-1,0)))-FIND("]",CELL("adresse",OFFSET('DM01-AV-CH'!$G$6,H810-1,0)))),"Modell"))</f>
        <v/>
      </c>
      <c r="AG810" s="72" t="str" cm="1">
        <f t="array" ref="AG810">IF($H810=0,"",IF(INDEX('DM01-AV-CH'!G$6:G$834,$H810)="","",INDEX('DM01-AV-CH'!G$6:G$834,$H810)))</f>
        <v/>
      </c>
      <c r="AH810" s="73" t="str" cm="1">
        <f t="array" ref="AH810">IF($H810=0,"",IF(INDEX('DM01-AV-CH'!H$6:H$834,$H810)="","",INDEX('DM01-AV-CH'!H$6:H$834,$H810)))</f>
        <v/>
      </c>
      <c r="AI810" s="74" t="str" cm="1">
        <f t="array" ref="AI810">IF($H810=0,"",IF(INDEX('DM01-AV-CH'!I$6:I$834,$H810)="","",INDEX('DM01-AV-CH'!I$6:I$834,$H810)))</f>
        <v/>
      </c>
    </row>
    <row r="811" spans="1:35" x14ac:dyDescent="0.25">
      <c r="A811" s="57">
        <v>806</v>
      </c>
      <c r="B811" s="57">
        <f>IF($A811="","",IF(_xlfn.XLOOKUP($A811,Korrelation!$D$4:$D$1197,Korrelation!E$4:E$1197,"-",0)="-",0,MATCH(_xlfn.XLOOKUP($A811,Korrelation!$D$4:$D$1197,Korrelation!E$4:E$1197,"",0),DMAV_Modell!$G$6:$G$677,0)))</f>
        <v>440</v>
      </c>
      <c r="C811" s="57">
        <f>IF($A811="","",IF(_xlfn.XLOOKUP($A811,Korrelation!$D$4:$D$1197,Korrelation!F$4:F$1197,"-",0)="-",0,MATCH(_xlfn.XLOOKUP($A811,Korrelation!$D$4:$D$1197,Korrelation!F$4:F$1197,"",0),DMAV_Modell!$G$6:$G$677,0)))</f>
        <v>0</v>
      </c>
      <c r="D811" s="57">
        <f>IF($A811="","",IF(_xlfn.XLOOKUP($A811,Korrelation!$D$4:$D$1197,Korrelation!G$4:G$1197,"-",0)="-",0,MATCH(_xlfn.XLOOKUP($A811,Korrelation!$D$4:$D$1197,Korrelation!G$4:G$1197,"",0),DMAV_Modell!$G$6:$G$677,0)))</f>
        <v>0</v>
      </c>
      <c r="E811" s="57">
        <f>IF($A811="","",IF(_xlfn.XLOOKUP($A811,Korrelation!$D$4:$D$1197,Korrelation!H$4:H$1197,"-",0)="-",0,MATCH(_xlfn.XLOOKUP($A811,Korrelation!$D$4:$D$1197,Korrelation!H$4:H$1197,"",0),DMAV_Dienste!$F$6:$F$140,0)))</f>
        <v>0</v>
      </c>
      <c r="F811" s="57">
        <f>IF($A811="","",IF(_xlfn.XLOOKUP($A811,Korrelation!$D$4:$D$1197,Korrelation!I$4:I$1197,"-",0)="-",0,MATCH(_xlfn.XLOOKUP($A811,Korrelation!$D$4:$D$1197,Korrelation!I$4:I$1197,"",0),DMAV_Dienste!$F$6:$F$140,0)))</f>
        <v>0</v>
      </c>
      <c r="G811" s="57">
        <f>IF($A811="","",IF(_xlfn.XLOOKUP($A811,Korrelation!$D$4:$D$1197,Korrelation!J$4:J$1197,"-",0)="-",0,MATCH(_xlfn.XLOOKUP($A811,Korrelation!$D$4:$D$1197,Korrelation!J$4:J$1197,"",0),DMAV_Dienste!$F$6:$F$140,0)))</f>
        <v>0</v>
      </c>
      <c r="H811" s="57">
        <f>IF($A811="","",IF(_xlfn.XLOOKUP($A811,Korrelation!$D$4:$D$1197,Korrelation!K$4:K$1197,"-",0)="-",0,MATCH(_xlfn.XLOOKUP($A811,Korrelation!$D$4:$D$1197,Korrelation!K$4:K$1197,"",0),'DM01-AV-CH'!$A$6:$A$834,0)))</f>
        <v>0</v>
      </c>
      <c r="J811" s="54" t="str" cm="1">
        <f t="array" aca="1" ref="J811" ca="1">IF(B811=0,IF(E811=0,"",HYPERLINK("#"&amp;RIGHT(CELL("adresse",OFFSET(DMAV_Dienste!$M$6,E811-1,0)),LEN(CELL("adresse",OFFSET(DMAV_Dienste!$M$6,E811-1,0)))-FIND("]",CELL("adresse",OFFSET(DMAV_Dienste!$M$6,E811-1,0)))),"Dienst")),HYPERLINK("#"&amp;RIGHT(CELL("adresse",OFFSET(DMAV_Modell!$N$6,B811-1,0)),LEN(CELL("adresse",OFFSET(DMAV_Modell!$N$6,B811-1,0)))-FIND("]",CELL("adresse",OFFSET(DMAV_Modell!$N$6,B811-1,0)))),"Modell"))</f>
        <v>Modell</v>
      </c>
      <c r="K811" s="61" t="str" cm="1">
        <f t="array" ref="K811">IF($B811=0,IF($E811=0,"",IF(INDEX(DMAV_Dienste!P$6:P$140,$E811)="","",INDEX(DMAV_Dienste!P$6:P$140,$E811))),IF(INDEX(DMAV_Modell!Q$6:Q$838,$B811)="","",INDEX(DMAV_Modell!Q$6:Q$838,$B811)))</f>
        <v>ASSOCIATION</v>
      </c>
      <c r="L811" s="62" t="str" cm="1">
        <f t="array" ref="L811">IF($B811=0,IF($E811=0,"",IF(INDEX(DMAV_Dienste!O$6:O$140,$E811)="","",INDEX(DMAV_Dienste!O$6:O$140,$E811))),IF(INDEX(DMAV_Modell!P$6:P$838,$B811)="","",INDEX(DMAV_Modell!P$6:P$838,$B811)))</f>
        <v>Bodenbedeckung</v>
      </c>
      <c r="M811" s="62" t="str" cm="1">
        <f t="array" ref="M811">IF($B811=0,IF($E811=0,"",IF(INDEX(DMAV_Dienste!Q$6:Q$140,$E811)="","",INDEX(DMAV_Dienste!Q$6:Q$140,$E811))),IF(INDEX(DMAV_Modell!R$6:R$838,$B811)="","",INDEX(DMAV_Modell!R$6:R$838,$B811)))</f>
        <v>Entstehung_Bodenbedeckung</v>
      </c>
      <c r="N811" s="62" t="str" cm="1">
        <f t="array" ref="N811">IF($B811=0,IF($E811=0,"",IF(INDEX(DMAV_Dienste!T$6:T$140,$E811)="","",INDEX(DMAV_Dienste!T$6:T$140,$E811))),IF(INDEX(DMAV_Modell!U$6:U$838,$B811)="","",INDEX(DMAV_Modell!U$6:U$838,$B811)))</f>
        <v>Entstehung</v>
      </c>
      <c r="O811" s="63" t="str" cm="1">
        <f t="array" aca="1" ref="O811" ca="1">IF(C811=0,IF(F811=0,"",HYPERLINK("#"&amp;RIGHT(CELL("adresse",OFFSET(DMAV_Dienste!$M$6,F811-1,0)),LEN(CELL("adresse",OFFSET(DMAV_Dienste!$M$6,F811-1,0)))-FIND("]",CELL("adresse",OFFSET(DMAV_Dienste!$M$6,F811-1,0)))),"Structure")),HYPERLINK("#"&amp;RIGHT(CELL("adresse",OFFSET(DMAV_Modell!$N$6,C811-1,0)),LEN(CELL("adresse",OFFSET(DMAV_Modell!$N$6,C811-1,0)))-FIND("]",CELL("adresse",OFFSET(DMAV_Modell!$N$6,C811-1,0)))),"Structure"))</f>
        <v/>
      </c>
      <c r="P811" s="64" t="str" cm="1">
        <f t="array" aca="1" ref="P811" ca="1">IF(D811=0,IF(G811=0,"",HYPERLINK("#"&amp;RIGHT(CELL("adresse",OFFSET(DMAV_Dienste!$M$6,G811-1,0)),LEN(CELL("adresse",OFFSET(DMAV_Dienste!$M$6,G811-1,0)))-FIND("]",CELL("adresse",OFFSET(DMAV_Dienste!$M$6,G811-1,0)))),"Substructure")),HYPERLINK("#"&amp;RIGHT(CELL("adresse",OFFSET(DMAV_Modell!$N$6,D811-1,0)),LEN(CELL("adresse",OFFSET(DMAV_Modell!$N$6,D811-1,0)))-FIND("]",CELL("adresse",OFFSET(DMAV_Modell!$N$6,D811-1,0)))),"Substructure"))</f>
        <v/>
      </c>
      <c r="R811" s="80"/>
      <c r="T811" s="93"/>
      <c r="U811" s="94"/>
      <c r="V811" s="95"/>
      <c r="W811" s="96"/>
      <c r="Y811" s="85"/>
      <c r="Z811" s="86"/>
      <c r="AA811" s="87"/>
      <c r="AB811" s="88"/>
      <c r="AD811" s="77"/>
      <c r="AF811" s="54" t="str" cm="1">
        <f t="array" aca="1" ref="AF811" ca="1">IF(H811=0,"",HYPERLINK("#"&amp;RIGHT(CELL("adresse",OFFSET('DM01-AV-CH'!$G$6,H811-1,0)),LEN(CELL("adresse",OFFSET('DM01-AV-CH'!$G$6,H811-1,0)))-FIND("]",CELL("adresse",OFFSET('DM01-AV-CH'!$G$6,H811-1,0)))),"Modell"))</f>
        <v/>
      </c>
      <c r="AG811" s="72" t="str" cm="1">
        <f t="array" ref="AG811">IF($H811=0,"",IF(INDEX('DM01-AV-CH'!G$6:G$834,$H811)="","",INDEX('DM01-AV-CH'!G$6:G$834,$H811)))</f>
        <v/>
      </c>
      <c r="AH811" s="73" t="str" cm="1">
        <f t="array" ref="AH811">IF($H811=0,"",IF(INDEX('DM01-AV-CH'!H$6:H$834,$H811)="","",INDEX('DM01-AV-CH'!H$6:H$834,$H811)))</f>
        <v/>
      </c>
      <c r="AI811" s="74" t="str" cm="1">
        <f t="array" ref="AI811">IF($H811=0,"",IF(INDEX('DM01-AV-CH'!I$6:I$834,$H811)="","",INDEX('DM01-AV-CH'!I$6:I$834,$H811)))</f>
        <v/>
      </c>
    </row>
    <row r="812" spans="1:35" x14ac:dyDescent="0.25">
      <c r="A812" s="57">
        <v>807</v>
      </c>
      <c r="B812" s="57">
        <f>IF($A812="","",IF(_xlfn.XLOOKUP($A812,Korrelation!$D$4:$D$1197,Korrelation!E$4:E$1197,"-",0)="-",0,MATCH(_xlfn.XLOOKUP($A812,Korrelation!$D$4:$D$1197,Korrelation!E$4:E$1197,"",0),DMAV_Modell!$G$6:$G$677,0)))</f>
        <v>441</v>
      </c>
      <c r="C812" s="57">
        <f>IF($A812="","",IF(_xlfn.XLOOKUP($A812,Korrelation!$D$4:$D$1197,Korrelation!F$4:F$1197,"-",0)="-",0,MATCH(_xlfn.XLOOKUP($A812,Korrelation!$D$4:$D$1197,Korrelation!F$4:F$1197,"",0),DMAV_Modell!$G$6:$G$677,0)))</f>
        <v>0</v>
      </c>
      <c r="D812" s="57">
        <f>IF($A812="","",IF(_xlfn.XLOOKUP($A812,Korrelation!$D$4:$D$1197,Korrelation!G$4:G$1197,"-",0)="-",0,MATCH(_xlfn.XLOOKUP($A812,Korrelation!$D$4:$D$1197,Korrelation!G$4:G$1197,"",0),DMAV_Modell!$G$6:$G$677,0)))</f>
        <v>0</v>
      </c>
      <c r="E812" s="57">
        <f>IF($A812="","",IF(_xlfn.XLOOKUP($A812,Korrelation!$D$4:$D$1197,Korrelation!H$4:H$1197,"-",0)="-",0,MATCH(_xlfn.XLOOKUP($A812,Korrelation!$D$4:$D$1197,Korrelation!H$4:H$1197,"",0),DMAV_Dienste!$F$6:$F$140,0)))</f>
        <v>0</v>
      </c>
      <c r="F812" s="57">
        <f>IF($A812="","",IF(_xlfn.XLOOKUP($A812,Korrelation!$D$4:$D$1197,Korrelation!I$4:I$1197,"-",0)="-",0,MATCH(_xlfn.XLOOKUP($A812,Korrelation!$D$4:$D$1197,Korrelation!I$4:I$1197,"",0),DMAV_Dienste!$F$6:$F$140,0)))</f>
        <v>0</v>
      </c>
      <c r="G812" s="57">
        <f>IF($A812="","",IF(_xlfn.XLOOKUP($A812,Korrelation!$D$4:$D$1197,Korrelation!J$4:J$1197,"-",0)="-",0,MATCH(_xlfn.XLOOKUP($A812,Korrelation!$D$4:$D$1197,Korrelation!J$4:J$1197,"",0),DMAV_Dienste!$F$6:$F$140,0)))</f>
        <v>0</v>
      </c>
      <c r="H812" s="57">
        <f>IF($A812="","",IF(_xlfn.XLOOKUP($A812,Korrelation!$D$4:$D$1197,Korrelation!K$4:K$1197,"-",0)="-",0,MATCH(_xlfn.XLOOKUP($A812,Korrelation!$D$4:$D$1197,Korrelation!K$4:K$1197,"",0),'DM01-AV-CH'!$A$6:$A$834,0)))</f>
        <v>0</v>
      </c>
      <c r="J812" s="54" t="str" cm="1">
        <f t="array" aca="1" ref="J812" ca="1">IF(B812=0,IF(E812=0,"",HYPERLINK("#"&amp;RIGHT(CELL("adresse",OFFSET(DMAV_Dienste!$M$6,E812-1,0)),LEN(CELL("adresse",OFFSET(DMAV_Dienste!$M$6,E812-1,0)))-FIND("]",CELL("adresse",OFFSET(DMAV_Dienste!$M$6,E812-1,0)))),"Dienst")),HYPERLINK("#"&amp;RIGHT(CELL("adresse",OFFSET(DMAV_Modell!$N$6,B812-1,0)),LEN(CELL("adresse",OFFSET(DMAV_Modell!$N$6,B812-1,0)))-FIND("]",CELL("adresse",OFFSET(DMAV_Modell!$N$6,B812-1,0)))),"Modell"))</f>
        <v>Modell</v>
      </c>
      <c r="K812" s="61" t="str" cm="1">
        <f t="array" ref="K812">IF($B812=0,IF($E812=0,"",IF(INDEX(DMAV_Dienste!P$6:P$140,$E812)="","",INDEX(DMAV_Dienste!P$6:P$140,$E812))),IF(INDEX(DMAV_Modell!Q$6:Q$838,$B812)="","",INDEX(DMAV_Modell!Q$6:Q$838,$B812)))</f>
        <v>ASSOCIATION</v>
      </c>
      <c r="L812" s="62" t="str" cm="1">
        <f t="array" ref="L812">IF($B812=0,IF($E812=0,"",IF(INDEX(DMAV_Dienste!O$6:O$140,$E812)="","",INDEX(DMAV_Dienste!O$6:O$140,$E812))),IF(INDEX(DMAV_Modell!P$6:P$838,$B812)="","",INDEX(DMAV_Modell!P$6:P$838,$B812)))</f>
        <v>Bodenbedeckung</v>
      </c>
      <c r="M812" s="62" t="str" cm="1">
        <f t="array" ref="M812">IF($B812=0,IF($E812=0,"",IF(INDEX(DMAV_Dienste!Q$6:Q$140,$E812)="","",INDEX(DMAV_Dienste!Q$6:Q$140,$E812))),IF(INDEX(DMAV_Modell!R$6:R$838,$B812)="","",INDEX(DMAV_Modell!R$6:R$838,$B812)))</f>
        <v>Entstehung_Bodenbedeckung</v>
      </c>
      <c r="N812" s="62" t="str" cm="1">
        <f t="array" ref="N812">IF($B812=0,IF($E812=0,"",IF(INDEX(DMAV_Dienste!T$6:T$140,$E812)="","",INDEX(DMAV_Dienste!T$6:T$140,$E812))),IF(INDEX(DMAV_Modell!U$6:U$838,$B812)="","",INDEX(DMAV_Modell!U$6:U$838,$B812)))</f>
        <v>entstehende_BoFlaeche</v>
      </c>
      <c r="O812" s="63" t="str" cm="1">
        <f t="array" aca="1" ref="O812" ca="1">IF(C812=0,IF(F812=0,"",HYPERLINK("#"&amp;RIGHT(CELL("adresse",OFFSET(DMAV_Dienste!$M$6,F812-1,0)),LEN(CELL("adresse",OFFSET(DMAV_Dienste!$M$6,F812-1,0)))-FIND("]",CELL("adresse",OFFSET(DMAV_Dienste!$M$6,F812-1,0)))),"Structure")),HYPERLINK("#"&amp;RIGHT(CELL("adresse",OFFSET(DMAV_Modell!$N$6,C812-1,0)),LEN(CELL("adresse",OFFSET(DMAV_Modell!$N$6,C812-1,0)))-FIND("]",CELL("adresse",OFFSET(DMAV_Modell!$N$6,C812-1,0)))),"Structure"))</f>
        <v/>
      </c>
      <c r="P812" s="64" t="str" cm="1">
        <f t="array" aca="1" ref="P812" ca="1">IF(D812=0,IF(G812=0,"",HYPERLINK("#"&amp;RIGHT(CELL("adresse",OFFSET(DMAV_Dienste!$M$6,G812-1,0)),LEN(CELL("adresse",OFFSET(DMAV_Dienste!$M$6,G812-1,0)))-FIND("]",CELL("adresse",OFFSET(DMAV_Dienste!$M$6,G812-1,0)))),"Substructure")),HYPERLINK("#"&amp;RIGHT(CELL("adresse",OFFSET(DMAV_Modell!$N$6,D812-1,0)),LEN(CELL("adresse",OFFSET(DMAV_Modell!$N$6,D812-1,0)))-FIND("]",CELL("adresse",OFFSET(DMAV_Modell!$N$6,D812-1,0)))),"Substructure"))</f>
        <v/>
      </c>
      <c r="R812" s="80"/>
      <c r="T812" s="93"/>
      <c r="U812" s="94"/>
      <c r="V812" s="95"/>
      <c r="W812" s="96"/>
      <c r="Y812" s="85"/>
      <c r="Z812" s="86"/>
      <c r="AA812" s="87"/>
      <c r="AB812" s="88"/>
      <c r="AD812" s="77"/>
      <c r="AF812" s="54" t="str" cm="1">
        <f t="array" aca="1" ref="AF812" ca="1">IF(H812=0,"",HYPERLINK("#"&amp;RIGHT(CELL("adresse",OFFSET('DM01-AV-CH'!$G$6,H812-1,0)),LEN(CELL("adresse",OFFSET('DM01-AV-CH'!$G$6,H812-1,0)))-FIND("]",CELL("adresse",OFFSET('DM01-AV-CH'!$G$6,H812-1,0)))),"Modell"))</f>
        <v/>
      </c>
      <c r="AG812" s="72" t="str" cm="1">
        <f t="array" ref="AG812">IF($H812=0,"",IF(INDEX('DM01-AV-CH'!G$6:G$834,$H812)="","",INDEX('DM01-AV-CH'!G$6:G$834,$H812)))</f>
        <v/>
      </c>
      <c r="AH812" s="73" t="str" cm="1">
        <f t="array" ref="AH812">IF($H812=0,"",IF(INDEX('DM01-AV-CH'!H$6:H$834,$H812)="","",INDEX('DM01-AV-CH'!H$6:H$834,$H812)))</f>
        <v/>
      </c>
      <c r="AI812" s="74" t="str" cm="1">
        <f t="array" ref="AI812">IF($H812=0,"",IF(INDEX('DM01-AV-CH'!I$6:I$834,$H812)="","",INDEX('DM01-AV-CH'!I$6:I$834,$H812)))</f>
        <v/>
      </c>
    </row>
    <row r="813" spans="1:35" x14ac:dyDescent="0.25">
      <c r="A813" s="57">
        <v>808</v>
      </c>
      <c r="B813" s="57">
        <f>IF($A813="","",IF(_xlfn.XLOOKUP($A813,Korrelation!$D$4:$D$1197,Korrelation!E$4:E$1197,"-",0)="-",0,MATCH(_xlfn.XLOOKUP($A813,Korrelation!$D$4:$D$1197,Korrelation!E$4:E$1197,"",0),DMAV_Modell!$G$6:$G$677,0)))</f>
        <v>442</v>
      </c>
      <c r="C813" s="57">
        <f>IF($A813="","",IF(_xlfn.XLOOKUP($A813,Korrelation!$D$4:$D$1197,Korrelation!F$4:F$1197,"-",0)="-",0,MATCH(_xlfn.XLOOKUP($A813,Korrelation!$D$4:$D$1197,Korrelation!F$4:F$1197,"",0),DMAV_Modell!$G$6:$G$677,0)))</f>
        <v>0</v>
      </c>
      <c r="D813" s="57">
        <f>IF($A813="","",IF(_xlfn.XLOOKUP($A813,Korrelation!$D$4:$D$1197,Korrelation!G$4:G$1197,"-",0)="-",0,MATCH(_xlfn.XLOOKUP($A813,Korrelation!$D$4:$D$1197,Korrelation!G$4:G$1197,"",0),DMAV_Modell!$G$6:$G$677,0)))</f>
        <v>0</v>
      </c>
      <c r="E813" s="57">
        <f>IF($A813="","",IF(_xlfn.XLOOKUP($A813,Korrelation!$D$4:$D$1197,Korrelation!H$4:H$1197,"-",0)="-",0,MATCH(_xlfn.XLOOKUP($A813,Korrelation!$D$4:$D$1197,Korrelation!H$4:H$1197,"",0),DMAV_Dienste!$F$6:$F$140,0)))</f>
        <v>0</v>
      </c>
      <c r="F813" s="57">
        <f>IF($A813="","",IF(_xlfn.XLOOKUP($A813,Korrelation!$D$4:$D$1197,Korrelation!I$4:I$1197,"-",0)="-",0,MATCH(_xlfn.XLOOKUP($A813,Korrelation!$D$4:$D$1197,Korrelation!I$4:I$1197,"",0),DMAV_Dienste!$F$6:$F$140,0)))</f>
        <v>0</v>
      </c>
      <c r="G813" s="57">
        <f>IF($A813="","",IF(_xlfn.XLOOKUP($A813,Korrelation!$D$4:$D$1197,Korrelation!J$4:J$1197,"-",0)="-",0,MATCH(_xlfn.XLOOKUP($A813,Korrelation!$D$4:$D$1197,Korrelation!J$4:J$1197,"",0),DMAV_Dienste!$F$6:$F$140,0)))</f>
        <v>0</v>
      </c>
      <c r="H813" s="57">
        <f>IF($A813="","",IF(_xlfn.XLOOKUP($A813,Korrelation!$D$4:$D$1197,Korrelation!K$4:K$1197,"-",0)="-",0,MATCH(_xlfn.XLOOKUP($A813,Korrelation!$D$4:$D$1197,Korrelation!K$4:K$1197,"",0),'DM01-AV-CH'!$A$6:$A$834,0)))</f>
        <v>0</v>
      </c>
      <c r="J813" s="54" t="str" cm="1">
        <f t="array" aca="1" ref="J813" ca="1">IF(B813=0,IF(E813=0,"",HYPERLINK("#"&amp;RIGHT(CELL("adresse",OFFSET(DMAV_Dienste!$M$6,E813-1,0)),LEN(CELL("adresse",OFFSET(DMAV_Dienste!$M$6,E813-1,0)))-FIND("]",CELL("adresse",OFFSET(DMAV_Dienste!$M$6,E813-1,0)))),"Dienst")),HYPERLINK("#"&amp;RIGHT(CELL("adresse",OFFSET(DMAV_Modell!$N$6,B813-1,0)),LEN(CELL("adresse",OFFSET(DMAV_Modell!$N$6,B813-1,0)))-FIND("]",CELL("adresse",OFFSET(DMAV_Modell!$N$6,B813-1,0)))),"Modell"))</f>
        <v>Modell</v>
      </c>
      <c r="K813" s="61" t="str" cm="1">
        <f t="array" ref="K813">IF($B813=0,IF($E813=0,"",IF(INDEX(DMAV_Dienste!P$6:P$140,$E813)="","",INDEX(DMAV_Dienste!P$6:P$140,$E813))),IF(INDEX(DMAV_Modell!Q$6:Q$838,$B813)="","",INDEX(DMAV_Modell!Q$6:Q$838,$B813)))</f>
        <v>VIEW</v>
      </c>
      <c r="L813" s="62" t="str" cm="1">
        <f t="array" ref="L813">IF($B813=0,IF($E813=0,"",IF(INDEX(DMAV_Dienste!O$6:O$140,$E813)="","",INDEX(DMAV_Dienste!O$6:O$140,$E813))),IF(INDEX(DMAV_Modell!P$6:P$838,$B813)="","",INDEX(DMAV_Modell!P$6:P$838,$B813)))</f>
        <v>Bodenbedeckung</v>
      </c>
      <c r="M813" s="62" t="str" cm="1">
        <f t="array" ref="M813">IF($B813=0,IF($E813=0,"",IF(INDEX(DMAV_Dienste!Q$6:Q$140,$E813)="","",INDEX(DMAV_Dienste!Q$6:Q$140,$E813))),IF(INDEX(DMAV_Modell!R$6:R$838,$B813)="","",INDEX(DMAV_Modell!R$6:R$838,$B813)))</f>
        <v>Bodenbedeckung_Gueltig</v>
      </c>
      <c r="N813" s="62" t="str" cm="1">
        <f t="array" ref="N813">IF($B813=0,IF($E813=0,"",IF(INDEX(DMAV_Dienste!T$6:T$140,$E813)="","",INDEX(DMAV_Dienste!T$6:T$140,$E813))),IF(INDEX(DMAV_Modell!U$6:U$838,$B813)="","",INDEX(DMAV_Modell!U$6:U$838,$B813)))</f>
        <v>PROJECTION OF</v>
      </c>
      <c r="O813" s="63" t="str" cm="1">
        <f t="array" aca="1" ref="O813" ca="1">IF(C813=0,IF(F813=0,"",HYPERLINK("#"&amp;RIGHT(CELL("adresse",OFFSET(DMAV_Dienste!$M$6,F813-1,0)),LEN(CELL("adresse",OFFSET(DMAV_Dienste!$M$6,F813-1,0)))-FIND("]",CELL("adresse",OFFSET(DMAV_Dienste!$M$6,F813-1,0)))),"Structure")),HYPERLINK("#"&amp;RIGHT(CELL("adresse",OFFSET(DMAV_Modell!$N$6,C813-1,0)),LEN(CELL("adresse",OFFSET(DMAV_Modell!$N$6,C813-1,0)))-FIND("]",CELL("adresse",OFFSET(DMAV_Modell!$N$6,C813-1,0)))),"Structure"))</f>
        <v/>
      </c>
      <c r="P813" s="64" t="str" cm="1">
        <f t="array" aca="1" ref="P813" ca="1">IF(D813=0,IF(G813=0,"",HYPERLINK("#"&amp;RIGHT(CELL("adresse",OFFSET(DMAV_Dienste!$M$6,G813-1,0)),LEN(CELL("adresse",OFFSET(DMAV_Dienste!$M$6,G813-1,0)))-FIND("]",CELL("adresse",OFFSET(DMAV_Dienste!$M$6,G813-1,0)))),"Substructure")),HYPERLINK("#"&amp;RIGHT(CELL("adresse",OFFSET(DMAV_Modell!$N$6,D813-1,0)),LEN(CELL("adresse",OFFSET(DMAV_Modell!$N$6,D813-1,0)))-FIND("]",CELL("adresse",OFFSET(DMAV_Modell!$N$6,D813-1,0)))),"Substructure"))</f>
        <v/>
      </c>
      <c r="R813" s="80"/>
      <c r="T813" s="93"/>
      <c r="U813" s="94"/>
      <c r="V813" s="95"/>
      <c r="W813" s="96"/>
      <c r="Y813" s="85"/>
      <c r="Z813" s="86"/>
      <c r="AA813" s="87"/>
      <c r="AB813" s="88"/>
      <c r="AD813" s="77"/>
      <c r="AF813" s="54" t="str" cm="1">
        <f t="array" aca="1" ref="AF813" ca="1">IF(H813=0,"",HYPERLINK("#"&amp;RIGHT(CELL("adresse",OFFSET('DM01-AV-CH'!$G$6,H813-1,0)),LEN(CELL("adresse",OFFSET('DM01-AV-CH'!$G$6,H813-1,0)))-FIND("]",CELL("adresse",OFFSET('DM01-AV-CH'!$G$6,H813-1,0)))),"Modell"))</f>
        <v/>
      </c>
      <c r="AG813" s="72" t="str" cm="1">
        <f t="array" ref="AG813">IF($H813=0,"",IF(INDEX('DM01-AV-CH'!G$6:G$834,$H813)="","",INDEX('DM01-AV-CH'!G$6:G$834,$H813)))</f>
        <v/>
      </c>
      <c r="AH813" s="73" t="str" cm="1">
        <f t="array" ref="AH813">IF($H813=0,"",IF(INDEX('DM01-AV-CH'!H$6:H$834,$H813)="","",INDEX('DM01-AV-CH'!H$6:H$834,$H813)))</f>
        <v/>
      </c>
      <c r="AI813" s="74" t="str" cm="1">
        <f t="array" ref="AI813">IF($H813=0,"",IF(INDEX('DM01-AV-CH'!I$6:I$834,$H813)="","",INDEX('DM01-AV-CH'!I$6:I$834,$H813)))</f>
        <v/>
      </c>
    </row>
    <row r="814" spans="1:35" x14ac:dyDescent="0.25">
      <c r="A814" s="57">
        <v>809</v>
      </c>
      <c r="B814" s="57">
        <f>IF($A814="","",IF(_xlfn.XLOOKUP($A814,Korrelation!$D$4:$D$1197,Korrelation!E$4:E$1197,"-",0)="-",0,MATCH(_xlfn.XLOOKUP($A814,Korrelation!$D$4:$D$1197,Korrelation!E$4:E$1197,"",0),DMAV_Modell!$G$6:$G$677,0)))</f>
        <v>443</v>
      </c>
      <c r="C814" s="57">
        <f>IF($A814="","",IF(_xlfn.XLOOKUP($A814,Korrelation!$D$4:$D$1197,Korrelation!F$4:F$1197,"-",0)="-",0,MATCH(_xlfn.XLOOKUP($A814,Korrelation!$D$4:$D$1197,Korrelation!F$4:F$1197,"",0),DMAV_Modell!$G$6:$G$677,0)))</f>
        <v>0</v>
      </c>
      <c r="D814" s="57">
        <f>IF($A814="","",IF(_xlfn.XLOOKUP($A814,Korrelation!$D$4:$D$1197,Korrelation!G$4:G$1197,"-",0)="-",0,MATCH(_xlfn.XLOOKUP($A814,Korrelation!$D$4:$D$1197,Korrelation!G$4:G$1197,"",0),DMAV_Modell!$G$6:$G$677,0)))</f>
        <v>0</v>
      </c>
      <c r="E814" s="57">
        <f>IF($A814="","",IF(_xlfn.XLOOKUP($A814,Korrelation!$D$4:$D$1197,Korrelation!H$4:H$1197,"-",0)="-",0,MATCH(_xlfn.XLOOKUP($A814,Korrelation!$D$4:$D$1197,Korrelation!H$4:H$1197,"",0),DMAV_Dienste!$F$6:$F$140,0)))</f>
        <v>0</v>
      </c>
      <c r="F814" s="57">
        <f>IF($A814="","",IF(_xlfn.XLOOKUP($A814,Korrelation!$D$4:$D$1197,Korrelation!I$4:I$1197,"-",0)="-",0,MATCH(_xlfn.XLOOKUP($A814,Korrelation!$D$4:$D$1197,Korrelation!I$4:I$1197,"",0),DMAV_Dienste!$F$6:$F$140,0)))</f>
        <v>0</v>
      </c>
      <c r="G814" s="57">
        <f>IF($A814="","",IF(_xlfn.XLOOKUP($A814,Korrelation!$D$4:$D$1197,Korrelation!J$4:J$1197,"-",0)="-",0,MATCH(_xlfn.XLOOKUP($A814,Korrelation!$D$4:$D$1197,Korrelation!J$4:J$1197,"",0),DMAV_Dienste!$F$6:$F$140,0)))</f>
        <v>0</v>
      </c>
      <c r="H814" s="57">
        <f>IF($A814="","",IF(_xlfn.XLOOKUP($A814,Korrelation!$D$4:$D$1197,Korrelation!K$4:K$1197,"-",0)="-",0,MATCH(_xlfn.XLOOKUP($A814,Korrelation!$D$4:$D$1197,Korrelation!K$4:K$1197,"",0),'DM01-AV-CH'!$A$6:$A$834,0)))</f>
        <v>0</v>
      </c>
      <c r="J814" s="54" t="str" cm="1">
        <f t="array" aca="1" ref="J814" ca="1">IF(B814=0,IF(E814=0,"",HYPERLINK("#"&amp;RIGHT(CELL("adresse",OFFSET(DMAV_Dienste!$M$6,E814-1,0)),LEN(CELL("adresse",OFFSET(DMAV_Dienste!$M$6,E814-1,0)))-FIND("]",CELL("adresse",OFFSET(DMAV_Dienste!$M$6,E814-1,0)))),"Dienst")),HYPERLINK("#"&amp;RIGHT(CELL("adresse",OFFSET(DMAV_Modell!$N$6,B814-1,0)),LEN(CELL("adresse",OFFSET(DMAV_Modell!$N$6,B814-1,0)))-FIND("]",CELL("adresse",OFFSET(DMAV_Modell!$N$6,B814-1,0)))),"Modell"))</f>
        <v>Modell</v>
      </c>
      <c r="K814" s="61" t="str" cm="1">
        <f t="array" ref="K814">IF($B814=0,IF($E814=0,"",IF(INDEX(DMAV_Dienste!P$6:P$140,$E814)="","",INDEX(DMAV_Dienste!P$6:P$140,$E814))),IF(INDEX(DMAV_Modell!Q$6:Q$838,$B814)="","",INDEX(DMAV_Modell!Q$6:Q$838,$B814)))</f>
        <v>VIEW</v>
      </c>
      <c r="L814" s="62" t="str" cm="1">
        <f t="array" ref="L814">IF($B814=0,IF($E814=0,"",IF(INDEX(DMAV_Dienste!O$6:O$140,$E814)="","",INDEX(DMAV_Dienste!O$6:O$140,$E814))),IF(INDEX(DMAV_Modell!P$6:P$838,$B814)="","",INDEX(DMAV_Modell!P$6:P$838,$B814)))</f>
        <v>Bodenbedeckung</v>
      </c>
      <c r="M814" s="62" t="str" cm="1">
        <f t="array" ref="M814">IF($B814=0,IF($E814=0,"",IF(INDEX(DMAV_Dienste!Q$6:Q$140,$E814)="","",INDEX(DMAV_Dienste!Q$6:Q$140,$E814))),IF(INDEX(DMAV_Modell!R$6:R$838,$B814)="","",INDEX(DMAV_Modell!R$6:R$838,$B814)))</f>
        <v>Bodenbedeckung_Gueltig</v>
      </c>
      <c r="N814" s="62" t="str" cm="1">
        <f t="array" ref="N814">IF($B814=0,IF($E814=0,"",IF(INDEX(DMAV_Dienste!T$6:T$140,$E814)="","",INDEX(DMAV_Dienste!T$6:T$140,$E814))),IF(INDEX(DMAV_Modell!U$6:U$838,$B814)="","",INDEX(DMAV_Modell!U$6:U$838,$B814)))</f>
        <v>WHERE DEFINED(@PH1@)</v>
      </c>
      <c r="O814" s="63" t="str" cm="1">
        <f t="array" aca="1" ref="O814" ca="1">IF(C814=0,IF(F814=0,"",HYPERLINK("#"&amp;RIGHT(CELL("adresse",OFFSET(DMAV_Dienste!$M$6,F814-1,0)),LEN(CELL("adresse",OFFSET(DMAV_Dienste!$M$6,F814-1,0)))-FIND("]",CELL("adresse",OFFSET(DMAV_Dienste!$M$6,F814-1,0)))),"Structure")),HYPERLINK("#"&amp;RIGHT(CELL("adresse",OFFSET(DMAV_Modell!$N$6,C814-1,0)),LEN(CELL("adresse",OFFSET(DMAV_Modell!$N$6,C814-1,0)))-FIND("]",CELL("adresse",OFFSET(DMAV_Modell!$N$6,C814-1,0)))),"Structure"))</f>
        <v/>
      </c>
      <c r="P814" s="64" t="str" cm="1">
        <f t="array" aca="1" ref="P814" ca="1">IF(D814=0,IF(G814=0,"",HYPERLINK("#"&amp;RIGHT(CELL("adresse",OFFSET(DMAV_Dienste!$M$6,G814-1,0)),LEN(CELL("adresse",OFFSET(DMAV_Dienste!$M$6,G814-1,0)))-FIND("]",CELL("adresse",OFFSET(DMAV_Dienste!$M$6,G814-1,0)))),"Substructure")),HYPERLINK("#"&amp;RIGHT(CELL("adresse",OFFSET(DMAV_Modell!$N$6,D814-1,0)),LEN(CELL("adresse",OFFSET(DMAV_Modell!$N$6,D814-1,0)))-FIND("]",CELL("adresse",OFFSET(DMAV_Modell!$N$6,D814-1,0)))),"Substructure"))</f>
        <v/>
      </c>
      <c r="R814" s="80"/>
      <c r="T814" s="93"/>
      <c r="U814" s="94"/>
      <c r="V814" s="95"/>
      <c r="W814" s="96"/>
      <c r="Y814" s="85"/>
      <c r="Z814" s="86"/>
      <c r="AA814" s="87"/>
      <c r="AB814" s="88"/>
      <c r="AD814" s="77"/>
      <c r="AF814" s="54" t="str" cm="1">
        <f t="array" aca="1" ref="AF814" ca="1">IF(H814=0,"",HYPERLINK("#"&amp;RIGHT(CELL("adresse",OFFSET('DM01-AV-CH'!$G$6,H814-1,0)),LEN(CELL("adresse",OFFSET('DM01-AV-CH'!$G$6,H814-1,0)))-FIND("]",CELL("adresse",OFFSET('DM01-AV-CH'!$G$6,H814-1,0)))),"Modell"))</f>
        <v/>
      </c>
      <c r="AG814" s="72" t="str" cm="1">
        <f t="array" ref="AG814">IF($H814=0,"",IF(INDEX('DM01-AV-CH'!G$6:G$834,$H814)="","",INDEX('DM01-AV-CH'!G$6:G$834,$H814)))</f>
        <v/>
      </c>
      <c r="AH814" s="73" t="str" cm="1">
        <f t="array" ref="AH814">IF($H814=0,"",IF(INDEX('DM01-AV-CH'!H$6:H$834,$H814)="","",INDEX('DM01-AV-CH'!H$6:H$834,$H814)))</f>
        <v/>
      </c>
      <c r="AI814" s="74" t="str" cm="1">
        <f t="array" ref="AI814">IF($H814=0,"",IF(INDEX('DM01-AV-CH'!I$6:I$834,$H814)="","",INDEX('DM01-AV-CH'!I$6:I$834,$H814)))</f>
        <v/>
      </c>
    </row>
    <row r="815" spans="1:35" x14ac:dyDescent="0.25">
      <c r="A815" s="57">
        <v>810</v>
      </c>
      <c r="B815" s="57">
        <f>IF($A815="","",IF(_xlfn.XLOOKUP($A815,Korrelation!$D$4:$D$1197,Korrelation!E$4:E$1197,"-",0)="-",0,MATCH(_xlfn.XLOOKUP($A815,Korrelation!$D$4:$D$1197,Korrelation!E$4:E$1197,"",0),DMAV_Modell!$G$6:$G$677,0)))</f>
        <v>444</v>
      </c>
      <c r="C815" s="57">
        <f>IF($A815="","",IF(_xlfn.XLOOKUP($A815,Korrelation!$D$4:$D$1197,Korrelation!F$4:F$1197,"-",0)="-",0,MATCH(_xlfn.XLOOKUP($A815,Korrelation!$D$4:$D$1197,Korrelation!F$4:F$1197,"",0),DMAV_Modell!$G$6:$G$677,0)))</f>
        <v>0</v>
      </c>
      <c r="D815" s="57">
        <f>IF($A815="","",IF(_xlfn.XLOOKUP($A815,Korrelation!$D$4:$D$1197,Korrelation!G$4:G$1197,"-",0)="-",0,MATCH(_xlfn.XLOOKUP($A815,Korrelation!$D$4:$D$1197,Korrelation!G$4:G$1197,"",0),DMAV_Modell!$G$6:$G$677,0)))</f>
        <v>0</v>
      </c>
      <c r="E815" s="57">
        <f>IF($A815="","",IF(_xlfn.XLOOKUP($A815,Korrelation!$D$4:$D$1197,Korrelation!H$4:H$1197,"-",0)="-",0,MATCH(_xlfn.XLOOKUP($A815,Korrelation!$D$4:$D$1197,Korrelation!H$4:H$1197,"",0),DMAV_Dienste!$F$6:$F$140,0)))</f>
        <v>0</v>
      </c>
      <c r="F815" s="57">
        <f>IF($A815="","",IF(_xlfn.XLOOKUP($A815,Korrelation!$D$4:$D$1197,Korrelation!I$4:I$1197,"-",0)="-",0,MATCH(_xlfn.XLOOKUP($A815,Korrelation!$D$4:$D$1197,Korrelation!I$4:I$1197,"",0),DMAV_Dienste!$F$6:$F$140,0)))</f>
        <v>0</v>
      </c>
      <c r="G815" s="57">
        <f>IF($A815="","",IF(_xlfn.XLOOKUP($A815,Korrelation!$D$4:$D$1197,Korrelation!J$4:J$1197,"-",0)="-",0,MATCH(_xlfn.XLOOKUP($A815,Korrelation!$D$4:$D$1197,Korrelation!J$4:J$1197,"",0),DMAV_Dienste!$F$6:$F$140,0)))</f>
        <v>0</v>
      </c>
      <c r="H815" s="57">
        <f>IF($A815="","",IF(_xlfn.XLOOKUP($A815,Korrelation!$D$4:$D$1197,Korrelation!K$4:K$1197,"-",0)="-",0,MATCH(_xlfn.XLOOKUP($A815,Korrelation!$D$4:$D$1197,Korrelation!K$4:K$1197,"",0),'DM01-AV-CH'!$A$6:$A$834,0)))</f>
        <v>0</v>
      </c>
      <c r="J815" s="54" t="str" cm="1">
        <f t="array" aca="1" ref="J815" ca="1">IF(B815=0,IF(E815=0,"",HYPERLINK("#"&amp;RIGHT(CELL("adresse",OFFSET(DMAV_Dienste!$M$6,E815-1,0)),LEN(CELL("adresse",OFFSET(DMAV_Dienste!$M$6,E815-1,0)))-FIND("]",CELL("adresse",OFFSET(DMAV_Dienste!$M$6,E815-1,0)))),"Dienst")),HYPERLINK("#"&amp;RIGHT(CELL("adresse",OFFSET(DMAV_Modell!$N$6,B815-1,0)),LEN(CELL("adresse",OFFSET(DMAV_Modell!$N$6,B815-1,0)))-FIND("]",CELL("adresse",OFFSET(DMAV_Modell!$N$6,B815-1,0)))),"Modell"))</f>
        <v>Modell</v>
      </c>
      <c r="K815" s="61" t="str" cm="1">
        <f t="array" ref="K815">IF($B815=0,IF($E815=0,"",IF(INDEX(DMAV_Dienste!P$6:P$140,$E815)="","",INDEX(DMAV_Dienste!P$6:P$140,$E815))),IF(INDEX(DMAV_Modell!Q$6:Q$838,$B815)="","",INDEX(DMAV_Modell!Q$6:Q$838,$B815)))</f>
        <v>VIEW</v>
      </c>
      <c r="L815" s="62" t="str" cm="1">
        <f t="array" ref="L815">IF($B815=0,IF($E815=0,"",IF(INDEX(DMAV_Dienste!O$6:O$140,$E815)="","",INDEX(DMAV_Dienste!O$6:O$140,$E815))),IF(INDEX(DMAV_Modell!P$6:P$838,$B815)="","",INDEX(DMAV_Modell!P$6:P$838,$B815)))</f>
        <v>Bodenbedeckung</v>
      </c>
      <c r="M815" s="62" t="str" cm="1">
        <f t="array" ref="M815">IF($B815=0,IF($E815=0,"",IF(INDEX(DMAV_Dienste!Q$6:Q$140,$E815)="","",INDEX(DMAV_Dienste!Q$6:Q$140,$E815))),IF(INDEX(DMAV_Modell!R$6:R$838,$B815)="","",INDEX(DMAV_Modell!R$6:R$838,$B815)))</f>
        <v>Bodenbedeckung_Gueltig</v>
      </c>
      <c r="N815" s="62" t="str" cm="1">
        <f t="array" ref="N815">IF($B815=0,IF($E815=0,"",IF(INDEX(DMAV_Dienste!T$6:T$140,$E815)="","",INDEX(DMAV_Dienste!T$6:T$140,$E815))),IF(INDEX(DMAV_Modell!U$6:U$838,$B815)="","",INDEX(DMAV_Modell!U$6:U$838,$B815)))</f>
        <v>= ALL OF</v>
      </c>
      <c r="O815" s="63" t="str" cm="1">
        <f t="array" aca="1" ref="O815" ca="1">IF(C815=0,IF(F815=0,"",HYPERLINK("#"&amp;RIGHT(CELL("adresse",OFFSET(DMAV_Dienste!$M$6,F815-1,0)),LEN(CELL("adresse",OFFSET(DMAV_Dienste!$M$6,F815-1,0)))-FIND("]",CELL("adresse",OFFSET(DMAV_Dienste!$M$6,F815-1,0)))),"Structure")),HYPERLINK("#"&amp;RIGHT(CELL("adresse",OFFSET(DMAV_Modell!$N$6,C815-1,0)),LEN(CELL("adresse",OFFSET(DMAV_Modell!$N$6,C815-1,0)))-FIND("]",CELL("adresse",OFFSET(DMAV_Modell!$N$6,C815-1,0)))),"Structure"))</f>
        <v/>
      </c>
      <c r="P815" s="64" t="str" cm="1">
        <f t="array" aca="1" ref="P815" ca="1">IF(D815=0,IF(G815=0,"",HYPERLINK("#"&amp;RIGHT(CELL("adresse",OFFSET(DMAV_Dienste!$M$6,G815-1,0)),LEN(CELL("adresse",OFFSET(DMAV_Dienste!$M$6,G815-1,0)))-FIND("]",CELL("adresse",OFFSET(DMAV_Dienste!$M$6,G815-1,0)))),"Substructure")),HYPERLINK("#"&amp;RIGHT(CELL("adresse",OFFSET(DMAV_Modell!$N$6,D815-1,0)),LEN(CELL("adresse",OFFSET(DMAV_Modell!$N$6,D815-1,0)))-FIND("]",CELL("adresse",OFFSET(DMAV_Modell!$N$6,D815-1,0)))),"Substructure"))</f>
        <v/>
      </c>
      <c r="R815" s="80"/>
      <c r="T815" s="93"/>
      <c r="U815" s="94"/>
      <c r="V815" s="95"/>
      <c r="W815" s="96"/>
      <c r="Y815" s="85"/>
      <c r="Z815" s="86"/>
      <c r="AA815" s="87"/>
      <c r="AB815" s="88"/>
      <c r="AD815" s="77"/>
      <c r="AF815" s="54" t="str" cm="1">
        <f t="array" aca="1" ref="AF815" ca="1">IF(H815=0,"",HYPERLINK("#"&amp;RIGHT(CELL("adresse",OFFSET('DM01-AV-CH'!$G$6,H815-1,0)),LEN(CELL("adresse",OFFSET('DM01-AV-CH'!$G$6,H815-1,0)))-FIND("]",CELL("adresse",OFFSET('DM01-AV-CH'!$G$6,H815-1,0)))),"Modell"))</f>
        <v/>
      </c>
      <c r="AG815" s="72" t="str" cm="1">
        <f t="array" ref="AG815">IF($H815=0,"",IF(INDEX('DM01-AV-CH'!G$6:G$834,$H815)="","",INDEX('DM01-AV-CH'!G$6:G$834,$H815)))</f>
        <v/>
      </c>
      <c r="AH815" s="73" t="str" cm="1">
        <f t="array" ref="AH815">IF($H815=0,"",IF(INDEX('DM01-AV-CH'!H$6:H$834,$H815)="","",INDEX('DM01-AV-CH'!H$6:H$834,$H815)))</f>
        <v/>
      </c>
      <c r="AI815" s="74" t="str" cm="1">
        <f t="array" ref="AI815">IF($H815=0,"",IF(INDEX('DM01-AV-CH'!I$6:I$834,$H815)="","",INDEX('DM01-AV-CH'!I$6:I$834,$H815)))</f>
        <v/>
      </c>
    </row>
    <row r="816" spans="1:35" x14ac:dyDescent="0.25">
      <c r="A816" s="57">
        <v>811</v>
      </c>
      <c r="B816" s="57">
        <f>IF($A816="","",IF(_xlfn.XLOOKUP($A816,Korrelation!$D$4:$D$1197,Korrelation!E$4:E$1197,"-",0)="-",0,MATCH(_xlfn.XLOOKUP($A816,Korrelation!$D$4:$D$1197,Korrelation!E$4:E$1197,"",0),DMAV_Modell!$G$6:$G$677,0)))</f>
        <v>445</v>
      </c>
      <c r="C816" s="57">
        <f>IF($A816="","",IF(_xlfn.XLOOKUP($A816,Korrelation!$D$4:$D$1197,Korrelation!F$4:F$1197,"-",0)="-",0,MATCH(_xlfn.XLOOKUP($A816,Korrelation!$D$4:$D$1197,Korrelation!F$4:F$1197,"",0),DMAV_Modell!$G$6:$G$677,0)))</f>
        <v>0</v>
      </c>
      <c r="D816" s="57">
        <f>IF($A816="","",IF(_xlfn.XLOOKUP($A816,Korrelation!$D$4:$D$1197,Korrelation!G$4:G$1197,"-",0)="-",0,MATCH(_xlfn.XLOOKUP($A816,Korrelation!$D$4:$D$1197,Korrelation!G$4:G$1197,"",0),DMAV_Modell!$G$6:$G$677,0)))</f>
        <v>0</v>
      </c>
      <c r="E816" s="57">
        <f>IF($A816="","",IF(_xlfn.XLOOKUP($A816,Korrelation!$D$4:$D$1197,Korrelation!H$4:H$1197,"-",0)="-",0,MATCH(_xlfn.XLOOKUP($A816,Korrelation!$D$4:$D$1197,Korrelation!H$4:H$1197,"",0),DMAV_Dienste!$F$6:$F$140,0)))</f>
        <v>0</v>
      </c>
      <c r="F816" s="57">
        <f>IF($A816="","",IF(_xlfn.XLOOKUP($A816,Korrelation!$D$4:$D$1197,Korrelation!I$4:I$1197,"-",0)="-",0,MATCH(_xlfn.XLOOKUP($A816,Korrelation!$D$4:$D$1197,Korrelation!I$4:I$1197,"",0),DMAV_Dienste!$F$6:$F$140,0)))</f>
        <v>0</v>
      </c>
      <c r="G816" s="57">
        <f>IF($A816="","",IF(_xlfn.XLOOKUP($A816,Korrelation!$D$4:$D$1197,Korrelation!J$4:J$1197,"-",0)="-",0,MATCH(_xlfn.XLOOKUP($A816,Korrelation!$D$4:$D$1197,Korrelation!J$4:J$1197,"",0),DMAV_Dienste!$F$6:$F$140,0)))</f>
        <v>0</v>
      </c>
      <c r="H816" s="57">
        <f>IF($A816="","",IF(_xlfn.XLOOKUP($A816,Korrelation!$D$4:$D$1197,Korrelation!K$4:K$1197,"-",0)="-",0,MATCH(_xlfn.XLOOKUP($A816,Korrelation!$D$4:$D$1197,Korrelation!K$4:K$1197,"",0),'DM01-AV-CH'!$A$6:$A$834,0)))</f>
        <v>0</v>
      </c>
      <c r="J816" s="54" t="str" cm="1">
        <f t="array" aca="1" ref="J816" ca="1">IF(B816=0,IF(E816=0,"",HYPERLINK("#"&amp;RIGHT(CELL("adresse",OFFSET(DMAV_Dienste!$M$6,E816-1,0)),LEN(CELL("adresse",OFFSET(DMAV_Dienste!$M$6,E816-1,0)))-FIND("]",CELL("adresse",OFFSET(DMAV_Dienste!$M$6,E816-1,0)))),"Dienst")),HYPERLINK("#"&amp;RIGHT(CELL("adresse",OFFSET(DMAV_Modell!$N$6,B816-1,0)),LEN(CELL("adresse",OFFSET(DMAV_Modell!$N$6,B816-1,0)))-FIND("]",CELL("adresse",OFFSET(DMAV_Modell!$N$6,B816-1,0)))),"Modell"))</f>
        <v>Modell</v>
      </c>
      <c r="K816" s="61" t="str" cm="1">
        <f t="array" ref="K816">IF($B816=0,IF($E816=0,"",IF(INDEX(DMAV_Dienste!P$6:P$140,$E816)="","",INDEX(DMAV_Dienste!P$6:P$140,$E816))),IF(INDEX(DMAV_Modell!Q$6:Q$838,$B816)="","",INDEX(DMAV_Modell!Q$6:Q$838,$B816)))</f>
        <v>VIEW.CONSTRAINT</v>
      </c>
      <c r="L816" s="62" t="str" cm="1">
        <f t="array" ref="L816">IF($B816=0,IF($E816=0,"",IF(INDEX(DMAV_Dienste!O$6:O$140,$E816)="","",INDEX(DMAV_Dienste!O$6:O$140,$E816))),IF(INDEX(DMAV_Modell!P$6:P$838,$B816)="","",INDEX(DMAV_Modell!P$6:P$838,$B816)))</f>
        <v>Bodenbedeckung</v>
      </c>
      <c r="M816" s="62" t="str" cm="1">
        <f t="array" ref="M816">IF($B816=0,IF($E816=0,"",IF(INDEX(DMAV_Dienste!Q$6:Q$140,$E816)="","",INDEX(DMAV_Dienste!Q$6:Q$140,$E816))),IF(INDEX(DMAV_Modell!R$6:R$838,$B816)="","",INDEX(DMAV_Modell!R$6:R$838,$B816)))</f>
        <v>Bodenbedeckung_Gueltig</v>
      </c>
      <c r="N816" s="62" t="str" cm="1">
        <f t="array" ref="N816">IF($B816=0,IF($E816=0,"",IF(INDEX(DMAV_Dienste!T$6:T$140,$E816)="","",INDEX(DMAV_Dienste!T$6:T$140,$E816))),IF(INDEX(DMAV_Modell!U$6:U$838,$B816)="","",INDEX(DMAV_Modell!U$6:U$838,$B816)))</f>
        <v>Filter:
@PH1@==#real
Constraint:
INTERLIS.areAreas(@PH2@)</v>
      </c>
      <c r="O816" s="63" t="str" cm="1">
        <f t="array" aca="1" ref="O816" ca="1">IF(C816=0,IF(F816=0,"",HYPERLINK("#"&amp;RIGHT(CELL("adresse",OFFSET(DMAV_Dienste!$M$6,F816-1,0)),LEN(CELL("adresse",OFFSET(DMAV_Dienste!$M$6,F816-1,0)))-FIND("]",CELL("adresse",OFFSET(DMAV_Dienste!$M$6,F816-1,0)))),"Structure")),HYPERLINK("#"&amp;RIGHT(CELL("adresse",OFFSET(DMAV_Modell!$N$6,C816-1,0)),LEN(CELL("adresse",OFFSET(DMAV_Modell!$N$6,C816-1,0)))-FIND("]",CELL("adresse",OFFSET(DMAV_Modell!$N$6,C816-1,0)))),"Structure"))</f>
        <v/>
      </c>
      <c r="P816" s="64" t="str" cm="1">
        <f t="array" aca="1" ref="P816" ca="1">IF(D816=0,IF(G816=0,"",HYPERLINK("#"&amp;RIGHT(CELL("adresse",OFFSET(DMAV_Dienste!$M$6,G816-1,0)),LEN(CELL("adresse",OFFSET(DMAV_Dienste!$M$6,G816-1,0)))-FIND("]",CELL("adresse",OFFSET(DMAV_Dienste!$M$6,G816-1,0)))),"Substructure")),HYPERLINK("#"&amp;RIGHT(CELL("adresse",OFFSET(DMAV_Modell!$N$6,D816-1,0)),LEN(CELL("adresse",OFFSET(DMAV_Modell!$N$6,D816-1,0)))-FIND("]",CELL("adresse",OFFSET(DMAV_Modell!$N$6,D816-1,0)))),"Substructure"))</f>
        <v/>
      </c>
      <c r="R816" s="80"/>
      <c r="T816" s="93"/>
      <c r="U816" s="94"/>
      <c r="V816" s="95"/>
      <c r="W816" s="96"/>
      <c r="Y816" s="85"/>
      <c r="Z816" s="86"/>
      <c r="AA816" s="87"/>
      <c r="AB816" s="88"/>
      <c r="AD816" s="77"/>
      <c r="AF816" s="54" t="str" cm="1">
        <f t="array" aca="1" ref="AF816" ca="1">IF(H816=0,"",HYPERLINK("#"&amp;RIGHT(CELL("adresse",OFFSET('DM01-AV-CH'!$G$6,H816-1,0)),LEN(CELL("adresse",OFFSET('DM01-AV-CH'!$G$6,H816-1,0)))-FIND("]",CELL("adresse",OFFSET('DM01-AV-CH'!$G$6,H816-1,0)))),"Modell"))</f>
        <v/>
      </c>
      <c r="AG816" s="72" t="str" cm="1">
        <f t="array" ref="AG816">IF($H816=0,"",IF(INDEX('DM01-AV-CH'!G$6:G$834,$H816)="","",INDEX('DM01-AV-CH'!G$6:G$834,$H816)))</f>
        <v/>
      </c>
      <c r="AH816" s="73" t="str" cm="1">
        <f t="array" ref="AH816">IF($H816=0,"",IF(INDEX('DM01-AV-CH'!H$6:H$834,$H816)="","",INDEX('DM01-AV-CH'!H$6:H$834,$H816)))</f>
        <v/>
      </c>
      <c r="AI816" s="74" t="str" cm="1">
        <f t="array" ref="AI816">IF($H816=0,"",IF(INDEX('DM01-AV-CH'!I$6:I$834,$H816)="","",INDEX('DM01-AV-CH'!I$6:I$834,$H816)))</f>
        <v/>
      </c>
    </row>
    <row r="817" spans="1:35" x14ac:dyDescent="0.25">
      <c r="A817" s="57">
        <v>812</v>
      </c>
      <c r="B817" s="57">
        <f>IF($A817="","",IF(_xlfn.XLOOKUP($A817,Korrelation!$D$4:$D$1197,Korrelation!E$4:E$1197,"-",0)="-",0,MATCH(_xlfn.XLOOKUP($A817,Korrelation!$D$4:$D$1197,Korrelation!E$4:E$1197,"",0),DMAV_Modell!$G$6:$G$677,0)))</f>
        <v>0</v>
      </c>
      <c r="C817" s="57">
        <f>IF($A817="","",IF(_xlfn.XLOOKUP($A817,Korrelation!$D$4:$D$1197,Korrelation!F$4:F$1197,"-",0)="-",0,MATCH(_xlfn.XLOOKUP($A817,Korrelation!$D$4:$D$1197,Korrelation!F$4:F$1197,"",0),DMAV_Modell!$G$6:$G$677,0)))</f>
        <v>0</v>
      </c>
      <c r="D817" s="57">
        <f>IF($A817="","",IF(_xlfn.XLOOKUP($A817,Korrelation!$D$4:$D$1197,Korrelation!G$4:G$1197,"-",0)="-",0,MATCH(_xlfn.XLOOKUP($A817,Korrelation!$D$4:$D$1197,Korrelation!G$4:G$1197,"",0),DMAV_Modell!$G$6:$G$677,0)))</f>
        <v>0</v>
      </c>
      <c r="E817" s="57">
        <f>IF($A817="","",IF(_xlfn.XLOOKUP($A817,Korrelation!$D$4:$D$1197,Korrelation!H$4:H$1197,"-",0)="-",0,MATCH(_xlfn.XLOOKUP($A817,Korrelation!$D$4:$D$1197,Korrelation!H$4:H$1197,"",0),DMAV_Dienste!$F$6:$F$140,0)))</f>
        <v>0</v>
      </c>
      <c r="F817" s="57">
        <f>IF($A817="","",IF(_xlfn.XLOOKUP($A817,Korrelation!$D$4:$D$1197,Korrelation!I$4:I$1197,"-",0)="-",0,MATCH(_xlfn.XLOOKUP($A817,Korrelation!$D$4:$D$1197,Korrelation!I$4:I$1197,"",0),DMAV_Dienste!$F$6:$F$140,0)))</f>
        <v>0</v>
      </c>
      <c r="G817" s="57">
        <f>IF($A817="","",IF(_xlfn.XLOOKUP($A817,Korrelation!$D$4:$D$1197,Korrelation!J$4:J$1197,"-",0)="-",0,MATCH(_xlfn.XLOOKUP($A817,Korrelation!$D$4:$D$1197,Korrelation!J$4:J$1197,"",0),DMAV_Dienste!$F$6:$F$140,0)))</f>
        <v>0</v>
      </c>
      <c r="H817" s="57">
        <f>IF($A817="","",IF(_xlfn.XLOOKUP($A817,Korrelation!$D$4:$D$1197,Korrelation!K$4:K$1197,"-",0)="-",0,MATCH(_xlfn.XLOOKUP($A817,Korrelation!$D$4:$D$1197,Korrelation!K$4:K$1197,"",0),'DM01-AV-CH'!$A$6:$A$834,0)))</f>
        <v>250</v>
      </c>
      <c r="J817" s="54" t="str" cm="1">
        <f t="array" aca="1" ref="J817" ca="1">IF(B817=0,IF(E817=0,"",HYPERLINK("#"&amp;RIGHT(CELL("adresse",OFFSET(DMAV_Dienste!$M$6,E817-1,0)),LEN(CELL("adresse",OFFSET(DMAV_Dienste!$M$6,E817-1,0)))-FIND("]",CELL("adresse",OFFSET(DMAV_Dienste!$M$6,E817-1,0)))),"Dienst")),HYPERLINK("#"&amp;RIGHT(CELL("adresse",OFFSET(DMAV_Modell!$N$6,B817-1,0)),LEN(CELL("adresse",OFFSET(DMAV_Modell!$N$6,B817-1,0)))-FIND("]",CELL("adresse",OFFSET(DMAV_Modell!$N$6,B817-1,0)))),"Modell"))</f>
        <v/>
      </c>
      <c r="K817" s="61" t="str" cm="1">
        <f t="array" ref="K817">IF($B817=0,IF($E817=0,"",IF(INDEX(DMAV_Dienste!P$6:P$140,$E817)="","",INDEX(DMAV_Dienste!P$6:P$140,$E817))),IF(INDEX(DMAV_Modell!Q$6:Q$838,$B817)="","",INDEX(DMAV_Modell!Q$6:Q$838,$B817)))</f>
        <v/>
      </c>
      <c r="L817" s="62" t="str" cm="1">
        <f t="array" ref="L817">IF($B817=0,IF($E817=0,"",IF(INDEX(DMAV_Dienste!O$6:O$140,$E817)="","",INDEX(DMAV_Dienste!O$6:O$140,$E817))),IF(INDEX(DMAV_Modell!P$6:P$838,$B817)="","",INDEX(DMAV_Modell!P$6:P$838,$B817)))</f>
        <v/>
      </c>
      <c r="M817" s="62" t="str" cm="1">
        <f t="array" ref="M817">IF($B817=0,IF($E817=0,"",IF(INDEX(DMAV_Dienste!Q$6:Q$140,$E817)="","",INDEX(DMAV_Dienste!Q$6:Q$140,$E817))),IF(INDEX(DMAV_Modell!R$6:R$838,$B817)="","",INDEX(DMAV_Modell!R$6:R$838,$B817)))</f>
        <v/>
      </c>
      <c r="N817" s="62" t="str" cm="1">
        <f t="array" ref="N817">IF($B817=0,IF($E817=0,"",IF(INDEX(DMAV_Dienste!T$6:T$140,$E817)="","",INDEX(DMAV_Dienste!T$6:T$140,$E817))),IF(INDEX(DMAV_Modell!U$6:U$838,$B817)="","",INDEX(DMAV_Modell!U$6:U$838,$B817)))</f>
        <v/>
      </c>
      <c r="O817" s="63" t="str" cm="1">
        <f t="array" aca="1" ref="O817" ca="1">IF(C817=0,IF(F817=0,"",HYPERLINK("#"&amp;RIGHT(CELL("adresse",OFFSET(DMAV_Dienste!$M$6,F817-1,0)),LEN(CELL("adresse",OFFSET(DMAV_Dienste!$M$6,F817-1,0)))-FIND("]",CELL("adresse",OFFSET(DMAV_Dienste!$M$6,F817-1,0)))),"Structure")),HYPERLINK("#"&amp;RIGHT(CELL("adresse",OFFSET(DMAV_Modell!$N$6,C817-1,0)),LEN(CELL("adresse",OFFSET(DMAV_Modell!$N$6,C817-1,0)))-FIND("]",CELL("adresse",OFFSET(DMAV_Modell!$N$6,C817-1,0)))),"Structure"))</f>
        <v/>
      </c>
      <c r="P817" s="64" t="str" cm="1">
        <f t="array" aca="1" ref="P817" ca="1">IF(D817=0,IF(G817=0,"",HYPERLINK("#"&amp;RIGHT(CELL("adresse",OFFSET(DMAV_Dienste!$M$6,G817-1,0)),LEN(CELL("adresse",OFFSET(DMAV_Dienste!$M$6,G817-1,0)))-FIND("]",CELL("adresse",OFFSET(DMAV_Dienste!$M$6,G817-1,0)))),"Substructure")),HYPERLINK("#"&amp;RIGHT(CELL("adresse",OFFSET(DMAV_Modell!$N$6,D817-1,0)),LEN(CELL("adresse",OFFSET(DMAV_Modell!$N$6,D817-1,0)))-FIND("]",CELL("adresse",OFFSET(DMAV_Modell!$N$6,D817-1,0)))),"Substructure"))</f>
        <v/>
      </c>
      <c r="R817" s="80"/>
      <c r="T817" s="93"/>
      <c r="U817" s="94"/>
      <c r="V817" s="95"/>
      <c r="W817" s="96"/>
      <c r="Y817" s="85"/>
      <c r="Z817" s="86"/>
      <c r="AA817" s="87"/>
      <c r="AB817" s="88"/>
      <c r="AD817" s="77"/>
      <c r="AF817" s="54" t="str" cm="1">
        <f t="array" aca="1" ref="AF817" ca="1">IF(H817=0,"",HYPERLINK("#"&amp;RIGHT(CELL("adresse",OFFSET('DM01-AV-CH'!$G$6,H817-1,0)),LEN(CELL("adresse",OFFSET('DM01-AV-CH'!$G$6,H817-1,0)))-FIND("]",CELL("adresse",OFFSET('DM01-AV-CH'!$G$6,H817-1,0)))),"Modell"))</f>
        <v>Modell</v>
      </c>
      <c r="AG817" s="72" t="str" cm="1">
        <f t="array" ref="AG817">IF($H817=0,"",IF(INDEX('DM01-AV-CH'!G$6:G$834,$H817)="","",INDEX('DM01-AV-CH'!G$6:G$834,$H817)))</f>
        <v>Bodenbedeckung</v>
      </c>
      <c r="AH817" s="73" t="str" cm="1">
        <f t="array" ref="AH817">IF($H817=0,"",IF(INDEX('DM01-AV-CH'!H$6:H$834,$H817)="","",INDEX('DM01-AV-CH'!H$6:H$834,$H817)))</f>
        <v>Einzelpunkt</v>
      </c>
      <c r="AI817" s="74" t="str" cm="1">
        <f t="array" ref="AI817">IF($H817=0,"",IF(INDEX('DM01-AV-CH'!I$6:I$834,$H817)="","",INDEX('DM01-AV-CH'!I$6:I$834,$H817)))</f>
        <v>Entstehung</v>
      </c>
    </row>
    <row r="818" spans="1:35" x14ac:dyDescent="0.25">
      <c r="A818" s="57">
        <v>813</v>
      </c>
      <c r="B818" s="57">
        <f>IF($A818="","",IF(_xlfn.XLOOKUP($A818,Korrelation!$D$4:$D$1197,Korrelation!E$4:E$1197,"-",0)="-",0,MATCH(_xlfn.XLOOKUP($A818,Korrelation!$D$4:$D$1197,Korrelation!E$4:E$1197,"",0),DMAV_Modell!$G$6:$G$677,0)))</f>
        <v>446</v>
      </c>
      <c r="C818" s="57">
        <f>IF($A818="","",IF(_xlfn.XLOOKUP($A818,Korrelation!$D$4:$D$1197,Korrelation!F$4:F$1197,"-",0)="-",0,MATCH(_xlfn.XLOOKUP($A818,Korrelation!$D$4:$D$1197,Korrelation!F$4:F$1197,"",0),DMAV_Modell!$G$6:$G$677,0)))</f>
        <v>0</v>
      </c>
      <c r="D818" s="57">
        <f>IF($A818="","",IF(_xlfn.XLOOKUP($A818,Korrelation!$D$4:$D$1197,Korrelation!G$4:G$1197,"-",0)="-",0,MATCH(_xlfn.XLOOKUP($A818,Korrelation!$D$4:$D$1197,Korrelation!G$4:G$1197,"",0),DMAV_Modell!$G$6:$G$677,0)))</f>
        <v>0</v>
      </c>
      <c r="E818" s="57">
        <f>IF($A818="","",IF(_xlfn.XLOOKUP($A818,Korrelation!$D$4:$D$1197,Korrelation!H$4:H$1197,"-",0)="-",0,MATCH(_xlfn.XLOOKUP($A818,Korrelation!$D$4:$D$1197,Korrelation!H$4:H$1197,"",0),DMAV_Dienste!$F$6:$F$140,0)))</f>
        <v>0</v>
      </c>
      <c r="F818" s="57">
        <f>IF($A818="","",IF(_xlfn.XLOOKUP($A818,Korrelation!$D$4:$D$1197,Korrelation!I$4:I$1197,"-",0)="-",0,MATCH(_xlfn.XLOOKUP($A818,Korrelation!$D$4:$D$1197,Korrelation!I$4:I$1197,"",0),DMAV_Dienste!$F$6:$F$140,0)))</f>
        <v>0</v>
      </c>
      <c r="G818" s="57">
        <f>IF($A818="","",IF(_xlfn.XLOOKUP($A818,Korrelation!$D$4:$D$1197,Korrelation!J$4:J$1197,"-",0)="-",0,MATCH(_xlfn.XLOOKUP($A818,Korrelation!$D$4:$D$1197,Korrelation!J$4:J$1197,"",0),DMAV_Dienste!$F$6:$F$140,0)))</f>
        <v>0</v>
      </c>
      <c r="H818" s="57">
        <f>IF($A818="","",IF(_xlfn.XLOOKUP($A818,Korrelation!$D$4:$D$1197,Korrelation!K$4:K$1197,"-",0)="-",0,MATCH(_xlfn.XLOOKUP($A818,Korrelation!$D$4:$D$1197,Korrelation!K$4:K$1197,"",0),'DM01-AV-CH'!$A$6:$A$834,0)))</f>
        <v>251</v>
      </c>
      <c r="J818" s="54" t="str" cm="1">
        <f t="array" aca="1" ref="J818" ca="1">IF(B818=0,IF(E818=0,"",HYPERLINK("#"&amp;RIGHT(CELL("adresse",OFFSET(DMAV_Dienste!$M$6,E818-1,0)),LEN(CELL("adresse",OFFSET(DMAV_Dienste!$M$6,E818-1,0)))-FIND("]",CELL("adresse",OFFSET(DMAV_Dienste!$M$6,E818-1,0)))),"Dienst")),HYPERLINK("#"&amp;RIGHT(CELL("adresse",OFFSET(DMAV_Modell!$N$6,B818-1,0)),LEN(CELL("adresse",OFFSET(DMAV_Modell!$N$6,B818-1,0)))-FIND("]",CELL("adresse",OFFSET(DMAV_Modell!$N$6,B818-1,0)))),"Modell"))</f>
        <v>Modell</v>
      </c>
      <c r="K818" s="61" t="str" cm="1">
        <f t="array" ref="K818">IF($B818=0,IF($E818=0,"",IF(INDEX(DMAV_Dienste!P$6:P$140,$E818)="","",INDEX(DMAV_Dienste!P$6:P$140,$E818))),IF(INDEX(DMAV_Modell!Q$6:Q$838,$B818)="","",INDEX(DMAV_Modell!Q$6:Q$838,$B818)))</f>
        <v>CLASS</v>
      </c>
      <c r="L818" s="62" t="str" cm="1">
        <f t="array" ref="L818">IF($B818=0,IF($E818=0,"",IF(INDEX(DMAV_Dienste!O$6:O$140,$E818)="","",INDEX(DMAV_Dienste!O$6:O$140,$E818))),IF(INDEX(DMAV_Modell!P$6:P$838,$B818)="","",INDEX(DMAV_Modell!P$6:P$838,$B818)))</f>
        <v>Bodenbedeckung</v>
      </c>
      <c r="M818" s="62" t="str" cm="1">
        <f t="array" ref="M818">IF($B818=0,IF($E818=0,"",IF(INDEX(DMAV_Dienste!Q$6:Q$140,$E818)="","",INDEX(DMAV_Dienste!Q$6:Q$140,$E818))),IF(INDEX(DMAV_Modell!R$6:R$838,$B818)="","",INDEX(DMAV_Modell!R$6:R$838,$B818)))</f>
        <v>Messpunkt</v>
      </c>
      <c r="N818" s="62" t="str" cm="1">
        <f t="array" ref="N818">IF($B818=0,IF($E818=0,"",IF(INDEX(DMAV_Dienste!T$6:T$140,$E818)="","",INDEX(DMAV_Dienste!T$6:T$140,$E818))),IF(INDEX(DMAV_Modell!U$6:U$838,$B818)="","",INDEX(DMAV_Modell!U$6:U$838,$B818)))</f>
        <v>Nummer</v>
      </c>
      <c r="O818" s="63" t="str" cm="1">
        <f t="array" aca="1" ref="O818" ca="1">IF(C818=0,IF(F818=0,"",HYPERLINK("#"&amp;RIGHT(CELL("adresse",OFFSET(DMAV_Dienste!$M$6,F818-1,0)),LEN(CELL("adresse",OFFSET(DMAV_Dienste!$M$6,F818-1,0)))-FIND("]",CELL("adresse",OFFSET(DMAV_Dienste!$M$6,F818-1,0)))),"Structure")),HYPERLINK("#"&amp;RIGHT(CELL("adresse",OFFSET(DMAV_Modell!$N$6,C818-1,0)),LEN(CELL("adresse",OFFSET(DMAV_Modell!$N$6,C818-1,0)))-FIND("]",CELL("adresse",OFFSET(DMAV_Modell!$N$6,C818-1,0)))),"Structure"))</f>
        <v/>
      </c>
      <c r="P818" s="64" t="str" cm="1">
        <f t="array" aca="1" ref="P818" ca="1">IF(D818=0,IF(G818=0,"",HYPERLINK("#"&amp;RIGHT(CELL("adresse",OFFSET(DMAV_Dienste!$M$6,G818-1,0)),LEN(CELL("adresse",OFFSET(DMAV_Dienste!$M$6,G818-1,0)))-FIND("]",CELL("adresse",OFFSET(DMAV_Dienste!$M$6,G818-1,0)))),"Substructure")),HYPERLINK("#"&amp;RIGHT(CELL("adresse",OFFSET(DMAV_Modell!$N$6,D818-1,0)),LEN(CELL("adresse",OFFSET(DMAV_Modell!$N$6,D818-1,0)))-FIND("]",CELL("adresse",OFFSET(DMAV_Modell!$N$6,D818-1,0)))),"Substructure"))</f>
        <v/>
      </c>
      <c r="R818" s="80"/>
      <c r="T818" s="93"/>
      <c r="U818" s="94"/>
      <c r="V818" s="95"/>
      <c r="W818" s="96"/>
      <c r="Y818" s="85"/>
      <c r="Z818" s="86"/>
      <c r="AA818" s="87"/>
      <c r="AB818" s="88"/>
      <c r="AD818" s="77"/>
      <c r="AF818" s="54" t="str" cm="1">
        <f t="array" aca="1" ref="AF818" ca="1">IF(H818=0,"",HYPERLINK("#"&amp;RIGHT(CELL("adresse",OFFSET('DM01-AV-CH'!$G$6,H818-1,0)),LEN(CELL("adresse",OFFSET('DM01-AV-CH'!$G$6,H818-1,0)))-FIND("]",CELL("adresse",OFFSET('DM01-AV-CH'!$G$6,H818-1,0)))),"Modell"))</f>
        <v>Modell</v>
      </c>
      <c r="AG818" s="72" t="str" cm="1">
        <f t="array" ref="AG818">IF($H818=0,"",IF(INDEX('DM01-AV-CH'!G$6:G$834,$H818)="","",INDEX('DM01-AV-CH'!G$6:G$834,$H818)))</f>
        <v>Bodenbedeckung</v>
      </c>
      <c r="AH818" s="73" t="str" cm="1">
        <f t="array" ref="AH818">IF($H818=0,"",IF(INDEX('DM01-AV-CH'!H$6:H$834,$H818)="","",INDEX('DM01-AV-CH'!H$6:H$834,$H818)))</f>
        <v>Einzelpunkt</v>
      </c>
      <c r="AI818" s="74" t="str" cm="1">
        <f t="array" ref="AI818">IF($H818=0,"",IF(INDEX('DM01-AV-CH'!I$6:I$834,$H818)="","",INDEX('DM01-AV-CH'!I$6:I$834,$H818)))</f>
        <v>Identifikator</v>
      </c>
    </row>
    <row r="819" spans="1:35" x14ac:dyDescent="0.25">
      <c r="A819" s="57">
        <v>814</v>
      </c>
      <c r="B819" s="57">
        <f>IF($A819="","",IF(_xlfn.XLOOKUP($A819,Korrelation!$D$4:$D$1197,Korrelation!E$4:E$1197,"-",0)="-",0,MATCH(_xlfn.XLOOKUP($A819,Korrelation!$D$4:$D$1197,Korrelation!E$4:E$1197,"",0),DMAV_Modell!$G$6:$G$677,0)))</f>
        <v>447</v>
      </c>
      <c r="C819" s="57">
        <f>IF($A819="","",IF(_xlfn.XLOOKUP($A819,Korrelation!$D$4:$D$1197,Korrelation!F$4:F$1197,"-",0)="-",0,MATCH(_xlfn.XLOOKUP($A819,Korrelation!$D$4:$D$1197,Korrelation!F$4:F$1197,"",0),DMAV_Modell!$G$6:$G$677,0)))</f>
        <v>0</v>
      </c>
      <c r="D819" s="57">
        <f>IF($A819="","",IF(_xlfn.XLOOKUP($A819,Korrelation!$D$4:$D$1197,Korrelation!G$4:G$1197,"-",0)="-",0,MATCH(_xlfn.XLOOKUP($A819,Korrelation!$D$4:$D$1197,Korrelation!G$4:G$1197,"",0),DMAV_Modell!$G$6:$G$677,0)))</f>
        <v>0</v>
      </c>
      <c r="E819" s="57">
        <f>IF($A819="","",IF(_xlfn.XLOOKUP($A819,Korrelation!$D$4:$D$1197,Korrelation!H$4:H$1197,"-",0)="-",0,MATCH(_xlfn.XLOOKUP($A819,Korrelation!$D$4:$D$1197,Korrelation!H$4:H$1197,"",0),DMAV_Dienste!$F$6:$F$140,0)))</f>
        <v>0</v>
      </c>
      <c r="F819" s="57">
        <f>IF($A819="","",IF(_xlfn.XLOOKUP($A819,Korrelation!$D$4:$D$1197,Korrelation!I$4:I$1197,"-",0)="-",0,MATCH(_xlfn.XLOOKUP($A819,Korrelation!$D$4:$D$1197,Korrelation!I$4:I$1197,"",0),DMAV_Dienste!$F$6:$F$140,0)))</f>
        <v>0</v>
      </c>
      <c r="G819" s="57">
        <f>IF($A819="","",IF(_xlfn.XLOOKUP($A819,Korrelation!$D$4:$D$1197,Korrelation!J$4:J$1197,"-",0)="-",0,MATCH(_xlfn.XLOOKUP($A819,Korrelation!$D$4:$D$1197,Korrelation!J$4:J$1197,"",0),DMAV_Dienste!$F$6:$F$140,0)))</f>
        <v>0</v>
      </c>
      <c r="H819" s="57">
        <f>IF($A819="","",IF(_xlfn.XLOOKUP($A819,Korrelation!$D$4:$D$1197,Korrelation!K$4:K$1197,"-",0)="-",0,MATCH(_xlfn.XLOOKUP($A819,Korrelation!$D$4:$D$1197,Korrelation!K$4:K$1197,"",0),'DM01-AV-CH'!$A$6:$A$834,0)))</f>
        <v>252</v>
      </c>
      <c r="J819" s="54" t="str" cm="1">
        <f t="array" aca="1" ref="J819" ca="1">IF(B819=0,IF(E819=0,"",HYPERLINK("#"&amp;RIGHT(CELL("adresse",OFFSET(DMAV_Dienste!$M$6,E819-1,0)),LEN(CELL("adresse",OFFSET(DMAV_Dienste!$M$6,E819-1,0)))-FIND("]",CELL("adresse",OFFSET(DMAV_Dienste!$M$6,E819-1,0)))),"Dienst")),HYPERLINK("#"&amp;RIGHT(CELL("adresse",OFFSET(DMAV_Modell!$N$6,B819-1,0)),LEN(CELL("adresse",OFFSET(DMAV_Modell!$N$6,B819-1,0)))-FIND("]",CELL("adresse",OFFSET(DMAV_Modell!$N$6,B819-1,0)))),"Modell"))</f>
        <v>Modell</v>
      </c>
      <c r="K819" s="61" t="str" cm="1">
        <f t="array" ref="K819">IF($B819=0,IF($E819=0,"",IF(INDEX(DMAV_Dienste!P$6:P$140,$E819)="","",INDEX(DMAV_Dienste!P$6:P$140,$E819))),IF(INDEX(DMAV_Modell!Q$6:Q$838,$B819)="","",INDEX(DMAV_Modell!Q$6:Q$838,$B819)))</f>
        <v>CLASS</v>
      </c>
      <c r="L819" s="62" t="str" cm="1">
        <f t="array" ref="L819">IF($B819=0,IF($E819=0,"",IF(INDEX(DMAV_Dienste!O$6:O$140,$E819)="","",INDEX(DMAV_Dienste!O$6:O$140,$E819))),IF(INDEX(DMAV_Modell!P$6:P$838,$B819)="","",INDEX(DMAV_Modell!P$6:P$838,$B819)))</f>
        <v>Bodenbedeckung</v>
      </c>
      <c r="M819" s="62" t="str" cm="1">
        <f t="array" ref="M819">IF($B819=0,IF($E819=0,"",IF(INDEX(DMAV_Dienste!Q$6:Q$140,$E819)="","",INDEX(DMAV_Dienste!Q$6:Q$140,$E819))),IF(INDEX(DMAV_Modell!R$6:R$838,$B819)="","",INDEX(DMAV_Modell!R$6:R$838,$B819)))</f>
        <v>Messpunkt</v>
      </c>
      <c r="N819" s="62" t="str" cm="1">
        <f t="array" ref="N819">IF($B819=0,IF($E819=0,"",IF(INDEX(DMAV_Dienste!T$6:T$140,$E819)="","",INDEX(DMAV_Dienste!T$6:T$140,$E819))),IF(INDEX(DMAV_Modell!U$6:U$838,$B819)="","",INDEX(DMAV_Modell!U$6:U$838,$B819)))</f>
        <v>Geometrie</v>
      </c>
      <c r="O819" s="63" t="str" cm="1">
        <f t="array" aca="1" ref="O819" ca="1">IF(C819=0,IF(F819=0,"",HYPERLINK("#"&amp;RIGHT(CELL("adresse",OFFSET(DMAV_Dienste!$M$6,F819-1,0)),LEN(CELL("adresse",OFFSET(DMAV_Dienste!$M$6,F819-1,0)))-FIND("]",CELL("adresse",OFFSET(DMAV_Dienste!$M$6,F819-1,0)))),"Structure")),HYPERLINK("#"&amp;RIGHT(CELL("adresse",OFFSET(DMAV_Modell!$N$6,C819-1,0)),LEN(CELL("adresse",OFFSET(DMAV_Modell!$N$6,C819-1,0)))-FIND("]",CELL("adresse",OFFSET(DMAV_Modell!$N$6,C819-1,0)))),"Structure"))</f>
        <v/>
      </c>
      <c r="P819" s="64" t="str" cm="1">
        <f t="array" aca="1" ref="P819" ca="1">IF(D819=0,IF(G819=0,"",HYPERLINK("#"&amp;RIGHT(CELL("adresse",OFFSET(DMAV_Dienste!$M$6,G819-1,0)),LEN(CELL("adresse",OFFSET(DMAV_Dienste!$M$6,G819-1,0)))-FIND("]",CELL("adresse",OFFSET(DMAV_Dienste!$M$6,G819-1,0)))),"Substructure")),HYPERLINK("#"&amp;RIGHT(CELL("adresse",OFFSET(DMAV_Modell!$N$6,D819-1,0)),LEN(CELL("adresse",OFFSET(DMAV_Modell!$N$6,D819-1,0)))-FIND("]",CELL("adresse",OFFSET(DMAV_Modell!$N$6,D819-1,0)))),"Substructure"))</f>
        <v/>
      </c>
      <c r="R819" s="80"/>
      <c r="T819" s="93"/>
      <c r="U819" s="94"/>
      <c r="V819" s="95"/>
      <c r="W819" s="96"/>
      <c r="Y819" s="85"/>
      <c r="Z819" s="86"/>
      <c r="AA819" s="87"/>
      <c r="AB819" s="88"/>
      <c r="AD819" s="77"/>
      <c r="AF819" s="54" t="str" cm="1">
        <f t="array" aca="1" ref="AF819" ca="1">IF(H819=0,"",HYPERLINK("#"&amp;RIGHT(CELL("adresse",OFFSET('DM01-AV-CH'!$G$6,H819-1,0)),LEN(CELL("adresse",OFFSET('DM01-AV-CH'!$G$6,H819-1,0)))-FIND("]",CELL("adresse",OFFSET('DM01-AV-CH'!$G$6,H819-1,0)))),"Modell"))</f>
        <v>Modell</v>
      </c>
      <c r="AG819" s="72" t="str" cm="1">
        <f t="array" ref="AG819">IF($H819=0,"",IF(INDEX('DM01-AV-CH'!G$6:G$834,$H819)="","",INDEX('DM01-AV-CH'!G$6:G$834,$H819)))</f>
        <v>Bodenbedeckung</v>
      </c>
      <c r="AH819" s="73" t="str" cm="1">
        <f t="array" ref="AH819">IF($H819=0,"",IF(INDEX('DM01-AV-CH'!H$6:H$834,$H819)="","",INDEX('DM01-AV-CH'!H$6:H$834,$H819)))</f>
        <v>Einzelpunkt</v>
      </c>
      <c r="AI819" s="74" t="str" cm="1">
        <f t="array" ref="AI819">IF($H819=0,"",IF(INDEX('DM01-AV-CH'!I$6:I$834,$H819)="","",INDEX('DM01-AV-CH'!I$6:I$834,$H819)))</f>
        <v>Geometrie</v>
      </c>
    </row>
    <row r="820" spans="1:35" x14ac:dyDescent="0.25">
      <c r="A820" s="57">
        <v>815</v>
      </c>
      <c r="B820" s="57">
        <f>IF($A820="","",IF(_xlfn.XLOOKUP($A820,Korrelation!$D$4:$D$1197,Korrelation!E$4:E$1197,"-",0)="-",0,MATCH(_xlfn.XLOOKUP($A820,Korrelation!$D$4:$D$1197,Korrelation!E$4:E$1197,"",0),DMAV_Modell!$G$6:$G$677,0)))</f>
        <v>448</v>
      </c>
      <c r="C820" s="57">
        <f>IF($A820="","",IF(_xlfn.XLOOKUP($A820,Korrelation!$D$4:$D$1197,Korrelation!F$4:F$1197,"-",0)="-",0,MATCH(_xlfn.XLOOKUP($A820,Korrelation!$D$4:$D$1197,Korrelation!F$4:F$1197,"",0),DMAV_Modell!$G$6:$G$677,0)))</f>
        <v>0</v>
      </c>
      <c r="D820" s="57">
        <f>IF($A820="","",IF(_xlfn.XLOOKUP($A820,Korrelation!$D$4:$D$1197,Korrelation!G$4:G$1197,"-",0)="-",0,MATCH(_xlfn.XLOOKUP($A820,Korrelation!$D$4:$D$1197,Korrelation!G$4:G$1197,"",0),DMAV_Modell!$G$6:$G$677,0)))</f>
        <v>0</v>
      </c>
      <c r="E820" s="57">
        <f>IF($A820="","",IF(_xlfn.XLOOKUP($A820,Korrelation!$D$4:$D$1197,Korrelation!H$4:H$1197,"-",0)="-",0,MATCH(_xlfn.XLOOKUP($A820,Korrelation!$D$4:$D$1197,Korrelation!H$4:H$1197,"",0),DMAV_Dienste!$F$6:$F$140,0)))</f>
        <v>0</v>
      </c>
      <c r="F820" s="57">
        <f>IF($A820="","",IF(_xlfn.XLOOKUP($A820,Korrelation!$D$4:$D$1197,Korrelation!I$4:I$1197,"-",0)="-",0,MATCH(_xlfn.XLOOKUP($A820,Korrelation!$D$4:$D$1197,Korrelation!I$4:I$1197,"",0),DMAV_Dienste!$F$6:$F$140,0)))</f>
        <v>0</v>
      </c>
      <c r="G820" s="57">
        <f>IF($A820="","",IF(_xlfn.XLOOKUP($A820,Korrelation!$D$4:$D$1197,Korrelation!J$4:J$1197,"-",0)="-",0,MATCH(_xlfn.XLOOKUP($A820,Korrelation!$D$4:$D$1197,Korrelation!J$4:J$1197,"",0),DMAV_Dienste!$F$6:$F$140,0)))</f>
        <v>0</v>
      </c>
      <c r="H820" s="57">
        <f>IF($A820="","",IF(_xlfn.XLOOKUP($A820,Korrelation!$D$4:$D$1197,Korrelation!K$4:K$1197,"-",0)="-",0,MATCH(_xlfn.XLOOKUP($A820,Korrelation!$D$4:$D$1197,Korrelation!K$4:K$1197,"",0),'DM01-AV-CH'!$A$6:$A$834,0)))</f>
        <v>0</v>
      </c>
      <c r="J820" s="54" t="str" cm="1">
        <f t="array" aca="1" ref="J820" ca="1">IF(B820=0,IF(E820=0,"",HYPERLINK("#"&amp;RIGHT(CELL("adresse",OFFSET(DMAV_Dienste!$M$6,E820-1,0)),LEN(CELL("adresse",OFFSET(DMAV_Dienste!$M$6,E820-1,0)))-FIND("]",CELL("adresse",OFFSET(DMAV_Dienste!$M$6,E820-1,0)))),"Dienst")),HYPERLINK("#"&amp;RIGHT(CELL("adresse",OFFSET(DMAV_Modell!$N$6,B820-1,0)),LEN(CELL("adresse",OFFSET(DMAV_Modell!$N$6,B820-1,0)))-FIND("]",CELL("adresse",OFFSET(DMAV_Modell!$N$6,B820-1,0)))),"Modell"))</f>
        <v>Modell</v>
      </c>
      <c r="K820" s="61" t="str" cm="1">
        <f t="array" ref="K820">IF($B820=0,IF($E820=0,"",IF(INDEX(DMAV_Dienste!P$6:P$140,$E820)="","",INDEX(DMAV_Dienste!P$6:P$140,$E820))),IF(INDEX(DMAV_Modell!Q$6:Q$838,$B820)="","",INDEX(DMAV_Modell!Q$6:Q$838,$B820)))</f>
        <v>CLASS</v>
      </c>
      <c r="L820" s="62" t="str" cm="1">
        <f t="array" ref="L820">IF($B820=0,IF($E820=0,"",IF(INDEX(DMAV_Dienste!O$6:O$140,$E820)="","",INDEX(DMAV_Dienste!O$6:O$140,$E820))),IF(INDEX(DMAV_Modell!P$6:P$838,$B820)="","",INDEX(DMAV_Modell!P$6:P$838,$B820)))</f>
        <v>Bodenbedeckung</v>
      </c>
      <c r="M820" s="62" t="str" cm="1">
        <f t="array" ref="M820">IF($B820=0,IF($E820=0,"",IF(INDEX(DMAV_Dienste!Q$6:Q$140,$E820)="","",INDEX(DMAV_Dienste!Q$6:Q$140,$E820))),IF(INDEX(DMAV_Modell!R$6:R$838,$B820)="","",INDEX(DMAV_Modell!R$6:R$838,$B820)))</f>
        <v>Messpunkt</v>
      </c>
      <c r="N820" s="62" t="str" cm="1">
        <f t="array" ref="N820">IF($B820=0,IF($E820=0,"",IF(INDEX(DMAV_Dienste!T$6:T$140,$E820)="","",INDEX(DMAV_Dienste!T$6:T$140,$E820))),IF(INDEX(DMAV_Modell!U$6:U$838,$B820)="","",INDEX(DMAV_Modell!U$6:U$838,$B820)))</f>
        <v>Hoehengeometrie</v>
      </c>
      <c r="O820" s="63" t="str" cm="1">
        <f t="array" aca="1" ref="O820" ca="1">IF(C820=0,IF(F820=0,"",HYPERLINK("#"&amp;RIGHT(CELL("adresse",OFFSET(DMAV_Dienste!$M$6,F820-1,0)),LEN(CELL("adresse",OFFSET(DMAV_Dienste!$M$6,F820-1,0)))-FIND("]",CELL("adresse",OFFSET(DMAV_Dienste!$M$6,F820-1,0)))),"Structure")),HYPERLINK("#"&amp;RIGHT(CELL("adresse",OFFSET(DMAV_Modell!$N$6,C820-1,0)),LEN(CELL("adresse",OFFSET(DMAV_Modell!$N$6,C820-1,0)))-FIND("]",CELL("adresse",OFFSET(DMAV_Modell!$N$6,C820-1,0)))),"Structure"))</f>
        <v/>
      </c>
      <c r="P820" s="64" t="str" cm="1">
        <f t="array" aca="1" ref="P820" ca="1">IF(D820=0,IF(G820=0,"",HYPERLINK("#"&amp;RIGHT(CELL("adresse",OFFSET(DMAV_Dienste!$M$6,G820-1,0)),LEN(CELL("adresse",OFFSET(DMAV_Dienste!$M$6,G820-1,0)))-FIND("]",CELL("adresse",OFFSET(DMAV_Dienste!$M$6,G820-1,0)))),"Substructure")),HYPERLINK("#"&amp;RIGHT(CELL("adresse",OFFSET(DMAV_Modell!$N$6,D820-1,0)),LEN(CELL("adresse",OFFSET(DMAV_Modell!$N$6,D820-1,0)))-FIND("]",CELL("adresse",OFFSET(DMAV_Modell!$N$6,D820-1,0)))),"Substructure"))</f>
        <v/>
      </c>
      <c r="R820" s="80"/>
      <c r="T820" s="93"/>
      <c r="U820" s="94"/>
      <c r="V820" s="95"/>
      <c r="W820" s="96"/>
      <c r="Y820" s="85"/>
      <c r="Z820" s="86"/>
      <c r="AA820" s="87"/>
      <c r="AB820" s="88"/>
      <c r="AD820" s="77"/>
      <c r="AF820" s="54" t="str" cm="1">
        <f t="array" aca="1" ref="AF820" ca="1">IF(H820=0,"",HYPERLINK("#"&amp;RIGHT(CELL("adresse",OFFSET('DM01-AV-CH'!$G$6,H820-1,0)),LEN(CELL("adresse",OFFSET('DM01-AV-CH'!$G$6,H820-1,0)))-FIND("]",CELL("adresse",OFFSET('DM01-AV-CH'!$G$6,H820-1,0)))),"Modell"))</f>
        <v/>
      </c>
      <c r="AG820" s="72" t="str" cm="1">
        <f t="array" ref="AG820">IF($H820=0,"",IF(INDEX('DM01-AV-CH'!G$6:G$834,$H820)="","",INDEX('DM01-AV-CH'!G$6:G$834,$H820)))</f>
        <v/>
      </c>
      <c r="AH820" s="73" t="str" cm="1">
        <f t="array" ref="AH820">IF($H820=0,"",IF(INDEX('DM01-AV-CH'!H$6:H$834,$H820)="","",INDEX('DM01-AV-CH'!H$6:H$834,$H820)))</f>
        <v/>
      </c>
      <c r="AI820" s="74" t="str" cm="1">
        <f t="array" ref="AI820">IF($H820=0,"",IF(INDEX('DM01-AV-CH'!I$6:I$834,$H820)="","",INDEX('DM01-AV-CH'!I$6:I$834,$H820)))</f>
        <v/>
      </c>
    </row>
    <row r="821" spans="1:35" x14ac:dyDescent="0.25">
      <c r="A821" s="57">
        <v>816</v>
      </c>
      <c r="B821" s="57">
        <f>IF($A821="","",IF(_xlfn.XLOOKUP($A821,Korrelation!$D$4:$D$1197,Korrelation!E$4:E$1197,"-",0)="-",0,MATCH(_xlfn.XLOOKUP($A821,Korrelation!$D$4:$D$1197,Korrelation!E$4:E$1197,"",0),DMAV_Modell!$G$6:$G$677,0)))</f>
        <v>449</v>
      </c>
      <c r="C821" s="57">
        <f>IF($A821="","",IF(_xlfn.XLOOKUP($A821,Korrelation!$D$4:$D$1197,Korrelation!F$4:F$1197,"-",0)="-",0,MATCH(_xlfn.XLOOKUP($A821,Korrelation!$D$4:$D$1197,Korrelation!F$4:F$1197,"",0),DMAV_Modell!$G$6:$G$677,0)))</f>
        <v>0</v>
      </c>
      <c r="D821" s="57">
        <f>IF($A821="","",IF(_xlfn.XLOOKUP($A821,Korrelation!$D$4:$D$1197,Korrelation!G$4:G$1197,"-",0)="-",0,MATCH(_xlfn.XLOOKUP($A821,Korrelation!$D$4:$D$1197,Korrelation!G$4:G$1197,"",0),DMAV_Modell!$G$6:$G$677,0)))</f>
        <v>0</v>
      </c>
      <c r="E821" s="57">
        <f>IF($A821="","",IF(_xlfn.XLOOKUP($A821,Korrelation!$D$4:$D$1197,Korrelation!H$4:H$1197,"-",0)="-",0,MATCH(_xlfn.XLOOKUP($A821,Korrelation!$D$4:$D$1197,Korrelation!H$4:H$1197,"",0),DMAV_Dienste!$F$6:$F$140,0)))</f>
        <v>0</v>
      </c>
      <c r="F821" s="57">
        <f>IF($A821="","",IF(_xlfn.XLOOKUP($A821,Korrelation!$D$4:$D$1197,Korrelation!I$4:I$1197,"-",0)="-",0,MATCH(_xlfn.XLOOKUP($A821,Korrelation!$D$4:$D$1197,Korrelation!I$4:I$1197,"",0),DMAV_Dienste!$F$6:$F$140,0)))</f>
        <v>0</v>
      </c>
      <c r="G821" s="57">
        <f>IF($A821="","",IF(_xlfn.XLOOKUP($A821,Korrelation!$D$4:$D$1197,Korrelation!J$4:J$1197,"-",0)="-",0,MATCH(_xlfn.XLOOKUP($A821,Korrelation!$D$4:$D$1197,Korrelation!J$4:J$1197,"",0),DMAV_Dienste!$F$6:$F$140,0)))</f>
        <v>0</v>
      </c>
      <c r="H821" s="57">
        <f>IF($A821="","",IF(_xlfn.XLOOKUP($A821,Korrelation!$D$4:$D$1197,Korrelation!K$4:K$1197,"-",0)="-",0,MATCH(_xlfn.XLOOKUP($A821,Korrelation!$D$4:$D$1197,Korrelation!K$4:K$1197,"",0),'DM01-AV-CH'!$A$6:$A$834,0)))</f>
        <v>253</v>
      </c>
      <c r="J821" s="54" t="str" cm="1">
        <f t="array" aca="1" ref="J821" ca="1">IF(B821=0,IF(E821=0,"",HYPERLINK("#"&amp;RIGHT(CELL("adresse",OFFSET(DMAV_Dienste!$M$6,E821-1,0)),LEN(CELL("adresse",OFFSET(DMAV_Dienste!$M$6,E821-1,0)))-FIND("]",CELL("adresse",OFFSET(DMAV_Dienste!$M$6,E821-1,0)))),"Dienst")),HYPERLINK("#"&amp;RIGHT(CELL("adresse",OFFSET(DMAV_Modell!$N$6,B821-1,0)),LEN(CELL("adresse",OFFSET(DMAV_Modell!$N$6,B821-1,0)))-FIND("]",CELL("adresse",OFFSET(DMAV_Modell!$N$6,B821-1,0)))),"Modell"))</f>
        <v>Modell</v>
      </c>
      <c r="K821" s="61" t="str" cm="1">
        <f t="array" ref="K821">IF($B821=0,IF($E821=0,"",IF(INDEX(DMAV_Dienste!P$6:P$140,$E821)="","",INDEX(DMAV_Dienste!P$6:P$140,$E821))),IF(INDEX(DMAV_Modell!Q$6:Q$838,$B821)="","",INDEX(DMAV_Modell!Q$6:Q$838,$B821)))</f>
        <v>CLASS</v>
      </c>
      <c r="L821" s="62" t="str" cm="1">
        <f t="array" ref="L821">IF($B821=0,IF($E821=0,"",IF(INDEX(DMAV_Dienste!O$6:O$140,$E821)="","",INDEX(DMAV_Dienste!O$6:O$140,$E821))),IF(INDEX(DMAV_Modell!P$6:P$838,$B821)="","",INDEX(DMAV_Modell!P$6:P$838,$B821)))</f>
        <v>Bodenbedeckung</v>
      </c>
      <c r="M821" s="62" t="str" cm="1">
        <f t="array" ref="M821">IF($B821=0,IF($E821=0,"",IF(INDEX(DMAV_Dienste!Q$6:Q$140,$E821)="","",INDEX(DMAV_Dienste!Q$6:Q$140,$E821))),IF(INDEX(DMAV_Modell!R$6:R$838,$B821)="","",INDEX(DMAV_Modell!R$6:R$838,$B821)))</f>
        <v>Messpunkt</v>
      </c>
      <c r="N821" s="62" t="str" cm="1">
        <f t="array" ref="N821">IF($B821=0,IF($E821=0,"",IF(INDEX(DMAV_Dienste!T$6:T$140,$E821)="","",INDEX(DMAV_Dienste!T$6:T$140,$E821))),IF(INDEX(DMAV_Modell!U$6:U$838,$B821)="","",INDEX(DMAV_Modell!U$6:U$838,$B821)))</f>
        <v>Lagegenauigkeit</v>
      </c>
      <c r="O821" s="63" t="str" cm="1">
        <f t="array" aca="1" ref="O821" ca="1">IF(C821=0,IF(F821=0,"",HYPERLINK("#"&amp;RIGHT(CELL("adresse",OFFSET(DMAV_Dienste!$M$6,F821-1,0)),LEN(CELL("adresse",OFFSET(DMAV_Dienste!$M$6,F821-1,0)))-FIND("]",CELL("adresse",OFFSET(DMAV_Dienste!$M$6,F821-1,0)))),"Structure")),HYPERLINK("#"&amp;RIGHT(CELL("adresse",OFFSET(DMAV_Modell!$N$6,C821-1,0)),LEN(CELL("adresse",OFFSET(DMAV_Modell!$N$6,C821-1,0)))-FIND("]",CELL("adresse",OFFSET(DMAV_Modell!$N$6,C821-1,0)))),"Structure"))</f>
        <v/>
      </c>
      <c r="P821" s="64" t="str" cm="1">
        <f t="array" aca="1" ref="P821" ca="1">IF(D821=0,IF(G821=0,"",HYPERLINK("#"&amp;RIGHT(CELL("adresse",OFFSET(DMAV_Dienste!$M$6,G821-1,0)),LEN(CELL("adresse",OFFSET(DMAV_Dienste!$M$6,G821-1,0)))-FIND("]",CELL("adresse",OFFSET(DMAV_Dienste!$M$6,G821-1,0)))),"Substructure")),HYPERLINK("#"&amp;RIGHT(CELL("adresse",OFFSET(DMAV_Modell!$N$6,D821-1,0)),LEN(CELL("adresse",OFFSET(DMAV_Modell!$N$6,D821-1,0)))-FIND("]",CELL("adresse",OFFSET(DMAV_Modell!$N$6,D821-1,0)))),"Substructure"))</f>
        <v/>
      </c>
      <c r="R821" s="80"/>
      <c r="T821" s="93"/>
      <c r="U821" s="94"/>
      <c r="V821" s="95"/>
      <c r="W821" s="96"/>
      <c r="Y821" s="85"/>
      <c r="Z821" s="86"/>
      <c r="AA821" s="87"/>
      <c r="AB821" s="88"/>
      <c r="AD821" s="77"/>
      <c r="AF821" s="54" t="str" cm="1">
        <f t="array" aca="1" ref="AF821" ca="1">IF(H821=0,"",HYPERLINK("#"&amp;RIGHT(CELL("adresse",OFFSET('DM01-AV-CH'!$G$6,H821-1,0)),LEN(CELL("adresse",OFFSET('DM01-AV-CH'!$G$6,H821-1,0)))-FIND("]",CELL("adresse",OFFSET('DM01-AV-CH'!$G$6,H821-1,0)))),"Modell"))</f>
        <v>Modell</v>
      </c>
      <c r="AG821" s="72" t="str" cm="1">
        <f t="array" ref="AG821">IF($H821=0,"",IF(INDEX('DM01-AV-CH'!G$6:G$834,$H821)="","",INDEX('DM01-AV-CH'!G$6:G$834,$H821)))</f>
        <v>Bodenbedeckung</v>
      </c>
      <c r="AH821" s="73" t="str" cm="1">
        <f t="array" ref="AH821">IF($H821=0,"",IF(INDEX('DM01-AV-CH'!H$6:H$834,$H821)="","",INDEX('DM01-AV-CH'!H$6:H$834,$H821)))</f>
        <v>Einzelpunkt</v>
      </c>
      <c r="AI821" s="74" t="str" cm="1">
        <f t="array" ref="AI821">IF($H821=0,"",IF(INDEX('DM01-AV-CH'!I$6:I$834,$H821)="","",INDEX('DM01-AV-CH'!I$6:I$834,$H821)))</f>
        <v>LageGen</v>
      </c>
    </row>
    <row r="822" spans="1:35" x14ac:dyDescent="0.25">
      <c r="A822" s="57">
        <v>817</v>
      </c>
      <c r="B822" s="57">
        <f>IF($A822="","",IF(_xlfn.XLOOKUP($A822,Korrelation!$D$4:$D$1197,Korrelation!E$4:E$1197,"-",0)="-",0,MATCH(_xlfn.XLOOKUP($A822,Korrelation!$D$4:$D$1197,Korrelation!E$4:E$1197,"",0),DMAV_Modell!$G$6:$G$677,0)))</f>
        <v>450</v>
      </c>
      <c r="C822" s="57">
        <f>IF($A822="","",IF(_xlfn.XLOOKUP($A822,Korrelation!$D$4:$D$1197,Korrelation!F$4:F$1197,"-",0)="-",0,MATCH(_xlfn.XLOOKUP($A822,Korrelation!$D$4:$D$1197,Korrelation!F$4:F$1197,"",0),DMAV_Modell!$G$6:$G$677,0)))</f>
        <v>0</v>
      </c>
      <c r="D822" s="57">
        <f>IF($A822="","",IF(_xlfn.XLOOKUP($A822,Korrelation!$D$4:$D$1197,Korrelation!G$4:G$1197,"-",0)="-",0,MATCH(_xlfn.XLOOKUP($A822,Korrelation!$D$4:$D$1197,Korrelation!G$4:G$1197,"",0),DMAV_Modell!$G$6:$G$677,0)))</f>
        <v>0</v>
      </c>
      <c r="E822" s="57">
        <f>IF($A822="","",IF(_xlfn.XLOOKUP($A822,Korrelation!$D$4:$D$1197,Korrelation!H$4:H$1197,"-",0)="-",0,MATCH(_xlfn.XLOOKUP($A822,Korrelation!$D$4:$D$1197,Korrelation!H$4:H$1197,"",0),DMAV_Dienste!$F$6:$F$140,0)))</f>
        <v>0</v>
      </c>
      <c r="F822" s="57">
        <f>IF($A822="","",IF(_xlfn.XLOOKUP($A822,Korrelation!$D$4:$D$1197,Korrelation!I$4:I$1197,"-",0)="-",0,MATCH(_xlfn.XLOOKUP($A822,Korrelation!$D$4:$D$1197,Korrelation!I$4:I$1197,"",0),DMAV_Dienste!$F$6:$F$140,0)))</f>
        <v>0</v>
      </c>
      <c r="G822" s="57">
        <f>IF($A822="","",IF(_xlfn.XLOOKUP($A822,Korrelation!$D$4:$D$1197,Korrelation!J$4:J$1197,"-",0)="-",0,MATCH(_xlfn.XLOOKUP($A822,Korrelation!$D$4:$D$1197,Korrelation!J$4:J$1197,"",0),DMAV_Dienste!$F$6:$F$140,0)))</f>
        <v>0</v>
      </c>
      <c r="H822" s="57">
        <f>IF($A822="","",IF(_xlfn.XLOOKUP($A822,Korrelation!$D$4:$D$1197,Korrelation!K$4:K$1197,"-",0)="-",0,MATCH(_xlfn.XLOOKUP($A822,Korrelation!$D$4:$D$1197,Korrelation!K$4:K$1197,"",0),'DM01-AV-CH'!$A$6:$A$834,0)))</f>
        <v>254</v>
      </c>
      <c r="J822" s="54" t="str" cm="1">
        <f t="array" aca="1" ref="J822" ca="1">IF(B822=0,IF(E822=0,"",HYPERLINK("#"&amp;RIGHT(CELL("adresse",OFFSET(DMAV_Dienste!$M$6,E822-1,0)),LEN(CELL("adresse",OFFSET(DMAV_Dienste!$M$6,E822-1,0)))-FIND("]",CELL("adresse",OFFSET(DMAV_Dienste!$M$6,E822-1,0)))),"Dienst")),HYPERLINK("#"&amp;RIGHT(CELL("adresse",OFFSET(DMAV_Modell!$N$6,B822-1,0)),LEN(CELL("adresse",OFFSET(DMAV_Modell!$N$6,B822-1,0)))-FIND("]",CELL("adresse",OFFSET(DMAV_Modell!$N$6,B822-1,0)))),"Modell"))</f>
        <v>Modell</v>
      </c>
      <c r="K822" s="61" t="str" cm="1">
        <f t="array" ref="K822">IF($B822=0,IF($E822=0,"",IF(INDEX(DMAV_Dienste!P$6:P$140,$E822)="","",INDEX(DMAV_Dienste!P$6:P$140,$E822))),IF(INDEX(DMAV_Modell!Q$6:Q$838,$B822)="","",INDEX(DMAV_Modell!Q$6:Q$838,$B822)))</f>
        <v>CLASS</v>
      </c>
      <c r="L822" s="62" t="str" cm="1">
        <f t="array" ref="L822">IF($B822=0,IF($E822=0,"",IF(INDEX(DMAV_Dienste!O$6:O$140,$E822)="","",INDEX(DMAV_Dienste!O$6:O$140,$E822))),IF(INDEX(DMAV_Modell!P$6:P$838,$B822)="","",INDEX(DMAV_Modell!P$6:P$838,$B822)))</f>
        <v>Bodenbedeckung</v>
      </c>
      <c r="M822" s="62" t="str" cm="1">
        <f t="array" ref="M822">IF($B822=0,IF($E822=0,"",IF(INDEX(DMAV_Dienste!Q$6:Q$140,$E822)="","",INDEX(DMAV_Dienste!Q$6:Q$140,$E822))),IF(INDEX(DMAV_Modell!R$6:R$838,$B822)="","",INDEX(DMAV_Modell!R$6:R$838,$B822)))</f>
        <v>Messpunkt</v>
      </c>
      <c r="N822" s="62" t="str" cm="1">
        <f t="array" ref="N822">IF($B822=0,IF($E822=0,"",IF(INDEX(DMAV_Dienste!T$6:T$140,$E822)="","",INDEX(DMAV_Dienste!T$6:T$140,$E822))),IF(INDEX(DMAV_Modell!U$6:U$838,$B822)="","",INDEX(DMAV_Modell!U$6:U$838,$B822)))</f>
        <v>IstLagezuverlaessig</v>
      </c>
      <c r="O822" s="63" t="str" cm="1">
        <f t="array" aca="1" ref="O822" ca="1">IF(C822=0,IF(F822=0,"",HYPERLINK("#"&amp;RIGHT(CELL("adresse",OFFSET(DMAV_Dienste!$M$6,F822-1,0)),LEN(CELL("adresse",OFFSET(DMAV_Dienste!$M$6,F822-1,0)))-FIND("]",CELL("adresse",OFFSET(DMAV_Dienste!$M$6,F822-1,0)))),"Structure")),HYPERLINK("#"&amp;RIGHT(CELL("adresse",OFFSET(DMAV_Modell!$N$6,C822-1,0)),LEN(CELL("adresse",OFFSET(DMAV_Modell!$N$6,C822-1,0)))-FIND("]",CELL("adresse",OFFSET(DMAV_Modell!$N$6,C822-1,0)))),"Structure"))</f>
        <v/>
      </c>
      <c r="P822" s="64" t="str" cm="1">
        <f t="array" aca="1" ref="P822" ca="1">IF(D822=0,IF(G822=0,"",HYPERLINK("#"&amp;RIGHT(CELL("adresse",OFFSET(DMAV_Dienste!$M$6,G822-1,0)),LEN(CELL("adresse",OFFSET(DMAV_Dienste!$M$6,G822-1,0)))-FIND("]",CELL("adresse",OFFSET(DMAV_Dienste!$M$6,G822-1,0)))),"Substructure")),HYPERLINK("#"&amp;RIGHT(CELL("adresse",OFFSET(DMAV_Modell!$N$6,D822-1,0)),LEN(CELL("adresse",OFFSET(DMAV_Modell!$N$6,D822-1,0)))-FIND("]",CELL("adresse",OFFSET(DMAV_Modell!$N$6,D822-1,0)))),"Substructure"))</f>
        <v/>
      </c>
      <c r="R822" s="80"/>
      <c r="T822" s="93"/>
      <c r="U822" s="94"/>
      <c r="V822" s="95"/>
      <c r="W822" s="96"/>
      <c r="Y822" s="85"/>
      <c r="Z822" s="86"/>
      <c r="AA822" s="87"/>
      <c r="AB822" s="88"/>
      <c r="AD822" s="77"/>
      <c r="AF822" s="54" t="str" cm="1">
        <f t="array" aca="1" ref="AF822" ca="1">IF(H822=0,"",HYPERLINK("#"&amp;RIGHT(CELL("adresse",OFFSET('DM01-AV-CH'!$G$6,H822-1,0)),LEN(CELL("adresse",OFFSET('DM01-AV-CH'!$G$6,H822-1,0)))-FIND("]",CELL("adresse",OFFSET('DM01-AV-CH'!$G$6,H822-1,0)))),"Modell"))</f>
        <v>Modell</v>
      </c>
      <c r="AG822" s="72" t="str" cm="1">
        <f t="array" ref="AG822">IF($H822=0,"",IF(INDEX('DM01-AV-CH'!G$6:G$834,$H822)="","",INDEX('DM01-AV-CH'!G$6:G$834,$H822)))</f>
        <v>Bodenbedeckung</v>
      </c>
      <c r="AH822" s="73" t="str" cm="1">
        <f t="array" ref="AH822">IF($H822=0,"",IF(INDEX('DM01-AV-CH'!H$6:H$834,$H822)="","",INDEX('DM01-AV-CH'!H$6:H$834,$H822)))</f>
        <v>Einzelpunkt</v>
      </c>
      <c r="AI822" s="74" t="str" cm="1">
        <f t="array" ref="AI822">IF($H822=0,"",IF(INDEX('DM01-AV-CH'!I$6:I$834,$H822)="","",INDEX('DM01-AV-CH'!I$6:I$834,$H822)))</f>
        <v>LageZuv</v>
      </c>
    </row>
    <row r="823" spans="1:35" x14ac:dyDescent="0.25">
      <c r="A823" s="57">
        <v>818</v>
      </c>
      <c r="B823" s="57">
        <f>IF($A823="","",IF(_xlfn.XLOOKUP($A823,Korrelation!$D$4:$D$1197,Korrelation!E$4:E$1197,"-",0)="-",0,MATCH(_xlfn.XLOOKUP($A823,Korrelation!$D$4:$D$1197,Korrelation!E$4:E$1197,"",0),DMAV_Modell!$G$6:$G$677,0)))</f>
        <v>451</v>
      </c>
      <c r="C823" s="57">
        <f>IF($A823="","",IF(_xlfn.XLOOKUP($A823,Korrelation!$D$4:$D$1197,Korrelation!F$4:F$1197,"-",0)="-",0,MATCH(_xlfn.XLOOKUP($A823,Korrelation!$D$4:$D$1197,Korrelation!F$4:F$1197,"",0),DMAV_Modell!$G$6:$G$677,0)))</f>
        <v>0</v>
      </c>
      <c r="D823" s="57">
        <f>IF($A823="","",IF(_xlfn.XLOOKUP($A823,Korrelation!$D$4:$D$1197,Korrelation!G$4:G$1197,"-",0)="-",0,MATCH(_xlfn.XLOOKUP($A823,Korrelation!$D$4:$D$1197,Korrelation!G$4:G$1197,"",0),DMAV_Modell!$G$6:$G$677,0)))</f>
        <v>0</v>
      </c>
      <c r="E823" s="57">
        <f>IF($A823="","",IF(_xlfn.XLOOKUP($A823,Korrelation!$D$4:$D$1197,Korrelation!H$4:H$1197,"-",0)="-",0,MATCH(_xlfn.XLOOKUP($A823,Korrelation!$D$4:$D$1197,Korrelation!H$4:H$1197,"",0),DMAV_Dienste!$F$6:$F$140,0)))</f>
        <v>0</v>
      </c>
      <c r="F823" s="57">
        <f>IF($A823="","",IF(_xlfn.XLOOKUP($A823,Korrelation!$D$4:$D$1197,Korrelation!I$4:I$1197,"-",0)="-",0,MATCH(_xlfn.XLOOKUP($A823,Korrelation!$D$4:$D$1197,Korrelation!I$4:I$1197,"",0),DMAV_Dienste!$F$6:$F$140,0)))</f>
        <v>0</v>
      </c>
      <c r="G823" s="57">
        <f>IF($A823="","",IF(_xlfn.XLOOKUP($A823,Korrelation!$D$4:$D$1197,Korrelation!J$4:J$1197,"-",0)="-",0,MATCH(_xlfn.XLOOKUP($A823,Korrelation!$D$4:$D$1197,Korrelation!J$4:J$1197,"",0),DMAV_Dienste!$F$6:$F$140,0)))</f>
        <v>0</v>
      </c>
      <c r="H823" s="57">
        <f>IF($A823="","",IF(_xlfn.XLOOKUP($A823,Korrelation!$D$4:$D$1197,Korrelation!K$4:K$1197,"-",0)="-",0,MATCH(_xlfn.XLOOKUP($A823,Korrelation!$D$4:$D$1197,Korrelation!K$4:K$1197,"",0),'DM01-AV-CH'!$A$6:$A$834,0)))</f>
        <v>0</v>
      </c>
      <c r="J823" s="54" t="str" cm="1">
        <f t="array" aca="1" ref="J823" ca="1">IF(B823=0,IF(E823=0,"",HYPERLINK("#"&amp;RIGHT(CELL("adresse",OFFSET(DMAV_Dienste!$M$6,E823-1,0)),LEN(CELL("adresse",OFFSET(DMAV_Dienste!$M$6,E823-1,0)))-FIND("]",CELL("adresse",OFFSET(DMAV_Dienste!$M$6,E823-1,0)))),"Dienst")),HYPERLINK("#"&amp;RIGHT(CELL("adresse",OFFSET(DMAV_Modell!$N$6,B823-1,0)),LEN(CELL("adresse",OFFSET(DMAV_Modell!$N$6,B823-1,0)))-FIND("]",CELL("adresse",OFFSET(DMAV_Modell!$N$6,B823-1,0)))),"Modell"))</f>
        <v>Modell</v>
      </c>
      <c r="K823" s="61" t="str" cm="1">
        <f t="array" ref="K823">IF($B823=0,IF($E823=0,"",IF(INDEX(DMAV_Dienste!P$6:P$140,$E823)="","",INDEX(DMAV_Dienste!P$6:P$140,$E823))),IF(INDEX(DMAV_Modell!Q$6:Q$838,$B823)="","",INDEX(DMAV_Modell!Q$6:Q$838,$B823)))</f>
        <v>CLASS</v>
      </c>
      <c r="L823" s="62" t="str" cm="1">
        <f t="array" ref="L823">IF($B823=0,IF($E823=0,"",IF(INDEX(DMAV_Dienste!O$6:O$140,$E823)="","",INDEX(DMAV_Dienste!O$6:O$140,$E823))),IF(INDEX(DMAV_Modell!P$6:P$838,$B823)="","",INDEX(DMAV_Modell!P$6:P$838,$B823)))</f>
        <v>Bodenbedeckung</v>
      </c>
      <c r="M823" s="62" t="str" cm="1">
        <f t="array" ref="M823">IF($B823=0,IF($E823=0,"",IF(INDEX(DMAV_Dienste!Q$6:Q$140,$E823)="","",INDEX(DMAV_Dienste!Q$6:Q$140,$E823))),IF(INDEX(DMAV_Modell!R$6:R$838,$B823)="","",INDEX(DMAV_Modell!R$6:R$838,$B823)))</f>
        <v>Messpunkt</v>
      </c>
      <c r="N823" s="62" t="str" cm="1">
        <f t="array" ref="N823">IF($B823=0,IF($E823=0,"",IF(INDEX(DMAV_Dienste!T$6:T$140,$E823)="","",INDEX(DMAV_Dienste!T$6:T$140,$E823))),IF(INDEX(DMAV_Modell!U$6:U$838,$B823)="","",INDEX(DMAV_Modell!U$6:U$838,$B823)))</f>
        <v>Hoehengenauigkeit</v>
      </c>
      <c r="O823" s="63" t="str" cm="1">
        <f t="array" aca="1" ref="O823" ca="1">IF(C823=0,IF(F823=0,"",HYPERLINK("#"&amp;RIGHT(CELL("adresse",OFFSET(DMAV_Dienste!$M$6,F823-1,0)),LEN(CELL("adresse",OFFSET(DMAV_Dienste!$M$6,F823-1,0)))-FIND("]",CELL("adresse",OFFSET(DMAV_Dienste!$M$6,F823-1,0)))),"Structure")),HYPERLINK("#"&amp;RIGHT(CELL("adresse",OFFSET(DMAV_Modell!$N$6,C823-1,0)),LEN(CELL("adresse",OFFSET(DMAV_Modell!$N$6,C823-1,0)))-FIND("]",CELL("adresse",OFFSET(DMAV_Modell!$N$6,C823-1,0)))),"Structure"))</f>
        <v/>
      </c>
      <c r="P823" s="64" t="str" cm="1">
        <f t="array" aca="1" ref="P823" ca="1">IF(D823=0,IF(G823=0,"",HYPERLINK("#"&amp;RIGHT(CELL("adresse",OFFSET(DMAV_Dienste!$M$6,G823-1,0)),LEN(CELL("adresse",OFFSET(DMAV_Dienste!$M$6,G823-1,0)))-FIND("]",CELL("adresse",OFFSET(DMAV_Dienste!$M$6,G823-1,0)))),"Substructure")),HYPERLINK("#"&amp;RIGHT(CELL("adresse",OFFSET(DMAV_Modell!$N$6,D823-1,0)),LEN(CELL("adresse",OFFSET(DMAV_Modell!$N$6,D823-1,0)))-FIND("]",CELL("adresse",OFFSET(DMAV_Modell!$N$6,D823-1,0)))),"Substructure"))</f>
        <v/>
      </c>
      <c r="R823" s="80"/>
      <c r="T823" s="93"/>
      <c r="U823" s="94"/>
      <c r="V823" s="95"/>
      <c r="W823" s="96"/>
      <c r="Y823" s="85"/>
      <c r="Z823" s="86"/>
      <c r="AA823" s="87"/>
      <c r="AB823" s="88"/>
      <c r="AD823" s="77"/>
      <c r="AF823" s="54" t="str" cm="1">
        <f t="array" aca="1" ref="AF823" ca="1">IF(H823=0,"",HYPERLINK("#"&amp;RIGHT(CELL("adresse",OFFSET('DM01-AV-CH'!$G$6,H823-1,0)),LEN(CELL("adresse",OFFSET('DM01-AV-CH'!$G$6,H823-1,0)))-FIND("]",CELL("adresse",OFFSET('DM01-AV-CH'!$G$6,H823-1,0)))),"Modell"))</f>
        <v/>
      </c>
      <c r="AG823" s="72" t="str" cm="1">
        <f t="array" ref="AG823">IF($H823=0,"",IF(INDEX('DM01-AV-CH'!G$6:G$834,$H823)="","",INDEX('DM01-AV-CH'!G$6:G$834,$H823)))</f>
        <v/>
      </c>
      <c r="AH823" s="73" t="str" cm="1">
        <f t="array" ref="AH823">IF($H823=0,"",IF(INDEX('DM01-AV-CH'!H$6:H$834,$H823)="","",INDEX('DM01-AV-CH'!H$6:H$834,$H823)))</f>
        <v/>
      </c>
      <c r="AI823" s="74" t="str" cm="1">
        <f t="array" ref="AI823">IF($H823=0,"",IF(INDEX('DM01-AV-CH'!I$6:I$834,$H823)="","",INDEX('DM01-AV-CH'!I$6:I$834,$H823)))</f>
        <v/>
      </c>
    </row>
    <row r="824" spans="1:35" x14ac:dyDescent="0.25">
      <c r="A824" s="57">
        <v>819</v>
      </c>
      <c r="B824" s="57">
        <f>IF($A824="","",IF(_xlfn.XLOOKUP($A824,Korrelation!$D$4:$D$1197,Korrelation!E$4:E$1197,"-",0)="-",0,MATCH(_xlfn.XLOOKUP($A824,Korrelation!$D$4:$D$1197,Korrelation!E$4:E$1197,"",0),DMAV_Modell!$G$6:$G$677,0)))</f>
        <v>452</v>
      </c>
      <c r="C824" s="57">
        <f>IF($A824="","",IF(_xlfn.XLOOKUP($A824,Korrelation!$D$4:$D$1197,Korrelation!F$4:F$1197,"-",0)="-",0,MATCH(_xlfn.XLOOKUP($A824,Korrelation!$D$4:$D$1197,Korrelation!F$4:F$1197,"",0),DMAV_Modell!$G$6:$G$677,0)))</f>
        <v>0</v>
      </c>
      <c r="D824" s="57">
        <f>IF($A824="","",IF(_xlfn.XLOOKUP($A824,Korrelation!$D$4:$D$1197,Korrelation!G$4:G$1197,"-",0)="-",0,MATCH(_xlfn.XLOOKUP($A824,Korrelation!$D$4:$D$1197,Korrelation!G$4:G$1197,"",0),DMAV_Modell!$G$6:$G$677,0)))</f>
        <v>0</v>
      </c>
      <c r="E824" s="57">
        <f>IF($A824="","",IF(_xlfn.XLOOKUP($A824,Korrelation!$D$4:$D$1197,Korrelation!H$4:H$1197,"-",0)="-",0,MATCH(_xlfn.XLOOKUP($A824,Korrelation!$D$4:$D$1197,Korrelation!H$4:H$1197,"",0),DMAV_Dienste!$F$6:$F$140,0)))</f>
        <v>0</v>
      </c>
      <c r="F824" s="57">
        <f>IF($A824="","",IF(_xlfn.XLOOKUP($A824,Korrelation!$D$4:$D$1197,Korrelation!I$4:I$1197,"-",0)="-",0,MATCH(_xlfn.XLOOKUP($A824,Korrelation!$D$4:$D$1197,Korrelation!I$4:I$1197,"",0),DMAV_Dienste!$F$6:$F$140,0)))</f>
        <v>0</v>
      </c>
      <c r="G824" s="57">
        <f>IF($A824="","",IF(_xlfn.XLOOKUP($A824,Korrelation!$D$4:$D$1197,Korrelation!J$4:J$1197,"-",0)="-",0,MATCH(_xlfn.XLOOKUP($A824,Korrelation!$D$4:$D$1197,Korrelation!J$4:J$1197,"",0),DMAV_Dienste!$F$6:$F$140,0)))</f>
        <v>0</v>
      </c>
      <c r="H824" s="57">
        <f>IF($A824="","",IF(_xlfn.XLOOKUP($A824,Korrelation!$D$4:$D$1197,Korrelation!K$4:K$1197,"-",0)="-",0,MATCH(_xlfn.XLOOKUP($A824,Korrelation!$D$4:$D$1197,Korrelation!K$4:K$1197,"",0),'DM01-AV-CH'!$A$6:$A$834,0)))</f>
        <v>0</v>
      </c>
      <c r="J824" s="54" t="str" cm="1">
        <f t="array" aca="1" ref="J824" ca="1">IF(B824=0,IF(E824=0,"",HYPERLINK("#"&amp;RIGHT(CELL("adresse",OFFSET(DMAV_Dienste!$M$6,E824-1,0)),LEN(CELL("adresse",OFFSET(DMAV_Dienste!$M$6,E824-1,0)))-FIND("]",CELL("adresse",OFFSET(DMAV_Dienste!$M$6,E824-1,0)))),"Dienst")),HYPERLINK("#"&amp;RIGHT(CELL("adresse",OFFSET(DMAV_Modell!$N$6,B824-1,0)),LEN(CELL("adresse",OFFSET(DMAV_Modell!$N$6,B824-1,0)))-FIND("]",CELL("adresse",OFFSET(DMAV_Modell!$N$6,B824-1,0)))),"Modell"))</f>
        <v>Modell</v>
      </c>
      <c r="K824" s="61" t="str" cm="1">
        <f t="array" ref="K824">IF($B824=0,IF($E824=0,"",IF(INDEX(DMAV_Dienste!P$6:P$140,$E824)="","",INDEX(DMAV_Dienste!P$6:P$140,$E824))),IF(INDEX(DMAV_Modell!Q$6:Q$838,$B824)="","",INDEX(DMAV_Modell!Q$6:Q$838,$B824)))</f>
        <v>CLASS</v>
      </c>
      <c r="L824" s="62" t="str" cm="1">
        <f t="array" ref="L824">IF($B824=0,IF($E824=0,"",IF(INDEX(DMAV_Dienste!O$6:O$140,$E824)="","",INDEX(DMAV_Dienste!O$6:O$140,$E824))),IF(INDEX(DMAV_Modell!P$6:P$838,$B824)="","",INDEX(DMAV_Modell!P$6:P$838,$B824)))</f>
        <v>Bodenbedeckung</v>
      </c>
      <c r="M824" s="62" t="str" cm="1">
        <f t="array" ref="M824">IF($B824=0,IF($E824=0,"",IF(INDEX(DMAV_Dienste!Q$6:Q$140,$E824)="","",INDEX(DMAV_Dienste!Q$6:Q$140,$E824))),IF(INDEX(DMAV_Modell!R$6:R$838,$B824)="","",INDEX(DMAV_Modell!R$6:R$838,$B824)))</f>
        <v>Messpunkt</v>
      </c>
      <c r="N824" s="62" t="str" cm="1">
        <f t="array" ref="N824">IF($B824=0,IF($E824=0,"",IF(INDEX(DMAV_Dienste!T$6:T$140,$E824)="","",INDEX(DMAV_Dienste!T$6:T$140,$E824))),IF(INDEX(DMAV_Modell!U$6:U$838,$B824)="","",INDEX(DMAV_Modell!U$6:U$838,$B824)))</f>
        <v>IstHoehenzuverlaessig</v>
      </c>
      <c r="O824" s="63" t="str" cm="1">
        <f t="array" aca="1" ref="O824" ca="1">IF(C824=0,IF(F824=0,"",HYPERLINK("#"&amp;RIGHT(CELL("adresse",OFFSET(DMAV_Dienste!$M$6,F824-1,0)),LEN(CELL("adresse",OFFSET(DMAV_Dienste!$M$6,F824-1,0)))-FIND("]",CELL("adresse",OFFSET(DMAV_Dienste!$M$6,F824-1,0)))),"Structure")),HYPERLINK("#"&amp;RIGHT(CELL("adresse",OFFSET(DMAV_Modell!$N$6,C824-1,0)),LEN(CELL("adresse",OFFSET(DMAV_Modell!$N$6,C824-1,0)))-FIND("]",CELL("adresse",OFFSET(DMAV_Modell!$N$6,C824-1,0)))),"Structure"))</f>
        <v/>
      </c>
      <c r="P824" s="64" t="str" cm="1">
        <f t="array" aca="1" ref="P824" ca="1">IF(D824=0,IF(G824=0,"",HYPERLINK("#"&amp;RIGHT(CELL("adresse",OFFSET(DMAV_Dienste!$M$6,G824-1,0)),LEN(CELL("adresse",OFFSET(DMAV_Dienste!$M$6,G824-1,0)))-FIND("]",CELL("adresse",OFFSET(DMAV_Dienste!$M$6,G824-1,0)))),"Substructure")),HYPERLINK("#"&amp;RIGHT(CELL("adresse",OFFSET(DMAV_Modell!$N$6,D824-1,0)),LEN(CELL("adresse",OFFSET(DMAV_Modell!$N$6,D824-1,0)))-FIND("]",CELL("adresse",OFFSET(DMAV_Modell!$N$6,D824-1,0)))),"Substructure"))</f>
        <v/>
      </c>
      <c r="R824" s="80"/>
      <c r="T824" s="93"/>
      <c r="U824" s="94"/>
      <c r="V824" s="95"/>
      <c r="W824" s="96"/>
      <c r="Y824" s="85"/>
      <c r="Z824" s="86"/>
      <c r="AA824" s="87"/>
      <c r="AB824" s="88"/>
      <c r="AD824" s="77"/>
      <c r="AF824" s="54" t="str" cm="1">
        <f t="array" aca="1" ref="AF824" ca="1">IF(H824=0,"",HYPERLINK("#"&amp;RIGHT(CELL("adresse",OFFSET('DM01-AV-CH'!$G$6,H824-1,0)),LEN(CELL("adresse",OFFSET('DM01-AV-CH'!$G$6,H824-1,0)))-FIND("]",CELL("adresse",OFFSET('DM01-AV-CH'!$G$6,H824-1,0)))),"Modell"))</f>
        <v/>
      </c>
      <c r="AG824" s="72" t="str" cm="1">
        <f t="array" ref="AG824">IF($H824=0,"",IF(INDEX('DM01-AV-CH'!G$6:G$834,$H824)="","",INDEX('DM01-AV-CH'!G$6:G$834,$H824)))</f>
        <v/>
      </c>
      <c r="AH824" s="73" t="str" cm="1">
        <f t="array" ref="AH824">IF($H824=0,"",IF(INDEX('DM01-AV-CH'!H$6:H$834,$H824)="","",INDEX('DM01-AV-CH'!H$6:H$834,$H824)))</f>
        <v/>
      </c>
      <c r="AI824" s="74" t="str" cm="1">
        <f t="array" ref="AI824">IF($H824=0,"",IF(INDEX('DM01-AV-CH'!I$6:I$834,$H824)="","",INDEX('DM01-AV-CH'!I$6:I$834,$H824)))</f>
        <v/>
      </c>
    </row>
    <row r="825" spans="1:35" ht="28.5" x14ac:dyDescent="0.25">
      <c r="A825" s="57">
        <v>820</v>
      </c>
      <c r="B825" s="57">
        <f>IF($A825="","",IF(_xlfn.XLOOKUP($A825,Korrelation!$D$4:$D$1197,Korrelation!E$4:E$1197,"-",0)="-",0,MATCH(_xlfn.XLOOKUP($A825,Korrelation!$D$4:$D$1197,Korrelation!E$4:E$1197,"",0),DMAV_Modell!$G$6:$G$677,0)))</f>
        <v>453</v>
      </c>
      <c r="C825" s="57">
        <f>IF($A825="","",IF(_xlfn.XLOOKUP($A825,Korrelation!$D$4:$D$1197,Korrelation!F$4:F$1197,"-",0)="-",0,MATCH(_xlfn.XLOOKUP($A825,Korrelation!$D$4:$D$1197,Korrelation!F$4:F$1197,"",0),DMAV_Modell!$G$6:$G$677,0)))</f>
        <v>0</v>
      </c>
      <c r="D825" s="57">
        <f>IF($A825="","",IF(_xlfn.XLOOKUP($A825,Korrelation!$D$4:$D$1197,Korrelation!G$4:G$1197,"-",0)="-",0,MATCH(_xlfn.XLOOKUP($A825,Korrelation!$D$4:$D$1197,Korrelation!G$4:G$1197,"",0),DMAV_Modell!$G$6:$G$677,0)))</f>
        <v>0</v>
      </c>
      <c r="E825" s="57">
        <f>IF($A825="","",IF(_xlfn.XLOOKUP($A825,Korrelation!$D$4:$D$1197,Korrelation!H$4:H$1197,"-",0)="-",0,MATCH(_xlfn.XLOOKUP($A825,Korrelation!$D$4:$D$1197,Korrelation!H$4:H$1197,"",0),DMAV_Dienste!$F$6:$F$140,0)))</f>
        <v>0</v>
      </c>
      <c r="F825" s="57">
        <f>IF($A825="","",IF(_xlfn.XLOOKUP($A825,Korrelation!$D$4:$D$1197,Korrelation!I$4:I$1197,"-",0)="-",0,MATCH(_xlfn.XLOOKUP($A825,Korrelation!$D$4:$D$1197,Korrelation!I$4:I$1197,"",0),DMAV_Dienste!$F$6:$F$140,0)))</f>
        <v>0</v>
      </c>
      <c r="G825" s="57">
        <f>IF($A825="","",IF(_xlfn.XLOOKUP($A825,Korrelation!$D$4:$D$1197,Korrelation!J$4:J$1197,"-",0)="-",0,MATCH(_xlfn.XLOOKUP($A825,Korrelation!$D$4:$D$1197,Korrelation!J$4:J$1197,"",0),DMAV_Dienste!$F$6:$F$140,0)))</f>
        <v>0</v>
      </c>
      <c r="H825" s="57">
        <f>IF($A825="","",IF(_xlfn.XLOOKUP($A825,Korrelation!$D$4:$D$1197,Korrelation!K$4:K$1197,"-",0)="-",0,MATCH(_xlfn.XLOOKUP($A825,Korrelation!$D$4:$D$1197,Korrelation!K$4:K$1197,"",0),'DM01-AV-CH'!$A$6:$A$834,0)))</f>
        <v>255</v>
      </c>
      <c r="J825" s="54" t="str" cm="1">
        <f t="array" aca="1" ref="J825" ca="1">IF(B825=0,IF(E825=0,"",HYPERLINK("#"&amp;RIGHT(CELL("adresse",OFFSET(DMAV_Dienste!$M$6,E825-1,0)),LEN(CELL("adresse",OFFSET(DMAV_Dienste!$M$6,E825-1,0)))-FIND("]",CELL("adresse",OFFSET(DMAV_Dienste!$M$6,E825-1,0)))),"Dienst")),HYPERLINK("#"&amp;RIGHT(CELL("adresse",OFFSET(DMAV_Modell!$N$6,B825-1,0)),LEN(CELL("adresse",OFFSET(DMAV_Modell!$N$6,B825-1,0)))-FIND("]",CELL("adresse",OFFSET(DMAV_Modell!$N$6,B825-1,0)))),"Modell"))</f>
        <v>Modell</v>
      </c>
      <c r="K825" s="61" t="str" cm="1">
        <f t="array" ref="K825">IF($B825=0,IF($E825=0,"",IF(INDEX(DMAV_Dienste!P$6:P$140,$E825)="","",INDEX(DMAV_Dienste!P$6:P$140,$E825))),IF(INDEX(DMAV_Modell!Q$6:Q$838,$B825)="","",INDEX(DMAV_Modell!Q$6:Q$838,$B825)))</f>
        <v>CLASS</v>
      </c>
      <c r="L825" s="62" t="str" cm="1">
        <f t="array" ref="L825">IF($B825=0,IF($E825=0,"",IF(INDEX(DMAV_Dienste!O$6:O$140,$E825)="","",INDEX(DMAV_Dienste!O$6:O$140,$E825))),IF(INDEX(DMAV_Modell!P$6:P$838,$B825)="","",INDEX(DMAV_Modell!P$6:P$838,$B825)))</f>
        <v>Bodenbedeckung</v>
      </c>
      <c r="M825" s="62" t="str" cm="1">
        <f t="array" ref="M825">IF($B825=0,IF($E825=0,"",IF(INDEX(DMAV_Dienste!Q$6:Q$140,$E825)="","",INDEX(DMAV_Dienste!Q$6:Q$140,$E825))),IF(INDEX(DMAV_Modell!R$6:R$838,$B825)="","",INDEX(DMAV_Modell!R$6:R$838,$B825)))</f>
        <v>Messpunkt</v>
      </c>
      <c r="N825" s="62" t="str" cm="1">
        <f t="array" ref="N825">IF($B825=0,IF($E825=0,"",IF(INDEX(DMAV_Dienste!T$6:T$140,$E825)="","",INDEX(DMAV_Dienste!T$6:T$140,$E825))),IF(INDEX(DMAV_Modell!U$6:U$838,$B825)="","",INDEX(DMAV_Modell!U$6:U$838,$B825)))</f>
        <v>IstExaktDefiniert</v>
      </c>
      <c r="O825" s="63" t="str" cm="1">
        <f t="array" aca="1" ref="O825" ca="1">IF(C825=0,IF(F825=0,"",HYPERLINK("#"&amp;RIGHT(CELL("adresse",OFFSET(DMAV_Dienste!$M$6,F825-1,0)),LEN(CELL("adresse",OFFSET(DMAV_Dienste!$M$6,F825-1,0)))-FIND("]",CELL("adresse",OFFSET(DMAV_Dienste!$M$6,F825-1,0)))),"Structure")),HYPERLINK("#"&amp;RIGHT(CELL("adresse",OFFSET(DMAV_Modell!$N$6,C825-1,0)),LEN(CELL("adresse",OFFSET(DMAV_Modell!$N$6,C825-1,0)))-FIND("]",CELL("adresse",OFFSET(DMAV_Modell!$N$6,C825-1,0)))),"Structure"))</f>
        <v/>
      </c>
      <c r="P825" s="64" t="str" cm="1">
        <f t="array" aca="1" ref="P825" ca="1">IF(D825=0,IF(G825=0,"",HYPERLINK("#"&amp;RIGHT(CELL("adresse",OFFSET(DMAV_Dienste!$M$6,G825-1,0)),LEN(CELL("adresse",OFFSET(DMAV_Dienste!$M$6,G825-1,0)))-FIND("]",CELL("adresse",OFFSET(DMAV_Dienste!$M$6,G825-1,0)))),"Substructure")),HYPERLINK("#"&amp;RIGHT(CELL("adresse",OFFSET(DMAV_Modell!$N$6,D825-1,0)),LEN(CELL("adresse",OFFSET(DMAV_Modell!$N$6,D825-1,0)))-FIND("]",CELL("adresse",OFFSET(DMAV_Modell!$N$6,D825-1,0)))),"Substructure"))</f>
        <v/>
      </c>
      <c r="R825" s="80" t="s">
        <v>3062</v>
      </c>
      <c r="T825" s="93"/>
      <c r="U825" s="94"/>
      <c r="V825" s="95"/>
      <c r="W825" s="96"/>
      <c r="Y825" s="85"/>
      <c r="Z825" s="86"/>
      <c r="AA825" s="87"/>
      <c r="AB825" s="88"/>
      <c r="AD825" s="77" t="s">
        <v>2992</v>
      </c>
      <c r="AF825" s="54" t="str" cm="1">
        <f t="array" aca="1" ref="AF825" ca="1">IF(H825=0,"",HYPERLINK("#"&amp;RIGHT(CELL("adresse",OFFSET('DM01-AV-CH'!$G$6,H825-1,0)),LEN(CELL("adresse",OFFSET('DM01-AV-CH'!$G$6,H825-1,0)))-FIND("]",CELL("adresse",OFFSET('DM01-AV-CH'!$G$6,H825-1,0)))),"Modell"))</f>
        <v>Modell</v>
      </c>
      <c r="AG825" s="72" t="str" cm="1">
        <f t="array" ref="AG825">IF($H825=0,"",IF(INDEX('DM01-AV-CH'!G$6:G$834,$H825)="","",INDEX('DM01-AV-CH'!G$6:G$834,$H825)))</f>
        <v>Bodenbedeckung</v>
      </c>
      <c r="AH825" s="73" t="str" cm="1">
        <f t="array" ref="AH825">IF($H825=0,"",IF(INDEX('DM01-AV-CH'!H$6:H$834,$H825)="","",INDEX('DM01-AV-CH'!H$6:H$834,$H825)))</f>
        <v>Einzelpunkt</v>
      </c>
      <c r="AI825" s="74" t="str" cm="1">
        <f t="array" ref="AI825">IF($H825=0,"",IF(INDEX('DM01-AV-CH'!I$6:I$834,$H825)="","",INDEX('DM01-AV-CH'!I$6:I$834,$H825)))</f>
        <v>ExaktDefiniert</v>
      </c>
    </row>
    <row r="826" spans="1:35" x14ac:dyDescent="0.25">
      <c r="A826" s="57">
        <v>821</v>
      </c>
      <c r="B826" s="57">
        <f>IF($A826="","",IF(_xlfn.XLOOKUP($A826,Korrelation!$D$4:$D$1197,Korrelation!E$4:E$1197,"-",0)="-",0,MATCH(_xlfn.XLOOKUP($A826,Korrelation!$D$4:$D$1197,Korrelation!E$4:E$1197,"",0),DMAV_Modell!$G$6:$G$677,0)))</f>
        <v>454</v>
      </c>
      <c r="C826" s="57">
        <f>IF($A826="","",IF(_xlfn.XLOOKUP($A826,Korrelation!$D$4:$D$1197,Korrelation!F$4:F$1197,"-",0)="-",0,MATCH(_xlfn.XLOOKUP($A826,Korrelation!$D$4:$D$1197,Korrelation!F$4:F$1197,"",0),DMAV_Modell!$G$6:$G$677,0)))</f>
        <v>0</v>
      </c>
      <c r="D826" s="57">
        <f>IF($A826="","",IF(_xlfn.XLOOKUP($A826,Korrelation!$D$4:$D$1197,Korrelation!G$4:G$1197,"-",0)="-",0,MATCH(_xlfn.XLOOKUP($A826,Korrelation!$D$4:$D$1197,Korrelation!G$4:G$1197,"",0),DMAV_Modell!$G$6:$G$677,0)))</f>
        <v>0</v>
      </c>
      <c r="E826" s="57">
        <f>IF($A826="","",IF(_xlfn.XLOOKUP($A826,Korrelation!$D$4:$D$1197,Korrelation!H$4:H$1197,"-",0)="-",0,MATCH(_xlfn.XLOOKUP($A826,Korrelation!$D$4:$D$1197,Korrelation!H$4:H$1197,"",0),DMAV_Dienste!$F$6:$F$140,0)))</f>
        <v>0</v>
      </c>
      <c r="F826" s="57">
        <f>IF($A826="","",IF(_xlfn.XLOOKUP($A826,Korrelation!$D$4:$D$1197,Korrelation!I$4:I$1197,"-",0)="-",0,MATCH(_xlfn.XLOOKUP($A826,Korrelation!$D$4:$D$1197,Korrelation!I$4:I$1197,"",0),DMAV_Dienste!$F$6:$F$140,0)))</f>
        <v>0</v>
      </c>
      <c r="G826" s="57">
        <f>IF($A826="","",IF(_xlfn.XLOOKUP($A826,Korrelation!$D$4:$D$1197,Korrelation!J$4:J$1197,"-",0)="-",0,MATCH(_xlfn.XLOOKUP($A826,Korrelation!$D$4:$D$1197,Korrelation!J$4:J$1197,"",0),DMAV_Dienste!$F$6:$F$140,0)))</f>
        <v>0</v>
      </c>
      <c r="H826" s="57">
        <f>IF($A826="","",IF(_xlfn.XLOOKUP($A826,Korrelation!$D$4:$D$1197,Korrelation!K$4:K$1197,"-",0)="-",0,MATCH(_xlfn.XLOOKUP($A826,Korrelation!$D$4:$D$1197,Korrelation!K$4:K$1197,"",0),'DM01-AV-CH'!$A$6:$A$834,0)))</f>
        <v>256</v>
      </c>
      <c r="J826" s="54" t="str" cm="1">
        <f t="array" aca="1" ref="J826" ca="1">IF(B826=0,IF(E826=0,"",HYPERLINK("#"&amp;RIGHT(CELL("adresse",OFFSET(DMAV_Dienste!$M$6,E826-1,0)),LEN(CELL("adresse",OFFSET(DMAV_Dienste!$M$6,E826-1,0)))-FIND("]",CELL("adresse",OFFSET(DMAV_Dienste!$M$6,E826-1,0)))),"Dienst")),HYPERLINK("#"&amp;RIGHT(CELL("adresse",OFFSET(DMAV_Modell!$N$6,B826-1,0)),LEN(CELL("adresse",OFFSET(DMAV_Modell!$N$6,B826-1,0)))-FIND("]",CELL("adresse",OFFSET(DMAV_Modell!$N$6,B826-1,0)))),"Modell"))</f>
        <v>Modell</v>
      </c>
      <c r="K826" s="61" t="str" cm="1">
        <f t="array" ref="K826">IF($B826=0,IF($E826=0,"",IF(INDEX(DMAV_Dienste!P$6:P$140,$E826)="","",INDEX(DMAV_Dienste!P$6:P$140,$E826))),IF(INDEX(DMAV_Modell!Q$6:Q$838,$B826)="","",INDEX(DMAV_Modell!Q$6:Q$838,$B826)))</f>
        <v>CLASS.CONSTRAINT</v>
      </c>
      <c r="L826" s="62" t="str" cm="1">
        <f t="array" ref="L826">IF($B826=0,IF($E826=0,"",IF(INDEX(DMAV_Dienste!O$6:O$140,$E826)="","",INDEX(DMAV_Dienste!O$6:O$140,$E826))),IF(INDEX(DMAV_Modell!P$6:P$838,$B826)="","",INDEX(DMAV_Modell!P$6:P$838,$B826)))</f>
        <v>Bodenbedeckung</v>
      </c>
      <c r="M826" s="62" t="str" cm="1">
        <f t="array" ref="M826">IF($B826=0,IF($E826=0,"",IF(INDEX(DMAV_Dienste!Q$6:Q$140,$E826)="","",INDEX(DMAV_Dienste!Q$6:Q$140,$E826))),IF(INDEX(DMAV_Modell!R$6:R$838,$B826)="","",INDEX(DMAV_Modell!R$6:R$838,$B826)))</f>
        <v>Messpunkt</v>
      </c>
      <c r="N826" s="62" t="str" cm="1">
        <f t="array" ref="N826">IF($B826=0,IF($E826=0,"",IF(INDEX(DMAV_Dienste!T$6:T$140,$E826)="","",INDEX(DMAV_Dienste!T$6:T$140,$E826))),IF(INDEX(DMAV_Modell!U$6:U$838,$B826)="","",INDEX(DMAV_Modell!U$6:U$838,$B826)))</f>
        <v>DEFINED(@PH1@)==DEFINED(@PH2@)</v>
      </c>
      <c r="O826" s="63" t="str" cm="1">
        <f t="array" aca="1" ref="O826" ca="1">IF(C826=0,IF(F826=0,"",HYPERLINK("#"&amp;RIGHT(CELL("adresse",OFFSET(DMAV_Dienste!$M$6,F826-1,0)),LEN(CELL("adresse",OFFSET(DMAV_Dienste!$M$6,F826-1,0)))-FIND("]",CELL("adresse",OFFSET(DMAV_Dienste!$M$6,F826-1,0)))),"Structure")),HYPERLINK("#"&amp;RIGHT(CELL("adresse",OFFSET(DMAV_Modell!$N$6,C826-1,0)),LEN(CELL("adresse",OFFSET(DMAV_Modell!$N$6,C826-1,0)))-FIND("]",CELL("adresse",OFFSET(DMAV_Modell!$N$6,C826-1,0)))),"Structure"))</f>
        <v/>
      </c>
      <c r="P826" s="64" t="str" cm="1">
        <f t="array" aca="1" ref="P826" ca="1">IF(D826=0,IF(G826=0,"",HYPERLINK("#"&amp;RIGHT(CELL("adresse",OFFSET(DMAV_Dienste!$M$6,G826-1,0)),LEN(CELL("adresse",OFFSET(DMAV_Dienste!$M$6,G826-1,0)))-FIND("]",CELL("adresse",OFFSET(DMAV_Dienste!$M$6,G826-1,0)))),"Substructure")),HYPERLINK("#"&amp;RIGHT(CELL("adresse",OFFSET(DMAV_Modell!$N$6,D826-1,0)),LEN(CELL("adresse",OFFSET(DMAV_Modell!$N$6,D826-1,0)))-FIND("]",CELL("adresse",OFFSET(DMAV_Modell!$N$6,D826-1,0)))),"Substructure"))</f>
        <v/>
      </c>
      <c r="R826" s="80"/>
      <c r="T826" s="93"/>
      <c r="U826" s="94"/>
      <c r="V826" s="95"/>
      <c r="W826" s="96"/>
      <c r="Y826" s="85"/>
      <c r="Z826" s="86"/>
      <c r="AA826" s="87"/>
      <c r="AB826" s="88"/>
      <c r="AD826" s="77"/>
      <c r="AF826" s="54" t="str" cm="1">
        <f t="array" aca="1" ref="AF826" ca="1">IF(H826=0,"",HYPERLINK("#"&amp;RIGHT(CELL("adresse",OFFSET('DM01-AV-CH'!$G$6,H826-1,0)),LEN(CELL("adresse",OFFSET('DM01-AV-CH'!$G$6,H826-1,0)))-FIND("]",CELL("adresse",OFFSET('DM01-AV-CH'!$G$6,H826-1,0)))),"Modell"))</f>
        <v>Modell</v>
      </c>
      <c r="AG826" s="72" t="str" cm="1">
        <f t="array" ref="AG826">IF($H826=0,"",IF(INDEX('DM01-AV-CH'!G$6:G$834,$H826)="","",INDEX('DM01-AV-CH'!G$6:G$834,$H826)))</f>
        <v>Bodenbedeckung</v>
      </c>
      <c r="AH826" s="73" t="str" cm="1">
        <f t="array" ref="AH826">IF($H826=0,"",IF(INDEX('DM01-AV-CH'!H$6:H$834,$H826)="","",INDEX('DM01-AV-CH'!H$6:H$834,$H826)))</f>
        <v>EinzelpunktPos</v>
      </c>
      <c r="AI826" s="74" t="str" cm="1">
        <f t="array" ref="AI826">IF($H826=0,"",IF(INDEX('DM01-AV-CH'!I$6:I$834,$H826)="","",INDEX('DM01-AV-CH'!I$6:I$834,$H826)))</f>
        <v>EinzelpunktPos_von</v>
      </c>
    </row>
    <row r="827" spans="1:35" x14ac:dyDescent="0.25">
      <c r="A827" s="57">
        <v>822</v>
      </c>
      <c r="B827" s="57">
        <f>IF($A827="","",IF(_xlfn.XLOOKUP($A827,Korrelation!$D$4:$D$1197,Korrelation!E$4:E$1197,"-",0)="-",0,MATCH(_xlfn.XLOOKUP($A827,Korrelation!$D$4:$D$1197,Korrelation!E$4:E$1197,"",0),DMAV_Modell!$G$6:$G$677,0)))</f>
        <v>455</v>
      </c>
      <c r="C827" s="57">
        <f>IF($A827="","",IF(_xlfn.XLOOKUP($A827,Korrelation!$D$4:$D$1197,Korrelation!F$4:F$1197,"-",0)="-",0,MATCH(_xlfn.XLOOKUP($A827,Korrelation!$D$4:$D$1197,Korrelation!F$4:F$1197,"",0),DMAV_Modell!$G$6:$G$677,0)))</f>
        <v>0</v>
      </c>
      <c r="D827" s="57">
        <f>IF($A827="","",IF(_xlfn.XLOOKUP($A827,Korrelation!$D$4:$D$1197,Korrelation!G$4:G$1197,"-",0)="-",0,MATCH(_xlfn.XLOOKUP($A827,Korrelation!$D$4:$D$1197,Korrelation!G$4:G$1197,"",0),DMAV_Modell!$G$6:$G$677,0)))</f>
        <v>0</v>
      </c>
      <c r="E827" s="57">
        <f>IF($A827="","",IF(_xlfn.XLOOKUP($A827,Korrelation!$D$4:$D$1197,Korrelation!H$4:H$1197,"-",0)="-",0,MATCH(_xlfn.XLOOKUP($A827,Korrelation!$D$4:$D$1197,Korrelation!H$4:H$1197,"",0),DMAV_Dienste!$F$6:$F$140,0)))</f>
        <v>0</v>
      </c>
      <c r="F827" s="57">
        <f>IF($A827="","",IF(_xlfn.XLOOKUP($A827,Korrelation!$D$4:$D$1197,Korrelation!I$4:I$1197,"-",0)="-",0,MATCH(_xlfn.XLOOKUP($A827,Korrelation!$D$4:$D$1197,Korrelation!I$4:I$1197,"",0),DMAV_Dienste!$F$6:$F$140,0)))</f>
        <v>0</v>
      </c>
      <c r="G827" s="57">
        <f>IF($A827="","",IF(_xlfn.XLOOKUP($A827,Korrelation!$D$4:$D$1197,Korrelation!J$4:J$1197,"-",0)="-",0,MATCH(_xlfn.XLOOKUP($A827,Korrelation!$D$4:$D$1197,Korrelation!J$4:J$1197,"",0),DMAV_Dienste!$F$6:$F$140,0)))</f>
        <v>0</v>
      </c>
      <c r="H827" s="57">
        <f>IF($A827="","",IF(_xlfn.XLOOKUP($A827,Korrelation!$D$4:$D$1197,Korrelation!K$4:K$1197,"-",0)="-",0,MATCH(_xlfn.XLOOKUP($A827,Korrelation!$D$4:$D$1197,Korrelation!K$4:K$1197,"",0),'DM01-AV-CH'!$A$6:$A$834,0)))</f>
        <v>257</v>
      </c>
      <c r="J827" s="54" t="str" cm="1">
        <f t="array" aca="1" ref="J827" ca="1">IF(B827=0,IF(E827=0,"",HYPERLINK("#"&amp;RIGHT(CELL("adresse",OFFSET(DMAV_Dienste!$M$6,E827-1,0)),LEN(CELL("adresse",OFFSET(DMAV_Dienste!$M$6,E827-1,0)))-FIND("]",CELL("adresse",OFFSET(DMAV_Dienste!$M$6,E827-1,0)))),"Dienst")),HYPERLINK("#"&amp;RIGHT(CELL("adresse",OFFSET(DMAV_Modell!$N$6,B827-1,0)),LEN(CELL("adresse",OFFSET(DMAV_Modell!$N$6,B827-1,0)))-FIND("]",CELL("adresse",OFFSET(DMAV_Modell!$N$6,B827-1,0)))),"Modell"))</f>
        <v>Modell</v>
      </c>
      <c r="K827" s="61" t="str" cm="1">
        <f t="array" ref="K827">IF($B827=0,IF($E827=0,"",IF(INDEX(DMAV_Dienste!P$6:P$140,$E827)="","",INDEX(DMAV_Dienste!P$6:P$140,$E827))),IF(INDEX(DMAV_Modell!Q$6:Q$838,$B827)="","",INDEX(DMAV_Modell!Q$6:Q$838,$B827)))</f>
        <v>CLASS.CONSTRAINT</v>
      </c>
      <c r="L827" s="62" t="str" cm="1">
        <f t="array" ref="L827">IF($B827=0,IF($E827=0,"",IF(INDEX(DMAV_Dienste!O$6:O$140,$E827)="","",INDEX(DMAV_Dienste!O$6:O$140,$E827))),IF(INDEX(DMAV_Modell!P$6:P$838,$B827)="","",INDEX(DMAV_Modell!P$6:P$838,$B827)))</f>
        <v>Bodenbedeckung</v>
      </c>
      <c r="M827" s="62" t="str" cm="1">
        <f t="array" ref="M827">IF($B827=0,IF($E827=0,"",IF(INDEX(DMAV_Dienste!Q$6:Q$140,$E827)="","",INDEX(DMAV_Dienste!Q$6:Q$140,$E827))),IF(INDEX(DMAV_Modell!R$6:R$838,$B827)="","",INDEX(DMAV_Modell!R$6:R$838,$B827)))</f>
        <v>Messpunkt</v>
      </c>
      <c r="N827" s="62" t="str" cm="1">
        <f t="array" ref="N827">IF($B827=0,IF($E827=0,"",IF(INDEX(DMAV_Dienste!T$6:T$140,$E827)="","",INDEX(DMAV_Dienste!T$6:T$140,$E827))),IF(INDEX(DMAV_Modell!U$6:U$838,$B827)="","",INDEX(DMAV_Modell!U$6:U$838,$B827)))</f>
        <v>DEFINED(@PH1@)==DEFINED(@PH2@)</v>
      </c>
      <c r="O827" s="63" t="str" cm="1">
        <f t="array" aca="1" ref="O827" ca="1">IF(C827=0,IF(F827=0,"",HYPERLINK("#"&amp;RIGHT(CELL("adresse",OFFSET(DMAV_Dienste!$M$6,F827-1,0)),LEN(CELL("adresse",OFFSET(DMAV_Dienste!$M$6,F827-1,0)))-FIND("]",CELL("adresse",OFFSET(DMAV_Dienste!$M$6,F827-1,0)))),"Structure")),HYPERLINK("#"&amp;RIGHT(CELL("adresse",OFFSET(DMAV_Modell!$N$6,C827-1,0)),LEN(CELL("adresse",OFFSET(DMAV_Modell!$N$6,C827-1,0)))-FIND("]",CELL("adresse",OFFSET(DMAV_Modell!$N$6,C827-1,0)))),"Structure"))</f>
        <v/>
      </c>
      <c r="P827" s="64" t="str" cm="1">
        <f t="array" aca="1" ref="P827" ca="1">IF(D827=0,IF(G827=0,"",HYPERLINK("#"&amp;RIGHT(CELL("adresse",OFFSET(DMAV_Dienste!$M$6,G827-1,0)),LEN(CELL("adresse",OFFSET(DMAV_Dienste!$M$6,G827-1,0)))-FIND("]",CELL("adresse",OFFSET(DMAV_Dienste!$M$6,G827-1,0)))),"Substructure")),HYPERLINK("#"&amp;RIGHT(CELL("adresse",OFFSET(DMAV_Modell!$N$6,D827-1,0)),LEN(CELL("adresse",OFFSET(DMAV_Modell!$N$6,D827-1,0)))-FIND("]",CELL("adresse",OFFSET(DMAV_Modell!$N$6,D827-1,0)))),"Substructure"))</f>
        <v/>
      </c>
      <c r="R827" s="80"/>
      <c r="T827" s="93"/>
      <c r="U827" s="94"/>
      <c r="V827" s="95"/>
      <c r="W827" s="96"/>
      <c r="Y827" s="85"/>
      <c r="Z827" s="86"/>
      <c r="AA827" s="87"/>
      <c r="AB827" s="88"/>
      <c r="AD827" s="77"/>
      <c r="AF827" s="54" t="str" cm="1">
        <f t="array" aca="1" ref="AF827" ca="1">IF(H827=0,"",HYPERLINK("#"&amp;RIGHT(CELL("adresse",OFFSET('DM01-AV-CH'!$G$6,H827-1,0)),LEN(CELL("adresse",OFFSET('DM01-AV-CH'!$G$6,H827-1,0)))-FIND("]",CELL("adresse",OFFSET('DM01-AV-CH'!$G$6,H827-1,0)))),"Modell"))</f>
        <v>Modell</v>
      </c>
      <c r="AG827" s="72" t="str" cm="1">
        <f t="array" ref="AG827">IF($H827=0,"",IF(INDEX('DM01-AV-CH'!G$6:G$834,$H827)="","",INDEX('DM01-AV-CH'!G$6:G$834,$H827)))</f>
        <v>Bodenbedeckung</v>
      </c>
      <c r="AH827" s="73" t="str" cm="1">
        <f t="array" ref="AH827">IF($H827=0,"",IF(INDEX('DM01-AV-CH'!H$6:H$834,$H827)="","",INDEX('DM01-AV-CH'!H$6:H$834,$H827)))</f>
        <v>EinzelpunktPos</v>
      </c>
      <c r="AI827" s="74" t="str" cm="1">
        <f t="array" ref="AI827">IF($H827=0,"",IF(INDEX('DM01-AV-CH'!I$6:I$834,$H827)="","",INDEX('DM01-AV-CH'!I$6:I$834,$H827)))</f>
        <v>Pos</v>
      </c>
    </row>
    <row r="828" spans="1:35" x14ac:dyDescent="0.25">
      <c r="A828" s="57">
        <v>823</v>
      </c>
      <c r="B828" s="57">
        <f>IF($A828="","",IF(_xlfn.XLOOKUP($A828,Korrelation!$D$4:$D$1197,Korrelation!E$4:E$1197,"-",0)="-",0,MATCH(_xlfn.XLOOKUP($A828,Korrelation!$D$4:$D$1197,Korrelation!E$4:E$1197,"",0),DMAV_Modell!$G$6:$G$677,0)))</f>
        <v>456</v>
      </c>
      <c r="C828" s="57">
        <f>IF($A828="","",IF(_xlfn.XLOOKUP($A828,Korrelation!$D$4:$D$1197,Korrelation!F$4:F$1197,"-",0)="-",0,MATCH(_xlfn.XLOOKUP($A828,Korrelation!$D$4:$D$1197,Korrelation!F$4:F$1197,"",0),DMAV_Modell!$G$6:$G$677,0)))</f>
        <v>0</v>
      </c>
      <c r="D828" s="57">
        <f>IF($A828="","",IF(_xlfn.XLOOKUP($A828,Korrelation!$D$4:$D$1197,Korrelation!G$4:G$1197,"-",0)="-",0,MATCH(_xlfn.XLOOKUP($A828,Korrelation!$D$4:$D$1197,Korrelation!G$4:G$1197,"",0),DMAV_Modell!$G$6:$G$677,0)))</f>
        <v>0</v>
      </c>
      <c r="E828" s="57">
        <f>IF($A828="","",IF(_xlfn.XLOOKUP($A828,Korrelation!$D$4:$D$1197,Korrelation!H$4:H$1197,"-",0)="-",0,MATCH(_xlfn.XLOOKUP($A828,Korrelation!$D$4:$D$1197,Korrelation!H$4:H$1197,"",0),DMAV_Dienste!$F$6:$F$140,0)))</f>
        <v>0</v>
      </c>
      <c r="F828" s="57">
        <f>IF($A828="","",IF(_xlfn.XLOOKUP($A828,Korrelation!$D$4:$D$1197,Korrelation!I$4:I$1197,"-",0)="-",0,MATCH(_xlfn.XLOOKUP($A828,Korrelation!$D$4:$D$1197,Korrelation!I$4:I$1197,"",0),DMAV_Dienste!$F$6:$F$140,0)))</f>
        <v>0</v>
      </c>
      <c r="G828" s="57">
        <f>IF($A828="","",IF(_xlfn.XLOOKUP($A828,Korrelation!$D$4:$D$1197,Korrelation!J$4:J$1197,"-",0)="-",0,MATCH(_xlfn.XLOOKUP($A828,Korrelation!$D$4:$D$1197,Korrelation!J$4:J$1197,"",0),DMAV_Dienste!$F$6:$F$140,0)))</f>
        <v>0</v>
      </c>
      <c r="H828" s="57">
        <f>IF($A828="","",IF(_xlfn.XLOOKUP($A828,Korrelation!$D$4:$D$1197,Korrelation!K$4:K$1197,"-",0)="-",0,MATCH(_xlfn.XLOOKUP($A828,Korrelation!$D$4:$D$1197,Korrelation!K$4:K$1197,"",0),'DM01-AV-CH'!$A$6:$A$834,0)))</f>
        <v>258</v>
      </c>
      <c r="J828" s="54" t="str" cm="1">
        <f t="array" aca="1" ref="J828" ca="1">IF(B828=0,IF(E828=0,"",HYPERLINK("#"&amp;RIGHT(CELL("adresse",OFFSET(DMAV_Dienste!$M$6,E828-1,0)),LEN(CELL("adresse",OFFSET(DMAV_Dienste!$M$6,E828-1,0)))-FIND("]",CELL("adresse",OFFSET(DMAV_Dienste!$M$6,E828-1,0)))),"Dienst")),HYPERLINK("#"&amp;RIGHT(CELL("adresse",OFFSET(DMAV_Modell!$N$6,B828-1,0)),LEN(CELL("adresse",OFFSET(DMAV_Modell!$N$6,B828-1,0)))-FIND("]",CELL("adresse",OFFSET(DMAV_Modell!$N$6,B828-1,0)))),"Modell"))</f>
        <v>Modell</v>
      </c>
      <c r="K828" s="61" t="str" cm="1">
        <f t="array" ref="K828">IF($B828=0,IF($E828=0,"",IF(INDEX(DMAV_Dienste!P$6:P$140,$E828)="","",INDEX(DMAV_Dienste!P$6:P$140,$E828))),IF(INDEX(DMAV_Modell!Q$6:Q$838,$B828)="","",INDEX(DMAV_Modell!Q$6:Q$838,$B828)))</f>
        <v>ASSOCIATION</v>
      </c>
      <c r="L828" s="62" t="str" cm="1">
        <f t="array" ref="L828">IF($B828=0,IF($E828=0,"",IF(INDEX(DMAV_Dienste!O$6:O$140,$E828)="","",INDEX(DMAV_Dienste!O$6:O$140,$E828))),IF(INDEX(DMAV_Modell!P$6:P$838,$B828)="","",INDEX(DMAV_Modell!P$6:P$838,$B828)))</f>
        <v>Bodenbedeckung</v>
      </c>
      <c r="M828" s="62" t="str" cm="1">
        <f t="array" ref="M828">IF($B828=0,IF($E828=0,"",IF(INDEX(DMAV_Dienste!Q$6:Q$140,$E828)="","",INDEX(DMAV_Dienste!Q$6:Q$140,$E828))),IF(INDEX(DMAV_Modell!R$6:R$838,$B828)="","",INDEX(DMAV_Modell!R$6:R$838,$B828)))</f>
        <v>Entstehung_Messpunkt</v>
      </c>
      <c r="N828" s="62" t="str" cm="1">
        <f t="array" ref="N828">IF($B828=0,IF($E828=0,"",IF(INDEX(DMAV_Dienste!T$6:T$140,$E828)="","",INDEX(DMAV_Dienste!T$6:T$140,$E828))),IF(INDEX(DMAV_Modell!U$6:U$838,$B828)="","",INDEX(DMAV_Modell!U$6:U$838,$B828)))</f>
        <v>Entstehung</v>
      </c>
      <c r="O828" s="63" t="str" cm="1">
        <f t="array" aca="1" ref="O828" ca="1">IF(C828=0,IF(F828=0,"",HYPERLINK("#"&amp;RIGHT(CELL("adresse",OFFSET(DMAV_Dienste!$M$6,F828-1,0)),LEN(CELL("adresse",OFFSET(DMAV_Dienste!$M$6,F828-1,0)))-FIND("]",CELL("adresse",OFFSET(DMAV_Dienste!$M$6,F828-1,0)))),"Structure")),HYPERLINK("#"&amp;RIGHT(CELL("adresse",OFFSET(DMAV_Modell!$N$6,C828-1,0)),LEN(CELL("adresse",OFFSET(DMAV_Modell!$N$6,C828-1,0)))-FIND("]",CELL("adresse",OFFSET(DMAV_Modell!$N$6,C828-1,0)))),"Structure"))</f>
        <v/>
      </c>
      <c r="P828" s="64" t="str" cm="1">
        <f t="array" aca="1" ref="P828" ca="1">IF(D828=0,IF(G828=0,"",HYPERLINK("#"&amp;RIGHT(CELL("adresse",OFFSET(DMAV_Dienste!$M$6,G828-1,0)),LEN(CELL("adresse",OFFSET(DMAV_Dienste!$M$6,G828-1,0)))-FIND("]",CELL("adresse",OFFSET(DMAV_Dienste!$M$6,G828-1,0)))),"Substructure")),HYPERLINK("#"&amp;RIGHT(CELL("adresse",OFFSET(DMAV_Modell!$N$6,D828-1,0)),LEN(CELL("adresse",OFFSET(DMAV_Modell!$N$6,D828-1,0)))-FIND("]",CELL("adresse",OFFSET(DMAV_Modell!$N$6,D828-1,0)))),"Substructure"))</f>
        <v/>
      </c>
      <c r="R828" s="80"/>
      <c r="T828" s="93"/>
      <c r="U828" s="94"/>
      <c r="V828" s="95"/>
      <c r="W828" s="96"/>
      <c r="Y828" s="85"/>
      <c r="Z828" s="86"/>
      <c r="AA828" s="87"/>
      <c r="AB828" s="88"/>
      <c r="AD828" s="77"/>
      <c r="AF828" s="54" t="str" cm="1">
        <f t="array" aca="1" ref="AF828" ca="1">IF(H828=0,"",HYPERLINK("#"&amp;RIGHT(CELL("adresse",OFFSET('DM01-AV-CH'!$G$6,H828-1,0)),LEN(CELL("adresse",OFFSET('DM01-AV-CH'!$G$6,H828-1,0)))-FIND("]",CELL("adresse",OFFSET('DM01-AV-CH'!$G$6,H828-1,0)))),"Modell"))</f>
        <v>Modell</v>
      </c>
      <c r="AG828" s="72" t="str" cm="1">
        <f t="array" ref="AG828">IF($H828=0,"",IF(INDEX('DM01-AV-CH'!G$6:G$834,$H828)="","",INDEX('DM01-AV-CH'!G$6:G$834,$H828)))</f>
        <v>Bodenbedeckung</v>
      </c>
      <c r="AH828" s="73" t="str" cm="1">
        <f t="array" ref="AH828">IF($H828=0,"",IF(INDEX('DM01-AV-CH'!H$6:H$834,$H828)="","",INDEX('DM01-AV-CH'!H$6:H$834,$H828)))</f>
        <v>EinzelpunktPos</v>
      </c>
      <c r="AI828" s="74" t="str" cm="1">
        <f t="array" ref="AI828">IF($H828=0,"",IF(INDEX('DM01-AV-CH'!I$6:I$834,$H828)="","",INDEX('DM01-AV-CH'!I$6:I$834,$H828)))</f>
        <v>Ori</v>
      </c>
    </row>
    <row r="829" spans="1:35" x14ac:dyDescent="0.25">
      <c r="A829" s="57">
        <v>824</v>
      </c>
      <c r="B829" s="57">
        <f>IF($A829="","",IF(_xlfn.XLOOKUP($A829,Korrelation!$D$4:$D$1197,Korrelation!E$4:E$1197,"-",0)="-",0,MATCH(_xlfn.XLOOKUP($A829,Korrelation!$D$4:$D$1197,Korrelation!E$4:E$1197,"",0),DMAV_Modell!$G$6:$G$677,0)))</f>
        <v>457</v>
      </c>
      <c r="C829" s="57">
        <f>IF($A829="","",IF(_xlfn.XLOOKUP($A829,Korrelation!$D$4:$D$1197,Korrelation!F$4:F$1197,"-",0)="-",0,MATCH(_xlfn.XLOOKUP($A829,Korrelation!$D$4:$D$1197,Korrelation!F$4:F$1197,"",0),DMAV_Modell!$G$6:$G$677,0)))</f>
        <v>0</v>
      </c>
      <c r="D829" s="57">
        <f>IF($A829="","",IF(_xlfn.XLOOKUP($A829,Korrelation!$D$4:$D$1197,Korrelation!G$4:G$1197,"-",0)="-",0,MATCH(_xlfn.XLOOKUP($A829,Korrelation!$D$4:$D$1197,Korrelation!G$4:G$1197,"",0),DMAV_Modell!$G$6:$G$677,0)))</f>
        <v>0</v>
      </c>
      <c r="E829" s="57">
        <f>IF($A829="","",IF(_xlfn.XLOOKUP($A829,Korrelation!$D$4:$D$1197,Korrelation!H$4:H$1197,"-",0)="-",0,MATCH(_xlfn.XLOOKUP($A829,Korrelation!$D$4:$D$1197,Korrelation!H$4:H$1197,"",0),DMAV_Dienste!$F$6:$F$140,0)))</f>
        <v>0</v>
      </c>
      <c r="F829" s="57">
        <f>IF($A829="","",IF(_xlfn.XLOOKUP($A829,Korrelation!$D$4:$D$1197,Korrelation!I$4:I$1197,"-",0)="-",0,MATCH(_xlfn.XLOOKUP($A829,Korrelation!$D$4:$D$1197,Korrelation!I$4:I$1197,"",0),DMAV_Dienste!$F$6:$F$140,0)))</f>
        <v>0</v>
      </c>
      <c r="G829" s="57">
        <f>IF($A829="","",IF(_xlfn.XLOOKUP($A829,Korrelation!$D$4:$D$1197,Korrelation!J$4:J$1197,"-",0)="-",0,MATCH(_xlfn.XLOOKUP($A829,Korrelation!$D$4:$D$1197,Korrelation!J$4:J$1197,"",0),DMAV_Dienste!$F$6:$F$140,0)))</f>
        <v>0</v>
      </c>
      <c r="H829" s="57">
        <f>IF($A829="","",IF(_xlfn.XLOOKUP($A829,Korrelation!$D$4:$D$1197,Korrelation!K$4:K$1197,"-",0)="-",0,MATCH(_xlfn.XLOOKUP($A829,Korrelation!$D$4:$D$1197,Korrelation!K$4:K$1197,"",0),'DM01-AV-CH'!$A$6:$A$834,0)))</f>
        <v>259</v>
      </c>
      <c r="J829" s="54" t="str" cm="1">
        <f t="array" aca="1" ref="J829" ca="1">IF(B829=0,IF(E829=0,"",HYPERLINK("#"&amp;RIGHT(CELL("adresse",OFFSET(DMAV_Dienste!$M$6,E829-1,0)),LEN(CELL("adresse",OFFSET(DMAV_Dienste!$M$6,E829-1,0)))-FIND("]",CELL("adresse",OFFSET(DMAV_Dienste!$M$6,E829-1,0)))),"Dienst")),HYPERLINK("#"&amp;RIGHT(CELL("adresse",OFFSET(DMAV_Modell!$N$6,B829-1,0)),LEN(CELL("adresse",OFFSET(DMAV_Modell!$N$6,B829-1,0)))-FIND("]",CELL("adresse",OFFSET(DMAV_Modell!$N$6,B829-1,0)))),"Modell"))</f>
        <v>Modell</v>
      </c>
      <c r="K829" s="61" t="str" cm="1">
        <f t="array" ref="K829">IF($B829=0,IF($E829=0,"",IF(INDEX(DMAV_Dienste!P$6:P$140,$E829)="","",INDEX(DMAV_Dienste!P$6:P$140,$E829))),IF(INDEX(DMAV_Modell!Q$6:Q$838,$B829)="","",INDEX(DMAV_Modell!Q$6:Q$838,$B829)))</f>
        <v>ASSOCIATION</v>
      </c>
      <c r="L829" s="62" t="str" cm="1">
        <f t="array" ref="L829">IF($B829=0,IF($E829=0,"",IF(INDEX(DMAV_Dienste!O$6:O$140,$E829)="","",INDEX(DMAV_Dienste!O$6:O$140,$E829))),IF(INDEX(DMAV_Modell!P$6:P$838,$B829)="","",INDEX(DMAV_Modell!P$6:P$838,$B829)))</f>
        <v>Bodenbedeckung</v>
      </c>
      <c r="M829" s="62" t="str" cm="1">
        <f t="array" ref="M829">IF($B829=0,IF($E829=0,"",IF(INDEX(DMAV_Dienste!Q$6:Q$140,$E829)="","",INDEX(DMAV_Dienste!Q$6:Q$140,$E829))),IF(INDEX(DMAV_Modell!R$6:R$838,$B829)="","",INDEX(DMAV_Modell!R$6:R$838,$B829)))</f>
        <v>Entstehung_Messpunkt</v>
      </c>
      <c r="N829" s="62" t="str" cm="1">
        <f t="array" ref="N829">IF($B829=0,IF($E829=0,"",IF(INDEX(DMAV_Dienste!T$6:T$140,$E829)="","",INDEX(DMAV_Dienste!T$6:T$140,$E829))),IF(INDEX(DMAV_Modell!U$6:U$838,$B829)="","",INDEX(DMAV_Modell!U$6:U$838,$B829)))</f>
        <v>entstehender_Messpunkt</v>
      </c>
      <c r="O829" s="63" t="str" cm="1">
        <f t="array" aca="1" ref="O829" ca="1">IF(C829=0,IF(F829=0,"",HYPERLINK("#"&amp;RIGHT(CELL("adresse",OFFSET(DMAV_Dienste!$M$6,F829-1,0)),LEN(CELL("adresse",OFFSET(DMAV_Dienste!$M$6,F829-1,0)))-FIND("]",CELL("adresse",OFFSET(DMAV_Dienste!$M$6,F829-1,0)))),"Structure")),HYPERLINK("#"&amp;RIGHT(CELL("adresse",OFFSET(DMAV_Modell!$N$6,C829-1,0)),LEN(CELL("adresse",OFFSET(DMAV_Modell!$N$6,C829-1,0)))-FIND("]",CELL("adresse",OFFSET(DMAV_Modell!$N$6,C829-1,0)))),"Structure"))</f>
        <v/>
      </c>
      <c r="P829" s="64" t="str" cm="1">
        <f t="array" aca="1" ref="P829" ca="1">IF(D829=0,IF(G829=0,"",HYPERLINK("#"&amp;RIGHT(CELL("adresse",OFFSET(DMAV_Dienste!$M$6,G829-1,0)),LEN(CELL("adresse",OFFSET(DMAV_Dienste!$M$6,G829-1,0)))-FIND("]",CELL("adresse",OFFSET(DMAV_Dienste!$M$6,G829-1,0)))),"Substructure")),HYPERLINK("#"&amp;RIGHT(CELL("adresse",OFFSET(DMAV_Modell!$N$6,D829-1,0)),LEN(CELL("adresse",OFFSET(DMAV_Modell!$N$6,D829-1,0)))-FIND("]",CELL("adresse",OFFSET(DMAV_Modell!$N$6,D829-1,0)))),"Substructure"))</f>
        <v/>
      </c>
      <c r="R829" s="80"/>
      <c r="T829" s="93"/>
      <c r="U829" s="94"/>
      <c r="V829" s="95"/>
      <c r="W829" s="96"/>
      <c r="Y829" s="85"/>
      <c r="Z829" s="86"/>
      <c r="AA829" s="87"/>
      <c r="AB829" s="88"/>
      <c r="AD829" s="77"/>
      <c r="AF829" s="54" t="str" cm="1">
        <f t="array" aca="1" ref="AF829" ca="1">IF(H829=0,"",HYPERLINK("#"&amp;RIGHT(CELL("adresse",OFFSET('DM01-AV-CH'!$G$6,H829-1,0)),LEN(CELL("adresse",OFFSET('DM01-AV-CH'!$G$6,H829-1,0)))-FIND("]",CELL("adresse",OFFSET('DM01-AV-CH'!$G$6,H829-1,0)))),"Modell"))</f>
        <v>Modell</v>
      </c>
      <c r="AG829" s="72" t="str" cm="1">
        <f t="array" ref="AG829">IF($H829=0,"",IF(INDEX('DM01-AV-CH'!G$6:G$834,$H829)="","",INDEX('DM01-AV-CH'!G$6:G$834,$H829)))</f>
        <v>Bodenbedeckung</v>
      </c>
      <c r="AH829" s="73" t="str" cm="1">
        <f t="array" ref="AH829">IF($H829=0,"",IF(INDEX('DM01-AV-CH'!H$6:H$834,$H829)="","",INDEX('DM01-AV-CH'!H$6:H$834,$H829)))</f>
        <v>EinzelpunktPos</v>
      </c>
      <c r="AI829" s="74" t="str" cm="1">
        <f t="array" ref="AI829">IF($H829=0,"",IF(INDEX('DM01-AV-CH'!I$6:I$834,$H829)="","",INDEX('DM01-AV-CH'!I$6:I$834,$H829)))</f>
        <v>HAli</v>
      </c>
    </row>
    <row r="830" spans="1:35" x14ac:dyDescent="0.25">
      <c r="A830" s="57">
        <v>825</v>
      </c>
      <c r="B830" s="57">
        <f>IF($A830="","",IF(_xlfn.XLOOKUP($A830,Korrelation!$D$4:$D$1197,Korrelation!E$4:E$1197,"-",0)="-",0,MATCH(_xlfn.XLOOKUP($A830,Korrelation!$D$4:$D$1197,Korrelation!E$4:E$1197,"",0),DMAV_Modell!$G$6:$G$677,0)))</f>
        <v>458</v>
      </c>
      <c r="C830" s="57">
        <f>IF($A830="","",IF(_xlfn.XLOOKUP($A830,Korrelation!$D$4:$D$1197,Korrelation!F$4:F$1197,"-",0)="-",0,MATCH(_xlfn.XLOOKUP($A830,Korrelation!$D$4:$D$1197,Korrelation!F$4:F$1197,"",0),DMAV_Modell!$G$6:$G$677,0)))</f>
        <v>0</v>
      </c>
      <c r="D830" s="57">
        <f>IF($A830="","",IF(_xlfn.XLOOKUP($A830,Korrelation!$D$4:$D$1197,Korrelation!G$4:G$1197,"-",0)="-",0,MATCH(_xlfn.XLOOKUP($A830,Korrelation!$D$4:$D$1197,Korrelation!G$4:G$1197,"",0),DMAV_Modell!$G$6:$G$677,0)))</f>
        <v>0</v>
      </c>
      <c r="E830" s="57">
        <f>IF($A830="","",IF(_xlfn.XLOOKUP($A830,Korrelation!$D$4:$D$1197,Korrelation!H$4:H$1197,"-",0)="-",0,MATCH(_xlfn.XLOOKUP($A830,Korrelation!$D$4:$D$1197,Korrelation!H$4:H$1197,"",0),DMAV_Dienste!$F$6:$F$140,0)))</f>
        <v>0</v>
      </c>
      <c r="F830" s="57">
        <f>IF($A830="","",IF(_xlfn.XLOOKUP($A830,Korrelation!$D$4:$D$1197,Korrelation!I$4:I$1197,"-",0)="-",0,MATCH(_xlfn.XLOOKUP($A830,Korrelation!$D$4:$D$1197,Korrelation!I$4:I$1197,"",0),DMAV_Dienste!$F$6:$F$140,0)))</f>
        <v>0</v>
      </c>
      <c r="G830" s="57">
        <f>IF($A830="","",IF(_xlfn.XLOOKUP($A830,Korrelation!$D$4:$D$1197,Korrelation!J$4:J$1197,"-",0)="-",0,MATCH(_xlfn.XLOOKUP($A830,Korrelation!$D$4:$D$1197,Korrelation!J$4:J$1197,"",0),DMAV_Dienste!$F$6:$F$140,0)))</f>
        <v>0</v>
      </c>
      <c r="H830" s="57">
        <f>IF($A830="","",IF(_xlfn.XLOOKUP($A830,Korrelation!$D$4:$D$1197,Korrelation!K$4:K$1197,"-",0)="-",0,MATCH(_xlfn.XLOOKUP($A830,Korrelation!$D$4:$D$1197,Korrelation!K$4:K$1197,"",0),'DM01-AV-CH'!$A$6:$A$834,0)))</f>
        <v>260</v>
      </c>
      <c r="J830" s="54" t="str" cm="1">
        <f t="array" aca="1" ref="J830" ca="1">IF(B830=0,IF(E830=0,"",HYPERLINK("#"&amp;RIGHT(CELL("adresse",OFFSET(DMAV_Dienste!$M$6,E830-1,0)),LEN(CELL("adresse",OFFSET(DMAV_Dienste!$M$6,E830-1,0)))-FIND("]",CELL("adresse",OFFSET(DMAV_Dienste!$M$6,E830-1,0)))),"Dienst")),HYPERLINK("#"&amp;RIGHT(CELL("adresse",OFFSET(DMAV_Modell!$N$6,B830-1,0)),LEN(CELL("adresse",OFFSET(DMAV_Modell!$N$6,B830-1,0)))-FIND("]",CELL("adresse",OFFSET(DMAV_Modell!$N$6,B830-1,0)))),"Modell"))</f>
        <v>Modell</v>
      </c>
      <c r="K830" s="61" t="str" cm="1">
        <f t="array" ref="K830">IF($B830=0,IF($E830=0,"",IF(INDEX(DMAV_Dienste!P$6:P$140,$E830)="","",INDEX(DMAV_Dienste!P$6:P$140,$E830))),IF(INDEX(DMAV_Modell!Q$6:Q$838,$B830)="","",INDEX(DMAV_Modell!Q$6:Q$838,$B830)))</f>
        <v>IMPORTS</v>
      </c>
      <c r="L830" s="62" t="str" cm="1">
        <f t="array" ref="L830">IF($B830=0,IF($E830=0,"",IF(INDEX(DMAV_Dienste!O$6:O$140,$E830)="","",INDEX(DMAV_Dienste!O$6:O$140,$E830))),IF(INDEX(DMAV_Modell!P$6:P$838,$B830)="","",INDEX(DMAV_Modell!P$6:P$838,$B830)))</f>
        <v/>
      </c>
      <c r="M830" s="62" t="str" cm="1">
        <f t="array" ref="M830">IF($B830=0,IF($E830=0,"",IF(INDEX(DMAV_Dienste!Q$6:Q$140,$E830)="","",INDEX(DMAV_Dienste!Q$6:Q$140,$E830))),IF(INDEX(DMAV_Modell!R$6:R$838,$B830)="","",INDEX(DMAV_Modell!R$6:R$838,$B830)))</f>
        <v>GeometryCHLV95_V2</v>
      </c>
      <c r="N830" s="62" t="str" cm="1">
        <f t="array" ref="N830">IF($B830=0,IF($E830=0,"",IF(INDEX(DMAV_Dienste!T$6:T$140,$E830)="","",INDEX(DMAV_Dienste!T$6:T$140,$E830))),IF(INDEX(DMAV_Modell!U$6:U$838,$B830)="","",INDEX(DMAV_Modell!U$6:U$838,$B830)))</f>
        <v/>
      </c>
      <c r="O830" s="63" t="str" cm="1">
        <f t="array" aca="1" ref="O830" ca="1">IF(C830=0,IF(F830=0,"",HYPERLINK("#"&amp;RIGHT(CELL("adresse",OFFSET(DMAV_Dienste!$M$6,F830-1,0)),LEN(CELL("adresse",OFFSET(DMAV_Dienste!$M$6,F830-1,0)))-FIND("]",CELL("adresse",OFFSET(DMAV_Dienste!$M$6,F830-1,0)))),"Structure")),HYPERLINK("#"&amp;RIGHT(CELL("adresse",OFFSET(DMAV_Modell!$N$6,C830-1,0)),LEN(CELL("adresse",OFFSET(DMAV_Modell!$N$6,C830-1,0)))-FIND("]",CELL("adresse",OFFSET(DMAV_Modell!$N$6,C830-1,0)))),"Structure"))</f>
        <v/>
      </c>
      <c r="P830" s="64" t="str" cm="1">
        <f t="array" aca="1" ref="P830" ca="1">IF(D830=0,IF(G830=0,"",HYPERLINK("#"&amp;RIGHT(CELL("adresse",OFFSET(DMAV_Dienste!$M$6,G830-1,0)),LEN(CELL("adresse",OFFSET(DMAV_Dienste!$M$6,G830-1,0)))-FIND("]",CELL("adresse",OFFSET(DMAV_Dienste!$M$6,G830-1,0)))),"Substructure")),HYPERLINK("#"&amp;RIGHT(CELL("adresse",OFFSET(DMAV_Modell!$N$6,D830-1,0)),LEN(CELL("adresse",OFFSET(DMAV_Modell!$N$6,D830-1,0)))-FIND("]",CELL("adresse",OFFSET(DMAV_Modell!$N$6,D830-1,0)))),"Substructure"))</f>
        <v/>
      </c>
      <c r="R830" s="80"/>
      <c r="T830" s="93"/>
      <c r="U830" s="94"/>
      <c r="V830" s="95"/>
      <c r="W830" s="96"/>
      <c r="Y830" s="85"/>
      <c r="Z830" s="86"/>
      <c r="AA830" s="87"/>
      <c r="AB830" s="88"/>
      <c r="AD830" s="77"/>
      <c r="AF830" s="54" t="str" cm="1">
        <f t="array" aca="1" ref="AF830" ca="1">IF(H830=0,"",HYPERLINK("#"&amp;RIGHT(CELL("adresse",OFFSET('DM01-AV-CH'!$G$6,H830-1,0)),LEN(CELL("adresse",OFFSET('DM01-AV-CH'!$G$6,H830-1,0)))-FIND("]",CELL("adresse",OFFSET('DM01-AV-CH'!$G$6,H830-1,0)))),"Modell"))</f>
        <v>Modell</v>
      </c>
      <c r="AG830" s="72" t="str" cm="1">
        <f t="array" ref="AG830">IF($H830=0,"",IF(INDEX('DM01-AV-CH'!G$6:G$834,$H830)="","",INDEX('DM01-AV-CH'!G$6:G$834,$H830)))</f>
        <v>Bodenbedeckung</v>
      </c>
      <c r="AH830" s="73" t="str" cm="1">
        <f t="array" ref="AH830">IF($H830=0,"",IF(INDEX('DM01-AV-CH'!H$6:H$834,$H830)="","",INDEX('DM01-AV-CH'!H$6:H$834,$H830)))</f>
        <v>EinzelpunktPos</v>
      </c>
      <c r="AI830" s="74" t="str" cm="1">
        <f t="array" ref="AI830">IF($H830=0,"",IF(INDEX('DM01-AV-CH'!I$6:I$834,$H830)="","",INDEX('DM01-AV-CH'!I$6:I$834,$H830)))</f>
        <v>VAli</v>
      </c>
    </row>
    <row r="831" spans="1:35" x14ac:dyDescent="0.25">
      <c r="A831" s="57">
        <v>826</v>
      </c>
      <c r="B831" s="57">
        <f>IF($A831="","",IF(_xlfn.XLOOKUP($A831,Korrelation!$D$4:$D$1197,Korrelation!E$4:E$1197,"-",0)="-",0,MATCH(_xlfn.XLOOKUP($A831,Korrelation!$D$4:$D$1197,Korrelation!E$4:E$1197,"",0),DMAV_Modell!$G$6:$G$677,0)))</f>
        <v>459</v>
      </c>
      <c r="C831" s="57">
        <f>IF($A831="","",IF(_xlfn.XLOOKUP($A831,Korrelation!$D$4:$D$1197,Korrelation!F$4:F$1197,"-",0)="-",0,MATCH(_xlfn.XLOOKUP($A831,Korrelation!$D$4:$D$1197,Korrelation!F$4:F$1197,"",0),DMAV_Modell!$G$6:$G$677,0)))</f>
        <v>0</v>
      </c>
      <c r="D831" s="57">
        <f>IF($A831="","",IF(_xlfn.XLOOKUP($A831,Korrelation!$D$4:$D$1197,Korrelation!G$4:G$1197,"-",0)="-",0,MATCH(_xlfn.XLOOKUP($A831,Korrelation!$D$4:$D$1197,Korrelation!G$4:G$1197,"",0),DMAV_Modell!$G$6:$G$677,0)))</f>
        <v>0</v>
      </c>
      <c r="E831" s="57">
        <f>IF($A831="","",IF(_xlfn.XLOOKUP($A831,Korrelation!$D$4:$D$1197,Korrelation!H$4:H$1197,"-",0)="-",0,MATCH(_xlfn.XLOOKUP($A831,Korrelation!$D$4:$D$1197,Korrelation!H$4:H$1197,"",0),DMAV_Dienste!$F$6:$F$140,0)))</f>
        <v>0</v>
      </c>
      <c r="F831" s="57">
        <f>IF($A831="","",IF(_xlfn.XLOOKUP($A831,Korrelation!$D$4:$D$1197,Korrelation!I$4:I$1197,"-",0)="-",0,MATCH(_xlfn.XLOOKUP($A831,Korrelation!$D$4:$D$1197,Korrelation!I$4:I$1197,"",0),DMAV_Dienste!$F$6:$F$140,0)))</f>
        <v>0</v>
      </c>
      <c r="G831" s="57">
        <f>IF($A831="","",IF(_xlfn.XLOOKUP($A831,Korrelation!$D$4:$D$1197,Korrelation!J$4:J$1197,"-",0)="-",0,MATCH(_xlfn.XLOOKUP($A831,Korrelation!$D$4:$D$1197,Korrelation!J$4:J$1197,"",0),DMAV_Dienste!$F$6:$F$140,0)))</f>
        <v>0</v>
      </c>
      <c r="H831" s="57">
        <f>IF($A831="","",IF(_xlfn.XLOOKUP($A831,Korrelation!$D$4:$D$1197,Korrelation!K$4:K$1197,"-",0)="-",0,MATCH(_xlfn.XLOOKUP($A831,Korrelation!$D$4:$D$1197,Korrelation!K$4:K$1197,"",0),'DM01-AV-CH'!$A$6:$A$834,0)))</f>
        <v>0</v>
      </c>
      <c r="J831" s="54" t="str" cm="1">
        <f t="array" aca="1" ref="J831" ca="1">IF(B831=0,IF(E831=0,"",HYPERLINK("#"&amp;RIGHT(CELL("adresse",OFFSET(DMAV_Dienste!$M$6,E831-1,0)),LEN(CELL("adresse",OFFSET(DMAV_Dienste!$M$6,E831-1,0)))-FIND("]",CELL("adresse",OFFSET(DMAV_Dienste!$M$6,E831-1,0)))),"Dienst")),HYPERLINK("#"&amp;RIGHT(CELL("adresse",OFFSET(DMAV_Modell!$N$6,B831-1,0)),LEN(CELL("adresse",OFFSET(DMAV_Modell!$N$6,B831-1,0)))-FIND("]",CELL("adresse",OFFSET(DMAV_Modell!$N$6,B831-1,0)))),"Modell"))</f>
        <v>Modell</v>
      </c>
      <c r="K831" s="61" t="str" cm="1">
        <f t="array" ref="K831">IF($B831=0,IF($E831=0,"",IF(INDEX(DMAV_Dienste!P$6:P$140,$E831)="","",INDEX(DMAV_Dienste!P$6:P$140,$E831))),IF(INDEX(DMAV_Modell!Q$6:Q$838,$B831)="","",INDEX(DMAV_Modell!Q$6:Q$838,$B831)))</f>
        <v>IMPORTS</v>
      </c>
      <c r="L831" s="62" t="str" cm="1">
        <f t="array" ref="L831">IF($B831=0,IF($E831=0,"",IF(INDEX(DMAV_Dienste!O$6:O$140,$E831)="","",INDEX(DMAV_Dienste!O$6:O$140,$E831))),IF(INDEX(DMAV_Modell!P$6:P$838,$B831)="","",INDEX(DMAV_Modell!P$6:P$838,$B831)))</f>
        <v/>
      </c>
      <c r="M831" s="62" t="str" cm="1">
        <f t="array" ref="M831">IF($B831=0,IF($E831=0,"",IF(INDEX(DMAV_Dienste!Q$6:Q$140,$E831)="","",INDEX(DMAV_Dienste!Q$6:Q$140,$E831))),IF(INDEX(DMAV_Modell!R$6:R$838,$B831)="","",INDEX(DMAV_Modell!R$6:R$838,$B831)))</f>
        <v>DMAVTYM_Geometrie_V1_0</v>
      </c>
      <c r="N831" s="62" t="str" cm="1">
        <f t="array" ref="N831">IF($B831=0,IF($E831=0,"",IF(INDEX(DMAV_Dienste!T$6:T$140,$E831)="","",INDEX(DMAV_Dienste!T$6:T$140,$E831))),IF(INDEX(DMAV_Modell!U$6:U$838,$B831)="","",INDEX(DMAV_Modell!U$6:U$838,$B831)))</f>
        <v/>
      </c>
      <c r="O831" s="63" t="str" cm="1">
        <f t="array" aca="1" ref="O831" ca="1">IF(C831=0,IF(F831=0,"",HYPERLINK("#"&amp;RIGHT(CELL("adresse",OFFSET(DMAV_Dienste!$M$6,F831-1,0)),LEN(CELL("adresse",OFFSET(DMAV_Dienste!$M$6,F831-1,0)))-FIND("]",CELL("adresse",OFFSET(DMAV_Dienste!$M$6,F831-1,0)))),"Structure")),HYPERLINK("#"&amp;RIGHT(CELL("adresse",OFFSET(DMAV_Modell!$N$6,C831-1,0)),LEN(CELL("adresse",OFFSET(DMAV_Modell!$N$6,C831-1,0)))-FIND("]",CELL("adresse",OFFSET(DMAV_Modell!$N$6,C831-1,0)))),"Structure"))</f>
        <v/>
      </c>
      <c r="P831" s="64" t="str" cm="1">
        <f t="array" aca="1" ref="P831" ca="1">IF(D831=0,IF(G831=0,"",HYPERLINK("#"&amp;RIGHT(CELL("adresse",OFFSET(DMAV_Dienste!$M$6,G831-1,0)),LEN(CELL("adresse",OFFSET(DMAV_Dienste!$M$6,G831-1,0)))-FIND("]",CELL("adresse",OFFSET(DMAV_Dienste!$M$6,G831-1,0)))),"Substructure")),HYPERLINK("#"&amp;RIGHT(CELL("adresse",OFFSET(DMAV_Modell!$N$6,D831-1,0)),LEN(CELL("adresse",OFFSET(DMAV_Modell!$N$6,D831-1,0)))-FIND("]",CELL("adresse",OFFSET(DMAV_Modell!$N$6,D831-1,0)))),"Substructure"))</f>
        <v/>
      </c>
      <c r="R831" s="80"/>
      <c r="T831" s="93"/>
      <c r="U831" s="94"/>
      <c r="V831" s="95"/>
      <c r="W831" s="96"/>
      <c r="Y831" s="85"/>
      <c r="Z831" s="86"/>
      <c r="AA831" s="87"/>
      <c r="AB831" s="88"/>
      <c r="AD831" s="77"/>
      <c r="AF831" s="54" t="str" cm="1">
        <f t="array" aca="1" ref="AF831" ca="1">IF(H831=0,"",HYPERLINK("#"&amp;RIGHT(CELL("adresse",OFFSET('DM01-AV-CH'!$G$6,H831-1,0)),LEN(CELL("adresse",OFFSET('DM01-AV-CH'!$G$6,H831-1,0)))-FIND("]",CELL("adresse",OFFSET('DM01-AV-CH'!$G$6,H831-1,0)))),"Modell"))</f>
        <v/>
      </c>
      <c r="AG831" s="72" t="str" cm="1">
        <f t="array" ref="AG831">IF($H831=0,"",IF(INDEX('DM01-AV-CH'!G$6:G$834,$H831)="","",INDEX('DM01-AV-CH'!G$6:G$834,$H831)))</f>
        <v/>
      </c>
      <c r="AH831" s="73" t="str" cm="1">
        <f t="array" ref="AH831">IF($H831=0,"",IF(INDEX('DM01-AV-CH'!H$6:H$834,$H831)="","",INDEX('DM01-AV-CH'!H$6:H$834,$H831)))</f>
        <v/>
      </c>
      <c r="AI831" s="74" t="str" cm="1">
        <f t="array" ref="AI831">IF($H831=0,"",IF(INDEX('DM01-AV-CH'!I$6:I$834,$H831)="","",INDEX('DM01-AV-CH'!I$6:I$834,$H831)))</f>
        <v/>
      </c>
    </row>
    <row r="832" spans="1:35" x14ac:dyDescent="0.25">
      <c r="A832" s="57">
        <v>827</v>
      </c>
      <c r="B832" s="57">
        <f>IF($A832="","",IF(_xlfn.XLOOKUP($A832,Korrelation!$D$4:$D$1197,Korrelation!E$4:E$1197,"-",0)="-",0,MATCH(_xlfn.XLOOKUP($A832,Korrelation!$D$4:$D$1197,Korrelation!E$4:E$1197,"",0),DMAV_Modell!$G$6:$G$677,0)))</f>
        <v>460</v>
      </c>
      <c r="C832" s="57">
        <f>IF($A832="","",IF(_xlfn.XLOOKUP($A832,Korrelation!$D$4:$D$1197,Korrelation!F$4:F$1197,"-",0)="-",0,MATCH(_xlfn.XLOOKUP($A832,Korrelation!$D$4:$D$1197,Korrelation!F$4:F$1197,"",0),DMAV_Modell!$G$6:$G$677,0)))</f>
        <v>0</v>
      </c>
      <c r="D832" s="57">
        <f>IF($A832="","",IF(_xlfn.XLOOKUP($A832,Korrelation!$D$4:$D$1197,Korrelation!G$4:G$1197,"-",0)="-",0,MATCH(_xlfn.XLOOKUP($A832,Korrelation!$D$4:$D$1197,Korrelation!G$4:G$1197,"",0),DMAV_Modell!$G$6:$G$677,0)))</f>
        <v>0</v>
      </c>
      <c r="E832" s="57">
        <f>IF($A832="","",IF(_xlfn.XLOOKUP($A832,Korrelation!$D$4:$D$1197,Korrelation!H$4:H$1197,"-",0)="-",0,MATCH(_xlfn.XLOOKUP($A832,Korrelation!$D$4:$D$1197,Korrelation!H$4:H$1197,"",0),DMAV_Dienste!$F$6:$F$140,0)))</f>
        <v>0</v>
      </c>
      <c r="F832" s="57">
        <f>IF($A832="","",IF(_xlfn.XLOOKUP($A832,Korrelation!$D$4:$D$1197,Korrelation!I$4:I$1197,"-",0)="-",0,MATCH(_xlfn.XLOOKUP($A832,Korrelation!$D$4:$D$1197,Korrelation!I$4:I$1197,"",0),DMAV_Dienste!$F$6:$F$140,0)))</f>
        <v>0</v>
      </c>
      <c r="G832" s="57">
        <f>IF($A832="","",IF(_xlfn.XLOOKUP($A832,Korrelation!$D$4:$D$1197,Korrelation!J$4:J$1197,"-",0)="-",0,MATCH(_xlfn.XLOOKUP($A832,Korrelation!$D$4:$D$1197,Korrelation!J$4:J$1197,"",0),DMAV_Dienste!$F$6:$F$140,0)))</f>
        <v>0</v>
      </c>
      <c r="H832" s="57">
        <f>IF($A832="","",IF(_xlfn.XLOOKUP($A832,Korrelation!$D$4:$D$1197,Korrelation!K$4:K$1197,"-",0)="-",0,MATCH(_xlfn.XLOOKUP($A832,Korrelation!$D$4:$D$1197,Korrelation!K$4:K$1197,"",0),'DM01-AV-CH'!$A$6:$A$834,0)))</f>
        <v>0</v>
      </c>
      <c r="J832" s="54" t="str" cm="1">
        <f t="array" aca="1" ref="J832" ca="1">IF(B832=0,IF(E832=0,"",HYPERLINK("#"&amp;RIGHT(CELL("adresse",OFFSET(DMAV_Dienste!$M$6,E832-1,0)),LEN(CELL("adresse",OFFSET(DMAV_Dienste!$M$6,E832-1,0)))-FIND("]",CELL("adresse",OFFSET(DMAV_Dienste!$M$6,E832-1,0)))),"Dienst")),HYPERLINK("#"&amp;RIGHT(CELL("adresse",OFFSET(DMAV_Modell!$N$6,B832-1,0)),LEN(CELL("adresse",OFFSET(DMAV_Modell!$N$6,B832-1,0)))-FIND("]",CELL("adresse",OFFSET(DMAV_Modell!$N$6,B832-1,0)))),"Modell"))</f>
        <v>Modell</v>
      </c>
      <c r="K832" s="61" t="str" cm="1">
        <f t="array" ref="K832">IF($B832=0,IF($E832=0,"",IF(INDEX(DMAV_Dienste!P$6:P$140,$E832)="","",INDEX(DMAV_Dienste!P$6:P$140,$E832))),IF(INDEX(DMAV_Modell!Q$6:Q$838,$B832)="","",INDEX(DMAV_Modell!Q$6:Q$838,$B832)))</f>
        <v>IMPORTS</v>
      </c>
      <c r="L832" s="62" t="str" cm="1">
        <f t="array" ref="L832">IF($B832=0,IF($E832=0,"",IF(INDEX(DMAV_Dienste!O$6:O$140,$E832)="","",INDEX(DMAV_Dienste!O$6:O$140,$E832))),IF(INDEX(DMAV_Modell!P$6:P$838,$B832)="","",INDEX(DMAV_Modell!P$6:P$838,$B832)))</f>
        <v/>
      </c>
      <c r="M832" s="62" t="str" cm="1">
        <f t="array" ref="M832">IF($B832=0,IF($E832=0,"",IF(INDEX(DMAV_Dienste!Q$6:Q$140,$E832)="","",INDEX(DMAV_Dienste!Q$6:Q$140,$E832))),IF(INDEX(DMAV_Modell!R$6:R$838,$B832)="","",INDEX(DMAV_Modell!R$6:R$838,$B832)))</f>
        <v>DMAVTYM_Modinfo_V1_0</v>
      </c>
      <c r="N832" s="62" t="str" cm="1">
        <f t="array" ref="N832">IF($B832=0,IF($E832=0,"",IF(INDEX(DMAV_Dienste!T$6:T$140,$E832)="","",INDEX(DMAV_Dienste!T$6:T$140,$E832))),IF(INDEX(DMAV_Modell!U$6:U$838,$B832)="","",INDEX(DMAV_Modell!U$6:U$838,$B832)))</f>
        <v/>
      </c>
      <c r="O832" s="63" t="str" cm="1">
        <f t="array" aca="1" ref="O832" ca="1">IF(C832=0,IF(F832=0,"",HYPERLINK("#"&amp;RIGHT(CELL("adresse",OFFSET(DMAV_Dienste!$M$6,F832-1,0)),LEN(CELL("adresse",OFFSET(DMAV_Dienste!$M$6,F832-1,0)))-FIND("]",CELL("adresse",OFFSET(DMAV_Dienste!$M$6,F832-1,0)))),"Structure")),HYPERLINK("#"&amp;RIGHT(CELL("adresse",OFFSET(DMAV_Modell!$N$6,C832-1,0)),LEN(CELL("adresse",OFFSET(DMAV_Modell!$N$6,C832-1,0)))-FIND("]",CELL("adresse",OFFSET(DMAV_Modell!$N$6,C832-1,0)))),"Structure"))</f>
        <v/>
      </c>
      <c r="P832" s="64" t="str" cm="1">
        <f t="array" aca="1" ref="P832" ca="1">IF(D832=0,IF(G832=0,"",HYPERLINK("#"&amp;RIGHT(CELL("adresse",OFFSET(DMAV_Dienste!$M$6,G832-1,0)),LEN(CELL("adresse",OFFSET(DMAV_Dienste!$M$6,G832-1,0)))-FIND("]",CELL("adresse",OFFSET(DMAV_Dienste!$M$6,G832-1,0)))),"Substructure")),HYPERLINK("#"&amp;RIGHT(CELL("adresse",OFFSET(DMAV_Modell!$N$6,D832-1,0)),LEN(CELL("adresse",OFFSET(DMAV_Modell!$N$6,D832-1,0)))-FIND("]",CELL("adresse",OFFSET(DMAV_Modell!$N$6,D832-1,0)))),"Substructure"))</f>
        <v/>
      </c>
      <c r="R832" s="80"/>
      <c r="T832" s="93"/>
      <c r="U832" s="94"/>
      <c r="V832" s="95"/>
      <c r="W832" s="96"/>
      <c r="Y832" s="85"/>
      <c r="Z832" s="86"/>
      <c r="AA832" s="87"/>
      <c r="AB832" s="88"/>
      <c r="AD832" s="77"/>
      <c r="AF832" s="54" t="str" cm="1">
        <f t="array" aca="1" ref="AF832" ca="1">IF(H832=0,"",HYPERLINK("#"&amp;RIGHT(CELL("adresse",OFFSET('DM01-AV-CH'!$G$6,H832-1,0)),LEN(CELL("adresse",OFFSET('DM01-AV-CH'!$G$6,H832-1,0)))-FIND("]",CELL("adresse",OFFSET('DM01-AV-CH'!$G$6,H832-1,0)))),"Modell"))</f>
        <v/>
      </c>
      <c r="AG832" s="72" t="str" cm="1">
        <f t="array" ref="AG832">IF($H832=0,"",IF(INDEX('DM01-AV-CH'!G$6:G$834,$H832)="","",INDEX('DM01-AV-CH'!G$6:G$834,$H832)))</f>
        <v/>
      </c>
      <c r="AH832" s="73" t="str" cm="1">
        <f t="array" ref="AH832">IF($H832=0,"",IF(INDEX('DM01-AV-CH'!H$6:H$834,$H832)="","",INDEX('DM01-AV-CH'!H$6:H$834,$H832)))</f>
        <v/>
      </c>
      <c r="AI832" s="74" t="str" cm="1">
        <f t="array" ref="AI832">IF($H832=0,"",IF(INDEX('DM01-AV-CH'!I$6:I$834,$H832)="","",INDEX('DM01-AV-CH'!I$6:I$834,$H832)))</f>
        <v/>
      </c>
    </row>
    <row r="833" spans="1:35" x14ac:dyDescent="0.25">
      <c r="A833" s="57">
        <v>828</v>
      </c>
      <c r="B833" s="57">
        <f>IF($A833="","",IF(_xlfn.XLOOKUP($A833,Korrelation!$D$4:$D$1197,Korrelation!E$4:E$1197,"-",0)="-",0,MATCH(_xlfn.XLOOKUP($A833,Korrelation!$D$4:$D$1197,Korrelation!E$4:E$1197,"",0),DMAV_Modell!$G$6:$G$677,0)))</f>
        <v>461</v>
      </c>
      <c r="C833" s="57">
        <f>IF($A833="","",IF(_xlfn.XLOOKUP($A833,Korrelation!$D$4:$D$1197,Korrelation!F$4:F$1197,"-",0)="-",0,MATCH(_xlfn.XLOOKUP($A833,Korrelation!$D$4:$D$1197,Korrelation!F$4:F$1197,"",0),DMAV_Modell!$G$6:$G$677,0)))</f>
        <v>0</v>
      </c>
      <c r="D833" s="57">
        <f>IF($A833="","",IF(_xlfn.XLOOKUP($A833,Korrelation!$D$4:$D$1197,Korrelation!G$4:G$1197,"-",0)="-",0,MATCH(_xlfn.XLOOKUP($A833,Korrelation!$D$4:$D$1197,Korrelation!G$4:G$1197,"",0),DMAV_Modell!$G$6:$G$677,0)))</f>
        <v>0</v>
      </c>
      <c r="E833" s="57">
        <f>IF($A833="","",IF(_xlfn.XLOOKUP($A833,Korrelation!$D$4:$D$1197,Korrelation!H$4:H$1197,"-",0)="-",0,MATCH(_xlfn.XLOOKUP($A833,Korrelation!$D$4:$D$1197,Korrelation!H$4:H$1197,"",0),DMAV_Dienste!$F$6:$F$140,0)))</f>
        <v>0</v>
      </c>
      <c r="F833" s="57">
        <f>IF($A833="","",IF(_xlfn.XLOOKUP($A833,Korrelation!$D$4:$D$1197,Korrelation!I$4:I$1197,"-",0)="-",0,MATCH(_xlfn.XLOOKUP($A833,Korrelation!$D$4:$D$1197,Korrelation!I$4:I$1197,"",0),DMAV_Dienste!$F$6:$F$140,0)))</f>
        <v>0</v>
      </c>
      <c r="G833" s="57">
        <f>IF($A833="","",IF(_xlfn.XLOOKUP($A833,Korrelation!$D$4:$D$1197,Korrelation!J$4:J$1197,"-",0)="-",0,MATCH(_xlfn.XLOOKUP($A833,Korrelation!$D$4:$D$1197,Korrelation!J$4:J$1197,"",0),DMAV_Dienste!$F$6:$F$140,0)))</f>
        <v>0</v>
      </c>
      <c r="H833" s="57">
        <f>IF($A833="","",IF(_xlfn.XLOOKUP($A833,Korrelation!$D$4:$D$1197,Korrelation!K$4:K$1197,"-",0)="-",0,MATCH(_xlfn.XLOOKUP($A833,Korrelation!$D$4:$D$1197,Korrelation!K$4:K$1197,"",0),'DM01-AV-CH'!$A$6:$A$834,0)))</f>
        <v>0</v>
      </c>
      <c r="J833" s="54" t="str" cm="1">
        <f t="array" aca="1" ref="J833" ca="1">IF(B833=0,IF(E833=0,"",HYPERLINK("#"&amp;RIGHT(CELL("adresse",OFFSET(DMAV_Dienste!$M$6,E833-1,0)),LEN(CELL("adresse",OFFSET(DMAV_Dienste!$M$6,E833-1,0)))-FIND("]",CELL("adresse",OFFSET(DMAV_Dienste!$M$6,E833-1,0)))),"Dienst")),HYPERLINK("#"&amp;RIGHT(CELL("adresse",OFFSET(DMAV_Modell!$N$6,B833-1,0)),LEN(CELL("adresse",OFFSET(DMAV_Modell!$N$6,B833-1,0)))-FIND("]",CELL("adresse",OFFSET(DMAV_Modell!$N$6,B833-1,0)))),"Modell"))</f>
        <v>Modell</v>
      </c>
      <c r="K833" s="61" t="str" cm="1">
        <f t="array" ref="K833">IF($B833=0,IF($E833=0,"",IF(INDEX(DMAV_Dienste!P$6:P$140,$E833)="","",INDEX(DMAV_Dienste!P$6:P$140,$E833))),IF(INDEX(DMAV_Modell!Q$6:Q$838,$B833)="","",INDEX(DMAV_Modell!Q$6:Q$838,$B833)))</f>
        <v>IMPORTS</v>
      </c>
      <c r="L833" s="62" t="str" cm="1">
        <f t="array" ref="L833">IF($B833=0,IF($E833=0,"",IF(INDEX(DMAV_Dienste!O$6:O$140,$E833)="","",INDEX(DMAV_Dienste!O$6:O$140,$E833))),IF(INDEX(DMAV_Modell!P$6:P$838,$B833)="","",INDEX(DMAV_Modell!P$6:P$838,$B833)))</f>
        <v/>
      </c>
      <c r="M833" s="62" t="str" cm="1">
        <f t="array" ref="M833">IF($B833=0,IF($E833=0,"",IF(INDEX(DMAV_Dienste!Q$6:Q$140,$E833)="","",INDEX(DMAV_Dienste!Q$6:Q$140,$E833))),IF(INDEX(DMAV_Modell!R$6:R$838,$B833)="","",INDEX(DMAV_Modell!R$6:R$838,$B833)))</f>
        <v>DMAVTYM_Qualitaet_V1_0</v>
      </c>
      <c r="N833" s="62" t="str" cm="1">
        <f t="array" ref="N833">IF($B833=0,IF($E833=0,"",IF(INDEX(DMAV_Dienste!T$6:T$140,$E833)="","",INDEX(DMAV_Dienste!T$6:T$140,$E833))),IF(INDEX(DMAV_Modell!U$6:U$838,$B833)="","",INDEX(DMAV_Modell!U$6:U$838,$B833)))</f>
        <v/>
      </c>
      <c r="O833" s="63" t="str" cm="1">
        <f t="array" aca="1" ref="O833" ca="1">IF(C833=0,IF(F833=0,"",HYPERLINK("#"&amp;RIGHT(CELL("adresse",OFFSET(DMAV_Dienste!$M$6,F833-1,0)),LEN(CELL("adresse",OFFSET(DMAV_Dienste!$M$6,F833-1,0)))-FIND("]",CELL("adresse",OFFSET(DMAV_Dienste!$M$6,F833-1,0)))),"Structure")),HYPERLINK("#"&amp;RIGHT(CELL("adresse",OFFSET(DMAV_Modell!$N$6,C833-1,0)),LEN(CELL("adresse",OFFSET(DMAV_Modell!$N$6,C833-1,0)))-FIND("]",CELL("adresse",OFFSET(DMAV_Modell!$N$6,C833-1,0)))),"Structure"))</f>
        <v/>
      </c>
      <c r="P833" s="64" t="str" cm="1">
        <f t="array" aca="1" ref="P833" ca="1">IF(D833=0,IF(G833=0,"",HYPERLINK("#"&amp;RIGHT(CELL("adresse",OFFSET(DMAV_Dienste!$M$6,G833-1,0)),LEN(CELL("adresse",OFFSET(DMAV_Dienste!$M$6,G833-1,0)))-FIND("]",CELL("adresse",OFFSET(DMAV_Dienste!$M$6,G833-1,0)))),"Substructure")),HYPERLINK("#"&amp;RIGHT(CELL("adresse",OFFSET(DMAV_Modell!$N$6,D833-1,0)),LEN(CELL("adresse",OFFSET(DMAV_Modell!$N$6,D833-1,0)))-FIND("]",CELL("adresse",OFFSET(DMAV_Modell!$N$6,D833-1,0)))),"Substructure"))</f>
        <v/>
      </c>
      <c r="R833" s="80"/>
      <c r="T833" s="93"/>
      <c r="U833" s="94"/>
      <c r="V833" s="95"/>
      <c r="W833" s="96"/>
      <c r="Y833" s="85"/>
      <c r="Z833" s="86"/>
      <c r="AA833" s="87"/>
      <c r="AB833" s="88"/>
      <c r="AD833" s="77"/>
      <c r="AF833" s="54" t="str" cm="1">
        <f t="array" aca="1" ref="AF833" ca="1">IF(H833=0,"",HYPERLINK("#"&amp;RIGHT(CELL("adresse",OFFSET('DM01-AV-CH'!$G$6,H833-1,0)),LEN(CELL("adresse",OFFSET('DM01-AV-CH'!$G$6,H833-1,0)))-FIND("]",CELL("adresse",OFFSET('DM01-AV-CH'!$G$6,H833-1,0)))),"Modell"))</f>
        <v/>
      </c>
      <c r="AG833" s="72" t="str" cm="1">
        <f t="array" ref="AG833">IF($H833=0,"",IF(INDEX('DM01-AV-CH'!G$6:G$834,$H833)="","",INDEX('DM01-AV-CH'!G$6:G$834,$H833)))</f>
        <v/>
      </c>
      <c r="AH833" s="73" t="str" cm="1">
        <f t="array" ref="AH833">IF($H833=0,"",IF(INDEX('DM01-AV-CH'!H$6:H$834,$H833)="","",INDEX('DM01-AV-CH'!H$6:H$834,$H833)))</f>
        <v/>
      </c>
      <c r="AI833" s="74" t="str" cm="1">
        <f t="array" ref="AI833">IF($H833=0,"",IF(INDEX('DM01-AV-CH'!I$6:I$834,$H833)="","",INDEX('DM01-AV-CH'!I$6:I$834,$H833)))</f>
        <v/>
      </c>
    </row>
    <row r="834" spans="1:35" x14ac:dyDescent="0.25">
      <c r="A834" s="57">
        <v>829</v>
      </c>
      <c r="B834" s="57">
        <f>IF($A834="","",IF(_xlfn.XLOOKUP($A834,Korrelation!$D$4:$D$1197,Korrelation!E$4:E$1197,"-",0)="-",0,MATCH(_xlfn.XLOOKUP($A834,Korrelation!$D$4:$D$1197,Korrelation!E$4:E$1197,"",0),DMAV_Modell!$G$6:$G$677,0)))</f>
        <v>462</v>
      </c>
      <c r="C834" s="57">
        <f>IF($A834="","",IF(_xlfn.XLOOKUP($A834,Korrelation!$D$4:$D$1197,Korrelation!F$4:F$1197,"-",0)="-",0,MATCH(_xlfn.XLOOKUP($A834,Korrelation!$D$4:$D$1197,Korrelation!F$4:F$1197,"",0),DMAV_Modell!$G$6:$G$677,0)))</f>
        <v>0</v>
      </c>
      <c r="D834" s="57">
        <f>IF($A834="","",IF(_xlfn.XLOOKUP($A834,Korrelation!$D$4:$D$1197,Korrelation!G$4:G$1197,"-",0)="-",0,MATCH(_xlfn.XLOOKUP($A834,Korrelation!$D$4:$D$1197,Korrelation!G$4:G$1197,"",0),DMAV_Modell!$G$6:$G$677,0)))</f>
        <v>0</v>
      </c>
      <c r="E834" s="57">
        <f>IF($A834="","",IF(_xlfn.XLOOKUP($A834,Korrelation!$D$4:$D$1197,Korrelation!H$4:H$1197,"-",0)="-",0,MATCH(_xlfn.XLOOKUP($A834,Korrelation!$D$4:$D$1197,Korrelation!H$4:H$1197,"",0),DMAV_Dienste!$F$6:$F$140,0)))</f>
        <v>0</v>
      </c>
      <c r="F834" s="57">
        <f>IF($A834="","",IF(_xlfn.XLOOKUP($A834,Korrelation!$D$4:$D$1197,Korrelation!I$4:I$1197,"-",0)="-",0,MATCH(_xlfn.XLOOKUP($A834,Korrelation!$D$4:$D$1197,Korrelation!I$4:I$1197,"",0),DMAV_Dienste!$F$6:$F$140,0)))</f>
        <v>0</v>
      </c>
      <c r="G834" s="57">
        <f>IF($A834="","",IF(_xlfn.XLOOKUP($A834,Korrelation!$D$4:$D$1197,Korrelation!J$4:J$1197,"-",0)="-",0,MATCH(_xlfn.XLOOKUP($A834,Korrelation!$D$4:$D$1197,Korrelation!J$4:J$1197,"",0),DMAV_Dienste!$F$6:$F$140,0)))</f>
        <v>0</v>
      </c>
      <c r="H834" s="57">
        <f>IF($A834="","",IF(_xlfn.XLOOKUP($A834,Korrelation!$D$4:$D$1197,Korrelation!K$4:K$1197,"-",0)="-",0,MATCH(_xlfn.XLOOKUP($A834,Korrelation!$D$4:$D$1197,Korrelation!K$4:K$1197,"",0),'DM01-AV-CH'!$A$6:$A$834,0)))</f>
        <v>0</v>
      </c>
      <c r="J834" s="54" t="str" cm="1">
        <f t="array" aca="1" ref="J834" ca="1">IF(B834=0,IF(E834=0,"",HYPERLINK("#"&amp;RIGHT(CELL("adresse",OFFSET(DMAV_Dienste!$M$6,E834-1,0)),LEN(CELL("adresse",OFFSET(DMAV_Dienste!$M$6,E834-1,0)))-FIND("]",CELL("adresse",OFFSET(DMAV_Dienste!$M$6,E834-1,0)))),"Dienst")),HYPERLINK("#"&amp;RIGHT(CELL("adresse",OFFSET(DMAV_Modell!$N$6,B834-1,0)),LEN(CELL("adresse",OFFSET(DMAV_Modell!$N$6,B834-1,0)))-FIND("]",CELL("adresse",OFFSET(DMAV_Modell!$N$6,B834-1,0)))),"Modell"))</f>
        <v>Modell</v>
      </c>
      <c r="K834" s="61" t="str" cm="1">
        <f t="array" ref="K834">IF($B834=0,IF($E834=0,"",IF(INDEX(DMAV_Dienste!P$6:P$140,$E834)="","",INDEX(DMAV_Dienste!P$6:P$140,$E834))),IF(INDEX(DMAV_Modell!Q$6:Q$838,$B834)="","",INDEX(DMAV_Modell!Q$6:Q$838,$B834)))</f>
        <v>IMPORTS</v>
      </c>
      <c r="L834" s="62" t="str" cm="1">
        <f t="array" ref="L834">IF($B834=0,IF($E834=0,"",IF(INDEX(DMAV_Dienste!O$6:O$140,$E834)="","",INDEX(DMAV_Dienste!O$6:O$140,$E834))),IF(INDEX(DMAV_Modell!P$6:P$838,$B834)="","",INDEX(DMAV_Modell!P$6:P$838,$B834)))</f>
        <v/>
      </c>
      <c r="M834" s="62" t="str" cm="1">
        <f t="array" ref="M834">IF($B834=0,IF($E834=0,"",IF(INDEX(DMAV_Dienste!Q$6:Q$140,$E834)="","",INDEX(DMAV_Dienste!Q$6:Q$140,$E834))),IF(INDEX(DMAV_Modell!R$6:R$838,$B834)="","",INDEX(DMAV_Modell!R$6:R$838,$B834)))</f>
        <v>DMAVTYM_Grafik_V1_0</v>
      </c>
      <c r="N834" s="62" t="str" cm="1">
        <f t="array" ref="N834">IF($B834=0,IF($E834=0,"",IF(INDEX(DMAV_Dienste!T$6:T$140,$E834)="","",INDEX(DMAV_Dienste!T$6:T$140,$E834))),IF(INDEX(DMAV_Modell!U$6:U$838,$B834)="","",INDEX(DMAV_Modell!U$6:U$838,$B834)))</f>
        <v/>
      </c>
      <c r="O834" s="63" t="str" cm="1">
        <f t="array" aca="1" ref="O834" ca="1">IF(C834=0,IF(F834=0,"",HYPERLINK("#"&amp;RIGHT(CELL("adresse",OFFSET(DMAV_Dienste!$M$6,F834-1,0)),LEN(CELL("adresse",OFFSET(DMAV_Dienste!$M$6,F834-1,0)))-FIND("]",CELL("adresse",OFFSET(DMAV_Dienste!$M$6,F834-1,0)))),"Structure")),HYPERLINK("#"&amp;RIGHT(CELL("adresse",OFFSET(DMAV_Modell!$N$6,C834-1,0)),LEN(CELL("adresse",OFFSET(DMAV_Modell!$N$6,C834-1,0)))-FIND("]",CELL("adresse",OFFSET(DMAV_Modell!$N$6,C834-1,0)))),"Structure"))</f>
        <v/>
      </c>
      <c r="P834" s="64" t="str" cm="1">
        <f t="array" aca="1" ref="P834" ca="1">IF(D834=0,IF(G834=0,"",HYPERLINK("#"&amp;RIGHT(CELL("adresse",OFFSET(DMAV_Dienste!$M$6,G834-1,0)),LEN(CELL("adresse",OFFSET(DMAV_Dienste!$M$6,G834-1,0)))-FIND("]",CELL("adresse",OFFSET(DMAV_Dienste!$M$6,G834-1,0)))),"Substructure")),HYPERLINK("#"&amp;RIGHT(CELL("adresse",OFFSET(DMAV_Modell!$N$6,D834-1,0)),LEN(CELL("adresse",OFFSET(DMAV_Modell!$N$6,D834-1,0)))-FIND("]",CELL("adresse",OFFSET(DMAV_Modell!$N$6,D834-1,0)))),"Substructure"))</f>
        <v/>
      </c>
      <c r="R834" s="80"/>
      <c r="T834" s="93"/>
      <c r="U834" s="94"/>
      <c r="V834" s="95"/>
      <c r="W834" s="96"/>
      <c r="Y834" s="85"/>
      <c r="Z834" s="86"/>
      <c r="AA834" s="87"/>
      <c r="AB834" s="88"/>
      <c r="AD834" s="77"/>
      <c r="AF834" s="54" t="str" cm="1">
        <f t="array" aca="1" ref="AF834" ca="1">IF(H834=0,"",HYPERLINK("#"&amp;RIGHT(CELL("adresse",OFFSET('DM01-AV-CH'!$G$6,H834-1,0)),LEN(CELL("adresse",OFFSET('DM01-AV-CH'!$G$6,H834-1,0)))-FIND("]",CELL("adresse",OFFSET('DM01-AV-CH'!$G$6,H834-1,0)))),"Modell"))</f>
        <v/>
      </c>
      <c r="AG834" s="72" t="str" cm="1">
        <f t="array" ref="AG834">IF($H834=0,"",IF(INDEX('DM01-AV-CH'!G$6:G$834,$H834)="","",INDEX('DM01-AV-CH'!G$6:G$834,$H834)))</f>
        <v/>
      </c>
      <c r="AH834" s="73" t="str" cm="1">
        <f t="array" ref="AH834">IF($H834=0,"",IF(INDEX('DM01-AV-CH'!H$6:H$834,$H834)="","",INDEX('DM01-AV-CH'!H$6:H$834,$H834)))</f>
        <v/>
      </c>
      <c r="AI834" s="74" t="str" cm="1">
        <f t="array" ref="AI834">IF($H834=0,"",IF(INDEX('DM01-AV-CH'!I$6:I$834,$H834)="","",INDEX('DM01-AV-CH'!I$6:I$834,$H834)))</f>
        <v/>
      </c>
    </row>
    <row r="835" spans="1:35" x14ac:dyDescent="0.25">
      <c r="A835" s="57">
        <v>830</v>
      </c>
      <c r="B835" s="57">
        <f>IF($A835="","",IF(_xlfn.XLOOKUP($A835,Korrelation!$D$4:$D$1197,Korrelation!E$4:E$1197,"-",0)="-",0,MATCH(_xlfn.XLOOKUP($A835,Korrelation!$D$4:$D$1197,Korrelation!E$4:E$1197,"",0),DMAV_Modell!$G$6:$G$677,0)))</f>
        <v>463</v>
      </c>
      <c r="C835" s="57">
        <f>IF($A835="","",IF(_xlfn.XLOOKUP($A835,Korrelation!$D$4:$D$1197,Korrelation!F$4:F$1197,"-",0)="-",0,MATCH(_xlfn.XLOOKUP($A835,Korrelation!$D$4:$D$1197,Korrelation!F$4:F$1197,"",0),DMAV_Modell!$G$6:$G$677,0)))</f>
        <v>0</v>
      </c>
      <c r="D835" s="57">
        <f>IF($A835="","",IF(_xlfn.XLOOKUP($A835,Korrelation!$D$4:$D$1197,Korrelation!G$4:G$1197,"-",0)="-",0,MATCH(_xlfn.XLOOKUP($A835,Korrelation!$D$4:$D$1197,Korrelation!G$4:G$1197,"",0),DMAV_Modell!$G$6:$G$677,0)))</f>
        <v>0</v>
      </c>
      <c r="E835" s="57">
        <f>IF($A835="","",IF(_xlfn.XLOOKUP($A835,Korrelation!$D$4:$D$1197,Korrelation!H$4:H$1197,"-",0)="-",0,MATCH(_xlfn.XLOOKUP($A835,Korrelation!$D$4:$D$1197,Korrelation!H$4:H$1197,"",0),DMAV_Dienste!$F$6:$F$140,0)))</f>
        <v>0</v>
      </c>
      <c r="F835" s="57">
        <f>IF($A835="","",IF(_xlfn.XLOOKUP($A835,Korrelation!$D$4:$D$1197,Korrelation!I$4:I$1197,"-",0)="-",0,MATCH(_xlfn.XLOOKUP($A835,Korrelation!$D$4:$D$1197,Korrelation!I$4:I$1197,"",0),DMAV_Dienste!$F$6:$F$140,0)))</f>
        <v>0</v>
      </c>
      <c r="G835" s="57">
        <f>IF($A835="","",IF(_xlfn.XLOOKUP($A835,Korrelation!$D$4:$D$1197,Korrelation!J$4:J$1197,"-",0)="-",0,MATCH(_xlfn.XLOOKUP($A835,Korrelation!$D$4:$D$1197,Korrelation!J$4:J$1197,"",0),DMAV_Dienste!$F$6:$F$140,0)))</f>
        <v>0</v>
      </c>
      <c r="H835" s="57">
        <f>IF($A835="","",IF(_xlfn.XLOOKUP($A835,Korrelation!$D$4:$D$1197,Korrelation!K$4:K$1197,"-",0)="-",0,MATCH(_xlfn.XLOOKUP($A835,Korrelation!$D$4:$D$1197,Korrelation!K$4:K$1197,"",0),'DM01-AV-CH'!$A$6:$A$834,0)))</f>
        <v>261</v>
      </c>
      <c r="J835" s="54" t="str" cm="1">
        <f t="array" aca="1" ref="J835" ca="1">IF(B835=0,IF(E835=0,"",HYPERLINK("#"&amp;RIGHT(CELL("adresse",OFFSET(DMAV_Dienste!$M$6,E835-1,0)),LEN(CELL("adresse",OFFSET(DMAV_Dienste!$M$6,E835-1,0)))-FIND("]",CELL("adresse",OFFSET(DMAV_Dienste!$M$6,E835-1,0)))),"Dienst")),HYPERLINK("#"&amp;RIGHT(CELL("adresse",OFFSET(DMAV_Modell!$N$6,B835-1,0)),LEN(CELL("adresse",OFFSET(DMAV_Modell!$N$6,B835-1,0)))-FIND("]",CELL("adresse",OFFSET(DMAV_Modell!$N$6,B835-1,0)))),"Modell"))</f>
        <v>Modell</v>
      </c>
      <c r="K835" s="61" t="str" cm="1">
        <f t="array" ref="K835">IF($B835=0,IF($E835=0,"",IF(INDEX(DMAV_Dienste!P$6:P$140,$E835)="","",INDEX(DMAV_Dienste!P$6:P$140,$E835))),IF(INDEX(DMAV_Modell!Q$6:Q$838,$B835)="","",INDEX(DMAV_Modell!Q$6:Q$838,$B835)))</f>
        <v>DOMAIN</v>
      </c>
      <c r="L835" s="62" t="str" cm="1">
        <f t="array" ref="L835">IF($B835=0,IF($E835=0,"",IF(INDEX(DMAV_Dienste!O$6:O$140,$E835)="","",INDEX(DMAV_Dienste!O$6:O$140,$E835))),IF(INDEX(DMAV_Modell!P$6:P$838,$B835)="","",INDEX(DMAV_Modell!P$6:P$838,$B835)))</f>
        <v>Einzelobjekte</v>
      </c>
      <c r="M835" s="62" t="str" cm="1">
        <f t="array" ref="M835">IF($B835=0,IF($E835=0,"",IF(INDEX(DMAV_Dienste!Q$6:Q$140,$E835)="","",INDEX(DMAV_Dienste!Q$6:Q$140,$E835))),IF(INDEX(DMAV_Modell!R$6:R$838,$B835)="","",INDEX(DMAV_Modell!R$6:R$838,$B835)))</f>
        <v>Einzelobjektart</v>
      </c>
      <c r="N835" s="62" t="str" cm="1">
        <f t="array" ref="N835">IF($B835=0,IF($E835=0,"",IF(INDEX(DMAV_Dienste!T$6:T$140,$E835)="","",INDEX(DMAV_Dienste!T$6:T$140,$E835))),IF(INDEX(DMAV_Modell!U$6:U$838,$B835)="","",INDEX(DMAV_Modell!U$6:U$838,$B835)))</f>
        <v/>
      </c>
      <c r="O835" s="63" t="str" cm="1">
        <f t="array" aca="1" ref="O835" ca="1">IF(C835=0,IF(F835=0,"",HYPERLINK("#"&amp;RIGHT(CELL("adresse",OFFSET(DMAV_Dienste!$M$6,F835-1,0)),LEN(CELL("adresse",OFFSET(DMAV_Dienste!$M$6,F835-1,0)))-FIND("]",CELL("adresse",OFFSET(DMAV_Dienste!$M$6,F835-1,0)))),"Structure")),HYPERLINK("#"&amp;RIGHT(CELL("adresse",OFFSET(DMAV_Modell!$N$6,C835-1,0)),LEN(CELL("adresse",OFFSET(DMAV_Modell!$N$6,C835-1,0)))-FIND("]",CELL("adresse",OFFSET(DMAV_Modell!$N$6,C835-1,0)))),"Structure"))</f>
        <v/>
      </c>
      <c r="P835" s="64" t="str" cm="1">
        <f t="array" aca="1" ref="P835" ca="1">IF(D835=0,IF(G835=0,"",HYPERLINK("#"&amp;RIGHT(CELL("adresse",OFFSET(DMAV_Dienste!$M$6,G835-1,0)),LEN(CELL("adresse",OFFSET(DMAV_Dienste!$M$6,G835-1,0)))-FIND("]",CELL("adresse",OFFSET(DMAV_Dienste!$M$6,G835-1,0)))),"Substructure")),HYPERLINK("#"&amp;RIGHT(CELL("adresse",OFFSET(DMAV_Modell!$N$6,D835-1,0)),LEN(CELL("adresse",OFFSET(DMAV_Modell!$N$6,D835-1,0)))-FIND("]",CELL("adresse",OFFSET(DMAV_Modell!$N$6,D835-1,0)))),"Substructure"))</f>
        <v/>
      </c>
      <c r="R835" s="80"/>
      <c r="T835" s="93"/>
      <c r="U835" s="94"/>
      <c r="V835" s="95"/>
      <c r="W835" s="96"/>
      <c r="Y835" s="85"/>
      <c r="Z835" s="86"/>
      <c r="AA835" s="87"/>
      <c r="AB835" s="88"/>
      <c r="AD835" s="77"/>
      <c r="AF835" s="54" t="str" cm="1">
        <f t="array" aca="1" ref="AF835" ca="1">IF(H835=0,"",HYPERLINK("#"&amp;RIGHT(CELL("adresse",OFFSET('DM01-AV-CH'!$G$6,H835-1,0)),LEN(CELL("adresse",OFFSET('DM01-AV-CH'!$G$6,H835-1,0)))-FIND("]",CELL("adresse",OFFSET('DM01-AV-CH'!$G$6,H835-1,0)))),"Modell"))</f>
        <v>Modell</v>
      </c>
      <c r="AG835" s="72" t="str" cm="1">
        <f t="array" ref="AG835">IF($H835=0,"",IF(INDEX('DM01-AV-CH'!G$6:G$834,$H835)="","",INDEX('DM01-AV-CH'!G$6:G$834,$H835)))</f>
        <v>Einzelobjekte</v>
      </c>
      <c r="AH835" s="73" t="str" cm="1">
        <f t="array" ref="AH835">IF($H835=0,"",IF(INDEX('DM01-AV-CH'!H$6:H$834,$H835)="","",INDEX('DM01-AV-CH'!H$6:H$834,$H835)))</f>
        <v/>
      </c>
      <c r="AI835" s="74" t="str" cm="1">
        <f t="array" ref="AI835">IF($H835=0,"",IF(INDEX('DM01-AV-CH'!I$6:I$834,$H835)="","",INDEX('DM01-AV-CH'!I$6:I$834,$H835)))</f>
        <v>EOArt</v>
      </c>
    </row>
    <row r="836" spans="1:35" x14ac:dyDescent="0.25">
      <c r="A836" s="57">
        <v>831</v>
      </c>
      <c r="B836" s="57">
        <f>IF($A836="","",IF(_xlfn.XLOOKUP($A836,Korrelation!$D$4:$D$1197,Korrelation!E$4:E$1197,"-",0)="-",0,MATCH(_xlfn.XLOOKUP($A836,Korrelation!$D$4:$D$1197,Korrelation!E$4:E$1197,"",0),DMAV_Modell!$G$6:$G$677,0)))</f>
        <v>464</v>
      </c>
      <c r="C836" s="57">
        <f>IF($A836="","",IF(_xlfn.XLOOKUP($A836,Korrelation!$D$4:$D$1197,Korrelation!F$4:F$1197,"-",0)="-",0,MATCH(_xlfn.XLOOKUP($A836,Korrelation!$D$4:$D$1197,Korrelation!F$4:F$1197,"",0),DMAV_Modell!$G$6:$G$677,0)))</f>
        <v>0</v>
      </c>
      <c r="D836" s="57">
        <f>IF($A836="","",IF(_xlfn.XLOOKUP($A836,Korrelation!$D$4:$D$1197,Korrelation!G$4:G$1197,"-",0)="-",0,MATCH(_xlfn.XLOOKUP($A836,Korrelation!$D$4:$D$1197,Korrelation!G$4:G$1197,"",0),DMAV_Modell!$G$6:$G$677,0)))</f>
        <v>0</v>
      </c>
      <c r="E836" s="57">
        <f>IF($A836="","",IF(_xlfn.XLOOKUP($A836,Korrelation!$D$4:$D$1197,Korrelation!H$4:H$1197,"-",0)="-",0,MATCH(_xlfn.XLOOKUP($A836,Korrelation!$D$4:$D$1197,Korrelation!H$4:H$1197,"",0),DMAV_Dienste!$F$6:$F$140,0)))</f>
        <v>0</v>
      </c>
      <c r="F836" s="57">
        <f>IF($A836="","",IF(_xlfn.XLOOKUP($A836,Korrelation!$D$4:$D$1197,Korrelation!I$4:I$1197,"-",0)="-",0,MATCH(_xlfn.XLOOKUP($A836,Korrelation!$D$4:$D$1197,Korrelation!I$4:I$1197,"",0),DMAV_Dienste!$F$6:$F$140,0)))</f>
        <v>0</v>
      </c>
      <c r="G836" s="57">
        <f>IF($A836="","",IF(_xlfn.XLOOKUP($A836,Korrelation!$D$4:$D$1197,Korrelation!J$4:J$1197,"-",0)="-",0,MATCH(_xlfn.XLOOKUP($A836,Korrelation!$D$4:$D$1197,Korrelation!J$4:J$1197,"",0),DMAV_Dienste!$F$6:$F$140,0)))</f>
        <v>0</v>
      </c>
      <c r="H836" s="57">
        <f>IF($A836="","",IF(_xlfn.XLOOKUP($A836,Korrelation!$D$4:$D$1197,Korrelation!K$4:K$1197,"-",0)="-",0,MATCH(_xlfn.XLOOKUP($A836,Korrelation!$D$4:$D$1197,Korrelation!K$4:K$1197,"",0),'DM01-AV-CH'!$A$6:$A$834,0)))</f>
        <v>262</v>
      </c>
      <c r="J836" s="54" t="str" cm="1">
        <f t="array" aca="1" ref="J836" ca="1">IF(B836=0,IF(E836=0,"",HYPERLINK("#"&amp;RIGHT(CELL("adresse",OFFSET(DMAV_Dienste!$M$6,E836-1,0)),LEN(CELL("adresse",OFFSET(DMAV_Dienste!$M$6,E836-1,0)))-FIND("]",CELL("adresse",OFFSET(DMAV_Dienste!$M$6,E836-1,0)))),"Dienst")),HYPERLINK("#"&amp;RIGHT(CELL("adresse",OFFSET(DMAV_Modell!$N$6,B836-1,0)),LEN(CELL("adresse",OFFSET(DMAV_Modell!$N$6,B836-1,0)))-FIND("]",CELL("adresse",OFFSET(DMAV_Modell!$N$6,B836-1,0)))),"Modell"))</f>
        <v>Modell</v>
      </c>
      <c r="K836" s="61" t="str" cm="1">
        <f t="array" ref="K836">IF($B836=0,IF($E836=0,"",IF(INDEX(DMAV_Dienste!P$6:P$140,$E836)="","",INDEX(DMAV_Dienste!P$6:P$140,$E836))),IF(INDEX(DMAV_Modell!Q$6:Q$838,$B836)="","",INDEX(DMAV_Modell!Q$6:Q$838,$B836)))</f>
        <v>DOMAIN</v>
      </c>
      <c r="L836" s="62" t="str" cm="1">
        <f t="array" ref="L836">IF($B836=0,IF($E836=0,"",IF(INDEX(DMAV_Dienste!O$6:O$140,$E836)="","",INDEX(DMAV_Dienste!O$6:O$140,$E836))),IF(INDEX(DMAV_Modell!P$6:P$838,$B836)="","",INDEX(DMAV_Modell!P$6:P$838,$B836)))</f>
        <v>Einzelobjekte</v>
      </c>
      <c r="M836" s="62" t="str" cm="1">
        <f t="array" ref="M836">IF($B836=0,IF($E836=0,"",IF(INDEX(DMAV_Dienste!Q$6:Q$140,$E836)="","",INDEX(DMAV_Dienste!Q$6:Q$140,$E836))),IF(INDEX(DMAV_Modell!R$6:R$838,$B836)="","",INDEX(DMAV_Modell!R$6:R$838,$B836)))</f>
        <v>Einzelobjektart</v>
      </c>
      <c r="N836" s="62" t="str" cm="1">
        <f t="array" ref="N836">IF($B836=0,IF($E836=0,"",IF(INDEX(DMAV_Dienste!T$6:T$140,$E836)="","",INDEX(DMAV_Dienste!T$6:T$140,$E836))),IF(INDEX(DMAV_Modell!U$6:U$838,$B836)="","",INDEX(DMAV_Modell!U$6:U$838,$B836)))</f>
        <v/>
      </c>
      <c r="O836" s="63" t="str" cm="1">
        <f t="array" aca="1" ref="O836" ca="1">IF(C836=0,IF(F836=0,"",HYPERLINK("#"&amp;RIGHT(CELL("adresse",OFFSET(DMAV_Dienste!$M$6,F836-1,0)),LEN(CELL("adresse",OFFSET(DMAV_Dienste!$M$6,F836-1,0)))-FIND("]",CELL("adresse",OFFSET(DMAV_Dienste!$M$6,F836-1,0)))),"Structure")),HYPERLINK("#"&amp;RIGHT(CELL("adresse",OFFSET(DMAV_Modell!$N$6,C836-1,0)),LEN(CELL("adresse",OFFSET(DMAV_Modell!$N$6,C836-1,0)))-FIND("]",CELL("adresse",OFFSET(DMAV_Modell!$N$6,C836-1,0)))),"Structure"))</f>
        <v/>
      </c>
      <c r="P836" s="64" t="str" cm="1">
        <f t="array" aca="1" ref="P836" ca="1">IF(D836=0,IF(G836=0,"",HYPERLINK("#"&amp;RIGHT(CELL("adresse",OFFSET(DMAV_Dienste!$M$6,G836-1,0)),LEN(CELL("adresse",OFFSET(DMAV_Dienste!$M$6,G836-1,0)))-FIND("]",CELL("adresse",OFFSET(DMAV_Dienste!$M$6,G836-1,0)))),"Substructure")),HYPERLINK("#"&amp;RIGHT(CELL("adresse",OFFSET(DMAV_Modell!$N$6,D836-1,0)),LEN(CELL("adresse",OFFSET(DMAV_Modell!$N$6,D836-1,0)))-FIND("]",CELL("adresse",OFFSET(DMAV_Modell!$N$6,D836-1,0)))),"Substructure"))</f>
        <v/>
      </c>
      <c r="R836" s="80"/>
      <c r="T836" s="93"/>
      <c r="U836" s="94"/>
      <c r="V836" s="95"/>
      <c r="W836" s="96"/>
      <c r="Y836" s="85"/>
      <c r="Z836" s="86"/>
      <c r="AA836" s="87"/>
      <c r="AB836" s="88"/>
      <c r="AD836" s="77"/>
      <c r="AF836" s="54" t="str" cm="1">
        <f t="array" aca="1" ref="AF836" ca="1">IF(H836=0,"",HYPERLINK("#"&amp;RIGHT(CELL("adresse",OFFSET('DM01-AV-CH'!$G$6,H836-1,0)),LEN(CELL("adresse",OFFSET('DM01-AV-CH'!$G$6,H836-1,0)))-FIND("]",CELL("adresse",OFFSET('DM01-AV-CH'!$G$6,H836-1,0)))),"Modell"))</f>
        <v>Modell</v>
      </c>
      <c r="AG836" s="72" t="str" cm="1">
        <f t="array" ref="AG836">IF($H836=0,"",IF(INDEX('DM01-AV-CH'!G$6:G$834,$H836)="","",INDEX('DM01-AV-CH'!G$6:G$834,$H836)))</f>
        <v>Einzelobjekte</v>
      </c>
      <c r="AH836" s="73" t="str" cm="1">
        <f t="array" ref="AH836">IF($H836=0,"",IF(INDEX('DM01-AV-CH'!H$6:H$834,$H836)="","",INDEX('DM01-AV-CH'!H$6:H$834,$H836)))</f>
        <v/>
      </c>
      <c r="AI836" s="74" t="str" cm="1">
        <f t="array" ref="AI836">IF($H836=0,"",IF(INDEX('DM01-AV-CH'!I$6:I$834,$H836)="","",INDEX('DM01-AV-CH'!I$6:I$834,$H836)))</f>
        <v>EOArt</v>
      </c>
    </row>
    <row r="837" spans="1:35" x14ac:dyDescent="0.25">
      <c r="A837" s="57">
        <v>832</v>
      </c>
      <c r="B837" s="57">
        <f>IF($A837="","",IF(_xlfn.XLOOKUP($A837,Korrelation!$D$4:$D$1197,Korrelation!E$4:E$1197,"-",0)="-",0,MATCH(_xlfn.XLOOKUP($A837,Korrelation!$D$4:$D$1197,Korrelation!E$4:E$1197,"",0),DMAV_Modell!$G$6:$G$677,0)))</f>
        <v>465</v>
      </c>
      <c r="C837" s="57">
        <f>IF($A837="","",IF(_xlfn.XLOOKUP($A837,Korrelation!$D$4:$D$1197,Korrelation!F$4:F$1197,"-",0)="-",0,MATCH(_xlfn.XLOOKUP($A837,Korrelation!$D$4:$D$1197,Korrelation!F$4:F$1197,"",0),DMAV_Modell!$G$6:$G$677,0)))</f>
        <v>0</v>
      </c>
      <c r="D837" s="57">
        <f>IF($A837="","",IF(_xlfn.XLOOKUP($A837,Korrelation!$D$4:$D$1197,Korrelation!G$4:G$1197,"-",0)="-",0,MATCH(_xlfn.XLOOKUP($A837,Korrelation!$D$4:$D$1197,Korrelation!G$4:G$1197,"",0),DMAV_Modell!$G$6:$G$677,0)))</f>
        <v>0</v>
      </c>
      <c r="E837" s="57">
        <f>IF($A837="","",IF(_xlfn.XLOOKUP($A837,Korrelation!$D$4:$D$1197,Korrelation!H$4:H$1197,"-",0)="-",0,MATCH(_xlfn.XLOOKUP($A837,Korrelation!$D$4:$D$1197,Korrelation!H$4:H$1197,"",0),DMAV_Dienste!$F$6:$F$140,0)))</f>
        <v>0</v>
      </c>
      <c r="F837" s="57">
        <f>IF($A837="","",IF(_xlfn.XLOOKUP($A837,Korrelation!$D$4:$D$1197,Korrelation!I$4:I$1197,"-",0)="-",0,MATCH(_xlfn.XLOOKUP($A837,Korrelation!$D$4:$D$1197,Korrelation!I$4:I$1197,"",0),DMAV_Dienste!$F$6:$F$140,0)))</f>
        <v>0</v>
      </c>
      <c r="G837" s="57">
        <f>IF($A837="","",IF(_xlfn.XLOOKUP($A837,Korrelation!$D$4:$D$1197,Korrelation!J$4:J$1197,"-",0)="-",0,MATCH(_xlfn.XLOOKUP($A837,Korrelation!$D$4:$D$1197,Korrelation!J$4:J$1197,"",0),DMAV_Dienste!$F$6:$F$140,0)))</f>
        <v>0</v>
      </c>
      <c r="H837" s="57">
        <f>IF($A837="","",IF(_xlfn.XLOOKUP($A837,Korrelation!$D$4:$D$1197,Korrelation!K$4:K$1197,"-",0)="-",0,MATCH(_xlfn.XLOOKUP($A837,Korrelation!$D$4:$D$1197,Korrelation!K$4:K$1197,"",0),'DM01-AV-CH'!$A$6:$A$834,0)))</f>
        <v>263</v>
      </c>
      <c r="J837" s="54" t="str" cm="1">
        <f t="array" aca="1" ref="J837" ca="1">IF(B837=0,IF(E837=0,"",HYPERLINK("#"&amp;RIGHT(CELL("adresse",OFFSET(DMAV_Dienste!$M$6,E837-1,0)),LEN(CELL("adresse",OFFSET(DMAV_Dienste!$M$6,E837-1,0)))-FIND("]",CELL("adresse",OFFSET(DMAV_Dienste!$M$6,E837-1,0)))),"Dienst")),HYPERLINK("#"&amp;RIGHT(CELL("adresse",OFFSET(DMAV_Modell!$N$6,B837-1,0)),LEN(CELL("adresse",OFFSET(DMAV_Modell!$N$6,B837-1,0)))-FIND("]",CELL("adresse",OFFSET(DMAV_Modell!$N$6,B837-1,0)))),"Modell"))</f>
        <v>Modell</v>
      </c>
      <c r="K837" s="61" t="str" cm="1">
        <f t="array" ref="K837">IF($B837=0,IF($E837=0,"",IF(INDEX(DMAV_Dienste!P$6:P$140,$E837)="","",INDEX(DMAV_Dienste!P$6:P$140,$E837))),IF(INDEX(DMAV_Modell!Q$6:Q$838,$B837)="","",INDEX(DMAV_Modell!Q$6:Q$838,$B837)))</f>
        <v>DOMAIN</v>
      </c>
      <c r="L837" s="62" t="str" cm="1">
        <f t="array" ref="L837">IF($B837=0,IF($E837=0,"",IF(INDEX(DMAV_Dienste!O$6:O$140,$E837)="","",INDEX(DMAV_Dienste!O$6:O$140,$E837))),IF(INDEX(DMAV_Modell!P$6:P$838,$B837)="","",INDEX(DMAV_Modell!P$6:P$838,$B837)))</f>
        <v>Einzelobjekte</v>
      </c>
      <c r="M837" s="62" t="str" cm="1">
        <f t="array" ref="M837">IF($B837=0,IF($E837=0,"",IF(INDEX(DMAV_Dienste!Q$6:Q$140,$E837)="","",INDEX(DMAV_Dienste!Q$6:Q$140,$E837))),IF(INDEX(DMAV_Modell!R$6:R$838,$B837)="","",INDEX(DMAV_Modell!R$6:R$838,$B837)))</f>
        <v>Einzelobjektart</v>
      </c>
      <c r="N837" s="62" t="str" cm="1">
        <f t="array" ref="N837">IF($B837=0,IF($E837=0,"",IF(INDEX(DMAV_Dienste!T$6:T$140,$E837)="","",INDEX(DMAV_Dienste!T$6:T$140,$E837))),IF(INDEX(DMAV_Modell!U$6:U$838,$B837)="","",INDEX(DMAV_Modell!U$6:U$838,$B837)))</f>
        <v/>
      </c>
      <c r="O837" s="63" t="str" cm="1">
        <f t="array" aca="1" ref="O837" ca="1">IF(C837=0,IF(F837=0,"",HYPERLINK("#"&amp;RIGHT(CELL("adresse",OFFSET(DMAV_Dienste!$M$6,F837-1,0)),LEN(CELL("adresse",OFFSET(DMAV_Dienste!$M$6,F837-1,0)))-FIND("]",CELL("adresse",OFFSET(DMAV_Dienste!$M$6,F837-1,0)))),"Structure")),HYPERLINK("#"&amp;RIGHT(CELL("adresse",OFFSET(DMAV_Modell!$N$6,C837-1,0)),LEN(CELL("adresse",OFFSET(DMAV_Modell!$N$6,C837-1,0)))-FIND("]",CELL("adresse",OFFSET(DMAV_Modell!$N$6,C837-1,0)))),"Structure"))</f>
        <v/>
      </c>
      <c r="P837" s="64" t="str" cm="1">
        <f t="array" aca="1" ref="P837" ca="1">IF(D837=0,IF(G837=0,"",HYPERLINK("#"&amp;RIGHT(CELL("adresse",OFFSET(DMAV_Dienste!$M$6,G837-1,0)),LEN(CELL("adresse",OFFSET(DMAV_Dienste!$M$6,G837-1,0)))-FIND("]",CELL("adresse",OFFSET(DMAV_Dienste!$M$6,G837-1,0)))),"Substructure")),HYPERLINK("#"&amp;RIGHT(CELL("adresse",OFFSET(DMAV_Modell!$N$6,D837-1,0)),LEN(CELL("adresse",OFFSET(DMAV_Modell!$N$6,D837-1,0)))-FIND("]",CELL("adresse",OFFSET(DMAV_Modell!$N$6,D837-1,0)))),"Substructure"))</f>
        <v/>
      </c>
      <c r="R837" s="80"/>
      <c r="T837" s="93"/>
      <c r="U837" s="94"/>
      <c r="V837" s="95"/>
      <c r="W837" s="96"/>
      <c r="Y837" s="85"/>
      <c r="Z837" s="86"/>
      <c r="AA837" s="87"/>
      <c r="AB837" s="88"/>
      <c r="AD837" s="77"/>
      <c r="AF837" s="54" t="str" cm="1">
        <f t="array" aca="1" ref="AF837" ca="1">IF(H837=0,"",HYPERLINK("#"&amp;RIGHT(CELL("adresse",OFFSET('DM01-AV-CH'!$G$6,H837-1,0)),LEN(CELL("adresse",OFFSET('DM01-AV-CH'!$G$6,H837-1,0)))-FIND("]",CELL("adresse",OFFSET('DM01-AV-CH'!$G$6,H837-1,0)))),"Modell"))</f>
        <v>Modell</v>
      </c>
      <c r="AG837" s="72" t="str" cm="1">
        <f t="array" ref="AG837">IF($H837=0,"",IF(INDEX('DM01-AV-CH'!G$6:G$834,$H837)="","",INDEX('DM01-AV-CH'!G$6:G$834,$H837)))</f>
        <v>Einzelobjekte</v>
      </c>
      <c r="AH837" s="73" t="str" cm="1">
        <f t="array" ref="AH837">IF($H837=0,"",IF(INDEX('DM01-AV-CH'!H$6:H$834,$H837)="","",INDEX('DM01-AV-CH'!H$6:H$834,$H837)))</f>
        <v/>
      </c>
      <c r="AI837" s="74" t="str" cm="1">
        <f t="array" ref="AI837">IF($H837=0,"",IF(INDEX('DM01-AV-CH'!I$6:I$834,$H837)="","",INDEX('DM01-AV-CH'!I$6:I$834,$H837)))</f>
        <v>EOArt</v>
      </c>
    </row>
    <row r="838" spans="1:35" x14ac:dyDescent="0.25">
      <c r="A838" s="57">
        <v>833</v>
      </c>
      <c r="B838" s="57">
        <f>IF($A838="","",IF(_xlfn.XLOOKUP($A838,Korrelation!$D$4:$D$1197,Korrelation!E$4:E$1197,"-",0)="-",0,MATCH(_xlfn.XLOOKUP($A838,Korrelation!$D$4:$D$1197,Korrelation!E$4:E$1197,"",0),DMAV_Modell!$G$6:$G$677,0)))</f>
        <v>466</v>
      </c>
      <c r="C838" s="57">
        <f>IF($A838="","",IF(_xlfn.XLOOKUP($A838,Korrelation!$D$4:$D$1197,Korrelation!F$4:F$1197,"-",0)="-",0,MATCH(_xlfn.XLOOKUP($A838,Korrelation!$D$4:$D$1197,Korrelation!F$4:F$1197,"",0),DMAV_Modell!$G$6:$G$677,0)))</f>
        <v>0</v>
      </c>
      <c r="D838" s="57">
        <f>IF($A838="","",IF(_xlfn.XLOOKUP($A838,Korrelation!$D$4:$D$1197,Korrelation!G$4:G$1197,"-",0)="-",0,MATCH(_xlfn.XLOOKUP($A838,Korrelation!$D$4:$D$1197,Korrelation!G$4:G$1197,"",0),DMAV_Modell!$G$6:$G$677,0)))</f>
        <v>0</v>
      </c>
      <c r="E838" s="57">
        <f>IF($A838="","",IF(_xlfn.XLOOKUP($A838,Korrelation!$D$4:$D$1197,Korrelation!H$4:H$1197,"-",0)="-",0,MATCH(_xlfn.XLOOKUP($A838,Korrelation!$D$4:$D$1197,Korrelation!H$4:H$1197,"",0),DMAV_Dienste!$F$6:$F$140,0)))</f>
        <v>0</v>
      </c>
      <c r="F838" s="57">
        <f>IF($A838="","",IF(_xlfn.XLOOKUP($A838,Korrelation!$D$4:$D$1197,Korrelation!I$4:I$1197,"-",0)="-",0,MATCH(_xlfn.XLOOKUP($A838,Korrelation!$D$4:$D$1197,Korrelation!I$4:I$1197,"",0),DMAV_Dienste!$F$6:$F$140,0)))</f>
        <v>0</v>
      </c>
      <c r="G838" s="57">
        <f>IF($A838="","",IF(_xlfn.XLOOKUP($A838,Korrelation!$D$4:$D$1197,Korrelation!J$4:J$1197,"-",0)="-",0,MATCH(_xlfn.XLOOKUP($A838,Korrelation!$D$4:$D$1197,Korrelation!J$4:J$1197,"",0),DMAV_Dienste!$F$6:$F$140,0)))</f>
        <v>0</v>
      </c>
      <c r="H838" s="57">
        <f>IF($A838="","",IF(_xlfn.XLOOKUP($A838,Korrelation!$D$4:$D$1197,Korrelation!K$4:K$1197,"-",0)="-",0,MATCH(_xlfn.XLOOKUP($A838,Korrelation!$D$4:$D$1197,Korrelation!K$4:K$1197,"",0),'DM01-AV-CH'!$A$6:$A$834,0)))</f>
        <v>264</v>
      </c>
      <c r="J838" s="54" t="str" cm="1">
        <f t="array" aca="1" ref="J838" ca="1">IF(B838=0,IF(E838=0,"",HYPERLINK("#"&amp;RIGHT(CELL("adresse",OFFSET(DMAV_Dienste!$M$6,E838-1,0)),LEN(CELL("adresse",OFFSET(DMAV_Dienste!$M$6,E838-1,0)))-FIND("]",CELL("adresse",OFFSET(DMAV_Dienste!$M$6,E838-1,0)))),"Dienst")),HYPERLINK("#"&amp;RIGHT(CELL("adresse",OFFSET(DMAV_Modell!$N$6,B838-1,0)),LEN(CELL("adresse",OFFSET(DMAV_Modell!$N$6,B838-1,0)))-FIND("]",CELL("adresse",OFFSET(DMAV_Modell!$N$6,B838-1,0)))),"Modell"))</f>
        <v>Modell</v>
      </c>
      <c r="K838" s="61" t="str" cm="1">
        <f t="array" ref="K838">IF($B838=0,IF($E838=0,"",IF(INDEX(DMAV_Dienste!P$6:P$140,$E838)="","",INDEX(DMAV_Dienste!P$6:P$140,$E838))),IF(INDEX(DMAV_Modell!Q$6:Q$838,$B838)="","",INDEX(DMAV_Modell!Q$6:Q$838,$B838)))</f>
        <v>DOMAIN</v>
      </c>
      <c r="L838" s="62" t="str" cm="1">
        <f t="array" ref="L838">IF($B838=0,IF($E838=0,"",IF(INDEX(DMAV_Dienste!O$6:O$140,$E838)="","",INDEX(DMAV_Dienste!O$6:O$140,$E838))),IF(INDEX(DMAV_Modell!P$6:P$838,$B838)="","",INDEX(DMAV_Modell!P$6:P$838,$B838)))</f>
        <v>Einzelobjekte</v>
      </c>
      <c r="M838" s="62" t="str" cm="1">
        <f t="array" ref="M838">IF($B838=0,IF($E838=0,"",IF(INDEX(DMAV_Dienste!Q$6:Q$140,$E838)="","",INDEX(DMAV_Dienste!Q$6:Q$140,$E838))),IF(INDEX(DMAV_Modell!R$6:R$838,$B838)="","",INDEX(DMAV_Modell!R$6:R$838,$B838)))</f>
        <v>Einzelobjektart</v>
      </c>
      <c r="N838" s="62" t="str" cm="1">
        <f t="array" ref="N838">IF($B838=0,IF($E838=0,"",IF(INDEX(DMAV_Dienste!T$6:T$140,$E838)="","",INDEX(DMAV_Dienste!T$6:T$140,$E838))),IF(INDEX(DMAV_Modell!U$6:U$838,$B838)="","",INDEX(DMAV_Modell!U$6:U$838,$B838)))</f>
        <v/>
      </c>
      <c r="O838" s="63" t="str" cm="1">
        <f t="array" aca="1" ref="O838" ca="1">IF(C838=0,IF(F838=0,"",HYPERLINK("#"&amp;RIGHT(CELL("adresse",OFFSET(DMAV_Dienste!$M$6,F838-1,0)),LEN(CELL("adresse",OFFSET(DMAV_Dienste!$M$6,F838-1,0)))-FIND("]",CELL("adresse",OFFSET(DMAV_Dienste!$M$6,F838-1,0)))),"Structure")),HYPERLINK("#"&amp;RIGHT(CELL("adresse",OFFSET(DMAV_Modell!$N$6,C838-1,0)),LEN(CELL("adresse",OFFSET(DMAV_Modell!$N$6,C838-1,0)))-FIND("]",CELL("adresse",OFFSET(DMAV_Modell!$N$6,C838-1,0)))),"Structure"))</f>
        <v/>
      </c>
      <c r="P838" s="64" t="str" cm="1">
        <f t="array" aca="1" ref="P838" ca="1">IF(D838=0,IF(G838=0,"",HYPERLINK("#"&amp;RIGHT(CELL("adresse",OFFSET(DMAV_Dienste!$M$6,G838-1,0)),LEN(CELL("adresse",OFFSET(DMAV_Dienste!$M$6,G838-1,0)))-FIND("]",CELL("adresse",OFFSET(DMAV_Dienste!$M$6,G838-1,0)))),"Substructure")),HYPERLINK("#"&amp;RIGHT(CELL("adresse",OFFSET(DMAV_Modell!$N$6,D838-1,0)),LEN(CELL("adresse",OFFSET(DMAV_Modell!$N$6,D838-1,0)))-FIND("]",CELL("adresse",OFFSET(DMAV_Modell!$N$6,D838-1,0)))),"Substructure"))</f>
        <v/>
      </c>
      <c r="R838" s="80"/>
      <c r="T838" s="93"/>
      <c r="U838" s="94"/>
      <c r="V838" s="95"/>
      <c r="W838" s="96"/>
      <c r="Y838" s="85"/>
      <c r="Z838" s="86"/>
      <c r="AA838" s="87"/>
      <c r="AB838" s="88"/>
      <c r="AD838" s="77"/>
      <c r="AF838" s="54" t="str" cm="1">
        <f t="array" aca="1" ref="AF838" ca="1">IF(H838=0,"",HYPERLINK("#"&amp;RIGHT(CELL("adresse",OFFSET('DM01-AV-CH'!$G$6,H838-1,0)),LEN(CELL("adresse",OFFSET('DM01-AV-CH'!$G$6,H838-1,0)))-FIND("]",CELL("adresse",OFFSET('DM01-AV-CH'!$G$6,H838-1,0)))),"Modell"))</f>
        <v>Modell</v>
      </c>
      <c r="AG838" s="72" t="str" cm="1">
        <f t="array" ref="AG838">IF($H838=0,"",IF(INDEX('DM01-AV-CH'!G$6:G$834,$H838)="","",INDEX('DM01-AV-CH'!G$6:G$834,$H838)))</f>
        <v>Einzelobjekte</v>
      </c>
      <c r="AH838" s="73" t="str" cm="1">
        <f t="array" ref="AH838">IF($H838=0,"",IF(INDEX('DM01-AV-CH'!H$6:H$834,$H838)="","",INDEX('DM01-AV-CH'!H$6:H$834,$H838)))</f>
        <v/>
      </c>
      <c r="AI838" s="74" t="str" cm="1">
        <f t="array" ref="AI838">IF($H838=0,"",IF(INDEX('DM01-AV-CH'!I$6:I$834,$H838)="","",INDEX('DM01-AV-CH'!I$6:I$834,$H838)))</f>
        <v>EOArt</v>
      </c>
    </row>
    <row r="839" spans="1:35" x14ac:dyDescent="0.25">
      <c r="A839" s="57">
        <v>834</v>
      </c>
      <c r="B839" s="57">
        <f>IF($A839="","",IF(_xlfn.XLOOKUP($A839,Korrelation!$D$4:$D$1197,Korrelation!E$4:E$1197,"-",0)="-",0,MATCH(_xlfn.XLOOKUP($A839,Korrelation!$D$4:$D$1197,Korrelation!E$4:E$1197,"",0),DMAV_Modell!$G$6:$G$677,0)))</f>
        <v>467</v>
      </c>
      <c r="C839" s="57">
        <f>IF($A839="","",IF(_xlfn.XLOOKUP($A839,Korrelation!$D$4:$D$1197,Korrelation!F$4:F$1197,"-",0)="-",0,MATCH(_xlfn.XLOOKUP($A839,Korrelation!$D$4:$D$1197,Korrelation!F$4:F$1197,"",0),DMAV_Modell!$G$6:$G$677,0)))</f>
        <v>0</v>
      </c>
      <c r="D839" s="57">
        <f>IF($A839="","",IF(_xlfn.XLOOKUP($A839,Korrelation!$D$4:$D$1197,Korrelation!G$4:G$1197,"-",0)="-",0,MATCH(_xlfn.XLOOKUP($A839,Korrelation!$D$4:$D$1197,Korrelation!G$4:G$1197,"",0),DMAV_Modell!$G$6:$G$677,0)))</f>
        <v>0</v>
      </c>
      <c r="E839" s="57">
        <f>IF($A839="","",IF(_xlfn.XLOOKUP($A839,Korrelation!$D$4:$D$1197,Korrelation!H$4:H$1197,"-",0)="-",0,MATCH(_xlfn.XLOOKUP($A839,Korrelation!$D$4:$D$1197,Korrelation!H$4:H$1197,"",0),DMAV_Dienste!$F$6:$F$140,0)))</f>
        <v>0</v>
      </c>
      <c r="F839" s="57">
        <f>IF($A839="","",IF(_xlfn.XLOOKUP($A839,Korrelation!$D$4:$D$1197,Korrelation!I$4:I$1197,"-",0)="-",0,MATCH(_xlfn.XLOOKUP($A839,Korrelation!$D$4:$D$1197,Korrelation!I$4:I$1197,"",0),DMAV_Dienste!$F$6:$F$140,0)))</f>
        <v>0</v>
      </c>
      <c r="G839" s="57">
        <f>IF($A839="","",IF(_xlfn.XLOOKUP($A839,Korrelation!$D$4:$D$1197,Korrelation!J$4:J$1197,"-",0)="-",0,MATCH(_xlfn.XLOOKUP($A839,Korrelation!$D$4:$D$1197,Korrelation!J$4:J$1197,"",0),DMAV_Dienste!$F$6:$F$140,0)))</f>
        <v>0</v>
      </c>
      <c r="H839" s="57">
        <f>IF($A839="","",IF(_xlfn.XLOOKUP($A839,Korrelation!$D$4:$D$1197,Korrelation!K$4:K$1197,"-",0)="-",0,MATCH(_xlfn.XLOOKUP($A839,Korrelation!$D$4:$D$1197,Korrelation!K$4:K$1197,"",0),'DM01-AV-CH'!$A$6:$A$834,0)))</f>
        <v>265</v>
      </c>
      <c r="J839" s="54" t="str" cm="1">
        <f t="array" aca="1" ref="J839" ca="1">IF(B839=0,IF(E839=0,"",HYPERLINK("#"&amp;RIGHT(CELL("adresse",OFFSET(DMAV_Dienste!$M$6,E839-1,0)),LEN(CELL("adresse",OFFSET(DMAV_Dienste!$M$6,E839-1,0)))-FIND("]",CELL("adresse",OFFSET(DMAV_Dienste!$M$6,E839-1,0)))),"Dienst")),HYPERLINK("#"&amp;RIGHT(CELL("adresse",OFFSET(DMAV_Modell!$N$6,B839-1,0)),LEN(CELL("adresse",OFFSET(DMAV_Modell!$N$6,B839-1,0)))-FIND("]",CELL("adresse",OFFSET(DMAV_Modell!$N$6,B839-1,0)))),"Modell"))</f>
        <v>Modell</v>
      </c>
      <c r="K839" s="61" t="str" cm="1">
        <f t="array" ref="K839">IF($B839=0,IF($E839=0,"",IF(INDEX(DMAV_Dienste!P$6:P$140,$E839)="","",INDEX(DMAV_Dienste!P$6:P$140,$E839))),IF(INDEX(DMAV_Modell!Q$6:Q$838,$B839)="","",INDEX(DMAV_Modell!Q$6:Q$838,$B839)))</f>
        <v>DOMAIN</v>
      </c>
      <c r="L839" s="62" t="str" cm="1">
        <f t="array" ref="L839">IF($B839=0,IF($E839=0,"",IF(INDEX(DMAV_Dienste!O$6:O$140,$E839)="","",INDEX(DMAV_Dienste!O$6:O$140,$E839))),IF(INDEX(DMAV_Modell!P$6:P$838,$B839)="","",INDEX(DMAV_Modell!P$6:P$838,$B839)))</f>
        <v>Einzelobjekte</v>
      </c>
      <c r="M839" s="62" t="str" cm="1">
        <f t="array" ref="M839">IF($B839=0,IF($E839=0,"",IF(INDEX(DMAV_Dienste!Q$6:Q$140,$E839)="","",INDEX(DMAV_Dienste!Q$6:Q$140,$E839))),IF(INDEX(DMAV_Modell!R$6:R$838,$B839)="","",INDEX(DMAV_Modell!R$6:R$838,$B839)))</f>
        <v>Einzelobjektart</v>
      </c>
      <c r="N839" s="62" t="str" cm="1">
        <f t="array" ref="N839">IF($B839=0,IF($E839=0,"",IF(INDEX(DMAV_Dienste!T$6:T$140,$E839)="","",INDEX(DMAV_Dienste!T$6:T$140,$E839))),IF(INDEX(DMAV_Modell!U$6:U$838,$B839)="","",INDEX(DMAV_Modell!U$6:U$838,$B839)))</f>
        <v/>
      </c>
      <c r="O839" s="63" t="str" cm="1">
        <f t="array" aca="1" ref="O839" ca="1">IF(C839=0,IF(F839=0,"",HYPERLINK("#"&amp;RIGHT(CELL("adresse",OFFSET(DMAV_Dienste!$M$6,F839-1,0)),LEN(CELL("adresse",OFFSET(DMAV_Dienste!$M$6,F839-1,0)))-FIND("]",CELL("adresse",OFFSET(DMAV_Dienste!$M$6,F839-1,0)))),"Structure")),HYPERLINK("#"&amp;RIGHT(CELL("adresse",OFFSET(DMAV_Modell!$N$6,C839-1,0)),LEN(CELL("adresse",OFFSET(DMAV_Modell!$N$6,C839-1,0)))-FIND("]",CELL("adresse",OFFSET(DMAV_Modell!$N$6,C839-1,0)))),"Structure"))</f>
        <v/>
      </c>
      <c r="P839" s="64" t="str" cm="1">
        <f t="array" aca="1" ref="P839" ca="1">IF(D839=0,IF(G839=0,"",HYPERLINK("#"&amp;RIGHT(CELL("adresse",OFFSET(DMAV_Dienste!$M$6,G839-1,0)),LEN(CELL("adresse",OFFSET(DMAV_Dienste!$M$6,G839-1,0)))-FIND("]",CELL("adresse",OFFSET(DMAV_Dienste!$M$6,G839-1,0)))),"Substructure")),HYPERLINK("#"&amp;RIGHT(CELL("adresse",OFFSET(DMAV_Modell!$N$6,D839-1,0)),LEN(CELL("adresse",OFFSET(DMAV_Modell!$N$6,D839-1,0)))-FIND("]",CELL("adresse",OFFSET(DMAV_Modell!$N$6,D839-1,0)))),"Substructure"))</f>
        <v/>
      </c>
      <c r="R839" s="80"/>
      <c r="T839" s="93"/>
      <c r="U839" s="94"/>
      <c r="V839" s="95"/>
      <c r="W839" s="96"/>
      <c r="Y839" s="85"/>
      <c r="Z839" s="86"/>
      <c r="AA839" s="87"/>
      <c r="AB839" s="88"/>
      <c r="AD839" s="77"/>
      <c r="AF839" s="54" t="str" cm="1">
        <f t="array" aca="1" ref="AF839" ca="1">IF(H839=0,"",HYPERLINK("#"&amp;RIGHT(CELL("adresse",OFFSET('DM01-AV-CH'!$G$6,H839-1,0)),LEN(CELL("adresse",OFFSET('DM01-AV-CH'!$G$6,H839-1,0)))-FIND("]",CELL("adresse",OFFSET('DM01-AV-CH'!$G$6,H839-1,0)))),"Modell"))</f>
        <v>Modell</v>
      </c>
      <c r="AG839" s="72" t="str" cm="1">
        <f t="array" ref="AG839">IF($H839=0,"",IF(INDEX('DM01-AV-CH'!G$6:G$834,$H839)="","",INDEX('DM01-AV-CH'!G$6:G$834,$H839)))</f>
        <v>Einzelobjekte</v>
      </c>
      <c r="AH839" s="73" t="str" cm="1">
        <f t="array" ref="AH839">IF($H839=0,"",IF(INDEX('DM01-AV-CH'!H$6:H$834,$H839)="","",INDEX('DM01-AV-CH'!H$6:H$834,$H839)))</f>
        <v/>
      </c>
      <c r="AI839" s="74" t="str" cm="1">
        <f t="array" ref="AI839">IF($H839=0,"",IF(INDEX('DM01-AV-CH'!I$6:I$834,$H839)="","",INDEX('DM01-AV-CH'!I$6:I$834,$H839)))</f>
        <v>EOArt</v>
      </c>
    </row>
    <row r="840" spans="1:35" x14ac:dyDescent="0.25">
      <c r="A840" s="57">
        <v>835</v>
      </c>
      <c r="B840" s="57">
        <f>IF($A840="","",IF(_xlfn.XLOOKUP($A840,Korrelation!$D$4:$D$1197,Korrelation!E$4:E$1197,"-",0)="-",0,MATCH(_xlfn.XLOOKUP($A840,Korrelation!$D$4:$D$1197,Korrelation!E$4:E$1197,"",0),DMAV_Modell!$G$6:$G$677,0)))</f>
        <v>468</v>
      </c>
      <c r="C840" s="57">
        <f>IF($A840="","",IF(_xlfn.XLOOKUP($A840,Korrelation!$D$4:$D$1197,Korrelation!F$4:F$1197,"-",0)="-",0,MATCH(_xlfn.XLOOKUP($A840,Korrelation!$D$4:$D$1197,Korrelation!F$4:F$1197,"",0),DMAV_Modell!$G$6:$G$677,0)))</f>
        <v>0</v>
      </c>
      <c r="D840" s="57">
        <f>IF($A840="","",IF(_xlfn.XLOOKUP($A840,Korrelation!$D$4:$D$1197,Korrelation!G$4:G$1197,"-",0)="-",0,MATCH(_xlfn.XLOOKUP($A840,Korrelation!$D$4:$D$1197,Korrelation!G$4:G$1197,"",0),DMAV_Modell!$G$6:$G$677,0)))</f>
        <v>0</v>
      </c>
      <c r="E840" s="57">
        <f>IF($A840="","",IF(_xlfn.XLOOKUP($A840,Korrelation!$D$4:$D$1197,Korrelation!H$4:H$1197,"-",0)="-",0,MATCH(_xlfn.XLOOKUP($A840,Korrelation!$D$4:$D$1197,Korrelation!H$4:H$1197,"",0),DMAV_Dienste!$F$6:$F$140,0)))</f>
        <v>0</v>
      </c>
      <c r="F840" s="57">
        <f>IF($A840="","",IF(_xlfn.XLOOKUP($A840,Korrelation!$D$4:$D$1197,Korrelation!I$4:I$1197,"-",0)="-",0,MATCH(_xlfn.XLOOKUP($A840,Korrelation!$D$4:$D$1197,Korrelation!I$4:I$1197,"",0),DMAV_Dienste!$F$6:$F$140,0)))</f>
        <v>0</v>
      </c>
      <c r="G840" s="57">
        <f>IF($A840="","",IF(_xlfn.XLOOKUP($A840,Korrelation!$D$4:$D$1197,Korrelation!J$4:J$1197,"-",0)="-",0,MATCH(_xlfn.XLOOKUP($A840,Korrelation!$D$4:$D$1197,Korrelation!J$4:J$1197,"",0),DMAV_Dienste!$F$6:$F$140,0)))</f>
        <v>0</v>
      </c>
      <c r="H840" s="57">
        <f>IF($A840="","",IF(_xlfn.XLOOKUP($A840,Korrelation!$D$4:$D$1197,Korrelation!K$4:K$1197,"-",0)="-",0,MATCH(_xlfn.XLOOKUP($A840,Korrelation!$D$4:$D$1197,Korrelation!K$4:K$1197,"",0),'DM01-AV-CH'!$A$6:$A$834,0)))</f>
        <v>266</v>
      </c>
      <c r="J840" s="54" t="str" cm="1">
        <f t="array" aca="1" ref="J840" ca="1">IF(B840=0,IF(E840=0,"",HYPERLINK("#"&amp;RIGHT(CELL("adresse",OFFSET(DMAV_Dienste!$M$6,E840-1,0)),LEN(CELL("adresse",OFFSET(DMAV_Dienste!$M$6,E840-1,0)))-FIND("]",CELL("adresse",OFFSET(DMAV_Dienste!$M$6,E840-1,0)))),"Dienst")),HYPERLINK("#"&amp;RIGHT(CELL("adresse",OFFSET(DMAV_Modell!$N$6,B840-1,0)),LEN(CELL("adresse",OFFSET(DMAV_Modell!$N$6,B840-1,0)))-FIND("]",CELL("adresse",OFFSET(DMAV_Modell!$N$6,B840-1,0)))),"Modell"))</f>
        <v>Modell</v>
      </c>
      <c r="K840" s="61" t="str" cm="1">
        <f t="array" ref="K840">IF($B840=0,IF($E840=0,"",IF(INDEX(DMAV_Dienste!P$6:P$140,$E840)="","",INDEX(DMAV_Dienste!P$6:P$140,$E840))),IF(INDEX(DMAV_Modell!Q$6:Q$838,$B840)="","",INDEX(DMAV_Modell!Q$6:Q$838,$B840)))</f>
        <v>DOMAIN</v>
      </c>
      <c r="L840" s="62" t="str" cm="1">
        <f t="array" ref="L840">IF($B840=0,IF($E840=0,"",IF(INDEX(DMAV_Dienste!O$6:O$140,$E840)="","",INDEX(DMAV_Dienste!O$6:O$140,$E840))),IF(INDEX(DMAV_Modell!P$6:P$838,$B840)="","",INDEX(DMAV_Modell!P$6:P$838,$B840)))</f>
        <v>Einzelobjekte</v>
      </c>
      <c r="M840" s="62" t="str" cm="1">
        <f t="array" ref="M840">IF($B840=0,IF($E840=0,"",IF(INDEX(DMAV_Dienste!Q$6:Q$140,$E840)="","",INDEX(DMAV_Dienste!Q$6:Q$140,$E840))),IF(INDEX(DMAV_Modell!R$6:R$838,$B840)="","",INDEX(DMAV_Modell!R$6:R$838,$B840)))</f>
        <v>Einzelobjektart</v>
      </c>
      <c r="N840" s="62" t="str" cm="1">
        <f t="array" ref="N840">IF($B840=0,IF($E840=0,"",IF(INDEX(DMAV_Dienste!T$6:T$140,$E840)="","",INDEX(DMAV_Dienste!T$6:T$140,$E840))),IF(INDEX(DMAV_Modell!U$6:U$838,$B840)="","",INDEX(DMAV_Modell!U$6:U$838,$B840)))</f>
        <v/>
      </c>
      <c r="O840" s="63" t="str" cm="1">
        <f t="array" aca="1" ref="O840" ca="1">IF(C840=0,IF(F840=0,"",HYPERLINK("#"&amp;RIGHT(CELL("adresse",OFFSET(DMAV_Dienste!$M$6,F840-1,0)),LEN(CELL("adresse",OFFSET(DMAV_Dienste!$M$6,F840-1,0)))-FIND("]",CELL("adresse",OFFSET(DMAV_Dienste!$M$6,F840-1,0)))),"Structure")),HYPERLINK("#"&amp;RIGHT(CELL("adresse",OFFSET(DMAV_Modell!$N$6,C840-1,0)),LEN(CELL("adresse",OFFSET(DMAV_Modell!$N$6,C840-1,0)))-FIND("]",CELL("adresse",OFFSET(DMAV_Modell!$N$6,C840-1,0)))),"Structure"))</f>
        <v/>
      </c>
      <c r="P840" s="64" t="str" cm="1">
        <f t="array" aca="1" ref="P840" ca="1">IF(D840=0,IF(G840=0,"",HYPERLINK("#"&amp;RIGHT(CELL("adresse",OFFSET(DMAV_Dienste!$M$6,G840-1,0)),LEN(CELL("adresse",OFFSET(DMAV_Dienste!$M$6,G840-1,0)))-FIND("]",CELL("adresse",OFFSET(DMAV_Dienste!$M$6,G840-1,0)))),"Substructure")),HYPERLINK("#"&amp;RIGHT(CELL("adresse",OFFSET(DMAV_Modell!$N$6,D840-1,0)),LEN(CELL("adresse",OFFSET(DMAV_Modell!$N$6,D840-1,0)))-FIND("]",CELL("adresse",OFFSET(DMAV_Modell!$N$6,D840-1,0)))),"Substructure"))</f>
        <v/>
      </c>
      <c r="R840" s="80"/>
      <c r="T840" s="93"/>
      <c r="U840" s="94"/>
      <c r="V840" s="95"/>
      <c r="W840" s="96"/>
      <c r="Y840" s="85"/>
      <c r="Z840" s="86"/>
      <c r="AA840" s="87"/>
      <c r="AB840" s="88"/>
      <c r="AD840" s="77"/>
      <c r="AF840" s="54" t="str" cm="1">
        <f t="array" aca="1" ref="AF840" ca="1">IF(H840=0,"",HYPERLINK("#"&amp;RIGHT(CELL("adresse",OFFSET('DM01-AV-CH'!$G$6,H840-1,0)),LEN(CELL("adresse",OFFSET('DM01-AV-CH'!$G$6,H840-1,0)))-FIND("]",CELL("adresse",OFFSET('DM01-AV-CH'!$G$6,H840-1,0)))),"Modell"))</f>
        <v>Modell</v>
      </c>
      <c r="AG840" s="72" t="str" cm="1">
        <f t="array" ref="AG840">IF($H840=0,"",IF(INDEX('DM01-AV-CH'!G$6:G$834,$H840)="","",INDEX('DM01-AV-CH'!G$6:G$834,$H840)))</f>
        <v>Einzelobjekte</v>
      </c>
      <c r="AH840" s="73" t="str" cm="1">
        <f t="array" ref="AH840">IF($H840=0,"",IF(INDEX('DM01-AV-CH'!H$6:H$834,$H840)="","",INDEX('DM01-AV-CH'!H$6:H$834,$H840)))</f>
        <v/>
      </c>
      <c r="AI840" s="74" t="str" cm="1">
        <f t="array" ref="AI840">IF($H840=0,"",IF(INDEX('DM01-AV-CH'!I$6:I$834,$H840)="","",INDEX('DM01-AV-CH'!I$6:I$834,$H840)))</f>
        <v>EOArt</v>
      </c>
    </row>
    <row r="841" spans="1:35" x14ac:dyDescent="0.25">
      <c r="A841" s="57">
        <v>836</v>
      </c>
      <c r="B841" s="57">
        <f>IF($A841="","",IF(_xlfn.XLOOKUP($A841,Korrelation!$D$4:$D$1197,Korrelation!E$4:E$1197,"-",0)="-",0,MATCH(_xlfn.XLOOKUP($A841,Korrelation!$D$4:$D$1197,Korrelation!E$4:E$1197,"",0),DMAV_Modell!$G$6:$G$677,0)))</f>
        <v>469</v>
      </c>
      <c r="C841" s="57">
        <f>IF($A841="","",IF(_xlfn.XLOOKUP($A841,Korrelation!$D$4:$D$1197,Korrelation!F$4:F$1197,"-",0)="-",0,MATCH(_xlfn.XLOOKUP($A841,Korrelation!$D$4:$D$1197,Korrelation!F$4:F$1197,"",0),DMAV_Modell!$G$6:$G$677,0)))</f>
        <v>0</v>
      </c>
      <c r="D841" s="57">
        <f>IF($A841="","",IF(_xlfn.XLOOKUP($A841,Korrelation!$D$4:$D$1197,Korrelation!G$4:G$1197,"-",0)="-",0,MATCH(_xlfn.XLOOKUP($A841,Korrelation!$D$4:$D$1197,Korrelation!G$4:G$1197,"",0),DMAV_Modell!$G$6:$G$677,0)))</f>
        <v>0</v>
      </c>
      <c r="E841" s="57">
        <f>IF($A841="","",IF(_xlfn.XLOOKUP($A841,Korrelation!$D$4:$D$1197,Korrelation!H$4:H$1197,"-",0)="-",0,MATCH(_xlfn.XLOOKUP($A841,Korrelation!$D$4:$D$1197,Korrelation!H$4:H$1197,"",0),DMAV_Dienste!$F$6:$F$140,0)))</f>
        <v>0</v>
      </c>
      <c r="F841" s="57">
        <f>IF($A841="","",IF(_xlfn.XLOOKUP($A841,Korrelation!$D$4:$D$1197,Korrelation!I$4:I$1197,"-",0)="-",0,MATCH(_xlfn.XLOOKUP($A841,Korrelation!$D$4:$D$1197,Korrelation!I$4:I$1197,"",0),DMAV_Dienste!$F$6:$F$140,0)))</f>
        <v>0</v>
      </c>
      <c r="G841" s="57">
        <f>IF($A841="","",IF(_xlfn.XLOOKUP($A841,Korrelation!$D$4:$D$1197,Korrelation!J$4:J$1197,"-",0)="-",0,MATCH(_xlfn.XLOOKUP($A841,Korrelation!$D$4:$D$1197,Korrelation!J$4:J$1197,"",0),DMAV_Dienste!$F$6:$F$140,0)))</f>
        <v>0</v>
      </c>
      <c r="H841" s="57">
        <f>IF($A841="","",IF(_xlfn.XLOOKUP($A841,Korrelation!$D$4:$D$1197,Korrelation!K$4:K$1197,"-",0)="-",0,MATCH(_xlfn.XLOOKUP($A841,Korrelation!$D$4:$D$1197,Korrelation!K$4:K$1197,"",0),'DM01-AV-CH'!$A$6:$A$834,0)))</f>
        <v>267</v>
      </c>
      <c r="J841" s="54" t="str" cm="1">
        <f t="array" aca="1" ref="J841" ca="1">IF(B841=0,IF(E841=0,"",HYPERLINK("#"&amp;RIGHT(CELL("adresse",OFFSET(DMAV_Dienste!$M$6,E841-1,0)),LEN(CELL("adresse",OFFSET(DMAV_Dienste!$M$6,E841-1,0)))-FIND("]",CELL("adresse",OFFSET(DMAV_Dienste!$M$6,E841-1,0)))),"Dienst")),HYPERLINK("#"&amp;RIGHT(CELL("adresse",OFFSET(DMAV_Modell!$N$6,B841-1,0)),LEN(CELL("adresse",OFFSET(DMAV_Modell!$N$6,B841-1,0)))-FIND("]",CELL("adresse",OFFSET(DMAV_Modell!$N$6,B841-1,0)))),"Modell"))</f>
        <v>Modell</v>
      </c>
      <c r="K841" s="61" t="str" cm="1">
        <f t="array" ref="K841">IF($B841=0,IF($E841=0,"",IF(INDEX(DMAV_Dienste!P$6:P$140,$E841)="","",INDEX(DMAV_Dienste!P$6:P$140,$E841))),IF(INDEX(DMAV_Modell!Q$6:Q$838,$B841)="","",INDEX(DMAV_Modell!Q$6:Q$838,$B841)))</f>
        <v>DOMAIN</v>
      </c>
      <c r="L841" s="62" t="str" cm="1">
        <f t="array" ref="L841">IF($B841=0,IF($E841=0,"",IF(INDEX(DMAV_Dienste!O$6:O$140,$E841)="","",INDEX(DMAV_Dienste!O$6:O$140,$E841))),IF(INDEX(DMAV_Modell!P$6:P$838,$B841)="","",INDEX(DMAV_Modell!P$6:P$838,$B841)))</f>
        <v>Einzelobjekte</v>
      </c>
      <c r="M841" s="62" t="str" cm="1">
        <f t="array" ref="M841">IF($B841=0,IF($E841=0,"",IF(INDEX(DMAV_Dienste!Q$6:Q$140,$E841)="","",INDEX(DMAV_Dienste!Q$6:Q$140,$E841))),IF(INDEX(DMAV_Modell!R$6:R$838,$B841)="","",INDEX(DMAV_Modell!R$6:R$838,$B841)))</f>
        <v>Einzelobjektart</v>
      </c>
      <c r="N841" s="62" t="str" cm="1">
        <f t="array" ref="N841">IF($B841=0,IF($E841=0,"",IF(INDEX(DMAV_Dienste!T$6:T$140,$E841)="","",INDEX(DMAV_Dienste!T$6:T$140,$E841))),IF(INDEX(DMAV_Modell!U$6:U$838,$B841)="","",INDEX(DMAV_Modell!U$6:U$838,$B841)))</f>
        <v/>
      </c>
      <c r="O841" s="63" t="str" cm="1">
        <f t="array" aca="1" ref="O841" ca="1">IF(C841=0,IF(F841=0,"",HYPERLINK("#"&amp;RIGHT(CELL("adresse",OFFSET(DMAV_Dienste!$M$6,F841-1,0)),LEN(CELL("adresse",OFFSET(DMAV_Dienste!$M$6,F841-1,0)))-FIND("]",CELL("adresse",OFFSET(DMAV_Dienste!$M$6,F841-1,0)))),"Structure")),HYPERLINK("#"&amp;RIGHT(CELL("adresse",OFFSET(DMAV_Modell!$N$6,C841-1,0)),LEN(CELL("adresse",OFFSET(DMAV_Modell!$N$6,C841-1,0)))-FIND("]",CELL("adresse",OFFSET(DMAV_Modell!$N$6,C841-1,0)))),"Structure"))</f>
        <v/>
      </c>
      <c r="P841" s="64" t="str" cm="1">
        <f t="array" aca="1" ref="P841" ca="1">IF(D841=0,IF(G841=0,"",HYPERLINK("#"&amp;RIGHT(CELL("adresse",OFFSET(DMAV_Dienste!$M$6,G841-1,0)),LEN(CELL("adresse",OFFSET(DMAV_Dienste!$M$6,G841-1,0)))-FIND("]",CELL("adresse",OFFSET(DMAV_Dienste!$M$6,G841-1,0)))),"Substructure")),HYPERLINK("#"&amp;RIGHT(CELL("adresse",OFFSET(DMAV_Modell!$N$6,D841-1,0)),LEN(CELL("adresse",OFFSET(DMAV_Modell!$N$6,D841-1,0)))-FIND("]",CELL("adresse",OFFSET(DMAV_Modell!$N$6,D841-1,0)))),"Substructure"))</f>
        <v/>
      </c>
      <c r="R841" s="80"/>
      <c r="T841" s="93"/>
      <c r="U841" s="94"/>
      <c r="V841" s="95"/>
      <c r="W841" s="96"/>
      <c r="Y841" s="85"/>
      <c r="Z841" s="86"/>
      <c r="AA841" s="87"/>
      <c r="AB841" s="88"/>
      <c r="AD841" s="77"/>
      <c r="AF841" s="54" t="str" cm="1">
        <f t="array" aca="1" ref="AF841" ca="1">IF(H841=0,"",HYPERLINK("#"&amp;RIGHT(CELL("adresse",OFFSET('DM01-AV-CH'!$G$6,H841-1,0)),LEN(CELL("adresse",OFFSET('DM01-AV-CH'!$G$6,H841-1,0)))-FIND("]",CELL("adresse",OFFSET('DM01-AV-CH'!$G$6,H841-1,0)))),"Modell"))</f>
        <v>Modell</v>
      </c>
      <c r="AG841" s="72" t="str" cm="1">
        <f t="array" ref="AG841">IF($H841=0,"",IF(INDEX('DM01-AV-CH'!G$6:G$834,$H841)="","",INDEX('DM01-AV-CH'!G$6:G$834,$H841)))</f>
        <v>Einzelobjekte</v>
      </c>
      <c r="AH841" s="73" t="str" cm="1">
        <f t="array" ref="AH841">IF($H841=0,"",IF(INDEX('DM01-AV-CH'!H$6:H$834,$H841)="","",INDEX('DM01-AV-CH'!H$6:H$834,$H841)))</f>
        <v/>
      </c>
      <c r="AI841" s="74" t="str" cm="1">
        <f t="array" ref="AI841">IF($H841=0,"",IF(INDEX('DM01-AV-CH'!I$6:I$834,$H841)="","",INDEX('DM01-AV-CH'!I$6:I$834,$H841)))</f>
        <v>EOArt</v>
      </c>
    </row>
    <row r="842" spans="1:35" x14ac:dyDescent="0.25">
      <c r="A842" s="57">
        <v>837</v>
      </c>
      <c r="B842" s="57">
        <f>IF($A842="","",IF(_xlfn.XLOOKUP($A842,Korrelation!$D$4:$D$1197,Korrelation!E$4:E$1197,"-",0)="-",0,MATCH(_xlfn.XLOOKUP($A842,Korrelation!$D$4:$D$1197,Korrelation!E$4:E$1197,"",0),DMAV_Modell!$G$6:$G$677,0)))</f>
        <v>470</v>
      </c>
      <c r="C842" s="57">
        <f>IF($A842="","",IF(_xlfn.XLOOKUP($A842,Korrelation!$D$4:$D$1197,Korrelation!F$4:F$1197,"-",0)="-",0,MATCH(_xlfn.XLOOKUP($A842,Korrelation!$D$4:$D$1197,Korrelation!F$4:F$1197,"",0),DMAV_Modell!$G$6:$G$677,0)))</f>
        <v>0</v>
      </c>
      <c r="D842" s="57">
        <f>IF($A842="","",IF(_xlfn.XLOOKUP($A842,Korrelation!$D$4:$D$1197,Korrelation!G$4:G$1197,"-",0)="-",0,MATCH(_xlfn.XLOOKUP($A842,Korrelation!$D$4:$D$1197,Korrelation!G$4:G$1197,"",0),DMAV_Modell!$G$6:$G$677,0)))</f>
        <v>0</v>
      </c>
      <c r="E842" s="57">
        <f>IF($A842="","",IF(_xlfn.XLOOKUP($A842,Korrelation!$D$4:$D$1197,Korrelation!H$4:H$1197,"-",0)="-",0,MATCH(_xlfn.XLOOKUP($A842,Korrelation!$D$4:$D$1197,Korrelation!H$4:H$1197,"",0),DMAV_Dienste!$F$6:$F$140,0)))</f>
        <v>0</v>
      </c>
      <c r="F842" s="57">
        <f>IF($A842="","",IF(_xlfn.XLOOKUP($A842,Korrelation!$D$4:$D$1197,Korrelation!I$4:I$1197,"-",0)="-",0,MATCH(_xlfn.XLOOKUP($A842,Korrelation!$D$4:$D$1197,Korrelation!I$4:I$1197,"",0),DMAV_Dienste!$F$6:$F$140,0)))</f>
        <v>0</v>
      </c>
      <c r="G842" s="57">
        <f>IF($A842="","",IF(_xlfn.XLOOKUP($A842,Korrelation!$D$4:$D$1197,Korrelation!J$4:J$1197,"-",0)="-",0,MATCH(_xlfn.XLOOKUP($A842,Korrelation!$D$4:$D$1197,Korrelation!J$4:J$1197,"",0),DMAV_Dienste!$F$6:$F$140,0)))</f>
        <v>0</v>
      </c>
      <c r="H842" s="57">
        <f>IF($A842="","",IF(_xlfn.XLOOKUP($A842,Korrelation!$D$4:$D$1197,Korrelation!K$4:K$1197,"-",0)="-",0,MATCH(_xlfn.XLOOKUP($A842,Korrelation!$D$4:$D$1197,Korrelation!K$4:K$1197,"",0),'DM01-AV-CH'!$A$6:$A$834,0)))</f>
        <v>268</v>
      </c>
      <c r="J842" s="54" t="str" cm="1">
        <f t="array" aca="1" ref="J842" ca="1">IF(B842=0,IF(E842=0,"",HYPERLINK("#"&amp;RIGHT(CELL("adresse",OFFSET(DMAV_Dienste!$M$6,E842-1,0)),LEN(CELL("adresse",OFFSET(DMAV_Dienste!$M$6,E842-1,0)))-FIND("]",CELL("adresse",OFFSET(DMAV_Dienste!$M$6,E842-1,0)))),"Dienst")),HYPERLINK("#"&amp;RIGHT(CELL("adresse",OFFSET(DMAV_Modell!$N$6,B842-1,0)),LEN(CELL("adresse",OFFSET(DMAV_Modell!$N$6,B842-1,0)))-FIND("]",CELL("adresse",OFFSET(DMAV_Modell!$N$6,B842-1,0)))),"Modell"))</f>
        <v>Modell</v>
      </c>
      <c r="K842" s="61" t="str" cm="1">
        <f t="array" ref="K842">IF($B842=0,IF($E842=0,"",IF(INDEX(DMAV_Dienste!P$6:P$140,$E842)="","",INDEX(DMAV_Dienste!P$6:P$140,$E842))),IF(INDEX(DMAV_Modell!Q$6:Q$838,$B842)="","",INDEX(DMAV_Modell!Q$6:Q$838,$B842)))</f>
        <v>DOMAIN</v>
      </c>
      <c r="L842" s="62" t="str" cm="1">
        <f t="array" ref="L842">IF($B842=0,IF($E842=0,"",IF(INDEX(DMAV_Dienste!O$6:O$140,$E842)="","",INDEX(DMAV_Dienste!O$6:O$140,$E842))),IF(INDEX(DMAV_Modell!P$6:P$838,$B842)="","",INDEX(DMAV_Modell!P$6:P$838,$B842)))</f>
        <v>Einzelobjekte</v>
      </c>
      <c r="M842" s="62" t="str" cm="1">
        <f t="array" ref="M842">IF($B842=0,IF($E842=0,"",IF(INDEX(DMAV_Dienste!Q$6:Q$140,$E842)="","",INDEX(DMAV_Dienste!Q$6:Q$140,$E842))),IF(INDEX(DMAV_Modell!R$6:R$838,$B842)="","",INDEX(DMAV_Modell!R$6:R$838,$B842)))</f>
        <v>Einzelobjektart</v>
      </c>
      <c r="N842" s="62" t="str" cm="1">
        <f t="array" ref="N842">IF($B842=0,IF($E842=0,"",IF(INDEX(DMAV_Dienste!T$6:T$140,$E842)="","",INDEX(DMAV_Dienste!T$6:T$140,$E842))),IF(INDEX(DMAV_Modell!U$6:U$838,$B842)="","",INDEX(DMAV_Modell!U$6:U$838,$B842)))</f>
        <v/>
      </c>
      <c r="O842" s="63" t="str" cm="1">
        <f t="array" aca="1" ref="O842" ca="1">IF(C842=0,IF(F842=0,"",HYPERLINK("#"&amp;RIGHT(CELL("adresse",OFFSET(DMAV_Dienste!$M$6,F842-1,0)),LEN(CELL("adresse",OFFSET(DMAV_Dienste!$M$6,F842-1,0)))-FIND("]",CELL("adresse",OFFSET(DMAV_Dienste!$M$6,F842-1,0)))),"Structure")),HYPERLINK("#"&amp;RIGHT(CELL("adresse",OFFSET(DMAV_Modell!$N$6,C842-1,0)),LEN(CELL("adresse",OFFSET(DMAV_Modell!$N$6,C842-1,0)))-FIND("]",CELL("adresse",OFFSET(DMAV_Modell!$N$6,C842-1,0)))),"Structure"))</f>
        <v/>
      </c>
      <c r="P842" s="64" t="str" cm="1">
        <f t="array" aca="1" ref="P842" ca="1">IF(D842=0,IF(G842=0,"",HYPERLINK("#"&amp;RIGHT(CELL("adresse",OFFSET(DMAV_Dienste!$M$6,G842-1,0)),LEN(CELL("adresse",OFFSET(DMAV_Dienste!$M$6,G842-1,0)))-FIND("]",CELL("adresse",OFFSET(DMAV_Dienste!$M$6,G842-1,0)))),"Substructure")),HYPERLINK("#"&amp;RIGHT(CELL("adresse",OFFSET(DMAV_Modell!$N$6,D842-1,0)),LEN(CELL("adresse",OFFSET(DMAV_Modell!$N$6,D842-1,0)))-FIND("]",CELL("adresse",OFFSET(DMAV_Modell!$N$6,D842-1,0)))),"Substructure"))</f>
        <v/>
      </c>
      <c r="R842" s="80"/>
      <c r="T842" s="93"/>
      <c r="U842" s="94"/>
      <c r="V842" s="95"/>
      <c r="W842" s="96"/>
      <c r="Y842" s="85"/>
      <c r="Z842" s="86"/>
      <c r="AA842" s="87"/>
      <c r="AB842" s="88"/>
      <c r="AD842" s="77"/>
      <c r="AF842" s="54" t="str" cm="1">
        <f t="array" aca="1" ref="AF842" ca="1">IF(H842=0,"",HYPERLINK("#"&amp;RIGHT(CELL("adresse",OFFSET('DM01-AV-CH'!$G$6,H842-1,0)),LEN(CELL("adresse",OFFSET('DM01-AV-CH'!$G$6,H842-1,0)))-FIND("]",CELL("adresse",OFFSET('DM01-AV-CH'!$G$6,H842-1,0)))),"Modell"))</f>
        <v>Modell</v>
      </c>
      <c r="AG842" s="72" t="str" cm="1">
        <f t="array" ref="AG842">IF($H842=0,"",IF(INDEX('DM01-AV-CH'!G$6:G$834,$H842)="","",INDEX('DM01-AV-CH'!G$6:G$834,$H842)))</f>
        <v>Einzelobjekte</v>
      </c>
      <c r="AH842" s="73" t="str" cm="1">
        <f t="array" ref="AH842">IF($H842=0,"",IF(INDEX('DM01-AV-CH'!H$6:H$834,$H842)="","",INDEX('DM01-AV-CH'!H$6:H$834,$H842)))</f>
        <v/>
      </c>
      <c r="AI842" s="74" t="str" cm="1">
        <f t="array" ref="AI842">IF($H842=0,"",IF(INDEX('DM01-AV-CH'!I$6:I$834,$H842)="","",INDEX('DM01-AV-CH'!I$6:I$834,$H842)))</f>
        <v>EOArt</v>
      </c>
    </row>
    <row r="843" spans="1:35" x14ac:dyDescent="0.25">
      <c r="A843" s="57">
        <v>838</v>
      </c>
      <c r="B843" s="57">
        <f>IF($A843="","",IF(_xlfn.XLOOKUP($A843,Korrelation!$D$4:$D$1197,Korrelation!E$4:E$1197,"-",0)="-",0,MATCH(_xlfn.XLOOKUP($A843,Korrelation!$D$4:$D$1197,Korrelation!E$4:E$1197,"",0),DMAV_Modell!$G$6:$G$677,0)))</f>
        <v>471</v>
      </c>
      <c r="C843" s="57">
        <f>IF($A843="","",IF(_xlfn.XLOOKUP($A843,Korrelation!$D$4:$D$1197,Korrelation!F$4:F$1197,"-",0)="-",0,MATCH(_xlfn.XLOOKUP($A843,Korrelation!$D$4:$D$1197,Korrelation!F$4:F$1197,"",0),DMAV_Modell!$G$6:$G$677,0)))</f>
        <v>0</v>
      </c>
      <c r="D843" s="57">
        <f>IF($A843="","",IF(_xlfn.XLOOKUP($A843,Korrelation!$D$4:$D$1197,Korrelation!G$4:G$1197,"-",0)="-",0,MATCH(_xlfn.XLOOKUP($A843,Korrelation!$D$4:$D$1197,Korrelation!G$4:G$1197,"",0),DMAV_Modell!$G$6:$G$677,0)))</f>
        <v>0</v>
      </c>
      <c r="E843" s="57">
        <f>IF($A843="","",IF(_xlfn.XLOOKUP($A843,Korrelation!$D$4:$D$1197,Korrelation!H$4:H$1197,"-",0)="-",0,MATCH(_xlfn.XLOOKUP($A843,Korrelation!$D$4:$D$1197,Korrelation!H$4:H$1197,"",0),DMAV_Dienste!$F$6:$F$140,0)))</f>
        <v>0</v>
      </c>
      <c r="F843" s="57">
        <f>IF($A843="","",IF(_xlfn.XLOOKUP($A843,Korrelation!$D$4:$D$1197,Korrelation!I$4:I$1197,"-",0)="-",0,MATCH(_xlfn.XLOOKUP($A843,Korrelation!$D$4:$D$1197,Korrelation!I$4:I$1197,"",0),DMAV_Dienste!$F$6:$F$140,0)))</f>
        <v>0</v>
      </c>
      <c r="G843" s="57">
        <f>IF($A843="","",IF(_xlfn.XLOOKUP($A843,Korrelation!$D$4:$D$1197,Korrelation!J$4:J$1197,"-",0)="-",0,MATCH(_xlfn.XLOOKUP($A843,Korrelation!$D$4:$D$1197,Korrelation!J$4:J$1197,"",0),DMAV_Dienste!$F$6:$F$140,0)))</f>
        <v>0</v>
      </c>
      <c r="H843" s="57">
        <f>IF($A843="","",IF(_xlfn.XLOOKUP($A843,Korrelation!$D$4:$D$1197,Korrelation!K$4:K$1197,"-",0)="-",0,MATCH(_xlfn.XLOOKUP($A843,Korrelation!$D$4:$D$1197,Korrelation!K$4:K$1197,"",0),'DM01-AV-CH'!$A$6:$A$834,0)))</f>
        <v>269</v>
      </c>
      <c r="J843" s="54" t="str" cm="1">
        <f t="array" aca="1" ref="J843" ca="1">IF(B843=0,IF(E843=0,"",HYPERLINK("#"&amp;RIGHT(CELL("adresse",OFFSET(DMAV_Dienste!$M$6,E843-1,0)),LEN(CELL("adresse",OFFSET(DMAV_Dienste!$M$6,E843-1,0)))-FIND("]",CELL("adresse",OFFSET(DMAV_Dienste!$M$6,E843-1,0)))),"Dienst")),HYPERLINK("#"&amp;RIGHT(CELL("adresse",OFFSET(DMAV_Modell!$N$6,B843-1,0)),LEN(CELL("adresse",OFFSET(DMAV_Modell!$N$6,B843-1,0)))-FIND("]",CELL("adresse",OFFSET(DMAV_Modell!$N$6,B843-1,0)))),"Modell"))</f>
        <v>Modell</v>
      </c>
      <c r="K843" s="61" t="str" cm="1">
        <f t="array" ref="K843">IF($B843=0,IF($E843=0,"",IF(INDEX(DMAV_Dienste!P$6:P$140,$E843)="","",INDEX(DMAV_Dienste!P$6:P$140,$E843))),IF(INDEX(DMAV_Modell!Q$6:Q$838,$B843)="","",INDEX(DMAV_Modell!Q$6:Q$838,$B843)))</f>
        <v>DOMAIN</v>
      </c>
      <c r="L843" s="62" t="str" cm="1">
        <f t="array" ref="L843">IF($B843=0,IF($E843=0,"",IF(INDEX(DMAV_Dienste!O$6:O$140,$E843)="","",INDEX(DMAV_Dienste!O$6:O$140,$E843))),IF(INDEX(DMAV_Modell!P$6:P$838,$B843)="","",INDEX(DMAV_Modell!P$6:P$838,$B843)))</f>
        <v>Einzelobjekte</v>
      </c>
      <c r="M843" s="62" t="str" cm="1">
        <f t="array" ref="M843">IF($B843=0,IF($E843=0,"",IF(INDEX(DMAV_Dienste!Q$6:Q$140,$E843)="","",INDEX(DMAV_Dienste!Q$6:Q$140,$E843))),IF(INDEX(DMAV_Modell!R$6:R$838,$B843)="","",INDEX(DMAV_Modell!R$6:R$838,$B843)))</f>
        <v>Einzelobjektart</v>
      </c>
      <c r="N843" s="62" t="str" cm="1">
        <f t="array" ref="N843">IF($B843=0,IF($E843=0,"",IF(INDEX(DMAV_Dienste!T$6:T$140,$E843)="","",INDEX(DMAV_Dienste!T$6:T$140,$E843))),IF(INDEX(DMAV_Modell!U$6:U$838,$B843)="","",INDEX(DMAV_Modell!U$6:U$838,$B843)))</f>
        <v/>
      </c>
      <c r="O843" s="63" t="str" cm="1">
        <f t="array" aca="1" ref="O843" ca="1">IF(C843=0,IF(F843=0,"",HYPERLINK("#"&amp;RIGHT(CELL("adresse",OFFSET(DMAV_Dienste!$M$6,F843-1,0)),LEN(CELL("adresse",OFFSET(DMAV_Dienste!$M$6,F843-1,0)))-FIND("]",CELL("adresse",OFFSET(DMAV_Dienste!$M$6,F843-1,0)))),"Structure")),HYPERLINK("#"&amp;RIGHT(CELL("adresse",OFFSET(DMAV_Modell!$N$6,C843-1,0)),LEN(CELL("adresse",OFFSET(DMAV_Modell!$N$6,C843-1,0)))-FIND("]",CELL("adresse",OFFSET(DMAV_Modell!$N$6,C843-1,0)))),"Structure"))</f>
        <v/>
      </c>
      <c r="P843" s="64" t="str" cm="1">
        <f t="array" aca="1" ref="P843" ca="1">IF(D843=0,IF(G843=0,"",HYPERLINK("#"&amp;RIGHT(CELL("adresse",OFFSET(DMAV_Dienste!$M$6,G843-1,0)),LEN(CELL("adresse",OFFSET(DMAV_Dienste!$M$6,G843-1,0)))-FIND("]",CELL("adresse",OFFSET(DMAV_Dienste!$M$6,G843-1,0)))),"Substructure")),HYPERLINK("#"&amp;RIGHT(CELL("adresse",OFFSET(DMAV_Modell!$N$6,D843-1,0)),LEN(CELL("adresse",OFFSET(DMAV_Modell!$N$6,D843-1,0)))-FIND("]",CELL("adresse",OFFSET(DMAV_Modell!$N$6,D843-1,0)))),"Substructure"))</f>
        <v/>
      </c>
      <c r="R843" s="80"/>
      <c r="T843" s="93"/>
      <c r="U843" s="94"/>
      <c r="V843" s="95"/>
      <c r="W843" s="96"/>
      <c r="Y843" s="85"/>
      <c r="Z843" s="86"/>
      <c r="AA843" s="87"/>
      <c r="AB843" s="88"/>
      <c r="AD843" s="77"/>
      <c r="AF843" s="54" t="str" cm="1">
        <f t="array" aca="1" ref="AF843" ca="1">IF(H843=0,"",HYPERLINK("#"&amp;RIGHT(CELL("adresse",OFFSET('DM01-AV-CH'!$G$6,H843-1,0)),LEN(CELL("adresse",OFFSET('DM01-AV-CH'!$G$6,H843-1,0)))-FIND("]",CELL("adresse",OFFSET('DM01-AV-CH'!$G$6,H843-1,0)))),"Modell"))</f>
        <v>Modell</v>
      </c>
      <c r="AG843" s="72" t="str" cm="1">
        <f t="array" ref="AG843">IF($H843=0,"",IF(INDEX('DM01-AV-CH'!G$6:G$834,$H843)="","",INDEX('DM01-AV-CH'!G$6:G$834,$H843)))</f>
        <v>Einzelobjekte</v>
      </c>
      <c r="AH843" s="73" t="str" cm="1">
        <f t="array" ref="AH843">IF($H843=0,"",IF(INDEX('DM01-AV-CH'!H$6:H$834,$H843)="","",INDEX('DM01-AV-CH'!H$6:H$834,$H843)))</f>
        <v/>
      </c>
      <c r="AI843" s="74" t="str" cm="1">
        <f t="array" ref="AI843">IF($H843=0,"",IF(INDEX('DM01-AV-CH'!I$6:I$834,$H843)="","",INDEX('DM01-AV-CH'!I$6:I$834,$H843)))</f>
        <v>EOArt</v>
      </c>
    </row>
    <row r="844" spans="1:35" x14ac:dyDescent="0.25">
      <c r="A844" s="57">
        <v>839</v>
      </c>
      <c r="B844" s="57">
        <f>IF($A844="","",IF(_xlfn.XLOOKUP($A844,Korrelation!$D$4:$D$1197,Korrelation!E$4:E$1197,"-",0)="-",0,MATCH(_xlfn.XLOOKUP($A844,Korrelation!$D$4:$D$1197,Korrelation!E$4:E$1197,"",0),DMAV_Modell!$G$6:$G$677,0)))</f>
        <v>472</v>
      </c>
      <c r="C844" s="57">
        <f>IF($A844="","",IF(_xlfn.XLOOKUP($A844,Korrelation!$D$4:$D$1197,Korrelation!F$4:F$1197,"-",0)="-",0,MATCH(_xlfn.XLOOKUP($A844,Korrelation!$D$4:$D$1197,Korrelation!F$4:F$1197,"",0),DMAV_Modell!$G$6:$G$677,0)))</f>
        <v>0</v>
      </c>
      <c r="D844" s="57">
        <f>IF($A844="","",IF(_xlfn.XLOOKUP($A844,Korrelation!$D$4:$D$1197,Korrelation!G$4:G$1197,"-",0)="-",0,MATCH(_xlfn.XLOOKUP($A844,Korrelation!$D$4:$D$1197,Korrelation!G$4:G$1197,"",0),DMAV_Modell!$G$6:$G$677,0)))</f>
        <v>0</v>
      </c>
      <c r="E844" s="57">
        <f>IF($A844="","",IF(_xlfn.XLOOKUP($A844,Korrelation!$D$4:$D$1197,Korrelation!H$4:H$1197,"-",0)="-",0,MATCH(_xlfn.XLOOKUP($A844,Korrelation!$D$4:$D$1197,Korrelation!H$4:H$1197,"",0),DMAV_Dienste!$F$6:$F$140,0)))</f>
        <v>0</v>
      </c>
      <c r="F844" s="57">
        <f>IF($A844="","",IF(_xlfn.XLOOKUP($A844,Korrelation!$D$4:$D$1197,Korrelation!I$4:I$1197,"-",0)="-",0,MATCH(_xlfn.XLOOKUP($A844,Korrelation!$D$4:$D$1197,Korrelation!I$4:I$1197,"",0),DMAV_Dienste!$F$6:$F$140,0)))</f>
        <v>0</v>
      </c>
      <c r="G844" s="57">
        <f>IF($A844="","",IF(_xlfn.XLOOKUP($A844,Korrelation!$D$4:$D$1197,Korrelation!J$4:J$1197,"-",0)="-",0,MATCH(_xlfn.XLOOKUP($A844,Korrelation!$D$4:$D$1197,Korrelation!J$4:J$1197,"",0),DMAV_Dienste!$F$6:$F$140,0)))</f>
        <v>0</v>
      </c>
      <c r="H844" s="57">
        <f>IF($A844="","",IF(_xlfn.XLOOKUP($A844,Korrelation!$D$4:$D$1197,Korrelation!K$4:K$1197,"-",0)="-",0,MATCH(_xlfn.XLOOKUP($A844,Korrelation!$D$4:$D$1197,Korrelation!K$4:K$1197,"",0),'DM01-AV-CH'!$A$6:$A$834,0)))</f>
        <v>270</v>
      </c>
      <c r="J844" s="54" t="str" cm="1">
        <f t="array" aca="1" ref="J844" ca="1">IF(B844=0,IF(E844=0,"",HYPERLINK("#"&amp;RIGHT(CELL("adresse",OFFSET(DMAV_Dienste!$M$6,E844-1,0)),LEN(CELL("adresse",OFFSET(DMAV_Dienste!$M$6,E844-1,0)))-FIND("]",CELL("adresse",OFFSET(DMAV_Dienste!$M$6,E844-1,0)))),"Dienst")),HYPERLINK("#"&amp;RIGHT(CELL("adresse",OFFSET(DMAV_Modell!$N$6,B844-1,0)),LEN(CELL("adresse",OFFSET(DMAV_Modell!$N$6,B844-1,0)))-FIND("]",CELL("adresse",OFFSET(DMAV_Modell!$N$6,B844-1,0)))),"Modell"))</f>
        <v>Modell</v>
      </c>
      <c r="K844" s="61" t="str" cm="1">
        <f t="array" ref="K844">IF($B844=0,IF($E844=0,"",IF(INDEX(DMAV_Dienste!P$6:P$140,$E844)="","",INDEX(DMAV_Dienste!P$6:P$140,$E844))),IF(INDEX(DMAV_Modell!Q$6:Q$838,$B844)="","",INDEX(DMAV_Modell!Q$6:Q$838,$B844)))</f>
        <v>DOMAIN</v>
      </c>
      <c r="L844" s="62" t="str" cm="1">
        <f t="array" ref="L844">IF($B844=0,IF($E844=0,"",IF(INDEX(DMAV_Dienste!O$6:O$140,$E844)="","",INDEX(DMAV_Dienste!O$6:O$140,$E844))),IF(INDEX(DMAV_Modell!P$6:P$838,$B844)="","",INDEX(DMAV_Modell!P$6:P$838,$B844)))</f>
        <v>Einzelobjekte</v>
      </c>
      <c r="M844" s="62" t="str" cm="1">
        <f t="array" ref="M844">IF($B844=0,IF($E844=0,"",IF(INDEX(DMAV_Dienste!Q$6:Q$140,$E844)="","",INDEX(DMAV_Dienste!Q$6:Q$140,$E844))),IF(INDEX(DMAV_Modell!R$6:R$838,$B844)="","",INDEX(DMAV_Modell!R$6:R$838,$B844)))</f>
        <v>Einzelobjektart</v>
      </c>
      <c r="N844" s="62" t="str" cm="1">
        <f t="array" ref="N844">IF($B844=0,IF($E844=0,"",IF(INDEX(DMAV_Dienste!T$6:T$140,$E844)="","",INDEX(DMAV_Dienste!T$6:T$140,$E844))),IF(INDEX(DMAV_Modell!U$6:U$838,$B844)="","",INDEX(DMAV_Modell!U$6:U$838,$B844)))</f>
        <v/>
      </c>
      <c r="O844" s="63" t="str" cm="1">
        <f t="array" aca="1" ref="O844" ca="1">IF(C844=0,IF(F844=0,"",HYPERLINK("#"&amp;RIGHT(CELL("adresse",OFFSET(DMAV_Dienste!$M$6,F844-1,0)),LEN(CELL("adresse",OFFSET(DMAV_Dienste!$M$6,F844-1,0)))-FIND("]",CELL("adresse",OFFSET(DMAV_Dienste!$M$6,F844-1,0)))),"Structure")),HYPERLINK("#"&amp;RIGHT(CELL("adresse",OFFSET(DMAV_Modell!$N$6,C844-1,0)),LEN(CELL("adresse",OFFSET(DMAV_Modell!$N$6,C844-1,0)))-FIND("]",CELL("adresse",OFFSET(DMAV_Modell!$N$6,C844-1,0)))),"Structure"))</f>
        <v/>
      </c>
      <c r="P844" s="64" t="str" cm="1">
        <f t="array" aca="1" ref="P844" ca="1">IF(D844=0,IF(G844=0,"",HYPERLINK("#"&amp;RIGHT(CELL("adresse",OFFSET(DMAV_Dienste!$M$6,G844-1,0)),LEN(CELL("adresse",OFFSET(DMAV_Dienste!$M$6,G844-1,0)))-FIND("]",CELL("adresse",OFFSET(DMAV_Dienste!$M$6,G844-1,0)))),"Substructure")),HYPERLINK("#"&amp;RIGHT(CELL("adresse",OFFSET(DMAV_Modell!$N$6,D844-1,0)),LEN(CELL("adresse",OFFSET(DMAV_Modell!$N$6,D844-1,0)))-FIND("]",CELL("adresse",OFFSET(DMAV_Modell!$N$6,D844-1,0)))),"Substructure"))</f>
        <v/>
      </c>
      <c r="R844" s="80"/>
      <c r="T844" s="93"/>
      <c r="U844" s="94"/>
      <c r="V844" s="95"/>
      <c r="W844" s="96"/>
      <c r="Y844" s="85"/>
      <c r="Z844" s="86"/>
      <c r="AA844" s="87"/>
      <c r="AB844" s="88"/>
      <c r="AD844" s="77"/>
      <c r="AF844" s="54" t="str" cm="1">
        <f t="array" aca="1" ref="AF844" ca="1">IF(H844=0,"",HYPERLINK("#"&amp;RIGHT(CELL("adresse",OFFSET('DM01-AV-CH'!$G$6,H844-1,0)),LEN(CELL("adresse",OFFSET('DM01-AV-CH'!$G$6,H844-1,0)))-FIND("]",CELL("adresse",OFFSET('DM01-AV-CH'!$G$6,H844-1,0)))),"Modell"))</f>
        <v>Modell</v>
      </c>
      <c r="AG844" s="72" t="str" cm="1">
        <f t="array" ref="AG844">IF($H844=0,"",IF(INDEX('DM01-AV-CH'!G$6:G$834,$H844)="","",INDEX('DM01-AV-CH'!G$6:G$834,$H844)))</f>
        <v>Einzelobjekte</v>
      </c>
      <c r="AH844" s="73" t="str" cm="1">
        <f t="array" ref="AH844">IF($H844=0,"",IF(INDEX('DM01-AV-CH'!H$6:H$834,$H844)="","",INDEX('DM01-AV-CH'!H$6:H$834,$H844)))</f>
        <v/>
      </c>
      <c r="AI844" s="74" t="str" cm="1">
        <f t="array" ref="AI844">IF($H844=0,"",IF(INDEX('DM01-AV-CH'!I$6:I$834,$H844)="","",INDEX('DM01-AV-CH'!I$6:I$834,$H844)))</f>
        <v>EOArt</v>
      </c>
    </row>
    <row r="845" spans="1:35" x14ac:dyDescent="0.25">
      <c r="A845" s="57">
        <v>840</v>
      </c>
      <c r="B845" s="57">
        <f>IF($A845="","",IF(_xlfn.XLOOKUP($A845,Korrelation!$D$4:$D$1197,Korrelation!E$4:E$1197,"-",0)="-",0,MATCH(_xlfn.XLOOKUP($A845,Korrelation!$D$4:$D$1197,Korrelation!E$4:E$1197,"",0),DMAV_Modell!$G$6:$G$677,0)))</f>
        <v>473</v>
      </c>
      <c r="C845" s="57">
        <f>IF($A845="","",IF(_xlfn.XLOOKUP($A845,Korrelation!$D$4:$D$1197,Korrelation!F$4:F$1197,"-",0)="-",0,MATCH(_xlfn.XLOOKUP($A845,Korrelation!$D$4:$D$1197,Korrelation!F$4:F$1197,"",0),DMAV_Modell!$G$6:$G$677,0)))</f>
        <v>0</v>
      </c>
      <c r="D845" s="57">
        <f>IF($A845="","",IF(_xlfn.XLOOKUP($A845,Korrelation!$D$4:$D$1197,Korrelation!G$4:G$1197,"-",0)="-",0,MATCH(_xlfn.XLOOKUP($A845,Korrelation!$D$4:$D$1197,Korrelation!G$4:G$1197,"",0),DMAV_Modell!$G$6:$G$677,0)))</f>
        <v>0</v>
      </c>
      <c r="E845" s="57">
        <f>IF($A845="","",IF(_xlfn.XLOOKUP($A845,Korrelation!$D$4:$D$1197,Korrelation!H$4:H$1197,"-",0)="-",0,MATCH(_xlfn.XLOOKUP($A845,Korrelation!$D$4:$D$1197,Korrelation!H$4:H$1197,"",0),DMAV_Dienste!$F$6:$F$140,0)))</f>
        <v>0</v>
      </c>
      <c r="F845" s="57">
        <f>IF($A845="","",IF(_xlfn.XLOOKUP($A845,Korrelation!$D$4:$D$1197,Korrelation!I$4:I$1197,"-",0)="-",0,MATCH(_xlfn.XLOOKUP($A845,Korrelation!$D$4:$D$1197,Korrelation!I$4:I$1197,"",0),DMAV_Dienste!$F$6:$F$140,0)))</f>
        <v>0</v>
      </c>
      <c r="G845" s="57">
        <f>IF($A845="","",IF(_xlfn.XLOOKUP($A845,Korrelation!$D$4:$D$1197,Korrelation!J$4:J$1197,"-",0)="-",0,MATCH(_xlfn.XLOOKUP($A845,Korrelation!$D$4:$D$1197,Korrelation!J$4:J$1197,"",0),DMAV_Dienste!$F$6:$F$140,0)))</f>
        <v>0</v>
      </c>
      <c r="H845" s="57">
        <f>IF($A845="","",IF(_xlfn.XLOOKUP($A845,Korrelation!$D$4:$D$1197,Korrelation!K$4:K$1197,"-",0)="-",0,MATCH(_xlfn.XLOOKUP($A845,Korrelation!$D$4:$D$1197,Korrelation!K$4:K$1197,"",0),'DM01-AV-CH'!$A$6:$A$834,0)))</f>
        <v>271</v>
      </c>
      <c r="J845" s="54" t="str" cm="1">
        <f t="array" aca="1" ref="J845" ca="1">IF(B845=0,IF(E845=0,"",HYPERLINK("#"&amp;RIGHT(CELL("adresse",OFFSET(DMAV_Dienste!$M$6,E845-1,0)),LEN(CELL("adresse",OFFSET(DMAV_Dienste!$M$6,E845-1,0)))-FIND("]",CELL("adresse",OFFSET(DMAV_Dienste!$M$6,E845-1,0)))),"Dienst")),HYPERLINK("#"&amp;RIGHT(CELL("adresse",OFFSET(DMAV_Modell!$N$6,B845-1,0)),LEN(CELL("adresse",OFFSET(DMAV_Modell!$N$6,B845-1,0)))-FIND("]",CELL("adresse",OFFSET(DMAV_Modell!$N$6,B845-1,0)))),"Modell"))</f>
        <v>Modell</v>
      </c>
      <c r="K845" s="61" t="str" cm="1">
        <f t="array" ref="K845">IF($B845=0,IF($E845=0,"",IF(INDEX(DMAV_Dienste!P$6:P$140,$E845)="","",INDEX(DMAV_Dienste!P$6:P$140,$E845))),IF(INDEX(DMAV_Modell!Q$6:Q$838,$B845)="","",INDEX(DMAV_Modell!Q$6:Q$838,$B845)))</f>
        <v>DOMAIN</v>
      </c>
      <c r="L845" s="62" t="str" cm="1">
        <f t="array" ref="L845">IF($B845=0,IF($E845=0,"",IF(INDEX(DMAV_Dienste!O$6:O$140,$E845)="","",INDEX(DMAV_Dienste!O$6:O$140,$E845))),IF(INDEX(DMAV_Modell!P$6:P$838,$B845)="","",INDEX(DMAV_Modell!P$6:P$838,$B845)))</f>
        <v>Einzelobjekte</v>
      </c>
      <c r="M845" s="62" t="str" cm="1">
        <f t="array" ref="M845">IF($B845=0,IF($E845=0,"",IF(INDEX(DMAV_Dienste!Q$6:Q$140,$E845)="","",INDEX(DMAV_Dienste!Q$6:Q$140,$E845))),IF(INDEX(DMAV_Modell!R$6:R$838,$B845)="","",INDEX(DMAV_Modell!R$6:R$838,$B845)))</f>
        <v>Einzelobjektart</v>
      </c>
      <c r="N845" s="62" t="str" cm="1">
        <f t="array" ref="N845">IF($B845=0,IF($E845=0,"",IF(INDEX(DMAV_Dienste!T$6:T$140,$E845)="","",INDEX(DMAV_Dienste!T$6:T$140,$E845))),IF(INDEX(DMAV_Modell!U$6:U$838,$B845)="","",INDEX(DMAV_Modell!U$6:U$838,$B845)))</f>
        <v/>
      </c>
      <c r="O845" s="63" t="str" cm="1">
        <f t="array" aca="1" ref="O845" ca="1">IF(C845=0,IF(F845=0,"",HYPERLINK("#"&amp;RIGHT(CELL("adresse",OFFSET(DMAV_Dienste!$M$6,F845-1,0)),LEN(CELL("adresse",OFFSET(DMAV_Dienste!$M$6,F845-1,0)))-FIND("]",CELL("adresse",OFFSET(DMAV_Dienste!$M$6,F845-1,0)))),"Structure")),HYPERLINK("#"&amp;RIGHT(CELL("adresse",OFFSET(DMAV_Modell!$N$6,C845-1,0)),LEN(CELL("adresse",OFFSET(DMAV_Modell!$N$6,C845-1,0)))-FIND("]",CELL("adresse",OFFSET(DMAV_Modell!$N$6,C845-1,0)))),"Structure"))</f>
        <v/>
      </c>
      <c r="P845" s="64" t="str" cm="1">
        <f t="array" aca="1" ref="P845" ca="1">IF(D845=0,IF(G845=0,"",HYPERLINK("#"&amp;RIGHT(CELL("adresse",OFFSET(DMAV_Dienste!$M$6,G845-1,0)),LEN(CELL("adresse",OFFSET(DMAV_Dienste!$M$6,G845-1,0)))-FIND("]",CELL("adresse",OFFSET(DMAV_Dienste!$M$6,G845-1,0)))),"Substructure")),HYPERLINK("#"&amp;RIGHT(CELL("adresse",OFFSET(DMAV_Modell!$N$6,D845-1,0)),LEN(CELL("adresse",OFFSET(DMAV_Modell!$N$6,D845-1,0)))-FIND("]",CELL("adresse",OFFSET(DMAV_Modell!$N$6,D845-1,0)))),"Substructure"))</f>
        <v/>
      </c>
      <c r="R845" s="80"/>
      <c r="T845" s="93"/>
      <c r="U845" s="94"/>
      <c r="V845" s="95"/>
      <c r="W845" s="96"/>
      <c r="Y845" s="85"/>
      <c r="Z845" s="86"/>
      <c r="AA845" s="87"/>
      <c r="AB845" s="88"/>
      <c r="AD845" s="77"/>
      <c r="AF845" s="54" t="str" cm="1">
        <f t="array" aca="1" ref="AF845" ca="1">IF(H845=0,"",HYPERLINK("#"&amp;RIGHT(CELL("adresse",OFFSET('DM01-AV-CH'!$G$6,H845-1,0)),LEN(CELL("adresse",OFFSET('DM01-AV-CH'!$G$6,H845-1,0)))-FIND("]",CELL("adresse",OFFSET('DM01-AV-CH'!$G$6,H845-1,0)))),"Modell"))</f>
        <v>Modell</v>
      </c>
      <c r="AG845" s="72" t="str" cm="1">
        <f t="array" ref="AG845">IF($H845=0,"",IF(INDEX('DM01-AV-CH'!G$6:G$834,$H845)="","",INDEX('DM01-AV-CH'!G$6:G$834,$H845)))</f>
        <v>Einzelobjekte</v>
      </c>
      <c r="AH845" s="73" t="str" cm="1">
        <f t="array" ref="AH845">IF($H845=0,"",IF(INDEX('DM01-AV-CH'!H$6:H$834,$H845)="","",INDEX('DM01-AV-CH'!H$6:H$834,$H845)))</f>
        <v/>
      </c>
      <c r="AI845" s="74" t="str" cm="1">
        <f t="array" ref="AI845">IF($H845=0,"",IF(INDEX('DM01-AV-CH'!I$6:I$834,$H845)="","",INDEX('DM01-AV-CH'!I$6:I$834,$H845)))</f>
        <v>EOArt</v>
      </c>
    </row>
    <row r="846" spans="1:35" x14ac:dyDescent="0.25">
      <c r="A846" s="57">
        <v>841</v>
      </c>
      <c r="B846" s="57">
        <f>IF($A846="","",IF(_xlfn.XLOOKUP($A846,Korrelation!$D$4:$D$1197,Korrelation!E$4:E$1197,"-",0)="-",0,MATCH(_xlfn.XLOOKUP($A846,Korrelation!$D$4:$D$1197,Korrelation!E$4:E$1197,"",0),DMAV_Modell!$G$6:$G$677,0)))</f>
        <v>474</v>
      </c>
      <c r="C846" s="57">
        <f>IF($A846="","",IF(_xlfn.XLOOKUP($A846,Korrelation!$D$4:$D$1197,Korrelation!F$4:F$1197,"-",0)="-",0,MATCH(_xlfn.XLOOKUP($A846,Korrelation!$D$4:$D$1197,Korrelation!F$4:F$1197,"",0),DMAV_Modell!$G$6:$G$677,0)))</f>
        <v>0</v>
      </c>
      <c r="D846" s="57">
        <f>IF($A846="","",IF(_xlfn.XLOOKUP($A846,Korrelation!$D$4:$D$1197,Korrelation!G$4:G$1197,"-",0)="-",0,MATCH(_xlfn.XLOOKUP($A846,Korrelation!$D$4:$D$1197,Korrelation!G$4:G$1197,"",0),DMAV_Modell!$G$6:$G$677,0)))</f>
        <v>0</v>
      </c>
      <c r="E846" s="57">
        <f>IF($A846="","",IF(_xlfn.XLOOKUP($A846,Korrelation!$D$4:$D$1197,Korrelation!H$4:H$1197,"-",0)="-",0,MATCH(_xlfn.XLOOKUP($A846,Korrelation!$D$4:$D$1197,Korrelation!H$4:H$1197,"",0),DMAV_Dienste!$F$6:$F$140,0)))</f>
        <v>0</v>
      </c>
      <c r="F846" s="57">
        <f>IF($A846="","",IF(_xlfn.XLOOKUP($A846,Korrelation!$D$4:$D$1197,Korrelation!I$4:I$1197,"-",0)="-",0,MATCH(_xlfn.XLOOKUP($A846,Korrelation!$D$4:$D$1197,Korrelation!I$4:I$1197,"",0),DMAV_Dienste!$F$6:$F$140,0)))</f>
        <v>0</v>
      </c>
      <c r="G846" s="57">
        <f>IF($A846="","",IF(_xlfn.XLOOKUP($A846,Korrelation!$D$4:$D$1197,Korrelation!J$4:J$1197,"-",0)="-",0,MATCH(_xlfn.XLOOKUP($A846,Korrelation!$D$4:$D$1197,Korrelation!J$4:J$1197,"",0),DMAV_Dienste!$F$6:$F$140,0)))</f>
        <v>0</v>
      </c>
      <c r="H846" s="57">
        <f>IF($A846="","",IF(_xlfn.XLOOKUP($A846,Korrelation!$D$4:$D$1197,Korrelation!K$4:K$1197,"-",0)="-",0,MATCH(_xlfn.XLOOKUP($A846,Korrelation!$D$4:$D$1197,Korrelation!K$4:K$1197,"",0),'DM01-AV-CH'!$A$6:$A$834,0)))</f>
        <v>272</v>
      </c>
      <c r="J846" s="54" t="str" cm="1">
        <f t="array" aca="1" ref="J846" ca="1">IF(B846=0,IF(E846=0,"",HYPERLINK("#"&amp;RIGHT(CELL("adresse",OFFSET(DMAV_Dienste!$M$6,E846-1,0)),LEN(CELL("adresse",OFFSET(DMAV_Dienste!$M$6,E846-1,0)))-FIND("]",CELL("adresse",OFFSET(DMAV_Dienste!$M$6,E846-1,0)))),"Dienst")),HYPERLINK("#"&amp;RIGHT(CELL("adresse",OFFSET(DMAV_Modell!$N$6,B846-1,0)),LEN(CELL("adresse",OFFSET(DMAV_Modell!$N$6,B846-1,0)))-FIND("]",CELL("adresse",OFFSET(DMAV_Modell!$N$6,B846-1,0)))),"Modell"))</f>
        <v>Modell</v>
      </c>
      <c r="K846" s="61" t="str" cm="1">
        <f t="array" ref="K846">IF($B846=0,IF($E846=0,"",IF(INDEX(DMAV_Dienste!P$6:P$140,$E846)="","",INDEX(DMAV_Dienste!P$6:P$140,$E846))),IF(INDEX(DMAV_Modell!Q$6:Q$838,$B846)="","",INDEX(DMAV_Modell!Q$6:Q$838,$B846)))</f>
        <v>DOMAIN</v>
      </c>
      <c r="L846" s="62" t="str" cm="1">
        <f t="array" ref="L846">IF($B846=0,IF($E846=0,"",IF(INDEX(DMAV_Dienste!O$6:O$140,$E846)="","",INDEX(DMAV_Dienste!O$6:O$140,$E846))),IF(INDEX(DMAV_Modell!P$6:P$838,$B846)="","",INDEX(DMAV_Modell!P$6:P$838,$B846)))</f>
        <v>Einzelobjekte</v>
      </c>
      <c r="M846" s="62" t="str" cm="1">
        <f t="array" ref="M846">IF($B846=0,IF($E846=0,"",IF(INDEX(DMAV_Dienste!Q$6:Q$140,$E846)="","",INDEX(DMAV_Dienste!Q$6:Q$140,$E846))),IF(INDEX(DMAV_Modell!R$6:R$838,$B846)="","",INDEX(DMAV_Modell!R$6:R$838,$B846)))</f>
        <v>Einzelobjektart</v>
      </c>
      <c r="N846" s="62" t="str" cm="1">
        <f t="array" ref="N846">IF($B846=0,IF($E846=0,"",IF(INDEX(DMAV_Dienste!T$6:T$140,$E846)="","",INDEX(DMAV_Dienste!T$6:T$140,$E846))),IF(INDEX(DMAV_Modell!U$6:U$838,$B846)="","",INDEX(DMAV_Modell!U$6:U$838,$B846)))</f>
        <v/>
      </c>
      <c r="O846" s="63" t="str" cm="1">
        <f t="array" aca="1" ref="O846" ca="1">IF(C846=0,IF(F846=0,"",HYPERLINK("#"&amp;RIGHT(CELL("adresse",OFFSET(DMAV_Dienste!$M$6,F846-1,0)),LEN(CELL("adresse",OFFSET(DMAV_Dienste!$M$6,F846-1,0)))-FIND("]",CELL("adresse",OFFSET(DMAV_Dienste!$M$6,F846-1,0)))),"Structure")),HYPERLINK("#"&amp;RIGHT(CELL("adresse",OFFSET(DMAV_Modell!$N$6,C846-1,0)),LEN(CELL("adresse",OFFSET(DMAV_Modell!$N$6,C846-1,0)))-FIND("]",CELL("adresse",OFFSET(DMAV_Modell!$N$6,C846-1,0)))),"Structure"))</f>
        <v/>
      </c>
      <c r="P846" s="64" t="str" cm="1">
        <f t="array" aca="1" ref="P846" ca="1">IF(D846=0,IF(G846=0,"",HYPERLINK("#"&amp;RIGHT(CELL("adresse",OFFSET(DMAV_Dienste!$M$6,G846-1,0)),LEN(CELL("adresse",OFFSET(DMAV_Dienste!$M$6,G846-1,0)))-FIND("]",CELL("adresse",OFFSET(DMAV_Dienste!$M$6,G846-1,0)))),"Substructure")),HYPERLINK("#"&amp;RIGHT(CELL("adresse",OFFSET(DMAV_Modell!$N$6,D846-1,0)),LEN(CELL("adresse",OFFSET(DMAV_Modell!$N$6,D846-1,0)))-FIND("]",CELL("adresse",OFFSET(DMAV_Modell!$N$6,D846-1,0)))),"Substructure"))</f>
        <v/>
      </c>
      <c r="R846" s="80"/>
      <c r="T846" s="93"/>
      <c r="U846" s="94"/>
      <c r="V846" s="95"/>
      <c r="W846" s="96"/>
      <c r="Y846" s="85"/>
      <c r="Z846" s="86"/>
      <c r="AA846" s="87"/>
      <c r="AB846" s="88"/>
      <c r="AD846" s="77"/>
      <c r="AF846" s="54" t="str" cm="1">
        <f t="array" aca="1" ref="AF846" ca="1">IF(H846=0,"",HYPERLINK("#"&amp;RIGHT(CELL("adresse",OFFSET('DM01-AV-CH'!$G$6,H846-1,0)),LEN(CELL("adresse",OFFSET('DM01-AV-CH'!$G$6,H846-1,0)))-FIND("]",CELL("adresse",OFFSET('DM01-AV-CH'!$G$6,H846-1,0)))),"Modell"))</f>
        <v>Modell</v>
      </c>
      <c r="AG846" s="72" t="str" cm="1">
        <f t="array" ref="AG846">IF($H846=0,"",IF(INDEX('DM01-AV-CH'!G$6:G$834,$H846)="","",INDEX('DM01-AV-CH'!G$6:G$834,$H846)))</f>
        <v>Einzelobjekte</v>
      </c>
      <c r="AH846" s="73" t="str" cm="1">
        <f t="array" ref="AH846">IF($H846=0,"",IF(INDEX('DM01-AV-CH'!H$6:H$834,$H846)="","",INDEX('DM01-AV-CH'!H$6:H$834,$H846)))</f>
        <v/>
      </c>
      <c r="AI846" s="74" t="str" cm="1">
        <f t="array" ref="AI846">IF($H846=0,"",IF(INDEX('DM01-AV-CH'!I$6:I$834,$H846)="","",INDEX('DM01-AV-CH'!I$6:I$834,$H846)))</f>
        <v>EOArt</v>
      </c>
    </row>
    <row r="847" spans="1:35" x14ac:dyDescent="0.25">
      <c r="A847" s="57">
        <v>842</v>
      </c>
      <c r="B847" s="57">
        <f>IF($A847="","",IF(_xlfn.XLOOKUP($A847,Korrelation!$D$4:$D$1197,Korrelation!E$4:E$1197,"-",0)="-",0,MATCH(_xlfn.XLOOKUP($A847,Korrelation!$D$4:$D$1197,Korrelation!E$4:E$1197,"",0),DMAV_Modell!$G$6:$G$677,0)))</f>
        <v>475</v>
      </c>
      <c r="C847" s="57">
        <f>IF($A847="","",IF(_xlfn.XLOOKUP($A847,Korrelation!$D$4:$D$1197,Korrelation!F$4:F$1197,"-",0)="-",0,MATCH(_xlfn.XLOOKUP($A847,Korrelation!$D$4:$D$1197,Korrelation!F$4:F$1197,"",0),DMAV_Modell!$G$6:$G$677,0)))</f>
        <v>0</v>
      </c>
      <c r="D847" s="57">
        <f>IF($A847="","",IF(_xlfn.XLOOKUP($A847,Korrelation!$D$4:$D$1197,Korrelation!G$4:G$1197,"-",0)="-",0,MATCH(_xlfn.XLOOKUP($A847,Korrelation!$D$4:$D$1197,Korrelation!G$4:G$1197,"",0),DMAV_Modell!$G$6:$G$677,0)))</f>
        <v>0</v>
      </c>
      <c r="E847" s="57">
        <f>IF($A847="","",IF(_xlfn.XLOOKUP($A847,Korrelation!$D$4:$D$1197,Korrelation!H$4:H$1197,"-",0)="-",0,MATCH(_xlfn.XLOOKUP($A847,Korrelation!$D$4:$D$1197,Korrelation!H$4:H$1197,"",0),DMAV_Dienste!$F$6:$F$140,0)))</f>
        <v>0</v>
      </c>
      <c r="F847" s="57">
        <f>IF($A847="","",IF(_xlfn.XLOOKUP($A847,Korrelation!$D$4:$D$1197,Korrelation!I$4:I$1197,"-",0)="-",0,MATCH(_xlfn.XLOOKUP($A847,Korrelation!$D$4:$D$1197,Korrelation!I$4:I$1197,"",0),DMAV_Dienste!$F$6:$F$140,0)))</f>
        <v>0</v>
      </c>
      <c r="G847" s="57">
        <f>IF($A847="","",IF(_xlfn.XLOOKUP($A847,Korrelation!$D$4:$D$1197,Korrelation!J$4:J$1197,"-",0)="-",0,MATCH(_xlfn.XLOOKUP($A847,Korrelation!$D$4:$D$1197,Korrelation!J$4:J$1197,"",0),DMAV_Dienste!$F$6:$F$140,0)))</f>
        <v>0</v>
      </c>
      <c r="H847" s="57">
        <f>IF($A847="","",IF(_xlfn.XLOOKUP($A847,Korrelation!$D$4:$D$1197,Korrelation!K$4:K$1197,"-",0)="-",0,MATCH(_xlfn.XLOOKUP($A847,Korrelation!$D$4:$D$1197,Korrelation!K$4:K$1197,"",0),'DM01-AV-CH'!$A$6:$A$834,0)))</f>
        <v>273</v>
      </c>
      <c r="J847" s="54" t="str" cm="1">
        <f t="array" aca="1" ref="J847" ca="1">IF(B847=0,IF(E847=0,"",HYPERLINK("#"&amp;RIGHT(CELL("adresse",OFFSET(DMAV_Dienste!$M$6,E847-1,0)),LEN(CELL("adresse",OFFSET(DMAV_Dienste!$M$6,E847-1,0)))-FIND("]",CELL("adresse",OFFSET(DMAV_Dienste!$M$6,E847-1,0)))),"Dienst")),HYPERLINK("#"&amp;RIGHT(CELL("adresse",OFFSET(DMAV_Modell!$N$6,B847-1,0)),LEN(CELL("adresse",OFFSET(DMAV_Modell!$N$6,B847-1,0)))-FIND("]",CELL("adresse",OFFSET(DMAV_Modell!$N$6,B847-1,0)))),"Modell"))</f>
        <v>Modell</v>
      </c>
      <c r="K847" s="61" t="str" cm="1">
        <f t="array" ref="K847">IF($B847=0,IF($E847=0,"",IF(INDEX(DMAV_Dienste!P$6:P$140,$E847)="","",INDEX(DMAV_Dienste!P$6:P$140,$E847))),IF(INDEX(DMAV_Modell!Q$6:Q$838,$B847)="","",INDEX(DMAV_Modell!Q$6:Q$838,$B847)))</f>
        <v>DOMAIN</v>
      </c>
      <c r="L847" s="62" t="str" cm="1">
        <f t="array" ref="L847">IF($B847=0,IF($E847=0,"",IF(INDEX(DMAV_Dienste!O$6:O$140,$E847)="","",INDEX(DMAV_Dienste!O$6:O$140,$E847))),IF(INDEX(DMAV_Modell!P$6:P$838,$B847)="","",INDEX(DMAV_Modell!P$6:P$838,$B847)))</f>
        <v>Einzelobjekte</v>
      </c>
      <c r="M847" s="62" t="str" cm="1">
        <f t="array" ref="M847">IF($B847=0,IF($E847=0,"",IF(INDEX(DMAV_Dienste!Q$6:Q$140,$E847)="","",INDEX(DMAV_Dienste!Q$6:Q$140,$E847))),IF(INDEX(DMAV_Modell!R$6:R$838,$B847)="","",INDEX(DMAV_Modell!R$6:R$838,$B847)))</f>
        <v>Einzelobjektart</v>
      </c>
      <c r="N847" s="62" t="str" cm="1">
        <f t="array" ref="N847">IF($B847=0,IF($E847=0,"",IF(INDEX(DMAV_Dienste!T$6:T$140,$E847)="","",INDEX(DMAV_Dienste!T$6:T$140,$E847))),IF(INDEX(DMAV_Modell!U$6:U$838,$B847)="","",INDEX(DMAV_Modell!U$6:U$838,$B847)))</f>
        <v/>
      </c>
      <c r="O847" s="63" t="str" cm="1">
        <f t="array" aca="1" ref="O847" ca="1">IF(C847=0,IF(F847=0,"",HYPERLINK("#"&amp;RIGHT(CELL("adresse",OFFSET(DMAV_Dienste!$M$6,F847-1,0)),LEN(CELL("adresse",OFFSET(DMAV_Dienste!$M$6,F847-1,0)))-FIND("]",CELL("adresse",OFFSET(DMAV_Dienste!$M$6,F847-1,0)))),"Structure")),HYPERLINK("#"&amp;RIGHT(CELL("adresse",OFFSET(DMAV_Modell!$N$6,C847-1,0)),LEN(CELL("adresse",OFFSET(DMAV_Modell!$N$6,C847-1,0)))-FIND("]",CELL("adresse",OFFSET(DMAV_Modell!$N$6,C847-1,0)))),"Structure"))</f>
        <v/>
      </c>
      <c r="P847" s="64" t="str" cm="1">
        <f t="array" aca="1" ref="P847" ca="1">IF(D847=0,IF(G847=0,"",HYPERLINK("#"&amp;RIGHT(CELL("adresse",OFFSET(DMAV_Dienste!$M$6,G847-1,0)),LEN(CELL("adresse",OFFSET(DMAV_Dienste!$M$6,G847-1,0)))-FIND("]",CELL("adresse",OFFSET(DMAV_Dienste!$M$6,G847-1,0)))),"Substructure")),HYPERLINK("#"&amp;RIGHT(CELL("adresse",OFFSET(DMAV_Modell!$N$6,D847-1,0)),LEN(CELL("adresse",OFFSET(DMAV_Modell!$N$6,D847-1,0)))-FIND("]",CELL("adresse",OFFSET(DMAV_Modell!$N$6,D847-1,0)))),"Substructure"))</f>
        <v/>
      </c>
      <c r="R847" s="80"/>
      <c r="T847" s="93"/>
      <c r="U847" s="94"/>
      <c r="V847" s="95"/>
      <c r="W847" s="96"/>
      <c r="Y847" s="85"/>
      <c r="Z847" s="86"/>
      <c r="AA847" s="87"/>
      <c r="AB847" s="88"/>
      <c r="AD847" s="77"/>
      <c r="AF847" s="54" t="str" cm="1">
        <f t="array" aca="1" ref="AF847" ca="1">IF(H847=0,"",HYPERLINK("#"&amp;RIGHT(CELL("adresse",OFFSET('DM01-AV-CH'!$G$6,H847-1,0)),LEN(CELL("adresse",OFFSET('DM01-AV-CH'!$G$6,H847-1,0)))-FIND("]",CELL("adresse",OFFSET('DM01-AV-CH'!$G$6,H847-1,0)))),"Modell"))</f>
        <v>Modell</v>
      </c>
      <c r="AG847" s="72" t="str" cm="1">
        <f t="array" ref="AG847">IF($H847=0,"",IF(INDEX('DM01-AV-CH'!G$6:G$834,$H847)="","",INDEX('DM01-AV-CH'!G$6:G$834,$H847)))</f>
        <v>Einzelobjekte</v>
      </c>
      <c r="AH847" s="73" t="str" cm="1">
        <f t="array" ref="AH847">IF($H847=0,"",IF(INDEX('DM01-AV-CH'!H$6:H$834,$H847)="","",INDEX('DM01-AV-CH'!H$6:H$834,$H847)))</f>
        <v/>
      </c>
      <c r="AI847" s="74" t="str" cm="1">
        <f t="array" ref="AI847">IF($H847=0,"",IF(INDEX('DM01-AV-CH'!I$6:I$834,$H847)="","",INDEX('DM01-AV-CH'!I$6:I$834,$H847)))</f>
        <v>EOArt</v>
      </c>
    </row>
    <row r="848" spans="1:35" x14ac:dyDescent="0.25">
      <c r="A848" s="57">
        <v>843</v>
      </c>
      <c r="B848" s="57">
        <f>IF($A848="","",IF(_xlfn.XLOOKUP($A848,Korrelation!$D$4:$D$1197,Korrelation!E$4:E$1197,"-",0)="-",0,MATCH(_xlfn.XLOOKUP($A848,Korrelation!$D$4:$D$1197,Korrelation!E$4:E$1197,"",0),DMAV_Modell!$G$6:$G$677,0)))</f>
        <v>476</v>
      </c>
      <c r="C848" s="57">
        <f>IF($A848="","",IF(_xlfn.XLOOKUP($A848,Korrelation!$D$4:$D$1197,Korrelation!F$4:F$1197,"-",0)="-",0,MATCH(_xlfn.XLOOKUP($A848,Korrelation!$D$4:$D$1197,Korrelation!F$4:F$1197,"",0),DMAV_Modell!$G$6:$G$677,0)))</f>
        <v>0</v>
      </c>
      <c r="D848" s="57">
        <f>IF($A848="","",IF(_xlfn.XLOOKUP($A848,Korrelation!$D$4:$D$1197,Korrelation!G$4:G$1197,"-",0)="-",0,MATCH(_xlfn.XLOOKUP($A848,Korrelation!$D$4:$D$1197,Korrelation!G$4:G$1197,"",0),DMAV_Modell!$G$6:$G$677,0)))</f>
        <v>0</v>
      </c>
      <c r="E848" s="57">
        <f>IF($A848="","",IF(_xlfn.XLOOKUP($A848,Korrelation!$D$4:$D$1197,Korrelation!H$4:H$1197,"-",0)="-",0,MATCH(_xlfn.XLOOKUP($A848,Korrelation!$D$4:$D$1197,Korrelation!H$4:H$1197,"",0),DMAV_Dienste!$F$6:$F$140,0)))</f>
        <v>0</v>
      </c>
      <c r="F848" s="57">
        <f>IF($A848="","",IF(_xlfn.XLOOKUP($A848,Korrelation!$D$4:$D$1197,Korrelation!I$4:I$1197,"-",0)="-",0,MATCH(_xlfn.XLOOKUP($A848,Korrelation!$D$4:$D$1197,Korrelation!I$4:I$1197,"",0),DMAV_Dienste!$F$6:$F$140,0)))</f>
        <v>0</v>
      </c>
      <c r="G848" s="57">
        <f>IF($A848="","",IF(_xlfn.XLOOKUP($A848,Korrelation!$D$4:$D$1197,Korrelation!J$4:J$1197,"-",0)="-",0,MATCH(_xlfn.XLOOKUP($A848,Korrelation!$D$4:$D$1197,Korrelation!J$4:J$1197,"",0),DMAV_Dienste!$F$6:$F$140,0)))</f>
        <v>0</v>
      </c>
      <c r="H848" s="57">
        <f>IF($A848="","",IF(_xlfn.XLOOKUP($A848,Korrelation!$D$4:$D$1197,Korrelation!K$4:K$1197,"-",0)="-",0,MATCH(_xlfn.XLOOKUP($A848,Korrelation!$D$4:$D$1197,Korrelation!K$4:K$1197,"",0),'DM01-AV-CH'!$A$6:$A$834,0)))</f>
        <v>274</v>
      </c>
      <c r="J848" s="54" t="str" cm="1">
        <f t="array" aca="1" ref="J848" ca="1">IF(B848=0,IF(E848=0,"",HYPERLINK("#"&amp;RIGHT(CELL("adresse",OFFSET(DMAV_Dienste!$M$6,E848-1,0)),LEN(CELL("adresse",OFFSET(DMAV_Dienste!$M$6,E848-1,0)))-FIND("]",CELL("adresse",OFFSET(DMAV_Dienste!$M$6,E848-1,0)))),"Dienst")),HYPERLINK("#"&amp;RIGHT(CELL("adresse",OFFSET(DMAV_Modell!$N$6,B848-1,0)),LEN(CELL("adresse",OFFSET(DMAV_Modell!$N$6,B848-1,0)))-FIND("]",CELL("adresse",OFFSET(DMAV_Modell!$N$6,B848-1,0)))),"Modell"))</f>
        <v>Modell</v>
      </c>
      <c r="K848" s="61" t="str" cm="1">
        <f t="array" ref="K848">IF($B848=0,IF($E848=0,"",IF(INDEX(DMAV_Dienste!P$6:P$140,$E848)="","",INDEX(DMAV_Dienste!P$6:P$140,$E848))),IF(INDEX(DMAV_Modell!Q$6:Q$838,$B848)="","",INDEX(DMAV_Modell!Q$6:Q$838,$B848)))</f>
        <v>DOMAIN</v>
      </c>
      <c r="L848" s="62" t="str" cm="1">
        <f t="array" ref="L848">IF($B848=0,IF($E848=0,"",IF(INDEX(DMAV_Dienste!O$6:O$140,$E848)="","",INDEX(DMAV_Dienste!O$6:O$140,$E848))),IF(INDEX(DMAV_Modell!P$6:P$838,$B848)="","",INDEX(DMAV_Modell!P$6:P$838,$B848)))</f>
        <v>Einzelobjekte</v>
      </c>
      <c r="M848" s="62" t="str" cm="1">
        <f t="array" ref="M848">IF($B848=0,IF($E848=0,"",IF(INDEX(DMAV_Dienste!Q$6:Q$140,$E848)="","",INDEX(DMAV_Dienste!Q$6:Q$140,$E848))),IF(INDEX(DMAV_Modell!R$6:R$838,$B848)="","",INDEX(DMAV_Modell!R$6:R$838,$B848)))</f>
        <v>Einzelobjektart</v>
      </c>
      <c r="N848" s="62" t="str" cm="1">
        <f t="array" ref="N848">IF($B848=0,IF($E848=0,"",IF(INDEX(DMAV_Dienste!T$6:T$140,$E848)="","",INDEX(DMAV_Dienste!T$6:T$140,$E848))),IF(INDEX(DMAV_Modell!U$6:U$838,$B848)="","",INDEX(DMAV_Modell!U$6:U$838,$B848)))</f>
        <v/>
      </c>
      <c r="O848" s="63" t="str" cm="1">
        <f t="array" aca="1" ref="O848" ca="1">IF(C848=0,IF(F848=0,"",HYPERLINK("#"&amp;RIGHT(CELL("adresse",OFFSET(DMAV_Dienste!$M$6,F848-1,0)),LEN(CELL("adresse",OFFSET(DMAV_Dienste!$M$6,F848-1,0)))-FIND("]",CELL("adresse",OFFSET(DMAV_Dienste!$M$6,F848-1,0)))),"Structure")),HYPERLINK("#"&amp;RIGHT(CELL("adresse",OFFSET(DMAV_Modell!$N$6,C848-1,0)),LEN(CELL("adresse",OFFSET(DMAV_Modell!$N$6,C848-1,0)))-FIND("]",CELL("adresse",OFFSET(DMAV_Modell!$N$6,C848-1,0)))),"Structure"))</f>
        <v/>
      </c>
      <c r="P848" s="64" t="str" cm="1">
        <f t="array" aca="1" ref="P848" ca="1">IF(D848=0,IF(G848=0,"",HYPERLINK("#"&amp;RIGHT(CELL("adresse",OFFSET(DMAV_Dienste!$M$6,G848-1,0)),LEN(CELL("adresse",OFFSET(DMAV_Dienste!$M$6,G848-1,0)))-FIND("]",CELL("adresse",OFFSET(DMAV_Dienste!$M$6,G848-1,0)))),"Substructure")),HYPERLINK("#"&amp;RIGHT(CELL("adresse",OFFSET(DMAV_Modell!$N$6,D848-1,0)),LEN(CELL("adresse",OFFSET(DMAV_Modell!$N$6,D848-1,0)))-FIND("]",CELL("adresse",OFFSET(DMAV_Modell!$N$6,D848-1,0)))),"Substructure"))</f>
        <v/>
      </c>
      <c r="R848" s="80"/>
      <c r="T848" s="93"/>
      <c r="U848" s="94"/>
      <c r="V848" s="95"/>
      <c r="W848" s="96"/>
      <c r="Y848" s="85"/>
      <c r="Z848" s="86"/>
      <c r="AA848" s="87"/>
      <c r="AB848" s="88"/>
      <c r="AD848" s="77"/>
      <c r="AF848" s="54" t="str" cm="1">
        <f t="array" aca="1" ref="AF848" ca="1">IF(H848=0,"",HYPERLINK("#"&amp;RIGHT(CELL("adresse",OFFSET('DM01-AV-CH'!$G$6,H848-1,0)),LEN(CELL("adresse",OFFSET('DM01-AV-CH'!$G$6,H848-1,0)))-FIND("]",CELL("adresse",OFFSET('DM01-AV-CH'!$G$6,H848-1,0)))),"Modell"))</f>
        <v>Modell</v>
      </c>
      <c r="AG848" s="72" t="str" cm="1">
        <f t="array" ref="AG848">IF($H848=0,"",IF(INDEX('DM01-AV-CH'!G$6:G$834,$H848)="","",INDEX('DM01-AV-CH'!G$6:G$834,$H848)))</f>
        <v>Einzelobjekte</v>
      </c>
      <c r="AH848" s="73" t="str" cm="1">
        <f t="array" ref="AH848">IF($H848=0,"",IF(INDEX('DM01-AV-CH'!H$6:H$834,$H848)="","",INDEX('DM01-AV-CH'!H$6:H$834,$H848)))</f>
        <v/>
      </c>
      <c r="AI848" s="74" t="str" cm="1">
        <f t="array" ref="AI848">IF($H848=0,"",IF(INDEX('DM01-AV-CH'!I$6:I$834,$H848)="","",INDEX('DM01-AV-CH'!I$6:I$834,$H848)))</f>
        <v>EOArt</v>
      </c>
    </row>
    <row r="849" spans="1:35" x14ac:dyDescent="0.25">
      <c r="A849" s="57">
        <v>844</v>
      </c>
      <c r="B849" s="57">
        <f>IF($A849="","",IF(_xlfn.XLOOKUP($A849,Korrelation!$D$4:$D$1197,Korrelation!E$4:E$1197,"-",0)="-",0,MATCH(_xlfn.XLOOKUP($A849,Korrelation!$D$4:$D$1197,Korrelation!E$4:E$1197,"",0),DMAV_Modell!$G$6:$G$677,0)))</f>
        <v>477</v>
      </c>
      <c r="C849" s="57">
        <f>IF($A849="","",IF(_xlfn.XLOOKUP($A849,Korrelation!$D$4:$D$1197,Korrelation!F$4:F$1197,"-",0)="-",0,MATCH(_xlfn.XLOOKUP($A849,Korrelation!$D$4:$D$1197,Korrelation!F$4:F$1197,"",0),DMAV_Modell!$G$6:$G$677,0)))</f>
        <v>0</v>
      </c>
      <c r="D849" s="57">
        <f>IF($A849="","",IF(_xlfn.XLOOKUP($A849,Korrelation!$D$4:$D$1197,Korrelation!G$4:G$1197,"-",0)="-",0,MATCH(_xlfn.XLOOKUP($A849,Korrelation!$D$4:$D$1197,Korrelation!G$4:G$1197,"",0),DMAV_Modell!$G$6:$G$677,0)))</f>
        <v>0</v>
      </c>
      <c r="E849" s="57">
        <f>IF($A849="","",IF(_xlfn.XLOOKUP($A849,Korrelation!$D$4:$D$1197,Korrelation!H$4:H$1197,"-",0)="-",0,MATCH(_xlfn.XLOOKUP($A849,Korrelation!$D$4:$D$1197,Korrelation!H$4:H$1197,"",0),DMAV_Dienste!$F$6:$F$140,0)))</f>
        <v>0</v>
      </c>
      <c r="F849" s="57">
        <f>IF($A849="","",IF(_xlfn.XLOOKUP($A849,Korrelation!$D$4:$D$1197,Korrelation!I$4:I$1197,"-",0)="-",0,MATCH(_xlfn.XLOOKUP($A849,Korrelation!$D$4:$D$1197,Korrelation!I$4:I$1197,"",0),DMAV_Dienste!$F$6:$F$140,0)))</f>
        <v>0</v>
      </c>
      <c r="G849" s="57">
        <f>IF($A849="","",IF(_xlfn.XLOOKUP($A849,Korrelation!$D$4:$D$1197,Korrelation!J$4:J$1197,"-",0)="-",0,MATCH(_xlfn.XLOOKUP($A849,Korrelation!$D$4:$D$1197,Korrelation!J$4:J$1197,"",0),DMAV_Dienste!$F$6:$F$140,0)))</f>
        <v>0</v>
      </c>
      <c r="H849" s="57">
        <f>IF($A849="","",IF(_xlfn.XLOOKUP($A849,Korrelation!$D$4:$D$1197,Korrelation!K$4:K$1197,"-",0)="-",0,MATCH(_xlfn.XLOOKUP($A849,Korrelation!$D$4:$D$1197,Korrelation!K$4:K$1197,"",0),'DM01-AV-CH'!$A$6:$A$834,0)))</f>
        <v>275</v>
      </c>
      <c r="J849" s="54" t="str" cm="1">
        <f t="array" aca="1" ref="J849" ca="1">IF(B849=0,IF(E849=0,"",HYPERLINK("#"&amp;RIGHT(CELL("adresse",OFFSET(DMAV_Dienste!$M$6,E849-1,0)),LEN(CELL("adresse",OFFSET(DMAV_Dienste!$M$6,E849-1,0)))-FIND("]",CELL("adresse",OFFSET(DMAV_Dienste!$M$6,E849-1,0)))),"Dienst")),HYPERLINK("#"&amp;RIGHT(CELL("adresse",OFFSET(DMAV_Modell!$N$6,B849-1,0)),LEN(CELL("adresse",OFFSET(DMAV_Modell!$N$6,B849-1,0)))-FIND("]",CELL("adresse",OFFSET(DMAV_Modell!$N$6,B849-1,0)))),"Modell"))</f>
        <v>Modell</v>
      </c>
      <c r="K849" s="61" t="str" cm="1">
        <f t="array" ref="K849">IF($B849=0,IF($E849=0,"",IF(INDEX(DMAV_Dienste!P$6:P$140,$E849)="","",INDEX(DMAV_Dienste!P$6:P$140,$E849))),IF(INDEX(DMAV_Modell!Q$6:Q$838,$B849)="","",INDEX(DMAV_Modell!Q$6:Q$838,$B849)))</f>
        <v>DOMAIN</v>
      </c>
      <c r="L849" s="62" t="str" cm="1">
        <f t="array" ref="L849">IF($B849=0,IF($E849=0,"",IF(INDEX(DMAV_Dienste!O$6:O$140,$E849)="","",INDEX(DMAV_Dienste!O$6:O$140,$E849))),IF(INDEX(DMAV_Modell!P$6:P$838,$B849)="","",INDEX(DMAV_Modell!P$6:P$838,$B849)))</f>
        <v>Einzelobjekte</v>
      </c>
      <c r="M849" s="62" t="str" cm="1">
        <f t="array" ref="M849">IF($B849=0,IF($E849=0,"",IF(INDEX(DMAV_Dienste!Q$6:Q$140,$E849)="","",INDEX(DMAV_Dienste!Q$6:Q$140,$E849))),IF(INDEX(DMAV_Modell!R$6:R$838,$B849)="","",INDEX(DMAV_Modell!R$6:R$838,$B849)))</f>
        <v>Einzelobjektart</v>
      </c>
      <c r="N849" s="62" t="str" cm="1">
        <f t="array" ref="N849">IF($B849=0,IF($E849=0,"",IF(INDEX(DMAV_Dienste!T$6:T$140,$E849)="","",INDEX(DMAV_Dienste!T$6:T$140,$E849))),IF(INDEX(DMAV_Modell!U$6:U$838,$B849)="","",INDEX(DMAV_Modell!U$6:U$838,$B849)))</f>
        <v/>
      </c>
      <c r="O849" s="63" t="str" cm="1">
        <f t="array" aca="1" ref="O849" ca="1">IF(C849=0,IF(F849=0,"",HYPERLINK("#"&amp;RIGHT(CELL("adresse",OFFSET(DMAV_Dienste!$M$6,F849-1,0)),LEN(CELL("adresse",OFFSET(DMAV_Dienste!$M$6,F849-1,0)))-FIND("]",CELL("adresse",OFFSET(DMAV_Dienste!$M$6,F849-1,0)))),"Structure")),HYPERLINK("#"&amp;RIGHT(CELL("adresse",OFFSET(DMAV_Modell!$N$6,C849-1,0)),LEN(CELL("adresse",OFFSET(DMAV_Modell!$N$6,C849-1,0)))-FIND("]",CELL("adresse",OFFSET(DMAV_Modell!$N$6,C849-1,0)))),"Structure"))</f>
        <v/>
      </c>
      <c r="P849" s="64" t="str" cm="1">
        <f t="array" aca="1" ref="P849" ca="1">IF(D849=0,IF(G849=0,"",HYPERLINK("#"&amp;RIGHT(CELL("adresse",OFFSET(DMAV_Dienste!$M$6,G849-1,0)),LEN(CELL("adresse",OFFSET(DMAV_Dienste!$M$6,G849-1,0)))-FIND("]",CELL("adresse",OFFSET(DMAV_Dienste!$M$6,G849-1,0)))),"Substructure")),HYPERLINK("#"&amp;RIGHT(CELL("adresse",OFFSET(DMAV_Modell!$N$6,D849-1,0)),LEN(CELL("adresse",OFFSET(DMAV_Modell!$N$6,D849-1,0)))-FIND("]",CELL("adresse",OFFSET(DMAV_Modell!$N$6,D849-1,0)))),"Substructure"))</f>
        <v/>
      </c>
      <c r="R849" s="80"/>
      <c r="T849" s="93"/>
      <c r="U849" s="94"/>
      <c r="V849" s="95"/>
      <c r="W849" s="96"/>
      <c r="Y849" s="85"/>
      <c r="Z849" s="86"/>
      <c r="AA849" s="87"/>
      <c r="AB849" s="88"/>
      <c r="AD849" s="77"/>
      <c r="AF849" s="54" t="str" cm="1">
        <f t="array" aca="1" ref="AF849" ca="1">IF(H849=0,"",HYPERLINK("#"&amp;RIGHT(CELL("adresse",OFFSET('DM01-AV-CH'!$G$6,H849-1,0)),LEN(CELL("adresse",OFFSET('DM01-AV-CH'!$G$6,H849-1,0)))-FIND("]",CELL("adresse",OFFSET('DM01-AV-CH'!$G$6,H849-1,0)))),"Modell"))</f>
        <v>Modell</v>
      </c>
      <c r="AG849" s="72" t="str" cm="1">
        <f t="array" ref="AG849">IF($H849=0,"",IF(INDEX('DM01-AV-CH'!G$6:G$834,$H849)="","",INDEX('DM01-AV-CH'!G$6:G$834,$H849)))</f>
        <v>Einzelobjekte</v>
      </c>
      <c r="AH849" s="73" t="str" cm="1">
        <f t="array" ref="AH849">IF($H849=0,"",IF(INDEX('DM01-AV-CH'!H$6:H$834,$H849)="","",INDEX('DM01-AV-CH'!H$6:H$834,$H849)))</f>
        <v/>
      </c>
      <c r="AI849" s="74" t="str" cm="1">
        <f t="array" ref="AI849">IF($H849=0,"",IF(INDEX('DM01-AV-CH'!I$6:I$834,$H849)="","",INDEX('DM01-AV-CH'!I$6:I$834,$H849)))</f>
        <v>EOArt</v>
      </c>
    </row>
    <row r="850" spans="1:35" x14ac:dyDescent="0.25">
      <c r="A850" s="57">
        <v>845</v>
      </c>
      <c r="B850" s="57">
        <f>IF($A850="","",IF(_xlfn.XLOOKUP($A850,Korrelation!$D$4:$D$1197,Korrelation!E$4:E$1197,"-",0)="-",0,MATCH(_xlfn.XLOOKUP($A850,Korrelation!$D$4:$D$1197,Korrelation!E$4:E$1197,"",0),DMAV_Modell!$G$6:$G$677,0)))</f>
        <v>478</v>
      </c>
      <c r="C850" s="57">
        <f>IF($A850="","",IF(_xlfn.XLOOKUP($A850,Korrelation!$D$4:$D$1197,Korrelation!F$4:F$1197,"-",0)="-",0,MATCH(_xlfn.XLOOKUP($A850,Korrelation!$D$4:$D$1197,Korrelation!F$4:F$1197,"",0),DMAV_Modell!$G$6:$G$677,0)))</f>
        <v>0</v>
      </c>
      <c r="D850" s="57">
        <f>IF($A850="","",IF(_xlfn.XLOOKUP($A850,Korrelation!$D$4:$D$1197,Korrelation!G$4:G$1197,"-",0)="-",0,MATCH(_xlfn.XLOOKUP($A850,Korrelation!$D$4:$D$1197,Korrelation!G$4:G$1197,"",0),DMAV_Modell!$G$6:$G$677,0)))</f>
        <v>0</v>
      </c>
      <c r="E850" s="57">
        <f>IF($A850="","",IF(_xlfn.XLOOKUP($A850,Korrelation!$D$4:$D$1197,Korrelation!H$4:H$1197,"-",0)="-",0,MATCH(_xlfn.XLOOKUP($A850,Korrelation!$D$4:$D$1197,Korrelation!H$4:H$1197,"",0),DMAV_Dienste!$F$6:$F$140,0)))</f>
        <v>0</v>
      </c>
      <c r="F850" s="57">
        <f>IF($A850="","",IF(_xlfn.XLOOKUP($A850,Korrelation!$D$4:$D$1197,Korrelation!I$4:I$1197,"-",0)="-",0,MATCH(_xlfn.XLOOKUP($A850,Korrelation!$D$4:$D$1197,Korrelation!I$4:I$1197,"",0),DMAV_Dienste!$F$6:$F$140,0)))</f>
        <v>0</v>
      </c>
      <c r="G850" s="57">
        <f>IF($A850="","",IF(_xlfn.XLOOKUP($A850,Korrelation!$D$4:$D$1197,Korrelation!J$4:J$1197,"-",0)="-",0,MATCH(_xlfn.XLOOKUP($A850,Korrelation!$D$4:$D$1197,Korrelation!J$4:J$1197,"",0),DMAV_Dienste!$F$6:$F$140,0)))</f>
        <v>0</v>
      </c>
      <c r="H850" s="57">
        <f>IF($A850="","",IF(_xlfn.XLOOKUP($A850,Korrelation!$D$4:$D$1197,Korrelation!K$4:K$1197,"-",0)="-",0,MATCH(_xlfn.XLOOKUP($A850,Korrelation!$D$4:$D$1197,Korrelation!K$4:K$1197,"",0),'DM01-AV-CH'!$A$6:$A$834,0)))</f>
        <v>276</v>
      </c>
      <c r="J850" s="54" t="str" cm="1">
        <f t="array" aca="1" ref="J850" ca="1">IF(B850=0,IF(E850=0,"",HYPERLINK("#"&amp;RIGHT(CELL("adresse",OFFSET(DMAV_Dienste!$M$6,E850-1,0)),LEN(CELL("adresse",OFFSET(DMAV_Dienste!$M$6,E850-1,0)))-FIND("]",CELL("adresse",OFFSET(DMAV_Dienste!$M$6,E850-1,0)))),"Dienst")),HYPERLINK("#"&amp;RIGHT(CELL("adresse",OFFSET(DMAV_Modell!$N$6,B850-1,0)),LEN(CELL("adresse",OFFSET(DMAV_Modell!$N$6,B850-1,0)))-FIND("]",CELL("adresse",OFFSET(DMAV_Modell!$N$6,B850-1,0)))),"Modell"))</f>
        <v>Modell</v>
      </c>
      <c r="K850" s="61" t="str" cm="1">
        <f t="array" ref="K850">IF($B850=0,IF($E850=0,"",IF(INDEX(DMAV_Dienste!P$6:P$140,$E850)="","",INDEX(DMAV_Dienste!P$6:P$140,$E850))),IF(INDEX(DMAV_Modell!Q$6:Q$838,$B850)="","",INDEX(DMAV_Modell!Q$6:Q$838,$B850)))</f>
        <v>DOMAIN</v>
      </c>
      <c r="L850" s="62" t="str" cm="1">
        <f t="array" ref="L850">IF($B850=0,IF($E850=0,"",IF(INDEX(DMAV_Dienste!O$6:O$140,$E850)="","",INDEX(DMAV_Dienste!O$6:O$140,$E850))),IF(INDEX(DMAV_Modell!P$6:P$838,$B850)="","",INDEX(DMAV_Modell!P$6:P$838,$B850)))</f>
        <v>Einzelobjekte</v>
      </c>
      <c r="M850" s="62" t="str" cm="1">
        <f t="array" ref="M850">IF($B850=0,IF($E850=0,"",IF(INDEX(DMAV_Dienste!Q$6:Q$140,$E850)="","",INDEX(DMAV_Dienste!Q$6:Q$140,$E850))),IF(INDEX(DMAV_Modell!R$6:R$838,$B850)="","",INDEX(DMAV_Modell!R$6:R$838,$B850)))</f>
        <v>Einzelobjektart</v>
      </c>
      <c r="N850" s="62" t="str" cm="1">
        <f t="array" ref="N850">IF($B850=0,IF($E850=0,"",IF(INDEX(DMAV_Dienste!T$6:T$140,$E850)="","",INDEX(DMAV_Dienste!T$6:T$140,$E850))),IF(INDEX(DMAV_Modell!U$6:U$838,$B850)="","",INDEX(DMAV_Modell!U$6:U$838,$B850)))</f>
        <v/>
      </c>
      <c r="O850" s="63" t="str" cm="1">
        <f t="array" aca="1" ref="O850" ca="1">IF(C850=0,IF(F850=0,"",HYPERLINK("#"&amp;RIGHT(CELL("adresse",OFFSET(DMAV_Dienste!$M$6,F850-1,0)),LEN(CELL("adresse",OFFSET(DMAV_Dienste!$M$6,F850-1,0)))-FIND("]",CELL("adresse",OFFSET(DMAV_Dienste!$M$6,F850-1,0)))),"Structure")),HYPERLINK("#"&amp;RIGHT(CELL("adresse",OFFSET(DMAV_Modell!$N$6,C850-1,0)),LEN(CELL("adresse",OFFSET(DMAV_Modell!$N$6,C850-1,0)))-FIND("]",CELL("adresse",OFFSET(DMAV_Modell!$N$6,C850-1,0)))),"Structure"))</f>
        <v/>
      </c>
      <c r="P850" s="64" t="str" cm="1">
        <f t="array" aca="1" ref="P850" ca="1">IF(D850=0,IF(G850=0,"",HYPERLINK("#"&amp;RIGHT(CELL("adresse",OFFSET(DMAV_Dienste!$M$6,G850-1,0)),LEN(CELL("adresse",OFFSET(DMAV_Dienste!$M$6,G850-1,0)))-FIND("]",CELL("adresse",OFFSET(DMAV_Dienste!$M$6,G850-1,0)))),"Substructure")),HYPERLINK("#"&amp;RIGHT(CELL("adresse",OFFSET(DMAV_Modell!$N$6,D850-1,0)),LEN(CELL("adresse",OFFSET(DMAV_Modell!$N$6,D850-1,0)))-FIND("]",CELL("adresse",OFFSET(DMAV_Modell!$N$6,D850-1,0)))),"Substructure"))</f>
        <v/>
      </c>
      <c r="R850" s="80"/>
      <c r="T850" s="93"/>
      <c r="U850" s="94"/>
      <c r="V850" s="95"/>
      <c r="W850" s="96"/>
      <c r="Y850" s="85"/>
      <c r="Z850" s="86"/>
      <c r="AA850" s="87"/>
      <c r="AB850" s="88"/>
      <c r="AD850" s="77"/>
      <c r="AF850" s="54" t="str" cm="1">
        <f t="array" aca="1" ref="AF850" ca="1">IF(H850=0,"",HYPERLINK("#"&amp;RIGHT(CELL("adresse",OFFSET('DM01-AV-CH'!$G$6,H850-1,0)),LEN(CELL("adresse",OFFSET('DM01-AV-CH'!$G$6,H850-1,0)))-FIND("]",CELL("adresse",OFFSET('DM01-AV-CH'!$G$6,H850-1,0)))),"Modell"))</f>
        <v>Modell</v>
      </c>
      <c r="AG850" s="72" t="str" cm="1">
        <f t="array" ref="AG850">IF($H850=0,"",IF(INDEX('DM01-AV-CH'!G$6:G$834,$H850)="","",INDEX('DM01-AV-CH'!G$6:G$834,$H850)))</f>
        <v>Einzelobjekte</v>
      </c>
      <c r="AH850" s="73" t="str" cm="1">
        <f t="array" ref="AH850">IF($H850=0,"",IF(INDEX('DM01-AV-CH'!H$6:H$834,$H850)="","",INDEX('DM01-AV-CH'!H$6:H$834,$H850)))</f>
        <v/>
      </c>
      <c r="AI850" s="74" t="str" cm="1">
        <f t="array" ref="AI850">IF($H850=0,"",IF(INDEX('DM01-AV-CH'!I$6:I$834,$H850)="","",INDEX('DM01-AV-CH'!I$6:I$834,$H850)))</f>
        <v>EOArt</v>
      </c>
    </row>
    <row r="851" spans="1:35" x14ac:dyDescent="0.25">
      <c r="A851" s="57">
        <v>846</v>
      </c>
      <c r="B851" s="57">
        <f>IF($A851="","",IF(_xlfn.XLOOKUP($A851,Korrelation!$D$4:$D$1197,Korrelation!E$4:E$1197,"-",0)="-",0,MATCH(_xlfn.XLOOKUP($A851,Korrelation!$D$4:$D$1197,Korrelation!E$4:E$1197,"",0),DMAV_Modell!$G$6:$G$677,0)))</f>
        <v>479</v>
      </c>
      <c r="C851" s="57">
        <f>IF($A851="","",IF(_xlfn.XLOOKUP($A851,Korrelation!$D$4:$D$1197,Korrelation!F$4:F$1197,"-",0)="-",0,MATCH(_xlfn.XLOOKUP($A851,Korrelation!$D$4:$D$1197,Korrelation!F$4:F$1197,"",0),DMAV_Modell!$G$6:$G$677,0)))</f>
        <v>0</v>
      </c>
      <c r="D851" s="57">
        <f>IF($A851="","",IF(_xlfn.XLOOKUP($A851,Korrelation!$D$4:$D$1197,Korrelation!G$4:G$1197,"-",0)="-",0,MATCH(_xlfn.XLOOKUP($A851,Korrelation!$D$4:$D$1197,Korrelation!G$4:G$1197,"",0),DMAV_Modell!$G$6:$G$677,0)))</f>
        <v>0</v>
      </c>
      <c r="E851" s="57">
        <f>IF($A851="","",IF(_xlfn.XLOOKUP($A851,Korrelation!$D$4:$D$1197,Korrelation!H$4:H$1197,"-",0)="-",0,MATCH(_xlfn.XLOOKUP($A851,Korrelation!$D$4:$D$1197,Korrelation!H$4:H$1197,"",0),DMAV_Dienste!$F$6:$F$140,0)))</f>
        <v>0</v>
      </c>
      <c r="F851" s="57">
        <f>IF($A851="","",IF(_xlfn.XLOOKUP($A851,Korrelation!$D$4:$D$1197,Korrelation!I$4:I$1197,"-",0)="-",0,MATCH(_xlfn.XLOOKUP($A851,Korrelation!$D$4:$D$1197,Korrelation!I$4:I$1197,"",0),DMAV_Dienste!$F$6:$F$140,0)))</f>
        <v>0</v>
      </c>
      <c r="G851" s="57">
        <f>IF($A851="","",IF(_xlfn.XLOOKUP($A851,Korrelation!$D$4:$D$1197,Korrelation!J$4:J$1197,"-",0)="-",0,MATCH(_xlfn.XLOOKUP($A851,Korrelation!$D$4:$D$1197,Korrelation!J$4:J$1197,"",0),DMAV_Dienste!$F$6:$F$140,0)))</f>
        <v>0</v>
      </c>
      <c r="H851" s="57">
        <f>IF($A851="","",IF(_xlfn.XLOOKUP($A851,Korrelation!$D$4:$D$1197,Korrelation!K$4:K$1197,"-",0)="-",0,MATCH(_xlfn.XLOOKUP($A851,Korrelation!$D$4:$D$1197,Korrelation!K$4:K$1197,"",0),'DM01-AV-CH'!$A$6:$A$834,0)))</f>
        <v>277</v>
      </c>
      <c r="J851" s="54" t="str" cm="1">
        <f t="array" aca="1" ref="J851" ca="1">IF(B851=0,IF(E851=0,"",HYPERLINK("#"&amp;RIGHT(CELL("adresse",OFFSET(DMAV_Dienste!$M$6,E851-1,0)),LEN(CELL("adresse",OFFSET(DMAV_Dienste!$M$6,E851-1,0)))-FIND("]",CELL("adresse",OFFSET(DMAV_Dienste!$M$6,E851-1,0)))),"Dienst")),HYPERLINK("#"&amp;RIGHT(CELL("adresse",OFFSET(DMAV_Modell!$N$6,B851-1,0)),LEN(CELL("adresse",OFFSET(DMAV_Modell!$N$6,B851-1,0)))-FIND("]",CELL("adresse",OFFSET(DMAV_Modell!$N$6,B851-1,0)))),"Modell"))</f>
        <v>Modell</v>
      </c>
      <c r="K851" s="61" t="str" cm="1">
        <f t="array" ref="K851">IF($B851=0,IF($E851=0,"",IF(INDEX(DMAV_Dienste!P$6:P$140,$E851)="","",INDEX(DMAV_Dienste!P$6:P$140,$E851))),IF(INDEX(DMAV_Modell!Q$6:Q$838,$B851)="","",INDEX(DMAV_Modell!Q$6:Q$838,$B851)))</f>
        <v>DOMAIN</v>
      </c>
      <c r="L851" s="62" t="str" cm="1">
        <f t="array" ref="L851">IF($B851=0,IF($E851=0,"",IF(INDEX(DMAV_Dienste!O$6:O$140,$E851)="","",INDEX(DMAV_Dienste!O$6:O$140,$E851))),IF(INDEX(DMAV_Modell!P$6:P$838,$B851)="","",INDEX(DMAV_Modell!P$6:P$838,$B851)))</f>
        <v>Einzelobjekte</v>
      </c>
      <c r="M851" s="62" t="str" cm="1">
        <f t="array" ref="M851">IF($B851=0,IF($E851=0,"",IF(INDEX(DMAV_Dienste!Q$6:Q$140,$E851)="","",INDEX(DMAV_Dienste!Q$6:Q$140,$E851))),IF(INDEX(DMAV_Modell!R$6:R$838,$B851)="","",INDEX(DMAV_Modell!R$6:R$838,$B851)))</f>
        <v>Einzelobjektart</v>
      </c>
      <c r="N851" s="62" t="str" cm="1">
        <f t="array" ref="N851">IF($B851=0,IF($E851=0,"",IF(INDEX(DMAV_Dienste!T$6:T$140,$E851)="","",INDEX(DMAV_Dienste!T$6:T$140,$E851))),IF(INDEX(DMAV_Modell!U$6:U$838,$B851)="","",INDEX(DMAV_Modell!U$6:U$838,$B851)))</f>
        <v/>
      </c>
      <c r="O851" s="63" t="str" cm="1">
        <f t="array" aca="1" ref="O851" ca="1">IF(C851=0,IF(F851=0,"",HYPERLINK("#"&amp;RIGHT(CELL("adresse",OFFSET(DMAV_Dienste!$M$6,F851-1,0)),LEN(CELL("adresse",OFFSET(DMAV_Dienste!$M$6,F851-1,0)))-FIND("]",CELL("adresse",OFFSET(DMAV_Dienste!$M$6,F851-1,0)))),"Structure")),HYPERLINK("#"&amp;RIGHT(CELL("adresse",OFFSET(DMAV_Modell!$N$6,C851-1,0)),LEN(CELL("adresse",OFFSET(DMAV_Modell!$N$6,C851-1,0)))-FIND("]",CELL("adresse",OFFSET(DMAV_Modell!$N$6,C851-1,0)))),"Structure"))</f>
        <v/>
      </c>
      <c r="P851" s="64" t="str" cm="1">
        <f t="array" aca="1" ref="P851" ca="1">IF(D851=0,IF(G851=0,"",HYPERLINK("#"&amp;RIGHT(CELL("adresse",OFFSET(DMAV_Dienste!$M$6,G851-1,0)),LEN(CELL("adresse",OFFSET(DMAV_Dienste!$M$6,G851-1,0)))-FIND("]",CELL("adresse",OFFSET(DMAV_Dienste!$M$6,G851-1,0)))),"Substructure")),HYPERLINK("#"&amp;RIGHT(CELL("adresse",OFFSET(DMAV_Modell!$N$6,D851-1,0)),LEN(CELL("adresse",OFFSET(DMAV_Modell!$N$6,D851-1,0)))-FIND("]",CELL("adresse",OFFSET(DMAV_Modell!$N$6,D851-1,0)))),"Substructure"))</f>
        <v/>
      </c>
      <c r="R851" s="80"/>
      <c r="T851" s="93"/>
      <c r="U851" s="94"/>
      <c r="V851" s="95"/>
      <c r="W851" s="96"/>
      <c r="Y851" s="85"/>
      <c r="Z851" s="86"/>
      <c r="AA851" s="87"/>
      <c r="AB851" s="88"/>
      <c r="AD851" s="77"/>
      <c r="AF851" s="54" t="str" cm="1">
        <f t="array" aca="1" ref="AF851" ca="1">IF(H851=0,"",HYPERLINK("#"&amp;RIGHT(CELL("adresse",OFFSET('DM01-AV-CH'!$G$6,H851-1,0)),LEN(CELL("adresse",OFFSET('DM01-AV-CH'!$G$6,H851-1,0)))-FIND("]",CELL("adresse",OFFSET('DM01-AV-CH'!$G$6,H851-1,0)))),"Modell"))</f>
        <v>Modell</v>
      </c>
      <c r="AG851" s="72" t="str" cm="1">
        <f t="array" ref="AG851">IF($H851=0,"",IF(INDEX('DM01-AV-CH'!G$6:G$834,$H851)="","",INDEX('DM01-AV-CH'!G$6:G$834,$H851)))</f>
        <v>Einzelobjekte</v>
      </c>
      <c r="AH851" s="73" t="str" cm="1">
        <f t="array" ref="AH851">IF($H851=0,"",IF(INDEX('DM01-AV-CH'!H$6:H$834,$H851)="","",INDEX('DM01-AV-CH'!H$6:H$834,$H851)))</f>
        <v/>
      </c>
      <c r="AI851" s="74" t="str" cm="1">
        <f t="array" ref="AI851">IF($H851=0,"",IF(INDEX('DM01-AV-CH'!I$6:I$834,$H851)="","",INDEX('DM01-AV-CH'!I$6:I$834,$H851)))</f>
        <v>EOArt</v>
      </c>
    </row>
    <row r="852" spans="1:35" x14ac:dyDescent="0.25">
      <c r="A852" s="57">
        <v>847</v>
      </c>
      <c r="B852" s="57">
        <f>IF($A852="","",IF(_xlfn.XLOOKUP($A852,Korrelation!$D$4:$D$1197,Korrelation!E$4:E$1197,"-",0)="-",0,MATCH(_xlfn.XLOOKUP($A852,Korrelation!$D$4:$D$1197,Korrelation!E$4:E$1197,"",0),DMAV_Modell!$G$6:$G$677,0)))</f>
        <v>480</v>
      </c>
      <c r="C852" s="57">
        <f>IF($A852="","",IF(_xlfn.XLOOKUP($A852,Korrelation!$D$4:$D$1197,Korrelation!F$4:F$1197,"-",0)="-",0,MATCH(_xlfn.XLOOKUP($A852,Korrelation!$D$4:$D$1197,Korrelation!F$4:F$1197,"",0),DMAV_Modell!$G$6:$G$677,0)))</f>
        <v>0</v>
      </c>
      <c r="D852" s="57">
        <f>IF($A852="","",IF(_xlfn.XLOOKUP($A852,Korrelation!$D$4:$D$1197,Korrelation!G$4:G$1197,"-",0)="-",0,MATCH(_xlfn.XLOOKUP($A852,Korrelation!$D$4:$D$1197,Korrelation!G$4:G$1197,"",0),DMAV_Modell!$G$6:$G$677,0)))</f>
        <v>0</v>
      </c>
      <c r="E852" s="57">
        <f>IF($A852="","",IF(_xlfn.XLOOKUP($A852,Korrelation!$D$4:$D$1197,Korrelation!H$4:H$1197,"-",0)="-",0,MATCH(_xlfn.XLOOKUP($A852,Korrelation!$D$4:$D$1197,Korrelation!H$4:H$1197,"",0),DMAV_Dienste!$F$6:$F$140,0)))</f>
        <v>0</v>
      </c>
      <c r="F852" s="57">
        <f>IF($A852="","",IF(_xlfn.XLOOKUP($A852,Korrelation!$D$4:$D$1197,Korrelation!I$4:I$1197,"-",0)="-",0,MATCH(_xlfn.XLOOKUP($A852,Korrelation!$D$4:$D$1197,Korrelation!I$4:I$1197,"",0),DMAV_Dienste!$F$6:$F$140,0)))</f>
        <v>0</v>
      </c>
      <c r="G852" s="57">
        <f>IF($A852="","",IF(_xlfn.XLOOKUP($A852,Korrelation!$D$4:$D$1197,Korrelation!J$4:J$1197,"-",0)="-",0,MATCH(_xlfn.XLOOKUP($A852,Korrelation!$D$4:$D$1197,Korrelation!J$4:J$1197,"",0),DMAV_Dienste!$F$6:$F$140,0)))</f>
        <v>0</v>
      </c>
      <c r="H852" s="57">
        <f>IF($A852="","",IF(_xlfn.XLOOKUP($A852,Korrelation!$D$4:$D$1197,Korrelation!K$4:K$1197,"-",0)="-",0,MATCH(_xlfn.XLOOKUP($A852,Korrelation!$D$4:$D$1197,Korrelation!K$4:K$1197,"",0),'DM01-AV-CH'!$A$6:$A$834,0)))</f>
        <v>278</v>
      </c>
      <c r="J852" s="54" t="str" cm="1">
        <f t="array" aca="1" ref="J852" ca="1">IF(B852=0,IF(E852=0,"",HYPERLINK("#"&amp;RIGHT(CELL("adresse",OFFSET(DMAV_Dienste!$M$6,E852-1,0)),LEN(CELL("adresse",OFFSET(DMAV_Dienste!$M$6,E852-1,0)))-FIND("]",CELL("adresse",OFFSET(DMAV_Dienste!$M$6,E852-1,0)))),"Dienst")),HYPERLINK("#"&amp;RIGHT(CELL("adresse",OFFSET(DMAV_Modell!$N$6,B852-1,0)),LEN(CELL("adresse",OFFSET(DMAV_Modell!$N$6,B852-1,0)))-FIND("]",CELL("adresse",OFFSET(DMAV_Modell!$N$6,B852-1,0)))),"Modell"))</f>
        <v>Modell</v>
      </c>
      <c r="K852" s="61" t="str" cm="1">
        <f t="array" ref="K852">IF($B852=0,IF($E852=0,"",IF(INDEX(DMAV_Dienste!P$6:P$140,$E852)="","",INDEX(DMAV_Dienste!P$6:P$140,$E852))),IF(INDEX(DMAV_Modell!Q$6:Q$838,$B852)="","",INDEX(DMAV_Modell!Q$6:Q$838,$B852)))</f>
        <v>DOMAIN</v>
      </c>
      <c r="L852" s="62" t="str" cm="1">
        <f t="array" ref="L852">IF($B852=0,IF($E852=0,"",IF(INDEX(DMAV_Dienste!O$6:O$140,$E852)="","",INDEX(DMAV_Dienste!O$6:O$140,$E852))),IF(INDEX(DMAV_Modell!P$6:P$838,$B852)="","",INDEX(DMAV_Modell!P$6:P$838,$B852)))</f>
        <v>Einzelobjekte</v>
      </c>
      <c r="M852" s="62" t="str" cm="1">
        <f t="array" ref="M852">IF($B852=0,IF($E852=0,"",IF(INDEX(DMAV_Dienste!Q$6:Q$140,$E852)="","",INDEX(DMAV_Dienste!Q$6:Q$140,$E852))),IF(INDEX(DMAV_Modell!R$6:R$838,$B852)="","",INDEX(DMAV_Modell!R$6:R$838,$B852)))</f>
        <v>Einzelobjektart</v>
      </c>
      <c r="N852" s="62" t="str" cm="1">
        <f t="array" ref="N852">IF($B852=0,IF($E852=0,"",IF(INDEX(DMAV_Dienste!T$6:T$140,$E852)="","",INDEX(DMAV_Dienste!T$6:T$140,$E852))),IF(INDEX(DMAV_Modell!U$6:U$838,$B852)="","",INDEX(DMAV_Modell!U$6:U$838,$B852)))</f>
        <v/>
      </c>
      <c r="O852" s="63" t="str" cm="1">
        <f t="array" aca="1" ref="O852" ca="1">IF(C852=0,IF(F852=0,"",HYPERLINK("#"&amp;RIGHT(CELL("adresse",OFFSET(DMAV_Dienste!$M$6,F852-1,0)),LEN(CELL("adresse",OFFSET(DMAV_Dienste!$M$6,F852-1,0)))-FIND("]",CELL("adresse",OFFSET(DMAV_Dienste!$M$6,F852-1,0)))),"Structure")),HYPERLINK("#"&amp;RIGHT(CELL("adresse",OFFSET(DMAV_Modell!$N$6,C852-1,0)),LEN(CELL("adresse",OFFSET(DMAV_Modell!$N$6,C852-1,0)))-FIND("]",CELL("adresse",OFFSET(DMAV_Modell!$N$6,C852-1,0)))),"Structure"))</f>
        <v/>
      </c>
      <c r="P852" s="64" t="str" cm="1">
        <f t="array" aca="1" ref="P852" ca="1">IF(D852=0,IF(G852=0,"",HYPERLINK("#"&amp;RIGHT(CELL("adresse",OFFSET(DMAV_Dienste!$M$6,G852-1,0)),LEN(CELL("adresse",OFFSET(DMAV_Dienste!$M$6,G852-1,0)))-FIND("]",CELL("adresse",OFFSET(DMAV_Dienste!$M$6,G852-1,0)))),"Substructure")),HYPERLINK("#"&amp;RIGHT(CELL("adresse",OFFSET(DMAV_Modell!$N$6,D852-1,0)),LEN(CELL("adresse",OFFSET(DMAV_Modell!$N$6,D852-1,0)))-FIND("]",CELL("adresse",OFFSET(DMAV_Modell!$N$6,D852-1,0)))),"Substructure"))</f>
        <v/>
      </c>
      <c r="R852" s="80"/>
      <c r="T852" s="93"/>
      <c r="U852" s="94"/>
      <c r="V852" s="95"/>
      <c r="W852" s="96"/>
      <c r="Y852" s="85"/>
      <c r="Z852" s="86"/>
      <c r="AA852" s="87"/>
      <c r="AB852" s="88"/>
      <c r="AD852" s="77"/>
      <c r="AF852" s="54" t="str" cm="1">
        <f t="array" aca="1" ref="AF852" ca="1">IF(H852=0,"",HYPERLINK("#"&amp;RIGHT(CELL("adresse",OFFSET('DM01-AV-CH'!$G$6,H852-1,0)),LEN(CELL("adresse",OFFSET('DM01-AV-CH'!$G$6,H852-1,0)))-FIND("]",CELL("adresse",OFFSET('DM01-AV-CH'!$G$6,H852-1,0)))),"Modell"))</f>
        <v>Modell</v>
      </c>
      <c r="AG852" s="72" t="str" cm="1">
        <f t="array" ref="AG852">IF($H852=0,"",IF(INDEX('DM01-AV-CH'!G$6:G$834,$H852)="","",INDEX('DM01-AV-CH'!G$6:G$834,$H852)))</f>
        <v>Einzelobjekte</v>
      </c>
      <c r="AH852" s="73" t="str" cm="1">
        <f t="array" ref="AH852">IF($H852=0,"",IF(INDEX('DM01-AV-CH'!H$6:H$834,$H852)="","",INDEX('DM01-AV-CH'!H$6:H$834,$H852)))</f>
        <v/>
      </c>
      <c r="AI852" s="74" t="str" cm="1">
        <f t="array" ref="AI852">IF($H852=0,"",IF(INDEX('DM01-AV-CH'!I$6:I$834,$H852)="","",INDEX('DM01-AV-CH'!I$6:I$834,$H852)))</f>
        <v>EOArt</v>
      </c>
    </row>
    <row r="853" spans="1:35" x14ac:dyDescent="0.25">
      <c r="A853" s="57">
        <v>848</v>
      </c>
      <c r="B853" s="57">
        <f>IF($A853="","",IF(_xlfn.XLOOKUP($A853,Korrelation!$D$4:$D$1197,Korrelation!E$4:E$1197,"-",0)="-",0,MATCH(_xlfn.XLOOKUP($A853,Korrelation!$D$4:$D$1197,Korrelation!E$4:E$1197,"",0),DMAV_Modell!$G$6:$G$677,0)))</f>
        <v>481</v>
      </c>
      <c r="C853" s="57">
        <f>IF($A853="","",IF(_xlfn.XLOOKUP($A853,Korrelation!$D$4:$D$1197,Korrelation!F$4:F$1197,"-",0)="-",0,MATCH(_xlfn.XLOOKUP($A853,Korrelation!$D$4:$D$1197,Korrelation!F$4:F$1197,"",0),DMAV_Modell!$G$6:$G$677,0)))</f>
        <v>0</v>
      </c>
      <c r="D853" s="57">
        <f>IF($A853="","",IF(_xlfn.XLOOKUP($A853,Korrelation!$D$4:$D$1197,Korrelation!G$4:G$1197,"-",0)="-",0,MATCH(_xlfn.XLOOKUP($A853,Korrelation!$D$4:$D$1197,Korrelation!G$4:G$1197,"",0),DMAV_Modell!$G$6:$G$677,0)))</f>
        <v>0</v>
      </c>
      <c r="E853" s="57">
        <f>IF($A853="","",IF(_xlfn.XLOOKUP($A853,Korrelation!$D$4:$D$1197,Korrelation!H$4:H$1197,"-",0)="-",0,MATCH(_xlfn.XLOOKUP($A853,Korrelation!$D$4:$D$1197,Korrelation!H$4:H$1197,"",0),DMAV_Dienste!$F$6:$F$140,0)))</f>
        <v>0</v>
      </c>
      <c r="F853" s="57">
        <f>IF($A853="","",IF(_xlfn.XLOOKUP($A853,Korrelation!$D$4:$D$1197,Korrelation!I$4:I$1197,"-",0)="-",0,MATCH(_xlfn.XLOOKUP($A853,Korrelation!$D$4:$D$1197,Korrelation!I$4:I$1197,"",0),DMAV_Dienste!$F$6:$F$140,0)))</f>
        <v>0</v>
      </c>
      <c r="G853" s="57">
        <f>IF($A853="","",IF(_xlfn.XLOOKUP($A853,Korrelation!$D$4:$D$1197,Korrelation!J$4:J$1197,"-",0)="-",0,MATCH(_xlfn.XLOOKUP($A853,Korrelation!$D$4:$D$1197,Korrelation!J$4:J$1197,"",0),DMAV_Dienste!$F$6:$F$140,0)))</f>
        <v>0</v>
      </c>
      <c r="H853" s="57">
        <f>IF($A853="","",IF(_xlfn.XLOOKUP($A853,Korrelation!$D$4:$D$1197,Korrelation!K$4:K$1197,"-",0)="-",0,MATCH(_xlfn.XLOOKUP($A853,Korrelation!$D$4:$D$1197,Korrelation!K$4:K$1197,"",0),'DM01-AV-CH'!$A$6:$A$834,0)))</f>
        <v>279</v>
      </c>
      <c r="J853" s="54" t="str" cm="1">
        <f t="array" aca="1" ref="J853" ca="1">IF(B853=0,IF(E853=0,"",HYPERLINK("#"&amp;RIGHT(CELL("adresse",OFFSET(DMAV_Dienste!$M$6,E853-1,0)),LEN(CELL("adresse",OFFSET(DMAV_Dienste!$M$6,E853-1,0)))-FIND("]",CELL("adresse",OFFSET(DMAV_Dienste!$M$6,E853-1,0)))),"Dienst")),HYPERLINK("#"&amp;RIGHT(CELL("adresse",OFFSET(DMAV_Modell!$N$6,B853-1,0)),LEN(CELL("adresse",OFFSET(DMAV_Modell!$N$6,B853-1,0)))-FIND("]",CELL("adresse",OFFSET(DMAV_Modell!$N$6,B853-1,0)))),"Modell"))</f>
        <v>Modell</v>
      </c>
      <c r="K853" s="61" t="str" cm="1">
        <f t="array" ref="K853">IF($B853=0,IF($E853=0,"",IF(INDEX(DMAV_Dienste!P$6:P$140,$E853)="","",INDEX(DMAV_Dienste!P$6:P$140,$E853))),IF(INDEX(DMAV_Modell!Q$6:Q$838,$B853)="","",INDEX(DMAV_Modell!Q$6:Q$838,$B853)))</f>
        <v>DOMAIN</v>
      </c>
      <c r="L853" s="62" t="str" cm="1">
        <f t="array" ref="L853">IF($B853=0,IF($E853=0,"",IF(INDEX(DMAV_Dienste!O$6:O$140,$E853)="","",INDEX(DMAV_Dienste!O$6:O$140,$E853))),IF(INDEX(DMAV_Modell!P$6:P$838,$B853)="","",INDEX(DMAV_Modell!P$6:P$838,$B853)))</f>
        <v>Einzelobjekte</v>
      </c>
      <c r="M853" s="62" t="str" cm="1">
        <f t="array" ref="M853">IF($B853=0,IF($E853=0,"",IF(INDEX(DMAV_Dienste!Q$6:Q$140,$E853)="","",INDEX(DMAV_Dienste!Q$6:Q$140,$E853))),IF(INDEX(DMAV_Modell!R$6:R$838,$B853)="","",INDEX(DMAV_Modell!R$6:R$838,$B853)))</f>
        <v>Einzelobjektart</v>
      </c>
      <c r="N853" s="62" t="str" cm="1">
        <f t="array" ref="N853">IF($B853=0,IF($E853=0,"",IF(INDEX(DMAV_Dienste!T$6:T$140,$E853)="","",INDEX(DMAV_Dienste!T$6:T$140,$E853))),IF(INDEX(DMAV_Modell!U$6:U$838,$B853)="","",INDEX(DMAV_Modell!U$6:U$838,$B853)))</f>
        <v/>
      </c>
      <c r="O853" s="63" t="str" cm="1">
        <f t="array" aca="1" ref="O853" ca="1">IF(C853=0,IF(F853=0,"",HYPERLINK("#"&amp;RIGHT(CELL("adresse",OFFSET(DMAV_Dienste!$M$6,F853-1,0)),LEN(CELL("adresse",OFFSET(DMAV_Dienste!$M$6,F853-1,0)))-FIND("]",CELL("adresse",OFFSET(DMAV_Dienste!$M$6,F853-1,0)))),"Structure")),HYPERLINK("#"&amp;RIGHT(CELL("adresse",OFFSET(DMAV_Modell!$N$6,C853-1,0)),LEN(CELL("adresse",OFFSET(DMAV_Modell!$N$6,C853-1,0)))-FIND("]",CELL("adresse",OFFSET(DMAV_Modell!$N$6,C853-1,0)))),"Structure"))</f>
        <v/>
      </c>
      <c r="P853" s="64" t="str" cm="1">
        <f t="array" aca="1" ref="P853" ca="1">IF(D853=0,IF(G853=0,"",HYPERLINK("#"&amp;RIGHT(CELL("adresse",OFFSET(DMAV_Dienste!$M$6,G853-1,0)),LEN(CELL("adresse",OFFSET(DMAV_Dienste!$M$6,G853-1,0)))-FIND("]",CELL("adresse",OFFSET(DMAV_Dienste!$M$6,G853-1,0)))),"Substructure")),HYPERLINK("#"&amp;RIGHT(CELL("adresse",OFFSET(DMAV_Modell!$N$6,D853-1,0)),LEN(CELL("adresse",OFFSET(DMAV_Modell!$N$6,D853-1,0)))-FIND("]",CELL("adresse",OFFSET(DMAV_Modell!$N$6,D853-1,0)))),"Substructure"))</f>
        <v/>
      </c>
      <c r="R853" s="80"/>
      <c r="T853" s="93"/>
      <c r="U853" s="94"/>
      <c r="V853" s="95"/>
      <c r="W853" s="96"/>
      <c r="Y853" s="85"/>
      <c r="Z853" s="86"/>
      <c r="AA853" s="87"/>
      <c r="AB853" s="88"/>
      <c r="AD853" s="77"/>
      <c r="AF853" s="54" t="str" cm="1">
        <f t="array" aca="1" ref="AF853" ca="1">IF(H853=0,"",HYPERLINK("#"&amp;RIGHT(CELL("adresse",OFFSET('DM01-AV-CH'!$G$6,H853-1,0)),LEN(CELL("adresse",OFFSET('DM01-AV-CH'!$G$6,H853-1,0)))-FIND("]",CELL("adresse",OFFSET('DM01-AV-CH'!$G$6,H853-1,0)))),"Modell"))</f>
        <v>Modell</v>
      </c>
      <c r="AG853" s="72" t="str" cm="1">
        <f t="array" ref="AG853">IF($H853=0,"",IF(INDEX('DM01-AV-CH'!G$6:G$834,$H853)="","",INDEX('DM01-AV-CH'!G$6:G$834,$H853)))</f>
        <v>Einzelobjekte</v>
      </c>
      <c r="AH853" s="73" t="str" cm="1">
        <f t="array" ref="AH853">IF($H853=0,"",IF(INDEX('DM01-AV-CH'!H$6:H$834,$H853)="","",INDEX('DM01-AV-CH'!H$6:H$834,$H853)))</f>
        <v/>
      </c>
      <c r="AI853" s="74" t="str" cm="1">
        <f t="array" ref="AI853">IF($H853=0,"",IF(INDEX('DM01-AV-CH'!I$6:I$834,$H853)="","",INDEX('DM01-AV-CH'!I$6:I$834,$H853)))</f>
        <v>EOArt</v>
      </c>
    </row>
    <row r="854" spans="1:35" x14ac:dyDescent="0.25">
      <c r="A854" s="57">
        <v>849</v>
      </c>
      <c r="B854" s="57">
        <f>IF($A854="","",IF(_xlfn.XLOOKUP($A854,Korrelation!$D$4:$D$1197,Korrelation!E$4:E$1197,"-",0)="-",0,MATCH(_xlfn.XLOOKUP($A854,Korrelation!$D$4:$D$1197,Korrelation!E$4:E$1197,"",0),DMAV_Modell!$G$6:$G$677,0)))</f>
        <v>482</v>
      </c>
      <c r="C854" s="57">
        <f>IF($A854="","",IF(_xlfn.XLOOKUP($A854,Korrelation!$D$4:$D$1197,Korrelation!F$4:F$1197,"-",0)="-",0,MATCH(_xlfn.XLOOKUP($A854,Korrelation!$D$4:$D$1197,Korrelation!F$4:F$1197,"",0),DMAV_Modell!$G$6:$G$677,0)))</f>
        <v>0</v>
      </c>
      <c r="D854" s="57">
        <f>IF($A854="","",IF(_xlfn.XLOOKUP($A854,Korrelation!$D$4:$D$1197,Korrelation!G$4:G$1197,"-",0)="-",0,MATCH(_xlfn.XLOOKUP($A854,Korrelation!$D$4:$D$1197,Korrelation!G$4:G$1197,"",0),DMAV_Modell!$G$6:$G$677,0)))</f>
        <v>0</v>
      </c>
      <c r="E854" s="57">
        <f>IF($A854="","",IF(_xlfn.XLOOKUP($A854,Korrelation!$D$4:$D$1197,Korrelation!H$4:H$1197,"-",0)="-",0,MATCH(_xlfn.XLOOKUP($A854,Korrelation!$D$4:$D$1197,Korrelation!H$4:H$1197,"",0),DMAV_Dienste!$F$6:$F$140,0)))</f>
        <v>0</v>
      </c>
      <c r="F854" s="57">
        <f>IF($A854="","",IF(_xlfn.XLOOKUP($A854,Korrelation!$D$4:$D$1197,Korrelation!I$4:I$1197,"-",0)="-",0,MATCH(_xlfn.XLOOKUP($A854,Korrelation!$D$4:$D$1197,Korrelation!I$4:I$1197,"",0),DMAV_Dienste!$F$6:$F$140,0)))</f>
        <v>0</v>
      </c>
      <c r="G854" s="57">
        <f>IF($A854="","",IF(_xlfn.XLOOKUP($A854,Korrelation!$D$4:$D$1197,Korrelation!J$4:J$1197,"-",0)="-",0,MATCH(_xlfn.XLOOKUP($A854,Korrelation!$D$4:$D$1197,Korrelation!J$4:J$1197,"",0),DMAV_Dienste!$F$6:$F$140,0)))</f>
        <v>0</v>
      </c>
      <c r="H854" s="57">
        <f>IF($A854="","",IF(_xlfn.XLOOKUP($A854,Korrelation!$D$4:$D$1197,Korrelation!K$4:K$1197,"-",0)="-",0,MATCH(_xlfn.XLOOKUP($A854,Korrelation!$D$4:$D$1197,Korrelation!K$4:K$1197,"",0),'DM01-AV-CH'!$A$6:$A$834,0)))</f>
        <v>280</v>
      </c>
      <c r="J854" s="54" t="str" cm="1">
        <f t="array" aca="1" ref="J854" ca="1">IF(B854=0,IF(E854=0,"",HYPERLINK("#"&amp;RIGHT(CELL("adresse",OFFSET(DMAV_Dienste!$M$6,E854-1,0)),LEN(CELL("adresse",OFFSET(DMAV_Dienste!$M$6,E854-1,0)))-FIND("]",CELL("adresse",OFFSET(DMAV_Dienste!$M$6,E854-1,0)))),"Dienst")),HYPERLINK("#"&amp;RIGHT(CELL("adresse",OFFSET(DMAV_Modell!$N$6,B854-1,0)),LEN(CELL("adresse",OFFSET(DMAV_Modell!$N$6,B854-1,0)))-FIND("]",CELL("adresse",OFFSET(DMAV_Modell!$N$6,B854-1,0)))),"Modell"))</f>
        <v>Modell</v>
      </c>
      <c r="K854" s="61" t="str" cm="1">
        <f t="array" ref="K854">IF($B854=0,IF($E854=0,"",IF(INDEX(DMAV_Dienste!P$6:P$140,$E854)="","",INDEX(DMAV_Dienste!P$6:P$140,$E854))),IF(INDEX(DMAV_Modell!Q$6:Q$838,$B854)="","",INDEX(DMAV_Modell!Q$6:Q$838,$B854)))</f>
        <v>DOMAIN</v>
      </c>
      <c r="L854" s="62" t="str" cm="1">
        <f t="array" ref="L854">IF($B854=0,IF($E854=0,"",IF(INDEX(DMAV_Dienste!O$6:O$140,$E854)="","",INDEX(DMAV_Dienste!O$6:O$140,$E854))),IF(INDEX(DMAV_Modell!P$6:P$838,$B854)="","",INDEX(DMAV_Modell!P$6:P$838,$B854)))</f>
        <v>Einzelobjekte</v>
      </c>
      <c r="M854" s="62" t="str" cm="1">
        <f t="array" ref="M854">IF($B854=0,IF($E854=0,"",IF(INDEX(DMAV_Dienste!Q$6:Q$140,$E854)="","",INDEX(DMAV_Dienste!Q$6:Q$140,$E854))),IF(INDEX(DMAV_Modell!R$6:R$838,$B854)="","",INDEX(DMAV_Modell!R$6:R$838,$B854)))</f>
        <v>Einzelobjektart</v>
      </c>
      <c r="N854" s="62" t="str" cm="1">
        <f t="array" ref="N854">IF($B854=0,IF($E854=0,"",IF(INDEX(DMAV_Dienste!T$6:T$140,$E854)="","",INDEX(DMAV_Dienste!T$6:T$140,$E854))),IF(INDEX(DMAV_Modell!U$6:U$838,$B854)="","",INDEX(DMAV_Modell!U$6:U$838,$B854)))</f>
        <v/>
      </c>
      <c r="O854" s="63" t="str" cm="1">
        <f t="array" aca="1" ref="O854" ca="1">IF(C854=0,IF(F854=0,"",HYPERLINK("#"&amp;RIGHT(CELL("adresse",OFFSET(DMAV_Dienste!$M$6,F854-1,0)),LEN(CELL("adresse",OFFSET(DMAV_Dienste!$M$6,F854-1,0)))-FIND("]",CELL("adresse",OFFSET(DMAV_Dienste!$M$6,F854-1,0)))),"Structure")),HYPERLINK("#"&amp;RIGHT(CELL("adresse",OFFSET(DMAV_Modell!$N$6,C854-1,0)),LEN(CELL("adresse",OFFSET(DMAV_Modell!$N$6,C854-1,0)))-FIND("]",CELL("adresse",OFFSET(DMAV_Modell!$N$6,C854-1,0)))),"Structure"))</f>
        <v/>
      </c>
      <c r="P854" s="64" t="str" cm="1">
        <f t="array" aca="1" ref="P854" ca="1">IF(D854=0,IF(G854=0,"",HYPERLINK("#"&amp;RIGHT(CELL("adresse",OFFSET(DMAV_Dienste!$M$6,G854-1,0)),LEN(CELL("adresse",OFFSET(DMAV_Dienste!$M$6,G854-1,0)))-FIND("]",CELL("adresse",OFFSET(DMAV_Dienste!$M$6,G854-1,0)))),"Substructure")),HYPERLINK("#"&amp;RIGHT(CELL("adresse",OFFSET(DMAV_Modell!$N$6,D854-1,0)),LEN(CELL("adresse",OFFSET(DMAV_Modell!$N$6,D854-1,0)))-FIND("]",CELL("adresse",OFFSET(DMAV_Modell!$N$6,D854-1,0)))),"Substructure"))</f>
        <v/>
      </c>
      <c r="R854" s="80"/>
      <c r="T854" s="93"/>
      <c r="U854" s="94"/>
      <c r="V854" s="95"/>
      <c r="W854" s="96"/>
      <c r="Y854" s="85"/>
      <c r="Z854" s="86"/>
      <c r="AA854" s="87"/>
      <c r="AB854" s="88"/>
      <c r="AD854" s="77"/>
      <c r="AF854" s="54" t="str" cm="1">
        <f t="array" aca="1" ref="AF854" ca="1">IF(H854=0,"",HYPERLINK("#"&amp;RIGHT(CELL("adresse",OFFSET('DM01-AV-CH'!$G$6,H854-1,0)),LEN(CELL("adresse",OFFSET('DM01-AV-CH'!$G$6,H854-1,0)))-FIND("]",CELL("adresse",OFFSET('DM01-AV-CH'!$G$6,H854-1,0)))),"Modell"))</f>
        <v>Modell</v>
      </c>
      <c r="AG854" s="72" t="str" cm="1">
        <f t="array" ref="AG854">IF($H854=0,"",IF(INDEX('DM01-AV-CH'!G$6:G$834,$H854)="","",INDEX('DM01-AV-CH'!G$6:G$834,$H854)))</f>
        <v>Einzelobjekte</v>
      </c>
      <c r="AH854" s="73" t="str" cm="1">
        <f t="array" ref="AH854">IF($H854=0,"",IF(INDEX('DM01-AV-CH'!H$6:H$834,$H854)="","",INDEX('DM01-AV-CH'!H$6:H$834,$H854)))</f>
        <v/>
      </c>
      <c r="AI854" s="74" t="str" cm="1">
        <f t="array" ref="AI854">IF($H854=0,"",IF(INDEX('DM01-AV-CH'!I$6:I$834,$H854)="","",INDEX('DM01-AV-CH'!I$6:I$834,$H854)))</f>
        <v>EOArt</v>
      </c>
    </row>
    <row r="855" spans="1:35" x14ac:dyDescent="0.25">
      <c r="A855" s="57">
        <v>850</v>
      </c>
      <c r="B855" s="57">
        <f>IF($A855="","",IF(_xlfn.XLOOKUP($A855,Korrelation!$D$4:$D$1197,Korrelation!E$4:E$1197,"-",0)="-",0,MATCH(_xlfn.XLOOKUP($A855,Korrelation!$D$4:$D$1197,Korrelation!E$4:E$1197,"",0),DMAV_Modell!$G$6:$G$677,0)))</f>
        <v>483</v>
      </c>
      <c r="C855" s="57">
        <f>IF($A855="","",IF(_xlfn.XLOOKUP($A855,Korrelation!$D$4:$D$1197,Korrelation!F$4:F$1197,"-",0)="-",0,MATCH(_xlfn.XLOOKUP($A855,Korrelation!$D$4:$D$1197,Korrelation!F$4:F$1197,"",0),DMAV_Modell!$G$6:$G$677,0)))</f>
        <v>0</v>
      </c>
      <c r="D855" s="57">
        <f>IF($A855="","",IF(_xlfn.XLOOKUP($A855,Korrelation!$D$4:$D$1197,Korrelation!G$4:G$1197,"-",0)="-",0,MATCH(_xlfn.XLOOKUP($A855,Korrelation!$D$4:$D$1197,Korrelation!G$4:G$1197,"",0),DMAV_Modell!$G$6:$G$677,0)))</f>
        <v>0</v>
      </c>
      <c r="E855" s="57">
        <f>IF($A855="","",IF(_xlfn.XLOOKUP($A855,Korrelation!$D$4:$D$1197,Korrelation!H$4:H$1197,"-",0)="-",0,MATCH(_xlfn.XLOOKUP($A855,Korrelation!$D$4:$D$1197,Korrelation!H$4:H$1197,"",0),DMAV_Dienste!$F$6:$F$140,0)))</f>
        <v>0</v>
      </c>
      <c r="F855" s="57">
        <f>IF($A855="","",IF(_xlfn.XLOOKUP($A855,Korrelation!$D$4:$D$1197,Korrelation!I$4:I$1197,"-",0)="-",0,MATCH(_xlfn.XLOOKUP($A855,Korrelation!$D$4:$D$1197,Korrelation!I$4:I$1197,"",0),DMAV_Dienste!$F$6:$F$140,0)))</f>
        <v>0</v>
      </c>
      <c r="G855" s="57">
        <f>IF($A855="","",IF(_xlfn.XLOOKUP($A855,Korrelation!$D$4:$D$1197,Korrelation!J$4:J$1197,"-",0)="-",0,MATCH(_xlfn.XLOOKUP($A855,Korrelation!$D$4:$D$1197,Korrelation!J$4:J$1197,"",0),DMAV_Dienste!$F$6:$F$140,0)))</f>
        <v>0</v>
      </c>
      <c r="H855" s="57">
        <f>IF($A855="","",IF(_xlfn.XLOOKUP($A855,Korrelation!$D$4:$D$1197,Korrelation!K$4:K$1197,"-",0)="-",0,MATCH(_xlfn.XLOOKUP($A855,Korrelation!$D$4:$D$1197,Korrelation!K$4:K$1197,"",0),'DM01-AV-CH'!$A$6:$A$834,0)))</f>
        <v>281</v>
      </c>
      <c r="J855" s="54" t="str" cm="1">
        <f t="array" aca="1" ref="J855" ca="1">IF(B855=0,IF(E855=0,"",HYPERLINK("#"&amp;RIGHT(CELL("adresse",OFFSET(DMAV_Dienste!$M$6,E855-1,0)),LEN(CELL("adresse",OFFSET(DMAV_Dienste!$M$6,E855-1,0)))-FIND("]",CELL("adresse",OFFSET(DMAV_Dienste!$M$6,E855-1,0)))),"Dienst")),HYPERLINK("#"&amp;RIGHT(CELL("adresse",OFFSET(DMAV_Modell!$N$6,B855-1,0)),LEN(CELL("adresse",OFFSET(DMAV_Modell!$N$6,B855-1,0)))-FIND("]",CELL("adresse",OFFSET(DMAV_Modell!$N$6,B855-1,0)))),"Modell"))</f>
        <v>Modell</v>
      </c>
      <c r="K855" s="61" t="str" cm="1">
        <f t="array" ref="K855">IF($B855=0,IF($E855=0,"",IF(INDEX(DMAV_Dienste!P$6:P$140,$E855)="","",INDEX(DMAV_Dienste!P$6:P$140,$E855))),IF(INDEX(DMAV_Modell!Q$6:Q$838,$B855)="","",INDEX(DMAV_Modell!Q$6:Q$838,$B855)))</f>
        <v>DOMAIN</v>
      </c>
      <c r="L855" s="62" t="str" cm="1">
        <f t="array" ref="L855">IF($B855=0,IF($E855=0,"",IF(INDEX(DMAV_Dienste!O$6:O$140,$E855)="","",INDEX(DMAV_Dienste!O$6:O$140,$E855))),IF(INDEX(DMAV_Modell!P$6:P$838,$B855)="","",INDEX(DMAV_Modell!P$6:P$838,$B855)))</f>
        <v>Einzelobjekte</v>
      </c>
      <c r="M855" s="62" t="str" cm="1">
        <f t="array" ref="M855">IF($B855=0,IF($E855=0,"",IF(INDEX(DMAV_Dienste!Q$6:Q$140,$E855)="","",INDEX(DMAV_Dienste!Q$6:Q$140,$E855))),IF(INDEX(DMAV_Modell!R$6:R$838,$B855)="","",INDEX(DMAV_Modell!R$6:R$838,$B855)))</f>
        <v>Einzelobjektart</v>
      </c>
      <c r="N855" s="62" t="str" cm="1">
        <f t="array" ref="N855">IF($B855=0,IF($E855=0,"",IF(INDEX(DMAV_Dienste!T$6:T$140,$E855)="","",INDEX(DMAV_Dienste!T$6:T$140,$E855))),IF(INDEX(DMAV_Modell!U$6:U$838,$B855)="","",INDEX(DMAV_Modell!U$6:U$838,$B855)))</f>
        <v/>
      </c>
      <c r="O855" s="63" t="str" cm="1">
        <f t="array" aca="1" ref="O855" ca="1">IF(C855=0,IF(F855=0,"",HYPERLINK("#"&amp;RIGHT(CELL("adresse",OFFSET(DMAV_Dienste!$M$6,F855-1,0)),LEN(CELL("adresse",OFFSET(DMAV_Dienste!$M$6,F855-1,0)))-FIND("]",CELL("adresse",OFFSET(DMAV_Dienste!$M$6,F855-1,0)))),"Structure")),HYPERLINK("#"&amp;RIGHT(CELL("adresse",OFFSET(DMAV_Modell!$N$6,C855-1,0)),LEN(CELL("adresse",OFFSET(DMAV_Modell!$N$6,C855-1,0)))-FIND("]",CELL("adresse",OFFSET(DMAV_Modell!$N$6,C855-1,0)))),"Structure"))</f>
        <v/>
      </c>
      <c r="P855" s="64" t="str" cm="1">
        <f t="array" aca="1" ref="P855" ca="1">IF(D855=0,IF(G855=0,"",HYPERLINK("#"&amp;RIGHT(CELL("adresse",OFFSET(DMAV_Dienste!$M$6,G855-1,0)),LEN(CELL("adresse",OFFSET(DMAV_Dienste!$M$6,G855-1,0)))-FIND("]",CELL("adresse",OFFSET(DMAV_Dienste!$M$6,G855-1,0)))),"Substructure")),HYPERLINK("#"&amp;RIGHT(CELL("adresse",OFFSET(DMAV_Modell!$N$6,D855-1,0)),LEN(CELL("adresse",OFFSET(DMAV_Modell!$N$6,D855-1,0)))-FIND("]",CELL("adresse",OFFSET(DMAV_Modell!$N$6,D855-1,0)))),"Substructure"))</f>
        <v/>
      </c>
      <c r="R855" s="80"/>
      <c r="T855" s="93"/>
      <c r="U855" s="94"/>
      <c r="V855" s="95"/>
      <c r="W855" s="96"/>
      <c r="Y855" s="85"/>
      <c r="Z855" s="86"/>
      <c r="AA855" s="87"/>
      <c r="AB855" s="88"/>
      <c r="AD855" s="77"/>
      <c r="AF855" s="54" t="str" cm="1">
        <f t="array" aca="1" ref="AF855" ca="1">IF(H855=0,"",HYPERLINK("#"&amp;RIGHT(CELL("adresse",OFFSET('DM01-AV-CH'!$G$6,H855-1,0)),LEN(CELL("adresse",OFFSET('DM01-AV-CH'!$G$6,H855-1,0)))-FIND("]",CELL("adresse",OFFSET('DM01-AV-CH'!$G$6,H855-1,0)))),"Modell"))</f>
        <v>Modell</v>
      </c>
      <c r="AG855" s="72" t="str" cm="1">
        <f t="array" ref="AG855">IF($H855=0,"",IF(INDEX('DM01-AV-CH'!G$6:G$834,$H855)="","",INDEX('DM01-AV-CH'!G$6:G$834,$H855)))</f>
        <v>Einzelobjekte</v>
      </c>
      <c r="AH855" s="73" t="str" cm="1">
        <f t="array" ref="AH855">IF($H855=0,"",IF(INDEX('DM01-AV-CH'!H$6:H$834,$H855)="","",INDEX('DM01-AV-CH'!H$6:H$834,$H855)))</f>
        <v/>
      </c>
      <c r="AI855" s="74" t="str" cm="1">
        <f t="array" ref="AI855">IF($H855=0,"",IF(INDEX('DM01-AV-CH'!I$6:I$834,$H855)="","",INDEX('DM01-AV-CH'!I$6:I$834,$H855)))</f>
        <v>EOArt</v>
      </c>
    </row>
    <row r="856" spans="1:35" x14ac:dyDescent="0.25">
      <c r="A856" s="57">
        <v>851</v>
      </c>
      <c r="B856" s="57">
        <f>IF($A856="","",IF(_xlfn.XLOOKUP($A856,Korrelation!$D$4:$D$1197,Korrelation!E$4:E$1197,"-",0)="-",0,MATCH(_xlfn.XLOOKUP($A856,Korrelation!$D$4:$D$1197,Korrelation!E$4:E$1197,"",0),DMAV_Modell!$G$6:$G$677,0)))</f>
        <v>484</v>
      </c>
      <c r="C856" s="57">
        <f>IF($A856="","",IF(_xlfn.XLOOKUP($A856,Korrelation!$D$4:$D$1197,Korrelation!F$4:F$1197,"-",0)="-",0,MATCH(_xlfn.XLOOKUP($A856,Korrelation!$D$4:$D$1197,Korrelation!F$4:F$1197,"",0),DMAV_Modell!$G$6:$G$677,0)))</f>
        <v>0</v>
      </c>
      <c r="D856" s="57">
        <f>IF($A856="","",IF(_xlfn.XLOOKUP($A856,Korrelation!$D$4:$D$1197,Korrelation!G$4:G$1197,"-",0)="-",0,MATCH(_xlfn.XLOOKUP($A856,Korrelation!$D$4:$D$1197,Korrelation!G$4:G$1197,"",0),DMAV_Modell!$G$6:$G$677,0)))</f>
        <v>0</v>
      </c>
      <c r="E856" s="57">
        <f>IF($A856="","",IF(_xlfn.XLOOKUP($A856,Korrelation!$D$4:$D$1197,Korrelation!H$4:H$1197,"-",0)="-",0,MATCH(_xlfn.XLOOKUP($A856,Korrelation!$D$4:$D$1197,Korrelation!H$4:H$1197,"",0),DMAV_Dienste!$F$6:$F$140,0)))</f>
        <v>0</v>
      </c>
      <c r="F856" s="57">
        <f>IF($A856="","",IF(_xlfn.XLOOKUP($A856,Korrelation!$D$4:$D$1197,Korrelation!I$4:I$1197,"-",0)="-",0,MATCH(_xlfn.XLOOKUP($A856,Korrelation!$D$4:$D$1197,Korrelation!I$4:I$1197,"",0),DMAV_Dienste!$F$6:$F$140,0)))</f>
        <v>0</v>
      </c>
      <c r="G856" s="57">
        <f>IF($A856="","",IF(_xlfn.XLOOKUP($A856,Korrelation!$D$4:$D$1197,Korrelation!J$4:J$1197,"-",0)="-",0,MATCH(_xlfn.XLOOKUP($A856,Korrelation!$D$4:$D$1197,Korrelation!J$4:J$1197,"",0),DMAV_Dienste!$F$6:$F$140,0)))</f>
        <v>0</v>
      </c>
      <c r="H856" s="57">
        <f>IF($A856="","",IF(_xlfn.XLOOKUP($A856,Korrelation!$D$4:$D$1197,Korrelation!K$4:K$1197,"-",0)="-",0,MATCH(_xlfn.XLOOKUP($A856,Korrelation!$D$4:$D$1197,Korrelation!K$4:K$1197,"",0),'DM01-AV-CH'!$A$6:$A$834,0)))</f>
        <v>282</v>
      </c>
      <c r="J856" s="54" t="str" cm="1">
        <f t="array" aca="1" ref="J856" ca="1">IF(B856=0,IF(E856=0,"",HYPERLINK("#"&amp;RIGHT(CELL("adresse",OFFSET(DMAV_Dienste!$M$6,E856-1,0)),LEN(CELL("adresse",OFFSET(DMAV_Dienste!$M$6,E856-1,0)))-FIND("]",CELL("adresse",OFFSET(DMAV_Dienste!$M$6,E856-1,0)))),"Dienst")),HYPERLINK("#"&amp;RIGHT(CELL("adresse",OFFSET(DMAV_Modell!$N$6,B856-1,0)),LEN(CELL("adresse",OFFSET(DMAV_Modell!$N$6,B856-1,0)))-FIND("]",CELL("adresse",OFFSET(DMAV_Modell!$N$6,B856-1,0)))),"Modell"))</f>
        <v>Modell</v>
      </c>
      <c r="K856" s="61" t="str" cm="1">
        <f t="array" ref="K856">IF($B856=0,IF($E856=0,"",IF(INDEX(DMAV_Dienste!P$6:P$140,$E856)="","",INDEX(DMAV_Dienste!P$6:P$140,$E856))),IF(INDEX(DMAV_Modell!Q$6:Q$838,$B856)="","",INDEX(DMAV_Modell!Q$6:Q$838,$B856)))</f>
        <v>DOMAIN</v>
      </c>
      <c r="L856" s="62" t="str" cm="1">
        <f t="array" ref="L856">IF($B856=0,IF($E856=0,"",IF(INDEX(DMAV_Dienste!O$6:O$140,$E856)="","",INDEX(DMAV_Dienste!O$6:O$140,$E856))),IF(INDEX(DMAV_Modell!P$6:P$838,$B856)="","",INDEX(DMAV_Modell!P$6:P$838,$B856)))</f>
        <v>Einzelobjekte</v>
      </c>
      <c r="M856" s="62" t="str" cm="1">
        <f t="array" ref="M856">IF($B856=0,IF($E856=0,"",IF(INDEX(DMAV_Dienste!Q$6:Q$140,$E856)="","",INDEX(DMAV_Dienste!Q$6:Q$140,$E856))),IF(INDEX(DMAV_Modell!R$6:R$838,$B856)="","",INDEX(DMAV_Modell!R$6:R$838,$B856)))</f>
        <v>Einzelobjektart</v>
      </c>
      <c r="N856" s="62" t="str" cm="1">
        <f t="array" ref="N856">IF($B856=0,IF($E856=0,"",IF(INDEX(DMAV_Dienste!T$6:T$140,$E856)="","",INDEX(DMAV_Dienste!T$6:T$140,$E856))),IF(INDEX(DMAV_Modell!U$6:U$838,$B856)="","",INDEX(DMAV_Modell!U$6:U$838,$B856)))</f>
        <v/>
      </c>
      <c r="O856" s="63" t="str" cm="1">
        <f t="array" aca="1" ref="O856" ca="1">IF(C856=0,IF(F856=0,"",HYPERLINK("#"&amp;RIGHT(CELL("adresse",OFFSET(DMAV_Dienste!$M$6,F856-1,0)),LEN(CELL("adresse",OFFSET(DMAV_Dienste!$M$6,F856-1,0)))-FIND("]",CELL("adresse",OFFSET(DMAV_Dienste!$M$6,F856-1,0)))),"Structure")),HYPERLINK("#"&amp;RIGHT(CELL("adresse",OFFSET(DMAV_Modell!$N$6,C856-1,0)),LEN(CELL("adresse",OFFSET(DMAV_Modell!$N$6,C856-1,0)))-FIND("]",CELL("adresse",OFFSET(DMAV_Modell!$N$6,C856-1,0)))),"Structure"))</f>
        <v/>
      </c>
      <c r="P856" s="64" t="str" cm="1">
        <f t="array" aca="1" ref="P856" ca="1">IF(D856=0,IF(G856=0,"",HYPERLINK("#"&amp;RIGHT(CELL("adresse",OFFSET(DMAV_Dienste!$M$6,G856-1,0)),LEN(CELL("adresse",OFFSET(DMAV_Dienste!$M$6,G856-1,0)))-FIND("]",CELL("adresse",OFFSET(DMAV_Dienste!$M$6,G856-1,0)))),"Substructure")),HYPERLINK("#"&amp;RIGHT(CELL("adresse",OFFSET(DMAV_Modell!$N$6,D856-1,0)),LEN(CELL("adresse",OFFSET(DMAV_Modell!$N$6,D856-1,0)))-FIND("]",CELL("adresse",OFFSET(DMAV_Modell!$N$6,D856-1,0)))),"Substructure"))</f>
        <v/>
      </c>
      <c r="R856" s="80"/>
      <c r="T856" s="93"/>
      <c r="U856" s="94"/>
      <c r="V856" s="95"/>
      <c r="W856" s="96"/>
      <c r="Y856" s="85"/>
      <c r="Z856" s="86"/>
      <c r="AA856" s="87"/>
      <c r="AB856" s="88"/>
      <c r="AD856" s="77"/>
      <c r="AF856" s="54" t="str" cm="1">
        <f t="array" aca="1" ref="AF856" ca="1">IF(H856=0,"",HYPERLINK("#"&amp;RIGHT(CELL("adresse",OFFSET('DM01-AV-CH'!$G$6,H856-1,0)),LEN(CELL("adresse",OFFSET('DM01-AV-CH'!$G$6,H856-1,0)))-FIND("]",CELL("adresse",OFFSET('DM01-AV-CH'!$G$6,H856-1,0)))),"Modell"))</f>
        <v>Modell</v>
      </c>
      <c r="AG856" s="72" t="str" cm="1">
        <f t="array" ref="AG856">IF($H856=0,"",IF(INDEX('DM01-AV-CH'!G$6:G$834,$H856)="","",INDEX('DM01-AV-CH'!G$6:G$834,$H856)))</f>
        <v>Einzelobjekte</v>
      </c>
      <c r="AH856" s="73" t="str" cm="1">
        <f t="array" ref="AH856">IF($H856=0,"",IF(INDEX('DM01-AV-CH'!H$6:H$834,$H856)="","",INDEX('DM01-AV-CH'!H$6:H$834,$H856)))</f>
        <v/>
      </c>
      <c r="AI856" s="74" t="str" cm="1">
        <f t="array" ref="AI856">IF($H856=0,"",IF(INDEX('DM01-AV-CH'!I$6:I$834,$H856)="","",INDEX('DM01-AV-CH'!I$6:I$834,$H856)))</f>
        <v>EOArt</v>
      </c>
    </row>
    <row r="857" spans="1:35" x14ac:dyDescent="0.25">
      <c r="A857" s="57">
        <v>852</v>
      </c>
      <c r="B857" s="57">
        <f>IF($A857="","",IF(_xlfn.XLOOKUP($A857,Korrelation!$D$4:$D$1197,Korrelation!E$4:E$1197,"-",0)="-",0,MATCH(_xlfn.XLOOKUP($A857,Korrelation!$D$4:$D$1197,Korrelation!E$4:E$1197,"",0),DMAV_Modell!$G$6:$G$677,0)))</f>
        <v>485</v>
      </c>
      <c r="C857" s="57">
        <f>IF($A857="","",IF(_xlfn.XLOOKUP($A857,Korrelation!$D$4:$D$1197,Korrelation!F$4:F$1197,"-",0)="-",0,MATCH(_xlfn.XLOOKUP($A857,Korrelation!$D$4:$D$1197,Korrelation!F$4:F$1197,"",0),DMAV_Modell!$G$6:$G$677,0)))</f>
        <v>0</v>
      </c>
      <c r="D857" s="57">
        <f>IF($A857="","",IF(_xlfn.XLOOKUP($A857,Korrelation!$D$4:$D$1197,Korrelation!G$4:G$1197,"-",0)="-",0,MATCH(_xlfn.XLOOKUP($A857,Korrelation!$D$4:$D$1197,Korrelation!G$4:G$1197,"",0),DMAV_Modell!$G$6:$G$677,0)))</f>
        <v>0</v>
      </c>
      <c r="E857" s="57">
        <f>IF($A857="","",IF(_xlfn.XLOOKUP($A857,Korrelation!$D$4:$D$1197,Korrelation!H$4:H$1197,"-",0)="-",0,MATCH(_xlfn.XLOOKUP($A857,Korrelation!$D$4:$D$1197,Korrelation!H$4:H$1197,"",0),DMAV_Dienste!$F$6:$F$140,0)))</f>
        <v>0</v>
      </c>
      <c r="F857" s="57">
        <f>IF($A857="","",IF(_xlfn.XLOOKUP($A857,Korrelation!$D$4:$D$1197,Korrelation!I$4:I$1197,"-",0)="-",0,MATCH(_xlfn.XLOOKUP($A857,Korrelation!$D$4:$D$1197,Korrelation!I$4:I$1197,"",0),DMAV_Dienste!$F$6:$F$140,0)))</f>
        <v>0</v>
      </c>
      <c r="G857" s="57">
        <f>IF($A857="","",IF(_xlfn.XLOOKUP($A857,Korrelation!$D$4:$D$1197,Korrelation!J$4:J$1197,"-",0)="-",0,MATCH(_xlfn.XLOOKUP($A857,Korrelation!$D$4:$D$1197,Korrelation!J$4:J$1197,"",0),DMAV_Dienste!$F$6:$F$140,0)))</f>
        <v>0</v>
      </c>
      <c r="H857" s="57">
        <f>IF($A857="","",IF(_xlfn.XLOOKUP($A857,Korrelation!$D$4:$D$1197,Korrelation!K$4:K$1197,"-",0)="-",0,MATCH(_xlfn.XLOOKUP($A857,Korrelation!$D$4:$D$1197,Korrelation!K$4:K$1197,"",0),'DM01-AV-CH'!$A$6:$A$834,0)))</f>
        <v>283</v>
      </c>
      <c r="J857" s="54" t="str" cm="1">
        <f t="array" aca="1" ref="J857" ca="1">IF(B857=0,IF(E857=0,"",HYPERLINK("#"&amp;RIGHT(CELL("adresse",OFFSET(DMAV_Dienste!$M$6,E857-1,0)),LEN(CELL("adresse",OFFSET(DMAV_Dienste!$M$6,E857-1,0)))-FIND("]",CELL("adresse",OFFSET(DMAV_Dienste!$M$6,E857-1,0)))),"Dienst")),HYPERLINK("#"&amp;RIGHT(CELL("adresse",OFFSET(DMAV_Modell!$N$6,B857-1,0)),LEN(CELL("adresse",OFFSET(DMAV_Modell!$N$6,B857-1,0)))-FIND("]",CELL("adresse",OFFSET(DMAV_Modell!$N$6,B857-1,0)))),"Modell"))</f>
        <v>Modell</v>
      </c>
      <c r="K857" s="61" t="str" cm="1">
        <f t="array" ref="K857">IF($B857=0,IF($E857=0,"",IF(INDEX(DMAV_Dienste!P$6:P$140,$E857)="","",INDEX(DMAV_Dienste!P$6:P$140,$E857))),IF(INDEX(DMAV_Modell!Q$6:Q$838,$B857)="","",INDEX(DMAV_Modell!Q$6:Q$838,$B857)))</f>
        <v>DOMAIN</v>
      </c>
      <c r="L857" s="62" t="str" cm="1">
        <f t="array" ref="L857">IF($B857=0,IF($E857=0,"",IF(INDEX(DMAV_Dienste!O$6:O$140,$E857)="","",INDEX(DMAV_Dienste!O$6:O$140,$E857))),IF(INDEX(DMAV_Modell!P$6:P$838,$B857)="","",INDEX(DMAV_Modell!P$6:P$838,$B857)))</f>
        <v>Einzelobjekte</v>
      </c>
      <c r="M857" s="62" t="str" cm="1">
        <f t="array" ref="M857">IF($B857=0,IF($E857=0,"",IF(INDEX(DMAV_Dienste!Q$6:Q$140,$E857)="","",INDEX(DMAV_Dienste!Q$6:Q$140,$E857))),IF(INDEX(DMAV_Modell!R$6:R$838,$B857)="","",INDEX(DMAV_Modell!R$6:R$838,$B857)))</f>
        <v>Einzelobjektart</v>
      </c>
      <c r="N857" s="62" t="str" cm="1">
        <f t="array" ref="N857">IF($B857=0,IF($E857=0,"",IF(INDEX(DMAV_Dienste!T$6:T$140,$E857)="","",INDEX(DMAV_Dienste!T$6:T$140,$E857))),IF(INDEX(DMAV_Modell!U$6:U$838,$B857)="","",INDEX(DMAV_Modell!U$6:U$838,$B857)))</f>
        <v/>
      </c>
      <c r="O857" s="63" t="str" cm="1">
        <f t="array" aca="1" ref="O857" ca="1">IF(C857=0,IF(F857=0,"",HYPERLINK("#"&amp;RIGHT(CELL("adresse",OFFSET(DMAV_Dienste!$M$6,F857-1,0)),LEN(CELL("adresse",OFFSET(DMAV_Dienste!$M$6,F857-1,0)))-FIND("]",CELL("adresse",OFFSET(DMAV_Dienste!$M$6,F857-1,0)))),"Structure")),HYPERLINK("#"&amp;RIGHT(CELL("adresse",OFFSET(DMAV_Modell!$N$6,C857-1,0)),LEN(CELL("adresse",OFFSET(DMAV_Modell!$N$6,C857-1,0)))-FIND("]",CELL("adresse",OFFSET(DMAV_Modell!$N$6,C857-1,0)))),"Structure"))</f>
        <v/>
      </c>
      <c r="P857" s="64" t="str" cm="1">
        <f t="array" aca="1" ref="P857" ca="1">IF(D857=0,IF(G857=0,"",HYPERLINK("#"&amp;RIGHT(CELL("adresse",OFFSET(DMAV_Dienste!$M$6,G857-1,0)),LEN(CELL("adresse",OFFSET(DMAV_Dienste!$M$6,G857-1,0)))-FIND("]",CELL("adresse",OFFSET(DMAV_Dienste!$M$6,G857-1,0)))),"Substructure")),HYPERLINK("#"&amp;RIGHT(CELL("adresse",OFFSET(DMAV_Modell!$N$6,D857-1,0)),LEN(CELL("adresse",OFFSET(DMAV_Modell!$N$6,D857-1,0)))-FIND("]",CELL("adresse",OFFSET(DMAV_Modell!$N$6,D857-1,0)))),"Substructure"))</f>
        <v/>
      </c>
      <c r="R857" s="80"/>
      <c r="T857" s="93"/>
      <c r="U857" s="94"/>
      <c r="V857" s="95"/>
      <c r="W857" s="96"/>
      <c r="Y857" s="85"/>
      <c r="Z857" s="86"/>
      <c r="AA857" s="87"/>
      <c r="AB857" s="88"/>
      <c r="AD857" s="77"/>
      <c r="AF857" s="54" t="str" cm="1">
        <f t="array" aca="1" ref="AF857" ca="1">IF(H857=0,"",HYPERLINK("#"&amp;RIGHT(CELL("adresse",OFFSET('DM01-AV-CH'!$G$6,H857-1,0)),LEN(CELL("adresse",OFFSET('DM01-AV-CH'!$G$6,H857-1,0)))-FIND("]",CELL("adresse",OFFSET('DM01-AV-CH'!$G$6,H857-1,0)))),"Modell"))</f>
        <v>Modell</v>
      </c>
      <c r="AG857" s="72" t="str" cm="1">
        <f t="array" ref="AG857">IF($H857=0,"",IF(INDEX('DM01-AV-CH'!G$6:G$834,$H857)="","",INDEX('DM01-AV-CH'!G$6:G$834,$H857)))</f>
        <v>Einzelobjekte</v>
      </c>
      <c r="AH857" s="73" t="str" cm="1">
        <f t="array" ref="AH857">IF($H857=0,"",IF(INDEX('DM01-AV-CH'!H$6:H$834,$H857)="","",INDEX('DM01-AV-CH'!H$6:H$834,$H857)))</f>
        <v/>
      </c>
      <c r="AI857" s="74" t="str" cm="1">
        <f t="array" ref="AI857">IF($H857=0,"",IF(INDEX('DM01-AV-CH'!I$6:I$834,$H857)="","",INDEX('DM01-AV-CH'!I$6:I$834,$H857)))</f>
        <v>EOArt</v>
      </c>
    </row>
    <row r="858" spans="1:35" x14ac:dyDescent="0.25">
      <c r="A858" s="57">
        <v>853</v>
      </c>
      <c r="B858" s="57">
        <f>IF($A858="","",IF(_xlfn.XLOOKUP($A858,Korrelation!$D$4:$D$1197,Korrelation!E$4:E$1197,"-",0)="-",0,MATCH(_xlfn.XLOOKUP($A858,Korrelation!$D$4:$D$1197,Korrelation!E$4:E$1197,"",0),DMAV_Modell!$G$6:$G$677,0)))</f>
        <v>486</v>
      </c>
      <c r="C858" s="57">
        <f>IF($A858="","",IF(_xlfn.XLOOKUP($A858,Korrelation!$D$4:$D$1197,Korrelation!F$4:F$1197,"-",0)="-",0,MATCH(_xlfn.XLOOKUP($A858,Korrelation!$D$4:$D$1197,Korrelation!F$4:F$1197,"",0),DMAV_Modell!$G$6:$G$677,0)))</f>
        <v>0</v>
      </c>
      <c r="D858" s="57">
        <f>IF($A858="","",IF(_xlfn.XLOOKUP($A858,Korrelation!$D$4:$D$1197,Korrelation!G$4:G$1197,"-",0)="-",0,MATCH(_xlfn.XLOOKUP($A858,Korrelation!$D$4:$D$1197,Korrelation!G$4:G$1197,"",0),DMAV_Modell!$G$6:$G$677,0)))</f>
        <v>0</v>
      </c>
      <c r="E858" s="57">
        <f>IF($A858="","",IF(_xlfn.XLOOKUP($A858,Korrelation!$D$4:$D$1197,Korrelation!H$4:H$1197,"-",0)="-",0,MATCH(_xlfn.XLOOKUP($A858,Korrelation!$D$4:$D$1197,Korrelation!H$4:H$1197,"",0),DMAV_Dienste!$F$6:$F$140,0)))</f>
        <v>0</v>
      </c>
      <c r="F858" s="57">
        <f>IF($A858="","",IF(_xlfn.XLOOKUP($A858,Korrelation!$D$4:$D$1197,Korrelation!I$4:I$1197,"-",0)="-",0,MATCH(_xlfn.XLOOKUP($A858,Korrelation!$D$4:$D$1197,Korrelation!I$4:I$1197,"",0),DMAV_Dienste!$F$6:$F$140,0)))</f>
        <v>0</v>
      </c>
      <c r="G858" s="57">
        <f>IF($A858="","",IF(_xlfn.XLOOKUP($A858,Korrelation!$D$4:$D$1197,Korrelation!J$4:J$1197,"-",0)="-",0,MATCH(_xlfn.XLOOKUP($A858,Korrelation!$D$4:$D$1197,Korrelation!J$4:J$1197,"",0),DMAV_Dienste!$F$6:$F$140,0)))</f>
        <v>0</v>
      </c>
      <c r="H858" s="57">
        <f>IF($A858="","",IF(_xlfn.XLOOKUP($A858,Korrelation!$D$4:$D$1197,Korrelation!K$4:K$1197,"-",0)="-",0,MATCH(_xlfn.XLOOKUP($A858,Korrelation!$D$4:$D$1197,Korrelation!K$4:K$1197,"",0),'DM01-AV-CH'!$A$6:$A$834,0)))</f>
        <v>284</v>
      </c>
      <c r="J858" s="54" t="str" cm="1">
        <f t="array" aca="1" ref="J858" ca="1">IF(B858=0,IF(E858=0,"",HYPERLINK("#"&amp;RIGHT(CELL("adresse",OFFSET(DMAV_Dienste!$M$6,E858-1,0)),LEN(CELL("adresse",OFFSET(DMAV_Dienste!$M$6,E858-1,0)))-FIND("]",CELL("adresse",OFFSET(DMAV_Dienste!$M$6,E858-1,0)))),"Dienst")),HYPERLINK("#"&amp;RIGHT(CELL("adresse",OFFSET(DMAV_Modell!$N$6,B858-1,0)),LEN(CELL("adresse",OFFSET(DMAV_Modell!$N$6,B858-1,0)))-FIND("]",CELL("adresse",OFFSET(DMAV_Modell!$N$6,B858-1,0)))),"Modell"))</f>
        <v>Modell</v>
      </c>
      <c r="K858" s="61" t="str" cm="1">
        <f t="array" ref="K858">IF($B858=0,IF($E858=0,"",IF(INDEX(DMAV_Dienste!P$6:P$140,$E858)="","",INDEX(DMAV_Dienste!P$6:P$140,$E858))),IF(INDEX(DMAV_Modell!Q$6:Q$838,$B858)="","",INDEX(DMAV_Modell!Q$6:Q$838,$B858)))</f>
        <v>DOMAIN</v>
      </c>
      <c r="L858" s="62" t="str" cm="1">
        <f t="array" ref="L858">IF($B858=0,IF($E858=0,"",IF(INDEX(DMAV_Dienste!O$6:O$140,$E858)="","",INDEX(DMAV_Dienste!O$6:O$140,$E858))),IF(INDEX(DMAV_Modell!P$6:P$838,$B858)="","",INDEX(DMAV_Modell!P$6:P$838,$B858)))</f>
        <v>Einzelobjekte</v>
      </c>
      <c r="M858" s="62" t="str" cm="1">
        <f t="array" ref="M858">IF($B858=0,IF($E858=0,"",IF(INDEX(DMAV_Dienste!Q$6:Q$140,$E858)="","",INDEX(DMAV_Dienste!Q$6:Q$140,$E858))),IF(INDEX(DMAV_Modell!R$6:R$838,$B858)="","",INDEX(DMAV_Modell!R$6:R$838,$B858)))</f>
        <v>Einzelobjektart</v>
      </c>
      <c r="N858" s="62" t="str" cm="1">
        <f t="array" ref="N858">IF($B858=0,IF($E858=0,"",IF(INDEX(DMAV_Dienste!T$6:T$140,$E858)="","",INDEX(DMAV_Dienste!T$6:T$140,$E858))),IF(INDEX(DMAV_Modell!U$6:U$838,$B858)="","",INDEX(DMAV_Modell!U$6:U$838,$B858)))</f>
        <v/>
      </c>
      <c r="O858" s="63" t="str" cm="1">
        <f t="array" aca="1" ref="O858" ca="1">IF(C858=0,IF(F858=0,"",HYPERLINK("#"&amp;RIGHT(CELL("adresse",OFFSET(DMAV_Dienste!$M$6,F858-1,0)),LEN(CELL("adresse",OFFSET(DMAV_Dienste!$M$6,F858-1,0)))-FIND("]",CELL("adresse",OFFSET(DMAV_Dienste!$M$6,F858-1,0)))),"Structure")),HYPERLINK("#"&amp;RIGHT(CELL("adresse",OFFSET(DMAV_Modell!$N$6,C858-1,0)),LEN(CELL("adresse",OFFSET(DMAV_Modell!$N$6,C858-1,0)))-FIND("]",CELL("adresse",OFFSET(DMAV_Modell!$N$6,C858-1,0)))),"Structure"))</f>
        <v/>
      </c>
      <c r="P858" s="64" t="str" cm="1">
        <f t="array" aca="1" ref="P858" ca="1">IF(D858=0,IF(G858=0,"",HYPERLINK("#"&amp;RIGHT(CELL("adresse",OFFSET(DMAV_Dienste!$M$6,G858-1,0)),LEN(CELL("adresse",OFFSET(DMAV_Dienste!$M$6,G858-1,0)))-FIND("]",CELL("adresse",OFFSET(DMAV_Dienste!$M$6,G858-1,0)))),"Substructure")),HYPERLINK("#"&amp;RIGHT(CELL("adresse",OFFSET(DMAV_Modell!$N$6,D858-1,0)),LEN(CELL("adresse",OFFSET(DMAV_Modell!$N$6,D858-1,0)))-FIND("]",CELL("adresse",OFFSET(DMAV_Modell!$N$6,D858-1,0)))),"Substructure"))</f>
        <v/>
      </c>
      <c r="R858" s="80"/>
      <c r="T858" s="93"/>
      <c r="U858" s="94"/>
      <c r="V858" s="95"/>
      <c r="W858" s="96"/>
      <c r="Y858" s="85"/>
      <c r="Z858" s="86"/>
      <c r="AA858" s="87"/>
      <c r="AB858" s="88"/>
      <c r="AD858" s="77"/>
      <c r="AF858" s="54" t="str" cm="1">
        <f t="array" aca="1" ref="AF858" ca="1">IF(H858=0,"",HYPERLINK("#"&amp;RIGHT(CELL("adresse",OFFSET('DM01-AV-CH'!$G$6,H858-1,0)),LEN(CELL("adresse",OFFSET('DM01-AV-CH'!$G$6,H858-1,0)))-FIND("]",CELL("adresse",OFFSET('DM01-AV-CH'!$G$6,H858-1,0)))),"Modell"))</f>
        <v>Modell</v>
      </c>
      <c r="AG858" s="72" t="str" cm="1">
        <f t="array" ref="AG858">IF($H858=0,"",IF(INDEX('DM01-AV-CH'!G$6:G$834,$H858)="","",INDEX('DM01-AV-CH'!G$6:G$834,$H858)))</f>
        <v>Einzelobjekte</v>
      </c>
      <c r="AH858" s="73" t="str" cm="1">
        <f t="array" ref="AH858">IF($H858=0,"",IF(INDEX('DM01-AV-CH'!H$6:H$834,$H858)="","",INDEX('DM01-AV-CH'!H$6:H$834,$H858)))</f>
        <v/>
      </c>
      <c r="AI858" s="74" t="str" cm="1">
        <f t="array" ref="AI858">IF($H858=0,"",IF(INDEX('DM01-AV-CH'!I$6:I$834,$H858)="","",INDEX('DM01-AV-CH'!I$6:I$834,$H858)))</f>
        <v>EOArt</v>
      </c>
    </row>
    <row r="859" spans="1:35" x14ac:dyDescent="0.25">
      <c r="A859" s="57">
        <v>854</v>
      </c>
      <c r="B859" s="57">
        <f>IF($A859="","",IF(_xlfn.XLOOKUP($A859,Korrelation!$D$4:$D$1197,Korrelation!E$4:E$1197,"-",0)="-",0,MATCH(_xlfn.XLOOKUP($A859,Korrelation!$D$4:$D$1197,Korrelation!E$4:E$1197,"",0),DMAV_Modell!$G$6:$G$677,0)))</f>
        <v>487</v>
      </c>
      <c r="C859" s="57">
        <f>IF($A859="","",IF(_xlfn.XLOOKUP($A859,Korrelation!$D$4:$D$1197,Korrelation!F$4:F$1197,"-",0)="-",0,MATCH(_xlfn.XLOOKUP($A859,Korrelation!$D$4:$D$1197,Korrelation!F$4:F$1197,"",0),DMAV_Modell!$G$6:$G$677,0)))</f>
        <v>0</v>
      </c>
      <c r="D859" s="57">
        <f>IF($A859="","",IF(_xlfn.XLOOKUP($A859,Korrelation!$D$4:$D$1197,Korrelation!G$4:G$1197,"-",0)="-",0,MATCH(_xlfn.XLOOKUP($A859,Korrelation!$D$4:$D$1197,Korrelation!G$4:G$1197,"",0),DMAV_Modell!$G$6:$G$677,0)))</f>
        <v>0</v>
      </c>
      <c r="E859" s="57">
        <f>IF($A859="","",IF(_xlfn.XLOOKUP($A859,Korrelation!$D$4:$D$1197,Korrelation!H$4:H$1197,"-",0)="-",0,MATCH(_xlfn.XLOOKUP($A859,Korrelation!$D$4:$D$1197,Korrelation!H$4:H$1197,"",0),DMAV_Dienste!$F$6:$F$140,0)))</f>
        <v>0</v>
      </c>
      <c r="F859" s="57">
        <f>IF($A859="","",IF(_xlfn.XLOOKUP($A859,Korrelation!$D$4:$D$1197,Korrelation!I$4:I$1197,"-",0)="-",0,MATCH(_xlfn.XLOOKUP($A859,Korrelation!$D$4:$D$1197,Korrelation!I$4:I$1197,"",0),DMAV_Dienste!$F$6:$F$140,0)))</f>
        <v>0</v>
      </c>
      <c r="G859" s="57">
        <f>IF($A859="","",IF(_xlfn.XLOOKUP($A859,Korrelation!$D$4:$D$1197,Korrelation!J$4:J$1197,"-",0)="-",0,MATCH(_xlfn.XLOOKUP($A859,Korrelation!$D$4:$D$1197,Korrelation!J$4:J$1197,"",0),DMAV_Dienste!$F$6:$F$140,0)))</f>
        <v>0</v>
      </c>
      <c r="H859" s="57">
        <f>IF($A859="","",IF(_xlfn.XLOOKUP($A859,Korrelation!$D$4:$D$1197,Korrelation!K$4:K$1197,"-",0)="-",0,MATCH(_xlfn.XLOOKUP($A859,Korrelation!$D$4:$D$1197,Korrelation!K$4:K$1197,"",0),'DM01-AV-CH'!$A$6:$A$834,0)))</f>
        <v>285</v>
      </c>
      <c r="J859" s="54" t="str" cm="1">
        <f t="array" aca="1" ref="J859" ca="1">IF(B859=0,IF(E859=0,"",HYPERLINK("#"&amp;RIGHT(CELL("adresse",OFFSET(DMAV_Dienste!$M$6,E859-1,0)),LEN(CELL("adresse",OFFSET(DMAV_Dienste!$M$6,E859-1,0)))-FIND("]",CELL("adresse",OFFSET(DMAV_Dienste!$M$6,E859-1,0)))),"Dienst")),HYPERLINK("#"&amp;RIGHT(CELL("adresse",OFFSET(DMAV_Modell!$N$6,B859-1,0)),LEN(CELL("adresse",OFFSET(DMAV_Modell!$N$6,B859-1,0)))-FIND("]",CELL("adresse",OFFSET(DMAV_Modell!$N$6,B859-1,0)))),"Modell"))</f>
        <v>Modell</v>
      </c>
      <c r="K859" s="61" t="str" cm="1">
        <f t="array" ref="K859">IF($B859=0,IF($E859=0,"",IF(INDEX(DMAV_Dienste!P$6:P$140,$E859)="","",INDEX(DMAV_Dienste!P$6:P$140,$E859))),IF(INDEX(DMAV_Modell!Q$6:Q$838,$B859)="","",INDEX(DMAV_Modell!Q$6:Q$838,$B859)))</f>
        <v>DOMAIN</v>
      </c>
      <c r="L859" s="62" t="str" cm="1">
        <f t="array" ref="L859">IF($B859=0,IF($E859=0,"",IF(INDEX(DMAV_Dienste!O$6:O$140,$E859)="","",INDEX(DMAV_Dienste!O$6:O$140,$E859))),IF(INDEX(DMAV_Modell!P$6:P$838,$B859)="","",INDEX(DMAV_Modell!P$6:P$838,$B859)))</f>
        <v>Einzelobjekte</v>
      </c>
      <c r="M859" s="62" t="str" cm="1">
        <f t="array" ref="M859">IF($B859=0,IF($E859=0,"",IF(INDEX(DMAV_Dienste!Q$6:Q$140,$E859)="","",INDEX(DMAV_Dienste!Q$6:Q$140,$E859))),IF(INDEX(DMAV_Modell!R$6:R$838,$B859)="","",INDEX(DMAV_Modell!R$6:R$838,$B859)))</f>
        <v>Einzelobjektart</v>
      </c>
      <c r="N859" s="62" t="str" cm="1">
        <f t="array" ref="N859">IF($B859=0,IF($E859=0,"",IF(INDEX(DMAV_Dienste!T$6:T$140,$E859)="","",INDEX(DMAV_Dienste!T$6:T$140,$E859))),IF(INDEX(DMAV_Modell!U$6:U$838,$B859)="","",INDEX(DMAV_Modell!U$6:U$838,$B859)))</f>
        <v/>
      </c>
      <c r="O859" s="63" t="str" cm="1">
        <f t="array" aca="1" ref="O859" ca="1">IF(C859=0,IF(F859=0,"",HYPERLINK("#"&amp;RIGHT(CELL("adresse",OFFSET(DMAV_Dienste!$M$6,F859-1,0)),LEN(CELL("adresse",OFFSET(DMAV_Dienste!$M$6,F859-1,0)))-FIND("]",CELL("adresse",OFFSET(DMAV_Dienste!$M$6,F859-1,0)))),"Structure")),HYPERLINK("#"&amp;RIGHT(CELL("adresse",OFFSET(DMAV_Modell!$N$6,C859-1,0)),LEN(CELL("adresse",OFFSET(DMAV_Modell!$N$6,C859-1,0)))-FIND("]",CELL("adresse",OFFSET(DMAV_Modell!$N$6,C859-1,0)))),"Structure"))</f>
        <v/>
      </c>
      <c r="P859" s="64" t="str" cm="1">
        <f t="array" aca="1" ref="P859" ca="1">IF(D859=0,IF(G859=0,"",HYPERLINK("#"&amp;RIGHT(CELL("adresse",OFFSET(DMAV_Dienste!$M$6,G859-1,0)),LEN(CELL("adresse",OFFSET(DMAV_Dienste!$M$6,G859-1,0)))-FIND("]",CELL("adresse",OFFSET(DMAV_Dienste!$M$6,G859-1,0)))),"Substructure")),HYPERLINK("#"&amp;RIGHT(CELL("adresse",OFFSET(DMAV_Modell!$N$6,D859-1,0)),LEN(CELL("adresse",OFFSET(DMAV_Modell!$N$6,D859-1,0)))-FIND("]",CELL("adresse",OFFSET(DMAV_Modell!$N$6,D859-1,0)))),"Substructure"))</f>
        <v/>
      </c>
      <c r="R859" s="80"/>
      <c r="T859" s="93"/>
      <c r="U859" s="94"/>
      <c r="V859" s="95"/>
      <c r="W859" s="96"/>
      <c r="Y859" s="85"/>
      <c r="Z859" s="86"/>
      <c r="AA859" s="87"/>
      <c r="AB859" s="88"/>
      <c r="AD859" s="77"/>
      <c r="AF859" s="54" t="str" cm="1">
        <f t="array" aca="1" ref="AF859" ca="1">IF(H859=0,"",HYPERLINK("#"&amp;RIGHT(CELL("adresse",OFFSET('DM01-AV-CH'!$G$6,H859-1,0)),LEN(CELL("adresse",OFFSET('DM01-AV-CH'!$G$6,H859-1,0)))-FIND("]",CELL("adresse",OFFSET('DM01-AV-CH'!$G$6,H859-1,0)))),"Modell"))</f>
        <v>Modell</v>
      </c>
      <c r="AG859" s="72" t="str" cm="1">
        <f t="array" ref="AG859">IF($H859=0,"",IF(INDEX('DM01-AV-CH'!G$6:G$834,$H859)="","",INDEX('DM01-AV-CH'!G$6:G$834,$H859)))</f>
        <v>Einzelobjekte</v>
      </c>
      <c r="AH859" s="73" t="str" cm="1">
        <f t="array" ref="AH859">IF($H859=0,"",IF(INDEX('DM01-AV-CH'!H$6:H$834,$H859)="","",INDEX('DM01-AV-CH'!H$6:H$834,$H859)))</f>
        <v/>
      </c>
      <c r="AI859" s="74" t="str" cm="1">
        <f t="array" ref="AI859">IF($H859=0,"",IF(INDEX('DM01-AV-CH'!I$6:I$834,$H859)="","",INDEX('DM01-AV-CH'!I$6:I$834,$H859)))</f>
        <v>EOArt</v>
      </c>
    </row>
    <row r="860" spans="1:35" x14ac:dyDescent="0.25">
      <c r="A860" s="57">
        <v>855</v>
      </c>
      <c r="B860" s="57">
        <f>IF($A860="","",IF(_xlfn.XLOOKUP($A860,Korrelation!$D$4:$D$1197,Korrelation!E$4:E$1197,"-",0)="-",0,MATCH(_xlfn.XLOOKUP($A860,Korrelation!$D$4:$D$1197,Korrelation!E$4:E$1197,"",0),DMAV_Modell!$G$6:$G$677,0)))</f>
        <v>488</v>
      </c>
      <c r="C860" s="57">
        <f>IF($A860="","",IF(_xlfn.XLOOKUP($A860,Korrelation!$D$4:$D$1197,Korrelation!F$4:F$1197,"-",0)="-",0,MATCH(_xlfn.XLOOKUP($A860,Korrelation!$D$4:$D$1197,Korrelation!F$4:F$1197,"",0),DMAV_Modell!$G$6:$G$677,0)))</f>
        <v>0</v>
      </c>
      <c r="D860" s="57">
        <f>IF($A860="","",IF(_xlfn.XLOOKUP($A860,Korrelation!$D$4:$D$1197,Korrelation!G$4:G$1197,"-",0)="-",0,MATCH(_xlfn.XLOOKUP($A860,Korrelation!$D$4:$D$1197,Korrelation!G$4:G$1197,"",0),DMAV_Modell!$G$6:$G$677,0)))</f>
        <v>0</v>
      </c>
      <c r="E860" s="57">
        <f>IF($A860="","",IF(_xlfn.XLOOKUP($A860,Korrelation!$D$4:$D$1197,Korrelation!H$4:H$1197,"-",0)="-",0,MATCH(_xlfn.XLOOKUP($A860,Korrelation!$D$4:$D$1197,Korrelation!H$4:H$1197,"",0),DMAV_Dienste!$F$6:$F$140,0)))</f>
        <v>0</v>
      </c>
      <c r="F860" s="57">
        <f>IF($A860="","",IF(_xlfn.XLOOKUP($A860,Korrelation!$D$4:$D$1197,Korrelation!I$4:I$1197,"-",0)="-",0,MATCH(_xlfn.XLOOKUP($A860,Korrelation!$D$4:$D$1197,Korrelation!I$4:I$1197,"",0),DMAV_Dienste!$F$6:$F$140,0)))</f>
        <v>0</v>
      </c>
      <c r="G860" s="57">
        <f>IF($A860="","",IF(_xlfn.XLOOKUP($A860,Korrelation!$D$4:$D$1197,Korrelation!J$4:J$1197,"-",0)="-",0,MATCH(_xlfn.XLOOKUP($A860,Korrelation!$D$4:$D$1197,Korrelation!J$4:J$1197,"",0),DMAV_Dienste!$F$6:$F$140,0)))</f>
        <v>0</v>
      </c>
      <c r="H860" s="57">
        <f>IF($A860="","",IF(_xlfn.XLOOKUP($A860,Korrelation!$D$4:$D$1197,Korrelation!K$4:K$1197,"-",0)="-",0,MATCH(_xlfn.XLOOKUP($A860,Korrelation!$D$4:$D$1197,Korrelation!K$4:K$1197,"",0),'DM01-AV-CH'!$A$6:$A$834,0)))</f>
        <v>286</v>
      </c>
      <c r="J860" s="54" t="str" cm="1">
        <f t="array" aca="1" ref="J860" ca="1">IF(B860=0,IF(E860=0,"",HYPERLINK("#"&amp;RIGHT(CELL("adresse",OFFSET(DMAV_Dienste!$M$6,E860-1,0)),LEN(CELL("adresse",OFFSET(DMAV_Dienste!$M$6,E860-1,0)))-FIND("]",CELL("adresse",OFFSET(DMAV_Dienste!$M$6,E860-1,0)))),"Dienst")),HYPERLINK("#"&amp;RIGHT(CELL("adresse",OFFSET(DMAV_Modell!$N$6,B860-1,0)),LEN(CELL("adresse",OFFSET(DMAV_Modell!$N$6,B860-1,0)))-FIND("]",CELL("adresse",OFFSET(DMAV_Modell!$N$6,B860-1,0)))),"Modell"))</f>
        <v>Modell</v>
      </c>
      <c r="K860" s="61" t="str" cm="1">
        <f t="array" ref="K860">IF($B860=0,IF($E860=0,"",IF(INDEX(DMAV_Dienste!P$6:P$140,$E860)="","",INDEX(DMAV_Dienste!P$6:P$140,$E860))),IF(INDEX(DMAV_Modell!Q$6:Q$838,$B860)="","",INDEX(DMAV_Modell!Q$6:Q$838,$B860)))</f>
        <v>DOMAIN</v>
      </c>
      <c r="L860" s="62" t="str" cm="1">
        <f t="array" ref="L860">IF($B860=0,IF($E860=0,"",IF(INDEX(DMAV_Dienste!O$6:O$140,$E860)="","",INDEX(DMAV_Dienste!O$6:O$140,$E860))),IF(INDEX(DMAV_Modell!P$6:P$838,$B860)="","",INDEX(DMAV_Modell!P$6:P$838,$B860)))</f>
        <v>Einzelobjekte</v>
      </c>
      <c r="M860" s="62" t="str" cm="1">
        <f t="array" ref="M860">IF($B860=0,IF($E860=0,"",IF(INDEX(DMAV_Dienste!Q$6:Q$140,$E860)="","",INDEX(DMAV_Dienste!Q$6:Q$140,$E860))),IF(INDEX(DMAV_Modell!R$6:R$838,$B860)="","",INDEX(DMAV_Modell!R$6:R$838,$B860)))</f>
        <v>Einzelobjektart</v>
      </c>
      <c r="N860" s="62" t="str" cm="1">
        <f t="array" ref="N860">IF($B860=0,IF($E860=0,"",IF(INDEX(DMAV_Dienste!T$6:T$140,$E860)="","",INDEX(DMAV_Dienste!T$6:T$140,$E860))),IF(INDEX(DMAV_Modell!U$6:U$838,$B860)="","",INDEX(DMAV_Modell!U$6:U$838,$B860)))</f>
        <v/>
      </c>
      <c r="O860" s="63" t="str" cm="1">
        <f t="array" aca="1" ref="O860" ca="1">IF(C860=0,IF(F860=0,"",HYPERLINK("#"&amp;RIGHT(CELL("adresse",OFFSET(DMAV_Dienste!$M$6,F860-1,0)),LEN(CELL("adresse",OFFSET(DMAV_Dienste!$M$6,F860-1,0)))-FIND("]",CELL("adresse",OFFSET(DMAV_Dienste!$M$6,F860-1,0)))),"Structure")),HYPERLINK("#"&amp;RIGHT(CELL("adresse",OFFSET(DMAV_Modell!$N$6,C860-1,0)),LEN(CELL("adresse",OFFSET(DMAV_Modell!$N$6,C860-1,0)))-FIND("]",CELL("adresse",OFFSET(DMAV_Modell!$N$6,C860-1,0)))),"Structure"))</f>
        <v/>
      </c>
      <c r="P860" s="64" t="str" cm="1">
        <f t="array" aca="1" ref="P860" ca="1">IF(D860=0,IF(G860=0,"",HYPERLINK("#"&amp;RIGHT(CELL("adresse",OFFSET(DMAV_Dienste!$M$6,G860-1,0)),LEN(CELL("adresse",OFFSET(DMAV_Dienste!$M$6,G860-1,0)))-FIND("]",CELL("adresse",OFFSET(DMAV_Dienste!$M$6,G860-1,0)))),"Substructure")),HYPERLINK("#"&amp;RIGHT(CELL("adresse",OFFSET(DMAV_Modell!$N$6,D860-1,0)),LEN(CELL("adresse",OFFSET(DMAV_Modell!$N$6,D860-1,0)))-FIND("]",CELL("adresse",OFFSET(DMAV_Modell!$N$6,D860-1,0)))),"Substructure"))</f>
        <v/>
      </c>
      <c r="R860" s="80"/>
      <c r="T860" s="93"/>
      <c r="U860" s="94"/>
      <c r="V860" s="95"/>
      <c r="W860" s="96"/>
      <c r="Y860" s="85"/>
      <c r="Z860" s="86"/>
      <c r="AA860" s="87"/>
      <c r="AB860" s="88"/>
      <c r="AD860" s="77"/>
      <c r="AF860" s="54" t="str" cm="1">
        <f t="array" aca="1" ref="AF860" ca="1">IF(H860=0,"",HYPERLINK("#"&amp;RIGHT(CELL("adresse",OFFSET('DM01-AV-CH'!$G$6,H860-1,0)),LEN(CELL("adresse",OFFSET('DM01-AV-CH'!$G$6,H860-1,0)))-FIND("]",CELL("adresse",OFFSET('DM01-AV-CH'!$G$6,H860-1,0)))),"Modell"))</f>
        <v>Modell</v>
      </c>
      <c r="AG860" s="72" t="str" cm="1">
        <f t="array" ref="AG860">IF($H860=0,"",IF(INDEX('DM01-AV-CH'!G$6:G$834,$H860)="","",INDEX('DM01-AV-CH'!G$6:G$834,$H860)))</f>
        <v>Einzelobjekte</v>
      </c>
      <c r="AH860" s="73" t="str" cm="1">
        <f t="array" ref="AH860">IF($H860=0,"",IF(INDEX('DM01-AV-CH'!H$6:H$834,$H860)="","",INDEX('DM01-AV-CH'!H$6:H$834,$H860)))</f>
        <v/>
      </c>
      <c r="AI860" s="74" t="str" cm="1">
        <f t="array" ref="AI860">IF($H860=0,"",IF(INDEX('DM01-AV-CH'!I$6:I$834,$H860)="","",INDEX('DM01-AV-CH'!I$6:I$834,$H860)))</f>
        <v>EOArt</v>
      </c>
    </row>
    <row r="861" spans="1:35" x14ac:dyDescent="0.25">
      <c r="A861" s="57">
        <v>856</v>
      </c>
      <c r="B861" s="57">
        <f>IF($A861="","",IF(_xlfn.XLOOKUP($A861,Korrelation!$D$4:$D$1197,Korrelation!E$4:E$1197,"-",0)="-",0,MATCH(_xlfn.XLOOKUP($A861,Korrelation!$D$4:$D$1197,Korrelation!E$4:E$1197,"",0),DMAV_Modell!$G$6:$G$677,0)))</f>
        <v>489</v>
      </c>
      <c r="C861" s="57">
        <f>IF($A861="","",IF(_xlfn.XLOOKUP($A861,Korrelation!$D$4:$D$1197,Korrelation!F$4:F$1197,"-",0)="-",0,MATCH(_xlfn.XLOOKUP($A861,Korrelation!$D$4:$D$1197,Korrelation!F$4:F$1197,"",0),DMAV_Modell!$G$6:$G$677,0)))</f>
        <v>0</v>
      </c>
      <c r="D861" s="57">
        <f>IF($A861="","",IF(_xlfn.XLOOKUP($A861,Korrelation!$D$4:$D$1197,Korrelation!G$4:G$1197,"-",0)="-",0,MATCH(_xlfn.XLOOKUP($A861,Korrelation!$D$4:$D$1197,Korrelation!G$4:G$1197,"",0),DMAV_Modell!$G$6:$G$677,0)))</f>
        <v>0</v>
      </c>
      <c r="E861" s="57">
        <f>IF($A861="","",IF(_xlfn.XLOOKUP($A861,Korrelation!$D$4:$D$1197,Korrelation!H$4:H$1197,"-",0)="-",0,MATCH(_xlfn.XLOOKUP($A861,Korrelation!$D$4:$D$1197,Korrelation!H$4:H$1197,"",0),DMAV_Dienste!$F$6:$F$140,0)))</f>
        <v>0</v>
      </c>
      <c r="F861" s="57">
        <f>IF($A861="","",IF(_xlfn.XLOOKUP($A861,Korrelation!$D$4:$D$1197,Korrelation!I$4:I$1197,"-",0)="-",0,MATCH(_xlfn.XLOOKUP($A861,Korrelation!$D$4:$D$1197,Korrelation!I$4:I$1197,"",0),DMAV_Dienste!$F$6:$F$140,0)))</f>
        <v>0</v>
      </c>
      <c r="G861" s="57">
        <f>IF($A861="","",IF(_xlfn.XLOOKUP($A861,Korrelation!$D$4:$D$1197,Korrelation!J$4:J$1197,"-",0)="-",0,MATCH(_xlfn.XLOOKUP($A861,Korrelation!$D$4:$D$1197,Korrelation!J$4:J$1197,"",0),DMAV_Dienste!$F$6:$F$140,0)))</f>
        <v>0</v>
      </c>
      <c r="H861" s="57">
        <f>IF($A861="","",IF(_xlfn.XLOOKUP($A861,Korrelation!$D$4:$D$1197,Korrelation!K$4:K$1197,"-",0)="-",0,MATCH(_xlfn.XLOOKUP($A861,Korrelation!$D$4:$D$1197,Korrelation!K$4:K$1197,"",0),'DM01-AV-CH'!$A$6:$A$834,0)))</f>
        <v>287</v>
      </c>
      <c r="J861" s="54" t="str" cm="1">
        <f t="array" aca="1" ref="J861" ca="1">IF(B861=0,IF(E861=0,"",HYPERLINK("#"&amp;RIGHT(CELL("adresse",OFFSET(DMAV_Dienste!$M$6,E861-1,0)),LEN(CELL("adresse",OFFSET(DMAV_Dienste!$M$6,E861-1,0)))-FIND("]",CELL("adresse",OFFSET(DMAV_Dienste!$M$6,E861-1,0)))),"Dienst")),HYPERLINK("#"&amp;RIGHT(CELL("adresse",OFFSET(DMAV_Modell!$N$6,B861-1,0)),LEN(CELL("adresse",OFFSET(DMAV_Modell!$N$6,B861-1,0)))-FIND("]",CELL("adresse",OFFSET(DMAV_Modell!$N$6,B861-1,0)))),"Modell"))</f>
        <v>Modell</v>
      </c>
      <c r="K861" s="61" t="str" cm="1">
        <f t="array" ref="K861">IF($B861=0,IF($E861=0,"",IF(INDEX(DMAV_Dienste!P$6:P$140,$E861)="","",INDEX(DMAV_Dienste!P$6:P$140,$E861))),IF(INDEX(DMAV_Modell!Q$6:Q$838,$B861)="","",INDEX(DMAV_Modell!Q$6:Q$838,$B861)))</f>
        <v>DOMAIN</v>
      </c>
      <c r="L861" s="62" t="str" cm="1">
        <f t="array" ref="L861">IF($B861=0,IF($E861=0,"",IF(INDEX(DMAV_Dienste!O$6:O$140,$E861)="","",INDEX(DMAV_Dienste!O$6:O$140,$E861))),IF(INDEX(DMAV_Modell!P$6:P$838,$B861)="","",INDEX(DMAV_Modell!P$6:P$838,$B861)))</f>
        <v>Einzelobjekte</v>
      </c>
      <c r="M861" s="62" t="str" cm="1">
        <f t="array" ref="M861">IF($B861=0,IF($E861=0,"",IF(INDEX(DMAV_Dienste!Q$6:Q$140,$E861)="","",INDEX(DMAV_Dienste!Q$6:Q$140,$E861))),IF(INDEX(DMAV_Modell!R$6:R$838,$B861)="","",INDEX(DMAV_Modell!R$6:R$838,$B861)))</f>
        <v>Einzelobjektart</v>
      </c>
      <c r="N861" s="62" t="str" cm="1">
        <f t="array" ref="N861">IF($B861=0,IF($E861=0,"",IF(INDEX(DMAV_Dienste!T$6:T$140,$E861)="","",INDEX(DMAV_Dienste!T$6:T$140,$E861))),IF(INDEX(DMAV_Modell!U$6:U$838,$B861)="","",INDEX(DMAV_Modell!U$6:U$838,$B861)))</f>
        <v/>
      </c>
      <c r="O861" s="63" t="str" cm="1">
        <f t="array" aca="1" ref="O861" ca="1">IF(C861=0,IF(F861=0,"",HYPERLINK("#"&amp;RIGHT(CELL("adresse",OFFSET(DMAV_Dienste!$M$6,F861-1,0)),LEN(CELL("adresse",OFFSET(DMAV_Dienste!$M$6,F861-1,0)))-FIND("]",CELL("adresse",OFFSET(DMAV_Dienste!$M$6,F861-1,0)))),"Structure")),HYPERLINK("#"&amp;RIGHT(CELL("adresse",OFFSET(DMAV_Modell!$N$6,C861-1,0)),LEN(CELL("adresse",OFFSET(DMAV_Modell!$N$6,C861-1,0)))-FIND("]",CELL("adresse",OFFSET(DMAV_Modell!$N$6,C861-1,0)))),"Structure"))</f>
        <v/>
      </c>
      <c r="P861" s="64" t="str" cm="1">
        <f t="array" aca="1" ref="P861" ca="1">IF(D861=0,IF(G861=0,"",HYPERLINK("#"&amp;RIGHT(CELL("adresse",OFFSET(DMAV_Dienste!$M$6,G861-1,0)),LEN(CELL("adresse",OFFSET(DMAV_Dienste!$M$6,G861-1,0)))-FIND("]",CELL("adresse",OFFSET(DMAV_Dienste!$M$6,G861-1,0)))),"Substructure")),HYPERLINK("#"&amp;RIGHT(CELL("adresse",OFFSET(DMAV_Modell!$N$6,D861-1,0)),LEN(CELL("adresse",OFFSET(DMAV_Modell!$N$6,D861-1,0)))-FIND("]",CELL("adresse",OFFSET(DMAV_Modell!$N$6,D861-1,0)))),"Substructure"))</f>
        <v/>
      </c>
      <c r="R861" s="80"/>
      <c r="T861" s="93"/>
      <c r="U861" s="94"/>
      <c r="V861" s="95"/>
      <c r="W861" s="96"/>
      <c r="Y861" s="85"/>
      <c r="Z861" s="86"/>
      <c r="AA861" s="87"/>
      <c r="AB861" s="88"/>
      <c r="AD861" s="77"/>
      <c r="AF861" s="54" t="str" cm="1">
        <f t="array" aca="1" ref="AF861" ca="1">IF(H861=0,"",HYPERLINK("#"&amp;RIGHT(CELL("adresse",OFFSET('DM01-AV-CH'!$G$6,H861-1,0)),LEN(CELL("adresse",OFFSET('DM01-AV-CH'!$G$6,H861-1,0)))-FIND("]",CELL("adresse",OFFSET('DM01-AV-CH'!$G$6,H861-1,0)))),"Modell"))</f>
        <v>Modell</v>
      </c>
      <c r="AG861" s="72" t="str" cm="1">
        <f t="array" ref="AG861">IF($H861=0,"",IF(INDEX('DM01-AV-CH'!G$6:G$834,$H861)="","",INDEX('DM01-AV-CH'!G$6:G$834,$H861)))</f>
        <v>Einzelobjekte</v>
      </c>
      <c r="AH861" s="73" t="str" cm="1">
        <f t="array" ref="AH861">IF($H861=0,"",IF(INDEX('DM01-AV-CH'!H$6:H$834,$H861)="","",INDEX('DM01-AV-CH'!H$6:H$834,$H861)))</f>
        <v/>
      </c>
      <c r="AI861" s="74" t="str" cm="1">
        <f t="array" ref="AI861">IF($H861=0,"",IF(INDEX('DM01-AV-CH'!I$6:I$834,$H861)="","",INDEX('DM01-AV-CH'!I$6:I$834,$H861)))</f>
        <v>EOArt</v>
      </c>
    </row>
    <row r="862" spans="1:35" x14ac:dyDescent="0.25">
      <c r="A862" s="57">
        <v>857</v>
      </c>
      <c r="B862" s="57">
        <f>IF($A862="","",IF(_xlfn.XLOOKUP($A862,Korrelation!$D$4:$D$1197,Korrelation!E$4:E$1197,"-",0)="-",0,MATCH(_xlfn.XLOOKUP($A862,Korrelation!$D$4:$D$1197,Korrelation!E$4:E$1197,"",0),DMAV_Modell!$G$6:$G$677,0)))</f>
        <v>490</v>
      </c>
      <c r="C862" s="57">
        <f>IF($A862="","",IF(_xlfn.XLOOKUP($A862,Korrelation!$D$4:$D$1197,Korrelation!F$4:F$1197,"-",0)="-",0,MATCH(_xlfn.XLOOKUP($A862,Korrelation!$D$4:$D$1197,Korrelation!F$4:F$1197,"",0),DMAV_Modell!$G$6:$G$677,0)))</f>
        <v>0</v>
      </c>
      <c r="D862" s="57">
        <f>IF($A862="","",IF(_xlfn.XLOOKUP($A862,Korrelation!$D$4:$D$1197,Korrelation!G$4:G$1197,"-",0)="-",0,MATCH(_xlfn.XLOOKUP($A862,Korrelation!$D$4:$D$1197,Korrelation!G$4:G$1197,"",0),DMAV_Modell!$G$6:$G$677,0)))</f>
        <v>0</v>
      </c>
      <c r="E862" s="57">
        <f>IF($A862="","",IF(_xlfn.XLOOKUP($A862,Korrelation!$D$4:$D$1197,Korrelation!H$4:H$1197,"-",0)="-",0,MATCH(_xlfn.XLOOKUP($A862,Korrelation!$D$4:$D$1197,Korrelation!H$4:H$1197,"",0),DMAV_Dienste!$F$6:$F$140,0)))</f>
        <v>0</v>
      </c>
      <c r="F862" s="57">
        <f>IF($A862="","",IF(_xlfn.XLOOKUP($A862,Korrelation!$D$4:$D$1197,Korrelation!I$4:I$1197,"-",0)="-",0,MATCH(_xlfn.XLOOKUP($A862,Korrelation!$D$4:$D$1197,Korrelation!I$4:I$1197,"",0),DMAV_Dienste!$F$6:$F$140,0)))</f>
        <v>0</v>
      </c>
      <c r="G862" s="57">
        <f>IF($A862="","",IF(_xlfn.XLOOKUP($A862,Korrelation!$D$4:$D$1197,Korrelation!J$4:J$1197,"-",0)="-",0,MATCH(_xlfn.XLOOKUP($A862,Korrelation!$D$4:$D$1197,Korrelation!J$4:J$1197,"",0),DMAV_Dienste!$F$6:$F$140,0)))</f>
        <v>0</v>
      </c>
      <c r="H862" s="57">
        <f>IF($A862="","",IF(_xlfn.XLOOKUP($A862,Korrelation!$D$4:$D$1197,Korrelation!K$4:K$1197,"-",0)="-",0,MATCH(_xlfn.XLOOKUP($A862,Korrelation!$D$4:$D$1197,Korrelation!K$4:K$1197,"",0),'DM01-AV-CH'!$A$6:$A$834,0)))</f>
        <v>288</v>
      </c>
      <c r="J862" s="54" t="str" cm="1">
        <f t="array" aca="1" ref="J862" ca="1">IF(B862=0,IF(E862=0,"",HYPERLINK("#"&amp;RIGHT(CELL("adresse",OFFSET(DMAV_Dienste!$M$6,E862-1,0)),LEN(CELL("adresse",OFFSET(DMAV_Dienste!$M$6,E862-1,0)))-FIND("]",CELL("adresse",OFFSET(DMAV_Dienste!$M$6,E862-1,0)))),"Dienst")),HYPERLINK("#"&amp;RIGHT(CELL("adresse",OFFSET(DMAV_Modell!$N$6,B862-1,0)),LEN(CELL("adresse",OFFSET(DMAV_Modell!$N$6,B862-1,0)))-FIND("]",CELL("adresse",OFFSET(DMAV_Modell!$N$6,B862-1,0)))),"Modell"))</f>
        <v>Modell</v>
      </c>
      <c r="K862" s="61" t="str" cm="1">
        <f t="array" ref="K862">IF($B862=0,IF($E862=0,"",IF(INDEX(DMAV_Dienste!P$6:P$140,$E862)="","",INDEX(DMAV_Dienste!P$6:P$140,$E862))),IF(INDEX(DMAV_Modell!Q$6:Q$838,$B862)="","",INDEX(DMAV_Modell!Q$6:Q$838,$B862)))</f>
        <v>DOMAIN</v>
      </c>
      <c r="L862" s="62" t="str" cm="1">
        <f t="array" ref="L862">IF($B862=0,IF($E862=0,"",IF(INDEX(DMAV_Dienste!O$6:O$140,$E862)="","",INDEX(DMAV_Dienste!O$6:O$140,$E862))),IF(INDEX(DMAV_Modell!P$6:P$838,$B862)="","",INDEX(DMAV_Modell!P$6:P$838,$B862)))</f>
        <v>Einzelobjekte</v>
      </c>
      <c r="M862" s="62" t="str" cm="1">
        <f t="array" ref="M862">IF($B862=0,IF($E862=0,"",IF(INDEX(DMAV_Dienste!Q$6:Q$140,$E862)="","",INDEX(DMAV_Dienste!Q$6:Q$140,$E862))),IF(INDEX(DMAV_Modell!R$6:R$838,$B862)="","",INDEX(DMAV_Modell!R$6:R$838,$B862)))</f>
        <v>Einzelobjektart</v>
      </c>
      <c r="N862" s="62" t="str" cm="1">
        <f t="array" ref="N862">IF($B862=0,IF($E862=0,"",IF(INDEX(DMAV_Dienste!T$6:T$140,$E862)="","",INDEX(DMAV_Dienste!T$6:T$140,$E862))),IF(INDEX(DMAV_Modell!U$6:U$838,$B862)="","",INDEX(DMAV_Modell!U$6:U$838,$B862)))</f>
        <v/>
      </c>
      <c r="O862" s="63" t="str" cm="1">
        <f t="array" aca="1" ref="O862" ca="1">IF(C862=0,IF(F862=0,"",HYPERLINK("#"&amp;RIGHT(CELL("adresse",OFFSET(DMAV_Dienste!$M$6,F862-1,0)),LEN(CELL("adresse",OFFSET(DMAV_Dienste!$M$6,F862-1,0)))-FIND("]",CELL("adresse",OFFSET(DMAV_Dienste!$M$6,F862-1,0)))),"Structure")),HYPERLINK("#"&amp;RIGHT(CELL("adresse",OFFSET(DMAV_Modell!$N$6,C862-1,0)),LEN(CELL("adresse",OFFSET(DMAV_Modell!$N$6,C862-1,0)))-FIND("]",CELL("adresse",OFFSET(DMAV_Modell!$N$6,C862-1,0)))),"Structure"))</f>
        <v/>
      </c>
      <c r="P862" s="64" t="str" cm="1">
        <f t="array" aca="1" ref="P862" ca="1">IF(D862=0,IF(G862=0,"",HYPERLINK("#"&amp;RIGHT(CELL("adresse",OFFSET(DMAV_Dienste!$M$6,G862-1,0)),LEN(CELL("adresse",OFFSET(DMAV_Dienste!$M$6,G862-1,0)))-FIND("]",CELL("adresse",OFFSET(DMAV_Dienste!$M$6,G862-1,0)))),"Substructure")),HYPERLINK("#"&amp;RIGHT(CELL("adresse",OFFSET(DMAV_Modell!$N$6,D862-1,0)),LEN(CELL("adresse",OFFSET(DMAV_Modell!$N$6,D862-1,0)))-FIND("]",CELL("adresse",OFFSET(DMAV_Modell!$N$6,D862-1,0)))),"Substructure"))</f>
        <v/>
      </c>
      <c r="R862" s="80"/>
      <c r="T862" s="93"/>
      <c r="U862" s="94"/>
      <c r="V862" s="95"/>
      <c r="W862" s="96"/>
      <c r="Y862" s="85"/>
      <c r="Z862" s="86"/>
      <c r="AA862" s="87"/>
      <c r="AB862" s="88"/>
      <c r="AD862" s="77"/>
      <c r="AF862" s="54" t="str" cm="1">
        <f t="array" aca="1" ref="AF862" ca="1">IF(H862=0,"",HYPERLINK("#"&amp;RIGHT(CELL("adresse",OFFSET('DM01-AV-CH'!$G$6,H862-1,0)),LEN(CELL("adresse",OFFSET('DM01-AV-CH'!$G$6,H862-1,0)))-FIND("]",CELL("adresse",OFFSET('DM01-AV-CH'!$G$6,H862-1,0)))),"Modell"))</f>
        <v>Modell</v>
      </c>
      <c r="AG862" s="72" t="str" cm="1">
        <f t="array" ref="AG862">IF($H862=0,"",IF(INDEX('DM01-AV-CH'!G$6:G$834,$H862)="","",INDEX('DM01-AV-CH'!G$6:G$834,$H862)))</f>
        <v>Einzelobjekte</v>
      </c>
      <c r="AH862" s="73" t="str" cm="1">
        <f t="array" ref="AH862">IF($H862=0,"",IF(INDEX('DM01-AV-CH'!H$6:H$834,$H862)="","",INDEX('DM01-AV-CH'!H$6:H$834,$H862)))</f>
        <v/>
      </c>
      <c r="AI862" s="74" t="str" cm="1">
        <f t="array" ref="AI862">IF($H862=0,"",IF(INDEX('DM01-AV-CH'!I$6:I$834,$H862)="","",INDEX('DM01-AV-CH'!I$6:I$834,$H862)))</f>
        <v>EOArt</v>
      </c>
    </row>
    <row r="863" spans="1:35" x14ac:dyDescent="0.25">
      <c r="A863" s="57">
        <v>858</v>
      </c>
      <c r="B863" s="57">
        <f>IF($A863="","",IF(_xlfn.XLOOKUP($A863,Korrelation!$D$4:$D$1197,Korrelation!E$4:E$1197,"-",0)="-",0,MATCH(_xlfn.XLOOKUP($A863,Korrelation!$D$4:$D$1197,Korrelation!E$4:E$1197,"",0),DMAV_Modell!$G$6:$G$677,0)))</f>
        <v>491</v>
      </c>
      <c r="C863" s="57">
        <f>IF($A863="","",IF(_xlfn.XLOOKUP($A863,Korrelation!$D$4:$D$1197,Korrelation!F$4:F$1197,"-",0)="-",0,MATCH(_xlfn.XLOOKUP($A863,Korrelation!$D$4:$D$1197,Korrelation!F$4:F$1197,"",0),DMAV_Modell!$G$6:$G$677,0)))</f>
        <v>0</v>
      </c>
      <c r="D863" s="57">
        <f>IF($A863="","",IF(_xlfn.XLOOKUP($A863,Korrelation!$D$4:$D$1197,Korrelation!G$4:G$1197,"-",0)="-",0,MATCH(_xlfn.XLOOKUP($A863,Korrelation!$D$4:$D$1197,Korrelation!G$4:G$1197,"",0),DMAV_Modell!$G$6:$G$677,0)))</f>
        <v>0</v>
      </c>
      <c r="E863" s="57">
        <f>IF($A863="","",IF(_xlfn.XLOOKUP($A863,Korrelation!$D$4:$D$1197,Korrelation!H$4:H$1197,"-",0)="-",0,MATCH(_xlfn.XLOOKUP($A863,Korrelation!$D$4:$D$1197,Korrelation!H$4:H$1197,"",0),DMAV_Dienste!$F$6:$F$140,0)))</f>
        <v>0</v>
      </c>
      <c r="F863" s="57">
        <f>IF($A863="","",IF(_xlfn.XLOOKUP($A863,Korrelation!$D$4:$D$1197,Korrelation!I$4:I$1197,"-",0)="-",0,MATCH(_xlfn.XLOOKUP($A863,Korrelation!$D$4:$D$1197,Korrelation!I$4:I$1197,"",0),DMAV_Dienste!$F$6:$F$140,0)))</f>
        <v>0</v>
      </c>
      <c r="G863" s="57">
        <f>IF($A863="","",IF(_xlfn.XLOOKUP($A863,Korrelation!$D$4:$D$1197,Korrelation!J$4:J$1197,"-",0)="-",0,MATCH(_xlfn.XLOOKUP($A863,Korrelation!$D$4:$D$1197,Korrelation!J$4:J$1197,"",0),DMAV_Dienste!$F$6:$F$140,0)))</f>
        <v>0</v>
      </c>
      <c r="H863" s="57">
        <f>IF($A863="","",IF(_xlfn.XLOOKUP($A863,Korrelation!$D$4:$D$1197,Korrelation!K$4:K$1197,"-",0)="-",0,MATCH(_xlfn.XLOOKUP($A863,Korrelation!$D$4:$D$1197,Korrelation!K$4:K$1197,"",0),'DM01-AV-CH'!$A$6:$A$834,0)))</f>
        <v>289</v>
      </c>
      <c r="J863" s="54" t="str" cm="1">
        <f t="array" aca="1" ref="J863" ca="1">IF(B863=0,IF(E863=0,"",HYPERLINK("#"&amp;RIGHT(CELL("adresse",OFFSET(DMAV_Dienste!$M$6,E863-1,0)),LEN(CELL("adresse",OFFSET(DMAV_Dienste!$M$6,E863-1,0)))-FIND("]",CELL("adresse",OFFSET(DMAV_Dienste!$M$6,E863-1,0)))),"Dienst")),HYPERLINK("#"&amp;RIGHT(CELL("adresse",OFFSET(DMAV_Modell!$N$6,B863-1,0)),LEN(CELL("adresse",OFFSET(DMAV_Modell!$N$6,B863-1,0)))-FIND("]",CELL("adresse",OFFSET(DMAV_Modell!$N$6,B863-1,0)))),"Modell"))</f>
        <v>Modell</v>
      </c>
      <c r="K863" s="61" t="str" cm="1">
        <f t="array" ref="K863">IF($B863=0,IF($E863=0,"",IF(INDEX(DMAV_Dienste!P$6:P$140,$E863)="","",INDEX(DMAV_Dienste!P$6:P$140,$E863))),IF(INDEX(DMAV_Modell!Q$6:Q$838,$B863)="","",INDEX(DMAV_Modell!Q$6:Q$838,$B863)))</f>
        <v>DOMAIN</v>
      </c>
      <c r="L863" s="62" t="str" cm="1">
        <f t="array" ref="L863">IF($B863=0,IF($E863=0,"",IF(INDEX(DMAV_Dienste!O$6:O$140,$E863)="","",INDEX(DMAV_Dienste!O$6:O$140,$E863))),IF(INDEX(DMAV_Modell!P$6:P$838,$B863)="","",INDEX(DMAV_Modell!P$6:P$838,$B863)))</f>
        <v>Einzelobjekte</v>
      </c>
      <c r="M863" s="62" t="str" cm="1">
        <f t="array" ref="M863">IF($B863=0,IF($E863=0,"",IF(INDEX(DMAV_Dienste!Q$6:Q$140,$E863)="","",INDEX(DMAV_Dienste!Q$6:Q$140,$E863))),IF(INDEX(DMAV_Modell!R$6:R$838,$B863)="","",INDEX(DMAV_Modell!R$6:R$838,$B863)))</f>
        <v>Einzelobjektart</v>
      </c>
      <c r="N863" s="62" t="str" cm="1">
        <f t="array" ref="N863">IF($B863=0,IF($E863=0,"",IF(INDEX(DMAV_Dienste!T$6:T$140,$E863)="","",INDEX(DMAV_Dienste!T$6:T$140,$E863))),IF(INDEX(DMAV_Modell!U$6:U$838,$B863)="","",INDEX(DMAV_Modell!U$6:U$838,$B863)))</f>
        <v/>
      </c>
      <c r="O863" s="63" t="str" cm="1">
        <f t="array" aca="1" ref="O863" ca="1">IF(C863=0,IF(F863=0,"",HYPERLINK("#"&amp;RIGHT(CELL("adresse",OFFSET(DMAV_Dienste!$M$6,F863-1,0)),LEN(CELL("adresse",OFFSET(DMAV_Dienste!$M$6,F863-1,0)))-FIND("]",CELL("adresse",OFFSET(DMAV_Dienste!$M$6,F863-1,0)))),"Structure")),HYPERLINK("#"&amp;RIGHT(CELL("adresse",OFFSET(DMAV_Modell!$N$6,C863-1,0)),LEN(CELL("adresse",OFFSET(DMAV_Modell!$N$6,C863-1,0)))-FIND("]",CELL("adresse",OFFSET(DMAV_Modell!$N$6,C863-1,0)))),"Structure"))</f>
        <v/>
      </c>
      <c r="P863" s="64" t="str" cm="1">
        <f t="array" aca="1" ref="P863" ca="1">IF(D863=0,IF(G863=0,"",HYPERLINK("#"&amp;RIGHT(CELL("adresse",OFFSET(DMAV_Dienste!$M$6,G863-1,0)),LEN(CELL("adresse",OFFSET(DMAV_Dienste!$M$6,G863-1,0)))-FIND("]",CELL("adresse",OFFSET(DMAV_Dienste!$M$6,G863-1,0)))),"Substructure")),HYPERLINK("#"&amp;RIGHT(CELL("adresse",OFFSET(DMAV_Modell!$N$6,D863-1,0)),LEN(CELL("adresse",OFFSET(DMAV_Modell!$N$6,D863-1,0)))-FIND("]",CELL("adresse",OFFSET(DMAV_Modell!$N$6,D863-1,0)))),"Substructure"))</f>
        <v/>
      </c>
      <c r="R863" s="80"/>
      <c r="T863" s="93"/>
      <c r="U863" s="94"/>
      <c r="V863" s="95"/>
      <c r="W863" s="96"/>
      <c r="Y863" s="85"/>
      <c r="Z863" s="86"/>
      <c r="AA863" s="87"/>
      <c r="AB863" s="88"/>
      <c r="AD863" s="77"/>
      <c r="AF863" s="54" t="str" cm="1">
        <f t="array" aca="1" ref="AF863" ca="1">IF(H863=0,"",HYPERLINK("#"&amp;RIGHT(CELL("adresse",OFFSET('DM01-AV-CH'!$G$6,H863-1,0)),LEN(CELL("adresse",OFFSET('DM01-AV-CH'!$G$6,H863-1,0)))-FIND("]",CELL("adresse",OFFSET('DM01-AV-CH'!$G$6,H863-1,0)))),"Modell"))</f>
        <v>Modell</v>
      </c>
      <c r="AG863" s="72" t="str" cm="1">
        <f t="array" ref="AG863">IF($H863=0,"",IF(INDEX('DM01-AV-CH'!G$6:G$834,$H863)="","",INDEX('DM01-AV-CH'!G$6:G$834,$H863)))</f>
        <v>Einzelobjekte</v>
      </c>
      <c r="AH863" s="73" t="str" cm="1">
        <f t="array" ref="AH863">IF($H863=0,"",IF(INDEX('DM01-AV-CH'!H$6:H$834,$H863)="","",INDEX('DM01-AV-CH'!H$6:H$834,$H863)))</f>
        <v/>
      </c>
      <c r="AI863" s="74" t="str" cm="1">
        <f t="array" ref="AI863">IF($H863=0,"",IF(INDEX('DM01-AV-CH'!I$6:I$834,$H863)="","",INDEX('DM01-AV-CH'!I$6:I$834,$H863)))</f>
        <v>EOArt</v>
      </c>
    </row>
    <row r="864" spans="1:35" x14ac:dyDescent="0.25">
      <c r="A864" s="57">
        <v>859</v>
      </c>
      <c r="B864" s="57">
        <f>IF($A864="","",IF(_xlfn.XLOOKUP($A864,Korrelation!$D$4:$D$1197,Korrelation!E$4:E$1197,"-",0)="-",0,MATCH(_xlfn.XLOOKUP($A864,Korrelation!$D$4:$D$1197,Korrelation!E$4:E$1197,"",0),DMAV_Modell!$G$6:$G$677,0)))</f>
        <v>492</v>
      </c>
      <c r="C864" s="57">
        <f>IF($A864="","",IF(_xlfn.XLOOKUP($A864,Korrelation!$D$4:$D$1197,Korrelation!F$4:F$1197,"-",0)="-",0,MATCH(_xlfn.XLOOKUP($A864,Korrelation!$D$4:$D$1197,Korrelation!F$4:F$1197,"",0),DMAV_Modell!$G$6:$G$677,0)))</f>
        <v>0</v>
      </c>
      <c r="D864" s="57">
        <f>IF($A864="","",IF(_xlfn.XLOOKUP($A864,Korrelation!$D$4:$D$1197,Korrelation!G$4:G$1197,"-",0)="-",0,MATCH(_xlfn.XLOOKUP($A864,Korrelation!$D$4:$D$1197,Korrelation!G$4:G$1197,"",0),DMAV_Modell!$G$6:$G$677,0)))</f>
        <v>0</v>
      </c>
      <c r="E864" s="57">
        <f>IF($A864="","",IF(_xlfn.XLOOKUP($A864,Korrelation!$D$4:$D$1197,Korrelation!H$4:H$1197,"-",0)="-",0,MATCH(_xlfn.XLOOKUP($A864,Korrelation!$D$4:$D$1197,Korrelation!H$4:H$1197,"",0),DMAV_Dienste!$F$6:$F$140,0)))</f>
        <v>0</v>
      </c>
      <c r="F864" s="57">
        <f>IF($A864="","",IF(_xlfn.XLOOKUP($A864,Korrelation!$D$4:$D$1197,Korrelation!I$4:I$1197,"-",0)="-",0,MATCH(_xlfn.XLOOKUP($A864,Korrelation!$D$4:$D$1197,Korrelation!I$4:I$1197,"",0),DMAV_Dienste!$F$6:$F$140,0)))</f>
        <v>0</v>
      </c>
      <c r="G864" s="57">
        <f>IF($A864="","",IF(_xlfn.XLOOKUP($A864,Korrelation!$D$4:$D$1197,Korrelation!J$4:J$1197,"-",0)="-",0,MATCH(_xlfn.XLOOKUP($A864,Korrelation!$D$4:$D$1197,Korrelation!J$4:J$1197,"",0),DMAV_Dienste!$F$6:$F$140,0)))</f>
        <v>0</v>
      </c>
      <c r="H864" s="57">
        <f>IF($A864="","",IF(_xlfn.XLOOKUP($A864,Korrelation!$D$4:$D$1197,Korrelation!K$4:K$1197,"-",0)="-",0,MATCH(_xlfn.XLOOKUP($A864,Korrelation!$D$4:$D$1197,Korrelation!K$4:K$1197,"",0),'DM01-AV-CH'!$A$6:$A$834,0)))</f>
        <v>290</v>
      </c>
      <c r="J864" s="54" t="str" cm="1">
        <f t="array" aca="1" ref="J864" ca="1">IF(B864=0,IF(E864=0,"",HYPERLINK("#"&amp;RIGHT(CELL("adresse",OFFSET(DMAV_Dienste!$M$6,E864-1,0)),LEN(CELL("adresse",OFFSET(DMAV_Dienste!$M$6,E864-1,0)))-FIND("]",CELL("adresse",OFFSET(DMAV_Dienste!$M$6,E864-1,0)))),"Dienst")),HYPERLINK("#"&amp;RIGHT(CELL("adresse",OFFSET(DMAV_Modell!$N$6,B864-1,0)),LEN(CELL("adresse",OFFSET(DMAV_Modell!$N$6,B864-1,0)))-FIND("]",CELL("adresse",OFFSET(DMAV_Modell!$N$6,B864-1,0)))),"Modell"))</f>
        <v>Modell</v>
      </c>
      <c r="K864" s="61" t="str" cm="1">
        <f t="array" ref="K864">IF($B864=0,IF($E864=0,"",IF(INDEX(DMAV_Dienste!P$6:P$140,$E864)="","",INDEX(DMAV_Dienste!P$6:P$140,$E864))),IF(INDEX(DMAV_Modell!Q$6:Q$838,$B864)="","",INDEX(DMAV_Modell!Q$6:Q$838,$B864)))</f>
        <v>DOMAIN</v>
      </c>
      <c r="L864" s="62" t="str" cm="1">
        <f t="array" ref="L864">IF($B864=0,IF($E864=0,"",IF(INDEX(DMAV_Dienste!O$6:O$140,$E864)="","",INDEX(DMAV_Dienste!O$6:O$140,$E864))),IF(INDEX(DMAV_Modell!P$6:P$838,$B864)="","",INDEX(DMAV_Modell!P$6:P$838,$B864)))</f>
        <v>Einzelobjekte</v>
      </c>
      <c r="M864" s="62" t="str" cm="1">
        <f t="array" ref="M864">IF($B864=0,IF($E864=0,"",IF(INDEX(DMAV_Dienste!Q$6:Q$140,$E864)="","",INDEX(DMAV_Dienste!Q$6:Q$140,$E864))),IF(INDEX(DMAV_Modell!R$6:R$838,$B864)="","",INDEX(DMAV_Modell!R$6:R$838,$B864)))</f>
        <v>Einzelobjektart</v>
      </c>
      <c r="N864" s="62" t="str" cm="1">
        <f t="array" ref="N864">IF($B864=0,IF($E864=0,"",IF(INDEX(DMAV_Dienste!T$6:T$140,$E864)="","",INDEX(DMAV_Dienste!T$6:T$140,$E864))),IF(INDEX(DMAV_Modell!U$6:U$838,$B864)="","",INDEX(DMAV_Modell!U$6:U$838,$B864)))</f>
        <v/>
      </c>
      <c r="O864" s="63" t="str" cm="1">
        <f t="array" aca="1" ref="O864" ca="1">IF(C864=0,IF(F864=0,"",HYPERLINK("#"&amp;RIGHT(CELL("adresse",OFFSET(DMAV_Dienste!$M$6,F864-1,0)),LEN(CELL("adresse",OFFSET(DMAV_Dienste!$M$6,F864-1,0)))-FIND("]",CELL("adresse",OFFSET(DMAV_Dienste!$M$6,F864-1,0)))),"Structure")),HYPERLINK("#"&amp;RIGHT(CELL("adresse",OFFSET(DMAV_Modell!$N$6,C864-1,0)),LEN(CELL("adresse",OFFSET(DMAV_Modell!$N$6,C864-1,0)))-FIND("]",CELL("adresse",OFFSET(DMAV_Modell!$N$6,C864-1,0)))),"Structure"))</f>
        <v/>
      </c>
      <c r="P864" s="64" t="str" cm="1">
        <f t="array" aca="1" ref="P864" ca="1">IF(D864=0,IF(G864=0,"",HYPERLINK("#"&amp;RIGHT(CELL("adresse",OFFSET(DMAV_Dienste!$M$6,G864-1,0)),LEN(CELL("adresse",OFFSET(DMAV_Dienste!$M$6,G864-1,0)))-FIND("]",CELL("adresse",OFFSET(DMAV_Dienste!$M$6,G864-1,0)))),"Substructure")),HYPERLINK("#"&amp;RIGHT(CELL("adresse",OFFSET(DMAV_Modell!$N$6,D864-1,0)),LEN(CELL("adresse",OFFSET(DMAV_Modell!$N$6,D864-1,0)))-FIND("]",CELL("adresse",OFFSET(DMAV_Modell!$N$6,D864-1,0)))),"Substructure"))</f>
        <v/>
      </c>
      <c r="R864" s="80"/>
      <c r="T864" s="93"/>
      <c r="U864" s="94"/>
      <c r="V864" s="95"/>
      <c r="W864" s="96"/>
      <c r="Y864" s="85"/>
      <c r="Z864" s="86"/>
      <c r="AA864" s="87"/>
      <c r="AB864" s="88"/>
      <c r="AD864" s="77"/>
      <c r="AF864" s="54" t="str" cm="1">
        <f t="array" aca="1" ref="AF864" ca="1">IF(H864=0,"",HYPERLINK("#"&amp;RIGHT(CELL("adresse",OFFSET('DM01-AV-CH'!$G$6,H864-1,0)),LEN(CELL("adresse",OFFSET('DM01-AV-CH'!$G$6,H864-1,0)))-FIND("]",CELL("adresse",OFFSET('DM01-AV-CH'!$G$6,H864-1,0)))),"Modell"))</f>
        <v>Modell</v>
      </c>
      <c r="AG864" s="72" t="str" cm="1">
        <f t="array" ref="AG864">IF($H864=0,"",IF(INDEX('DM01-AV-CH'!G$6:G$834,$H864)="","",INDEX('DM01-AV-CH'!G$6:G$834,$H864)))</f>
        <v>Einzelobjekte</v>
      </c>
      <c r="AH864" s="73" t="str" cm="1">
        <f t="array" ref="AH864">IF($H864=0,"",IF(INDEX('DM01-AV-CH'!H$6:H$834,$H864)="","",INDEX('DM01-AV-CH'!H$6:H$834,$H864)))</f>
        <v/>
      </c>
      <c r="AI864" s="74" t="str" cm="1">
        <f t="array" ref="AI864">IF($H864=0,"",IF(INDEX('DM01-AV-CH'!I$6:I$834,$H864)="","",INDEX('DM01-AV-CH'!I$6:I$834,$H864)))</f>
        <v>EOArt</v>
      </c>
    </row>
    <row r="865" spans="1:35" x14ac:dyDescent="0.25">
      <c r="A865" s="57">
        <v>860</v>
      </c>
      <c r="B865" s="57">
        <f>IF($A865="","",IF(_xlfn.XLOOKUP($A865,Korrelation!$D$4:$D$1197,Korrelation!E$4:E$1197,"-",0)="-",0,MATCH(_xlfn.XLOOKUP($A865,Korrelation!$D$4:$D$1197,Korrelation!E$4:E$1197,"",0),DMAV_Modell!$G$6:$G$677,0)))</f>
        <v>493</v>
      </c>
      <c r="C865" s="57">
        <f>IF($A865="","",IF(_xlfn.XLOOKUP($A865,Korrelation!$D$4:$D$1197,Korrelation!F$4:F$1197,"-",0)="-",0,MATCH(_xlfn.XLOOKUP($A865,Korrelation!$D$4:$D$1197,Korrelation!F$4:F$1197,"",0),DMAV_Modell!$G$6:$G$677,0)))</f>
        <v>0</v>
      </c>
      <c r="D865" s="57">
        <f>IF($A865="","",IF(_xlfn.XLOOKUP($A865,Korrelation!$D$4:$D$1197,Korrelation!G$4:G$1197,"-",0)="-",0,MATCH(_xlfn.XLOOKUP($A865,Korrelation!$D$4:$D$1197,Korrelation!G$4:G$1197,"",0),DMAV_Modell!$G$6:$G$677,0)))</f>
        <v>0</v>
      </c>
      <c r="E865" s="57">
        <f>IF($A865="","",IF(_xlfn.XLOOKUP($A865,Korrelation!$D$4:$D$1197,Korrelation!H$4:H$1197,"-",0)="-",0,MATCH(_xlfn.XLOOKUP($A865,Korrelation!$D$4:$D$1197,Korrelation!H$4:H$1197,"",0),DMAV_Dienste!$F$6:$F$140,0)))</f>
        <v>0</v>
      </c>
      <c r="F865" s="57">
        <f>IF($A865="","",IF(_xlfn.XLOOKUP($A865,Korrelation!$D$4:$D$1197,Korrelation!I$4:I$1197,"-",0)="-",0,MATCH(_xlfn.XLOOKUP($A865,Korrelation!$D$4:$D$1197,Korrelation!I$4:I$1197,"",0),DMAV_Dienste!$F$6:$F$140,0)))</f>
        <v>0</v>
      </c>
      <c r="G865" s="57">
        <f>IF($A865="","",IF(_xlfn.XLOOKUP($A865,Korrelation!$D$4:$D$1197,Korrelation!J$4:J$1197,"-",0)="-",0,MATCH(_xlfn.XLOOKUP($A865,Korrelation!$D$4:$D$1197,Korrelation!J$4:J$1197,"",0),DMAV_Dienste!$F$6:$F$140,0)))</f>
        <v>0</v>
      </c>
      <c r="H865" s="57">
        <f>IF($A865="","",IF(_xlfn.XLOOKUP($A865,Korrelation!$D$4:$D$1197,Korrelation!K$4:K$1197,"-",0)="-",0,MATCH(_xlfn.XLOOKUP($A865,Korrelation!$D$4:$D$1197,Korrelation!K$4:K$1197,"",0),'DM01-AV-CH'!$A$6:$A$834,0)))</f>
        <v>291</v>
      </c>
      <c r="J865" s="54" t="str" cm="1">
        <f t="array" aca="1" ref="J865" ca="1">IF(B865=0,IF(E865=0,"",HYPERLINK("#"&amp;RIGHT(CELL("adresse",OFFSET(DMAV_Dienste!$M$6,E865-1,0)),LEN(CELL("adresse",OFFSET(DMAV_Dienste!$M$6,E865-1,0)))-FIND("]",CELL("adresse",OFFSET(DMAV_Dienste!$M$6,E865-1,0)))),"Dienst")),HYPERLINK("#"&amp;RIGHT(CELL("adresse",OFFSET(DMAV_Modell!$N$6,B865-1,0)),LEN(CELL("adresse",OFFSET(DMAV_Modell!$N$6,B865-1,0)))-FIND("]",CELL("adresse",OFFSET(DMAV_Modell!$N$6,B865-1,0)))),"Modell"))</f>
        <v>Modell</v>
      </c>
      <c r="K865" s="61" t="str" cm="1">
        <f t="array" ref="K865">IF($B865=0,IF($E865=0,"",IF(INDEX(DMAV_Dienste!P$6:P$140,$E865)="","",INDEX(DMAV_Dienste!P$6:P$140,$E865))),IF(INDEX(DMAV_Modell!Q$6:Q$838,$B865)="","",INDEX(DMAV_Modell!Q$6:Q$838,$B865)))</f>
        <v>DOMAIN</v>
      </c>
      <c r="L865" s="62" t="str" cm="1">
        <f t="array" ref="L865">IF($B865=0,IF($E865=0,"",IF(INDEX(DMAV_Dienste!O$6:O$140,$E865)="","",INDEX(DMAV_Dienste!O$6:O$140,$E865))),IF(INDEX(DMAV_Modell!P$6:P$838,$B865)="","",INDEX(DMAV_Modell!P$6:P$838,$B865)))</f>
        <v>Einzelobjekte</v>
      </c>
      <c r="M865" s="62" t="str" cm="1">
        <f t="array" ref="M865">IF($B865=0,IF($E865=0,"",IF(INDEX(DMAV_Dienste!Q$6:Q$140,$E865)="","",INDEX(DMAV_Dienste!Q$6:Q$140,$E865))),IF(INDEX(DMAV_Modell!R$6:R$838,$B865)="","",INDEX(DMAV_Modell!R$6:R$838,$B865)))</f>
        <v>Einzelobjektart</v>
      </c>
      <c r="N865" s="62" t="str" cm="1">
        <f t="array" ref="N865">IF($B865=0,IF($E865=0,"",IF(INDEX(DMAV_Dienste!T$6:T$140,$E865)="","",INDEX(DMAV_Dienste!T$6:T$140,$E865))),IF(INDEX(DMAV_Modell!U$6:U$838,$B865)="","",INDEX(DMAV_Modell!U$6:U$838,$B865)))</f>
        <v/>
      </c>
      <c r="O865" s="63" t="str" cm="1">
        <f t="array" aca="1" ref="O865" ca="1">IF(C865=0,IF(F865=0,"",HYPERLINK("#"&amp;RIGHT(CELL("adresse",OFFSET(DMAV_Dienste!$M$6,F865-1,0)),LEN(CELL("adresse",OFFSET(DMAV_Dienste!$M$6,F865-1,0)))-FIND("]",CELL("adresse",OFFSET(DMAV_Dienste!$M$6,F865-1,0)))),"Structure")),HYPERLINK("#"&amp;RIGHT(CELL("adresse",OFFSET(DMAV_Modell!$N$6,C865-1,0)),LEN(CELL("adresse",OFFSET(DMAV_Modell!$N$6,C865-1,0)))-FIND("]",CELL("adresse",OFFSET(DMAV_Modell!$N$6,C865-1,0)))),"Structure"))</f>
        <v/>
      </c>
      <c r="P865" s="64" t="str" cm="1">
        <f t="array" aca="1" ref="P865" ca="1">IF(D865=0,IF(G865=0,"",HYPERLINK("#"&amp;RIGHT(CELL("adresse",OFFSET(DMAV_Dienste!$M$6,G865-1,0)),LEN(CELL("adresse",OFFSET(DMAV_Dienste!$M$6,G865-1,0)))-FIND("]",CELL("adresse",OFFSET(DMAV_Dienste!$M$6,G865-1,0)))),"Substructure")),HYPERLINK("#"&amp;RIGHT(CELL("adresse",OFFSET(DMAV_Modell!$N$6,D865-1,0)),LEN(CELL("adresse",OFFSET(DMAV_Modell!$N$6,D865-1,0)))-FIND("]",CELL("adresse",OFFSET(DMAV_Modell!$N$6,D865-1,0)))),"Substructure"))</f>
        <v/>
      </c>
      <c r="R865" s="80"/>
      <c r="T865" s="93"/>
      <c r="U865" s="94"/>
      <c r="V865" s="95"/>
      <c r="W865" s="96"/>
      <c r="Y865" s="85"/>
      <c r="Z865" s="86"/>
      <c r="AA865" s="87"/>
      <c r="AB865" s="88"/>
      <c r="AD865" s="77"/>
      <c r="AF865" s="54" t="str" cm="1">
        <f t="array" aca="1" ref="AF865" ca="1">IF(H865=0,"",HYPERLINK("#"&amp;RIGHT(CELL("adresse",OFFSET('DM01-AV-CH'!$G$6,H865-1,0)),LEN(CELL("adresse",OFFSET('DM01-AV-CH'!$G$6,H865-1,0)))-FIND("]",CELL("adresse",OFFSET('DM01-AV-CH'!$G$6,H865-1,0)))),"Modell"))</f>
        <v>Modell</v>
      </c>
      <c r="AG865" s="72" t="str" cm="1">
        <f t="array" ref="AG865">IF($H865=0,"",IF(INDEX('DM01-AV-CH'!G$6:G$834,$H865)="","",INDEX('DM01-AV-CH'!G$6:G$834,$H865)))</f>
        <v>Einzelobjekte</v>
      </c>
      <c r="AH865" s="73" t="str" cm="1">
        <f t="array" ref="AH865">IF($H865=0,"",IF(INDEX('DM01-AV-CH'!H$6:H$834,$H865)="","",INDEX('DM01-AV-CH'!H$6:H$834,$H865)))</f>
        <v/>
      </c>
      <c r="AI865" s="74" t="str" cm="1">
        <f t="array" ref="AI865">IF($H865=0,"",IF(INDEX('DM01-AV-CH'!I$6:I$834,$H865)="","",INDEX('DM01-AV-CH'!I$6:I$834,$H865)))</f>
        <v>EOArt</v>
      </c>
    </row>
    <row r="866" spans="1:35" x14ac:dyDescent="0.25">
      <c r="A866" s="57">
        <v>861</v>
      </c>
      <c r="B866" s="57">
        <f>IF($A866="","",IF(_xlfn.XLOOKUP($A866,Korrelation!$D$4:$D$1197,Korrelation!E$4:E$1197,"-",0)="-",0,MATCH(_xlfn.XLOOKUP($A866,Korrelation!$D$4:$D$1197,Korrelation!E$4:E$1197,"",0),DMAV_Modell!$G$6:$G$677,0)))</f>
        <v>494</v>
      </c>
      <c r="C866" s="57">
        <f>IF($A866="","",IF(_xlfn.XLOOKUP($A866,Korrelation!$D$4:$D$1197,Korrelation!F$4:F$1197,"-",0)="-",0,MATCH(_xlfn.XLOOKUP($A866,Korrelation!$D$4:$D$1197,Korrelation!F$4:F$1197,"",0),DMAV_Modell!$G$6:$G$677,0)))</f>
        <v>0</v>
      </c>
      <c r="D866" s="57">
        <f>IF($A866="","",IF(_xlfn.XLOOKUP($A866,Korrelation!$D$4:$D$1197,Korrelation!G$4:G$1197,"-",0)="-",0,MATCH(_xlfn.XLOOKUP($A866,Korrelation!$D$4:$D$1197,Korrelation!G$4:G$1197,"",0),DMAV_Modell!$G$6:$G$677,0)))</f>
        <v>0</v>
      </c>
      <c r="E866" s="57">
        <f>IF($A866="","",IF(_xlfn.XLOOKUP($A866,Korrelation!$D$4:$D$1197,Korrelation!H$4:H$1197,"-",0)="-",0,MATCH(_xlfn.XLOOKUP($A866,Korrelation!$D$4:$D$1197,Korrelation!H$4:H$1197,"",0),DMAV_Dienste!$F$6:$F$140,0)))</f>
        <v>0</v>
      </c>
      <c r="F866" s="57">
        <f>IF($A866="","",IF(_xlfn.XLOOKUP($A866,Korrelation!$D$4:$D$1197,Korrelation!I$4:I$1197,"-",0)="-",0,MATCH(_xlfn.XLOOKUP($A866,Korrelation!$D$4:$D$1197,Korrelation!I$4:I$1197,"",0),DMAV_Dienste!$F$6:$F$140,0)))</f>
        <v>0</v>
      </c>
      <c r="G866" s="57">
        <f>IF($A866="","",IF(_xlfn.XLOOKUP($A866,Korrelation!$D$4:$D$1197,Korrelation!J$4:J$1197,"-",0)="-",0,MATCH(_xlfn.XLOOKUP($A866,Korrelation!$D$4:$D$1197,Korrelation!J$4:J$1197,"",0),DMAV_Dienste!$F$6:$F$140,0)))</f>
        <v>0</v>
      </c>
      <c r="H866" s="57">
        <f>IF($A866="","",IF(_xlfn.XLOOKUP($A866,Korrelation!$D$4:$D$1197,Korrelation!K$4:K$1197,"-",0)="-",0,MATCH(_xlfn.XLOOKUP($A866,Korrelation!$D$4:$D$1197,Korrelation!K$4:K$1197,"",0),'DM01-AV-CH'!$A$6:$A$834,0)))</f>
        <v>292</v>
      </c>
      <c r="J866" s="54" t="str" cm="1">
        <f t="array" aca="1" ref="J866" ca="1">IF(B866=0,IF(E866=0,"",HYPERLINK("#"&amp;RIGHT(CELL("adresse",OFFSET(DMAV_Dienste!$M$6,E866-1,0)),LEN(CELL("adresse",OFFSET(DMAV_Dienste!$M$6,E866-1,0)))-FIND("]",CELL("adresse",OFFSET(DMAV_Dienste!$M$6,E866-1,0)))),"Dienst")),HYPERLINK("#"&amp;RIGHT(CELL("adresse",OFFSET(DMAV_Modell!$N$6,B866-1,0)),LEN(CELL("adresse",OFFSET(DMAV_Modell!$N$6,B866-1,0)))-FIND("]",CELL("adresse",OFFSET(DMAV_Modell!$N$6,B866-1,0)))),"Modell"))</f>
        <v>Modell</v>
      </c>
      <c r="K866" s="61" t="str" cm="1">
        <f t="array" ref="K866">IF($B866=0,IF($E866=0,"",IF(INDEX(DMAV_Dienste!P$6:P$140,$E866)="","",INDEX(DMAV_Dienste!P$6:P$140,$E866))),IF(INDEX(DMAV_Modell!Q$6:Q$838,$B866)="","",INDEX(DMAV_Modell!Q$6:Q$838,$B866)))</f>
        <v>DOMAIN</v>
      </c>
      <c r="L866" s="62" t="str" cm="1">
        <f t="array" ref="L866">IF($B866=0,IF($E866=0,"",IF(INDEX(DMAV_Dienste!O$6:O$140,$E866)="","",INDEX(DMAV_Dienste!O$6:O$140,$E866))),IF(INDEX(DMAV_Modell!P$6:P$838,$B866)="","",INDEX(DMAV_Modell!P$6:P$838,$B866)))</f>
        <v>Einzelobjekte</v>
      </c>
      <c r="M866" s="62" t="str" cm="1">
        <f t="array" ref="M866">IF($B866=0,IF($E866=0,"",IF(INDEX(DMAV_Dienste!Q$6:Q$140,$E866)="","",INDEX(DMAV_Dienste!Q$6:Q$140,$E866))),IF(INDEX(DMAV_Modell!R$6:R$838,$B866)="","",INDEX(DMAV_Modell!R$6:R$838,$B866)))</f>
        <v>Einzelobjektart</v>
      </c>
      <c r="N866" s="62" t="str" cm="1">
        <f t="array" ref="N866">IF($B866=0,IF($E866=0,"",IF(INDEX(DMAV_Dienste!T$6:T$140,$E866)="","",INDEX(DMAV_Dienste!T$6:T$140,$E866))),IF(INDEX(DMAV_Modell!U$6:U$838,$B866)="","",INDEX(DMAV_Modell!U$6:U$838,$B866)))</f>
        <v/>
      </c>
      <c r="O866" s="63" t="str" cm="1">
        <f t="array" aca="1" ref="O866" ca="1">IF(C866=0,IF(F866=0,"",HYPERLINK("#"&amp;RIGHT(CELL("adresse",OFFSET(DMAV_Dienste!$M$6,F866-1,0)),LEN(CELL("adresse",OFFSET(DMAV_Dienste!$M$6,F866-1,0)))-FIND("]",CELL("adresse",OFFSET(DMAV_Dienste!$M$6,F866-1,0)))),"Structure")),HYPERLINK("#"&amp;RIGHT(CELL("adresse",OFFSET(DMAV_Modell!$N$6,C866-1,0)),LEN(CELL("adresse",OFFSET(DMAV_Modell!$N$6,C866-1,0)))-FIND("]",CELL("adresse",OFFSET(DMAV_Modell!$N$6,C866-1,0)))),"Structure"))</f>
        <v/>
      </c>
      <c r="P866" s="64" t="str" cm="1">
        <f t="array" aca="1" ref="P866" ca="1">IF(D866=0,IF(G866=0,"",HYPERLINK("#"&amp;RIGHT(CELL("adresse",OFFSET(DMAV_Dienste!$M$6,G866-1,0)),LEN(CELL("adresse",OFFSET(DMAV_Dienste!$M$6,G866-1,0)))-FIND("]",CELL("adresse",OFFSET(DMAV_Dienste!$M$6,G866-1,0)))),"Substructure")),HYPERLINK("#"&amp;RIGHT(CELL("adresse",OFFSET(DMAV_Modell!$N$6,D866-1,0)),LEN(CELL("adresse",OFFSET(DMAV_Modell!$N$6,D866-1,0)))-FIND("]",CELL("adresse",OFFSET(DMAV_Modell!$N$6,D866-1,0)))),"Substructure"))</f>
        <v/>
      </c>
      <c r="R866" s="80"/>
      <c r="T866" s="93"/>
      <c r="U866" s="94"/>
      <c r="V866" s="95"/>
      <c r="W866" s="96"/>
      <c r="Y866" s="85"/>
      <c r="Z866" s="86"/>
      <c r="AA866" s="87"/>
      <c r="AB866" s="88"/>
      <c r="AD866" s="77"/>
      <c r="AF866" s="54" t="str" cm="1">
        <f t="array" aca="1" ref="AF866" ca="1">IF(H866=0,"",HYPERLINK("#"&amp;RIGHT(CELL("adresse",OFFSET('DM01-AV-CH'!$G$6,H866-1,0)),LEN(CELL("adresse",OFFSET('DM01-AV-CH'!$G$6,H866-1,0)))-FIND("]",CELL("adresse",OFFSET('DM01-AV-CH'!$G$6,H866-1,0)))),"Modell"))</f>
        <v>Modell</v>
      </c>
      <c r="AG866" s="72" t="str" cm="1">
        <f t="array" ref="AG866">IF($H866=0,"",IF(INDEX('DM01-AV-CH'!G$6:G$834,$H866)="","",INDEX('DM01-AV-CH'!G$6:G$834,$H866)))</f>
        <v>Einzelobjekte</v>
      </c>
      <c r="AH866" s="73" t="str" cm="1">
        <f t="array" ref="AH866">IF($H866=0,"",IF(INDEX('DM01-AV-CH'!H$6:H$834,$H866)="","",INDEX('DM01-AV-CH'!H$6:H$834,$H866)))</f>
        <v/>
      </c>
      <c r="AI866" s="74" t="str" cm="1">
        <f t="array" ref="AI866">IF($H866=0,"",IF(INDEX('DM01-AV-CH'!I$6:I$834,$H866)="","",INDEX('DM01-AV-CH'!I$6:I$834,$H866)))</f>
        <v>EOArt</v>
      </c>
    </row>
    <row r="867" spans="1:35" x14ac:dyDescent="0.25">
      <c r="A867" s="57">
        <v>862</v>
      </c>
      <c r="B867" s="57">
        <f>IF($A867="","",IF(_xlfn.XLOOKUP($A867,Korrelation!$D$4:$D$1197,Korrelation!E$4:E$1197,"-",0)="-",0,MATCH(_xlfn.XLOOKUP($A867,Korrelation!$D$4:$D$1197,Korrelation!E$4:E$1197,"",0),DMAV_Modell!$G$6:$G$677,0)))</f>
        <v>495</v>
      </c>
      <c r="C867" s="57">
        <f>IF($A867="","",IF(_xlfn.XLOOKUP($A867,Korrelation!$D$4:$D$1197,Korrelation!F$4:F$1197,"-",0)="-",0,MATCH(_xlfn.XLOOKUP($A867,Korrelation!$D$4:$D$1197,Korrelation!F$4:F$1197,"",0),DMAV_Modell!$G$6:$G$677,0)))</f>
        <v>0</v>
      </c>
      <c r="D867" s="57">
        <f>IF($A867="","",IF(_xlfn.XLOOKUP($A867,Korrelation!$D$4:$D$1197,Korrelation!G$4:G$1197,"-",0)="-",0,MATCH(_xlfn.XLOOKUP($A867,Korrelation!$D$4:$D$1197,Korrelation!G$4:G$1197,"",0),DMAV_Modell!$G$6:$G$677,0)))</f>
        <v>0</v>
      </c>
      <c r="E867" s="57">
        <f>IF($A867="","",IF(_xlfn.XLOOKUP($A867,Korrelation!$D$4:$D$1197,Korrelation!H$4:H$1197,"-",0)="-",0,MATCH(_xlfn.XLOOKUP($A867,Korrelation!$D$4:$D$1197,Korrelation!H$4:H$1197,"",0),DMAV_Dienste!$F$6:$F$140,0)))</f>
        <v>0</v>
      </c>
      <c r="F867" s="57">
        <f>IF($A867="","",IF(_xlfn.XLOOKUP($A867,Korrelation!$D$4:$D$1197,Korrelation!I$4:I$1197,"-",0)="-",0,MATCH(_xlfn.XLOOKUP($A867,Korrelation!$D$4:$D$1197,Korrelation!I$4:I$1197,"",0),DMAV_Dienste!$F$6:$F$140,0)))</f>
        <v>0</v>
      </c>
      <c r="G867" s="57">
        <f>IF($A867="","",IF(_xlfn.XLOOKUP($A867,Korrelation!$D$4:$D$1197,Korrelation!J$4:J$1197,"-",0)="-",0,MATCH(_xlfn.XLOOKUP($A867,Korrelation!$D$4:$D$1197,Korrelation!J$4:J$1197,"",0),DMAV_Dienste!$F$6:$F$140,0)))</f>
        <v>0</v>
      </c>
      <c r="H867" s="57">
        <f>IF($A867="","",IF(_xlfn.XLOOKUP($A867,Korrelation!$D$4:$D$1197,Korrelation!K$4:K$1197,"-",0)="-",0,MATCH(_xlfn.XLOOKUP($A867,Korrelation!$D$4:$D$1197,Korrelation!K$4:K$1197,"",0),'DM01-AV-CH'!$A$6:$A$834,0)))</f>
        <v>293</v>
      </c>
      <c r="J867" s="54" t="str" cm="1">
        <f t="array" aca="1" ref="J867" ca="1">IF(B867=0,IF(E867=0,"",HYPERLINK("#"&amp;RIGHT(CELL("adresse",OFFSET(DMAV_Dienste!$M$6,E867-1,0)),LEN(CELL("adresse",OFFSET(DMAV_Dienste!$M$6,E867-1,0)))-FIND("]",CELL("adresse",OFFSET(DMAV_Dienste!$M$6,E867-1,0)))),"Dienst")),HYPERLINK("#"&amp;RIGHT(CELL("adresse",OFFSET(DMAV_Modell!$N$6,B867-1,0)),LEN(CELL("adresse",OFFSET(DMAV_Modell!$N$6,B867-1,0)))-FIND("]",CELL("adresse",OFFSET(DMAV_Modell!$N$6,B867-1,0)))),"Modell"))</f>
        <v>Modell</v>
      </c>
      <c r="K867" s="61" t="str" cm="1">
        <f t="array" ref="K867">IF($B867=0,IF($E867=0,"",IF(INDEX(DMAV_Dienste!P$6:P$140,$E867)="","",INDEX(DMAV_Dienste!P$6:P$140,$E867))),IF(INDEX(DMAV_Modell!Q$6:Q$838,$B867)="","",INDEX(DMAV_Modell!Q$6:Q$838,$B867)))</f>
        <v>DOMAIN</v>
      </c>
      <c r="L867" s="62" t="str" cm="1">
        <f t="array" ref="L867">IF($B867=0,IF($E867=0,"",IF(INDEX(DMAV_Dienste!O$6:O$140,$E867)="","",INDEX(DMAV_Dienste!O$6:O$140,$E867))),IF(INDEX(DMAV_Modell!P$6:P$838,$B867)="","",INDEX(DMAV_Modell!P$6:P$838,$B867)))</f>
        <v>Einzelobjekte</v>
      </c>
      <c r="M867" s="62" t="str" cm="1">
        <f t="array" ref="M867">IF($B867=0,IF($E867=0,"",IF(INDEX(DMAV_Dienste!Q$6:Q$140,$E867)="","",INDEX(DMAV_Dienste!Q$6:Q$140,$E867))),IF(INDEX(DMAV_Modell!R$6:R$838,$B867)="","",INDEX(DMAV_Modell!R$6:R$838,$B867)))</f>
        <v>Einzelobjektart</v>
      </c>
      <c r="N867" s="62" t="str" cm="1">
        <f t="array" ref="N867">IF($B867=0,IF($E867=0,"",IF(INDEX(DMAV_Dienste!T$6:T$140,$E867)="","",INDEX(DMAV_Dienste!T$6:T$140,$E867))),IF(INDEX(DMAV_Modell!U$6:U$838,$B867)="","",INDEX(DMAV_Modell!U$6:U$838,$B867)))</f>
        <v/>
      </c>
      <c r="O867" s="63" t="str" cm="1">
        <f t="array" aca="1" ref="O867" ca="1">IF(C867=0,IF(F867=0,"",HYPERLINK("#"&amp;RIGHT(CELL("adresse",OFFSET(DMAV_Dienste!$M$6,F867-1,0)),LEN(CELL("adresse",OFFSET(DMAV_Dienste!$M$6,F867-1,0)))-FIND("]",CELL("adresse",OFFSET(DMAV_Dienste!$M$6,F867-1,0)))),"Structure")),HYPERLINK("#"&amp;RIGHT(CELL("adresse",OFFSET(DMAV_Modell!$N$6,C867-1,0)),LEN(CELL("adresse",OFFSET(DMAV_Modell!$N$6,C867-1,0)))-FIND("]",CELL("adresse",OFFSET(DMAV_Modell!$N$6,C867-1,0)))),"Structure"))</f>
        <v/>
      </c>
      <c r="P867" s="64" t="str" cm="1">
        <f t="array" aca="1" ref="P867" ca="1">IF(D867=0,IF(G867=0,"",HYPERLINK("#"&amp;RIGHT(CELL("adresse",OFFSET(DMAV_Dienste!$M$6,G867-1,0)),LEN(CELL("adresse",OFFSET(DMAV_Dienste!$M$6,G867-1,0)))-FIND("]",CELL("adresse",OFFSET(DMAV_Dienste!$M$6,G867-1,0)))),"Substructure")),HYPERLINK("#"&amp;RIGHT(CELL("adresse",OFFSET(DMAV_Modell!$N$6,D867-1,0)),LEN(CELL("adresse",OFFSET(DMAV_Modell!$N$6,D867-1,0)))-FIND("]",CELL("adresse",OFFSET(DMAV_Modell!$N$6,D867-1,0)))),"Substructure"))</f>
        <v/>
      </c>
      <c r="R867" s="80"/>
      <c r="T867" s="93"/>
      <c r="U867" s="94"/>
      <c r="V867" s="95"/>
      <c r="W867" s="96"/>
      <c r="Y867" s="85"/>
      <c r="Z867" s="86"/>
      <c r="AA867" s="87"/>
      <c r="AB867" s="88"/>
      <c r="AD867" s="77"/>
      <c r="AF867" s="54" t="str" cm="1">
        <f t="array" aca="1" ref="AF867" ca="1">IF(H867=0,"",HYPERLINK("#"&amp;RIGHT(CELL("adresse",OFFSET('DM01-AV-CH'!$G$6,H867-1,0)),LEN(CELL("adresse",OFFSET('DM01-AV-CH'!$G$6,H867-1,0)))-FIND("]",CELL("adresse",OFFSET('DM01-AV-CH'!$G$6,H867-1,0)))),"Modell"))</f>
        <v>Modell</v>
      </c>
      <c r="AG867" s="72" t="str" cm="1">
        <f t="array" ref="AG867">IF($H867=0,"",IF(INDEX('DM01-AV-CH'!G$6:G$834,$H867)="","",INDEX('DM01-AV-CH'!G$6:G$834,$H867)))</f>
        <v>Einzelobjekte</v>
      </c>
      <c r="AH867" s="73" t="str" cm="1">
        <f t="array" ref="AH867">IF($H867=0,"",IF(INDEX('DM01-AV-CH'!H$6:H$834,$H867)="","",INDEX('DM01-AV-CH'!H$6:H$834,$H867)))</f>
        <v/>
      </c>
      <c r="AI867" s="74" t="str" cm="1">
        <f t="array" ref="AI867">IF($H867=0,"",IF(INDEX('DM01-AV-CH'!I$6:I$834,$H867)="","",INDEX('DM01-AV-CH'!I$6:I$834,$H867)))</f>
        <v>EOArt</v>
      </c>
    </row>
    <row r="868" spans="1:35" x14ac:dyDescent="0.25">
      <c r="A868" s="57">
        <v>863</v>
      </c>
      <c r="B868" s="57">
        <f>IF($A868="","",IF(_xlfn.XLOOKUP($A868,Korrelation!$D$4:$D$1197,Korrelation!E$4:E$1197,"-",0)="-",0,MATCH(_xlfn.XLOOKUP($A868,Korrelation!$D$4:$D$1197,Korrelation!E$4:E$1197,"",0),DMAV_Modell!$G$6:$G$677,0)))</f>
        <v>496</v>
      </c>
      <c r="C868" s="57">
        <f>IF($A868="","",IF(_xlfn.XLOOKUP($A868,Korrelation!$D$4:$D$1197,Korrelation!F$4:F$1197,"-",0)="-",0,MATCH(_xlfn.XLOOKUP($A868,Korrelation!$D$4:$D$1197,Korrelation!F$4:F$1197,"",0),DMAV_Modell!$G$6:$G$677,0)))</f>
        <v>0</v>
      </c>
      <c r="D868" s="57">
        <f>IF($A868="","",IF(_xlfn.XLOOKUP($A868,Korrelation!$D$4:$D$1197,Korrelation!G$4:G$1197,"-",0)="-",0,MATCH(_xlfn.XLOOKUP($A868,Korrelation!$D$4:$D$1197,Korrelation!G$4:G$1197,"",0),DMAV_Modell!$G$6:$G$677,0)))</f>
        <v>0</v>
      </c>
      <c r="E868" s="57">
        <f>IF($A868="","",IF(_xlfn.XLOOKUP($A868,Korrelation!$D$4:$D$1197,Korrelation!H$4:H$1197,"-",0)="-",0,MATCH(_xlfn.XLOOKUP($A868,Korrelation!$D$4:$D$1197,Korrelation!H$4:H$1197,"",0),DMAV_Dienste!$F$6:$F$140,0)))</f>
        <v>0</v>
      </c>
      <c r="F868" s="57">
        <f>IF($A868="","",IF(_xlfn.XLOOKUP($A868,Korrelation!$D$4:$D$1197,Korrelation!I$4:I$1197,"-",0)="-",0,MATCH(_xlfn.XLOOKUP($A868,Korrelation!$D$4:$D$1197,Korrelation!I$4:I$1197,"",0),DMAV_Dienste!$F$6:$F$140,0)))</f>
        <v>0</v>
      </c>
      <c r="G868" s="57">
        <f>IF($A868="","",IF(_xlfn.XLOOKUP($A868,Korrelation!$D$4:$D$1197,Korrelation!J$4:J$1197,"-",0)="-",0,MATCH(_xlfn.XLOOKUP($A868,Korrelation!$D$4:$D$1197,Korrelation!J$4:J$1197,"",0),DMAV_Dienste!$F$6:$F$140,0)))</f>
        <v>0</v>
      </c>
      <c r="H868" s="57">
        <f>IF($A868="","",IF(_xlfn.XLOOKUP($A868,Korrelation!$D$4:$D$1197,Korrelation!K$4:K$1197,"-",0)="-",0,MATCH(_xlfn.XLOOKUP($A868,Korrelation!$D$4:$D$1197,Korrelation!K$4:K$1197,"",0),'DM01-AV-CH'!$A$6:$A$834,0)))</f>
        <v>294</v>
      </c>
      <c r="J868" s="54" t="str" cm="1">
        <f t="array" aca="1" ref="J868" ca="1">IF(B868=0,IF(E868=0,"",HYPERLINK("#"&amp;RIGHT(CELL("adresse",OFFSET(DMAV_Dienste!$M$6,E868-1,0)),LEN(CELL("adresse",OFFSET(DMAV_Dienste!$M$6,E868-1,0)))-FIND("]",CELL("adresse",OFFSET(DMAV_Dienste!$M$6,E868-1,0)))),"Dienst")),HYPERLINK("#"&amp;RIGHT(CELL("adresse",OFFSET(DMAV_Modell!$N$6,B868-1,0)),LEN(CELL("adresse",OFFSET(DMAV_Modell!$N$6,B868-1,0)))-FIND("]",CELL("adresse",OFFSET(DMAV_Modell!$N$6,B868-1,0)))),"Modell"))</f>
        <v>Modell</v>
      </c>
      <c r="K868" s="61" t="str" cm="1">
        <f t="array" ref="K868">IF($B868=0,IF($E868=0,"",IF(INDEX(DMAV_Dienste!P$6:P$140,$E868)="","",INDEX(DMAV_Dienste!P$6:P$140,$E868))),IF(INDEX(DMAV_Modell!Q$6:Q$838,$B868)="","",INDEX(DMAV_Modell!Q$6:Q$838,$B868)))</f>
        <v>DOMAIN</v>
      </c>
      <c r="L868" s="62" t="str" cm="1">
        <f t="array" ref="L868">IF($B868=0,IF($E868=0,"",IF(INDEX(DMAV_Dienste!O$6:O$140,$E868)="","",INDEX(DMAV_Dienste!O$6:O$140,$E868))),IF(INDEX(DMAV_Modell!P$6:P$838,$B868)="","",INDEX(DMAV_Modell!P$6:P$838,$B868)))</f>
        <v>Einzelobjekte</v>
      </c>
      <c r="M868" s="62" t="str" cm="1">
        <f t="array" ref="M868">IF($B868=0,IF($E868=0,"",IF(INDEX(DMAV_Dienste!Q$6:Q$140,$E868)="","",INDEX(DMAV_Dienste!Q$6:Q$140,$E868))),IF(INDEX(DMAV_Modell!R$6:R$838,$B868)="","",INDEX(DMAV_Modell!R$6:R$838,$B868)))</f>
        <v>Einzelobjektart</v>
      </c>
      <c r="N868" s="62" t="str" cm="1">
        <f t="array" ref="N868">IF($B868=0,IF($E868=0,"",IF(INDEX(DMAV_Dienste!T$6:T$140,$E868)="","",INDEX(DMAV_Dienste!T$6:T$140,$E868))),IF(INDEX(DMAV_Modell!U$6:U$838,$B868)="","",INDEX(DMAV_Modell!U$6:U$838,$B868)))</f>
        <v/>
      </c>
      <c r="O868" s="63" t="str" cm="1">
        <f t="array" aca="1" ref="O868" ca="1">IF(C868=0,IF(F868=0,"",HYPERLINK("#"&amp;RIGHT(CELL("adresse",OFFSET(DMAV_Dienste!$M$6,F868-1,0)),LEN(CELL("adresse",OFFSET(DMAV_Dienste!$M$6,F868-1,0)))-FIND("]",CELL("adresse",OFFSET(DMAV_Dienste!$M$6,F868-1,0)))),"Structure")),HYPERLINK("#"&amp;RIGHT(CELL("adresse",OFFSET(DMAV_Modell!$N$6,C868-1,0)),LEN(CELL("adresse",OFFSET(DMAV_Modell!$N$6,C868-1,0)))-FIND("]",CELL("adresse",OFFSET(DMAV_Modell!$N$6,C868-1,0)))),"Structure"))</f>
        <v/>
      </c>
      <c r="P868" s="64" t="str" cm="1">
        <f t="array" aca="1" ref="P868" ca="1">IF(D868=0,IF(G868=0,"",HYPERLINK("#"&amp;RIGHT(CELL("adresse",OFFSET(DMAV_Dienste!$M$6,G868-1,0)),LEN(CELL("adresse",OFFSET(DMAV_Dienste!$M$6,G868-1,0)))-FIND("]",CELL("adresse",OFFSET(DMAV_Dienste!$M$6,G868-1,0)))),"Substructure")),HYPERLINK("#"&amp;RIGHT(CELL("adresse",OFFSET(DMAV_Modell!$N$6,D868-1,0)),LEN(CELL("adresse",OFFSET(DMAV_Modell!$N$6,D868-1,0)))-FIND("]",CELL("adresse",OFFSET(DMAV_Modell!$N$6,D868-1,0)))),"Substructure"))</f>
        <v/>
      </c>
      <c r="R868" s="80"/>
      <c r="T868" s="93"/>
      <c r="U868" s="94"/>
      <c r="V868" s="95"/>
      <c r="W868" s="96"/>
      <c r="Y868" s="85"/>
      <c r="Z868" s="86"/>
      <c r="AA868" s="87"/>
      <c r="AB868" s="88"/>
      <c r="AD868" s="77"/>
      <c r="AF868" s="54" t="str" cm="1">
        <f t="array" aca="1" ref="AF868" ca="1">IF(H868=0,"",HYPERLINK("#"&amp;RIGHT(CELL("adresse",OFFSET('DM01-AV-CH'!$G$6,H868-1,0)),LEN(CELL("adresse",OFFSET('DM01-AV-CH'!$G$6,H868-1,0)))-FIND("]",CELL("adresse",OFFSET('DM01-AV-CH'!$G$6,H868-1,0)))),"Modell"))</f>
        <v>Modell</v>
      </c>
      <c r="AG868" s="72" t="str" cm="1">
        <f t="array" ref="AG868">IF($H868=0,"",IF(INDEX('DM01-AV-CH'!G$6:G$834,$H868)="","",INDEX('DM01-AV-CH'!G$6:G$834,$H868)))</f>
        <v>Einzelobjekte</v>
      </c>
      <c r="AH868" s="73" t="str" cm="1">
        <f t="array" ref="AH868">IF($H868=0,"",IF(INDEX('DM01-AV-CH'!H$6:H$834,$H868)="","",INDEX('DM01-AV-CH'!H$6:H$834,$H868)))</f>
        <v/>
      </c>
      <c r="AI868" s="74" t="str" cm="1">
        <f t="array" ref="AI868">IF($H868=0,"",IF(INDEX('DM01-AV-CH'!I$6:I$834,$H868)="","",INDEX('DM01-AV-CH'!I$6:I$834,$H868)))</f>
        <v>EOArt</v>
      </c>
    </row>
    <row r="869" spans="1:35" x14ac:dyDescent="0.25">
      <c r="A869" s="57">
        <v>864</v>
      </c>
      <c r="B869" s="57">
        <f>IF($A869="","",IF(_xlfn.XLOOKUP($A869,Korrelation!$D$4:$D$1197,Korrelation!E$4:E$1197,"-",0)="-",0,MATCH(_xlfn.XLOOKUP($A869,Korrelation!$D$4:$D$1197,Korrelation!E$4:E$1197,"",0),DMAV_Modell!$G$6:$G$677,0)))</f>
        <v>497</v>
      </c>
      <c r="C869" s="57">
        <f>IF($A869="","",IF(_xlfn.XLOOKUP($A869,Korrelation!$D$4:$D$1197,Korrelation!F$4:F$1197,"-",0)="-",0,MATCH(_xlfn.XLOOKUP($A869,Korrelation!$D$4:$D$1197,Korrelation!F$4:F$1197,"",0),DMAV_Modell!$G$6:$G$677,0)))</f>
        <v>0</v>
      </c>
      <c r="D869" s="57">
        <f>IF($A869="","",IF(_xlfn.XLOOKUP($A869,Korrelation!$D$4:$D$1197,Korrelation!G$4:G$1197,"-",0)="-",0,MATCH(_xlfn.XLOOKUP($A869,Korrelation!$D$4:$D$1197,Korrelation!G$4:G$1197,"",0),DMAV_Modell!$G$6:$G$677,0)))</f>
        <v>0</v>
      </c>
      <c r="E869" s="57">
        <f>IF($A869="","",IF(_xlfn.XLOOKUP($A869,Korrelation!$D$4:$D$1197,Korrelation!H$4:H$1197,"-",0)="-",0,MATCH(_xlfn.XLOOKUP($A869,Korrelation!$D$4:$D$1197,Korrelation!H$4:H$1197,"",0),DMAV_Dienste!$F$6:$F$140,0)))</f>
        <v>0</v>
      </c>
      <c r="F869" s="57">
        <f>IF($A869="","",IF(_xlfn.XLOOKUP($A869,Korrelation!$D$4:$D$1197,Korrelation!I$4:I$1197,"-",0)="-",0,MATCH(_xlfn.XLOOKUP($A869,Korrelation!$D$4:$D$1197,Korrelation!I$4:I$1197,"",0),DMAV_Dienste!$F$6:$F$140,0)))</f>
        <v>0</v>
      </c>
      <c r="G869" s="57">
        <f>IF($A869="","",IF(_xlfn.XLOOKUP($A869,Korrelation!$D$4:$D$1197,Korrelation!J$4:J$1197,"-",0)="-",0,MATCH(_xlfn.XLOOKUP($A869,Korrelation!$D$4:$D$1197,Korrelation!J$4:J$1197,"",0),DMAV_Dienste!$F$6:$F$140,0)))</f>
        <v>0</v>
      </c>
      <c r="H869" s="57">
        <f>IF($A869="","",IF(_xlfn.XLOOKUP($A869,Korrelation!$D$4:$D$1197,Korrelation!K$4:K$1197,"-",0)="-",0,MATCH(_xlfn.XLOOKUP($A869,Korrelation!$D$4:$D$1197,Korrelation!K$4:K$1197,"",0),'DM01-AV-CH'!$A$6:$A$834,0)))</f>
        <v>295</v>
      </c>
      <c r="J869" s="54" t="str" cm="1">
        <f t="array" aca="1" ref="J869" ca="1">IF(B869=0,IF(E869=0,"",HYPERLINK("#"&amp;RIGHT(CELL("adresse",OFFSET(DMAV_Dienste!$M$6,E869-1,0)),LEN(CELL("adresse",OFFSET(DMAV_Dienste!$M$6,E869-1,0)))-FIND("]",CELL("adresse",OFFSET(DMAV_Dienste!$M$6,E869-1,0)))),"Dienst")),HYPERLINK("#"&amp;RIGHT(CELL("adresse",OFFSET(DMAV_Modell!$N$6,B869-1,0)),LEN(CELL("adresse",OFFSET(DMAV_Modell!$N$6,B869-1,0)))-FIND("]",CELL("adresse",OFFSET(DMAV_Modell!$N$6,B869-1,0)))),"Modell"))</f>
        <v>Modell</v>
      </c>
      <c r="K869" s="61" t="str" cm="1">
        <f t="array" ref="K869">IF($B869=0,IF($E869=0,"",IF(INDEX(DMAV_Dienste!P$6:P$140,$E869)="","",INDEX(DMAV_Dienste!P$6:P$140,$E869))),IF(INDEX(DMAV_Modell!Q$6:Q$838,$B869)="","",INDEX(DMAV_Modell!Q$6:Q$838,$B869)))</f>
        <v>DOMAIN</v>
      </c>
      <c r="L869" s="62" t="str" cm="1">
        <f t="array" ref="L869">IF($B869=0,IF($E869=0,"",IF(INDEX(DMAV_Dienste!O$6:O$140,$E869)="","",INDEX(DMAV_Dienste!O$6:O$140,$E869))),IF(INDEX(DMAV_Modell!P$6:P$838,$B869)="","",INDEX(DMAV_Modell!P$6:P$838,$B869)))</f>
        <v>Einzelobjekte</v>
      </c>
      <c r="M869" s="62" t="str" cm="1">
        <f t="array" ref="M869">IF($B869=0,IF($E869=0,"",IF(INDEX(DMAV_Dienste!Q$6:Q$140,$E869)="","",INDEX(DMAV_Dienste!Q$6:Q$140,$E869))),IF(INDEX(DMAV_Modell!R$6:R$838,$B869)="","",INDEX(DMAV_Modell!R$6:R$838,$B869)))</f>
        <v>Einzelobjektart</v>
      </c>
      <c r="N869" s="62" t="str" cm="1">
        <f t="array" ref="N869">IF($B869=0,IF($E869=0,"",IF(INDEX(DMAV_Dienste!T$6:T$140,$E869)="","",INDEX(DMAV_Dienste!T$6:T$140,$E869))),IF(INDEX(DMAV_Modell!U$6:U$838,$B869)="","",INDEX(DMAV_Modell!U$6:U$838,$B869)))</f>
        <v/>
      </c>
      <c r="O869" s="63" t="str" cm="1">
        <f t="array" aca="1" ref="O869" ca="1">IF(C869=0,IF(F869=0,"",HYPERLINK("#"&amp;RIGHT(CELL("adresse",OFFSET(DMAV_Dienste!$M$6,F869-1,0)),LEN(CELL("adresse",OFFSET(DMAV_Dienste!$M$6,F869-1,0)))-FIND("]",CELL("adresse",OFFSET(DMAV_Dienste!$M$6,F869-1,0)))),"Structure")),HYPERLINK("#"&amp;RIGHT(CELL("adresse",OFFSET(DMAV_Modell!$N$6,C869-1,0)),LEN(CELL("adresse",OFFSET(DMAV_Modell!$N$6,C869-1,0)))-FIND("]",CELL("adresse",OFFSET(DMAV_Modell!$N$6,C869-1,0)))),"Structure"))</f>
        <v/>
      </c>
      <c r="P869" s="64" t="str" cm="1">
        <f t="array" aca="1" ref="P869" ca="1">IF(D869=0,IF(G869=0,"",HYPERLINK("#"&amp;RIGHT(CELL("adresse",OFFSET(DMAV_Dienste!$M$6,G869-1,0)),LEN(CELL("adresse",OFFSET(DMAV_Dienste!$M$6,G869-1,0)))-FIND("]",CELL("adresse",OFFSET(DMAV_Dienste!$M$6,G869-1,0)))),"Substructure")),HYPERLINK("#"&amp;RIGHT(CELL("adresse",OFFSET(DMAV_Modell!$N$6,D869-1,0)),LEN(CELL("adresse",OFFSET(DMAV_Modell!$N$6,D869-1,0)))-FIND("]",CELL("adresse",OFFSET(DMAV_Modell!$N$6,D869-1,0)))),"Substructure"))</f>
        <v/>
      </c>
      <c r="R869" s="80"/>
      <c r="T869" s="93"/>
      <c r="U869" s="94"/>
      <c r="V869" s="95"/>
      <c r="W869" s="96"/>
      <c r="Y869" s="85"/>
      <c r="Z869" s="86"/>
      <c r="AA869" s="87"/>
      <c r="AB869" s="88"/>
      <c r="AD869" s="77"/>
      <c r="AF869" s="54" t="str" cm="1">
        <f t="array" aca="1" ref="AF869" ca="1">IF(H869=0,"",HYPERLINK("#"&amp;RIGHT(CELL("adresse",OFFSET('DM01-AV-CH'!$G$6,H869-1,0)),LEN(CELL("adresse",OFFSET('DM01-AV-CH'!$G$6,H869-1,0)))-FIND("]",CELL("adresse",OFFSET('DM01-AV-CH'!$G$6,H869-1,0)))),"Modell"))</f>
        <v>Modell</v>
      </c>
      <c r="AG869" s="72" t="str" cm="1">
        <f t="array" ref="AG869">IF($H869=0,"",IF(INDEX('DM01-AV-CH'!G$6:G$834,$H869)="","",INDEX('DM01-AV-CH'!G$6:G$834,$H869)))</f>
        <v>Einzelobjekte</v>
      </c>
      <c r="AH869" s="73" t="str" cm="1">
        <f t="array" ref="AH869">IF($H869=0,"",IF(INDEX('DM01-AV-CH'!H$6:H$834,$H869)="","",INDEX('DM01-AV-CH'!H$6:H$834,$H869)))</f>
        <v/>
      </c>
      <c r="AI869" s="74" t="str" cm="1">
        <f t="array" ref="AI869">IF($H869=0,"",IF(INDEX('DM01-AV-CH'!I$6:I$834,$H869)="","",INDEX('DM01-AV-CH'!I$6:I$834,$H869)))</f>
        <v>EOArt</v>
      </c>
    </row>
    <row r="870" spans="1:35" x14ac:dyDescent="0.25">
      <c r="A870" s="57">
        <v>865</v>
      </c>
      <c r="B870" s="57">
        <f>IF($A870="","",IF(_xlfn.XLOOKUP($A870,Korrelation!$D$4:$D$1197,Korrelation!E$4:E$1197,"-",0)="-",0,MATCH(_xlfn.XLOOKUP($A870,Korrelation!$D$4:$D$1197,Korrelation!E$4:E$1197,"",0),DMAV_Modell!$G$6:$G$677,0)))</f>
        <v>498</v>
      </c>
      <c r="C870" s="57">
        <f>IF($A870="","",IF(_xlfn.XLOOKUP($A870,Korrelation!$D$4:$D$1197,Korrelation!F$4:F$1197,"-",0)="-",0,MATCH(_xlfn.XLOOKUP($A870,Korrelation!$D$4:$D$1197,Korrelation!F$4:F$1197,"",0),DMAV_Modell!$G$6:$G$677,0)))</f>
        <v>0</v>
      </c>
      <c r="D870" s="57">
        <f>IF($A870="","",IF(_xlfn.XLOOKUP($A870,Korrelation!$D$4:$D$1197,Korrelation!G$4:G$1197,"-",0)="-",0,MATCH(_xlfn.XLOOKUP($A870,Korrelation!$D$4:$D$1197,Korrelation!G$4:G$1197,"",0),DMAV_Modell!$G$6:$G$677,0)))</f>
        <v>0</v>
      </c>
      <c r="E870" s="57">
        <f>IF($A870="","",IF(_xlfn.XLOOKUP($A870,Korrelation!$D$4:$D$1197,Korrelation!H$4:H$1197,"-",0)="-",0,MATCH(_xlfn.XLOOKUP($A870,Korrelation!$D$4:$D$1197,Korrelation!H$4:H$1197,"",0),DMAV_Dienste!$F$6:$F$140,0)))</f>
        <v>0</v>
      </c>
      <c r="F870" s="57">
        <f>IF($A870="","",IF(_xlfn.XLOOKUP($A870,Korrelation!$D$4:$D$1197,Korrelation!I$4:I$1197,"-",0)="-",0,MATCH(_xlfn.XLOOKUP($A870,Korrelation!$D$4:$D$1197,Korrelation!I$4:I$1197,"",0),DMAV_Dienste!$F$6:$F$140,0)))</f>
        <v>0</v>
      </c>
      <c r="G870" s="57">
        <f>IF($A870="","",IF(_xlfn.XLOOKUP($A870,Korrelation!$D$4:$D$1197,Korrelation!J$4:J$1197,"-",0)="-",0,MATCH(_xlfn.XLOOKUP($A870,Korrelation!$D$4:$D$1197,Korrelation!J$4:J$1197,"",0),DMAV_Dienste!$F$6:$F$140,0)))</f>
        <v>0</v>
      </c>
      <c r="H870" s="57">
        <f>IF($A870="","",IF(_xlfn.XLOOKUP($A870,Korrelation!$D$4:$D$1197,Korrelation!K$4:K$1197,"-",0)="-",0,MATCH(_xlfn.XLOOKUP($A870,Korrelation!$D$4:$D$1197,Korrelation!K$4:K$1197,"",0),'DM01-AV-CH'!$A$6:$A$834,0)))</f>
        <v>296</v>
      </c>
      <c r="J870" s="54" t="str" cm="1">
        <f t="array" aca="1" ref="J870" ca="1">IF(B870=0,IF(E870=0,"",HYPERLINK("#"&amp;RIGHT(CELL("adresse",OFFSET(DMAV_Dienste!$M$6,E870-1,0)),LEN(CELL("adresse",OFFSET(DMAV_Dienste!$M$6,E870-1,0)))-FIND("]",CELL("adresse",OFFSET(DMAV_Dienste!$M$6,E870-1,0)))),"Dienst")),HYPERLINK("#"&amp;RIGHT(CELL("adresse",OFFSET(DMAV_Modell!$N$6,B870-1,0)),LEN(CELL("adresse",OFFSET(DMAV_Modell!$N$6,B870-1,0)))-FIND("]",CELL("adresse",OFFSET(DMAV_Modell!$N$6,B870-1,0)))),"Modell"))</f>
        <v>Modell</v>
      </c>
      <c r="K870" s="61" t="str" cm="1">
        <f t="array" ref="K870">IF($B870=0,IF($E870=0,"",IF(INDEX(DMAV_Dienste!P$6:P$140,$E870)="","",INDEX(DMAV_Dienste!P$6:P$140,$E870))),IF(INDEX(DMAV_Modell!Q$6:Q$838,$B870)="","",INDEX(DMAV_Modell!Q$6:Q$838,$B870)))</f>
        <v>DOMAIN</v>
      </c>
      <c r="L870" s="62" t="str" cm="1">
        <f t="array" ref="L870">IF($B870=0,IF($E870=0,"",IF(INDEX(DMAV_Dienste!O$6:O$140,$E870)="","",INDEX(DMAV_Dienste!O$6:O$140,$E870))),IF(INDEX(DMAV_Modell!P$6:P$838,$B870)="","",INDEX(DMAV_Modell!P$6:P$838,$B870)))</f>
        <v>Einzelobjekte</v>
      </c>
      <c r="M870" s="62" t="str" cm="1">
        <f t="array" ref="M870">IF($B870=0,IF($E870=0,"",IF(INDEX(DMAV_Dienste!Q$6:Q$140,$E870)="","",INDEX(DMAV_Dienste!Q$6:Q$140,$E870))),IF(INDEX(DMAV_Modell!R$6:R$838,$B870)="","",INDEX(DMAV_Modell!R$6:R$838,$B870)))</f>
        <v>Einzelobjektart</v>
      </c>
      <c r="N870" s="62" t="str" cm="1">
        <f t="array" ref="N870">IF($B870=0,IF($E870=0,"",IF(INDEX(DMAV_Dienste!T$6:T$140,$E870)="","",INDEX(DMAV_Dienste!T$6:T$140,$E870))),IF(INDEX(DMAV_Modell!U$6:U$838,$B870)="","",INDEX(DMAV_Modell!U$6:U$838,$B870)))</f>
        <v/>
      </c>
      <c r="O870" s="63" t="str" cm="1">
        <f t="array" aca="1" ref="O870" ca="1">IF(C870=0,IF(F870=0,"",HYPERLINK("#"&amp;RIGHT(CELL("adresse",OFFSET(DMAV_Dienste!$M$6,F870-1,0)),LEN(CELL("adresse",OFFSET(DMAV_Dienste!$M$6,F870-1,0)))-FIND("]",CELL("adresse",OFFSET(DMAV_Dienste!$M$6,F870-1,0)))),"Structure")),HYPERLINK("#"&amp;RIGHT(CELL("adresse",OFFSET(DMAV_Modell!$N$6,C870-1,0)),LEN(CELL("adresse",OFFSET(DMAV_Modell!$N$6,C870-1,0)))-FIND("]",CELL("adresse",OFFSET(DMAV_Modell!$N$6,C870-1,0)))),"Structure"))</f>
        <v/>
      </c>
      <c r="P870" s="64" t="str" cm="1">
        <f t="array" aca="1" ref="P870" ca="1">IF(D870=0,IF(G870=0,"",HYPERLINK("#"&amp;RIGHT(CELL("adresse",OFFSET(DMAV_Dienste!$M$6,G870-1,0)),LEN(CELL("adresse",OFFSET(DMAV_Dienste!$M$6,G870-1,0)))-FIND("]",CELL("adresse",OFFSET(DMAV_Dienste!$M$6,G870-1,0)))),"Substructure")),HYPERLINK("#"&amp;RIGHT(CELL("adresse",OFFSET(DMAV_Modell!$N$6,D870-1,0)),LEN(CELL("adresse",OFFSET(DMAV_Modell!$N$6,D870-1,0)))-FIND("]",CELL("adresse",OFFSET(DMAV_Modell!$N$6,D870-1,0)))),"Substructure"))</f>
        <v/>
      </c>
      <c r="R870" s="80"/>
      <c r="T870" s="93"/>
      <c r="U870" s="94"/>
      <c r="V870" s="95"/>
      <c r="W870" s="96"/>
      <c r="Y870" s="85"/>
      <c r="Z870" s="86"/>
      <c r="AA870" s="87"/>
      <c r="AB870" s="88"/>
      <c r="AD870" s="77"/>
      <c r="AF870" s="54" t="str" cm="1">
        <f t="array" aca="1" ref="AF870" ca="1">IF(H870=0,"",HYPERLINK("#"&amp;RIGHT(CELL("adresse",OFFSET('DM01-AV-CH'!$G$6,H870-1,0)),LEN(CELL("adresse",OFFSET('DM01-AV-CH'!$G$6,H870-1,0)))-FIND("]",CELL("adresse",OFFSET('DM01-AV-CH'!$G$6,H870-1,0)))),"Modell"))</f>
        <v>Modell</v>
      </c>
      <c r="AG870" s="72" t="str" cm="1">
        <f t="array" ref="AG870">IF($H870=0,"",IF(INDEX('DM01-AV-CH'!G$6:G$834,$H870)="","",INDEX('DM01-AV-CH'!G$6:G$834,$H870)))</f>
        <v>Einzelobjekte</v>
      </c>
      <c r="AH870" s="73" t="str" cm="1">
        <f t="array" ref="AH870">IF($H870=0,"",IF(INDEX('DM01-AV-CH'!H$6:H$834,$H870)="","",INDEX('DM01-AV-CH'!H$6:H$834,$H870)))</f>
        <v/>
      </c>
      <c r="AI870" s="74" t="str" cm="1">
        <f t="array" ref="AI870">IF($H870=0,"",IF(INDEX('DM01-AV-CH'!I$6:I$834,$H870)="","",INDEX('DM01-AV-CH'!I$6:I$834,$H870)))</f>
        <v>EOArt</v>
      </c>
    </row>
    <row r="871" spans="1:35" x14ac:dyDescent="0.25">
      <c r="A871" s="57">
        <v>866</v>
      </c>
      <c r="B871" s="57">
        <f>IF($A871="","",IF(_xlfn.XLOOKUP($A871,Korrelation!$D$4:$D$1197,Korrelation!E$4:E$1197,"-",0)="-",0,MATCH(_xlfn.XLOOKUP($A871,Korrelation!$D$4:$D$1197,Korrelation!E$4:E$1197,"",0),DMAV_Modell!$G$6:$G$677,0)))</f>
        <v>499</v>
      </c>
      <c r="C871" s="57">
        <f>IF($A871="","",IF(_xlfn.XLOOKUP($A871,Korrelation!$D$4:$D$1197,Korrelation!F$4:F$1197,"-",0)="-",0,MATCH(_xlfn.XLOOKUP($A871,Korrelation!$D$4:$D$1197,Korrelation!F$4:F$1197,"",0),DMAV_Modell!$G$6:$G$677,0)))</f>
        <v>0</v>
      </c>
      <c r="D871" s="57">
        <f>IF($A871="","",IF(_xlfn.XLOOKUP($A871,Korrelation!$D$4:$D$1197,Korrelation!G$4:G$1197,"-",0)="-",0,MATCH(_xlfn.XLOOKUP($A871,Korrelation!$D$4:$D$1197,Korrelation!G$4:G$1197,"",0),DMAV_Modell!$G$6:$G$677,0)))</f>
        <v>0</v>
      </c>
      <c r="E871" s="57">
        <f>IF($A871="","",IF(_xlfn.XLOOKUP($A871,Korrelation!$D$4:$D$1197,Korrelation!H$4:H$1197,"-",0)="-",0,MATCH(_xlfn.XLOOKUP($A871,Korrelation!$D$4:$D$1197,Korrelation!H$4:H$1197,"",0),DMAV_Dienste!$F$6:$F$140,0)))</f>
        <v>0</v>
      </c>
      <c r="F871" s="57">
        <f>IF($A871="","",IF(_xlfn.XLOOKUP($A871,Korrelation!$D$4:$D$1197,Korrelation!I$4:I$1197,"-",0)="-",0,MATCH(_xlfn.XLOOKUP($A871,Korrelation!$D$4:$D$1197,Korrelation!I$4:I$1197,"",0),DMAV_Dienste!$F$6:$F$140,0)))</f>
        <v>0</v>
      </c>
      <c r="G871" s="57">
        <f>IF($A871="","",IF(_xlfn.XLOOKUP($A871,Korrelation!$D$4:$D$1197,Korrelation!J$4:J$1197,"-",0)="-",0,MATCH(_xlfn.XLOOKUP($A871,Korrelation!$D$4:$D$1197,Korrelation!J$4:J$1197,"",0),DMAV_Dienste!$F$6:$F$140,0)))</f>
        <v>0</v>
      </c>
      <c r="H871" s="57">
        <f>IF($A871="","",IF(_xlfn.XLOOKUP($A871,Korrelation!$D$4:$D$1197,Korrelation!K$4:K$1197,"-",0)="-",0,MATCH(_xlfn.XLOOKUP($A871,Korrelation!$D$4:$D$1197,Korrelation!K$4:K$1197,"",0),'DM01-AV-CH'!$A$6:$A$834,0)))</f>
        <v>297</v>
      </c>
      <c r="J871" s="54" t="str" cm="1">
        <f t="array" aca="1" ref="J871" ca="1">IF(B871=0,IF(E871=0,"",HYPERLINK("#"&amp;RIGHT(CELL("adresse",OFFSET(DMAV_Dienste!$M$6,E871-1,0)),LEN(CELL("adresse",OFFSET(DMAV_Dienste!$M$6,E871-1,0)))-FIND("]",CELL("adresse",OFFSET(DMAV_Dienste!$M$6,E871-1,0)))),"Dienst")),HYPERLINK("#"&amp;RIGHT(CELL("adresse",OFFSET(DMAV_Modell!$N$6,B871-1,0)),LEN(CELL("adresse",OFFSET(DMAV_Modell!$N$6,B871-1,0)))-FIND("]",CELL("adresse",OFFSET(DMAV_Modell!$N$6,B871-1,0)))),"Modell"))</f>
        <v>Modell</v>
      </c>
      <c r="K871" s="61" t="str" cm="1">
        <f t="array" ref="K871">IF($B871=0,IF($E871=0,"",IF(INDEX(DMAV_Dienste!P$6:P$140,$E871)="","",INDEX(DMAV_Dienste!P$6:P$140,$E871))),IF(INDEX(DMAV_Modell!Q$6:Q$838,$B871)="","",INDEX(DMAV_Modell!Q$6:Q$838,$B871)))</f>
        <v>DOMAIN</v>
      </c>
      <c r="L871" s="62" t="str" cm="1">
        <f t="array" ref="L871">IF($B871=0,IF($E871=0,"",IF(INDEX(DMAV_Dienste!O$6:O$140,$E871)="","",INDEX(DMAV_Dienste!O$6:O$140,$E871))),IF(INDEX(DMAV_Modell!P$6:P$838,$B871)="","",INDEX(DMAV_Modell!P$6:P$838,$B871)))</f>
        <v>Einzelobjekte</v>
      </c>
      <c r="M871" s="62" t="str" cm="1">
        <f t="array" ref="M871">IF($B871=0,IF($E871=0,"",IF(INDEX(DMAV_Dienste!Q$6:Q$140,$E871)="","",INDEX(DMAV_Dienste!Q$6:Q$140,$E871))),IF(INDEX(DMAV_Modell!R$6:R$838,$B871)="","",INDEX(DMAV_Modell!R$6:R$838,$B871)))</f>
        <v>Einzelobjektart</v>
      </c>
      <c r="N871" s="62" t="str" cm="1">
        <f t="array" ref="N871">IF($B871=0,IF($E871=0,"",IF(INDEX(DMAV_Dienste!T$6:T$140,$E871)="","",INDEX(DMAV_Dienste!T$6:T$140,$E871))),IF(INDEX(DMAV_Modell!U$6:U$838,$B871)="","",INDEX(DMAV_Modell!U$6:U$838,$B871)))</f>
        <v/>
      </c>
      <c r="O871" s="63" t="str" cm="1">
        <f t="array" aca="1" ref="O871" ca="1">IF(C871=0,IF(F871=0,"",HYPERLINK("#"&amp;RIGHT(CELL("adresse",OFFSET(DMAV_Dienste!$M$6,F871-1,0)),LEN(CELL("adresse",OFFSET(DMAV_Dienste!$M$6,F871-1,0)))-FIND("]",CELL("adresse",OFFSET(DMAV_Dienste!$M$6,F871-1,0)))),"Structure")),HYPERLINK("#"&amp;RIGHT(CELL("adresse",OFFSET(DMAV_Modell!$N$6,C871-1,0)),LEN(CELL("adresse",OFFSET(DMAV_Modell!$N$6,C871-1,0)))-FIND("]",CELL("adresse",OFFSET(DMAV_Modell!$N$6,C871-1,0)))),"Structure"))</f>
        <v/>
      </c>
      <c r="P871" s="64" t="str" cm="1">
        <f t="array" aca="1" ref="P871" ca="1">IF(D871=0,IF(G871=0,"",HYPERLINK("#"&amp;RIGHT(CELL("adresse",OFFSET(DMAV_Dienste!$M$6,G871-1,0)),LEN(CELL("adresse",OFFSET(DMAV_Dienste!$M$6,G871-1,0)))-FIND("]",CELL("adresse",OFFSET(DMAV_Dienste!$M$6,G871-1,0)))),"Substructure")),HYPERLINK("#"&amp;RIGHT(CELL("adresse",OFFSET(DMAV_Modell!$N$6,D871-1,0)),LEN(CELL("adresse",OFFSET(DMAV_Modell!$N$6,D871-1,0)))-FIND("]",CELL("adresse",OFFSET(DMAV_Modell!$N$6,D871-1,0)))),"Substructure"))</f>
        <v/>
      </c>
      <c r="R871" s="80"/>
      <c r="T871" s="93"/>
      <c r="U871" s="94"/>
      <c r="V871" s="95"/>
      <c r="W871" s="96"/>
      <c r="Y871" s="85"/>
      <c r="Z871" s="86"/>
      <c r="AA871" s="87"/>
      <c r="AB871" s="88"/>
      <c r="AD871" s="77"/>
      <c r="AF871" s="54" t="str" cm="1">
        <f t="array" aca="1" ref="AF871" ca="1">IF(H871=0,"",HYPERLINK("#"&amp;RIGHT(CELL("adresse",OFFSET('DM01-AV-CH'!$G$6,H871-1,0)),LEN(CELL("adresse",OFFSET('DM01-AV-CH'!$G$6,H871-1,0)))-FIND("]",CELL("adresse",OFFSET('DM01-AV-CH'!$G$6,H871-1,0)))),"Modell"))</f>
        <v>Modell</v>
      </c>
      <c r="AG871" s="72" t="str" cm="1">
        <f t="array" ref="AG871">IF($H871=0,"",IF(INDEX('DM01-AV-CH'!G$6:G$834,$H871)="","",INDEX('DM01-AV-CH'!G$6:G$834,$H871)))</f>
        <v>Einzelobjekte</v>
      </c>
      <c r="AH871" s="73" t="str" cm="1">
        <f t="array" ref="AH871">IF($H871=0,"",IF(INDEX('DM01-AV-CH'!H$6:H$834,$H871)="","",INDEX('DM01-AV-CH'!H$6:H$834,$H871)))</f>
        <v/>
      </c>
      <c r="AI871" s="74" t="str" cm="1">
        <f t="array" ref="AI871">IF($H871=0,"",IF(INDEX('DM01-AV-CH'!I$6:I$834,$H871)="","",INDEX('DM01-AV-CH'!I$6:I$834,$H871)))</f>
        <v>EOArt</v>
      </c>
    </row>
    <row r="872" spans="1:35" x14ac:dyDescent="0.25">
      <c r="A872" s="57">
        <v>867</v>
      </c>
      <c r="B872" s="57">
        <f>IF($A872="","",IF(_xlfn.XLOOKUP($A872,Korrelation!$D$4:$D$1197,Korrelation!E$4:E$1197,"-",0)="-",0,MATCH(_xlfn.XLOOKUP($A872,Korrelation!$D$4:$D$1197,Korrelation!E$4:E$1197,"",0),DMAV_Modell!$G$6:$G$677,0)))</f>
        <v>500</v>
      </c>
      <c r="C872" s="57">
        <f>IF($A872="","",IF(_xlfn.XLOOKUP($A872,Korrelation!$D$4:$D$1197,Korrelation!F$4:F$1197,"-",0)="-",0,MATCH(_xlfn.XLOOKUP($A872,Korrelation!$D$4:$D$1197,Korrelation!F$4:F$1197,"",0),DMAV_Modell!$G$6:$G$677,0)))</f>
        <v>0</v>
      </c>
      <c r="D872" s="57">
        <f>IF($A872="","",IF(_xlfn.XLOOKUP($A872,Korrelation!$D$4:$D$1197,Korrelation!G$4:G$1197,"-",0)="-",0,MATCH(_xlfn.XLOOKUP($A872,Korrelation!$D$4:$D$1197,Korrelation!G$4:G$1197,"",0),DMAV_Modell!$G$6:$G$677,0)))</f>
        <v>0</v>
      </c>
      <c r="E872" s="57">
        <f>IF($A872="","",IF(_xlfn.XLOOKUP($A872,Korrelation!$D$4:$D$1197,Korrelation!H$4:H$1197,"-",0)="-",0,MATCH(_xlfn.XLOOKUP($A872,Korrelation!$D$4:$D$1197,Korrelation!H$4:H$1197,"",0),DMAV_Dienste!$F$6:$F$140,0)))</f>
        <v>0</v>
      </c>
      <c r="F872" s="57">
        <f>IF($A872="","",IF(_xlfn.XLOOKUP($A872,Korrelation!$D$4:$D$1197,Korrelation!I$4:I$1197,"-",0)="-",0,MATCH(_xlfn.XLOOKUP($A872,Korrelation!$D$4:$D$1197,Korrelation!I$4:I$1197,"",0),DMAV_Dienste!$F$6:$F$140,0)))</f>
        <v>0</v>
      </c>
      <c r="G872" s="57">
        <f>IF($A872="","",IF(_xlfn.XLOOKUP($A872,Korrelation!$D$4:$D$1197,Korrelation!J$4:J$1197,"-",0)="-",0,MATCH(_xlfn.XLOOKUP($A872,Korrelation!$D$4:$D$1197,Korrelation!J$4:J$1197,"",0),DMAV_Dienste!$F$6:$F$140,0)))</f>
        <v>0</v>
      </c>
      <c r="H872" s="57">
        <f>IF($A872="","",IF(_xlfn.XLOOKUP($A872,Korrelation!$D$4:$D$1197,Korrelation!K$4:K$1197,"-",0)="-",0,MATCH(_xlfn.XLOOKUP($A872,Korrelation!$D$4:$D$1197,Korrelation!K$4:K$1197,"",0),'DM01-AV-CH'!$A$6:$A$834,0)))</f>
        <v>298</v>
      </c>
      <c r="J872" s="54" t="str" cm="1">
        <f t="array" aca="1" ref="J872" ca="1">IF(B872=0,IF(E872=0,"",HYPERLINK("#"&amp;RIGHT(CELL("adresse",OFFSET(DMAV_Dienste!$M$6,E872-1,0)),LEN(CELL("adresse",OFFSET(DMAV_Dienste!$M$6,E872-1,0)))-FIND("]",CELL("adresse",OFFSET(DMAV_Dienste!$M$6,E872-1,0)))),"Dienst")),HYPERLINK("#"&amp;RIGHT(CELL("adresse",OFFSET(DMAV_Modell!$N$6,B872-1,0)),LEN(CELL("adresse",OFFSET(DMAV_Modell!$N$6,B872-1,0)))-FIND("]",CELL("adresse",OFFSET(DMAV_Modell!$N$6,B872-1,0)))),"Modell"))</f>
        <v>Modell</v>
      </c>
      <c r="K872" s="61" t="str" cm="1">
        <f t="array" ref="K872">IF($B872=0,IF($E872=0,"",IF(INDEX(DMAV_Dienste!P$6:P$140,$E872)="","",INDEX(DMAV_Dienste!P$6:P$140,$E872))),IF(INDEX(DMAV_Modell!Q$6:Q$838,$B872)="","",INDEX(DMAV_Modell!Q$6:Q$838,$B872)))</f>
        <v>DOMAIN</v>
      </c>
      <c r="L872" s="62" t="str" cm="1">
        <f t="array" ref="L872">IF($B872=0,IF($E872=0,"",IF(INDEX(DMAV_Dienste!O$6:O$140,$E872)="","",INDEX(DMAV_Dienste!O$6:O$140,$E872))),IF(INDEX(DMAV_Modell!P$6:P$838,$B872)="","",INDEX(DMAV_Modell!P$6:P$838,$B872)))</f>
        <v>Einzelobjekte</v>
      </c>
      <c r="M872" s="62" t="str" cm="1">
        <f t="array" ref="M872">IF($B872=0,IF($E872=0,"",IF(INDEX(DMAV_Dienste!Q$6:Q$140,$E872)="","",INDEX(DMAV_Dienste!Q$6:Q$140,$E872))),IF(INDEX(DMAV_Modell!R$6:R$838,$B872)="","",INDEX(DMAV_Modell!R$6:R$838,$B872)))</f>
        <v>Einzelobjektart</v>
      </c>
      <c r="N872" s="62" t="str" cm="1">
        <f t="array" ref="N872">IF($B872=0,IF($E872=0,"",IF(INDEX(DMAV_Dienste!T$6:T$140,$E872)="","",INDEX(DMAV_Dienste!T$6:T$140,$E872))),IF(INDEX(DMAV_Modell!U$6:U$838,$B872)="","",INDEX(DMAV_Modell!U$6:U$838,$B872)))</f>
        <v/>
      </c>
      <c r="O872" s="63" t="str" cm="1">
        <f t="array" aca="1" ref="O872" ca="1">IF(C872=0,IF(F872=0,"",HYPERLINK("#"&amp;RIGHT(CELL("adresse",OFFSET(DMAV_Dienste!$M$6,F872-1,0)),LEN(CELL("adresse",OFFSET(DMAV_Dienste!$M$6,F872-1,0)))-FIND("]",CELL("adresse",OFFSET(DMAV_Dienste!$M$6,F872-1,0)))),"Structure")),HYPERLINK("#"&amp;RIGHT(CELL("adresse",OFFSET(DMAV_Modell!$N$6,C872-1,0)),LEN(CELL("adresse",OFFSET(DMAV_Modell!$N$6,C872-1,0)))-FIND("]",CELL("adresse",OFFSET(DMAV_Modell!$N$6,C872-1,0)))),"Structure"))</f>
        <v/>
      </c>
      <c r="P872" s="64" t="str" cm="1">
        <f t="array" aca="1" ref="P872" ca="1">IF(D872=0,IF(G872=0,"",HYPERLINK("#"&amp;RIGHT(CELL("adresse",OFFSET(DMAV_Dienste!$M$6,G872-1,0)),LEN(CELL("adresse",OFFSET(DMAV_Dienste!$M$6,G872-1,0)))-FIND("]",CELL("adresse",OFFSET(DMAV_Dienste!$M$6,G872-1,0)))),"Substructure")),HYPERLINK("#"&amp;RIGHT(CELL("adresse",OFFSET(DMAV_Modell!$N$6,D872-1,0)),LEN(CELL("adresse",OFFSET(DMAV_Modell!$N$6,D872-1,0)))-FIND("]",CELL("adresse",OFFSET(DMAV_Modell!$N$6,D872-1,0)))),"Substructure"))</f>
        <v/>
      </c>
      <c r="R872" s="80"/>
      <c r="T872" s="93"/>
      <c r="U872" s="94"/>
      <c r="V872" s="95"/>
      <c r="W872" s="96"/>
      <c r="Y872" s="85"/>
      <c r="Z872" s="86"/>
      <c r="AA872" s="87"/>
      <c r="AB872" s="88"/>
      <c r="AD872" s="77"/>
      <c r="AF872" s="54" t="str" cm="1">
        <f t="array" aca="1" ref="AF872" ca="1">IF(H872=0,"",HYPERLINK("#"&amp;RIGHT(CELL("adresse",OFFSET('DM01-AV-CH'!$G$6,H872-1,0)),LEN(CELL("adresse",OFFSET('DM01-AV-CH'!$G$6,H872-1,0)))-FIND("]",CELL("adresse",OFFSET('DM01-AV-CH'!$G$6,H872-1,0)))),"Modell"))</f>
        <v>Modell</v>
      </c>
      <c r="AG872" s="72" t="str" cm="1">
        <f t="array" ref="AG872">IF($H872=0,"",IF(INDEX('DM01-AV-CH'!G$6:G$834,$H872)="","",INDEX('DM01-AV-CH'!G$6:G$834,$H872)))</f>
        <v>Einzelobjekte</v>
      </c>
      <c r="AH872" s="73" t="str" cm="1">
        <f t="array" ref="AH872">IF($H872=0,"",IF(INDEX('DM01-AV-CH'!H$6:H$834,$H872)="","",INDEX('DM01-AV-CH'!H$6:H$834,$H872)))</f>
        <v/>
      </c>
      <c r="AI872" s="74" t="str" cm="1">
        <f t="array" ref="AI872">IF($H872=0,"",IF(INDEX('DM01-AV-CH'!I$6:I$834,$H872)="","",INDEX('DM01-AV-CH'!I$6:I$834,$H872)))</f>
        <v>EOArt</v>
      </c>
    </row>
    <row r="873" spans="1:35" x14ac:dyDescent="0.25">
      <c r="A873" s="57">
        <v>868</v>
      </c>
      <c r="B873" s="57">
        <f>IF($A873="","",IF(_xlfn.XLOOKUP($A873,Korrelation!$D$4:$D$1197,Korrelation!E$4:E$1197,"-",0)="-",0,MATCH(_xlfn.XLOOKUP($A873,Korrelation!$D$4:$D$1197,Korrelation!E$4:E$1197,"",0),DMAV_Modell!$G$6:$G$677,0)))</f>
        <v>501</v>
      </c>
      <c r="C873" s="57">
        <f>IF($A873="","",IF(_xlfn.XLOOKUP($A873,Korrelation!$D$4:$D$1197,Korrelation!F$4:F$1197,"-",0)="-",0,MATCH(_xlfn.XLOOKUP($A873,Korrelation!$D$4:$D$1197,Korrelation!F$4:F$1197,"",0),DMAV_Modell!$G$6:$G$677,0)))</f>
        <v>0</v>
      </c>
      <c r="D873" s="57">
        <f>IF($A873="","",IF(_xlfn.XLOOKUP($A873,Korrelation!$D$4:$D$1197,Korrelation!G$4:G$1197,"-",0)="-",0,MATCH(_xlfn.XLOOKUP($A873,Korrelation!$D$4:$D$1197,Korrelation!G$4:G$1197,"",0),DMAV_Modell!$G$6:$G$677,0)))</f>
        <v>0</v>
      </c>
      <c r="E873" s="57">
        <f>IF($A873="","",IF(_xlfn.XLOOKUP($A873,Korrelation!$D$4:$D$1197,Korrelation!H$4:H$1197,"-",0)="-",0,MATCH(_xlfn.XLOOKUP($A873,Korrelation!$D$4:$D$1197,Korrelation!H$4:H$1197,"",0),DMAV_Dienste!$F$6:$F$140,0)))</f>
        <v>0</v>
      </c>
      <c r="F873" s="57">
        <f>IF($A873="","",IF(_xlfn.XLOOKUP($A873,Korrelation!$D$4:$D$1197,Korrelation!I$4:I$1197,"-",0)="-",0,MATCH(_xlfn.XLOOKUP($A873,Korrelation!$D$4:$D$1197,Korrelation!I$4:I$1197,"",0),DMAV_Dienste!$F$6:$F$140,0)))</f>
        <v>0</v>
      </c>
      <c r="G873" s="57">
        <f>IF($A873="","",IF(_xlfn.XLOOKUP($A873,Korrelation!$D$4:$D$1197,Korrelation!J$4:J$1197,"-",0)="-",0,MATCH(_xlfn.XLOOKUP($A873,Korrelation!$D$4:$D$1197,Korrelation!J$4:J$1197,"",0),DMAV_Dienste!$F$6:$F$140,0)))</f>
        <v>0</v>
      </c>
      <c r="H873" s="57">
        <f>IF($A873="","",IF(_xlfn.XLOOKUP($A873,Korrelation!$D$4:$D$1197,Korrelation!K$4:K$1197,"-",0)="-",0,MATCH(_xlfn.XLOOKUP($A873,Korrelation!$D$4:$D$1197,Korrelation!K$4:K$1197,"",0),'DM01-AV-CH'!$A$6:$A$834,0)))</f>
        <v>299</v>
      </c>
      <c r="J873" s="54" t="str" cm="1">
        <f t="array" aca="1" ref="J873" ca="1">IF(B873=0,IF(E873=0,"",HYPERLINK("#"&amp;RIGHT(CELL("adresse",OFFSET(DMAV_Dienste!$M$6,E873-1,0)),LEN(CELL("adresse",OFFSET(DMAV_Dienste!$M$6,E873-1,0)))-FIND("]",CELL("adresse",OFFSET(DMAV_Dienste!$M$6,E873-1,0)))),"Dienst")),HYPERLINK("#"&amp;RIGHT(CELL("adresse",OFFSET(DMAV_Modell!$N$6,B873-1,0)),LEN(CELL("adresse",OFFSET(DMAV_Modell!$N$6,B873-1,0)))-FIND("]",CELL("adresse",OFFSET(DMAV_Modell!$N$6,B873-1,0)))),"Modell"))</f>
        <v>Modell</v>
      </c>
      <c r="K873" s="61" t="str" cm="1">
        <f t="array" ref="K873">IF($B873=0,IF($E873=0,"",IF(INDEX(DMAV_Dienste!P$6:P$140,$E873)="","",INDEX(DMAV_Dienste!P$6:P$140,$E873))),IF(INDEX(DMAV_Modell!Q$6:Q$838,$B873)="","",INDEX(DMAV_Modell!Q$6:Q$838,$B873)))</f>
        <v>DOMAIN</v>
      </c>
      <c r="L873" s="62" t="str" cm="1">
        <f t="array" ref="L873">IF($B873=0,IF($E873=0,"",IF(INDEX(DMAV_Dienste!O$6:O$140,$E873)="","",INDEX(DMAV_Dienste!O$6:O$140,$E873))),IF(INDEX(DMAV_Modell!P$6:P$838,$B873)="","",INDEX(DMAV_Modell!P$6:P$838,$B873)))</f>
        <v>Einzelobjekte</v>
      </c>
      <c r="M873" s="62" t="str" cm="1">
        <f t="array" ref="M873">IF($B873=0,IF($E873=0,"",IF(INDEX(DMAV_Dienste!Q$6:Q$140,$E873)="","",INDEX(DMAV_Dienste!Q$6:Q$140,$E873))),IF(INDEX(DMAV_Modell!R$6:R$838,$B873)="","",INDEX(DMAV_Modell!R$6:R$838,$B873)))</f>
        <v>Einzelobjektart</v>
      </c>
      <c r="N873" s="62" t="str" cm="1">
        <f t="array" ref="N873">IF($B873=0,IF($E873=0,"",IF(INDEX(DMAV_Dienste!T$6:T$140,$E873)="","",INDEX(DMAV_Dienste!T$6:T$140,$E873))),IF(INDEX(DMAV_Modell!U$6:U$838,$B873)="","",INDEX(DMAV_Modell!U$6:U$838,$B873)))</f>
        <v/>
      </c>
      <c r="O873" s="63" t="str" cm="1">
        <f t="array" aca="1" ref="O873" ca="1">IF(C873=0,IF(F873=0,"",HYPERLINK("#"&amp;RIGHT(CELL("adresse",OFFSET(DMAV_Dienste!$M$6,F873-1,0)),LEN(CELL("adresse",OFFSET(DMAV_Dienste!$M$6,F873-1,0)))-FIND("]",CELL("adresse",OFFSET(DMAV_Dienste!$M$6,F873-1,0)))),"Structure")),HYPERLINK("#"&amp;RIGHT(CELL("adresse",OFFSET(DMAV_Modell!$N$6,C873-1,0)),LEN(CELL("adresse",OFFSET(DMAV_Modell!$N$6,C873-1,0)))-FIND("]",CELL("adresse",OFFSET(DMAV_Modell!$N$6,C873-1,0)))),"Structure"))</f>
        <v/>
      </c>
      <c r="P873" s="64" t="str" cm="1">
        <f t="array" aca="1" ref="P873" ca="1">IF(D873=0,IF(G873=0,"",HYPERLINK("#"&amp;RIGHT(CELL("adresse",OFFSET(DMAV_Dienste!$M$6,G873-1,0)),LEN(CELL("adresse",OFFSET(DMAV_Dienste!$M$6,G873-1,0)))-FIND("]",CELL("adresse",OFFSET(DMAV_Dienste!$M$6,G873-1,0)))),"Substructure")),HYPERLINK("#"&amp;RIGHT(CELL("adresse",OFFSET(DMAV_Modell!$N$6,D873-1,0)),LEN(CELL("adresse",OFFSET(DMAV_Modell!$N$6,D873-1,0)))-FIND("]",CELL("adresse",OFFSET(DMAV_Modell!$N$6,D873-1,0)))),"Substructure"))</f>
        <v/>
      </c>
      <c r="R873" s="80"/>
      <c r="T873" s="93"/>
      <c r="U873" s="94"/>
      <c r="V873" s="95"/>
      <c r="W873" s="96"/>
      <c r="Y873" s="85"/>
      <c r="Z873" s="86"/>
      <c r="AA873" s="87"/>
      <c r="AB873" s="88"/>
      <c r="AD873" s="77"/>
      <c r="AF873" s="54" t="str" cm="1">
        <f t="array" aca="1" ref="AF873" ca="1">IF(H873=0,"",HYPERLINK("#"&amp;RIGHT(CELL("adresse",OFFSET('DM01-AV-CH'!$G$6,H873-1,0)),LEN(CELL("adresse",OFFSET('DM01-AV-CH'!$G$6,H873-1,0)))-FIND("]",CELL("adresse",OFFSET('DM01-AV-CH'!$G$6,H873-1,0)))),"Modell"))</f>
        <v>Modell</v>
      </c>
      <c r="AG873" s="72" t="str" cm="1">
        <f t="array" ref="AG873">IF($H873=0,"",IF(INDEX('DM01-AV-CH'!G$6:G$834,$H873)="","",INDEX('DM01-AV-CH'!G$6:G$834,$H873)))</f>
        <v>Einzelobjekte</v>
      </c>
      <c r="AH873" s="73" t="str" cm="1">
        <f t="array" ref="AH873">IF($H873=0,"",IF(INDEX('DM01-AV-CH'!H$6:H$834,$H873)="","",INDEX('DM01-AV-CH'!H$6:H$834,$H873)))</f>
        <v/>
      </c>
      <c r="AI873" s="74" t="str" cm="1">
        <f t="array" ref="AI873">IF($H873=0,"",IF(INDEX('DM01-AV-CH'!I$6:I$834,$H873)="","",INDEX('DM01-AV-CH'!I$6:I$834,$H873)))</f>
        <v>EOArt</v>
      </c>
    </row>
    <row r="874" spans="1:35" x14ac:dyDescent="0.25">
      <c r="A874" s="57">
        <v>869</v>
      </c>
      <c r="B874" s="57">
        <f>IF($A874="","",IF(_xlfn.XLOOKUP($A874,Korrelation!$D$4:$D$1197,Korrelation!E$4:E$1197,"-",0)="-",0,MATCH(_xlfn.XLOOKUP($A874,Korrelation!$D$4:$D$1197,Korrelation!E$4:E$1197,"",0),DMAV_Modell!$G$6:$G$677,0)))</f>
        <v>502</v>
      </c>
      <c r="C874" s="57">
        <f>IF($A874="","",IF(_xlfn.XLOOKUP($A874,Korrelation!$D$4:$D$1197,Korrelation!F$4:F$1197,"-",0)="-",0,MATCH(_xlfn.XLOOKUP($A874,Korrelation!$D$4:$D$1197,Korrelation!F$4:F$1197,"",0),DMAV_Modell!$G$6:$G$677,0)))</f>
        <v>0</v>
      </c>
      <c r="D874" s="57">
        <f>IF($A874="","",IF(_xlfn.XLOOKUP($A874,Korrelation!$D$4:$D$1197,Korrelation!G$4:G$1197,"-",0)="-",0,MATCH(_xlfn.XLOOKUP($A874,Korrelation!$D$4:$D$1197,Korrelation!G$4:G$1197,"",0),DMAV_Modell!$G$6:$G$677,0)))</f>
        <v>0</v>
      </c>
      <c r="E874" s="57">
        <f>IF($A874="","",IF(_xlfn.XLOOKUP($A874,Korrelation!$D$4:$D$1197,Korrelation!H$4:H$1197,"-",0)="-",0,MATCH(_xlfn.XLOOKUP($A874,Korrelation!$D$4:$D$1197,Korrelation!H$4:H$1197,"",0),DMAV_Dienste!$F$6:$F$140,0)))</f>
        <v>0</v>
      </c>
      <c r="F874" s="57">
        <f>IF($A874="","",IF(_xlfn.XLOOKUP($A874,Korrelation!$D$4:$D$1197,Korrelation!I$4:I$1197,"-",0)="-",0,MATCH(_xlfn.XLOOKUP($A874,Korrelation!$D$4:$D$1197,Korrelation!I$4:I$1197,"",0),DMAV_Dienste!$F$6:$F$140,0)))</f>
        <v>0</v>
      </c>
      <c r="G874" s="57">
        <f>IF($A874="","",IF(_xlfn.XLOOKUP($A874,Korrelation!$D$4:$D$1197,Korrelation!J$4:J$1197,"-",0)="-",0,MATCH(_xlfn.XLOOKUP($A874,Korrelation!$D$4:$D$1197,Korrelation!J$4:J$1197,"",0),DMAV_Dienste!$F$6:$F$140,0)))</f>
        <v>0</v>
      </c>
      <c r="H874" s="57">
        <f>IF($A874="","",IF(_xlfn.XLOOKUP($A874,Korrelation!$D$4:$D$1197,Korrelation!K$4:K$1197,"-",0)="-",0,MATCH(_xlfn.XLOOKUP($A874,Korrelation!$D$4:$D$1197,Korrelation!K$4:K$1197,"",0),'DM01-AV-CH'!$A$6:$A$834,0)))</f>
        <v>300</v>
      </c>
      <c r="J874" s="54" t="str" cm="1">
        <f t="array" aca="1" ref="J874" ca="1">IF(B874=0,IF(E874=0,"",HYPERLINK("#"&amp;RIGHT(CELL("adresse",OFFSET(DMAV_Dienste!$M$6,E874-1,0)),LEN(CELL("adresse",OFFSET(DMAV_Dienste!$M$6,E874-1,0)))-FIND("]",CELL("adresse",OFFSET(DMAV_Dienste!$M$6,E874-1,0)))),"Dienst")),HYPERLINK("#"&amp;RIGHT(CELL("adresse",OFFSET(DMAV_Modell!$N$6,B874-1,0)),LEN(CELL("adresse",OFFSET(DMAV_Modell!$N$6,B874-1,0)))-FIND("]",CELL("adresse",OFFSET(DMAV_Modell!$N$6,B874-1,0)))),"Modell"))</f>
        <v>Modell</v>
      </c>
      <c r="K874" s="61" t="str" cm="1">
        <f t="array" ref="K874">IF($B874=0,IF($E874=0,"",IF(INDEX(DMAV_Dienste!P$6:P$140,$E874)="","",INDEX(DMAV_Dienste!P$6:P$140,$E874))),IF(INDEX(DMAV_Modell!Q$6:Q$838,$B874)="","",INDEX(DMAV_Modell!Q$6:Q$838,$B874)))</f>
        <v>DOMAIN</v>
      </c>
      <c r="L874" s="62" t="str" cm="1">
        <f t="array" ref="L874">IF($B874=0,IF($E874=0,"",IF(INDEX(DMAV_Dienste!O$6:O$140,$E874)="","",INDEX(DMAV_Dienste!O$6:O$140,$E874))),IF(INDEX(DMAV_Modell!P$6:P$838,$B874)="","",INDEX(DMAV_Modell!P$6:P$838,$B874)))</f>
        <v>Einzelobjekte</v>
      </c>
      <c r="M874" s="62" t="str" cm="1">
        <f t="array" ref="M874">IF($B874=0,IF($E874=0,"",IF(INDEX(DMAV_Dienste!Q$6:Q$140,$E874)="","",INDEX(DMAV_Dienste!Q$6:Q$140,$E874))),IF(INDEX(DMAV_Modell!R$6:R$838,$B874)="","",INDEX(DMAV_Modell!R$6:R$838,$B874)))</f>
        <v>Einzelobjektart</v>
      </c>
      <c r="N874" s="62" t="str" cm="1">
        <f t="array" ref="N874">IF($B874=0,IF($E874=0,"",IF(INDEX(DMAV_Dienste!T$6:T$140,$E874)="","",INDEX(DMAV_Dienste!T$6:T$140,$E874))),IF(INDEX(DMAV_Modell!U$6:U$838,$B874)="","",INDEX(DMAV_Modell!U$6:U$838,$B874)))</f>
        <v/>
      </c>
      <c r="O874" s="63" t="str" cm="1">
        <f t="array" aca="1" ref="O874" ca="1">IF(C874=0,IF(F874=0,"",HYPERLINK("#"&amp;RIGHT(CELL("adresse",OFFSET(DMAV_Dienste!$M$6,F874-1,0)),LEN(CELL("adresse",OFFSET(DMAV_Dienste!$M$6,F874-1,0)))-FIND("]",CELL("adresse",OFFSET(DMAV_Dienste!$M$6,F874-1,0)))),"Structure")),HYPERLINK("#"&amp;RIGHT(CELL("adresse",OFFSET(DMAV_Modell!$N$6,C874-1,0)),LEN(CELL("adresse",OFFSET(DMAV_Modell!$N$6,C874-1,0)))-FIND("]",CELL("adresse",OFFSET(DMAV_Modell!$N$6,C874-1,0)))),"Structure"))</f>
        <v/>
      </c>
      <c r="P874" s="64" t="str" cm="1">
        <f t="array" aca="1" ref="P874" ca="1">IF(D874=0,IF(G874=0,"",HYPERLINK("#"&amp;RIGHT(CELL("adresse",OFFSET(DMAV_Dienste!$M$6,G874-1,0)),LEN(CELL("adresse",OFFSET(DMAV_Dienste!$M$6,G874-1,0)))-FIND("]",CELL("adresse",OFFSET(DMAV_Dienste!$M$6,G874-1,0)))),"Substructure")),HYPERLINK("#"&amp;RIGHT(CELL("adresse",OFFSET(DMAV_Modell!$N$6,D874-1,0)),LEN(CELL("adresse",OFFSET(DMAV_Modell!$N$6,D874-1,0)))-FIND("]",CELL("adresse",OFFSET(DMAV_Modell!$N$6,D874-1,0)))),"Substructure"))</f>
        <v/>
      </c>
      <c r="R874" s="80"/>
      <c r="T874" s="93"/>
      <c r="U874" s="94"/>
      <c r="V874" s="95"/>
      <c r="W874" s="96"/>
      <c r="Y874" s="85"/>
      <c r="Z874" s="86"/>
      <c r="AA874" s="87"/>
      <c r="AB874" s="88"/>
      <c r="AD874" s="77"/>
      <c r="AF874" s="54" t="str" cm="1">
        <f t="array" aca="1" ref="AF874" ca="1">IF(H874=0,"",HYPERLINK("#"&amp;RIGHT(CELL("adresse",OFFSET('DM01-AV-CH'!$G$6,H874-1,0)),LEN(CELL("adresse",OFFSET('DM01-AV-CH'!$G$6,H874-1,0)))-FIND("]",CELL("adresse",OFFSET('DM01-AV-CH'!$G$6,H874-1,0)))),"Modell"))</f>
        <v>Modell</v>
      </c>
      <c r="AG874" s="72" t="str" cm="1">
        <f t="array" ref="AG874">IF($H874=0,"",IF(INDEX('DM01-AV-CH'!G$6:G$834,$H874)="","",INDEX('DM01-AV-CH'!G$6:G$834,$H874)))</f>
        <v>Einzelobjekte</v>
      </c>
      <c r="AH874" s="73" t="str" cm="1">
        <f t="array" ref="AH874">IF($H874=0,"",IF(INDEX('DM01-AV-CH'!H$6:H$834,$H874)="","",INDEX('DM01-AV-CH'!H$6:H$834,$H874)))</f>
        <v/>
      </c>
      <c r="AI874" s="74" t="str" cm="1">
        <f t="array" ref="AI874">IF($H874=0,"",IF(INDEX('DM01-AV-CH'!I$6:I$834,$H874)="","",INDEX('DM01-AV-CH'!I$6:I$834,$H874)))</f>
        <v>EOArt</v>
      </c>
    </row>
    <row r="875" spans="1:35" x14ac:dyDescent="0.25">
      <c r="A875" s="57">
        <v>870</v>
      </c>
      <c r="B875" s="57">
        <f>IF($A875="","",IF(_xlfn.XLOOKUP($A875,Korrelation!$D$4:$D$1197,Korrelation!E$4:E$1197,"-",0)="-",0,MATCH(_xlfn.XLOOKUP($A875,Korrelation!$D$4:$D$1197,Korrelation!E$4:E$1197,"",0),DMAV_Modell!$G$6:$G$677,0)))</f>
        <v>503</v>
      </c>
      <c r="C875" s="57">
        <f>IF($A875="","",IF(_xlfn.XLOOKUP($A875,Korrelation!$D$4:$D$1197,Korrelation!F$4:F$1197,"-",0)="-",0,MATCH(_xlfn.XLOOKUP($A875,Korrelation!$D$4:$D$1197,Korrelation!F$4:F$1197,"",0),DMAV_Modell!$G$6:$G$677,0)))</f>
        <v>0</v>
      </c>
      <c r="D875" s="57">
        <f>IF($A875="","",IF(_xlfn.XLOOKUP($A875,Korrelation!$D$4:$D$1197,Korrelation!G$4:G$1197,"-",0)="-",0,MATCH(_xlfn.XLOOKUP($A875,Korrelation!$D$4:$D$1197,Korrelation!G$4:G$1197,"",0),DMAV_Modell!$G$6:$G$677,0)))</f>
        <v>0</v>
      </c>
      <c r="E875" s="57">
        <f>IF($A875="","",IF(_xlfn.XLOOKUP($A875,Korrelation!$D$4:$D$1197,Korrelation!H$4:H$1197,"-",0)="-",0,MATCH(_xlfn.XLOOKUP($A875,Korrelation!$D$4:$D$1197,Korrelation!H$4:H$1197,"",0),DMAV_Dienste!$F$6:$F$140,0)))</f>
        <v>0</v>
      </c>
      <c r="F875" s="57">
        <f>IF($A875="","",IF(_xlfn.XLOOKUP($A875,Korrelation!$D$4:$D$1197,Korrelation!I$4:I$1197,"-",0)="-",0,MATCH(_xlfn.XLOOKUP($A875,Korrelation!$D$4:$D$1197,Korrelation!I$4:I$1197,"",0),DMAV_Dienste!$F$6:$F$140,0)))</f>
        <v>0</v>
      </c>
      <c r="G875" s="57">
        <f>IF($A875="","",IF(_xlfn.XLOOKUP($A875,Korrelation!$D$4:$D$1197,Korrelation!J$4:J$1197,"-",0)="-",0,MATCH(_xlfn.XLOOKUP($A875,Korrelation!$D$4:$D$1197,Korrelation!J$4:J$1197,"",0),DMAV_Dienste!$F$6:$F$140,0)))</f>
        <v>0</v>
      </c>
      <c r="H875" s="57">
        <f>IF($A875="","",IF(_xlfn.XLOOKUP($A875,Korrelation!$D$4:$D$1197,Korrelation!K$4:K$1197,"-",0)="-",0,MATCH(_xlfn.XLOOKUP($A875,Korrelation!$D$4:$D$1197,Korrelation!K$4:K$1197,"",0),'DM01-AV-CH'!$A$6:$A$834,0)))</f>
        <v>301</v>
      </c>
      <c r="J875" s="54" t="str" cm="1">
        <f t="array" aca="1" ref="J875" ca="1">IF(B875=0,IF(E875=0,"",HYPERLINK("#"&amp;RIGHT(CELL("adresse",OFFSET(DMAV_Dienste!$M$6,E875-1,0)),LEN(CELL("adresse",OFFSET(DMAV_Dienste!$M$6,E875-1,0)))-FIND("]",CELL("adresse",OFFSET(DMAV_Dienste!$M$6,E875-1,0)))),"Dienst")),HYPERLINK("#"&amp;RIGHT(CELL("adresse",OFFSET(DMAV_Modell!$N$6,B875-1,0)),LEN(CELL("adresse",OFFSET(DMAV_Modell!$N$6,B875-1,0)))-FIND("]",CELL("adresse",OFFSET(DMAV_Modell!$N$6,B875-1,0)))),"Modell"))</f>
        <v>Modell</v>
      </c>
      <c r="K875" s="61" t="str" cm="1">
        <f t="array" ref="K875">IF($B875=0,IF($E875=0,"",IF(INDEX(DMAV_Dienste!P$6:P$140,$E875)="","",INDEX(DMAV_Dienste!P$6:P$140,$E875))),IF(INDEX(DMAV_Modell!Q$6:Q$838,$B875)="","",INDEX(DMAV_Modell!Q$6:Q$838,$B875)))</f>
        <v>DOMAIN</v>
      </c>
      <c r="L875" s="62" t="str" cm="1">
        <f t="array" ref="L875">IF($B875=0,IF($E875=0,"",IF(INDEX(DMAV_Dienste!O$6:O$140,$E875)="","",INDEX(DMAV_Dienste!O$6:O$140,$E875))),IF(INDEX(DMAV_Modell!P$6:P$838,$B875)="","",INDEX(DMAV_Modell!P$6:P$838,$B875)))</f>
        <v>Einzelobjekte</v>
      </c>
      <c r="M875" s="62" t="str" cm="1">
        <f t="array" ref="M875">IF($B875=0,IF($E875=0,"",IF(INDEX(DMAV_Dienste!Q$6:Q$140,$E875)="","",INDEX(DMAV_Dienste!Q$6:Q$140,$E875))),IF(INDEX(DMAV_Modell!R$6:R$838,$B875)="","",INDEX(DMAV_Modell!R$6:R$838,$B875)))</f>
        <v>Einzelobjektart</v>
      </c>
      <c r="N875" s="62" t="str" cm="1">
        <f t="array" ref="N875">IF($B875=0,IF($E875=0,"",IF(INDEX(DMAV_Dienste!T$6:T$140,$E875)="","",INDEX(DMAV_Dienste!T$6:T$140,$E875))),IF(INDEX(DMAV_Modell!U$6:U$838,$B875)="","",INDEX(DMAV_Modell!U$6:U$838,$B875)))</f>
        <v/>
      </c>
      <c r="O875" s="63" t="str" cm="1">
        <f t="array" aca="1" ref="O875" ca="1">IF(C875=0,IF(F875=0,"",HYPERLINK("#"&amp;RIGHT(CELL("adresse",OFFSET(DMAV_Dienste!$M$6,F875-1,0)),LEN(CELL("adresse",OFFSET(DMAV_Dienste!$M$6,F875-1,0)))-FIND("]",CELL("adresse",OFFSET(DMAV_Dienste!$M$6,F875-1,0)))),"Structure")),HYPERLINK("#"&amp;RIGHT(CELL("adresse",OFFSET(DMAV_Modell!$N$6,C875-1,0)),LEN(CELL("adresse",OFFSET(DMAV_Modell!$N$6,C875-1,0)))-FIND("]",CELL("adresse",OFFSET(DMAV_Modell!$N$6,C875-1,0)))),"Structure"))</f>
        <v/>
      </c>
      <c r="P875" s="64" t="str" cm="1">
        <f t="array" aca="1" ref="P875" ca="1">IF(D875=0,IF(G875=0,"",HYPERLINK("#"&amp;RIGHT(CELL("adresse",OFFSET(DMAV_Dienste!$M$6,G875-1,0)),LEN(CELL("adresse",OFFSET(DMAV_Dienste!$M$6,G875-1,0)))-FIND("]",CELL("adresse",OFFSET(DMAV_Dienste!$M$6,G875-1,0)))),"Substructure")),HYPERLINK("#"&amp;RIGHT(CELL("adresse",OFFSET(DMAV_Modell!$N$6,D875-1,0)),LEN(CELL("adresse",OFFSET(DMAV_Modell!$N$6,D875-1,0)))-FIND("]",CELL("adresse",OFFSET(DMAV_Modell!$N$6,D875-1,0)))),"Substructure"))</f>
        <v/>
      </c>
      <c r="R875" s="80"/>
      <c r="T875" s="93"/>
      <c r="U875" s="94"/>
      <c r="V875" s="95"/>
      <c r="W875" s="96"/>
      <c r="Y875" s="85"/>
      <c r="Z875" s="86"/>
      <c r="AA875" s="87"/>
      <c r="AB875" s="88"/>
      <c r="AD875" s="77"/>
      <c r="AF875" s="54" t="str" cm="1">
        <f t="array" aca="1" ref="AF875" ca="1">IF(H875=0,"",HYPERLINK("#"&amp;RIGHT(CELL("adresse",OFFSET('DM01-AV-CH'!$G$6,H875-1,0)),LEN(CELL("adresse",OFFSET('DM01-AV-CH'!$G$6,H875-1,0)))-FIND("]",CELL("adresse",OFFSET('DM01-AV-CH'!$G$6,H875-1,0)))),"Modell"))</f>
        <v>Modell</v>
      </c>
      <c r="AG875" s="72" t="str" cm="1">
        <f t="array" ref="AG875">IF($H875=0,"",IF(INDEX('DM01-AV-CH'!G$6:G$834,$H875)="","",INDEX('DM01-AV-CH'!G$6:G$834,$H875)))</f>
        <v>Einzelobjekte</v>
      </c>
      <c r="AH875" s="73" t="str" cm="1">
        <f t="array" ref="AH875">IF($H875=0,"",IF(INDEX('DM01-AV-CH'!H$6:H$834,$H875)="","",INDEX('DM01-AV-CH'!H$6:H$834,$H875)))</f>
        <v/>
      </c>
      <c r="AI875" s="74" t="str" cm="1">
        <f t="array" ref="AI875">IF($H875=0,"",IF(INDEX('DM01-AV-CH'!I$6:I$834,$H875)="","",INDEX('DM01-AV-CH'!I$6:I$834,$H875)))</f>
        <v>EOArt</v>
      </c>
    </row>
    <row r="876" spans="1:35" x14ac:dyDescent="0.25">
      <c r="A876" s="57">
        <v>871</v>
      </c>
      <c r="B876" s="57">
        <f>IF($A876="","",IF(_xlfn.XLOOKUP($A876,Korrelation!$D$4:$D$1197,Korrelation!E$4:E$1197,"-",0)="-",0,MATCH(_xlfn.XLOOKUP($A876,Korrelation!$D$4:$D$1197,Korrelation!E$4:E$1197,"",0),DMAV_Modell!$G$6:$G$677,0)))</f>
        <v>504</v>
      </c>
      <c r="C876" s="57">
        <f>IF($A876="","",IF(_xlfn.XLOOKUP($A876,Korrelation!$D$4:$D$1197,Korrelation!F$4:F$1197,"-",0)="-",0,MATCH(_xlfn.XLOOKUP($A876,Korrelation!$D$4:$D$1197,Korrelation!F$4:F$1197,"",0),DMAV_Modell!$G$6:$G$677,0)))</f>
        <v>0</v>
      </c>
      <c r="D876" s="57">
        <f>IF($A876="","",IF(_xlfn.XLOOKUP($A876,Korrelation!$D$4:$D$1197,Korrelation!G$4:G$1197,"-",0)="-",0,MATCH(_xlfn.XLOOKUP($A876,Korrelation!$D$4:$D$1197,Korrelation!G$4:G$1197,"",0),DMAV_Modell!$G$6:$G$677,0)))</f>
        <v>0</v>
      </c>
      <c r="E876" s="57">
        <f>IF($A876="","",IF(_xlfn.XLOOKUP($A876,Korrelation!$D$4:$D$1197,Korrelation!H$4:H$1197,"-",0)="-",0,MATCH(_xlfn.XLOOKUP($A876,Korrelation!$D$4:$D$1197,Korrelation!H$4:H$1197,"",0),DMAV_Dienste!$F$6:$F$140,0)))</f>
        <v>0</v>
      </c>
      <c r="F876" s="57">
        <f>IF($A876="","",IF(_xlfn.XLOOKUP($A876,Korrelation!$D$4:$D$1197,Korrelation!I$4:I$1197,"-",0)="-",0,MATCH(_xlfn.XLOOKUP($A876,Korrelation!$D$4:$D$1197,Korrelation!I$4:I$1197,"",0),DMAV_Dienste!$F$6:$F$140,0)))</f>
        <v>0</v>
      </c>
      <c r="G876" s="57">
        <f>IF($A876="","",IF(_xlfn.XLOOKUP($A876,Korrelation!$D$4:$D$1197,Korrelation!J$4:J$1197,"-",0)="-",0,MATCH(_xlfn.XLOOKUP($A876,Korrelation!$D$4:$D$1197,Korrelation!J$4:J$1197,"",0),DMAV_Dienste!$F$6:$F$140,0)))</f>
        <v>0</v>
      </c>
      <c r="H876" s="57">
        <f>IF($A876="","",IF(_xlfn.XLOOKUP($A876,Korrelation!$D$4:$D$1197,Korrelation!K$4:K$1197,"-",0)="-",0,MATCH(_xlfn.XLOOKUP($A876,Korrelation!$D$4:$D$1197,Korrelation!K$4:K$1197,"",0),'DM01-AV-CH'!$A$6:$A$834,0)))</f>
        <v>302</v>
      </c>
      <c r="J876" s="54" t="str" cm="1">
        <f t="array" aca="1" ref="J876" ca="1">IF(B876=0,IF(E876=0,"",HYPERLINK("#"&amp;RIGHT(CELL("adresse",OFFSET(DMAV_Dienste!$M$6,E876-1,0)),LEN(CELL("adresse",OFFSET(DMAV_Dienste!$M$6,E876-1,0)))-FIND("]",CELL("adresse",OFFSET(DMAV_Dienste!$M$6,E876-1,0)))),"Dienst")),HYPERLINK("#"&amp;RIGHT(CELL("adresse",OFFSET(DMAV_Modell!$N$6,B876-1,0)),LEN(CELL("adresse",OFFSET(DMAV_Modell!$N$6,B876-1,0)))-FIND("]",CELL("adresse",OFFSET(DMAV_Modell!$N$6,B876-1,0)))),"Modell"))</f>
        <v>Modell</v>
      </c>
      <c r="K876" s="61" t="str" cm="1">
        <f t="array" ref="K876">IF($B876=0,IF($E876=0,"",IF(INDEX(DMAV_Dienste!P$6:P$140,$E876)="","",INDEX(DMAV_Dienste!P$6:P$140,$E876))),IF(INDEX(DMAV_Modell!Q$6:Q$838,$B876)="","",INDEX(DMAV_Modell!Q$6:Q$838,$B876)))</f>
        <v>DOMAIN</v>
      </c>
      <c r="L876" s="62" t="str" cm="1">
        <f t="array" ref="L876">IF($B876=0,IF($E876=0,"",IF(INDEX(DMAV_Dienste!O$6:O$140,$E876)="","",INDEX(DMAV_Dienste!O$6:O$140,$E876))),IF(INDEX(DMAV_Modell!P$6:P$838,$B876)="","",INDEX(DMAV_Modell!P$6:P$838,$B876)))</f>
        <v>Einzelobjekte</v>
      </c>
      <c r="M876" s="62" t="str" cm="1">
        <f t="array" ref="M876">IF($B876=0,IF($E876=0,"",IF(INDEX(DMAV_Dienste!Q$6:Q$140,$E876)="","",INDEX(DMAV_Dienste!Q$6:Q$140,$E876))),IF(INDEX(DMAV_Modell!R$6:R$838,$B876)="","",INDEX(DMAV_Modell!R$6:R$838,$B876)))</f>
        <v>Einzelobjektart</v>
      </c>
      <c r="N876" s="62" t="str" cm="1">
        <f t="array" ref="N876">IF($B876=0,IF($E876=0,"",IF(INDEX(DMAV_Dienste!T$6:T$140,$E876)="","",INDEX(DMAV_Dienste!T$6:T$140,$E876))),IF(INDEX(DMAV_Modell!U$6:U$838,$B876)="","",INDEX(DMAV_Modell!U$6:U$838,$B876)))</f>
        <v/>
      </c>
      <c r="O876" s="63" t="str" cm="1">
        <f t="array" aca="1" ref="O876" ca="1">IF(C876=0,IF(F876=0,"",HYPERLINK("#"&amp;RIGHT(CELL("adresse",OFFSET(DMAV_Dienste!$M$6,F876-1,0)),LEN(CELL("adresse",OFFSET(DMAV_Dienste!$M$6,F876-1,0)))-FIND("]",CELL("adresse",OFFSET(DMAV_Dienste!$M$6,F876-1,0)))),"Structure")),HYPERLINK("#"&amp;RIGHT(CELL("adresse",OFFSET(DMAV_Modell!$N$6,C876-1,0)),LEN(CELL("adresse",OFFSET(DMAV_Modell!$N$6,C876-1,0)))-FIND("]",CELL("adresse",OFFSET(DMAV_Modell!$N$6,C876-1,0)))),"Structure"))</f>
        <v/>
      </c>
      <c r="P876" s="64" t="str" cm="1">
        <f t="array" aca="1" ref="P876" ca="1">IF(D876=0,IF(G876=0,"",HYPERLINK("#"&amp;RIGHT(CELL("adresse",OFFSET(DMAV_Dienste!$M$6,G876-1,0)),LEN(CELL("adresse",OFFSET(DMAV_Dienste!$M$6,G876-1,0)))-FIND("]",CELL("adresse",OFFSET(DMAV_Dienste!$M$6,G876-1,0)))),"Substructure")),HYPERLINK("#"&amp;RIGHT(CELL("adresse",OFFSET(DMAV_Modell!$N$6,D876-1,0)),LEN(CELL("adresse",OFFSET(DMAV_Modell!$N$6,D876-1,0)))-FIND("]",CELL("adresse",OFFSET(DMAV_Modell!$N$6,D876-1,0)))),"Substructure"))</f>
        <v/>
      </c>
      <c r="R876" s="80"/>
      <c r="T876" s="93"/>
      <c r="U876" s="94"/>
      <c r="V876" s="95"/>
      <c r="W876" s="96"/>
      <c r="Y876" s="85"/>
      <c r="Z876" s="86"/>
      <c r="AA876" s="87"/>
      <c r="AB876" s="88"/>
      <c r="AD876" s="77"/>
      <c r="AF876" s="54" t="str" cm="1">
        <f t="array" aca="1" ref="AF876" ca="1">IF(H876=0,"",HYPERLINK("#"&amp;RIGHT(CELL("adresse",OFFSET('DM01-AV-CH'!$G$6,H876-1,0)),LEN(CELL("adresse",OFFSET('DM01-AV-CH'!$G$6,H876-1,0)))-FIND("]",CELL("adresse",OFFSET('DM01-AV-CH'!$G$6,H876-1,0)))),"Modell"))</f>
        <v>Modell</v>
      </c>
      <c r="AG876" s="72" t="str" cm="1">
        <f t="array" ref="AG876">IF($H876=0,"",IF(INDEX('DM01-AV-CH'!G$6:G$834,$H876)="","",INDEX('DM01-AV-CH'!G$6:G$834,$H876)))</f>
        <v>Einzelobjekte</v>
      </c>
      <c r="AH876" s="73" t="str" cm="1">
        <f t="array" ref="AH876">IF($H876=0,"",IF(INDEX('DM01-AV-CH'!H$6:H$834,$H876)="","",INDEX('DM01-AV-CH'!H$6:H$834,$H876)))</f>
        <v/>
      </c>
      <c r="AI876" s="74" t="str" cm="1">
        <f t="array" ref="AI876">IF($H876=0,"",IF(INDEX('DM01-AV-CH'!I$6:I$834,$H876)="","",INDEX('DM01-AV-CH'!I$6:I$834,$H876)))</f>
        <v>EOArt</v>
      </c>
    </row>
    <row r="877" spans="1:35" x14ac:dyDescent="0.25">
      <c r="A877" s="57">
        <v>872</v>
      </c>
      <c r="B877" s="57">
        <f>IF($A877="","",IF(_xlfn.XLOOKUP($A877,Korrelation!$D$4:$D$1197,Korrelation!E$4:E$1197,"-",0)="-",0,MATCH(_xlfn.XLOOKUP($A877,Korrelation!$D$4:$D$1197,Korrelation!E$4:E$1197,"",0),DMAV_Modell!$G$6:$G$677,0)))</f>
        <v>505</v>
      </c>
      <c r="C877" s="57">
        <f>IF($A877="","",IF(_xlfn.XLOOKUP($A877,Korrelation!$D$4:$D$1197,Korrelation!F$4:F$1197,"-",0)="-",0,MATCH(_xlfn.XLOOKUP($A877,Korrelation!$D$4:$D$1197,Korrelation!F$4:F$1197,"",0),DMAV_Modell!$G$6:$G$677,0)))</f>
        <v>0</v>
      </c>
      <c r="D877" s="57">
        <f>IF($A877="","",IF(_xlfn.XLOOKUP($A877,Korrelation!$D$4:$D$1197,Korrelation!G$4:G$1197,"-",0)="-",0,MATCH(_xlfn.XLOOKUP($A877,Korrelation!$D$4:$D$1197,Korrelation!G$4:G$1197,"",0),DMAV_Modell!$G$6:$G$677,0)))</f>
        <v>0</v>
      </c>
      <c r="E877" s="57">
        <f>IF($A877="","",IF(_xlfn.XLOOKUP($A877,Korrelation!$D$4:$D$1197,Korrelation!H$4:H$1197,"-",0)="-",0,MATCH(_xlfn.XLOOKUP($A877,Korrelation!$D$4:$D$1197,Korrelation!H$4:H$1197,"",0),DMAV_Dienste!$F$6:$F$140,0)))</f>
        <v>0</v>
      </c>
      <c r="F877" s="57">
        <f>IF($A877="","",IF(_xlfn.XLOOKUP($A877,Korrelation!$D$4:$D$1197,Korrelation!I$4:I$1197,"-",0)="-",0,MATCH(_xlfn.XLOOKUP($A877,Korrelation!$D$4:$D$1197,Korrelation!I$4:I$1197,"",0),DMAV_Dienste!$F$6:$F$140,0)))</f>
        <v>0</v>
      </c>
      <c r="G877" s="57">
        <f>IF($A877="","",IF(_xlfn.XLOOKUP($A877,Korrelation!$D$4:$D$1197,Korrelation!J$4:J$1197,"-",0)="-",0,MATCH(_xlfn.XLOOKUP($A877,Korrelation!$D$4:$D$1197,Korrelation!J$4:J$1197,"",0),DMAV_Dienste!$F$6:$F$140,0)))</f>
        <v>0</v>
      </c>
      <c r="H877" s="57">
        <f>IF($A877="","",IF(_xlfn.XLOOKUP($A877,Korrelation!$D$4:$D$1197,Korrelation!K$4:K$1197,"-",0)="-",0,MATCH(_xlfn.XLOOKUP($A877,Korrelation!$D$4:$D$1197,Korrelation!K$4:K$1197,"",0),'DM01-AV-CH'!$A$6:$A$834,0)))</f>
        <v>303</v>
      </c>
      <c r="J877" s="54" t="str" cm="1">
        <f t="array" aca="1" ref="J877" ca="1">IF(B877=0,IF(E877=0,"",HYPERLINK("#"&amp;RIGHT(CELL("adresse",OFFSET(DMAV_Dienste!$M$6,E877-1,0)),LEN(CELL("adresse",OFFSET(DMAV_Dienste!$M$6,E877-1,0)))-FIND("]",CELL("adresse",OFFSET(DMAV_Dienste!$M$6,E877-1,0)))),"Dienst")),HYPERLINK("#"&amp;RIGHT(CELL("adresse",OFFSET(DMAV_Modell!$N$6,B877-1,0)),LEN(CELL("adresse",OFFSET(DMAV_Modell!$N$6,B877-1,0)))-FIND("]",CELL("adresse",OFFSET(DMAV_Modell!$N$6,B877-1,0)))),"Modell"))</f>
        <v>Modell</v>
      </c>
      <c r="K877" s="61" t="str" cm="1">
        <f t="array" ref="K877">IF($B877=0,IF($E877=0,"",IF(INDEX(DMAV_Dienste!P$6:P$140,$E877)="","",INDEX(DMAV_Dienste!P$6:P$140,$E877))),IF(INDEX(DMAV_Modell!Q$6:Q$838,$B877)="","",INDEX(DMAV_Modell!Q$6:Q$838,$B877)))</f>
        <v>CLASS</v>
      </c>
      <c r="L877" s="62" t="str" cm="1">
        <f t="array" ref="L877">IF($B877=0,IF($E877=0,"",IF(INDEX(DMAV_Dienste!O$6:O$140,$E877)="","",INDEX(DMAV_Dienste!O$6:O$140,$E877))),IF(INDEX(DMAV_Modell!P$6:P$838,$B877)="","",INDEX(DMAV_Modell!P$6:P$838,$B877)))</f>
        <v>Einzelobjekte</v>
      </c>
      <c r="M877" s="62" t="str" cm="1">
        <f t="array" ref="M877">IF($B877=0,IF($E877=0,"",IF(INDEX(DMAV_Dienste!Q$6:Q$140,$E877)="","",INDEX(DMAV_Dienste!Q$6:Q$140,$E877))),IF(INDEX(DMAV_Modell!R$6:R$838,$B877)="","",INDEX(DMAV_Modell!R$6:R$838,$B877)))</f>
        <v>EONachfuehrung</v>
      </c>
      <c r="N877" s="62" t="str" cm="1">
        <f t="array" ref="N877">IF($B877=0,IF($E877=0,"",IF(INDEX(DMAV_Dienste!T$6:T$140,$E877)="","",INDEX(DMAV_Dienste!T$6:T$140,$E877))),IF(INDEX(DMAV_Modell!U$6:U$838,$B877)="","",INDEX(DMAV_Modell!U$6:U$838,$B877)))</f>
        <v>NBIdent</v>
      </c>
      <c r="O877" s="63" t="str" cm="1">
        <f t="array" aca="1" ref="O877" ca="1">IF(C877=0,IF(F877=0,"",HYPERLINK("#"&amp;RIGHT(CELL("adresse",OFFSET(DMAV_Dienste!$M$6,F877-1,0)),LEN(CELL("adresse",OFFSET(DMAV_Dienste!$M$6,F877-1,0)))-FIND("]",CELL("adresse",OFFSET(DMAV_Dienste!$M$6,F877-1,0)))),"Structure")),HYPERLINK("#"&amp;RIGHT(CELL("adresse",OFFSET(DMAV_Modell!$N$6,C877-1,0)),LEN(CELL("adresse",OFFSET(DMAV_Modell!$N$6,C877-1,0)))-FIND("]",CELL("adresse",OFFSET(DMAV_Modell!$N$6,C877-1,0)))),"Structure"))</f>
        <v/>
      </c>
      <c r="P877" s="64" t="str" cm="1">
        <f t="array" aca="1" ref="P877" ca="1">IF(D877=0,IF(G877=0,"",HYPERLINK("#"&amp;RIGHT(CELL("adresse",OFFSET(DMAV_Dienste!$M$6,G877-1,0)),LEN(CELL("adresse",OFFSET(DMAV_Dienste!$M$6,G877-1,0)))-FIND("]",CELL("adresse",OFFSET(DMAV_Dienste!$M$6,G877-1,0)))),"Substructure")),HYPERLINK("#"&amp;RIGHT(CELL("adresse",OFFSET(DMAV_Modell!$N$6,D877-1,0)),LEN(CELL("adresse",OFFSET(DMAV_Modell!$N$6,D877-1,0)))-FIND("]",CELL("adresse",OFFSET(DMAV_Modell!$N$6,D877-1,0)))),"Substructure"))</f>
        <v/>
      </c>
      <c r="R877" s="80"/>
      <c r="T877" s="93"/>
      <c r="U877" s="94"/>
      <c r="V877" s="95"/>
      <c r="W877" s="96"/>
      <c r="Y877" s="85"/>
      <c r="Z877" s="86"/>
      <c r="AA877" s="87"/>
      <c r="AB877" s="88"/>
      <c r="AD877" s="77"/>
      <c r="AF877" s="54" t="str" cm="1">
        <f t="array" aca="1" ref="AF877" ca="1">IF(H877=0,"",HYPERLINK("#"&amp;RIGHT(CELL("adresse",OFFSET('DM01-AV-CH'!$G$6,H877-1,0)),LEN(CELL("adresse",OFFSET('DM01-AV-CH'!$G$6,H877-1,0)))-FIND("]",CELL("adresse",OFFSET('DM01-AV-CH'!$G$6,H877-1,0)))),"Modell"))</f>
        <v>Modell</v>
      </c>
      <c r="AG877" s="72" t="str" cm="1">
        <f t="array" ref="AG877">IF($H877=0,"",IF(INDEX('DM01-AV-CH'!G$6:G$834,$H877)="","",INDEX('DM01-AV-CH'!G$6:G$834,$H877)))</f>
        <v>Einzelobjekte</v>
      </c>
      <c r="AH877" s="73" t="str" cm="1">
        <f t="array" ref="AH877">IF($H877=0,"",IF(INDEX('DM01-AV-CH'!H$6:H$834,$H877)="","",INDEX('DM01-AV-CH'!H$6:H$834,$H877)))</f>
        <v>EONachfuehrung</v>
      </c>
      <c r="AI877" s="74" t="str" cm="1">
        <f t="array" ref="AI877">IF($H877=0,"",IF(INDEX('DM01-AV-CH'!I$6:I$834,$H877)="","",INDEX('DM01-AV-CH'!I$6:I$834,$H877)))</f>
        <v>NBIdent</v>
      </c>
    </row>
    <row r="878" spans="1:35" x14ac:dyDescent="0.25">
      <c r="A878" s="57">
        <v>873</v>
      </c>
      <c r="B878" s="57">
        <f>IF($A878="","",IF(_xlfn.XLOOKUP($A878,Korrelation!$D$4:$D$1197,Korrelation!E$4:E$1197,"-",0)="-",0,MATCH(_xlfn.XLOOKUP($A878,Korrelation!$D$4:$D$1197,Korrelation!E$4:E$1197,"",0),DMAV_Modell!$G$6:$G$677,0)))</f>
        <v>506</v>
      </c>
      <c r="C878" s="57">
        <f>IF($A878="","",IF(_xlfn.XLOOKUP($A878,Korrelation!$D$4:$D$1197,Korrelation!F$4:F$1197,"-",0)="-",0,MATCH(_xlfn.XLOOKUP($A878,Korrelation!$D$4:$D$1197,Korrelation!F$4:F$1197,"",0),DMAV_Modell!$G$6:$G$677,0)))</f>
        <v>0</v>
      </c>
      <c r="D878" s="57">
        <f>IF($A878="","",IF(_xlfn.XLOOKUP($A878,Korrelation!$D$4:$D$1197,Korrelation!G$4:G$1197,"-",0)="-",0,MATCH(_xlfn.XLOOKUP($A878,Korrelation!$D$4:$D$1197,Korrelation!G$4:G$1197,"",0),DMAV_Modell!$G$6:$G$677,0)))</f>
        <v>0</v>
      </c>
      <c r="E878" s="57">
        <f>IF($A878="","",IF(_xlfn.XLOOKUP($A878,Korrelation!$D$4:$D$1197,Korrelation!H$4:H$1197,"-",0)="-",0,MATCH(_xlfn.XLOOKUP($A878,Korrelation!$D$4:$D$1197,Korrelation!H$4:H$1197,"",0),DMAV_Dienste!$F$6:$F$140,0)))</f>
        <v>0</v>
      </c>
      <c r="F878" s="57">
        <f>IF($A878="","",IF(_xlfn.XLOOKUP($A878,Korrelation!$D$4:$D$1197,Korrelation!I$4:I$1197,"-",0)="-",0,MATCH(_xlfn.XLOOKUP($A878,Korrelation!$D$4:$D$1197,Korrelation!I$4:I$1197,"",0),DMAV_Dienste!$F$6:$F$140,0)))</f>
        <v>0</v>
      </c>
      <c r="G878" s="57">
        <f>IF($A878="","",IF(_xlfn.XLOOKUP($A878,Korrelation!$D$4:$D$1197,Korrelation!J$4:J$1197,"-",0)="-",0,MATCH(_xlfn.XLOOKUP($A878,Korrelation!$D$4:$D$1197,Korrelation!J$4:J$1197,"",0),DMAV_Dienste!$F$6:$F$140,0)))</f>
        <v>0</v>
      </c>
      <c r="H878" s="57">
        <f>IF($A878="","",IF(_xlfn.XLOOKUP($A878,Korrelation!$D$4:$D$1197,Korrelation!K$4:K$1197,"-",0)="-",0,MATCH(_xlfn.XLOOKUP($A878,Korrelation!$D$4:$D$1197,Korrelation!K$4:K$1197,"",0),'DM01-AV-CH'!$A$6:$A$834,0)))</f>
        <v>304</v>
      </c>
      <c r="J878" s="54" t="str" cm="1">
        <f t="array" aca="1" ref="J878" ca="1">IF(B878=0,IF(E878=0,"",HYPERLINK("#"&amp;RIGHT(CELL("adresse",OFFSET(DMAV_Dienste!$M$6,E878-1,0)),LEN(CELL("adresse",OFFSET(DMAV_Dienste!$M$6,E878-1,0)))-FIND("]",CELL("adresse",OFFSET(DMAV_Dienste!$M$6,E878-1,0)))),"Dienst")),HYPERLINK("#"&amp;RIGHT(CELL("adresse",OFFSET(DMAV_Modell!$N$6,B878-1,0)),LEN(CELL("adresse",OFFSET(DMAV_Modell!$N$6,B878-1,0)))-FIND("]",CELL("adresse",OFFSET(DMAV_Modell!$N$6,B878-1,0)))),"Modell"))</f>
        <v>Modell</v>
      </c>
      <c r="K878" s="61" t="str" cm="1">
        <f t="array" ref="K878">IF($B878=0,IF($E878=0,"",IF(INDEX(DMAV_Dienste!P$6:P$140,$E878)="","",INDEX(DMAV_Dienste!P$6:P$140,$E878))),IF(INDEX(DMAV_Modell!Q$6:Q$838,$B878)="","",INDEX(DMAV_Modell!Q$6:Q$838,$B878)))</f>
        <v>CLASS</v>
      </c>
      <c r="L878" s="62" t="str" cm="1">
        <f t="array" ref="L878">IF($B878=0,IF($E878=0,"",IF(INDEX(DMAV_Dienste!O$6:O$140,$E878)="","",INDEX(DMAV_Dienste!O$6:O$140,$E878))),IF(INDEX(DMAV_Modell!P$6:P$838,$B878)="","",INDEX(DMAV_Modell!P$6:P$838,$B878)))</f>
        <v>Einzelobjekte</v>
      </c>
      <c r="M878" s="62" t="str" cm="1">
        <f t="array" ref="M878">IF($B878=0,IF($E878=0,"",IF(INDEX(DMAV_Dienste!Q$6:Q$140,$E878)="","",INDEX(DMAV_Dienste!Q$6:Q$140,$E878))),IF(INDEX(DMAV_Modell!R$6:R$838,$B878)="","",INDEX(DMAV_Modell!R$6:R$838,$B878)))</f>
        <v>EONachfuehrung</v>
      </c>
      <c r="N878" s="62" t="str" cm="1">
        <f t="array" ref="N878">IF($B878=0,IF($E878=0,"",IF(INDEX(DMAV_Dienste!T$6:T$140,$E878)="","",INDEX(DMAV_Dienste!T$6:T$140,$E878))),IF(INDEX(DMAV_Modell!U$6:U$838,$B878)="","",INDEX(DMAV_Modell!U$6:U$838,$B878)))</f>
        <v>Identifikator</v>
      </c>
      <c r="O878" s="63" t="str" cm="1">
        <f t="array" aca="1" ref="O878" ca="1">IF(C878=0,IF(F878=0,"",HYPERLINK("#"&amp;RIGHT(CELL("adresse",OFFSET(DMAV_Dienste!$M$6,F878-1,0)),LEN(CELL("adresse",OFFSET(DMAV_Dienste!$M$6,F878-1,0)))-FIND("]",CELL("adresse",OFFSET(DMAV_Dienste!$M$6,F878-1,0)))),"Structure")),HYPERLINK("#"&amp;RIGHT(CELL("adresse",OFFSET(DMAV_Modell!$N$6,C878-1,0)),LEN(CELL("adresse",OFFSET(DMAV_Modell!$N$6,C878-1,0)))-FIND("]",CELL("adresse",OFFSET(DMAV_Modell!$N$6,C878-1,0)))),"Structure"))</f>
        <v/>
      </c>
      <c r="P878" s="64" t="str" cm="1">
        <f t="array" aca="1" ref="P878" ca="1">IF(D878=0,IF(G878=0,"",HYPERLINK("#"&amp;RIGHT(CELL("adresse",OFFSET(DMAV_Dienste!$M$6,G878-1,0)),LEN(CELL("adresse",OFFSET(DMAV_Dienste!$M$6,G878-1,0)))-FIND("]",CELL("adresse",OFFSET(DMAV_Dienste!$M$6,G878-1,0)))),"Substructure")),HYPERLINK("#"&amp;RIGHT(CELL("adresse",OFFSET(DMAV_Modell!$N$6,D878-1,0)),LEN(CELL("adresse",OFFSET(DMAV_Modell!$N$6,D878-1,0)))-FIND("]",CELL("adresse",OFFSET(DMAV_Modell!$N$6,D878-1,0)))),"Substructure"))</f>
        <v/>
      </c>
      <c r="R878" s="80"/>
      <c r="T878" s="93"/>
      <c r="U878" s="94"/>
      <c r="V878" s="95"/>
      <c r="W878" s="96"/>
      <c r="Y878" s="85"/>
      <c r="Z878" s="86"/>
      <c r="AA878" s="87"/>
      <c r="AB878" s="88"/>
      <c r="AD878" s="77"/>
      <c r="AF878" s="54" t="str" cm="1">
        <f t="array" aca="1" ref="AF878" ca="1">IF(H878=0,"",HYPERLINK("#"&amp;RIGHT(CELL("adresse",OFFSET('DM01-AV-CH'!$G$6,H878-1,0)),LEN(CELL("adresse",OFFSET('DM01-AV-CH'!$G$6,H878-1,0)))-FIND("]",CELL("adresse",OFFSET('DM01-AV-CH'!$G$6,H878-1,0)))),"Modell"))</f>
        <v>Modell</v>
      </c>
      <c r="AG878" s="72" t="str" cm="1">
        <f t="array" ref="AG878">IF($H878=0,"",IF(INDEX('DM01-AV-CH'!G$6:G$834,$H878)="","",INDEX('DM01-AV-CH'!G$6:G$834,$H878)))</f>
        <v>Einzelobjekte</v>
      </c>
      <c r="AH878" s="73" t="str" cm="1">
        <f t="array" ref="AH878">IF($H878=0,"",IF(INDEX('DM01-AV-CH'!H$6:H$834,$H878)="","",INDEX('DM01-AV-CH'!H$6:H$834,$H878)))</f>
        <v>EONachfuehrung</v>
      </c>
      <c r="AI878" s="74" t="str" cm="1">
        <f t="array" ref="AI878">IF($H878=0,"",IF(INDEX('DM01-AV-CH'!I$6:I$834,$H878)="","",INDEX('DM01-AV-CH'!I$6:I$834,$H878)))</f>
        <v>Identifikator</v>
      </c>
    </row>
    <row r="879" spans="1:35" x14ac:dyDescent="0.25">
      <c r="A879" s="57">
        <v>874</v>
      </c>
      <c r="B879" s="57">
        <f>IF($A879="","",IF(_xlfn.XLOOKUP($A879,Korrelation!$D$4:$D$1197,Korrelation!E$4:E$1197,"-",0)="-",0,MATCH(_xlfn.XLOOKUP($A879,Korrelation!$D$4:$D$1197,Korrelation!E$4:E$1197,"",0),DMAV_Modell!$G$6:$G$677,0)))</f>
        <v>507</v>
      </c>
      <c r="C879" s="57">
        <f>IF($A879="","",IF(_xlfn.XLOOKUP($A879,Korrelation!$D$4:$D$1197,Korrelation!F$4:F$1197,"-",0)="-",0,MATCH(_xlfn.XLOOKUP($A879,Korrelation!$D$4:$D$1197,Korrelation!F$4:F$1197,"",0),DMAV_Modell!$G$6:$G$677,0)))</f>
        <v>0</v>
      </c>
      <c r="D879" s="57">
        <f>IF($A879="","",IF(_xlfn.XLOOKUP($A879,Korrelation!$D$4:$D$1197,Korrelation!G$4:G$1197,"-",0)="-",0,MATCH(_xlfn.XLOOKUP($A879,Korrelation!$D$4:$D$1197,Korrelation!G$4:G$1197,"",0),DMAV_Modell!$G$6:$G$677,0)))</f>
        <v>0</v>
      </c>
      <c r="E879" s="57">
        <f>IF($A879="","",IF(_xlfn.XLOOKUP($A879,Korrelation!$D$4:$D$1197,Korrelation!H$4:H$1197,"-",0)="-",0,MATCH(_xlfn.XLOOKUP($A879,Korrelation!$D$4:$D$1197,Korrelation!H$4:H$1197,"",0),DMAV_Dienste!$F$6:$F$140,0)))</f>
        <v>0</v>
      </c>
      <c r="F879" s="57">
        <f>IF($A879="","",IF(_xlfn.XLOOKUP($A879,Korrelation!$D$4:$D$1197,Korrelation!I$4:I$1197,"-",0)="-",0,MATCH(_xlfn.XLOOKUP($A879,Korrelation!$D$4:$D$1197,Korrelation!I$4:I$1197,"",0),DMAV_Dienste!$F$6:$F$140,0)))</f>
        <v>0</v>
      </c>
      <c r="G879" s="57">
        <f>IF($A879="","",IF(_xlfn.XLOOKUP($A879,Korrelation!$D$4:$D$1197,Korrelation!J$4:J$1197,"-",0)="-",0,MATCH(_xlfn.XLOOKUP($A879,Korrelation!$D$4:$D$1197,Korrelation!J$4:J$1197,"",0),DMAV_Dienste!$F$6:$F$140,0)))</f>
        <v>0</v>
      </c>
      <c r="H879" s="57">
        <f>IF($A879="","",IF(_xlfn.XLOOKUP($A879,Korrelation!$D$4:$D$1197,Korrelation!K$4:K$1197,"-",0)="-",0,MATCH(_xlfn.XLOOKUP($A879,Korrelation!$D$4:$D$1197,Korrelation!K$4:K$1197,"",0),'DM01-AV-CH'!$A$6:$A$834,0)))</f>
        <v>305</v>
      </c>
      <c r="J879" s="54" t="str" cm="1">
        <f t="array" aca="1" ref="J879" ca="1">IF(B879=0,IF(E879=0,"",HYPERLINK("#"&amp;RIGHT(CELL("adresse",OFFSET(DMAV_Dienste!$M$6,E879-1,0)),LEN(CELL("adresse",OFFSET(DMAV_Dienste!$M$6,E879-1,0)))-FIND("]",CELL("adresse",OFFSET(DMAV_Dienste!$M$6,E879-1,0)))),"Dienst")),HYPERLINK("#"&amp;RIGHT(CELL("adresse",OFFSET(DMAV_Modell!$N$6,B879-1,0)),LEN(CELL("adresse",OFFSET(DMAV_Modell!$N$6,B879-1,0)))-FIND("]",CELL("adresse",OFFSET(DMAV_Modell!$N$6,B879-1,0)))),"Modell"))</f>
        <v>Modell</v>
      </c>
      <c r="K879" s="61" t="str" cm="1">
        <f t="array" ref="K879">IF($B879=0,IF($E879=0,"",IF(INDEX(DMAV_Dienste!P$6:P$140,$E879)="","",INDEX(DMAV_Dienste!P$6:P$140,$E879))),IF(INDEX(DMAV_Modell!Q$6:Q$838,$B879)="","",INDEX(DMAV_Modell!Q$6:Q$838,$B879)))</f>
        <v>CLASS</v>
      </c>
      <c r="L879" s="62" t="str" cm="1">
        <f t="array" ref="L879">IF($B879=0,IF($E879=0,"",IF(INDEX(DMAV_Dienste!O$6:O$140,$E879)="","",INDEX(DMAV_Dienste!O$6:O$140,$E879))),IF(INDEX(DMAV_Modell!P$6:P$838,$B879)="","",INDEX(DMAV_Modell!P$6:P$838,$B879)))</f>
        <v>Einzelobjekte</v>
      </c>
      <c r="M879" s="62" t="str" cm="1">
        <f t="array" ref="M879">IF($B879=0,IF($E879=0,"",IF(INDEX(DMAV_Dienste!Q$6:Q$140,$E879)="","",INDEX(DMAV_Dienste!Q$6:Q$140,$E879))),IF(INDEX(DMAV_Modell!R$6:R$838,$B879)="","",INDEX(DMAV_Modell!R$6:R$838,$B879)))</f>
        <v>EONachfuehrung</v>
      </c>
      <c r="N879" s="62" t="str" cm="1">
        <f t="array" ref="N879">IF($B879=0,IF($E879=0,"",IF(INDEX(DMAV_Dienste!T$6:T$140,$E879)="","",INDEX(DMAV_Dienste!T$6:T$140,$E879))),IF(INDEX(DMAV_Modell!U$6:U$838,$B879)="","",INDEX(DMAV_Modell!U$6:U$838,$B879)))</f>
        <v>Beschreibung</v>
      </c>
      <c r="O879" s="63" t="str" cm="1">
        <f t="array" aca="1" ref="O879" ca="1">IF(C879=0,IF(F879=0,"",HYPERLINK("#"&amp;RIGHT(CELL("adresse",OFFSET(DMAV_Dienste!$M$6,F879-1,0)),LEN(CELL("adresse",OFFSET(DMAV_Dienste!$M$6,F879-1,0)))-FIND("]",CELL("adresse",OFFSET(DMAV_Dienste!$M$6,F879-1,0)))),"Structure")),HYPERLINK("#"&amp;RIGHT(CELL("adresse",OFFSET(DMAV_Modell!$N$6,C879-1,0)),LEN(CELL("adresse",OFFSET(DMAV_Modell!$N$6,C879-1,0)))-FIND("]",CELL("adresse",OFFSET(DMAV_Modell!$N$6,C879-1,0)))),"Structure"))</f>
        <v/>
      </c>
      <c r="P879" s="64" t="str" cm="1">
        <f t="array" aca="1" ref="P879" ca="1">IF(D879=0,IF(G879=0,"",HYPERLINK("#"&amp;RIGHT(CELL("adresse",OFFSET(DMAV_Dienste!$M$6,G879-1,0)),LEN(CELL("adresse",OFFSET(DMAV_Dienste!$M$6,G879-1,0)))-FIND("]",CELL("adresse",OFFSET(DMAV_Dienste!$M$6,G879-1,0)))),"Substructure")),HYPERLINK("#"&amp;RIGHT(CELL("adresse",OFFSET(DMAV_Modell!$N$6,D879-1,0)),LEN(CELL("adresse",OFFSET(DMAV_Modell!$N$6,D879-1,0)))-FIND("]",CELL("adresse",OFFSET(DMAV_Modell!$N$6,D879-1,0)))),"Substructure"))</f>
        <v/>
      </c>
      <c r="R879" s="80"/>
      <c r="T879" s="93"/>
      <c r="U879" s="94"/>
      <c r="V879" s="95"/>
      <c r="W879" s="96"/>
      <c r="Y879" s="85"/>
      <c r="Z879" s="86"/>
      <c r="AA879" s="87"/>
      <c r="AB879" s="88"/>
      <c r="AD879" s="77"/>
      <c r="AF879" s="54" t="str" cm="1">
        <f t="array" aca="1" ref="AF879" ca="1">IF(H879=0,"",HYPERLINK("#"&amp;RIGHT(CELL("adresse",OFFSET('DM01-AV-CH'!$G$6,H879-1,0)),LEN(CELL("adresse",OFFSET('DM01-AV-CH'!$G$6,H879-1,0)))-FIND("]",CELL("adresse",OFFSET('DM01-AV-CH'!$G$6,H879-1,0)))),"Modell"))</f>
        <v>Modell</v>
      </c>
      <c r="AG879" s="72" t="str" cm="1">
        <f t="array" ref="AG879">IF($H879=0,"",IF(INDEX('DM01-AV-CH'!G$6:G$834,$H879)="","",INDEX('DM01-AV-CH'!G$6:G$834,$H879)))</f>
        <v>Einzelobjekte</v>
      </c>
      <c r="AH879" s="73" t="str" cm="1">
        <f t="array" ref="AH879">IF($H879=0,"",IF(INDEX('DM01-AV-CH'!H$6:H$834,$H879)="","",INDEX('DM01-AV-CH'!H$6:H$834,$H879)))</f>
        <v>EONachfuehrung</v>
      </c>
      <c r="AI879" s="74" t="str" cm="1">
        <f t="array" ref="AI879">IF($H879=0,"",IF(INDEX('DM01-AV-CH'!I$6:I$834,$H879)="","",INDEX('DM01-AV-CH'!I$6:I$834,$H879)))</f>
        <v>Beschreibung</v>
      </c>
    </row>
    <row r="880" spans="1:35" x14ac:dyDescent="0.25">
      <c r="A880" s="57">
        <v>875</v>
      </c>
      <c r="B880" s="57">
        <f>IF($A880="","",IF(_xlfn.XLOOKUP($A880,Korrelation!$D$4:$D$1197,Korrelation!E$4:E$1197,"-",0)="-",0,MATCH(_xlfn.XLOOKUP($A880,Korrelation!$D$4:$D$1197,Korrelation!E$4:E$1197,"",0),DMAV_Modell!$G$6:$G$677,0)))</f>
        <v>508</v>
      </c>
      <c r="C880" s="57">
        <f>IF($A880="","",IF(_xlfn.XLOOKUP($A880,Korrelation!$D$4:$D$1197,Korrelation!F$4:F$1197,"-",0)="-",0,MATCH(_xlfn.XLOOKUP($A880,Korrelation!$D$4:$D$1197,Korrelation!F$4:F$1197,"",0),DMAV_Modell!$G$6:$G$677,0)))</f>
        <v>0</v>
      </c>
      <c r="D880" s="57">
        <f>IF($A880="","",IF(_xlfn.XLOOKUP($A880,Korrelation!$D$4:$D$1197,Korrelation!G$4:G$1197,"-",0)="-",0,MATCH(_xlfn.XLOOKUP($A880,Korrelation!$D$4:$D$1197,Korrelation!G$4:G$1197,"",0),DMAV_Modell!$G$6:$G$677,0)))</f>
        <v>0</v>
      </c>
      <c r="E880" s="57">
        <f>IF($A880="","",IF(_xlfn.XLOOKUP($A880,Korrelation!$D$4:$D$1197,Korrelation!H$4:H$1197,"-",0)="-",0,MATCH(_xlfn.XLOOKUP($A880,Korrelation!$D$4:$D$1197,Korrelation!H$4:H$1197,"",0),DMAV_Dienste!$F$6:$F$140,0)))</f>
        <v>0</v>
      </c>
      <c r="F880" s="57">
        <f>IF($A880="","",IF(_xlfn.XLOOKUP($A880,Korrelation!$D$4:$D$1197,Korrelation!I$4:I$1197,"-",0)="-",0,MATCH(_xlfn.XLOOKUP($A880,Korrelation!$D$4:$D$1197,Korrelation!I$4:I$1197,"",0),DMAV_Dienste!$F$6:$F$140,0)))</f>
        <v>0</v>
      </c>
      <c r="G880" s="57">
        <f>IF($A880="","",IF(_xlfn.XLOOKUP($A880,Korrelation!$D$4:$D$1197,Korrelation!J$4:J$1197,"-",0)="-",0,MATCH(_xlfn.XLOOKUP($A880,Korrelation!$D$4:$D$1197,Korrelation!J$4:J$1197,"",0),DMAV_Dienste!$F$6:$F$140,0)))</f>
        <v>0</v>
      </c>
      <c r="H880" s="57">
        <f>IF($A880="","",IF(_xlfn.XLOOKUP($A880,Korrelation!$D$4:$D$1197,Korrelation!K$4:K$1197,"-",0)="-",0,MATCH(_xlfn.XLOOKUP($A880,Korrelation!$D$4:$D$1197,Korrelation!K$4:K$1197,"",0),'DM01-AV-CH'!$A$6:$A$834,0)))</f>
        <v>306</v>
      </c>
      <c r="J880" s="54" t="str" cm="1">
        <f t="array" aca="1" ref="J880" ca="1">IF(B880=0,IF(E880=0,"",HYPERLINK("#"&amp;RIGHT(CELL("adresse",OFFSET(DMAV_Dienste!$M$6,E880-1,0)),LEN(CELL("adresse",OFFSET(DMAV_Dienste!$M$6,E880-1,0)))-FIND("]",CELL("adresse",OFFSET(DMAV_Dienste!$M$6,E880-1,0)))),"Dienst")),HYPERLINK("#"&amp;RIGHT(CELL("adresse",OFFSET(DMAV_Modell!$N$6,B880-1,0)),LEN(CELL("adresse",OFFSET(DMAV_Modell!$N$6,B880-1,0)))-FIND("]",CELL("adresse",OFFSET(DMAV_Modell!$N$6,B880-1,0)))),"Modell"))</f>
        <v>Modell</v>
      </c>
      <c r="K880" s="61" t="str" cm="1">
        <f t="array" ref="K880">IF($B880=0,IF($E880=0,"",IF(INDEX(DMAV_Dienste!P$6:P$140,$E880)="","",INDEX(DMAV_Dienste!P$6:P$140,$E880))),IF(INDEX(DMAV_Modell!Q$6:Q$838,$B880)="","",INDEX(DMAV_Modell!Q$6:Q$838,$B880)))</f>
        <v>CLASS</v>
      </c>
      <c r="L880" s="62" t="str" cm="1">
        <f t="array" ref="L880">IF($B880=0,IF($E880=0,"",IF(INDEX(DMAV_Dienste!O$6:O$140,$E880)="","",INDEX(DMAV_Dienste!O$6:O$140,$E880))),IF(INDEX(DMAV_Modell!P$6:P$838,$B880)="","",INDEX(DMAV_Modell!P$6:P$838,$B880)))</f>
        <v>Einzelobjekte</v>
      </c>
      <c r="M880" s="62" t="str" cm="1">
        <f t="array" ref="M880">IF($B880=0,IF($E880=0,"",IF(INDEX(DMAV_Dienste!Q$6:Q$140,$E880)="","",INDEX(DMAV_Dienste!Q$6:Q$140,$E880))),IF(INDEX(DMAV_Modell!R$6:R$838,$B880)="","",INDEX(DMAV_Modell!R$6:R$838,$B880)))</f>
        <v>EONachfuehrung</v>
      </c>
      <c r="N880" s="62" t="str" cm="1">
        <f t="array" ref="N880">IF($B880=0,IF($E880=0,"",IF(INDEX(DMAV_Dienste!T$6:T$140,$E880)="","",INDEX(DMAV_Dienste!T$6:T$140,$E880))),IF(INDEX(DMAV_Modell!U$6:U$838,$B880)="","",INDEX(DMAV_Modell!U$6:U$838,$B880)))</f>
        <v>Perimeter</v>
      </c>
      <c r="O880" s="63" t="str" cm="1">
        <f t="array" aca="1" ref="O880" ca="1">IF(C880=0,IF(F880=0,"",HYPERLINK("#"&amp;RIGHT(CELL("adresse",OFFSET(DMAV_Dienste!$M$6,F880-1,0)),LEN(CELL("adresse",OFFSET(DMAV_Dienste!$M$6,F880-1,0)))-FIND("]",CELL("adresse",OFFSET(DMAV_Dienste!$M$6,F880-1,0)))),"Structure")),HYPERLINK("#"&amp;RIGHT(CELL("adresse",OFFSET(DMAV_Modell!$N$6,C880-1,0)),LEN(CELL("adresse",OFFSET(DMAV_Modell!$N$6,C880-1,0)))-FIND("]",CELL("adresse",OFFSET(DMAV_Modell!$N$6,C880-1,0)))),"Structure"))</f>
        <v/>
      </c>
      <c r="P880" s="64" t="str" cm="1">
        <f t="array" aca="1" ref="P880" ca="1">IF(D880=0,IF(G880=0,"",HYPERLINK("#"&amp;RIGHT(CELL("adresse",OFFSET(DMAV_Dienste!$M$6,G880-1,0)),LEN(CELL("adresse",OFFSET(DMAV_Dienste!$M$6,G880-1,0)))-FIND("]",CELL("adresse",OFFSET(DMAV_Dienste!$M$6,G880-1,0)))),"Substructure")),HYPERLINK("#"&amp;RIGHT(CELL("adresse",OFFSET(DMAV_Modell!$N$6,D880-1,0)),LEN(CELL("adresse",OFFSET(DMAV_Modell!$N$6,D880-1,0)))-FIND("]",CELL("adresse",OFFSET(DMAV_Modell!$N$6,D880-1,0)))),"Substructure"))</f>
        <v/>
      </c>
      <c r="R880" s="80"/>
      <c r="T880" s="93"/>
      <c r="U880" s="94"/>
      <c r="V880" s="95"/>
      <c r="W880" s="96"/>
      <c r="Y880" s="85"/>
      <c r="Z880" s="86"/>
      <c r="AA880" s="87"/>
      <c r="AB880" s="88"/>
      <c r="AD880" s="77"/>
      <c r="AF880" s="54" t="str" cm="1">
        <f t="array" aca="1" ref="AF880" ca="1">IF(H880=0,"",HYPERLINK("#"&amp;RIGHT(CELL("adresse",OFFSET('DM01-AV-CH'!$G$6,H880-1,0)),LEN(CELL("adresse",OFFSET('DM01-AV-CH'!$G$6,H880-1,0)))-FIND("]",CELL("adresse",OFFSET('DM01-AV-CH'!$G$6,H880-1,0)))),"Modell"))</f>
        <v>Modell</v>
      </c>
      <c r="AG880" s="72" t="str" cm="1">
        <f t="array" ref="AG880">IF($H880=0,"",IF(INDEX('DM01-AV-CH'!G$6:G$834,$H880)="","",INDEX('DM01-AV-CH'!G$6:G$834,$H880)))</f>
        <v>Einzelobjekte</v>
      </c>
      <c r="AH880" s="73" t="str" cm="1">
        <f t="array" ref="AH880">IF($H880=0,"",IF(INDEX('DM01-AV-CH'!H$6:H$834,$H880)="","",INDEX('DM01-AV-CH'!H$6:H$834,$H880)))</f>
        <v>EONachfuehrung</v>
      </c>
      <c r="AI880" s="74" t="str" cm="1">
        <f t="array" ref="AI880">IF($H880=0,"",IF(INDEX('DM01-AV-CH'!I$6:I$834,$H880)="","",INDEX('DM01-AV-CH'!I$6:I$834,$H880)))</f>
        <v>Perimeter</v>
      </c>
    </row>
    <row r="881" spans="1:35" x14ac:dyDescent="0.25">
      <c r="A881" s="57">
        <v>876</v>
      </c>
      <c r="B881" s="57">
        <f>IF($A881="","",IF(_xlfn.XLOOKUP($A881,Korrelation!$D$4:$D$1197,Korrelation!E$4:E$1197,"-",0)="-",0,MATCH(_xlfn.XLOOKUP($A881,Korrelation!$D$4:$D$1197,Korrelation!E$4:E$1197,"",0),DMAV_Modell!$G$6:$G$677,0)))</f>
        <v>0</v>
      </c>
      <c r="C881" s="57">
        <f>IF($A881="","",IF(_xlfn.XLOOKUP($A881,Korrelation!$D$4:$D$1197,Korrelation!F$4:F$1197,"-",0)="-",0,MATCH(_xlfn.XLOOKUP($A881,Korrelation!$D$4:$D$1197,Korrelation!F$4:F$1197,"",0),DMAV_Modell!$G$6:$G$677,0)))</f>
        <v>0</v>
      </c>
      <c r="D881" s="57">
        <f>IF($A881="","",IF(_xlfn.XLOOKUP($A881,Korrelation!$D$4:$D$1197,Korrelation!G$4:G$1197,"-",0)="-",0,MATCH(_xlfn.XLOOKUP($A881,Korrelation!$D$4:$D$1197,Korrelation!G$4:G$1197,"",0),DMAV_Modell!$G$6:$G$677,0)))</f>
        <v>0</v>
      </c>
      <c r="E881" s="57">
        <f>IF($A881="","",IF(_xlfn.XLOOKUP($A881,Korrelation!$D$4:$D$1197,Korrelation!H$4:H$1197,"-",0)="-",0,MATCH(_xlfn.XLOOKUP($A881,Korrelation!$D$4:$D$1197,Korrelation!H$4:H$1197,"",0),DMAV_Dienste!$F$6:$F$140,0)))</f>
        <v>0</v>
      </c>
      <c r="F881" s="57">
        <f>IF($A881="","",IF(_xlfn.XLOOKUP($A881,Korrelation!$D$4:$D$1197,Korrelation!I$4:I$1197,"-",0)="-",0,MATCH(_xlfn.XLOOKUP($A881,Korrelation!$D$4:$D$1197,Korrelation!I$4:I$1197,"",0),DMAV_Dienste!$F$6:$F$140,0)))</f>
        <v>0</v>
      </c>
      <c r="G881" s="57">
        <f>IF($A881="","",IF(_xlfn.XLOOKUP($A881,Korrelation!$D$4:$D$1197,Korrelation!J$4:J$1197,"-",0)="-",0,MATCH(_xlfn.XLOOKUP($A881,Korrelation!$D$4:$D$1197,Korrelation!J$4:J$1197,"",0),DMAV_Dienste!$F$6:$F$140,0)))</f>
        <v>0</v>
      </c>
      <c r="H881" s="57">
        <f>IF($A881="","",IF(_xlfn.XLOOKUP($A881,Korrelation!$D$4:$D$1197,Korrelation!K$4:K$1197,"-",0)="-",0,MATCH(_xlfn.XLOOKUP($A881,Korrelation!$D$4:$D$1197,Korrelation!K$4:K$1197,"",0),'DM01-AV-CH'!$A$6:$A$834,0)))</f>
        <v>307</v>
      </c>
      <c r="J881" s="54" t="str" cm="1">
        <f t="array" aca="1" ref="J881" ca="1">IF(B881=0,IF(E881=0,"",HYPERLINK("#"&amp;RIGHT(CELL("adresse",OFFSET(DMAV_Dienste!$M$6,E881-1,0)),LEN(CELL("adresse",OFFSET(DMAV_Dienste!$M$6,E881-1,0)))-FIND("]",CELL("adresse",OFFSET(DMAV_Dienste!$M$6,E881-1,0)))),"Dienst")),HYPERLINK("#"&amp;RIGHT(CELL("adresse",OFFSET(DMAV_Modell!$N$6,B881-1,0)),LEN(CELL("adresse",OFFSET(DMAV_Modell!$N$6,B881-1,0)))-FIND("]",CELL("adresse",OFFSET(DMAV_Modell!$N$6,B881-1,0)))),"Modell"))</f>
        <v/>
      </c>
      <c r="K881" s="61" t="str" cm="1">
        <f t="array" ref="K881">IF($B881=0,IF($E881=0,"",IF(INDEX(DMAV_Dienste!P$6:P$140,$E881)="","",INDEX(DMAV_Dienste!P$6:P$140,$E881))),IF(INDEX(DMAV_Modell!Q$6:Q$838,$B881)="","",INDEX(DMAV_Modell!Q$6:Q$838,$B881)))</f>
        <v/>
      </c>
      <c r="L881" s="62" t="str" cm="1">
        <f t="array" ref="L881">IF($B881=0,IF($E881=0,"",IF(INDEX(DMAV_Dienste!O$6:O$140,$E881)="","",INDEX(DMAV_Dienste!O$6:O$140,$E881))),IF(INDEX(DMAV_Modell!P$6:P$838,$B881)="","",INDEX(DMAV_Modell!P$6:P$838,$B881)))</f>
        <v/>
      </c>
      <c r="M881" s="62" t="str" cm="1">
        <f t="array" ref="M881">IF($B881=0,IF($E881=0,"",IF(INDEX(DMAV_Dienste!Q$6:Q$140,$E881)="","",INDEX(DMAV_Dienste!Q$6:Q$140,$E881))),IF(INDEX(DMAV_Modell!R$6:R$838,$B881)="","",INDEX(DMAV_Modell!R$6:R$838,$B881)))</f>
        <v/>
      </c>
      <c r="N881" s="62" t="str" cm="1">
        <f t="array" ref="N881">IF($B881=0,IF($E881=0,"",IF(INDEX(DMAV_Dienste!T$6:T$140,$E881)="","",INDEX(DMAV_Dienste!T$6:T$140,$E881))),IF(INDEX(DMAV_Modell!U$6:U$838,$B881)="","",INDEX(DMAV_Modell!U$6:U$838,$B881)))</f>
        <v/>
      </c>
      <c r="O881" s="63" t="str" cm="1">
        <f t="array" aca="1" ref="O881" ca="1">IF(C881=0,IF(F881=0,"",HYPERLINK("#"&amp;RIGHT(CELL("adresse",OFFSET(DMAV_Dienste!$M$6,F881-1,0)),LEN(CELL("adresse",OFFSET(DMAV_Dienste!$M$6,F881-1,0)))-FIND("]",CELL("adresse",OFFSET(DMAV_Dienste!$M$6,F881-1,0)))),"Structure")),HYPERLINK("#"&amp;RIGHT(CELL("adresse",OFFSET(DMAV_Modell!$N$6,C881-1,0)),LEN(CELL("adresse",OFFSET(DMAV_Modell!$N$6,C881-1,0)))-FIND("]",CELL("adresse",OFFSET(DMAV_Modell!$N$6,C881-1,0)))),"Structure"))</f>
        <v/>
      </c>
      <c r="P881" s="64" t="str" cm="1">
        <f t="array" aca="1" ref="P881" ca="1">IF(D881=0,IF(G881=0,"",HYPERLINK("#"&amp;RIGHT(CELL("adresse",OFFSET(DMAV_Dienste!$M$6,G881-1,0)),LEN(CELL("adresse",OFFSET(DMAV_Dienste!$M$6,G881-1,0)))-FIND("]",CELL("adresse",OFFSET(DMAV_Dienste!$M$6,G881-1,0)))),"Substructure")),HYPERLINK("#"&amp;RIGHT(CELL("adresse",OFFSET(DMAV_Modell!$N$6,D881-1,0)),LEN(CELL("adresse",OFFSET(DMAV_Modell!$N$6,D881-1,0)))-FIND("]",CELL("adresse",OFFSET(DMAV_Modell!$N$6,D881-1,0)))),"Substructure"))</f>
        <v/>
      </c>
      <c r="R881" s="80"/>
      <c r="T881" s="93"/>
      <c r="U881" s="94"/>
      <c r="V881" s="95"/>
      <c r="W881" s="96"/>
      <c r="Y881" s="85"/>
      <c r="Z881" s="86"/>
      <c r="AA881" s="87"/>
      <c r="AB881" s="88"/>
      <c r="AD881" s="77" t="s">
        <v>2711</v>
      </c>
      <c r="AF881" s="54" t="str" cm="1">
        <f t="array" aca="1" ref="AF881" ca="1">IF(H881=0,"",HYPERLINK("#"&amp;RIGHT(CELL("adresse",OFFSET('DM01-AV-CH'!$G$6,H881-1,0)),LEN(CELL("adresse",OFFSET('DM01-AV-CH'!$G$6,H881-1,0)))-FIND("]",CELL("adresse",OFFSET('DM01-AV-CH'!$G$6,H881-1,0)))),"Modell"))</f>
        <v>Modell</v>
      </c>
      <c r="AG881" s="72" t="str" cm="1">
        <f t="array" ref="AG881">IF($H881=0,"",IF(INDEX('DM01-AV-CH'!G$6:G$834,$H881)="","",INDEX('DM01-AV-CH'!G$6:G$834,$H881)))</f>
        <v>Einzelobjekte</v>
      </c>
      <c r="AH881" s="73" t="str" cm="1">
        <f t="array" ref="AH881">IF($H881=0,"",IF(INDEX('DM01-AV-CH'!H$6:H$834,$H881)="","",INDEX('DM01-AV-CH'!H$6:H$834,$H881)))</f>
        <v>EONachfuehrung</v>
      </c>
      <c r="AI881" s="74" t="str" cm="1">
        <f t="array" ref="AI881">IF($H881=0,"",IF(INDEX('DM01-AV-CH'!I$6:I$834,$H881)="","",INDEX('DM01-AV-CH'!I$6:I$834,$H881)))</f>
        <v>Gueltigkeit</v>
      </c>
    </row>
    <row r="882" spans="1:35" x14ac:dyDescent="0.25">
      <c r="A882" s="57">
        <v>877</v>
      </c>
      <c r="B882" s="57">
        <f>IF($A882="","",IF(_xlfn.XLOOKUP($A882,Korrelation!$D$4:$D$1197,Korrelation!E$4:E$1197,"-",0)="-",0,MATCH(_xlfn.XLOOKUP($A882,Korrelation!$D$4:$D$1197,Korrelation!E$4:E$1197,"",0),DMAV_Modell!$G$6:$G$677,0)))</f>
        <v>509</v>
      </c>
      <c r="C882" s="57">
        <f>IF($A882="","",IF(_xlfn.XLOOKUP($A882,Korrelation!$D$4:$D$1197,Korrelation!F$4:F$1197,"-",0)="-",0,MATCH(_xlfn.XLOOKUP($A882,Korrelation!$D$4:$D$1197,Korrelation!F$4:F$1197,"",0),DMAV_Modell!$G$6:$G$677,0)))</f>
        <v>0</v>
      </c>
      <c r="D882" s="57">
        <f>IF($A882="","",IF(_xlfn.XLOOKUP($A882,Korrelation!$D$4:$D$1197,Korrelation!G$4:G$1197,"-",0)="-",0,MATCH(_xlfn.XLOOKUP($A882,Korrelation!$D$4:$D$1197,Korrelation!G$4:G$1197,"",0),DMAV_Modell!$G$6:$G$677,0)))</f>
        <v>0</v>
      </c>
      <c r="E882" s="57">
        <f>IF($A882="","",IF(_xlfn.XLOOKUP($A882,Korrelation!$D$4:$D$1197,Korrelation!H$4:H$1197,"-",0)="-",0,MATCH(_xlfn.XLOOKUP($A882,Korrelation!$D$4:$D$1197,Korrelation!H$4:H$1197,"",0),DMAV_Dienste!$F$6:$F$140,0)))</f>
        <v>0</v>
      </c>
      <c r="F882" s="57">
        <f>IF($A882="","",IF(_xlfn.XLOOKUP($A882,Korrelation!$D$4:$D$1197,Korrelation!I$4:I$1197,"-",0)="-",0,MATCH(_xlfn.XLOOKUP($A882,Korrelation!$D$4:$D$1197,Korrelation!I$4:I$1197,"",0),DMAV_Dienste!$F$6:$F$140,0)))</f>
        <v>0</v>
      </c>
      <c r="G882" s="57">
        <f>IF($A882="","",IF(_xlfn.XLOOKUP($A882,Korrelation!$D$4:$D$1197,Korrelation!J$4:J$1197,"-",0)="-",0,MATCH(_xlfn.XLOOKUP($A882,Korrelation!$D$4:$D$1197,Korrelation!J$4:J$1197,"",0),DMAV_Dienste!$F$6:$F$140,0)))</f>
        <v>0</v>
      </c>
      <c r="H882" s="57">
        <f>IF($A882="","",IF(_xlfn.XLOOKUP($A882,Korrelation!$D$4:$D$1197,Korrelation!K$4:K$1197,"-",0)="-",0,MATCH(_xlfn.XLOOKUP($A882,Korrelation!$D$4:$D$1197,Korrelation!K$4:K$1197,"",0),'DM01-AV-CH'!$A$6:$A$834,0)))</f>
        <v>308</v>
      </c>
      <c r="J882" s="54" t="str" cm="1">
        <f t="array" aca="1" ref="J882" ca="1">IF(B882=0,IF(E882=0,"",HYPERLINK("#"&amp;RIGHT(CELL("adresse",OFFSET(DMAV_Dienste!$M$6,E882-1,0)),LEN(CELL("adresse",OFFSET(DMAV_Dienste!$M$6,E882-1,0)))-FIND("]",CELL("adresse",OFFSET(DMAV_Dienste!$M$6,E882-1,0)))),"Dienst")),HYPERLINK("#"&amp;RIGHT(CELL("adresse",OFFSET(DMAV_Modell!$N$6,B882-1,0)),LEN(CELL("adresse",OFFSET(DMAV_Modell!$N$6,B882-1,0)))-FIND("]",CELL("adresse",OFFSET(DMAV_Modell!$N$6,B882-1,0)))),"Modell"))</f>
        <v>Modell</v>
      </c>
      <c r="K882" s="61" t="str" cm="1">
        <f t="array" ref="K882">IF($B882=0,IF($E882=0,"",IF(INDEX(DMAV_Dienste!P$6:P$140,$E882)="","",INDEX(DMAV_Dienste!P$6:P$140,$E882))),IF(INDEX(DMAV_Modell!Q$6:Q$838,$B882)="","",INDEX(DMAV_Modell!Q$6:Q$838,$B882)))</f>
        <v>CLASS</v>
      </c>
      <c r="L882" s="62" t="str" cm="1">
        <f t="array" ref="L882">IF($B882=0,IF($E882=0,"",IF(INDEX(DMAV_Dienste!O$6:O$140,$E882)="","",INDEX(DMAV_Dienste!O$6:O$140,$E882))),IF(INDEX(DMAV_Modell!P$6:P$838,$B882)="","",INDEX(DMAV_Modell!P$6:P$838,$B882)))</f>
        <v>Einzelobjekte</v>
      </c>
      <c r="M882" s="62" t="str" cm="1">
        <f t="array" ref="M882">IF($B882=0,IF($E882=0,"",IF(INDEX(DMAV_Dienste!Q$6:Q$140,$E882)="","",INDEX(DMAV_Dienste!Q$6:Q$140,$E882))),IF(INDEX(DMAV_Modell!R$6:R$838,$B882)="","",INDEX(DMAV_Modell!R$6:R$838,$B882)))</f>
        <v>EONachfuehrung</v>
      </c>
      <c r="N882" s="62" t="str" cm="1">
        <f t="array" ref="N882">IF($B882=0,IF($E882=0,"",IF(INDEX(DMAV_Dienste!T$6:T$140,$E882)="","",INDEX(DMAV_Dienste!T$6:T$140,$E882))),IF(INDEX(DMAV_Modell!U$6:U$838,$B882)="","",INDEX(DMAV_Modell!U$6:U$838,$B882)))</f>
        <v>GueltigerEintrag</v>
      </c>
      <c r="O882" s="63" t="str" cm="1">
        <f t="array" aca="1" ref="O882" ca="1">IF(C882=0,IF(F882=0,"",HYPERLINK("#"&amp;RIGHT(CELL("adresse",OFFSET(DMAV_Dienste!$M$6,F882-1,0)),LEN(CELL("adresse",OFFSET(DMAV_Dienste!$M$6,F882-1,0)))-FIND("]",CELL("adresse",OFFSET(DMAV_Dienste!$M$6,F882-1,0)))),"Structure")),HYPERLINK("#"&amp;RIGHT(CELL("adresse",OFFSET(DMAV_Modell!$N$6,C882-1,0)),LEN(CELL("adresse",OFFSET(DMAV_Modell!$N$6,C882-1,0)))-FIND("]",CELL("adresse",OFFSET(DMAV_Modell!$N$6,C882-1,0)))),"Structure"))</f>
        <v/>
      </c>
      <c r="P882" s="64" t="str" cm="1">
        <f t="array" aca="1" ref="P882" ca="1">IF(D882=0,IF(G882=0,"",HYPERLINK("#"&amp;RIGHT(CELL("adresse",OFFSET(DMAV_Dienste!$M$6,G882-1,0)),LEN(CELL("adresse",OFFSET(DMAV_Dienste!$M$6,G882-1,0)))-FIND("]",CELL("adresse",OFFSET(DMAV_Dienste!$M$6,G882-1,0)))),"Substructure")),HYPERLINK("#"&amp;RIGHT(CELL("adresse",OFFSET(DMAV_Modell!$N$6,D882-1,0)),LEN(CELL("adresse",OFFSET(DMAV_Modell!$N$6,D882-1,0)))-FIND("]",CELL("adresse",OFFSET(DMAV_Modell!$N$6,D882-1,0)))),"Substructure"))</f>
        <v/>
      </c>
      <c r="R882" s="80"/>
      <c r="T882" s="93"/>
      <c r="U882" s="94"/>
      <c r="V882" s="95"/>
      <c r="W882" s="96"/>
      <c r="Y882" s="85"/>
      <c r="Z882" s="86"/>
      <c r="AA882" s="87"/>
      <c r="AB882" s="88"/>
      <c r="AD882" s="77"/>
      <c r="AF882" s="54" t="str" cm="1">
        <f t="array" aca="1" ref="AF882" ca="1">IF(H882=0,"",HYPERLINK("#"&amp;RIGHT(CELL("adresse",OFFSET('DM01-AV-CH'!$G$6,H882-1,0)),LEN(CELL("adresse",OFFSET('DM01-AV-CH'!$G$6,H882-1,0)))-FIND("]",CELL("adresse",OFFSET('DM01-AV-CH'!$G$6,H882-1,0)))),"Modell"))</f>
        <v>Modell</v>
      </c>
      <c r="AG882" s="72" t="str" cm="1">
        <f t="array" ref="AG882">IF($H882=0,"",IF(INDEX('DM01-AV-CH'!G$6:G$834,$H882)="","",INDEX('DM01-AV-CH'!G$6:G$834,$H882)))</f>
        <v>Einzelobjekte</v>
      </c>
      <c r="AH882" s="73" t="str" cm="1">
        <f t="array" ref="AH882">IF($H882=0,"",IF(INDEX('DM01-AV-CH'!H$6:H$834,$H882)="","",INDEX('DM01-AV-CH'!H$6:H$834,$H882)))</f>
        <v>EONachfuehrung</v>
      </c>
      <c r="AI882" s="74" t="str" cm="1">
        <f t="array" ref="AI882">IF($H882=0,"",IF(INDEX('DM01-AV-CH'!I$6:I$834,$H882)="","",INDEX('DM01-AV-CH'!I$6:I$834,$H882)))</f>
        <v>GueltigerEintrag</v>
      </c>
    </row>
    <row r="883" spans="1:35" ht="28.5" x14ac:dyDescent="0.25">
      <c r="A883" s="57">
        <v>878</v>
      </c>
      <c r="B883" s="57">
        <f>IF($A883="","",IF(_xlfn.XLOOKUP($A883,Korrelation!$D$4:$D$1197,Korrelation!E$4:E$1197,"-",0)="-",0,MATCH(_xlfn.XLOOKUP($A883,Korrelation!$D$4:$D$1197,Korrelation!E$4:E$1197,"",0),DMAV_Modell!$G$6:$G$677,0)))</f>
        <v>509</v>
      </c>
      <c r="C883" s="57">
        <f>IF($A883="","",IF(_xlfn.XLOOKUP($A883,Korrelation!$D$4:$D$1197,Korrelation!F$4:F$1197,"-",0)="-",0,MATCH(_xlfn.XLOOKUP($A883,Korrelation!$D$4:$D$1197,Korrelation!F$4:F$1197,"",0),DMAV_Modell!$G$6:$G$677,0)))</f>
        <v>0</v>
      </c>
      <c r="D883" s="57">
        <f>IF($A883="","",IF(_xlfn.XLOOKUP($A883,Korrelation!$D$4:$D$1197,Korrelation!G$4:G$1197,"-",0)="-",0,MATCH(_xlfn.XLOOKUP($A883,Korrelation!$D$4:$D$1197,Korrelation!G$4:G$1197,"",0),DMAV_Modell!$G$6:$G$677,0)))</f>
        <v>0</v>
      </c>
      <c r="E883" s="57">
        <f>IF($A883="","",IF(_xlfn.XLOOKUP($A883,Korrelation!$D$4:$D$1197,Korrelation!H$4:H$1197,"-",0)="-",0,MATCH(_xlfn.XLOOKUP($A883,Korrelation!$D$4:$D$1197,Korrelation!H$4:H$1197,"",0),DMAV_Dienste!$F$6:$F$140,0)))</f>
        <v>0</v>
      </c>
      <c r="F883" s="57">
        <f>IF($A883="","",IF(_xlfn.XLOOKUP($A883,Korrelation!$D$4:$D$1197,Korrelation!I$4:I$1197,"-",0)="-",0,MATCH(_xlfn.XLOOKUP($A883,Korrelation!$D$4:$D$1197,Korrelation!I$4:I$1197,"",0),DMAV_Dienste!$F$6:$F$140,0)))</f>
        <v>0</v>
      </c>
      <c r="G883" s="57">
        <f>IF($A883="","",IF(_xlfn.XLOOKUP($A883,Korrelation!$D$4:$D$1197,Korrelation!J$4:J$1197,"-",0)="-",0,MATCH(_xlfn.XLOOKUP($A883,Korrelation!$D$4:$D$1197,Korrelation!J$4:J$1197,"",0),DMAV_Dienste!$F$6:$F$140,0)))</f>
        <v>0</v>
      </c>
      <c r="H883" s="57">
        <f>IF($A883="","",IF(_xlfn.XLOOKUP($A883,Korrelation!$D$4:$D$1197,Korrelation!K$4:K$1197,"-",0)="-",0,MATCH(_xlfn.XLOOKUP($A883,Korrelation!$D$4:$D$1197,Korrelation!K$4:K$1197,"",0),'DM01-AV-CH'!$A$6:$A$834,0)))</f>
        <v>309</v>
      </c>
      <c r="J883" s="54" t="str" cm="1">
        <f t="array" aca="1" ref="J883" ca="1">IF(B883=0,IF(E883=0,"",HYPERLINK("#"&amp;RIGHT(CELL("adresse",OFFSET(DMAV_Dienste!$M$6,E883-1,0)),LEN(CELL("adresse",OFFSET(DMAV_Dienste!$M$6,E883-1,0)))-FIND("]",CELL("adresse",OFFSET(DMAV_Dienste!$M$6,E883-1,0)))),"Dienst")),HYPERLINK("#"&amp;RIGHT(CELL("adresse",OFFSET(DMAV_Modell!$N$6,B883-1,0)),LEN(CELL("adresse",OFFSET(DMAV_Modell!$N$6,B883-1,0)))-FIND("]",CELL("adresse",OFFSET(DMAV_Modell!$N$6,B883-1,0)))),"Modell"))</f>
        <v>Modell</v>
      </c>
      <c r="K883" s="61" t="str" cm="1">
        <f t="array" ref="K883">IF($B883=0,IF($E883=0,"",IF(INDEX(DMAV_Dienste!P$6:P$140,$E883)="","",INDEX(DMAV_Dienste!P$6:P$140,$E883))),IF(INDEX(DMAV_Modell!Q$6:Q$838,$B883)="","",INDEX(DMAV_Modell!Q$6:Q$838,$B883)))</f>
        <v>CLASS</v>
      </c>
      <c r="L883" s="62" t="str" cm="1">
        <f t="array" ref="L883">IF($B883=0,IF($E883=0,"",IF(INDEX(DMAV_Dienste!O$6:O$140,$E883)="","",INDEX(DMAV_Dienste!O$6:O$140,$E883))),IF(INDEX(DMAV_Modell!P$6:P$838,$B883)="","",INDEX(DMAV_Modell!P$6:P$838,$B883)))</f>
        <v>Einzelobjekte</v>
      </c>
      <c r="M883" s="62" t="str" cm="1">
        <f t="array" ref="M883">IF($B883=0,IF($E883=0,"",IF(INDEX(DMAV_Dienste!Q$6:Q$140,$E883)="","",INDEX(DMAV_Dienste!Q$6:Q$140,$E883))),IF(INDEX(DMAV_Modell!R$6:R$838,$B883)="","",INDEX(DMAV_Modell!R$6:R$838,$B883)))</f>
        <v>EONachfuehrung</v>
      </c>
      <c r="N883" s="62" t="str" cm="1">
        <f t="array" ref="N883">IF($B883=0,IF($E883=0,"",IF(INDEX(DMAV_Dienste!T$6:T$140,$E883)="","",INDEX(DMAV_Dienste!T$6:T$140,$E883))),IF(INDEX(DMAV_Modell!U$6:U$838,$B883)="","",INDEX(DMAV_Modell!U$6:U$838,$B883)))</f>
        <v>GueltigerEintrag</v>
      </c>
      <c r="O883" s="63" t="str" cm="1">
        <f t="array" aca="1" ref="O883" ca="1">IF(C883=0,IF(F883=0,"",HYPERLINK("#"&amp;RIGHT(CELL("adresse",OFFSET(DMAV_Dienste!$M$6,F883-1,0)),LEN(CELL("adresse",OFFSET(DMAV_Dienste!$M$6,F883-1,0)))-FIND("]",CELL("adresse",OFFSET(DMAV_Dienste!$M$6,F883-1,0)))),"Structure")),HYPERLINK("#"&amp;RIGHT(CELL("adresse",OFFSET(DMAV_Modell!$N$6,C883-1,0)),LEN(CELL("adresse",OFFSET(DMAV_Modell!$N$6,C883-1,0)))-FIND("]",CELL("adresse",OFFSET(DMAV_Modell!$N$6,C883-1,0)))),"Structure"))</f>
        <v/>
      </c>
      <c r="P883" s="64" t="str" cm="1">
        <f t="array" aca="1" ref="P883" ca="1">IF(D883=0,IF(G883=0,"",HYPERLINK("#"&amp;RIGHT(CELL("adresse",OFFSET(DMAV_Dienste!$M$6,G883-1,0)),LEN(CELL("adresse",OFFSET(DMAV_Dienste!$M$6,G883-1,0)))-FIND("]",CELL("adresse",OFFSET(DMAV_Dienste!$M$6,G883-1,0)))),"Substructure")),HYPERLINK("#"&amp;RIGHT(CELL("adresse",OFFSET(DMAV_Modell!$N$6,D883-1,0)),LEN(CELL("adresse",OFFSET(DMAV_Modell!$N$6,D883-1,0)))-FIND("]",CELL("adresse",OFFSET(DMAV_Modell!$N$6,D883-1,0)))),"Substructure"))</f>
        <v/>
      </c>
      <c r="R883" s="80"/>
      <c r="T883" s="93" t="s">
        <v>3197</v>
      </c>
      <c r="U883" s="94"/>
      <c r="V883" s="95"/>
      <c r="W883" s="96"/>
      <c r="Y883" s="85"/>
      <c r="Z883" s="86"/>
      <c r="AA883" s="87"/>
      <c r="AB883" s="88"/>
      <c r="AD883" s="77" t="s">
        <v>3049</v>
      </c>
      <c r="AF883" s="54" t="str" cm="1">
        <f t="array" aca="1" ref="AF883" ca="1">IF(H883=0,"",HYPERLINK("#"&amp;RIGHT(CELL("adresse",OFFSET('DM01-AV-CH'!$G$6,H883-1,0)),LEN(CELL("adresse",OFFSET('DM01-AV-CH'!$G$6,H883-1,0)))-FIND("]",CELL("adresse",OFFSET('DM01-AV-CH'!$G$6,H883-1,0)))),"Modell"))</f>
        <v>Modell</v>
      </c>
      <c r="AG883" s="72" t="str" cm="1">
        <f t="array" ref="AG883">IF($H883=0,"",IF(INDEX('DM01-AV-CH'!G$6:G$834,$H883)="","",INDEX('DM01-AV-CH'!G$6:G$834,$H883)))</f>
        <v>Einzelobjekte</v>
      </c>
      <c r="AH883" s="73" t="str" cm="1">
        <f t="array" ref="AH883">IF($H883=0,"",IF(INDEX('DM01-AV-CH'!H$6:H$834,$H883)="","",INDEX('DM01-AV-CH'!H$6:H$834,$H883)))</f>
        <v>EONachfuehrung</v>
      </c>
      <c r="AI883" s="74" t="str" cm="1">
        <f t="array" ref="AI883">IF($H883=0,"",IF(INDEX('DM01-AV-CH'!I$6:I$834,$H883)="","",INDEX('DM01-AV-CH'!I$6:I$834,$H883)))</f>
        <v>Datum1</v>
      </c>
    </row>
    <row r="884" spans="1:35" x14ac:dyDescent="0.25">
      <c r="A884" s="57">
        <v>879</v>
      </c>
      <c r="B884" s="57">
        <f>IF($A884="","",IF(_xlfn.XLOOKUP($A884,Korrelation!$D$4:$D$1197,Korrelation!E$4:E$1197,"-",0)="-",0,MATCH(_xlfn.XLOOKUP($A884,Korrelation!$D$4:$D$1197,Korrelation!E$4:E$1197,"",0),DMAV_Modell!$G$6:$G$677,0)))</f>
        <v>510</v>
      </c>
      <c r="C884" s="57">
        <f>IF($A884="","",IF(_xlfn.XLOOKUP($A884,Korrelation!$D$4:$D$1197,Korrelation!F$4:F$1197,"-",0)="-",0,MATCH(_xlfn.XLOOKUP($A884,Korrelation!$D$4:$D$1197,Korrelation!F$4:F$1197,"",0),DMAV_Modell!$G$6:$G$677,0)))</f>
        <v>0</v>
      </c>
      <c r="D884" s="57">
        <f>IF($A884="","",IF(_xlfn.XLOOKUP($A884,Korrelation!$D$4:$D$1197,Korrelation!G$4:G$1197,"-",0)="-",0,MATCH(_xlfn.XLOOKUP($A884,Korrelation!$D$4:$D$1197,Korrelation!G$4:G$1197,"",0),DMAV_Modell!$G$6:$G$677,0)))</f>
        <v>0</v>
      </c>
      <c r="E884" s="57">
        <f>IF($A884="","",IF(_xlfn.XLOOKUP($A884,Korrelation!$D$4:$D$1197,Korrelation!H$4:H$1197,"-",0)="-",0,MATCH(_xlfn.XLOOKUP($A884,Korrelation!$D$4:$D$1197,Korrelation!H$4:H$1197,"",0),DMAV_Dienste!$F$6:$F$140,0)))</f>
        <v>0</v>
      </c>
      <c r="F884" s="57">
        <f>IF($A884="","",IF(_xlfn.XLOOKUP($A884,Korrelation!$D$4:$D$1197,Korrelation!I$4:I$1197,"-",0)="-",0,MATCH(_xlfn.XLOOKUP($A884,Korrelation!$D$4:$D$1197,Korrelation!I$4:I$1197,"",0),DMAV_Dienste!$F$6:$F$140,0)))</f>
        <v>0</v>
      </c>
      <c r="G884" s="57">
        <f>IF($A884="","",IF(_xlfn.XLOOKUP($A884,Korrelation!$D$4:$D$1197,Korrelation!J$4:J$1197,"-",0)="-",0,MATCH(_xlfn.XLOOKUP($A884,Korrelation!$D$4:$D$1197,Korrelation!J$4:J$1197,"",0),DMAV_Dienste!$F$6:$F$140,0)))</f>
        <v>0</v>
      </c>
      <c r="H884" s="57">
        <f>IF($A884="","",IF(_xlfn.XLOOKUP($A884,Korrelation!$D$4:$D$1197,Korrelation!K$4:K$1197,"-",0)="-",0,MATCH(_xlfn.XLOOKUP($A884,Korrelation!$D$4:$D$1197,Korrelation!K$4:K$1197,"",0),'DM01-AV-CH'!$A$6:$A$834,0)))</f>
        <v>0</v>
      </c>
      <c r="J884" s="54" t="str" cm="1">
        <f t="array" aca="1" ref="J884" ca="1">IF(B884=0,IF(E884=0,"",HYPERLINK("#"&amp;RIGHT(CELL("adresse",OFFSET(DMAV_Dienste!$M$6,E884-1,0)),LEN(CELL("adresse",OFFSET(DMAV_Dienste!$M$6,E884-1,0)))-FIND("]",CELL("adresse",OFFSET(DMAV_Dienste!$M$6,E884-1,0)))),"Dienst")),HYPERLINK("#"&amp;RIGHT(CELL("adresse",OFFSET(DMAV_Modell!$N$6,B884-1,0)),LEN(CELL("adresse",OFFSET(DMAV_Modell!$N$6,B884-1,0)))-FIND("]",CELL("adresse",OFFSET(DMAV_Modell!$N$6,B884-1,0)))),"Modell"))</f>
        <v>Modell</v>
      </c>
      <c r="K884" s="61" t="str" cm="1">
        <f t="array" ref="K884">IF($B884=0,IF($E884=0,"",IF(INDEX(DMAV_Dienste!P$6:P$140,$E884)="","",INDEX(DMAV_Dienste!P$6:P$140,$E884))),IF(INDEX(DMAV_Modell!Q$6:Q$838,$B884)="","",INDEX(DMAV_Modell!Q$6:Q$838,$B884)))</f>
        <v>STRUCTURE</v>
      </c>
      <c r="L884" s="62" t="str" cm="1">
        <f t="array" ref="L884">IF($B884=0,IF($E884=0,"",IF(INDEX(DMAV_Dienste!O$6:O$140,$E884)="","",INDEX(DMAV_Dienste!O$6:O$140,$E884))),IF(INDEX(DMAV_Modell!P$6:P$838,$B884)="","",INDEX(DMAV_Modell!P$6:P$838,$B884)))</f>
        <v>Einzelobjekte</v>
      </c>
      <c r="M884" s="62" t="str" cm="1">
        <f t="array" ref="M884">IF($B884=0,IF($E884=0,"",IF(INDEX(DMAV_Dienste!Q$6:Q$140,$E884)="","",INDEX(DMAV_Dienste!Q$6:Q$140,$E884))),IF(INDEX(DMAV_Modell!R$6:R$838,$B884)="","",INDEX(DMAV_Modell!R$6:R$838,$B884)))</f>
        <v>Flaechenelement</v>
      </c>
      <c r="N884" s="62" t="str" cm="1">
        <f t="array" ref="N884">IF($B884=0,IF($E884=0,"",IF(INDEX(DMAV_Dienste!T$6:T$140,$E884)="","",INDEX(DMAV_Dienste!T$6:T$140,$E884))),IF(INDEX(DMAV_Modell!U$6:U$838,$B884)="","",INDEX(DMAV_Modell!U$6:U$838,$B884)))</f>
        <v>Geometrie</v>
      </c>
      <c r="O884" s="63" t="str" cm="1">
        <f t="array" aca="1" ref="O884" ca="1">IF(C884=0,IF(F884=0,"",HYPERLINK("#"&amp;RIGHT(CELL("adresse",OFFSET(DMAV_Dienste!$M$6,F884-1,0)),LEN(CELL("adresse",OFFSET(DMAV_Dienste!$M$6,F884-1,0)))-FIND("]",CELL("adresse",OFFSET(DMAV_Dienste!$M$6,F884-1,0)))),"Structure")),HYPERLINK("#"&amp;RIGHT(CELL("adresse",OFFSET(DMAV_Modell!$N$6,C884-1,0)),LEN(CELL("adresse",OFFSET(DMAV_Modell!$N$6,C884-1,0)))-FIND("]",CELL("adresse",OFFSET(DMAV_Modell!$N$6,C884-1,0)))),"Structure"))</f>
        <v/>
      </c>
      <c r="P884" s="64" t="str" cm="1">
        <f t="array" aca="1" ref="P884" ca="1">IF(D884=0,IF(G884=0,"",HYPERLINK("#"&amp;RIGHT(CELL("adresse",OFFSET(DMAV_Dienste!$M$6,G884-1,0)),LEN(CELL("adresse",OFFSET(DMAV_Dienste!$M$6,G884-1,0)))-FIND("]",CELL("adresse",OFFSET(DMAV_Dienste!$M$6,G884-1,0)))),"Substructure")),HYPERLINK("#"&amp;RIGHT(CELL("adresse",OFFSET(DMAV_Modell!$N$6,D884-1,0)),LEN(CELL("adresse",OFFSET(DMAV_Modell!$N$6,D884-1,0)))-FIND("]",CELL("adresse",OFFSET(DMAV_Modell!$N$6,D884-1,0)))),"Substructure"))</f>
        <v/>
      </c>
      <c r="R884" s="80"/>
      <c r="T884" s="93"/>
      <c r="U884" s="94"/>
      <c r="V884" s="95"/>
      <c r="W884" s="96"/>
      <c r="Y884" s="85"/>
      <c r="Z884" s="86"/>
      <c r="AA884" s="87"/>
      <c r="AB884" s="88"/>
      <c r="AD884" s="77"/>
      <c r="AF884" s="54" t="str" cm="1">
        <f t="array" aca="1" ref="AF884" ca="1">IF(H884=0,"",HYPERLINK("#"&amp;RIGHT(CELL("adresse",OFFSET('DM01-AV-CH'!$G$6,H884-1,0)),LEN(CELL("adresse",OFFSET('DM01-AV-CH'!$G$6,H884-1,0)))-FIND("]",CELL("adresse",OFFSET('DM01-AV-CH'!$G$6,H884-1,0)))),"Modell"))</f>
        <v/>
      </c>
      <c r="AG884" s="72" t="str" cm="1">
        <f t="array" ref="AG884">IF($H884=0,"",IF(INDEX('DM01-AV-CH'!G$6:G$834,$H884)="","",INDEX('DM01-AV-CH'!G$6:G$834,$H884)))</f>
        <v/>
      </c>
      <c r="AH884" s="73" t="str" cm="1">
        <f t="array" ref="AH884">IF($H884=0,"",IF(INDEX('DM01-AV-CH'!H$6:H$834,$H884)="","",INDEX('DM01-AV-CH'!H$6:H$834,$H884)))</f>
        <v/>
      </c>
      <c r="AI884" s="74" t="str" cm="1">
        <f t="array" ref="AI884">IF($H884=0,"",IF(INDEX('DM01-AV-CH'!I$6:I$834,$H884)="","",INDEX('DM01-AV-CH'!I$6:I$834,$H884)))</f>
        <v/>
      </c>
    </row>
    <row r="885" spans="1:35" x14ac:dyDescent="0.25">
      <c r="A885" s="57">
        <v>880</v>
      </c>
      <c r="B885" s="57">
        <f>IF($A885="","",IF(_xlfn.XLOOKUP($A885,Korrelation!$D$4:$D$1197,Korrelation!E$4:E$1197,"-",0)="-",0,MATCH(_xlfn.XLOOKUP($A885,Korrelation!$D$4:$D$1197,Korrelation!E$4:E$1197,"",0),DMAV_Modell!$G$6:$G$677,0)))</f>
        <v>511</v>
      </c>
      <c r="C885" s="57">
        <f>IF($A885="","",IF(_xlfn.XLOOKUP($A885,Korrelation!$D$4:$D$1197,Korrelation!F$4:F$1197,"-",0)="-",0,MATCH(_xlfn.XLOOKUP($A885,Korrelation!$D$4:$D$1197,Korrelation!F$4:F$1197,"",0),DMAV_Modell!$G$6:$G$677,0)))</f>
        <v>33</v>
      </c>
      <c r="D885" s="57">
        <f>IF($A885="","",IF(_xlfn.XLOOKUP($A885,Korrelation!$D$4:$D$1197,Korrelation!G$4:G$1197,"-",0)="-",0,MATCH(_xlfn.XLOOKUP($A885,Korrelation!$D$4:$D$1197,Korrelation!G$4:G$1197,"",0),DMAV_Modell!$G$6:$G$677,0)))</f>
        <v>0</v>
      </c>
      <c r="E885" s="57">
        <f>IF($A885="","",IF(_xlfn.XLOOKUP($A885,Korrelation!$D$4:$D$1197,Korrelation!H$4:H$1197,"-",0)="-",0,MATCH(_xlfn.XLOOKUP($A885,Korrelation!$D$4:$D$1197,Korrelation!H$4:H$1197,"",0),DMAV_Dienste!$F$6:$F$140,0)))</f>
        <v>0</v>
      </c>
      <c r="F885" s="57">
        <f>IF($A885="","",IF(_xlfn.XLOOKUP($A885,Korrelation!$D$4:$D$1197,Korrelation!I$4:I$1197,"-",0)="-",0,MATCH(_xlfn.XLOOKUP($A885,Korrelation!$D$4:$D$1197,Korrelation!I$4:I$1197,"",0),DMAV_Dienste!$F$6:$F$140,0)))</f>
        <v>0</v>
      </c>
      <c r="G885" s="57">
        <f>IF($A885="","",IF(_xlfn.XLOOKUP($A885,Korrelation!$D$4:$D$1197,Korrelation!J$4:J$1197,"-",0)="-",0,MATCH(_xlfn.XLOOKUP($A885,Korrelation!$D$4:$D$1197,Korrelation!J$4:J$1197,"",0),DMAV_Dienste!$F$6:$F$140,0)))</f>
        <v>0</v>
      </c>
      <c r="H885" s="57">
        <f>IF($A885="","",IF(_xlfn.XLOOKUP($A885,Korrelation!$D$4:$D$1197,Korrelation!K$4:K$1197,"-",0)="-",0,MATCH(_xlfn.XLOOKUP($A885,Korrelation!$D$4:$D$1197,Korrelation!K$4:K$1197,"",0),'DM01-AV-CH'!$A$6:$A$834,0)))</f>
        <v>0</v>
      </c>
      <c r="J885" s="54" t="str" cm="1">
        <f t="array" aca="1" ref="J885" ca="1">IF(B885=0,IF(E885=0,"",HYPERLINK("#"&amp;RIGHT(CELL("adresse",OFFSET(DMAV_Dienste!$M$6,E885-1,0)),LEN(CELL("adresse",OFFSET(DMAV_Dienste!$M$6,E885-1,0)))-FIND("]",CELL("adresse",OFFSET(DMAV_Dienste!$M$6,E885-1,0)))),"Dienst")),HYPERLINK("#"&amp;RIGHT(CELL("adresse",OFFSET(DMAV_Modell!$N$6,B885-1,0)),LEN(CELL("adresse",OFFSET(DMAV_Modell!$N$6,B885-1,0)))-FIND("]",CELL("adresse",OFFSET(DMAV_Modell!$N$6,B885-1,0)))),"Modell"))</f>
        <v>Modell</v>
      </c>
      <c r="K885" s="61" t="str" cm="1">
        <f t="array" ref="K885">IF($B885=0,IF($E885=0,"",IF(INDEX(DMAV_Dienste!P$6:P$140,$E885)="","",INDEX(DMAV_Dienste!P$6:P$140,$E885))),IF(INDEX(DMAV_Modell!Q$6:Q$838,$B885)="","",INDEX(DMAV_Modell!Q$6:Q$838,$B885)))</f>
        <v>STRUCTURE</v>
      </c>
      <c r="L885" s="62" t="str" cm="1">
        <f t="array" ref="L885">IF($B885=0,IF($E885=0,"",IF(INDEX(DMAV_Dienste!O$6:O$140,$E885)="","",INDEX(DMAV_Dienste!O$6:O$140,$E885))),IF(INDEX(DMAV_Modell!P$6:P$838,$B885)="","",INDEX(DMAV_Modell!P$6:P$838,$B885)))</f>
        <v>Einzelobjekte</v>
      </c>
      <c r="M885" s="62" t="str" cm="1">
        <f t="array" ref="M885">IF($B885=0,IF($E885=0,"",IF(INDEX(DMAV_Dienste!Q$6:Q$140,$E885)="","",INDEX(DMAV_Dienste!Q$6:Q$140,$E885))),IF(INDEX(DMAV_Modell!R$6:R$838,$B885)="","",INDEX(DMAV_Modell!R$6:R$838,$B885)))</f>
        <v>Flaechenelement</v>
      </c>
      <c r="N885" s="62" t="str" cm="1">
        <f t="array" ref="N885">IF($B885=0,IF($E885=0,"",IF(INDEX(DMAV_Dienste!T$6:T$140,$E885)="","",INDEX(DMAV_Dienste!T$6:T$140,$E885))),IF(INDEX(DMAV_Modell!U$6:U$838,$B885)="","",INDEX(DMAV_Modell!U$6:U$838,$B885)))</f>
        <v>Symbolposition</v>
      </c>
      <c r="O885" s="63" t="str" cm="1">
        <f t="array" aca="1" ref="O885" ca="1">IF(C885=0,IF(F885=0,"",HYPERLINK("#"&amp;RIGHT(CELL("adresse",OFFSET(DMAV_Dienste!$M$6,F885-1,0)),LEN(CELL("adresse",OFFSET(DMAV_Dienste!$M$6,F885-1,0)))-FIND("]",CELL("adresse",OFFSET(DMAV_Dienste!$M$6,F885-1,0)))),"Structure")),HYPERLINK("#"&amp;RIGHT(CELL("adresse",OFFSET(DMAV_Modell!$N$6,C885-1,0)),LEN(CELL("adresse",OFFSET(DMAV_Modell!$N$6,C885-1,0)))-FIND("]",CELL("adresse",OFFSET(DMAV_Modell!$N$6,C885-1,0)))),"Structure"))</f>
        <v>Structure</v>
      </c>
      <c r="P885" s="64" t="str" cm="1">
        <f t="array" aca="1" ref="P885" ca="1">IF(D885=0,IF(G885=0,"",HYPERLINK("#"&amp;RIGHT(CELL("adresse",OFFSET(DMAV_Dienste!$M$6,G885-1,0)),LEN(CELL("adresse",OFFSET(DMAV_Dienste!$M$6,G885-1,0)))-FIND("]",CELL("adresse",OFFSET(DMAV_Dienste!$M$6,G885-1,0)))),"Substructure")),HYPERLINK("#"&amp;RIGHT(CELL("adresse",OFFSET(DMAV_Modell!$N$6,D885-1,0)),LEN(CELL("adresse",OFFSET(DMAV_Modell!$N$6,D885-1,0)))-FIND("]",CELL("adresse",OFFSET(DMAV_Modell!$N$6,D885-1,0)))),"Substructure"))</f>
        <v/>
      </c>
      <c r="R885" s="80"/>
      <c r="T885" s="93"/>
      <c r="U885" s="94"/>
      <c r="V885" s="95"/>
      <c r="W885" s="96"/>
      <c r="Y885" s="85"/>
      <c r="Z885" s="86"/>
      <c r="AA885" s="87"/>
      <c r="AB885" s="88"/>
      <c r="AD885" s="77"/>
      <c r="AF885" s="54" t="str" cm="1">
        <f t="array" aca="1" ref="AF885" ca="1">IF(H885=0,"",HYPERLINK("#"&amp;RIGHT(CELL("adresse",OFFSET('DM01-AV-CH'!$G$6,H885-1,0)),LEN(CELL("adresse",OFFSET('DM01-AV-CH'!$G$6,H885-1,0)))-FIND("]",CELL("adresse",OFFSET('DM01-AV-CH'!$G$6,H885-1,0)))),"Modell"))</f>
        <v/>
      </c>
      <c r="AG885" s="72" t="str" cm="1">
        <f t="array" ref="AG885">IF($H885=0,"",IF(INDEX('DM01-AV-CH'!G$6:G$834,$H885)="","",INDEX('DM01-AV-CH'!G$6:G$834,$H885)))</f>
        <v/>
      </c>
      <c r="AH885" s="73" t="str" cm="1">
        <f t="array" ref="AH885">IF($H885=0,"",IF(INDEX('DM01-AV-CH'!H$6:H$834,$H885)="","",INDEX('DM01-AV-CH'!H$6:H$834,$H885)))</f>
        <v/>
      </c>
      <c r="AI885" s="74" t="str" cm="1">
        <f t="array" ref="AI885">IF($H885=0,"",IF(INDEX('DM01-AV-CH'!I$6:I$834,$H885)="","",INDEX('DM01-AV-CH'!I$6:I$834,$H885)))</f>
        <v/>
      </c>
    </row>
    <row r="886" spans="1:35" x14ac:dyDescent="0.25">
      <c r="A886" s="57">
        <v>881</v>
      </c>
      <c r="B886" s="57">
        <f>IF($A886="","",IF(_xlfn.XLOOKUP($A886,Korrelation!$D$4:$D$1197,Korrelation!E$4:E$1197,"-",0)="-",0,MATCH(_xlfn.XLOOKUP($A886,Korrelation!$D$4:$D$1197,Korrelation!E$4:E$1197,"",0),DMAV_Modell!$G$6:$G$677,0)))</f>
        <v>512</v>
      </c>
      <c r="C886" s="57">
        <f>IF($A886="","",IF(_xlfn.XLOOKUP($A886,Korrelation!$D$4:$D$1197,Korrelation!F$4:F$1197,"-",0)="-",0,MATCH(_xlfn.XLOOKUP($A886,Korrelation!$D$4:$D$1197,Korrelation!F$4:F$1197,"",0),DMAV_Modell!$G$6:$G$677,0)))</f>
        <v>0</v>
      </c>
      <c r="D886" s="57">
        <f>IF($A886="","",IF(_xlfn.XLOOKUP($A886,Korrelation!$D$4:$D$1197,Korrelation!G$4:G$1197,"-",0)="-",0,MATCH(_xlfn.XLOOKUP($A886,Korrelation!$D$4:$D$1197,Korrelation!G$4:G$1197,"",0),DMAV_Modell!$G$6:$G$677,0)))</f>
        <v>0</v>
      </c>
      <c r="E886" s="57">
        <f>IF($A886="","",IF(_xlfn.XLOOKUP($A886,Korrelation!$D$4:$D$1197,Korrelation!H$4:H$1197,"-",0)="-",0,MATCH(_xlfn.XLOOKUP($A886,Korrelation!$D$4:$D$1197,Korrelation!H$4:H$1197,"",0),DMAV_Dienste!$F$6:$F$140,0)))</f>
        <v>0</v>
      </c>
      <c r="F886" s="57">
        <f>IF($A886="","",IF(_xlfn.XLOOKUP($A886,Korrelation!$D$4:$D$1197,Korrelation!I$4:I$1197,"-",0)="-",0,MATCH(_xlfn.XLOOKUP($A886,Korrelation!$D$4:$D$1197,Korrelation!I$4:I$1197,"",0),DMAV_Dienste!$F$6:$F$140,0)))</f>
        <v>0</v>
      </c>
      <c r="G886" s="57">
        <f>IF($A886="","",IF(_xlfn.XLOOKUP($A886,Korrelation!$D$4:$D$1197,Korrelation!J$4:J$1197,"-",0)="-",0,MATCH(_xlfn.XLOOKUP($A886,Korrelation!$D$4:$D$1197,Korrelation!J$4:J$1197,"",0),DMAV_Dienste!$F$6:$F$140,0)))</f>
        <v>0</v>
      </c>
      <c r="H886" s="57">
        <f>IF($A886="","",IF(_xlfn.XLOOKUP($A886,Korrelation!$D$4:$D$1197,Korrelation!K$4:K$1197,"-",0)="-",0,MATCH(_xlfn.XLOOKUP($A886,Korrelation!$D$4:$D$1197,Korrelation!K$4:K$1197,"",0),'DM01-AV-CH'!$A$6:$A$834,0)))</f>
        <v>0</v>
      </c>
      <c r="J886" s="54" t="str" cm="1">
        <f t="array" aca="1" ref="J886" ca="1">IF(B886=0,IF(E886=0,"",HYPERLINK("#"&amp;RIGHT(CELL("adresse",OFFSET(DMAV_Dienste!$M$6,E886-1,0)),LEN(CELL("adresse",OFFSET(DMAV_Dienste!$M$6,E886-1,0)))-FIND("]",CELL("adresse",OFFSET(DMAV_Dienste!$M$6,E886-1,0)))),"Dienst")),HYPERLINK("#"&amp;RIGHT(CELL("adresse",OFFSET(DMAV_Modell!$N$6,B886-1,0)),LEN(CELL("adresse",OFFSET(DMAV_Modell!$N$6,B886-1,0)))-FIND("]",CELL("adresse",OFFSET(DMAV_Modell!$N$6,B886-1,0)))),"Modell"))</f>
        <v>Modell</v>
      </c>
      <c r="K886" s="61" t="str" cm="1">
        <f t="array" ref="K886">IF($B886=0,IF($E886=0,"",IF(INDEX(DMAV_Dienste!P$6:P$140,$E886)="","",INDEX(DMAV_Dienste!P$6:P$140,$E886))),IF(INDEX(DMAV_Modell!Q$6:Q$838,$B886)="","",INDEX(DMAV_Modell!Q$6:Q$838,$B886)))</f>
        <v>STRUCTURE</v>
      </c>
      <c r="L886" s="62" t="str" cm="1">
        <f t="array" ref="L886">IF($B886=0,IF($E886=0,"",IF(INDEX(DMAV_Dienste!O$6:O$140,$E886)="","",INDEX(DMAV_Dienste!O$6:O$140,$E886))),IF(INDEX(DMAV_Modell!P$6:P$838,$B886)="","",INDEX(DMAV_Modell!P$6:P$838,$B886)))</f>
        <v>Einzelobjekte</v>
      </c>
      <c r="M886" s="62" t="str" cm="1">
        <f t="array" ref="M886">IF($B886=0,IF($E886=0,"",IF(INDEX(DMAV_Dienste!Q$6:Q$140,$E886)="","",INDEX(DMAV_Dienste!Q$6:Q$140,$E886))),IF(INDEX(DMAV_Modell!R$6:R$838,$B886)="","",INDEX(DMAV_Modell!R$6:R$838,$B886)))</f>
        <v>Linienelement</v>
      </c>
      <c r="N886" s="62" t="str" cm="1">
        <f t="array" ref="N886">IF($B886=0,IF($E886=0,"",IF(INDEX(DMAV_Dienste!T$6:T$140,$E886)="","",INDEX(DMAV_Dienste!T$6:T$140,$E886))),IF(INDEX(DMAV_Modell!U$6:U$838,$B886)="","",INDEX(DMAV_Modell!U$6:U$838,$B886)))</f>
        <v>Geometrie</v>
      </c>
      <c r="O886" s="63" t="str" cm="1">
        <f t="array" aca="1" ref="O886" ca="1">IF(C886=0,IF(F886=0,"",HYPERLINK("#"&amp;RIGHT(CELL("adresse",OFFSET(DMAV_Dienste!$M$6,F886-1,0)),LEN(CELL("adresse",OFFSET(DMAV_Dienste!$M$6,F886-1,0)))-FIND("]",CELL("adresse",OFFSET(DMAV_Dienste!$M$6,F886-1,0)))),"Structure")),HYPERLINK("#"&amp;RIGHT(CELL("adresse",OFFSET(DMAV_Modell!$N$6,C886-1,0)),LEN(CELL("adresse",OFFSET(DMAV_Modell!$N$6,C886-1,0)))-FIND("]",CELL("adresse",OFFSET(DMAV_Modell!$N$6,C886-1,0)))),"Structure"))</f>
        <v/>
      </c>
      <c r="P886" s="64" t="str" cm="1">
        <f t="array" aca="1" ref="P886" ca="1">IF(D886=0,IF(G886=0,"",HYPERLINK("#"&amp;RIGHT(CELL("adresse",OFFSET(DMAV_Dienste!$M$6,G886-1,0)),LEN(CELL("adresse",OFFSET(DMAV_Dienste!$M$6,G886-1,0)))-FIND("]",CELL("adresse",OFFSET(DMAV_Dienste!$M$6,G886-1,0)))),"Substructure")),HYPERLINK("#"&amp;RIGHT(CELL("adresse",OFFSET(DMAV_Modell!$N$6,D886-1,0)),LEN(CELL("adresse",OFFSET(DMAV_Modell!$N$6,D886-1,0)))-FIND("]",CELL("adresse",OFFSET(DMAV_Modell!$N$6,D886-1,0)))),"Substructure"))</f>
        <v/>
      </c>
      <c r="R886" s="80"/>
      <c r="T886" s="93"/>
      <c r="U886" s="94"/>
      <c r="V886" s="95"/>
      <c r="W886" s="96"/>
      <c r="Y886" s="85"/>
      <c r="Z886" s="86"/>
      <c r="AA886" s="87"/>
      <c r="AB886" s="88"/>
      <c r="AD886" s="77"/>
      <c r="AF886" s="54" t="str" cm="1">
        <f t="array" aca="1" ref="AF886" ca="1">IF(H886=0,"",HYPERLINK("#"&amp;RIGHT(CELL("adresse",OFFSET('DM01-AV-CH'!$G$6,H886-1,0)),LEN(CELL("adresse",OFFSET('DM01-AV-CH'!$G$6,H886-1,0)))-FIND("]",CELL("adresse",OFFSET('DM01-AV-CH'!$G$6,H886-1,0)))),"Modell"))</f>
        <v/>
      </c>
      <c r="AG886" s="72" t="str" cm="1">
        <f t="array" ref="AG886">IF($H886=0,"",IF(INDEX('DM01-AV-CH'!G$6:G$834,$H886)="","",INDEX('DM01-AV-CH'!G$6:G$834,$H886)))</f>
        <v/>
      </c>
      <c r="AH886" s="73" t="str" cm="1">
        <f t="array" ref="AH886">IF($H886=0,"",IF(INDEX('DM01-AV-CH'!H$6:H$834,$H886)="","",INDEX('DM01-AV-CH'!H$6:H$834,$H886)))</f>
        <v/>
      </c>
      <c r="AI886" s="74" t="str" cm="1">
        <f t="array" ref="AI886">IF($H886=0,"",IF(INDEX('DM01-AV-CH'!I$6:I$834,$H886)="","",INDEX('DM01-AV-CH'!I$6:I$834,$H886)))</f>
        <v/>
      </c>
    </row>
    <row r="887" spans="1:35" x14ac:dyDescent="0.25">
      <c r="A887" s="57">
        <v>882</v>
      </c>
      <c r="B887" s="57">
        <f>IF($A887="","",IF(_xlfn.XLOOKUP($A887,Korrelation!$D$4:$D$1197,Korrelation!E$4:E$1197,"-",0)="-",0,MATCH(_xlfn.XLOOKUP($A887,Korrelation!$D$4:$D$1197,Korrelation!E$4:E$1197,"",0),DMAV_Modell!$G$6:$G$677,0)))</f>
        <v>513</v>
      </c>
      <c r="C887" s="57">
        <f>IF($A887="","",IF(_xlfn.XLOOKUP($A887,Korrelation!$D$4:$D$1197,Korrelation!F$4:F$1197,"-",0)="-",0,MATCH(_xlfn.XLOOKUP($A887,Korrelation!$D$4:$D$1197,Korrelation!F$4:F$1197,"",0),DMAV_Modell!$G$6:$G$677,0)))</f>
        <v>33</v>
      </c>
      <c r="D887" s="57">
        <f>IF($A887="","",IF(_xlfn.XLOOKUP($A887,Korrelation!$D$4:$D$1197,Korrelation!G$4:G$1197,"-",0)="-",0,MATCH(_xlfn.XLOOKUP($A887,Korrelation!$D$4:$D$1197,Korrelation!G$4:G$1197,"",0),DMAV_Modell!$G$6:$G$677,0)))</f>
        <v>0</v>
      </c>
      <c r="E887" s="57">
        <f>IF($A887="","",IF(_xlfn.XLOOKUP($A887,Korrelation!$D$4:$D$1197,Korrelation!H$4:H$1197,"-",0)="-",0,MATCH(_xlfn.XLOOKUP($A887,Korrelation!$D$4:$D$1197,Korrelation!H$4:H$1197,"",0),DMAV_Dienste!$F$6:$F$140,0)))</f>
        <v>0</v>
      </c>
      <c r="F887" s="57">
        <f>IF($A887="","",IF(_xlfn.XLOOKUP($A887,Korrelation!$D$4:$D$1197,Korrelation!I$4:I$1197,"-",0)="-",0,MATCH(_xlfn.XLOOKUP($A887,Korrelation!$D$4:$D$1197,Korrelation!I$4:I$1197,"",0),DMAV_Dienste!$F$6:$F$140,0)))</f>
        <v>0</v>
      </c>
      <c r="G887" s="57">
        <f>IF($A887="","",IF(_xlfn.XLOOKUP($A887,Korrelation!$D$4:$D$1197,Korrelation!J$4:J$1197,"-",0)="-",0,MATCH(_xlfn.XLOOKUP($A887,Korrelation!$D$4:$D$1197,Korrelation!J$4:J$1197,"",0),DMAV_Dienste!$F$6:$F$140,0)))</f>
        <v>0</v>
      </c>
      <c r="H887" s="57">
        <f>IF($A887="","",IF(_xlfn.XLOOKUP($A887,Korrelation!$D$4:$D$1197,Korrelation!K$4:K$1197,"-",0)="-",0,MATCH(_xlfn.XLOOKUP($A887,Korrelation!$D$4:$D$1197,Korrelation!K$4:K$1197,"",0),'DM01-AV-CH'!$A$6:$A$834,0)))</f>
        <v>0</v>
      </c>
      <c r="J887" s="54" t="str" cm="1">
        <f t="array" aca="1" ref="J887" ca="1">IF(B887=0,IF(E887=0,"",HYPERLINK("#"&amp;RIGHT(CELL("adresse",OFFSET(DMAV_Dienste!$M$6,E887-1,0)),LEN(CELL("adresse",OFFSET(DMAV_Dienste!$M$6,E887-1,0)))-FIND("]",CELL("adresse",OFFSET(DMAV_Dienste!$M$6,E887-1,0)))),"Dienst")),HYPERLINK("#"&amp;RIGHT(CELL("adresse",OFFSET(DMAV_Modell!$N$6,B887-1,0)),LEN(CELL("adresse",OFFSET(DMAV_Modell!$N$6,B887-1,0)))-FIND("]",CELL("adresse",OFFSET(DMAV_Modell!$N$6,B887-1,0)))),"Modell"))</f>
        <v>Modell</v>
      </c>
      <c r="K887" s="61" t="str" cm="1">
        <f t="array" ref="K887">IF($B887=0,IF($E887=0,"",IF(INDEX(DMAV_Dienste!P$6:P$140,$E887)="","",INDEX(DMAV_Dienste!P$6:P$140,$E887))),IF(INDEX(DMAV_Modell!Q$6:Q$838,$B887)="","",INDEX(DMAV_Modell!Q$6:Q$838,$B887)))</f>
        <v>STRUCTURE</v>
      </c>
      <c r="L887" s="62" t="str" cm="1">
        <f t="array" ref="L887">IF($B887=0,IF($E887=0,"",IF(INDEX(DMAV_Dienste!O$6:O$140,$E887)="","",INDEX(DMAV_Dienste!O$6:O$140,$E887))),IF(INDEX(DMAV_Modell!P$6:P$838,$B887)="","",INDEX(DMAV_Modell!P$6:P$838,$B887)))</f>
        <v>Einzelobjekte</v>
      </c>
      <c r="M887" s="62" t="str" cm="1">
        <f t="array" ref="M887">IF($B887=0,IF($E887=0,"",IF(INDEX(DMAV_Dienste!Q$6:Q$140,$E887)="","",INDEX(DMAV_Dienste!Q$6:Q$140,$E887))),IF(INDEX(DMAV_Modell!R$6:R$838,$B887)="","",INDEX(DMAV_Modell!R$6:R$838,$B887)))</f>
        <v>Linienelement</v>
      </c>
      <c r="N887" s="62" t="str" cm="1">
        <f t="array" ref="N887">IF($B887=0,IF($E887=0,"",IF(INDEX(DMAV_Dienste!T$6:T$140,$E887)="","",INDEX(DMAV_Dienste!T$6:T$140,$E887))),IF(INDEX(DMAV_Modell!U$6:U$838,$B887)="","",INDEX(DMAV_Modell!U$6:U$838,$B887)))</f>
        <v>Symbolposition</v>
      </c>
      <c r="O887" s="63" t="str" cm="1">
        <f t="array" aca="1" ref="O887" ca="1">IF(C887=0,IF(F887=0,"",HYPERLINK("#"&amp;RIGHT(CELL("adresse",OFFSET(DMAV_Dienste!$M$6,F887-1,0)),LEN(CELL("adresse",OFFSET(DMAV_Dienste!$M$6,F887-1,0)))-FIND("]",CELL("adresse",OFFSET(DMAV_Dienste!$M$6,F887-1,0)))),"Structure")),HYPERLINK("#"&amp;RIGHT(CELL("adresse",OFFSET(DMAV_Modell!$N$6,C887-1,0)),LEN(CELL("adresse",OFFSET(DMAV_Modell!$N$6,C887-1,0)))-FIND("]",CELL("adresse",OFFSET(DMAV_Modell!$N$6,C887-1,0)))),"Structure"))</f>
        <v>Structure</v>
      </c>
      <c r="P887" s="64" t="str" cm="1">
        <f t="array" aca="1" ref="P887" ca="1">IF(D887=0,IF(G887=0,"",HYPERLINK("#"&amp;RIGHT(CELL("adresse",OFFSET(DMAV_Dienste!$M$6,G887-1,0)),LEN(CELL("adresse",OFFSET(DMAV_Dienste!$M$6,G887-1,0)))-FIND("]",CELL("adresse",OFFSET(DMAV_Dienste!$M$6,G887-1,0)))),"Substructure")),HYPERLINK("#"&amp;RIGHT(CELL("adresse",OFFSET(DMAV_Modell!$N$6,D887-1,0)),LEN(CELL("adresse",OFFSET(DMAV_Modell!$N$6,D887-1,0)))-FIND("]",CELL("adresse",OFFSET(DMAV_Modell!$N$6,D887-1,0)))),"Substructure"))</f>
        <v/>
      </c>
      <c r="R887" s="80"/>
      <c r="T887" s="93"/>
      <c r="U887" s="94"/>
      <c r="V887" s="95"/>
      <c r="W887" s="96"/>
      <c r="Y887" s="85"/>
      <c r="Z887" s="86"/>
      <c r="AA887" s="87"/>
      <c r="AB887" s="88"/>
      <c r="AD887" s="77"/>
      <c r="AF887" s="54" t="str" cm="1">
        <f t="array" aca="1" ref="AF887" ca="1">IF(H887=0,"",HYPERLINK("#"&amp;RIGHT(CELL("adresse",OFFSET('DM01-AV-CH'!$G$6,H887-1,0)),LEN(CELL("adresse",OFFSET('DM01-AV-CH'!$G$6,H887-1,0)))-FIND("]",CELL("adresse",OFFSET('DM01-AV-CH'!$G$6,H887-1,0)))),"Modell"))</f>
        <v/>
      </c>
      <c r="AG887" s="72" t="str" cm="1">
        <f t="array" ref="AG887">IF($H887=0,"",IF(INDEX('DM01-AV-CH'!G$6:G$834,$H887)="","",INDEX('DM01-AV-CH'!G$6:G$834,$H887)))</f>
        <v/>
      </c>
      <c r="AH887" s="73" t="str" cm="1">
        <f t="array" ref="AH887">IF($H887=0,"",IF(INDEX('DM01-AV-CH'!H$6:H$834,$H887)="","",INDEX('DM01-AV-CH'!H$6:H$834,$H887)))</f>
        <v/>
      </c>
      <c r="AI887" s="74" t="str" cm="1">
        <f t="array" ref="AI887">IF($H887=0,"",IF(INDEX('DM01-AV-CH'!I$6:I$834,$H887)="","",INDEX('DM01-AV-CH'!I$6:I$834,$H887)))</f>
        <v/>
      </c>
    </row>
    <row r="888" spans="1:35" x14ac:dyDescent="0.25">
      <c r="A888" s="57">
        <v>883</v>
      </c>
      <c r="B888" s="57">
        <f>IF($A888="","",IF(_xlfn.XLOOKUP($A888,Korrelation!$D$4:$D$1197,Korrelation!E$4:E$1197,"-",0)="-",0,MATCH(_xlfn.XLOOKUP($A888,Korrelation!$D$4:$D$1197,Korrelation!E$4:E$1197,"",0),DMAV_Modell!$G$6:$G$677,0)))</f>
        <v>514</v>
      </c>
      <c r="C888" s="57">
        <f>IF($A888="","",IF(_xlfn.XLOOKUP($A888,Korrelation!$D$4:$D$1197,Korrelation!F$4:F$1197,"-",0)="-",0,MATCH(_xlfn.XLOOKUP($A888,Korrelation!$D$4:$D$1197,Korrelation!F$4:F$1197,"",0),DMAV_Modell!$G$6:$G$677,0)))</f>
        <v>0</v>
      </c>
      <c r="D888" s="57">
        <f>IF($A888="","",IF(_xlfn.XLOOKUP($A888,Korrelation!$D$4:$D$1197,Korrelation!G$4:G$1197,"-",0)="-",0,MATCH(_xlfn.XLOOKUP($A888,Korrelation!$D$4:$D$1197,Korrelation!G$4:G$1197,"",0),DMAV_Modell!$G$6:$G$677,0)))</f>
        <v>0</v>
      </c>
      <c r="E888" s="57">
        <f>IF($A888="","",IF(_xlfn.XLOOKUP($A888,Korrelation!$D$4:$D$1197,Korrelation!H$4:H$1197,"-",0)="-",0,MATCH(_xlfn.XLOOKUP($A888,Korrelation!$D$4:$D$1197,Korrelation!H$4:H$1197,"",0),DMAV_Dienste!$F$6:$F$140,0)))</f>
        <v>0</v>
      </c>
      <c r="F888" s="57">
        <f>IF($A888="","",IF(_xlfn.XLOOKUP($A888,Korrelation!$D$4:$D$1197,Korrelation!I$4:I$1197,"-",0)="-",0,MATCH(_xlfn.XLOOKUP($A888,Korrelation!$D$4:$D$1197,Korrelation!I$4:I$1197,"",0),DMAV_Dienste!$F$6:$F$140,0)))</f>
        <v>0</v>
      </c>
      <c r="G888" s="57">
        <f>IF($A888="","",IF(_xlfn.XLOOKUP($A888,Korrelation!$D$4:$D$1197,Korrelation!J$4:J$1197,"-",0)="-",0,MATCH(_xlfn.XLOOKUP($A888,Korrelation!$D$4:$D$1197,Korrelation!J$4:J$1197,"",0),DMAV_Dienste!$F$6:$F$140,0)))</f>
        <v>0</v>
      </c>
      <c r="H888" s="57">
        <f>IF($A888="","",IF(_xlfn.XLOOKUP($A888,Korrelation!$D$4:$D$1197,Korrelation!K$4:K$1197,"-",0)="-",0,MATCH(_xlfn.XLOOKUP($A888,Korrelation!$D$4:$D$1197,Korrelation!K$4:K$1197,"",0),'DM01-AV-CH'!$A$6:$A$834,0)))</f>
        <v>0</v>
      </c>
      <c r="J888" s="54" t="str" cm="1">
        <f t="array" aca="1" ref="J888" ca="1">IF(B888=0,IF(E888=0,"",HYPERLINK("#"&amp;RIGHT(CELL("adresse",OFFSET(DMAV_Dienste!$M$6,E888-1,0)),LEN(CELL("adresse",OFFSET(DMAV_Dienste!$M$6,E888-1,0)))-FIND("]",CELL("adresse",OFFSET(DMAV_Dienste!$M$6,E888-1,0)))),"Dienst")),HYPERLINK("#"&amp;RIGHT(CELL("adresse",OFFSET(DMAV_Modell!$N$6,B888-1,0)),LEN(CELL("adresse",OFFSET(DMAV_Modell!$N$6,B888-1,0)))-FIND("]",CELL("adresse",OFFSET(DMAV_Modell!$N$6,B888-1,0)))),"Modell"))</f>
        <v>Modell</v>
      </c>
      <c r="K888" s="61" t="str" cm="1">
        <f t="array" ref="K888">IF($B888=0,IF($E888=0,"",IF(INDEX(DMAV_Dienste!P$6:P$140,$E888)="","",INDEX(DMAV_Dienste!P$6:P$140,$E888))),IF(INDEX(DMAV_Modell!Q$6:Q$838,$B888)="","",INDEX(DMAV_Modell!Q$6:Q$838,$B888)))</f>
        <v>STRUCTURE</v>
      </c>
      <c r="L888" s="62" t="str" cm="1">
        <f t="array" ref="L888">IF($B888=0,IF($E888=0,"",IF(INDEX(DMAV_Dienste!O$6:O$140,$E888)="","",INDEX(DMAV_Dienste!O$6:O$140,$E888))),IF(INDEX(DMAV_Modell!P$6:P$838,$B888)="","",INDEX(DMAV_Modell!P$6:P$838,$B888)))</f>
        <v>Einzelobjekte</v>
      </c>
      <c r="M888" s="62" t="str" cm="1">
        <f t="array" ref="M888">IF($B888=0,IF($E888=0,"",IF(INDEX(DMAV_Dienste!Q$6:Q$140,$E888)="","",INDEX(DMAV_Dienste!Q$6:Q$140,$E888))),IF(INDEX(DMAV_Modell!R$6:R$838,$B888)="","",INDEX(DMAV_Modell!R$6:R$838,$B888)))</f>
        <v>Punktelement</v>
      </c>
      <c r="N888" s="62" t="str" cm="1">
        <f t="array" ref="N888">IF($B888=0,IF($E888=0,"",IF(INDEX(DMAV_Dienste!T$6:T$140,$E888)="","",INDEX(DMAV_Dienste!T$6:T$140,$E888))),IF(INDEX(DMAV_Modell!U$6:U$838,$B888)="","",INDEX(DMAV_Modell!U$6:U$838,$B888)))</f>
        <v>Geometrie</v>
      </c>
      <c r="O888" s="63" t="str" cm="1">
        <f t="array" aca="1" ref="O888" ca="1">IF(C888=0,IF(F888=0,"",HYPERLINK("#"&amp;RIGHT(CELL("adresse",OFFSET(DMAV_Dienste!$M$6,F888-1,0)),LEN(CELL("adresse",OFFSET(DMAV_Dienste!$M$6,F888-1,0)))-FIND("]",CELL("adresse",OFFSET(DMAV_Dienste!$M$6,F888-1,0)))),"Structure")),HYPERLINK("#"&amp;RIGHT(CELL("adresse",OFFSET(DMAV_Modell!$N$6,C888-1,0)),LEN(CELL("adresse",OFFSET(DMAV_Modell!$N$6,C888-1,0)))-FIND("]",CELL("adresse",OFFSET(DMAV_Modell!$N$6,C888-1,0)))),"Structure"))</f>
        <v/>
      </c>
      <c r="P888" s="64" t="str" cm="1">
        <f t="array" aca="1" ref="P888" ca="1">IF(D888=0,IF(G888=0,"",HYPERLINK("#"&amp;RIGHT(CELL("adresse",OFFSET(DMAV_Dienste!$M$6,G888-1,0)),LEN(CELL("adresse",OFFSET(DMAV_Dienste!$M$6,G888-1,0)))-FIND("]",CELL("adresse",OFFSET(DMAV_Dienste!$M$6,G888-1,0)))),"Substructure")),HYPERLINK("#"&amp;RIGHT(CELL("adresse",OFFSET(DMAV_Modell!$N$6,D888-1,0)),LEN(CELL("adresse",OFFSET(DMAV_Modell!$N$6,D888-1,0)))-FIND("]",CELL("adresse",OFFSET(DMAV_Modell!$N$6,D888-1,0)))),"Substructure"))</f>
        <v/>
      </c>
      <c r="R888" s="80"/>
      <c r="T888" s="93"/>
      <c r="U888" s="94"/>
      <c r="V888" s="95"/>
      <c r="W888" s="96"/>
      <c r="Y888" s="85"/>
      <c r="Z888" s="86"/>
      <c r="AA888" s="87"/>
      <c r="AB888" s="88"/>
      <c r="AD888" s="77"/>
      <c r="AF888" s="54" t="str" cm="1">
        <f t="array" aca="1" ref="AF888" ca="1">IF(H888=0,"",HYPERLINK("#"&amp;RIGHT(CELL("adresse",OFFSET('DM01-AV-CH'!$G$6,H888-1,0)),LEN(CELL("adresse",OFFSET('DM01-AV-CH'!$G$6,H888-1,0)))-FIND("]",CELL("adresse",OFFSET('DM01-AV-CH'!$G$6,H888-1,0)))),"Modell"))</f>
        <v/>
      </c>
      <c r="AG888" s="72" t="str" cm="1">
        <f t="array" ref="AG888">IF($H888=0,"",IF(INDEX('DM01-AV-CH'!G$6:G$834,$H888)="","",INDEX('DM01-AV-CH'!G$6:G$834,$H888)))</f>
        <v/>
      </c>
      <c r="AH888" s="73" t="str" cm="1">
        <f t="array" ref="AH888">IF($H888=0,"",IF(INDEX('DM01-AV-CH'!H$6:H$834,$H888)="","",INDEX('DM01-AV-CH'!H$6:H$834,$H888)))</f>
        <v/>
      </c>
      <c r="AI888" s="74" t="str" cm="1">
        <f t="array" ref="AI888">IF($H888=0,"",IF(INDEX('DM01-AV-CH'!I$6:I$834,$H888)="","",INDEX('DM01-AV-CH'!I$6:I$834,$H888)))</f>
        <v/>
      </c>
    </row>
    <row r="889" spans="1:35" x14ac:dyDescent="0.25">
      <c r="A889" s="57">
        <v>884</v>
      </c>
      <c r="B889" s="57">
        <f>IF($A889="","",IF(_xlfn.XLOOKUP($A889,Korrelation!$D$4:$D$1197,Korrelation!E$4:E$1197,"-",0)="-",0,MATCH(_xlfn.XLOOKUP($A889,Korrelation!$D$4:$D$1197,Korrelation!E$4:E$1197,"",0),DMAV_Modell!$G$6:$G$677,0)))</f>
        <v>515</v>
      </c>
      <c r="C889" s="57">
        <f>IF($A889="","",IF(_xlfn.XLOOKUP($A889,Korrelation!$D$4:$D$1197,Korrelation!F$4:F$1197,"-",0)="-",0,MATCH(_xlfn.XLOOKUP($A889,Korrelation!$D$4:$D$1197,Korrelation!F$4:F$1197,"",0),DMAV_Modell!$G$6:$G$677,0)))</f>
        <v>0</v>
      </c>
      <c r="D889" s="57">
        <f>IF($A889="","",IF(_xlfn.XLOOKUP($A889,Korrelation!$D$4:$D$1197,Korrelation!G$4:G$1197,"-",0)="-",0,MATCH(_xlfn.XLOOKUP($A889,Korrelation!$D$4:$D$1197,Korrelation!G$4:G$1197,"",0),DMAV_Modell!$G$6:$G$677,0)))</f>
        <v>0</v>
      </c>
      <c r="E889" s="57">
        <f>IF($A889="","",IF(_xlfn.XLOOKUP($A889,Korrelation!$D$4:$D$1197,Korrelation!H$4:H$1197,"-",0)="-",0,MATCH(_xlfn.XLOOKUP($A889,Korrelation!$D$4:$D$1197,Korrelation!H$4:H$1197,"",0),DMAV_Dienste!$F$6:$F$140,0)))</f>
        <v>0</v>
      </c>
      <c r="F889" s="57">
        <f>IF($A889="","",IF(_xlfn.XLOOKUP($A889,Korrelation!$D$4:$D$1197,Korrelation!I$4:I$1197,"-",0)="-",0,MATCH(_xlfn.XLOOKUP($A889,Korrelation!$D$4:$D$1197,Korrelation!I$4:I$1197,"",0),DMAV_Dienste!$F$6:$F$140,0)))</f>
        <v>0</v>
      </c>
      <c r="G889" s="57">
        <f>IF($A889="","",IF(_xlfn.XLOOKUP($A889,Korrelation!$D$4:$D$1197,Korrelation!J$4:J$1197,"-",0)="-",0,MATCH(_xlfn.XLOOKUP($A889,Korrelation!$D$4:$D$1197,Korrelation!J$4:J$1197,"",0),DMAV_Dienste!$F$6:$F$140,0)))</f>
        <v>0</v>
      </c>
      <c r="H889" s="57">
        <f>IF($A889="","",IF(_xlfn.XLOOKUP($A889,Korrelation!$D$4:$D$1197,Korrelation!K$4:K$1197,"-",0)="-",0,MATCH(_xlfn.XLOOKUP($A889,Korrelation!$D$4:$D$1197,Korrelation!K$4:K$1197,"",0),'DM01-AV-CH'!$A$6:$A$834,0)))</f>
        <v>0</v>
      </c>
      <c r="J889" s="54" t="str" cm="1">
        <f t="array" aca="1" ref="J889" ca="1">IF(B889=0,IF(E889=0,"",HYPERLINK("#"&amp;RIGHT(CELL("adresse",OFFSET(DMAV_Dienste!$M$6,E889-1,0)),LEN(CELL("adresse",OFFSET(DMAV_Dienste!$M$6,E889-1,0)))-FIND("]",CELL("adresse",OFFSET(DMAV_Dienste!$M$6,E889-1,0)))),"Dienst")),HYPERLINK("#"&amp;RIGHT(CELL("adresse",OFFSET(DMAV_Modell!$N$6,B889-1,0)),LEN(CELL("adresse",OFFSET(DMAV_Modell!$N$6,B889-1,0)))-FIND("]",CELL("adresse",OFFSET(DMAV_Modell!$N$6,B889-1,0)))),"Modell"))</f>
        <v>Modell</v>
      </c>
      <c r="K889" s="61" t="str" cm="1">
        <f t="array" ref="K889">IF($B889=0,IF($E889=0,"",IF(INDEX(DMAV_Dienste!P$6:P$140,$E889)="","",INDEX(DMAV_Dienste!P$6:P$140,$E889))),IF(INDEX(DMAV_Modell!Q$6:Q$838,$B889)="","",INDEX(DMAV_Modell!Q$6:Q$838,$B889)))</f>
        <v>STRUCTURE</v>
      </c>
      <c r="L889" s="62" t="str" cm="1">
        <f t="array" ref="L889">IF($B889=0,IF($E889=0,"",IF(INDEX(DMAV_Dienste!O$6:O$140,$E889)="","",INDEX(DMAV_Dienste!O$6:O$140,$E889))),IF(INDEX(DMAV_Modell!P$6:P$838,$B889)="","",INDEX(DMAV_Modell!P$6:P$838,$B889)))</f>
        <v>Einzelobjekte</v>
      </c>
      <c r="M889" s="62" t="str" cm="1">
        <f t="array" ref="M889">IF($B889=0,IF($E889=0,"",IF(INDEX(DMAV_Dienste!Q$6:Q$140,$E889)="","",INDEX(DMAV_Dienste!Q$6:Q$140,$E889))),IF(INDEX(DMAV_Modell!R$6:R$838,$B889)="","",INDEX(DMAV_Modell!R$6:R$838,$B889)))</f>
        <v>Punktelement</v>
      </c>
      <c r="N889" s="62" t="str" cm="1">
        <f t="array" ref="N889">IF($B889=0,IF($E889=0,"",IF(INDEX(DMAV_Dienste!T$6:T$140,$E889)="","",INDEX(DMAV_Dienste!T$6:T$140,$E889))),IF(INDEX(DMAV_Modell!U$6:U$838,$B889)="","",INDEX(DMAV_Modell!U$6:U$838,$B889)))</f>
        <v>SymbolOri</v>
      </c>
      <c r="O889" s="63" t="str" cm="1">
        <f t="array" aca="1" ref="O889" ca="1">IF(C889=0,IF(F889=0,"",HYPERLINK("#"&amp;RIGHT(CELL("adresse",OFFSET(DMAV_Dienste!$M$6,F889-1,0)),LEN(CELL("adresse",OFFSET(DMAV_Dienste!$M$6,F889-1,0)))-FIND("]",CELL("adresse",OFFSET(DMAV_Dienste!$M$6,F889-1,0)))),"Structure")),HYPERLINK("#"&amp;RIGHT(CELL("adresse",OFFSET(DMAV_Modell!$N$6,C889-1,0)),LEN(CELL("adresse",OFFSET(DMAV_Modell!$N$6,C889-1,0)))-FIND("]",CELL("adresse",OFFSET(DMAV_Modell!$N$6,C889-1,0)))),"Structure"))</f>
        <v/>
      </c>
      <c r="P889" s="64" t="str" cm="1">
        <f t="array" aca="1" ref="P889" ca="1">IF(D889=0,IF(G889=0,"",HYPERLINK("#"&amp;RIGHT(CELL("adresse",OFFSET(DMAV_Dienste!$M$6,G889-1,0)),LEN(CELL("adresse",OFFSET(DMAV_Dienste!$M$6,G889-1,0)))-FIND("]",CELL("adresse",OFFSET(DMAV_Dienste!$M$6,G889-1,0)))),"Substructure")),HYPERLINK("#"&amp;RIGHT(CELL("adresse",OFFSET(DMAV_Modell!$N$6,D889-1,0)),LEN(CELL("adresse",OFFSET(DMAV_Modell!$N$6,D889-1,0)))-FIND("]",CELL("adresse",OFFSET(DMAV_Modell!$N$6,D889-1,0)))),"Substructure"))</f>
        <v/>
      </c>
      <c r="R889" s="80"/>
      <c r="T889" s="93"/>
      <c r="U889" s="94"/>
      <c r="V889" s="95"/>
      <c r="W889" s="96"/>
      <c r="Y889" s="85"/>
      <c r="Z889" s="86"/>
      <c r="AA889" s="87"/>
      <c r="AB889" s="88"/>
      <c r="AD889" s="77"/>
      <c r="AF889" s="54" t="str" cm="1">
        <f t="array" aca="1" ref="AF889" ca="1">IF(H889=0,"",HYPERLINK("#"&amp;RIGHT(CELL("adresse",OFFSET('DM01-AV-CH'!$G$6,H889-1,0)),LEN(CELL("adresse",OFFSET('DM01-AV-CH'!$G$6,H889-1,0)))-FIND("]",CELL("adresse",OFFSET('DM01-AV-CH'!$G$6,H889-1,0)))),"Modell"))</f>
        <v/>
      </c>
      <c r="AG889" s="72" t="str" cm="1">
        <f t="array" ref="AG889">IF($H889=0,"",IF(INDEX('DM01-AV-CH'!G$6:G$834,$H889)="","",INDEX('DM01-AV-CH'!G$6:G$834,$H889)))</f>
        <v/>
      </c>
      <c r="AH889" s="73" t="str" cm="1">
        <f t="array" ref="AH889">IF($H889=0,"",IF(INDEX('DM01-AV-CH'!H$6:H$834,$H889)="","",INDEX('DM01-AV-CH'!H$6:H$834,$H889)))</f>
        <v/>
      </c>
      <c r="AI889" s="74" t="str" cm="1">
        <f t="array" ref="AI889">IF($H889=0,"",IF(INDEX('DM01-AV-CH'!I$6:I$834,$H889)="","",INDEX('DM01-AV-CH'!I$6:I$834,$H889)))</f>
        <v/>
      </c>
    </row>
    <row r="890" spans="1:35" x14ac:dyDescent="0.25">
      <c r="A890" s="57">
        <v>885</v>
      </c>
      <c r="B890" s="57">
        <f>IF($A890="","",IF(_xlfn.XLOOKUP($A890,Korrelation!$D$4:$D$1197,Korrelation!E$4:E$1197,"-",0)="-",0,MATCH(_xlfn.XLOOKUP($A890,Korrelation!$D$4:$D$1197,Korrelation!E$4:E$1197,"",0),DMAV_Modell!$G$6:$G$677,0)))</f>
        <v>516</v>
      </c>
      <c r="C890" s="57">
        <f>IF($A890="","",IF(_xlfn.XLOOKUP($A890,Korrelation!$D$4:$D$1197,Korrelation!F$4:F$1197,"-",0)="-",0,MATCH(_xlfn.XLOOKUP($A890,Korrelation!$D$4:$D$1197,Korrelation!F$4:F$1197,"",0),DMAV_Modell!$G$6:$G$677,0)))</f>
        <v>0</v>
      </c>
      <c r="D890" s="57">
        <f>IF($A890="","",IF(_xlfn.XLOOKUP($A890,Korrelation!$D$4:$D$1197,Korrelation!G$4:G$1197,"-",0)="-",0,MATCH(_xlfn.XLOOKUP($A890,Korrelation!$D$4:$D$1197,Korrelation!G$4:G$1197,"",0),DMAV_Modell!$G$6:$G$677,0)))</f>
        <v>0</v>
      </c>
      <c r="E890" s="57">
        <f>IF($A890="","",IF(_xlfn.XLOOKUP($A890,Korrelation!$D$4:$D$1197,Korrelation!H$4:H$1197,"-",0)="-",0,MATCH(_xlfn.XLOOKUP($A890,Korrelation!$D$4:$D$1197,Korrelation!H$4:H$1197,"",0),DMAV_Dienste!$F$6:$F$140,0)))</f>
        <v>0</v>
      </c>
      <c r="F890" s="57">
        <f>IF($A890="","",IF(_xlfn.XLOOKUP($A890,Korrelation!$D$4:$D$1197,Korrelation!I$4:I$1197,"-",0)="-",0,MATCH(_xlfn.XLOOKUP($A890,Korrelation!$D$4:$D$1197,Korrelation!I$4:I$1197,"",0),DMAV_Dienste!$F$6:$F$140,0)))</f>
        <v>0</v>
      </c>
      <c r="G890" s="57">
        <f>IF($A890="","",IF(_xlfn.XLOOKUP($A890,Korrelation!$D$4:$D$1197,Korrelation!J$4:J$1197,"-",0)="-",0,MATCH(_xlfn.XLOOKUP($A890,Korrelation!$D$4:$D$1197,Korrelation!J$4:J$1197,"",0),DMAV_Dienste!$F$6:$F$140,0)))</f>
        <v>0</v>
      </c>
      <c r="H890" s="57">
        <f>IF($A890="","",IF(_xlfn.XLOOKUP($A890,Korrelation!$D$4:$D$1197,Korrelation!K$4:K$1197,"-",0)="-",0,MATCH(_xlfn.XLOOKUP($A890,Korrelation!$D$4:$D$1197,Korrelation!K$4:K$1197,"",0),'DM01-AV-CH'!$A$6:$A$834,0)))</f>
        <v>0</v>
      </c>
      <c r="J890" s="54" t="str" cm="1">
        <f t="array" aca="1" ref="J890" ca="1">IF(B890=0,IF(E890=0,"",HYPERLINK("#"&amp;RIGHT(CELL("adresse",OFFSET(DMAV_Dienste!$M$6,E890-1,0)),LEN(CELL("adresse",OFFSET(DMAV_Dienste!$M$6,E890-1,0)))-FIND("]",CELL("adresse",OFFSET(DMAV_Dienste!$M$6,E890-1,0)))),"Dienst")),HYPERLINK("#"&amp;RIGHT(CELL("adresse",OFFSET(DMAV_Modell!$N$6,B890-1,0)),LEN(CELL("adresse",OFFSET(DMAV_Modell!$N$6,B890-1,0)))-FIND("]",CELL("adresse",OFFSET(DMAV_Modell!$N$6,B890-1,0)))),"Modell"))</f>
        <v>Modell</v>
      </c>
      <c r="K890" s="61" t="str" cm="1">
        <f t="array" ref="K890">IF($B890=0,IF($E890=0,"",IF(INDEX(DMAV_Dienste!P$6:P$140,$E890)="","",INDEX(DMAV_Dienste!P$6:P$140,$E890))),IF(INDEX(DMAV_Modell!Q$6:Q$838,$B890)="","",INDEX(DMAV_Modell!Q$6:Q$838,$B890)))</f>
        <v>STRUCTURE</v>
      </c>
      <c r="L890" s="62" t="str" cm="1">
        <f t="array" ref="L890">IF($B890=0,IF($E890=0,"",IF(INDEX(DMAV_Dienste!O$6:O$140,$E890)="","",INDEX(DMAV_Dienste!O$6:O$140,$E890))),IF(INDEX(DMAV_Modell!P$6:P$838,$B890)="","",INDEX(DMAV_Modell!P$6:P$838,$B890)))</f>
        <v>Einzelobjekte</v>
      </c>
      <c r="M890" s="62" t="str" cm="1">
        <f t="array" ref="M890">IF($B890=0,IF($E890=0,"",IF(INDEX(DMAV_Dienste!Q$6:Q$140,$E890)="","",INDEX(DMAV_Dienste!Q$6:Q$140,$E890))),IF(INDEX(DMAV_Modell!R$6:R$838,$B890)="","",INDEX(DMAV_Modell!R$6:R$838,$B890)))</f>
        <v>Objektname</v>
      </c>
      <c r="N890" s="62" t="str" cm="1">
        <f t="array" ref="N890">IF($B890=0,IF($E890=0,"",IF(INDEX(DMAV_Dienste!T$6:T$140,$E890)="","",INDEX(DMAV_Dienste!T$6:T$140,$E890))),IF(INDEX(DMAV_Modell!U$6:U$838,$B890)="","",INDEX(DMAV_Modell!U$6:U$838,$B890)))</f>
        <v>Name</v>
      </c>
      <c r="O890" s="63" t="str" cm="1">
        <f t="array" aca="1" ref="O890" ca="1">IF(C890=0,IF(F890=0,"",HYPERLINK("#"&amp;RIGHT(CELL("adresse",OFFSET(DMAV_Dienste!$M$6,F890-1,0)),LEN(CELL("adresse",OFFSET(DMAV_Dienste!$M$6,F890-1,0)))-FIND("]",CELL("adresse",OFFSET(DMAV_Dienste!$M$6,F890-1,0)))),"Structure")),HYPERLINK("#"&amp;RIGHT(CELL("adresse",OFFSET(DMAV_Modell!$N$6,C890-1,0)),LEN(CELL("adresse",OFFSET(DMAV_Modell!$N$6,C890-1,0)))-FIND("]",CELL("adresse",OFFSET(DMAV_Modell!$N$6,C890-1,0)))),"Structure"))</f>
        <v/>
      </c>
      <c r="P890" s="64" t="str" cm="1">
        <f t="array" aca="1" ref="P890" ca="1">IF(D890=0,IF(G890=0,"",HYPERLINK("#"&amp;RIGHT(CELL("adresse",OFFSET(DMAV_Dienste!$M$6,G890-1,0)),LEN(CELL("adresse",OFFSET(DMAV_Dienste!$M$6,G890-1,0)))-FIND("]",CELL("adresse",OFFSET(DMAV_Dienste!$M$6,G890-1,0)))),"Substructure")),HYPERLINK("#"&amp;RIGHT(CELL("adresse",OFFSET(DMAV_Modell!$N$6,D890-1,0)),LEN(CELL("adresse",OFFSET(DMAV_Modell!$N$6,D890-1,0)))-FIND("]",CELL("adresse",OFFSET(DMAV_Modell!$N$6,D890-1,0)))),"Substructure"))</f>
        <v/>
      </c>
      <c r="R890" s="80"/>
      <c r="T890" s="93"/>
      <c r="U890" s="94"/>
      <c r="V890" s="95"/>
      <c r="W890" s="96"/>
      <c r="Y890" s="85"/>
      <c r="Z890" s="86"/>
      <c r="AA890" s="87"/>
      <c r="AB890" s="88"/>
      <c r="AD890" s="77"/>
      <c r="AF890" s="54" t="str" cm="1">
        <f t="array" aca="1" ref="AF890" ca="1">IF(H890=0,"",HYPERLINK("#"&amp;RIGHT(CELL("adresse",OFFSET('DM01-AV-CH'!$G$6,H890-1,0)),LEN(CELL("adresse",OFFSET('DM01-AV-CH'!$G$6,H890-1,0)))-FIND("]",CELL("adresse",OFFSET('DM01-AV-CH'!$G$6,H890-1,0)))),"Modell"))</f>
        <v/>
      </c>
      <c r="AG890" s="72" t="str" cm="1">
        <f t="array" ref="AG890">IF($H890=0,"",IF(INDEX('DM01-AV-CH'!G$6:G$834,$H890)="","",INDEX('DM01-AV-CH'!G$6:G$834,$H890)))</f>
        <v/>
      </c>
      <c r="AH890" s="73" t="str" cm="1">
        <f t="array" ref="AH890">IF($H890=0,"",IF(INDEX('DM01-AV-CH'!H$6:H$834,$H890)="","",INDEX('DM01-AV-CH'!H$6:H$834,$H890)))</f>
        <v/>
      </c>
      <c r="AI890" s="74" t="str" cm="1">
        <f t="array" ref="AI890">IF($H890=0,"",IF(INDEX('DM01-AV-CH'!I$6:I$834,$H890)="","",INDEX('DM01-AV-CH'!I$6:I$834,$H890)))</f>
        <v/>
      </c>
    </row>
    <row r="891" spans="1:35" x14ac:dyDescent="0.25">
      <c r="A891" s="57">
        <v>886</v>
      </c>
      <c r="B891" s="57">
        <f>IF($A891="","",IF(_xlfn.XLOOKUP($A891,Korrelation!$D$4:$D$1197,Korrelation!E$4:E$1197,"-",0)="-",0,MATCH(_xlfn.XLOOKUP($A891,Korrelation!$D$4:$D$1197,Korrelation!E$4:E$1197,"",0),DMAV_Modell!$G$6:$G$677,0)))</f>
        <v>517</v>
      </c>
      <c r="C891" s="57">
        <f>IF($A891="","",IF(_xlfn.XLOOKUP($A891,Korrelation!$D$4:$D$1197,Korrelation!F$4:F$1197,"-",0)="-",0,MATCH(_xlfn.XLOOKUP($A891,Korrelation!$D$4:$D$1197,Korrelation!F$4:F$1197,"",0),DMAV_Modell!$G$6:$G$677,0)))</f>
        <v>26</v>
      </c>
      <c r="D891" s="57">
        <f>IF($A891="","",IF(_xlfn.XLOOKUP($A891,Korrelation!$D$4:$D$1197,Korrelation!G$4:G$1197,"-",0)="-",0,MATCH(_xlfn.XLOOKUP($A891,Korrelation!$D$4:$D$1197,Korrelation!G$4:G$1197,"",0),DMAV_Modell!$G$6:$G$677,0)))</f>
        <v>0</v>
      </c>
      <c r="E891" s="57">
        <f>IF($A891="","",IF(_xlfn.XLOOKUP($A891,Korrelation!$D$4:$D$1197,Korrelation!H$4:H$1197,"-",0)="-",0,MATCH(_xlfn.XLOOKUP($A891,Korrelation!$D$4:$D$1197,Korrelation!H$4:H$1197,"",0),DMAV_Dienste!$F$6:$F$140,0)))</f>
        <v>0</v>
      </c>
      <c r="F891" s="57">
        <f>IF($A891="","",IF(_xlfn.XLOOKUP($A891,Korrelation!$D$4:$D$1197,Korrelation!I$4:I$1197,"-",0)="-",0,MATCH(_xlfn.XLOOKUP($A891,Korrelation!$D$4:$D$1197,Korrelation!I$4:I$1197,"",0),DMAV_Dienste!$F$6:$F$140,0)))</f>
        <v>0</v>
      </c>
      <c r="G891" s="57">
        <f>IF($A891="","",IF(_xlfn.XLOOKUP($A891,Korrelation!$D$4:$D$1197,Korrelation!J$4:J$1197,"-",0)="-",0,MATCH(_xlfn.XLOOKUP($A891,Korrelation!$D$4:$D$1197,Korrelation!J$4:J$1197,"",0),DMAV_Dienste!$F$6:$F$140,0)))</f>
        <v>0</v>
      </c>
      <c r="H891" s="57">
        <f>IF($A891="","",IF(_xlfn.XLOOKUP($A891,Korrelation!$D$4:$D$1197,Korrelation!K$4:K$1197,"-",0)="-",0,MATCH(_xlfn.XLOOKUP($A891,Korrelation!$D$4:$D$1197,Korrelation!K$4:K$1197,"",0),'DM01-AV-CH'!$A$6:$A$834,0)))</f>
        <v>0</v>
      </c>
      <c r="J891" s="54" t="str" cm="1">
        <f t="array" aca="1" ref="J891" ca="1">IF(B891=0,IF(E891=0,"",HYPERLINK("#"&amp;RIGHT(CELL("adresse",OFFSET(DMAV_Dienste!$M$6,E891-1,0)),LEN(CELL("adresse",OFFSET(DMAV_Dienste!$M$6,E891-1,0)))-FIND("]",CELL("adresse",OFFSET(DMAV_Dienste!$M$6,E891-1,0)))),"Dienst")),HYPERLINK("#"&amp;RIGHT(CELL("adresse",OFFSET(DMAV_Modell!$N$6,B891-1,0)),LEN(CELL("adresse",OFFSET(DMAV_Modell!$N$6,B891-1,0)))-FIND("]",CELL("adresse",OFFSET(DMAV_Modell!$N$6,B891-1,0)))),"Modell"))</f>
        <v>Modell</v>
      </c>
      <c r="K891" s="61" t="str" cm="1">
        <f t="array" ref="K891">IF($B891=0,IF($E891=0,"",IF(INDEX(DMAV_Dienste!P$6:P$140,$E891)="","",INDEX(DMAV_Dienste!P$6:P$140,$E891))),IF(INDEX(DMAV_Modell!Q$6:Q$838,$B891)="","",INDEX(DMAV_Modell!Q$6:Q$838,$B891)))</f>
        <v>STRUCTURE</v>
      </c>
      <c r="L891" s="62" t="str" cm="1">
        <f t="array" ref="L891">IF($B891=0,IF($E891=0,"",IF(INDEX(DMAV_Dienste!O$6:O$140,$E891)="","",INDEX(DMAV_Dienste!O$6:O$140,$E891))),IF(INDEX(DMAV_Modell!P$6:P$838,$B891)="","",INDEX(DMAV_Modell!P$6:P$838,$B891)))</f>
        <v>Einzelobjekte</v>
      </c>
      <c r="M891" s="62" t="str" cm="1">
        <f t="array" ref="M891">IF($B891=0,IF($E891=0,"",IF(INDEX(DMAV_Dienste!Q$6:Q$140,$E891)="","",INDEX(DMAV_Dienste!Q$6:Q$140,$E891))),IF(INDEX(DMAV_Modell!R$6:R$838,$B891)="","",INDEX(DMAV_Modell!R$6:R$838,$B891)))</f>
        <v>Objektname</v>
      </c>
      <c r="N891" s="62" t="str" cm="1">
        <f t="array" ref="N891">IF($B891=0,IF($E891=0,"",IF(INDEX(DMAV_Dienste!T$6:T$140,$E891)="","",INDEX(DMAV_Dienste!T$6:T$140,$E891))),IF(INDEX(DMAV_Modell!U$6:U$838,$B891)="","",INDEX(DMAV_Modell!U$6:U$838,$B891)))</f>
        <v>Textposition</v>
      </c>
      <c r="O891" s="63" t="str" cm="1">
        <f t="array" aca="1" ref="O891" ca="1">IF(C891=0,IF(F891=0,"",HYPERLINK("#"&amp;RIGHT(CELL("adresse",OFFSET(DMAV_Dienste!$M$6,F891-1,0)),LEN(CELL("adresse",OFFSET(DMAV_Dienste!$M$6,F891-1,0)))-FIND("]",CELL("adresse",OFFSET(DMAV_Dienste!$M$6,F891-1,0)))),"Structure")),HYPERLINK("#"&amp;RIGHT(CELL("adresse",OFFSET(DMAV_Modell!$N$6,C891-1,0)),LEN(CELL("adresse",OFFSET(DMAV_Modell!$N$6,C891-1,0)))-FIND("]",CELL("adresse",OFFSET(DMAV_Modell!$N$6,C891-1,0)))),"Structure"))</f>
        <v>Structure</v>
      </c>
      <c r="P891" s="64" t="str" cm="1">
        <f t="array" aca="1" ref="P891" ca="1">IF(D891=0,IF(G891=0,"",HYPERLINK("#"&amp;RIGHT(CELL("adresse",OFFSET(DMAV_Dienste!$M$6,G891-1,0)),LEN(CELL("adresse",OFFSET(DMAV_Dienste!$M$6,G891-1,0)))-FIND("]",CELL("adresse",OFFSET(DMAV_Dienste!$M$6,G891-1,0)))),"Substructure")),HYPERLINK("#"&amp;RIGHT(CELL("adresse",OFFSET(DMAV_Modell!$N$6,D891-1,0)),LEN(CELL("adresse",OFFSET(DMAV_Modell!$N$6,D891-1,0)))-FIND("]",CELL("adresse",OFFSET(DMAV_Modell!$N$6,D891-1,0)))),"Substructure"))</f>
        <v/>
      </c>
      <c r="R891" s="80"/>
      <c r="T891" s="93"/>
      <c r="U891" s="94"/>
      <c r="V891" s="95"/>
      <c r="W891" s="96"/>
      <c r="Y891" s="85"/>
      <c r="Z891" s="86"/>
      <c r="AA891" s="87"/>
      <c r="AB891" s="88"/>
      <c r="AD891" s="77"/>
      <c r="AF891" s="54" t="str" cm="1">
        <f t="array" aca="1" ref="AF891" ca="1">IF(H891=0,"",HYPERLINK("#"&amp;RIGHT(CELL("adresse",OFFSET('DM01-AV-CH'!$G$6,H891-1,0)),LEN(CELL("adresse",OFFSET('DM01-AV-CH'!$G$6,H891-1,0)))-FIND("]",CELL("adresse",OFFSET('DM01-AV-CH'!$G$6,H891-1,0)))),"Modell"))</f>
        <v/>
      </c>
      <c r="AG891" s="72" t="str" cm="1">
        <f t="array" ref="AG891">IF($H891=0,"",IF(INDEX('DM01-AV-CH'!G$6:G$834,$H891)="","",INDEX('DM01-AV-CH'!G$6:G$834,$H891)))</f>
        <v/>
      </c>
      <c r="AH891" s="73" t="str" cm="1">
        <f t="array" ref="AH891">IF($H891=0,"",IF(INDEX('DM01-AV-CH'!H$6:H$834,$H891)="","",INDEX('DM01-AV-CH'!H$6:H$834,$H891)))</f>
        <v/>
      </c>
      <c r="AI891" s="74" t="str" cm="1">
        <f t="array" ref="AI891">IF($H891=0,"",IF(INDEX('DM01-AV-CH'!I$6:I$834,$H891)="","",INDEX('DM01-AV-CH'!I$6:I$834,$H891)))</f>
        <v/>
      </c>
    </row>
    <row r="892" spans="1:35" x14ac:dyDescent="0.25">
      <c r="A892" s="57">
        <v>887</v>
      </c>
      <c r="B892" s="57">
        <f>IF($A892="","",IF(_xlfn.XLOOKUP($A892,Korrelation!$D$4:$D$1197,Korrelation!E$4:E$1197,"-",0)="-",0,MATCH(_xlfn.XLOOKUP($A892,Korrelation!$D$4:$D$1197,Korrelation!E$4:E$1197,"",0),DMAV_Modell!$G$6:$G$677,0)))</f>
        <v>518</v>
      </c>
      <c r="C892" s="57">
        <f>IF($A892="","",IF(_xlfn.XLOOKUP($A892,Korrelation!$D$4:$D$1197,Korrelation!F$4:F$1197,"-",0)="-",0,MATCH(_xlfn.XLOOKUP($A892,Korrelation!$D$4:$D$1197,Korrelation!F$4:F$1197,"",0),DMAV_Modell!$G$6:$G$677,0)))</f>
        <v>0</v>
      </c>
      <c r="D892" s="57">
        <f>IF($A892="","",IF(_xlfn.XLOOKUP($A892,Korrelation!$D$4:$D$1197,Korrelation!G$4:G$1197,"-",0)="-",0,MATCH(_xlfn.XLOOKUP($A892,Korrelation!$D$4:$D$1197,Korrelation!G$4:G$1197,"",0),DMAV_Modell!$G$6:$G$677,0)))</f>
        <v>0</v>
      </c>
      <c r="E892" s="57">
        <f>IF($A892="","",IF(_xlfn.XLOOKUP($A892,Korrelation!$D$4:$D$1197,Korrelation!H$4:H$1197,"-",0)="-",0,MATCH(_xlfn.XLOOKUP($A892,Korrelation!$D$4:$D$1197,Korrelation!H$4:H$1197,"",0),DMAV_Dienste!$F$6:$F$140,0)))</f>
        <v>0</v>
      </c>
      <c r="F892" s="57">
        <f>IF($A892="","",IF(_xlfn.XLOOKUP($A892,Korrelation!$D$4:$D$1197,Korrelation!I$4:I$1197,"-",0)="-",0,MATCH(_xlfn.XLOOKUP($A892,Korrelation!$D$4:$D$1197,Korrelation!I$4:I$1197,"",0),DMAV_Dienste!$F$6:$F$140,0)))</f>
        <v>0</v>
      </c>
      <c r="G892" s="57">
        <f>IF($A892="","",IF(_xlfn.XLOOKUP($A892,Korrelation!$D$4:$D$1197,Korrelation!J$4:J$1197,"-",0)="-",0,MATCH(_xlfn.XLOOKUP($A892,Korrelation!$D$4:$D$1197,Korrelation!J$4:J$1197,"",0),DMAV_Dienste!$F$6:$F$140,0)))</f>
        <v>0</v>
      </c>
      <c r="H892" s="57">
        <f>IF($A892="","",IF(_xlfn.XLOOKUP($A892,Korrelation!$D$4:$D$1197,Korrelation!K$4:K$1197,"-",0)="-",0,MATCH(_xlfn.XLOOKUP($A892,Korrelation!$D$4:$D$1197,Korrelation!K$4:K$1197,"",0),'DM01-AV-CH'!$A$6:$A$834,0)))</f>
        <v>0</v>
      </c>
      <c r="J892" s="54" t="str" cm="1">
        <f t="array" aca="1" ref="J892" ca="1">IF(B892=0,IF(E892=0,"",HYPERLINK("#"&amp;RIGHT(CELL("adresse",OFFSET(DMAV_Dienste!$M$6,E892-1,0)),LEN(CELL("adresse",OFFSET(DMAV_Dienste!$M$6,E892-1,0)))-FIND("]",CELL("adresse",OFFSET(DMAV_Dienste!$M$6,E892-1,0)))),"Dienst")),HYPERLINK("#"&amp;RIGHT(CELL("adresse",OFFSET(DMAV_Modell!$N$6,B892-1,0)),LEN(CELL("adresse",OFFSET(DMAV_Modell!$N$6,B892-1,0)))-FIND("]",CELL("adresse",OFFSET(DMAV_Modell!$N$6,B892-1,0)))),"Modell"))</f>
        <v>Modell</v>
      </c>
      <c r="K892" s="61" t="str" cm="1">
        <f t="array" ref="K892">IF($B892=0,IF($E892=0,"",IF(INDEX(DMAV_Dienste!P$6:P$140,$E892)="","",INDEX(DMAV_Dienste!P$6:P$140,$E892))),IF(INDEX(DMAV_Modell!Q$6:Q$838,$B892)="","",INDEX(DMAV_Modell!Q$6:Q$838,$B892)))</f>
        <v>STRUCTURE</v>
      </c>
      <c r="L892" s="62" t="str" cm="1">
        <f t="array" ref="L892">IF($B892=0,IF($E892=0,"",IF(INDEX(DMAV_Dienste!O$6:O$140,$E892)="","",INDEX(DMAV_Dienste!O$6:O$140,$E892))),IF(INDEX(DMAV_Modell!P$6:P$838,$B892)="","",INDEX(DMAV_Modell!P$6:P$838,$B892)))</f>
        <v>Einzelobjekte</v>
      </c>
      <c r="M892" s="62" t="str" cm="1">
        <f t="array" ref="M892">IF($B892=0,IF($E892=0,"",IF(INDEX(DMAV_Dienste!Q$6:Q$140,$E892)="","",INDEX(DMAV_Dienste!Q$6:Q$140,$E892))),IF(INDEX(DMAV_Modell!R$6:R$838,$B892)="","",INDEX(DMAV_Modell!R$6:R$838,$B892)))</f>
        <v>Objektnummer</v>
      </c>
      <c r="N892" s="62" t="str" cm="1">
        <f t="array" ref="N892">IF($B892=0,IF($E892=0,"",IF(INDEX(DMAV_Dienste!T$6:T$140,$E892)="","",INDEX(DMAV_Dienste!T$6:T$140,$E892))),IF(INDEX(DMAV_Modell!U$6:U$838,$B892)="","",INDEX(DMAV_Modell!U$6:U$838,$B892)))</f>
        <v>Nummer</v>
      </c>
      <c r="O892" s="63" t="str" cm="1">
        <f t="array" aca="1" ref="O892" ca="1">IF(C892=0,IF(F892=0,"",HYPERLINK("#"&amp;RIGHT(CELL("adresse",OFFSET(DMAV_Dienste!$M$6,F892-1,0)),LEN(CELL("adresse",OFFSET(DMAV_Dienste!$M$6,F892-1,0)))-FIND("]",CELL("adresse",OFFSET(DMAV_Dienste!$M$6,F892-1,0)))),"Structure")),HYPERLINK("#"&amp;RIGHT(CELL("adresse",OFFSET(DMAV_Modell!$N$6,C892-1,0)),LEN(CELL("adresse",OFFSET(DMAV_Modell!$N$6,C892-1,0)))-FIND("]",CELL("adresse",OFFSET(DMAV_Modell!$N$6,C892-1,0)))),"Structure"))</f>
        <v/>
      </c>
      <c r="P892" s="64" t="str" cm="1">
        <f t="array" aca="1" ref="P892" ca="1">IF(D892=0,IF(G892=0,"",HYPERLINK("#"&amp;RIGHT(CELL("adresse",OFFSET(DMAV_Dienste!$M$6,G892-1,0)),LEN(CELL("adresse",OFFSET(DMAV_Dienste!$M$6,G892-1,0)))-FIND("]",CELL("adresse",OFFSET(DMAV_Dienste!$M$6,G892-1,0)))),"Substructure")),HYPERLINK("#"&amp;RIGHT(CELL("adresse",OFFSET(DMAV_Modell!$N$6,D892-1,0)),LEN(CELL("adresse",OFFSET(DMAV_Modell!$N$6,D892-1,0)))-FIND("]",CELL("adresse",OFFSET(DMAV_Modell!$N$6,D892-1,0)))),"Substructure"))</f>
        <v/>
      </c>
      <c r="R892" s="80"/>
      <c r="T892" s="93"/>
      <c r="U892" s="94"/>
      <c r="V892" s="95"/>
      <c r="W892" s="96"/>
      <c r="Y892" s="85"/>
      <c r="Z892" s="86"/>
      <c r="AA892" s="87"/>
      <c r="AB892" s="88"/>
      <c r="AD892" s="77"/>
      <c r="AF892" s="54" t="str" cm="1">
        <f t="array" aca="1" ref="AF892" ca="1">IF(H892=0,"",HYPERLINK("#"&amp;RIGHT(CELL("adresse",OFFSET('DM01-AV-CH'!$G$6,H892-1,0)),LEN(CELL("adresse",OFFSET('DM01-AV-CH'!$G$6,H892-1,0)))-FIND("]",CELL("adresse",OFFSET('DM01-AV-CH'!$G$6,H892-1,0)))),"Modell"))</f>
        <v/>
      </c>
      <c r="AG892" s="72" t="str" cm="1">
        <f t="array" ref="AG892">IF($H892=0,"",IF(INDEX('DM01-AV-CH'!G$6:G$834,$H892)="","",INDEX('DM01-AV-CH'!G$6:G$834,$H892)))</f>
        <v/>
      </c>
      <c r="AH892" s="73" t="str" cm="1">
        <f t="array" ref="AH892">IF($H892=0,"",IF(INDEX('DM01-AV-CH'!H$6:H$834,$H892)="","",INDEX('DM01-AV-CH'!H$6:H$834,$H892)))</f>
        <v/>
      </c>
      <c r="AI892" s="74" t="str" cm="1">
        <f t="array" ref="AI892">IF($H892=0,"",IF(INDEX('DM01-AV-CH'!I$6:I$834,$H892)="","",INDEX('DM01-AV-CH'!I$6:I$834,$H892)))</f>
        <v/>
      </c>
    </row>
    <row r="893" spans="1:35" x14ac:dyDescent="0.25">
      <c r="A893" s="57">
        <v>888</v>
      </c>
      <c r="B893" s="57">
        <f>IF($A893="","",IF(_xlfn.XLOOKUP($A893,Korrelation!$D$4:$D$1197,Korrelation!E$4:E$1197,"-",0)="-",0,MATCH(_xlfn.XLOOKUP($A893,Korrelation!$D$4:$D$1197,Korrelation!E$4:E$1197,"",0),DMAV_Modell!$G$6:$G$677,0)))</f>
        <v>519</v>
      </c>
      <c r="C893" s="57">
        <f>IF($A893="","",IF(_xlfn.XLOOKUP($A893,Korrelation!$D$4:$D$1197,Korrelation!F$4:F$1197,"-",0)="-",0,MATCH(_xlfn.XLOOKUP($A893,Korrelation!$D$4:$D$1197,Korrelation!F$4:F$1197,"",0),DMAV_Modell!$G$6:$G$677,0)))</f>
        <v>26</v>
      </c>
      <c r="D893" s="57">
        <f>IF($A893="","",IF(_xlfn.XLOOKUP($A893,Korrelation!$D$4:$D$1197,Korrelation!G$4:G$1197,"-",0)="-",0,MATCH(_xlfn.XLOOKUP($A893,Korrelation!$D$4:$D$1197,Korrelation!G$4:G$1197,"",0),DMAV_Modell!$G$6:$G$677,0)))</f>
        <v>0</v>
      </c>
      <c r="E893" s="57">
        <f>IF($A893="","",IF(_xlfn.XLOOKUP($A893,Korrelation!$D$4:$D$1197,Korrelation!H$4:H$1197,"-",0)="-",0,MATCH(_xlfn.XLOOKUP($A893,Korrelation!$D$4:$D$1197,Korrelation!H$4:H$1197,"",0),DMAV_Dienste!$F$6:$F$140,0)))</f>
        <v>0</v>
      </c>
      <c r="F893" s="57">
        <f>IF($A893="","",IF(_xlfn.XLOOKUP($A893,Korrelation!$D$4:$D$1197,Korrelation!I$4:I$1197,"-",0)="-",0,MATCH(_xlfn.XLOOKUP($A893,Korrelation!$D$4:$D$1197,Korrelation!I$4:I$1197,"",0),DMAV_Dienste!$F$6:$F$140,0)))</f>
        <v>0</v>
      </c>
      <c r="G893" s="57">
        <f>IF($A893="","",IF(_xlfn.XLOOKUP($A893,Korrelation!$D$4:$D$1197,Korrelation!J$4:J$1197,"-",0)="-",0,MATCH(_xlfn.XLOOKUP($A893,Korrelation!$D$4:$D$1197,Korrelation!J$4:J$1197,"",0),DMAV_Dienste!$F$6:$F$140,0)))</f>
        <v>0</v>
      </c>
      <c r="H893" s="57">
        <f>IF($A893="","",IF(_xlfn.XLOOKUP($A893,Korrelation!$D$4:$D$1197,Korrelation!K$4:K$1197,"-",0)="-",0,MATCH(_xlfn.XLOOKUP($A893,Korrelation!$D$4:$D$1197,Korrelation!K$4:K$1197,"",0),'DM01-AV-CH'!$A$6:$A$834,0)))</f>
        <v>0</v>
      </c>
      <c r="J893" s="54" t="str" cm="1">
        <f t="array" aca="1" ref="J893" ca="1">IF(B893=0,IF(E893=0,"",HYPERLINK("#"&amp;RIGHT(CELL("adresse",OFFSET(DMAV_Dienste!$M$6,E893-1,0)),LEN(CELL("adresse",OFFSET(DMAV_Dienste!$M$6,E893-1,0)))-FIND("]",CELL("adresse",OFFSET(DMAV_Dienste!$M$6,E893-1,0)))),"Dienst")),HYPERLINK("#"&amp;RIGHT(CELL("adresse",OFFSET(DMAV_Modell!$N$6,B893-1,0)),LEN(CELL("adresse",OFFSET(DMAV_Modell!$N$6,B893-1,0)))-FIND("]",CELL("adresse",OFFSET(DMAV_Modell!$N$6,B893-1,0)))),"Modell"))</f>
        <v>Modell</v>
      </c>
      <c r="K893" s="61" t="str" cm="1">
        <f t="array" ref="K893">IF($B893=0,IF($E893=0,"",IF(INDEX(DMAV_Dienste!P$6:P$140,$E893)="","",INDEX(DMAV_Dienste!P$6:P$140,$E893))),IF(INDEX(DMAV_Modell!Q$6:Q$838,$B893)="","",INDEX(DMAV_Modell!Q$6:Q$838,$B893)))</f>
        <v>STRUCTURE</v>
      </c>
      <c r="L893" s="62" t="str" cm="1">
        <f t="array" ref="L893">IF($B893=0,IF($E893=0,"",IF(INDEX(DMAV_Dienste!O$6:O$140,$E893)="","",INDEX(DMAV_Dienste!O$6:O$140,$E893))),IF(INDEX(DMAV_Modell!P$6:P$838,$B893)="","",INDEX(DMAV_Modell!P$6:P$838,$B893)))</f>
        <v>Einzelobjekte</v>
      </c>
      <c r="M893" s="62" t="str" cm="1">
        <f t="array" ref="M893">IF($B893=0,IF($E893=0,"",IF(INDEX(DMAV_Dienste!Q$6:Q$140,$E893)="","",INDEX(DMAV_Dienste!Q$6:Q$140,$E893))),IF(INDEX(DMAV_Modell!R$6:R$838,$B893)="","",INDEX(DMAV_Modell!R$6:R$838,$B893)))</f>
        <v>Objektnummer</v>
      </c>
      <c r="N893" s="62" t="str" cm="1">
        <f t="array" ref="N893">IF($B893=0,IF($E893=0,"",IF(INDEX(DMAV_Dienste!T$6:T$140,$E893)="","",INDEX(DMAV_Dienste!T$6:T$140,$E893))),IF(INDEX(DMAV_Modell!U$6:U$838,$B893)="","",INDEX(DMAV_Modell!U$6:U$838,$B893)))</f>
        <v>Textposition</v>
      </c>
      <c r="O893" s="63" t="str" cm="1">
        <f t="array" aca="1" ref="O893" ca="1">IF(C893=0,IF(F893=0,"",HYPERLINK("#"&amp;RIGHT(CELL("adresse",OFFSET(DMAV_Dienste!$M$6,F893-1,0)),LEN(CELL("adresse",OFFSET(DMAV_Dienste!$M$6,F893-1,0)))-FIND("]",CELL("adresse",OFFSET(DMAV_Dienste!$M$6,F893-1,0)))),"Structure")),HYPERLINK("#"&amp;RIGHT(CELL("adresse",OFFSET(DMAV_Modell!$N$6,C893-1,0)),LEN(CELL("adresse",OFFSET(DMAV_Modell!$N$6,C893-1,0)))-FIND("]",CELL("adresse",OFFSET(DMAV_Modell!$N$6,C893-1,0)))),"Structure"))</f>
        <v>Structure</v>
      </c>
      <c r="P893" s="64" t="str" cm="1">
        <f t="array" aca="1" ref="P893" ca="1">IF(D893=0,IF(G893=0,"",HYPERLINK("#"&amp;RIGHT(CELL("adresse",OFFSET(DMAV_Dienste!$M$6,G893-1,0)),LEN(CELL("adresse",OFFSET(DMAV_Dienste!$M$6,G893-1,0)))-FIND("]",CELL("adresse",OFFSET(DMAV_Dienste!$M$6,G893-1,0)))),"Substructure")),HYPERLINK("#"&amp;RIGHT(CELL("adresse",OFFSET(DMAV_Modell!$N$6,D893-1,0)),LEN(CELL("adresse",OFFSET(DMAV_Modell!$N$6,D893-1,0)))-FIND("]",CELL("adresse",OFFSET(DMAV_Modell!$N$6,D893-1,0)))),"Substructure"))</f>
        <v/>
      </c>
      <c r="R893" s="80"/>
      <c r="T893" s="93"/>
      <c r="U893" s="94"/>
      <c r="V893" s="95"/>
      <c r="W893" s="96"/>
      <c r="Y893" s="85"/>
      <c r="Z893" s="86"/>
      <c r="AA893" s="87"/>
      <c r="AB893" s="88"/>
      <c r="AD893" s="77"/>
      <c r="AF893" s="54" t="str" cm="1">
        <f t="array" aca="1" ref="AF893" ca="1">IF(H893=0,"",HYPERLINK("#"&amp;RIGHT(CELL("adresse",OFFSET('DM01-AV-CH'!$G$6,H893-1,0)),LEN(CELL("adresse",OFFSET('DM01-AV-CH'!$G$6,H893-1,0)))-FIND("]",CELL("adresse",OFFSET('DM01-AV-CH'!$G$6,H893-1,0)))),"Modell"))</f>
        <v/>
      </c>
      <c r="AG893" s="72" t="str" cm="1">
        <f t="array" ref="AG893">IF($H893=0,"",IF(INDEX('DM01-AV-CH'!G$6:G$834,$H893)="","",INDEX('DM01-AV-CH'!G$6:G$834,$H893)))</f>
        <v/>
      </c>
      <c r="AH893" s="73" t="str" cm="1">
        <f t="array" ref="AH893">IF($H893=0,"",IF(INDEX('DM01-AV-CH'!H$6:H$834,$H893)="","",INDEX('DM01-AV-CH'!H$6:H$834,$H893)))</f>
        <v/>
      </c>
      <c r="AI893" s="74" t="str" cm="1">
        <f t="array" ref="AI893">IF($H893=0,"",IF(INDEX('DM01-AV-CH'!I$6:I$834,$H893)="","",INDEX('DM01-AV-CH'!I$6:I$834,$H893)))</f>
        <v/>
      </c>
    </row>
    <row r="894" spans="1:35" x14ac:dyDescent="0.25">
      <c r="A894" s="57">
        <v>889</v>
      </c>
      <c r="B894" s="57">
        <f>IF($A894="","",IF(_xlfn.XLOOKUP($A894,Korrelation!$D$4:$D$1197,Korrelation!E$4:E$1197,"-",0)="-",0,MATCH(_xlfn.XLOOKUP($A894,Korrelation!$D$4:$D$1197,Korrelation!E$4:E$1197,"",0),DMAV_Modell!$G$6:$G$677,0)))</f>
        <v>0</v>
      </c>
      <c r="C894" s="57">
        <f>IF($A894="","",IF(_xlfn.XLOOKUP($A894,Korrelation!$D$4:$D$1197,Korrelation!F$4:F$1197,"-",0)="-",0,MATCH(_xlfn.XLOOKUP($A894,Korrelation!$D$4:$D$1197,Korrelation!F$4:F$1197,"",0),DMAV_Modell!$G$6:$G$677,0)))</f>
        <v>0</v>
      </c>
      <c r="D894" s="57">
        <f>IF($A894="","",IF(_xlfn.XLOOKUP($A894,Korrelation!$D$4:$D$1197,Korrelation!G$4:G$1197,"-",0)="-",0,MATCH(_xlfn.XLOOKUP($A894,Korrelation!$D$4:$D$1197,Korrelation!G$4:G$1197,"",0),DMAV_Modell!$G$6:$G$677,0)))</f>
        <v>0</v>
      </c>
      <c r="E894" s="57">
        <f>IF($A894="","",IF(_xlfn.XLOOKUP($A894,Korrelation!$D$4:$D$1197,Korrelation!H$4:H$1197,"-",0)="-",0,MATCH(_xlfn.XLOOKUP($A894,Korrelation!$D$4:$D$1197,Korrelation!H$4:H$1197,"",0),DMAV_Dienste!$F$6:$F$140,0)))</f>
        <v>0</v>
      </c>
      <c r="F894" s="57">
        <f>IF($A894="","",IF(_xlfn.XLOOKUP($A894,Korrelation!$D$4:$D$1197,Korrelation!I$4:I$1197,"-",0)="-",0,MATCH(_xlfn.XLOOKUP($A894,Korrelation!$D$4:$D$1197,Korrelation!I$4:I$1197,"",0),DMAV_Dienste!$F$6:$F$140,0)))</f>
        <v>0</v>
      </c>
      <c r="G894" s="57">
        <f>IF($A894="","",IF(_xlfn.XLOOKUP($A894,Korrelation!$D$4:$D$1197,Korrelation!J$4:J$1197,"-",0)="-",0,MATCH(_xlfn.XLOOKUP($A894,Korrelation!$D$4:$D$1197,Korrelation!J$4:J$1197,"",0),DMAV_Dienste!$F$6:$F$140,0)))</f>
        <v>0</v>
      </c>
      <c r="H894" s="57">
        <f>IF($A894="","",IF(_xlfn.XLOOKUP($A894,Korrelation!$D$4:$D$1197,Korrelation!K$4:K$1197,"-",0)="-",0,MATCH(_xlfn.XLOOKUP($A894,Korrelation!$D$4:$D$1197,Korrelation!K$4:K$1197,"",0),'DM01-AV-CH'!$A$6:$A$834,0)))</f>
        <v>310</v>
      </c>
      <c r="J894" s="54" t="str" cm="1">
        <f t="array" aca="1" ref="J894" ca="1">IF(B894=0,IF(E894=0,"",HYPERLINK("#"&amp;RIGHT(CELL("adresse",OFFSET(DMAV_Dienste!$M$6,E894-1,0)),LEN(CELL("adresse",OFFSET(DMAV_Dienste!$M$6,E894-1,0)))-FIND("]",CELL("adresse",OFFSET(DMAV_Dienste!$M$6,E894-1,0)))),"Dienst")),HYPERLINK("#"&amp;RIGHT(CELL("adresse",OFFSET(DMAV_Modell!$N$6,B894-1,0)),LEN(CELL("adresse",OFFSET(DMAV_Modell!$N$6,B894-1,0)))-FIND("]",CELL("adresse",OFFSET(DMAV_Modell!$N$6,B894-1,0)))),"Modell"))</f>
        <v/>
      </c>
      <c r="K894" s="61" t="str" cm="1">
        <f t="array" ref="K894">IF($B894=0,IF($E894=0,"",IF(INDEX(DMAV_Dienste!P$6:P$140,$E894)="","",INDEX(DMAV_Dienste!P$6:P$140,$E894))),IF(INDEX(DMAV_Modell!Q$6:Q$838,$B894)="","",INDEX(DMAV_Modell!Q$6:Q$838,$B894)))</f>
        <v/>
      </c>
      <c r="L894" s="62" t="str" cm="1">
        <f t="array" ref="L894">IF($B894=0,IF($E894=0,"",IF(INDEX(DMAV_Dienste!O$6:O$140,$E894)="","",INDEX(DMAV_Dienste!O$6:O$140,$E894))),IF(INDEX(DMAV_Modell!P$6:P$838,$B894)="","",INDEX(DMAV_Modell!P$6:P$838,$B894)))</f>
        <v/>
      </c>
      <c r="M894" s="62" t="str" cm="1">
        <f t="array" ref="M894">IF($B894=0,IF($E894=0,"",IF(INDEX(DMAV_Dienste!Q$6:Q$140,$E894)="","",INDEX(DMAV_Dienste!Q$6:Q$140,$E894))),IF(INDEX(DMAV_Modell!R$6:R$838,$B894)="","",INDEX(DMAV_Modell!R$6:R$838,$B894)))</f>
        <v/>
      </c>
      <c r="N894" s="62" t="str" cm="1">
        <f t="array" ref="N894">IF($B894=0,IF($E894=0,"",IF(INDEX(DMAV_Dienste!T$6:T$140,$E894)="","",INDEX(DMAV_Dienste!T$6:T$140,$E894))),IF(INDEX(DMAV_Modell!U$6:U$838,$B894)="","",INDEX(DMAV_Modell!U$6:U$838,$B894)))</f>
        <v/>
      </c>
      <c r="O894" s="63" t="str" cm="1">
        <f t="array" aca="1" ref="O894" ca="1">IF(C894=0,IF(F894=0,"",HYPERLINK("#"&amp;RIGHT(CELL("adresse",OFFSET(DMAV_Dienste!$M$6,F894-1,0)),LEN(CELL("adresse",OFFSET(DMAV_Dienste!$M$6,F894-1,0)))-FIND("]",CELL("adresse",OFFSET(DMAV_Dienste!$M$6,F894-1,0)))),"Structure")),HYPERLINK("#"&amp;RIGHT(CELL("adresse",OFFSET(DMAV_Modell!$N$6,C894-1,0)),LEN(CELL("adresse",OFFSET(DMAV_Modell!$N$6,C894-1,0)))-FIND("]",CELL("adresse",OFFSET(DMAV_Modell!$N$6,C894-1,0)))),"Structure"))</f>
        <v/>
      </c>
      <c r="P894" s="64" t="str" cm="1">
        <f t="array" aca="1" ref="P894" ca="1">IF(D894=0,IF(G894=0,"",HYPERLINK("#"&amp;RIGHT(CELL("adresse",OFFSET(DMAV_Dienste!$M$6,G894-1,0)),LEN(CELL("adresse",OFFSET(DMAV_Dienste!$M$6,G894-1,0)))-FIND("]",CELL("adresse",OFFSET(DMAV_Dienste!$M$6,G894-1,0)))),"Substructure")),HYPERLINK("#"&amp;RIGHT(CELL("adresse",OFFSET(DMAV_Modell!$N$6,D894-1,0)),LEN(CELL("adresse",OFFSET(DMAV_Modell!$N$6,D894-1,0)))-FIND("]",CELL("adresse",OFFSET(DMAV_Modell!$N$6,D894-1,0)))),"Substructure"))</f>
        <v/>
      </c>
      <c r="R894" s="80"/>
      <c r="T894" s="93"/>
      <c r="U894" s="94"/>
      <c r="V894" s="95"/>
      <c r="W894" s="96"/>
      <c r="Y894" s="85"/>
      <c r="Z894" s="86"/>
      <c r="AA894" s="87"/>
      <c r="AB894" s="88"/>
      <c r="AD894" s="77"/>
      <c r="AF894" s="54" t="str" cm="1">
        <f t="array" aca="1" ref="AF894" ca="1">IF(H894=0,"",HYPERLINK("#"&amp;RIGHT(CELL("adresse",OFFSET('DM01-AV-CH'!$G$6,H894-1,0)),LEN(CELL("adresse",OFFSET('DM01-AV-CH'!$G$6,H894-1,0)))-FIND("]",CELL("adresse",OFFSET('DM01-AV-CH'!$G$6,H894-1,0)))),"Modell"))</f>
        <v>Modell</v>
      </c>
      <c r="AG894" s="72" t="str" cm="1">
        <f t="array" ref="AG894">IF($H894=0,"",IF(INDEX('DM01-AV-CH'!G$6:G$834,$H894)="","",INDEX('DM01-AV-CH'!G$6:G$834,$H894)))</f>
        <v>Einzelobjekte</v>
      </c>
      <c r="AH894" s="73" t="str" cm="1">
        <f t="array" ref="AH894">IF($H894=0,"",IF(INDEX('DM01-AV-CH'!H$6:H$834,$H894)="","",INDEX('DM01-AV-CH'!H$6:H$834,$H894)))</f>
        <v>Einzelobjekt</v>
      </c>
      <c r="AI894" s="74" t="str" cm="1">
        <f t="array" ref="AI894">IF($H894=0,"",IF(INDEX('DM01-AV-CH'!I$6:I$834,$H894)="","",INDEX('DM01-AV-CH'!I$6:I$834,$H894)))</f>
        <v>Entstehung</v>
      </c>
    </row>
    <row r="895" spans="1:35" ht="28.5" x14ac:dyDescent="0.25">
      <c r="A895" s="57">
        <v>890</v>
      </c>
      <c r="B895" s="57">
        <f>IF($A895="","",IF(_xlfn.XLOOKUP($A895,Korrelation!$D$4:$D$1197,Korrelation!E$4:E$1197,"-",0)="-",0,MATCH(_xlfn.XLOOKUP($A895,Korrelation!$D$4:$D$1197,Korrelation!E$4:E$1197,"",0),DMAV_Modell!$G$6:$G$677,0)))</f>
        <v>520</v>
      </c>
      <c r="C895" s="57">
        <f>IF($A895="","",IF(_xlfn.XLOOKUP($A895,Korrelation!$D$4:$D$1197,Korrelation!F$4:F$1197,"-",0)="-",0,MATCH(_xlfn.XLOOKUP($A895,Korrelation!$D$4:$D$1197,Korrelation!F$4:F$1197,"",0),DMAV_Modell!$G$6:$G$677,0)))</f>
        <v>0</v>
      </c>
      <c r="D895" s="57">
        <f>IF($A895="","",IF(_xlfn.XLOOKUP($A895,Korrelation!$D$4:$D$1197,Korrelation!G$4:G$1197,"-",0)="-",0,MATCH(_xlfn.XLOOKUP($A895,Korrelation!$D$4:$D$1197,Korrelation!G$4:G$1197,"",0),DMAV_Modell!$G$6:$G$677,0)))</f>
        <v>0</v>
      </c>
      <c r="E895" s="57">
        <f>IF($A895="","",IF(_xlfn.XLOOKUP($A895,Korrelation!$D$4:$D$1197,Korrelation!H$4:H$1197,"-",0)="-",0,MATCH(_xlfn.XLOOKUP($A895,Korrelation!$D$4:$D$1197,Korrelation!H$4:H$1197,"",0),DMAV_Dienste!$F$6:$F$140,0)))</f>
        <v>0</v>
      </c>
      <c r="F895" s="57">
        <f>IF($A895="","",IF(_xlfn.XLOOKUP($A895,Korrelation!$D$4:$D$1197,Korrelation!I$4:I$1197,"-",0)="-",0,MATCH(_xlfn.XLOOKUP($A895,Korrelation!$D$4:$D$1197,Korrelation!I$4:I$1197,"",0),DMAV_Dienste!$F$6:$F$140,0)))</f>
        <v>0</v>
      </c>
      <c r="G895" s="57">
        <f>IF($A895="","",IF(_xlfn.XLOOKUP($A895,Korrelation!$D$4:$D$1197,Korrelation!J$4:J$1197,"-",0)="-",0,MATCH(_xlfn.XLOOKUP($A895,Korrelation!$D$4:$D$1197,Korrelation!J$4:J$1197,"",0),DMAV_Dienste!$F$6:$F$140,0)))</f>
        <v>0</v>
      </c>
      <c r="H895" s="57">
        <f>IF($A895="","",IF(_xlfn.XLOOKUP($A895,Korrelation!$D$4:$D$1197,Korrelation!K$4:K$1197,"-",0)="-",0,MATCH(_xlfn.XLOOKUP($A895,Korrelation!$D$4:$D$1197,Korrelation!K$4:K$1197,"",0),'DM01-AV-CH'!$A$6:$A$834,0)))</f>
        <v>311</v>
      </c>
      <c r="J895" s="54" t="str" cm="1">
        <f t="array" aca="1" ref="J895" ca="1">IF(B895=0,IF(E895=0,"",HYPERLINK("#"&amp;RIGHT(CELL("adresse",OFFSET(DMAV_Dienste!$M$6,E895-1,0)),LEN(CELL("adresse",OFFSET(DMAV_Dienste!$M$6,E895-1,0)))-FIND("]",CELL("adresse",OFFSET(DMAV_Dienste!$M$6,E895-1,0)))),"Dienst")),HYPERLINK("#"&amp;RIGHT(CELL("adresse",OFFSET(DMAV_Modell!$N$6,B895-1,0)),LEN(CELL("adresse",OFFSET(DMAV_Modell!$N$6,B895-1,0)))-FIND("]",CELL("adresse",OFFSET(DMAV_Modell!$N$6,B895-1,0)))),"Modell"))</f>
        <v>Modell</v>
      </c>
      <c r="K895" s="61" t="str" cm="1">
        <f t="array" ref="K895">IF($B895=0,IF($E895=0,"",IF(INDEX(DMAV_Dienste!P$6:P$140,$E895)="","",INDEX(DMAV_Dienste!P$6:P$140,$E895))),IF(INDEX(DMAV_Modell!Q$6:Q$838,$B895)="","",INDEX(DMAV_Modell!Q$6:Q$838,$B895)))</f>
        <v>CLASS</v>
      </c>
      <c r="L895" s="62" t="str" cm="1">
        <f t="array" ref="L895">IF($B895=0,IF($E895=0,"",IF(INDEX(DMAV_Dienste!O$6:O$140,$E895)="","",INDEX(DMAV_Dienste!O$6:O$140,$E895))),IF(INDEX(DMAV_Modell!P$6:P$838,$B895)="","",INDEX(DMAV_Modell!P$6:P$838,$B895)))</f>
        <v>Einzelobjekte</v>
      </c>
      <c r="M895" s="62" t="str" cm="1">
        <f t="array" ref="M895">IF($B895=0,IF($E895=0,"",IF(INDEX(DMAV_Dienste!Q$6:Q$140,$E895)="","",INDEX(DMAV_Dienste!Q$6:Q$140,$E895))),IF(INDEX(DMAV_Modell!R$6:R$838,$B895)="","",INDEX(DMAV_Modell!R$6:R$838,$B895)))</f>
        <v>Einzelobjekt</v>
      </c>
      <c r="N895" s="62" t="str" cm="1">
        <f t="array" ref="N895">IF($B895=0,IF($E895=0,"",IF(INDEX(DMAV_Dienste!T$6:T$140,$E895)="","",INDEX(DMAV_Dienste!T$6:T$140,$E895))),IF(INDEX(DMAV_Modell!U$6:U$838,$B895)="","",INDEX(DMAV_Modell!U$6:U$838,$B895)))</f>
        <v>Qualitaetsstandard</v>
      </c>
      <c r="O895" s="63" t="str" cm="1">
        <f t="array" aca="1" ref="O895" ca="1">IF(C895=0,IF(F895=0,"",HYPERLINK("#"&amp;RIGHT(CELL("adresse",OFFSET(DMAV_Dienste!$M$6,F895-1,0)),LEN(CELL("adresse",OFFSET(DMAV_Dienste!$M$6,F895-1,0)))-FIND("]",CELL("adresse",OFFSET(DMAV_Dienste!$M$6,F895-1,0)))),"Structure")),HYPERLINK("#"&amp;RIGHT(CELL("adresse",OFFSET(DMAV_Modell!$N$6,C895-1,0)),LEN(CELL("adresse",OFFSET(DMAV_Modell!$N$6,C895-1,0)))-FIND("]",CELL("adresse",OFFSET(DMAV_Modell!$N$6,C895-1,0)))),"Structure"))</f>
        <v/>
      </c>
      <c r="P895" s="64" t="str" cm="1">
        <f t="array" aca="1" ref="P895" ca="1">IF(D895=0,IF(G895=0,"",HYPERLINK("#"&amp;RIGHT(CELL("adresse",OFFSET(DMAV_Dienste!$M$6,G895-1,0)),LEN(CELL("adresse",OFFSET(DMAV_Dienste!$M$6,G895-1,0)))-FIND("]",CELL("adresse",OFFSET(DMAV_Dienste!$M$6,G895-1,0)))),"Substructure")),HYPERLINK("#"&amp;RIGHT(CELL("adresse",OFFSET(DMAV_Modell!$N$6,D895-1,0)),LEN(CELL("adresse",OFFSET(DMAV_Modell!$N$6,D895-1,0)))-FIND("]",CELL("adresse",OFFSET(DMAV_Modell!$N$6,D895-1,0)))),"Substructure"))</f>
        <v/>
      </c>
      <c r="R895" s="80"/>
      <c r="T895" s="93"/>
      <c r="U895" s="94"/>
      <c r="V895" s="95"/>
      <c r="W895" s="96"/>
      <c r="Y895" s="85" t="s">
        <v>3218</v>
      </c>
      <c r="Z895" s="86"/>
      <c r="AA895" s="87"/>
      <c r="AB895" s="88"/>
      <c r="AD895" s="77"/>
      <c r="AF895" s="54" t="str" cm="1">
        <f t="array" aca="1" ref="AF895" ca="1">IF(H895=0,"",HYPERLINK("#"&amp;RIGHT(CELL("adresse",OFFSET('DM01-AV-CH'!$G$6,H895-1,0)),LEN(CELL("adresse",OFFSET('DM01-AV-CH'!$G$6,H895-1,0)))-FIND("]",CELL("adresse",OFFSET('DM01-AV-CH'!$G$6,H895-1,0)))),"Modell"))</f>
        <v>Modell</v>
      </c>
      <c r="AG895" s="72" t="str" cm="1">
        <f t="array" ref="AG895">IF($H895=0,"",IF(INDEX('DM01-AV-CH'!G$6:G$834,$H895)="","",INDEX('DM01-AV-CH'!G$6:G$834,$H895)))</f>
        <v>Einzelobjekte</v>
      </c>
      <c r="AH895" s="73" t="str" cm="1">
        <f t="array" ref="AH895">IF($H895=0,"",IF(INDEX('DM01-AV-CH'!H$6:H$834,$H895)="","",INDEX('DM01-AV-CH'!H$6:H$834,$H895)))</f>
        <v>Einzelobjekt</v>
      </c>
      <c r="AI895" s="74" t="str" cm="1">
        <f t="array" ref="AI895">IF($H895=0,"",IF(INDEX('DM01-AV-CH'!I$6:I$834,$H895)="","",INDEX('DM01-AV-CH'!I$6:I$834,$H895)))</f>
        <v>Qualitaet</v>
      </c>
    </row>
    <row r="896" spans="1:35" ht="28.5" x14ac:dyDescent="0.25">
      <c r="A896" s="57">
        <v>891</v>
      </c>
      <c r="B896" s="57">
        <f>IF($A896="","",IF(_xlfn.XLOOKUP($A896,Korrelation!$D$4:$D$1197,Korrelation!E$4:E$1197,"-",0)="-",0,MATCH(_xlfn.XLOOKUP($A896,Korrelation!$D$4:$D$1197,Korrelation!E$4:E$1197,"",0),DMAV_Modell!$G$6:$G$677,0)))</f>
        <v>521</v>
      </c>
      <c r="C896" s="57">
        <f>IF($A896="","",IF(_xlfn.XLOOKUP($A896,Korrelation!$D$4:$D$1197,Korrelation!F$4:F$1197,"-",0)="-",0,MATCH(_xlfn.XLOOKUP($A896,Korrelation!$D$4:$D$1197,Korrelation!F$4:F$1197,"",0),DMAV_Modell!$G$6:$G$677,0)))</f>
        <v>0</v>
      </c>
      <c r="D896" s="57">
        <f>IF($A896="","",IF(_xlfn.XLOOKUP($A896,Korrelation!$D$4:$D$1197,Korrelation!G$4:G$1197,"-",0)="-",0,MATCH(_xlfn.XLOOKUP($A896,Korrelation!$D$4:$D$1197,Korrelation!G$4:G$1197,"",0),DMAV_Modell!$G$6:$G$677,0)))</f>
        <v>0</v>
      </c>
      <c r="E896" s="57">
        <f>IF($A896="","",IF(_xlfn.XLOOKUP($A896,Korrelation!$D$4:$D$1197,Korrelation!H$4:H$1197,"-",0)="-",0,MATCH(_xlfn.XLOOKUP($A896,Korrelation!$D$4:$D$1197,Korrelation!H$4:H$1197,"",0),DMAV_Dienste!$F$6:$F$140,0)))</f>
        <v>0</v>
      </c>
      <c r="F896" s="57">
        <f>IF($A896="","",IF(_xlfn.XLOOKUP($A896,Korrelation!$D$4:$D$1197,Korrelation!I$4:I$1197,"-",0)="-",0,MATCH(_xlfn.XLOOKUP($A896,Korrelation!$D$4:$D$1197,Korrelation!I$4:I$1197,"",0),DMAV_Dienste!$F$6:$F$140,0)))</f>
        <v>0</v>
      </c>
      <c r="G896" s="57">
        <f>IF($A896="","",IF(_xlfn.XLOOKUP($A896,Korrelation!$D$4:$D$1197,Korrelation!J$4:J$1197,"-",0)="-",0,MATCH(_xlfn.XLOOKUP($A896,Korrelation!$D$4:$D$1197,Korrelation!J$4:J$1197,"",0),DMAV_Dienste!$F$6:$F$140,0)))</f>
        <v>0</v>
      </c>
      <c r="H896" s="57">
        <f>IF($A896="","",IF(_xlfn.XLOOKUP($A896,Korrelation!$D$4:$D$1197,Korrelation!K$4:K$1197,"-",0)="-",0,MATCH(_xlfn.XLOOKUP($A896,Korrelation!$D$4:$D$1197,Korrelation!K$4:K$1197,"",0),'DM01-AV-CH'!$A$6:$A$834,0)))</f>
        <v>312</v>
      </c>
      <c r="J896" s="54" t="str" cm="1">
        <f t="array" aca="1" ref="J896" ca="1">IF(B896=0,IF(E896=0,"",HYPERLINK("#"&amp;RIGHT(CELL("adresse",OFFSET(DMAV_Dienste!$M$6,E896-1,0)),LEN(CELL("adresse",OFFSET(DMAV_Dienste!$M$6,E896-1,0)))-FIND("]",CELL("adresse",OFFSET(DMAV_Dienste!$M$6,E896-1,0)))),"Dienst")),HYPERLINK("#"&amp;RIGHT(CELL("adresse",OFFSET(DMAV_Modell!$N$6,B896-1,0)),LEN(CELL("adresse",OFFSET(DMAV_Modell!$N$6,B896-1,0)))-FIND("]",CELL("adresse",OFFSET(DMAV_Modell!$N$6,B896-1,0)))),"Modell"))</f>
        <v>Modell</v>
      </c>
      <c r="K896" s="61" t="str" cm="1">
        <f t="array" ref="K896">IF($B896=0,IF($E896=0,"",IF(INDEX(DMAV_Dienste!P$6:P$140,$E896)="","",INDEX(DMAV_Dienste!P$6:P$140,$E896))),IF(INDEX(DMAV_Modell!Q$6:Q$838,$B896)="","",INDEX(DMAV_Modell!Q$6:Q$838,$B896)))</f>
        <v>CLASS</v>
      </c>
      <c r="L896" s="62" t="str" cm="1">
        <f t="array" ref="L896">IF($B896=0,IF($E896=0,"",IF(INDEX(DMAV_Dienste!O$6:O$140,$E896)="","",INDEX(DMAV_Dienste!O$6:O$140,$E896))),IF(INDEX(DMAV_Modell!P$6:P$838,$B896)="","",INDEX(DMAV_Modell!P$6:P$838,$B896)))</f>
        <v>Einzelobjekte</v>
      </c>
      <c r="M896" s="62" t="str" cm="1">
        <f t="array" ref="M896">IF($B896=0,IF($E896=0,"",IF(INDEX(DMAV_Dienste!Q$6:Q$140,$E896)="","",INDEX(DMAV_Dienste!Q$6:Q$140,$E896))),IF(INDEX(DMAV_Modell!R$6:R$838,$B896)="","",INDEX(DMAV_Modell!R$6:R$838,$B896)))</f>
        <v>Einzelobjekt</v>
      </c>
      <c r="N896" s="62" t="str" cm="1">
        <f t="array" ref="N896">IF($B896=0,IF($E896=0,"",IF(INDEX(DMAV_Dienste!T$6:T$140,$E896)="","",INDEX(DMAV_Dienste!T$6:T$140,$E896))),IF(INDEX(DMAV_Modell!U$6:U$838,$B896)="","",INDEX(DMAV_Modell!U$6:U$838,$B896)))</f>
        <v>Einzelobjektart</v>
      </c>
      <c r="O896" s="63" t="str" cm="1">
        <f t="array" aca="1" ref="O896" ca="1">IF(C896=0,IF(F896=0,"",HYPERLINK("#"&amp;RIGHT(CELL("adresse",OFFSET(DMAV_Dienste!$M$6,F896-1,0)),LEN(CELL("adresse",OFFSET(DMAV_Dienste!$M$6,F896-1,0)))-FIND("]",CELL("adresse",OFFSET(DMAV_Dienste!$M$6,F896-1,0)))),"Structure")),HYPERLINK("#"&amp;RIGHT(CELL("adresse",OFFSET(DMAV_Modell!$N$6,C896-1,0)),LEN(CELL("adresse",OFFSET(DMAV_Modell!$N$6,C896-1,0)))-FIND("]",CELL("adresse",OFFSET(DMAV_Modell!$N$6,C896-1,0)))),"Structure"))</f>
        <v/>
      </c>
      <c r="P896" s="64" t="str" cm="1">
        <f t="array" aca="1" ref="P896" ca="1">IF(D896=0,IF(G896=0,"",HYPERLINK("#"&amp;RIGHT(CELL("adresse",OFFSET(DMAV_Dienste!$M$6,G896-1,0)),LEN(CELL("adresse",OFFSET(DMAV_Dienste!$M$6,G896-1,0)))-FIND("]",CELL("adresse",OFFSET(DMAV_Dienste!$M$6,G896-1,0)))),"Substructure")),HYPERLINK("#"&amp;RIGHT(CELL("adresse",OFFSET(DMAV_Modell!$N$6,D896-1,0)),LEN(CELL("adresse",OFFSET(DMAV_Modell!$N$6,D896-1,0)))-FIND("]",CELL("adresse",OFFSET(DMAV_Modell!$N$6,D896-1,0)))),"Substructure"))</f>
        <v/>
      </c>
      <c r="R896" s="80"/>
      <c r="T896" s="93"/>
      <c r="U896" s="94"/>
      <c r="V896" s="95"/>
      <c r="W896" s="96"/>
      <c r="Y896" s="85" t="s">
        <v>3218</v>
      </c>
      <c r="Z896" s="86"/>
      <c r="AA896" s="87"/>
      <c r="AB896" s="88"/>
      <c r="AD896" s="77"/>
      <c r="AF896" s="54" t="str" cm="1">
        <f t="array" aca="1" ref="AF896" ca="1">IF(H896=0,"",HYPERLINK("#"&amp;RIGHT(CELL("adresse",OFFSET('DM01-AV-CH'!$G$6,H896-1,0)),LEN(CELL("adresse",OFFSET('DM01-AV-CH'!$G$6,H896-1,0)))-FIND("]",CELL("adresse",OFFSET('DM01-AV-CH'!$G$6,H896-1,0)))),"Modell"))</f>
        <v>Modell</v>
      </c>
      <c r="AG896" s="72" t="str" cm="1">
        <f t="array" ref="AG896">IF($H896=0,"",IF(INDEX('DM01-AV-CH'!G$6:G$834,$H896)="","",INDEX('DM01-AV-CH'!G$6:G$834,$H896)))</f>
        <v>Einzelobjekte</v>
      </c>
      <c r="AH896" s="73" t="str" cm="1">
        <f t="array" ref="AH896">IF($H896=0,"",IF(INDEX('DM01-AV-CH'!H$6:H$834,$H896)="","",INDEX('DM01-AV-CH'!H$6:H$834,$H896)))</f>
        <v>Einzelobjekt</v>
      </c>
      <c r="AI896" s="74" t="str" cm="1">
        <f t="array" ref="AI896">IF($H896=0,"",IF(INDEX('DM01-AV-CH'!I$6:I$834,$H896)="","",INDEX('DM01-AV-CH'!I$6:I$834,$H896)))</f>
        <v>Art</v>
      </c>
    </row>
    <row r="897" spans="1:35" x14ac:dyDescent="0.25">
      <c r="A897" s="57">
        <v>892</v>
      </c>
      <c r="B897" s="57">
        <f>IF($A897="","",IF(_xlfn.XLOOKUP($A897,Korrelation!$D$4:$D$1197,Korrelation!E$4:E$1197,"-",0)="-",0,MATCH(_xlfn.XLOOKUP($A897,Korrelation!$D$4:$D$1197,Korrelation!E$4:E$1197,"",0),DMAV_Modell!$G$6:$G$677,0)))</f>
        <v>0</v>
      </c>
      <c r="C897" s="57">
        <f>IF($A897="","",IF(_xlfn.XLOOKUP($A897,Korrelation!$D$4:$D$1197,Korrelation!F$4:F$1197,"-",0)="-",0,MATCH(_xlfn.XLOOKUP($A897,Korrelation!$D$4:$D$1197,Korrelation!F$4:F$1197,"",0),DMAV_Modell!$G$6:$G$677,0)))</f>
        <v>0</v>
      </c>
      <c r="D897" s="57">
        <f>IF($A897="","",IF(_xlfn.XLOOKUP($A897,Korrelation!$D$4:$D$1197,Korrelation!G$4:G$1197,"-",0)="-",0,MATCH(_xlfn.XLOOKUP($A897,Korrelation!$D$4:$D$1197,Korrelation!G$4:G$1197,"",0),DMAV_Modell!$G$6:$G$677,0)))</f>
        <v>0</v>
      </c>
      <c r="E897" s="57">
        <f>IF($A897="","",IF(_xlfn.XLOOKUP($A897,Korrelation!$D$4:$D$1197,Korrelation!H$4:H$1197,"-",0)="-",0,MATCH(_xlfn.XLOOKUP($A897,Korrelation!$D$4:$D$1197,Korrelation!H$4:H$1197,"",0),DMAV_Dienste!$F$6:$F$140,0)))</f>
        <v>0</v>
      </c>
      <c r="F897" s="57">
        <f>IF($A897="","",IF(_xlfn.XLOOKUP($A897,Korrelation!$D$4:$D$1197,Korrelation!I$4:I$1197,"-",0)="-",0,MATCH(_xlfn.XLOOKUP($A897,Korrelation!$D$4:$D$1197,Korrelation!I$4:I$1197,"",0),DMAV_Dienste!$F$6:$F$140,0)))</f>
        <v>0</v>
      </c>
      <c r="G897" s="57">
        <f>IF($A897="","",IF(_xlfn.XLOOKUP($A897,Korrelation!$D$4:$D$1197,Korrelation!J$4:J$1197,"-",0)="-",0,MATCH(_xlfn.XLOOKUP($A897,Korrelation!$D$4:$D$1197,Korrelation!J$4:J$1197,"",0),DMAV_Dienste!$F$6:$F$140,0)))</f>
        <v>0</v>
      </c>
      <c r="H897" s="57">
        <f>IF($A897="","",IF(_xlfn.XLOOKUP($A897,Korrelation!$D$4:$D$1197,Korrelation!K$4:K$1197,"-",0)="-",0,MATCH(_xlfn.XLOOKUP($A897,Korrelation!$D$4:$D$1197,Korrelation!K$4:K$1197,"",0),'DM01-AV-CH'!$A$6:$A$834,0)))</f>
        <v>313</v>
      </c>
      <c r="J897" s="54" t="str" cm="1">
        <f t="array" aca="1" ref="J897" ca="1">IF(B897=0,IF(E897=0,"",HYPERLINK("#"&amp;RIGHT(CELL("adresse",OFFSET(DMAV_Dienste!$M$6,E897-1,0)),LEN(CELL("adresse",OFFSET(DMAV_Dienste!$M$6,E897-1,0)))-FIND("]",CELL("adresse",OFFSET(DMAV_Dienste!$M$6,E897-1,0)))),"Dienst")),HYPERLINK("#"&amp;RIGHT(CELL("adresse",OFFSET(DMAV_Modell!$N$6,B897-1,0)),LEN(CELL("adresse",OFFSET(DMAV_Modell!$N$6,B897-1,0)))-FIND("]",CELL("adresse",OFFSET(DMAV_Modell!$N$6,B897-1,0)))),"Modell"))</f>
        <v/>
      </c>
      <c r="K897" s="61" t="str" cm="1">
        <f t="array" ref="K897">IF($B897=0,IF($E897=0,"",IF(INDEX(DMAV_Dienste!P$6:P$140,$E897)="","",INDEX(DMAV_Dienste!P$6:P$140,$E897))),IF(INDEX(DMAV_Modell!Q$6:Q$838,$B897)="","",INDEX(DMAV_Modell!Q$6:Q$838,$B897)))</f>
        <v/>
      </c>
      <c r="L897" s="62" t="str" cm="1">
        <f t="array" ref="L897">IF($B897=0,IF($E897=0,"",IF(INDEX(DMAV_Dienste!O$6:O$140,$E897)="","",INDEX(DMAV_Dienste!O$6:O$140,$E897))),IF(INDEX(DMAV_Modell!P$6:P$838,$B897)="","",INDEX(DMAV_Modell!P$6:P$838,$B897)))</f>
        <v/>
      </c>
      <c r="M897" s="62" t="str" cm="1">
        <f t="array" ref="M897">IF($B897=0,IF($E897=0,"",IF(INDEX(DMAV_Dienste!Q$6:Q$140,$E897)="","",INDEX(DMAV_Dienste!Q$6:Q$140,$E897))),IF(INDEX(DMAV_Modell!R$6:R$838,$B897)="","",INDEX(DMAV_Modell!R$6:R$838,$B897)))</f>
        <v/>
      </c>
      <c r="N897" s="62" t="str" cm="1">
        <f t="array" ref="N897">IF($B897=0,IF($E897=0,"",IF(INDEX(DMAV_Dienste!T$6:T$140,$E897)="","",INDEX(DMAV_Dienste!T$6:T$140,$E897))),IF(INDEX(DMAV_Modell!U$6:U$838,$B897)="","",INDEX(DMAV_Modell!U$6:U$838,$B897)))</f>
        <v/>
      </c>
      <c r="O897" s="63" t="str" cm="1">
        <f t="array" aca="1" ref="O897" ca="1">IF(C897=0,IF(F897=0,"",HYPERLINK("#"&amp;RIGHT(CELL("adresse",OFFSET(DMAV_Dienste!$M$6,F897-1,0)),LEN(CELL("adresse",OFFSET(DMAV_Dienste!$M$6,F897-1,0)))-FIND("]",CELL("adresse",OFFSET(DMAV_Dienste!$M$6,F897-1,0)))),"Structure")),HYPERLINK("#"&amp;RIGHT(CELL("adresse",OFFSET(DMAV_Modell!$N$6,C897-1,0)),LEN(CELL("adresse",OFFSET(DMAV_Modell!$N$6,C897-1,0)))-FIND("]",CELL("adresse",OFFSET(DMAV_Modell!$N$6,C897-1,0)))),"Structure"))</f>
        <v/>
      </c>
      <c r="P897" s="64" t="str" cm="1">
        <f t="array" aca="1" ref="P897" ca="1">IF(D897=0,IF(G897=0,"",HYPERLINK("#"&amp;RIGHT(CELL("adresse",OFFSET(DMAV_Dienste!$M$6,G897-1,0)),LEN(CELL("adresse",OFFSET(DMAV_Dienste!$M$6,G897-1,0)))-FIND("]",CELL("adresse",OFFSET(DMAV_Dienste!$M$6,G897-1,0)))),"Substructure")),HYPERLINK("#"&amp;RIGHT(CELL("adresse",OFFSET(DMAV_Modell!$N$6,D897-1,0)),LEN(CELL("adresse",OFFSET(DMAV_Modell!$N$6,D897-1,0)))-FIND("]",CELL("adresse",OFFSET(DMAV_Modell!$N$6,D897-1,0)))),"Substructure"))</f>
        <v/>
      </c>
      <c r="R897" s="80"/>
      <c r="T897" s="93"/>
      <c r="U897" s="94"/>
      <c r="V897" s="95"/>
      <c r="W897" s="96"/>
      <c r="Y897" s="85"/>
      <c r="Z897" s="86"/>
      <c r="AA897" s="87"/>
      <c r="AB897" s="88"/>
      <c r="AD897" s="77"/>
      <c r="AF897" s="54" t="str" cm="1">
        <f t="array" aca="1" ref="AF897" ca="1">IF(H897=0,"",HYPERLINK("#"&amp;RIGHT(CELL("adresse",OFFSET('DM01-AV-CH'!$G$6,H897-1,0)),LEN(CELL("adresse",OFFSET('DM01-AV-CH'!$G$6,H897-1,0)))-FIND("]",CELL("adresse",OFFSET('DM01-AV-CH'!$G$6,H897-1,0)))),"Modell"))</f>
        <v>Modell</v>
      </c>
      <c r="AG897" s="72" t="str" cm="1">
        <f t="array" ref="AG897">IF($H897=0,"",IF(INDEX('DM01-AV-CH'!G$6:G$834,$H897)="","",INDEX('DM01-AV-CH'!G$6:G$834,$H897)))</f>
        <v>Einzelobjekte</v>
      </c>
      <c r="AH897" s="73" t="str" cm="1">
        <f t="array" ref="AH897">IF($H897=0,"",IF(INDEX('DM01-AV-CH'!H$6:H$834,$H897)="","",INDEX('DM01-AV-CH'!H$6:H$834,$H897)))</f>
        <v>Flaechenelement</v>
      </c>
      <c r="AI897" s="74" t="str" cm="1">
        <f t="array" ref="AI897">IF($H897=0,"",IF(INDEX('DM01-AV-CH'!I$6:I$834,$H897)="","",INDEX('DM01-AV-CH'!I$6:I$834,$H897)))</f>
        <v>Flaechenelement_von</v>
      </c>
    </row>
    <row r="898" spans="1:35" ht="28.5" x14ac:dyDescent="0.25">
      <c r="A898" s="57">
        <v>893</v>
      </c>
      <c r="B898" s="57">
        <f>IF($A898="","",IF(_xlfn.XLOOKUP($A898,Korrelation!$D$4:$D$1197,Korrelation!E$4:E$1197,"-",0)="-",0,MATCH(_xlfn.XLOOKUP($A898,Korrelation!$D$4:$D$1197,Korrelation!E$4:E$1197,"",0),DMAV_Modell!$G$6:$G$677,0)))</f>
        <v>522</v>
      </c>
      <c r="C898" s="57">
        <f>IF($A898="","",IF(_xlfn.XLOOKUP($A898,Korrelation!$D$4:$D$1197,Korrelation!F$4:F$1197,"-",0)="-",0,MATCH(_xlfn.XLOOKUP($A898,Korrelation!$D$4:$D$1197,Korrelation!F$4:F$1197,"",0),DMAV_Modell!$G$6:$G$677,0)))</f>
        <v>510</v>
      </c>
      <c r="D898" s="57">
        <f>IF($A898="","",IF(_xlfn.XLOOKUP($A898,Korrelation!$D$4:$D$1197,Korrelation!G$4:G$1197,"-",0)="-",0,MATCH(_xlfn.XLOOKUP($A898,Korrelation!$D$4:$D$1197,Korrelation!G$4:G$1197,"",0),DMAV_Modell!$G$6:$G$677,0)))</f>
        <v>0</v>
      </c>
      <c r="E898" s="57">
        <f>IF($A898="","",IF(_xlfn.XLOOKUP($A898,Korrelation!$D$4:$D$1197,Korrelation!H$4:H$1197,"-",0)="-",0,MATCH(_xlfn.XLOOKUP($A898,Korrelation!$D$4:$D$1197,Korrelation!H$4:H$1197,"",0),DMAV_Dienste!$F$6:$F$140,0)))</f>
        <v>0</v>
      </c>
      <c r="F898" s="57">
        <f>IF($A898="","",IF(_xlfn.XLOOKUP($A898,Korrelation!$D$4:$D$1197,Korrelation!I$4:I$1197,"-",0)="-",0,MATCH(_xlfn.XLOOKUP($A898,Korrelation!$D$4:$D$1197,Korrelation!I$4:I$1197,"",0),DMAV_Dienste!$F$6:$F$140,0)))</f>
        <v>0</v>
      </c>
      <c r="G898" s="57">
        <f>IF($A898="","",IF(_xlfn.XLOOKUP($A898,Korrelation!$D$4:$D$1197,Korrelation!J$4:J$1197,"-",0)="-",0,MATCH(_xlfn.XLOOKUP($A898,Korrelation!$D$4:$D$1197,Korrelation!J$4:J$1197,"",0),DMAV_Dienste!$F$6:$F$140,0)))</f>
        <v>0</v>
      </c>
      <c r="H898" s="57">
        <f>IF($A898="","",IF(_xlfn.XLOOKUP($A898,Korrelation!$D$4:$D$1197,Korrelation!K$4:K$1197,"-",0)="-",0,MATCH(_xlfn.XLOOKUP($A898,Korrelation!$D$4:$D$1197,Korrelation!K$4:K$1197,"",0),'DM01-AV-CH'!$A$6:$A$834,0)))</f>
        <v>314</v>
      </c>
      <c r="J898" s="54" t="str" cm="1">
        <f t="array" aca="1" ref="J898" ca="1">IF(B898=0,IF(E898=0,"",HYPERLINK("#"&amp;RIGHT(CELL("adresse",OFFSET(DMAV_Dienste!$M$6,E898-1,0)),LEN(CELL("adresse",OFFSET(DMAV_Dienste!$M$6,E898-1,0)))-FIND("]",CELL("adresse",OFFSET(DMAV_Dienste!$M$6,E898-1,0)))),"Dienst")),HYPERLINK("#"&amp;RIGHT(CELL("adresse",OFFSET(DMAV_Modell!$N$6,B898-1,0)),LEN(CELL("adresse",OFFSET(DMAV_Modell!$N$6,B898-1,0)))-FIND("]",CELL("adresse",OFFSET(DMAV_Modell!$N$6,B898-1,0)))),"Modell"))</f>
        <v>Modell</v>
      </c>
      <c r="K898" s="61" t="str" cm="1">
        <f t="array" ref="K898">IF($B898=0,IF($E898=0,"",IF(INDEX(DMAV_Dienste!P$6:P$140,$E898)="","",INDEX(DMAV_Dienste!P$6:P$140,$E898))),IF(INDEX(DMAV_Modell!Q$6:Q$838,$B898)="","",INDEX(DMAV_Modell!Q$6:Q$838,$B898)))</f>
        <v>CLASS</v>
      </c>
      <c r="L898" s="62" t="str" cm="1">
        <f t="array" ref="L898">IF($B898=0,IF($E898=0,"",IF(INDEX(DMAV_Dienste!O$6:O$140,$E898)="","",INDEX(DMAV_Dienste!O$6:O$140,$E898))),IF(INDEX(DMAV_Modell!P$6:P$838,$B898)="","",INDEX(DMAV_Modell!P$6:P$838,$B898)))</f>
        <v>Einzelobjekte</v>
      </c>
      <c r="M898" s="62" t="str" cm="1">
        <f t="array" ref="M898">IF($B898=0,IF($E898=0,"",IF(INDEX(DMAV_Dienste!Q$6:Q$140,$E898)="","",INDEX(DMAV_Dienste!Q$6:Q$140,$E898))),IF(INDEX(DMAV_Modell!R$6:R$838,$B898)="","",INDEX(DMAV_Modell!R$6:R$838,$B898)))</f>
        <v>Einzelobjekt</v>
      </c>
      <c r="N898" s="62" t="str" cm="1">
        <f t="array" ref="N898">IF($B898=0,IF($E898=0,"",IF(INDEX(DMAV_Dienste!T$6:T$140,$E898)="","",INDEX(DMAV_Dienste!T$6:T$140,$E898))),IF(INDEX(DMAV_Modell!U$6:U$838,$B898)="","",INDEX(DMAV_Modell!U$6:U$838,$B898)))</f>
        <v>Flaechenelement</v>
      </c>
      <c r="O898" s="63" t="str" cm="1">
        <f t="array" aca="1" ref="O898" ca="1">IF(C898=0,IF(F898=0,"",HYPERLINK("#"&amp;RIGHT(CELL("adresse",OFFSET(DMAV_Dienste!$M$6,F898-1,0)),LEN(CELL("adresse",OFFSET(DMAV_Dienste!$M$6,F898-1,0)))-FIND("]",CELL("adresse",OFFSET(DMAV_Dienste!$M$6,F898-1,0)))),"Structure")),HYPERLINK("#"&amp;RIGHT(CELL("adresse",OFFSET(DMAV_Modell!$N$6,C898-1,0)),LEN(CELL("adresse",OFFSET(DMAV_Modell!$N$6,C898-1,0)))-FIND("]",CELL("adresse",OFFSET(DMAV_Modell!$N$6,C898-1,0)))),"Structure"))</f>
        <v>Structure</v>
      </c>
      <c r="P898" s="64" t="str" cm="1">
        <f t="array" aca="1" ref="P898" ca="1">IF(D898=0,IF(G898=0,"",HYPERLINK("#"&amp;RIGHT(CELL("adresse",OFFSET(DMAV_Dienste!$M$6,G898-1,0)),LEN(CELL("adresse",OFFSET(DMAV_Dienste!$M$6,G898-1,0)))-FIND("]",CELL("adresse",OFFSET(DMAV_Dienste!$M$6,G898-1,0)))),"Substructure")),HYPERLINK("#"&amp;RIGHT(CELL("adresse",OFFSET(DMAV_Modell!$N$6,D898-1,0)),LEN(CELL("adresse",OFFSET(DMAV_Modell!$N$6,D898-1,0)))-FIND("]",CELL("adresse",OFFSET(DMAV_Modell!$N$6,D898-1,0)))),"Substructure"))</f>
        <v/>
      </c>
      <c r="R898" s="80"/>
      <c r="T898" s="93"/>
      <c r="U898" s="94"/>
      <c r="V898" s="95" t="s">
        <v>3198</v>
      </c>
      <c r="W898" s="96"/>
      <c r="Y898" s="85" t="s">
        <v>3218</v>
      </c>
      <c r="Z898" s="86"/>
      <c r="AA898" s="87" t="s">
        <v>3063</v>
      </c>
      <c r="AB898" s="88"/>
      <c r="AD898" s="77"/>
      <c r="AF898" s="54" t="str" cm="1">
        <f t="array" aca="1" ref="AF898" ca="1">IF(H898=0,"",HYPERLINK("#"&amp;RIGHT(CELL("adresse",OFFSET('DM01-AV-CH'!$G$6,H898-1,0)),LEN(CELL("adresse",OFFSET('DM01-AV-CH'!$G$6,H898-1,0)))-FIND("]",CELL("adresse",OFFSET('DM01-AV-CH'!$G$6,H898-1,0)))),"Modell"))</f>
        <v>Modell</v>
      </c>
      <c r="AG898" s="72" t="str" cm="1">
        <f t="array" ref="AG898">IF($H898=0,"",IF(INDEX('DM01-AV-CH'!G$6:G$834,$H898)="","",INDEX('DM01-AV-CH'!G$6:G$834,$H898)))</f>
        <v>Einzelobjekte</v>
      </c>
      <c r="AH898" s="73" t="str" cm="1">
        <f t="array" ref="AH898">IF($H898=0,"",IF(INDEX('DM01-AV-CH'!H$6:H$834,$H898)="","",INDEX('DM01-AV-CH'!H$6:H$834,$H898)))</f>
        <v>Flaechenelement</v>
      </c>
      <c r="AI898" s="74" t="str" cm="1">
        <f t="array" ref="AI898">IF($H898=0,"",IF(INDEX('DM01-AV-CH'!I$6:I$834,$H898)="","",INDEX('DM01-AV-CH'!I$6:I$834,$H898)))</f>
        <v>Geometrie</v>
      </c>
    </row>
    <row r="899" spans="1:35" ht="28.5" x14ac:dyDescent="0.25">
      <c r="A899" s="57">
        <v>894</v>
      </c>
      <c r="B899" s="57">
        <f>IF($A899="","",IF(_xlfn.XLOOKUP($A899,Korrelation!$D$4:$D$1197,Korrelation!E$4:E$1197,"-",0)="-",0,MATCH(_xlfn.XLOOKUP($A899,Korrelation!$D$4:$D$1197,Korrelation!E$4:E$1197,"",0),DMAV_Modell!$G$6:$G$677,0)))</f>
        <v>0</v>
      </c>
      <c r="C899" s="57">
        <f>IF($A899="","",IF(_xlfn.XLOOKUP($A899,Korrelation!$D$4:$D$1197,Korrelation!F$4:F$1197,"-",0)="-",0,MATCH(_xlfn.XLOOKUP($A899,Korrelation!$D$4:$D$1197,Korrelation!F$4:F$1197,"",0),DMAV_Modell!$G$6:$G$677,0)))</f>
        <v>0</v>
      </c>
      <c r="D899" s="57">
        <f>IF($A899="","",IF(_xlfn.XLOOKUP($A899,Korrelation!$D$4:$D$1197,Korrelation!G$4:G$1197,"-",0)="-",0,MATCH(_xlfn.XLOOKUP($A899,Korrelation!$D$4:$D$1197,Korrelation!G$4:G$1197,"",0),DMAV_Modell!$G$6:$G$677,0)))</f>
        <v>0</v>
      </c>
      <c r="E899" s="57">
        <f>IF($A899="","",IF(_xlfn.XLOOKUP($A899,Korrelation!$D$4:$D$1197,Korrelation!H$4:H$1197,"-",0)="-",0,MATCH(_xlfn.XLOOKUP($A899,Korrelation!$D$4:$D$1197,Korrelation!H$4:H$1197,"",0),DMAV_Dienste!$F$6:$F$140,0)))</f>
        <v>0</v>
      </c>
      <c r="F899" s="57">
        <f>IF($A899="","",IF(_xlfn.XLOOKUP($A899,Korrelation!$D$4:$D$1197,Korrelation!I$4:I$1197,"-",0)="-",0,MATCH(_xlfn.XLOOKUP($A899,Korrelation!$D$4:$D$1197,Korrelation!I$4:I$1197,"",0),DMAV_Dienste!$F$6:$F$140,0)))</f>
        <v>0</v>
      </c>
      <c r="G899" s="57">
        <f>IF($A899="","",IF(_xlfn.XLOOKUP($A899,Korrelation!$D$4:$D$1197,Korrelation!J$4:J$1197,"-",0)="-",0,MATCH(_xlfn.XLOOKUP($A899,Korrelation!$D$4:$D$1197,Korrelation!J$4:J$1197,"",0),DMAV_Dienste!$F$6:$F$140,0)))</f>
        <v>0</v>
      </c>
      <c r="H899" s="57">
        <f>IF($A899="","",IF(_xlfn.XLOOKUP($A899,Korrelation!$D$4:$D$1197,Korrelation!K$4:K$1197,"-",0)="-",0,MATCH(_xlfn.XLOOKUP($A899,Korrelation!$D$4:$D$1197,Korrelation!K$4:K$1197,"",0),'DM01-AV-CH'!$A$6:$A$834,0)))</f>
        <v>315</v>
      </c>
      <c r="J899" s="54" t="str" cm="1">
        <f t="array" aca="1" ref="J899" ca="1">IF(B899=0,IF(E899=0,"",HYPERLINK("#"&amp;RIGHT(CELL("adresse",OFFSET(DMAV_Dienste!$M$6,E899-1,0)),LEN(CELL("adresse",OFFSET(DMAV_Dienste!$M$6,E899-1,0)))-FIND("]",CELL("adresse",OFFSET(DMAV_Dienste!$M$6,E899-1,0)))),"Dienst")),HYPERLINK("#"&amp;RIGHT(CELL("adresse",OFFSET(DMAV_Modell!$N$6,B899-1,0)),LEN(CELL("adresse",OFFSET(DMAV_Modell!$N$6,B899-1,0)))-FIND("]",CELL("adresse",OFFSET(DMAV_Modell!$N$6,B899-1,0)))),"Modell"))</f>
        <v/>
      </c>
      <c r="K899" s="61" t="str" cm="1">
        <f t="array" ref="K899">IF($B899=0,IF($E899=0,"",IF(INDEX(DMAV_Dienste!P$6:P$140,$E899)="","",INDEX(DMAV_Dienste!P$6:P$140,$E899))),IF(INDEX(DMAV_Modell!Q$6:Q$838,$B899)="","",INDEX(DMAV_Modell!Q$6:Q$838,$B899)))</f>
        <v/>
      </c>
      <c r="L899" s="62" t="str" cm="1">
        <f t="array" ref="L899">IF($B899=0,IF($E899=0,"",IF(INDEX(DMAV_Dienste!O$6:O$140,$E899)="","",INDEX(DMAV_Dienste!O$6:O$140,$E899))),IF(INDEX(DMAV_Modell!P$6:P$838,$B899)="","",INDEX(DMAV_Modell!P$6:P$838,$B899)))</f>
        <v/>
      </c>
      <c r="M899" s="62" t="str" cm="1">
        <f t="array" ref="M899">IF($B899=0,IF($E899=0,"",IF(INDEX(DMAV_Dienste!Q$6:Q$140,$E899)="","",INDEX(DMAV_Dienste!Q$6:Q$140,$E899))),IF(INDEX(DMAV_Modell!R$6:R$838,$B899)="","",INDEX(DMAV_Modell!R$6:R$838,$B899)))</f>
        <v/>
      </c>
      <c r="N899" s="62" t="str" cm="1">
        <f t="array" ref="N899">IF($B899=0,IF($E899=0,"",IF(INDEX(DMAV_Dienste!T$6:T$140,$E899)="","",INDEX(DMAV_Dienste!T$6:T$140,$E899))),IF(INDEX(DMAV_Modell!U$6:U$838,$B899)="","",INDEX(DMAV_Modell!U$6:U$838,$B899)))</f>
        <v/>
      </c>
      <c r="O899" s="63" t="str" cm="1">
        <f t="array" aca="1" ref="O899" ca="1">IF(C899=0,IF(F899=0,"",HYPERLINK("#"&amp;RIGHT(CELL("adresse",OFFSET(DMAV_Dienste!$M$6,F899-1,0)),LEN(CELL("adresse",OFFSET(DMAV_Dienste!$M$6,F899-1,0)))-FIND("]",CELL("adresse",OFFSET(DMAV_Dienste!$M$6,F899-1,0)))),"Structure")),HYPERLINK("#"&amp;RIGHT(CELL("adresse",OFFSET(DMAV_Modell!$N$6,C899-1,0)),LEN(CELL("adresse",OFFSET(DMAV_Modell!$N$6,C899-1,0)))-FIND("]",CELL("adresse",OFFSET(DMAV_Modell!$N$6,C899-1,0)))),"Structure"))</f>
        <v/>
      </c>
      <c r="P899" s="64" t="str" cm="1">
        <f t="array" aca="1" ref="P899" ca="1">IF(D899=0,IF(G899=0,"",HYPERLINK("#"&amp;RIGHT(CELL("adresse",OFFSET(DMAV_Dienste!$M$6,G899-1,0)),LEN(CELL("adresse",OFFSET(DMAV_Dienste!$M$6,G899-1,0)))-FIND("]",CELL("adresse",OFFSET(DMAV_Dienste!$M$6,G899-1,0)))),"Substructure")),HYPERLINK("#"&amp;RIGHT(CELL("adresse",OFFSET(DMAV_Modell!$N$6,D899-1,0)),LEN(CELL("adresse",OFFSET(DMAV_Modell!$N$6,D899-1,0)))-FIND("]",CELL("adresse",OFFSET(DMAV_Modell!$N$6,D899-1,0)))),"Substructure"))</f>
        <v/>
      </c>
      <c r="R899" s="80"/>
      <c r="T899" s="93"/>
      <c r="U899" s="94"/>
      <c r="V899" s="95"/>
      <c r="W899" s="96"/>
      <c r="Y899" s="85"/>
      <c r="Z899" s="86"/>
      <c r="AA899" s="87"/>
      <c r="AB899" s="88"/>
      <c r="AD899" s="77"/>
      <c r="AF899" s="54" t="str" cm="1">
        <f t="array" aca="1" ref="AF899" ca="1">IF(H899=0,"",HYPERLINK("#"&amp;RIGHT(CELL("adresse",OFFSET('DM01-AV-CH'!$G$6,H899-1,0)),LEN(CELL("adresse",OFFSET('DM01-AV-CH'!$G$6,H899-1,0)))-FIND("]",CELL("adresse",OFFSET('DM01-AV-CH'!$G$6,H899-1,0)))),"Modell"))</f>
        <v>Modell</v>
      </c>
      <c r="AG899" s="72" t="str" cm="1">
        <f t="array" ref="AG899">IF($H899=0,"",IF(INDEX('DM01-AV-CH'!G$6:G$834,$H899)="","",INDEX('DM01-AV-CH'!G$6:G$834,$H899)))</f>
        <v>Einzelobjekte</v>
      </c>
      <c r="AH899" s="73" t="str" cm="1">
        <f t="array" ref="AH899">IF($H899=0,"",IF(INDEX('DM01-AV-CH'!H$6:H$834,$H899)="","",INDEX('DM01-AV-CH'!H$6:H$834,$H899)))</f>
        <v>FlaechenelementSymbol</v>
      </c>
      <c r="AI899" s="74" t="str" cm="1">
        <f t="array" ref="AI899">IF($H899=0,"",IF(INDEX('DM01-AV-CH'!I$6:I$834,$H899)="","",INDEX('DM01-AV-CH'!I$6:I$834,$H899)))</f>
        <v>FlaechenelementSymbol_von</v>
      </c>
    </row>
    <row r="900" spans="1:35" ht="42.75" x14ac:dyDescent="0.25">
      <c r="A900" s="57">
        <v>895</v>
      </c>
      <c r="B900" s="57">
        <f>IF($A900="","",IF(_xlfn.XLOOKUP($A900,Korrelation!$D$4:$D$1197,Korrelation!E$4:E$1197,"-",0)="-",0,MATCH(_xlfn.XLOOKUP($A900,Korrelation!$D$4:$D$1197,Korrelation!E$4:E$1197,"",0),DMAV_Modell!$G$6:$G$677,0)))</f>
        <v>522</v>
      </c>
      <c r="C900" s="57">
        <f>IF($A900="","",IF(_xlfn.XLOOKUP($A900,Korrelation!$D$4:$D$1197,Korrelation!F$4:F$1197,"-",0)="-",0,MATCH(_xlfn.XLOOKUP($A900,Korrelation!$D$4:$D$1197,Korrelation!F$4:F$1197,"",0),DMAV_Modell!$G$6:$G$677,0)))</f>
        <v>510</v>
      </c>
      <c r="D900" s="57">
        <f>IF($A900="","",IF(_xlfn.XLOOKUP($A900,Korrelation!$D$4:$D$1197,Korrelation!G$4:G$1197,"-",0)="-",0,MATCH(_xlfn.XLOOKUP($A900,Korrelation!$D$4:$D$1197,Korrelation!G$4:G$1197,"",0),DMAV_Modell!$G$6:$G$677,0)))</f>
        <v>33</v>
      </c>
      <c r="E900" s="57">
        <f>IF($A900="","",IF(_xlfn.XLOOKUP($A900,Korrelation!$D$4:$D$1197,Korrelation!H$4:H$1197,"-",0)="-",0,MATCH(_xlfn.XLOOKUP($A900,Korrelation!$D$4:$D$1197,Korrelation!H$4:H$1197,"",0),DMAV_Dienste!$F$6:$F$140,0)))</f>
        <v>0</v>
      </c>
      <c r="F900" s="57">
        <f>IF($A900="","",IF(_xlfn.XLOOKUP($A900,Korrelation!$D$4:$D$1197,Korrelation!I$4:I$1197,"-",0)="-",0,MATCH(_xlfn.XLOOKUP($A900,Korrelation!$D$4:$D$1197,Korrelation!I$4:I$1197,"",0),DMAV_Dienste!$F$6:$F$140,0)))</f>
        <v>0</v>
      </c>
      <c r="G900" s="57">
        <f>IF($A900="","",IF(_xlfn.XLOOKUP($A900,Korrelation!$D$4:$D$1197,Korrelation!J$4:J$1197,"-",0)="-",0,MATCH(_xlfn.XLOOKUP($A900,Korrelation!$D$4:$D$1197,Korrelation!J$4:J$1197,"",0),DMAV_Dienste!$F$6:$F$140,0)))</f>
        <v>0</v>
      </c>
      <c r="H900" s="57">
        <f>IF($A900="","",IF(_xlfn.XLOOKUP($A900,Korrelation!$D$4:$D$1197,Korrelation!K$4:K$1197,"-",0)="-",0,MATCH(_xlfn.XLOOKUP($A900,Korrelation!$D$4:$D$1197,Korrelation!K$4:K$1197,"",0),'DM01-AV-CH'!$A$6:$A$834,0)))</f>
        <v>316</v>
      </c>
      <c r="J900" s="54" t="str" cm="1">
        <f t="array" aca="1" ref="J900" ca="1">IF(B900=0,IF(E900=0,"",HYPERLINK("#"&amp;RIGHT(CELL("adresse",OFFSET(DMAV_Dienste!$M$6,E900-1,0)),LEN(CELL("adresse",OFFSET(DMAV_Dienste!$M$6,E900-1,0)))-FIND("]",CELL("adresse",OFFSET(DMAV_Dienste!$M$6,E900-1,0)))),"Dienst")),HYPERLINK("#"&amp;RIGHT(CELL("adresse",OFFSET(DMAV_Modell!$N$6,B900-1,0)),LEN(CELL("adresse",OFFSET(DMAV_Modell!$N$6,B900-1,0)))-FIND("]",CELL("adresse",OFFSET(DMAV_Modell!$N$6,B900-1,0)))),"Modell"))</f>
        <v>Modell</v>
      </c>
      <c r="K900" s="61" t="str" cm="1">
        <f t="array" ref="K900">IF($B900=0,IF($E900=0,"",IF(INDEX(DMAV_Dienste!P$6:P$140,$E900)="","",INDEX(DMAV_Dienste!P$6:P$140,$E900))),IF(INDEX(DMAV_Modell!Q$6:Q$838,$B900)="","",INDEX(DMAV_Modell!Q$6:Q$838,$B900)))</f>
        <v>CLASS</v>
      </c>
      <c r="L900" s="62" t="str" cm="1">
        <f t="array" ref="L900">IF($B900=0,IF($E900=0,"",IF(INDEX(DMAV_Dienste!O$6:O$140,$E900)="","",INDEX(DMAV_Dienste!O$6:O$140,$E900))),IF(INDEX(DMAV_Modell!P$6:P$838,$B900)="","",INDEX(DMAV_Modell!P$6:P$838,$B900)))</f>
        <v>Einzelobjekte</v>
      </c>
      <c r="M900" s="62" t="str" cm="1">
        <f t="array" ref="M900">IF($B900=0,IF($E900=0,"",IF(INDEX(DMAV_Dienste!Q$6:Q$140,$E900)="","",INDEX(DMAV_Dienste!Q$6:Q$140,$E900))),IF(INDEX(DMAV_Modell!R$6:R$838,$B900)="","",INDEX(DMAV_Modell!R$6:R$838,$B900)))</f>
        <v>Einzelobjekt</v>
      </c>
      <c r="N900" s="62" t="str" cm="1">
        <f t="array" ref="N900">IF($B900=0,IF($E900=0,"",IF(INDEX(DMAV_Dienste!T$6:T$140,$E900)="","",INDEX(DMAV_Dienste!T$6:T$140,$E900))),IF(INDEX(DMAV_Modell!U$6:U$838,$B900)="","",INDEX(DMAV_Modell!U$6:U$838,$B900)))</f>
        <v>Flaechenelement</v>
      </c>
      <c r="O900" s="63" t="str" cm="1">
        <f t="array" aca="1" ref="O900" ca="1">IF(C900=0,IF(F900=0,"",HYPERLINK("#"&amp;RIGHT(CELL("adresse",OFFSET(DMAV_Dienste!$M$6,F900-1,0)),LEN(CELL("adresse",OFFSET(DMAV_Dienste!$M$6,F900-1,0)))-FIND("]",CELL("adresse",OFFSET(DMAV_Dienste!$M$6,F900-1,0)))),"Structure")),HYPERLINK("#"&amp;RIGHT(CELL("adresse",OFFSET(DMAV_Modell!$N$6,C900-1,0)),LEN(CELL("adresse",OFFSET(DMAV_Modell!$N$6,C900-1,0)))-FIND("]",CELL("adresse",OFFSET(DMAV_Modell!$N$6,C900-1,0)))),"Structure"))</f>
        <v>Structure</v>
      </c>
      <c r="P900" s="64" t="str" cm="1">
        <f t="array" aca="1" ref="P900" ca="1">IF(D900=0,IF(G900=0,"",HYPERLINK("#"&amp;RIGHT(CELL("adresse",OFFSET(DMAV_Dienste!$M$6,G900-1,0)),LEN(CELL("adresse",OFFSET(DMAV_Dienste!$M$6,G900-1,0)))-FIND("]",CELL("adresse",OFFSET(DMAV_Dienste!$M$6,G900-1,0)))),"Substructure")),HYPERLINK("#"&amp;RIGHT(CELL("adresse",OFFSET(DMAV_Modell!$N$6,D900-1,0)),LEN(CELL("adresse",OFFSET(DMAV_Modell!$N$6,D900-1,0)))-FIND("]",CELL("adresse",OFFSET(DMAV_Modell!$N$6,D900-1,0)))),"Substructure"))</f>
        <v>Substructure</v>
      </c>
      <c r="R900" s="80"/>
      <c r="T900" s="93"/>
      <c r="U900" s="94"/>
      <c r="V900" s="95" t="s">
        <v>3199</v>
      </c>
      <c r="W900" s="96"/>
      <c r="Y900" s="85" t="s">
        <v>3218</v>
      </c>
      <c r="Z900" s="86"/>
      <c r="AA900" s="87" t="s">
        <v>3064</v>
      </c>
      <c r="AB900" s="88"/>
      <c r="AD900" s="77"/>
      <c r="AF900" s="54" t="str" cm="1">
        <f t="array" aca="1" ref="AF900" ca="1">IF(H900=0,"",HYPERLINK("#"&amp;RIGHT(CELL("adresse",OFFSET('DM01-AV-CH'!$G$6,H900-1,0)),LEN(CELL("adresse",OFFSET('DM01-AV-CH'!$G$6,H900-1,0)))-FIND("]",CELL("adresse",OFFSET('DM01-AV-CH'!$G$6,H900-1,0)))),"Modell"))</f>
        <v>Modell</v>
      </c>
      <c r="AG900" s="72" t="str" cm="1">
        <f t="array" ref="AG900">IF($H900=0,"",IF(INDEX('DM01-AV-CH'!G$6:G$834,$H900)="","",INDEX('DM01-AV-CH'!G$6:G$834,$H900)))</f>
        <v>Einzelobjekte</v>
      </c>
      <c r="AH900" s="73" t="str" cm="1">
        <f t="array" ref="AH900">IF($H900=0,"",IF(INDEX('DM01-AV-CH'!H$6:H$834,$H900)="","",INDEX('DM01-AV-CH'!H$6:H$834,$H900)))</f>
        <v>FlaechenelementSymbol</v>
      </c>
      <c r="AI900" s="74" t="str" cm="1">
        <f t="array" ref="AI900">IF($H900=0,"",IF(INDEX('DM01-AV-CH'!I$6:I$834,$H900)="","",INDEX('DM01-AV-CH'!I$6:I$834,$H900)))</f>
        <v>Pos</v>
      </c>
    </row>
    <row r="901" spans="1:35" ht="42.75" x14ac:dyDescent="0.25">
      <c r="A901" s="57">
        <v>896</v>
      </c>
      <c r="B901" s="57">
        <f>IF($A901="","",IF(_xlfn.XLOOKUP($A901,Korrelation!$D$4:$D$1197,Korrelation!E$4:E$1197,"-",0)="-",0,MATCH(_xlfn.XLOOKUP($A901,Korrelation!$D$4:$D$1197,Korrelation!E$4:E$1197,"",0),DMAV_Modell!$G$6:$G$677,0)))</f>
        <v>522</v>
      </c>
      <c r="C901" s="57">
        <f>IF($A901="","",IF(_xlfn.XLOOKUP($A901,Korrelation!$D$4:$D$1197,Korrelation!F$4:F$1197,"-",0)="-",0,MATCH(_xlfn.XLOOKUP($A901,Korrelation!$D$4:$D$1197,Korrelation!F$4:F$1197,"",0),DMAV_Modell!$G$6:$G$677,0)))</f>
        <v>510</v>
      </c>
      <c r="D901" s="57">
        <f>IF($A901="","",IF(_xlfn.XLOOKUP($A901,Korrelation!$D$4:$D$1197,Korrelation!G$4:G$1197,"-",0)="-",0,MATCH(_xlfn.XLOOKUP($A901,Korrelation!$D$4:$D$1197,Korrelation!G$4:G$1197,"",0),DMAV_Modell!$G$6:$G$677,0)))</f>
        <v>34</v>
      </c>
      <c r="E901" s="57">
        <f>IF($A901="","",IF(_xlfn.XLOOKUP($A901,Korrelation!$D$4:$D$1197,Korrelation!H$4:H$1197,"-",0)="-",0,MATCH(_xlfn.XLOOKUP($A901,Korrelation!$D$4:$D$1197,Korrelation!H$4:H$1197,"",0),DMAV_Dienste!$F$6:$F$140,0)))</f>
        <v>0</v>
      </c>
      <c r="F901" s="57">
        <f>IF($A901="","",IF(_xlfn.XLOOKUP($A901,Korrelation!$D$4:$D$1197,Korrelation!I$4:I$1197,"-",0)="-",0,MATCH(_xlfn.XLOOKUP($A901,Korrelation!$D$4:$D$1197,Korrelation!I$4:I$1197,"",0),DMAV_Dienste!$F$6:$F$140,0)))</f>
        <v>0</v>
      </c>
      <c r="G901" s="57">
        <f>IF($A901="","",IF(_xlfn.XLOOKUP($A901,Korrelation!$D$4:$D$1197,Korrelation!J$4:J$1197,"-",0)="-",0,MATCH(_xlfn.XLOOKUP($A901,Korrelation!$D$4:$D$1197,Korrelation!J$4:J$1197,"",0),DMAV_Dienste!$F$6:$F$140,0)))</f>
        <v>0</v>
      </c>
      <c r="H901" s="57">
        <f>IF($A901="","",IF(_xlfn.XLOOKUP($A901,Korrelation!$D$4:$D$1197,Korrelation!K$4:K$1197,"-",0)="-",0,MATCH(_xlfn.XLOOKUP($A901,Korrelation!$D$4:$D$1197,Korrelation!K$4:K$1197,"",0),'DM01-AV-CH'!$A$6:$A$834,0)))</f>
        <v>317</v>
      </c>
      <c r="J901" s="54" t="str" cm="1">
        <f t="array" aca="1" ref="J901" ca="1">IF(B901=0,IF(E901=0,"",HYPERLINK("#"&amp;RIGHT(CELL("adresse",OFFSET(DMAV_Dienste!$M$6,E901-1,0)),LEN(CELL("adresse",OFFSET(DMAV_Dienste!$M$6,E901-1,0)))-FIND("]",CELL("adresse",OFFSET(DMAV_Dienste!$M$6,E901-1,0)))),"Dienst")),HYPERLINK("#"&amp;RIGHT(CELL("adresse",OFFSET(DMAV_Modell!$N$6,B901-1,0)),LEN(CELL("adresse",OFFSET(DMAV_Modell!$N$6,B901-1,0)))-FIND("]",CELL("adresse",OFFSET(DMAV_Modell!$N$6,B901-1,0)))),"Modell"))</f>
        <v>Modell</v>
      </c>
      <c r="K901" s="61" t="str" cm="1">
        <f t="array" ref="K901">IF($B901=0,IF($E901=0,"",IF(INDEX(DMAV_Dienste!P$6:P$140,$E901)="","",INDEX(DMAV_Dienste!P$6:P$140,$E901))),IF(INDEX(DMAV_Modell!Q$6:Q$838,$B901)="","",INDEX(DMAV_Modell!Q$6:Q$838,$B901)))</f>
        <v>CLASS</v>
      </c>
      <c r="L901" s="62" t="str" cm="1">
        <f t="array" ref="L901">IF($B901=0,IF($E901=0,"",IF(INDEX(DMAV_Dienste!O$6:O$140,$E901)="","",INDEX(DMAV_Dienste!O$6:O$140,$E901))),IF(INDEX(DMAV_Modell!P$6:P$838,$B901)="","",INDEX(DMAV_Modell!P$6:P$838,$B901)))</f>
        <v>Einzelobjekte</v>
      </c>
      <c r="M901" s="62" t="str" cm="1">
        <f t="array" ref="M901">IF($B901=0,IF($E901=0,"",IF(INDEX(DMAV_Dienste!Q$6:Q$140,$E901)="","",INDEX(DMAV_Dienste!Q$6:Q$140,$E901))),IF(INDEX(DMAV_Modell!R$6:R$838,$B901)="","",INDEX(DMAV_Modell!R$6:R$838,$B901)))</f>
        <v>Einzelobjekt</v>
      </c>
      <c r="N901" s="62" t="str" cm="1">
        <f t="array" ref="N901">IF($B901=0,IF($E901=0,"",IF(INDEX(DMAV_Dienste!T$6:T$140,$E901)="","",INDEX(DMAV_Dienste!T$6:T$140,$E901))),IF(INDEX(DMAV_Modell!U$6:U$838,$B901)="","",INDEX(DMAV_Modell!U$6:U$838,$B901)))</f>
        <v>Flaechenelement</v>
      </c>
      <c r="O901" s="63" t="str" cm="1">
        <f t="array" aca="1" ref="O901" ca="1">IF(C901=0,IF(F901=0,"",HYPERLINK("#"&amp;RIGHT(CELL("adresse",OFFSET(DMAV_Dienste!$M$6,F901-1,0)),LEN(CELL("adresse",OFFSET(DMAV_Dienste!$M$6,F901-1,0)))-FIND("]",CELL("adresse",OFFSET(DMAV_Dienste!$M$6,F901-1,0)))),"Structure")),HYPERLINK("#"&amp;RIGHT(CELL("adresse",OFFSET(DMAV_Modell!$N$6,C901-1,0)),LEN(CELL("adresse",OFFSET(DMAV_Modell!$N$6,C901-1,0)))-FIND("]",CELL("adresse",OFFSET(DMAV_Modell!$N$6,C901-1,0)))),"Structure"))</f>
        <v>Structure</v>
      </c>
      <c r="P901" s="64" t="str" cm="1">
        <f t="array" aca="1" ref="P901" ca="1">IF(D901=0,IF(G901=0,"",HYPERLINK("#"&amp;RIGHT(CELL("adresse",OFFSET(DMAV_Dienste!$M$6,G901-1,0)),LEN(CELL("adresse",OFFSET(DMAV_Dienste!$M$6,G901-1,0)))-FIND("]",CELL("adresse",OFFSET(DMAV_Dienste!$M$6,G901-1,0)))),"Substructure")),HYPERLINK("#"&amp;RIGHT(CELL("adresse",OFFSET(DMAV_Modell!$N$6,D901-1,0)),LEN(CELL("adresse",OFFSET(DMAV_Modell!$N$6,D901-1,0)))-FIND("]",CELL("adresse",OFFSET(DMAV_Modell!$N$6,D901-1,0)))),"Substructure"))</f>
        <v>Substructure</v>
      </c>
      <c r="R901" s="80"/>
      <c r="T901" s="93"/>
      <c r="U901" s="94"/>
      <c r="V901" s="95" t="s">
        <v>3200</v>
      </c>
      <c r="W901" s="96"/>
      <c r="Y901" s="85" t="s">
        <v>3218</v>
      </c>
      <c r="Z901" s="86"/>
      <c r="AA901" s="87" t="s">
        <v>3065</v>
      </c>
      <c r="AB901" s="88"/>
      <c r="AD901" s="77"/>
      <c r="AF901" s="54" t="str" cm="1">
        <f t="array" aca="1" ref="AF901" ca="1">IF(H901=0,"",HYPERLINK("#"&amp;RIGHT(CELL("adresse",OFFSET('DM01-AV-CH'!$G$6,H901-1,0)),LEN(CELL("adresse",OFFSET('DM01-AV-CH'!$G$6,H901-1,0)))-FIND("]",CELL("adresse",OFFSET('DM01-AV-CH'!$G$6,H901-1,0)))),"Modell"))</f>
        <v>Modell</v>
      </c>
      <c r="AG901" s="72" t="str" cm="1">
        <f t="array" ref="AG901">IF($H901=0,"",IF(INDEX('DM01-AV-CH'!G$6:G$834,$H901)="","",INDEX('DM01-AV-CH'!G$6:G$834,$H901)))</f>
        <v>Einzelobjekte</v>
      </c>
      <c r="AH901" s="73" t="str" cm="1">
        <f t="array" ref="AH901">IF($H901=0,"",IF(INDEX('DM01-AV-CH'!H$6:H$834,$H901)="","",INDEX('DM01-AV-CH'!H$6:H$834,$H901)))</f>
        <v>FlaechenelementSymbol</v>
      </c>
      <c r="AI901" s="74" t="str" cm="1">
        <f t="array" ref="AI901">IF($H901=0,"",IF(INDEX('DM01-AV-CH'!I$6:I$834,$H901)="","",INDEX('DM01-AV-CH'!I$6:I$834,$H901)))</f>
        <v>Ori</v>
      </c>
    </row>
    <row r="902" spans="1:35" x14ac:dyDescent="0.25">
      <c r="A902" s="57">
        <v>897</v>
      </c>
      <c r="B902" s="57">
        <f>IF($A902="","",IF(_xlfn.XLOOKUP($A902,Korrelation!$D$4:$D$1197,Korrelation!E$4:E$1197,"-",0)="-",0,MATCH(_xlfn.XLOOKUP($A902,Korrelation!$D$4:$D$1197,Korrelation!E$4:E$1197,"",0),DMAV_Modell!$G$6:$G$677,0)))</f>
        <v>0</v>
      </c>
      <c r="C902" s="57">
        <f>IF($A902="","",IF(_xlfn.XLOOKUP($A902,Korrelation!$D$4:$D$1197,Korrelation!F$4:F$1197,"-",0)="-",0,MATCH(_xlfn.XLOOKUP($A902,Korrelation!$D$4:$D$1197,Korrelation!F$4:F$1197,"",0),DMAV_Modell!$G$6:$G$677,0)))</f>
        <v>0</v>
      </c>
      <c r="D902" s="57">
        <f>IF($A902="","",IF(_xlfn.XLOOKUP($A902,Korrelation!$D$4:$D$1197,Korrelation!G$4:G$1197,"-",0)="-",0,MATCH(_xlfn.XLOOKUP($A902,Korrelation!$D$4:$D$1197,Korrelation!G$4:G$1197,"",0),DMAV_Modell!$G$6:$G$677,0)))</f>
        <v>0</v>
      </c>
      <c r="E902" s="57">
        <f>IF($A902="","",IF(_xlfn.XLOOKUP($A902,Korrelation!$D$4:$D$1197,Korrelation!H$4:H$1197,"-",0)="-",0,MATCH(_xlfn.XLOOKUP($A902,Korrelation!$D$4:$D$1197,Korrelation!H$4:H$1197,"",0),DMAV_Dienste!$F$6:$F$140,0)))</f>
        <v>0</v>
      </c>
      <c r="F902" s="57">
        <f>IF($A902="","",IF(_xlfn.XLOOKUP($A902,Korrelation!$D$4:$D$1197,Korrelation!I$4:I$1197,"-",0)="-",0,MATCH(_xlfn.XLOOKUP($A902,Korrelation!$D$4:$D$1197,Korrelation!I$4:I$1197,"",0),DMAV_Dienste!$F$6:$F$140,0)))</f>
        <v>0</v>
      </c>
      <c r="G902" s="57">
        <f>IF($A902="","",IF(_xlfn.XLOOKUP($A902,Korrelation!$D$4:$D$1197,Korrelation!J$4:J$1197,"-",0)="-",0,MATCH(_xlfn.XLOOKUP($A902,Korrelation!$D$4:$D$1197,Korrelation!J$4:J$1197,"",0),DMAV_Dienste!$F$6:$F$140,0)))</f>
        <v>0</v>
      </c>
      <c r="H902" s="57">
        <f>IF($A902="","",IF(_xlfn.XLOOKUP($A902,Korrelation!$D$4:$D$1197,Korrelation!K$4:K$1197,"-",0)="-",0,MATCH(_xlfn.XLOOKUP($A902,Korrelation!$D$4:$D$1197,Korrelation!K$4:K$1197,"",0),'DM01-AV-CH'!$A$6:$A$834,0)))</f>
        <v>318</v>
      </c>
      <c r="J902" s="54" t="str" cm="1">
        <f t="array" aca="1" ref="J902" ca="1">IF(B902=0,IF(E902=0,"",HYPERLINK("#"&amp;RIGHT(CELL("adresse",OFFSET(DMAV_Dienste!$M$6,E902-1,0)),LEN(CELL("adresse",OFFSET(DMAV_Dienste!$M$6,E902-1,0)))-FIND("]",CELL("adresse",OFFSET(DMAV_Dienste!$M$6,E902-1,0)))),"Dienst")),HYPERLINK("#"&amp;RIGHT(CELL("adresse",OFFSET(DMAV_Modell!$N$6,B902-1,0)),LEN(CELL("adresse",OFFSET(DMAV_Modell!$N$6,B902-1,0)))-FIND("]",CELL("adresse",OFFSET(DMAV_Modell!$N$6,B902-1,0)))),"Modell"))</f>
        <v/>
      </c>
      <c r="K902" s="61" t="str" cm="1">
        <f t="array" ref="K902">IF($B902=0,IF($E902=0,"",IF(INDEX(DMAV_Dienste!P$6:P$140,$E902)="","",INDEX(DMAV_Dienste!P$6:P$140,$E902))),IF(INDEX(DMAV_Modell!Q$6:Q$838,$B902)="","",INDEX(DMAV_Modell!Q$6:Q$838,$B902)))</f>
        <v/>
      </c>
      <c r="L902" s="62" t="str" cm="1">
        <f t="array" ref="L902">IF($B902=0,IF($E902=0,"",IF(INDEX(DMAV_Dienste!O$6:O$140,$E902)="","",INDEX(DMAV_Dienste!O$6:O$140,$E902))),IF(INDEX(DMAV_Modell!P$6:P$838,$B902)="","",INDEX(DMAV_Modell!P$6:P$838,$B902)))</f>
        <v/>
      </c>
      <c r="M902" s="62" t="str" cm="1">
        <f t="array" ref="M902">IF($B902=0,IF($E902=0,"",IF(INDEX(DMAV_Dienste!Q$6:Q$140,$E902)="","",INDEX(DMAV_Dienste!Q$6:Q$140,$E902))),IF(INDEX(DMAV_Modell!R$6:R$838,$B902)="","",INDEX(DMAV_Modell!R$6:R$838,$B902)))</f>
        <v/>
      </c>
      <c r="N902" s="62" t="str" cm="1">
        <f t="array" ref="N902">IF($B902=0,IF($E902=0,"",IF(INDEX(DMAV_Dienste!T$6:T$140,$E902)="","",INDEX(DMAV_Dienste!T$6:T$140,$E902))),IF(INDEX(DMAV_Modell!U$6:U$838,$B902)="","",INDEX(DMAV_Modell!U$6:U$838,$B902)))</f>
        <v/>
      </c>
      <c r="O902" s="63" t="str" cm="1">
        <f t="array" aca="1" ref="O902" ca="1">IF(C902=0,IF(F902=0,"",HYPERLINK("#"&amp;RIGHT(CELL("adresse",OFFSET(DMAV_Dienste!$M$6,F902-1,0)),LEN(CELL("adresse",OFFSET(DMAV_Dienste!$M$6,F902-1,0)))-FIND("]",CELL("adresse",OFFSET(DMAV_Dienste!$M$6,F902-1,0)))),"Structure")),HYPERLINK("#"&amp;RIGHT(CELL("adresse",OFFSET(DMAV_Modell!$N$6,C902-1,0)),LEN(CELL("adresse",OFFSET(DMAV_Modell!$N$6,C902-1,0)))-FIND("]",CELL("adresse",OFFSET(DMAV_Modell!$N$6,C902-1,0)))),"Structure"))</f>
        <v/>
      </c>
      <c r="P902" s="64" t="str" cm="1">
        <f t="array" aca="1" ref="P902" ca="1">IF(D902=0,IF(G902=0,"",HYPERLINK("#"&amp;RIGHT(CELL("adresse",OFFSET(DMAV_Dienste!$M$6,G902-1,0)),LEN(CELL("adresse",OFFSET(DMAV_Dienste!$M$6,G902-1,0)))-FIND("]",CELL("adresse",OFFSET(DMAV_Dienste!$M$6,G902-1,0)))),"Substructure")),HYPERLINK("#"&amp;RIGHT(CELL("adresse",OFFSET(DMAV_Modell!$N$6,D902-1,0)),LEN(CELL("adresse",OFFSET(DMAV_Modell!$N$6,D902-1,0)))-FIND("]",CELL("adresse",OFFSET(DMAV_Modell!$N$6,D902-1,0)))),"Substructure"))</f>
        <v/>
      </c>
      <c r="R902" s="80"/>
      <c r="T902" s="93"/>
      <c r="U902" s="94"/>
      <c r="V902" s="95"/>
      <c r="W902" s="96"/>
      <c r="Y902" s="85"/>
      <c r="Z902" s="86"/>
      <c r="AA902" s="87"/>
      <c r="AB902" s="88"/>
      <c r="AD902" s="77"/>
      <c r="AF902" s="54" t="str" cm="1">
        <f t="array" aca="1" ref="AF902" ca="1">IF(H902=0,"",HYPERLINK("#"&amp;RIGHT(CELL("adresse",OFFSET('DM01-AV-CH'!$G$6,H902-1,0)),LEN(CELL("adresse",OFFSET('DM01-AV-CH'!$G$6,H902-1,0)))-FIND("]",CELL("adresse",OFFSET('DM01-AV-CH'!$G$6,H902-1,0)))),"Modell"))</f>
        <v>Modell</v>
      </c>
      <c r="AG902" s="72" t="str" cm="1">
        <f t="array" ref="AG902">IF($H902=0,"",IF(INDEX('DM01-AV-CH'!G$6:G$834,$H902)="","",INDEX('DM01-AV-CH'!G$6:G$834,$H902)))</f>
        <v>Einzelobjekte</v>
      </c>
      <c r="AH902" s="73" t="str" cm="1">
        <f t="array" ref="AH902">IF($H902=0,"",IF(INDEX('DM01-AV-CH'!H$6:H$834,$H902)="","",INDEX('DM01-AV-CH'!H$6:H$834,$H902)))</f>
        <v>Linienelement</v>
      </c>
      <c r="AI902" s="74" t="str" cm="1">
        <f t="array" ref="AI902">IF($H902=0,"",IF(INDEX('DM01-AV-CH'!I$6:I$834,$H902)="","",INDEX('DM01-AV-CH'!I$6:I$834,$H902)))</f>
        <v>Linienelement_von</v>
      </c>
    </row>
    <row r="903" spans="1:35" ht="28.5" x14ac:dyDescent="0.25">
      <c r="A903" s="57">
        <v>898</v>
      </c>
      <c r="B903" s="57">
        <f>IF($A903="","",IF(_xlfn.XLOOKUP($A903,Korrelation!$D$4:$D$1197,Korrelation!E$4:E$1197,"-",0)="-",0,MATCH(_xlfn.XLOOKUP($A903,Korrelation!$D$4:$D$1197,Korrelation!E$4:E$1197,"",0),DMAV_Modell!$G$6:$G$677,0)))</f>
        <v>523</v>
      </c>
      <c r="C903" s="57">
        <f>IF($A903="","",IF(_xlfn.XLOOKUP($A903,Korrelation!$D$4:$D$1197,Korrelation!F$4:F$1197,"-",0)="-",0,MATCH(_xlfn.XLOOKUP($A903,Korrelation!$D$4:$D$1197,Korrelation!F$4:F$1197,"",0),DMAV_Modell!$G$6:$G$677,0)))</f>
        <v>512</v>
      </c>
      <c r="D903" s="57">
        <f>IF($A903="","",IF(_xlfn.XLOOKUP($A903,Korrelation!$D$4:$D$1197,Korrelation!G$4:G$1197,"-",0)="-",0,MATCH(_xlfn.XLOOKUP($A903,Korrelation!$D$4:$D$1197,Korrelation!G$4:G$1197,"",0),DMAV_Modell!$G$6:$G$677,0)))</f>
        <v>0</v>
      </c>
      <c r="E903" s="57">
        <f>IF($A903="","",IF(_xlfn.XLOOKUP($A903,Korrelation!$D$4:$D$1197,Korrelation!H$4:H$1197,"-",0)="-",0,MATCH(_xlfn.XLOOKUP($A903,Korrelation!$D$4:$D$1197,Korrelation!H$4:H$1197,"",0),DMAV_Dienste!$F$6:$F$140,0)))</f>
        <v>0</v>
      </c>
      <c r="F903" s="57">
        <f>IF($A903="","",IF(_xlfn.XLOOKUP($A903,Korrelation!$D$4:$D$1197,Korrelation!I$4:I$1197,"-",0)="-",0,MATCH(_xlfn.XLOOKUP($A903,Korrelation!$D$4:$D$1197,Korrelation!I$4:I$1197,"",0),DMAV_Dienste!$F$6:$F$140,0)))</f>
        <v>0</v>
      </c>
      <c r="G903" s="57">
        <f>IF($A903="","",IF(_xlfn.XLOOKUP($A903,Korrelation!$D$4:$D$1197,Korrelation!J$4:J$1197,"-",0)="-",0,MATCH(_xlfn.XLOOKUP($A903,Korrelation!$D$4:$D$1197,Korrelation!J$4:J$1197,"",0),DMAV_Dienste!$F$6:$F$140,0)))</f>
        <v>0</v>
      </c>
      <c r="H903" s="57">
        <f>IF($A903="","",IF(_xlfn.XLOOKUP($A903,Korrelation!$D$4:$D$1197,Korrelation!K$4:K$1197,"-",0)="-",0,MATCH(_xlfn.XLOOKUP($A903,Korrelation!$D$4:$D$1197,Korrelation!K$4:K$1197,"",0),'DM01-AV-CH'!$A$6:$A$834,0)))</f>
        <v>319</v>
      </c>
      <c r="J903" s="54" t="str" cm="1">
        <f t="array" aca="1" ref="J903" ca="1">IF(B903=0,IF(E903=0,"",HYPERLINK("#"&amp;RIGHT(CELL("adresse",OFFSET(DMAV_Dienste!$M$6,E903-1,0)),LEN(CELL("adresse",OFFSET(DMAV_Dienste!$M$6,E903-1,0)))-FIND("]",CELL("adresse",OFFSET(DMAV_Dienste!$M$6,E903-1,0)))),"Dienst")),HYPERLINK("#"&amp;RIGHT(CELL("adresse",OFFSET(DMAV_Modell!$N$6,B903-1,0)),LEN(CELL("adresse",OFFSET(DMAV_Modell!$N$6,B903-1,0)))-FIND("]",CELL("adresse",OFFSET(DMAV_Modell!$N$6,B903-1,0)))),"Modell"))</f>
        <v>Modell</v>
      </c>
      <c r="K903" s="61" t="str" cm="1">
        <f t="array" ref="K903">IF($B903=0,IF($E903=0,"",IF(INDEX(DMAV_Dienste!P$6:P$140,$E903)="","",INDEX(DMAV_Dienste!P$6:P$140,$E903))),IF(INDEX(DMAV_Modell!Q$6:Q$838,$B903)="","",INDEX(DMAV_Modell!Q$6:Q$838,$B903)))</f>
        <v>CLASS</v>
      </c>
      <c r="L903" s="62" t="str" cm="1">
        <f t="array" ref="L903">IF($B903=0,IF($E903=0,"",IF(INDEX(DMAV_Dienste!O$6:O$140,$E903)="","",INDEX(DMAV_Dienste!O$6:O$140,$E903))),IF(INDEX(DMAV_Modell!P$6:P$838,$B903)="","",INDEX(DMAV_Modell!P$6:P$838,$B903)))</f>
        <v>Einzelobjekte</v>
      </c>
      <c r="M903" s="62" t="str" cm="1">
        <f t="array" ref="M903">IF($B903=0,IF($E903=0,"",IF(INDEX(DMAV_Dienste!Q$6:Q$140,$E903)="","",INDEX(DMAV_Dienste!Q$6:Q$140,$E903))),IF(INDEX(DMAV_Modell!R$6:R$838,$B903)="","",INDEX(DMAV_Modell!R$6:R$838,$B903)))</f>
        <v>Einzelobjekt</v>
      </c>
      <c r="N903" s="62" t="str" cm="1">
        <f t="array" ref="N903">IF($B903=0,IF($E903=0,"",IF(INDEX(DMAV_Dienste!T$6:T$140,$E903)="","",INDEX(DMAV_Dienste!T$6:T$140,$E903))),IF(INDEX(DMAV_Modell!U$6:U$838,$B903)="","",INDEX(DMAV_Modell!U$6:U$838,$B903)))</f>
        <v>Linienelement</v>
      </c>
      <c r="O903" s="63" t="str" cm="1">
        <f t="array" aca="1" ref="O903" ca="1">IF(C903=0,IF(F903=0,"",HYPERLINK("#"&amp;RIGHT(CELL("adresse",OFFSET(DMAV_Dienste!$M$6,F903-1,0)),LEN(CELL("adresse",OFFSET(DMAV_Dienste!$M$6,F903-1,0)))-FIND("]",CELL("adresse",OFFSET(DMAV_Dienste!$M$6,F903-1,0)))),"Structure")),HYPERLINK("#"&amp;RIGHT(CELL("adresse",OFFSET(DMAV_Modell!$N$6,C903-1,0)),LEN(CELL("adresse",OFFSET(DMAV_Modell!$N$6,C903-1,0)))-FIND("]",CELL("adresse",OFFSET(DMAV_Modell!$N$6,C903-1,0)))),"Structure"))</f>
        <v>Structure</v>
      </c>
      <c r="P903" s="64" t="str" cm="1">
        <f t="array" aca="1" ref="P903" ca="1">IF(D903=0,IF(G903=0,"",HYPERLINK("#"&amp;RIGHT(CELL("adresse",OFFSET(DMAV_Dienste!$M$6,G903-1,0)),LEN(CELL("adresse",OFFSET(DMAV_Dienste!$M$6,G903-1,0)))-FIND("]",CELL("adresse",OFFSET(DMAV_Dienste!$M$6,G903-1,0)))),"Substructure")),HYPERLINK("#"&amp;RIGHT(CELL("adresse",OFFSET(DMAV_Modell!$N$6,D903-1,0)),LEN(CELL("adresse",OFFSET(DMAV_Modell!$N$6,D903-1,0)))-FIND("]",CELL("adresse",OFFSET(DMAV_Modell!$N$6,D903-1,0)))),"Substructure"))</f>
        <v/>
      </c>
      <c r="R903" s="80"/>
      <c r="T903" s="93"/>
      <c r="U903" s="94"/>
      <c r="V903" s="95" t="s">
        <v>3201</v>
      </c>
      <c r="W903" s="96"/>
      <c r="Y903" s="85" t="s">
        <v>3218</v>
      </c>
      <c r="Z903" s="86"/>
      <c r="AA903" s="87" t="s">
        <v>3066</v>
      </c>
      <c r="AB903" s="88"/>
      <c r="AD903" s="77"/>
      <c r="AF903" s="54" t="str" cm="1">
        <f t="array" aca="1" ref="AF903" ca="1">IF(H903=0,"",HYPERLINK("#"&amp;RIGHT(CELL("adresse",OFFSET('DM01-AV-CH'!$G$6,H903-1,0)),LEN(CELL("adresse",OFFSET('DM01-AV-CH'!$G$6,H903-1,0)))-FIND("]",CELL("adresse",OFFSET('DM01-AV-CH'!$G$6,H903-1,0)))),"Modell"))</f>
        <v>Modell</v>
      </c>
      <c r="AG903" s="72" t="str" cm="1">
        <f t="array" ref="AG903">IF($H903=0,"",IF(INDEX('DM01-AV-CH'!G$6:G$834,$H903)="","",INDEX('DM01-AV-CH'!G$6:G$834,$H903)))</f>
        <v>Einzelobjekte</v>
      </c>
      <c r="AH903" s="73" t="str" cm="1">
        <f t="array" ref="AH903">IF($H903=0,"",IF(INDEX('DM01-AV-CH'!H$6:H$834,$H903)="","",INDEX('DM01-AV-CH'!H$6:H$834,$H903)))</f>
        <v>Linienelement</v>
      </c>
      <c r="AI903" s="74" t="str" cm="1">
        <f t="array" ref="AI903">IF($H903=0,"",IF(INDEX('DM01-AV-CH'!I$6:I$834,$H903)="","",INDEX('DM01-AV-CH'!I$6:I$834,$H903)))</f>
        <v>Geometrie</v>
      </c>
    </row>
    <row r="904" spans="1:35" x14ac:dyDescent="0.25">
      <c r="A904" s="57">
        <v>899</v>
      </c>
      <c r="B904" s="57">
        <f>IF($A904="","",IF(_xlfn.XLOOKUP($A904,Korrelation!$D$4:$D$1197,Korrelation!E$4:E$1197,"-",0)="-",0,MATCH(_xlfn.XLOOKUP($A904,Korrelation!$D$4:$D$1197,Korrelation!E$4:E$1197,"",0),DMAV_Modell!$G$6:$G$677,0)))</f>
        <v>0</v>
      </c>
      <c r="C904" s="57">
        <f>IF($A904="","",IF(_xlfn.XLOOKUP($A904,Korrelation!$D$4:$D$1197,Korrelation!F$4:F$1197,"-",0)="-",0,MATCH(_xlfn.XLOOKUP($A904,Korrelation!$D$4:$D$1197,Korrelation!F$4:F$1197,"",0),DMAV_Modell!$G$6:$G$677,0)))</f>
        <v>0</v>
      </c>
      <c r="D904" s="57">
        <f>IF($A904="","",IF(_xlfn.XLOOKUP($A904,Korrelation!$D$4:$D$1197,Korrelation!G$4:G$1197,"-",0)="-",0,MATCH(_xlfn.XLOOKUP($A904,Korrelation!$D$4:$D$1197,Korrelation!G$4:G$1197,"",0),DMAV_Modell!$G$6:$G$677,0)))</f>
        <v>0</v>
      </c>
      <c r="E904" s="57">
        <f>IF($A904="","",IF(_xlfn.XLOOKUP($A904,Korrelation!$D$4:$D$1197,Korrelation!H$4:H$1197,"-",0)="-",0,MATCH(_xlfn.XLOOKUP($A904,Korrelation!$D$4:$D$1197,Korrelation!H$4:H$1197,"",0),DMAV_Dienste!$F$6:$F$140,0)))</f>
        <v>0</v>
      </c>
      <c r="F904" s="57">
        <f>IF($A904="","",IF(_xlfn.XLOOKUP($A904,Korrelation!$D$4:$D$1197,Korrelation!I$4:I$1197,"-",0)="-",0,MATCH(_xlfn.XLOOKUP($A904,Korrelation!$D$4:$D$1197,Korrelation!I$4:I$1197,"",0),DMAV_Dienste!$F$6:$F$140,0)))</f>
        <v>0</v>
      </c>
      <c r="G904" s="57">
        <f>IF($A904="","",IF(_xlfn.XLOOKUP($A904,Korrelation!$D$4:$D$1197,Korrelation!J$4:J$1197,"-",0)="-",0,MATCH(_xlfn.XLOOKUP($A904,Korrelation!$D$4:$D$1197,Korrelation!J$4:J$1197,"",0),DMAV_Dienste!$F$6:$F$140,0)))</f>
        <v>0</v>
      </c>
      <c r="H904" s="57">
        <f>IF($A904="","",IF(_xlfn.XLOOKUP($A904,Korrelation!$D$4:$D$1197,Korrelation!K$4:K$1197,"-",0)="-",0,MATCH(_xlfn.XLOOKUP($A904,Korrelation!$D$4:$D$1197,Korrelation!K$4:K$1197,"",0),'DM01-AV-CH'!$A$6:$A$834,0)))</f>
        <v>320</v>
      </c>
      <c r="J904" s="54" t="str" cm="1">
        <f t="array" aca="1" ref="J904" ca="1">IF(B904=0,IF(E904=0,"",HYPERLINK("#"&amp;RIGHT(CELL("adresse",OFFSET(DMAV_Dienste!$M$6,E904-1,0)),LEN(CELL("adresse",OFFSET(DMAV_Dienste!$M$6,E904-1,0)))-FIND("]",CELL("adresse",OFFSET(DMAV_Dienste!$M$6,E904-1,0)))),"Dienst")),HYPERLINK("#"&amp;RIGHT(CELL("adresse",OFFSET(DMAV_Modell!$N$6,B904-1,0)),LEN(CELL("adresse",OFFSET(DMAV_Modell!$N$6,B904-1,0)))-FIND("]",CELL("adresse",OFFSET(DMAV_Modell!$N$6,B904-1,0)))),"Modell"))</f>
        <v/>
      </c>
      <c r="K904" s="61" t="str" cm="1">
        <f t="array" ref="K904">IF($B904=0,IF($E904=0,"",IF(INDEX(DMAV_Dienste!P$6:P$140,$E904)="","",INDEX(DMAV_Dienste!P$6:P$140,$E904))),IF(INDEX(DMAV_Modell!Q$6:Q$838,$B904)="","",INDEX(DMAV_Modell!Q$6:Q$838,$B904)))</f>
        <v/>
      </c>
      <c r="L904" s="62" t="str" cm="1">
        <f t="array" ref="L904">IF($B904=0,IF($E904=0,"",IF(INDEX(DMAV_Dienste!O$6:O$140,$E904)="","",INDEX(DMAV_Dienste!O$6:O$140,$E904))),IF(INDEX(DMAV_Modell!P$6:P$838,$B904)="","",INDEX(DMAV_Modell!P$6:P$838,$B904)))</f>
        <v/>
      </c>
      <c r="M904" s="62" t="str" cm="1">
        <f t="array" ref="M904">IF($B904=0,IF($E904=0,"",IF(INDEX(DMAV_Dienste!Q$6:Q$140,$E904)="","",INDEX(DMAV_Dienste!Q$6:Q$140,$E904))),IF(INDEX(DMAV_Modell!R$6:R$838,$B904)="","",INDEX(DMAV_Modell!R$6:R$838,$B904)))</f>
        <v/>
      </c>
      <c r="N904" s="62" t="str" cm="1">
        <f t="array" ref="N904">IF($B904=0,IF($E904=0,"",IF(INDEX(DMAV_Dienste!T$6:T$140,$E904)="","",INDEX(DMAV_Dienste!T$6:T$140,$E904))),IF(INDEX(DMAV_Modell!U$6:U$838,$B904)="","",INDEX(DMAV_Modell!U$6:U$838,$B904)))</f>
        <v/>
      </c>
      <c r="O904" s="63" t="str" cm="1">
        <f t="array" aca="1" ref="O904" ca="1">IF(C904=0,IF(F904=0,"",HYPERLINK("#"&amp;RIGHT(CELL("adresse",OFFSET(DMAV_Dienste!$M$6,F904-1,0)),LEN(CELL("adresse",OFFSET(DMAV_Dienste!$M$6,F904-1,0)))-FIND("]",CELL("adresse",OFFSET(DMAV_Dienste!$M$6,F904-1,0)))),"Structure")),HYPERLINK("#"&amp;RIGHT(CELL("adresse",OFFSET(DMAV_Modell!$N$6,C904-1,0)),LEN(CELL("adresse",OFFSET(DMAV_Modell!$N$6,C904-1,0)))-FIND("]",CELL("adresse",OFFSET(DMAV_Modell!$N$6,C904-1,0)))),"Structure"))</f>
        <v/>
      </c>
      <c r="P904" s="64" t="str" cm="1">
        <f t="array" aca="1" ref="P904" ca="1">IF(D904=0,IF(G904=0,"",HYPERLINK("#"&amp;RIGHT(CELL("adresse",OFFSET(DMAV_Dienste!$M$6,G904-1,0)),LEN(CELL("adresse",OFFSET(DMAV_Dienste!$M$6,G904-1,0)))-FIND("]",CELL("adresse",OFFSET(DMAV_Dienste!$M$6,G904-1,0)))),"Substructure")),HYPERLINK("#"&amp;RIGHT(CELL("adresse",OFFSET(DMAV_Modell!$N$6,D904-1,0)),LEN(CELL("adresse",OFFSET(DMAV_Modell!$N$6,D904-1,0)))-FIND("]",CELL("adresse",OFFSET(DMAV_Modell!$N$6,D904-1,0)))),"Substructure"))</f>
        <v/>
      </c>
      <c r="R904" s="80"/>
      <c r="T904" s="93"/>
      <c r="U904" s="94"/>
      <c r="V904" s="95"/>
      <c r="W904" s="96"/>
      <c r="Y904" s="85"/>
      <c r="Z904" s="86"/>
      <c r="AA904" s="87"/>
      <c r="AB904" s="88"/>
      <c r="AD904" s="77"/>
      <c r="AF904" s="54" t="str" cm="1">
        <f t="array" aca="1" ref="AF904" ca="1">IF(H904=0,"",HYPERLINK("#"&amp;RIGHT(CELL("adresse",OFFSET('DM01-AV-CH'!$G$6,H904-1,0)),LEN(CELL("adresse",OFFSET('DM01-AV-CH'!$G$6,H904-1,0)))-FIND("]",CELL("adresse",OFFSET('DM01-AV-CH'!$G$6,H904-1,0)))),"Modell"))</f>
        <v>Modell</v>
      </c>
      <c r="AG904" s="72" t="str" cm="1">
        <f t="array" ref="AG904">IF($H904=0,"",IF(INDEX('DM01-AV-CH'!G$6:G$834,$H904)="","",INDEX('DM01-AV-CH'!G$6:G$834,$H904)))</f>
        <v>Einzelobjekte</v>
      </c>
      <c r="AH904" s="73" t="str" cm="1">
        <f t="array" ref="AH904">IF($H904=0,"",IF(INDEX('DM01-AV-CH'!H$6:H$834,$H904)="","",INDEX('DM01-AV-CH'!H$6:H$834,$H904)))</f>
        <v>LinienelementSymbol</v>
      </c>
      <c r="AI904" s="74" t="str" cm="1">
        <f t="array" ref="AI904">IF($H904=0,"",IF(INDEX('DM01-AV-CH'!I$6:I$834,$H904)="","",INDEX('DM01-AV-CH'!I$6:I$834,$H904)))</f>
        <v>LinienelementSymbol_von</v>
      </c>
    </row>
    <row r="905" spans="1:35" ht="42.75" x14ac:dyDescent="0.25">
      <c r="A905" s="57">
        <v>900</v>
      </c>
      <c r="B905" s="57">
        <f>IF($A905="","",IF(_xlfn.XLOOKUP($A905,Korrelation!$D$4:$D$1197,Korrelation!E$4:E$1197,"-",0)="-",0,MATCH(_xlfn.XLOOKUP($A905,Korrelation!$D$4:$D$1197,Korrelation!E$4:E$1197,"",0),DMAV_Modell!$G$6:$G$677,0)))</f>
        <v>523</v>
      </c>
      <c r="C905" s="57">
        <f>IF($A905="","",IF(_xlfn.XLOOKUP($A905,Korrelation!$D$4:$D$1197,Korrelation!F$4:F$1197,"-",0)="-",0,MATCH(_xlfn.XLOOKUP($A905,Korrelation!$D$4:$D$1197,Korrelation!F$4:F$1197,"",0),DMAV_Modell!$G$6:$G$677,0)))</f>
        <v>512</v>
      </c>
      <c r="D905" s="57">
        <f>IF($A905="","",IF(_xlfn.XLOOKUP($A905,Korrelation!$D$4:$D$1197,Korrelation!G$4:G$1197,"-",0)="-",0,MATCH(_xlfn.XLOOKUP($A905,Korrelation!$D$4:$D$1197,Korrelation!G$4:G$1197,"",0),DMAV_Modell!$G$6:$G$677,0)))</f>
        <v>33</v>
      </c>
      <c r="E905" s="57">
        <f>IF($A905="","",IF(_xlfn.XLOOKUP($A905,Korrelation!$D$4:$D$1197,Korrelation!H$4:H$1197,"-",0)="-",0,MATCH(_xlfn.XLOOKUP($A905,Korrelation!$D$4:$D$1197,Korrelation!H$4:H$1197,"",0),DMAV_Dienste!$F$6:$F$140,0)))</f>
        <v>0</v>
      </c>
      <c r="F905" s="57">
        <f>IF($A905="","",IF(_xlfn.XLOOKUP($A905,Korrelation!$D$4:$D$1197,Korrelation!I$4:I$1197,"-",0)="-",0,MATCH(_xlfn.XLOOKUP($A905,Korrelation!$D$4:$D$1197,Korrelation!I$4:I$1197,"",0),DMAV_Dienste!$F$6:$F$140,0)))</f>
        <v>0</v>
      </c>
      <c r="G905" s="57">
        <f>IF($A905="","",IF(_xlfn.XLOOKUP($A905,Korrelation!$D$4:$D$1197,Korrelation!J$4:J$1197,"-",0)="-",0,MATCH(_xlfn.XLOOKUP($A905,Korrelation!$D$4:$D$1197,Korrelation!J$4:J$1197,"",0),DMAV_Dienste!$F$6:$F$140,0)))</f>
        <v>0</v>
      </c>
      <c r="H905" s="57">
        <f>IF($A905="","",IF(_xlfn.XLOOKUP($A905,Korrelation!$D$4:$D$1197,Korrelation!K$4:K$1197,"-",0)="-",0,MATCH(_xlfn.XLOOKUP($A905,Korrelation!$D$4:$D$1197,Korrelation!K$4:K$1197,"",0),'DM01-AV-CH'!$A$6:$A$834,0)))</f>
        <v>321</v>
      </c>
      <c r="J905" s="54" t="str" cm="1">
        <f t="array" aca="1" ref="J905" ca="1">IF(B905=0,IF(E905=0,"",HYPERLINK("#"&amp;RIGHT(CELL("adresse",OFFSET(DMAV_Dienste!$M$6,E905-1,0)),LEN(CELL("adresse",OFFSET(DMAV_Dienste!$M$6,E905-1,0)))-FIND("]",CELL("adresse",OFFSET(DMAV_Dienste!$M$6,E905-1,0)))),"Dienst")),HYPERLINK("#"&amp;RIGHT(CELL("adresse",OFFSET(DMAV_Modell!$N$6,B905-1,0)),LEN(CELL("adresse",OFFSET(DMAV_Modell!$N$6,B905-1,0)))-FIND("]",CELL("adresse",OFFSET(DMAV_Modell!$N$6,B905-1,0)))),"Modell"))</f>
        <v>Modell</v>
      </c>
      <c r="K905" s="61" t="str" cm="1">
        <f t="array" ref="K905">IF($B905=0,IF($E905=0,"",IF(INDEX(DMAV_Dienste!P$6:P$140,$E905)="","",INDEX(DMAV_Dienste!P$6:P$140,$E905))),IF(INDEX(DMAV_Modell!Q$6:Q$838,$B905)="","",INDEX(DMAV_Modell!Q$6:Q$838,$B905)))</f>
        <v>CLASS</v>
      </c>
      <c r="L905" s="62" t="str" cm="1">
        <f t="array" ref="L905">IF($B905=0,IF($E905=0,"",IF(INDEX(DMAV_Dienste!O$6:O$140,$E905)="","",INDEX(DMAV_Dienste!O$6:O$140,$E905))),IF(INDEX(DMAV_Modell!P$6:P$838,$B905)="","",INDEX(DMAV_Modell!P$6:P$838,$B905)))</f>
        <v>Einzelobjekte</v>
      </c>
      <c r="M905" s="62" t="str" cm="1">
        <f t="array" ref="M905">IF($B905=0,IF($E905=0,"",IF(INDEX(DMAV_Dienste!Q$6:Q$140,$E905)="","",INDEX(DMAV_Dienste!Q$6:Q$140,$E905))),IF(INDEX(DMAV_Modell!R$6:R$838,$B905)="","",INDEX(DMAV_Modell!R$6:R$838,$B905)))</f>
        <v>Einzelobjekt</v>
      </c>
      <c r="N905" s="62" t="str" cm="1">
        <f t="array" ref="N905">IF($B905=0,IF($E905=0,"",IF(INDEX(DMAV_Dienste!T$6:T$140,$E905)="","",INDEX(DMAV_Dienste!T$6:T$140,$E905))),IF(INDEX(DMAV_Modell!U$6:U$838,$B905)="","",INDEX(DMAV_Modell!U$6:U$838,$B905)))</f>
        <v>Linienelement</v>
      </c>
      <c r="O905" s="63" t="str" cm="1">
        <f t="array" aca="1" ref="O905" ca="1">IF(C905=0,IF(F905=0,"",HYPERLINK("#"&amp;RIGHT(CELL("adresse",OFFSET(DMAV_Dienste!$M$6,F905-1,0)),LEN(CELL("adresse",OFFSET(DMAV_Dienste!$M$6,F905-1,0)))-FIND("]",CELL("adresse",OFFSET(DMAV_Dienste!$M$6,F905-1,0)))),"Structure")),HYPERLINK("#"&amp;RIGHT(CELL("adresse",OFFSET(DMAV_Modell!$N$6,C905-1,0)),LEN(CELL("adresse",OFFSET(DMAV_Modell!$N$6,C905-1,0)))-FIND("]",CELL("adresse",OFFSET(DMAV_Modell!$N$6,C905-1,0)))),"Structure"))</f>
        <v>Structure</v>
      </c>
      <c r="P905" s="64" t="str" cm="1">
        <f t="array" aca="1" ref="P905" ca="1">IF(D905=0,IF(G905=0,"",HYPERLINK("#"&amp;RIGHT(CELL("adresse",OFFSET(DMAV_Dienste!$M$6,G905-1,0)),LEN(CELL("adresse",OFFSET(DMAV_Dienste!$M$6,G905-1,0)))-FIND("]",CELL("adresse",OFFSET(DMAV_Dienste!$M$6,G905-1,0)))),"Substructure")),HYPERLINK("#"&amp;RIGHT(CELL("adresse",OFFSET(DMAV_Modell!$N$6,D905-1,0)),LEN(CELL("adresse",OFFSET(DMAV_Modell!$N$6,D905-1,0)))-FIND("]",CELL("adresse",OFFSET(DMAV_Modell!$N$6,D905-1,0)))),"Substructure"))</f>
        <v>Substructure</v>
      </c>
      <c r="R905" s="80"/>
      <c r="T905" s="93"/>
      <c r="U905" s="94"/>
      <c r="V905" s="95" t="s">
        <v>3202</v>
      </c>
      <c r="W905" s="96"/>
      <c r="Y905" s="85" t="s">
        <v>3218</v>
      </c>
      <c r="Z905" s="86"/>
      <c r="AA905" s="87" t="s">
        <v>3067</v>
      </c>
      <c r="AB905" s="88"/>
      <c r="AD905" s="77"/>
      <c r="AF905" s="54" t="str" cm="1">
        <f t="array" aca="1" ref="AF905" ca="1">IF(H905=0,"",HYPERLINK("#"&amp;RIGHT(CELL("adresse",OFFSET('DM01-AV-CH'!$G$6,H905-1,0)),LEN(CELL("adresse",OFFSET('DM01-AV-CH'!$G$6,H905-1,0)))-FIND("]",CELL("adresse",OFFSET('DM01-AV-CH'!$G$6,H905-1,0)))),"Modell"))</f>
        <v>Modell</v>
      </c>
      <c r="AG905" s="72" t="str" cm="1">
        <f t="array" ref="AG905">IF($H905=0,"",IF(INDEX('DM01-AV-CH'!G$6:G$834,$H905)="","",INDEX('DM01-AV-CH'!G$6:G$834,$H905)))</f>
        <v>Einzelobjekte</v>
      </c>
      <c r="AH905" s="73" t="str" cm="1">
        <f t="array" ref="AH905">IF($H905=0,"",IF(INDEX('DM01-AV-CH'!H$6:H$834,$H905)="","",INDEX('DM01-AV-CH'!H$6:H$834,$H905)))</f>
        <v>LinienelementSymbol</v>
      </c>
      <c r="AI905" s="74" t="str" cm="1">
        <f t="array" ref="AI905">IF($H905=0,"",IF(INDEX('DM01-AV-CH'!I$6:I$834,$H905)="","",INDEX('DM01-AV-CH'!I$6:I$834,$H905)))</f>
        <v>Pos</v>
      </c>
    </row>
    <row r="906" spans="1:35" ht="42.75" x14ac:dyDescent="0.25">
      <c r="A906" s="57">
        <v>901</v>
      </c>
      <c r="B906" s="57">
        <f>IF($A906="","",IF(_xlfn.XLOOKUP($A906,Korrelation!$D$4:$D$1197,Korrelation!E$4:E$1197,"-",0)="-",0,MATCH(_xlfn.XLOOKUP($A906,Korrelation!$D$4:$D$1197,Korrelation!E$4:E$1197,"",0),DMAV_Modell!$G$6:$G$677,0)))</f>
        <v>523</v>
      </c>
      <c r="C906" s="57">
        <f>IF($A906="","",IF(_xlfn.XLOOKUP($A906,Korrelation!$D$4:$D$1197,Korrelation!F$4:F$1197,"-",0)="-",0,MATCH(_xlfn.XLOOKUP($A906,Korrelation!$D$4:$D$1197,Korrelation!F$4:F$1197,"",0),DMAV_Modell!$G$6:$G$677,0)))</f>
        <v>512</v>
      </c>
      <c r="D906" s="57">
        <f>IF($A906="","",IF(_xlfn.XLOOKUP($A906,Korrelation!$D$4:$D$1197,Korrelation!G$4:G$1197,"-",0)="-",0,MATCH(_xlfn.XLOOKUP($A906,Korrelation!$D$4:$D$1197,Korrelation!G$4:G$1197,"",0),DMAV_Modell!$G$6:$G$677,0)))</f>
        <v>34</v>
      </c>
      <c r="E906" s="57">
        <f>IF($A906="","",IF(_xlfn.XLOOKUP($A906,Korrelation!$D$4:$D$1197,Korrelation!H$4:H$1197,"-",0)="-",0,MATCH(_xlfn.XLOOKUP($A906,Korrelation!$D$4:$D$1197,Korrelation!H$4:H$1197,"",0),DMAV_Dienste!$F$6:$F$140,0)))</f>
        <v>0</v>
      </c>
      <c r="F906" s="57">
        <f>IF($A906="","",IF(_xlfn.XLOOKUP($A906,Korrelation!$D$4:$D$1197,Korrelation!I$4:I$1197,"-",0)="-",0,MATCH(_xlfn.XLOOKUP($A906,Korrelation!$D$4:$D$1197,Korrelation!I$4:I$1197,"",0),DMAV_Dienste!$F$6:$F$140,0)))</f>
        <v>0</v>
      </c>
      <c r="G906" s="57">
        <f>IF($A906="","",IF(_xlfn.XLOOKUP($A906,Korrelation!$D$4:$D$1197,Korrelation!J$4:J$1197,"-",0)="-",0,MATCH(_xlfn.XLOOKUP($A906,Korrelation!$D$4:$D$1197,Korrelation!J$4:J$1197,"",0),DMAV_Dienste!$F$6:$F$140,0)))</f>
        <v>0</v>
      </c>
      <c r="H906" s="57">
        <f>IF($A906="","",IF(_xlfn.XLOOKUP($A906,Korrelation!$D$4:$D$1197,Korrelation!K$4:K$1197,"-",0)="-",0,MATCH(_xlfn.XLOOKUP($A906,Korrelation!$D$4:$D$1197,Korrelation!K$4:K$1197,"",0),'DM01-AV-CH'!$A$6:$A$834,0)))</f>
        <v>322</v>
      </c>
      <c r="J906" s="54" t="str" cm="1">
        <f t="array" aca="1" ref="J906" ca="1">IF(B906=0,IF(E906=0,"",HYPERLINK("#"&amp;RIGHT(CELL("adresse",OFFSET(DMAV_Dienste!$M$6,E906-1,0)),LEN(CELL("adresse",OFFSET(DMAV_Dienste!$M$6,E906-1,0)))-FIND("]",CELL("adresse",OFFSET(DMAV_Dienste!$M$6,E906-1,0)))),"Dienst")),HYPERLINK("#"&amp;RIGHT(CELL("adresse",OFFSET(DMAV_Modell!$N$6,B906-1,0)),LEN(CELL("adresse",OFFSET(DMAV_Modell!$N$6,B906-1,0)))-FIND("]",CELL("adresse",OFFSET(DMAV_Modell!$N$6,B906-1,0)))),"Modell"))</f>
        <v>Modell</v>
      </c>
      <c r="K906" s="61" t="str" cm="1">
        <f t="array" ref="K906">IF($B906=0,IF($E906=0,"",IF(INDEX(DMAV_Dienste!P$6:P$140,$E906)="","",INDEX(DMAV_Dienste!P$6:P$140,$E906))),IF(INDEX(DMAV_Modell!Q$6:Q$838,$B906)="","",INDEX(DMAV_Modell!Q$6:Q$838,$B906)))</f>
        <v>CLASS</v>
      </c>
      <c r="L906" s="62" t="str" cm="1">
        <f t="array" ref="L906">IF($B906=0,IF($E906=0,"",IF(INDEX(DMAV_Dienste!O$6:O$140,$E906)="","",INDEX(DMAV_Dienste!O$6:O$140,$E906))),IF(INDEX(DMAV_Modell!P$6:P$838,$B906)="","",INDEX(DMAV_Modell!P$6:P$838,$B906)))</f>
        <v>Einzelobjekte</v>
      </c>
      <c r="M906" s="62" t="str" cm="1">
        <f t="array" ref="M906">IF($B906=0,IF($E906=0,"",IF(INDEX(DMAV_Dienste!Q$6:Q$140,$E906)="","",INDEX(DMAV_Dienste!Q$6:Q$140,$E906))),IF(INDEX(DMAV_Modell!R$6:R$838,$B906)="","",INDEX(DMAV_Modell!R$6:R$838,$B906)))</f>
        <v>Einzelobjekt</v>
      </c>
      <c r="N906" s="62" t="str" cm="1">
        <f t="array" ref="N906">IF($B906=0,IF($E906=0,"",IF(INDEX(DMAV_Dienste!T$6:T$140,$E906)="","",INDEX(DMAV_Dienste!T$6:T$140,$E906))),IF(INDEX(DMAV_Modell!U$6:U$838,$B906)="","",INDEX(DMAV_Modell!U$6:U$838,$B906)))</f>
        <v>Linienelement</v>
      </c>
      <c r="O906" s="63" t="str" cm="1">
        <f t="array" aca="1" ref="O906" ca="1">IF(C906=0,IF(F906=0,"",HYPERLINK("#"&amp;RIGHT(CELL("adresse",OFFSET(DMAV_Dienste!$M$6,F906-1,0)),LEN(CELL("adresse",OFFSET(DMAV_Dienste!$M$6,F906-1,0)))-FIND("]",CELL("adresse",OFFSET(DMAV_Dienste!$M$6,F906-1,0)))),"Structure")),HYPERLINK("#"&amp;RIGHT(CELL("adresse",OFFSET(DMAV_Modell!$N$6,C906-1,0)),LEN(CELL("adresse",OFFSET(DMAV_Modell!$N$6,C906-1,0)))-FIND("]",CELL("adresse",OFFSET(DMAV_Modell!$N$6,C906-1,0)))),"Structure"))</f>
        <v>Structure</v>
      </c>
      <c r="P906" s="64" t="str" cm="1">
        <f t="array" aca="1" ref="P906" ca="1">IF(D906=0,IF(G906=0,"",HYPERLINK("#"&amp;RIGHT(CELL("adresse",OFFSET(DMAV_Dienste!$M$6,G906-1,0)),LEN(CELL("adresse",OFFSET(DMAV_Dienste!$M$6,G906-1,0)))-FIND("]",CELL("adresse",OFFSET(DMAV_Dienste!$M$6,G906-1,0)))),"Substructure")),HYPERLINK("#"&amp;RIGHT(CELL("adresse",OFFSET(DMAV_Modell!$N$6,D906-1,0)),LEN(CELL("adresse",OFFSET(DMAV_Modell!$N$6,D906-1,0)))-FIND("]",CELL("adresse",OFFSET(DMAV_Modell!$N$6,D906-1,0)))),"Substructure"))</f>
        <v>Substructure</v>
      </c>
      <c r="R906" s="80"/>
      <c r="T906" s="93"/>
      <c r="U906" s="94"/>
      <c r="V906" s="95" t="s">
        <v>3203</v>
      </c>
      <c r="W906" s="96"/>
      <c r="Y906" s="85" t="s">
        <v>3218</v>
      </c>
      <c r="Z906" s="86"/>
      <c r="AA906" s="87" t="s">
        <v>3068</v>
      </c>
      <c r="AB906" s="88"/>
      <c r="AD906" s="77"/>
      <c r="AF906" s="54" t="str" cm="1">
        <f t="array" aca="1" ref="AF906" ca="1">IF(H906=0,"",HYPERLINK("#"&amp;RIGHT(CELL("adresse",OFFSET('DM01-AV-CH'!$G$6,H906-1,0)),LEN(CELL("adresse",OFFSET('DM01-AV-CH'!$G$6,H906-1,0)))-FIND("]",CELL("adresse",OFFSET('DM01-AV-CH'!$G$6,H906-1,0)))),"Modell"))</f>
        <v>Modell</v>
      </c>
      <c r="AG906" s="72" t="str" cm="1">
        <f t="array" ref="AG906">IF($H906=0,"",IF(INDEX('DM01-AV-CH'!G$6:G$834,$H906)="","",INDEX('DM01-AV-CH'!G$6:G$834,$H906)))</f>
        <v>Einzelobjekte</v>
      </c>
      <c r="AH906" s="73" t="str" cm="1">
        <f t="array" ref="AH906">IF($H906=0,"",IF(INDEX('DM01-AV-CH'!H$6:H$834,$H906)="","",INDEX('DM01-AV-CH'!H$6:H$834,$H906)))</f>
        <v>LinienelementSymbol</v>
      </c>
      <c r="AI906" s="74" t="str" cm="1">
        <f t="array" ref="AI906">IF($H906=0,"",IF(INDEX('DM01-AV-CH'!I$6:I$834,$H906)="","",INDEX('DM01-AV-CH'!I$6:I$834,$H906)))</f>
        <v>Ori</v>
      </c>
    </row>
    <row r="907" spans="1:35" x14ac:dyDescent="0.25">
      <c r="A907" s="57">
        <v>902</v>
      </c>
      <c r="B907" s="57">
        <f>IF($A907="","",IF(_xlfn.XLOOKUP($A907,Korrelation!$D$4:$D$1197,Korrelation!E$4:E$1197,"-",0)="-",0,MATCH(_xlfn.XLOOKUP($A907,Korrelation!$D$4:$D$1197,Korrelation!E$4:E$1197,"",0),DMAV_Modell!$G$6:$G$677,0)))</f>
        <v>0</v>
      </c>
      <c r="C907" s="57">
        <f>IF($A907="","",IF(_xlfn.XLOOKUP($A907,Korrelation!$D$4:$D$1197,Korrelation!F$4:F$1197,"-",0)="-",0,MATCH(_xlfn.XLOOKUP($A907,Korrelation!$D$4:$D$1197,Korrelation!F$4:F$1197,"",0),DMAV_Modell!$G$6:$G$677,0)))</f>
        <v>0</v>
      </c>
      <c r="D907" s="57">
        <f>IF($A907="","",IF(_xlfn.XLOOKUP($A907,Korrelation!$D$4:$D$1197,Korrelation!G$4:G$1197,"-",0)="-",0,MATCH(_xlfn.XLOOKUP($A907,Korrelation!$D$4:$D$1197,Korrelation!G$4:G$1197,"",0),DMAV_Modell!$G$6:$G$677,0)))</f>
        <v>0</v>
      </c>
      <c r="E907" s="57">
        <f>IF($A907="","",IF(_xlfn.XLOOKUP($A907,Korrelation!$D$4:$D$1197,Korrelation!H$4:H$1197,"-",0)="-",0,MATCH(_xlfn.XLOOKUP($A907,Korrelation!$D$4:$D$1197,Korrelation!H$4:H$1197,"",0),DMAV_Dienste!$F$6:$F$140,0)))</f>
        <v>0</v>
      </c>
      <c r="F907" s="57">
        <f>IF($A907="","",IF(_xlfn.XLOOKUP($A907,Korrelation!$D$4:$D$1197,Korrelation!I$4:I$1197,"-",0)="-",0,MATCH(_xlfn.XLOOKUP($A907,Korrelation!$D$4:$D$1197,Korrelation!I$4:I$1197,"",0),DMAV_Dienste!$F$6:$F$140,0)))</f>
        <v>0</v>
      </c>
      <c r="G907" s="57">
        <f>IF($A907="","",IF(_xlfn.XLOOKUP($A907,Korrelation!$D$4:$D$1197,Korrelation!J$4:J$1197,"-",0)="-",0,MATCH(_xlfn.XLOOKUP($A907,Korrelation!$D$4:$D$1197,Korrelation!J$4:J$1197,"",0),DMAV_Dienste!$F$6:$F$140,0)))</f>
        <v>0</v>
      </c>
      <c r="H907" s="57">
        <f>IF($A907="","",IF(_xlfn.XLOOKUP($A907,Korrelation!$D$4:$D$1197,Korrelation!K$4:K$1197,"-",0)="-",0,MATCH(_xlfn.XLOOKUP($A907,Korrelation!$D$4:$D$1197,Korrelation!K$4:K$1197,"",0),'DM01-AV-CH'!$A$6:$A$834,0)))</f>
        <v>323</v>
      </c>
      <c r="J907" s="54" t="str" cm="1">
        <f t="array" aca="1" ref="J907" ca="1">IF(B907=0,IF(E907=0,"",HYPERLINK("#"&amp;RIGHT(CELL("adresse",OFFSET(DMAV_Dienste!$M$6,E907-1,0)),LEN(CELL("adresse",OFFSET(DMAV_Dienste!$M$6,E907-1,0)))-FIND("]",CELL("adresse",OFFSET(DMAV_Dienste!$M$6,E907-1,0)))),"Dienst")),HYPERLINK("#"&amp;RIGHT(CELL("adresse",OFFSET(DMAV_Modell!$N$6,B907-1,0)),LEN(CELL("adresse",OFFSET(DMAV_Modell!$N$6,B907-1,0)))-FIND("]",CELL("adresse",OFFSET(DMAV_Modell!$N$6,B907-1,0)))),"Modell"))</f>
        <v/>
      </c>
      <c r="K907" s="61" t="str" cm="1">
        <f t="array" ref="K907">IF($B907=0,IF($E907=0,"",IF(INDEX(DMAV_Dienste!P$6:P$140,$E907)="","",INDEX(DMAV_Dienste!P$6:P$140,$E907))),IF(INDEX(DMAV_Modell!Q$6:Q$838,$B907)="","",INDEX(DMAV_Modell!Q$6:Q$838,$B907)))</f>
        <v/>
      </c>
      <c r="L907" s="62" t="str" cm="1">
        <f t="array" ref="L907">IF($B907=0,IF($E907=0,"",IF(INDEX(DMAV_Dienste!O$6:O$140,$E907)="","",INDEX(DMAV_Dienste!O$6:O$140,$E907))),IF(INDEX(DMAV_Modell!P$6:P$838,$B907)="","",INDEX(DMAV_Modell!P$6:P$838,$B907)))</f>
        <v/>
      </c>
      <c r="M907" s="62" t="str" cm="1">
        <f t="array" ref="M907">IF($B907=0,IF($E907=0,"",IF(INDEX(DMAV_Dienste!Q$6:Q$140,$E907)="","",INDEX(DMAV_Dienste!Q$6:Q$140,$E907))),IF(INDEX(DMAV_Modell!R$6:R$838,$B907)="","",INDEX(DMAV_Modell!R$6:R$838,$B907)))</f>
        <v/>
      </c>
      <c r="N907" s="62" t="str" cm="1">
        <f t="array" ref="N907">IF($B907=0,IF($E907=0,"",IF(INDEX(DMAV_Dienste!T$6:T$140,$E907)="","",INDEX(DMAV_Dienste!T$6:T$140,$E907))),IF(INDEX(DMAV_Modell!U$6:U$838,$B907)="","",INDEX(DMAV_Modell!U$6:U$838,$B907)))</f>
        <v/>
      </c>
      <c r="O907" s="63" t="str" cm="1">
        <f t="array" aca="1" ref="O907" ca="1">IF(C907=0,IF(F907=0,"",HYPERLINK("#"&amp;RIGHT(CELL("adresse",OFFSET(DMAV_Dienste!$M$6,F907-1,0)),LEN(CELL("adresse",OFFSET(DMAV_Dienste!$M$6,F907-1,0)))-FIND("]",CELL("adresse",OFFSET(DMAV_Dienste!$M$6,F907-1,0)))),"Structure")),HYPERLINK("#"&amp;RIGHT(CELL("adresse",OFFSET(DMAV_Modell!$N$6,C907-1,0)),LEN(CELL("adresse",OFFSET(DMAV_Modell!$N$6,C907-1,0)))-FIND("]",CELL("adresse",OFFSET(DMAV_Modell!$N$6,C907-1,0)))),"Structure"))</f>
        <v/>
      </c>
      <c r="P907" s="64" t="str" cm="1">
        <f t="array" aca="1" ref="P907" ca="1">IF(D907=0,IF(G907=0,"",HYPERLINK("#"&amp;RIGHT(CELL("adresse",OFFSET(DMAV_Dienste!$M$6,G907-1,0)),LEN(CELL("adresse",OFFSET(DMAV_Dienste!$M$6,G907-1,0)))-FIND("]",CELL("adresse",OFFSET(DMAV_Dienste!$M$6,G907-1,0)))),"Substructure")),HYPERLINK("#"&amp;RIGHT(CELL("adresse",OFFSET(DMAV_Modell!$N$6,D907-1,0)),LEN(CELL("adresse",OFFSET(DMAV_Modell!$N$6,D907-1,0)))-FIND("]",CELL("adresse",OFFSET(DMAV_Modell!$N$6,D907-1,0)))),"Substructure"))</f>
        <v/>
      </c>
      <c r="R907" s="80"/>
      <c r="T907" s="93"/>
      <c r="U907" s="94"/>
      <c r="V907" s="95"/>
      <c r="W907" s="96"/>
      <c r="Y907" s="85"/>
      <c r="Z907" s="86"/>
      <c r="AA907" s="87"/>
      <c r="AB907" s="88"/>
      <c r="AD907" s="77"/>
      <c r="AF907" s="54" t="str" cm="1">
        <f t="array" aca="1" ref="AF907" ca="1">IF(H907=0,"",HYPERLINK("#"&amp;RIGHT(CELL("adresse",OFFSET('DM01-AV-CH'!$G$6,H907-1,0)),LEN(CELL("adresse",OFFSET('DM01-AV-CH'!$G$6,H907-1,0)))-FIND("]",CELL("adresse",OFFSET('DM01-AV-CH'!$G$6,H907-1,0)))),"Modell"))</f>
        <v>Modell</v>
      </c>
      <c r="AG907" s="72" t="str" cm="1">
        <f t="array" ref="AG907">IF($H907=0,"",IF(INDEX('DM01-AV-CH'!G$6:G$834,$H907)="","",INDEX('DM01-AV-CH'!G$6:G$834,$H907)))</f>
        <v>Einzelobjekte</v>
      </c>
      <c r="AH907" s="73" t="str" cm="1">
        <f t="array" ref="AH907">IF($H907=0,"",IF(INDEX('DM01-AV-CH'!H$6:H$834,$H907)="","",INDEX('DM01-AV-CH'!H$6:H$834,$H907)))</f>
        <v>Punktelement</v>
      </c>
      <c r="AI907" s="74" t="str" cm="1">
        <f t="array" ref="AI907">IF($H907=0,"",IF(INDEX('DM01-AV-CH'!I$6:I$834,$H907)="","",INDEX('DM01-AV-CH'!I$6:I$834,$H907)))</f>
        <v>Punktelement_von</v>
      </c>
    </row>
    <row r="908" spans="1:35" ht="28.5" x14ac:dyDescent="0.25">
      <c r="A908" s="57">
        <v>903</v>
      </c>
      <c r="B908" s="57">
        <f>IF($A908="","",IF(_xlfn.XLOOKUP($A908,Korrelation!$D$4:$D$1197,Korrelation!E$4:E$1197,"-",0)="-",0,MATCH(_xlfn.XLOOKUP($A908,Korrelation!$D$4:$D$1197,Korrelation!E$4:E$1197,"",0),DMAV_Modell!$G$6:$G$677,0)))</f>
        <v>524</v>
      </c>
      <c r="C908" s="57">
        <f>IF($A908="","",IF(_xlfn.XLOOKUP($A908,Korrelation!$D$4:$D$1197,Korrelation!F$4:F$1197,"-",0)="-",0,MATCH(_xlfn.XLOOKUP($A908,Korrelation!$D$4:$D$1197,Korrelation!F$4:F$1197,"",0),DMAV_Modell!$G$6:$G$677,0)))</f>
        <v>514</v>
      </c>
      <c r="D908" s="57">
        <f>IF($A908="","",IF(_xlfn.XLOOKUP($A908,Korrelation!$D$4:$D$1197,Korrelation!G$4:G$1197,"-",0)="-",0,MATCH(_xlfn.XLOOKUP($A908,Korrelation!$D$4:$D$1197,Korrelation!G$4:G$1197,"",0),DMAV_Modell!$G$6:$G$677,0)))</f>
        <v>0</v>
      </c>
      <c r="E908" s="57">
        <f>IF($A908="","",IF(_xlfn.XLOOKUP($A908,Korrelation!$D$4:$D$1197,Korrelation!H$4:H$1197,"-",0)="-",0,MATCH(_xlfn.XLOOKUP($A908,Korrelation!$D$4:$D$1197,Korrelation!H$4:H$1197,"",0),DMAV_Dienste!$F$6:$F$140,0)))</f>
        <v>0</v>
      </c>
      <c r="F908" s="57">
        <f>IF($A908="","",IF(_xlfn.XLOOKUP($A908,Korrelation!$D$4:$D$1197,Korrelation!I$4:I$1197,"-",0)="-",0,MATCH(_xlfn.XLOOKUP($A908,Korrelation!$D$4:$D$1197,Korrelation!I$4:I$1197,"",0),DMAV_Dienste!$F$6:$F$140,0)))</f>
        <v>0</v>
      </c>
      <c r="G908" s="57">
        <f>IF($A908="","",IF(_xlfn.XLOOKUP($A908,Korrelation!$D$4:$D$1197,Korrelation!J$4:J$1197,"-",0)="-",0,MATCH(_xlfn.XLOOKUP($A908,Korrelation!$D$4:$D$1197,Korrelation!J$4:J$1197,"",0),DMAV_Dienste!$F$6:$F$140,0)))</f>
        <v>0</v>
      </c>
      <c r="H908" s="57">
        <f>IF($A908="","",IF(_xlfn.XLOOKUP($A908,Korrelation!$D$4:$D$1197,Korrelation!K$4:K$1197,"-",0)="-",0,MATCH(_xlfn.XLOOKUP($A908,Korrelation!$D$4:$D$1197,Korrelation!K$4:K$1197,"",0),'DM01-AV-CH'!$A$6:$A$834,0)))</f>
        <v>324</v>
      </c>
      <c r="J908" s="54" t="str" cm="1">
        <f t="array" aca="1" ref="J908" ca="1">IF(B908=0,IF(E908=0,"",HYPERLINK("#"&amp;RIGHT(CELL("adresse",OFFSET(DMAV_Dienste!$M$6,E908-1,0)),LEN(CELL("adresse",OFFSET(DMAV_Dienste!$M$6,E908-1,0)))-FIND("]",CELL("adresse",OFFSET(DMAV_Dienste!$M$6,E908-1,0)))),"Dienst")),HYPERLINK("#"&amp;RIGHT(CELL("adresse",OFFSET(DMAV_Modell!$N$6,B908-1,0)),LEN(CELL("adresse",OFFSET(DMAV_Modell!$N$6,B908-1,0)))-FIND("]",CELL("adresse",OFFSET(DMAV_Modell!$N$6,B908-1,0)))),"Modell"))</f>
        <v>Modell</v>
      </c>
      <c r="K908" s="61" t="str" cm="1">
        <f t="array" ref="K908">IF($B908=0,IF($E908=0,"",IF(INDEX(DMAV_Dienste!P$6:P$140,$E908)="","",INDEX(DMAV_Dienste!P$6:P$140,$E908))),IF(INDEX(DMAV_Modell!Q$6:Q$838,$B908)="","",INDEX(DMAV_Modell!Q$6:Q$838,$B908)))</f>
        <v>CLASS</v>
      </c>
      <c r="L908" s="62" t="str" cm="1">
        <f t="array" ref="L908">IF($B908=0,IF($E908=0,"",IF(INDEX(DMAV_Dienste!O$6:O$140,$E908)="","",INDEX(DMAV_Dienste!O$6:O$140,$E908))),IF(INDEX(DMAV_Modell!P$6:P$838,$B908)="","",INDEX(DMAV_Modell!P$6:P$838,$B908)))</f>
        <v>Einzelobjekte</v>
      </c>
      <c r="M908" s="62" t="str" cm="1">
        <f t="array" ref="M908">IF($B908=0,IF($E908=0,"",IF(INDEX(DMAV_Dienste!Q$6:Q$140,$E908)="","",INDEX(DMAV_Dienste!Q$6:Q$140,$E908))),IF(INDEX(DMAV_Modell!R$6:R$838,$B908)="","",INDEX(DMAV_Modell!R$6:R$838,$B908)))</f>
        <v>Einzelobjekt</v>
      </c>
      <c r="N908" s="62" t="str" cm="1">
        <f t="array" ref="N908">IF($B908=0,IF($E908=0,"",IF(INDEX(DMAV_Dienste!T$6:T$140,$E908)="","",INDEX(DMAV_Dienste!T$6:T$140,$E908))),IF(INDEX(DMAV_Modell!U$6:U$838,$B908)="","",INDEX(DMAV_Modell!U$6:U$838,$B908)))</f>
        <v>Punktelement</v>
      </c>
      <c r="O908" s="63" t="str" cm="1">
        <f t="array" aca="1" ref="O908" ca="1">IF(C908=0,IF(F908=0,"",HYPERLINK("#"&amp;RIGHT(CELL("adresse",OFFSET(DMAV_Dienste!$M$6,F908-1,0)),LEN(CELL("adresse",OFFSET(DMAV_Dienste!$M$6,F908-1,0)))-FIND("]",CELL("adresse",OFFSET(DMAV_Dienste!$M$6,F908-1,0)))),"Structure")),HYPERLINK("#"&amp;RIGHT(CELL("adresse",OFFSET(DMAV_Modell!$N$6,C908-1,0)),LEN(CELL("adresse",OFFSET(DMAV_Modell!$N$6,C908-1,0)))-FIND("]",CELL("adresse",OFFSET(DMAV_Modell!$N$6,C908-1,0)))),"Structure"))</f>
        <v>Structure</v>
      </c>
      <c r="P908" s="64" t="str" cm="1">
        <f t="array" aca="1" ref="P908" ca="1">IF(D908=0,IF(G908=0,"",HYPERLINK("#"&amp;RIGHT(CELL("adresse",OFFSET(DMAV_Dienste!$M$6,G908-1,0)),LEN(CELL("adresse",OFFSET(DMAV_Dienste!$M$6,G908-1,0)))-FIND("]",CELL("adresse",OFFSET(DMAV_Dienste!$M$6,G908-1,0)))),"Substructure")),HYPERLINK("#"&amp;RIGHT(CELL("adresse",OFFSET(DMAV_Modell!$N$6,D908-1,0)),LEN(CELL("adresse",OFFSET(DMAV_Modell!$N$6,D908-1,0)))-FIND("]",CELL("adresse",OFFSET(DMAV_Modell!$N$6,D908-1,0)))),"Substructure"))</f>
        <v/>
      </c>
      <c r="R908" s="80"/>
      <c r="T908" s="93"/>
      <c r="U908" s="94"/>
      <c r="V908" s="95" t="s">
        <v>3204</v>
      </c>
      <c r="W908" s="96"/>
      <c r="Y908" s="85" t="s">
        <v>3218</v>
      </c>
      <c r="Z908" s="86"/>
      <c r="AA908" s="87" t="s">
        <v>3069</v>
      </c>
      <c r="AB908" s="88"/>
      <c r="AD908" s="77"/>
      <c r="AF908" s="54" t="str" cm="1">
        <f t="array" aca="1" ref="AF908" ca="1">IF(H908=0,"",HYPERLINK("#"&amp;RIGHT(CELL("adresse",OFFSET('DM01-AV-CH'!$G$6,H908-1,0)),LEN(CELL("adresse",OFFSET('DM01-AV-CH'!$G$6,H908-1,0)))-FIND("]",CELL("adresse",OFFSET('DM01-AV-CH'!$G$6,H908-1,0)))),"Modell"))</f>
        <v>Modell</v>
      </c>
      <c r="AG908" s="72" t="str" cm="1">
        <f t="array" ref="AG908">IF($H908=0,"",IF(INDEX('DM01-AV-CH'!G$6:G$834,$H908)="","",INDEX('DM01-AV-CH'!G$6:G$834,$H908)))</f>
        <v>Einzelobjekte</v>
      </c>
      <c r="AH908" s="73" t="str" cm="1">
        <f t="array" ref="AH908">IF($H908=0,"",IF(INDEX('DM01-AV-CH'!H$6:H$834,$H908)="","",INDEX('DM01-AV-CH'!H$6:H$834,$H908)))</f>
        <v>Punktelement</v>
      </c>
      <c r="AI908" s="74" t="str" cm="1">
        <f t="array" ref="AI908">IF($H908=0,"",IF(INDEX('DM01-AV-CH'!I$6:I$834,$H908)="","",INDEX('DM01-AV-CH'!I$6:I$834,$H908)))</f>
        <v>Geometrie</v>
      </c>
    </row>
    <row r="909" spans="1:35" ht="28.5" x14ac:dyDescent="0.25">
      <c r="A909" s="57">
        <v>904</v>
      </c>
      <c r="B909" s="57">
        <f>IF($A909="","",IF(_xlfn.XLOOKUP($A909,Korrelation!$D$4:$D$1197,Korrelation!E$4:E$1197,"-",0)="-",0,MATCH(_xlfn.XLOOKUP($A909,Korrelation!$D$4:$D$1197,Korrelation!E$4:E$1197,"",0),DMAV_Modell!$G$6:$G$677,0)))</f>
        <v>0</v>
      </c>
      <c r="C909" s="57">
        <f>IF($A909="","",IF(_xlfn.XLOOKUP($A909,Korrelation!$D$4:$D$1197,Korrelation!F$4:F$1197,"-",0)="-",0,MATCH(_xlfn.XLOOKUP($A909,Korrelation!$D$4:$D$1197,Korrelation!F$4:F$1197,"",0),DMAV_Modell!$G$6:$G$677,0)))</f>
        <v>0</v>
      </c>
      <c r="D909" s="57">
        <f>IF($A909="","",IF(_xlfn.XLOOKUP($A909,Korrelation!$D$4:$D$1197,Korrelation!G$4:G$1197,"-",0)="-",0,MATCH(_xlfn.XLOOKUP($A909,Korrelation!$D$4:$D$1197,Korrelation!G$4:G$1197,"",0),DMAV_Modell!$G$6:$G$677,0)))</f>
        <v>0</v>
      </c>
      <c r="E909" s="57">
        <f>IF($A909="","",IF(_xlfn.XLOOKUP($A909,Korrelation!$D$4:$D$1197,Korrelation!H$4:H$1197,"-",0)="-",0,MATCH(_xlfn.XLOOKUP($A909,Korrelation!$D$4:$D$1197,Korrelation!H$4:H$1197,"",0),DMAV_Dienste!$F$6:$F$140,0)))</f>
        <v>0</v>
      </c>
      <c r="F909" s="57">
        <f>IF($A909="","",IF(_xlfn.XLOOKUP($A909,Korrelation!$D$4:$D$1197,Korrelation!I$4:I$1197,"-",0)="-",0,MATCH(_xlfn.XLOOKUP($A909,Korrelation!$D$4:$D$1197,Korrelation!I$4:I$1197,"",0),DMAV_Dienste!$F$6:$F$140,0)))</f>
        <v>0</v>
      </c>
      <c r="G909" s="57">
        <f>IF($A909="","",IF(_xlfn.XLOOKUP($A909,Korrelation!$D$4:$D$1197,Korrelation!J$4:J$1197,"-",0)="-",0,MATCH(_xlfn.XLOOKUP($A909,Korrelation!$D$4:$D$1197,Korrelation!J$4:J$1197,"",0),DMAV_Dienste!$F$6:$F$140,0)))</f>
        <v>0</v>
      </c>
      <c r="H909" s="57">
        <f>IF($A909="","",IF(_xlfn.XLOOKUP($A909,Korrelation!$D$4:$D$1197,Korrelation!K$4:K$1197,"-",0)="-",0,MATCH(_xlfn.XLOOKUP($A909,Korrelation!$D$4:$D$1197,Korrelation!K$4:K$1197,"",0),'DM01-AV-CH'!$A$6:$A$834,0)))</f>
        <v>325</v>
      </c>
      <c r="J909" s="54" t="str" cm="1">
        <f t="array" aca="1" ref="J909" ca="1">IF(B909=0,IF(E909=0,"",HYPERLINK("#"&amp;RIGHT(CELL("adresse",OFFSET(DMAV_Dienste!$M$6,E909-1,0)),LEN(CELL("adresse",OFFSET(DMAV_Dienste!$M$6,E909-1,0)))-FIND("]",CELL("adresse",OFFSET(DMAV_Dienste!$M$6,E909-1,0)))),"Dienst")),HYPERLINK("#"&amp;RIGHT(CELL("adresse",OFFSET(DMAV_Modell!$N$6,B909-1,0)),LEN(CELL("adresse",OFFSET(DMAV_Modell!$N$6,B909-1,0)))-FIND("]",CELL("adresse",OFFSET(DMAV_Modell!$N$6,B909-1,0)))),"Modell"))</f>
        <v/>
      </c>
      <c r="K909" s="61" t="str" cm="1">
        <f t="array" ref="K909">IF($B909=0,IF($E909=0,"",IF(INDEX(DMAV_Dienste!P$6:P$140,$E909)="","",INDEX(DMAV_Dienste!P$6:P$140,$E909))),IF(INDEX(DMAV_Modell!Q$6:Q$838,$B909)="","",INDEX(DMAV_Modell!Q$6:Q$838,$B909)))</f>
        <v/>
      </c>
      <c r="L909" s="62" t="str" cm="1">
        <f t="array" ref="L909">IF($B909=0,IF($E909=0,"",IF(INDEX(DMAV_Dienste!O$6:O$140,$E909)="","",INDEX(DMAV_Dienste!O$6:O$140,$E909))),IF(INDEX(DMAV_Modell!P$6:P$838,$B909)="","",INDEX(DMAV_Modell!P$6:P$838,$B909)))</f>
        <v/>
      </c>
      <c r="M909" s="62" t="str" cm="1">
        <f t="array" ref="M909">IF($B909=0,IF($E909=0,"",IF(INDEX(DMAV_Dienste!Q$6:Q$140,$E909)="","",INDEX(DMAV_Dienste!Q$6:Q$140,$E909))),IF(INDEX(DMAV_Modell!R$6:R$838,$B909)="","",INDEX(DMAV_Modell!R$6:R$838,$B909)))</f>
        <v/>
      </c>
      <c r="N909" s="62" t="str" cm="1">
        <f t="array" ref="N909">IF($B909=0,IF($E909=0,"",IF(INDEX(DMAV_Dienste!T$6:T$140,$E909)="","",INDEX(DMAV_Dienste!T$6:T$140,$E909))),IF(INDEX(DMAV_Modell!U$6:U$838,$B909)="","",INDEX(DMAV_Modell!U$6:U$838,$B909)))</f>
        <v/>
      </c>
      <c r="O909" s="63" t="str" cm="1">
        <f t="array" aca="1" ref="O909" ca="1">IF(C909=0,IF(F909=0,"",HYPERLINK("#"&amp;RIGHT(CELL("adresse",OFFSET(DMAV_Dienste!$M$6,F909-1,0)),LEN(CELL("adresse",OFFSET(DMAV_Dienste!$M$6,F909-1,0)))-FIND("]",CELL("adresse",OFFSET(DMAV_Dienste!$M$6,F909-1,0)))),"Structure")),HYPERLINK("#"&amp;RIGHT(CELL("adresse",OFFSET(DMAV_Modell!$N$6,C909-1,0)),LEN(CELL("adresse",OFFSET(DMAV_Modell!$N$6,C909-1,0)))-FIND("]",CELL("adresse",OFFSET(DMAV_Modell!$N$6,C909-1,0)))),"Structure"))</f>
        <v/>
      </c>
      <c r="P909" s="64" t="str" cm="1">
        <f t="array" aca="1" ref="P909" ca="1">IF(D909=0,IF(G909=0,"",HYPERLINK("#"&amp;RIGHT(CELL("adresse",OFFSET(DMAV_Dienste!$M$6,G909-1,0)),LEN(CELL("adresse",OFFSET(DMAV_Dienste!$M$6,G909-1,0)))-FIND("]",CELL("adresse",OFFSET(DMAV_Dienste!$M$6,G909-1,0)))),"Substructure")),HYPERLINK("#"&amp;RIGHT(CELL("adresse",OFFSET(DMAV_Modell!$N$6,D909-1,0)),LEN(CELL("adresse",OFFSET(DMAV_Modell!$N$6,D909-1,0)))-FIND("]",CELL("adresse",OFFSET(DMAV_Modell!$N$6,D909-1,0)))),"Substructure"))</f>
        <v/>
      </c>
      <c r="R909" s="80"/>
      <c r="T909" s="93"/>
      <c r="U909" s="94"/>
      <c r="V909" s="95" t="s">
        <v>3205</v>
      </c>
      <c r="W909" s="96"/>
      <c r="Y909" s="85" t="s">
        <v>3218</v>
      </c>
      <c r="Z909" s="86"/>
      <c r="AA909" s="87" t="s">
        <v>3070</v>
      </c>
      <c r="AB909" s="88"/>
      <c r="AD909" s="77"/>
      <c r="AF909" s="54" t="str" cm="1">
        <f t="array" aca="1" ref="AF909" ca="1">IF(H909=0,"",HYPERLINK("#"&amp;RIGHT(CELL("adresse",OFFSET('DM01-AV-CH'!$G$6,H909-1,0)),LEN(CELL("adresse",OFFSET('DM01-AV-CH'!$G$6,H909-1,0)))-FIND("]",CELL("adresse",OFFSET('DM01-AV-CH'!$G$6,H909-1,0)))),"Modell"))</f>
        <v>Modell</v>
      </c>
      <c r="AG909" s="72" t="str" cm="1">
        <f t="array" ref="AG909">IF($H909=0,"",IF(INDEX('DM01-AV-CH'!G$6:G$834,$H909)="","",INDEX('DM01-AV-CH'!G$6:G$834,$H909)))</f>
        <v>Einzelobjekte</v>
      </c>
      <c r="AH909" s="73" t="str" cm="1">
        <f t="array" ref="AH909">IF($H909=0,"",IF(INDEX('DM01-AV-CH'!H$6:H$834,$H909)="","",INDEX('DM01-AV-CH'!H$6:H$834,$H909)))</f>
        <v>Punktelement</v>
      </c>
      <c r="AI909" s="74" t="str" cm="1">
        <f t="array" ref="AI909">IF($H909=0,"",IF(INDEX('DM01-AV-CH'!I$6:I$834,$H909)="","",INDEX('DM01-AV-CH'!I$6:I$834,$H909)))</f>
        <v>Ori</v>
      </c>
    </row>
    <row r="910" spans="1:35" x14ac:dyDescent="0.25">
      <c r="A910" s="57">
        <v>905</v>
      </c>
      <c r="B910" s="57">
        <f>IF($A910="","",IF(_xlfn.XLOOKUP($A910,Korrelation!$D$4:$D$1197,Korrelation!E$4:E$1197,"-",0)="-",0,MATCH(_xlfn.XLOOKUP($A910,Korrelation!$D$4:$D$1197,Korrelation!E$4:E$1197,"",0),DMAV_Modell!$G$6:$G$677,0)))</f>
        <v>0</v>
      </c>
      <c r="C910" s="57">
        <f>IF($A910="","",IF(_xlfn.XLOOKUP($A910,Korrelation!$D$4:$D$1197,Korrelation!F$4:F$1197,"-",0)="-",0,MATCH(_xlfn.XLOOKUP($A910,Korrelation!$D$4:$D$1197,Korrelation!F$4:F$1197,"",0),DMAV_Modell!$G$6:$G$677,0)))</f>
        <v>0</v>
      </c>
      <c r="D910" s="57">
        <f>IF($A910="","",IF(_xlfn.XLOOKUP($A910,Korrelation!$D$4:$D$1197,Korrelation!G$4:G$1197,"-",0)="-",0,MATCH(_xlfn.XLOOKUP($A910,Korrelation!$D$4:$D$1197,Korrelation!G$4:G$1197,"",0),DMAV_Modell!$G$6:$G$677,0)))</f>
        <v>0</v>
      </c>
      <c r="E910" s="57">
        <f>IF($A910="","",IF(_xlfn.XLOOKUP($A910,Korrelation!$D$4:$D$1197,Korrelation!H$4:H$1197,"-",0)="-",0,MATCH(_xlfn.XLOOKUP($A910,Korrelation!$D$4:$D$1197,Korrelation!H$4:H$1197,"",0),DMAV_Dienste!$F$6:$F$140,0)))</f>
        <v>0</v>
      </c>
      <c r="F910" s="57">
        <f>IF($A910="","",IF(_xlfn.XLOOKUP($A910,Korrelation!$D$4:$D$1197,Korrelation!I$4:I$1197,"-",0)="-",0,MATCH(_xlfn.XLOOKUP($A910,Korrelation!$D$4:$D$1197,Korrelation!I$4:I$1197,"",0),DMAV_Dienste!$F$6:$F$140,0)))</f>
        <v>0</v>
      </c>
      <c r="G910" s="57">
        <f>IF($A910="","",IF(_xlfn.XLOOKUP($A910,Korrelation!$D$4:$D$1197,Korrelation!J$4:J$1197,"-",0)="-",0,MATCH(_xlfn.XLOOKUP($A910,Korrelation!$D$4:$D$1197,Korrelation!J$4:J$1197,"",0),DMAV_Dienste!$F$6:$F$140,0)))</f>
        <v>0</v>
      </c>
      <c r="H910" s="57">
        <f>IF($A910="","",IF(_xlfn.XLOOKUP($A910,Korrelation!$D$4:$D$1197,Korrelation!K$4:K$1197,"-",0)="-",0,MATCH(_xlfn.XLOOKUP($A910,Korrelation!$D$4:$D$1197,Korrelation!K$4:K$1197,"",0),'DM01-AV-CH'!$A$6:$A$834,0)))</f>
        <v>334</v>
      </c>
      <c r="J910" s="54" t="str" cm="1">
        <f t="array" aca="1" ref="J910" ca="1">IF(B910=0,IF(E910=0,"",HYPERLINK("#"&amp;RIGHT(CELL("adresse",OFFSET(DMAV_Dienste!$M$6,E910-1,0)),LEN(CELL("adresse",OFFSET(DMAV_Dienste!$M$6,E910-1,0)))-FIND("]",CELL("adresse",OFFSET(DMAV_Dienste!$M$6,E910-1,0)))),"Dienst")),HYPERLINK("#"&amp;RIGHT(CELL("adresse",OFFSET(DMAV_Modell!$N$6,B910-1,0)),LEN(CELL("adresse",OFFSET(DMAV_Modell!$N$6,B910-1,0)))-FIND("]",CELL("adresse",OFFSET(DMAV_Modell!$N$6,B910-1,0)))),"Modell"))</f>
        <v/>
      </c>
      <c r="K910" s="61" t="str" cm="1">
        <f t="array" ref="K910">IF($B910=0,IF($E910=0,"",IF(INDEX(DMAV_Dienste!P$6:P$140,$E910)="","",INDEX(DMAV_Dienste!P$6:P$140,$E910))),IF(INDEX(DMAV_Modell!Q$6:Q$838,$B910)="","",INDEX(DMAV_Modell!Q$6:Q$838,$B910)))</f>
        <v/>
      </c>
      <c r="L910" s="62" t="str" cm="1">
        <f t="array" ref="L910">IF($B910=0,IF($E910=0,"",IF(INDEX(DMAV_Dienste!O$6:O$140,$E910)="","",INDEX(DMAV_Dienste!O$6:O$140,$E910))),IF(INDEX(DMAV_Modell!P$6:P$838,$B910)="","",INDEX(DMAV_Modell!P$6:P$838,$B910)))</f>
        <v/>
      </c>
      <c r="M910" s="62" t="str" cm="1">
        <f t="array" ref="M910">IF($B910=0,IF($E910=0,"",IF(INDEX(DMAV_Dienste!Q$6:Q$140,$E910)="","",INDEX(DMAV_Dienste!Q$6:Q$140,$E910))),IF(INDEX(DMAV_Modell!R$6:R$838,$B910)="","",INDEX(DMAV_Modell!R$6:R$838,$B910)))</f>
        <v/>
      </c>
      <c r="N910" s="62" t="str" cm="1">
        <f t="array" ref="N910">IF($B910=0,IF($E910=0,"",IF(INDEX(DMAV_Dienste!T$6:T$140,$E910)="","",INDEX(DMAV_Dienste!T$6:T$140,$E910))),IF(INDEX(DMAV_Modell!U$6:U$838,$B910)="","",INDEX(DMAV_Modell!U$6:U$838,$B910)))</f>
        <v/>
      </c>
      <c r="O910" s="63" t="str" cm="1">
        <f t="array" aca="1" ref="O910" ca="1">IF(C910=0,IF(F910=0,"",HYPERLINK("#"&amp;RIGHT(CELL("adresse",OFFSET(DMAV_Dienste!$M$6,F910-1,0)),LEN(CELL("adresse",OFFSET(DMAV_Dienste!$M$6,F910-1,0)))-FIND("]",CELL("adresse",OFFSET(DMAV_Dienste!$M$6,F910-1,0)))),"Structure")),HYPERLINK("#"&amp;RIGHT(CELL("adresse",OFFSET(DMAV_Modell!$N$6,C910-1,0)),LEN(CELL("adresse",OFFSET(DMAV_Modell!$N$6,C910-1,0)))-FIND("]",CELL("adresse",OFFSET(DMAV_Modell!$N$6,C910-1,0)))),"Structure"))</f>
        <v/>
      </c>
      <c r="P910" s="64" t="str" cm="1">
        <f t="array" aca="1" ref="P910" ca="1">IF(D910=0,IF(G910=0,"",HYPERLINK("#"&amp;RIGHT(CELL("adresse",OFFSET(DMAV_Dienste!$M$6,G910-1,0)),LEN(CELL("adresse",OFFSET(DMAV_Dienste!$M$6,G910-1,0)))-FIND("]",CELL("adresse",OFFSET(DMAV_Dienste!$M$6,G910-1,0)))),"Substructure")),HYPERLINK("#"&amp;RIGHT(CELL("adresse",OFFSET(DMAV_Modell!$N$6,D910-1,0)),LEN(CELL("adresse",OFFSET(DMAV_Modell!$N$6,D910-1,0)))-FIND("]",CELL("adresse",OFFSET(DMAV_Modell!$N$6,D910-1,0)))),"Substructure"))</f>
        <v/>
      </c>
      <c r="R910" s="80"/>
      <c r="T910" s="93"/>
      <c r="U910" s="94"/>
      <c r="V910" s="95"/>
      <c r="W910" s="96"/>
      <c r="Y910" s="85"/>
      <c r="Z910" s="86"/>
      <c r="AA910" s="87"/>
      <c r="AB910" s="88"/>
      <c r="AD910" s="77"/>
      <c r="AF910" s="54" t="str" cm="1">
        <f t="array" aca="1" ref="AF910" ca="1">IF(H910=0,"",HYPERLINK("#"&amp;RIGHT(CELL("adresse",OFFSET('DM01-AV-CH'!$G$6,H910-1,0)),LEN(CELL("adresse",OFFSET('DM01-AV-CH'!$G$6,H910-1,0)))-FIND("]",CELL("adresse",OFFSET('DM01-AV-CH'!$G$6,H910-1,0)))),"Modell"))</f>
        <v>Modell</v>
      </c>
      <c r="AG910" s="72" t="str" cm="1">
        <f t="array" ref="AG910">IF($H910=0,"",IF(INDEX('DM01-AV-CH'!G$6:G$834,$H910)="","",INDEX('DM01-AV-CH'!G$6:G$834,$H910)))</f>
        <v>Einzelobjekte</v>
      </c>
      <c r="AH910" s="73" t="str" cm="1">
        <f t="array" ref="AH910">IF($H910=0,"",IF(INDEX('DM01-AV-CH'!H$6:H$834,$H910)="","",INDEX('DM01-AV-CH'!H$6:H$834,$H910)))</f>
        <v>Objektnummer</v>
      </c>
      <c r="AI910" s="74" t="str" cm="1">
        <f t="array" ref="AI910">IF($H910=0,"",IF(INDEX('DM01-AV-CH'!I$6:I$834,$H910)="","",INDEX('DM01-AV-CH'!I$6:I$834,$H910)))</f>
        <v>Objektnummer_von</v>
      </c>
    </row>
    <row r="911" spans="1:35" ht="28.5" x14ac:dyDescent="0.25">
      <c r="A911" s="57">
        <v>906</v>
      </c>
      <c r="B911" s="57">
        <f>IF($A911="","",IF(_xlfn.XLOOKUP($A911,Korrelation!$D$4:$D$1197,Korrelation!E$4:E$1197,"-",0)="-",0,MATCH(_xlfn.XLOOKUP($A911,Korrelation!$D$4:$D$1197,Korrelation!E$4:E$1197,"",0),DMAV_Modell!$G$6:$G$677,0)))</f>
        <v>525</v>
      </c>
      <c r="C911" s="57">
        <f>IF($A911="","",IF(_xlfn.XLOOKUP($A911,Korrelation!$D$4:$D$1197,Korrelation!F$4:F$1197,"-",0)="-",0,MATCH(_xlfn.XLOOKUP($A911,Korrelation!$D$4:$D$1197,Korrelation!F$4:F$1197,"",0),DMAV_Modell!$G$6:$G$677,0)))</f>
        <v>518</v>
      </c>
      <c r="D911" s="57">
        <f>IF($A911="","",IF(_xlfn.XLOOKUP($A911,Korrelation!$D$4:$D$1197,Korrelation!G$4:G$1197,"-",0)="-",0,MATCH(_xlfn.XLOOKUP($A911,Korrelation!$D$4:$D$1197,Korrelation!G$4:G$1197,"",0),DMAV_Modell!$G$6:$G$677,0)))</f>
        <v>0</v>
      </c>
      <c r="E911" s="57">
        <f>IF($A911="","",IF(_xlfn.XLOOKUP($A911,Korrelation!$D$4:$D$1197,Korrelation!H$4:H$1197,"-",0)="-",0,MATCH(_xlfn.XLOOKUP($A911,Korrelation!$D$4:$D$1197,Korrelation!H$4:H$1197,"",0),DMAV_Dienste!$F$6:$F$140,0)))</f>
        <v>0</v>
      </c>
      <c r="F911" s="57">
        <f>IF($A911="","",IF(_xlfn.XLOOKUP($A911,Korrelation!$D$4:$D$1197,Korrelation!I$4:I$1197,"-",0)="-",0,MATCH(_xlfn.XLOOKUP($A911,Korrelation!$D$4:$D$1197,Korrelation!I$4:I$1197,"",0),DMAV_Dienste!$F$6:$F$140,0)))</f>
        <v>0</v>
      </c>
      <c r="G911" s="57">
        <f>IF($A911="","",IF(_xlfn.XLOOKUP($A911,Korrelation!$D$4:$D$1197,Korrelation!J$4:J$1197,"-",0)="-",0,MATCH(_xlfn.XLOOKUP($A911,Korrelation!$D$4:$D$1197,Korrelation!J$4:J$1197,"",0),DMAV_Dienste!$F$6:$F$140,0)))</f>
        <v>0</v>
      </c>
      <c r="H911" s="57">
        <f>IF($A911="","",IF(_xlfn.XLOOKUP($A911,Korrelation!$D$4:$D$1197,Korrelation!K$4:K$1197,"-",0)="-",0,MATCH(_xlfn.XLOOKUP($A911,Korrelation!$D$4:$D$1197,Korrelation!K$4:K$1197,"",0),'DM01-AV-CH'!$A$6:$A$834,0)))</f>
        <v>335</v>
      </c>
      <c r="J911" s="54" t="str" cm="1">
        <f t="array" aca="1" ref="J911" ca="1">IF(B911=0,IF(E911=0,"",HYPERLINK("#"&amp;RIGHT(CELL("adresse",OFFSET(DMAV_Dienste!$M$6,E911-1,0)),LEN(CELL("adresse",OFFSET(DMAV_Dienste!$M$6,E911-1,0)))-FIND("]",CELL("adresse",OFFSET(DMAV_Dienste!$M$6,E911-1,0)))),"Dienst")),HYPERLINK("#"&amp;RIGHT(CELL("adresse",OFFSET(DMAV_Modell!$N$6,B911-1,0)),LEN(CELL("adresse",OFFSET(DMAV_Modell!$N$6,B911-1,0)))-FIND("]",CELL("adresse",OFFSET(DMAV_Modell!$N$6,B911-1,0)))),"Modell"))</f>
        <v>Modell</v>
      </c>
      <c r="K911" s="61" t="str" cm="1">
        <f t="array" ref="K911">IF($B911=0,IF($E911=0,"",IF(INDEX(DMAV_Dienste!P$6:P$140,$E911)="","",INDEX(DMAV_Dienste!P$6:P$140,$E911))),IF(INDEX(DMAV_Modell!Q$6:Q$838,$B911)="","",INDEX(DMAV_Modell!Q$6:Q$838,$B911)))</f>
        <v>CLASS</v>
      </c>
      <c r="L911" s="62" t="str" cm="1">
        <f t="array" ref="L911">IF($B911=0,IF($E911=0,"",IF(INDEX(DMAV_Dienste!O$6:O$140,$E911)="","",INDEX(DMAV_Dienste!O$6:O$140,$E911))),IF(INDEX(DMAV_Modell!P$6:P$838,$B911)="","",INDEX(DMAV_Modell!P$6:P$838,$B911)))</f>
        <v>Einzelobjekte</v>
      </c>
      <c r="M911" s="62" t="str" cm="1">
        <f t="array" ref="M911">IF($B911=0,IF($E911=0,"",IF(INDEX(DMAV_Dienste!Q$6:Q$140,$E911)="","",INDEX(DMAV_Dienste!Q$6:Q$140,$E911))),IF(INDEX(DMAV_Modell!R$6:R$838,$B911)="","",INDEX(DMAV_Modell!R$6:R$838,$B911)))</f>
        <v>Einzelobjekt</v>
      </c>
      <c r="N911" s="62" t="str" cm="1">
        <f t="array" ref="N911">IF($B911=0,IF($E911=0,"",IF(INDEX(DMAV_Dienste!T$6:T$140,$E911)="","",INDEX(DMAV_Dienste!T$6:T$140,$E911))),IF(INDEX(DMAV_Modell!U$6:U$838,$B911)="","",INDEX(DMAV_Modell!U$6:U$838,$B911)))</f>
        <v>Objektnummer</v>
      </c>
      <c r="O911" s="63" t="str" cm="1">
        <f t="array" aca="1" ref="O911" ca="1">IF(C911=0,IF(F911=0,"",HYPERLINK("#"&amp;RIGHT(CELL("adresse",OFFSET(DMAV_Dienste!$M$6,F911-1,0)),LEN(CELL("adresse",OFFSET(DMAV_Dienste!$M$6,F911-1,0)))-FIND("]",CELL("adresse",OFFSET(DMAV_Dienste!$M$6,F911-1,0)))),"Structure")),HYPERLINK("#"&amp;RIGHT(CELL("adresse",OFFSET(DMAV_Modell!$N$6,C911-1,0)),LEN(CELL("adresse",OFFSET(DMAV_Modell!$N$6,C911-1,0)))-FIND("]",CELL("adresse",OFFSET(DMAV_Modell!$N$6,C911-1,0)))),"Structure"))</f>
        <v>Structure</v>
      </c>
      <c r="P911" s="64" t="str" cm="1">
        <f t="array" aca="1" ref="P911" ca="1">IF(D911=0,IF(G911=0,"",HYPERLINK("#"&amp;RIGHT(CELL("adresse",OFFSET(DMAV_Dienste!$M$6,G911-1,0)),LEN(CELL("adresse",OFFSET(DMAV_Dienste!$M$6,G911-1,0)))-FIND("]",CELL("adresse",OFFSET(DMAV_Dienste!$M$6,G911-1,0)))),"Substructure")),HYPERLINK("#"&amp;RIGHT(CELL("adresse",OFFSET(DMAV_Modell!$N$6,D911-1,0)),LEN(CELL("adresse",OFFSET(DMAV_Modell!$N$6,D911-1,0)))-FIND("]",CELL("adresse",OFFSET(DMAV_Modell!$N$6,D911-1,0)))),"Substructure"))</f>
        <v/>
      </c>
      <c r="R911" s="80"/>
      <c r="T911" s="93"/>
      <c r="U911" s="94"/>
      <c r="V911" s="95" t="s">
        <v>3206</v>
      </c>
      <c r="W911" s="96"/>
      <c r="Y911" s="85" t="s">
        <v>3218</v>
      </c>
      <c r="Z911" s="86"/>
      <c r="AA911" s="87" t="s">
        <v>3071</v>
      </c>
      <c r="AB911" s="88"/>
      <c r="AD911" s="77"/>
      <c r="AF911" s="54" t="str" cm="1">
        <f t="array" aca="1" ref="AF911" ca="1">IF(H911=0,"",HYPERLINK("#"&amp;RIGHT(CELL("adresse",OFFSET('DM01-AV-CH'!$G$6,H911-1,0)),LEN(CELL("adresse",OFFSET('DM01-AV-CH'!$G$6,H911-1,0)))-FIND("]",CELL("adresse",OFFSET('DM01-AV-CH'!$G$6,H911-1,0)))),"Modell"))</f>
        <v>Modell</v>
      </c>
      <c r="AG911" s="72" t="str" cm="1">
        <f t="array" ref="AG911">IF($H911=0,"",IF(INDEX('DM01-AV-CH'!G$6:G$834,$H911)="","",INDEX('DM01-AV-CH'!G$6:G$834,$H911)))</f>
        <v>Einzelobjekte</v>
      </c>
      <c r="AH911" s="73" t="str" cm="1">
        <f t="array" ref="AH911">IF($H911=0,"",IF(INDEX('DM01-AV-CH'!H$6:H$834,$H911)="","",INDEX('DM01-AV-CH'!H$6:H$834,$H911)))</f>
        <v>Objektnummer</v>
      </c>
      <c r="AI911" s="74" t="str" cm="1">
        <f t="array" ref="AI911">IF($H911=0,"",IF(INDEX('DM01-AV-CH'!I$6:I$834,$H911)="","",INDEX('DM01-AV-CH'!I$6:I$834,$H911)))</f>
        <v>Nummer</v>
      </c>
    </row>
    <row r="912" spans="1:35" x14ac:dyDescent="0.25">
      <c r="A912" s="57">
        <v>907</v>
      </c>
      <c r="B912" s="57">
        <f>IF($A912="","",IF(_xlfn.XLOOKUP($A912,Korrelation!$D$4:$D$1197,Korrelation!E$4:E$1197,"-",0)="-",0,MATCH(_xlfn.XLOOKUP($A912,Korrelation!$D$4:$D$1197,Korrelation!E$4:E$1197,"",0),DMAV_Modell!$G$6:$G$677,0)))</f>
        <v>0</v>
      </c>
      <c r="C912" s="57">
        <f>IF($A912="","",IF(_xlfn.XLOOKUP($A912,Korrelation!$D$4:$D$1197,Korrelation!F$4:F$1197,"-",0)="-",0,MATCH(_xlfn.XLOOKUP($A912,Korrelation!$D$4:$D$1197,Korrelation!F$4:F$1197,"",0),DMAV_Modell!$G$6:$G$677,0)))</f>
        <v>0</v>
      </c>
      <c r="D912" s="57">
        <f>IF($A912="","",IF(_xlfn.XLOOKUP($A912,Korrelation!$D$4:$D$1197,Korrelation!G$4:G$1197,"-",0)="-",0,MATCH(_xlfn.XLOOKUP($A912,Korrelation!$D$4:$D$1197,Korrelation!G$4:G$1197,"",0),DMAV_Modell!$G$6:$G$677,0)))</f>
        <v>0</v>
      </c>
      <c r="E912" s="57">
        <f>IF($A912="","",IF(_xlfn.XLOOKUP($A912,Korrelation!$D$4:$D$1197,Korrelation!H$4:H$1197,"-",0)="-",0,MATCH(_xlfn.XLOOKUP($A912,Korrelation!$D$4:$D$1197,Korrelation!H$4:H$1197,"",0),DMAV_Dienste!$F$6:$F$140,0)))</f>
        <v>0</v>
      </c>
      <c r="F912" s="57">
        <f>IF($A912="","",IF(_xlfn.XLOOKUP($A912,Korrelation!$D$4:$D$1197,Korrelation!I$4:I$1197,"-",0)="-",0,MATCH(_xlfn.XLOOKUP($A912,Korrelation!$D$4:$D$1197,Korrelation!I$4:I$1197,"",0),DMAV_Dienste!$F$6:$F$140,0)))</f>
        <v>0</v>
      </c>
      <c r="G912" s="57">
        <f>IF($A912="","",IF(_xlfn.XLOOKUP($A912,Korrelation!$D$4:$D$1197,Korrelation!J$4:J$1197,"-",0)="-",0,MATCH(_xlfn.XLOOKUP($A912,Korrelation!$D$4:$D$1197,Korrelation!J$4:J$1197,"",0),DMAV_Dienste!$F$6:$F$140,0)))</f>
        <v>0</v>
      </c>
      <c r="H912" s="57">
        <f>IF($A912="","",IF(_xlfn.XLOOKUP($A912,Korrelation!$D$4:$D$1197,Korrelation!K$4:K$1197,"-",0)="-",0,MATCH(_xlfn.XLOOKUP($A912,Korrelation!$D$4:$D$1197,Korrelation!K$4:K$1197,"",0),'DM01-AV-CH'!$A$6:$A$834,0)))</f>
        <v>337</v>
      </c>
      <c r="J912" s="54" t="str" cm="1">
        <f t="array" aca="1" ref="J912" ca="1">IF(B912=0,IF(E912=0,"",HYPERLINK("#"&amp;RIGHT(CELL("adresse",OFFSET(DMAV_Dienste!$M$6,E912-1,0)),LEN(CELL("adresse",OFFSET(DMAV_Dienste!$M$6,E912-1,0)))-FIND("]",CELL("adresse",OFFSET(DMAV_Dienste!$M$6,E912-1,0)))),"Dienst")),HYPERLINK("#"&amp;RIGHT(CELL("adresse",OFFSET(DMAV_Modell!$N$6,B912-1,0)),LEN(CELL("adresse",OFFSET(DMAV_Modell!$N$6,B912-1,0)))-FIND("]",CELL("adresse",OFFSET(DMAV_Modell!$N$6,B912-1,0)))),"Modell"))</f>
        <v/>
      </c>
      <c r="K912" s="61" t="str" cm="1">
        <f t="array" ref="K912">IF($B912=0,IF($E912=0,"",IF(INDEX(DMAV_Dienste!P$6:P$140,$E912)="","",INDEX(DMAV_Dienste!P$6:P$140,$E912))),IF(INDEX(DMAV_Modell!Q$6:Q$838,$B912)="","",INDEX(DMAV_Modell!Q$6:Q$838,$B912)))</f>
        <v/>
      </c>
      <c r="L912" s="62" t="str" cm="1">
        <f t="array" ref="L912">IF($B912=0,IF($E912=0,"",IF(INDEX(DMAV_Dienste!O$6:O$140,$E912)="","",INDEX(DMAV_Dienste!O$6:O$140,$E912))),IF(INDEX(DMAV_Modell!P$6:P$838,$B912)="","",INDEX(DMAV_Modell!P$6:P$838,$B912)))</f>
        <v/>
      </c>
      <c r="M912" s="62" t="str" cm="1">
        <f t="array" ref="M912">IF($B912=0,IF($E912=0,"",IF(INDEX(DMAV_Dienste!Q$6:Q$140,$E912)="","",INDEX(DMAV_Dienste!Q$6:Q$140,$E912))),IF(INDEX(DMAV_Modell!R$6:R$838,$B912)="","",INDEX(DMAV_Modell!R$6:R$838,$B912)))</f>
        <v/>
      </c>
      <c r="N912" s="62" t="str" cm="1">
        <f t="array" ref="N912">IF($B912=0,IF($E912=0,"",IF(INDEX(DMAV_Dienste!T$6:T$140,$E912)="","",INDEX(DMAV_Dienste!T$6:T$140,$E912))),IF(INDEX(DMAV_Modell!U$6:U$838,$B912)="","",INDEX(DMAV_Modell!U$6:U$838,$B912)))</f>
        <v/>
      </c>
      <c r="O912" s="63" t="str" cm="1">
        <f t="array" aca="1" ref="O912" ca="1">IF(C912=0,IF(F912=0,"",HYPERLINK("#"&amp;RIGHT(CELL("adresse",OFFSET(DMAV_Dienste!$M$6,F912-1,0)),LEN(CELL("adresse",OFFSET(DMAV_Dienste!$M$6,F912-1,0)))-FIND("]",CELL("adresse",OFFSET(DMAV_Dienste!$M$6,F912-1,0)))),"Structure")),HYPERLINK("#"&amp;RIGHT(CELL("adresse",OFFSET(DMAV_Modell!$N$6,C912-1,0)),LEN(CELL("adresse",OFFSET(DMAV_Modell!$N$6,C912-1,0)))-FIND("]",CELL("adresse",OFFSET(DMAV_Modell!$N$6,C912-1,0)))),"Structure"))</f>
        <v/>
      </c>
      <c r="P912" s="64" t="str" cm="1">
        <f t="array" aca="1" ref="P912" ca="1">IF(D912=0,IF(G912=0,"",HYPERLINK("#"&amp;RIGHT(CELL("adresse",OFFSET(DMAV_Dienste!$M$6,G912-1,0)),LEN(CELL("adresse",OFFSET(DMAV_Dienste!$M$6,G912-1,0)))-FIND("]",CELL("adresse",OFFSET(DMAV_Dienste!$M$6,G912-1,0)))),"Substructure")),HYPERLINK("#"&amp;RIGHT(CELL("adresse",OFFSET(DMAV_Modell!$N$6,D912-1,0)),LEN(CELL("adresse",OFFSET(DMAV_Modell!$N$6,D912-1,0)))-FIND("]",CELL("adresse",OFFSET(DMAV_Modell!$N$6,D912-1,0)))),"Substructure"))</f>
        <v/>
      </c>
      <c r="R912" s="80"/>
      <c r="T912" s="93"/>
      <c r="U912" s="94"/>
      <c r="V912" s="95"/>
      <c r="W912" s="96"/>
      <c r="Y912" s="85"/>
      <c r="Z912" s="86"/>
      <c r="AA912" s="87"/>
      <c r="AB912" s="88"/>
      <c r="AD912" s="77"/>
      <c r="AF912" s="54" t="str" cm="1">
        <f t="array" aca="1" ref="AF912" ca="1">IF(H912=0,"",HYPERLINK("#"&amp;RIGHT(CELL("adresse",OFFSET('DM01-AV-CH'!$G$6,H912-1,0)),LEN(CELL("adresse",OFFSET('DM01-AV-CH'!$G$6,H912-1,0)))-FIND("]",CELL("adresse",OFFSET('DM01-AV-CH'!$G$6,H912-1,0)))),"Modell"))</f>
        <v>Modell</v>
      </c>
      <c r="AG912" s="72" t="str" cm="1">
        <f t="array" ref="AG912">IF($H912=0,"",IF(INDEX('DM01-AV-CH'!G$6:G$834,$H912)="","",INDEX('DM01-AV-CH'!G$6:G$834,$H912)))</f>
        <v>Einzelobjekte</v>
      </c>
      <c r="AH912" s="73" t="str" cm="1">
        <f t="array" ref="AH912">IF($H912=0,"",IF(INDEX('DM01-AV-CH'!H$6:H$834,$H912)="","",INDEX('DM01-AV-CH'!H$6:H$834,$H912)))</f>
        <v>ObjektnummerPos</v>
      </c>
      <c r="AI912" s="74" t="str" cm="1">
        <f t="array" ref="AI912">IF($H912=0,"",IF(INDEX('DM01-AV-CH'!I$6:I$834,$H912)="","",INDEX('DM01-AV-CH'!I$6:I$834,$H912)))</f>
        <v>ObjektnummerPos_von</v>
      </c>
    </row>
    <row r="913" spans="1:35" ht="42.75" x14ac:dyDescent="0.25">
      <c r="A913" s="57">
        <v>908</v>
      </c>
      <c r="B913" s="57">
        <f>IF($A913="","",IF(_xlfn.XLOOKUP($A913,Korrelation!$D$4:$D$1197,Korrelation!E$4:E$1197,"-",0)="-",0,MATCH(_xlfn.XLOOKUP($A913,Korrelation!$D$4:$D$1197,Korrelation!E$4:E$1197,"",0),DMAV_Modell!$G$6:$G$677,0)))</f>
        <v>525</v>
      </c>
      <c r="C913" s="57">
        <f>IF($A913="","",IF(_xlfn.XLOOKUP($A913,Korrelation!$D$4:$D$1197,Korrelation!F$4:F$1197,"-",0)="-",0,MATCH(_xlfn.XLOOKUP($A913,Korrelation!$D$4:$D$1197,Korrelation!F$4:F$1197,"",0),DMAV_Modell!$G$6:$G$677,0)))</f>
        <v>518</v>
      </c>
      <c r="D913" s="57">
        <f>IF($A913="","",IF(_xlfn.XLOOKUP($A913,Korrelation!$D$4:$D$1197,Korrelation!G$4:G$1197,"-",0)="-",0,MATCH(_xlfn.XLOOKUP($A913,Korrelation!$D$4:$D$1197,Korrelation!G$4:G$1197,"",0),DMAV_Modell!$G$6:$G$677,0)))</f>
        <v>26</v>
      </c>
      <c r="E913" s="57">
        <f>IF($A913="","",IF(_xlfn.XLOOKUP($A913,Korrelation!$D$4:$D$1197,Korrelation!H$4:H$1197,"-",0)="-",0,MATCH(_xlfn.XLOOKUP($A913,Korrelation!$D$4:$D$1197,Korrelation!H$4:H$1197,"",0),DMAV_Dienste!$F$6:$F$140,0)))</f>
        <v>0</v>
      </c>
      <c r="F913" s="57">
        <f>IF($A913="","",IF(_xlfn.XLOOKUP($A913,Korrelation!$D$4:$D$1197,Korrelation!I$4:I$1197,"-",0)="-",0,MATCH(_xlfn.XLOOKUP($A913,Korrelation!$D$4:$D$1197,Korrelation!I$4:I$1197,"",0),DMAV_Dienste!$F$6:$F$140,0)))</f>
        <v>0</v>
      </c>
      <c r="G913" s="57">
        <f>IF($A913="","",IF(_xlfn.XLOOKUP($A913,Korrelation!$D$4:$D$1197,Korrelation!J$4:J$1197,"-",0)="-",0,MATCH(_xlfn.XLOOKUP($A913,Korrelation!$D$4:$D$1197,Korrelation!J$4:J$1197,"",0),DMAV_Dienste!$F$6:$F$140,0)))</f>
        <v>0</v>
      </c>
      <c r="H913" s="57">
        <f>IF($A913="","",IF(_xlfn.XLOOKUP($A913,Korrelation!$D$4:$D$1197,Korrelation!K$4:K$1197,"-",0)="-",0,MATCH(_xlfn.XLOOKUP($A913,Korrelation!$D$4:$D$1197,Korrelation!K$4:K$1197,"",0),'DM01-AV-CH'!$A$6:$A$834,0)))</f>
        <v>338</v>
      </c>
      <c r="J913" s="54" t="str" cm="1">
        <f t="array" aca="1" ref="J913" ca="1">IF(B913=0,IF(E913=0,"",HYPERLINK("#"&amp;RIGHT(CELL("adresse",OFFSET(DMAV_Dienste!$M$6,E913-1,0)),LEN(CELL("adresse",OFFSET(DMAV_Dienste!$M$6,E913-1,0)))-FIND("]",CELL("adresse",OFFSET(DMAV_Dienste!$M$6,E913-1,0)))),"Dienst")),HYPERLINK("#"&amp;RIGHT(CELL("adresse",OFFSET(DMAV_Modell!$N$6,B913-1,0)),LEN(CELL("adresse",OFFSET(DMAV_Modell!$N$6,B913-1,0)))-FIND("]",CELL("adresse",OFFSET(DMAV_Modell!$N$6,B913-1,0)))),"Modell"))</f>
        <v>Modell</v>
      </c>
      <c r="K913" s="61" t="str" cm="1">
        <f t="array" ref="K913">IF($B913=0,IF($E913=0,"",IF(INDEX(DMAV_Dienste!P$6:P$140,$E913)="","",INDEX(DMAV_Dienste!P$6:P$140,$E913))),IF(INDEX(DMAV_Modell!Q$6:Q$838,$B913)="","",INDEX(DMAV_Modell!Q$6:Q$838,$B913)))</f>
        <v>CLASS</v>
      </c>
      <c r="L913" s="62" t="str" cm="1">
        <f t="array" ref="L913">IF($B913=0,IF($E913=0,"",IF(INDEX(DMAV_Dienste!O$6:O$140,$E913)="","",INDEX(DMAV_Dienste!O$6:O$140,$E913))),IF(INDEX(DMAV_Modell!P$6:P$838,$B913)="","",INDEX(DMAV_Modell!P$6:P$838,$B913)))</f>
        <v>Einzelobjekte</v>
      </c>
      <c r="M913" s="62" t="str" cm="1">
        <f t="array" ref="M913">IF($B913=0,IF($E913=0,"",IF(INDEX(DMAV_Dienste!Q$6:Q$140,$E913)="","",INDEX(DMAV_Dienste!Q$6:Q$140,$E913))),IF(INDEX(DMAV_Modell!R$6:R$838,$B913)="","",INDEX(DMAV_Modell!R$6:R$838,$B913)))</f>
        <v>Einzelobjekt</v>
      </c>
      <c r="N913" s="62" t="str" cm="1">
        <f t="array" ref="N913">IF($B913=0,IF($E913=0,"",IF(INDEX(DMAV_Dienste!T$6:T$140,$E913)="","",INDEX(DMAV_Dienste!T$6:T$140,$E913))),IF(INDEX(DMAV_Modell!U$6:U$838,$B913)="","",INDEX(DMAV_Modell!U$6:U$838,$B913)))</f>
        <v>Objektnummer</v>
      </c>
      <c r="O913" s="63" t="str" cm="1">
        <f t="array" aca="1" ref="O913" ca="1">IF(C913=0,IF(F913=0,"",HYPERLINK("#"&amp;RIGHT(CELL("adresse",OFFSET(DMAV_Dienste!$M$6,F913-1,0)),LEN(CELL("adresse",OFFSET(DMAV_Dienste!$M$6,F913-1,0)))-FIND("]",CELL("adresse",OFFSET(DMAV_Dienste!$M$6,F913-1,0)))),"Structure")),HYPERLINK("#"&amp;RIGHT(CELL("adresse",OFFSET(DMAV_Modell!$N$6,C913-1,0)),LEN(CELL("adresse",OFFSET(DMAV_Modell!$N$6,C913-1,0)))-FIND("]",CELL("adresse",OFFSET(DMAV_Modell!$N$6,C913-1,0)))),"Structure"))</f>
        <v>Structure</v>
      </c>
      <c r="P913" s="64" t="str" cm="1">
        <f t="array" aca="1" ref="P913" ca="1">IF(D913=0,IF(G913=0,"",HYPERLINK("#"&amp;RIGHT(CELL("adresse",OFFSET(DMAV_Dienste!$M$6,G913-1,0)),LEN(CELL("adresse",OFFSET(DMAV_Dienste!$M$6,G913-1,0)))-FIND("]",CELL("adresse",OFFSET(DMAV_Dienste!$M$6,G913-1,0)))),"Substructure")),HYPERLINK("#"&amp;RIGHT(CELL("adresse",OFFSET(DMAV_Modell!$N$6,D913-1,0)),LEN(CELL("adresse",OFFSET(DMAV_Modell!$N$6,D913-1,0)))-FIND("]",CELL("adresse",OFFSET(DMAV_Modell!$N$6,D913-1,0)))),"Substructure"))</f>
        <v>Substructure</v>
      </c>
      <c r="R913" s="80"/>
      <c r="T913" s="93"/>
      <c r="U913" s="94"/>
      <c r="V913" s="95" t="s">
        <v>3207</v>
      </c>
      <c r="W913" s="96"/>
      <c r="Y913" s="85" t="s">
        <v>3218</v>
      </c>
      <c r="Z913" s="86"/>
      <c r="AA913" s="87" t="s">
        <v>3072</v>
      </c>
      <c r="AB913" s="88"/>
      <c r="AD913" s="77"/>
      <c r="AF913" s="54" t="str" cm="1">
        <f t="array" aca="1" ref="AF913" ca="1">IF(H913=0,"",HYPERLINK("#"&amp;RIGHT(CELL("adresse",OFFSET('DM01-AV-CH'!$G$6,H913-1,0)),LEN(CELL("adresse",OFFSET('DM01-AV-CH'!$G$6,H913-1,0)))-FIND("]",CELL("adresse",OFFSET('DM01-AV-CH'!$G$6,H913-1,0)))),"Modell"))</f>
        <v>Modell</v>
      </c>
      <c r="AG913" s="72" t="str" cm="1">
        <f t="array" ref="AG913">IF($H913=0,"",IF(INDEX('DM01-AV-CH'!G$6:G$834,$H913)="","",INDEX('DM01-AV-CH'!G$6:G$834,$H913)))</f>
        <v>Einzelobjekte</v>
      </c>
      <c r="AH913" s="73" t="str" cm="1">
        <f t="array" ref="AH913">IF($H913=0,"",IF(INDEX('DM01-AV-CH'!H$6:H$834,$H913)="","",INDEX('DM01-AV-CH'!H$6:H$834,$H913)))</f>
        <v>ObjektnummerPos</v>
      </c>
      <c r="AI913" s="74" t="str" cm="1">
        <f t="array" ref="AI913">IF($H913=0,"",IF(INDEX('DM01-AV-CH'!I$6:I$834,$H913)="","",INDEX('DM01-AV-CH'!I$6:I$834,$H913)))</f>
        <v>Pos</v>
      </c>
    </row>
    <row r="914" spans="1:35" ht="42.75" x14ac:dyDescent="0.25">
      <c r="A914" s="57">
        <v>909</v>
      </c>
      <c r="B914" s="57">
        <f>IF($A914="","",IF(_xlfn.XLOOKUP($A914,Korrelation!$D$4:$D$1197,Korrelation!E$4:E$1197,"-",0)="-",0,MATCH(_xlfn.XLOOKUP($A914,Korrelation!$D$4:$D$1197,Korrelation!E$4:E$1197,"",0),DMAV_Modell!$G$6:$G$677,0)))</f>
        <v>525</v>
      </c>
      <c r="C914" s="57">
        <f>IF($A914="","",IF(_xlfn.XLOOKUP($A914,Korrelation!$D$4:$D$1197,Korrelation!F$4:F$1197,"-",0)="-",0,MATCH(_xlfn.XLOOKUP($A914,Korrelation!$D$4:$D$1197,Korrelation!F$4:F$1197,"",0),DMAV_Modell!$G$6:$G$677,0)))</f>
        <v>518</v>
      </c>
      <c r="D914" s="57">
        <f>IF($A914="","",IF(_xlfn.XLOOKUP($A914,Korrelation!$D$4:$D$1197,Korrelation!G$4:G$1197,"-",0)="-",0,MATCH(_xlfn.XLOOKUP($A914,Korrelation!$D$4:$D$1197,Korrelation!G$4:G$1197,"",0),DMAV_Modell!$G$6:$G$677,0)))</f>
        <v>27</v>
      </c>
      <c r="E914" s="57">
        <f>IF($A914="","",IF(_xlfn.XLOOKUP($A914,Korrelation!$D$4:$D$1197,Korrelation!H$4:H$1197,"-",0)="-",0,MATCH(_xlfn.XLOOKUP($A914,Korrelation!$D$4:$D$1197,Korrelation!H$4:H$1197,"",0),DMAV_Dienste!$F$6:$F$140,0)))</f>
        <v>0</v>
      </c>
      <c r="F914" s="57">
        <f>IF($A914="","",IF(_xlfn.XLOOKUP($A914,Korrelation!$D$4:$D$1197,Korrelation!I$4:I$1197,"-",0)="-",0,MATCH(_xlfn.XLOOKUP($A914,Korrelation!$D$4:$D$1197,Korrelation!I$4:I$1197,"",0),DMAV_Dienste!$F$6:$F$140,0)))</f>
        <v>0</v>
      </c>
      <c r="G914" s="57">
        <f>IF($A914="","",IF(_xlfn.XLOOKUP($A914,Korrelation!$D$4:$D$1197,Korrelation!J$4:J$1197,"-",0)="-",0,MATCH(_xlfn.XLOOKUP($A914,Korrelation!$D$4:$D$1197,Korrelation!J$4:J$1197,"",0),DMAV_Dienste!$F$6:$F$140,0)))</f>
        <v>0</v>
      </c>
      <c r="H914" s="57">
        <f>IF($A914="","",IF(_xlfn.XLOOKUP($A914,Korrelation!$D$4:$D$1197,Korrelation!K$4:K$1197,"-",0)="-",0,MATCH(_xlfn.XLOOKUP($A914,Korrelation!$D$4:$D$1197,Korrelation!K$4:K$1197,"",0),'DM01-AV-CH'!$A$6:$A$834,0)))</f>
        <v>339</v>
      </c>
      <c r="J914" s="54" t="str" cm="1">
        <f t="array" aca="1" ref="J914" ca="1">IF(B914=0,IF(E914=0,"",HYPERLINK("#"&amp;RIGHT(CELL("adresse",OFFSET(DMAV_Dienste!$M$6,E914-1,0)),LEN(CELL("adresse",OFFSET(DMAV_Dienste!$M$6,E914-1,0)))-FIND("]",CELL("adresse",OFFSET(DMAV_Dienste!$M$6,E914-1,0)))),"Dienst")),HYPERLINK("#"&amp;RIGHT(CELL("adresse",OFFSET(DMAV_Modell!$N$6,B914-1,0)),LEN(CELL("adresse",OFFSET(DMAV_Modell!$N$6,B914-1,0)))-FIND("]",CELL("adresse",OFFSET(DMAV_Modell!$N$6,B914-1,0)))),"Modell"))</f>
        <v>Modell</v>
      </c>
      <c r="K914" s="61" t="str" cm="1">
        <f t="array" ref="K914">IF($B914=0,IF($E914=0,"",IF(INDEX(DMAV_Dienste!P$6:P$140,$E914)="","",INDEX(DMAV_Dienste!P$6:P$140,$E914))),IF(INDEX(DMAV_Modell!Q$6:Q$838,$B914)="","",INDEX(DMAV_Modell!Q$6:Q$838,$B914)))</f>
        <v>CLASS</v>
      </c>
      <c r="L914" s="62" t="str" cm="1">
        <f t="array" ref="L914">IF($B914=0,IF($E914=0,"",IF(INDEX(DMAV_Dienste!O$6:O$140,$E914)="","",INDEX(DMAV_Dienste!O$6:O$140,$E914))),IF(INDEX(DMAV_Modell!P$6:P$838,$B914)="","",INDEX(DMAV_Modell!P$6:P$838,$B914)))</f>
        <v>Einzelobjekte</v>
      </c>
      <c r="M914" s="62" t="str" cm="1">
        <f t="array" ref="M914">IF($B914=0,IF($E914=0,"",IF(INDEX(DMAV_Dienste!Q$6:Q$140,$E914)="","",INDEX(DMAV_Dienste!Q$6:Q$140,$E914))),IF(INDEX(DMAV_Modell!R$6:R$838,$B914)="","",INDEX(DMAV_Modell!R$6:R$838,$B914)))</f>
        <v>Einzelobjekt</v>
      </c>
      <c r="N914" s="62" t="str" cm="1">
        <f t="array" ref="N914">IF($B914=0,IF($E914=0,"",IF(INDEX(DMAV_Dienste!T$6:T$140,$E914)="","",INDEX(DMAV_Dienste!T$6:T$140,$E914))),IF(INDEX(DMAV_Modell!U$6:U$838,$B914)="","",INDEX(DMAV_Modell!U$6:U$838,$B914)))</f>
        <v>Objektnummer</v>
      </c>
      <c r="O914" s="63" t="str" cm="1">
        <f t="array" aca="1" ref="O914" ca="1">IF(C914=0,IF(F914=0,"",HYPERLINK("#"&amp;RIGHT(CELL("adresse",OFFSET(DMAV_Dienste!$M$6,F914-1,0)),LEN(CELL("adresse",OFFSET(DMAV_Dienste!$M$6,F914-1,0)))-FIND("]",CELL("adresse",OFFSET(DMAV_Dienste!$M$6,F914-1,0)))),"Structure")),HYPERLINK("#"&amp;RIGHT(CELL("adresse",OFFSET(DMAV_Modell!$N$6,C914-1,0)),LEN(CELL("adresse",OFFSET(DMAV_Modell!$N$6,C914-1,0)))-FIND("]",CELL("adresse",OFFSET(DMAV_Modell!$N$6,C914-1,0)))),"Structure"))</f>
        <v>Structure</v>
      </c>
      <c r="P914" s="64" t="str" cm="1">
        <f t="array" aca="1" ref="P914" ca="1">IF(D914=0,IF(G914=0,"",HYPERLINK("#"&amp;RIGHT(CELL("adresse",OFFSET(DMAV_Dienste!$M$6,G914-1,0)),LEN(CELL("adresse",OFFSET(DMAV_Dienste!$M$6,G914-1,0)))-FIND("]",CELL("adresse",OFFSET(DMAV_Dienste!$M$6,G914-1,0)))),"Substructure")),HYPERLINK("#"&amp;RIGHT(CELL("adresse",OFFSET(DMAV_Modell!$N$6,D914-1,0)),LEN(CELL("adresse",OFFSET(DMAV_Modell!$N$6,D914-1,0)))-FIND("]",CELL("adresse",OFFSET(DMAV_Modell!$N$6,D914-1,0)))),"Substructure"))</f>
        <v>Substructure</v>
      </c>
      <c r="R914" s="80"/>
      <c r="T914" s="93"/>
      <c r="U914" s="94"/>
      <c r="V914" s="95" t="s">
        <v>3208</v>
      </c>
      <c r="W914" s="96"/>
      <c r="Y914" s="85" t="s">
        <v>3218</v>
      </c>
      <c r="Z914" s="86"/>
      <c r="AA914" s="87" t="s">
        <v>3073</v>
      </c>
      <c r="AB914" s="88"/>
      <c r="AD914" s="77"/>
      <c r="AF914" s="54" t="str" cm="1">
        <f t="array" aca="1" ref="AF914" ca="1">IF(H914=0,"",HYPERLINK("#"&amp;RIGHT(CELL("adresse",OFFSET('DM01-AV-CH'!$G$6,H914-1,0)),LEN(CELL("adresse",OFFSET('DM01-AV-CH'!$G$6,H914-1,0)))-FIND("]",CELL("adresse",OFFSET('DM01-AV-CH'!$G$6,H914-1,0)))),"Modell"))</f>
        <v>Modell</v>
      </c>
      <c r="AG914" s="72" t="str" cm="1">
        <f t="array" ref="AG914">IF($H914=0,"",IF(INDEX('DM01-AV-CH'!G$6:G$834,$H914)="","",INDEX('DM01-AV-CH'!G$6:G$834,$H914)))</f>
        <v>Einzelobjekte</v>
      </c>
      <c r="AH914" s="73" t="str" cm="1">
        <f t="array" ref="AH914">IF($H914=0,"",IF(INDEX('DM01-AV-CH'!H$6:H$834,$H914)="","",INDEX('DM01-AV-CH'!H$6:H$834,$H914)))</f>
        <v>ObjektnummerPos</v>
      </c>
      <c r="AI914" s="74" t="str" cm="1">
        <f t="array" ref="AI914">IF($H914=0,"",IF(INDEX('DM01-AV-CH'!I$6:I$834,$H914)="","",INDEX('DM01-AV-CH'!I$6:I$834,$H914)))</f>
        <v>Ori</v>
      </c>
    </row>
    <row r="915" spans="1:35" ht="42.75" x14ac:dyDescent="0.25">
      <c r="A915" s="57">
        <v>910</v>
      </c>
      <c r="B915" s="57">
        <f>IF($A915="","",IF(_xlfn.XLOOKUP($A915,Korrelation!$D$4:$D$1197,Korrelation!E$4:E$1197,"-",0)="-",0,MATCH(_xlfn.XLOOKUP($A915,Korrelation!$D$4:$D$1197,Korrelation!E$4:E$1197,"",0),DMAV_Modell!$G$6:$G$677,0)))</f>
        <v>525</v>
      </c>
      <c r="C915" s="57">
        <f>IF($A915="","",IF(_xlfn.XLOOKUP($A915,Korrelation!$D$4:$D$1197,Korrelation!F$4:F$1197,"-",0)="-",0,MATCH(_xlfn.XLOOKUP($A915,Korrelation!$D$4:$D$1197,Korrelation!F$4:F$1197,"",0),DMAV_Modell!$G$6:$G$677,0)))</f>
        <v>518</v>
      </c>
      <c r="D915" s="57">
        <f>IF($A915="","",IF(_xlfn.XLOOKUP($A915,Korrelation!$D$4:$D$1197,Korrelation!G$4:G$1197,"-",0)="-",0,MATCH(_xlfn.XLOOKUP($A915,Korrelation!$D$4:$D$1197,Korrelation!G$4:G$1197,"",0),DMAV_Modell!$G$6:$G$677,0)))</f>
        <v>30</v>
      </c>
      <c r="E915" s="57">
        <f>IF($A915="","",IF(_xlfn.XLOOKUP($A915,Korrelation!$D$4:$D$1197,Korrelation!H$4:H$1197,"-",0)="-",0,MATCH(_xlfn.XLOOKUP($A915,Korrelation!$D$4:$D$1197,Korrelation!H$4:H$1197,"",0),DMAV_Dienste!$F$6:$F$140,0)))</f>
        <v>0</v>
      </c>
      <c r="F915" s="57">
        <f>IF($A915="","",IF(_xlfn.XLOOKUP($A915,Korrelation!$D$4:$D$1197,Korrelation!I$4:I$1197,"-",0)="-",0,MATCH(_xlfn.XLOOKUP($A915,Korrelation!$D$4:$D$1197,Korrelation!I$4:I$1197,"",0),DMAV_Dienste!$F$6:$F$140,0)))</f>
        <v>0</v>
      </c>
      <c r="G915" s="57">
        <f>IF($A915="","",IF(_xlfn.XLOOKUP($A915,Korrelation!$D$4:$D$1197,Korrelation!J$4:J$1197,"-",0)="-",0,MATCH(_xlfn.XLOOKUP($A915,Korrelation!$D$4:$D$1197,Korrelation!J$4:J$1197,"",0),DMAV_Dienste!$F$6:$F$140,0)))</f>
        <v>0</v>
      </c>
      <c r="H915" s="57">
        <f>IF($A915="","",IF(_xlfn.XLOOKUP($A915,Korrelation!$D$4:$D$1197,Korrelation!K$4:K$1197,"-",0)="-",0,MATCH(_xlfn.XLOOKUP($A915,Korrelation!$D$4:$D$1197,Korrelation!K$4:K$1197,"",0),'DM01-AV-CH'!$A$6:$A$834,0)))</f>
        <v>340</v>
      </c>
      <c r="J915" s="54" t="str" cm="1">
        <f t="array" aca="1" ref="J915" ca="1">IF(B915=0,IF(E915=0,"",HYPERLINK("#"&amp;RIGHT(CELL("adresse",OFFSET(DMAV_Dienste!$M$6,E915-1,0)),LEN(CELL("adresse",OFFSET(DMAV_Dienste!$M$6,E915-1,0)))-FIND("]",CELL("adresse",OFFSET(DMAV_Dienste!$M$6,E915-1,0)))),"Dienst")),HYPERLINK("#"&amp;RIGHT(CELL("adresse",OFFSET(DMAV_Modell!$N$6,B915-1,0)),LEN(CELL("adresse",OFFSET(DMAV_Modell!$N$6,B915-1,0)))-FIND("]",CELL("adresse",OFFSET(DMAV_Modell!$N$6,B915-1,0)))),"Modell"))</f>
        <v>Modell</v>
      </c>
      <c r="K915" s="61" t="str" cm="1">
        <f t="array" ref="K915">IF($B915=0,IF($E915=0,"",IF(INDEX(DMAV_Dienste!P$6:P$140,$E915)="","",INDEX(DMAV_Dienste!P$6:P$140,$E915))),IF(INDEX(DMAV_Modell!Q$6:Q$838,$B915)="","",INDEX(DMAV_Modell!Q$6:Q$838,$B915)))</f>
        <v>CLASS</v>
      </c>
      <c r="L915" s="62" t="str" cm="1">
        <f t="array" ref="L915">IF($B915=0,IF($E915=0,"",IF(INDEX(DMAV_Dienste!O$6:O$140,$E915)="","",INDEX(DMAV_Dienste!O$6:O$140,$E915))),IF(INDEX(DMAV_Modell!P$6:P$838,$B915)="","",INDEX(DMAV_Modell!P$6:P$838,$B915)))</f>
        <v>Einzelobjekte</v>
      </c>
      <c r="M915" s="62" t="str" cm="1">
        <f t="array" ref="M915">IF($B915=0,IF($E915=0,"",IF(INDEX(DMAV_Dienste!Q$6:Q$140,$E915)="","",INDEX(DMAV_Dienste!Q$6:Q$140,$E915))),IF(INDEX(DMAV_Modell!R$6:R$838,$B915)="","",INDEX(DMAV_Modell!R$6:R$838,$B915)))</f>
        <v>Einzelobjekt</v>
      </c>
      <c r="N915" s="62" t="str" cm="1">
        <f t="array" ref="N915">IF($B915=0,IF($E915=0,"",IF(INDEX(DMAV_Dienste!T$6:T$140,$E915)="","",INDEX(DMAV_Dienste!T$6:T$140,$E915))),IF(INDEX(DMAV_Modell!U$6:U$838,$B915)="","",INDEX(DMAV_Modell!U$6:U$838,$B915)))</f>
        <v>Objektnummer</v>
      </c>
      <c r="O915" s="63" t="str" cm="1">
        <f t="array" aca="1" ref="O915" ca="1">IF(C915=0,IF(F915=0,"",HYPERLINK("#"&amp;RIGHT(CELL("adresse",OFFSET(DMAV_Dienste!$M$6,F915-1,0)),LEN(CELL("adresse",OFFSET(DMAV_Dienste!$M$6,F915-1,0)))-FIND("]",CELL("adresse",OFFSET(DMAV_Dienste!$M$6,F915-1,0)))),"Structure")),HYPERLINK("#"&amp;RIGHT(CELL("adresse",OFFSET(DMAV_Modell!$N$6,C915-1,0)),LEN(CELL("adresse",OFFSET(DMAV_Modell!$N$6,C915-1,0)))-FIND("]",CELL("adresse",OFFSET(DMAV_Modell!$N$6,C915-1,0)))),"Structure"))</f>
        <v>Structure</v>
      </c>
      <c r="P915" s="64" t="str" cm="1">
        <f t="array" aca="1" ref="P915" ca="1">IF(D915=0,IF(G915=0,"",HYPERLINK("#"&amp;RIGHT(CELL("adresse",OFFSET(DMAV_Dienste!$M$6,G915-1,0)),LEN(CELL("adresse",OFFSET(DMAV_Dienste!$M$6,G915-1,0)))-FIND("]",CELL("adresse",OFFSET(DMAV_Dienste!$M$6,G915-1,0)))),"Substructure")),HYPERLINK("#"&amp;RIGHT(CELL("adresse",OFFSET(DMAV_Modell!$N$6,D915-1,0)),LEN(CELL("adresse",OFFSET(DMAV_Modell!$N$6,D915-1,0)))-FIND("]",CELL("adresse",OFFSET(DMAV_Modell!$N$6,D915-1,0)))),"Substructure"))</f>
        <v>Substructure</v>
      </c>
      <c r="R915" s="80"/>
      <c r="T915" s="93"/>
      <c r="U915" s="94"/>
      <c r="V915" s="95" t="s">
        <v>3209</v>
      </c>
      <c r="W915" s="96"/>
      <c r="Y915" s="85" t="s">
        <v>3218</v>
      </c>
      <c r="Z915" s="86"/>
      <c r="AA915" s="87" t="s">
        <v>3074</v>
      </c>
      <c r="AB915" s="88"/>
      <c r="AD915" s="77"/>
      <c r="AF915" s="54" t="str" cm="1">
        <f t="array" aca="1" ref="AF915" ca="1">IF(H915=0,"",HYPERLINK("#"&amp;RIGHT(CELL("adresse",OFFSET('DM01-AV-CH'!$G$6,H915-1,0)),LEN(CELL("adresse",OFFSET('DM01-AV-CH'!$G$6,H915-1,0)))-FIND("]",CELL("adresse",OFFSET('DM01-AV-CH'!$G$6,H915-1,0)))),"Modell"))</f>
        <v>Modell</v>
      </c>
      <c r="AG915" s="72" t="str" cm="1">
        <f t="array" ref="AG915">IF($H915=0,"",IF(INDEX('DM01-AV-CH'!G$6:G$834,$H915)="","",INDEX('DM01-AV-CH'!G$6:G$834,$H915)))</f>
        <v>Einzelobjekte</v>
      </c>
      <c r="AH915" s="73" t="str" cm="1">
        <f t="array" ref="AH915">IF($H915=0,"",IF(INDEX('DM01-AV-CH'!H$6:H$834,$H915)="","",INDEX('DM01-AV-CH'!H$6:H$834,$H915)))</f>
        <v>ObjektnummerPos</v>
      </c>
      <c r="AI915" s="74" t="str" cm="1">
        <f t="array" ref="AI915">IF($H915=0,"",IF(INDEX('DM01-AV-CH'!I$6:I$834,$H915)="","",INDEX('DM01-AV-CH'!I$6:I$834,$H915)))</f>
        <v>HAli</v>
      </c>
    </row>
    <row r="916" spans="1:35" ht="42.75" x14ac:dyDescent="0.25">
      <c r="A916" s="57">
        <v>911</v>
      </c>
      <c r="B916" s="57">
        <f>IF($A916="","",IF(_xlfn.XLOOKUP($A916,Korrelation!$D$4:$D$1197,Korrelation!E$4:E$1197,"-",0)="-",0,MATCH(_xlfn.XLOOKUP($A916,Korrelation!$D$4:$D$1197,Korrelation!E$4:E$1197,"",0),DMAV_Modell!$G$6:$G$677,0)))</f>
        <v>525</v>
      </c>
      <c r="C916" s="57">
        <f>IF($A916="","",IF(_xlfn.XLOOKUP($A916,Korrelation!$D$4:$D$1197,Korrelation!F$4:F$1197,"-",0)="-",0,MATCH(_xlfn.XLOOKUP($A916,Korrelation!$D$4:$D$1197,Korrelation!F$4:F$1197,"",0),DMAV_Modell!$G$6:$G$677,0)))</f>
        <v>518</v>
      </c>
      <c r="D916" s="57">
        <f>IF($A916="","",IF(_xlfn.XLOOKUP($A916,Korrelation!$D$4:$D$1197,Korrelation!G$4:G$1197,"-",0)="-",0,MATCH(_xlfn.XLOOKUP($A916,Korrelation!$D$4:$D$1197,Korrelation!G$4:G$1197,"",0),DMAV_Modell!$G$6:$G$677,0)))</f>
        <v>31</v>
      </c>
      <c r="E916" s="57">
        <f>IF($A916="","",IF(_xlfn.XLOOKUP($A916,Korrelation!$D$4:$D$1197,Korrelation!H$4:H$1197,"-",0)="-",0,MATCH(_xlfn.XLOOKUP($A916,Korrelation!$D$4:$D$1197,Korrelation!H$4:H$1197,"",0),DMAV_Dienste!$F$6:$F$140,0)))</f>
        <v>0</v>
      </c>
      <c r="F916" s="57">
        <f>IF($A916="","",IF(_xlfn.XLOOKUP($A916,Korrelation!$D$4:$D$1197,Korrelation!I$4:I$1197,"-",0)="-",0,MATCH(_xlfn.XLOOKUP($A916,Korrelation!$D$4:$D$1197,Korrelation!I$4:I$1197,"",0),DMAV_Dienste!$F$6:$F$140,0)))</f>
        <v>0</v>
      </c>
      <c r="G916" s="57">
        <f>IF($A916="","",IF(_xlfn.XLOOKUP($A916,Korrelation!$D$4:$D$1197,Korrelation!J$4:J$1197,"-",0)="-",0,MATCH(_xlfn.XLOOKUP($A916,Korrelation!$D$4:$D$1197,Korrelation!J$4:J$1197,"",0),DMAV_Dienste!$F$6:$F$140,0)))</f>
        <v>0</v>
      </c>
      <c r="H916" s="57">
        <f>IF($A916="","",IF(_xlfn.XLOOKUP($A916,Korrelation!$D$4:$D$1197,Korrelation!K$4:K$1197,"-",0)="-",0,MATCH(_xlfn.XLOOKUP($A916,Korrelation!$D$4:$D$1197,Korrelation!K$4:K$1197,"",0),'DM01-AV-CH'!$A$6:$A$834,0)))</f>
        <v>341</v>
      </c>
      <c r="J916" s="54" t="str" cm="1">
        <f t="array" aca="1" ref="J916" ca="1">IF(B916=0,IF(E916=0,"",HYPERLINK("#"&amp;RIGHT(CELL("adresse",OFFSET(DMAV_Dienste!$M$6,E916-1,0)),LEN(CELL("adresse",OFFSET(DMAV_Dienste!$M$6,E916-1,0)))-FIND("]",CELL("adresse",OFFSET(DMAV_Dienste!$M$6,E916-1,0)))),"Dienst")),HYPERLINK("#"&amp;RIGHT(CELL("adresse",OFFSET(DMAV_Modell!$N$6,B916-1,0)),LEN(CELL("adresse",OFFSET(DMAV_Modell!$N$6,B916-1,0)))-FIND("]",CELL("adresse",OFFSET(DMAV_Modell!$N$6,B916-1,0)))),"Modell"))</f>
        <v>Modell</v>
      </c>
      <c r="K916" s="61" t="str" cm="1">
        <f t="array" ref="K916">IF($B916=0,IF($E916=0,"",IF(INDEX(DMAV_Dienste!P$6:P$140,$E916)="","",INDEX(DMAV_Dienste!P$6:P$140,$E916))),IF(INDEX(DMAV_Modell!Q$6:Q$838,$B916)="","",INDEX(DMAV_Modell!Q$6:Q$838,$B916)))</f>
        <v>CLASS</v>
      </c>
      <c r="L916" s="62" t="str" cm="1">
        <f t="array" ref="L916">IF($B916=0,IF($E916=0,"",IF(INDEX(DMAV_Dienste!O$6:O$140,$E916)="","",INDEX(DMAV_Dienste!O$6:O$140,$E916))),IF(INDEX(DMAV_Modell!P$6:P$838,$B916)="","",INDEX(DMAV_Modell!P$6:P$838,$B916)))</f>
        <v>Einzelobjekte</v>
      </c>
      <c r="M916" s="62" t="str" cm="1">
        <f t="array" ref="M916">IF($B916=0,IF($E916=0,"",IF(INDEX(DMAV_Dienste!Q$6:Q$140,$E916)="","",INDEX(DMAV_Dienste!Q$6:Q$140,$E916))),IF(INDEX(DMAV_Modell!R$6:R$838,$B916)="","",INDEX(DMAV_Modell!R$6:R$838,$B916)))</f>
        <v>Einzelobjekt</v>
      </c>
      <c r="N916" s="62" t="str" cm="1">
        <f t="array" ref="N916">IF($B916=0,IF($E916=0,"",IF(INDEX(DMAV_Dienste!T$6:T$140,$E916)="","",INDEX(DMAV_Dienste!T$6:T$140,$E916))),IF(INDEX(DMAV_Modell!U$6:U$838,$B916)="","",INDEX(DMAV_Modell!U$6:U$838,$B916)))</f>
        <v>Objektnummer</v>
      </c>
      <c r="O916" s="63" t="str" cm="1">
        <f t="array" aca="1" ref="O916" ca="1">IF(C916=0,IF(F916=0,"",HYPERLINK("#"&amp;RIGHT(CELL("adresse",OFFSET(DMAV_Dienste!$M$6,F916-1,0)),LEN(CELL("adresse",OFFSET(DMAV_Dienste!$M$6,F916-1,0)))-FIND("]",CELL("adresse",OFFSET(DMAV_Dienste!$M$6,F916-1,0)))),"Structure")),HYPERLINK("#"&amp;RIGHT(CELL("adresse",OFFSET(DMAV_Modell!$N$6,C916-1,0)),LEN(CELL("adresse",OFFSET(DMAV_Modell!$N$6,C916-1,0)))-FIND("]",CELL("adresse",OFFSET(DMAV_Modell!$N$6,C916-1,0)))),"Structure"))</f>
        <v>Structure</v>
      </c>
      <c r="P916" s="64" t="str" cm="1">
        <f t="array" aca="1" ref="P916" ca="1">IF(D916=0,IF(G916=0,"",HYPERLINK("#"&amp;RIGHT(CELL("adresse",OFFSET(DMAV_Dienste!$M$6,G916-1,0)),LEN(CELL("adresse",OFFSET(DMAV_Dienste!$M$6,G916-1,0)))-FIND("]",CELL("adresse",OFFSET(DMAV_Dienste!$M$6,G916-1,0)))),"Substructure")),HYPERLINK("#"&amp;RIGHT(CELL("adresse",OFFSET(DMAV_Modell!$N$6,D916-1,0)),LEN(CELL("adresse",OFFSET(DMAV_Modell!$N$6,D916-1,0)))-FIND("]",CELL("adresse",OFFSET(DMAV_Modell!$N$6,D916-1,0)))),"Substructure"))</f>
        <v>Substructure</v>
      </c>
      <c r="R916" s="80"/>
      <c r="T916" s="93"/>
      <c r="U916" s="94"/>
      <c r="V916" s="95" t="s">
        <v>3210</v>
      </c>
      <c r="W916" s="96"/>
      <c r="Y916" s="85" t="s">
        <v>3218</v>
      </c>
      <c r="Z916" s="86"/>
      <c r="AA916" s="87" t="s">
        <v>3075</v>
      </c>
      <c r="AB916" s="88"/>
      <c r="AD916" s="77"/>
      <c r="AF916" s="54" t="str" cm="1">
        <f t="array" aca="1" ref="AF916" ca="1">IF(H916=0,"",HYPERLINK("#"&amp;RIGHT(CELL("adresse",OFFSET('DM01-AV-CH'!$G$6,H916-1,0)),LEN(CELL("adresse",OFFSET('DM01-AV-CH'!$G$6,H916-1,0)))-FIND("]",CELL("adresse",OFFSET('DM01-AV-CH'!$G$6,H916-1,0)))),"Modell"))</f>
        <v>Modell</v>
      </c>
      <c r="AG916" s="72" t="str" cm="1">
        <f t="array" ref="AG916">IF($H916=0,"",IF(INDEX('DM01-AV-CH'!G$6:G$834,$H916)="","",INDEX('DM01-AV-CH'!G$6:G$834,$H916)))</f>
        <v>Einzelobjekte</v>
      </c>
      <c r="AH916" s="73" t="str" cm="1">
        <f t="array" ref="AH916">IF($H916=0,"",IF(INDEX('DM01-AV-CH'!H$6:H$834,$H916)="","",INDEX('DM01-AV-CH'!H$6:H$834,$H916)))</f>
        <v>ObjektnummerPos</v>
      </c>
      <c r="AI916" s="74" t="str" cm="1">
        <f t="array" ref="AI916">IF($H916=0,"",IF(INDEX('DM01-AV-CH'!I$6:I$834,$H916)="","",INDEX('DM01-AV-CH'!I$6:I$834,$H916)))</f>
        <v>VAli</v>
      </c>
    </row>
    <row r="917" spans="1:35" ht="42.75" x14ac:dyDescent="0.25">
      <c r="A917" s="57">
        <v>912</v>
      </c>
      <c r="B917" s="57">
        <f>IF($A917="","",IF(_xlfn.XLOOKUP($A917,Korrelation!$D$4:$D$1197,Korrelation!E$4:E$1197,"-",0)="-",0,MATCH(_xlfn.XLOOKUP($A917,Korrelation!$D$4:$D$1197,Korrelation!E$4:E$1197,"",0),DMAV_Modell!$G$6:$G$677,0)))</f>
        <v>525</v>
      </c>
      <c r="C917" s="57">
        <f>IF($A917="","",IF(_xlfn.XLOOKUP($A917,Korrelation!$D$4:$D$1197,Korrelation!F$4:F$1197,"-",0)="-",0,MATCH(_xlfn.XLOOKUP($A917,Korrelation!$D$4:$D$1197,Korrelation!F$4:F$1197,"",0),DMAV_Modell!$G$6:$G$677,0)))</f>
        <v>518</v>
      </c>
      <c r="D917" s="57">
        <f>IF($A917="","",IF(_xlfn.XLOOKUP($A917,Korrelation!$D$4:$D$1197,Korrelation!G$4:G$1197,"-",0)="-",0,MATCH(_xlfn.XLOOKUP($A917,Korrelation!$D$4:$D$1197,Korrelation!G$4:G$1197,"",0),DMAV_Modell!$G$6:$G$677,0)))</f>
        <v>29</v>
      </c>
      <c r="E917" s="57">
        <f>IF($A917="","",IF(_xlfn.XLOOKUP($A917,Korrelation!$D$4:$D$1197,Korrelation!H$4:H$1197,"-",0)="-",0,MATCH(_xlfn.XLOOKUP($A917,Korrelation!$D$4:$D$1197,Korrelation!H$4:H$1197,"",0),DMAV_Dienste!$F$6:$F$140,0)))</f>
        <v>0</v>
      </c>
      <c r="F917" s="57">
        <f>IF($A917="","",IF(_xlfn.XLOOKUP($A917,Korrelation!$D$4:$D$1197,Korrelation!I$4:I$1197,"-",0)="-",0,MATCH(_xlfn.XLOOKUP($A917,Korrelation!$D$4:$D$1197,Korrelation!I$4:I$1197,"",0),DMAV_Dienste!$F$6:$F$140,0)))</f>
        <v>0</v>
      </c>
      <c r="G917" s="57">
        <f>IF($A917="","",IF(_xlfn.XLOOKUP($A917,Korrelation!$D$4:$D$1197,Korrelation!J$4:J$1197,"-",0)="-",0,MATCH(_xlfn.XLOOKUP($A917,Korrelation!$D$4:$D$1197,Korrelation!J$4:J$1197,"",0),DMAV_Dienste!$F$6:$F$140,0)))</f>
        <v>0</v>
      </c>
      <c r="H917" s="57">
        <f>IF($A917="","",IF(_xlfn.XLOOKUP($A917,Korrelation!$D$4:$D$1197,Korrelation!K$4:K$1197,"-",0)="-",0,MATCH(_xlfn.XLOOKUP($A917,Korrelation!$D$4:$D$1197,Korrelation!K$4:K$1197,"",0),'DM01-AV-CH'!$A$6:$A$834,0)))</f>
        <v>342</v>
      </c>
      <c r="J917" s="54" t="str" cm="1">
        <f t="array" aca="1" ref="J917" ca="1">IF(B917=0,IF(E917=0,"",HYPERLINK("#"&amp;RIGHT(CELL("adresse",OFFSET(DMAV_Dienste!$M$6,E917-1,0)),LEN(CELL("adresse",OFFSET(DMAV_Dienste!$M$6,E917-1,0)))-FIND("]",CELL("adresse",OFFSET(DMAV_Dienste!$M$6,E917-1,0)))),"Dienst")),HYPERLINK("#"&amp;RIGHT(CELL("adresse",OFFSET(DMAV_Modell!$N$6,B917-1,0)),LEN(CELL("adresse",OFFSET(DMAV_Modell!$N$6,B917-1,0)))-FIND("]",CELL("adresse",OFFSET(DMAV_Modell!$N$6,B917-1,0)))),"Modell"))</f>
        <v>Modell</v>
      </c>
      <c r="K917" s="61" t="str" cm="1">
        <f t="array" ref="K917">IF($B917=0,IF($E917=0,"",IF(INDEX(DMAV_Dienste!P$6:P$140,$E917)="","",INDEX(DMAV_Dienste!P$6:P$140,$E917))),IF(INDEX(DMAV_Modell!Q$6:Q$838,$B917)="","",INDEX(DMAV_Modell!Q$6:Q$838,$B917)))</f>
        <v>CLASS</v>
      </c>
      <c r="L917" s="62" t="str" cm="1">
        <f t="array" ref="L917">IF($B917=0,IF($E917=0,"",IF(INDEX(DMAV_Dienste!O$6:O$140,$E917)="","",INDEX(DMAV_Dienste!O$6:O$140,$E917))),IF(INDEX(DMAV_Modell!P$6:P$838,$B917)="","",INDEX(DMAV_Modell!P$6:P$838,$B917)))</f>
        <v>Einzelobjekte</v>
      </c>
      <c r="M917" s="62" t="str" cm="1">
        <f t="array" ref="M917">IF($B917=0,IF($E917=0,"",IF(INDEX(DMAV_Dienste!Q$6:Q$140,$E917)="","",INDEX(DMAV_Dienste!Q$6:Q$140,$E917))),IF(INDEX(DMAV_Modell!R$6:R$838,$B917)="","",INDEX(DMAV_Modell!R$6:R$838,$B917)))</f>
        <v>Einzelobjekt</v>
      </c>
      <c r="N917" s="62" t="str" cm="1">
        <f t="array" ref="N917">IF($B917=0,IF($E917=0,"",IF(INDEX(DMAV_Dienste!T$6:T$140,$E917)="","",INDEX(DMAV_Dienste!T$6:T$140,$E917))),IF(INDEX(DMAV_Modell!U$6:U$838,$B917)="","",INDEX(DMAV_Modell!U$6:U$838,$B917)))</f>
        <v>Objektnummer</v>
      </c>
      <c r="O917" s="63" t="str" cm="1">
        <f t="array" aca="1" ref="O917" ca="1">IF(C917=0,IF(F917=0,"",HYPERLINK("#"&amp;RIGHT(CELL("adresse",OFFSET(DMAV_Dienste!$M$6,F917-1,0)),LEN(CELL("adresse",OFFSET(DMAV_Dienste!$M$6,F917-1,0)))-FIND("]",CELL("adresse",OFFSET(DMAV_Dienste!$M$6,F917-1,0)))),"Structure")),HYPERLINK("#"&amp;RIGHT(CELL("adresse",OFFSET(DMAV_Modell!$N$6,C917-1,0)),LEN(CELL("adresse",OFFSET(DMAV_Modell!$N$6,C917-1,0)))-FIND("]",CELL("adresse",OFFSET(DMAV_Modell!$N$6,C917-1,0)))),"Structure"))</f>
        <v>Structure</v>
      </c>
      <c r="P917" s="64" t="str" cm="1">
        <f t="array" aca="1" ref="P917" ca="1">IF(D917=0,IF(G917=0,"",HYPERLINK("#"&amp;RIGHT(CELL("adresse",OFFSET(DMAV_Dienste!$M$6,G917-1,0)),LEN(CELL("adresse",OFFSET(DMAV_Dienste!$M$6,G917-1,0)))-FIND("]",CELL("adresse",OFFSET(DMAV_Dienste!$M$6,G917-1,0)))),"Substructure")),HYPERLINK("#"&amp;RIGHT(CELL("adresse",OFFSET(DMAV_Modell!$N$6,D917-1,0)),LEN(CELL("adresse",OFFSET(DMAV_Modell!$N$6,D917-1,0)))-FIND("]",CELL("adresse",OFFSET(DMAV_Modell!$N$6,D917-1,0)))),"Substructure"))</f>
        <v>Substructure</v>
      </c>
      <c r="R917" s="80"/>
      <c r="T917" s="93"/>
      <c r="U917" s="94"/>
      <c r="V917" s="95" t="s">
        <v>3211</v>
      </c>
      <c r="W917" s="96"/>
      <c r="Y917" s="85" t="s">
        <v>3218</v>
      </c>
      <c r="Z917" s="86"/>
      <c r="AA917" s="87" t="s">
        <v>3076</v>
      </c>
      <c r="AB917" s="88"/>
      <c r="AD917" s="77"/>
      <c r="AF917" s="54" t="str" cm="1">
        <f t="array" aca="1" ref="AF917" ca="1">IF(H917=0,"",HYPERLINK("#"&amp;RIGHT(CELL("adresse",OFFSET('DM01-AV-CH'!$G$6,H917-1,0)),LEN(CELL("adresse",OFFSET('DM01-AV-CH'!$G$6,H917-1,0)))-FIND("]",CELL("adresse",OFFSET('DM01-AV-CH'!$G$6,H917-1,0)))),"Modell"))</f>
        <v>Modell</v>
      </c>
      <c r="AG917" s="72" t="str" cm="1">
        <f t="array" ref="AG917">IF($H917=0,"",IF(INDEX('DM01-AV-CH'!G$6:G$834,$H917)="","",INDEX('DM01-AV-CH'!G$6:G$834,$H917)))</f>
        <v>Einzelobjekte</v>
      </c>
      <c r="AH917" s="73" t="str" cm="1">
        <f t="array" ref="AH917">IF($H917=0,"",IF(INDEX('DM01-AV-CH'!H$6:H$834,$H917)="","",INDEX('DM01-AV-CH'!H$6:H$834,$H917)))</f>
        <v>ObjektnummerPos</v>
      </c>
      <c r="AI917" s="74" t="str" cm="1">
        <f t="array" ref="AI917">IF($H917=0,"",IF(INDEX('DM01-AV-CH'!I$6:I$834,$H917)="","",INDEX('DM01-AV-CH'!I$6:I$834,$H917)))</f>
        <v>Groesse</v>
      </c>
    </row>
    <row r="918" spans="1:35" x14ac:dyDescent="0.25">
      <c r="A918" s="57">
        <v>913</v>
      </c>
      <c r="B918" s="57">
        <f>IF($A918="","",IF(_xlfn.XLOOKUP($A918,Korrelation!$D$4:$D$1197,Korrelation!E$4:E$1197,"-",0)="-",0,MATCH(_xlfn.XLOOKUP($A918,Korrelation!$D$4:$D$1197,Korrelation!E$4:E$1197,"",0),DMAV_Modell!$G$6:$G$677,0)))</f>
        <v>0</v>
      </c>
      <c r="C918" s="57">
        <f>IF($A918="","",IF(_xlfn.XLOOKUP($A918,Korrelation!$D$4:$D$1197,Korrelation!F$4:F$1197,"-",0)="-",0,MATCH(_xlfn.XLOOKUP($A918,Korrelation!$D$4:$D$1197,Korrelation!F$4:F$1197,"",0),DMAV_Modell!$G$6:$G$677,0)))</f>
        <v>0</v>
      </c>
      <c r="D918" s="57">
        <f>IF($A918="","",IF(_xlfn.XLOOKUP($A918,Korrelation!$D$4:$D$1197,Korrelation!G$4:G$1197,"-",0)="-",0,MATCH(_xlfn.XLOOKUP($A918,Korrelation!$D$4:$D$1197,Korrelation!G$4:G$1197,"",0),DMAV_Modell!$G$6:$G$677,0)))</f>
        <v>0</v>
      </c>
      <c r="E918" s="57">
        <f>IF($A918="","",IF(_xlfn.XLOOKUP($A918,Korrelation!$D$4:$D$1197,Korrelation!H$4:H$1197,"-",0)="-",0,MATCH(_xlfn.XLOOKUP($A918,Korrelation!$D$4:$D$1197,Korrelation!H$4:H$1197,"",0),DMAV_Dienste!$F$6:$F$140,0)))</f>
        <v>0</v>
      </c>
      <c r="F918" s="57">
        <f>IF($A918="","",IF(_xlfn.XLOOKUP($A918,Korrelation!$D$4:$D$1197,Korrelation!I$4:I$1197,"-",0)="-",0,MATCH(_xlfn.XLOOKUP($A918,Korrelation!$D$4:$D$1197,Korrelation!I$4:I$1197,"",0),DMAV_Dienste!$F$6:$F$140,0)))</f>
        <v>0</v>
      </c>
      <c r="G918" s="57">
        <f>IF($A918="","",IF(_xlfn.XLOOKUP($A918,Korrelation!$D$4:$D$1197,Korrelation!J$4:J$1197,"-",0)="-",0,MATCH(_xlfn.XLOOKUP($A918,Korrelation!$D$4:$D$1197,Korrelation!J$4:J$1197,"",0),DMAV_Dienste!$F$6:$F$140,0)))</f>
        <v>0</v>
      </c>
      <c r="H918" s="57">
        <f>IF($A918="","",IF(_xlfn.XLOOKUP($A918,Korrelation!$D$4:$D$1197,Korrelation!K$4:K$1197,"-",0)="-",0,MATCH(_xlfn.XLOOKUP($A918,Korrelation!$D$4:$D$1197,Korrelation!K$4:K$1197,"",0),'DM01-AV-CH'!$A$6:$A$834,0)))</f>
        <v>326</v>
      </c>
      <c r="J918" s="54" t="str" cm="1">
        <f t="array" aca="1" ref="J918" ca="1">IF(B918=0,IF(E918=0,"",HYPERLINK("#"&amp;RIGHT(CELL("adresse",OFFSET(DMAV_Dienste!$M$6,E918-1,0)),LEN(CELL("adresse",OFFSET(DMAV_Dienste!$M$6,E918-1,0)))-FIND("]",CELL("adresse",OFFSET(DMAV_Dienste!$M$6,E918-1,0)))),"Dienst")),HYPERLINK("#"&amp;RIGHT(CELL("adresse",OFFSET(DMAV_Modell!$N$6,B918-1,0)),LEN(CELL("adresse",OFFSET(DMAV_Modell!$N$6,B918-1,0)))-FIND("]",CELL("adresse",OFFSET(DMAV_Modell!$N$6,B918-1,0)))),"Modell"))</f>
        <v/>
      </c>
      <c r="K918" s="61" t="str" cm="1">
        <f t="array" ref="K918">IF($B918=0,IF($E918=0,"",IF(INDEX(DMAV_Dienste!P$6:P$140,$E918)="","",INDEX(DMAV_Dienste!P$6:P$140,$E918))),IF(INDEX(DMAV_Modell!Q$6:Q$838,$B918)="","",INDEX(DMAV_Modell!Q$6:Q$838,$B918)))</f>
        <v/>
      </c>
      <c r="L918" s="62" t="str" cm="1">
        <f t="array" ref="L918">IF($B918=0,IF($E918=0,"",IF(INDEX(DMAV_Dienste!O$6:O$140,$E918)="","",INDEX(DMAV_Dienste!O$6:O$140,$E918))),IF(INDEX(DMAV_Modell!P$6:P$838,$B918)="","",INDEX(DMAV_Modell!P$6:P$838,$B918)))</f>
        <v/>
      </c>
      <c r="M918" s="62" t="str" cm="1">
        <f t="array" ref="M918">IF($B918=0,IF($E918=0,"",IF(INDEX(DMAV_Dienste!Q$6:Q$140,$E918)="","",INDEX(DMAV_Dienste!Q$6:Q$140,$E918))),IF(INDEX(DMAV_Modell!R$6:R$838,$B918)="","",INDEX(DMAV_Modell!R$6:R$838,$B918)))</f>
        <v/>
      </c>
      <c r="N918" s="62" t="str" cm="1">
        <f t="array" ref="N918">IF($B918=0,IF($E918=0,"",IF(INDEX(DMAV_Dienste!T$6:T$140,$E918)="","",INDEX(DMAV_Dienste!T$6:T$140,$E918))),IF(INDEX(DMAV_Modell!U$6:U$838,$B918)="","",INDEX(DMAV_Modell!U$6:U$838,$B918)))</f>
        <v/>
      </c>
      <c r="O918" s="63" t="str" cm="1">
        <f t="array" aca="1" ref="O918" ca="1">IF(C918=0,IF(F918=0,"",HYPERLINK("#"&amp;RIGHT(CELL("adresse",OFFSET(DMAV_Dienste!$M$6,F918-1,0)),LEN(CELL("adresse",OFFSET(DMAV_Dienste!$M$6,F918-1,0)))-FIND("]",CELL("adresse",OFFSET(DMAV_Dienste!$M$6,F918-1,0)))),"Structure")),HYPERLINK("#"&amp;RIGHT(CELL("adresse",OFFSET(DMAV_Modell!$N$6,C918-1,0)),LEN(CELL("adresse",OFFSET(DMAV_Modell!$N$6,C918-1,0)))-FIND("]",CELL("adresse",OFFSET(DMAV_Modell!$N$6,C918-1,0)))),"Structure"))</f>
        <v/>
      </c>
      <c r="P918" s="64" t="str" cm="1">
        <f t="array" aca="1" ref="P918" ca="1">IF(D918=0,IF(G918=0,"",HYPERLINK("#"&amp;RIGHT(CELL("adresse",OFFSET(DMAV_Dienste!$M$6,G918-1,0)),LEN(CELL("adresse",OFFSET(DMAV_Dienste!$M$6,G918-1,0)))-FIND("]",CELL("adresse",OFFSET(DMAV_Dienste!$M$6,G918-1,0)))),"Substructure")),HYPERLINK("#"&amp;RIGHT(CELL("adresse",OFFSET(DMAV_Modell!$N$6,D918-1,0)),LEN(CELL("adresse",OFFSET(DMAV_Modell!$N$6,D918-1,0)))-FIND("]",CELL("adresse",OFFSET(DMAV_Modell!$N$6,D918-1,0)))),"Substructure"))</f>
        <v/>
      </c>
      <c r="R918" s="80"/>
      <c r="T918" s="93"/>
      <c r="U918" s="94"/>
      <c r="V918" s="95"/>
      <c r="W918" s="96"/>
      <c r="Y918" s="85"/>
      <c r="Z918" s="86"/>
      <c r="AA918" s="87"/>
      <c r="AB918" s="88"/>
      <c r="AD918" s="77"/>
      <c r="AF918" s="54" t="str" cm="1">
        <f t="array" aca="1" ref="AF918" ca="1">IF(H918=0,"",HYPERLINK("#"&amp;RIGHT(CELL("adresse",OFFSET('DM01-AV-CH'!$G$6,H918-1,0)),LEN(CELL("adresse",OFFSET('DM01-AV-CH'!$G$6,H918-1,0)))-FIND("]",CELL("adresse",OFFSET('DM01-AV-CH'!$G$6,H918-1,0)))),"Modell"))</f>
        <v>Modell</v>
      </c>
      <c r="AG918" s="72" t="str" cm="1">
        <f t="array" ref="AG918">IF($H918=0,"",IF(INDEX('DM01-AV-CH'!G$6:G$834,$H918)="","",INDEX('DM01-AV-CH'!G$6:G$834,$H918)))</f>
        <v>Einzelobjekte</v>
      </c>
      <c r="AH918" s="73" t="str" cm="1">
        <f t="array" ref="AH918">IF($H918=0,"",IF(INDEX('DM01-AV-CH'!H$6:H$834,$H918)="","",INDEX('DM01-AV-CH'!H$6:H$834,$H918)))</f>
        <v>Objektname</v>
      </c>
      <c r="AI918" s="74" t="str" cm="1">
        <f t="array" ref="AI918">IF($H918=0,"",IF(INDEX('DM01-AV-CH'!I$6:I$834,$H918)="","",INDEX('DM01-AV-CH'!I$6:I$834,$H918)))</f>
        <v>Objektname_von</v>
      </c>
    </row>
    <row r="919" spans="1:35" ht="28.5" x14ac:dyDescent="0.25">
      <c r="A919" s="57">
        <v>914</v>
      </c>
      <c r="B919" s="57">
        <f>IF($A919="","",IF(_xlfn.XLOOKUP($A919,Korrelation!$D$4:$D$1197,Korrelation!E$4:E$1197,"-",0)="-",0,MATCH(_xlfn.XLOOKUP($A919,Korrelation!$D$4:$D$1197,Korrelation!E$4:E$1197,"",0),DMAV_Modell!$G$6:$G$677,0)))</f>
        <v>526</v>
      </c>
      <c r="C919" s="57">
        <f>IF($A919="","",IF(_xlfn.XLOOKUP($A919,Korrelation!$D$4:$D$1197,Korrelation!F$4:F$1197,"-",0)="-",0,MATCH(_xlfn.XLOOKUP($A919,Korrelation!$D$4:$D$1197,Korrelation!F$4:F$1197,"",0),DMAV_Modell!$G$6:$G$677,0)))</f>
        <v>516</v>
      </c>
      <c r="D919" s="57">
        <f>IF($A919="","",IF(_xlfn.XLOOKUP($A919,Korrelation!$D$4:$D$1197,Korrelation!G$4:G$1197,"-",0)="-",0,MATCH(_xlfn.XLOOKUP($A919,Korrelation!$D$4:$D$1197,Korrelation!G$4:G$1197,"",0),DMAV_Modell!$G$6:$G$677,0)))</f>
        <v>0</v>
      </c>
      <c r="E919" s="57">
        <f>IF($A919="","",IF(_xlfn.XLOOKUP($A919,Korrelation!$D$4:$D$1197,Korrelation!H$4:H$1197,"-",0)="-",0,MATCH(_xlfn.XLOOKUP($A919,Korrelation!$D$4:$D$1197,Korrelation!H$4:H$1197,"",0),DMAV_Dienste!$F$6:$F$140,0)))</f>
        <v>0</v>
      </c>
      <c r="F919" s="57">
        <f>IF($A919="","",IF(_xlfn.XLOOKUP($A919,Korrelation!$D$4:$D$1197,Korrelation!I$4:I$1197,"-",0)="-",0,MATCH(_xlfn.XLOOKUP($A919,Korrelation!$D$4:$D$1197,Korrelation!I$4:I$1197,"",0),DMAV_Dienste!$F$6:$F$140,0)))</f>
        <v>0</v>
      </c>
      <c r="G919" s="57">
        <f>IF($A919="","",IF(_xlfn.XLOOKUP($A919,Korrelation!$D$4:$D$1197,Korrelation!J$4:J$1197,"-",0)="-",0,MATCH(_xlfn.XLOOKUP($A919,Korrelation!$D$4:$D$1197,Korrelation!J$4:J$1197,"",0),DMAV_Dienste!$F$6:$F$140,0)))</f>
        <v>0</v>
      </c>
      <c r="H919" s="57">
        <f>IF($A919="","",IF(_xlfn.XLOOKUP($A919,Korrelation!$D$4:$D$1197,Korrelation!K$4:K$1197,"-",0)="-",0,MATCH(_xlfn.XLOOKUP($A919,Korrelation!$D$4:$D$1197,Korrelation!K$4:K$1197,"",0),'DM01-AV-CH'!$A$6:$A$834,0)))</f>
        <v>327</v>
      </c>
      <c r="J919" s="54" t="str" cm="1">
        <f t="array" aca="1" ref="J919" ca="1">IF(B919=0,IF(E919=0,"",HYPERLINK("#"&amp;RIGHT(CELL("adresse",OFFSET(DMAV_Dienste!$M$6,E919-1,0)),LEN(CELL("adresse",OFFSET(DMAV_Dienste!$M$6,E919-1,0)))-FIND("]",CELL("adresse",OFFSET(DMAV_Dienste!$M$6,E919-1,0)))),"Dienst")),HYPERLINK("#"&amp;RIGHT(CELL("adresse",OFFSET(DMAV_Modell!$N$6,B919-1,0)),LEN(CELL("adresse",OFFSET(DMAV_Modell!$N$6,B919-1,0)))-FIND("]",CELL("adresse",OFFSET(DMAV_Modell!$N$6,B919-1,0)))),"Modell"))</f>
        <v>Modell</v>
      </c>
      <c r="K919" s="61" t="str" cm="1">
        <f t="array" ref="K919">IF($B919=0,IF($E919=0,"",IF(INDEX(DMAV_Dienste!P$6:P$140,$E919)="","",INDEX(DMAV_Dienste!P$6:P$140,$E919))),IF(INDEX(DMAV_Modell!Q$6:Q$838,$B919)="","",INDEX(DMAV_Modell!Q$6:Q$838,$B919)))</f>
        <v>CLASS</v>
      </c>
      <c r="L919" s="62" t="str" cm="1">
        <f t="array" ref="L919">IF($B919=0,IF($E919=0,"",IF(INDEX(DMAV_Dienste!O$6:O$140,$E919)="","",INDEX(DMAV_Dienste!O$6:O$140,$E919))),IF(INDEX(DMAV_Modell!P$6:P$838,$B919)="","",INDEX(DMAV_Modell!P$6:P$838,$B919)))</f>
        <v>Einzelobjekte</v>
      </c>
      <c r="M919" s="62" t="str" cm="1">
        <f t="array" ref="M919">IF($B919=0,IF($E919=0,"",IF(INDEX(DMAV_Dienste!Q$6:Q$140,$E919)="","",INDEX(DMAV_Dienste!Q$6:Q$140,$E919))),IF(INDEX(DMAV_Modell!R$6:R$838,$B919)="","",INDEX(DMAV_Modell!R$6:R$838,$B919)))</f>
        <v>Einzelobjekt</v>
      </c>
      <c r="N919" s="62" t="str" cm="1">
        <f t="array" ref="N919">IF($B919=0,IF($E919=0,"",IF(INDEX(DMAV_Dienste!T$6:T$140,$E919)="","",INDEX(DMAV_Dienste!T$6:T$140,$E919))),IF(INDEX(DMAV_Modell!U$6:U$838,$B919)="","",INDEX(DMAV_Modell!U$6:U$838,$B919)))</f>
        <v>Objektname</v>
      </c>
      <c r="O919" s="63" t="str" cm="1">
        <f t="array" aca="1" ref="O919" ca="1">IF(C919=0,IF(F919=0,"",HYPERLINK("#"&amp;RIGHT(CELL("adresse",OFFSET(DMAV_Dienste!$M$6,F919-1,0)),LEN(CELL("adresse",OFFSET(DMAV_Dienste!$M$6,F919-1,0)))-FIND("]",CELL("adresse",OFFSET(DMAV_Dienste!$M$6,F919-1,0)))),"Structure")),HYPERLINK("#"&amp;RIGHT(CELL("adresse",OFFSET(DMAV_Modell!$N$6,C919-1,0)),LEN(CELL("adresse",OFFSET(DMAV_Modell!$N$6,C919-1,0)))-FIND("]",CELL("adresse",OFFSET(DMAV_Modell!$N$6,C919-1,0)))),"Structure"))</f>
        <v>Structure</v>
      </c>
      <c r="P919" s="64" t="str" cm="1">
        <f t="array" aca="1" ref="P919" ca="1">IF(D919=0,IF(G919=0,"",HYPERLINK("#"&amp;RIGHT(CELL("adresse",OFFSET(DMAV_Dienste!$M$6,G919-1,0)),LEN(CELL("adresse",OFFSET(DMAV_Dienste!$M$6,G919-1,0)))-FIND("]",CELL("adresse",OFFSET(DMAV_Dienste!$M$6,G919-1,0)))),"Substructure")),HYPERLINK("#"&amp;RIGHT(CELL("adresse",OFFSET(DMAV_Modell!$N$6,D919-1,0)),LEN(CELL("adresse",OFFSET(DMAV_Modell!$N$6,D919-1,0)))-FIND("]",CELL("adresse",OFFSET(DMAV_Modell!$N$6,D919-1,0)))),"Substructure"))</f>
        <v/>
      </c>
      <c r="R919" s="80"/>
      <c r="T919" s="93"/>
      <c r="U919" s="94"/>
      <c r="V919" s="95" t="s">
        <v>3212</v>
      </c>
      <c r="W919" s="96"/>
      <c r="Y919" s="85" t="s">
        <v>3218</v>
      </c>
      <c r="Z919" s="86"/>
      <c r="AA919" s="87" t="s">
        <v>3077</v>
      </c>
      <c r="AB919" s="88"/>
      <c r="AD919" s="77"/>
      <c r="AF919" s="54" t="str" cm="1">
        <f t="array" aca="1" ref="AF919" ca="1">IF(H919=0,"",HYPERLINK("#"&amp;RIGHT(CELL("adresse",OFFSET('DM01-AV-CH'!$G$6,H919-1,0)),LEN(CELL("adresse",OFFSET('DM01-AV-CH'!$G$6,H919-1,0)))-FIND("]",CELL("adresse",OFFSET('DM01-AV-CH'!$G$6,H919-1,0)))),"Modell"))</f>
        <v>Modell</v>
      </c>
      <c r="AG919" s="72" t="str" cm="1">
        <f t="array" ref="AG919">IF($H919=0,"",IF(INDEX('DM01-AV-CH'!G$6:G$834,$H919)="","",INDEX('DM01-AV-CH'!G$6:G$834,$H919)))</f>
        <v>Einzelobjekte</v>
      </c>
      <c r="AH919" s="73" t="str" cm="1">
        <f t="array" ref="AH919">IF($H919=0,"",IF(INDEX('DM01-AV-CH'!H$6:H$834,$H919)="","",INDEX('DM01-AV-CH'!H$6:H$834,$H919)))</f>
        <v>Objektname</v>
      </c>
      <c r="AI919" s="74" t="str" cm="1">
        <f t="array" ref="AI919">IF($H919=0,"",IF(INDEX('DM01-AV-CH'!I$6:I$834,$H919)="","",INDEX('DM01-AV-CH'!I$6:I$834,$H919)))</f>
        <v>Name</v>
      </c>
    </row>
    <row r="920" spans="1:35" x14ac:dyDescent="0.25">
      <c r="A920" s="57">
        <v>915</v>
      </c>
      <c r="B920" s="57">
        <f>IF($A920="","",IF(_xlfn.XLOOKUP($A920,Korrelation!$D$4:$D$1197,Korrelation!E$4:E$1197,"-",0)="-",0,MATCH(_xlfn.XLOOKUP($A920,Korrelation!$D$4:$D$1197,Korrelation!E$4:E$1197,"",0),DMAV_Modell!$G$6:$G$677,0)))</f>
        <v>0</v>
      </c>
      <c r="C920" s="57">
        <f>IF($A920="","",IF(_xlfn.XLOOKUP($A920,Korrelation!$D$4:$D$1197,Korrelation!F$4:F$1197,"-",0)="-",0,MATCH(_xlfn.XLOOKUP($A920,Korrelation!$D$4:$D$1197,Korrelation!F$4:F$1197,"",0),DMAV_Modell!$G$6:$G$677,0)))</f>
        <v>0</v>
      </c>
      <c r="D920" s="57">
        <f>IF($A920="","",IF(_xlfn.XLOOKUP($A920,Korrelation!$D$4:$D$1197,Korrelation!G$4:G$1197,"-",0)="-",0,MATCH(_xlfn.XLOOKUP($A920,Korrelation!$D$4:$D$1197,Korrelation!G$4:G$1197,"",0),DMAV_Modell!$G$6:$G$677,0)))</f>
        <v>0</v>
      </c>
      <c r="E920" s="57">
        <f>IF($A920="","",IF(_xlfn.XLOOKUP($A920,Korrelation!$D$4:$D$1197,Korrelation!H$4:H$1197,"-",0)="-",0,MATCH(_xlfn.XLOOKUP($A920,Korrelation!$D$4:$D$1197,Korrelation!H$4:H$1197,"",0),DMAV_Dienste!$F$6:$F$140,0)))</f>
        <v>0</v>
      </c>
      <c r="F920" s="57">
        <f>IF($A920="","",IF(_xlfn.XLOOKUP($A920,Korrelation!$D$4:$D$1197,Korrelation!I$4:I$1197,"-",0)="-",0,MATCH(_xlfn.XLOOKUP($A920,Korrelation!$D$4:$D$1197,Korrelation!I$4:I$1197,"",0),DMAV_Dienste!$F$6:$F$140,0)))</f>
        <v>0</v>
      </c>
      <c r="G920" s="57">
        <f>IF($A920="","",IF(_xlfn.XLOOKUP($A920,Korrelation!$D$4:$D$1197,Korrelation!J$4:J$1197,"-",0)="-",0,MATCH(_xlfn.XLOOKUP($A920,Korrelation!$D$4:$D$1197,Korrelation!J$4:J$1197,"",0),DMAV_Dienste!$F$6:$F$140,0)))</f>
        <v>0</v>
      </c>
      <c r="H920" s="57">
        <f>IF($A920="","",IF(_xlfn.XLOOKUP($A920,Korrelation!$D$4:$D$1197,Korrelation!K$4:K$1197,"-",0)="-",0,MATCH(_xlfn.XLOOKUP($A920,Korrelation!$D$4:$D$1197,Korrelation!K$4:K$1197,"",0),'DM01-AV-CH'!$A$6:$A$834,0)))</f>
        <v>328</v>
      </c>
      <c r="J920" s="54" t="str" cm="1">
        <f t="array" aca="1" ref="J920" ca="1">IF(B920=0,IF(E920=0,"",HYPERLINK("#"&amp;RIGHT(CELL("adresse",OFFSET(DMAV_Dienste!$M$6,E920-1,0)),LEN(CELL("adresse",OFFSET(DMAV_Dienste!$M$6,E920-1,0)))-FIND("]",CELL("adresse",OFFSET(DMAV_Dienste!$M$6,E920-1,0)))),"Dienst")),HYPERLINK("#"&amp;RIGHT(CELL("adresse",OFFSET(DMAV_Modell!$N$6,B920-1,0)),LEN(CELL("adresse",OFFSET(DMAV_Modell!$N$6,B920-1,0)))-FIND("]",CELL("adresse",OFFSET(DMAV_Modell!$N$6,B920-1,0)))),"Modell"))</f>
        <v/>
      </c>
      <c r="K920" s="61" t="str" cm="1">
        <f t="array" ref="K920">IF($B920=0,IF($E920=0,"",IF(INDEX(DMAV_Dienste!P$6:P$140,$E920)="","",INDEX(DMAV_Dienste!P$6:P$140,$E920))),IF(INDEX(DMAV_Modell!Q$6:Q$838,$B920)="","",INDEX(DMAV_Modell!Q$6:Q$838,$B920)))</f>
        <v/>
      </c>
      <c r="L920" s="62" t="str" cm="1">
        <f t="array" ref="L920">IF($B920=0,IF($E920=0,"",IF(INDEX(DMAV_Dienste!O$6:O$140,$E920)="","",INDEX(DMAV_Dienste!O$6:O$140,$E920))),IF(INDEX(DMAV_Modell!P$6:P$838,$B920)="","",INDEX(DMAV_Modell!P$6:P$838,$B920)))</f>
        <v/>
      </c>
      <c r="M920" s="62" t="str" cm="1">
        <f t="array" ref="M920">IF($B920=0,IF($E920=0,"",IF(INDEX(DMAV_Dienste!Q$6:Q$140,$E920)="","",INDEX(DMAV_Dienste!Q$6:Q$140,$E920))),IF(INDEX(DMAV_Modell!R$6:R$838,$B920)="","",INDEX(DMAV_Modell!R$6:R$838,$B920)))</f>
        <v/>
      </c>
      <c r="N920" s="62" t="str" cm="1">
        <f t="array" ref="N920">IF($B920=0,IF($E920=0,"",IF(INDEX(DMAV_Dienste!T$6:T$140,$E920)="","",INDEX(DMAV_Dienste!T$6:T$140,$E920))),IF(INDEX(DMAV_Modell!U$6:U$838,$B920)="","",INDEX(DMAV_Modell!U$6:U$838,$B920)))</f>
        <v/>
      </c>
      <c r="O920" s="63" t="str" cm="1">
        <f t="array" aca="1" ref="O920" ca="1">IF(C920=0,IF(F920=0,"",HYPERLINK("#"&amp;RIGHT(CELL("adresse",OFFSET(DMAV_Dienste!$M$6,F920-1,0)),LEN(CELL("adresse",OFFSET(DMAV_Dienste!$M$6,F920-1,0)))-FIND("]",CELL("adresse",OFFSET(DMAV_Dienste!$M$6,F920-1,0)))),"Structure")),HYPERLINK("#"&amp;RIGHT(CELL("adresse",OFFSET(DMAV_Modell!$N$6,C920-1,0)),LEN(CELL("adresse",OFFSET(DMAV_Modell!$N$6,C920-1,0)))-FIND("]",CELL("adresse",OFFSET(DMAV_Modell!$N$6,C920-1,0)))),"Structure"))</f>
        <v/>
      </c>
      <c r="P920" s="64" t="str" cm="1">
        <f t="array" aca="1" ref="P920" ca="1">IF(D920=0,IF(G920=0,"",HYPERLINK("#"&amp;RIGHT(CELL("adresse",OFFSET(DMAV_Dienste!$M$6,G920-1,0)),LEN(CELL("adresse",OFFSET(DMAV_Dienste!$M$6,G920-1,0)))-FIND("]",CELL("adresse",OFFSET(DMAV_Dienste!$M$6,G920-1,0)))),"Substructure")),HYPERLINK("#"&amp;RIGHT(CELL("adresse",OFFSET(DMAV_Modell!$N$6,D920-1,0)),LEN(CELL("adresse",OFFSET(DMAV_Modell!$N$6,D920-1,0)))-FIND("]",CELL("adresse",OFFSET(DMAV_Modell!$N$6,D920-1,0)))),"Substructure"))</f>
        <v/>
      </c>
      <c r="R920" s="80"/>
      <c r="T920" s="93"/>
      <c r="U920" s="94"/>
      <c r="V920" s="95"/>
      <c r="W920" s="96"/>
      <c r="Y920" s="85"/>
      <c r="Z920" s="86"/>
      <c r="AA920" s="87"/>
      <c r="AB920" s="88"/>
      <c r="AD920" s="77"/>
      <c r="AF920" s="54" t="str" cm="1">
        <f t="array" aca="1" ref="AF920" ca="1">IF(H920=0,"",HYPERLINK("#"&amp;RIGHT(CELL("adresse",OFFSET('DM01-AV-CH'!$G$6,H920-1,0)),LEN(CELL("adresse",OFFSET('DM01-AV-CH'!$G$6,H920-1,0)))-FIND("]",CELL("adresse",OFFSET('DM01-AV-CH'!$G$6,H920-1,0)))),"Modell"))</f>
        <v>Modell</v>
      </c>
      <c r="AG920" s="72" t="str" cm="1">
        <f t="array" ref="AG920">IF($H920=0,"",IF(INDEX('DM01-AV-CH'!G$6:G$834,$H920)="","",INDEX('DM01-AV-CH'!G$6:G$834,$H920)))</f>
        <v>Einzelobjekte</v>
      </c>
      <c r="AH920" s="73" t="str" cm="1">
        <f t="array" ref="AH920">IF($H920=0,"",IF(INDEX('DM01-AV-CH'!H$6:H$834,$H920)="","",INDEX('DM01-AV-CH'!H$6:H$834,$H920)))</f>
        <v>ObjektnamePos</v>
      </c>
      <c r="AI920" s="74" t="str" cm="1">
        <f t="array" ref="AI920">IF($H920=0,"",IF(INDEX('DM01-AV-CH'!I$6:I$834,$H920)="","",INDEX('DM01-AV-CH'!I$6:I$834,$H920)))</f>
        <v>ObjektnamePos_von</v>
      </c>
    </row>
    <row r="921" spans="1:35" ht="42.75" x14ac:dyDescent="0.25">
      <c r="A921" s="57">
        <v>916</v>
      </c>
      <c r="B921" s="57">
        <f>IF($A921="","",IF(_xlfn.XLOOKUP($A921,Korrelation!$D$4:$D$1197,Korrelation!E$4:E$1197,"-",0)="-",0,MATCH(_xlfn.XLOOKUP($A921,Korrelation!$D$4:$D$1197,Korrelation!E$4:E$1197,"",0),DMAV_Modell!$G$6:$G$677,0)))</f>
        <v>526</v>
      </c>
      <c r="C921" s="57">
        <f>IF($A921="","",IF(_xlfn.XLOOKUP($A921,Korrelation!$D$4:$D$1197,Korrelation!F$4:F$1197,"-",0)="-",0,MATCH(_xlfn.XLOOKUP($A921,Korrelation!$D$4:$D$1197,Korrelation!F$4:F$1197,"",0),DMAV_Modell!$G$6:$G$677,0)))</f>
        <v>516</v>
      </c>
      <c r="D921" s="57">
        <f>IF($A921="","",IF(_xlfn.XLOOKUP($A921,Korrelation!$D$4:$D$1197,Korrelation!G$4:G$1197,"-",0)="-",0,MATCH(_xlfn.XLOOKUP($A921,Korrelation!$D$4:$D$1197,Korrelation!G$4:G$1197,"",0),DMAV_Modell!$G$6:$G$677,0)))</f>
        <v>26</v>
      </c>
      <c r="E921" s="57">
        <f>IF($A921="","",IF(_xlfn.XLOOKUP($A921,Korrelation!$D$4:$D$1197,Korrelation!H$4:H$1197,"-",0)="-",0,MATCH(_xlfn.XLOOKUP($A921,Korrelation!$D$4:$D$1197,Korrelation!H$4:H$1197,"",0),DMAV_Dienste!$F$6:$F$140,0)))</f>
        <v>0</v>
      </c>
      <c r="F921" s="57">
        <f>IF($A921="","",IF(_xlfn.XLOOKUP($A921,Korrelation!$D$4:$D$1197,Korrelation!I$4:I$1197,"-",0)="-",0,MATCH(_xlfn.XLOOKUP($A921,Korrelation!$D$4:$D$1197,Korrelation!I$4:I$1197,"",0),DMAV_Dienste!$F$6:$F$140,0)))</f>
        <v>0</v>
      </c>
      <c r="G921" s="57">
        <f>IF($A921="","",IF(_xlfn.XLOOKUP($A921,Korrelation!$D$4:$D$1197,Korrelation!J$4:J$1197,"-",0)="-",0,MATCH(_xlfn.XLOOKUP($A921,Korrelation!$D$4:$D$1197,Korrelation!J$4:J$1197,"",0),DMAV_Dienste!$F$6:$F$140,0)))</f>
        <v>0</v>
      </c>
      <c r="H921" s="57">
        <f>IF($A921="","",IF(_xlfn.XLOOKUP($A921,Korrelation!$D$4:$D$1197,Korrelation!K$4:K$1197,"-",0)="-",0,MATCH(_xlfn.XLOOKUP($A921,Korrelation!$D$4:$D$1197,Korrelation!K$4:K$1197,"",0),'DM01-AV-CH'!$A$6:$A$834,0)))</f>
        <v>329</v>
      </c>
      <c r="J921" s="54" t="str" cm="1">
        <f t="array" aca="1" ref="J921" ca="1">IF(B921=0,IF(E921=0,"",HYPERLINK("#"&amp;RIGHT(CELL("adresse",OFFSET(DMAV_Dienste!$M$6,E921-1,0)),LEN(CELL("adresse",OFFSET(DMAV_Dienste!$M$6,E921-1,0)))-FIND("]",CELL("adresse",OFFSET(DMAV_Dienste!$M$6,E921-1,0)))),"Dienst")),HYPERLINK("#"&amp;RIGHT(CELL("adresse",OFFSET(DMAV_Modell!$N$6,B921-1,0)),LEN(CELL("adresse",OFFSET(DMAV_Modell!$N$6,B921-1,0)))-FIND("]",CELL("adresse",OFFSET(DMAV_Modell!$N$6,B921-1,0)))),"Modell"))</f>
        <v>Modell</v>
      </c>
      <c r="K921" s="61" t="str" cm="1">
        <f t="array" ref="K921">IF($B921=0,IF($E921=0,"",IF(INDEX(DMAV_Dienste!P$6:P$140,$E921)="","",INDEX(DMAV_Dienste!P$6:P$140,$E921))),IF(INDEX(DMAV_Modell!Q$6:Q$838,$B921)="","",INDEX(DMAV_Modell!Q$6:Q$838,$B921)))</f>
        <v>CLASS</v>
      </c>
      <c r="L921" s="62" t="str" cm="1">
        <f t="array" ref="L921">IF($B921=0,IF($E921=0,"",IF(INDEX(DMAV_Dienste!O$6:O$140,$E921)="","",INDEX(DMAV_Dienste!O$6:O$140,$E921))),IF(INDEX(DMAV_Modell!P$6:P$838,$B921)="","",INDEX(DMAV_Modell!P$6:P$838,$B921)))</f>
        <v>Einzelobjekte</v>
      </c>
      <c r="M921" s="62" t="str" cm="1">
        <f t="array" ref="M921">IF($B921=0,IF($E921=0,"",IF(INDEX(DMAV_Dienste!Q$6:Q$140,$E921)="","",INDEX(DMAV_Dienste!Q$6:Q$140,$E921))),IF(INDEX(DMAV_Modell!R$6:R$838,$B921)="","",INDEX(DMAV_Modell!R$6:R$838,$B921)))</f>
        <v>Einzelobjekt</v>
      </c>
      <c r="N921" s="62" t="str" cm="1">
        <f t="array" ref="N921">IF($B921=0,IF($E921=0,"",IF(INDEX(DMAV_Dienste!T$6:T$140,$E921)="","",INDEX(DMAV_Dienste!T$6:T$140,$E921))),IF(INDEX(DMAV_Modell!U$6:U$838,$B921)="","",INDEX(DMAV_Modell!U$6:U$838,$B921)))</f>
        <v>Objektname</v>
      </c>
      <c r="O921" s="63" t="str" cm="1">
        <f t="array" aca="1" ref="O921" ca="1">IF(C921=0,IF(F921=0,"",HYPERLINK("#"&amp;RIGHT(CELL("adresse",OFFSET(DMAV_Dienste!$M$6,F921-1,0)),LEN(CELL("adresse",OFFSET(DMAV_Dienste!$M$6,F921-1,0)))-FIND("]",CELL("adresse",OFFSET(DMAV_Dienste!$M$6,F921-1,0)))),"Structure")),HYPERLINK("#"&amp;RIGHT(CELL("adresse",OFFSET(DMAV_Modell!$N$6,C921-1,0)),LEN(CELL("adresse",OFFSET(DMAV_Modell!$N$6,C921-1,0)))-FIND("]",CELL("adresse",OFFSET(DMAV_Modell!$N$6,C921-1,0)))),"Structure"))</f>
        <v>Structure</v>
      </c>
      <c r="P921" s="64" t="str" cm="1">
        <f t="array" aca="1" ref="P921" ca="1">IF(D921=0,IF(G921=0,"",HYPERLINK("#"&amp;RIGHT(CELL("adresse",OFFSET(DMAV_Dienste!$M$6,G921-1,0)),LEN(CELL("adresse",OFFSET(DMAV_Dienste!$M$6,G921-1,0)))-FIND("]",CELL("adresse",OFFSET(DMAV_Dienste!$M$6,G921-1,0)))),"Substructure")),HYPERLINK("#"&amp;RIGHT(CELL("adresse",OFFSET(DMAV_Modell!$N$6,D921-1,0)),LEN(CELL("adresse",OFFSET(DMAV_Modell!$N$6,D921-1,0)))-FIND("]",CELL("adresse",OFFSET(DMAV_Modell!$N$6,D921-1,0)))),"Substructure"))</f>
        <v>Substructure</v>
      </c>
      <c r="R921" s="80"/>
      <c r="T921" s="93"/>
      <c r="U921" s="94"/>
      <c r="V921" s="95" t="s">
        <v>3213</v>
      </c>
      <c r="W921" s="96"/>
      <c r="Y921" s="85" t="s">
        <v>3218</v>
      </c>
      <c r="Z921" s="86"/>
      <c r="AA921" s="87" t="s">
        <v>3078</v>
      </c>
      <c r="AB921" s="88"/>
      <c r="AD921" s="77"/>
      <c r="AF921" s="54" t="str" cm="1">
        <f t="array" aca="1" ref="AF921" ca="1">IF(H921=0,"",HYPERLINK("#"&amp;RIGHT(CELL("adresse",OFFSET('DM01-AV-CH'!$G$6,H921-1,0)),LEN(CELL("adresse",OFFSET('DM01-AV-CH'!$G$6,H921-1,0)))-FIND("]",CELL("adresse",OFFSET('DM01-AV-CH'!$G$6,H921-1,0)))),"Modell"))</f>
        <v>Modell</v>
      </c>
      <c r="AG921" s="72" t="str" cm="1">
        <f t="array" ref="AG921">IF($H921=0,"",IF(INDEX('DM01-AV-CH'!G$6:G$834,$H921)="","",INDEX('DM01-AV-CH'!G$6:G$834,$H921)))</f>
        <v>Einzelobjekte</v>
      </c>
      <c r="AH921" s="73" t="str" cm="1">
        <f t="array" ref="AH921">IF($H921=0,"",IF(INDEX('DM01-AV-CH'!H$6:H$834,$H921)="","",INDEX('DM01-AV-CH'!H$6:H$834,$H921)))</f>
        <v>ObjektnamePos</v>
      </c>
      <c r="AI921" s="74" t="str" cm="1">
        <f t="array" ref="AI921">IF($H921=0,"",IF(INDEX('DM01-AV-CH'!I$6:I$834,$H921)="","",INDEX('DM01-AV-CH'!I$6:I$834,$H921)))</f>
        <v>Pos</v>
      </c>
    </row>
    <row r="922" spans="1:35" ht="42.75" x14ac:dyDescent="0.25">
      <c r="A922" s="57">
        <v>917</v>
      </c>
      <c r="B922" s="57">
        <f>IF($A922="","",IF(_xlfn.XLOOKUP($A922,Korrelation!$D$4:$D$1197,Korrelation!E$4:E$1197,"-",0)="-",0,MATCH(_xlfn.XLOOKUP($A922,Korrelation!$D$4:$D$1197,Korrelation!E$4:E$1197,"",0),DMAV_Modell!$G$6:$G$677,0)))</f>
        <v>526</v>
      </c>
      <c r="C922" s="57">
        <f>IF($A922="","",IF(_xlfn.XLOOKUP($A922,Korrelation!$D$4:$D$1197,Korrelation!F$4:F$1197,"-",0)="-",0,MATCH(_xlfn.XLOOKUP($A922,Korrelation!$D$4:$D$1197,Korrelation!F$4:F$1197,"",0),DMAV_Modell!$G$6:$G$677,0)))</f>
        <v>516</v>
      </c>
      <c r="D922" s="57">
        <f>IF($A922="","",IF(_xlfn.XLOOKUP($A922,Korrelation!$D$4:$D$1197,Korrelation!G$4:G$1197,"-",0)="-",0,MATCH(_xlfn.XLOOKUP($A922,Korrelation!$D$4:$D$1197,Korrelation!G$4:G$1197,"",0),DMAV_Modell!$G$6:$G$677,0)))</f>
        <v>27</v>
      </c>
      <c r="E922" s="57">
        <f>IF($A922="","",IF(_xlfn.XLOOKUP($A922,Korrelation!$D$4:$D$1197,Korrelation!H$4:H$1197,"-",0)="-",0,MATCH(_xlfn.XLOOKUP($A922,Korrelation!$D$4:$D$1197,Korrelation!H$4:H$1197,"",0),DMAV_Dienste!$F$6:$F$140,0)))</f>
        <v>0</v>
      </c>
      <c r="F922" s="57">
        <f>IF($A922="","",IF(_xlfn.XLOOKUP($A922,Korrelation!$D$4:$D$1197,Korrelation!I$4:I$1197,"-",0)="-",0,MATCH(_xlfn.XLOOKUP($A922,Korrelation!$D$4:$D$1197,Korrelation!I$4:I$1197,"",0),DMAV_Dienste!$F$6:$F$140,0)))</f>
        <v>0</v>
      </c>
      <c r="G922" s="57">
        <f>IF($A922="","",IF(_xlfn.XLOOKUP($A922,Korrelation!$D$4:$D$1197,Korrelation!J$4:J$1197,"-",0)="-",0,MATCH(_xlfn.XLOOKUP($A922,Korrelation!$D$4:$D$1197,Korrelation!J$4:J$1197,"",0),DMAV_Dienste!$F$6:$F$140,0)))</f>
        <v>0</v>
      </c>
      <c r="H922" s="57">
        <f>IF($A922="","",IF(_xlfn.XLOOKUP($A922,Korrelation!$D$4:$D$1197,Korrelation!K$4:K$1197,"-",0)="-",0,MATCH(_xlfn.XLOOKUP($A922,Korrelation!$D$4:$D$1197,Korrelation!K$4:K$1197,"",0),'DM01-AV-CH'!$A$6:$A$834,0)))</f>
        <v>330</v>
      </c>
      <c r="J922" s="54" t="str" cm="1">
        <f t="array" aca="1" ref="J922" ca="1">IF(B922=0,IF(E922=0,"",HYPERLINK("#"&amp;RIGHT(CELL("adresse",OFFSET(DMAV_Dienste!$M$6,E922-1,0)),LEN(CELL("adresse",OFFSET(DMAV_Dienste!$M$6,E922-1,0)))-FIND("]",CELL("adresse",OFFSET(DMAV_Dienste!$M$6,E922-1,0)))),"Dienst")),HYPERLINK("#"&amp;RIGHT(CELL("adresse",OFFSET(DMAV_Modell!$N$6,B922-1,0)),LEN(CELL("adresse",OFFSET(DMAV_Modell!$N$6,B922-1,0)))-FIND("]",CELL("adresse",OFFSET(DMAV_Modell!$N$6,B922-1,0)))),"Modell"))</f>
        <v>Modell</v>
      </c>
      <c r="K922" s="61" t="str" cm="1">
        <f t="array" ref="K922">IF($B922=0,IF($E922=0,"",IF(INDEX(DMAV_Dienste!P$6:P$140,$E922)="","",INDEX(DMAV_Dienste!P$6:P$140,$E922))),IF(INDEX(DMAV_Modell!Q$6:Q$838,$B922)="","",INDEX(DMAV_Modell!Q$6:Q$838,$B922)))</f>
        <v>CLASS</v>
      </c>
      <c r="L922" s="62" t="str" cm="1">
        <f t="array" ref="L922">IF($B922=0,IF($E922=0,"",IF(INDEX(DMAV_Dienste!O$6:O$140,$E922)="","",INDEX(DMAV_Dienste!O$6:O$140,$E922))),IF(INDEX(DMAV_Modell!P$6:P$838,$B922)="","",INDEX(DMAV_Modell!P$6:P$838,$B922)))</f>
        <v>Einzelobjekte</v>
      </c>
      <c r="M922" s="62" t="str" cm="1">
        <f t="array" ref="M922">IF($B922=0,IF($E922=0,"",IF(INDEX(DMAV_Dienste!Q$6:Q$140,$E922)="","",INDEX(DMAV_Dienste!Q$6:Q$140,$E922))),IF(INDEX(DMAV_Modell!R$6:R$838,$B922)="","",INDEX(DMAV_Modell!R$6:R$838,$B922)))</f>
        <v>Einzelobjekt</v>
      </c>
      <c r="N922" s="62" t="str" cm="1">
        <f t="array" ref="N922">IF($B922=0,IF($E922=0,"",IF(INDEX(DMAV_Dienste!T$6:T$140,$E922)="","",INDEX(DMAV_Dienste!T$6:T$140,$E922))),IF(INDEX(DMAV_Modell!U$6:U$838,$B922)="","",INDEX(DMAV_Modell!U$6:U$838,$B922)))</f>
        <v>Objektname</v>
      </c>
      <c r="O922" s="63" t="str" cm="1">
        <f t="array" aca="1" ref="O922" ca="1">IF(C922=0,IF(F922=0,"",HYPERLINK("#"&amp;RIGHT(CELL("adresse",OFFSET(DMAV_Dienste!$M$6,F922-1,0)),LEN(CELL("adresse",OFFSET(DMAV_Dienste!$M$6,F922-1,0)))-FIND("]",CELL("adresse",OFFSET(DMAV_Dienste!$M$6,F922-1,0)))),"Structure")),HYPERLINK("#"&amp;RIGHT(CELL("adresse",OFFSET(DMAV_Modell!$N$6,C922-1,0)),LEN(CELL("adresse",OFFSET(DMAV_Modell!$N$6,C922-1,0)))-FIND("]",CELL("adresse",OFFSET(DMAV_Modell!$N$6,C922-1,0)))),"Structure"))</f>
        <v>Structure</v>
      </c>
      <c r="P922" s="64" t="str" cm="1">
        <f t="array" aca="1" ref="P922" ca="1">IF(D922=0,IF(G922=0,"",HYPERLINK("#"&amp;RIGHT(CELL("adresse",OFFSET(DMAV_Dienste!$M$6,G922-1,0)),LEN(CELL("adresse",OFFSET(DMAV_Dienste!$M$6,G922-1,0)))-FIND("]",CELL("adresse",OFFSET(DMAV_Dienste!$M$6,G922-1,0)))),"Substructure")),HYPERLINK("#"&amp;RIGHT(CELL("adresse",OFFSET(DMAV_Modell!$N$6,D922-1,0)),LEN(CELL("adresse",OFFSET(DMAV_Modell!$N$6,D922-1,0)))-FIND("]",CELL("adresse",OFFSET(DMAV_Modell!$N$6,D922-1,0)))),"Substructure"))</f>
        <v>Substructure</v>
      </c>
      <c r="R922" s="80"/>
      <c r="T922" s="93"/>
      <c r="U922" s="94"/>
      <c r="V922" s="95" t="s">
        <v>3214</v>
      </c>
      <c r="W922" s="96"/>
      <c r="Y922" s="85" t="s">
        <v>3218</v>
      </c>
      <c r="Z922" s="86"/>
      <c r="AA922" s="87" t="s">
        <v>3079</v>
      </c>
      <c r="AB922" s="88"/>
      <c r="AD922" s="77"/>
      <c r="AF922" s="54" t="str" cm="1">
        <f t="array" aca="1" ref="AF922" ca="1">IF(H922=0,"",HYPERLINK("#"&amp;RIGHT(CELL("adresse",OFFSET('DM01-AV-CH'!$G$6,H922-1,0)),LEN(CELL("adresse",OFFSET('DM01-AV-CH'!$G$6,H922-1,0)))-FIND("]",CELL("adresse",OFFSET('DM01-AV-CH'!$G$6,H922-1,0)))),"Modell"))</f>
        <v>Modell</v>
      </c>
      <c r="AG922" s="72" t="str" cm="1">
        <f t="array" ref="AG922">IF($H922=0,"",IF(INDEX('DM01-AV-CH'!G$6:G$834,$H922)="","",INDEX('DM01-AV-CH'!G$6:G$834,$H922)))</f>
        <v>Einzelobjekte</v>
      </c>
      <c r="AH922" s="73" t="str" cm="1">
        <f t="array" ref="AH922">IF($H922=0,"",IF(INDEX('DM01-AV-CH'!H$6:H$834,$H922)="","",INDEX('DM01-AV-CH'!H$6:H$834,$H922)))</f>
        <v>ObjektnamePos</v>
      </c>
      <c r="AI922" s="74" t="str" cm="1">
        <f t="array" ref="AI922">IF($H922=0,"",IF(INDEX('DM01-AV-CH'!I$6:I$834,$H922)="","",INDEX('DM01-AV-CH'!I$6:I$834,$H922)))</f>
        <v>Ori</v>
      </c>
    </row>
    <row r="923" spans="1:35" ht="42.75" x14ac:dyDescent="0.25">
      <c r="A923" s="57">
        <v>918</v>
      </c>
      <c r="B923" s="57">
        <f>IF($A923="","",IF(_xlfn.XLOOKUP($A923,Korrelation!$D$4:$D$1197,Korrelation!E$4:E$1197,"-",0)="-",0,MATCH(_xlfn.XLOOKUP($A923,Korrelation!$D$4:$D$1197,Korrelation!E$4:E$1197,"",0),DMAV_Modell!$G$6:$G$677,0)))</f>
        <v>526</v>
      </c>
      <c r="C923" s="57">
        <f>IF($A923="","",IF(_xlfn.XLOOKUP($A923,Korrelation!$D$4:$D$1197,Korrelation!F$4:F$1197,"-",0)="-",0,MATCH(_xlfn.XLOOKUP($A923,Korrelation!$D$4:$D$1197,Korrelation!F$4:F$1197,"",0),DMAV_Modell!$G$6:$G$677,0)))</f>
        <v>516</v>
      </c>
      <c r="D923" s="57">
        <f>IF($A923="","",IF(_xlfn.XLOOKUP($A923,Korrelation!$D$4:$D$1197,Korrelation!G$4:G$1197,"-",0)="-",0,MATCH(_xlfn.XLOOKUP($A923,Korrelation!$D$4:$D$1197,Korrelation!G$4:G$1197,"",0),DMAV_Modell!$G$6:$G$677,0)))</f>
        <v>30</v>
      </c>
      <c r="E923" s="57">
        <f>IF($A923="","",IF(_xlfn.XLOOKUP($A923,Korrelation!$D$4:$D$1197,Korrelation!H$4:H$1197,"-",0)="-",0,MATCH(_xlfn.XLOOKUP($A923,Korrelation!$D$4:$D$1197,Korrelation!H$4:H$1197,"",0),DMAV_Dienste!$F$6:$F$140,0)))</f>
        <v>0</v>
      </c>
      <c r="F923" s="57">
        <f>IF($A923="","",IF(_xlfn.XLOOKUP($A923,Korrelation!$D$4:$D$1197,Korrelation!I$4:I$1197,"-",0)="-",0,MATCH(_xlfn.XLOOKUP($A923,Korrelation!$D$4:$D$1197,Korrelation!I$4:I$1197,"",0),DMAV_Dienste!$F$6:$F$140,0)))</f>
        <v>0</v>
      </c>
      <c r="G923" s="57">
        <f>IF($A923="","",IF(_xlfn.XLOOKUP($A923,Korrelation!$D$4:$D$1197,Korrelation!J$4:J$1197,"-",0)="-",0,MATCH(_xlfn.XLOOKUP($A923,Korrelation!$D$4:$D$1197,Korrelation!J$4:J$1197,"",0),DMAV_Dienste!$F$6:$F$140,0)))</f>
        <v>0</v>
      </c>
      <c r="H923" s="57">
        <f>IF($A923="","",IF(_xlfn.XLOOKUP($A923,Korrelation!$D$4:$D$1197,Korrelation!K$4:K$1197,"-",0)="-",0,MATCH(_xlfn.XLOOKUP($A923,Korrelation!$D$4:$D$1197,Korrelation!K$4:K$1197,"",0),'DM01-AV-CH'!$A$6:$A$834,0)))</f>
        <v>331</v>
      </c>
      <c r="J923" s="54" t="str" cm="1">
        <f t="array" aca="1" ref="J923" ca="1">IF(B923=0,IF(E923=0,"",HYPERLINK("#"&amp;RIGHT(CELL("adresse",OFFSET(DMAV_Dienste!$M$6,E923-1,0)),LEN(CELL("adresse",OFFSET(DMAV_Dienste!$M$6,E923-1,0)))-FIND("]",CELL("adresse",OFFSET(DMAV_Dienste!$M$6,E923-1,0)))),"Dienst")),HYPERLINK("#"&amp;RIGHT(CELL("adresse",OFFSET(DMAV_Modell!$N$6,B923-1,0)),LEN(CELL("adresse",OFFSET(DMAV_Modell!$N$6,B923-1,0)))-FIND("]",CELL("adresse",OFFSET(DMAV_Modell!$N$6,B923-1,0)))),"Modell"))</f>
        <v>Modell</v>
      </c>
      <c r="K923" s="61" t="str" cm="1">
        <f t="array" ref="K923">IF($B923=0,IF($E923=0,"",IF(INDEX(DMAV_Dienste!P$6:P$140,$E923)="","",INDEX(DMAV_Dienste!P$6:P$140,$E923))),IF(INDEX(DMAV_Modell!Q$6:Q$838,$B923)="","",INDEX(DMAV_Modell!Q$6:Q$838,$B923)))</f>
        <v>CLASS</v>
      </c>
      <c r="L923" s="62" t="str" cm="1">
        <f t="array" ref="L923">IF($B923=0,IF($E923=0,"",IF(INDEX(DMAV_Dienste!O$6:O$140,$E923)="","",INDEX(DMAV_Dienste!O$6:O$140,$E923))),IF(INDEX(DMAV_Modell!P$6:P$838,$B923)="","",INDEX(DMAV_Modell!P$6:P$838,$B923)))</f>
        <v>Einzelobjekte</v>
      </c>
      <c r="M923" s="62" t="str" cm="1">
        <f t="array" ref="M923">IF($B923=0,IF($E923=0,"",IF(INDEX(DMAV_Dienste!Q$6:Q$140,$E923)="","",INDEX(DMAV_Dienste!Q$6:Q$140,$E923))),IF(INDEX(DMAV_Modell!R$6:R$838,$B923)="","",INDEX(DMAV_Modell!R$6:R$838,$B923)))</f>
        <v>Einzelobjekt</v>
      </c>
      <c r="N923" s="62" t="str" cm="1">
        <f t="array" ref="N923">IF($B923=0,IF($E923=0,"",IF(INDEX(DMAV_Dienste!T$6:T$140,$E923)="","",INDEX(DMAV_Dienste!T$6:T$140,$E923))),IF(INDEX(DMAV_Modell!U$6:U$838,$B923)="","",INDEX(DMAV_Modell!U$6:U$838,$B923)))</f>
        <v>Objektname</v>
      </c>
      <c r="O923" s="63" t="str" cm="1">
        <f t="array" aca="1" ref="O923" ca="1">IF(C923=0,IF(F923=0,"",HYPERLINK("#"&amp;RIGHT(CELL("adresse",OFFSET(DMAV_Dienste!$M$6,F923-1,0)),LEN(CELL("adresse",OFFSET(DMAV_Dienste!$M$6,F923-1,0)))-FIND("]",CELL("adresse",OFFSET(DMAV_Dienste!$M$6,F923-1,0)))),"Structure")),HYPERLINK("#"&amp;RIGHT(CELL("adresse",OFFSET(DMAV_Modell!$N$6,C923-1,0)),LEN(CELL("adresse",OFFSET(DMAV_Modell!$N$6,C923-1,0)))-FIND("]",CELL("adresse",OFFSET(DMAV_Modell!$N$6,C923-1,0)))),"Structure"))</f>
        <v>Structure</v>
      </c>
      <c r="P923" s="64" t="str" cm="1">
        <f t="array" aca="1" ref="P923" ca="1">IF(D923=0,IF(G923=0,"",HYPERLINK("#"&amp;RIGHT(CELL("adresse",OFFSET(DMAV_Dienste!$M$6,G923-1,0)),LEN(CELL("adresse",OFFSET(DMAV_Dienste!$M$6,G923-1,0)))-FIND("]",CELL("adresse",OFFSET(DMAV_Dienste!$M$6,G923-1,0)))),"Substructure")),HYPERLINK("#"&amp;RIGHT(CELL("adresse",OFFSET(DMAV_Modell!$N$6,D923-1,0)),LEN(CELL("adresse",OFFSET(DMAV_Modell!$N$6,D923-1,0)))-FIND("]",CELL("adresse",OFFSET(DMAV_Modell!$N$6,D923-1,0)))),"Substructure"))</f>
        <v>Substructure</v>
      </c>
      <c r="R923" s="80"/>
      <c r="T923" s="93"/>
      <c r="U923" s="94"/>
      <c r="V923" s="95" t="s">
        <v>3215</v>
      </c>
      <c r="W923" s="96"/>
      <c r="Y923" s="85" t="s">
        <v>3218</v>
      </c>
      <c r="Z923" s="86"/>
      <c r="AA923" s="87" t="s">
        <v>3080</v>
      </c>
      <c r="AB923" s="88"/>
      <c r="AD923" s="77"/>
      <c r="AF923" s="54" t="str" cm="1">
        <f t="array" aca="1" ref="AF923" ca="1">IF(H923=0,"",HYPERLINK("#"&amp;RIGHT(CELL("adresse",OFFSET('DM01-AV-CH'!$G$6,H923-1,0)),LEN(CELL("adresse",OFFSET('DM01-AV-CH'!$G$6,H923-1,0)))-FIND("]",CELL("adresse",OFFSET('DM01-AV-CH'!$G$6,H923-1,0)))),"Modell"))</f>
        <v>Modell</v>
      </c>
      <c r="AG923" s="72" t="str" cm="1">
        <f t="array" ref="AG923">IF($H923=0,"",IF(INDEX('DM01-AV-CH'!G$6:G$834,$H923)="","",INDEX('DM01-AV-CH'!G$6:G$834,$H923)))</f>
        <v>Einzelobjekte</v>
      </c>
      <c r="AH923" s="73" t="str" cm="1">
        <f t="array" ref="AH923">IF($H923=0,"",IF(INDEX('DM01-AV-CH'!H$6:H$834,$H923)="","",INDEX('DM01-AV-CH'!H$6:H$834,$H923)))</f>
        <v>ObjektnamePos</v>
      </c>
      <c r="AI923" s="74" t="str" cm="1">
        <f t="array" ref="AI923">IF($H923=0,"",IF(INDEX('DM01-AV-CH'!I$6:I$834,$H923)="","",INDEX('DM01-AV-CH'!I$6:I$834,$H923)))</f>
        <v>HAli</v>
      </c>
    </row>
    <row r="924" spans="1:35" ht="42.75" x14ac:dyDescent="0.25">
      <c r="A924" s="57">
        <v>919</v>
      </c>
      <c r="B924" s="57">
        <f>IF($A924="","",IF(_xlfn.XLOOKUP($A924,Korrelation!$D$4:$D$1197,Korrelation!E$4:E$1197,"-",0)="-",0,MATCH(_xlfn.XLOOKUP($A924,Korrelation!$D$4:$D$1197,Korrelation!E$4:E$1197,"",0),DMAV_Modell!$G$6:$G$677,0)))</f>
        <v>526</v>
      </c>
      <c r="C924" s="57">
        <f>IF($A924="","",IF(_xlfn.XLOOKUP($A924,Korrelation!$D$4:$D$1197,Korrelation!F$4:F$1197,"-",0)="-",0,MATCH(_xlfn.XLOOKUP($A924,Korrelation!$D$4:$D$1197,Korrelation!F$4:F$1197,"",0),DMAV_Modell!$G$6:$G$677,0)))</f>
        <v>516</v>
      </c>
      <c r="D924" s="57">
        <f>IF($A924="","",IF(_xlfn.XLOOKUP($A924,Korrelation!$D$4:$D$1197,Korrelation!G$4:G$1197,"-",0)="-",0,MATCH(_xlfn.XLOOKUP($A924,Korrelation!$D$4:$D$1197,Korrelation!G$4:G$1197,"",0),DMAV_Modell!$G$6:$G$677,0)))</f>
        <v>31</v>
      </c>
      <c r="E924" s="57">
        <f>IF($A924="","",IF(_xlfn.XLOOKUP($A924,Korrelation!$D$4:$D$1197,Korrelation!H$4:H$1197,"-",0)="-",0,MATCH(_xlfn.XLOOKUP($A924,Korrelation!$D$4:$D$1197,Korrelation!H$4:H$1197,"",0),DMAV_Dienste!$F$6:$F$140,0)))</f>
        <v>0</v>
      </c>
      <c r="F924" s="57">
        <f>IF($A924="","",IF(_xlfn.XLOOKUP($A924,Korrelation!$D$4:$D$1197,Korrelation!I$4:I$1197,"-",0)="-",0,MATCH(_xlfn.XLOOKUP($A924,Korrelation!$D$4:$D$1197,Korrelation!I$4:I$1197,"",0),DMAV_Dienste!$F$6:$F$140,0)))</f>
        <v>0</v>
      </c>
      <c r="G924" s="57">
        <f>IF($A924="","",IF(_xlfn.XLOOKUP($A924,Korrelation!$D$4:$D$1197,Korrelation!J$4:J$1197,"-",0)="-",0,MATCH(_xlfn.XLOOKUP($A924,Korrelation!$D$4:$D$1197,Korrelation!J$4:J$1197,"",0),DMAV_Dienste!$F$6:$F$140,0)))</f>
        <v>0</v>
      </c>
      <c r="H924" s="57">
        <f>IF($A924="","",IF(_xlfn.XLOOKUP($A924,Korrelation!$D$4:$D$1197,Korrelation!K$4:K$1197,"-",0)="-",0,MATCH(_xlfn.XLOOKUP($A924,Korrelation!$D$4:$D$1197,Korrelation!K$4:K$1197,"",0),'DM01-AV-CH'!$A$6:$A$834,0)))</f>
        <v>332</v>
      </c>
      <c r="J924" s="54" t="str" cm="1">
        <f t="array" aca="1" ref="J924" ca="1">IF(B924=0,IF(E924=0,"",HYPERLINK("#"&amp;RIGHT(CELL("adresse",OFFSET(DMAV_Dienste!$M$6,E924-1,0)),LEN(CELL("adresse",OFFSET(DMAV_Dienste!$M$6,E924-1,0)))-FIND("]",CELL("adresse",OFFSET(DMAV_Dienste!$M$6,E924-1,0)))),"Dienst")),HYPERLINK("#"&amp;RIGHT(CELL("adresse",OFFSET(DMAV_Modell!$N$6,B924-1,0)),LEN(CELL("adresse",OFFSET(DMAV_Modell!$N$6,B924-1,0)))-FIND("]",CELL("adresse",OFFSET(DMAV_Modell!$N$6,B924-1,0)))),"Modell"))</f>
        <v>Modell</v>
      </c>
      <c r="K924" s="61" t="str" cm="1">
        <f t="array" ref="K924">IF($B924=0,IF($E924=0,"",IF(INDEX(DMAV_Dienste!P$6:P$140,$E924)="","",INDEX(DMAV_Dienste!P$6:P$140,$E924))),IF(INDEX(DMAV_Modell!Q$6:Q$838,$B924)="","",INDEX(DMAV_Modell!Q$6:Q$838,$B924)))</f>
        <v>CLASS</v>
      </c>
      <c r="L924" s="62" t="str" cm="1">
        <f t="array" ref="L924">IF($B924=0,IF($E924=0,"",IF(INDEX(DMAV_Dienste!O$6:O$140,$E924)="","",INDEX(DMAV_Dienste!O$6:O$140,$E924))),IF(INDEX(DMAV_Modell!P$6:P$838,$B924)="","",INDEX(DMAV_Modell!P$6:P$838,$B924)))</f>
        <v>Einzelobjekte</v>
      </c>
      <c r="M924" s="62" t="str" cm="1">
        <f t="array" ref="M924">IF($B924=0,IF($E924=0,"",IF(INDEX(DMAV_Dienste!Q$6:Q$140,$E924)="","",INDEX(DMAV_Dienste!Q$6:Q$140,$E924))),IF(INDEX(DMAV_Modell!R$6:R$838,$B924)="","",INDEX(DMAV_Modell!R$6:R$838,$B924)))</f>
        <v>Einzelobjekt</v>
      </c>
      <c r="N924" s="62" t="str" cm="1">
        <f t="array" ref="N924">IF($B924=0,IF($E924=0,"",IF(INDEX(DMAV_Dienste!T$6:T$140,$E924)="","",INDEX(DMAV_Dienste!T$6:T$140,$E924))),IF(INDEX(DMAV_Modell!U$6:U$838,$B924)="","",INDEX(DMAV_Modell!U$6:U$838,$B924)))</f>
        <v>Objektname</v>
      </c>
      <c r="O924" s="63" t="str" cm="1">
        <f t="array" aca="1" ref="O924" ca="1">IF(C924=0,IF(F924=0,"",HYPERLINK("#"&amp;RIGHT(CELL("adresse",OFFSET(DMAV_Dienste!$M$6,F924-1,0)),LEN(CELL("adresse",OFFSET(DMAV_Dienste!$M$6,F924-1,0)))-FIND("]",CELL("adresse",OFFSET(DMAV_Dienste!$M$6,F924-1,0)))),"Structure")),HYPERLINK("#"&amp;RIGHT(CELL("adresse",OFFSET(DMAV_Modell!$N$6,C924-1,0)),LEN(CELL("adresse",OFFSET(DMAV_Modell!$N$6,C924-1,0)))-FIND("]",CELL("adresse",OFFSET(DMAV_Modell!$N$6,C924-1,0)))),"Structure"))</f>
        <v>Structure</v>
      </c>
      <c r="P924" s="64" t="str" cm="1">
        <f t="array" aca="1" ref="P924" ca="1">IF(D924=0,IF(G924=0,"",HYPERLINK("#"&amp;RIGHT(CELL("adresse",OFFSET(DMAV_Dienste!$M$6,G924-1,0)),LEN(CELL("adresse",OFFSET(DMAV_Dienste!$M$6,G924-1,0)))-FIND("]",CELL("adresse",OFFSET(DMAV_Dienste!$M$6,G924-1,0)))),"Substructure")),HYPERLINK("#"&amp;RIGHT(CELL("adresse",OFFSET(DMAV_Modell!$N$6,D924-1,0)),LEN(CELL("adresse",OFFSET(DMAV_Modell!$N$6,D924-1,0)))-FIND("]",CELL("adresse",OFFSET(DMAV_Modell!$N$6,D924-1,0)))),"Substructure"))</f>
        <v>Substructure</v>
      </c>
      <c r="R924" s="80"/>
      <c r="T924" s="93"/>
      <c r="U924" s="94"/>
      <c r="V924" s="95" t="s">
        <v>3216</v>
      </c>
      <c r="W924" s="96"/>
      <c r="Y924" s="85" t="s">
        <v>3218</v>
      </c>
      <c r="Z924" s="86"/>
      <c r="AA924" s="87" t="s">
        <v>3081</v>
      </c>
      <c r="AB924" s="88"/>
      <c r="AD924" s="77"/>
      <c r="AF924" s="54" t="str" cm="1">
        <f t="array" aca="1" ref="AF924" ca="1">IF(H924=0,"",HYPERLINK("#"&amp;RIGHT(CELL("adresse",OFFSET('DM01-AV-CH'!$G$6,H924-1,0)),LEN(CELL("adresse",OFFSET('DM01-AV-CH'!$G$6,H924-1,0)))-FIND("]",CELL("adresse",OFFSET('DM01-AV-CH'!$G$6,H924-1,0)))),"Modell"))</f>
        <v>Modell</v>
      </c>
      <c r="AG924" s="72" t="str" cm="1">
        <f t="array" ref="AG924">IF($H924=0,"",IF(INDEX('DM01-AV-CH'!G$6:G$834,$H924)="","",INDEX('DM01-AV-CH'!G$6:G$834,$H924)))</f>
        <v>Einzelobjekte</v>
      </c>
      <c r="AH924" s="73" t="str" cm="1">
        <f t="array" ref="AH924">IF($H924=0,"",IF(INDEX('DM01-AV-CH'!H$6:H$834,$H924)="","",INDEX('DM01-AV-CH'!H$6:H$834,$H924)))</f>
        <v>ObjektnamePos</v>
      </c>
      <c r="AI924" s="74" t="str" cm="1">
        <f t="array" ref="AI924">IF($H924=0,"",IF(INDEX('DM01-AV-CH'!I$6:I$834,$H924)="","",INDEX('DM01-AV-CH'!I$6:I$834,$H924)))</f>
        <v>VAli</v>
      </c>
    </row>
    <row r="925" spans="1:35" ht="42.75" x14ac:dyDescent="0.25">
      <c r="A925" s="57">
        <v>920</v>
      </c>
      <c r="B925" s="57">
        <f>IF($A925="","",IF(_xlfn.XLOOKUP($A925,Korrelation!$D$4:$D$1197,Korrelation!E$4:E$1197,"-",0)="-",0,MATCH(_xlfn.XLOOKUP($A925,Korrelation!$D$4:$D$1197,Korrelation!E$4:E$1197,"",0),DMAV_Modell!$G$6:$G$677,0)))</f>
        <v>526</v>
      </c>
      <c r="C925" s="57">
        <f>IF($A925="","",IF(_xlfn.XLOOKUP($A925,Korrelation!$D$4:$D$1197,Korrelation!F$4:F$1197,"-",0)="-",0,MATCH(_xlfn.XLOOKUP($A925,Korrelation!$D$4:$D$1197,Korrelation!F$4:F$1197,"",0),DMAV_Modell!$G$6:$G$677,0)))</f>
        <v>516</v>
      </c>
      <c r="D925" s="57">
        <f>IF($A925="","",IF(_xlfn.XLOOKUP($A925,Korrelation!$D$4:$D$1197,Korrelation!G$4:G$1197,"-",0)="-",0,MATCH(_xlfn.XLOOKUP($A925,Korrelation!$D$4:$D$1197,Korrelation!G$4:G$1197,"",0),DMAV_Modell!$G$6:$G$677,0)))</f>
        <v>29</v>
      </c>
      <c r="E925" s="57">
        <f>IF($A925="","",IF(_xlfn.XLOOKUP($A925,Korrelation!$D$4:$D$1197,Korrelation!H$4:H$1197,"-",0)="-",0,MATCH(_xlfn.XLOOKUP($A925,Korrelation!$D$4:$D$1197,Korrelation!H$4:H$1197,"",0),DMAV_Dienste!$F$6:$F$140,0)))</f>
        <v>0</v>
      </c>
      <c r="F925" s="57">
        <f>IF($A925="","",IF(_xlfn.XLOOKUP($A925,Korrelation!$D$4:$D$1197,Korrelation!I$4:I$1197,"-",0)="-",0,MATCH(_xlfn.XLOOKUP($A925,Korrelation!$D$4:$D$1197,Korrelation!I$4:I$1197,"",0),DMAV_Dienste!$F$6:$F$140,0)))</f>
        <v>0</v>
      </c>
      <c r="G925" s="57">
        <f>IF($A925="","",IF(_xlfn.XLOOKUP($A925,Korrelation!$D$4:$D$1197,Korrelation!J$4:J$1197,"-",0)="-",0,MATCH(_xlfn.XLOOKUP($A925,Korrelation!$D$4:$D$1197,Korrelation!J$4:J$1197,"",0),DMAV_Dienste!$F$6:$F$140,0)))</f>
        <v>0</v>
      </c>
      <c r="H925" s="57">
        <f>IF($A925="","",IF(_xlfn.XLOOKUP($A925,Korrelation!$D$4:$D$1197,Korrelation!K$4:K$1197,"-",0)="-",0,MATCH(_xlfn.XLOOKUP($A925,Korrelation!$D$4:$D$1197,Korrelation!K$4:K$1197,"",0),'DM01-AV-CH'!$A$6:$A$834,0)))</f>
        <v>333</v>
      </c>
      <c r="J925" s="54" t="str" cm="1">
        <f t="array" aca="1" ref="J925" ca="1">IF(B925=0,IF(E925=0,"",HYPERLINK("#"&amp;RIGHT(CELL("adresse",OFFSET(DMAV_Dienste!$M$6,E925-1,0)),LEN(CELL("adresse",OFFSET(DMAV_Dienste!$M$6,E925-1,0)))-FIND("]",CELL("adresse",OFFSET(DMAV_Dienste!$M$6,E925-1,0)))),"Dienst")),HYPERLINK("#"&amp;RIGHT(CELL("adresse",OFFSET(DMAV_Modell!$N$6,B925-1,0)),LEN(CELL("adresse",OFFSET(DMAV_Modell!$N$6,B925-1,0)))-FIND("]",CELL("adresse",OFFSET(DMAV_Modell!$N$6,B925-1,0)))),"Modell"))</f>
        <v>Modell</v>
      </c>
      <c r="K925" s="61" t="str" cm="1">
        <f t="array" ref="K925">IF($B925=0,IF($E925=0,"",IF(INDEX(DMAV_Dienste!P$6:P$140,$E925)="","",INDEX(DMAV_Dienste!P$6:P$140,$E925))),IF(INDEX(DMAV_Modell!Q$6:Q$838,$B925)="","",INDEX(DMAV_Modell!Q$6:Q$838,$B925)))</f>
        <v>CLASS</v>
      </c>
      <c r="L925" s="62" t="str" cm="1">
        <f t="array" ref="L925">IF($B925=0,IF($E925=0,"",IF(INDEX(DMAV_Dienste!O$6:O$140,$E925)="","",INDEX(DMAV_Dienste!O$6:O$140,$E925))),IF(INDEX(DMAV_Modell!P$6:P$838,$B925)="","",INDEX(DMAV_Modell!P$6:P$838,$B925)))</f>
        <v>Einzelobjekte</v>
      </c>
      <c r="M925" s="62" t="str" cm="1">
        <f t="array" ref="M925">IF($B925=0,IF($E925=0,"",IF(INDEX(DMAV_Dienste!Q$6:Q$140,$E925)="","",INDEX(DMAV_Dienste!Q$6:Q$140,$E925))),IF(INDEX(DMAV_Modell!R$6:R$838,$B925)="","",INDEX(DMAV_Modell!R$6:R$838,$B925)))</f>
        <v>Einzelobjekt</v>
      </c>
      <c r="N925" s="62" t="str" cm="1">
        <f t="array" ref="N925">IF($B925=0,IF($E925=0,"",IF(INDEX(DMAV_Dienste!T$6:T$140,$E925)="","",INDEX(DMAV_Dienste!T$6:T$140,$E925))),IF(INDEX(DMAV_Modell!U$6:U$838,$B925)="","",INDEX(DMAV_Modell!U$6:U$838,$B925)))</f>
        <v>Objektname</v>
      </c>
      <c r="O925" s="63" t="str" cm="1">
        <f t="array" aca="1" ref="O925" ca="1">IF(C925=0,IF(F925=0,"",HYPERLINK("#"&amp;RIGHT(CELL("adresse",OFFSET(DMAV_Dienste!$M$6,F925-1,0)),LEN(CELL("adresse",OFFSET(DMAV_Dienste!$M$6,F925-1,0)))-FIND("]",CELL("adresse",OFFSET(DMAV_Dienste!$M$6,F925-1,0)))),"Structure")),HYPERLINK("#"&amp;RIGHT(CELL("adresse",OFFSET(DMAV_Modell!$N$6,C925-1,0)),LEN(CELL("adresse",OFFSET(DMAV_Modell!$N$6,C925-1,0)))-FIND("]",CELL("adresse",OFFSET(DMAV_Modell!$N$6,C925-1,0)))),"Structure"))</f>
        <v>Structure</v>
      </c>
      <c r="P925" s="64" t="str" cm="1">
        <f t="array" aca="1" ref="P925" ca="1">IF(D925=0,IF(G925=0,"",HYPERLINK("#"&amp;RIGHT(CELL("adresse",OFFSET(DMAV_Dienste!$M$6,G925-1,0)),LEN(CELL("adresse",OFFSET(DMAV_Dienste!$M$6,G925-1,0)))-FIND("]",CELL("adresse",OFFSET(DMAV_Dienste!$M$6,G925-1,0)))),"Substructure")),HYPERLINK("#"&amp;RIGHT(CELL("adresse",OFFSET(DMAV_Modell!$N$6,D925-1,0)),LEN(CELL("adresse",OFFSET(DMAV_Modell!$N$6,D925-1,0)))-FIND("]",CELL("adresse",OFFSET(DMAV_Modell!$N$6,D925-1,0)))),"Substructure"))</f>
        <v>Substructure</v>
      </c>
      <c r="R925" s="80"/>
      <c r="T925" s="93"/>
      <c r="U925" s="94"/>
      <c r="V925" s="95" t="s">
        <v>3217</v>
      </c>
      <c r="W925" s="96"/>
      <c r="Y925" s="85" t="s">
        <v>3218</v>
      </c>
      <c r="Z925" s="86"/>
      <c r="AA925" s="87" t="s">
        <v>3082</v>
      </c>
      <c r="AB925" s="88"/>
      <c r="AD925" s="77"/>
      <c r="AF925" s="54" t="str" cm="1">
        <f t="array" aca="1" ref="AF925" ca="1">IF(H925=0,"",HYPERLINK("#"&amp;RIGHT(CELL("adresse",OFFSET('DM01-AV-CH'!$G$6,H925-1,0)),LEN(CELL("adresse",OFFSET('DM01-AV-CH'!$G$6,H925-1,0)))-FIND("]",CELL("adresse",OFFSET('DM01-AV-CH'!$G$6,H925-1,0)))),"Modell"))</f>
        <v>Modell</v>
      </c>
      <c r="AG925" s="72" t="str" cm="1">
        <f t="array" ref="AG925">IF($H925=0,"",IF(INDEX('DM01-AV-CH'!G$6:G$834,$H925)="","",INDEX('DM01-AV-CH'!G$6:G$834,$H925)))</f>
        <v>Einzelobjekte</v>
      </c>
      <c r="AH925" s="73" t="str" cm="1">
        <f t="array" ref="AH925">IF($H925=0,"",IF(INDEX('DM01-AV-CH'!H$6:H$834,$H925)="","",INDEX('DM01-AV-CH'!H$6:H$834,$H925)))</f>
        <v>ObjektnamePos</v>
      </c>
      <c r="AI925" s="74" t="str" cm="1">
        <f t="array" ref="AI925">IF($H925=0,"",IF(INDEX('DM01-AV-CH'!I$6:I$834,$H925)="","",INDEX('DM01-AV-CH'!I$6:I$834,$H925)))</f>
        <v>Groesse</v>
      </c>
    </row>
    <row r="926" spans="1:35" x14ac:dyDescent="0.25">
      <c r="A926" s="57">
        <v>921</v>
      </c>
      <c r="B926" s="57">
        <f>IF($A926="","",IF(_xlfn.XLOOKUP($A926,Korrelation!$D$4:$D$1197,Korrelation!E$4:E$1197,"-",0)="-",0,MATCH(_xlfn.XLOOKUP($A926,Korrelation!$D$4:$D$1197,Korrelation!E$4:E$1197,"",0),DMAV_Modell!$G$6:$G$677,0)))</f>
        <v>527</v>
      </c>
      <c r="C926" s="57">
        <f>IF($A926="","",IF(_xlfn.XLOOKUP($A926,Korrelation!$D$4:$D$1197,Korrelation!F$4:F$1197,"-",0)="-",0,MATCH(_xlfn.XLOOKUP($A926,Korrelation!$D$4:$D$1197,Korrelation!F$4:F$1197,"",0),DMAV_Modell!$G$6:$G$677,0)))</f>
        <v>0</v>
      </c>
      <c r="D926" s="57">
        <f>IF($A926="","",IF(_xlfn.XLOOKUP($A926,Korrelation!$D$4:$D$1197,Korrelation!G$4:G$1197,"-",0)="-",0,MATCH(_xlfn.XLOOKUP($A926,Korrelation!$D$4:$D$1197,Korrelation!G$4:G$1197,"",0),DMAV_Modell!$G$6:$G$677,0)))</f>
        <v>0</v>
      </c>
      <c r="E926" s="57">
        <f>IF($A926="","",IF(_xlfn.XLOOKUP($A926,Korrelation!$D$4:$D$1197,Korrelation!H$4:H$1197,"-",0)="-",0,MATCH(_xlfn.XLOOKUP($A926,Korrelation!$D$4:$D$1197,Korrelation!H$4:H$1197,"",0),DMAV_Dienste!$F$6:$F$140,0)))</f>
        <v>0</v>
      </c>
      <c r="F926" s="57">
        <f>IF($A926="","",IF(_xlfn.XLOOKUP($A926,Korrelation!$D$4:$D$1197,Korrelation!I$4:I$1197,"-",0)="-",0,MATCH(_xlfn.XLOOKUP($A926,Korrelation!$D$4:$D$1197,Korrelation!I$4:I$1197,"",0),DMAV_Dienste!$F$6:$F$140,0)))</f>
        <v>0</v>
      </c>
      <c r="G926" s="57">
        <f>IF($A926="","",IF(_xlfn.XLOOKUP($A926,Korrelation!$D$4:$D$1197,Korrelation!J$4:J$1197,"-",0)="-",0,MATCH(_xlfn.XLOOKUP($A926,Korrelation!$D$4:$D$1197,Korrelation!J$4:J$1197,"",0),DMAV_Dienste!$F$6:$F$140,0)))</f>
        <v>0</v>
      </c>
      <c r="H926" s="57">
        <f>IF($A926="","",IF(_xlfn.XLOOKUP($A926,Korrelation!$D$4:$D$1197,Korrelation!K$4:K$1197,"-",0)="-",0,MATCH(_xlfn.XLOOKUP($A926,Korrelation!$D$4:$D$1197,Korrelation!K$4:K$1197,"",0),'DM01-AV-CH'!$A$6:$A$834,0)))</f>
        <v>336</v>
      </c>
      <c r="J926" s="54" t="str" cm="1">
        <f t="array" aca="1" ref="J926" ca="1">IF(B926=0,IF(E926=0,"",HYPERLINK("#"&amp;RIGHT(CELL("adresse",OFFSET(DMAV_Dienste!$M$6,E926-1,0)),LEN(CELL("adresse",OFFSET(DMAV_Dienste!$M$6,E926-1,0)))-FIND("]",CELL("adresse",OFFSET(DMAV_Dienste!$M$6,E926-1,0)))),"Dienst")),HYPERLINK("#"&amp;RIGHT(CELL("adresse",OFFSET(DMAV_Modell!$N$6,B926-1,0)),LEN(CELL("adresse",OFFSET(DMAV_Modell!$N$6,B926-1,0)))-FIND("]",CELL("adresse",OFFSET(DMAV_Modell!$N$6,B926-1,0)))),"Modell"))</f>
        <v>Modell</v>
      </c>
      <c r="K926" s="61" t="str" cm="1">
        <f t="array" ref="K926">IF($B926=0,IF($E926=0,"",IF(INDEX(DMAV_Dienste!P$6:P$140,$E926)="","",INDEX(DMAV_Dienste!P$6:P$140,$E926))),IF(INDEX(DMAV_Modell!Q$6:Q$838,$B926)="","",INDEX(DMAV_Modell!Q$6:Q$838,$B926)))</f>
        <v>CLASS</v>
      </c>
      <c r="L926" s="62" t="str" cm="1">
        <f t="array" ref="L926">IF($B926=0,IF($E926=0,"",IF(INDEX(DMAV_Dienste!O$6:O$140,$E926)="","",INDEX(DMAV_Dienste!O$6:O$140,$E926))),IF(INDEX(DMAV_Modell!P$6:P$838,$B926)="","",INDEX(DMAV_Modell!P$6:P$838,$B926)))</f>
        <v>Einzelobjekte</v>
      </c>
      <c r="M926" s="62" t="str" cm="1">
        <f t="array" ref="M926">IF($B926=0,IF($E926=0,"",IF(INDEX(DMAV_Dienste!Q$6:Q$140,$E926)="","",INDEX(DMAV_Dienste!Q$6:Q$140,$E926))),IF(INDEX(DMAV_Modell!R$6:R$838,$B926)="","",INDEX(DMAV_Modell!R$6:R$838,$B926)))</f>
        <v>Einzelobjekt</v>
      </c>
      <c r="N926" s="62" t="str" cm="1">
        <f t="array" ref="N926">IF($B926=0,IF($E926=0,"",IF(INDEX(DMAV_Dienste!T$6:T$140,$E926)="","",INDEX(DMAV_Dienste!T$6:T$140,$E926))),IF(INDEX(DMAV_Modell!U$6:U$838,$B926)="","",INDEX(DMAV_Modell!U$6:U$838,$B926)))</f>
        <v>EGID</v>
      </c>
      <c r="O926" s="63" t="str" cm="1">
        <f t="array" aca="1" ref="O926" ca="1">IF(C926=0,IF(F926=0,"",HYPERLINK("#"&amp;RIGHT(CELL("adresse",OFFSET(DMAV_Dienste!$M$6,F926-1,0)),LEN(CELL("adresse",OFFSET(DMAV_Dienste!$M$6,F926-1,0)))-FIND("]",CELL("adresse",OFFSET(DMAV_Dienste!$M$6,F926-1,0)))),"Structure")),HYPERLINK("#"&amp;RIGHT(CELL("adresse",OFFSET(DMAV_Modell!$N$6,C926-1,0)),LEN(CELL("adresse",OFFSET(DMAV_Modell!$N$6,C926-1,0)))-FIND("]",CELL("adresse",OFFSET(DMAV_Modell!$N$6,C926-1,0)))),"Structure"))</f>
        <v/>
      </c>
      <c r="P926" s="64" t="str" cm="1">
        <f t="array" aca="1" ref="P926" ca="1">IF(D926=0,IF(G926=0,"",HYPERLINK("#"&amp;RIGHT(CELL("adresse",OFFSET(DMAV_Dienste!$M$6,G926-1,0)),LEN(CELL("adresse",OFFSET(DMAV_Dienste!$M$6,G926-1,0)))-FIND("]",CELL("adresse",OFFSET(DMAV_Dienste!$M$6,G926-1,0)))),"Substructure")),HYPERLINK("#"&amp;RIGHT(CELL("adresse",OFFSET(DMAV_Modell!$N$6,D926-1,0)),LEN(CELL("adresse",OFFSET(DMAV_Modell!$N$6,D926-1,0)))-FIND("]",CELL("adresse",OFFSET(DMAV_Modell!$N$6,D926-1,0)))),"Substructure"))</f>
        <v/>
      </c>
      <c r="R926" s="80"/>
      <c r="T926" s="93"/>
      <c r="U926" s="94"/>
      <c r="V926" s="95"/>
      <c r="W926" s="96"/>
      <c r="Y926" s="85"/>
      <c r="Z926" s="86"/>
      <c r="AA926" s="87"/>
      <c r="AB926" s="88"/>
      <c r="AD926" s="77"/>
      <c r="AF926" s="54" t="str" cm="1">
        <f t="array" aca="1" ref="AF926" ca="1">IF(H926=0,"",HYPERLINK("#"&amp;RIGHT(CELL("adresse",OFFSET('DM01-AV-CH'!$G$6,H926-1,0)),LEN(CELL("adresse",OFFSET('DM01-AV-CH'!$G$6,H926-1,0)))-FIND("]",CELL("adresse",OFFSET('DM01-AV-CH'!$G$6,H926-1,0)))),"Modell"))</f>
        <v>Modell</v>
      </c>
      <c r="AG926" s="72" t="str" cm="1">
        <f t="array" ref="AG926">IF($H926=0,"",IF(INDEX('DM01-AV-CH'!G$6:G$834,$H926)="","",INDEX('DM01-AV-CH'!G$6:G$834,$H926)))</f>
        <v>Einzelobjekte</v>
      </c>
      <c r="AH926" s="73" t="str" cm="1">
        <f t="array" ref="AH926">IF($H926=0,"",IF(INDEX('DM01-AV-CH'!H$6:H$834,$H926)="","",INDEX('DM01-AV-CH'!H$6:H$834,$H926)))</f>
        <v>Objektnummer</v>
      </c>
      <c r="AI926" s="74" t="str" cm="1">
        <f t="array" ref="AI926">IF($H926=0,"",IF(INDEX('DM01-AV-CH'!I$6:I$834,$H926)="","",INDEX('DM01-AV-CH'!I$6:I$834,$H926)))</f>
        <v>GWR_EGID</v>
      </c>
    </row>
    <row r="927" spans="1:35" x14ac:dyDescent="0.25">
      <c r="A927" s="57">
        <v>922</v>
      </c>
      <c r="B927" s="57">
        <f>IF($A927="","",IF(_xlfn.XLOOKUP($A927,Korrelation!$D$4:$D$1197,Korrelation!E$4:E$1197,"-",0)="-",0,MATCH(_xlfn.XLOOKUP($A927,Korrelation!$D$4:$D$1197,Korrelation!E$4:E$1197,"",0),DMAV_Modell!$G$6:$G$677,0)))</f>
        <v>528</v>
      </c>
      <c r="C927" s="57">
        <f>IF($A927="","",IF(_xlfn.XLOOKUP($A927,Korrelation!$D$4:$D$1197,Korrelation!F$4:F$1197,"-",0)="-",0,MATCH(_xlfn.XLOOKUP($A927,Korrelation!$D$4:$D$1197,Korrelation!F$4:F$1197,"",0),DMAV_Modell!$G$6:$G$677,0)))</f>
        <v>0</v>
      </c>
      <c r="D927" s="57">
        <f>IF($A927="","",IF(_xlfn.XLOOKUP($A927,Korrelation!$D$4:$D$1197,Korrelation!G$4:G$1197,"-",0)="-",0,MATCH(_xlfn.XLOOKUP($A927,Korrelation!$D$4:$D$1197,Korrelation!G$4:G$1197,"",0),DMAV_Modell!$G$6:$G$677,0)))</f>
        <v>0</v>
      </c>
      <c r="E927" s="57">
        <f>IF($A927="","",IF(_xlfn.XLOOKUP($A927,Korrelation!$D$4:$D$1197,Korrelation!H$4:H$1197,"-",0)="-",0,MATCH(_xlfn.XLOOKUP($A927,Korrelation!$D$4:$D$1197,Korrelation!H$4:H$1197,"",0),DMAV_Dienste!$F$6:$F$140,0)))</f>
        <v>0</v>
      </c>
      <c r="F927" s="57">
        <f>IF($A927="","",IF(_xlfn.XLOOKUP($A927,Korrelation!$D$4:$D$1197,Korrelation!I$4:I$1197,"-",0)="-",0,MATCH(_xlfn.XLOOKUP($A927,Korrelation!$D$4:$D$1197,Korrelation!I$4:I$1197,"",0),DMAV_Dienste!$F$6:$F$140,0)))</f>
        <v>0</v>
      </c>
      <c r="G927" s="57">
        <f>IF($A927="","",IF(_xlfn.XLOOKUP($A927,Korrelation!$D$4:$D$1197,Korrelation!J$4:J$1197,"-",0)="-",0,MATCH(_xlfn.XLOOKUP($A927,Korrelation!$D$4:$D$1197,Korrelation!J$4:J$1197,"",0),DMAV_Dienste!$F$6:$F$140,0)))</f>
        <v>0</v>
      </c>
      <c r="H927" s="57">
        <f>IF($A927="","",IF(_xlfn.XLOOKUP($A927,Korrelation!$D$4:$D$1197,Korrelation!K$4:K$1197,"-",0)="-",0,MATCH(_xlfn.XLOOKUP($A927,Korrelation!$D$4:$D$1197,Korrelation!K$4:K$1197,"",0),'DM01-AV-CH'!$A$6:$A$834,0)))</f>
        <v>0</v>
      </c>
      <c r="J927" s="54" t="str" cm="1">
        <f t="array" aca="1" ref="J927" ca="1">IF(B927=0,IF(E927=0,"",HYPERLINK("#"&amp;RIGHT(CELL("adresse",OFFSET(DMAV_Dienste!$M$6,E927-1,0)),LEN(CELL("adresse",OFFSET(DMAV_Dienste!$M$6,E927-1,0)))-FIND("]",CELL("adresse",OFFSET(DMAV_Dienste!$M$6,E927-1,0)))),"Dienst")),HYPERLINK("#"&amp;RIGHT(CELL("adresse",OFFSET(DMAV_Modell!$N$6,B927-1,0)),LEN(CELL("adresse",OFFSET(DMAV_Modell!$N$6,B927-1,0)))-FIND("]",CELL("adresse",OFFSET(DMAV_Modell!$N$6,B927-1,0)))),"Modell"))</f>
        <v>Modell</v>
      </c>
      <c r="K927" s="61" t="str" cm="1">
        <f t="array" ref="K927">IF($B927=0,IF($E927=0,"",IF(INDEX(DMAV_Dienste!P$6:P$140,$E927)="","",INDEX(DMAV_Dienste!P$6:P$140,$E927))),IF(INDEX(DMAV_Modell!Q$6:Q$838,$B927)="","",INDEX(DMAV_Modell!Q$6:Q$838,$B927)))</f>
        <v>CLASS</v>
      </c>
      <c r="L927" s="62" t="str" cm="1">
        <f t="array" ref="L927">IF($B927=0,IF($E927=0,"",IF(INDEX(DMAV_Dienste!O$6:O$140,$E927)="","",INDEX(DMAV_Dienste!O$6:O$140,$E927))),IF(INDEX(DMAV_Modell!P$6:P$838,$B927)="","",INDEX(DMAV_Modell!P$6:P$838,$B927)))</f>
        <v>Einzelobjekte</v>
      </c>
      <c r="M927" s="62" t="str" cm="1">
        <f t="array" ref="M927">IF($B927=0,IF($E927=0,"",IF(INDEX(DMAV_Dienste!Q$6:Q$140,$E927)="","",INDEX(DMAV_Dienste!Q$6:Q$140,$E927))),IF(INDEX(DMAV_Modell!R$6:R$838,$B927)="","",INDEX(DMAV_Modell!R$6:R$838,$B927)))</f>
        <v>Einzelobjekt</v>
      </c>
      <c r="N927" s="62" t="str" cm="1">
        <f t="array" ref="N927">IF($B927=0,IF($E927=0,"",IF(INDEX(DMAV_Dienste!T$6:T$140,$E927)="","",INDEX(DMAV_Dienste!T$6:T$140,$E927))),IF(INDEX(DMAV_Modell!U$6:U$838,$B927)="","",INDEX(DMAV_Modell!U$6:U$838,$B927)))</f>
        <v>Objektstatus</v>
      </c>
      <c r="O927" s="63" t="str" cm="1">
        <f t="array" aca="1" ref="O927" ca="1">IF(C927=0,IF(F927=0,"",HYPERLINK("#"&amp;RIGHT(CELL("adresse",OFFSET(DMAV_Dienste!$M$6,F927-1,0)),LEN(CELL("adresse",OFFSET(DMAV_Dienste!$M$6,F927-1,0)))-FIND("]",CELL("adresse",OFFSET(DMAV_Dienste!$M$6,F927-1,0)))),"Structure")),HYPERLINK("#"&amp;RIGHT(CELL("adresse",OFFSET(DMAV_Modell!$N$6,C927-1,0)),LEN(CELL("adresse",OFFSET(DMAV_Modell!$N$6,C927-1,0)))-FIND("]",CELL("adresse",OFFSET(DMAV_Modell!$N$6,C927-1,0)))),"Structure"))</f>
        <v/>
      </c>
      <c r="P927" s="64" t="str" cm="1">
        <f t="array" aca="1" ref="P927" ca="1">IF(D927=0,IF(G927=0,"",HYPERLINK("#"&amp;RIGHT(CELL("adresse",OFFSET(DMAV_Dienste!$M$6,G927-1,0)),LEN(CELL("adresse",OFFSET(DMAV_Dienste!$M$6,G927-1,0)))-FIND("]",CELL("adresse",OFFSET(DMAV_Dienste!$M$6,G927-1,0)))),"Substructure")),HYPERLINK("#"&amp;RIGHT(CELL("adresse",OFFSET(DMAV_Modell!$N$6,D927-1,0)),LEN(CELL("adresse",OFFSET(DMAV_Modell!$N$6,D927-1,0)))-FIND("]",CELL("adresse",OFFSET(DMAV_Modell!$N$6,D927-1,0)))),"Substructure"))</f>
        <v/>
      </c>
      <c r="R927" s="80" t="s">
        <v>396</v>
      </c>
      <c r="T927" s="93"/>
      <c r="U927" s="94"/>
      <c r="V927" s="95"/>
      <c r="W927" s="96"/>
      <c r="Y927" s="85"/>
      <c r="Z927" s="86"/>
      <c r="AA927" s="87"/>
      <c r="AB927" s="88"/>
      <c r="AD927" s="77"/>
      <c r="AF927" s="54" t="str" cm="1">
        <f t="array" aca="1" ref="AF927" ca="1">IF(H927=0,"",HYPERLINK("#"&amp;RIGHT(CELL("adresse",OFFSET('DM01-AV-CH'!$G$6,H927-1,0)),LEN(CELL("adresse",OFFSET('DM01-AV-CH'!$G$6,H927-1,0)))-FIND("]",CELL("adresse",OFFSET('DM01-AV-CH'!$G$6,H927-1,0)))),"Modell"))</f>
        <v/>
      </c>
      <c r="AG927" s="72" t="str" cm="1">
        <f t="array" ref="AG927">IF($H927=0,"",IF(INDEX('DM01-AV-CH'!G$6:G$834,$H927)="","",INDEX('DM01-AV-CH'!G$6:G$834,$H927)))</f>
        <v/>
      </c>
      <c r="AH927" s="73" t="str" cm="1">
        <f t="array" ref="AH927">IF($H927=0,"",IF(INDEX('DM01-AV-CH'!H$6:H$834,$H927)="","",INDEX('DM01-AV-CH'!H$6:H$834,$H927)))</f>
        <v/>
      </c>
      <c r="AI927" s="74" t="str" cm="1">
        <f t="array" ref="AI927">IF($H927=0,"",IF(INDEX('DM01-AV-CH'!I$6:I$834,$H927)="","",INDEX('DM01-AV-CH'!I$6:I$834,$H927)))</f>
        <v/>
      </c>
    </row>
    <row r="928" spans="1:35" x14ac:dyDescent="0.25">
      <c r="A928" s="57">
        <v>923</v>
      </c>
      <c r="B928" s="57">
        <f>IF($A928="","",IF(_xlfn.XLOOKUP($A928,Korrelation!$D$4:$D$1197,Korrelation!E$4:E$1197,"-",0)="-",0,MATCH(_xlfn.XLOOKUP($A928,Korrelation!$D$4:$D$1197,Korrelation!E$4:E$1197,"",0),DMAV_Modell!$G$6:$G$677,0)))</f>
        <v>529</v>
      </c>
      <c r="C928" s="57">
        <f>IF($A928="","",IF(_xlfn.XLOOKUP($A928,Korrelation!$D$4:$D$1197,Korrelation!F$4:F$1197,"-",0)="-",0,MATCH(_xlfn.XLOOKUP($A928,Korrelation!$D$4:$D$1197,Korrelation!F$4:F$1197,"",0),DMAV_Modell!$G$6:$G$677,0)))</f>
        <v>0</v>
      </c>
      <c r="D928" s="57">
        <f>IF($A928="","",IF(_xlfn.XLOOKUP($A928,Korrelation!$D$4:$D$1197,Korrelation!G$4:G$1197,"-",0)="-",0,MATCH(_xlfn.XLOOKUP($A928,Korrelation!$D$4:$D$1197,Korrelation!G$4:G$1197,"",0),DMAV_Modell!$G$6:$G$677,0)))</f>
        <v>0</v>
      </c>
      <c r="E928" s="57">
        <f>IF($A928="","",IF(_xlfn.XLOOKUP($A928,Korrelation!$D$4:$D$1197,Korrelation!H$4:H$1197,"-",0)="-",0,MATCH(_xlfn.XLOOKUP($A928,Korrelation!$D$4:$D$1197,Korrelation!H$4:H$1197,"",0),DMAV_Dienste!$F$6:$F$140,0)))</f>
        <v>0</v>
      </c>
      <c r="F928" s="57">
        <f>IF($A928="","",IF(_xlfn.XLOOKUP($A928,Korrelation!$D$4:$D$1197,Korrelation!I$4:I$1197,"-",0)="-",0,MATCH(_xlfn.XLOOKUP($A928,Korrelation!$D$4:$D$1197,Korrelation!I$4:I$1197,"",0),DMAV_Dienste!$F$6:$F$140,0)))</f>
        <v>0</v>
      </c>
      <c r="G928" s="57">
        <f>IF($A928="","",IF(_xlfn.XLOOKUP($A928,Korrelation!$D$4:$D$1197,Korrelation!J$4:J$1197,"-",0)="-",0,MATCH(_xlfn.XLOOKUP($A928,Korrelation!$D$4:$D$1197,Korrelation!J$4:J$1197,"",0),DMAV_Dienste!$F$6:$F$140,0)))</f>
        <v>0</v>
      </c>
      <c r="H928" s="57">
        <f>IF($A928="","",IF(_xlfn.XLOOKUP($A928,Korrelation!$D$4:$D$1197,Korrelation!K$4:K$1197,"-",0)="-",0,MATCH(_xlfn.XLOOKUP($A928,Korrelation!$D$4:$D$1197,Korrelation!K$4:K$1197,"",0),'DM01-AV-CH'!$A$6:$A$834,0)))</f>
        <v>0</v>
      </c>
      <c r="J928" s="54" t="str" cm="1">
        <f t="array" aca="1" ref="J928" ca="1">IF(B928=0,IF(E928=0,"",HYPERLINK("#"&amp;RIGHT(CELL("adresse",OFFSET(DMAV_Dienste!$M$6,E928-1,0)),LEN(CELL("adresse",OFFSET(DMAV_Dienste!$M$6,E928-1,0)))-FIND("]",CELL("adresse",OFFSET(DMAV_Dienste!$M$6,E928-1,0)))),"Dienst")),HYPERLINK("#"&amp;RIGHT(CELL("adresse",OFFSET(DMAV_Modell!$N$6,B928-1,0)),LEN(CELL("adresse",OFFSET(DMAV_Modell!$N$6,B928-1,0)))-FIND("]",CELL("adresse",OFFSET(DMAV_Modell!$N$6,B928-1,0)))),"Modell"))</f>
        <v>Modell</v>
      </c>
      <c r="K928" s="61" t="str" cm="1">
        <f t="array" ref="K928">IF($B928=0,IF($E928=0,"",IF(INDEX(DMAV_Dienste!P$6:P$140,$E928)="","",INDEX(DMAV_Dienste!P$6:P$140,$E928))),IF(INDEX(DMAV_Modell!Q$6:Q$838,$B928)="","",INDEX(DMAV_Modell!Q$6:Q$838,$B928)))</f>
        <v>CLASS.CONSTRAINT</v>
      </c>
      <c r="L928" s="62" t="str" cm="1">
        <f t="array" ref="L928">IF($B928=0,IF($E928=0,"",IF(INDEX(DMAV_Dienste!O$6:O$140,$E928)="","",INDEX(DMAV_Dienste!O$6:O$140,$E928))),IF(INDEX(DMAV_Modell!P$6:P$838,$B928)="","",INDEX(DMAV_Modell!P$6:P$838,$B928)))</f>
        <v>Einzelobjekte</v>
      </c>
      <c r="M928" s="62" t="str" cm="1">
        <f t="array" ref="M928">IF($B928=0,IF($E928=0,"",IF(INDEX(DMAV_Dienste!Q$6:Q$140,$E928)="","",INDEX(DMAV_Dienste!Q$6:Q$140,$E928))),IF(INDEX(DMAV_Modell!R$6:R$838,$B928)="","",INDEX(DMAV_Modell!R$6:R$838,$B928)))</f>
        <v>Einzelobjekt</v>
      </c>
      <c r="N928" s="62" t="str" cm="1">
        <f t="array" ref="N928">IF($B928=0,IF($E928=0,"",IF(INDEX(DMAV_Dienste!T$6:T$140,$E928)="","",INDEX(DMAV_Dienste!T$6:T$140,$E928))),IF(INDEX(DMAV_Modell!U$6:U$838,$B928)="","",INDEX(DMAV_Modell!U$6:U$838,$B928)))</f>
        <v>INTERLIS.elementCount(@PH1@)&gt;0 OR INTERLIS.elementCount(@PH2@)&gt;0 OR INTERLIS.elementCount(@PH3@)&gt;0</v>
      </c>
      <c r="O928" s="63" t="str" cm="1">
        <f t="array" aca="1" ref="O928" ca="1">IF(C928=0,IF(F928=0,"",HYPERLINK("#"&amp;RIGHT(CELL("adresse",OFFSET(DMAV_Dienste!$M$6,F928-1,0)),LEN(CELL("adresse",OFFSET(DMAV_Dienste!$M$6,F928-1,0)))-FIND("]",CELL("adresse",OFFSET(DMAV_Dienste!$M$6,F928-1,0)))),"Structure")),HYPERLINK("#"&amp;RIGHT(CELL("adresse",OFFSET(DMAV_Modell!$N$6,C928-1,0)),LEN(CELL("adresse",OFFSET(DMAV_Modell!$N$6,C928-1,0)))-FIND("]",CELL("adresse",OFFSET(DMAV_Modell!$N$6,C928-1,0)))),"Structure"))</f>
        <v/>
      </c>
      <c r="P928" s="64" t="str" cm="1">
        <f t="array" aca="1" ref="P928" ca="1">IF(D928=0,IF(G928=0,"",HYPERLINK("#"&amp;RIGHT(CELL("adresse",OFFSET(DMAV_Dienste!$M$6,G928-1,0)),LEN(CELL("adresse",OFFSET(DMAV_Dienste!$M$6,G928-1,0)))-FIND("]",CELL("adresse",OFFSET(DMAV_Dienste!$M$6,G928-1,0)))),"Substructure")),HYPERLINK("#"&amp;RIGHT(CELL("adresse",OFFSET(DMAV_Modell!$N$6,D928-1,0)),LEN(CELL("adresse",OFFSET(DMAV_Modell!$N$6,D928-1,0)))-FIND("]",CELL("adresse",OFFSET(DMAV_Modell!$N$6,D928-1,0)))),"Substructure"))</f>
        <v/>
      </c>
      <c r="R928" s="80"/>
      <c r="T928" s="93"/>
      <c r="U928" s="94"/>
      <c r="V928" s="95"/>
      <c r="W928" s="96"/>
      <c r="Y928" s="85"/>
      <c r="Z928" s="86"/>
      <c r="AA928" s="87"/>
      <c r="AB928" s="88"/>
      <c r="AD928" s="77"/>
      <c r="AF928" s="54" t="str" cm="1">
        <f t="array" aca="1" ref="AF928" ca="1">IF(H928=0,"",HYPERLINK("#"&amp;RIGHT(CELL("adresse",OFFSET('DM01-AV-CH'!$G$6,H928-1,0)),LEN(CELL("adresse",OFFSET('DM01-AV-CH'!$G$6,H928-1,0)))-FIND("]",CELL("adresse",OFFSET('DM01-AV-CH'!$G$6,H928-1,0)))),"Modell"))</f>
        <v/>
      </c>
      <c r="AG928" s="72" t="str" cm="1">
        <f t="array" ref="AG928">IF($H928=0,"",IF(INDEX('DM01-AV-CH'!G$6:G$834,$H928)="","",INDEX('DM01-AV-CH'!G$6:G$834,$H928)))</f>
        <v/>
      </c>
      <c r="AH928" s="73" t="str" cm="1">
        <f t="array" ref="AH928">IF($H928=0,"",IF(INDEX('DM01-AV-CH'!H$6:H$834,$H928)="","",INDEX('DM01-AV-CH'!H$6:H$834,$H928)))</f>
        <v/>
      </c>
      <c r="AI928" s="74" t="str" cm="1">
        <f t="array" ref="AI928">IF($H928=0,"",IF(INDEX('DM01-AV-CH'!I$6:I$834,$H928)="","",INDEX('DM01-AV-CH'!I$6:I$834,$H928)))</f>
        <v/>
      </c>
    </row>
    <row r="929" spans="1:35" x14ac:dyDescent="0.25">
      <c r="A929" s="57">
        <v>924</v>
      </c>
      <c r="B929" s="57">
        <f>IF($A929="","",IF(_xlfn.XLOOKUP($A929,Korrelation!$D$4:$D$1197,Korrelation!E$4:E$1197,"-",0)="-",0,MATCH(_xlfn.XLOOKUP($A929,Korrelation!$D$4:$D$1197,Korrelation!E$4:E$1197,"",0),DMAV_Modell!$G$6:$G$677,0)))</f>
        <v>530</v>
      </c>
      <c r="C929" s="57">
        <f>IF($A929="","",IF(_xlfn.XLOOKUP($A929,Korrelation!$D$4:$D$1197,Korrelation!F$4:F$1197,"-",0)="-",0,MATCH(_xlfn.XLOOKUP($A929,Korrelation!$D$4:$D$1197,Korrelation!F$4:F$1197,"",0),DMAV_Modell!$G$6:$G$677,0)))</f>
        <v>0</v>
      </c>
      <c r="D929" s="57">
        <f>IF($A929="","",IF(_xlfn.XLOOKUP($A929,Korrelation!$D$4:$D$1197,Korrelation!G$4:G$1197,"-",0)="-",0,MATCH(_xlfn.XLOOKUP($A929,Korrelation!$D$4:$D$1197,Korrelation!G$4:G$1197,"",0),DMAV_Modell!$G$6:$G$677,0)))</f>
        <v>0</v>
      </c>
      <c r="E929" s="57">
        <f>IF($A929="","",IF(_xlfn.XLOOKUP($A929,Korrelation!$D$4:$D$1197,Korrelation!H$4:H$1197,"-",0)="-",0,MATCH(_xlfn.XLOOKUP($A929,Korrelation!$D$4:$D$1197,Korrelation!H$4:H$1197,"",0),DMAV_Dienste!$F$6:$F$140,0)))</f>
        <v>0</v>
      </c>
      <c r="F929" s="57">
        <f>IF($A929="","",IF(_xlfn.XLOOKUP($A929,Korrelation!$D$4:$D$1197,Korrelation!I$4:I$1197,"-",0)="-",0,MATCH(_xlfn.XLOOKUP($A929,Korrelation!$D$4:$D$1197,Korrelation!I$4:I$1197,"",0),DMAV_Dienste!$F$6:$F$140,0)))</f>
        <v>0</v>
      </c>
      <c r="G929" s="57">
        <f>IF($A929="","",IF(_xlfn.XLOOKUP($A929,Korrelation!$D$4:$D$1197,Korrelation!J$4:J$1197,"-",0)="-",0,MATCH(_xlfn.XLOOKUP($A929,Korrelation!$D$4:$D$1197,Korrelation!J$4:J$1197,"",0),DMAV_Dienste!$F$6:$F$140,0)))</f>
        <v>0</v>
      </c>
      <c r="H929" s="57">
        <f>IF($A929="","",IF(_xlfn.XLOOKUP($A929,Korrelation!$D$4:$D$1197,Korrelation!K$4:K$1197,"-",0)="-",0,MATCH(_xlfn.XLOOKUP($A929,Korrelation!$D$4:$D$1197,Korrelation!K$4:K$1197,"",0),'DM01-AV-CH'!$A$6:$A$834,0)))</f>
        <v>0</v>
      </c>
      <c r="J929" s="54" t="str" cm="1">
        <f t="array" aca="1" ref="J929" ca="1">IF(B929=0,IF(E929=0,"",HYPERLINK("#"&amp;RIGHT(CELL("adresse",OFFSET(DMAV_Dienste!$M$6,E929-1,0)),LEN(CELL("adresse",OFFSET(DMAV_Dienste!$M$6,E929-1,0)))-FIND("]",CELL("adresse",OFFSET(DMAV_Dienste!$M$6,E929-1,0)))),"Dienst")),HYPERLINK("#"&amp;RIGHT(CELL("adresse",OFFSET(DMAV_Modell!$N$6,B929-1,0)),LEN(CELL("adresse",OFFSET(DMAV_Modell!$N$6,B929-1,0)))-FIND("]",CELL("adresse",OFFSET(DMAV_Modell!$N$6,B929-1,0)))),"Modell"))</f>
        <v>Modell</v>
      </c>
      <c r="K929" s="61" t="str" cm="1">
        <f t="array" ref="K929">IF($B929=0,IF($E929=0,"",IF(INDEX(DMAV_Dienste!P$6:P$140,$E929)="","",INDEX(DMAV_Dienste!P$6:P$140,$E929))),IF(INDEX(DMAV_Modell!Q$6:Q$838,$B929)="","",INDEX(DMAV_Modell!Q$6:Q$838,$B929)))</f>
        <v>ASSOCIATION</v>
      </c>
      <c r="L929" s="62" t="str" cm="1">
        <f t="array" ref="L929">IF($B929=0,IF($E929=0,"",IF(INDEX(DMAV_Dienste!O$6:O$140,$E929)="","",INDEX(DMAV_Dienste!O$6:O$140,$E929))),IF(INDEX(DMAV_Modell!P$6:P$838,$B929)="","",INDEX(DMAV_Modell!P$6:P$838,$B929)))</f>
        <v>Einzelobjekte</v>
      </c>
      <c r="M929" s="62" t="str" cm="1">
        <f t="array" ref="M929">IF($B929=0,IF($E929=0,"",IF(INDEX(DMAV_Dienste!Q$6:Q$140,$E929)="","",INDEX(DMAV_Dienste!Q$6:Q$140,$E929))),IF(INDEX(DMAV_Modell!R$6:R$838,$B929)="","",INDEX(DMAV_Modell!R$6:R$838,$B929)))</f>
        <v>Entstehung_Einzelobjekt</v>
      </c>
      <c r="N929" s="62" t="str" cm="1">
        <f t="array" ref="N929">IF($B929=0,IF($E929=0,"",IF(INDEX(DMAV_Dienste!T$6:T$140,$E929)="","",INDEX(DMAV_Dienste!T$6:T$140,$E929))),IF(INDEX(DMAV_Modell!U$6:U$838,$B929)="","",INDEX(DMAV_Modell!U$6:U$838,$B929)))</f>
        <v>Entstehung</v>
      </c>
      <c r="O929" s="63" t="str" cm="1">
        <f t="array" aca="1" ref="O929" ca="1">IF(C929=0,IF(F929=0,"",HYPERLINK("#"&amp;RIGHT(CELL("adresse",OFFSET(DMAV_Dienste!$M$6,F929-1,0)),LEN(CELL("adresse",OFFSET(DMAV_Dienste!$M$6,F929-1,0)))-FIND("]",CELL("adresse",OFFSET(DMAV_Dienste!$M$6,F929-1,0)))),"Structure")),HYPERLINK("#"&amp;RIGHT(CELL("adresse",OFFSET(DMAV_Modell!$N$6,C929-1,0)),LEN(CELL("adresse",OFFSET(DMAV_Modell!$N$6,C929-1,0)))-FIND("]",CELL("adresse",OFFSET(DMAV_Modell!$N$6,C929-1,0)))),"Structure"))</f>
        <v/>
      </c>
      <c r="P929" s="64" t="str" cm="1">
        <f t="array" aca="1" ref="P929" ca="1">IF(D929=0,IF(G929=0,"",HYPERLINK("#"&amp;RIGHT(CELL("adresse",OFFSET(DMAV_Dienste!$M$6,G929-1,0)),LEN(CELL("adresse",OFFSET(DMAV_Dienste!$M$6,G929-1,0)))-FIND("]",CELL("adresse",OFFSET(DMAV_Dienste!$M$6,G929-1,0)))),"Substructure")),HYPERLINK("#"&amp;RIGHT(CELL("adresse",OFFSET(DMAV_Modell!$N$6,D929-1,0)),LEN(CELL("adresse",OFFSET(DMAV_Modell!$N$6,D929-1,0)))-FIND("]",CELL("adresse",OFFSET(DMAV_Modell!$N$6,D929-1,0)))),"Substructure"))</f>
        <v/>
      </c>
      <c r="R929" s="80"/>
      <c r="T929" s="93"/>
      <c r="U929" s="94"/>
      <c r="V929" s="95"/>
      <c r="W929" s="96"/>
      <c r="Y929" s="85"/>
      <c r="Z929" s="86"/>
      <c r="AA929" s="87"/>
      <c r="AB929" s="88"/>
      <c r="AD929" s="77"/>
      <c r="AF929" s="54" t="str" cm="1">
        <f t="array" aca="1" ref="AF929" ca="1">IF(H929=0,"",HYPERLINK("#"&amp;RIGHT(CELL("adresse",OFFSET('DM01-AV-CH'!$G$6,H929-1,0)),LEN(CELL("adresse",OFFSET('DM01-AV-CH'!$G$6,H929-1,0)))-FIND("]",CELL("adresse",OFFSET('DM01-AV-CH'!$G$6,H929-1,0)))),"Modell"))</f>
        <v/>
      </c>
      <c r="AG929" s="72" t="str" cm="1">
        <f t="array" ref="AG929">IF($H929=0,"",IF(INDEX('DM01-AV-CH'!G$6:G$834,$H929)="","",INDEX('DM01-AV-CH'!G$6:G$834,$H929)))</f>
        <v/>
      </c>
      <c r="AH929" s="73" t="str" cm="1">
        <f t="array" ref="AH929">IF($H929=0,"",IF(INDEX('DM01-AV-CH'!H$6:H$834,$H929)="","",INDEX('DM01-AV-CH'!H$6:H$834,$H929)))</f>
        <v/>
      </c>
      <c r="AI929" s="74" t="str" cm="1">
        <f t="array" ref="AI929">IF($H929=0,"",IF(INDEX('DM01-AV-CH'!I$6:I$834,$H929)="","",INDEX('DM01-AV-CH'!I$6:I$834,$H929)))</f>
        <v/>
      </c>
    </row>
    <row r="930" spans="1:35" x14ac:dyDescent="0.25">
      <c r="A930" s="57">
        <v>925</v>
      </c>
      <c r="B930" s="57">
        <f>IF($A930="","",IF(_xlfn.XLOOKUP($A930,Korrelation!$D$4:$D$1197,Korrelation!E$4:E$1197,"-",0)="-",0,MATCH(_xlfn.XLOOKUP($A930,Korrelation!$D$4:$D$1197,Korrelation!E$4:E$1197,"",0),DMAV_Modell!$G$6:$G$677,0)))</f>
        <v>531</v>
      </c>
      <c r="C930" s="57">
        <f>IF($A930="","",IF(_xlfn.XLOOKUP($A930,Korrelation!$D$4:$D$1197,Korrelation!F$4:F$1197,"-",0)="-",0,MATCH(_xlfn.XLOOKUP($A930,Korrelation!$D$4:$D$1197,Korrelation!F$4:F$1197,"",0),DMAV_Modell!$G$6:$G$677,0)))</f>
        <v>0</v>
      </c>
      <c r="D930" s="57">
        <f>IF($A930="","",IF(_xlfn.XLOOKUP($A930,Korrelation!$D$4:$D$1197,Korrelation!G$4:G$1197,"-",0)="-",0,MATCH(_xlfn.XLOOKUP($A930,Korrelation!$D$4:$D$1197,Korrelation!G$4:G$1197,"",0),DMAV_Modell!$G$6:$G$677,0)))</f>
        <v>0</v>
      </c>
      <c r="E930" s="57">
        <f>IF($A930="","",IF(_xlfn.XLOOKUP($A930,Korrelation!$D$4:$D$1197,Korrelation!H$4:H$1197,"-",0)="-",0,MATCH(_xlfn.XLOOKUP($A930,Korrelation!$D$4:$D$1197,Korrelation!H$4:H$1197,"",0),DMAV_Dienste!$F$6:$F$140,0)))</f>
        <v>0</v>
      </c>
      <c r="F930" s="57">
        <f>IF($A930="","",IF(_xlfn.XLOOKUP($A930,Korrelation!$D$4:$D$1197,Korrelation!I$4:I$1197,"-",0)="-",0,MATCH(_xlfn.XLOOKUP($A930,Korrelation!$D$4:$D$1197,Korrelation!I$4:I$1197,"",0),DMAV_Dienste!$F$6:$F$140,0)))</f>
        <v>0</v>
      </c>
      <c r="G930" s="57">
        <f>IF($A930="","",IF(_xlfn.XLOOKUP($A930,Korrelation!$D$4:$D$1197,Korrelation!J$4:J$1197,"-",0)="-",0,MATCH(_xlfn.XLOOKUP($A930,Korrelation!$D$4:$D$1197,Korrelation!J$4:J$1197,"",0),DMAV_Dienste!$F$6:$F$140,0)))</f>
        <v>0</v>
      </c>
      <c r="H930" s="57">
        <f>IF($A930="","",IF(_xlfn.XLOOKUP($A930,Korrelation!$D$4:$D$1197,Korrelation!K$4:K$1197,"-",0)="-",0,MATCH(_xlfn.XLOOKUP($A930,Korrelation!$D$4:$D$1197,Korrelation!K$4:K$1197,"",0),'DM01-AV-CH'!$A$6:$A$834,0)))</f>
        <v>0</v>
      </c>
      <c r="J930" s="54" t="str" cm="1">
        <f t="array" aca="1" ref="J930" ca="1">IF(B930=0,IF(E930=0,"",HYPERLINK("#"&amp;RIGHT(CELL("adresse",OFFSET(DMAV_Dienste!$M$6,E930-1,0)),LEN(CELL("adresse",OFFSET(DMAV_Dienste!$M$6,E930-1,0)))-FIND("]",CELL("adresse",OFFSET(DMAV_Dienste!$M$6,E930-1,0)))),"Dienst")),HYPERLINK("#"&amp;RIGHT(CELL("adresse",OFFSET(DMAV_Modell!$N$6,B930-1,0)),LEN(CELL("adresse",OFFSET(DMAV_Modell!$N$6,B930-1,0)))-FIND("]",CELL("adresse",OFFSET(DMAV_Modell!$N$6,B930-1,0)))),"Modell"))</f>
        <v>Modell</v>
      </c>
      <c r="K930" s="61" t="str" cm="1">
        <f t="array" ref="K930">IF($B930=0,IF($E930=0,"",IF(INDEX(DMAV_Dienste!P$6:P$140,$E930)="","",INDEX(DMAV_Dienste!P$6:P$140,$E930))),IF(INDEX(DMAV_Modell!Q$6:Q$838,$B930)="","",INDEX(DMAV_Modell!Q$6:Q$838,$B930)))</f>
        <v>ASSOCIATION</v>
      </c>
      <c r="L930" s="62" t="str" cm="1">
        <f t="array" ref="L930">IF($B930=0,IF($E930=0,"",IF(INDEX(DMAV_Dienste!O$6:O$140,$E930)="","",INDEX(DMAV_Dienste!O$6:O$140,$E930))),IF(INDEX(DMAV_Modell!P$6:P$838,$B930)="","",INDEX(DMAV_Modell!P$6:P$838,$B930)))</f>
        <v>Einzelobjekte</v>
      </c>
      <c r="M930" s="62" t="str" cm="1">
        <f t="array" ref="M930">IF($B930=0,IF($E930=0,"",IF(INDEX(DMAV_Dienste!Q$6:Q$140,$E930)="","",INDEX(DMAV_Dienste!Q$6:Q$140,$E930))),IF(INDEX(DMAV_Modell!R$6:R$838,$B930)="","",INDEX(DMAV_Modell!R$6:R$838,$B930)))</f>
        <v>Entstehung_Einzelobjekt</v>
      </c>
      <c r="N930" s="62" t="str" cm="1">
        <f t="array" ref="N930">IF($B930=0,IF($E930=0,"",IF(INDEX(DMAV_Dienste!T$6:T$140,$E930)="","",INDEX(DMAV_Dienste!T$6:T$140,$E930))),IF(INDEX(DMAV_Modell!U$6:U$838,$B930)="","",INDEX(DMAV_Modell!U$6:U$838,$B930)))</f>
        <v>entstehendes_Einzelobjekt</v>
      </c>
      <c r="O930" s="63" t="str" cm="1">
        <f t="array" aca="1" ref="O930" ca="1">IF(C930=0,IF(F930=0,"",HYPERLINK("#"&amp;RIGHT(CELL("adresse",OFFSET(DMAV_Dienste!$M$6,F930-1,0)),LEN(CELL("adresse",OFFSET(DMAV_Dienste!$M$6,F930-1,0)))-FIND("]",CELL("adresse",OFFSET(DMAV_Dienste!$M$6,F930-1,0)))),"Structure")),HYPERLINK("#"&amp;RIGHT(CELL("adresse",OFFSET(DMAV_Modell!$N$6,C930-1,0)),LEN(CELL("adresse",OFFSET(DMAV_Modell!$N$6,C930-1,0)))-FIND("]",CELL("adresse",OFFSET(DMAV_Modell!$N$6,C930-1,0)))),"Structure"))</f>
        <v/>
      </c>
      <c r="P930" s="64" t="str" cm="1">
        <f t="array" aca="1" ref="P930" ca="1">IF(D930=0,IF(G930=0,"",HYPERLINK("#"&amp;RIGHT(CELL("adresse",OFFSET(DMAV_Dienste!$M$6,G930-1,0)),LEN(CELL("adresse",OFFSET(DMAV_Dienste!$M$6,G930-1,0)))-FIND("]",CELL("adresse",OFFSET(DMAV_Dienste!$M$6,G930-1,0)))),"Substructure")),HYPERLINK("#"&amp;RIGHT(CELL("adresse",OFFSET(DMAV_Modell!$N$6,D930-1,0)),LEN(CELL("adresse",OFFSET(DMAV_Modell!$N$6,D930-1,0)))-FIND("]",CELL("adresse",OFFSET(DMAV_Modell!$N$6,D930-1,0)))),"Substructure"))</f>
        <v/>
      </c>
      <c r="R930" s="80"/>
      <c r="T930" s="93"/>
      <c r="U930" s="94"/>
      <c r="V930" s="95"/>
      <c r="W930" s="96"/>
      <c r="Y930" s="85"/>
      <c r="Z930" s="86"/>
      <c r="AA930" s="87"/>
      <c r="AB930" s="88"/>
      <c r="AD930" s="77"/>
      <c r="AF930" s="54" t="str" cm="1">
        <f t="array" aca="1" ref="AF930" ca="1">IF(H930=0,"",HYPERLINK("#"&amp;RIGHT(CELL("adresse",OFFSET('DM01-AV-CH'!$G$6,H930-1,0)),LEN(CELL("adresse",OFFSET('DM01-AV-CH'!$G$6,H930-1,0)))-FIND("]",CELL("adresse",OFFSET('DM01-AV-CH'!$G$6,H930-1,0)))),"Modell"))</f>
        <v/>
      </c>
      <c r="AG930" s="72" t="str" cm="1">
        <f t="array" ref="AG930">IF($H930=0,"",IF(INDEX('DM01-AV-CH'!G$6:G$834,$H930)="","",INDEX('DM01-AV-CH'!G$6:G$834,$H930)))</f>
        <v/>
      </c>
      <c r="AH930" s="73" t="str" cm="1">
        <f t="array" ref="AH930">IF($H930=0,"",IF(INDEX('DM01-AV-CH'!H$6:H$834,$H930)="","",INDEX('DM01-AV-CH'!H$6:H$834,$H930)))</f>
        <v/>
      </c>
      <c r="AI930" s="74" t="str" cm="1">
        <f t="array" ref="AI930">IF($H930=0,"",IF(INDEX('DM01-AV-CH'!I$6:I$834,$H930)="","",INDEX('DM01-AV-CH'!I$6:I$834,$H930)))</f>
        <v/>
      </c>
    </row>
    <row r="931" spans="1:35" x14ac:dyDescent="0.25">
      <c r="A931" s="57">
        <v>926</v>
      </c>
      <c r="B931" s="57">
        <f>IF($A931="","",IF(_xlfn.XLOOKUP($A931,Korrelation!$D$4:$D$1197,Korrelation!E$4:E$1197,"-",0)="-",0,MATCH(_xlfn.XLOOKUP($A931,Korrelation!$D$4:$D$1197,Korrelation!E$4:E$1197,"",0),DMAV_Modell!$G$6:$G$677,0)))</f>
        <v>0</v>
      </c>
      <c r="C931" s="57">
        <f>IF($A931="","",IF(_xlfn.XLOOKUP($A931,Korrelation!$D$4:$D$1197,Korrelation!F$4:F$1197,"-",0)="-",0,MATCH(_xlfn.XLOOKUP($A931,Korrelation!$D$4:$D$1197,Korrelation!F$4:F$1197,"",0),DMAV_Modell!$G$6:$G$677,0)))</f>
        <v>0</v>
      </c>
      <c r="D931" s="57">
        <f>IF($A931="","",IF(_xlfn.XLOOKUP($A931,Korrelation!$D$4:$D$1197,Korrelation!G$4:G$1197,"-",0)="-",0,MATCH(_xlfn.XLOOKUP($A931,Korrelation!$D$4:$D$1197,Korrelation!G$4:G$1197,"",0),DMAV_Modell!$G$6:$G$677,0)))</f>
        <v>0</v>
      </c>
      <c r="E931" s="57">
        <f>IF($A931="","",IF(_xlfn.XLOOKUP($A931,Korrelation!$D$4:$D$1197,Korrelation!H$4:H$1197,"-",0)="-",0,MATCH(_xlfn.XLOOKUP($A931,Korrelation!$D$4:$D$1197,Korrelation!H$4:H$1197,"",0),DMAV_Dienste!$F$6:$F$140,0)))</f>
        <v>0</v>
      </c>
      <c r="F931" s="57">
        <f>IF($A931="","",IF(_xlfn.XLOOKUP($A931,Korrelation!$D$4:$D$1197,Korrelation!I$4:I$1197,"-",0)="-",0,MATCH(_xlfn.XLOOKUP($A931,Korrelation!$D$4:$D$1197,Korrelation!I$4:I$1197,"",0),DMAV_Dienste!$F$6:$F$140,0)))</f>
        <v>0</v>
      </c>
      <c r="G931" s="57">
        <f>IF($A931="","",IF(_xlfn.XLOOKUP($A931,Korrelation!$D$4:$D$1197,Korrelation!J$4:J$1197,"-",0)="-",0,MATCH(_xlfn.XLOOKUP($A931,Korrelation!$D$4:$D$1197,Korrelation!J$4:J$1197,"",0),DMAV_Dienste!$F$6:$F$140,0)))</f>
        <v>0</v>
      </c>
      <c r="H931" s="57">
        <f>IF($A931="","",IF(_xlfn.XLOOKUP($A931,Korrelation!$D$4:$D$1197,Korrelation!K$4:K$1197,"-",0)="-",0,MATCH(_xlfn.XLOOKUP($A931,Korrelation!$D$4:$D$1197,Korrelation!K$4:K$1197,"",0),'DM01-AV-CH'!$A$6:$A$834,0)))</f>
        <v>343</v>
      </c>
      <c r="J931" s="54" t="str" cm="1">
        <f t="array" aca="1" ref="J931" ca="1">IF(B931=0,IF(E931=0,"",HYPERLINK("#"&amp;RIGHT(CELL("adresse",OFFSET(DMAV_Dienste!$M$6,E931-1,0)),LEN(CELL("adresse",OFFSET(DMAV_Dienste!$M$6,E931-1,0)))-FIND("]",CELL("adresse",OFFSET(DMAV_Dienste!$M$6,E931-1,0)))),"Dienst")),HYPERLINK("#"&amp;RIGHT(CELL("adresse",OFFSET(DMAV_Modell!$N$6,B931-1,0)),LEN(CELL("adresse",OFFSET(DMAV_Modell!$N$6,B931-1,0)))-FIND("]",CELL("adresse",OFFSET(DMAV_Modell!$N$6,B931-1,0)))),"Modell"))</f>
        <v/>
      </c>
      <c r="K931" s="61" t="str" cm="1">
        <f t="array" ref="K931">IF($B931=0,IF($E931=0,"",IF(INDEX(DMAV_Dienste!P$6:P$140,$E931)="","",INDEX(DMAV_Dienste!P$6:P$140,$E931))),IF(INDEX(DMAV_Modell!Q$6:Q$838,$B931)="","",INDEX(DMAV_Modell!Q$6:Q$838,$B931)))</f>
        <v/>
      </c>
      <c r="L931" s="62" t="str" cm="1">
        <f t="array" ref="L931">IF($B931=0,IF($E931=0,"",IF(INDEX(DMAV_Dienste!O$6:O$140,$E931)="","",INDEX(DMAV_Dienste!O$6:O$140,$E931))),IF(INDEX(DMAV_Modell!P$6:P$838,$B931)="","",INDEX(DMAV_Modell!P$6:P$838,$B931)))</f>
        <v/>
      </c>
      <c r="M931" s="62" t="str" cm="1">
        <f t="array" ref="M931">IF($B931=0,IF($E931=0,"",IF(INDEX(DMAV_Dienste!Q$6:Q$140,$E931)="","",INDEX(DMAV_Dienste!Q$6:Q$140,$E931))),IF(INDEX(DMAV_Modell!R$6:R$838,$B931)="","",INDEX(DMAV_Modell!R$6:R$838,$B931)))</f>
        <v/>
      </c>
      <c r="N931" s="62" t="str" cm="1">
        <f t="array" ref="N931">IF($B931=0,IF($E931=0,"",IF(INDEX(DMAV_Dienste!T$6:T$140,$E931)="","",INDEX(DMAV_Dienste!T$6:T$140,$E931))),IF(INDEX(DMAV_Modell!U$6:U$838,$B931)="","",INDEX(DMAV_Modell!U$6:U$838,$B931)))</f>
        <v/>
      </c>
      <c r="O931" s="63" t="str" cm="1">
        <f t="array" aca="1" ref="O931" ca="1">IF(C931=0,IF(F931=0,"",HYPERLINK("#"&amp;RIGHT(CELL("adresse",OFFSET(DMAV_Dienste!$M$6,F931-1,0)),LEN(CELL("adresse",OFFSET(DMAV_Dienste!$M$6,F931-1,0)))-FIND("]",CELL("adresse",OFFSET(DMAV_Dienste!$M$6,F931-1,0)))),"Structure")),HYPERLINK("#"&amp;RIGHT(CELL("adresse",OFFSET(DMAV_Modell!$N$6,C931-1,0)),LEN(CELL("adresse",OFFSET(DMAV_Modell!$N$6,C931-1,0)))-FIND("]",CELL("adresse",OFFSET(DMAV_Modell!$N$6,C931-1,0)))),"Structure"))</f>
        <v/>
      </c>
      <c r="P931" s="64" t="str" cm="1">
        <f t="array" aca="1" ref="P931" ca="1">IF(D931=0,IF(G931=0,"",HYPERLINK("#"&amp;RIGHT(CELL("adresse",OFFSET(DMAV_Dienste!$M$6,G931-1,0)),LEN(CELL("adresse",OFFSET(DMAV_Dienste!$M$6,G931-1,0)))-FIND("]",CELL("adresse",OFFSET(DMAV_Dienste!$M$6,G931-1,0)))),"Substructure")),HYPERLINK("#"&amp;RIGHT(CELL("adresse",OFFSET(DMAV_Modell!$N$6,D931-1,0)),LEN(CELL("adresse",OFFSET(DMAV_Modell!$N$6,D931-1,0)))-FIND("]",CELL("adresse",OFFSET(DMAV_Modell!$N$6,D931-1,0)))),"Substructure"))</f>
        <v/>
      </c>
      <c r="R931" s="80"/>
      <c r="T931" s="93"/>
      <c r="U931" s="94"/>
      <c r="V931" s="95"/>
      <c r="W931" s="96"/>
      <c r="Y931" s="85"/>
      <c r="Z931" s="86"/>
      <c r="AA931" s="87"/>
      <c r="AB931" s="88"/>
      <c r="AD931" s="77"/>
      <c r="AF931" s="54" t="str" cm="1">
        <f t="array" aca="1" ref="AF931" ca="1">IF(H931=0,"",HYPERLINK("#"&amp;RIGHT(CELL("adresse",OFFSET('DM01-AV-CH'!$G$6,H931-1,0)),LEN(CELL("adresse",OFFSET('DM01-AV-CH'!$G$6,H931-1,0)))-FIND("]",CELL("adresse",OFFSET('DM01-AV-CH'!$G$6,H931-1,0)))),"Modell"))</f>
        <v>Modell</v>
      </c>
      <c r="AG931" s="72" t="str" cm="1">
        <f t="array" ref="AG931">IF($H931=0,"",IF(INDEX('DM01-AV-CH'!G$6:G$834,$H931)="","",INDEX('DM01-AV-CH'!G$6:G$834,$H931)))</f>
        <v>Einzelobjekte</v>
      </c>
      <c r="AH931" s="73" t="str" cm="1">
        <f t="array" ref="AH931">IF($H931=0,"",IF(INDEX('DM01-AV-CH'!H$6:H$834,$H931)="","",INDEX('DM01-AV-CH'!H$6:H$834,$H931)))</f>
        <v>Einzelpunkt</v>
      </c>
      <c r="AI931" s="74" t="str" cm="1">
        <f t="array" ref="AI931">IF($H931=0,"",IF(INDEX('DM01-AV-CH'!I$6:I$834,$H931)="","",INDEX('DM01-AV-CH'!I$6:I$834,$H931)))</f>
        <v>Entstehung</v>
      </c>
    </row>
    <row r="932" spans="1:35" x14ac:dyDescent="0.25">
      <c r="A932" s="57">
        <v>927</v>
      </c>
      <c r="B932" s="57">
        <f>IF($A932="","",IF(_xlfn.XLOOKUP($A932,Korrelation!$D$4:$D$1197,Korrelation!E$4:E$1197,"-",0)="-",0,MATCH(_xlfn.XLOOKUP($A932,Korrelation!$D$4:$D$1197,Korrelation!E$4:E$1197,"",0),DMAV_Modell!$G$6:$G$677,0)))</f>
        <v>532</v>
      </c>
      <c r="C932" s="57">
        <f>IF($A932="","",IF(_xlfn.XLOOKUP($A932,Korrelation!$D$4:$D$1197,Korrelation!F$4:F$1197,"-",0)="-",0,MATCH(_xlfn.XLOOKUP($A932,Korrelation!$D$4:$D$1197,Korrelation!F$4:F$1197,"",0),DMAV_Modell!$G$6:$G$677,0)))</f>
        <v>0</v>
      </c>
      <c r="D932" s="57">
        <f>IF($A932="","",IF(_xlfn.XLOOKUP($A932,Korrelation!$D$4:$D$1197,Korrelation!G$4:G$1197,"-",0)="-",0,MATCH(_xlfn.XLOOKUP($A932,Korrelation!$D$4:$D$1197,Korrelation!G$4:G$1197,"",0),DMAV_Modell!$G$6:$G$677,0)))</f>
        <v>0</v>
      </c>
      <c r="E932" s="57">
        <f>IF($A932="","",IF(_xlfn.XLOOKUP($A932,Korrelation!$D$4:$D$1197,Korrelation!H$4:H$1197,"-",0)="-",0,MATCH(_xlfn.XLOOKUP($A932,Korrelation!$D$4:$D$1197,Korrelation!H$4:H$1197,"",0),DMAV_Dienste!$F$6:$F$140,0)))</f>
        <v>0</v>
      </c>
      <c r="F932" s="57">
        <f>IF($A932="","",IF(_xlfn.XLOOKUP($A932,Korrelation!$D$4:$D$1197,Korrelation!I$4:I$1197,"-",0)="-",0,MATCH(_xlfn.XLOOKUP($A932,Korrelation!$D$4:$D$1197,Korrelation!I$4:I$1197,"",0),DMAV_Dienste!$F$6:$F$140,0)))</f>
        <v>0</v>
      </c>
      <c r="G932" s="57">
        <f>IF($A932="","",IF(_xlfn.XLOOKUP($A932,Korrelation!$D$4:$D$1197,Korrelation!J$4:J$1197,"-",0)="-",0,MATCH(_xlfn.XLOOKUP($A932,Korrelation!$D$4:$D$1197,Korrelation!J$4:J$1197,"",0),DMAV_Dienste!$F$6:$F$140,0)))</f>
        <v>0</v>
      </c>
      <c r="H932" s="57">
        <f>IF($A932="","",IF(_xlfn.XLOOKUP($A932,Korrelation!$D$4:$D$1197,Korrelation!K$4:K$1197,"-",0)="-",0,MATCH(_xlfn.XLOOKUP($A932,Korrelation!$D$4:$D$1197,Korrelation!K$4:K$1197,"",0),'DM01-AV-CH'!$A$6:$A$834,0)))</f>
        <v>344</v>
      </c>
      <c r="J932" s="54" t="str" cm="1">
        <f t="array" aca="1" ref="J932" ca="1">IF(B932=0,IF(E932=0,"",HYPERLINK("#"&amp;RIGHT(CELL("adresse",OFFSET(DMAV_Dienste!$M$6,E932-1,0)),LEN(CELL("adresse",OFFSET(DMAV_Dienste!$M$6,E932-1,0)))-FIND("]",CELL("adresse",OFFSET(DMAV_Dienste!$M$6,E932-1,0)))),"Dienst")),HYPERLINK("#"&amp;RIGHT(CELL("adresse",OFFSET(DMAV_Modell!$N$6,B932-1,0)),LEN(CELL("adresse",OFFSET(DMAV_Modell!$N$6,B932-1,0)))-FIND("]",CELL("adresse",OFFSET(DMAV_Modell!$N$6,B932-1,0)))),"Modell"))</f>
        <v>Modell</v>
      </c>
      <c r="K932" s="61" t="str" cm="1">
        <f t="array" ref="K932">IF($B932=0,IF($E932=0,"",IF(INDEX(DMAV_Dienste!P$6:P$140,$E932)="","",INDEX(DMAV_Dienste!P$6:P$140,$E932))),IF(INDEX(DMAV_Modell!Q$6:Q$838,$B932)="","",INDEX(DMAV_Modell!Q$6:Q$838,$B932)))</f>
        <v>CLASS</v>
      </c>
      <c r="L932" s="62" t="str" cm="1">
        <f t="array" ref="L932">IF($B932=0,IF($E932=0,"",IF(INDEX(DMAV_Dienste!O$6:O$140,$E932)="","",INDEX(DMAV_Dienste!O$6:O$140,$E932))),IF(INDEX(DMAV_Modell!P$6:P$838,$B932)="","",INDEX(DMAV_Modell!P$6:P$838,$B932)))</f>
        <v>Einzelobjekte</v>
      </c>
      <c r="M932" s="62" t="str" cm="1">
        <f t="array" ref="M932">IF($B932=0,IF($E932=0,"",IF(INDEX(DMAV_Dienste!Q$6:Q$140,$E932)="","",INDEX(DMAV_Dienste!Q$6:Q$140,$E932))),IF(INDEX(DMAV_Modell!R$6:R$838,$B932)="","",INDEX(DMAV_Modell!R$6:R$838,$B932)))</f>
        <v>Messpunkt</v>
      </c>
      <c r="N932" s="62" t="str" cm="1">
        <f t="array" ref="N932">IF($B932=0,IF($E932=0,"",IF(INDEX(DMAV_Dienste!T$6:T$140,$E932)="","",INDEX(DMAV_Dienste!T$6:T$140,$E932))),IF(INDEX(DMAV_Modell!U$6:U$838,$B932)="","",INDEX(DMAV_Modell!U$6:U$838,$B932)))</f>
        <v>Nummer</v>
      </c>
      <c r="O932" s="63" t="str" cm="1">
        <f t="array" aca="1" ref="O932" ca="1">IF(C932=0,IF(F932=0,"",HYPERLINK("#"&amp;RIGHT(CELL("adresse",OFFSET(DMAV_Dienste!$M$6,F932-1,0)),LEN(CELL("adresse",OFFSET(DMAV_Dienste!$M$6,F932-1,0)))-FIND("]",CELL("adresse",OFFSET(DMAV_Dienste!$M$6,F932-1,0)))),"Structure")),HYPERLINK("#"&amp;RIGHT(CELL("adresse",OFFSET(DMAV_Modell!$N$6,C932-1,0)),LEN(CELL("adresse",OFFSET(DMAV_Modell!$N$6,C932-1,0)))-FIND("]",CELL("adresse",OFFSET(DMAV_Modell!$N$6,C932-1,0)))),"Structure"))</f>
        <v/>
      </c>
      <c r="P932" s="64" t="str" cm="1">
        <f t="array" aca="1" ref="P932" ca="1">IF(D932=0,IF(G932=0,"",HYPERLINK("#"&amp;RIGHT(CELL("adresse",OFFSET(DMAV_Dienste!$M$6,G932-1,0)),LEN(CELL("adresse",OFFSET(DMAV_Dienste!$M$6,G932-1,0)))-FIND("]",CELL("adresse",OFFSET(DMAV_Dienste!$M$6,G932-1,0)))),"Substructure")),HYPERLINK("#"&amp;RIGHT(CELL("adresse",OFFSET(DMAV_Modell!$N$6,D932-1,0)),LEN(CELL("adresse",OFFSET(DMAV_Modell!$N$6,D932-1,0)))-FIND("]",CELL("adresse",OFFSET(DMAV_Modell!$N$6,D932-1,0)))),"Substructure"))</f>
        <v/>
      </c>
      <c r="R932" s="80"/>
      <c r="T932" s="93"/>
      <c r="U932" s="94"/>
      <c r="V932" s="95"/>
      <c r="W932" s="96"/>
      <c r="Y932" s="85"/>
      <c r="Z932" s="86"/>
      <c r="AA932" s="87"/>
      <c r="AB932" s="88"/>
      <c r="AD932" s="77"/>
      <c r="AF932" s="54" t="str" cm="1">
        <f t="array" aca="1" ref="AF932" ca="1">IF(H932=0,"",HYPERLINK("#"&amp;RIGHT(CELL("adresse",OFFSET('DM01-AV-CH'!$G$6,H932-1,0)),LEN(CELL("adresse",OFFSET('DM01-AV-CH'!$G$6,H932-1,0)))-FIND("]",CELL("adresse",OFFSET('DM01-AV-CH'!$G$6,H932-1,0)))),"Modell"))</f>
        <v>Modell</v>
      </c>
      <c r="AG932" s="72" t="str" cm="1">
        <f t="array" ref="AG932">IF($H932=0,"",IF(INDEX('DM01-AV-CH'!G$6:G$834,$H932)="","",INDEX('DM01-AV-CH'!G$6:G$834,$H932)))</f>
        <v>Einzelobjekte</v>
      </c>
      <c r="AH932" s="73" t="str" cm="1">
        <f t="array" ref="AH932">IF($H932=0,"",IF(INDEX('DM01-AV-CH'!H$6:H$834,$H932)="","",INDEX('DM01-AV-CH'!H$6:H$834,$H932)))</f>
        <v>Einzelpunkt</v>
      </c>
      <c r="AI932" s="74" t="str" cm="1">
        <f t="array" ref="AI932">IF($H932=0,"",IF(INDEX('DM01-AV-CH'!I$6:I$834,$H932)="","",INDEX('DM01-AV-CH'!I$6:I$834,$H932)))</f>
        <v>Identifikator</v>
      </c>
    </row>
    <row r="933" spans="1:35" x14ac:dyDescent="0.25">
      <c r="A933" s="57">
        <v>928</v>
      </c>
      <c r="B933" s="57">
        <f>IF($A933="","",IF(_xlfn.XLOOKUP($A933,Korrelation!$D$4:$D$1197,Korrelation!E$4:E$1197,"-",0)="-",0,MATCH(_xlfn.XLOOKUP($A933,Korrelation!$D$4:$D$1197,Korrelation!E$4:E$1197,"",0),DMAV_Modell!$G$6:$G$677,0)))</f>
        <v>533</v>
      </c>
      <c r="C933" s="57">
        <f>IF($A933="","",IF(_xlfn.XLOOKUP($A933,Korrelation!$D$4:$D$1197,Korrelation!F$4:F$1197,"-",0)="-",0,MATCH(_xlfn.XLOOKUP($A933,Korrelation!$D$4:$D$1197,Korrelation!F$4:F$1197,"",0),DMAV_Modell!$G$6:$G$677,0)))</f>
        <v>0</v>
      </c>
      <c r="D933" s="57">
        <f>IF($A933="","",IF(_xlfn.XLOOKUP($A933,Korrelation!$D$4:$D$1197,Korrelation!G$4:G$1197,"-",0)="-",0,MATCH(_xlfn.XLOOKUP($A933,Korrelation!$D$4:$D$1197,Korrelation!G$4:G$1197,"",0),DMAV_Modell!$G$6:$G$677,0)))</f>
        <v>0</v>
      </c>
      <c r="E933" s="57">
        <f>IF($A933="","",IF(_xlfn.XLOOKUP($A933,Korrelation!$D$4:$D$1197,Korrelation!H$4:H$1197,"-",0)="-",0,MATCH(_xlfn.XLOOKUP($A933,Korrelation!$D$4:$D$1197,Korrelation!H$4:H$1197,"",0),DMAV_Dienste!$F$6:$F$140,0)))</f>
        <v>0</v>
      </c>
      <c r="F933" s="57">
        <f>IF($A933="","",IF(_xlfn.XLOOKUP($A933,Korrelation!$D$4:$D$1197,Korrelation!I$4:I$1197,"-",0)="-",0,MATCH(_xlfn.XLOOKUP($A933,Korrelation!$D$4:$D$1197,Korrelation!I$4:I$1197,"",0),DMAV_Dienste!$F$6:$F$140,0)))</f>
        <v>0</v>
      </c>
      <c r="G933" s="57">
        <f>IF($A933="","",IF(_xlfn.XLOOKUP($A933,Korrelation!$D$4:$D$1197,Korrelation!J$4:J$1197,"-",0)="-",0,MATCH(_xlfn.XLOOKUP($A933,Korrelation!$D$4:$D$1197,Korrelation!J$4:J$1197,"",0),DMAV_Dienste!$F$6:$F$140,0)))</f>
        <v>0</v>
      </c>
      <c r="H933" s="57">
        <f>IF($A933="","",IF(_xlfn.XLOOKUP($A933,Korrelation!$D$4:$D$1197,Korrelation!K$4:K$1197,"-",0)="-",0,MATCH(_xlfn.XLOOKUP($A933,Korrelation!$D$4:$D$1197,Korrelation!K$4:K$1197,"",0),'DM01-AV-CH'!$A$6:$A$834,0)))</f>
        <v>345</v>
      </c>
      <c r="J933" s="54" t="str" cm="1">
        <f t="array" aca="1" ref="J933" ca="1">IF(B933=0,IF(E933=0,"",HYPERLINK("#"&amp;RIGHT(CELL("adresse",OFFSET(DMAV_Dienste!$M$6,E933-1,0)),LEN(CELL("adresse",OFFSET(DMAV_Dienste!$M$6,E933-1,0)))-FIND("]",CELL("adresse",OFFSET(DMAV_Dienste!$M$6,E933-1,0)))),"Dienst")),HYPERLINK("#"&amp;RIGHT(CELL("adresse",OFFSET(DMAV_Modell!$N$6,B933-1,0)),LEN(CELL("adresse",OFFSET(DMAV_Modell!$N$6,B933-1,0)))-FIND("]",CELL("adresse",OFFSET(DMAV_Modell!$N$6,B933-1,0)))),"Modell"))</f>
        <v>Modell</v>
      </c>
      <c r="K933" s="61" t="str" cm="1">
        <f t="array" ref="K933">IF($B933=0,IF($E933=0,"",IF(INDEX(DMAV_Dienste!P$6:P$140,$E933)="","",INDEX(DMAV_Dienste!P$6:P$140,$E933))),IF(INDEX(DMAV_Modell!Q$6:Q$838,$B933)="","",INDEX(DMAV_Modell!Q$6:Q$838,$B933)))</f>
        <v>CLASS</v>
      </c>
      <c r="L933" s="62" t="str" cm="1">
        <f t="array" ref="L933">IF($B933=0,IF($E933=0,"",IF(INDEX(DMAV_Dienste!O$6:O$140,$E933)="","",INDEX(DMAV_Dienste!O$6:O$140,$E933))),IF(INDEX(DMAV_Modell!P$6:P$838,$B933)="","",INDEX(DMAV_Modell!P$6:P$838,$B933)))</f>
        <v>Einzelobjekte</v>
      </c>
      <c r="M933" s="62" t="str" cm="1">
        <f t="array" ref="M933">IF($B933=0,IF($E933=0,"",IF(INDEX(DMAV_Dienste!Q$6:Q$140,$E933)="","",INDEX(DMAV_Dienste!Q$6:Q$140,$E933))),IF(INDEX(DMAV_Modell!R$6:R$838,$B933)="","",INDEX(DMAV_Modell!R$6:R$838,$B933)))</f>
        <v>Messpunkt</v>
      </c>
      <c r="N933" s="62" t="str" cm="1">
        <f t="array" ref="N933">IF($B933=0,IF($E933=0,"",IF(INDEX(DMAV_Dienste!T$6:T$140,$E933)="","",INDEX(DMAV_Dienste!T$6:T$140,$E933))),IF(INDEX(DMAV_Modell!U$6:U$838,$B933)="","",INDEX(DMAV_Modell!U$6:U$838,$B933)))</f>
        <v>Geometrie</v>
      </c>
      <c r="O933" s="63" t="str" cm="1">
        <f t="array" aca="1" ref="O933" ca="1">IF(C933=0,IF(F933=0,"",HYPERLINK("#"&amp;RIGHT(CELL("adresse",OFFSET(DMAV_Dienste!$M$6,F933-1,0)),LEN(CELL("adresse",OFFSET(DMAV_Dienste!$M$6,F933-1,0)))-FIND("]",CELL("adresse",OFFSET(DMAV_Dienste!$M$6,F933-1,0)))),"Structure")),HYPERLINK("#"&amp;RIGHT(CELL("adresse",OFFSET(DMAV_Modell!$N$6,C933-1,0)),LEN(CELL("adresse",OFFSET(DMAV_Modell!$N$6,C933-1,0)))-FIND("]",CELL("adresse",OFFSET(DMAV_Modell!$N$6,C933-1,0)))),"Structure"))</f>
        <v/>
      </c>
      <c r="P933" s="64" t="str" cm="1">
        <f t="array" aca="1" ref="P933" ca="1">IF(D933=0,IF(G933=0,"",HYPERLINK("#"&amp;RIGHT(CELL("adresse",OFFSET(DMAV_Dienste!$M$6,G933-1,0)),LEN(CELL("adresse",OFFSET(DMAV_Dienste!$M$6,G933-1,0)))-FIND("]",CELL("adresse",OFFSET(DMAV_Dienste!$M$6,G933-1,0)))),"Substructure")),HYPERLINK("#"&amp;RIGHT(CELL("adresse",OFFSET(DMAV_Modell!$N$6,D933-1,0)),LEN(CELL("adresse",OFFSET(DMAV_Modell!$N$6,D933-1,0)))-FIND("]",CELL("adresse",OFFSET(DMAV_Modell!$N$6,D933-1,0)))),"Substructure"))</f>
        <v/>
      </c>
      <c r="R933" s="80"/>
      <c r="T933" s="93"/>
      <c r="U933" s="94"/>
      <c r="V933" s="95"/>
      <c r="W933" s="96"/>
      <c r="Y933" s="85"/>
      <c r="Z933" s="86"/>
      <c r="AA933" s="87"/>
      <c r="AB933" s="88"/>
      <c r="AD933" s="77"/>
      <c r="AF933" s="54" t="str" cm="1">
        <f t="array" aca="1" ref="AF933" ca="1">IF(H933=0,"",HYPERLINK("#"&amp;RIGHT(CELL("adresse",OFFSET('DM01-AV-CH'!$G$6,H933-1,0)),LEN(CELL("adresse",OFFSET('DM01-AV-CH'!$G$6,H933-1,0)))-FIND("]",CELL("adresse",OFFSET('DM01-AV-CH'!$G$6,H933-1,0)))),"Modell"))</f>
        <v>Modell</v>
      </c>
      <c r="AG933" s="72" t="str" cm="1">
        <f t="array" ref="AG933">IF($H933=0,"",IF(INDEX('DM01-AV-CH'!G$6:G$834,$H933)="","",INDEX('DM01-AV-CH'!G$6:G$834,$H933)))</f>
        <v>Einzelobjekte</v>
      </c>
      <c r="AH933" s="73" t="str" cm="1">
        <f t="array" ref="AH933">IF($H933=0,"",IF(INDEX('DM01-AV-CH'!H$6:H$834,$H933)="","",INDEX('DM01-AV-CH'!H$6:H$834,$H933)))</f>
        <v>Einzelpunkt</v>
      </c>
      <c r="AI933" s="74" t="str" cm="1">
        <f t="array" ref="AI933">IF($H933=0,"",IF(INDEX('DM01-AV-CH'!I$6:I$834,$H933)="","",INDEX('DM01-AV-CH'!I$6:I$834,$H933)))</f>
        <v>Geometrie</v>
      </c>
    </row>
    <row r="934" spans="1:35" x14ac:dyDescent="0.25">
      <c r="A934" s="57">
        <v>929</v>
      </c>
      <c r="B934" s="57">
        <f>IF($A934="","",IF(_xlfn.XLOOKUP($A934,Korrelation!$D$4:$D$1197,Korrelation!E$4:E$1197,"-",0)="-",0,MATCH(_xlfn.XLOOKUP($A934,Korrelation!$D$4:$D$1197,Korrelation!E$4:E$1197,"",0),DMAV_Modell!$G$6:$G$677,0)))</f>
        <v>534</v>
      </c>
      <c r="C934" s="57">
        <f>IF($A934="","",IF(_xlfn.XLOOKUP($A934,Korrelation!$D$4:$D$1197,Korrelation!F$4:F$1197,"-",0)="-",0,MATCH(_xlfn.XLOOKUP($A934,Korrelation!$D$4:$D$1197,Korrelation!F$4:F$1197,"",0),DMAV_Modell!$G$6:$G$677,0)))</f>
        <v>0</v>
      </c>
      <c r="D934" s="57">
        <f>IF($A934="","",IF(_xlfn.XLOOKUP($A934,Korrelation!$D$4:$D$1197,Korrelation!G$4:G$1197,"-",0)="-",0,MATCH(_xlfn.XLOOKUP($A934,Korrelation!$D$4:$D$1197,Korrelation!G$4:G$1197,"",0),DMAV_Modell!$G$6:$G$677,0)))</f>
        <v>0</v>
      </c>
      <c r="E934" s="57">
        <f>IF($A934="","",IF(_xlfn.XLOOKUP($A934,Korrelation!$D$4:$D$1197,Korrelation!H$4:H$1197,"-",0)="-",0,MATCH(_xlfn.XLOOKUP($A934,Korrelation!$D$4:$D$1197,Korrelation!H$4:H$1197,"",0),DMAV_Dienste!$F$6:$F$140,0)))</f>
        <v>0</v>
      </c>
      <c r="F934" s="57">
        <f>IF($A934="","",IF(_xlfn.XLOOKUP($A934,Korrelation!$D$4:$D$1197,Korrelation!I$4:I$1197,"-",0)="-",0,MATCH(_xlfn.XLOOKUP($A934,Korrelation!$D$4:$D$1197,Korrelation!I$4:I$1197,"",0),DMAV_Dienste!$F$6:$F$140,0)))</f>
        <v>0</v>
      </c>
      <c r="G934" s="57">
        <f>IF($A934="","",IF(_xlfn.XLOOKUP($A934,Korrelation!$D$4:$D$1197,Korrelation!J$4:J$1197,"-",0)="-",0,MATCH(_xlfn.XLOOKUP($A934,Korrelation!$D$4:$D$1197,Korrelation!J$4:J$1197,"",0),DMAV_Dienste!$F$6:$F$140,0)))</f>
        <v>0</v>
      </c>
      <c r="H934" s="57">
        <f>IF($A934="","",IF(_xlfn.XLOOKUP($A934,Korrelation!$D$4:$D$1197,Korrelation!K$4:K$1197,"-",0)="-",0,MATCH(_xlfn.XLOOKUP($A934,Korrelation!$D$4:$D$1197,Korrelation!K$4:K$1197,"",0),'DM01-AV-CH'!$A$6:$A$834,0)))</f>
        <v>0</v>
      </c>
      <c r="J934" s="54" t="str" cm="1">
        <f t="array" aca="1" ref="J934" ca="1">IF(B934=0,IF(E934=0,"",HYPERLINK("#"&amp;RIGHT(CELL("adresse",OFFSET(DMAV_Dienste!$M$6,E934-1,0)),LEN(CELL("adresse",OFFSET(DMAV_Dienste!$M$6,E934-1,0)))-FIND("]",CELL("adresse",OFFSET(DMAV_Dienste!$M$6,E934-1,0)))),"Dienst")),HYPERLINK("#"&amp;RIGHT(CELL("adresse",OFFSET(DMAV_Modell!$N$6,B934-1,0)),LEN(CELL("adresse",OFFSET(DMAV_Modell!$N$6,B934-1,0)))-FIND("]",CELL("adresse",OFFSET(DMAV_Modell!$N$6,B934-1,0)))),"Modell"))</f>
        <v>Modell</v>
      </c>
      <c r="K934" s="61" t="str" cm="1">
        <f t="array" ref="K934">IF($B934=0,IF($E934=0,"",IF(INDEX(DMAV_Dienste!P$6:P$140,$E934)="","",INDEX(DMAV_Dienste!P$6:P$140,$E934))),IF(INDEX(DMAV_Modell!Q$6:Q$838,$B934)="","",INDEX(DMAV_Modell!Q$6:Q$838,$B934)))</f>
        <v>CLASS</v>
      </c>
      <c r="L934" s="62" t="str" cm="1">
        <f t="array" ref="L934">IF($B934=0,IF($E934=0,"",IF(INDEX(DMAV_Dienste!O$6:O$140,$E934)="","",INDEX(DMAV_Dienste!O$6:O$140,$E934))),IF(INDEX(DMAV_Modell!P$6:P$838,$B934)="","",INDEX(DMAV_Modell!P$6:P$838,$B934)))</f>
        <v>Einzelobjekte</v>
      </c>
      <c r="M934" s="62" t="str" cm="1">
        <f t="array" ref="M934">IF($B934=0,IF($E934=0,"",IF(INDEX(DMAV_Dienste!Q$6:Q$140,$E934)="","",INDEX(DMAV_Dienste!Q$6:Q$140,$E934))),IF(INDEX(DMAV_Modell!R$6:R$838,$B934)="","",INDEX(DMAV_Modell!R$6:R$838,$B934)))</f>
        <v>Messpunkt</v>
      </c>
      <c r="N934" s="62" t="str" cm="1">
        <f t="array" ref="N934">IF($B934=0,IF($E934=0,"",IF(INDEX(DMAV_Dienste!T$6:T$140,$E934)="","",INDEX(DMAV_Dienste!T$6:T$140,$E934))),IF(INDEX(DMAV_Modell!U$6:U$838,$B934)="","",INDEX(DMAV_Modell!U$6:U$838,$B934)))</f>
        <v>Hoehengeometrie</v>
      </c>
      <c r="O934" s="63" t="str" cm="1">
        <f t="array" aca="1" ref="O934" ca="1">IF(C934=0,IF(F934=0,"",HYPERLINK("#"&amp;RIGHT(CELL("adresse",OFFSET(DMAV_Dienste!$M$6,F934-1,0)),LEN(CELL("adresse",OFFSET(DMAV_Dienste!$M$6,F934-1,0)))-FIND("]",CELL("adresse",OFFSET(DMAV_Dienste!$M$6,F934-1,0)))),"Structure")),HYPERLINK("#"&amp;RIGHT(CELL("adresse",OFFSET(DMAV_Modell!$N$6,C934-1,0)),LEN(CELL("adresse",OFFSET(DMAV_Modell!$N$6,C934-1,0)))-FIND("]",CELL("adresse",OFFSET(DMAV_Modell!$N$6,C934-1,0)))),"Structure"))</f>
        <v/>
      </c>
      <c r="P934" s="64" t="str" cm="1">
        <f t="array" aca="1" ref="P934" ca="1">IF(D934=0,IF(G934=0,"",HYPERLINK("#"&amp;RIGHT(CELL("adresse",OFFSET(DMAV_Dienste!$M$6,G934-1,0)),LEN(CELL("adresse",OFFSET(DMAV_Dienste!$M$6,G934-1,0)))-FIND("]",CELL("adresse",OFFSET(DMAV_Dienste!$M$6,G934-1,0)))),"Substructure")),HYPERLINK("#"&amp;RIGHT(CELL("adresse",OFFSET(DMAV_Modell!$N$6,D934-1,0)),LEN(CELL("adresse",OFFSET(DMAV_Modell!$N$6,D934-1,0)))-FIND("]",CELL("adresse",OFFSET(DMAV_Modell!$N$6,D934-1,0)))),"Substructure"))</f>
        <v/>
      </c>
      <c r="R934" s="80"/>
      <c r="T934" s="93"/>
      <c r="U934" s="94"/>
      <c r="V934" s="95"/>
      <c r="W934" s="96"/>
      <c r="Y934" s="85"/>
      <c r="Z934" s="86"/>
      <c r="AA934" s="87"/>
      <c r="AB934" s="88"/>
      <c r="AD934" s="77"/>
      <c r="AF934" s="54" t="str" cm="1">
        <f t="array" aca="1" ref="AF934" ca="1">IF(H934=0,"",HYPERLINK("#"&amp;RIGHT(CELL("adresse",OFFSET('DM01-AV-CH'!$G$6,H934-1,0)),LEN(CELL("adresse",OFFSET('DM01-AV-CH'!$G$6,H934-1,0)))-FIND("]",CELL("adresse",OFFSET('DM01-AV-CH'!$G$6,H934-1,0)))),"Modell"))</f>
        <v/>
      </c>
      <c r="AG934" s="72" t="str" cm="1">
        <f t="array" ref="AG934">IF($H934=0,"",IF(INDEX('DM01-AV-CH'!G$6:G$834,$H934)="","",INDEX('DM01-AV-CH'!G$6:G$834,$H934)))</f>
        <v/>
      </c>
      <c r="AH934" s="73" t="str" cm="1">
        <f t="array" ref="AH934">IF($H934=0,"",IF(INDEX('DM01-AV-CH'!H$6:H$834,$H934)="","",INDEX('DM01-AV-CH'!H$6:H$834,$H934)))</f>
        <v/>
      </c>
      <c r="AI934" s="74" t="str" cm="1">
        <f t="array" ref="AI934">IF($H934=0,"",IF(INDEX('DM01-AV-CH'!I$6:I$834,$H934)="","",INDEX('DM01-AV-CH'!I$6:I$834,$H934)))</f>
        <v/>
      </c>
    </row>
    <row r="935" spans="1:35" x14ac:dyDescent="0.25">
      <c r="A935" s="57">
        <v>930</v>
      </c>
      <c r="B935" s="57">
        <f>IF($A935="","",IF(_xlfn.XLOOKUP($A935,Korrelation!$D$4:$D$1197,Korrelation!E$4:E$1197,"-",0)="-",0,MATCH(_xlfn.XLOOKUP($A935,Korrelation!$D$4:$D$1197,Korrelation!E$4:E$1197,"",0),DMAV_Modell!$G$6:$G$677,0)))</f>
        <v>535</v>
      </c>
      <c r="C935" s="57">
        <f>IF($A935="","",IF(_xlfn.XLOOKUP($A935,Korrelation!$D$4:$D$1197,Korrelation!F$4:F$1197,"-",0)="-",0,MATCH(_xlfn.XLOOKUP($A935,Korrelation!$D$4:$D$1197,Korrelation!F$4:F$1197,"",0),DMAV_Modell!$G$6:$G$677,0)))</f>
        <v>0</v>
      </c>
      <c r="D935" s="57">
        <f>IF($A935="","",IF(_xlfn.XLOOKUP($A935,Korrelation!$D$4:$D$1197,Korrelation!G$4:G$1197,"-",0)="-",0,MATCH(_xlfn.XLOOKUP($A935,Korrelation!$D$4:$D$1197,Korrelation!G$4:G$1197,"",0),DMAV_Modell!$G$6:$G$677,0)))</f>
        <v>0</v>
      </c>
      <c r="E935" s="57">
        <f>IF($A935="","",IF(_xlfn.XLOOKUP($A935,Korrelation!$D$4:$D$1197,Korrelation!H$4:H$1197,"-",0)="-",0,MATCH(_xlfn.XLOOKUP($A935,Korrelation!$D$4:$D$1197,Korrelation!H$4:H$1197,"",0),DMAV_Dienste!$F$6:$F$140,0)))</f>
        <v>0</v>
      </c>
      <c r="F935" s="57">
        <f>IF($A935="","",IF(_xlfn.XLOOKUP($A935,Korrelation!$D$4:$D$1197,Korrelation!I$4:I$1197,"-",0)="-",0,MATCH(_xlfn.XLOOKUP($A935,Korrelation!$D$4:$D$1197,Korrelation!I$4:I$1197,"",0),DMAV_Dienste!$F$6:$F$140,0)))</f>
        <v>0</v>
      </c>
      <c r="G935" s="57">
        <f>IF($A935="","",IF(_xlfn.XLOOKUP($A935,Korrelation!$D$4:$D$1197,Korrelation!J$4:J$1197,"-",0)="-",0,MATCH(_xlfn.XLOOKUP($A935,Korrelation!$D$4:$D$1197,Korrelation!J$4:J$1197,"",0),DMAV_Dienste!$F$6:$F$140,0)))</f>
        <v>0</v>
      </c>
      <c r="H935" s="57">
        <f>IF($A935="","",IF(_xlfn.XLOOKUP($A935,Korrelation!$D$4:$D$1197,Korrelation!K$4:K$1197,"-",0)="-",0,MATCH(_xlfn.XLOOKUP($A935,Korrelation!$D$4:$D$1197,Korrelation!K$4:K$1197,"",0),'DM01-AV-CH'!$A$6:$A$834,0)))</f>
        <v>346</v>
      </c>
      <c r="J935" s="54" t="str" cm="1">
        <f t="array" aca="1" ref="J935" ca="1">IF(B935=0,IF(E935=0,"",HYPERLINK("#"&amp;RIGHT(CELL("adresse",OFFSET(DMAV_Dienste!$M$6,E935-1,0)),LEN(CELL("adresse",OFFSET(DMAV_Dienste!$M$6,E935-1,0)))-FIND("]",CELL("adresse",OFFSET(DMAV_Dienste!$M$6,E935-1,0)))),"Dienst")),HYPERLINK("#"&amp;RIGHT(CELL("adresse",OFFSET(DMAV_Modell!$N$6,B935-1,0)),LEN(CELL("adresse",OFFSET(DMAV_Modell!$N$6,B935-1,0)))-FIND("]",CELL("adresse",OFFSET(DMAV_Modell!$N$6,B935-1,0)))),"Modell"))</f>
        <v>Modell</v>
      </c>
      <c r="K935" s="61" t="str" cm="1">
        <f t="array" ref="K935">IF($B935=0,IF($E935=0,"",IF(INDEX(DMAV_Dienste!P$6:P$140,$E935)="","",INDEX(DMAV_Dienste!P$6:P$140,$E935))),IF(INDEX(DMAV_Modell!Q$6:Q$838,$B935)="","",INDEX(DMAV_Modell!Q$6:Q$838,$B935)))</f>
        <v>CLASS</v>
      </c>
      <c r="L935" s="62" t="str" cm="1">
        <f t="array" ref="L935">IF($B935=0,IF($E935=0,"",IF(INDEX(DMAV_Dienste!O$6:O$140,$E935)="","",INDEX(DMAV_Dienste!O$6:O$140,$E935))),IF(INDEX(DMAV_Modell!P$6:P$838,$B935)="","",INDEX(DMAV_Modell!P$6:P$838,$B935)))</f>
        <v>Einzelobjekte</v>
      </c>
      <c r="M935" s="62" t="str" cm="1">
        <f t="array" ref="M935">IF($B935=0,IF($E935=0,"",IF(INDEX(DMAV_Dienste!Q$6:Q$140,$E935)="","",INDEX(DMAV_Dienste!Q$6:Q$140,$E935))),IF(INDEX(DMAV_Modell!R$6:R$838,$B935)="","",INDEX(DMAV_Modell!R$6:R$838,$B935)))</f>
        <v>Messpunkt</v>
      </c>
      <c r="N935" s="62" t="str" cm="1">
        <f t="array" ref="N935">IF($B935=0,IF($E935=0,"",IF(INDEX(DMAV_Dienste!T$6:T$140,$E935)="","",INDEX(DMAV_Dienste!T$6:T$140,$E935))),IF(INDEX(DMAV_Modell!U$6:U$838,$B935)="","",INDEX(DMAV_Modell!U$6:U$838,$B935)))</f>
        <v>Lagegenauigkeit</v>
      </c>
      <c r="O935" s="63" t="str" cm="1">
        <f t="array" aca="1" ref="O935" ca="1">IF(C935=0,IF(F935=0,"",HYPERLINK("#"&amp;RIGHT(CELL("adresse",OFFSET(DMAV_Dienste!$M$6,F935-1,0)),LEN(CELL("adresse",OFFSET(DMAV_Dienste!$M$6,F935-1,0)))-FIND("]",CELL("adresse",OFFSET(DMAV_Dienste!$M$6,F935-1,0)))),"Structure")),HYPERLINK("#"&amp;RIGHT(CELL("adresse",OFFSET(DMAV_Modell!$N$6,C935-1,0)),LEN(CELL("adresse",OFFSET(DMAV_Modell!$N$6,C935-1,0)))-FIND("]",CELL("adresse",OFFSET(DMAV_Modell!$N$6,C935-1,0)))),"Structure"))</f>
        <v/>
      </c>
      <c r="P935" s="64" t="str" cm="1">
        <f t="array" aca="1" ref="P935" ca="1">IF(D935=0,IF(G935=0,"",HYPERLINK("#"&amp;RIGHT(CELL("adresse",OFFSET(DMAV_Dienste!$M$6,G935-1,0)),LEN(CELL("adresse",OFFSET(DMAV_Dienste!$M$6,G935-1,0)))-FIND("]",CELL("adresse",OFFSET(DMAV_Dienste!$M$6,G935-1,0)))),"Substructure")),HYPERLINK("#"&amp;RIGHT(CELL("adresse",OFFSET(DMAV_Modell!$N$6,D935-1,0)),LEN(CELL("adresse",OFFSET(DMAV_Modell!$N$6,D935-1,0)))-FIND("]",CELL("adresse",OFFSET(DMAV_Modell!$N$6,D935-1,0)))),"Substructure"))</f>
        <v/>
      </c>
      <c r="R935" s="80"/>
      <c r="T935" s="93"/>
      <c r="U935" s="94"/>
      <c r="V935" s="95"/>
      <c r="W935" s="96"/>
      <c r="Y935" s="85"/>
      <c r="Z935" s="86"/>
      <c r="AA935" s="87"/>
      <c r="AB935" s="88"/>
      <c r="AD935" s="77"/>
      <c r="AF935" s="54" t="str" cm="1">
        <f t="array" aca="1" ref="AF935" ca="1">IF(H935=0,"",HYPERLINK("#"&amp;RIGHT(CELL("adresse",OFFSET('DM01-AV-CH'!$G$6,H935-1,0)),LEN(CELL("adresse",OFFSET('DM01-AV-CH'!$G$6,H935-1,0)))-FIND("]",CELL("adresse",OFFSET('DM01-AV-CH'!$G$6,H935-1,0)))),"Modell"))</f>
        <v>Modell</v>
      </c>
      <c r="AG935" s="72" t="str" cm="1">
        <f t="array" ref="AG935">IF($H935=0,"",IF(INDEX('DM01-AV-CH'!G$6:G$834,$H935)="","",INDEX('DM01-AV-CH'!G$6:G$834,$H935)))</f>
        <v>Einzelobjekte</v>
      </c>
      <c r="AH935" s="73" t="str" cm="1">
        <f t="array" ref="AH935">IF($H935=0,"",IF(INDEX('DM01-AV-CH'!H$6:H$834,$H935)="","",INDEX('DM01-AV-CH'!H$6:H$834,$H935)))</f>
        <v>Einzelpunkt</v>
      </c>
      <c r="AI935" s="74" t="str" cm="1">
        <f t="array" ref="AI935">IF($H935=0,"",IF(INDEX('DM01-AV-CH'!I$6:I$834,$H935)="","",INDEX('DM01-AV-CH'!I$6:I$834,$H935)))</f>
        <v>LageGen</v>
      </c>
    </row>
    <row r="936" spans="1:35" x14ac:dyDescent="0.25">
      <c r="A936" s="57">
        <v>931</v>
      </c>
      <c r="B936" s="57">
        <f>IF($A936="","",IF(_xlfn.XLOOKUP($A936,Korrelation!$D$4:$D$1197,Korrelation!E$4:E$1197,"-",0)="-",0,MATCH(_xlfn.XLOOKUP($A936,Korrelation!$D$4:$D$1197,Korrelation!E$4:E$1197,"",0),DMAV_Modell!$G$6:$G$677,0)))</f>
        <v>536</v>
      </c>
      <c r="C936" s="57">
        <f>IF($A936="","",IF(_xlfn.XLOOKUP($A936,Korrelation!$D$4:$D$1197,Korrelation!F$4:F$1197,"-",0)="-",0,MATCH(_xlfn.XLOOKUP($A936,Korrelation!$D$4:$D$1197,Korrelation!F$4:F$1197,"",0),DMAV_Modell!$G$6:$G$677,0)))</f>
        <v>0</v>
      </c>
      <c r="D936" s="57">
        <f>IF($A936="","",IF(_xlfn.XLOOKUP($A936,Korrelation!$D$4:$D$1197,Korrelation!G$4:G$1197,"-",0)="-",0,MATCH(_xlfn.XLOOKUP($A936,Korrelation!$D$4:$D$1197,Korrelation!G$4:G$1197,"",0),DMAV_Modell!$G$6:$G$677,0)))</f>
        <v>0</v>
      </c>
      <c r="E936" s="57">
        <f>IF($A936="","",IF(_xlfn.XLOOKUP($A936,Korrelation!$D$4:$D$1197,Korrelation!H$4:H$1197,"-",0)="-",0,MATCH(_xlfn.XLOOKUP($A936,Korrelation!$D$4:$D$1197,Korrelation!H$4:H$1197,"",0),DMAV_Dienste!$F$6:$F$140,0)))</f>
        <v>0</v>
      </c>
      <c r="F936" s="57">
        <f>IF($A936="","",IF(_xlfn.XLOOKUP($A936,Korrelation!$D$4:$D$1197,Korrelation!I$4:I$1197,"-",0)="-",0,MATCH(_xlfn.XLOOKUP($A936,Korrelation!$D$4:$D$1197,Korrelation!I$4:I$1197,"",0),DMAV_Dienste!$F$6:$F$140,0)))</f>
        <v>0</v>
      </c>
      <c r="G936" s="57">
        <f>IF($A936="","",IF(_xlfn.XLOOKUP($A936,Korrelation!$D$4:$D$1197,Korrelation!J$4:J$1197,"-",0)="-",0,MATCH(_xlfn.XLOOKUP($A936,Korrelation!$D$4:$D$1197,Korrelation!J$4:J$1197,"",0),DMAV_Dienste!$F$6:$F$140,0)))</f>
        <v>0</v>
      </c>
      <c r="H936" s="57">
        <f>IF($A936="","",IF(_xlfn.XLOOKUP($A936,Korrelation!$D$4:$D$1197,Korrelation!K$4:K$1197,"-",0)="-",0,MATCH(_xlfn.XLOOKUP($A936,Korrelation!$D$4:$D$1197,Korrelation!K$4:K$1197,"",0),'DM01-AV-CH'!$A$6:$A$834,0)))</f>
        <v>347</v>
      </c>
      <c r="J936" s="54" t="str" cm="1">
        <f t="array" aca="1" ref="J936" ca="1">IF(B936=0,IF(E936=0,"",HYPERLINK("#"&amp;RIGHT(CELL("adresse",OFFSET(DMAV_Dienste!$M$6,E936-1,0)),LEN(CELL("adresse",OFFSET(DMAV_Dienste!$M$6,E936-1,0)))-FIND("]",CELL("adresse",OFFSET(DMAV_Dienste!$M$6,E936-1,0)))),"Dienst")),HYPERLINK("#"&amp;RIGHT(CELL("adresse",OFFSET(DMAV_Modell!$N$6,B936-1,0)),LEN(CELL("adresse",OFFSET(DMAV_Modell!$N$6,B936-1,0)))-FIND("]",CELL("adresse",OFFSET(DMAV_Modell!$N$6,B936-1,0)))),"Modell"))</f>
        <v>Modell</v>
      </c>
      <c r="K936" s="61" t="str" cm="1">
        <f t="array" ref="K936">IF($B936=0,IF($E936=0,"",IF(INDEX(DMAV_Dienste!P$6:P$140,$E936)="","",INDEX(DMAV_Dienste!P$6:P$140,$E936))),IF(INDEX(DMAV_Modell!Q$6:Q$838,$B936)="","",INDEX(DMAV_Modell!Q$6:Q$838,$B936)))</f>
        <v>CLASS</v>
      </c>
      <c r="L936" s="62" t="str" cm="1">
        <f t="array" ref="L936">IF($B936=0,IF($E936=0,"",IF(INDEX(DMAV_Dienste!O$6:O$140,$E936)="","",INDEX(DMAV_Dienste!O$6:O$140,$E936))),IF(INDEX(DMAV_Modell!P$6:P$838,$B936)="","",INDEX(DMAV_Modell!P$6:P$838,$B936)))</f>
        <v>Einzelobjekte</v>
      </c>
      <c r="M936" s="62" t="str" cm="1">
        <f t="array" ref="M936">IF($B936=0,IF($E936=0,"",IF(INDEX(DMAV_Dienste!Q$6:Q$140,$E936)="","",INDEX(DMAV_Dienste!Q$6:Q$140,$E936))),IF(INDEX(DMAV_Modell!R$6:R$838,$B936)="","",INDEX(DMAV_Modell!R$6:R$838,$B936)))</f>
        <v>Messpunkt</v>
      </c>
      <c r="N936" s="62" t="str" cm="1">
        <f t="array" ref="N936">IF($B936=0,IF($E936=0,"",IF(INDEX(DMAV_Dienste!T$6:T$140,$E936)="","",INDEX(DMAV_Dienste!T$6:T$140,$E936))),IF(INDEX(DMAV_Modell!U$6:U$838,$B936)="","",INDEX(DMAV_Modell!U$6:U$838,$B936)))</f>
        <v>IstLagezuverlaessig</v>
      </c>
      <c r="O936" s="63" t="str" cm="1">
        <f t="array" aca="1" ref="O936" ca="1">IF(C936=0,IF(F936=0,"",HYPERLINK("#"&amp;RIGHT(CELL("adresse",OFFSET(DMAV_Dienste!$M$6,F936-1,0)),LEN(CELL("adresse",OFFSET(DMAV_Dienste!$M$6,F936-1,0)))-FIND("]",CELL("adresse",OFFSET(DMAV_Dienste!$M$6,F936-1,0)))),"Structure")),HYPERLINK("#"&amp;RIGHT(CELL("adresse",OFFSET(DMAV_Modell!$N$6,C936-1,0)),LEN(CELL("adresse",OFFSET(DMAV_Modell!$N$6,C936-1,0)))-FIND("]",CELL("adresse",OFFSET(DMAV_Modell!$N$6,C936-1,0)))),"Structure"))</f>
        <v/>
      </c>
      <c r="P936" s="64" t="str" cm="1">
        <f t="array" aca="1" ref="P936" ca="1">IF(D936=0,IF(G936=0,"",HYPERLINK("#"&amp;RIGHT(CELL("adresse",OFFSET(DMAV_Dienste!$M$6,G936-1,0)),LEN(CELL("adresse",OFFSET(DMAV_Dienste!$M$6,G936-1,0)))-FIND("]",CELL("adresse",OFFSET(DMAV_Dienste!$M$6,G936-1,0)))),"Substructure")),HYPERLINK("#"&amp;RIGHT(CELL("adresse",OFFSET(DMAV_Modell!$N$6,D936-1,0)),LEN(CELL("adresse",OFFSET(DMAV_Modell!$N$6,D936-1,0)))-FIND("]",CELL("adresse",OFFSET(DMAV_Modell!$N$6,D936-1,0)))),"Substructure"))</f>
        <v/>
      </c>
      <c r="R936" s="80"/>
      <c r="T936" s="93"/>
      <c r="U936" s="94"/>
      <c r="V936" s="95"/>
      <c r="W936" s="96"/>
      <c r="Y936" s="85"/>
      <c r="Z936" s="86"/>
      <c r="AA936" s="87"/>
      <c r="AB936" s="88"/>
      <c r="AD936" s="77"/>
      <c r="AF936" s="54" t="str" cm="1">
        <f t="array" aca="1" ref="AF936" ca="1">IF(H936=0,"",HYPERLINK("#"&amp;RIGHT(CELL("adresse",OFFSET('DM01-AV-CH'!$G$6,H936-1,0)),LEN(CELL("adresse",OFFSET('DM01-AV-CH'!$G$6,H936-1,0)))-FIND("]",CELL("adresse",OFFSET('DM01-AV-CH'!$G$6,H936-1,0)))),"Modell"))</f>
        <v>Modell</v>
      </c>
      <c r="AG936" s="72" t="str" cm="1">
        <f t="array" ref="AG936">IF($H936=0,"",IF(INDEX('DM01-AV-CH'!G$6:G$834,$H936)="","",INDEX('DM01-AV-CH'!G$6:G$834,$H936)))</f>
        <v>Einzelobjekte</v>
      </c>
      <c r="AH936" s="73" t="str" cm="1">
        <f t="array" ref="AH936">IF($H936=0,"",IF(INDEX('DM01-AV-CH'!H$6:H$834,$H936)="","",INDEX('DM01-AV-CH'!H$6:H$834,$H936)))</f>
        <v>Einzelpunkt</v>
      </c>
      <c r="AI936" s="74" t="str" cm="1">
        <f t="array" ref="AI936">IF($H936=0,"",IF(INDEX('DM01-AV-CH'!I$6:I$834,$H936)="","",INDEX('DM01-AV-CH'!I$6:I$834,$H936)))</f>
        <v>LageZuv</v>
      </c>
    </row>
    <row r="937" spans="1:35" x14ac:dyDescent="0.25">
      <c r="A937" s="57">
        <v>932</v>
      </c>
      <c r="B937" s="57">
        <f>IF($A937="","",IF(_xlfn.XLOOKUP($A937,Korrelation!$D$4:$D$1197,Korrelation!E$4:E$1197,"-",0)="-",0,MATCH(_xlfn.XLOOKUP($A937,Korrelation!$D$4:$D$1197,Korrelation!E$4:E$1197,"",0),DMAV_Modell!$G$6:$G$677,0)))</f>
        <v>537</v>
      </c>
      <c r="C937" s="57">
        <f>IF($A937="","",IF(_xlfn.XLOOKUP($A937,Korrelation!$D$4:$D$1197,Korrelation!F$4:F$1197,"-",0)="-",0,MATCH(_xlfn.XLOOKUP($A937,Korrelation!$D$4:$D$1197,Korrelation!F$4:F$1197,"",0),DMAV_Modell!$G$6:$G$677,0)))</f>
        <v>0</v>
      </c>
      <c r="D937" s="57">
        <f>IF($A937="","",IF(_xlfn.XLOOKUP($A937,Korrelation!$D$4:$D$1197,Korrelation!G$4:G$1197,"-",0)="-",0,MATCH(_xlfn.XLOOKUP($A937,Korrelation!$D$4:$D$1197,Korrelation!G$4:G$1197,"",0),DMAV_Modell!$G$6:$G$677,0)))</f>
        <v>0</v>
      </c>
      <c r="E937" s="57">
        <f>IF($A937="","",IF(_xlfn.XLOOKUP($A937,Korrelation!$D$4:$D$1197,Korrelation!H$4:H$1197,"-",0)="-",0,MATCH(_xlfn.XLOOKUP($A937,Korrelation!$D$4:$D$1197,Korrelation!H$4:H$1197,"",0),DMAV_Dienste!$F$6:$F$140,0)))</f>
        <v>0</v>
      </c>
      <c r="F937" s="57">
        <f>IF($A937="","",IF(_xlfn.XLOOKUP($A937,Korrelation!$D$4:$D$1197,Korrelation!I$4:I$1197,"-",0)="-",0,MATCH(_xlfn.XLOOKUP($A937,Korrelation!$D$4:$D$1197,Korrelation!I$4:I$1197,"",0),DMAV_Dienste!$F$6:$F$140,0)))</f>
        <v>0</v>
      </c>
      <c r="G937" s="57">
        <f>IF($A937="","",IF(_xlfn.XLOOKUP($A937,Korrelation!$D$4:$D$1197,Korrelation!J$4:J$1197,"-",0)="-",0,MATCH(_xlfn.XLOOKUP($A937,Korrelation!$D$4:$D$1197,Korrelation!J$4:J$1197,"",0),DMAV_Dienste!$F$6:$F$140,0)))</f>
        <v>0</v>
      </c>
      <c r="H937" s="57">
        <f>IF($A937="","",IF(_xlfn.XLOOKUP($A937,Korrelation!$D$4:$D$1197,Korrelation!K$4:K$1197,"-",0)="-",0,MATCH(_xlfn.XLOOKUP($A937,Korrelation!$D$4:$D$1197,Korrelation!K$4:K$1197,"",0),'DM01-AV-CH'!$A$6:$A$834,0)))</f>
        <v>0</v>
      </c>
      <c r="J937" s="54" t="str" cm="1">
        <f t="array" aca="1" ref="J937" ca="1">IF(B937=0,IF(E937=0,"",HYPERLINK("#"&amp;RIGHT(CELL("adresse",OFFSET(DMAV_Dienste!$M$6,E937-1,0)),LEN(CELL("adresse",OFFSET(DMAV_Dienste!$M$6,E937-1,0)))-FIND("]",CELL("adresse",OFFSET(DMAV_Dienste!$M$6,E937-1,0)))),"Dienst")),HYPERLINK("#"&amp;RIGHT(CELL("adresse",OFFSET(DMAV_Modell!$N$6,B937-1,0)),LEN(CELL("adresse",OFFSET(DMAV_Modell!$N$6,B937-1,0)))-FIND("]",CELL("adresse",OFFSET(DMAV_Modell!$N$6,B937-1,0)))),"Modell"))</f>
        <v>Modell</v>
      </c>
      <c r="K937" s="61" t="str" cm="1">
        <f t="array" ref="K937">IF($B937=0,IF($E937=0,"",IF(INDEX(DMAV_Dienste!P$6:P$140,$E937)="","",INDEX(DMAV_Dienste!P$6:P$140,$E937))),IF(INDEX(DMAV_Modell!Q$6:Q$838,$B937)="","",INDEX(DMAV_Modell!Q$6:Q$838,$B937)))</f>
        <v>CLASS</v>
      </c>
      <c r="L937" s="62" t="str" cm="1">
        <f t="array" ref="L937">IF($B937=0,IF($E937=0,"",IF(INDEX(DMAV_Dienste!O$6:O$140,$E937)="","",INDEX(DMAV_Dienste!O$6:O$140,$E937))),IF(INDEX(DMAV_Modell!P$6:P$838,$B937)="","",INDEX(DMAV_Modell!P$6:P$838,$B937)))</f>
        <v>Einzelobjekte</v>
      </c>
      <c r="M937" s="62" t="str" cm="1">
        <f t="array" ref="M937">IF($B937=0,IF($E937=0,"",IF(INDEX(DMAV_Dienste!Q$6:Q$140,$E937)="","",INDEX(DMAV_Dienste!Q$6:Q$140,$E937))),IF(INDEX(DMAV_Modell!R$6:R$838,$B937)="","",INDEX(DMAV_Modell!R$6:R$838,$B937)))</f>
        <v>Messpunkt</v>
      </c>
      <c r="N937" s="62" t="str" cm="1">
        <f t="array" ref="N937">IF($B937=0,IF($E937=0,"",IF(INDEX(DMAV_Dienste!T$6:T$140,$E937)="","",INDEX(DMAV_Dienste!T$6:T$140,$E937))),IF(INDEX(DMAV_Modell!U$6:U$838,$B937)="","",INDEX(DMAV_Modell!U$6:U$838,$B937)))</f>
        <v>Hoehengenauigkeit</v>
      </c>
      <c r="O937" s="63" t="str" cm="1">
        <f t="array" aca="1" ref="O937" ca="1">IF(C937=0,IF(F937=0,"",HYPERLINK("#"&amp;RIGHT(CELL("adresse",OFFSET(DMAV_Dienste!$M$6,F937-1,0)),LEN(CELL("adresse",OFFSET(DMAV_Dienste!$M$6,F937-1,0)))-FIND("]",CELL("adresse",OFFSET(DMAV_Dienste!$M$6,F937-1,0)))),"Structure")),HYPERLINK("#"&amp;RIGHT(CELL("adresse",OFFSET(DMAV_Modell!$N$6,C937-1,0)),LEN(CELL("adresse",OFFSET(DMAV_Modell!$N$6,C937-1,0)))-FIND("]",CELL("adresse",OFFSET(DMAV_Modell!$N$6,C937-1,0)))),"Structure"))</f>
        <v/>
      </c>
      <c r="P937" s="64" t="str" cm="1">
        <f t="array" aca="1" ref="P937" ca="1">IF(D937=0,IF(G937=0,"",HYPERLINK("#"&amp;RIGHT(CELL("adresse",OFFSET(DMAV_Dienste!$M$6,G937-1,0)),LEN(CELL("adresse",OFFSET(DMAV_Dienste!$M$6,G937-1,0)))-FIND("]",CELL("adresse",OFFSET(DMAV_Dienste!$M$6,G937-1,0)))),"Substructure")),HYPERLINK("#"&amp;RIGHT(CELL("adresse",OFFSET(DMAV_Modell!$N$6,D937-1,0)),LEN(CELL("adresse",OFFSET(DMAV_Modell!$N$6,D937-1,0)))-FIND("]",CELL("adresse",OFFSET(DMAV_Modell!$N$6,D937-1,0)))),"Substructure"))</f>
        <v/>
      </c>
      <c r="R937" s="80"/>
      <c r="T937" s="93"/>
      <c r="U937" s="94"/>
      <c r="V937" s="95"/>
      <c r="W937" s="96"/>
      <c r="Y937" s="85"/>
      <c r="Z937" s="86"/>
      <c r="AA937" s="87"/>
      <c r="AB937" s="88"/>
      <c r="AD937" s="77"/>
      <c r="AF937" s="54" t="str" cm="1">
        <f t="array" aca="1" ref="AF937" ca="1">IF(H937=0,"",HYPERLINK("#"&amp;RIGHT(CELL("adresse",OFFSET('DM01-AV-CH'!$G$6,H937-1,0)),LEN(CELL("adresse",OFFSET('DM01-AV-CH'!$G$6,H937-1,0)))-FIND("]",CELL("adresse",OFFSET('DM01-AV-CH'!$G$6,H937-1,0)))),"Modell"))</f>
        <v/>
      </c>
      <c r="AG937" s="72" t="str" cm="1">
        <f t="array" ref="AG937">IF($H937=0,"",IF(INDEX('DM01-AV-CH'!G$6:G$834,$H937)="","",INDEX('DM01-AV-CH'!G$6:G$834,$H937)))</f>
        <v/>
      </c>
      <c r="AH937" s="73" t="str" cm="1">
        <f t="array" ref="AH937">IF($H937=0,"",IF(INDEX('DM01-AV-CH'!H$6:H$834,$H937)="","",INDEX('DM01-AV-CH'!H$6:H$834,$H937)))</f>
        <v/>
      </c>
      <c r="AI937" s="74" t="str" cm="1">
        <f t="array" ref="AI937">IF($H937=0,"",IF(INDEX('DM01-AV-CH'!I$6:I$834,$H937)="","",INDEX('DM01-AV-CH'!I$6:I$834,$H937)))</f>
        <v/>
      </c>
    </row>
    <row r="938" spans="1:35" x14ac:dyDescent="0.25">
      <c r="A938" s="57">
        <v>933</v>
      </c>
      <c r="B938" s="57">
        <f>IF($A938="","",IF(_xlfn.XLOOKUP($A938,Korrelation!$D$4:$D$1197,Korrelation!E$4:E$1197,"-",0)="-",0,MATCH(_xlfn.XLOOKUP($A938,Korrelation!$D$4:$D$1197,Korrelation!E$4:E$1197,"",0),DMAV_Modell!$G$6:$G$677,0)))</f>
        <v>538</v>
      </c>
      <c r="C938" s="57">
        <f>IF($A938="","",IF(_xlfn.XLOOKUP($A938,Korrelation!$D$4:$D$1197,Korrelation!F$4:F$1197,"-",0)="-",0,MATCH(_xlfn.XLOOKUP($A938,Korrelation!$D$4:$D$1197,Korrelation!F$4:F$1197,"",0),DMAV_Modell!$G$6:$G$677,0)))</f>
        <v>0</v>
      </c>
      <c r="D938" s="57">
        <f>IF($A938="","",IF(_xlfn.XLOOKUP($A938,Korrelation!$D$4:$D$1197,Korrelation!G$4:G$1197,"-",0)="-",0,MATCH(_xlfn.XLOOKUP($A938,Korrelation!$D$4:$D$1197,Korrelation!G$4:G$1197,"",0),DMAV_Modell!$G$6:$G$677,0)))</f>
        <v>0</v>
      </c>
      <c r="E938" s="57">
        <f>IF($A938="","",IF(_xlfn.XLOOKUP($A938,Korrelation!$D$4:$D$1197,Korrelation!H$4:H$1197,"-",0)="-",0,MATCH(_xlfn.XLOOKUP($A938,Korrelation!$D$4:$D$1197,Korrelation!H$4:H$1197,"",0),DMAV_Dienste!$F$6:$F$140,0)))</f>
        <v>0</v>
      </c>
      <c r="F938" s="57">
        <f>IF($A938="","",IF(_xlfn.XLOOKUP($A938,Korrelation!$D$4:$D$1197,Korrelation!I$4:I$1197,"-",0)="-",0,MATCH(_xlfn.XLOOKUP($A938,Korrelation!$D$4:$D$1197,Korrelation!I$4:I$1197,"",0),DMAV_Dienste!$F$6:$F$140,0)))</f>
        <v>0</v>
      </c>
      <c r="G938" s="57">
        <f>IF($A938="","",IF(_xlfn.XLOOKUP($A938,Korrelation!$D$4:$D$1197,Korrelation!J$4:J$1197,"-",0)="-",0,MATCH(_xlfn.XLOOKUP($A938,Korrelation!$D$4:$D$1197,Korrelation!J$4:J$1197,"",0),DMAV_Dienste!$F$6:$F$140,0)))</f>
        <v>0</v>
      </c>
      <c r="H938" s="57">
        <f>IF($A938="","",IF(_xlfn.XLOOKUP($A938,Korrelation!$D$4:$D$1197,Korrelation!K$4:K$1197,"-",0)="-",0,MATCH(_xlfn.XLOOKUP($A938,Korrelation!$D$4:$D$1197,Korrelation!K$4:K$1197,"",0),'DM01-AV-CH'!$A$6:$A$834,0)))</f>
        <v>0</v>
      </c>
      <c r="J938" s="54" t="str" cm="1">
        <f t="array" aca="1" ref="J938" ca="1">IF(B938=0,IF(E938=0,"",HYPERLINK("#"&amp;RIGHT(CELL("adresse",OFFSET(DMAV_Dienste!$M$6,E938-1,0)),LEN(CELL("adresse",OFFSET(DMAV_Dienste!$M$6,E938-1,0)))-FIND("]",CELL("adresse",OFFSET(DMAV_Dienste!$M$6,E938-1,0)))),"Dienst")),HYPERLINK("#"&amp;RIGHT(CELL("adresse",OFFSET(DMAV_Modell!$N$6,B938-1,0)),LEN(CELL("adresse",OFFSET(DMAV_Modell!$N$6,B938-1,0)))-FIND("]",CELL("adresse",OFFSET(DMAV_Modell!$N$6,B938-1,0)))),"Modell"))</f>
        <v>Modell</v>
      </c>
      <c r="K938" s="61" t="str" cm="1">
        <f t="array" ref="K938">IF($B938=0,IF($E938=0,"",IF(INDEX(DMAV_Dienste!P$6:P$140,$E938)="","",INDEX(DMAV_Dienste!P$6:P$140,$E938))),IF(INDEX(DMAV_Modell!Q$6:Q$838,$B938)="","",INDEX(DMAV_Modell!Q$6:Q$838,$B938)))</f>
        <v>CLASS</v>
      </c>
      <c r="L938" s="62" t="str" cm="1">
        <f t="array" ref="L938">IF($B938=0,IF($E938=0,"",IF(INDEX(DMAV_Dienste!O$6:O$140,$E938)="","",INDEX(DMAV_Dienste!O$6:O$140,$E938))),IF(INDEX(DMAV_Modell!P$6:P$838,$B938)="","",INDEX(DMAV_Modell!P$6:P$838,$B938)))</f>
        <v>Einzelobjekte</v>
      </c>
      <c r="M938" s="62" t="str" cm="1">
        <f t="array" ref="M938">IF($B938=0,IF($E938=0,"",IF(INDEX(DMAV_Dienste!Q$6:Q$140,$E938)="","",INDEX(DMAV_Dienste!Q$6:Q$140,$E938))),IF(INDEX(DMAV_Modell!R$6:R$838,$B938)="","",INDEX(DMAV_Modell!R$6:R$838,$B938)))</f>
        <v>Messpunkt</v>
      </c>
      <c r="N938" s="62" t="str" cm="1">
        <f t="array" ref="N938">IF($B938=0,IF($E938=0,"",IF(INDEX(DMAV_Dienste!T$6:T$140,$E938)="","",INDEX(DMAV_Dienste!T$6:T$140,$E938))),IF(INDEX(DMAV_Modell!U$6:U$838,$B938)="","",INDEX(DMAV_Modell!U$6:U$838,$B938)))</f>
        <v>IstHoehenzuverlaessig</v>
      </c>
      <c r="O938" s="63" t="str" cm="1">
        <f t="array" aca="1" ref="O938" ca="1">IF(C938=0,IF(F938=0,"",HYPERLINK("#"&amp;RIGHT(CELL("adresse",OFFSET(DMAV_Dienste!$M$6,F938-1,0)),LEN(CELL("adresse",OFFSET(DMAV_Dienste!$M$6,F938-1,0)))-FIND("]",CELL("adresse",OFFSET(DMAV_Dienste!$M$6,F938-1,0)))),"Structure")),HYPERLINK("#"&amp;RIGHT(CELL("adresse",OFFSET(DMAV_Modell!$N$6,C938-1,0)),LEN(CELL("adresse",OFFSET(DMAV_Modell!$N$6,C938-1,0)))-FIND("]",CELL("adresse",OFFSET(DMAV_Modell!$N$6,C938-1,0)))),"Structure"))</f>
        <v/>
      </c>
      <c r="P938" s="64" t="str" cm="1">
        <f t="array" aca="1" ref="P938" ca="1">IF(D938=0,IF(G938=0,"",HYPERLINK("#"&amp;RIGHT(CELL("adresse",OFFSET(DMAV_Dienste!$M$6,G938-1,0)),LEN(CELL("adresse",OFFSET(DMAV_Dienste!$M$6,G938-1,0)))-FIND("]",CELL("adresse",OFFSET(DMAV_Dienste!$M$6,G938-1,0)))),"Substructure")),HYPERLINK("#"&amp;RIGHT(CELL("adresse",OFFSET(DMAV_Modell!$N$6,D938-1,0)),LEN(CELL("adresse",OFFSET(DMAV_Modell!$N$6,D938-1,0)))-FIND("]",CELL("adresse",OFFSET(DMAV_Modell!$N$6,D938-1,0)))),"Substructure"))</f>
        <v/>
      </c>
      <c r="R938" s="80"/>
      <c r="T938" s="93"/>
      <c r="U938" s="94"/>
      <c r="V938" s="95"/>
      <c r="W938" s="96"/>
      <c r="Y938" s="85"/>
      <c r="Z938" s="86"/>
      <c r="AA938" s="87"/>
      <c r="AB938" s="88"/>
      <c r="AD938" s="77"/>
      <c r="AF938" s="54" t="str" cm="1">
        <f t="array" aca="1" ref="AF938" ca="1">IF(H938=0,"",HYPERLINK("#"&amp;RIGHT(CELL("adresse",OFFSET('DM01-AV-CH'!$G$6,H938-1,0)),LEN(CELL("adresse",OFFSET('DM01-AV-CH'!$G$6,H938-1,0)))-FIND("]",CELL("adresse",OFFSET('DM01-AV-CH'!$G$6,H938-1,0)))),"Modell"))</f>
        <v/>
      </c>
      <c r="AG938" s="72" t="str" cm="1">
        <f t="array" ref="AG938">IF($H938=0,"",IF(INDEX('DM01-AV-CH'!G$6:G$834,$H938)="","",INDEX('DM01-AV-CH'!G$6:G$834,$H938)))</f>
        <v/>
      </c>
      <c r="AH938" s="73" t="str" cm="1">
        <f t="array" ref="AH938">IF($H938=0,"",IF(INDEX('DM01-AV-CH'!H$6:H$834,$H938)="","",INDEX('DM01-AV-CH'!H$6:H$834,$H938)))</f>
        <v/>
      </c>
      <c r="AI938" s="74" t="str" cm="1">
        <f t="array" ref="AI938">IF($H938=0,"",IF(INDEX('DM01-AV-CH'!I$6:I$834,$H938)="","",INDEX('DM01-AV-CH'!I$6:I$834,$H938)))</f>
        <v/>
      </c>
    </row>
    <row r="939" spans="1:35" ht="28.5" x14ac:dyDescent="0.25">
      <c r="A939" s="57">
        <v>934</v>
      </c>
      <c r="B939" s="57">
        <f>IF($A939="","",IF(_xlfn.XLOOKUP($A939,Korrelation!$D$4:$D$1197,Korrelation!E$4:E$1197,"-",0)="-",0,MATCH(_xlfn.XLOOKUP($A939,Korrelation!$D$4:$D$1197,Korrelation!E$4:E$1197,"",0),DMAV_Modell!$G$6:$G$677,0)))</f>
        <v>539</v>
      </c>
      <c r="C939" s="57">
        <f>IF($A939="","",IF(_xlfn.XLOOKUP($A939,Korrelation!$D$4:$D$1197,Korrelation!F$4:F$1197,"-",0)="-",0,MATCH(_xlfn.XLOOKUP($A939,Korrelation!$D$4:$D$1197,Korrelation!F$4:F$1197,"",0),DMAV_Modell!$G$6:$G$677,0)))</f>
        <v>0</v>
      </c>
      <c r="D939" s="57">
        <f>IF($A939="","",IF(_xlfn.XLOOKUP($A939,Korrelation!$D$4:$D$1197,Korrelation!G$4:G$1197,"-",0)="-",0,MATCH(_xlfn.XLOOKUP($A939,Korrelation!$D$4:$D$1197,Korrelation!G$4:G$1197,"",0),DMAV_Modell!$G$6:$G$677,0)))</f>
        <v>0</v>
      </c>
      <c r="E939" s="57">
        <f>IF($A939="","",IF(_xlfn.XLOOKUP($A939,Korrelation!$D$4:$D$1197,Korrelation!H$4:H$1197,"-",0)="-",0,MATCH(_xlfn.XLOOKUP($A939,Korrelation!$D$4:$D$1197,Korrelation!H$4:H$1197,"",0),DMAV_Dienste!$F$6:$F$140,0)))</f>
        <v>0</v>
      </c>
      <c r="F939" s="57">
        <f>IF($A939="","",IF(_xlfn.XLOOKUP($A939,Korrelation!$D$4:$D$1197,Korrelation!I$4:I$1197,"-",0)="-",0,MATCH(_xlfn.XLOOKUP($A939,Korrelation!$D$4:$D$1197,Korrelation!I$4:I$1197,"",0),DMAV_Dienste!$F$6:$F$140,0)))</f>
        <v>0</v>
      </c>
      <c r="G939" s="57">
        <f>IF($A939="","",IF(_xlfn.XLOOKUP($A939,Korrelation!$D$4:$D$1197,Korrelation!J$4:J$1197,"-",0)="-",0,MATCH(_xlfn.XLOOKUP($A939,Korrelation!$D$4:$D$1197,Korrelation!J$4:J$1197,"",0),DMAV_Dienste!$F$6:$F$140,0)))</f>
        <v>0</v>
      </c>
      <c r="H939" s="57">
        <f>IF($A939="","",IF(_xlfn.XLOOKUP($A939,Korrelation!$D$4:$D$1197,Korrelation!K$4:K$1197,"-",0)="-",0,MATCH(_xlfn.XLOOKUP($A939,Korrelation!$D$4:$D$1197,Korrelation!K$4:K$1197,"",0),'DM01-AV-CH'!$A$6:$A$834,0)))</f>
        <v>348</v>
      </c>
      <c r="J939" s="54" t="str" cm="1">
        <f t="array" aca="1" ref="J939" ca="1">IF(B939=0,IF(E939=0,"",HYPERLINK("#"&amp;RIGHT(CELL("adresse",OFFSET(DMAV_Dienste!$M$6,E939-1,0)),LEN(CELL("adresse",OFFSET(DMAV_Dienste!$M$6,E939-1,0)))-FIND("]",CELL("adresse",OFFSET(DMAV_Dienste!$M$6,E939-1,0)))),"Dienst")),HYPERLINK("#"&amp;RIGHT(CELL("adresse",OFFSET(DMAV_Modell!$N$6,B939-1,0)),LEN(CELL("adresse",OFFSET(DMAV_Modell!$N$6,B939-1,0)))-FIND("]",CELL("adresse",OFFSET(DMAV_Modell!$N$6,B939-1,0)))),"Modell"))</f>
        <v>Modell</v>
      </c>
      <c r="K939" s="61" t="str" cm="1">
        <f t="array" ref="K939">IF($B939=0,IF($E939=0,"",IF(INDEX(DMAV_Dienste!P$6:P$140,$E939)="","",INDEX(DMAV_Dienste!P$6:P$140,$E939))),IF(INDEX(DMAV_Modell!Q$6:Q$838,$B939)="","",INDEX(DMAV_Modell!Q$6:Q$838,$B939)))</f>
        <v>CLASS</v>
      </c>
      <c r="L939" s="62" t="str" cm="1">
        <f t="array" ref="L939">IF($B939=0,IF($E939=0,"",IF(INDEX(DMAV_Dienste!O$6:O$140,$E939)="","",INDEX(DMAV_Dienste!O$6:O$140,$E939))),IF(INDEX(DMAV_Modell!P$6:P$838,$B939)="","",INDEX(DMAV_Modell!P$6:P$838,$B939)))</f>
        <v>Einzelobjekte</v>
      </c>
      <c r="M939" s="62" t="str" cm="1">
        <f t="array" ref="M939">IF($B939=0,IF($E939=0,"",IF(INDEX(DMAV_Dienste!Q$6:Q$140,$E939)="","",INDEX(DMAV_Dienste!Q$6:Q$140,$E939))),IF(INDEX(DMAV_Modell!R$6:R$838,$B939)="","",INDEX(DMAV_Modell!R$6:R$838,$B939)))</f>
        <v>Messpunkt</v>
      </c>
      <c r="N939" s="62" t="str" cm="1">
        <f t="array" ref="N939">IF($B939=0,IF($E939=0,"",IF(INDEX(DMAV_Dienste!T$6:T$140,$E939)="","",INDEX(DMAV_Dienste!T$6:T$140,$E939))),IF(INDEX(DMAV_Modell!U$6:U$838,$B939)="","",INDEX(DMAV_Modell!U$6:U$838,$B939)))</f>
        <v>IstExaktDefiniert</v>
      </c>
      <c r="O939" s="63" t="str" cm="1">
        <f t="array" aca="1" ref="O939" ca="1">IF(C939=0,IF(F939=0,"",HYPERLINK("#"&amp;RIGHT(CELL("adresse",OFFSET(DMAV_Dienste!$M$6,F939-1,0)),LEN(CELL("adresse",OFFSET(DMAV_Dienste!$M$6,F939-1,0)))-FIND("]",CELL("adresse",OFFSET(DMAV_Dienste!$M$6,F939-1,0)))),"Structure")),HYPERLINK("#"&amp;RIGHT(CELL("adresse",OFFSET(DMAV_Modell!$N$6,C939-1,0)),LEN(CELL("adresse",OFFSET(DMAV_Modell!$N$6,C939-1,0)))-FIND("]",CELL("adresse",OFFSET(DMAV_Modell!$N$6,C939-1,0)))),"Structure"))</f>
        <v/>
      </c>
      <c r="P939" s="64" t="str" cm="1">
        <f t="array" aca="1" ref="P939" ca="1">IF(D939=0,IF(G939=0,"",HYPERLINK("#"&amp;RIGHT(CELL("adresse",OFFSET(DMAV_Dienste!$M$6,G939-1,0)),LEN(CELL("adresse",OFFSET(DMAV_Dienste!$M$6,G939-1,0)))-FIND("]",CELL("adresse",OFFSET(DMAV_Dienste!$M$6,G939-1,0)))),"Substructure")),HYPERLINK("#"&amp;RIGHT(CELL("adresse",OFFSET(DMAV_Modell!$N$6,D939-1,0)),LEN(CELL("adresse",OFFSET(DMAV_Modell!$N$6,D939-1,0)))-FIND("]",CELL("adresse",OFFSET(DMAV_Modell!$N$6,D939-1,0)))),"Substructure"))</f>
        <v/>
      </c>
      <c r="R939" s="80" t="s">
        <v>3062</v>
      </c>
      <c r="T939" s="93"/>
      <c r="U939" s="94"/>
      <c r="V939" s="95"/>
      <c r="W939" s="96"/>
      <c r="Y939" s="85"/>
      <c r="Z939" s="86"/>
      <c r="AA939" s="87"/>
      <c r="AB939" s="88"/>
      <c r="AD939" s="77" t="s">
        <v>2992</v>
      </c>
      <c r="AF939" s="54" t="str" cm="1">
        <f t="array" aca="1" ref="AF939" ca="1">IF(H939=0,"",HYPERLINK("#"&amp;RIGHT(CELL("adresse",OFFSET('DM01-AV-CH'!$G$6,H939-1,0)),LEN(CELL("adresse",OFFSET('DM01-AV-CH'!$G$6,H939-1,0)))-FIND("]",CELL("adresse",OFFSET('DM01-AV-CH'!$G$6,H939-1,0)))),"Modell"))</f>
        <v>Modell</v>
      </c>
      <c r="AG939" s="72" t="str" cm="1">
        <f t="array" ref="AG939">IF($H939=0,"",IF(INDEX('DM01-AV-CH'!G$6:G$834,$H939)="","",INDEX('DM01-AV-CH'!G$6:G$834,$H939)))</f>
        <v>Einzelobjekte</v>
      </c>
      <c r="AH939" s="73" t="str" cm="1">
        <f t="array" ref="AH939">IF($H939=0,"",IF(INDEX('DM01-AV-CH'!H$6:H$834,$H939)="","",INDEX('DM01-AV-CH'!H$6:H$834,$H939)))</f>
        <v>Einzelpunkt</v>
      </c>
      <c r="AI939" s="74" t="str" cm="1">
        <f t="array" ref="AI939">IF($H939=0,"",IF(INDEX('DM01-AV-CH'!I$6:I$834,$H939)="","",INDEX('DM01-AV-CH'!I$6:I$834,$H939)))</f>
        <v>ExaktDefiniert</v>
      </c>
    </row>
    <row r="940" spans="1:35" x14ac:dyDescent="0.25">
      <c r="A940" s="57">
        <v>935</v>
      </c>
      <c r="B940" s="57">
        <f>IF($A940="","",IF(_xlfn.XLOOKUP($A940,Korrelation!$D$4:$D$1197,Korrelation!E$4:E$1197,"-",0)="-",0,MATCH(_xlfn.XLOOKUP($A940,Korrelation!$D$4:$D$1197,Korrelation!E$4:E$1197,"",0),DMAV_Modell!$G$6:$G$677,0)))</f>
        <v>0</v>
      </c>
      <c r="C940" s="57">
        <f>IF($A940="","",IF(_xlfn.XLOOKUP($A940,Korrelation!$D$4:$D$1197,Korrelation!F$4:F$1197,"-",0)="-",0,MATCH(_xlfn.XLOOKUP($A940,Korrelation!$D$4:$D$1197,Korrelation!F$4:F$1197,"",0),DMAV_Modell!$G$6:$G$677,0)))</f>
        <v>0</v>
      </c>
      <c r="D940" s="57">
        <f>IF($A940="","",IF(_xlfn.XLOOKUP($A940,Korrelation!$D$4:$D$1197,Korrelation!G$4:G$1197,"-",0)="-",0,MATCH(_xlfn.XLOOKUP($A940,Korrelation!$D$4:$D$1197,Korrelation!G$4:G$1197,"",0),DMAV_Modell!$G$6:$G$677,0)))</f>
        <v>0</v>
      </c>
      <c r="E940" s="57">
        <f>IF($A940="","",IF(_xlfn.XLOOKUP($A940,Korrelation!$D$4:$D$1197,Korrelation!H$4:H$1197,"-",0)="-",0,MATCH(_xlfn.XLOOKUP($A940,Korrelation!$D$4:$D$1197,Korrelation!H$4:H$1197,"",0),DMAV_Dienste!$F$6:$F$140,0)))</f>
        <v>0</v>
      </c>
      <c r="F940" s="57">
        <f>IF($A940="","",IF(_xlfn.XLOOKUP($A940,Korrelation!$D$4:$D$1197,Korrelation!I$4:I$1197,"-",0)="-",0,MATCH(_xlfn.XLOOKUP($A940,Korrelation!$D$4:$D$1197,Korrelation!I$4:I$1197,"",0),DMAV_Dienste!$F$6:$F$140,0)))</f>
        <v>0</v>
      </c>
      <c r="G940" s="57">
        <f>IF($A940="","",IF(_xlfn.XLOOKUP($A940,Korrelation!$D$4:$D$1197,Korrelation!J$4:J$1197,"-",0)="-",0,MATCH(_xlfn.XLOOKUP($A940,Korrelation!$D$4:$D$1197,Korrelation!J$4:J$1197,"",0),DMAV_Dienste!$F$6:$F$140,0)))</f>
        <v>0</v>
      </c>
      <c r="H940" s="57">
        <f>IF($A940="","",IF(_xlfn.XLOOKUP($A940,Korrelation!$D$4:$D$1197,Korrelation!K$4:K$1197,"-",0)="-",0,MATCH(_xlfn.XLOOKUP($A940,Korrelation!$D$4:$D$1197,Korrelation!K$4:K$1197,"",0),'DM01-AV-CH'!$A$6:$A$834,0)))</f>
        <v>349</v>
      </c>
      <c r="J940" s="54" t="str" cm="1">
        <f t="array" aca="1" ref="J940" ca="1">IF(B940=0,IF(E940=0,"",HYPERLINK("#"&amp;RIGHT(CELL("adresse",OFFSET(DMAV_Dienste!$M$6,E940-1,0)),LEN(CELL("adresse",OFFSET(DMAV_Dienste!$M$6,E940-1,0)))-FIND("]",CELL("adresse",OFFSET(DMAV_Dienste!$M$6,E940-1,0)))),"Dienst")),HYPERLINK("#"&amp;RIGHT(CELL("adresse",OFFSET(DMAV_Modell!$N$6,B940-1,0)),LEN(CELL("adresse",OFFSET(DMAV_Modell!$N$6,B940-1,0)))-FIND("]",CELL("adresse",OFFSET(DMAV_Modell!$N$6,B940-1,0)))),"Modell"))</f>
        <v/>
      </c>
      <c r="K940" s="61" t="str" cm="1">
        <f t="array" ref="K940">IF($B940=0,IF($E940=0,"",IF(INDEX(DMAV_Dienste!P$6:P$140,$E940)="","",INDEX(DMAV_Dienste!P$6:P$140,$E940))),IF(INDEX(DMAV_Modell!Q$6:Q$838,$B940)="","",INDEX(DMAV_Modell!Q$6:Q$838,$B940)))</f>
        <v/>
      </c>
      <c r="L940" s="62" t="str" cm="1">
        <f t="array" ref="L940">IF($B940=0,IF($E940=0,"",IF(INDEX(DMAV_Dienste!O$6:O$140,$E940)="","",INDEX(DMAV_Dienste!O$6:O$140,$E940))),IF(INDEX(DMAV_Modell!P$6:P$838,$B940)="","",INDEX(DMAV_Modell!P$6:P$838,$B940)))</f>
        <v/>
      </c>
      <c r="M940" s="62" t="str" cm="1">
        <f t="array" ref="M940">IF($B940=0,IF($E940=0,"",IF(INDEX(DMAV_Dienste!Q$6:Q$140,$E940)="","",INDEX(DMAV_Dienste!Q$6:Q$140,$E940))),IF(INDEX(DMAV_Modell!R$6:R$838,$B940)="","",INDEX(DMAV_Modell!R$6:R$838,$B940)))</f>
        <v/>
      </c>
      <c r="N940" s="62" t="str" cm="1">
        <f t="array" ref="N940">IF($B940=0,IF($E940=0,"",IF(INDEX(DMAV_Dienste!T$6:T$140,$E940)="","",INDEX(DMAV_Dienste!T$6:T$140,$E940))),IF(INDEX(DMAV_Modell!U$6:U$838,$B940)="","",INDEX(DMAV_Modell!U$6:U$838,$B940)))</f>
        <v/>
      </c>
      <c r="O940" s="63" t="str" cm="1">
        <f t="array" aca="1" ref="O940" ca="1">IF(C940=0,IF(F940=0,"",HYPERLINK("#"&amp;RIGHT(CELL("adresse",OFFSET(DMAV_Dienste!$M$6,F940-1,0)),LEN(CELL("adresse",OFFSET(DMAV_Dienste!$M$6,F940-1,0)))-FIND("]",CELL("adresse",OFFSET(DMAV_Dienste!$M$6,F940-1,0)))),"Structure")),HYPERLINK("#"&amp;RIGHT(CELL("adresse",OFFSET(DMAV_Modell!$N$6,C940-1,0)),LEN(CELL("adresse",OFFSET(DMAV_Modell!$N$6,C940-1,0)))-FIND("]",CELL("adresse",OFFSET(DMAV_Modell!$N$6,C940-1,0)))),"Structure"))</f>
        <v/>
      </c>
      <c r="P940" s="64" t="str" cm="1">
        <f t="array" aca="1" ref="P940" ca="1">IF(D940=0,IF(G940=0,"",HYPERLINK("#"&amp;RIGHT(CELL("adresse",OFFSET(DMAV_Dienste!$M$6,G940-1,0)),LEN(CELL("adresse",OFFSET(DMAV_Dienste!$M$6,G940-1,0)))-FIND("]",CELL("adresse",OFFSET(DMAV_Dienste!$M$6,G940-1,0)))),"Substructure")),HYPERLINK("#"&amp;RIGHT(CELL("adresse",OFFSET(DMAV_Modell!$N$6,D940-1,0)),LEN(CELL("adresse",OFFSET(DMAV_Modell!$N$6,D940-1,0)))-FIND("]",CELL("adresse",OFFSET(DMAV_Modell!$N$6,D940-1,0)))),"Substructure"))</f>
        <v/>
      </c>
      <c r="R940" s="80"/>
      <c r="T940" s="93"/>
      <c r="U940" s="94"/>
      <c r="V940" s="95"/>
      <c r="W940" s="96"/>
      <c r="Y940" s="85"/>
      <c r="Z940" s="86"/>
      <c r="AA940" s="87"/>
      <c r="AB940" s="88"/>
      <c r="AD940" s="77"/>
      <c r="AF940" s="54" t="str" cm="1">
        <f t="array" aca="1" ref="AF940" ca="1">IF(H940=0,"",HYPERLINK("#"&amp;RIGHT(CELL("adresse",OFFSET('DM01-AV-CH'!$G$6,H940-1,0)),LEN(CELL("adresse",OFFSET('DM01-AV-CH'!$G$6,H940-1,0)))-FIND("]",CELL("adresse",OFFSET('DM01-AV-CH'!$G$6,H940-1,0)))),"Modell"))</f>
        <v>Modell</v>
      </c>
      <c r="AG940" s="72" t="str" cm="1">
        <f t="array" ref="AG940">IF($H940=0,"",IF(INDEX('DM01-AV-CH'!G$6:G$834,$H940)="","",INDEX('DM01-AV-CH'!G$6:G$834,$H940)))</f>
        <v>Einzelobjekte</v>
      </c>
      <c r="AH940" s="73" t="str" cm="1">
        <f t="array" ref="AH940">IF($H940=0,"",IF(INDEX('DM01-AV-CH'!H$6:H$834,$H940)="","",INDEX('DM01-AV-CH'!H$6:H$834,$H940)))</f>
        <v>EinzelpunktPos</v>
      </c>
      <c r="AI940" s="74" t="str" cm="1">
        <f t="array" ref="AI940">IF($H940=0,"",IF(INDEX('DM01-AV-CH'!I$6:I$834,$H940)="","",INDEX('DM01-AV-CH'!I$6:I$834,$H940)))</f>
        <v>EinzelpunktPos_von</v>
      </c>
    </row>
    <row r="941" spans="1:35" x14ac:dyDescent="0.25">
      <c r="A941" s="57">
        <v>936</v>
      </c>
      <c r="B941" s="57">
        <f>IF($A941="","",IF(_xlfn.XLOOKUP($A941,Korrelation!$D$4:$D$1197,Korrelation!E$4:E$1197,"-",0)="-",0,MATCH(_xlfn.XLOOKUP($A941,Korrelation!$D$4:$D$1197,Korrelation!E$4:E$1197,"",0),DMAV_Modell!$G$6:$G$677,0)))</f>
        <v>0</v>
      </c>
      <c r="C941" s="57">
        <f>IF($A941="","",IF(_xlfn.XLOOKUP($A941,Korrelation!$D$4:$D$1197,Korrelation!F$4:F$1197,"-",0)="-",0,MATCH(_xlfn.XLOOKUP($A941,Korrelation!$D$4:$D$1197,Korrelation!F$4:F$1197,"",0),DMAV_Modell!$G$6:$G$677,0)))</f>
        <v>0</v>
      </c>
      <c r="D941" s="57">
        <f>IF($A941="","",IF(_xlfn.XLOOKUP($A941,Korrelation!$D$4:$D$1197,Korrelation!G$4:G$1197,"-",0)="-",0,MATCH(_xlfn.XLOOKUP($A941,Korrelation!$D$4:$D$1197,Korrelation!G$4:G$1197,"",0),DMAV_Modell!$G$6:$G$677,0)))</f>
        <v>0</v>
      </c>
      <c r="E941" s="57">
        <f>IF($A941="","",IF(_xlfn.XLOOKUP($A941,Korrelation!$D$4:$D$1197,Korrelation!H$4:H$1197,"-",0)="-",0,MATCH(_xlfn.XLOOKUP($A941,Korrelation!$D$4:$D$1197,Korrelation!H$4:H$1197,"",0),DMAV_Dienste!$F$6:$F$140,0)))</f>
        <v>0</v>
      </c>
      <c r="F941" s="57">
        <f>IF($A941="","",IF(_xlfn.XLOOKUP($A941,Korrelation!$D$4:$D$1197,Korrelation!I$4:I$1197,"-",0)="-",0,MATCH(_xlfn.XLOOKUP($A941,Korrelation!$D$4:$D$1197,Korrelation!I$4:I$1197,"",0),DMAV_Dienste!$F$6:$F$140,0)))</f>
        <v>0</v>
      </c>
      <c r="G941" s="57">
        <f>IF($A941="","",IF(_xlfn.XLOOKUP($A941,Korrelation!$D$4:$D$1197,Korrelation!J$4:J$1197,"-",0)="-",0,MATCH(_xlfn.XLOOKUP($A941,Korrelation!$D$4:$D$1197,Korrelation!J$4:J$1197,"",0),DMAV_Dienste!$F$6:$F$140,0)))</f>
        <v>0</v>
      </c>
      <c r="H941" s="57">
        <f>IF($A941="","",IF(_xlfn.XLOOKUP($A941,Korrelation!$D$4:$D$1197,Korrelation!K$4:K$1197,"-",0)="-",0,MATCH(_xlfn.XLOOKUP($A941,Korrelation!$D$4:$D$1197,Korrelation!K$4:K$1197,"",0),'DM01-AV-CH'!$A$6:$A$834,0)))</f>
        <v>350</v>
      </c>
      <c r="J941" s="54" t="str" cm="1">
        <f t="array" aca="1" ref="J941" ca="1">IF(B941=0,IF(E941=0,"",HYPERLINK("#"&amp;RIGHT(CELL("adresse",OFFSET(DMAV_Dienste!$M$6,E941-1,0)),LEN(CELL("adresse",OFFSET(DMAV_Dienste!$M$6,E941-1,0)))-FIND("]",CELL("adresse",OFFSET(DMAV_Dienste!$M$6,E941-1,0)))),"Dienst")),HYPERLINK("#"&amp;RIGHT(CELL("adresse",OFFSET(DMAV_Modell!$N$6,B941-1,0)),LEN(CELL("adresse",OFFSET(DMAV_Modell!$N$6,B941-1,0)))-FIND("]",CELL("adresse",OFFSET(DMAV_Modell!$N$6,B941-1,0)))),"Modell"))</f>
        <v/>
      </c>
      <c r="K941" s="61" t="str" cm="1">
        <f t="array" ref="K941">IF($B941=0,IF($E941=0,"",IF(INDEX(DMAV_Dienste!P$6:P$140,$E941)="","",INDEX(DMAV_Dienste!P$6:P$140,$E941))),IF(INDEX(DMAV_Modell!Q$6:Q$838,$B941)="","",INDEX(DMAV_Modell!Q$6:Q$838,$B941)))</f>
        <v/>
      </c>
      <c r="L941" s="62" t="str" cm="1">
        <f t="array" ref="L941">IF($B941=0,IF($E941=0,"",IF(INDEX(DMAV_Dienste!O$6:O$140,$E941)="","",INDEX(DMAV_Dienste!O$6:O$140,$E941))),IF(INDEX(DMAV_Modell!P$6:P$838,$B941)="","",INDEX(DMAV_Modell!P$6:P$838,$B941)))</f>
        <v/>
      </c>
      <c r="M941" s="62" t="str" cm="1">
        <f t="array" ref="M941">IF($B941=0,IF($E941=0,"",IF(INDEX(DMAV_Dienste!Q$6:Q$140,$E941)="","",INDEX(DMAV_Dienste!Q$6:Q$140,$E941))),IF(INDEX(DMAV_Modell!R$6:R$838,$B941)="","",INDEX(DMAV_Modell!R$6:R$838,$B941)))</f>
        <v/>
      </c>
      <c r="N941" s="62" t="str" cm="1">
        <f t="array" ref="N941">IF($B941=0,IF($E941=0,"",IF(INDEX(DMAV_Dienste!T$6:T$140,$E941)="","",INDEX(DMAV_Dienste!T$6:T$140,$E941))),IF(INDEX(DMAV_Modell!U$6:U$838,$B941)="","",INDEX(DMAV_Modell!U$6:U$838,$B941)))</f>
        <v/>
      </c>
      <c r="O941" s="63" t="str" cm="1">
        <f t="array" aca="1" ref="O941" ca="1">IF(C941=0,IF(F941=0,"",HYPERLINK("#"&amp;RIGHT(CELL("adresse",OFFSET(DMAV_Dienste!$M$6,F941-1,0)),LEN(CELL("adresse",OFFSET(DMAV_Dienste!$M$6,F941-1,0)))-FIND("]",CELL("adresse",OFFSET(DMAV_Dienste!$M$6,F941-1,0)))),"Structure")),HYPERLINK("#"&amp;RIGHT(CELL("adresse",OFFSET(DMAV_Modell!$N$6,C941-1,0)),LEN(CELL("adresse",OFFSET(DMAV_Modell!$N$6,C941-1,0)))-FIND("]",CELL("adresse",OFFSET(DMAV_Modell!$N$6,C941-1,0)))),"Structure"))</f>
        <v/>
      </c>
      <c r="P941" s="64" t="str" cm="1">
        <f t="array" aca="1" ref="P941" ca="1">IF(D941=0,IF(G941=0,"",HYPERLINK("#"&amp;RIGHT(CELL("adresse",OFFSET(DMAV_Dienste!$M$6,G941-1,0)),LEN(CELL("adresse",OFFSET(DMAV_Dienste!$M$6,G941-1,0)))-FIND("]",CELL("adresse",OFFSET(DMAV_Dienste!$M$6,G941-1,0)))),"Substructure")),HYPERLINK("#"&amp;RIGHT(CELL("adresse",OFFSET(DMAV_Modell!$N$6,D941-1,0)),LEN(CELL("adresse",OFFSET(DMAV_Modell!$N$6,D941-1,0)))-FIND("]",CELL("adresse",OFFSET(DMAV_Modell!$N$6,D941-1,0)))),"Substructure"))</f>
        <v/>
      </c>
      <c r="R941" s="80"/>
      <c r="T941" s="93"/>
      <c r="U941" s="94"/>
      <c r="V941" s="95"/>
      <c r="W941" s="96"/>
      <c r="Y941" s="85"/>
      <c r="Z941" s="86"/>
      <c r="AA941" s="87"/>
      <c r="AB941" s="88"/>
      <c r="AD941" s="77"/>
      <c r="AF941" s="54" t="str" cm="1">
        <f t="array" aca="1" ref="AF941" ca="1">IF(H941=0,"",HYPERLINK("#"&amp;RIGHT(CELL("adresse",OFFSET('DM01-AV-CH'!$G$6,H941-1,0)),LEN(CELL("adresse",OFFSET('DM01-AV-CH'!$G$6,H941-1,0)))-FIND("]",CELL("adresse",OFFSET('DM01-AV-CH'!$G$6,H941-1,0)))),"Modell"))</f>
        <v>Modell</v>
      </c>
      <c r="AG941" s="72" t="str" cm="1">
        <f t="array" ref="AG941">IF($H941=0,"",IF(INDEX('DM01-AV-CH'!G$6:G$834,$H941)="","",INDEX('DM01-AV-CH'!G$6:G$834,$H941)))</f>
        <v>Einzelobjekte</v>
      </c>
      <c r="AH941" s="73" t="str" cm="1">
        <f t="array" ref="AH941">IF($H941=0,"",IF(INDEX('DM01-AV-CH'!H$6:H$834,$H941)="","",INDEX('DM01-AV-CH'!H$6:H$834,$H941)))</f>
        <v>EinzelpunktPos</v>
      </c>
      <c r="AI941" s="74" t="str" cm="1">
        <f t="array" ref="AI941">IF($H941=0,"",IF(INDEX('DM01-AV-CH'!I$6:I$834,$H941)="","",INDEX('DM01-AV-CH'!I$6:I$834,$H941)))</f>
        <v>Pos</v>
      </c>
    </row>
    <row r="942" spans="1:35" x14ac:dyDescent="0.25">
      <c r="A942" s="57">
        <v>937</v>
      </c>
      <c r="B942" s="57">
        <f>IF($A942="","",IF(_xlfn.XLOOKUP($A942,Korrelation!$D$4:$D$1197,Korrelation!E$4:E$1197,"-",0)="-",0,MATCH(_xlfn.XLOOKUP($A942,Korrelation!$D$4:$D$1197,Korrelation!E$4:E$1197,"",0),DMAV_Modell!$G$6:$G$677,0)))</f>
        <v>0</v>
      </c>
      <c r="C942" s="57">
        <f>IF($A942="","",IF(_xlfn.XLOOKUP($A942,Korrelation!$D$4:$D$1197,Korrelation!F$4:F$1197,"-",0)="-",0,MATCH(_xlfn.XLOOKUP($A942,Korrelation!$D$4:$D$1197,Korrelation!F$4:F$1197,"",0),DMAV_Modell!$G$6:$G$677,0)))</f>
        <v>0</v>
      </c>
      <c r="D942" s="57">
        <f>IF($A942="","",IF(_xlfn.XLOOKUP($A942,Korrelation!$D$4:$D$1197,Korrelation!G$4:G$1197,"-",0)="-",0,MATCH(_xlfn.XLOOKUP($A942,Korrelation!$D$4:$D$1197,Korrelation!G$4:G$1197,"",0),DMAV_Modell!$G$6:$G$677,0)))</f>
        <v>0</v>
      </c>
      <c r="E942" s="57">
        <f>IF($A942="","",IF(_xlfn.XLOOKUP($A942,Korrelation!$D$4:$D$1197,Korrelation!H$4:H$1197,"-",0)="-",0,MATCH(_xlfn.XLOOKUP($A942,Korrelation!$D$4:$D$1197,Korrelation!H$4:H$1197,"",0),DMAV_Dienste!$F$6:$F$140,0)))</f>
        <v>0</v>
      </c>
      <c r="F942" s="57">
        <f>IF($A942="","",IF(_xlfn.XLOOKUP($A942,Korrelation!$D$4:$D$1197,Korrelation!I$4:I$1197,"-",0)="-",0,MATCH(_xlfn.XLOOKUP($A942,Korrelation!$D$4:$D$1197,Korrelation!I$4:I$1197,"",0),DMAV_Dienste!$F$6:$F$140,0)))</f>
        <v>0</v>
      </c>
      <c r="G942" s="57">
        <f>IF($A942="","",IF(_xlfn.XLOOKUP($A942,Korrelation!$D$4:$D$1197,Korrelation!J$4:J$1197,"-",0)="-",0,MATCH(_xlfn.XLOOKUP($A942,Korrelation!$D$4:$D$1197,Korrelation!J$4:J$1197,"",0),DMAV_Dienste!$F$6:$F$140,0)))</f>
        <v>0</v>
      </c>
      <c r="H942" s="57">
        <f>IF($A942="","",IF(_xlfn.XLOOKUP($A942,Korrelation!$D$4:$D$1197,Korrelation!K$4:K$1197,"-",0)="-",0,MATCH(_xlfn.XLOOKUP($A942,Korrelation!$D$4:$D$1197,Korrelation!K$4:K$1197,"",0),'DM01-AV-CH'!$A$6:$A$834,0)))</f>
        <v>351</v>
      </c>
      <c r="J942" s="54" t="str" cm="1">
        <f t="array" aca="1" ref="J942" ca="1">IF(B942=0,IF(E942=0,"",HYPERLINK("#"&amp;RIGHT(CELL("adresse",OFFSET(DMAV_Dienste!$M$6,E942-1,0)),LEN(CELL("adresse",OFFSET(DMAV_Dienste!$M$6,E942-1,0)))-FIND("]",CELL("adresse",OFFSET(DMAV_Dienste!$M$6,E942-1,0)))),"Dienst")),HYPERLINK("#"&amp;RIGHT(CELL("adresse",OFFSET(DMAV_Modell!$N$6,B942-1,0)),LEN(CELL("adresse",OFFSET(DMAV_Modell!$N$6,B942-1,0)))-FIND("]",CELL("adresse",OFFSET(DMAV_Modell!$N$6,B942-1,0)))),"Modell"))</f>
        <v/>
      </c>
      <c r="K942" s="61" t="str" cm="1">
        <f t="array" ref="K942">IF($B942=0,IF($E942=0,"",IF(INDEX(DMAV_Dienste!P$6:P$140,$E942)="","",INDEX(DMAV_Dienste!P$6:P$140,$E942))),IF(INDEX(DMAV_Modell!Q$6:Q$838,$B942)="","",INDEX(DMAV_Modell!Q$6:Q$838,$B942)))</f>
        <v/>
      </c>
      <c r="L942" s="62" t="str" cm="1">
        <f t="array" ref="L942">IF($B942=0,IF($E942=0,"",IF(INDEX(DMAV_Dienste!O$6:O$140,$E942)="","",INDEX(DMAV_Dienste!O$6:O$140,$E942))),IF(INDEX(DMAV_Modell!P$6:P$838,$B942)="","",INDEX(DMAV_Modell!P$6:P$838,$B942)))</f>
        <v/>
      </c>
      <c r="M942" s="62" t="str" cm="1">
        <f t="array" ref="M942">IF($B942=0,IF($E942=0,"",IF(INDEX(DMAV_Dienste!Q$6:Q$140,$E942)="","",INDEX(DMAV_Dienste!Q$6:Q$140,$E942))),IF(INDEX(DMAV_Modell!R$6:R$838,$B942)="","",INDEX(DMAV_Modell!R$6:R$838,$B942)))</f>
        <v/>
      </c>
      <c r="N942" s="62" t="str" cm="1">
        <f t="array" ref="N942">IF($B942=0,IF($E942=0,"",IF(INDEX(DMAV_Dienste!T$6:T$140,$E942)="","",INDEX(DMAV_Dienste!T$6:T$140,$E942))),IF(INDEX(DMAV_Modell!U$6:U$838,$B942)="","",INDEX(DMAV_Modell!U$6:U$838,$B942)))</f>
        <v/>
      </c>
      <c r="O942" s="63" t="str" cm="1">
        <f t="array" aca="1" ref="O942" ca="1">IF(C942=0,IF(F942=0,"",HYPERLINK("#"&amp;RIGHT(CELL("adresse",OFFSET(DMAV_Dienste!$M$6,F942-1,0)),LEN(CELL("adresse",OFFSET(DMAV_Dienste!$M$6,F942-1,0)))-FIND("]",CELL("adresse",OFFSET(DMAV_Dienste!$M$6,F942-1,0)))),"Structure")),HYPERLINK("#"&amp;RIGHT(CELL("adresse",OFFSET(DMAV_Modell!$N$6,C942-1,0)),LEN(CELL("adresse",OFFSET(DMAV_Modell!$N$6,C942-1,0)))-FIND("]",CELL("adresse",OFFSET(DMAV_Modell!$N$6,C942-1,0)))),"Structure"))</f>
        <v/>
      </c>
      <c r="P942" s="64" t="str" cm="1">
        <f t="array" aca="1" ref="P942" ca="1">IF(D942=0,IF(G942=0,"",HYPERLINK("#"&amp;RIGHT(CELL("adresse",OFFSET(DMAV_Dienste!$M$6,G942-1,0)),LEN(CELL("adresse",OFFSET(DMAV_Dienste!$M$6,G942-1,0)))-FIND("]",CELL("adresse",OFFSET(DMAV_Dienste!$M$6,G942-1,0)))),"Substructure")),HYPERLINK("#"&amp;RIGHT(CELL("adresse",OFFSET(DMAV_Modell!$N$6,D942-1,0)),LEN(CELL("adresse",OFFSET(DMAV_Modell!$N$6,D942-1,0)))-FIND("]",CELL("adresse",OFFSET(DMAV_Modell!$N$6,D942-1,0)))),"Substructure"))</f>
        <v/>
      </c>
      <c r="R942" s="80"/>
      <c r="T942" s="93"/>
      <c r="U942" s="94"/>
      <c r="V942" s="95"/>
      <c r="W942" s="96"/>
      <c r="Y942" s="85"/>
      <c r="Z942" s="86"/>
      <c r="AA942" s="87"/>
      <c r="AB942" s="88"/>
      <c r="AD942" s="77"/>
      <c r="AF942" s="54" t="str" cm="1">
        <f t="array" aca="1" ref="AF942" ca="1">IF(H942=0,"",HYPERLINK("#"&amp;RIGHT(CELL("adresse",OFFSET('DM01-AV-CH'!$G$6,H942-1,0)),LEN(CELL("adresse",OFFSET('DM01-AV-CH'!$G$6,H942-1,0)))-FIND("]",CELL("adresse",OFFSET('DM01-AV-CH'!$G$6,H942-1,0)))),"Modell"))</f>
        <v>Modell</v>
      </c>
      <c r="AG942" s="72" t="str" cm="1">
        <f t="array" ref="AG942">IF($H942=0,"",IF(INDEX('DM01-AV-CH'!G$6:G$834,$H942)="","",INDEX('DM01-AV-CH'!G$6:G$834,$H942)))</f>
        <v>Einzelobjekte</v>
      </c>
      <c r="AH942" s="73" t="str" cm="1">
        <f t="array" ref="AH942">IF($H942=0,"",IF(INDEX('DM01-AV-CH'!H$6:H$834,$H942)="","",INDEX('DM01-AV-CH'!H$6:H$834,$H942)))</f>
        <v>EinzelpunktPos</v>
      </c>
      <c r="AI942" s="74" t="str" cm="1">
        <f t="array" ref="AI942">IF($H942=0,"",IF(INDEX('DM01-AV-CH'!I$6:I$834,$H942)="","",INDEX('DM01-AV-CH'!I$6:I$834,$H942)))</f>
        <v>Ori</v>
      </c>
    </row>
    <row r="943" spans="1:35" x14ac:dyDescent="0.25">
      <c r="A943" s="57">
        <v>938</v>
      </c>
      <c r="B943" s="57">
        <f>IF($A943="","",IF(_xlfn.XLOOKUP($A943,Korrelation!$D$4:$D$1197,Korrelation!E$4:E$1197,"-",0)="-",0,MATCH(_xlfn.XLOOKUP($A943,Korrelation!$D$4:$D$1197,Korrelation!E$4:E$1197,"",0),DMAV_Modell!$G$6:$G$677,0)))</f>
        <v>0</v>
      </c>
      <c r="C943" s="57">
        <f>IF($A943="","",IF(_xlfn.XLOOKUP($A943,Korrelation!$D$4:$D$1197,Korrelation!F$4:F$1197,"-",0)="-",0,MATCH(_xlfn.XLOOKUP($A943,Korrelation!$D$4:$D$1197,Korrelation!F$4:F$1197,"",0),DMAV_Modell!$G$6:$G$677,0)))</f>
        <v>0</v>
      </c>
      <c r="D943" s="57">
        <f>IF($A943="","",IF(_xlfn.XLOOKUP($A943,Korrelation!$D$4:$D$1197,Korrelation!G$4:G$1197,"-",0)="-",0,MATCH(_xlfn.XLOOKUP($A943,Korrelation!$D$4:$D$1197,Korrelation!G$4:G$1197,"",0),DMAV_Modell!$G$6:$G$677,0)))</f>
        <v>0</v>
      </c>
      <c r="E943" s="57">
        <f>IF($A943="","",IF(_xlfn.XLOOKUP($A943,Korrelation!$D$4:$D$1197,Korrelation!H$4:H$1197,"-",0)="-",0,MATCH(_xlfn.XLOOKUP($A943,Korrelation!$D$4:$D$1197,Korrelation!H$4:H$1197,"",0),DMAV_Dienste!$F$6:$F$140,0)))</f>
        <v>0</v>
      </c>
      <c r="F943" s="57">
        <f>IF($A943="","",IF(_xlfn.XLOOKUP($A943,Korrelation!$D$4:$D$1197,Korrelation!I$4:I$1197,"-",0)="-",0,MATCH(_xlfn.XLOOKUP($A943,Korrelation!$D$4:$D$1197,Korrelation!I$4:I$1197,"",0),DMAV_Dienste!$F$6:$F$140,0)))</f>
        <v>0</v>
      </c>
      <c r="G943" s="57">
        <f>IF($A943="","",IF(_xlfn.XLOOKUP($A943,Korrelation!$D$4:$D$1197,Korrelation!J$4:J$1197,"-",0)="-",0,MATCH(_xlfn.XLOOKUP($A943,Korrelation!$D$4:$D$1197,Korrelation!J$4:J$1197,"",0),DMAV_Dienste!$F$6:$F$140,0)))</f>
        <v>0</v>
      </c>
      <c r="H943" s="57">
        <f>IF($A943="","",IF(_xlfn.XLOOKUP($A943,Korrelation!$D$4:$D$1197,Korrelation!K$4:K$1197,"-",0)="-",0,MATCH(_xlfn.XLOOKUP($A943,Korrelation!$D$4:$D$1197,Korrelation!K$4:K$1197,"",0),'DM01-AV-CH'!$A$6:$A$834,0)))</f>
        <v>352</v>
      </c>
      <c r="J943" s="54" t="str" cm="1">
        <f t="array" aca="1" ref="J943" ca="1">IF(B943=0,IF(E943=0,"",HYPERLINK("#"&amp;RIGHT(CELL("adresse",OFFSET(DMAV_Dienste!$M$6,E943-1,0)),LEN(CELL("adresse",OFFSET(DMAV_Dienste!$M$6,E943-1,0)))-FIND("]",CELL("adresse",OFFSET(DMAV_Dienste!$M$6,E943-1,0)))),"Dienst")),HYPERLINK("#"&amp;RIGHT(CELL("adresse",OFFSET(DMAV_Modell!$N$6,B943-1,0)),LEN(CELL("adresse",OFFSET(DMAV_Modell!$N$6,B943-1,0)))-FIND("]",CELL("adresse",OFFSET(DMAV_Modell!$N$6,B943-1,0)))),"Modell"))</f>
        <v/>
      </c>
      <c r="K943" s="61" t="str" cm="1">
        <f t="array" ref="K943">IF($B943=0,IF($E943=0,"",IF(INDEX(DMAV_Dienste!P$6:P$140,$E943)="","",INDEX(DMAV_Dienste!P$6:P$140,$E943))),IF(INDEX(DMAV_Modell!Q$6:Q$838,$B943)="","",INDEX(DMAV_Modell!Q$6:Q$838,$B943)))</f>
        <v/>
      </c>
      <c r="L943" s="62" t="str" cm="1">
        <f t="array" ref="L943">IF($B943=0,IF($E943=0,"",IF(INDEX(DMAV_Dienste!O$6:O$140,$E943)="","",INDEX(DMAV_Dienste!O$6:O$140,$E943))),IF(INDEX(DMAV_Modell!P$6:P$838,$B943)="","",INDEX(DMAV_Modell!P$6:P$838,$B943)))</f>
        <v/>
      </c>
      <c r="M943" s="62" t="str" cm="1">
        <f t="array" ref="M943">IF($B943=0,IF($E943=0,"",IF(INDEX(DMAV_Dienste!Q$6:Q$140,$E943)="","",INDEX(DMAV_Dienste!Q$6:Q$140,$E943))),IF(INDEX(DMAV_Modell!R$6:R$838,$B943)="","",INDEX(DMAV_Modell!R$6:R$838,$B943)))</f>
        <v/>
      </c>
      <c r="N943" s="62" t="str" cm="1">
        <f t="array" ref="N943">IF($B943=0,IF($E943=0,"",IF(INDEX(DMAV_Dienste!T$6:T$140,$E943)="","",INDEX(DMAV_Dienste!T$6:T$140,$E943))),IF(INDEX(DMAV_Modell!U$6:U$838,$B943)="","",INDEX(DMAV_Modell!U$6:U$838,$B943)))</f>
        <v/>
      </c>
      <c r="O943" s="63" t="str" cm="1">
        <f t="array" aca="1" ref="O943" ca="1">IF(C943=0,IF(F943=0,"",HYPERLINK("#"&amp;RIGHT(CELL("adresse",OFFSET(DMAV_Dienste!$M$6,F943-1,0)),LEN(CELL("adresse",OFFSET(DMAV_Dienste!$M$6,F943-1,0)))-FIND("]",CELL("adresse",OFFSET(DMAV_Dienste!$M$6,F943-1,0)))),"Structure")),HYPERLINK("#"&amp;RIGHT(CELL("adresse",OFFSET(DMAV_Modell!$N$6,C943-1,0)),LEN(CELL("adresse",OFFSET(DMAV_Modell!$N$6,C943-1,0)))-FIND("]",CELL("adresse",OFFSET(DMAV_Modell!$N$6,C943-1,0)))),"Structure"))</f>
        <v/>
      </c>
      <c r="P943" s="64" t="str" cm="1">
        <f t="array" aca="1" ref="P943" ca="1">IF(D943=0,IF(G943=0,"",HYPERLINK("#"&amp;RIGHT(CELL("adresse",OFFSET(DMAV_Dienste!$M$6,G943-1,0)),LEN(CELL("adresse",OFFSET(DMAV_Dienste!$M$6,G943-1,0)))-FIND("]",CELL("adresse",OFFSET(DMAV_Dienste!$M$6,G943-1,0)))),"Substructure")),HYPERLINK("#"&amp;RIGHT(CELL("adresse",OFFSET(DMAV_Modell!$N$6,D943-1,0)),LEN(CELL("adresse",OFFSET(DMAV_Modell!$N$6,D943-1,0)))-FIND("]",CELL("adresse",OFFSET(DMAV_Modell!$N$6,D943-1,0)))),"Substructure"))</f>
        <v/>
      </c>
      <c r="R943" s="80"/>
      <c r="T943" s="93"/>
      <c r="U943" s="94"/>
      <c r="V943" s="95"/>
      <c r="W943" s="96"/>
      <c r="Y943" s="85"/>
      <c r="Z943" s="86"/>
      <c r="AA943" s="87"/>
      <c r="AB943" s="88"/>
      <c r="AD943" s="77"/>
      <c r="AF943" s="54" t="str" cm="1">
        <f t="array" aca="1" ref="AF943" ca="1">IF(H943=0,"",HYPERLINK("#"&amp;RIGHT(CELL("adresse",OFFSET('DM01-AV-CH'!$G$6,H943-1,0)),LEN(CELL("adresse",OFFSET('DM01-AV-CH'!$G$6,H943-1,0)))-FIND("]",CELL("adresse",OFFSET('DM01-AV-CH'!$G$6,H943-1,0)))),"Modell"))</f>
        <v>Modell</v>
      </c>
      <c r="AG943" s="72" t="str" cm="1">
        <f t="array" ref="AG943">IF($H943=0,"",IF(INDEX('DM01-AV-CH'!G$6:G$834,$H943)="","",INDEX('DM01-AV-CH'!G$6:G$834,$H943)))</f>
        <v>Einzelobjekte</v>
      </c>
      <c r="AH943" s="73" t="str" cm="1">
        <f t="array" ref="AH943">IF($H943=0,"",IF(INDEX('DM01-AV-CH'!H$6:H$834,$H943)="","",INDEX('DM01-AV-CH'!H$6:H$834,$H943)))</f>
        <v>EinzelpunktPos</v>
      </c>
      <c r="AI943" s="74" t="str" cm="1">
        <f t="array" ref="AI943">IF($H943=0,"",IF(INDEX('DM01-AV-CH'!I$6:I$834,$H943)="","",INDEX('DM01-AV-CH'!I$6:I$834,$H943)))</f>
        <v>HAli</v>
      </c>
    </row>
    <row r="944" spans="1:35" x14ac:dyDescent="0.25">
      <c r="A944" s="57">
        <v>939</v>
      </c>
      <c r="B944" s="57">
        <f>IF($A944="","",IF(_xlfn.XLOOKUP($A944,Korrelation!$D$4:$D$1197,Korrelation!E$4:E$1197,"-",0)="-",0,MATCH(_xlfn.XLOOKUP($A944,Korrelation!$D$4:$D$1197,Korrelation!E$4:E$1197,"",0),DMAV_Modell!$G$6:$G$677,0)))</f>
        <v>0</v>
      </c>
      <c r="C944" s="57">
        <f>IF($A944="","",IF(_xlfn.XLOOKUP($A944,Korrelation!$D$4:$D$1197,Korrelation!F$4:F$1197,"-",0)="-",0,MATCH(_xlfn.XLOOKUP($A944,Korrelation!$D$4:$D$1197,Korrelation!F$4:F$1197,"",0),DMAV_Modell!$G$6:$G$677,0)))</f>
        <v>0</v>
      </c>
      <c r="D944" s="57">
        <f>IF($A944="","",IF(_xlfn.XLOOKUP($A944,Korrelation!$D$4:$D$1197,Korrelation!G$4:G$1197,"-",0)="-",0,MATCH(_xlfn.XLOOKUP($A944,Korrelation!$D$4:$D$1197,Korrelation!G$4:G$1197,"",0),DMAV_Modell!$G$6:$G$677,0)))</f>
        <v>0</v>
      </c>
      <c r="E944" s="57">
        <f>IF($A944="","",IF(_xlfn.XLOOKUP($A944,Korrelation!$D$4:$D$1197,Korrelation!H$4:H$1197,"-",0)="-",0,MATCH(_xlfn.XLOOKUP($A944,Korrelation!$D$4:$D$1197,Korrelation!H$4:H$1197,"",0),DMAV_Dienste!$F$6:$F$140,0)))</f>
        <v>0</v>
      </c>
      <c r="F944" s="57">
        <f>IF($A944="","",IF(_xlfn.XLOOKUP($A944,Korrelation!$D$4:$D$1197,Korrelation!I$4:I$1197,"-",0)="-",0,MATCH(_xlfn.XLOOKUP($A944,Korrelation!$D$4:$D$1197,Korrelation!I$4:I$1197,"",0),DMAV_Dienste!$F$6:$F$140,0)))</f>
        <v>0</v>
      </c>
      <c r="G944" s="57">
        <f>IF($A944="","",IF(_xlfn.XLOOKUP($A944,Korrelation!$D$4:$D$1197,Korrelation!J$4:J$1197,"-",0)="-",0,MATCH(_xlfn.XLOOKUP($A944,Korrelation!$D$4:$D$1197,Korrelation!J$4:J$1197,"",0),DMAV_Dienste!$F$6:$F$140,0)))</f>
        <v>0</v>
      </c>
      <c r="H944" s="57">
        <f>IF($A944="","",IF(_xlfn.XLOOKUP($A944,Korrelation!$D$4:$D$1197,Korrelation!K$4:K$1197,"-",0)="-",0,MATCH(_xlfn.XLOOKUP($A944,Korrelation!$D$4:$D$1197,Korrelation!K$4:K$1197,"",0),'DM01-AV-CH'!$A$6:$A$834,0)))</f>
        <v>353</v>
      </c>
      <c r="J944" s="54" t="str" cm="1">
        <f t="array" aca="1" ref="J944" ca="1">IF(B944=0,IF(E944=0,"",HYPERLINK("#"&amp;RIGHT(CELL("adresse",OFFSET(DMAV_Dienste!$M$6,E944-1,0)),LEN(CELL("adresse",OFFSET(DMAV_Dienste!$M$6,E944-1,0)))-FIND("]",CELL("adresse",OFFSET(DMAV_Dienste!$M$6,E944-1,0)))),"Dienst")),HYPERLINK("#"&amp;RIGHT(CELL("adresse",OFFSET(DMAV_Modell!$N$6,B944-1,0)),LEN(CELL("adresse",OFFSET(DMAV_Modell!$N$6,B944-1,0)))-FIND("]",CELL("adresse",OFFSET(DMAV_Modell!$N$6,B944-1,0)))),"Modell"))</f>
        <v/>
      </c>
      <c r="K944" s="61" t="str" cm="1">
        <f t="array" ref="K944">IF($B944=0,IF($E944=0,"",IF(INDEX(DMAV_Dienste!P$6:P$140,$E944)="","",INDEX(DMAV_Dienste!P$6:P$140,$E944))),IF(INDEX(DMAV_Modell!Q$6:Q$838,$B944)="","",INDEX(DMAV_Modell!Q$6:Q$838,$B944)))</f>
        <v/>
      </c>
      <c r="L944" s="62" t="str" cm="1">
        <f t="array" ref="L944">IF($B944=0,IF($E944=0,"",IF(INDEX(DMAV_Dienste!O$6:O$140,$E944)="","",INDEX(DMAV_Dienste!O$6:O$140,$E944))),IF(INDEX(DMAV_Modell!P$6:P$838,$B944)="","",INDEX(DMAV_Modell!P$6:P$838,$B944)))</f>
        <v/>
      </c>
      <c r="M944" s="62" t="str" cm="1">
        <f t="array" ref="M944">IF($B944=0,IF($E944=0,"",IF(INDEX(DMAV_Dienste!Q$6:Q$140,$E944)="","",INDEX(DMAV_Dienste!Q$6:Q$140,$E944))),IF(INDEX(DMAV_Modell!R$6:R$838,$B944)="","",INDEX(DMAV_Modell!R$6:R$838,$B944)))</f>
        <v/>
      </c>
      <c r="N944" s="62" t="str" cm="1">
        <f t="array" ref="N944">IF($B944=0,IF($E944=0,"",IF(INDEX(DMAV_Dienste!T$6:T$140,$E944)="","",INDEX(DMAV_Dienste!T$6:T$140,$E944))),IF(INDEX(DMAV_Modell!U$6:U$838,$B944)="","",INDEX(DMAV_Modell!U$6:U$838,$B944)))</f>
        <v/>
      </c>
      <c r="O944" s="63" t="str" cm="1">
        <f t="array" aca="1" ref="O944" ca="1">IF(C944=0,IF(F944=0,"",HYPERLINK("#"&amp;RIGHT(CELL("adresse",OFFSET(DMAV_Dienste!$M$6,F944-1,0)),LEN(CELL("adresse",OFFSET(DMAV_Dienste!$M$6,F944-1,0)))-FIND("]",CELL("adresse",OFFSET(DMAV_Dienste!$M$6,F944-1,0)))),"Structure")),HYPERLINK("#"&amp;RIGHT(CELL("adresse",OFFSET(DMAV_Modell!$N$6,C944-1,0)),LEN(CELL("adresse",OFFSET(DMAV_Modell!$N$6,C944-1,0)))-FIND("]",CELL("adresse",OFFSET(DMAV_Modell!$N$6,C944-1,0)))),"Structure"))</f>
        <v/>
      </c>
      <c r="P944" s="64" t="str" cm="1">
        <f t="array" aca="1" ref="P944" ca="1">IF(D944=0,IF(G944=0,"",HYPERLINK("#"&amp;RIGHT(CELL("adresse",OFFSET(DMAV_Dienste!$M$6,G944-1,0)),LEN(CELL("adresse",OFFSET(DMAV_Dienste!$M$6,G944-1,0)))-FIND("]",CELL("adresse",OFFSET(DMAV_Dienste!$M$6,G944-1,0)))),"Substructure")),HYPERLINK("#"&amp;RIGHT(CELL("adresse",OFFSET(DMAV_Modell!$N$6,D944-1,0)),LEN(CELL("adresse",OFFSET(DMAV_Modell!$N$6,D944-1,0)))-FIND("]",CELL("adresse",OFFSET(DMAV_Modell!$N$6,D944-1,0)))),"Substructure"))</f>
        <v/>
      </c>
      <c r="R944" s="80"/>
      <c r="T944" s="93"/>
      <c r="U944" s="94"/>
      <c r="V944" s="95"/>
      <c r="W944" s="96"/>
      <c r="Y944" s="85"/>
      <c r="Z944" s="86"/>
      <c r="AA944" s="87"/>
      <c r="AB944" s="88"/>
      <c r="AD944" s="77"/>
      <c r="AF944" s="54" t="str" cm="1">
        <f t="array" aca="1" ref="AF944" ca="1">IF(H944=0,"",HYPERLINK("#"&amp;RIGHT(CELL("adresse",OFFSET('DM01-AV-CH'!$G$6,H944-1,0)),LEN(CELL("adresse",OFFSET('DM01-AV-CH'!$G$6,H944-1,0)))-FIND("]",CELL("adresse",OFFSET('DM01-AV-CH'!$G$6,H944-1,0)))),"Modell"))</f>
        <v>Modell</v>
      </c>
      <c r="AG944" s="72" t="str" cm="1">
        <f t="array" ref="AG944">IF($H944=0,"",IF(INDEX('DM01-AV-CH'!G$6:G$834,$H944)="","",INDEX('DM01-AV-CH'!G$6:G$834,$H944)))</f>
        <v>Einzelobjekte</v>
      </c>
      <c r="AH944" s="73" t="str" cm="1">
        <f t="array" ref="AH944">IF($H944=0,"",IF(INDEX('DM01-AV-CH'!H$6:H$834,$H944)="","",INDEX('DM01-AV-CH'!H$6:H$834,$H944)))</f>
        <v>EinzelpunktPos</v>
      </c>
      <c r="AI944" s="74" t="str" cm="1">
        <f t="array" ref="AI944">IF($H944=0,"",IF(INDEX('DM01-AV-CH'!I$6:I$834,$H944)="","",INDEX('DM01-AV-CH'!I$6:I$834,$H944)))</f>
        <v>VAli</v>
      </c>
    </row>
    <row r="945" spans="1:35" x14ac:dyDescent="0.25">
      <c r="A945" s="57">
        <v>940</v>
      </c>
      <c r="B945" s="57">
        <f>IF($A945="","",IF(_xlfn.XLOOKUP($A945,Korrelation!$D$4:$D$1197,Korrelation!E$4:E$1197,"-",0)="-",0,MATCH(_xlfn.XLOOKUP($A945,Korrelation!$D$4:$D$1197,Korrelation!E$4:E$1197,"",0),DMAV_Modell!$G$6:$G$677,0)))</f>
        <v>540</v>
      </c>
      <c r="C945" s="57">
        <f>IF($A945="","",IF(_xlfn.XLOOKUP($A945,Korrelation!$D$4:$D$1197,Korrelation!F$4:F$1197,"-",0)="-",0,MATCH(_xlfn.XLOOKUP($A945,Korrelation!$D$4:$D$1197,Korrelation!F$4:F$1197,"",0),DMAV_Modell!$G$6:$G$677,0)))</f>
        <v>0</v>
      </c>
      <c r="D945" s="57">
        <f>IF($A945="","",IF(_xlfn.XLOOKUP($A945,Korrelation!$D$4:$D$1197,Korrelation!G$4:G$1197,"-",0)="-",0,MATCH(_xlfn.XLOOKUP($A945,Korrelation!$D$4:$D$1197,Korrelation!G$4:G$1197,"",0),DMAV_Modell!$G$6:$G$677,0)))</f>
        <v>0</v>
      </c>
      <c r="E945" s="57">
        <f>IF($A945="","",IF(_xlfn.XLOOKUP($A945,Korrelation!$D$4:$D$1197,Korrelation!H$4:H$1197,"-",0)="-",0,MATCH(_xlfn.XLOOKUP($A945,Korrelation!$D$4:$D$1197,Korrelation!H$4:H$1197,"",0),DMAV_Dienste!$F$6:$F$140,0)))</f>
        <v>0</v>
      </c>
      <c r="F945" s="57">
        <f>IF($A945="","",IF(_xlfn.XLOOKUP($A945,Korrelation!$D$4:$D$1197,Korrelation!I$4:I$1197,"-",0)="-",0,MATCH(_xlfn.XLOOKUP($A945,Korrelation!$D$4:$D$1197,Korrelation!I$4:I$1197,"",0),DMAV_Dienste!$F$6:$F$140,0)))</f>
        <v>0</v>
      </c>
      <c r="G945" s="57">
        <f>IF($A945="","",IF(_xlfn.XLOOKUP($A945,Korrelation!$D$4:$D$1197,Korrelation!J$4:J$1197,"-",0)="-",0,MATCH(_xlfn.XLOOKUP($A945,Korrelation!$D$4:$D$1197,Korrelation!J$4:J$1197,"",0),DMAV_Dienste!$F$6:$F$140,0)))</f>
        <v>0</v>
      </c>
      <c r="H945" s="57">
        <f>IF($A945="","",IF(_xlfn.XLOOKUP($A945,Korrelation!$D$4:$D$1197,Korrelation!K$4:K$1197,"-",0)="-",0,MATCH(_xlfn.XLOOKUP($A945,Korrelation!$D$4:$D$1197,Korrelation!K$4:K$1197,"",0),'DM01-AV-CH'!$A$6:$A$834,0)))</f>
        <v>0</v>
      </c>
      <c r="J945" s="54" t="str" cm="1">
        <f t="array" aca="1" ref="J945" ca="1">IF(B945=0,IF(E945=0,"",HYPERLINK("#"&amp;RIGHT(CELL("adresse",OFFSET(DMAV_Dienste!$M$6,E945-1,0)),LEN(CELL("adresse",OFFSET(DMAV_Dienste!$M$6,E945-1,0)))-FIND("]",CELL("adresse",OFFSET(DMAV_Dienste!$M$6,E945-1,0)))),"Dienst")),HYPERLINK("#"&amp;RIGHT(CELL("adresse",OFFSET(DMAV_Modell!$N$6,B945-1,0)),LEN(CELL("adresse",OFFSET(DMAV_Modell!$N$6,B945-1,0)))-FIND("]",CELL("adresse",OFFSET(DMAV_Modell!$N$6,B945-1,0)))),"Modell"))</f>
        <v>Modell</v>
      </c>
      <c r="K945" s="61" t="str" cm="1">
        <f t="array" ref="K945">IF($B945=0,IF($E945=0,"",IF(INDEX(DMAV_Dienste!P$6:P$140,$E945)="","",INDEX(DMAV_Dienste!P$6:P$140,$E945))),IF(INDEX(DMAV_Modell!Q$6:Q$838,$B945)="","",INDEX(DMAV_Modell!Q$6:Q$838,$B945)))</f>
        <v>CLASS.CONSTRAINT</v>
      </c>
      <c r="L945" s="62" t="str" cm="1">
        <f t="array" ref="L945">IF($B945=0,IF($E945=0,"",IF(INDEX(DMAV_Dienste!O$6:O$140,$E945)="","",INDEX(DMAV_Dienste!O$6:O$140,$E945))),IF(INDEX(DMAV_Modell!P$6:P$838,$B945)="","",INDEX(DMAV_Modell!P$6:P$838,$B945)))</f>
        <v>Einzelobjekte</v>
      </c>
      <c r="M945" s="62" t="str" cm="1">
        <f t="array" ref="M945">IF($B945=0,IF($E945=0,"",IF(INDEX(DMAV_Dienste!Q$6:Q$140,$E945)="","",INDEX(DMAV_Dienste!Q$6:Q$140,$E945))),IF(INDEX(DMAV_Modell!R$6:R$838,$B945)="","",INDEX(DMAV_Modell!R$6:R$838,$B945)))</f>
        <v>Messpunkt</v>
      </c>
      <c r="N945" s="62" t="str" cm="1">
        <f t="array" ref="N945">IF($B945=0,IF($E945=0,"",IF(INDEX(DMAV_Dienste!T$6:T$140,$E945)="","",INDEX(DMAV_Dienste!T$6:T$140,$E945))),IF(INDEX(DMAV_Modell!U$6:U$838,$B945)="","",INDEX(DMAV_Modell!U$6:U$838,$B945)))</f>
        <v>DEFINED(@PH1@)==DEFINED(@PH2@)</v>
      </c>
      <c r="O945" s="63" t="str" cm="1">
        <f t="array" aca="1" ref="O945" ca="1">IF(C945=0,IF(F945=0,"",HYPERLINK("#"&amp;RIGHT(CELL("adresse",OFFSET(DMAV_Dienste!$M$6,F945-1,0)),LEN(CELL("adresse",OFFSET(DMAV_Dienste!$M$6,F945-1,0)))-FIND("]",CELL("adresse",OFFSET(DMAV_Dienste!$M$6,F945-1,0)))),"Structure")),HYPERLINK("#"&amp;RIGHT(CELL("adresse",OFFSET(DMAV_Modell!$N$6,C945-1,0)),LEN(CELL("adresse",OFFSET(DMAV_Modell!$N$6,C945-1,0)))-FIND("]",CELL("adresse",OFFSET(DMAV_Modell!$N$6,C945-1,0)))),"Structure"))</f>
        <v/>
      </c>
      <c r="P945" s="64" t="str" cm="1">
        <f t="array" aca="1" ref="P945" ca="1">IF(D945=0,IF(G945=0,"",HYPERLINK("#"&amp;RIGHT(CELL("adresse",OFFSET(DMAV_Dienste!$M$6,G945-1,0)),LEN(CELL("adresse",OFFSET(DMAV_Dienste!$M$6,G945-1,0)))-FIND("]",CELL("adresse",OFFSET(DMAV_Dienste!$M$6,G945-1,0)))),"Substructure")),HYPERLINK("#"&amp;RIGHT(CELL("adresse",OFFSET(DMAV_Modell!$N$6,D945-1,0)),LEN(CELL("adresse",OFFSET(DMAV_Modell!$N$6,D945-1,0)))-FIND("]",CELL("adresse",OFFSET(DMAV_Modell!$N$6,D945-1,0)))),"Substructure"))</f>
        <v/>
      </c>
      <c r="R945" s="80"/>
      <c r="T945" s="93"/>
      <c r="U945" s="94"/>
      <c r="V945" s="95"/>
      <c r="W945" s="96"/>
      <c r="Y945" s="85"/>
      <c r="Z945" s="86"/>
      <c r="AA945" s="87"/>
      <c r="AB945" s="88"/>
      <c r="AD945" s="77"/>
      <c r="AF945" s="54" t="str" cm="1">
        <f t="array" aca="1" ref="AF945" ca="1">IF(H945=0,"",HYPERLINK("#"&amp;RIGHT(CELL("adresse",OFFSET('DM01-AV-CH'!$G$6,H945-1,0)),LEN(CELL("adresse",OFFSET('DM01-AV-CH'!$G$6,H945-1,0)))-FIND("]",CELL("adresse",OFFSET('DM01-AV-CH'!$G$6,H945-1,0)))),"Modell"))</f>
        <v/>
      </c>
      <c r="AG945" s="72" t="str" cm="1">
        <f t="array" ref="AG945">IF($H945=0,"",IF(INDEX('DM01-AV-CH'!G$6:G$834,$H945)="","",INDEX('DM01-AV-CH'!G$6:G$834,$H945)))</f>
        <v/>
      </c>
      <c r="AH945" s="73" t="str" cm="1">
        <f t="array" ref="AH945">IF($H945=0,"",IF(INDEX('DM01-AV-CH'!H$6:H$834,$H945)="","",INDEX('DM01-AV-CH'!H$6:H$834,$H945)))</f>
        <v/>
      </c>
      <c r="AI945" s="74" t="str" cm="1">
        <f t="array" ref="AI945">IF($H945=0,"",IF(INDEX('DM01-AV-CH'!I$6:I$834,$H945)="","",INDEX('DM01-AV-CH'!I$6:I$834,$H945)))</f>
        <v/>
      </c>
    </row>
    <row r="946" spans="1:35" x14ac:dyDescent="0.25">
      <c r="A946" s="57">
        <v>941</v>
      </c>
      <c r="B946" s="57">
        <f>IF($A946="","",IF(_xlfn.XLOOKUP($A946,Korrelation!$D$4:$D$1197,Korrelation!E$4:E$1197,"-",0)="-",0,MATCH(_xlfn.XLOOKUP($A946,Korrelation!$D$4:$D$1197,Korrelation!E$4:E$1197,"",0),DMAV_Modell!$G$6:$G$677,0)))</f>
        <v>541</v>
      </c>
      <c r="C946" s="57">
        <f>IF($A946="","",IF(_xlfn.XLOOKUP($A946,Korrelation!$D$4:$D$1197,Korrelation!F$4:F$1197,"-",0)="-",0,MATCH(_xlfn.XLOOKUP($A946,Korrelation!$D$4:$D$1197,Korrelation!F$4:F$1197,"",0),DMAV_Modell!$G$6:$G$677,0)))</f>
        <v>0</v>
      </c>
      <c r="D946" s="57">
        <f>IF($A946="","",IF(_xlfn.XLOOKUP($A946,Korrelation!$D$4:$D$1197,Korrelation!G$4:G$1197,"-",0)="-",0,MATCH(_xlfn.XLOOKUP($A946,Korrelation!$D$4:$D$1197,Korrelation!G$4:G$1197,"",0),DMAV_Modell!$G$6:$G$677,0)))</f>
        <v>0</v>
      </c>
      <c r="E946" s="57">
        <f>IF($A946="","",IF(_xlfn.XLOOKUP($A946,Korrelation!$D$4:$D$1197,Korrelation!H$4:H$1197,"-",0)="-",0,MATCH(_xlfn.XLOOKUP($A946,Korrelation!$D$4:$D$1197,Korrelation!H$4:H$1197,"",0),DMAV_Dienste!$F$6:$F$140,0)))</f>
        <v>0</v>
      </c>
      <c r="F946" s="57">
        <f>IF($A946="","",IF(_xlfn.XLOOKUP($A946,Korrelation!$D$4:$D$1197,Korrelation!I$4:I$1197,"-",0)="-",0,MATCH(_xlfn.XLOOKUP($A946,Korrelation!$D$4:$D$1197,Korrelation!I$4:I$1197,"",0),DMAV_Dienste!$F$6:$F$140,0)))</f>
        <v>0</v>
      </c>
      <c r="G946" s="57">
        <f>IF($A946="","",IF(_xlfn.XLOOKUP($A946,Korrelation!$D$4:$D$1197,Korrelation!J$4:J$1197,"-",0)="-",0,MATCH(_xlfn.XLOOKUP($A946,Korrelation!$D$4:$D$1197,Korrelation!J$4:J$1197,"",0),DMAV_Dienste!$F$6:$F$140,0)))</f>
        <v>0</v>
      </c>
      <c r="H946" s="57">
        <f>IF($A946="","",IF(_xlfn.XLOOKUP($A946,Korrelation!$D$4:$D$1197,Korrelation!K$4:K$1197,"-",0)="-",0,MATCH(_xlfn.XLOOKUP($A946,Korrelation!$D$4:$D$1197,Korrelation!K$4:K$1197,"",0),'DM01-AV-CH'!$A$6:$A$834,0)))</f>
        <v>0</v>
      </c>
      <c r="J946" s="54" t="str" cm="1">
        <f t="array" aca="1" ref="J946" ca="1">IF(B946=0,IF(E946=0,"",HYPERLINK("#"&amp;RIGHT(CELL("adresse",OFFSET(DMAV_Dienste!$M$6,E946-1,0)),LEN(CELL("adresse",OFFSET(DMAV_Dienste!$M$6,E946-1,0)))-FIND("]",CELL("adresse",OFFSET(DMAV_Dienste!$M$6,E946-1,0)))),"Dienst")),HYPERLINK("#"&amp;RIGHT(CELL("adresse",OFFSET(DMAV_Modell!$N$6,B946-1,0)),LEN(CELL("adresse",OFFSET(DMAV_Modell!$N$6,B946-1,0)))-FIND("]",CELL("adresse",OFFSET(DMAV_Modell!$N$6,B946-1,0)))),"Modell"))</f>
        <v>Modell</v>
      </c>
      <c r="K946" s="61" t="str" cm="1">
        <f t="array" ref="K946">IF($B946=0,IF($E946=0,"",IF(INDEX(DMAV_Dienste!P$6:P$140,$E946)="","",INDEX(DMAV_Dienste!P$6:P$140,$E946))),IF(INDEX(DMAV_Modell!Q$6:Q$838,$B946)="","",INDEX(DMAV_Modell!Q$6:Q$838,$B946)))</f>
        <v>CLASS.CONSTRAINT</v>
      </c>
      <c r="L946" s="62" t="str" cm="1">
        <f t="array" ref="L946">IF($B946=0,IF($E946=0,"",IF(INDEX(DMAV_Dienste!O$6:O$140,$E946)="","",INDEX(DMAV_Dienste!O$6:O$140,$E946))),IF(INDEX(DMAV_Modell!P$6:P$838,$B946)="","",INDEX(DMAV_Modell!P$6:P$838,$B946)))</f>
        <v>Einzelobjekte</v>
      </c>
      <c r="M946" s="62" t="str" cm="1">
        <f t="array" ref="M946">IF($B946=0,IF($E946=0,"",IF(INDEX(DMAV_Dienste!Q$6:Q$140,$E946)="","",INDEX(DMAV_Dienste!Q$6:Q$140,$E946))),IF(INDEX(DMAV_Modell!R$6:R$838,$B946)="","",INDEX(DMAV_Modell!R$6:R$838,$B946)))</f>
        <v>Messpunkt</v>
      </c>
      <c r="N946" s="62" t="str" cm="1">
        <f t="array" ref="N946">IF($B946=0,IF($E946=0,"",IF(INDEX(DMAV_Dienste!T$6:T$140,$E946)="","",INDEX(DMAV_Dienste!T$6:T$140,$E946))),IF(INDEX(DMAV_Modell!U$6:U$838,$B946)="","",INDEX(DMAV_Modell!U$6:U$838,$B946)))</f>
        <v>DEFINED(@PH1@)==DEFINED(@PH2@)</v>
      </c>
      <c r="O946" s="63" t="str" cm="1">
        <f t="array" aca="1" ref="O946" ca="1">IF(C946=0,IF(F946=0,"",HYPERLINK("#"&amp;RIGHT(CELL("adresse",OFFSET(DMAV_Dienste!$M$6,F946-1,0)),LEN(CELL("adresse",OFFSET(DMAV_Dienste!$M$6,F946-1,0)))-FIND("]",CELL("adresse",OFFSET(DMAV_Dienste!$M$6,F946-1,0)))),"Structure")),HYPERLINK("#"&amp;RIGHT(CELL("adresse",OFFSET(DMAV_Modell!$N$6,C946-1,0)),LEN(CELL("adresse",OFFSET(DMAV_Modell!$N$6,C946-1,0)))-FIND("]",CELL("adresse",OFFSET(DMAV_Modell!$N$6,C946-1,0)))),"Structure"))</f>
        <v/>
      </c>
      <c r="P946" s="64" t="str" cm="1">
        <f t="array" aca="1" ref="P946" ca="1">IF(D946=0,IF(G946=0,"",HYPERLINK("#"&amp;RIGHT(CELL("adresse",OFFSET(DMAV_Dienste!$M$6,G946-1,0)),LEN(CELL("adresse",OFFSET(DMAV_Dienste!$M$6,G946-1,0)))-FIND("]",CELL("adresse",OFFSET(DMAV_Dienste!$M$6,G946-1,0)))),"Substructure")),HYPERLINK("#"&amp;RIGHT(CELL("adresse",OFFSET(DMAV_Modell!$N$6,D946-1,0)),LEN(CELL("adresse",OFFSET(DMAV_Modell!$N$6,D946-1,0)))-FIND("]",CELL("adresse",OFFSET(DMAV_Modell!$N$6,D946-1,0)))),"Substructure"))</f>
        <v/>
      </c>
      <c r="R946" s="80"/>
      <c r="T946" s="93"/>
      <c r="U946" s="94"/>
      <c r="V946" s="95"/>
      <c r="W946" s="96"/>
      <c r="Y946" s="85"/>
      <c r="Z946" s="86"/>
      <c r="AA946" s="87"/>
      <c r="AB946" s="88"/>
      <c r="AD946" s="77"/>
      <c r="AF946" s="54" t="str" cm="1">
        <f t="array" aca="1" ref="AF946" ca="1">IF(H946=0,"",HYPERLINK("#"&amp;RIGHT(CELL("adresse",OFFSET('DM01-AV-CH'!$G$6,H946-1,0)),LEN(CELL("adresse",OFFSET('DM01-AV-CH'!$G$6,H946-1,0)))-FIND("]",CELL("adresse",OFFSET('DM01-AV-CH'!$G$6,H946-1,0)))),"Modell"))</f>
        <v/>
      </c>
      <c r="AG946" s="72" t="str" cm="1">
        <f t="array" ref="AG946">IF($H946=0,"",IF(INDEX('DM01-AV-CH'!G$6:G$834,$H946)="","",INDEX('DM01-AV-CH'!G$6:G$834,$H946)))</f>
        <v/>
      </c>
      <c r="AH946" s="73" t="str" cm="1">
        <f t="array" ref="AH946">IF($H946=0,"",IF(INDEX('DM01-AV-CH'!H$6:H$834,$H946)="","",INDEX('DM01-AV-CH'!H$6:H$834,$H946)))</f>
        <v/>
      </c>
      <c r="AI946" s="74" t="str" cm="1">
        <f t="array" ref="AI946">IF($H946=0,"",IF(INDEX('DM01-AV-CH'!I$6:I$834,$H946)="","",INDEX('DM01-AV-CH'!I$6:I$834,$H946)))</f>
        <v/>
      </c>
    </row>
    <row r="947" spans="1:35" x14ac:dyDescent="0.25">
      <c r="A947" s="57">
        <v>942</v>
      </c>
      <c r="B947" s="57">
        <f>IF($A947="","",IF(_xlfn.XLOOKUP($A947,Korrelation!$D$4:$D$1197,Korrelation!E$4:E$1197,"-",0)="-",0,MATCH(_xlfn.XLOOKUP($A947,Korrelation!$D$4:$D$1197,Korrelation!E$4:E$1197,"",0),DMAV_Modell!$G$6:$G$677,0)))</f>
        <v>542</v>
      </c>
      <c r="C947" s="57">
        <f>IF($A947="","",IF(_xlfn.XLOOKUP($A947,Korrelation!$D$4:$D$1197,Korrelation!F$4:F$1197,"-",0)="-",0,MATCH(_xlfn.XLOOKUP($A947,Korrelation!$D$4:$D$1197,Korrelation!F$4:F$1197,"",0),DMAV_Modell!$G$6:$G$677,0)))</f>
        <v>0</v>
      </c>
      <c r="D947" s="57">
        <f>IF($A947="","",IF(_xlfn.XLOOKUP($A947,Korrelation!$D$4:$D$1197,Korrelation!G$4:G$1197,"-",0)="-",0,MATCH(_xlfn.XLOOKUP($A947,Korrelation!$D$4:$D$1197,Korrelation!G$4:G$1197,"",0),DMAV_Modell!$G$6:$G$677,0)))</f>
        <v>0</v>
      </c>
      <c r="E947" s="57">
        <f>IF($A947="","",IF(_xlfn.XLOOKUP($A947,Korrelation!$D$4:$D$1197,Korrelation!H$4:H$1197,"-",0)="-",0,MATCH(_xlfn.XLOOKUP($A947,Korrelation!$D$4:$D$1197,Korrelation!H$4:H$1197,"",0),DMAV_Dienste!$F$6:$F$140,0)))</f>
        <v>0</v>
      </c>
      <c r="F947" s="57">
        <f>IF($A947="","",IF(_xlfn.XLOOKUP($A947,Korrelation!$D$4:$D$1197,Korrelation!I$4:I$1197,"-",0)="-",0,MATCH(_xlfn.XLOOKUP($A947,Korrelation!$D$4:$D$1197,Korrelation!I$4:I$1197,"",0),DMAV_Dienste!$F$6:$F$140,0)))</f>
        <v>0</v>
      </c>
      <c r="G947" s="57">
        <f>IF($A947="","",IF(_xlfn.XLOOKUP($A947,Korrelation!$D$4:$D$1197,Korrelation!J$4:J$1197,"-",0)="-",0,MATCH(_xlfn.XLOOKUP($A947,Korrelation!$D$4:$D$1197,Korrelation!J$4:J$1197,"",0),DMAV_Dienste!$F$6:$F$140,0)))</f>
        <v>0</v>
      </c>
      <c r="H947" s="57">
        <f>IF($A947="","",IF(_xlfn.XLOOKUP($A947,Korrelation!$D$4:$D$1197,Korrelation!K$4:K$1197,"-",0)="-",0,MATCH(_xlfn.XLOOKUP($A947,Korrelation!$D$4:$D$1197,Korrelation!K$4:K$1197,"",0),'DM01-AV-CH'!$A$6:$A$834,0)))</f>
        <v>0</v>
      </c>
      <c r="J947" s="54" t="str" cm="1">
        <f t="array" aca="1" ref="J947" ca="1">IF(B947=0,IF(E947=0,"",HYPERLINK("#"&amp;RIGHT(CELL("adresse",OFFSET(DMAV_Dienste!$M$6,E947-1,0)),LEN(CELL("adresse",OFFSET(DMAV_Dienste!$M$6,E947-1,0)))-FIND("]",CELL("adresse",OFFSET(DMAV_Dienste!$M$6,E947-1,0)))),"Dienst")),HYPERLINK("#"&amp;RIGHT(CELL("adresse",OFFSET(DMAV_Modell!$N$6,B947-1,0)),LEN(CELL("adresse",OFFSET(DMAV_Modell!$N$6,B947-1,0)))-FIND("]",CELL("adresse",OFFSET(DMAV_Modell!$N$6,B947-1,0)))),"Modell"))</f>
        <v>Modell</v>
      </c>
      <c r="K947" s="61" t="str" cm="1">
        <f t="array" ref="K947">IF($B947=0,IF($E947=0,"",IF(INDEX(DMAV_Dienste!P$6:P$140,$E947)="","",INDEX(DMAV_Dienste!P$6:P$140,$E947))),IF(INDEX(DMAV_Modell!Q$6:Q$838,$B947)="","",INDEX(DMAV_Modell!Q$6:Q$838,$B947)))</f>
        <v>ASSOCIATION</v>
      </c>
      <c r="L947" s="62" t="str" cm="1">
        <f t="array" ref="L947">IF($B947=0,IF($E947=0,"",IF(INDEX(DMAV_Dienste!O$6:O$140,$E947)="","",INDEX(DMAV_Dienste!O$6:O$140,$E947))),IF(INDEX(DMAV_Modell!P$6:P$838,$B947)="","",INDEX(DMAV_Modell!P$6:P$838,$B947)))</f>
        <v>Einzelobjekte</v>
      </c>
      <c r="M947" s="62" t="str" cm="1">
        <f t="array" ref="M947">IF($B947=0,IF($E947=0,"",IF(INDEX(DMAV_Dienste!Q$6:Q$140,$E947)="","",INDEX(DMAV_Dienste!Q$6:Q$140,$E947))),IF(INDEX(DMAV_Modell!R$6:R$838,$B947)="","",INDEX(DMAV_Modell!R$6:R$838,$B947)))</f>
        <v>Entstehung_Messpunkt</v>
      </c>
      <c r="N947" s="62" t="str" cm="1">
        <f t="array" ref="N947">IF($B947=0,IF($E947=0,"",IF(INDEX(DMAV_Dienste!T$6:T$140,$E947)="","",INDEX(DMAV_Dienste!T$6:T$140,$E947))),IF(INDEX(DMAV_Modell!U$6:U$838,$B947)="","",INDEX(DMAV_Modell!U$6:U$838,$B947)))</f>
        <v>Entstehung</v>
      </c>
      <c r="O947" s="63" t="str" cm="1">
        <f t="array" aca="1" ref="O947" ca="1">IF(C947=0,IF(F947=0,"",HYPERLINK("#"&amp;RIGHT(CELL("adresse",OFFSET(DMAV_Dienste!$M$6,F947-1,0)),LEN(CELL("adresse",OFFSET(DMAV_Dienste!$M$6,F947-1,0)))-FIND("]",CELL("adresse",OFFSET(DMAV_Dienste!$M$6,F947-1,0)))),"Structure")),HYPERLINK("#"&amp;RIGHT(CELL("adresse",OFFSET(DMAV_Modell!$N$6,C947-1,0)),LEN(CELL("adresse",OFFSET(DMAV_Modell!$N$6,C947-1,0)))-FIND("]",CELL("adresse",OFFSET(DMAV_Modell!$N$6,C947-1,0)))),"Structure"))</f>
        <v/>
      </c>
      <c r="P947" s="64" t="str" cm="1">
        <f t="array" aca="1" ref="P947" ca="1">IF(D947=0,IF(G947=0,"",HYPERLINK("#"&amp;RIGHT(CELL("adresse",OFFSET(DMAV_Dienste!$M$6,G947-1,0)),LEN(CELL("adresse",OFFSET(DMAV_Dienste!$M$6,G947-1,0)))-FIND("]",CELL("adresse",OFFSET(DMAV_Dienste!$M$6,G947-1,0)))),"Substructure")),HYPERLINK("#"&amp;RIGHT(CELL("adresse",OFFSET(DMAV_Modell!$N$6,D947-1,0)),LEN(CELL("adresse",OFFSET(DMAV_Modell!$N$6,D947-1,0)))-FIND("]",CELL("adresse",OFFSET(DMAV_Modell!$N$6,D947-1,0)))),"Substructure"))</f>
        <v/>
      </c>
      <c r="R947" s="80"/>
      <c r="T947" s="93"/>
      <c r="U947" s="94"/>
      <c r="V947" s="95"/>
      <c r="W947" s="96"/>
      <c r="Y947" s="85"/>
      <c r="Z947" s="86"/>
      <c r="AA947" s="87"/>
      <c r="AB947" s="88"/>
      <c r="AD947" s="77"/>
      <c r="AF947" s="54" t="str" cm="1">
        <f t="array" aca="1" ref="AF947" ca="1">IF(H947=0,"",HYPERLINK("#"&amp;RIGHT(CELL("adresse",OFFSET('DM01-AV-CH'!$G$6,H947-1,0)),LEN(CELL("adresse",OFFSET('DM01-AV-CH'!$G$6,H947-1,0)))-FIND("]",CELL("adresse",OFFSET('DM01-AV-CH'!$G$6,H947-1,0)))),"Modell"))</f>
        <v/>
      </c>
      <c r="AG947" s="72" t="str" cm="1">
        <f t="array" ref="AG947">IF($H947=0,"",IF(INDEX('DM01-AV-CH'!G$6:G$834,$H947)="","",INDEX('DM01-AV-CH'!G$6:G$834,$H947)))</f>
        <v/>
      </c>
      <c r="AH947" s="73" t="str" cm="1">
        <f t="array" ref="AH947">IF($H947=0,"",IF(INDEX('DM01-AV-CH'!H$6:H$834,$H947)="","",INDEX('DM01-AV-CH'!H$6:H$834,$H947)))</f>
        <v/>
      </c>
      <c r="AI947" s="74" t="str" cm="1">
        <f t="array" ref="AI947">IF($H947=0,"",IF(INDEX('DM01-AV-CH'!I$6:I$834,$H947)="","",INDEX('DM01-AV-CH'!I$6:I$834,$H947)))</f>
        <v/>
      </c>
    </row>
    <row r="948" spans="1:35" x14ac:dyDescent="0.25">
      <c r="A948" s="57">
        <v>943</v>
      </c>
      <c r="B948" s="57">
        <f>IF($A948="","",IF(_xlfn.XLOOKUP($A948,Korrelation!$D$4:$D$1197,Korrelation!E$4:E$1197,"-",0)="-",0,MATCH(_xlfn.XLOOKUP($A948,Korrelation!$D$4:$D$1197,Korrelation!E$4:E$1197,"",0),DMAV_Modell!$G$6:$G$677,0)))</f>
        <v>543</v>
      </c>
      <c r="C948" s="57">
        <f>IF($A948="","",IF(_xlfn.XLOOKUP($A948,Korrelation!$D$4:$D$1197,Korrelation!F$4:F$1197,"-",0)="-",0,MATCH(_xlfn.XLOOKUP($A948,Korrelation!$D$4:$D$1197,Korrelation!F$4:F$1197,"",0),DMAV_Modell!$G$6:$G$677,0)))</f>
        <v>0</v>
      </c>
      <c r="D948" s="57">
        <f>IF($A948="","",IF(_xlfn.XLOOKUP($A948,Korrelation!$D$4:$D$1197,Korrelation!G$4:G$1197,"-",0)="-",0,MATCH(_xlfn.XLOOKUP($A948,Korrelation!$D$4:$D$1197,Korrelation!G$4:G$1197,"",0),DMAV_Modell!$G$6:$G$677,0)))</f>
        <v>0</v>
      </c>
      <c r="E948" s="57">
        <f>IF($A948="","",IF(_xlfn.XLOOKUP($A948,Korrelation!$D$4:$D$1197,Korrelation!H$4:H$1197,"-",0)="-",0,MATCH(_xlfn.XLOOKUP($A948,Korrelation!$D$4:$D$1197,Korrelation!H$4:H$1197,"",0),DMAV_Dienste!$F$6:$F$140,0)))</f>
        <v>0</v>
      </c>
      <c r="F948" s="57">
        <f>IF($A948="","",IF(_xlfn.XLOOKUP($A948,Korrelation!$D$4:$D$1197,Korrelation!I$4:I$1197,"-",0)="-",0,MATCH(_xlfn.XLOOKUP($A948,Korrelation!$D$4:$D$1197,Korrelation!I$4:I$1197,"",0),DMAV_Dienste!$F$6:$F$140,0)))</f>
        <v>0</v>
      </c>
      <c r="G948" s="57">
        <f>IF($A948="","",IF(_xlfn.XLOOKUP($A948,Korrelation!$D$4:$D$1197,Korrelation!J$4:J$1197,"-",0)="-",0,MATCH(_xlfn.XLOOKUP($A948,Korrelation!$D$4:$D$1197,Korrelation!J$4:J$1197,"",0),DMAV_Dienste!$F$6:$F$140,0)))</f>
        <v>0</v>
      </c>
      <c r="H948" s="57">
        <f>IF($A948="","",IF(_xlfn.XLOOKUP($A948,Korrelation!$D$4:$D$1197,Korrelation!K$4:K$1197,"-",0)="-",0,MATCH(_xlfn.XLOOKUP($A948,Korrelation!$D$4:$D$1197,Korrelation!K$4:K$1197,"",0),'DM01-AV-CH'!$A$6:$A$834,0)))</f>
        <v>0</v>
      </c>
      <c r="J948" s="54" t="str" cm="1">
        <f t="array" aca="1" ref="J948" ca="1">IF(B948=0,IF(E948=0,"",HYPERLINK("#"&amp;RIGHT(CELL("adresse",OFFSET(DMAV_Dienste!$M$6,E948-1,0)),LEN(CELL("adresse",OFFSET(DMAV_Dienste!$M$6,E948-1,0)))-FIND("]",CELL("adresse",OFFSET(DMAV_Dienste!$M$6,E948-1,0)))),"Dienst")),HYPERLINK("#"&amp;RIGHT(CELL("adresse",OFFSET(DMAV_Modell!$N$6,B948-1,0)),LEN(CELL("adresse",OFFSET(DMAV_Modell!$N$6,B948-1,0)))-FIND("]",CELL("adresse",OFFSET(DMAV_Modell!$N$6,B948-1,0)))),"Modell"))</f>
        <v>Modell</v>
      </c>
      <c r="K948" s="61" t="str" cm="1">
        <f t="array" ref="K948">IF($B948=0,IF($E948=0,"",IF(INDEX(DMAV_Dienste!P$6:P$140,$E948)="","",INDEX(DMAV_Dienste!P$6:P$140,$E948))),IF(INDEX(DMAV_Modell!Q$6:Q$838,$B948)="","",INDEX(DMAV_Modell!Q$6:Q$838,$B948)))</f>
        <v>ASSOCIATION</v>
      </c>
      <c r="L948" s="62" t="str" cm="1">
        <f t="array" ref="L948">IF($B948=0,IF($E948=0,"",IF(INDEX(DMAV_Dienste!O$6:O$140,$E948)="","",INDEX(DMAV_Dienste!O$6:O$140,$E948))),IF(INDEX(DMAV_Modell!P$6:P$838,$B948)="","",INDEX(DMAV_Modell!P$6:P$838,$B948)))</f>
        <v>Einzelobjekte</v>
      </c>
      <c r="M948" s="62" t="str" cm="1">
        <f t="array" ref="M948">IF($B948=0,IF($E948=0,"",IF(INDEX(DMAV_Dienste!Q$6:Q$140,$E948)="","",INDEX(DMAV_Dienste!Q$6:Q$140,$E948))),IF(INDEX(DMAV_Modell!R$6:R$838,$B948)="","",INDEX(DMAV_Modell!R$6:R$838,$B948)))</f>
        <v>Entstehung_Messpunkt</v>
      </c>
      <c r="N948" s="62" t="str" cm="1">
        <f t="array" ref="N948">IF($B948=0,IF($E948=0,"",IF(INDEX(DMAV_Dienste!T$6:T$140,$E948)="","",INDEX(DMAV_Dienste!T$6:T$140,$E948))),IF(INDEX(DMAV_Modell!U$6:U$838,$B948)="","",INDEX(DMAV_Modell!U$6:U$838,$B948)))</f>
        <v>entstehender_Messpunkt</v>
      </c>
      <c r="O948" s="63" t="str" cm="1">
        <f t="array" aca="1" ref="O948" ca="1">IF(C948=0,IF(F948=0,"",HYPERLINK("#"&amp;RIGHT(CELL("adresse",OFFSET(DMAV_Dienste!$M$6,F948-1,0)),LEN(CELL("adresse",OFFSET(DMAV_Dienste!$M$6,F948-1,0)))-FIND("]",CELL("adresse",OFFSET(DMAV_Dienste!$M$6,F948-1,0)))),"Structure")),HYPERLINK("#"&amp;RIGHT(CELL("adresse",OFFSET(DMAV_Modell!$N$6,C948-1,0)),LEN(CELL("adresse",OFFSET(DMAV_Modell!$N$6,C948-1,0)))-FIND("]",CELL("adresse",OFFSET(DMAV_Modell!$N$6,C948-1,0)))),"Structure"))</f>
        <v/>
      </c>
      <c r="P948" s="64" t="str" cm="1">
        <f t="array" aca="1" ref="P948" ca="1">IF(D948=0,IF(G948=0,"",HYPERLINK("#"&amp;RIGHT(CELL("adresse",OFFSET(DMAV_Dienste!$M$6,G948-1,0)),LEN(CELL("adresse",OFFSET(DMAV_Dienste!$M$6,G948-1,0)))-FIND("]",CELL("adresse",OFFSET(DMAV_Dienste!$M$6,G948-1,0)))),"Substructure")),HYPERLINK("#"&amp;RIGHT(CELL("adresse",OFFSET(DMAV_Modell!$N$6,D948-1,0)),LEN(CELL("adresse",OFFSET(DMAV_Modell!$N$6,D948-1,0)))-FIND("]",CELL("adresse",OFFSET(DMAV_Modell!$N$6,D948-1,0)))),"Substructure"))</f>
        <v/>
      </c>
      <c r="R948" s="80"/>
      <c r="T948" s="93"/>
      <c r="U948" s="94"/>
      <c r="V948" s="95"/>
      <c r="W948" s="96"/>
      <c r="Y948" s="85"/>
      <c r="Z948" s="86"/>
      <c r="AA948" s="87"/>
      <c r="AB948" s="88"/>
      <c r="AD948" s="77"/>
      <c r="AF948" s="54" t="str" cm="1">
        <f t="array" aca="1" ref="AF948" ca="1">IF(H948=0,"",HYPERLINK("#"&amp;RIGHT(CELL("adresse",OFFSET('DM01-AV-CH'!$G$6,H948-1,0)),LEN(CELL("adresse",OFFSET('DM01-AV-CH'!$G$6,H948-1,0)))-FIND("]",CELL("adresse",OFFSET('DM01-AV-CH'!$G$6,H948-1,0)))),"Modell"))</f>
        <v/>
      </c>
      <c r="AG948" s="72" t="str" cm="1">
        <f t="array" ref="AG948">IF($H948=0,"",IF(INDEX('DM01-AV-CH'!G$6:G$834,$H948)="","",INDEX('DM01-AV-CH'!G$6:G$834,$H948)))</f>
        <v/>
      </c>
      <c r="AH948" s="73" t="str" cm="1">
        <f t="array" ref="AH948">IF($H948=0,"",IF(INDEX('DM01-AV-CH'!H$6:H$834,$H948)="","",INDEX('DM01-AV-CH'!H$6:H$834,$H948)))</f>
        <v/>
      </c>
      <c r="AI948" s="74" t="str" cm="1">
        <f t="array" ref="AI948">IF($H948=0,"",IF(INDEX('DM01-AV-CH'!I$6:I$834,$H948)="","",INDEX('DM01-AV-CH'!I$6:I$834,$H948)))</f>
        <v/>
      </c>
    </row>
    <row r="949" spans="1:35" x14ac:dyDescent="0.25">
      <c r="A949" s="57">
        <v>944</v>
      </c>
      <c r="B949" s="57">
        <f>IF($A949="","",IF(_xlfn.XLOOKUP($A949,Korrelation!$D$4:$D$1197,Korrelation!E$4:E$1197,"-",0)="-",0,MATCH(_xlfn.XLOOKUP($A949,Korrelation!$D$4:$D$1197,Korrelation!E$4:E$1197,"",0),DMAV_Modell!$G$6:$G$677,0)))</f>
        <v>544</v>
      </c>
      <c r="C949" s="57">
        <f>IF($A949="","",IF(_xlfn.XLOOKUP($A949,Korrelation!$D$4:$D$1197,Korrelation!F$4:F$1197,"-",0)="-",0,MATCH(_xlfn.XLOOKUP($A949,Korrelation!$D$4:$D$1197,Korrelation!F$4:F$1197,"",0),DMAV_Modell!$G$6:$G$677,0)))</f>
        <v>0</v>
      </c>
      <c r="D949" s="57">
        <f>IF($A949="","",IF(_xlfn.XLOOKUP($A949,Korrelation!$D$4:$D$1197,Korrelation!G$4:G$1197,"-",0)="-",0,MATCH(_xlfn.XLOOKUP($A949,Korrelation!$D$4:$D$1197,Korrelation!G$4:G$1197,"",0),DMAV_Modell!$G$6:$G$677,0)))</f>
        <v>0</v>
      </c>
      <c r="E949" s="57">
        <f>IF($A949="","",IF(_xlfn.XLOOKUP($A949,Korrelation!$D$4:$D$1197,Korrelation!H$4:H$1197,"-",0)="-",0,MATCH(_xlfn.XLOOKUP($A949,Korrelation!$D$4:$D$1197,Korrelation!H$4:H$1197,"",0),DMAV_Dienste!$F$6:$F$140,0)))</f>
        <v>0</v>
      </c>
      <c r="F949" s="57">
        <f>IF($A949="","",IF(_xlfn.XLOOKUP($A949,Korrelation!$D$4:$D$1197,Korrelation!I$4:I$1197,"-",0)="-",0,MATCH(_xlfn.XLOOKUP($A949,Korrelation!$D$4:$D$1197,Korrelation!I$4:I$1197,"",0),DMAV_Dienste!$F$6:$F$140,0)))</f>
        <v>0</v>
      </c>
      <c r="G949" s="57">
        <f>IF($A949="","",IF(_xlfn.XLOOKUP($A949,Korrelation!$D$4:$D$1197,Korrelation!J$4:J$1197,"-",0)="-",0,MATCH(_xlfn.XLOOKUP($A949,Korrelation!$D$4:$D$1197,Korrelation!J$4:J$1197,"",0),DMAV_Dienste!$F$6:$F$140,0)))</f>
        <v>0</v>
      </c>
      <c r="H949" s="57">
        <f>IF($A949="","",IF(_xlfn.XLOOKUP($A949,Korrelation!$D$4:$D$1197,Korrelation!K$4:K$1197,"-",0)="-",0,MATCH(_xlfn.XLOOKUP($A949,Korrelation!$D$4:$D$1197,Korrelation!K$4:K$1197,"",0),'DM01-AV-CH'!$A$6:$A$834,0)))</f>
        <v>0</v>
      </c>
      <c r="J949" s="54" t="str" cm="1">
        <f t="array" aca="1" ref="J949" ca="1">IF(B949=0,IF(E949=0,"",HYPERLINK("#"&amp;RIGHT(CELL("adresse",OFFSET(DMAV_Dienste!$M$6,E949-1,0)),LEN(CELL("adresse",OFFSET(DMAV_Dienste!$M$6,E949-1,0)))-FIND("]",CELL("adresse",OFFSET(DMAV_Dienste!$M$6,E949-1,0)))),"Dienst")),HYPERLINK("#"&amp;RIGHT(CELL("adresse",OFFSET(DMAV_Modell!$N$6,B949-1,0)),LEN(CELL("adresse",OFFSET(DMAV_Modell!$N$6,B949-1,0)))-FIND("]",CELL("adresse",OFFSET(DMAV_Modell!$N$6,B949-1,0)))),"Modell"))</f>
        <v>Modell</v>
      </c>
      <c r="K949" s="61" t="str" cm="1">
        <f t="array" ref="K949">IF($B949=0,IF($E949=0,"",IF(INDEX(DMAV_Dienste!P$6:P$140,$E949)="","",INDEX(DMAV_Dienste!P$6:P$140,$E949))),IF(INDEX(DMAV_Modell!Q$6:Q$838,$B949)="","",INDEX(DMAV_Modell!Q$6:Q$838,$B949)))</f>
        <v>IMPORTS</v>
      </c>
      <c r="L949" s="62" t="str" cm="1">
        <f t="array" ref="L949">IF($B949=0,IF($E949=0,"",IF(INDEX(DMAV_Dienste!O$6:O$140,$E949)="","",INDEX(DMAV_Dienste!O$6:O$140,$E949))),IF(INDEX(DMAV_Modell!P$6:P$838,$B949)="","",INDEX(DMAV_Modell!P$6:P$838,$B949)))</f>
        <v/>
      </c>
      <c r="M949" s="62" t="str" cm="1">
        <f t="array" ref="M949">IF($B949=0,IF($E949=0,"",IF(INDEX(DMAV_Dienste!Q$6:Q$140,$E949)="","",INDEX(DMAV_Dienste!Q$6:Q$140,$E949))),IF(INDEX(DMAV_Modell!R$6:R$838,$B949)="","",INDEX(DMAV_Modell!R$6:R$838,$B949)))</f>
        <v>GeometryCHLV95_V2</v>
      </c>
      <c r="N949" s="62" t="str" cm="1">
        <f t="array" ref="N949">IF($B949=0,IF($E949=0,"",IF(INDEX(DMAV_Dienste!T$6:T$140,$E949)="","",INDEX(DMAV_Dienste!T$6:T$140,$E949))),IF(INDEX(DMAV_Modell!U$6:U$838,$B949)="","",INDEX(DMAV_Modell!U$6:U$838,$B949)))</f>
        <v/>
      </c>
      <c r="O949" s="63" t="str" cm="1">
        <f t="array" aca="1" ref="O949" ca="1">IF(C949=0,IF(F949=0,"",HYPERLINK("#"&amp;RIGHT(CELL("adresse",OFFSET(DMAV_Dienste!$M$6,F949-1,0)),LEN(CELL("adresse",OFFSET(DMAV_Dienste!$M$6,F949-1,0)))-FIND("]",CELL("adresse",OFFSET(DMAV_Dienste!$M$6,F949-1,0)))),"Structure")),HYPERLINK("#"&amp;RIGHT(CELL("adresse",OFFSET(DMAV_Modell!$N$6,C949-1,0)),LEN(CELL("adresse",OFFSET(DMAV_Modell!$N$6,C949-1,0)))-FIND("]",CELL("adresse",OFFSET(DMAV_Modell!$N$6,C949-1,0)))),"Structure"))</f>
        <v/>
      </c>
      <c r="P949" s="64" t="str" cm="1">
        <f t="array" aca="1" ref="P949" ca="1">IF(D949=0,IF(G949=0,"",HYPERLINK("#"&amp;RIGHT(CELL("adresse",OFFSET(DMAV_Dienste!$M$6,G949-1,0)),LEN(CELL("adresse",OFFSET(DMAV_Dienste!$M$6,G949-1,0)))-FIND("]",CELL("adresse",OFFSET(DMAV_Dienste!$M$6,G949-1,0)))),"Substructure")),HYPERLINK("#"&amp;RIGHT(CELL("adresse",OFFSET(DMAV_Modell!$N$6,D949-1,0)),LEN(CELL("adresse",OFFSET(DMAV_Modell!$N$6,D949-1,0)))-FIND("]",CELL("adresse",OFFSET(DMAV_Modell!$N$6,D949-1,0)))),"Substructure"))</f>
        <v/>
      </c>
      <c r="R949" s="80"/>
      <c r="T949" s="93"/>
      <c r="U949" s="94"/>
      <c r="V949" s="95"/>
      <c r="W949" s="96"/>
      <c r="Y949" s="85"/>
      <c r="Z949" s="86"/>
      <c r="AA949" s="87"/>
      <c r="AB949" s="88"/>
      <c r="AD949" s="77"/>
      <c r="AF949" s="54" t="str" cm="1">
        <f t="array" aca="1" ref="AF949" ca="1">IF(H949=0,"",HYPERLINK("#"&amp;RIGHT(CELL("adresse",OFFSET('DM01-AV-CH'!$G$6,H949-1,0)),LEN(CELL("adresse",OFFSET('DM01-AV-CH'!$G$6,H949-1,0)))-FIND("]",CELL("adresse",OFFSET('DM01-AV-CH'!$G$6,H949-1,0)))),"Modell"))</f>
        <v/>
      </c>
      <c r="AG949" s="72" t="str" cm="1">
        <f t="array" ref="AG949">IF($H949=0,"",IF(INDEX('DM01-AV-CH'!G$6:G$834,$H949)="","",INDEX('DM01-AV-CH'!G$6:G$834,$H949)))</f>
        <v/>
      </c>
      <c r="AH949" s="73" t="str" cm="1">
        <f t="array" ref="AH949">IF($H949=0,"",IF(INDEX('DM01-AV-CH'!H$6:H$834,$H949)="","",INDEX('DM01-AV-CH'!H$6:H$834,$H949)))</f>
        <v/>
      </c>
      <c r="AI949" s="74" t="str" cm="1">
        <f t="array" ref="AI949">IF($H949=0,"",IF(INDEX('DM01-AV-CH'!I$6:I$834,$H949)="","",INDEX('DM01-AV-CH'!I$6:I$834,$H949)))</f>
        <v/>
      </c>
    </row>
    <row r="950" spans="1:35" x14ac:dyDescent="0.25">
      <c r="A950" s="57">
        <v>945</v>
      </c>
      <c r="B950" s="57">
        <f>IF($A950="","",IF(_xlfn.XLOOKUP($A950,Korrelation!$D$4:$D$1197,Korrelation!E$4:E$1197,"-",0)="-",0,MATCH(_xlfn.XLOOKUP($A950,Korrelation!$D$4:$D$1197,Korrelation!E$4:E$1197,"",0),DMAV_Modell!$G$6:$G$677,0)))</f>
        <v>545</v>
      </c>
      <c r="C950" s="57">
        <f>IF($A950="","",IF(_xlfn.XLOOKUP($A950,Korrelation!$D$4:$D$1197,Korrelation!F$4:F$1197,"-",0)="-",0,MATCH(_xlfn.XLOOKUP($A950,Korrelation!$D$4:$D$1197,Korrelation!F$4:F$1197,"",0),DMAV_Modell!$G$6:$G$677,0)))</f>
        <v>0</v>
      </c>
      <c r="D950" s="57">
        <f>IF($A950="","",IF(_xlfn.XLOOKUP($A950,Korrelation!$D$4:$D$1197,Korrelation!G$4:G$1197,"-",0)="-",0,MATCH(_xlfn.XLOOKUP($A950,Korrelation!$D$4:$D$1197,Korrelation!G$4:G$1197,"",0),DMAV_Modell!$G$6:$G$677,0)))</f>
        <v>0</v>
      </c>
      <c r="E950" s="57">
        <f>IF($A950="","",IF(_xlfn.XLOOKUP($A950,Korrelation!$D$4:$D$1197,Korrelation!H$4:H$1197,"-",0)="-",0,MATCH(_xlfn.XLOOKUP($A950,Korrelation!$D$4:$D$1197,Korrelation!H$4:H$1197,"",0),DMAV_Dienste!$F$6:$F$140,0)))</f>
        <v>0</v>
      </c>
      <c r="F950" s="57">
        <f>IF($A950="","",IF(_xlfn.XLOOKUP($A950,Korrelation!$D$4:$D$1197,Korrelation!I$4:I$1197,"-",0)="-",0,MATCH(_xlfn.XLOOKUP($A950,Korrelation!$D$4:$D$1197,Korrelation!I$4:I$1197,"",0),DMAV_Dienste!$F$6:$F$140,0)))</f>
        <v>0</v>
      </c>
      <c r="G950" s="57">
        <f>IF($A950="","",IF(_xlfn.XLOOKUP($A950,Korrelation!$D$4:$D$1197,Korrelation!J$4:J$1197,"-",0)="-",0,MATCH(_xlfn.XLOOKUP($A950,Korrelation!$D$4:$D$1197,Korrelation!J$4:J$1197,"",0),DMAV_Dienste!$F$6:$F$140,0)))</f>
        <v>0</v>
      </c>
      <c r="H950" s="57">
        <f>IF($A950="","",IF(_xlfn.XLOOKUP($A950,Korrelation!$D$4:$D$1197,Korrelation!K$4:K$1197,"-",0)="-",0,MATCH(_xlfn.XLOOKUP($A950,Korrelation!$D$4:$D$1197,Korrelation!K$4:K$1197,"",0),'DM01-AV-CH'!$A$6:$A$834,0)))</f>
        <v>0</v>
      </c>
      <c r="J950" s="54" t="str" cm="1">
        <f t="array" aca="1" ref="J950" ca="1">IF(B950=0,IF(E950=0,"",HYPERLINK("#"&amp;RIGHT(CELL("adresse",OFFSET(DMAV_Dienste!$M$6,E950-1,0)),LEN(CELL("adresse",OFFSET(DMAV_Dienste!$M$6,E950-1,0)))-FIND("]",CELL("adresse",OFFSET(DMAV_Dienste!$M$6,E950-1,0)))),"Dienst")),HYPERLINK("#"&amp;RIGHT(CELL("adresse",OFFSET(DMAV_Modell!$N$6,B950-1,0)),LEN(CELL("adresse",OFFSET(DMAV_Modell!$N$6,B950-1,0)))-FIND("]",CELL("adresse",OFFSET(DMAV_Modell!$N$6,B950-1,0)))),"Modell"))</f>
        <v>Modell</v>
      </c>
      <c r="K950" s="61" t="str" cm="1">
        <f t="array" ref="K950">IF($B950=0,IF($E950=0,"",IF(INDEX(DMAV_Dienste!P$6:P$140,$E950)="","",INDEX(DMAV_Dienste!P$6:P$140,$E950))),IF(INDEX(DMAV_Modell!Q$6:Q$838,$B950)="","",INDEX(DMAV_Modell!Q$6:Q$838,$B950)))</f>
        <v>IMPORTS</v>
      </c>
      <c r="L950" s="62" t="str" cm="1">
        <f t="array" ref="L950">IF($B950=0,IF($E950=0,"",IF(INDEX(DMAV_Dienste!O$6:O$140,$E950)="","",INDEX(DMAV_Dienste!O$6:O$140,$E950))),IF(INDEX(DMAV_Modell!P$6:P$838,$B950)="","",INDEX(DMAV_Modell!P$6:P$838,$B950)))</f>
        <v/>
      </c>
      <c r="M950" s="62" t="str" cm="1">
        <f t="array" ref="M950">IF($B950=0,IF($E950=0,"",IF(INDEX(DMAV_Dienste!Q$6:Q$140,$E950)="","",INDEX(DMAV_Dienste!Q$6:Q$140,$E950))),IF(INDEX(DMAV_Modell!R$6:R$838,$B950)="","",INDEX(DMAV_Modell!R$6:R$838,$B950)))</f>
        <v>DMAVTYM_Geometrie_V1_0</v>
      </c>
      <c r="N950" s="62" t="str" cm="1">
        <f t="array" ref="N950">IF($B950=0,IF($E950=0,"",IF(INDEX(DMAV_Dienste!T$6:T$140,$E950)="","",INDEX(DMAV_Dienste!T$6:T$140,$E950))),IF(INDEX(DMAV_Modell!U$6:U$838,$B950)="","",INDEX(DMAV_Modell!U$6:U$838,$B950)))</f>
        <v/>
      </c>
      <c r="O950" s="63" t="str" cm="1">
        <f t="array" aca="1" ref="O950" ca="1">IF(C950=0,IF(F950=0,"",HYPERLINK("#"&amp;RIGHT(CELL("adresse",OFFSET(DMAV_Dienste!$M$6,F950-1,0)),LEN(CELL("adresse",OFFSET(DMAV_Dienste!$M$6,F950-1,0)))-FIND("]",CELL("adresse",OFFSET(DMAV_Dienste!$M$6,F950-1,0)))),"Structure")),HYPERLINK("#"&amp;RIGHT(CELL("adresse",OFFSET(DMAV_Modell!$N$6,C950-1,0)),LEN(CELL("adresse",OFFSET(DMAV_Modell!$N$6,C950-1,0)))-FIND("]",CELL("adresse",OFFSET(DMAV_Modell!$N$6,C950-1,0)))),"Structure"))</f>
        <v/>
      </c>
      <c r="P950" s="64" t="str" cm="1">
        <f t="array" aca="1" ref="P950" ca="1">IF(D950=0,IF(G950=0,"",HYPERLINK("#"&amp;RIGHT(CELL("adresse",OFFSET(DMAV_Dienste!$M$6,G950-1,0)),LEN(CELL("adresse",OFFSET(DMAV_Dienste!$M$6,G950-1,0)))-FIND("]",CELL("adresse",OFFSET(DMAV_Dienste!$M$6,G950-1,0)))),"Substructure")),HYPERLINK("#"&amp;RIGHT(CELL("adresse",OFFSET(DMAV_Modell!$N$6,D950-1,0)),LEN(CELL("adresse",OFFSET(DMAV_Modell!$N$6,D950-1,0)))-FIND("]",CELL("adresse",OFFSET(DMAV_Modell!$N$6,D950-1,0)))),"Substructure"))</f>
        <v/>
      </c>
      <c r="R950" s="80"/>
      <c r="T950" s="93"/>
      <c r="U950" s="94"/>
      <c r="V950" s="95"/>
      <c r="W950" s="96"/>
      <c r="Y950" s="85"/>
      <c r="Z950" s="86"/>
      <c r="AA950" s="87"/>
      <c r="AB950" s="88"/>
      <c r="AD950" s="77"/>
      <c r="AF950" s="54" t="str" cm="1">
        <f t="array" aca="1" ref="AF950" ca="1">IF(H950=0,"",HYPERLINK("#"&amp;RIGHT(CELL("adresse",OFFSET('DM01-AV-CH'!$G$6,H950-1,0)),LEN(CELL("adresse",OFFSET('DM01-AV-CH'!$G$6,H950-1,0)))-FIND("]",CELL("adresse",OFFSET('DM01-AV-CH'!$G$6,H950-1,0)))),"Modell"))</f>
        <v/>
      </c>
      <c r="AG950" s="72" t="str" cm="1">
        <f t="array" ref="AG950">IF($H950=0,"",IF(INDEX('DM01-AV-CH'!G$6:G$834,$H950)="","",INDEX('DM01-AV-CH'!G$6:G$834,$H950)))</f>
        <v/>
      </c>
      <c r="AH950" s="73" t="str" cm="1">
        <f t="array" ref="AH950">IF($H950=0,"",IF(INDEX('DM01-AV-CH'!H$6:H$834,$H950)="","",INDEX('DM01-AV-CH'!H$6:H$834,$H950)))</f>
        <v/>
      </c>
      <c r="AI950" s="74" t="str" cm="1">
        <f t="array" ref="AI950">IF($H950=0,"",IF(INDEX('DM01-AV-CH'!I$6:I$834,$H950)="","",INDEX('DM01-AV-CH'!I$6:I$834,$H950)))</f>
        <v/>
      </c>
    </row>
    <row r="951" spans="1:35" x14ac:dyDescent="0.25">
      <c r="A951" s="57">
        <v>946</v>
      </c>
      <c r="B951" s="57">
        <f>IF($A951="","",IF(_xlfn.XLOOKUP($A951,Korrelation!$D$4:$D$1197,Korrelation!E$4:E$1197,"-",0)="-",0,MATCH(_xlfn.XLOOKUP($A951,Korrelation!$D$4:$D$1197,Korrelation!E$4:E$1197,"",0),DMAV_Modell!$G$6:$G$677,0)))</f>
        <v>546</v>
      </c>
      <c r="C951" s="57">
        <f>IF($A951="","",IF(_xlfn.XLOOKUP($A951,Korrelation!$D$4:$D$1197,Korrelation!F$4:F$1197,"-",0)="-",0,MATCH(_xlfn.XLOOKUP($A951,Korrelation!$D$4:$D$1197,Korrelation!F$4:F$1197,"",0),DMAV_Modell!$G$6:$G$677,0)))</f>
        <v>0</v>
      </c>
      <c r="D951" s="57">
        <f>IF($A951="","",IF(_xlfn.XLOOKUP($A951,Korrelation!$D$4:$D$1197,Korrelation!G$4:G$1197,"-",0)="-",0,MATCH(_xlfn.XLOOKUP($A951,Korrelation!$D$4:$D$1197,Korrelation!G$4:G$1197,"",0),DMAV_Modell!$G$6:$G$677,0)))</f>
        <v>0</v>
      </c>
      <c r="E951" s="57">
        <f>IF($A951="","",IF(_xlfn.XLOOKUP($A951,Korrelation!$D$4:$D$1197,Korrelation!H$4:H$1197,"-",0)="-",0,MATCH(_xlfn.XLOOKUP($A951,Korrelation!$D$4:$D$1197,Korrelation!H$4:H$1197,"",0),DMAV_Dienste!$F$6:$F$140,0)))</f>
        <v>0</v>
      </c>
      <c r="F951" s="57">
        <f>IF($A951="","",IF(_xlfn.XLOOKUP($A951,Korrelation!$D$4:$D$1197,Korrelation!I$4:I$1197,"-",0)="-",0,MATCH(_xlfn.XLOOKUP($A951,Korrelation!$D$4:$D$1197,Korrelation!I$4:I$1197,"",0),DMAV_Dienste!$F$6:$F$140,0)))</f>
        <v>0</v>
      </c>
      <c r="G951" s="57">
        <f>IF($A951="","",IF(_xlfn.XLOOKUP($A951,Korrelation!$D$4:$D$1197,Korrelation!J$4:J$1197,"-",0)="-",0,MATCH(_xlfn.XLOOKUP($A951,Korrelation!$D$4:$D$1197,Korrelation!J$4:J$1197,"",0),DMAV_Dienste!$F$6:$F$140,0)))</f>
        <v>0</v>
      </c>
      <c r="H951" s="57">
        <f>IF($A951="","",IF(_xlfn.XLOOKUP($A951,Korrelation!$D$4:$D$1197,Korrelation!K$4:K$1197,"-",0)="-",0,MATCH(_xlfn.XLOOKUP($A951,Korrelation!$D$4:$D$1197,Korrelation!K$4:K$1197,"",0),'DM01-AV-CH'!$A$6:$A$834,0)))</f>
        <v>0</v>
      </c>
      <c r="J951" s="54" t="str" cm="1">
        <f t="array" aca="1" ref="J951" ca="1">IF(B951=0,IF(E951=0,"",HYPERLINK("#"&amp;RIGHT(CELL("adresse",OFFSET(DMAV_Dienste!$M$6,E951-1,0)),LEN(CELL("adresse",OFFSET(DMAV_Dienste!$M$6,E951-1,0)))-FIND("]",CELL("adresse",OFFSET(DMAV_Dienste!$M$6,E951-1,0)))),"Dienst")),HYPERLINK("#"&amp;RIGHT(CELL("adresse",OFFSET(DMAV_Modell!$N$6,B951-1,0)),LEN(CELL("adresse",OFFSET(DMAV_Modell!$N$6,B951-1,0)))-FIND("]",CELL("adresse",OFFSET(DMAV_Modell!$N$6,B951-1,0)))),"Modell"))</f>
        <v>Modell</v>
      </c>
      <c r="K951" s="61" t="str" cm="1">
        <f t="array" ref="K951">IF($B951=0,IF($E951=0,"",IF(INDEX(DMAV_Dienste!P$6:P$140,$E951)="","",INDEX(DMAV_Dienste!P$6:P$140,$E951))),IF(INDEX(DMAV_Modell!Q$6:Q$838,$B951)="","",INDEX(DMAV_Modell!Q$6:Q$838,$B951)))</f>
        <v>IMPORTS</v>
      </c>
      <c r="L951" s="62" t="str" cm="1">
        <f t="array" ref="L951">IF($B951=0,IF($E951=0,"",IF(INDEX(DMAV_Dienste!O$6:O$140,$E951)="","",INDEX(DMAV_Dienste!O$6:O$140,$E951))),IF(INDEX(DMAV_Modell!P$6:P$838,$B951)="","",INDEX(DMAV_Modell!P$6:P$838,$B951)))</f>
        <v/>
      </c>
      <c r="M951" s="62" t="str" cm="1">
        <f t="array" ref="M951">IF($B951=0,IF($E951=0,"",IF(INDEX(DMAV_Dienste!Q$6:Q$140,$E951)="","",INDEX(DMAV_Dienste!Q$6:Q$140,$E951))),IF(INDEX(DMAV_Modell!R$6:R$838,$B951)="","",INDEX(DMAV_Modell!R$6:R$838,$B951)))</f>
        <v>DMAVTYM_Modinfo_V1_0</v>
      </c>
      <c r="N951" s="62" t="str" cm="1">
        <f t="array" ref="N951">IF($B951=0,IF($E951=0,"",IF(INDEX(DMAV_Dienste!T$6:T$140,$E951)="","",INDEX(DMAV_Dienste!T$6:T$140,$E951))),IF(INDEX(DMAV_Modell!U$6:U$838,$B951)="","",INDEX(DMAV_Modell!U$6:U$838,$B951)))</f>
        <v/>
      </c>
      <c r="O951" s="63" t="str" cm="1">
        <f t="array" aca="1" ref="O951" ca="1">IF(C951=0,IF(F951=0,"",HYPERLINK("#"&amp;RIGHT(CELL("adresse",OFFSET(DMAV_Dienste!$M$6,F951-1,0)),LEN(CELL("adresse",OFFSET(DMAV_Dienste!$M$6,F951-1,0)))-FIND("]",CELL("adresse",OFFSET(DMAV_Dienste!$M$6,F951-1,0)))),"Structure")),HYPERLINK("#"&amp;RIGHT(CELL("adresse",OFFSET(DMAV_Modell!$N$6,C951-1,0)),LEN(CELL("adresse",OFFSET(DMAV_Modell!$N$6,C951-1,0)))-FIND("]",CELL("adresse",OFFSET(DMAV_Modell!$N$6,C951-1,0)))),"Structure"))</f>
        <v/>
      </c>
      <c r="P951" s="64" t="str" cm="1">
        <f t="array" aca="1" ref="P951" ca="1">IF(D951=0,IF(G951=0,"",HYPERLINK("#"&amp;RIGHT(CELL("adresse",OFFSET(DMAV_Dienste!$M$6,G951-1,0)),LEN(CELL("adresse",OFFSET(DMAV_Dienste!$M$6,G951-1,0)))-FIND("]",CELL("adresse",OFFSET(DMAV_Dienste!$M$6,G951-1,0)))),"Substructure")),HYPERLINK("#"&amp;RIGHT(CELL("adresse",OFFSET(DMAV_Modell!$N$6,D951-1,0)),LEN(CELL("adresse",OFFSET(DMAV_Modell!$N$6,D951-1,0)))-FIND("]",CELL("adresse",OFFSET(DMAV_Modell!$N$6,D951-1,0)))),"Substructure"))</f>
        <v/>
      </c>
      <c r="R951" s="80"/>
      <c r="T951" s="93"/>
      <c r="U951" s="94"/>
      <c r="V951" s="95"/>
      <c r="W951" s="96"/>
      <c r="Y951" s="85"/>
      <c r="Z951" s="86"/>
      <c r="AA951" s="87"/>
      <c r="AB951" s="88"/>
      <c r="AD951" s="77"/>
      <c r="AF951" s="54" t="str" cm="1">
        <f t="array" aca="1" ref="AF951" ca="1">IF(H951=0,"",HYPERLINK("#"&amp;RIGHT(CELL("adresse",OFFSET('DM01-AV-CH'!$G$6,H951-1,0)),LEN(CELL("adresse",OFFSET('DM01-AV-CH'!$G$6,H951-1,0)))-FIND("]",CELL("adresse",OFFSET('DM01-AV-CH'!$G$6,H951-1,0)))),"Modell"))</f>
        <v/>
      </c>
      <c r="AG951" s="72" t="str" cm="1">
        <f t="array" ref="AG951">IF($H951=0,"",IF(INDEX('DM01-AV-CH'!G$6:G$834,$H951)="","",INDEX('DM01-AV-CH'!G$6:G$834,$H951)))</f>
        <v/>
      </c>
      <c r="AH951" s="73" t="str" cm="1">
        <f t="array" ref="AH951">IF($H951=0,"",IF(INDEX('DM01-AV-CH'!H$6:H$834,$H951)="","",INDEX('DM01-AV-CH'!H$6:H$834,$H951)))</f>
        <v/>
      </c>
      <c r="AI951" s="74" t="str" cm="1">
        <f t="array" ref="AI951">IF($H951=0,"",IF(INDEX('DM01-AV-CH'!I$6:I$834,$H951)="","",INDEX('DM01-AV-CH'!I$6:I$834,$H951)))</f>
        <v/>
      </c>
    </row>
    <row r="952" spans="1:35" x14ac:dyDescent="0.25">
      <c r="A952" s="57">
        <v>947</v>
      </c>
      <c r="B952" s="57">
        <f>IF($A952="","",IF(_xlfn.XLOOKUP($A952,Korrelation!$D$4:$D$1197,Korrelation!E$4:E$1197,"-",0)="-",0,MATCH(_xlfn.XLOOKUP($A952,Korrelation!$D$4:$D$1197,Korrelation!E$4:E$1197,"",0),DMAV_Modell!$G$6:$G$677,0)))</f>
        <v>547</v>
      </c>
      <c r="C952" s="57">
        <f>IF($A952="","",IF(_xlfn.XLOOKUP($A952,Korrelation!$D$4:$D$1197,Korrelation!F$4:F$1197,"-",0)="-",0,MATCH(_xlfn.XLOOKUP($A952,Korrelation!$D$4:$D$1197,Korrelation!F$4:F$1197,"",0),DMAV_Modell!$G$6:$G$677,0)))</f>
        <v>0</v>
      </c>
      <c r="D952" s="57">
        <f>IF($A952="","",IF(_xlfn.XLOOKUP($A952,Korrelation!$D$4:$D$1197,Korrelation!G$4:G$1197,"-",0)="-",0,MATCH(_xlfn.XLOOKUP($A952,Korrelation!$D$4:$D$1197,Korrelation!G$4:G$1197,"",0),DMAV_Modell!$G$6:$G$677,0)))</f>
        <v>0</v>
      </c>
      <c r="E952" s="57">
        <f>IF($A952="","",IF(_xlfn.XLOOKUP($A952,Korrelation!$D$4:$D$1197,Korrelation!H$4:H$1197,"-",0)="-",0,MATCH(_xlfn.XLOOKUP($A952,Korrelation!$D$4:$D$1197,Korrelation!H$4:H$1197,"",0),DMAV_Dienste!$F$6:$F$140,0)))</f>
        <v>0</v>
      </c>
      <c r="F952" s="57">
        <f>IF($A952="","",IF(_xlfn.XLOOKUP($A952,Korrelation!$D$4:$D$1197,Korrelation!I$4:I$1197,"-",0)="-",0,MATCH(_xlfn.XLOOKUP($A952,Korrelation!$D$4:$D$1197,Korrelation!I$4:I$1197,"",0),DMAV_Dienste!$F$6:$F$140,0)))</f>
        <v>0</v>
      </c>
      <c r="G952" s="57">
        <f>IF($A952="","",IF(_xlfn.XLOOKUP($A952,Korrelation!$D$4:$D$1197,Korrelation!J$4:J$1197,"-",0)="-",0,MATCH(_xlfn.XLOOKUP($A952,Korrelation!$D$4:$D$1197,Korrelation!J$4:J$1197,"",0),DMAV_Dienste!$F$6:$F$140,0)))</f>
        <v>0</v>
      </c>
      <c r="H952" s="57">
        <f>IF($A952="","",IF(_xlfn.XLOOKUP($A952,Korrelation!$D$4:$D$1197,Korrelation!K$4:K$1197,"-",0)="-",0,MATCH(_xlfn.XLOOKUP($A952,Korrelation!$D$4:$D$1197,Korrelation!K$4:K$1197,"",0),'DM01-AV-CH'!$A$6:$A$834,0)))</f>
        <v>0</v>
      </c>
      <c r="J952" s="54" t="str" cm="1">
        <f t="array" aca="1" ref="J952" ca="1">IF(B952=0,IF(E952=0,"",HYPERLINK("#"&amp;RIGHT(CELL("adresse",OFFSET(DMAV_Dienste!$M$6,E952-1,0)),LEN(CELL("adresse",OFFSET(DMAV_Dienste!$M$6,E952-1,0)))-FIND("]",CELL("adresse",OFFSET(DMAV_Dienste!$M$6,E952-1,0)))),"Dienst")),HYPERLINK("#"&amp;RIGHT(CELL("adresse",OFFSET(DMAV_Modell!$N$6,B952-1,0)),LEN(CELL("adresse",OFFSET(DMAV_Modell!$N$6,B952-1,0)))-FIND("]",CELL("adresse",OFFSET(DMAV_Modell!$N$6,B952-1,0)))),"Modell"))</f>
        <v>Modell</v>
      </c>
      <c r="K952" s="61" t="str" cm="1">
        <f t="array" ref="K952">IF($B952=0,IF($E952=0,"",IF(INDEX(DMAV_Dienste!P$6:P$140,$E952)="","",INDEX(DMAV_Dienste!P$6:P$140,$E952))),IF(INDEX(DMAV_Modell!Q$6:Q$838,$B952)="","",INDEX(DMAV_Modell!Q$6:Q$838,$B952)))</f>
        <v>IMPORTS</v>
      </c>
      <c r="L952" s="62" t="str" cm="1">
        <f t="array" ref="L952">IF($B952=0,IF($E952=0,"",IF(INDEX(DMAV_Dienste!O$6:O$140,$E952)="","",INDEX(DMAV_Dienste!O$6:O$140,$E952))),IF(INDEX(DMAV_Modell!P$6:P$838,$B952)="","",INDEX(DMAV_Modell!P$6:P$838,$B952)))</f>
        <v/>
      </c>
      <c r="M952" s="62" t="str" cm="1">
        <f t="array" ref="M952">IF($B952=0,IF($E952=0,"",IF(INDEX(DMAV_Dienste!Q$6:Q$140,$E952)="","",INDEX(DMAV_Dienste!Q$6:Q$140,$E952))),IF(INDEX(DMAV_Modell!R$6:R$838,$B952)="","",INDEX(DMAV_Modell!R$6:R$838,$B952)))</f>
        <v>DMAVTYM_Qualitaet_V1_0</v>
      </c>
      <c r="N952" s="62" t="str" cm="1">
        <f t="array" ref="N952">IF($B952=0,IF($E952=0,"",IF(INDEX(DMAV_Dienste!T$6:T$140,$E952)="","",INDEX(DMAV_Dienste!T$6:T$140,$E952))),IF(INDEX(DMAV_Modell!U$6:U$838,$B952)="","",INDEX(DMAV_Modell!U$6:U$838,$B952)))</f>
        <v/>
      </c>
      <c r="O952" s="63" t="str" cm="1">
        <f t="array" aca="1" ref="O952" ca="1">IF(C952=0,IF(F952=0,"",HYPERLINK("#"&amp;RIGHT(CELL("adresse",OFFSET(DMAV_Dienste!$M$6,F952-1,0)),LEN(CELL("adresse",OFFSET(DMAV_Dienste!$M$6,F952-1,0)))-FIND("]",CELL("adresse",OFFSET(DMAV_Dienste!$M$6,F952-1,0)))),"Structure")),HYPERLINK("#"&amp;RIGHT(CELL("adresse",OFFSET(DMAV_Modell!$N$6,C952-1,0)),LEN(CELL("adresse",OFFSET(DMAV_Modell!$N$6,C952-1,0)))-FIND("]",CELL("adresse",OFFSET(DMAV_Modell!$N$6,C952-1,0)))),"Structure"))</f>
        <v/>
      </c>
      <c r="P952" s="64" t="str" cm="1">
        <f t="array" aca="1" ref="P952" ca="1">IF(D952=0,IF(G952=0,"",HYPERLINK("#"&amp;RIGHT(CELL("adresse",OFFSET(DMAV_Dienste!$M$6,G952-1,0)),LEN(CELL("adresse",OFFSET(DMAV_Dienste!$M$6,G952-1,0)))-FIND("]",CELL("adresse",OFFSET(DMAV_Dienste!$M$6,G952-1,0)))),"Substructure")),HYPERLINK("#"&amp;RIGHT(CELL("adresse",OFFSET(DMAV_Modell!$N$6,D952-1,0)),LEN(CELL("adresse",OFFSET(DMAV_Modell!$N$6,D952-1,0)))-FIND("]",CELL("adresse",OFFSET(DMAV_Modell!$N$6,D952-1,0)))),"Substructure"))</f>
        <v/>
      </c>
      <c r="R952" s="80"/>
      <c r="T952" s="93"/>
      <c r="U952" s="94"/>
      <c r="V952" s="95"/>
      <c r="W952" s="96"/>
      <c r="Y952" s="85"/>
      <c r="Z952" s="86"/>
      <c r="AA952" s="87"/>
      <c r="AB952" s="88"/>
      <c r="AD952" s="77"/>
      <c r="AF952" s="54" t="str" cm="1">
        <f t="array" aca="1" ref="AF952" ca="1">IF(H952=0,"",HYPERLINK("#"&amp;RIGHT(CELL("adresse",OFFSET('DM01-AV-CH'!$G$6,H952-1,0)),LEN(CELL("adresse",OFFSET('DM01-AV-CH'!$G$6,H952-1,0)))-FIND("]",CELL("adresse",OFFSET('DM01-AV-CH'!$G$6,H952-1,0)))),"Modell"))</f>
        <v/>
      </c>
      <c r="AG952" s="72" t="str" cm="1">
        <f t="array" ref="AG952">IF($H952=0,"",IF(INDEX('DM01-AV-CH'!G$6:G$834,$H952)="","",INDEX('DM01-AV-CH'!G$6:G$834,$H952)))</f>
        <v/>
      </c>
      <c r="AH952" s="73" t="str" cm="1">
        <f t="array" ref="AH952">IF($H952=0,"",IF(INDEX('DM01-AV-CH'!H$6:H$834,$H952)="","",INDEX('DM01-AV-CH'!H$6:H$834,$H952)))</f>
        <v/>
      </c>
      <c r="AI952" s="74" t="str" cm="1">
        <f t="array" ref="AI952">IF($H952=0,"",IF(INDEX('DM01-AV-CH'!I$6:I$834,$H952)="","",INDEX('DM01-AV-CH'!I$6:I$834,$H952)))</f>
        <v/>
      </c>
    </row>
    <row r="953" spans="1:35" x14ac:dyDescent="0.25">
      <c r="A953" s="57">
        <v>948</v>
      </c>
      <c r="B953" s="57">
        <f>IF($A953="","",IF(_xlfn.XLOOKUP($A953,Korrelation!$D$4:$D$1197,Korrelation!E$4:E$1197,"-",0)="-",0,MATCH(_xlfn.XLOOKUP($A953,Korrelation!$D$4:$D$1197,Korrelation!E$4:E$1197,"",0),DMAV_Modell!$G$6:$G$677,0)))</f>
        <v>548</v>
      </c>
      <c r="C953" s="57">
        <f>IF($A953="","",IF(_xlfn.XLOOKUP($A953,Korrelation!$D$4:$D$1197,Korrelation!F$4:F$1197,"-",0)="-",0,MATCH(_xlfn.XLOOKUP($A953,Korrelation!$D$4:$D$1197,Korrelation!F$4:F$1197,"",0),DMAV_Modell!$G$6:$G$677,0)))</f>
        <v>0</v>
      </c>
      <c r="D953" s="57">
        <f>IF($A953="","",IF(_xlfn.XLOOKUP($A953,Korrelation!$D$4:$D$1197,Korrelation!G$4:G$1197,"-",0)="-",0,MATCH(_xlfn.XLOOKUP($A953,Korrelation!$D$4:$D$1197,Korrelation!G$4:G$1197,"",0),DMAV_Modell!$G$6:$G$677,0)))</f>
        <v>0</v>
      </c>
      <c r="E953" s="57">
        <f>IF($A953="","",IF(_xlfn.XLOOKUP($A953,Korrelation!$D$4:$D$1197,Korrelation!H$4:H$1197,"-",0)="-",0,MATCH(_xlfn.XLOOKUP($A953,Korrelation!$D$4:$D$1197,Korrelation!H$4:H$1197,"",0),DMAV_Dienste!$F$6:$F$140,0)))</f>
        <v>0</v>
      </c>
      <c r="F953" s="57">
        <f>IF($A953="","",IF(_xlfn.XLOOKUP($A953,Korrelation!$D$4:$D$1197,Korrelation!I$4:I$1197,"-",0)="-",0,MATCH(_xlfn.XLOOKUP($A953,Korrelation!$D$4:$D$1197,Korrelation!I$4:I$1197,"",0),DMAV_Dienste!$F$6:$F$140,0)))</f>
        <v>0</v>
      </c>
      <c r="G953" s="57">
        <f>IF($A953="","",IF(_xlfn.XLOOKUP($A953,Korrelation!$D$4:$D$1197,Korrelation!J$4:J$1197,"-",0)="-",0,MATCH(_xlfn.XLOOKUP($A953,Korrelation!$D$4:$D$1197,Korrelation!J$4:J$1197,"",0),DMAV_Dienste!$F$6:$F$140,0)))</f>
        <v>0</v>
      </c>
      <c r="H953" s="57">
        <f>IF($A953="","",IF(_xlfn.XLOOKUP($A953,Korrelation!$D$4:$D$1197,Korrelation!K$4:K$1197,"-",0)="-",0,MATCH(_xlfn.XLOOKUP($A953,Korrelation!$D$4:$D$1197,Korrelation!K$4:K$1197,"",0),'DM01-AV-CH'!$A$6:$A$834,0)))</f>
        <v>0</v>
      </c>
      <c r="J953" s="54" t="str" cm="1">
        <f t="array" aca="1" ref="J953" ca="1">IF(B953=0,IF(E953=0,"",HYPERLINK("#"&amp;RIGHT(CELL("adresse",OFFSET(DMAV_Dienste!$M$6,E953-1,0)),LEN(CELL("adresse",OFFSET(DMAV_Dienste!$M$6,E953-1,0)))-FIND("]",CELL("adresse",OFFSET(DMAV_Dienste!$M$6,E953-1,0)))),"Dienst")),HYPERLINK("#"&amp;RIGHT(CELL("adresse",OFFSET(DMAV_Modell!$N$6,B953-1,0)),LEN(CELL("adresse",OFFSET(DMAV_Modell!$N$6,B953-1,0)))-FIND("]",CELL("adresse",OFFSET(DMAV_Modell!$N$6,B953-1,0)))),"Modell"))</f>
        <v>Modell</v>
      </c>
      <c r="K953" s="61" t="str" cm="1">
        <f t="array" ref="K953">IF($B953=0,IF($E953=0,"",IF(INDEX(DMAV_Dienste!P$6:P$140,$E953)="","",INDEX(DMAV_Dienste!P$6:P$140,$E953))),IF(INDEX(DMAV_Modell!Q$6:Q$838,$B953)="","",INDEX(DMAV_Modell!Q$6:Q$838,$B953)))</f>
        <v>IMPORTS</v>
      </c>
      <c r="L953" s="62" t="str" cm="1">
        <f t="array" ref="L953">IF($B953=0,IF($E953=0,"",IF(INDEX(DMAV_Dienste!O$6:O$140,$E953)="","",INDEX(DMAV_Dienste!O$6:O$140,$E953))),IF(INDEX(DMAV_Modell!P$6:P$838,$B953)="","",INDEX(DMAV_Modell!P$6:P$838,$B953)))</f>
        <v/>
      </c>
      <c r="M953" s="62" t="str" cm="1">
        <f t="array" ref="M953">IF($B953=0,IF($E953=0,"",IF(INDEX(DMAV_Dienste!Q$6:Q$140,$E953)="","",INDEX(DMAV_Dienste!Q$6:Q$140,$E953))),IF(INDEX(DMAV_Modell!R$6:R$838,$B953)="","",INDEX(DMAV_Modell!R$6:R$838,$B953)))</f>
        <v>DMAVTYM_Topologie_V1_0</v>
      </c>
      <c r="N953" s="62" t="str" cm="1">
        <f t="array" ref="N953">IF($B953=0,IF($E953=0,"",IF(INDEX(DMAV_Dienste!T$6:T$140,$E953)="","",INDEX(DMAV_Dienste!T$6:T$140,$E953))),IF(INDEX(DMAV_Modell!U$6:U$838,$B953)="","",INDEX(DMAV_Modell!U$6:U$838,$B953)))</f>
        <v/>
      </c>
      <c r="O953" s="63" t="str" cm="1">
        <f t="array" aca="1" ref="O953" ca="1">IF(C953=0,IF(F953=0,"",HYPERLINK("#"&amp;RIGHT(CELL("adresse",OFFSET(DMAV_Dienste!$M$6,F953-1,0)),LEN(CELL("adresse",OFFSET(DMAV_Dienste!$M$6,F953-1,0)))-FIND("]",CELL("adresse",OFFSET(DMAV_Dienste!$M$6,F953-1,0)))),"Structure")),HYPERLINK("#"&amp;RIGHT(CELL("adresse",OFFSET(DMAV_Modell!$N$6,C953-1,0)),LEN(CELL("adresse",OFFSET(DMAV_Modell!$N$6,C953-1,0)))-FIND("]",CELL("adresse",OFFSET(DMAV_Modell!$N$6,C953-1,0)))),"Structure"))</f>
        <v/>
      </c>
      <c r="P953" s="64" t="str" cm="1">
        <f t="array" aca="1" ref="P953" ca="1">IF(D953=0,IF(G953=0,"",HYPERLINK("#"&amp;RIGHT(CELL("adresse",OFFSET(DMAV_Dienste!$M$6,G953-1,0)),LEN(CELL("adresse",OFFSET(DMAV_Dienste!$M$6,G953-1,0)))-FIND("]",CELL("adresse",OFFSET(DMAV_Dienste!$M$6,G953-1,0)))),"Substructure")),HYPERLINK("#"&amp;RIGHT(CELL("adresse",OFFSET(DMAV_Modell!$N$6,D953-1,0)),LEN(CELL("adresse",OFFSET(DMAV_Modell!$N$6,D953-1,0)))-FIND("]",CELL("adresse",OFFSET(DMAV_Modell!$N$6,D953-1,0)))),"Substructure"))</f>
        <v/>
      </c>
      <c r="R953" s="80"/>
      <c r="T953" s="93"/>
      <c r="U953" s="94"/>
      <c r="V953" s="95"/>
      <c r="W953" s="96"/>
      <c r="Y953" s="85"/>
      <c r="Z953" s="86"/>
      <c r="AA953" s="87"/>
      <c r="AB953" s="88"/>
      <c r="AD953" s="77"/>
      <c r="AF953" s="54" t="str" cm="1">
        <f t="array" aca="1" ref="AF953" ca="1">IF(H953=0,"",HYPERLINK("#"&amp;RIGHT(CELL("adresse",OFFSET('DM01-AV-CH'!$G$6,H953-1,0)),LEN(CELL("adresse",OFFSET('DM01-AV-CH'!$G$6,H953-1,0)))-FIND("]",CELL("adresse",OFFSET('DM01-AV-CH'!$G$6,H953-1,0)))),"Modell"))</f>
        <v/>
      </c>
      <c r="AG953" s="72" t="str" cm="1">
        <f t="array" ref="AG953">IF($H953=0,"",IF(INDEX('DM01-AV-CH'!G$6:G$834,$H953)="","",INDEX('DM01-AV-CH'!G$6:G$834,$H953)))</f>
        <v/>
      </c>
      <c r="AH953" s="73" t="str" cm="1">
        <f t="array" ref="AH953">IF($H953=0,"",IF(INDEX('DM01-AV-CH'!H$6:H$834,$H953)="","",INDEX('DM01-AV-CH'!H$6:H$834,$H953)))</f>
        <v/>
      </c>
      <c r="AI953" s="74" t="str" cm="1">
        <f t="array" ref="AI953">IF($H953=0,"",IF(INDEX('DM01-AV-CH'!I$6:I$834,$H953)="","",INDEX('DM01-AV-CH'!I$6:I$834,$H953)))</f>
        <v/>
      </c>
    </row>
    <row r="954" spans="1:35" x14ac:dyDescent="0.25">
      <c r="A954" s="57">
        <v>949</v>
      </c>
      <c r="B954" s="57">
        <f>IF($A954="","",IF(_xlfn.XLOOKUP($A954,Korrelation!$D$4:$D$1197,Korrelation!E$4:E$1197,"-",0)="-",0,MATCH(_xlfn.XLOOKUP($A954,Korrelation!$D$4:$D$1197,Korrelation!E$4:E$1197,"",0),DMAV_Modell!$G$6:$G$677,0)))</f>
        <v>549</v>
      </c>
      <c r="C954" s="57">
        <f>IF($A954="","",IF(_xlfn.XLOOKUP($A954,Korrelation!$D$4:$D$1197,Korrelation!F$4:F$1197,"-",0)="-",0,MATCH(_xlfn.XLOOKUP($A954,Korrelation!$D$4:$D$1197,Korrelation!F$4:F$1197,"",0),DMAV_Modell!$G$6:$G$677,0)))</f>
        <v>0</v>
      </c>
      <c r="D954" s="57">
        <f>IF($A954="","",IF(_xlfn.XLOOKUP($A954,Korrelation!$D$4:$D$1197,Korrelation!G$4:G$1197,"-",0)="-",0,MATCH(_xlfn.XLOOKUP($A954,Korrelation!$D$4:$D$1197,Korrelation!G$4:G$1197,"",0),DMAV_Modell!$G$6:$G$677,0)))</f>
        <v>0</v>
      </c>
      <c r="E954" s="57">
        <f>IF($A954="","",IF(_xlfn.XLOOKUP($A954,Korrelation!$D$4:$D$1197,Korrelation!H$4:H$1197,"-",0)="-",0,MATCH(_xlfn.XLOOKUP($A954,Korrelation!$D$4:$D$1197,Korrelation!H$4:H$1197,"",0),DMAV_Dienste!$F$6:$F$140,0)))</f>
        <v>0</v>
      </c>
      <c r="F954" s="57">
        <f>IF($A954="","",IF(_xlfn.XLOOKUP($A954,Korrelation!$D$4:$D$1197,Korrelation!I$4:I$1197,"-",0)="-",0,MATCH(_xlfn.XLOOKUP($A954,Korrelation!$D$4:$D$1197,Korrelation!I$4:I$1197,"",0),DMAV_Dienste!$F$6:$F$140,0)))</f>
        <v>0</v>
      </c>
      <c r="G954" s="57">
        <f>IF($A954="","",IF(_xlfn.XLOOKUP($A954,Korrelation!$D$4:$D$1197,Korrelation!J$4:J$1197,"-",0)="-",0,MATCH(_xlfn.XLOOKUP($A954,Korrelation!$D$4:$D$1197,Korrelation!J$4:J$1197,"",0),DMAV_Dienste!$F$6:$F$140,0)))</f>
        <v>0</v>
      </c>
      <c r="H954" s="57">
        <f>IF($A954="","",IF(_xlfn.XLOOKUP($A954,Korrelation!$D$4:$D$1197,Korrelation!K$4:K$1197,"-",0)="-",0,MATCH(_xlfn.XLOOKUP($A954,Korrelation!$D$4:$D$1197,Korrelation!K$4:K$1197,"",0),'DM01-AV-CH'!$A$6:$A$834,0)))</f>
        <v>0</v>
      </c>
      <c r="J954" s="54" t="str" cm="1">
        <f t="array" aca="1" ref="J954" ca="1">IF(B954=0,IF(E954=0,"",HYPERLINK("#"&amp;RIGHT(CELL("adresse",OFFSET(DMAV_Dienste!$M$6,E954-1,0)),LEN(CELL("adresse",OFFSET(DMAV_Dienste!$M$6,E954-1,0)))-FIND("]",CELL("adresse",OFFSET(DMAV_Dienste!$M$6,E954-1,0)))),"Dienst")),HYPERLINK("#"&amp;RIGHT(CELL("adresse",OFFSET(DMAV_Modell!$N$6,B954-1,0)),LEN(CELL("adresse",OFFSET(DMAV_Modell!$N$6,B954-1,0)))-FIND("]",CELL("adresse",OFFSET(DMAV_Modell!$N$6,B954-1,0)))),"Modell"))</f>
        <v>Modell</v>
      </c>
      <c r="K954" s="61" t="str" cm="1">
        <f t="array" ref="K954">IF($B954=0,IF($E954=0,"",IF(INDEX(DMAV_Dienste!P$6:P$140,$E954)="","",INDEX(DMAV_Dienste!P$6:P$140,$E954))),IF(INDEX(DMAV_Modell!Q$6:Q$838,$B954)="","",INDEX(DMAV_Modell!Q$6:Q$838,$B954)))</f>
        <v>IMPORTS</v>
      </c>
      <c r="L954" s="62" t="str" cm="1">
        <f t="array" ref="L954">IF($B954=0,IF($E954=0,"",IF(INDEX(DMAV_Dienste!O$6:O$140,$E954)="","",INDEX(DMAV_Dienste!O$6:O$140,$E954))),IF(INDEX(DMAV_Modell!P$6:P$838,$B954)="","",INDEX(DMAV_Modell!P$6:P$838,$B954)))</f>
        <v/>
      </c>
      <c r="M954" s="62" t="str" cm="1">
        <f t="array" ref="M954">IF($B954=0,IF($E954=0,"",IF(INDEX(DMAV_Dienste!Q$6:Q$140,$E954)="","",INDEX(DMAV_Dienste!Q$6:Q$140,$E954))),IF(INDEX(DMAV_Modell!R$6:R$838,$B954)="","",INDEX(DMAV_Modell!R$6:R$838,$B954)))</f>
        <v>DMAVTYM_Grafik_V1_0</v>
      </c>
      <c r="N954" s="62" t="str" cm="1">
        <f t="array" ref="N954">IF($B954=0,IF($E954=0,"",IF(INDEX(DMAV_Dienste!T$6:T$140,$E954)="","",INDEX(DMAV_Dienste!T$6:T$140,$E954))),IF(INDEX(DMAV_Modell!U$6:U$838,$B954)="","",INDEX(DMAV_Modell!U$6:U$838,$B954)))</f>
        <v/>
      </c>
      <c r="O954" s="63" t="str" cm="1">
        <f t="array" aca="1" ref="O954" ca="1">IF(C954=0,IF(F954=0,"",HYPERLINK("#"&amp;RIGHT(CELL("adresse",OFFSET(DMAV_Dienste!$M$6,F954-1,0)),LEN(CELL("adresse",OFFSET(DMAV_Dienste!$M$6,F954-1,0)))-FIND("]",CELL("adresse",OFFSET(DMAV_Dienste!$M$6,F954-1,0)))),"Structure")),HYPERLINK("#"&amp;RIGHT(CELL("adresse",OFFSET(DMAV_Modell!$N$6,C954-1,0)),LEN(CELL("adresse",OFFSET(DMAV_Modell!$N$6,C954-1,0)))-FIND("]",CELL("adresse",OFFSET(DMAV_Modell!$N$6,C954-1,0)))),"Structure"))</f>
        <v/>
      </c>
      <c r="P954" s="64" t="str" cm="1">
        <f t="array" aca="1" ref="P954" ca="1">IF(D954=0,IF(G954=0,"",HYPERLINK("#"&amp;RIGHT(CELL("adresse",OFFSET(DMAV_Dienste!$M$6,G954-1,0)),LEN(CELL("adresse",OFFSET(DMAV_Dienste!$M$6,G954-1,0)))-FIND("]",CELL("adresse",OFFSET(DMAV_Dienste!$M$6,G954-1,0)))),"Substructure")),HYPERLINK("#"&amp;RIGHT(CELL("adresse",OFFSET(DMAV_Modell!$N$6,D954-1,0)),LEN(CELL("adresse",OFFSET(DMAV_Modell!$N$6,D954-1,0)))-FIND("]",CELL("adresse",OFFSET(DMAV_Modell!$N$6,D954-1,0)))),"Substructure"))</f>
        <v/>
      </c>
      <c r="R954" s="80"/>
      <c r="T954" s="93"/>
      <c r="U954" s="94"/>
      <c r="V954" s="95"/>
      <c r="W954" s="96"/>
      <c r="Y954" s="85"/>
      <c r="Z954" s="86"/>
      <c r="AA954" s="87"/>
      <c r="AB954" s="88"/>
      <c r="AD954" s="77"/>
      <c r="AF954" s="54" t="str" cm="1">
        <f t="array" aca="1" ref="AF954" ca="1">IF(H954=0,"",HYPERLINK("#"&amp;RIGHT(CELL("adresse",OFFSET('DM01-AV-CH'!$G$6,H954-1,0)),LEN(CELL("adresse",OFFSET('DM01-AV-CH'!$G$6,H954-1,0)))-FIND("]",CELL("adresse",OFFSET('DM01-AV-CH'!$G$6,H954-1,0)))),"Modell"))</f>
        <v/>
      </c>
      <c r="AG954" s="72" t="str" cm="1">
        <f t="array" ref="AG954">IF($H954=0,"",IF(INDEX('DM01-AV-CH'!G$6:G$834,$H954)="","",INDEX('DM01-AV-CH'!G$6:G$834,$H954)))</f>
        <v/>
      </c>
      <c r="AH954" s="73" t="str" cm="1">
        <f t="array" ref="AH954">IF($H954=0,"",IF(INDEX('DM01-AV-CH'!H$6:H$834,$H954)="","",INDEX('DM01-AV-CH'!H$6:H$834,$H954)))</f>
        <v/>
      </c>
      <c r="AI954" s="74" t="str" cm="1">
        <f t="array" ref="AI954">IF($H954=0,"",IF(INDEX('DM01-AV-CH'!I$6:I$834,$H954)="","",INDEX('DM01-AV-CH'!I$6:I$834,$H954)))</f>
        <v/>
      </c>
    </row>
    <row r="955" spans="1:35" x14ac:dyDescent="0.25">
      <c r="A955" s="57">
        <v>950</v>
      </c>
      <c r="B955" s="57">
        <f>IF($A955="","",IF(_xlfn.XLOOKUP($A955,Korrelation!$D$4:$D$1197,Korrelation!E$4:E$1197,"-",0)="-",0,MATCH(_xlfn.XLOOKUP($A955,Korrelation!$D$4:$D$1197,Korrelation!E$4:E$1197,"",0),DMAV_Modell!$G$6:$G$677,0)))</f>
        <v>550</v>
      </c>
      <c r="C955" s="57">
        <f>IF($A955="","",IF(_xlfn.XLOOKUP($A955,Korrelation!$D$4:$D$1197,Korrelation!F$4:F$1197,"-",0)="-",0,MATCH(_xlfn.XLOOKUP($A955,Korrelation!$D$4:$D$1197,Korrelation!F$4:F$1197,"",0),DMAV_Modell!$G$6:$G$677,0)))</f>
        <v>0</v>
      </c>
      <c r="D955" s="57">
        <f>IF($A955="","",IF(_xlfn.XLOOKUP($A955,Korrelation!$D$4:$D$1197,Korrelation!G$4:G$1197,"-",0)="-",0,MATCH(_xlfn.XLOOKUP($A955,Korrelation!$D$4:$D$1197,Korrelation!G$4:G$1197,"",0),DMAV_Modell!$G$6:$G$677,0)))</f>
        <v>0</v>
      </c>
      <c r="E955" s="57">
        <f>IF($A955="","",IF(_xlfn.XLOOKUP($A955,Korrelation!$D$4:$D$1197,Korrelation!H$4:H$1197,"-",0)="-",0,MATCH(_xlfn.XLOOKUP($A955,Korrelation!$D$4:$D$1197,Korrelation!H$4:H$1197,"",0),DMAV_Dienste!$F$6:$F$140,0)))</f>
        <v>0</v>
      </c>
      <c r="F955" s="57">
        <f>IF($A955="","",IF(_xlfn.XLOOKUP($A955,Korrelation!$D$4:$D$1197,Korrelation!I$4:I$1197,"-",0)="-",0,MATCH(_xlfn.XLOOKUP($A955,Korrelation!$D$4:$D$1197,Korrelation!I$4:I$1197,"",0),DMAV_Dienste!$F$6:$F$140,0)))</f>
        <v>0</v>
      </c>
      <c r="G955" s="57">
        <f>IF($A955="","",IF(_xlfn.XLOOKUP($A955,Korrelation!$D$4:$D$1197,Korrelation!J$4:J$1197,"-",0)="-",0,MATCH(_xlfn.XLOOKUP($A955,Korrelation!$D$4:$D$1197,Korrelation!J$4:J$1197,"",0),DMAV_Dienste!$F$6:$F$140,0)))</f>
        <v>0</v>
      </c>
      <c r="H955" s="57">
        <f>IF($A955="","",IF(_xlfn.XLOOKUP($A955,Korrelation!$D$4:$D$1197,Korrelation!K$4:K$1197,"-",0)="-",0,MATCH(_xlfn.XLOOKUP($A955,Korrelation!$D$4:$D$1197,Korrelation!K$4:K$1197,"",0),'DM01-AV-CH'!$A$6:$A$834,0)))</f>
        <v>497</v>
      </c>
      <c r="J955" s="54" t="str" cm="1">
        <f t="array" aca="1" ref="J955" ca="1">IF(B955=0,IF(E955=0,"",HYPERLINK("#"&amp;RIGHT(CELL("adresse",OFFSET(DMAV_Dienste!$M$6,E955-1,0)),LEN(CELL("adresse",OFFSET(DMAV_Dienste!$M$6,E955-1,0)))-FIND("]",CELL("adresse",OFFSET(DMAV_Dienste!$M$6,E955-1,0)))),"Dienst")),HYPERLINK("#"&amp;RIGHT(CELL("adresse",OFFSET(DMAV_Modell!$N$6,B955-1,0)),LEN(CELL("adresse",OFFSET(DMAV_Modell!$N$6,B955-1,0)))-FIND("]",CELL("adresse",OFFSET(DMAV_Modell!$N$6,B955-1,0)))),"Modell"))</f>
        <v>Modell</v>
      </c>
      <c r="K955" s="61" t="str" cm="1">
        <f t="array" ref="K955">IF($B955=0,IF($E955=0,"",IF(INDEX(DMAV_Dienste!P$6:P$140,$E955)="","",INDEX(DMAV_Dienste!P$6:P$140,$E955))),IF(INDEX(DMAV_Modell!Q$6:Q$838,$B955)="","",INDEX(DMAV_Modell!Q$6:Q$838,$B955)))</f>
        <v>DOMAIN</v>
      </c>
      <c r="L955" s="62" t="str" cm="1">
        <f t="array" ref="L955">IF($B955=0,IF($E955=0,"",IF(INDEX(DMAV_Dienste!O$6:O$140,$E955)="","",INDEX(DMAV_Dienste!O$6:O$140,$E955))),IF(INDEX(DMAV_Modell!P$6:P$838,$B955)="","",INDEX(DMAV_Modell!P$6:P$838,$B955)))</f>
        <v>Rohrleitungen</v>
      </c>
      <c r="M955" s="62" t="str" cm="1">
        <f t="array" ref="M955">IF($B955=0,IF($E955=0,"",IF(INDEX(DMAV_Dienste!Q$6:Q$140,$E955)="","",INDEX(DMAV_Dienste!Q$6:Q$140,$E955))),IF(INDEX(DMAV_Modell!R$6:R$838,$B955)="","",INDEX(DMAV_Modell!R$6:R$838,$B955)))</f>
        <v>Medium</v>
      </c>
      <c r="N955" s="62" t="str" cm="1">
        <f t="array" ref="N955">IF($B955=0,IF($E955=0,"",IF(INDEX(DMAV_Dienste!T$6:T$140,$E955)="","",INDEX(DMAV_Dienste!T$6:T$140,$E955))),IF(INDEX(DMAV_Modell!U$6:U$838,$B955)="","",INDEX(DMAV_Modell!U$6:U$838,$B955)))</f>
        <v/>
      </c>
      <c r="O955" s="63" t="str" cm="1">
        <f t="array" aca="1" ref="O955" ca="1">IF(C955=0,IF(F955=0,"",HYPERLINK("#"&amp;RIGHT(CELL("adresse",OFFSET(DMAV_Dienste!$M$6,F955-1,0)),LEN(CELL("adresse",OFFSET(DMAV_Dienste!$M$6,F955-1,0)))-FIND("]",CELL("adresse",OFFSET(DMAV_Dienste!$M$6,F955-1,0)))),"Structure")),HYPERLINK("#"&amp;RIGHT(CELL("adresse",OFFSET(DMAV_Modell!$N$6,C955-1,0)),LEN(CELL("adresse",OFFSET(DMAV_Modell!$N$6,C955-1,0)))-FIND("]",CELL("adresse",OFFSET(DMAV_Modell!$N$6,C955-1,0)))),"Structure"))</f>
        <v/>
      </c>
      <c r="P955" s="64" t="str" cm="1">
        <f t="array" aca="1" ref="P955" ca="1">IF(D955=0,IF(G955=0,"",HYPERLINK("#"&amp;RIGHT(CELL("adresse",OFFSET(DMAV_Dienste!$M$6,G955-1,0)),LEN(CELL("adresse",OFFSET(DMAV_Dienste!$M$6,G955-1,0)))-FIND("]",CELL("adresse",OFFSET(DMAV_Dienste!$M$6,G955-1,0)))),"Substructure")),HYPERLINK("#"&amp;RIGHT(CELL("adresse",OFFSET(DMAV_Modell!$N$6,D955-1,0)),LEN(CELL("adresse",OFFSET(DMAV_Modell!$N$6,D955-1,0)))-FIND("]",CELL("adresse",OFFSET(DMAV_Modell!$N$6,D955-1,0)))),"Substructure"))</f>
        <v/>
      </c>
      <c r="R955" s="80"/>
      <c r="T955" s="93"/>
      <c r="U955" s="94"/>
      <c r="V955" s="95"/>
      <c r="W955" s="96"/>
      <c r="Y955" s="85"/>
      <c r="Z955" s="86"/>
      <c r="AA955" s="87"/>
      <c r="AB955" s="88"/>
      <c r="AD955" s="77"/>
      <c r="AF955" s="54" t="str" cm="1">
        <f t="array" aca="1" ref="AF955" ca="1">IF(H955=0,"",HYPERLINK("#"&amp;RIGHT(CELL("adresse",OFFSET('DM01-AV-CH'!$G$6,H955-1,0)),LEN(CELL("adresse",OFFSET('DM01-AV-CH'!$G$6,H955-1,0)))-FIND("]",CELL("adresse",OFFSET('DM01-AV-CH'!$G$6,H955-1,0)))),"Modell"))</f>
        <v>Modell</v>
      </c>
      <c r="AG955" s="72" t="str" cm="1">
        <f t="array" ref="AG955">IF($H955=0,"",IF(INDEX('DM01-AV-CH'!G$6:G$834,$H955)="","",INDEX('DM01-AV-CH'!G$6:G$834,$H955)))</f>
        <v>Rohrleitungen</v>
      </c>
      <c r="AH955" s="73" t="str" cm="1">
        <f t="array" ref="AH955">IF($H955=0,"",IF(INDEX('DM01-AV-CH'!H$6:H$834,$H955)="","",INDEX('DM01-AV-CH'!H$6:H$834,$H955)))</f>
        <v/>
      </c>
      <c r="AI955" s="74" t="str" cm="1">
        <f t="array" ref="AI955">IF($H955=0,"",IF(INDEX('DM01-AV-CH'!I$6:I$834,$H955)="","",INDEX('DM01-AV-CH'!I$6:I$834,$H955)))</f>
        <v>Medium</v>
      </c>
    </row>
    <row r="956" spans="1:35" x14ac:dyDescent="0.25">
      <c r="A956" s="57">
        <v>951</v>
      </c>
      <c r="B956" s="57">
        <f>IF($A956="","",IF(_xlfn.XLOOKUP($A956,Korrelation!$D$4:$D$1197,Korrelation!E$4:E$1197,"-",0)="-",0,MATCH(_xlfn.XLOOKUP($A956,Korrelation!$D$4:$D$1197,Korrelation!E$4:E$1197,"",0),DMAV_Modell!$G$6:$G$677,0)))</f>
        <v>551</v>
      </c>
      <c r="C956" s="57">
        <f>IF($A956="","",IF(_xlfn.XLOOKUP($A956,Korrelation!$D$4:$D$1197,Korrelation!F$4:F$1197,"-",0)="-",0,MATCH(_xlfn.XLOOKUP($A956,Korrelation!$D$4:$D$1197,Korrelation!F$4:F$1197,"",0),DMAV_Modell!$G$6:$G$677,0)))</f>
        <v>0</v>
      </c>
      <c r="D956" s="57">
        <f>IF($A956="","",IF(_xlfn.XLOOKUP($A956,Korrelation!$D$4:$D$1197,Korrelation!G$4:G$1197,"-",0)="-",0,MATCH(_xlfn.XLOOKUP($A956,Korrelation!$D$4:$D$1197,Korrelation!G$4:G$1197,"",0),DMAV_Modell!$G$6:$G$677,0)))</f>
        <v>0</v>
      </c>
      <c r="E956" s="57">
        <f>IF($A956="","",IF(_xlfn.XLOOKUP($A956,Korrelation!$D$4:$D$1197,Korrelation!H$4:H$1197,"-",0)="-",0,MATCH(_xlfn.XLOOKUP($A956,Korrelation!$D$4:$D$1197,Korrelation!H$4:H$1197,"",0),DMAV_Dienste!$F$6:$F$140,0)))</f>
        <v>0</v>
      </c>
      <c r="F956" s="57">
        <f>IF($A956="","",IF(_xlfn.XLOOKUP($A956,Korrelation!$D$4:$D$1197,Korrelation!I$4:I$1197,"-",0)="-",0,MATCH(_xlfn.XLOOKUP($A956,Korrelation!$D$4:$D$1197,Korrelation!I$4:I$1197,"",0),DMAV_Dienste!$F$6:$F$140,0)))</f>
        <v>0</v>
      </c>
      <c r="G956" s="57">
        <f>IF($A956="","",IF(_xlfn.XLOOKUP($A956,Korrelation!$D$4:$D$1197,Korrelation!J$4:J$1197,"-",0)="-",0,MATCH(_xlfn.XLOOKUP($A956,Korrelation!$D$4:$D$1197,Korrelation!J$4:J$1197,"",0),DMAV_Dienste!$F$6:$F$140,0)))</f>
        <v>0</v>
      </c>
      <c r="H956" s="57">
        <f>IF($A956="","",IF(_xlfn.XLOOKUP($A956,Korrelation!$D$4:$D$1197,Korrelation!K$4:K$1197,"-",0)="-",0,MATCH(_xlfn.XLOOKUP($A956,Korrelation!$D$4:$D$1197,Korrelation!K$4:K$1197,"",0),'DM01-AV-CH'!$A$6:$A$834,0)))</f>
        <v>498</v>
      </c>
      <c r="J956" s="54" t="str" cm="1">
        <f t="array" aca="1" ref="J956" ca="1">IF(B956=0,IF(E956=0,"",HYPERLINK("#"&amp;RIGHT(CELL("adresse",OFFSET(DMAV_Dienste!$M$6,E956-1,0)),LEN(CELL("adresse",OFFSET(DMAV_Dienste!$M$6,E956-1,0)))-FIND("]",CELL("adresse",OFFSET(DMAV_Dienste!$M$6,E956-1,0)))),"Dienst")),HYPERLINK("#"&amp;RIGHT(CELL("adresse",OFFSET(DMAV_Modell!$N$6,B956-1,0)),LEN(CELL("adresse",OFFSET(DMAV_Modell!$N$6,B956-1,0)))-FIND("]",CELL("adresse",OFFSET(DMAV_Modell!$N$6,B956-1,0)))),"Modell"))</f>
        <v>Modell</v>
      </c>
      <c r="K956" s="61" t="str" cm="1">
        <f t="array" ref="K956">IF($B956=0,IF($E956=0,"",IF(INDEX(DMAV_Dienste!P$6:P$140,$E956)="","",INDEX(DMAV_Dienste!P$6:P$140,$E956))),IF(INDEX(DMAV_Modell!Q$6:Q$838,$B956)="","",INDEX(DMAV_Modell!Q$6:Q$838,$B956)))</f>
        <v>DOMAIN</v>
      </c>
      <c r="L956" s="62" t="str" cm="1">
        <f t="array" ref="L956">IF($B956=0,IF($E956=0,"",IF(INDEX(DMAV_Dienste!O$6:O$140,$E956)="","",INDEX(DMAV_Dienste!O$6:O$140,$E956))),IF(INDEX(DMAV_Modell!P$6:P$838,$B956)="","",INDEX(DMAV_Modell!P$6:P$838,$B956)))</f>
        <v>Rohrleitungen</v>
      </c>
      <c r="M956" s="62" t="str" cm="1">
        <f t="array" ref="M956">IF($B956=0,IF($E956=0,"",IF(INDEX(DMAV_Dienste!Q$6:Q$140,$E956)="","",INDEX(DMAV_Dienste!Q$6:Q$140,$E956))),IF(INDEX(DMAV_Modell!R$6:R$838,$B956)="","",INDEX(DMAV_Modell!R$6:R$838,$B956)))</f>
        <v>Medium</v>
      </c>
      <c r="N956" s="62" t="str" cm="1">
        <f t="array" ref="N956">IF($B956=0,IF($E956=0,"",IF(INDEX(DMAV_Dienste!T$6:T$140,$E956)="","",INDEX(DMAV_Dienste!T$6:T$140,$E956))),IF(INDEX(DMAV_Modell!U$6:U$838,$B956)="","",INDEX(DMAV_Modell!U$6:U$838,$B956)))</f>
        <v/>
      </c>
      <c r="O956" s="63" t="str" cm="1">
        <f t="array" aca="1" ref="O956" ca="1">IF(C956=0,IF(F956=0,"",HYPERLINK("#"&amp;RIGHT(CELL("adresse",OFFSET(DMAV_Dienste!$M$6,F956-1,0)),LEN(CELL("adresse",OFFSET(DMAV_Dienste!$M$6,F956-1,0)))-FIND("]",CELL("adresse",OFFSET(DMAV_Dienste!$M$6,F956-1,0)))),"Structure")),HYPERLINK("#"&amp;RIGHT(CELL("adresse",OFFSET(DMAV_Modell!$N$6,C956-1,0)),LEN(CELL("adresse",OFFSET(DMAV_Modell!$N$6,C956-1,0)))-FIND("]",CELL("adresse",OFFSET(DMAV_Modell!$N$6,C956-1,0)))),"Structure"))</f>
        <v/>
      </c>
      <c r="P956" s="64" t="str" cm="1">
        <f t="array" aca="1" ref="P956" ca="1">IF(D956=0,IF(G956=0,"",HYPERLINK("#"&amp;RIGHT(CELL("adresse",OFFSET(DMAV_Dienste!$M$6,G956-1,0)),LEN(CELL("adresse",OFFSET(DMAV_Dienste!$M$6,G956-1,0)))-FIND("]",CELL("adresse",OFFSET(DMAV_Dienste!$M$6,G956-1,0)))),"Substructure")),HYPERLINK("#"&amp;RIGHT(CELL("adresse",OFFSET(DMAV_Modell!$N$6,D956-1,0)),LEN(CELL("adresse",OFFSET(DMAV_Modell!$N$6,D956-1,0)))-FIND("]",CELL("adresse",OFFSET(DMAV_Modell!$N$6,D956-1,0)))),"Substructure"))</f>
        <v/>
      </c>
      <c r="R956" s="80"/>
      <c r="T956" s="93"/>
      <c r="U956" s="94"/>
      <c r="V956" s="95"/>
      <c r="W956" s="96"/>
      <c r="Y956" s="85"/>
      <c r="Z956" s="86"/>
      <c r="AA956" s="87"/>
      <c r="AB956" s="88"/>
      <c r="AD956" s="77"/>
      <c r="AF956" s="54" t="str" cm="1">
        <f t="array" aca="1" ref="AF956" ca="1">IF(H956=0,"",HYPERLINK("#"&amp;RIGHT(CELL("adresse",OFFSET('DM01-AV-CH'!$G$6,H956-1,0)),LEN(CELL("adresse",OFFSET('DM01-AV-CH'!$G$6,H956-1,0)))-FIND("]",CELL("adresse",OFFSET('DM01-AV-CH'!$G$6,H956-1,0)))),"Modell"))</f>
        <v>Modell</v>
      </c>
      <c r="AG956" s="72" t="str" cm="1">
        <f t="array" ref="AG956">IF($H956=0,"",IF(INDEX('DM01-AV-CH'!G$6:G$834,$H956)="","",INDEX('DM01-AV-CH'!G$6:G$834,$H956)))</f>
        <v>Rohrleitungen</v>
      </c>
      <c r="AH956" s="73" t="str" cm="1">
        <f t="array" ref="AH956">IF($H956=0,"",IF(INDEX('DM01-AV-CH'!H$6:H$834,$H956)="","",INDEX('DM01-AV-CH'!H$6:H$834,$H956)))</f>
        <v/>
      </c>
      <c r="AI956" s="74" t="str" cm="1">
        <f t="array" ref="AI956">IF($H956=0,"",IF(INDEX('DM01-AV-CH'!I$6:I$834,$H956)="","",INDEX('DM01-AV-CH'!I$6:I$834,$H956)))</f>
        <v>Medium</v>
      </c>
    </row>
    <row r="957" spans="1:35" x14ac:dyDescent="0.25">
      <c r="A957" s="57">
        <v>952</v>
      </c>
      <c r="B957" s="57">
        <f>IF($A957="","",IF(_xlfn.XLOOKUP($A957,Korrelation!$D$4:$D$1197,Korrelation!E$4:E$1197,"-",0)="-",0,MATCH(_xlfn.XLOOKUP($A957,Korrelation!$D$4:$D$1197,Korrelation!E$4:E$1197,"",0),DMAV_Modell!$G$6:$G$677,0)))</f>
        <v>552</v>
      </c>
      <c r="C957" s="57">
        <f>IF($A957="","",IF(_xlfn.XLOOKUP($A957,Korrelation!$D$4:$D$1197,Korrelation!F$4:F$1197,"-",0)="-",0,MATCH(_xlfn.XLOOKUP($A957,Korrelation!$D$4:$D$1197,Korrelation!F$4:F$1197,"",0),DMAV_Modell!$G$6:$G$677,0)))</f>
        <v>0</v>
      </c>
      <c r="D957" s="57">
        <f>IF($A957="","",IF(_xlfn.XLOOKUP($A957,Korrelation!$D$4:$D$1197,Korrelation!G$4:G$1197,"-",0)="-",0,MATCH(_xlfn.XLOOKUP($A957,Korrelation!$D$4:$D$1197,Korrelation!G$4:G$1197,"",0),DMAV_Modell!$G$6:$G$677,0)))</f>
        <v>0</v>
      </c>
      <c r="E957" s="57">
        <f>IF($A957="","",IF(_xlfn.XLOOKUP($A957,Korrelation!$D$4:$D$1197,Korrelation!H$4:H$1197,"-",0)="-",0,MATCH(_xlfn.XLOOKUP($A957,Korrelation!$D$4:$D$1197,Korrelation!H$4:H$1197,"",0),DMAV_Dienste!$F$6:$F$140,0)))</f>
        <v>0</v>
      </c>
      <c r="F957" s="57">
        <f>IF($A957="","",IF(_xlfn.XLOOKUP($A957,Korrelation!$D$4:$D$1197,Korrelation!I$4:I$1197,"-",0)="-",0,MATCH(_xlfn.XLOOKUP($A957,Korrelation!$D$4:$D$1197,Korrelation!I$4:I$1197,"",0),DMAV_Dienste!$F$6:$F$140,0)))</f>
        <v>0</v>
      </c>
      <c r="G957" s="57">
        <f>IF($A957="","",IF(_xlfn.XLOOKUP($A957,Korrelation!$D$4:$D$1197,Korrelation!J$4:J$1197,"-",0)="-",0,MATCH(_xlfn.XLOOKUP($A957,Korrelation!$D$4:$D$1197,Korrelation!J$4:J$1197,"",0),DMAV_Dienste!$F$6:$F$140,0)))</f>
        <v>0</v>
      </c>
      <c r="H957" s="57">
        <f>IF($A957="","",IF(_xlfn.XLOOKUP($A957,Korrelation!$D$4:$D$1197,Korrelation!K$4:K$1197,"-",0)="-",0,MATCH(_xlfn.XLOOKUP($A957,Korrelation!$D$4:$D$1197,Korrelation!K$4:K$1197,"",0),'DM01-AV-CH'!$A$6:$A$834,0)))</f>
        <v>499</v>
      </c>
      <c r="J957" s="54" t="str" cm="1">
        <f t="array" aca="1" ref="J957" ca="1">IF(B957=0,IF(E957=0,"",HYPERLINK("#"&amp;RIGHT(CELL("adresse",OFFSET(DMAV_Dienste!$M$6,E957-1,0)),LEN(CELL("adresse",OFFSET(DMAV_Dienste!$M$6,E957-1,0)))-FIND("]",CELL("adresse",OFFSET(DMAV_Dienste!$M$6,E957-1,0)))),"Dienst")),HYPERLINK("#"&amp;RIGHT(CELL("adresse",OFFSET(DMAV_Modell!$N$6,B957-1,0)),LEN(CELL("adresse",OFFSET(DMAV_Modell!$N$6,B957-1,0)))-FIND("]",CELL("adresse",OFFSET(DMAV_Modell!$N$6,B957-1,0)))),"Modell"))</f>
        <v>Modell</v>
      </c>
      <c r="K957" s="61" t="str" cm="1">
        <f t="array" ref="K957">IF($B957=0,IF($E957=0,"",IF(INDEX(DMAV_Dienste!P$6:P$140,$E957)="","",INDEX(DMAV_Dienste!P$6:P$140,$E957))),IF(INDEX(DMAV_Modell!Q$6:Q$838,$B957)="","",INDEX(DMAV_Modell!Q$6:Q$838,$B957)))</f>
        <v>DOMAIN</v>
      </c>
      <c r="L957" s="62" t="str" cm="1">
        <f t="array" ref="L957">IF($B957=0,IF($E957=0,"",IF(INDEX(DMAV_Dienste!O$6:O$140,$E957)="","",INDEX(DMAV_Dienste!O$6:O$140,$E957))),IF(INDEX(DMAV_Modell!P$6:P$838,$B957)="","",INDEX(DMAV_Modell!P$6:P$838,$B957)))</f>
        <v>Rohrleitungen</v>
      </c>
      <c r="M957" s="62" t="str" cm="1">
        <f t="array" ref="M957">IF($B957=0,IF($E957=0,"",IF(INDEX(DMAV_Dienste!Q$6:Q$140,$E957)="","",INDEX(DMAV_Dienste!Q$6:Q$140,$E957))),IF(INDEX(DMAV_Modell!R$6:R$838,$B957)="","",INDEX(DMAV_Modell!R$6:R$838,$B957)))</f>
        <v>Medium</v>
      </c>
      <c r="N957" s="62" t="str" cm="1">
        <f t="array" ref="N957">IF($B957=0,IF($E957=0,"",IF(INDEX(DMAV_Dienste!T$6:T$140,$E957)="","",INDEX(DMAV_Dienste!T$6:T$140,$E957))),IF(INDEX(DMAV_Modell!U$6:U$838,$B957)="","",INDEX(DMAV_Modell!U$6:U$838,$B957)))</f>
        <v/>
      </c>
      <c r="O957" s="63" t="str" cm="1">
        <f t="array" aca="1" ref="O957" ca="1">IF(C957=0,IF(F957=0,"",HYPERLINK("#"&amp;RIGHT(CELL("adresse",OFFSET(DMAV_Dienste!$M$6,F957-1,0)),LEN(CELL("adresse",OFFSET(DMAV_Dienste!$M$6,F957-1,0)))-FIND("]",CELL("adresse",OFFSET(DMAV_Dienste!$M$6,F957-1,0)))),"Structure")),HYPERLINK("#"&amp;RIGHT(CELL("adresse",OFFSET(DMAV_Modell!$N$6,C957-1,0)),LEN(CELL("adresse",OFFSET(DMAV_Modell!$N$6,C957-1,0)))-FIND("]",CELL("adresse",OFFSET(DMAV_Modell!$N$6,C957-1,0)))),"Structure"))</f>
        <v/>
      </c>
      <c r="P957" s="64" t="str" cm="1">
        <f t="array" aca="1" ref="P957" ca="1">IF(D957=0,IF(G957=0,"",HYPERLINK("#"&amp;RIGHT(CELL("adresse",OFFSET(DMAV_Dienste!$M$6,G957-1,0)),LEN(CELL("adresse",OFFSET(DMAV_Dienste!$M$6,G957-1,0)))-FIND("]",CELL("adresse",OFFSET(DMAV_Dienste!$M$6,G957-1,0)))),"Substructure")),HYPERLINK("#"&amp;RIGHT(CELL("adresse",OFFSET(DMAV_Modell!$N$6,D957-1,0)),LEN(CELL("adresse",OFFSET(DMAV_Modell!$N$6,D957-1,0)))-FIND("]",CELL("adresse",OFFSET(DMAV_Modell!$N$6,D957-1,0)))),"Substructure"))</f>
        <v/>
      </c>
      <c r="R957" s="80"/>
      <c r="T957" s="93"/>
      <c r="U957" s="94"/>
      <c r="V957" s="95"/>
      <c r="W957" s="96"/>
      <c r="Y957" s="85"/>
      <c r="Z957" s="86"/>
      <c r="AA957" s="87"/>
      <c r="AB957" s="88"/>
      <c r="AD957" s="77"/>
      <c r="AF957" s="54" t="str" cm="1">
        <f t="array" aca="1" ref="AF957" ca="1">IF(H957=0,"",HYPERLINK("#"&amp;RIGHT(CELL("adresse",OFFSET('DM01-AV-CH'!$G$6,H957-1,0)),LEN(CELL("adresse",OFFSET('DM01-AV-CH'!$G$6,H957-1,0)))-FIND("]",CELL("adresse",OFFSET('DM01-AV-CH'!$G$6,H957-1,0)))),"Modell"))</f>
        <v>Modell</v>
      </c>
      <c r="AG957" s="72" t="str" cm="1">
        <f t="array" ref="AG957">IF($H957=0,"",IF(INDEX('DM01-AV-CH'!G$6:G$834,$H957)="","",INDEX('DM01-AV-CH'!G$6:G$834,$H957)))</f>
        <v>Rohrleitungen</v>
      </c>
      <c r="AH957" s="73" t="str" cm="1">
        <f t="array" ref="AH957">IF($H957=0,"",IF(INDEX('DM01-AV-CH'!H$6:H$834,$H957)="","",INDEX('DM01-AV-CH'!H$6:H$834,$H957)))</f>
        <v/>
      </c>
      <c r="AI957" s="74" t="str" cm="1">
        <f t="array" ref="AI957">IF($H957=0,"",IF(INDEX('DM01-AV-CH'!I$6:I$834,$H957)="","",INDEX('DM01-AV-CH'!I$6:I$834,$H957)))</f>
        <v>Medium</v>
      </c>
    </row>
    <row r="958" spans="1:35" x14ac:dyDescent="0.25">
      <c r="A958" s="57">
        <v>953</v>
      </c>
      <c r="B958" s="57">
        <f>IF($A958="","",IF(_xlfn.XLOOKUP($A958,Korrelation!$D$4:$D$1197,Korrelation!E$4:E$1197,"-",0)="-",0,MATCH(_xlfn.XLOOKUP($A958,Korrelation!$D$4:$D$1197,Korrelation!E$4:E$1197,"",0),DMAV_Modell!$G$6:$G$677,0)))</f>
        <v>553</v>
      </c>
      <c r="C958" s="57">
        <f>IF($A958="","",IF(_xlfn.XLOOKUP($A958,Korrelation!$D$4:$D$1197,Korrelation!F$4:F$1197,"-",0)="-",0,MATCH(_xlfn.XLOOKUP($A958,Korrelation!$D$4:$D$1197,Korrelation!F$4:F$1197,"",0),DMAV_Modell!$G$6:$G$677,0)))</f>
        <v>0</v>
      </c>
      <c r="D958" s="57">
        <f>IF($A958="","",IF(_xlfn.XLOOKUP($A958,Korrelation!$D$4:$D$1197,Korrelation!G$4:G$1197,"-",0)="-",0,MATCH(_xlfn.XLOOKUP($A958,Korrelation!$D$4:$D$1197,Korrelation!G$4:G$1197,"",0),DMAV_Modell!$G$6:$G$677,0)))</f>
        <v>0</v>
      </c>
      <c r="E958" s="57">
        <f>IF($A958="","",IF(_xlfn.XLOOKUP($A958,Korrelation!$D$4:$D$1197,Korrelation!H$4:H$1197,"-",0)="-",0,MATCH(_xlfn.XLOOKUP($A958,Korrelation!$D$4:$D$1197,Korrelation!H$4:H$1197,"",0),DMAV_Dienste!$F$6:$F$140,0)))</f>
        <v>0</v>
      </c>
      <c r="F958" s="57">
        <f>IF($A958="","",IF(_xlfn.XLOOKUP($A958,Korrelation!$D$4:$D$1197,Korrelation!I$4:I$1197,"-",0)="-",0,MATCH(_xlfn.XLOOKUP($A958,Korrelation!$D$4:$D$1197,Korrelation!I$4:I$1197,"",0),DMAV_Dienste!$F$6:$F$140,0)))</f>
        <v>0</v>
      </c>
      <c r="G958" s="57">
        <f>IF($A958="","",IF(_xlfn.XLOOKUP($A958,Korrelation!$D$4:$D$1197,Korrelation!J$4:J$1197,"-",0)="-",0,MATCH(_xlfn.XLOOKUP($A958,Korrelation!$D$4:$D$1197,Korrelation!J$4:J$1197,"",0),DMAV_Dienste!$F$6:$F$140,0)))</f>
        <v>0</v>
      </c>
      <c r="H958" s="57">
        <f>IF($A958="","",IF(_xlfn.XLOOKUP($A958,Korrelation!$D$4:$D$1197,Korrelation!K$4:K$1197,"-",0)="-",0,MATCH(_xlfn.XLOOKUP($A958,Korrelation!$D$4:$D$1197,Korrelation!K$4:K$1197,"",0),'DM01-AV-CH'!$A$6:$A$834,0)))</f>
        <v>500</v>
      </c>
      <c r="J958" s="54" t="str" cm="1">
        <f t="array" aca="1" ref="J958" ca="1">IF(B958=0,IF(E958=0,"",HYPERLINK("#"&amp;RIGHT(CELL("adresse",OFFSET(DMAV_Dienste!$M$6,E958-1,0)),LEN(CELL("adresse",OFFSET(DMAV_Dienste!$M$6,E958-1,0)))-FIND("]",CELL("adresse",OFFSET(DMAV_Dienste!$M$6,E958-1,0)))),"Dienst")),HYPERLINK("#"&amp;RIGHT(CELL("adresse",OFFSET(DMAV_Modell!$N$6,B958-1,0)),LEN(CELL("adresse",OFFSET(DMAV_Modell!$N$6,B958-1,0)))-FIND("]",CELL("adresse",OFFSET(DMAV_Modell!$N$6,B958-1,0)))),"Modell"))</f>
        <v>Modell</v>
      </c>
      <c r="K958" s="61" t="str" cm="1">
        <f t="array" ref="K958">IF($B958=0,IF($E958=0,"",IF(INDEX(DMAV_Dienste!P$6:P$140,$E958)="","",INDEX(DMAV_Dienste!P$6:P$140,$E958))),IF(INDEX(DMAV_Modell!Q$6:Q$838,$B958)="","",INDEX(DMAV_Modell!Q$6:Q$838,$B958)))</f>
        <v>CLASS</v>
      </c>
      <c r="L958" s="62" t="str" cm="1">
        <f t="array" ref="L958">IF($B958=0,IF($E958=0,"",IF(INDEX(DMAV_Dienste!O$6:O$140,$E958)="","",INDEX(DMAV_Dienste!O$6:O$140,$E958))),IF(INDEX(DMAV_Modell!P$6:P$838,$B958)="","",INDEX(DMAV_Modell!P$6:P$838,$B958)))</f>
        <v>Rohrleitungen</v>
      </c>
      <c r="M958" s="62" t="str" cm="1">
        <f t="array" ref="M958">IF($B958=0,IF($E958=0,"",IF(INDEX(DMAV_Dienste!Q$6:Q$140,$E958)="","",INDEX(DMAV_Dienste!Q$6:Q$140,$E958))),IF(INDEX(DMAV_Modell!R$6:R$838,$B958)="","",INDEX(DMAV_Modell!R$6:R$838,$B958)))</f>
        <v>RLNachfuehrung</v>
      </c>
      <c r="N958" s="62" t="str" cm="1">
        <f t="array" ref="N958">IF($B958=0,IF($E958=0,"",IF(INDEX(DMAV_Dienste!T$6:T$140,$E958)="","",INDEX(DMAV_Dienste!T$6:T$140,$E958))),IF(INDEX(DMAV_Modell!U$6:U$838,$B958)="","",INDEX(DMAV_Modell!U$6:U$838,$B958)))</f>
        <v>NBIdent</v>
      </c>
      <c r="O958" s="63" t="str" cm="1">
        <f t="array" aca="1" ref="O958" ca="1">IF(C958=0,IF(F958=0,"",HYPERLINK("#"&amp;RIGHT(CELL("adresse",OFFSET(DMAV_Dienste!$M$6,F958-1,0)),LEN(CELL("adresse",OFFSET(DMAV_Dienste!$M$6,F958-1,0)))-FIND("]",CELL("adresse",OFFSET(DMAV_Dienste!$M$6,F958-1,0)))),"Structure")),HYPERLINK("#"&amp;RIGHT(CELL("adresse",OFFSET(DMAV_Modell!$N$6,C958-1,0)),LEN(CELL("adresse",OFFSET(DMAV_Modell!$N$6,C958-1,0)))-FIND("]",CELL("adresse",OFFSET(DMAV_Modell!$N$6,C958-1,0)))),"Structure"))</f>
        <v/>
      </c>
      <c r="P958" s="64" t="str" cm="1">
        <f t="array" aca="1" ref="P958" ca="1">IF(D958=0,IF(G958=0,"",HYPERLINK("#"&amp;RIGHT(CELL("adresse",OFFSET(DMAV_Dienste!$M$6,G958-1,0)),LEN(CELL("adresse",OFFSET(DMAV_Dienste!$M$6,G958-1,0)))-FIND("]",CELL("adresse",OFFSET(DMAV_Dienste!$M$6,G958-1,0)))),"Substructure")),HYPERLINK("#"&amp;RIGHT(CELL("adresse",OFFSET(DMAV_Modell!$N$6,D958-1,0)),LEN(CELL("adresse",OFFSET(DMAV_Modell!$N$6,D958-1,0)))-FIND("]",CELL("adresse",OFFSET(DMAV_Modell!$N$6,D958-1,0)))),"Substructure"))</f>
        <v/>
      </c>
      <c r="R958" s="80"/>
      <c r="T958" s="93"/>
      <c r="U958" s="94"/>
      <c r="V958" s="95"/>
      <c r="W958" s="96"/>
      <c r="Y958" s="85"/>
      <c r="Z958" s="86"/>
      <c r="AA958" s="87"/>
      <c r="AB958" s="88"/>
      <c r="AD958" s="77"/>
      <c r="AF958" s="54" t="str" cm="1">
        <f t="array" aca="1" ref="AF958" ca="1">IF(H958=0,"",HYPERLINK("#"&amp;RIGHT(CELL("adresse",OFFSET('DM01-AV-CH'!$G$6,H958-1,0)),LEN(CELL("adresse",OFFSET('DM01-AV-CH'!$G$6,H958-1,0)))-FIND("]",CELL("adresse",OFFSET('DM01-AV-CH'!$G$6,H958-1,0)))),"Modell"))</f>
        <v>Modell</v>
      </c>
      <c r="AG958" s="72" t="str" cm="1">
        <f t="array" ref="AG958">IF($H958=0,"",IF(INDEX('DM01-AV-CH'!G$6:G$834,$H958)="","",INDEX('DM01-AV-CH'!G$6:G$834,$H958)))</f>
        <v>Rohrleitungen</v>
      </c>
      <c r="AH958" s="73" t="str" cm="1">
        <f t="array" ref="AH958">IF($H958=0,"",IF(INDEX('DM01-AV-CH'!H$6:H$834,$H958)="","",INDEX('DM01-AV-CH'!H$6:H$834,$H958)))</f>
        <v>RLNachfuehrung</v>
      </c>
      <c r="AI958" s="74" t="str" cm="1">
        <f t="array" ref="AI958">IF($H958=0,"",IF(INDEX('DM01-AV-CH'!I$6:I$834,$H958)="","",INDEX('DM01-AV-CH'!I$6:I$834,$H958)))</f>
        <v>NBIdent</v>
      </c>
    </row>
    <row r="959" spans="1:35" x14ac:dyDescent="0.25">
      <c r="A959" s="57">
        <v>954</v>
      </c>
      <c r="B959" s="57">
        <f>IF($A959="","",IF(_xlfn.XLOOKUP($A959,Korrelation!$D$4:$D$1197,Korrelation!E$4:E$1197,"-",0)="-",0,MATCH(_xlfn.XLOOKUP($A959,Korrelation!$D$4:$D$1197,Korrelation!E$4:E$1197,"",0),DMAV_Modell!$G$6:$G$677,0)))</f>
        <v>554</v>
      </c>
      <c r="C959" s="57">
        <f>IF($A959="","",IF(_xlfn.XLOOKUP($A959,Korrelation!$D$4:$D$1197,Korrelation!F$4:F$1197,"-",0)="-",0,MATCH(_xlfn.XLOOKUP($A959,Korrelation!$D$4:$D$1197,Korrelation!F$4:F$1197,"",0),DMAV_Modell!$G$6:$G$677,0)))</f>
        <v>0</v>
      </c>
      <c r="D959" s="57">
        <f>IF($A959="","",IF(_xlfn.XLOOKUP($A959,Korrelation!$D$4:$D$1197,Korrelation!G$4:G$1197,"-",0)="-",0,MATCH(_xlfn.XLOOKUP($A959,Korrelation!$D$4:$D$1197,Korrelation!G$4:G$1197,"",0),DMAV_Modell!$G$6:$G$677,0)))</f>
        <v>0</v>
      </c>
      <c r="E959" s="57">
        <f>IF($A959="","",IF(_xlfn.XLOOKUP($A959,Korrelation!$D$4:$D$1197,Korrelation!H$4:H$1197,"-",0)="-",0,MATCH(_xlfn.XLOOKUP($A959,Korrelation!$D$4:$D$1197,Korrelation!H$4:H$1197,"",0),DMAV_Dienste!$F$6:$F$140,0)))</f>
        <v>0</v>
      </c>
      <c r="F959" s="57">
        <f>IF($A959="","",IF(_xlfn.XLOOKUP($A959,Korrelation!$D$4:$D$1197,Korrelation!I$4:I$1197,"-",0)="-",0,MATCH(_xlfn.XLOOKUP($A959,Korrelation!$D$4:$D$1197,Korrelation!I$4:I$1197,"",0),DMAV_Dienste!$F$6:$F$140,0)))</f>
        <v>0</v>
      </c>
      <c r="G959" s="57">
        <f>IF($A959="","",IF(_xlfn.XLOOKUP($A959,Korrelation!$D$4:$D$1197,Korrelation!J$4:J$1197,"-",0)="-",0,MATCH(_xlfn.XLOOKUP($A959,Korrelation!$D$4:$D$1197,Korrelation!J$4:J$1197,"",0),DMAV_Dienste!$F$6:$F$140,0)))</f>
        <v>0</v>
      </c>
      <c r="H959" s="57">
        <f>IF($A959="","",IF(_xlfn.XLOOKUP($A959,Korrelation!$D$4:$D$1197,Korrelation!K$4:K$1197,"-",0)="-",0,MATCH(_xlfn.XLOOKUP($A959,Korrelation!$D$4:$D$1197,Korrelation!K$4:K$1197,"",0),'DM01-AV-CH'!$A$6:$A$834,0)))</f>
        <v>501</v>
      </c>
      <c r="J959" s="54" t="str" cm="1">
        <f t="array" aca="1" ref="J959" ca="1">IF(B959=0,IF(E959=0,"",HYPERLINK("#"&amp;RIGHT(CELL("adresse",OFFSET(DMAV_Dienste!$M$6,E959-1,0)),LEN(CELL("adresse",OFFSET(DMAV_Dienste!$M$6,E959-1,0)))-FIND("]",CELL("adresse",OFFSET(DMAV_Dienste!$M$6,E959-1,0)))),"Dienst")),HYPERLINK("#"&amp;RIGHT(CELL("adresse",OFFSET(DMAV_Modell!$N$6,B959-1,0)),LEN(CELL("adresse",OFFSET(DMAV_Modell!$N$6,B959-1,0)))-FIND("]",CELL("adresse",OFFSET(DMAV_Modell!$N$6,B959-1,0)))),"Modell"))</f>
        <v>Modell</v>
      </c>
      <c r="K959" s="61" t="str" cm="1">
        <f t="array" ref="K959">IF($B959=0,IF($E959=0,"",IF(INDEX(DMAV_Dienste!P$6:P$140,$E959)="","",INDEX(DMAV_Dienste!P$6:P$140,$E959))),IF(INDEX(DMAV_Modell!Q$6:Q$838,$B959)="","",INDEX(DMAV_Modell!Q$6:Q$838,$B959)))</f>
        <v>CLASS</v>
      </c>
      <c r="L959" s="62" t="str" cm="1">
        <f t="array" ref="L959">IF($B959=0,IF($E959=0,"",IF(INDEX(DMAV_Dienste!O$6:O$140,$E959)="","",INDEX(DMAV_Dienste!O$6:O$140,$E959))),IF(INDEX(DMAV_Modell!P$6:P$838,$B959)="","",INDEX(DMAV_Modell!P$6:P$838,$B959)))</f>
        <v>Rohrleitungen</v>
      </c>
      <c r="M959" s="62" t="str" cm="1">
        <f t="array" ref="M959">IF($B959=0,IF($E959=0,"",IF(INDEX(DMAV_Dienste!Q$6:Q$140,$E959)="","",INDEX(DMAV_Dienste!Q$6:Q$140,$E959))),IF(INDEX(DMAV_Modell!R$6:R$838,$B959)="","",INDEX(DMAV_Modell!R$6:R$838,$B959)))</f>
        <v>RLNachfuehrung</v>
      </c>
      <c r="N959" s="62" t="str" cm="1">
        <f t="array" ref="N959">IF($B959=0,IF($E959=0,"",IF(INDEX(DMAV_Dienste!T$6:T$140,$E959)="","",INDEX(DMAV_Dienste!T$6:T$140,$E959))),IF(INDEX(DMAV_Modell!U$6:U$838,$B959)="","",INDEX(DMAV_Modell!U$6:U$838,$B959)))</f>
        <v>Identifikator</v>
      </c>
      <c r="O959" s="63" t="str" cm="1">
        <f t="array" aca="1" ref="O959" ca="1">IF(C959=0,IF(F959=0,"",HYPERLINK("#"&amp;RIGHT(CELL("adresse",OFFSET(DMAV_Dienste!$M$6,F959-1,0)),LEN(CELL("adresse",OFFSET(DMAV_Dienste!$M$6,F959-1,0)))-FIND("]",CELL("adresse",OFFSET(DMAV_Dienste!$M$6,F959-1,0)))),"Structure")),HYPERLINK("#"&amp;RIGHT(CELL("adresse",OFFSET(DMAV_Modell!$N$6,C959-1,0)),LEN(CELL("adresse",OFFSET(DMAV_Modell!$N$6,C959-1,0)))-FIND("]",CELL("adresse",OFFSET(DMAV_Modell!$N$6,C959-1,0)))),"Structure"))</f>
        <v/>
      </c>
      <c r="P959" s="64" t="str" cm="1">
        <f t="array" aca="1" ref="P959" ca="1">IF(D959=0,IF(G959=0,"",HYPERLINK("#"&amp;RIGHT(CELL("adresse",OFFSET(DMAV_Dienste!$M$6,G959-1,0)),LEN(CELL("adresse",OFFSET(DMAV_Dienste!$M$6,G959-1,0)))-FIND("]",CELL("adresse",OFFSET(DMAV_Dienste!$M$6,G959-1,0)))),"Substructure")),HYPERLINK("#"&amp;RIGHT(CELL("adresse",OFFSET(DMAV_Modell!$N$6,D959-1,0)),LEN(CELL("adresse",OFFSET(DMAV_Modell!$N$6,D959-1,0)))-FIND("]",CELL("adresse",OFFSET(DMAV_Modell!$N$6,D959-1,0)))),"Substructure"))</f>
        <v/>
      </c>
      <c r="R959" s="80"/>
      <c r="T959" s="93"/>
      <c r="U959" s="94"/>
      <c r="V959" s="95"/>
      <c r="W959" s="96"/>
      <c r="Y959" s="85"/>
      <c r="Z959" s="86"/>
      <c r="AA959" s="87"/>
      <c r="AB959" s="88"/>
      <c r="AD959" s="77"/>
      <c r="AF959" s="54" t="str" cm="1">
        <f t="array" aca="1" ref="AF959" ca="1">IF(H959=0,"",HYPERLINK("#"&amp;RIGHT(CELL("adresse",OFFSET('DM01-AV-CH'!$G$6,H959-1,0)),LEN(CELL("adresse",OFFSET('DM01-AV-CH'!$G$6,H959-1,0)))-FIND("]",CELL("adresse",OFFSET('DM01-AV-CH'!$G$6,H959-1,0)))),"Modell"))</f>
        <v>Modell</v>
      </c>
      <c r="AG959" s="72" t="str" cm="1">
        <f t="array" ref="AG959">IF($H959=0,"",IF(INDEX('DM01-AV-CH'!G$6:G$834,$H959)="","",INDEX('DM01-AV-CH'!G$6:G$834,$H959)))</f>
        <v>Rohrleitungen</v>
      </c>
      <c r="AH959" s="73" t="str" cm="1">
        <f t="array" ref="AH959">IF($H959=0,"",IF(INDEX('DM01-AV-CH'!H$6:H$834,$H959)="","",INDEX('DM01-AV-CH'!H$6:H$834,$H959)))</f>
        <v>RLNachfuehrung</v>
      </c>
      <c r="AI959" s="74" t="str" cm="1">
        <f t="array" ref="AI959">IF($H959=0,"",IF(INDEX('DM01-AV-CH'!I$6:I$834,$H959)="","",INDEX('DM01-AV-CH'!I$6:I$834,$H959)))</f>
        <v>Identifikator</v>
      </c>
    </row>
    <row r="960" spans="1:35" x14ac:dyDescent="0.25">
      <c r="A960" s="57">
        <v>955</v>
      </c>
      <c r="B960" s="57">
        <f>IF($A960="","",IF(_xlfn.XLOOKUP($A960,Korrelation!$D$4:$D$1197,Korrelation!E$4:E$1197,"-",0)="-",0,MATCH(_xlfn.XLOOKUP($A960,Korrelation!$D$4:$D$1197,Korrelation!E$4:E$1197,"",0),DMAV_Modell!$G$6:$G$677,0)))</f>
        <v>555</v>
      </c>
      <c r="C960" s="57">
        <f>IF($A960="","",IF(_xlfn.XLOOKUP($A960,Korrelation!$D$4:$D$1197,Korrelation!F$4:F$1197,"-",0)="-",0,MATCH(_xlfn.XLOOKUP($A960,Korrelation!$D$4:$D$1197,Korrelation!F$4:F$1197,"",0),DMAV_Modell!$G$6:$G$677,0)))</f>
        <v>0</v>
      </c>
      <c r="D960" s="57">
        <f>IF($A960="","",IF(_xlfn.XLOOKUP($A960,Korrelation!$D$4:$D$1197,Korrelation!G$4:G$1197,"-",0)="-",0,MATCH(_xlfn.XLOOKUP($A960,Korrelation!$D$4:$D$1197,Korrelation!G$4:G$1197,"",0),DMAV_Modell!$G$6:$G$677,0)))</f>
        <v>0</v>
      </c>
      <c r="E960" s="57">
        <f>IF($A960="","",IF(_xlfn.XLOOKUP($A960,Korrelation!$D$4:$D$1197,Korrelation!H$4:H$1197,"-",0)="-",0,MATCH(_xlfn.XLOOKUP($A960,Korrelation!$D$4:$D$1197,Korrelation!H$4:H$1197,"",0),DMAV_Dienste!$F$6:$F$140,0)))</f>
        <v>0</v>
      </c>
      <c r="F960" s="57">
        <f>IF($A960="","",IF(_xlfn.XLOOKUP($A960,Korrelation!$D$4:$D$1197,Korrelation!I$4:I$1197,"-",0)="-",0,MATCH(_xlfn.XLOOKUP($A960,Korrelation!$D$4:$D$1197,Korrelation!I$4:I$1197,"",0),DMAV_Dienste!$F$6:$F$140,0)))</f>
        <v>0</v>
      </c>
      <c r="G960" s="57">
        <f>IF($A960="","",IF(_xlfn.XLOOKUP($A960,Korrelation!$D$4:$D$1197,Korrelation!J$4:J$1197,"-",0)="-",0,MATCH(_xlfn.XLOOKUP($A960,Korrelation!$D$4:$D$1197,Korrelation!J$4:J$1197,"",0),DMAV_Dienste!$F$6:$F$140,0)))</f>
        <v>0</v>
      </c>
      <c r="H960" s="57">
        <f>IF($A960="","",IF(_xlfn.XLOOKUP($A960,Korrelation!$D$4:$D$1197,Korrelation!K$4:K$1197,"-",0)="-",0,MATCH(_xlfn.XLOOKUP($A960,Korrelation!$D$4:$D$1197,Korrelation!K$4:K$1197,"",0),'DM01-AV-CH'!$A$6:$A$834,0)))</f>
        <v>502</v>
      </c>
      <c r="J960" s="54" t="str" cm="1">
        <f t="array" aca="1" ref="J960" ca="1">IF(B960=0,IF(E960=0,"",HYPERLINK("#"&amp;RIGHT(CELL("adresse",OFFSET(DMAV_Dienste!$M$6,E960-1,0)),LEN(CELL("adresse",OFFSET(DMAV_Dienste!$M$6,E960-1,0)))-FIND("]",CELL("adresse",OFFSET(DMAV_Dienste!$M$6,E960-1,0)))),"Dienst")),HYPERLINK("#"&amp;RIGHT(CELL("adresse",OFFSET(DMAV_Modell!$N$6,B960-1,0)),LEN(CELL("adresse",OFFSET(DMAV_Modell!$N$6,B960-1,0)))-FIND("]",CELL("adresse",OFFSET(DMAV_Modell!$N$6,B960-1,0)))),"Modell"))</f>
        <v>Modell</v>
      </c>
      <c r="K960" s="61" t="str" cm="1">
        <f t="array" ref="K960">IF($B960=0,IF($E960=0,"",IF(INDEX(DMAV_Dienste!P$6:P$140,$E960)="","",INDEX(DMAV_Dienste!P$6:P$140,$E960))),IF(INDEX(DMAV_Modell!Q$6:Q$838,$B960)="","",INDEX(DMAV_Modell!Q$6:Q$838,$B960)))</f>
        <v>CLASS</v>
      </c>
      <c r="L960" s="62" t="str" cm="1">
        <f t="array" ref="L960">IF($B960=0,IF($E960=0,"",IF(INDEX(DMAV_Dienste!O$6:O$140,$E960)="","",INDEX(DMAV_Dienste!O$6:O$140,$E960))),IF(INDEX(DMAV_Modell!P$6:P$838,$B960)="","",INDEX(DMAV_Modell!P$6:P$838,$B960)))</f>
        <v>Rohrleitungen</v>
      </c>
      <c r="M960" s="62" t="str" cm="1">
        <f t="array" ref="M960">IF($B960=0,IF($E960=0,"",IF(INDEX(DMAV_Dienste!Q$6:Q$140,$E960)="","",INDEX(DMAV_Dienste!Q$6:Q$140,$E960))),IF(INDEX(DMAV_Modell!R$6:R$838,$B960)="","",INDEX(DMAV_Modell!R$6:R$838,$B960)))</f>
        <v>RLNachfuehrung</v>
      </c>
      <c r="N960" s="62" t="str" cm="1">
        <f t="array" ref="N960">IF($B960=0,IF($E960=0,"",IF(INDEX(DMAV_Dienste!T$6:T$140,$E960)="","",INDEX(DMAV_Dienste!T$6:T$140,$E960))),IF(INDEX(DMAV_Modell!U$6:U$838,$B960)="","",INDEX(DMAV_Modell!U$6:U$838,$B960)))</f>
        <v>Beschreibung</v>
      </c>
      <c r="O960" s="63" t="str" cm="1">
        <f t="array" aca="1" ref="O960" ca="1">IF(C960=0,IF(F960=0,"",HYPERLINK("#"&amp;RIGHT(CELL("adresse",OFFSET(DMAV_Dienste!$M$6,F960-1,0)),LEN(CELL("adresse",OFFSET(DMAV_Dienste!$M$6,F960-1,0)))-FIND("]",CELL("adresse",OFFSET(DMAV_Dienste!$M$6,F960-1,0)))),"Structure")),HYPERLINK("#"&amp;RIGHT(CELL("adresse",OFFSET(DMAV_Modell!$N$6,C960-1,0)),LEN(CELL("adresse",OFFSET(DMAV_Modell!$N$6,C960-1,0)))-FIND("]",CELL("adresse",OFFSET(DMAV_Modell!$N$6,C960-1,0)))),"Structure"))</f>
        <v/>
      </c>
      <c r="P960" s="64" t="str" cm="1">
        <f t="array" aca="1" ref="P960" ca="1">IF(D960=0,IF(G960=0,"",HYPERLINK("#"&amp;RIGHT(CELL("adresse",OFFSET(DMAV_Dienste!$M$6,G960-1,0)),LEN(CELL("adresse",OFFSET(DMAV_Dienste!$M$6,G960-1,0)))-FIND("]",CELL("adresse",OFFSET(DMAV_Dienste!$M$6,G960-1,0)))),"Substructure")),HYPERLINK("#"&amp;RIGHT(CELL("adresse",OFFSET(DMAV_Modell!$N$6,D960-1,0)),LEN(CELL("adresse",OFFSET(DMAV_Modell!$N$6,D960-1,0)))-FIND("]",CELL("adresse",OFFSET(DMAV_Modell!$N$6,D960-1,0)))),"Substructure"))</f>
        <v/>
      </c>
      <c r="R960" s="80"/>
      <c r="T960" s="93"/>
      <c r="U960" s="94"/>
      <c r="V960" s="95"/>
      <c r="W960" s="96"/>
      <c r="Y960" s="85"/>
      <c r="Z960" s="86"/>
      <c r="AA960" s="87"/>
      <c r="AB960" s="88"/>
      <c r="AD960" s="77"/>
      <c r="AF960" s="54" t="str" cm="1">
        <f t="array" aca="1" ref="AF960" ca="1">IF(H960=0,"",HYPERLINK("#"&amp;RIGHT(CELL("adresse",OFFSET('DM01-AV-CH'!$G$6,H960-1,0)),LEN(CELL("adresse",OFFSET('DM01-AV-CH'!$G$6,H960-1,0)))-FIND("]",CELL("adresse",OFFSET('DM01-AV-CH'!$G$6,H960-1,0)))),"Modell"))</f>
        <v>Modell</v>
      </c>
      <c r="AG960" s="72" t="str" cm="1">
        <f t="array" ref="AG960">IF($H960=0,"",IF(INDEX('DM01-AV-CH'!G$6:G$834,$H960)="","",INDEX('DM01-AV-CH'!G$6:G$834,$H960)))</f>
        <v>Rohrleitungen</v>
      </c>
      <c r="AH960" s="73" t="str" cm="1">
        <f t="array" ref="AH960">IF($H960=0,"",IF(INDEX('DM01-AV-CH'!H$6:H$834,$H960)="","",INDEX('DM01-AV-CH'!H$6:H$834,$H960)))</f>
        <v>RLNachfuehrung</v>
      </c>
      <c r="AI960" s="74" t="str" cm="1">
        <f t="array" ref="AI960">IF($H960=0,"",IF(INDEX('DM01-AV-CH'!I$6:I$834,$H960)="","",INDEX('DM01-AV-CH'!I$6:I$834,$H960)))</f>
        <v>Beschreibung</v>
      </c>
    </row>
    <row r="961" spans="1:35" x14ac:dyDescent="0.25">
      <c r="A961" s="57">
        <v>956</v>
      </c>
      <c r="B961" s="57">
        <f>IF($A961="","",IF(_xlfn.XLOOKUP($A961,Korrelation!$D$4:$D$1197,Korrelation!E$4:E$1197,"-",0)="-",0,MATCH(_xlfn.XLOOKUP($A961,Korrelation!$D$4:$D$1197,Korrelation!E$4:E$1197,"",0),DMAV_Modell!$G$6:$G$677,0)))</f>
        <v>556</v>
      </c>
      <c r="C961" s="57">
        <f>IF($A961="","",IF(_xlfn.XLOOKUP($A961,Korrelation!$D$4:$D$1197,Korrelation!F$4:F$1197,"-",0)="-",0,MATCH(_xlfn.XLOOKUP($A961,Korrelation!$D$4:$D$1197,Korrelation!F$4:F$1197,"",0),DMAV_Modell!$G$6:$G$677,0)))</f>
        <v>0</v>
      </c>
      <c r="D961" s="57">
        <f>IF($A961="","",IF(_xlfn.XLOOKUP($A961,Korrelation!$D$4:$D$1197,Korrelation!G$4:G$1197,"-",0)="-",0,MATCH(_xlfn.XLOOKUP($A961,Korrelation!$D$4:$D$1197,Korrelation!G$4:G$1197,"",0),DMAV_Modell!$G$6:$G$677,0)))</f>
        <v>0</v>
      </c>
      <c r="E961" s="57">
        <f>IF($A961="","",IF(_xlfn.XLOOKUP($A961,Korrelation!$D$4:$D$1197,Korrelation!H$4:H$1197,"-",0)="-",0,MATCH(_xlfn.XLOOKUP($A961,Korrelation!$D$4:$D$1197,Korrelation!H$4:H$1197,"",0),DMAV_Dienste!$F$6:$F$140,0)))</f>
        <v>0</v>
      </c>
      <c r="F961" s="57">
        <f>IF($A961="","",IF(_xlfn.XLOOKUP($A961,Korrelation!$D$4:$D$1197,Korrelation!I$4:I$1197,"-",0)="-",0,MATCH(_xlfn.XLOOKUP($A961,Korrelation!$D$4:$D$1197,Korrelation!I$4:I$1197,"",0),DMAV_Dienste!$F$6:$F$140,0)))</f>
        <v>0</v>
      </c>
      <c r="G961" s="57">
        <f>IF($A961="","",IF(_xlfn.XLOOKUP($A961,Korrelation!$D$4:$D$1197,Korrelation!J$4:J$1197,"-",0)="-",0,MATCH(_xlfn.XLOOKUP($A961,Korrelation!$D$4:$D$1197,Korrelation!J$4:J$1197,"",0),DMAV_Dienste!$F$6:$F$140,0)))</f>
        <v>0</v>
      </c>
      <c r="H961" s="57">
        <f>IF($A961="","",IF(_xlfn.XLOOKUP($A961,Korrelation!$D$4:$D$1197,Korrelation!K$4:K$1197,"-",0)="-",0,MATCH(_xlfn.XLOOKUP($A961,Korrelation!$D$4:$D$1197,Korrelation!K$4:K$1197,"",0),'DM01-AV-CH'!$A$6:$A$834,0)))</f>
        <v>503</v>
      </c>
      <c r="J961" s="54" t="str" cm="1">
        <f t="array" aca="1" ref="J961" ca="1">IF(B961=0,IF(E961=0,"",HYPERLINK("#"&amp;RIGHT(CELL("adresse",OFFSET(DMAV_Dienste!$M$6,E961-1,0)),LEN(CELL("adresse",OFFSET(DMAV_Dienste!$M$6,E961-1,0)))-FIND("]",CELL("adresse",OFFSET(DMAV_Dienste!$M$6,E961-1,0)))),"Dienst")),HYPERLINK("#"&amp;RIGHT(CELL("adresse",OFFSET(DMAV_Modell!$N$6,B961-1,0)),LEN(CELL("adresse",OFFSET(DMAV_Modell!$N$6,B961-1,0)))-FIND("]",CELL("adresse",OFFSET(DMAV_Modell!$N$6,B961-1,0)))),"Modell"))</f>
        <v>Modell</v>
      </c>
      <c r="K961" s="61" t="str" cm="1">
        <f t="array" ref="K961">IF($B961=0,IF($E961=0,"",IF(INDEX(DMAV_Dienste!P$6:P$140,$E961)="","",INDEX(DMAV_Dienste!P$6:P$140,$E961))),IF(INDEX(DMAV_Modell!Q$6:Q$838,$B961)="","",INDEX(DMAV_Modell!Q$6:Q$838,$B961)))</f>
        <v>CLASS</v>
      </c>
      <c r="L961" s="62" t="str" cm="1">
        <f t="array" ref="L961">IF($B961=0,IF($E961=0,"",IF(INDEX(DMAV_Dienste!O$6:O$140,$E961)="","",INDEX(DMAV_Dienste!O$6:O$140,$E961))),IF(INDEX(DMAV_Modell!P$6:P$838,$B961)="","",INDEX(DMAV_Modell!P$6:P$838,$B961)))</f>
        <v>Rohrleitungen</v>
      </c>
      <c r="M961" s="62" t="str" cm="1">
        <f t="array" ref="M961">IF($B961=0,IF($E961=0,"",IF(INDEX(DMAV_Dienste!Q$6:Q$140,$E961)="","",INDEX(DMAV_Dienste!Q$6:Q$140,$E961))),IF(INDEX(DMAV_Modell!R$6:R$838,$B961)="","",INDEX(DMAV_Modell!R$6:R$838,$B961)))</f>
        <v>RLNachfuehrung</v>
      </c>
      <c r="N961" s="62" t="str" cm="1">
        <f t="array" ref="N961">IF($B961=0,IF($E961=0,"",IF(INDEX(DMAV_Dienste!T$6:T$140,$E961)="","",INDEX(DMAV_Dienste!T$6:T$140,$E961))),IF(INDEX(DMAV_Modell!U$6:U$838,$B961)="","",INDEX(DMAV_Modell!U$6:U$838,$B961)))</f>
        <v>Perimeter</v>
      </c>
      <c r="O961" s="63" t="str" cm="1">
        <f t="array" aca="1" ref="O961" ca="1">IF(C961=0,IF(F961=0,"",HYPERLINK("#"&amp;RIGHT(CELL("adresse",OFFSET(DMAV_Dienste!$M$6,F961-1,0)),LEN(CELL("adresse",OFFSET(DMAV_Dienste!$M$6,F961-1,0)))-FIND("]",CELL("adresse",OFFSET(DMAV_Dienste!$M$6,F961-1,0)))),"Structure")),HYPERLINK("#"&amp;RIGHT(CELL("adresse",OFFSET(DMAV_Modell!$N$6,C961-1,0)),LEN(CELL("adresse",OFFSET(DMAV_Modell!$N$6,C961-1,0)))-FIND("]",CELL("adresse",OFFSET(DMAV_Modell!$N$6,C961-1,0)))),"Structure"))</f>
        <v/>
      </c>
      <c r="P961" s="64" t="str" cm="1">
        <f t="array" aca="1" ref="P961" ca="1">IF(D961=0,IF(G961=0,"",HYPERLINK("#"&amp;RIGHT(CELL("adresse",OFFSET(DMAV_Dienste!$M$6,G961-1,0)),LEN(CELL("adresse",OFFSET(DMAV_Dienste!$M$6,G961-1,0)))-FIND("]",CELL("adresse",OFFSET(DMAV_Dienste!$M$6,G961-1,0)))),"Substructure")),HYPERLINK("#"&amp;RIGHT(CELL("adresse",OFFSET(DMAV_Modell!$N$6,D961-1,0)),LEN(CELL("adresse",OFFSET(DMAV_Modell!$N$6,D961-1,0)))-FIND("]",CELL("adresse",OFFSET(DMAV_Modell!$N$6,D961-1,0)))),"Substructure"))</f>
        <v/>
      </c>
      <c r="R961" s="80"/>
      <c r="T961" s="93"/>
      <c r="U961" s="94"/>
      <c r="V961" s="95"/>
      <c r="W961" s="96"/>
      <c r="Y961" s="85"/>
      <c r="Z961" s="86"/>
      <c r="AA961" s="87"/>
      <c r="AB961" s="88"/>
      <c r="AD961" s="77"/>
      <c r="AF961" s="54" t="str" cm="1">
        <f t="array" aca="1" ref="AF961" ca="1">IF(H961=0,"",HYPERLINK("#"&amp;RIGHT(CELL("adresse",OFFSET('DM01-AV-CH'!$G$6,H961-1,0)),LEN(CELL("adresse",OFFSET('DM01-AV-CH'!$G$6,H961-1,0)))-FIND("]",CELL("adresse",OFFSET('DM01-AV-CH'!$G$6,H961-1,0)))),"Modell"))</f>
        <v>Modell</v>
      </c>
      <c r="AG961" s="72" t="str" cm="1">
        <f t="array" ref="AG961">IF($H961=0,"",IF(INDEX('DM01-AV-CH'!G$6:G$834,$H961)="","",INDEX('DM01-AV-CH'!G$6:G$834,$H961)))</f>
        <v>Rohrleitungen</v>
      </c>
      <c r="AH961" s="73" t="str" cm="1">
        <f t="array" ref="AH961">IF($H961=0,"",IF(INDEX('DM01-AV-CH'!H$6:H$834,$H961)="","",INDEX('DM01-AV-CH'!H$6:H$834,$H961)))</f>
        <v>RLNachfuehrung</v>
      </c>
      <c r="AI961" s="74" t="str" cm="1">
        <f t="array" ref="AI961">IF($H961=0,"",IF(INDEX('DM01-AV-CH'!I$6:I$834,$H961)="","",INDEX('DM01-AV-CH'!I$6:I$834,$H961)))</f>
        <v>Perimeter</v>
      </c>
    </row>
    <row r="962" spans="1:35" x14ac:dyDescent="0.25">
      <c r="A962" s="57">
        <v>957</v>
      </c>
      <c r="B962" s="57">
        <f>IF($A962="","",IF(_xlfn.XLOOKUP($A962,Korrelation!$D$4:$D$1197,Korrelation!E$4:E$1197,"-",0)="-",0,MATCH(_xlfn.XLOOKUP($A962,Korrelation!$D$4:$D$1197,Korrelation!E$4:E$1197,"",0),DMAV_Modell!$G$6:$G$677,0)))</f>
        <v>0</v>
      </c>
      <c r="C962" s="57">
        <f>IF($A962="","",IF(_xlfn.XLOOKUP($A962,Korrelation!$D$4:$D$1197,Korrelation!F$4:F$1197,"-",0)="-",0,MATCH(_xlfn.XLOOKUP($A962,Korrelation!$D$4:$D$1197,Korrelation!F$4:F$1197,"",0),DMAV_Modell!$G$6:$G$677,0)))</f>
        <v>0</v>
      </c>
      <c r="D962" s="57">
        <f>IF($A962="","",IF(_xlfn.XLOOKUP($A962,Korrelation!$D$4:$D$1197,Korrelation!G$4:G$1197,"-",0)="-",0,MATCH(_xlfn.XLOOKUP($A962,Korrelation!$D$4:$D$1197,Korrelation!G$4:G$1197,"",0),DMAV_Modell!$G$6:$G$677,0)))</f>
        <v>0</v>
      </c>
      <c r="E962" s="57">
        <f>IF($A962="","",IF(_xlfn.XLOOKUP($A962,Korrelation!$D$4:$D$1197,Korrelation!H$4:H$1197,"-",0)="-",0,MATCH(_xlfn.XLOOKUP($A962,Korrelation!$D$4:$D$1197,Korrelation!H$4:H$1197,"",0),DMAV_Dienste!$F$6:$F$140,0)))</f>
        <v>0</v>
      </c>
      <c r="F962" s="57">
        <f>IF($A962="","",IF(_xlfn.XLOOKUP($A962,Korrelation!$D$4:$D$1197,Korrelation!I$4:I$1197,"-",0)="-",0,MATCH(_xlfn.XLOOKUP($A962,Korrelation!$D$4:$D$1197,Korrelation!I$4:I$1197,"",0),DMAV_Dienste!$F$6:$F$140,0)))</f>
        <v>0</v>
      </c>
      <c r="G962" s="57">
        <f>IF($A962="","",IF(_xlfn.XLOOKUP($A962,Korrelation!$D$4:$D$1197,Korrelation!J$4:J$1197,"-",0)="-",0,MATCH(_xlfn.XLOOKUP($A962,Korrelation!$D$4:$D$1197,Korrelation!J$4:J$1197,"",0),DMAV_Dienste!$F$6:$F$140,0)))</f>
        <v>0</v>
      </c>
      <c r="H962" s="57">
        <f>IF($A962="","",IF(_xlfn.XLOOKUP($A962,Korrelation!$D$4:$D$1197,Korrelation!K$4:K$1197,"-",0)="-",0,MATCH(_xlfn.XLOOKUP($A962,Korrelation!$D$4:$D$1197,Korrelation!K$4:K$1197,"",0),'DM01-AV-CH'!$A$6:$A$834,0)))</f>
        <v>504</v>
      </c>
      <c r="J962" s="54" t="str" cm="1">
        <f t="array" aca="1" ref="J962" ca="1">IF(B962=0,IF(E962=0,"",HYPERLINK("#"&amp;RIGHT(CELL("adresse",OFFSET(DMAV_Dienste!$M$6,E962-1,0)),LEN(CELL("adresse",OFFSET(DMAV_Dienste!$M$6,E962-1,0)))-FIND("]",CELL("adresse",OFFSET(DMAV_Dienste!$M$6,E962-1,0)))),"Dienst")),HYPERLINK("#"&amp;RIGHT(CELL("adresse",OFFSET(DMAV_Modell!$N$6,B962-1,0)),LEN(CELL("adresse",OFFSET(DMAV_Modell!$N$6,B962-1,0)))-FIND("]",CELL("adresse",OFFSET(DMAV_Modell!$N$6,B962-1,0)))),"Modell"))</f>
        <v/>
      </c>
      <c r="K962" s="61" t="str" cm="1">
        <f t="array" ref="K962">IF($B962=0,IF($E962=0,"",IF(INDEX(DMAV_Dienste!P$6:P$140,$E962)="","",INDEX(DMAV_Dienste!P$6:P$140,$E962))),IF(INDEX(DMAV_Modell!Q$6:Q$838,$B962)="","",INDEX(DMAV_Modell!Q$6:Q$838,$B962)))</f>
        <v/>
      </c>
      <c r="L962" s="62" t="str" cm="1">
        <f t="array" ref="L962">IF($B962=0,IF($E962=0,"",IF(INDEX(DMAV_Dienste!O$6:O$140,$E962)="","",INDEX(DMAV_Dienste!O$6:O$140,$E962))),IF(INDEX(DMAV_Modell!P$6:P$838,$B962)="","",INDEX(DMAV_Modell!P$6:P$838,$B962)))</f>
        <v/>
      </c>
      <c r="M962" s="62" t="str" cm="1">
        <f t="array" ref="M962">IF($B962=0,IF($E962=0,"",IF(INDEX(DMAV_Dienste!Q$6:Q$140,$E962)="","",INDEX(DMAV_Dienste!Q$6:Q$140,$E962))),IF(INDEX(DMAV_Modell!R$6:R$838,$B962)="","",INDEX(DMAV_Modell!R$6:R$838,$B962)))</f>
        <v/>
      </c>
      <c r="N962" s="62" t="str" cm="1">
        <f t="array" ref="N962">IF($B962=0,IF($E962=0,"",IF(INDEX(DMAV_Dienste!T$6:T$140,$E962)="","",INDEX(DMAV_Dienste!T$6:T$140,$E962))),IF(INDEX(DMAV_Modell!U$6:U$838,$B962)="","",INDEX(DMAV_Modell!U$6:U$838,$B962)))</f>
        <v/>
      </c>
      <c r="O962" s="63" t="str" cm="1">
        <f t="array" aca="1" ref="O962" ca="1">IF(C962=0,IF(F962=0,"",HYPERLINK("#"&amp;RIGHT(CELL("adresse",OFFSET(DMAV_Dienste!$M$6,F962-1,0)),LEN(CELL("adresse",OFFSET(DMAV_Dienste!$M$6,F962-1,0)))-FIND("]",CELL("adresse",OFFSET(DMAV_Dienste!$M$6,F962-1,0)))),"Structure")),HYPERLINK("#"&amp;RIGHT(CELL("adresse",OFFSET(DMAV_Modell!$N$6,C962-1,0)),LEN(CELL("adresse",OFFSET(DMAV_Modell!$N$6,C962-1,0)))-FIND("]",CELL("adresse",OFFSET(DMAV_Modell!$N$6,C962-1,0)))),"Structure"))</f>
        <v/>
      </c>
      <c r="P962" s="64" t="str" cm="1">
        <f t="array" aca="1" ref="P962" ca="1">IF(D962=0,IF(G962=0,"",HYPERLINK("#"&amp;RIGHT(CELL("adresse",OFFSET(DMAV_Dienste!$M$6,G962-1,0)),LEN(CELL("adresse",OFFSET(DMAV_Dienste!$M$6,G962-1,0)))-FIND("]",CELL("adresse",OFFSET(DMAV_Dienste!$M$6,G962-1,0)))),"Substructure")),HYPERLINK("#"&amp;RIGHT(CELL("adresse",OFFSET(DMAV_Modell!$N$6,D962-1,0)),LEN(CELL("adresse",OFFSET(DMAV_Modell!$N$6,D962-1,0)))-FIND("]",CELL("adresse",OFFSET(DMAV_Modell!$N$6,D962-1,0)))),"Substructure"))</f>
        <v/>
      </c>
      <c r="R962" s="80"/>
      <c r="T962" s="93"/>
      <c r="U962" s="94"/>
      <c r="V962" s="95"/>
      <c r="W962" s="96"/>
      <c r="Y962" s="85"/>
      <c r="Z962" s="86"/>
      <c r="AA962" s="87"/>
      <c r="AB962" s="88"/>
      <c r="AD962" s="77" t="s">
        <v>2711</v>
      </c>
      <c r="AF962" s="54" t="str" cm="1">
        <f t="array" aca="1" ref="AF962" ca="1">IF(H962=0,"",HYPERLINK("#"&amp;RIGHT(CELL("adresse",OFFSET('DM01-AV-CH'!$G$6,H962-1,0)),LEN(CELL("adresse",OFFSET('DM01-AV-CH'!$G$6,H962-1,0)))-FIND("]",CELL("adresse",OFFSET('DM01-AV-CH'!$G$6,H962-1,0)))),"Modell"))</f>
        <v>Modell</v>
      </c>
      <c r="AG962" s="72" t="str" cm="1">
        <f t="array" ref="AG962">IF($H962=0,"",IF(INDEX('DM01-AV-CH'!G$6:G$834,$H962)="","",INDEX('DM01-AV-CH'!G$6:G$834,$H962)))</f>
        <v>Rohrleitungen</v>
      </c>
      <c r="AH962" s="73" t="str" cm="1">
        <f t="array" ref="AH962">IF($H962=0,"",IF(INDEX('DM01-AV-CH'!H$6:H$834,$H962)="","",INDEX('DM01-AV-CH'!H$6:H$834,$H962)))</f>
        <v>RLNachfuehrung</v>
      </c>
      <c r="AI962" s="74" t="str" cm="1">
        <f t="array" ref="AI962">IF($H962=0,"",IF(INDEX('DM01-AV-CH'!I$6:I$834,$H962)="","",INDEX('DM01-AV-CH'!I$6:I$834,$H962)))</f>
        <v>Gueltigkeit</v>
      </c>
    </row>
    <row r="963" spans="1:35" x14ac:dyDescent="0.25">
      <c r="A963" s="57">
        <v>958</v>
      </c>
      <c r="B963" s="57">
        <f>IF($A963="","",IF(_xlfn.XLOOKUP($A963,Korrelation!$D$4:$D$1197,Korrelation!E$4:E$1197,"-",0)="-",0,MATCH(_xlfn.XLOOKUP($A963,Korrelation!$D$4:$D$1197,Korrelation!E$4:E$1197,"",0),DMAV_Modell!$G$6:$G$677,0)))</f>
        <v>557</v>
      </c>
      <c r="C963" s="57">
        <f>IF($A963="","",IF(_xlfn.XLOOKUP($A963,Korrelation!$D$4:$D$1197,Korrelation!F$4:F$1197,"-",0)="-",0,MATCH(_xlfn.XLOOKUP($A963,Korrelation!$D$4:$D$1197,Korrelation!F$4:F$1197,"",0),DMAV_Modell!$G$6:$G$677,0)))</f>
        <v>0</v>
      </c>
      <c r="D963" s="57">
        <f>IF($A963="","",IF(_xlfn.XLOOKUP($A963,Korrelation!$D$4:$D$1197,Korrelation!G$4:G$1197,"-",0)="-",0,MATCH(_xlfn.XLOOKUP($A963,Korrelation!$D$4:$D$1197,Korrelation!G$4:G$1197,"",0),DMAV_Modell!$G$6:$G$677,0)))</f>
        <v>0</v>
      </c>
      <c r="E963" s="57">
        <f>IF($A963="","",IF(_xlfn.XLOOKUP($A963,Korrelation!$D$4:$D$1197,Korrelation!H$4:H$1197,"-",0)="-",0,MATCH(_xlfn.XLOOKUP($A963,Korrelation!$D$4:$D$1197,Korrelation!H$4:H$1197,"",0),DMAV_Dienste!$F$6:$F$140,0)))</f>
        <v>0</v>
      </c>
      <c r="F963" s="57">
        <f>IF($A963="","",IF(_xlfn.XLOOKUP($A963,Korrelation!$D$4:$D$1197,Korrelation!I$4:I$1197,"-",0)="-",0,MATCH(_xlfn.XLOOKUP($A963,Korrelation!$D$4:$D$1197,Korrelation!I$4:I$1197,"",0),DMAV_Dienste!$F$6:$F$140,0)))</f>
        <v>0</v>
      </c>
      <c r="G963" s="57">
        <f>IF($A963="","",IF(_xlfn.XLOOKUP($A963,Korrelation!$D$4:$D$1197,Korrelation!J$4:J$1197,"-",0)="-",0,MATCH(_xlfn.XLOOKUP($A963,Korrelation!$D$4:$D$1197,Korrelation!J$4:J$1197,"",0),DMAV_Dienste!$F$6:$F$140,0)))</f>
        <v>0</v>
      </c>
      <c r="H963" s="57">
        <f>IF($A963="","",IF(_xlfn.XLOOKUP($A963,Korrelation!$D$4:$D$1197,Korrelation!K$4:K$1197,"-",0)="-",0,MATCH(_xlfn.XLOOKUP($A963,Korrelation!$D$4:$D$1197,Korrelation!K$4:K$1197,"",0),'DM01-AV-CH'!$A$6:$A$834,0)))</f>
        <v>505</v>
      </c>
      <c r="J963" s="54" t="str" cm="1">
        <f t="array" aca="1" ref="J963" ca="1">IF(B963=0,IF(E963=0,"",HYPERLINK("#"&amp;RIGHT(CELL("adresse",OFFSET(DMAV_Dienste!$M$6,E963-1,0)),LEN(CELL("adresse",OFFSET(DMAV_Dienste!$M$6,E963-1,0)))-FIND("]",CELL("adresse",OFFSET(DMAV_Dienste!$M$6,E963-1,0)))),"Dienst")),HYPERLINK("#"&amp;RIGHT(CELL("adresse",OFFSET(DMAV_Modell!$N$6,B963-1,0)),LEN(CELL("adresse",OFFSET(DMAV_Modell!$N$6,B963-1,0)))-FIND("]",CELL("adresse",OFFSET(DMAV_Modell!$N$6,B963-1,0)))),"Modell"))</f>
        <v>Modell</v>
      </c>
      <c r="K963" s="61" t="str" cm="1">
        <f t="array" ref="K963">IF($B963=0,IF($E963=0,"",IF(INDEX(DMAV_Dienste!P$6:P$140,$E963)="","",INDEX(DMAV_Dienste!P$6:P$140,$E963))),IF(INDEX(DMAV_Modell!Q$6:Q$838,$B963)="","",INDEX(DMAV_Modell!Q$6:Q$838,$B963)))</f>
        <v>CLASS</v>
      </c>
      <c r="L963" s="62" t="str" cm="1">
        <f t="array" ref="L963">IF($B963=0,IF($E963=0,"",IF(INDEX(DMAV_Dienste!O$6:O$140,$E963)="","",INDEX(DMAV_Dienste!O$6:O$140,$E963))),IF(INDEX(DMAV_Modell!P$6:P$838,$B963)="","",INDEX(DMAV_Modell!P$6:P$838,$B963)))</f>
        <v>Rohrleitungen</v>
      </c>
      <c r="M963" s="62" t="str" cm="1">
        <f t="array" ref="M963">IF($B963=0,IF($E963=0,"",IF(INDEX(DMAV_Dienste!Q$6:Q$140,$E963)="","",INDEX(DMAV_Dienste!Q$6:Q$140,$E963))),IF(INDEX(DMAV_Modell!R$6:R$838,$B963)="","",INDEX(DMAV_Modell!R$6:R$838,$B963)))</f>
        <v>RLNachfuehrung</v>
      </c>
      <c r="N963" s="62" t="str" cm="1">
        <f t="array" ref="N963">IF($B963=0,IF($E963=0,"",IF(INDEX(DMAV_Dienste!T$6:T$140,$E963)="","",INDEX(DMAV_Dienste!T$6:T$140,$E963))),IF(INDEX(DMAV_Modell!U$6:U$838,$B963)="","",INDEX(DMAV_Modell!U$6:U$838,$B963)))</f>
        <v>GueltigerEintrag</v>
      </c>
      <c r="O963" s="63" t="str" cm="1">
        <f t="array" aca="1" ref="O963" ca="1">IF(C963=0,IF(F963=0,"",HYPERLINK("#"&amp;RIGHT(CELL("adresse",OFFSET(DMAV_Dienste!$M$6,F963-1,0)),LEN(CELL("adresse",OFFSET(DMAV_Dienste!$M$6,F963-1,0)))-FIND("]",CELL("adresse",OFFSET(DMAV_Dienste!$M$6,F963-1,0)))),"Structure")),HYPERLINK("#"&amp;RIGHT(CELL("adresse",OFFSET(DMAV_Modell!$N$6,C963-1,0)),LEN(CELL("adresse",OFFSET(DMAV_Modell!$N$6,C963-1,0)))-FIND("]",CELL("adresse",OFFSET(DMAV_Modell!$N$6,C963-1,0)))),"Structure"))</f>
        <v/>
      </c>
      <c r="P963" s="64" t="str" cm="1">
        <f t="array" aca="1" ref="P963" ca="1">IF(D963=0,IF(G963=0,"",HYPERLINK("#"&amp;RIGHT(CELL("adresse",OFFSET(DMAV_Dienste!$M$6,G963-1,0)),LEN(CELL("adresse",OFFSET(DMAV_Dienste!$M$6,G963-1,0)))-FIND("]",CELL("adresse",OFFSET(DMAV_Dienste!$M$6,G963-1,0)))),"Substructure")),HYPERLINK("#"&amp;RIGHT(CELL("adresse",OFFSET(DMAV_Modell!$N$6,D963-1,0)),LEN(CELL("adresse",OFFSET(DMAV_Modell!$N$6,D963-1,0)))-FIND("]",CELL("adresse",OFFSET(DMAV_Modell!$N$6,D963-1,0)))),"Substructure"))</f>
        <v/>
      </c>
      <c r="R963" s="80"/>
      <c r="T963" s="93"/>
      <c r="U963" s="94"/>
      <c r="V963" s="95"/>
      <c r="W963" s="96"/>
      <c r="Y963" s="85"/>
      <c r="Z963" s="86"/>
      <c r="AA963" s="87"/>
      <c r="AB963" s="88"/>
      <c r="AD963" s="77"/>
      <c r="AF963" s="54" t="str" cm="1">
        <f t="array" aca="1" ref="AF963" ca="1">IF(H963=0,"",HYPERLINK("#"&amp;RIGHT(CELL("adresse",OFFSET('DM01-AV-CH'!$G$6,H963-1,0)),LEN(CELL("adresse",OFFSET('DM01-AV-CH'!$G$6,H963-1,0)))-FIND("]",CELL("adresse",OFFSET('DM01-AV-CH'!$G$6,H963-1,0)))),"Modell"))</f>
        <v>Modell</v>
      </c>
      <c r="AG963" s="72" t="str" cm="1">
        <f t="array" ref="AG963">IF($H963=0,"",IF(INDEX('DM01-AV-CH'!G$6:G$834,$H963)="","",INDEX('DM01-AV-CH'!G$6:G$834,$H963)))</f>
        <v>Rohrleitungen</v>
      </c>
      <c r="AH963" s="73" t="str" cm="1">
        <f t="array" ref="AH963">IF($H963=0,"",IF(INDEX('DM01-AV-CH'!H$6:H$834,$H963)="","",INDEX('DM01-AV-CH'!H$6:H$834,$H963)))</f>
        <v>RLNachfuehrung</v>
      </c>
      <c r="AI963" s="74" t="str" cm="1">
        <f t="array" ref="AI963">IF($H963=0,"",IF(INDEX('DM01-AV-CH'!I$6:I$834,$H963)="","",INDEX('DM01-AV-CH'!I$6:I$834,$H963)))</f>
        <v>GueltigerEintrag</v>
      </c>
    </row>
    <row r="964" spans="1:35" ht="28.5" x14ac:dyDescent="0.25">
      <c r="A964" s="57">
        <v>959</v>
      </c>
      <c r="B964" s="57">
        <f>IF($A964="","",IF(_xlfn.XLOOKUP($A964,Korrelation!$D$4:$D$1197,Korrelation!E$4:E$1197,"-",0)="-",0,MATCH(_xlfn.XLOOKUP($A964,Korrelation!$D$4:$D$1197,Korrelation!E$4:E$1197,"",0),DMAV_Modell!$G$6:$G$677,0)))</f>
        <v>557</v>
      </c>
      <c r="C964" s="57">
        <f>IF($A964="","",IF(_xlfn.XLOOKUP($A964,Korrelation!$D$4:$D$1197,Korrelation!F$4:F$1197,"-",0)="-",0,MATCH(_xlfn.XLOOKUP($A964,Korrelation!$D$4:$D$1197,Korrelation!F$4:F$1197,"",0),DMAV_Modell!$G$6:$G$677,0)))</f>
        <v>0</v>
      </c>
      <c r="D964" s="57">
        <f>IF($A964="","",IF(_xlfn.XLOOKUP($A964,Korrelation!$D$4:$D$1197,Korrelation!G$4:G$1197,"-",0)="-",0,MATCH(_xlfn.XLOOKUP($A964,Korrelation!$D$4:$D$1197,Korrelation!G$4:G$1197,"",0),DMAV_Modell!$G$6:$G$677,0)))</f>
        <v>0</v>
      </c>
      <c r="E964" s="57">
        <f>IF($A964="","",IF(_xlfn.XLOOKUP($A964,Korrelation!$D$4:$D$1197,Korrelation!H$4:H$1197,"-",0)="-",0,MATCH(_xlfn.XLOOKUP($A964,Korrelation!$D$4:$D$1197,Korrelation!H$4:H$1197,"",0),DMAV_Dienste!$F$6:$F$140,0)))</f>
        <v>0</v>
      </c>
      <c r="F964" s="57">
        <f>IF($A964="","",IF(_xlfn.XLOOKUP($A964,Korrelation!$D$4:$D$1197,Korrelation!I$4:I$1197,"-",0)="-",0,MATCH(_xlfn.XLOOKUP($A964,Korrelation!$D$4:$D$1197,Korrelation!I$4:I$1197,"",0),DMAV_Dienste!$F$6:$F$140,0)))</f>
        <v>0</v>
      </c>
      <c r="G964" s="57">
        <f>IF($A964="","",IF(_xlfn.XLOOKUP($A964,Korrelation!$D$4:$D$1197,Korrelation!J$4:J$1197,"-",0)="-",0,MATCH(_xlfn.XLOOKUP($A964,Korrelation!$D$4:$D$1197,Korrelation!J$4:J$1197,"",0),DMAV_Dienste!$F$6:$F$140,0)))</f>
        <v>0</v>
      </c>
      <c r="H964" s="57">
        <f>IF($A964="","",IF(_xlfn.XLOOKUP($A964,Korrelation!$D$4:$D$1197,Korrelation!K$4:K$1197,"-",0)="-",0,MATCH(_xlfn.XLOOKUP($A964,Korrelation!$D$4:$D$1197,Korrelation!K$4:K$1197,"",0),'DM01-AV-CH'!$A$6:$A$834,0)))</f>
        <v>506</v>
      </c>
      <c r="J964" s="54" t="str" cm="1">
        <f t="array" aca="1" ref="J964" ca="1">IF(B964=0,IF(E964=0,"",HYPERLINK("#"&amp;RIGHT(CELL("adresse",OFFSET(DMAV_Dienste!$M$6,E964-1,0)),LEN(CELL("adresse",OFFSET(DMAV_Dienste!$M$6,E964-1,0)))-FIND("]",CELL("adresse",OFFSET(DMAV_Dienste!$M$6,E964-1,0)))),"Dienst")),HYPERLINK("#"&amp;RIGHT(CELL("adresse",OFFSET(DMAV_Modell!$N$6,B964-1,0)),LEN(CELL("adresse",OFFSET(DMAV_Modell!$N$6,B964-1,0)))-FIND("]",CELL("adresse",OFFSET(DMAV_Modell!$N$6,B964-1,0)))),"Modell"))</f>
        <v>Modell</v>
      </c>
      <c r="K964" s="61" t="str" cm="1">
        <f t="array" ref="K964">IF($B964=0,IF($E964=0,"",IF(INDEX(DMAV_Dienste!P$6:P$140,$E964)="","",INDEX(DMAV_Dienste!P$6:P$140,$E964))),IF(INDEX(DMAV_Modell!Q$6:Q$838,$B964)="","",INDEX(DMAV_Modell!Q$6:Q$838,$B964)))</f>
        <v>CLASS</v>
      </c>
      <c r="L964" s="62" t="str" cm="1">
        <f t="array" ref="L964">IF($B964=0,IF($E964=0,"",IF(INDEX(DMAV_Dienste!O$6:O$140,$E964)="","",INDEX(DMAV_Dienste!O$6:O$140,$E964))),IF(INDEX(DMAV_Modell!P$6:P$838,$B964)="","",INDEX(DMAV_Modell!P$6:P$838,$B964)))</f>
        <v>Rohrleitungen</v>
      </c>
      <c r="M964" s="62" t="str" cm="1">
        <f t="array" ref="M964">IF($B964=0,IF($E964=0,"",IF(INDEX(DMAV_Dienste!Q$6:Q$140,$E964)="","",INDEX(DMAV_Dienste!Q$6:Q$140,$E964))),IF(INDEX(DMAV_Modell!R$6:R$838,$B964)="","",INDEX(DMAV_Modell!R$6:R$838,$B964)))</f>
        <v>RLNachfuehrung</v>
      </c>
      <c r="N964" s="62" t="str" cm="1">
        <f t="array" ref="N964">IF($B964=0,IF($E964=0,"",IF(INDEX(DMAV_Dienste!T$6:T$140,$E964)="","",INDEX(DMAV_Dienste!T$6:T$140,$E964))),IF(INDEX(DMAV_Modell!U$6:U$838,$B964)="","",INDEX(DMAV_Modell!U$6:U$838,$B964)))</f>
        <v>GueltigerEintrag</v>
      </c>
      <c r="O964" s="63" t="str" cm="1">
        <f t="array" aca="1" ref="O964" ca="1">IF(C964=0,IF(F964=0,"",HYPERLINK("#"&amp;RIGHT(CELL("adresse",OFFSET(DMAV_Dienste!$M$6,F964-1,0)),LEN(CELL("adresse",OFFSET(DMAV_Dienste!$M$6,F964-1,0)))-FIND("]",CELL("adresse",OFFSET(DMAV_Dienste!$M$6,F964-1,0)))),"Structure")),HYPERLINK("#"&amp;RIGHT(CELL("adresse",OFFSET(DMAV_Modell!$N$6,C964-1,0)),LEN(CELL("adresse",OFFSET(DMAV_Modell!$N$6,C964-1,0)))-FIND("]",CELL("adresse",OFFSET(DMAV_Modell!$N$6,C964-1,0)))),"Structure"))</f>
        <v/>
      </c>
      <c r="P964" s="64" t="str" cm="1">
        <f t="array" aca="1" ref="P964" ca="1">IF(D964=0,IF(G964=0,"",HYPERLINK("#"&amp;RIGHT(CELL("adresse",OFFSET(DMAV_Dienste!$M$6,G964-1,0)),LEN(CELL("adresse",OFFSET(DMAV_Dienste!$M$6,G964-1,0)))-FIND("]",CELL("adresse",OFFSET(DMAV_Dienste!$M$6,G964-1,0)))),"Substructure")),HYPERLINK("#"&amp;RIGHT(CELL("adresse",OFFSET(DMAV_Modell!$N$6,D964-1,0)),LEN(CELL("adresse",OFFSET(DMAV_Modell!$N$6,D964-1,0)))-FIND("]",CELL("adresse",OFFSET(DMAV_Modell!$N$6,D964-1,0)))),"Substructure"))</f>
        <v/>
      </c>
      <c r="R964" s="80"/>
      <c r="T964" s="93" t="s">
        <v>3219</v>
      </c>
      <c r="U964" s="94"/>
      <c r="V964" s="95"/>
      <c r="W964" s="96"/>
      <c r="Y964" s="85"/>
      <c r="Z964" s="86"/>
      <c r="AA964" s="87"/>
      <c r="AB964" s="88"/>
      <c r="AD964" s="77" t="s">
        <v>3049</v>
      </c>
      <c r="AF964" s="54" t="str" cm="1">
        <f t="array" aca="1" ref="AF964" ca="1">IF(H964=0,"",HYPERLINK("#"&amp;RIGHT(CELL("adresse",OFFSET('DM01-AV-CH'!$G$6,H964-1,0)),LEN(CELL("adresse",OFFSET('DM01-AV-CH'!$G$6,H964-1,0)))-FIND("]",CELL("adresse",OFFSET('DM01-AV-CH'!$G$6,H964-1,0)))),"Modell"))</f>
        <v>Modell</v>
      </c>
      <c r="AG964" s="72" t="str" cm="1">
        <f t="array" ref="AG964">IF($H964=0,"",IF(INDEX('DM01-AV-CH'!G$6:G$834,$H964)="","",INDEX('DM01-AV-CH'!G$6:G$834,$H964)))</f>
        <v>Rohrleitungen</v>
      </c>
      <c r="AH964" s="73" t="str" cm="1">
        <f t="array" ref="AH964">IF($H964=0,"",IF(INDEX('DM01-AV-CH'!H$6:H$834,$H964)="","",INDEX('DM01-AV-CH'!H$6:H$834,$H964)))</f>
        <v>RLNachfuehrung</v>
      </c>
      <c r="AI964" s="74" t="str" cm="1">
        <f t="array" ref="AI964">IF($H964=0,"",IF(INDEX('DM01-AV-CH'!I$6:I$834,$H964)="","",INDEX('DM01-AV-CH'!I$6:I$834,$H964)))</f>
        <v>Datum1</v>
      </c>
    </row>
    <row r="965" spans="1:35" x14ac:dyDescent="0.25">
      <c r="A965" s="57">
        <v>960</v>
      </c>
      <c r="B965" s="57">
        <f>IF($A965="","",IF(_xlfn.XLOOKUP($A965,Korrelation!$D$4:$D$1197,Korrelation!E$4:E$1197,"-",0)="-",0,MATCH(_xlfn.XLOOKUP($A965,Korrelation!$D$4:$D$1197,Korrelation!E$4:E$1197,"",0),DMAV_Modell!$G$6:$G$677,0)))</f>
        <v>558</v>
      </c>
      <c r="C965" s="57">
        <f>IF($A965="","",IF(_xlfn.XLOOKUP($A965,Korrelation!$D$4:$D$1197,Korrelation!F$4:F$1197,"-",0)="-",0,MATCH(_xlfn.XLOOKUP($A965,Korrelation!$D$4:$D$1197,Korrelation!F$4:F$1197,"",0),DMAV_Modell!$G$6:$G$677,0)))</f>
        <v>0</v>
      </c>
      <c r="D965" s="57">
        <f>IF($A965="","",IF(_xlfn.XLOOKUP($A965,Korrelation!$D$4:$D$1197,Korrelation!G$4:G$1197,"-",0)="-",0,MATCH(_xlfn.XLOOKUP($A965,Korrelation!$D$4:$D$1197,Korrelation!G$4:G$1197,"",0),DMAV_Modell!$G$6:$G$677,0)))</f>
        <v>0</v>
      </c>
      <c r="E965" s="57">
        <f>IF($A965="","",IF(_xlfn.XLOOKUP($A965,Korrelation!$D$4:$D$1197,Korrelation!H$4:H$1197,"-",0)="-",0,MATCH(_xlfn.XLOOKUP($A965,Korrelation!$D$4:$D$1197,Korrelation!H$4:H$1197,"",0),DMAV_Dienste!$F$6:$F$140,0)))</f>
        <v>0</v>
      </c>
      <c r="F965" s="57">
        <f>IF($A965="","",IF(_xlfn.XLOOKUP($A965,Korrelation!$D$4:$D$1197,Korrelation!I$4:I$1197,"-",0)="-",0,MATCH(_xlfn.XLOOKUP($A965,Korrelation!$D$4:$D$1197,Korrelation!I$4:I$1197,"",0),DMAV_Dienste!$F$6:$F$140,0)))</f>
        <v>0</v>
      </c>
      <c r="G965" s="57">
        <f>IF($A965="","",IF(_xlfn.XLOOKUP($A965,Korrelation!$D$4:$D$1197,Korrelation!J$4:J$1197,"-",0)="-",0,MATCH(_xlfn.XLOOKUP($A965,Korrelation!$D$4:$D$1197,Korrelation!J$4:J$1197,"",0),DMAV_Dienste!$F$6:$F$140,0)))</f>
        <v>0</v>
      </c>
      <c r="H965" s="57">
        <f>IF($A965="","",IF(_xlfn.XLOOKUP($A965,Korrelation!$D$4:$D$1197,Korrelation!K$4:K$1197,"-",0)="-",0,MATCH(_xlfn.XLOOKUP($A965,Korrelation!$D$4:$D$1197,Korrelation!K$4:K$1197,"",0),'DM01-AV-CH'!$A$6:$A$834,0)))</f>
        <v>0</v>
      </c>
      <c r="J965" s="54" t="str" cm="1">
        <f t="array" aca="1" ref="J965" ca="1">IF(B965=0,IF(E965=0,"",HYPERLINK("#"&amp;RIGHT(CELL("adresse",OFFSET(DMAV_Dienste!$M$6,E965-1,0)),LEN(CELL("adresse",OFFSET(DMAV_Dienste!$M$6,E965-1,0)))-FIND("]",CELL("adresse",OFFSET(DMAV_Dienste!$M$6,E965-1,0)))),"Dienst")),HYPERLINK("#"&amp;RIGHT(CELL("adresse",OFFSET(DMAV_Modell!$N$6,B965-1,0)),LEN(CELL("adresse",OFFSET(DMAV_Modell!$N$6,B965-1,0)))-FIND("]",CELL("adresse",OFFSET(DMAV_Modell!$N$6,B965-1,0)))),"Modell"))</f>
        <v>Modell</v>
      </c>
      <c r="K965" s="61" t="str" cm="1">
        <f t="array" ref="K965">IF($B965=0,IF($E965=0,"",IF(INDEX(DMAV_Dienste!P$6:P$140,$E965)="","",INDEX(DMAV_Dienste!P$6:P$140,$E965))),IF(INDEX(DMAV_Modell!Q$6:Q$838,$B965)="","",INDEX(DMAV_Modell!Q$6:Q$838,$B965)))</f>
        <v>STRUCTURE</v>
      </c>
      <c r="L965" s="62" t="str" cm="1">
        <f t="array" ref="L965">IF($B965=0,IF($E965=0,"",IF(INDEX(DMAV_Dienste!O$6:O$140,$E965)="","",INDEX(DMAV_Dienste!O$6:O$140,$E965))),IF(INDEX(DMAV_Modell!P$6:P$838,$B965)="","",INDEX(DMAV_Modell!P$6:P$838,$B965)))</f>
        <v>Rohrleitungen</v>
      </c>
      <c r="M965" s="62" t="str" cm="1">
        <f t="array" ref="M965">IF($B965=0,IF($E965=0,"",IF(INDEX(DMAV_Dienste!Q$6:Q$140,$E965)="","",INDEX(DMAV_Dienste!Q$6:Q$140,$E965))),IF(INDEX(DMAV_Modell!R$6:R$838,$B965)="","",INDEX(DMAV_Modell!R$6:R$838,$B965)))</f>
        <v>Flaechenelement</v>
      </c>
      <c r="N965" s="62" t="str" cm="1">
        <f t="array" ref="N965">IF($B965=0,IF($E965=0,"",IF(INDEX(DMAV_Dienste!T$6:T$140,$E965)="","",INDEX(DMAV_Dienste!T$6:T$140,$E965))),IF(INDEX(DMAV_Modell!U$6:U$838,$B965)="","",INDEX(DMAV_Modell!U$6:U$838,$B965)))</f>
        <v>Geometrie</v>
      </c>
      <c r="O965" s="63" t="str" cm="1">
        <f t="array" aca="1" ref="O965" ca="1">IF(C965=0,IF(F965=0,"",HYPERLINK("#"&amp;RIGHT(CELL("adresse",OFFSET(DMAV_Dienste!$M$6,F965-1,0)),LEN(CELL("adresse",OFFSET(DMAV_Dienste!$M$6,F965-1,0)))-FIND("]",CELL("adresse",OFFSET(DMAV_Dienste!$M$6,F965-1,0)))),"Structure")),HYPERLINK("#"&amp;RIGHT(CELL("adresse",OFFSET(DMAV_Modell!$N$6,C965-1,0)),LEN(CELL("adresse",OFFSET(DMAV_Modell!$N$6,C965-1,0)))-FIND("]",CELL("adresse",OFFSET(DMAV_Modell!$N$6,C965-1,0)))),"Structure"))</f>
        <v/>
      </c>
      <c r="P965" s="64" t="str" cm="1">
        <f t="array" aca="1" ref="P965" ca="1">IF(D965=0,IF(G965=0,"",HYPERLINK("#"&amp;RIGHT(CELL("adresse",OFFSET(DMAV_Dienste!$M$6,G965-1,0)),LEN(CELL("adresse",OFFSET(DMAV_Dienste!$M$6,G965-1,0)))-FIND("]",CELL("adresse",OFFSET(DMAV_Dienste!$M$6,G965-1,0)))),"Substructure")),HYPERLINK("#"&amp;RIGHT(CELL("adresse",OFFSET(DMAV_Modell!$N$6,D965-1,0)),LEN(CELL("adresse",OFFSET(DMAV_Modell!$N$6,D965-1,0)))-FIND("]",CELL("adresse",OFFSET(DMAV_Modell!$N$6,D965-1,0)))),"Substructure"))</f>
        <v/>
      </c>
      <c r="R965" s="80"/>
      <c r="T965" s="93"/>
      <c r="U965" s="94"/>
      <c r="V965" s="95"/>
      <c r="W965" s="96"/>
      <c r="Y965" s="85"/>
      <c r="Z965" s="86"/>
      <c r="AA965" s="87"/>
      <c r="AB965" s="88"/>
      <c r="AD965" s="77"/>
      <c r="AF965" s="54" t="str" cm="1">
        <f t="array" aca="1" ref="AF965" ca="1">IF(H965=0,"",HYPERLINK("#"&amp;RIGHT(CELL("adresse",OFFSET('DM01-AV-CH'!$G$6,H965-1,0)),LEN(CELL("adresse",OFFSET('DM01-AV-CH'!$G$6,H965-1,0)))-FIND("]",CELL("adresse",OFFSET('DM01-AV-CH'!$G$6,H965-1,0)))),"Modell"))</f>
        <v/>
      </c>
      <c r="AG965" s="72" t="str" cm="1">
        <f t="array" ref="AG965">IF($H965=0,"",IF(INDEX('DM01-AV-CH'!G$6:G$834,$H965)="","",INDEX('DM01-AV-CH'!G$6:G$834,$H965)))</f>
        <v/>
      </c>
      <c r="AH965" s="73" t="str" cm="1">
        <f t="array" ref="AH965">IF($H965=0,"",IF(INDEX('DM01-AV-CH'!H$6:H$834,$H965)="","",INDEX('DM01-AV-CH'!H$6:H$834,$H965)))</f>
        <v/>
      </c>
      <c r="AI965" s="74" t="str" cm="1">
        <f t="array" ref="AI965">IF($H965=0,"",IF(INDEX('DM01-AV-CH'!I$6:I$834,$H965)="","",INDEX('DM01-AV-CH'!I$6:I$834,$H965)))</f>
        <v/>
      </c>
    </row>
    <row r="966" spans="1:35" x14ac:dyDescent="0.25">
      <c r="A966" s="57">
        <v>961</v>
      </c>
      <c r="B966" s="57">
        <f>IF($A966="","",IF(_xlfn.XLOOKUP($A966,Korrelation!$D$4:$D$1197,Korrelation!E$4:E$1197,"-",0)="-",0,MATCH(_xlfn.XLOOKUP($A966,Korrelation!$D$4:$D$1197,Korrelation!E$4:E$1197,"",0),DMAV_Modell!$G$6:$G$677,0)))</f>
        <v>559</v>
      </c>
      <c r="C966" s="57">
        <f>IF($A966="","",IF(_xlfn.XLOOKUP($A966,Korrelation!$D$4:$D$1197,Korrelation!F$4:F$1197,"-",0)="-",0,MATCH(_xlfn.XLOOKUP($A966,Korrelation!$D$4:$D$1197,Korrelation!F$4:F$1197,"",0),DMAV_Modell!$G$6:$G$677,0)))</f>
        <v>0</v>
      </c>
      <c r="D966" s="57">
        <f>IF($A966="","",IF(_xlfn.XLOOKUP($A966,Korrelation!$D$4:$D$1197,Korrelation!G$4:G$1197,"-",0)="-",0,MATCH(_xlfn.XLOOKUP($A966,Korrelation!$D$4:$D$1197,Korrelation!G$4:G$1197,"",0),DMAV_Modell!$G$6:$G$677,0)))</f>
        <v>0</v>
      </c>
      <c r="E966" s="57">
        <f>IF($A966="","",IF(_xlfn.XLOOKUP($A966,Korrelation!$D$4:$D$1197,Korrelation!H$4:H$1197,"-",0)="-",0,MATCH(_xlfn.XLOOKUP($A966,Korrelation!$D$4:$D$1197,Korrelation!H$4:H$1197,"",0),DMAV_Dienste!$F$6:$F$140,0)))</f>
        <v>0</v>
      </c>
      <c r="F966" s="57">
        <f>IF($A966="","",IF(_xlfn.XLOOKUP($A966,Korrelation!$D$4:$D$1197,Korrelation!I$4:I$1197,"-",0)="-",0,MATCH(_xlfn.XLOOKUP($A966,Korrelation!$D$4:$D$1197,Korrelation!I$4:I$1197,"",0),DMAV_Dienste!$F$6:$F$140,0)))</f>
        <v>0</v>
      </c>
      <c r="G966" s="57">
        <f>IF($A966="","",IF(_xlfn.XLOOKUP($A966,Korrelation!$D$4:$D$1197,Korrelation!J$4:J$1197,"-",0)="-",0,MATCH(_xlfn.XLOOKUP($A966,Korrelation!$D$4:$D$1197,Korrelation!J$4:J$1197,"",0),DMAV_Dienste!$F$6:$F$140,0)))</f>
        <v>0</v>
      </c>
      <c r="H966" s="57">
        <f>IF($A966="","",IF(_xlfn.XLOOKUP($A966,Korrelation!$D$4:$D$1197,Korrelation!K$4:K$1197,"-",0)="-",0,MATCH(_xlfn.XLOOKUP($A966,Korrelation!$D$4:$D$1197,Korrelation!K$4:K$1197,"",0),'DM01-AV-CH'!$A$6:$A$834,0)))</f>
        <v>0</v>
      </c>
      <c r="J966" s="54" t="str" cm="1">
        <f t="array" aca="1" ref="J966" ca="1">IF(B966=0,IF(E966=0,"",HYPERLINK("#"&amp;RIGHT(CELL("adresse",OFFSET(DMAV_Dienste!$M$6,E966-1,0)),LEN(CELL("adresse",OFFSET(DMAV_Dienste!$M$6,E966-1,0)))-FIND("]",CELL("adresse",OFFSET(DMAV_Dienste!$M$6,E966-1,0)))),"Dienst")),HYPERLINK("#"&amp;RIGHT(CELL("adresse",OFFSET(DMAV_Modell!$N$6,B966-1,0)),LEN(CELL("adresse",OFFSET(DMAV_Modell!$N$6,B966-1,0)))-FIND("]",CELL("adresse",OFFSET(DMAV_Modell!$N$6,B966-1,0)))),"Modell"))</f>
        <v>Modell</v>
      </c>
      <c r="K966" s="61" t="str" cm="1">
        <f t="array" ref="K966">IF($B966=0,IF($E966=0,"",IF(INDEX(DMAV_Dienste!P$6:P$140,$E966)="","",INDEX(DMAV_Dienste!P$6:P$140,$E966))),IF(INDEX(DMAV_Modell!Q$6:Q$838,$B966)="","",INDEX(DMAV_Modell!Q$6:Q$838,$B966)))</f>
        <v>STRUCTURE</v>
      </c>
      <c r="L966" s="62" t="str" cm="1">
        <f t="array" ref="L966">IF($B966=0,IF($E966=0,"",IF(INDEX(DMAV_Dienste!O$6:O$140,$E966)="","",INDEX(DMAV_Dienste!O$6:O$140,$E966))),IF(INDEX(DMAV_Modell!P$6:P$838,$B966)="","",INDEX(DMAV_Modell!P$6:P$838,$B966)))</f>
        <v>Rohrleitungen</v>
      </c>
      <c r="M966" s="62" t="str" cm="1">
        <f t="array" ref="M966">IF($B966=0,IF($E966=0,"",IF(INDEX(DMAV_Dienste!Q$6:Q$140,$E966)="","",INDEX(DMAV_Dienste!Q$6:Q$140,$E966))),IF(INDEX(DMAV_Modell!R$6:R$838,$B966)="","",INDEX(DMAV_Modell!R$6:R$838,$B966)))</f>
        <v>Flaechenelement</v>
      </c>
      <c r="N966" s="62" t="str" cm="1">
        <f t="array" ref="N966">IF($B966=0,IF($E966=0,"",IF(INDEX(DMAV_Dienste!T$6:T$140,$E966)="","",INDEX(DMAV_Dienste!T$6:T$140,$E966))),IF(INDEX(DMAV_Modell!U$6:U$838,$B966)="","",INDEX(DMAV_Modell!U$6:U$838,$B966)))</f>
        <v>Sichtbar</v>
      </c>
      <c r="O966" s="63" t="str" cm="1">
        <f t="array" aca="1" ref="O966" ca="1">IF(C966=0,IF(F966=0,"",HYPERLINK("#"&amp;RIGHT(CELL("adresse",OFFSET(DMAV_Dienste!$M$6,F966-1,0)),LEN(CELL("adresse",OFFSET(DMAV_Dienste!$M$6,F966-1,0)))-FIND("]",CELL("adresse",OFFSET(DMAV_Dienste!$M$6,F966-1,0)))),"Structure")),HYPERLINK("#"&amp;RIGHT(CELL("adresse",OFFSET(DMAV_Modell!$N$6,C966-1,0)),LEN(CELL("adresse",OFFSET(DMAV_Modell!$N$6,C966-1,0)))-FIND("]",CELL("adresse",OFFSET(DMAV_Modell!$N$6,C966-1,0)))),"Structure"))</f>
        <v/>
      </c>
      <c r="P966" s="64" t="str" cm="1">
        <f t="array" aca="1" ref="P966" ca="1">IF(D966=0,IF(G966=0,"",HYPERLINK("#"&amp;RIGHT(CELL("adresse",OFFSET(DMAV_Dienste!$M$6,G966-1,0)),LEN(CELL("adresse",OFFSET(DMAV_Dienste!$M$6,G966-1,0)))-FIND("]",CELL("adresse",OFFSET(DMAV_Dienste!$M$6,G966-1,0)))),"Substructure")),HYPERLINK("#"&amp;RIGHT(CELL("adresse",OFFSET(DMAV_Modell!$N$6,D966-1,0)),LEN(CELL("adresse",OFFSET(DMAV_Modell!$N$6,D966-1,0)))-FIND("]",CELL("adresse",OFFSET(DMAV_Modell!$N$6,D966-1,0)))),"Substructure"))</f>
        <v/>
      </c>
      <c r="R966" s="80"/>
      <c r="T966" s="93"/>
      <c r="U966" s="94"/>
      <c r="V966" s="95"/>
      <c r="W966" s="96"/>
      <c r="Y966" s="85"/>
      <c r="Z966" s="86"/>
      <c r="AA966" s="87"/>
      <c r="AB966" s="88"/>
      <c r="AD966" s="77"/>
      <c r="AF966" s="54" t="str" cm="1">
        <f t="array" aca="1" ref="AF966" ca="1">IF(H966=0,"",HYPERLINK("#"&amp;RIGHT(CELL("adresse",OFFSET('DM01-AV-CH'!$G$6,H966-1,0)),LEN(CELL("adresse",OFFSET('DM01-AV-CH'!$G$6,H966-1,0)))-FIND("]",CELL("adresse",OFFSET('DM01-AV-CH'!$G$6,H966-1,0)))),"Modell"))</f>
        <v/>
      </c>
      <c r="AG966" s="72" t="str" cm="1">
        <f t="array" ref="AG966">IF($H966=0,"",IF(INDEX('DM01-AV-CH'!G$6:G$834,$H966)="","",INDEX('DM01-AV-CH'!G$6:G$834,$H966)))</f>
        <v/>
      </c>
      <c r="AH966" s="73" t="str" cm="1">
        <f t="array" ref="AH966">IF($H966=0,"",IF(INDEX('DM01-AV-CH'!H$6:H$834,$H966)="","",INDEX('DM01-AV-CH'!H$6:H$834,$H966)))</f>
        <v/>
      </c>
      <c r="AI966" s="74" t="str" cm="1">
        <f t="array" ref="AI966">IF($H966=0,"",IF(INDEX('DM01-AV-CH'!I$6:I$834,$H966)="","",INDEX('DM01-AV-CH'!I$6:I$834,$H966)))</f>
        <v/>
      </c>
    </row>
    <row r="967" spans="1:35" x14ac:dyDescent="0.25">
      <c r="A967" s="57">
        <v>962</v>
      </c>
      <c r="B967" s="57">
        <f>IF($A967="","",IF(_xlfn.XLOOKUP($A967,Korrelation!$D$4:$D$1197,Korrelation!E$4:E$1197,"-",0)="-",0,MATCH(_xlfn.XLOOKUP($A967,Korrelation!$D$4:$D$1197,Korrelation!E$4:E$1197,"",0),DMAV_Modell!$G$6:$G$677,0)))</f>
        <v>560</v>
      </c>
      <c r="C967" s="57">
        <f>IF($A967="","",IF(_xlfn.XLOOKUP($A967,Korrelation!$D$4:$D$1197,Korrelation!F$4:F$1197,"-",0)="-",0,MATCH(_xlfn.XLOOKUP($A967,Korrelation!$D$4:$D$1197,Korrelation!F$4:F$1197,"",0),DMAV_Modell!$G$6:$G$677,0)))</f>
        <v>0</v>
      </c>
      <c r="D967" s="57">
        <f>IF($A967="","",IF(_xlfn.XLOOKUP($A967,Korrelation!$D$4:$D$1197,Korrelation!G$4:G$1197,"-",0)="-",0,MATCH(_xlfn.XLOOKUP($A967,Korrelation!$D$4:$D$1197,Korrelation!G$4:G$1197,"",0),DMAV_Modell!$G$6:$G$677,0)))</f>
        <v>0</v>
      </c>
      <c r="E967" s="57">
        <f>IF($A967="","",IF(_xlfn.XLOOKUP($A967,Korrelation!$D$4:$D$1197,Korrelation!H$4:H$1197,"-",0)="-",0,MATCH(_xlfn.XLOOKUP($A967,Korrelation!$D$4:$D$1197,Korrelation!H$4:H$1197,"",0),DMAV_Dienste!$F$6:$F$140,0)))</f>
        <v>0</v>
      </c>
      <c r="F967" s="57">
        <f>IF($A967="","",IF(_xlfn.XLOOKUP($A967,Korrelation!$D$4:$D$1197,Korrelation!I$4:I$1197,"-",0)="-",0,MATCH(_xlfn.XLOOKUP($A967,Korrelation!$D$4:$D$1197,Korrelation!I$4:I$1197,"",0),DMAV_Dienste!$F$6:$F$140,0)))</f>
        <v>0</v>
      </c>
      <c r="G967" s="57">
        <f>IF($A967="","",IF(_xlfn.XLOOKUP($A967,Korrelation!$D$4:$D$1197,Korrelation!J$4:J$1197,"-",0)="-",0,MATCH(_xlfn.XLOOKUP($A967,Korrelation!$D$4:$D$1197,Korrelation!J$4:J$1197,"",0),DMAV_Dienste!$F$6:$F$140,0)))</f>
        <v>0</v>
      </c>
      <c r="H967" s="57">
        <f>IF($A967="","",IF(_xlfn.XLOOKUP($A967,Korrelation!$D$4:$D$1197,Korrelation!K$4:K$1197,"-",0)="-",0,MATCH(_xlfn.XLOOKUP($A967,Korrelation!$D$4:$D$1197,Korrelation!K$4:K$1197,"",0),'DM01-AV-CH'!$A$6:$A$834,0)))</f>
        <v>0</v>
      </c>
      <c r="J967" s="54" t="str" cm="1">
        <f t="array" aca="1" ref="J967" ca="1">IF(B967=0,IF(E967=0,"",HYPERLINK("#"&amp;RIGHT(CELL("adresse",OFFSET(DMAV_Dienste!$M$6,E967-1,0)),LEN(CELL("adresse",OFFSET(DMAV_Dienste!$M$6,E967-1,0)))-FIND("]",CELL("adresse",OFFSET(DMAV_Dienste!$M$6,E967-1,0)))),"Dienst")),HYPERLINK("#"&amp;RIGHT(CELL("adresse",OFFSET(DMAV_Modell!$N$6,B967-1,0)),LEN(CELL("adresse",OFFSET(DMAV_Modell!$N$6,B967-1,0)))-FIND("]",CELL("adresse",OFFSET(DMAV_Modell!$N$6,B967-1,0)))),"Modell"))</f>
        <v>Modell</v>
      </c>
      <c r="K967" s="61" t="str" cm="1">
        <f t="array" ref="K967">IF($B967=0,IF($E967=0,"",IF(INDEX(DMAV_Dienste!P$6:P$140,$E967)="","",INDEX(DMAV_Dienste!P$6:P$140,$E967))),IF(INDEX(DMAV_Modell!Q$6:Q$838,$B967)="","",INDEX(DMAV_Modell!Q$6:Q$838,$B967)))</f>
        <v>STRUCTURE.CONSTRAINT</v>
      </c>
      <c r="L967" s="62" t="str" cm="1">
        <f t="array" ref="L967">IF($B967=0,IF($E967=0,"",IF(INDEX(DMAV_Dienste!O$6:O$140,$E967)="","",INDEX(DMAV_Dienste!O$6:O$140,$E967))),IF(INDEX(DMAV_Modell!P$6:P$838,$B967)="","",INDEX(DMAV_Modell!P$6:P$838,$B967)))</f>
        <v>Rohrleitungen</v>
      </c>
      <c r="M967" s="62" t="str" cm="1">
        <f t="array" ref="M967">IF($B967=0,IF($E967=0,"",IF(INDEX(DMAV_Dienste!Q$6:Q$140,$E967)="","",INDEX(DMAV_Dienste!Q$6:Q$140,$E967))),IF(INDEX(DMAV_Modell!R$6:R$838,$B967)="","",INDEX(DMAV_Modell!R$6:R$838,$B967)))</f>
        <v>Flaechenelement</v>
      </c>
      <c r="N967" s="62" t="str" cm="1">
        <f t="array" ref="N967">IF($B967=0,IF($E967=0,"",IF(INDEX(DMAV_Dienste!T$6:T$140,$E967)="","",INDEX(DMAV_Dienste!T$6:T$140,$E967))),IF(INDEX(DMAV_Modell!U$6:U$838,$B967)="","",INDEX(DMAV_Modell!U$6:U$838,$B967)))</f>
        <v>NOT(DEFINED(@PH1@)) OR @PH2@(@PH3@)</v>
      </c>
      <c r="O967" s="63" t="str" cm="1">
        <f t="array" aca="1" ref="O967" ca="1">IF(C967=0,IF(F967=0,"",HYPERLINK("#"&amp;RIGHT(CELL("adresse",OFFSET(DMAV_Dienste!$M$6,F967-1,0)),LEN(CELL("adresse",OFFSET(DMAV_Dienste!$M$6,F967-1,0)))-FIND("]",CELL("adresse",OFFSET(DMAV_Dienste!$M$6,F967-1,0)))),"Structure")),HYPERLINK("#"&amp;RIGHT(CELL("adresse",OFFSET(DMAV_Modell!$N$6,C967-1,0)),LEN(CELL("adresse",OFFSET(DMAV_Modell!$N$6,C967-1,0)))-FIND("]",CELL("adresse",OFFSET(DMAV_Modell!$N$6,C967-1,0)))),"Structure"))</f>
        <v/>
      </c>
      <c r="P967" s="64" t="str" cm="1">
        <f t="array" aca="1" ref="P967" ca="1">IF(D967=0,IF(G967=0,"",HYPERLINK("#"&amp;RIGHT(CELL("adresse",OFFSET(DMAV_Dienste!$M$6,G967-1,0)),LEN(CELL("adresse",OFFSET(DMAV_Dienste!$M$6,G967-1,0)))-FIND("]",CELL("adresse",OFFSET(DMAV_Dienste!$M$6,G967-1,0)))),"Substructure")),HYPERLINK("#"&amp;RIGHT(CELL("adresse",OFFSET(DMAV_Modell!$N$6,D967-1,0)),LEN(CELL("adresse",OFFSET(DMAV_Modell!$N$6,D967-1,0)))-FIND("]",CELL("adresse",OFFSET(DMAV_Modell!$N$6,D967-1,0)))),"Substructure"))</f>
        <v/>
      </c>
      <c r="R967" s="80"/>
      <c r="T967" s="93"/>
      <c r="U967" s="94"/>
      <c r="V967" s="95"/>
      <c r="W967" s="96"/>
      <c r="Y967" s="85"/>
      <c r="Z967" s="86"/>
      <c r="AA967" s="87"/>
      <c r="AB967" s="88"/>
      <c r="AD967" s="77"/>
      <c r="AF967" s="54" t="str" cm="1">
        <f t="array" aca="1" ref="AF967" ca="1">IF(H967=0,"",HYPERLINK("#"&amp;RIGHT(CELL("adresse",OFFSET('DM01-AV-CH'!$G$6,H967-1,0)),LEN(CELL("adresse",OFFSET('DM01-AV-CH'!$G$6,H967-1,0)))-FIND("]",CELL("adresse",OFFSET('DM01-AV-CH'!$G$6,H967-1,0)))),"Modell"))</f>
        <v/>
      </c>
      <c r="AG967" s="72" t="str" cm="1">
        <f t="array" ref="AG967">IF($H967=0,"",IF(INDEX('DM01-AV-CH'!G$6:G$834,$H967)="","",INDEX('DM01-AV-CH'!G$6:G$834,$H967)))</f>
        <v/>
      </c>
      <c r="AH967" s="73" t="str" cm="1">
        <f t="array" ref="AH967">IF($H967=0,"",IF(INDEX('DM01-AV-CH'!H$6:H$834,$H967)="","",INDEX('DM01-AV-CH'!H$6:H$834,$H967)))</f>
        <v/>
      </c>
      <c r="AI967" s="74" t="str" cm="1">
        <f t="array" ref="AI967">IF($H967=0,"",IF(INDEX('DM01-AV-CH'!I$6:I$834,$H967)="","",INDEX('DM01-AV-CH'!I$6:I$834,$H967)))</f>
        <v/>
      </c>
    </row>
    <row r="968" spans="1:35" x14ac:dyDescent="0.25">
      <c r="A968" s="57">
        <v>963</v>
      </c>
      <c r="B968" s="57">
        <f>IF($A968="","",IF(_xlfn.XLOOKUP($A968,Korrelation!$D$4:$D$1197,Korrelation!E$4:E$1197,"-",0)="-",0,MATCH(_xlfn.XLOOKUP($A968,Korrelation!$D$4:$D$1197,Korrelation!E$4:E$1197,"",0),DMAV_Modell!$G$6:$G$677,0)))</f>
        <v>561</v>
      </c>
      <c r="C968" s="57">
        <f>IF($A968="","",IF(_xlfn.XLOOKUP($A968,Korrelation!$D$4:$D$1197,Korrelation!F$4:F$1197,"-",0)="-",0,MATCH(_xlfn.XLOOKUP($A968,Korrelation!$D$4:$D$1197,Korrelation!F$4:F$1197,"",0),DMAV_Modell!$G$6:$G$677,0)))</f>
        <v>0</v>
      </c>
      <c r="D968" s="57">
        <f>IF($A968="","",IF(_xlfn.XLOOKUP($A968,Korrelation!$D$4:$D$1197,Korrelation!G$4:G$1197,"-",0)="-",0,MATCH(_xlfn.XLOOKUP($A968,Korrelation!$D$4:$D$1197,Korrelation!G$4:G$1197,"",0),DMAV_Modell!$G$6:$G$677,0)))</f>
        <v>0</v>
      </c>
      <c r="E968" s="57">
        <f>IF($A968="","",IF(_xlfn.XLOOKUP($A968,Korrelation!$D$4:$D$1197,Korrelation!H$4:H$1197,"-",0)="-",0,MATCH(_xlfn.XLOOKUP($A968,Korrelation!$D$4:$D$1197,Korrelation!H$4:H$1197,"",0),DMAV_Dienste!$F$6:$F$140,0)))</f>
        <v>0</v>
      </c>
      <c r="F968" s="57">
        <f>IF($A968="","",IF(_xlfn.XLOOKUP($A968,Korrelation!$D$4:$D$1197,Korrelation!I$4:I$1197,"-",0)="-",0,MATCH(_xlfn.XLOOKUP($A968,Korrelation!$D$4:$D$1197,Korrelation!I$4:I$1197,"",0),DMAV_Dienste!$F$6:$F$140,0)))</f>
        <v>0</v>
      </c>
      <c r="G968" s="57">
        <f>IF($A968="","",IF(_xlfn.XLOOKUP($A968,Korrelation!$D$4:$D$1197,Korrelation!J$4:J$1197,"-",0)="-",0,MATCH(_xlfn.XLOOKUP($A968,Korrelation!$D$4:$D$1197,Korrelation!J$4:J$1197,"",0),DMAV_Dienste!$F$6:$F$140,0)))</f>
        <v>0</v>
      </c>
      <c r="H968" s="57">
        <f>IF($A968="","",IF(_xlfn.XLOOKUP($A968,Korrelation!$D$4:$D$1197,Korrelation!K$4:K$1197,"-",0)="-",0,MATCH(_xlfn.XLOOKUP($A968,Korrelation!$D$4:$D$1197,Korrelation!K$4:K$1197,"",0),'DM01-AV-CH'!$A$6:$A$834,0)))</f>
        <v>0</v>
      </c>
      <c r="J968" s="54" t="str" cm="1">
        <f t="array" aca="1" ref="J968" ca="1">IF(B968=0,IF(E968=0,"",HYPERLINK("#"&amp;RIGHT(CELL("adresse",OFFSET(DMAV_Dienste!$M$6,E968-1,0)),LEN(CELL("adresse",OFFSET(DMAV_Dienste!$M$6,E968-1,0)))-FIND("]",CELL("adresse",OFFSET(DMAV_Dienste!$M$6,E968-1,0)))),"Dienst")),HYPERLINK("#"&amp;RIGHT(CELL("adresse",OFFSET(DMAV_Modell!$N$6,B968-1,0)),LEN(CELL("adresse",OFFSET(DMAV_Modell!$N$6,B968-1,0)))-FIND("]",CELL("adresse",OFFSET(DMAV_Modell!$N$6,B968-1,0)))),"Modell"))</f>
        <v>Modell</v>
      </c>
      <c r="K968" s="61" t="str" cm="1">
        <f t="array" ref="K968">IF($B968=0,IF($E968=0,"",IF(INDEX(DMAV_Dienste!P$6:P$140,$E968)="","",INDEX(DMAV_Dienste!P$6:P$140,$E968))),IF(INDEX(DMAV_Modell!Q$6:Q$838,$B968)="","",INDEX(DMAV_Modell!Q$6:Q$838,$B968)))</f>
        <v>STRUCTURE</v>
      </c>
      <c r="L968" s="62" t="str" cm="1">
        <f t="array" ref="L968">IF($B968=0,IF($E968=0,"",IF(INDEX(DMAV_Dienste!O$6:O$140,$E968)="","",INDEX(DMAV_Dienste!O$6:O$140,$E968))),IF(INDEX(DMAV_Modell!P$6:P$838,$B968)="","",INDEX(DMAV_Modell!P$6:P$838,$B968)))</f>
        <v>Rohrleitungen</v>
      </c>
      <c r="M968" s="62" t="str" cm="1">
        <f t="array" ref="M968">IF($B968=0,IF($E968=0,"",IF(INDEX(DMAV_Dienste!Q$6:Q$140,$E968)="","",INDEX(DMAV_Dienste!Q$6:Q$140,$E968))),IF(INDEX(DMAV_Modell!R$6:R$838,$B968)="","",INDEX(DMAV_Modell!R$6:R$838,$B968)))</f>
        <v>Linienelement</v>
      </c>
      <c r="N968" s="62" t="str" cm="1">
        <f t="array" ref="N968">IF($B968=0,IF($E968=0,"",IF(INDEX(DMAV_Dienste!T$6:T$140,$E968)="","",INDEX(DMAV_Dienste!T$6:T$140,$E968))),IF(INDEX(DMAV_Modell!U$6:U$838,$B968)="","",INDEX(DMAV_Modell!U$6:U$838,$B968)))</f>
        <v>Geometrie</v>
      </c>
      <c r="O968" s="63" t="str" cm="1">
        <f t="array" aca="1" ref="O968" ca="1">IF(C968=0,IF(F968=0,"",HYPERLINK("#"&amp;RIGHT(CELL("adresse",OFFSET(DMAV_Dienste!$M$6,F968-1,0)),LEN(CELL("adresse",OFFSET(DMAV_Dienste!$M$6,F968-1,0)))-FIND("]",CELL("adresse",OFFSET(DMAV_Dienste!$M$6,F968-1,0)))),"Structure")),HYPERLINK("#"&amp;RIGHT(CELL("adresse",OFFSET(DMAV_Modell!$N$6,C968-1,0)),LEN(CELL("adresse",OFFSET(DMAV_Modell!$N$6,C968-1,0)))-FIND("]",CELL("adresse",OFFSET(DMAV_Modell!$N$6,C968-1,0)))),"Structure"))</f>
        <v/>
      </c>
      <c r="P968" s="64" t="str" cm="1">
        <f t="array" aca="1" ref="P968" ca="1">IF(D968=0,IF(G968=0,"",HYPERLINK("#"&amp;RIGHT(CELL("adresse",OFFSET(DMAV_Dienste!$M$6,G968-1,0)),LEN(CELL("adresse",OFFSET(DMAV_Dienste!$M$6,G968-1,0)))-FIND("]",CELL("adresse",OFFSET(DMAV_Dienste!$M$6,G968-1,0)))),"Substructure")),HYPERLINK("#"&amp;RIGHT(CELL("adresse",OFFSET(DMAV_Modell!$N$6,D968-1,0)),LEN(CELL("adresse",OFFSET(DMAV_Modell!$N$6,D968-1,0)))-FIND("]",CELL("adresse",OFFSET(DMAV_Modell!$N$6,D968-1,0)))),"Substructure"))</f>
        <v/>
      </c>
      <c r="R968" s="80"/>
      <c r="T968" s="93"/>
      <c r="U968" s="94"/>
      <c r="V968" s="95"/>
      <c r="W968" s="96"/>
      <c r="Y968" s="85"/>
      <c r="Z968" s="86"/>
      <c r="AA968" s="87"/>
      <c r="AB968" s="88"/>
      <c r="AD968" s="77"/>
      <c r="AF968" s="54" t="str" cm="1">
        <f t="array" aca="1" ref="AF968" ca="1">IF(H968=0,"",HYPERLINK("#"&amp;RIGHT(CELL("adresse",OFFSET('DM01-AV-CH'!$G$6,H968-1,0)),LEN(CELL("adresse",OFFSET('DM01-AV-CH'!$G$6,H968-1,0)))-FIND("]",CELL("adresse",OFFSET('DM01-AV-CH'!$G$6,H968-1,0)))),"Modell"))</f>
        <v/>
      </c>
      <c r="AG968" s="72" t="str" cm="1">
        <f t="array" ref="AG968">IF($H968=0,"",IF(INDEX('DM01-AV-CH'!G$6:G$834,$H968)="","",INDEX('DM01-AV-CH'!G$6:G$834,$H968)))</f>
        <v/>
      </c>
      <c r="AH968" s="73" t="str" cm="1">
        <f t="array" ref="AH968">IF($H968=0,"",IF(INDEX('DM01-AV-CH'!H$6:H$834,$H968)="","",INDEX('DM01-AV-CH'!H$6:H$834,$H968)))</f>
        <v/>
      </c>
      <c r="AI968" s="74" t="str" cm="1">
        <f t="array" ref="AI968">IF($H968=0,"",IF(INDEX('DM01-AV-CH'!I$6:I$834,$H968)="","",INDEX('DM01-AV-CH'!I$6:I$834,$H968)))</f>
        <v/>
      </c>
    </row>
    <row r="969" spans="1:35" x14ac:dyDescent="0.25">
      <c r="A969" s="57">
        <v>964</v>
      </c>
      <c r="B969" s="57">
        <f>IF($A969="","",IF(_xlfn.XLOOKUP($A969,Korrelation!$D$4:$D$1197,Korrelation!E$4:E$1197,"-",0)="-",0,MATCH(_xlfn.XLOOKUP($A969,Korrelation!$D$4:$D$1197,Korrelation!E$4:E$1197,"",0),DMAV_Modell!$G$6:$G$677,0)))</f>
        <v>562</v>
      </c>
      <c r="C969" s="57">
        <f>IF($A969="","",IF(_xlfn.XLOOKUP($A969,Korrelation!$D$4:$D$1197,Korrelation!F$4:F$1197,"-",0)="-",0,MATCH(_xlfn.XLOOKUP($A969,Korrelation!$D$4:$D$1197,Korrelation!F$4:F$1197,"",0),DMAV_Modell!$G$6:$G$677,0)))</f>
        <v>0</v>
      </c>
      <c r="D969" s="57">
        <f>IF($A969="","",IF(_xlfn.XLOOKUP($A969,Korrelation!$D$4:$D$1197,Korrelation!G$4:G$1197,"-",0)="-",0,MATCH(_xlfn.XLOOKUP($A969,Korrelation!$D$4:$D$1197,Korrelation!G$4:G$1197,"",0),DMAV_Modell!$G$6:$G$677,0)))</f>
        <v>0</v>
      </c>
      <c r="E969" s="57">
        <f>IF($A969="","",IF(_xlfn.XLOOKUP($A969,Korrelation!$D$4:$D$1197,Korrelation!H$4:H$1197,"-",0)="-",0,MATCH(_xlfn.XLOOKUP($A969,Korrelation!$D$4:$D$1197,Korrelation!H$4:H$1197,"",0),DMAV_Dienste!$F$6:$F$140,0)))</f>
        <v>0</v>
      </c>
      <c r="F969" s="57">
        <f>IF($A969="","",IF(_xlfn.XLOOKUP($A969,Korrelation!$D$4:$D$1197,Korrelation!I$4:I$1197,"-",0)="-",0,MATCH(_xlfn.XLOOKUP($A969,Korrelation!$D$4:$D$1197,Korrelation!I$4:I$1197,"",0),DMAV_Dienste!$F$6:$F$140,0)))</f>
        <v>0</v>
      </c>
      <c r="G969" s="57">
        <f>IF($A969="","",IF(_xlfn.XLOOKUP($A969,Korrelation!$D$4:$D$1197,Korrelation!J$4:J$1197,"-",0)="-",0,MATCH(_xlfn.XLOOKUP($A969,Korrelation!$D$4:$D$1197,Korrelation!J$4:J$1197,"",0),DMAV_Dienste!$F$6:$F$140,0)))</f>
        <v>0</v>
      </c>
      <c r="H969" s="57">
        <f>IF($A969="","",IF(_xlfn.XLOOKUP($A969,Korrelation!$D$4:$D$1197,Korrelation!K$4:K$1197,"-",0)="-",0,MATCH(_xlfn.XLOOKUP($A969,Korrelation!$D$4:$D$1197,Korrelation!K$4:K$1197,"",0),'DM01-AV-CH'!$A$6:$A$834,0)))</f>
        <v>0</v>
      </c>
      <c r="J969" s="54" t="str" cm="1">
        <f t="array" aca="1" ref="J969" ca="1">IF(B969=0,IF(E969=0,"",HYPERLINK("#"&amp;RIGHT(CELL("adresse",OFFSET(DMAV_Dienste!$M$6,E969-1,0)),LEN(CELL("adresse",OFFSET(DMAV_Dienste!$M$6,E969-1,0)))-FIND("]",CELL("adresse",OFFSET(DMAV_Dienste!$M$6,E969-1,0)))),"Dienst")),HYPERLINK("#"&amp;RIGHT(CELL("adresse",OFFSET(DMAV_Modell!$N$6,B969-1,0)),LEN(CELL("adresse",OFFSET(DMAV_Modell!$N$6,B969-1,0)))-FIND("]",CELL("adresse",OFFSET(DMAV_Modell!$N$6,B969-1,0)))),"Modell"))</f>
        <v>Modell</v>
      </c>
      <c r="K969" s="61" t="str" cm="1">
        <f t="array" ref="K969">IF($B969=0,IF($E969=0,"",IF(INDEX(DMAV_Dienste!P$6:P$140,$E969)="","",INDEX(DMAV_Dienste!P$6:P$140,$E969))),IF(INDEX(DMAV_Modell!Q$6:Q$838,$B969)="","",INDEX(DMAV_Modell!Q$6:Q$838,$B969)))</f>
        <v>STRUCTURE</v>
      </c>
      <c r="L969" s="62" t="str" cm="1">
        <f t="array" ref="L969">IF($B969=0,IF($E969=0,"",IF(INDEX(DMAV_Dienste!O$6:O$140,$E969)="","",INDEX(DMAV_Dienste!O$6:O$140,$E969))),IF(INDEX(DMAV_Modell!P$6:P$838,$B969)="","",INDEX(DMAV_Modell!P$6:P$838,$B969)))</f>
        <v>Rohrleitungen</v>
      </c>
      <c r="M969" s="62" t="str" cm="1">
        <f t="array" ref="M969">IF($B969=0,IF($E969=0,"",IF(INDEX(DMAV_Dienste!Q$6:Q$140,$E969)="","",INDEX(DMAV_Dienste!Q$6:Q$140,$E969))),IF(INDEX(DMAV_Modell!R$6:R$838,$B969)="","",INDEX(DMAV_Modell!R$6:R$838,$B969)))</f>
        <v>Linienelement</v>
      </c>
      <c r="N969" s="62" t="str" cm="1">
        <f t="array" ref="N969">IF($B969=0,IF($E969=0,"",IF(INDEX(DMAV_Dienste!T$6:T$140,$E969)="","",INDEX(DMAV_Dienste!T$6:T$140,$E969))),IF(INDEX(DMAV_Modell!U$6:U$838,$B969)="","",INDEX(DMAV_Modell!U$6:U$838,$B969)))</f>
        <v>IstSichtbar</v>
      </c>
      <c r="O969" s="63" t="str" cm="1">
        <f t="array" aca="1" ref="O969" ca="1">IF(C969=0,IF(F969=0,"",HYPERLINK("#"&amp;RIGHT(CELL("adresse",OFFSET(DMAV_Dienste!$M$6,F969-1,0)),LEN(CELL("adresse",OFFSET(DMAV_Dienste!$M$6,F969-1,0)))-FIND("]",CELL("adresse",OFFSET(DMAV_Dienste!$M$6,F969-1,0)))),"Structure")),HYPERLINK("#"&amp;RIGHT(CELL("adresse",OFFSET(DMAV_Modell!$N$6,C969-1,0)),LEN(CELL("adresse",OFFSET(DMAV_Modell!$N$6,C969-1,0)))-FIND("]",CELL("adresse",OFFSET(DMAV_Modell!$N$6,C969-1,0)))),"Structure"))</f>
        <v/>
      </c>
      <c r="P969" s="64" t="str" cm="1">
        <f t="array" aca="1" ref="P969" ca="1">IF(D969=0,IF(G969=0,"",HYPERLINK("#"&amp;RIGHT(CELL("adresse",OFFSET(DMAV_Dienste!$M$6,G969-1,0)),LEN(CELL("adresse",OFFSET(DMAV_Dienste!$M$6,G969-1,0)))-FIND("]",CELL("adresse",OFFSET(DMAV_Dienste!$M$6,G969-1,0)))),"Substructure")),HYPERLINK("#"&amp;RIGHT(CELL("adresse",OFFSET(DMAV_Modell!$N$6,D969-1,0)),LEN(CELL("adresse",OFFSET(DMAV_Modell!$N$6,D969-1,0)))-FIND("]",CELL("adresse",OFFSET(DMAV_Modell!$N$6,D969-1,0)))),"Substructure"))</f>
        <v/>
      </c>
      <c r="R969" s="80"/>
      <c r="T969" s="93"/>
      <c r="U969" s="94"/>
      <c r="V969" s="95"/>
      <c r="W969" s="96"/>
      <c r="Y969" s="85"/>
      <c r="Z969" s="86"/>
      <c r="AA969" s="87"/>
      <c r="AB969" s="88"/>
      <c r="AD969" s="77"/>
      <c r="AF969" s="54" t="str" cm="1">
        <f t="array" aca="1" ref="AF969" ca="1">IF(H969=0,"",HYPERLINK("#"&amp;RIGHT(CELL("adresse",OFFSET('DM01-AV-CH'!$G$6,H969-1,0)),LEN(CELL("adresse",OFFSET('DM01-AV-CH'!$G$6,H969-1,0)))-FIND("]",CELL("adresse",OFFSET('DM01-AV-CH'!$G$6,H969-1,0)))),"Modell"))</f>
        <v/>
      </c>
      <c r="AG969" s="72" t="str" cm="1">
        <f t="array" ref="AG969">IF($H969=0,"",IF(INDEX('DM01-AV-CH'!G$6:G$834,$H969)="","",INDEX('DM01-AV-CH'!G$6:G$834,$H969)))</f>
        <v/>
      </c>
      <c r="AH969" s="73" t="str" cm="1">
        <f t="array" ref="AH969">IF($H969=0,"",IF(INDEX('DM01-AV-CH'!H$6:H$834,$H969)="","",INDEX('DM01-AV-CH'!H$6:H$834,$H969)))</f>
        <v/>
      </c>
      <c r="AI969" s="74" t="str" cm="1">
        <f t="array" ref="AI969">IF($H969=0,"",IF(INDEX('DM01-AV-CH'!I$6:I$834,$H969)="","",INDEX('DM01-AV-CH'!I$6:I$834,$H969)))</f>
        <v/>
      </c>
    </row>
    <row r="970" spans="1:35" x14ac:dyDescent="0.25">
      <c r="A970" s="57">
        <v>965</v>
      </c>
      <c r="B970" s="57">
        <f>IF($A970="","",IF(_xlfn.XLOOKUP($A970,Korrelation!$D$4:$D$1197,Korrelation!E$4:E$1197,"-",0)="-",0,MATCH(_xlfn.XLOOKUP($A970,Korrelation!$D$4:$D$1197,Korrelation!E$4:E$1197,"",0),DMAV_Modell!$G$6:$G$677,0)))</f>
        <v>563</v>
      </c>
      <c r="C970" s="57">
        <f>IF($A970="","",IF(_xlfn.XLOOKUP($A970,Korrelation!$D$4:$D$1197,Korrelation!F$4:F$1197,"-",0)="-",0,MATCH(_xlfn.XLOOKUP($A970,Korrelation!$D$4:$D$1197,Korrelation!F$4:F$1197,"",0),DMAV_Modell!$G$6:$G$677,0)))</f>
        <v>0</v>
      </c>
      <c r="D970" s="57">
        <f>IF($A970="","",IF(_xlfn.XLOOKUP($A970,Korrelation!$D$4:$D$1197,Korrelation!G$4:G$1197,"-",0)="-",0,MATCH(_xlfn.XLOOKUP($A970,Korrelation!$D$4:$D$1197,Korrelation!G$4:G$1197,"",0),DMAV_Modell!$G$6:$G$677,0)))</f>
        <v>0</v>
      </c>
      <c r="E970" s="57">
        <f>IF($A970="","",IF(_xlfn.XLOOKUP($A970,Korrelation!$D$4:$D$1197,Korrelation!H$4:H$1197,"-",0)="-",0,MATCH(_xlfn.XLOOKUP($A970,Korrelation!$D$4:$D$1197,Korrelation!H$4:H$1197,"",0),DMAV_Dienste!$F$6:$F$140,0)))</f>
        <v>0</v>
      </c>
      <c r="F970" s="57">
        <f>IF($A970="","",IF(_xlfn.XLOOKUP($A970,Korrelation!$D$4:$D$1197,Korrelation!I$4:I$1197,"-",0)="-",0,MATCH(_xlfn.XLOOKUP($A970,Korrelation!$D$4:$D$1197,Korrelation!I$4:I$1197,"",0),DMAV_Dienste!$F$6:$F$140,0)))</f>
        <v>0</v>
      </c>
      <c r="G970" s="57">
        <f>IF($A970="","",IF(_xlfn.XLOOKUP($A970,Korrelation!$D$4:$D$1197,Korrelation!J$4:J$1197,"-",0)="-",0,MATCH(_xlfn.XLOOKUP($A970,Korrelation!$D$4:$D$1197,Korrelation!J$4:J$1197,"",0),DMAV_Dienste!$F$6:$F$140,0)))</f>
        <v>0</v>
      </c>
      <c r="H970" s="57">
        <f>IF($A970="","",IF(_xlfn.XLOOKUP($A970,Korrelation!$D$4:$D$1197,Korrelation!K$4:K$1197,"-",0)="-",0,MATCH(_xlfn.XLOOKUP($A970,Korrelation!$D$4:$D$1197,Korrelation!K$4:K$1197,"",0),'DM01-AV-CH'!$A$6:$A$834,0)))</f>
        <v>0</v>
      </c>
      <c r="J970" s="54" t="str" cm="1">
        <f t="array" aca="1" ref="J970" ca="1">IF(B970=0,IF(E970=0,"",HYPERLINK("#"&amp;RIGHT(CELL("adresse",OFFSET(DMAV_Dienste!$M$6,E970-1,0)),LEN(CELL("adresse",OFFSET(DMAV_Dienste!$M$6,E970-1,0)))-FIND("]",CELL("adresse",OFFSET(DMAV_Dienste!$M$6,E970-1,0)))),"Dienst")),HYPERLINK("#"&amp;RIGHT(CELL("adresse",OFFSET(DMAV_Modell!$N$6,B970-1,0)),LEN(CELL("adresse",OFFSET(DMAV_Modell!$N$6,B970-1,0)))-FIND("]",CELL("adresse",OFFSET(DMAV_Modell!$N$6,B970-1,0)))),"Modell"))</f>
        <v>Modell</v>
      </c>
      <c r="K970" s="61" t="str" cm="1">
        <f t="array" ref="K970">IF($B970=0,IF($E970=0,"",IF(INDEX(DMAV_Dienste!P$6:P$140,$E970)="","",INDEX(DMAV_Dienste!P$6:P$140,$E970))),IF(INDEX(DMAV_Modell!Q$6:Q$838,$B970)="","",INDEX(DMAV_Modell!Q$6:Q$838,$B970)))</f>
        <v>STRUCTURE</v>
      </c>
      <c r="L970" s="62" t="str" cm="1">
        <f t="array" ref="L970">IF($B970=0,IF($E970=0,"",IF(INDEX(DMAV_Dienste!O$6:O$140,$E970)="","",INDEX(DMAV_Dienste!O$6:O$140,$E970))),IF(INDEX(DMAV_Modell!P$6:P$838,$B970)="","",INDEX(DMAV_Modell!P$6:P$838,$B970)))</f>
        <v>Rohrleitungen</v>
      </c>
      <c r="M970" s="62" t="str" cm="1">
        <f t="array" ref="M970">IF($B970=0,IF($E970=0,"",IF(INDEX(DMAV_Dienste!Q$6:Q$140,$E970)="","",INDEX(DMAV_Dienste!Q$6:Q$140,$E970))),IF(INDEX(DMAV_Modell!R$6:R$838,$B970)="","",INDEX(DMAV_Modell!R$6:R$838,$B970)))</f>
        <v>Punktelement</v>
      </c>
      <c r="N970" s="62" t="str" cm="1">
        <f t="array" ref="N970">IF($B970=0,IF($E970=0,"",IF(INDEX(DMAV_Dienste!T$6:T$140,$E970)="","",INDEX(DMAV_Dienste!T$6:T$140,$E970))),IF(INDEX(DMAV_Modell!U$6:U$838,$B970)="","",INDEX(DMAV_Modell!U$6:U$838,$B970)))</f>
        <v>Geometrie</v>
      </c>
      <c r="O970" s="63" t="str" cm="1">
        <f t="array" aca="1" ref="O970" ca="1">IF(C970=0,IF(F970=0,"",HYPERLINK("#"&amp;RIGHT(CELL("adresse",OFFSET(DMAV_Dienste!$M$6,F970-1,0)),LEN(CELL("adresse",OFFSET(DMAV_Dienste!$M$6,F970-1,0)))-FIND("]",CELL("adresse",OFFSET(DMAV_Dienste!$M$6,F970-1,0)))),"Structure")),HYPERLINK("#"&amp;RIGHT(CELL("adresse",OFFSET(DMAV_Modell!$N$6,C970-1,0)),LEN(CELL("adresse",OFFSET(DMAV_Modell!$N$6,C970-1,0)))-FIND("]",CELL("adresse",OFFSET(DMAV_Modell!$N$6,C970-1,0)))),"Structure"))</f>
        <v/>
      </c>
      <c r="P970" s="64" t="str" cm="1">
        <f t="array" aca="1" ref="P970" ca="1">IF(D970=0,IF(G970=0,"",HYPERLINK("#"&amp;RIGHT(CELL("adresse",OFFSET(DMAV_Dienste!$M$6,G970-1,0)),LEN(CELL("adresse",OFFSET(DMAV_Dienste!$M$6,G970-1,0)))-FIND("]",CELL("adresse",OFFSET(DMAV_Dienste!$M$6,G970-1,0)))),"Substructure")),HYPERLINK("#"&amp;RIGHT(CELL("adresse",OFFSET(DMAV_Modell!$N$6,D970-1,0)),LEN(CELL("adresse",OFFSET(DMAV_Modell!$N$6,D970-1,0)))-FIND("]",CELL("adresse",OFFSET(DMAV_Modell!$N$6,D970-1,0)))),"Substructure"))</f>
        <v/>
      </c>
      <c r="R970" s="80"/>
      <c r="T970" s="93"/>
      <c r="U970" s="94"/>
      <c r="V970" s="95"/>
      <c r="W970" s="96"/>
      <c r="Y970" s="85"/>
      <c r="Z970" s="86"/>
      <c r="AA970" s="87"/>
      <c r="AB970" s="88"/>
      <c r="AD970" s="77"/>
      <c r="AF970" s="54" t="str" cm="1">
        <f t="array" aca="1" ref="AF970" ca="1">IF(H970=0,"",HYPERLINK("#"&amp;RIGHT(CELL("adresse",OFFSET('DM01-AV-CH'!$G$6,H970-1,0)),LEN(CELL("adresse",OFFSET('DM01-AV-CH'!$G$6,H970-1,0)))-FIND("]",CELL("adresse",OFFSET('DM01-AV-CH'!$G$6,H970-1,0)))),"Modell"))</f>
        <v/>
      </c>
      <c r="AG970" s="72" t="str" cm="1">
        <f t="array" ref="AG970">IF($H970=0,"",IF(INDEX('DM01-AV-CH'!G$6:G$834,$H970)="","",INDEX('DM01-AV-CH'!G$6:G$834,$H970)))</f>
        <v/>
      </c>
      <c r="AH970" s="73" t="str" cm="1">
        <f t="array" ref="AH970">IF($H970=0,"",IF(INDEX('DM01-AV-CH'!H$6:H$834,$H970)="","",INDEX('DM01-AV-CH'!H$6:H$834,$H970)))</f>
        <v/>
      </c>
      <c r="AI970" s="74" t="str" cm="1">
        <f t="array" ref="AI970">IF($H970=0,"",IF(INDEX('DM01-AV-CH'!I$6:I$834,$H970)="","",INDEX('DM01-AV-CH'!I$6:I$834,$H970)))</f>
        <v/>
      </c>
    </row>
    <row r="971" spans="1:35" x14ac:dyDescent="0.25">
      <c r="A971" s="57">
        <v>966</v>
      </c>
      <c r="B971" s="57">
        <f>IF($A971="","",IF(_xlfn.XLOOKUP($A971,Korrelation!$D$4:$D$1197,Korrelation!E$4:E$1197,"-",0)="-",0,MATCH(_xlfn.XLOOKUP($A971,Korrelation!$D$4:$D$1197,Korrelation!E$4:E$1197,"",0),DMAV_Modell!$G$6:$G$677,0)))</f>
        <v>564</v>
      </c>
      <c r="C971" s="57">
        <f>IF($A971="","",IF(_xlfn.XLOOKUP($A971,Korrelation!$D$4:$D$1197,Korrelation!F$4:F$1197,"-",0)="-",0,MATCH(_xlfn.XLOOKUP($A971,Korrelation!$D$4:$D$1197,Korrelation!F$4:F$1197,"",0),DMAV_Modell!$G$6:$G$677,0)))</f>
        <v>0</v>
      </c>
      <c r="D971" s="57">
        <f>IF($A971="","",IF(_xlfn.XLOOKUP($A971,Korrelation!$D$4:$D$1197,Korrelation!G$4:G$1197,"-",0)="-",0,MATCH(_xlfn.XLOOKUP($A971,Korrelation!$D$4:$D$1197,Korrelation!G$4:G$1197,"",0),DMAV_Modell!$G$6:$G$677,0)))</f>
        <v>0</v>
      </c>
      <c r="E971" s="57">
        <f>IF($A971="","",IF(_xlfn.XLOOKUP($A971,Korrelation!$D$4:$D$1197,Korrelation!H$4:H$1197,"-",0)="-",0,MATCH(_xlfn.XLOOKUP($A971,Korrelation!$D$4:$D$1197,Korrelation!H$4:H$1197,"",0),DMAV_Dienste!$F$6:$F$140,0)))</f>
        <v>0</v>
      </c>
      <c r="F971" s="57">
        <f>IF($A971="","",IF(_xlfn.XLOOKUP($A971,Korrelation!$D$4:$D$1197,Korrelation!I$4:I$1197,"-",0)="-",0,MATCH(_xlfn.XLOOKUP($A971,Korrelation!$D$4:$D$1197,Korrelation!I$4:I$1197,"",0),DMAV_Dienste!$F$6:$F$140,0)))</f>
        <v>0</v>
      </c>
      <c r="G971" s="57">
        <f>IF($A971="","",IF(_xlfn.XLOOKUP($A971,Korrelation!$D$4:$D$1197,Korrelation!J$4:J$1197,"-",0)="-",0,MATCH(_xlfn.XLOOKUP($A971,Korrelation!$D$4:$D$1197,Korrelation!J$4:J$1197,"",0),DMAV_Dienste!$F$6:$F$140,0)))</f>
        <v>0</v>
      </c>
      <c r="H971" s="57">
        <f>IF($A971="","",IF(_xlfn.XLOOKUP($A971,Korrelation!$D$4:$D$1197,Korrelation!K$4:K$1197,"-",0)="-",0,MATCH(_xlfn.XLOOKUP($A971,Korrelation!$D$4:$D$1197,Korrelation!K$4:K$1197,"",0),'DM01-AV-CH'!$A$6:$A$834,0)))</f>
        <v>0</v>
      </c>
      <c r="J971" s="54" t="str" cm="1">
        <f t="array" aca="1" ref="J971" ca="1">IF(B971=0,IF(E971=0,"",HYPERLINK("#"&amp;RIGHT(CELL("adresse",OFFSET(DMAV_Dienste!$M$6,E971-1,0)),LEN(CELL("adresse",OFFSET(DMAV_Dienste!$M$6,E971-1,0)))-FIND("]",CELL("adresse",OFFSET(DMAV_Dienste!$M$6,E971-1,0)))),"Dienst")),HYPERLINK("#"&amp;RIGHT(CELL("adresse",OFFSET(DMAV_Modell!$N$6,B971-1,0)),LEN(CELL("adresse",OFFSET(DMAV_Modell!$N$6,B971-1,0)))-FIND("]",CELL("adresse",OFFSET(DMAV_Modell!$N$6,B971-1,0)))),"Modell"))</f>
        <v>Modell</v>
      </c>
      <c r="K971" s="61" t="str" cm="1">
        <f t="array" ref="K971">IF($B971=0,IF($E971=0,"",IF(INDEX(DMAV_Dienste!P$6:P$140,$E971)="","",INDEX(DMAV_Dienste!P$6:P$140,$E971))),IF(INDEX(DMAV_Modell!Q$6:Q$838,$B971)="","",INDEX(DMAV_Modell!Q$6:Q$838,$B971)))</f>
        <v>STRUCTURE</v>
      </c>
      <c r="L971" s="62" t="str" cm="1">
        <f t="array" ref="L971">IF($B971=0,IF($E971=0,"",IF(INDEX(DMAV_Dienste!O$6:O$140,$E971)="","",INDEX(DMAV_Dienste!O$6:O$140,$E971))),IF(INDEX(DMAV_Modell!P$6:P$838,$B971)="","",INDEX(DMAV_Modell!P$6:P$838,$B971)))</f>
        <v>Rohrleitungen</v>
      </c>
      <c r="M971" s="62" t="str" cm="1">
        <f t="array" ref="M971">IF($B971=0,IF($E971=0,"",IF(INDEX(DMAV_Dienste!Q$6:Q$140,$E971)="","",INDEX(DMAV_Dienste!Q$6:Q$140,$E971))),IF(INDEX(DMAV_Modell!R$6:R$838,$B971)="","",INDEX(DMAV_Modell!R$6:R$838,$B971)))</f>
        <v>Punktelement</v>
      </c>
      <c r="N971" s="62" t="str" cm="1">
        <f t="array" ref="N971">IF($B971=0,IF($E971=0,"",IF(INDEX(DMAV_Dienste!T$6:T$140,$E971)="","",INDEX(DMAV_Dienste!T$6:T$140,$E971))),IF(INDEX(DMAV_Modell!U$6:U$838,$B971)="","",INDEX(DMAV_Modell!U$6:U$838,$B971)))</f>
        <v>Hoehengeometrie</v>
      </c>
      <c r="O971" s="63" t="str" cm="1">
        <f t="array" aca="1" ref="O971" ca="1">IF(C971=0,IF(F971=0,"",HYPERLINK("#"&amp;RIGHT(CELL("adresse",OFFSET(DMAV_Dienste!$M$6,F971-1,0)),LEN(CELL("adresse",OFFSET(DMAV_Dienste!$M$6,F971-1,0)))-FIND("]",CELL("adresse",OFFSET(DMAV_Dienste!$M$6,F971-1,0)))),"Structure")),HYPERLINK("#"&amp;RIGHT(CELL("adresse",OFFSET(DMAV_Modell!$N$6,C971-1,0)),LEN(CELL("adresse",OFFSET(DMAV_Modell!$N$6,C971-1,0)))-FIND("]",CELL("adresse",OFFSET(DMAV_Modell!$N$6,C971-1,0)))),"Structure"))</f>
        <v/>
      </c>
      <c r="P971" s="64" t="str" cm="1">
        <f t="array" aca="1" ref="P971" ca="1">IF(D971=0,IF(G971=0,"",HYPERLINK("#"&amp;RIGHT(CELL("adresse",OFFSET(DMAV_Dienste!$M$6,G971-1,0)),LEN(CELL("adresse",OFFSET(DMAV_Dienste!$M$6,G971-1,0)))-FIND("]",CELL("adresse",OFFSET(DMAV_Dienste!$M$6,G971-1,0)))),"Substructure")),HYPERLINK("#"&amp;RIGHT(CELL("adresse",OFFSET(DMAV_Modell!$N$6,D971-1,0)),LEN(CELL("adresse",OFFSET(DMAV_Modell!$N$6,D971-1,0)))-FIND("]",CELL("adresse",OFFSET(DMAV_Modell!$N$6,D971-1,0)))),"Substructure"))</f>
        <v/>
      </c>
      <c r="R971" s="80"/>
      <c r="T971" s="93"/>
      <c r="U971" s="94"/>
      <c r="V971" s="95"/>
      <c r="W971" s="96"/>
      <c r="Y971" s="85"/>
      <c r="Z971" s="86"/>
      <c r="AA971" s="87"/>
      <c r="AB971" s="88"/>
      <c r="AD971" s="77"/>
      <c r="AF971" s="54" t="str" cm="1">
        <f t="array" aca="1" ref="AF971" ca="1">IF(H971=0,"",HYPERLINK("#"&amp;RIGHT(CELL("adresse",OFFSET('DM01-AV-CH'!$G$6,H971-1,0)),LEN(CELL("adresse",OFFSET('DM01-AV-CH'!$G$6,H971-1,0)))-FIND("]",CELL("adresse",OFFSET('DM01-AV-CH'!$G$6,H971-1,0)))),"Modell"))</f>
        <v/>
      </c>
      <c r="AG971" s="72" t="str" cm="1">
        <f t="array" ref="AG971">IF($H971=0,"",IF(INDEX('DM01-AV-CH'!G$6:G$834,$H971)="","",INDEX('DM01-AV-CH'!G$6:G$834,$H971)))</f>
        <v/>
      </c>
      <c r="AH971" s="73" t="str" cm="1">
        <f t="array" ref="AH971">IF($H971=0,"",IF(INDEX('DM01-AV-CH'!H$6:H$834,$H971)="","",INDEX('DM01-AV-CH'!H$6:H$834,$H971)))</f>
        <v/>
      </c>
      <c r="AI971" s="74" t="str" cm="1">
        <f t="array" ref="AI971">IF($H971=0,"",IF(INDEX('DM01-AV-CH'!I$6:I$834,$H971)="","",INDEX('DM01-AV-CH'!I$6:I$834,$H971)))</f>
        <v/>
      </c>
    </row>
    <row r="972" spans="1:35" x14ac:dyDescent="0.25">
      <c r="A972" s="57">
        <v>967</v>
      </c>
      <c r="B972" s="57">
        <f>IF($A972="","",IF(_xlfn.XLOOKUP($A972,Korrelation!$D$4:$D$1197,Korrelation!E$4:E$1197,"-",0)="-",0,MATCH(_xlfn.XLOOKUP($A972,Korrelation!$D$4:$D$1197,Korrelation!E$4:E$1197,"",0),DMAV_Modell!$G$6:$G$677,0)))</f>
        <v>565</v>
      </c>
      <c r="C972" s="57">
        <f>IF($A972="","",IF(_xlfn.XLOOKUP($A972,Korrelation!$D$4:$D$1197,Korrelation!F$4:F$1197,"-",0)="-",0,MATCH(_xlfn.XLOOKUP($A972,Korrelation!$D$4:$D$1197,Korrelation!F$4:F$1197,"",0),DMAV_Modell!$G$6:$G$677,0)))</f>
        <v>0</v>
      </c>
      <c r="D972" s="57">
        <f>IF($A972="","",IF(_xlfn.XLOOKUP($A972,Korrelation!$D$4:$D$1197,Korrelation!G$4:G$1197,"-",0)="-",0,MATCH(_xlfn.XLOOKUP($A972,Korrelation!$D$4:$D$1197,Korrelation!G$4:G$1197,"",0),DMAV_Modell!$G$6:$G$677,0)))</f>
        <v>0</v>
      </c>
      <c r="E972" s="57">
        <f>IF($A972="","",IF(_xlfn.XLOOKUP($A972,Korrelation!$D$4:$D$1197,Korrelation!H$4:H$1197,"-",0)="-",0,MATCH(_xlfn.XLOOKUP($A972,Korrelation!$D$4:$D$1197,Korrelation!H$4:H$1197,"",0),DMAV_Dienste!$F$6:$F$140,0)))</f>
        <v>0</v>
      </c>
      <c r="F972" s="57">
        <f>IF($A972="","",IF(_xlfn.XLOOKUP($A972,Korrelation!$D$4:$D$1197,Korrelation!I$4:I$1197,"-",0)="-",0,MATCH(_xlfn.XLOOKUP($A972,Korrelation!$D$4:$D$1197,Korrelation!I$4:I$1197,"",0),DMAV_Dienste!$F$6:$F$140,0)))</f>
        <v>0</v>
      </c>
      <c r="G972" s="57">
        <f>IF($A972="","",IF(_xlfn.XLOOKUP($A972,Korrelation!$D$4:$D$1197,Korrelation!J$4:J$1197,"-",0)="-",0,MATCH(_xlfn.XLOOKUP($A972,Korrelation!$D$4:$D$1197,Korrelation!J$4:J$1197,"",0),DMAV_Dienste!$F$6:$F$140,0)))</f>
        <v>0</v>
      </c>
      <c r="H972" s="57">
        <f>IF($A972="","",IF(_xlfn.XLOOKUP($A972,Korrelation!$D$4:$D$1197,Korrelation!K$4:K$1197,"-",0)="-",0,MATCH(_xlfn.XLOOKUP($A972,Korrelation!$D$4:$D$1197,Korrelation!K$4:K$1197,"",0),'DM01-AV-CH'!$A$6:$A$834,0)))</f>
        <v>0</v>
      </c>
      <c r="J972" s="54" t="str" cm="1">
        <f t="array" aca="1" ref="J972" ca="1">IF(B972=0,IF(E972=0,"",HYPERLINK("#"&amp;RIGHT(CELL("adresse",OFFSET(DMAV_Dienste!$M$6,E972-1,0)),LEN(CELL("adresse",OFFSET(DMAV_Dienste!$M$6,E972-1,0)))-FIND("]",CELL("adresse",OFFSET(DMAV_Dienste!$M$6,E972-1,0)))),"Dienst")),HYPERLINK("#"&amp;RIGHT(CELL("adresse",OFFSET(DMAV_Modell!$N$6,B972-1,0)),LEN(CELL("adresse",OFFSET(DMAV_Modell!$N$6,B972-1,0)))-FIND("]",CELL("adresse",OFFSET(DMAV_Modell!$N$6,B972-1,0)))),"Modell"))</f>
        <v>Modell</v>
      </c>
      <c r="K972" s="61" t="str" cm="1">
        <f t="array" ref="K972">IF($B972=0,IF($E972=0,"",IF(INDEX(DMAV_Dienste!P$6:P$140,$E972)="","",INDEX(DMAV_Dienste!P$6:P$140,$E972))),IF(INDEX(DMAV_Modell!Q$6:Q$838,$B972)="","",INDEX(DMAV_Modell!Q$6:Q$838,$B972)))</f>
        <v>STRUCTURE</v>
      </c>
      <c r="L972" s="62" t="str" cm="1">
        <f t="array" ref="L972">IF($B972=0,IF($E972=0,"",IF(INDEX(DMAV_Dienste!O$6:O$140,$E972)="","",INDEX(DMAV_Dienste!O$6:O$140,$E972))),IF(INDEX(DMAV_Modell!P$6:P$838,$B972)="","",INDEX(DMAV_Modell!P$6:P$838,$B972)))</f>
        <v>Rohrleitungen</v>
      </c>
      <c r="M972" s="62" t="str" cm="1">
        <f t="array" ref="M972">IF($B972=0,IF($E972=0,"",IF(INDEX(DMAV_Dienste!Q$6:Q$140,$E972)="","",INDEX(DMAV_Dienste!Q$6:Q$140,$E972))),IF(INDEX(DMAV_Modell!R$6:R$838,$B972)="","",INDEX(DMAV_Modell!R$6:R$838,$B972)))</f>
        <v>Punktelement</v>
      </c>
      <c r="N972" s="62" t="str" cm="1">
        <f t="array" ref="N972">IF($B972=0,IF($E972=0,"",IF(INDEX(DMAV_Dienste!T$6:T$140,$E972)="","",INDEX(DMAV_Dienste!T$6:T$140,$E972))),IF(INDEX(DMAV_Modell!U$6:U$838,$B972)="","",INDEX(DMAV_Modell!U$6:U$838,$B972)))</f>
        <v>SymbolOri</v>
      </c>
      <c r="O972" s="63" t="str" cm="1">
        <f t="array" aca="1" ref="O972" ca="1">IF(C972=0,IF(F972=0,"",HYPERLINK("#"&amp;RIGHT(CELL("adresse",OFFSET(DMAV_Dienste!$M$6,F972-1,0)),LEN(CELL("adresse",OFFSET(DMAV_Dienste!$M$6,F972-1,0)))-FIND("]",CELL("adresse",OFFSET(DMAV_Dienste!$M$6,F972-1,0)))),"Structure")),HYPERLINK("#"&amp;RIGHT(CELL("adresse",OFFSET(DMAV_Modell!$N$6,C972-1,0)),LEN(CELL("adresse",OFFSET(DMAV_Modell!$N$6,C972-1,0)))-FIND("]",CELL("adresse",OFFSET(DMAV_Modell!$N$6,C972-1,0)))),"Structure"))</f>
        <v/>
      </c>
      <c r="P972" s="64" t="str" cm="1">
        <f t="array" aca="1" ref="P972" ca="1">IF(D972=0,IF(G972=0,"",HYPERLINK("#"&amp;RIGHT(CELL("adresse",OFFSET(DMAV_Dienste!$M$6,G972-1,0)),LEN(CELL("adresse",OFFSET(DMAV_Dienste!$M$6,G972-1,0)))-FIND("]",CELL("adresse",OFFSET(DMAV_Dienste!$M$6,G972-1,0)))),"Substructure")),HYPERLINK("#"&amp;RIGHT(CELL("adresse",OFFSET(DMAV_Modell!$N$6,D972-1,0)),LEN(CELL("adresse",OFFSET(DMAV_Modell!$N$6,D972-1,0)))-FIND("]",CELL("adresse",OFFSET(DMAV_Modell!$N$6,D972-1,0)))),"Substructure"))</f>
        <v/>
      </c>
      <c r="R972" s="80"/>
      <c r="T972" s="93"/>
      <c r="U972" s="94"/>
      <c r="V972" s="95"/>
      <c r="W972" s="96"/>
      <c r="Y972" s="85"/>
      <c r="Z972" s="86"/>
      <c r="AA972" s="87"/>
      <c r="AB972" s="88"/>
      <c r="AD972" s="77"/>
      <c r="AF972" s="54" t="str" cm="1">
        <f t="array" aca="1" ref="AF972" ca="1">IF(H972=0,"",HYPERLINK("#"&amp;RIGHT(CELL("adresse",OFFSET('DM01-AV-CH'!$G$6,H972-1,0)),LEN(CELL("adresse",OFFSET('DM01-AV-CH'!$G$6,H972-1,0)))-FIND("]",CELL("adresse",OFFSET('DM01-AV-CH'!$G$6,H972-1,0)))),"Modell"))</f>
        <v/>
      </c>
      <c r="AG972" s="72" t="str" cm="1">
        <f t="array" ref="AG972">IF($H972=0,"",IF(INDEX('DM01-AV-CH'!G$6:G$834,$H972)="","",INDEX('DM01-AV-CH'!G$6:G$834,$H972)))</f>
        <v/>
      </c>
      <c r="AH972" s="73" t="str" cm="1">
        <f t="array" ref="AH972">IF($H972=0,"",IF(INDEX('DM01-AV-CH'!H$6:H$834,$H972)="","",INDEX('DM01-AV-CH'!H$6:H$834,$H972)))</f>
        <v/>
      </c>
      <c r="AI972" s="74" t="str" cm="1">
        <f t="array" ref="AI972">IF($H972=0,"",IF(INDEX('DM01-AV-CH'!I$6:I$834,$H972)="","",INDEX('DM01-AV-CH'!I$6:I$834,$H972)))</f>
        <v/>
      </c>
    </row>
    <row r="973" spans="1:35" x14ac:dyDescent="0.25">
      <c r="A973" s="57">
        <v>968</v>
      </c>
      <c r="B973" s="57">
        <f>IF($A973="","",IF(_xlfn.XLOOKUP($A973,Korrelation!$D$4:$D$1197,Korrelation!E$4:E$1197,"-",0)="-",0,MATCH(_xlfn.XLOOKUP($A973,Korrelation!$D$4:$D$1197,Korrelation!E$4:E$1197,"",0),DMAV_Modell!$G$6:$G$677,0)))</f>
        <v>0</v>
      </c>
      <c r="C973" s="57">
        <f>IF($A973="","",IF(_xlfn.XLOOKUP($A973,Korrelation!$D$4:$D$1197,Korrelation!F$4:F$1197,"-",0)="-",0,MATCH(_xlfn.XLOOKUP($A973,Korrelation!$D$4:$D$1197,Korrelation!F$4:F$1197,"",0),DMAV_Modell!$G$6:$G$677,0)))</f>
        <v>0</v>
      </c>
      <c r="D973" s="57">
        <f>IF($A973="","",IF(_xlfn.XLOOKUP($A973,Korrelation!$D$4:$D$1197,Korrelation!G$4:G$1197,"-",0)="-",0,MATCH(_xlfn.XLOOKUP($A973,Korrelation!$D$4:$D$1197,Korrelation!G$4:G$1197,"",0),DMAV_Modell!$G$6:$G$677,0)))</f>
        <v>0</v>
      </c>
      <c r="E973" s="57">
        <f>IF($A973="","",IF(_xlfn.XLOOKUP($A973,Korrelation!$D$4:$D$1197,Korrelation!H$4:H$1197,"-",0)="-",0,MATCH(_xlfn.XLOOKUP($A973,Korrelation!$D$4:$D$1197,Korrelation!H$4:H$1197,"",0),DMAV_Dienste!$F$6:$F$140,0)))</f>
        <v>0</v>
      </c>
      <c r="F973" s="57">
        <f>IF($A973="","",IF(_xlfn.XLOOKUP($A973,Korrelation!$D$4:$D$1197,Korrelation!I$4:I$1197,"-",0)="-",0,MATCH(_xlfn.XLOOKUP($A973,Korrelation!$D$4:$D$1197,Korrelation!I$4:I$1197,"",0),DMAV_Dienste!$F$6:$F$140,0)))</f>
        <v>0</v>
      </c>
      <c r="G973" s="57">
        <f>IF($A973="","",IF(_xlfn.XLOOKUP($A973,Korrelation!$D$4:$D$1197,Korrelation!J$4:J$1197,"-",0)="-",0,MATCH(_xlfn.XLOOKUP($A973,Korrelation!$D$4:$D$1197,Korrelation!J$4:J$1197,"",0),DMAV_Dienste!$F$6:$F$140,0)))</f>
        <v>0</v>
      </c>
      <c r="H973" s="57">
        <f>IF($A973="","",IF(_xlfn.XLOOKUP($A973,Korrelation!$D$4:$D$1197,Korrelation!K$4:K$1197,"-",0)="-",0,MATCH(_xlfn.XLOOKUP($A973,Korrelation!$D$4:$D$1197,Korrelation!K$4:K$1197,"",0),'DM01-AV-CH'!$A$6:$A$834,0)))</f>
        <v>507</v>
      </c>
      <c r="J973" s="54" t="str" cm="1">
        <f t="array" aca="1" ref="J973" ca="1">IF(B973=0,IF(E973=0,"",HYPERLINK("#"&amp;RIGHT(CELL("adresse",OFFSET(DMAV_Dienste!$M$6,E973-1,0)),LEN(CELL("adresse",OFFSET(DMAV_Dienste!$M$6,E973-1,0)))-FIND("]",CELL("adresse",OFFSET(DMAV_Dienste!$M$6,E973-1,0)))),"Dienst")),HYPERLINK("#"&amp;RIGHT(CELL("adresse",OFFSET(DMAV_Modell!$N$6,B973-1,0)),LEN(CELL("adresse",OFFSET(DMAV_Modell!$N$6,B973-1,0)))-FIND("]",CELL("adresse",OFFSET(DMAV_Modell!$N$6,B973-1,0)))),"Modell"))</f>
        <v/>
      </c>
      <c r="K973" s="61" t="str" cm="1">
        <f t="array" ref="K973">IF($B973=0,IF($E973=0,"",IF(INDEX(DMAV_Dienste!P$6:P$140,$E973)="","",INDEX(DMAV_Dienste!P$6:P$140,$E973))),IF(INDEX(DMAV_Modell!Q$6:Q$838,$B973)="","",INDEX(DMAV_Modell!Q$6:Q$838,$B973)))</f>
        <v/>
      </c>
      <c r="L973" s="62" t="str" cm="1">
        <f t="array" ref="L973">IF($B973=0,IF($E973=0,"",IF(INDEX(DMAV_Dienste!O$6:O$140,$E973)="","",INDEX(DMAV_Dienste!O$6:O$140,$E973))),IF(INDEX(DMAV_Modell!P$6:P$838,$B973)="","",INDEX(DMAV_Modell!P$6:P$838,$B973)))</f>
        <v/>
      </c>
      <c r="M973" s="62" t="str" cm="1">
        <f t="array" ref="M973">IF($B973=0,IF($E973=0,"",IF(INDEX(DMAV_Dienste!Q$6:Q$140,$E973)="","",INDEX(DMAV_Dienste!Q$6:Q$140,$E973))),IF(INDEX(DMAV_Modell!R$6:R$838,$B973)="","",INDEX(DMAV_Modell!R$6:R$838,$B973)))</f>
        <v/>
      </c>
      <c r="N973" s="62" t="str" cm="1">
        <f t="array" ref="N973">IF($B973=0,IF($E973=0,"",IF(INDEX(DMAV_Dienste!T$6:T$140,$E973)="","",INDEX(DMAV_Dienste!T$6:T$140,$E973))),IF(INDEX(DMAV_Modell!U$6:U$838,$B973)="","",INDEX(DMAV_Modell!U$6:U$838,$B973)))</f>
        <v/>
      </c>
      <c r="O973" s="63" t="str" cm="1">
        <f t="array" aca="1" ref="O973" ca="1">IF(C973=0,IF(F973=0,"",HYPERLINK("#"&amp;RIGHT(CELL("adresse",OFFSET(DMAV_Dienste!$M$6,F973-1,0)),LEN(CELL("adresse",OFFSET(DMAV_Dienste!$M$6,F973-1,0)))-FIND("]",CELL("adresse",OFFSET(DMAV_Dienste!$M$6,F973-1,0)))),"Structure")),HYPERLINK("#"&amp;RIGHT(CELL("adresse",OFFSET(DMAV_Modell!$N$6,C973-1,0)),LEN(CELL("adresse",OFFSET(DMAV_Modell!$N$6,C973-1,0)))-FIND("]",CELL("adresse",OFFSET(DMAV_Modell!$N$6,C973-1,0)))),"Structure"))</f>
        <v/>
      </c>
      <c r="P973" s="64" t="str" cm="1">
        <f t="array" aca="1" ref="P973" ca="1">IF(D973=0,IF(G973=0,"",HYPERLINK("#"&amp;RIGHT(CELL("adresse",OFFSET(DMAV_Dienste!$M$6,G973-1,0)),LEN(CELL("adresse",OFFSET(DMAV_Dienste!$M$6,G973-1,0)))-FIND("]",CELL("adresse",OFFSET(DMAV_Dienste!$M$6,G973-1,0)))),"Substructure")),HYPERLINK("#"&amp;RIGHT(CELL("adresse",OFFSET(DMAV_Modell!$N$6,D973-1,0)),LEN(CELL("adresse",OFFSET(DMAV_Modell!$N$6,D973-1,0)))-FIND("]",CELL("adresse",OFFSET(DMAV_Modell!$N$6,D973-1,0)))),"Substructure"))</f>
        <v/>
      </c>
      <c r="R973" s="80"/>
      <c r="T973" s="93"/>
      <c r="U973" s="94"/>
      <c r="V973" s="95"/>
      <c r="W973" s="96"/>
      <c r="Y973" s="85"/>
      <c r="Z973" s="86"/>
      <c r="AA973" s="87"/>
      <c r="AB973" s="88"/>
      <c r="AD973" s="77"/>
      <c r="AF973" s="54" t="str" cm="1">
        <f t="array" aca="1" ref="AF973" ca="1">IF(H973=0,"",HYPERLINK("#"&amp;RIGHT(CELL("adresse",OFFSET('DM01-AV-CH'!$G$6,H973-1,0)),LEN(CELL("adresse",OFFSET('DM01-AV-CH'!$G$6,H973-1,0)))-FIND("]",CELL("adresse",OFFSET('DM01-AV-CH'!$G$6,H973-1,0)))),"Modell"))</f>
        <v>Modell</v>
      </c>
      <c r="AG973" s="72" t="str" cm="1">
        <f t="array" ref="AG973">IF($H973=0,"",IF(INDEX('DM01-AV-CH'!G$6:G$834,$H973)="","",INDEX('DM01-AV-CH'!G$6:G$834,$H973)))</f>
        <v>Rohrleitungen</v>
      </c>
      <c r="AH973" s="73" t="str" cm="1">
        <f t="array" ref="AH973">IF($H973=0,"",IF(INDEX('DM01-AV-CH'!H$6:H$834,$H973)="","",INDEX('DM01-AV-CH'!H$6:H$834,$H973)))</f>
        <v>Leitungsobjekt</v>
      </c>
      <c r="AI973" s="74" t="str" cm="1">
        <f t="array" ref="AI973">IF($H973=0,"",IF(INDEX('DM01-AV-CH'!I$6:I$834,$H973)="","",INDEX('DM01-AV-CH'!I$6:I$834,$H973)))</f>
        <v>Entstehung</v>
      </c>
    </row>
    <row r="974" spans="1:35" ht="28.5" x14ac:dyDescent="0.25">
      <c r="A974" s="57">
        <v>969</v>
      </c>
      <c r="B974" s="57">
        <f>IF($A974="","",IF(_xlfn.XLOOKUP($A974,Korrelation!$D$4:$D$1197,Korrelation!E$4:E$1197,"-",0)="-",0,MATCH(_xlfn.XLOOKUP($A974,Korrelation!$D$4:$D$1197,Korrelation!E$4:E$1197,"",0),DMAV_Modell!$G$6:$G$677,0)))</f>
        <v>566</v>
      </c>
      <c r="C974" s="57">
        <f>IF($A974="","",IF(_xlfn.XLOOKUP($A974,Korrelation!$D$4:$D$1197,Korrelation!F$4:F$1197,"-",0)="-",0,MATCH(_xlfn.XLOOKUP($A974,Korrelation!$D$4:$D$1197,Korrelation!F$4:F$1197,"",0),DMAV_Modell!$G$6:$G$677,0)))</f>
        <v>0</v>
      </c>
      <c r="D974" s="57">
        <f>IF($A974="","",IF(_xlfn.XLOOKUP($A974,Korrelation!$D$4:$D$1197,Korrelation!G$4:G$1197,"-",0)="-",0,MATCH(_xlfn.XLOOKUP($A974,Korrelation!$D$4:$D$1197,Korrelation!G$4:G$1197,"",0),DMAV_Modell!$G$6:$G$677,0)))</f>
        <v>0</v>
      </c>
      <c r="E974" s="57">
        <f>IF($A974="","",IF(_xlfn.XLOOKUP($A974,Korrelation!$D$4:$D$1197,Korrelation!H$4:H$1197,"-",0)="-",0,MATCH(_xlfn.XLOOKUP($A974,Korrelation!$D$4:$D$1197,Korrelation!H$4:H$1197,"",0),DMAV_Dienste!$F$6:$F$140,0)))</f>
        <v>0</v>
      </c>
      <c r="F974" s="57">
        <f>IF($A974="","",IF(_xlfn.XLOOKUP($A974,Korrelation!$D$4:$D$1197,Korrelation!I$4:I$1197,"-",0)="-",0,MATCH(_xlfn.XLOOKUP($A974,Korrelation!$D$4:$D$1197,Korrelation!I$4:I$1197,"",0),DMAV_Dienste!$F$6:$F$140,0)))</f>
        <v>0</v>
      </c>
      <c r="G974" s="57">
        <f>IF($A974="","",IF(_xlfn.XLOOKUP($A974,Korrelation!$D$4:$D$1197,Korrelation!J$4:J$1197,"-",0)="-",0,MATCH(_xlfn.XLOOKUP($A974,Korrelation!$D$4:$D$1197,Korrelation!J$4:J$1197,"",0),DMAV_Dienste!$F$6:$F$140,0)))</f>
        <v>0</v>
      </c>
      <c r="H974" s="57">
        <f>IF($A974="","",IF(_xlfn.XLOOKUP($A974,Korrelation!$D$4:$D$1197,Korrelation!K$4:K$1197,"-",0)="-",0,MATCH(_xlfn.XLOOKUP($A974,Korrelation!$D$4:$D$1197,Korrelation!K$4:K$1197,"",0),'DM01-AV-CH'!$A$6:$A$834,0)))</f>
        <v>508</v>
      </c>
      <c r="J974" s="54" t="str" cm="1">
        <f t="array" aca="1" ref="J974" ca="1">IF(B974=0,IF(E974=0,"",HYPERLINK("#"&amp;RIGHT(CELL("adresse",OFFSET(DMAV_Dienste!$M$6,E974-1,0)),LEN(CELL("adresse",OFFSET(DMAV_Dienste!$M$6,E974-1,0)))-FIND("]",CELL("adresse",OFFSET(DMAV_Dienste!$M$6,E974-1,0)))),"Dienst")),HYPERLINK("#"&amp;RIGHT(CELL("adresse",OFFSET(DMAV_Modell!$N$6,B974-1,0)),LEN(CELL("adresse",OFFSET(DMAV_Modell!$N$6,B974-1,0)))-FIND("]",CELL("adresse",OFFSET(DMAV_Modell!$N$6,B974-1,0)))),"Modell"))</f>
        <v>Modell</v>
      </c>
      <c r="K974" s="61" t="str" cm="1">
        <f t="array" ref="K974">IF($B974=0,IF($E974=0,"",IF(INDEX(DMAV_Dienste!P$6:P$140,$E974)="","",INDEX(DMAV_Dienste!P$6:P$140,$E974))),IF(INDEX(DMAV_Modell!Q$6:Q$838,$B974)="","",INDEX(DMAV_Modell!Q$6:Q$838,$B974)))</f>
        <v>CLASS</v>
      </c>
      <c r="L974" s="62" t="str" cm="1">
        <f t="array" ref="L974">IF($B974=0,IF($E974=0,"",IF(INDEX(DMAV_Dienste!O$6:O$140,$E974)="","",INDEX(DMAV_Dienste!O$6:O$140,$E974))),IF(INDEX(DMAV_Modell!P$6:P$838,$B974)="","",INDEX(DMAV_Modell!P$6:P$838,$B974)))</f>
        <v>Rohrleitungen</v>
      </c>
      <c r="M974" s="62" t="str" cm="1">
        <f t="array" ref="M974">IF($B974=0,IF($E974=0,"",IF(INDEX(DMAV_Dienste!Q$6:Q$140,$E974)="","",INDEX(DMAV_Dienste!Q$6:Q$140,$E974))),IF(INDEX(DMAV_Modell!R$6:R$838,$B974)="","",INDEX(DMAV_Modell!R$6:R$838,$B974)))</f>
        <v>Leitungsobjekt</v>
      </c>
      <c r="N974" s="62" t="str" cm="1">
        <f t="array" ref="N974">IF($B974=0,IF($E974=0,"",IF(INDEX(DMAV_Dienste!T$6:T$140,$E974)="","",INDEX(DMAV_Dienste!T$6:T$140,$E974))),IF(INDEX(DMAV_Modell!U$6:U$838,$B974)="","",INDEX(DMAV_Modell!U$6:U$838,$B974)))</f>
        <v>Betreiber</v>
      </c>
      <c r="O974" s="63" t="str" cm="1">
        <f t="array" aca="1" ref="O974" ca="1">IF(C974=0,IF(F974=0,"",HYPERLINK("#"&amp;RIGHT(CELL("adresse",OFFSET(DMAV_Dienste!$M$6,F974-1,0)),LEN(CELL("adresse",OFFSET(DMAV_Dienste!$M$6,F974-1,0)))-FIND("]",CELL("adresse",OFFSET(DMAV_Dienste!$M$6,F974-1,0)))),"Structure")),HYPERLINK("#"&amp;RIGHT(CELL("adresse",OFFSET(DMAV_Modell!$N$6,C974-1,0)),LEN(CELL("adresse",OFFSET(DMAV_Modell!$N$6,C974-1,0)))-FIND("]",CELL("adresse",OFFSET(DMAV_Modell!$N$6,C974-1,0)))),"Structure"))</f>
        <v/>
      </c>
      <c r="P974" s="64" t="str" cm="1">
        <f t="array" aca="1" ref="P974" ca="1">IF(D974=0,IF(G974=0,"",HYPERLINK("#"&amp;RIGHT(CELL("adresse",OFFSET(DMAV_Dienste!$M$6,G974-1,0)),LEN(CELL("adresse",OFFSET(DMAV_Dienste!$M$6,G974-1,0)))-FIND("]",CELL("adresse",OFFSET(DMAV_Dienste!$M$6,G974-1,0)))),"Substructure")),HYPERLINK("#"&amp;RIGHT(CELL("adresse",OFFSET(DMAV_Modell!$N$6,D974-1,0)),LEN(CELL("adresse",OFFSET(DMAV_Modell!$N$6,D974-1,0)))-FIND("]",CELL("adresse",OFFSET(DMAV_Modell!$N$6,D974-1,0)))),"Substructure"))</f>
        <v/>
      </c>
      <c r="R974" s="80"/>
      <c r="T974" s="93"/>
      <c r="U974" s="94"/>
      <c r="V974" s="95"/>
      <c r="W974" s="96"/>
      <c r="Y974" s="85" t="s">
        <v>3220</v>
      </c>
      <c r="Z974" s="86"/>
      <c r="AA974" s="87"/>
      <c r="AB974" s="88"/>
      <c r="AD974" s="77"/>
      <c r="AF974" s="54" t="str" cm="1">
        <f t="array" aca="1" ref="AF974" ca="1">IF(H974=0,"",HYPERLINK("#"&amp;RIGHT(CELL("adresse",OFFSET('DM01-AV-CH'!$G$6,H974-1,0)),LEN(CELL("adresse",OFFSET('DM01-AV-CH'!$G$6,H974-1,0)))-FIND("]",CELL("adresse",OFFSET('DM01-AV-CH'!$G$6,H974-1,0)))),"Modell"))</f>
        <v>Modell</v>
      </c>
      <c r="AG974" s="72" t="str" cm="1">
        <f t="array" ref="AG974">IF($H974=0,"",IF(INDEX('DM01-AV-CH'!G$6:G$834,$H974)="","",INDEX('DM01-AV-CH'!G$6:G$834,$H974)))</f>
        <v>Rohrleitungen</v>
      </c>
      <c r="AH974" s="73" t="str" cm="1">
        <f t="array" ref="AH974">IF($H974=0,"",IF(INDEX('DM01-AV-CH'!H$6:H$834,$H974)="","",INDEX('DM01-AV-CH'!H$6:H$834,$H974)))</f>
        <v>Leitungsobjekt</v>
      </c>
      <c r="AI974" s="74" t="str" cm="1">
        <f t="array" ref="AI974">IF($H974=0,"",IF(INDEX('DM01-AV-CH'!I$6:I$834,$H974)="","",INDEX('DM01-AV-CH'!I$6:I$834,$H974)))</f>
        <v>Betreiber</v>
      </c>
    </row>
    <row r="975" spans="1:35" ht="28.5" x14ac:dyDescent="0.25">
      <c r="A975" s="57">
        <v>970</v>
      </c>
      <c r="B975" s="57">
        <f>IF($A975="","",IF(_xlfn.XLOOKUP($A975,Korrelation!$D$4:$D$1197,Korrelation!E$4:E$1197,"-",0)="-",0,MATCH(_xlfn.XLOOKUP($A975,Korrelation!$D$4:$D$1197,Korrelation!E$4:E$1197,"",0),DMAV_Modell!$G$6:$G$677,0)))</f>
        <v>567</v>
      </c>
      <c r="C975" s="57">
        <f>IF($A975="","",IF(_xlfn.XLOOKUP($A975,Korrelation!$D$4:$D$1197,Korrelation!F$4:F$1197,"-",0)="-",0,MATCH(_xlfn.XLOOKUP($A975,Korrelation!$D$4:$D$1197,Korrelation!F$4:F$1197,"",0),DMAV_Modell!$G$6:$G$677,0)))</f>
        <v>0</v>
      </c>
      <c r="D975" s="57">
        <f>IF($A975="","",IF(_xlfn.XLOOKUP($A975,Korrelation!$D$4:$D$1197,Korrelation!G$4:G$1197,"-",0)="-",0,MATCH(_xlfn.XLOOKUP($A975,Korrelation!$D$4:$D$1197,Korrelation!G$4:G$1197,"",0),DMAV_Modell!$G$6:$G$677,0)))</f>
        <v>0</v>
      </c>
      <c r="E975" s="57">
        <f>IF($A975="","",IF(_xlfn.XLOOKUP($A975,Korrelation!$D$4:$D$1197,Korrelation!H$4:H$1197,"-",0)="-",0,MATCH(_xlfn.XLOOKUP($A975,Korrelation!$D$4:$D$1197,Korrelation!H$4:H$1197,"",0),DMAV_Dienste!$F$6:$F$140,0)))</f>
        <v>0</v>
      </c>
      <c r="F975" s="57">
        <f>IF($A975="","",IF(_xlfn.XLOOKUP($A975,Korrelation!$D$4:$D$1197,Korrelation!I$4:I$1197,"-",0)="-",0,MATCH(_xlfn.XLOOKUP($A975,Korrelation!$D$4:$D$1197,Korrelation!I$4:I$1197,"",0),DMAV_Dienste!$F$6:$F$140,0)))</f>
        <v>0</v>
      </c>
      <c r="G975" s="57">
        <f>IF($A975="","",IF(_xlfn.XLOOKUP($A975,Korrelation!$D$4:$D$1197,Korrelation!J$4:J$1197,"-",0)="-",0,MATCH(_xlfn.XLOOKUP($A975,Korrelation!$D$4:$D$1197,Korrelation!J$4:J$1197,"",0),DMAV_Dienste!$F$6:$F$140,0)))</f>
        <v>0</v>
      </c>
      <c r="H975" s="57">
        <f>IF($A975="","",IF(_xlfn.XLOOKUP($A975,Korrelation!$D$4:$D$1197,Korrelation!K$4:K$1197,"-",0)="-",0,MATCH(_xlfn.XLOOKUP($A975,Korrelation!$D$4:$D$1197,Korrelation!K$4:K$1197,"",0),'DM01-AV-CH'!$A$6:$A$834,0)))</f>
        <v>509</v>
      </c>
      <c r="J975" s="54" t="str" cm="1">
        <f t="array" aca="1" ref="J975" ca="1">IF(B975=0,IF(E975=0,"",HYPERLINK("#"&amp;RIGHT(CELL("adresse",OFFSET(DMAV_Dienste!$M$6,E975-1,0)),LEN(CELL("adresse",OFFSET(DMAV_Dienste!$M$6,E975-1,0)))-FIND("]",CELL("adresse",OFFSET(DMAV_Dienste!$M$6,E975-1,0)))),"Dienst")),HYPERLINK("#"&amp;RIGHT(CELL("adresse",OFFSET(DMAV_Modell!$N$6,B975-1,0)),LEN(CELL("adresse",OFFSET(DMAV_Modell!$N$6,B975-1,0)))-FIND("]",CELL("adresse",OFFSET(DMAV_Modell!$N$6,B975-1,0)))),"Modell"))</f>
        <v>Modell</v>
      </c>
      <c r="K975" s="61" t="str" cm="1">
        <f t="array" ref="K975">IF($B975=0,IF($E975=0,"",IF(INDEX(DMAV_Dienste!P$6:P$140,$E975)="","",INDEX(DMAV_Dienste!P$6:P$140,$E975))),IF(INDEX(DMAV_Modell!Q$6:Q$838,$B975)="","",INDEX(DMAV_Modell!Q$6:Q$838,$B975)))</f>
        <v>CLASS</v>
      </c>
      <c r="L975" s="62" t="str" cm="1">
        <f t="array" ref="L975">IF($B975=0,IF($E975=0,"",IF(INDEX(DMAV_Dienste!O$6:O$140,$E975)="","",INDEX(DMAV_Dienste!O$6:O$140,$E975))),IF(INDEX(DMAV_Modell!P$6:P$838,$B975)="","",INDEX(DMAV_Modell!P$6:P$838,$B975)))</f>
        <v>Rohrleitungen</v>
      </c>
      <c r="M975" s="62" t="str" cm="1">
        <f t="array" ref="M975">IF($B975=0,IF($E975=0,"",IF(INDEX(DMAV_Dienste!Q$6:Q$140,$E975)="","",INDEX(DMAV_Dienste!Q$6:Q$140,$E975))),IF(INDEX(DMAV_Modell!R$6:R$838,$B975)="","",INDEX(DMAV_Modell!R$6:R$838,$B975)))</f>
        <v>Leitungsobjekt</v>
      </c>
      <c r="N975" s="62" t="str" cm="1">
        <f t="array" ref="N975">IF($B975=0,IF($E975=0,"",IF(INDEX(DMAV_Dienste!T$6:T$140,$E975)="","",INDEX(DMAV_Dienste!T$6:T$140,$E975))),IF(INDEX(DMAV_Modell!U$6:U$838,$B975)="","",INDEX(DMAV_Modell!U$6:U$838,$B975)))</f>
        <v>Qualitaetsstandard</v>
      </c>
      <c r="O975" s="63" t="str" cm="1">
        <f t="array" aca="1" ref="O975" ca="1">IF(C975=0,IF(F975=0,"",HYPERLINK("#"&amp;RIGHT(CELL("adresse",OFFSET(DMAV_Dienste!$M$6,F975-1,0)),LEN(CELL("adresse",OFFSET(DMAV_Dienste!$M$6,F975-1,0)))-FIND("]",CELL("adresse",OFFSET(DMAV_Dienste!$M$6,F975-1,0)))),"Structure")),HYPERLINK("#"&amp;RIGHT(CELL("adresse",OFFSET(DMAV_Modell!$N$6,C975-1,0)),LEN(CELL("adresse",OFFSET(DMAV_Modell!$N$6,C975-1,0)))-FIND("]",CELL("adresse",OFFSET(DMAV_Modell!$N$6,C975-1,0)))),"Structure"))</f>
        <v/>
      </c>
      <c r="P975" s="64" t="str" cm="1">
        <f t="array" aca="1" ref="P975" ca="1">IF(D975=0,IF(G975=0,"",HYPERLINK("#"&amp;RIGHT(CELL("adresse",OFFSET(DMAV_Dienste!$M$6,G975-1,0)),LEN(CELL("adresse",OFFSET(DMAV_Dienste!$M$6,G975-1,0)))-FIND("]",CELL("adresse",OFFSET(DMAV_Dienste!$M$6,G975-1,0)))),"Substructure")),HYPERLINK("#"&amp;RIGHT(CELL("adresse",OFFSET(DMAV_Modell!$N$6,D975-1,0)),LEN(CELL("adresse",OFFSET(DMAV_Modell!$N$6,D975-1,0)))-FIND("]",CELL("adresse",OFFSET(DMAV_Modell!$N$6,D975-1,0)))),"Substructure"))</f>
        <v/>
      </c>
      <c r="R975" s="80"/>
      <c r="T975" s="93"/>
      <c r="U975" s="94"/>
      <c r="V975" s="95"/>
      <c r="W975" s="96"/>
      <c r="Y975" s="85" t="s">
        <v>3220</v>
      </c>
      <c r="Z975" s="86"/>
      <c r="AA975" s="87"/>
      <c r="AB975" s="88"/>
      <c r="AD975" s="77"/>
      <c r="AF975" s="54" t="str" cm="1">
        <f t="array" aca="1" ref="AF975" ca="1">IF(H975=0,"",HYPERLINK("#"&amp;RIGHT(CELL("adresse",OFFSET('DM01-AV-CH'!$G$6,H975-1,0)),LEN(CELL("adresse",OFFSET('DM01-AV-CH'!$G$6,H975-1,0)))-FIND("]",CELL("adresse",OFFSET('DM01-AV-CH'!$G$6,H975-1,0)))),"Modell"))</f>
        <v>Modell</v>
      </c>
      <c r="AG975" s="72" t="str" cm="1">
        <f t="array" ref="AG975">IF($H975=0,"",IF(INDEX('DM01-AV-CH'!G$6:G$834,$H975)="","",INDEX('DM01-AV-CH'!G$6:G$834,$H975)))</f>
        <v>Rohrleitungen</v>
      </c>
      <c r="AH975" s="73" t="str" cm="1">
        <f t="array" ref="AH975">IF($H975=0,"",IF(INDEX('DM01-AV-CH'!H$6:H$834,$H975)="","",INDEX('DM01-AV-CH'!H$6:H$834,$H975)))</f>
        <v>Leitungsobjekt</v>
      </c>
      <c r="AI975" s="74" t="str" cm="1">
        <f t="array" ref="AI975">IF($H975=0,"",IF(INDEX('DM01-AV-CH'!I$6:I$834,$H975)="","",INDEX('DM01-AV-CH'!I$6:I$834,$H975)))</f>
        <v>Qualitaet</v>
      </c>
    </row>
    <row r="976" spans="1:35" ht="28.5" x14ac:dyDescent="0.25">
      <c r="A976" s="57">
        <v>971</v>
      </c>
      <c r="B976" s="57">
        <f>IF($A976="","",IF(_xlfn.XLOOKUP($A976,Korrelation!$D$4:$D$1197,Korrelation!E$4:E$1197,"-",0)="-",0,MATCH(_xlfn.XLOOKUP($A976,Korrelation!$D$4:$D$1197,Korrelation!E$4:E$1197,"",0),DMAV_Modell!$G$6:$G$677,0)))</f>
        <v>568</v>
      </c>
      <c r="C976" s="57">
        <f>IF($A976="","",IF(_xlfn.XLOOKUP($A976,Korrelation!$D$4:$D$1197,Korrelation!F$4:F$1197,"-",0)="-",0,MATCH(_xlfn.XLOOKUP($A976,Korrelation!$D$4:$D$1197,Korrelation!F$4:F$1197,"",0),DMAV_Modell!$G$6:$G$677,0)))</f>
        <v>0</v>
      </c>
      <c r="D976" s="57">
        <f>IF($A976="","",IF(_xlfn.XLOOKUP($A976,Korrelation!$D$4:$D$1197,Korrelation!G$4:G$1197,"-",0)="-",0,MATCH(_xlfn.XLOOKUP($A976,Korrelation!$D$4:$D$1197,Korrelation!G$4:G$1197,"",0),DMAV_Modell!$G$6:$G$677,0)))</f>
        <v>0</v>
      </c>
      <c r="E976" s="57">
        <f>IF($A976="","",IF(_xlfn.XLOOKUP($A976,Korrelation!$D$4:$D$1197,Korrelation!H$4:H$1197,"-",0)="-",0,MATCH(_xlfn.XLOOKUP($A976,Korrelation!$D$4:$D$1197,Korrelation!H$4:H$1197,"",0),DMAV_Dienste!$F$6:$F$140,0)))</f>
        <v>0</v>
      </c>
      <c r="F976" s="57">
        <f>IF($A976="","",IF(_xlfn.XLOOKUP($A976,Korrelation!$D$4:$D$1197,Korrelation!I$4:I$1197,"-",0)="-",0,MATCH(_xlfn.XLOOKUP($A976,Korrelation!$D$4:$D$1197,Korrelation!I$4:I$1197,"",0),DMAV_Dienste!$F$6:$F$140,0)))</f>
        <v>0</v>
      </c>
      <c r="G976" s="57">
        <f>IF($A976="","",IF(_xlfn.XLOOKUP($A976,Korrelation!$D$4:$D$1197,Korrelation!J$4:J$1197,"-",0)="-",0,MATCH(_xlfn.XLOOKUP($A976,Korrelation!$D$4:$D$1197,Korrelation!J$4:J$1197,"",0),DMAV_Dienste!$F$6:$F$140,0)))</f>
        <v>0</v>
      </c>
      <c r="H976" s="57">
        <f>IF($A976="","",IF(_xlfn.XLOOKUP($A976,Korrelation!$D$4:$D$1197,Korrelation!K$4:K$1197,"-",0)="-",0,MATCH(_xlfn.XLOOKUP($A976,Korrelation!$D$4:$D$1197,Korrelation!K$4:K$1197,"",0),'DM01-AV-CH'!$A$6:$A$834,0)))</f>
        <v>510</v>
      </c>
      <c r="J976" s="54" t="str" cm="1">
        <f t="array" aca="1" ref="J976" ca="1">IF(B976=0,IF(E976=0,"",HYPERLINK("#"&amp;RIGHT(CELL("adresse",OFFSET(DMAV_Dienste!$M$6,E976-1,0)),LEN(CELL("adresse",OFFSET(DMAV_Dienste!$M$6,E976-1,0)))-FIND("]",CELL("adresse",OFFSET(DMAV_Dienste!$M$6,E976-1,0)))),"Dienst")),HYPERLINK("#"&amp;RIGHT(CELL("adresse",OFFSET(DMAV_Modell!$N$6,B976-1,0)),LEN(CELL("adresse",OFFSET(DMAV_Modell!$N$6,B976-1,0)))-FIND("]",CELL("adresse",OFFSET(DMAV_Modell!$N$6,B976-1,0)))),"Modell"))</f>
        <v>Modell</v>
      </c>
      <c r="K976" s="61" t="str" cm="1">
        <f t="array" ref="K976">IF($B976=0,IF($E976=0,"",IF(INDEX(DMAV_Dienste!P$6:P$140,$E976)="","",INDEX(DMAV_Dienste!P$6:P$140,$E976))),IF(INDEX(DMAV_Modell!Q$6:Q$838,$B976)="","",INDEX(DMAV_Modell!Q$6:Q$838,$B976)))</f>
        <v>CLASS</v>
      </c>
      <c r="L976" s="62" t="str" cm="1">
        <f t="array" ref="L976">IF($B976=0,IF($E976=0,"",IF(INDEX(DMAV_Dienste!O$6:O$140,$E976)="","",INDEX(DMAV_Dienste!O$6:O$140,$E976))),IF(INDEX(DMAV_Modell!P$6:P$838,$B976)="","",INDEX(DMAV_Modell!P$6:P$838,$B976)))</f>
        <v>Rohrleitungen</v>
      </c>
      <c r="M976" s="62" t="str" cm="1">
        <f t="array" ref="M976">IF($B976=0,IF($E976=0,"",IF(INDEX(DMAV_Dienste!Q$6:Q$140,$E976)="","",INDEX(DMAV_Dienste!Q$6:Q$140,$E976))),IF(INDEX(DMAV_Modell!R$6:R$838,$B976)="","",INDEX(DMAV_Modell!R$6:R$838,$B976)))</f>
        <v>Leitungsobjekt</v>
      </c>
      <c r="N976" s="62" t="str" cm="1">
        <f t="array" ref="N976">IF($B976=0,IF($E976=0,"",IF(INDEX(DMAV_Dienste!T$6:T$140,$E976)="","",INDEX(DMAV_Dienste!T$6:T$140,$E976))),IF(INDEX(DMAV_Modell!U$6:U$838,$B976)="","",INDEX(DMAV_Modell!U$6:U$838,$B976)))</f>
        <v>Medium</v>
      </c>
      <c r="O976" s="63" t="str" cm="1">
        <f t="array" aca="1" ref="O976" ca="1">IF(C976=0,IF(F976=0,"",HYPERLINK("#"&amp;RIGHT(CELL("adresse",OFFSET(DMAV_Dienste!$M$6,F976-1,0)),LEN(CELL("adresse",OFFSET(DMAV_Dienste!$M$6,F976-1,0)))-FIND("]",CELL("adresse",OFFSET(DMAV_Dienste!$M$6,F976-1,0)))),"Structure")),HYPERLINK("#"&amp;RIGHT(CELL("adresse",OFFSET(DMAV_Modell!$N$6,C976-1,0)),LEN(CELL("adresse",OFFSET(DMAV_Modell!$N$6,C976-1,0)))-FIND("]",CELL("adresse",OFFSET(DMAV_Modell!$N$6,C976-1,0)))),"Structure"))</f>
        <v/>
      </c>
      <c r="P976" s="64" t="str" cm="1">
        <f t="array" aca="1" ref="P976" ca="1">IF(D976=0,IF(G976=0,"",HYPERLINK("#"&amp;RIGHT(CELL("adresse",OFFSET(DMAV_Dienste!$M$6,G976-1,0)),LEN(CELL("adresse",OFFSET(DMAV_Dienste!$M$6,G976-1,0)))-FIND("]",CELL("adresse",OFFSET(DMAV_Dienste!$M$6,G976-1,0)))),"Substructure")),HYPERLINK("#"&amp;RIGHT(CELL("adresse",OFFSET(DMAV_Modell!$N$6,D976-1,0)),LEN(CELL("adresse",OFFSET(DMAV_Modell!$N$6,D976-1,0)))-FIND("]",CELL("adresse",OFFSET(DMAV_Modell!$N$6,D976-1,0)))),"Substructure"))</f>
        <v/>
      </c>
      <c r="R976" s="80"/>
      <c r="T976" s="93"/>
      <c r="U976" s="94"/>
      <c r="V976" s="95"/>
      <c r="W976" s="96"/>
      <c r="Y976" s="85" t="s">
        <v>3220</v>
      </c>
      <c r="Z976" s="86"/>
      <c r="AA976" s="87"/>
      <c r="AB976" s="88"/>
      <c r="AD976" s="77"/>
      <c r="AF976" s="54" t="str" cm="1">
        <f t="array" aca="1" ref="AF976" ca="1">IF(H976=0,"",HYPERLINK("#"&amp;RIGHT(CELL("adresse",OFFSET('DM01-AV-CH'!$G$6,H976-1,0)),LEN(CELL("adresse",OFFSET('DM01-AV-CH'!$G$6,H976-1,0)))-FIND("]",CELL("adresse",OFFSET('DM01-AV-CH'!$G$6,H976-1,0)))),"Modell"))</f>
        <v>Modell</v>
      </c>
      <c r="AG976" s="72" t="str" cm="1">
        <f t="array" ref="AG976">IF($H976=0,"",IF(INDEX('DM01-AV-CH'!G$6:G$834,$H976)="","",INDEX('DM01-AV-CH'!G$6:G$834,$H976)))</f>
        <v>Rohrleitungen</v>
      </c>
      <c r="AH976" s="73" t="str" cm="1">
        <f t="array" ref="AH976">IF($H976=0,"",IF(INDEX('DM01-AV-CH'!H$6:H$834,$H976)="","",INDEX('DM01-AV-CH'!H$6:H$834,$H976)))</f>
        <v>Leitungsobjekt</v>
      </c>
      <c r="AI976" s="74" t="str" cm="1">
        <f t="array" ref="AI976">IF($H976=0,"",IF(INDEX('DM01-AV-CH'!I$6:I$834,$H976)="","",INDEX('DM01-AV-CH'!I$6:I$834,$H976)))</f>
        <v>Art</v>
      </c>
    </row>
    <row r="977" spans="1:35" x14ac:dyDescent="0.25">
      <c r="A977" s="57">
        <v>972</v>
      </c>
      <c r="B977" s="57">
        <f>IF($A977="","",IF(_xlfn.XLOOKUP($A977,Korrelation!$D$4:$D$1197,Korrelation!E$4:E$1197,"-",0)="-",0,MATCH(_xlfn.XLOOKUP($A977,Korrelation!$D$4:$D$1197,Korrelation!E$4:E$1197,"",0),DMAV_Modell!$G$6:$G$677,0)))</f>
        <v>569</v>
      </c>
      <c r="C977" s="57">
        <f>IF($A977="","",IF(_xlfn.XLOOKUP($A977,Korrelation!$D$4:$D$1197,Korrelation!F$4:F$1197,"-",0)="-",0,MATCH(_xlfn.XLOOKUP($A977,Korrelation!$D$4:$D$1197,Korrelation!F$4:F$1197,"",0),DMAV_Modell!$G$6:$G$677,0)))</f>
        <v>0</v>
      </c>
      <c r="D977" s="57">
        <f>IF($A977="","",IF(_xlfn.XLOOKUP($A977,Korrelation!$D$4:$D$1197,Korrelation!G$4:G$1197,"-",0)="-",0,MATCH(_xlfn.XLOOKUP($A977,Korrelation!$D$4:$D$1197,Korrelation!G$4:G$1197,"",0),DMAV_Modell!$G$6:$G$677,0)))</f>
        <v>0</v>
      </c>
      <c r="E977" s="57">
        <f>IF($A977="","",IF(_xlfn.XLOOKUP($A977,Korrelation!$D$4:$D$1197,Korrelation!H$4:H$1197,"-",0)="-",0,MATCH(_xlfn.XLOOKUP($A977,Korrelation!$D$4:$D$1197,Korrelation!H$4:H$1197,"",0),DMAV_Dienste!$F$6:$F$140,0)))</f>
        <v>0</v>
      </c>
      <c r="F977" s="57">
        <f>IF($A977="","",IF(_xlfn.XLOOKUP($A977,Korrelation!$D$4:$D$1197,Korrelation!I$4:I$1197,"-",0)="-",0,MATCH(_xlfn.XLOOKUP($A977,Korrelation!$D$4:$D$1197,Korrelation!I$4:I$1197,"",0),DMAV_Dienste!$F$6:$F$140,0)))</f>
        <v>0</v>
      </c>
      <c r="G977" s="57">
        <f>IF($A977="","",IF(_xlfn.XLOOKUP($A977,Korrelation!$D$4:$D$1197,Korrelation!J$4:J$1197,"-",0)="-",0,MATCH(_xlfn.XLOOKUP($A977,Korrelation!$D$4:$D$1197,Korrelation!J$4:J$1197,"",0),DMAV_Dienste!$F$6:$F$140,0)))</f>
        <v>0</v>
      </c>
      <c r="H977" s="57">
        <f>IF($A977="","",IF(_xlfn.XLOOKUP($A977,Korrelation!$D$4:$D$1197,Korrelation!K$4:K$1197,"-",0)="-",0,MATCH(_xlfn.XLOOKUP($A977,Korrelation!$D$4:$D$1197,Korrelation!K$4:K$1197,"",0),'DM01-AV-CH'!$A$6:$A$834,0)))</f>
        <v>0</v>
      </c>
      <c r="J977" s="54" t="str" cm="1">
        <f t="array" aca="1" ref="J977" ca="1">IF(B977=0,IF(E977=0,"",HYPERLINK("#"&amp;RIGHT(CELL("adresse",OFFSET(DMAV_Dienste!$M$6,E977-1,0)),LEN(CELL("adresse",OFFSET(DMAV_Dienste!$M$6,E977-1,0)))-FIND("]",CELL("adresse",OFFSET(DMAV_Dienste!$M$6,E977-1,0)))),"Dienst")),HYPERLINK("#"&amp;RIGHT(CELL("adresse",OFFSET(DMAV_Modell!$N$6,B977-1,0)),LEN(CELL("adresse",OFFSET(DMAV_Modell!$N$6,B977-1,0)))-FIND("]",CELL("adresse",OFFSET(DMAV_Modell!$N$6,B977-1,0)))),"Modell"))</f>
        <v>Modell</v>
      </c>
      <c r="K977" s="61" t="str" cm="1">
        <f t="array" ref="K977">IF($B977=0,IF($E977=0,"",IF(INDEX(DMAV_Dienste!P$6:P$140,$E977)="","",INDEX(DMAV_Dienste!P$6:P$140,$E977))),IF(INDEX(DMAV_Modell!Q$6:Q$838,$B977)="","",INDEX(DMAV_Modell!Q$6:Q$838,$B977)))</f>
        <v>CLASS</v>
      </c>
      <c r="L977" s="62" t="str" cm="1">
        <f t="array" ref="L977">IF($B977=0,IF($E977=0,"",IF(INDEX(DMAV_Dienste!O$6:O$140,$E977)="","",INDEX(DMAV_Dienste!O$6:O$140,$E977))),IF(INDEX(DMAV_Modell!P$6:P$838,$B977)="","",INDEX(DMAV_Modell!P$6:P$838,$B977)))</f>
        <v>Rohrleitungen</v>
      </c>
      <c r="M977" s="62" t="str" cm="1">
        <f t="array" ref="M977">IF($B977=0,IF($E977=0,"",IF(INDEX(DMAV_Dienste!Q$6:Q$140,$E977)="","",INDEX(DMAV_Dienste!Q$6:Q$140,$E977))),IF(INDEX(DMAV_Modell!R$6:R$838,$B977)="","",INDEX(DMAV_Modell!R$6:R$838,$B977)))</f>
        <v>Leitungsobjekt</v>
      </c>
      <c r="N977" s="62" t="str" cm="1">
        <f t="array" ref="N977">IF($B977=0,IF($E977=0,"",IF(INDEX(DMAV_Dienste!T$6:T$140,$E977)="","",INDEX(DMAV_Dienste!T$6:T$140,$E977))),IF(INDEX(DMAV_Modell!U$6:U$838,$B977)="","",INDEX(DMAV_Modell!U$6:U$838,$B977)))</f>
        <v>Objektstatus</v>
      </c>
      <c r="O977" s="63" t="str" cm="1">
        <f t="array" aca="1" ref="O977" ca="1">IF(C977=0,IF(F977=0,"",HYPERLINK("#"&amp;RIGHT(CELL("adresse",OFFSET(DMAV_Dienste!$M$6,F977-1,0)),LEN(CELL("adresse",OFFSET(DMAV_Dienste!$M$6,F977-1,0)))-FIND("]",CELL("adresse",OFFSET(DMAV_Dienste!$M$6,F977-1,0)))),"Structure")),HYPERLINK("#"&amp;RIGHT(CELL("adresse",OFFSET(DMAV_Modell!$N$6,C977-1,0)),LEN(CELL("adresse",OFFSET(DMAV_Modell!$N$6,C977-1,0)))-FIND("]",CELL("adresse",OFFSET(DMAV_Modell!$N$6,C977-1,0)))),"Structure"))</f>
        <v/>
      </c>
      <c r="P977" s="64" t="str" cm="1">
        <f t="array" aca="1" ref="P977" ca="1">IF(D977=0,IF(G977=0,"",HYPERLINK("#"&amp;RIGHT(CELL("adresse",OFFSET(DMAV_Dienste!$M$6,G977-1,0)),LEN(CELL("adresse",OFFSET(DMAV_Dienste!$M$6,G977-1,0)))-FIND("]",CELL("adresse",OFFSET(DMAV_Dienste!$M$6,G977-1,0)))),"Substructure")),HYPERLINK("#"&amp;RIGHT(CELL("adresse",OFFSET(DMAV_Modell!$N$6,D977-1,0)),LEN(CELL("adresse",OFFSET(DMAV_Modell!$N$6,D977-1,0)))-FIND("]",CELL("adresse",OFFSET(DMAV_Modell!$N$6,D977-1,0)))),"Substructure"))</f>
        <v/>
      </c>
      <c r="R977" s="80" t="s">
        <v>396</v>
      </c>
      <c r="T977" s="93"/>
      <c r="U977" s="94"/>
      <c r="V977" s="95"/>
      <c r="W977" s="96"/>
      <c r="Y977" s="85"/>
      <c r="Z977" s="86"/>
      <c r="AA977" s="87"/>
      <c r="AB977" s="88"/>
      <c r="AD977" s="77"/>
      <c r="AF977" s="54" t="str" cm="1">
        <f t="array" aca="1" ref="AF977" ca="1">IF(H977=0,"",HYPERLINK("#"&amp;RIGHT(CELL("adresse",OFFSET('DM01-AV-CH'!$G$6,H977-1,0)),LEN(CELL("adresse",OFFSET('DM01-AV-CH'!$G$6,H977-1,0)))-FIND("]",CELL("adresse",OFFSET('DM01-AV-CH'!$G$6,H977-1,0)))),"Modell"))</f>
        <v/>
      </c>
      <c r="AG977" s="72" t="str" cm="1">
        <f t="array" ref="AG977">IF($H977=0,"",IF(INDEX('DM01-AV-CH'!G$6:G$834,$H977)="","",INDEX('DM01-AV-CH'!G$6:G$834,$H977)))</f>
        <v/>
      </c>
      <c r="AH977" s="73" t="str" cm="1">
        <f t="array" ref="AH977">IF($H977=0,"",IF(INDEX('DM01-AV-CH'!H$6:H$834,$H977)="","",INDEX('DM01-AV-CH'!H$6:H$834,$H977)))</f>
        <v/>
      </c>
      <c r="AI977" s="74" t="str" cm="1">
        <f t="array" ref="AI977">IF($H977=0,"",IF(INDEX('DM01-AV-CH'!I$6:I$834,$H977)="","",INDEX('DM01-AV-CH'!I$6:I$834,$H977)))</f>
        <v/>
      </c>
    </row>
    <row r="978" spans="1:35" x14ac:dyDescent="0.25">
      <c r="A978" s="57">
        <v>973</v>
      </c>
      <c r="B978" s="57">
        <f>IF($A978="","",IF(_xlfn.XLOOKUP($A978,Korrelation!$D$4:$D$1197,Korrelation!E$4:E$1197,"-",0)="-",0,MATCH(_xlfn.XLOOKUP($A978,Korrelation!$D$4:$D$1197,Korrelation!E$4:E$1197,"",0),DMAV_Modell!$G$6:$G$677,0)))</f>
        <v>0</v>
      </c>
      <c r="C978" s="57">
        <f>IF($A978="","",IF(_xlfn.XLOOKUP($A978,Korrelation!$D$4:$D$1197,Korrelation!F$4:F$1197,"-",0)="-",0,MATCH(_xlfn.XLOOKUP($A978,Korrelation!$D$4:$D$1197,Korrelation!F$4:F$1197,"",0),DMAV_Modell!$G$6:$G$677,0)))</f>
        <v>0</v>
      </c>
      <c r="D978" s="57">
        <f>IF($A978="","",IF(_xlfn.XLOOKUP($A978,Korrelation!$D$4:$D$1197,Korrelation!G$4:G$1197,"-",0)="-",0,MATCH(_xlfn.XLOOKUP($A978,Korrelation!$D$4:$D$1197,Korrelation!G$4:G$1197,"",0),DMAV_Modell!$G$6:$G$677,0)))</f>
        <v>0</v>
      </c>
      <c r="E978" s="57">
        <f>IF($A978="","",IF(_xlfn.XLOOKUP($A978,Korrelation!$D$4:$D$1197,Korrelation!H$4:H$1197,"-",0)="-",0,MATCH(_xlfn.XLOOKUP($A978,Korrelation!$D$4:$D$1197,Korrelation!H$4:H$1197,"",0),DMAV_Dienste!$F$6:$F$140,0)))</f>
        <v>0</v>
      </c>
      <c r="F978" s="57">
        <f>IF($A978="","",IF(_xlfn.XLOOKUP($A978,Korrelation!$D$4:$D$1197,Korrelation!I$4:I$1197,"-",0)="-",0,MATCH(_xlfn.XLOOKUP($A978,Korrelation!$D$4:$D$1197,Korrelation!I$4:I$1197,"",0),DMAV_Dienste!$F$6:$F$140,0)))</f>
        <v>0</v>
      </c>
      <c r="G978" s="57">
        <f>IF($A978="","",IF(_xlfn.XLOOKUP($A978,Korrelation!$D$4:$D$1197,Korrelation!J$4:J$1197,"-",0)="-",0,MATCH(_xlfn.XLOOKUP($A978,Korrelation!$D$4:$D$1197,Korrelation!J$4:J$1197,"",0),DMAV_Dienste!$F$6:$F$140,0)))</f>
        <v>0</v>
      </c>
      <c r="H978" s="57">
        <f>IF($A978="","",IF(_xlfn.XLOOKUP($A978,Korrelation!$D$4:$D$1197,Korrelation!K$4:K$1197,"-",0)="-",0,MATCH(_xlfn.XLOOKUP($A978,Korrelation!$D$4:$D$1197,Korrelation!K$4:K$1197,"",0),'DM01-AV-CH'!$A$6:$A$834,0)))</f>
        <v>517</v>
      </c>
      <c r="J978" s="54" t="str" cm="1">
        <f t="array" aca="1" ref="J978" ca="1">IF(B978=0,IF(E978=0,"",HYPERLINK("#"&amp;RIGHT(CELL("adresse",OFFSET(DMAV_Dienste!$M$6,E978-1,0)),LEN(CELL("adresse",OFFSET(DMAV_Dienste!$M$6,E978-1,0)))-FIND("]",CELL("adresse",OFFSET(DMAV_Dienste!$M$6,E978-1,0)))),"Dienst")),HYPERLINK("#"&amp;RIGHT(CELL("adresse",OFFSET(DMAV_Modell!$N$6,B978-1,0)),LEN(CELL("adresse",OFFSET(DMAV_Modell!$N$6,B978-1,0)))-FIND("]",CELL("adresse",OFFSET(DMAV_Modell!$N$6,B978-1,0)))),"Modell"))</f>
        <v/>
      </c>
      <c r="K978" s="61" t="str" cm="1">
        <f t="array" ref="K978">IF($B978=0,IF($E978=0,"",IF(INDEX(DMAV_Dienste!P$6:P$140,$E978)="","",INDEX(DMAV_Dienste!P$6:P$140,$E978))),IF(INDEX(DMAV_Modell!Q$6:Q$838,$B978)="","",INDEX(DMAV_Modell!Q$6:Q$838,$B978)))</f>
        <v/>
      </c>
      <c r="L978" s="62" t="str" cm="1">
        <f t="array" ref="L978">IF($B978=0,IF($E978=0,"",IF(INDEX(DMAV_Dienste!O$6:O$140,$E978)="","",INDEX(DMAV_Dienste!O$6:O$140,$E978))),IF(INDEX(DMAV_Modell!P$6:P$838,$B978)="","",INDEX(DMAV_Modell!P$6:P$838,$B978)))</f>
        <v/>
      </c>
      <c r="M978" s="62" t="str" cm="1">
        <f t="array" ref="M978">IF($B978=0,IF($E978=0,"",IF(INDEX(DMAV_Dienste!Q$6:Q$140,$E978)="","",INDEX(DMAV_Dienste!Q$6:Q$140,$E978))),IF(INDEX(DMAV_Modell!R$6:R$838,$B978)="","",INDEX(DMAV_Modell!R$6:R$838,$B978)))</f>
        <v/>
      </c>
      <c r="N978" s="62" t="str" cm="1">
        <f t="array" ref="N978">IF($B978=0,IF($E978=0,"",IF(INDEX(DMAV_Dienste!T$6:T$140,$E978)="","",INDEX(DMAV_Dienste!T$6:T$140,$E978))),IF(INDEX(DMAV_Modell!U$6:U$838,$B978)="","",INDEX(DMAV_Modell!U$6:U$838,$B978)))</f>
        <v/>
      </c>
      <c r="O978" s="63" t="str" cm="1">
        <f t="array" aca="1" ref="O978" ca="1">IF(C978=0,IF(F978=0,"",HYPERLINK("#"&amp;RIGHT(CELL("adresse",OFFSET(DMAV_Dienste!$M$6,F978-1,0)),LEN(CELL("adresse",OFFSET(DMAV_Dienste!$M$6,F978-1,0)))-FIND("]",CELL("adresse",OFFSET(DMAV_Dienste!$M$6,F978-1,0)))),"Structure")),HYPERLINK("#"&amp;RIGHT(CELL("adresse",OFFSET(DMAV_Modell!$N$6,C978-1,0)),LEN(CELL("adresse",OFFSET(DMAV_Modell!$N$6,C978-1,0)))-FIND("]",CELL("adresse",OFFSET(DMAV_Modell!$N$6,C978-1,0)))),"Structure"))</f>
        <v/>
      </c>
      <c r="P978" s="64" t="str" cm="1">
        <f t="array" aca="1" ref="P978" ca="1">IF(D978=0,IF(G978=0,"",HYPERLINK("#"&amp;RIGHT(CELL("adresse",OFFSET(DMAV_Dienste!$M$6,G978-1,0)),LEN(CELL("adresse",OFFSET(DMAV_Dienste!$M$6,G978-1,0)))-FIND("]",CELL("adresse",OFFSET(DMAV_Dienste!$M$6,G978-1,0)))),"Substructure")),HYPERLINK("#"&amp;RIGHT(CELL("adresse",OFFSET(DMAV_Modell!$N$6,D978-1,0)),LEN(CELL("adresse",OFFSET(DMAV_Modell!$N$6,D978-1,0)))-FIND("]",CELL("adresse",OFFSET(DMAV_Modell!$N$6,D978-1,0)))),"Substructure"))</f>
        <v/>
      </c>
      <c r="R978" s="80"/>
      <c r="T978" s="93"/>
      <c r="U978" s="94"/>
      <c r="V978" s="95"/>
      <c r="W978" s="96"/>
      <c r="Y978" s="85"/>
      <c r="Z978" s="86"/>
      <c r="AA978" s="87"/>
      <c r="AB978" s="88"/>
      <c r="AD978" s="77"/>
      <c r="AF978" s="54" t="str" cm="1">
        <f t="array" aca="1" ref="AF978" ca="1">IF(H978=0,"",HYPERLINK("#"&amp;RIGHT(CELL("adresse",OFFSET('DM01-AV-CH'!$G$6,H978-1,0)),LEN(CELL("adresse",OFFSET('DM01-AV-CH'!$G$6,H978-1,0)))-FIND("]",CELL("adresse",OFFSET('DM01-AV-CH'!$G$6,H978-1,0)))),"Modell"))</f>
        <v>Modell</v>
      </c>
      <c r="AG978" s="72" t="str" cm="1">
        <f t="array" ref="AG978">IF($H978=0,"",IF(INDEX('DM01-AV-CH'!G$6:G$834,$H978)="","",INDEX('DM01-AV-CH'!G$6:G$834,$H978)))</f>
        <v>Rohrleitungen</v>
      </c>
      <c r="AH978" s="73" t="str" cm="1">
        <f t="array" ref="AH978">IF($H978=0,"",IF(INDEX('DM01-AV-CH'!H$6:H$834,$H978)="","",INDEX('DM01-AV-CH'!H$6:H$834,$H978)))</f>
        <v>Flaechenelement</v>
      </c>
      <c r="AI978" s="74" t="str" cm="1">
        <f t="array" ref="AI978">IF($H978=0,"",IF(INDEX('DM01-AV-CH'!I$6:I$834,$H978)="","",INDEX('DM01-AV-CH'!I$6:I$834,$H978)))</f>
        <v>Flaechenelement_von</v>
      </c>
    </row>
    <row r="979" spans="1:35" ht="28.5" x14ac:dyDescent="0.25">
      <c r="A979" s="57">
        <v>974</v>
      </c>
      <c r="B979" s="57">
        <f>IF($A979="","",IF(_xlfn.XLOOKUP($A979,Korrelation!$D$4:$D$1197,Korrelation!E$4:E$1197,"-",0)="-",0,MATCH(_xlfn.XLOOKUP($A979,Korrelation!$D$4:$D$1197,Korrelation!E$4:E$1197,"",0),DMAV_Modell!$G$6:$G$677,0)))</f>
        <v>570</v>
      </c>
      <c r="C979" s="57">
        <f>IF($A979="","",IF(_xlfn.XLOOKUP($A979,Korrelation!$D$4:$D$1197,Korrelation!F$4:F$1197,"-",0)="-",0,MATCH(_xlfn.XLOOKUP($A979,Korrelation!$D$4:$D$1197,Korrelation!F$4:F$1197,"",0),DMAV_Modell!$G$6:$G$677,0)))</f>
        <v>558</v>
      </c>
      <c r="D979" s="57">
        <f>IF($A979="","",IF(_xlfn.XLOOKUP($A979,Korrelation!$D$4:$D$1197,Korrelation!G$4:G$1197,"-",0)="-",0,MATCH(_xlfn.XLOOKUP($A979,Korrelation!$D$4:$D$1197,Korrelation!G$4:G$1197,"",0),DMAV_Modell!$G$6:$G$677,0)))</f>
        <v>0</v>
      </c>
      <c r="E979" s="57">
        <f>IF($A979="","",IF(_xlfn.XLOOKUP($A979,Korrelation!$D$4:$D$1197,Korrelation!H$4:H$1197,"-",0)="-",0,MATCH(_xlfn.XLOOKUP($A979,Korrelation!$D$4:$D$1197,Korrelation!H$4:H$1197,"",0),DMAV_Dienste!$F$6:$F$140,0)))</f>
        <v>0</v>
      </c>
      <c r="F979" s="57">
        <f>IF($A979="","",IF(_xlfn.XLOOKUP($A979,Korrelation!$D$4:$D$1197,Korrelation!I$4:I$1197,"-",0)="-",0,MATCH(_xlfn.XLOOKUP($A979,Korrelation!$D$4:$D$1197,Korrelation!I$4:I$1197,"",0),DMAV_Dienste!$F$6:$F$140,0)))</f>
        <v>0</v>
      </c>
      <c r="G979" s="57">
        <f>IF($A979="","",IF(_xlfn.XLOOKUP($A979,Korrelation!$D$4:$D$1197,Korrelation!J$4:J$1197,"-",0)="-",0,MATCH(_xlfn.XLOOKUP($A979,Korrelation!$D$4:$D$1197,Korrelation!J$4:J$1197,"",0),DMAV_Dienste!$F$6:$F$140,0)))</f>
        <v>0</v>
      </c>
      <c r="H979" s="57">
        <f>IF($A979="","",IF(_xlfn.XLOOKUP($A979,Korrelation!$D$4:$D$1197,Korrelation!K$4:K$1197,"-",0)="-",0,MATCH(_xlfn.XLOOKUP($A979,Korrelation!$D$4:$D$1197,Korrelation!K$4:K$1197,"",0),'DM01-AV-CH'!$A$6:$A$834,0)))</f>
        <v>518</v>
      </c>
      <c r="J979" s="54" t="str" cm="1">
        <f t="array" aca="1" ref="J979" ca="1">IF(B979=0,IF(E979=0,"",HYPERLINK("#"&amp;RIGHT(CELL("adresse",OFFSET(DMAV_Dienste!$M$6,E979-1,0)),LEN(CELL("adresse",OFFSET(DMAV_Dienste!$M$6,E979-1,0)))-FIND("]",CELL("adresse",OFFSET(DMAV_Dienste!$M$6,E979-1,0)))),"Dienst")),HYPERLINK("#"&amp;RIGHT(CELL("adresse",OFFSET(DMAV_Modell!$N$6,B979-1,0)),LEN(CELL("adresse",OFFSET(DMAV_Modell!$N$6,B979-1,0)))-FIND("]",CELL("adresse",OFFSET(DMAV_Modell!$N$6,B979-1,0)))),"Modell"))</f>
        <v>Modell</v>
      </c>
      <c r="K979" s="61" t="str" cm="1">
        <f t="array" ref="K979">IF($B979=0,IF($E979=0,"",IF(INDEX(DMAV_Dienste!P$6:P$140,$E979)="","",INDEX(DMAV_Dienste!P$6:P$140,$E979))),IF(INDEX(DMAV_Modell!Q$6:Q$838,$B979)="","",INDEX(DMAV_Modell!Q$6:Q$838,$B979)))</f>
        <v>CLASS</v>
      </c>
      <c r="L979" s="62" t="str" cm="1">
        <f t="array" ref="L979">IF($B979=0,IF($E979=0,"",IF(INDEX(DMAV_Dienste!O$6:O$140,$E979)="","",INDEX(DMAV_Dienste!O$6:O$140,$E979))),IF(INDEX(DMAV_Modell!P$6:P$838,$B979)="","",INDEX(DMAV_Modell!P$6:P$838,$B979)))</f>
        <v>Rohrleitungen</v>
      </c>
      <c r="M979" s="62" t="str" cm="1">
        <f t="array" ref="M979">IF($B979=0,IF($E979=0,"",IF(INDEX(DMAV_Dienste!Q$6:Q$140,$E979)="","",INDEX(DMAV_Dienste!Q$6:Q$140,$E979))),IF(INDEX(DMAV_Modell!R$6:R$838,$B979)="","",INDEX(DMAV_Modell!R$6:R$838,$B979)))</f>
        <v>Leitungsobjekt</v>
      </c>
      <c r="N979" s="62" t="str" cm="1">
        <f t="array" ref="N979">IF($B979=0,IF($E979=0,"",IF(INDEX(DMAV_Dienste!T$6:T$140,$E979)="","",INDEX(DMAV_Dienste!T$6:T$140,$E979))),IF(INDEX(DMAV_Modell!U$6:U$838,$B979)="","",INDEX(DMAV_Modell!U$6:U$838,$B979)))</f>
        <v>Flaechenelement</v>
      </c>
      <c r="O979" s="63" t="str" cm="1">
        <f t="array" aca="1" ref="O979" ca="1">IF(C979=0,IF(F979=0,"",HYPERLINK("#"&amp;RIGHT(CELL("adresse",OFFSET(DMAV_Dienste!$M$6,F979-1,0)),LEN(CELL("adresse",OFFSET(DMAV_Dienste!$M$6,F979-1,0)))-FIND("]",CELL("adresse",OFFSET(DMAV_Dienste!$M$6,F979-1,0)))),"Structure")),HYPERLINK("#"&amp;RIGHT(CELL("adresse",OFFSET(DMAV_Modell!$N$6,C979-1,0)),LEN(CELL("adresse",OFFSET(DMAV_Modell!$N$6,C979-1,0)))-FIND("]",CELL("adresse",OFFSET(DMAV_Modell!$N$6,C979-1,0)))),"Structure"))</f>
        <v>Structure</v>
      </c>
      <c r="P979" s="64" t="str" cm="1">
        <f t="array" aca="1" ref="P979" ca="1">IF(D979=0,IF(G979=0,"",HYPERLINK("#"&amp;RIGHT(CELL("adresse",OFFSET(DMAV_Dienste!$M$6,G979-1,0)),LEN(CELL("adresse",OFFSET(DMAV_Dienste!$M$6,G979-1,0)))-FIND("]",CELL("adresse",OFFSET(DMAV_Dienste!$M$6,G979-1,0)))),"Substructure")),HYPERLINK("#"&amp;RIGHT(CELL("adresse",OFFSET(DMAV_Modell!$N$6,D979-1,0)),LEN(CELL("adresse",OFFSET(DMAV_Modell!$N$6,D979-1,0)))-FIND("]",CELL("adresse",OFFSET(DMAV_Modell!$N$6,D979-1,0)))),"Substructure"))</f>
        <v/>
      </c>
      <c r="R979" s="80"/>
      <c r="T979" s="93"/>
      <c r="U979" s="94" t="s">
        <v>2980</v>
      </c>
      <c r="V979" s="95" t="s">
        <v>3221</v>
      </c>
      <c r="W979" s="96"/>
      <c r="Y979" s="85" t="s">
        <v>3220</v>
      </c>
      <c r="Z979" s="86" t="s">
        <v>2980</v>
      </c>
      <c r="AA979" s="87" t="s">
        <v>3048</v>
      </c>
      <c r="AB979" s="88"/>
      <c r="AD979" s="77"/>
      <c r="AF979" s="54" t="str" cm="1">
        <f t="array" aca="1" ref="AF979" ca="1">IF(H979=0,"",HYPERLINK("#"&amp;RIGHT(CELL("adresse",OFFSET('DM01-AV-CH'!$G$6,H979-1,0)),LEN(CELL("adresse",OFFSET('DM01-AV-CH'!$G$6,H979-1,0)))-FIND("]",CELL("adresse",OFFSET('DM01-AV-CH'!$G$6,H979-1,0)))),"Modell"))</f>
        <v>Modell</v>
      </c>
      <c r="AG979" s="72" t="str" cm="1">
        <f t="array" ref="AG979">IF($H979=0,"",IF(INDEX('DM01-AV-CH'!G$6:G$834,$H979)="","",INDEX('DM01-AV-CH'!G$6:G$834,$H979)))</f>
        <v>Rohrleitungen</v>
      </c>
      <c r="AH979" s="73" t="str" cm="1">
        <f t="array" ref="AH979">IF($H979=0,"",IF(INDEX('DM01-AV-CH'!H$6:H$834,$H979)="","",INDEX('DM01-AV-CH'!H$6:H$834,$H979)))</f>
        <v>Flaechenelement</v>
      </c>
      <c r="AI979" s="74" t="str" cm="1">
        <f t="array" ref="AI979">IF($H979=0,"",IF(INDEX('DM01-AV-CH'!I$6:I$834,$H979)="","",INDEX('DM01-AV-CH'!I$6:I$834,$H979)))</f>
        <v>Geometrie</v>
      </c>
    </row>
    <row r="980" spans="1:35" ht="28.5" x14ac:dyDescent="0.25">
      <c r="A980" s="57">
        <v>975</v>
      </c>
      <c r="B980" s="57">
        <f>IF($A980="","",IF(_xlfn.XLOOKUP($A980,Korrelation!$D$4:$D$1197,Korrelation!E$4:E$1197,"-",0)="-",0,MATCH(_xlfn.XLOOKUP($A980,Korrelation!$D$4:$D$1197,Korrelation!E$4:E$1197,"",0),DMAV_Modell!$G$6:$G$677,0)))</f>
        <v>570</v>
      </c>
      <c r="C980" s="57">
        <f>IF($A980="","",IF(_xlfn.XLOOKUP($A980,Korrelation!$D$4:$D$1197,Korrelation!F$4:F$1197,"-",0)="-",0,MATCH(_xlfn.XLOOKUP($A980,Korrelation!$D$4:$D$1197,Korrelation!F$4:F$1197,"",0),DMAV_Modell!$G$6:$G$677,0)))</f>
        <v>559</v>
      </c>
      <c r="D980" s="57">
        <f>IF($A980="","",IF(_xlfn.XLOOKUP($A980,Korrelation!$D$4:$D$1197,Korrelation!G$4:G$1197,"-",0)="-",0,MATCH(_xlfn.XLOOKUP($A980,Korrelation!$D$4:$D$1197,Korrelation!G$4:G$1197,"",0),DMAV_Modell!$G$6:$G$677,0)))</f>
        <v>0</v>
      </c>
      <c r="E980" s="57">
        <f>IF($A980="","",IF(_xlfn.XLOOKUP($A980,Korrelation!$D$4:$D$1197,Korrelation!H$4:H$1197,"-",0)="-",0,MATCH(_xlfn.XLOOKUP($A980,Korrelation!$D$4:$D$1197,Korrelation!H$4:H$1197,"",0),DMAV_Dienste!$F$6:$F$140,0)))</f>
        <v>0</v>
      </c>
      <c r="F980" s="57">
        <f>IF($A980="","",IF(_xlfn.XLOOKUP($A980,Korrelation!$D$4:$D$1197,Korrelation!I$4:I$1197,"-",0)="-",0,MATCH(_xlfn.XLOOKUP($A980,Korrelation!$D$4:$D$1197,Korrelation!I$4:I$1197,"",0),DMAV_Dienste!$F$6:$F$140,0)))</f>
        <v>0</v>
      </c>
      <c r="G980" s="57">
        <f>IF($A980="","",IF(_xlfn.XLOOKUP($A980,Korrelation!$D$4:$D$1197,Korrelation!J$4:J$1197,"-",0)="-",0,MATCH(_xlfn.XLOOKUP($A980,Korrelation!$D$4:$D$1197,Korrelation!J$4:J$1197,"",0),DMAV_Dienste!$F$6:$F$140,0)))</f>
        <v>0</v>
      </c>
      <c r="H980" s="57">
        <f>IF($A980="","",IF(_xlfn.XLOOKUP($A980,Korrelation!$D$4:$D$1197,Korrelation!K$4:K$1197,"-",0)="-",0,MATCH(_xlfn.XLOOKUP($A980,Korrelation!$D$4:$D$1197,Korrelation!K$4:K$1197,"",0),'DM01-AV-CH'!$A$6:$A$834,0)))</f>
        <v>518</v>
      </c>
      <c r="J980" s="54" t="str" cm="1">
        <f t="array" aca="1" ref="J980" ca="1">IF(B980=0,IF(E980=0,"",HYPERLINK("#"&amp;RIGHT(CELL("adresse",OFFSET(DMAV_Dienste!$M$6,E980-1,0)),LEN(CELL("adresse",OFFSET(DMAV_Dienste!$M$6,E980-1,0)))-FIND("]",CELL("adresse",OFFSET(DMAV_Dienste!$M$6,E980-1,0)))),"Dienst")),HYPERLINK("#"&amp;RIGHT(CELL("adresse",OFFSET(DMAV_Modell!$N$6,B980-1,0)),LEN(CELL("adresse",OFFSET(DMAV_Modell!$N$6,B980-1,0)))-FIND("]",CELL("adresse",OFFSET(DMAV_Modell!$N$6,B980-1,0)))),"Modell"))</f>
        <v>Modell</v>
      </c>
      <c r="K980" s="61" t="str" cm="1">
        <f t="array" ref="K980">IF($B980=0,IF($E980=0,"",IF(INDEX(DMAV_Dienste!P$6:P$140,$E980)="","",INDEX(DMAV_Dienste!P$6:P$140,$E980))),IF(INDEX(DMAV_Modell!Q$6:Q$838,$B980)="","",INDEX(DMAV_Modell!Q$6:Q$838,$B980)))</f>
        <v>CLASS</v>
      </c>
      <c r="L980" s="62" t="str" cm="1">
        <f t="array" ref="L980">IF($B980=0,IF($E980=0,"",IF(INDEX(DMAV_Dienste!O$6:O$140,$E980)="","",INDEX(DMAV_Dienste!O$6:O$140,$E980))),IF(INDEX(DMAV_Modell!P$6:P$838,$B980)="","",INDEX(DMAV_Modell!P$6:P$838,$B980)))</f>
        <v>Rohrleitungen</v>
      </c>
      <c r="M980" s="62" t="str" cm="1">
        <f t="array" ref="M980">IF($B980=0,IF($E980=0,"",IF(INDEX(DMAV_Dienste!Q$6:Q$140,$E980)="","",INDEX(DMAV_Dienste!Q$6:Q$140,$E980))),IF(INDEX(DMAV_Modell!R$6:R$838,$B980)="","",INDEX(DMAV_Modell!R$6:R$838,$B980)))</f>
        <v>Leitungsobjekt</v>
      </c>
      <c r="N980" s="62" t="str" cm="1">
        <f t="array" ref="N980">IF($B980=0,IF($E980=0,"",IF(INDEX(DMAV_Dienste!T$6:T$140,$E980)="","",INDEX(DMAV_Dienste!T$6:T$140,$E980))),IF(INDEX(DMAV_Modell!U$6:U$838,$B980)="","",INDEX(DMAV_Modell!U$6:U$838,$B980)))</f>
        <v>Flaechenelement</v>
      </c>
      <c r="O980" s="63" t="str" cm="1">
        <f t="array" aca="1" ref="O980" ca="1">IF(C980=0,IF(F980=0,"",HYPERLINK("#"&amp;RIGHT(CELL("adresse",OFFSET(DMAV_Dienste!$M$6,F980-1,0)),LEN(CELL("adresse",OFFSET(DMAV_Dienste!$M$6,F980-1,0)))-FIND("]",CELL("adresse",OFFSET(DMAV_Dienste!$M$6,F980-1,0)))),"Structure")),HYPERLINK("#"&amp;RIGHT(CELL("adresse",OFFSET(DMAV_Modell!$N$6,C980-1,0)),LEN(CELL("adresse",OFFSET(DMAV_Modell!$N$6,C980-1,0)))-FIND("]",CELL("adresse",OFFSET(DMAV_Modell!$N$6,C980-1,0)))),"Structure"))</f>
        <v>Structure</v>
      </c>
      <c r="P980" s="64" t="str" cm="1">
        <f t="array" aca="1" ref="P980" ca="1">IF(D980=0,IF(G980=0,"",HYPERLINK("#"&amp;RIGHT(CELL("adresse",OFFSET(DMAV_Dienste!$M$6,G980-1,0)),LEN(CELL("adresse",OFFSET(DMAV_Dienste!$M$6,G980-1,0)))-FIND("]",CELL("adresse",OFFSET(DMAV_Dienste!$M$6,G980-1,0)))),"Substructure")),HYPERLINK("#"&amp;RIGHT(CELL("adresse",OFFSET(DMAV_Modell!$N$6,D980-1,0)),LEN(CELL("adresse",OFFSET(DMAV_Modell!$N$6,D980-1,0)))-FIND("]",CELL("adresse",OFFSET(DMAV_Modell!$N$6,D980-1,0)))),"Substructure"))</f>
        <v/>
      </c>
      <c r="R980" s="80"/>
      <c r="T980" s="93" t="s">
        <v>3222</v>
      </c>
      <c r="U980" s="94" t="s">
        <v>1286</v>
      </c>
      <c r="V980" s="95" t="s">
        <v>3223</v>
      </c>
      <c r="W980" s="96"/>
      <c r="Y980" s="85" t="s">
        <v>3220</v>
      </c>
      <c r="Z980" s="86" t="s">
        <v>2746</v>
      </c>
      <c r="AA980" s="87" t="s">
        <v>3048</v>
      </c>
      <c r="AB980" s="88" t="s">
        <v>3083</v>
      </c>
      <c r="AD980" s="77"/>
      <c r="AF980" s="54" t="str" cm="1">
        <f t="array" aca="1" ref="AF980" ca="1">IF(H980=0,"",HYPERLINK("#"&amp;RIGHT(CELL("adresse",OFFSET('DM01-AV-CH'!$G$6,H980-1,0)),LEN(CELL("adresse",OFFSET('DM01-AV-CH'!$G$6,H980-1,0)))-FIND("]",CELL("adresse",OFFSET('DM01-AV-CH'!$G$6,H980-1,0)))),"Modell"))</f>
        <v>Modell</v>
      </c>
      <c r="AG980" s="72" t="str" cm="1">
        <f t="array" ref="AG980">IF($H980=0,"",IF(INDEX('DM01-AV-CH'!G$6:G$834,$H980)="","",INDEX('DM01-AV-CH'!G$6:G$834,$H980)))</f>
        <v>Rohrleitungen</v>
      </c>
      <c r="AH980" s="73" t="str" cm="1">
        <f t="array" ref="AH980">IF($H980=0,"",IF(INDEX('DM01-AV-CH'!H$6:H$834,$H980)="","",INDEX('DM01-AV-CH'!H$6:H$834,$H980)))</f>
        <v>Flaechenelement</v>
      </c>
      <c r="AI980" s="74" t="str" cm="1">
        <f t="array" ref="AI980">IF($H980=0,"",IF(INDEX('DM01-AV-CH'!I$6:I$834,$H980)="","",INDEX('DM01-AV-CH'!I$6:I$834,$H980)))</f>
        <v>Geometrie</v>
      </c>
    </row>
    <row r="981" spans="1:35" x14ac:dyDescent="0.25">
      <c r="A981" s="57">
        <v>976</v>
      </c>
      <c r="B981" s="57">
        <f>IF($A981="","",IF(_xlfn.XLOOKUP($A981,Korrelation!$D$4:$D$1197,Korrelation!E$4:E$1197,"-",0)="-",0,MATCH(_xlfn.XLOOKUP($A981,Korrelation!$D$4:$D$1197,Korrelation!E$4:E$1197,"",0),DMAV_Modell!$G$6:$G$677,0)))</f>
        <v>0</v>
      </c>
      <c r="C981" s="57">
        <f>IF($A981="","",IF(_xlfn.XLOOKUP($A981,Korrelation!$D$4:$D$1197,Korrelation!F$4:F$1197,"-",0)="-",0,MATCH(_xlfn.XLOOKUP($A981,Korrelation!$D$4:$D$1197,Korrelation!F$4:F$1197,"",0),DMAV_Modell!$G$6:$G$677,0)))</f>
        <v>0</v>
      </c>
      <c r="D981" s="57">
        <f>IF($A981="","",IF(_xlfn.XLOOKUP($A981,Korrelation!$D$4:$D$1197,Korrelation!G$4:G$1197,"-",0)="-",0,MATCH(_xlfn.XLOOKUP($A981,Korrelation!$D$4:$D$1197,Korrelation!G$4:G$1197,"",0),DMAV_Modell!$G$6:$G$677,0)))</f>
        <v>0</v>
      </c>
      <c r="E981" s="57">
        <f>IF($A981="","",IF(_xlfn.XLOOKUP($A981,Korrelation!$D$4:$D$1197,Korrelation!H$4:H$1197,"-",0)="-",0,MATCH(_xlfn.XLOOKUP($A981,Korrelation!$D$4:$D$1197,Korrelation!H$4:H$1197,"",0),DMAV_Dienste!$F$6:$F$140,0)))</f>
        <v>0</v>
      </c>
      <c r="F981" s="57">
        <f>IF($A981="","",IF(_xlfn.XLOOKUP($A981,Korrelation!$D$4:$D$1197,Korrelation!I$4:I$1197,"-",0)="-",0,MATCH(_xlfn.XLOOKUP($A981,Korrelation!$D$4:$D$1197,Korrelation!I$4:I$1197,"",0),DMAV_Dienste!$F$6:$F$140,0)))</f>
        <v>0</v>
      </c>
      <c r="G981" s="57">
        <f>IF($A981="","",IF(_xlfn.XLOOKUP($A981,Korrelation!$D$4:$D$1197,Korrelation!J$4:J$1197,"-",0)="-",0,MATCH(_xlfn.XLOOKUP($A981,Korrelation!$D$4:$D$1197,Korrelation!J$4:J$1197,"",0),DMAV_Dienste!$F$6:$F$140,0)))</f>
        <v>0</v>
      </c>
      <c r="H981" s="57">
        <f>IF($A981="","",IF(_xlfn.XLOOKUP($A981,Korrelation!$D$4:$D$1197,Korrelation!K$4:K$1197,"-",0)="-",0,MATCH(_xlfn.XLOOKUP($A981,Korrelation!$D$4:$D$1197,Korrelation!K$4:K$1197,"",0),'DM01-AV-CH'!$A$6:$A$834,0)))</f>
        <v>519</v>
      </c>
      <c r="J981" s="54" t="str" cm="1">
        <f t="array" aca="1" ref="J981" ca="1">IF(B981=0,IF(E981=0,"",HYPERLINK("#"&amp;RIGHT(CELL("adresse",OFFSET(DMAV_Dienste!$M$6,E981-1,0)),LEN(CELL("adresse",OFFSET(DMAV_Dienste!$M$6,E981-1,0)))-FIND("]",CELL("adresse",OFFSET(DMAV_Dienste!$M$6,E981-1,0)))),"Dienst")),HYPERLINK("#"&amp;RIGHT(CELL("adresse",OFFSET(DMAV_Modell!$N$6,B981-1,0)),LEN(CELL("adresse",OFFSET(DMAV_Modell!$N$6,B981-1,0)))-FIND("]",CELL("adresse",OFFSET(DMAV_Modell!$N$6,B981-1,0)))),"Modell"))</f>
        <v/>
      </c>
      <c r="K981" s="61" t="str" cm="1">
        <f t="array" ref="K981">IF($B981=0,IF($E981=0,"",IF(INDEX(DMAV_Dienste!P$6:P$140,$E981)="","",INDEX(DMAV_Dienste!P$6:P$140,$E981))),IF(INDEX(DMAV_Modell!Q$6:Q$838,$B981)="","",INDEX(DMAV_Modell!Q$6:Q$838,$B981)))</f>
        <v/>
      </c>
      <c r="L981" s="62" t="str" cm="1">
        <f t="array" ref="L981">IF($B981=0,IF($E981=0,"",IF(INDEX(DMAV_Dienste!O$6:O$140,$E981)="","",INDEX(DMAV_Dienste!O$6:O$140,$E981))),IF(INDEX(DMAV_Modell!P$6:P$838,$B981)="","",INDEX(DMAV_Modell!P$6:P$838,$B981)))</f>
        <v/>
      </c>
      <c r="M981" s="62" t="str" cm="1">
        <f t="array" ref="M981">IF($B981=0,IF($E981=0,"",IF(INDEX(DMAV_Dienste!Q$6:Q$140,$E981)="","",INDEX(DMAV_Dienste!Q$6:Q$140,$E981))),IF(INDEX(DMAV_Modell!R$6:R$838,$B981)="","",INDEX(DMAV_Modell!R$6:R$838,$B981)))</f>
        <v/>
      </c>
      <c r="N981" s="62" t="str" cm="1">
        <f t="array" ref="N981">IF($B981=0,IF($E981=0,"",IF(INDEX(DMAV_Dienste!T$6:T$140,$E981)="","",INDEX(DMAV_Dienste!T$6:T$140,$E981))),IF(INDEX(DMAV_Modell!U$6:U$838,$B981)="","",INDEX(DMAV_Modell!U$6:U$838,$B981)))</f>
        <v/>
      </c>
      <c r="O981" s="63" t="str" cm="1">
        <f t="array" aca="1" ref="O981" ca="1">IF(C981=0,IF(F981=0,"",HYPERLINK("#"&amp;RIGHT(CELL("adresse",OFFSET(DMAV_Dienste!$M$6,F981-1,0)),LEN(CELL("adresse",OFFSET(DMAV_Dienste!$M$6,F981-1,0)))-FIND("]",CELL("adresse",OFFSET(DMAV_Dienste!$M$6,F981-1,0)))),"Structure")),HYPERLINK("#"&amp;RIGHT(CELL("adresse",OFFSET(DMAV_Modell!$N$6,C981-1,0)),LEN(CELL("adresse",OFFSET(DMAV_Modell!$N$6,C981-1,0)))-FIND("]",CELL("adresse",OFFSET(DMAV_Modell!$N$6,C981-1,0)))),"Structure"))</f>
        <v/>
      </c>
      <c r="P981" s="64" t="str" cm="1">
        <f t="array" aca="1" ref="P981" ca="1">IF(D981=0,IF(G981=0,"",HYPERLINK("#"&amp;RIGHT(CELL("adresse",OFFSET(DMAV_Dienste!$M$6,G981-1,0)),LEN(CELL("adresse",OFFSET(DMAV_Dienste!$M$6,G981-1,0)))-FIND("]",CELL("adresse",OFFSET(DMAV_Dienste!$M$6,G981-1,0)))),"Substructure")),HYPERLINK("#"&amp;RIGHT(CELL("adresse",OFFSET(DMAV_Modell!$N$6,D981-1,0)),LEN(CELL("adresse",OFFSET(DMAV_Modell!$N$6,D981-1,0)))-FIND("]",CELL("adresse",OFFSET(DMAV_Modell!$N$6,D981-1,0)))),"Substructure"))</f>
        <v/>
      </c>
      <c r="R981" s="80"/>
      <c r="T981" s="93"/>
      <c r="U981" s="94"/>
      <c r="V981" s="95"/>
      <c r="W981" s="96"/>
      <c r="Y981" s="85"/>
      <c r="Z981" s="86"/>
      <c r="AA981" s="87"/>
      <c r="AB981" s="88"/>
      <c r="AD981" s="77"/>
      <c r="AF981" s="54" t="str" cm="1">
        <f t="array" aca="1" ref="AF981" ca="1">IF(H981=0,"",HYPERLINK("#"&amp;RIGHT(CELL("adresse",OFFSET('DM01-AV-CH'!$G$6,H981-1,0)),LEN(CELL("adresse",OFFSET('DM01-AV-CH'!$G$6,H981-1,0)))-FIND("]",CELL("adresse",OFFSET('DM01-AV-CH'!$G$6,H981-1,0)))),"Modell"))</f>
        <v>Modell</v>
      </c>
      <c r="AG981" s="72" t="str" cm="1">
        <f t="array" ref="AG981">IF($H981=0,"",IF(INDEX('DM01-AV-CH'!G$6:G$834,$H981)="","",INDEX('DM01-AV-CH'!G$6:G$834,$H981)))</f>
        <v>Rohrleitungen</v>
      </c>
      <c r="AH981" s="73" t="str" cm="1">
        <f t="array" ref="AH981">IF($H981=0,"",IF(INDEX('DM01-AV-CH'!H$6:H$834,$H981)="","",INDEX('DM01-AV-CH'!H$6:H$834,$H981)))</f>
        <v>Linienelement</v>
      </c>
      <c r="AI981" s="74" t="str" cm="1">
        <f t="array" ref="AI981">IF($H981=0,"",IF(INDEX('DM01-AV-CH'!I$6:I$834,$H981)="","",INDEX('DM01-AV-CH'!I$6:I$834,$H981)))</f>
        <v>Linienelement_von</v>
      </c>
    </row>
    <row r="982" spans="1:35" ht="28.5" x14ac:dyDescent="0.25">
      <c r="A982" s="57">
        <v>977</v>
      </c>
      <c r="B982" s="57">
        <f>IF($A982="","",IF(_xlfn.XLOOKUP($A982,Korrelation!$D$4:$D$1197,Korrelation!E$4:E$1197,"-",0)="-",0,MATCH(_xlfn.XLOOKUP($A982,Korrelation!$D$4:$D$1197,Korrelation!E$4:E$1197,"",0),DMAV_Modell!$G$6:$G$677,0)))</f>
        <v>571</v>
      </c>
      <c r="C982" s="57">
        <f>IF($A982="","",IF(_xlfn.XLOOKUP($A982,Korrelation!$D$4:$D$1197,Korrelation!F$4:F$1197,"-",0)="-",0,MATCH(_xlfn.XLOOKUP($A982,Korrelation!$D$4:$D$1197,Korrelation!F$4:F$1197,"",0),DMAV_Modell!$G$6:$G$677,0)))</f>
        <v>561</v>
      </c>
      <c r="D982" s="57">
        <f>IF($A982="","",IF(_xlfn.XLOOKUP($A982,Korrelation!$D$4:$D$1197,Korrelation!G$4:G$1197,"-",0)="-",0,MATCH(_xlfn.XLOOKUP($A982,Korrelation!$D$4:$D$1197,Korrelation!G$4:G$1197,"",0),DMAV_Modell!$G$6:$G$677,0)))</f>
        <v>0</v>
      </c>
      <c r="E982" s="57">
        <f>IF($A982="","",IF(_xlfn.XLOOKUP($A982,Korrelation!$D$4:$D$1197,Korrelation!H$4:H$1197,"-",0)="-",0,MATCH(_xlfn.XLOOKUP($A982,Korrelation!$D$4:$D$1197,Korrelation!H$4:H$1197,"",0),DMAV_Dienste!$F$6:$F$140,0)))</f>
        <v>0</v>
      </c>
      <c r="F982" s="57">
        <f>IF($A982="","",IF(_xlfn.XLOOKUP($A982,Korrelation!$D$4:$D$1197,Korrelation!I$4:I$1197,"-",0)="-",0,MATCH(_xlfn.XLOOKUP($A982,Korrelation!$D$4:$D$1197,Korrelation!I$4:I$1197,"",0),DMAV_Dienste!$F$6:$F$140,0)))</f>
        <v>0</v>
      </c>
      <c r="G982" s="57">
        <f>IF($A982="","",IF(_xlfn.XLOOKUP($A982,Korrelation!$D$4:$D$1197,Korrelation!J$4:J$1197,"-",0)="-",0,MATCH(_xlfn.XLOOKUP($A982,Korrelation!$D$4:$D$1197,Korrelation!J$4:J$1197,"",0),DMAV_Dienste!$F$6:$F$140,0)))</f>
        <v>0</v>
      </c>
      <c r="H982" s="57">
        <f>IF($A982="","",IF(_xlfn.XLOOKUP($A982,Korrelation!$D$4:$D$1197,Korrelation!K$4:K$1197,"-",0)="-",0,MATCH(_xlfn.XLOOKUP($A982,Korrelation!$D$4:$D$1197,Korrelation!K$4:K$1197,"",0),'DM01-AV-CH'!$A$6:$A$834,0)))</f>
        <v>520</v>
      </c>
      <c r="J982" s="54" t="str" cm="1">
        <f t="array" aca="1" ref="J982" ca="1">IF(B982=0,IF(E982=0,"",HYPERLINK("#"&amp;RIGHT(CELL("adresse",OFFSET(DMAV_Dienste!$M$6,E982-1,0)),LEN(CELL("adresse",OFFSET(DMAV_Dienste!$M$6,E982-1,0)))-FIND("]",CELL("adresse",OFFSET(DMAV_Dienste!$M$6,E982-1,0)))),"Dienst")),HYPERLINK("#"&amp;RIGHT(CELL("adresse",OFFSET(DMAV_Modell!$N$6,B982-1,0)),LEN(CELL("adresse",OFFSET(DMAV_Modell!$N$6,B982-1,0)))-FIND("]",CELL("adresse",OFFSET(DMAV_Modell!$N$6,B982-1,0)))),"Modell"))</f>
        <v>Modell</v>
      </c>
      <c r="K982" s="61" t="str" cm="1">
        <f t="array" ref="K982">IF($B982=0,IF($E982=0,"",IF(INDEX(DMAV_Dienste!P$6:P$140,$E982)="","",INDEX(DMAV_Dienste!P$6:P$140,$E982))),IF(INDEX(DMAV_Modell!Q$6:Q$838,$B982)="","",INDEX(DMAV_Modell!Q$6:Q$838,$B982)))</f>
        <v>CLASS</v>
      </c>
      <c r="L982" s="62" t="str" cm="1">
        <f t="array" ref="L982">IF($B982=0,IF($E982=0,"",IF(INDEX(DMAV_Dienste!O$6:O$140,$E982)="","",INDEX(DMAV_Dienste!O$6:O$140,$E982))),IF(INDEX(DMAV_Modell!P$6:P$838,$B982)="","",INDEX(DMAV_Modell!P$6:P$838,$B982)))</f>
        <v>Rohrleitungen</v>
      </c>
      <c r="M982" s="62" t="str" cm="1">
        <f t="array" ref="M982">IF($B982=0,IF($E982=0,"",IF(INDEX(DMAV_Dienste!Q$6:Q$140,$E982)="","",INDEX(DMAV_Dienste!Q$6:Q$140,$E982))),IF(INDEX(DMAV_Modell!R$6:R$838,$B982)="","",INDEX(DMAV_Modell!R$6:R$838,$B982)))</f>
        <v>Leitungsobjekt</v>
      </c>
      <c r="N982" s="62" t="str" cm="1">
        <f t="array" ref="N982">IF($B982=0,IF($E982=0,"",IF(INDEX(DMAV_Dienste!T$6:T$140,$E982)="","",INDEX(DMAV_Dienste!T$6:T$140,$E982))),IF(INDEX(DMAV_Modell!U$6:U$838,$B982)="","",INDEX(DMAV_Modell!U$6:U$838,$B982)))</f>
        <v>Linienelement</v>
      </c>
      <c r="O982" s="63" t="str" cm="1">
        <f t="array" aca="1" ref="O982" ca="1">IF(C982=0,IF(F982=0,"",HYPERLINK("#"&amp;RIGHT(CELL("adresse",OFFSET(DMAV_Dienste!$M$6,F982-1,0)),LEN(CELL("adresse",OFFSET(DMAV_Dienste!$M$6,F982-1,0)))-FIND("]",CELL("adresse",OFFSET(DMAV_Dienste!$M$6,F982-1,0)))),"Structure")),HYPERLINK("#"&amp;RIGHT(CELL("adresse",OFFSET(DMAV_Modell!$N$6,C982-1,0)),LEN(CELL("adresse",OFFSET(DMAV_Modell!$N$6,C982-1,0)))-FIND("]",CELL("adresse",OFFSET(DMAV_Modell!$N$6,C982-1,0)))),"Structure"))</f>
        <v>Structure</v>
      </c>
      <c r="P982" s="64" t="str" cm="1">
        <f t="array" aca="1" ref="P982" ca="1">IF(D982=0,IF(G982=0,"",HYPERLINK("#"&amp;RIGHT(CELL("adresse",OFFSET(DMAV_Dienste!$M$6,G982-1,0)),LEN(CELL("adresse",OFFSET(DMAV_Dienste!$M$6,G982-1,0)))-FIND("]",CELL("adresse",OFFSET(DMAV_Dienste!$M$6,G982-1,0)))),"Substructure")),HYPERLINK("#"&amp;RIGHT(CELL("adresse",OFFSET(DMAV_Modell!$N$6,D982-1,0)),LEN(CELL("adresse",OFFSET(DMAV_Modell!$N$6,D982-1,0)))-FIND("]",CELL("adresse",OFFSET(DMAV_Modell!$N$6,D982-1,0)))),"Substructure"))</f>
        <v/>
      </c>
      <c r="R982" s="80"/>
      <c r="T982" s="93"/>
      <c r="U982" s="94" t="s">
        <v>2980</v>
      </c>
      <c r="V982" s="95" t="s">
        <v>3224</v>
      </c>
      <c r="W982" s="96"/>
      <c r="Y982" s="85" t="s">
        <v>3220</v>
      </c>
      <c r="Z982" s="86" t="s">
        <v>2980</v>
      </c>
      <c r="AA982" s="87" t="s">
        <v>3225</v>
      </c>
      <c r="AB982" s="88"/>
      <c r="AD982" s="77"/>
      <c r="AF982" s="54" t="str" cm="1">
        <f t="array" aca="1" ref="AF982" ca="1">IF(H982=0,"",HYPERLINK("#"&amp;RIGHT(CELL("adresse",OFFSET('DM01-AV-CH'!$G$6,H982-1,0)),LEN(CELL("adresse",OFFSET('DM01-AV-CH'!$G$6,H982-1,0)))-FIND("]",CELL("adresse",OFFSET('DM01-AV-CH'!$G$6,H982-1,0)))),"Modell"))</f>
        <v>Modell</v>
      </c>
      <c r="AG982" s="72" t="str" cm="1">
        <f t="array" ref="AG982">IF($H982=0,"",IF(INDEX('DM01-AV-CH'!G$6:G$834,$H982)="","",INDEX('DM01-AV-CH'!G$6:G$834,$H982)))</f>
        <v>Rohrleitungen</v>
      </c>
      <c r="AH982" s="73" t="str" cm="1">
        <f t="array" ref="AH982">IF($H982=0,"",IF(INDEX('DM01-AV-CH'!H$6:H$834,$H982)="","",INDEX('DM01-AV-CH'!H$6:H$834,$H982)))</f>
        <v>Linienelement</v>
      </c>
      <c r="AI982" s="74" t="str" cm="1">
        <f t="array" ref="AI982">IF($H982=0,"",IF(INDEX('DM01-AV-CH'!I$6:I$834,$H982)="","",INDEX('DM01-AV-CH'!I$6:I$834,$H982)))</f>
        <v>Geometrie</v>
      </c>
    </row>
    <row r="983" spans="1:35" ht="28.5" x14ac:dyDescent="0.25">
      <c r="A983" s="57">
        <v>978</v>
      </c>
      <c r="B983" s="57">
        <f>IF($A983="","",IF(_xlfn.XLOOKUP($A983,Korrelation!$D$4:$D$1197,Korrelation!E$4:E$1197,"-",0)="-",0,MATCH(_xlfn.XLOOKUP($A983,Korrelation!$D$4:$D$1197,Korrelation!E$4:E$1197,"",0),DMAV_Modell!$G$6:$G$677,0)))</f>
        <v>571</v>
      </c>
      <c r="C983" s="57">
        <f>IF($A983="","",IF(_xlfn.XLOOKUP($A983,Korrelation!$D$4:$D$1197,Korrelation!F$4:F$1197,"-",0)="-",0,MATCH(_xlfn.XLOOKUP($A983,Korrelation!$D$4:$D$1197,Korrelation!F$4:F$1197,"",0),DMAV_Modell!$G$6:$G$677,0)))</f>
        <v>562</v>
      </c>
      <c r="D983" s="57">
        <f>IF($A983="","",IF(_xlfn.XLOOKUP($A983,Korrelation!$D$4:$D$1197,Korrelation!G$4:G$1197,"-",0)="-",0,MATCH(_xlfn.XLOOKUP($A983,Korrelation!$D$4:$D$1197,Korrelation!G$4:G$1197,"",0),DMAV_Modell!$G$6:$G$677,0)))</f>
        <v>0</v>
      </c>
      <c r="E983" s="57">
        <f>IF($A983="","",IF(_xlfn.XLOOKUP($A983,Korrelation!$D$4:$D$1197,Korrelation!H$4:H$1197,"-",0)="-",0,MATCH(_xlfn.XLOOKUP($A983,Korrelation!$D$4:$D$1197,Korrelation!H$4:H$1197,"",0),DMAV_Dienste!$F$6:$F$140,0)))</f>
        <v>0</v>
      </c>
      <c r="F983" s="57">
        <f>IF($A983="","",IF(_xlfn.XLOOKUP($A983,Korrelation!$D$4:$D$1197,Korrelation!I$4:I$1197,"-",0)="-",0,MATCH(_xlfn.XLOOKUP($A983,Korrelation!$D$4:$D$1197,Korrelation!I$4:I$1197,"",0),DMAV_Dienste!$F$6:$F$140,0)))</f>
        <v>0</v>
      </c>
      <c r="G983" s="57">
        <f>IF($A983="","",IF(_xlfn.XLOOKUP($A983,Korrelation!$D$4:$D$1197,Korrelation!J$4:J$1197,"-",0)="-",0,MATCH(_xlfn.XLOOKUP($A983,Korrelation!$D$4:$D$1197,Korrelation!J$4:J$1197,"",0),DMAV_Dienste!$F$6:$F$140,0)))</f>
        <v>0</v>
      </c>
      <c r="H983" s="57">
        <f>IF($A983="","",IF(_xlfn.XLOOKUP($A983,Korrelation!$D$4:$D$1197,Korrelation!K$4:K$1197,"-",0)="-",0,MATCH(_xlfn.XLOOKUP($A983,Korrelation!$D$4:$D$1197,Korrelation!K$4:K$1197,"",0),'DM01-AV-CH'!$A$6:$A$834,0)))</f>
        <v>521</v>
      </c>
      <c r="J983" s="54" t="str" cm="1">
        <f t="array" aca="1" ref="J983" ca="1">IF(B983=0,IF(E983=0,"",HYPERLINK("#"&amp;RIGHT(CELL("adresse",OFFSET(DMAV_Dienste!$M$6,E983-1,0)),LEN(CELL("adresse",OFFSET(DMAV_Dienste!$M$6,E983-1,0)))-FIND("]",CELL("adresse",OFFSET(DMAV_Dienste!$M$6,E983-1,0)))),"Dienst")),HYPERLINK("#"&amp;RIGHT(CELL("adresse",OFFSET(DMAV_Modell!$N$6,B983-1,0)),LEN(CELL("adresse",OFFSET(DMAV_Modell!$N$6,B983-1,0)))-FIND("]",CELL("adresse",OFFSET(DMAV_Modell!$N$6,B983-1,0)))),"Modell"))</f>
        <v>Modell</v>
      </c>
      <c r="K983" s="61" t="str" cm="1">
        <f t="array" ref="K983">IF($B983=0,IF($E983=0,"",IF(INDEX(DMAV_Dienste!P$6:P$140,$E983)="","",INDEX(DMAV_Dienste!P$6:P$140,$E983))),IF(INDEX(DMAV_Modell!Q$6:Q$838,$B983)="","",INDEX(DMAV_Modell!Q$6:Q$838,$B983)))</f>
        <v>CLASS</v>
      </c>
      <c r="L983" s="62" t="str" cm="1">
        <f t="array" ref="L983">IF($B983=0,IF($E983=0,"",IF(INDEX(DMAV_Dienste!O$6:O$140,$E983)="","",INDEX(DMAV_Dienste!O$6:O$140,$E983))),IF(INDEX(DMAV_Modell!P$6:P$838,$B983)="","",INDEX(DMAV_Modell!P$6:P$838,$B983)))</f>
        <v>Rohrleitungen</v>
      </c>
      <c r="M983" s="62" t="str" cm="1">
        <f t="array" ref="M983">IF($B983=0,IF($E983=0,"",IF(INDEX(DMAV_Dienste!Q$6:Q$140,$E983)="","",INDEX(DMAV_Dienste!Q$6:Q$140,$E983))),IF(INDEX(DMAV_Modell!R$6:R$838,$B983)="","",INDEX(DMAV_Modell!R$6:R$838,$B983)))</f>
        <v>Leitungsobjekt</v>
      </c>
      <c r="N983" s="62" t="str" cm="1">
        <f t="array" ref="N983">IF($B983=0,IF($E983=0,"",IF(INDEX(DMAV_Dienste!T$6:T$140,$E983)="","",INDEX(DMAV_Dienste!T$6:T$140,$E983))),IF(INDEX(DMAV_Modell!U$6:U$838,$B983)="","",INDEX(DMAV_Modell!U$6:U$838,$B983)))</f>
        <v>Linienelement</v>
      </c>
      <c r="O983" s="63" t="str" cm="1">
        <f t="array" aca="1" ref="O983" ca="1">IF(C983=0,IF(F983=0,"",HYPERLINK("#"&amp;RIGHT(CELL("adresse",OFFSET(DMAV_Dienste!$M$6,F983-1,0)),LEN(CELL("adresse",OFFSET(DMAV_Dienste!$M$6,F983-1,0)))-FIND("]",CELL("adresse",OFFSET(DMAV_Dienste!$M$6,F983-1,0)))),"Structure")),HYPERLINK("#"&amp;RIGHT(CELL("adresse",OFFSET(DMAV_Modell!$N$6,C983-1,0)),LEN(CELL("adresse",OFFSET(DMAV_Modell!$N$6,C983-1,0)))-FIND("]",CELL("adresse",OFFSET(DMAV_Modell!$N$6,C983-1,0)))),"Structure"))</f>
        <v>Structure</v>
      </c>
      <c r="P983" s="64" t="str" cm="1">
        <f t="array" aca="1" ref="P983" ca="1">IF(D983=0,IF(G983=0,"",HYPERLINK("#"&amp;RIGHT(CELL("adresse",OFFSET(DMAV_Dienste!$M$6,G983-1,0)),LEN(CELL("adresse",OFFSET(DMAV_Dienste!$M$6,G983-1,0)))-FIND("]",CELL("adresse",OFFSET(DMAV_Dienste!$M$6,G983-1,0)))),"Substructure")),HYPERLINK("#"&amp;RIGHT(CELL("adresse",OFFSET(DMAV_Modell!$N$6,D983-1,0)),LEN(CELL("adresse",OFFSET(DMAV_Modell!$N$6,D983-1,0)))-FIND("]",CELL("adresse",OFFSET(DMAV_Modell!$N$6,D983-1,0)))),"Substructure"))</f>
        <v/>
      </c>
      <c r="R983" s="80" t="s">
        <v>3084</v>
      </c>
      <c r="T983" s="93"/>
      <c r="U983" s="94" t="s">
        <v>2980</v>
      </c>
      <c r="V983" s="95" t="s">
        <v>3226</v>
      </c>
      <c r="W983" s="96"/>
      <c r="Y983" s="85" t="s">
        <v>3220</v>
      </c>
      <c r="Z983" s="86" t="s">
        <v>2980</v>
      </c>
      <c r="AA983" s="87" t="s">
        <v>3227</v>
      </c>
      <c r="AB983" s="88"/>
      <c r="AD983" s="77" t="s">
        <v>3085</v>
      </c>
      <c r="AF983" s="54" t="str" cm="1">
        <f t="array" aca="1" ref="AF983" ca="1">IF(H983=0,"",HYPERLINK("#"&amp;RIGHT(CELL("adresse",OFFSET('DM01-AV-CH'!$G$6,H983-1,0)),LEN(CELL("adresse",OFFSET('DM01-AV-CH'!$G$6,H983-1,0)))-FIND("]",CELL("adresse",OFFSET('DM01-AV-CH'!$G$6,H983-1,0)))),"Modell"))</f>
        <v>Modell</v>
      </c>
      <c r="AG983" s="72" t="str" cm="1">
        <f t="array" ref="AG983">IF($H983=0,"",IF(INDEX('DM01-AV-CH'!G$6:G$834,$H983)="","",INDEX('DM01-AV-CH'!G$6:G$834,$H983)))</f>
        <v>Rohrleitungen</v>
      </c>
      <c r="AH983" s="73" t="str" cm="1">
        <f t="array" ref="AH983">IF($H983=0,"",IF(INDEX('DM01-AV-CH'!H$6:H$834,$H983)="","",INDEX('DM01-AV-CH'!H$6:H$834,$H983)))</f>
        <v>Linienelement</v>
      </c>
      <c r="AI983" s="74" t="str" cm="1">
        <f t="array" ref="AI983">IF($H983=0,"",IF(INDEX('DM01-AV-CH'!I$6:I$834,$H983)="","",INDEX('DM01-AV-CH'!I$6:I$834,$H983)))</f>
        <v>Linienart</v>
      </c>
    </row>
    <row r="984" spans="1:35" x14ac:dyDescent="0.25">
      <c r="A984" s="57">
        <v>979</v>
      </c>
      <c r="B984" s="57">
        <f>IF($A984="","",IF(_xlfn.XLOOKUP($A984,Korrelation!$D$4:$D$1197,Korrelation!E$4:E$1197,"-",0)="-",0,MATCH(_xlfn.XLOOKUP($A984,Korrelation!$D$4:$D$1197,Korrelation!E$4:E$1197,"",0),DMAV_Modell!$G$6:$G$677,0)))</f>
        <v>0</v>
      </c>
      <c r="C984" s="57">
        <f>IF($A984="","",IF(_xlfn.XLOOKUP($A984,Korrelation!$D$4:$D$1197,Korrelation!F$4:F$1197,"-",0)="-",0,MATCH(_xlfn.XLOOKUP($A984,Korrelation!$D$4:$D$1197,Korrelation!F$4:F$1197,"",0),DMAV_Modell!$G$6:$G$677,0)))</f>
        <v>0</v>
      </c>
      <c r="D984" s="57">
        <f>IF($A984="","",IF(_xlfn.XLOOKUP($A984,Korrelation!$D$4:$D$1197,Korrelation!G$4:G$1197,"-",0)="-",0,MATCH(_xlfn.XLOOKUP($A984,Korrelation!$D$4:$D$1197,Korrelation!G$4:G$1197,"",0),DMAV_Modell!$G$6:$G$677,0)))</f>
        <v>0</v>
      </c>
      <c r="E984" s="57">
        <f>IF($A984="","",IF(_xlfn.XLOOKUP($A984,Korrelation!$D$4:$D$1197,Korrelation!H$4:H$1197,"-",0)="-",0,MATCH(_xlfn.XLOOKUP($A984,Korrelation!$D$4:$D$1197,Korrelation!H$4:H$1197,"",0),DMAV_Dienste!$F$6:$F$140,0)))</f>
        <v>0</v>
      </c>
      <c r="F984" s="57">
        <f>IF($A984="","",IF(_xlfn.XLOOKUP($A984,Korrelation!$D$4:$D$1197,Korrelation!I$4:I$1197,"-",0)="-",0,MATCH(_xlfn.XLOOKUP($A984,Korrelation!$D$4:$D$1197,Korrelation!I$4:I$1197,"",0),DMAV_Dienste!$F$6:$F$140,0)))</f>
        <v>0</v>
      </c>
      <c r="G984" s="57">
        <f>IF($A984="","",IF(_xlfn.XLOOKUP($A984,Korrelation!$D$4:$D$1197,Korrelation!J$4:J$1197,"-",0)="-",0,MATCH(_xlfn.XLOOKUP($A984,Korrelation!$D$4:$D$1197,Korrelation!J$4:J$1197,"",0),DMAV_Dienste!$F$6:$F$140,0)))</f>
        <v>0</v>
      </c>
      <c r="H984" s="57">
        <f>IF($A984="","",IF(_xlfn.XLOOKUP($A984,Korrelation!$D$4:$D$1197,Korrelation!K$4:K$1197,"-",0)="-",0,MATCH(_xlfn.XLOOKUP($A984,Korrelation!$D$4:$D$1197,Korrelation!K$4:K$1197,"",0),'DM01-AV-CH'!$A$6:$A$834,0)))</f>
        <v>522</v>
      </c>
      <c r="J984" s="54" t="str" cm="1">
        <f t="array" aca="1" ref="J984" ca="1">IF(B984=0,IF(E984=0,"",HYPERLINK("#"&amp;RIGHT(CELL("adresse",OFFSET(DMAV_Dienste!$M$6,E984-1,0)),LEN(CELL("adresse",OFFSET(DMAV_Dienste!$M$6,E984-1,0)))-FIND("]",CELL("adresse",OFFSET(DMAV_Dienste!$M$6,E984-1,0)))),"Dienst")),HYPERLINK("#"&amp;RIGHT(CELL("adresse",OFFSET(DMAV_Modell!$N$6,B984-1,0)),LEN(CELL("adresse",OFFSET(DMAV_Modell!$N$6,B984-1,0)))-FIND("]",CELL("adresse",OFFSET(DMAV_Modell!$N$6,B984-1,0)))),"Modell"))</f>
        <v/>
      </c>
      <c r="K984" s="61" t="str" cm="1">
        <f t="array" ref="K984">IF($B984=0,IF($E984=0,"",IF(INDEX(DMAV_Dienste!P$6:P$140,$E984)="","",INDEX(DMAV_Dienste!P$6:P$140,$E984))),IF(INDEX(DMAV_Modell!Q$6:Q$838,$B984)="","",INDEX(DMAV_Modell!Q$6:Q$838,$B984)))</f>
        <v/>
      </c>
      <c r="L984" s="62" t="str" cm="1">
        <f t="array" ref="L984">IF($B984=0,IF($E984=0,"",IF(INDEX(DMAV_Dienste!O$6:O$140,$E984)="","",INDEX(DMAV_Dienste!O$6:O$140,$E984))),IF(INDEX(DMAV_Modell!P$6:P$838,$B984)="","",INDEX(DMAV_Modell!P$6:P$838,$B984)))</f>
        <v/>
      </c>
      <c r="M984" s="62" t="str" cm="1">
        <f t="array" ref="M984">IF($B984=0,IF($E984=0,"",IF(INDEX(DMAV_Dienste!Q$6:Q$140,$E984)="","",INDEX(DMAV_Dienste!Q$6:Q$140,$E984))),IF(INDEX(DMAV_Modell!R$6:R$838,$B984)="","",INDEX(DMAV_Modell!R$6:R$838,$B984)))</f>
        <v/>
      </c>
      <c r="N984" s="62" t="str" cm="1">
        <f t="array" ref="N984">IF($B984=0,IF($E984=0,"",IF(INDEX(DMAV_Dienste!T$6:T$140,$E984)="","",INDEX(DMAV_Dienste!T$6:T$140,$E984))),IF(INDEX(DMAV_Modell!U$6:U$838,$B984)="","",INDEX(DMAV_Modell!U$6:U$838,$B984)))</f>
        <v/>
      </c>
      <c r="O984" s="63" t="str" cm="1">
        <f t="array" aca="1" ref="O984" ca="1">IF(C984=0,IF(F984=0,"",HYPERLINK("#"&amp;RIGHT(CELL("adresse",OFFSET(DMAV_Dienste!$M$6,F984-1,0)),LEN(CELL("adresse",OFFSET(DMAV_Dienste!$M$6,F984-1,0)))-FIND("]",CELL("adresse",OFFSET(DMAV_Dienste!$M$6,F984-1,0)))),"Structure")),HYPERLINK("#"&amp;RIGHT(CELL("adresse",OFFSET(DMAV_Modell!$N$6,C984-1,0)),LEN(CELL("adresse",OFFSET(DMAV_Modell!$N$6,C984-1,0)))-FIND("]",CELL("adresse",OFFSET(DMAV_Modell!$N$6,C984-1,0)))),"Structure"))</f>
        <v/>
      </c>
      <c r="P984" s="64" t="str" cm="1">
        <f t="array" aca="1" ref="P984" ca="1">IF(D984=0,IF(G984=0,"",HYPERLINK("#"&amp;RIGHT(CELL("adresse",OFFSET(DMAV_Dienste!$M$6,G984-1,0)),LEN(CELL("adresse",OFFSET(DMAV_Dienste!$M$6,G984-1,0)))-FIND("]",CELL("adresse",OFFSET(DMAV_Dienste!$M$6,G984-1,0)))),"Substructure")),HYPERLINK("#"&amp;RIGHT(CELL("adresse",OFFSET(DMAV_Modell!$N$6,D984-1,0)),LEN(CELL("adresse",OFFSET(DMAV_Modell!$N$6,D984-1,0)))-FIND("]",CELL("adresse",OFFSET(DMAV_Modell!$N$6,D984-1,0)))),"Substructure"))</f>
        <v/>
      </c>
      <c r="R984" s="80"/>
      <c r="T984" s="93"/>
      <c r="U984" s="94"/>
      <c r="V984" s="95"/>
      <c r="W984" s="96"/>
      <c r="Y984" s="85"/>
      <c r="Z984" s="86"/>
      <c r="AA984" s="87"/>
      <c r="AB984" s="88"/>
      <c r="AD984" s="77"/>
      <c r="AF984" s="54" t="str" cm="1">
        <f t="array" aca="1" ref="AF984" ca="1">IF(H984=0,"",HYPERLINK("#"&amp;RIGHT(CELL("adresse",OFFSET('DM01-AV-CH'!$G$6,H984-1,0)),LEN(CELL("adresse",OFFSET('DM01-AV-CH'!$G$6,H984-1,0)))-FIND("]",CELL("adresse",OFFSET('DM01-AV-CH'!$G$6,H984-1,0)))),"Modell"))</f>
        <v>Modell</v>
      </c>
      <c r="AG984" s="72" t="str" cm="1">
        <f t="array" ref="AG984">IF($H984=0,"",IF(INDEX('DM01-AV-CH'!G$6:G$834,$H984)="","",INDEX('DM01-AV-CH'!G$6:G$834,$H984)))</f>
        <v>Rohrleitungen</v>
      </c>
      <c r="AH984" s="73" t="str" cm="1">
        <f t="array" ref="AH984">IF($H984=0,"",IF(INDEX('DM01-AV-CH'!H$6:H$834,$H984)="","",INDEX('DM01-AV-CH'!H$6:H$834,$H984)))</f>
        <v>Punktelement</v>
      </c>
      <c r="AI984" s="74" t="str" cm="1">
        <f t="array" ref="AI984">IF($H984=0,"",IF(INDEX('DM01-AV-CH'!I$6:I$834,$H984)="","",INDEX('DM01-AV-CH'!I$6:I$834,$H984)))</f>
        <v>Punktelement_von</v>
      </c>
    </row>
    <row r="985" spans="1:35" ht="28.5" x14ac:dyDescent="0.25">
      <c r="A985" s="57">
        <v>980</v>
      </c>
      <c r="B985" s="57">
        <f>IF($A985="","",IF(_xlfn.XLOOKUP($A985,Korrelation!$D$4:$D$1197,Korrelation!E$4:E$1197,"-",0)="-",0,MATCH(_xlfn.XLOOKUP($A985,Korrelation!$D$4:$D$1197,Korrelation!E$4:E$1197,"",0),DMAV_Modell!$G$6:$G$677,0)))</f>
        <v>572</v>
      </c>
      <c r="C985" s="57">
        <f>IF($A985="","",IF(_xlfn.XLOOKUP($A985,Korrelation!$D$4:$D$1197,Korrelation!F$4:F$1197,"-",0)="-",0,MATCH(_xlfn.XLOOKUP($A985,Korrelation!$D$4:$D$1197,Korrelation!F$4:F$1197,"",0),DMAV_Modell!$G$6:$G$677,0)))</f>
        <v>563</v>
      </c>
      <c r="D985" s="57">
        <f>IF($A985="","",IF(_xlfn.XLOOKUP($A985,Korrelation!$D$4:$D$1197,Korrelation!G$4:G$1197,"-",0)="-",0,MATCH(_xlfn.XLOOKUP($A985,Korrelation!$D$4:$D$1197,Korrelation!G$4:G$1197,"",0),DMAV_Modell!$G$6:$G$677,0)))</f>
        <v>0</v>
      </c>
      <c r="E985" s="57">
        <f>IF($A985="","",IF(_xlfn.XLOOKUP($A985,Korrelation!$D$4:$D$1197,Korrelation!H$4:H$1197,"-",0)="-",0,MATCH(_xlfn.XLOOKUP($A985,Korrelation!$D$4:$D$1197,Korrelation!H$4:H$1197,"",0),DMAV_Dienste!$F$6:$F$140,0)))</f>
        <v>0</v>
      </c>
      <c r="F985" s="57">
        <f>IF($A985="","",IF(_xlfn.XLOOKUP($A985,Korrelation!$D$4:$D$1197,Korrelation!I$4:I$1197,"-",0)="-",0,MATCH(_xlfn.XLOOKUP($A985,Korrelation!$D$4:$D$1197,Korrelation!I$4:I$1197,"",0),DMAV_Dienste!$F$6:$F$140,0)))</f>
        <v>0</v>
      </c>
      <c r="G985" s="57">
        <f>IF($A985="","",IF(_xlfn.XLOOKUP($A985,Korrelation!$D$4:$D$1197,Korrelation!J$4:J$1197,"-",0)="-",0,MATCH(_xlfn.XLOOKUP($A985,Korrelation!$D$4:$D$1197,Korrelation!J$4:J$1197,"",0),DMAV_Dienste!$F$6:$F$140,0)))</f>
        <v>0</v>
      </c>
      <c r="H985" s="57">
        <f>IF($A985="","",IF(_xlfn.XLOOKUP($A985,Korrelation!$D$4:$D$1197,Korrelation!K$4:K$1197,"-",0)="-",0,MATCH(_xlfn.XLOOKUP($A985,Korrelation!$D$4:$D$1197,Korrelation!K$4:K$1197,"",0),'DM01-AV-CH'!$A$6:$A$834,0)))</f>
        <v>523</v>
      </c>
      <c r="J985" s="54" t="str" cm="1">
        <f t="array" aca="1" ref="J985" ca="1">IF(B985=0,IF(E985=0,"",HYPERLINK("#"&amp;RIGHT(CELL("adresse",OFFSET(DMAV_Dienste!$M$6,E985-1,0)),LEN(CELL("adresse",OFFSET(DMAV_Dienste!$M$6,E985-1,0)))-FIND("]",CELL("adresse",OFFSET(DMAV_Dienste!$M$6,E985-1,0)))),"Dienst")),HYPERLINK("#"&amp;RIGHT(CELL("adresse",OFFSET(DMAV_Modell!$N$6,B985-1,0)),LEN(CELL("adresse",OFFSET(DMAV_Modell!$N$6,B985-1,0)))-FIND("]",CELL("adresse",OFFSET(DMAV_Modell!$N$6,B985-1,0)))),"Modell"))</f>
        <v>Modell</v>
      </c>
      <c r="K985" s="61" t="str" cm="1">
        <f t="array" ref="K985">IF($B985=0,IF($E985=0,"",IF(INDEX(DMAV_Dienste!P$6:P$140,$E985)="","",INDEX(DMAV_Dienste!P$6:P$140,$E985))),IF(INDEX(DMAV_Modell!Q$6:Q$838,$B985)="","",INDEX(DMAV_Modell!Q$6:Q$838,$B985)))</f>
        <v>CLASS</v>
      </c>
      <c r="L985" s="62" t="str" cm="1">
        <f t="array" ref="L985">IF($B985=0,IF($E985=0,"",IF(INDEX(DMAV_Dienste!O$6:O$140,$E985)="","",INDEX(DMAV_Dienste!O$6:O$140,$E985))),IF(INDEX(DMAV_Modell!P$6:P$838,$B985)="","",INDEX(DMAV_Modell!P$6:P$838,$B985)))</f>
        <v>Rohrleitungen</v>
      </c>
      <c r="M985" s="62" t="str" cm="1">
        <f t="array" ref="M985">IF($B985=0,IF($E985=0,"",IF(INDEX(DMAV_Dienste!Q$6:Q$140,$E985)="","",INDEX(DMAV_Dienste!Q$6:Q$140,$E985))),IF(INDEX(DMAV_Modell!R$6:R$838,$B985)="","",INDEX(DMAV_Modell!R$6:R$838,$B985)))</f>
        <v>Leitungsobjekt</v>
      </c>
      <c r="N985" s="62" t="str" cm="1">
        <f t="array" ref="N985">IF($B985=0,IF($E985=0,"",IF(INDEX(DMAV_Dienste!T$6:T$140,$E985)="","",INDEX(DMAV_Dienste!T$6:T$140,$E985))),IF(INDEX(DMAV_Modell!U$6:U$838,$B985)="","",INDEX(DMAV_Modell!U$6:U$838,$B985)))</f>
        <v>Punktelement</v>
      </c>
      <c r="O985" s="63" t="str" cm="1">
        <f t="array" aca="1" ref="O985" ca="1">IF(C985=0,IF(F985=0,"",HYPERLINK("#"&amp;RIGHT(CELL("adresse",OFFSET(DMAV_Dienste!$M$6,F985-1,0)),LEN(CELL("adresse",OFFSET(DMAV_Dienste!$M$6,F985-1,0)))-FIND("]",CELL("adresse",OFFSET(DMAV_Dienste!$M$6,F985-1,0)))),"Structure")),HYPERLINK("#"&amp;RIGHT(CELL("adresse",OFFSET(DMAV_Modell!$N$6,C985-1,0)),LEN(CELL("adresse",OFFSET(DMAV_Modell!$N$6,C985-1,0)))-FIND("]",CELL("adresse",OFFSET(DMAV_Modell!$N$6,C985-1,0)))),"Structure"))</f>
        <v>Structure</v>
      </c>
      <c r="P985" s="64" t="str" cm="1">
        <f t="array" aca="1" ref="P985" ca="1">IF(D985=0,IF(G985=0,"",HYPERLINK("#"&amp;RIGHT(CELL("adresse",OFFSET(DMAV_Dienste!$M$6,G985-1,0)),LEN(CELL("adresse",OFFSET(DMAV_Dienste!$M$6,G985-1,0)))-FIND("]",CELL("adresse",OFFSET(DMAV_Dienste!$M$6,G985-1,0)))),"Substructure")),HYPERLINK("#"&amp;RIGHT(CELL("adresse",OFFSET(DMAV_Modell!$N$6,D985-1,0)),LEN(CELL("adresse",OFFSET(DMAV_Modell!$N$6,D985-1,0)))-FIND("]",CELL("adresse",OFFSET(DMAV_Modell!$N$6,D985-1,0)))),"Substructure"))</f>
        <v/>
      </c>
      <c r="R985" s="80"/>
      <c r="T985" s="93"/>
      <c r="U985" s="94" t="s">
        <v>2980</v>
      </c>
      <c r="V985" s="95" t="s">
        <v>3228</v>
      </c>
      <c r="W985" s="96"/>
      <c r="Y985" s="85" t="s">
        <v>3220</v>
      </c>
      <c r="Z985" s="86" t="s">
        <v>2980</v>
      </c>
      <c r="AA985" s="87" t="s">
        <v>3086</v>
      </c>
      <c r="AB985" s="88"/>
      <c r="AD985" s="77"/>
      <c r="AF985" s="54" t="str" cm="1">
        <f t="array" aca="1" ref="AF985" ca="1">IF(H985=0,"",HYPERLINK("#"&amp;RIGHT(CELL("adresse",OFFSET('DM01-AV-CH'!$G$6,H985-1,0)),LEN(CELL("adresse",OFFSET('DM01-AV-CH'!$G$6,H985-1,0)))-FIND("]",CELL("adresse",OFFSET('DM01-AV-CH'!$G$6,H985-1,0)))),"Modell"))</f>
        <v>Modell</v>
      </c>
      <c r="AG985" s="72" t="str" cm="1">
        <f t="array" ref="AG985">IF($H985=0,"",IF(INDEX('DM01-AV-CH'!G$6:G$834,$H985)="","",INDEX('DM01-AV-CH'!G$6:G$834,$H985)))</f>
        <v>Rohrleitungen</v>
      </c>
      <c r="AH985" s="73" t="str" cm="1">
        <f t="array" ref="AH985">IF($H985=0,"",IF(INDEX('DM01-AV-CH'!H$6:H$834,$H985)="","",INDEX('DM01-AV-CH'!H$6:H$834,$H985)))</f>
        <v>Punktelement</v>
      </c>
      <c r="AI985" s="74" t="str" cm="1">
        <f t="array" ref="AI985">IF($H985=0,"",IF(INDEX('DM01-AV-CH'!I$6:I$834,$H985)="","",INDEX('DM01-AV-CH'!I$6:I$834,$H985)))</f>
        <v>Geometrie</v>
      </c>
    </row>
    <row r="986" spans="1:35" ht="28.5" x14ac:dyDescent="0.25">
      <c r="A986" s="57">
        <v>981</v>
      </c>
      <c r="B986" s="57">
        <f>IF($A986="","",IF(_xlfn.XLOOKUP($A986,Korrelation!$D$4:$D$1197,Korrelation!E$4:E$1197,"-",0)="-",0,MATCH(_xlfn.XLOOKUP($A986,Korrelation!$D$4:$D$1197,Korrelation!E$4:E$1197,"",0),DMAV_Modell!$G$6:$G$677,0)))</f>
        <v>572</v>
      </c>
      <c r="C986" s="57">
        <f>IF($A986="","",IF(_xlfn.XLOOKUP($A986,Korrelation!$D$4:$D$1197,Korrelation!F$4:F$1197,"-",0)="-",0,MATCH(_xlfn.XLOOKUP($A986,Korrelation!$D$4:$D$1197,Korrelation!F$4:F$1197,"",0),DMAV_Modell!$G$6:$G$677,0)))</f>
        <v>564</v>
      </c>
      <c r="D986" s="57">
        <f>IF($A986="","",IF(_xlfn.XLOOKUP($A986,Korrelation!$D$4:$D$1197,Korrelation!G$4:G$1197,"-",0)="-",0,MATCH(_xlfn.XLOOKUP($A986,Korrelation!$D$4:$D$1197,Korrelation!G$4:G$1197,"",0),DMAV_Modell!$G$6:$G$677,0)))</f>
        <v>0</v>
      </c>
      <c r="E986" s="57">
        <f>IF($A986="","",IF(_xlfn.XLOOKUP($A986,Korrelation!$D$4:$D$1197,Korrelation!H$4:H$1197,"-",0)="-",0,MATCH(_xlfn.XLOOKUP($A986,Korrelation!$D$4:$D$1197,Korrelation!H$4:H$1197,"",0),DMAV_Dienste!$F$6:$F$140,0)))</f>
        <v>0</v>
      </c>
      <c r="F986" s="57">
        <f>IF($A986="","",IF(_xlfn.XLOOKUP($A986,Korrelation!$D$4:$D$1197,Korrelation!I$4:I$1197,"-",0)="-",0,MATCH(_xlfn.XLOOKUP($A986,Korrelation!$D$4:$D$1197,Korrelation!I$4:I$1197,"",0),DMAV_Dienste!$F$6:$F$140,0)))</f>
        <v>0</v>
      </c>
      <c r="G986" s="57">
        <f>IF($A986="","",IF(_xlfn.XLOOKUP($A986,Korrelation!$D$4:$D$1197,Korrelation!J$4:J$1197,"-",0)="-",0,MATCH(_xlfn.XLOOKUP($A986,Korrelation!$D$4:$D$1197,Korrelation!J$4:J$1197,"",0),DMAV_Dienste!$F$6:$F$140,0)))</f>
        <v>0</v>
      </c>
      <c r="H986" s="57">
        <f>IF($A986="","",IF(_xlfn.XLOOKUP($A986,Korrelation!$D$4:$D$1197,Korrelation!K$4:K$1197,"-",0)="-",0,MATCH(_xlfn.XLOOKUP($A986,Korrelation!$D$4:$D$1197,Korrelation!K$4:K$1197,"",0),'DM01-AV-CH'!$A$6:$A$834,0)))</f>
        <v>524</v>
      </c>
      <c r="J986" s="54" t="str" cm="1">
        <f t="array" aca="1" ref="J986" ca="1">IF(B986=0,IF(E986=0,"",HYPERLINK("#"&amp;RIGHT(CELL("adresse",OFFSET(DMAV_Dienste!$M$6,E986-1,0)),LEN(CELL("adresse",OFFSET(DMAV_Dienste!$M$6,E986-1,0)))-FIND("]",CELL("adresse",OFFSET(DMAV_Dienste!$M$6,E986-1,0)))),"Dienst")),HYPERLINK("#"&amp;RIGHT(CELL("adresse",OFFSET(DMAV_Modell!$N$6,B986-1,0)),LEN(CELL("adresse",OFFSET(DMAV_Modell!$N$6,B986-1,0)))-FIND("]",CELL("adresse",OFFSET(DMAV_Modell!$N$6,B986-1,0)))),"Modell"))</f>
        <v>Modell</v>
      </c>
      <c r="K986" s="61" t="str" cm="1">
        <f t="array" ref="K986">IF($B986=0,IF($E986=0,"",IF(INDEX(DMAV_Dienste!P$6:P$140,$E986)="","",INDEX(DMAV_Dienste!P$6:P$140,$E986))),IF(INDEX(DMAV_Modell!Q$6:Q$838,$B986)="","",INDEX(DMAV_Modell!Q$6:Q$838,$B986)))</f>
        <v>CLASS</v>
      </c>
      <c r="L986" s="62" t="str" cm="1">
        <f t="array" ref="L986">IF($B986=0,IF($E986=0,"",IF(INDEX(DMAV_Dienste!O$6:O$140,$E986)="","",INDEX(DMAV_Dienste!O$6:O$140,$E986))),IF(INDEX(DMAV_Modell!P$6:P$838,$B986)="","",INDEX(DMAV_Modell!P$6:P$838,$B986)))</f>
        <v>Rohrleitungen</v>
      </c>
      <c r="M986" s="62" t="str" cm="1">
        <f t="array" ref="M986">IF($B986=0,IF($E986=0,"",IF(INDEX(DMAV_Dienste!Q$6:Q$140,$E986)="","",INDEX(DMAV_Dienste!Q$6:Q$140,$E986))),IF(INDEX(DMAV_Modell!R$6:R$838,$B986)="","",INDEX(DMAV_Modell!R$6:R$838,$B986)))</f>
        <v>Leitungsobjekt</v>
      </c>
      <c r="N986" s="62" t="str" cm="1">
        <f t="array" ref="N986">IF($B986=0,IF($E986=0,"",IF(INDEX(DMAV_Dienste!T$6:T$140,$E986)="","",INDEX(DMAV_Dienste!T$6:T$140,$E986))),IF(INDEX(DMAV_Modell!U$6:U$838,$B986)="","",INDEX(DMAV_Modell!U$6:U$838,$B986)))</f>
        <v>Punktelement</v>
      </c>
      <c r="O986" s="63" t="str" cm="1">
        <f t="array" aca="1" ref="O986" ca="1">IF(C986=0,IF(F986=0,"",HYPERLINK("#"&amp;RIGHT(CELL("adresse",OFFSET(DMAV_Dienste!$M$6,F986-1,0)),LEN(CELL("adresse",OFFSET(DMAV_Dienste!$M$6,F986-1,0)))-FIND("]",CELL("adresse",OFFSET(DMAV_Dienste!$M$6,F986-1,0)))),"Structure")),HYPERLINK("#"&amp;RIGHT(CELL("adresse",OFFSET(DMAV_Modell!$N$6,C986-1,0)),LEN(CELL("adresse",OFFSET(DMAV_Modell!$N$6,C986-1,0)))-FIND("]",CELL("adresse",OFFSET(DMAV_Modell!$N$6,C986-1,0)))),"Structure"))</f>
        <v>Structure</v>
      </c>
      <c r="P986" s="64" t="str" cm="1">
        <f t="array" aca="1" ref="P986" ca="1">IF(D986=0,IF(G986=0,"",HYPERLINK("#"&amp;RIGHT(CELL("adresse",OFFSET(DMAV_Dienste!$M$6,G986-1,0)),LEN(CELL("adresse",OFFSET(DMAV_Dienste!$M$6,G986-1,0)))-FIND("]",CELL("adresse",OFFSET(DMAV_Dienste!$M$6,G986-1,0)))),"Substructure")),HYPERLINK("#"&amp;RIGHT(CELL("adresse",OFFSET(DMAV_Modell!$N$6,D986-1,0)),LEN(CELL("adresse",OFFSET(DMAV_Modell!$N$6,D986-1,0)))-FIND("]",CELL("adresse",OFFSET(DMAV_Modell!$N$6,D986-1,0)))),"Substructure"))</f>
        <v/>
      </c>
      <c r="R986" s="80"/>
      <c r="T986" s="93"/>
      <c r="U986" s="94" t="s">
        <v>2980</v>
      </c>
      <c r="V986" s="95" t="s">
        <v>3229</v>
      </c>
      <c r="W986" s="96"/>
      <c r="Y986" s="85" t="s">
        <v>3220</v>
      </c>
      <c r="Z986" s="86" t="s">
        <v>2980</v>
      </c>
      <c r="AA986" s="87" t="s">
        <v>3087</v>
      </c>
      <c r="AB986" s="88"/>
      <c r="AD986" s="77"/>
      <c r="AF986" s="54" t="str" cm="1">
        <f t="array" aca="1" ref="AF986" ca="1">IF(H986=0,"",HYPERLINK("#"&amp;RIGHT(CELL("adresse",OFFSET('DM01-AV-CH'!$G$6,H986-1,0)),LEN(CELL("adresse",OFFSET('DM01-AV-CH'!$G$6,H986-1,0)))-FIND("]",CELL("adresse",OFFSET('DM01-AV-CH'!$G$6,H986-1,0)))),"Modell"))</f>
        <v>Modell</v>
      </c>
      <c r="AG986" s="72" t="str" cm="1">
        <f t="array" ref="AG986">IF($H986=0,"",IF(INDEX('DM01-AV-CH'!G$6:G$834,$H986)="","",INDEX('DM01-AV-CH'!G$6:G$834,$H986)))</f>
        <v>Rohrleitungen</v>
      </c>
      <c r="AH986" s="73" t="str" cm="1">
        <f t="array" ref="AH986">IF($H986=0,"",IF(INDEX('DM01-AV-CH'!H$6:H$834,$H986)="","",INDEX('DM01-AV-CH'!H$6:H$834,$H986)))</f>
        <v>Punktelement</v>
      </c>
      <c r="AI986" s="74" t="str" cm="1">
        <f t="array" ref="AI986">IF($H986=0,"",IF(INDEX('DM01-AV-CH'!I$6:I$834,$H986)="","",INDEX('DM01-AV-CH'!I$6:I$834,$H986)))</f>
        <v>HoeheGeom</v>
      </c>
    </row>
    <row r="987" spans="1:35" ht="28.5" x14ac:dyDescent="0.25">
      <c r="A987" s="57">
        <v>982</v>
      </c>
      <c r="B987" s="57">
        <f>IF($A987="","",IF(_xlfn.XLOOKUP($A987,Korrelation!$D$4:$D$1197,Korrelation!E$4:E$1197,"-",0)="-",0,MATCH(_xlfn.XLOOKUP($A987,Korrelation!$D$4:$D$1197,Korrelation!E$4:E$1197,"",0),DMAV_Modell!$G$6:$G$677,0)))</f>
        <v>572</v>
      </c>
      <c r="C987" s="57">
        <f>IF($A987="","",IF(_xlfn.XLOOKUP($A987,Korrelation!$D$4:$D$1197,Korrelation!F$4:F$1197,"-",0)="-",0,MATCH(_xlfn.XLOOKUP($A987,Korrelation!$D$4:$D$1197,Korrelation!F$4:F$1197,"",0),DMAV_Modell!$G$6:$G$677,0)))</f>
        <v>565</v>
      </c>
      <c r="D987" s="57">
        <f>IF($A987="","",IF(_xlfn.XLOOKUP($A987,Korrelation!$D$4:$D$1197,Korrelation!G$4:G$1197,"-",0)="-",0,MATCH(_xlfn.XLOOKUP($A987,Korrelation!$D$4:$D$1197,Korrelation!G$4:G$1197,"",0),DMAV_Modell!$G$6:$G$677,0)))</f>
        <v>0</v>
      </c>
      <c r="E987" s="57">
        <f>IF($A987="","",IF(_xlfn.XLOOKUP($A987,Korrelation!$D$4:$D$1197,Korrelation!H$4:H$1197,"-",0)="-",0,MATCH(_xlfn.XLOOKUP($A987,Korrelation!$D$4:$D$1197,Korrelation!H$4:H$1197,"",0),DMAV_Dienste!$F$6:$F$140,0)))</f>
        <v>0</v>
      </c>
      <c r="F987" s="57">
        <f>IF($A987="","",IF(_xlfn.XLOOKUP($A987,Korrelation!$D$4:$D$1197,Korrelation!I$4:I$1197,"-",0)="-",0,MATCH(_xlfn.XLOOKUP($A987,Korrelation!$D$4:$D$1197,Korrelation!I$4:I$1197,"",0),DMAV_Dienste!$F$6:$F$140,0)))</f>
        <v>0</v>
      </c>
      <c r="G987" s="57">
        <f>IF($A987="","",IF(_xlfn.XLOOKUP($A987,Korrelation!$D$4:$D$1197,Korrelation!J$4:J$1197,"-",0)="-",0,MATCH(_xlfn.XLOOKUP($A987,Korrelation!$D$4:$D$1197,Korrelation!J$4:J$1197,"",0),DMAV_Dienste!$F$6:$F$140,0)))</f>
        <v>0</v>
      </c>
      <c r="H987" s="57">
        <f>IF($A987="","",IF(_xlfn.XLOOKUP($A987,Korrelation!$D$4:$D$1197,Korrelation!K$4:K$1197,"-",0)="-",0,MATCH(_xlfn.XLOOKUP($A987,Korrelation!$D$4:$D$1197,Korrelation!K$4:K$1197,"",0),'DM01-AV-CH'!$A$6:$A$834,0)))</f>
        <v>525</v>
      </c>
      <c r="J987" s="54" t="str" cm="1">
        <f t="array" aca="1" ref="J987" ca="1">IF(B987=0,IF(E987=0,"",HYPERLINK("#"&amp;RIGHT(CELL("adresse",OFFSET(DMAV_Dienste!$M$6,E987-1,0)),LEN(CELL("adresse",OFFSET(DMAV_Dienste!$M$6,E987-1,0)))-FIND("]",CELL("adresse",OFFSET(DMAV_Dienste!$M$6,E987-1,0)))),"Dienst")),HYPERLINK("#"&amp;RIGHT(CELL("adresse",OFFSET(DMAV_Modell!$N$6,B987-1,0)),LEN(CELL("adresse",OFFSET(DMAV_Modell!$N$6,B987-1,0)))-FIND("]",CELL("adresse",OFFSET(DMAV_Modell!$N$6,B987-1,0)))),"Modell"))</f>
        <v>Modell</v>
      </c>
      <c r="K987" s="61" t="str" cm="1">
        <f t="array" ref="K987">IF($B987=0,IF($E987=0,"",IF(INDEX(DMAV_Dienste!P$6:P$140,$E987)="","",INDEX(DMAV_Dienste!P$6:P$140,$E987))),IF(INDEX(DMAV_Modell!Q$6:Q$838,$B987)="","",INDEX(DMAV_Modell!Q$6:Q$838,$B987)))</f>
        <v>CLASS</v>
      </c>
      <c r="L987" s="62" t="str" cm="1">
        <f t="array" ref="L987">IF($B987=0,IF($E987=0,"",IF(INDEX(DMAV_Dienste!O$6:O$140,$E987)="","",INDEX(DMAV_Dienste!O$6:O$140,$E987))),IF(INDEX(DMAV_Modell!P$6:P$838,$B987)="","",INDEX(DMAV_Modell!P$6:P$838,$B987)))</f>
        <v>Rohrleitungen</v>
      </c>
      <c r="M987" s="62" t="str" cm="1">
        <f t="array" ref="M987">IF($B987=0,IF($E987=0,"",IF(INDEX(DMAV_Dienste!Q$6:Q$140,$E987)="","",INDEX(DMAV_Dienste!Q$6:Q$140,$E987))),IF(INDEX(DMAV_Modell!R$6:R$838,$B987)="","",INDEX(DMAV_Modell!R$6:R$838,$B987)))</f>
        <v>Leitungsobjekt</v>
      </c>
      <c r="N987" s="62" t="str" cm="1">
        <f t="array" ref="N987">IF($B987=0,IF($E987=0,"",IF(INDEX(DMAV_Dienste!T$6:T$140,$E987)="","",INDEX(DMAV_Dienste!T$6:T$140,$E987))),IF(INDEX(DMAV_Modell!U$6:U$838,$B987)="","",INDEX(DMAV_Modell!U$6:U$838,$B987)))</f>
        <v>Punktelement</v>
      </c>
      <c r="O987" s="63" t="str" cm="1">
        <f t="array" aca="1" ref="O987" ca="1">IF(C987=0,IF(F987=0,"",HYPERLINK("#"&amp;RIGHT(CELL("adresse",OFFSET(DMAV_Dienste!$M$6,F987-1,0)),LEN(CELL("adresse",OFFSET(DMAV_Dienste!$M$6,F987-1,0)))-FIND("]",CELL("adresse",OFFSET(DMAV_Dienste!$M$6,F987-1,0)))),"Structure")),HYPERLINK("#"&amp;RIGHT(CELL("adresse",OFFSET(DMAV_Modell!$N$6,C987-1,0)),LEN(CELL("adresse",OFFSET(DMAV_Modell!$N$6,C987-1,0)))-FIND("]",CELL("adresse",OFFSET(DMAV_Modell!$N$6,C987-1,0)))),"Structure"))</f>
        <v>Structure</v>
      </c>
      <c r="P987" s="64" t="str" cm="1">
        <f t="array" aca="1" ref="P987" ca="1">IF(D987=0,IF(G987=0,"",HYPERLINK("#"&amp;RIGHT(CELL("adresse",OFFSET(DMAV_Dienste!$M$6,G987-1,0)),LEN(CELL("adresse",OFFSET(DMAV_Dienste!$M$6,G987-1,0)))-FIND("]",CELL("adresse",OFFSET(DMAV_Dienste!$M$6,G987-1,0)))),"Substructure")),HYPERLINK("#"&amp;RIGHT(CELL("adresse",OFFSET(DMAV_Modell!$N$6,D987-1,0)),LEN(CELL("adresse",OFFSET(DMAV_Modell!$N$6,D987-1,0)))-FIND("]",CELL("adresse",OFFSET(DMAV_Modell!$N$6,D987-1,0)))),"Substructure"))</f>
        <v/>
      </c>
      <c r="R987" s="80"/>
      <c r="T987" s="93"/>
      <c r="U987" s="94" t="s">
        <v>2980</v>
      </c>
      <c r="V987" s="95" t="s">
        <v>3230</v>
      </c>
      <c r="W987" s="96"/>
      <c r="Y987" s="85" t="s">
        <v>3220</v>
      </c>
      <c r="Z987" s="86" t="s">
        <v>2980</v>
      </c>
      <c r="AA987" s="87" t="s">
        <v>3088</v>
      </c>
      <c r="AB987" s="88"/>
      <c r="AD987" s="77"/>
      <c r="AF987" s="54" t="str" cm="1">
        <f t="array" aca="1" ref="AF987" ca="1">IF(H987=0,"",HYPERLINK("#"&amp;RIGHT(CELL("adresse",OFFSET('DM01-AV-CH'!$G$6,H987-1,0)),LEN(CELL("adresse",OFFSET('DM01-AV-CH'!$G$6,H987-1,0)))-FIND("]",CELL("adresse",OFFSET('DM01-AV-CH'!$G$6,H987-1,0)))),"Modell"))</f>
        <v>Modell</v>
      </c>
      <c r="AG987" s="72" t="str" cm="1">
        <f t="array" ref="AG987">IF($H987=0,"",IF(INDEX('DM01-AV-CH'!G$6:G$834,$H987)="","",INDEX('DM01-AV-CH'!G$6:G$834,$H987)))</f>
        <v>Rohrleitungen</v>
      </c>
      <c r="AH987" s="73" t="str" cm="1">
        <f t="array" ref="AH987">IF($H987=0,"",IF(INDEX('DM01-AV-CH'!H$6:H$834,$H987)="","",INDEX('DM01-AV-CH'!H$6:H$834,$H987)))</f>
        <v>Punktelement</v>
      </c>
      <c r="AI987" s="74" t="str" cm="1">
        <f t="array" ref="AI987">IF($H987=0,"",IF(INDEX('DM01-AV-CH'!I$6:I$834,$H987)="","",INDEX('DM01-AV-CH'!I$6:I$834,$H987)))</f>
        <v>Ori</v>
      </c>
    </row>
    <row r="988" spans="1:35" x14ac:dyDescent="0.25">
      <c r="A988" s="57">
        <v>983</v>
      </c>
      <c r="B988" s="57">
        <f>IF($A988="","",IF(_xlfn.XLOOKUP($A988,Korrelation!$D$4:$D$1197,Korrelation!E$4:E$1197,"-",0)="-",0,MATCH(_xlfn.XLOOKUP($A988,Korrelation!$D$4:$D$1197,Korrelation!E$4:E$1197,"",0),DMAV_Modell!$G$6:$G$677,0)))</f>
        <v>0</v>
      </c>
      <c r="C988" s="57">
        <f>IF($A988="","",IF(_xlfn.XLOOKUP($A988,Korrelation!$D$4:$D$1197,Korrelation!F$4:F$1197,"-",0)="-",0,MATCH(_xlfn.XLOOKUP($A988,Korrelation!$D$4:$D$1197,Korrelation!F$4:F$1197,"",0),DMAV_Modell!$G$6:$G$677,0)))</f>
        <v>0</v>
      </c>
      <c r="D988" s="57">
        <f>IF($A988="","",IF(_xlfn.XLOOKUP($A988,Korrelation!$D$4:$D$1197,Korrelation!G$4:G$1197,"-",0)="-",0,MATCH(_xlfn.XLOOKUP($A988,Korrelation!$D$4:$D$1197,Korrelation!G$4:G$1197,"",0),DMAV_Modell!$G$6:$G$677,0)))</f>
        <v>0</v>
      </c>
      <c r="E988" s="57">
        <f>IF($A988="","",IF(_xlfn.XLOOKUP($A988,Korrelation!$D$4:$D$1197,Korrelation!H$4:H$1197,"-",0)="-",0,MATCH(_xlfn.XLOOKUP($A988,Korrelation!$D$4:$D$1197,Korrelation!H$4:H$1197,"",0),DMAV_Dienste!$F$6:$F$140,0)))</f>
        <v>0</v>
      </c>
      <c r="F988" s="57">
        <f>IF($A988="","",IF(_xlfn.XLOOKUP($A988,Korrelation!$D$4:$D$1197,Korrelation!I$4:I$1197,"-",0)="-",0,MATCH(_xlfn.XLOOKUP($A988,Korrelation!$D$4:$D$1197,Korrelation!I$4:I$1197,"",0),DMAV_Dienste!$F$6:$F$140,0)))</f>
        <v>0</v>
      </c>
      <c r="G988" s="57">
        <f>IF($A988="","",IF(_xlfn.XLOOKUP($A988,Korrelation!$D$4:$D$1197,Korrelation!J$4:J$1197,"-",0)="-",0,MATCH(_xlfn.XLOOKUP($A988,Korrelation!$D$4:$D$1197,Korrelation!J$4:J$1197,"",0),DMAV_Dienste!$F$6:$F$140,0)))</f>
        <v>0</v>
      </c>
      <c r="H988" s="57">
        <f>IF($A988="","",IF(_xlfn.XLOOKUP($A988,Korrelation!$D$4:$D$1197,Korrelation!K$4:K$1197,"-",0)="-",0,MATCH(_xlfn.XLOOKUP($A988,Korrelation!$D$4:$D$1197,Korrelation!K$4:K$1197,"",0),'DM01-AV-CH'!$A$6:$A$834,0)))</f>
        <v>511</v>
      </c>
      <c r="J988" s="54" t="str" cm="1">
        <f t="array" aca="1" ref="J988" ca="1">IF(B988=0,IF(E988=0,"",HYPERLINK("#"&amp;RIGHT(CELL("adresse",OFFSET(DMAV_Dienste!$M$6,E988-1,0)),LEN(CELL("adresse",OFFSET(DMAV_Dienste!$M$6,E988-1,0)))-FIND("]",CELL("adresse",OFFSET(DMAV_Dienste!$M$6,E988-1,0)))),"Dienst")),HYPERLINK("#"&amp;RIGHT(CELL("adresse",OFFSET(DMAV_Modell!$N$6,B988-1,0)),LEN(CELL("adresse",OFFSET(DMAV_Modell!$N$6,B988-1,0)))-FIND("]",CELL("adresse",OFFSET(DMAV_Modell!$N$6,B988-1,0)))),"Modell"))</f>
        <v/>
      </c>
      <c r="K988" s="61" t="str" cm="1">
        <f t="array" ref="K988">IF($B988=0,IF($E988=0,"",IF(INDEX(DMAV_Dienste!P$6:P$140,$E988)="","",INDEX(DMAV_Dienste!P$6:P$140,$E988))),IF(INDEX(DMAV_Modell!Q$6:Q$838,$B988)="","",INDEX(DMAV_Modell!Q$6:Q$838,$B988)))</f>
        <v/>
      </c>
      <c r="L988" s="62" t="str" cm="1">
        <f t="array" ref="L988">IF($B988=0,IF($E988=0,"",IF(INDEX(DMAV_Dienste!O$6:O$140,$E988)="","",INDEX(DMAV_Dienste!O$6:O$140,$E988))),IF(INDEX(DMAV_Modell!P$6:P$838,$B988)="","",INDEX(DMAV_Modell!P$6:P$838,$B988)))</f>
        <v/>
      </c>
      <c r="M988" s="62" t="str" cm="1">
        <f t="array" ref="M988">IF($B988=0,IF($E988=0,"",IF(INDEX(DMAV_Dienste!Q$6:Q$140,$E988)="","",INDEX(DMAV_Dienste!Q$6:Q$140,$E988))),IF(INDEX(DMAV_Modell!R$6:R$838,$B988)="","",INDEX(DMAV_Modell!R$6:R$838,$B988)))</f>
        <v/>
      </c>
      <c r="N988" s="62" t="str" cm="1">
        <f t="array" ref="N988">IF($B988=0,IF($E988=0,"",IF(INDEX(DMAV_Dienste!T$6:T$140,$E988)="","",INDEX(DMAV_Dienste!T$6:T$140,$E988))),IF(INDEX(DMAV_Modell!U$6:U$838,$B988)="","",INDEX(DMAV_Modell!U$6:U$838,$B988)))</f>
        <v/>
      </c>
      <c r="O988" s="63" t="str" cm="1">
        <f t="array" aca="1" ref="O988" ca="1">IF(C988=0,IF(F988=0,"",HYPERLINK("#"&amp;RIGHT(CELL("adresse",OFFSET(DMAV_Dienste!$M$6,F988-1,0)),LEN(CELL("adresse",OFFSET(DMAV_Dienste!$M$6,F988-1,0)))-FIND("]",CELL("adresse",OFFSET(DMAV_Dienste!$M$6,F988-1,0)))),"Structure")),HYPERLINK("#"&amp;RIGHT(CELL("adresse",OFFSET(DMAV_Modell!$N$6,C988-1,0)),LEN(CELL("adresse",OFFSET(DMAV_Modell!$N$6,C988-1,0)))-FIND("]",CELL("adresse",OFFSET(DMAV_Modell!$N$6,C988-1,0)))),"Structure"))</f>
        <v/>
      </c>
      <c r="P988" s="64" t="str" cm="1">
        <f t="array" aca="1" ref="P988" ca="1">IF(D988=0,IF(G988=0,"",HYPERLINK("#"&amp;RIGHT(CELL("adresse",OFFSET(DMAV_Dienste!$M$6,G988-1,0)),LEN(CELL("adresse",OFFSET(DMAV_Dienste!$M$6,G988-1,0)))-FIND("]",CELL("adresse",OFFSET(DMAV_Dienste!$M$6,G988-1,0)))),"Substructure")),HYPERLINK("#"&amp;RIGHT(CELL("adresse",OFFSET(DMAV_Modell!$N$6,D988-1,0)),LEN(CELL("adresse",OFFSET(DMAV_Modell!$N$6,D988-1,0)))-FIND("]",CELL("adresse",OFFSET(DMAV_Modell!$N$6,D988-1,0)))),"Substructure"))</f>
        <v/>
      </c>
      <c r="R988" s="80"/>
      <c r="T988" s="93"/>
      <c r="U988" s="94"/>
      <c r="V988" s="95"/>
      <c r="W988" s="96"/>
      <c r="Y988" s="85"/>
      <c r="Z988" s="86"/>
      <c r="AA988" s="87"/>
      <c r="AB988" s="88"/>
      <c r="AD988" s="77"/>
      <c r="AF988" s="54" t="str" cm="1">
        <f t="array" aca="1" ref="AF988" ca="1">IF(H988=0,"",HYPERLINK("#"&amp;RIGHT(CELL("adresse",OFFSET('DM01-AV-CH'!$G$6,H988-1,0)),LEN(CELL("adresse",OFFSET('DM01-AV-CH'!$G$6,H988-1,0)))-FIND("]",CELL("adresse",OFFSET('DM01-AV-CH'!$G$6,H988-1,0)))),"Modell"))</f>
        <v>Modell</v>
      </c>
      <c r="AG988" s="72" t="str" cm="1">
        <f t="array" ref="AG988">IF($H988=0,"",IF(INDEX('DM01-AV-CH'!G$6:G$834,$H988)="","",INDEX('DM01-AV-CH'!G$6:G$834,$H988)))</f>
        <v>Rohrleitungen</v>
      </c>
      <c r="AH988" s="73" t="str" cm="1">
        <f t="array" ref="AH988">IF($H988=0,"",IF(INDEX('DM01-AV-CH'!H$6:H$834,$H988)="","",INDEX('DM01-AV-CH'!H$6:H$834,$H988)))</f>
        <v>LeitungsobjektPos</v>
      </c>
      <c r="AI988" s="74" t="str" cm="1">
        <f t="array" ref="AI988">IF($H988=0,"",IF(INDEX('DM01-AV-CH'!I$6:I$834,$H988)="","",INDEX('DM01-AV-CH'!I$6:I$834,$H988)))</f>
        <v>LeitungsobjektPos_von</v>
      </c>
    </row>
    <row r="989" spans="1:35" ht="28.5" x14ac:dyDescent="0.25">
      <c r="A989" s="57">
        <v>984</v>
      </c>
      <c r="B989" s="57">
        <f>IF($A989="","",IF(_xlfn.XLOOKUP($A989,Korrelation!$D$4:$D$1197,Korrelation!E$4:E$1197,"-",0)="-",0,MATCH(_xlfn.XLOOKUP($A989,Korrelation!$D$4:$D$1197,Korrelation!E$4:E$1197,"",0),DMAV_Modell!$G$6:$G$677,0)))</f>
        <v>573</v>
      </c>
      <c r="C989" s="57">
        <f>IF($A989="","",IF(_xlfn.XLOOKUP($A989,Korrelation!$D$4:$D$1197,Korrelation!F$4:F$1197,"-",0)="-",0,MATCH(_xlfn.XLOOKUP($A989,Korrelation!$D$4:$D$1197,Korrelation!F$4:F$1197,"",0),DMAV_Modell!$G$6:$G$677,0)))</f>
        <v>26</v>
      </c>
      <c r="D989" s="57">
        <f>IF($A989="","",IF(_xlfn.XLOOKUP($A989,Korrelation!$D$4:$D$1197,Korrelation!G$4:G$1197,"-",0)="-",0,MATCH(_xlfn.XLOOKUP($A989,Korrelation!$D$4:$D$1197,Korrelation!G$4:G$1197,"",0),DMAV_Modell!$G$6:$G$677,0)))</f>
        <v>0</v>
      </c>
      <c r="E989" s="57">
        <f>IF($A989="","",IF(_xlfn.XLOOKUP($A989,Korrelation!$D$4:$D$1197,Korrelation!H$4:H$1197,"-",0)="-",0,MATCH(_xlfn.XLOOKUP($A989,Korrelation!$D$4:$D$1197,Korrelation!H$4:H$1197,"",0),DMAV_Dienste!$F$6:$F$140,0)))</f>
        <v>0</v>
      </c>
      <c r="F989" s="57">
        <f>IF($A989="","",IF(_xlfn.XLOOKUP($A989,Korrelation!$D$4:$D$1197,Korrelation!I$4:I$1197,"-",0)="-",0,MATCH(_xlfn.XLOOKUP($A989,Korrelation!$D$4:$D$1197,Korrelation!I$4:I$1197,"",0),DMAV_Dienste!$F$6:$F$140,0)))</f>
        <v>0</v>
      </c>
      <c r="G989" s="57">
        <f>IF($A989="","",IF(_xlfn.XLOOKUP($A989,Korrelation!$D$4:$D$1197,Korrelation!J$4:J$1197,"-",0)="-",0,MATCH(_xlfn.XLOOKUP($A989,Korrelation!$D$4:$D$1197,Korrelation!J$4:J$1197,"",0),DMAV_Dienste!$F$6:$F$140,0)))</f>
        <v>0</v>
      </c>
      <c r="H989" s="57">
        <f>IF($A989="","",IF(_xlfn.XLOOKUP($A989,Korrelation!$D$4:$D$1197,Korrelation!K$4:K$1197,"-",0)="-",0,MATCH(_xlfn.XLOOKUP($A989,Korrelation!$D$4:$D$1197,Korrelation!K$4:K$1197,"",0),'DM01-AV-CH'!$A$6:$A$834,0)))</f>
        <v>512</v>
      </c>
      <c r="J989" s="54" t="str" cm="1">
        <f t="array" aca="1" ref="J989" ca="1">IF(B989=0,IF(E989=0,"",HYPERLINK("#"&amp;RIGHT(CELL("adresse",OFFSET(DMAV_Dienste!$M$6,E989-1,0)),LEN(CELL("adresse",OFFSET(DMAV_Dienste!$M$6,E989-1,0)))-FIND("]",CELL("adresse",OFFSET(DMAV_Dienste!$M$6,E989-1,0)))),"Dienst")),HYPERLINK("#"&amp;RIGHT(CELL("adresse",OFFSET(DMAV_Modell!$N$6,B989-1,0)),LEN(CELL("adresse",OFFSET(DMAV_Modell!$N$6,B989-1,0)))-FIND("]",CELL("adresse",OFFSET(DMAV_Modell!$N$6,B989-1,0)))),"Modell"))</f>
        <v>Modell</v>
      </c>
      <c r="K989" s="61" t="str" cm="1">
        <f t="array" ref="K989">IF($B989=0,IF($E989=0,"",IF(INDEX(DMAV_Dienste!P$6:P$140,$E989)="","",INDEX(DMAV_Dienste!P$6:P$140,$E989))),IF(INDEX(DMAV_Modell!Q$6:Q$838,$B989)="","",INDEX(DMAV_Modell!Q$6:Q$838,$B989)))</f>
        <v>CLASS</v>
      </c>
      <c r="L989" s="62" t="str" cm="1">
        <f t="array" ref="L989">IF($B989=0,IF($E989=0,"",IF(INDEX(DMAV_Dienste!O$6:O$140,$E989)="","",INDEX(DMAV_Dienste!O$6:O$140,$E989))),IF(INDEX(DMAV_Modell!P$6:P$838,$B989)="","",INDEX(DMAV_Modell!P$6:P$838,$B989)))</f>
        <v>Rohrleitungen</v>
      </c>
      <c r="M989" s="62" t="str" cm="1">
        <f t="array" ref="M989">IF($B989=0,IF($E989=0,"",IF(INDEX(DMAV_Dienste!Q$6:Q$140,$E989)="","",INDEX(DMAV_Dienste!Q$6:Q$140,$E989))),IF(INDEX(DMAV_Modell!R$6:R$838,$B989)="","",INDEX(DMAV_Modell!R$6:R$838,$B989)))</f>
        <v>Leitungsobjekt</v>
      </c>
      <c r="N989" s="62" t="str" cm="1">
        <f t="array" ref="N989">IF($B989=0,IF($E989=0,"",IF(INDEX(DMAV_Dienste!T$6:T$140,$E989)="","",INDEX(DMAV_Dienste!T$6:T$140,$E989))),IF(INDEX(DMAV_Modell!U$6:U$838,$B989)="","",INDEX(DMAV_Modell!U$6:U$838,$B989)))</f>
        <v>Textposition</v>
      </c>
      <c r="O989" s="63" t="str" cm="1">
        <f t="array" aca="1" ref="O989" ca="1">IF(C989=0,IF(F989=0,"",HYPERLINK("#"&amp;RIGHT(CELL("adresse",OFFSET(DMAV_Dienste!$M$6,F989-1,0)),LEN(CELL("adresse",OFFSET(DMAV_Dienste!$M$6,F989-1,0)))-FIND("]",CELL("adresse",OFFSET(DMAV_Dienste!$M$6,F989-1,0)))),"Structure")),HYPERLINK("#"&amp;RIGHT(CELL("adresse",OFFSET(DMAV_Modell!$N$6,C989-1,0)),LEN(CELL("adresse",OFFSET(DMAV_Modell!$N$6,C989-1,0)))-FIND("]",CELL("adresse",OFFSET(DMAV_Modell!$N$6,C989-1,0)))),"Structure"))</f>
        <v>Structure</v>
      </c>
      <c r="P989" s="64" t="str" cm="1">
        <f t="array" aca="1" ref="P989" ca="1">IF(D989=0,IF(G989=0,"",HYPERLINK("#"&amp;RIGHT(CELL("adresse",OFFSET(DMAV_Dienste!$M$6,G989-1,0)),LEN(CELL("adresse",OFFSET(DMAV_Dienste!$M$6,G989-1,0)))-FIND("]",CELL("adresse",OFFSET(DMAV_Dienste!$M$6,G989-1,0)))),"Substructure")),HYPERLINK("#"&amp;RIGHT(CELL("adresse",OFFSET(DMAV_Modell!$N$6,D989-1,0)),LEN(CELL("adresse",OFFSET(DMAV_Modell!$N$6,D989-1,0)))-FIND("]",CELL("adresse",OFFSET(DMAV_Modell!$N$6,D989-1,0)))),"Substructure"))</f>
        <v/>
      </c>
      <c r="R989" s="80"/>
      <c r="T989" s="93"/>
      <c r="U989" s="94" t="s">
        <v>2980</v>
      </c>
      <c r="V989" s="95" t="s">
        <v>3231</v>
      </c>
      <c r="W989" s="96"/>
      <c r="Y989" s="85" t="s">
        <v>3220</v>
      </c>
      <c r="Z989" s="86" t="s">
        <v>2980</v>
      </c>
      <c r="AA989" s="87" t="s">
        <v>3089</v>
      </c>
      <c r="AB989" s="88"/>
      <c r="AD989" s="77"/>
      <c r="AF989" s="54" t="str" cm="1">
        <f t="array" aca="1" ref="AF989" ca="1">IF(H989=0,"",HYPERLINK("#"&amp;RIGHT(CELL("adresse",OFFSET('DM01-AV-CH'!$G$6,H989-1,0)),LEN(CELL("adresse",OFFSET('DM01-AV-CH'!$G$6,H989-1,0)))-FIND("]",CELL("adresse",OFFSET('DM01-AV-CH'!$G$6,H989-1,0)))),"Modell"))</f>
        <v>Modell</v>
      </c>
      <c r="AG989" s="72" t="str" cm="1">
        <f t="array" ref="AG989">IF($H989=0,"",IF(INDEX('DM01-AV-CH'!G$6:G$834,$H989)="","",INDEX('DM01-AV-CH'!G$6:G$834,$H989)))</f>
        <v>Rohrleitungen</v>
      </c>
      <c r="AH989" s="73" t="str" cm="1">
        <f t="array" ref="AH989">IF($H989=0,"",IF(INDEX('DM01-AV-CH'!H$6:H$834,$H989)="","",INDEX('DM01-AV-CH'!H$6:H$834,$H989)))</f>
        <v>LeitungsobjektPos</v>
      </c>
      <c r="AI989" s="74" t="str" cm="1">
        <f t="array" ref="AI989">IF($H989=0,"",IF(INDEX('DM01-AV-CH'!I$6:I$834,$H989)="","",INDEX('DM01-AV-CH'!I$6:I$834,$H989)))</f>
        <v>Pos</v>
      </c>
    </row>
    <row r="990" spans="1:35" ht="28.5" x14ac:dyDescent="0.25">
      <c r="A990" s="57">
        <v>985</v>
      </c>
      <c r="B990" s="57">
        <f>IF($A990="","",IF(_xlfn.XLOOKUP($A990,Korrelation!$D$4:$D$1197,Korrelation!E$4:E$1197,"-",0)="-",0,MATCH(_xlfn.XLOOKUP($A990,Korrelation!$D$4:$D$1197,Korrelation!E$4:E$1197,"",0),DMAV_Modell!$G$6:$G$677,0)))</f>
        <v>573</v>
      </c>
      <c r="C990" s="57">
        <f>IF($A990="","",IF(_xlfn.XLOOKUP($A990,Korrelation!$D$4:$D$1197,Korrelation!F$4:F$1197,"-",0)="-",0,MATCH(_xlfn.XLOOKUP($A990,Korrelation!$D$4:$D$1197,Korrelation!F$4:F$1197,"",0),DMAV_Modell!$G$6:$G$677,0)))</f>
        <v>27</v>
      </c>
      <c r="D990" s="57">
        <f>IF($A990="","",IF(_xlfn.XLOOKUP($A990,Korrelation!$D$4:$D$1197,Korrelation!G$4:G$1197,"-",0)="-",0,MATCH(_xlfn.XLOOKUP($A990,Korrelation!$D$4:$D$1197,Korrelation!G$4:G$1197,"",0),DMAV_Modell!$G$6:$G$677,0)))</f>
        <v>0</v>
      </c>
      <c r="E990" s="57">
        <f>IF($A990="","",IF(_xlfn.XLOOKUP($A990,Korrelation!$D$4:$D$1197,Korrelation!H$4:H$1197,"-",0)="-",0,MATCH(_xlfn.XLOOKUP($A990,Korrelation!$D$4:$D$1197,Korrelation!H$4:H$1197,"",0),DMAV_Dienste!$F$6:$F$140,0)))</f>
        <v>0</v>
      </c>
      <c r="F990" s="57">
        <f>IF($A990="","",IF(_xlfn.XLOOKUP($A990,Korrelation!$D$4:$D$1197,Korrelation!I$4:I$1197,"-",0)="-",0,MATCH(_xlfn.XLOOKUP($A990,Korrelation!$D$4:$D$1197,Korrelation!I$4:I$1197,"",0),DMAV_Dienste!$F$6:$F$140,0)))</f>
        <v>0</v>
      </c>
      <c r="G990" s="57">
        <f>IF($A990="","",IF(_xlfn.XLOOKUP($A990,Korrelation!$D$4:$D$1197,Korrelation!J$4:J$1197,"-",0)="-",0,MATCH(_xlfn.XLOOKUP($A990,Korrelation!$D$4:$D$1197,Korrelation!J$4:J$1197,"",0),DMAV_Dienste!$F$6:$F$140,0)))</f>
        <v>0</v>
      </c>
      <c r="H990" s="57">
        <f>IF($A990="","",IF(_xlfn.XLOOKUP($A990,Korrelation!$D$4:$D$1197,Korrelation!K$4:K$1197,"-",0)="-",0,MATCH(_xlfn.XLOOKUP($A990,Korrelation!$D$4:$D$1197,Korrelation!K$4:K$1197,"",0),'DM01-AV-CH'!$A$6:$A$834,0)))</f>
        <v>513</v>
      </c>
      <c r="J990" s="54" t="str" cm="1">
        <f t="array" aca="1" ref="J990" ca="1">IF(B990=0,IF(E990=0,"",HYPERLINK("#"&amp;RIGHT(CELL("adresse",OFFSET(DMAV_Dienste!$M$6,E990-1,0)),LEN(CELL("adresse",OFFSET(DMAV_Dienste!$M$6,E990-1,0)))-FIND("]",CELL("adresse",OFFSET(DMAV_Dienste!$M$6,E990-1,0)))),"Dienst")),HYPERLINK("#"&amp;RIGHT(CELL("adresse",OFFSET(DMAV_Modell!$N$6,B990-1,0)),LEN(CELL("adresse",OFFSET(DMAV_Modell!$N$6,B990-1,0)))-FIND("]",CELL("adresse",OFFSET(DMAV_Modell!$N$6,B990-1,0)))),"Modell"))</f>
        <v>Modell</v>
      </c>
      <c r="K990" s="61" t="str" cm="1">
        <f t="array" ref="K990">IF($B990=0,IF($E990=0,"",IF(INDEX(DMAV_Dienste!P$6:P$140,$E990)="","",INDEX(DMAV_Dienste!P$6:P$140,$E990))),IF(INDEX(DMAV_Modell!Q$6:Q$838,$B990)="","",INDEX(DMAV_Modell!Q$6:Q$838,$B990)))</f>
        <v>CLASS</v>
      </c>
      <c r="L990" s="62" t="str" cm="1">
        <f t="array" ref="L990">IF($B990=0,IF($E990=0,"",IF(INDEX(DMAV_Dienste!O$6:O$140,$E990)="","",INDEX(DMAV_Dienste!O$6:O$140,$E990))),IF(INDEX(DMAV_Modell!P$6:P$838,$B990)="","",INDEX(DMAV_Modell!P$6:P$838,$B990)))</f>
        <v>Rohrleitungen</v>
      </c>
      <c r="M990" s="62" t="str" cm="1">
        <f t="array" ref="M990">IF($B990=0,IF($E990=0,"",IF(INDEX(DMAV_Dienste!Q$6:Q$140,$E990)="","",INDEX(DMAV_Dienste!Q$6:Q$140,$E990))),IF(INDEX(DMAV_Modell!R$6:R$838,$B990)="","",INDEX(DMAV_Modell!R$6:R$838,$B990)))</f>
        <v>Leitungsobjekt</v>
      </c>
      <c r="N990" s="62" t="str" cm="1">
        <f t="array" ref="N990">IF($B990=0,IF($E990=0,"",IF(INDEX(DMAV_Dienste!T$6:T$140,$E990)="","",INDEX(DMAV_Dienste!T$6:T$140,$E990))),IF(INDEX(DMAV_Modell!U$6:U$838,$B990)="","",INDEX(DMAV_Modell!U$6:U$838,$B990)))</f>
        <v>Textposition</v>
      </c>
      <c r="O990" s="63" t="str" cm="1">
        <f t="array" aca="1" ref="O990" ca="1">IF(C990=0,IF(F990=0,"",HYPERLINK("#"&amp;RIGHT(CELL("adresse",OFFSET(DMAV_Dienste!$M$6,F990-1,0)),LEN(CELL("adresse",OFFSET(DMAV_Dienste!$M$6,F990-1,0)))-FIND("]",CELL("adresse",OFFSET(DMAV_Dienste!$M$6,F990-1,0)))),"Structure")),HYPERLINK("#"&amp;RIGHT(CELL("adresse",OFFSET(DMAV_Modell!$N$6,C990-1,0)),LEN(CELL("adresse",OFFSET(DMAV_Modell!$N$6,C990-1,0)))-FIND("]",CELL("adresse",OFFSET(DMAV_Modell!$N$6,C990-1,0)))),"Structure"))</f>
        <v>Structure</v>
      </c>
      <c r="P990" s="64" t="str" cm="1">
        <f t="array" aca="1" ref="P990" ca="1">IF(D990=0,IF(G990=0,"",HYPERLINK("#"&amp;RIGHT(CELL("adresse",OFFSET(DMAV_Dienste!$M$6,G990-1,0)),LEN(CELL("adresse",OFFSET(DMAV_Dienste!$M$6,G990-1,0)))-FIND("]",CELL("adresse",OFFSET(DMAV_Dienste!$M$6,G990-1,0)))),"Substructure")),HYPERLINK("#"&amp;RIGHT(CELL("adresse",OFFSET(DMAV_Modell!$N$6,D990-1,0)),LEN(CELL("adresse",OFFSET(DMAV_Modell!$N$6,D990-1,0)))-FIND("]",CELL("adresse",OFFSET(DMAV_Modell!$N$6,D990-1,0)))),"Substructure"))</f>
        <v/>
      </c>
      <c r="R990" s="80"/>
      <c r="T990" s="93"/>
      <c r="U990" s="94" t="s">
        <v>2980</v>
      </c>
      <c r="V990" s="95" t="s">
        <v>3232</v>
      </c>
      <c r="W990" s="96"/>
      <c r="Y990" s="85" t="s">
        <v>3220</v>
      </c>
      <c r="Z990" s="86" t="s">
        <v>2980</v>
      </c>
      <c r="AA990" s="87" t="s">
        <v>3090</v>
      </c>
      <c r="AB990" s="88"/>
      <c r="AD990" s="77"/>
      <c r="AF990" s="54" t="str" cm="1">
        <f t="array" aca="1" ref="AF990" ca="1">IF(H990=0,"",HYPERLINK("#"&amp;RIGHT(CELL("adresse",OFFSET('DM01-AV-CH'!$G$6,H990-1,0)),LEN(CELL("adresse",OFFSET('DM01-AV-CH'!$G$6,H990-1,0)))-FIND("]",CELL("adresse",OFFSET('DM01-AV-CH'!$G$6,H990-1,0)))),"Modell"))</f>
        <v>Modell</v>
      </c>
      <c r="AG990" s="72" t="str" cm="1">
        <f t="array" ref="AG990">IF($H990=0,"",IF(INDEX('DM01-AV-CH'!G$6:G$834,$H990)="","",INDEX('DM01-AV-CH'!G$6:G$834,$H990)))</f>
        <v>Rohrleitungen</v>
      </c>
      <c r="AH990" s="73" t="str" cm="1">
        <f t="array" ref="AH990">IF($H990=0,"",IF(INDEX('DM01-AV-CH'!H$6:H$834,$H990)="","",INDEX('DM01-AV-CH'!H$6:H$834,$H990)))</f>
        <v>LeitungsobjektPos</v>
      </c>
      <c r="AI990" s="74" t="str" cm="1">
        <f t="array" ref="AI990">IF($H990=0,"",IF(INDEX('DM01-AV-CH'!I$6:I$834,$H990)="","",INDEX('DM01-AV-CH'!I$6:I$834,$H990)))</f>
        <v>Ori</v>
      </c>
    </row>
    <row r="991" spans="1:35" ht="28.5" x14ac:dyDescent="0.25">
      <c r="A991" s="57">
        <v>986</v>
      </c>
      <c r="B991" s="57">
        <f>IF($A991="","",IF(_xlfn.XLOOKUP($A991,Korrelation!$D$4:$D$1197,Korrelation!E$4:E$1197,"-",0)="-",0,MATCH(_xlfn.XLOOKUP($A991,Korrelation!$D$4:$D$1197,Korrelation!E$4:E$1197,"",0),DMAV_Modell!$G$6:$G$677,0)))</f>
        <v>573</v>
      </c>
      <c r="C991" s="57">
        <f>IF($A991="","",IF(_xlfn.XLOOKUP($A991,Korrelation!$D$4:$D$1197,Korrelation!F$4:F$1197,"-",0)="-",0,MATCH(_xlfn.XLOOKUP($A991,Korrelation!$D$4:$D$1197,Korrelation!F$4:F$1197,"",0),DMAV_Modell!$G$6:$G$677,0)))</f>
        <v>30</v>
      </c>
      <c r="D991" s="57">
        <f>IF($A991="","",IF(_xlfn.XLOOKUP($A991,Korrelation!$D$4:$D$1197,Korrelation!G$4:G$1197,"-",0)="-",0,MATCH(_xlfn.XLOOKUP($A991,Korrelation!$D$4:$D$1197,Korrelation!G$4:G$1197,"",0),DMAV_Modell!$G$6:$G$677,0)))</f>
        <v>0</v>
      </c>
      <c r="E991" s="57">
        <f>IF($A991="","",IF(_xlfn.XLOOKUP($A991,Korrelation!$D$4:$D$1197,Korrelation!H$4:H$1197,"-",0)="-",0,MATCH(_xlfn.XLOOKUP($A991,Korrelation!$D$4:$D$1197,Korrelation!H$4:H$1197,"",0),DMAV_Dienste!$F$6:$F$140,0)))</f>
        <v>0</v>
      </c>
      <c r="F991" s="57">
        <f>IF($A991="","",IF(_xlfn.XLOOKUP($A991,Korrelation!$D$4:$D$1197,Korrelation!I$4:I$1197,"-",0)="-",0,MATCH(_xlfn.XLOOKUP($A991,Korrelation!$D$4:$D$1197,Korrelation!I$4:I$1197,"",0),DMAV_Dienste!$F$6:$F$140,0)))</f>
        <v>0</v>
      </c>
      <c r="G991" s="57">
        <f>IF($A991="","",IF(_xlfn.XLOOKUP($A991,Korrelation!$D$4:$D$1197,Korrelation!J$4:J$1197,"-",0)="-",0,MATCH(_xlfn.XLOOKUP($A991,Korrelation!$D$4:$D$1197,Korrelation!J$4:J$1197,"",0),DMAV_Dienste!$F$6:$F$140,0)))</f>
        <v>0</v>
      </c>
      <c r="H991" s="57">
        <f>IF($A991="","",IF(_xlfn.XLOOKUP($A991,Korrelation!$D$4:$D$1197,Korrelation!K$4:K$1197,"-",0)="-",0,MATCH(_xlfn.XLOOKUP($A991,Korrelation!$D$4:$D$1197,Korrelation!K$4:K$1197,"",0),'DM01-AV-CH'!$A$6:$A$834,0)))</f>
        <v>514</v>
      </c>
      <c r="J991" s="54" t="str" cm="1">
        <f t="array" aca="1" ref="J991" ca="1">IF(B991=0,IF(E991=0,"",HYPERLINK("#"&amp;RIGHT(CELL("adresse",OFFSET(DMAV_Dienste!$M$6,E991-1,0)),LEN(CELL("adresse",OFFSET(DMAV_Dienste!$M$6,E991-1,0)))-FIND("]",CELL("adresse",OFFSET(DMAV_Dienste!$M$6,E991-1,0)))),"Dienst")),HYPERLINK("#"&amp;RIGHT(CELL("adresse",OFFSET(DMAV_Modell!$N$6,B991-1,0)),LEN(CELL("adresse",OFFSET(DMAV_Modell!$N$6,B991-1,0)))-FIND("]",CELL("adresse",OFFSET(DMAV_Modell!$N$6,B991-1,0)))),"Modell"))</f>
        <v>Modell</v>
      </c>
      <c r="K991" s="61" t="str" cm="1">
        <f t="array" ref="K991">IF($B991=0,IF($E991=0,"",IF(INDEX(DMAV_Dienste!P$6:P$140,$E991)="","",INDEX(DMAV_Dienste!P$6:P$140,$E991))),IF(INDEX(DMAV_Modell!Q$6:Q$838,$B991)="","",INDEX(DMAV_Modell!Q$6:Q$838,$B991)))</f>
        <v>CLASS</v>
      </c>
      <c r="L991" s="62" t="str" cm="1">
        <f t="array" ref="L991">IF($B991=0,IF($E991=0,"",IF(INDEX(DMAV_Dienste!O$6:O$140,$E991)="","",INDEX(DMAV_Dienste!O$6:O$140,$E991))),IF(INDEX(DMAV_Modell!P$6:P$838,$B991)="","",INDEX(DMAV_Modell!P$6:P$838,$B991)))</f>
        <v>Rohrleitungen</v>
      </c>
      <c r="M991" s="62" t="str" cm="1">
        <f t="array" ref="M991">IF($B991=0,IF($E991=0,"",IF(INDEX(DMAV_Dienste!Q$6:Q$140,$E991)="","",INDEX(DMAV_Dienste!Q$6:Q$140,$E991))),IF(INDEX(DMAV_Modell!R$6:R$838,$B991)="","",INDEX(DMAV_Modell!R$6:R$838,$B991)))</f>
        <v>Leitungsobjekt</v>
      </c>
      <c r="N991" s="62" t="str" cm="1">
        <f t="array" ref="N991">IF($B991=0,IF($E991=0,"",IF(INDEX(DMAV_Dienste!T$6:T$140,$E991)="","",INDEX(DMAV_Dienste!T$6:T$140,$E991))),IF(INDEX(DMAV_Modell!U$6:U$838,$B991)="","",INDEX(DMAV_Modell!U$6:U$838,$B991)))</f>
        <v>Textposition</v>
      </c>
      <c r="O991" s="63" t="str" cm="1">
        <f t="array" aca="1" ref="O991" ca="1">IF(C991=0,IF(F991=0,"",HYPERLINK("#"&amp;RIGHT(CELL("adresse",OFFSET(DMAV_Dienste!$M$6,F991-1,0)),LEN(CELL("adresse",OFFSET(DMAV_Dienste!$M$6,F991-1,0)))-FIND("]",CELL("adresse",OFFSET(DMAV_Dienste!$M$6,F991-1,0)))),"Structure")),HYPERLINK("#"&amp;RIGHT(CELL("adresse",OFFSET(DMAV_Modell!$N$6,C991-1,0)),LEN(CELL("adresse",OFFSET(DMAV_Modell!$N$6,C991-1,0)))-FIND("]",CELL("adresse",OFFSET(DMAV_Modell!$N$6,C991-1,0)))),"Structure"))</f>
        <v>Structure</v>
      </c>
      <c r="P991" s="64" t="str" cm="1">
        <f t="array" aca="1" ref="P991" ca="1">IF(D991=0,IF(G991=0,"",HYPERLINK("#"&amp;RIGHT(CELL("adresse",OFFSET(DMAV_Dienste!$M$6,G991-1,0)),LEN(CELL("adresse",OFFSET(DMAV_Dienste!$M$6,G991-1,0)))-FIND("]",CELL("adresse",OFFSET(DMAV_Dienste!$M$6,G991-1,0)))),"Substructure")),HYPERLINK("#"&amp;RIGHT(CELL("adresse",OFFSET(DMAV_Modell!$N$6,D991-1,0)),LEN(CELL("adresse",OFFSET(DMAV_Modell!$N$6,D991-1,0)))-FIND("]",CELL("adresse",OFFSET(DMAV_Modell!$N$6,D991-1,0)))),"Substructure"))</f>
        <v/>
      </c>
      <c r="R991" s="80"/>
      <c r="T991" s="93"/>
      <c r="U991" s="94" t="s">
        <v>2980</v>
      </c>
      <c r="V991" s="95" t="s">
        <v>3233</v>
      </c>
      <c r="W991" s="96"/>
      <c r="Y991" s="85" t="s">
        <v>3220</v>
      </c>
      <c r="Z991" s="86" t="s">
        <v>2980</v>
      </c>
      <c r="AA991" s="87" t="s">
        <v>3091</v>
      </c>
      <c r="AB991" s="88"/>
      <c r="AD991" s="77"/>
      <c r="AF991" s="54" t="str" cm="1">
        <f t="array" aca="1" ref="AF991" ca="1">IF(H991=0,"",HYPERLINK("#"&amp;RIGHT(CELL("adresse",OFFSET('DM01-AV-CH'!$G$6,H991-1,0)),LEN(CELL("adresse",OFFSET('DM01-AV-CH'!$G$6,H991-1,0)))-FIND("]",CELL("adresse",OFFSET('DM01-AV-CH'!$G$6,H991-1,0)))),"Modell"))</f>
        <v>Modell</v>
      </c>
      <c r="AG991" s="72" t="str" cm="1">
        <f t="array" ref="AG991">IF($H991=0,"",IF(INDEX('DM01-AV-CH'!G$6:G$834,$H991)="","",INDEX('DM01-AV-CH'!G$6:G$834,$H991)))</f>
        <v>Rohrleitungen</v>
      </c>
      <c r="AH991" s="73" t="str" cm="1">
        <f t="array" ref="AH991">IF($H991=0,"",IF(INDEX('DM01-AV-CH'!H$6:H$834,$H991)="","",INDEX('DM01-AV-CH'!H$6:H$834,$H991)))</f>
        <v>LeitungsobjektPos</v>
      </c>
      <c r="AI991" s="74" t="str" cm="1">
        <f t="array" ref="AI991">IF($H991=0,"",IF(INDEX('DM01-AV-CH'!I$6:I$834,$H991)="","",INDEX('DM01-AV-CH'!I$6:I$834,$H991)))</f>
        <v>HAli</v>
      </c>
    </row>
    <row r="992" spans="1:35" ht="28.5" x14ac:dyDescent="0.25">
      <c r="A992" s="57">
        <v>987</v>
      </c>
      <c r="B992" s="57">
        <f>IF($A992="","",IF(_xlfn.XLOOKUP($A992,Korrelation!$D$4:$D$1197,Korrelation!E$4:E$1197,"-",0)="-",0,MATCH(_xlfn.XLOOKUP($A992,Korrelation!$D$4:$D$1197,Korrelation!E$4:E$1197,"",0),DMAV_Modell!$G$6:$G$677,0)))</f>
        <v>573</v>
      </c>
      <c r="C992" s="57">
        <f>IF($A992="","",IF(_xlfn.XLOOKUP($A992,Korrelation!$D$4:$D$1197,Korrelation!F$4:F$1197,"-",0)="-",0,MATCH(_xlfn.XLOOKUP($A992,Korrelation!$D$4:$D$1197,Korrelation!F$4:F$1197,"",0),DMAV_Modell!$G$6:$G$677,0)))</f>
        <v>31</v>
      </c>
      <c r="D992" s="57">
        <f>IF($A992="","",IF(_xlfn.XLOOKUP($A992,Korrelation!$D$4:$D$1197,Korrelation!G$4:G$1197,"-",0)="-",0,MATCH(_xlfn.XLOOKUP($A992,Korrelation!$D$4:$D$1197,Korrelation!G$4:G$1197,"",0),DMAV_Modell!$G$6:$G$677,0)))</f>
        <v>0</v>
      </c>
      <c r="E992" s="57">
        <f>IF($A992="","",IF(_xlfn.XLOOKUP($A992,Korrelation!$D$4:$D$1197,Korrelation!H$4:H$1197,"-",0)="-",0,MATCH(_xlfn.XLOOKUP($A992,Korrelation!$D$4:$D$1197,Korrelation!H$4:H$1197,"",0),DMAV_Dienste!$F$6:$F$140,0)))</f>
        <v>0</v>
      </c>
      <c r="F992" s="57">
        <f>IF($A992="","",IF(_xlfn.XLOOKUP($A992,Korrelation!$D$4:$D$1197,Korrelation!I$4:I$1197,"-",0)="-",0,MATCH(_xlfn.XLOOKUP($A992,Korrelation!$D$4:$D$1197,Korrelation!I$4:I$1197,"",0),DMAV_Dienste!$F$6:$F$140,0)))</f>
        <v>0</v>
      </c>
      <c r="G992" s="57">
        <f>IF($A992="","",IF(_xlfn.XLOOKUP($A992,Korrelation!$D$4:$D$1197,Korrelation!J$4:J$1197,"-",0)="-",0,MATCH(_xlfn.XLOOKUP($A992,Korrelation!$D$4:$D$1197,Korrelation!J$4:J$1197,"",0),DMAV_Dienste!$F$6:$F$140,0)))</f>
        <v>0</v>
      </c>
      <c r="H992" s="57">
        <f>IF($A992="","",IF(_xlfn.XLOOKUP($A992,Korrelation!$D$4:$D$1197,Korrelation!K$4:K$1197,"-",0)="-",0,MATCH(_xlfn.XLOOKUP($A992,Korrelation!$D$4:$D$1197,Korrelation!K$4:K$1197,"",0),'DM01-AV-CH'!$A$6:$A$834,0)))</f>
        <v>515</v>
      </c>
      <c r="J992" s="54" t="str" cm="1">
        <f t="array" aca="1" ref="J992" ca="1">IF(B992=0,IF(E992=0,"",HYPERLINK("#"&amp;RIGHT(CELL("adresse",OFFSET(DMAV_Dienste!$M$6,E992-1,0)),LEN(CELL("adresse",OFFSET(DMAV_Dienste!$M$6,E992-1,0)))-FIND("]",CELL("adresse",OFFSET(DMAV_Dienste!$M$6,E992-1,0)))),"Dienst")),HYPERLINK("#"&amp;RIGHT(CELL("adresse",OFFSET(DMAV_Modell!$N$6,B992-1,0)),LEN(CELL("adresse",OFFSET(DMAV_Modell!$N$6,B992-1,0)))-FIND("]",CELL("adresse",OFFSET(DMAV_Modell!$N$6,B992-1,0)))),"Modell"))</f>
        <v>Modell</v>
      </c>
      <c r="K992" s="61" t="str" cm="1">
        <f t="array" ref="K992">IF($B992=0,IF($E992=0,"",IF(INDEX(DMAV_Dienste!P$6:P$140,$E992)="","",INDEX(DMAV_Dienste!P$6:P$140,$E992))),IF(INDEX(DMAV_Modell!Q$6:Q$838,$B992)="","",INDEX(DMAV_Modell!Q$6:Q$838,$B992)))</f>
        <v>CLASS</v>
      </c>
      <c r="L992" s="62" t="str" cm="1">
        <f t="array" ref="L992">IF($B992=0,IF($E992=0,"",IF(INDEX(DMAV_Dienste!O$6:O$140,$E992)="","",INDEX(DMAV_Dienste!O$6:O$140,$E992))),IF(INDEX(DMAV_Modell!P$6:P$838,$B992)="","",INDEX(DMAV_Modell!P$6:P$838,$B992)))</f>
        <v>Rohrleitungen</v>
      </c>
      <c r="M992" s="62" t="str" cm="1">
        <f t="array" ref="M992">IF($B992=0,IF($E992=0,"",IF(INDEX(DMAV_Dienste!Q$6:Q$140,$E992)="","",INDEX(DMAV_Dienste!Q$6:Q$140,$E992))),IF(INDEX(DMAV_Modell!R$6:R$838,$B992)="","",INDEX(DMAV_Modell!R$6:R$838,$B992)))</f>
        <v>Leitungsobjekt</v>
      </c>
      <c r="N992" s="62" t="str" cm="1">
        <f t="array" ref="N992">IF($B992=0,IF($E992=0,"",IF(INDEX(DMAV_Dienste!T$6:T$140,$E992)="","",INDEX(DMAV_Dienste!T$6:T$140,$E992))),IF(INDEX(DMAV_Modell!U$6:U$838,$B992)="","",INDEX(DMAV_Modell!U$6:U$838,$B992)))</f>
        <v>Textposition</v>
      </c>
      <c r="O992" s="63" t="str" cm="1">
        <f t="array" aca="1" ref="O992" ca="1">IF(C992=0,IF(F992=0,"",HYPERLINK("#"&amp;RIGHT(CELL("adresse",OFFSET(DMAV_Dienste!$M$6,F992-1,0)),LEN(CELL("adresse",OFFSET(DMAV_Dienste!$M$6,F992-1,0)))-FIND("]",CELL("adresse",OFFSET(DMAV_Dienste!$M$6,F992-1,0)))),"Structure")),HYPERLINK("#"&amp;RIGHT(CELL("adresse",OFFSET(DMAV_Modell!$N$6,C992-1,0)),LEN(CELL("adresse",OFFSET(DMAV_Modell!$N$6,C992-1,0)))-FIND("]",CELL("adresse",OFFSET(DMAV_Modell!$N$6,C992-1,0)))),"Structure"))</f>
        <v>Structure</v>
      </c>
      <c r="P992" s="64" t="str" cm="1">
        <f t="array" aca="1" ref="P992" ca="1">IF(D992=0,IF(G992=0,"",HYPERLINK("#"&amp;RIGHT(CELL("adresse",OFFSET(DMAV_Dienste!$M$6,G992-1,0)),LEN(CELL("adresse",OFFSET(DMAV_Dienste!$M$6,G992-1,0)))-FIND("]",CELL("adresse",OFFSET(DMAV_Dienste!$M$6,G992-1,0)))),"Substructure")),HYPERLINK("#"&amp;RIGHT(CELL("adresse",OFFSET(DMAV_Modell!$N$6,D992-1,0)),LEN(CELL("adresse",OFFSET(DMAV_Modell!$N$6,D992-1,0)))-FIND("]",CELL("adresse",OFFSET(DMAV_Modell!$N$6,D992-1,0)))),"Substructure"))</f>
        <v/>
      </c>
      <c r="R992" s="80"/>
      <c r="T992" s="93"/>
      <c r="U992" s="94" t="s">
        <v>2980</v>
      </c>
      <c r="V992" s="95" t="s">
        <v>3234</v>
      </c>
      <c r="W992" s="96"/>
      <c r="Y992" s="85" t="s">
        <v>3220</v>
      </c>
      <c r="Z992" s="86" t="s">
        <v>2980</v>
      </c>
      <c r="AA992" s="87" t="s">
        <v>3092</v>
      </c>
      <c r="AB992" s="88"/>
      <c r="AD992" s="77"/>
      <c r="AF992" s="54" t="str" cm="1">
        <f t="array" aca="1" ref="AF992" ca="1">IF(H992=0,"",HYPERLINK("#"&amp;RIGHT(CELL("adresse",OFFSET('DM01-AV-CH'!$G$6,H992-1,0)),LEN(CELL("adresse",OFFSET('DM01-AV-CH'!$G$6,H992-1,0)))-FIND("]",CELL("adresse",OFFSET('DM01-AV-CH'!$G$6,H992-1,0)))),"Modell"))</f>
        <v>Modell</v>
      </c>
      <c r="AG992" s="72" t="str" cm="1">
        <f t="array" ref="AG992">IF($H992=0,"",IF(INDEX('DM01-AV-CH'!G$6:G$834,$H992)="","",INDEX('DM01-AV-CH'!G$6:G$834,$H992)))</f>
        <v>Rohrleitungen</v>
      </c>
      <c r="AH992" s="73" t="str" cm="1">
        <f t="array" ref="AH992">IF($H992=0,"",IF(INDEX('DM01-AV-CH'!H$6:H$834,$H992)="","",INDEX('DM01-AV-CH'!H$6:H$834,$H992)))</f>
        <v>LeitungsobjektPos</v>
      </c>
      <c r="AI992" s="74" t="str" cm="1">
        <f t="array" ref="AI992">IF($H992=0,"",IF(INDEX('DM01-AV-CH'!I$6:I$834,$H992)="","",INDEX('DM01-AV-CH'!I$6:I$834,$H992)))</f>
        <v>VAli</v>
      </c>
    </row>
    <row r="993" spans="1:35" ht="28.5" x14ac:dyDescent="0.25">
      <c r="A993" s="57">
        <v>988</v>
      </c>
      <c r="B993" s="57">
        <f>IF($A993="","",IF(_xlfn.XLOOKUP($A993,Korrelation!$D$4:$D$1197,Korrelation!E$4:E$1197,"-",0)="-",0,MATCH(_xlfn.XLOOKUP($A993,Korrelation!$D$4:$D$1197,Korrelation!E$4:E$1197,"",0),DMAV_Modell!$G$6:$G$677,0)))</f>
        <v>573</v>
      </c>
      <c r="C993" s="57">
        <f>IF($A993="","",IF(_xlfn.XLOOKUP($A993,Korrelation!$D$4:$D$1197,Korrelation!F$4:F$1197,"-",0)="-",0,MATCH(_xlfn.XLOOKUP($A993,Korrelation!$D$4:$D$1197,Korrelation!F$4:F$1197,"",0),DMAV_Modell!$G$6:$G$677,0)))</f>
        <v>29</v>
      </c>
      <c r="D993" s="57">
        <f>IF($A993="","",IF(_xlfn.XLOOKUP($A993,Korrelation!$D$4:$D$1197,Korrelation!G$4:G$1197,"-",0)="-",0,MATCH(_xlfn.XLOOKUP($A993,Korrelation!$D$4:$D$1197,Korrelation!G$4:G$1197,"",0),DMAV_Modell!$G$6:$G$677,0)))</f>
        <v>0</v>
      </c>
      <c r="E993" s="57">
        <f>IF($A993="","",IF(_xlfn.XLOOKUP($A993,Korrelation!$D$4:$D$1197,Korrelation!H$4:H$1197,"-",0)="-",0,MATCH(_xlfn.XLOOKUP($A993,Korrelation!$D$4:$D$1197,Korrelation!H$4:H$1197,"",0),DMAV_Dienste!$F$6:$F$140,0)))</f>
        <v>0</v>
      </c>
      <c r="F993" s="57">
        <f>IF($A993="","",IF(_xlfn.XLOOKUP($A993,Korrelation!$D$4:$D$1197,Korrelation!I$4:I$1197,"-",0)="-",0,MATCH(_xlfn.XLOOKUP($A993,Korrelation!$D$4:$D$1197,Korrelation!I$4:I$1197,"",0),DMAV_Dienste!$F$6:$F$140,0)))</f>
        <v>0</v>
      </c>
      <c r="G993" s="57">
        <f>IF($A993="","",IF(_xlfn.XLOOKUP($A993,Korrelation!$D$4:$D$1197,Korrelation!J$4:J$1197,"-",0)="-",0,MATCH(_xlfn.XLOOKUP($A993,Korrelation!$D$4:$D$1197,Korrelation!J$4:J$1197,"",0),DMAV_Dienste!$F$6:$F$140,0)))</f>
        <v>0</v>
      </c>
      <c r="H993" s="57">
        <f>IF($A993="","",IF(_xlfn.XLOOKUP($A993,Korrelation!$D$4:$D$1197,Korrelation!K$4:K$1197,"-",0)="-",0,MATCH(_xlfn.XLOOKUP($A993,Korrelation!$D$4:$D$1197,Korrelation!K$4:K$1197,"",0),'DM01-AV-CH'!$A$6:$A$834,0)))</f>
        <v>516</v>
      </c>
      <c r="J993" s="54" t="str" cm="1">
        <f t="array" aca="1" ref="J993" ca="1">IF(B993=0,IF(E993=0,"",HYPERLINK("#"&amp;RIGHT(CELL("adresse",OFFSET(DMAV_Dienste!$M$6,E993-1,0)),LEN(CELL("adresse",OFFSET(DMAV_Dienste!$M$6,E993-1,0)))-FIND("]",CELL("adresse",OFFSET(DMAV_Dienste!$M$6,E993-1,0)))),"Dienst")),HYPERLINK("#"&amp;RIGHT(CELL("adresse",OFFSET(DMAV_Modell!$N$6,B993-1,0)),LEN(CELL("adresse",OFFSET(DMAV_Modell!$N$6,B993-1,0)))-FIND("]",CELL("adresse",OFFSET(DMAV_Modell!$N$6,B993-1,0)))),"Modell"))</f>
        <v>Modell</v>
      </c>
      <c r="K993" s="61" t="str" cm="1">
        <f t="array" ref="K993">IF($B993=0,IF($E993=0,"",IF(INDEX(DMAV_Dienste!P$6:P$140,$E993)="","",INDEX(DMAV_Dienste!P$6:P$140,$E993))),IF(INDEX(DMAV_Modell!Q$6:Q$838,$B993)="","",INDEX(DMAV_Modell!Q$6:Q$838,$B993)))</f>
        <v>CLASS</v>
      </c>
      <c r="L993" s="62" t="str" cm="1">
        <f t="array" ref="L993">IF($B993=0,IF($E993=0,"",IF(INDEX(DMAV_Dienste!O$6:O$140,$E993)="","",INDEX(DMAV_Dienste!O$6:O$140,$E993))),IF(INDEX(DMAV_Modell!P$6:P$838,$B993)="","",INDEX(DMAV_Modell!P$6:P$838,$B993)))</f>
        <v>Rohrleitungen</v>
      </c>
      <c r="M993" s="62" t="str" cm="1">
        <f t="array" ref="M993">IF($B993=0,IF($E993=0,"",IF(INDEX(DMAV_Dienste!Q$6:Q$140,$E993)="","",INDEX(DMAV_Dienste!Q$6:Q$140,$E993))),IF(INDEX(DMAV_Modell!R$6:R$838,$B993)="","",INDEX(DMAV_Modell!R$6:R$838,$B993)))</f>
        <v>Leitungsobjekt</v>
      </c>
      <c r="N993" s="62" t="str" cm="1">
        <f t="array" ref="N993">IF($B993=0,IF($E993=0,"",IF(INDEX(DMAV_Dienste!T$6:T$140,$E993)="","",INDEX(DMAV_Dienste!T$6:T$140,$E993))),IF(INDEX(DMAV_Modell!U$6:U$838,$B993)="","",INDEX(DMAV_Modell!U$6:U$838,$B993)))</f>
        <v>Textposition</v>
      </c>
      <c r="O993" s="63" t="str" cm="1">
        <f t="array" aca="1" ref="O993" ca="1">IF(C993=0,IF(F993=0,"",HYPERLINK("#"&amp;RIGHT(CELL("adresse",OFFSET(DMAV_Dienste!$M$6,F993-1,0)),LEN(CELL("adresse",OFFSET(DMAV_Dienste!$M$6,F993-1,0)))-FIND("]",CELL("adresse",OFFSET(DMAV_Dienste!$M$6,F993-1,0)))),"Structure")),HYPERLINK("#"&amp;RIGHT(CELL("adresse",OFFSET(DMAV_Modell!$N$6,C993-1,0)),LEN(CELL("adresse",OFFSET(DMAV_Modell!$N$6,C993-1,0)))-FIND("]",CELL("adresse",OFFSET(DMAV_Modell!$N$6,C993-1,0)))),"Structure"))</f>
        <v>Structure</v>
      </c>
      <c r="P993" s="64" t="str" cm="1">
        <f t="array" aca="1" ref="P993" ca="1">IF(D993=0,IF(G993=0,"",HYPERLINK("#"&amp;RIGHT(CELL("adresse",OFFSET(DMAV_Dienste!$M$6,G993-1,0)),LEN(CELL("adresse",OFFSET(DMAV_Dienste!$M$6,G993-1,0)))-FIND("]",CELL("adresse",OFFSET(DMAV_Dienste!$M$6,G993-1,0)))),"Substructure")),HYPERLINK("#"&amp;RIGHT(CELL("adresse",OFFSET(DMAV_Modell!$N$6,D993-1,0)),LEN(CELL("adresse",OFFSET(DMAV_Modell!$N$6,D993-1,0)))-FIND("]",CELL("adresse",OFFSET(DMAV_Modell!$N$6,D993-1,0)))),"Substructure"))</f>
        <v/>
      </c>
      <c r="R993" s="80"/>
      <c r="T993" s="93"/>
      <c r="U993" s="94" t="s">
        <v>2980</v>
      </c>
      <c r="V993" s="95" t="s">
        <v>3235</v>
      </c>
      <c r="W993" s="96"/>
      <c r="Y993" s="85" t="s">
        <v>3220</v>
      </c>
      <c r="Z993" s="86" t="s">
        <v>2980</v>
      </c>
      <c r="AA993" s="87" t="s">
        <v>3093</v>
      </c>
      <c r="AB993" s="88"/>
      <c r="AD993" s="77"/>
      <c r="AF993" s="54" t="str" cm="1">
        <f t="array" aca="1" ref="AF993" ca="1">IF(H993=0,"",HYPERLINK("#"&amp;RIGHT(CELL("adresse",OFFSET('DM01-AV-CH'!$G$6,H993-1,0)),LEN(CELL("adresse",OFFSET('DM01-AV-CH'!$G$6,H993-1,0)))-FIND("]",CELL("adresse",OFFSET('DM01-AV-CH'!$G$6,H993-1,0)))),"Modell"))</f>
        <v>Modell</v>
      </c>
      <c r="AG993" s="72" t="str" cm="1">
        <f t="array" ref="AG993">IF($H993=0,"",IF(INDEX('DM01-AV-CH'!G$6:G$834,$H993)="","",INDEX('DM01-AV-CH'!G$6:G$834,$H993)))</f>
        <v>Rohrleitungen</v>
      </c>
      <c r="AH993" s="73" t="str" cm="1">
        <f t="array" ref="AH993">IF($H993=0,"",IF(INDEX('DM01-AV-CH'!H$6:H$834,$H993)="","",INDEX('DM01-AV-CH'!H$6:H$834,$H993)))</f>
        <v>LeitungsobjektPos</v>
      </c>
      <c r="AI993" s="74" t="str" cm="1">
        <f t="array" ref="AI993">IF($H993=0,"",IF(INDEX('DM01-AV-CH'!I$6:I$834,$H993)="","",INDEX('DM01-AV-CH'!I$6:I$834,$H993)))</f>
        <v>Groesse</v>
      </c>
    </row>
    <row r="994" spans="1:35" x14ac:dyDescent="0.25">
      <c r="A994" s="57">
        <v>989</v>
      </c>
      <c r="B994" s="57">
        <f>IF($A994="","",IF(_xlfn.XLOOKUP($A994,Korrelation!$D$4:$D$1197,Korrelation!E$4:E$1197,"-",0)="-",0,MATCH(_xlfn.XLOOKUP($A994,Korrelation!$D$4:$D$1197,Korrelation!E$4:E$1197,"",0),DMAV_Modell!$G$6:$G$677,0)))</f>
        <v>574</v>
      </c>
      <c r="C994" s="57">
        <f>IF($A994="","",IF(_xlfn.XLOOKUP($A994,Korrelation!$D$4:$D$1197,Korrelation!F$4:F$1197,"-",0)="-",0,MATCH(_xlfn.XLOOKUP($A994,Korrelation!$D$4:$D$1197,Korrelation!F$4:F$1197,"",0),DMAV_Modell!$G$6:$G$677,0)))</f>
        <v>0</v>
      </c>
      <c r="D994" s="57">
        <f>IF($A994="","",IF(_xlfn.XLOOKUP($A994,Korrelation!$D$4:$D$1197,Korrelation!G$4:G$1197,"-",0)="-",0,MATCH(_xlfn.XLOOKUP($A994,Korrelation!$D$4:$D$1197,Korrelation!G$4:G$1197,"",0),DMAV_Modell!$G$6:$G$677,0)))</f>
        <v>0</v>
      </c>
      <c r="E994" s="57">
        <f>IF($A994="","",IF(_xlfn.XLOOKUP($A994,Korrelation!$D$4:$D$1197,Korrelation!H$4:H$1197,"-",0)="-",0,MATCH(_xlfn.XLOOKUP($A994,Korrelation!$D$4:$D$1197,Korrelation!H$4:H$1197,"",0),DMAV_Dienste!$F$6:$F$140,0)))</f>
        <v>0</v>
      </c>
      <c r="F994" s="57">
        <f>IF($A994="","",IF(_xlfn.XLOOKUP($A994,Korrelation!$D$4:$D$1197,Korrelation!I$4:I$1197,"-",0)="-",0,MATCH(_xlfn.XLOOKUP($A994,Korrelation!$D$4:$D$1197,Korrelation!I$4:I$1197,"",0),DMAV_Dienste!$F$6:$F$140,0)))</f>
        <v>0</v>
      </c>
      <c r="G994" s="57">
        <f>IF($A994="","",IF(_xlfn.XLOOKUP($A994,Korrelation!$D$4:$D$1197,Korrelation!J$4:J$1197,"-",0)="-",0,MATCH(_xlfn.XLOOKUP($A994,Korrelation!$D$4:$D$1197,Korrelation!J$4:J$1197,"",0),DMAV_Dienste!$F$6:$F$140,0)))</f>
        <v>0</v>
      </c>
      <c r="H994" s="57">
        <f>IF($A994="","",IF(_xlfn.XLOOKUP($A994,Korrelation!$D$4:$D$1197,Korrelation!K$4:K$1197,"-",0)="-",0,MATCH(_xlfn.XLOOKUP($A994,Korrelation!$D$4:$D$1197,Korrelation!K$4:K$1197,"",0),'DM01-AV-CH'!$A$6:$A$834,0)))</f>
        <v>0</v>
      </c>
      <c r="J994" s="54" t="str" cm="1">
        <f t="array" aca="1" ref="J994" ca="1">IF(B994=0,IF(E994=0,"",HYPERLINK("#"&amp;RIGHT(CELL("adresse",OFFSET(DMAV_Dienste!$M$6,E994-1,0)),LEN(CELL("adresse",OFFSET(DMAV_Dienste!$M$6,E994-1,0)))-FIND("]",CELL("adresse",OFFSET(DMAV_Dienste!$M$6,E994-1,0)))),"Dienst")),HYPERLINK("#"&amp;RIGHT(CELL("adresse",OFFSET(DMAV_Modell!$N$6,B994-1,0)),LEN(CELL("adresse",OFFSET(DMAV_Modell!$N$6,B994-1,0)))-FIND("]",CELL("adresse",OFFSET(DMAV_Modell!$N$6,B994-1,0)))),"Modell"))</f>
        <v>Modell</v>
      </c>
      <c r="K994" s="61" t="str" cm="1">
        <f t="array" ref="K994">IF($B994=0,IF($E994=0,"",IF(INDEX(DMAV_Dienste!P$6:P$140,$E994)="","",INDEX(DMAV_Dienste!P$6:P$140,$E994))),IF(INDEX(DMAV_Modell!Q$6:Q$838,$B994)="","",INDEX(DMAV_Modell!Q$6:Q$838,$B994)))</f>
        <v>CLASS.CONSTRAINT</v>
      </c>
      <c r="L994" s="62" t="str" cm="1">
        <f t="array" ref="L994">IF($B994=0,IF($E994=0,"",IF(INDEX(DMAV_Dienste!O$6:O$140,$E994)="","",INDEX(DMAV_Dienste!O$6:O$140,$E994))),IF(INDEX(DMAV_Modell!P$6:P$838,$B994)="","",INDEX(DMAV_Modell!P$6:P$838,$B994)))</f>
        <v>Rohrleitungen</v>
      </c>
      <c r="M994" s="62" t="str" cm="1">
        <f t="array" ref="M994">IF($B994=0,IF($E994=0,"",IF(INDEX(DMAV_Dienste!Q$6:Q$140,$E994)="","",INDEX(DMAV_Dienste!Q$6:Q$140,$E994))),IF(INDEX(DMAV_Modell!R$6:R$838,$B994)="","",INDEX(DMAV_Modell!R$6:R$838,$B994)))</f>
        <v>Leitungsobjekt</v>
      </c>
      <c r="N994" s="62" t="str" cm="1">
        <f t="array" ref="N994">IF($B994=0,IF($E994=0,"",IF(INDEX(DMAV_Dienste!T$6:T$140,$E994)="","",INDEX(DMAV_Dienste!T$6:T$140,$E994))),IF(INDEX(DMAV_Modell!U$6:U$838,$B994)="","",INDEX(DMAV_Modell!U$6:U$838,$B994)))</f>
        <v>INTERLIS.elementCount(@PH1@)&gt;0 OR INTERLIS.elementCount(@PH2@)&gt;0 OR INTERLIS.elementCount(@PH3@)&gt;0</v>
      </c>
      <c r="O994" s="63" t="str" cm="1">
        <f t="array" aca="1" ref="O994" ca="1">IF(C994=0,IF(F994=0,"",HYPERLINK("#"&amp;RIGHT(CELL("adresse",OFFSET(DMAV_Dienste!$M$6,F994-1,0)),LEN(CELL("adresse",OFFSET(DMAV_Dienste!$M$6,F994-1,0)))-FIND("]",CELL("adresse",OFFSET(DMAV_Dienste!$M$6,F994-1,0)))),"Structure")),HYPERLINK("#"&amp;RIGHT(CELL("adresse",OFFSET(DMAV_Modell!$N$6,C994-1,0)),LEN(CELL("adresse",OFFSET(DMAV_Modell!$N$6,C994-1,0)))-FIND("]",CELL("adresse",OFFSET(DMAV_Modell!$N$6,C994-1,0)))),"Structure"))</f>
        <v/>
      </c>
      <c r="P994" s="64" t="str" cm="1">
        <f t="array" aca="1" ref="P994" ca="1">IF(D994=0,IF(G994=0,"",HYPERLINK("#"&amp;RIGHT(CELL("adresse",OFFSET(DMAV_Dienste!$M$6,G994-1,0)),LEN(CELL("adresse",OFFSET(DMAV_Dienste!$M$6,G994-1,0)))-FIND("]",CELL("adresse",OFFSET(DMAV_Dienste!$M$6,G994-1,0)))),"Substructure")),HYPERLINK("#"&amp;RIGHT(CELL("adresse",OFFSET(DMAV_Modell!$N$6,D994-1,0)),LEN(CELL("adresse",OFFSET(DMAV_Modell!$N$6,D994-1,0)))-FIND("]",CELL("adresse",OFFSET(DMAV_Modell!$N$6,D994-1,0)))),"Substructure"))</f>
        <v/>
      </c>
      <c r="R994" s="80"/>
      <c r="T994" s="93"/>
      <c r="U994" s="94"/>
      <c r="V994" s="95"/>
      <c r="W994" s="96"/>
      <c r="Y994" s="85"/>
      <c r="Z994" s="86"/>
      <c r="AA994" s="87"/>
      <c r="AB994" s="88"/>
      <c r="AD994" s="77"/>
      <c r="AF994" s="54" t="str" cm="1">
        <f t="array" aca="1" ref="AF994" ca="1">IF(H994=0,"",HYPERLINK("#"&amp;RIGHT(CELL("adresse",OFFSET('DM01-AV-CH'!$G$6,H994-1,0)),LEN(CELL("adresse",OFFSET('DM01-AV-CH'!$G$6,H994-1,0)))-FIND("]",CELL("adresse",OFFSET('DM01-AV-CH'!$G$6,H994-1,0)))),"Modell"))</f>
        <v/>
      </c>
      <c r="AG994" s="72" t="str" cm="1">
        <f t="array" ref="AG994">IF($H994=0,"",IF(INDEX('DM01-AV-CH'!G$6:G$834,$H994)="","",INDEX('DM01-AV-CH'!G$6:G$834,$H994)))</f>
        <v/>
      </c>
      <c r="AH994" s="73" t="str" cm="1">
        <f t="array" ref="AH994">IF($H994=0,"",IF(INDEX('DM01-AV-CH'!H$6:H$834,$H994)="","",INDEX('DM01-AV-CH'!H$6:H$834,$H994)))</f>
        <v/>
      </c>
      <c r="AI994" s="74" t="str" cm="1">
        <f t="array" ref="AI994">IF($H994=0,"",IF(INDEX('DM01-AV-CH'!I$6:I$834,$H994)="","",INDEX('DM01-AV-CH'!I$6:I$834,$H994)))</f>
        <v/>
      </c>
    </row>
    <row r="995" spans="1:35" x14ac:dyDescent="0.25">
      <c r="A995" s="57">
        <v>990</v>
      </c>
      <c r="B995" s="57">
        <f>IF($A995="","",IF(_xlfn.XLOOKUP($A995,Korrelation!$D$4:$D$1197,Korrelation!E$4:E$1197,"-",0)="-",0,MATCH(_xlfn.XLOOKUP($A995,Korrelation!$D$4:$D$1197,Korrelation!E$4:E$1197,"",0),DMAV_Modell!$G$6:$G$677,0)))</f>
        <v>575</v>
      </c>
      <c r="C995" s="57">
        <f>IF($A995="","",IF(_xlfn.XLOOKUP($A995,Korrelation!$D$4:$D$1197,Korrelation!F$4:F$1197,"-",0)="-",0,MATCH(_xlfn.XLOOKUP($A995,Korrelation!$D$4:$D$1197,Korrelation!F$4:F$1197,"",0),DMAV_Modell!$G$6:$G$677,0)))</f>
        <v>0</v>
      </c>
      <c r="D995" s="57">
        <f>IF($A995="","",IF(_xlfn.XLOOKUP($A995,Korrelation!$D$4:$D$1197,Korrelation!G$4:G$1197,"-",0)="-",0,MATCH(_xlfn.XLOOKUP($A995,Korrelation!$D$4:$D$1197,Korrelation!G$4:G$1197,"",0),DMAV_Modell!$G$6:$G$677,0)))</f>
        <v>0</v>
      </c>
      <c r="E995" s="57">
        <f>IF($A995="","",IF(_xlfn.XLOOKUP($A995,Korrelation!$D$4:$D$1197,Korrelation!H$4:H$1197,"-",0)="-",0,MATCH(_xlfn.XLOOKUP($A995,Korrelation!$D$4:$D$1197,Korrelation!H$4:H$1197,"",0),DMAV_Dienste!$F$6:$F$140,0)))</f>
        <v>0</v>
      </c>
      <c r="F995" s="57">
        <f>IF($A995="","",IF(_xlfn.XLOOKUP($A995,Korrelation!$D$4:$D$1197,Korrelation!I$4:I$1197,"-",0)="-",0,MATCH(_xlfn.XLOOKUP($A995,Korrelation!$D$4:$D$1197,Korrelation!I$4:I$1197,"",0),DMAV_Dienste!$F$6:$F$140,0)))</f>
        <v>0</v>
      </c>
      <c r="G995" s="57">
        <f>IF($A995="","",IF(_xlfn.XLOOKUP($A995,Korrelation!$D$4:$D$1197,Korrelation!J$4:J$1197,"-",0)="-",0,MATCH(_xlfn.XLOOKUP($A995,Korrelation!$D$4:$D$1197,Korrelation!J$4:J$1197,"",0),DMAV_Dienste!$F$6:$F$140,0)))</f>
        <v>0</v>
      </c>
      <c r="H995" s="57">
        <f>IF($A995="","",IF(_xlfn.XLOOKUP($A995,Korrelation!$D$4:$D$1197,Korrelation!K$4:K$1197,"-",0)="-",0,MATCH(_xlfn.XLOOKUP($A995,Korrelation!$D$4:$D$1197,Korrelation!K$4:K$1197,"",0),'DM01-AV-CH'!$A$6:$A$834,0)))</f>
        <v>0</v>
      </c>
      <c r="J995" s="54" t="str" cm="1">
        <f t="array" aca="1" ref="J995" ca="1">IF(B995=0,IF(E995=0,"",HYPERLINK("#"&amp;RIGHT(CELL("adresse",OFFSET(DMAV_Dienste!$M$6,E995-1,0)),LEN(CELL("adresse",OFFSET(DMAV_Dienste!$M$6,E995-1,0)))-FIND("]",CELL("adresse",OFFSET(DMAV_Dienste!$M$6,E995-1,0)))),"Dienst")),HYPERLINK("#"&amp;RIGHT(CELL("adresse",OFFSET(DMAV_Modell!$N$6,B995-1,0)),LEN(CELL("adresse",OFFSET(DMAV_Modell!$N$6,B995-1,0)))-FIND("]",CELL("adresse",OFFSET(DMAV_Modell!$N$6,B995-1,0)))),"Modell"))</f>
        <v>Modell</v>
      </c>
      <c r="K995" s="61" t="str" cm="1">
        <f t="array" ref="K995">IF($B995=0,IF($E995=0,"",IF(INDEX(DMAV_Dienste!P$6:P$140,$E995)="","",INDEX(DMAV_Dienste!P$6:P$140,$E995))),IF(INDEX(DMAV_Modell!Q$6:Q$838,$B995)="","",INDEX(DMAV_Modell!Q$6:Q$838,$B995)))</f>
        <v>ASSOCIATION</v>
      </c>
      <c r="L995" s="62" t="str" cm="1">
        <f t="array" ref="L995">IF($B995=0,IF($E995=0,"",IF(INDEX(DMAV_Dienste!O$6:O$140,$E995)="","",INDEX(DMAV_Dienste!O$6:O$140,$E995))),IF(INDEX(DMAV_Modell!P$6:P$838,$B995)="","",INDEX(DMAV_Modell!P$6:P$838,$B995)))</f>
        <v>Rohrleitungen</v>
      </c>
      <c r="M995" s="62" t="str" cm="1">
        <f t="array" ref="M995">IF($B995=0,IF($E995=0,"",IF(INDEX(DMAV_Dienste!Q$6:Q$140,$E995)="","",INDEX(DMAV_Dienste!Q$6:Q$140,$E995))),IF(INDEX(DMAV_Modell!R$6:R$838,$B995)="","",INDEX(DMAV_Modell!R$6:R$838,$B995)))</f>
        <v>Entstehung_Leitungsobjekt</v>
      </c>
      <c r="N995" s="62" t="str" cm="1">
        <f t="array" ref="N995">IF($B995=0,IF($E995=0,"",IF(INDEX(DMAV_Dienste!T$6:T$140,$E995)="","",INDEX(DMAV_Dienste!T$6:T$140,$E995))),IF(INDEX(DMAV_Modell!U$6:U$838,$B995)="","",INDEX(DMAV_Modell!U$6:U$838,$B995)))</f>
        <v>Entstehung</v>
      </c>
      <c r="O995" s="63" t="str" cm="1">
        <f t="array" aca="1" ref="O995" ca="1">IF(C995=0,IF(F995=0,"",HYPERLINK("#"&amp;RIGHT(CELL("adresse",OFFSET(DMAV_Dienste!$M$6,F995-1,0)),LEN(CELL("adresse",OFFSET(DMAV_Dienste!$M$6,F995-1,0)))-FIND("]",CELL("adresse",OFFSET(DMAV_Dienste!$M$6,F995-1,0)))),"Structure")),HYPERLINK("#"&amp;RIGHT(CELL("adresse",OFFSET(DMAV_Modell!$N$6,C995-1,0)),LEN(CELL("adresse",OFFSET(DMAV_Modell!$N$6,C995-1,0)))-FIND("]",CELL("adresse",OFFSET(DMAV_Modell!$N$6,C995-1,0)))),"Structure"))</f>
        <v/>
      </c>
      <c r="P995" s="64" t="str" cm="1">
        <f t="array" aca="1" ref="P995" ca="1">IF(D995=0,IF(G995=0,"",HYPERLINK("#"&amp;RIGHT(CELL("adresse",OFFSET(DMAV_Dienste!$M$6,G995-1,0)),LEN(CELL("adresse",OFFSET(DMAV_Dienste!$M$6,G995-1,0)))-FIND("]",CELL("adresse",OFFSET(DMAV_Dienste!$M$6,G995-1,0)))),"Substructure")),HYPERLINK("#"&amp;RIGHT(CELL("adresse",OFFSET(DMAV_Modell!$N$6,D995-1,0)),LEN(CELL("adresse",OFFSET(DMAV_Modell!$N$6,D995-1,0)))-FIND("]",CELL("adresse",OFFSET(DMAV_Modell!$N$6,D995-1,0)))),"Substructure"))</f>
        <v/>
      </c>
      <c r="R995" s="80"/>
      <c r="T995" s="93"/>
      <c r="U995" s="94"/>
      <c r="V995" s="95"/>
      <c r="W995" s="96"/>
      <c r="Y995" s="85"/>
      <c r="Z995" s="86"/>
      <c r="AA995" s="87"/>
      <c r="AB995" s="88"/>
      <c r="AD995" s="77"/>
      <c r="AF995" s="54" t="str" cm="1">
        <f t="array" aca="1" ref="AF995" ca="1">IF(H995=0,"",HYPERLINK("#"&amp;RIGHT(CELL("adresse",OFFSET('DM01-AV-CH'!$G$6,H995-1,0)),LEN(CELL("adresse",OFFSET('DM01-AV-CH'!$G$6,H995-1,0)))-FIND("]",CELL("adresse",OFFSET('DM01-AV-CH'!$G$6,H995-1,0)))),"Modell"))</f>
        <v/>
      </c>
      <c r="AG995" s="72" t="str" cm="1">
        <f t="array" ref="AG995">IF($H995=0,"",IF(INDEX('DM01-AV-CH'!G$6:G$834,$H995)="","",INDEX('DM01-AV-CH'!G$6:G$834,$H995)))</f>
        <v/>
      </c>
      <c r="AH995" s="73" t="str" cm="1">
        <f t="array" ref="AH995">IF($H995=0,"",IF(INDEX('DM01-AV-CH'!H$6:H$834,$H995)="","",INDEX('DM01-AV-CH'!H$6:H$834,$H995)))</f>
        <v/>
      </c>
      <c r="AI995" s="74" t="str" cm="1">
        <f t="array" ref="AI995">IF($H995=0,"",IF(INDEX('DM01-AV-CH'!I$6:I$834,$H995)="","",INDEX('DM01-AV-CH'!I$6:I$834,$H995)))</f>
        <v/>
      </c>
    </row>
    <row r="996" spans="1:35" x14ac:dyDescent="0.25">
      <c r="A996" s="57">
        <v>991</v>
      </c>
      <c r="B996" s="57">
        <f>IF($A996="","",IF(_xlfn.XLOOKUP($A996,Korrelation!$D$4:$D$1197,Korrelation!E$4:E$1197,"-",0)="-",0,MATCH(_xlfn.XLOOKUP($A996,Korrelation!$D$4:$D$1197,Korrelation!E$4:E$1197,"",0),DMAV_Modell!$G$6:$G$677,0)))</f>
        <v>576</v>
      </c>
      <c r="C996" s="57">
        <f>IF($A996="","",IF(_xlfn.XLOOKUP($A996,Korrelation!$D$4:$D$1197,Korrelation!F$4:F$1197,"-",0)="-",0,MATCH(_xlfn.XLOOKUP($A996,Korrelation!$D$4:$D$1197,Korrelation!F$4:F$1197,"",0),DMAV_Modell!$G$6:$G$677,0)))</f>
        <v>0</v>
      </c>
      <c r="D996" s="57">
        <f>IF($A996="","",IF(_xlfn.XLOOKUP($A996,Korrelation!$D$4:$D$1197,Korrelation!G$4:G$1197,"-",0)="-",0,MATCH(_xlfn.XLOOKUP($A996,Korrelation!$D$4:$D$1197,Korrelation!G$4:G$1197,"",0),DMAV_Modell!$G$6:$G$677,0)))</f>
        <v>0</v>
      </c>
      <c r="E996" s="57">
        <f>IF($A996="","",IF(_xlfn.XLOOKUP($A996,Korrelation!$D$4:$D$1197,Korrelation!H$4:H$1197,"-",0)="-",0,MATCH(_xlfn.XLOOKUP($A996,Korrelation!$D$4:$D$1197,Korrelation!H$4:H$1197,"",0),DMAV_Dienste!$F$6:$F$140,0)))</f>
        <v>0</v>
      </c>
      <c r="F996" s="57">
        <f>IF($A996="","",IF(_xlfn.XLOOKUP($A996,Korrelation!$D$4:$D$1197,Korrelation!I$4:I$1197,"-",0)="-",0,MATCH(_xlfn.XLOOKUP($A996,Korrelation!$D$4:$D$1197,Korrelation!I$4:I$1197,"",0),DMAV_Dienste!$F$6:$F$140,0)))</f>
        <v>0</v>
      </c>
      <c r="G996" s="57">
        <f>IF($A996="","",IF(_xlfn.XLOOKUP($A996,Korrelation!$D$4:$D$1197,Korrelation!J$4:J$1197,"-",0)="-",0,MATCH(_xlfn.XLOOKUP($A996,Korrelation!$D$4:$D$1197,Korrelation!J$4:J$1197,"",0),DMAV_Dienste!$F$6:$F$140,0)))</f>
        <v>0</v>
      </c>
      <c r="H996" s="57">
        <f>IF($A996="","",IF(_xlfn.XLOOKUP($A996,Korrelation!$D$4:$D$1197,Korrelation!K$4:K$1197,"-",0)="-",0,MATCH(_xlfn.XLOOKUP($A996,Korrelation!$D$4:$D$1197,Korrelation!K$4:K$1197,"",0),'DM01-AV-CH'!$A$6:$A$834,0)))</f>
        <v>0</v>
      </c>
      <c r="J996" s="54" t="str" cm="1">
        <f t="array" aca="1" ref="J996" ca="1">IF(B996=0,IF(E996=0,"",HYPERLINK("#"&amp;RIGHT(CELL("adresse",OFFSET(DMAV_Dienste!$M$6,E996-1,0)),LEN(CELL("adresse",OFFSET(DMAV_Dienste!$M$6,E996-1,0)))-FIND("]",CELL("adresse",OFFSET(DMAV_Dienste!$M$6,E996-1,0)))),"Dienst")),HYPERLINK("#"&amp;RIGHT(CELL("adresse",OFFSET(DMAV_Modell!$N$6,B996-1,0)),LEN(CELL("adresse",OFFSET(DMAV_Modell!$N$6,B996-1,0)))-FIND("]",CELL("adresse",OFFSET(DMAV_Modell!$N$6,B996-1,0)))),"Modell"))</f>
        <v>Modell</v>
      </c>
      <c r="K996" s="61" t="str" cm="1">
        <f t="array" ref="K996">IF($B996=0,IF($E996=0,"",IF(INDEX(DMAV_Dienste!P$6:P$140,$E996)="","",INDEX(DMAV_Dienste!P$6:P$140,$E996))),IF(INDEX(DMAV_Modell!Q$6:Q$838,$B996)="","",INDEX(DMAV_Modell!Q$6:Q$838,$B996)))</f>
        <v>ASSOCIATION</v>
      </c>
      <c r="L996" s="62" t="str" cm="1">
        <f t="array" ref="L996">IF($B996=0,IF($E996=0,"",IF(INDEX(DMAV_Dienste!O$6:O$140,$E996)="","",INDEX(DMAV_Dienste!O$6:O$140,$E996))),IF(INDEX(DMAV_Modell!P$6:P$838,$B996)="","",INDEX(DMAV_Modell!P$6:P$838,$B996)))</f>
        <v>Rohrleitungen</v>
      </c>
      <c r="M996" s="62" t="str" cm="1">
        <f t="array" ref="M996">IF($B996=0,IF($E996=0,"",IF(INDEX(DMAV_Dienste!Q$6:Q$140,$E996)="","",INDEX(DMAV_Dienste!Q$6:Q$140,$E996))),IF(INDEX(DMAV_Modell!R$6:R$838,$B996)="","",INDEX(DMAV_Modell!R$6:R$838,$B996)))</f>
        <v>Entstehung_Leitungsobjekt</v>
      </c>
      <c r="N996" s="62" t="str" cm="1">
        <f t="array" ref="N996">IF($B996=0,IF($E996=0,"",IF(INDEX(DMAV_Dienste!T$6:T$140,$E996)="","",INDEX(DMAV_Dienste!T$6:T$140,$E996))),IF(INDEX(DMAV_Modell!U$6:U$838,$B996)="","",INDEX(DMAV_Modell!U$6:U$838,$B996)))</f>
        <v>entstehendes_Leitungsobjekt</v>
      </c>
      <c r="O996" s="63" t="str" cm="1">
        <f t="array" aca="1" ref="O996" ca="1">IF(C996=0,IF(F996=0,"",HYPERLINK("#"&amp;RIGHT(CELL("adresse",OFFSET(DMAV_Dienste!$M$6,F996-1,0)),LEN(CELL("adresse",OFFSET(DMAV_Dienste!$M$6,F996-1,0)))-FIND("]",CELL("adresse",OFFSET(DMAV_Dienste!$M$6,F996-1,0)))),"Structure")),HYPERLINK("#"&amp;RIGHT(CELL("adresse",OFFSET(DMAV_Modell!$N$6,C996-1,0)),LEN(CELL("adresse",OFFSET(DMAV_Modell!$N$6,C996-1,0)))-FIND("]",CELL("adresse",OFFSET(DMAV_Modell!$N$6,C996-1,0)))),"Structure"))</f>
        <v/>
      </c>
      <c r="P996" s="64" t="str" cm="1">
        <f t="array" aca="1" ref="P996" ca="1">IF(D996=0,IF(G996=0,"",HYPERLINK("#"&amp;RIGHT(CELL("adresse",OFFSET(DMAV_Dienste!$M$6,G996-1,0)),LEN(CELL("adresse",OFFSET(DMAV_Dienste!$M$6,G996-1,0)))-FIND("]",CELL("adresse",OFFSET(DMAV_Dienste!$M$6,G996-1,0)))),"Substructure")),HYPERLINK("#"&amp;RIGHT(CELL("adresse",OFFSET(DMAV_Modell!$N$6,D996-1,0)),LEN(CELL("adresse",OFFSET(DMAV_Modell!$N$6,D996-1,0)))-FIND("]",CELL("adresse",OFFSET(DMAV_Modell!$N$6,D996-1,0)))),"Substructure"))</f>
        <v/>
      </c>
      <c r="R996" s="80"/>
      <c r="T996" s="93"/>
      <c r="U996" s="94"/>
      <c r="V996" s="95"/>
      <c r="W996" s="96"/>
      <c r="Y996" s="85"/>
      <c r="Z996" s="86"/>
      <c r="AA996" s="87"/>
      <c r="AB996" s="88"/>
      <c r="AD996" s="77"/>
      <c r="AF996" s="54" t="str" cm="1">
        <f t="array" aca="1" ref="AF996" ca="1">IF(H996=0,"",HYPERLINK("#"&amp;RIGHT(CELL("adresse",OFFSET('DM01-AV-CH'!$G$6,H996-1,0)),LEN(CELL("adresse",OFFSET('DM01-AV-CH'!$G$6,H996-1,0)))-FIND("]",CELL("adresse",OFFSET('DM01-AV-CH'!$G$6,H996-1,0)))),"Modell"))</f>
        <v/>
      </c>
      <c r="AG996" s="72" t="str" cm="1">
        <f t="array" ref="AG996">IF($H996=0,"",IF(INDEX('DM01-AV-CH'!G$6:G$834,$H996)="","",INDEX('DM01-AV-CH'!G$6:G$834,$H996)))</f>
        <v/>
      </c>
      <c r="AH996" s="73" t="str" cm="1">
        <f t="array" ref="AH996">IF($H996=0,"",IF(INDEX('DM01-AV-CH'!H$6:H$834,$H996)="","",INDEX('DM01-AV-CH'!H$6:H$834,$H996)))</f>
        <v/>
      </c>
      <c r="AI996" s="74" t="str" cm="1">
        <f t="array" ref="AI996">IF($H996=0,"",IF(INDEX('DM01-AV-CH'!I$6:I$834,$H996)="","",INDEX('DM01-AV-CH'!I$6:I$834,$H996)))</f>
        <v/>
      </c>
    </row>
    <row r="997" spans="1:35" x14ac:dyDescent="0.25">
      <c r="A997" s="57">
        <v>992</v>
      </c>
      <c r="B997" s="57">
        <f>IF($A997="","",IF(_xlfn.XLOOKUP($A997,Korrelation!$D$4:$D$1197,Korrelation!E$4:E$1197,"-",0)="-",0,MATCH(_xlfn.XLOOKUP($A997,Korrelation!$D$4:$D$1197,Korrelation!E$4:E$1197,"",0),DMAV_Modell!$G$6:$G$677,0)))</f>
        <v>0</v>
      </c>
      <c r="C997" s="57">
        <f>IF($A997="","",IF(_xlfn.XLOOKUP($A997,Korrelation!$D$4:$D$1197,Korrelation!F$4:F$1197,"-",0)="-",0,MATCH(_xlfn.XLOOKUP($A997,Korrelation!$D$4:$D$1197,Korrelation!F$4:F$1197,"",0),DMAV_Modell!$G$6:$G$677,0)))</f>
        <v>0</v>
      </c>
      <c r="D997" s="57">
        <f>IF($A997="","",IF(_xlfn.XLOOKUP($A997,Korrelation!$D$4:$D$1197,Korrelation!G$4:G$1197,"-",0)="-",0,MATCH(_xlfn.XLOOKUP($A997,Korrelation!$D$4:$D$1197,Korrelation!G$4:G$1197,"",0),DMAV_Modell!$G$6:$G$677,0)))</f>
        <v>0</v>
      </c>
      <c r="E997" s="57">
        <f>IF($A997="","",IF(_xlfn.XLOOKUP($A997,Korrelation!$D$4:$D$1197,Korrelation!H$4:H$1197,"-",0)="-",0,MATCH(_xlfn.XLOOKUP($A997,Korrelation!$D$4:$D$1197,Korrelation!H$4:H$1197,"",0),DMAV_Dienste!$F$6:$F$140,0)))</f>
        <v>0</v>
      </c>
      <c r="F997" s="57">
        <f>IF($A997="","",IF(_xlfn.XLOOKUP($A997,Korrelation!$D$4:$D$1197,Korrelation!I$4:I$1197,"-",0)="-",0,MATCH(_xlfn.XLOOKUP($A997,Korrelation!$D$4:$D$1197,Korrelation!I$4:I$1197,"",0),DMAV_Dienste!$F$6:$F$140,0)))</f>
        <v>0</v>
      </c>
      <c r="G997" s="57">
        <f>IF($A997="","",IF(_xlfn.XLOOKUP($A997,Korrelation!$D$4:$D$1197,Korrelation!J$4:J$1197,"-",0)="-",0,MATCH(_xlfn.XLOOKUP($A997,Korrelation!$D$4:$D$1197,Korrelation!J$4:J$1197,"",0),DMAV_Dienste!$F$6:$F$140,0)))</f>
        <v>0</v>
      </c>
      <c r="H997" s="57">
        <f>IF($A997="","",IF(_xlfn.XLOOKUP($A997,Korrelation!$D$4:$D$1197,Korrelation!K$4:K$1197,"-",0)="-",0,MATCH(_xlfn.XLOOKUP($A997,Korrelation!$D$4:$D$1197,Korrelation!K$4:K$1197,"",0),'DM01-AV-CH'!$A$6:$A$834,0)))</f>
        <v>526</v>
      </c>
      <c r="J997" s="54" t="str" cm="1">
        <f t="array" aca="1" ref="J997" ca="1">IF(B997=0,IF(E997=0,"",HYPERLINK("#"&amp;RIGHT(CELL("adresse",OFFSET(DMAV_Dienste!$M$6,E997-1,0)),LEN(CELL("adresse",OFFSET(DMAV_Dienste!$M$6,E997-1,0)))-FIND("]",CELL("adresse",OFFSET(DMAV_Dienste!$M$6,E997-1,0)))),"Dienst")),HYPERLINK("#"&amp;RIGHT(CELL("adresse",OFFSET(DMAV_Modell!$N$6,B997-1,0)),LEN(CELL("adresse",OFFSET(DMAV_Modell!$N$6,B997-1,0)))-FIND("]",CELL("adresse",OFFSET(DMAV_Modell!$N$6,B997-1,0)))),"Modell"))</f>
        <v/>
      </c>
      <c r="K997" s="61" t="str" cm="1">
        <f t="array" ref="K997">IF($B997=0,IF($E997=0,"",IF(INDEX(DMAV_Dienste!P$6:P$140,$E997)="","",INDEX(DMAV_Dienste!P$6:P$140,$E997))),IF(INDEX(DMAV_Modell!Q$6:Q$838,$B997)="","",INDEX(DMAV_Modell!Q$6:Q$838,$B997)))</f>
        <v/>
      </c>
      <c r="L997" s="62" t="str" cm="1">
        <f t="array" ref="L997">IF($B997=0,IF($E997=0,"",IF(INDEX(DMAV_Dienste!O$6:O$140,$E997)="","",INDEX(DMAV_Dienste!O$6:O$140,$E997))),IF(INDEX(DMAV_Modell!P$6:P$838,$B997)="","",INDEX(DMAV_Modell!P$6:P$838,$B997)))</f>
        <v/>
      </c>
      <c r="M997" s="62" t="str" cm="1">
        <f t="array" ref="M997">IF($B997=0,IF($E997=0,"",IF(INDEX(DMAV_Dienste!Q$6:Q$140,$E997)="","",INDEX(DMAV_Dienste!Q$6:Q$140,$E997))),IF(INDEX(DMAV_Modell!R$6:R$838,$B997)="","",INDEX(DMAV_Modell!R$6:R$838,$B997)))</f>
        <v/>
      </c>
      <c r="N997" s="62" t="str" cm="1">
        <f t="array" ref="N997">IF($B997=0,IF($E997=0,"",IF(INDEX(DMAV_Dienste!T$6:T$140,$E997)="","",INDEX(DMAV_Dienste!T$6:T$140,$E997))),IF(INDEX(DMAV_Modell!U$6:U$838,$B997)="","",INDEX(DMAV_Modell!U$6:U$838,$B997)))</f>
        <v/>
      </c>
      <c r="O997" s="63" t="str" cm="1">
        <f t="array" aca="1" ref="O997" ca="1">IF(C997=0,IF(F997=0,"",HYPERLINK("#"&amp;RIGHT(CELL("adresse",OFFSET(DMAV_Dienste!$M$6,F997-1,0)),LEN(CELL("adresse",OFFSET(DMAV_Dienste!$M$6,F997-1,0)))-FIND("]",CELL("adresse",OFFSET(DMAV_Dienste!$M$6,F997-1,0)))),"Structure")),HYPERLINK("#"&amp;RIGHT(CELL("adresse",OFFSET(DMAV_Modell!$N$6,C997-1,0)),LEN(CELL("adresse",OFFSET(DMAV_Modell!$N$6,C997-1,0)))-FIND("]",CELL("adresse",OFFSET(DMAV_Modell!$N$6,C997-1,0)))),"Structure"))</f>
        <v/>
      </c>
      <c r="P997" s="64" t="str" cm="1">
        <f t="array" aca="1" ref="P997" ca="1">IF(D997=0,IF(G997=0,"",HYPERLINK("#"&amp;RIGHT(CELL("adresse",OFFSET(DMAV_Dienste!$M$6,G997-1,0)),LEN(CELL("adresse",OFFSET(DMAV_Dienste!$M$6,G997-1,0)))-FIND("]",CELL("adresse",OFFSET(DMAV_Dienste!$M$6,G997-1,0)))),"Substructure")),HYPERLINK("#"&amp;RIGHT(CELL("adresse",OFFSET(DMAV_Modell!$N$6,D997-1,0)),LEN(CELL("adresse",OFFSET(DMAV_Modell!$N$6,D997-1,0)))-FIND("]",CELL("adresse",OFFSET(DMAV_Modell!$N$6,D997-1,0)))),"Substructure"))</f>
        <v/>
      </c>
      <c r="R997" s="80"/>
      <c r="T997" s="93"/>
      <c r="U997" s="94"/>
      <c r="V997" s="95"/>
      <c r="W997" s="96"/>
      <c r="Y997" s="85"/>
      <c r="Z997" s="86"/>
      <c r="AA997" s="87"/>
      <c r="AB997" s="88"/>
      <c r="AD997" s="77"/>
      <c r="AF997" s="54" t="str" cm="1">
        <f t="array" aca="1" ref="AF997" ca="1">IF(H997=0,"",HYPERLINK("#"&amp;RIGHT(CELL("adresse",OFFSET('DM01-AV-CH'!$G$6,H997-1,0)),LEN(CELL("adresse",OFFSET('DM01-AV-CH'!$G$6,H997-1,0)))-FIND("]",CELL("adresse",OFFSET('DM01-AV-CH'!$G$6,H997-1,0)))),"Modell"))</f>
        <v>Modell</v>
      </c>
      <c r="AG997" s="72" t="str" cm="1">
        <f t="array" ref="AG997">IF($H997=0,"",IF(INDEX('DM01-AV-CH'!G$6:G$834,$H997)="","",INDEX('DM01-AV-CH'!G$6:G$834,$H997)))</f>
        <v>Rohrleitungen</v>
      </c>
      <c r="AH997" s="73" t="str" cm="1">
        <f t="array" ref="AH997">IF($H997=0,"",IF(INDEX('DM01-AV-CH'!H$6:H$834,$H997)="","",INDEX('DM01-AV-CH'!H$6:H$834,$H997)))</f>
        <v>Signalpunkt</v>
      </c>
      <c r="AI997" s="74" t="str" cm="1">
        <f t="array" ref="AI997">IF($H997=0,"",IF(INDEX('DM01-AV-CH'!I$6:I$834,$H997)="","",INDEX('DM01-AV-CH'!I$6:I$834,$H997)))</f>
        <v>Entstehung</v>
      </c>
    </row>
    <row r="998" spans="1:35" x14ac:dyDescent="0.25">
      <c r="A998" s="57">
        <v>993</v>
      </c>
      <c r="B998" s="57">
        <f>IF($A998="","",IF(_xlfn.XLOOKUP($A998,Korrelation!$D$4:$D$1197,Korrelation!E$4:E$1197,"-",0)="-",0,MATCH(_xlfn.XLOOKUP($A998,Korrelation!$D$4:$D$1197,Korrelation!E$4:E$1197,"",0),DMAV_Modell!$G$6:$G$677,0)))</f>
        <v>577</v>
      </c>
      <c r="C998" s="57">
        <f>IF($A998="","",IF(_xlfn.XLOOKUP($A998,Korrelation!$D$4:$D$1197,Korrelation!F$4:F$1197,"-",0)="-",0,MATCH(_xlfn.XLOOKUP($A998,Korrelation!$D$4:$D$1197,Korrelation!F$4:F$1197,"",0),DMAV_Modell!$G$6:$G$677,0)))</f>
        <v>0</v>
      </c>
      <c r="D998" s="57">
        <f>IF($A998="","",IF(_xlfn.XLOOKUP($A998,Korrelation!$D$4:$D$1197,Korrelation!G$4:G$1197,"-",0)="-",0,MATCH(_xlfn.XLOOKUP($A998,Korrelation!$D$4:$D$1197,Korrelation!G$4:G$1197,"",0),DMAV_Modell!$G$6:$G$677,0)))</f>
        <v>0</v>
      </c>
      <c r="E998" s="57">
        <f>IF($A998="","",IF(_xlfn.XLOOKUP($A998,Korrelation!$D$4:$D$1197,Korrelation!H$4:H$1197,"-",0)="-",0,MATCH(_xlfn.XLOOKUP($A998,Korrelation!$D$4:$D$1197,Korrelation!H$4:H$1197,"",0),DMAV_Dienste!$F$6:$F$140,0)))</f>
        <v>0</v>
      </c>
      <c r="F998" s="57">
        <f>IF($A998="","",IF(_xlfn.XLOOKUP($A998,Korrelation!$D$4:$D$1197,Korrelation!I$4:I$1197,"-",0)="-",0,MATCH(_xlfn.XLOOKUP($A998,Korrelation!$D$4:$D$1197,Korrelation!I$4:I$1197,"",0),DMAV_Dienste!$F$6:$F$140,0)))</f>
        <v>0</v>
      </c>
      <c r="G998" s="57">
        <f>IF($A998="","",IF(_xlfn.XLOOKUP($A998,Korrelation!$D$4:$D$1197,Korrelation!J$4:J$1197,"-",0)="-",0,MATCH(_xlfn.XLOOKUP($A998,Korrelation!$D$4:$D$1197,Korrelation!J$4:J$1197,"",0),DMAV_Dienste!$F$6:$F$140,0)))</f>
        <v>0</v>
      </c>
      <c r="H998" s="57">
        <f>IF($A998="","",IF(_xlfn.XLOOKUP($A998,Korrelation!$D$4:$D$1197,Korrelation!K$4:K$1197,"-",0)="-",0,MATCH(_xlfn.XLOOKUP($A998,Korrelation!$D$4:$D$1197,Korrelation!K$4:K$1197,"",0),'DM01-AV-CH'!$A$6:$A$834,0)))</f>
        <v>527</v>
      </c>
      <c r="J998" s="54" t="str" cm="1">
        <f t="array" aca="1" ref="J998" ca="1">IF(B998=0,IF(E998=0,"",HYPERLINK("#"&amp;RIGHT(CELL("adresse",OFFSET(DMAV_Dienste!$M$6,E998-1,0)),LEN(CELL("adresse",OFFSET(DMAV_Dienste!$M$6,E998-1,0)))-FIND("]",CELL("adresse",OFFSET(DMAV_Dienste!$M$6,E998-1,0)))),"Dienst")),HYPERLINK("#"&amp;RIGHT(CELL("adresse",OFFSET(DMAV_Modell!$N$6,B998-1,0)),LEN(CELL("adresse",OFFSET(DMAV_Modell!$N$6,B998-1,0)))-FIND("]",CELL("adresse",OFFSET(DMAV_Modell!$N$6,B998-1,0)))),"Modell"))</f>
        <v>Modell</v>
      </c>
      <c r="K998" s="61" t="str" cm="1">
        <f t="array" ref="K998">IF($B998=0,IF($E998=0,"",IF(INDEX(DMAV_Dienste!P$6:P$140,$E998)="","",INDEX(DMAV_Dienste!P$6:P$140,$E998))),IF(INDEX(DMAV_Modell!Q$6:Q$838,$B998)="","",INDEX(DMAV_Modell!Q$6:Q$838,$B998)))</f>
        <v>CLASS</v>
      </c>
      <c r="L998" s="62" t="str" cm="1">
        <f t="array" ref="L998">IF($B998=0,IF($E998=0,"",IF(INDEX(DMAV_Dienste!O$6:O$140,$E998)="","",INDEX(DMAV_Dienste!O$6:O$140,$E998))),IF(INDEX(DMAV_Modell!P$6:P$838,$B998)="","",INDEX(DMAV_Modell!P$6:P$838,$B998)))</f>
        <v>Rohrleitungen</v>
      </c>
      <c r="M998" s="62" t="str" cm="1">
        <f t="array" ref="M998">IF($B998=0,IF($E998=0,"",IF(INDEX(DMAV_Dienste!Q$6:Q$140,$E998)="","",INDEX(DMAV_Dienste!Q$6:Q$140,$E998))),IF(INDEX(DMAV_Modell!R$6:R$838,$B998)="","",INDEX(DMAV_Modell!R$6:R$838,$B998)))</f>
        <v>Signal</v>
      </c>
      <c r="N998" s="62" t="str" cm="1">
        <f t="array" ref="N998">IF($B998=0,IF($E998=0,"",IF(INDEX(DMAV_Dienste!T$6:T$140,$E998)="","",INDEX(DMAV_Dienste!T$6:T$140,$E998))),IF(INDEX(DMAV_Modell!U$6:U$838,$B998)="","",INDEX(DMAV_Modell!U$6:U$838,$B998)))</f>
        <v>Nummer</v>
      </c>
      <c r="O998" s="63" t="str" cm="1">
        <f t="array" aca="1" ref="O998" ca="1">IF(C998=0,IF(F998=0,"",HYPERLINK("#"&amp;RIGHT(CELL("adresse",OFFSET(DMAV_Dienste!$M$6,F998-1,0)),LEN(CELL("adresse",OFFSET(DMAV_Dienste!$M$6,F998-1,0)))-FIND("]",CELL("adresse",OFFSET(DMAV_Dienste!$M$6,F998-1,0)))),"Structure")),HYPERLINK("#"&amp;RIGHT(CELL("adresse",OFFSET(DMAV_Modell!$N$6,C998-1,0)),LEN(CELL("adresse",OFFSET(DMAV_Modell!$N$6,C998-1,0)))-FIND("]",CELL("adresse",OFFSET(DMAV_Modell!$N$6,C998-1,0)))),"Structure"))</f>
        <v/>
      </c>
      <c r="P998" s="64" t="str" cm="1">
        <f t="array" aca="1" ref="P998" ca="1">IF(D998=0,IF(G998=0,"",HYPERLINK("#"&amp;RIGHT(CELL("adresse",OFFSET(DMAV_Dienste!$M$6,G998-1,0)),LEN(CELL("adresse",OFFSET(DMAV_Dienste!$M$6,G998-1,0)))-FIND("]",CELL("adresse",OFFSET(DMAV_Dienste!$M$6,G998-1,0)))),"Substructure")),HYPERLINK("#"&amp;RIGHT(CELL("adresse",OFFSET(DMAV_Modell!$N$6,D998-1,0)),LEN(CELL("adresse",OFFSET(DMAV_Modell!$N$6,D998-1,0)))-FIND("]",CELL("adresse",OFFSET(DMAV_Modell!$N$6,D998-1,0)))),"Substructure"))</f>
        <v/>
      </c>
      <c r="R998" s="80"/>
      <c r="T998" s="93"/>
      <c r="U998" s="94"/>
      <c r="V998" s="95"/>
      <c r="W998" s="96"/>
      <c r="Y998" s="85" t="s">
        <v>3236</v>
      </c>
      <c r="Z998" s="86"/>
      <c r="AA998" s="87"/>
      <c r="AB998" s="88"/>
      <c r="AD998" s="77"/>
      <c r="AF998" s="54" t="str" cm="1">
        <f t="array" aca="1" ref="AF998" ca="1">IF(H998=0,"",HYPERLINK("#"&amp;RIGHT(CELL("adresse",OFFSET('DM01-AV-CH'!$G$6,H998-1,0)),LEN(CELL("adresse",OFFSET('DM01-AV-CH'!$G$6,H998-1,0)))-FIND("]",CELL("adresse",OFFSET('DM01-AV-CH'!$G$6,H998-1,0)))),"Modell"))</f>
        <v>Modell</v>
      </c>
      <c r="AG998" s="72" t="str" cm="1">
        <f t="array" ref="AG998">IF($H998=0,"",IF(INDEX('DM01-AV-CH'!G$6:G$834,$H998)="","",INDEX('DM01-AV-CH'!G$6:G$834,$H998)))</f>
        <v>Rohrleitungen</v>
      </c>
      <c r="AH998" s="73" t="str" cm="1">
        <f t="array" ref="AH998">IF($H998=0,"",IF(INDEX('DM01-AV-CH'!H$6:H$834,$H998)="","",INDEX('DM01-AV-CH'!H$6:H$834,$H998)))</f>
        <v>Signalpunkt</v>
      </c>
      <c r="AI998" s="74" t="str" cm="1">
        <f t="array" ref="AI998">IF($H998=0,"",IF(INDEX('DM01-AV-CH'!I$6:I$834,$H998)="","",INDEX('DM01-AV-CH'!I$6:I$834,$H998)))</f>
        <v>Nummer</v>
      </c>
    </row>
    <row r="999" spans="1:35" x14ac:dyDescent="0.25">
      <c r="A999" s="57">
        <v>994</v>
      </c>
      <c r="B999" s="57">
        <f>IF($A999="","",IF(_xlfn.XLOOKUP($A999,Korrelation!$D$4:$D$1197,Korrelation!E$4:E$1197,"-",0)="-",0,MATCH(_xlfn.XLOOKUP($A999,Korrelation!$D$4:$D$1197,Korrelation!E$4:E$1197,"",0),DMAV_Modell!$G$6:$G$677,0)))</f>
        <v>578</v>
      </c>
      <c r="C999" s="57">
        <f>IF($A999="","",IF(_xlfn.XLOOKUP($A999,Korrelation!$D$4:$D$1197,Korrelation!F$4:F$1197,"-",0)="-",0,MATCH(_xlfn.XLOOKUP($A999,Korrelation!$D$4:$D$1197,Korrelation!F$4:F$1197,"",0),DMAV_Modell!$G$6:$G$677,0)))</f>
        <v>0</v>
      </c>
      <c r="D999" s="57">
        <f>IF($A999="","",IF(_xlfn.XLOOKUP($A999,Korrelation!$D$4:$D$1197,Korrelation!G$4:G$1197,"-",0)="-",0,MATCH(_xlfn.XLOOKUP($A999,Korrelation!$D$4:$D$1197,Korrelation!G$4:G$1197,"",0),DMAV_Modell!$G$6:$G$677,0)))</f>
        <v>0</v>
      </c>
      <c r="E999" s="57">
        <f>IF($A999="","",IF(_xlfn.XLOOKUP($A999,Korrelation!$D$4:$D$1197,Korrelation!H$4:H$1197,"-",0)="-",0,MATCH(_xlfn.XLOOKUP($A999,Korrelation!$D$4:$D$1197,Korrelation!H$4:H$1197,"",0),DMAV_Dienste!$F$6:$F$140,0)))</f>
        <v>0</v>
      </c>
      <c r="F999" s="57">
        <f>IF($A999="","",IF(_xlfn.XLOOKUP($A999,Korrelation!$D$4:$D$1197,Korrelation!I$4:I$1197,"-",0)="-",0,MATCH(_xlfn.XLOOKUP($A999,Korrelation!$D$4:$D$1197,Korrelation!I$4:I$1197,"",0),DMAV_Dienste!$F$6:$F$140,0)))</f>
        <v>0</v>
      </c>
      <c r="G999" s="57">
        <f>IF($A999="","",IF(_xlfn.XLOOKUP($A999,Korrelation!$D$4:$D$1197,Korrelation!J$4:J$1197,"-",0)="-",0,MATCH(_xlfn.XLOOKUP($A999,Korrelation!$D$4:$D$1197,Korrelation!J$4:J$1197,"",0),DMAV_Dienste!$F$6:$F$140,0)))</f>
        <v>0</v>
      </c>
      <c r="H999" s="57">
        <f>IF($A999="","",IF(_xlfn.XLOOKUP($A999,Korrelation!$D$4:$D$1197,Korrelation!K$4:K$1197,"-",0)="-",0,MATCH(_xlfn.XLOOKUP($A999,Korrelation!$D$4:$D$1197,Korrelation!K$4:K$1197,"",0),'DM01-AV-CH'!$A$6:$A$834,0)))</f>
        <v>528</v>
      </c>
      <c r="J999" s="54" t="str" cm="1">
        <f t="array" aca="1" ref="J999" ca="1">IF(B999=0,IF(E999=0,"",HYPERLINK("#"&amp;RIGHT(CELL("adresse",OFFSET(DMAV_Dienste!$M$6,E999-1,0)),LEN(CELL("adresse",OFFSET(DMAV_Dienste!$M$6,E999-1,0)))-FIND("]",CELL("adresse",OFFSET(DMAV_Dienste!$M$6,E999-1,0)))),"Dienst")),HYPERLINK("#"&amp;RIGHT(CELL("adresse",OFFSET(DMAV_Modell!$N$6,B999-1,0)),LEN(CELL("adresse",OFFSET(DMAV_Modell!$N$6,B999-1,0)))-FIND("]",CELL("adresse",OFFSET(DMAV_Modell!$N$6,B999-1,0)))),"Modell"))</f>
        <v>Modell</v>
      </c>
      <c r="K999" s="61" t="str" cm="1">
        <f t="array" ref="K999">IF($B999=0,IF($E999=0,"",IF(INDEX(DMAV_Dienste!P$6:P$140,$E999)="","",INDEX(DMAV_Dienste!P$6:P$140,$E999))),IF(INDEX(DMAV_Modell!Q$6:Q$838,$B999)="","",INDEX(DMAV_Modell!Q$6:Q$838,$B999)))</f>
        <v>CLASS</v>
      </c>
      <c r="L999" s="62" t="str" cm="1">
        <f t="array" ref="L999">IF($B999=0,IF($E999=0,"",IF(INDEX(DMAV_Dienste!O$6:O$140,$E999)="","",INDEX(DMAV_Dienste!O$6:O$140,$E999))),IF(INDEX(DMAV_Modell!P$6:P$838,$B999)="","",INDEX(DMAV_Modell!P$6:P$838,$B999)))</f>
        <v>Rohrleitungen</v>
      </c>
      <c r="M999" s="62" t="str" cm="1">
        <f t="array" ref="M999">IF($B999=0,IF($E999=0,"",IF(INDEX(DMAV_Dienste!Q$6:Q$140,$E999)="","",INDEX(DMAV_Dienste!Q$6:Q$140,$E999))),IF(INDEX(DMAV_Modell!R$6:R$838,$B999)="","",INDEX(DMAV_Modell!R$6:R$838,$B999)))</f>
        <v>Signal</v>
      </c>
      <c r="N999" s="62" t="str" cm="1">
        <f t="array" ref="N999">IF($B999=0,IF($E999=0,"",IF(INDEX(DMAV_Dienste!T$6:T$140,$E999)="","",INDEX(DMAV_Dienste!T$6:T$140,$E999))),IF(INDEX(DMAV_Modell!U$6:U$838,$B999)="","",INDEX(DMAV_Modell!U$6:U$838,$B999)))</f>
        <v>Betreiber</v>
      </c>
      <c r="O999" s="63" t="str" cm="1">
        <f t="array" aca="1" ref="O999" ca="1">IF(C999=0,IF(F999=0,"",HYPERLINK("#"&amp;RIGHT(CELL("adresse",OFFSET(DMAV_Dienste!$M$6,F999-1,0)),LEN(CELL("adresse",OFFSET(DMAV_Dienste!$M$6,F999-1,0)))-FIND("]",CELL("adresse",OFFSET(DMAV_Dienste!$M$6,F999-1,0)))),"Structure")),HYPERLINK("#"&amp;RIGHT(CELL("adresse",OFFSET(DMAV_Modell!$N$6,C999-1,0)),LEN(CELL("adresse",OFFSET(DMAV_Modell!$N$6,C999-1,0)))-FIND("]",CELL("adresse",OFFSET(DMAV_Modell!$N$6,C999-1,0)))),"Structure"))</f>
        <v/>
      </c>
      <c r="P999" s="64" t="str" cm="1">
        <f t="array" aca="1" ref="P999" ca="1">IF(D999=0,IF(G999=0,"",HYPERLINK("#"&amp;RIGHT(CELL("adresse",OFFSET(DMAV_Dienste!$M$6,G999-1,0)),LEN(CELL("adresse",OFFSET(DMAV_Dienste!$M$6,G999-1,0)))-FIND("]",CELL("adresse",OFFSET(DMAV_Dienste!$M$6,G999-1,0)))),"Substructure")),HYPERLINK("#"&amp;RIGHT(CELL("adresse",OFFSET(DMAV_Modell!$N$6,D999-1,0)),LEN(CELL("adresse",OFFSET(DMAV_Modell!$N$6,D999-1,0)))-FIND("]",CELL("adresse",OFFSET(DMAV_Modell!$N$6,D999-1,0)))),"Substructure"))</f>
        <v/>
      </c>
      <c r="R999" s="80"/>
      <c r="T999" s="93"/>
      <c r="U999" s="94"/>
      <c r="V999" s="95"/>
      <c r="W999" s="96"/>
      <c r="Y999" s="85" t="s">
        <v>3236</v>
      </c>
      <c r="Z999" s="86"/>
      <c r="AA999" s="87"/>
      <c r="AB999" s="88"/>
      <c r="AD999" s="77"/>
      <c r="AF999" s="54" t="str" cm="1">
        <f t="array" aca="1" ref="AF999" ca="1">IF(H999=0,"",HYPERLINK("#"&amp;RIGHT(CELL("adresse",OFFSET('DM01-AV-CH'!$G$6,H999-1,0)),LEN(CELL("adresse",OFFSET('DM01-AV-CH'!$G$6,H999-1,0)))-FIND("]",CELL("adresse",OFFSET('DM01-AV-CH'!$G$6,H999-1,0)))),"Modell"))</f>
        <v>Modell</v>
      </c>
      <c r="AG999" s="72" t="str" cm="1">
        <f t="array" ref="AG999">IF($H999=0,"",IF(INDEX('DM01-AV-CH'!G$6:G$834,$H999)="","",INDEX('DM01-AV-CH'!G$6:G$834,$H999)))</f>
        <v>Rohrleitungen</v>
      </c>
      <c r="AH999" s="73" t="str" cm="1">
        <f t="array" ref="AH999">IF($H999=0,"",IF(INDEX('DM01-AV-CH'!H$6:H$834,$H999)="","",INDEX('DM01-AV-CH'!H$6:H$834,$H999)))</f>
        <v>Signalpunkt</v>
      </c>
      <c r="AI999" s="74" t="str" cm="1">
        <f t="array" ref="AI999">IF($H999=0,"",IF(INDEX('DM01-AV-CH'!I$6:I$834,$H999)="","",INDEX('DM01-AV-CH'!I$6:I$834,$H999)))</f>
        <v>Betreiber</v>
      </c>
    </row>
    <row r="1000" spans="1:35" x14ac:dyDescent="0.25">
      <c r="A1000" s="57">
        <v>995</v>
      </c>
      <c r="B1000" s="57">
        <f>IF($A1000="","",IF(_xlfn.XLOOKUP($A1000,Korrelation!$D$4:$D$1197,Korrelation!E$4:E$1197,"-",0)="-",0,MATCH(_xlfn.XLOOKUP($A1000,Korrelation!$D$4:$D$1197,Korrelation!E$4:E$1197,"",0),DMAV_Modell!$G$6:$G$677,0)))</f>
        <v>579</v>
      </c>
      <c r="C1000" s="57">
        <f>IF($A1000="","",IF(_xlfn.XLOOKUP($A1000,Korrelation!$D$4:$D$1197,Korrelation!F$4:F$1197,"-",0)="-",0,MATCH(_xlfn.XLOOKUP($A1000,Korrelation!$D$4:$D$1197,Korrelation!F$4:F$1197,"",0),DMAV_Modell!$G$6:$G$677,0)))</f>
        <v>0</v>
      </c>
      <c r="D1000" s="57">
        <f>IF($A1000="","",IF(_xlfn.XLOOKUP($A1000,Korrelation!$D$4:$D$1197,Korrelation!G$4:G$1197,"-",0)="-",0,MATCH(_xlfn.XLOOKUP($A1000,Korrelation!$D$4:$D$1197,Korrelation!G$4:G$1197,"",0),DMAV_Modell!$G$6:$G$677,0)))</f>
        <v>0</v>
      </c>
      <c r="E1000" s="57">
        <f>IF($A1000="","",IF(_xlfn.XLOOKUP($A1000,Korrelation!$D$4:$D$1197,Korrelation!H$4:H$1197,"-",0)="-",0,MATCH(_xlfn.XLOOKUP($A1000,Korrelation!$D$4:$D$1197,Korrelation!H$4:H$1197,"",0),DMAV_Dienste!$F$6:$F$140,0)))</f>
        <v>0</v>
      </c>
      <c r="F1000" s="57">
        <f>IF($A1000="","",IF(_xlfn.XLOOKUP($A1000,Korrelation!$D$4:$D$1197,Korrelation!I$4:I$1197,"-",0)="-",0,MATCH(_xlfn.XLOOKUP($A1000,Korrelation!$D$4:$D$1197,Korrelation!I$4:I$1197,"",0),DMAV_Dienste!$F$6:$F$140,0)))</f>
        <v>0</v>
      </c>
      <c r="G1000" s="57">
        <f>IF($A1000="","",IF(_xlfn.XLOOKUP($A1000,Korrelation!$D$4:$D$1197,Korrelation!J$4:J$1197,"-",0)="-",0,MATCH(_xlfn.XLOOKUP($A1000,Korrelation!$D$4:$D$1197,Korrelation!J$4:J$1197,"",0),DMAV_Dienste!$F$6:$F$140,0)))</f>
        <v>0</v>
      </c>
      <c r="H1000" s="57">
        <f>IF($A1000="","",IF(_xlfn.XLOOKUP($A1000,Korrelation!$D$4:$D$1197,Korrelation!K$4:K$1197,"-",0)="-",0,MATCH(_xlfn.XLOOKUP($A1000,Korrelation!$D$4:$D$1197,Korrelation!K$4:K$1197,"",0),'DM01-AV-CH'!$A$6:$A$834,0)))</f>
        <v>529</v>
      </c>
      <c r="J1000" s="54" t="str" cm="1">
        <f t="array" aca="1" ref="J1000" ca="1">IF(B1000=0,IF(E1000=0,"",HYPERLINK("#"&amp;RIGHT(CELL("adresse",OFFSET(DMAV_Dienste!$M$6,E1000-1,0)),LEN(CELL("adresse",OFFSET(DMAV_Dienste!$M$6,E1000-1,0)))-FIND("]",CELL("adresse",OFFSET(DMAV_Dienste!$M$6,E1000-1,0)))),"Dienst")),HYPERLINK("#"&amp;RIGHT(CELL("adresse",OFFSET(DMAV_Modell!$N$6,B1000-1,0)),LEN(CELL("adresse",OFFSET(DMAV_Modell!$N$6,B1000-1,0)))-FIND("]",CELL("adresse",OFFSET(DMAV_Modell!$N$6,B1000-1,0)))),"Modell"))</f>
        <v>Modell</v>
      </c>
      <c r="K1000" s="61" t="str" cm="1">
        <f t="array" ref="K1000">IF($B1000=0,IF($E1000=0,"",IF(INDEX(DMAV_Dienste!P$6:P$140,$E1000)="","",INDEX(DMAV_Dienste!P$6:P$140,$E1000))),IF(INDEX(DMAV_Modell!Q$6:Q$838,$B1000)="","",INDEX(DMAV_Modell!Q$6:Q$838,$B1000)))</f>
        <v>CLASS</v>
      </c>
      <c r="L1000" s="62" t="str" cm="1">
        <f t="array" ref="L1000">IF($B1000=0,IF($E1000=0,"",IF(INDEX(DMAV_Dienste!O$6:O$140,$E1000)="","",INDEX(DMAV_Dienste!O$6:O$140,$E1000))),IF(INDEX(DMAV_Modell!P$6:P$838,$B1000)="","",INDEX(DMAV_Modell!P$6:P$838,$B1000)))</f>
        <v>Rohrleitungen</v>
      </c>
      <c r="M1000" s="62" t="str" cm="1">
        <f t="array" ref="M1000">IF($B1000=0,IF($E1000=0,"",IF(INDEX(DMAV_Dienste!Q$6:Q$140,$E1000)="","",INDEX(DMAV_Dienste!Q$6:Q$140,$E1000))),IF(INDEX(DMAV_Modell!R$6:R$838,$B1000)="","",INDEX(DMAV_Modell!R$6:R$838,$B1000)))</f>
        <v>Signal</v>
      </c>
      <c r="N1000" s="62" t="str" cm="1">
        <f t="array" ref="N1000">IF($B1000=0,IF($E1000=0,"",IF(INDEX(DMAV_Dienste!T$6:T$140,$E1000)="","",INDEX(DMAV_Dienste!T$6:T$140,$E1000))),IF(INDEX(DMAV_Modell!U$6:U$838,$B1000)="","",INDEX(DMAV_Modell!U$6:U$838,$B1000)))</f>
        <v>Geometrie</v>
      </c>
      <c r="O1000" s="63" t="str" cm="1">
        <f t="array" aca="1" ref="O1000" ca="1">IF(C1000=0,IF(F1000=0,"",HYPERLINK("#"&amp;RIGHT(CELL("adresse",OFFSET(DMAV_Dienste!$M$6,F1000-1,0)),LEN(CELL("adresse",OFFSET(DMAV_Dienste!$M$6,F1000-1,0)))-FIND("]",CELL("adresse",OFFSET(DMAV_Dienste!$M$6,F1000-1,0)))),"Structure")),HYPERLINK("#"&amp;RIGHT(CELL("adresse",OFFSET(DMAV_Modell!$N$6,C1000-1,0)),LEN(CELL("adresse",OFFSET(DMAV_Modell!$N$6,C1000-1,0)))-FIND("]",CELL("adresse",OFFSET(DMAV_Modell!$N$6,C1000-1,0)))),"Structure"))</f>
        <v/>
      </c>
      <c r="P1000" s="64" t="str" cm="1">
        <f t="array" aca="1" ref="P1000" ca="1">IF(D1000=0,IF(G1000=0,"",HYPERLINK("#"&amp;RIGHT(CELL("adresse",OFFSET(DMAV_Dienste!$M$6,G1000-1,0)),LEN(CELL("adresse",OFFSET(DMAV_Dienste!$M$6,G1000-1,0)))-FIND("]",CELL("adresse",OFFSET(DMAV_Dienste!$M$6,G1000-1,0)))),"Substructure")),HYPERLINK("#"&amp;RIGHT(CELL("adresse",OFFSET(DMAV_Modell!$N$6,D1000-1,0)),LEN(CELL("adresse",OFFSET(DMAV_Modell!$N$6,D1000-1,0)))-FIND("]",CELL("adresse",OFFSET(DMAV_Modell!$N$6,D1000-1,0)))),"Substructure"))</f>
        <v/>
      </c>
      <c r="R1000" s="80"/>
      <c r="T1000" s="93"/>
      <c r="U1000" s="94"/>
      <c r="V1000" s="95"/>
      <c r="W1000" s="96"/>
      <c r="Y1000" s="85" t="s">
        <v>3236</v>
      </c>
      <c r="Z1000" s="86"/>
      <c r="AA1000" s="87"/>
      <c r="AB1000" s="88"/>
      <c r="AD1000" s="77"/>
      <c r="AF1000" s="54" t="str" cm="1">
        <f t="array" aca="1" ref="AF1000" ca="1">IF(H1000=0,"",HYPERLINK("#"&amp;RIGHT(CELL("adresse",OFFSET('DM01-AV-CH'!$G$6,H1000-1,0)),LEN(CELL("adresse",OFFSET('DM01-AV-CH'!$G$6,H1000-1,0)))-FIND("]",CELL("adresse",OFFSET('DM01-AV-CH'!$G$6,H1000-1,0)))),"Modell"))</f>
        <v>Modell</v>
      </c>
      <c r="AG1000" s="72" t="str" cm="1">
        <f t="array" ref="AG1000">IF($H1000=0,"",IF(INDEX('DM01-AV-CH'!G$6:G$834,$H1000)="","",INDEX('DM01-AV-CH'!G$6:G$834,$H1000)))</f>
        <v>Rohrleitungen</v>
      </c>
      <c r="AH1000" s="73" t="str" cm="1">
        <f t="array" ref="AH1000">IF($H1000=0,"",IF(INDEX('DM01-AV-CH'!H$6:H$834,$H1000)="","",INDEX('DM01-AV-CH'!H$6:H$834,$H1000)))</f>
        <v>Signalpunkt</v>
      </c>
      <c r="AI1000" s="74" t="str" cm="1">
        <f t="array" ref="AI1000">IF($H1000=0,"",IF(INDEX('DM01-AV-CH'!I$6:I$834,$H1000)="","",INDEX('DM01-AV-CH'!I$6:I$834,$H1000)))</f>
        <v>Geometrie</v>
      </c>
    </row>
    <row r="1001" spans="1:35" x14ac:dyDescent="0.25">
      <c r="A1001" s="57">
        <v>996</v>
      </c>
      <c r="B1001" s="57">
        <f>IF($A1001="","",IF(_xlfn.XLOOKUP($A1001,Korrelation!$D$4:$D$1197,Korrelation!E$4:E$1197,"-",0)="-",0,MATCH(_xlfn.XLOOKUP($A1001,Korrelation!$D$4:$D$1197,Korrelation!E$4:E$1197,"",0),DMAV_Modell!$G$6:$G$677,0)))</f>
        <v>580</v>
      </c>
      <c r="C1001" s="57">
        <f>IF($A1001="","",IF(_xlfn.XLOOKUP($A1001,Korrelation!$D$4:$D$1197,Korrelation!F$4:F$1197,"-",0)="-",0,MATCH(_xlfn.XLOOKUP($A1001,Korrelation!$D$4:$D$1197,Korrelation!F$4:F$1197,"",0),DMAV_Modell!$G$6:$G$677,0)))</f>
        <v>0</v>
      </c>
      <c r="D1001" s="57">
        <f>IF($A1001="","",IF(_xlfn.XLOOKUP($A1001,Korrelation!$D$4:$D$1197,Korrelation!G$4:G$1197,"-",0)="-",0,MATCH(_xlfn.XLOOKUP($A1001,Korrelation!$D$4:$D$1197,Korrelation!G$4:G$1197,"",0),DMAV_Modell!$G$6:$G$677,0)))</f>
        <v>0</v>
      </c>
      <c r="E1001" s="57">
        <f>IF($A1001="","",IF(_xlfn.XLOOKUP($A1001,Korrelation!$D$4:$D$1197,Korrelation!H$4:H$1197,"-",0)="-",0,MATCH(_xlfn.XLOOKUP($A1001,Korrelation!$D$4:$D$1197,Korrelation!H$4:H$1197,"",0),DMAV_Dienste!$F$6:$F$140,0)))</f>
        <v>0</v>
      </c>
      <c r="F1001" s="57">
        <f>IF($A1001="","",IF(_xlfn.XLOOKUP($A1001,Korrelation!$D$4:$D$1197,Korrelation!I$4:I$1197,"-",0)="-",0,MATCH(_xlfn.XLOOKUP($A1001,Korrelation!$D$4:$D$1197,Korrelation!I$4:I$1197,"",0),DMAV_Dienste!$F$6:$F$140,0)))</f>
        <v>0</v>
      </c>
      <c r="G1001" s="57">
        <f>IF($A1001="","",IF(_xlfn.XLOOKUP($A1001,Korrelation!$D$4:$D$1197,Korrelation!J$4:J$1197,"-",0)="-",0,MATCH(_xlfn.XLOOKUP($A1001,Korrelation!$D$4:$D$1197,Korrelation!J$4:J$1197,"",0),DMAV_Dienste!$F$6:$F$140,0)))</f>
        <v>0</v>
      </c>
      <c r="H1001" s="57">
        <f>IF($A1001="","",IF(_xlfn.XLOOKUP($A1001,Korrelation!$D$4:$D$1197,Korrelation!K$4:K$1197,"-",0)="-",0,MATCH(_xlfn.XLOOKUP($A1001,Korrelation!$D$4:$D$1197,Korrelation!K$4:K$1197,"",0),'DM01-AV-CH'!$A$6:$A$834,0)))</f>
        <v>530</v>
      </c>
      <c r="J1001" s="54" t="str" cm="1">
        <f t="array" aca="1" ref="J1001" ca="1">IF(B1001=0,IF(E1001=0,"",HYPERLINK("#"&amp;RIGHT(CELL("adresse",OFFSET(DMAV_Dienste!$M$6,E1001-1,0)),LEN(CELL("adresse",OFFSET(DMAV_Dienste!$M$6,E1001-1,0)))-FIND("]",CELL("adresse",OFFSET(DMAV_Dienste!$M$6,E1001-1,0)))),"Dienst")),HYPERLINK("#"&amp;RIGHT(CELL("adresse",OFFSET(DMAV_Modell!$N$6,B1001-1,0)),LEN(CELL("adresse",OFFSET(DMAV_Modell!$N$6,B1001-1,0)))-FIND("]",CELL("adresse",OFFSET(DMAV_Modell!$N$6,B1001-1,0)))),"Modell"))</f>
        <v>Modell</v>
      </c>
      <c r="K1001" s="61" t="str" cm="1">
        <f t="array" ref="K1001">IF($B1001=0,IF($E1001=0,"",IF(INDEX(DMAV_Dienste!P$6:P$140,$E1001)="","",INDEX(DMAV_Dienste!P$6:P$140,$E1001))),IF(INDEX(DMAV_Modell!Q$6:Q$838,$B1001)="","",INDEX(DMAV_Modell!Q$6:Q$838,$B1001)))</f>
        <v>CLASS</v>
      </c>
      <c r="L1001" s="62" t="str" cm="1">
        <f t="array" ref="L1001">IF($B1001=0,IF($E1001=0,"",IF(INDEX(DMAV_Dienste!O$6:O$140,$E1001)="","",INDEX(DMAV_Dienste!O$6:O$140,$E1001))),IF(INDEX(DMAV_Modell!P$6:P$838,$B1001)="","",INDEX(DMAV_Modell!P$6:P$838,$B1001)))</f>
        <v>Rohrleitungen</v>
      </c>
      <c r="M1001" s="62" t="str" cm="1">
        <f t="array" ref="M1001">IF($B1001=0,IF($E1001=0,"",IF(INDEX(DMAV_Dienste!Q$6:Q$140,$E1001)="","",INDEX(DMAV_Dienste!Q$6:Q$140,$E1001))),IF(INDEX(DMAV_Modell!R$6:R$838,$B1001)="","",INDEX(DMAV_Modell!R$6:R$838,$B1001)))</f>
        <v>Signal</v>
      </c>
      <c r="N1001" s="62" t="str" cm="1">
        <f t="array" ref="N1001">IF($B1001=0,IF($E1001=0,"",IF(INDEX(DMAV_Dienste!T$6:T$140,$E1001)="","",INDEX(DMAV_Dienste!T$6:T$140,$E1001))),IF(INDEX(DMAV_Modell!U$6:U$838,$B1001)="","",INDEX(DMAV_Modell!U$6:U$838,$B1001)))</f>
        <v>Qualitaetsstandard</v>
      </c>
      <c r="O1001" s="63" t="str" cm="1">
        <f t="array" aca="1" ref="O1001" ca="1">IF(C1001=0,IF(F1001=0,"",HYPERLINK("#"&amp;RIGHT(CELL("adresse",OFFSET(DMAV_Dienste!$M$6,F1001-1,0)),LEN(CELL("adresse",OFFSET(DMAV_Dienste!$M$6,F1001-1,0)))-FIND("]",CELL("adresse",OFFSET(DMAV_Dienste!$M$6,F1001-1,0)))),"Structure")),HYPERLINK("#"&amp;RIGHT(CELL("adresse",OFFSET(DMAV_Modell!$N$6,C1001-1,0)),LEN(CELL("adresse",OFFSET(DMAV_Modell!$N$6,C1001-1,0)))-FIND("]",CELL("adresse",OFFSET(DMAV_Modell!$N$6,C1001-1,0)))),"Structure"))</f>
        <v/>
      </c>
      <c r="P1001" s="64" t="str" cm="1">
        <f t="array" aca="1" ref="P1001" ca="1">IF(D1001=0,IF(G1001=0,"",HYPERLINK("#"&amp;RIGHT(CELL("adresse",OFFSET(DMAV_Dienste!$M$6,G1001-1,0)),LEN(CELL("adresse",OFFSET(DMAV_Dienste!$M$6,G1001-1,0)))-FIND("]",CELL("adresse",OFFSET(DMAV_Dienste!$M$6,G1001-1,0)))),"Substructure")),HYPERLINK("#"&amp;RIGHT(CELL("adresse",OFFSET(DMAV_Modell!$N$6,D1001-1,0)),LEN(CELL("adresse",OFFSET(DMAV_Modell!$N$6,D1001-1,0)))-FIND("]",CELL("adresse",OFFSET(DMAV_Modell!$N$6,D1001-1,0)))),"Substructure"))</f>
        <v/>
      </c>
      <c r="R1001" s="80"/>
      <c r="T1001" s="93"/>
      <c r="U1001" s="94"/>
      <c r="V1001" s="95"/>
      <c r="W1001" s="96"/>
      <c r="Y1001" s="85" t="s">
        <v>3236</v>
      </c>
      <c r="Z1001" s="86"/>
      <c r="AA1001" s="87"/>
      <c r="AB1001" s="88"/>
      <c r="AD1001" s="77"/>
      <c r="AF1001" s="54" t="str" cm="1">
        <f t="array" aca="1" ref="AF1001" ca="1">IF(H1001=0,"",HYPERLINK("#"&amp;RIGHT(CELL("adresse",OFFSET('DM01-AV-CH'!$G$6,H1001-1,0)),LEN(CELL("adresse",OFFSET('DM01-AV-CH'!$G$6,H1001-1,0)))-FIND("]",CELL("adresse",OFFSET('DM01-AV-CH'!$G$6,H1001-1,0)))),"Modell"))</f>
        <v>Modell</v>
      </c>
      <c r="AG1001" s="72" t="str" cm="1">
        <f t="array" ref="AG1001">IF($H1001=0,"",IF(INDEX('DM01-AV-CH'!G$6:G$834,$H1001)="","",INDEX('DM01-AV-CH'!G$6:G$834,$H1001)))</f>
        <v>Rohrleitungen</v>
      </c>
      <c r="AH1001" s="73" t="str" cm="1">
        <f t="array" ref="AH1001">IF($H1001=0,"",IF(INDEX('DM01-AV-CH'!H$6:H$834,$H1001)="","",INDEX('DM01-AV-CH'!H$6:H$834,$H1001)))</f>
        <v>Signalpunkt</v>
      </c>
      <c r="AI1001" s="74" t="str" cm="1">
        <f t="array" ref="AI1001">IF($H1001=0,"",IF(INDEX('DM01-AV-CH'!I$6:I$834,$H1001)="","",INDEX('DM01-AV-CH'!I$6:I$834,$H1001)))</f>
        <v>Qualitaet</v>
      </c>
    </row>
    <row r="1002" spans="1:35" x14ac:dyDescent="0.25">
      <c r="A1002" s="57">
        <v>997</v>
      </c>
      <c r="B1002" s="57">
        <f>IF($A1002="","",IF(_xlfn.XLOOKUP($A1002,Korrelation!$D$4:$D$1197,Korrelation!E$4:E$1197,"-",0)="-",0,MATCH(_xlfn.XLOOKUP($A1002,Korrelation!$D$4:$D$1197,Korrelation!E$4:E$1197,"",0),DMAV_Modell!$G$6:$G$677,0)))</f>
        <v>581</v>
      </c>
      <c r="C1002" s="57">
        <f>IF($A1002="","",IF(_xlfn.XLOOKUP($A1002,Korrelation!$D$4:$D$1197,Korrelation!F$4:F$1197,"-",0)="-",0,MATCH(_xlfn.XLOOKUP($A1002,Korrelation!$D$4:$D$1197,Korrelation!F$4:F$1197,"",0),DMAV_Modell!$G$6:$G$677,0)))</f>
        <v>0</v>
      </c>
      <c r="D1002" s="57">
        <f>IF($A1002="","",IF(_xlfn.XLOOKUP($A1002,Korrelation!$D$4:$D$1197,Korrelation!G$4:G$1197,"-",0)="-",0,MATCH(_xlfn.XLOOKUP($A1002,Korrelation!$D$4:$D$1197,Korrelation!G$4:G$1197,"",0),DMAV_Modell!$G$6:$G$677,0)))</f>
        <v>0</v>
      </c>
      <c r="E1002" s="57">
        <f>IF($A1002="","",IF(_xlfn.XLOOKUP($A1002,Korrelation!$D$4:$D$1197,Korrelation!H$4:H$1197,"-",0)="-",0,MATCH(_xlfn.XLOOKUP($A1002,Korrelation!$D$4:$D$1197,Korrelation!H$4:H$1197,"",0),DMAV_Dienste!$F$6:$F$140,0)))</f>
        <v>0</v>
      </c>
      <c r="F1002" s="57">
        <f>IF($A1002="","",IF(_xlfn.XLOOKUP($A1002,Korrelation!$D$4:$D$1197,Korrelation!I$4:I$1197,"-",0)="-",0,MATCH(_xlfn.XLOOKUP($A1002,Korrelation!$D$4:$D$1197,Korrelation!I$4:I$1197,"",0),DMAV_Dienste!$F$6:$F$140,0)))</f>
        <v>0</v>
      </c>
      <c r="G1002" s="57">
        <f>IF($A1002="","",IF(_xlfn.XLOOKUP($A1002,Korrelation!$D$4:$D$1197,Korrelation!J$4:J$1197,"-",0)="-",0,MATCH(_xlfn.XLOOKUP($A1002,Korrelation!$D$4:$D$1197,Korrelation!J$4:J$1197,"",0),DMAV_Dienste!$F$6:$F$140,0)))</f>
        <v>0</v>
      </c>
      <c r="H1002" s="57">
        <f>IF($A1002="","",IF(_xlfn.XLOOKUP($A1002,Korrelation!$D$4:$D$1197,Korrelation!K$4:K$1197,"-",0)="-",0,MATCH(_xlfn.XLOOKUP($A1002,Korrelation!$D$4:$D$1197,Korrelation!K$4:K$1197,"",0),'DM01-AV-CH'!$A$6:$A$834,0)))</f>
        <v>531</v>
      </c>
      <c r="J1002" s="54" t="str" cm="1">
        <f t="array" aca="1" ref="J1002" ca="1">IF(B1002=0,IF(E1002=0,"",HYPERLINK("#"&amp;RIGHT(CELL("adresse",OFFSET(DMAV_Dienste!$M$6,E1002-1,0)),LEN(CELL("adresse",OFFSET(DMAV_Dienste!$M$6,E1002-1,0)))-FIND("]",CELL("adresse",OFFSET(DMAV_Dienste!$M$6,E1002-1,0)))),"Dienst")),HYPERLINK("#"&amp;RIGHT(CELL("adresse",OFFSET(DMAV_Modell!$N$6,B1002-1,0)),LEN(CELL("adresse",OFFSET(DMAV_Modell!$N$6,B1002-1,0)))-FIND("]",CELL("adresse",OFFSET(DMAV_Modell!$N$6,B1002-1,0)))),"Modell"))</f>
        <v>Modell</v>
      </c>
      <c r="K1002" s="61" t="str" cm="1">
        <f t="array" ref="K1002">IF($B1002=0,IF($E1002=0,"",IF(INDEX(DMAV_Dienste!P$6:P$140,$E1002)="","",INDEX(DMAV_Dienste!P$6:P$140,$E1002))),IF(INDEX(DMAV_Modell!Q$6:Q$838,$B1002)="","",INDEX(DMAV_Modell!Q$6:Q$838,$B1002)))</f>
        <v>CLASS</v>
      </c>
      <c r="L1002" s="62" t="str" cm="1">
        <f t="array" ref="L1002">IF($B1002=0,IF($E1002=0,"",IF(INDEX(DMAV_Dienste!O$6:O$140,$E1002)="","",INDEX(DMAV_Dienste!O$6:O$140,$E1002))),IF(INDEX(DMAV_Modell!P$6:P$838,$B1002)="","",INDEX(DMAV_Modell!P$6:P$838,$B1002)))</f>
        <v>Rohrleitungen</v>
      </c>
      <c r="M1002" s="62" t="str" cm="1">
        <f t="array" ref="M1002">IF($B1002=0,IF($E1002=0,"",IF(INDEX(DMAV_Dienste!Q$6:Q$140,$E1002)="","",INDEX(DMAV_Dienste!Q$6:Q$140,$E1002))),IF(INDEX(DMAV_Modell!R$6:R$838,$B1002)="","",INDEX(DMAV_Modell!R$6:R$838,$B1002)))</f>
        <v>Signal</v>
      </c>
      <c r="N1002" s="62" t="str" cm="1">
        <f t="array" ref="N1002">IF($B1002=0,IF($E1002=0,"",IF(INDEX(DMAV_Dienste!T$6:T$140,$E1002)="","",INDEX(DMAV_Dienste!T$6:T$140,$E1002))),IF(INDEX(DMAV_Modell!U$6:U$838,$B1002)="","",INDEX(DMAV_Modell!U$6:U$838,$B1002)))</f>
        <v>Medium</v>
      </c>
      <c r="O1002" s="63" t="str" cm="1">
        <f t="array" aca="1" ref="O1002" ca="1">IF(C1002=0,IF(F1002=0,"",HYPERLINK("#"&amp;RIGHT(CELL("adresse",OFFSET(DMAV_Dienste!$M$6,F1002-1,0)),LEN(CELL("adresse",OFFSET(DMAV_Dienste!$M$6,F1002-1,0)))-FIND("]",CELL("adresse",OFFSET(DMAV_Dienste!$M$6,F1002-1,0)))),"Structure")),HYPERLINK("#"&amp;RIGHT(CELL("adresse",OFFSET(DMAV_Modell!$N$6,C1002-1,0)),LEN(CELL("adresse",OFFSET(DMAV_Modell!$N$6,C1002-1,0)))-FIND("]",CELL("adresse",OFFSET(DMAV_Modell!$N$6,C1002-1,0)))),"Structure"))</f>
        <v/>
      </c>
      <c r="P1002" s="64" t="str" cm="1">
        <f t="array" aca="1" ref="P1002" ca="1">IF(D1002=0,IF(G1002=0,"",HYPERLINK("#"&amp;RIGHT(CELL("adresse",OFFSET(DMAV_Dienste!$M$6,G1002-1,0)),LEN(CELL("adresse",OFFSET(DMAV_Dienste!$M$6,G1002-1,0)))-FIND("]",CELL("adresse",OFFSET(DMAV_Dienste!$M$6,G1002-1,0)))),"Substructure")),HYPERLINK("#"&amp;RIGHT(CELL("adresse",OFFSET(DMAV_Modell!$N$6,D1002-1,0)),LEN(CELL("adresse",OFFSET(DMAV_Modell!$N$6,D1002-1,0)))-FIND("]",CELL("adresse",OFFSET(DMAV_Modell!$N$6,D1002-1,0)))),"Substructure"))</f>
        <v/>
      </c>
      <c r="R1002" s="80"/>
      <c r="T1002" s="93"/>
      <c r="U1002" s="94"/>
      <c r="V1002" s="95"/>
      <c r="W1002" s="96"/>
      <c r="Y1002" s="85" t="s">
        <v>3236</v>
      </c>
      <c r="Z1002" s="86"/>
      <c r="AA1002" s="87"/>
      <c r="AB1002" s="88"/>
      <c r="AD1002" s="77"/>
      <c r="AF1002" s="54" t="str" cm="1">
        <f t="array" aca="1" ref="AF1002" ca="1">IF(H1002=0,"",HYPERLINK("#"&amp;RIGHT(CELL("adresse",OFFSET('DM01-AV-CH'!$G$6,H1002-1,0)),LEN(CELL("adresse",OFFSET('DM01-AV-CH'!$G$6,H1002-1,0)))-FIND("]",CELL("adresse",OFFSET('DM01-AV-CH'!$G$6,H1002-1,0)))),"Modell"))</f>
        <v>Modell</v>
      </c>
      <c r="AG1002" s="72" t="str" cm="1">
        <f t="array" ref="AG1002">IF($H1002=0,"",IF(INDEX('DM01-AV-CH'!G$6:G$834,$H1002)="","",INDEX('DM01-AV-CH'!G$6:G$834,$H1002)))</f>
        <v>Rohrleitungen</v>
      </c>
      <c r="AH1002" s="73" t="str" cm="1">
        <f t="array" ref="AH1002">IF($H1002=0,"",IF(INDEX('DM01-AV-CH'!H$6:H$834,$H1002)="","",INDEX('DM01-AV-CH'!H$6:H$834,$H1002)))</f>
        <v>Signalpunkt</v>
      </c>
      <c r="AI1002" s="74" t="str" cm="1">
        <f t="array" ref="AI1002">IF($H1002=0,"",IF(INDEX('DM01-AV-CH'!I$6:I$834,$H1002)="","",INDEX('DM01-AV-CH'!I$6:I$834,$H1002)))</f>
        <v>Art</v>
      </c>
    </row>
    <row r="1003" spans="1:35" x14ac:dyDescent="0.25">
      <c r="A1003" s="57">
        <v>998</v>
      </c>
      <c r="B1003" s="57">
        <f>IF($A1003="","",IF(_xlfn.XLOOKUP($A1003,Korrelation!$D$4:$D$1197,Korrelation!E$4:E$1197,"-",0)="-",0,MATCH(_xlfn.XLOOKUP($A1003,Korrelation!$D$4:$D$1197,Korrelation!E$4:E$1197,"",0),DMAV_Modell!$G$6:$G$677,0)))</f>
        <v>582</v>
      </c>
      <c r="C1003" s="57">
        <f>IF($A1003="","",IF(_xlfn.XLOOKUP($A1003,Korrelation!$D$4:$D$1197,Korrelation!F$4:F$1197,"-",0)="-",0,MATCH(_xlfn.XLOOKUP($A1003,Korrelation!$D$4:$D$1197,Korrelation!F$4:F$1197,"",0),DMAV_Modell!$G$6:$G$677,0)))</f>
        <v>0</v>
      </c>
      <c r="D1003" s="57">
        <f>IF($A1003="","",IF(_xlfn.XLOOKUP($A1003,Korrelation!$D$4:$D$1197,Korrelation!G$4:G$1197,"-",0)="-",0,MATCH(_xlfn.XLOOKUP($A1003,Korrelation!$D$4:$D$1197,Korrelation!G$4:G$1197,"",0),DMAV_Modell!$G$6:$G$677,0)))</f>
        <v>0</v>
      </c>
      <c r="E1003" s="57">
        <f>IF($A1003="","",IF(_xlfn.XLOOKUP($A1003,Korrelation!$D$4:$D$1197,Korrelation!H$4:H$1197,"-",0)="-",0,MATCH(_xlfn.XLOOKUP($A1003,Korrelation!$D$4:$D$1197,Korrelation!H$4:H$1197,"",0),DMAV_Dienste!$F$6:$F$140,0)))</f>
        <v>0</v>
      </c>
      <c r="F1003" s="57">
        <f>IF($A1003="","",IF(_xlfn.XLOOKUP($A1003,Korrelation!$D$4:$D$1197,Korrelation!I$4:I$1197,"-",0)="-",0,MATCH(_xlfn.XLOOKUP($A1003,Korrelation!$D$4:$D$1197,Korrelation!I$4:I$1197,"",0),DMAV_Dienste!$F$6:$F$140,0)))</f>
        <v>0</v>
      </c>
      <c r="G1003" s="57">
        <f>IF($A1003="","",IF(_xlfn.XLOOKUP($A1003,Korrelation!$D$4:$D$1197,Korrelation!J$4:J$1197,"-",0)="-",0,MATCH(_xlfn.XLOOKUP($A1003,Korrelation!$D$4:$D$1197,Korrelation!J$4:J$1197,"",0),DMAV_Dienste!$F$6:$F$140,0)))</f>
        <v>0</v>
      </c>
      <c r="H1003" s="57">
        <f>IF($A1003="","",IF(_xlfn.XLOOKUP($A1003,Korrelation!$D$4:$D$1197,Korrelation!K$4:K$1197,"-",0)="-",0,MATCH(_xlfn.XLOOKUP($A1003,Korrelation!$D$4:$D$1197,Korrelation!K$4:K$1197,"",0),'DM01-AV-CH'!$A$6:$A$834,0)))</f>
        <v>0</v>
      </c>
      <c r="J1003" s="54" t="str" cm="1">
        <f t="array" aca="1" ref="J1003" ca="1">IF(B1003=0,IF(E1003=0,"",HYPERLINK("#"&amp;RIGHT(CELL("adresse",OFFSET(DMAV_Dienste!$M$6,E1003-1,0)),LEN(CELL("adresse",OFFSET(DMAV_Dienste!$M$6,E1003-1,0)))-FIND("]",CELL("adresse",OFFSET(DMAV_Dienste!$M$6,E1003-1,0)))),"Dienst")),HYPERLINK("#"&amp;RIGHT(CELL("adresse",OFFSET(DMAV_Modell!$N$6,B1003-1,0)),LEN(CELL("adresse",OFFSET(DMAV_Modell!$N$6,B1003-1,0)))-FIND("]",CELL("adresse",OFFSET(DMAV_Modell!$N$6,B1003-1,0)))),"Modell"))</f>
        <v>Modell</v>
      </c>
      <c r="K1003" s="61" t="str" cm="1">
        <f t="array" ref="K1003">IF($B1003=0,IF($E1003=0,"",IF(INDEX(DMAV_Dienste!P$6:P$140,$E1003)="","",INDEX(DMAV_Dienste!P$6:P$140,$E1003))),IF(INDEX(DMAV_Modell!Q$6:Q$838,$B1003)="","",INDEX(DMAV_Modell!Q$6:Q$838,$B1003)))</f>
        <v>CLASS</v>
      </c>
      <c r="L1003" s="62" t="str" cm="1">
        <f t="array" ref="L1003">IF($B1003=0,IF($E1003=0,"",IF(INDEX(DMAV_Dienste!O$6:O$140,$E1003)="","",INDEX(DMAV_Dienste!O$6:O$140,$E1003))),IF(INDEX(DMAV_Modell!P$6:P$838,$B1003)="","",INDEX(DMAV_Modell!P$6:P$838,$B1003)))</f>
        <v>Rohrleitungen</v>
      </c>
      <c r="M1003" s="62" t="str" cm="1">
        <f t="array" ref="M1003">IF($B1003=0,IF($E1003=0,"",IF(INDEX(DMAV_Dienste!Q$6:Q$140,$E1003)="","",INDEX(DMAV_Dienste!Q$6:Q$140,$E1003))),IF(INDEX(DMAV_Modell!R$6:R$838,$B1003)="","",INDEX(DMAV_Modell!R$6:R$838,$B1003)))</f>
        <v>Signal</v>
      </c>
      <c r="N1003" s="62" t="str" cm="1">
        <f t="array" ref="N1003">IF($B1003=0,IF($E1003=0,"",IF(INDEX(DMAV_Dienste!T$6:T$140,$E1003)="","",INDEX(DMAV_Dienste!T$6:T$140,$E1003))),IF(INDEX(DMAV_Modell!U$6:U$838,$B1003)="","",INDEX(DMAV_Modell!U$6:U$838,$B1003)))</f>
        <v>Objektstatus</v>
      </c>
      <c r="O1003" s="63" t="str" cm="1">
        <f t="array" aca="1" ref="O1003" ca="1">IF(C1003=0,IF(F1003=0,"",HYPERLINK("#"&amp;RIGHT(CELL("adresse",OFFSET(DMAV_Dienste!$M$6,F1003-1,0)),LEN(CELL("adresse",OFFSET(DMAV_Dienste!$M$6,F1003-1,0)))-FIND("]",CELL("adresse",OFFSET(DMAV_Dienste!$M$6,F1003-1,0)))),"Structure")),HYPERLINK("#"&amp;RIGHT(CELL("adresse",OFFSET(DMAV_Modell!$N$6,C1003-1,0)),LEN(CELL("adresse",OFFSET(DMAV_Modell!$N$6,C1003-1,0)))-FIND("]",CELL("adresse",OFFSET(DMAV_Modell!$N$6,C1003-1,0)))),"Structure"))</f>
        <v/>
      </c>
      <c r="P1003" s="64" t="str" cm="1">
        <f t="array" aca="1" ref="P1003" ca="1">IF(D1003=0,IF(G1003=0,"",HYPERLINK("#"&amp;RIGHT(CELL("adresse",OFFSET(DMAV_Dienste!$M$6,G1003-1,0)),LEN(CELL("adresse",OFFSET(DMAV_Dienste!$M$6,G1003-1,0)))-FIND("]",CELL("adresse",OFFSET(DMAV_Dienste!$M$6,G1003-1,0)))),"Substructure")),HYPERLINK("#"&amp;RIGHT(CELL("adresse",OFFSET(DMAV_Modell!$N$6,D1003-1,0)),LEN(CELL("adresse",OFFSET(DMAV_Modell!$N$6,D1003-1,0)))-FIND("]",CELL("adresse",OFFSET(DMAV_Modell!$N$6,D1003-1,0)))),"Substructure"))</f>
        <v/>
      </c>
      <c r="R1003" s="80" t="s">
        <v>396</v>
      </c>
      <c r="T1003" s="93"/>
      <c r="U1003" s="94"/>
      <c r="V1003" s="95"/>
      <c r="W1003" s="96"/>
      <c r="Y1003" s="85"/>
      <c r="Z1003" s="86"/>
      <c r="AA1003" s="87"/>
      <c r="AB1003" s="88"/>
      <c r="AD1003" s="77"/>
      <c r="AF1003" s="54" t="str" cm="1">
        <f t="array" aca="1" ref="AF1003" ca="1">IF(H1003=0,"",HYPERLINK("#"&amp;RIGHT(CELL("adresse",OFFSET('DM01-AV-CH'!$G$6,H1003-1,0)),LEN(CELL("adresse",OFFSET('DM01-AV-CH'!$G$6,H1003-1,0)))-FIND("]",CELL("adresse",OFFSET('DM01-AV-CH'!$G$6,H1003-1,0)))),"Modell"))</f>
        <v/>
      </c>
      <c r="AG1003" s="72" t="str" cm="1">
        <f t="array" ref="AG1003">IF($H1003=0,"",IF(INDEX('DM01-AV-CH'!G$6:G$834,$H1003)="","",INDEX('DM01-AV-CH'!G$6:G$834,$H1003)))</f>
        <v/>
      </c>
      <c r="AH1003" s="73" t="str" cm="1">
        <f t="array" ref="AH1003">IF($H1003=0,"",IF(INDEX('DM01-AV-CH'!H$6:H$834,$H1003)="","",INDEX('DM01-AV-CH'!H$6:H$834,$H1003)))</f>
        <v/>
      </c>
      <c r="AI1003" s="74" t="str" cm="1">
        <f t="array" ref="AI1003">IF($H1003=0,"",IF(INDEX('DM01-AV-CH'!I$6:I$834,$H1003)="","",INDEX('DM01-AV-CH'!I$6:I$834,$H1003)))</f>
        <v/>
      </c>
    </row>
    <row r="1004" spans="1:35" x14ac:dyDescent="0.25">
      <c r="A1004" s="57">
        <v>999</v>
      </c>
      <c r="B1004" s="57">
        <f>IF($A1004="","",IF(_xlfn.XLOOKUP($A1004,Korrelation!$D$4:$D$1197,Korrelation!E$4:E$1197,"-",0)="-",0,MATCH(_xlfn.XLOOKUP($A1004,Korrelation!$D$4:$D$1197,Korrelation!E$4:E$1197,"",0),DMAV_Modell!$G$6:$G$677,0)))</f>
        <v>583</v>
      </c>
      <c r="C1004" s="57">
        <f>IF($A1004="","",IF(_xlfn.XLOOKUP($A1004,Korrelation!$D$4:$D$1197,Korrelation!F$4:F$1197,"-",0)="-",0,MATCH(_xlfn.XLOOKUP($A1004,Korrelation!$D$4:$D$1197,Korrelation!F$4:F$1197,"",0),DMAV_Modell!$G$6:$G$677,0)))</f>
        <v>0</v>
      </c>
      <c r="D1004" s="57">
        <f>IF($A1004="","",IF(_xlfn.XLOOKUP($A1004,Korrelation!$D$4:$D$1197,Korrelation!G$4:G$1197,"-",0)="-",0,MATCH(_xlfn.XLOOKUP($A1004,Korrelation!$D$4:$D$1197,Korrelation!G$4:G$1197,"",0),DMAV_Modell!$G$6:$G$677,0)))</f>
        <v>0</v>
      </c>
      <c r="E1004" s="57">
        <f>IF($A1004="","",IF(_xlfn.XLOOKUP($A1004,Korrelation!$D$4:$D$1197,Korrelation!H$4:H$1197,"-",0)="-",0,MATCH(_xlfn.XLOOKUP($A1004,Korrelation!$D$4:$D$1197,Korrelation!H$4:H$1197,"",0),DMAV_Dienste!$F$6:$F$140,0)))</f>
        <v>0</v>
      </c>
      <c r="F1004" s="57">
        <f>IF($A1004="","",IF(_xlfn.XLOOKUP($A1004,Korrelation!$D$4:$D$1197,Korrelation!I$4:I$1197,"-",0)="-",0,MATCH(_xlfn.XLOOKUP($A1004,Korrelation!$D$4:$D$1197,Korrelation!I$4:I$1197,"",0),DMAV_Dienste!$F$6:$F$140,0)))</f>
        <v>0</v>
      </c>
      <c r="G1004" s="57">
        <f>IF($A1004="","",IF(_xlfn.XLOOKUP($A1004,Korrelation!$D$4:$D$1197,Korrelation!J$4:J$1197,"-",0)="-",0,MATCH(_xlfn.XLOOKUP($A1004,Korrelation!$D$4:$D$1197,Korrelation!J$4:J$1197,"",0),DMAV_Dienste!$F$6:$F$140,0)))</f>
        <v>0</v>
      </c>
      <c r="H1004" s="57">
        <f>IF($A1004="","",IF(_xlfn.XLOOKUP($A1004,Korrelation!$D$4:$D$1197,Korrelation!K$4:K$1197,"-",0)="-",0,MATCH(_xlfn.XLOOKUP($A1004,Korrelation!$D$4:$D$1197,Korrelation!K$4:K$1197,"",0),'DM01-AV-CH'!$A$6:$A$834,0)))</f>
        <v>532</v>
      </c>
      <c r="J1004" s="54" t="str" cm="1">
        <f t="array" aca="1" ref="J1004" ca="1">IF(B1004=0,IF(E1004=0,"",HYPERLINK("#"&amp;RIGHT(CELL("adresse",OFFSET(DMAV_Dienste!$M$6,E1004-1,0)),LEN(CELL("adresse",OFFSET(DMAV_Dienste!$M$6,E1004-1,0)))-FIND("]",CELL("adresse",OFFSET(DMAV_Dienste!$M$6,E1004-1,0)))),"Dienst")),HYPERLINK("#"&amp;RIGHT(CELL("adresse",OFFSET(DMAV_Modell!$N$6,B1004-1,0)),LEN(CELL("adresse",OFFSET(DMAV_Modell!$N$6,B1004-1,0)))-FIND("]",CELL("adresse",OFFSET(DMAV_Modell!$N$6,B1004-1,0)))),"Modell"))</f>
        <v>Modell</v>
      </c>
      <c r="K1004" s="61" t="str" cm="1">
        <f t="array" ref="K1004">IF($B1004=0,IF($E1004=0,"",IF(INDEX(DMAV_Dienste!P$6:P$140,$E1004)="","",INDEX(DMAV_Dienste!P$6:P$140,$E1004))),IF(INDEX(DMAV_Modell!Q$6:Q$838,$B1004)="","",INDEX(DMAV_Modell!Q$6:Q$838,$B1004)))</f>
        <v>CLASS</v>
      </c>
      <c r="L1004" s="62" t="str" cm="1">
        <f t="array" ref="L1004">IF($B1004=0,IF($E1004=0,"",IF(INDEX(DMAV_Dienste!O$6:O$140,$E1004)="","",INDEX(DMAV_Dienste!O$6:O$140,$E1004))),IF(INDEX(DMAV_Modell!P$6:P$838,$B1004)="","",INDEX(DMAV_Modell!P$6:P$838,$B1004)))</f>
        <v>Rohrleitungen</v>
      </c>
      <c r="M1004" s="62" t="str" cm="1">
        <f t="array" ref="M1004">IF($B1004=0,IF($E1004=0,"",IF(INDEX(DMAV_Dienste!Q$6:Q$140,$E1004)="","",INDEX(DMAV_Dienste!Q$6:Q$140,$E1004))),IF(INDEX(DMAV_Modell!R$6:R$838,$B1004)="","",INDEX(DMAV_Modell!R$6:R$838,$B1004)))</f>
        <v>Signal</v>
      </c>
      <c r="N1004" s="62" t="str" cm="1">
        <f t="array" ref="N1004">IF($B1004=0,IF($E1004=0,"",IF(INDEX(DMAV_Dienste!T$6:T$140,$E1004)="","",INDEX(DMAV_Dienste!T$6:T$140,$E1004))),IF(INDEX(DMAV_Modell!U$6:U$838,$B1004)="","",INDEX(DMAV_Modell!U$6:U$838,$B1004)))</f>
        <v>Signalart</v>
      </c>
      <c r="O1004" s="63" t="str" cm="1">
        <f t="array" aca="1" ref="O1004" ca="1">IF(C1004=0,IF(F1004=0,"",HYPERLINK("#"&amp;RIGHT(CELL("adresse",OFFSET(DMAV_Dienste!$M$6,F1004-1,0)),LEN(CELL("adresse",OFFSET(DMAV_Dienste!$M$6,F1004-1,0)))-FIND("]",CELL("adresse",OFFSET(DMAV_Dienste!$M$6,F1004-1,0)))),"Structure")),HYPERLINK("#"&amp;RIGHT(CELL("adresse",OFFSET(DMAV_Modell!$N$6,C1004-1,0)),LEN(CELL("adresse",OFFSET(DMAV_Modell!$N$6,C1004-1,0)))-FIND("]",CELL("adresse",OFFSET(DMAV_Modell!$N$6,C1004-1,0)))),"Structure"))</f>
        <v/>
      </c>
      <c r="P1004" s="64" t="str" cm="1">
        <f t="array" aca="1" ref="P1004" ca="1">IF(D1004=0,IF(G1004=0,"",HYPERLINK("#"&amp;RIGHT(CELL("adresse",OFFSET(DMAV_Dienste!$M$6,G1004-1,0)),LEN(CELL("adresse",OFFSET(DMAV_Dienste!$M$6,G1004-1,0)))-FIND("]",CELL("adresse",OFFSET(DMAV_Dienste!$M$6,G1004-1,0)))),"Substructure")),HYPERLINK("#"&amp;RIGHT(CELL("adresse",OFFSET(DMAV_Modell!$N$6,D1004-1,0)),LEN(CELL("adresse",OFFSET(DMAV_Modell!$N$6,D1004-1,0)))-FIND("]",CELL("adresse",OFFSET(DMAV_Modell!$N$6,D1004-1,0)))),"Substructure"))</f>
        <v/>
      </c>
      <c r="R1004" s="80"/>
      <c r="T1004" s="93"/>
      <c r="U1004" s="94"/>
      <c r="V1004" s="95"/>
      <c r="W1004" s="96"/>
      <c r="Y1004" s="85" t="s">
        <v>3236</v>
      </c>
      <c r="Z1004" s="86"/>
      <c r="AA1004" s="87"/>
      <c r="AB1004" s="88"/>
      <c r="AD1004" s="77"/>
      <c r="AF1004" s="54" t="str" cm="1">
        <f t="array" aca="1" ref="AF1004" ca="1">IF(H1004=0,"",HYPERLINK("#"&amp;RIGHT(CELL("adresse",OFFSET('DM01-AV-CH'!$G$6,H1004-1,0)),LEN(CELL("adresse",OFFSET('DM01-AV-CH'!$G$6,H1004-1,0)))-FIND("]",CELL("adresse",OFFSET('DM01-AV-CH'!$G$6,H1004-1,0)))),"Modell"))</f>
        <v>Modell</v>
      </c>
      <c r="AG1004" s="72" t="str" cm="1">
        <f t="array" ref="AG1004">IF($H1004=0,"",IF(INDEX('DM01-AV-CH'!G$6:G$834,$H1004)="","",INDEX('DM01-AV-CH'!G$6:G$834,$H1004)))</f>
        <v>Rohrleitungen</v>
      </c>
      <c r="AH1004" s="73" t="str" cm="1">
        <f t="array" ref="AH1004">IF($H1004=0,"",IF(INDEX('DM01-AV-CH'!H$6:H$834,$H1004)="","",INDEX('DM01-AV-CH'!H$6:H$834,$H1004)))</f>
        <v>Signalpunkt</v>
      </c>
      <c r="AI1004" s="74" t="str" cm="1">
        <f t="array" ref="AI1004">IF($H1004=0,"",IF(INDEX('DM01-AV-CH'!I$6:I$834,$H1004)="","",INDEX('DM01-AV-CH'!I$6:I$834,$H1004)))</f>
        <v>Punktart</v>
      </c>
    </row>
    <row r="1005" spans="1:35" x14ac:dyDescent="0.25">
      <c r="A1005" s="57">
        <v>1000</v>
      </c>
      <c r="B1005" s="57">
        <f>IF($A1005="","",IF(_xlfn.XLOOKUP($A1005,Korrelation!$D$4:$D$1197,Korrelation!E$4:E$1197,"-",0)="-",0,MATCH(_xlfn.XLOOKUP($A1005,Korrelation!$D$4:$D$1197,Korrelation!E$4:E$1197,"",0),DMAV_Modell!$G$6:$G$677,0)))</f>
        <v>584</v>
      </c>
      <c r="C1005" s="57">
        <f>IF($A1005="","",IF(_xlfn.XLOOKUP($A1005,Korrelation!$D$4:$D$1197,Korrelation!F$4:F$1197,"-",0)="-",0,MATCH(_xlfn.XLOOKUP($A1005,Korrelation!$D$4:$D$1197,Korrelation!F$4:F$1197,"",0),DMAV_Modell!$G$6:$G$677,0)))</f>
        <v>0</v>
      </c>
      <c r="D1005" s="57">
        <f>IF($A1005="","",IF(_xlfn.XLOOKUP($A1005,Korrelation!$D$4:$D$1197,Korrelation!G$4:G$1197,"-",0)="-",0,MATCH(_xlfn.XLOOKUP($A1005,Korrelation!$D$4:$D$1197,Korrelation!G$4:G$1197,"",0),DMAV_Modell!$G$6:$G$677,0)))</f>
        <v>0</v>
      </c>
      <c r="E1005" s="57">
        <f>IF($A1005="","",IF(_xlfn.XLOOKUP($A1005,Korrelation!$D$4:$D$1197,Korrelation!H$4:H$1197,"-",0)="-",0,MATCH(_xlfn.XLOOKUP($A1005,Korrelation!$D$4:$D$1197,Korrelation!H$4:H$1197,"",0),DMAV_Dienste!$F$6:$F$140,0)))</f>
        <v>0</v>
      </c>
      <c r="F1005" s="57">
        <f>IF($A1005="","",IF(_xlfn.XLOOKUP($A1005,Korrelation!$D$4:$D$1197,Korrelation!I$4:I$1197,"-",0)="-",0,MATCH(_xlfn.XLOOKUP($A1005,Korrelation!$D$4:$D$1197,Korrelation!I$4:I$1197,"",0),DMAV_Dienste!$F$6:$F$140,0)))</f>
        <v>0</v>
      </c>
      <c r="G1005" s="57">
        <f>IF($A1005="","",IF(_xlfn.XLOOKUP($A1005,Korrelation!$D$4:$D$1197,Korrelation!J$4:J$1197,"-",0)="-",0,MATCH(_xlfn.XLOOKUP($A1005,Korrelation!$D$4:$D$1197,Korrelation!J$4:J$1197,"",0),DMAV_Dienste!$F$6:$F$140,0)))</f>
        <v>0</v>
      </c>
      <c r="H1005" s="57">
        <f>IF($A1005="","",IF(_xlfn.XLOOKUP($A1005,Korrelation!$D$4:$D$1197,Korrelation!K$4:K$1197,"-",0)="-",0,MATCH(_xlfn.XLOOKUP($A1005,Korrelation!$D$4:$D$1197,Korrelation!K$4:K$1197,"",0),'DM01-AV-CH'!$A$6:$A$834,0)))</f>
        <v>0</v>
      </c>
      <c r="J1005" s="54" t="str" cm="1">
        <f t="array" aca="1" ref="J1005" ca="1">IF(B1005=0,IF(E1005=0,"",HYPERLINK("#"&amp;RIGHT(CELL("adresse",OFFSET(DMAV_Dienste!$M$6,E1005-1,0)),LEN(CELL("adresse",OFFSET(DMAV_Dienste!$M$6,E1005-1,0)))-FIND("]",CELL("adresse",OFFSET(DMAV_Dienste!$M$6,E1005-1,0)))),"Dienst")),HYPERLINK("#"&amp;RIGHT(CELL("adresse",OFFSET(DMAV_Modell!$N$6,B1005-1,0)),LEN(CELL("adresse",OFFSET(DMAV_Modell!$N$6,B1005-1,0)))-FIND("]",CELL("adresse",OFFSET(DMAV_Modell!$N$6,B1005-1,0)))),"Modell"))</f>
        <v>Modell</v>
      </c>
      <c r="K1005" s="61" t="str" cm="1">
        <f t="array" ref="K1005">IF($B1005=0,IF($E1005=0,"",IF(INDEX(DMAV_Dienste!P$6:P$140,$E1005)="","",INDEX(DMAV_Dienste!P$6:P$140,$E1005))),IF(INDEX(DMAV_Modell!Q$6:Q$838,$B1005)="","",INDEX(DMAV_Modell!Q$6:Q$838,$B1005)))</f>
        <v>CLASS</v>
      </c>
      <c r="L1005" s="62" t="str" cm="1">
        <f t="array" ref="L1005">IF($B1005=0,IF($E1005=0,"",IF(INDEX(DMAV_Dienste!O$6:O$140,$E1005)="","",INDEX(DMAV_Dienste!O$6:O$140,$E1005))),IF(INDEX(DMAV_Modell!P$6:P$838,$B1005)="","",INDEX(DMAV_Modell!P$6:P$838,$B1005)))</f>
        <v>Rohrleitungen</v>
      </c>
      <c r="M1005" s="62" t="str" cm="1">
        <f t="array" ref="M1005">IF($B1005=0,IF($E1005=0,"",IF(INDEX(DMAV_Dienste!Q$6:Q$140,$E1005)="","",INDEX(DMAV_Dienste!Q$6:Q$140,$E1005))),IF(INDEX(DMAV_Modell!R$6:R$838,$B1005)="","",INDEX(DMAV_Modell!R$6:R$838,$B1005)))</f>
        <v>Signal</v>
      </c>
      <c r="N1005" s="62" t="str" cm="1">
        <f t="array" ref="N1005">IF($B1005=0,IF($E1005=0,"",IF(INDEX(DMAV_Dienste!T$6:T$140,$E1005)="","",INDEX(DMAV_Dienste!T$6:T$140,$E1005))),IF(INDEX(DMAV_Modell!U$6:U$838,$B1005)="","",INDEX(DMAV_Modell!U$6:U$838,$B1005)))</f>
        <v>SymbolOri</v>
      </c>
      <c r="O1005" s="63" t="str" cm="1">
        <f t="array" aca="1" ref="O1005" ca="1">IF(C1005=0,IF(F1005=0,"",HYPERLINK("#"&amp;RIGHT(CELL("adresse",OFFSET(DMAV_Dienste!$M$6,F1005-1,0)),LEN(CELL("adresse",OFFSET(DMAV_Dienste!$M$6,F1005-1,0)))-FIND("]",CELL("adresse",OFFSET(DMAV_Dienste!$M$6,F1005-1,0)))),"Structure")),HYPERLINK("#"&amp;RIGHT(CELL("adresse",OFFSET(DMAV_Modell!$N$6,C1005-1,0)),LEN(CELL("adresse",OFFSET(DMAV_Modell!$N$6,C1005-1,0)))-FIND("]",CELL("adresse",OFFSET(DMAV_Modell!$N$6,C1005-1,0)))),"Structure"))</f>
        <v/>
      </c>
      <c r="P1005" s="64" t="str" cm="1">
        <f t="array" aca="1" ref="P1005" ca="1">IF(D1005=0,IF(G1005=0,"",HYPERLINK("#"&amp;RIGHT(CELL("adresse",OFFSET(DMAV_Dienste!$M$6,G1005-1,0)),LEN(CELL("adresse",OFFSET(DMAV_Dienste!$M$6,G1005-1,0)))-FIND("]",CELL("adresse",OFFSET(DMAV_Dienste!$M$6,G1005-1,0)))),"Substructure")),HYPERLINK("#"&amp;RIGHT(CELL("adresse",OFFSET(DMAV_Modell!$N$6,D1005-1,0)),LEN(CELL("adresse",OFFSET(DMAV_Modell!$N$6,D1005-1,0)))-FIND("]",CELL("adresse",OFFSET(DMAV_Modell!$N$6,D1005-1,0)))),"Substructure"))</f>
        <v/>
      </c>
      <c r="R1005" s="80"/>
      <c r="T1005" s="93"/>
      <c r="U1005" s="94"/>
      <c r="V1005" s="95"/>
      <c r="W1005" s="96"/>
      <c r="Y1005" s="85"/>
      <c r="Z1005" s="86"/>
      <c r="AA1005" s="87"/>
      <c r="AB1005" s="88"/>
      <c r="AD1005" s="77"/>
      <c r="AF1005" s="54" t="str" cm="1">
        <f t="array" aca="1" ref="AF1005" ca="1">IF(H1005=0,"",HYPERLINK("#"&amp;RIGHT(CELL("adresse",OFFSET('DM01-AV-CH'!$G$6,H1005-1,0)),LEN(CELL("adresse",OFFSET('DM01-AV-CH'!$G$6,H1005-1,0)))-FIND("]",CELL("adresse",OFFSET('DM01-AV-CH'!$G$6,H1005-1,0)))),"Modell"))</f>
        <v/>
      </c>
      <c r="AG1005" s="72" t="str" cm="1">
        <f t="array" ref="AG1005">IF($H1005=0,"",IF(INDEX('DM01-AV-CH'!G$6:G$834,$H1005)="","",INDEX('DM01-AV-CH'!G$6:G$834,$H1005)))</f>
        <v/>
      </c>
      <c r="AH1005" s="73" t="str" cm="1">
        <f t="array" ref="AH1005">IF($H1005=0,"",IF(INDEX('DM01-AV-CH'!H$6:H$834,$H1005)="","",INDEX('DM01-AV-CH'!H$6:H$834,$H1005)))</f>
        <v/>
      </c>
      <c r="AI1005" s="74" t="str" cm="1">
        <f t="array" ref="AI1005">IF($H1005=0,"",IF(INDEX('DM01-AV-CH'!I$6:I$834,$H1005)="","",INDEX('DM01-AV-CH'!I$6:I$834,$H1005)))</f>
        <v/>
      </c>
    </row>
    <row r="1006" spans="1:35" x14ac:dyDescent="0.25">
      <c r="A1006" s="57">
        <v>1001</v>
      </c>
      <c r="B1006" s="57">
        <f>IF($A1006="","",IF(_xlfn.XLOOKUP($A1006,Korrelation!$D$4:$D$1197,Korrelation!E$4:E$1197,"-",0)="-",0,MATCH(_xlfn.XLOOKUP($A1006,Korrelation!$D$4:$D$1197,Korrelation!E$4:E$1197,"",0),DMAV_Modell!$G$6:$G$677,0)))</f>
        <v>0</v>
      </c>
      <c r="C1006" s="57">
        <f>IF($A1006="","",IF(_xlfn.XLOOKUP($A1006,Korrelation!$D$4:$D$1197,Korrelation!F$4:F$1197,"-",0)="-",0,MATCH(_xlfn.XLOOKUP($A1006,Korrelation!$D$4:$D$1197,Korrelation!F$4:F$1197,"",0),DMAV_Modell!$G$6:$G$677,0)))</f>
        <v>0</v>
      </c>
      <c r="D1006" s="57">
        <f>IF($A1006="","",IF(_xlfn.XLOOKUP($A1006,Korrelation!$D$4:$D$1197,Korrelation!G$4:G$1197,"-",0)="-",0,MATCH(_xlfn.XLOOKUP($A1006,Korrelation!$D$4:$D$1197,Korrelation!G$4:G$1197,"",0),DMAV_Modell!$G$6:$G$677,0)))</f>
        <v>0</v>
      </c>
      <c r="E1006" s="57">
        <f>IF($A1006="","",IF(_xlfn.XLOOKUP($A1006,Korrelation!$D$4:$D$1197,Korrelation!H$4:H$1197,"-",0)="-",0,MATCH(_xlfn.XLOOKUP($A1006,Korrelation!$D$4:$D$1197,Korrelation!H$4:H$1197,"",0),DMAV_Dienste!$F$6:$F$140,0)))</f>
        <v>0</v>
      </c>
      <c r="F1006" s="57">
        <f>IF($A1006="","",IF(_xlfn.XLOOKUP($A1006,Korrelation!$D$4:$D$1197,Korrelation!I$4:I$1197,"-",0)="-",0,MATCH(_xlfn.XLOOKUP($A1006,Korrelation!$D$4:$D$1197,Korrelation!I$4:I$1197,"",0),DMAV_Dienste!$F$6:$F$140,0)))</f>
        <v>0</v>
      </c>
      <c r="G1006" s="57">
        <f>IF($A1006="","",IF(_xlfn.XLOOKUP($A1006,Korrelation!$D$4:$D$1197,Korrelation!J$4:J$1197,"-",0)="-",0,MATCH(_xlfn.XLOOKUP($A1006,Korrelation!$D$4:$D$1197,Korrelation!J$4:J$1197,"",0),DMAV_Dienste!$F$6:$F$140,0)))</f>
        <v>0</v>
      </c>
      <c r="H1006" s="57">
        <f>IF($A1006="","",IF(_xlfn.XLOOKUP($A1006,Korrelation!$D$4:$D$1197,Korrelation!K$4:K$1197,"-",0)="-",0,MATCH(_xlfn.XLOOKUP($A1006,Korrelation!$D$4:$D$1197,Korrelation!K$4:K$1197,"",0),'DM01-AV-CH'!$A$6:$A$834,0)))</f>
        <v>533</v>
      </c>
      <c r="J1006" s="54" t="str" cm="1">
        <f t="array" aca="1" ref="J1006" ca="1">IF(B1006=0,IF(E1006=0,"",HYPERLINK("#"&amp;RIGHT(CELL("adresse",OFFSET(DMAV_Dienste!$M$6,E1006-1,0)),LEN(CELL("adresse",OFFSET(DMAV_Dienste!$M$6,E1006-1,0)))-FIND("]",CELL("adresse",OFFSET(DMAV_Dienste!$M$6,E1006-1,0)))),"Dienst")),HYPERLINK("#"&amp;RIGHT(CELL("adresse",OFFSET(DMAV_Modell!$N$6,B1006-1,0)),LEN(CELL("adresse",OFFSET(DMAV_Modell!$N$6,B1006-1,0)))-FIND("]",CELL("adresse",OFFSET(DMAV_Modell!$N$6,B1006-1,0)))),"Modell"))</f>
        <v/>
      </c>
      <c r="K1006" s="61" t="str" cm="1">
        <f t="array" ref="K1006">IF($B1006=0,IF($E1006=0,"",IF(INDEX(DMAV_Dienste!P$6:P$140,$E1006)="","",INDEX(DMAV_Dienste!P$6:P$140,$E1006))),IF(INDEX(DMAV_Modell!Q$6:Q$838,$B1006)="","",INDEX(DMAV_Modell!Q$6:Q$838,$B1006)))</f>
        <v/>
      </c>
      <c r="L1006" s="62" t="str" cm="1">
        <f t="array" ref="L1006">IF($B1006=0,IF($E1006=0,"",IF(INDEX(DMAV_Dienste!O$6:O$140,$E1006)="","",INDEX(DMAV_Dienste!O$6:O$140,$E1006))),IF(INDEX(DMAV_Modell!P$6:P$838,$B1006)="","",INDEX(DMAV_Modell!P$6:P$838,$B1006)))</f>
        <v/>
      </c>
      <c r="M1006" s="62" t="str" cm="1">
        <f t="array" ref="M1006">IF($B1006=0,IF($E1006=0,"",IF(INDEX(DMAV_Dienste!Q$6:Q$140,$E1006)="","",INDEX(DMAV_Dienste!Q$6:Q$140,$E1006))),IF(INDEX(DMAV_Modell!R$6:R$838,$B1006)="","",INDEX(DMAV_Modell!R$6:R$838,$B1006)))</f>
        <v/>
      </c>
      <c r="N1006" s="62" t="str" cm="1">
        <f t="array" ref="N1006">IF($B1006=0,IF($E1006=0,"",IF(INDEX(DMAV_Dienste!T$6:T$140,$E1006)="","",INDEX(DMAV_Dienste!T$6:T$140,$E1006))),IF(INDEX(DMAV_Modell!U$6:U$838,$B1006)="","",INDEX(DMAV_Modell!U$6:U$838,$B1006)))</f>
        <v/>
      </c>
      <c r="O1006" s="63" t="str" cm="1">
        <f t="array" aca="1" ref="O1006" ca="1">IF(C1006=0,IF(F1006=0,"",HYPERLINK("#"&amp;RIGHT(CELL("adresse",OFFSET(DMAV_Dienste!$M$6,F1006-1,0)),LEN(CELL("adresse",OFFSET(DMAV_Dienste!$M$6,F1006-1,0)))-FIND("]",CELL("adresse",OFFSET(DMAV_Dienste!$M$6,F1006-1,0)))),"Structure")),HYPERLINK("#"&amp;RIGHT(CELL("adresse",OFFSET(DMAV_Modell!$N$6,C1006-1,0)),LEN(CELL("adresse",OFFSET(DMAV_Modell!$N$6,C1006-1,0)))-FIND("]",CELL("adresse",OFFSET(DMAV_Modell!$N$6,C1006-1,0)))),"Structure"))</f>
        <v/>
      </c>
      <c r="P1006" s="64" t="str" cm="1">
        <f t="array" aca="1" ref="P1006" ca="1">IF(D1006=0,IF(G1006=0,"",HYPERLINK("#"&amp;RIGHT(CELL("adresse",OFFSET(DMAV_Dienste!$M$6,G1006-1,0)),LEN(CELL("adresse",OFFSET(DMAV_Dienste!$M$6,G1006-1,0)))-FIND("]",CELL("adresse",OFFSET(DMAV_Dienste!$M$6,G1006-1,0)))),"Substructure")),HYPERLINK("#"&amp;RIGHT(CELL("adresse",OFFSET(DMAV_Modell!$N$6,D1006-1,0)),LEN(CELL("adresse",OFFSET(DMAV_Modell!$N$6,D1006-1,0)))-FIND("]",CELL("adresse",OFFSET(DMAV_Modell!$N$6,D1006-1,0)))),"Substructure"))</f>
        <v/>
      </c>
      <c r="R1006" s="80"/>
      <c r="T1006" s="93"/>
      <c r="U1006" s="94"/>
      <c r="V1006" s="95"/>
      <c r="W1006" s="96"/>
      <c r="Y1006" s="85"/>
      <c r="Z1006" s="86"/>
      <c r="AA1006" s="87"/>
      <c r="AB1006" s="88"/>
      <c r="AD1006" s="77"/>
      <c r="AF1006" s="54" t="str" cm="1">
        <f t="array" aca="1" ref="AF1006" ca="1">IF(H1006=0,"",HYPERLINK("#"&amp;RIGHT(CELL("adresse",OFFSET('DM01-AV-CH'!$G$6,H1006-1,0)),LEN(CELL("adresse",OFFSET('DM01-AV-CH'!$G$6,H1006-1,0)))-FIND("]",CELL("adresse",OFFSET('DM01-AV-CH'!$G$6,H1006-1,0)))),"Modell"))</f>
        <v>Modell</v>
      </c>
      <c r="AG1006" s="72" t="str" cm="1">
        <f t="array" ref="AG1006">IF($H1006=0,"",IF(INDEX('DM01-AV-CH'!G$6:G$834,$H1006)="","",INDEX('DM01-AV-CH'!G$6:G$834,$H1006)))</f>
        <v>Rohrleitungen</v>
      </c>
      <c r="AH1006" s="73" t="str" cm="1">
        <f t="array" ref="AH1006">IF($H1006=0,"",IF(INDEX('DM01-AV-CH'!H$6:H$834,$H1006)="","",INDEX('DM01-AV-CH'!H$6:H$834,$H1006)))</f>
        <v>SignalpunktPos</v>
      </c>
      <c r="AI1006" s="74" t="str" cm="1">
        <f t="array" ref="AI1006">IF($H1006=0,"",IF(INDEX('DM01-AV-CH'!I$6:I$834,$H1006)="","",INDEX('DM01-AV-CH'!I$6:I$834,$H1006)))</f>
        <v>SignalpunktPos_von</v>
      </c>
    </row>
    <row r="1007" spans="1:35" ht="28.5" x14ac:dyDescent="0.25">
      <c r="A1007" s="57">
        <v>1002</v>
      </c>
      <c r="B1007" s="57">
        <f>IF($A1007="","",IF(_xlfn.XLOOKUP($A1007,Korrelation!$D$4:$D$1197,Korrelation!E$4:E$1197,"-",0)="-",0,MATCH(_xlfn.XLOOKUP($A1007,Korrelation!$D$4:$D$1197,Korrelation!E$4:E$1197,"",0),DMAV_Modell!$G$6:$G$677,0)))</f>
        <v>585</v>
      </c>
      <c r="C1007" s="57">
        <f>IF($A1007="","",IF(_xlfn.XLOOKUP($A1007,Korrelation!$D$4:$D$1197,Korrelation!F$4:F$1197,"-",0)="-",0,MATCH(_xlfn.XLOOKUP($A1007,Korrelation!$D$4:$D$1197,Korrelation!F$4:F$1197,"",0),DMAV_Modell!$G$6:$G$677,0)))</f>
        <v>26</v>
      </c>
      <c r="D1007" s="57">
        <f>IF($A1007="","",IF(_xlfn.XLOOKUP($A1007,Korrelation!$D$4:$D$1197,Korrelation!G$4:G$1197,"-",0)="-",0,MATCH(_xlfn.XLOOKUP($A1007,Korrelation!$D$4:$D$1197,Korrelation!G$4:G$1197,"",0),DMAV_Modell!$G$6:$G$677,0)))</f>
        <v>0</v>
      </c>
      <c r="E1007" s="57">
        <f>IF($A1007="","",IF(_xlfn.XLOOKUP($A1007,Korrelation!$D$4:$D$1197,Korrelation!H$4:H$1197,"-",0)="-",0,MATCH(_xlfn.XLOOKUP($A1007,Korrelation!$D$4:$D$1197,Korrelation!H$4:H$1197,"",0),DMAV_Dienste!$F$6:$F$140,0)))</f>
        <v>0</v>
      </c>
      <c r="F1007" s="57">
        <f>IF($A1007="","",IF(_xlfn.XLOOKUP($A1007,Korrelation!$D$4:$D$1197,Korrelation!I$4:I$1197,"-",0)="-",0,MATCH(_xlfn.XLOOKUP($A1007,Korrelation!$D$4:$D$1197,Korrelation!I$4:I$1197,"",0),DMAV_Dienste!$F$6:$F$140,0)))</f>
        <v>0</v>
      </c>
      <c r="G1007" s="57">
        <f>IF($A1007="","",IF(_xlfn.XLOOKUP($A1007,Korrelation!$D$4:$D$1197,Korrelation!J$4:J$1197,"-",0)="-",0,MATCH(_xlfn.XLOOKUP($A1007,Korrelation!$D$4:$D$1197,Korrelation!J$4:J$1197,"",0),DMAV_Dienste!$F$6:$F$140,0)))</f>
        <v>0</v>
      </c>
      <c r="H1007" s="57">
        <f>IF($A1007="","",IF(_xlfn.XLOOKUP($A1007,Korrelation!$D$4:$D$1197,Korrelation!K$4:K$1197,"-",0)="-",0,MATCH(_xlfn.XLOOKUP($A1007,Korrelation!$D$4:$D$1197,Korrelation!K$4:K$1197,"",0),'DM01-AV-CH'!$A$6:$A$834,0)))</f>
        <v>534</v>
      </c>
      <c r="J1007" s="54" t="str" cm="1">
        <f t="array" aca="1" ref="J1007" ca="1">IF(B1007=0,IF(E1007=0,"",HYPERLINK("#"&amp;RIGHT(CELL("adresse",OFFSET(DMAV_Dienste!$M$6,E1007-1,0)),LEN(CELL("adresse",OFFSET(DMAV_Dienste!$M$6,E1007-1,0)))-FIND("]",CELL("adresse",OFFSET(DMAV_Dienste!$M$6,E1007-1,0)))),"Dienst")),HYPERLINK("#"&amp;RIGHT(CELL("adresse",OFFSET(DMAV_Modell!$N$6,B1007-1,0)),LEN(CELL("adresse",OFFSET(DMAV_Modell!$N$6,B1007-1,0)))-FIND("]",CELL("adresse",OFFSET(DMAV_Modell!$N$6,B1007-1,0)))),"Modell"))</f>
        <v>Modell</v>
      </c>
      <c r="K1007" s="61" t="str" cm="1">
        <f t="array" ref="K1007">IF($B1007=0,IF($E1007=0,"",IF(INDEX(DMAV_Dienste!P$6:P$140,$E1007)="","",INDEX(DMAV_Dienste!P$6:P$140,$E1007))),IF(INDEX(DMAV_Modell!Q$6:Q$838,$B1007)="","",INDEX(DMAV_Modell!Q$6:Q$838,$B1007)))</f>
        <v>CLASS</v>
      </c>
      <c r="L1007" s="62" t="str" cm="1">
        <f t="array" ref="L1007">IF($B1007=0,IF($E1007=0,"",IF(INDEX(DMAV_Dienste!O$6:O$140,$E1007)="","",INDEX(DMAV_Dienste!O$6:O$140,$E1007))),IF(INDEX(DMAV_Modell!P$6:P$838,$B1007)="","",INDEX(DMAV_Modell!P$6:P$838,$B1007)))</f>
        <v>Rohrleitungen</v>
      </c>
      <c r="M1007" s="62" t="str" cm="1">
        <f t="array" ref="M1007">IF($B1007=0,IF($E1007=0,"",IF(INDEX(DMAV_Dienste!Q$6:Q$140,$E1007)="","",INDEX(DMAV_Dienste!Q$6:Q$140,$E1007))),IF(INDEX(DMAV_Modell!R$6:R$838,$B1007)="","",INDEX(DMAV_Modell!R$6:R$838,$B1007)))</f>
        <v>Signal</v>
      </c>
      <c r="N1007" s="62" t="str" cm="1">
        <f t="array" ref="N1007">IF($B1007=0,IF($E1007=0,"",IF(INDEX(DMAV_Dienste!T$6:T$140,$E1007)="","",INDEX(DMAV_Dienste!T$6:T$140,$E1007))),IF(INDEX(DMAV_Modell!U$6:U$838,$B1007)="","",INDEX(DMAV_Modell!U$6:U$838,$B1007)))</f>
        <v>Textposition</v>
      </c>
      <c r="O1007" s="63" t="str" cm="1">
        <f t="array" aca="1" ref="O1007" ca="1">IF(C1007=0,IF(F1007=0,"",HYPERLINK("#"&amp;RIGHT(CELL("adresse",OFFSET(DMAV_Dienste!$M$6,F1007-1,0)),LEN(CELL("adresse",OFFSET(DMAV_Dienste!$M$6,F1007-1,0)))-FIND("]",CELL("adresse",OFFSET(DMAV_Dienste!$M$6,F1007-1,0)))),"Structure")),HYPERLINK("#"&amp;RIGHT(CELL("adresse",OFFSET(DMAV_Modell!$N$6,C1007-1,0)),LEN(CELL("adresse",OFFSET(DMAV_Modell!$N$6,C1007-1,0)))-FIND("]",CELL("adresse",OFFSET(DMAV_Modell!$N$6,C1007-1,0)))),"Structure"))</f>
        <v>Structure</v>
      </c>
      <c r="P1007" s="64" t="str" cm="1">
        <f t="array" aca="1" ref="P1007" ca="1">IF(D1007=0,IF(G1007=0,"",HYPERLINK("#"&amp;RIGHT(CELL("adresse",OFFSET(DMAV_Dienste!$M$6,G1007-1,0)),LEN(CELL("adresse",OFFSET(DMAV_Dienste!$M$6,G1007-1,0)))-FIND("]",CELL("adresse",OFFSET(DMAV_Dienste!$M$6,G1007-1,0)))),"Substructure")),HYPERLINK("#"&amp;RIGHT(CELL("adresse",OFFSET(DMAV_Modell!$N$6,D1007-1,0)),LEN(CELL("adresse",OFFSET(DMAV_Modell!$N$6,D1007-1,0)))-FIND("]",CELL("adresse",OFFSET(DMAV_Modell!$N$6,D1007-1,0)))),"Substructure"))</f>
        <v/>
      </c>
      <c r="R1007" s="80"/>
      <c r="T1007" s="93"/>
      <c r="U1007" s="94" t="s">
        <v>2980</v>
      </c>
      <c r="V1007" s="95" t="s">
        <v>3237</v>
      </c>
      <c r="W1007" s="96"/>
      <c r="Y1007" s="85" t="s">
        <v>3236</v>
      </c>
      <c r="Z1007" s="86" t="s">
        <v>2980</v>
      </c>
      <c r="AA1007" s="87" t="s">
        <v>3094</v>
      </c>
      <c r="AB1007" s="88"/>
      <c r="AD1007" s="77"/>
      <c r="AF1007" s="54" t="str" cm="1">
        <f t="array" aca="1" ref="AF1007" ca="1">IF(H1007=0,"",HYPERLINK("#"&amp;RIGHT(CELL("adresse",OFFSET('DM01-AV-CH'!$G$6,H1007-1,0)),LEN(CELL("adresse",OFFSET('DM01-AV-CH'!$G$6,H1007-1,0)))-FIND("]",CELL("adresse",OFFSET('DM01-AV-CH'!$G$6,H1007-1,0)))),"Modell"))</f>
        <v>Modell</v>
      </c>
      <c r="AG1007" s="72" t="str" cm="1">
        <f t="array" ref="AG1007">IF($H1007=0,"",IF(INDEX('DM01-AV-CH'!G$6:G$834,$H1007)="","",INDEX('DM01-AV-CH'!G$6:G$834,$H1007)))</f>
        <v>Rohrleitungen</v>
      </c>
      <c r="AH1007" s="73" t="str" cm="1">
        <f t="array" ref="AH1007">IF($H1007=0,"",IF(INDEX('DM01-AV-CH'!H$6:H$834,$H1007)="","",INDEX('DM01-AV-CH'!H$6:H$834,$H1007)))</f>
        <v>SignalpunktPos</v>
      </c>
      <c r="AI1007" s="74" t="str" cm="1">
        <f t="array" ref="AI1007">IF($H1007=0,"",IF(INDEX('DM01-AV-CH'!I$6:I$834,$H1007)="","",INDEX('DM01-AV-CH'!I$6:I$834,$H1007)))</f>
        <v>Pos</v>
      </c>
    </row>
    <row r="1008" spans="1:35" ht="28.5" x14ac:dyDescent="0.25">
      <c r="A1008" s="57">
        <v>1003</v>
      </c>
      <c r="B1008" s="57">
        <f>IF($A1008="","",IF(_xlfn.XLOOKUP($A1008,Korrelation!$D$4:$D$1197,Korrelation!E$4:E$1197,"-",0)="-",0,MATCH(_xlfn.XLOOKUP($A1008,Korrelation!$D$4:$D$1197,Korrelation!E$4:E$1197,"",0),DMAV_Modell!$G$6:$G$677,0)))</f>
        <v>585</v>
      </c>
      <c r="C1008" s="57">
        <f>IF($A1008="","",IF(_xlfn.XLOOKUP($A1008,Korrelation!$D$4:$D$1197,Korrelation!F$4:F$1197,"-",0)="-",0,MATCH(_xlfn.XLOOKUP($A1008,Korrelation!$D$4:$D$1197,Korrelation!F$4:F$1197,"",0),DMAV_Modell!$G$6:$G$677,0)))</f>
        <v>27</v>
      </c>
      <c r="D1008" s="57">
        <f>IF($A1008="","",IF(_xlfn.XLOOKUP($A1008,Korrelation!$D$4:$D$1197,Korrelation!G$4:G$1197,"-",0)="-",0,MATCH(_xlfn.XLOOKUP($A1008,Korrelation!$D$4:$D$1197,Korrelation!G$4:G$1197,"",0),DMAV_Modell!$G$6:$G$677,0)))</f>
        <v>0</v>
      </c>
      <c r="E1008" s="57">
        <f>IF($A1008="","",IF(_xlfn.XLOOKUP($A1008,Korrelation!$D$4:$D$1197,Korrelation!H$4:H$1197,"-",0)="-",0,MATCH(_xlfn.XLOOKUP($A1008,Korrelation!$D$4:$D$1197,Korrelation!H$4:H$1197,"",0),DMAV_Dienste!$F$6:$F$140,0)))</f>
        <v>0</v>
      </c>
      <c r="F1008" s="57">
        <f>IF($A1008="","",IF(_xlfn.XLOOKUP($A1008,Korrelation!$D$4:$D$1197,Korrelation!I$4:I$1197,"-",0)="-",0,MATCH(_xlfn.XLOOKUP($A1008,Korrelation!$D$4:$D$1197,Korrelation!I$4:I$1197,"",0),DMAV_Dienste!$F$6:$F$140,0)))</f>
        <v>0</v>
      </c>
      <c r="G1008" s="57">
        <f>IF($A1008="","",IF(_xlfn.XLOOKUP($A1008,Korrelation!$D$4:$D$1197,Korrelation!J$4:J$1197,"-",0)="-",0,MATCH(_xlfn.XLOOKUP($A1008,Korrelation!$D$4:$D$1197,Korrelation!J$4:J$1197,"",0),DMAV_Dienste!$F$6:$F$140,0)))</f>
        <v>0</v>
      </c>
      <c r="H1008" s="57">
        <f>IF($A1008="","",IF(_xlfn.XLOOKUP($A1008,Korrelation!$D$4:$D$1197,Korrelation!K$4:K$1197,"-",0)="-",0,MATCH(_xlfn.XLOOKUP($A1008,Korrelation!$D$4:$D$1197,Korrelation!K$4:K$1197,"",0),'DM01-AV-CH'!$A$6:$A$834,0)))</f>
        <v>535</v>
      </c>
      <c r="J1008" s="54" t="str" cm="1">
        <f t="array" aca="1" ref="J1008" ca="1">IF(B1008=0,IF(E1008=0,"",HYPERLINK("#"&amp;RIGHT(CELL("adresse",OFFSET(DMAV_Dienste!$M$6,E1008-1,0)),LEN(CELL("adresse",OFFSET(DMAV_Dienste!$M$6,E1008-1,0)))-FIND("]",CELL("adresse",OFFSET(DMAV_Dienste!$M$6,E1008-1,0)))),"Dienst")),HYPERLINK("#"&amp;RIGHT(CELL("adresse",OFFSET(DMAV_Modell!$N$6,B1008-1,0)),LEN(CELL("adresse",OFFSET(DMAV_Modell!$N$6,B1008-1,0)))-FIND("]",CELL("adresse",OFFSET(DMAV_Modell!$N$6,B1008-1,0)))),"Modell"))</f>
        <v>Modell</v>
      </c>
      <c r="K1008" s="61" t="str" cm="1">
        <f t="array" ref="K1008">IF($B1008=0,IF($E1008=0,"",IF(INDEX(DMAV_Dienste!P$6:P$140,$E1008)="","",INDEX(DMAV_Dienste!P$6:P$140,$E1008))),IF(INDEX(DMAV_Modell!Q$6:Q$838,$B1008)="","",INDEX(DMAV_Modell!Q$6:Q$838,$B1008)))</f>
        <v>CLASS</v>
      </c>
      <c r="L1008" s="62" t="str" cm="1">
        <f t="array" ref="L1008">IF($B1008=0,IF($E1008=0,"",IF(INDEX(DMAV_Dienste!O$6:O$140,$E1008)="","",INDEX(DMAV_Dienste!O$6:O$140,$E1008))),IF(INDEX(DMAV_Modell!P$6:P$838,$B1008)="","",INDEX(DMAV_Modell!P$6:P$838,$B1008)))</f>
        <v>Rohrleitungen</v>
      </c>
      <c r="M1008" s="62" t="str" cm="1">
        <f t="array" ref="M1008">IF($B1008=0,IF($E1008=0,"",IF(INDEX(DMAV_Dienste!Q$6:Q$140,$E1008)="","",INDEX(DMAV_Dienste!Q$6:Q$140,$E1008))),IF(INDEX(DMAV_Modell!R$6:R$838,$B1008)="","",INDEX(DMAV_Modell!R$6:R$838,$B1008)))</f>
        <v>Signal</v>
      </c>
      <c r="N1008" s="62" t="str" cm="1">
        <f t="array" ref="N1008">IF($B1008=0,IF($E1008=0,"",IF(INDEX(DMAV_Dienste!T$6:T$140,$E1008)="","",INDEX(DMAV_Dienste!T$6:T$140,$E1008))),IF(INDEX(DMAV_Modell!U$6:U$838,$B1008)="","",INDEX(DMAV_Modell!U$6:U$838,$B1008)))</f>
        <v>Textposition</v>
      </c>
      <c r="O1008" s="63" t="str" cm="1">
        <f t="array" aca="1" ref="O1008" ca="1">IF(C1008=0,IF(F1008=0,"",HYPERLINK("#"&amp;RIGHT(CELL("adresse",OFFSET(DMAV_Dienste!$M$6,F1008-1,0)),LEN(CELL("adresse",OFFSET(DMAV_Dienste!$M$6,F1008-1,0)))-FIND("]",CELL("adresse",OFFSET(DMAV_Dienste!$M$6,F1008-1,0)))),"Structure")),HYPERLINK("#"&amp;RIGHT(CELL("adresse",OFFSET(DMAV_Modell!$N$6,C1008-1,0)),LEN(CELL("adresse",OFFSET(DMAV_Modell!$N$6,C1008-1,0)))-FIND("]",CELL("adresse",OFFSET(DMAV_Modell!$N$6,C1008-1,0)))),"Structure"))</f>
        <v>Structure</v>
      </c>
      <c r="P1008" s="64" t="str" cm="1">
        <f t="array" aca="1" ref="P1008" ca="1">IF(D1008=0,IF(G1008=0,"",HYPERLINK("#"&amp;RIGHT(CELL("adresse",OFFSET(DMAV_Dienste!$M$6,G1008-1,0)),LEN(CELL("adresse",OFFSET(DMAV_Dienste!$M$6,G1008-1,0)))-FIND("]",CELL("adresse",OFFSET(DMAV_Dienste!$M$6,G1008-1,0)))),"Substructure")),HYPERLINK("#"&amp;RIGHT(CELL("adresse",OFFSET(DMAV_Modell!$N$6,D1008-1,0)),LEN(CELL("adresse",OFFSET(DMAV_Modell!$N$6,D1008-1,0)))-FIND("]",CELL("adresse",OFFSET(DMAV_Modell!$N$6,D1008-1,0)))),"Substructure"))</f>
        <v/>
      </c>
      <c r="R1008" s="80"/>
      <c r="T1008" s="93"/>
      <c r="U1008" s="94" t="s">
        <v>2980</v>
      </c>
      <c r="V1008" s="95" t="s">
        <v>3238</v>
      </c>
      <c r="W1008" s="96"/>
      <c r="Y1008" s="85" t="s">
        <v>3236</v>
      </c>
      <c r="Z1008" s="86" t="s">
        <v>2980</v>
      </c>
      <c r="AA1008" s="87" t="s">
        <v>3095</v>
      </c>
      <c r="AB1008" s="88"/>
      <c r="AD1008" s="77"/>
      <c r="AF1008" s="54" t="str" cm="1">
        <f t="array" aca="1" ref="AF1008" ca="1">IF(H1008=0,"",HYPERLINK("#"&amp;RIGHT(CELL("adresse",OFFSET('DM01-AV-CH'!$G$6,H1008-1,0)),LEN(CELL("adresse",OFFSET('DM01-AV-CH'!$G$6,H1008-1,0)))-FIND("]",CELL("adresse",OFFSET('DM01-AV-CH'!$G$6,H1008-1,0)))),"Modell"))</f>
        <v>Modell</v>
      </c>
      <c r="AG1008" s="72" t="str" cm="1">
        <f t="array" ref="AG1008">IF($H1008=0,"",IF(INDEX('DM01-AV-CH'!G$6:G$834,$H1008)="","",INDEX('DM01-AV-CH'!G$6:G$834,$H1008)))</f>
        <v>Rohrleitungen</v>
      </c>
      <c r="AH1008" s="73" t="str" cm="1">
        <f t="array" ref="AH1008">IF($H1008=0,"",IF(INDEX('DM01-AV-CH'!H$6:H$834,$H1008)="","",INDEX('DM01-AV-CH'!H$6:H$834,$H1008)))</f>
        <v>SignalpunktPos</v>
      </c>
      <c r="AI1008" s="74" t="str" cm="1">
        <f t="array" ref="AI1008">IF($H1008=0,"",IF(INDEX('DM01-AV-CH'!I$6:I$834,$H1008)="","",INDEX('DM01-AV-CH'!I$6:I$834,$H1008)))</f>
        <v>Ori</v>
      </c>
    </row>
    <row r="1009" spans="1:35" ht="28.5" x14ac:dyDescent="0.25">
      <c r="A1009" s="57">
        <v>1004</v>
      </c>
      <c r="B1009" s="57">
        <f>IF($A1009="","",IF(_xlfn.XLOOKUP($A1009,Korrelation!$D$4:$D$1197,Korrelation!E$4:E$1197,"-",0)="-",0,MATCH(_xlfn.XLOOKUP($A1009,Korrelation!$D$4:$D$1197,Korrelation!E$4:E$1197,"",0),DMAV_Modell!$G$6:$G$677,0)))</f>
        <v>585</v>
      </c>
      <c r="C1009" s="57">
        <f>IF($A1009="","",IF(_xlfn.XLOOKUP($A1009,Korrelation!$D$4:$D$1197,Korrelation!F$4:F$1197,"-",0)="-",0,MATCH(_xlfn.XLOOKUP($A1009,Korrelation!$D$4:$D$1197,Korrelation!F$4:F$1197,"",0),DMAV_Modell!$G$6:$G$677,0)))</f>
        <v>30</v>
      </c>
      <c r="D1009" s="57">
        <f>IF($A1009="","",IF(_xlfn.XLOOKUP($A1009,Korrelation!$D$4:$D$1197,Korrelation!G$4:G$1197,"-",0)="-",0,MATCH(_xlfn.XLOOKUP($A1009,Korrelation!$D$4:$D$1197,Korrelation!G$4:G$1197,"",0),DMAV_Modell!$G$6:$G$677,0)))</f>
        <v>0</v>
      </c>
      <c r="E1009" s="57">
        <f>IF($A1009="","",IF(_xlfn.XLOOKUP($A1009,Korrelation!$D$4:$D$1197,Korrelation!H$4:H$1197,"-",0)="-",0,MATCH(_xlfn.XLOOKUP($A1009,Korrelation!$D$4:$D$1197,Korrelation!H$4:H$1197,"",0),DMAV_Dienste!$F$6:$F$140,0)))</f>
        <v>0</v>
      </c>
      <c r="F1009" s="57">
        <f>IF($A1009="","",IF(_xlfn.XLOOKUP($A1009,Korrelation!$D$4:$D$1197,Korrelation!I$4:I$1197,"-",0)="-",0,MATCH(_xlfn.XLOOKUP($A1009,Korrelation!$D$4:$D$1197,Korrelation!I$4:I$1197,"",0),DMAV_Dienste!$F$6:$F$140,0)))</f>
        <v>0</v>
      </c>
      <c r="G1009" s="57">
        <f>IF($A1009="","",IF(_xlfn.XLOOKUP($A1009,Korrelation!$D$4:$D$1197,Korrelation!J$4:J$1197,"-",0)="-",0,MATCH(_xlfn.XLOOKUP($A1009,Korrelation!$D$4:$D$1197,Korrelation!J$4:J$1197,"",0),DMAV_Dienste!$F$6:$F$140,0)))</f>
        <v>0</v>
      </c>
      <c r="H1009" s="57">
        <f>IF($A1009="","",IF(_xlfn.XLOOKUP($A1009,Korrelation!$D$4:$D$1197,Korrelation!K$4:K$1197,"-",0)="-",0,MATCH(_xlfn.XLOOKUP($A1009,Korrelation!$D$4:$D$1197,Korrelation!K$4:K$1197,"",0),'DM01-AV-CH'!$A$6:$A$834,0)))</f>
        <v>536</v>
      </c>
      <c r="J1009" s="54" t="str" cm="1">
        <f t="array" aca="1" ref="J1009" ca="1">IF(B1009=0,IF(E1009=0,"",HYPERLINK("#"&amp;RIGHT(CELL("adresse",OFFSET(DMAV_Dienste!$M$6,E1009-1,0)),LEN(CELL("adresse",OFFSET(DMAV_Dienste!$M$6,E1009-1,0)))-FIND("]",CELL("adresse",OFFSET(DMAV_Dienste!$M$6,E1009-1,0)))),"Dienst")),HYPERLINK("#"&amp;RIGHT(CELL("adresse",OFFSET(DMAV_Modell!$N$6,B1009-1,0)),LEN(CELL("adresse",OFFSET(DMAV_Modell!$N$6,B1009-1,0)))-FIND("]",CELL("adresse",OFFSET(DMAV_Modell!$N$6,B1009-1,0)))),"Modell"))</f>
        <v>Modell</v>
      </c>
      <c r="K1009" s="61" t="str" cm="1">
        <f t="array" ref="K1009">IF($B1009=0,IF($E1009=0,"",IF(INDEX(DMAV_Dienste!P$6:P$140,$E1009)="","",INDEX(DMAV_Dienste!P$6:P$140,$E1009))),IF(INDEX(DMAV_Modell!Q$6:Q$838,$B1009)="","",INDEX(DMAV_Modell!Q$6:Q$838,$B1009)))</f>
        <v>CLASS</v>
      </c>
      <c r="L1009" s="62" t="str" cm="1">
        <f t="array" ref="L1009">IF($B1009=0,IF($E1009=0,"",IF(INDEX(DMAV_Dienste!O$6:O$140,$E1009)="","",INDEX(DMAV_Dienste!O$6:O$140,$E1009))),IF(INDEX(DMAV_Modell!P$6:P$838,$B1009)="","",INDEX(DMAV_Modell!P$6:P$838,$B1009)))</f>
        <v>Rohrleitungen</v>
      </c>
      <c r="M1009" s="62" t="str" cm="1">
        <f t="array" ref="M1009">IF($B1009=0,IF($E1009=0,"",IF(INDEX(DMAV_Dienste!Q$6:Q$140,$E1009)="","",INDEX(DMAV_Dienste!Q$6:Q$140,$E1009))),IF(INDEX(DMAV_Modell!R$6:R$838,$B1009)="","",INDEX(DMAV_Modell!R$6:R$838,$B1009)))</f>
        <v>Signal</v>
      </c>
      <c r="N1009" s="62" t="str" cm="1">
        <f t="array" ref="N1009">IF($B1009=0,IF($E1009=0,"",IF(INDEX(DMAV_Dienste!T$6:T$140,$E1009)="","",INDEX(DMAV_Dienste!T$6:T$140,$E1009))),IF(INDEX(DMAV_Modell!U$6:U$838,$B1009)="","",INDEX(DMAV_Modell!U$6:U$838,$B1009)))</f>
        <v>Textposition</v>
      </c>
      <c r="O1009" s="63" t="str" cm="1">
        <f t="array" aca="1" ref="O1009" ca="1">IF(C1009=0,IF(F1009=0,"",HYPERLINK("#"&amp;RIGHT(CELL("adresse",OFFSET(DMAV_Dienste!$M$6,F1009-1,0)),LEN(CELL("adresse",OFFSET(DMAV_Dienste!$M$6,F1009-1,0)))-FIND("]",CELL("adresse",OFFSET(DMAV_Dienste!$M$6,F1009-1,0)))),"Structure")),HYPERLINK("#"&amp;RIGHT(CELL("adresse",OFFSET(DMAV_Modell!$N$6,C1009-1,0)),LEN(CELL("adresse",OFFSET(DMAV_Modell!$N$6,C1009-1,0)))-FIND("]",CELL("adresse",OFFSET(DMAV_Modell!$N$6,C1009-1,0)))),"Structure"))</f>
        <v>Structure</v>
      </c>
      <c r="P1009" s="64" t="str" cm="1">
        <f t="array" aca="1" ref="P1009" ca="1">IF(D1009=0,IF(G1009=0,"",HYPERLINK("#"&amp;RIGHT(CELL("adresse",OFFSET(DMAV_Dienste!$M$6,G1009-1,0)),LEN(CELL("adresse",OFFSET(DMAV_Dienste!$M$6,G1009-1,0)))-FIND("]",CELL("adresse",OFFSET(DMAV_Dienste!$M$6,G1009-1,0)))),"Substructure")),HYPERLINK("#"&amp;RIGHT(CELL("adresse",OFFSET(DMAV_Modell!$N$6,D1009-1,0)),LEN(CELL("adresse",OFFSET(DMAV_Modell!$N$6,D1009-1,0)))-FIND("]",CELL("adresse",OFFSET(DMAV_Modell!$N$6,D1009-1,0)))),"Substructure"))</f>
        <v/>
      </c>
      <c r="R1009" s="80"/>
      <c r="T1009" s="93"/>
      <c r="U1009" s="94" t="s">
        <v>2980</v>
      </c>
      <c r="V1009" s="95" t="s">
        <v>3239</v>
      </c>
      <c r="W1009" s="96"/>
      <c r="Y1009" s="85" t="s">
        <v>3236</v>
      </c>
      <c r="Z1009" s="86" t="s">
        <v>2980</v>
      </c>
      <c r="AA1009" s="87" t="s">
        <v>3096</v>
      </c>
      <c r="AB1009" s="88"/>
      <c r="AD1009" s="77"/>
      <c r="AF1009" s="54" t="str" cm="1">
        <f t="array" aca="1" ref="AF1009" ca="1">IF(H1009=0,"",HYPERLINK("#"&amp;RIGHT(CELL("adresse",OFFSET('DM01-AV-CH'!$G$6,H1009-1,0)),LEN(CELL("adresse",OFFSET('DM01-AV-CH'!$G$6,H1009-1,0)))-FIND("]",CELL("adresse",OFFSET('DM01-AV-CH'!$G$6,H1009-1,0)))),"Modell"))</f>
        <v>Modell</v>
      </c>
      <c r="AG1009" s="72" t="str" cm="1">
        <f t="array" ref="AG1009">IF($H1009=0,"",IF(INDEX('DM01-AV-CH'!G$6:G$834,$H1009)="","",INDEX('DM01-AV-CH'!G$6:G$834,$H1009)))</f>
        <v>Rohrleitungen</v>
      </c>
      <c r="AH1009" s="73" t="str" cm="1">
        <f t="array" ref="AH1009">IF($H1009=0,"",IF(INDEX('DM01-AV-CH'!H$6:H$834,$H1009)="","",INDEX('DM01-AV-CH'!H$6:H$834,$H1009)))</f>
        <v>SignalpunktPos</v>
      </c>
      <c r="AI1009" s="74" t="str" cm="1">
        <f t="array" ref="AI1009">IF($H1009=0,"",IF(INDEX('DM01-AV-CH'!I$6:I$834,$H1009)="","",INDEX('DM01-AV-CH'!I$6:I$834,$H1009)))</f>
        <v>HAli</v>
      </c>
    </row>
    <row r="1010" spans="1:35" ht="28.5" x14ac:dyDescent="0.25">
      <c r="A1010" s="57">
        <v>1005</v>
      </c>
      <c r="B1010" s="57">
        <f>IF($A1010="","",IF(_xlfn.XLOOKUP($A1010,Korrelation!$D$4:$D$1197,Korrelation!E$4:E$1197,"-",0)="-",0,MATCH(_xlfn.XLOOKUP($A1010,Korrelation!$D$4:$D$1197,Korrelation!E$4:E$1197,"",0),DMAV_Modell!$G$6:$G$677,0)))</f>
        <v>585</v>
      </c>
      <c r="C1010" s="57">
        <f>IF($A1010="","",IF(_xlfn.XLOOKUP($A1010,Korrelation!$D$4:$D$1197,Korrelation!F$4:F$1197,"-",0)="-",0,MATCH(_xlfn.XLOOKUP($A1010,Korrelation!$D$4:$D$1197,Korrelation!F$4:F$1197,"",0),DMAV_Modell!$G$6:$G$677,0)))</f>
        <v>31</v>
      </c>
      <c r="D1010" s="57">
        <f>IF($A1010="","",IF(_xlfn.XLOOKUP($A1010,Korrelation!$D$4:$D$1197,Korrelation!G$4:G$1197,"-",0)="-",0,MATCH(_xlfn.XLOOKUP($A1010,Korrelation!$D$4:$D$1197,Korrelation!G$4:G$1197,"",0),DMAV_Modell!$G$6:$G$677,0)))</f>
        <v>0</v>
      </c>
      <c r="E1010" s="57">
        <f>IF($A1010="","",IF(_xlfn.XLOOKUP($A1010,Korrelation!$D$4:$D$1197,Korrelation!H$4:H$1197,"-",0)="-",0,MATCH(_xlfn.XLOOKUP($A1010,Korrelation!$D$4:$D$1197,Korrelation!H$4:H$1197,"",0),DMAV_Dienste!$F$6:$F$140,0)))</f>
        <v>0</v>
      </c>
      <c r="F1010" s="57">
        <f>IF($A1010="","",IF(_xlfn.XLOOKUP($A1010,Korrelation!$D$4:$D$1197,Korrelation!I$4:I$1197,"-",0)="-",0,MATCH(_xlfn.XLOOKUP($A1010,Korrelation!$D$4:$D$1197,Korrelation!I$4:I$1197,"",0),DMAV_Dienste!$F$6:$F$140,0)))</f>
        <v>0</v>
      </c>
      <c r="G1010" s="57">
        <f>IF($A1010="","",IF(_xlfn.XLOOKUP($A1010,Korrelation!$D$4:$D$1197,Korrelation!J$4:J$1197,"-",0)="-",0,MATCH(_xlfn.XLOOKUP($A1010,Korrelation!$D$4:$D$1197,Korrelation!J$4:J$1197,"",0),DMAV_Dienste!$F$6:$F$140,0)))</f>
        <v>0</v>
      </c>
      <c r="H1010" s="57">
        <f>IF($A1010="","",IF(_xlfn.XLOOKUP($A1010,Korrelation!$D$4:$D$1197,Korrelation!K$4:K$1197,"-",0)="-",0,MATCH(_xlfn.XLOOKUP($A1010,Korrelation!$D$4:$D$1197,Korrelation!K$4:K$1197,"",0),'DM01-AV-CH'!$A$6:$A$834,0)))</f>
        <v>537</v>
      </c>
      <c r="J1010" s="54" t="str" cm="1">
        <f t="array" aca="1" ref="J1010" ca="1">IF(B1010=0,IF(E1010=0,"",HYPERLINK("#"&amp;RIGHT(CELL("adresse",OFFSET(DMAV_Dienste!$M$6,E1010-1,0)),LEN(CELL("adresse",OFFSET(DMAV_Dienste!$M$6,E1010-1,0)))-FIND("]",CELL("adresse",OFFSET(DMAV_Dienste!$M$6,E1010-1,0)))),"Dienst")),HYPERLINK("#"&amp;RIGHT(CELL("adresse",OFFSET(DMAV_Modell!$N$6,B1010-1,0)),LEN(CELL("adresse",OFFSET(DMAV_Modell!$N$6,B1010-1,0)))-FIND("]",CELL("adresse",OFFSET(DMAV_Modell!$N$6,B1010-1,0)))),"Modell"))</f>
        <v>Modell</v>
      </c>
      <c r="K1010" s="61" t="str" cm="1">
        <f t="array" ref="K1010">IF($B1010=0,IF($E1010=0,"",IF(INDEX(DMAV_Dienste!P$6:P$140,$E1010)="","",INDEX(DMAV_Dienste!P$6:P$140,$E1010))),IF(INDEX(DMAV_Modell!Q$6:Q$838,$B1010)="","",INDEX(DMAV_Modell!Q$6:Q$838,$B1010)))</f>
        <v>CLASS</v>
      </c>
      <c r="L1010" s="62" t="str" cm="1">
        <f t="array" ref="L1010">IF($B1010=0,IF($E1010=0,"",IF(INDEX(DMAV_Dienste!O$6:O$140,$E1010)="","",INDEX(DMAV_Dienste!O$6:O$140,$E1010))),IF(INDEX(DMAV_Modell!P$6:P$838,$B1010)="","",INDEX(DMAV_Modell!P$6:P$838,$B1010)))</f>
        <v>Rohrleitungen</v>
      </c>
      <c r="M1010" s="62" t="str" cm="1">
        <f t="array" ref="M1010">IF($B1010=0,IF($E1010=0,"",IF(INDEX(DMAV_Dienste!Q$6:Q$140,$E1010)="","",INDEX(DMAV_Dienste!Q$6:Q$140,$E1010))),IF(INDEX(DMAV_Modell!R$6:R$838,$B1010)="","",INDEX(DMAV_Modell!R$6:R$838,$B1010)))</f>
        <v>Signal</v>
      </c>
      <c r="N1010" s="62" t="str" cm="1">
        <f t="array" ref="N1010">IF($B1010=0,IF($E1010=0,"",IF(INDEX(DMAV_Dienste!T$6:T$140,$E1010)="","",INDEX(DMAV_Dienste!T$6:T$140,$E1010))),IF(INDEX(DMAV_Modell!U$6:U$838,$B1010)="","",INDEX(DMAV_Modell!U$6:U$838,$B1010)))</f>
        <v>Textposition</v>
      </c>
      <c r="O1010" s="63" t="str" cm="1">
        <f t="array" aca="1" ref="O1010" ca="1">IF(C1010=0,IF(F1010=0,"",HYPERLINK("#"&amp;RIGHT(CELL("adresse",OFFSET(DMAV_Dienste!$M$6,F1010-1,0)),LEN(CELL("adresse",OFFSET(DMAV_Dienste!$M$6,F1010-1,0)))-FIND("]",CELL("adresse",OFFSET(DMAV_Dienste!$M$6,F1010-1,0)))),"Structure")),HYPERLINK("#"&amp;RIGHT(CELL("adresse",OFFSET(DMAV_Modell!$N$6,C1010-1,0)),LEN(CELL("adresse",OFFSET(DMAV_Modell!$N$6,C1010-1,0)))-FIND("]",CELL("adresse",OFFSET(DMAV_Modell!$N$6,C1010-1,0)))),"Structure"))</f>
        <v>Structure</v>
      </c>
      <c r="P1010" s="64" t="str" cm="1">
        <f t="array" aca="1" ref="P1010" ca="1">IF(D1010=0,IF(G1010=0,"",HYPERLINK("#"&amp;RIGHT(CELL("adresse",OFFSET(DMAV_Dienste!$M$6,G1010-1,0)),LEN(CELL("adresse",OFFSET(DMAV_Dienste!$M$6,G1010-1,0)))-FIND("]",CELL("adresse",OFFSET(DMAV_Dienste!$M$6,G1010-1,0)))),"Substructure")),HYPERLINK("#"&amp;RIGHT(CELL("adresse",OFFSET(DMAV_Modell!$N$6,D1010-1,0)),LEN(CELL("adresse",OFFSET(DMAV_Modell!$N$6,D1010-1,0)))-FIND("]",CELL("adresse",OFFSET(DMAV_Modell!$N$6,D1010-1,0)))),"Substructure"))</f>
        <v/>
      </c>
      <c r="R1010" s="80"/>
      <c r="T1010" s="93"/>
      <c r="U1010" s="94" t="s">
        <v>2980</v>
      </c>
      <c r="V1010" s="95" t="s">
        <v>3240</v>
      </c>
      <c r="W1010" s="96"/>
      <c r="Y1010" s="85" t="s">
        <v>3236</v>
      </c>
      <c r="Z1010" s="86" t="s">
        <v>2980</v>
      </c>
      <c r="AA1010" s="87" t="s">
        <v>3097</v>
      </c>
      <c r="AB1010" s="88"/>
      <c r="AD1010" s="77"/>
      <c r="AF1010" s="54" t="str" cm="1">
        <f t="array" aca="1" ref="AF1010" ca="1">IF(H1010=0,"",HYPERLINK("#"&amp;RIGHT(CELL("adresse",OFFSET('DM01-AV-CH'!$G$6,H1010-1,0)),LEN(CELL("adresse",OFFSET('DM01-AV-CH'!$G$6,H1010-1,0)))-FIND("]",CELL("adresse",OFFSET('DM01-AV-CH'!$G$6,H1010-1,0)))),"Modell"))</f>
        <v>Modell</v>
      </c>
      <c r="AG1010" s="72" t="str" cm="1">
        <f t="array" ref="AG1010">IF($H1010=0,"",IF(INDEX('DM01-AV-CH'!G$6:G$834,$H1010)="","",INDEX('DM01-AV-CH'!G$6:G$834,$H1010)))</f>
        <v>Rohrleitungen</v>
      </c>
      <c r="AH1010" s="73" t="str" cm="1">
        <f t="array" ref="AH1010">IF($H1010=0,"",IF(INDEX('DM01-AV-CH'!H$6:H$834,$H1010)="","",INDEX('DM01-AV-CH'!H$6:H$834,$H1010)))</f>
        <v>SignalpunktPos</v>
      </c>
      <c r="AI1010" s="74" t="str" cm="1">
        <f t="array" ref="AI1010">IF($H1010=0,"",IF(INDEX('DM01-AV-CH'!I$6:I$834,$H1010)="","",INDEX('DM01-AV-CH'!I$6:I$834,$H1010)))</f>
        <v>VAli</v>
      </c>
    </row>
    <row r="1011" spans="1:35" x14ac:dyDescent="0.25">
      <c r="A1011" s="57">
        <v>1006</v>
      </c>
      <c r="B1011" s="57">
        <f>IF($A1011="","",IF(_xlfn.XLOOKUP($A1011,Korrelation!$D$4:$D$1197,Korrelation!E$4:E$1197,"-",0)="-",0,MATCH(_xlfn.XLOOKUP($A1011,Korrelation!$D$4:$D$1197,Korrelation!E$4:E$1197,"",0),DMAV_Modell!$G$6:$G$677,0)))</f>
        <v>586</v>
      </c>
      <c r="C1011" s="57">
        <f>IF($A1011="","",IF(_xlfn.XLOOKUP($A1011,Korrelation!$D$4:$D$1197,Korrelation!F$4:F$1197,"-",0)="-",0,MATCH(_xlfn.XLOOKUP($A1011,Korrelation!$D$4:$D$1197,Korrelation!F$4:F$1197,"",0),DMAV_Modell!$G$6:$G$677,0)))</f>
        <v>0</v>
      </c>
      <c r="D1011" s="57">
        <f>IF($A1011="","",IF(_xlfn.XLOOKUP($A1011,Korrelation!$D$4:$D$1197,Korrelation!G$4:G$1197,"-",0)="-",0,MATCH(_xlfn.XLOOKUP($A1011,Korrelation!$D$4:$D$1197,Korrelation!G$4:G$1197,"",0),DMAV_Modell!$G$6:$G$677,0)))</f>
        <v>0</v>
      </c>
      <c r="E1011" s="57">
        <f>IF($A1011="","",IF(_xlfn.XLOOKUP($A1011,Korrelation!$D$4:$D$1197,Korrelation!H$4:H$1197,"-",0)="-",0,MATCH(_xlfn.XLOOKUP($A1011,Korrelation!$D$4:$D$1197,Korrelation!H$4:H$1197,"",0),DMAV_Dienste!$F$6:$F$140,0)))</f>
        <v>0</v>
      </c>
      <c r="F1011" s="57">
        <f>IF($A1011="","",IF(_xlfn.XLOOKUP($A1011,Korrelation!$D$4:$D$1197,Korrelation!I$4:I$1197,"-",0)="-",0,MATCH(_xlfn.XLOOKUP($A1011,Korrelation!$D$4:$D$1197,Korrelation!I$4:I$1197,"",0),DMAV_Dienste!$F$6:$F$140,0)))</f>
        <v>0</v>
      </c>
      <c r="G1011" s="57">
        <f>IF($A1011="","",IF(_xlfn.XLOOKUP($A1011,Korrelation!$D$4:$D$1197,Korrelation!J$4:J$1197,"-",0)="-",0,MATCH(_xlfn.XLOOKUP($A1011,Korrelation!$D$4:$D$1197,Korrelation!J$4:J$1197,"",0),DMAV_Dienste!$F$6:$F$140,0)))</f>
        <v>0</v>
      </c>
      <c r="H1011" s="57">
        <f>IF($A1011="","",IF(_xlfn.XLOOKUP($A1011,Korrelation!$D$4:$D$1197,Korrelation!K$4:K$1197,"-",0)="-",0,MATCH(_xlfn.XLOOKUP($A1011,Korrelation!$D$4:$D$1197,Korrelation!K$4:K$1197,"",0),'DM01-AV-CH'!$A$6:$A$834,0)))</f>
        <v>0</v>
      </c>
      <c r="J1011" s="54" t="str" cm="1">
        <f t="array" aca="1" ref="J1011" ca="1">IF(B1011=0,IF(E1011=0,"",HYPERLINK("#"&amp;RIGHT(CELL("adresse",OFFSET(DMAV_Dienste!$M$6,E1011-1,0)),LEN(CELL("adresse",OFFSET(DMAV_Dienste!$M$6,E1011-1,0)))-FIND("]",CELL("adresse",OFFSET(DMAV_Dienste!$M$6,E1011-1,0)))),"Dienst")),HYPERLINK("#"&amp;RIGHT(CELL("adresse",OFFSET(DMAV_Modell!$N$6,B1011-1,0)),LEN(CELL("adresse",OFFSET(DMAV_Modell!$N$6,B1011-1,0)))-FIND("]",CELL("adresse",OFFSET(DMAV_Modell!$N$6,B1011-1,0)))),"Modell"))</f>
        <v>Modell</v>
      </c>
      <c r="K1011" s="61" t="str" cm="1">
        <f t="array" ref="K1011">IF($B1011=0,IF($E1011=0,"",IF(INDEX(DMAV_Dienste!P$6:P$140,$E1011)="","",INDEX(DMAV_Dienste!P$6:P$140,$E1011))),IF(INDEX(DMAV_Modell!Q$6:Q$838,$B1011)="","",INDEX(DMAV_Modell!Q$6:Q$838,$B1011)))</f>
        <v>ASSOCIATION</v>
      </c>
      <c r="L1011" s="62" t="str" cm="1">
        <f t="array" ref="L1011">IF($B1011=0,IF($E1011=0,"",IF(INDEX(DMAV_Dienste!O$6:O$140,$E1011)="","",INDEX(DMAV_Dienste!O$6:O$140,$E1011))),IF(INDEX(DMAV_Modell!P$6:P$838,$B1011)="","",INDEX(DMAV_Modell!P$6:P$838,$B1011)))</f>
        <v>Rohrleitungen</v>
      </c>
      <c r="M1011" s="62" t="str" cm="1">
        <f t="array" ref="M1011">IF($B1011=0,IF($E1011=0,"",IF(INDEX(DMAV_Dienste!Q$6:Q$140,$E1011)="","",INDEX(DMAV_Dienste!Q$6:Q$140,$E1011))),IF(INDEX(DMAV_Modell!R$6:R$838,$B1011)="","",INDEX(DMAV_Modell!R$6:R$838,$B1011)))</f>
        <v>Entstehung_Signal</v>
      </c>
      <c r="N1011" s="62" t="str" cm="1">
        <f t="array" ref="N1011">IF($B1011=0,IF($E1011=0,"",IF(INDEX(DMAV_Dienste!T$6:T$140,$E1011)="","",INDEX(DMAV_Dienste!T$6:T$140,$E1011))),IF(INDEX(DMAV_Modell!U$6:U$838,$B1011)="","",INDEX(DMAV_Modell!U$6:U$838,$B1011)))</f>
        <v>Entstehung</v>
      </c>
      <c r="O1011" s="63" t="str" cm="1">
        <f t="array" aca="1" ref="O1011" ca="1">IF(C1011=0,IF(F1011=0,"",HYPERLINK("#"&amp;RIGHT(CELL("adresse",OFFSET(DMAV_Dienste!$M$6,F1011-1,0)),LEN(CELL("adresse",OFFSET(DMAV_Dienste!$M$6,F1011-1,0)))-FIND("]",CELL("adresse",OFFSET(DMAV_Dienste!$M$6,F1011-1,0)))),"Structure")),HYPERLINK("#"&amp;RIGHT(CELL("adresse",OFFSET(DMAV_Modell!$N$6,C1011-1,0)),LEN(CELL("adresse",OFFSET(DMAV_Modell!$N$6,C1011-1,0)))-FIND("]",CELL("adresse",OFFSET(DMAV_Modell!$N$6,C1011-1,0)))),"Structure"))</f>
        <v/>
      </c>
      <c r="P1011" s="64" t="str" cm="1">
        <f t="array" aca="1" ref="P1011" ca="1">IF(D1011=0,IF(G1011=0,"",HYPERLINK("#"&amp;RIGHT(CELL("adresse",OFFSET(DMAV_Dienste!$M$6,G1011-1,0)),LEN(CELL("adresse",OFFSET(DMAV_Dienste!$M$6,G1011-1,0)))-FIND("]",CELL("adresse",OFFSET(DMAV_Dienste!$M$6,G1011-1,0)))),"Substructure")),HYPERLINK("#"&amp;RIGHT(CELL("adresse",OFFSET(DMAV_Modell!$N$6,D1011-1,0)),LEN(CELL("adresse",OFFSET(DMAV_Modell!$N$6,D1011-1,0)))-FIND("]",CELL("adresse",OFFSET(DMAV_Modell!$N$6,D1011-1,0)))),"Substructure"))</f>
        <v/>
      </c>
      <c r="R1011" s="80"/>
      <c r="T1011" s="93"/>
      <c r="U1011" s="94"/>
      <c r="V1011" s="95"/>
      <c r="W1011" s="96"/>
      <c r="Y1011" s="85"/>
      <c r="Z1011" s="86"/>
      <c r="AA1011" s="87"/>
      <c r="AB1011" s="88"/>
      <c r="AD1011" s="77"/>
      <c r="AF1011" s="54" t="str" cm="1">
        <f t="array" aca="1" ref="AF1011" ca="1">IF(H1011=0,"",HYPERLINK("#"&amp;RIGHT(CELL("adresse",OFFSET('DM01-AV-CH'!$G$6,H1011-1,0)),LEN(CELL("adresse",OFFSET('DM01-AV-CH'!$G$6,H1011-1,0)))-FIND("]",CELL("adresse",OFFSET('DM01-AV-CH'!$G$6,H1011-1,0)))),"Modell"))</f>
        <v/>
      </c>
      <c r="AG1011" s="72" t="str" cm="1">
        <f t="array" ref="AG1011">IF($H1011=0,"",IF(INDEX('DM01-AV-CH'!G$6:G$834,$H1011)="","",INDEX('DM01-AV-CH'!G$6:G$834,$H1011)))</f>
        <v/>
      </c>
      <c r="AH1011" s="73" t="str" cm="1">
        <f t="array" ref="AH1011">IF($H1011=0,"",IF(INDEX('DM01-AV-CH'!H$6:H$834,$H1011)="","",INDEX('DM01-AV-CH'!H$6:H$834,$H1011)))</f>
        <v/>
      </c>
      <c r="AI1011" s="74" t="str" cm="1">
        <f t="array" ref="AI1011">IF($H1011=0,"",IF(INDEX('DM01-AV-CH'!I$6:I$834,$H1011)="","",INDEX('DM01-AV-CH'!I$6:I$834,$H1011)))</f>
        <v/>
      </c>
    </row>
    <row r="1012" spans="1:35" x14ac:dyDescent="0.25">
      <c r="A1012" s="57">
        <v>1007</v>
      </c>
      <c r="B1012" s="57">
        <f>IF($A1012="","",IF(_xlfn.XLOOKUP($A1012,Korrelation!$D$4:$D$1197,Korrelation!E$4:E$1197,"-",0)="-",0,MATCH(_xlfn.XLOOKUP($A1012,Korrelation!$D$4:$D$1197,Korrelation!E$4:E$1197,"",0),DMAV_Modell!$G$6:$G$677,0)))</f>
        <v>587</v>
      </c>
      <c r="C1012" s="57">
        <f>IF($A1012="","",IF(_xlfn.XLOOKUP($A1012,Korrelation!$D$4:$D$1197,Korrelation!F$4:F$1197,"-",0)="-",0,MATCH(_xlfn.XLOOKUP($A1012,Korrelation!$D$4:$D$1197,Korrelation!F$4:F$1197,"",0),DMAV_Modell!$G$6:$G$677,0)))</f>
        <v>0</v>
      </c>
      <c r="D1012" s="57">
        <f>IF($A1012="","",IF(_xlfn.XLOOKUP($A1012,Korrelation!$D$4:$D$1197,Korrelation!G$4:G$1197,"-",0)="-",0,MATCH(_xlfn.XLOOKUP($A1012,Korrelation!$D$4:$D$1197,Korrelation!G$4:G$1197,"",0),DMAV_Modell!$G$6:$G$677,0)))</f>
        <v>0</v>
      </c>
      <c r="E1012" s="57">
        <f>IF($A1012="","",IF(_xlfn.XLOOKUP($A1012,Korrelation!$D$4:$D$1197,Korrelation!H$4:H$1197,"-",0)="-",0,MATCH(_xlfn.XLOOKUP($A1012,Korrelation!$D$4:$D$1197,Korrelation!H$4:H$1197,"",0),DMAV_Dienste!$F$6:$F$140,0)))</f>
        <v>0</v>
      </c>
      <c r="F1012" s="57">
        <f>IF($A1012="","",IF(_xlfn.XLOOKUP($A1012,Korrelation!$D$4:$D$1197,Korrelation!I$4:I$1197,"-",0)="-",0,MATCH(_xlfn.XLOOKUP($A1012,Korrelation!$D$4:$D$1197,Korrelation!I$4:I$1197,"",0),DMAV_Dienste!$F$6:$F$140,0)))</f>
        <v>0</v>
      </c>
      <c r="G1012" s="57">
        <f>IF($A1012="","",IF(_xlfn.XLOOKUP($A1012,Korrelation!$D$4:$D$1197,Korrelation!J$4:J$1197,"-",0)="-",0,MATCH(_xlfn.XLOOKUP($A1012,Korrelation!$D$4:$D$1197,Korrelation!J$4:J$1197,"",0),DMAV_Dienste!$F$6:$F$140,0)))</f>
        <v>0</v>
      </c>
      <c r="H1012" s="57">
        <f>IF($A1012="","",IF(_xlfn.XLOOKUP($A1012,Korrelation!$D$4:$D$1197,Korrelation!K$4:K$1197,"-",0)="-",0,MATCH(_xlfn.XLOOKUP($A1012,Korrelation!$D$4:$D$1197,Korrelation!K$4:K$1197,"",0),'DM01-AV-CH'!$A$6:$A$834,0)))</f>
        <v>0</v>
      </c>
      <c r="J1012" s="54" t="str" cm="1">
        <f t="array" aca="1" ref="J1012" ca="1">IF(B1012=0,IF(E1012=0,"",HYPERLINK("#"&amp;RIGHT(CELL("adresse",OFFSET(DMAV_Dienste!$M$6,E1012-1,0)),LEN(CELL("adresse",OFFSET(DMAV_Dienste!$M$6,E1012-1,0)))-FIND("]",CELL("adresse",OFFSET(DMAV_Dienste!$M$6,E1012-1,0)))),"Dienst")),HYPERLINK("#"&amp;RIGHT(CELL("adresse",OFFSET(DMAV_Modell!$N$6,B1012-1,0)),LEN(CELL("adresse",OFFSET(DMAV_Modell!$N$6,B1012-1,0)))-FIND("]",CELL("adresse",OFFSET(DMAV_Modell!$N$6,B1012-1,0)))),"Modell"))</f>
        <v>Modell</v>
      </c>
      <c r="K1012" s="61" t="str" cm="1">
        <f t="array" ref="K1012">IF($B1012=0,IF($E1012=0,"",IF(INDEX(DMAV_Dienste!P$6:P$140,$E1012)="","",INDEX(DMAV_Dienste!P$6:P$140,$E1012))),IF(INDEX(DMAV_Modell!Q$6:Q$838,$B1012)="","",INDEX(DMAV_Modell!Q$6:Q$838,$B1012)))</f>
        <v>ASSOCIATION</v>
      </c>
      <c r="L1012" s="62" t="str" cm="1">
        <f t="array" ref="L1012">IF($B1012=0,IF($E1012=0,"",IF(INDEX(DMAV_Dienste!O$6:O$140,$E1012)="","",INDEX(DMAV_Dienste!O$6:O$140,$E1012))),IF(INDEX(DMAV_Modell!P$6:P$838,$B1012)="","",INDEX(DMAV_Modell!P$6:P$838,$B1012)))</f>
        <v>Rohrleitungen</v>
      </c>
      <c r="M1012" s="62" t="str" cm="1">
        <f t="array" ref="M1012">IF($B1012=0,IF($E1012=0,"",IF(INDEX(DMAV_Dienste!Q$6:Q$140,$E1012)="","",INDEX(DMAV_Dienste!Q$6:Q$140,$E1012))),IF(INDEX(DMAV_Modell!R$6:R$838,$B1012)="","",INDEX(DMAV_Modell!R$6:R$838,$B1012)))</f>
        <v>Entstehung_Signal</v>
      </c>
      <c r="N1012" s="62" t="str" cm="1">
        <f t="array" ref="N1012">IF($B1012=0,IF($E1012=0,"",IF(INDEX(DMAV_Dienste!T$6:T$140,$E1012)="","",INDEX(DMAV_Dienste!T$6:T$140,$E1012))),IF(INDEX(DMAV_Modell!U$6:U$838,$B1012)="","",INDEX(DMAV_Modell!U$6:U$838,$B1012)))</f>
        <v>entstehendes_Signal</v>
      </c>
      <c r="O1012" s="63" t="str" cm="1">
        <f t="array" aca="1" ref="O1012" ca="1">IF(C1012=0,IF(F1012=0,"",HYPERLINK("#"&amp;RIGHT(CELL("adresse",OFFSET(DMAV_Dienste!$M$6,F1012-1,0)),LEN(CELL("adresse",OFFSET(DMAV_Dienste!$M$6,F1012-1,0)))-FIND("]",CELL("adresse",OFFSET(DMAV_Dienste!$M$6,F1012-1,0)))),"Structure")),HYPERLINK("#"&amp;RIGHT(CELL("adresse",OFFSET(DMAV_Modell!$N$6,C1012-1,0)),LEN(CELL("adresse",OFFSET(DMAV_Modell!$N$6,C1012-1,0)))-FIND("]",CELL("adresse",OFFSET(DMAV_Modell!$N$6,C1012-1,0)))),"Structure"))</f>
        <v/>
      </c>
      <c r="P1012" s="64" t="str" cm="1">
        <f t="array" aca="1" ref="P1012" ca="1">IF(D1012=0,IF(G1012=0,"",HYPERLINK("#"&amp;RIGHT(CELL("adresse",OFFSET(DMAV_Dienste!$M$6,G1012-1,0)),LEN(CELL("adresse",OFFSET(DMAV_Dienste!$M$6,G1012-1,0)))-FIND("]",CELL("adresse",OFFSET(DMAV_Dienste!$M$6,G1012-1,0)))),"Substructure")),HYPERLINK("#"&amp;RIGHT(CELL("adresse",OFFSET(DMAV_Modell!$N$6,D1012-1,0)),LEN(CELL("adresse",OFFSET(DMAV_Modell!$N$6,D1012-1,0)))-FIND("]",CELL("adresse",OFFSET(DMAV_Modell!$N$6,D1012-1,0)))),"Substructure"))</f>
        <v/>
      </c>
      <c r="R1012" s="80"/>
      <c r="T1012" s="93"/>
      <c r="U1012" s="94"/>
      <c r="V1012" s="95"/>
      <c r="W1012" s="96"/>
      <c r="Y1012" s="85"/>
      <c r="Z1012" s="86"/>
      <c r="AA1012" s="87"/>
      <c r="AB1012" s="88"/>
      <c r="AD1012" s="77"/>
      <c r="AF1012" s="54" t="str" cm="1">
        <f t="array" aca="1" ref="AF1012" ca="1">IF(H1012=0,"",HYPERLINK("#"&amp;RIGHT(CELL("adresse",OFFSET('DM01-AV-CH'!$G$6,H1012-1,0)),LEN(CELL("adresse",OFFSET('DM01-AV-CH'!$G$6,H1012-1,0)))-FIND("]",CELL("adresse",OFFSET('DM01-AV-CH'!$G$6,H1012-1,0)))),"Modell"))</f>
        <v/>
      </c>
      <c r="AG1012" s="72" t="str" cm="1">
        <f t="array" ref="AG1012">IF($H1012=0,"",IF(INDEX('DM01-AV-CH'!G$6:G$834,$H1012)="","",INDEX('DM01-AV-CH'!G$6:G$834,$H1012)))</f>
        <v/>
      </c>
      <c r="AH1012" s="73" t="str" cm="1">
        <f t="array" ref="AH1012">IF($H1012=0,"",IF(INDEX('DM01-AV-CH'!H$6:H$834,$H1012)="","",INDEX('DM01-AV-CH'!H$6:H$834,$H1012)))</f>
        <v/>
      </c>
      <c r="AI1012" s="74" t="str" cm="1">
        <f t="array" ref="AI1012">IF($H1012=0,"",IF(INDEX('DM01-AV-CH'!I$6:I$834,$H1012)="","",INDEX('DM01-AV-CH'!I$6:I$834,$H1012)))</f>
        <v/>
      </c>
    </row>
    <row r="1013" spans="1:35" x14ac:dyDescent="0.25">
      <c r="A1013" s="57">
        <v>1008</v>
      </c>
      <c r="B1013" s="57">
        <f>IF($A1013="","",IF(_xlfn.XLOOKUP($A1013,Korrelation!$D$4:$D$1197,Korrelation!E$4:E$1197,"-",0)="-",0,MATCH(_xlfn.XLOOKUP($A1013,Korrelation!$D$4:$D$1197,Korrelation!E$4:E$1197,"",0),DMAV_Modell!$G$6:$G$677,0)))</f>
        <v>0</v>
      </c>
      <c r="C1013" s="57">
        <f>IF($A1013="","",IF(_xlfn.XLOOKUP($A1013,Korrelation!$D$4:$D$1197,Korrelation!F$4:F$1197,"-",0)="-",0,MATCH(_xlfn.XLOOKUP($A1013,Korrelation!$D$4:$D$1197,Korrelation!F$4:F$1197,"",0),DMAV_Modell!$G$6:$G$677,0)))</f>
        <v>0</v>
      </c>
      <c r="D1013" s="57">
        <f>IF($A1013="","",IF(_xlfn.XLOOKUP($A1013,Korrelation!$D$4:$D$1197,Korrelation!G$4:G$1197,"-",0)="-",0,MATCH(_xlfn.XLOOKUP($A1013,Korrelation!$D$4:$D$1197,Korrelation!G$4:G$1197,"",0),DMAV_Modell!$G$6:$G$677,0)))</f>
        <v>0</v>
      </c>
      <c r="E1013" s="57">
        <f>IF($A1013="","",IF(_xlfn.XLOOKUP($A1013,Korrelation!$D$4:$D$1197,Korrelation!H$4:H$1197,"-",0)="-",0,MATCH(_xlfn.XLOOKUP($A1013,Korrelation!$D$4:$D$1197,Korrelation!H$4:H$1197,"",0),DMAV_Dienste!$F$6:$F$140,0)))</f>
        <v>0</v>
      </c>
      <c r="F1013" s="57">
        <f>IF($A1013="","",IF(_xlfn.XLOOKUP($A1013,Korrelation!$D$4:$D$1197,Korrelation!I$4:I$1197,"-",0)="-",0,MATCH(_xlfn.XLOOKUP($A1013,Korrelation!$D$4:$D$1197,Korrelation!I$4:I$1197,"",0),DMAV_Dienste!$F$6:$F$140,0)))</f>
        <v>0</v>
      </c>
      <c r="G1013" s="57">
        <f>IF($A1013="","",IF(_xlfn.XLOOKUP($A1013,Korrelation!$D$4:$D$1197,Korrelation!J$4:J$1197,"-",0)="-",0,MATCH(_xlfn.XLOOKUP($A1013,Korrelation!$D$4:$D$1197,Korrelation!J$4:J$1197,"",0),DMAV_Dienste!$F$6:$F$140,0)))</f>
        <v>0</v>
      </c>
      <c r="H1013" s="57">
        <f>IF($A1013="","",IF(_xlfn.XLOOKUP($A1013,Korrelation!$D$4:$D$1197,Korrelation!K$4:K$1197,"-",0)="-",0,MATCH(_xlfn.XLOOKUP($A1013,Korrelation!$D$4:$D$1197,Korrelation!K$4:K$1197,"",0),'DM01-AV-CH'!$A$6:$A$834,0)))</f>
        <v>538</v>
      </c>
      <c r="J1013" s="54" t="str" cm="1">
        <f t="array" aca="1" ref="J1013" ca="1">IF(B1013=0,IF(E1013=0,"",HYPERLINK("#"&amp;RIGHT(CELL("adresse",OFFSET(DMAV_Dienste!$M$6,E1013-1,0)),LEN(CELL("adresse",OFFSET(DMAV_Dienste!$M$6,E1013-1,0)))-FIND("]",CELL("adresse",OFFSET(DMAV_Dienste!$M$6,E1013-1,0)))),"Dienst")),HYPERLINK("#"&amp;RIGHT(CELL("adresse",OFFSET(DMAV_Modell!$N$6,B1013-1,0)),LEN(CELL("adresse",OFFSET(DMAV_Modell!$N$6,B1013-1,0)))-FIND("]",CELL("adresse",OFFSET(DMAV_Modell!$N$6,B1013-1,0)))),"Modell"))</f>
        <v/>
      </c>
      <c r="K1013" s="61" t="str" cm="1">
        <f t="array" ref="K1013">IF($B1013=0,IF($E1013=0,"",IF(INDEX(DMAV_Dienste!P$6:P$140,$E1013)="","",INDEX(DMAV_Dienste!P$6:P$140,$E1013))),IF(INDEX(DMAV_Modell!Q$6:Q$838,$B1013)="","",INDEX(DMAV_Modell!Q$6:Q$838,$B1013)))</f>
        <v/>
      </c>
      <c r="L1013" s="62" t="str" cm="1">
        <f t="array" ref="L1013">IF($B1013=0,IF($E1013=0,"",IF(INDEX(DMAV_Dienste!O$6:O$140,$E1013)="","",INDEX(DMAV_Dienste!O$6:O$140,$E1013))),IF(INDEX(DMAV_Modell!P$6:P$838,$B1013)="","",INDEX(DMAV_Modell!P$6:P$838,$B1013)))</f>
        <v/>
      </c>
      <c r="M1013" s="62" t="str" cm="1">
        <f t="array" ref="M1013">IF($B1013=0,IF($E1013=0,"",IF(INDEX(DMAV_Dienste!Q$6:Q$140,$E1013)="","",INDEX(DMAV_Dienste!Q$6:Q$140,$E1013))),IF(INDEX(DMAV_Modell!R$6:R$838,$B1013)="","",INDEX(DMAV_Modell!R$6:R$838,$B1013)))</f>
        <v/>
      </c>
      <c r="N1013" s="62" t="str" cm="1">
        <f t="array" ref="N1013">IF($B1013=0,IF($E1013=0,"",IF(INDEX(DMAV_Dienste!T$6:T$140,$E1013)="","",INDEX(DMAV_Dienste!T$6:T$140,$E1013))),IF(INDEX(DMAV_Modell!U$6:U$838,$B1013)="","",INDEX(DMAV_Modell!U$6:U$838,$B1013)))</f>
        <v/>
      </c>
      <c r="O1013" s="63" t="str" cm="1">
        <f t="array" aca="1" ref="O1013" ca="1">IF(C1013=0,IF(F1013=0,"",HYPERLINK("#"&amp;RIGHT(CELL("adresse",OFFSET(DMAV_Dienste!$M$6,F1013-1,0)),LEN(CELL("adresse",OFFSET(DMAV_Dienste!$M$6,F1013-1,0)))-FIND("]",CELL("adresse",OFFSET(DMAV_Dienste!$M$6,F1013-1,0)))),"Structure")),HYPERLINK("#"&amp;RIGHT(CELL("adresse",OFFSET(DMAV_Modell!$N$6,C1013-1,0)),LEN(CELL("adresse",OFFSET(DMAV_Modell!$N$6,C1013-1,0)))-FIND("]",CELL("adresse",OFFSET(DMAV_Modell!$N$6,C1013-1,0)))),"Structure"))</f>
        <v/>
      </c>
      <c r="P1013" s="64" t="str" cm="1">
        <f t="array" aca="1" ref="P1013" ca="1">IF(D1013=0,IF(G1013=0,"",HYPERLINK("#"&amp;RIGHT(CELL("adresse",OFFSET(DMAV_Dienste!$M$6,G1013-1,0)),LEN(CELL("adresse",OFFSET(DMAV_Dienste!$M$6,G1013-1,0)))-FIND("]",CELL("adresse",OFFSET(DMAV_Dienste!$M$6,G1013-1,0)))),"Substructure")),HYPERLINK("#"&amp;RIGHT(CELL("adresse",OFFSET(DMAV_Modell!$N$6,D1013-1,0)),LEN(CELL("adresse",OFFSET(DMAV_Modell!$N$6,D1013-1,0)))-FIND("]",CELL("adresse",OFFSET(DMAV_Modell!$N$6,D1013-1,0)))),"Substructure"))</f>
        <v/>
      </c>
      <c r="R1013" s="80"/>
      <c r="T1013" s="93"/>
      <c r="U1013" s="94"/>
      <c r="V1013" s="95"/>
      <c r="W1013" s="96"/>
      <c r="Y1013" s="85"/>
      <c r="Z1013" s="86"/>
      <c r="AA1013" s="87"/>
      <c r="AB1013" s="88"/>
      <c r="AD1013" s="77"/>
      <c r="AF1013" s="54" t="str" cm="1">
        <f t="array" aca="1" ref="AF1013" ca="1">IF(H1013=0,"",HYPERLINK("#"&amp;RIGHT(CELL("adresse",OFFSET('DM01-AV-CH'!$G$6,H1013-1,0)),LEN(CELL("adresse",OFFSET('DM01-AV-CH'!$G$6,H1013-1,0)))-FIND("]",CELL("adresse",OFFSET('DM01-AV-CH'!$G$6,H1013-1,0)))),"Modell"))</f>
        <v>Modell</v>
      </c>
      <c r="AG1013" s="72" t="str" cm="1">
        <f t="array" ref="AG1013">IF($H1013=0,"",IF(INDEX('DM01-AV-CH'!G$6:G$834,$H1013)="","",INDEX('DM01-AV-CH'!G$6:G$834,$H1013)))</f>
        <v>Rohrleitungen</v>
      </c>
      <c r="AH1013" s="73" t="str" cm="1">
        <f t="array" ref="AH1013">IF($H1013=0,"",IF(INDEX('DM01-AV-CH'!H$6:H$834,$H1013)="","",INDEX('DM01-AV-CH'!H$6:H$834,$H1013)))</f>
        <v>Einzelpunkt</v>
      </c>
      <c r="AI1013" s="74" t="str" cm="1">
        <f t="array" ref="AI1013">IF($H1013=0,"",IF(INDEX('DM01-AV-CH'!I$6:I$834,$H1013)="","",INDEX('DM01-AV-CH'!I$6:I$834,$H1013)))</f>
        <v>Entstehung</v>
      </c>
    </row>
    <row r="1014" spans="1:35" x14ac:dyDescent="0.25">
      <c r="A1014" s="57">
        <v>1009</v>
      </c>
      <c r="B1014" s="57">
        <f>IF($A1014="","",IF(_xlfn.XLOOKUP($A1014,Korrelation!$D$4:$D$1197,Korrelation!E$4:E$1197,"-",0)="-",0,MATCH(_xlfn.XLOOKUP($A1014,Korrelation!$D$4:$D$1197,Korrelation!E$4:E$1197,"",0),DMAV_Modell!$G$6:$G$677,0)))</f>
        <v>588</v>
      </c>
      <c r="C1014" s="57">
        <f>IF($A1014="","",IF(_xlfn.XLOOKUP($A1014,Korrelation!$D$4:$D$1197,Korrelation!F$4:F$1197,"-",0)="-",0,MATCH(_xlfn.XLOOKUP($A1014,Korrelation!$D$4:$D$1197,Korrelation!F$4:F$1197,"",0),DMAV_Modell!$G$6:$G$677,0)))</f>
        <v>0</v>
      </c>
      <c r="D1014" s="57">
        <f>IF($A1014="","",IF(_xlfn.XLOOKUP($A1014,Korrelation!$D$4:$D$1197,Korrelation!G$4:G$1197,"-",0)="-",0,MATCH(_xlfn.XLOOKUP($A1014,Korrelation!$D$4:$D$1197,Korrelation!G$4:G$1197,"",0),DMAV_Modell!$G$6:$G$677,0)))</f>
        <v>0</v>
      </c>
      <c r="E1014" s="57">
        <f>IF($A1014="","",IF(_xlfn.XLOOKUP($A1014,Korrelation!$D$4:$D$1197,Korrelation!H$4:H$1197,"-",0)="-",0,MATCH(_xlfn.XLOOKUP($A1014,Korrelation!$D$4:$D$1197,Korrelation!H$4:H$1197,"",0),DMAV_Dienste!$F$6:$F$140,0)))</f>
        <v>0</v>
      </c>
      <c r="F1014" s="57">
        <f>IF($A1014="","",IF(_xlfn.XLOOKUP($A1014,Korrelation!$D$4:$D$1197,Korrelation!I$4:I$1197,"-",0)="-",0,MATCH(_xlfn.XLOOKUP($A1014,Korrelation!$D$4:$D$1197,Korrelation!I$4:I$1197,"",0),DMAV_Dienste!$F$6:$F$140,0)))</f>
        <v>0</v>
      </c>
      <c r="G1014" s="57">
        <f>IF($A1014="","",IF(_xlfn.XLOOKUP($A1014,Korrelation!$D$4:$D$1197,Korrelation!J$4:J$1197,"-",0)="-",0,MATCH(_xlfn.XLOOKUP($A1014,Korrelation!$D$4:$D$1197,Korrelation!J$4:J$1197,"",0),DMAV_Dienste!$F$6:$F$140,0)))</f>
        <v>0</v>
      </c>
      <c r="H1014" s="57">
        <f>IF($A1014="","",IF(_xlfn.XLOOKUP($A1014,Korrelation!$D$4:$D$1197,Korrelation!K$4:K$1197,"-",0)="-",0,MATCH(_xlfn.XLOOKUP($A1014,Korrelation!$D$4:$D$1197,Korrelation!K$4:K$1197,"",0),'DM01-AV-CH'!$A$6:$A$834,0)))</f>
        <v>539</v>
      </c>
      <c r="J1014" s="54" t="str" cm="1">
        <f t="array" aca="1" ref="J1014" ca="1">IF(B1014=0,IF(E1014=0,"",HYPERLINK("#"&amp;RIGHT(CELL("adresse",OFFSET(DMAV_Dienste!$M$6,E1014-1,0)),LEN(CELL("adresse",OFFSET(DMAV_Dienste!$M$6,E1014-1,0)))-FIND("]",CELL("adresse",OFFSET(DMAV_Dienste!$M$6,E1014-1,0)))),"Dienst")),HYPERLINK("#"&amp;RIGHT(CELL("adresse",OFFSET(DMAV_Modell!$N$6,B1014-1,0)),LEN(CELL("adresse",OFFSET(DMAV_Modell!$N$6,B1014-1,0)))-FIND("]",CELL("adresse",OFFSET(DMAV_Modell!$N$6,B1014-1,0)))),"Modell"))</f>
        <v>Modell</v>
      </c>
      <c r="K1014" s="61" t="str" cm="1">
        <f t="array" ref="K1014">IF($B1014=0,IF($E1014=0,"",IF(INDEX(DMAV_Dienste!P$6:P$140,$E1014)="","",INDEX(DMAV_Dienste!P$6:P$140,$E1014))),IF(INDEX(DMAV_Modell!Q$6:Q$838,$B1014)="","",INDEX(DMAV_Modell!Q$6:Q$838,$B1014)))</f>
        <v>CLASS</v>
      </c>
      <c r="L1014" s="62" t="str" cm="1">
        <f t="array" ref="L1014">IF($B1014=0,IF($E1014=0,"",IF(INDEX(DMAV_Dienste!O$6:O$140,$E1014)="","",INDEX(DMAV_Dienste!O$6:O$140,$E1014))),IF(INDEX(DMAV_Modell!P$6:P$838,$B1014)="","",INDEX(DMAV_Modell!P$6:P$838,$B1014)))</f>
        <v>Rohrleitungen</v>
      </c>
      <c r="M1014" s="62" t="str" cm="1">
        <f t="array" ref="M1014">IF($B1014=0,IF($E1014=0,"",IF(INDEX(DMAV_Dienste!Q$6:Q$140,$E1014)="","",INDEX(DMAV_Dienste!Q$6:Q$140,$E1014))),IF(INDEX(DMAV_Modell!R$6:R$838,$B1014)="","",INDEX(DMAV_Modell!R$6:R$838,$B1014)))</f>
        <v>Messpunkt</v>
      </c>
      <c r="N1014" s="62" t="str" cm="1">
        <f t="array" ref="N1014">IF($B1014=0,IF($E1014=0,"",IF(INDEX(DMAV_Dienste!T$6:T$140,$E1014)="","",INDEX(DMAV_Dienste!T$6:T$140,$E1014))),IF(INDEX(DMAV_Modell!U$6:U$838,$B1014)="","",INDEX(DMAV_Modell!U$6:U$838,$B1014)))</f>
        <v>Nummer</v>
      </c>
      <c r="O1014" s="63" t="str" cm="1">
        <f t="array" aca="1" ref="O1014" ca="1">IF(C1014=0,IF(F1014=0,"",HYPERLINK("#"&amp;RIGHT(CELL("adresse",OFFSET(DMAV_Dienste!$M$6,F1014-1,0)),LEN(CELL("adresse",OFFSET(DMAV_Dienste!$M$6,F1014-1,0)))-FIND("]",CELL("adresse",OFFSET(DMAV_Dienste!$M$6,F1014-1,0)))),"Structure")),HYPERLINK("#"&amp;RIGHT(CELL("adresse",OFFSET(DMAV_Modell!$N$6,C1014-1,0)),LEN(CELL("adresse",OFFSET(DMAV_Modell!$N$6,C1014-1,0)))-FIND("]",CELL("adresse",OFFSET(DMAV_Modell!$N$6,C1014-1,0)))),"Structure"))</f>
        <v/>
      </c>
      <c r="P1014" s="64" t="str" cm="1">
        <f t="array" aca="1" ref="P1014" ca="1">IF(D1014=0,IF(G1014=0,"",HYPERLINK("#"&amp;RIGHT(CELL("adresse",OFFSET(DMAV_Dienste!$M$6,G1014-1,0)),LEN(CELL("adresse",OFFSET(DMAV_Dienste!$M$6,G1014-1,0)))-FIND("]",CELL("adresse",OFFSET(DMAV_Dienste!$M$6,G1014-1,0)))),"Substructure")),HYPERLINK("#"&amp;RIGHT(CELL("adresse",OFFSET(DMAV_Modell!$N$6,D1014-1,0)),LEN(CELL("adresse",OFFSET(DMAV_Modell!$N$6,D1014-1,0)))-FIND("]",CELL("adresse",OFFSET(DMAV_Modell!$N$6,D1014-1,0)))),"Substructure"))</f>
        <v/>
      </c>
      <c r="R1014" s="80"/>
      <c r="T1014" s="93"/>
      <c r="U1014" s="94"/>
      <c r="V1014" s="95"/>
      <c r="W1014" s="96"/>
      <c r="Y1014" s="85"/>
      <c r="Z1014" s="86"/>
      <c r="AA1014" s="87"/>
      <c r="AB1014" s="88"/>
      <c r="AD1014" s="77"/>
      <c r="AF1014" s="54" t="str" cm="1">
        <f t="array" aca="1" ref="AF1014" ca="1">IF(H1014=0,"",HYPERLINK("#"&amp;RIGHT(CELL("adresse",OFFSET('DM01-AV-CH'!$G$6,H1014-1,0)),LEN(CELL("adresse",OFFSET('DM01-AV-CH'!$G$6,H1014-1,0)))-FIND("]",CELL("adresse",OFFSET('DM01-AV-CH'!$G$6,H1014-1,0)))),"Modell"))</f>
        <v>Modell</v>
      </c>
      <c r="AG1014" s="72" t="str" cm="1">
        <f t="array" ref="AG1014">IF($H1014=0,"",IF(INDEX('DM01-AV-CH'!G$6:G$834,$H1014)="","",INDEX('DM01-AV-CH'!G$6:G$834,$H1014)))</f>
        <v>Rohrleitungen</v>
      </c>
      <c r="AH1014" s="73" t="str" cm="1">
        <f t="array" ref="AH1014">IF($H1014=0,"",IF(INDEX('DM01-AV-CH'!H$6:H$834,$H1014)="","",INDEX('DM01-AV-CH'!H$6:H$834,$H1014)))</f>
        <v>Einzelpunkt</v>
      </c>
      <c r="AI1014" s="74" t="str" cm="1">
        <f t="array" ref="AI1014">IF($H1014=0,"",IF(INDEX('DM01-AV-CH'!I$6:I$834,$H1014)="","",INDEX('DM01-AV-CH'!I$6:I$834,$H1014)))</f>
        <v>Identifikator</v>
      </c>
    </row>
    <row r="1015" spans="1:35" x14ac:dyDescent="0.25">
      <c r="A1015" s="57">
        <v>1010</v>
      </c>
      <c r="B1015" s="57">
        <f>IF($A1015="","",IF(_xlfn.XLOOKUP($A1015,Korrelation!$D$4:$D$1197,Korrelation!E$4:E$1197,"-",0)="-",0,MATCH(_xlfn.XLOOKUP($A1015,Korrelation!$D$4:$D$1197,Korrelation!E$4:E$1197,"",0),DMAV_Modell!$G$6:$G$677,0)))</f>
        <v>589</v>
      </c>
      <c r="C1015" s="57">
        <f>IF($A1015="","",IF(_xlfn.XLOOKUP($A1015,Korrelation!$D$4:$D$1197,Korrelation!F$4:F$1197,"-",0)="-",0,MATCH(_xlfn.XLOOKUP($A1015,Korrelation!$D$4:$D$1197,Korrelation!F$4:F$1197,"",0),DMAV_Modell!$G$6:$G$677,0)))</f>
        <v>0</v>
      </c>
      <c r="D1015" s="57">
        <f>IF($A1015="","",IF(_xlfn.XLOOKUP($A1015,Korrelation!$D$4:$D$1197,Korrelation!G$4:G$1197,"-",0)="-",0,MATCH(_xlfn.XLOOKUP($A1015,Korrelation!$D$4:$D$1197,Korrelation!G$4:G$1197,"",0),DMAV_Modell!$G$6:$G$677,0)))</f>
        <v>0</v>
      </c>
      <c r="E1015" s="57">
        <f>IF($A1015="","",IF(_xlfn.XLOOKUP($A1015,Korrelation!$D$4:$D$1197,Korrelation!H$4:H$1197,"-",0)="-",0,MATCH(_xlfn.XLOOKUP($A1015,Korrelation!$D$4:$D$1197,Korrelation!H$4:H$1197,"",0),DMAV_Dienste!$F$6:$F$140,0)))</f>
        <v>0</v>
      </c>
      <c r="F1015" s="57">
        <f>IF($A1015="","",IF(_xlfn.XLOOKUP($A1015,Korrelation!$D$4:$D$1197,Korrelation!I$4:I$1197,"-",0)="-",0,MATCH(_xlfn.XLOOKUP($A1015,Korrelation!$D$4:$D$1197,Korrelation!I$4:I$1197,"",0),DMAV_Dienste!$F$6:$F$140,0)))</f>
        <v>0</v>
      </c>
      <c r="G1015" s="57">
        <f>IF($A1015="","",IF(_xlfn.XLOOKUP($A1015,Korrelation!$D$4:$D$1197,Korrelation!J$4:J$1197,"-",0)="-",0,MATCH(_xlfn.XLOOKUP($A1015,Korrelation!$D$4:$D$1197,Korrelation!J$4:J$1197,"",0),DMAV_Dienste!$F$6:$F$140,0)))</f>
        <v>0</v>
      </c>
      <c r="H1015" s="57">
        <f>IF($A1015="","",IF(_xlfn.XLOOKUP($A1015,Korrelation!$D$4:$D$1197,Korrelation!K$4:K$1197,"-",0)="-",0,MATCH(_xlfn.XLOOKUP($A1015,Korrelation!$D$4:$D$1197,Korrelation!K$4:K$1197,"",0),'DM01-AV-CH'!$A$6:$A$834,0)))</f>
        <v>540</v>
      </c>
      <c r="J1015" s="54" t="str" cm="1">
        <f t="array" aca="1" ref="J1015" ca="1">IF(B1015=0,IF(E1015=0,"",HYPERLINK("#"&amp;RIGHT(CELL("adresse",OFFSET(DMAV_Dienste!$M$6,E1015-1,0)),LEN(CELL("adresse",OFFSET(DMAV_Dienste!$M$6,E1015-1,0)))-FIND("]",CELL("adresse",OFFSET(DMAV_Dienste!$M$6,E1015-1,0)))),"Dienst")),HYPERLINK("#"&amp;RIGHT(CELL("adresse",OFFSET(DMAV_Modell!$N$6,B1015-1,0)),LEN(CELL("adresse",OFFSET(DMAV_Modell!$N$6,B1015-1,0)))-FIND("]",CELL("adresse",OFFSET(DMAV_Modell!$N$6,B1015-1,0)))),"Modell"))</f>
        <v>Modell</v>
      </c>
      <c r="K1015" s="61" t="str" cm="1">
        <f t="array" ref="K1015">IF($B1015=0,IF($E1015=0,"",IF(INDEX(DMAV_Dienste!P$6:P$140,$E1015)="","",INDEX(DMAV_Dienste!P$6:P$140,$E1015))),IF(INDEX(DMAV_Modell!Q$6:Q$838,$B1015)="","",INDEX(DMAV_Modell!Q$6:Q$838,$B1015)))</f>
        <v>CLASS</v>
      </c>
      <c r="L1015" s="62" t="str" cm="1">
        <f t="array" ref="L1015">IF($B1015=0,IF($E1015=0,"",IF(INDEX(DMAV_Dienste!O$6:O$140,$E1015)="","",INDEX(DMAV_Dienste!O$6:O$140,$E1015))),IF(INDEX(DMAV_Modell!P$6:P$838,$B1015)="","",INDEX(DMAV_Modell!P$6:P$838,$B1015)))</f>
        <v>Rohrleitungen</v>
      </c>
      <c r="M1015" s="62" t="str" cm="1">
        <f t="array" ref="M1015">IF($B1015=0,IF($E1015=0,"",IF(INDEX(DMAV_Dienste!Q$6:Q$140,$E1015)="","",INDEX(DMAV_Dienste!Q$6:Q$140,$E1015))),IF(INDEX(DMAV_Modell!R$6:R$838,$B1015)="","",INDEX(DMAV_Modell!R$6:R$838,$B1015)))</f>
        <v>Messpunkt</v>
      </c>
      <c r="N1015" s="62" t="str" cm="1">
        <f t="array" ref="N1015">IF($B1015=0,IF($E1015=0,"",IF(INDEX(DMAV_Dienste!T$6:T$140,$E1015)="","",INDEX(DMAV_Dienste!T$6:T$140,$E1015))),IF(INDEX(DMAV_Modell!U$6:U$838,$B1015)="","",INDEX(DMAV_Modell!U$6:U$838,$B1015)))</f>
        <v>Geometrie</v>
      </c>
      <c r="O1015" s="63" t="str" cm="1">
        <f t="array" aca="1" ref="O1015" ca="1">IF(C1015=0,IF(F1015=0,"",HYPERLINK("#"&amp;RIGHT(CELL("adresse",OFFSET(DMAV_Dienste!$M$6,F1015-1,0)),LEN(CELL("adresse",OFFSET(DMAV_Dienste!$M$6,F1015-1,0)))-FIND("]",CELL("adresse",OFFSET(DMAV_Dienste!$M$6,F1015-1,0)))),"Structure")),HYPERLINK("#"&amp;RIGHT(CELL("adresse",OFFSET(DMAV_Modell!$N$6,C1015-1,0)),LEN(CELL("adresse",OFFSET(DMAV_Modell!$N$6,C1015-1,0)))-FIND("]",CELL("adresse",OFFSET(DMAV_Modell!$N$6,C1015-1,0)))),"Structure"))</f>
        <v/>
      </c>
      <c r="P1015" s="64" t="str" cm="1">
        <f t="array" aca="1" ref="P1015" ca="1">IF(D1015=0,IF(G1015=0,"",HYPERLINK("#"&amp;RIGHT(CELL("adresse",OFFSET(DMAV_Dienste!$M$6,G1015-1,0)),LEN(CELL("adresse",OFFSET(DMAV_Dienste!$M$6,G1015-1,0)))-FIND("]",CELL("adresse",OFFSET(DMAV_Dienste!$M$6,G1015-1,0)))),"Substructure")),HYPERLINK("#"&amp;RIGHT(CELL("adresse",OFFSET(DMAV_Modell!$N$6,D1015-1,0)),LEN(CELL("adresse",OFFSET(DMAV_Modell!$N$6,D1015-1,0)))-FIND("]",CELL("adresse",OFFSET(DMAV_Modell!$N$6,D1015-1,0)))),"Substructure"))</f>
        <v/>
      </c>
      <c r="R1015" s="80"/>
      <c r="T1015" s="93"/>
      <c r="U1015" s="94"/>
      <c r="V1015" s="95"/>
      <c r="W1015" s="96"/>
      <c r="Y1015" s="85"/>
      <c r="Z1015" s="86"/>
      <c r="AA1015" s="87"/>
      <c r="AB1015" s="88"/>
      <c r="AD1015" s="77"/>
      <c r="AF1015" s="54" t="str" cm="1">
        <f t="array" aca="1" ref="AF1015" ca="1">IF(H1015=0,"",HYPERLINK("#"&amp;RIGHT(CELL("adresse",OFFSET('DM01-AV-CH'!$G$6,H1015-1,0)),LEN(CELL("adresse",OFFSET('DM01-AV-CH'!$G$6,H1015-1,0)))-FIND("]",CELL("adresse",OFFSET('DM01-AV-CH'!$G$6,H1015-1,0)))),"Modell"))</f>
        <v>Modell</v>
      </c>
      <c r="AG1015" s="72" t="str" cm="1">
        <f t="array" ref="AG1015">IF($H1015=0,"",IF(INDEX('DM01-AV-CH'!G$6:G$834,$H1015)="","",INDEX('DM01-AV-CH'!G$6:G$834,$H1015)))</f>
        <v>Rohrleitungen</v>
      </c>
      <c r="AH1015" s="73" t="str" cm="1">
        <f t="array" ref="AH1015">IF($H1015=0,"",IF(INDEX('DM01-AV-CH'!H$6:H$834,$H1015)="","",INDEX('DM01-AV-CH'!H$6:H$834,$H1015)))</f>
        <v>Einzelpunkt</v>
      </c>
      <c r="AI1015" s="74" t="str" cm="1">
        <f t="array" ref="AI1015">IF($H1015=0,"",IF(INDEX('DM01-AV-CH'!I$6:I$834,$H1015)="","",INDEX('DM01-AV-CH'!I$6:I$834,$H1015)))</f>
        <v>Geometrie</v>
      </c>
    </row>
    <row r="1016" spans="1:35" x14ac:dyDescent="0.25">
      <c r="A1016" s="57">
        <v>1011</v>
      </c>
      <c r="B1016" s="57">
        <f>IF($A1016="","",IF(_xlfn.XLOOKUP($A1016,Korrelation!$D$4:$D$1197,Korrelation!E$4:E$1197,"-",0)="-",0,MATCH(_xlfn.XLOOKUP($A1016,Korrelation!$D$4:$D$1197,Korrelation!E$4:E$1197,"",0),DMAV_Modell!$G$6:$G$677,0)))</f>
        <v>590</v>
      </c>
      <c r="C1016" s="57">
        <f>IF($A1016="","",IF(_xlfn.XLOOKUP($A1016,Korrelation!$D$4:$D$1197,Korrelation!F$4:F$1197,"-",0)="-",0,MATCH(_xlfn.XLOOKUP($A1016,Korrelation!$D$4:$D$1197,Korrelation!F$4:F$1197,"",0),DMAV_Modell!$G$6:$G$677,0)))</f>
        <v>0</v>
      </c>
      <c r="D1016" s="57">
        <f>IF($A1016="","",IF(_xlfn.XLOOKUP($A1016,Korrelation!$D$4:$D$1197,Korrelation!G$4:G$1197,"-",0)="-",0,MATCH(_xlfn.XLOOKUP($A1016,Korrelation!$D$4:$D$1197,Korrelation!G$4:G$1197,"",0),DMAV_Modell!$G$6:$G$677,0)))</f>
        <v>0</v>
      </c>
      <c r="E1016" s="57">
        <f>IF($A1016="","",IF(_xlfn.XLOOKUP($A1016,Korrelation!$D$4:$D$1197,Korrelation!H$4:H$1197,"-",0)="-",0,MATCH(_xlfn.XLOOKUP($A1016,Korrelation!$D$4:$D$1197,Korrelation!H$4:H$1197,"",0),DMAV_Dienste!$F$6:$F$140,0)))</f>
        <v>0</v>
      </c>
      <c r="F1016" s="57">
        <f>IF($A1016="","",IF(_xlfn.XLOOKUP($A1016,Korrelation!$D$4:$D$1197,Korrelation!I$4:I$1197,"-",0)="-",0,MATCH(_xlfn.XLOOKUP($A1016,Korrelation!$D$4:$D$1197,Korrelation!I$4:I$1197,"",0),DMAV_Dienste!$F$6:$F$140,0)))</f>
        <v>0</v>
      </c>
      <c r="G1016" s="57">
        <f>IF($A1016="","",IF(_xlfn.XLOOKUP($A1016,Korrelation!$D$4:$D$1197,Korrelation!J$4:J$1197,"-",0)="-",0,MATCH(_xlfn.XLOOKUP($A1016,Korrelation!$D$4:$D$1197,Korrelation!J$4:J$1197,"",0),DMAV_Dienste!$F$6:$F$140,0)))</f>
        <v>0</v>
      </c>
      <c r="H1016" s="57">
        <f>IF($A1016="","",IF(_xlfn.XLOOKUP($A1016,Korrelation!$D$4:$D$1197,Korrelation!K$4:K$1197,"-",0)="-",0,MATCH(_xlfn.XLOOKUP($A1016,Korrelation!$D$4:$D$1197,Korrelation!K$4:K$1197,"",0),'DM01-AV-CH'!$A$6:$A$834,0)))</f>
        <v>0</v>
      </c>
      <c r="J1016" s="54" t="str" cm="1">
        <f t="array" aca="1" ref="J1016" ca="1">IF(B1016=0,IF(E1016=0,"",HYPERLINK("#"&amp;RIGHT(CELL("adresse",OFFSET(DMAV_Dienste!$M$6,E1016-1,0)),LEN(CELL("adresse",OFFSET(DMAV_Dienste!$M$6,E1016-1,0)))-FIND("]",CELL("adresse",OFFSET(DMAV_Dienste!$M$6,E1016-1,0)))),"Dienst")),HYPERLINK("#"&amp;RIGHT(CELL("adresse",OFFSET(DMAV_Modell!$N$6,B1016-1,0)),LEN(CELL("adresse",OFFSET(DMAV_Modell!$N$6,B1016-1,0)))-FIND("]",CELL("adresse",OFFSET(DMAV_Modell!$N$6,B1016-1,0)))),"Modell"))</f>
        <v>Modell</v>
      </c>
      <c r="K1016" s="61" t="str" cm="1">
        <f t="array" ref="K1016">IF($B1016=0,IF($E1016=0,"",IF(INDEX(DMAV_Dienste!P$6:P$140,$E1016)="","",INDEX(DMAV_Dienste!P$6:P$140,$E1016))),IF(INDEX(DMAV_Modell!Q$6:Q$838,$B1016)="","",INDEX(DMAV_Modell!Q$6:Q$838,$B1016)))</f>
        <v>CLASS</v>
      </c>
      <c r="L1016" s="62" t="str" cm="1">
        <f t="array" ref="L1016">IF($B1016=0,IF($E1016=0,"",IF(INDEX(DMAV_Dienste!O$6:O$140,$E1016)="","",INDEX(DMAV_Dienste!O$6:O$140,$E1016))),IF(INDEX(DMAV_Modell!P$6:P$838,$B1016)="","",INDEX(DMAV_Modell!P$6:P$838,$B1016)))</f>
        <v>Rohrleitungen</v>
      </c>
      <c r="M1016" s="62" t="str" cm="1">
        <f t="array" ref="M1016">IF($B1016=0,IF($E1016=0,"",IF(INDEX(DMAV_Dienste!Q$6:Q$140,$E1016)="","",INDEX(DMAV_Dienste!Q$6:Q$140,$E1016))),IF(INDEX(DMAV_Modell!R$6:R$838,$B1016)="","",INDEX(DMAV_Modell!R$6:R$838,$B1016)))</f>
        <v>Messpunkt</v>
      </c>
      <c r="N1016" s="62" t="str" cm="1">
        <f t="array" ref="N1016">IF($B1016=0,IF($E1016=0,"",IF(INDEX(DMAV_Dienste!T$6:T$140,$E1016)="","",INDEX(DMAV_Dienste!T$6:T$140,$E1016))),IF(INDEX(DMAV_Modell!U$6:U$838,$B1016)="","",INDEX(DMAV_Modell!U$6:U$838,$B1016)))</f>
        <v>Hoehengeometrie</v>
      </c>
      <c r="O1016" s="63" t="str" cm="1">
        <f t="array" aca="1" ref="O1016" ca="1">IF(C1016=0,IF(F1016=0,"",HYPERLINK("#"&amp;RIGHT(CELL("adresse",OFFSET(DMAV_Dienste!$M$6,F1016-1,0)),LEN(CELL("adresse",OFFSET(DMAV_Dienste!$M$6,F1016-1,0)))-FIND("]",CELL("adresse",OFFSET(DMAV_Dienste!$M$6,F1016-1,0)))),"Structure")),HYPERLINK("#"&amp;RIGHT(CELL("adresse",OFFSET(DMAV_Modell!$N$6,C1016-1,0)),LEN(CELL("adresse",OFFSET(DMAV_Modell!$N$6,C1016-1,0)))-FIND("]",CELL("adresse",OFFSET(DMAV_Modell!$N$6,C1016-1,0)))),"Structure"))</f>
        <v/>
      </c>
      <c r="P1016" s="64" t="str" cm="1">
        <f t="array" aca="1" ref="P1016" ca="1">IF(D1016=0,IF(G1016=0,"",HYPERLINK("#"&amp;RIGHT(CELL("adresse",OFFSET(DMAV_Dienste!$M$6,G1016-1,0)),LEN(CELL("adresse",OFFSET(DMAV_Dienste!$M$6,G1016-1,0)))-FIND("]",CELL("adresse",OFFSET(DMAV_Dienste!$M$6,G1016-1,0)))),"Substructure")),HYPERLINK("#"&amp;RIGHT(CELL("adresse",OFFSET(DMAV_Modell!$N$6,D1016-1,0)),LEN(CELL("adresse",OFFSET(DMAV_Modell!$N$6,D1016-1,0)))-FIND("]",CELL("adresse",OFFSET(DMAV_Modell!$N$6,D1016-1,0)))),"Substructure"))</f>
        <v/>
      </c>
      <c r="R1016" s="80"/>
      <c r="T1016" s="93"/>
      <c r="U1016" s="94"/>
      <c r="V1016" s="95"/>
      <c r="W1016" s="96"/>
      <c r="Y1016" s="85"/>
      <c r="Z1016" s="86"/>
      <c r="AA1016" s="87"/>
      <c r="AB1016" s="88"/>
      <c r="AD1016" s="77"/>
      <c r="AF1016" s="54" t="str" cm="1">
        <f t="array" aca="1" ref="AF1016" ca="1">IF(H1016=0,"",HYPERLINK("#"&amp;RIGHT(CELL("adresse",OFFSET('DM01-AV-CH'!$G$6,H1016-1,0)),LEN(CELL("adresse",OFFSET('DM01-AV-CH'!$G$6,H1016-1,0)))-FIND("]",CELL("adresse",OFFSET('DM01-AV-CH'!$G$6,H1016-1,0)))),"Modell"))</f>
        <v/>
      </c>
      <c r="AG1016" s="72" t="str" cm="1">
        <f t="array" ref="AG1016">IF($H1016=0,"",IF(INDEX('DM01-AV-CH'!G$6:G$834,$H1016)="","",INDEX('DM01-AV-CH'!G$6:G$834,$H1016)))</f>
        <v/>
      </c>
      <c r="AH1016" s="73" t="str" cm="1">
        <f t="array" ref="AH1016">IF($H1016=0,"",IF(INDEX('DM01-AV-CH'!H$6:H$834,$H1016)="","",INDEX('DM01-AV-CH'!H$6:H$834,$H1016)))</f>
        <v/>
      </c>
      <c r="AI1016" s="74" t="str" cm="1">
        <f t="array" ref="AI1016">IF($H1016=0,"",IF(INDEX('DM01-AV-CH'!I$6:I$834,$H1016)="","",INDEX('DM01-AV-CH'!I$6:I$834,$H1016)))</f>
        <v/>
      </c>
    </row>
    <row r="1017" spans="1:35" x14ac:dyDescent="0.25">
      <c r="A1017" s="57">
        <v>1012</v>
      </c>
      <c r="B1017" s="57">
        <f>IF($A1017="","",IF(_xlfn.XLOOKUP($A1017,Korrelation!$D$4:$D$1197,Korrelation!E$4:E$1197,"-",0)="-",0,MATCH(_xlfn.XLOOKUP($A1017,Korrelation!$D$4:$D$1197,Korrelation!E$4:E$1197,"",0),DMAV_Modell!$G$6:$G$677,0)))</f>
        <v>591</v>
      </c>
      <c r="C1017" s="57">
        <f>IF($A1017="","",IF(_xlfn.XLOOKUP($A1017,Korrelation!$D$4:$D$1197,Korrelation!F$4:F$1197,"-",0)="-",0,MATCH(_xlfn.XLOOKUP($A1017,Korrelation!$D$4:$D$1197,Korrelation!F$4:F$1197,"",0),DMAV_Modell!$G$6:$G$677,0)))</f>
        <v>0</v>
      </c>
      <c r="D1017" s="57">
        <f>IF($A1017="","",IF(_xlfn.XLOOKUP($A1017,Korrelation!$D$4:$D$1197,Korrelation!G$4:G$1197,"-",0)="-",0,MATCH(_xlfn.XLOOKUP($A1017,Korrelation!$D$4:$D$1197,Korrelation!G$4:G$1197,"",0),DMAV_Modell!$G$6:$G$677,0)))</f>
        <v>0</v>
      </c>
      <c r="E1017" s="57">
        <f>IF($A1017="","",IF(_xlfn.XLOOKUP($A1017,Korrelation!$D$4:$D$1197,Korrelation!H$4:H$1197,"-",0)="-",0,MATCH(_xlfn.XLOOKUP($A1017,Korrelation!$D$4:$D$1197,Korrelation!H$4:H$1197,"",0),DMAV_Dienste!$F$6:$F$140,0)))</f>
        <v>0</v>
      </c>
      <c r="F1017" s="57">
        <f>IF($A1017="","",IF(_xlfn.XLOOKUP($A1017,Korrelation!$D$4:$D$1197,Korrelation!I$4:I$1197,"-",0)="-",0,MATCH(_xlfn.XLOOKUP($A1017,Korrelation!$D$4:$D$1197,Korrelation!I$4:I$1197,"",0),DMAV_Dienste!$F$6:$F$140,0)))</f>
        <v>0</v>
      </c>
      <c r="G1017" s="57">
        <f>IF($A1017="","",IF(_xlfn.XLOOKUP($A1017,Korrelation!$D$4:$D$1197,Korrelation!J$4:J$1197,"-",0)="-",0,MATCH(_xlfn.XLOOKUP($A1017,Korrelation!$D$4:$D$1197,Korrelation!J$4:J$1197,"",0),DMAV_Dienste!$F$6:$F$140,0)))</f>
        <v>0</v>
      </c>
      <c r="H1017" s="57">
        <f>IF($A1017="","",IF(_xlfn.XLOOKUP($A1017,Korrelation!$D$4:$D$1197,Korrelation!K$4:K$1197,"-",0)="-",0,MATCH(_xlfn.XLOOKUP($A1017,Korrelation!$D$4:$D$1197,Korrelation!K$4:K$1197,"",0),'DM01-AV-CH'!$A$6:$A$834,0)))</f>
        <v>541</v>
      </c>
      <c r="J1017" s="54" t="str" cm="1">
        <f t="array" aca="1" ref="J1017" ca="1">IF(B1017=0,IF(E1017=0,"",HYPERLINK("#"&amp;RIGHT(CELL("adresse",OFFSET(DMAV_Dienste!$M$6,E1017-1,0)),LEN(CELL("adresse",OFFSET(DMAV_Dienste!$M$6,E1017-1,0)))-FIND("]",CELL("adresse",OFFSET(DMAV_Dienste!$M$6,E1017-1,0)))),"Dienst")),HYPERLINK("#"&amp;RIGHT(CELL("adresse",OFFSET(DMAV_Modell!$N$6,B1017-1,0)),LEN(CELL("adresse",OFFSET(DMAV_Modell!$N$6,B1017-1,0)))-FIND("]",CELL("adresse",OFFSET(DMAV_Modell!$N$6,B1017-1,0)))),"Modell"))</f>
        <v>Modell</v>
      </c>
      <c r="K1017" s="61" t="str" cm="1">
        <f t="array" ref="K1017">IF($B1017=0,IF($E1017=0,"",IF(INDEX(DMAV_Dienste!P$6:P$140,$E1017)="","",INDEX(DMAV_Dienste!P$6:P$140,$E1017))),IF(INDEX(DMAV_Modell!Q$6:Q$838,$B1017)="","",INDEX(DMAV_Modell!Q$6:Q$838,$B1017)))</f>
        <v>CLASS</v>
      </c>
      <c r="L1017" s="62" t="str" cm="1">
        <f t="array" ref="L1017">IF($B1017=0,IF($E1017=0,"",IF(INDEX(DMAV_Dienste!O$6:O$140,$E1017)="","",INDEX(DMAV_Dienste!O$6:O$140,$E1017))),IF(INDEX(DMAV_Modell!P$6:P$838,$B1017)="","",INDEX(DMAV_Modell!P$6:P$838,$B1017)))</f>
        <v>Rohrleitungen</v>
      </c>
      <c r="M1017" s="62" t="str" cm="1">
        <f t="array" ref="M1017">IF($B1017=0,IF($E1017=0,"",IF(INDEX(DMAV_Dienste!Q$6:Q$140,$E1017)="","",INDEX(DMAV_Dienste!Q$6:Q$140,$E1017))),IF(INDEX(DMAV_Modell!R$6:R$838,$B1017)="","",INDEX(DMAV_Modell!R$6:R$838,$B1017)))</f>
        <v>Messpunkt</v>
      </c>
      <c r="N1017" s="62" t="str" cm="1">
        <f t="array" ref="N1017">IF($B1017=0,IF($E1017=0,"",IF(INDEX(DMAV_Dienste!T$6:T$140,$E1017)="","",INDEX(DMAV_Dienste!T$6:T$140,$E1017))),IF(INDEX(DMAV_Modell!U$6:U$838,$B1017)="","",INDEX(DMAV_Modell!U$6:U$838,$B1017)))</f>
        <v>Lagegenauigkeit</v>
      </c>
      <c r="O1017" s="63" t="str" cm="1">
        <f t="array" aca="1" ref="O1017" ca="1">IF(C1017=0,IF(F1017=0,"",HYPERLINK("#"&amp;RIGHT(CELL("adresse",OFFSET(DMAV_Dienste!$M$6,F1017-1,0)),LEN(CELL("adresse",OFFSET(DMAV_Dienste!$M$6,F1017-1,0)))-FIND("]",CELL("adresse",OFFSET(DMAV_Dienste!$M$6,F1017-1,0)))),"Structure")),HYPERLINK("#"&amp;RIGHT(CELL("adresse",OFFSET(DMAV_Modell!$N$6,C1017-1,0)),LEN(CELL("adresse",OFFSET(DMAV_Modell!$N$6,C1017-1,0)))-FIND("]",CELL("adresse",OFFSET(DMAV_Modell!$N$6,C1017-1,0)))),"Structure"))</f>
        <v/>
      </c>
      <c r="P1017" s="64" t="str" cm="1">
        <f t="array" aca="1" ref="P1017" ca="1">IF(D1017=0,IF(G1017=0,"",HYPERLINK("#"&amp;RIGHT(CELL("adresse",OFFSET(DMAV_Dienste!$M$6,G1017-1,0)),LEN(CELL("adresse",OFFSET(DMAV_Dienste!$M$6,G1017-1,0)))-FIND("]",CELL("adresse",OFFSET(DMAV_Dienste!$M$6,G1017-1,0)))),"Substructure")),HYPERLINK("#"&amp;RIGHT(CELL("adresse",OFFSET(DMAV_Modell!$N$6,D1017-1,0)),LEN(CELL("adresse",OFFSET(DMAV_Modell!$N$6,D1017-1,0)))-FIND("]",CELL("adresse",OFFSET(DMAV_Modell!$N$6,D1017-1,0)))),"Substructure"))</f>
        <v/>
      </c>
      <c r="R1017" s="80"/>
      <c r="T1017" s="93"/>
      <c r="U1017" s="94"/>
      <c r="V1017" s="95"/>
      <c r="W1017" s="96"/>
      <c r="Y1017" s="85"/>
      <c r="Z1017" s="86"/>
      <c r="AA1017" s="87"/>
      <c r="AB1017" s="88"/>
      <c r="AD1017" s="77"/>
      <c r="AF1017" s="54" t="str" cm="1">
        <f t="array" aca="1" ref="AF1017" ca="1">IF(H1017=0,"",HYPERLINK("#"&amp;RIGHT(CELL("adresse",OFFSET('DM01-AV-CH'!$G$6,H1017-1,0)),LEN(CELL("adresse",OFFSET('DM01-AV-CH'!$G$6,H1017-1,0)))-FIND("]",CELL("adresse",OFFSET('DM01-AV-CH'!$G$6,H1017-1,0)))),"Modell"))</f>
        <v>Modell</v>
      </c>
      <c r="AG1017" s="72" t="str" cm="1">
        <f t="array" ref="AG1017">IF($H1017=0,"",IF(INDEX('DM01-AV-CH'!G$6:G$834,$H1017)="","",INDEX('DM01-AV-CH'!G$6:G$834,$H1017)))</f>
        <v>Rohrleitungen</v>
      </c>
      <c r="AH1017" s="73" t="str" cm="1">
        <f t="array" ref="AH1017">IF($H1017=0,"",IF(INDEX('DM01-AV-CH'!H$6:H$834,$H1017)="","",INDEX('DM01-AV-CH'!H$6:H$834,$H1017)))</f>
        <v>Einzelpunkt</v>
      </c>
      <c r="AI1017" s="74" t="str" cm="1">
        <f t="array" ref="AI1017">IF($H1017=0,"",IF(INDEX('DM01-AV-CH'!I$6:I$834,$H1017)="","",INDEX('DM01-AV-CH'!I$6:I$834,$H1017)))</f>
        <v>LageGen</v>
      </c>
    </row>
    <row r="1018" spans="1:35" x14ac:dyDescent="0.25">
      <c r="A1018" s="57">
        <v>1013</v>
      </c>
      <c r="B1018" s="57">
        <f>IF($A1018="","",IF(_xlfn.XLOOKUP($A1018,Korrelation!$D$4:$D$1197,Korrelation!E$4:E$1197,"-",0)="-",0,MATCH(_xlfn.XLOOKUP($A1018,Korrelation!$D$4:$D$1197,Korrelation!E$4:E$1197,"",0),DMAV_Modell!$G$6:$G$677,0)))</f>
        <v>592</v>
      </c>
      <c r="C1018" s="57">
        <f>IF($A1018="","",IF(_xlfn.XLOOKUP($A1018,Korrelation!$D$4:$D$1197,Korrelation!F$4:F$1197,"-",0)="-",0,MATCH(_xlfn.XLOOKUP($A1018,Korrelation!$D$4:$D$1197,Korrelation!F$4:F$1197,"",0),DMAV_Modell!$G$6:$G$677,0)))</f>
        <v>0</v>
      </c>
      <c r="D1018" s="57">
        <f>IF($A1018="","",IF(_xlfn.XLOOKUP($A1018,Korrelation!$D$4:$D$1197,Korrelation!G$4:G$1197,"-",0)="-",0,MATCH(_xlfn.XLOOKUP($A1018,Korrelation!$D$4:$D$1197,Korrelation!G$4:G$1197,"",0),DMAV_Modell!$G$6:$G$677,0)))</f>
        <v>0</v>
      </c>
      <c r="E1018" s="57">
        <f>IF($A1018="","",IF(_xlfn.XLOOKUP($A1018,Korrelation!$D$4:$D$1197,Korrelation!H$4:H$1197,"-",0)="-",0,MATCH(_xlfn.XLOOKUP($A1018,Korrelation!$D$4:$D$1197,Korrelation!H$4:H$1197,"",0),DMAV_Dienste!$F$6:$F$140,0)))</f>
        <v>0</v>
      </c>
      <c r="F1018" s="57">
        <f>IF($A1018="","",IF(_xlfn.XLOOKUP($A1018,Korrelation!$D$4:$D$1197,Korrelation!I$4:I$1197,"-",0)="-",0,MATCH(_xlfn.XLOOKUP($A1018,Korrelation!$D$4:$D$1197,Korrelation!I$4:I$1197,"",0),DMAV_Dienste!$F$6:$F$140,0)))</f>
        <v>0</v>
      </c>
      <c r="G1018" s="57">
        <f>IF($A1018="","",IF(_xlfn.XLOOKUP($A1018,Korrelation!$D$4:$D$1197,Korrelation!J$4:J$1197,"-",0)="-",0,MATCH(_xlfn.XLOOKUP($A1018,Korrelation!$D$4:$D$1197,Korrelation!J$4:J$1197,"",0),DMAV_Dienste!$F$6:$F$140,0)))</f>
        <v>0</v>
      </c>
      <c r="H1018" s="57">
        <f>IF($A1018="","",IF(_xlfn.XLOOKUP($A1018,Korrelation!$D$4:$D$1197,Korrelation!K$4:K$1197,"-",0)="-",0,MATCH(_xlfn.XLOOKUP($A1018,Korrelation!$D$4:$D$1197,Korrelation!K$4:K$1197,"",0),'DM01-AV-CH'!$A$6:$A$834,0)))</f>
        <v>542</v>
      </c>
      <c r="J1018" s="54" t="str" cm="1">
        <f t="array" aca="1" ref="J1018" ca="1">IF(B1018=0,IF(E1018=0,"",HYPERLINK("#"&amp;RIGHT(CELL("adresse",OFFSET(DMAV_Dienste!$M$6,E1018-1,0)),LEN(CELL("adresse",OFFSET(DMAV_Dienste!$M$6,E1018-1,0)))-FIND("]",CELL("adresse",OFFSET(DMAV_Dienste!$M$6,E1018-1,0)))),"Dienst")),HYPERLINK("#"&amp;RIGHT(CELL("adresse",OFFSET(DMAV_Modell!$N$6,B1018-1,0)),LEN(CELL("adresse",OFFSET(DMAV_Modell!$N$6,B1018-1,0)))-FIND("]",CELL("adresse",OFFSET(DMAV_Modell!$N$6,B1018-1,0)))),"Modell"))</f>
        <v>Modell</v>
      </c>
      <c r="K1018" s="61" t="str" cm="1">
        <f t="array" ref="K1018">IF($B1018=0,IF($E1018=0,"",IF(INDEX(DMAV_Dienste!P$6:P$140,$E1018)="","",INDEX(DMAV_Dienste!P$6:P$140,$E1018))),IF(INDEX(DMAV_Modell!Q$6:Q$838,$B1018)="","",INDEX(DMAV_Modell!Q$6:Q$838,$B1018)))</f>
        <v>CLASS</v>
      </c>
      <c r="L1018" s="62" t="str" cm="1">
        <f t="array" ref="L1018">IF($B1018=0,IF($E1018=0,"",IF(INDEX(DMAV_Dienste!O$6:O$140,$E1018)="","",INDEX(DMAV_Dienste!O$6:O$140,$E1018))),IF(INDEX(DMAV_Modell!P$6:P$838,$B1018)="","",INDEX(DMAV_Modell!P$6:P$838,$B1018)))</f>
        <v>Rohrleitungen</v>
      </c>
      <c r="M1018" s="62" t="str" cm="1">
        <f t="array" ref="M1018">IF($B1018=0,IF($E1018=0,"",IF(INDEX(DMAV_Dienste!Q$6:Q$140,$E1018)="","",INDEX(DMAV_Dienste!Q$6:Q$140,$E1018))),IF(INDEX(DMAV_Modell!R$6:R$838,$B1018)="","",INDEX(DMAV_Modell!R$6:R$838,$B1018)))</f>
        <v>Messpunkt</v>
      </c>
      <c r="N1018" s="62" t="str" cm="1">
        <f t="array" ref="N1018">IF($B1018=0,IF($E1018=0,"",IF(INDEX(DMAV_Dienste!T$6:T$140,$E1018)="","",INDEX(DMAV_Dienste!T$6:T$140,$E1018))),IF(INDEX(DMAV_Modell!U$6:U$838,$B1018)="","",INDEX(DMAV_Modell!U$6:U$838,$B1018)))</f>
        <v>IstLagezuverlaessig</v>
      </c>
      <c r="O1018" s="63" t="str" cm="1">
        <f t="array" aca="1" ref="O1018" ca="1">IF(C1018=0,IF(F1018=0,"",HYPERLINK("#"&amp;RIGHT(CELL("adresse",OFFSET(DMAV_Dienste!$M$6,F1018-1,0)),LEN(CELL("adresse",OFFSET(DMAV_Dienste!$M$6,F1018-1,0)))-FIND("]",CELL("adresse",OFFSET(DMAV_Dienste!$M$6,F1018-1,0)))),"Structure")),HYPERLINK("#"&amp;RIGHT(CELL("adresse",OFFSET(DMAV_Modell!$N$6,C1018-1,0)),LEN(CELL("adresse",OFFSET(DMAV_Modell!$N$6,C1018-1,0)))-FIND("]",CELL("adresse",OFFSET(DMAV_Modell!$N$6,C1018-1,0)))),"Structure"))</f>
        <v/>
      </c>
      <c r="P1018" s="64" t="str" cm="1">
        <f t="array" aca="1" ref="P1018" ca="1">IF(D1018=0,IF(G1018=0,"",HYPERLINK("#"&amp;RIGHT(CELL("adresse",OFFSET(DMAV_Dienste!$M$6,G1018-1,0)),LEN(CELL("adresse",OFFSET(DMAV_Dienste!$M$6,G1018-1,0)))-FIND("]",CELL("adresse",OFFSET(DMAV_Dienste!$M$6,G1018-1,0)))),"Substructure")),HYPERLINK("#"&amp;RIGHT(CELL("adresse",OFFSET(DMAV_Modell!$N$6,D1018-1,0)),LEN(CELL("adresse",OFFSET(DMAV_Modell!$N$6,D1018-1,0)))-FIND("]",CELL("adresse",OFFSET(DMAV_Modell!$N$6,D1018-1,0)))),"Substructure"))</f>
        <v/>
      </c>
      <c r="R1018" s="80"/>
      <c r="T1018" s="93"/>
      <c r="U1018" s="94"/>
      <c r="V1018" s="95"/>
      <c r="W1018" s="96"/>
      <c r="Y1018" s="85"/>
      <c r="Z1018" s="86"/>
      <c r="AA1018" s="87"/>
      <c r="AB1018" s="88"/>
      <c r="AD1018" s="77"/>
      <c r="AF1018" s="54" t="str" cm="1">
        <f t="array" aca="1" ref="AF1018" ca="1">IF(H1018=0,"",HYPERLINK("#"&amp;RIGHT(CELL("adresse",OFFSET('DM01-AV-CH'!$G$6,H1018-1,0)),LEN(CELL("adresse",OFFSET('DM01-AV-CH'!$G$6,H1018-1,0)))-FIND("]",CELL("adresse",OFFSET('DM01-AV-CH'!$G$6,H1018-1,0)))),"Modell"))</f>
        <v>Modell</v>
      </c>
      <c r="AG1018" s="72" t="str" cm="1">
        <f t="array" ref="AG1018">IF($H1018=0,"",IF(INDEX('DM01-AV-CH'!G$6:G$834,$H1018)="","",INDEX('DM01-AV-CH'!G$6:G$834,$H1018)))</f>
        <v>Rohrleitungen</v>
      </c>
      <c r="AH1018" s="73" t="str" cm="1">
        <f t="array" ref="AH1018">IF($H1018=0,"",IF(INDEX('DM01-AV-CH'!H$6:H$834,$H1018)="","",INDEX('DM01-AV-CH'!H$6:H$834,$H1018)))</f>
        <v>Einzelpunkt</v>
      </c>
      <c r="AI1018" s="74" t="str" cm="1">
        <f t="array" ref="AI1018">IF($H1018=0,"",IF(INDEX('DM01-AV-CH'!I$6:I$834,$H1018)="","",INDEX('DM01-AV-CH'!I$6:I$834,$H1018)))</f>
        <v>LageZuv</v>
      </c>
    </row>
    <row r="1019" spans="1:35" x14ac:dyDescent="0.25">
      <c r="A1019" s="57">
        <v>1014</v>
      </c>
      <c r="B1019" s="57">
        <f>IF($A1019="","",IF(_xlfn.XLOOKUP($A1019,Korrelation!$D$4:$D$1197,Korrelation!E$4:E$1197,"-",0)="-",0,MATCH(_xlfn.XLOOKUP($A1019,Korrelation!$D$4:$D$1197,Korrelation!E$4:E$1197,"",0),DMAV_Modell!$G$6:$G$677,0)))</f>
        <v>593</v>
      </c>
      <c r="C1019" s="57">
        <f>IF($A1019="","",IF(_xlfn.XLOOKUP($A1019,Korrelation!$D$4:$D$1197,Korrelation!F$4:F$1197,"-",0)="-",0,MATCH(_xlfn.XLOOKUP($A1019,Korrelation!$D$4:$D$1197,Korrelation!F$4:F$1197,"",0),DMAV_Modell!$G$6:$G$677,0)))</f>
        <v>0</v>
      </c>
      <c r="D1019" s="57">
        <f>IF($A1019="","",IF(_xlfn.XLOOKUP($A1019,Korrelation!$D$4:$D$1197,Korrelation!G$4:G$1197,"-",0)="-",0,MATCH(_xlfn.XLOOKUP($A1019,Korrelation!$D$4:$D$1197,Korrelation!G$4:G$1197,"",0),DMAV_Modell!$G$6:$G$677,0)))</f>
        <v>0</v>
      </c>
      <c r="E1019" s="57">
        <f>IF($A1019="","",IF(_xlfn.XLOOKUP($A1019,Korrelation!$D$4:$D$1197,Korrelation!H$4:H$1197,"-",0)="-",0,MATCH(_xlfn.XLOOKUP($A1019,Korrelation!$D$4:$D$1197,Korrelation!H$4:H$1197,"",0),DMAV_Dienste!$F$6:$F$140,0)))</f>
        <v>0</v>
      </c>
      <c r="F1019" s="57">
        <f>IF($A1019="","",IF(_xlfn.XLOOKUP($A1019,Korrelation!$D$4:$D$1197,Korrelation!I$4:I$1197,"-",0)="-",0,MATCH(_xlfn.XLOOKUP($A1019,Korrelation!$D$4:$D$1197,Korrelation!I$4:I$1197,"",0),DMAV_Dienste!$F$6:$F$140,0)))</f>
        <v>0</v>
      </c>
      <c r="G1019" s="57">
        <f>IF($A1019="","",IF(_xlfn.XLOOKUP($A1019,Korrelation!$D$4:$D$1197,Korrelation!J$4:J$1197,"-",0)="-",0,MATCH(_xlfn.XLOOKUP($A1019,Korrelation!$D$4:$D$1197,Korrelation!J$4:J$1197,"",0),DMAV_Dienste!$F$6:$F$140,0)))</f>
        <v>0</v>
      </c>
      <c r="H1019" s="57">
        <f>IF($A1019="","",IF(_xlfn.XLOOKUP($A1019,Korrelation!$D$4:$D$1197,Korrelation!K$4:K$1197,"-",0)="-",0,MATCH(_xlfn.XLOOKUP($A1019,Korrelation!$D$4:$D$1197,Korrelation!K$4:K$1197,"",0),'DM01-AV-CH'!$A$6:$A$834,0)))</f>
        <v>0</v>
      </c>
      <c r="J1019" s="54" t="str" cm="1">
        <f t="array" aca="1" ref="J1019" ca="1">IF(B1019=0,IF(E1019=0,"",HYPERLINK("#"&amp;RIGHT(CELL("adresse",OFFSET(DMAV_Dienste!$M$6,E1019-1,0)),LEN(CELL("adresse",OFFSET(DMAV_Dienste!$M$6,E1019-1,0)))-FIND("]",CELL("adresse",OFFSET(DMAV_Dienste!$M$6,E1019-1,0)))),"Dienst")),HYPERLINK("#"&amp;RIGHT(CELL("adresse",OFFSET(DMAV_Modell!$N$6,B1019-1,0)),LEN(CELL("adresse",OFFSET(DMAV_Modell!$N$6,B1019-1,0)))-FIND("]",CELL("adresse",OFFSET(DMAV_Modell!$N$6,B1019-1,0)))),"Modell"))</f>
        <v>Modell</v>
      </c>
      <c r="K1019" s="61" t="str" cm="1">
        <f t="array" ref="K1019">IF($B1019=0,IF($E1019=0,"",IF(INDEX(DMAV_Dienste!P$6:P$140,$E1019)="","",INDEX(DMAV_Dienste!P$6:P$140,$E1019))),IF(INDEX(DMAV_Modell!Q$6:Q$838,$B1019)="","",INDEX(DMAV_Modell!Q$6:Q$838,$B1019)))</f>
        <v>CLASS</v>
      </c>
      <c r="L1019" s="62" t="str" cm="1">
        <f t="array" ref="L1019">IF($B1019=0,IF($E1019=0,"",IF(INDEX(DMAV_Dienste!O$6:O$140,$E1019)="","",INDEX(DMAV_Dienste!O$6:O$140,$E1019))),IF(INDEX(DMAV_Modell!P$6:P$838,$B1019)="","",INDEX(DMAV_Modell!P$6:P$838,$B1019)))</f>
        <v>Rohrleitungen</v>
      </c>
      <c r="M1019" s="62" t="str" cm="1">
        <f t="array" ref="M1019">IF($B1019=0,IF($E1019=0,"",IF(INDEX(DMAV_Dienste!Q$6:Q$140,$E1019)="","",INDEX(DMAV_Dienste!Q$6:Q$140,$E1019))),IF(INDEX(DMAV_Modell!R$6:R$838,$B1019)="","",INDEX(DMAV_Modell!R$6:R$838,$B1019)))</f>
        <v>Messpunkt</v>
      </c>
      <c r="N1019" s="62" t="str" cm="1">
        <f t="array" ref="N1019">IF($B1019=0,IF($E1019=0,"",IF(INDEX(DMAV_Dienste!T$6:T$140,$E1019)="","",INDEX(DMAV_Dienste!T$6:T$140,$E1019))),IF(INDEX(DMAV_Modell!U$6:U$838,$B1019)="","",INDEX(DMAV_Modell!U$6:U$838,$B1019)))</f>
        <v>Hoehengenauigkeit</v>
      </c>
      <c r="O1019" s="63" t="str" cm="1">
        <f t="array" aca="1" ref="O1019" ca="1">IF(C1019=0,IF(F1019=0,"",HYPERLINK("#"&amp;RIGHT(CELL("adresse",OFFSET(DMAV_Dienste!$M$6,F1019-1,0)),LEN(CELL("adresse",OFFSET(DMAV_Dienste!$M$6,F1019-1,0)))-FIND("]",CELL("adresse",OFFSET(DMAV_Dienste!$M$6,F1019-1,0)))),"Structure")),HYPERLINK("#"&amp;RIGHT(CELL("adresse",OFFSET(DMAV_Modell!$N$6,C1019-1,0)),LEN(CELL("adresse",OFFSET(DMAV_Modell!$N$6,C1019-1,0)))-FIND("]",CELL("adresse",OFFSET(DMAV_Modell!$N$6,C1019-1,0)))),"Structure"))</f>
        <v/>
      </c>
      <c r="P1019" s="64" t="str" cm="1">
        <f t="array" aca="1" ref="P1019" ca="1">IF(D1019=0,IF(G1019=0,"",HYPERLINK("#"&amp;RIGHT(CELL("adresse",OFFSET(DMAV_Dienste!$M$6,G1019-1,0)),LEN(CELL("adresse",OFFSET(DMAV_Dienste!$M$6,G1019-1,0)))-FIND("]",CELL("adresse",OFFSET(DMAV_Dienste!$M$6,G1019-1,0)))),"Substructure")),HYPERLINK("#"&amp;RIGHT(CELL("adresse",OFFSET(DMAV_Modell!$N$6,D1019-1,0)),LEN(CELL("adresse",OFFSET(DMAV_Modell!$N$6,D1019-1,0)))-FIND("]",CELL("adresse",OFFSET(DMAV_Modell!$N$6,D1019-1,0)))),"Substructure"))</f>
        <v/>
      </c>
      <c r="R1019" s="80"/>
      <c r="T1019" s="93"/>
      <c r="U1019" s="94"/>
      <c r="V1019" s="95"/>
      <c r="W1019" s="96"/>
      <c r="Y1019" s="85"/>
      <c r="Z1019" s="86"/>
      <c r="AA1019" s="87"/>
      <c r="AB1019" s="88"/>
      <c r="AD1019" s="77"/>
      <c r="AF1019" s="54" t="str" cm="1">
        <f t="array" aca="1" ref="AF1019" ca="1">IF(H1019=0,"",HYPERLINK("#"&amp;RIGHT(CELL("adresse",OFFSET('DM01-AV-CH'!$G$6,H1019-1,0)),LEN(CELL("adresse",OFFSET('DM01-AV-CH'!$G$6,H1019-1,0)))-FIND("]",CELL("adresse",OFFSET('DM01-AV-CH'!$G$6,H1019-1,0)))),"Modell"))</f>
        <v/>
      </c>
      <c r="AG1019" s="72" t="str" cm="1">
        <f t="array" ref="AG1019">IF($H1019=0,"",IF(INDEX('DM01-AV-CH'!G$6:G$834,$H1019)="","",INDEX('DM01-AV-CH'!G$6:G$834,$H1019)))</f>
        <v/>
      </c>
      <c r="AH1019" s="73" t="str" cm="1">
        <f t="array" ref="AH1019">IF($H1019=0,"",IF(INDEX('DM01-AV-CH'!H$6:H$834,$H1019)="","",INDEX('DM01-AV-CH'!H$6:H$834,$H1019)))</f>
        <v/>
      </c>
      <c r="AI1019" s="74" t="str" cm="1">
        <f t="array" ref="AI1019">IF($H1019=0,"",IF(INDEX('DM01-AV-CH'!I$6:I$834,$H1019)="","",INDEX('DM01-AV-CH'!I$6:I$834,$H1019)))</f>
        <v/>
      </c>
    </row>
    <row r="1020" spans="1:35" x14ac:dyDescent="0.25">
      <c r="A1020" s="57">
        <v>1015</v>
      </c>
      <c r="B1020" s="57">
        <f>IF($A1020="","",IF(_xlfn.XLOOKUP($A1020,Korrelation!$D$4:$D$1197,Korrelation!E$4:E$1197,"-",0)="-",0,MATCH(_xlfn.XLOOKUP($A1020,Korrelation!$D$4:$D$1197,Korrelation!E$4:E$1197,"",0),DMAV_Modell!$G$6:$G$677,0)))</f>
        <v>594</v>
      </c>
      <c r="C1020" s="57">
        <f>IF($A1020="","",IF(_xlfn.XLOOKUP($A1020,Korrelation!$D$4:$D$1197,Korrelation!F$4:F$1197,"-",0)="-",0,MATCH(_xlfn.XLOOKUP($A1020,Korrelation!$D$4:$D$1197,Korrelation!F$4:F$1197,"",0),DMAV_Modell!$G$6:$G$677,0)))</f>
        <v>0</v>
      </c>
      <c r="D1020" s="57">
        <f>IF($A1020="","",IF(_xlfn.XLOOKUP($A1020,Korrelation!$D$4:$D$1197,Korrelation!G$4:G$1197,"-",0)="-",0,MATCH(_xlfn.XLOOKUP($A1020,Korrelation!$D$4:$D$1197,Korrelation!G$4:G$1197,"",0),DMAV_Modell!$G$6:$G$677,0)))</f>
        <v>0</v>
      </c>
      <c r="E1020" s="57">
        <f>IF($A1020="","",IF(_xlfn.XLOOKUP($A1020,Korrelation!$D$4:$D$1197,Korrelation!H$4:H$1197,"-",0)="-",0,MATCH(_xlfn.XLOOKUP($A1020,Korrelation!$D$4:$D$1197,Korrelation!H$4:H$1197,"",0),DMAV_Dienste!$F$6:$F$140,0)))</f>
        <v>0</v>
      </c>
      <c r="F1020" s="57">
        <f>IF($A1020="","",IF(_xlfn.XLOOKUP($A1020,Korrelation!$D$4:$D$1197,Korrelation!I$4:I$1197,"-",0)="-",0,MATCH(_xlfn.XLOOKUP($A1020,Korrelation!$D$4:$D$1197,Korrelation!I$4:I$1197,"",0),DMAV_Dienste!$F$6:$F$140,0)))</f>
        <v>0</v>
      </c>
      <c r="G1020" s="57">
        <f>IF($A1020="","",IF(_xlfn.XLOOKUP($A1020,Korrelation!$D$4:$D$1197,Korrelation!J$4:J$1197,"-",0)="-",0,MATCH(_xlfn.XLOOKUP($A1020,Korrelation!$D$4:$D$1197,Korrelation!J$4:J$1197,"",0),DMAV_Dienste!$F$6:$F$140,0)))</f>
        <v>0</v>
      </c>
      <c r="H1020" s="57">
        <f>IF($A1020="","",IF(_xlfn.XLOOKUP($A1020,Korrelation!$D$4:$D$1197,Korrelation!K$4:K$1197,"-",0)="-",0,MATCH(_xlfn.XLOOKUP($A1020,Korrelation!$D$4:$D$1197,Korrelation!K$4:K$1197,"",0),'DM01-AV-CH'!$A$6:$A$834,0)))</f>
        <v>0</v>
      </c>
      <c r="J1020" s="54" t="str" cm="1">
        <f t="array" aca="1" ref="J1020" ca="1">IF(B1020=0,IF(E1020=0,"",HYPERLINK("#"&amp;RIGHT(CELL("adresse",OFFSET(DMAV_Dienste!$M$6,E1020-1,0)),LEN(CELL("adresse",OFFSET(DMAV_Dienste!$M$6,E1020-1,0)))-FIND("]",CELL("adresse",OFFSET(DMAV_Dienste!$M$6,E1020-1,0)))),"Dienst")),HYPERLINK("#"&amp;RIGHT(CELL("adresse",OFFSET(DMAV_Modell!$N$6,B1020-1,0)),LEN(CELL("adresse",OFFSET(DMAV_Modell!$N$6,B1020-1,0)))-FIND("]",CELL("adresse",OFFSET(DMAV_Modell!$N$6,B1020-1,0)))),"Modell"))</f>
        <v>Modell</v>
      </c>
      <c r="K1020" s="61" t="str" cm="1">
        <f t="array" ref="K1020">IF($B1020=0,IF($E1020=0,"",IF(INDEX(DMAV_Dienste!P$6:P$140,$E1020)="","",INDEX(DMAV_Dienste!P$6:P$140,$E1020))),IF(INDEX(DMAV_Modell!Q$6:Q$838,$B1020)="","",INDEX(DMAV_Modell!Q$6:Q$838,$B1020)))</f>
        <v>CLASS</v>
      </c>
      <c r="L1020" s="62" t="str" cm="1">
        <f t="array" ref="L1020">IF($B1020=0,IF($E1020=0,"",IF(INDEX(DMAV_Dienste!O$6:O$140,$E1020)="","",INDEX(DMAV_Dienste!O$6:O$140,$E1020))),IF(INDEX(DMAV_Modell!P$6:P$838,$B1020)="","",INDEX(DMAV_Modell!P$6:P$838,$B1020)))</f>
        <v>Rohrleitungen</v>
      </c>
      <c r="M1020" s="62" t="str" cm="1">
        <f t="array" ref="M1020">IF($B1020=0,IF($E1020=0,"",IF(INDEX(DMAV_Dienste!Q$6:Q$140,$E1020)="","",INDEX(DMAV_Dienste!Q$6:Q$140,$E1020))),IF(INDEX(DMAV_Modell!R$6:R$838,$B1020)="","",INDEX(DMAV_Modell!R$6:R$838,$B1020)))</f>
        <v>Messpunkt</v>
      </c>
      <c r="N1020" s="62" t="str" cm="1">
        <f t="array" ref="N1020">IF($B1020=0,IF($E1020=0,"",IF(INDEX(DMAV_Dienste!T$6:T$140,$E1020)="","",INDEX(DMAV_Dienste!T$6:T$140,$E1020))),IF(INDEX(DMAV_Modell!U$6:U$838,$B1020)="","",INDEX(DMAV_Modell!U$6:U$838,$B1020)))</f>
        <v>IstHoehenzuverlaessig</v>
      </c>
      <c r="O1020" s="63" t="str" cm="1">
        <f t="array" aca="1" ref="O1020" ca="1">IF(C1020=0,IF(F1020=0,"",HYPERLINK("#"&amp;RIGHT(CELL("adresse",OFFSET(DMAV_Dienste!$M$6,F1020-1,0)),LEN(CELL("adresse",OFFSET(DMAV_Dienste!$M$6,F1020-1,0)))-FIND("]",CELL("adresse",OFFSET(DMAV_Dienste!$M$6,F1020-1,0)))),"Structure")),HYPERLINK("#"&amp;RIGHT(CELL("adresse",OFFSET(DMAV_Modell!$N$6,C1020-1,0)),LEN(CELL("adresse",OFFSET(DMAV_Modell!$N$6,C1020-1,0)))-FIND("]",CELL("adresse",OFFSET(DMAV_Modell!$N$6,C1020-1,0)))),"Structure"))</f>
        <v/>
      </c>
      <c r="P1020" s="64" t="str" cm="1">
        <f t="array" aca="1" ref="P1020" ca="1">IF(D1020=0,IF(G1020=0,"",HYPERLINK("#"&amp;RIGHT(CELL("adresse",OFFSET(DMAV_Dienste!$M$6,G1020-1,0)),LEN(CELL("adresse",OFFSET(DMAV_Dienste!$M$6,G1020-1,0)))-FIND("]",CELL("adresse",OFFSET(DMAV_Dienste!$M$6,G1020-1,0)))),"Substructure")),HYPERLINK("#"&amp;RIGHT(CELL("adresse",OFFSET(DMAV_Modell!$N$6,D1020-1,0)),LEN(CELL("adresse",OFFSET(DMAV_Modell!$N$6,D1020-1,0)))-FIND("]",CELL("adresse",OFFSET(DMAV_Modell!$N$6,D1020-1,0)))),"Substructure"))</f>
        <v/>
      </c>
      <c r="R1020" s="80"/>
      <c r="T1020" s="93"/>
      <c r="U1020" s="94"/>
      <c r="V1020" s="95"/>
      <c r="W1020" s="96"/>
      <c r="Y1020" s="85"/>
      <c r="Z1020" s="86"/>
      <c r="AA1020" s="87"/>
      <c r="AB1020" s="88"/>
      <c r="AD1020" s="77"/>
      <c r="AF1020" s="54" t="str" cm="1">
        <f t="array" aca="1" ref="AF1020" ca="1">IF(H1020=0,"",HYPERLINK("#"&amp;RIGHT(CELL("adresse",OFFSET('DM01-AV-CH'!$G$6,H1020-1,0)),LEN(CELL("adresse",OFFSET('DM01-AV-CH'!$G$6,H1020-1,0)))-FIND("]",CELL("adresse",OFFSET('DM01-AV-CH'!$G$6,H1020-1,0)))),"Modell"))</f>
        <v/>
      </c>
      <c r="AG1020" s="72" t="str" cm="1">
        <f t="array" ref="AG1020">IF($H1020=0,"",IF(INDEX('DM01-AV-CH'!G$6:G$834,$H1020)="","",INDEX('DM01-AV-CH'!G$6:G$834,$H1020)))</f>
        <v/>
      </c>
      <c r="AH1020" s="73" t="str" cm="1">
        <f t="array" ref="AH1020">IF($H1020=0,"",IF(INDEX('DM01-AV-CH'!H$6:H$834,$H1020)="","",INDEX('DM01-AV-CH'!H$6:H$834,$H1020)))</f>
        <v/>
      </c>
      <c r="AI1020" s="74" t="str" cm="1">
        <f t="array" ref="AI1020">IF($H1020=0,"",IF(INDEX('DM01-AV-CH'!I$6:I$834,$H1020)="","",INDEX('DM01-AV-CH'!I$6:I$834,$H1020)))</f>
        <v/>
      </c>
    </row>
    <row r="1021" spans="1:35" ht="28.5" x14ac:dyDescent="0.25">
      <c r="A1021" s="57">
        <v>1016</v>
      </c>
      <c r="B1021" s="57">
        <f>IF($A1021="","",IF(_xlfn.XLOOKUP($A1021,Korrelation!$D$4:$D$1197,Korrelation!E$4:E$1197,"-",0)="-",0,MATCH(_xlfn.XLOOKUP($A1021,Korrelation!$D$4:$D$1197,Korrelation!E$4:E$1197,"",0),DMAV_Modell!$G$6:$G$677,0)))</f>
        <v>595</v>
      </c>
      <c r="C1021" s="57">
        <f>IF($A1021="","",IF(_xlfn.XLOOKUP($A1021,Korrelation!$D$4:$D$1197,Korrelation!F$4:F$1197,"-",0)="-",0,MATCH(_xlfn.XLOOKUP($A1021,Korrelation!$D$4:$D$1197,Korrelation!F$4:F$1197,"",0),DMAV_Modell!$G$6:$G$677,0)))</f>
        <v>0</v>
      </c>
      <c r="D1021" s="57">
        <f>IF($A1021="","",IF(_xlfn.XLOOKUP($A1021,Korrelation!$D$4:$D$1197,Korrelation!G$4:G$1197,"-",0)="-",0,MATCH(_xlfn.XLOOKUP($A1021,Korrelation!$D$4:$D$1197,Korrelation!G$4:G$1197,"",0),DMAV_Modell!$G$6:$G$677,0)))</f>
        <v>0</v>
      </c>
      <c r="E1021" s="57">
        <f>IF($A1021="","",IF(_xlfn.XLOOKUP($A1021,Korrelation!$D$4:$D$1197,Korrelation!H$4:H$1197,"-",0)="-",0,MATCH(_xlfn.XLOOKUP($A1021,Korrelation!$D$4:$D$1197,Korrelation!H$4:H$1197,"",0),DMAV_Dienste!$F$6:$F$140,0)))</f>
        <v>0</v>
      </c>
      <c r="F1021" s="57">
        <f>IF($A1021="","",IF(_xlfn.XLOOKUP($A1021,Korrelation!$D$4:$D$1197,Korrelation!I$4:I$1197,"-",0)="-",0,MATCH(_xlfn.XLOOKUP($A1021,Korrelation!$D$4:$D$1197,Korrelation!I$4:I$1197,"",0),DMAV_Dienste!$F$6:$F$140,0)))</f>
        <v>0</v>
      </c>
      <c r="G1021" s="57">
        <f>IF($A1021="","",IF(_xlfn.XLOOKUP($A1021,Korrelation!$D$4:$D$1197,Korrelation!J$4:J$1197,"-",0)="-",0,MATCH(_xlfn.XLOOKUP($A1021,Korrelation!$D$4:$D$1197,Korrelation!J$4:J$1197,"",0),DMAV_Dienste!$F$6:$F$140,0)))</f>
        <v>0</v>
      </c>
      <c r="H1021" s="57">
        <f>IF($A1021="","",IF(_xlfn.XLOOKUP($A1021,Korrelation!$D$4:$D$1197,Korrelation!K$4:K$1197,"-",0)="-",0,MATCH(_xlfn.XLOOKUP($A1021,Korrelation!$D$4:$D$1197,Korrelation!K$4:K$1197,"",0),'DM01-AV-CH'!$A$6:$A$834,0)))</f>
        <v>543</v>
      </c>
      <c r="J1021" s="54" t="str" cm="1">
        <f t="array" aca="1" ref="J1021" ca="1">IF(B1021=0,IF(E1021=0,"",HYPERLINK("#"&amp;RIGHT(CELL("adresse",OFFSET(DMAV_Dienste!$M$6,E1021-1,0)),LEN(CELL("adresse",OFFSET(DMAV_Dienste!$M$6,E1021-1,0)))-FIND("]",CELL("adresse",OFFSET(DMAV_Dienste!$M$6,E1021-1,0)))),"Dienst")),HYPERLINK("#"&amp;RIGHT(CELL("adresse",OFFSET(DMAV_Modell!$N$6,B1021-1,0)),LEN(CELL("adresse",OFFSET(DMAV_Modell!$N$6,B1021-1,0)))-FIND("]",CELL("adresse",OFFSET(DMAV_Modell!$N$6,B1021-1,0)))),"Modell"))</f>
        <v>Modell</v>
      </c>
      <c r="K1021" s="61" t="str" cm="1">
        <f t="array" ref="K1021">IF($B1021=0,IF($E1021=0,"",IF(INDEX(DMAV_Dienste!P$6:P$140,$E1021)="","",INDEX(DMAV_Dienste!P$6:P$140,$E1021))),IF(INDEX(DMAV_Modell!Q$6:Q$838,$B1021)="","",INDEX(DMAV_Modell!Q$6:Q$838,$B1021)))</f>
        <v>CLASS</v>
      </c>
      <c r="L1021" s="62" t="str" cm="1">
        <f t="array" ref="L1021">IF($B1021=0,IF($E1021=0,"",IF(INDEX(DMAV_Dienste!O$6:O$140,$E1021)="","",INDEX(DMAV_Dienste!O$6:O$140,$E1021))),IF(INDEX(DMAV_Modell!P$6:P$838,$B1021)="","",INDEX(DMAV_Modell!P$6:P$838,$B1021)))</f>
        <v>Rohrleitungen</v>
      </c>
      <c r="M1021" s="62" t="str" cm="1">
        <f t="array" ref="M1021">IF($B1021=0,IF($E1021=0,"",IF(INDEX(DMAV_Dienste!Q$6:Q$140,$E1021)="","",INDEX(DMAV_Dienste!Q$6:Q$140,$E1021))),IF(INDEX(DMAV_Modell!R$6:R$838,$B1021)="","",INDEX(DMAV_Modell!R$6:R$838,$B1021)))</f>
        <v>Messpunkt</v>
      </c>
      <c r="N1021" s="62" t="str" cm="1">
        <f t="array" ref="N1021">IF($B1021=0,IF($E1021=0,"",IF(INDEX(DMAV_Dienste!T$6:T$140,$E1021)="","",INDEX(DMAV_Dienste!T$6:T$140,$E1021))),IF(INDEX(DMAV_Modell!U$6:U$838,$B1021)="","",INDEX(DMAV_Modell!U$6:U$838,$B1021)))</f>
        <v>IstExaktDefiniert</v>
      </c>
      <c r="O1021" s="63" t="str" cm="1">
        <f t="array" aca="1" ref="O1021" ca="1">IF(C1021=0,IF(F1021=0,"",HYPERLINK("#"&amp;RIGHT(CELL("adresse",OFFSET(DMAV_Dienste!$M$6,F1021-1,0)),LEN(CELL("adresse",OFFSET(DMAV_Dienste!$M$6,F1021-1,0)))-FIND("]",CELL("adresse",OFFSET(DMAV_Dienste!$M$6,F1021-1,0)))),"Structure")),HYPERLINK("#"&amp;RIGHT(CELL("adresse",OFFSET(DMAV_Modell!$N$6,C1021-1,0)),LEN(CELL("adresse",OFFSET(DMAV_Modell!$N$6,C1021-1,0)))-FIND("]",CELL("adresse",OFFSET(DMAV_Modell!$N$6,C1021-1,0)))),"Structure"))</f>
        <v/>
      </c>
      <c r="P1021" s="64" t="str" cm="1">
        <f t="array" aca="1" ref="P1021" ca="1">IF(D1021=0,IF(G1021=0,"",HYPERLINK("#"&amp;RIGHT(CELL("adresse",OFFSET(DMAV_Dienste!$M$6,G1021-1,0)),LEN(CELL("adresse",OFFSET(DMAV_Dienste!$M$6,G1021-1,0)))-FIND("]",CELL("adresse",OFFSET(DMAV_Dienste!$M$6,G1021-1,0)))),"Substructure")),HYPERLINK("#"&amp;RIGHT(CELL("adresse",OFFSET(DMAV_Modell!$N$6,D1021-1,0)),LEN(CELL("adresse",OFFSET(DMAV_Modell!$N$6,D1021-1,0)))-FIND("]",CELL("adresse",OFFSET(DMAV_Modell!$N$6,D1021-1,0)))),"Substructure"))</f>
        <v/>
      </c>
      <c r="R1021" s="80" t="s">
        <v>3098</v>
      </c>
      <c r="T1021" s="93"/>
      <c r="U1021" s="94"/>
      <c r="V1021" s="95"/>
      <c r="W1021" s="96"/>
      <c r="Y1021" s="85"/>
      <c r="Z1021" s="86"/>
      <c r="AA1021" s="87"/>
      <c r="AB1021" s="88"/>
      <c r="AD1021" s="77" t="s">
        <v>3099</v>
      </c>
      <c r="AF1021" s="54" t="str" cm="1">
        <f t="array" aca="1" ref="AF1021" ca="1">IF(H1021=0,"",HYPERLINK("#"&amp;RIGHT(CELL("adresse",OFFSET('DM01-AV-CH'!$G$6,H1021-1,0)),LEN(CELL("adresse",OFFSET('DM01-AV-CH'!$G$6,H1021-1,0)))-FIND("]",CELL("adresse",OFFSET('DM01-AV-CH'!$G$6,H1021-1,0)))),"Modell"))</f>
        <v>Modell</v>
      </c>
      <c r="AG1021" s="72" t="str" cm="1">
        <f t="array" ref="AG1021">IF($H1021=0,"",IF(INDEX('DM01-AV-CH'!G$6:G$834,$H1021)="","",INDEX('DM01-AV-CH'!G$6:G$834,$H1021)))</f>
        <v>Rohrleitungen</v>
      </c>
      <c r="AH1021" s="73" t="str" cm="1">
        <f t="array" ref="AH1021">IF($H1021=0,"",IF(INDEX('DM01-AV-CH'!H$6:H$834,$H1021)="","",INDEX('DM01-AV-CH'!H$6:H$834,$H1021)))</f>
        <v>Einzelpunkt</v>
      </c>
      <c r="AI1021" s="74" t="str" cm="1">
        <f t="array" ref="AI1021">IF($H1021=0,"",IF(INDEX('DM01-AV-CH'!I$6:I$834,$H1021)="","",INDEX('DM01-AV-CH'!I$6:I$834,$H1021)))</f>
        <v>ExaktDefiniert</v>
      </c>
    </row>
    <row r="1022" spans="1:35" x14ac:dyDescent="0.25">
      <c r="A1022" s="57">
        <v>1017</v>
      </c>
      <c r="B1022" s="57">
        <f>IF($A1022="","",IF(_xlfn.XLOOKUP($A1022,Korrelation!$D$4:$D$1197,Korrelation!E$4:E$1197,"-",0)="-",0,MATCH(_xlfn.XLOOKUP($A1022,Korrelation!$D$4:$D$1197,Korrelation!E$4:E$1197,"",0),DMAV_Modell!$G$6:$G$677,0)))</f>
        <v>0</v>
      </c>
      <c r="C1022" s="57">
        <f>IF($A1022="","",IF(_xlfn.XLOOKUP($A1022,Korrelation!$D$4:$D$1197,Korrelation!F$4:F$1197,"-",0)="-",0,MATCH(_xlfn.XLOOKUP($A1022,Korrelation!$D$4:$D$1197,Korrelation!F$4:F$1197,"",0),DMAV_Modell!$G$6:$G$677,0)))</f>
        <v>0</v>
      </c>
      <c r="D1022" s="57">
        <f>IF($A1022="","",IF(_xlfn.XLOOKUP($A1022,Korrelation!$D$4:$D$1197,Korrelation!G$4:G$1197,"-",0)="-",0,MATCH(_xlfn.XLOOKUP($A1022,Korrelation!$D$4:$D$1197,Korrelation!G$4:G$1197,"",0),DMAV_Modell!$G$6:$G$677,0)))</f>
        <v>0</v>
      </c>
      <c r="E1022" s="57">
        <f>IF($A1022="","",IF(_xlfn.XLOOKUP($A1022,Korrelation!$D$4:$D$1197,Korrelation!H$4:H$1197,"-",0)="-",0,MATCH(_xlfn.XLOOKUP($A1022,Korrelation!$D$4:$D$1197,Korrelation!H$4:H$1197,"",0),DMAV_Dienste!$F$6:$F$140,0)))</f>
        <v>0</v>
      </c>
      <c r="F1022" s="57">
        <f>IF($A1022="","",IF(_xlfn.XLOOKUP($A1022,Korrelation!$D$4:$D$1197,Korrelation!I$4:I$1197,"-",0)="-",0,MATCH(_xlfn.XLOOKUP($A1022,Korrelation!$D$4:$D$1197,Korrelation!I$4:I$1197,"",0),DMAV_Dienste!$F$6:$F$140,0)))</f>
        <v>0</v>
      </c>
      <c r="G1022" s="57">
        <f>IF($A1022="","",IF(_xlfn.XLOOKUP($A1022,Korrelation!$D$4:$D$1197,Korrelation!J$4:J$1197,"-",0)="-",0,MATCH(_xlfn.XLOOKUP($A1022,Korrelation!$D$4:$D$1197,Korrelation!J$4:J$1197,"",0),DMAV_Dienste!$F$6:$F$140,0)))</f>
        <v>0</v>
      </c>
      <c r="H1022" s="57">
        <f>IF($A1022="","",IF(_xlfn.XLOOKUP($A1022,Korrelation!$D$4:$D$1197,Korrelation!K$4:K$1197,"-",0)="-",0,MATCH(_xlfn.XLOOKUP($A1022,Korrelation!$D$4:$D$1197,Korrelation!K$4:K$1197,"",0),'DM01-AV-CH'!$A$6:$A$834,0)))</f>
        <v>544</v>
      </c>
      <c r="J1022" s="54" t="str" cm="1">
        <f t="array" aca="1" ref="J1022" ca="1">IF(B1022=0,IF(E1022=0,"",HYPERLINK("#"&amp;RIGHT(CELL("adresse",OFFSET(DMAV_Dienste!$M$6,E1022-1,0)),LEN(CELL("adresse",OFFSET(DMAV_Dienste!$M$6,E1022-1,0)))-FIND("]",CELL("adresse",OFFSET(DMAV_Dienste!$M$6,E1022-1,0)))),"Dienst")),HYPERLINK("#"&amp;RIGHT(CELL("adresse",OFFSET(DMAV_Modell!$N$6,B1022-1,0)),LEN(CELL("adresse",OFFSET(DMAV_Modell!$N$6,B1022-1,0)))-FIND("]",CELL("adresse",OFFSET(DMAV_Modell!$N$6,B1022-1,0)))),"Modell"))</f>
        <v/>
      </c>
      <c r="K1022" s="61" t="str" cm="1">
        <f t="array" ref="K1022">IF($B1022=0,IF($E1022=0,"",IF(INDEX(DMAV_Dienste!P$6:P$140,$E1022)="","",INDEX(DMAV_Dienste!P$6:P$140,$E1022))),IF(INDEX(DMAV_Modell!Q$6:Q$838,$B1022)="","",INDEX(DMAV_Modell!Q$6:Q$838,$B1022)))</f>
        <v/>
      </c>
      <c r="L1022" s="62" t="str" cm="1">
        <f t="array" ref="L1022">IF($B1022=0,IF($E1022=0,"",IF(INDEX(DMAV_Dienste!O$6:O$140,$E1022)="","",INDEX(DMAV_Dienste!O$6:O$140,$E1022))),IF(INDEX(DMAV_Modell!P$6:P$838,$B1022)="","",INDEX(DMAV_Modell!P$6:P$838,$B1022)))</f>
        <v/>
      </c>
      <c r="M1022" s="62" t="str" cm="1">
        <f t="array" ref="M1022">IF($B1022=0,IF($E1022=0,"",IF(INDEX(DMAV_Dienste!Q$6:Q$140,$E1022)="","",INDEX(DMAV_Dienste!Q$6:Q$140,$E1022))),IF(INDEX(DMAV_Modell!R$6:R$838,$B1022)="","",INDEX(DMAV_Modell!R$6:R$838,$B1022)))</f>
        <v/>
      </c>
      <c r="N1022" s="62" t="str" cm="1">
        <f t="array" ref="N1022">IF($B1022=0,IF($E1022=0,"",IF(INDEX(DMAV_Dienste!T$6:T$140,$E1022)="","",INDEX(DMAV_Dienste!T$6:T$140,$E1022))),IF(INDEX(DMAV_Modell!U$6:U$838,$B1022)="","",INDEX(DMAV_Modell!U$6:U$838,$B1022)))</f>
        <v/>
      </c>
      <c r="O1022" s="63" t="str" cm="1">
        <f t="array" aca="1" ref="O1022" ca="1">IF(C1022=0,IF(F1022=0,"",HYPERLINK("#"&amp;RIGHT(CELL("adresse",OFFSET(DMAV_Dienste!$M$6,F1022-1,0)),LEN(CELL("adresse",OFFSET(DMAV_Dienste!$M$6,F1022-1,0)))-FIND("]",CELL("adresse",OFFSET(DMAV_Dienste!$M$6,F1022-1,0)))),"Structure")),HYPERLINK("#"&amp;RIGHT(CELL("adresse",OFFSET(DMAV_Modell!$N$6,C1022-1,0)),LEN(CELL("adresse",OFFSET(DMAV_Modell!$N$6,C1022-1,0)))-FIND("]",CELL("adresse",OFFSET(DMAV_Modell!$N$6,C1022-1,0)))),"Structure"))</f>
        <v/>
      </c>
      <c r="P1022" s="64" t="str" cm="1">
        <f t="array" aca="1" ref="P1022" ca="1">IF(D1022=0,IF(G1022=0,"",HYPERLINK("#"&amp;RIGHT(CELL("adresse",OFFSET(DMAV_Dienste!$M$6,G1022-1,0)),LEN(CELL("adresse",OFFSET(DMAV_Dienste!$M$6,G1022-1,0)))-FIND("]",CELL("adresse",OFFSET(DMAV_Dienste!$M$6,G1022-1,0)))),"Substructure")),HYPERLINK("#"&amp;RIGHT(CELL("adresse",OFFSET(DMAV_Modell!$N$6,D1022-1,0)),LEN(CELL("adresse",OFFSET(DMAV_Modell!$N$6,D1022-1,0)))-FIND("]",CELL("adresse",OFFSET(DMAV_Modell!$N$6,D1022-1,0)))),"Substructure"))</f>
        <v/>
      </c>
      <c r="R1022" s="80"/>
      <c r="T1022" s="93"/>
      <c r="U1022" s="94"/>
      <c r="V1022" s="95"/>
      <c r="W1022" s="96"/>
      <c r="Y1022" s="85"/>
      <c r="Z1022" s="86"/>
      <c r="AA1022" s="87"/>
      <c r="AB1022" s="88"/>
      <c r="AD1022" s="77"/>
      <c r="AF1022" s="54" t="str" cm="1">
        <f t="array" aca="1" ref="AF1022" ca="1">IF(H1022=0,"",HYPERLINK("#"&amp;RIGHT(CELL("adresse",OFFSET('DM01-AV-CH'!$G$6,H1022-1,0)),LEN(CELL("adresse",OFFSET('DM01-AV-CH'!$G$6,H1022-1,0)))-FIND("]",CELL("adresse",OFFSET('DM01-AV-CH'!$G$6,H1022-1,0)))),"Modell"))</f>
        <v>Modell</v>
      </c>
      <c r="AG1022" s="72" t="str" cm="1">
        <f t="array" ref="AG1022">IF($H1022=0,"",IF(INDEX('DM01-AV-CH'!G$6:G$834,$H1022)="","",INDEX('DM01-AV-CH'!G$6:G$834,$H1022)))</f>
        <v>Rohrleitungen</v>
      </c>
      <c r="AH1022" s="73" t="str" cm="1">
        <f t="array" ref="AH1022">IF($H1022=0,"",IF(INDEX('DM01-AV-CH'!H$6:H$834,$H1022)="","",INDEX('DM01-AV-CH'!H$6:H$834,$H1022)))</f>
        <v>EinzelpunktPos</v>
      </c>
      <c r="AI1022" s="74" t="str" cm="1">
        <f t="array" ref="AI1022">IF($H1022=0,"",IF(INDEX('DM01-AV-CH'!I$6:I$834,$H1022)="","",INDEX('DM01-AV-CH'!I$6:I$834,$H1022)))</f>
        <v>EinzelpunktPos_von</v>
      </c>
    </row>
    <row r="1023" spans="1:35" x14ac:dyDescent="0.25">
      <c r="A1023" s="57">
        <v>1018</v>
      </c>
      <c r="B1023" s="57">
        <f>IF($A1023="","",IF(_xlfn.XLOOKUP($A1023,Korrelation!$D$4:$D$1197,Korrelation!E$4:E$1197,"-",0)="-",0,MATCH(_xlfn.XLOOKUP($A1023,Korrelation!$D$4:$D$1197,Korrelation!E$4:E$1197,"",0),DMAV_Modell!$G$6:$G$677,0)))</f>
        <v>0</v>
      </c>
      <c r="C1023" s="57">
        <f>IF($A1023="","",IF(_xlfn.XLOOKUP($A1023,Korrelation!$D$4:$D$1197,Korrelation!F$4:F$1197,"-",0)="-",0,MATCH(_xlfn.XLOOKUP($A1023,Korrelation!$D$4:$D$1197,Korrelation!F$4:F$1197,"",0),DMAV_Modell!$G$6:$G$677,0)))</f>
        <v>0</v>
      </c>
      <c r="D1023" s="57">
        <f>IF($A1023="","",IF(_xlfn.XLOOKUP($A1023,Korrelation!$D$4:$D$1197,Korrelation!G$4:G$1197,"-",0)="-",0,MATCH(_xlfn.XLOOKUP($A1023,Korrelation!$D$4:$D$1197,Korrelation!G$4:G$1197,"",0),DMAV_Modell!$G$6:$G$677,0)))</f>
        <v>0</v>
      </c>
      <c r="E1023" s="57">
        <f>IF($A1023="","",IF(_xlfn.XLOOKUP($A1023,Korrelation!$D$4:$D$1197,Korrelation!H$4:H$1197,"-",0)="-",0,MATCH(_xlfn.XLOOKUP($A1023,Korrelation!$D$4:$D$1197,Korrelation!H$4:H$1197,"",0),DMAV_Dienste!$F$6:$F$140,0)))</f>
        <v>0</v>
      </c>
      <c r="F1023" s="57">
        <f>IF($A1023="","",IF(_xlfn.XLOOKUP($A1023,Korrelation!$D$4:$D$1197,Korrelation!I$4:I$1197,"-",0)="-",0,MATCH(_xlfn.XLOOKUP($A1023,Korrelation!$D$4:$D$1197,Korrelation!I$4:I$1197,"",0),DMAV_Dienste!$F$6:$F$140,0)))</f>
        <v>0</v>
      </c>
      <c r="G1023" s="57">
        <f>IF($A1023="","",IF(_xlfn.XLOOKUP($A1023,Korrelation!$D$4:$D$1197,Korrelation!J$4:J$1197,"-",0)="-",0,MATCH(_xlfn.XLOOKUP($A1023,Korrelation!$D$4:$D$1197,Korrelation!J$4:J$1197,"",0),DMAV_Dienste!$F$6:$F$140,0)))</f>
        <v>0</v>
      </c>
      <c r="H1023" s="57">
        <f>IF($A1023="","",IF(_xlfn.XLOOKUP($A1023,Korrelation!$D$4:$D$1197,Korrelation!K$4:K$1197,"-",0)="-",0,MATCH(_xlfn.XLOOKUP($A1023,Korrelation!$D$4:$D$1197,Korrelation!K$4:K$1197,"",0),'DM01-AV-CH'!$A$6:$A$834,0)))</f>
        <v>545</v>
      </c>
      <c r="J1023" s="54" t="str" cm="1">
        <f t="array" aca="1" ref="J1023" ca="1">IF(B1023=0,IF(E1023=0,"",HYPERLINK("#"&amp;RIGHT(CELL("adresse",OFFSET(DMAV_Dienste!$M$6,E1023-1,0)),LEN(CELL("adresse",OFFSET(DMAV_Dienste!$M$6,E1023-1,0)))-FIND("]",CELL("adresse",OFFSET(DMAV_Dienste!$M$6,E1023-1,0)))),"Dienst")),HYPERLINK("#"&amp;RIGHT(CELL("adresse",OFFSET(DMAV_Modell!$N$6,B1023-1,0)),LEN(CELL("adresse",OFFSET(DMAV_Modell!$N$6,B1023-1,0)))-FIND("]",CELL("adresse",OFFSET(DMAV_Modell!$N$6,B1023-1,0)))),"Modell"))</f>
        <v/>
      </c>
      <c r="K1023" s="61" t="str" cm="1">
        <f t="array" ref="K1023">IF($B1023=0,IF($E1023=0,"",IF(INDEX(DMAV_Dienste!P$6:P$140,$E1023)="","",INDEX(DMAV_Dienste!P$6:P$140,$E1023))),IF(INDEX(DMAV_Modell!Q$6:Q$838,$B1023)="","",INDEX(DMAV_Modell!Q$6:Q$838,$B1023)))</f>
        <v/>
      </c>
      <c r="L1023" s="62" t="str" cm="1">
        <f t="array" ref="L1023">IF($B1023=0,IF($E1023=0,"",IF(INDEX(DMAV_Dienste!O$6:O$140,$E1023)="","",INDEX(DMAV_Dienste!O$6:O$140,$E1023))),IF(INDEX(DMAV_Modell!P$6:P$838,$B1023)="","",INDEX(DMAV_Modell!P$6:P$838,$B1023)))</f>
        <v/>
      </c>
      <c r="M1023" s="62" t="str" cm="1">
        <f t="array" ref="M1023">IF($B1023=0,IF($E1023=0,"",IF(INDEX(DMAV_Dienste!Q$6:Q$140,$E1023)="","",INDEX(DMAV_Dienste!Q$6:Q$140,$E1023))),IF(INDEX(DMAV_Modell!R$6:R$838,$B1023)="","",INDEX(DMAV_Modell!R$6:R$838,$B1023)))</f>
        <v/>
      </c>
      <c r="N1023" s="62" t="str" cm="1">
        <f t="array" ref="N1023">IF($B1023=0,IF($E1023=0,"",IF(INDEX(DMAV_Dienste!T$6:T$140,$E1023)="","",INDEX(DMAV_Dienste!T$6:T$140,$E1023))),IF(INDEX(DMAV_Modell!U$6:U$838,$B1023)="","",INDEX(DMAV_Modell!U$6:U$838,$B1023)))</f>
        <v/>
      </c>
      <c r="O1023" s="63" t="str" cm="1">
        <f t="array" aca="1" ref="O1023" ca="1">IF(C1023=0,IF(F1023=0,"",HYPERLINK("#"&amp;RIGHT(CELL("adresse",OFFSET(DMAV_Dienste!$M$6,F1023-1,0)),LEN(CELL("adresse",OFFSET(DMAV_Dienste!$M$6,F1023-1,0)))-FIND("]",CELL("adresse",OFFSET(DMAV_Dienste!$M$6,F1023-1,0)))),"Structure")),HYPERLINK("#"&amp;RIGHT(CELL("adresse",OFFSET(DMAV_Modell!$N$6,C1023-1,0)),LEN(CELL("adresse",OFFSET(DMAV_Modell!$N$6,C1023-1,0)))-FIND("]",CELL("adresse",OFFSET(DMAV_Modell!$N$6,C1023-1,0)))),"Structure"))</f>
        <v/>
      </c>
      <c r="P1023" s="64" t="str" cm="1">
        <f t="array" aca="1" ref="P1023" ca="1">IF(D1023=0,IF(G1023=0,"",HYPERLINK("#"&amp;RIGHT(CELL("adresse",OFFSET(DMAV_Dienste!$M$6,G1023-1,0)),LEN(CELL("adresse",OFFSET(DMAV_Dienste!$M$6,G1023-1,0)))-FIND("]",CELL("adresse",OFFSET(DMAV_Dienste!$M$6,G1023-1,0)))),"Substructure")),HYPERLINK("#"&amp;RIGHT(CELL("adresse",OFFSET(DMAV_Modell!$N$6,D1023-1,0)),LEN(CELL("adresse",OFFSET(DMAV_Modell!$N$6,D1023-1,0)))-FIND("]",CELL("adresse",OFFSET(DMAV_Modell!$N$6,D1023-1,0)))),"Substructure"))</f>
        <v/>
      </c>
      <c r="R1023" s="80"/>
      <c r="T1023" s="93"/>
      <c r="U1023" s="94"/>
      <c r="V1023" s="95"/>
      <c r="W1023" s="96"/>
      <c r="Y1023" s="85"/>
      <c r="Z1023" s="86"/>
      <c r="AA1023" s="87"/>
      <c r="AB1023" s="88"/>
      <c r="AD1023" s="77"/>
      <c r="AF1023" s="54" t="str" cm="1">
        <f t="array" aca="1" ref="AF1023" ca="1">IF(H1023=0,"",HYPERLINK("#"&amp;RIGHT(CELL("adresse",OFFSET('DM01-AV-CH'!$G$6,H1023-1,0)),LEN(CELL("adresse",OFFSET('DM01-AV-CH'!$G$6,H1023-1,0)))-FIND("]",CELL("adresse",OFFSET('DM01-AV-CH'!$G$6,H1023-1,0)))),"Modell"))</f>
        <v>Modell</v>
      </c>
      <c r="AG1023" s="72" t="str" cm="1">
        <f t="array" ref="AG1023">IF($H1023=0,"",IF(INDEX('DM01-AV-CH'!G$6:G$834,$H1023)="","",INDEX('DM01-AV-CH'!G$6:G$834,$H1023)))</f>
        <v>Rohrleitungen</v>
      </c>
      <c r="AH1023" s="73" t="str" cm="1">
        <f t="array" ref="AH1023">IF($H1023=0,"",IF(INDEX('DM01-AV-CH'!H$6:H$834,$H1023)="","",INDEX('DM01-AV-CH'!H$6:H$834,$H1023)))</f>
        <v>EinzelpunktPos</v>
      </c>
      <c r="AI1023" s="74" t="str" cm="1">
        <f t="array" ref="AI1023">IF($H1023=0,"",IF(INDEX('DM01-AV-CH'!I$6:I$834,$H1023)="","",INDEX('DM01-AV-CH'!I$6:I$834,$H1023)))</f>
        <v>Pos</v>
      </c>
    </row>
    <row r="1024" spans="1:35" x14ac:dyDescent="0.25">
      <c r="A1024" s="57">
        <v>1019</v>
      </c>
      <c r="B1024" s="57">
        <f>IF($A1024="","",IF(_xlfn.XLOOKUP($A1024,Korrelation!$D$4:$D$1197,Korrelation!E$4:E$1197,"-",0)="-",0,MATCH(_xlfn.XLOOKUP($A1024,Korrelation!$D$4:$D$1197,Korrelation!E$4:E$1197,"",0),DMAV_Modell!$G$6:$G$677,0)))</f>
        <v>0</v>
      </c>
      <c r="C1024" s="57">
        <f>IF($A1024="","",IF(_xlfn.XLOOKUP($A1024,Korrelation!$D$4:$D$1197,Korrelation!F$4:F$1197,"-",0)="-",0,MATCH(_xlfn.XLOOKUP($A1024,Korrelation!$D$4:$D$1197,Korrelation!F$4:F$1197,"",0),DMAV_Modell!$G$6:$G$677,0)))</f>
        <v>0</v>
      </c>
      <c r="D1024" s="57">
        <f>IF($A1024="","",IF(_xlfn.XLOOKUP($A1024,Korrelation!$D$4:$D$1197,Korrelation!G$4:G$1197,"-",0)="-",0,MATCH(_xlfn.XLOOKUP($A1024,Korrelation!$D$4:$D$1197,Korrelation!G$4:G$1197,"",0),DMAV_Modell!$G$6:$G$677,0)))</f>
        <v>0</v>
      </c>
      <c r="E1024" s="57">
        <f>IF($A1024="","",IF(_xlfn.XLOOKUP($A1024,Korrelation!$D$4:$D$1197,Korrelation!H$4:H$1197,"-",0)="-",0,MATCH(_xlfn.XLOOKUP($A1024,Korrelation!$D$4:$D$1197,Korrelation!H$4:H$1197,"",0),DMAV_Dienste!$F$6:$F$140,0)))</f>
        <v>0</v>
      </c>
      <c r="F1024" s="57">
        <f>IF($A1024="","",IF(_xlfn.XLOOKUP($A1024,Korrelation!$D$4:$D$1197,Korrelation!I$4:I$1197,"-",0)="-",0,MATCH(_xlfn.XLOOKUP($A1024,Korrelation!$D$4:$D$1197,Korrelation!I$4:I$1197,"",0),DMAV_Dienste!$F$6:$F$140,0)))</f>
        <v>0</v>
      </c>
      <c r="G1024" s="57">
        <f>IF($A1024="","",IF(_xlfn.XLOOKUP($A1024,Korrelation!$D$4:$D$1197,Korrelation!J$4:J$1197,"-",0)="-",0,MATCH(_xlfn.XLOOKUP($A1024,Korrelation!$D$4:$D$1197,Korrelation!J$4:J$1197,"",0),DMAV_Dienste!$F$6:$F$140,0)))</f>
        <v>0</v>
      </c>
      <c r="H1024" s="57">
        <f>IF($A1024="","",IF(_xlfn.XLOOKUP($A1024,Korrelation!$D$4:$D$1197,Korrelation!K$4:K$1197,"-",0)="-",0,MATCH(_xlfn.XLOOKUP($A1024,Korrelation!$D$4:$D$1197,Korrelation!K$4:K$1197,"",0),'DM01-AV-CH'!$A$6:$A$834,0)))</f>
        <v>546</v>
      </c>
      <c r="J1024" s="54" t="str" cm="1">
        <f t="array" aca="1" ref="J1024" ca="1">IF(B1024=0,IF(E1024=0,"",HYPERLINK("#"&amp;RIGHT(CELL("adresse",OFFSET(DMAV_Dienste!$M$6,E1024-1,0)),LEN(CELL("adresse",OFFSET(DMAV_Dienste!$M$6,E1024-1,0)))-FIND("]",CELL("adresse",OFFSET(DMAV_Dienste!$M$6,E1024-1,0)))),"Dienst")),HYPERLINK("#"&amp;RIGHT(CELL("adresse",OFFSET(DMAV_Modell!$N$6,B1024-1,0)),LEN(CELL("adresse",OFFSET(DMAV_Modell!$N$6,B1024-1,0)))-FIND("]",CELL("adresse",OFFSET(DMAV_Modell!$N$6,B1024-1,0)))),"Modell"))</f>
        <v/>
      </c>
      <c r="K1024" s="61" t="str" cm="1">
        <f t="array" ref="K1024">IF($B1024=0,IF($E1024=0,"",IF(INDEX(DMAV_Dienste!P$6:P$140,$E1024)="","",INDEX(DMAV_Dienste!P$6:P$140,$E1024))),IF(INDEX(DMAV_Modell!Q$6:Q$838,$B1024)="","",INDEX(DMAV_Modell!Q$6:Q$838,$B1024)))</f>
        <v/>
      </c>
      <c r="L1024" s="62" t="str" cm="1">
        <f t="array" ref="L1024">IF($B1024=0,IF($E1024=0,"",IF(INDEX(DMAV_Dienste!O$6:O$140,$E1024)="","",INDEX(DMAV_Dienste!O$6:O$140,$E1024))),IF(INDEX(DMAV_Modell!P$6:P$838,$B1024)="","",INDEX(DMAV_Modell!P$6:P$838,$B1024)))</f>
        <v/>
      </c>
      <c r="M1024" s="62" t="str" cm="1">
        <f t="array" ref="M1024">IF($B1024=0,IF($E1024=0,"",IF(INDEX(DMAV_Dienste!Q$6:Q$140,$E1024)="","",INDEX(DMAV_Dienste!Q$6:Q$140,$E1024))),IF(INDEX(DMAV_Modell!R$6:R$838,$B1024)="","",INDEX(DMAV_Modell!R$6:R$838,$B1024)))</f>
        <v/>
      </c>
      <c r="N1024" s="62" t="str" cm="1">
        <f t="array" ref="N1024">IF($B1024=0,IF($E1024=0,"",IF(INDEX(DMAV_Dienste!T$6:T$140,$E1024)="","",INDEX(DMAV_Dienste!T$6:T$140,$E1024))),IF(INDEX(DMAV_Modell!U$6:U$838,$B1024)="","",INDEX(DMAV_Modell!U$6:U$838,$B1024)))</f>
        <v/>
      </c>
      <c r="O1024" s="63" t="str" cm="1">
        <f t="array" aca="1" ref="O1024" ca="1">IF(C1024=0,IF(F1024=0,"",HYPERLINK("#"&amp;RIGHT(CELL("adresse",OFFSET(DMAV_Dienste!$M$6,F1024-1,0)),LEN(CELL("adresse",OFFSET(DMAV_Dienste!$M$6,F1024-1,0)))-FIND("]",CELL("adresse",OFFSET(DMAV_Dienste!$M$6,F1024-1,0)))),"Structure")),HYPERLINK("#"&amp;RIGHT(CELL("adresse",OFFSET(DMAV_Modell!$N$6,C1024-1,0)),LEN(CELL("adresse",OFFSET(DMAV_Modell!$N$6,C1024-1,0)))-FIND("]",CELL("adresse",OFFSET(DMAV_Modell!$N$6,C1024-1,0)))),"Structure"))</f>
        <v/>
      </c>
      <c r="P1024" s="64" t="str" cm="1">
        <f t="array" aca="1" ref="P1024" ca="1">IF(D1024=0,IF(G1024=0,"",HYPERLINK("#"&amp;RIGHT(CELL("adresse",OFFSET(DMAV_Dienste!$M$6,G1024-1,0)),LEN(CELL("adresse",OFFSET(DMAV_Dienste!$M$6,G1024-1,0)))-FIND("]",CELL("adresse",OFFSET(DMAV_Dienste!$M$6,G1024-1,0)))),"Substructure")),HYPERLINK("#"&amp;RIGHT(CELL("adresse",OFFSET(DMAV_Modell!$N$6,D1024-1,0)),LEN(CELL("adresse",OFFSET(DMAV_Modell!$N$6,D1024-1,0)))-FIND("]",CELL("adresse",OFFSET(DMAV_Modell!$N$6,D1024-1,0)))),"Substructure"))</f>
        <v/>
      </c>
      <c r="R1024" s="80"/>
      <c r="T1024" s="93"/>
      <c r="U1024" s="94"/>
      <c r="V1024" s="95"/>
      <c r="W1024" s="96"/>
      <c r="Y1024" s="85"/>
      <c r="Z1024" s="86"/>
      <c r="AA1024" s="87"/>
      <c r="AB1024" s="88"/>
      <c r="AD1024" s="77"/>
      <c r="AF1024" s="54" t="str" cm="1">
        <f t="array" aca="1" ref="AF1024" ca="1">IF(H1024=0,"",HYPERLINK("#"&amp;RIGHT(CELL("adresse",OFFSET('DM01-AV-CH'!$G$6,H1024-1,0)),LEN(CELL("adresse",OFFSET('DM01-AV-CH'!$G$6,H1024-1,0)))-FIND("]",CELL("adresse",OFFSET('DM01-AV-CH'!$G$6,H1024-1,0)))),"Modell"))</f>
        <v>Modell</v>
      </c>
      <c r="AG1024" s="72" t="str" cm="1">
        <f t="array" ref="AG1024">IF($H1024=0,"",IF(INDEX('DM01-AV-CH'!G$6:G$834,$H1024)="","",INDEX('DM01-AV-CH'!G$6:G$834,$H1024)))</f>
        <v>Rohrleitungen</v>
      </c>
      <c r="AH1024" s="73" t="str" cm="1">
        <f t="array" ref="AH1024">IF($H1024=0,"",IF(INDEX('DM01-AV-CH'!H$6:H$834,$H1024)="","",INDEX('DM01-AV-CH'!H$6:H$834,$H1024)))</f>
        <v>EinzelpunktPos</v>
      </c>
      <c r="AI1024" s="74" t="str" cm="1">
        <f t="array" ref="AI1024">IF($H1024=0,"",IF(INDEX('DM01-AV-CH'!I$6:I$834,$H1024)="","",INDEX('DM01-AV-CH'!I$6:I$834,$H1024)))</f>
        <v>Ori</v>
      </c>
    </row>
    <row r="1025" spans="1:35" x14ac:dyDescent="0.25">
      <c r="A1025" s="57">
        <v>1020</v>
      </c>
      <c r="B1025" s="57">
        <f>IF($A1025="","",IF(_xlfn.XLOOKUP($A1025,Korrelation!$D$4:$D$1197,Korrelation!E$4:E$1197,"-",0)="-",0,MATCH(_xlfn.XLOOKUP($A1025,Korrelation!$D$4:$D$1197,Korrelation!E$4:E$1197,"",0),DMAV_Modell!$G$6:$G$677,0)))</f>
        <v>0</v>
      </c>
      <c r="C1025" s="57">
        <f>IF($A1025="","",IF(_xlfn.XLOOKUP($A1025,Korrelation!$D$4:$D$1197,Korrelation!F$4:F$1197,"-",0)="-",0,MATCH(_xlfn.XLOOKUP($A1025,Korrelation!$D$4:$D$1197,Korrelation!F$4:F$1197,"",0),DMAV_Modell!$G$6:$G$677,0)))</f>
        <v>0</v>
      </c>
      <c r="D1025" s="57">
        <f>IF($A1025="","",IF(_xlfn.XLOOKUP($A1025,Korrelation!$D$4:$D$1197,Korrelation!G$4:G$1197,"-",0)="-",0,MATCH(_xlfn.XLOOKUP($A1025,Korrelation!$D$4:$D$1197,Korrelation!G$4:G$1197,"",0),DMAV_Modell!$G$6:$G$677,0)))</f>
        <v>0</v>
      </c>
      <c r="E1025" s="57">
        <f>IF($A1025="","",IF(_xlfn.XLOOKUP($A1025,Korrelation!$D$4:$D$1197,Korrelation!H$4:H$1197,"-",0)="-",0,MATCH(_xlfn.XLOOKUP($A1025,Korrelation!$D$4:$D$1197,Korrelation!H$4:H$1197,"",0),DMAV_Dienste!$F$6:$F$140,0)))</f>
        <v>0</v>
      </c>
      <c r="F1025" s="57">
        <f>IF($A1025="","",IF(_xlfn.XLOOKUP($A1025,Korrelation!$D$4:$D$1197,Korrelation!I$4:I$1197,"-",0)="-",0,MATCH(_xlfn.XLOOKUP($A1025,Korrelation!$D$4:$D$1197,Korrelation!I$4:I$1197,"",0),DMAV_Dienste!$F$6:$F$140,0)))</f>
        <v>0</v>
      </c>
      <c r="G1025" s="57">
        <f>IF($A1025="","",IF(_xlfn.XLOOKUP($A1025,Korrelation!$D$4:$D$1197,Korrelation!J$4:J$1197,"-",0)="-",0,MATCH(_xlfn.XLOOKUP($A1025,Korrelation!$D$4:$D$1197,Korrelation!J$4:J$1197,"",0),DMAV_Dienste!$F$6:$F$140,0)))</f>
        <v>0</v>
      </c>
      <c r="H1025" s="57">
        <f>IF($A1025="","",IF(_xlfn.XLOOKUP($A1025,Korrelation!$D$4:$D$1197,Korrelation!K$4:K$1197,"-",0)="-",0,MATCH(_xlfn.XLOOKUP($A1025,Korrelation!$D$4:$D$1197,Korrelation!K$4:K$1197,"",0),'DM01-AV-CH'!$A$6:$A$834,0)))</f>
        <v>547</v>
      </c>
      <c r="J1025" s="54" t="str" cm="1">
        <f t="array" aca="1" ref="J1025" ca="1">IF(B1025=0,IF(E1025=0,"",HYPERLINK("#"&amp;RIGHT(CELL("adresse",OFFSET(DMAV_Dienste!$M$6,E1025-1,0)),LEN(CELL("adresse",OFFSET(DMAV_Dienste!$M$6,E1025-1,0)))-FIND("]",CELL("adresse",OFFSET(DMAV_Dienste!$M$6,E1025-1,0)))),"Dienst")),HYPERLINK("#"&amp;RIGHT(CELL("adresse",OFFSET(DMAV_Modell!$N$6,B1025-1,0)),LEN(CELL("adresse",OFFSET(DMAV_Modell!$N$6,B1025-1,0)))-FIND("]",CELL("adresse",OFFSET(DMAV_Modell!$N$6,B1025-1,0)))),"Modell"))</f>
        <v/>
      </c>
      <c r="K1025" s="61" t="str" cm="1">
        <f t="array" ref="K1025">IF($B1025=0,IF($E1025=0,"",IF(INDEX(DMAV_Dienste!P$6:P$140,$E1025)="","",INDEX(DMAV_Dienste!P$6:P$140,$E1025))),IF(INDEX(DMAV_Modell!Q$6:Q$838,$B1025)="","",INDEX(DMAV_Modell!Q$6:Q$838,$B1025)))</f>
        <v/>
      </c>
      <c r="L1025" s="62" t="str" cm="1">
        <f t="array" ref="L1025">IF($B1025=0,IF($E1025=0,"",IF(INDEX(DMAV_Dienste!O$6:O$140,$E1025)="","",INDEX(DMAV_Dienste!O$6:O$140,$E1025))),IF(INDEX(DMAV_Modell!P$6:P$838,$B1025)="","",INDEX(DMAV_Modell!P$6:P$838,$B1025)))</f>
        <v/>
      </c>
      <c r="M1025" s="62" t="str" cm="1">
        <f t="array" ref="M1025">IF($B1025=0,IF($E1025=0,"",IF(INDEX(DMAV_Dienste!Q$6:Q$140,$E1025)="","",INDEX(DMAV_Dienste!Q$6:Q$140,$E1025))),IF(INDEX(DMAV_Modell!R$6:R$838,$B1025)="","",INDEX(DMAV_Modell!R$6:R$838,$B1025)))</f>
        <v/>
      </c>
      <c r="N1025" s="62" t="str" cm="1">
        <f t="array" ref="N1025">IF($B1025=0,IF($E1025=0,"",IF(INDEX(DMAV_Dienste!T$6:T$140,$E1025)="","",INDEX(DMAV_Dienste!T$6:T$140,$E1025))),IF(INDEX(DMAV_Modell!U$6:U$838,$B1025)="","",INDEX(DMAV_Modell!U$6:U$838,$B1025)))</f>
        <v/>
      </c>
      <c r="O1025" s="63" t="str" cm="1">
        <f t="array" aca="1" ref="O1025" ca="1">IF(C1025=0,IF(F1025=0,"",HYPERLINK("#"&amp;RIGHT(CELL("adresse",OFFSET(DMAV_Dienste!$M$6,F1025-1,0)),LEN(CELL("adresse",OFFSET(DMAV_Dienste!$M$6,F1025-1,0)))-FIND("]",CELL("adresse",OFFSET(DMAV_Dienste!$M$6,F1025-1,0)))),"Structure")),HYPERLINK("#"&amp;RIGHT(CELL("adresse",OFFSET(DMAV_Modell!$N$6,C1025-1,0)),LEN(CELL("adresse",OFFSET(DMAV_Modell!$N$6,C1025-1,0)))-FIND("]",CELL("adresse",OFFSET(DMAV_Modell!$N$6,C1025-1,0)))),"Structure"))</f>
        <v/>
      </c>
      <c r="P1025" s="64" t="str" cm="1">
        <f t="array" aca="1" ref="P1025" ca="1">IF(D1025=0,IF(G1025=0,"",HYPERLINK("#"&amp;RIGHT(CELL("adresse",OFFSET(DMAV_Dienste!$M$6,G1025-1,0)),LEN(CELL("adresse",OFFSET(DMAV_Dienste!$M$6,G1025-1,0)))-FIND("]",CELL("adresse",OFFSET(DMAV_Dienste!$M$6,G1025-1,0)))),"Substructure")),HYPERLINK("#"&amp;RIGHT(CELL("adresse",OFFSET(DMAV_Modell!$N$6,D1025-1,0)),LEN(CELL("adresse",OFFSET(DMAV_Modell!$N$6,D1025-1,0)))-FIND("]",CELL("adresse",OFFSET(DMAV_Modell!$N$6,D1025-1,0)))),"Substructure"))</f>
        <v/>
      </c>
      <c r="R1025" s="80"/>
      <c r="T1025" s="93"/>
      <c r="U1025" s="94"/>
      <c r="V1025" s="95"/>
      <c r="W1025" s="96"/>
      <c r="Y1025" s="85"/>
      <c r="Z1025" s="86"/>
      <c r="AA1025" s="87"/>
      <c r="AB1025" s="88"/>
      <c r="AD1025" s="77"/>
      <c r="AF1025" s="54" t="str" cm="1">
        <f t="array" aca="1" ref="AF1025" ca="1">IF(H1025=0,"",HYPERLINK("#"&amp;RIGHT(CELL("adresse",OFFSET('DM01-AV-CH'!$G$6,H1025-1,0)),LEN(CELL("adresse",OFFSET('DM01-AV-CH'!$G$6,H1025-1,0)))-FIND("]",CELL("adresse",OFFSET('DM01-AV-CH'!$G$6,H1025-1,0)))),"Modell"))</f>
        <v>Modell</v>
      </c>
      <c r="AG1025" s="72" t="str" cm="1">
        <f t="array" ref="AG1025">IF($H1025=0,"",IF(INDEX('DM01-AV-CH'!G$6:G$834,$H1025)="","",INDEX('DM01-AV-CH'!G$6:G$834,$H1025)))</f>
        <v>Rohrleitungen</v>
      </c>
      <c r="AH1025" s="73" t="str" cm="1">
        <f t="array" ref="AH1025">IF($H1025=0,"",IF(INDEX('DM01-AV-CH'!H$6:H$834,$H1025)="","",INDEX('DM01-AV-CH'!H$6:H$834,$H1025)))</f>
        <v>EinzelpunktPos</v>
      </c>
      <c r="AI1025" s="74" t="str" cm="1">
        <f t="array" ref="AI1025">IF($H1025=0,"",IF(INDEX('DM01-AV-CH'!I$6:I$834,$H1025)="","",INDEX('DM01-AV-CH'!I$6:I$834,$H1025)))</f>
        <v>HAli</v>
      </c>
    </row>
    <row r="1026" spans="1:35" x14ac:dyDescent="0.25">
      <c r="A1026" s="57">
        <v>1021</v>
      </c>
      <c r="B1026" s="57">
        <f>IF($A1026="","",IF(_xlfn.XLOOKUP($A1026,Korrelation!$D$4:$D$1197,Korrelation!E$4:E$1197,"-",0)="-",0,MATCH(_xlfn.XLOOKUP($A1026,Korrelation!$D$4:$D$1197,Korrelation!E$4:E$1197,"",0),DMAV_Modell!$G$6:$G$677,0)))</f>
        <v>0</v>
      </c>
      <c r="C1026" s="57">
        <f>IF($A1026="","",IF(_xlfn.XLOOKUP($A1026,Korrelation!$D$4:$D$1197,Korrelation!F$4:F$1197,"-",0)="-",0,MATCH(_xlfn.XLOOKUP($A1026,Korrelation!$D$4:$D$1197,Korrelation!F$4:F$1197,"",0),DMAV_Modell!$G$6:$G$677,0)))</f>
        <v>0</v>
      </c>
      <c r="D1026" s="57">
        <f>IF($A1026="","",IF(_xlfn.XLOOKUP($A1026,Korrelation!$D$4:$D$1197,Korrelation!G$4:G$1197,"-",0)="-",0,MATCH(_xlfn.XLOOKUP($A1026,Korrelation!$D$4:$D$1197,Korrelation!G$4:G$1197,"",0),DMAV_Modell!$G$6:$G$677,0)))</f>
        <v>0</v>
      </c>
      <c r="E1026" s="57">
        <f>IF($A1026="","",IF(_xlfn.XLOOKUP($A1026,Korrelation!$D$4:$D$1197,Korrelation!H$4:H$1197,"-",0)="-",0,MATCH(_xlfn.XLOOKUP($A1026,Korrelation!$D$4:$D$1197,Korrelation!H$4:H$1197,"",0),DMAV_Dienste!$F$6:$F$140,0)))</f>
        <v>0</v>
      </c>
      <c r="F1026" s="57">
        <f>IF($A1026="","",IF(_xlfn.XLOOKUP($A1026,Korrelation!$D$4:$D$1197,Korrelation!I$4:I$1197,"-",0)="-",0,MATCH(_xlfn.XLOOKUP($A1026,Korrelation!$D$4:$D$1197,Korrelation!I$4:I$1197,"",0),DMAV_Dienste!$F$6:$F$140,0)))</f>
        <v>0</v>
      </c>
      <c r="G1026" s="57">
        <f>IF($A1026="","",IF(_xlfn.XLOOKUP($A1026,Korrelation!$D$4:$D$1197,Korrelation!J$4:J$1197,"-",0)="-",0,MATCH(_xlfn.XLOOKUP($A1026,Korrelation!$D$4:$D$1197,Korrelation!J$4:J$1197,"",0),DMAV_Dienste!$F$6:$F$140,0)))</f>
        <v>0</v>
      </c>
      <c r="H1026" s="57">
        <f>IF($A1026="","",IF(_xlfn.XLOOKUP($A1026,Korrelation!$D$4:$D$1197,Korrelation!K$4:K$1197,"-",0)="-",0,MATCH(_xlfn.XLOOKUP($A1026,Korrelation!$D$4:$D$1197,Korrelation!K$4:K$1197,"",0),'DM01-AV-CH'!$A$6:$A$834,0)))</f>
        <v>548</v>
      </c>
      <c r="J1026" s="54" t="str" cm="1">
        <f t="array" aca="1" ref="J1026" ca="1">IF(B1026=0,IF(E1026=0,"",HYPERLINK("#"&amp;RIGHT(CELL("adresse",OFFSET(DMAV_Dienste!$M$6,E1026-1,0)),LEN(CELL("adresse",OFFSET(DMAV_Dienste!$M$6,E1026-1,0)))-FIND("]",CELL("adresse",OFFSET(DMAV_Dienste!$M$6,E1026-1,0)))),"Dienst")),HYPERLINK("#"&amp;RIGHT(CELL("adresse",OFFSET(DMAV_Modell!$N$6,B1026-1,0)),LEN(CELL("adresse",OFFSET(DMAV_Modell!$N$6,B1026-1,0)))-FIND("]",CELL("adresse",OFFSET(DMAV_Modell!$N$6,B1026-1,0)))),"Modell"))</f>
        <v/>
      </c>
      <c r="K1026" s="61" t="str" cm="1">
        <f t="array" ref="K1026">IF($B1026=0,IF($E1026=0,"",IF(INDEX(DMAV_Dienste!P$6:P$140,$E1026)="","",INDEX(DMAV_Dienste!P$6:P$140,$E1026))),IF(INDEX(DMAV_Modell!Q$6:Q$838,$B1026)="","",INDEX(DMAV_Modell!Q$6:Q$838,$B1026)))</f>
        <v/>
      </c>
      <c r="L1026" s="62" t="str" cm="1">
        <f t="array" ref="L1026">IF($B1026=0,IF($E1026=0,"",IF(INDEX(DMAV_Dienste!O$6:O$140,$E1026)="","",INDEX(DMAV_Dienste!O$6:O$140,$E1026))),IF(INDEX(DMAV_Modell!P$6:P$838,$B1026)="","",INDEX(DMAV_Modell!P$6:P$838,$B1026)))</f>
        <v/>
      </c>
      <c r="M1026" s="62" t="str" cm="1">
        <f t="array" ref="M1026">IF($B1026=0,IF($E1026=0,"",IF(INDEX(DMAV_Dienste!Q$6:Q$140,$E1026)="","",INDEX(DMAV_Dienste!Q$6:Q$140,$E1026))),IF(INDEX(DMAV_Modell!R$6:R$838,$B1026)="","",INDEX(DMAV_Modell!R$6:R$838,$B1026)))</f>
        <v/>
      </c>
      <c r="N1026" s="62" t="str" cm="1">
        <f t="array" ref="N1026">IF($B1026=0,IF($E1026=0,"",IF(INDEX(DMAV_Dienste!T$6:T$140,$E1026)="","",INDEX(DMAV_Dienste!T$6:T$140,$E1026))),IF(INDEX(DMAV_Modell!U$6:U$838,$B1026)="","",INDEX(DMAV_Modell!U$6:U$838,$B1026)))</f>
        <v/>
      </c>
      <c r="O1026" s="63" t="str" cm="1">
        <f t="array" aca="1" ref="O1026" ca="1">IF(C1026=0,IF(F1026=0,"",HYPERLINK("#"&amp;RIGHT(CELL("adresse",OFFSET(DMAV_Dienste!$M$6,F1026-1,0)),LEN(CELL("adresse",OFFSET(DMAV_Dienste!$M$6,F1026-1,0)))-FIND("]",CELL("adresse",OFFSET(DMAV_Dienste!$M$6,F1026-1,0)))),"Structure")),HYPERLINK("#"&amp;RIGHT(CELL("adresse",OFFSET(DMAV_Modell!$N$6,C1026-1,0)),LEN(CELL("adresse",OFFSET(DMAV_Modell!$N$6,C1026-1,0)))-FIND("]",CELL("adresse",OFFSET(DMAV_Modell!$N$6,C1026-1,0)))),"Structure"))</f>
        <v/>
      </c>
      <c r="P1026" s="64" t="str" cm="1">
        <f t="array" aca="1" ref="P1026" ca="1">IF(D1026=0,IF(G1026=0,"",HYPERLINK("#"&amp;RIGHT(CELL("adresse",OFFSET(DMAV_Dienste!$M$6,G1026-1,0)),LEN(CELL("adresse",OFFSET(DMAV_Dienste!$M$6,G1026-1,0)))-FIND("]",CELL("adresse",OFFSET(DMAV_Dienste!$M$6,G1026-1,0)))),"Substructure")),HYPERLINK("#"&amp;RIGHT(CELL("adresse",OFFSET(DMAV_Modell!$N$6,D1026-1,0)),LEN(CELL("adresse",OFFSET(DMAV_Modell!$N$6,D1026-1,0)))-FIND("]",CELL("adresse",OFFSET(DMAV_Modell!$N$6,D1026-1,0)))),"Substructure"))</f>
        <v/>
      </c>
      <c r="R1026" s="80"/>
      <c r="T1026" s="93"/>
      <c r="U1026" s="94"/>
      <c r="V1026" s="95"/>
      <c r="W1026" s="96"/>
      <c r="Y1026" s="85"/>
      <c r="Z1026" s="86"/>
      <c r="AA1026" s="87"/>
      <c r="AB1026" s="88"/>
      <c r="AD1026" s="77"/>
      <c r="AF1026" s="54" t="str" cm="1">
        <f t="array" aca="1" ref="AF1026" ca="1">IF(H1026=0,"",HYPERLINK("#"&amp;RIGHT(CELL("adresse",OFFSET('DM01-AV-CH'!$G$6,H1026-1,0)),LEN(CELL("adresse",OFFSET('DM01-AV-CH'!$G$6,H1026-1,0)))-FIND("]",CELL("adresse",OFFSET('DM01-AV-CH'!$G$6,H1026-1,0)))),"Modell"))</f>
        <v>Modell</v>
      </c>
      <c r="AG1026" s="72" t="str" cm="1">
        <f t="array" ref="AG1026">IF($H1026=0,"",IF(INDEX('DM01-AV-CH'!G$6:G$834,$H1026)="","",INDEX('DM01-AV-CH'!G$6:G$834,$H1026)))</f>
        <v>Rohrleitungen</v>
      </c>
      <c r="AH1026" s="73" t="str" cm="1">
        <f t="array" ref="AH1026">IF($H1026=0,"",IF(INDEX('DM01-AV-CH'!H$6:H$834,$H1026)="","",INDEX('DM01-AV-CH'!H$6:H$834,$H1026)))</f>
        <v>EinzelpunktPos</v>
      </c>
      <c r="AI1026" s="74" t="str" cm="1">
        <f t="array" ref="AI1026">IF($H1026=0,"",IF(INDEX('DM01-AV-CH'!I$6:I$834,$H1026)="","",INDEX('DM01-AV-CH'!I$6:I$834,$H1026)))</f>
        <v>VAli</v>
      </c>
    </row>
    <row r="1027" spans="1:35" x14ac:dyDescent="0.25">
      <c r="A1027" s="57">
        <v>1022</v>
      </c>
      <c r="B1027" s="57">
        <f>IF($A1027="","",IF(_xlfn.XLOOKUP($A1027,Korrelation!$D$4:$D$1197,Korrelation!E$4:E$1197,"-",0)="-",0,MATCH(_xlfn.XLOOKUP($A1027,Korrelation!$D$4:$D$1197,Korrelation!E$4:E$1197,"",0),DMAV_Modell!$G$6:$G$677,0)))</f>
        <v>596</v>
      </c>
      <c r="C1027" s="57">
        <f>IF($A1027="","",IF(_xlfn.XLOOKUP($A1027,Korrelation!$D$4:$D$1197,Korrelation!F$4:F$1197,"-",0)="-",0,MATCH(_xlfn.XLOOKUP($A1027,Korrelation!$D$4:$D$1197,Korrelation!F$4:F$1197,"",0),DMAV_Modell!$G$6:$G$677,0)))</f>
        <v>0</v>
      </c>
      <c r="D1027" s="57">
        <f>IF($A1027="","",IF(_xlfn.XLOOKUP($A1027,Korrelation!$D$4:$D$1197,Korrelation!G$4:G$1197,"-",0)="-",0,MATCH(_xlfn.XLOOKUP($A1027,Korrelation!$D$4:$D$1197,Korrelation!G$4:G$1197,"",0),DMAV_Modell!$G$6:$G$677,0)))</f>
        <v>0</v>
      </c>
      <c r="E1027" s="57">
        <f>IF($A1027="","",IF(_xlfn.XLOOKUP($A1027,Korrelation!$D$4:$D$1197,Korrelation!H$4:H$1197,"-",0)="-",0,MATCH(_xlfn.XLOOKUP($A1027,Korrelation!$D$4:$D$1197,Korrelation!H$4:H$1197,"",0),DMAV_Dienste!$F$6:$F$140,0)))</f>
        <v>0</v>
      </c>
      <c r="F1027" s="57">
        <f>IF($A1027="","",IF(_xlfn.XLOOKUP($A1027,Korrelation!$D$4:$D$1197,Korrelation!I$4:I$1197,"-",0)="-",0,MATCH(_xlfn.XLOOKUP($A1027,Korrelation!$D$4:$D$1197,Korrelation!I$4:I$1197,"",0),DMAV_Dienste!$F$6:$F$140,0)))</f>
        <v>0</v>
      </c>
      <c r="G1027" s="57">
        <f>IF($A1027="","",IF(_xlfn.XLOOKUP($A1027,Korrelation!$D$4:$D$1197,Korrelation!J$4:J$1197,"-",0)="-",0,MATCH(_xlfn.XLOOKUP($A1027,Korrelation!$D$4:$D$1197,Korrelation!J$4:J$1197,"",0),DMAV_Dienste!$F$6:$F$140,0)))</f>
        <v>0</v>
      </c>
      <c r="H1027" s="57">
        <f>IF($A1027="","",IF(_xlfn.XLOOKUP($A1027,Korrelation!$D$4:$D$1197,Korrelation!K$4:K$1197,"-",0)="-",0,MATCH(_xlfn.XLOOKUP($A1027,Korrelation!$D$4:$D$1197,Korrelation!K$4:K$1197,"",0),'DM01-AV-CH'!$A$6:$A$834,0)))</f>
        <v>0</v>
      </c>
      <c r="J1027" s="54" t="str" cm="1">
        <f t="array" aca="1" ref="J1027" ca="1">IF(B1027=0,IF(E1027=0,"",HYPERLINK("#"&amp;RIGHT(CELL("adresse",OFFSET(DMAV_Dienste!$M$6,E1027-1,0)),LEN(CELL("adresse",OFFSET(DMAV_Dienste!$M$6,E1027-1,0)))-FIND("]",CELL("adresse",OFFSET(DMAV_Dienste!$M$6,E1027-1,0)))),"Dienst")),HYPERLINK("#"&amp;RIGHT(CELL("adresse",OFFSET(DMAV_Modell!$N$6,B1027-1,0)),LEN(CELL("adresse",OFFSET(DMAV_Modell!$N$6,B1027-1,0)))-FIND("]",CELL("adresse",OFFSET(DMAV_Modell!$N$6,B1027-1,0)))),"Modell"))</f>
        <v>Modell</v>
      </c>
      <c r="K1027" s="61" t="str" cm="1">
        <f t="array" ref="K1027">IF($B1027=0,IF($E1027=0,"",IF(INDEX(DMAV_Dienste!P$6:P$140,$E1027)="","",INDEX(DMAV_Dienste!P$6:P$140,$E1027))),IF(INDEX(DMAV_Modell!Q$6:Q$838,$B1027)="","",INDEX(DMAV_Modell!Q$6:Q$838,$B1027)))</f>
        <v>CLASS.CONSTRAINT</v>
      </c>
      <c r="L1027" s="62" t="str" cm="1">
        <f t="array" ref="L1027">IF($B1027=0,IF($E1027=0,"",IF(INDEX(DMAV_Dienste!O$6:O$140,$E1027)="","",INDEX(DMAV_Dienste!O$6:O$140,$E1027))),IF(INDEX(DMAV_Modell!P$6:P$838,$B1027)="","",INDEX(DMAV_Modell!P$6:P$838,$B1027)))</f>
        <v>Rohrleitungen</v>
      </c>
      <c r="M1027" s="62" t="str" cm="1">
        <f t="array" ref="M1027">IF($B1027=0,IF($E1027=0,"",IF(INDEX(DMAV_Dienste!Q$6:Q$140,$E1027)="","",INDEX(DMAV_Dienste!Q$6:Q$140,$E1027))),IF(INDEX(DMAV_Modell!R$6:R$838,$B1027)="","",INDEX(DMAV_Modell!R$6:R$838,$B1027)))</f>
        <v>Messpunkt</v>
      </c>
      <c r="N1027" s="62" t="str" cm="1">
        <f t="array" ref="N1027">IF($B1027=0,IF($E1027=0,"",IF(INDEX(DMAV_Dienste!T$6:T$140,$E1027)="","",INDEX(DMAV_Dienste!T$6:T$140,$E1027))),IF(INDEX(DMAV_Modell!U$6:U$838,$B1027)="","",INDEX(DMAV_Modell!U$6:U$838,$B1027)))</f>
        <v>DEFINED(@PH1@)==DEFINED(@PH2@)</v>
      </c>
      <c r="O1027" s="63" t="str" cm="1">
        <f t="array" aca="1" ref="O1027" ca="1">IF(C1027=0,IF(F1027=0,"",HYPERLINK("#"&amp;RIGHT(CELL("adresse",OFFSET(DMAV_Dienste!$M$6,F1027-1,0)),LEN(CELL("adresse",OFFSET(DMAV_Dienste!$M$6,F1027-1,0)))-FIND("]",CELL("adresse",OFFSET(DMAV_Dienste!$M$6,F1027-1,0)))),"Structure")),HYPERLINK("#"&amp;RIGHT(CELL("adresse",OFFSET(DMAV_Modell!$N$6,C1027-1,0)),LEN(CELL("adresse",OFFSET(DMAV_Modell!$N$6,C1027-1,0)))-FIND("]",CELL("adresse",OFFSET(DMAV_Modell!$N$6,C1027-1,0)))),"Structure"))</f>
        <v/>
      </c>
      <c r="P1027" s="64" t="str" cm="1">
        <f t="array" aca="1" ref="P1027" ca="1">IF(D1027=0,IF(G1027=0,"",HYPERLINK("#"&amp;RIGHT(CELL("adresse",OFFSET(DMAV_Dienste!$M$6,G1027-1,0)),LEN(CELL("adresse",OFFSET(DMAV_Dienste!$M$6,G1027-1,0)))-FIND("]",CELL("adresse",OFFSET(DMAV_Dienste!$M$6,G1027-1,0)))),"Substructure")),HYPERLINK("#"&amp;RIGHT(CELL("adresse",OFFSET(DMAV_Modell!$N$6,D1027-1,0)),LEN(CELL("adresse",OFFSET(DMAV_Modell!$N$6,D1027-1,0)))-FIND("]",CELL("adresse",OFFSET(DMAV_Modell!$N$6,D1027-1,0)))),"Substructure"))</f>
        <v/>
      </c>
      <c r="R1027" s="80"/>
      <c r="T1027" s="93"/>
      <c r="U1027" s="94"/>
      <c r="V1027" s="95"/>
      <c r="W1027" s="96"/>
      <c r="Y1027" s="85"/>
      <c r="Z1027" s="86"/>
      <c r="AA1027" s="87"/>
      <c r="AB1027" s="88"/>
      <c r="AD1027" s="77"/>
      <c r="AF1027" s="54" t="str" cm="1">
        <f t="array" aca="1" ref="AF1027" ca="1">IF(H1027=0,"",HYPERLINK("#"&amp;RIGHT(CELL("adresse",OFFSET('DM01-AV-CH'!$G$6,H1027-1,0)),LEN(CELL("adresse",OFFSET('DM01-AV-CH'!$G$6,H1027-1,0)))-FIND("]",CELL("adresse",OFFSET('DM01-AV-CH'!$G$6,H1027-1,0)))),"Modell"))</f>
        <v/>
      </c>
      <c r="AG1027" s="72" t="str" cm="1">
        <f t="array" ref="AG1027">IF($H1027=0,"",IF(INDEX('DM01-AV-CH'!G$6:G$834,$H1027)="","",INDEX('DM01-AV-CH'!G$6:G$834,$H1027)))</f>
        <v/>
      </c>
      <c r="AH1027" s="73" t="str" cm="1">
        <f t="array" ref="AH1027">IF($H1027=0,"",IF(INDEX('DM01-AV-CH'!H$6:H$834,$H1027)="","",INDEX('DM01-AV-CH'!H$6:H$834,$H1027)))</f>
        <v/>
      </c>
      <c r="AI1027" s="74" t="str" cm="1">
        <f t="array" ref="AI1027">IF($H1027=0,"",IF(INDEX('DM01-AV-CH'!I$6:I$834,$H1027)="","",INDEX('DM01-AV-CH'!I$6:I$834,$H1027)))</f>
        <v/>
      </c>
    </row>
    <row r="1028" spans="1:35" x14ac:dyDescent="0.25">
      <c r="A1028" s="57">
        <v>1023</v>
      </c>
      <c r="B1028" s="57">
        <f>IF($A1028="","",IF(_xlfn.XLOOKUP($A1028,Korrelation!$D$4:$D$1197,Korrelation!E$4:E$1197,"-",0)="-",0,MATCH(_xlfn.XLOOKUP($A1028,Korrelation!$D$4:$D$1197,Korrelation!E$4:E$1197,"",0),DMAV_Modell!$G$6:$G$677,0)))</f>
        <v>597</v>
      </c>
      <c r="C1028" s="57">
        <f>IF($A1028="","",IF(_xlfn.XLOOKUP($A1028,Korrelation!$D$4:$D$1197,Korrelation!F$4:F$1197,"-",0)="-",0,MATCH(_xlfn.XLOOKUP($A1028,Korrelation!$D$4:$D$1197,Korrelation!F$4:F$1197,"",0),DMAV_Modell!$G$6:$G$677,0)))</f>
        <v>0</v>
      </c>
      <c r="D1028" s="57">
        <f>IF($A1028="","",IF(_xlfn.XLOOKUP($A1028,Korrelation!$D$4:$D$1197,Korrelation!G$4:G$1197,"-",0)="-",0,MATCH(_xlfn.XLOOKUP($A1028,Korrelation!$D$4:$D$1197,Korrelation!G$4:G$1197,"",0),DMAV_Modell!$G$6:$G$677,0)))</f>
        <v>0</v>
      </c>
      <c r="E1028" s="57">
        <f>IF($A1028="","",IF(_xlfn.XLOOKUP($A1028,Korrelation!$D$4:$D$1197,Korrelation!H$4:H$1197,"-",0)="-",0,MATCH(_xlfn.XLOOKUP($A1028,Korrelation!$D$4:$D$1197,Korrelation!H$4:H$1197,"",0),DMAV_Dienste!$F$6:$F$140,0)))</f>
        <v>0</v>
      </c>
      <c r="F1028" s="57">
        <f>IF($A1028="","",IF(_xlfn.XLOOKUP($A1028,Korrelation!$D$4:$D$1197,Korrelation!I$4:I$1197,"-",0)="-",0,MATCH(_xlfn.XLOOKUP($A1028,Korrelation!$D$4:$D$1197,Korrelation!I$4:I$1197,"",0),DMAV_Dienste!$F$6:$F$140,0)))</f>
        <v>0</v>
      </c>
      <c r="G1028" s="57">
        <f>IF($A1028="","",IF(_xlfn.XLOOKUP($A1028,Korrelation!$D$4:$D$1197,Korrelation!J$4:J$1197,"-",0)="-",0,MATCH(_xlfn.XLOOKUP($A1028,Korrelation!$D$4:$D$1197,Korrelation!J$4:J$1197,"",0),DMAV_Dienste!$F$6:$F$140,0)))</f>
        <v>0</v>
      </c>
      <c r="H1028" s="57">
        <f>IF($A1028="","",IF(_xlfn.XLOOKUP($A1028,Korrelation!$D$4:$D$1197,Korrelation!K$4:K$1197,"-",0)="-",0,MATCH(_xlfn.XLOOKUP($A1028,Korrelation!$D$4:$D$1197,Korrelation!K$4:K$1197,"",0),'DM01-AV-CH'!$A$6:$A$834,0)))</f>
        <v>0</v>
      </c>
      <c r="J1028" s="54" t="str" cm="1">
        <f t="array" aca="1" ref="J1028" ca="1">IF(B1028=0,IF(E1028=0,"",HYPERLINK("#"&amp;RIGHT(CELL("adresse",OFFSET(DMAV_Dienste!$M$6,E1028-1,0)),LEN(CELL("adresse",OFFSET(DMAV_Dienste!$M$6,E1028-1,0)))-FIND("]",CELL("adresse",OFFSET(DMAV_Dienste!$M$6,E1028-1,0)))),"Dienst")),HYPERLINK("#"&amp;RIGHT(CELL("adresse",OFFSET(DMAV_Modell!$N$6,B1028-1,0)),LEN(CELL("adresse",OFFSET(DMAV_Modell!$N$6,B1028-1,0)))-FIND("]",CELL("adresse",OFFSET(DMAV_Modell!$N$6,B1028-1,0)))),"Modell"))</f>
        <v>Modell</v>
      </c>
      <c r="K1028" s="61" t="str" cm="1">
        <f t="array" ref="K1028">IF($B1028=0,IF($E1028=0,"",IF(INDEX(DMAV_Dienste!P$6:P$140,$E1028)="","",INDEX(DMAV_Dienste!P$6:P$140,$E1028))),IF(INDEX(DMAV_Modell!Q$6:Q$838,$B1028)="","",INDEX(DMAV_Modell!Q$6:Q$838,$B1028)))</f>
        <v>CLASS.CONSTRAINT</v>
      </c>
      <c r="L1028" s="62" t="str" cm="1">
        <f t="array" ref="L1028">IF($B1028=0,IF($E1028=0,"",IF(INDEX(DMAV_Dienste!O$6:O$140,$E1028)="","",INDEX(DMAV_Dienste!O$6:O$140,$E1028))),IF(INDEX(DMAV_Modell!P$6:P$838,$B1028)="","",INDEX(DMAV_Modell!P$6:P$838,$B1028)))</f>
        <v>Rohrleitungen</v>
      </c>
      <c r="M1028" s="62" t="str" cm="1">
        <f t="array" ref="M1028">IF($B1028=0,IF($E1028=0,"",IF(INDEX(DMAV_Dienste!Q$6:Q$140,$E1028)="","",INDEX(DMAV_Dienste!Q$6:Q$140,$E1028))),IF(INDEX(DMAV_Modell!R$6:R$838,$B1028)="","",INDEX(DMAV_Modell!R$6:R$838,$B1028)))</f>
        <v>Messpunkt</v>
      </c>
      <c r="N1028" s="62" t="str" cm="1">
        <f t="array" ref="N1028">IF($B1028=0,IF($E1028=0,"",IF(INDEX(DMAV_Dienste!T$6:T$140,$E1028)="","",INDEX(DMAV_Dienste!T$6:T$140,$E1028))),IF(INDEX(DMAV_Modell!U$6:U$838,$B1028)="","",INDEX(DMAV_Modell!U$6:U$838,$B1028)))</f>
        <v>DEFINED(@PH1@)==DEFINED(@PH2@)</v>
      </c>
      <c r="O1028" s="63" t="str" cm="1">
        <f t="array" aca="1" ref="O1028" ca="1">IF(C1028=0,IF(F1028=0,"",HYPERLINK("#"&amp;RIGHT(CELL("adresse",OFFSET(DMAV_Dienste!$M$6,F1028-1,0)),LEN(CELL("adresse",OFFSET(DMAV_Dienste!$M$6,F1028-1,0)))-FIND("]",CELL("adresse",OFFSET(DMAV_Dienste!$M$6,F1028-1,0)))),"Structure")),HYPERLINK("#"&amp;RIGHT(CELL("adresse",OFFSET(DMAV_Modell!$N$6,C1028-1,0)),LEN(CELL("adresse",OFFSET(DMAV_Modell!$N$6,C1028-1,0)))-FIND("]",CELL("adresse",OFFSET(DMAV_Modell!$N$6,C1028-1,0)))),"Structure"))</f>
        <v/>
      </c>
      <c r="P1028" s="64" t="str" cm="1">
        <f t="array" aca="1" ref="P1028" ca="1">IF(D1028=0,IF(G1028=0,"",HYPERLINK("#"&amp;RIGHT(CELL("adresse",OFFSET(DMAV_Dienste!$M$6,G1028-1,0)),LEN(CELL("adresse",OFFSET(DMAV_Dienste!$M$6,G1028-1,0)))-FIND("]",CELL("adresse",OFFSET(DMAV_Dienste!$M$6,G1028-1,0)))),"Substructure")),HYPERLINK("#"&amp;RIGHT(CELL("adresse",OFFSET(DMAV_Modell!$N$6,D1028-1,0)),LEN(CELL("adresse",OFFSET(DMAV_Modell!$N$6,D1028-1,0)))-FIND("]",CELL("adresse",OFFSET(DMAV_Modell!$N$6,D1028-1,0)))),"Substructure"))</f>
        <v/>
      </c>
      <c r="R1028" s="80"/>
      <c r="T1028" s="93"/>
      <c r="U1028" s="94"/>
      <c r="V1028" s="95"/>
      <c r="W1028" s="96"/>
      <c r="Y1028" s="85"/>
      <c r="Z1028" s="86"/>
      <c r="AA1028" s="87"/>
      <c r="AB1028" s="88"/>
      <c r="AD1028" s="77"/>
      <c r="AF1028" s="54" t="str" cm="1">
        <f t="array" aca="1" ref="AF1028" ca="1">IF(H1028=0,"",HYPERLINK("#"&amp;RIGHT(CELL("adresse",OFFSET('DM01-AV-CH'!$G$6,H1028-1,0)),LEN(CELL("adresse",OFFSET('DM01-AV-CH'!$G$6,H1028-1,0)))-FIND("]",CELL("adresse",OFFSET('DM01-AV-CH'!$G$6,H1028-1,0)))),"Modell"))</f>
        <v/>
      </c>
      <c r="AG1028" s="72" t="str" cm="1">
        <f t="array" ref="AG1028">IF($H1028=0,"",IF(INDEX('DM01-AV-CH'!G$6:G$834,$H1028)="","",INDEX('DM01-AV-CH'!G$6:G$834,$H1028)))</f>
        <v/>
      </c>
      <c r="AH1028" s="73" t="str" cm="1">
        <f t="array" ref="AH1028">IF($H1028=0,"",IF(INDEX('DM01-AV-CH'!H$6:H$834,$H1028)="","",INDEX('DM01-AV-CH'!H$6:H$834,$H1028)))</f>
        <v/>
      </c>
      <c r="AI1028" s="74" t="str" cm="1">
        <f t="array" ref="AI1028">IF($H1028=0,"",IF(INDEX('DM01-AV-CH'!I$6:I$834,$H1028)="","",INDEX('DM01-AV-CH'!I$6:I$834,$H1028)))</f>
        <v/>
      </c>
    </row>
    <row r="1029" spans="1:35" x14ac:dyDescent="0.25">
      <c r="A1029" s="57">
        <v>1024</v>
      </c>
      <c r="B1029" s="57">
        <f>IF($A1029="","",IF(_xlfn.XLOOKUP($A1029,Korrelation!$D$4:$D$1197,Korrelation!E$4:E$1197,"-",0)="-",0,MATCH(_xlfn.XLOOKUP($A1029,Korrelation!$D$4:$D$1197,Korrelation!E$4:E$1197,"",0),DMAV_Modell!$G$6:$G$677,0)))</f>
        <v>598</v>
      </c>
      <c r="C1029" s="57">
        <f>IF($A1029="","",IF(_xlfn.XLOOKUP($A1029,Korrelation!$D$4:$D$1197,Korrelation!F$4:F$1197,"-",0)="-",0,MATCH(_xlfn.XLOOKUP($A1029,Korrelation!$D$4:$D$1197,Korrelation!F$4:F$1197,"",0),DMAV_Modell!$G$6:$G$677,0)))</f>
        <v>0</v>
      </c>
      <c r="D1029" s="57">
        <f>IF($A1029="","",IF(_xlfn.XLOOKUP($A1029,Korrelation!$D$4:$D$1197,Korrelation!G$4:G$1197,"-",0)="-",0,MATCH(_xlfn.XLOOKUP($A1029,Korrelation!$D$4:$D$1197,Korrelation!G$4:G$1197,"",0),DMAV_Modell!$G$6:$G$677,0)))</f>
        <v>0</v>
      </c>
      <c r="E1029" s="57">
        <f>IF($A1029="","",IF(_xlfn.XLOOKUP($A1029,Korrelation!$D$4:$D$1197,Korrelation!H$4:H$1197,"-",0)="-",0,MATCH(_xlfn.XLOOKUP($A1029,Korrelation!$D$4:$D$1197,Korrelation!H$4:H$1197,"",0),DMAV_Dienste!$F$6:$F$140,0)))</f>
        <v>0</v>
      </c>
      <c r="F1029" s="57">
        <f>IF($A1029="","",IF(_xlfn.XLOOKUP($A1029,Korrelation!$D$4:$D$1197,Korrelation!I$4:I$1197,"-",0)="-",0,MATCH(_xlfn.XLOOKUP($A1029,Korrelation!$D$4:$D$1197,Korrelation!I$4:I$1197,"",0),DMAV_Dienste!$F$6:$F$140,0)))</f>
        <v>0</v>
      </c>
      <c r="G1029" s="57">
        <f>IF($A1029="","",IF(_xlfn.XLOOKUP($A1029,Korrelation!$D$4:$D$1197,Korrelation!J$4:J$1197,"-",0)="-",0,MATCH(_xlfn.XLOOKUP($A1029,Korrelation!$D$4:$D$1197,Korrelation!J$4:J$1197,"",0),DMAV_Dienste!$F$6:$F$140,0)))</f>
        <v>0</v>
      </c>
      <c r="H1029" s="57">
        <f>IF($A1029="","",IF(_xlfn.XLOOKUP($A1029,Korrelation!$D$4:$D$1197,Korrelation!K$4:K$1197,"-",0)="-",0,MATCH(_xlfn.XLOOKUP($A1029,Korrelation!$D$4:$D$1197,Korrelation!K$4:K$1197,"",0),'DM01-AV-CH'!$A$6:$A$834,0)))</f>
        <v>0</v>
      </c>
      <c r="J1029" s="54" t="str" cm="1">
        <f t="array" aca="1" ref="J1029" ca="1">IF(B1029=0,IF(E1029=0,"",HYPERLINK("#"&amp;RIGHT(CELL("adresse",OFFSET(DMAV_Dienste!$M$6,E1029-1,0)),LEN(CELL("adresse",OFFSET(DMAV_Dienste!$M$6,E1029-1,0)))-FIND("]",CELL("adresse",OFFSET(DMAV_Dienste!$M$6,E1029-1,0)))),"Dienst")),HYPERLINK("#"&amp;RIGHT(CELL("adresse",OFFSET(DMAV_Modell!$N$6,B1029-1,0)),LEN(CELL("adresse",OFFSET(DMAV_Modell!$N$6,B1029-1,0)))-FIND("]",CELL("adresse",OFFSET(DMAV_Modell!$N$6,B1029-1,0)))),"Modell"))</f>
        <v>Modell</v>
      </c>
      <c r="K1029" s="61" t="str" cm="1">
        <f t="array" ref="K1029">IF($B1029=0,IF($E1029=0,"",IF(INDEX(DMAV_Dienste!P$6:P$140,$E1029)="","",INDEX(DMAV_Dienste!P$6:P$140,$E1029))),IF(INDEX(DMAV_Modell!Q$6:Q$838,$B1029)="","",INDEX(DMAV_Modell!Q$6:Q$838,$B1029)))</f>
        <v>ASSOCIATION</v>
      </c>
      <c r="L1029" s="62" t="str" cm="1">
        <f t="array" ref="L1029">IF($B1029=0,IF($E1029=0,"",IF(INDEX(DMAV_Dienste!O$6:O$140,$E1029)="","",INDEX(DMAV_Dienste!O$6:O$140,$E1029))),IF(INDEX(DMAV_Modell!P$6:P$838,$B1029)="","",INDEX(DMAV_Modell!P$6:P$838,$B1029)))</f>
        <v>Rohrleitungen</v>
      </c>
      <c r="M1029" s="62" t="str" cm="1">
        <f t="array" ref="M1029">IF($B1029=0,IF($E1029=0,"",IF(INDEX(DMAV_Dienste!Q$6:Q$140,$E1029)="","",INDEX(DMAV_Dienste!Q$6:Q$140,$E1029))),IF(INDEX(DMAV_Modell!R$6:R$838,$B1029)="","",INDEX(DMAV_Modell!R$6:R$838,$B1029)))</f>
        <v>Entstehung_Messpunkt</v>
      </c>
      <c r="N1029" s="62" t="str" cm="1">
        <f t="array" ref="N1029">IF($B1029=0,IF($E1029=0,"",IF(INDEX(DMAV_Dienste!T$6:T$140,$E1029)="","",INDEX(DMAV_Dienste!T$6:T$140,$E1029))),IF(INDEX(DMAV_Modell!U$6:U$838,$B1029)="","",INDEX(DMAV_Modell!U$6:U$838,$B1029)))</f>
        <v>Entstehung</v>
      </c>
      <c r="O1029" s="63" t="str" cm="1">
        <f t="array" aca="1" ref="O1029" ca="1">IF(C1029=0,IF(F1029=0,"",HYPERLINK("#"&amp;RIGHT(CELL("adresse",OFFSET(DMAV_Dienste!$M$6,F1029-1,0)),LEN(CELL("adresse",OFFSET(DMAV_Dienste!$M$6,F1029-1,0)))-FIND("]",CELL("adresse",OFFSET(DMAV_Dienste!$M$6,F1029-1,0)))),"Structure")),HYPERLINK("#"&amp;RIGHT(CELL("adresse",OFFSET(DMAV_Modell!$N$6,C1029-1,0)),LEN(CELL("adresse",OFFSET(DMAV_Modell!$N$6,C1029-1,0)))-FIND("]",CELL("adresse",OFFSET(DMAV_Modell!$N$6,C1029-1,0)))),"Structure"))</f>
        <v/>
      </c>
      <c r="P1029" s="64" t="str" cm="1">
        <f t="array" aca="1" ref="P1029" ca="1">IF(D1029=0,IF(G1029=0,"",HYPERLINK("#"&amp;RIGHT(CELL("adresse",OFFSET(DMAV_Dienste!$M$6,G1029-1,0)),LEN(CELL("adresse",OFFSET(DMAV_Dienste!$M$6,G1029-1,0)))-FIND("]",CELL("adresse",OFFSET(DMAV_Dienste!$M$6,G1029-1,0)))),"Substructure")),HYPERLINK("#"&amp;RIGHT(CELL("adresse",OFFSET(DMAV_Modell!$N$6,D1029-1,0)),LEN(CELL("adresse",OFFSET(DMAV_Modell!$N$6,D1029-1,0)))-FIND("]",CELL("adresse",OFFSET(DMAV_Modell!$N$6,D1029-1,0)))),"Substructure"))</f>
        <v/>
      </c>
      <c r="R1029" s="80"/>
      <c r="T1029" s="93"/>
      <c r="U1029" s="94"/>
      <c r="V1029" s="95"/>
      <c r="W1029" s="96"/>
      <c r="Y1029" s="85"/>
      <c r="Z1029" s="86"/>
      <c r="AA1029" s="87"/>
      <c r="AB1029" s="88"/>
      <c r="AD1029" s="77"/>
      <c r="AF1029" s="54" t="str" cm="1">
        <f t="array" aca="1" ref="AF1029" ca="1">IF(H1029=0,"",HYPERLINK("#"&amp;RIGHT(CELL("adresse",OFFSET('DM01-AV-CH'!$G$6,H1029-1,0)),LEN(CELL("adresse",OFFSET('DM01-AV-CH'!$G$6,H1029-1,0)))-FIND("]",CELL("adresse",OFFSET('DM01-AV-CH'!$G$6,H1029-1,0)))),"Modell"))</f>
        <v/>
      </c>
      <c r="AG1029" s="72" t="str" cm="1">
        <f t="array" ref="AG1029">IF($H1029=0,"",IF(INDEX('DM01-AV-CH'!G$6:G$834,$H1029)="","",INDEX('DM01-AV-CH'!G$6:G$834,$H1029)))</f>
        <v/>
      </c>
      <c r="AH1029" s="73" t="str" cm="1">
        <f t="array" ref="AH1029">IF($H1029=0,"",IF(INDEX('DM01-AV-CH'!H$6:H$834,$H1029)="","",INDEX('DM01-AV-CH'!H$6:H$834,$H1029)))</f>
        <v/>
      </c>
      <c r="AI1029" s="74" t="str" cm="1">
        <f t="array" ref="AI1029">IF($H1029=0,"",IF(INDEX('DM01-AV-CH'!I$6:I$834,$H1029)="","",INDEX('DM01-AV-CH'!I$6:I$834,$H1029)))</f>
        <v/>
      </c>
    </row>
    <row r="1030" spans="1:35" x14ac:dyDescent="0.25">
      <c r="A1030" s="57">
        <v>1025</v>
      </c>
      <c r="B1030" s="57">
        <f>IF($A1030="","",IF(_xlfn.XLOOKUP($A1030,Korrelation!$D$4:$D$1197,Korrelation!E$4:E$1197,"-",0)="-",0,MATCH(_xlfn.XLOOKUP($A1030,Korrelation!$D$4:$D$1197,Korrelation!E$4:E$1197,"",0),DMAV_Modell!$G$6:$G$677,0)))</f>
        <v>599</v>
      </c>
      <c r="C1030" s="57">
        <f>IF($A1030="","",IF(_xlfn.XLOOKUP($A1030,Korrelation!$D$4:$D$1197,Korrelation!F$4:F$1197,"-",0)="-",0,MATCH(_xlfn.XLOOKUP($A1030,Korrelation!$D$4:$D$1197,Korrelation!F$4:F$1197,"",0),DMAV_Modell!$G$6:$G$677,0)))</f>
        <v>0</v>
      </c>
      <c r="D1030" s="57">
        <f>IF($A1030="","",IF(_xlfn.XLOOKUP($A1030,Korrelation!$D$4:$D$1197,Korrelation!G$4:G$1197,"-",0)="-",0,MATCH(_xlfn.XLOOKUP($A1030,Korrelation!$D$4:$D$1197,Korrelation!G$4:G$1197,"",0),DMAV_Modell!$G$6:$G$677,0)))</f>
        <v>0</v>
      </c>
      <c r="E1030" s="57">
        <f>IF($A1030="","",IF(_xlfn.XLOOKUP($A1030,Korrelation!$D$4:$D$1197,Korrelation!H$4:H$1197,"-",0)="-",0,MATCH(_xlfn.XLOOKUP($A1030,Korrelation!$D$4:$D$1197,Korrelation!H$4:H$1197,"",0),DMAV_Dienste!$F$6:$F$140,0)))</f>
        <v>0</v>
      </c>
      <c r="F1030" s="57">
        <f>IF($A1030="","",IF(_xlfn.XLOOKUP($A1030,Korrelation!$D$4:$D$1197,Korrelation!I$4:I$1197,"-",0)="-",0,MATCH(_xlfn.XLOOKUP($A1030,Korrelation!$D$4:$D$1197,Korrelation!I$4:I$1197,"",0),DMAV_Dienste!$F$6:$F$140,0)))</f>
        <v>0</v>
      </c>
      <c r="G1030" s="57">
        <f>IF($A1030="","",IF(_xlfn.XLOOKUP($A1030,Korrelation!$D$4:$D$1197,Korrelation!J$4:J$1197,"-",0)="-",0,MATCH(_xlfn.XLOOKUP($A1030,Korrelation!$D$4:$D$1197,Korrelation!J$4:J$1197,"",0),DMAV_Dienste!$F$6:$F$140,0)))</f>
        <v>0</v>
      </c>
      <c r="H1030" s="57">
        <f>IF($A1030="","",IF(_xlfn.XLOOKUP($A1030,Korrelation!$D$4:$D$1197,Korrelation!K$4:K$1197,"-",0)="-",0,MATCH(_xlfn.XLOOKUP($A1030,Korrelation!$D$4:$D$1197,Korrelation!K$4:K$1197,"",0),'DM01-AV-CH'!$A$6:$A$834,0)))</f>
        <v>0</v>
      </c>
      <c r="J1030" s="54" t="str" cm="1">
        <f t="array" aca="1" ref="J1030" ca="1">IF(B1030=0,IF(E1030=0,"",HYPERLINK("#"&amp;RIGHT(CELL("adresse",OFFSET(DMAV_Dienste!$M$6,E1030-1,0)),LEN(CELL("adresse",OFFSET(DMAV_Dienste!$M$6,E1030-1,0)))-FIND("]",CELL("adresse",OFFSET(DMAV_Dienste!$M$6,E1030-1,0)))),"Dienst")),HYPERLINK("#"&amp;RIGHT(CELL("adresse",OFFSET(DMAV_Modell!$N$6,B1030-1,0)),LEN(CELL("adresse",OFFSET(DMAV_Modell!$N$6,B1030-1,0)))-FIND("]",CELL("adresse",OFFSET(DMAV_Modell!$N$6,B1030-1,0)))),"Modell"))</f>
        <v>Modell</v>
      </c>
      <c r="K1030" s="61" t="str" cm="1">
        <f t="array" ref="K1030">IF($B1030=0,IF($E1030=0,"",IF(INDEX(DMAV_Dienste!P$6:P$140,$E1030)="","",INDEX(DMAV_Dienste!P$6:P$140,$E1030))),IF(INDEX(DMAV_Modell!Q$6:Q$838,$B1030)="","",INDEX(DMAV_Modell!Q$6:Q$838,$B1030)))</f>
        <v>ASSOCIATION</v>
      </c>
      <c r="L1030" s="62" t="str" cm="1">
        <f t="array" ref="L1030">IF($B1030=0,IF($E1030=0,"",IF(INDEX(DMAV_Dienste!O$6:O$140,$E1030)="","",INDEX(DMAV_Dienste!O$6:O$140,$E1030))),IF(INDEX(DMAV_Modell!P$6:P$838,$B1030)="","",INDEX(DMAV_Modell!P$6:P$838,$B1030)))</f>
        <v>Rohrleitungen</v>
      </c>
      <c r="M1030" s="62" t="str" cm="1">
        <f t="array" ref="M1030">IF($B1030=0,IF($E1030=0,"",IF(INDEX(DMAV_Dienste!Q$6:Q$140,$E1030)="","",INDEX(DMAV_Dienste!Q$6:Q$140,$E1030))),IF(INDEX(DMAV_Modell!R$6:R$838,$B1030)="","",INDEX(DMAV_Modell!R$6:R$838,$B1030)))</f>
        <v>Entstehung_Messpunkt</v>
      </c>
      <c r="N1030" s="62" t="str" cm="1">
        <f t="array" ref="N1030">IF($B1030=0,IF($E1030=0,"",IF(INDEX(DMAV_Dienste!T$6:T$140,$E1030)="","",INDEX(DMAV_Dienste!T$6:T$140,$E1030))),IF(INDEX(DMAV_Modell!U$6:U$838,$B1030)="","",INDEX(DMAV_Modell!U$6:U$838,$B1030)))</f>
        <v>entstehender_Messpunkt</v>
      </c>
      <c r="O1030" s="63" t="str" cm="1">
        <f t="array" aca="1" ref="O1030" ca="1">IF(C1030=0,IF(F1030=0,"",HYPERLINK("#"&amp;RIGHT(CELL("adresse",OFFSET(DMAV_Dienste!$M$6,F1030-1,0)),LEN(CELL("adresse",OFFSET(DMAV_Dienste!$M$6,F1030-1,0)))-FIND("]",CELL("adresse",OFFSET(DMAV_Dienste!$M$6,F1030-1,0)))),"Structure")),HYPERLINK("#"&amp;RIGHT(CELL("adresse",OFFSET(DMAV_Modell!$N$6,C1030-1,0)),LEN(CELL("adresse",OFFSET(DMAV_Modell!$N$6,C1030-1,0)))-FIND("]",CELL("adresse",OFFSET(DMAV_Modell!$N$6,C1030-1,0)))),"Structure"))</f>
        <v/>
      </c>
      <c r="P1030" s="64" t="str" cm="1">
        <f t="array" aca="1" ref="P1030" ca="1">IF(D1030=0,IF(G1030=0,"",HYPERLINK("#"&amp;RIGHT(CELL("adresse",OFFSET(DMAV_Dienste!$M$6,G1030-1,0)),LEN(CELL("adresse",OFFSET(DMAV_Dienste!$M$6,G1030-1,0)))-FIND("]",CELL("adresse",OFFSET(DMAV_Dienste!$M$6,G1030-1,0)))),"Substructure")),HYPERLINK("#"&amp;RIGHT(CELL("adresse",OFFSET(DMAV_Modell!$N$6,D1030-1,0)),LEN(CELL("adresse",OFFSET(DMAV_Modell!$N$6,D1030-1,0)))-FIND("]",CELL("adresse",OFFSET(DMAV_Modell!$N$6,D1030-1,0)))),"Substructure"))</f>
        <v/>
      </c>
      <c r="R1030" s="80"/>
      <c r="T1030" s="93"/>
      <c r="U1030" s="94"/>
      <c r="V1030" s="95"/>
      <c r="W1030" s="96"/>
      <c r="Y1030" s="85"/>
      <c r="Z1030" s="86"/>
      <c r="AA1030" s="87"/>
      <c r="AB1030" s="88"/>
      <c r="AD1030" s="77"/>
      <c r="AF1030" s="54" t="str" cm="1">
        <f t="array" aca="1" ref="AF1030" ca="1">IF(H1030=0,"",HYPERLINK("#"&amp;RIGHT(CELL("adresse",OFFSET('DM01-AV-CH'!$G$6,H1030-1,0)),LEN(CELL("adresse",OFFSET('DM01-AV-CH'!$G$6,H1030-1,0)))-FIND("]",CELL("adresse",OFFSET('DM01-AV-CH'!$G$6,H1030-1,0)))),"Modell"))</f>
        <v/>
      </c>
      <c r="AG1030" s="72" t="str" cm="1">
        <f t="array" ref="AG1030">IF($H1030=0,"",IF(INDEX('DM01-AV-CH'!G$6:G$834,$H1030)="","",INDEX('DM01-AV-CH'!G$6:G$834,$H1030)))</f>
        <v/>
      </c>
      <c r="AH1030" s="73" t="str" cm="1">
        <f t="array" ref="AH1030">IF($H1030=0,"",IF(INDEX('DM01-AV-CH'!H$6:H$834,$H1030)="","",INDEX('DM01-AV-CH'!H$6:H$834,$H1030)))</f>
        <v/>
      </c>
      <c r="AI1030" s="74" t="str" cm="1">
        <f t="array" ref="AI1030">IF($H1030=0,"",IF(INDEX('DM01-AV-CH'!I$6:I$834,$H1030)="","",INDEX('DM01-AV-CH'!I$6:I$834,$H1030)))</f>
        <v/>
      </c>
    </row>
    <row r="1031" spans="1:35" x14ac:dyDescent="0.25">
      <c r="A1031" s="57">
        <v>1026</v>
      </c>
      <c r="B1031" s="57">
        <f>IF($A1031="","",IF(_xlfn.XLOOKUP($A1031,Korrelation!$D$4:$D$1197,Korrelation!E$4:E$1197,"-",0)="-",0,MATCH(_xlfn.XLOOKUP($A1031,Korrelation!$D$4:$D$1197,Korrelation!E$4:E$1197,"",0),DMAV_Modell!$G$6:$G$677,0)))</f>
        <v>600</v>
      </c>
      <c r="C1031" s="57">
        <f>IF($A1031="","",IF(_xlfn.XLOOKUP($A1031,Korrelation!$D$4:$D$1197,Korrelation!F$4:F$1197,"-",0)="-",0,MATCH(_xlfn.XLOOKUP($A1031,Korrelation!$D$4:$D$1197,Korrelation!F$4:F$1197,"",0),DMAV_Modell!$G$6:$G$677,0)))</f>
        <v>0</v>
      </c>
      <c r="D1031" s="57">
        <f>IF($A1031="","",IF(_xlfn.XLOOKUP($A1031,Korrelation!$D$4:$D$1197,Korrelation!G$4:G$1197,"-",0)="-",0,MATCH(_xlfn.XLOOKUP($A1031,Korrelation!$D$4:$D$1197,Korrelation!G$4:G$1197,"",0),DMAV_Modell!$G$6:$G$677,0)))</f>
        <v>0</v>
      </c>
      <c r="E1031" s="57">
        <f>IF($A1031="","",IF(_xlfn.XLOOKUP($A1031,Korrelation!$D$4:$D$1197,Korrelation!H$4:H$1197,"-",0)="-",0,MATCH(_xlfn.XLOOKUP($A1031,Korrelation!$D$4:$D$1197,Korrelation!H$4:H$1197,"",0),DMAV_Dienste!$F$6:$F$140,0)))</f>
        <v>0</v>
      </c>
      <c r="F1031" s="57">
        <f>IF($A1031="","",IF(_xlfn.XLOOKUP($A1031,Korrelation!$D$4:$D$1197,Korrelation!I$4:I$1197,"-",0)="-",0,MATCH(_xlfn.XLOOKUP($A1031,Korrelation!$D$4:$D$1197,Korrelation!I$4:I$1197,"",0),DMAV_Dienste!$F$6:$F$140,0)))</f>
        <v>0</v>
      </c>
      <c r="G1031" s="57">
        <f>IF($A1031="","",IF(_xlfn.XLOOKUP($A1031,Korrelation!$D$4:$D$1197,Korrelation!J$4:J$1197,"-",0)="-",0,MATCH(_xlfn.XLOOKUP($A1031,Korrelation!$D$4:$D$1197,Korrelation!J$4:J$1197,"",0),DMAV_Dienste!$F$6:$F$140,0)))</f>
        <v>0</v>
      </c>
      <c r="H1031" s="57">
        <f>IF($A1031="","",IF(_xlfn.XLOOKUP($A1031,Korrelation!$D$4:$D$1197,Korrelation!K$4:K$1197,"-",0)="-",0,MATCH(_xlfn.XLOOKUP($A1031,Korrelation!$D$4:$D$1197,Korrelation!K$4:K$1197,"",0),'DM01-AV-CH'!$A$6:$A$834,0)))</f>
        <v>0</v>
      </c>
      <c r="J1031" s="54" t="str" cm="1">
        <f t="array" aca="1" ref="J1031" ca="1">IF(B1031=0,IF(E1031=0,"",HYPERLINK("#"&amp;RIGHT(CELL("adresse",OFFSET(DMAV_Dienste!$M$6,E1031-1,0)),LEN(CELL("adresse",OFFSET(DMAV_Dienste!$M$6,E1031-1,0)))-FIND("]",CELL("adresse",OFFSET(DMAV_Dienste!$M$6,E1031-1,0)))),"Dienst")),HYPERLINK("#"&amp;RIGHT(CELL("adresse",OFFSET(DMAV_Modell!$N$6,B1031-1,0)),LEN(CELL("adresse",OFFSET(DMAV_Modell!$N$6,B1031-1,0)))-FIND("]",CELL("adresse",OFFSET(DMAV_Modell!$N$6,B1031-1,0)))),"Modell"))</f>
        <v>Modell</v>
      </c>
      <c r="K1031" s="61" t="str" cm="1">
        <f t="array" ref="K1031">IF($B1031=0,IF($E1031=0,"",IF(INDEX(DMAV_Dienste!P$6:P$140,$E1031)="","",INDEX(DMAV_Dienste!P$6:P$140,$E1031))),IF(INDEX(DMAV_Modell!Q$6:Q$838,$B1031)="","",INDEX(DMAV_Modell!Q$6:Q$838,$B1031)))</f>
        <v>IMPORTS</v>
      </c>
      <c r="L1031" s="62" t="str" cm="1">
        <f t="array" ref="L1031">IF($B1031=0,IF($E1031=0,"",IF(INDEX(DMAV_Dienste!O$6:O$140,$E1031)="","",INDEX(DMAV_Dienste!O$6:O$140,$E1031))),IF(INDEX(DMAV_Modell!P$6:P$838,$B1031)="","",INDEX(DMAV_Modell!P$6:P$838,$B1031)))</f>
        <v/>
      </c>
      <c r="M1031" s="62" t="str" cm="1">
        <f t="array" ref="M1031">IF($B1031=0,IF($E1031=0,"",IF(INDEX(DMAV_Dienste!Q$6:Q$140,$E1031)="","",INDEX(DMAV_Dienste!Q$6:Q$140,$E1031))),IF(INDEX(DMAV_Modell!R$6:R$838,$B1031)="","",INDEX(DMAV_Modell!R$6:R$838,$B1031)))</f>
        <v>GeometryCHLV95_V2</v>
      </c>
      <c r="N1031" s="62" t="str" cm="1">
        <f t="array" ref="N1031">IF($B1031=0,IF($E1031=0,"",IF(INDEX(DMAV_Dienste!T$6:T$140,$E1031)="","",INDEX(DMAV_Dienste!T$6:T$140,$E1031))),IF(INDEX(DMAV_Modell!U$6:U$838,$B1031)="","",INDEX(DMAV_Modell!U$6:U$838,$B1031)))</f>
        <v/>
      </c>
      <c r="O1031" s="63" t="str" cm="1">
        <f t="array" aca="1" ref="O1031" ca="1">IF(C1031=0,IF(F1031=0,"",HYPERLINK("#"&amp;RIGHT(CELL("adresse",OFFSET(DMAV_Dienste!$M$6,F1031-1,0)),LEN(CELL("adresse",OFFSET(DMAV_Dienste!$M$6,F1031-1,0)))-FIND("]",CELL("adresse",OFFSET(DMAV_Dienste!$M$6,F1031-1,0)))),"Structure")),HYPERLINK("#"&amp;RIGHT(CELL("adresse",OFFSET(DMAV_Modell!$N$6,C1031-1,0)),LEN(CELL("adresse",OFFSET(DMAV_Modell!$N$6,C1031-1,0)))-FIND("]",CELL("adresse",OFFSET(DMAV_Modell!$N$6,C1031-1,0)))),"Structure"))</f>
        <v/>
      </c>
      <c r="P1031" s="64" t="str" cm="1">
        <f t="array" aca="1" ref="P1031" ca="1">IF(D1031=0,IF(G1031=0,"",HYPERLINK("#"&amp;RIGHT(CELL("adresse",OFFSET(DMAV_Dienste!$M$6,G1031-1,0)),LEN(CELL("adresse",OFFSET(DMAV_Dienste!$M$6,G1031-1,0)))-FIND("]",CELL("adresse",OFFSET(DMAV_Dienste!$M$6,G1031-1,0)))),"Substructure")),HYPERLINK("#"&amp;RIGHT(CELL("adresse",OFFSET(DMAV_Modell!$N$6,D1031-1,0)),LEN(CELL("adresse",OFFSET(DMAV_Modell!$N$6,D1031-1,0)))-FIND("]",CELL("adresse",OFFSET(DMAV_Modell!$N$6,D1031-1,0)))),"Substructure"))</f>
        <v/>
      </c>
      <c r="R1031" s="80"/>
      <c r="T1031" s="93"/>
      <c r="U1031" s="94"/>
      <c r="V1031" s="95"/>
      <c r="W1031" s="96"/>
      <c r="Y1031" s="85"/>
      <c r="Z1031" s="86"/>
      <c r="AA1031" s="87"/>
      <c r="AB1031" s="88"/>
      <c r="AD1031" s="77"/>
      <c r="AF1031" s="54" t="str" cm="1">
        <f t="array" aca="1" ref="AF1031" ca="1">IF(H1031=0,"",HYPERLINK("#"&amp;RIGHT(CELL("adresse",OFFSET('DM01-AV-CH'!$G$6,H1031-1,0)),LEN(CELL("adresse",OFFSET('DM01-AV-CH'!$G$6,H1031-1,0)))-FIND("]",CELL("adresse",OFFSET('DM01-AV-CH'!$G$6,H1031-1,0)))),"Modell"))</f>
        <v/>
      </c>
      <c r="AG1031" s="72" t="str" cm="1">
        <f t="array" ref="AG1031">IF($H1031=0,"",IF(INDEX('DM01-AV-CH'!G$6:G$834,$H1031)="","",INDEX('DM01-AV-CH'!G$6:G$834,$H1031)))</f>
        <v/>
      </c>
      <c r="AH1031" s="73" t="str" cm="1">
        <f t="array" ref="AH1031">IF($H1031=0,"",IF(INDEX('DM01-AV-CH'!H$6:H$834,$H1031)="","",INDEX('DM01-AV-CH'!H$6:H$834,$H1031)))</f>
        <v/>
      </c>
      <c r="AI1031" s="74" t="str" cm="1">
        <f t="array" ref="AI1031">IF($H1031=0,"",IF(INDEX('DM01-AV-CH'!I$6:I$834,$H1031)="","",INDEX('DM01-AV-CH'!I$6:I$834,$H1031)))</f>
        <v/>
      </c>
    </row>
    <row r="1032" spans="1:35" x14ac:dyDescent="0.25">
      <c r="A1032" s="57">
        <v>1027</v>
      </c>
      <c r="B1032" s="57">
        <f>IF($A1032="","",IF(_xlfn.XLOOKUP($A1032,Korrelation!$D$4:$D$1197,Korrelation!E$4:E$1197,"-",0)="-",0,MATCH(_xlfn.XLOOKUP($A1032,Korrelation!$D$4:$D$1197,Korrelation!E$4:E$1197,"",0),DMAV_Modell!$G$6:$G$677,0)))</f>
        <v>601</v>
      </c>
      <c r="C1032" s="57">
        <f>IF($A1032="","",IF(_xlfn.XLOOKUP($A1032,Korrelation!$D$4:$D$1197,Korrelation!F$4:F$1197,"-",0)="-",0,MATCH(_xlfn.XLOOKUP($A1032,Korrelation!$D$4:$D$1197,Korrelation!F$4:F$1197,"",0),DMAV_Modell!$G$6:$G$677,0)))</f>
        <v>0</v>
      </c>
      <c r="D1032" s="57">
        <f>IF($A1032="","",IF(_xlfn.XLOOKUP($A1032,Korrelation!$D$4:$D$1197,Korrelation!G$4:G$1197,"-",0)="-",0,MATCH(_xlfn.XLOOKUP($A1032,Korrelation!$D$4:$D$1197,Korrelation!G$4:G$1197,"",0),DMAV_Modell!$G$6:$G$677,0)))</f>
        <v>0</v>
      </c>
      <c r="E1032" s="57">
        <f>IF($A1032="","",IF(_xlfn.XLOOKUP($A1032,Korrelation!$D$4:$D$1197,Korrelation!H$4:H$1197,"-",0)="-",0,MATCH(_xlfn.XLOOKUP($A1032,Korrelation!$D$4:$D$1197,Korrelation!H$4:H$1197,"",0),DMAV_Dienste!$F$6:$F$140,0)))</f>
        <v>0</v>
      </c>
      <c r="F1032" s="57">
        <f>IF($A1032="","",IF(_xlfn.XLOOKUP($A1032,Korrelation!$D$4:$D$1197,Korrelation!I$4:I$1197,"-",0)="-",0,MATCH(_xlfn.XLOOKUP($A1032,Korrelation!$D$4:$D$1197,Korrelation!I$4:I$1197,"",0),DMAV_Dienste!$F$6:$F$140,0)))</f>
        <v>0</v>
      </c>
      <c r="G1032" s="57">
        <f>IF($A1032="","",IF(_xlfn.XLOOKUP($A1032,Korrelation!$D$4:$D$1197,Korrelation!J$4:J$1197,"-",0)="-",0,MATCH(_xlfn.XLOOKUP($A1032,Korrelation!$D$4:$D$1197,Korrelation!J$4:J$1197,"",0),DMAV_Dienste!$F$6:$F$140,0)))</f>
        <v>0</v>
      </c>
      <c r="H1032" s="57">
        <f>IF($A1032="","",IF(_xlfn.XLOOKUP($A1032,Korrelation!$D$4:$D$1197,Korrelation!K$4:K$1197,"-",0)="-",0,MATCH(_xlfn.XLOOKUP($A1032,Korrelation!$D$4:$D$1197,Korrelation!K$4:K$1197,"",0),'DM01-AV-CH'!$A$6:$A$834,0)))</f>
        <v>0</v>
      </c>
      <c r="J1032" s="54" t="str" cm="1">
        <f t="array" aca="1" ref="J1032" ca="1">IF(B1032=0,IF(E1032=0,"",HYPERLINK("#"&amp;RIGHT(CELL("adresse",OFFSET(DMAV_Dienste!$M$6,E1032-1,0)),LEN(CELL("adresse",OFFSET(DMAV_Dienste!$M$6,E1032-1,0)))-FIND("]",CELL("adresse",OFFSET(DMAV_Dienste!$M$6,E1032-1,0)))),"Dienst")),HYPERLINK("#"&amp;RIGHT(CELL("adresse",OFFSET(DMAV_Modell!$N$6,B1032-1,0)),LEN(CELL("adresse",OFFSET(DMAV_Modell!$N$6,B1032-1,0)))-FIND("]",CELL("adresse",OFFSET(DMAV_Modell!$N$6,B1032-1,0)))),"Modell"))</f>
        <v>Modell</v>
      </c>
      <c r="K1032" s="61" t="str" cm="1">
        <f t="array" ref="K1032">IF($B1032=0,IF($E1032=0,"",IF(INDEX(DMAV_Dienste!P$6:P$140,$E1032)="","",INDEX(DMAV_Dienste!P$6:P$140,$E1032))),IF(INDEX(DMAV_Modell!Q$6:Q$838,$B1032)="","",INDEX(DMAV_Modell!Q$6:Q$838,$B1032)))</f>
        <v>CLASS</v>
      </c>
      <c r="L1032" s="62" t="str" cm="1">
        <f t="array" ref="L1032">IF($B1032=0,IF($E1032=0,"",IF(INDEX(DMAV_Dienste!O$6:O$140,$E1032)="","",INDEX(DMAV_Dienste!O$6:O$140,$E1032))),IF(INDEX(DMAV_Modell!P$6:P$838,$B1032)="","",INDEX(DMAV_Modell!P$6:P$838,$B1032)))</f>
        <v>Toleranzstufen</v>
      </c>
      <c r="M1032" s="62" t="str" cm="1">
        <f t="array" ref="M1032">IF($B1032=0,IF($E1032=0,"",IF(INDEX(DMAV_Dienste!Q$6:Q$140,$E1032)="","",INDEX(DMAV_Dienste!Q$6:Q$140,$E1032))),IF(INDEX(DMAV_Modell!R$6:R$838,$B1032)="","",INDEX(DMAV_Modell!R$6:R$838,$B1032)))</f>
        <v>TSNachfuehrung</v>
      </c>
      <c r="N1032" s="62" t="str" cm="1">
        <f t="array" ref="N1032">IF($B1032=0,IF($E1032=0,"",IF(INDEX(DMAV_Dienste!T$6:T$140,$E1032)="","",INDEX(DMAV_Dienste!T$6:T$140,$E1032))),IF(INDEX(DMAV_Modell!U$6:U$838,$B1032)="","",INDEX(DMAV_Modell!U$6:U$838,$B1032)))</f>
        <v>NBIdent</v>
      </c>
      <c r="O1032" s="63" t="str" cm="1">
        <f t="array" aca="1" ref="O1032" ca="1">IF(C1032=0,IF(F1032=0,"",HYPERLINK("#"&amp;RIGHT(CELL("adresse",OFFSET(DMAV_Dienste!$M$6,F1032-1,0)),LEN(CELL("adresse",OFFSET(DMAV_Dienste!$M$6,F1032-1,0)))-FIND("]",CELL("adresse",OFFSET(DMAV_Dienste!$M$6,F1032-1,0)))),"Structure")),HYPERLINK("#"&amp;RIGHT(CELL("adresse",OFFSET(DMAV_Modell!$N$6,C1032-1,0)),LEN(CELL("adresse",OFFSET(DMAV_Modell!$N$6,C1032-1,0)))-FIND("]",CELL("adresse",OFFSET(DMAV_Modell!$N$6,C1032-1,0)))),"Structure"))</f>
        <v/>
      </c>
      <c r="P1032" s="64" t="str" cm="1">
        <f t="array" aca="1" ref="P1032" ca="1">IF(D1032=0,IF(G1032=0,"",HYPERLINK("#"&amp;RIGHT(CELL("adresse",OFFSET(DMAV_Dienste!$M$6,G1032-1,0)),LEN(CELL("adresse",OFFSET(DMAV_Dienste!$M$6,G1032-1,0)))-FIND("]",CELL("adresse",OFFSET(DMAV_Dienste!$M$6,G1032-1,0)))),"Substructure")),HYPERLINK("#"&amp;RIGHT(CELL("adresse",OFFSET(DMAV_Modell!$N$6,D1032-1,0)),LEN(CELL("adresse",OFFSET(DMAV_Modell!$N$6,D1032-1,0)))-FIND("]",CELL("adresse",OFFSET(DMAV_Modell!$N$6,D1032-1,0)))),"Substructure"))</f>
        <v/>
      </c>
      <c r="R1032" s="80"/>
      <c r="T1032" s="93"/>
      <c r="U1032" s="94"/>
      <c r="V1032" s="95"/>
      <c r="W1032" s="96"/>
      <c r="Y1032" s="85"/>
      <c r="Z1032" s="86"/>
      <c r="AA1032" s="87"/>
      <c r="AB1032" s="88"/>
      <c r="AD1032" s="77"/>
      <c r="AF1032" s="54" t="str" cm="1">
        <f t="array" aca="1" ref="AF1032" ca="1">IF(H1032=0,"",HYPERLINK("#"&amp;RIGHT(CELL("adresse",OFFSET('DM01-AV-CH'!$G$6,H1032-1,0)),LEN(CELL("adresse",OFFSET('DM01-AV-CH'!$G$6,H1032-1,0)))-FIND("]",CELL("adresse",OFFSET('DM01-AV-CH'!$G$6,H1032-1,0)))),"Modell"))</f>
        <v/>
      </c>
      <c r="AG1032" s="72" t="str" cm="1">
        <f t="array" ref="AG1032">IF($H1032=0,"",IF(INDEX('DM01-AV-CH'!G$6:G$834,$H1032)="","",INDEX('DM01-AV-CH'!G$6:G$834,$H1032)))</f>
        <v/>
      </c>
      <c r="AH1032" s="73" t="str" cm="1">
        <f t="array" ref="AH1032">IF($H1032=0,"",IF(INDEX('DM01-AV-CH'!H$6:H$834,$H1032)="","",INDEX('DM01-AV-CH'!H$6:H$834,$H1032)))</f>
        <v/>
      </c>
      <c r="AI1032" s="74" t="str" cm="1">
        <f t="array" ref="AI1032">IF($H1032=0,"",IF(INDEX('DM01-AV-CH'!I$6:I$834,$H1032)="","",INDEX('DM01-AV-CH'!I$6:I$834,$H1032)))</f>
        <v/>
      </c>
    </row>
    <row r="1033" spans="1:35" x14ac:dyDescent="0.25">
      <c r="A1033" s="57">
        <v>1028</v>
      </c>
      <c r="B1033" s="57">
        <f>IF($A1033="","",IF(_xlfn.XLOOKUP($A1033,Korrelation!$D$4:$D$1197,Korrelation!E$4:E$1197,"-",0)="-",0,MATCH(_xlfn.XLOOKUP($A1033,Korrelation!$D$4:$D$1197,Korrelation!E$4:E$1197,"",0),DMAV_Modell!$G$6:$G$677,0)))</f>
        <v>602</v>
      </c>
      <c r="C1033" s="57">
        <f>IF($A1033="","",IF(_xlfn.XLOOKUP($A1033,Korrelation!$D$4:$D$1197,Korrelation!F$4:F$1197,"-",0)="-",0,MATCH(_xlfn.XLOOKUP($A1033,Korrelation!$D$4:$D$1197,Korrelation!F$4:F$1197,"",0),DMAV_Modell!$G$6:$G$677,0)))</f>
        <v>0</v>
      </c>
      <c r="D1033" s="57">
        <f>IF($A1033="","",IF(_xlfn.XLOOKUP($A1033,Korrelation!$D$4:$D$1197,Korrelation!G$4:G$1197,"-",0)="-",0,MATCH(_xlfn.XLOOKUP($A1033,Korrelation!$D$4:$D$1197,Korrelation!G$4:G$1197,"",0),DMAV_Modell!$G$6:$G$677,0)))</f>
        <v>0</v>
      </c>
      <c r="E1033" s="57">
        <f>IF($A1033="","",IF(_xlfn.XLOOKUP($A1033,Korrelation!$D$4:$D$1197,Korrelation!H$4:H$1197,"-",0)="-",0,MATCH(_xlfn.XLOOKUP($A1033,Korrelation!$D$4:$D$1197,Korrelation!H$4:H$1197,"",0),DMAV_Dienste!$F$6:$F$140,0)))</f>
        <v>0</v>
      </c>
      <c r="F1033" s="57">
        <f>IF($A1033="","",IF(_xlfn.XLOOKUP($A1033,Korrelation!$D$4:$D$1197,Korrelation!I$4:I$1197,"-",0)="-",0,MATCH(_xlfn.XLOOKUP($A1033,Korrelation!$D$4:$D$1197,Korrelation!I$4:I$1197,"",0),DMAV_Dienste!$F$6:$F$140,0)))</f>
        <v>0</v>
      </c>
      <c r="G1033" s="57">
        <f>IF($A1033="","",IF(_xlfn.XLOOKUP($A1033,Korrelation!$D$4:$D$1197,Korrelation!J$4:J$1197,"-",0)="-",0,MATCH(_xlfn.XLOOKUP($A1033,Korrelation!$D$4:$D$1197,Korrelation!J$4:J$1197,"",0),DMAV_Dienste!$F$6:$F$140,0)))</f>
        <v>0</v>
      </c>
      <c r="H1033" s="57">
        <f>IF($A1033="","",IF(_xlfn.XLOOKUP($A1033,Korrelation!$D$4:$D$1197,Korrelation!K$4:K$1197,"-",0)="-",0,MATCH(_xlfn.XLOOKUP($A1033,Korrelation!$D$4:$D$1197,Korrelation!K$4:K$1197,"",0),'DM01-AV-CH'!$A$6:$A$834,0)))</f>
        <v>0</v>
      </c>
      <c r="J1033" s="54" t="str" cm="1">
        <f t="array" aca="1" ref="J1033" ca="1">IF(B1033=0,IF(E1033=0,"",HYPERLINK("#"&amp;RIGHT(CELL("adresse",OFFSET(DMAV_Dienste!$M$6,E1033-1,0)),LEN(CELL("adresse",OFFSET(DMAV_Dienste!$M$6,E1033-1,0)))-FIND("]",CELL("adresse",OFFSET(DMAV_Dienste!$M$6,E1033-1,0)))),"Dienst")),HYPERLINK("#"&amp;RIGHT(CELL("adresse",OFFSET(DMAV_Modell!$N$6,B1033-1,0)),LEN(CELL("adresse",OFFSET(DMAV_Modell!$N$6,B1033-1,0)))-FIND("]",CELL("adresse",OFFSET(DMAV_Modell!$N$6,B1033-1,0)))),"Modell"))</f>
        <v>Modell</v>
      </c>
      <c r="K1033" s="61" t="str" cm="1">
        <f t="array" ref="K1033">IF($B1033=0,IF($E1033=0,"",IF(INDEX(DMAV_Dienste!P$6:P$140,$E1033)="","",INDEX(DMAV_Dienste!P$6:P$140,$E1033))),IF(INDEX(DMAV_Modell!Q$6:Q$838,$B1033)="","",INDEX(DMAV_Modell!Q$6:Q$838,$B1033)))</f>
        <v>CLASS</v>
      </c>
      <c r="L1033" s="62" t="str" cm="1">
        <f t="array" ref="L1033">IF($B1033=0,IF($E1033=0,"",IF(INDEX(DMAV_Dienste!O$6:O$140,$E1033)="","",INDEX(DMAV_Dienste!O$6:O$140,$E1033))),IF(INDEX(DMAV_Modell!P$6:P$838,$B1033)="","",INDEX(DMAV_Modell!P$6:P$838,$B1033)))</f>
        <v>Toleranzstufen</v>
      </c>
      <c r="M1033" s="62" t="str" cm="1">
        <f t="array" ref="M1033">IF($B1033=0,IF($E1033=0,"",IF(INDEX(DMAV_Dienste!Q$6:Q$140,$E1033)="","",INDEX(DMAV_Dienste!Q$6:Q$140,$E1033))),IF(INDEX(DMAV_Modell!R$6:R$838,$B1033)="","",INDEX(DMAV_Modell!R$6:R$838,$B1033)))</f>
        <v>TSNachfuehrung</v>
      </c>
      <c r="N1033" s="62" t="str" cm="1">
        <f t="array" ref="N1033">IF($B1033=0,IF($E1033=0,"",IF(INDEX(DMAV_Dienste!T$6:T$140,$E1033)="","",INDEX(DMAV_Dienste!T$6:T$140,$E1033))),IF(INDEX(DMAV_Modell!U$6:U$838,$B1033)="","",INDEX(DMAV_Modell!U$6:U$838,$B1033)))</f>
        <v>Identifikator</v>
      </c>
      <c r="O1033" s="63" t="str" cm="1">
        <f t="array" aca="1" ref="O1033" ca="1">IF(C1033=0,IF(F1033=0,"",HYPERLINK("#"&amp;RIGHT(CELL("adresse",OFFSET(DMAV_Dienste!$M$6,F1033-1,0)),LEN(CELL("adresse",OFFSET(DMAV_Dienste!$M$6,F1033-1,0)))-FIND("]",CELL("adresse",OFFSET(DMAV_Dienste!$M$6,F1033-1,0)))),"Structure")),HYPERLINK("#"&amp;RIGHT(CELL("adresse",OFFSET(DMAV_Modell!$N$6,C1033-1,0)),LEN(CELL("adresse",OFFSET(DMAV_Modell!$N$6,C1033-1,0)))-FIND("]",CELL("adresse",OFFSET(DMAV_Modell!$N$6,C1033-1,0)))),"Structure"))</f>
        <v/>
      </c>
      <c r="P1033" s="64" t="str" cm="1">
        <f t="array" aca="1" ref="P1033" ca="1">IF(D1033=0,IF(G1033=0,"",HYPERLINK("#"&amp;RIGHT(CELL("adresse",OFFSET(DMAV_Dienste!$M$6,G1033-1,0)),LEN(CELL("adresse",OFFSET(DMAV_Dienste!$M$6,G1033-1,0)))-FIND("]",CELL("adresse",OFFSET(DMAV_Dienste!$M$6,G1033-1,0)))),"Substructure")),HYPERLINK("#"&amp;RIGHT(CELL("adresse",OFFSET(DMAV_Modell!$N$6,D1033-1,0)),LEN(CELL("adresse",OFFSET(DMAV_Modell!$N$6,D1033-1,0)))-FIND("]",CELL("adresse",OFFSET(DMAV_Modell!$N$6,D1033-1,0)))),"Substructure"))</f>
        <v/>
      </c>
      <c r="R1033" s="80"/>
      <c r="T1033" s="93"/>
      <c r="U1033" s="94"/>
      <c r="V1033" s="95"/>
      <c r="W1033" s="96"/>
      <c r="Y1033" s="85"/>
      <c r="Z1033" s="86"/>
      <c r="AA1033" s="87"/>
      <c r="AB1033" s="88"/>
      <c r="AD1033" s="77"/>
      <c r="AF1033" s="54" t="str" cm="1">
        <f t="array" aca="1" ref="AF1033" ca="1">IF(H1033=0,"",HYPERLINK("#"&amp;RIGHT(CELL("adresse",OFFSET('DM01-AV-CH'!$G$6,H1033-1,0)),LEN(CELL("adresse",OFFSET('DM01-AV-CH'!$G$6,H1033-1,0)))-FIND("]",CELL("adresse",OFFSET('DM01-AV-CH'!$G$6,H1033-1,0)))),"Modell"))</f>
        <v/>
      </c>
      <c r="AG1033" s="72" t="str" cm="1">
        <f t="array" ref="AG1033">IF($H1033=0,"",IF(INDEX('DM01-AV-CH'!G$6:G$834,$H1033)="","",INDEX('DM01-AV-CH'!G$6:G$834,$H1033)))</f>
        <v/>
      </c>
      <c r="AH1033" s="73" t="str" cm="1">
        <f t="array" ref="AH1033">IF($H1033=0,"",IF(INDEX('DM01-AV-CH'!H$6:H$834,$H1033)="","",INDEX('DM01-AV-CH'!H$6:H$834,$H1033)))</f>
        <v/>
      </c>
      <c r="AI1033" s="74" t="str" cm="1">
        <f t="array" ref="AI1033">IF($H1033=0,"",IF(INDEX('DM01-AV-CH'!I$6:I$834,$H1033)="","",INDEX('DM01-AV-CH'!I$6:I$834,$H1033)))</f>
        <v/>
      </c>
    </row>
    <row r="1034" spans="1:35" x14ac:dyDescent="0.25">
      <c r="A1034" s="57">
        <v>1029</v>
      </c>
      <c r="B1034" s="57">
        <f>IF($A1034="","",IF(_xlfn.XLOOKUP($A1034,Korrelation!$D$4:$D$1197,Korrelation!E$4:E$1197,"-",0)="-",0,MATCH(_xlfn.XLOOKUP($A1034,Korrelation!$D$4:$D$1197,Korrelation!E$4:E$1197,"",0),DMAV_Modell!$G$6:$G$677,0)))</f>
        <v>603</v>
      </c>
      <c r="C1034" s="57">
        <f>IF($A1034="","",IF(_xlfn.XLOOKUP($A1034,Korrelation!$D$4:$D$1197,Korrelation!F$4:F$1197,"-",0)="-",0,MATCH(_xlfn.XLOOKUP($A1034,Korrelation!$D$4:$D$1197,Korrelation!F$4:F$1197,"",0),DMAV_Modell!$G$6:$G$677,0)))</f>
        <v>0</v>
      </c>
      <c r="D1034" s="57">
        <f>IF($A1034="","",IF(_xlfn.XLOOKUP($A1034,Korrelation!$D$4:$D$1197,Korrelation!G$4:G$1197,"-",0)="-",0,MATCH(_xlfn.XLOOKUP($A1034,Korrelation!$D$4:$D$1197,Korrelation!G$4:G$1197,"",0),DMAV_Modell!$G$6:$G$677,0)))</f>
        <v>0</v>
      </c>
      <c r="E1034" s="57">
        <f>IF($A1034="","",IF(_xlfn.XLOOKUP($A1034,Korrelation!$D$4:$D$1197,Korrelation!H$4:H$1197,"-",0)="-",0,MATCH(_xlfn.XLOOKUP($A1034,Korrelation!$D$4:$D$1197,Korrelation!H$4:H$1197,"",0),DMAV_Dienste!$F$6:$F$140,0)))</f>
        <v>0</v>
      </c>
      <c r="F1034" s="57">
        <f>IF($A1034="","",IF(_xlfn.XLOOKUP($A1034,Korrelation!$D$4:$D$1197,Korrelation!I$4:I$1197,"-",0)="-",0,MATCH(_xlfn.XLOOKUP($A1034,Korrelation!$D$4:$D$1197,Korrelation!I$4:I$1197,"",0),DMAV_Dienste!$F$6:$F$140,0)))</f>
        <v>0</v>
      </c>
      <c r="G1034" s="57">
        <f>IF($A1034="","",IF(_xlfn.XLOOKUP($A1034,Korrelation!$D$4:$D$1197,Korrelation!J$4:J$1197,"-",0)="-",0,MATCH(_xlfn.XLOOKUP($A1034,Korrelation!$D$4:$D$1197,Korrelation!J$4:J$1197,"",0),DMAV_Dienste!$F$6:$F$140,0)))</f>
        <v>0</v>
      </c>
      <c r="H1034" s="57">
        <f>IF($A1034="","",IF(_xlfn.XLOOKUP($A1034,Korrelation!$D$4:$D$1197,Korrelation!K$4:K$1197,"-",0)="-",0,MATCH(_xlfn.XLOOKUP($A1034,Korrelation!$D$4:$D$1197,Korrelation!K$4:K$1197,"",0),'DM01-AV-CH'!$A$6:$A$834,0)))</f>
        <v>0</v>
      </c>
      <c r="J1034" s="54" t="str" cm="1">
        <f t="array" aca="1" ref="J1034" ca="1">IF(B1034=0,IF(E1034=0,"",HYPERLINK("#"&amp;RIGHT(CELL("adresse",OFFSET(DMAV_Dienste!$M$6,E1034-1,0)),LEN(CELL("adresse",OFFSET(DMAV_Dienste!$M$6,E1034-1,0)))-FIND("]",CELL("adresse",OFFSET(DMAV_Dienste!$M$6,E1034-1,0)))),"Dienst")),HYPERLINK("#"&amp;RIGHT(CELL("adresse",OFFSET(DMAV_Modell!$N$6,B1034-1,0)),LEN(CELL("adresse",OFFSET(DMAV_Modell!$N$6,B1034-1,0)))-FIND("]",CELL("adresse",OFFSET(DMAV_Modell!$N$6,B1034-1,0)))),"Modell"))</f>
        <v>Modell</v>
      </c>
      <c r="K1034" s="61" t="str" cm="1">
        <f t="array" ref="K1034">IF($B1034=0,IF($E1034=0,"",IF(INDEX(DMAV_Dienste!P$6:P$140,$E1034)="","",INDEX(DMAV_Dienste!P$6:P$140,$E1034))),IF(INDEX(DMAV_Modell!Q$6:Q$838,$B1034)="","",INDEX(DMAV_Modell!Q$6:Q$838,$B1034)))</f>
        <v>CLASS</v>
      </c>
      <c r="L1034" s="62" t="str" cm="1">
        <f t="array" ref="L1034">IF($B1034=0,IF($E1034=0,"",IF(INDEX(DMAV_Dienste!O$6:O$140,$E1034)="","",INDEX(DMAV_Dienste!O$6:O$140,$E1034))),IF(INDEX(DMAV_Modell!P$6:P$838,$B1034)="","",INDEX(DMAV_Modell!P$6:P$838,$B1034)))</f>
        <v>Toleranzstufen</v>
      </c>
      <c r="M1034" s="62" t="str" cm="1">
        <f t="array" ref="M1034">IF($B1034=0,IF($E1034=0,"",IF(INDEX(DMAV_Dienste!Q$6:Q$140,$E1034)="","",INDEX(DMAV_Dienste!Q$6:Q$140,$E1034))),IF(INDEX(DMAV_Modell!R$6:R$838,$B1034)="","",INDEX(DMAV_Modell!R$6:R$838,$B1034)))</f>
        <v>TSNachfuehrung</v>
      </c>
      <c r="N1034" s="62" t="str" cm="1">
        <f t="array" ref="N1034">IF($B1034=0,IF($E1034=0,"",IF(INDEX(DMAV_Dienste!T$6:T$140,$E1034)="","",INDEX(DMAV_Dienste!T$6:T$140,$E1034))),IF(INDEX(DMAV_Modell!U$6:U$838,$B1034)="","",INDEX(DMAV_Modell!U$6:U$838,$B1034)))</f>
        <v>Beschreibung</v>
      </c>
      <c r="O1034" s="63" t="str" cm="1">
        <f t="array" aca="1" ref="O1034" ca="1">IF(C1034=0,IF(F1034=0,"",HYPERLINK("#"&amp;RIGHT(CELL("adresse",OFFSET(DMAV_Dienste!$M$6,F1034-1,0)),LEN(CELL("adresse",OFFSET(DMAV_Dienste!$M$6,F1034-1,0)))-FIND("]",CELL("adresse",OFFSET(DMAV_Dienste!$M$6,F1034-1,0)))),"Structure")),HYPERLINK("#"&amp;RIGHT(CELL("adresse",OFFSET(DMAV_Modell!$N$6,C1034-1,0)),LEN(CELL("adresse",OFFSET(DMAV_Modell!$N$6,C1034-1,0)))-FIND("]",CELL("adresse",OFFSET(DMAV_Modell!$N$6,C1034-1,0)))),"Structure"))</f>
        <v/>
      </c>
      <c r="P1034" s="64" t="str" cm="1">
        <f t="array" aca="1" ref="P1034" ca="1">IF(D1034=0,IF(G1034=0,"",HYPERLINK("#"&amp;RIGHT(CELL("adresse",OFFSET(DMAV_Dienste!$M$6,G1034-1,0)),LEN(CELL("adresse",OFFSET(DMAV_Dienste!$M$6,G1034-1,0)))-FIND("]",CELL("adresse",OFFSET(DMAV_Dienste!$M$6,G1034-1,0)))),"Substructure")),HYPERLINK("#"&amp;RIGHT(CELL("adresse",OFFSET(DMAV_Modell!$N$6,D1034-1,0)),LEN(CELL("adresse",OFFSET(DMAV_Modell!$N$6,D1034-1,0)))-FIND("]",CELL("adresse",OFFSET(DMAV_Modell!$N$6,D1034-1,0)))),"Substructure"))</f>
        <v/>
      </c>
      <c r="R1034" s="80"/>
      <c r="T1034" s="93"/>
      <c r="U1034" s="94"/>
      <c r="V1034" s="95"/>
      <c r="W1034" s="96"/>
      <c r="Y1034" s="85"/>
      <c r="Z1034" s="86"/>
      <c r="AA1034" s="87"/>
      <c r="AB1034" s="88"/>
      <c r="AD1034" s="77"/>
      <c r="AF1034" s="54" t="str" cm="1">
        <f t="array" aca="1" ref="AF1034" ca="1">IF(H1034=0,"",HYPERLINK("#"&amp;RIGHT(CELL("adresse",OFFSET('DM01-AV-CH'!$G$6,H1034-1,0)),LEN(CELL("adresse",OFFSET('DM01-AV-CH'!$G$6,H1034-1,0)))-FIND("]",CELL("adresse",OFFSET('DM01-AV-CH'!$G$6,H1034-1,0)))),"Modell"))</f>
        <v/>
      </c>
      <c r="AG1034" s="72" t="str" cm="1">
        <f t="array" ref="AG1034">IF($H1034=0,"",IF(INDEX('DM01-AV-CH'!G$6:G$834,$H1034)="","",INDEX('DM01-AV-CH'!G$6:G$834,$H1034)))</f>
        <v/>
      </c>
      <c r="AH1034" s="73" t="str" cm="1">
        <f t="array" ref="AH1034">IF($H1034=0,"",IF(INDEX('DM01-AV-CH'!H$6:H$834,$H1034)="","",INDEX('DM01-AV-CH'!H$6:H$834,$H1034)))</f>
        <v/>
      </c>
      <c r="AI1034" s="74" t="str" cm="1">
        <f t="array" ref="AI1034">IF($H1034=0,"",IF(INDEX('DM01-AV-CH'!I$6:I$834,$H1034)="","",INDEX('DM01-AV-CH'!I$6:I$834,$H1034)))</f>
        <v/>
      </c>
    </row>
    <row r="1035" spans="1:35" x14ac:dyDescent="0.25">
      <c r="A1035" s="57">
        <v>1030</v>
      </c>
      <c r="B1035" s="57">
        <f>IF($A1035="","",IF(_xlfn.XLOOKUP($A1035,Korrelation!$D$4:$D$1197,Korrelation!E$4:E$1197,"-",0)="-",0,MATCH(_xlfn.XLOOKUP($A1035,Korrelation!$D$4:$D$1197,Korrelation!E$4:E$1197,"",0),DMAV_Modell!$G$6:$G$677,0)))</f>
        <v>604</v>
      </c>
      <c r="C1035" s="57">
        <f>IF($A1035="","",IF(_xlfn.XLOOKUP($A1035,Korrelation!$D$4:$D$1197,Korrelation!F$4:F$1197,"-",0)="-",0,MATCH(_xlfn.XLOOKUP($A1035,Korrelation!$D$4:$D$1197,Korrelation!F$4:F$1197,"",0),DMAV_Modell!$G$6:$G$677,0)))</f>
        <v>0</v>
      </c>
      <c r="D1035" s="57">
        <f>IF($A1035="","",IF(_xlfn.XLOOKUP($A1035,Korrelation!$D$4:$D$1197,Korrelation!G$4:G$1197,"-",0)="-",0,MATCH(_xlfn.XLOOKUP($A1035,Korrelation!$D$4:$D$1197,Korrelation!G$4:G$1197,"",0),DMAV_Modell!$G$6:$G$677,0)))</f>
        <v>0</v>
      </c>
      <c r="E1035" s="57">
        <f>IF($A1035="","",IF(_xlfn.XLOOKUP($A1035,Korrelation!$D$4:$D$1197,Korrelation!H$4:H$1197,"-",0)="-",0,MATCH(_xlfn.XLOOKUP($A1035,Korrelation!$D$4:$D$1197,Korrelation!H$4:H$1197,"",0),DMAV_Dienste!$F$6:$F$140,0)))</f>
        <v>0</v>
      </c>
      <c r="F1035" s="57">
        <f>IF($A1035="","",IF(_xlfn.XLOOKUP($A1035,Korrelation!$D$4:$D$1197,Korrelation!I$4:I$1197,"-",0)="-",0,MATCH(_xlfn.XLOOKUP($A1035,Korrelation!$D$4:$D$1197,Korrelation!I$4:I$1197,"",0),DMAV_Dienste!$F$6:$F$140,0)))</f>
        <v>0</v>
      </c>
      <c r="G1035" s="57">
        <f>IF($A1035="","",IF(_xlfn.XLOOKUP($A1035,Korrelation!$D$4:$D$1197,Korrelation!J$4:J$1197,"-",0)="-",0,MATCH(_xlfn.XLOOKUP($A1035,Korrelation!$D$4:$D$1197,Korrelation!J$4:J$1197,"",0),DMAV_Dienste!$F$6:$F$140,0)))</f>
        <v>0</v>
      </c>
      <c r="H1035" s="57">
        <f>IF($A1035="","",IF(_xlfn.XLOOKUP($A1035,Korrelation!$D$4:$D$1197,Korrelation!K$4:K$1197,"-",0)="-",0,MATCH(_xlfn.XLOOKUP($A1035,Korrelation!$D$4:$D$1197,Korrelation!K$4:K$1197,"",0),'DM01-AV-CH'!$A$6:$A$834,0)))</f>
        <v>0</v>
      </c>
      <c r="J1035" s="54" t="str" cm="1">
        <f t="array" aca="1" ref="J1035" ca="1">IF(B1035=0,IF(E1035=0,"",HYPERLINK("#"&amp;RIGHT(CELL("adresse",OFFSET(DMAV_Dienste!$M$6,E1035-1,0)),LEN(CELL("adresse",OFFSET(DMAV_Dienste!$M$6,E1035-1,0)))-FIND("]",CELL("adresse",OFFSET(DMAV_Dienste!$M$6,E1035-1,0)))),"Dienst")),HYPERLINK("#"&amp;RIGHT(CELL("adresse",OFFSET(DMAV_Modell!$N$6,B1035-1,0)),LEN(CELL("adresse",OFFSET(DMAV_Modell!$N$6,B1035-1,0)))-FIND("]",CELL("adresse",OFFSET(DMAV_Modell!$N$6,B1035-1,0)))),"Modell"))</f>
        <v>Modell</v>
      </c>
      <c r="K1035" s="61" t="str" cm="1">
        <f t="array" ref="K1035">IF($B1035=0,IF($E1035=0,"",IF(INDEX(DMAV_Dienste!P$6:P$140,$E1035)="","",INDEX(DMAV_Dienste!P$6:P$140,$E1035))),IF(INDEX(DMAV_Modell!Q$6:Q$838,$B1035)="","",INDEX(DMAV_Modell!Q$6:Q$838,$B1035)))</f>
        <v>CLASS</v>
      </c>
      <c r="L1035" s="62" t="str" cm="1">
        <f t="array" ref="L1035">IF($B1035=0,IF($E1035=0,"",IF(INDEX(DMAV_Dienste!O$6:O$140,$E1035)="","",INDEX(DMAV_Dienste!O$6:O$140,$E1035))),IF(INDEX(DMAV_Modell!P$6:P$838,$B1035)="","",INDEX(DMAV_Modell!P$6:P$838,$B1035)))</f>
        <v>Toleranzstufen</v>
      </c>
      <c r="M1035" s="62" t="str" cm="1">
        <f t="array" ref="M1035">IF($B1035=0,IF($E1035=0,"",IF(INDEX(DMAV_Dienste!Q$6:Q$140,$E1035)="","",INDEX(DMAV_Dienste!Q$6:Q$140,$E1035))),IF(INDEX(DMAV_Modell!R$6:R$838,$B1035)="","",INDEX(DMAV_Modell!R$6:R$838,$B1035)))</f>
        <v>TSNachfuehrung</v>
      </c>
      <c r="N1035" s="62" t="str" cm="1">
        <f t="array" ref="N1035">IF($B1035=0,IF($E1035=0,"",IF(INDEX(DMAV_Dienste!T$6:T$140,$E1035)="","",INDEX(DMAV_Dienste!T$6:T$140,$E1035))),IF(INDEX(DMAV_Modell!U$6:U$838,$B1035)="","",INDEX(DMAV_Modell!U$6:U$838,$B1035)))</f>
        <v>Perimeter</v>
      </c>
      <c r="O1035" s="63" t="str" cm="1">
        <f t="array" aca="1" ref="O1035" ca="1">IF(C1035=0,IF(F1035=0,"",HYPERLINK("#"&amp;RIGHT(CELL("adresse",OFFSET(DMAV_Dienste!$M$6,F1035-1,0)),LEN(CELL("adresse",OFFSET(DMAV_Dienste!$M$6,F1035-1,0)))-FIND("]",CELL("adresse",OFFSET(DMAV_Dienste!$M$6,F1035-1,0)))),"Structure")),HYPERLINK("#"&amp;RIGHT(CELL("adresse",OFFSET(DMAV_Modell!$N$6,C1035-1,0)),LEN(CELL("adresse",OFFSET(DMAV_Modell!$N$6,C1035-1,0)))-FIND("]",CELL("adresse",OFFSET(DMAV_Modell!$N$6,C1035-1,0)))),"Structure"))</f>
        <v/>
      </c>
      <c r="P1035" s="64" t="str" cm="1">
        <f t="array" aca="1" ref="P1035" ca="1">IF(D1035=0,IF(G1035=0,"",HYPERLINK("#"&amp;RIGHT(CELL("adresse",OFFSET(DMAV_Dienste!$M$6,G1035-1,0)),LEN(CELL("adresse",OFFSET(DMAV_Dienste!$M$6,G1035-1,0)))-FIND("]",CELL("adresse",OFFSET(DMAV_Dienste!$M$6,G1035-1,0)))),"Substructure")),HYPERLINK("#"&amp;RIGHT(CELL("adresse",OFFSET(DMAV_Modell!$N$6,D1035-1,0)),LEN(CELL("adresse",OFFSET(DMAV_Modell!$N$6,D1035-1,0)))-FIND("]",CELL("adresse",OFFSET(DMAV_Modell!$N$6,D1035-1,0)))),"Substructure"))</f>
        <v/>
      </c>
      <c r="R1035" s="80"/>
      <c r="T1035" s="93"/>
      <c r="U1035" s="94"/>
      <c r="V1035" s="95"/>
      <c r="W1035" s="96"/>
      <c r="Y1035" s="85"/>
      <c r="Z1035" s="86"/>
      <c r="AA1035" s="87"/>
      <c r="AB1035" s="88"/>
      <c r="AD1035" s="77"/>
      <c r="AF1035" s="54" t="str" cm="1">
        <f t="array" aca="1" ref="AF1035" ca="1">IF(H1035=0,"",HYPERLINK("#"&amp;RIGHT(CELL("adresse",OFFSET('DM01-AV-CH'!$G$6,H1035-1,0)),LEN(CELL("adresse",OFFSET('DM01-AV-CH'!$G$6,H1035-1,0)))-FIND("]",CELL("adresse",OFFSET('DM01-AV-CH'!$G$6,H1035-1,0)))),"Modell"))</f>
        <v/>
      </c>
      <c r="AG1035" s="72" t="str" cm="1">
        <f t="array" ref="AG1035">IF($H1035=0,"",IF(INDEX('DM01-AV-CH'!G$6:G$834,$H1035)="","",INDEX('DM01-AV-CH'!G$6:G$834,$H1035)))</f>
        <v/>
      </c>
      <c r="AH1035" s="73" t="str" cm="1">
        <f t="array" ref="AH1035">IF($H1035=0,"",IF(INDEX('DM01-AV-CH'!H$6:H$834,$H1035)="","",INDEX('DM01-AV-CH'!H$6:H$834,$H1035)))</f>
        <v/>
      </c>
      <c r="AI1035" s="74" t="str" cm="1">
        <f t="array" ref="AI1035">IF($H1035=0,"",IF(INDEX('DM01-AV-CH'!I$6:I$834,$H1035)="","",INDEX('DM01-AV-CH'!I$6:I$834,$H1035)))</f>
        <v/>
      </c>
    </row>
    <row r="1036" spans="1:35" x14ac:dyDescent="0.25">
      <c r="A1036" s="57">
        <v>1031</v>
      </c>
      <c r="B1036" s="57">
        <f>IF($A1036="","",IF(_xlfn.XLOOKUP($A1036,Korrelation!$D$4:$D$1197,Korrelation!E$4:E$1197,"-",0)="-",0,MATCH(_xlfn.XLOOKUP($A1036,Korrelation!$D$4:$D$1197,Korrelation!E$4:E$1197,"",0),DMAV_Modell!$G$6:$G$677,0)))</f>
        <v>605</v>
      </c>
      <c r="C1036" s="57">
        <f>IF($A1036="","",IF(_xlfn.XLOOKUP($A1036,Korrelation!$D$4:$D$1197,Korrelation!F$4:F$1197,"-",0)="-",0,MATCH(_xlfn.XLOOKUP($A1036,Korrelation!$D$4:$D$1197,Korrelation!F$4:F$1197,"",0),DMAV_Modell!$G$6:$G$677,0)))</f>
        <v>0</v>
      </c>
      <c r="D1036" s="57">
        <f>IF($A1036="","",IF(_xlfn.XLOOKUP($A1036,Korrelation!$D$4:$D$1197,Korrelation!G$4:G$1197,"-",0)="-",0,MATCH(_xlfn.XLOOKUP($A1036,Korrelation!$D$4:$D$1197,Korrelation!G$4:G$1197,"",0),DMAV_Modell!$G$6:$G$677,0)))</f>
        <v>0</v>
      </c>
      <c r="E1036" s="57">
        <f>IF($A1036="","",IF(_xlfn.XLOOKUP($A1036,Korrelation!$D$4:$D$1197,Korrelation!H$4:H$1197,"-",0)="-",0,MATCH(_xlfn.XLOOKUP($A1036,Korrelation!$D$4:$D$1197,Korrelation!H$4:H$1197,"",0),DMAV_Dienste!$F$6:$F$140,0)))</f>
        <v>0</v>
      </c>
      <c r="F1036" s="57">
        <f>IF($A1036="","",IF(_xlfn.XLOOKUP($A1036,Korrelation!$D$4:$D$1197,Korrelation!I$4:I$1197,"-",0)="-",0,MATCH(_xlfn.XLOOKUP($A1036,Korrelation!$D$4:$D$1197,Korrelation!I$4:I$1197,"",0),DMAV_Dienste!$F$6:$F$140,0)))</f>
        <v>0</v>
      </c>
      <c r="G1036" s="57">
        <f>IF($A1036="","",IF(_xlfn.XLOOKUP($A1036,Korrelation!$D$4:$D$1197,Korrelation!J$4:J$1197,"-",0)="-",0,MATCH(_xlfn.XLOOKUP($A1036,Korrelation!$D$4:$D$1197,Korrelation!J$4:J$1197,"",0),DMAV_Dienste!$F$6:$F$140,0)))</f>
        <v>0</v>
      </c>
      <c r="H1036" s="57">
        <f>IF($A1036="","",IF(_xlfn.XLOOKUP($A1036,Korrelation!$D$4:$D$1197,Korrelation!K$4:K$1197,"-",0)="-",0,MATCH(_xlfn.XLOOKUP($A1036,Korrelation!$D$4:$D$1197,Korrelation!K$4:K$1197,"",0),'DM01-AV-CH'!$A$6:$A$834,0)))</f>
        <v>0</v>
      </c>
      <c r="J1036" s="54" t="str" cm="1">
        <f t="array" aca="1" ref="J1036" ca="1">IF(B1036=0,IF(E1036=0,"",HYPERLINK("#"&amp;RIGHT(CELL("adresse",OFFSET(DMAV_Dienste!$M$6,E1036-1,0)),LEN(CELL("adresse",OFFSET(DMAV_Dienste!$M$6,E1036-1,0)))-FIND("]",CELL("adresse",OFFSET(DMAV_Dienste!$M$6,E1036-1,0)))),"Dienst")),HYPERLINK("#"&amp;RIGHT(CELL("adresse",OFFSET(DMAV_Modell!$N$6,B1036-1,0)),LEN(CELL("adresse",OFFSET(DMAV_Modell!$N$6,B1036-1,0)))-FIND("]",CELL("adresse",OFFSET(DMAV_Modell!$N$6,B1036-1,0)))),"Modell"))</f>
        <v>Modell</v>
      </c>
      <c r="K1036" s="61" t="str" cm="1">
        <f t="array" ref="K1036">IF($B1036=0,IF($E1036=0,"",IF(INDEX(DMAV_Dienste!P$6:P$140,$E1036)="","",INDEX(DMAV_Dienste!P$6:P$140,$E1036))),IF(INDEX(DMAV_Modell!Q$6:Q$838,$B1036)="","",INDEX(DMAV_Modell!Q$6:Q$838,$B1036)))</f>
        <v>CLASS</v>
      </c>
      <c r="L1036" s="62" t="str" cm="1">
        <f t="array" ref="L1036">IF($B1036=0,IF($E1036=0,"",IF(INDEX(DMAV_Dienste!O$6:O$140,$E1036)="","",INDEX(DMAV_Dienste!O$6:O$140,$E1036))),IF(INDEX(DMAV_Modell!P$6:P$838,$B1036)="","",INDEX(DMAV_Modell!P$6:P$838,$B1036)))</f>
        <v>Toleranzstufen</v>
      </c>
      <c r="M1036" s="62" t="str" cm="1">
        <f t="array" ref="M1036">IF($B1036=0,IF($E1036=0,"",IF(INDEX(DMAV_Dienste!Q$6:Q$140,$E1036)="","",INDEX(DMAV_Dienste!Q$6:Q$140,$E1036))),IF(INDEX(DMAV_Modell!R$6:R$838,$B1036)="","",INDEX(DMAV_Modell!R$6:R$838,$B1036)))</f>
        <v>TSNachfuehrung</v>
      </c>
      <c r="N1036" s="62" t="str" cm="1">
        <f t="array" ref="N1036">IF($B1036=0,IF($E1036=0,"",IF(INDEX(DMAV_Dienste!T$6:T$140,$E1036)="","",INDEX(DMAV_Dienste!T$6:T$140,$E1036))),IF(INDEX(DMAV_Modell!U$6:U$838,$B1036)="","",INDEX(DMAV_Modell!U$6:U$838,$B1036)))</f>
        <v>GueltigerEintrag</v>
      </c>
      <c r="O1036" s="63" t="str" cm="1">
        <f t="array" aca="1" ref="O1036" ca="1">IF(C1036=0,IF(F1036=0,"",HYPERLINK("#"&amp;RIGHT(CELL("adresse",OFFSET(DMAV_Dienste!$M$6,F1036-1,0)),LEN(CELL("adresse",OFFSET(DMAV_Dienste!$M$6,F1036-1,0)))-FIND("]",CELL("adresse",OFFSET(DMAV_Dienste!$M$6,F1036-1,0)))),"Structure")),HYPERLINK("#"&amp;RIGHT(CELL("adresse",OFFSET(DMAV_Modell!$N$6,C1036-1,0)),LEN(CELL("adresse",OFFSET(DMAV_Modell!$N$6,C1036-1,0)))-FIND("]",CELL("adresse",OFFSET(DMAV_Modell!$N$6,C1036-1,0)))),"Structure"))</f>
        <v/>
      </c>
      <c r="P1036" s="64" t="str" cm="1">
        <f t="array" aca="1" ref="P1036" ca="1">IF(D1036=0,IF(G1036=0,"",HYPERLINK("#"&amp;RIGHT(CELL("adresse",OFFSET(DMAV_Dienste!$M$6,G1036-1,0)),LEN(CELL("adresse",OFFSET(DMAV_Dienste!$M$6,G1036-1,0)))-FIND("]",CELL("adresse",OFFSET(DMAV_Dienste!$M$6,G1036-1,0)))),"Substructure")),HYPERLINK("#"&amp;RIGHT(CELL("adresse",OFFSET(DMAV_Modell!$N$6,D1036-1,0)),LEN(CELL("adresse",OFFSET(DMAV_Modell!$N$6,D1036-1,0)))-FIND("]",CELL("adresse",OFFSET(DMAV_Modell!$N$6,D1036-1,0)))),"Substructure"))</f>
        <v/>
      </c>
      <c r="R1036" s="80"/>
      <c r="T1036" s="93"/>
      <c r="U1036" s="94"/>
      <c r="V1036" s="95"/>
      <c r="W1036" s="96"/>
      <c r="Y1036" s="85"/>
      <c r="Z1036" s="86" t="s">
        <v>2980</v>
      </c>
      <c r="AA1036" s="87" t="s">
        <v>3247</v>
      </c>
      <c r="AB1036" s="88"/>
      <c r="AD1036" s="77"/>
      <c r="AF1036" s="54" t="str" cm="1">
        <f t="array" aca="1" ref="AF1036" ca="1">IF(H1036=0,"",HYPERLINK("#"&amp;RIGHT(CELL("adresse",OFFSET('DM01-AV-CH'!$G$6,H1036-1,0)),LEN(CELL("adresse",OFFSET('DM01-AV-CH'!$G$6,H1036-1,0)))-FIND("]",CELL("adresse",OFFSET('DM01-AV-CH'!$G$6,H1036-1,0)))),"Modell"))</f>
        <v/>
      </c>
      <c r="AG1036" s="72" t="str" cm="1">
        <f t="array" ref="AG1036">IF($H1036=0,"",IF(INDEX('DM01-AV-CH'!G$6:G$834,$H1036)="","",INDEX('DM01-AV-CH'!G$6:G$834,$H1036)))</f>
        <v/>
      </c>
      <c r="AH1036" s="73" t="str" cm="1">
        <f t="array" ref="AH1036">IF($H1036=0,"",IF(INDEX('DM01-AV-CH'!H$6:H$834,$H1036)="","",INDEX('DM01-AV-CH'!H$6:H$834,$H1036)))</f>
        <v/>
      </c>
      <c r="AI1036" s="74" t="str" cm="1">
        <f t="array" ref="AI1036">IF($H1036=0,"",IF(INDEX('DM01-AV-CH'!I$6:I$834,$H1036)="","",INDEX('DM01-AV-CH'!I$6:I$834,$H1036)))</f>
        <v/>
      </c>
    </row>
    <row r="1037" spans="1:35" ht="85.5" x14ac:dyDescent="0.25">
      <c r="A1037" s="57">
        <v>1032</v>
      </c>
      <c r="B1037" s="57">
        <f>IF($A1037="","",IF(_xlfn.XLOOKUP($A1037,Korrelation!$D$4:$D$1197,Korrelation!E$4:E$1197,"-",0)="-",0,MATCH(_xlfn.XLOOKUP($A1037,Korrelation!$D$4:$D$1197,Korrelation!E$4:E$1197,"",0),DMAV_Modell!$G$6:$G$677,0)))</f>
        <v>606</v>
      </c>
      <c r="C1037" s="57">
        <f>IF($A1037="","",IF(_xlfn.XLOOKUP($A1037,Korrelation!$D$4:$D$1197,Korrelation!F$4:F$1197,"-",0)="-",0,MATCH(_xlfn.XLOOKUP($A1037,Korrelation!$D$4:$D$1197,Korrelation!F$4:F$1197,"",0),DMAV_Modell!$G$6:$G$677,0)))</f>
        <v>0</v>
      </c>
      <c r="D1037" s="57">
        <f>IF($A1037="","",IF(_xlfn.XLOOKUP($A1037,Korrelation!$D$4:$D$1197,Korrelation!G$4:G$1197,"-",0)="-",0,MATCH(_xlfn.XLOOKUP($A1037,Korrelation!$D$4:$D$1197,Korrelation!G$4:G$1197,"",0),DMAV_Modell!$G$6:$G$677,0)))</f>
        <v>0</v>
      </c>
      <c r="E1037" s="57">
        <f>IF($A1037="","",IF(_xlfn.XLOOKUP($A1037,Korrelation!$D$4:$D$1197,Korrelation!H$4:H$1197,"-",0)="-",0,MATCH(_xlfn.XLOOKUP($A1037,Korrelation!$D$4:$D$1197,Korrelation!H$4:H$1197,"",0),DMAV_Dienste!$F$6:$F$140,0)))</f>
        <v>0</v>
      </c>
      <c r="F1037" s="57">
        <f>IF($A1037="","",IF(_xlfn.XLOOKUP($A1037,Korrelation!$D$4:$D$1197,Korrelation!I$4:I$1197,"-",0)="-",0,MATCH(_xlfn.XLOOKUP($A1037,Korrelation!$D$4:$D$1197,Korrelation!I$4:I$1197,"",0),DMAV_Dienste!$F$6:$F$140,0)))</f>
        <v>0</v>
      </c>
      <c r="G1037" s="57">
        <f>IF($A1037="","",IF(_xlfn.XLOOKUP($A1037,Korrelation!$D$4:$D$1197,Korrelation!J$4:J$1197,"-",0)="-",0,MATCH(_xlfn.XLOOKUP($A1037,Korrelation!$D$4:$D$1197,Korrelation!J$4:J$1197,"",0),DMAV_Dienste!$F$6:$F$140,0)))</f>
        <v>0</v>
      </c>
      <c r="H1037" s="57">
        <f>IF($A1037="","",IF(_xlfn.XLOOKUP($A1037,Korrelation!$D$4:$D$1197,Korrelation!K$4:K$1197,"-",0)="-",0,MATCH(_xlfn.XLOOKUP($A1037,Korrelation!$D$4:$D$1197,Korrelation!K$4:K$1197,"",0),'DM01-AV-CH'!$A$6:$A$834,0)))</f>
        <v>637</v>
      </c>
      <c r="J1037" s="54" t="str" cm="1">
        <f t="array" aca="1" ref="J1037" ca="1">IF(B1037=0,IF(E1037=0,"",HYPERLINK("#"&amp;RIGHT(CELL("adresse",OFFSET(DMAV_Dienste!$M$6,E1037-1,0)),LEN(CELL("adresse",OFFSET(DMAV_Dienste!$M$6,E1037-1,0)))-FIND("]",CELL("adresse",OFFSET(DMAV_Dienste!$M$6,E1037-1,0)))),"Dienst")),HYPERLINK("#"&amp;RIGHT(CELL("adresse",OFFSET(DMAV_Modell!$N$6,B1037-1,0)),LEN(CELL("adresse",OFFSET(DMAV_Modell!$N$6,B1037-1,0)))-FIND("]",CELL("adresse",OFFSET(DMAV_Modell!$N$6,B1037-1,0)))),"Modell"))</f>
        <v>Modell</v>
      </c>
      <c r="K1037" s="61" t="str" cm="1">
        <f t="array" ref="K1037">IF($B1037=0,IF($E1037=0,"",IF(INDEX(DMAV_Dienste!P$6:P$140,$E1037)="","",INDEX(DMAV_Dienste!P$6:P$140,$E1037))),IF(INDEX(DMAV_Modell!Q$6:Q$838,$B1037)="","",INDEX(DMAV_Modell!Q$6:Q$838,$B1037)))</f>
        <v>CLASS</v>
      </c>
      <c r="L1037" s="62" t="str" cm="1">
        <f t="array" ref="L1037">IF($B1037=0,IF($E1037=0,"",IF(INDEX(DMAV_Dienste!O$6:O$140,$E1037)="","",INDEX(DMAV_Dienste!O$6:O$140,$E1037))),IF(INDEX(DMAV_Modell!P$6:P$838,$B1037)="","",INDEX(DMAV_Modell!P$6:P$838,$B1037)))</f>
        <v>Toleranzstufen</v>
      </c>
      <c r="M1037" s="62" t="str" cm="1">
        <f t="array" ref="M1037">IF($B1037=0,IF($E1037=0,"",IF(INDEX(DMAV_Dienste!Q$6:Q$140,$E1037)="","",INDEX(DMAV_Dienste!Q$6:Q$140,$E1037))),IF(INDEX(DMAV_Modell!R$6:R$838,$B1037)="","",INDEX(DMAV_Modell!R$6:R$838,$B1037)))</f>
        <v>Toleranzstufe</v>
      </c>
      <c r="N1037" s="62" t="str" cm="1">
        <f t="array" ref="N1037">IF($B1037=0,IF($E1037=0,"",IF(INDEX(DMAV_Dienste!T$6:T$140,$E1037)="","",INDEX(DMAV_Dienste!T$6:T$140,$E1037))),IF(INDEX(DMAV_Modell!U$6:U$838,$B1037)="","",INDEX(DMAV_Modell!U$6:U$838,$B1037)))</f>
        <v>NBIdent</v>
      </c>
      <c r="O1037" s="63" t="str" cm="1">
        <f t="array" aca="1" ref="O1037" ca="1">IF(C1037=0,IF(F1037=0,"",HYPERLINK("#"&amp;RIGHT(CELL("adresse",OFFSET(DMAV_Dienste!$M$6,F1037-1,0)),LEN(CELL("adresse",OFFSET(DMAV_Dienste!$M$6,F1037-1,0)))-FIND("]",CELL("adresse",OFFSET(DMAV_Dienste!$M$6,F1037-1,0)))),"Structure")),HYPERLINK("#"&amp;RIGHT(CELL("adresse",OFFSET(DMAV_Modell!$N$6,C1037-1,0)),LEN(CELL("adresse",OFFSET(DMAV_Modell!$N$6,C1037-1,0)))-FIND("]",CELL("adresse",OFFSET(DMAV_Modell!$N$6,C1037-1,0)))),"Structure"))</f>
        <v/>
      </c>
      <c r="P1037" s="64" t="str" cm="1">
        <f t="array" aca="1" ref="P1037" ca="1">IF(D1037=0,IF(G1037=0,"",HYPERLINK("#"&amp;RIGHT(CELL("adresse",OFFSET(DMAV_Dienste!$M$6,G1037-1,0)),LEN(CELL("adresse",OFFSET(DMAV_Dienste!$M$6,G1037-1,0)))-FIND("]",CELL("adresse",OFFSET(DMAV_Dienste!$M$6,G1037-1,0)))),"Substructure")),HYPERLINK("#"&amp;RIGHT(CELL("adresse",OFFSET(DMAV_Modell!$N$6,D1037-1,0)),LEN(CELL("adresse",OFFSET(DMAV_Modell!$N$6,D1037-1,0)))-FIND("]",CELL("adresse",OFFSET(DMAV_Modell!$N$6,D1037-1,0)))),"Substructure"))</f>
        <v/>
      </c>
      <c r="R1037" s="80"/>
      <c r="T1037" s="93"/>
      <c r="U1037" s="94"/>
      <c r="V1037" s="95"/>
      <c r="W1037" s="96" t="s">
        <v>3241</v>
      </c>
      <c r="Y1037" s="85" t="s">
        <v>3248</v>
      </c>
      <c r="Z1037" s="86"/>
      <c r="AA1037" s="87"/>
      <c r="AB1037" s="88"/>
      <c r="AD1037" s="77"/>
      <c r="AF1037" s="54" t="str" cm="1">
        <f t="array" aca="1" ref="AF1037" ca="1">IF(H1037=0,"",HYPERLINK("#"&amp;RIGHT(CELL("adresse",OFFSET('DM01-AV-CH'!$G$6,H1037-1,0)),LEN(CELL("adresse",OFFSET('DM01-AV-CH'!$G$6,H1037-1,0)))-FIND("]",CELL("adresse",OFFSET('DM01-AV-CH'!$G$6,H1037-1,0)))),"Modell"))</f>
        <v>Modell</v>
      </c>
      <c r="AG1037" s="72" t="str" cm="1">
        <f t="array" ref="AG1037">IF($H1037=0,"",IF(INDEX('DM01-AV-CH'!G$6:G$834,$H1037)="","",INDEX('DM01-AV-CH'!G$6:G$834,$H1037)))</f>
        <v>TSEinteilung</v>
      </c>
      <c r="AH1037" s="73" t="str" cm="1">
        <f t="array" ref="AH1037">IF($H1037=0,"",IF(INDEX('DM01-AV-CH'!H$6:H$834,$H1037)="","",INDEX('DM01-AV-CH'!H$6:H$834,$H1037)))</f>
        <v>Toleranzstufe</v>
      </c>
      <c r="AI1037" s="74" t="str" cm="1">
        <f t="array" ref="AI1037">IF($H1037=0,"",IF(INDEX('DM01-AV-CH'!I$6:I$834,$H1037)="","",INDEX('DM01-AV-CH'!I$6:I$834,$H1037)))</f>
        <v>NBIdent</v>
      </c>
    </row>
    <row r="1038" spans="1:35" ht="85.5" x14ac:dyDescent="0.25">
      <c r="A1038" s="57">
        <v>1033</v>
      </c>
      <c r="B1038" s="57">
        <f>IF($A1038="","",IF(_xlfn.XLOOKUP($A1038,Korrelation!$D$4:$D$1197,Korrelation!E$4:E$1197,"-",0)="-",0,MATCH(_xlfn.XLOOKUP($A1038,Korrelation!$D$4:$D$1197,Korrelation!E$4:E$1197,"",0),DMAV_Modell!$G$6:$G$677,0)))</f>
        <v>607</v>
      </c>
      <c r="C1038" s="57">
        <f>IF($A1038="","",IF(_xlfn.XLOOKUP($A1038,Korrelation!$D$4:$D$1197,Korrelation!F$4:F$1197,"-",0)="-",0,MATCH(_xlfn.XLOOKUP($A1038,Korrelation!$D$4:$D$1197,Korrelation!F$4:F$1197,"",0),DMAV_Modell!$G$6:$G$677,0)))</f>
        <v>0</v>
      </c>
      <c r="D1038" s="57">
        <f>IF($A1038="","",IF(_xlfn.XLOOKUP($A1038,Korrelation!$D$4:$D$1197,Korrelation!G$4:G$1197,"-",0)="-",0,MATCH(_xlfn.XLOOKUP($A1038,Korrelation!$D$4:$D$1197,Korrelation!G$4:G$1197,"",0),DMAV_Modell!$G$6:$G$677,0)))</f>
        <v>0</v>
      </c>
      <c r="E1038" s="57">
        <f>IF($A1038="","",IF(_xlfn.XLOOKUP($A1038,Korrelation!$D$4:$D$1197,Korrelation!H$4:H$1197,"-",0)="-",0,MATCH(_xlfn.XLOOKUP($A1038,Korrelation!$D$4:$D$1197,Korrelation!H$4:H$1197,"",0),DMAV_Dienste!$F$6:$F$140,0)))</f>
        <v>0</v>
      </c>
      <c r="F1038" s="57">
        <f>IF($A1038="","",IF(_xlfn.XLOOKUP($A1038,Korrelation!$D$4:$D$1197,Korrelation!I$4:I$1197,"-",0)="-",0,MATCH(_xlfn.XLOOKUP($A1038,Korrelation!$D$4:$D$1197,Korrelation!I$4:I$1197,"",0),DMAV_Dienste!$F$6:$F$140,0)))</f>
        <v>0</v>
      </c>
      <c r="G1038" s="57">
        <f>IF($A1038="","",IF(_xlfn.XLOOKUP($A1038,Korrelation!$D$4:$D$1197,Korrelation!J$4:J$1197,"-",0)="-",0,MATCH(_xlfn.XLOOKUP($A1038,Korrelation!$D$4:$D$1197,Korrelation!J$4:J$1197,"",0),DMAV_Dienste!$F$6:$F$140,0)))</f>
        <v>0</v>
      </c>
      <c r="H1038" s="57">
        <f>IF($A1038="","",IF(_xlfn.XLOOKUP($A1038,Korrelation!$D$4:$D$1197,Korrelation!K$4:K$1197,"-",0)="-",0,MATCH(_xlfn.XLOOKUP($A1038,Korrelation!$D$4:$D$1197,Korrelation!K$4:K$1197,"",0),'DM01-AV-CH'!$A$6:$A$834,0)))</f>
        <v>638</v>
      </c>
      <c r="J1038" s="54" t="str" cm="1">
        <f t="array" aca="1" ref="J1038" ca="1">IF(B1038=0,IF(E1038=0,"",HYPERLINK("#"&amp;RIGHT(CELL("adresse",OFFSET(DMAV_Dienste!$M$6,E1038-1,0)),LEN(CELL("adresse",OFFSET(DMAV_Dienste!$M$6,E1038-1,0)))-FIND("]",CELL("adresse",OFFSET(DMAV_Dienste!$M$6,E1038-1,0)))),"Dienst")),HYPERLINK("#"&amp;RIGHT(CELL("adresse",OFFSET(DMAV_Modell!$N$6,B1038-1,0)),LEN(CELL("adresse",OFFSET(DMAV_Modell!$N$6,B1038-1,0)))-FIND("]",CELL("adresse",OFFSET(DMAV_Modell!$N$6,B1038-1,0)))),"Modell"))</f>
        <v>Modell</v>
      </c>
      <c r="K1038" s="61" t="str" cm="1">
        <f t="array" ref="K1038">IF($B1038=0,IF($E1038=0,"",IF(INDEX(DMAV_Dienste!P$6:P$140,$E1038)="","",INDEX(DMAV_Dienste!P$6:P$140,$E1038))),IF(INDEX(DMAV_Modell!Q$6:Q$838,$B1038)="","",INDEX(DMAV_Modell!Q$6:Q$838,$B1038)))</f>
        <v>CLASS</v>
      </c>
      <c r="L1038" s="62" t="str" cm="1">
        <f t="array" ref="L1038">IF($B1038=0,IF($E1038=0,"",IF(INDEX(DMAV_Dienste!O$6:O$140,$E1038)="","",INDEX(DMAV_Dienste!O$6:O$140,$E1038))),IF(INDEX(DMAV_Modell!P$6:P$838,$B1038)="","",INDEX(DMAV_Modell!P$6:P$838,$B1038)))</f>
        <v>Toleranzstufen</v>
      </c>
      <c r="M1038" s="62" t="str" cm="1">
        <f t="array" ref="M1038">IF($B1038=0,IF($E1038=0,"",IF(INDEX(DMAV_Dienste!Q$6:Q$140,$E1038)="","",INDEX(DMAV_Dienste!Q$6:Q$140,$E1038))),IF(INDEX(DMAV_Modell!R$6:R$838,$B1038)="","",INDEX(DMAV_Modell!R$6:R$838,$B1038)))</f>
        <v>Toleranzstufe</v>
      </c>
      <c r="N1038" s="62" t="str" cm="1">
        <f t="array" ref="N1038">IF($B1038=0,IF($E1038=0,"",IF(INDEX(DMAV_Dienste!T$6:T$140,$E1038)="","",INDEX(DMAV_Dienste!T$6:T$140,$E1038))),IF(INDEX(DMAV_Modell!U$6:U$838,$B1038)="","",INDEX(DMAV_Modell!U$6:U$838,$B1038)))</f>
        <v>Identifikator</v>
      </c>
      <c r="O1038" s="63" t="str" cm="1">
        <f t="array" aca="1" ref="O1038" ca="1">IF(C1038=0,IF(F1038=0,"",HYPERLINK("#"&amp;RIGHT(CELL("adresse",OFFSET(DMAV_Dienste!$M$6,F1038-1,0)),LEN(CELL("adresse",OFFSET(DMAV_Dienste!$M$6,F1038-1,0)))-FIND("]",CELL("adresse",OFFSET(DMAV_Dienste!$M$6,F1038-1,0)))),"Structure")),HYPERLINK("#"&amp;RIGHT(CELL("adresse",OFFSET(DMAV_Modell!$N$6,C1038-1,0)),LEN(CELL("adresse",OFFSET(DMAV_Modell!$N$6,C1038-1,0)))-FIND("]",CELL("adresse",OFFSET(DMAV_Modell!$N$6,C1038-1,0)))),"Structure"))</f>
        <v/>
      </c>
      <c r="P1038" s="64" t="str" cm="1">
        <f t="array" aca="1" ref="P1038" ca="1">IF(D1038=0,IF(G1038=0,"",HYPERLINK("#"&amp;RIGHT(CELL("adresse",OFFSET(DMAV_Dienste!$M$6,G1038-1,0)),LEN(CELL("adresse",OFFSET(DMAV_Dienste!$M$6,G1038-1,0)))-FIND("]",CELL("adresse",OFFSET(DMAV_Dienste!$M$6,G1038-1,0)))),"Substructure")),HYPERLINK("#"&amp;RIGHT(CELL("adresse",OFFSET(DMAV_Modell!$N$6,D1038-1,0)),LEN(CELL("adresse",OFFSET(DMAV_Modell!$N$6,D1038-1,0)))-FIND("]",CELL("adresse",OFFSET(DMAV_Modell!$N$6,D1038-1,0)))),"Substructure"))</f>
        <v/>
      </c>
      <c r="R1038" s="80"/>
      <c r="T1038" s="93"/>
      <c r="U1038" s="94"/>
      <c r="V1038" s="95"/>
      <c r="W1038" s="96" t="s">
        <v>3241</v>
      </c>
      <c r="Y1038" s="85" t="s">
        <v>3248</v>
      </c>
      <c r="Z1038" s="86"/>
      <c r="AA1038" s="87"/>
      <c r="AB1038" s="88"/>
      <c r="AD1038" s="77"/>
      <c r="AF1038" s="54" t="str" cm="1">
        <f t="array" aca="1" ref="AF1038" ca="1">IF(H1038=0,"",HYPERLINK("#"&amp;RIGHT(CELL("adresse",OFFSET('DM01-AV-CH'!$G$6,H1038-1,0)),LEN(CELL("adresse",OFFSET('DM01-AV-CH'!$G$6,H1038-1,0)))-FIND("]",CELL("adresse",OFFSET('DM01-AV-CH'!$G$6,H1038-1,0)))),"Modell"))</f>
        <v>Modell</v>
      </c>
      <c r="AG1038" s="72" t="str" cm="1">
        <f t="array" ref="AG1038">IF($H1038=0,"",IF(INDEX('DM01-AV-CH'!G$6:G$834,$H1038)="","",INDEX('DM01-AV-CH'!G$6:G$834,$H1038)))</f>
        <v>TSEinteilung</v>
      </c>
      <c r="AH1038" s="73" t="str" cm="1">
        <f t="array" ref="AH1038">IF($H1038=0,"",IF(INDEX('DM01-AV-CH'!H$6:H$834,$H1038)="","",INDEX('DM01-AV-CH'!H$6:H$834,$H1038)))</f>
        <v>Toleranzstufe</v>
      </c>
      <c r="AI1038" s="74" t="str" cm="1">
        <f t="array" ref="AI1038">IF($H1038=0,"",IF(INDEX('DM01-AV-CH'!I$6:I$834,$H1038)="","",INDEX('DM01-AV-CH'!I$6:I$834,$H1038)))</f>
        <v>Identifikator</v>
      </c>
    </row>
    <row r="1039" spans="1:35" ht="85.5" x14ac:dyDescent="0.25">
      <c r="A1039" s="57">
        <v>1034</v>
      </c>
      <c r="B1039" s="57">
        <f>IF($A1039="","",IF(_xlfn.XLOOKUP($A1039,Korrelation!$D$4:$D$1197,Korrelation!E$4:E$1197,"-",0)="-",0,MATCH(_xlfn.XLOOKUP($A1039,Korrelation!$D$4:$D$1197,Korrelation!E$4:E$1197,"",0),DMAV_Modell!$G$6:$G$677,0)))</f>
        <v>608</v>
      </c>
      <c r="C1039" s="57">
        <f>IF($A1039="","",IF(_xlfn.XLOOKUP($A1039,Korrelation!$D$4:$D$1197,Korrelation!F$4:F$1197,"-",0)="-",0,MATCH(_xlfn.XLOOKUP($A1039,Korrelation!$D$4:$D$1197,Korrelation!F$4:F$1197,"",0),DMAV_Modell!$G$6:$G$677,0)))</f>
        <v>0</v>
      </c>
      <c r="D1039" s="57">
        <f>IF($A1039="","",IF(_xlfn.XLOOKUP($A1039,Korrelation!$D$4:$D$1197,Korrelation!G$4:G$1197,"-",0)="-",0,MATCH(_xlfn.XLOOKUP($A1039,Korrelation!$D$4:$D$1197,Korrelation!G$4:G$1197,"",0),DMAV_Modell!$G$6:$G$677,0)))</f>
        <v>0</v>
      </c>
      <c r="E1039" s="57">
        <f>IF($A1039="","",IF(_xlfn.XLOOKUP($A1039,Korrelation!$D$4:$D$1197,Korrelation!H$4:H$1197,"-",0)="-",0,MATCH(_xlfn.XLOOKUP($A1039,Korrelation!$D$4:$D$1197,Korrelation!H$4:H$1197,"",0),DMAV_Dienste!$F$6:$F$140,0)))</f>
        <v>0</v>
      </c>
      <c r="F1039" s="57">
        <f>IF($A1039="","",IF(_xlfn.XLOOKUP($A1039,Korrelation!$D$4:$D$1197,Korrelation!I$4:I$1197,"-",0)="-",0,MATCH(_xlfn.XLOOKUP($A1039,Korrelation!$D$4:$D$1197,Korrelation!I$4:I$1197,"",0),DMAV_Dienste!$F$6:$F$140,0)))</f>
        <v>0</v>
      </c>
      <c r="G1039" s="57">
        <f>IF($A1039="","",IF(_xlfn.XLOOKUP($A1039,Korrelation!$D$4:$D$1197,Korrelation!J$4:J$1197,"-",0)="-",0,MATCH(_xlfn.XLOOKUP($A1039,Korrelation!$D$4:$D$1197,Korrelation!J$4:J$1197,"",0),DMAV_Dienste!$F$6:$F$140,0)))</f>
        <v>0</v>
      </c>
      <c r="H1039" s="57">
        <f>IF($A1039="","",IF(_xlfn.XLOOKUP($A1039,Korrelation!$D$4:$D$1197,Korrelation!K$4:K$1197,"-",0)="-",0,MATCH(_xlfn.XLOOKUP($A1039,Korrelation!$D$4:$D$1197,Korrelation!K$4:K$1197,"",0),'DM01-AV-CH'!$A$6:$A$834,0)))</f>
        <v>639</v>
      </c>
      <c r="J1039" s="54" t="str" cm="1">
        <f t="array" aca="1" ref="J1039" ca="1">IF(B1039=0,IF(E1039=0,"",HYPERLINK("#"&amp;RIGHT(CELL("adresse",OFFSET(DMAV_Dienste!$M$6,E1039-1,0)),LEN(CELL("adresse",OFFSET(DMAV_Dienste!$M$6,E1039-1,0)))-FIND("]",CELL("adresse",OFFSET(DMAV_Dienste!$M$6,E1039-1,0)))),"Dienst")),HYPERLINK("#"&amp;RIGHT(CELL("adresse",OFFSET(DMAV_Modell!$N$6,B1039-1,0)),LEN(CELL("adresse",OFFSET(DMAV_Modell!$N$6,B1039-1,0)))-FIND("]",CELL("adresse",OFFSET(DMAV_Modell!$N$6,B1039-1,0)))),"Modell"))</f>
        <v>Modell</v>
      </c>
      <c r="K1039" s="61" t="str" cm="1">
        <f t="array" ref="K1039">IF($B1039=0,IF($E1039=0,"",IF(INDEX(DMAV_Dienste!P$6:P$140,$E1039)="","",INDEX(DMAV_Dienste!P$6:P$140,$E1039))),IF(INDEX(DMAV_Modell!Q$6:Q$838,$B1039)="","",INDEX(DMAV_Modell!Q$6:Q$838,$B1039)))</f>
        <v>CLASS</v>
      </c>
      <c r="L1039" s="62" t="str" cm="1">
        <f t="array" ref="L1039">IF($B1039=0,IF($E1039=0,"",IF(INDEX(DMAV_Dienste!O$6:O$140,$E1039)="","",INDEX(DMAV_Dienste!O$6:O$140,$E1039))),IF(INDEX(DMAV_Modell!P$6:P$838,$B1039)="","",INDEX(DMAV_Modell!P$6:P$838,$B1039)))</f>
        <v>Toleranzstufen</v>
      </c>
      <c r="M1039" s="62" t="str" cm="1">
        <f t="array" ref="M1039">IF($B1039=0,IF($E1039=0,"",IF(INDEX(DMAV_Dienste!Q$6:Q$140,$E1039)="","",INDEX(DMAV_Dienste!Q$6:Q$140,$E1039))),IF(INDEX(DMAV_Modell!R$6:R$838,$B1039)="","",INDEX(DMAV_Modell!R$6:R$838,$B1039)))</f>
        <v>Toleranzstufe</v>
      </c>
      <c r="N1039" s="62" t="str" cm="1">
        <f t="array" ref="N1039">IF($B1039=0,IF($E1039=0,"",IF(INDEX(DMAV_Dienste!T$6:T$140,$E1039)="","",INDEX(DMAV_Dienste!T$6:T$140,$E1039))),IF(INDEX(DMAV_Modell!U$6:U$838,$B1039)="","",INDEX(DMAV_Modell!U$6:U$838,$B1039)))</f>
        <v>Geometrie</v>
      </c>
      <c r="O1039" s="63" t="str" cm="1">
        <f t="array" aca="1" ref="O1039" ca="1">IF(C1039=0,IF(F1039=0,"",HYPERLINK("#"&amp;RIGHT(CELL("adresse",OFFSET(DMAV_Dienste!$M$6,F1039-1,0)),LEN(CELL("adresse",OFFSET(DMAV_Dienste!$M$6,F1039-1,0)))-FIND("]",CELL("adresse",OFFSET(DMAV_Dienste!$M$6,F1039-1,0)))),"Structure")),HYPERLINK("#"&amp;RIGHT(CELL("adresse",OFFSET(DMAV_Modell!$N$6,C1039-1,0)),LEN(CELL("adresse",OFFSET(DMAV_Modell!$N$6,C1039-1,0)))-FIND("]",CELL("adresse",OFFSET(DMAV_Modell!$N$6,C1039-1,0)))),"Structure"))</f>
        <v/>
      </c>
      <c r="P1039" s="64" t="str" cm="1">
        <f t="array" aca="1" ref="P1039" ca="1">IF(D1039=0,IF(G1039=0,"",HYPERLINK("#"&amp;RIGHT(CELL("adresse",OFFSET(DMAV_Dienste!$M$6,G1039-1,0)),LEN(CELL("adresse",OFFSET(DMAV_Dienste!$M$6,G1039-1,0)))-FIND("]",CELL("adresse",OFFSET(DMAV_Dienste!$M$6,G1039-1,0)))),"Substructure")),HYPERLINK("#"&amp;RIGHT(CELL("adresse",OFFSET(DMAV_Modell!$N$6,D1039-1,0)),LEN(CELL("adresse",OFFSET(DMAV_Modell!$N$6,D1039-1,0)))-FIND("]",CELL("adresse",OFFSET(DMAV_Modell!$N$6,D1039-1,0)))),"Substructure"))</f>
        <v/>
      </c>
      <c r="R1039" s="80"/>
      <c r="T1039" s="93"/>
      <c r="U1039" s="94"/>
      <c r="V1039" s="95"/>
      <c r="W1039" s="96" t="s">
        <v>3241</v>
      </c>
      <c r="Y1039" s="85" t="s">
        <v>3248</v>
      </c>
      <c r="Z1039" s="86"/>
      <c r="AA1039" s="87"/>
      <c r="AB1039" s="88"/>
      <c r="AD1039" s="77"/>
      <c r="AF1039" s="54" t="str" cm="1">
        <f t="array" aca="1" ref="AF1039" ca="1">IF(H1039=0,"",HYPERLINK("#"&amp;RIGHT(CELL("adresse",OFFSET('DM01-AV-CH'!$G$6,H1039-1,0)),LEN(CELL("adresse",OFFSET('DM01-AV-CH'!$G$6,H1039-1,0)))-FIND("]",CELL("adresse",OFFSET('DM01-AV-CH'!$G$6,H1039-1,0)))),"Modell"))</f>
        <v>Modell</v>
      </c>
      <c r="AG1039" s="72" t="str" cm="1">
        <f t="array" ref="AG1039">IF($H1039=0,"",IF(INDEX('DM01-AV-CH'!G$6:G$834,$H1039)="","",INDEX('DM01-AV-CH'!G$6:G$834,$H1039)))</f>
        <v>TSEinteilung</v>
      </c>
      <c r="AH1039" s="73" t="str" cm="1">
        <f t="array" ref="AH1039">IF($H1039=0,"",IF(INDEX('DM01-AV-CH'!H$6:H$834,$H1039)="","",INDEX('DM01-AV-CH'!H$6:H$834,$H1039)))</f>
        <v>Toleranzstufe</v>
      </c>
      <c r="AI1039" s="74" t="str" cm="1">
        <f t="array" ref="AI1039">IF($H1039=0,"",IF(INDEX('DM01-AV-CH'!I$6:I$834,$H1039)="","",INDEX('DM01-AV-CH'!I$6:I$834,$H1039)))</f>
        <v>Geometrie</v>
      </c>
    </row>
    <row r="1040" spans="1:35" x14ac:dyDescent="0.25">
      <c r="A1040" s="57">
        <v>1035</v>
      </c>
      <c r="B1040" s="57">
        <f>IF($A1040="","",IF(_xlfn.XLOOKUP($A1040,Korrelation!$D$4:$D$1197,Korrelation!E$4:E$1197,"-",0)="-",0,MATCH(_xlfn.XLOOKUP($A1040,Korrelation!$D$4:$D$1197,Korrelation!E$4:E$1197,"",0),DMAV_Modell!$G$6:$G$677,0)))</f>
        <v>0</v>
      </c>
      <c r="C1040" s="57">
        <f>IF($A1040="","",IF(_xlfn.XLOOKUP($A1040,Korrelation!$D$4:$D$1197,Korrelation!F$4:F$1197,"-",0)="-",0,MATCH(_xlfn.XLOOKUP($A1040,Korrelation!$D$4:$D$1197,Korrelation!F$4:F$1197,"",0),DMAV_Modell!$G$6:$G$677,0)))</f>
        <v>0</v>
      </c>
      <c r="D1040" s="57">
        <f>IF($A1040="","",IF(_xlfn.XLOOKUP($A1040,Korrelation!$D$4:$D$1197,Korrelation!G$4:G$1197,"-",0)="-",0,MATCH(_xlfn.XLOOKUP($A1040,Korrelation!$D$4:$D$1197,Korrelation!G$4:G$1197,"",0),DMAV_Modell!$G$6:$G$677,0)))</f>
        <v>0</v>
      </c>
      <c r="E1040" s="57">
        <f>IF($A1040="","",IF(_xlfn.XLOOKUP($A1040,Korrelation!$D$4:$D$1197,Korrelation!H$4:H$1197,"-",0)="-",0,MATCH(_xlfn.XLOOKUP($A1040,Korrelation!$D$4:$D$1197,Korrelation!H$4:H$1197,"",0),DMAV_Dienste!$F$6:$F$140,0)))</f>
        <v>0</v>
      </c>
      <c r="F1040" s="57">
        <f>IF($A1040="","",IF(_xlfn.XLOOKUP($A1040,Korrelation!$D$4:$D$1197,Korrelation!I$4:I$1197,"-",0)="-",0,MATCH(_xlfn.XLOOKUP($A1040,Korrelation!$D$4:$D$1197,Korrelation!I$4:I$1197,"",0),DMAV_Dienste!$F$6:$F$140,0)))</f>
        <v>0</v>
      </c>
      <c r="G1040" s="57">
        <f>IF($A1040="","",IF(_xlfn.XLOOKUP($A1040,Korrelation!$D$4:$D$1197,Korrelation!J$4:J$1197,"-",0)="-",0,MATCH(_xlfn.XLOOKUP($A1040,Korrelation!$D$4:$D$1197,Korrelation!J$4:J$1197,"",0),DMAV_Dienste!$F$6:$F$140,0)))</f>
        <v>0</v>
      </c>
      <c r="H1040" s="57">
        <f>IF($A1040="","",IF(_xlfn.XLOOKUP($A1040,Korrelation!$D$4:$D$1197,Korrelation!K$4:K$1197,"-",0)="-",0,MATCH(_xlfn.XLOOKUP($A1040,Korrelation!$D$4:$D$1197,Korrelation!K$4:K$1197,"",0),'DM01-AV-CH'!$A$6:$A$834,0)))</f>
        <v>640</v>
      </c>
      <c r="J1040" s="54" t="str" cm="1">
        <f t="array" aca="1" ref="J1040" ca="1">IF(B1040=0,IF(E1040=0,"",HYPERLINK("#"&amp;RIGHT(CELL("adresse",OFFSET(DMAV_Dienste!$M$6,E1040-1,0)),LEN(CELL("adresse",OFFSET(DMAV_Dienste!$M$6,E1040-1,0)))-FIND("]",CELL("adresse",OFFSET(DMAV_Dienste!$M$6,E1040-1,0)))),"Dienst")),HYPERLINK("#"&amp;RIGHT(CELL("adresse",OFFSET(DMAV_Modell!$N$6,B1040-1,0)),LEN(CELL("adresse",OFFSET(DMAV_Modell!$N$6,B1040-1,0)))-FIND("]",CELL("adresse",OFFSET(DMAV_Modell!$N$6,B1040-1,0)))),"Modell"))</f>
        <v/>
      </c>
      <c r="K1040" s="61" t="str" cm="1">
        <f t="array" ref="K1040">IF($B1040=0,IF($E1040=0,"",IF(INDEX(DMAV_Dienste!P$6:P$140,$E1040)="","",INDEX(DMAV_Dienste!P$6:P$140,$E1040))),IF(INDEX(DMAV_Modell!Q$6:Q$838,$B1040)="","",INDEX(DMAV_Modell!Q$6:Q$838,$B1040)))</f>
        <v/>
      </c>
      <c r="L1040" s="62" t="str" cm="1">
        <f t="array" ref="L1040">IF($B1040=0,IF($E1040=0,"",IF(INDEX(DMAV_Dienste!O$6:O$140,$E1040)="","",INDEX(DMAV_Dienste!O$6:O$140,$E1040))),IF(INDEX(DMAV_Modell!P$6:P$838,$B1040)="","",INDEX(DMAV_Modell!P$6:P$838,$B1040)))</f>
        <v/>
      </c>
      <c r="M1040" s="62" t="str" cm="1">
        <f t="array" ref="M1040">IF($B1040=0,IF($E1040=0,"",IF(INDEX(DMAV_Dienste!Q$6:Q$140,$E1040)="","",INDEX(DMAV_Dienste!Q$6:Q$140,$E1040))),IF(INDEX(DMAV_Modell!R$6:R$838,$B1040)="","",INDEX(DMAV_Modell!R$6:R$838,$B1040)))</f>
        <v/>
      </c>
      <c r="N1040" s="62" t="str" cm="1">
        <f t="array" ref="N1040">IF($B1040=0,IF($E1040=0,"",IF(INDEX(DMAV_Dienste!T$6:T$140,$E1040)="","",INDEX(DMAV_Dienste!T$6:T$140,$E1040))),IF(INDEX(DMAV_Modell!U$6:U$838,$B1040)="","",INDEX(DMAV_Modell!U$6:U$838,$B1040)))</f>
        <v/>
      </c>
      <c r="O1040" s="63" t="str" cm="1">
        <f t="array" aca="1" ref="O1040" ca="1">IF(C1040=0,IF(F1040=0,"",HYPERLINK("#"&amp;RIGHT(CELL("adresse",OFFSET(DMAV_Dienste!$M$6,F1040-1,0)),LEN(CELL("adresse",OFFSET(DMAV_Dienste!$M$6,F1040-1,0)))-FIND("]",CELL("adresse",OFFSET(DMAV_Dienste!$M$6,F1040-1,0)))),"Structure")),HYPERLINK("#"&amp;RIGHT(CELL("adresse",OFFSET(DMAV_Modell!$N$6,C1040-1,0)),LEN(CELL("adresse",OFFSET(DMAV_Modell!$N$6,C1040-1,0)))-FIND("]",CELL("adresse",OFFSET(DMAV_Modell!$N$6,C1040-1,0)))),"Structure"))</f>
        <v/>
      </c>
      <c r="P1040" s="64" t="str" cm="1">
        <f t="array" aca="1" ref="P1040" ca="1">IF(D1040=0,IF(G1040=0,"",HYPERLINK("#"&amp;RIGHT(CELL("adresse",OFFSET(DMAV_Dienste!$M$6,G1040-1,0)),LEN(CELL("adresse",OFFSET(DMAV_Dienste!$M$6,G1040-1,0)))-FIND("]",CELL("adresse",OFFSET(DMAV_Dienste!$M$6,G1040-1,0)))),"Substructure")),HYPERLINK("#"&amp;RIGHT(CELL("adresse",OFFSET(DMAV_Modell!$N$6,D1040-1,0)),LEN(CELL("adresse",OFFSET(DMAV_Modell!$N$6,D1040-1,0)))-FIND("]",CELL("adresse",OFFSET(DMAV_Modell!$N$6,D1040-1,0)))),"Substructure"))</f>
        <v/>
      </c>
      <c r="R1040" s="80"/>
      <c r="T1040" s="93"/>
      <c r="U1040" s="94" t="s">
        <v>2980</v>
      </c>
      <c r="V1040" s="95" t="s">
        <v>3249</v>
      </c>
      <c r="W1040" s="96"/>
      <c r="Y1040" s="85"/>
      <c r="Z1040" s="86"/>
      <c r="AA1040" s="87"/>
      <c r="AB1040" s="88"/>
      <c r="AD1040" s="77"/>
      <c r="AF1040" s="54" t="str" cm="1">
        <f t="array" aca="1" ref="AF1040" ca="1">IF(H1040=0,"",HYPERLINK("#"&amp;RIGHT(CELL("adresse",OFFSET('DM01-AV-CH'!$G$6,H1040-1,0)),LEN(CELL("adresse",OFFSET('DM01-AV-CH'!$G$6,H1040-1,0)))-FIND("]",CELL("adresse",OFFSET('DM01-AV-CH'!$G$6,H1040-1,0)))),"Modell"))</f>
        <v>Modell</v>
      </c>
      <c r="AG1040" s="72" t="str" cm="1">
        <f t="array" ref="AG1040">IF($H1040=0,"",IF(INDEX('DM01-AV-CH'!G$6:G$834,$H1040)="","",INDEX('DM01-AV-CH'!G$6:G$834,$H1040)))</f>
        <v>TSEinteilung</v>
      </c>
      <c r="AH1040" s="73" t="str" cm="1">
        <f t="array" ref="AH1040">IF($H1040=0,"",IF(INDEX('DM01-AV-CH'!H$6:H$834,$H1040)="","",INDEX('DM01-AV-CH'!H$6:H$834,$H1040)))</f>
        <v>Toleranzstufe</v>
      </c>
      <c r="AI1040" s="74" t="str" cm="1">
        <f t="array" ref="AI1040">IF($H1040=0,"",IF(INDEX('DM01-AV-CH'!I$6:I$834,$H1040)="","",INDEX('DM01-AV-CH'!I$6:I$834,$H1040)))</f>
        <v>GueltigerEintrag</v>
      </c>
    </row>
    <row r="1041" spans="1:35" ht="85.5" x14ac:dyDescent="0.25">
      <c r="A1041" s="57">
        <v>1036</v>
      </c>
      <c r="B1041" s="57">
        <f>IF($A1041="","",IF(_xlfn.XLOOKUP($A1041,Korrelation!$D$4:$D$1197,Korrelation!E$4:E$1197,"-",0)="-",0,MATCH(_xlfn.XLOOKUP($A1041,Korrelation!$D$4:$D$1197,Korrelation!E$4:E$1197,"",0),DMAV_Modell!$G$6:$G$677,0)))</f>
        <v>609</v>
      </c>
      <c r="C1041" s="57">
        <f>IF($A1041="","",IF(_xlfn.XLOOKUP($A1041,Korrelation!$D$4:$D$1197,Korrelation!F$4:F$1197,"-",0)="-",0,MATCH(_xlfn.XLOOKUP($A1041,Korrelation!$D$4:$D$1197,Korrelation!F$4:F$1197,"",0),DMAV_Modell!$G$6:$G$677,0)))</f>
        <v>0</v>
      </c>
      <c r="D1041" s="57">
        <f>IF($A1041="","",IF(_xlfn.XLOOKUP($A1041,Korrelation!$D$4:$D$1197,Korrelation!G$4:G$1197,"-",0)="-",0,MATCH(_xlfn.XLOOKUP($A1041,Korrelation!$D$4:$D$1197,Korrelation!G$4:G$1197,"",0),DMAV_Modell!$G$6:$G$677,0)))</f>
        <v>0</v>
      </c>
      <c r="E1041" s="57">
        <f>IF($A1041="","",IF(_xlfn.XLOOKUP($A1041,Korrelation!$D$4:$D$1197,Korrelation!H$4:H$1197,"-",0)="-",0,MATCH(_xlfn.XLOOKUP($A1041,Korrelation!$D$4:$D$1197,Korrelation!H$4:H$1197,"",0),DMAV_Dienste!$F$6:$F$140,0)))</f>
        <v>0</v>
      </c>
      <c r="F1041" s="57">
        <f>IF($A1041="","",IF(_xlfn.XLOOKUP($A1041,Korrelation!$D$4:$D$1197,Korrelation!I$4:I$1197,"-",0)="-",0,MATCH(_xlfn.XLOOKUP($A1041,Korrelation!$D$4:$D$1197,Korrelation!I$4:I$1197,"",0),DMAV_Dienste!$F$6:$F$140,0)))</f>
        <v>0</v>
      </c>
      <c r="G1041" s="57">
        <f>IF($A1041="","",IF(_xlfn.XLOOKUP($A1041,Korrelation!$D$4:$D$1197,Korrelation!J$4:J$1197,"-",0)="-",0,MATCH(_xlfn.XLOOKUP($A1041,Korrelation!$D$4:$D$1197,Korrelation!J$4:J$1197,"",0),DMAV_Dienste!$F$6:$F$140,0)))</f>
        <v>0</v>
      </c>
      <c r="H1041" s="57">
        <f>IF($A1041="","",IF(_xlfn.XLOOKUP($A1041,Korrelation!$D$4:$D$1197,Korrelation!K$4:K$1197,"-",0)="-",0,MATCH(_xlfn.XLOOKUP($A1041,Korrelation!$D$4:$D$1197,Korrelation!K$4:K$1197,"",0),'DM01-AV-CH'!$A$6:$A$834,0)))</f>
        <v>641</v>
      </c>
      <c r="J1041" s="54" t="str" cm="1">
        <f t="array" aca="1" ref="J1041" ca="1">IF(B1041=0,IF(E1041=0,"",HYPERLINK("#"&amp;RIGHT(CELL("adresse",OFFSET(DMAV_Dienste!$M$6,E1041-1,0)),LEN(CELL("adresse",OFFSET(DMAV_Dienste!$M$6,E1041-1,0)))-FIND("]",CELL("adresse",OFFSET(DMAV_Dienste!$M$6,E1041-1,0)))),"Dienst")),HYPERLINK("#"&amp;RIGHT(CELL("adresse",OFFSET(DMAV_Modell!$N$6,B1041-1,0)),LEN(CELL("adresse",OFFSET(DMAV_Modell!$N$6,B1041-1,0)))-FIND("]",CELL("adresse",OFFSET(DMAV_Modell!$N$6,B1041-1,0)))),"Modell"))</f>
        <v>Modell</v>
      </c>
      <c r="K1041" s="61" t="str" cm="1">
        <f t="array" ref="K1041">IF($B1041=0,IF($E1041=0,"",IF(INDEX(DMAV_Dienste!P$6:P$140,$E1041)="","",INDEX(DMAV_Dienste!P$6:P$140,$E1041))),IF(INDEX(DMAV_Modell!Q$6:Q$838,$B1041)="","",INDEX(DMAV_Modell!Q$6:Q$838,$B1041)))</f>
        <v>CLASS</v>
      </c>
      <c r="L1041" s="62" t="str" cm="1">
        <f t="array" ref="L1041">IF($B1041=0,IF($E1041=0,"",IF(INDEX(DMAV_Dienste!O$6:O$140,$E1041)="","",INDEX(DMAV_Dienste!O$6:O$140,$E1041))),IF(INDEX(DMAV_Modell!P$6:P$838,$B1041)="","",INDEX(DMAV_Modell!P$6:P$838,$B1041)))</f>
        <v>Toleranzstufen</v>
      </c>
      <c r="M1041" s="62" t="str" cm="1">
        <f t="array" ref="M1041">IF($B1041=0,IF($E1041=0,"",IF(INDEX(DMAV_Dienste!Q$6:Q$140,$E1041)="","",INDEX(DMAV_Dienste!Q$6:Q$140,$E1041))),IF(INDEX(DMAV_Modell!R$6:R$838,$B1041)="","",INDEX(DMAV_Modell!R$6:R$838,$B1041)))</f>
        <v>Toleranzstufe</v>
      </c>
      <c r="N1041" s="62" t="str" cm="1">
        <f t="array" ref="N1041">IF($B1041=0,IF($E1041=0,"",IF(INDEX(DMAV_Dienste!T$6:T$140,$E1041)="","",INDEX(DMAV_Dienste!T$6:T$140,$E1041))),IF(INDEX(DMAV_Modell!U$6:U$838,$B1041)="","",INDEX(DMAV_Modell!U$6:U$838,$B1041)))</f>
        <v>Toleranzstufe</v>
      </c>
      <c r="O1041" s="63" t="str" cm="1">
        <f t="array" aca="1" ref="O1041" ca="1">IF(C1041=0,IF(F1041=0,"",HYPERLINK("#"&amp;RIGHT(CELL("adresse",OFFSET(DMAV_Dienste!$M$6,F1041-1,0)),LEN(CELL("adresse",OFFSET(DMAV_Dienste!$M$6,F1041-1,0)))-FIND("]",CELL("adresse",OFFSET(DMAV_Dienste!$M$6,F1041-1,0)))),"Structure")),HYPERLINK("#"&amp;RIGHT(CELL("adresse",OFFSET(DMAV_Modell!$N$6,C1041-1,0)),LEN(CELL("adresse",OFFSET(DMAV_Modell!$N$6,C1041-1,0)))-FIND("]",CELL("adresse",OFFSET(DMAV_Modell!$N$6,C1041-1,0)))),"Structure"))</f>
        <v/>
      </c>
      <c r="P1041" s="64" t="str" cm="1">
        <f t="array" aca="1" ref="P1041" ca="1">IF(D1041=0,IF(G1041=0,"",HYPERLINK("#"&amp;RIGHT(CELL("adresse",OFFSET(DMAV_Dienste!$M$6,G1041-1,0)),LEN(CELL("adresse",OFFSET(DMAV_Dienste!$M$6,G1041-1,0)))-FIND("]",CELL("adresse",OFFSET(DMAV_Dienste!$M$6,G1041-1,0)))),"Substructure")),HYPERLINK("#"&amp;RIGHT(CELL("adresse",OFFSET(DMAV_Modell!$N$6,D1041-1,0)),LEN(CELL("adresse",OFFSET(DMAV_Modell!$N$6,D1041-1,0)))-FIND("]",CELL("adresse",OFFSET(DMAV_Modell!$N$6,D1041-1,0)))),"Substructure"))</f>
        <v/>
      </c>
      <c r="R1041" s="80"/>
      <c r="T1041" s="93"/>
      <c r="U1041" s="94"/>
      <c r="V1041" s="95"/>
      <c r="W1041" s="96" t="s">
        <v>3241</v>
      </c>
      <c r="Y1041" s="85" t="s">
        <v>3248</v>
      </c>
      <c r="Z1041" s="86"/>
      <c r="AA1041" s="87"/>
      <c r="AB1041" s="88"/>
      <c r="AD1041" s="77"/>
      <c r="AF1041" s="54" t="str" cm="1">
        <f t="array" aca="1" ref="AF1041" ca="1">IF(H1041=0,"",HYPERLINK("#"&amp;RIGHT(CELL("adresse",OFFSET('DM01-AV-CH'!$G$6,H1041-1,0)),LEN(CELL("adresse",OFFSET('DM01-AV-CH'!$G$6,H1041-1,0)))-FIND("]",CELL("adresse",OFFSET('DM01-AV-CH'!$G$6,H1041-1,0)))),"Modell"))</f>
        <v>Modell</v>
      </c>
      <c r="AG1041" s="72" t="str" cm="1">
        <f t="array" ref="AG1041">IF($H1041=0,"",IF(INDEX('DM01-AV-CH'!G$6:G$834,$H1041)="","",INDEX('DM01-AV-CH'!G$6:G$834,$H1041)))</f>
        <v>TSEinteilung</v>
      </c>
      <c r="AH1041" s="73" t="str" cm="1">
        <f t="array" ref="AH1041">IF($H1041=0,"",IF(INDEX('DM01-AV-CH'!H$6:H$834,$H1041)="","",INDEX('DM01-AV-CH'!H$6:H$834,$H1041)))</f>
        <v>Toleranzstufe</v>
      </c>
      <c r="AI1041" s="74" t="str" cm="1">
        <f t="array" ref="AI1041">IF($H1041=0,"",IF(INDEX('DM01-AV-CH'!I$6:I$834,$H1041)="","",INDEX('DM01-AV-CH'!I$6:I$834,$H1041)))</f>
        <v>Art</v>
      </c>
    </row>
    <row r="1042" spans="1:35" ht="85.5" x14ac:dyDescent="0.25">
      <c r="A1042" s="57">
        <v>1037</v>
      </c>
      <c r="B1042" s="57">
        <f>IF($A1042="","",IF(_xlfn.XLOOKUP($A1042,Korrelation!$D$4:$D$1197,Korrelation!E$4:E$1197,"-",0)="-",0,MATCH(_xlfn.XLOOKUP($A1042,Korrelation!$D$4:$D$1197,Korrelation!E$4:E$1197,"",0),DMAV_Modell!$G$6:$G$677,0)))</f>
        <v>610</v>
      </c>
      <c r="C1042" s="57">
        <f>IF($A1042="","",IF(_xlfn.XLOOKUP($A1042,Korrelation!$D$4:$D$1197,Korrelation!F$4:F$1197,"-",0)="-",0,MATCH(_xlfn.XLOOKUP($A1042,Korrelation!$D$4:$D$1197,Korrelation!F$4:F$1197,"",0),DMAV_Modell!$G$6:$G$677,0)))</f>
        <v>0</v>
      </c>
      <c r="D1042" s="57">
        <f>IF($A1042="","",IF(_xlfn.XLOOKUP($A1042,Korrelation!$D$4:$D$1197,Korrelation!G$4:G$1197,"-",0)="-",0,MATCH(_xlfn.XLOOKUP($A1042,Korrelation!$D$4:$D$1197,Korrelation!G$4:G$1197,"",0),DMAV_Modell!$G$6:$G$677,0)))</f>
        <v>0</v>
      </c>
      <c r="E1042" s="57">
        <f>IF($A1042="","",IF(_xlfn.XLOOKUP($A1042,Korrelation!$D$4:$D$1197,Korrelation!H$4:H$1197,"-",0)="-",0,MATCH(_xlfn.XLOOKUP($A1042,Korrelation!$D$4:$D$1197,Korrelation!H$4:H$1197,"",0),DMAV_Dienste!$F$6:$F$140,0)))</f>
        <v>0</v>
      </c>
      <c r="F1042" s="57">
        <f>IF($A1042="","",IF(_xlfn.XLOOKUP($A1042,Korrelation!$D$4:$D$1197,Korrelation!I$4:I$1197,"-",0)="-",0,MATCH(_xlfn.XLOOKUP($A1042,Korrelation!$D$4:$D$1197,Korrelation!I$4:I$1197,"",0),DMAV_Dienste!$F$6:$F$140,0)))</f>
        <v>0</v>
      </c>
      <c r="G1042" s="57">
        <f>IF($A1042="","",IF(_xlfn.XLOOKUP($A1042,Korrelation!$D$4:$D$1197,Korrelation!J$4:J$1197,"-",0)="-",0,MATCH(_xlfn.XLOOKUP($A1042,Korrelation!$D$4:$D$1197,Korrelation!J$4:J$1197,"",0),DMAV_Dienste!$F$6:$F$140,0)))</f>
        <v>0</v>
      </c>
      <c r="H1042" s="57">
        <f>IF($A1042="","",IF(_xlfn.XLOOKUP($A1042,Korrelation!$D$4:$D$1197,Korrelation!K$4:K$1197,"-",0)="-",0,MATCH(_xlfn.XLOOKUP($A1042,Korrelation!$D$4:$D$1197,Korrelation!K$4:K$1197,"",0),'DM01-AV-CH'!$A$6:$A$834,0)))</f>
        <v>0</v>
      </c>
      <c r="J1042" s="54" t="str" cm="1">
        <f t="array" aca="1" ref="J1042" ca="1">IF(B1042=0,IF(E1042=0,"",HYPERLINK("#"&amp;RIGHT(CELL("adresse",OFFSET(DMAV_Dienste!$M$6,E1042-1,0)),LEN(CELL("adresse",OFFSET(DMAV_Dienste!$M$6,E1042-1,0)))-FIND("]",CELL("adresse",OFFSET(DMAV_Dienste!$M$6,E1042-1,0)))),"Dienst")),HYPERLINK("#"&amp;RIGHT(CELL("adresse",OFFSET(DMAV_Modell!$N$6,B1042-1,0)),LEN(CELL("adresse",OFFSET(DMAV_Modell!$N$6,B1042-1,0)))-FIND("]",CELL("adresse",OFFSET(DMAV_Modell!$N$6,B1042-1,0)))),"Modell"))</f>
        <v>Modell</v>
      </c>
      <c r="K1042" s="61" t="str" cm="1">
        <f t="array" ref="K1042">IF($B1042=0,IF($E1042=0,"",IF(INDEX(DMAV_Dienste!P$6:P$140,$E1042)="","",INDEX(DMAV_Dienste!P$6:P$140,$E1042))),IF(INDEX(DMAV_Modell!Q$6:Q$838,$B1042)="","",INDEX(DMAV_Modell!Q$6:Q$838,$B1042)))</f>
        <v>CLASS</v>
      </c>
      <c r="L1042" s="62" t="str" cm="1">
        <f t="array" ref="L1042">IF($B1042=0,IF($E1042=0,"",IF(INDEX(DMAV_Dienste!O$6:O$140,$E1042)="","",INDEX(DMAV_Dienste!O$6:O$140,$E1042))),IF(INDEX(DMAV_Modell!P$6:P$838,$B1042)="","",INDEX(DMAV_Modell!P$6:P$838,$B1042)))</f>
        <v>Toleranzstufen</v>
      </c>
      <c r="M1042" s="62" t="str" cm="1">
        <f t="array" ref="M1042">IF($B1042=0,IF($E1042=0,"",IF(INDEX(DMAV_Dienste!Q$6:Q$140,$E1042)="","",INDEX(DMAV_Dienste!Q$6:Q$140,$E1042))),IF(INDEX(DMAV_Modell!R$6:R$838,$B1042)="","",INDEX(DMAV_Modell!R$6:R$838,$B1042)))</f>
        <v>Toleranzstufe</v>
      </c>
      <c r="N1042" s="62" t="str" cm="1">
        <f t="array" ref="N1042">IF($B1042=0,IF($E1042=0,"",IF(INDEX(DMAV_Dienste!T$6:T$140,$E1042)="","",INDEX(DMAV_Dienste!T$6:T$140,$E1042))),IF(INDEX(DMAV_Modell!U$6:U$838,$B1042)="","",INDEX(DMAV_Modell!U$6:U$838,$B1042)))</f>
        <v>Fiktiv</v>
      </c>
      <c r="O1042" s="63" t="str" cm="1">
        <f t="array" aca="1" ref="O1042" ca="1">IF(C1042=0,IF(F1042=0,"",HYPERLINK("#"&amp;RIGHT(CELL("adresse",OFFSET(DMAV_Dienste!$M$6,F1042-1,0)),LEN(CELL("adresse",OFFSET(DMAV_Dienste!$M$6,F1042-1,0)))-FIND("]",CELL("adresse",OFFSET(DMAV_Dienste!$M$6,F1042-1,0)))),"Structure")),HYPERLINK("#"&amp;RIGHT(CELL("adresse",OFFSET(DMAV_Modell!$N$6,C1042-1,0)),LEN(CELL("adresse",OFFSET(DMAV_Modell!$N$6,C1042-1,0)))-FIND("]",CELL("adresse",OFFSET(DMAV_Modell!$N$6,C1042-1,0)))),"Structure"))</f>
        <v/>
      </c>
      <c r="P1042" s="64" t="str" cm="1">
        <f t="array" aca="1" ref="P1042" ca="1">IF(D1042=0,IF(G1042=0,"",HYPERLINK("#"&amp;RIGHT(CELL("adresse",OFFSET(DMAV_Dienste!$M$6,G1042-1,0)),LEN(CELL("adresse",OFFSET(DMAV_Dienste!$M$6,G1042-1,0)))-FIND("]",CELL("adresse",OFFSET(DMAV_Dienste!$M$6,G1042-1,0)))),"Substructure")),HYPERLINK("#"&amp;RIGHT(CELL("adresse",OFFSET(DMAV_Modell!$N$6,D1042-1,0)),LEN(CELL("adresse",OFFSET(DMAV_Modell!$N$6,D1042-1,0)))-FIND("]",CELL("adresse",OFFSET(DMAV_Modell!$N$6,D1042-1,0)))),"Substructure"))</f>
        <v/>
      </c>
      <c r="R1042" s="80" t="s">
        <v>3117</v>
      </c>
      <c r="T1042" s="93"/>
      <c r="U1042" s="94"/>
      <c r="V1042" s="95"/>
      <c r="W1042" s="96" t="s">
        <v>3241</v>
      </c>
      <c r="Y1042" s="85" t="s">
        <v>3248</v>
      </c>
      <c r="Z1042" s="86"/>
      <c r="AA1042" s="87"/>
      <c r="AB1042" s="88"/>
      <c r="AD1042" s="77"/>
      <c r="AF1042" s="54" t="str" cm="1">
        <f t="array" aca="1" ref="AF1042" ca="1">IF(H1042=0,"",HYPERLINK("#"&amp;RIGHT(CELL("adresse",OFFSET('DM01-AV-CH'!$G$6,H1042-1,0)),LEN(CELL("adresse",OFFSET('DM01-AV-CH'!$G$6,H1042-1,0)))-FIND("]",CELL("adresse",OFFSET('DM01-AV-CH'!$G$6,H1042-1,0)))),"Modell"))</f>
        <v/>
      </c>
      <c r="AG1042" s="72" t="str" cm="1">
        <f t="array" ref="AG1042">IF($H1042=0,"",IF(INDEX('DM01-AV-CH'!G$6:G$834,$H1042)="","",INDEX('DM01-AV-CH'!G$6:G$834,$H1042)))</f>
        <v/>
      </c>
      <c r="AH1042" s="73" t="str" cm="1">
        <f t="array" ref="AH1042">IF($H1042=0,"",IF(INDEX('DM01-AV-CH'!H$6:H$834,$H1042)="","",INDEX('DM01-AV-CH'!H$6:H$834,$H1042)))</f>
        <v/>
      </c>
      <c r="AI1042" s="74" t="str" cm="1">
        <f t="array" ref="AI1042">IF($H1042=0,"",IF(INDEX('DM01-AV-CH'!I$6:I$834,$H1042)="","",INDEX('DM01-AV-CH'!I$6:I$834,$H1042)))</f>
        <v/>
      </c>
    </row>
    <row r="1043" spans="1:35" x14ac:dyDescent="0.25">
      <c r="A1043" s="57">
        <v>1038</v>
      </c>
      <c r="B1043" s="57">
        <f>IF($A1043="","",IF(_xlfn.XLOOKUP($A1043,Korrelation!$D$4:$D$1197,Korrelation!E$4:E$1197,"-",0)="-",0,MATCH(_xlfn.XLOOKUP($A1043,Korrelation!$D$4:$D$1197,Korrelation!E$4:E$1197,"",0),DMAV_Modell!$G$6:$G$677,0)))</f>
        <v>0</v>
      </c>
      <c r="C1043" s="57">
        <f>IF($A1043="","",IF(_xlfn.XLOOKUP($A1043,Korrelation!$D$4:$D$1197,Korrelation!F$4:F$1197,"-",0)="-",0,MATCH(_xlfn.XLOOKUP($A1043,Korrelation!$D$4:$D$1197,Korrelation!F$4:F$1197,"",0),DMAV_Modell!$G$6:$G$677,0)))</f>
        <v>0</v>
      </c>
      <c r="D1043" s="57">
        <f>IF($A1043="","",IF(_xlfn.XLOOKUP($A1043,Korrelation!$D$4:$D$1197,Korrelation!G$4:G$1197,"-",0)="-",0,MATCH(_xlfn.XLOOKUP($A1043,Korrelation!$D$4:$D$1197,Korrelation!G$4:G$1197,"",0),DMAV_Modell!$G$6:$G$677,0)))</f>
        <v>0</v>
      </c>
      <c r="E1043" s="57">
        <f>IF($A1043="","",IF(_xlfn.XLOOKUP($A1043,Korrelation!$D$4:$D$1197,Korrelation!H$4:H$1197,"-",0)="-",0,MATCH(_xlfn.XLOOKUP($A1043,Korrelation!$D$4:$D$1197,Korrelation!H$4:H$1197,"",0),DMAV_Dienste!$F$6:$F$140,0)))</f>
        <v>0</v>
      </c>
      <c r="F1043" s="57">
        <f>IF($A1043="","",IF(_xlfn.XLOOKUP($A1043,Korrelation!$D$4:$D$1197,Korrelation!I$4:I$1197,"-",0)="-",0,MATCH(_xlfn.XLOOKUP($A1043,Korrelation!$D$4:$D$1197,Korrelation!I$4:I$1197,"",0),DMAV_Dienste!$F$6:$F$140,0)))</f>
        <v>0</v>
      </c>
      <c r="G1043" s="57">
        <f>IF($A1043="","",IF(_xlfn.XLOOKUP($A1043,Korrelation!$D$4:$D$1197,Korrelation!J$4:J$1197,"-",0)="-",0,MATCH(_xlfn.XLOOKUP($A1043,Korrelation!$D$4:$D$1197,Korrelation!J$4:J$1197,"",0),DMAV_Dienste!$F$6:$F$140,0)))</f>
        <v>0</v>
      </c>
      <c r="H1043" s="57">
        <f>IF($A1043="","",IF(_xlfn.XLOOKUP($A1043,Korrelation!$D$4:$D$1197,Korrelation!K$4:K$1197,"-",0)="-",0,MATCH(_xlfn.XLOOKUP($A1043,Korrelation!$D$4:$D$1197,Korrelation!K$4:K$1197,"",0),'DM01-AV-CH'!$A$6:$A$834,0)))</f>
        <v>642</v>
      </c>
      <c r="J1043" s="54" t="str" cm="1">
        <f t="array" aca="1" ref="J1043" ca="1">IF(B1043=0,IF(E1043=0,"",HYPERLINK("#"&amp;RIGHT(CELL("adresse",OFFSET(DMAV_Dienste!$M$6,E1043-1,0)),LEN(CELL("adresse",OFFSET(DMAV_Dienste!$M$6,E1043-1,0)))-FIND("]",CELL("adresse",OFFSET(DMAV_Dienste!$M$6,E1043-1,0)))),"Dienst")),HYPERLINK("#"&amp;RIGHT(CELL("adresse",OFFSET(DMAV_Modell!$N$6,B1043-1,0)),LEN(CELL("adresse",OFFSET(DMAV_Modell!$N$6,B1043-1,0)))-FIND("]",CELL("adresse",OFFSET(DMAV_Modell!$N$6,B1043-1,0)))),"Modell"))</f>
        <v/>
      </c>
      <c r="K1043" s="61" t="str" cm="1">
        <f t="array" ref="K1043">IF($B1043=0,IF($E1043=0,"",IF(INDEX(DMAV_Dienste!P$6:P$140,$E1043)="","",INDEX(DMAV_Dienste!P$6:P$140,$E1043))),IF(INDEX(DMAV_Modell!Q$6:Q$838,$B1043)="","",INDEX(DMAV_Modell!Q$6:Q$838,$B1043)))</f>
        <v/>
      </c>
      <c r="L1043" s="62" t="str" cm="1">
        <f t="array" ref="L1043">IF($B1043=0,IF($E1043=0,"",IF(INDEX(DMAV_Dienste!O$6:O$140,$E1043)="","",INDEX(DMAV_Dienste!O$6:O$140,$E1043))),IF(INDEX(DMAV_Modell!P$6:P$838,$B1043)="","",INDEX(DMAV_Modell!P$6:P$838,$B1043)))</f>
        <v/>
      </c>
      <c r="M1043" s="62" t="str" cm="1">
        <f t="array" ref="M1043">IF($B1043=0,IF($E1043=0,"",IF(INDEX(DMAV_Dienste!Q$6:Q$140,$E1043)="","",INDEX(DMAV_Dienste!Q$6:Q$140,$E1043))),IF(INDEX(DMAV_Modell!R$6:R$838,$B1043)="","",INDEX(DMAV_Modell!R$6:R$838,$B1043)))</f>
        <v/>
      </c>
      <c r="N1043" s="62" t="str" cm="1">
        <f t="array" ref="N1043">IF($B1043=0,IF($E1043=0,"",IF(INDEX(DMAV_Dienste!T$6:T$140,$E1043)="","",INDEX(DMAV_Dienste!T$6:T$140,$E1043))),IF(INDEX(DMAV_Modell!U$6:U$838,$B1043)="","",INDEX(DMAV_Modell!U$6:U$838,$B1043)))</f>
        <v/>
      </c>
      <c r="O1043" s="63" t="str" cm="1">
        <f t="array" aca="1" ref="O1043" ca="1">IF(C1043=0,IF(F1043=0,"",HYPERLINK("#"&amp;RIGHT(CELL("adresse",OFFSET(DMAV_Dienste!$M$6,F1043-1,0)),LEN(CELL("adresse",OFFSET(DMAV_Dienste!$M$6,F1043-1,0)))-FIND("]",CELL("adresse",OFFSET(DMAV_Dienste!$M$6,F1043-1,0)))),"Structure")),HYPERLINK("#"&amp;RIGHT(CELL("adresse",OFFSET(DMAV_Modell!$N$6,C1043-1,0)),LEN(CELL("adresse",OFFSET(DMAV_Modell!$N$6,C1043-1,0)))-FIND("]",CELL("adresse",OFFSET(DMAV_Modell!$N$6,C1043-1,0)))),"Structure"))</f>
        <v/>
      </c>
      <c r="P1043" s="64" t="str" cm="1">
        <f t="array" aca="1" ref="P1043" ca="1">IF(D1043=0,IF(G1043=0,"",HYPERLINK("#"&amp;RIGHT(CELL("adresse",OFFSET(DMAV_Dienste!$M$6,G1043-1,0)),LEN(CELL("adresse",OFFSET(DMAV_Dienste!$M$6,G1043-1,0)))-FIND("]",CELL("adresse",OFFSET(DMAV_Dienste!$M$6,G1043-1,0)))),"Substructure")),HYPERLINK("#"&amp;RIGHT(CELL("adresse",OFFSET(DMAV_Modell!$N$6,D1043-1,0)),LEN(CELL("adresse",OFFSET(DMAV_Modell!$N$6,D1043-1,0)))-FIND("]",CELL("adresse",OFFSET(DMAV_Modell!$N$6,D1043-1,0)))),"Substructure"))</f>
        <v/>
      </c>
      <c r="R1043" s="80"/>
      <c r="T1043" s="93"/>
      <c r="U1043" s="94"/>
      <c r="V1043" s="95"/>
      <c r="W1043" s="96"/>
      <c r="Y1043" s="85"/>
      <c r="Z1043" s="86"/>
      <c r="AA1043" s="87"/>
      <c r="AB1043" s="88"/>
      <c r="AD1043" s="77"/>
      <c r="AF1043" s="54" t="str" cm="1">
        <f t="array" aca="1" ref="AF1043" ca="1">IF(H1043=0,"",HYPERLINK("#"&amp;RIGHT(CELL("adresse",OFFSET('DM01-AV-CH'!$G$6,H1043-1,0)),LEN(CELL("adresse",OFFSET('DM01-AV-CH'!$G$6,H1043-1,0)))-FIND("]",CELL("adresse",OFFSET('DM01-AV-CH'!$G$6,H1043-1,0)))),"Modell"))</f>
        <v>Modell</v>
      </c>
      <c r="AG1043" s="72" t="str" cm="1">
        <f t="array" ref="AG1043">IF($H1043=0,"",IF(INDEX('DM01-AV-CH'!G$6:G$834,$H1043)="","",INDEX('DM01-AV-CH'!G$6:G$834,$H1043)))</f>
        <v>TSEinteilung</v>
      </c>
      <c r="AH1043" s="73" t="str" cm="1">
        <f t="array" ref="AH1043">IF($H1043=0,"",IF(INDEX('DM01-AV-CH'!H$6:H$834,$H1043)="","",INDEX('DM01-AV-CH'!H$6:H$834,$H1043)))</f>
        <v>ToleranzstufePos</v>
      </c>
      <c r="AI1043" s="74" t="str" cm="1">
        <f t="array" ref="AI1043">IF($H1043=0,"",IF(INDEX('DM01-AV-CH'!I$6:I$834,$H1043)="","",INDEX('DM01-AV-CH'!I$6:I$834,$H1043)))</f>
        <v>ToleranzstufePos_von</v>
      </c>
    </row>
    <row r="1044" spans="1:35" x14ac:dyDescent="0.25">
      <c r="A1044" s="57">
        <v>1039</v>
      </c>
      <c r="B1044" s="57">
        <f>IF($A1044="","",IF(_xlfn.XLOOKUP($A1044,Korrelation!$D$4:$D$1197,Korrelation!E$4:E$1197,"-",0)="-",0,MATCH(_xlfn.XLOOKUP($A1044,Korrelation!$D$4:$D$1197,Korrelation!E$4:E$1197,"",0),DMAV_Modell!$G$6:$G$677,0)))</f>
        <v>0</v>
      </c>
      <c r="C1044" s="57">
        <f>IF($A1044="","",IF(_xlfn.XLOOKUP($A1044,Korrelation!$D$4:$D$1197,Korrelation!F$4:F$1197,"-",0)="-",0,MATCH(_xlfn.XLOOKUP($A1044,Korrelation!$D$4:$D$1197,Korrelation!F$4:F$1197,"",0),DMAV_Modell!$G$6:$G$677,0)))</f>
        <v>0</v>
      </c>
      <c r="D1044" s="57">
        <f>IF($A1044="","",IF(_xlfn.XLOOKUP($A1044,Korrelation!$D$4:$D$1197,Korrelation!G$4:G$1197,"-",0)="-",0,MATCH(_xlfn.XLOOKUP($A1044,Korrelation!$D$4:$D$1197,Korrelation!G$4:G$1197,"",0),DMAV_Modell!$G$6:$G$677,0)))</f>
        <v>0</v>
      </c>
      <c r="E1044" s="57">
        <f>IF($A1044="","",IF(_xlfn.XLOOKUP($A1044,Korrelation!$D$4:$D$1197,Korrelation!H$4:H$1197,"-",0)="-",0,MATCH(_xlfn.XLOOKUP($A1044,Korrelation!$D$4:$D$1197,Korrelation!H$4:H$1197,"",0),DMAV_Dienste!$F$6:$F$140,0)))</f>
        <v>0</v>
      </c>
      <c r="F1044" s="57">
        <f>IF($A1044="","",IF(_xlfn.XLOOKUP($A1044,Korrelation!$D$4:$D$1197,Korrelation!I$4:I$1197,"-",0)="-",0,MATCH(_xlfn.XLOOKUP($A1044,Korrelation!$D$4:$D$1197,Korrelation!I$4:I$1197,"",0),DMAV_Dienste!$F$6:$F$140,0)))</f>
        <v>0</v>
      </c>
      <c r="G1044" s="57">
        <f>IF($A1044="","",IF(_xlfn.XLOOKUP($A1044,Korrelation!$D$4:$D$1197,Korrelation!J$4:J$1197,"-",0)="-",0,MATCH(_xlfn.XLOOKUP($A1044,Korrelation!$D$4:$D$1197,Korrelation!J$4:J$1197,"",0),DMAV_Dienste!$F$6:$F$140,0)))</f>
        <v>0</v>
      </c>
      <c r="H1044" s="57">
        <f>IF($A1044="","",IF(_xlfn.XLOOKUP($A1044,Korrelation!$D$4:$D$1197,Korrelation!K$4:K$1197,"-",0)="-",0,MATCH(_xlfn.XLOOKUP($A1044,Korrelation!$D$4:$D$1197,Korrelation!K$4:K$1197,"",0),'DM01-AV-CH'!$A$6:$A$834,0)))</f>
        <v>643</v>
      </c>
      <c r="J1044" s="54" t="str" cm="1">
        <f t="array" aca="1" ref="J1044" ca="1">IF(B1044=0,IF(E1044=0,"",HYPERLINK("#"&amp;RIGHT(CELL("adresse",OFFSET(DMAV_Dienste!$M$6,E1044-1,0)),LEN(CELL("adresse",OFFSET(DMAV_Dienste!$M$6,E1044-1,0)))-FIND("]",CELL("adresse",OFFSET(DMAV_Dienste!$M$6,E1044-1,0)))),"Dienst")),HYPERLINK("#"&amp;RIGHT(CELL("adresse",OFFSET(DMAV_Modell!$N$6,B1044-1,0)),LEN(CELL("adresse",OFFSET(DMAV_Modell!$N$6,B1044-1,0)))-FIND("]",CELL("adresse",OFFSET(DMAV_Modell!$N$6,B1044-1,0)))),"Modell"))</f>
        <v/>
      </c>
      <c r="K1044" s="61" t="str" cm="1">
        <f t="array" ref="K1044">IF($B1044=0,IF($E1044=0,"",IF(INDEX(DMAV_Dienste!P$6:P$140,$E1044)="","",INDEX(DMAV_Dienste!P$6:P$140,$E1044))),IF(INDEX(DMAV_Modell!Q$6:Q$838,$B1044)="","",INDEX(DMAV_Modell!Q$6:Q$838,$B1044)))</f>
        <v/>
      </c>
      <c r="L1044" s="62" t="str" cm="1">
        <f t="array" ref="L1044">IF($B1044=0,IF($E1044=0,"",IF(INDEX(DMAV_Dienste!O$6:O$140,$E1044)="","",INDEX(DMAV_Dienste!O$6:O$140,$E1044))),IF(INDEX(DMAV_Modell!P$6:P$838,$B1044)="","",INDEX(DMAV_Modell!P$6:P$838,$B1044)))</f>
        <v/>
      </c>
      <c r="M1044" s="62" t="str" cm="1">
        <f t="array" ref="M1044">IF($B1044=0,IF($E1044=0,"",IF(INDEX(DMAV_Dienste!Q$6:Q$140,$E1044)="","",INDEX(DMAV_Dienste!Q$6:Q$140,$E1044))),IF(INDEX(DMAV_Modell!R$6:R$838,$B1044)="","",INDEX(DMAV_Modell!R$6:R$838,$B1044)))</f>
        <v/>
      </c>
      <c r="N1044" s="62" t="str" cm="1">
        <f t="array" ref="N1044">IF($B1044=0,IF($E1044=0,"",IF(INDEX(DMAV_Dienste!T$6:T$140,$E1044)="","",INDEX(DMAV_Dienste!T$6:T$140,$E1044))),IF(INDEX(DMAV_Modell!U$6:U$838,$B1044)="","",INDEX(DMAV_Modell!U$6:U$838,$B1044)))</f>
        <v/>
      </c>
      <c r="O1044" s="63" t="str" cm="1">
        <f t="array" aca="1" ref="O1044" ca="1">IF(C1044=0,IF(F1044=0,"",HYPERLINK("#"&amp;RIGHT(CELL("adresse",OFFSET(DMAV_Dienste!$M$6,F1044-1,0)),LEN(CELL("adresse",OFFSET(DMAV_Dienste!$M$6,F1044-1,0)))-FIND("]",CELL("adresse",OFFSET(DMAV_Dienste!$M$6,F1044-1,0)))),"Structure")),HYPERLINK("#"&amp;RIGHT(CELL("adresse",OFFSET(DMAV_Modell!$N$6,C1044-1,0)),LEN(CELL("adresse",OFFSET(DMAV_Modell!$N$6,C1044-1,0)))-FIND("]",CELL("adresse",OFFSET(DMAV_Modell!$N$6,C1044-1,0)))),"Structure"))</f>
        <v/>
      </c>
      <c r="P1044" s="64" t="str" cm="1">
        <f t="array" aca="1" ref="P1044" ca="1">IF(D1044=0,IF(G1044=0,"",HYPERLINK("#"&amp;RIGHT(CELL("adresse",OFFSET(DMAV_Dienste!$M$6,G1044-1,0)),LEN(CELL("adresse",OFFSET(DMAV_Dienste!$M$6,G1044-1,0)))-FIND("]",CELL("adresse",OFFSET(DMAV_Dienste!$M$6,G1044-1,0)))),"Substructure")),HYPERLINK("#"&amp;RIGHT(CELL("adresse",OFFSET(DMAV_Modell!$N$6,D1044-1,0)),LEN(CELL("adresse",OFFSET(DMAV_Modell!$N$6,D1044-1,0)))-FIND("]",CELL("adresse",OFFSET(DMAV_Modell!$N$6,D1044-1,0)))),"Substructure"))</f>
        <v/>
      </c>
      <c r="R1044" s="80"/>
      <c r="T1044" s="93"/>
      <c r="U1044" s="94"/>
      <c r="V1044" s="95"/>
      <c r="W1044" s="96"/>
      <c r="Y1044" s="85"/>
      <c r="Z1044" s="86"/>
      <c r="AA1044" s="87"/>
      <c r="AB1044" s="88"/>
      <c r="AD1044" s="77"/>
      <c r="AF1044" s="54" t="str" cm="1">
        <f t="array" aca="1" ref="AF1044" ca="1">IF(H1044=0,"",HYPERLINK("#"&amp;RIGHT(CELL("adresse",OFFSET('DM01-AV-CH'!$G$6,H1044-1,0)),LEN(CELL("adresse",OFFSET('DM01-AV-CH'!$G$6,H1044-1,0)))-FIND("]",CELL("adresse",OFFSET('DM01-AV-CH'!$G$6,H1044-1,0)))),"Modell"))</f>
        <v>Modell</v>
      </c>
      <c r="AG1044" s="72" t="str" cm="1">
        <f t="array" ref="AG1044">IF($H1044=0,"",IF(INDEX('DM01-AV-CH'!G$6:G$834,$H1044)="","",INDEX('DM01-AV-CH'!G$6:G$834,$H1044)))</f>
        <v>TSEinteilung</v>
      </c>
      <c r="AH1044" s="73" t="str" cm="1">
        <f t="array" ref="AH1044">IF($H1044=0,"",IF(INDEX('DM01-AV-CH'!H$6:H$834,$H1044)="","",INDEX('DM01-AV-CH'!H$6:H$834,$H1044)))</f>
        <v>ToleranzstufePos</v>
      </c>
      <c r="AI1044" s="74" t="str" cm="1">
        <f t="array" ref="AI1044">IF($H1044=0,"",IF(INDEX('DM01-AV-CH'!I$6:I$834,$H1044)="","",INDEX('DM01-AV-CH'!I$6:I$834,$H1044)))</f>
        <v>Pos</v>
      </c>
    </row>
    <row r="1045" spans="1:35" x14ac:dyDescent="0.25">
      <c r="A1045" s="57">
        <v>1040</v>
      </c>
      <c r="B1045" s="57">
        <f>IF($A1045="","",IF(_xlfn.XLOOKUP($A1045,Korrelation!$D$4:$D$1197,Korrelation!E$4:E$1197,"-",0)="-",0,MATCH(_xlfn.XLOOKUP($A1045,Korrelation!$D$4:$D$1197,Korrelation!E$4:E$1197,"",0),DMAV_Modell!$G$6:$G$677,0)))</f>
        <v>0</v>
      </c>
      <c r="C1045" s="57">
        <f>IF($A1045="","",IF(_xlfn.XLOOKUP($A1045,Korrelation!$D$4:$D$1197,Korrelation!F$4:F$1197,"-",0)="-",0,MATCH(_xlfn.XLOOKUP($A1045,Korrelation!$D$4:$D$1197,Korrelation!F$4:F$1197,"",0),DMAV_Modell!$G$6:$G$677,0)))</f>
        <v>0</v>
      </c>
      <c r="D1045" s="57">
        <f>IF($A1045="","",IF(_xlfn.XLOOKUP($A1045,Korrelation!$D$4:$D$1197,Korrelation!G$4:G$1197,"-",0)="-",0,MATCH(_xlfn.XLOOKUP($A1045,Korrelation!$D$4:$D$1197,Korrelation!G$4:G$1197,"",0),DMAV_Modell!$G$6:$G$677,0)))</f>
        <v>0</v>
      </c>
      <c r="E1045" s="57">
        <f>IF($A1045="","",IF(_xlfn.XLOOKUP($A1045,Korrelation!$D$4:$D$1197,Korrelation!H$4:H$1197,"-",0)="-",0,MATCH(_xlfn.XLOOKUP($A1045,Korrelation!$D$4:$D$1197,Korrelation!H$4:H$1197,"",0),DMAV_Dienste!$F$6:$F$140,0)))</f>
        <v>0</v>
      </c>
      <c r="F1045" s="57">
        <f>IF($A1045="","",IF(_xlfn.XLOOKUP($A1045,Korrelation!$D$4:$D$1197,Korrelation!I$4:I$1197,"-",0)="-",0,MATCH(_xlfn.XLOOKUP($A1045,Korrelation!$D$4:$D$1197,Korrelation!I$4:I$1197,"",0),DMAV_Dienste!$F$6:$F$140,0)))</f>
        <v>0</v>
      </c>
      <c r="G1045" s="57">
        <f>IF($A1045="","",IF(_xlfn.XLOOKUP($A1045,Korrelation!$D$4:$D$1197,Korrelation!J$4:J$1197,"-",0)="-",0,MATCH(_xlfn.XLOOKUP($A1045,Korrelation!$D$4:$D$1197,Korrelation!J$4:J$1197,"",0),DMAV_Dienste!$F$6:$F$140,0)))</f>
        <v>0</v>
      </c>
      <c r="H1045" s="57">
        <f>IF($A1045="","",IF(_xlfn.XLOOKUP($A1045,Korrelation!$D$4:$D$1197,Korrelation!K$4:K$1197,"-",0)="-",0,MATCH(_xlfn.XLOOKUP($A1045,Korrelation!$D$4:$D$1197,Korrelation!K$4:K$1197,"",0),'DM01-AV-CH'!$A$6:$A$834,0)))</f>
        <v>644</v>
      </c>
      <c r="J1045" s="54" t="str" cm="1">
        <f t="array" aca="1" ref="J1045" ca="1">IF(B1045=0,IF(E1045=0,"",HYPERLINK("#"&amp;RIGHT(CELL("adresse",OFFSET(DMAV_Dienste!$M$6,E1045-1,0)),LEN(CELL("adresse",OFFSET(DMAV_Dienste!$M$6,E1045-1,0)))-FIND("]",CELL("adresse",OFFSET(DMAV_Dienste!$M$6,E1045-1,0)))),"Dienst")),HYPERLINK("#"&amp;RIGHT(CELL("adresse",OFFSET(DMAV_Modell!$N$6,B1045-1,0)),LEN(CELL("adresse",OFFSET(DMAV_Modell!$N$6,B1045-1,0)))-FIND("]",CELL("adresse",OFFSET(DMAV_Modell!$N$6,B1045-1,0)))),"Modell"))</f>
        <v/>
      </c>
      <c r="K1045" s="61" t="str" cm="1">
        <f t="array" ref="K1045">IF($B1045=0,IF($E1045=0,"",IF(INDEX(DMAV_Dienste!P$6:P$140,$E1045)="","",INDEX(DMAV_Dienste!P$6:P$140,$E1045))),IF(INDEX(DMAV_Modell!Q$6:Q$838,$B1045)="","",INDEX(DMAV_Modell!Q$6:Q$838,$B1045)))</f>
        <v/>
      </c>
      <c r="L1045" s="62" t="str" cm="1">
        <f t="array" ref="L1045">IF($B1045=0,IF($E1045=0,"",IF(INDEX(DMAV_Dienste!O$6:O$140,$E1045)="","",INDEX(DMAV_Dienste!O$6:O$140,$E1045))),IF(INDEX(DMAV_Modell!P$6:P$838,$B1045)="","",INDEX(DMAV_Modell!P$6:P$838,$B1045)))</f>
        <v/>
      </c>
      <c r="M1045" s="62" t="str" cm="1">
        <f t="array" ref="M1045">IF($B1045=0,IF($E1045=0,"",IF(INDEX(DMAV_Dienste!Q$6:Q$140,$E1045)="","",INDEX(DMAV_Dienste!Q$6:Q$140,$E1045))),IF(INDEX(DMAV_Modell!R$6:R$838,$B1045)="","",INDEX(DMAV_Modell!R$6:R$838,$B1045)))</f>
        <v/>
      </c>
      <c r="N1045" s="62" t="str" cm="1">
        <f t="array" ref="N1045">IF($B1045=0,IF($E1045=0,"",IF(INDEX(DMAV_Dienste!T$6:T$140,$E1045)="","",INDEX(DMAV_Dienste!T$6:T$140,$E1045))),IF(INDEX(DMAV_Modell!U$6:U$838,$B1045)="","",INDEX(DMAV_Modell!U$6:U$838,$B1045)))</f>
        <v/>
      </c>
      <c r="O1045" s="63" t="str" cm="1">
        <f t="array" aca="1" ref="O1045" ca="1">IF(C1045=0,IF(F1045=0,"",HYPERLINK("#"&amp;RIGHT(CELL("adresse",OFFSET(DMAV_Dienste!$M$6,F1045-1,0)),LEN(CELL("adresse",OFFSET(DMAV_Dienste!$M$6,F1045-1,0)))-FIND("]",CELL("adresse",OFFSET(DMAV_Dienste!$M$6,F1045-1,0)))),"Structure")),HYPERLINK("#"&amp;RIGHT(CELL("adresse",OFFSET(DMAV_Modell!$N$6,C1045-1,0)),LEN(CELL("adresse",OFFSET(DMAV_Modell!$N$6,C1045-1,0)))-FIND("]",CELL("adresse",OFFSET(DMAV_Modell!$N$6,C1045-1,0)))),"Structure"))</f>
        <v/>
      </c>
      <c r="P1045" s="64" t="str" cm="1">
        <f t="array" aca="1" ref="P1045" ca="1">IF(D1045=0,IF(G1045=0,"",HYPERLINK("#"&amp;RIGHT(CELL("adresse",OFFSET(DMAV_Dienste!$M$6,G1045-1,0)),LEN(CELL("adresse",OFFSET(DMAV_Dienste!$M$6,G1045-1,0)))-FIND("]",CELL("adresse",OFFSET(DMAV_Dienste!$M$6,G1045-1,0)))),"Substructure")),HYPERLINK("#"&amp;RIGHT(CELL("adresse",OFFSET(DMAV_Modell!$N$6,D1045-1,0)),LEN(CELL("adresse",OFFSET(DMAV_Modell!$N$6,D1045-1,0)))-FIND("]",CELL("adresse",OFFSET(DMAV_Modell!$N$6,D1045-1,0)))),"Substructure"))</f>
        <v/>
      </c>
      <c r="R1045" s="80"/>
      <c r="T1045" s="93"/>
      <c r="U1045" s="94"/>
      <c r="V1045" s="95"/>
      <c r="W1045" s="96"/>
      <c r="Y1045" s="85"/>
      <c r="Z1045" s="86"/>
      <c r="AA1045" s="87"/>
      <c r="AB1045" s="88"/>
      <c r="AD1045" s="77"/>
      <c r="AF1045" s="54" t="str" cm="1">
        <f t="array" aca="1" ref="AF1045" ca="1">IF(H1045=0,"",HYPERLINK("#"&amp;RIGHT(CELL("adresse",OFFSET('DM01-AV-CH'!$G$6,H1045-1,0)),LEN(CELL("adresse",OFFSET('DM01-AV-CH'!$G$6,H1045-1,0)))-FIND("]",CELL("adresse",OFFSET('DM01-AV-CH'!$G$6,H1045-1,0)))),"Modell"))</f>
        <v>Modell</v>
      </c>
      <c r="AG1045" s="72" t="str" cm="1">
        <f t="array" ref="AG1045">IF($H1045=0,"",IF(INDEX('DM01-AV-CH'!G$6:G$834,$H1045)="","",INDEX('DM01-AV-CH'!G$6:G$834,$H1045)))</f>
        <v>TSEinteilung</v>
      </c>
      <c r="AH1045" s="73" t="str" cm="1">
        <f t="array" ref="AH1045">IF($H1045=0,"",IF(INDEX('DM01-AV-CH'!H$6:H$834,$H1045)="","",INDEX('DM01-AV-CH'!H$6:H$834,$H1045)))</f>
        <v>ToleranzstufePos</v>
      </c>
      <c r="AI1045" s="74" t="str" cm="1">
        <f t="array" ref="AI1045">IF($H1045=0,"",IF(INDEX('DM01-AV-CH'!I$6:I$834,$H1045)="","",INDEX('DM01-AV-CH'!I$6:I$834,$H1045)))</f>
        <v>Ori</v>
      </c>
    </row>
    <row r="1046" spans="1:35" x14ac:dyDescent="0.25">
      <c r="A1046" s="57">
        <v>1041</v>
      </c>
      <c r="B1046" s="57">
        <f>IF($A1046="","",IF(_xlfn.XLOOKUP($A1046,Korrelation!$D$4:$D$1197,Korrelation!E$4:E$1197,"-",0)="-",0,MATCH(_xlfn.XLOOKUP($A1046,Korrelation!$D$4:$D$1197,Korrelation!E$4:E$1197,"",0),DMAV_Modell!$G$6:$G$677,0)))</f>
        <v>0</v>
      </c>
      <c r="C1046" s="57">
        <f>IF($A1046="","",IF(_xlfn.XLOOKUP($A1046,Korrelation!$D$4:$D$1197,Korrelation!F$4:F$1197,"-",0)="-",0,MATCH(_xlfn.XLOOKUP($A1046,Korrelation!$D$4:$D$1197,Korrelation!F$4:F$1197,"",0),DMAV_Modell!$G$6:$G$677,0)))</f>
        <v>0</v>
      </c>
      <c r="D1046" s="57">
        <f>IF($A1046="","",IF(_xlfn.XLOOKUP($A1046,Korrelation!$D$4:$D$1197,Korrelation!G$4:G$1197,"-",0)="-",0,MATCH(_xlfn.XLOOKUP($A1046,Korrelation!$D$4:$D$1197,Korrelation!G$4:G$1197,"",0),DMAV_Modell!$G$6:$G$677,0)))</f>
        <v>0</v>
      </c>
      <c r="E1046" s="57">
        <f>IF($A1046="","",IF(_xlfn.XLOOKUP($A1046,Korrelation!$D$4:$D$1197,Korrelation!H$4:H$1197,"-",0)="-",0,MATCH(_xlfn.XLOOKUP($A1046,Korrelation!$D$4:$D$1197,Korrelation!H$4:H$1197,"",0),DMAV_Dienste!$F$6:$F$140,0)))</f>
        <v>0</v>
      </c>
      <c r="F1046" s="57">
        <f>IF($A1046="","",IF(_xlfn.XLOOKUP($A1046,Korrelation!$D$4:$D$1197,Korrelation!I$4:I$1197,"-",0)="-",0,MATCH(_xlfn.XLOOKUP($A1046,Korrelation!$D$4:$D$1197,Korrelation!I$4:I$1197,"",0),DMAV_Dienste!$F$6:$F$140,0)))</f>
        <v>0</v>
      </c>
      <c r="G1046" s="57">
        <f>IF($A1046="","",IF(_xlfn.XLOOKUP($A1046,Korrelation!$D$4:$D$1197,Korrelation!J$4:J$1197,"-",0)="-",0,MATCH(_xlfn.XLOOKUP($A1046,Korrelation!$D$4:$D$1197,Korrelation!J$4:J$1197,"",0),DMAV_Dienste!$F$6:$F$140,0)))</f>
        <v>0</v>
      </c>
      <c r="H1046" s="57">
        <f>IF($A1046="","",IF(_xlfn.XLOOKUP($A1046,Korrelation!$D$4:$D$1197,Korrelation!K$4:K$1197,"-",0)="-",0,MATCH(_xlfn.XLOOKUP($A1046,Korrelation!$D$4:$D$1197,Korrelation!K$4:K$1197,"",0),'DM01-AV-CH'!$A$6:$A$834,0)))</f>
        <v>645</v>
      </c>
      <c r="J1046" s="54" t="str" cm="1">
        <f t="array" aca="1" ref="J1046" ca="1">IF(B1046=0,IF(E1046=0,"",HYPERLINK("#"&amp;RIGHT(CELL("adresse",OFFSET(DMAV_Dienste!$M$6,E1046-1,0)),LEN(CELL("adresse",OFFSET(DMAV_Dienste!$M$6,E1046-1,0)))-FIND("]",CELL("adresse",OFFSET(DMAV_Dienste!$M$6,E1046-1,0)))),"Dienst")),HYPERLINK("#"&amp;RIGHT(CELL("adresse",OFFSET(DMAV_Modell!$N$6,B1046-1,0)),LEN(CELL("adresse",OFFSET(DMAV_Modell!$N$6,B1046-1,0)))-FIND("]",CELL("adresse",OFFSET(DMAV_Modell!$N$6,B1046-1,0)))),"Modell"))</f>
        <v/>
      </c>
      <c r="K1046" s="61" t="str" cm="1">
        <f t="array" ref="K1046">IF($B1046=0,IF($E1046=0,"",IF(INDEX(DMAV_Dienste!P$6:P$140,$E1046)="","",INDEX(DMAV_Dienste!P$6:P$140,$E1046))),IF(INDEX(DMAV_Modell!Q$6:Q$838,$B1046)="","",INDEX(DMAV_Modell!Q$6:Q$838,$B1046)))</f>
        <v/>
      </c>
      <c r="L1046" s="62" t="str" cm="1">
        <f t="array" ref="L1046">IF($B1046=0,IF($E1046=0,"",IF(INDEX(DMAV_Dienste!O$6:O$140,$E1046)="","",INDEX(DMAV_Dienste!O$6:O$140,$E1046))),IF(INDEX(DMAV_Modell!P$6:P$838,$B1046)="","",INDEX(DMAV_Modell!P$6:P$838,$B1046)))</f>
        <v/>
      </c>
      <c r="M1046" s="62" t="str" cm="1">
        <f t="array" ref="M1046">IF($B1046=0,IF($E1046=0,"",IF(INDEX(DMAV_Dienste!Q$6:Q$140,$E1046)="","",INDEX(DMAV_Dienste!Q$6:Q$140,$E1046))),IF(INDEX(DMAV_Modell!R$6:R$838,$B1046)="","",INDEX(DMAV_Modell!R$6:R$838,$B1046)))</f>
        <v/>
      </c>
      <c r="N1046" s="62" t="str" cm="1">
        <f t="array" ref="N1046">IF($B1046=0,IF($E1046=0,"",IF(INDEX(DMAV_Dienste!T$6:T$140,$E1046)="","",INDEX(DMAV_Dienste!T$6:T$140,$E1046))),IF(INDEX(DMAV_Modell!U$6:U$838,$B1046)="","",INDEX(DMAV_Modell!U$6:U$838,$B1046)))</f>
        <v/>
      </c>
      <c r="O1046" s="63" t="str" cm="1">
        <f t="array" aca="1" ref="O1046" ca="1">IF(C1046=0,IF(F1046=0,"",HYPERLINK("#"&amp;RIGHT(CELL("adresse",OFFSET(DMAV_Dienste!$M$6,F1046-1,0)),LEN(CELL("adresse",OFFSET(DMAV_Dienste!$M$6,F1046-1,0)))-FIND("]",CELL("adresse",OFFSET(DMAV_Dienste!$M$6,F1046-1,0)))),"Structure")),HYPERLINK("#"&amp;RIGHT(CELL("adresse",OFFSET(DMAV_Modell!$N$6,C1046-1,0)),LEN(CELL("adresse",OFFSET(DMAV_Modell!$N$6,C1046-1,0)))-FIND("]",CELL("adresse",OFFSET(DMAV_Modell!$N$6,C1046-1,0)))),"Structure"))</f>
        <v/>
      </c>
      <c r="P1046" s="64" t="str" cm="1">
        <f t="array" aca="1" ref="P1046" ca="1">IF(D1046=0,IF(G1046=0,"",HYPERLINK("#"&amp;RIGHT(CELL("adresse",OFFSET(DMAV_Dienste!$M$6,G1046-1,0)),LEN(CELL("adresse",OFFSET(DMAV_Dienste!$M$6,G1046-1,0)))-FIND("]",CELL("adresse",OFFSET(DMAV_Dienste!$M$6,G1046-1,0)))),"Substructure")),HYPERLINK("#"&amp;RIGHT(CELL("adresse",OFFSET(DMAV_Modell!$N$6,D1046-1,0)),LEN(CELL("adresse",OFFSET(DMAV_Modell!$N$6,D1046-1,0)))-FIND("]",CELL("adresse",OFFSET(DMAV_Modell!$N$6,D1046-1,0)))),"Substructure"))</f>
        <v/>
      </c>
      <c r="R1046" s="80"/>
      <c r="T1046" s="93"/>
      <c r="U1046" s="94"/>
      <c r="V1046" s="95"/>
      <c r="W1046" s="96"/>
      <c r="Y1046" s="85"/>
      <c r="Z1046" s="86"/>
      <c r="AA1046" s="87"/>
      <c r="AB1046" s="88"/>
      <c r="AD1046" s="77"/>
      <c r="AF1046" s="54" t="str" cm="1">
        <f t="array" aca="1" ref="AF1046" ca="1">IF(H1046=0,"",HYPERLINK("#"&amp;RIGHT(CELL("adresse",OFFSET('DM01-AV-CH'!$G$6,H1046-1,0)),LEN(CELL("adresse",OFFSET('DM01-AV-CH'!$G$6,H1046-1,0)))-FIND("]",CELL("adresse",OFFSET('DM01-AV-CH'!$G$6,H1046-1,0)))),"Modell"))</f>
        <v>Modell</v>
      </c>
      <c r="AG1046" s="72" t="str" cm="1">
        <f t="array" ref="AG1046">IF($H1046=0,"",IF(INDEX('DM01-AV-CH'!G$6:G$834,$H1046)="","",INDEX('DM01-AV-CH'!G$6:G$834,$H1046)))</f>
        <v>TSEinteilung</v>
      </c>
      <c r="AH1046" s="73" t="str" cm="1">
        <f t="array" ref="AH1046">IF($H1046=0,"",IF(INDEX('DM01-AV-CH'!H$6:H$834,$H1046)="","",INDEX('DM01-AV-CH'!H$6:H$834,$H1046)))</f>
        <v>ToleranzstufePos</v>
      </c>
      <c r="AI1046" s="74" t="str" cm="1">
        <f t="array" ref="AI1046">IF($H1046=0,"",IF(INDEX('DM01-AV-CH'!I$6:I$834,$H1046)="","",INDEX('DM01-AV-CH'!I$6:I$834,$H1046)))</f>
        <v>HAli</v>
      </c>
    </row>
    <row r="1047" spans="1:35" x14ac:dyDescent="0.25">
      <c r="A1047" s="57">
        <v>1042</v>
      </c>
      <c r="B1047" s="57">
        <f>IF($A1047="","",IF(_xlfn.XLOOKUP($A1047,Korrelation!$D$4:$D$1197,Korrelation!E$4:E$1197,"-",0)="-",0,MATCH(_xlfn.XLOOKUP($A1047,Korrelation!$D$4:$D$1197,Korrelation!E$4:E$1197,"",0),DMAV_Modell!$G$6:$G$677,0)))</f>
        <v>0</v>
      </c>
      <c r="C1047" s="57">
        <f>IF($A1047="","",IF(_xlfn.XLOOKUP($A1047,Korrelation!$D$4:$D$1197,Korrelation!F$4:F$1197,"-",0)="-",0,MATCH(_xlfn.XLOOKUP($A1047,Korrelation!$D$4:$D$1197,Korrelation!F$4:F$1197,"",0),DMAV_Modell!$G$6:$G$677,0)))</f>
        <v>0</v>
      </c>
      <c r="D1047" s="57">
        <f>IF($A1047="","",IF(_xlfn.XLOOKUP($A1047,Korrelation!$D$4:$D$1197,Korrelation!G$4:G$1197,"-",0)="-",0,MATCH(_xlfn.XLOOKUP($A1047,Korrelation!$D$4:$D$1197,Korrelation!G$4:G$1197,"",0),DMAV_Modell!$G$6:$G$677,0)))</f>
        <v>0</v>
      </c>
      <c r="E1047" s="57">
        <f>IF($A1047="","",IF(_xlfn.XLOOKUP($A1047,Korrelation!$D$4:$D$1197,Korrelation!H$4:H$1197,"-",0)="-",0,MATCH(_xlfn.XLOOKUP($A1047,Korrelation!$D$4:$D$1197,Korrelation!H$4:H$1197,"",0),DMAV_Dienste!$F$6:$F$140,0)))</f>
        <v>0</v>
      </c>
      <c r="F1047" s="57">
        <f>IF($A1047="","",IF(_xlfn.XLOOKUP($A1047,Korrelation!$D$4:$D$1197,Korrelation!I$4:I$1197,"-",0)="-",0,MATCH(_xlfn.XLOOKUP($A1047,Korrelation!$D$4:$D$1197,Korrelation!I$4:I$1197,"",0),DMAV_Dienste!$F$6:$F$140,0)))</f>
        <v>0</v>
      </c>
      <c r="G1047" s="57">
        <f>IF($A1047="","",IF(_xlfn.XLOOKUP($A1047,Korrelation!$D$4:$D$1197,Korrelation!J$4:J$1197,"-",0)="-",0,MATCH(_xlfn.XLOOKUP($A1047,Korrelation!$D$4:$D$1197,Korrelation!J$4:J$1197,"",0),DMAV_Dienste!$F$6:$F$140,0)))</f>
        <v>0</v>
      </c>
      <c r="H1047" s="57">
        <f>IF($A1047="","",IF(_xlfn.XLOOKUP($A1047,Korrelation!$D$4:$D$1197,Korrelation!K$4:K$1197,"-",0)="-",0,MATCH(_xlfn.XLOOKUP($A1047,Korrelation!$D$4:$D$1197,Korrelation!K$4:K$1197,"",0),'DM01-AV-CH'!$A$6:$A$834,0)))</f>
        <v>646</v>
      </c>
      <c r="J1047" s="54" t="str" cm="1">
        <f t="array" aca="1" ref="J1047" ca="1">IF(B1047=0,IF(E1047=0,"",HYPERLINK("#"&amp;RIGHT(CELL("adresse",OFFSET(DMAV_Dienste!$M$6,E1047-1,0)),LEN(CELL("adresse",OFFSET(DMAV_Dienste!$M$6,E1047-1,0)))-FIND("]",CELL("adresse",OFFSET(DMAV_Dienste!$M$6,E1047-1,0)))),"Dienst")),HYPERLINK("#"&amp;RIGHT(CELL("adresse",OFFSET(DMAV_Modell!$N$6,B1047-1,0)),LEN(CELL("adresse",OFFSET(DMAV_Modell!$N$6,B1047-1,0)))-FIND("]",CELL("adresse",OFFSET(DMAV_Modell!$N$6,B1047-1,0)))),"Modell"))</f>
        <v/>
      </c>
      <c r="K1047" s="61" t="str" cm="1">
        <f t="array" ref="K1047">IF($B1047=0,IF($E1047=0,"",IF(INDEX(DMAV_Dienste!P$6:P$140,$E1047)="","",INDEX(DMAV_Dienste!P$6:P$140,$E1047))),IF(INDEX(DMAV_Modell!Q$6:Q$838,$B1047)="","",INDEX(DMAV_Modell!Q$6:Q$838,$B1047)))</f>
        <v/>
      </c>
      <c r="L1047" s="62" t="str" cm="1">
        <f t="array" ref="L1047">IF($B1047=0,IF($E1047=0,"",IF(INDEX(DMAV_Dienste!O$6:O$140,$E1047)="","",INDEX(DMAV_Dienste!O$6:O$140,$E1047))),IF(INDEX(DMAV_Modell!P$6:P$838,$B1047)="","",INDEX(DMAV_Modell!P$6:P$838,$B1047)))</f>
        <v/>
      </c>
      <c r="M1047" s="62" t="str" cm="1">
        <f t="array" ref="M1047">IF($B1047=0,IF($E1047=0,"",IF(INDEX(DMAV_Dienste!Q$6:Q$140,$E1047)="","",INDEX(DMAV_Dienste!Q$6:Q$140,$E1047))),IF(INDEX(DMAV_Modell!R$6:R$838,$B1047)="","",INDEX(DMAV_Modell!R$6:R$838,$B1047)))</f>
        <v/>
      </c>
      <c r="N1047" s="62" t="str" cm="1">
        <f t="array" ref="N1047">IF($B1047=0,IF($E1047=0,"",IF(INDEX(DMAV_Dienste!T$6:T$140,$E1047)="","",INDEX(DMAV_Dienste!T$6:T$140,$E1047))),IF(INDEX(DMAV_Modell!U$6:U$838,$B1047)="","",INDEX(DMAV_Modell!U$6:U$838,$B1047)))</f>
        <v/>
      </c>
      <c r="O1047" s="63" t="str" cm="1">
        <f t="array" aca="1" ref="O1047" ca="1">IF(C1047=0,IF(F1047=0,"",HYPERLINK("#"&amp;RIGHT(CELL("adresse",OFFSET(DMAV_Dienste!$M$6,F1047-1,0)),LEN(CELL("adresse",OFFSET(DMAV_Dienste!$M$6,F1047-1,0)))-FIND("]",CELL("adresse",OFFSET(DMAV_Dienste!$M$6,F1047-1,0)))),"Structure")),HYPERLINK("#"&amp;RIGHT(CELL("adresse",OFFSET(DMAV_Modell!$N$6,C1047-1,0)),LEN(CELL("adresse",OFFSET(DMAV_Modell!$N$6,C1047-1,0)))-FIND("]",CELL("adresse",OFFSET(DMAV_Modell!$N$6,C1047-1,0)))),"Structure"))</f>
        <v/>
      </c>
      <c r="P1047" s="64" t="str" cm="1">
        <f t="array" aca="1" ref="P1047" ca="1">IF(D1047=0,IF(G1047=0,"",HYPERLINK("#"&amp;RIGHT(CELL("adresse",OFFSET(DMAV_Dienste!$M$6,G1047-1,0)),LEN(CELL("adresse",OFFSET(DMAV_Dienste!$M$6,G1047-1,0)))-FIND("]",CELL("adresse",OFFSET(DMAV_Dienste!$M$6,G1047-1,0)))),"Substructure")),HYPERLINK("#"&amp;RIGHT(CELL("adresse",OFFSET(DMAV_Modell!$N$6,D1047-1,0)),LEN(CELL("adresse",OFFSET(DMAV_Modell!$N$6,D1047-1,0)))-FIND("]",CELL("adresse",OFFSET(DMAV_Modell!$N$6,D1047-1,0)))),"Substructure"))</f>
        <v/>
      </c>
      <c r="R1047" s="80"/>
      <c r="T1047" s="93"/>
      <c r="U1047" s="94"/>
      <c r="V1047" s="95"/>
      <c r="W1047" s="96"/>
      <c r="Y1047" s="85"/>
      <c r="Z1047" s="86"/>
      <c r="AA1047" s="87"/>
      <c r="AB1047" s="88"/>
      <c r="AD1047" s="77"/>
      <c r="AF1047" s="54" t="str" cm="1">
        <f t="array" aca="1" ref="AF1047" ca="1">IF(H1047=0,"",HYPERLINK("#"&amp;RIGHT(CELL("adresse",OFFSET('DM01-AV-CH'!$G$6,H1047-1,0)),LEN(CELL("adresse",OFFSET('DM01-AV-CH'!$G$6,H1047-1,0)))-FIND("]",CELL("adresse",OFFSET('DM01-AV-CH'!$G$6,H1047-1,0)))),"Modell"))</f>
        <v>Modell</v>
      </c>
      <c r="AG1047" s="72" t="str" cm="1">
        <f t="array" ref="AG1047">IF($H1047=0,"",IF(INDEX('DM01-AV-CH'!G$6:G$834,$H1047)="","",INDEX('DM01-AV-CH'!G$6:G$834,$H1047)))</f>
        <v>TSEinteilung</v>
      </c>
      <c r="AH1047" s="73" t="str" cm="1">
        <f t="array" ref="AH1047">IF($H1047=0,"",IF(INDEX('DM01-AV-CH'!H$6:H$834,$H1047)="","",INDEX('DM01-AV-CH'!H$6:H$834,$H1047)))</f>
        <v>ToleranzstufePos</v>
      </c>
      <c r="AI1047" s="74" t="str" cm="1">
        <f t="array" ref="AI1047">IF($H1047=0,"",IF(INDEX('DM01-AV-CH'!I$6:I$834,$H1047)="","",INDEX('DM01-AV-CH'!I$6:I$834,$H1047)))</f>
        <v>VAli</v>
      </c>
    </row>
    <row r="1048" spans="1:35" x14ac:dyDescent="0.25">
      <c r="A1048" s="57">
        <v>1043</v>
      </c>
      <c r="B1048" s="57">
        <f>IF($A1048="","",IF(_xlfn.XLOOKUP($A1048,Korrelation!$D$4:$D$1197,Korrelation!E$4:E$1197,"-",0)="-",0,MATCH(_xlfn.XLOOKUP($A1048,Korrelation!$D$4:$D$1197,Korrelation!E$4:E$1197,"",0),DMAV_Modell!$G$6:$G$677,0)))</f>
        <v>0</v>
      </c>
      <c r="C1048" s="57">
        <f>IF($A1048="","",IF(_xlfn.XLOOKUP($A1048,Korrelation!$D$4:$D$1197,Korrelation!F$4:F$1197,"-",0)="-",0,MATCH(_xlfn.XLOOKUP($A1048,Korrelation!$D$4:$D$1197,Korrelation!F$4:F$1197,"",0),DMAV_Modell!$G$6:$G$677,0)))</f>
        <v>0</v>
      </c>
      <c r="D1048" s="57">
        <f>IF($A1048="","",IF(_xlfn.XLOOKUP($A1048,Korrelation!$D$4:$D$1197,Korrelation!G$4:G$1197,"-",0)="-",0,MATCH(_xlfn.XLOOKUP($A1048,Korrelation!$D$4:$D$1197,Korrelation!G$4:G$1197,"",0),DMAV_Modell!$G$6:$G$677,0)))</f>
        <v>0</v>
      </c>
      <c r="E1048" s="57">
        <f>IF($A1048="","",IF(_xlfn.XLOOKUP($A1048,Korrelation!$D$4:$D$1197,Korrelation!H$4:H$1197,"-",0)="-",0,MATCH(_xlfn.XLOOKUP($A1048,Korrelation!$D$4:$D$1197,Korrelation!H$4:H$1197,"",0),DMAV_Dienste!$F$6:$F$140,0)))</f>
        <v>0</v>
      </c>
      <c r="F1048" s="57">
        <f>IF($A1048="","",IF(_xlfn.XLOOKUP($A1048,Korrelation!$D$4:$D$1197,Korrelation!I$4:I$1197,"-",0)="-",0,MATCH(_xlfn.XLOOKUP($A1048,Korrelation!$D$4:$D$1197,Korrelation!I$4:I$1197,"",0),DMAV_Dienste!$F$6:$F$140,0)))</f>
        <v>0</v>
      </c>
      <c r="G1048" s="57">
        <f>IF($A1048="","",IF(_xlfn.XLOOKUP($A1048,Korrelation!$D$4:$D$1197,Korrelation!J$4:J$1197,"-",0)="-",0,MATCH(_xlfn.XLOOKUP($A1048,Korrelation!$D$4:$D$1197,Korrelation!J$4:J$1197,"",0),DMAV_Dienste!$F$6:$F$140,0)))</f>
        <v>0</v>
      </c>
      <c r="H1048" s="57">
        <f>IF($A1048="","",IF(_xlfn.XLOOKUP($A1048,Korrelation!$D$4:$D$1197,Korrelation!K$4:K$1197,"-",0)="-",0,MATCH(_xlfn.XLOOKUP($A1048,Korrelation!$D$4:$D$1197,Korrelation!K$4:K$1197,"",0),'DM01-AV-CH'!$A$6:$A$834,0)))</f>
        <v>647</v>
      </c>
      <c r="J1048" s="54" t="str" cm="1">
        <f t="array" aca="1" ref="J1048" ca="1">IF(B1048=0,IF(E1048=0,"",HYPERLINK("#"&amp;RIGHT(CELL("adresse",OFFSET(DMAV_Dienste!$M$6,E1048-1,0)),LEN(CELL("adresse",OFFSET(DMAV_Dienste!$M$6,E1048-1,0)))-FIND("]",CELL("adresse",OFFSET(DMAV_Dienste!$M$6,E1048-1,0)))),"Dienst")),HYPERLINK("#"&amp;RIGHT(CELL("adresse",OFFSET(DMAV_Modell!$N$6,B1048-1,0)),LEN(CELL("adresse",OFFSET(DMAV_Modell!$N$6,B1048-1,0)))-FIND("]",CELL("adresse",OFFSET(DMAV_Modell!$N$6,B1048-1,0)))),"Modell"))</f>
        <v/>
      </c>
      <c r="K1048" s="61" t="str" cm="1">
        <f t="array" ref="K1048">IF($B1048=0,IF($E1048=0,"",IF(INDEX(DMAV_Dienste!P$6:P$140,$E1048)="","",INDEX(DMAV_Dienste!P$6:P$140,$E1048))),IF(INDEX(DMAV_Modell!Q$6:Q$838,$B1048)="","",INDEX(DMAV_Modell!Q$6:Q$838,$B1048)))</f>
        <v/>
      </c>
      <c r="L1048" s="62" t="str" cm="1">
        <f t="array" ref="L1048">IF($B1048=0,IF($E1048=0,"",IF(INDEX(DMAV_Dienste!O$6:O$140,$E1048)="","",INDEX(DMAV_Dienste!O$6:O$140,$E1048))),IF(INDEX(DMAV_Modell!P$6:P$838,$B1048)="","",INDEX(DMAV_Modell!P$6:P$838,$B1048)))</f>
        <v/>
      </c>
      <c r="M1048" s="62" t="str" cm="1">
        <f t="array" ref="M1048">IF($B1048=0,IF($E1048=0,"",IF(INDEX(DMAV_Dienste!Q$6:Q$140,$E1048)="","",INDEX(DMAV_Dienste!Q$6:Q$140,$E1048))),IF(INDEX(DMAV_Modell!R$6:R$838,$B1048)="","",INDEX(DMAV_Modell!R$6:R$838,$B1048)))</f>
        <v/>
      </c>
      <c r="N1048" s="62" t="str" cm="1">
        <f t="array" ref="N1048">IF($B1048=0,IF($E1048=0,"",IF(INDEX(DMAV_Dienste!T$6:T$140,$E1048)="","",INDEX(DMAV_Dienste!T$6:T$140,$E1048))),IF(INDEX(DMAV_Modell!U$6:U$838,$B1048)="","",INDEX(DMAV_Modell!U$6:U$838,$B1048)))</f>
        <v/>
      </c>
      <c r="O1048" s="63" t="str" cm="1">
        <f t="array" aca="1" ref="O1048" ca="1">IF(C1048=0,IF(F1048=0,"",HYPERLINK("#"&amp;RIGHT(CELL("adresse",OFFSET(DMAV_Dienste!$M$6,F1048-1,0)),LEN(CELL("adresse",OFFSET(DMAV_Dienste!$M$6,F1048-1,0)))-FIND("]",CELL("adresse",OFFSET(DMAV_Dienste!$M$6,F1048-1,0)))),"Structure")),HYPERLINK("#"&amp;RIGHT(CELL("adresse",OFFSET(DMAV_Modell!$N$6,C1048-1,0)),LEN(CELL("adresse",OFFSET(DMAV_Modell!$N$6,C1048-1,0)))-FIND("]",CELL("adresse",OFFSET(DMAV_Modell!$N$6,C1048-1,0)))),"Structure"))</f>
        <v/>
      </c>
      <c r="P1048" s="64" t="str" cm="1">
        <f t="array" aca="1" ref="P1048" ca="1">IF(D1048=0,IF(G1048=0,"",HYPERLINK("#"&amp;RIGHT(CELL("adresse",OFFSET(DMAV_Dienste!$M$6,G1048-1,0)),LEN(CELL("adresse",OFFSET(DMAV_Dienste!$M$6,G1048-1,0)))-FIND("]",CELL("adresse",OFFSET(DMAV_Dienste!$M$6,G1048-1,0)))),"Substructure")),HYPERLINK("#"&amp;RIGHT(CELL("adresse",OFFSET(DMAV_Modell!$N$6,D1048-1,0)),LEN(CELL("adresse",OFFSET(DMAV_Modell!$N$6,D1048-1,0)))-FIND("]",CELL("adresse",OFFSET(DMAV_Modell!$N$6,D1048-1,0)))),"Substructure"))</f>
        <v/>
      </c>
      <c r="R1048" s="80"/>
      <c r="T1048" s="93"/>
      <c r="U1048" s="94"/>
      <c r="V1048" s="95"/>
      <c r="W1048" s="96"/>
      <c r="Y1048" s="85"/>
      <c r="Z1048" s="86"/>
      <c r="AA1048" s="87"/>
      <c r="AB1048" s="88"/>
      <c r="AD1048" s="77"/>
      <c r="AF1048" s="54" t="str" cm="1">
        <f t="array" aca="1" ref="AF1048" ca="1">IF(H1048=0,"",HYPERLINK("#"&amp;RIGHT(CELL("adresse",OFFSET('DM01-AV-CH'!$G$6,H1048-1,0)),LEN(CELL("adresse",OFFSET('DM01-AV-CH'!$G$6,H1048-1,0)))-FIND("]",CELL("adresse",OFFSET('DM01-AV-CH'!$G$6,H1048-1,0)))),"Modell"))</f>
        <v>Modell</v>
      </c>
      <c r="AG1048" s="72" t="str" cm="1">
        <f t="array" ref="AG1048">IF($H1048=0,"",IF(INDEX('DM01-AV-CH'!G$6:G$834,$H1048)="","",INDEX('DM01-AV-CH'!G$6:G$834,$H1048)))</f>
        <v>TSEinteilung</v>
      </c>
      <c r="AH1048" s="73" t="str" cm="1">
        <f t="array" ref="AH1048">IF($H1048=0,"",IF(INDEX('DM01-AV-CH'!H$6:H$834,$H1048)="","",INDEX('DM01-AV-CH'!H$6:H$834,$H1048)))</f>
        <v>ToleranzstufePos</v>
      </c>
      <c r="AI1048" s="74" t="str" cm="1">
        <f t="array" ref="AI1048">IF($H1048=0,"",IF(INDEX('DM01-AV-CH'!I$6:I$834,$H1048)="","",INDEX('DM01-AV-CH'!I$6:I$834,$H1048)))</f>
        <v>Groesse</v>
      </c>
    </row>
    <row r="1049" spans="1:35" x14ac:dyDescent="0.25">
      <c r="A1049" s="57">
        <v>1044</v>
      </c>
      <c r="B1049" s="57">
        <f>IF($A1049="","",IF(_xlfn.XLOOKUP($A1049,Korrelation!$D$4:$D$1197,Korrelation!E$4:E$1197,"-",0)="-",0,MATCH(_xlfn.XLOOKUP($A1049,Korrelation!$D$4:$D$1197,Korrelation!E$4:E$1197,"",0),DMAV_Modell!$G$6:$G$677,0)))</f>
        <v>611</v>
      </c>
      <c r="C1049" s="57">
        <f>IF($A1049="","",IF(_xlfn.XLOOKUP($A1049,Korrelation!$D$4:$D$1197,Korrelation!F$4:F$1197,"-",0)="-",0,MATCH(_xlfn.XLOOKUP($A1049,Korrelation!$D$4:$D$1197,Korrelation!F$4:F$1197,"",0),DMAV_Modell!$G$6:$G$677,0)))</f>
        <v>0</v>
      </c>
      <c r="D1049" s="57">
        <f>IF($A1049="","",IF(_xlfn.XLOOKUP($A1049,Korrelation!$D$4:$D$1197,Korrelation!G$4:G$1197,"-",0)="-",0,MATCH(_xlfn.XLOOKUP($A1049,Korrelation!$D$4:$D$1197,Korrelation!G$4:G$1197,"",0),DMAV_Modell!$G$6:$G$677,0)))</f>
        <v>0</v>
      </c>
      <c r="E1049" s="57">
        <f>IF($A1049="","",IF(_xlfn.XLOOKUP($A1049,Korrelation!$D$4:$D$1197,Korrelation!H$4:H$1197,"-",0)="-",0,MATCH(_xlfn.XLOOKUP($A1049,Korrelation!$D$4:$D$1197,Korrelation!H$4:H$1197,"",0),DMAV_Dienste!$F$6:$F$140,0)))</f>
        <v>0</v>
      </c>
      <c r="F1049" s="57">
        <f>IF($A1049="","",IF(_xlfn.XLOOKUP($A1049,Korrelation!$D$4:$D$1197,Korrelation!I$4:I$1197,"-",0)="-",0,MATCH(_xlfn.XLOOKUP($A1049,Korrelation!$D$4:$D$1197,Korrelation!I$4:I$1197,"",0),DMAV_Dienste!$F$6:$F$140,0)))</f>
        <v>0</v>
      </c>
      <c r="G1049" s="57">
        <f>IF($A1049="","",IF(_xlfn.XLOOKUP($A1049,Korrelation!$D$4:$D$1197,Korrelation!J$4:J$1197,"-",0)="-",0,MATCH(_xlfn.XLOOKUP($A1049,Korrelation!$D$4:$D$1197,Korrelation!J$4:J$1197,"",0),DMAV_Dienste!$F$6:$F$140,0)))</f>
        <v>0</v>
      </c>
      <c r="H1049" s="57">
        <f>IF($A1049="","",IF(_xlfn.XLOOKUP($A1049,Korrelation!$D$4:$D$1197,Korrelation!K$4:K$1197,"-",0)="-",0,MATCH(_xlfn.XLOOKUP($A1049,Korrelation!$D$4:$D$1197,Korrelation!K$4:K$1197,"",0),'DM01-AV-CH'!$A$6:$A$834,0)))</f>
        <v>0</v>
      </c>
      <c r="J1049" s="54" t="str" cm="1">
        <f t="array" aca="1" ref="J1049" ca="1">IF(B1049=0,IF(E1049=0,"",HYPERLINK("#"&amp;RIGHT(CELL("adresse",OFFSET(DMAV_Dienste!$M$6,E1049-1,0)),LEN(CELL("adresse",OFFSET(DMAV_Dienste!$M$6,E1049-1,0)))-FIND("]",CELL("adresse",OFFSET(DMAV_Dienste!$M$6,E1049-1,0)))),"Dienst")),HYPERLINK("#"&amp;RIGHT(CELL("adresse",OFFSET(DMAV_Modell!$N$6,B1049-1,0)),LEN(CELL("adresse",OFFSET(DMAV_Modell!$N$6,B1049-1,0)))-FIND("]",CELL("adresse",OFFSET(DMAV_Modell!$N$6,B1049-1,0)))),"Modell"))</f>
        <v>Modell</v>
      </c>
      <c r="K1049" s="61" t="str" cm="1">
        <f t="array" ref="K1049">IF($B1049=0,IF($E1049=0,"",IF(INDEX(DMAV_Dienste!P$6:P$140,$E1049)="","",INDEX(DMAV_Dienste!P$6:P$140,$E1049))),IF(INDEX(DMAV_Modell!Q$6:Q$838,$B1049)="","",INDEX(DMAV_Modell!Q$6:Q$838,$B1049)))</f>
        <v>ASSOCIATION</v>
      </c>
      <c r="L1049" s="62" t="str" cm="1">
        <f t="array" ref="L1049">IF($B1049=0,IF($E1049=0,"",IF(INDEX(DMAV_Dienste!O$6:O$140,$E1049)="","",INDEX(DMAV_Dienste!O$6:O$140,$E1049))),IF(INDEX(DMAV_Modell!P$6:P$838,$B1049)="","",INDEX(DMAV_Modell!P$6:P$838,$B1049)))</f>
        <v>Toleranzstufen</v>
      </c>
      <c r="M1049" s="62" t="str" cm="1">
        <f t="array" ref="M1049">IF($B1049=0,IF($E1049=0,"",IF(INDEX(DMAV_Dienste!Q$6:Q$140,$E1049)="","",INDEX(DMAV_Dienste!Q$6:Q$140,$E1049))),IF(INDEX(DMAV_Modell!R$6:R$838,$B1049)="","",INDEX(DMAV_Modell!R$6:R$838,$B1049)))</f>
        <v>Entstehung_Toleranzstufe</v>
      </c>
      <c r="N1049" s="62" t="str" cm="1">
        <f t="array" ref="N1049">IF($B1049=0,IF($E1049=0,"",IF(INDEX(DMAV_Dienste!T$6:T$140,$E1049)="","",INDEX(DMAV_Dienste!T$6:T$140,$E1049))),IF(INDEX(DMAV_Modell!U$6:U$838,$B1049)="","",INDEX(DMAV_Modell!U$6:U$838,$B1049)))</f>
        <v>Entstehung</v>
      </c>
      <c r="O1049" s="63" t="str" cm="1">
        <f t="array" aca="1" ref="O1049" ca="1">IF(C1049=0,IF(F1049=0,"",HYPERLINK("#"&amp;RIGHT(CELL("adresse",OFFSET(DMAV_Dienste!$M$6,F1049-1,0)),LEN(CELL("adresse",OFFSET(DMAV_Dienste!$M$6,F1049-1,0)))-FIND("]",CELL("adresse",OFFSET(DMAV_Dienste!$M$6,F1049-1,0)))),"Structure")),HYPERLINK("#"&amp;RIGHT(CELL("adresse",OFFSET(DMAV_Modell!$N$6,C1049-1,0)),LEN(CELL("adresse",OFFSET(DMAV_Modell!$N$6,C1049-1,0)))-FIND("]",CELL("adresse",OFFSET(DMAV_Modell!$N$6,C1049-1,0)))),"Structure"))</f>
        <v/>
      </c>
      <c r="P1049" s="64" t="str" cm="1">
        <f t="array" aca="1" ref="P1049" ca="1">IF(D1049=0,IF(G1049=0,"",HYPERLINK("#"&amp;RIGHT(CELL("adresse",OFFSET(DMAV_Dienste!$M$6,G1049-1,0)),LEN(CELL("adresse",OFFSET(DMAV_Dienste!$M$6,G1049-1,0)))-FIND("]",CELL("adresse",OFFSET(DMAV_Dienste!$M$6,G1049-1,0)))),"Substructure")),HYPERLINK("#"&amp;RIGHT(CELL("adresse",OFFSET(DMAV_Modell!$N$6,D1049-1,0)),LEN(CELL("adresse",OFFSET(DMAV_Modell!$N$6,D1049-1,0)))-FIND("]",CELL("adresse",OFFSET(DMAV_Modell!$N$6,D1049-1,0)))),"Substructure"))</f>
        <v/>
      </c>
      <c r="R1049" s="80"/>
      <c r="T1049" s="93"/>
      <c r="U1049" s="94"/>
      <c r="V1049" s="95"/>
      <c r="W1049" s="96"/>
      <c r="Y1049" s="85"/>
      <c r="Z1049" s="86"/>
      <c r="AA1049" s="87"/>
      <c r="AB1049" s="88"/>
      <c r="AD1049" s="77"/>
      <c r="AF1049" s="54" t="str" cm="1">
        <f t="array" aca="1" ref="AF1049" ca="1">IF(H1049=0,"",HYPERLINK("#"&amp;RIGHT(CELL("adresse",OFFSET('DM01-AV-CH'!$G$6,H1049-1,0)),LEN(CELL("adresse",OFFSET('DM01-AV-CH'!$G$6,H1049-1,0)))-FIND("]",CELL("adresse",OFFSET('DM01-AV-CH'!$G$6,H1049-1,0)))),"Modell"))</f>
        <v/>
      </c>
      <c r="AG1049" s="72" t="str" cm="1">
        <f t="array" ref="AG1049">IF($H1049=0,"",IF(INDEX('DM01-AV-CH'!G$6:G$834,$H1049)="","",INDEX('DM01-AV-CH'!G$6:G$834,$H1049)))</f>
        <v/>
      </c>
      <c r="AH1049" s="73" t="str" cm="1">
        <f t="array" ref="AH1049">IF($H1049=0,"",IF(INDEX('DM01-AV-CH'!H$6:H$834,$H1049)="","",INDEX('DM01-AV-CH'!H$6:H$834,$H1049)))</f>
        <v/>
      </c>
      <c r="AI1049" s="74" t="str" cm="1">
        <f t="array" ref="AI1049">IF($H1049=0,"",IF(INDEX('DM01-AV-CH'!I$6:I$834,$H1049)="","",INDEX('DM01-AV-CH'!I$6:I$834,$H1049)))</f>
        <v/>
      </c>
    </row>
    <row r="1050" spans="1:35" x14ac:dyDescent="0.25">
      <c r="A1050" s="57">
        <v>1045</v>
      </c>
      <c r="B1050" s="57">
        <f>IF($A1050="","",IF(_xlfn.XLOOKUP($A1050,Korrelation!$D$4:$D$1197,Korrelation!E$4:E$1197,"-",0)="-",0,MATCH(_xlfn.XLOOKUP($A1050,Korrelation!$D$4:$D$1197,Korrelation!E$4:E$1197,"",0),DMAV_Modell!$G$6:$G$677,0)))</f>
        <v>612</v>
      </c>
      <c r="C1050" s="57">
        <f>IF($A1050="","",IF(_xlfn.XLOOKUP($A1050,Korrelation!$D$4:$D$1197,Korrelation!F$4:F$1197,"-",0)="-",0,MATCH(_xlfn.XLOOKUP($A1050,Korrelation!$D$4:$D$1197,Korrelation!F$4:F$1197,"",0),DMAV_Modell!$G$6:$G$677,0)))</f>
        <v>0</v>
      </c>
      <c r="D1050" s="57">
        <f>IF($A1050="","",IF(_xlfn.XLOOKUP($A1050,Korrelation!$D$4:$D$1197,Korrelation!G$4:G$1197,"-",0)="-",0,MATCH(_xlfn.XLOOKUP($A1050,Korrelation!$D$4:$D$1197,Korrelation!G$4:G$1197,"",0),DMAV_Modell!$G$6:$G$677,0)))</f>
        <v>0</v>
      </c>
      <c r="E1050" s="57">
        <f>IF($A1050="","",IF(_xlfn.XLOOKUP($A1050,Korrelation!$D$4:$D$1197,Korrelation!H$4:H$1197,"-",0)="-",0,MATCH(_xlfn.XLOOKUP($A1050,Korrelation!$D$4:$D$1197,Korrelation!H$4:H$1197,"",0),DMAV_Dienste!$F$6:$F$140,0)))</f>
        <v>0</v>
      </c>
      <c r="F1050" s="57">
        <f>IF($A1050="","",IF(_xlfn.XLOOKUP($A1050,Korrelation!$D$4:$D$1197,Korrelation!I$4:I$1197,"-",0)="-",0,MATCH(_xlfn.XLOOKUP($A1050,Korrelation!$D$4:$D$1197,Korrelation!I$4:I$1197,"",0),DMAV_Dienste!$F$6:$F$140,0)))</f>
        <v>0</v>
      </c>
      <c r="G1050" s="57">
        <f>IF($A1050="","",IF(_xlfn.XLOOKUP($A1050,Korrelation!$D$4:$D$1197,Korrelation!J$4:J$1197,"-",0)="-",0,MATCH(_xlfn.XLOOKUP($A1050,Korrelation!$D$4:$D$1197,Korrelation!J$4:J$1197,"",0),DMAV_Dienste!$F$6:$F$140,0)))</f>
        <v>0</v>
      </c>
      <c r="H1050" s="57">
        <f>IF($A1050="","",IF(_xlfn.XLOOKUP($A1050,Korrelation!$D$4:$D$1197,Korrelation!K$4:K$1197,"-",0)="-",0,MATCH(_xlfn.XLOOKUP($A1050,Korrelation!$D$4:$D$1197,Korrelation!K$4:K$1197,"",0),'DM01-AV-CH'!$A$6:$A$834,0)))</f>
        <v>0</v>
      </c>
      <c r="J1050" s="54" t="str" cm="1">
        <f t="array" aca="1" ref="J1050" ca="1">IF(B1050=0,IF(E1050=0,"",HYPERLINK("#"&amp;RIGHT(CELL("adresse",OFFSET(DMAV_Dienste!$M$6,E1050-1,0)),LEN(CELL("adresse",OFFSET(DMAV_Dienste!$M$6,E1050-1,0)))-FIND("]",CELL("adresse",OFFSET(DMAV_Dienste!$M$6,E1050-1,0)))),"Dienst")),HYPERLINK("#"&amp;RIGHT(CELL("adresse",OFFSET(DMAV_Modell!$N$6,B1050-1,0)),LEN(CELL("adresse",OFFSET(DMAV_Modell!$N$6,B1050-1,0)))-FIND("]",CELL("adresse",OFFSET(DMAV_Modell!$N$6,B1050-1,0)))),"Modell"))</f>
        <v>Modell</v>
      </c>
      <c r="K1050" s="61" t="str" cm="1">
        <f t="array" ref="K1050">IF($B1050=0,IF($E1050=0,"",IF(INDEX(DMAV_Dienste!P$6:P$140,$E1050)="","",INDEX(DMAV_Dienste!P$6:P$140,$E1050))),IF(INDEX(DMAV_Modell!Q$6:Q$838,$B1050)="","",INDEX(DMAV_Modell!Q$6:Q$838,$B1050)))</f>
        <v>ASSOCIATION</v>
      </c>
      <c r="L1050" s="62" t="str" cm="1">
        <f t="array" ref="L1050">IF($B1050=0,IF($E1050=0,"",IF(INDEX(DMAV_Dienste!O$6:O$140,$E1050)="","",INDEX(DMAV_Dienste!O$6:O$140,$E1050))),IF(INDEX(DMAV_Modell!P$6:P$838,$B1050)="","",INDEX(DMAV_Modell!P$6:P$838,$B1050)))</f>
        <v>Toleranzstufen</v>
      </c>
      <c r="M1050" s="62" t="str" cm="1">
        <f t="array" ref="M1050">IF($B1050=0,IF($E1050=0,"",IF(INDEX(DMAV_Dienste!Q$6:Q$140,$E1050)="","",INDEX(DMAV_Dienste!Q$6:Q$140,$E1050))),IF(INDEX(DMAV_Modell!R$6:R$838,$B1050)="","",INDEX(DMAV_Modell!R$6:R$838,$B1050)))</f>
        <v>Entstehung_Toleranzstufe</v>
      </c>
      <c r="N1050" s="62" t="str" cm="1">
        <f t="array" ref="N1050">IF($B1050=0,IF($E1050=0,"",IF(INDEX(DMAV_Dienste!T$6:T$140,$E1050)="","",INDEX(DMAV_Dienste!T$6:T$140,$E1050))),IF(INDEX(DMAV_Modell!U$6:U$838,$B1050)="","",INDEX(DMAV_Modell!U$6:U$838,$B1050)))</f>
        <v>entstehende_Toleranzstufe</v>
      </c>
      <c r="O1050" s="63" t="str" cm="1">
        <f t="array" aca="1" ref="O1050" ca="1">IF(C1050=0,IF(F1050=0,"",HYPERLINK("#"&amp;RIGHT(CELL("adresse",OFFSET(DMAV_Dienste!$M$6,F1050-1,0)),LEN(CELL("adresse",OFFSET(DMAV_Dienste!$M$6,F1050-1,0)))-FIND("]",CELL("adresse",OFFSET(DMAV_Dienste!$M$6,F1050-1,0)))),"Structure")),HYPERLINK("#"&amp;RIGHT(CELL("adresse",OFFSET(DMAV_Modell!$N$6,C1050-1,0)),LEN(CELL("adresse",OFFSET(DMAV_Modell!$N$6,C1050-1,0)))-FIND("]",CELL("adresse",OFFSET(DMAV_Modell!$N$6,C1050-1,0)))),"Structure"))</f>
        <v/>
      </c>
      <c r="P1050" s="64" t="str" cm="1">
        <f t="array" aca="1" ref="P1050" ca="1">IF(D1050=0,IF(G1050=0,"",HYPERLINK("#"&amp;RIGHT(CELL("adresse",OFFSET(DMAV_Dienste!$M$6,G1050-1,0)),LEN(CELL("adresse",OFFSET(DMAV_Dienste!$M$6,G1050-1,0)))-FIND("]",CELL("adresse",OFFSET(DMAV_Dienste!$M$6,G1050-1,0)))),"Substructure")),HYPERLINK("#"&amp;RIGHT(CELL("adresse",OFFSET(DMAV_Modell!$N$6,D1050-1,0)),LEN(CELL("adresse",OFFSET(DMAV_Modell!$N$6,D1050-1,0)))-FIND("]",CELL("adresse",OFFSET(DMAV_Modell!$N$6,D1050-1,0)))),"Substructure"))</f>
        <v/>
      </c>
      <c r="R1050" s="80"/>
      <c r="T1050" s="93"/>
      <c r="U1050" s="94"/>
      <c r="V1050" s="95"/>
      <c r="W1050" s="96"/>
      <c r="Y1050" s="85"/>
      <c r="Z1050" s="86"/>
      <c r="AA1050" s="87"/>
      <c r="AB1050" s="88"/>
      <c r="AD1050" s="77"/>
      <c r="AF1050" s="54" t="str" cm="1">
        <f t="array" aca="1" ref="AF1050" ca="1">IF(H1050=0,"",HYPERLINK("#"&amp;RIGHT(CELL("adresse",OFFSET('DM01-AV-CH'!$G$6,H1050-1,0)),LEN(CELL("adresse",OFFSET('DM01-AV-CH'!$G$6,H1050-1,0)))-FIND("]",CELL("adresse",OFFSET('DM01-AV-CH'!$G$6,H1050-1,0)))),"Modell"))</f>
        <v/>
      </c>
      <c r="AG1050" s="72" t="str" cm="1">
        <f t="array" ref="AG1050">IF($H1050=0,"",IF(INDEX('DM01-AV-CH'!G$6:G$834,$H1050)="","",INDEX('DM01-AV-CH'!G$6:G$834,$H1050)))</f>
        <v/>
      </c>
      <c r="AH1050" s="73" t="str" cm="1">
        <f t="array" ref="AH1050">IF($H1050=0,"",IF(INDEX('DM01-AV-CH'!H$6:H$834,$H1050)="","",INDEX('DM01-AV-CH'!H$6:H$834,$H1050)))</f>
        <v/>
      </c>
      <c r="AI1050" s="74" t="str" cm="1">
        <f t="array" ref="AI1050">IF($H1050=0,"",IF(INDEX('DM01-AV-CH'!I$6:I$834,$H1050)="","",INDEX('DM01-AV-CH'!I$6:I$834,$H1050)))</f>
        <v/>
      </c>
    </row>
    <row r="1051" spans="1:35" x14ac:dyDescent="0.25">
      <c r="A1051" s="57">
        <v>1046</v>
      </c>
      <c r="B1051" s="57">
        <f>IF($A1051="","",IF(_xlfn.XLOOKUP($A1051,Korrelation!$D$4:$D$1197,Korrelation!E$4:E$1197,"-",0)="-",0,MATCH(_xlfn.XLOOKUP($A1051,Korrelation!$D$4:$D$1197,Korrelation!E$4:E$1197,"",0),DMAV_Modell!$G$6:$G$677,0)))</f>
        <v>0</v>
      </c>
      <c r="C1051" s="57">
        <f>IF($A1051="","",IF(_xlfn.XLOOKUP($A1051,Korrelation!$D$4:$D$1197,Korrelation!F$4:F$1197,"-",0)="-",0,MATCH(_xlfn.XLOOKUP($A1051,Korrelation!$D$4:$D$1197,Korrelation!F$4:F$1197,"",0),DMAV_Modell!$G$6:$G$677,0)))</f>
        <v>0</v>
      </c>
      <c r="D1051" s="57">
        <f>IF($A1051="","",IF(_xlfn.XLOOKUP($A1051,Korrelation!$D$4:$D$1197,Korrelation!G$4:G$1197,"-",0)="-",0,MATCH(_xlfn.XLOOKUP($A1051,Korrelation!$D$4:$D$1197,Korrelation!G$4:G$1197,"",0),DMAV_Modell!$G$6:$G$677,0)))</f>
        <v>0</v>
      </c>
      <c r="E1051" s="57">
        <f>IF($A1051="","",IF(_xlfn.XLOOKUP($A1051,Korrelation!$D$4:$D$1197,Korrelation!H$4:H$1197,"-",0)="-",0,MATCH(_xlfn.XLOOKUP($A1051,Korrelation!$D$4:$D$1197,Korrelation!H$4:H$1197,"",0),DMAV_Dienste!$F$6:$F$140,0)))</f>
        <v>49</v>
      </c>
      <c r="F1051" s="57">
        <f>IF($A1051="","",IF(_xlfn.XLOOKUP($A1051,Korrelation!$D$4:$D$1197,Korrelation!I$4:I$1197,"-",0)="-",0,MATCH(_xlfn.XLOOKUP($A1051,Korrelation!$D$4:$D$1197,Korrelation!I$4:I$1197,"",0),DMAV_Dienste!$F$6:$F$140,0)))</f>
        <v>0</v>
      </c>
      <c r="G1051" s="57">
        <f>IF($A1051="","",IF(_xlfn.XLOOKUP($A1051,Korrelation!$D$4:$D$1197,Korrelation!J$4:J$1197,"-",0)="-",0,MATCH(_xlfn.XLOOKUP($A1051,Korrelation!$D$4:$D$1197,Korrelation!J$4:J$1197,"",0),DMAV_Dienste!$F$6:$F$140,0)))</f>
        <v>0</v>
      </c>
      <c r="H1051" s="57">
        <f>IF($A1051="","",IF(_xlfn.XLOOKUP($A1051,Korrelation!$D$4:$D$1197,Korrelation!K$4:K$1197,"-",0)="-",0,MATCH(_xlfn.XLOOKUP($A1051,Korrelation!$D$4:$D$1197,Korrelation!K$4:K$1197,"",0),'DM01-AV-CH'!$A$6:$A$834,0)))</f>
        <v>0</v>
      </c>
      <c r="J1051" s="54" t="str" cm="1">
        <f t="array" aca="1" ref="J1051" ca="1">IF(B1051=0,IF(E1051=0,"",HYPERLINK("#"&amp;RIGHT(CELL("adresse",OFFSET(DMAV_Dienste!$M$6,E1051-1,0)),LEN(CELL("adresse",OFFSET(DMAV_Dienste!$M$6,E1051-1,0)))-FIND("]",CELL("adresse",OFFSET(DMAV_Dienste!$M$6,E1051-1,0)))),"Dienst")),HYPERLINK("#"&amp;RIGHT(CELL("adresse",OFFSET(DMAV_Modell!$N$6,B1051-1,0)),LEN(CELL("adresse",OFFSET(DMAV_Modell!$N$6,B1051-1,0)))-FIND("]",CELL("adresse",OFFSET(DMAV_Modell!$N$6,B1051-1,0)))),"Modell"))</f>
        <v>Dienst</v>
      </c>
      <c r="K1051" s="61" t="str" cm="1">
        <f t="array" ref="K1051">IF($B1051=0,IF($E1051=0,"",IF(INDEX(DMAV_Dienste!P$6:P$140,$E1051)="","",INDEX(DMAV_Dienste!P$6:P$140,$E1051))),IF(INDEX(DMAV_Modell!Q$6:Q$838,$B1051)="","",INDEX(DMAV_Modell!Q$6:Q$838,$B1051)))</f>
        <v>IMPORTS</v>
      </c>
      <c r="L1051" s="62" t="str" cm="1">
        <f t="array" ref="L1051">IF($B1051=0,IF($E1051=0,"",IF(INDEX(DMAV_Dienste!O$6:O$140,$E1051)="","",INDEX(DMAV_Dienste!O$6:O$140,$E1051))),IF(INDEX(DMAV_Modell!P$6:P$838,$B1051)="","",INDEX(DMAV_Modell!P$6:P$838,$B1051)))</f>
        <v/>
      </c>
      <c r="M1051" s="62" t="str" cm="1">
        <f t="array" ref="M1051">IF($B1051=0,IF($E1051=0,"",IF(INDEX(DMAV_Dienste!Q$6:Q$140,$E1051)="","",INDEX(DMAV_Dienste!Q$6:Q$140,$E1051))),IF(INDEX(DMAV_Modell!R$6:R$838,$B1051)="","",INDEX(DMAV_Modell!R$6:R$838,$B1051)))</f>
        <v>GeometryCHLV95_V2</v>
      </c>
      <c r="N1051" s="62" t="str" cm="1">
        <f t="array" ref="N1051">IF($B1051=0,IF($E1051=0,"",IF(INDEX(DMAV_Dienste!T$6:T$140,$E1051)="","",INDEX(DMAV_Dienste!T$6:T$140,$E1051))),IF(INDEX(DMAV_Modell!U$6:U$838,$B1051)="","",INDEX(DMAV_Modell!U$6:U$838,$B1051)))</f>
        <v/>
      </c>
      <c r="O1051" s="63" t="str" cm="1">
        <f t="array" aca="1" ref="O1051" ca="1">IF(C1051=0,IF(F1051=0,"",HYPERLINK("#"&amp;RIGHT(CELL("adresse",OFFSET(DMAV_Dienste!$M$6,F1051-1,0)),LEN(CELL("adresse",OFFSET(DMAV_Dienste!$M$6,F1051-1,0)))-FIND("]",CELL("adresse",OFFSET(DMAV_Dienste!$M$6,F1051-1,0)))),"Structure")),HYPERLINK("#"&amp;RIGHT(CELL("adresse",OFFSET(DMAV_Modell!$N$6,C1051-1,0)),LEN(CELL("adresse",OFFSET(DMAV_Modell!$N$6,C1051-1,0)))-FIND("]",CELL("adresse",OFFSET(DMAV_Modell!$N$6,C1051-1,0)))),"Structure"))</f>
        <v/>
      </c>
      <c r="P1051" s="64" t="str" cm="1">
        <f t="array" aca="1" ref="P1051" ca="1">IF(D1051=0,IF(G1051=0,"",HYPERLINK("#"&amp;RIGHT(CELL("adresse",OFFSET(DMAV_Dienste!$M$6,G1051-1,0)),LEN(CELL("adresse",OFFSET(DMAV_Dienste!$M$6,G1051-1,0)))-FIND("]",CELL("adresse",OFFSET(DMAV_Dienste!$M$6,G1051-1,0)))),"Substructure")),HYPERLINK("#"&amp;RIGHT(CELL("adresse",OFFSET(DMAV_Modell!$N$6,D1051-1,0)),LEN(CELL("adresse",OFFSET(DMAV_Modell!$N$6,D1051-1,0)))-FIND("]",CELL("adresse",OFFSET(DMAV_Modell!$N$6,D1051-1,0)))),"Substructure"))</f>
        <v/>
      </c>
      <c r="R1051" s="80"/>
      <c r="T1051" s="93"/>
      <c r="U1051" s="94"/>
      <c r="V1051" s="95"/>
      <c r="W1051" s="96"/>
      <c r="Y1051" s="85"/>
      <c r="Z1051" s="86"/>
      <c r="AA1051" s="87"/>
      <c r="AB1051" s="88"/>
      <c r="AD1051" s="77"/>
      <c r="AF1051" s="54" t="str" cm="1">
        <f t="array" aca="1" ref="AF1051" ca="1">IF(H1051=0,"",HYPERLINK("#"&amp;RIGHT(CELL("adresse",OFFSET('DM01-AV-CH'!$G$6,H1051-1,0)),LEN(CELL("adresse",OFFSET('DM01-AV-CH'!$G$6,H1051-1,0)))-FIND("]",CELL("adresse",OFFSET('DM01-AV-CH'!$G$6,H1051-1,0)))),"Modell"))</f>
        <v/>
      </c>
      <c r="AG1051" s="72" t="str" cm="1">
        <f t="array" ref="AG1051">IF($H1051=0,"",IF(INDEX('DM01-AV-CH'!G$6:G$834,$H1051)="","",INDEX('DM01-AV-CH'!G$6:G$834,$H1051)))</f>
        <v/>
      </c>
      <c r="AH1051" s="73" t="str" cm="1">
        <f t="array" ref="AH1051">IF($H1051=0,"",IF(INDEX('DM01-AV-CH'!H$6:H$834,$H1051)="","",INDEX('DM01-AV-CH'!H$6:H$834,$H1051)))</f>
        <v/>
      </c>
      <c r="AI1051" s="74" t="str" cm="1">
        <f t="array" ref="AI1051">IF($H1051=0,"",IF(INDEX('DM01-AV-CH'!I$6:I$834,$H1051)="","",INDEX('DM01-AV-CH'!I$6:I$834,$H1051)))</f>
        <v/>
      </c>
    </row>
    <row r="1052" spans="1:35" x14ac:dyDescent="0.25">
      <c r="A1052" s="57">
        <v>1047</v>
      </c>
      <c r="B1052" s="57">
        <f>IF($A1052="","",IF(_xlfn.XLOOKUP($A1052,Korrelation!$D$4:$D$1197,Korrelation!E$4:E$1197,"-",0)="-",0,MATCH(_xlfn.XLOOKUP($A1052,Korrelation!$D$4:$D$1197,Korrelation!E$4:E$1197,"",0),DMAV_Modell!$G$6:$G$677,0)))</f>
        <v>0</v>
      </c>
      <c r="C1052" s="57">
        <f>IF($A1052="","",IF(_xlfn.XLOOKUP($A1052,Korrelation!$D$4:$D$1197,Korrelation!F$4:F$1197,"-",0)="-",0,MATCH(_xlfn.XLOOKUP($A1052,Korrelation!$D$4:$D$1197,Korrelation!F$4:F$1197,"",0),DMAV_Modell!$G$6:$G$677,0)))</f>
        <v>0</v>
      </c>
      <c r="D1052" s="57">
        <f>IF($A1052="","",IF(_xlfn.XLOOKUP($A1052,Korrelation!$D$4:$D$1197,Korrelation!G$4:G$1197,"-",0)="-",0,MATCH(_xlfn.XLOOKUP($A1052,Korrelation!$D$4:$D$1197,Korrelation!G$4:G$1197,"",0),DMAV_Modell!$G$6:$G$677,0)))</f>
        <v>0</v>
      </c>
      <c r="E1052" s="57">
        <f>IF($A1052="","",IF(_xlfn.XLOOKUP($A1052,Korrelation!$D$4:$D$1197,Korrelation!H$4:H$1197,"-",0)="-",0,MATCH(_xlfn.XLOOKUP($A1052,Korrelation!$D$4:$D$1197,Korrelation!H$4:H$1197,"",0),DMAV_Dienste!$F$6:$F$140,0)))</f>
        <v>50</v>
      </c>
      <c r="F1052" s="57">
        <f>IF($A1052="","",IF(_xlfn.XLOOKUP($A1052,Korrelation!$D$4:$D$1197,Korrelation!I$4:I$1197,"-",0)="-",0,MATCH(_xlfn.XLOOKUP($A1052,Korrelation!$D$4:$D$1197,Korrelation!I$4:I$1197,"",0),DMAV_Dienste!$F$6:$F$140,0)))</f>
        <v>0</v>
      </c>
      <c r="G1052" s="57">
        <f>IF($A1052="","",IF(_xlfn.XLOOKUP($A1052,Korrelation!$D$4:$D$1197,Korrelation!J$4:J$1197,"-",0)="-",0,MATCH(_xlfn.XLOOKUP($A1052,Korrelation!$D$4:$D$1197,Korrelation!J$4:J$1197,"",0),DMAV_Dienste!$F$6:$F$140,0)))</f>
        <v>0</v>
      </c>
      <c r="H1052" s="57">
        <f>IF($A1052="","",IF(_xlfn.XLOOKUP($A1052,Korrelation!$D$4:$D$1197,Korrelation!K$4:K$1197,"-",0)="-",0,MATCH(_xlfn.XLOOKUP($A1052,Korrelation!$D$4:$D$1197,Korrelation!K$4:K$1197,"",0),'DM01-AV-CH'!$A$6:$A$834,0)))</f>
        <v>0</v>
      </c>
      <c r="J1052" s="54" t="str" cm="1">
        <f t="array" aca="1" ref="J1052" ca="1">IF(B1052=0,IF(E1052=0,"",HYPERLINK("#"&amp;RIGHT(CELL("adresse",OFFSET(DMAV_Dienste!$M$6,E1052-1,0)),LEN(CELL("adresse",OFFSET(DMAV_Dienste!$M$6,E1052-1,0)))-FIND("]",CELL("adresse",OFFSET(DMAV_Dienste!$M$6,E1052-1,0)))),"Dienst")),HYPERLINK("#"&amp;RIGHT(CELL("adresse",OFFSET(DMAV_Modell!$N$6,B1052-1,0)),LEN(CELL("adresse",OFFSET(DMAV_Modell!$N$6,B1052-1,0)))-FIND("]",CELL("adresse",OFFSET(DMAV_Modell!$N$6,B1052-1,0)))),"Modell"))</f>
        <v>Dienst</v>
      </c>
      <c r="K1052" s="61" t="str" cm="1">
        <f t="array" ref="K1052">IF($B1052=0,IF($E1052=0,"",IF(INDEX(DMAV_Dienste!P$6:P$140,$E1052)="","",INDEX(DMAV_Dienste!P$6:P$140,$E1052))),IF(INDEX(DMAV_Modell!Q$6:Q$838,$B1052)="","",INDEX(DMAV_Modell!Q$6:Q$838,$B1052)))</f>
        <v>IMPORTS</v>
      </c>
      <c r="L1052" s="62" t="str" cm="1">
        <f t="array" ref="L1052">IF($B1052=0,IF($E1052=0,"",IF(INDEX(DMAV_Dienste!O$6:O$140,$E1052)="","",INDEX(DMAV_Dienste!O$6:O$140,$E1052))),IF(INDEX(DMAV_Modell!P$6:P$838,$B1052)="","",INDEX(DMAV_Modell!P$6:P$838,$B1052)))</f>
        <v/>
      </c>
      <c r="M1052" s="62" t="str" cm="1">
        <f t="array" ref="M1052">IF($B1052=0,IF($E1052=0,"",IF(INDEX(DMAV_Dienste!Q$6:Q$140,$E1052)="","",INDEX(DMAV_Dienste!Q$6:Q$140,$E1052))),IF(INDEX(DMAV_Modell!R$6:R$838,$B1052)="","",INDEX(DMAV_Modell!R$6:R$838,$B1052)))</f>
        <v>Text_V2</v>
      </c>
      <c r="N1052" s="62" t="str" cm="1">
        <f t="array" ref="N1052">IF($B1052=0,IF($E1052=0,"",IF(INDEX(DMAV_Dienste!T$6:T$140,$E1052)="","",INDEX(DMAV_Dienste!T$6:T$140,$E1052))),IF(INDEX(DMAV_Modell!U$6:U$838,$B1052)="","",INDEX(DMAV_Modell!U$6:U$838,$B1052)))</f>
        <v/>
      </c>
      <c r="O1052" s="63" t="str" cm="1">
        <f t="array" aca="1" ref="O1052" ca="1">IF(C1052=0,IF(F1052=0,"",HYPERLINK("#"&amp;RIGHT(CELL("adresse",OFFSET(DMAV_Dienste!$M$6,F1052-1,0)),LEN(CELL("adresse",OFFSET(DMAV_Dienste!$M$6,F1052-1,0)))-FIND("]",CELL("adresse",OFFSET(DMAV_Dienste!$M$6,F1052-1,0)))),"Structure")),HYPERLINK("#"&amp;RIGHT(CELL("adresse",OFFSET(DMAV_Modell!$N$6,C1052-1,0)),LEN(CELL("adresse",OFFSET(DMAV_Modell!$N$6,C1052-1,0)))-FIND("]",CELL("adresse",OFFSET(DMAV_Modell!$N$6,C1052-1,0)))),"Structure"))</f>
        <v/>
      </c>
      <c r="P1052" s="64" t="str" cm="1">
        <f t="array" aca="1" ref="P1052" ca="1">IF(D1052=0,IF(G1052=0,"",HYPERLINK("#"&amp;RIGHT(CELL("adresse",OFFSET(DMAV_Dienste!$M$6,G1052-1,0)),LEN(CELL("adresse",OFFSET(DMAV_Dienste!$M$6,G1052-1,0)))-FIND("]",CELL("adresse",OFFSET(DMAV_Dienste!$M$6,G1052-1,0)))),"Substructure")),HYPERLINK("#"&amp;RIGHT(CELL("adresse",OFFSET(DMAV_Modell!$N$6,D1052-1,0)),LEN(CELL("adresse",OFFSET(DMAV_Modell!$N$6,D1052-1,0)))-FIND("]",CELL("adresse",OFFSET(DMAV_Modell!$N$6,D1052-1,0)))),"Substructure"))</f>
        <v/>
      </c>
      <c r="R1052" s="80"/>
      <c r="T1052" s="93"/>
      <c r="U1052" s="94"/>
      <c r="V1052" s="95"/>
      <c r="W1052" s="96"/>
      <c r="Y1052" s="85"/>
      <c r="Z1052" s="86"/>
      <c r="AA1052" s="87"/>
      <c r="AB1052" s="88"/>
      <c r="AD1052" s="77"/>
      <c r="AF1052" s="54" t="str" cm="1">
        <f t="array" aca="1" ref="AF1052" ca="1">IF(H1052=0,"",HYPERLINK("#"&amp;RIGHT(CELL("adresse",OFFSET('DM01-AV-CH'!$G$6,H1052-1,0)),LEN(CELL("adresse",OFFSET('DM01-AV-CH'!$G$6,H1052-1,0)))-FIND("]",CELL("adresse",OFFSET('DM01-AV-CH'!$G$6,H1052-1,0)))),"Modell"))</f>
        <v/>
      </c>
      <c r="AG1052" s="72" t="str" cm="1">
        <f t="array" ref="AG1052">IF($H1052=0,"",IF(INDEX('DM01-AV-CH'!G$6:G$834,$H1052)="","",INDEX('DM01-AV-CH'!G$6:G$834,$H1052)))</f>
        <v/>
      </c>
      <c r="AH1052" s="73" t="str" cm="1">
        <f t="array" ref="AH1052">IF($H1052=0,"",IF(INDEX('DM01-AV-CH'!H$6:H$834,$H1052)="","",INDEX('DM01-AV-CH'!H$6:H$834,$H1052)))</f>
        <v/>
      </c>
      <c r="AI1052" s="74" t="str" cm="1">
        <f t="array" ref="AI1052">IF($H1052=0,"",IF(INDEX('DM01-AV-CH'!I$6:I$834,$H1052)="","",INDEX('DM01-AV-CH'!I$6:I$834,$H1052)))</f>
        <v/>
      </c>
    </row>
    <row r="1053" spans="1:35" ht="128.25" x14ac:dyDescent="0.25">
      <c r="A1053" s="57">
        <v>1048</v>
      </c>
      <c r="B1053" s="57">
        <f>IF($A1053="","",IF(_xlfn.XLOOKUP($A1053,Korrelation!$D$4:$D$1197,Korrelation!E$4:E$1197,"-",0)="-",0,MATCH(_xlfn.XLOOKUP($A1053,Korrelation!$D$4:$D$1197,Korrelation!E$4:E$1197,"",0),DMAV_Modell!$G$6:$G$677,0)))</f>
        <v>0</v>
      </c>
      <c r="C1053" s="57">
        <f>IF($A1053="","",IF(_xlfn.XLOOKUP($A1053,Korrelation!$D$4:$D$1197,Korrelation!F$4:F$1197,"-",0)="-",0,MATCH(_xlfn.XLOOKUP($A1053,Korrelation!$D$4:$D$1197,Korrelation!F$4:F$1197,"",0),DMAV_Modell!$G$6:$G$677,0)))</f>
        <v>0</v>
      </c>
      <c r="D1053" s="57">
        <f>IF($A1053="","",IF(_xlfn.XLOOKUP($A1053,Korrelation!$D$4:$D$1197,Korrelation!G$4:G$1197,"-",0)="-",0,MATCH(_xlfn.XLOOKUP($A1053,Korrelation!$D$4:$D$1197,Korrelation!G$4:G$1197,"",0),DMAV_Modell!$G$6:$G$677,0)))</f>
        <v>0</v>
      </c>
      <c r="E1053" s="57">
        <f>IF($A1053="","",IF(_xlfn.XLOOKUP($A1053,Korrelation!$D$4:$D$1197,Korrelation!H$4:H$1197,"-",0)="-",0,MATCH(_xlfn.XLOOKUP($A1053,Korrelation!$D$4:$D$1197,Korrelation!H$4:H$1197,"",0),DMAV_Dienste!$F$6:$F$140,0)))</f>
        <v>0</v>
      </c>
      <c r="F1053" s="57">
        <f>IF($A1053="","",IF(_xlfn.XLOOKUP($A1053,Korrelation!$D$4:$D$1197,Korrelation!I$4:I$1197,"-",0)="-",0,MATCH(_xlfn.XLOOKUP($A1053,Korrelation!$D$4:$D$1197,Korrelation!I$4:I$1197,"",0),DMAV_Dienste!$F$6:$F$140,0)))</f>
        <v>0</v>
      </c>
      <c r="G1053" s="57">
        <f>IF($A1053="","",IF(_xlfn.XLOOKUP($A1053,Korrelation!$D$4:$D$1197,Korrelation!J$4:J$1197,"-",0)="-",0,MATCH(_xlfn.XLOOKUP($A1053,Korrelation!$D$4:$D$1197,Korrelation!J$4:J$1197,"",0),DMAV_Dienste!$F$6:$F$140,0)))</f>
        <v>0</v>
      </c>
      <c r="H1053" s="57">
        <f>IF($A1053="","",IF(_xlfn.XLOOKUP($A1053,Korrelation!$D$4:$D$1197,Korrelation!K$4:K$1197,"-",0)="-",0,MATCH(_xlfn.XLOOKUP($A1053,Korrelation!$D$4:$D$1197,Korrelation!K$4:K$1197,"",0),'DM01-AV-CH'!$A$6:$A$834,0)))</f>
        <v>659</v>
      </c>
      <c r="J1053" s="54" t="str" cm="1">
        <f t="array" aca="1" ref="J1053" ca="1">IF(B1053=0,IF(E1053=0,"",HYPERLINK("#"&amp;RIGHT(CELL("adresse",OFFSET(DMAV_Dienste!$M$6,E1053-1,0)),LEN(CELL("adresse",OFFSET(DMAV_Dienste!$M$6,E1053-1,0)))-FIND("]",CELL("adresse",OFFSET(DMAV_Dienste!$M$6,E1053-1,0)))),"Dienst")),HYPERLINK("#"&amp;RIGHT(CELL("adresse",OFFSET(DMAV_Modell!$N$6,B1053-1,0)),LEN(CELL("adresse",OFFSET(DMAV_Modell!$N$6,B1053-1,0)))-FIND("]",CELL("adresse",OFFSET(DMAV_Modell!$N$6,B1053-1,0)))),"Modell"))</f>
        <v/>
      </c>
      <c r="K1053" s="61" t="str" cm="1">
        <f t="array" ref="K1053">IF($B1053=0,IF($E1053=0,"",IF(INDEX(DMAV_Dienste!P$6:P$140,$E1053)="","",INDEX(DMAV_Dienste!P$6:P$140,$E1053))),IF(INDEX(DMAV_Modell!Q$6:Q$838,$B1053)="","",INDEX(DMAV_Modell!Q$6:Q$838,$B1053)))</f>
        <v/>
      </c>
      <c r="L1053" s="62" t="str" cm="1">
        <f t="array" ref="L1053">IF($B1053=0,IF($E1053=0,"",IF(INDEX(DMAV_Dienste!O$6:O$140,$E1053)="","",INDEX(DMAV_Dienste!O$6:O$140,$E1053))),IF(INDEX(DMAV_Modell!P$6:P$838,$B1053)="","",INDEX(DMAV_Modell!P$6:P$838,$B1053)))</f>
        <v/>
      </c>
      <c r="M1053" s="62" t="str" cm="1">
        <f t="array" ref="M1053">IF($B1053=0,IF($E1053=0,"",IF(INDEX(DMAV_Dienste!Q$6:Q$140,$E1053)="","",INDEX(DMAV_Dienste!Q$6:Q$140,$E1053))),IF(INDEX(DMAV_Modell!R$6:R$838,$B1053)="","",INDEX(DMAV_Modell!R$6:R$838,$B1053)))</f>
        <v/>
      </c>
      <c r="N1053" s="62" t="str" cm="1">
        <f t="array" ref="N1053">IF($B1053=0,IF($E1053=0,"",IF(INDEX(DMAV_Dienste!T$6:T$140,$E1053)="","",INDEX(DMAV_Dienste!T$6:T$140,$E1053))),IF(INDEX(DMAV_Modell!U$6:U$838,$B1053)="","",INDEX(DMAV_Modell!U$6:U$838,$B1053)))</f>
        <v/>
      </c>
      <c r="O1053" s="63" t="str" cm="1">
        <f t="array" aca="1" ref="O1053" ca="1">IF(C1053=0,IF(F1053=0,"",HYPERLINK("#"&amp;RIGHT(CELL("adresse",OFFSET(DMAV_Dienste!$M$6,F1053-1,0)),LEN(CELL("adresse",OFFSET(DMAV_Dienste!$M$6,F1053-1,0)))-FIND("]",CELL("adresse",OFFSET(DMAV_Dienste!$M$6,F1053-1,0)))),"Structure")),HYPERLINK("#"&amp;RIGHT(CELL("adresse",OFFSET(DMAV_Modell!$N$6,C1053-1,0)),LEN(CELL("adresse",OFFSET(DMAV_Modell!$N$6,C1053-1,0)))-FIND("]",CELL("adresse",OFFSET(DMAV_Modell!$N$6,C1053-1,0)))),"Structure"))</f>
        <v/>
      </c>
      <c r="P1053" s="64" t="str" cm="1">
        <f t="array" aca="1" ref="P1053" ca="1">IF(D1053=0,IF(G1053=0,"",HYPERLINK("#"&amp;RIGHT(CELL("adresse",OFFSET(DMAV_Dienste!$M$6,G1053-1,0)),LEN(CELL("adresse",OFFSET(DMAV_Dienste!$M$6,G1053-1,0)))-FIND("]",CELL("adresse",OFFSET(DMAV_Dienste!$M$6,G1053-1,0)))),"Substructure")),HYPERLINK("#"&amp;RIGHT(CELL("adresse",OFFSET(DMAV_Modell!$N$6,D1053-1,0)),LEN(CELL("adresse",OFFSET(DMAV_Modell!$N$6,D1053-1,0)))-FIND("]",CELL("adresse",OFFSET(DMAV_Modell!$N$6,D1053-1,0)))),"Substructure"))</f>
        <v/>
      </c>
      <c r="R1053" s="80"/>
      <c r="T1053" s="93"/>
      <c r="U1053" s="94"/>
      <c r="V1053" s="95"/>
      <c r="W1053" s="96"/>
      <c r="Y1053" s="85"/>
      <c r="Z1053" s="86"/>
      <c r="AA1053" s="87"/>
      <c r="AB1053" s="88" t="s">
        <v>3605</v>
      </c>
      <c r="AD1053" s="77"/>
      <c r="AF1053" s="54" t="str" cm="1">
        <f t="array" aca="1" ref="AF1053" ca="1">IF(H1053=0,"",HYPERLINK("#"&amp;RIGHT(CELL("adresse",OFFSET('DM01-AV-CH'!$G$6,H1053-1,0)),LEN(CELL("adresse",OFFSET('DM01-AV-CH'!$G$6,H1053-1,0)))-FIND("]",CELL("adresse",OFFSET('DM01-AV-CH'!$G$6,H1053-1,0)))),"Modell"))</f>
        <v>Modell</v>
      </c>
      <c r="AG1053" s="72" t="str" cm="1">
        <f t="array" ref="AG1053">IF($H1053=0,"",IF(INDEX('DM01-AV-CH'!G$6:G$834,$H1053)="","",INDEX('DM01-AV-CH'!G$6:G$834,$H1053)))</f>
        <v>PLZOrtschaft</v>
      </c>
      <c r="AH1053" s="73" t="str" cm="1">
        <f t="array" ref="AH1053">IF($H1053=0,"",IF(INDEX('DM01-AV-CH'!H$6:H$834,$H1053)="","",INDEX('DM01-AV-CH'!H$6:H$834,$H1053)))</f>
        <v>OSNachfuehrung</v>
      </c>
      <c r="AI1053" s="74" t="str" cm="1">
        <f t="array" ref="AI1053">IF($H1053=0,"",IF(INDEX('DM01-AV-CH'!I$6:I$834,$H1053)="","",INDEX('DM01-AV-CH'!I$6:I$834,$H1053)))</f>
        <v>NBIdent</v>
      </c>
    </row>
    <row r="1054" spans="1:35" ht="128.25" x14ac:dyDescent="0.25">
      <c r="A1054" s="57">
        <v>1049</v>
      </c>
      <c r="B1054" s="57">
        <f>IF($A1054="","",IF(_xlfn.XLOOKUP($A1054,Korrelation!$D$4:$D$1197,Korrelation!E$4:E$1197,"-",0)="-",0,MATCH(_xlfn.XLOOKUP($A1054,Korrelation!$D$4:$D$1197,Korrelation!E$4:E$1197,"",0),DMAV_Modell!$G$6:$G$677,0)))</f>
        <v>0</v>
      </c>
      <c r="C1054" s="57">
        <f>IF($A1054="","",IF(_xlfn.XLOOKUP($A1054,Korrelation!$D$4:$D$1197,Korrelation!F$4:F$1197,"-",0)="-",0,MATCH(_xlfn.XLOOKUP($A1054,Korrelation!$D$4:$D$1197,Korrelation!F$4:F$1197,"",0),DMAV_Modell!$G$6:$G$677,0)))</f>
        <v>0</v>
      </c>
      <c r="D1054" s="57">
        <f>IF($A1054="","",IF(_xlfn.XLOOKUP($A1054,Korrelation!$D$4:$D$1197,Korrelation!G$4:G$1197,"-",0)="-",0,MATCH(_xlfn.XLOOKUP($A1054,Korrelation!$D$4:$D$1197,Korrelation!G$4:G$1197,"",0),DMAV_Modell!$G$6:$G$677,0)))</f>
        <v>0</v>
      </c>
      <c r="E1054" s="57">
        <f>IF($A1054="","",IF(_xlfn.XLOOKUP($A1054,Korrelation!$D$4:$D$1197,Korrelation!H$4:H$1197,"-",0)="-",0,MATCH(_xlfn.XLOOKUP($A1054,Korrelation!$D$4:$D$1197,Korrelation!H$4:H$1197,"",0),DMAV_Dienste!$F$6:$F$140,0)))</f>
        <v>0</v>
      </c>
      <c r="F1054" s="57">
        <f>IF($A1054="","",IF(_xlfn.XLOOKUP($A1054,Korrelation!$D$4:$D$1197,Korrelation!I$4:I$1197,"-",0)="-",0,MATCH(_xlfn.XLOOKUP($A1054,Korrelation!$D$4:$D$1197,Korrelation!I$4:I$1197,"",0),DMAV_Dienste!$F$6:$F$140,0)))</f>
        <v>0</v>
      </c>
      <c r="G1054" s="57">
        <f>IF($A1054="","",IF(_xlfn.XLOOKUP($A1054,Korrelation!$D$4:$D$1197,Korrelation!J$4:J$1197,"-",0)="-",0,MATCH(_xlfn.XLOOKUP($A1054,Korrelation!$D$4:$D$1197,Korrelation!J$4:J$1197,"",0),DMAV_Dienste!$F$6:$F$140,0)))</f>
        <v>0</v>
      </c>
      <c r="H1054" s="57">
        <f>IF($A1054="","",IF(_xlfn.XLOOKUP($A1054,Korrelation!$D$4:$D$1197,Korrelation!K$4:K$1197,"-",0)="-",0,MATCH(_xlfn.XLOOKUP($A1054,Korrelation!$D$4:$D$1197,Korrelation!K$4:K$1197,"",0),'DM01-AV-CH'!$A$6:$A$834,0)))</f>
        <v>660</v>
      </c>
      <c r="J1054" s="54" t="str" cm="1">
        <f t="array" aca="1" ref="J1054" ca="1">IF(B1054=0,IF(E1054=0,"",HYPERLINK("#"&amp;RIGHT(CELL("adresse",OFFSET(DMAV_Dienste!$M$6,E1054-1,0)),LEN(CELL("adresse",OFFSET(DMAV_Dienste!$M$6,E1054-1,0)))-FIND("]",CELL("adresse",OFFSET(DMAV_Dienste!$M$6,E1054-1,0)))),"Dienst")),HYPERLINK("#"&amp;RIGHT(CELL("adresse",OFFSET(DMAV_Modell!$N$6,B1054-1,0)),LEN(CELL("adresse",OFFSET(DMAV_Modell!$N$6,B1054-1,0)))-FIND("]",CELL("adresse",OFFSET(DMAV_Modell!$N$6,B1054-1,0)))),"Modell"))</f>
        <v/>
      </c>
      <c r="K1054" s="61" t="str" cm="1">
        <f t="array" ref="K1054">IF($B1054=0,IF($E1054=0,"",IF(INDEX(DMAV_Dienste!P$6:P$140,$E1054)="","",INDEX(DMAV_Dienste!P$6:P$140,$E1054))),IF(INDEX(DMAV_Modell!Q$6:Q$838,$B1054)="","",INDEX(DMAV_Modell!Q$6:Q$838,$B1054)))</f>
        <v/>
      </c>
      <c r="L1054" s="62" t="str" cm="1">
        <f t="array" ref="L1054">IF($B1054=0,IF($E1054=0,"",IF(INDEX(DMAV_Dienste!O$6:O$140,$E1054)="","",INDEX(DMAV_Dienste!O$6:O$140,$E1054))),IF(INDEX(DMAV_Modell!P$6:P$838,$B1054)="","",INDEX(DMAV_Modell!P$6:P$838,$B1054)))</f>
        <v/>
      </c>
      <c r="M1054" s="62" t="str" cm="1">
        <f t="array" ref="M1054">IF($B1054=0,IF($E1054=0,"",IF(INDEX(DMAV_Dienste!Q$6:Q$140,$E1054)="","",INDEX(DMAV_Dienste!Q$6:Q$140,$E1054))),IF(INDEX(DMAV_Modell!R$6:R$838,$B1054)="","",INDEX(DMAV_Modell!R$6:R$838,$B1054)))</f>
        <v/>
      </c>
      <c r="N1054" s="62" t="str" cm="1">
        <f t="array" ref="N1054">IF($B1054=0,IF($E1054=0,"",IF(INDEX(DMAV_Dienste!T$6:T$140,$E1054)="","",INDEX(DMAV_Dienste!T$6:T$140,$E1054))),IF(INDEX(DMAV_Modell!U$6:U$838,$B1054)="","",INDEX(DMAV_Modell!U$6:U$838,$B1054)))</f>
        <v/>
      </c>
      <c r="O1054" s="63" t="str" cm="1">
        <f t="array" aca="1" ref="O1054" ca="1">IF(C1054=0,IF(F1054=0,"",HYPERLINK("#"&amp;RIGHT(CELL("adresse",OFFSET(DMAV_Dienste!$M$6,F1054-1,0)),LEN(CELL("adresse",OFFSET(DMAV_Dienste!$M$6,F1054-1,0)))-FIND("]",CELL("adresse",OFFSET(DMAV_Dienste!$M$6,F1054-1,0)))),"Structure")),HYPERLINK("#"&amp;RIGHT(CELL("adresse",OFFSET(DMAV_Modell!$N$6,C1054-1,0)),LEN(CELL("adresse",OFFSET(DMAV_Modell!$N$6,C1054-1,0)))-FIND("]",CELL("adresse",OFFSET(DMAV_Modell!$N$6,C1054-1,0)))),"Structure"))</f>
        <v/>
      </c>
      <c r="P1054" s="64" t="str" cm="1">
        <f t="array" aca="1" ref="P1054" ca="1">IF(D1054=0,IF(G1054=0,"",HYPERLINK("#"&amp;RIGHT(CELL("adresse",OFFSET(DMAV_Dienste!$M$6,G1054-1,0)),LEN(CELL("adresse",OFFSET(DMAV_Dienste!$M$6,G1054-1,0)))-FIND("]",CELL("adresse",OFFSET(DMAV_Dienste!$M$6,G1054-1,0)))),"Substructure")),HYPERLINK("#"&amp;RIGHT(CELL("adresse",OFFSET(DMAV_Modell!$N$6,D1054-1,0)),LEN(CELL("adresse",OFFSET(DMAV_Modell!$N$6,D1054-1,0)))-FIND("]",CELL("adresse",OFFSET(DMAV_Modell!$N$6,D1054-1,0)))),"Substructure"))</f>
        <v/>
      </c>
      <c r="R1054" s="80"/>
      <c r="T1054" s="93"/>
      <c r="U1054" s="94"/>
      <c r="V1054" s="95"/>
      <c r="W1054" s="96"/>
      <c r="Y1054" s="85"/>
      <c r="Z1054" s="86"/>
      <c r="AA1054" s="87"/>
      <c r="AB1054" s="88" t="s">
        <v>3605</v>
      </c>
      <c r="AD1054" s="77"/>
      <c r="AF1054" s="54" t="str" cm="1">
        <f t="array" aca="1" ref="AF1054" ca="1">IF(H1054=0,"",HYPERLINK("#"&amp;RIGHT(CELL("adresse",OFFSET('DM01-AV-CH'!$G$6,H1054-1,0)),LEN(CELL("adresse",OFFSET('DM01-AV-CH'!$G$6,H1054-1,0)))-FIND("]",CELL("adresse",OFFSET('DM01-AV-CH'!$G$6,H1054-1,0)))),"Modell"))</f>
        <v>Modell</v>
      </c>
      <c r="AG1054" s="72" t="str" cm="1">
        <f t="array" ref="AG1054">IF($H1054=0,"",IF(INDEX('DM01-AV-CH'!G$6:G$834,$H1054)="","",INDEX('DM01-AV-CH'!G$6:G$834,$H1054)))</f>
        <v>PLZOrtschaft</v>
      </c>
      <c r="AH1054" s="73" t="str" cm="1">
        <f t="array" ref="AH1054">IF($H1054=0,"",IF(INDEX('DM01-AV-CH'!H$6:H$834,$H1054)="","",INDEX('DM01-AV-CH'!H$6:H$834,$H1054)))</f>
        <v>OSNachfuehrung</v>
      </c>
      <c r="AI1054" s="74" t="str" cm="1">
        <f t="array" ref="AI1054">IF($H1054=0,"",IF(INDEX('DM01-AV-CH'!I$6:I$834,$H1054)="","",INDEX('DM01-AV-CH'!I$6:I$834,$H1054)))</f>
        <v>Identifikator</v>
      </c>
    </row>
    <row r="1055" spans="1:35" ht="128.25" x14ac:dyDescent="0.25">
      <c r="A1055" s="57">
        <v>1050</v>
      </c>
      <c r="B1055" s="57">
        <f>IF($A1055="","",IF(_xlfn.XLOOKUP($A1055,Korrelation!$D$4:$D$1197,Korrelation!E$4:E$1197,"-",0)="-",0,MATCH(_xlfn.XLOOKUP($A1055,Korrelation!$D$4:$D$1197,Korrelation!E$4:E$1197,"",0),DMAV_Modell!$G$6:$G$677,0)))</f>
        <v>0</v>
      </c>
      <c r="C1055" s="57">
        <f>IF($A1055="","",IF(_xlfn.XLOOKUP($A1055,Korrelation!$D$4:$D$1197,Korrelation!F$4:F$1197,"-",0)="-",0,MATCH(_xlfn.XLOOKUP($A1055,Korrelation!$D$4:$D$1197,Korrelation!F$4:F$1197,"",0),DMAV_Modell!$G$6:$G$677,0)))</f>
        <v>0</v>
      </c>
      <c r="D1055" s="57">
        <f>IF($A1055="","",IF(_xlfn.XLOOKUP($A1055,Korrelation!$D$4:$D$1197,Korrelation!G$4:G$1197,"-",0)="-",0,MATCH(_xlfn.XLOOKUP($A1055,Korrelation!$D$4:$D$1197,Korrelation!G$4:G$1197,"",0),DMAV_Modell!$G$6:$G$677,0)))</f>
        <v>0</v>
      </c>
      <c r="E1055" s="57">
        <f>IF($A1055="","",IF(_xlfn.XLOOKUP($A1055,Korrelation!$D$4:$D$1197,Korrelation!H$4:H$1197,"-",0)="-",0,MATCH(_xlfn.XLOOKUP($A1055,Korrelation!$D$4:$D$1197,Korrelation!H$4:H$1197,"",0),DMAV_Dienste!$F$6:$F$140,0)))</f>
        <v>0</v>
      </c>
      <c r="F1055" s="57">
        <f>IF($A1055="","",IF(_xlfn.XLOOKUP($A1055,Korrelation!$D$4:$D$1197,Korrelation!I$4:I$1197,"-",0)="-",0,MATCH(_xlfn.XLOOKUP($A1055,Korrelation!$D$4:$D$1197,Korrelation!I$4:I$1197,"",0),DMAV_Dienste!$F$6:$F$140,0)))</f>
        <v>0</v>
      </c>
      <c r="G1055" s="57">
        <f>IF($A1055="","",IF(_xlfn.XLOOKUP($A1055,Korrelation!$D$4:$D$1197,Korrelation!J$4:J$1197,"-",0)="-",0,MATCH(_xlfn.XLOOKUP($A1055,Korrelation!$D$4:$D$1197,Korrelation!J$4:J$1197,"",0),DMAV_Dienste!$F$6:$F$140,0)))</f>
        <v>0</v>
      </c>
      <c r="H1055" s="57">
        <f>IF($A1055="","",IF(_xlfn.XLOOKUP($A1055,Korrelation!$D$4:$D$1197,Korrelation!K$4:K$1197,"-",0)="-",0,MATCH(_xlfn.XLOOKUP($A1055,Korrelation!$D$4:$D$1197,Korrelation!K$4:K$1197,"",0),'DM01-AV-CH'!$A$6:$A$834,0)))</f>
        <v>661</v>
      </c>
      <c r="J1055" s="54" t="str" cm="1">
        <f t="array" aca="1" ref="J1055" ca="1">IF(B1055=0,IF(E1055=0,"",HYPERLINK("#"&amp;RIGHT(CELL("adresse",OFFSET(DMAV_Dienste!$M$6,E1055-1,0)),LEN(CELL("adresse",OFFSET(DMAV_Dienste!$M$6,E1055-1,0)))-FIND("]",CELL("adresse",OFFSET(DMAV_Dienste!$M$6,E1055-1,0)))),"Dienst")),HYPERLINK("#"&amp;RIGHT(CELL("adresse",OFFSET(DMAV_Modell!$N$6,B1055-1,0)),LEN(CELL("adresse",OFFSET(DMAV_Modell!$N$6,B1055-1,0)))-FIND("]",CELL("adresse",OFFSET(DMAV_Modell!$N$6,B1055-1,0)))),"Modell"))</f>
        <v/>
      </c>
      <c r="K1055" s="61" t="str" cm="1">
        <f t="array" ref="K1055">IF($B1055=0,IF($E1055=0,"",IF(INDEX(DMAV_Dienste!P$6:P$140,$E1055)="","",INDEX(DMAV_Dienste!P$6:P$140,$E1055))),IF(INDEX(DMAV_Modell!Q$6:Q$838,$B1055)="","",INDEX(DMAV_Modell!Q$6:Q$838,$B1055)))</f>
        <v/>
      </c>
      <c r="L1055" s="62" t="str" cm="1">
        <f t="array" ref="L1055">IF($B1055=0,IF($E1055=0,"",IF(INDEX(DMAV_Dienste!O$6:O$140,$E1055)="","",INDEX(DMAV_Dienste!O$6:O$140,$E1055))),IF(INDEX(DMAV_Modell!P$6:P$838,$B1055)="","",INDEX(DMAV_Modell!P$6:P$838,$B1055)))</f>
        <v/>
      </c>
      <c r="M1055" s="62" t="str" cm="1">
        <f t="array" ref="M1055">IF($B1055=0,IF($E1055=0,"",IF(INDEX(DMAV_Dienste!Q$6:Q$140,$E1055)="","",INDEX(DMAV_Dienste!Q$6:Q$140,$E1055))),IF(INDEX(DMAV_Modell!R$6:R$838,$B1055)="","",INDEX(DMAV_Modell!R$6:R$838,$B1055)))</f>
        <v/>
      </c>
      <c r="N1055" s="62" t="str" cm="1">
        <f t="array" ref="N1055">IF($B1055=0,IF($E1055=0,"",IF(INDEX(DMAV_Dienste!T$6:T$140,$E1055)="","",INDEX(DMAV_Dienste!T$6:T$140,$E1055))),IF(INDEX(DMAV_Modell!U$6:U$838,$B1055)="","",INDEX(DMAV_Modell!U$6:U$838,$B1055)))</f>
        <v/>
      </c>
      <c r="O1055" s="63" t="str" cm="1">
        <f t="array" aca="1" ref="O1055" ca="1">IF(C1055=0,IF(F1055=0,"",HYPERLINK("#"&amp;RIGHT(CELL("adresse",OFFSET(DMAV_Dienste!$M$6,F1055-1,0)),LEN(CELL("adresse",OFFSET(DMAV_Dienste!$M$6,F1055-1,0)))-FIND("]",CELL("adresse",OFFSET(DMAV_Dienste!$M$6,F1055-1,0)))),"Structure")),HYPERLINK("#"&amp;RIGHT(CELL("adresse",OFFSET(DMAV_Modell!$N$6,C1055-1,0)),LEN(CELL("adresse",OFFSET(DMAV_Modell!$N$6,C1055-1,0)))-FIND("]",CELL("adresse",OFFSET(DMAV_Modell!$N$6,C1055-1,0)))),"Structure"))</f>
        <v/>
      </c>
      <c r="P1055" s="64" t="str" cm="1">
        <f t="array" aca="1" ref="P1055" ca="1">IF(D1055=0,IF(G1055=0,"",HYPERLINK("#"&amp;RIGHT(CELL("adresse",OFFSET(DMAV_Dienste!$M$6,G1055-1,0)),LEN(CELL("adresse",OFFSET(DMAV_Dienste!$M$6,G1055-1,0)))-FIND("]",CELL("adresse",OFFSET(DMAV_Dienste!$M$6,G1055-1,0)))),"Substructure")),HYPERLINK("#"&amp;RIGHT(CELL("adresse",OFFSET(DMAV_Modell!$N$6,D1055-1,0)),LEN(CELL("adresse",OFFSET(DMAV_Modell!$N$6,D1055-1,0)))-FIND("]",CELL("adresse",OFFSET(DMAV_Modell!$N$6,D1055-1,0)))),"Substructure"))</f>
        <v/>
      </c>
      <c r="R1055" s="80"/>
      <c r="T1055" s="93"/>
      <c r="U1055" s="94"/>
      <c r="V1055" s="95"/>
      <c r="W1055" s="96"/>
      <c r="Y1055" s="85"/>
      <c r="Z1055" s="86"/>
      <c r="AA1055" s="87"/>
      <c r="AB1055" s="88" t="s">
        <v>3605</v>
      </c>
      <c r="AD1055" s="77"/>
      <c r="AF1055" s="54" t="str" cm="1">
        <f t="array" aca="1" ref="AF1055" ca="1">IF(H1055=0,"",HYPERLINK("#"&amp;RIGHT(CELL("adresse",OFFSET('DM01-AV-CH'!$G$6,H1055-1,0)),LEN(CELL("adresse",OFFSET('DM01-AV-CH'!$G$6,H1055-1,0)))-FIND("]",CELL("adresse",OFFSET('DM01-AV-CH'!$G$6,H1055-1,0)))),"Modell"))</f>
        <v>Modell</v>
      </c>
      <c r="AG1055" s="72" t="str" cm="1">
        <f t="array" ref="AG1055">IF($H1055=0,"",IF(INDEX('DM01-AV-CH'!G$6:G$834,$H1055)="","",INDEX('DM01-AV-CH'!G$6:G$834,$H1055)))</f>
        <v>PLZOrtschaft</v>
      </c>
      <c r="AH1055" s="73" t="str" cm="1">
        <f t="array" ref="AH1055">IF($H1055=0,"",IF(INDEX('DM01-AV-CH'!H$6:H$834,$H1055)="","",INDEX('DM01-AV-CH'!H$6:H$834,$H1055)))</f>
        <v>OSNachfuehrung</v>
      </c>
      <c r="AI1055" s="74" t="str" cm="1">
        <f t="array" ref="AI1055">IF($H1055=0,"",IF(INDEX('DM01-AV-CH'!I$6:I$834,$H1055)="","",INDEX('DM01-AV-CH'!I$6:I$834,$H1055)))</f>
        <v>Beschreibung</v>
      </c>
    </row>
    <row r="1056" spans="1:35" x14ac:dyDescent="0.25">
      <c r="A1056" s="57">
        <v>1051</v>
      </c>
      <c r="B1056" s="57">
        <f>IF($A1056="","",IF(_xlfn.XLOOKUP($A1056,Korrelation!$D$4:$D$1197,Korrelation!E$4:E$1197,"-",0)="-",0,MATCH(_xlfn.XLOOKUP($A1056,Korrelation!$D$4:$D$1197,Korrelation!E$4:E$1197,"",0),DMAV_Modell!$G$6:$G$677,0)))</f>
        <v>0</v>
      </c>
      <c r="C1056" s="57">
        <f>IF($A1056="","",IF(_xlfn.XLOOKUP($A1056,Korrelation!$D$4:$D$1197,Korrelation!F$4:F$1197,"-",0)="-",0,MATCH(_xlfn.XLOOKUP($A1056,Korrelation!$D$4:$D$1197,Korrelation!F$4:F$1197,"",0),DMAV_Modell!$G$6:$G$677,0)))</f>
        <v>0</v>
      </c>
      <c r="D1056" s="57">
        <f>IF($A1056="","",IF(_xlfn.XLOOKUP($A1056,Korrelation!$D$4:$D$1197,Korrelation!G$4:G$1197,"-",0)="-",0,MATCH(_xlfn.XLOOKUP($A1056,Korrelation!$D$4:$D$1197,Korrelation!G$4:G$1197,"",0),DMAV_Modell!$G$6:$G$677,0)))</f>
        <v>0</v>
      </c>
      <c r="E1056" s="57">
        <f>IF($A1056="","",IF(_xlfn.XLOOKUP($A1056,Korrelation!$D$4:$D$1197,Korrelation!H$4:H$1197,"-",0)="-",0,MATCH(_xlfn.XLOOKUP($A1056,Korrelation!$D$4:$D$1197,Korrelation!H$4:H$1197,"",0),DMAV_Dienste!$F$6:$F$140,0)))</f>
        <v>0</v>
      </c>
      <c r="F1056" s="57">
        <f>IF($A1056="","",IF(_xlfn.XLOOKUP($A1056,Korrelation!$D$4:$D$1197,Korrelation!I$4:I$1197,"-",0)="-",0,MATCH(_xlfn.XLOOKUP($A1056,Korrelation!$D$4:$D$1197,Korrelation!I$4:I$1197,"",0),DMAV_Dienste!$F$6:$F$140,0)))</f>
        <v>0</v>
      </c>
      <c r="G1056" s="57">
        <f>IF($A1056="","",IF(_xlfn.XLOOKUP($A1056,Korrelation!$D$4:$D$1197,Korrelation!J$4:J$1197,"-",0)="-",0,MATCH(_xlfn.XLOOKUP($A1056,Korrelation!$D$4:$D$1197,Korrelation!J$4:J$1197,"",0),DMAV_Dienste!$F$6:$F$140,0)))</f>
        <v>0</v>
      </c>
      <c r="H1056" s="57">
        <f>IF($A1056="","",IF(_xlfn.XLOOKUP($A1056,Korrelation!$D$4:$D$1197,Korrelation!K$4:K$1197,"-",0)="-",0,MATCH(_xlfn.XLOOKUP($A1056,Korrelation!$D$4:$D$1197,Korrelation!K$4:K$1197,"",0),'DM01-AV-CH'!$A$6:$A$834,0)))</f>
        <v>662</v>
      </c>
      <c r="J1056" s="54" t="str" cm="1">
        <f t="array" aca="1" ref="J1056" ca="1">IF(B1056=0,IF(E1056=0,"",HYPERLINK("#"&amp;RIGHT(CELL("adresse",OFFSET(DMAV_Dienste!$M$6,E1056-1,0)),LEN(CELL("adresse",OFFSET(DMAV_Dienste!$M$6,E1056-1,0)))-FIND("]",CELL("adresse",OFFSET(DMAV_Dienste!$M$6,E1056-1,0)))),"Dienst")),HYPERLINK("#"&amp;RIGHT(CELL("adresse",OFFSET(DMAV_Modell!$N$6,B1056-1,0)),LEN(CELL("adresse",OFFSET(DMAV_Modell!$N$6,B1056-1,0)))-FIND("]",CELL("adresse",OFFSET(DMAV_Modell!$N$6,B1056-1,0)))),"Modell"))</f>
        <v/>
      </c>
      <c r="K1056" s="61" t="str" cm="1">
        <f t="array" ref="K1056">IF($B1056=0,IF($E1056=0,"",IF(INDEX(DMAV_Dienste!P$6:P$140,$E1056)="","",INDEX(DMAV_Dienste!P$6:P$140,$E1056))),IF(INDEX(DMAV_Modell!Q$6:Q$838,$B1056)="","",INDEX(DMAV_Modell!Q$6:Q$838,$B1056)))</f>
        <v/>
      </c>
      <c r="L1056" s="62" t="str" cm="1">
        <f t="array" ref="L1056">IF($B1056=0,IF($E1056=0,"",IF(INDEX(DMAV_Dienste!O$6:O$140,$E1056)="","",INDEX(DMAV_Dienste!O$6:O$140,$E1056))),IF(INDEX(DMAV_Modell!P$6:P$838,$B1056)="","",INDEX(DMAV_Modell!P$6:P$838,$B1056)))</f>
        <v/>
      </c>
      <c r="M1056" s="62" t="str" cm="1">
        <f t="array" ref="M1056">IF($B1056=0,IF($E1056=0,"",IF(INDEX(DMAV_Dienste!Q$6:Q$140,$E1056)="","",INDEX(DMAV_Dienste!Q$6:Q$140,$E1056))),IF(INDEX(DMAV_Modell!R$6:R$838,$B1056)="","",INDEX(DMAV_Modell!R$6:R$838,$B1056)))</f>
        <v/>
      </c>
      <c r="N1056" s="62" t="str" cm="1">
        <f t="array" ref="N1056">IF($B1056=0,IF($E1056=0,"",IF(INDEX(DMAV_Dienste!T$6:T$140,$E1056)="","",INDEX(DMAV_Dienste!T$6:T$140,$E1056))),IF(INDEX(DMAV_Modell!U$6:U$838,$B1056)="","",INDEX(DMAV_Modell!U$6:U$838,$B1056)))</f>
        <v/>
      </c>
      <c r="O1056" s="63" t="str" cm="1">
        <f t="array" aca="1" ref="O1056" ca="1">IF(C1056=0,IF(F1056=0,"",HYPERLINK("#"&amp;RIGHT(CELL("adresse",OFFSET(DMAV_Dienste!$M$6,F1056-1,0)),LEN(CELL("adresse",OFFSET(DMAV_Dienste!$M$6,F1056-1,0)))-FIND("]",CELL("adresse",OFFSET(DMAV_Dienste!$M$6,F1056-1,0)))),"Structure")),HYPERLINK("#"&amp;RIGHT(CELL("adresse",OFFSET(DMAV_Modell!$N$6,C1056-1,0)),LEN(CELL("adresse",OFFSET(DMAV_Modell!$N$6,C1056-1,0)))-FIND("]",CELL("adresse",OFFSET(DMAV_Modell!$N$6,C1056-1,0)))),"Structure"))</f>
        <v/>
      </c>
      <c r="P1056" s="64" t="str" cm="1">
        <f t="array" aca="1" ref="P1056" ca="1">IF(D1056=0,IF(G1056=0,"",HYPERLINK("#"&amp;RIGHT(CELL("adresse",OFFSET(DMAV_Dienste!$M$6,G1056-1,0)),LEN(CELL("adresse",OFFSET(DMAV_Dienste!$M$6,G1056-1,0)))-FIND("]",CELL("adresse",OFFSET(DMAV_Dienste!$M$6,G1056-1,0)))),"Substructure")),HYPERLINK("#"&amp;RIGHT(CELL("adresse",OFFSET(DMAV_Modell!$N$6,D1056-1,0)),LEN(CELL("adresse",OFFSET(DMAV_Modell!$N$6,D1056-1,0)))-FIND("]",CELL("adresse",OFFSET(DMAV_Modell!$N$6,D1056-1,0)))),"Substructure"))</f>
        <v/>
      </c>
      <c r="R1056" s="80"/>
      <c r="T1056" s="93"/>
      <c r="U1056" s="94"/>
      <c r="V1056" s="95"/>
      <c r="W1056" s="96"/>
      <c r="Y1056" s="85"/>
      <c r="Z1056" s="86"/>
      <c r="AA1056" s="87"/>
      <c r="AB1056" s="88"/>
      <c r="AD1056" s="77"/>
      <c r="AF1056" s="54" t="str" cm="1">
        <f t="array" aca="1" ref="AF1056" ca="1">IF(H1056=0,"",HYPERLINK("#"&amp;RIGHT(CELL("adresse",OFFSET('DM01-AV-CH'!$G$6,H1056-1,0)),LEN(CELL("adresse",OFFSET('DM01-AV-CH'!$G$6,H1056-1,0)))-FIND("]",CELL("adresse",OFFSET('DM01-AV-CH'!$G$6,H1056-1,0)))),"Modell"))</f>
        <v>Modell</v>
      </c>
      <c r="AG1056" s="72" t="str" cm="1">
        <f t="array" ref="AG1056">IF($H1056=0,"",IF(INDEX('DM01-AV-CH'!G$6:G$834,$H1056)="","",INDEX('DM01-AV-CH'!G$6:G$834,$H1056)))</f>
        <v>PLZOrtschaft</v>
      </c>
      <c r="AH1056" s="73" t="str" cm="1">
        <f t="array" ref="AH1056">IF($H1056=0,"",IF(INDEX('DM01-AV-CH'!H$6:H$834,$H1056)="","",INDEX('DM01-AV-CH'!H$6:H$834,$H1056)))</f>
        <v>OSNachfuehrung</v>
      </c>
      <c r="AI1056" s="74" t="str" cm="1">
        <f t="array" ref="AI1056">IF($H1056=0,"",IF(INDEX('DM01-AV-CH'!I$6:I$834,$H1056)="","",INDEX('DM01-AV-CH'!I$6:I$834,$H1056)))</f>
        <v>Perimeter</v>
      </c>
    </row>
    <row r="1057" spans="1:35" ht="128.25" x14ac:dyDescent="0.25">
      <c r="A1057" s="57">
        <v>1052</v>
      </c>
      <c r="B1057" s="57">
        <f>IF($A1057="","",IF(_xlfn.XLOOKUP($A1057,Korrelation!$D$4:$D$1197,Korrelation!E$4:E$1197,"-",0)="-",0,MATCH(_xlfn.XLOOKUP($A1057,Korrelation!$D$4:$D$1197,Korrelation!E$4:E$1197,"",0),DMAV_Modell!$G$6:$G$677,0)))</f>
        <v>0</v>
      </c>
      <c r="C1057" s="57">
        <f>IF($A1057="","",IF(_xlfn.XLOOKUP($A1057,Korrelation!$D$4:$D$1197,Korrelation!F$4:F$1197,"-",0)="-",0,MATCH(_xlfn.XLOOKUP($A1057,Korrelation!$D$4:$D$1197,Korrelation!F$4:F$1197,"",0),DMAV_Modell!$G$6:$G$677,0)))</f>
        <v>0</v>
      </c>
      <c r="D1057" s="57">
        <f>IF($A1057="","",IF(_xlfn.XLOOKUP($A1057,Korrelation!$D$4:$D$1197,Korrelation!G$4:G$1197,"-",0)="-",0,MATCH(_xlfn.XLOOKUP($A1057,Korrelation!$D$4:$D$1197,Korrelation!G$4:G$1197,"",0),DMAV_Modell!$G$6:$G$677,0)))</f>
        <v>0</v>
      </c>
      <c r="E1057" s="57">
        <f>IF($A1057="","",IF(_xlfn.XLOOKUP($A1057,Korrelation!$D$4:$D$1197,Korrelation!H$4:H$1197,"-",0)="-",0,MATCH(_xlfn.XLOOKUP($A1057,Korrelation!$D$4:$D$1197,Korrelation!H$4:H$1197,"",0),DMAV_Dienste!$F$6:$F$140,0)))</f>
        <v>0</v>
      </c>
      <c r="F1057" s="57">
        <f>IF($A1057="","",IF(_xlfn.XLOOKUP($A1057,Korrelation!$D$4:$D$1197,Korrelation!I$4:I$1197,"-",0)="-",0,MATCH(_xlfn.XLOOKUP($A1057,Korrelation!$D$4:$D$1197,Korrelation!I$4:I$1197,"",0),DMAV_Dienste!$F$6:$F$140,0)))</f>
        <v>0</v>
      </c>
      <c r="G1057" s="57">
        <f>IF($A1057="","",IF(_xlfn.XLOOKUP($A1057,Korrelation!$D$4:$D$1197,Korrelation!J$4:J$1197,"-",0)="-",0,MATCH(_xlfn.XLOOKUP($A1057,Korrelation!$D$4:$D$1197,Korrelation!J$4:J$1197,"",0),DMAV_Dienste!$F$6:$F$140,0)))</f>
        <v>0</v>
      </c>
      <c r="H1057" s="57">
        <f>IF($A1057="","",IF(_xlfn.XLOOKUP($A1057,Korrelation!$D$4:$D$1197,Korrelation!K$4:K$1197,"-",0)="-",0,MATCH(_xlfn.XLOOKUP($A1057,Korrelation!$D$4:$D$1197,Korrelation!K$4:K$1197,"",0),'DM01-AV-CH'!$A$6:$A$834,0)))</f>
        <v>663</v>
      </c>
      <c r="J1057" s="54" t="str" cm="1">
        <f t="array" aca="1" ref="J1057" ca="1">IF(B1057=0,IF(E1057=0,"",HYPERLINK("#"&amp;RIGHT(CELL("adresse",OFFSET(DMAV_Dienste!$M$6,E1057-1,0)),LEN(CELL("adresse",OFFSET(DMAV_Dienste!$M$6,E1057-1,0)))-FIND("]",CELL("adresse",OFFSET(DMAV_Dienste!$M$6,E1057-1,0)))),"Dienst")),HYPERLINK("#"&amp;RIGHT(CELL("adresse",OFFSET(DMAV_Modell!$N$6,B1057-1,0)),LEN(CELL("adresse",OFFSET(DMAV_Modell!$N$6,B1057-1,0)))-FIND("]",CELL("adresse",OFFSET(DMAV_Modell!$N$6,B1057-1,0)))),"Modell"))</f>
        <v/>
      </c>
      <c r="K1057" s="61" t="str" cm="1">
        <f t="array" ref="K1057">IF($B1057=0,IF($E1057=0,"",IF(INDEX(DMAV_Dienste!P$6:P$140,$E1057)="","",INDEX(DMAV_Dienste!P$6:P$140,$E1057))),IF(INDEX(DMAV_Modell!Q$6:Q$838,$B1057)="","",INDEX(DMAV_Modell!Q$6:Q$838,$B1057)))</f>
        <v/>
      </c>
      <c r="L1057" s="62" t="str" cm="1">
        <f t="array" ref="L1057">IF($B1057=0,IF($E1057=0,"",IF(INDEX(DMAV_Dienste!O$6:O$140,$E1057)="","",INDEX(DMAV_Dienste!O$6:O$140,$E1057))),IF(INDEX(DMAV_Modell!P$6:P$838,$B1057)="","",INDEX(DMAV_Modell!P$6:P$838,$B1057)))</f>
        <v/>
      </c>
      <c r="M1057" s="62" t="str" cm="1">
        <f t="array" ref="M1057">IF($B1057=0,IF($E1057=0,"",IF(INDEX(DMAV_Dienste!Q$6:Q$140,$E1057)="","",INDEX(DMAV_Dienste!Q$6:Q$140,$E1057))),IF(INDEX(DMAV_Modell!R$6:R$838,$B1057)="","",INDEX(DMAV_Modell!R$6:R$838,$B1057)))</f>
        <v/>
      </c>
      <c r="N1057" s="62" t="str" cm="1">
        <f t="array" ref="N1057">IF($B1057=0,IF($E1057=0,"",IF(INDEX(DMAV_Dienste!T$6:T$140,$E1057)="","",INDEX(DMAV_Dienste!T$6:T$140,$E1057))),IF(INDEX(DMAV_Modell!U$6:U$838,$B1057)="","",INDEX(DMAV_Modell!U$6:U$838,$B1057)))</f>
        <v/>
      </c>
      <c r="O1057" s="63" t="str" cm="1">
        <f t="array" aca="1" ref="O1057" ca="1">IF(C1057=0,IF(F1057=0,"",HYPERLINK("#"&amp;RIGHT(CELL("adresse",OFFSET(DMAV_Dienste!$M$6,F1057-1,0)),LEN(CELL("adresse",OFFSET(DMAV_Dienste!$M$6,F1057-1,0)))-FIND("]",CELL("adresse",OFFSET(DMAV_Dienste!$M$6,F1057-1,0)))),"Structure")),HYPERLINK("#"&amp;RIGHT(CELL("adresse",OFFSET(DMAV_Modell!$N$6,C1057-1,0)),LEN(CELL("adresse",OFFSET(DMAV_Modell!$N$6,C1057-1,0)))-FIND("]",CELL("adresse",OFFSET(DMAV_Modell!$N$6,C1057-1,0)))),"Structure"))</f>
        <v/>
      </c>
      <c r="P1057" s="64" t="str" cm="1">
        <f t="array" aca="1" ref="P1057" ca="1">IF(D1057=0,IF(G1057=0,"",HYPERLINK("#"&amp;RIGHT(CELL("adresse",OFFSET(DMAV_Dienste!$M$6,G1057-1,0)),LEN(CELL("adresse",OFFSET(DMAV_Dienste!$M$6,G1057-1,0)))-FIND("]",CELL("adresse",OFFSET(DMAV_Dienste!$M$6,G1057-1,0)))),"Substructure")),HYPERLINK("#"&amp;RIGHT(CELL("adresse",OFFSET(DMAV_Modell!$N$6,D1057-1,0)),LEN(CELL("adresse",OFFSET(DMAV_Modell!$N$6,D1057-1,0)))-FIND("]",CELL("adresse",OFFSET(DMAV_Modell!$N$6,D1057-1,0)))),"Substructure"))</f>
        <v/>
      </c>
      <c r="R1057" s="80"/>
      <c r="T1057" s="93"/>
      <c r="U1057" s="94"/>
      <c r="V1057" s="95"/>
      <c r="W1057" s="96"/>
      <c r="Y1057" s="85"/>
      <c r="Z1057" s="86"/>
      <c r="AA1057" s="87"/>
      <c r="AB1057" s="88" t="s">
        <v>3605</v>
      </c>
      <c r="AD1057" s="77"/>
      <c r="AF1057" s="54" t="str" cm="1">
        <f t="array" aca="1" ref="AF1057" ca="1">IF(H1057=0,"",HYPERLINK("#"&amp;RIGHT(CELL("adresse",OFFSET('DM01-AV-CH'!$G$6,H1057-1,0)),LEN(CELL("adresse",OFFSET('DM01-AV-CH'!$G$6,H1057-1,0)))-FIND("]",CELL("adresse",OFFSET('DM01-AV-CH'!$G$6,H1057-1,0)))),"Modell"))</f>
        <v>Modell</v>
      </c>
      <c r="AG1057" s="72" t="str" cm="1">
        <f t="array" ref="AG1057">IF($H1057=0,"",IF(INDEX('DM01-AV-CH'!G$6:G$834,$H1057)="","",INDEX('DM01-AV-CH'!G$6:G$834,$H1057)))</f>
        <v>PLZOrtschaft</v>
      </c>
      <c r="AH1057" s="73" t="str" cm="1">
        <f t="array" ref="AH1057">IF($H1057=0,"",IF(INDEX('DM01-AV-CH'!H$6:H$834,$H1057)="","",INDEX('DM01-AV-CH'!H$6:H$834,$H1057)))</f>
        <v>OSNachfuehrung</v>
      </c>
      <c r="AI1057" s="74" t="str" cm="1">
        <f t="array" ref="AI1057">IF($H1057=0,"",IF(INDEX('DM01-AV-CH'!I$6:I$834,$H1057)="","",INDEX('DM01-AV-CH'!I$6:I$834,$H1057)))</f>
        <v>Gueltigkeit</v>
      </c>
    </row>
    <row r="1058" spans="1:35" ht="128.25" x14ac:dyDescent="0.25">
      <c r="A1058" s="57">
        <v>1053</v>
      </c>
      <c r="B1058" s="57">
        <f>IF($A1058="","",IF(_xlfn.XLOOKUP($A1058,Korrelation!$D$4:$D$1197,Korrelation!E$4:E$1197,"-",0)="-",0,MATCH(_xlfn.XLOOKUP($A1058,Korrelation!$D$4:$D$1197,Korrelation!E$4:E$1197,"",0),DMAV_Modell!$G$6:$G$677,0)))</f>
        <v>0</v>
      </c>
      <c r="C1058" s="57">
        <f>IF($A1058="","",IF(_xlfn.XLOOKUP($A1058,Korrelation!$D$4:$D$1197,Korrelation!F$4:F$1197,"-",0)="-",0,MATCH(_xlfn.XLOOKUP($A1058,Korrelation!$D$4:$D$1197,Korrelation!F$4:F$1197,"",0),DMAV_Modell!$G$6:$G$677,0)))</f>
        <v>0</v>
      </c>
      <c r="D1058" s="57">
        <f>IF($A1058="","",IF(_xlfn.XLOOKUP($A1058,Korrelation!$D$4:$D$1197,Korrelation!G$4:G$1197,"-",0)="-",0,MATCH(_xlfn.XLOOKUP($A1058,Korrelation!$D$4:$D$1197,Korrelation!G$4:G$1197,"",0),DMAV_Modell!$G$6:$G$677,0)))</f>
        <v>0</v>
      </c>
      <c r="E1058" s="57">
        <f>IF($A1058="","",IF(_xlfn.XLOOKUP($A1058,Korrelation!$D$4:$D$1197,Korrelation!H$4:H$1197,"-",0)="-",0,MATCH(_xlfn.XLOOKUP($A1058,Korrelation!$D$4:$D$1197,Korrelation!H$4:H$1197,"",0),DMAV_Dienste!$F$6:$F$140,0)))</f>
        <v>0</v>
      </c>
      <c r="F1058" s="57">
        <f>IF($A1058="","",IF(_xlfn.XLOOKUP($A1058,Korrelation!$D$4:$D$1197,Korrelation!I$4:I$1197,"-",0)="-",0,MATCH(_xlfn.XLOOKUP($A1058,Korrelation!$D$4:$D$1197,Korrelation!I$4:I$1197,"",0),DMAV_Dienste!$F$6:$F$140,0)))</f>
        <v>0</v>
      </c>
      <c r="G1058" s="57">
        <f>IF($A1058="","",IF(_xlfn.XLOOKUP($A1058,Korrelation!$D$4:$D$1197,Korrelation!J$4:J$1197,"-",0)="-",0,MATCH(_xlfn.XLOOKUP($A1058,Korrelation!$D$4:$D$1197,Korrelation!J$4:J$1197,"",0),DMAV_Dienste!$F$6:$F$140,0)))</f>
        <v>0</v>
      </c>
      <c r="H1058" s="57">
        <f>IF($A1058="","",IF(_xlfn.XLOOKUP($A1058,Korrelation!$D$4:$D$1197,Korrelation!K$4:K$1197,"-",0)="-",0,MATCH(_xlfn.XLOOKUP($A1058,Korrelation!$D$4:$D$1197,Korrelation!K$4:K$1197,"",0),'DM01-AV-CH'!$A$6:$A$834,0)))</f>
        <v>664</v>
      </c>
      <c r="J1058" s="54" t="str" cm="1">
        <f t="array" aca="1" ref="J1058" ca="1">IF(B1058=0,IF(E1058=0,"",HYPERLINK("#"&amp;RIGHT(CELL("adresse",OFFSET(DMAV_Dienste!$M$6,E1058-1,0)),LEN(CELL("adresse",OFFSET(DMAV_Dienste!$M$6,E1058-1,0)))-FIND("]",CELL("adresse",OFFSET(DMAV_Dienste!$M$6,E1058-1,0)))),"Dienst")),HYPERLINK("#"&amp;RIGHT(CELL("adresse",OFFSET(DMAV_Modell!$N$6,B1058-1,0)),LEN(CELL("adresse",OFFSET(DMAV_Modell!$N$6,B1058-1,0)))-FIND("]",CELL("adresse",OFFSET(DMAV_Modell!$N$6,B1058-1,0)))),"Modell"))</f>
        <v/>
      </c>
      <c r="K1058" s="61" t="str" cm="1">
        <f t="array" ref="K1058">IF($B1058=0,IF($E1058=0,"",IF(INDEX(DMAV_Dienste!P$6:P$140,$E1058)="","",INDEX(DMAV_Dienste!P$6:P$140,$E1058))),IF(INDEX(DMAV_Modell!Q$6:Q$838,$B1058)="","",INDEX(DMAV_Modell!Q$6:Q$838,$B1058)))</f>
        <v/>
      </c>
      <c r="L1058" s="62" t="str" cm="1">
        <f t="array" ref="L1058">IF($B1058=0,IF($E1058=0,"",IF(INDEX(DMAV_Dienste!O$6:O$140,$E1058)="","",INDEX(DMAV_Dienste!O$6:O$140,$E1058))),IF(INDEX(DMAV_Modell!P$6:P$838,$B1058)="","",INDEX(DMAV_Modell!P$6:P$838,$B1058)))</f>
        <v/>
      </c>
      <c r="M1058" s="62" t="str" cm="1">
        <f t="array" ref="M1058">IF($B1058=0,IF($E1058=0,"",IF(INDEX(DMAV_Dienste!Q$6:Q$140,$E1058)="","",INDEX(DMAV_Dienste!Q$6:Q$140,$E1058))),IF(INDEX(DMAV_Modell!R$6:R$838,$B1058)="","",INDEX(DMAV_Modell!R$6:R$838,$B1058)))</f>
        <v/>
      </c>
      <c r="N1058" s="62" t="str" cm="1">
        <f t="array" ref="N1058">IF($B1058=0,IF($E1058=0,"",IF(INDEX(DMAV_Dienste!T$6:T$140,$E1058)="","",INDEX(DMAV_Dienste!T$6:T$140,$E1058))),IF(INDEX(DMAV_Modell!U$6:U$838,$B1058)="","",INDEX(DMAV_Modell!U$6:U$838,$B1058)))</f>
        <v/>
      </c>
      <c r="O1058" s="63" t="str" cm="1">
        <f t="array" aca="1" ref="O1058" ca="1">IF(C1058=0,IF(F1058=0,"",HYPERLINK("#"&amp;RIGHT(CELL("adresse",OFFSET(DMAV_Dienste!$M$6,F1058-1,0)),LEN(CELL("adresse",OFFSET(DMAV_Dienste!$M$6,F1058-1,0)))-FIND("]",CELL("adresse",OFFSET(DMAV_Dienste!$M$6,F1058-1,0)))),"Structure")),HYPERLINK("#"&amp;RIGHT(CELL("adresse",OFFSET(DMAV_Modell!$N$6,C1058-1,0)),LEN(CELL("adresse",OFFSET(DMAV_Modell!$N$6,C1058-1,0)))-FIND("]",CELL("adresse",OFFSET(DMAV_Modell!$N$6,C1058-1,0)))),"Structure"))</f>
        <v/>
      </c>
      <c r="P1058" s="64" t="str" cm="1">
        <f t="array" aca="1" ref="P1058" ca="1">IF(D1058=0,IF(G1058=0,"",HYPERLINK("#"&amp;RIGHT(CELL("adresse",OFFSET(DMAV_Dienste!$M$6,G1058-1,0)),LEN(CELL("adresse",OFFSET(DMAV_Dienste!$M$6,G1058-1,0)))-FIND("]",CELL("adresse",OFFSET(DMAV_Dienste!$M$6,G1058-1,0)))),"Substructure")),HYPERLINK("#"&amp;RIGHT(CELL("adresse",OFFSET(DMAV_Modell!$N$6,D1058-1,0)),LEN(CELL("adresse",OFFSET(DMAV_Modell!$N$6,D1058-1,0)))-FIND("]",CELL("adresse",OFFSET(DMAV_Modell!$N$6,D1058-1,0)))),"Substructure"))</f>
        <v/>
      </c>
      <c r="R1058" s="80"/>
      <c r="T1058" s="93"/>
      <c r="U1058" s="94"/>
      <c r="V1058" s="95"/>
      <c r="W1058" s="96"/>
      <c r="Y1058" s="85"/>
      <c r="Z1058" s="86"/>
      <c r="AA1058" s="87"/>
      <c r="AB1058" s="88" t="s">
        <v>3605</v>
      </c>
      <c r="AD1058" s="77"/>
      <c r="AF1058" s="54" t="str" cm="1">
        <f t="array" aca="1" ref="AF1058" ca="1">IF(H1058=0,"",HYPERLINK("#"&amp;RIGHT(CELL("adresse",OFFSET('DM01-AV-CH'!$G$6,H1058-1,0)),LEN(CELL("adresse",OFFSET('DM01-AV-CH'!$G$6,H1058-1,0)))-FIND("]",CELL("adresse",OFFSET('DM01-AV-CH'!$G$6,H1058-1,0)))),"Modell"))</f>
        <v>Modell</v>
      </c>
      <c r="AG1058" s="72" t="str" cm="1">
        <f t="array" ref="AG1058">IF($H1058=0,"",IF(INDEX('DM01-AV-CH'!G$6:G$834,$H1058)="","",INDEX('DM01-AV-CH'!G$6:G$834,$H1058)))</f>
        <v>PLZOrtschaft</v>
      </c>
      <c r="AH1058" s="73" t="str" cm="1">
        <f t="array" ref="AH1058">IF($H1058=0,"",IF(INDEX('DM01-AV-CH'!H$6:H$834,$H1058)="","",INDEX('DM01-AV-CH'!H$6:H$834,$H1058)))</f>
        <v>OSNachfuehrung</v>
      </c>
      <c r="AI1058" s="74" t="str" cm="1">
        <f t="array" ref="AI1058">IF($H1058=0,"",IF(INDEX('DM01-AV-CH'!I$6:I$834,$H1058)="","",INDEX('DM01-AV-CH'!I$6:I$834,$H1058)))</f>
        <v>GueltigerEintrag</v>
      </c>
    </row>
    <row r="1059" spans="1:35" x14ac:dyDescent="0.25">
      <c r="A1059" s="57">
        <v>1054</v>
      </c>
      <c r="B1059" s="57">
        <f>IF($A1059="","",IF(_xlfn.XLOOKUP($A1059,Korrelation!$D$4:$D$1197,Korrelation!E$4:E$1197,"-",0)="-",0,MATCH(_xlfn.XLOOKUP($A1059,Korrelation!$D$4:$D$1197,Korrelation!E$4:E$1197,"",0),DMAV_Modell!$G$6:$G$677,0)))</f>
        <v>0</v>
      </c>
      <c r="C1059" s="57">
        <f>IF($A1059="","",IF(_xlfn.XLOOKUP($A1059,Korrelation!$D$4:$D$1197,Korrelation!F$4:F$1197,"-",0)="-",0,MATCH(_xlfn.XLOOKUP($A1059,Korrelation!$D$4:$D$1197,Korrelation!F$4:F$1197,"",0),DMAV_Modell!$G$6:$G$677,0)))</f>
        <v>0</v>
      </c>
      <c r="D1059" s="57">
        <f>IF($A1059="","",IF(_xlfn.XLOOKUP($A1059,Korrelation!$D$4:$D$1197,Korrelation!G$4:G$1197,"-",0)="-",0,MATCH(_xlfn.XLOOKUP($A1059,Korrelation!$D$4:$D$1197,Korrelation!G$4:G$1197,"",0),DMAV_Modell!$G$6:$G$677,0)))</f>
        <v>0</v>
      </c>
      <c r="E1059" s="57">
        <f>IF($A1059="","",IF(_xlfn.XLOOKUP($A1059,Korrelation!$D$4:$D$1197,Korrelation!H$4:H$1197,"-",0)="-",0,MATCH(_xlfn.XLOOKUP($A1059,Korrelation!$D$4:$D$1197,Korrelation!H$4:H$1197,"",0),DMAV_Dienste!$F$6:$F$140,0)))</f>
        <v>0</v>
      </c>
      <c r="F1059" s="57">
        <f>IF($A1059="","",IF(_xlfn.XLOOKUP($A1059,Korrelation!$D$4:$D$1197,Korrelation!I$4:I$1197,"-",0)="-",0,MATCH(_xlfn.XLOOKUP($A1059,Korrelation!$D$4:$D$1197,Korrelation!I$4:I$1197,"",0),DMAV_Dienste!$F$6:$F$140,0)))</f>
        <v>0</v>
      </c>
      <c r="G1059" s="57">
        <f>IF($A1059="","",IF(_xlfn.XLOOKUP($A1059,Korrelation!$D$4:$D$1197,Korrelation!J$4:J$1197,"-",0)="-",0,MATCH(_xlfn.XLOOKUP($A1059,Korrelation!$D$4:$D$1197,Korrelation!J$4:J$1197,"",0),DMAV_Dienste!$F$6:$F$140,0)))</f>
        <v>0</v>
      </c>
      <c r="H1059" s="57">
        <f>IF($A1059="","",IF(_xlfn.XLOOKUP($A1059,Korrelation!$D$4:$D$1197,Korrelation!K$4:K$1197,"-",0)="-",0,MATCH(_xlfn.XLOOKUP($A1059,Korrelation!$D$4:$D$1197,Korrelation!K$4:K$1197,"",0),'DM01-AV-CH'!$A$6:$A$834,0)))</f>
        <v>665</v>
      </c>
      <c r="J1059" s="54" t="str" cm="1">
        <f t="array" aca="1" ref="J1059" ca="1">IF(B1059=0,IF(E1059=0,"",HYPERLINK("#"&amp;RIGHT(CELL("adresse",OFFSET(DMAV_Dienste!$M$6,E1059-1,0)),LEN(CELL("adresse",OFFSET(DMAV_Dienste!$M$6,E1059-1,0)))-FIND("]",CELL("adresse",OFFSET(DMAV_Dienste!$M$6,E1059-1,0)))),"Dienst")),HYPERLINK("#"&amp;RIGHT(CELL("adresse",OFFSET(DMAV_Modell!$N$6,B1059-1,0)),LEN(CELL("adresse",OFFSET(DMAV_Modell!$N$6,B1059-1,0)))-FIND("]",CELL("adresse",OFFSET(DMAV_Modell!$N$6,B1059-1,0)))),"Modell"))</f>
        <v/>
      </c>
      <c r="K1059" s="61" t="str" cm="1">
        <f t="array" ref="K1059">IF($B1059=0,IF($E1059=0,"",IF(INDEX(DMAV_Dienste!P$6:P$140,$E1059)="","",INDEX(DMAV_Dienste!P$6:P$140,$E1059))),IF(INDEX(DMAV_Modell!Q$6:Q$838,$B1059)="","",INDEX(DMAV_Modell!Q$6:Q$838,$B1059)))</f>
        <v/>
      </c>
      <c r="L1059" s="62" t="str" cm="1">
        <f t="array" ref="L1059">IF($B1059=0,IF($E1059=0,"",IF(INDEX(DMAV_Dienste!O$6:O$140,$E1059)="","",INDEX(DMAV_Dienste!O$6:O$140,$E1059))),IF(INDEX(DMAV_Modell!P$6:P$838,$B1059)="","",INDEX(DMAV_Modell!P$6:P$838,$B1059)))</f>
        <v/>
      </c>
      <c r="M1059" s="62" t="str" cm="1">
        <f t="array" ref="M1059">IF($B1059=0,IF($E1059=0,"",IF(INDEX(DMAV_Dienste!Q$6:Q$140,$E1059)="","",INDEX(DMAV_Dienste!Q$6:Q$140,$E1059))),IF(INDEX(DMAV_Modell!R$6:R$838,$B1059)="","",INDEX(DMAV_Modell!R$6:R$838,$B1059)))</f>
        <v/>
      </c>
      <c r="N1059" s="62" t="str" cm="1">
        <f t="array" ref="N1059">IF($B1059=0,IF($E1059=0,"",IF(INDEX(DMAV_Dienste!T$6:T$140,$E1059)="","",INDEX(DMAV_Dienste!T$6:T$140,$E1059))),IF(INDEX(DMAV_Modell!U$6:U$838,$B1059)="","",INDEX(DMAV_Modell!U$6:U$838,$B1059)))</f>
        <v/>
      </c>
      <c r="O1059" s="63" t="str" cm="1">
        <f t="array" aca="1" ref="O1059" ca="1">IF(C1059=0,IF(F1059=0,"",HYPERLINK("#"&amp;RIGHT(CELL("adresse",OFFSET(DMAV_Dienste!$M$6,F1059-1,0)),LEN(CELL("adresse",OFFSET(DMAV_Dienste!$M$6,F1059-1,0)))-FIND("]",CELL("adresse",OFFSET(DMAV_Dienste!$M$6,F1059-1,0)))),"Structure")),HYPERLINK("#"&amp;RIGHT(CELL("adresse",OFFSET(DMAV_Modell!$N$6,C1059-1,0)),LEN(CELL("adresse",OFFSET(DMAV_Modell!$N$6,C1059-1,0)))-FIND("]",CELL("adresse",OFFSET(DMAV_Modell!$N$6,C1059-1,0)))),"Structure"))</f>
        <v/>
      </c>
      <c r="P1059" s="64" t="str" cm="1">
        <f t="array" aca="1" ref="P1059" ca="1">IF(D1059=0,IF(G1059=0,"",HYPERLINK("#"&amp;RIGHT(CELL("adresse",OFFSET(DMAV_Dienste!$M$6,G1059-1,0)),LEN(CELL("adresse",OFFSET(DMAV_Dienste!$M$6,G1059-1,0)))-FIND("]",CELL("adresse",OFFSET(DMAV_Dienste!$M$6,G1059-1,0)))),"Substructure")),HYPERLINK("#"&amp;RIGHT(CELL("adresse",OFFSET(DMAV_Modell!$N$6,D1059-1,0)),LEN(CELL("adresse",OFFSET(DMAV_Modell!$N$6,D1059-1,0)))-FIND("]",CELL("adresse",OFFSET(DMAV_Modell!$N$6,D1059-1,0)))),"Substructure"))</f>
        <v/>
      </c>
      <c r="R1059" s="80"/>
      <c r="T1059" s="93"/>
      <c r="U1059" s="94"/>
      <c r="V1059" s="95"/>
      <c r="W1059" s="96"/>
      <c r="Y1059" s="85"/>
      <c r="Z1059" s="86"/>
      <c r="AA1059" s="87"/>
      <c r="AB1059" s="88"/>
      <c r="AD1059" s="77"/>
      <c r="AF1059" s="54" t="str" cm="1">
        <f t="array" aca="1" ref="AF1059" ca="1">IF(H1059=0,"",HYPERLINK("#"&amp;RIGHT(CELL("adresse",OFFSET('DM01-AV-CH'!$G$6,H1059-1,0)),LEN(CELL("adresse",OFFSET('DM01-AV-CH'!$G$6,H1059-1,0)))-FIND("]",CELL("adresse",OFFSET('DM01-AV-CH'!$G$6,H1059-1,0)))),"Modell"))</f>
        <v>Modell</v>
      </c>
      <c r="AG1059" s="72" t="str" cm="1">
        <f t="array" ref="AG1059">IF($H1059=0,"",IF(INDEX('DM01-AV-CH'!G$6:G$834,$H1059)="","",INDEX('DM01-AV-CH'!G$6:G$834,$H1059)))</f>
        <v>PLZOrtschaft</v>
      </c>
      <c r="AH1059" s="73" t="str" cm="1">
        <f t="array" ref="AH1059">IF($H1059=0,"",IF(INDEX('DM01-AV-CH'!H$6:H$834,$H1059)="","",INDEX('DM01-AV-CH'!H$6:H$834,$H1059)))</f>
        <v>OrtschaftsVerbund</v>
      </c>
      <c r="AI1059" s="74" t="str" cm="1">
        <f t="array" ref="AI1059">IF($H1059=0,"",IF(INDEX('DM01-AV-CH'!I$6:I$834,$H1059)="","",INDEX('DM01-AV-CH'!I$6:I$834,$H1059)))</f>
        <v>Leer</v>
      </c>
    </row>
    <row r="1060" spans="1:35" ht="28.5" x14ac:dyDescent="0.25">
      <c r="A1060" s="57">
        <v>1055</v>
      </c>
      <c r="B1060" s="57">
        <f>IF($A1060="","",IF(_xlfn.XLOOKUP($A1060,Korrelation!$D$4:$D$1197,Korrelation!E$4:E$1197,"-",0)="-",0,MATCH(_xlfn.XLOOKUP($A1060,Korrelation!$D$4:$D$1197,Korrelation!E$4:E$1197,"",0),DMAV_Modell!$G$6:$G$677,0)))</f>
        <v>0</v>
      </c>
      <c r="C1060" s="57">
        <f>IF($A1060="","",IF(_xlfn.XLOOKUP($A1060,Korrelation!$D$4:$D$1197,Korrelation!F$4:F$1197,"-",0)="-",0,MATCH(_xlfn.XLOOKUP($A1060,Korrelation!$D$4:$D$1197,Korrelation!F$4:F$1197,"",0),DMAV_Modell!$G$6:$G$677,0)))</f>
        <v>0</v>
      </c>
      <c r="D1060" s="57">
        <f>IF($A1060="","",IF(_xlfn.XLOOKUP($A1060,Korrelation!$D$4:$D$1197,Korrelation!G$4:G$1197,"-",0)="-",0,MATCH(_xlfn.XLOOKUP($A1060,Korrelation!$D$4:$D$1197,Korrelation!G$4:G$1197,"",0),DMAV_Modell!$G$6:$G$677,0)))</f>
        <v>0</v>
      </c>
      <c r="E1060" s="57">
        <f>IF($A1060="","",IF(_xlfn.XLOOKUP($A1060,Korrelation!$D$4:$D$1197,Korrelation!H$4:H$1197,"-",0)="-",0,MATCH(_xlfn.XLOOKUP($A1060,Korrelation!$D$4:$D$1197,Korrelation!H$4:H$1197,"",0),DMAV_Dienste!$F$6:$F$140,0)))</f>
        <v>0</v>
      </c>
      <c r="F1060" s="57">
        <f>IF($A1060="","",IF(_xlfn.XLOOKUP($A1060,Korrelation!$D$4:$D$1197,Korrelation!I$4:I$1197,"-",0)="-",0,MATCH(_xlfn.XLOOKUP($A1060,Korrelation!$D$4:$D$1197,Korrelation!I$4:I$1197,"",0),DMAV_Dienste!$F$6:$F$140,0)))</f>
        <v>0</v>
      </c>
      <c r="G1060" s="57">
        <f>IF($A1060="","",IF(_xlfn.XLOOKUP($A1060,Korrelation!$D$4:$D$1197,Korrelation!J$4:J$1197,"-",0)="-",0,MATCH(_xlfn.XLOOKUP($A1060,Korrelation!$D$4:$D$1197,Korrelation!J$4:J$1197,"",0),DMAV_Dienste!$F$6:$F$140,0)))</f>
        <v>0</v>
      </c>
      <c r="H1060" s="57">
        <f>IF($A1060="","",IF(_xlfn.XLOOKUP($A1060,Korrelation!$D$4:$D$1197,Korrelation!K$4:K$1197,"-",0)="-",0,MATCH(_xlfn.XLOOKUP($A1060,Korrelation!$D$4:$D$1197,Korrelation!K$4:K$1197,"",0),'DM01-AV-CH'!$A$6:$A$834,0)))</f>
        <v>666</v>
      </c>
      <c r="J1060" s="54" t="str" cm="1">
        <f t="array" aca="1" ref="J1060" ca="1">IF(B1060=0,IF(E1060=0,"",HYPERLINK("#"&amp;RIGHT(CELL("adresse",OFFSET(DMAV_Dienste!$M$6,E1060-1,0)),LEN(CELL("adresse",OFFSET(DMAV_Dienste!$M$6,E1060-1,0)))-FIND("]",CELL("adresse",OFFSET(DMAV_Dienste!$M$6,E1060-1,0)))),"Dienst")),HYPERLINK("#"&amp;RIGHT(CELL("adresse",OFFSET(DMAV_Modell!$N$6,B1060-1,0)),LEN(CELL("adresse",OFFSET(DMAV_Modell!$N$6,B1060-1,0)))-FIND("]",CELL("adresse",OFFSET(DMAV_Modell!$N$6,B1060-1,0)))),"Modell"))</f>
        <v/>
      </c>
      <c r="K1060" s="61" t="str" cm="1">
        <f t="array" ref="K1060">IF($B1060=0,IF($E1060=0,"",IF(INDEX(DMAV_Dienste!P$6:P$140,$E1060)="","",INDEX(DMAV_Dienste!P$6:P$140,$E1060))),IF(INDEX(DMAV_Modell!Q$6:Q$838,$B1060)="","",INDEX(DMAV_Modell!Q$6:Q$838,$B1060)))</f>
        <v/>
      </c>
      <c r="L1060" s="62" t="str" cm="1">
        <f t="array" ref="L1060">IF($B1060=0,IF($E1060=0,"",IF(INDEX(DMAV_Dienste!O$6:O$140,$E1060)="","",INDEX(DMAV_Dienste!O$6:O$140,$E1060))),IF(INDEX(DMAV_Modell!P$6:P$838,$B1060)="","",INDEX(DMAV_Modell!P$6:P$838,$B1060)))</f>
        <v/>
      </c>
      <c r="M1060" s="62" t="str" cm="1">
        <f t="array" ref="M1060">IF($B1060=0,IF($E1060=0,"",IF(INDEX(DMAV_Dienste!Q$6:Q$140,$E1060)="","",INDEX(DMAV_Dienste!Q$6:Q$140,$E1060))),IF(INDEX(DMAV_Modell!R$6:R$838,$B1060)="","",INDEX(DMAV_Modell!R$6:R$838,$B1060)))</f>
        <v/>
      </c>
      <c r="N1060" s="62" t="str" cm="1">
        <f t="array" ref="N1060">IF($B1060=0,IF($E1060=0,"",IF(INDEX(DMAV_Dienste!T$6:T$140,$E1060)="","",INDEX(DMAV_Dienste!T$6:T$140,$E1060))),IF(INDEX(DMAV_Modell!U$6:U$838,$B1060)="","",INDEX(DMAV_Modell!U$6:U$838,$B1060)))</f>
        <v/>
      </c>
      <c r="O1060" s="63" t="str" cm="1">
        <f t="array" aca="1" ref="O1060" ca="1">IF(C1060=0,IF(F1060=0,"",HYPERLINK("#"&amp;RIGHT(CELL("adresse",OFFSET(DMAV_Dienste!$M$6,F1060-1,0)),LEN(CELL("adresse",OFFSET(DMAV_Dienste!$M$6,F1060-1,0)))-FIND("]",CELL("adresse",OFFSET(DMAV_Dienste!$M$6,F1060-1,0)))),"Structure")),HYPERLINK("#"&amp;RIGHT(CELL("adresse",OFFSET(DMAV_Modell!$N$6,C1060-1,0)),LEN(CELL("adresse",OFFSET(DMAV_Modell!$N$6,C1060-1,0)))-FIND("]",CELL("adresse",OFFSET(DMAV_Modell!$N$6,C1060-1,0)))),"Structure"))</f>
        <v/>
      </c>
      <c r="P1060" s="64" t="str" cm="1">
        <f t="array" aca="1" ref="P1060" ca="1">IF(D1060=0,IF(G1060=0,"",HYPERLINK("#"&amp;RIGHT(CELL("adresse",OFFSET(DMAV_Dienste!$M$6,G1060-1,0)),LEN(CELL("adresse",OFFSET(DMAV_Dienste!$M$6,G1060-1,0)))-FIND("]",CELL("adresse",OFFSET(DMAV_Dienste!$M$6,G1060-1,0)))),"Substructure")),HYPERLINK("#"&amp;RIGHT(CELL("adresse",OFFSET(DMAV_Modell!$N$6,D1060-1,0)),LEN(CELL("adresse",OFFSET(DMAV_Modell!$N$6,D1060-1,0)))-FIND("]",CELL("adresse",OFFSET(DMAV_Modell!$N$6,D1060-1,0)))),"Substructure"))</f>
        <v/>
      </c>
      <c r="R1060" s="80"/>
      <c r="T1060" s="93"/>
      <c r="U1060" s="94"/>
      <c r="V1060" s="95"/>
      <c r="W1060" s="96"/>
      <c r="Y1060" s="85"/>
      <c r="Z1060" s="86"/>
      <c r="AA1060" s="87"/>
      <c r="AB1060" s="88"/>
      <c r="AD1060" s="77"/>
      <c r="AF1060" s="54" t="str" cm="1">
        <f t="array" aca="1" ref="AF1060" ca="1">IF(H1060=0,"",HYPERLINK("#"&amp;RIGHT(CELL("adresse",OFFSET('DM01-AV-CH'!$G$6,H1060-1,0)),LEN(CELL("adresse",OFFSET('DM01-AV-CH'!$G$6,H1060-1,0)))-FIND("]",CELL("adresse",OFFSET('DM01-AV-CH'!$G$6,H1060-1,0)))),"Modell"))</f>
        <v>Modell</v>
      </c>
      <c r="AG1060" s="72" t="str" cm="1">
        <f t="array" ref="AG1060">IF($H1060=0,"",IF(INDEX('DM01-AV-CH'!G$6:G$834,$H1060)="","",INDEX('DM01-AV-CH'!G$6:G$834,$H1060)))</f>
        <v>PLZOrtschaft</v>
      </c>
      <c r="AH1060" s="73" t="str" cm="1">
        <f t="array" ref="AH1060">IF($H1060=0,"",IF(INDEX('DM01-AV-CH'!H$6:H$834,$H1060)="","",INDEX('DM01-AV-CH'!H$6:H$834,$H1060)))</f>
        <v>OrtschaftsVerbundText</v>
      </c>
      <c r="AI1060" s="74" t="str" cm="1">
        <f t="array" ref="AI1060">IF($H1060=0,"",IF(INDEX('DM01-AV-CH'!I$6:I$834,$H1060)="","",INDEX('DM01-AV-CH'!I$6:I$834,$H1060)))</f>
        <v>OrtschaftsVerbundText_von</v>
      </c>
    </row>
    <row r="1061" spans="1:35" x14ac:dyDescent="0.25">
      <c r="A1061" s="57">
        <v>1056</v>
      </c>
      <c r="B1061" s="57">
        <f>IF($A1061="","",IF(_xlfn.XLOOKUP($A1061,Korrelation!$D$4:$D$1197,Korrelation!E$4:E$1197,"-",0)="-",0,MATCH(_xlfn.XLOOKUP($A1061,Korrelation!$D$4:$D$1197,Korrelation!E$4:E$1197,"",0),DMAV_Modell!$G$6:$G$677,0)))</f>
        <v>0</v>
      </c>
      <c r="C1061" s="57">
        <f>IF($A1061="","",IF(_xlfn.XLOOKUP($A1061,Korrelation!$D$4:$D$1197,Korrelation!F$4:F$1197,"-",0)="-",0,MATCH(_xlfn.XLOOKUP($A1061,Korrelation!$D$4:$D$1197,Korrelation!F$4:F$1197,"",0),DMAV_Modell!$G$6:$G$677,0)))</f>
        <v>0</v>
      </c>
      <c r="D1061" s="57">
        <f>IF($A1061="","",IF(_xlfn.XLOOKUP($A1061,Korrelation!$D$4:$D$1197,Korrelation!G$4:G$1197,"-",0)="-",0,MATCH(_xlfn.XLOOKUP($A1061,Korrelation!$D$4:$D$1197,Korrelation!G$4:G$1197,"",0),DMAV_Modell!$G$6:$G$677,0)))</f>
        <v>0</v>
      </c>
      <c r="E1061" s="57">
        <f>IF($A1061="","",IF(_xlfn.XLOOKUP($A1061,Korrelation!$D$4:$D$1197,Korrelation!H$4:H$1197,"-",0)="-",0,MATCH(_xlfn.XLOOKUP($A1061,Korrelation!$D$4:$D$1197,Korrelation!H$4:H$1197,"",0),DMAV_Dienste!$F$6:$F$140,0)))</f>
        <v>0</v>
      </c>
      <c r="F1061" s="57">
        <f>IF($A1061="","",IF(_xlfn.XLOOKUP($A1061,Korrelation!$D$4:$D$1197,Korrelation!I$4:I$1197,"-",0)="-",0,MATCH(_xlfn.XLOOKUP($A1061,Korrelation!$D$4:$D$1197,Korrelation!I$4:I$1197,"",0),DMAV_Dienste!$F$6:$F$140,0)))</f>
        <v>0</v>
      </c>
      <c r="G1061" s="57">
        <f>IF($A1061="","",IF(_xlfn.XLOOKUP($A1061,Korrelation!$D$4:$D$1197,Korrelation!J$4:J$1197,"-",0)="-",0,MATCH(_xlfn.XLOOKUP($A1061,Korrelation!$D$4:$D$1197,Korrelation!J$4:J$1197,"",0),DMAV_Dienste!$F$6:$F$140,0)))</f>
        <v>0</v>
      </c>
      <c r="H1061" s="57">
        <f>IF($A1061="","",IF(_xlfn.XLOOKUP($A1061,Korrelation!$D$4:$D$1197,Korrelation!K$4:K$1197,"-",0)="-",0,MATCH(_xlfn.XLOOKUP($A1061,Korrelation!$D$4:$D$1197,Korrelation!K$4:K$1197,"",0),'DM01-AV-CH'!$A$6:$A$834,0)))</f>
        <v>667</v>
      </c>
      <c r="J1061" s="54" t="str" cm="1">
        <f t="array" aca="1" ref="J1061" ca="1">IF(B1061=0,IF(E1061=0,"",HYPERLINK("#"&amp;RIGHT(CELL("adresse",OFFSET(DMAV_Dienste!$M$6,E1061-1,0)),LEN(CELL("adresse",OFFSET(DMAV_Dienste!$M$6,E1061-1,0)))-FIND("]",CELL("adresse",OFFSET(DMAV_Dienste!$M$6,E1061-1,0)))),"Dienst")),HYPERLINK("#"&amp;RIGHT(CELL("adresse",OFFSET(DMAV_Modell!$N$6,B1061-1,0)),LEN(CELL("adresse",OFFSET(DMAV_Modell!$N$6,B1061-1,0)))-FIND("]",CELL("adresse",OFFSET(DMAV_Modell!$N$6,B1061-1,0)))),"Modell"))</f>
        <v/>
      </c>
      <c r="K1061" s="61" t="str" cm="1">
        <f t="array" ref="K1061">IF($B1061=0,IF($E1061=0,"",IF(INDEX(DMAV_Dienste!P$6:P$140,$E1061)="","",INDEX(DMAV_Dienste!P$6:P$140,$E1061))),IF(INDEX(DMAV_Modell!Q$6:Q$838,$B1061)="","",INDEX(DMAV_Modell!Q$6:Q$838,$B1061)))</f>
        <v/>
      </c>
      <c r="L1061" s="62" t="str" cm="1">
        <f t="array" ref="L1061">IF($B1061=0,IF($E1061=0,"",IF(INDEX(DMAV_Dienste!O$6:O$140,$E1061)="","",INDEX(DMAV_Dienste!O$6:O$140,$E1061))),IF(INDEX(DMAV_Modell!P$6:P$838,$B1061)="","",INDEX(DMAV_Modell!P$6:P$838,$B1061)))</f>
        <v/>
      </c>
      <c r="M1061" s="62" t="str" cm="1">
        <f t="array" ref="M1061">IF($B1061=0,IF($E1061=0,"",IF(INDEX(DMAV_Dienste!Q$6:Q$140,$E1061)="","",INDEX(DMAV_Dienste!Q$6:Q$140,$E1061))),IF(INDEX(DMAV_Modell!R$6:R$838,$B1061)="","",INDEX(DMAV_Modell!R$6:R$838,$B1061)))</f>
        <v/>
      </c>
      <c r="N1061" s="62" t="str" cm="1">
        <f t="array" ref="N1061">IF($B1061=0,IF($E1061=0,"",IF(INDEX(DMAV_Dienste!T$6:T$140,$E1061)="","",INDEX(DMAV_Dienste!T$6:T$140,$E1061))),IF(INDEX(DMAV_Modell!U$6:U$838,$B1061)="","",INDEX(DMAV_Modell!U$6:U$838,$B1061)))</f>
        <v/>
      </c>
      <c r="O1061" s="63" t="str" cm="1">
        <f t="array" aca="1" ref="O1061" ca="1">IF(C1061=0,IF(F1061=0,"",HYPERLINK("#"&amp;RIGHT(CELL("adresse",OFFSET(DMAV_Dienste!$M$6,F1061-1,0)),LEN(CELL("adresse",OFFSET(DMAV_Dienste!$M$6,F1061-1,0)))-FIND("]",CELL("adresse",OFFSET(DMAV_Dienste!$M$6,F1061-1,0)))),"Structure")),HYPERLINK("#"&amp;RIGHT(CELL("adresse",OFFSET(DMAV_Modell!$N$6,C1061-1,0)),LEN(CELL("adresse",OFFSET(DMAV_Modell!$N$6,C1061-1,0)))-FIND("]",CELL("adresse",OFFSET(DMAV_Modell!$N$6,C1061-1,0)))),"Structure"))</f>
        <v/>
      </c>
      <c r="P1061" s="64" t="str" cm="1">
        <f t="array" aca="1" ref="P1061" ca="1">IF(D1061=0,IF(G1061=0,"",HYPERLINK("#"&amp;RIGHT(CELL("adresse",OFFSET(DMAV_Dienste!$M$6,G1061-1,0)),LEN(CELL("adresse",OFFSET(DMAV_Dienste!$M$6,G1061-1,0)))-FIND("]",CELL("adresse",OFFSET(DMAV_Dienste!$M$6,G1061-1,0)))),"Substructure")),HYPERLINK("#"&amp;RIGHT(CELL("adresse",OFFSET(DMAV_Modell!$N$6,D1061-1,0)),LEN(CELL("adresse",OFFSET(DMAV_Modell!$N$6,D1061-1,0)))-FIND("]",CELL("adresse",OFFSET(DMAV_Modell!$N$6,D1061-1,0)))),"Substructure"))</f>
        <v/>
      </c>
      <c r="R1061" s="80"/>
      <c r="T1061" s="93"/>
      <c r="U1061" s="94"/>
      <c r="V1061" s="95"/>
      <c r="W1061" s="96"/>
      <c r="Y1061" s="85"/>
      <c r="Z1061" s="86"/>
      <c r="AA1061" s="87"/>
      <c r="AB1061" s="88"/>
      <c r="AD1061" s="77"/>
      <c r="AF1061" s="54" t="str" cm="1">
        <f t="array" aca="1" ref="AF1061" ca="1">IF(H1061=0,"",HYPERLINK("#"&amp;RIGHT(CELL("adresse",OFFSET('DM01-AV-CH'!$G$6,H1061-1,0)),LEN(CELL("adresse",OFFSET('DM01-AV-CH'!$G$6,H1061-1,0)))-FIND("]",CELL("adresse",OFFSET('DM01-AV-CH'!$G$6,H1061-1,0)))),"Modell"))</f>
        <v>Modell</v>
      </c>
      <c r="AG1061" s="72" t="str" cm="1">
        <f t="array" ref="AG1061">IF($H1061=0,"",IF(INDEX('DM01-AV-CH'!G$6:G$834,$H1061)="","",INDEX('DM01-AV-CH'!G$6:G$834,$H1061)))</f>
        <v>PLZOrtschaft</v>
      </c>
      <c r="AH1061" s="73" t="str" cm="1">
        <f t="array" ref="AH1061">IF($H1061=0,"",IF(INDEX('DM01-AV-CH'!H$6:H$834,$H1061)="","",INDEX('DM01-AV-CH'!H$6:H$834,$H1061)))</f>
        <v>OrtschaftsVerbundText</v>
      </c>
      <c r="AI1061" s="74" t="str" cm="1">
        <f t="array" ref="AI1061">IF($H1061=0,"",IF(INDEX('DM01-AV-CH'!I$6:I$834,$H1061)="","",INDEX('DM01-AV-CH'!I$6:I$834,$H1061)))</f>
        <v>Text</v>
      </c>
    </row>
    <row r="1062" spans="1:35" x14ac:dyDescent="0.25">
      <c r="A1062" s="57">
        <v>1057</v>
      </c>
      <c r="B1062" s="57">
        <f>IF($A1062="","",IF(_xlfn.XLOOKUP($A1062,Korrelation!$D$4:$D$1197,Korrelation!E$4:E$1197,"-",0)="-",0,MATCH(_xlfn.XLOOKUP($A1062,Korrelation!$D$4:$D$1197,Korrelation!E$4:E$1197,"",0),DMAV_Modell!$G$6:$G$677,0)))</f>
        <v>0</v>
      </c>
      <c r="C1062" s="57">
        <f>IF($A1062="","",IF(_xlfn.XLOOKUP($A1062,Korrelation!$D$4:$D$1197,Korrelation!F$4:F$1197,"-",0)="-",0,MATCH(_xlfn.XLOOKUP($A1062,Korrelation!$D$4:$D$1197,Korrelation!F$4:F$1197,"",0),DMAV_Modell!$G$6:$G$677,0)))</f>
        <v>0</v>
      </c>
      <c r="D1062" s="57">
        <f>IF($A1062="","",IF(_xlfn.XLOOKUP($A1062,Korrelation!$D$4:$D$1197,Korrelation!G$4:G$1197,"-",0)="-",0,MATCH(_xlfn.XLOOKUP($A1062,Korrelation!$D$4:$D$1197,Korrelation!G$4:G$1197,"",0),DMAV_Modell!$G$6:$G$677,0)))</f>
        <v>0</v>
      </c>
      <c r="E1062" s="57">
        <f>IF($A1062="","",IF(_xlfn.XLOOKUP($A1062,Korrelation!$D$4:$D$1197,Korrelation!H$4:H$1197,"-",0)="-",0,MATCH(_xlfn.XLOOKUP($A1062,Korrelation!$D$4:$D$1197,Korrelation!H$4:H$1197,"",0),DMAV_Dienste!$F$6:$F$140,0)))</f>
        <v>0</v>
      </c>
      <c r="F1062" s="57">
        <f>IF($A1062="","",IF(_xlfn.XLOOKUP($A1062,Korrelation!$D$4:$D$1197,Korrelation!I$4:I$1197,"-",0)="-",0,MATCH(_xlfn.XLOOKUP($A1062,Korrelation!$D$4:$D$1197,Korrelation!I$4:I$1197,"",0),DMAV_Dienste!$F$6:$F$140,0)))</f>
        <v>0</v>
      </c>
      <c r="G1062" s="57">
        <f>IF($A1062="","",IF(_xlfn.XLOOKUP($A1062,Korrelation!$D$4:$D$1197,Korrelation!J$4:J$1197,"-",0)="-",0,MATCH(_xlfn.XLOOKUP($A1062,Korrelation!$D$4:$D$1197,Korrelation!J$4:J$1197,"",0),DMAV_Dienste!$F$6:$F$140,0)))</f>
        <v>0</v>
      </c>
      <c r="H1062" s="57">
        <f>IF($A1062="","",IF(_xlfn.XLOOKUP($A1062,Korrelation!$D$4:$D$1197,Korrelation!K$4:K$1197,"-",0)="-",0,MATCH(_xlfn.XLOOKUP($A1062,Korrelation!$D$4:$D$1197,Korrelation!K$4:K$1197,"",0),'DM01-AV-CH'!$A$6:$A$834,0)))</f>
        <v>668</v>
      </c>
      <c r="J1062" s="54" t="str" cm="1">
        <f t="array" aca="1" ref="J1062" ca="1">IF(B1062=0,IF(E1062=0,"",HYPERLINK("#"&amp;RIGHT(CELL("adresse",OFFSET(DMAV_Dienste!$M$6,E1062-1,0)),LEN(CELL("adresse",OFFSET(DMAV_Dienste!$M$6,E1062-1,0)))-FIND("]",CELL("adresse",OFFSET(DMAV_Dienste!$M$6,E1062-1,0)))),"Dienst")),HYPERLINK("#"&amp;RIGHT(CELL("adresse",OFFSET(DMAV_Modell!$N$6,B1062-1,0)),LEN(CELL("adresse",OFFSET(DMAV_Modell!$N$6,B1062-1,0)))-FIND("]",CELL("adresse",OFFSET(DMAV_Modell!$N$6,B1062-1,0)))),"Modell"))</f>
        <v/>
      </c>
      <c r="K1062" s="61" t="str" cm="1">
        <f t="array" ref="K1062">IF($B1062=0,IF($E1062=0,"",IF(INDEX(DMAV_Dienste!P$6:P$140,$E1062)="","",INDEX(DMAV_Dienste!P$6:P$140,$E1062))),IF(INDEX(DMAV_Modell!Q$6:Q$838,$B1062)="","",INDEX(DMAV_Modell!Q$6:Q$838,$B1062)))</f>
        <v/>
      </c>
      <c r="L1062" s="62" t="str" cm="1">
        <f t="array" ref="L1062">IF($B1062=0,IF($E1062=0,"",IF(INDEX(DMAV_Dienste!O$6:O$140,$E1062)="","",INDEX(DMAV_Dienste!O$6:O$140,$E1062))),IF(INDEX(DMAV_Modell!P$6:P$838,$B1062)="","",INDEX(DMAV_Modell!P$6:P$838,$B1062)))</f>
        <v/>
      </c>
      <c r="M1062" s="62" t="str" cm="1">
        <f t="array" ref="M1062">IF($B1062=0,IF($E1062=0,"",IF(INDEX(DMAV_Dienste!Q$6:Q$140,$E1062)="","",INDEX(DMAV_Dienste!Q$6:Q$140,$E1062))),IF(INDEX(DMAV_Modell!R$6:R$838,$B1062)="","",INDEX(DMAV_Modell!R$6:R$838,$B1062)))</f>
        <v/>
      </c>
      <c r="N1062" s="62" t="str" cm="1">
        <f t="array" ref="N1062">IF($B1062=0,IF($E1062=0,"",IF(INDEX(DMAV_Dienste!T$6:T$140,$E1062)="","",INDEX(DMAV_Dienste!T$6:T$140,$E1062))),IF(INDEX(DMAV_Modell!U$6:U$838,$B1062)="","",INDEX(DMAV_Modell!U$6:U$838,$B1062)))</f>
        <v/>
      </c>
      <c r="O1062" s="63" t="str" cm="1">
        <f t="array" aca="1" ref="O1062" ca="1">IF(C1062=0,IF(F1062=0,"",HYPERLINK("#"&amp;RIGHT(CELL("adresse",OFFSET(DMAV_Dienste!$M$6,F1062-1,0)),LEN(CELL("adresse",OFFSET(DMAV_Dienste!$M$6,F1062-1,0)))-FIND("]",CELL("adresse",OFFSET(DMAV_Dienste!$M$6,F1062-1,0)))),"Structure")),HYPERLINK("#"&amp;RIGHT(CELL("adresse",OFFSET(DMAV_Modell!$N$6,C1062-1,0)),LEN(CELL("adresse",OFFSET(DMAV_Modell!$N$6,C1062-1,0)))-FIND("]",CELL("adresse",OFFSET(DMAV_Modell!$N$6,C1062-1,0)))),"Structure"))</f>
        <v/>
      </c>
      <c r="P1062" s="64" t="str" cm="1">
        <f t="array" aca="1" ref="P1062" ca="1">IF(D1062=0,IF(G1062=0,"",HYPERLINK("#"&amp;RIGHT(CELL("adresse",OFFSET(DMAV_Dienste!$M$6,G1062-1,0)),LEN(CELL("adresse",OFFSET(DMAV_Dienste!$M$6,G1062-1,0)))-FIND("]",CELL("adresse",OFFSET(DMAV_Dienste!$M$6,G1062-1,0)))),"Substructure")),HYPERLINK("#"&amp;RIGHT(CELL("adresse",OFFSET(DMAV_Modell!$N$6,D1062-1,0)),LEN(CELL("adresse",OFFSET(DMAV_Modell!$N$6,D1062-1,0)))-FIND("]",CELL("adresse",OFFSET(DMAV_Modell!$N$6,D1062-1,0)))),"Substructure"))</f>
        <v/>
      </c>
      <c r="R1062" s="80"/>
      <c r="T1062" s="93"/>
      <c r="U1062" s="94"/>
      <c r="V1062" s="95"/>
      <c r="W1062" s="96"/>
      <c r="Y1062" s="85"/>
      <c r="Z1062" s="86"/>
      <c r="AA1062" s="87"/>
      <c r="AB1062" s="88"/>
      <c r="AD1062" s="77"/>
      <c r="AF1062" s="54" t="str" cm="1">
        <f t="array" aca="1" ref="AF1062" ca="1">IF(H1062=0,"",HYPERLINK("#"&amp;RIGHT(CELL("adresse",OFFSET('DM01-AV-CH'!$G$6,H1062-1,0)),LEN(CELL("adresse",OFFSET('DM01-AV-CH'!$G$6,H1062-1,0)))-FIND("]",CELL("adresse",OFFSET('DM01-AV-CH'!$G$6,H1062-1,0)))),"Modell"))</f>
        <v>Modell</v>
      </c>
      <c r="AG1062" s="72" t="str" cm="1">
        <f t="array" ref="AG1062">IF($H1062=0,"",IF(INDEX('DM01-AV-CH'!G$6:G$834,$H1062)="","",INDEX('DM01-AV-CH'!G$6:G$834,$H1062)))</f>
        <v>PLZOrtschaft</v>
      </c>
      <c r="AH1062" s="73" t="str" cm="1">
        <f t="array" ref="AH1062">IF($H1062=0,"",IF(INDEX('DM01-AV-CH'!H$6:H$834,$H1062)="","",INDEX('DM01-AV-CH'!H$6:H$834,$H1062)))</f>
        <v>OrtschaftsVerbundText</v>
      </c>
      <c r="AI1062" s="74" t="str" cm="1">
        <f t="array" ref="AI1062">IF($H1062=0,"",IF(INDEX('DM01-AV-CH'!I$6:I$834,$H1062)="","",INDEX('DM01-AV-CH'!I$6:I$834,$H1062)))</f>
        <v>Sprache</v>
      </c>
    </row>
    <row r="1063" spans="1:35" x14ac:dyDescent="0.25">
      <c r="A1063" s="57">
        <v>1058</v>
      </c>
      <c r="B1063" s="57">
        <f>IF($A1063="","",IF(_xlfn.XLOOKUP($A1063,Korrelation!$D$4:$D$1197,Korrelation!E$4:E$1197,"-",0)="-",0,MATCH(_xlfn.XLOOKUP($A1063,Korrelation!$D$4:$D$1197,Korrelation!E$4:E$1197,"",0),DMAV_Modell!$G$6:$G$677,0)))</f>
        <v>0</v>
      </c>
      <c r="C1063" s="57">
        <f>IF($A1063="","",IF(_xlfn.XLOOKUP($A1063,Korrelation!$D$4:$D$1197,Korrelation!F$4:F$1197,"-",0)="-",0,MATCH(_xlfn.XLOOKUP($A1063,Korrelation!$D$4:$D$1197,Korrelation!F$4:F$1197,"",0),DMAV_Modell!$G$6:$G$677,0)))</f>
        <v>0</v>
      </c>
      <c r="D1063" s="57">
        <f>IF($A1063="","",IF(_xlfn.XLOOKUP($A1063,Korrelation!$D$4:$D$1197,Korrelation!G$4:G$1197,"-",0)="-",0,MATCH(_xlfn.XLOOKUP($A1063,Korrelation!$D$4:$D$1197,Korrelation!G$4:G$1197,"",0),DMAV_Modell!$G$6:$G$677,0)))</f>
        <v>0</v>
      </c>
      <c r="E1063" s="57">
        <f>IF($A1063="","",IF(_xlfn.XLOOKUP($A1063,Korrelation!$D$4:$D$1197,Korrelation!H$4:H$1197,"-",0)="-",0,MATCH(_xlfn.XLOOKUP($A1063,Korrelation!$D$4:$D$1197,Korrelation!H$4:H$1197,"",0),DMAV_Dienste!$F$6:$F$140,0)))</f>
        <v>0</v>
      </c>
      <c r="F1063" s="57">
        <f>IF($A1063="","",IF(_xlfn.XLOOKUP($A1063,Korrelation!$D$4:$D$1197,Korrelation!I$4:I$1197,"-",0)="-",0,MATCH(_xlfn.XLOOKUP($A1063,Korrelation!$D$4:$D$1197,Korrelation!I$4:I$1197,"",0),DMAV_Dienste!$F$6:$F$140,0)))</f>
        <v>0</v>
      </c>
      <c r="G1063" s="57">
        <f>IF($A1063="","",IF(_xlfn.XLOOKUP($A1063,Korrelation!$D$4:$D$1197,Korrelation!J$4:J$1197,"-",0)="-",0,MATCH(_xlfn.XLOOKUP($A1063,Korrelation!$D$4:$D$1197,Korrelation!J$4:J$1197,"",0),DMAV_Dienste!$F$6:$F$140,0)))</f>
        <v>0</v>
      </c>
      <c r="H1063" s="57">
        <f>IF($A1063="","",IF(_xlfn.XLOOKUP($A1063,Korrelation!$D$4:$D$1197,Korrelation!K$4:K$1197,"-",0)="-",0,MATCH(_xlfn.XLOOKUP($A1063,Korrelation!$D$4:$D$1197,Korrelation!K$4:K$1197,"",0),'DM01-AV-CH'!$A$6:$A$834,0)))</f>
        <v>674</v>
      </c>
      <c r="J1063" s="54" t="str" cm="1">
        <f t="array" aca="1" ref="J1063" ca="1">IF(B1063=0,IF(E1063=0,"",HYPERLINK("#"&amp;RIGHT(CELL("adresse",OFFSET(DMAV_Dienste!$M$6,E1063-1,0)),LEN(CELL("adresse",OFFSET(DMAV_Dienste!$M$6,E1063-1,0)))-FIND("]",CELL("adresse",OFFSET(DMAV_Dienste!$M$6,E1063-1,0)))),"Dienst")),HYPERLINK("#"&amp;RIGHT(CELL("adresse",OFFSET(DMAV_Modell!$N$6,B1063-1,0)),LEN(CELL("adresse",OFFSET(DMAV_Modell!$N$6,B1063-1,0)))-FIND("]",CELL("adresse",OFFSET(DMAV_Modell!$N$6,B1063-1,0)))),"Modell"))</f>
        <v/>
      </c>
      <c r="K1063" s="61" t="str" cm="1">
        <f t="array" ref="K1063">IF($B1063=0,IF($E1063=0,"",IF(INDEX(DMAV_Dienste!P$6:P$140,$E1063)="","",INDEX(DMAV_Dienste!P$6:P$140,$E1063))),IF(INDEX(DMAV_Modell!Q$6:Q$838,$B1063)="","",INDEX(DMAV_Modell!Q$6:Q$838,$B1063)))</f>
        <v/>
      </c>
      <c r="L1063" s="62" t="str" cm="1">
        <f t="array" ref="L1063">IF($B1063=0,IF($E1063=0,"",IF(INDEX(DMAV_Dienste!O$6:O$140,$E1063)="","",INDEX(DMAV_Dienste!O$6:O$140,$E1063))),IF(INDEX(DMAV_Modell!P$6:P$838,$B1063)="","",INDEX(DMAV_Modell!P$6:P$838,$B1063)))</f>
        <v/>
      </c>
      <c r="M1063" s="62" t="str" cm="1">
        <f t="array" ref="M1063">IF($B1063=0,IF($E1063=0,"",IF(INDEX(DMAV_Dienste!Q$6:Q$140,$E1063)="","",INDEX(DMAV_Dienste!Q$6:Q$140,$E1063))),IF(INDEX(DMAV_Modell!R$6:R$838,$B1063)="","",INDEX(DMAV_Modell!R$6:R$838,$B1063)))</f>
        <v/>
      </c>
      <c r="N1063" s="62" t="str" cm="1">
        <f t="array" ref="N1063">IF($B1063=0,IF($E1063=0,"",IF(INDEX(DMAV_Dienste!T$6:T$140,$E1063)="","",INDEX(DMAV_Dienste!T$6:T$140,$E1063))),IF(INDEX(DMAV_Modell!U$6:U$838,$B1063)="","",INDEX(DMAV_Modell!U$6:U$838,$B1063)))</f>
        <v/>
      </c>
      <c r="O1063" s="63" t="str" cm="1">
        <f t="array" aca="1" ref="O1063" ca="1">IF(C1063=0,IF(F1063=0,"",HYPERLINK("#"&amp;RIGHT(CELL("adresse",OFFSET(DMAV_Dienste!$M$6,F1063-1,0)),LEN(CELL("adresse",OFFSET(DMAV_Dienste!$M$6,F1063-1,0)))-FIND("]",CELL("adresse",OFFSET(DMAV_Dienste!$M$6,F1063-1,0)))),"Structure")),HYPERLINK("#"&amp;RIGHT(CELL("adresse",OFFSET(DMAV_Modell!$N$6,C1063-1,0)),LEN(CELL("adresse",OFFSET(DMAV_Modell!$N$6,C1063-1,0)))-FIND("]",CELL("adresse",OFFSET(DMAV_Modell!$N$6,C1063-1,0)))),"Structure"))</f>
        <v/>
      </c>
      <c r="P1063" s="64" t="str" cm="1">
        <f t="array" aca="1" ref="P1063" ca="1">IF(D1063=0,IF(G1063=0,"",HYPERLINK("#"&amp;RIGHT(CELL("adresse",OFFSET(DMAV_Dienste!$M$6,G1063-1,0)),LEN(CELL("adresse",OFFSET(DMAV_Dienste!$M$6,G1063-1,0)))-FIND("]",CELL("adresse",OFFSET(DMAV_Dienste!$M$6,G1063-1,0)))),"Substructure")),HYPERLINK("#"&amp;RIGHT(CELL("adresse",OFFSET(DMAV_Modell!$N$6,D1063-1,0)),LEN(CELL("adresse",OFFSET(DMAV_Modell!$N$6,D1063-1,0)))-FIND("]",CELL("adresse",OFFSET(DMAV_Modell!$N$6,D1063-1,0)))),"Substructure"))</f>
        <v/>
      </c>
      <c r="R1063" s="80"/>
      <c r="T1063" s="93"/>
      <c r="U1063" s="94"/>
      <c r="V1063" s="95"/>
      <c r="W1063" s="96"/>
      <c r="Y1063" s="85"/>
      <c r="Z1063" s="86"/>
      <c r="AA1063" s="87"/>
      <c r="AB1063" s="88"/>
      <c r="AD1063" s="77"/>
      <c r="AF1063" s="54" t="str" cm="1">
        <f t="array" aca="1" ref="AF1063" ca="1">IF(H1063=0,"",HYPERLINK("#"&amp;RIGHT(CELL("adresse",OFFSET('DM01-AV-CH'!$G$6,H1063-1,0)),LEN(CELL("adresse",OFFSET('DM01-AV-CH'!$G$6,H1063-1,0)))-FIND("]",CELL("adresse",OFFSET('DM01-AV-CH'!$G$6,H1063-1,0)))),"Modell"))</f>
        <v>Modell</v>
      </c>
      <c r="AG1063" s="72" t="str" cm="1">
        <f t="array" ref="AG1063">IF($H1063=0,"",IF(INDEX('DM01-AV-CH'!G$6:G$834,$H1063)="","",INDEX('DM01-AV-CH'!G$6:G$834,$H1063)))</f>
        <v>PLZOrtschaft</v>
      </c>
      <c r="AH1063" s="73" t="str" cm="1">
        <f t="array" ref="AH1063">IF($H1063=0,"",IF(INDEX('DM01-AV-CH'!H$6:H$834,$H1063)="","",INDEX('DM01-AV-CH'!H$6:H$834,$H1063)))</f>
        <v>OrtschaftsName</v>
      </c>
      <c r="AI1063" s="74" t="str" cm="1">
        <f t="array" ref="AI1063">IF($H1063=0,"",IF(INDEX('DM01-AV-CH'!I$6:I$834,$H1063)="","",INDEX('DM01-AV-CH'!I$6:I$834,$H1063)))</f>
        <v>OrtschaftsName_von</v>
      </c>
    </row>
    <row r="1064" spans="1:35" x14ac:dyDescent="0.25">
      <c r="A1064" s="57">
        <v>1059</v>
      </c>
      <c r="B1064" s="57">
        <f>IF($A1064="","",IF(_xlfn.XLOOKUP($A1064,Korrelation!$D$4:$D$1197,Korrelation!E$4:E$1197,"-",0)="-",0,MATCH(_xlfn.XLOOKUP($A1064,Korrelation!$D$4:$D$1197,Korrelation!E$4:E$1197,"",0),DMAV_Modell!$G$6:$G$677,0)))</f>
        <v>0</v>
      </c>
      <c r="C1064" s="57">
        <f>IF($A1064="","",IF(_xlfn.XLOOKUP($A1064,Korrelation!$D$4:$D$1197,Korrelation!F$4:F$1197,"-",0)="-",0,MATCH(_xlfn.XLOOKUP($A1064,Korrelation!$D$4:$D$1197,Korrelation!F$4:F$1197,"",0),DMAV_Modell!$G$6:$G$677,0)))</f>
        <v>0</v>
      </c>
      <c r="D1064" s="57">
        <f>IF($A1064="","",IF(_xlfn.XLOOKUP($A1064,Korrelation!$D$4:$D$1197,Korrelation!G$4:G$1197,"-",0)="-",0,MATCH(_xlfn.XLOOKUP($A1064,Korrelation!$D$4:$D$1197,Korrelation!G$4:G$1197,"",0),DMAV_Modell!$G$6:$G$677,0)))</f>
        <v>0</v>
      </c>
      <c r="E1064" s="57">
        <f>IF($A1064="","",IF(_xlfn.XLOOKUP($A1064,Korrelation!$D$4:$D$1197,Korrelation!H$4:H$1197,"-",0)="-",0,MATCH(_xlfn.XLOOKUP($A1064,Korrelation!$D$4:$D$1197,Korrelation!H$4:H$1197,"",0),DMAV_Dienste!$F$6:$F$140,0)))</f>
        <v>51</v>
      </c>
      <c r="F1064" s="57">
        <f>IF($A1064="","",IF(_xlfn.XLOOKUP($A1064,Korrelation!$D$4:$D$1197,Korrelation!I$4:I$1197,"-",0)="-",0,MATCH(_xlfn.XLOOKUP($A1064,Korrelation!$D$4:$D$1197,Korrelation!I$4:I$1197,"",0),DMAV_Dienste!$F$6:$F$140,0)))</f>
        <v>0</v>
      </c>
      <c r="G1064" s="57">
        <f>IF($A1064="","",IF(_xlfn.XLOOKUP($A1064,Korrelation!$D$4:$D$1197,Korrelation!J$4:J$1197,"-",0)="-",0,MATCH(_xlfn.XLOOKUP($A1064,Korrelation!$D$4:$D$1197,Korrelation!J$4:J$1197,"",0),DMAV_Dienste!$F$6:$F$140,0)))</f>
        <v>0</v>
      </c>
      <c r="H1064" s="57">
        <f>IF($A1064="","",IF(_xlfn.XLOOKUP($A1064,Korrelation!$D$4:$D$1197,Korrelation!K$4:K$1197,"-",0)="-",0,MATCH(_xlfn.XLOOKUP($A1064,Korrelation!$D$4:$D$1197,Korrelation!K$4:K$1197,"",0),'DM01-AV-CH'!$A$6:$A$834,0)))</f>
        <v>0</v>
      </c>
      <c r="J1064" s="54" t="str" cm="1">
        <f t="array" aca="1" ref="J1064" ca="1">IF(B1064=0,IF(E1064=0,"",HYPERLINK("#"&amp;RIGHT(CELL("adresse",OFFSET(DMAV_Dienste!$M$6,E1064-1,0)),LEN(CELL("adresse",OFFSET(DMAV_Dienste!$M$6,E1064-1,0)))-FIND("]",CELL("adresse",OFFSET(DMAV_Dienste!$M$6,E1064-1,0)))),"Dienst")),HYPERLINK("#"&amp;RIGHT(CELL("adresse",OFFSET(DMAV_Modell!$N$6,B1064-1,0)),LEN(CELL("adresse",OFFSET(DMAV_Modell!$N$6,B1064-1,0)))-FIND("]",CELL("adresse",OFFSET(DMAV_Modell!$N$6,B1064-1,0)))),"Modell"))</f>
        <v>Dienst</v>
      </c>
      <c r="K1064" s="61" t="str" cm="1">
        <f t="array" ref="K1064">IF($B1064=0,IF($E1064=0,"",IF(INDEX(DMAV_Dienste!P$6:P$140,$E1064)="","",INDEX(DMAV_Dienste!P$6:P$140,$E1064))),IF(INDEX(DMAV_Modell!Q$6:Q$838,$B1064)="","",INDEX(DMAV_Modell!Q$6:Q$838,$B1064)))</f>
        <v>CLASS</v>
      </c>
      <c r="L1064" s="62" t="str" cm="1">
        <f t="array" ref="L1064">IF($B1064=0,IF($E1064=0,"",IF(INDEX(DMAV_Dienste!O$6:O$140,$E1064)="","",INDEX(DMAV_Dienste!O$6:O$140,$E1064))),IF(INDEX(DMAV_Modell!P$6:P$838,$B1064)="","",INDEX(DMAV_Modell!P$6:P$838,$B1064)))</f>
        <v>AmtlichesOrtschaftenverzeichnis</v>
      </c>
      <c r="M1064" s="62" t="str" cm="1">
        <f t="array" ref="M1064">IF($B1064=0,IF($E1064=0,"",IF(INDEX(DMAV_Dienste!Q$6:Q$140,$E1064)="","",INDEX(DMAV_Dienste!Q$6:Q$140,$E1064))),IF(INDEX(DMAV_Modell!R$6:R$838,$B1064)="","",INDEX(DMAV_Modell!R$6:R$838,$B1064)))</f>
        <v>Ortschaft</v>
      </c>
      <c r="N1064" s="62" t="str" cm="1">
        <f t="array" ref="N1064">IF($B1064=0,IF($E1064=0,"",IF(INDEX(DMAV_Dienste!T$6:T$140,$E1064)="","",INDEX(DMAV_Dienste!T$6:T$140,$E1064))),IF(INDEX(DMAV_Modell!U$6:U$838,$B1064)="","",INDEX(DMAV_Modell!U$6:U$838,$B1064)))</f>
        <v>OrtschaftsID</v>
      </c>
      <c r="O1064" s="63" t="str" cm="1">
        <f t="array" aca="1" ref="O1064" ca="1">IF(C1064=0,IF(F1064=0,"",HYPERLINK("#"&amp;RIGHT(CELL("adresse",OFFSET(DMAV_Dienste!$M$6,F1064-1,0)),LEN(CELL("adresse",OFFSET(DMAV_Dienste!$M$6,F1064-1,0)))-FIND("]",CELL("adresse",OFFSET(DMAV_Dienste!$M$6,F1064-1,0)))),"Structure")),HYPERLINK("#"&amp;RIGHT(CELL("adresse",OFFSET(DMAV_Modell!$N$6,C1064-1,0)),LEN(CELL("adresse",OFFSET(DMAV_Modell!$N$6,C1064-1,0)))-FIND("]",CELL("adresse",OFFSET(DMAV_Modell!$N$6,C1064-1,0)))),"Structure"))</f>
        <v/>
      </c>
      <c r="P1064" s="64" t="str" cm="1">
        <f t="array" aca="1" ref="P1064" ca="1">IF(D1064=0,IF(G1064=0,"",HYPERLINK("#"&amp;RIGHT(CELL("adresse",OFFSET(DMAV_Dienste!$M$6,G1064-1,0)),LEN(CELL("adresse",OFFSET(DMAV_Dienste!$M$6,G1064-1,0)))-FIND("]",CELL("adresse",OFFSET(DMAV_Dienste!$M$6,G1064-1,0)))),"Substructure")),HYPERLINK("#"&amp;RIGHT(CELL("adresse",OFFSET(DMAV_Modell!$N$6,D1064-1,0)),LEN(CELL("adresse",OFFSET(DMAV_Modell!$N$6,D1064-1,0)))-FIND("]",CELL("adresse",OFFSET(DMAV_Modell!$N$6,D1064-1,0)))),"Substructure"))</f>
        <v/>
      </c>
      <c r="R1064" s="80"/>
      <c r="T1064" s="93"/>
      <c r="U1064" s="94"/>
      <c r="V1064" s="95"/>
      <c r="W1064" s="96"/>
      <c r="Y1064" s="85"/>
      <c r="Z1064" s="86"/>
      <c r="AA1064" s="87"/>
      <c r="AB1064" s="88"/>
      <c r="AD1064" s="77"/>
      <c r="AF1064" s="54" t="str" cm="1">
        <f t="array" aca="1" ref="AF1064" ca="1">IF(H1064=0,"",HYPERLINK("#"&amp;RIGHT(CELL("adresse",OFFSET('DM01-AV-CH'!$G$6,H1064-1,0)),LEN(CELL("adresse",OFFSET('DM01-AV-CH'!$G$6,H1064-1,0)))-FIND("]",CELL("adresse",OFFSET('DM01-AV-CH'!$G$6,H1064-1,0)))),"Modell"))</f>
        <v/>
      </c>
      <c r="AG1064" s="72" t="str" cm="1">
        <f t="array" ref="AG1064">IF($H1064=0,"",IF(INDEX('DM01-AV-CH'!G$6:G$834,$H1064)="","",INDEX('DM01-AV-CH'!G$6:G$834,$H1064)))</f>
        <v/>
      </c>
      <c r="AH1064" s="73" t="str" cm="1">
        <f t="array" ref="AH1064">IF($H1064=0,"",IF(INDEX('DM01-AV-CH'!H$6:H$834,$H1064)="","",INDEX('DM01-AV-CH'!H$6:H$834,$H1064)))</f>
        <v/>
      </c>
      <c r="AI1064" s="74" t="str" cm="1">
        <f t="array" ref="AI1064">IF($H1064=0,"",IF(INDEX('DM01-AV-CH'!I$6:I$834,$H1064)="","",INDEX('DM01-AV-CH'!I$6:I$834,$H1064)))</f>
        <v/>
      </c>
    </row>
    <row r="1065" spans="1:35" x14ac:dyDescent="0.25">
      <c r="A1065" s="57">
        <v>1060</v>
      </c>
      <c r="B1065" s="57">
        <f>IF($A1065="","",IF(_xlfn.XLOOKUP($A1065,Korrelation!$D$4:$D$1197,Korrelation!E$4:E$1197,"-",0)="-",0,MATCH(_xlfn.XLOOKUP($A1065,Korrelation!$D$4:$D$1197,Korrelation!E$4:E$1197,"",0),DMAV_Modell!$G$6:$G$677,0)))</f>
        <v>0</v>
      </c>
      <c r="C1065" s="57">
        <f>IF($A1065="","",IF(_xlfn.XLOOKUP($A1065,Korrelation!$D$4:$D$1197,Korrelation!F$4:F$1197,"-",0)="-",0,MATCH(_xlfn.XLOOKUP($A1065,Korrelation!$D$4:$D$1197,Korrelation!F$4:F$1197,"",0),DMAV_Modell!$G$6:$G$677,0)))</f>
        <v>0</v>
      </c>
      <c r="D1065" s="57">
        <f>IF($A1065="","",IF(_xlfn.XLOOKUP($A1065,Korrelation!$D$4:$D$1197,Korrelation!G$4:G$1197,"-",0)="-",0,MATCH(_xlfn.XLOOKUP($A1065,Korrelation!$D$4:$D$1197,Korrelation!G$4:G$1197,"",0),DMAV_Modell!$G$6:$G$677,0)))</f>
        <v>0</v>
      </c>
      <c r="E1065" s="57">
        <f>IF($A1065="","",IF(_xlfn.XLOOKUP($A1065,Korrelation!$D$4:$D$1197,Korrelation!H$4:H$1197,"-",0)="-",0,MATCH(_xlfn.XLOOKUP($A1065,Korrelation!$D$4:$D$1197,Korrelation!H$4:H$1197,"",0),DMAV_Dienste!$F$6:$F$140,0)))</f>
        <v>52</v>
      </c>
      <c r="F1065" s="57">
        <f>IF($A1065="","",IF(_xlfn.XLOOKUP($A1065,Korrelation!$D$4:$D$1197,Korrelation!I$4:I$1197,"-",0)="-",0,MATCH(_xlfn.XLOOKUP($A1065,Korrelation!$D$4:$D$1197,Korrelation!I$4:I$1197,"",0),DMAV_Dienste!$F$6:$F$140,0)))</f>
        <v>0</v>
      </c>
      <c r="G1065" s="57">
        <f>IF($A1065="","",IF(_xlfn.XLOOKUP($A1065,Korrelation!$D$4:$D$1197,Korrelation!J$4:J$1197,"-",0)="-",0,MATCH(_xlfn.XLOOKUP($A1065,Korrelation!$D$4:$D$1197,Korrelation!J$4:J$1197,"",0),DMAV_Dienste!$F$6:$F$140,0)))</f>
        <v>0</v>
      </c>
      <c r="H1065" s="57">
        <f>IF($A1065="","",IF(_xlfn.XLOOKUP($A1065,Korrelation!$D$4:$D$1197,Korrelation!K$4:K$1197,"-",0)="-",0,MATCH(_xlfn.XLOOKUP($A1065,Korrelation!$D$4:$D$1197,Korrelation!K$4:K$1197,"",0),'DM01-AV-CH'!$A$6:$A$834,0)))</f>
        <v>675</v>
      </c>
      <c r="J1065" s="54" t="str" cm="1">
        <f t="array" aca="1" ref="J1065" ca="1">IF(B1065=0,IF(E1065=0,"",HYPERLINK("#"&amp;RIGHT(CELL("adresse",OFFSET(DMAV_Dienste!$M$6,E1065-1,0)),LEN(CELL("adresse",OFFSET(DMAV_Dienste!$M$6,E1065-1,0)))-FIND("]",CELL("adresse",OFFSET(DMAV_Dienste!$M$6,E1065-1,0)))),"Dienst")),HYPERLINK("#"&amp;RIGHT(CELL("adresse",OFFSET(DMAV_Modell!$N$6,B1065-1,0)),LEN(CELL("adresse",OFFSET(DMAV_Modell!$N$6,B1065-1,0)))-FIND("]",CELL("adresse",OFFSET(DMAV_Modell!$N$6,B1065-1,0)))),"Modell"))</f>
        <v>Dienst</v>
      </c>
      <c r="K1065" s="61" t="str" cm="1">
        <f t="array" ref="K1065">IF($B1065=0,IF($E1065=0,"",IF(INDEX(DMAV_Dienste!P$6:P$140,$E1065)="","",INDEX(DMAV_Dienste!P$6:P$140,$E1065))),IF(INDEX(DMAV_Modell!Q$6:Q$838,$B1065)="","",INDEX(DMAV_Modell!Q$6:Q$838,$B1065)))</f>
        <v>CLASS</v>
      </c>
      <c r="L1065" s="62" t="str" cm="1">
        <f t="array" ref="L1065">IF($B1065=0,IF($E1065=0,"",IF(INDEX(DMAV_Dienste!O$6:O$140,$E1065)="","",INDEX(DMAV_Dienste!O$6:O$140,$E1065))),IF(INDEX(DMAV_Modell!P$6:P$838,$B1065)="","",INDEX(DMAV_Modell!P$6:P$838,$B1065)))</f>
        <v>AmtlichesOrtschaftenverzeichnis</v>
      </c>
      <c r="M1065" s="62" t="str" cm="1">
        <f t="array" ref="M1065">IF($B1065=0,IF($E1065=0,"",IF(INDEX(DMAV_Dienste!Q$6:Q$140,$E1065)="","",INDEX(DMAV_Dienste!Q$6:Q$140,$E1065))),IF(INDEX(DMAV_Modell!R$6:R$838,$B1065)="","",INDEX(DMAV_Modell!R$6:R$838,$B1065)))</f>
        <v>Ortschaft</v>
      </c>
      <c r="N1065" s="62" t="str" cm="1">
        <f t="array" ref="N1065">IF($B1065=0,IF($E1065=0,"",IF(INDEX(DMAV_Dienste!T$6:T$140,$E1065)="","",INDEX(DMAV_Dienste!T$6:T$140,$E1065))),IF(INDEX(DMAV_Modell!U$6:U$838,$B1065)="","",INDEX(DMAV_Modell!U$6:U$838,$B1065)))</f>
        <v>Ortschaftsname</v>
      </c>
      <c r="O1065" s="63" t="str" cm="1">
        <f t="array" aca="1" ref="O1065" ca="1">IF(C1065=0,IF(F1065=0,"",HYPERLINK("#"&amp;RIGHT(CELL("adresse",OFFSET(DMAV_Dienste!$M$6,F1065-1,0)),LEN(CELL("adresse",OFFSET(DMAV_Dienste!$M$6,F1065-1,0)))-FIND("]",CELL("adresse",OFFSET(DMAV_Dienste!$M$6,F1065-1,0)))),"Structure")),HYPERLINK("#"&amp;RIGHT(CELL("adresse",OFFSET(DMAV_Modell!$N$6,C1065-1,0)),LEN(CELL("adresse",OFFSET(DMAV_Modell!$N$6,C1065-1,0)))-FIND("]",CELL("adresse",OFFSET(DMAV_Modell!$N$6,C1065-1,0)))),"Structure"))</f>
        <v/>
      </c>
      <c r="P1065" s="64" t="str" cm="1">
        <f t="array" aca="1" ref="P1065" ca="1">IF(D1065=0,IF(G1065=0,"",HYPERLINK("#"&amp;RIGHT(CELL("adresse",OFFSET(DMAV_Dienste!$M$6,G1065-1,0)),LEN(CELL("adresse",OFFSET(DMAV_Dienste!$M$6,G1065-1,0)))-FIND("]",CELL("adresse",OFFSET(DMAV_Dienste!$M$6,G1065-1,0)))),"Substructure")),HYPERLINK("#"&amp;RIGHT(CELL("adresse",OFFSET(DMAV_Modell!$N$6,D1065-1,0)),LEN(CELL("adresse",OFFSET(DMAV_Modell!$N$6,D1065-1,0)))-FIND("]",CELL("adresse",OFFSET(DMAV_Modell!$N$6,D1065-1,0)))),"Substructure"))</f>
        <v/>
      </c>
      <c r="R1065" s="80"/>
      <c r="T1065" s="93"/>
      <c r="U1065" s="94"/>
      <c r="V1065" s="95"/>
      <c r="W1065" s="96"/>
      <c r="Y1065" s="85"/>
      <c r="Z1065" s="86"/>
      <c r="AA1065" s="87"/>
      <c r="AB1065" s="88"/>
      <c r="AD1065" s="77"/>
      <c r="AF1065" s="54" t="str" cm="1">
        <f t="array" aca="1" ref="AF1065" ca="1">IF(H1065=0,"",HYPERLINK("#"&amp;RIGHT(CELL("adresse",OFFSET('DM01-AV-CH'!$G$6,H1065-1,0)),LEN(CELL("adresse",OFFSET('DM01-AV-CH'!$G$6,H1065-1,0)))-FIND("]",CELL("adresse",OFFSET('DM01-AV-CH'!$G$6,H1065-1,0)))),"Modell"))</f>
        <v>Modell</v>
      </c>
      <c r="AG1065" s="72" t="str" cm="1">
        <f t="array" ref="AG1065">IF($H1065=0,"",IF(INDEX('DM01-AV-CH'!G$6:G$834,$H1065)="","",INDEX('DM01-AV-CH'!G$6:G$834,$H1065)))</f>
        <v>PLZOrtschaft</v>
      </c>
      <c r="AH1065" s="73" t="str" cm="1">
        <f t="array" ref="AH1065">IF($H1065=0,"",IF(INDEX('DM01-AV-CH'!H$6:H$834,$H1065)="","",INDEX('DM01-AV-CH'!H$6:H$834,$H1065)))</f>
        <v>OrtschaftsName</v>
      </c>
      <c r="AI1065" s="74" t="str" cm="1">
        <f t="array" ref="AI1065">IF($H1065=0,"",IF(INDEX('DM01-AV-CH'!I$6:I$834,$H1065)="","",INDEX('DM01-AV-CH'!I$6:I$834,$H1065)))</f>
        <v>Text</v>
      </c>
    </row>
    <row r="1066" spans="1:35" x14ac:dyDescent="0.25">
      <c r="A1066" s="57">
        <v>1061</v>
      </c>
      <c r="B1066" s="57">
        <f>IF($A1066="","",IF(_xlfn.XLOOKUP($A1066,Korrelation!$D$4:$D$1197,Korrelation!E$4:E$1197,"-",0)="-",0,MATCH(_xlfn.XLOOKUP($A1066,Korrelation!$D$4:$D$1197,Korrelation!E$4:E$1197,"",0),DMAV_Modell!$G$6:$G$677,0)))</f>
        <v>0</v>
      </c>
      <c r="C1066" s="57">
        <f>IF($A1066="","",IF(_xlfn.XLOOKUP($A1066,Korrelation!$D$4:$D$1197,Korrelation!F$4:F$1197,"-",0)="-",0,MATCH(_xlfn.XLOOKUP($A1066,Korrelation!$D$4:$D$1197,Korrelation!F$4:F$1197,"",0),DMAV_Modell!$G$6:$G$677,0)))</f>
        <v>0</v>
      </c>
      <c r="D1066" s="57">
        <f>IF($A1066="","",IF(_xlfn.XLOOKUP($A1066,Korrelation!$D$4:$D$1197,Korrelation!G$4:G$1197,"-",0)="-",0,MATCH(_xlfn.XLOOKUP($A1066,Korrelation!$D$4:$D$1197,Korrelation!G$4:G$1197,"",0),DMAV_Modell!$G$6:$G$677,0)))</f>
        <v>0</v>
      </c>
      <c r="E1066" s="57">
        <f>IF($A1066="","",IF(_xlfn.XLOOKUP($A1066,Korrelation!$D$4:$D$1197,Korrelation!H$4:H$1197,"-",0)="-",0,MATCH(_xlfn.XLOOKUP($A1066,Korrelation!$D$4:$D$1197,Korrelation!H$4:H$1197,"",0),DMAV_Dienste!$F$6:$F$140,0)))</f>
        <v>53</v>
      </c>
      <c r="F1066" s="57">
        <f>IF($A1066="","",IF(_xlfn.XLOOKUP($A1066,Korrelation!$D$4:$D$1197,Korrelation!I$4:I$1197,"-",0)="-",0,MATCH(_xlfn.XLOOKUP($A1066,Korrelation!$D$4:$D$1197,Korrelation!I$4:I$1197,"",0),DMAV_Dienste!$F$6:$F$140,0)))</f>
        <v>0</v>
      </c>
      <c r="G1066" s="57">
        <f>IF($A1066="","",IF(_xlfn.XLOOKUP($A1066,Korrelation!$D$4:$D$1197,Korrelation!J$4:J$1197,"-",0)="-",0,MATCH(_xlfn.XLOOKUP($A1066,Korrelation!$D$4:$D$1197,Korrelation!J$4:J$1197,"",0),DMAV_Dienste!$F$6:$F$140,0)))</f>
        <v>0</v>
      </c>
      <c r="H1066" s="57">
        <f>IF($A1066="","",IF(_xlfn.XLOOKUP($A1066,Korrelation!$D$4:$D$1197,Korrelation!K$4:K$1197,"-",0)="-",0,MATCH(_xlfn.XLOOKUP($A1066,Korrelation!$D$4:$D$1197,Korrelation!K$4:K$1197,"",0),'DM01-AV-CH'!$A$6:$A$834,0)))</f>
        <v>676</v>
      </c>
      <c r="J1066" s="54" t="str" cm="1">
        <f t="array" aca="1" ref="J1066" ca="1">IF(B1066=0,IF(E1066=0,"",HYPERLINK("#"&amp;RIGHT(CELL("adresse",OFFSET(DMAV_Dienste!$M$6,E1066-1,0)),LEN(CELL("adresse",OFFSET(DMAV_Dienste!$M$6,E1066-1,0)))-FIND("]",CELL("adresse",OFFSET(DMAV_Dienste!$M$6,E1066-1,0)))),"Dienst")),HYPERLINK("#"&amp;RIGHT(CELL("adresse",OFFSET(DMAV_Modell!$N$6,B1066-1,0)),LEN(CELL("adresse",OFFSET(DMAV_Modell!$N$6,B1066-1,0)))-FIND("]",CELL("adresse",OFFSET(DMAV_Modell!$N$6,B1066-1,0)))),"Modell"))</f>
        <v>Dienst</v>
      </c>
      <c r="K1066" s="61" t="str" cm="1">
        <f t="array" ref="K1066">IF($B1066=0,IF($E1066=0,"",IF(INDEX(DMAV_Dienste!P$6:P$140,$E1066)="","",INDEX(DMAV_Dienste!P$6:P$140,$E1066))),IF(INDEX(DMAV_Modell!Q$6:Q$838,$B1066)="","",INDEX(DMAV_Modell!Q$6:Q$838,$B1066)))</f>
        <v>CLASS</v>
      </c>
      <c r="L1066" s="62" t="str" cm="1">
        <f t="array" ref="L1066">IF($B1066=0,IF($E1066=0,"",IF(INDEX(DMAV_Dienste!O$6:O$140,$E1066)="","",INDEX(DMAV_Dienste!O$6:O$140,$E1066))),IF(INDEX(DMAV_Modell!P$6:P$838,$B1066)="","",INDEX(DMAV_Modell!P$6:P$838,$B1066)))</f>
        <v>AmtlichesOrtschaftenverzeichnis</v>
      </c>
      <c r="M1066" s="62" t="str" cm="1">
        <f t="array" ref="M1066">IF($B1066=0,IF($E1066=0,"",IF(INDEX(DMAV_Dienste!Q$6:Q$140,$E1066)="","",INDEX(DMAV_Dienste!Q$6:Q$140,$E1066))),IF(INDEX(DMAV_Modell!R$6:R$838,$B1066)="","",INDEX(DMAV_Modell!R$6:R$838,$B1066)))</f>
        <v>Ortschaft</v>
      </c>
      <c r="N1066" s="62" t="str" cm="1">
        <f t="array" ref="N1066">IF($B1066=0,IF($E1066=0,"",IF(INDEX(DMAV_Dienste!T$6:T$140,$E1066)="","",INDEX(DMAV_Dienste!T$6:T$140,$E1066))),IF(INDEX(DMAV_Modell!U$6:U$838,$B1066)="","",INDEX(DMAV_Modell!U$6:U$838,$B1066)))</f>
        <v>OrtschaftsnameKurz</v>
      </c>
      <c r="O1066" s="63" t="str" cm="1">
        <f t="array" aca="1" ref="O1066" ca="1">IF(C1066=0,IF(F1066=0,"",HYPERLINK("#"&amp;RIGHT(CELL("adresse",OFFSET(DMAV_Dienste!$M$6,F1066-1,0)),LEN(CELL("adresse",OFFSET(DMAV_Dienste!$M$6,F1066-1,0)))-FIND("]",CELL("adresse",OFFSET(DMAV_Dienste!$M$6,F1066-1,0)))),"Structure")),HYPERLINK("#"&amp;RIGHT(CELL("adresse",OFFSET(DMAV_Modell!$N$6,C1066-1,0)),LEN(CELL("adresse",OFFSET(DMAV_Modell!$N$6,C1066-1,0)))-FIND("]",CELL("adresse",OFFSET(DMAV_Modell!$N$6,C1066-1,0)))),"Structure"))</f>
        <v/>
      </c>
      <c r="P1066" s="64" t="str" cm="1">
        <f t="array" aca="1" ref="P1066" ca="1">IF(D1066=0,IF(G1066=0,"",HYPERLINK("#"&amp;RIGHT(CELL("adresse",OFFSET(DMAV_Dienste!$M$6,G1066-1,0)),LEN(CELL("adresse",OFFSET(DMAV_Dienste!$M$6,G1066-1,0)))-FIND("]",CELL("adresse",OFFSET(DMAV_Dienste!$M$6,G1066-1,0)))),"Substructure")),HYPERLINK("#"&amp;RIGHT(CELL("adresse",OFFSET(DMAV_Modell!$N$6,D1066-1,0)),LEN(CELL("adresse",OFFSET(DMAV_Modell!$N$6,D1066-1,0)))-FIND("]",CELL("adresse",OFFSET(DMAV_Modell!$N$6,D1066-1,0)))),"Substructure"))</f>
        <v/>
      </c>
      <c r="R1066" s="80"/>
      <c r="T1066" s="93"/>
      <c r="U1066" s="94"/>
      <c r="V1066" s="95"/>
      <c r="W1066" s="96"/>
      <c r="Y1066" s="85"/>
      <c r="Z1066" s="86"/>
      <c r="AA1066" s="87"/>
      <c r="AB1066" s="88"/>
      <c r="AD1066" s="77"/>
      <c r="AF1066" s="54" t="str" cm="1">
        <f t="array" aca="1" ref="AF1066" ca="1">IF(H1066=0,"",HYPERLINK("#"&amp;RIGHT(CELL("adresse",OFFSET('DM01-AV-CH'!$G$6,H1066-1,0)),LEN(CELL("adresse",OFFSET('DM01-AV-CH'!$G$6,H1066-1,0)))-FIND("]",CELL("adresse",OFFSET('DM01-AV-CH'!$G$6,H1066-1,0)))),"Modell"))</f>
        <v>Modell</v>
      </c>
      <c r="AG1066" s="72" t="str" cm="1">
        <f t="array" ref="AG1066">IF($H1066=0,"",IF(INDEX('DM01-AV-CH'!G$6:G$834,$H1066)="","",INDEX('DM01-AV-CH'!G$6:G$834,$H1066)))</f>
        <v>PLZOrtschaft</v>
      </c>
      <c r="AH1066" s="73" t="str" cm="1">
        <f t="array" ref="AH1066">IF($H1066=0,"",IF(INDEX('DM01-AV-CH'!H$6:H$834,$H1066)="","",INDEX('DM01-AV-CH'!H$6:H$834,$H1066)))</f>
        <v>OrtschaftsName</v>
      </c>
      <c r="AI1066" s="74" t="str" cm="1">
        <f t="array" ref="AI1066">IF($H1066=0,"",IF(INDEX('DM01-AV-CH'!I$6:I$834,$H1066)="","",INDEX('DM01-AV-CH'!I$6:I$834,$H1066)))</f>
        <v>KurzText</v>
      </c>
    </row>
    <row r="1067" spans="1:35" x14ac:dyDescent="0.25">
      <c r="A1067" s="57">
        <v>1062</v>
      </c>
      <c r="B1067" s="57">
        <f>IF($A1067="","",IF(_xlfn.XLOOKUP($A1067,Korrelation!$D$4:$D$1197,Korrelation!E$4:E$1197,"-",0)="-",0,MATCH(_xlfn.XLOOKUP($A1067,Korrelation!$D$4:$D$1197,Korrelation!E$4:E$1197,"",0),DMAV_Modell!$G$6:$G$677,0)))</f>
        <v>0</v>
      </c>
      <c r="C1067" s="57">
        <f>IF($A1067="","",IF(_xlfn.XLOOKUP($A1067,Korrelation!$D$4:$D$1197,Korrelation!F$4:F$1197,"-",0)="-",0,MATCH(_xlfn.XLOOKUP($A1067,Korrelation!$D$4:$D$1197,Korrelation!F$4:F$1197,"",0),DMAV_Modell!$G$6:$G$677,0)))</f>
        <v>0</v>
      </c>
      <c r="D1067" s="57">
        <f>IF($A1067="","",IF(_xlfn.XLOOKUP($A1067,Korrelation!$D$4:$D$1197,Korrelation!G$4:G$1197,"-",0)="-",0,MATCH(_xlfn.XLOOKUP($A1067,Korrelation!$D$4:$D$1197,Korrelation!G$4:G$1197,"",0),DMAV_Modell!$G$6:$G$677,0)))</f>
        <v>0</v>
      </c>
      <c r="E1067" s="57">
        <f>IF($A1067="","",IF(_xlfn.XLOOKUP($A1067,Korrelation!$D$4:$D$1197,Korrelation!H$4:H$1197,"-",0)="-",0,MATCH(_xlfn.XLOOKUP($A1067,Korrelation!$D$4:$D$1197,Korrelation!H$4:H$1197,"",0),DMAV_Dienste!$F$6:$F$140,0)))</f>
        <v>54</v>
      </c>
      <c r="F1067" s="57">
        <f>IF($A1067="","",IF(_xlfn.XLOOKUP($A1067,Korrelation!$D$4:$D$1197,Korrelation!I$4:I$1197,"-",0)="-",0,MATCH(_xlfn.XLOOKUP($A1067,Korrelation!$D$4:$D$1197,Korrelation!I$4:I$1197,"",0),DMAV_Dienste!$F$6:$F$140,0)))</f>
        <v>0</v>
      </c>
      <c r="G1067" s="57">
        <f>IF($A1067="","",IF(_xlfn.XLOOKUP($A1067,Korrelation!$D$4:$D$1197,Korrelation!J$4:J$1197,"-",0)="-",0,MATCH(_xlfn.XLOOKUP($A1067,Korrelation!$D$4:$D$1197,Korrelation!J$4:J$1197,"",0),DMAV_Dienste!$F$6:$F$140,0)))</f>
        <v>0</v>
      </c>
      <c r="H1067" s="57">
        <f>IF($A1067="","",IF(_xlfn.XLOOKUP($A1067,Korrelation!$D$4:$D$1197,Korrelation!K$4:K$1197,"-",0)="-",0,MATCH(_xlfn.XLOOKUP($A1067,Korrelation!$D$4:$D$1197,Korrelation!K$4:K$1197,"",0),'DM01-AV-CH'!$A$6:$A$834,0)))</f>
        <v>677</v>
      </c>
      <c r="J1067" s="54" t="str" cm="1">
        <f t="array" aca="1" ref="J1067" ca="1">IF(B1067=0,IF(E1067=0,"",HYPERLINK("#"&amp;RIGHT(CELL("adresse",OFFSET(DMAV_Dienste!$M$6,E1067-1,0)),LEN(CELL("adresse",OFFSET(DMAV_Dienste!$M$6,E1067-1,0)))-FIND("]",CELL("adresse",OFFSET(DMAV_Dienste!$M$6,E1067-1,0)))),"Dienst")),HYPERLINK("#"&amp;RIGHT(CELL("adresse",OFFSET(DMAV_Modell!$N$6,B1067-1,0)),LEN(CELL("adresse",OFFSET(DMAV_Modell!$N$6,B1067-1,0)))-FIND("]",CELL("adresse",OFFSET(DMAV_Modell!$N$6,B1067-1,0)))),"Modell"))</f>
        <v>Dienst</v>
      </c>
      <c r="K1067" s="61" t="str" cm="1">
        <f t="array" ref="K1067">IF($B1067=0,IF($E1067=0,"",IF(INDEX(DMAV_Dienste!P$6:P$140,$E1067)="","",INDEX(DMAV_Dienste!P$6:P$140,$E1067))),IF(INDEX(DMAV_Modell!Q$6:Q$838,$B1067)="","",INDEX(DMAV_Modell!Q$6:Q$838,$B1067)))</f>
        <v>CLASS</v>
      </c>
      <c r="L1067" s="62" t="str" cm="1">
        <f t="array" ref="L1067">IF($B1067=0,IF($E1067=0,"",IF(INDEX(DMAV_Dienste!O$6:O$140,$E1067)="","",INDEX(DMAV_Dienste!O$6:O$140,$E1067))),IF(INDEX(DMAV_Modell!P$6:P$838,$B1067)="","",INDEX(DMAV_Modell!P$6:P$838,$B1067)))</f>
        <v>AmtlichesOrtschaftenverzeichnis</v>
      </c>
      <c r="M1067" s="62" t="str" cm="1">
        <f t="array" ref="M1067">IF($B1067=0,IF($E1067=0,"",IF(INDEX(DMAV_Dienste!Q$6:Q$140,$E1067)="","",INDEX(DMAV_Dienste!Q$6:Q$140,$E1067))),IF(INDEX(DMAV_Modell!R$6:R$838,$B1067)="","",INDEX(DMAV_Modell!R$6:R$838,$B1067)))</f>
        <v>Ortschaft</v>
      </c>
      <c r="N1067" s="62" t="str" cm="1">
        <f t="array" ref="N1067">IF($B1067=0,IF($E1067=0,"",IF(INDEX(DMAV_Dienste!T$6:T$140,$E1067)="","",INDEX(DMAV_Dienste!T$6:T$140,$E1067))),IF(INDEX(DMAV_Modell!U$6:U$838,$B1067)="","",INDEX(DMAV_Modell!U$6:U$838,$B1067)))</f>
        <v>OrtschaftsnameIndex</v>
      </c>
      <c r="O1067" s="63" t="str" cm="1">
        <f t="array" aca="1" ref="O1067" ca="1">IF(C1067=0,IF(F1067=0,"",HYPERLINK("#"&amp;RIGHT(CELL("adresse",OFFSET(DMAV_Dienste!$M$6,F1067-1,0)),LEN(CELL("adresse",OFFSET(DMAV_Dienste!$M$6,F1067-1,0)))-FIND("]",CELL("adresse",OFFSET(DMAV_Dienste!$M$6,F1067-1,0)))),"Structure")),HYPERLINK("#"&amp;RIGHT(CELL("adresse",OFFSET(DMAV_Modell!$N$6,C1067-1,0)),LEN(CELL("adresse",OFFSET(DMAV_Modell!$N$6,C1067-1,0)))-FIND("]",CELL("adresse",OFFSET(DMAV_Modell!$N$6,C1067-1,0)))),"Structure"))</f>
        <v/>
      </c>
      <c r="P1067" s="64" t="str" cm="1">
        <f t="array" aca="1" ref="P1067" ca="1">IF(D1067=0,IF(G1067=0,"",HYPERLINK("#"&amp;RIGHT(CELL("adresse",OFFSET(DMAV_Dienste!$M$6,G1067-1,0)),LEN(CELL("adresse",OFFSET(DMAV_Dienste!$M$6,G1067-1,0)))-FIND("]",CELL("adresse",OFFSET(DMAV_Dienste!$M$6,G1067-1,0)))),"Substructure")),HYPERLINK("#"&amp;RIGHT(CELL("adresse",OFFSET(DMAV_Modell!$N$6,D1067-1,0)),LEN(CELL("adresse",OFFSET(DMAV_Modell!$N$6,D1067-1,0)))-FIND("]",CELL("adresse",OFFSET(DMAV_Modell!$N$6,D1067-1,0)))),"Substructure"))</f>
        <v/>
      </c>
      <c r="R1067" s="80"/>
      <c r="T1067" s="93"/>
      <c r="U1067" s="94"/>
      <c r="V1067" s="95"/>
      <c r="W1067" s="96"/>
      <c r="Y1067" s="85"/>
      <c r="Z1067" s="86"/>
      <c r="AA1067" s="87"/>
      <c r="AB1067" s="88"/>
      <c r="AD1067" s="77"/>
      <c r="AF1067" s="54" t="str" cm="1">
        <f t="array" aca="1" ref="AF1067" ca="1">IF(H1067=0,"",HYPERLINK("#"&amp;RIGHT(CELL("adresse",OFFSET('DM01-AV-CH'!$G$6,H1067-1,0)),LEN(CELL("adresse",OFFSET('DM01-AV-CH'!$G$6,H1067-1,0)))-FIND("]",CELL("adresse",OFFSET('DM01-AV-CH'!$G$6,H1067-1,0)))),"Modell"))</f>
        <v>Modell</v>
      </c>
      <c r="AG1067" s="72" t="str" cm="1">
        <f t="array" ref="AG1067">IF($H1067=0,"",IF(INDEX('DM01-AV-CH'!G$6:G$834,$H1067)="","",INDEX('DM01-AV-CH'!G$6:G$834,$H1067)))</f>
        <v>PLZOrtschaft</v>
      </c>
      <c r="AH1067" s="73" t="str" cm="1">
        <f t="array" ref="AH1067">IF($H1067=0,"",IF(INDEX('DM01-AV-CH'!H$6:H$834,$H1067)="","",INDEX('DM01-AV-CH'!H$6:H$834,$H1067)))</f>
        <v>OrtschaftsName</v>
      </c>
      <c r="AI1067" s="74" t="str" cm="1">
        <f t="array" ref="AI1067">IF($H1067=0,"",IF(INDEX('DM01-AV-CH'!I$6:I$834,$H1067)="","",INDEX('DM01-AV-CH'!I$6:I$834,$H1067)))</f>
        <v>IndexText</v>
      </c>
    </row>
    <row r="1068" spans="1:35" x14ac:dyDescent="0.25">
      <c r="A1068" s="57">
        <v>1063</v>
      </c>
      <c r="B1068" s="57">
        <f>IF($A1068="","",IF(_xlfn.XLOOKUP($A1068,Korrelation!$D$4:$D$1197,Korrelation!E$4:E$1197,"-",0)="-",0,MATCH(_xlfn.XLOOKUP($A1068,Korrelation!$D$4:$D$1197,Korrelation!E$4:E$1197,"",0),DMAV_Modell!$G$6:$G$677,0)))</f>
        <v>0</v>
      </c>
      <c r="C1068" s="57">
        <f>IF($A1068="","",IF(_xlfn.XLOOKUP($A1068,Korrelation!$D$4:$D$1197,Korrelation!F$4:F$1197,"-",0)="-",0,MATCH(_xlfn.XLOOKUP($A1068,Korrelation!$D$4:$D$1197,Korrelation!F$4:F$1197,"",0),DMAV_Modell!$G$6:$G$677,0)))</f>
        <v>0</v>
      </c>
      <c r="D1068" s="57">
        <f>IF($A1068="","",IF(_xlfn.XLOOKUP($A1068,Korrelation!$D$4:$D$1197,Korrelation!G$4:G$1197,"-",0)="-",0,MATCH(_xlfn.XLOOKUP($A1068,Korrelation!$D$4:$D$1197,Korrelation!G$4:G$1197,"",0),DMAV_Modell!$G$6:$G$677,0)))</f>
        <v>0</v>
      </c>
      <c r="E1068" s="57">
        <f>IF($A1068="","",IF(_xlfn.XLOOKUP($A1068,Korrelation!$D$4:$D$1197,Korrelation!H$4:H$1197,"-",0)="-",0,MATCH(_xlfn.XLOOKUP($A1068,Korrelation!$D$4:$D$1197,Korrelation!H$4:H$1197,"",0),DMAV_Dienste!$F$6:$F$140,0)))</f>
        <v>55</v>
      </c>
      <c r="F1068" s="57">
        <f>IF($A1068="","",IF(_xlfn.XLOOKUP($A1068,Korrelation!$D$4:$D$1197,Korrelation!I$4:I$1197,"-",0)="-",0,MATCH(_xlfn.XLOOKUP($A1068,Korrelation!$D$4:$D$1197,Korrelation!I$4:I$1197,"",0),DMAV_Dienste!$F$6:$F$140,0)))</f>
        <v>0</v>
      </c>
      <c r="G1068" s="57">
        <f>IF($A1068="","",IF(_xlfn.XLOOKUP($A1068,Korrelation!$D$4:$D$1197,Korrelation!J$4:J$1197,"-",0)="-",0,MATCH(_xlfn.XLOOKUP($A1068,Korrelation!$D$4:$D$1197,Korrelation!J$4:J$1197,"",0),DMAV_Dienste!$F$6:$F$140,0)))</f>
        <v>0</v>
      </c>
      <c r="H1068" s="57">
        <f>IF($A1068="","",IF(_xlfn.XLOOKUP($A1068,Korrelation!$D$4:$D$1197,Korrelation!K$4:K$1197,"-",0)="-",0,MATCH(_xlfn.XLOOKUP($A1068,Korrelation!$D$4:$D$1197,Korrelation!K$4:K$1197,"",0),'DM01-AV-CH'!$A$6:$A$834,0)))</f>
        <v>678</v>
      </c>
      <c r="J1068" s="54" t="str" cm="1">
        <f t="array" aca="1" ref="J1068" ca="1">IF(B1068=0,IF(E1068=0,"",HYPERLINK("#"&amp;RIGHT(CELL("adresse",OFFSET(DMAV_Dienste!$M$6,E1068-1,0)),LEN(CELL("adresse",OFFSET(DMAV_Dienste!$M$6,E1068-1,0)))-FIND("]",CELL("adresse",OFFSET(DMAV_Dienste!$M$6,E1068-1,0)))),"Dienst")),HYPERLINK("#"&amp;RIGHT(CELL("adresse",OFFSET(DMAV_Modell!$N$6,B1068-1,0)),LEN(CELL("adresse",OFFSET(DMAV_Modell!$N$6,B1068-1,0)))-FIND("]",CELL("adresse",OFFSET(DMAV_Modell!$N$6,B1068-1,0)))),"Modell"))</f>
        <v>Dienst</v>
      </c>
      <c r="K1068" s="61" t="str" cm="1">
        <f t="array" ref="K1068">IF($B1068=0,IF($E1068=0,"",IF(INDEX(DMAV_Dienste!P$6:P$140,$E1068)="","",INDEX(DMAV_Dienste!P$6:P$140,$E1068))),IF(INDEX(DMAV_Modell!Q$6:Q$838,$B1068)="","",INDEX(DMAV_Modell!Q$6:Q$838,$B1068)))</f>
        <v>CLASS</v>
      </c>
      <c r="L1068" s="62" t="str" cm="1">
        <f t="array" ref="L1068">IF($B1068=0,IF($E1068=0,"",IF(INDEX(DMAV_Dienste!O$6:O$140,$E1068)="","",INDEX(DMAV_Dienste!O$6:O$140,$E1068))),IF(INDEX(DMAV_Modell!P$6:P$838,$B1068)="","",INDEX(DMAV_Modell!P$6:P$838,$B1068)))</f>
        <v>AmtlichesOrtschaftenverzeichnis</v>
      </c>
      <c r="M1068" s="62" t="str" cm="1">
        <f t="array" ref="M1068">IF($B1068=0,IF($E1068=0,"",IF(INDEX(DMAV_Dienste!Q$6:Q$140,$E1068)="","",INDEX(DMAV_Dienste!Q$6:Q$140,$E1068))),IF(INDEX(DMAV_Modell!R$6:R$838,$B1068)="","",INDEX(DMAV_Modell!R$6:R$838,$B1068)))</f>
        <v>Ortschaft</v>
      </c>
      <c r="N1068" s="62" t="str" cm="1">
        <f t="array" ref="N1068">IF($B1068=0,IF($E1068=0,"",IF(INDEX(DMAV_Dienste!T$6:T$140,$E1068)="","",INDEX(DMAV_Dienste!T$6:T$140,$E1068))),IF(INDEX(DMAV_Modell!U$6:U$838,$B1068)="","",INDEX(DMAV_Modell!U$6:U$838,$B1068)))</f>
        <v>Sprache</v>
      </c>
      <c r="O1068" s="63" t="str" cm="1">
        <f t="array" aca="1" ref="O1068" ca="1">IF(C1068=0,IF(F1068=0,"",HYPERLINK("#"&amp;RIGHT(CELL("adresse",OFFSET(DMAV_Dienste!$M$6,F1068-1,0)),LEN(CELL("adresse",OFFSET(DMAV_Dienste!$M$6,F1068-1,0)))-FIND("]",CELL("adresse",OFFSET(DMAV_Dienste!$M$6,F1068-1,0)))),"Structure")),HYPERLINK("#"&amp;RIGHT(CELL("adresse",OFFSET(DMAV_Modell!$N$6,C1068-1,0)),LEN(CELL("adresse",OFFSET(DMAV_Modell!$N$6,C1068-1,0)))-FIND("]",CELL("adresse",OFFSET(DMAV_Modell!$N$6,C1068-1,0)))),"Structure"))</f>
        <v/>
      </c>
      <c r="P1068" s="64" t="str" cm="1">
        <f t="array" aca="1" ref="P1068" ca="1">IF(D1068=0,IF(G1068=0,"",HYPERLINK("#"&amp;RIGHT(CELL("adresse",OFFSET(DMAV_Dienste!$M$6,G1068-1,0)),LEN(CELL("adresse",OFFSET(DMAV_Dienste!$M$6,G1068-1,0)))-FIND("]",CELL("adresse",OFFSET(DMAV_Dienste!$M$6,G1068-1,0)))),"Substructure")),HYPERLINK("#"&amp;RIGHT(CELL("adresse",OFFSET(DMAV_Modell!$N$6,D1068-1,0)),LEN(CELL("adresse",OFFSET(DMAV_Modell!$N$6,D1068-1,0)))-FIND("]",CELL("adresse",OFFSET(DMAV_Modell!$N$6,D1068-1,0)))),"Substructure"))</f>
        <v/>
      </c>
      <c r="R1068" s="80"/>
      <c r="T1068" s="93"/>
      <c r="U1068" s="94"/>
      <c r="V1068" s="95"/>
      <c r="W1068" s="96"/>
      <c r="Y1068" s="85"/>
      <c r="Z1068" s="86"/>
      <c r="AA1068" s="87"/>
      <c r="AB1068" s="88"/>
      <c r="AD1068" s="77"/>
      <c r="AF1068" s="54" t="str" cm="1">
        <f t="array" aca="1" ref="AF1068" ca="1">IF(H1068=0,"",HYPERLINK("#"&amp;RIGHT(CELL("adresse",OFFSET('DM01-AV-CH'!$G$6,H1068-1,0)),LEN(CELL("adresse",OFFSET('DM01-AV-CH'!$G$6,H1068-1,0)))-FIND("]",CELL("adresse",OFFSET('DM01-AV-CH'!$G$6,H1068-1,0)))),"Modell"))</f>
        <v>Modell</v>
      </c>
      <c r="AG1068" s="72" t="str" cm="1">
        <f t="array" ref="AG1068">IF($H1068=0,"",IF(INDEX('DM01-AV-CH'!G$6:G$834,$H1068)="","",INDEX('DM01-AV-CH'!G$6:G$834,$H1068)))</f>
        <v>PLZOrtschaft</v>
      </c>
      <c r="AH1068" s="73" t="str" cm="1">
        <f t="array" ref="AH1068">IF($H1068=0,"",IF(INDEX('DM01-AV-CH'!H$6:H$834,$H1068)="","",INDEX('DM01-AV-CH'!H$6:H$834,$H1068)))</f>
        <v>OrtschaftsName</v>
      </c>
      <c r="AI1068" s="74" t="str" cm="1">
        <f t="array" ref="AI1068">IF($H1068=0,"",IF(INDEX('DM01-AV-CH'!I$6:I$834,$H1068)="","",INDEX('DM01-AV-CH'!I$6:I$834,$H1068)))</f>
        <v>Sprache</v>
      </c>
    </row>
    <row r="1069" spans="1:35" x14ac:dyDescent="0.25">
      <c r="A1069" s="57">
        <v>1064</v>
      </c>
      <c r="B1069" s="57">
        <f>IF($A1069="","",IF(_xlfn.XLOOKUP($A1069,Korrelation!$D$4:$D$1197,Korrelation!E$4:E$1197,"-",0)="-",0,MATCH(_xlfn.XLOOKUP($A1069,Korrelation!$D$4:$D$1197,Korrelation!E$4:E$1197,"",0),DMAV_Modell!$G$6:$G$677,0)))</f>
        <v>0</v>
      </c>
      <c r="C1069" s="57">
        <f>IF($A1069="","",IF(_xlfn.XLOOKUP($A1069,Korrelation!$D$4:$D$1197,Korrelation!F$4:F$1197,"-",0)="-",0,MATCH(_xlfn.XLOOKUP($A1069,Korrelation!$D$4:$D$1197,Korrelation!F$4:F$1197,"",0),DMAV_Modell!$G$6:$G$677,0)))</f>
        <v>0</v>
      </c>
      <c r="D1069" s="57">
        <f>IF($A1069="","",IF(_xlfn.XLOOKUP($A1069,Korrelation!$D$4:$D$1197,Korrelation!G$4:G$1197,"-",0)="-",0,MATCH(_xlfn.XLOOKUP($A1069,Korrelation!$D$4:$D$1197,Korrelation!G$4:G$1197,"",0),DMAV_Modell!$G$6:$G$677,0)))</f>
        <v>0</v>
      </c>
      <c r="E1069" s="57">
        <f>IF($A1069="","",IF(_xlfn.XLOOKUP($A1069,Korrelation!$D$4:$D$1197,Korrelation!H$4:H$1197,"-",0)="-",0,MATCH(_xlfn.XLOOKUP($A1069,Korrelation!$D$4:$D$1197,Korrelation!H$4:H$1197,"",0),DMAV_Dienste!$F$6:$F$140,0)))</f>
        <v>0</v>
      </c>
      <c r="F1069" s="57">
        <f>IF($A1069="","",IF(_xlfn.XLOOKUP($A1069,Korrelation!$D$4:$D$1197,Korrelation!I$4:I$1197,"-",0)="-",0,MATCH(_xlfn.XLOOKUP($A1069,Korrelation!$D$4:$D$1197,Korrelation!I$4:I$1197,"",0),DMAV_Dienste!$F$6:$F$140,0)))</f>
        <v>0</v>
      </c>
      <c r="G1069" s="57">
        <f>IF($A1069="","",IF(_xlfn.XLOOKUP($A1069,Korrelation!$D$4:$D$1197,Korrelation!J$4:J$1197,"-",0)="-",0,MATCH(_xlfn.XLOOKUP($A1069,Korrelation!$D$4:$D$1197,Korrelation!J$4:J$1197,"",0),DMAV_Dienste!$F$6:$F$140,0)))</f>
        <v>0</v>
      </c>
      <c r="H1069" s="57">
        <f>IF($A1069="","",IF(_xlfn.XLOOKUP($A1069,Korrelation!$D$4:$D$1197,Korrelation!K$4:K$1197,"-",0)="-",0,MATCH(_xlfn.XLOOKUP($A1069,Korrelation!$D$4:$D$1197,Korrelation!K$4:K$1197,"",0),'DM01-AV-CH'!$A$6:$A$834,0)))</f>
        <v>669</v>
      </c>
      <c r="J1069" s="54" t="str" cm="1">
        <f t="array" aca="1" ref="J1069" ca="1">IF(B1069=0,IF(E1069=0,"",HYPERLINK("#"&amp;RIGHT(CELL("adresse",OFFSET(DMAV_Dienste!$M$6,E1069-1,0)),LEN(CELL("adresse",OFFSET(DMAV_Dienste!$M$6,E1069-1,0)))-FIND("]",CELL("adresse",OFFSET(DMAV_Dienste!$M$6,E1069-1,0)))),"Dienst")),HYPERLINK("#"&amp;RIGHT(CELL("adresse",OFFSET(DMAV_Modell!$N$6,B1069-1,0)),LEN(CELL("adresse",OFFSET(DMAV_Modell!$N$6,B1069-1,0)))-FIND("]",CELL("adresse",OFFSET(DMAV_Modell!$N$6,B1069-1,0)))),"Modell"))</f>
        <v/>
      </c>
      <c r="K1069" s="61" t="str" cm="1">
        <f t="array" ref="K1069">IF($B1069=0,IF($E1069=0,"",IF(INDEX(DMAV_Dienste!P$6:P$140,$E1069)="","",INDEX(DMAV_Dienste!P$6:P$140,$E1069))),IF(INDEX(DMAV_Modell!Q$6:Q$838,$B1069)="","",INDEX(DMAV_Modell!Q$6:Q$838,$B1069)))</f>
        <v/>
      </c>
      <c r="L1069" s="62" t="str" cm="1">
        <f t="array" ref="L1069">IF($B1069=0,IF($E1069=0,"",IF(INDEX(DMAV_Dienste!O$6:O$140,$E1069)="","",INDEX(DMAV_Dienste!O$6:O$140,$E1069))),IF(INDEX(DMAV_Modell!P$6:P$838,$B1069)="","",INDEX(DMAV_Modell!P$6:P$838,$B1069)))</f>
        <v/>
      </c>
      <c r="M1069" s="62" t="str" cm="1">
        <f t="array" ref="M1069">IF($B1069=0,IF($E1069=0,"",IF(INDEX(DMAV_Dienste!Q$6:Q$140,$E1069)="","",INDEX(DMAV_Dienste!Q$6:Q$140,$E1069))),IF(INDEX(DMAV_Modell!R$6:R$838,$B1069)="","",INDEX(DMAV_Modell!R$6:R$838,$B1069)))</f>
        <v/>
      </c>
      <c r="N1069" s="62" t="str" cm="1">
        <f t="array" ref="N1069">IF($B1069=0,IF($E1069=0,"",IF(INDEX(DMAV_Dienste!T$6:T$140,$E1069)="","",INDEX(DMAV_Dienste!T$6:T$140,$E1069))),IF(INDEX(DMAV_Modell!U$6:U$838,$B1069)="","",INDEX(DMAV_Modell!U$6:U$838,$B1069)))</f>
        <v/>
      </c>
      <c r="O1069" s="63" t="str" cm="1">
        <f t="array" aca="1" ref="O1069" ca="1">IF(C1069=0,IF(F1069=0,"",HYPERLINK("#"&amp;RIGHT(CELL("adresse",OFFSET(DMAV_Dienste!$M$6,F1069-1,0)),LEN(CELL("adresse",OFFSET(DMAV_Dienste!$M$6,F1069-1,0)))-FIND("]",CELL("adresse",OFFSET(DMAV_Dienste!$M$6,F1069-1,0)))),"Structure")),HYPERLINK("#"&amp;RIGHT(CELL("adresse",OFFSET(DMAV_Modell!$N$6,C1069-1,0)),LEN(CELL("adresse",OFFSET(DMAV_Modell!$N$6,C1069-1,0)))-FIND("]",CELL("adresse",OFFSET(DMAV_Modell!$N$6,C1069-1,0)))),"Structure"))</f>
        <v/>
      </c>
      <c r="P1069" s="64" t="str" cm="1">
        <f t="array" aca="1" ref="P1069" ca="1">IF(D1069=0,IF(G1069=0,"",HYPERLINK("#"&amp;RIGHT(CELL("adresse",OFFSET(DMAV_Dienste!$M$6,G1069-1,0)),LEN(CELL("adresse",OFFSET(DMAV_Dienste!$M$6,G1069-1,0)))-FIND("]",CELL("adresse",OFFSET(DMAV_Dienste!$M$6,G1069-1,0)))),"Substructure")),HYPERLINK("#"&amp;RIGHT(CELL("adresse",OFFSET(DMAV_Modell!$N$6,D1069-1,0)),LEN(CELL("adresse",OFFSET(DMAV_Modell!$N$6,D1069-1,0)))-FIND("]",CELL("adresse",OFFSET(DMAV_Modell!$N$6,D1069-1,0)))),"Substructure"))</f>
        <v/>
      </c>
      <c r="R1069" s="80"/>
      <c r="T1069" s="93"/>
      <c r="U1069" s="94"/>
      <c r="V1069" s="95"/>
      <c r="W1069" s="96"/>
      <c r="Y1069" s="85"/>
      <c r="Z1069" s="86"/>
      <c r="AA1069" s="87"/>
      <c r="AB1069" s="88"/>
      <c r="AD1069" s="77"/>
      <c r="AF1069" s="54" t="str" cm="1">
        <f t="array" aca="1" ref="AF1069" ca="1">IF(H1069=0,"",HYPERLINK("#"&amp;RIGHT(CELL("adresse",OFFSET('DM01-AV-CH'!$G$6,H1069-1,0)),LEN(CELL("adresse",OFFSET('DM01-AV-CH'!$G$6,H1069-1,0)))-FIND("]",CELL("adresse",OFFSET('DM01-AV-CH'!$G$6,H1069-1,0)))),"Modell"))</f>
        <v>Modell</v>
      </c>
      <c r="AG1069" s="72" t="str" cm="1">
        <f t="array" ref="AG1069">IF($H1069=0,"",IF(INDEX('DM01-AV-CH'!G$6:G$834,$H1069)="","",INDEX('DM01-AV-CH'!G$6:G$834,$H1069)))</f>
        <v>PLZOrtschaft</v>
      </c>
      <c r="AH1069" s="73" t="str" cm="1">
        <f t="array" ref="AH1069">IF($H1069=0,"",IF(INDEX('DM01-AV-CH'!H$6:H$834,$H1069)="","",INDEX('DM01-AV-CH'!H$6:H$834,$H1069)))</f>
        <v>Ortschaft</v>
      </c>
      <c r="AI1069" s="74" t="str" cm="1">
        <f t="array" ref="AI1069">IF($H1069=0,"",IF(INDEX('DM01-AV-CH'!I$6:I$834,$H1069)="","",INDEX('DM01-AV-CH'!I$6:I$834,$H1069)))</f>
        <v>Entstehung</v>
      </c>
    </row>
    <row r="1070" spans="1:35" x14ac:dyDescent="0.25">
      <c r="A1070" s="57">
        <v>1065</v>
      </c>
      <c r="B1070" s="57">
        <f>IF($A1070="","",IF(_xlfn.XLOOKUP($A1070,Korrelation!$D$4:$D$1197,Korrelation!E$4:E$1197,"-",0)="-",0,MATCH(_xlfn.XLOOKUP($A1070,Korrelation!$D$4:$D$1197,Korrelation!E$4:E$1197,"",0),DMAV_Modell!$G$6:$G$677,0)))</f>
        <v>0</v>
      </c>
      <c r="C1070" s="57">
        <f>IF($A1070="","",IF(_xlfn.XLOOKUP($A1070,Korrelation!$D$4:$D$1197,Korrelation!F$4:F$1197,"-",0)="-",0,MATCH(_xlfn.XLOOKUP($A1070,Korrelation!$D$4:$D$1197,Korrelation!F$4:F$1197,"",0),DMAV_Modell!$G$6:$G$677,0)))</f>
        <v>0</v>
      </c>
      <c r="D1070" s="57">
        <f>IF($A1070="","",IF(_xlfn.XLOOKUP($A1070,Korrelation!$D$4:$D$1197,Korrelation!G$4:G$1197,"-",0)="-",0,MATCH(_xlfn.XLOOKUP($A1070,Korrelation!$D$4:$D$1197,Korrelation!G$4:G$1197,"",0),DMAV_Modell!$G$6:$G$677,0)))</f>
        <v>0</v>
      </c>
      <c r="E1070" s="57">
        <f>IF($A1070="","",IF(_xlfn.XLOOKUP($A1070,Korrelation!$D$4:$D$1197,Korrelation!H$4:H$1197,"-",0)="-",0,MATCH(_xlfn.XLOOKUP($A1070,Korrelation!$D$4:$D$1197,Korrelation!H$4:H$1197,"",0),DMAV_Dienste!$F$6:$F$140,0)))</f>
        <v>0</v>
      </c>
      <c r="F1070" s="57">
        <f>IF($A1070="","",IF(_xlfn.XLOOKUP($A1070,Korrelation!$D$4:$D$1197,Korrelation!I$4:I$1197,"-",0)="-",0,MATCH(_xlfn.XLOOKUP($A1070,Korrelation!$D$4:$D$1197,Korrelation!I$4:I$1197,"",0),DMAV_Dienste!$F$6:$F$140,0)))</f>
        <v>0</v>
      </c>
      <c r="G1070" s="57">
        <f>IF($A1070="","",IF(_xlfn.XLOOKUP($A1070,Korrelation!$D$4:$D$1197,Korrelation!J$4:J$1197,"-",0)="-",0,MATCH(_xlfn.XLOOKUP($A1070,Korrelation!$D$4:$D$1197,Korrelation!J$4:J$1197,"",0),DMAV_Dienste!$F$6:$F$140,0)))</f>
        <v>0</v>
      </c>
      <c r="H1070" s="57">
        <f>IF($A1070="","",IF(_xlfn.XLOOKUP($A1070,Korrelation!$D$4:$D$1197,Korrelation!K$4:K$1197,"-",0)="-",0,MATCH(_xlfn.XLOOKUP($A1070,Korrelation!$D$4:$D$1197,Korrelation!K$4:K$1197,"",0),'DM01-AV-CH'!$A$6:$A$834,0)))</f>
        <v>670</v>
      </c>
      <c r="J1070" s="54" t="str" cm="1">
        <f t="array" aca="1" ref="J1070" ca="1">IF(B1070=0,IF(E1070=0,"",HYPERLINK("#"&amp;RIGHT(CELL("adresse",OFFSET(DMAV_Dienste!$M$6,E1070-1,0)),LEN(CELL("adresse",OFFSET(DMAV_Dienste!$M$6,E1070-1,0)))-FIND("]",CELL("adresse",OFFSET(DMAV_Dienste!$M$6,E1070-1,0)))),"Dienst")),HYPERLINK("#"&amp;RIGHT(CELL("adresse",OFFSET(DMAV_Modell!$N$6,B1070-1,0)),LEN(CELL("adresse",OFFSET(DMAV_Modell!$N$6,B1070-1,0)))-FIND("]",CELL("adresse",OFFSET(DMAV_Modell!$N$6,B1070-1,0)))),"Modell"))</f>
        <v/>
      </c>
      <c r="K1070" s="61" t="str" cm="1">
        <f t="array" ref="K1070">IF($B1070=0,IF($E1070=0,"",IF(INDEX(DMAV_Dienste!P$6:P$140,$E1070)="","",INDEX(DMAV_Dienste!P$6:P$140,$E1070))),IF(INDEX(DMAV_Modell!Q$6:Q$838,$B1070)="","",INDEX(DMAV_Modell!Q$6:Q$838,$B1070)))</f>
        <v/>
      </c>
      <c r="L1070" s="62" t="str" cm="1">
        <f t="array" ref="L1070">IF($B1070=0,IF($E1070=0,"",IF(INDEX(DMAV_Dienste!O$6:O$140,$E1070)="","",INDEX(DMAV_Dienste!O$6:O$140,$E1070))),IF(INDEX(DMAV_Modell!P$6:P$838,$B1070)="","",INDEX(DMAV_Modell!P$6:P$838,$B1070)))</f>
        <v/>
      </c>
      <c r="M1070" s="62" t="str" cm="1">
        <f t="array" ref="M1070">IF($B1070=0,IF($E1070=0,"",IF(INDEX(DMAV_Dienste!Q$6:Q$140,$E1070)="","",INDEX(DMAV_Dienste!Q$6:Q$140,$E1070))),IF(INDEX(DMAV_Modell!R$6:R$838,$B1070)="","",INDEX(DMAV_Modell!R$6:R$838,$B1070)))</f>
        <v/>
      </c>
      <c r="N1070" s="62" t="str" cm="1">
        <f t="array" ref="N1070">IF($B1070=0,IF($E1070=0,"",IF(INDEX(DMAV_Dienste!T$6:T$140,$E1070)="","",INDEX(DMAV_Dienste!T$6:T$140,$E1070))),IF(INDEX(DMAV_Modell!U$6:U$838,$B1070)="","",INDEX(DMAV_Modell!U$6:U$838,$B1070)))</f>
        <v/>
      </c>
      <c r="O1070" s="63" t="str" cm="1">
        <f t="array" aca="1" ref="O1070" ca="1">IF(C1070=0,IF(F1070=0,"",HYPERLINK("#"&amp;RIGHT(CELL("adresse",OFFSET(DMAV_Dienste!$M$6,F1070-1,0)),LEN(CELL("adresse",OFFSET(DMAV_Dienste!$M$6,F1070-1,0)))-FIND("]",CELL("adresse",OFFSET(DMAV_Dienste!$M$6,F1070-1,0)))),"Structure")),HYPERLINK("#"&amp;RIGHT(CELL("adresse",OFFSET(DMAV_Modell!$N$6,C1070-1,0)),LEN(CELL("adresse",OFFSET(DMAV_Modell!$N$6,C1070-1,0)))-FIND("]",CELL("adresse",OFFSET(DMAV_Modell!$N$6,C1070-1,0)))),"Structure"))</f>
        <v/>
      </c>
      <c r="P1070" s="64" t="str" cm="1">
        <f t="array" aca="1" ref="P1070" ca="1">IF(D1070=0,IF(G1070=0,"",HYPERLINK("#"&amp;RIGHT(CELL("adresse",OFFSET(DMAV_Dienste!$M$6,G1070-1,0)),LEN(CELL("adresse",OFFSET(DMAV_Dienste!$M$6,G1070-1,0)))-FIND("]",CELL("adresse",OFFSET(DMAV_Dienste!$M$6,G1070-1,0)))),"Substructure")),HYPERLINK("#"&amp;RIGHT(CELL("adresse",OFFSET(DMAV_Modell!$N$6,D1070-1,0)),LEN(CELL("adresse",OFFSET(DMAV_Modell!$N$6,D1070-1,0)))-FIND("]",CELL("adresse",OFFSET(DMAV_Modell!$N$6,D1070-1,0)))),"Substructure"))</f>
        <v/>
      </c>
      <c r="R1070" s="80"/>
      <c r="T1070" s="93"/>
      <c r="U1070" s="94"/>
      <c r="V1070" s="95"/>
      <c r="W1070" s="96"/>
      <c r="Y1070" s="85"/>
      <c r="Z1070" s="86"/>
      <c r="AA1070" s="87"/>
      <c r="AB1070" s="88"/>
      <c r="AD1070" s="77"/>
      <c r="AF1070" s="54" t="str" cm="1">
        <f t="array" aca="1" ref="AF1070" ca="1">IF(H1070=0,"",HYPERLINK("#"&amp;RIGHT(CELL("adresse",OFFSET('DM01-AV-CH'!$G$6,H1070-1,0)),LEN(CELL("adresse",OFFSET('DM01-AV-CH'!$G$6,H1070-1,0)))-FIND("]",CELL("adresse",OFFSET('DM01-AV-CH'!$G$6,H1070-1,0)))),"Modell"))</f>
        <v>Modell</v>
      </c>
      <c r="AG1070" s="72" t="str" cm="1">
        <f t="array" ref="AG1070">IF($H1070=0,"",IF(INDEX('DM01-AV-CH'!G$6:G$834,$H1070)="","",INDEX('DM01-AV-CH'!G$6:G$834,$H1070)))</f>
        <v>PLZOrtschaft</v>
      </c>
      <c r="AH1070" s="73" t="str" cm="1">
        <f t="array" ref="AH1070">IF($H1070=0,"",IF(INDEX('DM01-AV-CH'!H$6:H$834,$H1070)="","",INDEX('DM01-AV-CH'!H$6:H$834,$H1070)))</f>
        <v>Ortschaft</v>
      </c>
      <c r="AI1070" s="74" t="str" cm="1">
        <f t="array" ref="AI1070">IF($H1070=0,"",IF(INDEX('DM01-AV-CH'!I$6:I$834,$H1070)="","",INDEX('DM01-AV-CH'!I$6:I$834,$H1070)))</f>
        <v>Ortschaft_von</v>
      </c>
    </row>
    <row r="1071" spans="1:35" ht="42.75" x14ac:dyDescent="0.25">
      <c r="A1071" s="57">
        <v>1066</v>
      </c>
      <c r="B1071" s="57">
        <f>IF($A1071="","",IF(_xlfn.XLOOKUP($A1071,Korrelation!$D$4:$D$1197,Korrelation!E$4:E$1197,"-",0)="-",0,MATCH(_xlfn.XLOOKUP($A1071,Korrelation!$D$4:$D$1197,Korrelation!E$4:E$1197,"",0),DMAV_Modell!$G$6:$G$677,0)))</f>
        <v>0</v>
      </c>
      <c r="C1071" s="57">
        <f>IF($A1071="","",IF(_xlfn.XLOOKUP($A1071,Korrelation!$D$4:$D$1197,Korrelation!F$4:F$1197,"-",0)="-",0,MATCH(_xlfn.XLOOKUP($A1071,Korrelation!$D$4:$D$1197,Korrelation!F$4:F$1197,"",0),DMAV_Modell!$G$6:$G$677,0)))</f>
        <v>0</v>
      </c>
      <c r="D1071" s="57">
        <f>IF($A1071="","",IF(_xlfn.XLOOKUP($A1071,Korrelation!$D$4:$D$1197,Korrelation!G$4:G$1197,"-",0)="-",0,MATCH(_xlfn.XLOOKUP($A1071,Korrelation!$D$4:$D$1197,Korrelation!G$4:G$1197,"",0),DMAV_Modell!$G$6:$G$677,0)))</f>
        <v>0</v>
      </c>
      <c r="E1071" s="57">
        <f>IF($A1071="","",IF(_xlfn.XLOOKUP($A1071,Korrelation!$D$4:$D$1197,Korrelation!H$4:H$1197,"-",0)="-",0,MATCH(_xlfn.XLOOKUP($A1071,Korrelation!$D$4:$D$1197,Korrelation!H$4:H$1197,"",0),DMAV_Dienste!$F$6:$F$140,0)))</f>
        <v>56</v>
      </c>
      <c r="F1071" s="57">
        <f>IF($A1071="","",IF(_xlfn.XLOOKUP($A1071,Korrelation!$D$4:$D$1197,Korrelation!I$4:I$1197,"-",0)="-",0,MATCH(_xlfn.XLOOKUP($A1071,Korrelation!$D$4:$D$1197,Korrelation!I$4:I$1197,"",0),DMAV_Dienste!$F$6:$F$140,0)))</f>
        <v>0</v>
      </c>
      <c r="G1071" s="57">
        <f>IF($A1071="","",IF(_xlfn.XLOOKUP($A1071,Korrelation!$D$4:$D$1197,Korrelation!J$4:J$1197,"-",0)="-",0,MATCH(_xlfn.XLOOKUP($A1071,Korrelation!$D$4:$D$1197,Korrelation!J$4:J$1197,"",0),DMAV_Dienste!$F$6:$F$140,0)))</f>
        <v>0</v>
      </c>
      <c r="H1071" s="57">
        <f>IF($A1071="","",IF(_xlfn.XLOOKUP($A1071,Korrelation!$D$4:$D$1197,Korrelation!K$4:K$1197,"-",0)="-",0,MATCH(_xlfn.XLOOKUP($A1071,Korrelation!$D$4:$D$1197,Korrelation!K$4:K$1197,"",0),'DM01-AV-CH'!$A$6:$A$834,0)))</f>
        <v>671</v>
      </c>
      <c r="J1071" s="54" t="str" cm="1">
        <f t="array" aca="1" ref="J1071" ca="1">IF(B1071=0,IF(E1071=0,"",HYPERLINK("#"&amp;RIGHT(CELL("adresse",OFFSET(DMAV_Dienste!$M$6,E1071-1,0)),LEN(CELL("adresse",OFFSET(DMAV_Dienste!$M$6,E1071-1,0)))-FIND("]",CELL("adresse",OFFSET(DMAV_Dienste!$M$6,E1071-1,0)))),"Dienst")),HYPERLINK("#"&amp;RIGHT(CELL("adresse",OFFSET(DMAV_Modell!$N$6,B1071-1,0)),LEN(CELL("adresse",OFFSET(DMAV_Modell!$N$6,B1071-1,0)))-FIND("]",CELL("adresse",OFFSET(DMAV_Modell!$N$6,B1071-1,0)))),"Modell"))</f>
        <v>Dienst</v>
      </c>
      <c r="K1071" s="61" t="str" cm="1">
        <f t="array" ref="K1071">IF($B1071=0,IF($E1071=0,"",IF(INDEX(DMAV_Dienste!P$6:P$140,$E1071)="","",INDEX(DMAV_Dienste!P$6:P$140,$E1071))),IF(INDEX(DMAV_Modell!Q$6:Q$838,$B1071)="","",INDEX(DMAV_Modell!Q$6:Q$838,$B1071)))</f>
        <v>CLASS</v>
      </c>
      <c r="L1071" s="62" t="str" cm="1">
        <f t="array" ref="L1071">IF($B1071=0,IF($E1071=0,"",IF(INDEX(DMAV_Dienste!O$6:O$140,$E1071)="","",INDEX(DMAV_Dienste!O$6:O$140,$E1071))),IF(INDEX(DMAV_Modell!P$6:P$838,$B1071)="","",INDEX(DMAV_Modell!P$6:P$838,$B1071)))</f>
        <v>AmtlichesOrtschaftenverzeichnis</v>
      </c>
      <c r="M1071" s="62" t="str" cm="1">
        <f t="array" ref="M1071">IF($B1071=0,IF($E1071=0,"",IF(INDEX(DMAV_Dienste!Q$6:Q$140,$E1071)="","",INDEX(DMAV_Dienste!Q$6:Q$140,$E1071))),IF(INDEX(DMAV_Modell!R$6:R$838,$B1071)="","",INDEX(DMAV_Modell!R$6:R$838,$B1071)))</f>
        <v>Ortschaft</v>
      </c>
      <c r="N1071" s="62" t="str" cm="1">
        <f t="array" ref="N1071">IF($B1071=0,IF($E1071=0,"",IF(INDEX(DMAV_Dienste!T$6:T$140,$E1071)="","",INDEX(DMAV_Dienste!T$6:T$140,$E1071))),IF(INDEX(DMAV_Modell!U$6:U$838,$B1071)="","",INDEX(DMAV_Modell!U$6:U$838,$B1071)))</f>
        <v>Status</v>
      </c>
      <c r="O1071" s="63" t="str" cm="1">
        <f t="array" aca="1" ref="O1071" ca="1">IF(C1071=0,IF(F1071=0,"",HYPERLINK("#"&amp;RIGHT(CELL("adresse",OFFSET(DMAV_Dienste!$M$6,F1071-1,0)),LEN(CELL("adresse",OFFSET(DMAV_Dienste!$M$6,F1071-1,0)))-FIND("]",CELL("adresse",OFFSET(DMAV_Dienste!$M$6,F1071-1,0)))),"Structure")),HYPERLINK("#"&amp;RIGHT(CELL("adresse",OFFSET(DMAV_Modell!$N$6,C1071-1,0)),LEN(CELL("adresse",OFFSET(DMAV_Modell!$N$6,C1071-1,0)))-FIND("]",CELL("adresse",OFFSET(DMAV_Modell!$N$6,C1071-1,0)))),"Structure"))</f>
        <v/>
      </c>
      <c r="P1071" s="64" t="str" cm="1">
        <f t="array" aca="1" ref="P1071" ca="1">IF(D1071=0,IF(G1071=0,"",HYPERLINK("#"&amp;RIGHT(CELL("adresse",OFFSET(DMAV_Dienste!$M$6,G1071-1,0)),LEN(CELL("adresse",OFFSET(DMAV_Dienste!$M$6,G1071-1,0)))-FIND("]",CELL("adresse",OFFSET(DMAV_Dienste!$M$6,G1071-1,0)))),"Substructure")),HYPERLINK("#"&amp;RIGHT(CELL("adresse",OFFSET(DMAV_Modell!$N$6,D1071-1,0)),LEN(CELL("adresse",OFFSET(DMAV_Modell!$N$6,D1071-1,0)))-FIND("]",CELL("adresse",OFFSET(DMAV_Modell!$N$6,D1071-1,0)))),"Substructure"))</f>
        <v/>
      </c>
      <c r="R1071" s="80" t="s">
        <v>3606</v>
      </c>
      <c r="T1071" s="93"/>
      <c r="U1071" s="94"/>
      <c r="V1071" s="95"/>
      <c r="W1071" s="96"/>
      <c r="Y1071" s="85"/>
      <c r="Z1071" s="86"/>
      <c r="AA1071" s="87"/>
      <c r="AB1071" s="88"/>
      <c r="AD1071" s="77" t="s">
        <v>3607</v>
      </c>
      <c r="AF1071" s="54" t="str" cm="1">
        <f t="array" aca="1" ref="AF1071" ca="1">IF(H1071=0,"",HYPERLINK("#"&amp;RIGHT(CELL("adresse",OFFSET('DM01-AV-CH'!$G$6,H1071-1,0)),LEN(CELL("adresse",OFFSET('DM01-AV-CH'!$G$6,H1071-1,0)))-FIND("]",CELL("adresse",OFFSET('DM01-AV-CH'!$G$6,H1071-1,0)))),"Modell"))</f>
        <v>Modell</v>
      </c>
      <c r="AG1071" s="72" t="str" cm="1">
        <f t="array" ref="AG1071">IF($H1071=0,"",IF(INDEX('DM01-AV-CH'!G$6:G$834,$H1071)="","",INDEX('DM01-AV-CH'!G$6:G$834,$H1071)))</f>
        <v>PLZOrtschaft</v>
      </c>
      <c r="AH1071" s="73" t="str" cm="1">
        <f t="array" ref="AH1071">IF($H1071=0,"",IF(INDEX('DM01-AV-CH'!H$6:H$834,$H1071)="","",INDEX('DM01-AV-CH'!H$6:H$834,$H1071)))</f>
        <v>Ortschaft</v>
      </c>
      <c r="AI1071" s="74" t="str" cm="1">
        <f t="array" ref="AI1071">IF($H1071=0,"",IF(INDEX('DM01-AV-CH'!I$6:I$834,$H1071)="","",INDEX('DM01-AV-CH'!I$6:I$834,$H1071)))</f>
        <v>Status</v>
      </c>
    </row>
    <row r="1072" spans="1:35" ht="28.5" x14ac:dyDescent="0.25">
      <c r="A1072" s="57">
        <v>1067</v>
      </c>
      <c r="B1072" s="57">
        <f>IF($A1072="","",IF(_xlfn.XLOOKUP($A1072,Korrelation!$D$4:$D$1197,Korrelation!E$4:E$1197,"-",0)="-",0,MATCH(_xlfn.XLOOKUP($A1072,Korrelation!$D$4:$D$1197,Korrelation!E$4:E$1197,"",0),DMAV_Modell!$G$6:$G$677,0)))</f>
        <v>0</v>
      </c>
      <c r="C1072" s="57">
        <f>IF($A1072="","",IF(_xlfn.XLOOKUP($A1072,Korrelation!$D$4:$D$1197,Korrelation!F$4:F$1197,"-",0)="-",0,MATCH(_xlfn.XLOOKUP($A1072,Korrelation!$D$4:$D$1197,Korrelation!F$4:F$1197,"",0),DMAV_Modell!$G$6:$G$677,0)))</f>
        <v>0</v>
      </c>
      <c r="D1072" s="57">
        <f>IF($A1072="","",IF(_xlfn.XLOOKUP($A1072,Korrelation!$D$4:$D$1197,Korrelation!G$4:G$1197,"-",0)="-",0,MATCH(_xlfn.XLOOKUP($A1072,Korrelation!$D$4:$D$1197,Korrelation!G$4:G$1197,"",0),DMAV_Modell!$G$6:$G$677,0)))</f>
        <v>0</v>
      </c>
      <c r="E1072" s="57">
        <f>IF($A1072="","",IF(_xlfn.XLOOKUP($A1072,Korrelation!$D$4:$D$1197,Korrelation!H$4:H$1197,"-",0)="-",0,MATCH(_xlfn.XLOOKUP($A1072,Korrelation!$D$4:$D$1197,Korrelation!H$4:H$1197,"",0),DMAV_Dienste!$F$6:$F$140,0)))</f>
        <v>57</v>
      </c>
      <c r="F1072" s="57">
        <f>IF($A1072="","",IF(_xlfn.XLOOKUP($A1072,Korrelation!$D$4:$D$1197,Korrelation!I$4:I$1197,"-",0)="-",0,MATCH(_xlfn.XLOOKUP($A1072,Korrelation!$D$4:$D$1197,Korrelation!I$4:I$1197,"",0),DMAV_Dienste!$F$6:$F$140,0)))</f>
        <v>0</v>
      </c>
      <c r="G1072" s="57">
        <f>IF($A1072="","",IF(_xlfn.XLOOKUP($A1072,Korrelation!$D$4:$D$1197,Korrelation!J$4:J$1197,"-",0)="-",0,MATCH(_xlfn.XLOOKUP($A1072,Korrelation!$D$4:$D$1197,Korrelation!J$4:J$1197,"",0),DMAV_Dienste!$F$6:$F$140,0)))</f>
        <v>0</v>
      </c>
      <c r="H1072" s="57">
        <f>IF($A1072="","",IF(_xlfn.XLOOKUP($A1072,Korrelation!$D$4:$D$1197,Korrelation!K$4:K$1197,"-",0)="-",0,MATCH(_xlfn.XLOOKUP($A1072,Korrelation!$D$4:$D$1197,Korrelation!K$4:K$1197,"",0),'DM01-AV-CH'!$A$6:$A$834,0)))</f>
        <v>672</v>
      </c>
      <c r="J1072" s="54" t="str" cm="1">
        <f t="array" aca="1" ref="J1072" ca="1">IF(B1072=0,IF(E1072=0,"",HYPERLINK("#"&amp;RIGHT(CELL("adresse",OFFSET(DMAV_Dienste!$M$6,E1072-1,0)),LEN(CELL("adresse",OFFSET(DMAV_Dienste!$M$6,E1072-1,0)))-FIND("]",CELL("adresse",OFFSET(DMAV_Dienste!$M$6,E1072-1,0)))),"Dienst")),HYPERLINK("#"&amp;RIGHT(CELL("adresse",OFFSET(DMAV_Modell!$N$6,B1072-1,0)),LEN(CELL("adresse",OFFSET(DMAV_Modell!$N$6,B1072-1,0)))-FIND("]",CELL("adresse",OFFSET(DMAV_Modell!$N$6,B1072-1,0)))),"Modell"))</f>
        <v>Dienst</v>
      </c>
      <c r="K1072" s="61" t="str" cm="1">
        <f t="array" ref="K1072">IF($B1072=0,IF($E1072=0,"",IF(INDEX(DMAV_Dienste!P$6:P$140,$E1072)="","",INDEX(DMAV_Dienste!P$6:P$140,$E1072))),IF(INDEX(DMAV_Modell!Q$6:Q$838,$B1072)="","",INDEX(DMAV_Modell!Q$6:Q$838,$B1072)))</f>
        <v>CLASS</v>
      </c>
      <c r="L1072" s="62" t="str" cm="1">
        <f t="array" ref="L1072">IF($B1072=0,IF($E1072=0,"",IF(INDEX(DMAV_Dienste!O$6:O$140,$E1072)="","",INDEX(DMAV_Dienste!O$6:O$140,$E1072))),IF(INDEX(DMAV_Modell!P$6:P$838,$B1072)="","",INDEX(DMAV_Modell!P$6:P$838,$B1072)))</f>
        <v>AmtlichesOrtschaftenverzeichnis</v>
      </c>
      <c r="M1072" s="62" t="str" cm="1">
        <f t="array" ref="M1072">IF($B1072=0,IF($E1072=0,"",IF(INDEX(DMAV_Dienste!Q$6:Q$140,$E1072)="","",INDEX(DMAV_Dienste!Q$6:Q$140,$E1072))),IF(INDEX(DMAV_Modell!R$6:R$838,$B1072)="","",INDEX(DMAV_Modell!R$6:R$838,$B1072)))</f>
        <v>Ortschaft</v>
      </c>
      <c r="N1072" s="62" t="str" cm="1">
        <f t="array" ref="N1072">IF($B1072=0,IF($E1072=0,"",IF(INDEX(DMAV_Dienste!T$6:T$140,$E1072)="","",INDEX(DMAV_Dienste!T$6:T$140,$E1072))),IF(INDEX(DMAV_Modell!U$6:U$838,$B1072)="","",INDEX(DMAV_Modell!U$6:U$838,$B1072)))</f>
        <v>InAenderung</v>
      </c>
      <c r="O1072" s="63" t="str" cm="1">
        <f t="array" aca="1" ref="O1072" ca="1">IF(C1072=0,IF(F1072=0,"",HYPERLINK("#"&amp;RIGHT(CELL("adresse",OFFSET(DMAV_Dienste!$M$6,F1072-1,0)),LEN(CELL("adresse",OFFSET(DMAV_Dienste!$M$6,F1072-1,0)))-FIND("]",CELL("adresse",OFFSET(DMAV_Dienste!$M$6,F1072-1,0)))),"Structure")),HYPERLINK("#"&amp;RIGHT(CELL("adresse",OFFSET(DMAV_Modell!$N$6,C1072-1,0)),LEN(CELL("adresse",OFFSET(DMAV_Modell!$N$6,C1072-1,0)))-FIND("]",CELL("adresse",OFFSET(DMAV_Modell!$N$6,C1072-1,0)))),"Structure"))</f>
        <v/>
      </c>
      <c r="P1072" s="64" t="str" cm="1">
        <f t="array" aca="1" ref="P1072" ca="1">IF(D1072=0,IF(G1072=0,"",HYPERLINK("#"&amp;RIGHT(CELL("adresse",OFFSET(DMAV_Dienste!$M$6,G1072-1,0)),LEN(CELL("adresse",OFFSET(DMAV_Dienste!$M$6,G1072-1,0)))-FIND("]",CELL("adresse",OFFSET(DMAV_Dienste!$M$6,G1072-1,0)))),"Substructure")),HYPERLINK("#"&amp;RIGHT(CELL("adresse",OFFSET(DMAV_Modell!$N$6,D1072-1,0)),LEN(CELL("adresse",OFFSET(DMAV_Modell!$N$6,D1072-1,0)))-FIND("]",CELL("adresse",OFFSET(DMAV_Modell!$N$6,D1072-1,0)))),"Substructure"))</f>
        <v/>
      </c>
      <c r="R1072" s="80" t="s">
        <v>3098</v>
      </c>
      <c r="T1072" s="93"/>
      <c r="U1072" s="94"/>
      <c r="V1072" s="95"/>
      <c r="W1072" s="96"/>
      <c r="Y1072" s="85"/>
      <c r="Z1072" s="86"/>
      <c r="AA1072" s="87"/>
      <c r="AB1072" s="88"/>
      <c r="AD1072" s="77" t="s">
        <v>3099</v>
      </c>
      <c r="AF1072" s="54" t="str" cm="1">
        <f t="array" aca="1" ref="AF1072" ca="1">IF(H1072=0,"",HYPERLINK("#"&amp;RIGHT(CELL("adresse",OFFSET('DM01-AV-CH'!$G$6,H1072-1,0)),LEN(CELL("adresse",OFFSET('DM01-AV-CH'!$G$6,H1072-1,0)))-FIND("]",CELL("adresse",OFFSET('DM01-AV-CH'!$G$6,H1072-1,0)))),"Modell"))</f>
        <v>Modell</v>
      </c>
      <c r="AG1072" s="72" t="str" cm="1">
        <f t="array" ref="AG1072">IF($H1072=0,"",IF(INDEX('DM01-AV-CH'!G$6:G$834,$H1072)="","",INDEX('DM01-AV-CH'!G$6:G$834,$H1072)))</f>
        <v>PLZOrtschaft</v>
      </c>
      <c r="AH1072" s="73" t="str" cm="1">
        <f t="array" ref="AH1072">IF($H1072=0,"",IF(INDEX('DM01-AV-CH'!H$6:H$834,$H1072)="","",INDEX('DM01-AV-CH'!H$6:H$834,$H1072)))</f>
        <v>Ortschaft</v>
      </c>
      <c r="AI1072" s="74" t="str" cm="1">
        <f t="array" ref="AI1072">IF($H1072=0,"",IF(INDEX('DM01-AV-CH'!I$6:I$834,$H1072)="","",INDEX('DM01-AV-CH'!I$6:I$834,$H1072)))</f>
        <v>InAenderung</v>
      </c>
    </row>
    <row r="1073" spans="1:35" x14ac:dyDescent="0.25">
      <c r="A1073" s="57">
        <v>1068</v>
      </c>
      <c r="B1073" s="57">
        <f>IF($A1073="","",IF(_xlfn.XLOOKUP($A1073,Korrelation!$D$4:$D$1197,Korrelation!E$4:E$1197,"-",0)="-",0,MATCH(_xlfn.XLOOKUP($A1073,Korrelation!$D$4:$D$1197,Korrelation!E$4:E$1197,"",0),DMAV_Modell!$G$6:$G$677,0)))</f>
        <v>0</v>
      </c>
      <c r="C1073" s="57">
        <f>IF($A1073="","",IF(_xlfn.XLOOKUP($A1073,Korrelation!$D$4:$D$1197,Korrelation!F$4:F$1197,"-",0)="-",0,MATCH(_xlfn.XLOOKUP($A1073,Korrelation!$D$4:$D$1197,Korrelation!F$4:F$1197,"",0),DMAV_Modell!$G$6:$G$677,0)))</f>
        <v>0</v>
      </c>
      <c r="D1073" s="57">
        <f>IF($A1073="","",IF(_xlfn.XLOOKUP($A1073,Korrelation!$D$4:$D$1197,Korrelation!G$4:G$1197,"-",0)="-",0,MATCH(_xlfn.XLOOKUP($A1073,Korrelation!$D$4:$D$1197,Korrelation!G$4:G$1197,"",0),DMAV_Modell!$G$6:$G$677,0)))</f>
        <v>0</v>
      </c>
      <c r="E1073" s="57">
        <f>IF($A1073="","",IF(_xlfn.XLOOKUP($A1073,Korrelation!$D$4:$D$1197,Korrelation!H$4:H$1197,"-",0)="-",0,MATCH(_xlfn.XLOOKUP($A1073,Korrelation!$D$4:$D$1197,Korrelation!H$4:H$1197,"",0),DMAV_Dienste!$F$6:$F$140,0)))</f>
        <v>58</v>
      </c>
      <c r="F1073" s="57">
        <f>IF($A1073="","",IF(_xlfn.XLOOKUP($A1073,Korrelation!$D$4:$D$1197,Korrelation!I$4:I$1197,"-",0)="-",0,MATCH(_xlfn.XLOOKUP($A1073,Korrelation!$D$4:$D$1197,Korrelation!I$4:I$1197,"",0),DMAV_Dienste!$F$6:$F$140,0)))</f>
        <v>0</v>
      </c>
      <c r="G1073" s="57">
        <f>IF($A1073="","",IF(_xlfn.XLOOKUP($A1073,Korrelation!$D$4:$D$1197,Korrelation!J$4:J$1197,"-",0)="-",0,MATCH(_xlfn.XLOOKUP($A1073,Korrelation!$D$4:$D$1197,Korrelation!J$4:J$1197,"",0),DMAV_Dienste!$F$6:$F$140,0)))</f>
        <v>0</v>
      </c>
      <c r="H1073" s="57">
        <f>IF($A1073="","",IF(_xlfn.XLOOKUP($A1073,Korrelation!$D$4:$D$1197,Korrelation!K$4:K$1197,"-",0)="-",0,MATCH(_xlfn.XLOOKUP($A1073,Korrelation!$D$4:$D$1197,Korrelation!K$4:K$1197,"",0),'DM01-AV-CH'!$A$6:$A$834,0)))</f>
        <v>0</v>
      </c>
      <c r="J1073" s="54" t="str" cm="1">
        <f t="array" aca="1" ref="J1073" ca="1">IF(B1073=0,IF(E1073=0,"",HYPERLINK("#"&amp;RIGHT(CELL("adresse",OFFSET(DMAV_Dienste!$M$6,E1073-1,0)),LEN(CELL("adresse",OFFSET(DMAV_Dienste!$M$6,E1073-1,0)))-FIND("]",CELL("adresse",OFFSET(DMAV_Dienste!$M$6,E1073-1,0)))),"Dienst")),HYPERLINK("#"&amp;RIGHT(CELL("adresse",OFFSET(DMAV_Modell!$N$6,B1073-1,0)),LEN(CELL("adresse",OFFSET(DMAV_Modell!$N$6,B1073-1,0)))-FIND("]",CELL("adresse",OFFSET(DMAV_Modell!$N$6,B1073-1,0)))),"Modell"))</f>
        <v>Dienst</v>
      </c>
      <c r="K1073" s="61" t="str" cm="1">
        <f t="array" ref="K1073">IF($B1073=0,IF($E1073=0,"",IF(INDEX(DMAV_Dienste!P$6:P$140,$E1073)="","",INDEX(DMAV_Dienste!P$6:P$140,$E1073))),IF(INDEX(DMAV_Modell!Q$6:Q$838,$B1073)="","",INDEX(DMAV_Modell!Q$6:Q$838,$B1073)))</f>
        <v>CLASS</v>
      </c>
      <c r="L1073" s="62" t="str" cm="1">
        <f t="array" ref="L1073">IF($B1073=0,IF($E1073=0,"",IF(INDEX(DMAV_Dienste!O$6:O$140,$E1073)="","",INDEX(DMAV_Dienste!O$6:O$140,$E1073))),IF(INDEX(DMAV_Modell!P$6:P$838,$B1073)="","",INDEX(DMAV_Modell!P$6:P$838,$B1073)))</f>
        <v>AmtlichesOrtschaftenverzeichnis</v>
      </c>
      <c r="M1073" s="62" t="str" cm="1">
        <f t="array" ref="M1073">IF($B1073=0,IF($E1073=0,"",IF(INDEX(DMAV_Dienste!Q$6:Q$140,$E1073)="","",INDEX(DMAV_Dienste!Q$6:Q$140,$E1073))),IF(INDEX(DMAV_Modell!R$6:R$838,$B1073)="","",INDEX(DMAV_Modell!R$6:R$838,$B1073)))</f>
        <v>Ortschaft</v>
      </c>
      <c r="N1073" s="62" t="str" cm="1">
        <f t="array" ref="N1073">IF($B1073=0,IF($E1073=0,"",IF(INDEX(DMAV_Dienste!T$6:T$140,$E1073)="","",INDEX(DMAV_Dienste!T$6:T$140,$E1073))),IF(INDEX(DMAV_Modell!U$6:U$838,$B1073)="","",INDEX(DMAV_Modell!U$6:U$838,$B1073)))</f>
        <v>Gueltigkeit</v>
      </c>
      <c r="O1073" s="63" t="str" cm="1">
        <f t="array" aca="1" ref="O1073" ca="1">IF(C1073=0,IF(F1073=0,"",HYPERLINK("#"&amp;RIGHT(CELL("adresse",OFFSET(DMAV_Dienste!$M$6,F1073-1,0)),LEN(CELL("adresse",OFFSET(DMAV_Dienste!$M$6,F1073-1,0)))-FIND("]",CELL("adresse",OFFSET(DMAV_Dienste!$M$6,F1073-1,0)))),"Structure")),HYPERLINK("#"&amp;RIGHT(CELL("adresse",OFFSET(DMAV_Modell!$N$6,C1073-1,0)),LEN(CELL("adresse",OFFSET(DMAV_Modell!$N$6,C1073-1,0)))-FIND("]",CELL("adresse",OFFSET(DMAV_Modell!$N$6,C1073-1,0)))),"Structure"))</f>
        <v/>
      </c>
      <c r="P1073" s="64" t="str" cm="1">
        <f t="array" aca="1" ref="P1073" ca="1">IF(D1073=0,IF(G1073=0,"",HYPERLINK("#"&amp;RIGHT(CELL("adresse",OFFSET(DMAV_Dienste!$M$6,G1073-1,0)),LEN(CELL("adresse",OFFSET(DMAV_Dienste!$M$6,G1073-1,0)))-FIND("]",CELL("adresse",OFFSET(DMAV_Dienste!$M$6,G1073-1,0)))),"Substructure")),HYPERLINK("#"&amp;RIGHT(CELL("adresse",OFFSET(DMAV_Modell!$N$6,D1073-1,0)),LEN(CELL("adresse",OFFSET(DMAV_Modell!$N$6,D1073-1,0)))-FIND("]",CELL("adresse",OFFSET(DMAV_Modell!$N$6,D1073-1,0)))),"Substructure"))</f>
        <v/>
      </c>
      <c r="R1073" s="80"/>
      <c r="T1073" s="93"/>
      <c r="U1073" s="94"/>
      <c r="V1073" s="95"/>
      <c r="W1073" s="96"/>
      <c r="Y1073" s="85"/>
      <c r="Z1073" s="86"/>
      <c r="AA1073" s="87"/>
      <c r="AB1073" s="88"/>
      <c r="AD1073" s="77"/>
      <c r="AF1073" s="54" t="str" cm="1">
        <f t="array" aca="1" ref="AF1073" ca="1">IF(H1073=0,"",HYPERLINK("#"&amp;RIGHT(CELL("adresse",OFFSET('DM01-AV-CH'!$G$6,H1073-1,0)),LEN(CELL("adresse",OFFSET('DM01-AV-CH'!$G$6,H1073-1,0)))-FIND("]",CELL("adresse",OFFSET('DM01-AV-CH'!$G$6,H1073-1,0)))),"Modell"))</f>
        <v/>
      </c>
      <c r="AG1073" s="72" t="str" cm="1">
        <f t="array" ref="AG1073">IF($H1073=0,"",IF(INDEX('DM01-AV-CH'!G$6:G$834,$H1073)="","",INDEX('DM01-AV-CH'!G$6:G$834,$H1073)))</f>
        <v/>
      </c>
      <c r="AH1073" s="73" t="str" cm="1">
        <f t="array" ref="AH1073">IF($H1073=0,"",IF(INDEX('DM01-AV-CH'!H$6:H$834,$H1073)="","",INDEX('DM01-AV-CH'!H$6:H$834,$H1073)))</f>
        <v/>
      </c>
      <c r="AI1073" s="74" t="str" cm="1">
        <f t="array" ref="AI1073">IF($H1073=0,"",IF(INDEX('DM01-AV-CH'!I$6:I$834,$H1073)="","",INDEX('DM01-AV-CH'!I$6:I$834,$H1073)))</f>
        <v/>
      </c>
    </row>
    <row r="1074" spans="1:35" x14ac:dyDescent="0.25">
      <c r="A1074" s="57">
        <v>1069</v>
      </c>
      <c r="B1074" s="57">
        <f>IF($A1074="","",IF(_xlfn.XLOOKUP($A1074,Korrelation!$D$4:$D$1197,Korrelation!E$4:E$1197,"-",0)="-",0,MATCH(_xlfn.XLOOKUP($A1074,Korrelation!$D$4:$D$1197,Korrelation!E$4:E$1197,"",0),DMAV_Modell!$G$6:$G$677,0)))</f>
        <v>0</v>
      </c>
      <c r="C1074" s="57">
        <f>IF($A1074="","",IF(_xlfn.XLOOKUP($A1074,Korrelation!$D$4:$D$1197,Korrelation!F$4:F$1197,"-",0)="-",0,MATCH(_xlfn.XLOOKUP($A1074,Korrelation!$D$4:$D$1197,Korrelation!F$4:F$1197,"",0),DMAV_Modell!$G$6:$G$677,0)))</f>
        <v>0</v>
      </c>
      <c r="D1074" s="57">
        <f>IF($A1074="","",IF(_xlfn.XLOOKUP($A1074,Korrelation!$D$4:$D$1197,Korrelation!G$4:G$1197,"-",0)="-",0,MATCH(_xlfn.XLOOKUP($A1074,Korrelation!$D$4:$D$1197,Korrelation!G$4:G$1197,"",0),DMAV_Modell!$G$6:$G$677,0)))</f>
        <v>0</v>
      </c>
      <c r="E1074" s="57">
        <f>IF($A1074="","",IF(_xlfn.XLOOKUP($A1074,Korrelation!$D$4:$D$1197,Korrelation!H$4:H$1197,"-",0)="-",0,MATCH(_xlfn.XLOOKUP($A1074,Korrelation!$D$4:$D$1197,Korrelation!H$4:H$1197,"",0),DMAV_Dienste!$F$6:$F$140,0)))</f>
        <v>59</v>
      </c>
      <c r="F1074" s="57">
        <f>IF($A1074="","",IF(_xlfn.XLOOKUP($A1074,Korrelation!$D$4:$D$1197,Korrelation!I$4:I$1197,"-",0)="-",0,MATCH(_xlfn.XLOOKUP($A1074,Korrelation!$D$4:$D$1197,Korrelation!I$4:I$1197,"",0),DMAV_Dienste!$F$6:$F$140,0)))</f>
        <v>0</v>
      </c>
      <c r="G1074" s="57">
        <f>IF($A1074="","",IF(_xlfn.XLOOKUP($A1074,Korrelation!$D$4:$D$1197,Korrelation!J$4:J$1197,"-",0)="-",0,MATCH(_xlfn.XLOOKUP($A1074,Korrelation!$D$4:$D$1197,Korrelation!J$4:J$1197,"",0),DMAV_Dienste!$F$6:$F$140,0)))</f>
        <v>0</v>
      </c>
      <c r="H1074" s="57">
        <f>IF($A1074="","",IF(_xlfn.XLOOKUP($A1074,Korrelation!$D$4:$D$1197,Korrelation!K$4:K$1197,"-",0)="-",0,MATCH(_xlfn.XLOOKUP($A1074,Korrelation!$D$4:$D$1197,Korrelation!K$4:K$1197,"",0),'DM01-AV-CH'!$A$6:$A$834,0)))</f>
        <v>0</v>
      </c>
      <c r="J1074" s="54" t="str" cm="1">
        <f t="array" aca="1" ref="J1074" ca="1">IF(B1074=0,IF(E1074=0,"",HYPERLINK("#"&amp;RIGHT(CELL("adresse",OFFSET(DMAV_Dienste!$M$6,E1074-1,0)),LEN(CELL("adresse",OFFSET(DMAV_Dienste!$M$6,E1074-1,0)))-FIND("]",CELL("adresse",OFFSET(DMAV_Dienste!$M$6,E1074-1,0)))),"Dienst")),HYPERLINK("#"&amp;RIGHT(CELL("adresse",OFFSET(DMAV_Modell!$N$6,B1074-1,0)),LEN(CELL("adresse",OFFSET(DMAV_Modell!$N$6,B1074-1,0)))-FIND("]",CELL("adresse",OFFSET(DMAV_Modell!$N$6,B1074-1,0)))),"Modell"))</f>
        <v>Dienst</v>
      </c>
      <c r="K1074" s="61" t="str" cm="1">
        <f t="array" ref="K1074">IF($B1074=0,IF($E1074=0,"",IF(INDEX(DMAV_Dienste!P$6:P$140,$E1074)="","",INDEX(DMAV_Dienste!P$6:P$140,$E1074))),IF(INDEX(DMAV_Modell!Q$6:Q$838,$B1074)="","",INDEX(DMAV_Modell!Q$6:Q$838,$B1074)))</f>
        <v>CLASS</v>
      </c>
      <c r="L1074" s="62" t="str" cm="1">
        <f t="array" ref="L1074">IF($B1074=0,IF($E1074=0,"",IF(INDEX(DMAV_Dienste!O$6:O$140,$E1074)="","",INDEX(DMAV_Dienste!O$6:O$140,$E1074))),IF(INDEX(DMAV_Modell!P$6:P$838,$B1074)="","",INDEX(DMAV_Modell!P$6:P$838,$B1074)))</f>
        <v>AmtlichesOrtschaftenverzeichnis</v>
      </c>
      <c r="M1074" s="62" t="str" cm="1">
        <f t="array" ref="M1074">IF($B1074=0,IF($E1074=0,"",IF(INDEX(DMAV_Dienste!Q$6:Q$140,$E1074)="","",INDEX(DMAV_Dienste!Q$6:Q$140,$E1074))),IF(INDEX(DMAV_Modell!R$6:R$838,$B1074)="","",INDEX(DMAV_Modell!R$6:R$838,$B1074)))</f>
        <v>Ortschaft</v>
      </c>
      <c r="N1074" s="62" t="str" cm="1">
        <f t="array" ref="N1074">IF($B1074=0,IF($E1074=0,"",IF(INDEX(DMAV_Dienste!T$6:T$140,$E1074)="","",INDEX(DMAV_Dienste!T$6:T$140,$E1074))),IF(INDEX(DMAV_Modell!U$6:U$838,$B1074)="","",INDEX(DMAV_Modell!U$6:U$838,$B1074)))</f>
        <v>LetzteAenderung</v>
      </c>
      <c r="O1074" s="63" t="str" cm="1">
        <f t="array" aca="1" ref="O1074" ca="1">IF(C1074=0,IF(F1074=0,"",HYPERLINK("#"&amp;RIGHT(CELL("adresse",OFFSET(DMAV_Dienste!$M$6,F1074-1,0)),LEN(CELL("adresse",OFFSET(DMAV_Dienste!$M$6,F1074-1,0)))-FIND("]",CELL("adresse",OFFSET(DMAV_Dienste!$M$6,F1074-1,0)))),"Structure")),HYPERLINK("#"&amp;RIGHT(CELL("adresse",OFFSET(DMAV_Modell!$N$6,C1074-1,0)),LEN(CELL("adresse",OFFSET(DMAV_Modell!$N$6,C1074-1,0)))-FIND("]",CELL("adresse",OFFSET(DMAV_Modell!$N$6,C1074-1,0)))),"Structure"))</f>
        <v/>
      </c>
      <c r="P1074" s="64" t="str" cm="1">
        <f t="array" aca="1" ref="P1074" ca="1">IF(D1074=0,IF(G1074=0,"",HYPERLINK("#"&amp;RIGHT(CELL("adresse",OFFSET(DMAV_Dienste!$M$6,G1074-1,0)),LEN(CELL("adresse",OFFSET(DMAV_Dienste!$M$6,G1074-1,0)))-FIND("]",CELL("adresse",OFFSET(DMAV_Dienste!$M$6,G1074-1,0)))),"Substructure")),HYPERLINK("#"&amp;RIGHT(CELL("adresse",OFFSET(DMAV_Modell!$N$6,D1074-1,0)),LEN(CELL("adresse",OFFSET(DMAV_Modell!$N$6,D1074-1,0)))-FIND("]",CELL("adresse",OFFSET(DMAV_Modell!$N$6,D1074-1,0)))),"Substructure"))</f>
        <v/>
      </c>
      <c r="R1074" s="80"/>
      <c r="T1074" s="93"/>
      <c r="U1074" s="94"/>
      <c r="V1074" s="95"/>
      <c r="W1074" s="96"/>
      <c r="Y1074" s="85"/>
      <c r="Z1074" s="86"/>
      <c r="AA1074" s="87"/>
      <c r="AB1074" s="88"/>
      <c r="AD1074" s="77"/>
      <c r="AF1074" s="54" t="str" cm="1">
        <f t="array" aca="1" ref="AF1074" ca="1">IF(H1074=0,"",HYPERLINK("#"&amp;RIGHT(CELL("adresse",OFFSET('DM01-AV-CH'!$G$6,H1074-1,0)),LEN(CELL("adresse",OFFSET('DM01-AV-CH'!$G$6,H1074-1,0)))-FIND("]",CELL("adresse",OFFSET('DM01-AV-CH'!$G$6,H1074-1,0)))),"Modell"))</f>
        <v/>
      </c>
      <c r="AG1074" s="72" t="str" cm="1">
        <f t="array" ref="AG1074">IF($H1074=0,"",IF(INDEX('DM01-AV-CH'!G$6:G$834,$H1074)="","",INDEX('DM01-AV-CH'!G$6:G$834,$H1074)))</f>
        <v/>
      </c>
      <c r="AH1074" s="73" t="str" cm="1">
        <f t="array" ref="AH1074">IF($H1074=0,"",IF(INDEX('DM01-AV-CH'!H$6:H$834,$H1074)="","",INDEX('DM01-AV-CH'!H$6:H$834,$H1074)))</f>
        <v/>
      </c>
      <c r="AI1074" s="74" t="str" cm="1">
        <f t="array" ref="AI1074">IF($H1074=0,"",IF(INDEX('DM01-AV-CH'!I$6:I$834,$H1074)="","",INDEX('DM01-AV-CH'!I$6:I$834,$H1074)))</f>
        <v/>
      </c>
    </row>
    <row r="1075" spans="1:35" ht="28.5" x14ac:dyDescent="0.25">
      <c r="A1075" s="57">
        <v>1070</v>
      </c>
      <c r="B1075" s="57">
        <f>IF($A1075="","",IF(_xlfn.XLOOKUP($A1075,Korrelation!$D$4:$D$1197,Korrelation!E$4:E$1197,"-",0)="-",0,MATCH(_xlfn.XLOOKUP($A1075,Korrelation!$D$4:$D$1197,Korrelation!E$4:E$1197,"",0),DMAV_Modell!$G$6:$G$677,0)))</f>
        <v>0</v>
      </c>
      <c r="C1075" s="57">
        <f>IF($A1075="","",IF(_xlfn.XLOOKUP($A1075,Korrelation!$D$4:$D$1197,Korrelation!F$4:F$1197,"-",0)="-",0,MATCH(_xlfn.XLOOKUP($A1075,Korrelation!$D$4:$D$1197,Korrelation!F$4:F$1197,"",0),DMAV_Modell!$G$6:$G$677,0)))</f>
        <v>0</v>
      </c>
      <c r="D1075" s="57">
        <f>IF($A1075="","",IF(_xlfn.XLOOKUP($A1075,Korrelation!$D$4:$D$1197,Korrelation!G$4:G$1197,"-",0)="-",0,MATCH(_xlfn.XLOOKUP($A1075,Korrelation!$D$4:$D$1197,Korrelation!G$4:G$1197,"",0),DMAV_Modell!$G$6:$G$677,0)))</f>
        <v>0</v>
      </c>
      <c r="E1075" s="57">
        <f>IF($A1075="","",IF(_xlfn.XLOOKUP($A1075,Korrelation!$D$4:$D$1197,Korrelation!H$4:H$1197,"-",0)="-",0,MATCH(_xlfn.XLOOKUP($A1075,Korrelation!$D$4:$D$1197,Korrelation!H$4:H$1197,"",0),DMAV_Dienste!$F$6:$F$140,0)))</f>
        <v>60</v>
      </c>
      <c r="F1075" s="57">
        <f>IF($A1075="","",IF(_xlfn.XLOOKUP($A1075,Korrelation!$D$4:$D$1197,Korrelation!I$4:I$1197,"-",0)="-",0,MATCH(_xlfn.XLOOKUP($A1075,Korrelation!$D$4:$D$1197,Korrelation!I$4:I$1197,"",0),DMAV_Dienste!$F$6:$F$140,0)))</f>
        <v>0</v>
      </c>
      <c r="G1075" s="57">
        <f>IF($A1075="","",IF(_xlfn.XLOOKUP($A1075,Korrelation!$D$4:$D$1197,Korrelation!J$4:J$1197,"-",0)="-",0,MATCH(_xlfn.XLOOKUP($A1075,Korrelation!$D$4:$D$1197,Korrelation!J$4:J$1197,"",0),DMAV_Dienste!$F$6:$F$140,0)))</f>
        <v>0</v>
      </c>
      <c r="H1075" s="57">
        <f>IF($A1075="","",IF(_xlfn.XLOOKUP($A1075,Korrelation!$D$4:$D$1197,Korrelation!K$4:K$1197,"-",0)="-",0,MATCH(_xlfn.XLOOKUP($A1075,Korrelation!$D$4:$D$1197,Korrelation!K$4:K$1197,"",0),'DM01-AV-CH'!$A$6:$A$834,0)))</f>
        <v>673</v>
      </c>
      <c r="J1075" s="54" t="str" cm="1">
        <f t="array" aca="1" ref="J1075" ca="1">IF(B1075=0,IF(E1075=0,"",HYPERLINK("#"&amp;RIGHT(CELL("adresse",OFFSET(DMAV_Dienste!$M$6,E1075-1,0)),LEN(CELL("adresse",OFFSET(DMAV_Dienste!$M$6,E1075-1,0)))-FIND("]",CELL("adresse",OFFSET(DMAV_Dienste!$M$6,E1075-1,0)))),"Dienst")),HYPERLINK("#"&amp;RIGHT(CELL("adresse",OFFSET(DMAV_Modell!$N$6,B1075-1,0)),LEN(CELL("adresse",OFFSET(DMAV_Modell!$N$6,B1075-1,0)))-FIND("]",CELL("adresse",OFFSET(DMAV_Modell!$N$6,B1075-1,0)))),"Modell"))</f>
        <v>Dienst</v>
      </c>
      <c r="K1075" s="61" t="str" cm="1">
        <f t="array" ref="K1075">IF($B1075=0,IF($E1075=0,"",IF(INDEX(DMAV_Dienste!P$6:P$140,$E1075)="","",INDEX(DMAV_Dienste!P$6:P$140,$E1075))),IF(INDEX(DMAV_Modell!Q$6:Q$838,$B1075)="","",INDEX(DMAV_Modell!Q$6:Q$838,$B1075)))</f>
        <v>CLASS</v>
      </c>
      <c r="L1075" s="62" t="str" cm="1">
        <f t="array" ref="L1075">IF($B1075=0,IF($E1075=0,"",IF(INDEX(DMAV_Dienste!O$6:O$140,$E1075)="","",INDEX(DMAV_Dienste!O$6:O$140,$E1075))),IF(INDEX(DMAV_Modell!P$6:P$838,$B1075)="","",INDEX(DMAV_Modell!P$6:P$838,$B1075)))</f>
        <v>AmtlichesOrtschaftenverzeichnis</v>
      </c>
      <c r="M1075" s="62" t="str" cm="1">
        <f t="array" ref="M1075">IF($B1075=0,IF($E1075=0,"",IF(INDEX(DMAV_Dienste!Q$6:Q$140,$E1075)="","",INDEX(DMAV_Dienste!Q$6:Q$140,$E1075))),IF(INDEX(DMAV_Modell!R$6:R$838,$B1075)="","",INDEX(DMAV_Modell!R$6:R$838,$B1075)))</f>
        <v>Ortschaft</v>
      </c>
      <c r="N1075" s="62" t="str" cm="1">
        <f t="array" ref="N1075">IF($B1075=0,IF($E1075=0,"",IF(INDEX(DMAV_Dienste!T$6:T$140,$E1075)="","",INDEX(DMAV_Dienste!T$6:T$140,$E1075))),IF(INDEX(DMAV_Modell!U$6:U$838,$B1075)="","",INDEX(DMAV_Modell!U$6:U$838,$B1075)))</f>
        <v>Geometrie</v>
      </c>
      <c r="O1075" s="63" t="str" cm="1">
        <f t="array" aca="1" ref="O1075" ca="1">IF(C1075=0,IF(F1075=0,"",HYPERLINK("#"&amp;RIGHT(CELL("adresse",OFFSET(DMAV_Dienste!$M$6,F1075-1,0)),LEN(CELL("adresse",OFFSET(DMAV_Dienste!$M$6,F1075-1,0)))-FIND("]",CELL("adresse",OFFSET(DMAV_Dienste!$M$6,F1075-1,0)))),"Structure")),HYPERLINK("#"&amp;RIGHT(CELL("adresse",OFFSET(DMAV_Modell!$N$6,C1075-1,0)),LEN(CELL("adresse",OFFSET(DMAV_Modell!$N$6,C1075-1,0)))-FIND("]",CELL("adresse",OFFSET(DMAV_Modell!$N$6,C1075-1,0)))),"Structure"))</f>
        <v/>
      </c>
      <c r="P1075" s="64" t="str" cm="1">
        <f t="array" aca="1" ref="P1075" ca="1">IF(D1075=0,IF(G1075=0,"",HYPERLINK("#"&amp;RIGHT(CELL("adresse",OFFSET(DMAV_Dienste!$M$6,G1075-1,0)),LEN(CELL("adresse",OFFSET(DMAV_Dienste!$M$6,G1075-1,0)))-FIND("]",CELL("adresse",OFFSET(DMAV_Dienste!$M$6,G1075-1,0)))),"Substructure")),HYPERLINK("#"&amp;RIGHT(CELL("adresse",OFFSET(DMAV_Modell!$N$6,D1075-1,0)),LEN(CELL("adresse",OFFSET(DMAV_Modell!$N$6,D1075-1,0)))-FIND("]",CELL("adresse",OFFSET(DMAV_Modell!$N$6,D1075-1,0)))),"Substructure"))</f>
        <v/>
      </c>
      <c r="R1075" s="80"/>
      <c r="T1075" s="93"/>
      <c r="U1075" s="94"/>
      <c r="V1075" s="95"/>
      <c r="W1075" s="96"/>
      <c r="Y1075" s="85"/>
      <c r="Z1075" s="86"/>
      <c r="AA1075" s="87"/>
      <c r="AB1075" s="88"/>
      <c r="AD1075" s="77" t="s">
        <v>3250</v>
      </c>
      <c r="AF1075" s="54" t="str" cm="1">
        <f t="array" aca="1" ref="AF1075" ca="1">IF(H1075=0,"",HYPERLINK("#"&amp;RIGHT(CELL("adresse",OFFSET('DM01-AV-CH'!$G$6,H1075-1,0)),LEN(CELL("adresse",OFFSET('DM01-AV-CH'!$G$6,H1075-1,0)))-FIND("]",CELL("adresse",OFFSET('DM01-AV-CH'!$G$6,H1075-1,0)))),"Modell"))</f>
        <v>Modell</v>
      </c>
      <c r="AG1075" s="72" t="str" cm="1">
        <f t="array" ref="AG1075">IF($H1075=0,"",IF(INDEX('DM01-AV-CH'!G$6:G$834,$H1075)="","",INDEX('DM01-AV-CH'!G$6:G$834,$H1075)))</f>
        <v>PLZOrtschaft</v>
      </c>
      <c r="AH1075" s="73" t="str" cm="1">
        <f t="array" ref="AH1075">IF($H1075=0,"",IF(INDEX('DM01-AV-CH'!H$6:H$834,$H1075)="","",INDEX('DM01-AV-CH'!H$6:H$834,$H1075)))</f>
        <v>Ortschaft</v>
      </c>
      <c r="AI1075" s="74" t="str" cm="1">
        <f t="array" ref="AI1075">IF($H1075=0,"",IF(INDEX('DM01-AV-CH'!I$6:I$834,$H1075)="","",INDEX('DM01-AV-CH'!I$6:I$834,$H1075)))</f>
        <v>Flaeche</v>
      </c>
    </row>
    <row r="1076" spans="1:35" x14ac:dyDescent="0.25">
      <c r="A1076" s="57">
        <v>1071</v>
      </c>
      <c r="B1076" s="57">
        <f>IF($A1076="","",IF(_xlfn.XLOOKUP($A1076,Korrelation!$D$4:$D$1197,Korrelation!E$4:E$1197,"-",0)="-",0,MATCH(_xlfn.XLOOKUP($A1076,Korrelation!$D$4:$D$1197,Korrelation!E$4:E$1197,"",0),DMAV_Modell!$G$6:$G$677,0)))</f>
        <v>0</v>
      </c>
      <c r="C1076" s="57">
        <f>IF($A1076="","",IF(_xlfn.XLOOKUP($A1076,Korrelation!$D$4:$D$1197,Korrelation!F$4:F$1197,"-",0)="-",0,MATCH(_xlfn.XLOOKUP($A1076,Korrelation!$D$4:$D$1197,Korrelation!F$4:F$1197,"",0),DMAV_Modell!$G$6:$G$677,0)))</f>
        <v>0</v>
      </c>
      <c r="D1076" s="57">
        <f>IF($A1076="","",IF(_xlfn.XLOOKUP($A1076,Korrelation!$D$4:$D$1197,Korrelation!G$4:G$1197,"-",0)="-",0,MATCH(_xlfn.XLOOKUP($A1076,Korrelation!$D$4:$D$1197,Korrelation!G$4:G$1197,"",0),DMAV_Modell!$G$6:$G$677,0)))</f>
        <v>0</v>
      </c>
      <c r="E1076" s="57">
        <f>IF($A1076="","",IF(_xlfn.XLOOKUP($A1076,Korrelation!$D$4:$D$1197,Korrelation!H$4:H$1197,"-",0)="-",0,MATCH(_xlfn.XLOOKUP($A1076,Korrelation!$D$4:$D$1197,Korrelation!H$4:H$1197,"",0),DMAV_Dienste!$F$6:$F$140,0)))</f>
        <v>61</v>
      </c>
      <c r="F1076" s="57">
        <f>IF($A1076="","",IF(_xlfn.XLOOKUP($A1076,Korrelation!$D$4:$D$1197,Korrelation!I$4:I$1197,"-",0)="-",0,MATCH(_xlfn.XLOOKUP($A1076,Korrelation!$D$4:$D$1197,Korrelation!I$4:I$1197,"",0),DMAV_Dienste!$F$6:$F$140,0)))</f>
        <v>0</v>
      </c>
      <c r="G1076" s="57">
        <f>IF($A1076="","",IF(_xlfn.XLOOKUP($A1076,Korrelation!$D$4:$D$1197,Korrelation!J$4:J$1197,"-",0)="-",0,MATCH(_xlfn.XLOOKUP($A1076,Korrelation!$D$4:$D$1197,Korrelation!J$4:J$1197,"",0),DMAV_Dienste!$F$6:$F$140,0)))</f>
        <v>0</v>
      </c>
      <c r="H1076" s="57">
        <f>IF($A1076="","",IF(_xlfn.XLOOKUP($A1076,Korrelation!$D$4:$D$1197,Korrelation!K$4:K$1197,"-",0)="-",0,MATCH(_xlfn.XLOOKUP($A1076,Korrelation!$D$4:$D$1197,Korrelation!K$4:K$1197,"",0),'DM01-AV-CH'!$A$6:$A$834,0)))</f>
        <v>0</v>
      </c>
      <c r="J1076" s="54" t="str" cm="1">
        <f t="array" aca="1" ref="J1076" ca="1">IF(B1076=0,IF(E1076=0,"",HYPERLINK("#"&amp;RIGHT(CELL("adresse",OFFSET(DMAV_Dienste!$M$6,E1076-1,0)),LEN(CELL("adresse",OFFSET(DMAV_Dienste!$M$6,E1076-1,0)))-FIND("]",CELL("adresse",OFFSET(DMAV_Dienste!$M$6,E1076-1,0)))),"Dienst")),HYPERLINK("#"&amp;RIGHT(CELL("adresse",OFFSET(DMAV_Modell!$N$6,B1076-1,0)),LEN(CELL("adresse",OFFSET(DMAV_Modell!$N$6,B1076-1,0)))-FIND("]",CELL("adresse",OFFSET(DMAV_Modell!$N$6,B1076-1,0)))),"Modell"))</f>
        <v>Dienst</v>
      </c>
      <c r="K1076" s="61" t="str" cm="1">
        <f t="array" ref="K1076">IF($B1076=0,IF($E1076=0,"",IF(INDEX(DMAV_Dienste!P$6:P$140,$E1076)="","",INDEX(DMAV_Dienste!P$6:P$140,$E1076))),IF(INDEX(DMAV_Modell!Q$6:Q$838,$B1076)="","",INDEX(DMAV_Modell!Q$6:Q$838,$B1076)))</f>
        <v>CLASS</v>
      </c>
      <c r="L1076" s="62" t="str" cm="1">
        <f t="array" ref="L1076">IF($B1076=0,IF($E1076=0,"",IF(INDEX(DMAV_Dienste!O$6:O$140,$E1076)="","",INDEX(DMAV_Dienste!O$6:O$140,$E1076))),IF(INDEX(DMAV_Modell!P$6:P$838,$B1076)="","",INDEX(DMAV_Modell!P$6:P$838,$B1076)))</f>
        <v>AmtlichesOrtschaftenverzeichnis</v>
      </c>
      <c r="M1076" s="62" t="str" cm="1">
        <f t="array" ref="M1076">IF($B1076=0,IF($E1076=0,"",IF(INDEX(DMAV_Dienste!Q$6:Q$140,$E1076)="","",INDEX(DMAV_Dienste!Q$6:Q$140,$E1076))),IF(INDEX(DMAV_Modell!R$6:R$838,$B1076)="","",INDEX(DMAV_Modell!R$6:R$838,$B1076)))</f>
        <v>PLZ</v>
      </c>
      <c r="N1076" s="62" t="str" cm="1">
        <f t="array" ref="N1076">IF($B1076=0,IF($E1076=0,"",IF(INDEX(DMAV_Dienste!T$6:T$140,$E1076)="","",INDEX(DMAV_Dienste!T$6:T$140,$E1076))),IF(INDEX(DMAV_Modell!U$6:U$838,$B1076)="","",INDEX(DMAV_Modell!U$6:U$838,$B1076)))</f>
        <v>PLZ_ID</v>
      </c>
      <c r="O1076" s="63" t="str" cm="1">
        <f t="array" aca="1" ref="O1076" ca="1">IF(C1076=0,IF(F1076=0,"",HYPERLINK("#"&amp;RIGHT(CELL("adresse",OFFSET(DMAV_Dienste!$M$6,F1076-1,0)),LEN(CELL("adresse",OFFSET(DMAV_Dienste!$M$6,F1076-1,0)))-FIND("]",CELL("adresse",OFFSET(DMAV_Dienste!$M$6,F1076-1,0)))),"Structure")),HYPERLINK("#"&amp;RIGHT(CELL("adresse",OFFSET(DMAV_Modell!$N$6,C1076-1,0)),LEN(CELL("adresse",OFFSET(DMAV_Modell!$N$6,C1076-1,0)))-FIND("]",CELL("adresse",OFFSET(DMAV_Modell!$N$6,C1076-1,0)))),"Structure"))</f>
        <v/>
      </c>
      <c r="P1076" s="64" t="str" cm="1">
        <f t="array" aca="1" ref="P1076" ca="1">IF(D1076=0,IF(G1076=0,"",HYPERLINK("#"&amp;RIGHT(CELL("adresse",OFFSET(DMAV_Dienste!$M$6,G1076-1,0)),LEN(CELL("adresse",OFFSET(DMAV_Dienste!$M$6,G1076-1,0)))-FIND("]",CELL("adresse",OFFSET(DMAV_Dienste!$M$6,G1076-1,0)))),"Substructure")),HYPERLINK("#"&amp;RIGHT(CELL("adresse",OFFSET(DMAV_Modell!$N$6,D1076-1,0)),LEN(CELL("adresse",OFFSET(DMAV_Modell!$N$6,D1076-1,0)))-FIND("]",CELL("adresse",OFFSET(DMAV_Modell!$N$6,D1076-1,0)))),"Substructure"))</f>
        <v/>
      </c>
      <c r="R1076" s="80"/>
      <c r="T1076" s="93"/>
      <c r="U1076" s="94"/>
      <c r="V1076" s="95"/>
      <c r="W1076" s="96"/>
      <c r="Y1076" s="85"/>
      <c r="Z1076" s="86"/>
      <c r="AA1076" s="87"/>
      <c r="AB1076" s="88"/>
      <c r="AD1076" s="77"/>
      <c r="AF1076" s="54" t="str" cm="1">
        <f t="array" aca="1" ref="AF1076" ca="1">IF(H1076=0,"",HYPERLINK("#"&amp;RIGHT(CELL("adresse",OFFSET('DM01-AV-CH'!$G$6,H1076-1,0)),LEN(CELL("adresse",OFFSET('DM01-AV-CH'!$G$6,H1076-1,0)))-FIND("]",CELL("adresse",OFFSET('DM01-AV-CH'!$G$6,H1076-1,0)))),"Modell"))</f>
        <v/>
      </c>
      <c r="AG1076" s="72" t="str" cm="1">
        <f t="array" ref="AG1076">IF($H1076=0,"",IF(INDEX('DM01-AV-CH'!G$6:G$834,$H1076)="","",INDEX('DM01-AV-CH'!G$6:G$834,$H1076)))</f>
        <v/>
      </c>
      <c r="AH1076" s="73" t="str" cm="1">
        <f t="array" ref="AH1076">IF($H1076=0,"",IF(INDEX('DM01-AV-CH'!H$6:H$834,$H1076)="","",INDEX('DM01-AV-CH'!H$6:H$834,$H1076)))</f>
        <v/>
      </c>
      <c r="AI1076" s="74" t="str" cm="1">
        <f t="array" ref="AI1076">IF($H1076=0,"",IF(INDEX('DM01-AV-CH'!I$6:I$834,$H1076)="","",INDEX('DM01-AV-CH'!I$6:I$834,$H1076)))</f>
        <v/>
      </c>
    </row>
    <row r="1077" spans="1:35" ht="28.5" x14ac:dyDescent="0.25">
      <c r="A1077" s="57">
        <v>1072</v>
      </c>
      <c r="B1077" s="57">
        <f>IF($A1077="","",IF(_xlfn.XLOOKUP($A1077,Korrelation!$D$4:$D$1197,Korrelation!E$4:E$1197,"-",0)="-",0,MATCH(_xlfn.XLOOKUP($A1077,Korrelation!$D$4:$D$1197,Korrelation!E$4:E$1197,"",0),DMAV_Modell!$G$6:$G$677,0)))</f>
        <v>0</v>
      </c>
      <c r="C1077" s="57">
        <f>IF($A1077="","",IF(_xlfn.XLOOKUP($A1077,Korrelation!$D$4:$D$1197,Korrelation!F$4:F$1197,"-",0)="-",0,MATCH(_xlfn.XLOOKUP($A1077,Korrelation!$D$4:$D$1197,Korrelation!F$4:F$1197,"",0),DMAV_Modell!$G$6:$G$677,0)))</f>
        <v>0</v>
      </c>
      <c r="D1077" s="57">
        <f>IF($A1077="","",IF(_xlfn.XLOOKUP($A1077,Korrelation!$D$4:$D$1197,Korrelation!G$4:G$1197,"-",0)="-",0,MATCH(_xlfn.XLOOKUP($A1077,Korrelation!$D$4:$D$1197,Korrelation!G$4:G$1197,"",0),DMAV_Modell!$G$6:$G$677,0)))</f>
        <v>0</v>
      </c>
      <c r="E1077" s="57">
        <f>IF($A1077="","",IF(_xlfn.XLOOKUP($A1077,Korrelation!$D$4:$D$1197,Korrelation!H$4:H$1197,"-",0)="-",0,MATCH(_xlfn.XLOOKUP($A1077,Korrelation!$D$4:$D$1197,Korrelation!H$4:H$1197,"",0),DMAV_Dienste!$F$6:$F$140,0)))</f>
        <v>0</v>
      </c>
      <c r="F1077" s="57">
        <f>IF($A1077="","",IF(_xlfn.XLOOKUP($A1077,Korrelation!$D$4:$D$1197,Korrelation!I$4:I$1197,"-",0)="-",0,MATCH(_xlfn.XLOOKUP($A1077,Korrelation!$D$4:$D$1197,Korrelation!I$4:I$1197,"",0),DMAV_Dienste!$F$6:$F$140,0)))</f>
        <v>0</v>
      </c>
      <c r="G1077" s="57">
        <f>IF($A1077="","",IF(_xlfn.XLOOKUP($A1077,Korrelation!$D$4:$D$1197,Korrelation!J$4:J$1197,"-",0)="-",0,MATCH(_xlfn.XLOOKUP($A1077,Korrelation!$D$4:$D$1197,Korrelation!J$4:J$1197,"",0),DMAV_Dienste!$F$6:$F$140,0)))</f>
        <v>0</v>
      </c>
      <c r="H1077" s="57">
        <f>IF($A1077="","",IF(_xlfn.XLOOKUP($A1077,Korrelation!$D$4:$D$1197,Korrelation!K$4:K$1197,"-",0)="-",0,MATCH(_xlfn.XLOOKUP($A1077,Korrelation!$D$4:$D$1197,Korrelation!K$4:K$1197,"",0),'DM01-AV-CH'!$A$6:$A$834,0)))</f>
        <v>679</v>
      </c>
      <c r="J1077" s="54" t="str" cm="1">
        <f t="array" aca="1" ref="J1077" ca="1">IF(B1077=0,IF(E1077=0,"",HYPERLINK("#"&amp;RIGHT(CELL("adresse",OFFSET(DMAV_Dienste!$M$6,E1077-1,0)),LEN(CELL("adresse",OFFSET(DMAV_Dienste!$M$6,E1077-1,0)))-FIND("]",CELL("adresse",OFFSET(DMAV_Dienste!$M$6,E1077-1,0)))),"Dienst")),HYPERLINK("#"&amp;RIGHT(CELL("adresse",OFFSET(DMAV_Modell!$N$6,B1077-1,0)),LEN(CELL("adresse",OFFSET(DMAV_Modell!$N$6,B1077-1,0)))-FIND("]",CELL("adresse",OFFSET(DMAV_Modell!$N$6,B1077-1,0)))),"Modell"))</f>
        <v/>
      </c>
      <c r="K1077" s="61" t="str" cm="1">
        <f t="array" ref="K1077">IF($B1077=0,IF($E1077=0,"",IF(INDEX(DMAV_Dienste!P$6:P$140,$E1077)="","",INDEX(DMAV_Dienste!P$6:P$140,$E1077))),IF(INDEX(DMAV_Modell!Q$6:Q$838,$B1077)="","",INDEX(DMAV_Modell!Q$6:Q$838,$B1077)))</f>
        <v/>
      </c>
      <c r="L1077" s="62" t="str" cm="1">
        <f t="array" ref="L1077">IF($B1077=0,IF($E1077=0,"",IF(INDEX(DMAV_Dienste!O$6:O$140,$E1077)="","",INDEX(DMAV_Dienste!O$6:O$140,$E1077))),IF(INDEX(DMAV_Modell!P$6:P$838,$B1077)="","",INDEX(DMAV_Modell!P$6:P$838,$B1077)))</f>
        <v/>
      </c>
      <c r="M1077" s="62" t="str" cm="1">
        <f t="array" ref="M1077">IF($B1077=0,IF($E1077=0,"",IF(INDEX(DMAV_Dienste!Q$6:Q$140,$E1077)="","",INDEX(DMAV_Dienste!Q$6:Q$140,$E1077))),IF(INDEX(DMAV_Modell!R$6:R$838,$B1077)="","",INDEX(DMAV_Modell!R$6:R$838,$B1077)))</f>
        <v/>
      </c>
      <c r="N1077" s="62" t="str" cm="1">
        <f t="array" ref="N1077">IF($B1077=0,IF($E1077=0,"",IF(INDEX(DMAV_Dienste!T$6:T$140,$E1077)="","",INDEX(DMAV_Dienste!T$6:T$140,$E1077))),IF(INDEX(DMAV_Modell!U$6:U$838,$B1077)="","",INDEX(DMAV_Modell!U$6:U$838,$B1077)))</f>
        <v/>
      </c>
      <c r="O1077" s="63" t="str" cm="1">
        <f t="array" aca="1" ref="O1077" ca="1">IF(C1077=0,IF(F1077=0,"",HYPERLINK("#"&amp;RIGHT(CELL("adresse",OFFSET(DMAV_Dienste!$M$6,F1077-1,0)),LEN(CELL("adresse",OFFSET(DMAV_Dienste!$M$6,F1077-1,0)))-FIND("]",CELL("adresse",OFFSET(DMAV_Dienste!$M$6,F1077-1,0)))),"Structure")),HYPERLINK("#"&amp;RIGHT(CELL("adresse",OFFSET(DMAV_Modell!$N$6,C1077-1,0)),LEN(CELL("adresse",OFFSET(DMAV_Modell!$N$6,C1077-1,0)))-FIND("]",CELL("adresse",OFFSET(DMAV_Modell!$N$6,C1077-1,0)))),"Structure"))</f>
        <v/>
      </c>
      <c r="P1077" s="64" t="str" cm="1">
        <f t="array" aca="1" ref="P1077" ca="1">IF(D1077=0,IF(G1077=0,"",HYPERLINK("#"&amp;RIGHT(CELL("adresse",OFFSET(DMAV_Dienste!$M$6,G1077-1,0)),LEN(CELL("adresse",OFFSET(DMAV_Dienste!$M$6,G1077-1,0)))-FIND("]",CELL("adresse",OFFSET(DMAV_Dienste!$M$6,G1077-1,0)))),"Substructure")),HYPERLINK("#"&amp;RIGHT(CELL("adresse",OFFSET(DMAV_Modell!$N$6,D1077-1,0)),LEN(CELL("adresse",OFFSET(DMAV_Modell!$N$6,D1077-1,0)))-FIND("]",CELL("adresse",OFFSET(DMAV_Modell!$N$6,D1077-1,0)))),"Substructure"))</f>
        <v/>
      </c>
      <c r="R1077" s="80"/>
      <c r="T1077" s="93"/>
      <c r="U1077" s="94"/>
      <c r="V1077" s="95"/>
      <c r="W1077" s="96"/>
      <c r="Y1077" s="85"/>
      <c r="Z1077" s="86"/>
      <c r="AA1077" s="87"/>
      <c r="AB1077" s="88"/>
      <c r="AD1077" s="77"/>
      <c r="AF1077" s="54" t="str" cm="1">
        <f t="array" aca="1" ref="AF1077" ca="1">IF(H1077=0,"",HYPERLINK("#"&amp;RIGHT(CELL("adresse",OFFSET('DM01-AV-CH'!$G$6,H1077-1,0)),LEN(CELL("adresse",OFFSET('DM01-AV-CH'!$G$6,H1077-1,0)))-FIND("]",CELL("adresse",OFFSET('DM01-AV-CH'!$G$6,H1077-1,0)))),"Modell"))</f>
        <v>Modell</v>
      </c>
      <c r="AG1077" s="72" t="str" cm="1">
        <f t="array" ref="AG1077">IF($H1077=0,"",IF(INDEX('DM01-AV-CH'!G$6:G$834,$H1077)="","",INDEX('DM01-AV-CH'!G$6:G$834,$H1077)))</f>
        <v>PLZOrtschaft</v>
      </c>
      <c r="AH1077" s="73" t="str" cm="1">
        <f t="array" ref="AH1077">IF($H1077=0,"",IF(INDEX('DM01-AV-CH'!H$6:H$834,$H1077)="","",INDEX('DM01-AV-CH'!H$6:H$834,$H1077)))</f>
        <v>OrtschaftsName_Pos</v>
      </c>
      <c r="AI1077" s="74" t="str" cm="1">
        <f t="array" ref="AI1077">IF($H1077=0,"",IF(INDEX('DM01-AV-CH'!I$6:I$834,$H1077)="","",INDEX('DM01-AV-CH'!I$6:I$834,$H1077)))</f>
        <v>OrtschaftsName_Pos_von</v>
      </c>
    </row>
    <row r="1078" spans="1:35" x14ac:dyDescent="0.25">
      <c r="A1078" s="57">
        <v>1073</v>
      </c>
      <c r="B1078" s="57">
        <f>IF($A1078="","",IF(_xlfn.XLOOKUP($A1078,Korrelation!$D$4:$D$1197,Korrelation!E$4:E$1197,"-",0)="-",0,MATCH(_xlfn.XLOOKUP($A1078,Korrelation!$D$4:$D$1197,Korrelation!E$4:E$1197,"",0),DMAV_Modell!$G$6:$G$677,0)))</f>
        <v>0</v>
      </c>
      <c r="C1078" s="57">
        <f>IF($A1078="","",IF(_xlfn.XLOOKUP($A1078,Korrelation!$D$4:$D$1197,Korrelation!F$4:F$1197,"-",0)="-",0,MATCH(_xlfn.XLOOKUP($A1078,Korrelation!$D$4:$D$1197,Korrelation!F$4:F$1197,"",0),DMAV_Modell!$G$6:$G$677,0)))</f>
        <v>0</v>
      </c>
      <c r="D1078" s="57">
        <f>IF($A1078="","",IF(_xlfn.XLOOKUP($A1078,Korrelation!$D$4:$D$1197,Korrelation!G$4:G$1197,"-",0)="-",0,MATCH(_xlfn.XLOOKUP($A1078,Korrelation!$D$4:$D$1197,Korrelation!G$4:G$1197,"",0),DMAV_Modell!$G$6:$G$677,0)))</f>
        <v>0</v>
      </c>
      <c r="E1078" s="57">
        <f>IF($A1078="","",IF(_xlfn.XLOOKUP($A1078,Korrelation!$D$4:$D$1197,Korrelation!H$4:H$1197,"-",0)="-",0,MATCH(_xlfn.XLOOKUP($A1078,Korrelation!$D$4:$D$1197,Korrelation!H$4:H$1197,"",0),DMAV_Dienste!$F$6:$F$140,0)))</f>
        <v>0</v>
      </c>
      <c r="F1078" s="57">
        <f>IF($A1078="","",IF(_xlfn.XLOOKUP($A1078,Korrelation!$D$4:$D$1197,Korrelation!I$4:I$1197,"-",0)="-",0,MATCH(_xlfn.XLOOKUP($A1078,Korrelation!$D$4:$D$1197,Korrelation!I$4:I$1197,"",0),DMAV_Dienste!$F$6:$F$140,0)))</f>
        <v>0</v>
      </c>
      <c r="G1078" s="57">
        <f>IF($A1078="","",IF(_xlfn.XLOOKUP($A1078,Korrelation!$D$4:$D$1197,Korrelation!J$4:J$1197,"-",0)="-",0,MATCH(_xlfn.XLOOKUP($A1078,Korrelation!$D$4:$D$1197,Korrelation!J$4:J$1197,"",0),DMAV_Dienste!$F$6:$F$140,0)))</f>
        <v>0</v>
      </c>
      <c r="H1078" s="57">
        <f>IF($A1078="","",IF(_xlfn.XLOOKUP($A1078,Korrelation!$D$4:$D$1197,Korrelation!K$4:K$1197,"-",0)="-",0,MATCH(_xlfn.XLOOKUP($A1078,Korrelation!$D$4:$D$1197,Korrelation!K$4:K$1197,"",0),'DM01-AV-CH'!$A$6:$A$834,0)))</f>
        <v>680</v>
      </c>
      <c r="J1078" s="54" t="str" cm="1">
        <f t="array" aca="1" ref="J1078" ca="1">IF(B1078=0,IF(E1078=0,"",HYPERLINK("#"&amp;RIGHT(CELL("adresse",OFFSET(DMAV_Dienste!$M$6,E1078-1,0)),LEN(CELL("adresse",OFFSET(DMAV_Dienste!$M$6,E1078-1,0)))-FIND("]",CELL("adresse",OFFSET(DMAV_Dienste!$M$6,E1078-1,0)))),"Dienst")),HYPERLINK("#"&amp;RIGHT(CELL("adresse",OFFSET(DMAV_Modell!$N$6,B1078-1,0)),LEN(CELL("adresse",OFFSET(DMAV_Modell!$N$6,B1078-1,0)))-FIND("]",CELL("adresse",OFFSET(DMAV_Modell!$N$6,B1078-1,0)))),"Modell"))</f>
        <v/>
      </c>
      <c r="K1078" s="61" t="str" cm="1">
        <f t="array" ref="K1078">IF($B1078=0,IF($E1078=0,"",IF(INDEX(DMAV_Dienste!P$6:P$140,$E1078)="","",INDEX(DMAV_Dienste!P$6:P$140,$E1078))),IF(INDEX(DMAV_Modell!Q$6:Q$838,$B1078)="","",INDEX(DMAV_Modell!Q$6:Q$838,$B1078)))</f>
        <v/>
      </c>
      <c r="L1078" s="62" t="str" cm="1">
        <f t="array" ref="L1078">IF($B1078=0,IF($E1078=0,"",IF(INDEX(DMAV_Dienste!O$6:O$140,$E1078)="","",INDEX(DMAV_Dienste!O$6:O$140,$E1078))),IF(INDEX(DMAV_Modell!P$6:P$838,$B1078)="","",INDEX(DMAV_Modell!P$6:P$838,$B1078)))</f>
        <v/>
      </c>
      <c r="M1078" s="62" t="str" cm="1">
        <f t="array" ref="M1078">IF($B1078=0,IF($E1078=0,"",IF(INDEX(DMAV_Dienste!Q$6:Q$140,$E1078)="","",INDEX(DMAV_Dienste!Q$6:Q$140,$E1078))),IF(INDEX(DMAV_Modell!R$6:R$838,$B1078)="","",INDEX(DMAV_Modell!R$6:R$838,$B1078)))</f>
        <v/>
      </c>
      <c r="N1078" s="62" t="str" cm="1">
        <f t="array" ref="N1078">IF($B1078=0,IF($E1078=0,"",IF(INDEX(DMAV_Dienste!T$6:T$140,$E1078)="","",INDEX(DMAV_Dienste!T$6:T$140,$E1078))),IF(INDEX(DMAV_Modell!U$6:U$838,$B1078)="","",INDEX(DMAV_Modell!U$6:U$838,$B1078)))</f>
        <v/>
      </c>
      <c r="O1078" s="63" t="str" cm="1">
        <f t="array" aca="1" ref="O1078" ca="1">IF(C1078=0,IF(F1078=0,"",HYPERLINK("#"&amp;RIGHT(CELL("adresse",OFFSET(DMAV_Dienste!$M$6,F1078-1,0)),LEN(CELL("adresse",OFFSET(DMAV_Dienste!$M$6,F1078-1,0)))-FIND("]",CELL("adresse",OFFSET(DMAV_Dienste!$M$6,F1078-1,0)))),"Structure")),HYPERLINK("#"&amp;RIGHT(CELL("adresse",OFFSET(DMAV_Modell!$N$6,C1078-1,0)),LEN(CELL("adresse",OFFSET(DMAV_Modell!$N$6,C1078-1,0)))-FIND("]",CELL("adresse",OFFSET(DMAV_Modell!$N$6,C1078-1,0)))),"Structure"))</f>
        <v/>
      </c>
      <c r="P1078" s="64" t="str" cm="1">
        <f t="array" aca="1" ref="P1078" ca="1">IF(D1078=0,IF(G1078=0,"",HYPERLINK("#"&amp;RIGHT(CELL("adresse",OFFSET(DMAV_Dienste!$M$6,G1078-1,0)),LEN(CELL("adresse",OFFSET(DMAV_Dienste!$M$6,G1078-1,0)))-FIND("]",CELL("adresse",OFFSET(DMAV_Dienste!$M$6,G1078-1,0)))),"Substructure")),HYPERLINK("#"&amp;RIGHT(CELL("adresse",OFFSET(DMAV_Modell!$N$6,D1078-1,0)),LEN(CELL("adresse",OFFSET(DMAV_Modell!$N$6,D1078-1,0)))-FIND("]",CELL("adresse",OFFSET(DMAV_Modell!$N$6,D1078-1,0)))),"Substructure"))</f>
        <v/>
      </c>
      <c r="R1078" s="80"/>
      <c r="T1078" s="93"/>
      <c r="U1078" s="94"/>
      <c r="V1078" s="95"/>
      <c r="W1078" s="96"/>
      <c r="Y1078" s="85"/>
      <c r="Z1078" s="86"/>
      <c r="AA1078" s="87"/>
      <c r="AB1078" s="88"/>
      <c r="AD1078" s="77"/>
      <c r="AF1078" s="54" t="str" cm="1">
        <f t="array" aca="1" ref="AF1078" ca="1">IF(H1078=0,"",HYPERLINK("#"&amp;RIGHT(CELL("adresse",OFFSET('DM01-AV-CH'!$G$6,H1078-1,0)),LEN(CELL("adresse",OFFSET('DM01-AV-CH'!$G$6,H1078-1,0)))-FIND("]",CELL("adresse",OFFSET('DM01-AV-CH'!$G$6,H1078-1,0)))),"Modell"))</f>
        <v>Modell</v>
      </c>
      <c r="AG1078" s="72" t="str" cm="1">
        <f t="array" ref="AG1078">IF($H1078=0,"",IF(INDEX('DM01-AV-CH'!G$6:G$834,$H1078)="","",INDEX('DM01-AV-CH'!G$6:G$834,$H1078)))</f>
        <v>PLZOrtschaft</v>
      </c>
      <c r="AH1078" s="73" t="str" cm="1">
        <f t="array" ref="AH1078">IF($H1078=0,"",IF(INDEX('DM01-AV-CH'!H$6:H$834,$H1078)="","",INDEX('DM01-AV-CH'!H$6:H$834,$H1078)))</f>
        <v>OrtschaftsName_Pos</v>
      </c>
      <c r="AI1078" s="74" t="str" cm="1">
        <f t="array" ref="AI1078">IF($H1078=0,"",IF(INDEX('DM01-AV-CH'!I$6:I$834,$H1078)="","",INDEX('DM01-AV-CH'!I$6:I$834,$H1078)))</f>
        <v>Pos</v>
      </c>
    </row>
    <row r="1079" spans="1:35" x14ac:dyDescent="0.25">
      <c r="A1079" s="57">
        <v>1074</v>
      </c>
      <c r="B1079" s="57">
        <f>IF($A1079="","",IF(_xlfn.XLOOKUP($A1079,Korrelation!$D$4:$D$1197,Korrelation!E$4:E$1197,"-",0)="-",0,MATCH(_xlfn.XLOOKUP($A1079,Korrelation!$D$4:$D$1197,Korrelation!E$4:E$1197,"",0),DMAV_Modell!$G$6:$G$677,0)))</f>
        <v>0</v>
      </c>
      <c r="C1079" s="57">
        <f>IF($A1079="","",IF(_xlfn.XLOOKUP($A1079,Korrelation!$D$4:$D$1197,Korrelation!F$4:F$1197,"-",0)="-",0,MATCH(_xlfn.XLOOKUP($A1079,Korrelation!$D$4:$D$1197,Korrelation!F$4:F$1197,"",0),DMAV_Modell!$G$6:$G$677,0)))</f>
        <v>0</v>
      </c>
      <c r="D1079" s="57">
        <f>IF($A1079="","",IF(_xlfn.XLOOKUP($A1079,Korrelation!$D$4:$D$1197,Korrelation!G$4:G$1197,"-",0)="-",0,MATCH(_xlfn.XLOOKUP($A1079,Korrelation!$D$4:$D$1197,Korrelation!G$4:G$1197,"",0),DMAV_Modell!$G$6:$G$677,0)))</f>
        <v>0</v>
      </c>
      <c r="E1079" s="57">
        <f>IF($A1079="","",IF(_xlfn.XLOOKUP($A1079,Korrelation!$D$4:$D$1197,Korrelation!H$4:H$1197,"-",0)="-",0,MATCH(_xlfn.XLOOKUP($A1079,Korrelation!$D$4:$D$1197,Korrelation!H$4:H$1197,"",0),DMAV_Dienste!$F$6:$F$140,0)))</f>
        <v>0</v>
      </c>
      <c r="F1079" s="57">
        <f>IF($A1079="","",IF(_xlfn.XLOOKUP($A1079,Korrelation!$D$4:$D$1197,Korrelation!I$4:I$1197,"-",0)="-",0,MATCH(_xlfn.XLOOKUP($A1079,Korrelation!$D$4:$D$1197,Korrelation!I$4:I$1197,"",0),DMAV_Dienste!$F$6:$F$140,0)))</f>
        <v>0</v>
      </c>
      <c r="G1079" s="57">
        <f>IF($A1079="","",IF(_xlfn.XLOOKUP($A1079,Korrelation!$D$4:$D$1197,Korrelation!J$4:J$1197,"-",0)="-",0,MATCH(_xlfn.XLOOKUP($A1079,Korrelation!$D$4:$D$1197,Korrelation!J$4:J$1197,"",0),DMAV_Dienste!$F$6:$F$140,0)))</f>
        <v>0</v>
      </c>
      <c r="H1079" s="57">
        <f>IF($A1079="","",IF(_xlfn.XLOOKUP($A1079,Korrelation!$D$4:$D$1197,Korrelation!K$4:K$1197,"-",0)="-",0,MATCH(_xlfn.XLOOKUP($A1079,Korrelation!$D$4:$D$1197,Korrelation!K$4:K$1197,"",0),'DM01-AV-CH'!$A$6:$A$834,0)))</f>
        <v>681</v>
      </c>
      <c r="J1079" s="54" t="str" cm="1">
        <f t="array" aca="1" ref="J1079" ca="1">IF(B1079=0,IF(E1079=0,"",HYPERLINK("#"&amp;RIGHT(CELL("adresse",OFFSET(DMAV_Dienste!$M$6,E1079-1,0)),LEN(CELL("adresse",OFFSET(DMAV_Dienste!$M$6,E1079-1,0)))-FIND("]",CELL("adresse",OFFSET(DMAV_Dienste!$M$6,E1079-1,0)))),"Dienst")),HYPERLINK("#"&amp;RIGHT(CELL("adresse",OFFSET(DMAV_Modell!$N$6,B1079-1,0)),LEN(CELL("adresse",OFFSET(DMAV_Modell!$N$6,B1079-1,0)))-FIND("]",CELL("adresse",OFFSET(DMAV_Modell!$N$6,B1079-1,0)))),"Modell"))</f>
        <v/>
      </c>
      <c r="K1079" s="61" t="str" cm="1">
        <f t="array" ref="K1079">IF($B1079=0,IF($E1079=0,"",IF(INDEX(DMAV_Dienste!P$6:P$140,$E1079)="","",INDEX(DMAV_Dienste!P$6:P$140,$E1079))),IF(INDEX(DMAV_Modell!Q$6:Q$838,$B1079)="","",INDEX(DMAV_Modell!Q$6:Q$838,$B1079)))</f>
        <v/>
      </c>
      <c r="L1079" s="62" t="str" cm="1">
        <f t="array" ref="L1079">IF($B1079=0,IF($E1079=0,"",IF(INDEX(DMAV_Dienste!O$6:O$140,$E1079)="","",INDEX(DMAV_Dienste!O$6:O$140,$E1079))),IF(INDEX(DMAV_Modell!P$6:P$838,$B1079)="","",INDEX(DMAV_Modell!P$6:P$838,$B1079)))</f>
        <v/>
      </c>
      <c r="M1079" s="62" t="str" cm="1">
        <f t="array" ref="M1079">IF($B1079=0,IF($E1079=0,"",IF(INDEX(DMAV_Dienste!Q$6:Q$140,$E1079)="","",INDEX(DMAV_Dienste!Q$6:Q$140,$E1079))),IF(INDEX(DMAV_Modell!R$6:R$838,$B1079)="","",INDEX(DMAV_Modell!R$6:R$838,$B1079)))</f>
        <v/>
      </c>
      <c r="N1079" s="62" t="str" cm="1">
        <f t="array" ref="N1079">IF($B1079=0,IF($E1079=0,"",IF(INDEX(DMAV_Dienste!T$6:T$140,$E1079)="","",INDEX(DMAV_Dienste!T$6:T$140,$E1079))),IF(INDEX(DMAV_Modell!U$6:U$838,$B1079)="","",INDEX(DMAV_Modell!U$6:U$838,$B1079)))</f>
        <v/>
      </c>
      <c r="O1079" s="63" t="str" cm="1">
        <f t="array" aca="1" ref="O1079" ca="1">IF(C1079=0,IF(F1079=0,"",HYPERLINK("#"&amp;RIGHT(CELL("adresse",OFFSET(DMAV_Dienste!$M$6,F1079-1,0)),LEN(CELL("adresse",OFFSET(DMAV_Dienste!$M$6,F1079-1,0)))-FIND("]",CELL("adresse",OFFSET(DMAV_Dienste!$M$6,F1079-1,0)))),"Structure")),HYPERLINK("#"&amp;RIGHT(CELL("adresse",OFFSET(DMAV_Modell!$N$6,C1079-1,0)),LEN(CELL("adresse",OFFSET(DMAV_Modell!$N$6,C1079-1,0)))-FIND("]",CELL("adresse",OFFSET(DMAV_Modell!$N$6,C1079-1,0)))),"Structure"))</f>
        <v/>
      </c>
      <c r="P1079" s="64" t="str" cm="1">
        <f t="array" aca="1" ref="P1079" ca="1">IF(D1079=0,IF(G1079=0,"",HYPERLINK("#"&amp;RIGHT(CELL("adresse",OFFSET(DMAV_Dienste!$M$6,G1079-1,0)),LEN(CELL("adresse",OFFSET(DMAV_Dienste!$M$6,G1079-1,0)))-FIND("]",CELL("adresse",OFFSET(DMAV_Dienste!$M$6,G1079-1,0)))),"Substructure")),HYPERLINK("#"&amp;RIGHT(CELL("adresse",OFFSET(DMAV_Modell!$N$6,D1079-1,0)),LEN(CELL("adresse",OFFSET(DMAV_Modell!$N$6,D1079-1,0)))-FIND("]",CELL("adresse",OFFSET(DMAV_Modell!$N$6,D1079-1,0)))),"Substructure"))</f>
        <v/>
      </c>
      <c r="R1079" s="80"/>
      <c r="T1079" s="93"/>
      <c r="U1079" s="94"/>
      <c r="V1079" s="95"/>
      <c r="W1079" s="96"/>
      <c r="Y1079" s="85"/>
      <c r="Z1079" s="86"/>
      <c r="AA1079" s="87"/>
      <c r="AB1079" s="88"/>
      <c r="AD1079" s="77"/>
      <c r="AF1079" s="54" t="str" cm="1">
        <f t="array" aca="1" ref="AF1079" ca="1">IF(H1079=0,"",HYPERLINK("#"&amp;RIGHT(CELL("adresse",OFFSET('DM01-AV-CH'!$G$6,H1079-1,0)),LEN(CELL("adresse",OFFSET('DM01-AV-CH'!$G$6,H1079-1,0)))-FIND("]",CELL("adresse",OFFSET('DM01-AV-CH'!$G$6,H1079-1,0)))),"Modell"))</f>
        <v>Modell</v>
      </c>
      <c r="AG1079" s="72" t="str" cm="1">
        <f t="array" ref="AG1079">IF($H1079=0,"",IF(INDEX('DM01-AV-CH'!G$6:G$834,$H1079)="","",INDEX('DM01-AV-CH'!G$6:G$834,$H1079)))</f>
        <v>PLZOrtschaft</v>
      </c>
      <c r="AH1079" s="73" t="str" cm="1">
        <f t="array" ref="AH1079">IF($H1079=0,"",IF(INDEX('DM01-AV-CH'!H$6:H$834,$H1079)="","",INDEX('DM01-AV-CH'!H$6:H$834,$H1079)))</f>
        <v>OrtschaftsName_Pos</v>
      </c>
      <c r="AI1079" s="74" t="str" cm="1">
        <f t="array" ref="AI1079">IF($H1079=0,"",IF(INDEX('DM01-AV-CH'!I$6:I$834,$H1079)="","",INDEX('DM01-AV-CH'!I$6:I$834,$H1079)))</f>
        <v>Ori</v>
      </c>
    </row>
    <row r="1080" spans="1:35" x14ac:dyDescent="0.25">
      <c r="A1080" s="57">
        <v>1075</v>
      </c>
      <c r="B1080" s="57">
        <f>IF($A1080="","",IF(_xlfn.XLOOKUP($A1080,Korrelation!$D$4:$D$1197,Korrelation!E$4:E$1197,"-",0)="-",0,MATCH(_xlfn.XLOOKUP($A1080,Korrelation!$D$4:$D$1197,Korrelation!E$4:E$1197,"",0),DMAV_Modell!$G$6:$G$677,0)))</f>
        <v>0</v>
      </c>
      <c r="C1080" s="57">
        <f>IF($A1080="","",IF(_xlfn.XLOOKUP($A1080,Korrelation!$D$4:$D$1197,Korrelation!F$4:F$1197,"-",0)="-",0,MATCH(_xlfn.XLOOKUP($A1080,Korrelation!$D$4:$D$1197,Korrelation!F$4:F$1197,"",0),DMAV_Modell!$G$6:$G$677,0)))</f>
        <v>0</v>
      </c>
      <c r="D1080" s="57">
        <f>IF($A1080="","",IF(_xlfn.XLOOKUP($A1080,Korrelation!$D$4:$D$1197,Korrelation!G$4:G$1197,"-",0)="-",0,MATCH(_xlfn.XLOOKUP($A1080,Korrelation!$D$4:$D$1197,Korrelation!G$4:G$1197,"",0),DMAV_Modell!$G$6:$G$677,0)))</f>
        <v>0</v>
      </c>
      <c r="E1080" s="57">
        <f>IF($A1080="","",IF(_xlfn.XLOOKUP($A1080,Korrelation!$D$4:$D$1197,Korrelation!H$4:H$1197,"-",0)="-",0,MATCH(_xlfn.XLOOKUP($A1080,Korrelation!$D$4:$D$1197,Korrelation!H$4:H$1197,"",0),DMAV_Dienste!$F$6:$F$140,0)))</f>
        <v>0</v>
      </c>
      <c r="F1080" s="57">
        <f>IF($A1080="","",IF(_xlfn.XLOOKUP($A1080,Korrelation!$D$4:$D$1197,Korrelation!I$4:I$1197,"-",0)="-",0,MATCH(_xlfn.XLOOKUP($A1080,Korrelation!$D$4:$D$1197,Korrelation!I$4:I$1197,"",0),DMAV_Dienste!$F$6:$F$140,0)))</f>
        <v>0</v>
      </c>
      <c r="G1080" s="57">
        <f>IF($A1080="","",IF(_xlfn.XLOOKUP($A1080,Korrelation!$D$4:$D$1197,Korrelation!J$4:J$1197,"-",0)="-",0,MATCH(_xlfn.XLOOKUP($A1080,Korrelation!$D$4:$D$1197,Korrelation!J$4:J$1197,"",0),DMAV_Dienste!$F$6:$F$140,0)))</f>
        <v>0</v>
      </c>
      <c r="H1080" s="57">
        <f>IF($A1080="","",IF(_xlfn.XLOOKUP($A1080,Korrelation!$D$4:$D$1197,Korrelation!K$4:K$1197,"-",0)="-",0,MATCH(_xlfn.XLOOKUP($A1080,Korrelation!$D$4:$D$1197,Korrelation!K$4:K$1197,"",0),'DM01-AV-CH'!$A$6:$A$834,0)))</f>
        <v>682</v>
      </c>
      <c r="J1080" s="54" t="str" cm="1">
        <f t="array" aca="1" ref="J1080" ca="1">IF(B1080=0,IF(E1080=0,"",HYPERLINK("#"&amp;RIGHT(CELL("adresse",OFFSET(DMAV_Dienste!$M$6,E1080-1,0)),LEN(CELL("adresse",OFFSET(DMAV_Dienste!$M$6,E1080-1,0)))-FIND("]",CELL("adresse",OFFSET(DMAV_Dienste!$M$6,E1080-1,0)))),"Dienst")),HYPERLINK("#"&amp;RIGHT(CELL("adresse",OFFSET(DMAV_Modell!$N$6,B1080-1,0)),LEN(CELL("adresse",OFFSET(DMAV_Modell!$N$6,B1080-1,0)))-FIND("]",CELL("adresse",OFFSET(DMAV_Modell!$N$6,B1080-1,0)))),"Modell"))</f>
        <v/>
      </c>
      <c r="K1080" s="61" t="str" cm="1">
        <f t="array" ref="K1080">IF($B1080=0,IF($E1080=0,"",IF(INDEX(DMAV_Dienste!P$6:P$140,$E1080)="","",INDEX(DMAV_Dienste!P$6:P$140,$E1080))),IF(INDEX(DMAV_Modell!Q$6:Q$838,$B1080)="","",INDEX(DMAV_Modell!Q$6:Q$838,$B1080)))</f>
        <v/>
      </c>
      <c r="L1080" s="62" t="str" cm="1">
        <f t="array" ref="L1080">IF($B1080=0,IF($E1080=0,"",IF(INDEX(DMAV_Dienste!O$6:O$140,$E1080)="","",INDEX(DMAV_Dienste!O$6:O$140,$E1080))),IF(INDEX(DMAV_Modell!P$6:P$838,$B1080)="","",INDEX(DMAV_Modell!P$6:P$838,$B1080)))</f>
        <v/>
      </c>
      <c r="M1080" s="62" t="str" cm="1">
        <f t="array" ref="M1080">IF($B1080=0,IF($E1080=0,"",IF(INDEX(DMAV_Dienste!Q$6:Q$140,$E1080)="","",INDEX(DMAV_Dienste!Q$6:Q$140,$E1080))),IF(INDEX(DMAV_Modell!R$6:R$838,$B1080)="","",INDEX(DMAV_Modell!R$6:R$838,$B1080)))</f>
        <v/>
      </c>
      <c r="N1080" s="62" t="str" cm="1">
        <f t="array" ref="N1080">IF($B1080=0,IF($E1080=0,"",IF(INDEX(DMAV_Dienste!T$6:T$140,$E1080)="","",INDEX(DMAV_Dienste!T$6:T$140,$E1080))),IF(INDEX(DMAV_Modell!U$6:U$838,$B1080)="","",INDEX(DMAV_Modell!U$6:U$838,$B1080)))</f>
        <v/>
      </c>
      <c r="O1080" s="63" t="str" cm="1">
        <f t="array" aca="1" ref="O1080" ca="1">IF(C1080=0,IF(F1080=0,"",HYPERLINK("#"&amp;RIGHT(CELL("adresse",OFFSET(DMAV_Dienste!$M$6,F1080-1,0)),LEN(CELL("adresse",OFFSET(DMAV_Dienste!$M$6,F1080-1,0)))-FIND("]",CELL("adresse",OFFSET(DMAV_Dienste!$M$6,F1080-1,0)))),"Structure")),HYPERLINK("#"&amp;RIGHT(CELL("adresse",OFFSET(DMAV_Modell!$N$6,C1080-1,0)),LEN(CELL("adresse",OFFSET(DMAV_Modell!$N$6,C1080-1,0)))-FIND("]",CELL("adresse",OFFSET(DMAV_Modell!$N$6,C1080-1,0)))),"Structure"))</f>
        <v/>
      </c>
      <c r="P1080" s="64" t="str" cm="1">
        <f t="array" aca="1" ref="P1080" ca="1">IF(D1080=0,IF(G1080=0,"",HYPERLINK("#"&amp;RIGHT(CELL("adresse",OFFSET(DMAV_Dienste!$M$6,G1080-1,0)),LEN(CELL("adresse",OFFSET(DMAV_Dienste!$M$6,G1080-1,0)))-FIND("]",CELL("adresse",OFFSET(DMAV_Dienste!$M$6,G1080-1,0)))),"Substructure")),HYPERLINK("#"&amp;RIGHT(CELL("adresse",OFFSET(DMAV_Modell!$N$6,D1080-1,0)),LEN(CELL("adresse",OFFSET(DMAV_Modell!$N$6,D1080-1,0)))-FIND("]",CELL("adresse",OFFSET(DMAV_Modell!$N$6,D1080-1,0)))),"Substructure"))</f>
        <v/>
      </c>
      <c r="R1080" s="80"/>
      <c r="T1080" s="93"/>
      <c r="U1080" s="94"/>
      <c r="V1080" s="95"/>
      <c r="W1080" s="96"/>
      <c r="Y1080" s="85"/>
      <c r="Z1080" s="86"/>
      <c r="AA1080" s="87"/>
      <c r="AB1080" s="88"/>
      <c r="AD1080" s="77"/>
      <c r="AF1080" s="54" t="str" cm="1">
        <f t="array" aca="1" ref="AF1080" ca="1">IF(H1080=0,"",HYPERLINK("#"&amp;RIGHT(CELL("adresse",OFFSET('DM01-AV-CH'!$G$6,H1080-1,0)),LEN(CELL("adresse",OFFSET('DM01-AV-CH'!$G$6,H1080-1,0)))-FIND("]",CELL("adresse",OFFSET('DM01-AV-CH'!$G$6,H1080-1,0)))),"Modell"))</f>
        <v>Modell</v>
      </c>
      <c r="AG1080" s="72" t="str" cm="1">
        <f t="array" ref="AG1080">IF($H1080=0,"",IF(INDEX('DM01-AV-CH'!G$6:G$834,$H1080)="","",INDEX('DM01-AV-CH'!G$6:G$834,$H1080)))</f>
        <v>PLZOrtschaft</v>
      </c>
      <c r="AH1080" s="73" t="str" cm="1">
        <f t="array" ref="AH1080">IF($H1080=0,"",IF(INDEX('DM01-AV-CH'!H$6:H$834,$H1080)="","",INDEX('DM01-AV-CH'!H$6:H$834,$H1080)))</f>
        <v>OrtschaftsName_Pos</v>
      </c>
      <c r="AI1080" s="74" t="str" cm="1">
        <f t="array" ref="AI1080">IF($H1080=0,"",IF(INDEX('DM01-AV-CH'!I$6:I$834,$H1080)="","",INDEX('DM01-AV-CH'!I$6:I$834,$H1080)))</f>
        <v>HAli</v>
      </c>
    </row>
    <row r="1081" spans="1:35" x14ac:dyDescent="0.25">
      <c r="A1081" s="57">
        <v>1076</v>
      </c>
      <c r="B1081" s="57">
        <f>IF($A1081="","",IF(_xlfn.XLOOKUP($A1081,Korrelation!$D$4:$D$1197,Korrelation!E$4:E$1197,"-",0)="-",0,MATCH(_xlfn.XLOOKUP($A1081,Korrelation!$D$4:$D$1197,Korrelation!E$4:E$1197,"",0),DMAV_Modell!$G$6:$G$677,0)))</f>
        <v>0</v>
      </c>
      <c r="C1081" s="57">
        <f>IF($A1081="","",IF(_xlfn.XLOOKUP($A1081,Korrelation!$D$4:$D$1197,Korrelation!F$4:F$1197,"-",0)="-",0,MATCH(_xlfn.XLOOKUP($A1081,Korrelation!$D$4:$D$1197,Korrelation!F$4:F$1197,"",0),DMAV_Modell!$G$6:$G$677,0)))</f>
        <v>0</v>
      </c>
      <c r="D1081" s="57">
        <f>IF($A1081="","",IF(_xlfn.XLOOKUP($A1081,Korrelation!$D$4:$D$1197,Korrelation!G$4:G$1197,"-",0)="-",0,MATCH(_xlfn.XLOOKUP($A1081,Korrelation!$D$4:$D$1197,Korrelation!G$4:G$1197,"",0),DMAV_Modell!$G$6:$G$677,0)))</f>
        <v>0</v>
      </c>
      <c r="E1081" s="57">
        <f>IF($A1081="","",IF(_xlfn.XLOOKUP($A1081,Korrelation!$D$4:$D$1197,Korrelation!H$4:H$1197,"-",0)="-",0,MATCH(_xlfn.XLOOKUP($A1081,Korrelation!$D$4:$D$1197,Korrelation!H$4:H$1197,"",0),DMAV_Dienste!$F$6:$F$140,0)))</f>
        <v>0</v>
      </c>
      <c r="F1081" s="57">
        <f>IF($A1081="","",IF(_xlfn.XLOOKUP($A1081,Korrelation!$D$4:$D$1197,Korrelation!I$4:I$1197,"-",0)="-",0,MATCH(_xlfn.XLOOKUP($A1081,Korrelation!$D$4:$D$1197,Korrelation!I$4:I$1197,"",0),DMAV_Dienste!$F$6:$F$140,0)))</f>
        <v>0</v>
      </c>
      <c r="G1081" s="57">
        <f>IF($A1081="","",IF(_xlfn.XLOOKUP($A1081,Korrelation!$D$4:$D$1197,Korrelation!J$4:J$1197,"-",0)="-",0,MATCH(_xlfn.XLOOKUP($A1081,Korrelation!$D$4:$D$1197,Korrelation!J$4:J$1197,"",0),DMAV_Dienste!$F$6:$F$140,0)))</f>
        <v>0</v>
      </c>
      <c r="H1081" s="57">
        <f>IF($A1081="","",IF(_xlfn.XLOOKUP($A1081,Korrelation!$D$4:$D$1197,Korrelation!K$4:K$1197,"-",0)="-",0,MATCH(_xlfn.XLOOKUP($A1081,Korrelation!$D$4:$D$1197,Korrelation!K$4:K$1197,"",0),'DM01-AV-CH'!$A$6:$A$834,0)))</f>
        <v>683</v>
      </c>
      <c r="J1081" s="54" t="str" cm="1">
        <f t="array" aca="1" ref="J1081" ca="1">IF(B1081=0,IF(E1081=0,"",HYPERLINK("#"&amp;RIGHT(CELL("adresse",OFFSET(DMAV_Dienste!$M$6,E1081-1,0)),LEN(CELL("adresse",OFFSET(DMAV_Dienste!$M$6,E1081-1,0)))-FIND("]",CELL("adresse",OFFSET(DMAV_Dienste!$M$6,E1081-1,0)))),"Dienst")),HYPERLINK("#"&amp;RIGHT(CELL("adresse",OFFSET(DMAV_Modell!$N$6,B1081-1,0)),LEN(CELL("adresse",OFFSET(DMAV_Modell!$N$6,B1081-1,0)))-FIND("]",CELL("adresse",OFFSET(DMAV_Modell!$N$6,B1081-1,0)))),"Modell"))</f>
        <v/>
      </c>
      <c r="K1081" s="61" t="str" cm="1">
        <f t="array" ref="K1081">IF($B1081=0,IF($E1081=0,"",IF(INDEX(DMAV_Dienste!P$6:P$140,$E1081)="","",INDEX(DMAV_Dienste!P$6:P$140,$E1081))),IF(INDEX(DMAV_Modell!Q$6:Q$838,$B1081)="","",INDEX(DMAV_Modell!Q$6:Q$838,$B1081)))</f>
        <v/>
      </c>
      <c r="L1081" s="62" t="str" cm="1">
        <f t="array" ref="L1081">IF($B1081=0,IF($E1081=0,"",IF(INDEX(DMAV_Dienste!O$6:O$140,$E1081)="","",INDEX(DMAV_Dienste!O$6:O$140,$E1081))),IF(INDEX(DMAV_Modell!P$6:P$838,$B1081)="","",INDEX(DMAV_Modell!P$6:P$838,$B1081)))</f>
        <v/>
      </c>
      <c r="M1081" s="62" t="str" cm="1">
        <f t="array" ref="M1081">IF($B1081=0,IF($E1081=0,"",IF(INDEX(DMAV_Dienste!Q$6:Q$140,$E1081)="","",INDEX(DMAV_Dienste!Q$6:Q$140,$E1081))),IF(INDEX(DMAV_Modell!R$6:R$838,$B1081)="","",INDEX(DMAV_Modell!R$6:R$838,$B1081)))</f>
        <v/>
      </c>
      <c r="N1081" s="62" t="str" cm="1">
        <f t="array" ref="N1081">IF($B1081=0,IF($E1081=0,"",IF(INDEX(DMAV_Dienste!T$6:T$140,$E1081)="","",INDEX(DMAV_Dienste!T$6:T$140,$E1081))),IF(INDEX(DMAV_Modell!U$6:U$838,$B1081)="","",INDEX(DMAV_Modell!U$6:U$838,$B1081)))</f>
        <v/>
      </c>
      <c r="O1081" s="63" t="str" cm="1">
        <f t="array" aca="1" ref="O1081" ca="1">IF(C1081=0,IF(F1081=0,"",HYPERLINK("#"&amp;RIGHT(CELL("adresse",OFFSET(DMAV_Dienste!$M$6,F1081-1,0)),LEN(CELL("adresse",OFFSET(DMAV_Dienste!$M$6,F1081-1,0)))-FIND("]",CELL("adresse",OFFSET(DMAV_Dienste!$M$6,F1081-1,0)))),"Structure")),HYPERLINK("#"&amp;RIGHT(CELL("adresse",OFFSET(DMAV_Modell!$N$6,C1081-1,0)),LEN(CELL("adresse",OFFSET(DMAV_Modell!$N$6,C1081-1,0)))-FIND("]",CELL("adresse",OFFSET(DMAV_Modell!$N$6,C1081-1,0)))),"Structure"))</f>
        <v/>
      </c>
      <c r="P1081" s="64" t="str" cm="1">
        <f t="array" aca="1" ref="P1081" ca="1">IF(D1081=0,IF(G1081=0,"",HYPERLINK("#"&amp;RIGHT(CELL("adresse",OFFSET(DMAV_Dienste!$M$6,G1081-1,0)),LEN(CELL("adresse",OFFSET(DMAV_Dienste!$M$6,G1081-1,0)))-FIND("]",CELL("adresse",OFFSET(DMAV_Dienste!$M$6,G1081-1,0)))),"Substructure")),HYPERLINK("#"&amp;RIGHT(CELL("adresse",OFFSET(DMAV_Modell!$N$6,D1081-1,0)),LEN(CELL("adresse",OFFSET(DMAV_Modell!$N$6,D1081-1,0)))-FIND("]",CELL("adresse",OFFSET(DMAV_Modell!$N$6,D1081-1,0)))),"Substructure"))</f>
        <v/>
      </c>
      <c r="R1081" s="80"/>
      <c r="T1081" s="93"/>
      <c r="U1081" s="94"/>
      <c r="V1081" s="95"/>
      <c r="W1081" s="96"/>
      <c r="Y1081" s="85"/>
      <c r="Z1081" s="86"/>
      <c r="AA1081" s="87"/>
      <c r="AB1081" s="88"/>
      <c r="AD1081" s="77"/>
      <c r="AF1081" s="54" t="str" cm="1">
        <f t="array" aca="1" ref="AF1081" ca="1">IF(H1081=0,"",HYPERLINK("#"&amp;RIGHT(CELL("adresse",OFFSET('DM01-AV-CH'!$G$6,H1081-1,0)),LEN(CELL("adresse",OFFSET('DM01-AV-CH'!$G$6,H1081-1,0)))-FIND("]",CELL("adresse",OFFSET('DM01-AV-CH'!$G$6,H1081-1,0)))),"Modell"))</f>
        <v>Modell</v>
      </c>
      <c r="AG1081" s="72" t="str" cm="1">
        <f t="array" ref="AG1081">IF($H1081=0,"",IF(INDEX('DM01-AV-CH'!G$6:G$834,$H1081)="","",INDEX('DM01-AV-CH'!G$6:G$834,$H1081)))</f>
        <v>PLZOrtschaft</v>
      </c>
      <c r="AH1081" s="73" t="str" cm="1">
        <f t="array" ref="AH1081">IF($H1081=0,"",IF(INDEX('DM01-AV-CH'!H$6:H$834,$H1081)="","",INDEX('DM01-AV-CH'!H$6:H$834,$H1081)))</f>
        <v>OrtschaftsName_Pos</v>
      </c>
      <c r="AI1081" s="74" t="str" cm="1">
        <f t="array" ref="AI1081">IF($H1081=0,"",IF(INDEX('DM01-AV-CH'!I$6:I$834,$H1081)="","",INDEX('DM01-AV-CH'!I$6:I$834,$H1081)))</f>
        <v>VAli</v>
      </c>
    </row>
    <row r="1082" spans="1:35" x14ac:dyDescent="0.25">
      <c r="A1082" s="57">
        <v>1077</v>
      </c>
      <c r="B1082" s="57">
        <f>IF($A1082="","",IF(_xlfn.XLOOKUP($A1082,Korrelation!$D$4:$D$1197,Korrelation!E$4:E$1197,"-",0)="-",0,MATCH(_xlfn.XLOOKUP($A1082,Korrelation!$D$4:$D$1197,Korrelation!E$4:E$1197,"",0),DMAV_Modell!$G$6:$G$677,0)))</f>
        <v>0</v>
      </c>
      <c r="C1082" s="57">
        <f>IF($A1082="","",IF(_xlfn.XLOOKUP($A1082,Korrelation!$D$4:$D$1197,Korrelation!F$4:F$1197,"-",0)="-",0,MATCH(_xlfn.XLOOKUP($A1082,Korrelation!$D$4:$D$1197,Korrelation!F$4:F$1197,"",0),DMAV_Modell!$G$6:$G$677,0)))</f>
        <v>0</v>
      </c>
      <c r="D1082" s="57">
        <f>IF($A1082="","",IF(_xlfn.XLOOKUP($A1082,Korrelation!$D$4:$D$1197,Korrelation!G$4:G$1197,"-",0)="-",0,MATCH(_xlfn.XLOOKUP($A1082,Korrelation!$D$4:$D$1197,Korrelation!G$4:G$1197,"",0),DMAV_Modell!$G$6:$G$677,0)))</f>
        <v>0</v>
      </c>
      <c r="E1082" s="57">
        <f>IF($A1082="","",IF(_xlfn.XLOOKUP($A1082,Korrelation!$D$4:$D$1197,Korrelation!H$4:H$1197,"-",0)="-",0,MATCH(_xlfn.XLOOKUP($A1082,Korrelation!$D$4:$D$1197,Korrelation!H$4:H$1197,"",0),DMAV_Dienste!$F$6:$F$140,0)))</f>
        <v>0</v>
      </c>
      <c r="F1082" s="57">
        <f>IF($A1082="","",IF(_xlfn.XLOOKUP($A1082,Korrelation!$D$4:$D$1197,Korrelation!I$4:I$1197,"-",0)="-",0,MATCH(_xlfn.XLOOKUP($A1082,Korrelation!$D$4:$D$1197,Korrelation!I$4:I$1197,"",0),DMAV_Dienste!$F$6:$F$140,0)))</f>
        <v>0</v>
      </c>
      <c r="G1082" s="57">
        <f>IF($A1082="","",IF(_xlfn.XLOOKUP($A1082,Korrelation!$D$4:$D$1197,Korrelation!J$4:J$1197,"-",0)="-",0,MATCH(_xlfn.XLOOKUP($A1082,Korrelation!$D$4:$D$1197,Korrelation!J$4:J$1197,"",0),DMAV_Dienste!$F$6:$F$140,0)))</f>
        <v>0</v>
      </c>
      <c r="H1082" s="57">
        <f>IF($A1082="","",IF(_xlfn.XLOOKUP($A1082,Korrelation!$D$4:$D$1197,Korrelation!K$4:K$1197,"-",0)="-",0,MATCH(_xlfn.XLOOKUP($A1082,Korrelation!$D$4:$D$1197,Korrelation!K$4:K$1197,"",0),'DM01-AV-CH'!$A$6:$A$834,0)))</f>
        <v>684</v>
      </c>
      <c r="J1082" s="54" t="str" cm="1">
        <f t="array" aca="1" ref="J1082" ca="1">IF(B1082=0,IF(E1082=0,"",HYPERLINK("#"&amp;RIGHT(CELL("adresse",OFFSET(DMAV_Dienste!$M$6,E1082-1,0)),LEN(CELL("adresse",OFFSET(DMAV_Dienste!$M$6,E1082-1,0)))-FIND("]",CELL("adresse",OFFSET(DMAV_Dienste!$M$6,E1082-1,0)))),"Dienst")),HYPERLINK("#"&amp;RIGHT(CELL("adresse",OFFSET(DMAV_Modell!$N$6,B1082-1,0)),LEN(CELL("adresse",OFFSET(DMAV_Modell!$N$6,B1082-1,0)))-FIND("]",CELL("adresse",OFFSET(DMAV_Modell!$N$6,B1082-1,0)))),"Modell"))</f>
        <v/>
      </c>
      <c r="K1082" s="61" t="str" cm="1">
        <f t="array" ref="K1082">IF($B1082=0,IF($E1082=0,"",IF(INDEX(DMAV_Dienste!P$6:P$140,$E1082)="","",INDEX(DMAV_Dienste!P$6:P$140,$E1082))),IF(INDEX(DMAV_Modell!Q$6:Q$838,$B1082)="","",INDEX(DMAV_Modell!Q$6:Q$838,$B1082)))</f>
        <v/>
      </c>
      <c r="L1082" s="62" t="str" cm="1">
        <f t="array" ref="L1082">IF($B1082=0,IF($E1082=0,"",IF(INDEX(DMAV_Dienste!O$6:O$140,$E1082)="","",INDEX(DMAV_Dienste!O$6:O$140,$E1082))),IF(INDEX(DMAV_Modell!P$6:P$838,$B1082)="","",INDEX(DMAV_Modell!P$6:P$838,$B1082)))</f>
        <v/>
      </c>
      <c r="M1082" s="62" t="str" cm="1">
        <f t="array" ref="M1082">IF($B1082=0,IF($E1082=0,"",IF(INDEX(DMAV_Dienste!Q$6:Q$140,$E1082)="","",INDEX(DMAV_Dienste!Q$6:Q$140,$E1082))),IF(INDEX(DMAV_Modell!R$6:R$838,$B1082)="","",INDEX(DMAV_Modell!R$6:R$838,$B1082)))</f>
        <v/>
      </c>
      <c r="N1082" s="62" t="str" cm="1">
        <f t="array" ref="N1082">IF($B1082=0,IF($E1082=0,"",IF(INDEX(DMAV_Dienste!T$6:T$140,$E1082)="","",INDEX(DMAV_Dienste!T$6:T$140,$E1082))),IF(INDEX(DMAV_Modell!U$6:U$838,$B1082)="","",INDEX(DMAV_Modell!U$6:U$838,$B1082)))</f>
        <v/>
      </c>
      <c r="O1082" s="63" t="str" cm="1">
        <f t="array" aca="1" ref="O1082" ca="1">IF(C1082=0,IF(F1082=0,"",HYPERLINK("#"&amp;RIGHT(CELL("adresse",OFFSET(DMAV_Dienste!$M$6,F1082-1,0)),LEN(CELL("adresse",OFFSET(DMAV_Dienste!$M$6,F1082-1,0)))-FIND("]",CELL("adresse",OFFSET(DMAV_Dienste!$M$6,F1082-1,0)))),"Structure")),HYPERLINK("#"&amp;RIGHT(CELL("adresse",OFFSET(DMAV_Modell!$N$6,C1082-1,0)),LEN(CELL("adresse",OFFSET(DMAV_Modell!$N$6,C1082-1,0)))-FIND("]",CELL("adresse",OFFSET(DMAV_Modell!$N$6,C1082-1,0)))),"Structure"))</f>
        <v/>
      </c>
      <c r="P1082" s="64" t="str" cm="1">
        <f t="array" aca="1" ref="P1082" ca="1">IF(D1082=0,IF(G1082=0,"",HYPERLINK("#"&amp;RIGHT(CELL("adresse",OFFSET(DMAV_Dienste!$M$6,G1082-1,0)),LEN(CELL("adresse",OFFSET(DMAV_Dienste!$M$6,G1082-1,0)))-FIND("]",CELL("adresse",OFFSET(DMAV_Dienste!$M$6,G1082-1,0)))),"Substructure")),HYPERLINK("#"&amp;RIGHT(CELL("adresse",OFFSET(DMAV_Modell!$N$6,D1082-1,0)),LEN(CELL("adresse",OFFSET(DMAV_Modell!$N$6,D1082-1,0)))-FIND("]",CELL("adresse",OFFSET(DMAV_Modell!$N$6,D1082-1,0)))),"Substructure"))</f>
        <v/>
      </c>
      <c r="R1082" s="80"/>
      <c r="T1082" s="93"/>
      <c r="U1082" s="94"/>
      <c r="V1082" s="95"/>
      <c r="W1082" s="96"/>
      <c r="Y1082" s="85"/>
      <c r="Z1082" s="86"/>
      <c r="AA1082" s="87"/>
      <c r="AB1082" s="88"/>
      <c r="AD1082" s="77"/>
      <c r="AF1082" s="54" t="str" cm="1">
        <f t="array" aca="1" ref="AF1082" ca="1">IF(H1082=0,"",HYPERLINK("#"&amp;RIGHT(CELL("adresse",OFFSET('DM01-AV-CH'!$G$6,H1082-1,0)),LEN(CELL("adresse",OFFSET('DM01-AV-CH'!$G$6,H1082-1,0)))-FIND("]",CELL("adresse",OFFSET('DM01-AV-CH'!$G$6,H1082-1,0)))),"Modell"))</f>
        <v>Modell</v>
      </c>
      <c r="AG1082" s="72" t="str" cm="1">
        <f t="array" ref="AG1082">IF($H1082=0,"",IF(INDEX('DM01-AV-CH'!G$6:G$834,$H1082)="","",INDEX('DM01-AV-CH'!G$6:G$834,$H1082)))</f>
        <v>PLZOrtschaft</v>
      </c>
      <c r="AH1082" s="73" t="str" cm="1">
        <f t="array" ref="AH1082">IF($H1082=0,"",IF(INDEX('DM01-AV-CH'!H$6:H$834,$H1082)="","",INDEX('DM01-AV-CH'!H$6:H$834,$H1082)))</f>
        <v>OrtschaftsName_Pos</v>
      </c>
      <c r="AI1082" s="74" t="str" cm="1">
        <f t="array" ref="AI1082">IF($H1082=0,"",IF(INDEX('DM01-AV-CH'!I$6:I$834,$H1082)="","",INDEX('DM01-AV-CH'!I$6:I$834,$H1082)))</f>
        <v>Groesse</v>
      </c>
    </row>
    <row r="1083" spans="1:35" ht="142.5" x14ac:dyDescent="0.25">
      <c r="A1083" s="57">
        <v>1078</v>
      </c>
      <c r="B1083" s="57">
        <f>IF($A1083="","",IF(_xlfn.XLOOKUP($A1083,Korrelation!$D$4:$D$1197,Korrelation!E$4:E$1197,"-",0)="-",0,MATCH(_xlfn.XLOOKUP($A1083,Korrelation!$D$4:$D$1197,Korrelation!E$4:E$1197,"",0),DMAV_Modell!$G$6:$G$677,0)))</f>
        <v>0</v>
      </c>
      <c r="C1083" s="57">
        <f>IF($A1083="","",IF(_xlfn.XLOOKUP($A1083,Korrelation!$D$4:$D$1197,Korrelation!F$4:F$1197,"-",0)="-",0,MATCH(_xlfn.XLOOKUP($A1083,Korrelation!$D$4:$D$1197,Korrelation!F$4:F$1197,"",0),DMAV_Modell!$G$6:$G$677,0)))</f>
        <v>0</v>
      </c>
      <c r="D1083" s="57">
        <f>IF($A1083="","",IF(_xlfn.XLOOKUP($A1083,Korrelation!$D$4:$D$1197,Korrelation!G$4:G$1197,"-",0)="-",0,MATCH(_xlfn.XLOOKUP($A1083,Korrelation!$D$4:$D$1197,Korrelation!G$4:G$1197,"",0),DMAV_Modell!$G$6:$G$677,0)))</f>
        <v>0</v>
      </c>
      <c r="E1083" s="57">
        <f>IF($A1083="","",IF(_xlfn.XLOOKUP($A1083,Korrelation!$D$4:$D$1197,Korrelation!H$4:H$1197,"-",0)="-",0,MATCH(_xlfn.XLOOKUP($A1083,Korrelation!$D$4:$D$1197,Korrelation!H$4:H$1197,"",0),DMAV_Dienste!$F$6:$F$140,0)))</f>
        <v>0</v>
      </c>
      <c r="F1083" s="57">
        <f>IF($A1083="","",IF(_xlfn.XLOOKUP($A1083,Korrelation!$D$4:$D$1197,Korrelation!I$4:I$1197,"-",0)="-",0,MATCH(_xlfn.XLOOKUP($A1083,Korrelation!$D$4:$D$1197,Korrelation!I$4:I$1197,"",0),DMAV_Dienste!$F$6:$F$140,0)))</f>
        <v>0</v>
      </c>
      <c r="G1083" s="57">
        <f>IF($A1083="","",IF(_xlfn.XLOOKUP($A1083,Korrelation!$D$4:$D$1197,Korrelation!J$4:J$1197,"-",0)="-",0,MATCH(_xlfn.XLOOKUP($A1083,Korrelation!$D$4:$D$1197,Korrelation!J$4:J$1197,"",0),DMAV_Dienste!$F$6:$F$140,0)))</f>
        <v>0</v>
      </c>
      <c r="H1083" s="57">
        <f>IF($A1083="","",IF(_xlfn.XLOOKUP($A1083,Korrelation!$D$4:$D$1197,Korrelation!K$4:K$1197,"-",0)="-",0,MATCH(_xlfn.XLOOKUP($A1083,Korrelation!$D$4:$D$1197,Korrelation!K$4:K$1197,"",0),'DM01-AV-CH'!$A$6:$A$834,0)))</f>
        <v>685</v>
      </c>
      <c r="J1083" s="54" t="str" cm="1">
        <f t="array" aca="1" ref="J1083" ca="1">IF(B1083=0,IF(E1083=0,"",HYPERLINK("#"&amp;RIGHT(CELL("adresse",OFFSET(DMAV_Dienste!$M$6,E1083-1,0)),LEN(CELL("adresse",OFFSET(DMAV_Dienste!$M$6,E1083-1,0)))-FIND("]",CELL("adresse",OFFSET(DMAV_Dienste!$M$6,E1083-1,0)))),"Dienst")),HYPERLINK("#"&amp;RIGHT(CELL("adresse",OFFSET(DMAV_Modell!$N$6,B1083-1,0)),LEN(CELL("adresse",OFFSET(DMAV_Modell!$N$6,B1083-1,0)))-FIND("]",CELL("adresse",OFFSET(DMAV_Modell!$N$6,B1083-1,0)))),"Modell"))</f>
        <v/>
      </c>
      <c r="K1083" s="61" t="str" cm="1">
        <f t="array" ref="K1083">IF($B1083=0,IF($E1083=0,"",IF(INDEX(DMAV_Dienste!P$6:P$140,$E1083)="","",INDEX(DMAV_Dienste!P$6:P$140,$E1083))),IF(INDEX(DMAV_Modell!Q$6:Q$838,$B1083)="","",INDEX(DMAV_Modell!Q$6:Q$838,$B1083)))</f>
        <v/>
      </c>
      <c r="L1083" s="62" t="str" cm="1">
        <f t="array" ref="L1083">IF($B1083=0,IF($E1083=0,"",IF(INDEX(DMAV_Dienste!O$6:O$140,$E1083)="","",INDEX(DMAV_Dienste!O$6:O$140,$E1083))),IF(INDEX(DMAV_Modell!P$6:P$838,$B1083)="","",INDEX(DMAV_Modell!P$6:P$838,$B1083)))</f>
        <v/>
      </c>
      <c r="M1083" s="62" t="str" cm="1">
        <f t="array" ref="M1083">IF($B1083=0,IF($E1083=0,"",IF(INDEX(DMAV_Dienste!Q$6:Q$140,$E1083)="","",INDEX(DMAV_Dienste!Q$6:Q$140,$E1083))),IF(INDEX(DMAV_Modell!R$6:R$838,$B1083)="","",INDEX(DMAV_Modell!R$6:R$838,$B1083)))</f>
        <v/>
      </c>
      <c r="N1083" s="62" t="str" cm="1">
        <f t="array" ref="N1083">IF($B1083=0,IF($E1083=0,"",IF(INDEX(DMAV_Dienste!T$6:T$140,$E1083)="","",INDEX(DMAV_Dienste!T$6:T$140,$E1083))),IF(INDEX(DMAV_Modell!U$6:U$838,$B1083)="","",INDEX(DMAV_Modell!U$6:U$838,$B1083)))</f>
        <v/>
      </c>
      <c r="O1083" s="63" t="str" cm="1">
        <f t="array" aca="1" ref="O1083" ca="1">IF(C1083=0,IF(F1083=0,"",HYPERLINK("#"&amp;RIGHT(CELL("adresse",OFFSET(DMAV_Dienste!$M$6,F1083-1,0)),LEN(CELL("adresse",OFFSET(DMAV_Dienste!$M$6,F1083-1,0)))-FIND("]",CELL("adresse",OFFSET(DMAV_Dienste!$M$6,F1083-1,0)))),"Structure")),HYPERLINK("#"&amp;RIGHT(CELL("adresse",OFFSET(DMAV_Modell!$N$6,C1083-1,0)),LEN(CELL("adresse",OFFSET(DMAV_Modell!$N$6,C1083-1,0)))-FIND("]",CELL("adresse",OFFSET(DMAV_Modell!$N$6,C1083-1,0)))),"Structure"))</f>
        <v/>
      </c>
      <c r="P1083" s="64" t="str" cm="1">
        <f t="array" aca="1" ref="P1083" ca="1">IF(D1083=0,IF(G1083=0,"",HYPERLINK("#"&amp;RIGHT(CELL("adresse",OFFSET(DMAV_Dienste!$M$6,G1083-1,0)),LEN(CELL("adresse",OFFSET(DMAV_Dienste!$M$6,G1083-1,0)))-FIND("]",CELL("adresse",OFFSET(DMAV_Dienste!$M$6,G1083-1,0)))),"Substructure")),HYPERLINK("#"&amp;RIGHT(CELL("adresse",OFFSET(DMAV_Modell!$N$6,D1083-1,0)),LEN(CELL("adresse",OFFSET(DMAV_Modell!$N$6,D1083-1,0)))-FIND("]",CELL("adresse",OFFSET(DMAV_Modell!$N$6,D1083-1,0)))),"Substructure"))</f>
        <v/>
      </c>
      <c r="R1083" s="80"/>
      <c r="T1083" s="93"/>
      <c r="U1083" s="94"/>
      <c r="V1083" s="95"/>
      <c r="W1083" s="96"/>
      <c r="Y1083" s="85"/>
      <c r="Z1083" s="86"/>
      <c r="AA1083" s="87"/>
      <c r="AB1083" s="88" t="s">
        <v>3608</v>
      </c>
      <c r="AD1083" s="77"/>
      <c r="AF1083" s="54" t="str" cm="1">
        <f t="array" aca="1" ref="AF1083" ca="1">IF(H1083=0,"",HYPERLINK("#"&amp;RIGHT(CELL("adresse",OFFSET('DM01-AV-CH'!$G$6,H1083-1,0)),LEN(CELL("adresse",OFFSET('DM01-AV-CH'!$G$6,H1083-1,0)))-FIND("]",CELL("adresse",OFFSET('DM01-AV-CH'!$G$6,H1083-1,0)))),"Modell"))</f>
        <v>Modell</v>
      </c>
      <c r="AG1083" s="72" t="str" cm="1">
        <f t="array" ref="AG1083">IF($H1083=0,"",IF(INDEX('DM01-AV-CH'!G$6:G$834,$H1083)="","",INDEX('DM01-AV-CH'!G$6:G$834,$H1083)))</f>
        <v>PLZOrtschaft</v>
      </c>
      <c r="AH1083" s="73" t="str" cm="1">
        <f t="array" ref="AH1083">IF($H1083=0,"",IF(INDEX('DM01-AV-CH'!H$6:H$834,$H1083)="","",INDEX('DM01-AV-CH'!H$6:H$834,$H1083)))</f>
        <v>PLZ6Nachfuehrung</v>
      </c>
      <c r="AI1083" s="74" t="str" cm="1">
        <f t="array" ref="AI1083">IF($H1083=0,"",IF(INDEX('DM01-AV-CH'!I$6:I$834,$H1083)="","",INDEX('DM01-AV-CH'!I$6:I$834,$H1083)))</f>
        <v>NBIdent</v>
      </c>
    </row>
    <row r="1084" spans="1:35" ht="142.5" x14ac:dyDescent="0.25">
      <c r="A1084" s="57">
        <v>1079</v>
      </c>
      <c r="B1084" s="57">
        <f>IF($A1084="","",IF(_xlfn.XLOOKUP($A1084,Korrelation!$D$4:$D$1197,Korrelation!E$4:E$1197,"-",0)="-",0,MATCH(_xlfn.XLOOKUP($A1084,Korrelation!$D$4:$D$1197,Korrelation!E$4:E$1197,"",0),DMAV_Modell!$G$6:$G$677,0)))</f>
        <v>0</v>
      </c>
      <c r="C1084" s="57">
        <f>IF($A1084="","",IF(_xlfn.XLOOKUP($A1084,Korrelation!$D$4:$D$1197,Korrelation!F$4:F$1197,"-",0)="-",0,MATCH(_xlfn.XLOOKUP($A1084,Korrelation!$D$4:$D$1197,Korrelation!F$4:F$1197,"",0),DMAV_Modell!$G$6:$G$677,0)))</f>
        <v>0</v>
      </c>
      <c r="D1084" s="57">
        <f>IF($A1084="","",IF(_xlfn.XLOOKUP($A1084,Korrelation!$D$4:$D$1197,Korrelation!G$4:G$1197,"-",0)="-",0,MATCH(_xlfn.XLOOKUP($A1084,Korrelation!$D$4:$D$1197,Korrelation!G$4:G$1197,"",0),DMAV_Modell!$G$6:$G$677,0)))</f>
        <v>0</v>
      </c>
      <c r="E1084" s="57">
        <f>IF($A1084="","",IF(_xlfn.XLOOKUP($A1084,Korrelation!$D$4:$D$1197,Korrelation!H$4:H$1197,"-",0)="-",0,MATCH(_xlfn.XLOOKUP($A1084,Korrelation!$D$4:$D$1197,Korrelation!H$4:H$1197,"",0),DMAV_Dienste!$F$6:$F$140,0)))</f>
        <v>0</v>
      </c>
      <c r="F1084" s="57">
        <f>IF($A1084="","",IF(_xlfn.XLOOKUP($A1084,Korrelation!$D$4:$D$1197,Korrelation!I$4:I$1197,"-",0)="-",0,MATCH(_xlfn.XLOOKUP($A1084,Korrelation!$D$4:$D$1197,Korrelation!I$4:I$1197,"",0),DMAV_Dienste!$F$6:$F$140,0)))</f>
        <v>0</v>
      </c>
      <c r="G1084" s="57">
        <f>IF($A1084="","",IF(_xlfn.XLOOKUP($A1084,Korrelation!$D$4:$D$1197,Korrelation!J$4:J$1197,"-",0)="-",0,MATCH(_xlfn.XLOOKUP($A1084,Korrelation!$D$4:$D$1197,Korrelation!J$4:J$1197,"",0),DMAV_Dienste!$F$6:$F$140,0)))</f>
        <v>0</v>
      </c>
      <c r="H1084" s="57">
        <f>IF($A1084="","",IF(_xlfn.XLOOKUP($A1084,Korrelation!$D$4:$D$1197,Korrelation!K$4:K$1197,"-",0)="-",0,MATCH(_xlfn.XLOOKUP($A1084,Korrelation!$D$4:$D$1197,Korrelation!K$4:K$1197,"",0),'DM01-AV-CH'!$A$6:$A$834,0)))</f>
        <v>686</v>
      </c>
      <c r="J1084" s="54" t="str" cm="1">
        <f t="array" aca="1" ref="J1084" ca="1">IF(B1084=0,IF(E1084=0,"",HYPERLINK("#"&amp;RIGHT(CELL("adresse",OFFSET(DMAV_Dienste!$M$6,E1084-1,0)),LEN(CELL("adresse",OFFSET(DMAV_Dienste!$M$6,E1084-1,0)))-FIND("]",CELL("adresse",OFFSET(DMAV_Dienste!$M$6,E1084-1,0)))),"Dienst")),HYPERLINK("#"&amp;RIGHT(CELL("adresse",OFFSET(DMAV_Modell!$N$6,B1084-1,0)),LEN(CELL("adresse",OFFSET(DMAV_Modell!$N$6,B1084-1,0)))-FIND("]",CELL("adresse",OFFSET(DMAV_Modell!$N$6,B1084-1,0)))),"Modell"))</f>
        <v/>
      </c>
      <c r="K1084" s="61" t="str" cm="1">
        <f t="array" ref="K1084">IF($B1084=0,IF($E1084=0,"",IF(INDEX(DMAV_Dienste!P$6:P$140,$E1084)="","",INDEX(DMAV_Dienste!P$6:P$140,$E1084))),IF(INDEX(DMAV_Modell!Q$6:Q$838,$B1084)="","",INDEX(DMAV_Modell!Q$6:Q$838,$B1084)))</f>
        <v/>
      </c>
      <c r="L1084" s="62" t="str" cm="1">
        <f t="array" ref="L1084">IF($B1084=0,IF($E1084=0,"",IF(INDEX(DMAV_Dienste!O$6:O$140,$E1084)="","",INDEX(DMAV_Dienste!O$6:O$140,$E1084))),IF(INDEX(DMAV_Modell!P$6:P$838,$B1084)="","",INDEX(DMAV_Modell!P$6:P$838,$B1084)))</f>
        <v/>
      </c>
      <c r="M1084" s="62" t="str" cm="1">
        <f t="array" ref="M1084">IF($B1084=0,IF($E1084=0,"",IF(INDEX(DMAV_Dienste!Q$6:Q$140,$E1084)="","",INDEX(DMAV_Dienste!Q$6:Q$140,$E1084))),IF(INDEX(DMAV_Modell!R$6:R$838,$B1084)="","",INDEX(DMAV_Modell!R$6:R$838,$B1084)))</f>
        <v/>
      </c>
      <c r="N1084" s="62" t="str" cm="1">
        <f t="array" ref="N1084">IF($B1084=0,IF($E1084=0,"",IF(INDEX(DMAV_Dienste!T$6:T$140,$E1084)="","",INDEX(DMAV_Dienste!T$6:T$140,$E1084))),IF(INDEX(DMAV_Modell!U$6:U$838,$B1084)="","",INDEX(DMAV_Modell!U$6:U$838,$B1084)))</f>
        <v/>
      </c>
      <c r="O1084" s="63" t="str" cm="1">
        <f t="array" aca="1" ref="O1084" ca="1">IF(C1084=0,IF(F1084=0,"",HYPERLINK("#"&amp;RIGHT(CELL("adresse",OFFSET(DMAV_Dienste!$M$6,F1084-1,0)),LEN(CELL("adresse",OFFSET(DMAV_Dienste!$M$6,F1084-1,0)))-FIND("]",CELL("adresse",OFFSET(DMAV_Dienste!$M$6,F1084-1,0)))),"Structure")),HYPERLINK("#"&amp;RIGHT(CELL("adresse",OFFSET(DMAV_Modell!$N$6,C1084-1,0)),LEN(CELL("adresse",OFFSET(DMAV_Modell!$N$6,C1084-1,0)))-FIND("]",CELL("adresse",OFFSET(DMAV_Modell!$N$6,C1084-1,0)))),"Structure"))</f>
        <v/>
      </c>
      <c r="P1084" s="64" t="str" cm="1">
        <f t="array" aca="1" ref="P1084" ca="1">IF(D1084=0,IF(G1084=0,"",HYPERLINK("#"&amp;RIGHT(CELL("adresse",OFFSET(DMAV_Dienste!$M$6,G1084-1,0)),LEN(CELL("adresse",OFFSET(DMAV_Dienste!$M$6,G1084-1,0)))-FIND("]",CELL("adresse",OFFSET(DMAV_Dienste!$M$6,G1084-1,0)))),"Substructure")),HYPERLINK("#"&amp;RIGHT(CELL("adresse",OFFSET(DMAV_Modell!$N$6,D1084-1,0)),LEN(CELL("adresse",OFFSET(DMAV_Modell!$N$6,D1084-1,0)))-FIND("]",CELL("adresse",OFFSET(DMAV_Modell!$N$6,D1084-1,0)))),"Substructure"))</f>
        <v/>
      </c>
      <c r="R1084" s="80"/>
      <c r="T1084" s="93"/>
      <c r="U1084" s="94"/>
      <c r="V1084" s="95"/>
      <c r="W1084" s="96"/>
      <c r="Y1084" s="85"/>
      <c r="Z1084" s="86"/>
      <c r="AA1084" s="87"/>
      <c r="AB1084" s="88" t="s">
        <v>3608</v>
      </c>
      <c r="AD1084" s="77"/>
      <c r="AF1084" s="54" t="str" cm="1">
        <f t="array" aca="1" ref="AF1084" ca="1">IF(H1084=0,"",HYPERLINK("#"&amp;RIGHT(CELL("adresse",OFFSET('DM01-AV-CH'!$G$6,H1084-1,0)),LEN(CELL("adresse",OFFSET('DM01-AV-CH'!$G$6,H1084-1,0)))-FIND("]",CELL("adresse",OFFSET('DM01-AV-CH'!$G$6,H1084-1,0)))),"Modell"))</f>
        <v>Modell</v>
      </c>
      <c r="AG1084" s="72" t="str" cm="1">
        <f t="array" ref="AG1084">IF($H1084=0,"",IF(INDEX('DM01-AV-CH'!G$6:G$834,$H1084)="","",INDEX('DM01-AV-CH'!G$6:G$834,$H1084)))</f>
        <v>PLZOrtschaft</v>
      </c>
      <c r="AH1084" s="73" t="str" cm="1">
        <f t="array" ref="AH1084">IF($H1084=0,"",IF(INDEX('DM01-AV-CH'!H$6:H$834,$H1084)="","",INDEX('DM01-AV-CH'!H$6:H$834,$H1084)))</f>
        <v>PLZ6Nachfuehrung</v>
      </c>
      <c r="AI1084" s="74" t="str" cm="1">
        <f t="array" ref="AI1084">IF($H1084=0,"",IF(INDEX('DM01-AV-CH'!I$6:I$834,$H1084)="","",INDEX('DM01-AV-CH'!I$6:I$834,$H1084)))</f>
        <v>Identifikator</v>
      </c>
    </row>
    <row r="1085" spans="1:35" ht="142.5" x14ac:dyDescent="0.25">
      <c r="A1085" s="57">
        <v>1080</v>
      </c>
      <c r="B1085" s="57">
        <f>IF($A1085="","",IF(_xlfn.XLOOKUP($A1085,Korrelation!$D$4:$D$1197,Korrelation!E$4:E$1197,"-",0)="-",0,MATCH(_xlfn.XLOOKUP($A1085,Korrelation!$D$4:$D$1197,Korrelation!E$4:E$1197,"",0),DMAV_Modell!$G$6:$G$677,0)))</f>
        <v>0</v>
      </c>
      <c r="C1085" s="57">
        <f>IF($A1085="","",IF(_xlfn.XLOOKUP($A1085,Korrelation!$D$4:$D$1197,Korrelation!F$4:F$1197,"-",0)="-",0,MATCH(_xlfn.XLOOKUP($A1085,Korrelation!$D$4:$D$1197,Korrelation!F$4:F$1197,"",0),DMAV_Modell!$G$6:$G$677,0)))</f>
        <v>0</v>
      </c>
      <c r="D1085" s="57">
        <f>IF($A1085="","",IF(_xlfn.XLOOKUP($A1085,Korrelation!$D$4:$D$1197,Korrelation!G$4:G$1197,"-",0)="-",0,MATCH(_xlfn.XLOOKUP($A1085,Korrelation!$D$4:$D$1197,Korrelation!G$4:G$1197,"",0),DMAV_Modell!$G$6:$G$677,0)))</f>
        <v>0</v>
      </c>
      <c r="E1085" s="57">
        <f>IF($A1085="","",IF(_xlfn.XLOOKUP($A1085,Korrelation!$D$4:$D$1197,Korrelation!H$4:H$1197,"-",0)="-",0,MATCH(_xlfn.XLOOKUP($A1085,Korrelation!$D$4:$D$1197,Korrelation!H$4:H$1197,"",0),DMAV_Dienste!$F$6:$F$140,0)))</f>
        <v>0</v>
      </c>
      <c r="F1085" s="57">
        <f>IF($A1085="","",IF(_xlfn.XLOOKUP($A1085,Korrelation!$D$4:$D$1197,Korrelation!I$4:I$1197,"-",0)="-",0,MATCH(_xlfn.XLOOKUP($A1085,Korrelation!$D$4:$D$1197,Korrelation!I$4:I$1197,"",0),DMAV_Dienste!$F$6:$F$140,0)))</f>
        <v>0</v>
      </c>
      <c r="G1085" s="57">
        <f>IF($A1085="","",IF(_xlfn.XLOOKUP($A1085,Korrelation!$D$4:$D$1197,Korrelation!J$4:J$1197,"-",0)="-",0,MATCH(_xlfn.XLOOKUP($A1085,Korrelation!$D$4:$D$1197,Korrelation!J$4:J$1197,"",0),DMAV_Dienste!$F$6:$F$140,0)))</f>
        <v>0</v>
      </c>
      <c r="H1085" s="57">
        <f>IF($A1085="","",IF(_xlfn.XLOOKUP($A1085,Korrelation!$D$4:$D$1197,Korrelation!K$4:K$1197,"-",0)="-",0,MATCH(_xlfn.XLOOKUP($A1085,Korrelation!$D$4:$D$1197,Korrelation!K$4:K$1197,"",0),'DM01-AV-CH'!$A$6:$A$834,0)))</f>
        <v>687</v>
      </c>
      <c r="J1085" s="54" t="str" cm="1">
        <f t="array" aca="1" ref="J1085" ca="1">IF(B1085=0,IF(E1085=0,"",HYPERLINK("#"&amp;RIGHT(CELL("adresse",OFFSET(DMAV_Dienste!$M$6,E1085-1,0)),LEN(CELL("adresse",OFFSET(DMAV_Dienste!$M$6,E1085-1,0)))-FIND("]",CELL("adresse",OFFSET(DMAV_Dienste!$M$6,E1085-1,0)))),"Dienst")),HYPERLINK("#"&amp;RIGHT(CELL("adresse",OFFSET(DMAV_Modell!$N$6,B1085-1,0)),LEN(CELL("adresse",OFFSET(DMAV_Modell!$N$6,B1085-1,0)))-FIND("]",CELL("adresse",OFFSET(DMAV_Modell!$N$6,B1085-1,0)))),"Modell"))</f>
        <v/>
      </c>
      <c r="K1085" s="61" t="str" cm="1">
        <f t="array" ref="K1085">IF($B1085=0,IF($E1085=0,"",IF(INDEX(DMAV_Dienste!P$6:P$140,$E1085)="","",INDEX(DMAV_Dienste!P$6:P$140,$E1085))),IF(INDEX(DMAV_Modell!Q$6:Q$838,$B1085)="","",INDEX(DMAV_Modell!Q$6:Q$838,$B1085)))</f>
        <v/>
      </c>
      <c r="L1085" s="62" t="str" cm="1">
        <f t="array" ref="L1085">IF($B1085=0,IF($E1085=0,"",IF(INDEX(DMAV_Dienste!O$6:O$140,$E1085)="","",INDEX(DMAV_Dienste!O$6:O$140,$E1085))),IF(INDEX(DMAV_Modell!P$6:P$838,$B1085)="","",INDEX(DMAV_Modell!P$6:P$838,$B1085)))</f>
        <v/>
      </c>
      <c r="M1085" s="62" t="str" cm="1">
        <f t="array" ref="M1085">IF($B1085=0,IF($E1085=0,"",IF(INDEX(DMAV_Dienste!Q$6:Q$140,$E1085)="","",INDEX(DMAV_Dienste!Q$6:Q$140,$E1085))),IF(INDEX(DMAV_Modell!R$6:R$838,$B1085)="","",INDEX(DMAV_Modell!R$6:R$838,$B1085)))</f>
        <v/>
      </c>
      <c r="N1085" s="62" t="str" cm="1">
        <f t="array" ref="N1085">IF($B1085=0,IF($E1085=0,"",IF(INDEX(DMAV_Dienste!T$6:T$140,$E1085)="","",INDEX(DMAV_Dienste!T$6:T$140,$E1085))),IF(INDEX(DMAV_Modell!U$6:U$838,$B1085)="","",INDEX(DMAV_Modell!U$6:U$838,$B1085)))</f>
        <v/>
      </c>
      <c r="O1085" s="63" t="str" cm="1">
        <f t="array" aca="1" ref="O1085" ca="1">IF(C1085=0,IF(F1085=0,"",HYPERLINK("#"&amp;RIGHT(CELL("adresse",OFFSET(DMAV_Dienste!$M$6,F1085-1,0)),LEN(CELL("adresse",OFFSET(DMAV_Dienste!$M$6,F1085-1,0)))-FIND("]",CELL("adresse",OFFSET(DMAV_Dienste!$M$6,F1085-1,0)))),"Structure")),HYPERLINK("#"&amp;RIGHT(CELL("adresse",OFFSET(DMAV_Modell!$N$6,C1085-1,0)),LEN(CELL("adresse",OFFSET(DMAV_Modell!$N$6,C1085-1,0)))-FIND("]",CELL("adresse",OFFSET(DMAV_Modell!$N$6,C1085-1,0)))),"Structure"))</f>
        <v/>
      </c>
      <c r="P1085" s="64" t="str" cm="1">
        <f t="array" aca="1" ref="P1085" ca="1">IF(D1085=0,IF(G1085=0,"",HYPERLINK("#"&amp;RIGHT(CELL("adresse",OFFSET(DMAV_Dienste!$M$6,G1085-1,0)),LEN(CELL("adresse",OFFSET(DMAV_Dienste!$M$6,G1085-1,0)))-FIND("]",CELL("adresse",OFFSET(DMAV_Dienste!$M$6,G1085-1,0)))),"Substructure")),HYPERLINK("#"&amp;RIGHT(CELL("adresse",OFFSET(DMAV_Modell!$N$6,D1085-1,0)),LEN(CELL("adresse",OFFSET(DMAV_Modell!$N$6,D1085-1,0)))-FIND("]",CELL("adresse",OFFSET(DMAV_Modell!$N$6,D1085-1,0)))),"Substructure"))</f>
        <v/>
      </c>
      <c r="R1085" s="80"/>
      <c r="T1085" s="93"/>
      <c r="U1085" s="94"/>
      <c r="V1085" s="95"/>
      <c r="W1085" s="96"/>
      <c r="Y1085" s="85"/>
      <c r="Z1085" s="86"/>
      <c r="AA1085" s="87"/>
      <c r="AB1085" s="88" t="s">
        <v>3608</v>
      </c>
      <c r="AD1085" s="77"/>
      <c r="AF1085" s="54" t="str" cm="1">
        <f t="array" aca="1" ref="AF1085" ca="1">IF(H1085=0,"",HYPERLINK("#"&amp;RIGHT(CELL("adresse",OFFSET('DM01-AV-CH'!$G$6,H1085-1,0)),LEN(CELL("adresse",OFFSET('DM01-AV-CH'!$G$6,H1085-1,0)))-FIND("]",CELL("adresse",OFFSET('DM01-AV-CH'!$G$6,H1085-1,0)))),"Modell"))</f>
        <v>Modell</v>
      </c>
      <c r="AG1085" s="72" t="str" cm="1">
        <f t="array" ref="AG1085">IF($H1085=0,"",IF(INDEX('DM01-AV-CH'!G$6:G$834,$H1085)="","",INDEX('DM01-AV-CH'!G$6:G$834,$H1085)))</f>
        <v>PLZOrtschaft</v>
      </c>
      <c r="AH1085" s="73" t="str" cm="1">
        <f t="array" ref="AH1085">IF($H1085=0,"",IF(INDEX('DM01-AV-CH'!H$6:H$834,$H1085)="","",INDEX('DM01-AV-CH'!H$6:H$834,$H1085)))</f>
        <v>PLZ6Nachfuehrung</v>
      </c>
      <c r="AI1085" s="74" t="str" cm="1">
        <f t="array" ref="AI1085">IF($H1085=0,"",IF(INDEX('DM01-AV-CH'!I$6:I$834,$H1085)="","",INDEX('DM01-AV-CH'!I$6:I$834,$H1085)))</f>
        <v>Beschreibung</v>
      </c>
    </row>
    <row r="1086" spans="1:35" x14ac:dyDescent="0.25">
      <c r="A1086" s="57">
        <v>1081</v>
      </c>
      <c r="B1086" s="57">
        <f>IF($A1086="","",IF(_xlfn.XLOOKUP($A1086,Korrelation!$D$4:$D$1197,Korrelation!E$4:E$1197,"-",0)="-",0,MATCH(_xlfn.XLOOKUP($A1086,Korrelation!$D$4:$D$1197,Korrelation!E$4:E$1197,"",0),DMAV_Modell!$G$6:$G$677,0)))</f>
        <v>0</v>
      </c>
      <c r="C1086" s="57">
        <f>IF($A1086="","",IF(_xlfn.XLOOKUP($A1086,Korrelation!$D$4:$D$1197,Korrelation!F$4:F$1197,"-",0)="-",0,MATCH(_xlfn.XLOOKUP($A1086,Korrelation!$D$4:$D$1197,Korrelation!F$4:F$1197,"",0),DMAV_Modell!$G$6:$G$677,0)))</f>
        <v>0</v>
      </c>
      <c r="D1086" s="57">
        <f>IF($A1086="","",IF(_xlfn.XLOOKUP($A1086,Korrelation!$D$4:$D$1197,Korrelation!G$4:G$1197,"-",0)="-",0,MATCH(_xlfn.XLOOKUP($A1086,Korrelation!$D$4:$D$1197,Korrelation!G$4:G$1197,"",0),DMAV_Modell!$G$6:$G$677,0)))</f>
        <v>0</v>
      </c>
      <c r="E1086" s="57">
        <f>IF($A1086="","",IF(_xlfn.XLOOKUP($A1086,Korrelation!$D$4:$D$1197,Korrelation!H$4:H$1197,"-",0)="-",0,MATCH(_xlfn.XLOOKUP($A1086,Korrelation!$D$4:$D$1197,Korrelation!H$4:H$1197,"",0),DMAV_Dienste!$F$6:$F$140,0)))</f>
        <v>0</v>
      </c>
      <c r="F1086" s="57">
        <f>IF($A1086="","",IF(_xlfn.XLOOKUP($A1086,Korrelation!$D$4:$D$1197,Korrelation!I$4:I$1197,"-",0)="-",0,MATCH(_xlfn.XLOOKUP($A1086,Korrelation!$D$4:$D$1197,Korrelation!I$4:I$1197,"",0),DMAV_Dienste!$F$6:$F$140,0)))</f>
        <v>0</v>
      </c>
      <c r="G1086" s="57">
        <f>IF($A1086="","",IF(_xlfn.XLOOKUP($A1086,Korrelation!$D$4:$D$1197,Korrelation!J$4:J$1197,"-",0)="-",0,MATCH(_xlfn.XLOOKUP($A1086,Korrelation!$D$4:$D$1197,Korrelation!J$4:J$1197,"",0),DMAV_Dienste!$F$6:$F$140,0)))</f>
        <v>0</v>
      </c>
      <c r="H1086" s="57">
        <f>IF($A1086="","",IF(_xlfn.XLOOKUP($A1086,Korrelation!$D$4:$D$1197,Korrelation!K$4:K$1197,"-",0)="-",0,MATCH(_xlfn.XLOOKUP($A1086,Korrelation!$D$4:$D$1197,Korrelation!K$4:K$1197,"",0),'DM01-AV-CH'!$A$6:$A$834,0)))</f>
        <v>688</v>
      </c>
      <c r="J1086" s="54" t="str" cm="1">
        <f t="array" aca="1" ref="J1086" ca="1">IF(B1086=0,IF(E1086=0,"",HYPERLINK("#"&amp;RIGHT(CELL("adresse",OFFSET(DMAV_Dienste!$M$6,E1086-1,0)),LEN(CELL("adresse",OFFSET(DMAV_Dienste!$M$6,E1086-1,0)))-FIND("]",CELL("adresse",OFFSET(DMAV_Dienste!$M$6,E1086-1,0)))),"Dienst")),HYPERLINK("#"&amp;RIGHT(CELL("adresse",OFFSET(DMAV_Modell!$N$6,B1086-1,0)),LEN(CELL("adresse",OFFSET(DMAV_Modell!$N$6,B1086-1,0)))-FIND("]",CELL("adresse",OFFSET(DMAV_Modell!$N$6,B1086-1,0)))),"Modell"))</f>
        <v/>
      </c>
      <c r="K1086" s="61" t="str" cm="1">
        <f t="array" ref="K1086">IF($B1086=0,IF($E1086=0,"",IF(INDEX(DMAV_Dienste!P$6:P$140,$E1086)="","",INDEX(DMAV_Dienste!P$6:P$140,$E1086))),IF(INDEX(DMAV_Modell!Q$6:Q$838,$B1086)="","",INDEX(DMAV_Modell!Q$6:Q$838,$B1086)))</f>
        <v/>
      </c>
      <c r="L1086" s="62" t="str" cm="1">
        <f t="array" ref="L1086">IF($B1086=0,IF($E1086=0,"",IF(INDEX(DMAV_Dienste!O$6:O$140,$E1086)="","",INDEX(DMAV_Dienste!O$6:O$140,$E1086))),IF(INDEX(DMAV_Modell!P$6:P$838,$B1086)="","",INDEX(DMAV_Modell!P$6:P$838,$B1086)))</f>
        <v/>
      </c>
      <c r="M1086" s="62" t="str" cm="1">
        <f t="array" ref="M1086">IF($B1086=0,IF($E1086=0,"",IF(INDEX(DMAV_Dienste!Q$6:Q$140,$E1086)="","",INDEX(DMAV_Dienste!Q$6:Q$140,$E1086))),IF(INDEX(DMAV_Modell!R$6:R$838,$B1086)="","",INDEX(DMAV_Modell!R$6:R$838,$B1086)))</f>
        <v/>
      </c>
      <c r="N1086" s="62" t="str" cm="1">
        <f t="array" ref="N1086">IF($B1086=0,IF($E1086=0,"",IF(INDEX(DMAV_Dienste!T$6:T$140,$E1086)="","",INDEX(DMAV_Dienste!T$6:T$140,$E1086))),IF(INDEX(DMAV_Modell!U$6:U$838,$B1086)="","",INDEX(DMAV_Modell!U$6:U$838,$B1086)))</f>
        <v/>
      </c>
      <c r="O1086" s="63" t="str" cm="1">
        <f t="array" aca="1" ref="O1086" ca="1">IF(C1086=0,IF(F1086=0,"",HYPERLINK("#"&amp;RIGHT(CELL("adresse",OFFSET(DMAV_Dienste!$M$6,F1086-1,0)),LEN(CELL("adresse",OFFSET(DMAV_Dienste!$M$6,F1086-1,0)))-FIND("]",CELL("adresse",OFFSET(DMAV_Dienste!$M$6,F1086-1,0)))),"Structure")),HYPERLINK("#"&amp;RIGHT(CELL("adresse",OFFSET(DMAV_Modell!$N$6,C1086-1,0)),LEN(CELL("adresse",OFFSET(DMAV_Modell!$N$6,C1086-1,0)))-FIND("]",CELL("adresse",OFFSET(DMAV_Modell!$N$6,C1086-1,0)))),"Structure"))</f>
        <v/>
      </c>
      <c r="P1086" s="64" t="str" cm="1">
        <f t="array" aca="1" ref="P1086" ca="1">IF(D1086=0,IF(G1086=0,"",HYPERLINK("#"&amp;RIGHT(CELL("adresse",OFFSET(DMAV_Dienste!$M$6,G1086-1,0)),LEN(CELL("adresse",OFFSET(DMAV_Dienste!$M$6,G1086-1,0)))-FIND("]",CELL("adresse",OFFSET(DMAV_Dienste!$M$6,G1086-1,0)))),"Substructure")),HYPERLINK("#"&amp;RIGHT(CELL("adresse",OFFSET(DMAV_Modell!$N$6,D1086-1,0)),LEN(CELL("adresse",OFFSET(DMAV_Modell!$N$6,D1086-1,0)))-FIND("]",CELL("adresse",OFFSET(DMAV_Modell!$N$6,D1086-1,0)))),"Substructure"))</f>
        <v/>
      </c>
      <c r="R1086" s="80"/>
      <c r="T1086" s="93"/>
      <c r="U1086" s="94"/>
      <c r="V1086" s="95"/>
      <c r="W1086" s="96"/>
      <c r="Y1086" s="85"/>
      <c r="Z1086" s="86"/>
      <c r="AA1086" s="87"/>
      <c r="AB1086" s="88"/>
      <c r="AD1086" s="77"/>
      <c r="AF1086" s="54" t="str" cm="1">
        <f t="array" aca="1" ref="AF1086" ca="1">IF(H1086=0,"",HYPERLINK("#"&amp;RIGHT(CELL("adresse",OFFSET('DM01-AV-CH'!$G$6,H1086-1,0)),LEN(CELL("adresse",OFFSET('DM01-AV-CH'!$G$6,H1086-1,0)))-FIND("]",CELL("adresse",OFFSET('DM01-AV-CH'!$G$6,H1086-1,0)))),"Modell"))</f>
        <v>Modell</v>
      </c>
      <c r="AG1086" s="72" t="str" cm="1">
        <f t="array" ref="AG1086">IF($H1086=0,"",IF(INDEX('DM01-AV-CH'!G$6:G$834,$H1086)="","",INDEX('DM01-AV-CH'!G$6:G$834,$H1086)))</f>
        <v>PLZOrtschaft</v>
      </c>
      <c r="AH1086" s="73" t="str" cm="1">
        <f t="array" ref="AH1086">IF($H1086=0,"",IF(INDEX('DM01-AV-CH'!H$6:H$834,$H1086)="","",INDEX('DM01-AV-CH'!H$6:H$834,$H1086)))</f>
        <v>PLZ6Nachfuehrung</v>
      </c>
      <c r="AI1086" s="74" t="str" cm="1">
        <f t="array" ref="AI1086">IF($H1086=0,"",IF(INDEX('DM01-AV-CH'!I$6:I$834,$H1086)="","",INDEX('DM01-AV-CH'!I$6:I$834,$H1086)))</f>
        <v>Perimeter</v>
      </c>
    </row>
    <row r="1087" spans="1:35" ht="142.5" x14ac:dyDescent="0.25">
      <c r="A1087" s="57">
        <v>1082</v>
      </c>
      <c r="B1087" s="57">
        <f>IF($A1087="","",IF(_xlfn.XLOOKUP($A1087,Korrelation!$D$4:$D$1197,Korrelation!E$4:E$1197,"-",0)="-",0,MATCH(_xlfn.XLOOKUP($A1087,Korrelation!$D$4:$D$1197,Korrelation!E$4:E$1197,"",0),DMAV_Modell!$G$6:$G$677,0)))</f>
        <v>0</v>
      </c>
      <c r="C1087" s="57">
        <f>IF($A1087="","",IF(_xlfn.XLOOKUP($A1087,Korrelation!$D$4:$D$1197,Korrelation!F$4:F$1197,"-",0)="-",0,MATCH(_xlfn.XLOOKUP($A1087,Korrelation!$D$4:$D$1197,Korrelation!F$4:F$1197,"",0),DMAV_Modell!$G$6:$G$677,0)))</f>
        <v>0</v>
      </c>
      <c r="D1087" s="57">
        <f>IF($A1087="","",IF(_xlfn.XLOOKUP($A1087,Korrelation!$D$4:$D$1197,Korrelation!G$4:G$1197,"-",0)="-",0,MATCH(_xlfn.XLOOKUP($A1087,Korrelation!$D$4:$D$1197,Korrelation!G$4:G$1197,"",0),DMAV_Modell!$G$6:$G$677,0)))</f>
        <v>0</v>
      </c>
      <c r="E1087" s="57">
        <f>IF($A1087="","",IF(_xlfn.XLOOKUP($A1087,Korrelation!$D$4:$D$1197,Korrelation!H$4:H$1197,"-",0)="-",0,MATCH(_xlfn.XLOOKUP($A1087,Korrelation!$D$4:$D$1197,Korrelation!H$4:H$1197,"",0),DMAV_Dienste!$F$6:$F$140,0)))</f>
        <v>0</v>
      </c>
      <c r="F1087" s="57">
        <f>IF($A1087="","",IF(_xlfn.XLOOKUP($A1087,Korrelation!$D$4:$D$1197,Korrelation!I$4:I$1197,"-",0)="-",0,MATCH(_xlfn.XLOOKUP($A1087,Korrelation!$D$4:$D$1197,Korrelation!I$4:I$1197,"",0),DMAV_Dienste!$F$6:$F$140,0)))</f>
        <v>0</v>
      </c>
      <c r="G1087" s="57">
        <f>IF($A1087="","",IF(_xlfn.XLOOKUP($A1087,Korrelation!$D$4:$D$1197,Korrelation!J$4:J$1197,"-",0)="-",0,MATCH(_xlfn.XLOOKUP($A1087,Korrelation!$D$4:$D$1197,Korrelation!J$4:J$1197,"",0),DMAV_Dienste!$F$6:$F$140,0)))</f>
        <v>0</v>
      </c>
      <c r="H1087" s="57">
        <f>IF($A1087="","",IF(_xlfn.XLOOKUP($A1087,Korrelation!$D$4:$D$1197,Korrelation!K$4:K$1197,"-",0)="-",0,MATCH(_xlfn.XLOOKUP($A1087,Korrelation!$D$4:$D$1197,Korrelation!K$4:K$1197,"",0),'DM01-AV-CH'!$A$6:$A$834,0)))</f>
        <v>689</v>
      </c>
      <c r="J1087" s="54" t="str" cm="1">
        <f t="array" aca="1" ref="J1087" ca="1">IF(B1087=0,IF(E1087=0,"",HYPERLINK("#"&amp;RIGHT(CELL("adresse",OFFSET(DMAV_Dienste!$M$6,E1087-1,0)),LEN(CELL("adresse",OFFSET(DMAV_Dienste!$M$6,E1087-1,0)))-FIND("]",CELL("adresse",OFFSET(DMAV_Dienste!$M$6,E1087-1,0)))),"Dienst")),HYPERLINK("#"&amp;RIGHT(CELL("adresse",OFFSET(DMAV_Modell!$N$6,B1087-1,0)),LEN(CELL("adresse",OFFSET(DMAV_Modell!$N$6,B1087-1,0)))-FIND("]",CELL("adresse",OFFSET(DMAV_Modell!$N$6,B1087-1,0)))),"Modell"))</f>
        <v/>
      </c>
      <c r="K1087" s="61" t="str" cm="1">
        <f t="array" ref="K1087">IF($B1087=0,IF($E1087=0,"",IF(INDEX(DMAV_Dienste!P$6:P$140,$E1087)="","",INDEX(DMAV_Dienste!P$6:P$140,$E1087))),IF(INDEX(DMAV_Modell!Q$6:Q$838,$B1087)="","",INDEX(DMAV_Modell!Q$6:Q$838,$B1087)))</f>
        <v/>
      </c>
      <c r="L1087" s="62" t="str" cm="1">
        <f t="array" ref="L1087">IF($B1087=0,IF($E1087=0,"",IF(INDEX(DMAV_Dienste!O$6:O$140,$E1087)="","",INDEX(DMAV_Dienste!O$6:O$140,$E1087))),IF(INDEX(DMAV_Modell!P$6:P$838,$B1087)="","",INDEX(DMAV_Modell!P$6:P$838,$B1087)))</f>
        <v/>
      </c>
      <c r="M1087" s="62" t="str" cm="1">
        <f t="array" ref="M1087">IF($B1087=0,IF($E1087=0,"",IF(INDEX(DMAV_Dienste!Q$6:Q$140,$E1087)="","",INDEX(DMAV_Dienste!Q$6:Q$140,$E1087))),IF(INDEX(DMAV_Modell!R$6:R$838,$B1087)="","",INDEX(DMAV_Modell!R$6:R$838,$B1087)))</f>
        <v/>
      </c>
      <c r="N1087" s="62" t="str" cm="1">
        <f t="array" ref="N1087">IF($B1087=0,IF($E1087=0,"",IF(INDEX(DMAV_Dienste!T$6:T$140,$E1087)="","",INDEX(DMAV_Dienste!T$6:T$140,$E1087))),IF(INDEX(DMAV_Modell!U$6:U$838,$B1087)="","",INDEX(DMAV_Modell!U$6:U$838,$B1087)))</f>
        <v/>
      </c>
      <c r="O1087" s="63" t="str" cm="1">
        <f t="array" aca="1" ref="O1087" ca="1">IF(C1087=0,IF(F1087=0,"",HYPERLINK("#"&amp;RIGHT(CELL("adresse",OFFSET(DMAV_Dienste!$M$6,F1087-1,0)),LEN(CELL("adresse",OFFSET(DMAV_Dienste!$M$6,F1087-1,0)))-FIND("]",CELL("adresse",OFFSET(DMAV_Dienste!$M$6,F1087-1,0)))),"Structure")),HYPERLINK("#"&amp;RIGHT(CELL("adresse",OFFSET(DMAV_Modell!$N$6,C1087-1,0)),LEN(CELL("adresse",OFFSET(DMAV_Modell!$N$6,C1087-1,0)))-FIND("]",CELL("adresse",OFFSET(DMAV_Modell!$N$6,C1087-1,0)))),"Structure"))</f>
        <v/>
      </c>
      <c r="P1087" s="64" t="str" cm="1">
        <f t="array" aca="1" ref="P1087" ca="1">IF(D1087=0,IF(G1087=0,"",HYPERLINK("#"&amp;RIGHT(CELL("adresse",OFFSET(DMAV_Dienste!$M$6,G1087-1,0)),LEN(CELL("adresse",OFFSET(DMAV_Dienste!$M$6,G1087-1,0)))-FIND("]",CELL("adresse",OFFSET(DMAV_Dienste!$M$6,G1087-1,0)))),"Substructure")),HYPERLINK("#"&amp;RIGHT(CELL("adresse",OFFSET(DMAV_Modell!$N$6,D1087-1,0)),LEN(CELL("adresse",OFFSET(DMAV_Modell!$N$6,D1087-1,0)))-FIND("]",CELL("adresse",OFFSET(DMAV_Modell!$N$6,D1087-1,0)))),"Substructure"))</f>
        <v/>
      </c>
      <c r="R1087" s="80"/>
      <c r="T1087" s="93"/>
      <c r="U1087" s="94"/>
      <c r="V1087" s="95"/>
      <c r="W1087" s="96"/>
      <c r="Y1087" s="85"/>
      <c r="Z1087" s="86"/>
      <c r="AA1087" s="87"/>
      <c r="AB1087" s="88" t="s">
        <v>3608</v>
      </c>
      <c r="AD1087" s="77"/>
      <c r="AF1087" s="54" t="str" cm="1">
        <f t="array" aca="1" ref="AF1087" ca="1">IF(H1087=0,"",HYPERLINK("#"&amp;RIGHT(CELL("adresse",OFFSET('DM01-AV-CH'!$G$6,H1087-1,0)),LEN(CELL("adresse",OFFSET('DM01-AV-CH'!$G$6,H1087-1,0)))-FIND("]",CELL("adresse",OFFSET('DM01-AV-CH'!$G$6,H1087-1,0)))),"Modell"))</f>
        <v>Modell</v>
      </c>
      <c r="AG1087" s="72" t="str" cm="1">
        <f t="array" ref="AG1087">IF($H1087=0,"",IF(INDEX('DM01-AV-CH'!G$6:G$834,$H1087)="","",INDEX('DM01-AV-CH'!G$6:G$834,$H1087)))</f>
        <v>PLZOrtschaft</v>
      </c>
      <c r="AH1087" s="73" t="str" cm="1">
        <f t="array" ref="AH1087">IF($H1087=0,"",IF(INDEX('DM01-AV-CH'!H$6:H$834,$H1087)="","",INDEX('DM01-AV-CH'!H$6:H$834,$H1087)))</f>
        <v>PLZ6Nachfuehrung</v>
      </c>
      <c r="AI1087" s="74" t="str" cm="1">
        <f t="array" ref="AI1087">IF($H1087=0,"",IF(INDEX('DM01-AV-CH'!I$6:I$834,$H1087)="","",INDEX('DM01-AV-CH'!I$6:I$834,$H1087)))</f>
        <v>Gueltigkeit</v>
      </c>
    </row>
    <row r="1088" spans="1:35" ht="142.5" x14ac:dyDescent="0.25">
      <c r="A1088" s="57">
        <v>1083</v>
      </c>
      <c r="B1088" s="57">
        <f>IF($A1088="","",IF(_xlfn.XLOOKUP($A1088,Korrelation!$D$4:$D$1197,Korrelation!E$4:E$1197,"-",0)="-",0,MATCH(_xlfn.XLOOKUP($A1088,Korrelation!$D$4:$D$1197,Korrelation!E$4:E$1197,"",0),DMAV_Modell!$G$6:$G$677,0)))</f>
        <v>0</v>
      </c>
      <c r="C1088" s="57">
        <f>IF($A1088="","",IF(_xlfn.XLOOKUP($A1088,Korrelation!$D$4:$D$1197,Korrelation!F$4:F$1197,"-",0)="-",0,MATCH(_xlfn.XLOOKUP($A1088,Korrelation!$D$4:$D$1197,Korrelation!F$4:F$1197,"",0),DMAV_Modell!$G$6:$G$677,0)))</f>
        <v>0</v>
      </c>
      <c r="D1088" s="57">
        <f>IF($A1088="","",IF(_xlfn.XLOOKUP($A1088,Korrelation!$D$4:$D$1197,Korrelation!G$4:G$1197,"-",0)="-",0,MATCH(_xlfn.XLOOKUP($A1088,Korrelation!$D$4:$D$1197,Korrelation!G$4:G$1197,"",0),DMAV_Modell!$G$6:$G$677,0)))</f>
        <v>0</v>
      </c>
      <c r="E1088" s="57">
        <f>IF($A1088="","",IF(_xlfn.XLOOKUP($A1088,Korrelation!$D$4:$D$1197,Korrelation!H$4:H$1197,"-",0)="-",0,MATCH(_xlfn.XLOOKUP($A1088,Korrelation!$D$4:$D$1197,Korrelation!H$4:H$1197,"",0),DMAV_Dienste!$F$6:$F$140,0)))</f>
        <v>0</v>
      </c>
      <c r="F1088" s="57">
        <f>IF($A1088="","",IF(_xlfn.XLOOKUP($A1088,Korrelation!$D$4:$D$1197,Korrelation!I$4:I$1197,"-",0)="-",0,MATCH(_xlfn.XLOOKUP($A1088,Korrelation!$D$4:$D$1197,Korrelation!I$4:I$1197,"",0),DMAV_Dienste!$F$6:$F$140,0)))</f>
        <v>0</v>
      </c>
      <c r="G1088" s="57">
        <f>IF($A1088="","",IF(_xlfn.XLOOKUP($A1088,Korrelation!$D$4:$D$1197,Korrelation!J$4:J$1197,"-",0)="-",0,MATCH(_xlfn.XLOOKUP($A1088,Korrelation!$D$4:$D$1197,Korrelation!J$4:J$1197,"",0),DMAV_Dienste!$F$6:$F$140,0)))</f>
        <v>0</v>
      </c>
      <c r="H1088" s="57">
        <f>IF($A1088="","",IF(_xlfn.XLOOKUP($A1088,Korrelation!$D$4:$D$1197,Korrelation!K$4:K$1197,"-",0)="-",0,MATCH(_xlfn.XLOOKUP($A1088,Korrelation!$D$4:$D$1197,Korrelation!K$4:K$1197,"",0),'DM01-AV-CH'!$A$6:$A$834,0)))</f>
        <v>690</v>
      </c>
      <c r="J1088" s="54" t="str" cm="1">
        <f t="array" aca="1" ref="J1088" ca="1">IF(B1088=0,IF(E1088=0,"",HYPERLINK("#"&amp;RIGHT(CELL("adresse",OFFSET(DMAV_Dienste!$M$6,E1088-1,0)),LEN(CELL("adresse",OFFSET(DMAV_Dienste!$M$6,E1088-1,0)))-FIND("]",CELL("adresse",OFFSET(DMAV_Dienste!$M$6,E1088-1,0)))),"Dienst")),HYPERLINK("#"&amp;RIGHT(CELL("adresse",OFFSET(DMAV_Modell!$N$6,B1088-1,0)),LEN(CELL("adresse",OFFSET(DMAV_Modell!$N$6,B1088-1,0)))-FIND("]",CELL("adresse",OFFSET(DMAV_Modell!$N$6,B1088-1,0)))),"Modell"))</f>
        <v/>
      </c>
      <c r="K1088" s="61" t="str" cm="1">
        <f t="array" ref="K1088">IF($B1088=0,IF($E1088=0,"",IF(INDEX(DMAV_Dienste!P$6:P$140,$E1088)="","",INDEX(DMAV_Dienste!P$6:P$140,$E1088))),IF(INDEX(DMAV_Modell!Q$6:Q$838,$B1088)="","",INDEX(DMAV_Modell!Q$6:Q$838,$B1088)))</f>
        <v/>
      </c>
      <c r="L1088" s="62" t="str" cm="1">
        <f t="array" ref="L1088">IF($B1088=0,IF($E1088=0,"",IF(INDEX(DMAV_Dienste!O$6:O$140,$E1088)="","",INDEX(DMAV_Dienste!O$6:O$140,$E1088))),IF(INDEX(DMAV_Modell!P$6:P$838,$B1088)="","",INDEX(DMAV_Modell!P$6:P$838,$B1088)))</f>
        <v/>
      </c>
      <c r="M1088" s="62" t="str" cm="1">
        <f t="array" ref="M1088">IF($B1088=0,IF($E1088=0,"",IF(INDEX(DMAV_Dienste!Q$6:Q$140,$E1088)="","",INDEX(DMAV_Dienste!Q$6:Q$140,$E1088))),IF(INDEX(DMAV_Modell!R$6:R$838,$B1088)="","",INDEX(DMAV_Modell!R$6:R$838,$B1088)))</f>
        <v/>
      </c>
      <c r="N1088" s="62" t="str" cm="1">
        <f t="array" ref="N1088">IF($B1088=0,IF($E1088=0,"",IF(INDEX(DMAV_Dienste!T$6:T$140,$E1088)="","",INDEX(DMAV_Dienste!T$6:T$140,$E1088))),IF(INDEX(DMAV_Modell!U$6:U$838,$B1088)="","",INDEX(DMAV_Modell!U$6:U$838,$B1088)))</f>
        <v/>
      </c>
      <c r="O1088" s="63" t="str" cm="1">
        <f t="array" aca="1" ref="O1088" ca="1">IF(C1088=0,IF(F1088=0,"",HYPERLINK("#"&amp;RIGHT(CELL("adresse",OFFSET(DMAV_Dienste!$M$6,F1088-1,0)),LEN(CELL("adresse",OFFSET(DMAV_Dienste!$M$6,F1088-1,0)))-FIND("]",CELL("adresse",OFFSET(DMAV_Dienste!$M$6,F1088-1,0)))),"Structure")),HYPERLINK("#"&amp;RIGHT(CELL("adresse",OFFSET(DMAV_Modell!$N$6,C1088-1,0)),LEN(CELL("adresse",OFFSET(DMAV_Modell!$N$6,C1088-1,0)))-FIND("]",CELL("adresse",OFFSET(DMAV_Modell!$N$6,C1088-1,0)))),"Structure"))</f>
        <v/>
      </c>
      <c r="P1088" s="64" t="str" cm="1">
        <f t="array" aca="1" ref="P1088" ca="1">IF(D1088=0,IF(G1088=0,"",HYPERLINK("#"&amp;RIGHT(CELL("adresse",OFFSET(DMAV_Dienste!$M$6,G1088-1,0)),LEN(CELL("adresse",OFFSET(DMAV_Dienste!$M$6,G1088-1,0)))-FIND("]",CELL("adresse",OFFSET(DMAV_Dienste!$M$6,G1088-1,0)))),"Substructure")),HYPERLINK("#"&amp;RIGHT(CELL("adresse",OFFSET(DMAV_Modell!$N$6,D1088-1,0)),LEN(CELL("adresse",OFFSET(DMAV_Modell!$N$6,D1088-1,0)))-FIND("]",CELL("adresse",OFFSET(DMAV_Modell!$N$6,D1088-1,0)))),"Substructure"))</f>
        <v/>
      </c>
      <c r="R1088" s="80"/>
      <c r="T1088" s="93"/>
      <c r="U1088" s="94"/>
      <c r="V1088" s="95"/>
      <c r="W1088" s="96"/>
      <c r="Y1088" s="85"/>
      <c r="Z1088" s="86"/>
      <c r="AA1088" s="87"/>
      <c r="AB1088" s="88" t="s">
        <v>3608</v>
      </c>
      <c r="AD1088" s="77"/>
      <c r="AF1088" s="54" t="str" cm="1">
        <f t="array" aca="1" ref="AF1088" ca="1">IF(H1088=0,"",HYPERLINK("#"&amp;RIGHT(CELL("adresse",OFFSET('DM01-AV-CH'!$G$6,H1088-1,0)),LEN(CELL("adresse",OFFSET('DM01-AV-CH'!$G$6,H1088-1,0)))-FIND("]",CELL("adresse",OFFSET('DM01-AV-CH'!$G$6,H1088-1,0)))),"Modell"))</f>
        <v>Modell</v>
      </c>
      <c r="AG1088" s="72" t="str" cm="1">
        <f t="array" ref="AG1088">IF($H1088=0,"",IF(INDEX('DM01-AV-CH'!G$6:G$834,$H1088)="","",INDEX('DM01-AV-CH'!G$6:G$834,$H1088)))</f>
        <v>PLZOrtschaft</v>
      </c>
      <c r="AH1088" s="73" t="str" cm="1">
        <f t="array" ref="AH1088">IF($H1088=0,"",IF(INDEX('DM01-AV-CH'!H$6:H$834,$H1088)="","",INDEX('DM01-AV-CH'!H$6:H$834,$H1088)))</f>
        <v>PLZ6Nachfuehrung</v>
      </c>
      <c r="AI1088" s="74" t="str" cm="1">
        <f t="array" ref="AI1088">IF($H1088=0,"",IF(INDEX('DM01-AV-CH'!I$6:I$834,$H1088)="","",INDEX('DM01-AV-CH'!I$6:I$834,$H1088)))</f>
        <v>GueltigerEintrag</v>
      </c>
    </row>
    <row r="1089" spans="1:35" x14ac:dyDescent="0.25">
      <c r="A1089" s="57">
        <v>1084</v>
      </c>
      <c r="B1089" s="57">
        <f>IF($A1089="","",IF(_xlfn.XLOOKUP($A1089,Korrelation!$D$4:$D$1197,Korrelation!E$4:E$1197,"-",0)="-",0,MATCH(_xlfn.XLOOKUP($A1089,Korrelation!$D$4:$D$1197,Korrelation!E$4:E$1197,"",0),DMAV_Modell!$G$6:$G$677,0)))</f>
        <v>0</v>
      </c>
      <c r="C1089" s="57">
        <f>IF($A1089="","",IF(_xlfn.XLOOKUP($A1089,Korrelation!$D$4:$D$1197,Korrelation!F$4:F$1197,"-",0)="-",0,MATCH(_xlfn.XLOOKUP($A1089,Korrelation!$D$4:$D$1197,Korrelation!F$4:F$1197,"",0),DMAV_Modell!$G$6:$G$677,0)))</f>
        <v>0</v>
      </c>
      <c r="D1089" s="57">
        <f>IF($A1089="","",IF(_xlfn.XLOOKUP($A1089,Korrelation!$D$4:$D$1197,Korrelation!G$4:G$1197,"-",0)="-",0,MATCH(_xlfn.XLOOKUP($A1089,Korrelation!$D$4:$D$1197,Korrelation!G$4:G$1197,"",0),DMAV_Modell!$G$6:$G$677,0)))</f>
        <v>0</v>
      </c>
      <c r="E1089" s="57">
        <f>IF($A1089="","",IF(_xlfn.XLOOKUP($A1089,Korrelation!$D$4:$D$1197,Korrelation!H$4:H$1197,"-",0)="-",0,MATCH(_xlfn.XLOOKUP($A1089,Korrelation!$D$4:$D$1197,Korrelation!H$4:H$1197,"",0),DMAV_Dienste!$F$6:$F$140,0)))</f>
        <v>0</v>
      </c>
      <c r="F1089" s="57">
        <f>IF($A1089="","",IF(_xlfn.XLOOKUP($A1089,Korrelation!$D$4:$D$1197,Korrelation!I$4:I$1197,"-",0)="-",0,MATCH(_xlfn.XLOOKUP($A1089,Korrelation!$D$4:$D$1197,Korrelation!I$4:I$1197,"",0),DMAV_Dienste!$F$6:$F$140,0)))</f>
        <v>0</v>
      </c>
      <c r="G1089" s="57">
        <f>IF($A1089="","",IF(_xlfn.XLOOKUP($A1089,Korrelation!$D$4:$D$1197,Korrelation!J$4:J$1197,"-",0)="-",0,MATCH(_xlfn.XLOOKUP($A1089,Korrelation!$D$4:$D$1197,Korrelation!J$4:J$1197,"",0),DMAV_Dienste!$F$6:$F$140,0)))</f>
        <v>0</v>
      </c>
      <c r="H1089" s="57">
        <f>IF($A1089="","",IF(_xlfn.XLOOKUP($A1089,Korrelation!$D$4:$D$1197,Korrelation!K$4:K$1197,"-",0)="-",0,MATCH(_xlfn.XLOOKUP($A1089,Korrelation!$D$4:$D$1197,Korrelation!K$4:K$1197,"",0),'DM01-AV-CH'!$A$6:$A$834,0)))</f>
        <v>691</v>
      </c>
      <c r="J1089" s="54" t="str" cm="1">
        <f t="array" aca="1" ref="J1089" ca="1">IF(B1089=0,IF(E1089=0,"",HYPERLINK("#"&amp;RIGHT(CELL("adresse",OFFSET(DMAV_Dienste!$M$6,E1089-1,0)),LEN(CELL("adresse",OFFSET(DMAV_Dienste!$M$6,E1089-1,0)))-FIND("]",CELL("adresse",OFFSET(DMAV_Dienste!$M$6,E1089-1,0)))),"Dienst")),HYPERLINK("#"&amp;RIGHT(CELL("adresse",OFFSET(DMAV_Modell!$N$6,B1089-1,0)),LEN(CELL("adresse",OFFSET(DMAV_Modell!$N$6,B1089-1,0)))-FIND("]",CELL("adresse",OFFSET(DMAV_Modell!$N$6,B1089-1,0)))),"Modell"))</f>
        <v/>
      </c>
      <c r="K1089" s="61" t="str" cm="1">
        <f t="array" ref="K1089">IF($B1089=0,IF($E1089=0,"",IF(INDEX(DMAV_Dienste!P$6:P$140,$E1089)="","",INDEX(DMAV_Dienste!P$6:P$140,$E1089))),IF(INDEX(DMAV_Modell!Q$6:Q$838,$B1089)="","",INDEX(DMAV_Modell!Q$6:Q$838,$B1089)))</f>
        <v/>
      </c>
      <c r="L1089" s="62" t="str" cm="1">
        <f t="array" ref="L1089">IF($B1089=0,IF($E1089=0,"",IF(INDEX(DMAV_Dienste!O$6:O$140,$E1089)="","",INDEX(DMAV_Dienste!O$6:O$140,$E1089))),IF(INDEX(DMAV_Modell!P$6:P$838,$B1089)="","",INDEX(DMAV_Modell!P$6:P$838,$B1089)))</f>
        <v/>
      </c>
      <c r="M1089" s="62" t="str" cm="1">
        <f t="array" ref="M1089">IF($B1089=0,IF($E1089=0,"",IF(INDEX(DMAV_Dienste!Q$6:Q$140,$E1089)="","",INDEX(DMAV_Dienste!Q$6:Q$140,$E1089))),IF(INDEX(DMAV_Modell!R$6:R$838,$B1089)="","",INDEX(DMAV_Modell!R$6:R$838,$B1089)))</f>
        <v/>
      </c>
      <c r="N1089" s="62" t="str" cm="1">
        <f t="array" ref="N1089">IF($B1089=0,IF($E1089=0,"",IF(INDEX(DMAV_Dienste!T$6:T$140,$E1089)="","",INDEX(DMAV_Dienste!T$6:T$140,$E1089))),IF(INDEX(DMAV_Modell!U$6:U$838,$B1089)="","",INDEX(DMAV_Modell!U$6:U$838,$B1089)))</f>
        <v/>
      </c>
      <c r="O1089" s="63" t="str" cm="1">
        <f t="array" aca="1" ref="O1089" ca="1">IF(C1089=0,IF(F1089=0,"",HYPERLINK("#"&amp;RIGHT(CELL("adresse",OFFSET(DMAV_Dienste!$M$6,F1089-1,0)),LEN(CELL("adresse",OFFSET(DMAV_Dienste!$M$6,F1089-1,0)))-FIND("]",CELL("adresse",OFFSET(DMAV_Dienste!$M$6,F1089-1,0)))),"Structure")),HYPERLINK("#"&amp;RIGHT(CELL("adresse",OFFSET(DMAV_Modell!$N$6,C1089-1,0)),LEN(CELL("adresse",OFFSET(DMAV_Modell!$N$6,C1089-1,0)))-FIND("]",CELL("adresse",OFFSET(DMAV_Modell!$N$6,C1089-1,0)))),"Structure"))</f>
        <v/>
      </c>
      <c r="P1089" s="64" t="str" cm="1">
        <f t="array" aca="1" ref="P1089" ca="1">IF(D1089=0,IF(G1089=0,"",HYPERLINK("#"&amp;RIGHT(CELL("adresse",OFFSET(DMAV_Dienste!$M$6,G1089-1,0)),LEN(CELL("adresse",OFFSET(DMAV_Dienste!$M$6,G1089-1,0)))-FIND("]",CELL("adresse",OFFSET(DMAV_Dienste!$M$6,G1089-1,0)))),"Substructure")),HYPERLINK("#"&amp;RIGHT(CELL("adresse",OFFSET(DMAV_Modell!$N$6,D1089-1,0)),LEN(CELL("adresse",OFFSET(DMAV_Modell!$N$6,D1089-1,0)))-FIND("]",CELL("adresse",OFFSET(DMAV_Modell!$N$6,D1089-1,0)))),"Substructure"))</f>
        <v/>
      </c>
      <c r="R1089" s="80"/>
      <c r="T1089" s="93"/>
      <c r="U1089" s="94"/>
      <c r="V1089" s="95"/>
      <c r="W1089" s="96"/>
      <c r="Y1089" s="85"/>
      <c r="Z1089" s="86"/>
      <c r="AA1089" s="87"/>
      <c r="AB1089" s="88"/>
      <c r="AD1089" s="77"/>
      <c r="AF1089" s="54" t="str" cm="1">
        <f t="array" aca="1" ref="AF1089" ca="1">IF(H1089=0,"",HYPERLINK("#"&amp;RIGHT(CELL("adresse",OFFSET('DM01-AV-CH'!$G$6,H1089-1,0)),LEN(CELL("adresse",OFFSET('DM01-AV-CH'!$G$6,H1089-1,0)))-FIND("]",CELL("adresse",OFFSET('DM01-AV-CH'!$G$6,H1089-1,0)))),"Modell"))</f>
        <v>Modell</v>
      </c>
      <c r="AG1089" s="72" t="str" cm="1">
        <f t="array" ref="AG1089">IF($H1089=0,"",IF(INDEX('DM01-AV-CH'!G$6:G$834,$H1089)="","",INDEX('DM01-AV-CH'!G$6:G$834,$H1089)))</f>
        <v>PLZOrtschaft</v>
      </c>
      <c r="AH1089" s="73" t="str" cm="1">
        <f t="array" ref="AH1089">IF($H1089=0,"",IF(INDEX('DM01-AV-CH'!H$6:H$834,$H1089)="","",INDEX('DM01-AV-CH'!H$6:H$834,$H1089)))</f>
        <v>PLZ6</v>
      </c>
      <c r="AI1089" s="74" t="str" cm="1">
        <f t="array" ref="AI1089">IF($H1089=0,"",IF(INDEX('DM01-AV-CH'!I$6:I$834,$H1089)="","",INDEX('DM01-AV-CH'!I$6:I$834,$H1089)))</f>
        <v>Entstehung</v>
      </c>
    </row>
    <row r="1090" spans="1:35" x14ac:dyDescent="0.25">
      <c r="A1090" s="57">
        <v>1085</v>
      </c>
      <c r="B1090" s="57">
        <f>IF($A1090="","",IF(_xlfn.XLOOKUP($A1090,Korrelation!$D$4:$D$1197,Korrelation!E$4:E$1197,"-",0)="-",0,MATCH(_xlfn.XLOOKUP($A1090,Korrelation!$D$4:$D$1197,Korrelation!E$4:E$1197,"",0),DMAV_Modell!$G$6:$G$677,0)))</f>
        <v>0</v>
      </c>
      <c r="C1090" s="57">
        <f>IF($A1090="","",IF(_xlfn.XLOOKUP($A1090,Korrelation!$D$4:$D$1197,Korrelation!F$4:F$1197,"-",0)="-",0,MATCH(_xlfn.XLOOKUP($A1090,Korrelation!$D$4:$D$1197,Korrelation!F$4:F$1197,"",0),DMAV_Modell!$G$6:$G$677,0)))</f>
        <v>0</v>
      </c>
      <c r="D1090" s="57">
        <f>IF($A1090="","",IF(_xlfn.XLOOKUP($A1090,Korrelation!$D$4:$D$1197,Korrelation!G$4:G$1197,"-",0)="-",0,MATCH(_xlfn.XLOOKUP($A1090,Korrelation!$D$4:$D$1197,Korrelation!G$4:G$1197,"",0),DMAV_Modell!$G$6:$G$677,0)))</f>
        <v>0</v>
      </c>
      <c r="E1090" s="57">
        <f>IF($A1090="","",IF(_xlfn.XLOOKUP($A1090,Korrelation!$D$4:$D$1197,Korrelation!H$4:H$1197,"-",0)="-",0,MATCH(_xlfn.XLOOKUP($A1090,Korrelation!$D$4:$D$1197,Korrelation!H$4:H$1197,"",0),DMAV_Dienste!$F$6:$F$140,0)))</f>
        <v>0</v>
      </c>
      <c r="F1090" s="57">
        <f>IF($A1090="","",IF(_xlfn.XLOOKUP($A1090,Korrelation!$D$4:$D$1197,Korrelation!I$4:I$1197,"-",0)="-",0,MATCH(_xlfn.XLOOKUP($A1090,Korrelation!$D$4:$D$1197,Korrelation!I$4:I$1197,"",0),DMAV_Dienste!$F$6:$F$140,0)))</f>
        <v>0</v>
      </c>
      <c r="G1090" s="57">
        <f>IF($A1090="","",IF(_xlfn.XLOOKUP($A1090,Korrelation!$D$4:$D$1197,Korrelation!J$4:J$1197,"-",0)="-",0,MATCH(_xlfn.XLOOKUP($A1090,Korrelation!$D$4:$D$1197,Korrelation!J$4:J$1197,"",0),DMAV_Dienste!$F$6:$F$140,0)))</f>
        <v>0</v>
      </c>
      <c r="H1090" s="57">
        <f>IF($A1090="","",IF(_xlfn.XLOOKUP($A1090,Korrelation!$D$4:$D$1197,Korrelation!K$4:K$1197,"-",0)="-",0,MATCH(_xlfn.XLOOKUP($A1090,Korrelation!$D$4:$D$1197,Korrelation!K$4:K$1197,"",0),'DM01-AV-CH'!$A$6:$A$834,0)))</f>
        <v>692</v>
      </c>
      <c r="J1090" s="54" t="str" cm="1">
        <f t="array" aca="1" ref="J1090" ca="1">IF(B1090=0,IF(E1090=0,"",HYPERLINK("#"&amp;RIGHT(CELL("adresse",OFFSET(DMAV_Dienste!$M$6,E1090-1,0)),LEN(CELL("adresse",OFFSET(DMAV_Dienste!$M$6,E1090-1,0)))-FIND("]",CELL("adresse",OFFSET(DMAV_Dienste!$M$6,E1090-1,0)))),"Dienst")),HYPERLINK("#"&amp;RIGHT(CELL("adresse",OFFSET(DMAV_Modell!$N$6,B1090-1,0)),LEN(CELL("adresse",OFFSET(DMAV_Modell!$N$6,B1090-1,0)))-FIND("]",CELL("adresse",OFFSET(DMAV_Modell!$N$6,B1090-1,0)))),"Modell"))</f>
        <v/>
      </c>
      <c r="K1090" s="61" t="str" cm="1">
        <f t="array" ref="K1090">IF($B1090=0,IF($E1090=0,"",IF(INDEX(DMAV_Dienste!P$6:P$140,$E1090)="","",INDEX(DMAV_Dienste!P$6:P$140,$E1090))),IF(INDEX(DMAV_Modell!Q$6:Q$838,$B1090)="","",INDEX(DMAV_Modell!Q$6:Q$838,$B1090)))</f>
        <v/>
      </c>
      <c r="L1090" s="62" t="str" cm="1">
        <f t="array" ref="L1090">IF($B1090=0,IF($E1090=0,"",IF(INDEX(DMAV_Dienste!O$6:O$140,$E1090)="","",INDEX(DMAV_Dienste!O$6:O$140,$E1090))),IF(INDEX(DMAV_Modell!P$6:P$838,$B1090)="","",INDEX(DMAV_Modell!P$6:P$838,$B1090)))</f>
        <v/>
      </c>
      <c r="M1090" s="62" t="str" cm="1">
        <f t="array" ref="M1090">IF($B1090=0,IF($E1090=0,"",IF(INDEX(DMAV_Dienste!Q$6:Q$140,$E1090)="","",INDEX(DMAV_Dienste!Q$6:Q$140,$E1090))),IF(INDEX(DMAV_Modell!R$6:R$838,$B1090)="","",INDEX(DMAV_Modell!R$6:R$838,$B1090)))</f>
        <v/>
      </c>
      <c r="N1090" s="62" t="str" cm="1">
        <f t="array" ref="N1090">IF($B1090=0,IF($E1090=0,"",IF(INDEX(DMAV_Dienste!T$6:T$140,$E1090)="","",INDEX(DMAV_Dienste!T$6:T$140,$E1090))),IF(INDEX(DMAV_Modell!U$6:U$838,$B1090)="","",INDEX(DMAV_Modell!U$6:U$838,$B1090)))</f>
        <v/>
      </c>
      <c r="O1090" s="63" t="str" cm="1">
        <f t="array" aca="1" ref="O1090" ca="1">IF(C1090=0,IF(F1090=0,"",HYPERLINK("#"&amp;RIGHT(CELL("adresse",OFFSET(DMAV_Dienste!$M$6,F1090-1,0)),LEN(CELL("adresse",OFFSET(DMAV_Dienste!$M$6,F1090-1,0)))-FIND("]",CELL("adresse",OFFSET(DMAV_Dienste!$M$6,F1090-1,0)))),"Structure")),HYPERLINK("#"&amp;RIGHT(CELL("adresse",OFFSET(DMAV_Modell!$N$6,C1090-1,0)),LEN(CELL("adresse",OFFSET(DMAV_Modell!$N$6,C1090-1,0)))-FIND("]",CELL("adresse",OFFSET(DMAV_Modell!$N$6,C1090-1,0)))),"Structure"))</f>
        <v/>
      </c>
      <c r="P1090" s="64" t="str" cm="1">
        <f t="array" aca="1" ref="P1090" ca="1">IF(D1090=0,IF(G1090=0,"",HYPERLINK("#"&amp;RIGHT(CELL("adresse",OFFSET(DMAV_Dienste!$M$6,G1090-1,0)),LEN(CELL("adresse",OFFSET(DMAV_Dienste!$M$6,G1090-1,0)))-FIND("]",CELL("adresse",OFFSET(DMAV_Dienste!$M$6,G1090-1,0)))),"Substructure")),HYPERLINK("#"&amp;RIGHT(CELL("adresse",OFFSET(DMAV_Modell!$N$6,D1090-1,0)),LEN(CELL("adresse",OFFSET(DMAV_Modell!$N$6,D1090-1,0)))-FIND("]",CELL("adresse",OFFSET(DMAV_Modell!$N$6,D1090-1,0)))),"Substructure"))</f>
        <v/>
      </c>
      <c r="R1090" s="80"/>
      <c r="T1090" s="93"/>
      <c r="U1090" s="94"/>
      <c r="V1090" s="95"/>
      <c r="W1090" s="96"/>
      <c r="Y1090" s="85"/>
      <c r="Z1090" s="86"/>
      <c r="AA1090" s="87"/>
      <c r="AB1090" s="88"/>
      <c r="AD1090" s="77"/>
      <c r="AF1090" s="54" t="str" cm="1">
        <f t="array" aca="1" ref="AF1090" ca="1">IF(H1090=0,"",HYPERLINK("#"&amp;RIGHT(CELL("adresse",OFFSET('DM01-AV-CH'!$G$6,H1090-1,0)),LEN(CELL("adresse",OFFSET('DM01-AV-CH'!$G$6,H1090-1,0)))-FIND("]",CELL("adresse",OFFSET('DM01-AV-CH'!$G$6,H1090-1,0)))),"Modell"))</f>
        <v>Modell</v>
      </c>
      <c r="AG1090" s="72" t="str" cm="1">
        <f t="array" ref="AG1090">IF($H1090=0,"",IF(INDEX('DM01-AV-CH'!G$6:G$834,$H1090)="","",INDEX('DM01-AV-CH'!G$6:G$834,$H1090)))</f>
        <v>PLZOrtschaft</v>
      </c>
      <c r="AH1090" s="73" t="str" cm="1">
        <f t="array" ref="AH1090">IF($H1090=0,"",IF(INDEX('DM01-AV-CH'!H$6:H$834,$H1090)="","",INDEX('DM01-AV-CH'!H$6:H$834,$H1090)))</f>
        <v>PLZ6</v>
      </c>
      <c r="AI1090" s="74" t="str" cm="1">
        <f t="array" ref="AI1090">IF($H1090=0,"",IF(INDEX('DM01-AV-CH'!I$6:I$834,$H1090)="","",INDEX('DM01-AV-CH'!I$6:I$834,$H1090)))</f>
        <v>PLZ6_von</v>
      </c>
    </row>
    <row r="1091" spans="1:35" x14ac:dyDescent="0.25">
      <c r="A1091" s="57">
        <v>1086</v>
      </c>
      <c r="B1091" s="57">
        <f>IF($A1091="","",IF(_xlfn.XLOOKUP($A1091,Korrelation!$D$4:$D$1197,Korrelation!E$4:E$1197,"-",0)="-",0,MATCH(_xlfn.XLOOKUP($A1091,Korrelation!$D$4:$D$1197,Korrelation!E$4:E$1197,"",0),DMAV_Modell!$G$6:$G$677,0)))</f>
        <v>0</v>
      </c>
      <c r="C1091" s="57">
        <f>IF($A1091="","",IF(_xlfn.XLOOKUP($A1091,Korrelation!$D$4:$D$1197,Korrelation!F$4:F$1197,"-",0)="-",0,MATCH(_xlfn.XLOOKUP($A1091,Korrelation!$D$4:$D$1197,Korrelation!F$4:F$1197,"",0),DMAV_Modell!$G$6:$G$677,0)))</f>
        <v>0</v>
      </c>
      <c r="D1091" s="57">
        <f>IF($A1091="","",IF(_xlfn.XLOOKUP($A1091,Korrelation!$D$4:$D$1197,Korrelation!G$4:G$1197,"-",0)="-",0,MATCH(_xlfn.XLOOKUP($A1091,Korrelation!$D$4:$D$1197,Korrelation!G$4:G$1197,"",0),DMAV_Modell!$G$6:$G$677,0)))</f>
        <v>0</v>
      </c>
      <c r="E1091" s="57">
        <f>IF($A1091="","",IF(_xlfn.XLOOKUP($A1091,Korrelation!$D$4:$D$1197,Korrelation!H$4:H$1197,"-",0)="-",0,MATCH(_xlfn.XLOOKUP($A1091,Korrelation!$D$4:$D$1197,Korrelation!H$4:H$1197,"",0),DMAV_Dienste!$F$6:$F$140,0)))</f>
        <v>62</v>
      </c>
      <c r="F1091" s="57">
        <f>IF($A1091="","",IF(_xlfn.XLOOKUP($A1091,Korrelation!$D$4:$D$1197,Korrelation!I$4:I$1197,"-",0)="-",0,MATCH(_xlfn.XLOOKUP($A1091,Korrelation!$D$4:$D$1197,Korrelation!I$4:I$1197,"",0),DMAV_Dienste!$F$6:$F$140,0)))</f>
        <v>0</v>
      </c>
      <c r="G1091" s="57">
        <f>IF($A1091="","",IF(_xlfn.XLOOKUP($A1091,Korrelation!$D$4:$D$1197,Korrelation!J$4:J$1197,"-",0)="-",0,MATCH(_xlfn.XLOOKUP($A1091,Korrelation!$D$4:$D$1197,Korrelation!J$4:J$1197,"",0),DMAV_Dienste!$F$6:$F$140,0)))</f>
        <v>0</v>
      </c>
      <c r="H1091" s="57">
        <f>IF($A1091="","",IF(_xlfn.XLOOKUP($A1091,Korrelation!$D$4:$D$1197,Korrelation!K$4:K$1197,"-",0)="-",0,MATCH(_xlfn.XLOOKUP($A1091,Korrelation!$D$4:$D$1197,Korrelation!K$4:K$1197,"",0),'DM01-AV-CH'!$A$6:$A$834,0)))</f>
        <v>696</v>
      </c>
      <c r="J1091" s="54" t="str" cm="1">
        <f t="array" aca="1" ref="J1091" ca="1">IF(B1091=0,IF(E1091=0,"",HYPERLINK("#"&amp;RIGHT(CELL("adresse",OFFSET(DMAV_Dienste!$M$6,E1091-1,0)),LEN(CELL("adresse",OFFSET(DMAV_Dienste!$M$6,E1091-1,0)))-FIND("]",CELL("adresse",OFFSET(DMAV_Dienste!$M$6,E1091-1,0)))),"Dienst")),HYPERLINK("#"&amp;RIGHT(CELL("adresse",OFFSET(DMAV_Modell!$N$6,B1091-1,0)),LEN(CELL("adresse",OFFSET(DMAV_Modell!$N$6,B1091-1,0)))-FIND("]",CELL("adresse",OFFSET(DMAV_Modell!$N$6,B1091-1,0)))),"Modell"))</f>
        <v>Dienst</v>
      </c>
      <c r="K1091" s="61" t="str" cm="1">
        <f t="array" ref="K1091">IF($B1091=0,IF($E1091=0,"",IF(INDEX(DMAV_Dienste!P$6:P$140,$E1091)="","",INDEX(DMAV_Dienste!P$6:P$140,$E1091))),IF(INDEX(DMAV_Modell!Q$6:Q$838,$B1091)="","",INDEX(DMAV_Modell!Q$6:Q$838,$B1091)))</f>
        <v>CLASS</v>
      </c>
      <c r="L1091" s="62" t="str" cm="1">
        <f t="array" ref="L1091">IF($B1091=0,IF($E1091=0,"",IF(INDEX(DMAV_Dienste!O$6:O$140,$E1091)="","",INDEX(DMAV_Dienste!O$6:O$140,$E1091))),IF(INDEX(DMAV_Modell!P$6:P$838,$B1091)="","",INDEX(DMAV_Modell!P$6:P$838,$B1091)))</f>
        <v>AmtlichesOrtschaftenverzeichnis</v>
      </c>
      <c r="M1091" s="62" t="str" cm="1">
        <f t="array" ref="M1091">IF($B1091=0,IF($E1091=0,"",IF(INDEX(DMAV_Dienste!Q$6:Q$140,$E1091)="","",INDEX(DMAV_Dienste!Q$6:Q$140,$E1091))),IF(INDEX(DMAV_Modell!R$6:R$838,$B1091)="","",INDEX(DMAV_Modell!R$6:R$838,$B1091)))</f>
        <v>PLZ</v>
      </c>
      <c r="N1091" s="62" t="str" cm="1">
        <f t="array" ref="N1091">IF($B1091=0,IF($E1091=0,"",IF(INDEX(DMAV_Dienste!T$6:T$140,$E1091)="","",INDEX(DMAV_Dienste!T$6:T$140,$E1091))),IF(INDEX(DMAV_Modell!U$6:U$838,$B1091)="","",INDEX(DMAV_Modell!U$6:U$838,$B1091)))</f>
        <v>PLZ4</v>
      </c>
      <c r="O1091" s="63" t="str" cm="1">
        <f t="array" aca="1" ref="O1091" ca="1">IF(C1091=0,IF(F1091=0,"",HYPERLINK("#"&amp;RIGHT(CELL("adresse",OFFSET(DMAV_Dienste!$M$6,F1091-1,0)),LEN(CELL("adresse",OFFSET(DMAV_Dienste!$M$6,F1091-1,0)))-FIND("]",CELL("adresse",OFFSET(DMAV_Dienste!$M$6,F1091-1,0)))),"Structure")),HYPERLINK("#"&amp;RIGHT(CELL("adresse",OFFSET(DMAV_Modell!$N$6,C1091-1,0)),LEN(CELL("adresse",OFFSET(DMAV_Modell!$N$6,C1091-1,0)))-FIND("]",CELL("adresse",OFFSET(DMAV_Modell!$N$6,C1091-1,0)))),"Structure"))</f>
        <v/>
      </c>
      <c r="P1091" s="64" t="str" cm="1">
        <f t="array" aca="1" ref="P1091" ca="1">IF(D1091=0,IF(G1091=0,"",HYPERLINK("#"&amp;RIGHT(CELL("adresse",OFFSET(DMAV_Dienste!$M$6,G1091-1,0)),LEN(CELL("adresse",OFFSET(DMAV_Dienste!$M$6,G1091-1,0)))-FIND("]",CELL("adresse",OFFSET(DMAV_Dienste!$M$6,G1091-1,0)))),"Substructure")),HYPERLINK("#"&amp;RIGHT(CELL("adresse",OFFSET(DMAV_Modell!$N$6,D1091-1,0)),LEN(CELL("adresse",OFFSET(DMAV_Modell!$N$6,D1091-1,0)))-FIND("]",CELL("adresse",OFFSET(DMAV_Modell!$N$6,D1091-1,0)))),"Substructure"))</f>
        <v/>
      </c>
      <c r="R1091" s="80"/>
      <c r="T1091" s="93"/>
      <c r="U1091" s="94"/>
      <c r="V1091" s="95"/>
      <c r="W1091" s="96"/>
      <c r="Y1091" s="85"/>
      <c r="Z1091" s="86"/>
      <c r="AA1091" s="87"/>
      <c r="AB1091" s="88"/>
      <c r="AD1091" s="77"/>
      <c r="AF1091" s="54" t="str" cm="1">
        <f t="array" aca="1" ref="AF1091" ca="1">IF(H1091=0,"",HYPERLINK("#"&amp;RIGHT(CELL("adresse",OFFSET('DM01-AV-CH'!$G$6,H1091-1,0)),LEN(CELL("adresse",OFFSET('DM01-AV-CH'!$G$6,H1091-1,0)))-FIND("]",CELL("adresse",OFFSET('DM01-AV-CH'!$G$6,H1091-1,0)))),"Modell"))</f>
        <v>Modell</v>
      </c>
      <c r="AG1091" s="72" t="str" cm="1">
        <f t="array" ref="AG1091">IF($H1091=0,"",IF(INDEX('DM01-AV-CH'!G$6:G$834,$H1091)="","",INDEX('DM01-AV-CH'!G$6:G$834,$H1091)))</f>
        <v>PLZOrtschaft</v>
      </c>
      <c r="AH1091" s="73" t="str" cm="1">
        <f t="array" ref="AH1091">IF($H1091=0,"",IF(INDEX('DM01-AV-CH'!H$6:H$834,$H1091)="","",INDEX('DM01-AV-CH'!H$6:H$834,$H1091)))</f>
        <v>PLZ6</v>
      </c>
      <c r="AI1091" s="74" t="str" cm="1">
        <f t="array" ref="AI1091">IF($H1091=0,"",IF(INDEX('DM01-AV-CH'!I$6:I$834,$H1091)="","",INDEX('DM01-AV-CH'!I$6:I$834,$H1091)))</f>
        <v>PLZ</v>
      </c>
    </row>
    <row r="1092" spans="1:35" x14ac:dyDescent="0.25">
      <c r="A1092" s="57">
        <v>1087</v>
      </c>
      <c r="B1092" s="57">
        <f>IF($A1092="","",IF(_xlfn.XLOOKUP($A1092,Korrelation!$D$4:$D$1197,Korrelation!E$4:E$1197,"-",0)="-",0,MATCH(_xlfn.XLOOKUP($A1092,Korrelation!$D$4:$D$1197,Korrelation!E$4:E$1197,"",0),DMAV_Modell!$G$6:$G$677,0)))</f>
        <v>0</v>
      </c>
      <c r="C1092" s="57">
        <f>IF($A1092="","",IF(_xlfn.XLOOKUP($A1092,Korrelation!$D$4:$D$1197,Korrelation!F$4:F$1197,"-",0)="-",0,MATCH(_xlfn.XLOOKUP($A1092,Korrelation!$D$4:$D$1197,Korrelation!F$4:F$1197,"",0),DMAV_Modell!$G$6:$G$677,0)))</f>
        <v>0</v>
      </c>
      <c r="D1092" s="57">
        <f>IF($A1092="","",IF(_xlfn.XLOOKUP($A1092,Korrelation!$D$4:$D$1197,Korrelation!G$4:G$1197,"-",0)="-",0,MATCH(_xlfn.XLOOKUP($A1092,Korrelation!$D$4:$D$1197,Korrelation!G$4:G$1197,"",0),DMAV_Modell!$G$6:$G$677,0)))</f>
        <v>0</v>
      </c>
      <c r="E1092" s="57">
        <f>IF($A1092="","",IF(_xlfn.XLOOKUP($A1092,Korrelation!$D$4:$D$1197,Korrelation!H$4:H$1197,"-",0)="-",0,MATCH(_xlfn.XLOOKUP($A1092,Korrelation!$D$4:$D$1197,Korrelation!H$4:H$1197,"",0),DMAV_Dienste!$F$6:$F$140,0)))</f>
        <v>63</v>
      </c>
      <c r="F1092" s="57">
        <f>IF($A1092="","",IF(_xlfn.XLOOKUP($A1092,Korrelation!$D$4:$D$1197,Korrelation!I$4:I$1197,"-",0)="-",0,MATCH(_xlfn.XLOOKUP($A1092,Korrelation!$D$4:$D$1197,Korrelation!I$4:I$1197,"",0),DMAV_Dienste!$F$6:$F$140,0)))</f>
        <v>0</v>
      </c>
      <c r="G1092" s="57">
        <f>IF($A1092="","",IF(_xlfn.XLOOKUP($A1092,Korrelation!$D$4:$D$1197,Korrelation!J$4:J$1197,"-",0)="-",0,MATCH(_xlfn.XLOOKUP($A1092,Korrelation!$D$4:$D$1197,Korrelation!J$4:J$1197,"",0),DMAV_Dienste!$F$6:$F$140,0)))</f>
        <v>0</v>
      </c>
      <c r="H1092" s="57">
        <f>IF($A1092="","",IF(_xlfn.XLOOKUP($A1092,Korrelation!$D$4:$D$1197,Korrelation!K$4:K$1197,"-",0)="-",0,MATCH(_xlfn.XLOOKUP($A1092,Korrelation!$D$4:$D$1197,Korrelation!K$4:K$1197,"",0),'DM01-AV-CH'!$A$6:$A$834,0)))</f>
        <v>697</v>
      </c>
      <c r="J1092" s="54" t="str" cm="1">
        <f t="array" aca="1" ref="J1092" ca="1">IF(B1092=0,IF(E1092=0,"",HYPERLINK("#"&amp;RIGHT(CELL("adresse",OFFSET(DMAV_Dienste!$M$6,E1092-1,0)),LEN(CELL("adresse",OFFSET(DMAV_Dienste!$M$6,E1092-1,0)))-FIND("]",CELL("adresse",OFFSET(DMAV_Dienste!$M$6,E1092-1,0)))),"Dienst")),HYPERLINK("#"&amp;RIGHT(CELL("adresse",OFFSET(DMAV_Modell!$N$6,B1092-1,0)),LEN(CELL("adresse",OFFSET(DMAV_Modell!$N$6,B1092-1,0)))-FIND("]",CELL("adresse",OFFSET(DMAV_Modell!$N$6,B1092-1,0)))),"Modell"))</f>
        <v>Dienst</v>
      </c>
      <c r="K1092" s="61" t="str" cm="1">
        <f t="array" ref="K1092">IF($B1092=0,IF($E1092=0,"",IF(INDEX(DMAV_Dienste!P$6:P$140,$E1092)="","",INDEX(DMAV_Dienste!P$6:P$140,$E1092))),IF(INDEX(DMAV_Modell!Q$6:Q$838,$B1092)="","",INDEX(DMAV_Modell!Q$6:Q$838,$B1092)))</f>
        <v>CLASS</v>
      </c>
      <c r="L1092" s="62" t="str" cm="1">
        <f t="array" ref="L1092">IF($B1092=0,IF($E1092=0,"",IF(INDEX(DMAV_Dienste!O$6:O$140,$E1092)="","",INDEX(DMAV_Dienste!O$6:O$140,$E1092))),IF(INDEX(DMAV_Modell!P$6:P$838,$B1092)="","",INDEX(DMAV_Modell!P$6:P$838,$B1092)))</f>
        <v>AmtlichesOrtschaftenverzeichnis</v>
      </c>
      <c r="M1092" s="62" t="str" cm="1">
        <f t="array" ref="M1092">IF($B1092=0,IF($E1092=0,"",IF(INDEX(DMAV_Dienste!Q$6:Q$140,$E1092)="","",INDEX(DMAV_Dienste!Q$6:Q$140,$E1092))),IF(INDEX(DMAV_Modell!R$6:R$838,$B1092)="","",INDEX(DMAV_Modell!R$6:R$838,$B1092)))</f>
        <v>PLZ</v>
      </c>
      <c r="N1092" s="62" t="str" cm="1">
        <f t="array" ref="N1092">IF($B1092=0,IF($E1092=0,"",IF(INDEX(DMAV_Dienste!T$6:T$140,$E1092)="","",INDEX(DMAV_Dienste!T$6:T$140,$E1092))),IF(INDEX(DMAV_Modell!U$6:U$838,$B1092)="","",INDEX(DMAV_Modell!U$6:U$838,$B1092)))</f>
        <v>Zusatzziffer</v>
      </c>
      <c r="O1092" s="63" t="str" cm="1">
        <f t="array" aca="1" ref="O1092" ca="1">IF(C1092=0,IF(F1092=0,"",HYPERLINK("#"&amp;RIGHT(CELL("adresse",OFFSET(DMAV_Dienste!$M$6,F1092-1,0)),LEN(CELL("adresse",OFFSET(DMAV_Dienste!$M$6,F1092-1,0)))-FIND("]",CELL("adresse",OFFSET(DMAV_Dienste!$M$6,F1092-1,0)))),"Structure")),HYPERLINK("#"&amp;RIGHT(CELL("adresse",OFFSET(DMAV_Modell!$N$6,C1092-1,0)),LEN(CELL("adresse",OFFSET(DMAV_Modell!$N$6,C1092-1,0)))-FIND("]",CELL("adresse",OFFSET(DMAV_Modell!$N$6,C1092-1,0)))),"Structure"))</f>
        <v/>
      </c>
      <c r="P1092" s="64" t="str" cm="1">
        <f t="array" aca="1" ref="P1092" ca="1">IF(D1092=0,IF(G1092=0,"",HYPERLINK("#"&amp;RIGHT(CELL("adresse",OFFSET(DMAV_Dienste!$M$6,G1092-1,0)),LEN(CELL("adresse",OFFSET(DMAV_Dienste!$M$6,G1092-1,0)))-FIND("]",CELL("adresse",OFFSET(DMAV_Dienste!$M$6,G1092-1,0)))),"Substructure")),HYPERLINK("#"&amp;RIGHT(CELL("adresse",OFFSET(DMAV_Modell!$N$6,D1092-1,0)),LEN(CELL("adresse",OFFSET(DMAV_Modell!$N$6,D1092-1,0)))-FIND("]",CELL("adresse",OFFSET(DMAV_Modell!$N$6,D1092-1,0)))),"Substructure"))</f>
        <v/>
      </c>
      <c r="R1092" s="80"/>
      <c r="T1092" s="93"/>
      <c r="U1092" s="94"/>
      <c r="V1092" s="95"/>
      <c r="W1092" s="96"/>
      <c r="Y1092" s="85"/>
      <c r="Z1092" s="86"/>
      <c r="AA1092" s="87"/>
      <c r="AB1092" s="88"/>
      <c r="AD1092" s="77"/>
      <c r="AF1092" s="54" t="str" cm="1">
        <f t="array" aca="1" ref="AF1092" ca="1">IF(H1092=0,"",HYPERLINK("#"&amp;RIGHT(CELL("adresse",OFFSET('DM01-AV-CH'!$G$6,H1092-1,0)),LEN(CELL("adresse",OFFSET('DM01-AV-CH'!$G$6,H1092-1,0)))-FIND("]",CELL("adresse",OFFSET('DM01-AV-CH'!$G$6,H1092-1,0)))),"Modell"))</f>
        <v>Modell</v>
      </c>
      <c r="AG1092" s="72" t="str" cm="1">
        <f t="array" ref="AG1092">IF($H1092=0,"",IF(INDEX('DM01-AV-CH'!G$6:G$834,$H1092)="","",INDEX('DM01-AV-CH'!G$6:G$834,$H1092)))</f>
        <v>PLZOrtschaft</v>
      </c>
      <c r="AH1092" s="73" t="str" cm="1">
        <f t="array" ref="AH1092">IF($H1092=0,"",IF(INDEX('DM01-AV-CH'!H$6:H$834,$H1092)="","",INDEX('DM01-AV-CH'!H$6:H$834,$H1092)))</f>
        <v>PLZ6</v>
      </c>
      <c r="AI1092" s="74" t="str" cm="1">
        <f t="array" ref="AI1092">IF($H1092=0,"",IF(INDEX('DM01-AV-CH'!I$6:I$834,$H1092)="","",INDEX('DM01-AV-CH'!I$6:I$834,$H1092)))</f>
        <v>Zusatzziffern</v>
      </c>
    </row>
    <row r="1093" spans="1:35" ht="42.75" x14ac:dyDescent="0.25">
      <c r="A1093" s="57">
        <v>1088</v>
      </c>
      <c r="B1093" s="57">
        <f>IF($A1093="","",IF(_xlfn.XLOOKUP($A1093,Korrelation!$D$4:$D$1197,Korrelation!E$4:E$1197,"-",0)="-",0,MATCH(_xlfn.XLOOKUP($A1093,Korrelation!$D$4:$D$1197,Korrelation!E$4:E$1197,"",0),DMAV_Modell!$G$6:$G$677,0)))</f>
        <v>0</v>
      </c>
      <c r="C1093" s="57">
        <f>IF($A1093="","",IF(_xlfn.XLOOKUP($A1093,Korrelation!$D$4:$D$1197,Korrelation!F$4:F$1197,"-",0)="-",0,MATCH(_xlfn.XLOOKUP($A1093,Korrelation!$D$4:$D$1197,Korrelation!F$4:F$1197,"",0),DMAV_Modell!$G$6:$G$677,0)))</f>
        <v>0</v>
      </c>
      <c r="D1093" s="57">
        <f>IF($A1093="","",IF(_xlfn.XLOOKUP($A1093,Korrelation!$D$4:$D$1197,Korrelation!G$4:G$1197,"-",0)="-",0,MATCH(_xlfn.XLOOKUP($A1093,Korrelation!$D$4:$D$1197,Korrelation!G$4:G$1197,"",0),DMAV_Modell!$G$6:$G$677,0)))</f>
        <v>0</v>
      </c>
      <c r="E1093" s="57">
        <f>IF($A1093="","",IF(_xlfn.XLOOKUP($A1093,Korrelation!$D$4:$D$1197,Korrelation!H$4:H$1197,"-",0)="-",0,MATCH(_xlfn.XLOOKUP($A1093,Korrelation!$D$4:$D$1197,Korrelation!H$4:H$1197,"",0),DMAV_Dienste!$F$6:$F$140,0)))</f>
        <v>64</v>
      </c>
      <c r="F1093" s="57">
        <f>IF($A1093="","",IF(_xlfn.XLOOKUP($A1093,Korrelation!$D$4:$D$1197,Korrelation!I$4:I$1197,"-",0)="-",0,MATCH(_xlfn.XLOOKUP($A1093,Korrelation!$D$4:$D$1197,Korrelation!I$4:I$1197,"",0),DMAV_Dienste!$F$6:$F$140,0)))</f>
        <v>0</v>
      </c>
      <c r="G1093" s="57">
        <f>IF($A1093="","",IF(_xlfn.XLOOKUP($A1093,Korrelation!$D$4:$D$1197,Korrelation!J$4:J$1197,"-",0)="-",0,MATCH(_xlfn.XLOOKUP($A1093,Korrelation!$D$4:$D$1197,Korrelation!J$4:J$1197,"",0),DMAV_Dienste!$F$6:$F$140,0)))</f>
        <v>0</v>
      </c>
      <c r="H1093" s="57">
        <f>IF($A1093="","",IF(_xlfn.XLOOKUP($A1093,Korrelation!$D$4:$D$1197,Korrelation!K$4:K$1197,"-",0)="-",0,MATCH(_xlfn.XLOOKUP($A1093,Korrelation!$D$4:$D$1197,Korrelation!K$4:K$1197,"",0),'DM01-AV-CH'!$A$6:$A$834,0)))</f>
        <v>694</v>
      </c>
      <c r="J1093" s="54" t="str" cm="1">
        <f t="array" aca="1" ref="J1093" ca="1">IF(B1093=0,IF(E1093=0,"",HYPERLINK("#"&amp;RIGHT(CELL("adresse",OFFSET(DMAV_Dienste!$M$6,E1093-1,0)),LEN(CELL("adresse",OFFSET(DMAV_Dienste!$M$6,E1093-1,0)))-FIND("]",CELL("adresse",OFFSET(DMAV_Dienste!$M$6,E1093-1,0)))),"Dienst")),HYPERLINK("#"&amp;RIGHT(CELL("adresse",OFFSET(DMAV_Modell!$N$6,B1093-1,0)),LEN(CELL("adresse",OFFSET(DMAV_Modell!$N$6,B1093-1,0)))-FIND("]",CELL("adresse",OFFSET(DMAV_Modell!$N$6,B1093-1,0)))),"Modell"))</f>
        <v>Dienst</v>
      </c>
      <c r="K1093" s="61" t="str" cm="1">
        <f t="array" ref="K1093">IF($B1093=0,IF($E1093=0,"",IF(INDEX(DMAV_Dienste!P$6:P$140,$E1093)="","",INDEX(DMAV_Dienste!P$6:P$140,$E1093))),IF(INDEX(DMAV_Modell!Q$6:Q$838,$B1093)="","",INDEX(DMAV_Modell!Q$6:Q$838,$B1093)))</f>
        <v>CLASS</v>
      </c>
      <c r="L1093" s="62" t="str" cm="1">
        <f t="array" ref="L1093">IF($B1093=0,IF($E1093=0,"",IF(INDEX(DMAV_Dienste!O$6:O$140,$E1093)="","",INDEX(DMAV_Dienste!O$6:O$140,$E1093))),IF(INDEX(DMAV_Modell!P$6:P$838,$B1093)="","",INDEX(DMAV_Modell!P$6:P$838,$B1093)))</f>
        <v>AmtlichesOrtschaftenverzeichnis</v>
      </c>
      <c r="M1093" s="62" t="str" cm="1">
        <f t="array" ref="M1093">IF($B1093=0,IF($E1093=0,"",IF(INDEX(DMAV_Dienste!Q$6:Q$140,$E1093)="","",INDEX(DMAV_Dienste!Q$6:Q$140,$E1093))),IF(INDEX(DMAV_Modell!R$6:R$838,$B1093)="","",INDEX(DMAV_Modell!R$6:R$838,$B1093)))</f>
        <v>PLZ</v>
      </c>
      <c r="N1093" s="62" t="str" cm="1">
        <f t="array" ref="N1093">IF($B1093=0,IF($E1093=0,"",IF(INDEX(DMAV_Dienste!T$6:T$140,$E1093)="","",INDEX(DMAV_Dienste!T$6:T$140,$E1093))),IF(INDEX(DMAV_Modell!U$6:U$838,$B1093)="","",INDEX(DMAV_Modell!U$6:U$838,$B1093)))</f>
        <v>Status</v>
      </c>
      <c r="O1093" s="63" t="str" cm="1">
        <f t="array" aca="1" ref="O1093" ca="1">IF(C1093=0,IF(F1093=0,"",HYPERLINK("#"&amp;RIGHT(CELL("adresse",OFFSET(DMAV_Dienste!$M$6,F1093-1,0)),LEN(CELL("adresse",OFFSET(DMAV_Dienste!$M$6,F1093-1,0)))-FIND("]",CELL("adresse",OFFSET(DMAV_Dienste!$M$6,F1093-1,0)))),"Structure")),HYPERLINK("#"&amp;RIGHT(CELL("adresse",OFFSET(DMAV_Modell!$N$6,C1093-1,0)),LEN(CELL("adresse",OFFSET(DMAV_Modell!$N$6,C1093-1,0)))-FIND("]",CELL("adresse",OFFSET(DMAV_Modell!$N$6,C1093-1,0)))),"Structure"))</f>
        <v/>
      </c>
      <c r="P1093" s="64" t="str" cm="1">
        <f t="array" aca="1" ref="P1093" ca="1">IF(D1093=0,IF(G1093=0,"",HYPERLINK("#"&amp;RIGHT(CELL("adresse",OFFSET(DMAV_Dienste!$M$6,G1093-1,0)),LEN(CELL("adresse",OFFSET(DMAV_Dienste!$M$6,G1093-1,0)))-FIND("]",CELL("adresse",OFFSET(DMAV_Dienste!$M$6,G1093-1,0)))),"Substructure")),HYPERLINK("#"&amp;RIGHT(CELL("adresse",OFFSET(DMAV_Modell!$N$6,D1093-1,0)),LEN(CELL("adresse",OFFSET(DMAV_Modell!$N$6,D1093-1,0)))-FIND("]",CELL("adresse",OFFSET(DMAV_Modell!$N$6,D1093-1,0)))),"Substructure"))</f>
        <v/>
      </c>
      <c r="R1093" s="80" t="s">
        <v>3606</v>
      </c>
      <c r="T1093" s="93"/>
      <c r="U1093" s="94"/>
      <c r="V1093" s="95"/>
      <c r="W1093" s="96"/>
      <c r="Y1093" s="85"/>
      <c r="Z1093" s="86"/>
      <c r="AA1093" s="87"/>
      <c r="AB1093" s="88"/>
      <c r="AD1093" s="77" t="s">
        <v>3607</v>
      </c>
      <c r="AF1093" s="54" t="str" cm="1">
        <f t="array" aca="1" ref="AF1093" ca="1">IF(H1093=0,"",HYPERLINK("#"&amp;RIGHT(CELL("adresse",OFFSET('DM01-AV-CH'!$G$6,H1093-1,0)),LEN(CELL("adresse",OFFSET('DM01-AV-CH'!$G$6,H1093-1,0)))-FIND("]",CELL("adresse",OFFSET('DM01-AV-CH'!$G$6,H1093-1,0)))),"Modell"))</f>
        <v>Modell</v>
      </c>
      <c r="AG1093" s="72" t="str" cm="1">
        <f t="array" ref="AG1093">IF($H1093=0,"",IF(INDEX('DM01-AV-CH'!G$6:G$834,$H1093)="","",INDEX('DM01-AV-CH'!G$6:G$834,$H1093)))</f>
        <v>PLZOrtschaft</v>
      </c>
      <c r="AH1093" s="73" t="str" cm="1">
        <f t="array" ref="AH1093">IF($H1093=0,"",IF(INDEX('DM01-AV-CH'!H$6:H$834,$H1093)="","",INDEX('DM01-AV-CH'!H$6:H$834,$H1093)))</f>
        <v>PLZ6</v>
      </c>
      <c r="AI1093" s="74" t="str" cm="1">
        <f t="array" ref="AI1093">IF($H1093=0,"",IF(INDEX('DM01-AV-CH'!I$6:I$834,$H1093)="","",INDEX('DM01-AV-CH'!I$6:I$834,$H1093)))</f>
        <v>Status</v>
      </c>
    </row>
    <row r="1094" spans="1:35" ht="28.5" x14ac:dyDescent="0.25">
      <c r="A1094" s="57">
        <v>1089</v>
      </c>
      <c r="B1094" s="57">
        <f>IF($A1094="","",IF(_xlfn.XLOOKUP($A1094,Korrelation!$D$4:$D$1197,Korrelation!E$4:E$1197,"-",0)="-",0,MATCH(_xlfn.XLOOKUP($A1094,Korrelation!$D$4:$D$1197,Korrelation!E$4:E$1197,"",0),DMAV_Modell!$G$6:$G$677,0)))</f>
        <v>0</v>
      </c>
      <c r="C1094" s="57">
        <f>IF($A1094="","",IF(_xlfn.XLOOKUP($A1094,Korrelation!$D$4:$D$1197,Korrelation!F$4:F$1197,"-",0)="-",0,MATCH(_xlfn.XLOOKUP($A1094,Korrelation!$D$4:$D$1197,Korrelation!F$4:F$1197,"",0),DMAV_Modell!$G$6:$G$677,0)))</f>
        <v>0</v>
      </c>
      <c r="D1094" s="57">
        <f>IF($A1094="","",IF(_xlfn.XLOOKUP($A1094,Korrelation!$D$4:$D$1197,Korrelation!G$4:G$1197,"-",0)="-",0,MATCH(_xlfn.XLOOKUP($A1094,Korrelation!$D$4:$D$1197,Korrelation!G$4:G$1197,"",0),DMAV_Modell!$G$6:$G$677,0)))</f>
        <v>0</v>
      </c>
      <c r="E1094" s="57">
        <f>IF($A1094="","",IF(_xlfn.XLOOKUP($A1094,Korrelation!$D$4:$D$1197,Korrelation!H$4:H$1197,"-",0)="-",0,MATCH(_xlfn.XLOOKUP($A1094,Korrelation!$D$4:$D$1197,Korrelation!H$4:H$1197,"",0),DMAV_Dienste!$F$6:$F$140,0)))</f>
        <v>65</v>
      </c>
      <c r="F1094" s="57">
        <f>IF($A1094="","",IF(_xlfn.XLOOKUP($A1094,Korrelation!$D$4:$D$1197,Korrelation!I$4:I$1197,"-",0)="-",0,MATCH(_xlfn.XLOOKUP($A1094,Korrelation!$D$4:$D$1197,Korrelation!I$4:I$1197,"",0),DMAV_Dienste!$F$6:$F$140,0)))</f>
        <v>0</v>
      </c>
      <c r="G1094" s="57">
        <f>IF($A1094="","",IF(_xlfn.XLOOKUP($A1094,Korrelation!$D$4:$D$1197,Korrelation!J$4:J$1197,"-",0)="-",0,MATCH(_xlfn.XLOOKUP($A1094,Korrelation!$D$4:$D$1197,Korrelation!J$4:J$1197,"",0),DMAV_Dienste!$F$6:$F$140,0)))</f>
        <v>0</v>
      </c>
      <c r="H1094" s="57">
        <f>IF($A1094="","",IF(_xlfn.XLOOKUP($A1094,Korrelation!$D$4:$D$1197,Korrelation!K$4:K$1197,"-",0)="-",0,MATCH(_xlfn.XLOOKUP($A1094,Korrelation!$D$4:$D$1197,Korrelation!K$4:K$1197,"",0),'DM01-AV-CH'!$A$6:$A$834,0)))</f>
        <v>695</v>
      </c>
      <c r="J1094" s="54" t="str" cm="1">
        <f t="array" aca="1" ref="J1094" ca="1">IF(B1094=0,IF(E1094=0,"",HYPERLINK("#"&amp;RIGHT(CELL("adresse",OFFSET(DMAV_Dienste!$M$6,E1094-1,0)),LEN(CELL("adresse",OFFSET(DMAV_Dienste!$M$6,E1094-1,0)))-FIND("]",CELL("adresse",OFFSET(DMAV_Dienste!$M$6,E1094-1,0)))),"Dienst")),HYPERLINK("#"&amp;RIGHT(CELL("adresse",OFFSET(DMAV_Modell!$N$6,B1094-1,0)),LEN(CELL("adresse",OFFSET(DMAV_Modell!$N$6,B1094-1,0)))-FIND("]",CELL("adresse",OFFSET(DMAV_Modell!$N$6,B1094-1,0)))),"Modell"))</f>
        <v>Dienst</v>
      </c>
      <c r="K1094" s="61" t="str" cm="1">
        <f t="array" ref="K1094">IF($B1094=0,IF($E1094=0,"",IF(INDEX(DMAV_Dienste!P$6:P$140,$E1094)="","",INDEX(DMAV_Dienste!P$6:P$140,$E1094))),IF(INDEX(DMAV_Modell!Q$6:Q$838,$B1094)="","",INDEX(DMAV_Modell!Q$6:Q$838,$B1094)))</f>
        <v>CLASS</v>
      </c>
      <c r="L1094" s="62" t="str" cm="1">
        <f t="array" ref="L1094">IF($B1094=0,IF($E1094=0,"",IF(INDEX(DMAV_Dienste!O$6:O$140,$E1094)="","",INDEX(DMAV_Dienste!O$6:O$140,$E1094))),IF(INDEX(DMAV_Modell!P$6:P$838,$B1094)="","",INDEX(DMAV_Modell!P$6:P$838,$B1094)))</f>
        <v>AmtlichesOrtschaftenverzeichnis</v>
      </c>
      <c r="M1094" s="62" t="str" cm="1">
        <f t="array" ref="M1094">IF($B1094=0,IF($E1094=0,"",IF(INDEX(DMAV_Dienste!Q$6:Q$140,$E1094)="","",INDEX(DMAV_Dienste!Q$6:Q$140,$E1094))),IF(INDEX(DMAV_Modell!R$6:R$838,$B1094)="","",INDEX(DMAV_Modell!R$6:R$838,$B1094)))</f>
        <v>PLZ</v>
      </c>
      <c r="N1094" s="62" t="str" cm="1">
        <f t="array" ref="N1094">IF($B1094=0,IF($E1094=0,"",IF(INDEX(DMAV_Dienste!T$6:T$140,$E1094)="","",INDEX(DMAV_Dienste!T$6:T$140,$E1094))),IF(INDEX(DMAV_Modell!U$6:U$838,$B1094)="","",INDEX(DMAV_Modell!U$6:U$838,$B1094)))</f>
        <v>InAenderung</v>
      </c>
      <c r="O1094" s="63" t="str" cm="1">
        <f t="array" aca="1" ref="O1094" ca="1">IF(C1094=0,IF(F1094=0,"",HYPERLINK("#"&amp;RIGHT(CELL("adresse",OFFSET(DMAV_Dienste!$M$6,F1094-1,0)),LEN(CELL("adresse",OFFSET(DMAV_Dienste!$M$6,F1094-1,0)))-FIND("]",CELL("adresse",OFFSET(DMAV_Dienste!$M$6,F1094-1,0)))),"Structure")),HYPERLINK("#"&amp;RIGHT(CELL("adresse",OFFSET(DMAV_Modell!$N$6,C1094-1,0)),LEN(CELL("adresse",OFFSET(DMAV_Modell!$N$6,C1094-1,0)))-FIND("]",CELL("adresse",OFFSET(DMAV_Modell!$N$6,C1094-1,0)))),"Structure"))</f>
        <v/>
      </c>
      <c r="P1094" s="64" t="str" cm="1">
        <f t="array" aca="1" ref="P1094" ca="1">IF(D1094=0,IF(G1094=0,"",HYPERLINK("#"&amp;RIGHT(CELL("adresse",OFFSET(DMAV_Dienste!$M$6,G1094-1,0)),LEN(CELL("adresse",OFFSET(DMAV_Dienste!$M$6,G1094-1,0)))-FIND("]",CELL("adresse",OFFSET(DMAV_Dienste!$M$6,G1094-1,0)))),"Substructure")),HYPERLINK("#"&amp;RIGHT(CELL("adresse",OFFSET(DMAV_Modell!$N$6,D1094-1,0)),LEN(CELL("adresse",OFFSET(DMAV_Modell!$N$6,D1094-1,0)))-FIND("]",CELL("adresse",OFFSET(DMAV_Modell!$N$6,D1094-1,0)))),"Substructure"))</f>
        <v/>
      </c>
      <c r="R1094" s="80" t="s">
        <v>3098</v>
      </c>
      <c r="T1094" s="93"/>
      <c r="U1094" s="94"/>
      <c r="V1094" s="95"/>
      <c r="W1094" s="96"/>
      <c r="Y1094" s="85"/>
      <c r="Z1094" s="86"/>
      <c r="AA1094" s="87"/>
      <c r="AB1094" s="88"/>
      <c r="AD1094" s="77" t="s">
        <v>3099</v>
      </c>
      <c r="AF1094" s="54" t="str" cm="1">
        <f t="array" aca="1" ref="AF1094" ca="1">IF(H1094=0,"",HYPERLINK("#"&amp;RIGHT(CELL("adresse",OFFSET('DM01-AV-CH'!$G$6,H1094-1,0)),LEN(CELL("adresse",OFFSET('DM01-AV-CH'!$G$6,H1094-1,0)))-FIND("]",CELL("adresse",OFFSET('DM01-AV-CH'!$G$6,H1094-1,0)))),"Modell"))</f>
        <v>Modell</v>
      </c>
      <c r="AG1094" s="72" t="str" cm="1">
        <f t="array" ref="AG1094">IF($H1094=0,"",IF(INDEX('DM01-AV-CH'!G$6:G$834,$H1094)="","",INDEX('DM01-AV-CH'!G$6:G$834,$H1094)))</f>
        <v>PLZOrtschaft</v>
      </c>
      <c r="AH1094" s="73" t="str" cm="1">
        <f t="array" ref="AH1094">IF($H1094=0,"",IF(INDEX('DM01-AV-CH'!H$6:H$834,$H1094)="","",INDEX('DM01-AV-CH'!H$6:H$834,$H1094)))</f>
        <v>PLZ6</v>
      </c>
      <c r="AI1094" s="74" t="str" cm="1">
        <f t="array" ref="AI1094">IF($H1094=0,"",IF(INDEX('DM01-AV-CH'!I$6:I$834,$H1094)="","",INDEX('DM01-AV-CH'!I$6:I$834,$H1094)))</f>
        <v>InAenderung</v>
      </c>
    </row>
    <row r="1095" spans="1:35" x14ac:dyDescent="0.25">
      <c r="A1095" s="57">
        <v>1090</v>
      </c>
      <c r="B1095" s="57">
        <f>IF($A1095="","",IF(_xlfn.XLOOKUP($A1095,Korrelation!$D$4:$D$1197,Korrelation!E$4:E$1197,"-",0)="-",0,MATCH(_xlfn.XLOOKUP($A1095,Korrelation!$D$4:$D$1197,Korrelation!E$4:E$1197,"",0),DMAV_Modell!$G$6:$G$677,0)))</f>
        <v>0</v>
      </c>
      <c r="C1095" s="57">
        <f>IF($A1095="","",IF(_xlfn.XLOOKUP($A1095,Korrelation!$D$4:$D$1197,Korrelation!F$4:F$1197,"-",0)="-",0,MATCH(_xlfn.XLOOKUP($A1095,Korrelation!$D$4:$D$1197,Korrelation!F$4:F$1197,"",0),DMAV_Modell!$G$6:$G$677,0)))</f>
        <v>0</v>
      </c>
      <c r="D1095" s="57">
        <f>IF($A1095="","",IF(_xlfn.XLOOKUP($A1095,Korrelation!$D$4:$D$1197,Korrelation!G$4:G$1197,"-",0)="-",0,MATCH(_xlfn.XLOOKUP($A1095,Korrelation!$D$4:$D$1197,Korrelation!G$4:G$1197,"",0),DMAV_Modell!$G$6:$G$677,0)))</f>
        <v>0</v>
      </c>
      <c r="E1095" s="57">
        <f>IF($A1095="","",IF(_xlfn.XLOOKUP($A1095,Korrelation!$D$4:$D$1197,Korrelation!H$4:H$1197,"-",0)="-",0,MATCH(_xlfn.XLOOKUP($A1095,Korrelation!$D$4:$D$1197,Korrelation!H$4:H$1197,"",0),DMAV_Dienste!$F$6:$F$140,0)))</f>
        <v>66</v>
      </c>
      <c r="F1095" s="57">
        <f>IF($A1095="","",IF(_xlfn.XLOOKUP($A1095,Korrelation!$D$4:$D$1197,Korrelation!I$4:I$1197,"-",0)="-",0,MATCH(_xlfn.XLOOKUP($A1095,Korrelation!$D$4:$D$1197,Korrelation!I$4:I$1197,"",0),DMAV_Dienste!$F$6:$F$140,0)))</f>
        <v>0</v>
      </c>
      <c r="G1095" s="57">
        <f>IF($A1095="","",IF(_xlfn.XLOOKUP($A1095,Korrelation!$D$4:$D$1197,Korrelation!J$4:J$1197,"-",0)="-",0,MATCH(_xlfn.XLOOKUP($A1095,Korrelation!$D$4:$D$1197,Korrelation!J$4:J$1197,"",0),DMAV_Dienste!$F$6:$F$140,0)))</f>
        <v>0</v>
      </c>
      <c r="H1095" s="57">
        <f>IF($A1095="","",IF(_xlfn.XLOOKUP($A1095,Korrelation!$D$4:$D$1197,Korrelation!K$4:K$1197,"-",0)="-",0,MATCH(_xlfn.XLOOKUP($A1095,Korrelation!$D$4:$D$1197,Korrelation!K$4:K$1197,"",0),'DM01-AV-CH'!$A$6:$A$834,0)))</f>
        <v>693</v>
      </c>
      <c r="J1095" s="54" t="str" cm="1">
        <f t="array" aca="1" ref="J1095" ca="1">IF(B1095=0,IF(E1095=0,"",HYPERLINK("#"&amp;RIGHT(CELL("adresse",OFFSET(DMAV_Dienste!$M$6,E1095-1,0)),LEN(CELL("adresse",OFFSET(DMAV_Dienste!$M$6,E1095-1,0)))-FIND("]",CELL("adresse",OFFSET(DMAV_Dienste!$M$6,E1095-1,0)))),"Dienst")),HYPERLINK("#"&amp;RIGHT(CELL("adresse",OFFSET(DMAV_Modell!$N$6,B1095-1,0)),LEN(CELL("adresse",OFFSET(DMAV_Modell!$N$6,B1095-1,0)))-FIND("]",CELL("adresse",OFFSET(DMAV_Modell!$N$6,B1095-1,0)))),"Modell"))</f>
        <v>Dienst</v>
      </c>
      <c r="K1095" s="61" t="str" cm="1">
        <f t="array" ref="K1095">IF($B1095=0,IF($E1095=0,"",IF(INDEX(DMAV_Dienste!P$6:P$140,$E1095)="","",INDEX(DMAV_Dienste!P$6:P$140,$E1095))),IF(INDEX(DMAV_Modell!Q$6:Q$838,$B1095)="","",INDEX(DMAV_Modell!Q$6:Q$838,$B1095)))</f>
        <v>CLASS</v>
      </c>
      <c r="L1095" s="62" t="str" cm="1">
        <f t="array" ref="L1095">IF($B1095=0,IF($E1095=0,"",IF(INDEX(DMAV_Dienste!O$6:O$140,$E1095)="","",INDEX(DMAV_Dienste!O$6:O$140,$E1095))),IF(INDEX(DMAV_Modell!P$6:P$838,$B1095)="","",INDEX(DMAV_Modell!P$6:P$838,$B1095)))</f>
        <v>AmtlichesOrtschaftenverzeichnis</v>
      </c>
      <c r="M1095" s="62" t="str" cm="1">
        <f t="array" ref="M1095">IF($B1095=0,IF($E1095=0,"",IF(INDEX(DMAV_Dienste!Q$6:Q$140,$E1095)="","",INDEX(DMAV_Dienste!Q$6:Q$140,$E1095))),IF(INDEX(DMAV_Modell!R$6:R$838,$B1095)="","",INDEX(DMAV_Modell!R$6:R$838,$B1095)))</f>
        <v>PLZ</v>
      </c>
      <c r="N1095" s="62" t="str" cm="1">
        <f t="array" ref="N1095">IF($B1095=0,IF($E1095=0,"",IF(INDEX(DMAV_Dienste!T$6:T$140,$E1095)="","",INDEX(DMAV_Dienste!T$6:T$140,$E1095))),IF(INDEX(DMAV_Modell!U$6:U$838,$B1095)="","",INDEX(DMAV_Modell!U$6:U$838,$B1095)))</f>
        <v>LetzteAenderung</v>
      </c>
      <c r="O1095" s="63" t="str" cm="1">
        <f t="array" aca="1" ref="O1095" ca="1">IF(C1095=0,IF(F1095=0,"",HYPERLINK("#"&amp;RIGHT(CELL("adresse",OFFSET(DMAV_Dienste!$M$6,F1095-1,0)),LEN(CELL("adresse",OFFSET(DMAV_Dienste!$M$6,F1095-1,0)))-FIND("]",CELL("adresse",OFFSET(DMAV_Dienste!$M$6,F1095-1,0)))),"Structure")),HYPERLINK("#"&amp;RIGHT(CELL("adresse",OFFSET(DMAV_Modell!$N$6,C1095-1,0)),LEN(CELL("adresse",OFFSET(DMAV_Modell!$N$6,C1095-1,0)))-FIND("]",CELL("adresse",OFFSET(DMAV_Modell!$N$6,C1095-1,0)))),"Structure"))</f>
        <v/>
      </c>
      <c r="P1095" s="64" t="str" cm="1">
        <f t="array" aca="1" ref="P1095" ca="1">IF(D1095=0,IF(G1095=0,"",HYPERLINK("#"&amp;RIGHT(CELL("adresse",OFFSET(DMAV_Dienste!$M$6,G1095-1,0)),LEN(CELL("adresse",OFFSET(DMAV_Dienste!$M$6,G1095-1,0)))-FIND("]",CELL("adresse",OFFSET(DMAV_Dienste!$M$6,G1095-1,0)))),"Substructure")),HYPERLINK("#"&amp;RIGHT(CELL("adresse",OFFSET(DMAV_Modell!$N$6,D1095-1,0)),LEN(CELL("adresse",OFFSET(DMAV_Modell!$N$6,D1095-1,0)))-FIND("]",CELL("adresse",OFFSET(DMAV_Modell!$N$6,D1095-1,0)))),"Substructure"))</f>
        <v/>
      </c>
      <c r="R1095" s="80"/>
      <c r="T1095" s="93"/>
      <c r="U1095" s="94"/>
      <c r="V1095" s="95"/>
      <c r="W1095" s="96"/>
      <c r="Y1095" s="85"/>
      <c r="Z1095" s="86"/>
      <c r="AA1095" s="87"/>
      <c r="AB1095" s="88"/>
      <c r="AD1095" s="77"/>
      <c r="AF1095" s="54" t="str" cm="1">
        <f t="array" aca="1" ref="AF1095" ca="1">IF(H1095=0,"",HYPERLINK("#"&amp;RIGHT(CELL("adresse",OFFSET('DM01-AV-CH'!$G$6,H1095-1,0)),LEN(CELL("adresse",OFFSET('DM01-AV-CH'!$G$6,H1095-1,0)))-FIND("]",CELL("adresse",OFFSET('DM01-AV-CH'!$G$6,H1095-1,0)))),"Modell"))</f>
        <v>Modell</v>
      </c>
      <c r="AG1095" s="72" t="str" cm="1">
        <f t="array" ref="AG1095">IF($H1095=0,"",IF(INDEX('DM01-AV-CH'!G$6:G$834,$H1095)="","",INDEX('DM01-AV-CH'!G$6:G$834,$H1095)))</f>
        <v>PLZOrtschaft</v>
      </c>
      <c r="AH1095" s="73" t="str" cm="1">
        <f t="array" ref="AH1095">IF($H1095=0,"",IF(INDEX('DM01-AV-CH'!H$6:H$834,$H1095)="","",INDEX('DM01-AV-CH'!H$6:H$834,$H1095)))</f>
        <v>PLZ6</v>
      </c>
      <c r="AI1095" s="74" t="str" cm="1">
        <f t="array" ref="AI1095">IF($H1095=0,"",IF(INDEX('DM01-AV-CH'!I$6:I$834,$H1095)="","",INDEX('DM01-AV-CH'!I$6:I$834,$H1095)))</f>
        <v>Flaeche</v>
      </c>
    </row>
    <row r="1096" spans="1:35" x14ac:dyDescent="0.25">
      <c r="A1096" s="57">
        <v>1091</v>
      </c>
      <c r="B1096" s="57">
        <f>IF($A1096="","",IF(_xlfn.XLOOKUP($A1096,Korrelation!$D$4:$D$1197,Korrelation!E$4:E$1197,"-",0)="-",0,MATCH(_xlfn.XLOOKUP($A1096,Korrelation!$D$4:$D$1197,Korrelation!E$4:E$1197,"",0),DMAV_Modell!$G$6:$G$677,0)))</f>
        <v>0</v>
      </c>
      <c r="C1096" s="57">
        <f>IF($A1096="","",IF(_xlfn.XLOOKUP($A1096,Korrelation!$D$4:$D$1197,Korrelation!F$4:F$1197,"-",0)="-",0,MATCH(_xlfn.XLOOKUP($A1096,Korrelation!$D$4:$D$1197,Korrelation!F$4:F$1197,"",0),DMAV_Modell!$G$6:$G$677,0)))</f>
        <v>0</v>
      </c>
      <c r="D1096" s="57">
        <f>IF($A1096="","",IF(_xlfn.XLOOKUP($A1096,Korrelation!$D$4:$D$1197,Korrelation!G$4:G$1197,"-",0)="-",0,MATCH(_xlfn.XLOOKUP($A1096,Korrelation!$D$4:$D$1197,Korrelation!G$4:G$1197,"",0),DMAV_Modell!$G$6:$G$677,0)))</f>
        <v>0</v>
      </c>
      <c r="E1096" s="57">
        <f>IF($A1096="","",IF(_xlfn.XLOOKUP($A1096,Korrelation!$D$4:$D$1197,Korrelation!H$4:H$1197,"-",0)="-",0,MATCH(_xlfn.XLOOKUP($A1096,Korrelation!$D$4:$D$1197,Korrelation!H$4:H$1197,"",0),DMAV_Dienste!$F$6:$F$140,0)))</f>
        <v>67</v>
      </c>
      <c r="F1096" s="57">
        <f>IF($A1096="","",IF(_xlfn.XLOOKUP($A1096,Korrelation!$D$4:$D$1197,Korrelation!I$4:I$1197,"-",0)="-",0,MATCH(_xlfn.XLOOKUP($A1096,Korrelation!$D$4:$D$1197,Korrelation!I$4:I$1197,"",0),DMAV_Dienste!$F$6:$F$140,0)))</f>
        <v>0</v>
      </c>
      <c r="G1096" s="57">
        <f>IF($A1096="","",IF(_xlfn.XLOOKUP($A1096,Korrelation!$D$4:$D$1197,Korrelation!J$4:J$1197,"-",0)="-",0,MATCH(_xlfn.XLOOKUP($A1096,Korrelation!$D$4:$D$1197,Korrelation!J$4:J$1197,"",0),DMAV_Dienste!$F$6:$F$140,0)))</f>
        <v>0</v>
      </c>
      <c r="H1096" s="57">
        <f>IF($A1096="","",IF(_xlfn.XLOOKUP($A1096,Korrelation!$D$4:$D$1197,Korrelation!K$4:K$1197,"-",0)="-",0,MATCH(_xlfn.XLOOKUP($A1096,Korrelation!$D$4:$D$1197,Korrelation!K$4:K$1197,"",0),'DM01-AV-CH'!$A$6:$A$834,0)))</f>
        <v>0</v>
      </c>
      <c r="J1096" s="54" t="str" cm="1">
        <f t="array" aca="1" ref="J1096" ca="1">IF(B1096=0,IF(E1096=0,"",HYPERLINK("#"&amp;RIGHT(CELL("adresse",OFFSET(DMAV_Dienste!$M$6,E1096-1,0)),LEN(CELL("adresse",OFFSET(DMAV_Dienste!$M$6,E1096-1,0)))-FIND("]",CELL("adresse",OFFSET(DMAV_Dienste!$M$6,E1096-1,0)))),"Dienst")),HYPERLINK("#"&amp;RIGHT(CELL("adresse",OFFSET(DMAV_Modell!$N$6,B1096-1,0)),LEN(CELL("adresse",OFFSET(DMAV_Modell!$N$6,B1096-1,0)))-FIND("]",CELL("adresse",OFFSET(DMAV_Modell!$N$6,B1096-1,0)))),"Modell"))</f>
        <v>Dienst</v>
      </c>
      <c r="K1096" s="61" t="str" cm="1">
        <f t="array" ref="K1096">IF($B1096=0,IF($E1096=0,"",IF(INDEX(DMAV_Dienste!P$6:P$140,$E1096)="","",INDEX(DMAV_Dienste!P$6:P$140,$E1096))),IF(INDEX(DMAV_Modell!Q$6:Q$838,$B1096)="","",INDEX(DMAV_Modell!Q$6:Q$838,$B1096)))</f>
        <v>CLASS</v>
      </c>
      <c r="L1096" s="62" t="str" cm="1">
        <f t="array" ref="L1096">IF($B1096=0,IF($E1096=0,"",IF(INDEX(DMAV_Dienste!O$6:O$140,$E1096)="","",INDEX(DMAV_Dienste!O$6:O$140,$E1096))),IF(INDEX(DMAV_Modell!P$6:P$838,$B1096)="","",INDEX(DMAV_Modell!P$6:P$838,$B1096)))</f>
        <v>AmtlichesOrtschaftenverzeichnis</v>
      </c>
      <c r="M1096" s="62" t="str" cm="1">
        <f t="array" ref="M1096">IF($B1096=0,IF($E1096=0,"",IF(INDEX(DMAV_Dienste!Q$6:Q$140,$E1096)="","",INDEX(DMAV_Dienste!Q$6:Q$140,$E1096))),IF(INDEX(DMAV_Modell!R$6:R$838,$B1096)="","",INDEX(DMAV_Modell!R$6:R$838,$B1096)))</f>
        <v>PLZ</v>
      </c>
      <c r="N1096" s="62" t="str" cm="1">
        <f t="array" ref="N1096">IF($B1096=0,IF($E1096=0,"",IF(INDEX(DMAV_Dienste!T$6:T$140,$E1096)="","",INDEX(DMAV_Dienste!T$6:T$140,$E1096))),IF(INDEX(DMAV_Modell!U$6:U$838,$B1096)="","",INDEX(DMAV_Modell!U$6:U$838,$B1096)))</f>
        <v>Geometrie</v>
      </c>
      <c r="O1096" s="63" t="str" cm="1">
        <f t="array" aca="1" ref="O1096" ca="1">IF(C1096=0,IF(F1096=0,"",HYPERLINK("#"&amp;RIGHT(CELL("adresse",OFFSET(DMAV_Dienste!$M$6,F1096-1,0)),LEN(CELL("adresse",OFFSET(DMAV_Dienste!$M$6,F1096-1,0)))-FIND("]",CELL("adresse",OFFSET(DMAV_Dienste!$M$6,F1096-1,0)))),"Structure")),HYPERLINK("#"&amp;RIGHT(CELL("adresse",OFFSET(DMAV_Modell!$N$6,C1096-1,0)),LEN(CELL("adresse",OFFSET(DMAV_Modell!$N$6,C1096-1,0)))-FIND("]",CELL("adresse",OFFSET(DMAV_Modell!$N$6,C1096-1,0)))),"Structure"))</f>
        <v/>
      </c>
      <c r="P1096" s="64" t="str" cm="1">
        <f t="array" aca="1" ref="P1096" ca="1">IF(D1096=0,IF(G1096=0,"",HYPERLINK("#"&amp;RIGHT(CELL("adresse",OFFSET(DMAV_Dienste!$M$6,G1096-1,0)),LEN(CELL("adresse",OFFSET(DMAV_Dienste!$M$6,G1096-1,0)))-FIND("]",CELL("adresse",OFFSET(DMAV_Dienste!$M$6,G1096-1,0)))),"Substructure")),HYPERLINK("#"&amp;RIGHT(CELL("adresse",OFFSET(DMAV_Modell!$N$6,D1096-1,0)),LEN(CELL("adresse",OFFSET(DMAV_Modell!$N$6,D1096-1,0)))-FIND("]",CELL("adresse",OFFSET(DMAV_Modell!$N$6,D1096-1,0)))),"Substructure"))</f>
        <v/>
      </c>
      <c r="R1096" s="80"/>
      <c r="T1096" s="93"/>
      <c r="U1096" s="94"/>
      <c r="V1096" s="95"/>
      <c r="W1096" s="96"/>
      <c r="Y1096" s="85"/>
      <c r="Z1096" s="86"/>
      <c r="AA1096" s="87"/>
      <c r="AB1096" s="88"/>
      <c r="AD1096" s="77"/>
      <c r="AF1096" s="54" t="str" cm="1">
        <f t="array" aca="1" ref="AF1096" ca="1">IF(H1096=0,"",HYPERLINK("#"&amp;RIGHT(CELL("adresse",OFFSET('DM01-AV-CH'!$G$6,H1096-1,0)),LEN(CELL("adresse",OFFSET('DM01-AV-CH'!$G$6,H1096-1,0)))-FIND("]",CELL("adresse",OFFSET('DM01-AV-CH'!$G$6,H1096-1,0)))),"Modell"))</f>
        <v/>
      </c>
      <c r="AG1096" s="72" t="str" cm="1">
        <f t="array" ref="AG1096">IF($H1096=0,"",IF(INDEX('DM01-AV-CH'!G$6:G$834,$H1096)="","",INDEX('DM01-AV-CH'!G$6:G$834,$H1096)))</f>
        <v/>
      </c>
      <c r="AH1096" s="73" t="str" cm="1">
        <f t="array" ref="AH1096">IF($H1096=0,"",IF(INDEX('DM01-AV-CH'!H$6:H$834,$H1096)="","",INDEX('DM01-AV-CH'!H$6:H$834,$H1096)))</f>
        <v/>
      </c>
      <c r="AI1096" s="74" t="str" cm="1">
        <f t="array" ref="AI1096">IF($H1096=0,"",IF(INDEX('DM01-AV-CH'!I$6:I$834,$H1096)="","",INDEX('DM01-AV-CH'!I$6:I$834,$H1096)))</f>
        <v/>
      </c>
    </row>
    <row r="1097" spans="1:35" x14ac:dyDescent="0.25">
      <c r="A1097" s="57">
        <v>1092</v>
      </c>
      <c r="B1097" s="57">
        <f>IF($A1097="","",IF(_xlfn.XLOOKUP($A1097,Korrelation!$D$4:$D$1197,Korrelation!E$4:E$1197,"-",0)="-",0,MATCH(_xlfn.XLOOKUP($A1097,Korrelation!$D$4:$D$1197,Korrelation!E$4:E$1197,"",0),DMAV_Modell!$G$6:$G$677,0)))</f>
        <v>0</v>
      </c>
      <c r="C1097" s="57">
        <f>IF($A1097="","",IF(_xlfn.XLOOKUP($A1097,Korrelation!$D$4:$D$1197,Korrelation!F$4:F$1197,"-",0)="-",0,MATCH(_xlfn.XLOOKUP($A1097,Korrelation!$D$4:$D$1197,Korrelation!F$4:F$1197,"",0),DMAV_Modell!$G$6:$G$677,0)))</f>
        <v>0</v>
      </c>
      <c r="D1097" s="57">
        <f>IF($A1097="","",IF(_xlfn.XLOOKUP($A1097,Korrelation!$D$4:$D$1197,Korrelation!G$4:G$1197,"-",0)="-",0,MATCH(_xlfn.XLOOKUP($A1097,Korrelation!$D$4:$D$1197,Korrelation!G$4:G$1197,"",0),DMAV_Modell!$G$6:$G$677,0)))</f>
        <v>0</v>
      </c>
      <c r="E1097" s="57">
        <f>IF($A1097="","",IF(_xlfn.XLOOKUP($A1097,Korrelation!$D$4:$D$1197,Korrelation!H$4:H$1197,"-",0)="-",0,MATCH(_xlfn.XLOOKUP($A1097,Korrelation!$D$4:$D$1197,Korrelation!H$4:H$1197,"",0),DMAV_Dienste!$F$6:$F$140,0)))</f>
        <v>68</v>
      </c>
      <c r="F1097" s="57">
        <f>IF($A1097="","",IF(_xlfn.XLOOKUP($A1097,Korrelation!$D$4:$D$1197,Korrelation!I$4:I$1197,"-",0)="-",0,MATCH(_xlfn.XLOOKUP($A1097,Korrelation!$D$4:$D$1197,Korrelation!I$4:I$1197,"",0),DMAV_Dienste!$F$6:$F$140,0)))</f>
        <v>0</v>
      </c>
      <c r="G1097" s="57">
        <f>IF($A1097="","",IF(_xlfn.XLOOKUP($A1097,Korrelation!$D$4:$D$1197,Korrelation!J$4:J$1197,"-",0)="-",0,MATCH(_xlfn.XLOOKUP($A1097,Korrelation!$D$4:$D$1197,Korrelation!J$4:J$1197,"",0),DMAV_Dienste!$F$6:$F$140,0)))</f>
        <v>0</v>
      </c>
      <c r="H1097" s="57">
        <f>IF($A1097="","",IF(_xlfn.XLOOKUP($A1097,Korrelation!$D$4:$D$1197,Korrelation!K$4:K$1197,"-",0)="-",0,MATCH(_xlfn.XLOOKUP($A1097,Korrelation!$D$4:$D$1197,Korrelation!K$4:K$1197,"",0),'DM01-AV-CH'!$A$6:$A$834,0)))</f>
        <v>0</v>
      </c>
      <c r="J1097" s="54" t="str" cm="1">
        <f t="array" aca="1" ref="J1097" ca="1">IF(B1097=0,IF(E1097=0,"",HYPERLINK("#"&amp;RIGHT(CELL("adresse",OFFSET(DMAV_Dienste!$M$6,E1097-1,0)),LEN(CELL("adresse",OFFSET(DMAV_Dienste!$M$6,E1097-1,0)))-FIND("]",CELL("adresse",OFFSET(DMAV_Dienste!$M$6,E1097-1,0)))),"Dienst")),HYPERLINK("#"&amp;RIGHT(CELL("adresse",OFFSET(DMAV_Modell!$N$6,B1097-1,0)),LEN(CELL("adresse",OFFSET(DMAV_Modell!$N$6,B1097-1,0)))-FIND("]",CELL("adresse",OFFSET(DMAV_Modell!$N$6,B1097-1,0)))),"Modell"))</f>
        <v>Dienst</v>
      </c>
      <c r="K1097" s="61" t="str" cm="1">
        <f t="array" ref="K1097">IF($B1097=0,IF($E1097=0,"",IF(INDEX(DMAV_Dienste!P$6:P$140,$E1097)="","",INDEX(DMAV_Dienste!P$6:P$140,$E1097))),IF(INDEX(DMAV_Modell!Q$6:Q$838,$B1097)="","",INDEX(DMAV_Modell!Q$6:Q$838,$B1097)))</f>
        <v>CLASS.CONSTRAINT</v>
      </c>
      <c r="L1097" s="62" t="str" cm="1">
        <f t="array" ref="L1097">IF($B1097=0,IF($E1097=0,"",IF(INDEX(DMAV_Dienste!O$6:O$140,$E1097)="","",INDEX(DMAV_Dienste!O$6:O$140,$E1097))),IF(INDEX(DMAV_Modell!P$6:P$838,$B1097)="","",INDEX(DMAV_Modell!P$6:P$838,$B1097)))</f>
        <v>AmtlichesOrtschaftenverzeichnis</v>
      </c>
      <c r="M1097" s="62" t="str" cm="1">
        <f t="array" ref="M1097">IF($B1097=0,IF($E1097=0,"",IF(INDEX(DMAV_Dienste!Q$6:Q$140,$E1097)="","",INDEX(DMAV_Dienste!Q$6:Q$140,$E1097))),IF(INDEX(DMAV_Modell!R$6:R$838,$B1097)="","",INDEX(DMAV_Modell!R$6:R$838,$B1097)))</f>
        <v>PLZ</v>
      </c>
      <c r="N1097" s="62" t="str" cm="1">
        <f t="array" ref="N1097">IF($B1097=0,IF($E1097=0,"",IF(INDEX(DMAV_Dienste!T$6:T$140,$E1097)="","",INDEX(DMAV_Dienste!T$6:T$140,$E1097))),IF(INDEX(DMAV_Modell!U$6:U$838,$B1097)="","",INDEX(DMAV_Modell!U$6:U$838,$B1097)))</f>
        <v>@PH1@(@PH2@)</v>
      </c>
      <c r="O1097" s="63" t="str" cm="1">
        <f t="array" aca="1" ref="O1097" ca="1">IF(C1097=0,IF(F1097=0,"",HYPERLINK("#"&amp;RIGHT(CELL("adresse",OFFSET(DMAV_Dienste!$M$6,F1097-1,0)),LEN(CELL("adresse",OFFSET(DMAV_Dienste!$M$6,F1097-1,0)))-FIND("]",CELL("adresse",OFFSET(DMAV_Dienste!$M$6,F1097-1,0)))),"Structure")),HYPERLINK("#"&amp;RIGHT(CELL("adresse",OFFSET(DMAV_Modell!$N$6,C1097-1,0)),LEN(CELL("adresse",OFFSET(DMAV_Modell!$N$6,C1097-1,0)))-FIND("]",CELL("adresse",OFFSET(DMAV_Modell!$N$6,C1097-1,0)))),"Structure"))</f>
        <v/>
      </c>
      <c r="P1097" s="64" t="str" cm="1">
        <f t="array" aca="1" ref="P1097" ca="1">IF(D1097=0,IF(G1097=0,"",HYPERLINK("#"&amp;RIGHT(CELL("adresse",OFFSET(DMAV_Dienste!$M$6,G1097-1,0)),LEN(CELL("adresse",OFFSET(DMAV_Dienste!$M$6,G1097-1,0)))-FIND("]",CELL("adresse",OFFSET(DMAV_Dienste!$M$6,G1097-1,0)))),"Substructure")),HYPERLINK("#"&amp;RIGHT(CELL("adresse",OFFSET(DMAV_Modell!$N$6,D1097-1,0)),LEN(CELL("adresse",OFFSET(DMAV_Modell!$N$6,D1097-1,0)))-FIND("]",CELL("adresse",OFFSET(DMAV_Modell!$N$6,D1097-1,0)))),"Substructure"))</f>
        <v/>
      </c>
      <c r="R1097" s="80"/>
      <c r="T1097" s="93"/>
      <c r="U1097" s="94"/>
      <c r="V1097" s="95"/>
      <c r="W1097" s="96"/>
      <c r="Y1097" s="85"/>
      <c r="Z1097" s="86"/>
      <c r="AA1097" s="87"/>
      <c r="AB1097" s="88"/>
      <c r="AD1097" s="77"/>
      <c r="AF1097" s="54" t="str" cm="1">
        <f t="array" aca="1" ref="AF1097" ca="1">IF(H1097=0,"",HYPERLINK("#"&amp;RIGHT(CELL("adresse",OFFSET('DM01-AV-CH'!$G$6,H1097-1,0)),LEN(CELL("adresse",OFFSET('DM01-AV-CH'!$G$6,H1097-1,0)))-FIND("]",CELL("adresse",OFFSET('DM01-AV-CH'!$G$6,H1097-1,0)))),"Modell"))</f>
        <v/>
      </c>
      <c r="AG1097" s="72" t="str" cm="1">
        <f t="array" ref="AG1097">IF($H1097=0,"",IF(INDEX('DM01-AV-CH'!G$6:G$834,$H1097)="","",INDEX('DM01-AV-CH'!G$6:G$834,$H1097)))</f>
        <v/>
      </c>
      <c r="AH1097" s="73" t="str" cm="1">
        <f t="array" ref="AH1097">IF($H1097=0,"",IF(INDEX('DM01-AV-CH'!H$6:H$834,$H1097)="","",INDEX('DM01-AV-CH'!H$6:H$834,$H1097)))</f>
        <v/>
      </c>
      <c r="AI1097" s="74" t="str" cm="1">
        <f t="array" ref="AI1097">IF($H1097=0,"",IF(INDEX('DM01-AV-CH'!I$6:I$834,$H1097)="","",INDEX('DM01-AV-CH'!I$6:I$834,$H1097)))</f>
        <v/>
      </c>
    </row>
    <row r="1098" spans="1:35" x14ac:dyDescent="0.25">
      <c r="A1098" s="57">
        <v>1093</v>
      </c>
      <c r="B1098" s="57">
        <f>IF($A1098="","",IF(_xlfn.XLOOKUP($A1098,Korrelation!$D$4:$D$1197,Korrelation!E$4:E$1197,"-",0)="-",0,MATCH(_xlfn.XLOOKUP($A1098,Korrelation!$D$4:$D$1197,Korrelation!E$4:E$1197,"",0),DMAV_Modell!$G$6:$G$677,0)))</f>
        <v>0</v>
      </c>
      <c r="C1098" s="57">
        <f>IF($A1098="","",IF(_xlfn.XLOOKUP($A1098,Korrelation!$D$4:$D$1197,Korrelation!F$4:F$1197,"-",0)="-",0,MATCH(_xlfn.XLOOKUP($A1098,Korrelation!$D$4:$D$1197,Korrelation!F$4:F$1197,"",0),DMAV_Modell!$G$6:$G$677,0)))</f>
        <v>0</v>
      </c>
      <c r="D1098" s="57">
        <f>IF($A1098="","",IF(_xlfn.XLOOKUP($A1098,Korrelation!$D$4:$D$1197,Korrelation!G$4:G$1197,"-",0)="-",0,MATCH(_xlfn.XLOOKUP($A1098,Korrelation!$D$4:$D$1197,Korrelation!G$4:G$1197,"",0),DMAV_Modell!$G$6:$G$677,0)))</f>
        <v>0</v>
      </c>
      <c r="E1098" s="57">
        <f>IF($A1098="","",IF(_xlfn.XLOOKUP($A1098,Korrelation!$D$4:$D$1197,Korrelation!H$4:H$1197,"-",0)="-",0,MATCH(_xlfn.XLOOKUP($A1098,Korrelation!$D$4:$D$1197,Korrelation!H$4:H$1197,"",0),DMAV_Dienste!$F$6:$F$140,0)))</f>
        <v>69</v>
      </c>
      <c r="F1098" s="57">
        <f>IF($A1098="","",IF(_xlfn.XLOOKUP($A1098,Korrelation!$D$4:$D$1197,Korrelation!I$4:I$1197,"-",0)="-",0,MATCH(_xlfn.XLOOKUP($A1098,Korrelation!$D$4:$D$1197,Korrelation!I$4:I$1197,"",0),DMAV_Dienste!$F$6:$F$140,0)))</f>
        <v>0</v>
      </c>
      <c r="G1098" s="57">
        <f>IF($A1098="","",IF(_xlfn.XLOOKUP($A1098,Korrelation!$D$4:$D$1197,Korrelation!J$4:J$1197,"-",0)="-",0,MATCH(_xlfn.XLOOKUP($A1098,Korrelation!$D$4:$D$1197,Korrelation!J$4:J$1197,"",0),DMAV_Dienste!$F$6:$F$140,0)))</f>
        <v>0</v>
      </c>
      <c r="H1098" s="57">
        <f>IF($A1098="","",IF(_xlfn.XLOOKUP($A1098,Korrelation!$D$4:$D$1197,Korrelation!K$4:K$1197,"-",0)="-",0,MATCH(_xlfn.XLOOKUP($A1098,Korrelation!$D$4:$D$1197,Korrelation!K$4:K$1197,"",0),'DM01-AV-CH'!$A$6:$A$834,0)))</f>
        <v>0</v>
      </c>
      <c r="J1098" s="54" t="str" cm="1">
        <f t="array" aca="1" ref="J1098" ca="1">IF(B1098=0,IF(E1098=0,"",HYPERLINK("#"&amp;RIGHT(CELL("adresse",OFFSET(DMAV_Dienste!$M$6,E1098-1,0)),LEN(CELL("adresse",OFFSET(DMAV_Dienste!$M$6,E1098-1,0)))-FIND("]",CELL("adresse",OFFSET(DMAV_Dienste!$M$6,E1098-1,0)))),"Dienst")),HYPERLINK("#"&amp;RIGHT(CELL("adresse",OFFSET(DMAV_Modell!$N$6,B1098-1,0)),LEN(CELL("adresse",OFFSET(DMAV_Modell!$N$6,B1098-1,0)))-FIND("]",CELL("adresse",OFFSET(DMAV_Modell!$N$6,B1098-1,0)))),"Modell"))</f>
        <v>Dienst</v>
      </c>
      <c r="K1098" s="61" t="str" cm="1">
        <f t="array" ref="K1098">IF($B1098=0,IF($E1098=0,"",IF(INDEX(DMAV_Dienste!P$6:P$140,$E1098)="","",INDEX(DMAV_Dienste!P$6:P$140,$E1098))),IF(INDEX(DMAV_Modell!Q$6:Q$838,$B1098)="","",INDEX(DMAV_Modell!Q$6:Q$838,$B1098)))</f>
        <v>ASSOCIATION</v>
      </c>
      <c r="L1098" s="62" t="str" cm="1">
        <f t="array" ref="L1098">IF($B1098=0,IF($E1098=0,"",IF(INDEX(DMAV_Dienste!O$6:O$140,$E1098)="","",INDEX(DMAV_Dienste!O$6:O$140,$E1098))),IF(INDEX(DMAV_Modell!P$6:P$838,$B1098)="","",INDEX(DMAV_Modell!P$6:P$838,$B1098)))</f>
        <v>AmtlichesOrtschaftenverzeichnis</v>
      </c>
      <c r="M1098" s="62" t="str" cm="1">
        <f t="array" ref="M1098">IF($B1098=0,IF($E1098=0,"",IF(INDEX(DMAV_Dienste!Q$6:Q$140,$E1098)="","",INDEX(DMAV_Dienste!Q$6:Q$140,$E1098))),IF(INDEX(DMAV_Modell!R$6:R$838,$B1098)="","",INDEX(DMAV_Modell!R$6:R$838,$B1098)))</f>
        <v>OrtschaftPLZ</v>
      </c>
      <c r="N1098" s="62" t="str" cm="1">
        <f t="array" ref="N1098">IF($B1098=0,IF($E1098=0,"",IF(INDEX(DMAV_Dienste!T$6:T$140,$E1098)="","",INDEX(DMAV_Dienste!T$6:T$140,$E1098))),IF(INDEX(DMAV_Modell!U$6:U$838,$B1098)="","",INDEX(DMAV_Modell!U$6:U$838,$B1098)))</f>
        <v>Ortschaft</v>
      </c>
      <c r="O1098" s="63" t="str" cm="1">
        <f t="array" aca="1" ref="O1098" ca="1">IF(C1098=0,IF(F1098=0,"",HYPERLINK("#"&amp;RIGHT(CELL("adresse",OFFSET(DMAV_Dienste!$M$6,F1098-1,0)),LEN(CELL("adresse",OFFSET(DMAV_Dienste!$M$6,F1098-1,0)))-FIND("]",CELL("adresse",OFFSET(DMAV_Dienste!$M$6,F1098-1,0)))),"Structure")),HYPERLINK("#"&amp;RIGHT(CELL("adresse",OFFSET(DMAV_Modell!$N$6,C1098-1,0)),LEN(CELL("adresse",OFFSET(DMAV_Modell!$N$6,C1098-1,0)))-FIND("]",CELL("adresse",OFFSET(DMAV_Modell!$N$6,C1098-1,0)))),"Structure"))</f>
        <v/>
      </c>
      <c r="P1098" s="64" t="str" cm="1">
        <f t="array" aca="1" ref="P1098" ca="1">IF(D1098=0,IF(G1098=0,"",HYPERLINK("#"&amp;RIGHT(CELL("adresse",OFFSET(DMAV_Dienste!$M$6,G1098-1,0)),LEN(CELL("adresse",OFFSET(DMAV_Dienste!$M$6,G1098-1,0)))-FIND("]",CELL("adresse",OFFSET(DMAV_Dienste!$M$6,G1098-1,0)))),"Substructure")),HYPERLINK("#"&amp;RIGHT(CELL("adresse",OFFSET(DMAV_Modell!$N$6,D1098-1,0)),LEN(CELL("adresse",OFFSET(DMAV_Modell!$N$6,D1098-1,0)))-FIND("]",CELL("adresse",OFFSET(DMAV_Modell!$N$6,D1098-1,0)))),"Substructure"))</f>
        <v/>
      </c>
      <c r="R1098" s="80"/>
      <c r="T1098" s="93"/>
      <c r="U1098" s="94"/>
      <c r="V1098" s="95"/>
      <c r="W1098" s="96"/>
      <c r="Y1098" s="85"/>
      <c r="Z1098" s="86"/>
      <c r="AA1098" s="87"/>
      <c r="AB1098" s="88"/>
      <c r="AD1098" s="77"/>
      <c r="AF1098" s="54" t="str" cm="1">
        <f t="array" aca="1" ref="AF1098" ca="1">IF(H1098=0,"",HYPERLINK("#"&amp;RIGHT(CELL("adresse",OFFSET('DM01-AV-CH'!$G$6,H1098-1,0)),LEN(CELL("adresse",OFFSET('DM01-AV-CH'!$G$6,H1098-1,0)))-FIND("]",CELL("adresse",OFFSET('DM01-AV-CH'!$G$6,H1098-1,0)))),"Modell"))</f>
        <v/>
      </c>
      <c r="AG1098" s="72" t="str" cm="1">
        <f t="array" ref="AG1098">IF($H1098=0,"",IF(INDEX('DM01-AV-CH'!G$6:G$834,$H1098)="","",INDEX('DM01-AV-CH'!G$6:G$834,$H1098)))</f>
        <v/>
      </c>
      <c r="AH1098" s="73" t="str" cm="1">
        <f t="array" ref="AH1098">IF($H1098=0,"",IF(INDEX('DM01-AV-CH'!H$6:H$834,$H1098)="","",INDEX('DM01-AV-CH'!H$6:H$834,$H1098)))</f>
        <v/>
      </c>
      <c r="AI1098" s="74" t="str" cm="1">
        <f t="array" ref="AI1098">IF($H1098=0,"",IF(INDEX('DM01-AV-CH'!I$6:I$834,$H1098)="","",INDEX('DM01-AV-CH'!I$6:I$834,$H1098)))</f>
        <v/>
      </c>
    </row>
    <row r="1099" spans="1:35" x14ac:dyDescent="0.25">
      <c r="A1099" s="57">
        <v>1094</v>
      </c>
      <c r="B1099" s="57">
        <f>IF($A1099="","",IF(_xlfn.XLOOKUP($A1099,Korrelation!$D$4:$D$1197,Korrelation!E$4:E$1197,"-",0)="-",0,MATCH(_xlfn.XLOOKUP($A1099,Korrelation!$D$4:$D$1197,Korrelation!E$4:E$1197,"",0),DMAV_Modell!$G$6:$G$677,0)))</f>
        <v>0</v>
      </c>
      <c r="C1099" s="57">
        <f>IF($A1099="","",IF(_xlfn.XLOOKUP($A1099,Korrelation!$D$4:$D$1197,Korrelation!F$4:F$1197,"-",0)="-",0,MATCH(_xlfn.XLOOKUP($A1099,Korrelation!$D$4:$D$1197,Korrelation!F$4:F$1197,"",0),DMAV_Modell!$G$6:$G$677,0)))</f>
        <v>0</v>
      </c>
      <c r="D1099" s="57">
        <f>IF($A1099="","",IF(_xlfn.XLOOKUP($A1099,Korrelation!$D$4:$D$1197,Korrelation!G$4:G$1197,"-",0)="-",0,MATCH(_xlfn.XLOOKUP($A1099,Korrelation!$D$4:$D$1197,Korrelation!G$4:G$1197,"",0),DMAV_Modell!$G$6:$G$677,0)))</f>
        <v>0</v>
      </c>
      <c r="E1099" s="57">
        <f>IF($A1099="","",IF(_xlfn.XLOOKUP($A1099,Korrelation!$D$4:$D$1197,Korrelation!H$4:H$1197,"-",0)="-",0,MATCH(_xlfn.XLOOKUP($A1099,Korrelation!$D$4:$D$1197,Korrelation!H$4:H$1197,"",0),DMAV_Dienste!$F$6:$F$140,0)))</f>
        <v>70</v>
      </c>
      <c r="F1099" s="57">
        <f>IF($A1099="","",IF(_xlfn.XLOOKUP($A1099,Korrelation!$D$4:$D$1197,Korrelation!I$4:I$1197,"-",0)="-",0,MATCH(_xlfn.XLOOKUP($A1099,Korrelation!$D$4:$D$1197,Korrelation!I$4:I$1197,"",0),DMAV_Dienste!$F$6:$F$140,0)))</f>
        <v>0</v>
      </c>
      <c r="G1099" s="57">
        <f>IF($A1099="","",IF(_xlfn.XLOOKUP($A1099,Korrelation!$D$4:$D$1197,Korrelation!J$4:J$1197,"-",0)="-",0,MATCH(_xlfn.XLOOKUP($A1099,Korrelation!$D$4:$D$1197,Korrelation!J$4:J$1197,"",0),DMAV_Dienste!$F$6:$F$140,0)))</f>
        <v>0</v>
      </c>
      <c r="H1099" s="57">
        <f>IF($A1099="","",IF(_xlfn.XLOOKUP($A1099,Korrelation!$D$4:$D$1197,Korrelation!K$4:K$1197,"-",0)="-",0,MATCH(_xlfn.XLOOKUP($A1099,Korrelation!$D$4:$D$1197,Korrelation!K$4:K$1197,"",0),'DM01-AV-CH'!$A$6:$A$834,0)))</f>
        <v>0</v>
      </c>
      <c r="J1099" s="54" t="str" cm="1">
        <f t="array" aca="1" ref="J1099" ca="1">IF(B1099=0,IF(E1099=0,"",HYPERLINK("#"&amp;RIGHT(CELL("adresse",OFFSET(DMAV_Dienste!$M$6,E1099-1,0)),LEN(CELL("adresse",OFFSET(DMAV_Dienste!$M$6,E1099-1,0)))-FIND("]",CELL("adresse",OFFSET(DMAV_Dienste!$M$6,E1099-1,0)))),"Dienst")),HYPERLINK("#"&amp;RIGHT(CELL("adresse",OFFSET(DMAV_Modell!$N$6,B1099-1,0)),LEN(CELL("adresse",OFFSET(DMAV_Modell!$N$6,B1099-1,0)))-FIND("]",CELL("adresse",OFFSET(DMAV_Modell!$N$6,B1099-1,0)))),"Modell"))</f>
        <v>Dienst</v>
      </c>
      <c r="K1099" s="61" t="str" cm="1">
        <f t="array" ref="K1099">IF($B1099=0,IF($E1099=0,"",IF(INDEX(DMAV_Dienste!P$6:P$140,$E1099)="","",INDEX(DMAV_Dienste!P$6:P$140,$E1099))),IF(INDEX(DMAV_Modell!Q$6:Q$838,$B1099)="","",INDEX(DMAV_Modell!Q$6:Q$838,$B1099)))</f>
        <v>ASSOCIATION</v>
      </c>
      <c r="L1099" s="62" t="str" cm="1">
        <f t="array" ref="L1099">IF($B1099=0,IF($E1099=0,"",IF(INDEX(DMAV_Dienste!O$6:O$140,$E1099)="","",INDEX(DMAV_Dienste!O$6:O$140,$E1099))),IF(INDEX(DMAV_Modell!P$6:P$838,$B1099)="","",INDEX(DMAV_Modell!P$6:P$838,$B1099)))</f>
        <v>AmtlichesOrtschaftenverzeichnis</v>
      </c>
      <c r="M1099" s="62" t="str" cm="1">
        <f t="array" ref="M1099">IF($B1099=0,IF($E1099=0,"",IF(INDEX(DMAV_Dienste!Q$6:Q$140,$E1099)="","",INDEX(DMAV_Dienste!Q$6:Q$140,$E1099))),IF(INDEX(DMAV_Modell!R$6:R$838,$B1099)="","",INDEX(DMAV_Modell!R$6:R$838,$B1099)))</f>
        <v>OrtschaftPLZ</v>
      </c>
      <c r="N1099" s="62" t="str" cm="1">
        <f t="array" ref="N1099">IF($B1099=0,IF($E1099=0,"",IF(INDEX(DMAV_Dienste!T$6:T$140,$E1099)="","",INDEX(DMAV_Dienste!T$6:T$140,$E1099))),IF(INDEX(DMAV_Modell!U$6:U$838,$B1099)="","",INDEX(DMAV_Modell!U$6:U$838,$B1099)))</f>
        <v>PLZ</v>
      </c>
      <c r="O1099" s="63" t="str" cm="1">
        <f t="array" aca="1" ref="O1099" ca="1">IF(C1099=0,IF(F1099=0,"",HYPERLINK("#"&amp;RIGHT(CELL("adresse",OFFSET(DMAV_Dienste!$M$6,F1099-1,0)),LEN(CELL("adresse",OFFSET(DMAV_Dienste!$M$6,F1099-1,0)))-FIND("]",CELL("adresse",OFFSET(DMAV_Dienste!$M$6,F1099-1,0)))),"Structure")),HYPERLINK("#"&amp;RIGHT(CELL("adresse",OFFSET(DMAV_Modell!$N$6,C1099-1,0)),LEN(CELL("adresse",OFFSET(DMAV_Modell!$N$6,C1099-1,0)))-FIND("]",CELL("adresse",OFFSET(DMAV_Modell!$N$6,C1099-1,0)))),"Structure"))</f>
        <v/>
      </c>
      <c r="P1099" s="64" t="str" cm="1">
        <f t="array" aca="1" ref="P1099" ca="1">IF(D1099=0,IF(G1099=0,"",HYPERLINK("#"&amp;RIGHT(CELL("adresse",OFFSET(DMAV_Dienste!$M$6,G1099-1,0)),LEN(CELL("adresse",OFFSET(DMAV_Dienste!$M$6,G1099-1,0)))-FIND("]",CELL("adresse",OFFSET(DMAV_Dienste!$M$6,G1099-1,0)))),"Substructure")),HYPERLINK("#"&amp;RIGHT(CELL("adresse",OFFSET(DMAV_Modell!$N$6,D1099-1,0)),LEN(CELL("adresse",OFFSET(DMAV_Modell!$N$6,D1099-1,0)))-FIND("]",CELL("adresse",OFFSET(DMAV_Modell!$N$6,D1099-1,0)))),"Substructure"))</f>
        <v/>
      </c>
      <c r="R1099" s="80"/>
      <c r="T1099" s="93"/>
      <c r="U1099" s="94"/>
      <c r="V1099" s="95"/>
      <c r="W1099" s="96"/>
      <c r="Y1099" s="85"/>
      <c r="Z1099" s="86"/>
      <c r="AA1099" s="87"/>
      <c r="AB1099" s="88"/>
      <c r="AD1099" s="77"/>
      <c r="AF1099" s="54" t="str" cm="1">
        <f t="array" aca="1" ref="AF1099" ca="1">IF(H1099=0,"",HYPERLINK("#"&amp;RIGHT(CELL("adresse",OFFSET('DM01-AV-CH'!$G$6,H1099-1,0)),LEN(CELL("adresse",OFFSET('DM01-AV-CH'!$G$6,H1099-1,0)))-FIND("]",CELL("adresse",OFFSET('DM01-AV-CH'!$G$6,H1099-1,0)))),"Modell"))</f>
        <v/>
      </c>
      <c r="AG1099" s="72" t="str" cm="1">
        <f t="array" ref="AG1099">IF($H1099=0,"",IF(INDEX('DM01-AV-CH'!G$6:G$834,$H1099)="","",INDEX('DM01-AV-CH'!G$6:G$834,$H1099)))</f>
        <v/>
      </c>
      <c r="AH1099" s="73" t="str" cm="1">
        <f t="array" ref="AH1099">IF($H1099=0,"",IF(INDEX('DM01-AV-CH'!H$6:H$834,$H1099)="","",INDEX('DM01-AV-CH'!H$6:H$834,$H1099)))</f>
        <v/>
      </c>
      <c r="AI1099" s="74" t="str" cm="1">
        <f t="array" ref="AI1099">IF($H1099=0,"",IF(INDEX('DM01-AV-CH'!I$6:I$834,$H1099)="","",INDEX('DM01-AV-CH'!I$6:I$834,$H1099)))</f>
        <v/>
      </c>
    </row>
    <row r="1100" spans="1:35" x14ac:dyDescent="0.25">
      <c r="A1100" s="57">
        <v>1095</v>
      </c>
      <c r="B1100" s="57">
        <f>IF($A1100="","",IF(_xlfn.XLOOKUP($A1100,Korrelation!$D$4:$D$1197,Korrelation!E$4:E$1197,"-",0)="-",0,MATCH(_xlfn.XLOOKUP($A1100,Korrelation!$D$4:$D$1197,Korrelation!E$4:E$1197,"",0),DMAV_Modell!$G$6:$G$677,0)))</f>
        <v>613</v>
      </c>
      <c r="C1100" s="57">
        <f>IF($A1100="","",IF(_xlfn.XLOOKUP($A1100,Korrelation!$D$4:$D$1197,Korrelation!F$4:F$1197,"-",0)="-",0,MATCH(_xlfn.XLOOKUP($A1100,Korrelation!$D$4:$D$1197,Korrelation!F$4:F$1197,"",0),DMAV_Modell!$G$6:$G$677,0)))</f>
        <v>0</v>
      </c>
      <c r="D1100" s="57">
        <f>IF($A1100="","",IF(_xlfn.XLOOKUP($A1100,Korrelation!$D$4:$D$1197,Korrelation!G$4:G$1197,"-",0)="-",0,MATCH(_xlfn.XLOOKUP($A1100,Korrelation!$D$4:$D$1197,Korrelation!G$4:G$1197,"",0),DMAV_Modell!$G$6:$G$677,0)))</f>
        <v>0</v>
      </c>
      <c r="E1100" s="57">
        <f>IF($A1100="","",IF(_xlfn.XLOOKUP($A1100,Korrelation!$D$4:$D$1197,Korrelation!H$4:H$1197,"-",0)="-",0,MATCH(_xlfn.XLOOKUP($A1100,Korrelation!$D$4:$D$1197,Korrelation!H$4:H$1197,"",0),DMAV_Dienste!$F$6:$F$140,0)))</f>
        <v>0</v>
      </c>
      <c r="F1100" s="57">
        <f>IF($A1100="","",IF(_xlfn.XLOOKUP($A1100,Korrelation!$D$4:$D$1197,Korrelation!I$4:I$1197,"-",0)="-",0,MATCH(_xlfn.XLOOKUP($A1100,Korrelation!$D$4:$D$1197,Korrelation!I$4:I$1197,"",0),DMAV_Dienste!$F$6:$F$140,0)))</f>
        <v>0</v>
      </c>
      <c r="G1100" s="57">
        <f>IF($A1100="","",IF(_xlfn.XLOOKUP($A1100,Korrelation!$D$4:$D$1197,Korrelation!J$4:J$1197,"-",0)="-",0,MATCH(_xlfn.XLOOKUP($A1100,Korrelation!$D$4:$D$1197,Korrelation!J$4:J$1197,"",0),DMAV_Dienste!$F$6:$F$140,0)))</f>
        <v>0</v>
      </c>
      <c r="H1100" s="57">
        <f>IF($A1100="","",IF(_xlfn.XLOOKUP($A1100,Korrelation!$D$4:$D$1197,Korrelation!K$4:K$1197,"-",0)="-",0,MATCH(_xlfn.XLOOKUP($A1100,Korrelation!$D$4:$D$1197,Korrelation!K$4:K$1197,"",0),'DM01-AV-CH'!$A$6:$A$834,0)))</f>
        <v>0</v>
      </c>
      <c r="J1100" s="54" t="str" cm="1">
        <f t="array" aca="1" ref="J1100" ca="1">IF(B1100=0,IF(E1100=0,"",HYPERLINK("#"&amp;RIGHT(CELL("adresse",OFFSET(DMAV_Dienste!$M$6,E1100-1,0)),LEN(CELL("adresse",OFFSET(DMAV_Dienste!$M$6,E1100-1,0)))-FIND("]",CELL("adresse",OFFSET(DMAV_Dienste!$M$6,E1100-1,0)))),"Dienst")),HYPERLINK("#"&amp;RIGHT(CELL("adresse",OFFSET(DMAV_Modell!$N$6,B1100-1,0)),LEN(CELL("adresse",OFFSET(DMAV_Modell!$N$6,B1100-1,0)))-FIND("]",CELL("adresse",OFFSET(DMAV_Modell!$N$6,B1100-1,0)))),"Modell"))</f>
        <v>Modell</v>
      </c>
      <c r="K1100" s="61" t="str" cm="1">
        <f t="array" ref="K1100">IF($B1100=0,IF($E1100=0,"",IF(INDEX(DMAV_Dienste!P$6:P$140,$E1100)="","",INDEX(DMAV_Dienste!P$6:P$140,$E1100))),IF(INDEX(DMAV_Modell!Q$6:Q$838,$B1100)="","",INDEX(DMAV_Modell!Q$6:Q$838,$B1100)))</f>
        <v>IMPORTS</v>
      </c>
      <c r="L1100" s="62" t="str" cm="1">
        <f t="array" ref="L1100">IF($B1100=0,IF($E1100=0,"",IF(INDEX(DMAV_Dienste!O$6:O$140,$E1100)="","",INDEX(DMAV_Dienste!O$6:O$140,$E1100))),IF(INDEX(DMAV_Modell!P$6:P$838,$B1100)="","",INDEX(DMAV_Modell!P$6:P$838,$B1100)))</f>
        <v/>
      </c>
      <c r="M1100" s="62" t="str" cm="1">
        <f t="array" ref="M1100">IF($B1100=0,IF($E1100=0,"",IF(INDEX(DMAV_Dienste!Q$6:Q$140,$E1100)="","",INDEX(DMAV_Dienste!Q$6:Q$140,$E1100))),IF(INDEX(DMAV_Modell!R$6:R$838,$B1100)="","",INDEX(DMAV_Modell!R$6:R$838,$B1100)))</f>
        <v>GeometryCHLV95_V2</v>
      </c>
      <c r="N1100" s="62" t="str" cm="1">
        <f t="array" ref="N1100">IF($B1100=0,IF($E1100=0,"",IF(INDEX(DMAV_Dienste!T$6:T$140,$E1100)="","",INDEX(DMAV_Dienste!T$6:T$140,$E1100))),IF(INDEX(DMAV_Modell!U$6:U$838,$B1100)="","",INDEX(DMAV_Modell!U$6:U$838,$B1100)))</f>
        <v/>
      </c>
      <c r="O1100" s="63" t="str" cm="1">
        <f t="array" aca="1" ref="O1100" ca="1">IF(C1100=0,IF(F1100=0,"",HYPERLINK("#"&amp;RIGHT(CELL("adresse",OFFSET(DMAV_Dienste!$M$6,F1100-1,0)),LEN(CELL("adresse",OFFSET(DMAV_Dienste!$M$6,F1100-1,0)))-FIND("]",CELL("adresse",OFFSET(DMAV_Dienste!$M$6,F1100-1,0)))),"Structure")),HYPERLINK("#"&amp;RIGHT(CELL("adresse",OFFSET(DMAV_Modell!$N$6,C1100-1,0)),LEN(CELL("adresse",OFFSET(DMAV_Modell!$N$6,C1100-1,0)))-FIND("]",CELL("adresse",OFFSET(DMAV_Modell!$N$6,C1100-1,0)))),"Structure"))</f>
        <v/>
      </c>
      <c r="P1100" s="64" t="str" cm="1">
        <f t="array" aca="1" ref="P1100" ca="1">IF(D1100=0,IF(G1100=0,"",HYPERLINK("#"&amp;RIGHT(CELL("adresse",OFFSET(DMAV_Dienste!$M$6,G1100-1,0)),LEN(CELL("adresse",OFFSET(DMAV_Dienste!$M$6,G1100-1,0)))-FIND("]",CELL("adresse",OFFSET(DMAV_Dienste!$M$6,G1100-1,0)))),"Substructure")),HYPERLINK("#"&amp;RIGHT(CELL("adresse",OFFSET(DMAV_Modell!$N$6,D1100-1,0)),LEN(CELL("adresse",OFFSET(DMAV_Modell!$N$6,D1100-1,0)))-FIND("]",CELL("adresse",OFFSET(DMAV_Modell!$N$6,D1100-1,0)))),"Substructure"))</f>
        <v/>
      </c>
      <c r="R1100" s="80"/>
      <c r="T1100" s="93"/>
      <c r="U1100" s="94"/>
      <c r="V1100" s="95"/>
      <c r="W1100" s="96"/>
      <c r="Y1100" s="85"/>
      <c r="Z1100" s="86"/>
      <c r="AA1100" s="87"/>
      <c r="AB1100" s="88"/>
      <c r="AD1100" s="77"/>
      <c r="AF1100" s="54" t="str" cm="1">
        <f t="array" aca="1" ref="AF1100" ca="1">IF(H1100=0,"",HYPERLINK("#"&amp;RIGHT(CELL("adresse",OFFSET('DM01-AV-CH'!$G$6,H1100-1,0)),LEN(CELL("adresse",OFFSET('DM01-AV-CH'!$G$6,H1100-1,0)))-FIND("]",CELL("adresse",OFFSET('DM01-AV-CH'!$G$6,H1100-1,0)))),"Modell"))</f>
        <v/>
      </c>
      <c r="AG1100" s="72" t="str" cm="1">
        <f t="array" ref="AG1100">IF($H1100=0,"",IF(INDEX('DM01-AV-CH'!G$6:G$834,$H1100)="","",INDEX('DM01-AV-CH'!G$6:G$834,$H1100)))</f>
        <v/>
      </c>
      <c r="AH1100" s="73" t="str" cm="1">
        <f t="array" ref="AH1100">IF($H1100=0,"",IF(INDEX('DM01-AV-CH'!H$6:H$834,$H1100)="","",INDEX('DM01-AV-CH'!H$6:H$834,$H1100)))</f>
        <v/>
      </c>
      <c r="AI1100" s="74" t="str" cm="1">
        <f t="array" ref="AI1100">IF($H1100=0,"",IF(INDEX('DM01-AV-CH'!I$6:I$834,$H1100)="","",INDEX('DM01-AV-CH'!I$6:I$834,$H1100)))</f>
        <v/>
      </c>
    </row>
    <row r="1101" spans="1:35" x14ac:dyDescent="0.25">
      <c r="A1101" s="57">
        <v>1096</v>
      </c>
      <c r="B1101" s="57">
        <f>IF($A1101="","",IF(_xlfn.XLOOKUP($A1101,Korrelation!$D$4:$D$1197,Korrelation!E$4:E$1197,"-",0)="-",0,MATCH(_xlfn.XLOOKUP($A1101,Korrelation!$D$4:$D$1197,Korrelation!E$4:E$1197,"",0),DMAV_Modell!$G$6:$G$677,0)))</f>
        <v>614</v>
      </c>
      <c r="C1101" s="57">
        <f>IF($A1101="","",IF(_xlfn.XLOOKUP($A1101,Korrelation!$D$4:$D$1197,Korrelation!F$4:F$1197,"-",0)="-",0,MATCH(_xlfn.XLOOKUP($A1101,Korrelation!$D$4:$D$1197,Korrelation!F$4:F$1197,"",0),DMAV_Modell!$G$6:$G$677,0)))</f>
        <v>0</v>
      </c>
      <c r="D1101" s="57">
        <f>IF($A1101="","",IF(_xlfn.XLOOKUP($A1101,Korrelation!$D$4:$D$1197,Korrelation!G$4:G$1197,"-",0)="-",0,MATCH(_xlfn.XLOOKUP($A1101,Korrelation!$D$4:$D$1197,Korrelation!G$4:G$1197,"",0),DMAV_Modell!$G$6:$G$677,0)))</f>
        <v>0</v>
      </c>
      <c r="E1101" s="57">
        <f>IF($A1101="","",IF(_xlfn.XLOOKUP($A1101,Korrelation!$D$4:$D$1197,Korrelation!H$4:H$1197,"-",0)="-",0,MATCH(_xlfn.XLOOKUP($A1101,Korrelation!$D$4:$D$1197,Korrelation!H$4:H$1197,"",0),DMAV_Dienste!$F$6:$F$140,0)))</f>
        <v>0</v>
      </c>
      <c r="F1101" s="57">
        <f>IF($A1101="","",IF(_xlfn.XLOOKUP($A1101,Korrelation!$D$4:$D$1197,Korrelation!I$4:I$1197,"-",0)="-",0,MATCH(_xlfn.XLOOKUP($A1101,Korrelation!$D$4:$D$1197,Korrelation!I$4:I$1197,"",0),DMAV_Dienste!$F$6:$F$140,0)))</f>
        <v>0</v>
      </c>
      <c r="G1101" s="57">
        <f>IF($A1101="","",IF(_xlfn.XLOOKUP($A1101,Korrelation!$D$4:$D$1197,Korrelation!J$4:J$1197,"-",0)="-",0,MATCH(_xlfn.XLOOKUP($A1101,Korrelation!$D$4:$D$1197,Korrelation!J$4:J$1197,"",0),DMAV_Dienste!$F$6:$F$140,0)))</f>
        <v>0</v>
      </c>
      <c r="H1101" s="57">
        <f>IF($A1101="","",IF(_xlfn.XLOOKUP($A1101,Korrelation!$D$4:$D$1197,Korrelation!K$4:K$1197,"-",0)="-",0,MATCH(_xlfn.XLOOKUP($A1101,Korrelation!$D$4:$D$1197,Korrelation!K$4:K$1197,"",0),'DM01-AV-CH'!$A$6:$A$834,0)))</f>
        <v>0</v>
      </c>
      <c r="J1101" s="54" t="str" cm="1">
        <f t="array" aca="1" ref="J1101" ca="1">IF(B1101=0,IF(E1101=0,"",HYPERLINK("#"&amp;RIGHT(CELL("adresse",OFFSET(DMAV_Dienste!$M$6,E1101-1,0)),LEN(CELL("adresse",OFFSET(DMAV_Dienste!$M$6,E1101-1,0)))-FIND("]",CELL("adresse",OFFSET(DMAV_Dienste!$M$6,E1101-1,0)))),"Dienst")),HYPERLINK("#"&amp;RIGHT(CELL("adresse",OFFSET(DMAV_Modell!$N$6,B1101-1,0)),LEN(CELL("adresse",OFFSET(DMAV_Modell!$N$6,B1101-1,0)))-FIND("]",CELL("adresse",OFFSET(DMAV_Modell!$N$6,B1101-1,0)))),"Modell"))</f>
        <v>Modell</v>
      </c>
      <c r="K1101" s="61" t="str" cm="1">
        <f t="array" ref="K1101">IF($B1101=0,IF($E1101=0,"",IF(INDEX(DMAV_Dienste!P$6:P$140,$E1101)="","",INDEX(DMAV_Dienste!P$6:P$140,$E1101))),IF(INDEX(DMAV_Modell!Q$6:Q$838,$B1101)="","",INDEX(DMAV_Modell!Q$6:Q$838,$B1101)))</f>
        <v>IMPORTS</v>
      </c>
      <c r="L1101" s="62" t="str" cm="1">
        <f t="array" ref="L1101">IF($B1101=0,IF($E1101=0,"",IF(INDEX(DMAV_Dienste!O$6:O$140,$E1101)="","",INDEX(DMAV_Dienste!O$6:O$140,$E1101))),IF(INDEX(DMAV_Modell!P$6:P$838,$B1101)="","",INDEX(DMAV_Modell!P$6:P$838,$B1101)))</f>
        <v/>
      </c>
      <c r="M1101" s="62" t="str" cm="1">
        <f t="array" ref="M1101">IF($B1101=0,IF($E1101=0,"",IF(INDEX(DMAV_Dienste!Q$6:Q$140,$E1101)="","",INDEX(DMAV_Dienste!Q$6:Q$140,$E1101))),IF(INDEX(DMAV_Modell!R$6:R$838,$B1101)="","",INDEX(DMAV_Modell!R$6:R$838,$B1101)))</f>
        <v>DMAVTYM_Modinfo_V1_0</v>
      </c>
      <c r="N1101" s="62" t="str" cm="1">
        <f t="array" ref="N1101">IF($B1101=0,IF($E1101=0,"",IF(INDEX(DMAV_Dienste!T$6:T$140,$E1101)="","",INDEX(DMAV_Dienste!T$6:T$140,$E1101))),IF(INDEX(DMAV_Modell!U$6:U$838,$B1101)="","",INDEX(DMAV_Modell!U$6:U$838,$B1101)))</f>
        <v/>
      </c>
      <c r="O1101" s="63" t="str" cm="1">
        <f t="array" aca="1" ref="O1101" ca="1">IF(C1101=0,IF(F1101=0,"",HYPERLINK("#"&amp;RIGHT(CELL("adresse",OFFSET(DMAV_Dienste!$M$6,F1101-1,0)),LEN(CELL("adresse",OFFSET(DMAV_Dienste!$M$6,F1101-1,0)))-FIND("]",CELL("adresse",OFFSET(DMAV_Dienste!$M$6,F1101-1,0)))),"Structure")),HYPERLINK("#"&amp;RIGHT(CELL("adresse",OFFSET(DMAV_Modell!$N$6,C1101-1,0)),LEN(CELL("adresse",OFFSET(DMAV_Modell!$N$6,C1101-1,0)))-FIND("]",CELL("adresse",OFFSET(DMAV_Modell!$N$6,C1101-1,0)))),"Structure"))</f>
        <v/>
      </c>
      <c r="P1101" s="64" t="str" cm="1">
        <f t="array" aca="1" ref="P1101" ca="1">IF(D1101=0,IF(G1101=0,"",HYPERLINK("#"&amp;RIGHT(CELL("adresse",OFFSET(DMAV_Dienste!$M$6,G1101-1,0)),LEN(CELL("adresse",OFFSET(DMAV_Dienste!$M$6,G1101-1,0)))-FIND("]",CELL("adresse",OFFSET(DMAV_Dienste!$M$6,G1101-1,0)))),"Substructure")),HYPERLINK("#"&amp;RIGHT(CELL("adresse",OFFSET(DMAV_Modell!$N$6,D1101-1,0)),LEN(CELL("adresse",OFFSET(DMAV_Modell!$N$6,D1101-1,0)))-FIND("]",CELL("adresse",OFFSET(DMAV_Modell!$N$6,D1101-1,0)))),"Substructure"))</f>
        <v/>
      </c>
      <c r="R1101" s="80"/>
      <c r="T1101" s="93"/>
      <c r="U1101" s="94"/>
      <c r="V1101" s="95"/>
      <c r="W1101" s="96"/>
      <c r="Y1101" s="85"/>
      <c r="Z1101" s="86"/>
      <c r="AA1101" s="87"/>
      <c r="AB1101" s="88"/>
      <c r="AD1101" s="77"/>
      <c r="AF1101" s="54" t="str" cm="1">
        <f t="array" aca="1" ref="AF1101" ca="1">IF(H1101=0,"",HYPERLINK("#"&amp;RIGHT(CELL("adresse",OFFSET('DM01-AV-CH'!$G$6,H1101-1,0)),LEN(CELL("adresse",OFFSET('DM01-AV-CH'!$G$6,H1101-1,0)))-FIND("]",CELL("adresse",OFFSET('DM01-AV-CH'!$G$6,H1101-1,0)))),"Modell"))</f>
        <v/>
      </c>
      <c r="AG1101" s="72" t="str" cm="1">
        <f t="array" ref="AG1101">IF($H1101=0,"",IF(INDEX('DM01-AV-CH'!G$6:G$834,$H1101)="","",INDEX('DM01-AV-CH'!G$6:G$834,$H1101)))</f>
        <v/>
      </c>
      <c r="AH1101" s="73" t="str" cm="1">
        <f t="array" ref="AH1101">IF($H1101=0,"",IF(INDEX('DM01-AV-CH'!H$6:H$834,$H1101)="","",INDEX('DM01-AV-CH'!H$6:H$834,$H1101)))</f>
        <v/>
      </c>
      <c r="AI1101" s="74" t="str" cm="1">
        <f t="array" ref="AI1101">IF($H1101=0,"",IF(INDEX('DM01-AV-CH'!I$6:I$834,$H1101)="","",INDEX('DM01-AV-CH'!I$6:I$834,$H1101)))</f>
        <v/>
      </c>
    </row>
    <row r="1102" spans="1:35" x14ac:dyDescent="0.25">
      <c r="A1102" s="57">
        <v>1097</v>
      </c>
      <c r="B1102" s="57">
        <f>IF($A1102="","",IF(_xlfn.XLOOKUP($A1102,Korrelation!$D$4:$D$1197,Korrelation!E$4:E$1197,"-",0)="-",0,MATCH(_xlfn.XLOOKUP($A1102,Korrelation!$D$4:$D$1197,Korrelation!E$4:E$1197,"",0),DMAV_Modell!$G$6:$G$677,0)))</f>
        <v>615</v>
      </c>
      <c r="C1102" s="57">
        <f>IF($A1102="","",IF(_xlfn.XLOOKUP($A1102,Korrelation!$D$4:$D$1197,Korrelation!F$4:F$1197,"-",0)="-",0,MATCH(_xlfn.XLOOKUP($A1102,Korrelation!$D$4:$D$1197,Korrelation!F$4:F$1197,"",0),DMAV_Modell!$G$6:$G$677,0)))</f>
        <v>0</v>
      </c>
      <c r="D1102" s="57">
        <f>IF($A1102="","",IF(_xlfn.XLOOKUP($A1102,Korrelation!$D$4:$D$1197,Korrelation!G$4:G$1197,"-",0)="-",0,MATCH(_xlfn.XLOOKUP($A1102,Korrelation!$D$4:$D$1197,Korrelation!G$4:G$1197,"",0),DMAV_Modell!$G$6:$G$677,0)))</f>
        <v>0</v>
      </c>
      <c r="E1102" s="57">
        <f>IF($A1102="","",IF(_xlfn.XLOOKUP($A1102,Korrelation!$D$4:$D$1197,Korrelation!H$4:H$1197,"-",0)="-",0,MATCH(_xlfn.XLOOKUP($A1102,Korrelation!$D$4:$D$1197,Korrelation!H$4:H$1197,"",0),DMAV_Dienste!$F$6:$F$140,0)))</f>
        <v>0</v>
      </c>
      <c r="F1102" s="57">
        <f>IF($A1102="","",IF(_xlfn.XLOOKUP($A1102,Korrelation!$D$4:$D$1197,Korrelation!I$4:I$1197,"-",0)="-",0,MATCH(_xlfn.XLOOKUP($A1102,Korrelation!$D$4:$D$1197,Korrelation!I$4:I$1197,"",0),DMAV_Dienste!$F$6:$F$140,0)))</f>
        <v>0</v>
      </c>
      <c r="G1102" s="57">
        <f>IF($A1102="","",IF(_xlfn.XLOOKUP($A1102,Korrelation!$D$4:$D$1197,Korrelation!J$4:J$1197,"-",0)="-",0,MATCH(_xlfn.XLOOKUP($A1102,Korrelation!$D$4:$D$1197,Korrelation!J$4:J$1197,"",0),DMAV_Dienste!$F$6:$F$140,0)))</f>
        <v>0</v>
      </c>
      <c r="H1102" s="57">
        <f>IF($A1102="","",IF(_xlfn.XLOOKUP($A1102,Korrelation!$D$4:$D$1197,Korrelation!K$4:K$1197,"-",0)="-",0,MATCH(_xlfn.XLOOKUP($A1102,Korrelation!$D$4:$D$1197,Korrelation!K$4:K$1197,"",0),'DM01-AV-CH'!$A$6:$A$834,0)))</f>
        <v>0</v>
      </c>
      <c r="J1102" s="54" t="str" cm="1">
        <f t="array" aca="1" ref="J1102" ca="1">IF(B1102=0,IF(E1102=0,"",HYPERLINK("#"&amp;RIGHT(CELL("adresse",OFFSET(DMAV_Dienste!$M$6,E1102-1,0)),LEN(CELL("adresse",OFFSET(DMAV_Dienste!$M$6,E1102-1,0)))-FIND("]",CELL("adresse",OFFSET(DMAV_Dienste!$M$6,E1102-1,0)))),"Dienst")),HYPERLINK("#"&amp;RIGHT(CELL("adresse",OFFSET(DMAV_Modell!$N$6,B1102-1,0)),LEN(CELL("adresse",OFFSET(DMAV_Modell!$N$6,B1102-1,0)))-FIND("]",CELL("adresse",OFFSET(DMAV_Modell!$N$6,B1102-1,0)))),"Modell"))</f>
        <v>Modell</v>
      </c>
      <c r="K1102" s="61" t="str" cm="1">
        <f t="array" ref="K1102">IF($B1102=0,IF($E1102=0,"",IF(INDEX(DMAV_Dienste!P$6:P$140,$E1102)="","",INDEX(DMAV_Dienste!P$6:P$140,$E1102))),IF(INDEX(DMAV_Modell!Q$6:Q$838,$B1102)="","",INDEX(DMAV_Modell!Q$6:Q$838,$B1102)))</f>
        <v>IMPORTS</v>
      </c>
      <c r="L1102" s="62" t="str" cm="1">
        <f t="array" ref="L1102">IF($B1102=0,IF($E1102=0,"",IF(INDEX(DMAV_Dienste!O$6:O$140,$E1102)="","",INDEX(DMAV_Dienste!O$6:O$140,$E1102))),IF(INDEX(DMAV_Modell!P$6:P$838,$B1102)="","",INDEX(DMAV_Modell!P$6:P$838,$B1102)))</f>
        <v/>
      </c>
      <c r="M1102" s="62" t="str" cm="1">
        <f t="array" ref="M1102">IF($B1102=0,IF($E1102=0,"",IF(INDEX(DMAV_Dienste!Q$6:Q$140,$E1102)="","",INDEX(DMAV_Dienste!Q$6:Q$140,$E1102))),IF(INDEX(DMAV_Modell!R$6:R$838,$B1102)="","",INDEX(DMAV_Modell!R$6:R$838,$B1102)))</f>
        <v>DMAVTYM_Grafik_V1_0</v>
      </c>
      <c r="N1102" s="62" t="str" cm="1">
        <f t="array" ref="N1102">IF($B1102=0,IF($E1102=0,"",IF(INDEX(DMAV_Dienste!T$6:T$140,$E1102)="","",INDEX(DMAV_Dienste!T$6:T$140,$E1102))),IF(INDEX(DMAV_Modell!U$6:U$838,$B1102)="","",INDEX(DMAV_Modell!U$6:U$838,$B1102)))</f>
        <v/>
      </c>
      <c r="O1102" s="63" t="str" cm="1">
        <f t="array" aca="1" ref="O1102" ca="1">IF(C1102=0,IF(F1102=0,"",HYPERLINK("#"&amp;RIGHT(CELL("adresse",OFFSET(DMAV_Dienste!$M$6,F1102-1,0)),LEN(CELL("adresse",OFFSET(DMAV_Dienste!$M$6,F1102-1,0)))-FIND("]",CELL("adresse",OFFSET(DMAV_Dienste!$M$6,F1102-1,0)))),"Structure")),HYPERLINK("#"&amp;RIGHT(CELL("adresse",OFFSET(DMAV_Modell!$N$6,C1102-1,0)),LEN(CELL("adresse",OFFSET(DMAV_Modell!$N$6,C1102-1,0)))-FIND("]",CELL("adresse",OFFSET(DMAV_Modell!$N$6,C1102-1,0)))),"Structure"))</f>
        <v/>
      </c>
      <c r="P1102" s="64" t="str" cm="1">
        <f t="array" aca="1" ref="P1102" ca="1">IF(D1102=0,IF(G1102=0,"",HYPERLINK("#"&amp;RIGHT(CELL("adresse",OFFSET(DMAV_Dienste!$M$6,G1102-1,0)),LEN(CELL("adresse",OFFSET(DMAV_Dienste!$M$6,G1102-1,0)))-FIND("]",CELL("adresse",OFFSET(DMAV_Dienste!$M$6,G1102-1,0)))),"Substructure")),HYPERLINK("#"&amp;RIGHT(CELL("adresse",OFFSET(DMAV_Modell!$N$6,D1102-1,0)),LEN(CELL("adresse",OFFSET(DMAV_Modell!$N$6,D1102-1,0)))-FIND("]",CELL("adresse",OFFSET(DMAV_Modell!$N$6,D1102-1,0)))),"Substructure"))</f>
        <v/>
      </c>
      <c r="R1102" s="80"/>
      <c r="T1102" s="93"/>
      <c r="U1102" s="94"/>
      <c r="V1102" s="95"/>
      <c r="W1102" s="96"/>
      <c r="Y1102" s="85"/>
      <c r="Z1102" s="86"/>
      <c r="AA1102" s="87"/>
      <c r="AB1102" s="88"/>
      <c r="AD1102" s="77"/>
      <c r="AF1102" s="54" t="str" cm="1">
        <f t="array" aca="1" ref="AF1102" ca="1">IF(H1102=0,"",HYPERLINK("#"&amp;RIGHT(CELL("adresse",OFFSET('DM01-AV-CH'!$G$6,H1102-1,0)),LEN(CELL("adresse",OFFSET('DM01-AV-CH'!$G$6,H1102-1,0)))-FIND("]",CELL("adresse",OFFSET('DM01-AV-CH'!$G$6,H1102-1,0)))),"Modell"))</f>
        <v/>
      </c>
      <c r="AG1102" s="72" t="str" cm="1">
        <f t="array" ref="AG1102">IF($H1102=0,"",IF(INDEX('DM01-AV-CH'!G$6:G$834,$H1102)="","",INDEX('DM01-AV-CH'!G$6:G$834,$H1102)))</f>
        <v/>
      </c>
      <c r="AH1102" s="73" t="str" cm="1">
        <f t="array" ref="AH1102">IF($H1102=0,"",IF(INDEX('DM01-AV-CH'!H$6:H$834,$H1102)="","",INDEX('DM01-AV-CH'!H$6:H$834,$H1102)))</f>
        <v/>
      </c>
      <c r="AI1102" s="74" t="str" cm="1">
        <f t="array" ref="AI1102">IF($H1102=0,"",IF(INDEX('DM01-AV-CH'!I$6:I$834,$H1102)="","",INDEX('DM01-AV-CH'!I$6:I$834,$H1102)))</f>
        <v/>
      </c>
    </row>
    <row r="1103" spans="1:35" x14ac:dyDescent="0.25">
      <c r="A1103" s="57">
        <v>1098</v>
      </c>
      <c r="B1103" s="57">
        <f>IF($A1103="","",IF(_xlfn.XLOOKUP($A1103,Korrelation!$D$4:$D$1197,Korrelation!E$4:E$1197,"-",0)="-",0,MATCH(_xlfn.XLOOKUP($A1103,Korrelation!$D$4:$D$1197,Korrelation!E$4:E$1197,"",0),DMAV_Modell!$G$6:$G$677,0)))</f>
        <v>616</v>
      </c>
      <c r="C1103" s="57">
        <f>IF($A1103="","",IF(_xlfn.XLOOKUP($A1103,Korrelation!$D$4:$D$1197,Korrelation!F$4:F$1197,"-",0)="-",0,MATCH(_xlfn.XLOOKUP($A1103,Korrelation!$D$4:$D$1197,Korrelation!F$4:F$1197,"",0),DMAV_Modell!$G$6:$G$677,0)))</f>
        <v>0</v>
      </c>
      <c r="D1103" s="57">
        <f>IF($A1103="","",IF(_xlfn.XLOOKUP($A1103,Korrelation!$D$4:$D$1197,Korrelation!G$4:G$1197,"-",0)="-",0,MATCH(_xlfn.XLOOKUP($A1103,Korrelation!$D$4:$D$1197,Korrelation!G$4:G$1197,"",0),DMAV_Modell!$G$6:$G$677,0)))</f>
        <v>0</v>
      </c>
      <c r="E1103" s="57">
        <f>IF($A1103="","",IF(_xlfn.XLOOKUP($A1103,Korrelation!$D$4:$D$1197,Korrelation!H$4:H$1197,"-",0)="-",0,MATCH(_xlfn.XLOOKUP($A1103,Korrelation!$D$4:$D$1197,Korrelation!H$4:H$1197,"",0),DMAV_Dienste!$F$6:$F$140,0)))</f>
        <v>0</v>
      </c>
      <c r="F1103" s="57">
        <f>IF($A1103="","",IF(_xlfn.XLOOKUP($A1103,Korrelation!$D$4:$D$1197,Korrelation!I$4:I$1197,"-",0)="-",0,MATCH(_xlfn.XLOOKUP($A1103,Korrelation!$D$4:$D$1197,Korrelation!I$4:I$1197,"",0),DMAV_Dienste!$F$6:$F$140,0)))</f>
        <v>0</v>
      </c>
      <c r="G1103" s="57">
        <f>IF($A1103="","",IF(_xlfn.XLOOKUP($A1103,Korrelation!$D$4:$D$1197,Korrelation!J$4:J$1197,"-",0)="-",0,MATCH(_xlfn.XLOOKUP($A1103,Korrelation!$D$4:$D$1197,Korrelation!J$4:J$1197,"",0),DMAV_Dienste!$F$6:$F$140,0)))</f>
        <v>0</v>
      </c>
      <c r="H1103" s="57">
        <f>IF($A1103="","",IF(_xlfn.XLOOKUP($A1103,Korrelation!$D$4:$D$1197,Korrelation!K$4:K$1197,"-",0)="-",0,MATCH(_xlfn.XLOOKUP($A1103,Korrelation!$D$4:$D$1197,Korrelation!K$4:K$1197,"",0),'DM01-AV-CH'!$A$6:$A$834,0)))</f>
        <v>0</v>
      </c>
      <c r="J1103" s="54" t="str" cm="1">
        <f t="array" aca="1" ref="J1103" ca="1">IF(B1103=0,IF(E1103=0,"",HYPERLINK("#"&amp;RIGHT(CELL("adresse",OFFSET(DMAV_Dienste!$M$6,E1103-1,0)),LEN(CELL("adresse",OFFSET(DMAV_Dienste!$M$6,E1103-1,0)))-FIND("]",CELL("adresse",OFFSET(DMAV_Dienste!$M$6,E1103-1,0)))),"Dienst")),HYPERLINK("#"&amp;RIGHT(CELL("adresse",OFFSET(DMAV_Modell!$N$6,B1103-1,0)),LEN(CELL("adresse",OFFSET(DMAV_Modell!$N$6,B1103-1,0)))-FIND("]",CELL("adresse",OFFSET(DMAV_Modell!$N$6,B1103-1,0)))),"Modell"))</f>
        <v>Modell</v>
      </c>
      <c r="K1103" s="61" t="str" cm="1">
        <f t="array" ref="K1103">IF($B1103=0,IF($E1103=0,"",IF(INDEX(DMAV_Dienste!P$6:P$140,$E1103)="","",INDEX(DMAV_Dienste!P$6:P$140,$E1103))),IF(INDEX(DMAV_Modell!Q$6:Q$838,$B1103)="","",INDEX(DMAV_Modell!Q$6:Q$838,$B1103)))</f>
        <v>DOMAIN</v>
      </c>
      <c r="L1103" s="62" t="str" cm="1">
        <f t="array" ref="L1103">IF($B1103=0,IF($E1103=0,"",IF(INDEX(DMAV_Dienste!O$6:O$140,$E1103)="","",INDEX(DMAV_Dienste!O$6:O$140,$E1103))),IF(INDEX(DMAV_Modell!P$6:P$838,$B1103)="","",INDEX(DMAV_Modell!P$6:P$838,$B1103)))</f>
        <v>Gebaeudeadressen</v>
      </c>
      <c r="M1103" s="62" t="str" cm="1">
        <f t="array" ref="M1103">IF($B1103=0,IF($E1103=0,"",IF(INDEX(DMAV_Dienste!Q$6:Q$140,$E1103)="","",INDEX(DMAV_Dienste!Q$6:Q$140,$E1103))),IF(INDEX(DMAV_Modell!R$6:R$838,$B1103)="","",INDEX(DMAV_Modell!R$6:R$838,$B1103)))</f>
        <v>Sprache</v>
      </c>
      <c r="N1103" s="62" t="str" cm="1">
        <f t="array" ref="N1103">IF($B1103=0,IF($E1103=0,"",IF(INDEX(DMAV_Dienste!T$6:T$140,$E1103)="","",INDEX(DMAV_Dienste!T$6:T$140,$E1103))),IF(INDEX(DMAV_Modell!U$6:U$838,$B1103)="","",INDEX(DMAV_Modell!U$6:U$838,$B1103)))</f>
        <v/>
      </c>
      <c r="O1103" s="63" t="str" cm="1">
        <f t="array" aca="1" ref="O1103" ca="1">IF(C1103=0,IF(F1103=0,"",HYPERLINK("#"&amp;RIGHT(CELL("adresse",OFFSET(DMAV_Dienste!$M$6,F1103-1,0)),LEN(CELL("adresse",OFFSET(DMAV_Dienste!$M$6,F1103-1,0)))-FIND("]",CELL("adresse",OFFSET(DMAV_Dienste!$M$6,F1103-1,0)))),"Structure")),HYPERLINK("#"&amp;RIGHT(CELL("adresse",OFFSET(DMAV_Modell!$N$6,C1103-1,0)),LEN(CELL("adresse",OFFSET(DMAV_Modell!$N$6,C1103-1,0)))-FIND("]",CELL("adresse",OFFSET(DMAV_Modell!$N$6,C1103-1,0)))),"Structure"))</f>
        <v/>
      </c>
      <c r="P1103" s="64" t="str" cm="1">
        <f t="array" aca="1" ref="P1103" ca="1">IF(D1103=0,IF(G1103=0,"",HYPERLINK("#"&amp;RIGHT(CELL("adresse",OFFSET(DMAV_Dienste!$M$6,G1103-1,0)),LEN(CELL("adresse",OFFSET(DMAV_Dienste!$M$6,G1103-1,0)))-FIND("]",CELL("adresse",OFFSET(DMAV_Dienste!$M$6,G1103-1,0)))),"Substructure")),HYPERLINK("#"&amp;RIGHT(CELL("adresse",OFFSET(DMAV_Modell!$N$6,D1103-1,0)),LEN(CELL("adresse",OFFSET(DMAV_Modell!$N$6,D1103-1,0)))-FIND("]",CELL("adresse",OFFSET(DMAV_Modell!$N$6,D1103-1,0)))),"Substructure"))</f>
        <v/>
      </c>
      <c r="R1103" s="80"/>
      <c r="T1103" s="93"/>
      <c r="U1103" s="94"/>
      <c r="V1103" s="95"/>
      <c r="W1103" s="96"/>
      <c r="Y1103" s="85"/>
      <c r="Z1103" s="86"/>
      <c r="AA1103" s="87"/>
      <c r="AB1103" s="88"/>
      <c r="AD1103" s="77"/>
      <c r="AF1103" s="54" t="str" cm="1">
        <f t="array" aca="1" ref="AF1103" ca="1">IF(H1103=0,"",HYPERLINK("#"&amp;RIGHT(CELL("adresse",OFFSET('DM01-AV-CH'!$G$6,H1103-1,0)),LEN(CELL("adresse",OFFSET('DM01-AV-CH'!$G$6,H1103-1,0)))-FIND("]",CELL("adresse",OFFSET('DM01-AV-CH'!$G$6,H1103-1,0)))),"Modell"))</f>
        <v/>
      </c>
      <c r="AG1103" s="72" t="str" cm="1">
        <f t="array" ref="AG1103">IF($H1103=0,"",IF(INDEX('DM01-AV-CH'!G$6:G$834,$H1103)="","",INDEX('DM01-AV-CH'!G$6:G$834,$H1103)))</f>
        <v/>
      </c>
      <c r="AH1103" s="73" t="str" cm="1">
        <f t="array" ref="AH1103">IF($H1103=0,"",IF(INDEX('DM01-AV-CH'!H$6:H$834,$H1103)="","",INDEX('DM01-AV-CH'!H$6:H$834,$H1103)))</f>
        <v/>
      </c>
      <c r="AI1103" s="74" t="str" cm="1">
        <f t="array" ref="AI1103">IF($H1103=0,"",IF(INDEX('DM01-AV-CH'!I$6:I$834,$H1103)="","",INDEX('DM01-AV-CH'!I$6:I$834,$H1103)))</f>
        <v/>
      </c>
    </row>
    <row r="1104" spans="1:35" x14ac:dyDescent="0.25">
      <c r="A1104" s="57">
        <v>1099</v>
      </c>
      <c r="B1104" s="57">
        <f>IF($A1104="","",IF(_xlfn.XLOOKUP($A1104,Korrelation!$D$4:$D$1197,Korrelation!E$4:E$1197,"-",0)="-",0,MATCH(_xlfn.XLOOKUP($A1104,Korrelation!$D$4:$D$1197,Korrelation!E$4:E$1197,"",0),DMAV_Modell!$G$6:$G$677,0)))</f>
        <v>617</v>
      </c>
      <c r="C1104" s="57">
        <f>IF($A1104="","",IF(_xlfn.XLOOKUP($A1104,Korrelation!$D$4:$D$1197,Korrelation!F$4:F$1197,"-",0)="-",0,MATCH(_xlfn.XLOOKUP($A1104,Korrelation!$D$4:$D$1197,Korrelation!F$4:F$1197,"",0),DMAV_Modell!$G$6:$G$677,0)))</f>
        <v>0</v>
      </c>
      <c r="D1104" s="57">
        <f>IF($A1104="","",IF(_xlfn.XLOOKUP($A1104,Korrelation!$D$4:$D$1197,Korrelation!G$4:G$1197,"-",0)="-",0,MATCH(_xlfn.XLOOKUP($A1104,Korrelation!$D$4:$D$1197,Korrelation!G$4:G$1197,"",0),DMAV_Modell!$G$6:$G$677,0)))</f>
        <v>0</v>
      </c>
      <c r="E1104" s="57">
        <f>IF($A1104="","",IF(_xlfn.XLOOKUP($A1104,Korrelation!$D$4:$D$1197,Korrelation!H$4:H$1197,"-",0)="-",0,MATCH(_xlfn.XLOOKUP($A1104,Korrelation!$D$4:$D$1197,Korrelation!H$4:H$1197,"",0),DMAV_Dienste!$F$6:$F$140,0)))</f>
        <v>0</v>
      </c>
      <c r="F1104" s="57">
        <f>IF($A1104="","",IF(_xlfn.XLOOKUP($A1104,Korrelation!$D$4:$D$1197,Korrelation!I$4:I$1197,"-",0)="-",0,MATCH(_xlfn.XLOOKUP($A1104,Korrelation!$D$4:$D$1197,Korrelation!I$4:I$1197,"",0),DMAV_Dienste!$F$6:$F$140,0)))</f>
        <v>0</v>
      </c>
      <c r="G1104" s="57">
        <f>IF($A1104="","",IF(_xlfn.XLOOKUP($A1104,Korrelation!$D$4:$D$1197,Korrelation!J$4:J$1197,"-",0)="-",0,MATCH(_xlfn.XLOOKUP($A1104,Korrelation!$D$4:$D$1197,Korrelation!J$4:J$1197,"",0),DMAV_Dienste!$F$6:$F$140,0)))</f>
        <v>0</v>
      </c>
      <c r="H1104" s="57">
        <f>IF($A1104="","",IF(_xlfn.XLOOKUP($A1104,Korrelation!$D$4:$D$1197,Korrelation!K$4:K$1197,"-",0)="-",0,MATCH(_xlfn.XLOOKUP($A1104,Korrelation!$D$4:$D$1197,Korrelation!K$4:K$1197,"",0),'DM01-AV-CH'!$A$6:$A$834,0)))</f>
        <v>0</v>
      </c>
      <c r="J1104" s="54" t="str" cm="1">
        <f t="array" aca="1" ref="J1104" ca="1">IF(B1104=0,IF(E1104=0,"",HYPERLINK("#"&amp;RIGHT(CELL("adresse",OFFSET(DMAV_Dienste!$M$6,E1104-1,0)),LEN(CELL("adresse",OFFSET(DMAV_Dienste!$M$6,E1104-1,0)))-FIND("]",CELL("adresse",OFFSET(DMAV_Dienste!$M$6,E1104-1,0)))),"Dienst")),HYPERLINK("#"&amp;RIGHT(CELL("adresse",OFFSET(DMAV_Modell!$N$6,B1104-1,0)),LEN(CELL("adresse",OFFSET(DMAV_Modell!$N$6,B1104-1,0)))-FIND("]",CELL("adresse",OFFSET(DMAV_Modell!$N$6,B1104-1,0)))),"Modell"))</f>
        <v>Modell</v>
      </c>
      <c r="K1104" s="61" t="str" cm="1">
        <f t="array" ref="K1104">IF($B1104=0,IF($E1104=0,"",IF(INDEX(DMAV_Dienste!P$6:P$140,$E1104)="","",INDEX(DMAV_Dienste!P$6:P$140,$E1104))),IF(INDEX(DMAV_Modell!Q$6:Q$838,$B1104)="","",INDEX(DMAV_Modell!Q$6:Q$838,$B1104)))</f>
        <v>DOMAIN</v>
      </c>
      <c r="L1104" s="62" t="str" cm="1">
        <f t="array" ref="L1104">IF($B1104=0,IF($E1104=0,"",IF(INDEX(DMAV_Dienste!O$6:O$140,$E1104)="","",INDEX(DMAV_Dienste!O$6:O$140,$E1104))),IF(INDEX(DMAV_Modell!P$6:P$838,$B1104)="","",INDEX(DMAV_Modell!P$6:P$838,$B1104)))</f>
        <v>Gebaeudeadressen</v>
      </c>
      <c r="M1104" s="62" t="str" cm="1">
        <f t="array" ref="M1104">IF($B1104=0,IF($E1104=0,"",IF(INDEX(DMAV_Dienste!Q$6:Q$140,$E1104)="","",INDEX(DMAV_Dienste!Q$6:Q$140,$E1104))),IF(INDEX(DMAV_Modell!R$6:R$838,$B1104)="","",INDEX(DMAV_Modell!R$6:R$838,$B1104)))</f>
        <v>Sprache</v>
      </c>
      <c r="N1104" s="62" t="str" cm="1">
        <f t="array" ref="N1104">IF($B1104=0,IF($E1104=0,"",IF(INDEX(DMAV_Dienste!T$6:T$140,$E1104)="","",INDEX(DMAV_Dienste!T$6:T$140,$E1104))),IF(INDEX(DMAV_Modell!U$6:U$838,$B1104)="","",INDEX(DMAV_Modell!U$6:U$838,$B1104)))</f>
        <v/>
      </c>
      <c r="O1104" s="63" t="str" cm="1">
        <f t="array" aca="1" ref="O1104" ca="1">IF(C1104=0,IF(F1104=0,"",HYPERLINK("#"&amp;RIGHT(CELL("adresse",OFFSET(DMAV_Dienste!$M$6,F1104-1,0)),LEN(CELL("adresse",OFFSET(DMAV_Dienste!$M$6,F1104-1,0)))-FIND("]",CELL("adresse",OFFSET(DMAV_Dienste!$M$6,F1104-1,0)))),"Structure")),HYPERLINK("#"&amp;RIGHT(CELL("adresse",OFFSET(DMAV_Modell!$N$6,C1104-1,0)),LEN(CELL("adresse",OFFSET(DMAV_Modell!$N$6,C1104-1,0)))-FIND("]",CELL("adresse",OFFSET(DMAV_Modell!$N$6,C1104-1,0)))),"Structure"))</f>
        <v/>
      </c>
      <c r="P1104" s="64" t="str" cm="1">
        <f t="array" aca="1" ref="P1104" ca="1">IF(D1104=0,IF(G1104=0,"",HYPERLINK("#"&amp;RIGHT(CELL("adresse",OFFSET(DMAV_Dienste!$M$6,G1104-1,0)),LEN(CELL("adresse",OFFSET(DMAV_Dienste!$M$6,G1104-1,0)))-FIND("]",CELL("adresse",OFFSET(DMAV_Dienste!$M$6,G1104-1,0)))),"Substructure")),HYPERLINK("#"&amp;RIGHT(CELL("adresse",OFFSET(DMAV_Modell!$N$6,D1104-1,0)),LEN(CELL("adresse",OFFSET(DMAV_Modell!$N$6,D1104-1,0)))-FIND("]",CELL("adresse",OFFSET(DMAV_Modell!$N$6,D1104-1,0)))),"Substructure"))</f>
        <v/>
      </c>
      <c r="R1104" s="80"/>
      <c r="T1104" s="93"/>
      <c r="U1104" s="94"/>
      <c r="V1104" s="95"/>
      <c r="W1104" s="96"/>
      <c r="Y1104" s="85"/>
      <c r="Z1104" s="86"/>
      <c r="AA1104" s="87"/>
      <c r="AB1104" s="88"/>
      <c r="AD1104" s="77"/>
      <c r="AF1104" s="54" t="str" cm="1">
        <f t="array" aca="1" ref="AF1104" ca="1">IF(H1104=0,"",HYPERLINK("#"&amp;RIGHT(CELL("adresse",OFFSET('DM01-AV-CH'!$G$6,H1104-1,0)),LEN(CELL("adresse",OFFSET('DM01-AV-CH'!$G$6,H1104-1,0)))-FIND("]",CELL("adresse",OFFSET('DM01-AV-CH'!$G$6,H1104-1,0)))),"Modell"))</f>
        <v/>
      </c>
      <c r="AG1104" s="72" t="str" cm="1">
        <f t="array" ref="AG1104">IF($H1104=0,"",IF(INDEX('DM01-AV-CH'!G$6:G$834,$H1104)="","",INDEX('DM01-AV-CH'!G$6:G$834,$H1104)))</f>
        <v/>
      </c>
      <c r="AH1104" s="73" t="str" cm="1">
        <f t="array" ref="AH1104">IF($H1104=0,"",IF(INDEX('DM01-AV-CH'!H$6:H$834,$H1104)="","",INDEX('DM01-AV-CH'!H$6:H$834,$H1104)))</f>
        <v/>
      </c>
      <c r="AI1104" s="74" t="str" cm="1">
        <f t="array" ref="AI1104">IF($H1104=0,"",IF(INDEX('DM01-AV-CH'!I$6:I$834,$H1104)="","",INDEX('DM01-AV-CH'!I$6:I$834,$H1104)))</f>
        <v/>
      </c>
    </row>
    <row r="1105" spans="1:35" x14ac:dyDescent="0.25">
      <c r="A1105" s="57">
        <v>1100</v>
      </c>
      <c r="B1105" s="57">
        <f>IF($A1105="","",IF(_xlfn.XLOOKUP($A1105,Korrelation!$D$4:$D$1197,Korrelation!E$4:E$1197,"-",0)="-",0,MATCH(_xlfn.XLOOKUP($A1105,Korrelation!$D$4:$D$1197,Korrelation!E$4:E$1197,"",0),DMAV_Modell!$G$6:$G$677,0)))</f>
        <v>618</v>
      </c>
      <c r="C1105" s="57">
        <f>IF($A1105="","",IF(_xlfn.XLOOKUP($A1105,Korrelation!$D$4:$D$1197,Korrelation!F$4:F$1197,"-",0)="-",0,MATCH(_xlfn.XLOOKUP($A1105,Korrelation!$D$4:$D$1197,Korrelation!F$4:F$1197,"",0),DMAV_Modell!$G$6:$G$677,0)))</f>
        <v>0</v>
      </c>
      <c r="D1105" s="57">
        <f>IF($A1105="","",IF(_xlfn.XLOOKUP($A1105,Korrelation!$D$4:$D$1197,Korrelation!G$4:G$1197,"-",0)="-",0,MATCH(_xlfn.XLOOKUP($A1105,Korrelation!$D$4:$D$1197,Korrelation!G$4:G$1197,"",0),DMAV_Modell!$G$6:$G$677,0)))</f>
        <v>0</v>
      </c>
      <c r="E1105" s="57">
        <f>IF($A1105="","",IF(_xlfn.XLOOKUP($A1105,Korrelation!$D$4:$D$1197,Korrelation!H$4:H$1197,"-",0)="-",0,MATCH(_xlfn.XLOOKUP($A1105,Korrelation!$D$4:$D$1197,Korrelation!H$4:H$1197,"",0),DMAV_Dienste!$F$6:$F$140,0)))</f>
        <v>0</v>
      </c>
      <c r="F1105" s="57">
        <f>IF($A1105="","",IF(_xlfn.XLOOKUP($A1105,Korrelation!$D$4:$D$1197,Korrelation!I$4:I$1197,"-",0)="-",0,MATCH(_xlfn.XLOOKUP($A1105,Korrelation!$D$4:$D$1197,Korrelation!I$4:I$1197,"",0),DMAV_Dienste!$F$6:$F$140,0)))</f>
        <v>0</v>
      </c>
      <c r="G1105" s="57">
        <f>IF($A1105="","",IF(_xlfn.XLOOKUP($A1105,Korrelation!$D$4:$D$1197,Korrelation!J$4:J$1197,"-",0)="-",0,MATCH(_xlfn.XLOOKUP($A1105,Korrelation!$D$4:$D$1197,Korrelation!J$4:J$1197,"",0),DMAV_Dienste!$F$6:$F$140,0)))</f>
        <v>0</v>
      </c>
      <c r="H1105" s="57">
        <f>IF($A1105="","",IF(_xlfn.XLOOKUP($A1105,Korrelation!$D$4:$D$1197,Korrelation!K$4:K$1197,"-",0)="-",0,MATCH(_xlfn.XLOOKUP($A1105,Korrelation!$D$4:$D$1197,Korrelation!K$4:K$1197,"",0),'DM01-AV-CH'!$A$6:$A$834,0)))</f>
        <v>0</v>
      </c>
      <c r="J1105" s="54" t="str" cm="1">
        <f t="array" aca="1" ref="J1105" ca="1">IF(B1105=0,IF(E1105=0,"",HYPERLINK("#"&amp;RIGHT(CELL("adresse",OFFSET(DMAV_Dienste!$M$6,E1105-1,0)),LEN(CELL("adresse",OFFSET(DMAV_Dienste!$M$6,E1105-1,0)))-FIND("]",CELL("adresse",OFFSET(DMAV_Dienste!$M$6,E1105-1,0)))),"Dienst")),HYPERLINK("#"&amp;RIGHT(CELL("adresse",OFFSET(DMAV_Modell!$N$6,B1105-1,0)),LEN(CELL("adresse",OFFSET(DMAV_Modell!$N$6,B1105-1,0)))-FIND("]",CELL("adresse",OFFSET(DMAV_Modell!$N$6,B1105-1,0)))),"Modell"))</f>
        <v>Modell</v>
      </c>
      <c r="K1105" s="61" t="str" cm="1">
        <f t="array" ref="K1105">IF($B1105=0,IF($E1105=0,"",IF(INDEX(DMAV_Dienste!P$6:P$140,$E1105)="","",INDEX(DMAV_Dienste!P$6:P$140,$E1105))),IF(INDEX(DMAV_Modell!Q$6:Q$838,$B1105)="","",INDEX(DMAV_Modell!Q$6:Q$838,$B1105)))</f>
        <v>DOMAIN</v>
      </c>
      <c r="L1105" s="62" t="str" cm="1">
        <f t="array" ref="L1105">IF($B1105=0,IF($E1105=0,"",IF(INDEX(DMAV_Dienste!O$6:O$140,$E1105)="","",INDEX(DMAV_Dienste!O$6:O$140,$E1105))),IF(INDEX(DMAV_Modell!P$6:P$838,$B1105)="","",INDEX(DMAV_Modell!P$6:P$838,$B1105)))</f>
        <v>Gebaeudeadressen</v>
      </c>
      <c r="M1105" s="62" t="str" cm="1">
        <f t="array" ref="M1105">IF($B1105=0,IF($E1105=0,"",IF(INDEX(DMAV_Dienste!Q$6:Q$140,$E1105)="","",INDEX(DMAV_Dienste!Q$6:Q$140,$E1105))),IF(INDEX(DMAV_Modell!R$6:R$838,$B1105)="","",INDEX(DMAV_Modell!R$6:R$838,$B1105)))</f>
        <v>Sprache</v>
      </c>
      <c r="N1105" s="62" t="str" cm="1">
        <f t="array" ref="N1105">IF($B1105=0,IF($E1105=0,"",IF(INDEX(DMAV_Dienste!T$6:T$140,$E1105)="","",INDEX(DMAV_Dienste!T$6:T$140,$E1105))),IF(INDEX(DMAV_Modell!U$6:U$838,$B1105)="","",INDEX(DMAV_Modell!U$6:U$838,$B1105)))</f>
        <v/>
      </c>
      <c r="O1105" s="63" t="str" cm="1">
        <f t="array" aca="1" ref="O1105" ca="1">IF(C1105=0,IF(F1105=0,"",HYPERLINK("#"&amp;RIGHT(CELL("adresse",OFFSET(DMAV_Dienste!$M$6,F1105-1,0)),LEN(CELL("adresse",OFFSET(DMAV_Dienste!$M$6,F1105-1,0)))-FIND("]",CELL("adresse",OFFSET(DMAV_Dienste!$M$6,F1105-1,0)))),"Structure")),HYPERLINK("#"&amp;RIGHT(CELL("adresse",OFFSET(DMAV_Modell!$N$6,C1105-1,0)),LEN(CELL("adresse",OFFSET(DMAV_Modell!$N$6,C1105-1,0)))-FIND("]",CELL("adresse",OFFSET(DMAV_Modell!$N$6,C1105-1,0)))),"Structure"))</f>
        <v/>
      </c>
      <c r="P1105" s="64" t="str" cm="1">
        <f t="array" aca="1" ref="P1105" ca="1">IF(D1105=0,IF(G1105=0,"",HYPERLINK("#"&amp;RIGHT(CELL("adresse",OFFSET(DMAV_Dienste!$M$6,G1105-1,0)),LEN(CELL("adresse",OFFSET(DMAV_Dienste!$M$6,G1105-1,0)))-FIND("]",CELL("adresse",OFFSET(DMAV_Dienste!$M$6,G1105-1,0)))),"Substructure")),HYPERLINK("#"&amp;RIGHT(CELL("adresse",OFFSET(DMAV_Modell!$N$6,D1105-1,0)),LEN(CELL("adresse",OFFSET(DMAV_Modell!$N$6,D1105-1,0)))-FIND("]",CELL("adresse",OFFSET(DMAV_Modell!$N$6,D1105-1,0)))),"Substructure"))</f>
        <v/>
      </c>
      <c r="R1105" s="80"/>
      <c r="T1105" s="93"/>
      <c r="U1105" s="94"/>
      <c r="V1105" s="95"/>
      <c r="W1105" s="96"/>
      <c r="Y1105" s="85"/>
      <c r="Z1105" s="86"/>
      <c r="AA1105" s="87"/>
      <c r="AB1105" s="88"/>
      <c r="AD1105" s="77"/>
      <c r="AF1105" s="54" t="str" cm="1">
        <f t="array" aca="1" ref="AF1105" ca="1">IF(H1105=0,"",HYPERLINK("#"&amp;RIGHT(CELL("adresse",OFFSET('DM01-AV-CH'!$G$6,H1105-1,0)),LEN(CELL("adresse",OFFSET('DM01-AV-CH'!$G$6,H1105-1,0)))-FIND("]",CELL("adresse",OFFSET('DM01-AV-CH'!$G$6,H1105-1,0)))),"Modell"))</f>
        <v/>
      </c>
      <c r="AG1105" s="72" t="str" cm="1">
        <f t="array" ref="AG1105">IF($H1105=0,"",IF(INDEX('DM01-AV-CH'!G$6:G$834,$H1105)="","",INDEX('DM01-AV-CH'!G$6:G$834,$H1105)))</f>
        <v/>
      </c>
      <c r="AH1105" s="73" t="str" cm="1">
        <f t="array" ref="AH1105">IF($H1105=0,"",IF(INDEX('DM01-AV-CH'!H$6:H$834,$H1105)="","",INDEX('DM01-AV-CH'!H$6:H$834,$H1105)))</f>
        <v/>
      </c>
      <c r="AI1105" s="74" t="str" cm="1">
        <f t="array" ref="AI1105">IF($H1105=0,"",IF(INDEX('DM01-AV-CH'!I$6:I$834,$H1105)="","",INDEX('DM01-AV-CH'!I$6:I$834,$H1105)))</f>
        <v/>
      </c>
    </row>
    <row r="1106" spans="1:35" x14ac:dyDescent="0.25">
      <c r="A1106" s="57">
        <v>1101</v>
      </c>
      <c r="B1106" s="57">
        <f>IF($A1106="","",IF(_xlfn.XLOOKUP($A1106,Korrelation!$D$4:$D$1197,Korrelation!E$4:E$1197,"-",0)="-",0,MATCH(_xlfn.XLOOKUP($A1106,Korrelation!$D$4:$D$1197,Korrelation!E$4:E$1197,"",0),DMAV_Modell!$G$6:$G$677,0)))</f>
        <v>619</v>
      </c>
      <c r="C1106" s="57">
        <f>IF($A1106="","",IF(_xlfn.XLOOKUP($A1106,Korrelation!$D$4:$D$1197,Korrelation!F$4:F$1197,"-",0)="-",0,MATCH(_xlfn.XLOOKUP($A1106,Korrelation!$D$4:$D$1197,Korrelation!F$4:F$1197,"",0),DMAV_Modell!$G$6:$G$677,0)))</f>
        <v>0</v>
      </c>
      <c r="D1106" s="57">
        <f>IF($A1106="","",IF(_xlfn.XLOOKUP($A1106,Korrelation!$D$4:$D$1197,Korrelation!G$4:G$1197,"-",0)="-",0,MATCH(_xlfn.XLOOKUP($A1106,Korrelation!$D$4:$D$1197,Korrelation!G$4:G$1197,"",0),DMAV_Modell!$G$6:$G$677,0)))</f>
        <v>0</v>
      </c>
      <c r="E1106" s="57">
        <f>IF($A1106="","",IF(_xlfn.XLOOKUP($A1106,Korrelation!$D$4:$D$1197,Korrelation!H$4:H$1197,"-",0)="-",0,MATCH(_xlfn.XLOOKUP($A1106,Korrelation!$D$4:$D$1197,Korrelation!H$4:H$1197,"",0),DMAV_Dienste!$F$6:$F$140,0)))</f>
        <v>0</v>
      </c>
      <c r="F1106" s="57">
        <f>IF($A1106="","",IF(_xlfn.XLOOKUP($A1106,Korrelation!$D$4:$D$1197,Korrelation!I$4:I$1197,"-",0)="-",0,MATCH(_xlfn.XLOOKUP($A1106,Korrelation!$D$4:$D$1197,Korrelation!I$4:I$1197,"",0),DMAV_Dienste!$F$6:$F$140,0)))</f>
        <v>0</v>
      </c>
      <c r="G1106" s="57">
        <f>IF($A1106="","",IF(_xlfn.XLOOKUP($A1106,Korrelation!$D$4:$D$1197,Korrelation!J$4:J$1197,"-",0)="-",0,MATCH(_xlfn.XLOOKUP($A1106,Korrelation!$D$4:$D$1197,Korrelation!J$4:J$1197,"",0),DMAV_Dienste!$F$6:$F$140,0)))</f>
        <v>0</v>
      </c>
      <c r="H1106" s="57">
        <f>IF($A1106="","",IF(_xlfn.XLOOKUP($A1106,Korrelation!$D$4:$D$1197,Korrelation!K$4:K$1197,"-",0)="-",0,MATCH(_xlfn.XLOOKUP($A1106,Korrelation!$D$4:$D$1197,Korrelation!K$4:K$1197,"",0),'DM01-AV-CH'!$A$6:$A$834,0)))</f>
        <v>0</v>
      </c>
      <c r="J1106" s="54" t="str" cm="1">
        <f t="array" aca="1" ref="J1106" ca="1">IF(B1106=0,IF(E1106=0,"",HYPERLINK("#"&amp;RIGHT(CELL("adresse",OFFSET(DMAV_Dienste!$M$6,E1106-1,0)),LEN(CELL("adresse",OFFSET(DMAV_Dienste!$M$6,E1106-1,0)))-FIND("]",CELL("adresse",OFFSET(DMAV_Dienste!$M$6,E1106-1,0)))),"Dienst")),HYPERLINK("#"&amp;RIGHT(CELL("adresse",OFFSET(DMAV_Modell!$N$6,B1106-1,0)),LEN(CELL("adresse",OFFSET(DMAV_Modell!$N$6,B1106-1,0)))-FIND("]",CELL("adresse",OFFSET(DMAV_Modell!$N$6,B1106-1,0)))),"Modell"))</f>
        <v>Modell</v>
      </c>
      <c r="K1106" s="61" t="str" cm="1">
        <f t="array" ref="K1106">IF($B1106=0,IF($E1106=0,"",IF(INDEX(DMAV_Dienste!P$6:P$140,$E1106)="","",INDEX(DMAV_Dienste!P$6:P$140,$E1106))),IF(INDEX(DMAV_Modell!Q$6:Q$838,$B1106)="","",INDEX(DMAV_Modell!Q$6:Q$838,$B1106)))</f>
        <v>DOMAIN</v>
      </c>
      <c r="L1106" s="62" t="str" cm="1">
        <f t="array" ref="L1106">IF($B1106=0,IF($E1106=0,"",IF(INDEX(DMAV_Dienste!O$6:O$140,$E1106)="","",INDEX(DMAV_Dienste!O$6:O$140,$E1106))),IF(INDEX(DMAV_Modell!P$6:P$838,$B1106)="","",INDEX(DMAV_Modell!P$6:P$838,$B1106)))</f>
        <v>Gebaeudeadressen</v>
      </c>
      <c r="M1106" s="62" t="str" cm="1">
        <f t="array" ref="M1106">IF($B1106=0,IF($E1106=0,"",IF(INDEX(DMAV_Dienste!Q$6:Q$140,$E1106)="","",INDEX(DMAV_Dienste!Q$6:Q$140,$E1106))),IF(INDEX(DMAV_Modell!R$6:R$838,$B1106)="","",INDEX(DMAV_Modell!R$6:R$838,$B1106)))</f>
        <v>Sprache</v>
      </c>
      <c r="N1106" s="62" t="str" cm="1">
        <f t="array" ref="N1106">IF($B1106=0,IF($E1106=0,"",IF(INDEX(DMAV_Dienste!T$6:T$140,$E1106)="","",INDEX(DMAV_Dienste!T$6:T$140,$E1106))),IF(INDEX(DMAV_Modell!U$6:U$838,$B1106)="","",INDEX(DMAV_Modell!U$6:U$838,$B1106)))</f>
        <v/>
      </c>
      <c r="O1106" s="63" t="str" cm="1">
        <f t="array" aca="1" ref="O1106" ca="1">IF(C1106=0,IF(F1106=0,"",HYPERLINK("#"&amp;RIGHT(CELL("adresse",OFFSET(DMAV_Dienste!$M$6,F1106-1,0)),LEN(CELL("adresse",OFFSET(DMAV_Dienste!$M$6,F1106-1,0)))-FIND("]",CELL("adresse",OFFSET(DMAV_Dienste!$M$6,F1106-1,0)))),"Structure")),HYPERLINK("#"&amp;RIGHT(CELL("adresse",OFFSET(DMAV_Modell!$N$6,C1106-1,0)),LEN(CELL("adresse",OFFSET(DMAV_Modell!$N$6,C1106-1,0)))-FIND("]",CELL("adresse",OFFSET(DMAV_Modell!$N$6,C1106-1,0)))),"Structure"))</f>
        <v/>
      </c>
      <c r="P1106" s="64" t="str" cm="1">
        <f t="array" aca="1" ref="P1106" ca="1">IF(D1106=0,IF(G1106=0,"",HYPERLINK("#"&amp;RIGHT(CELL("adresse",OFFSET(DMAV_Dienste!$M$6,G1106-1,0)),LEN(CELL("adresse",OFFSET(DMAV_Dienste!$M$6,G1106-1,0)))-FIND("]",CELL("adresse",OFFSET(DMAV_Dienste!$M$6,G1106-1,0)))),"Substructure")),HYPERLINK("#"&amp;RIGHT(CELL("adresse",OFFSET(DMAV_Modell!$N$6,D1106-1,0)),LEN(CELL("adresse",OFFSET(DMAV_Modell!$N$6,D1106-1,0)))-FIND("]",CELL("adresse",OFFSET(DMAV_Modell!$N$6,D1106-1,0)))),"Substructure"))</f>
        <v/>
      </c>
      <c r="R1106" s="80"/>
      <c r="T1106" s="93"/>
      <c r="U1106" s="94"/>
      <c r="V1106" s="95"/>
      <c r="W1106" s="96"/>
      <c r="Y1106" s="85"/>
      <c r="Z1106" s="86"/>
      <c r="AA1106" s="87"/>
      <c r="AB1106" s="88"/>
      <c r="AD1106" s="77"/>
      <c r="AF1106" s="54" t="str" cm="1">
        <f t="array" aca="1" ref="AF1106" ca="1">IF(H1106=0,"",HYPERLINK("#"&amp;RIGHT(CELL("adresse",OFFSET('DM01-AV-CH'!$G$6,H1106-1,0)),LEN(CELL("adresse",OFFSET('DM01-AV-CH'!$G$6,H1106-1,0)))-FIND("]",CELL("adresse",OFFSET('DM01-AV-CH'!$G$6,H1106-1,0)))),"Modell"))</f>
        <v/>
      </c>
      <c r="AG1106" s="72" t="str" cm="1">
        <f t="array" ref="AG1106">IF($H1106=0,"",IF(INDEX('DM01-AV-CH'!G$6:G$834,$H1106)="","",INDEX('DM01-AV-CH'!G$6:G$834,$H1106)))</f>
        <v/>
      </c>
      <c r="AH1106" s="73" t="str" cm="1">
        <f t="array" ref="AH1106">IF($H1106=0,"",IF(INDEX('DM01-AV-CH'!H$6:H$834,$H1106)="","",INDEX('DM01-AV-CH'!H$6:H$834,$H1106)))</f>
        <v/>
      </c>
      <c r="AI1106" s="74" t="str" cm="1">
        <f t="array" ref="AI1106">IF($H1106=0,"",IF(INDEX('DM01-AV-CH'!I$6:I$834,$H1106)="","",INDEX('DM01-AV-CH'!I$6:I$834,$H1106)))</f>
        <v/>
      </c>
    </row>
    <row r="1107" spans="1:35" x14ac:dyDescent="0.25">
      <c r="A1107" s="57">
        <v>1102</v>
      </c>
      <c r="B1107" s="57">
        <f>IF($A1107="","",IF(_xlfn.XLOOKUP($A1107,Korrelation!$D$4:$D$1197,Korrelation!E$4:E$1197,"-",0)="-",0,MATCH(_xlfn.XLOOKUP($A1107,Korrelation!$D$4:$D$1197,Korrelation!E$4:E$1197,"",0),DMAV_Modell!$G$6:$G$677,0)))</f>
        <v>620</v>
      </c>
      <c r="C1107" s="57">
        <f>IF($A1107="","",IF(_xlfn.XLOOKUP($A1107,Korrelation!$D$4:$D$1197,Korrelation!F$4:F$1197,"-",0)="-",0,MATCH(_xlfn.XLOOKUP($A1107,Korrelation!$D$4:$D$1197,Korrelation!F$4:F$1197,"",0),DMAV_Modell!$G$6:$G$677,0)))</f>
        <v>0</v>
      </c>
      <c r="D1107" s="57">
        <f>IF($A1107="","",IF(_xlfn.XLOOKUP($A1107,Korrelation!$D$4:$D$1197,Korrelation!G$4:G$1197,"-",0)="-",0,MATCH(_xlfn.XLOOKUP($A1107,Korrelation!$D$4:$D$1197,Korrelation!G$4:G$1197,"",0),DMAV_Modell!$G$6:$G$677,0)))</f>
        <v>0</v>
      </c>
      <c r="E1107" s="57">
        <f>IF($A1107="","",IF(_xlfn.XLOOKUP($A1107,Korrelation!$D$4:$D$1197,Korrelation!H$4:H$1197,"-",0)="-",0,MATCH(_xlfn.XLOOKUP($A1107,Korrelation!$D$4:$D$1197,Korrelation!H$4:H$1197,"",0),DMAV_Dienste!$F$6:$F$140,0)))</f>
        <v>0</v>
      </c>
      <c r="F1107" s="57">
        <f>IF($A1107="","",IF(_xlfn.XLOOKUP($A1107,Korrelation!$D$4:$D$1197,Korrelation!I$4:I$1197,"-",0)="-",0,MATCH(_xlfn.XLOOKUP($A1107,Korrelation!$D$4:$D$1197,Korrelation!I$4:I$1197,"",0),DMAV_Dienste!$F$6:$F$140,0)))</f>
        <v>0</v>
      </c>
      <c r="G1107" s="57">
        <f>IF($A1107="","",IF(_xlfn.XLOOKUP($A1107,Korrelation!$D$4:$D$1197,Korrelation!J$4:J$1197,"-",0)="-",0,MATCH(_xlfn.XLOOKUP($A1107,Korrelation!$D$4:$D$1197,Korrelation!J$4:J$1197,"",0),DMAV_Dienste!$F$6:$F$140,0)))</f>
        <v>0</v>
      </c>
      <c r="H1107" s="57">
        <f>IF($A1107="","",IF(_xlfn.XLOOKUP($A1107,Korrelation!$D$4:$D$1197,Korrelation!K$4:K$1197,"-",0)="-",0,MATCH(_xlfn.XLOOKUP($A1107,Korrelation!$D$4:$D$1197,Korrelation!K$4:K$1197,"",0),'DM01-AV-CH'!$A$6:$A$834,0)))</f>
        <v>698</v>
      </c>
      <c r="J1107" s="54" t="str" cm="1">
        <f t="array" aca="1" ref="J1107" ca="1">IF(B1107=0,IF(E1107=0,"",HYPERLINK("#"&amp;RIGHT(CELL("adresse",OFFSET(DMAV_Dienste!$M$6,E1107-1,0)),LEN(CELL("adresse",OFFSET(DMAV_Dienste!$M$6,E1107-1,0)))-FIND("]",CELL("adresse",OFFSET(DMAV_Dienste!$M$6,E1107-1,0)))),"Dienst")),HYPERLINK("#"&amp;RIGHT(CELL("adresse",OFFSET(DMAV_Modell!$N$6,B1107-1,0)),LEN(CELL("adresse",OFFSET(DMAV_Modell!$N$6,B1107-1,0)))-FIND("]",CELL("adresse",OFFSET(DMAV_Modell!$N$6,B1107-1,0)))),"Modell"))</f>
        <v>Modell</v>
      </c>
      <c r="K1107" s="61" t="str" cm="1">
        <f t="array" ref="K1107">IF($B1107=0,IF($E1107=0,"",IF(INDEX(DMAV_Dienste!P$6:P$140,$E1107)="","",INDEX(DMAV_Dienste!P$6:P$140,$E1107))),IF(INDEX(DMAV_Modell!Q$6:Q$838,$B1107)="","",INDEX(DMAV_Modell!Q$6:Q$838,$B1107)))</f>
        <v>CLASS</v>
      </c>
      <c r="L1107" s="62" t="str" cm="1">
        <f t="array" ref="L1107">IF($B1107=0,IF($E1107=0,"",IF(INDEX(DMAV_Dienste!O$6:O$140,$E1107)="","",INDEX(DMAV_Dienste!O$6:O$140,$E1107))),IF(INDEX(DMAV_Modell!P$6:P$838,$B1107)="","",INDEX(DMAV_Modell!P$6:P$838,$B1107)))</f>
        <v>Gebaeudeadressen</v>
      </c>
      <c r="M1107" s="62" t="str" cm="1">
        <f t="array" ref="M1107">IF($B1107=0,IF($E1107=0,"",IF(INDEX(DMAV_Dienste!Q$6:Q$140,$E1107)="","",INDEX(DMAV_Dienste!Q$6:Q$140,$E1107))),IF(INDEX(DMAV_Modell!R$6:R$838,$B1107)="","",INDEX(DMAV_Modell!R$6:R$838,$B1107)))</f>
        <v>GANachfuehrung</v>
      </c>
      <c r="N1107" s="62" t="str" cm="1">
        <f t="array" ref="N1107">IF($B1107=0,IF($E1107=0,"",IF(INDEX(DMAV_Dienste!T$6:T$140,$E1107)="","",INDEX(DMAV_Dienste!T$6:T$140,$E1107))),IF(INDEX(DMAV_Modell!U$6:U$838,$B1107)="","",INDEX(DMAV_Modell!U$6:U$838,$B1107)))</f>
        <v>NBIdent</v>
      </c>
      <c r="O1107" s="63" t="str" cm="1">
        <f t="array" aca="1" ref="O1107" ca="1">IF(C1107=0,IF(F1107=0,"",HYPERLINK("#"&amp;RIGHT(CELL("adresse",OFFSET(DMAV_Dienste!$M$6,F1107-1,0)),LEN(CELL("adresse",OFFSET(DMAV_Dienste!$M$6,F1107-1,0)))-FIND("]",CELL("adresse",OFFSET(DMAV_Dienste!$M$6,F1107-1,0)))),"Structure")),HYPERLINK("#"&amp;RIGHT(CELL("adresse",OFFSET(DMAV_Modell!$N$6,C1107-1,0)),LEN(CELL("adresse",OFFSET(DMAV_Modell!$N$6,C1107-1,0)))-FIND("]",CELL("adresse",OFFSET(DMAV_Modell!$N$6,C1107-1,0)))),"Structure"))</f>
        <v/>
      </c>
      <c r="P1107" s="64" t="str" cm="1">
        <f t="array" aca="1" ref="P1107" ca="1">IF(D1107=0,IF(G1107=0,"",HYPERLINK("#"&amp;RIGHT(CELL("adresse",OFFSET(DMAV_Dienste!$M$6,G1107-1,0)),LEN(CELL("adresse",OFFSET(DMAV_Dienste!$M$6,G1107-1,0)))-FIND("]",CELL("adresse",OFFSET(DMAV_Dienste!$M$6,G1107-1,0)))),"Substructure")),HYPERLINK("#"&amp;RIGHT(CELL("adresse",OFFSET(DMAV_Modell!$N$6,D1107-1,0)),LEN(CELL("adresse",OFFSET(DMAV_Modell!$N$6,D1107-1,0)))-FIND("]",CELL("adresse",OFFSET(DMAV_Modell!$N$6,D1107-1,0)))),"Substructure"))</f>
        <v/>
      </c>
      <c r="R1107" s="80"/>
      <c r="T1107" s="93"/>
      <c r="U1107" s="94"/>
      <c r="V1107" s="95"/>
      <c r="W1107" s="96"/>
      <c r="Y1107" s="85"/>
      <c r="Z1107" s="86"/>
      <c r="AA1107" s="87"/>
      <c r="AB1107" s="88"/>
      <c r="AD1107" s="77"/>
      <c r="AF1107" s="54" t="str" cm="1">
        <f t="array" aca="1" ref="AF1107" ca="1">IF(H1107=0,"",HYPERLINK("#"&amp;RIGHT(CELL("adresse",OFFSET('DM01-AV-CH'!$G$6,H1107-1,0)),LEN(CELL("adresse",OFFSET('DM01-AV-CH'!$G$6,H1107-1,0)))-FIND("]",CELL("adresse",OFFSET('DM01-AV-CH'!$G$6,H1107-1,0)))),"Modell"))</f>
        <v>Modell</v>
      </c>
      <c r="AG1107" s="72" t="str" cm="1">
        <f t="array" ref="AG1107">IF($H1107=0,"",IF(INDEX('DM01-AV-CH'!G$6:G$834,$H1107)="","",INDEX('DM01-AV-CH'!G$6:G$834,$H1107)))</f>
        <v>Gebaeudeadressen</v>
      </c>
      <c r="AH1107" s="73" t="str" cm="1">
        <f t="array" ref="AH1107">IF($H1107=0,"",IF(INDEX('DM01-AV-CH'!H$6:H$834,$H1107)="","",INDEX('DM01-AV-CH'!H$6:H$834,$H1107)))</f>
        <v>GEBNachfuehrung</v>
      </c>
      <c r="AI1107" s="74" t="str" cm="1">
        <f t="array" ref="AI1107">IF($H1107=0,"",IF(INDEX('DM01-AV-CH'!I$6:I$834,$H1107)="","",INDEX('DM01-AV-CH'!I$6:I$834,$H1107)))</f>
        <v>NBIdent</v>
      </c>
    </row>
    <row r="1108" spans="1:35" x14ac:dyDescent="0.25">
      <c r="A1108" s="57">
        <v>1103</v>
      </c>
      <c r="B1108" s="57">
        <f>IF($A1108="","",IF(_xlfn.XLOOKUP($A1108,Korrelation!$D$4:$D$1197,Korrelation!E$4:E$1197,"-",0)="-",0,MATCH(_xlfn.XLOOKUP($A1108,Korrelation!$D$4:$D$1197,Korrelation!E$4:E$1197,"",0),DMAV_Modell!$G$6:$G$677,0)))</f>
        <v>621</v>
      </c>
      <c r="C1108" s="57">
        <f>IF($A1108="","",IF(_xlfn.XLOOKUP($A1108,Korrelation!$D$4:$D$1197,Korrelation!F$4:F$1197,"-",0)="-",0,MATCH(_xlfn.XLOOKUP($A1108,Korrelation!$D$4:$D$1197,Korrelation!F$4:F$1197,"",0),DMAV_Modell!$G$6:$G$677,0)))</f>
        <v>0</v>
      </c>
      <c r="D1108" s="57">
        <f>IF($A1108="","",IF(_xlfn.XLOOKUP($A1108,Korrelation!$D$4:$D$1197,Korrelation!G$4:G$1197,"-",0)="-",0,MATCH(_xlfn.XLOOKUP($A1108,Korrelation!$D$4:$D$1197,Korrelation!G$4:G$1197,"",0),DMAV_Modell!$G$6:$G$677,0)))</f>
        <v>0</v>
      </c>
      <c r="E1108" s="57">
        <f>IF($A1108="","",IF(_xlfn.XLOOKUP($A1108,Korrelation!$D$4:$D$1197,Korrelation!H$4:H$1197,"-",0)="-",0,MATCH(_xlfn.XLOOKUP($A1108,Korrelation!$D$4:$D$1197,Korrelation!H$4:H$1197,"",0),DMAV_Dienste!$F$6:$F$140,0)))</f>
        <v>0</v>
      </c>
      <c r="F1108" s="57">
        <f>IF($A1108="","",IF(_xlfn.XLOOKUP($A1108,Korrelation!$D$4:$D$1197,Korrelation!I$4:I$1197,"-",0)="-",0,MATCH(_xlfn.XLOOKUP($A1108,Korrelation!$D$4:$D$1197,Korrelation!I$4:I$1197,"",0),DMAV_Dienste!$F$6:$F$140,0)))</f>
        <v>0</v>
      </c>
      <c r="G1108" s="57">
        <f>IF($A1108="","",IF(_xlfn.XLOOKUP($A1108,Korrelation!$D$4:$D$1197,Korrelation!J$4:J$1197,"-",0)="-",0,MATCH(_xlfn.XLOOKUP($A1108,Korrelation!$D$4:$D$1197,Korrelation!J$4:J$1197,"",0),DMAV_Dienste!$F$6:$F$140,0)))</f>
        <v>0</v>
      </c>
      <c r="H1108" s="57">
        <f>IF($A1108="","",IF(_xlfn.XLOOKUP($A1108,Korrelation!$D$4:$D$1197,Korrelation!K$4:K$1197,"-",0)="-",0,MATCH(_xlfn.XLOOKUP($A1108,Korrelation!$D$4:$D$1197,Korrelation!K$4:K$1197,"",0),'DM01-AV-CH'!$A$6:$A$834,0)))</f>
        <v>699</v>
      </c>
      <c r="J1108" s="54" t="str" cm="1">
        <f t="array" aca="1" ref="J1108" ca="1">IF(B1108=0,IF(E1108=0,"",HYPERLINK("#"&amp;RIGHT(CELL("adresse",OFFSET(DMAV_Dienste!$M$6,E1108-1,0)),LEN(CELL("adresse",OFFSET(DMAV_Dienste!$M$6,E1108-1,0)))-FIND("]",CELL("adresse",OFFSET(DMAV_Dienste!$M$6,E1108-1,0)))),"Dienst")),HYPERLINK("#"&amp;RIGHT(CELL("adresse",OFFSET(DMAV_Modell!$N$6,B1108-1,0)),LEN(CELL("adresse",OFFSET(DMAV_Modell!$N$6,B1108-1,0)))-FIND("]",CELL("adresse",OFFSET(DMAV_Modell!$N$6,B1108-1,0)))),"Modell"))</f>
        <v>Modell</v>
      </c>
      <c r="K1108" s="61" t="str" cm="1">
        <f t="array" ref="K1108">IF($B1108=0,IF($E1108=0,"",IF(INDEX(DMAV_Dienste!P$6:P$140,$E1108)="","",INDEX(DMAV_Dienste!P$6:P$140,$E1108))),IF(INDEX(DMAV_Modell!Q$6:Q$838,$B1108)="","",INDEX(DMAV_Modell!Q$6:Q$838,$B1108)))</f>
        <v>CLASS</v>
      </c>
      <c r="L1108" s="62" t="str" cm="1">
        <f t="array" ref="L1108">IF($B1108=0,IF($E1108=0,"",IF(INDEX(DMAV_Dienste!O$6:O$140,$E1108)="","",INDEX(DMAV_Dienste!O$6:O$140,$E1108))),IF(INDEX(DMAV_Modell!P$6:P$838,$B1108)="","",INDEX(DMAV_Modell!P$6:P$838,$B1108)))</f>
        <v>Gebaeudeadressen</v>
      </c>
      <c r="M1108" s="62" t="str" cm="1">
        <f t="array" ref="M1108">IF($B1108=0,IF($E1108=0,"",IF(INDEX(DMAV_Dienste!Q$6:Q$140,$E1108)="","",INDEX(DMAV_Dienste!Q$6:Q$140,$E1108))),IF(INDEX(DMAV_Modell!R$6:R$838,$B1108)="","",INDEX(DMAV_Modell!R$6:R$838,$B1108)))</f>
        <v>GANachfuehrung</v>
      </c>
      <c r="N1108" s="62" t="str" cm="1">
        <f t="array" ref="N1108">IF($B1108=0,IF($E1108=0,"",IF(INDEX(DMAV_Dienste!T$6:T$140,$E1108)="","",INDEX(DMAV_Dienste!T$6:T$140,$E1108))),IF(INDEX(DMAV_Modell!U$6:U$838,$B1108)="","",INDEX(DMAV_Modell!U$6:U$838,$B1108)))</f>
        <v>Identifikator</v>
      </c>
      <c r="O1108" s="63" t="str" cm="1">
        <f t="array" aca="1" ref="O1108" ca="1">IF(C1108=0,IF(F1108=0,"",HYPERLINK("#"&amp;RIGHT(CELL("adresse",OFFSET(DMAV_Dienste!$M$6,F1108-1,0)),LEN(CELL("adresse",OFFSET(DMAV_Dienste!$M$6,F1108-1,0)))-FIND("]",CELL("adresse",OFFSET(DMAV_Dienste!$M$6,F1108-1,0)))),"Structure")),HYPERLINK("#"&amp;RIGHT(CELL("adresse",OFFSET(DMAV_Modell!$N$6,C1108-1,0)),LEN(CELL("adresse",OFFSET(DMAV_Modell!$N$6,C1108-1,0)))-FIND("]",CELL("adresse",OFFSET(DMAV_Modell!$N$6,C1108-1,0)))),"Structure"))</f>
        <v/>
      </c>
      <c r="P1108" s="64" t="str" cm="1">
        <f t="array" aca="1" ref="P1108" ca="1">IF(D1108=0,IF(G1108=0,"",HYPERLINK("#"&amp;RIGHT(CELL("adresse",OFFSET(DMAV_Dienste!$M$6,G1108-1,0)),LEN(CELL("adresse",OFFSET(DMAV_Dienste!$M$6,G1108-1,0)))-FIND("]",CELL("adresse",OFFSET(DMAV_Dienste!$M$6,G1108-1,0)))),"Substructure")),HYPERLINK("#"&amp;RIGHT(CELL("adresse",OFFSET(DMAV_Modell!$N$6,D1108-1,0)),LEN(CELL("adresse",OFFSET(DMAV_Modell!$N$6,D1108-1,0)))-FIND("]",CELL("adresse",OFFSET(DMAV_Modell!$N$6,D1108-1,0)))),"Substructure"))</f>
        <v/>
      </c>
      <c r="R1108" s="80"/>
      <c r="T1108" s="93"/>
      <c r="U1108" s="94"/>
      <c r="V1108" s="95"/>
      <c r="W1108" s="96"/>
      <c r="Y1108" s="85"/>
      <c r="Z1108" s="86"/>
      <c r="AA1108" s="87"/>
      <c r="AB1108" s="88"/>
      <c r="AD1108" s="77"/>
      <c r="AF1108" s="54" t="str" cm="1">
        <f t="array" aca="1" ref="AF1108" ca="1">IF(H1108=0,"",HYPERLINK("#"&amp;RIGHT(CELL("adresse",OFFSET('DM01-AV-CH'!$G$6,H1108-1,0)),LEN(CELL("adresse",OFFSET('DM01-AV-CH'!$G$6,H1108-1,0)))-FIND("]",CELL("adresse",OFFSET('DM01-AV-CH'!$G$6,H1108-1,0)))),"Modell"))</f>
        <v>Modell</v>
      </c>
      <c r="AG1108" s="72" t="str" cm="1">
        <f t="array" ref="AG1108">IF($H1108=0,"",IF(INDEX('DM01-AV-CH'!G$6:G$834,$H1108)="","",INDEX('DM01-AV-CH'!G$6:G$834,$H1108)))</f>
        <v>Gebaeudeadressen</v>
      </c>
      <c r="AH1108" s="73" t="str" cm="1">
        <f t="array" ref="AH1108">IF($H1108=0,"",IF(INDEX('DM01-AV-CH'!H$6:H$834,$H1108)="","",INDEX('DM01-AV-CH'!H$6:H$834,$H1108)))</f>
        <v>GEBNachfuehrung</v>
      </c>
      <c r="AI1108" s="74" t="str" cm="1">
        <f t="array" ref="AI1108">IF($H1108=0,"",IF(INDEX('DM01-AV-CH'!I$6:I$834,$H1108)="","",INDEX('DM01-AV-CH'!I$6:I$834,$H1108)))</f>
        <v>Identifikator</v>
      </c>
    </row>
    <row r="1109" spans="1:35" x14ac:dyDescent="0.25">
      <c r="A1109" s="57">
        <v>1104</v>
      </c>
      <c r="B1109" s="57">
        <f>IF($A1109="","",IF(_xlfn.XLOOKUP($A1109,Korrelation!$D$4:$D$1197,Korrelation!E$4:E$1197,"-",0)="-",0,MATCH(_xlfn.XLOOKUP($A1109,Korrelation!$D$4:$D$1197,Korrelation!E$4:E$1197,"",0),DMAV_Modell!$G$6:$G$677,0)))</f>
        <v>622</v>
      </c>
      <c r="C1109" s="57">
        <f>IF($A1109="","",IF(_xlfn.XLOOKUP($A1109,Korrelation!$D$4:$D$1197,Korrelation!F$4:F$1197,"-",0)="-",0,MATCH(_xlfn.XLOOKUP($A1109,Korrelation!$D$4:$D$1197,Korrelation!F$4:F$1197,"",0),DMAV_Modell!$G$6:$G$677,0)))</f>
        <v>0</v>
      </c>
      <c r="D1109" s="57">
        <f>IF($A1109="","",IF(_xlfn.XLOOKUP($A1109,Korrelation!$D$4:$D$1197,Korrelation!G$4:G$1197,"-",0)="-",0,MATCH(_xlfn.XLOOKUP($A1109,Korrelation!$D$4:$D$1197,Korrelation!G$4:G$1197,"",0),DMAV_Modell!$G$6:$G$677,0)))</f>
        <v>0</v>
      </c>
      <c r="E1109" s="57">
        <f>IF($A1109="","",IF(_xlfn.XLOOKUP($A1109,Korrelation!$D$4:$D$1197,Korrelation!H$4:H$1197,"-",0)="-",0,MATCH(_xlfn.XLOOKUP($A1109,Korrelation!$D$4:$D$1197,Korrelation!H$4:H$1197,"",0),DMAV_Dienste!$F$6:$F$140,0)))</f>
        <v>0</v>
      </c>
      <c r="F1109" s="57">
        <f>IF($A1109="","",IF(_xlfn.XLOOKUP($A1109,Korrelation!$D$4:$D$1197,Korrelation!I$4:I$1197,"-",0)="-",0,MATCH(_xlfn.XLOOKUP($A1109,Korrelation!$D$4:$D$1197,Korrelation!I$4:I$1197,"",0),DMAV_Dienste!$F$6:$F$140,0)))</f>
        <v>0</v>
      </c>
      <c r="G1109" s="57">
        <f>IF($A1109="","",IF(_xlfn.XLOOKUP($A1109,Korrelation!$D$4:$D$1197,Korrelation!J$4:J$1197,"-",0)="-",0,MATCH(_xlfn.XLOOKUP($A1109,Korrelation!$D$4:$D$1197,Korrelation!J$4:J$1197,"",0),DMAV_Dienste!$F$6:$F$140,0)))</f>
        <v>0</v>
      </c>
      <c r="H1109" s="57">
        <f>IF($A1109="","",IF(_xlfn.XLOOKUP($A1109,Korrelation!$D$4:$D$1197,Korrelation!K$4:K$1197,"-",0)="-",0,MATCH(_xlfn.XLOOKUP($A1109,Korrelation!$D$4:$D$1197,Korrelation!K$4:K$1197,"",0),'DM01-AV-CH'!$A$6:$A$834,0)))</f>
        <v>700</v>
      </c>
      <c r="J1109" s="54" t="str" cm="1">
        <f t="array" aca="1" ref="J1109" ca="1">IF(B1109=0,IF(E1109=0,"",HYPERLINK("#"&amp;RIGHT(CELL("adresse",OFFSET(DMAV_Dienste!$M$6,E1109-1,0)),LEN(CELL("adresse",OFFSET(DMAV_Dienste!$M$6,E1109-1,0)))-FIND("]",CELL("adresse",OFFSET(DMAV_Dienste!$M$6,E1109-1,0)))),"Dienst")),HYPERLINK("#"&amp;RIGHT(CELL("adresse",OFFSET(DMAV_Modell!$N$6,B1109-1,0)),LEN(CELL("adresse",OFFSET(DMAV_Modell!$N$6,B1109-1,0)))-FIND("]",CELL("adresse",OFFSET(DMAV_Modell!$N$6,B1109-1,0)))),"Modell"))</f>
        <v>Modell</v>
      </c>
      <c r="K1109" s="61" t="str" cm="1">
        <f t="array" ref="K1109">IF($B1109=0,IF($E1109=0,"",IF(INDEX(DMAV_Dienste!P$6:P$140,$E1109)="","",INDEX(DMAV_Dienste!P$6:P$140,$E1109))),IF(INDEX(DMAV_Modell!Q$6:Q$838,$B1109)="","",INDEX(DMAV_Modell!Q$6:Q$838,$B1109)))</f>
        <v>CLASS</v>
      </c>
      <c r="L1109" s="62" t="str" cm="1">
        <f t="array" ref="L1109">IF($B1109=0,IF($E1109=0,"",IF(INDEX(DMAV_Dienste!O$6:O$140,$E1109)="","",INDEX(DMAV_Dienste!O$6:O$140,$E1109))),IF(INDEX(DMAV_Modell!P$6:P$838,$B1109)="","",INDEX(DMAV_Modell!P$6:P$838,$B1109)))</f>
        <v>Gebaeudeadressen</v>
      </c>
      <c r="M1109" s="62" t="str" cm="1">
        <f t="array" ref="M1109">IF($B1109=0,IF($E1109=0,"",IF(INDEX(DMAV_Dienste!Q$6:Q$140,$E1109)="","",INDEX(DMAV_Dienste!Q$6:Q$140,$E1109))),IF(INDEX(DMAV_Modell!R$6:R$838,$B1109)="","",INDEX(DMAV_Modell!R$6:R$838,$B1109)))</f>
        <v>GANachfuehrung</v>
      </c>
      <c r="N1109" s="62" t="str" cm="1">
        <f t="array" ref="N1109">IF($B1109=0,IF($E1109=0,"",IF(INDEX(DMAV_Dienste!T$6:T$140,$E1109)="","",INDEX(DMAV_Dienste!T$6:T$140,$E1109))),IF(INDEX(DMAV_Modell!U$6:U$838,$B1109)="","",INDEX(DMAV_Modell!U$6:U$838,$B1109)))</f>
        <v>Beschreibung</v>
      </c>
      <c r="O1109" s="63" t="str" cm="1">
        <f t="array" aca="1" ref="O1109" ca="1">IF(C1109=0,IF(F1109=0,"",HYPERLINK("#"&amp;RIGHT(CELL("adresse",OFFSET(DMAV_Dienste!$M$6,F1109-1,0)),LEN(CELL("adresse",OFFSET(DMAV_Dienste!$M$6,F1109-1,0)))-FIND("]",CELL("adresse",OFFSET(DMAV_Dienste!$M$6,F1109-1,0)))),"Structure")),HYPERLINK("#"&amp;RIGHT(CELL("adresse",OFFSET(DMAV_Modell!$N$6,C1109-1,0)),LEN(CELL("adresse",OFFSET(DMAV_Modell!$N$6,C1109-1,0)))-FIND("]",CELL("adresse",OFFSET(DMAV_Modell!$N$6,C1109-1,0)))),"Structure"))</f>
        <v/>
      </c>
      <c r="P1109" s="64" t="str" cm="1">
        <f t="array" aca="1" ref="P1109" ca="1">IF(D1109=0,IF(G1109=0,"",HYPERLINK("#"&amp;RIGHT(CELL("adresse",OFFSET(DMAV_Dienste!$M$6,G1109-1,0)),LEN(CELL("adresse",OFFSET(DMAV_Dienste!$M$6,G1109-1,0)))-FIND("]",CELL("adresse",OFFSET(DMAV_Dienste!$M$6,G1109-1,0)))),"Substructure")),HYPERLINK("#"&amp;RIGHT(CELL("adresse",OFFSET(DMAV_Modell!$N$6,D1109-1,0)),LEN(CELL("adresse",OFFSET(DMAV_Modell!$N$6,D1109-1,0)))-FIND("]",CELL("adresse",OFFSET(DMAV_Modell!$N$6,D1109-1,0)))),"Substructure"))</f>
        <v/>
      </c>
      <c r="R1109" s="80"/>
      <c r="T1109" s="93"/>
      <c r="U1109" s="94"/>
      <c r="V1109" s="95"/>
      <c r="W1109" s="96"/>
      <c r="Y1109" s="85"/>
      <c r="Z1109" s="86"/>
      <c r="AA1109" s="87"/>
      <c r="AB1109" s="88"/>
      <c r="AD1109" s="77"/>
      <c r="AF1109" s="54" t="str" cm="1">
        <f t="array" aca="1" ref="AF1109" ca="1">IF(H1109=0,"",HYPERLINK("#"&amp;RIGHT(CELL("adresse",OFFSET('DM01-AV-CH'!$G$6,H1109-1,0)),LEN(CELL("adresse",OFFSET('DM01-AV-CH'!$G$6,H1109-1,0)))-FIND("]",CELL("adresse",OFFSET('DM01-AV-CH'!$G$6,H1109-1,0)))),"Modell"))</f>
        <v>Modell</v>
      </c>
      <c r="AG1109" s="72" t="str" cm="1">
        <f t="array" ref="AG1109">IF($H1109=0,"",IF(INDEX('DM01-AV-CH'!G$6:G$834,$H1109)="","",INDEX('DM01-AV-CH'!G$6:G$834,$H1109)))</f>
        <v>Gebaeudeadressen</v>
      </c>
      <c r="AH1109" s="73" t="str" cm="1">
        <f t="array" ref="AH1109">IF($H1109=0,"",IF(INDEX('DM01-AV-CH'!H$6:H$834,$H1109)="","",INDEX('DM01-AV-CH'!H$6:H$834,$H1109)))</f>
        <v>GEBNachfuehrung</v>
      </c>
      <c r="AI1109" s="74" t="str" cm="1">
        <f t="array" ref="AI1109">IF($H1109=0,"",IF(INDEX('DM01-AV-CH'!I$6:I$834,$H1109)="","",INDEX('DM01-AV-CH'!I$6:I$834,$H1109)))</f>
        <v>Beschreibung</v>
      </c>
    </row>
    <row r="1110" spans="1:35" x14ac:dyDescent="0.25">
      <c r="A1110" s="57">
        <v>1105</v>
      </c>
      <c r="B1110" s="57">
        <f>IF($A1110="","",IF(_xlfn.XLOOKUP($A1110,Korrelation!$D$4:$D$1197,Korrelation!E$4:E$1197,"-",0)="-",0,MATCH(_xlfn.XLOOKUP($A1110,Korrelation!$D$4:$D$1197,Korrelation!E$4:E$1197,"",0),DMAV_Modell!$G$6:$G$677,0)))</f>
        <v>623</v>
      </c>
      <c r="C1110" s="57">
        <f>IF($A1110="","",IF(_xlfn.XLOOKUP($A1110,Korrelation!$D$4:$D$1197,Korrelation!F$4:F$1197,"-",0)="-",0,MATCH(_xlfn.XLOOKUP($A1110,Korrelation!$D$4:$D$1197,Korrelation!F$4:F$1197,"",0),DMAV_Modell!$G$6:$G$677,0)))</f>
        <v>0</v>
      </c>
      <c r="D1110" s="57">
        <f>IF($A1110="","",IF(_xlfn.XLOOKUP($A1110,Korrelation!$D$4:$D$1197,Korrelation!G$4:G$1197,"-",0)="-",0,MATCH(_xlfn.XLOOKUP($A1110,Korrelation!$D$4:$D$1197,Korrelation!G$4:G$1197,"",0),DMAV_Modell!$G$6:$G$677,0)))</f>
        <v>0</v>
      </c>
      <c r="E1110" s="57">
        <f>IF($A1110="","",IF(_xlfn.XLOOKUP($A1110,Korrelation!$D$4:$D$1197,Korrelation!H$4:H$1197,"-",0)="-",0,MATCH(_xlfn.XLOOKUP($A1110,Korrelation!$D$4:$D$1197,Korrelation!H$4:H$1197,"",0),DMAV_Dienste!$F$6:$F$140,0)))</f>
        <v>0</v>
      </c>
      <c r="F1110" s="57">
        <f>IF($A1110="","",IF(_xlfn.XLOOKUP($A1110,Korrelation!$D$4:$D$1197,Korrelation!I$4:I$1197,"-",0)="-",0,MATCH(_xlfn.XLOOKUP($A1110,Korrelation!$D$4:$D$1197,Korrelation!I$4:I$1197,"",0),DMAV_Dienste!$F$6:$F$140,0)))</f>
        <v>0</v>
      </c>
      <c r="G1110" s="57">
        <f>IF($A1110="","",IF(_xlfn.XLOOKUP($A1110,Korrelation!$D$4:$D$1197,Korrelation!J$4:J$1197,"-",0)="-",0,MATCH(_xlfn.XLOOKUP($A1110,Korrelation!$D$4:$D$1197,Korrelation!J$4:J$1197,"",0),DMAV_Dienste!$F$6:$F$140,0)))</f>
        <v>0</v>
      </c>
      <c r="H1110" s="57">
        <f>IF($A1110="","",IF(_xlfn.XLOOKUP($A1110,Korrelation!$D$4:$D$1197,Korrelation!K$4:K$1197,"-",0)="-",0,MATCH(_xlfn.XLOOKUP($A1110,Korrelation!$D$4:$D$1197,Korrelation!K$4:K$1197,"",0),'DM01-AV-CH'!$A$6:$A$834,0)))</f>
        <v>701</v>
      </c>
      <c r="J1110" s="54" t="str" cm="1">
        <f t="array" aca="1" ref="J1110" ca="1">IF(B1110=0,IF(E1110=0,"",HYPERLINK("#"&amp;RIGHT(CELL("adresse",OFFSET(DMAV_Dienste!$M$6,E1110-1,0)),LEN(CELL("adresse",OFFSET(DMAV_Dienste!$M$6,E1110-1,0)))-FIND("]",CELL("adresse",OFFSET(DMAV_Dienste!$M$6,E1110-1,0)))),"Dienst")),HYPERLINK("#"&amp;RIGHT(CELL("adresse",OFFSET(DMAV_Modell!$N$6,B1110-1,0)),LEN(CELL("adresse",OFFSET(DMAV_Modell!$N$6,B1110-1,0)))-FIND("]",CELL("adresse",OFFSET(DMAV_Modell!$N$6,B1110-1,0)))),"Modell"))</f>
        <v>Modell</v>
      </c>
      <c r="K1110" s="61" t="str" cm="1">
        <f t="array" ref="K1110">IF($B1110=0,IF($E1110=0,"",IF(INDEX(DMAV_Dienste!P$6:P$140,$E1110)="","",INDEX(DMAV_Dienste!P$6:P$140,$E1110))),IF(INDEX(DMAV_Modell!Q$6:Q$838,$B1110)="","",INDEX(DMAV_Modell!Q$6:Q$838,$B1110)))</f>
        <v>CLASS</v>
      </c>
      <c r="L1110" s="62" t="str" cm="1">
        <f t="array" ref="L1110">IF($B1110=0,IF($E1110=0,"",IF(INDEX(DMAV_Dienste!O$6:O$140,$E1110)="","",INDEX(DMAV_Dienste!O$6:O$140,$E1110))),IF(INDEX(DMAV_Modell!P$6:P$838,$B1110)="","",INDEX(DMAV_Modell!P$6:P$838,$B1110)))</f>
        <v>Gebaeudeadressen</v>
      </c>
      <c r="M1110" s="62" t="str" cm="1">
        <f t="array" ref="M1110">IF($B1110=0,IF($E1110=0,"",IF(INDEX(DMAV_Dienste!Q$6:Q$140,$E1110)="","",INDEX(DMAV_Dienste!Q$6:Q$140,$E1110))),IF(INDEX(DMAV_Modell!R$6:R$838,$B1110)="","",INDEX(DMAV_Modell!R$6:R$838,$B1110)))</f>
        <v>GANachfuehrung</v>
      </c>
      <c r="N1110" s="62" t="str" cm="1">
        <f t="array" ref="N1110">IF($B1110=0,IF($E1110=0,"",IF(INDEX(DMAV_Dienste!T$6:T$140,$E1110)="","",INDEX(DMAV_Dienste!T$6:T$140,$E1110))),IF(INDEX(DMAV_Modell!U$6:U$838,$B1110)="","",INDEX(DMAV_Modell!U$6:U$838,$B1110)))</f>
        <v>Perimeter</v>
      </c>
      <c r="O1110" s="63" t="str" cm="1">
        <f t="array" aca="1" ref="O1110" ca="1">IF(C1110=0,IF(F1110=0,"",HYPERLINK("#"&amp;RIGHT(CELL("adresse",OFFSET(DMAV_Dienste!$M$6,F1110-1,0)),LEN(CELL("adresse",OFFSET(DMAV_Dienste!$M$6,F1110-1,0)))-FIND("]",CELL("adresse",OFFSET(DMAV_Dienste!$M$6,F1110-1,0)))),"Structure")),HYPERLINK("#"&amp;RIGHT(CELL("adresse",OFFSET(DMAV_Modell!$N$6,C1110-1,0)),LEN(CELL("adresse",OFFSET(DMAV_Modell!$N$6,C1110-1,0)))-FIND("]",CELL("adresse",OFFSET(DMAV_Modell!$N$6,C1110-1,0)))),"Structure"))</f>
        <v/>
      </c>
      <c r="P1110" s="64" t="str" cm="1">
        <f t="array" aca="1" ref="P1110" ca="1">IF(D1110=0,IF(G1110=0,"",HYPERLINK("#"&amp;RIGHT(CELL("adresse",OFFSET(DMAV_Dienste!$M$6,G1110-1,0)),LEN(CELL("adresse",OFFSET(DMAV_Dienste!$M$6,G1110-1,0)))-FIND("]",CELL("adresse",OFFSET(DMAV_Dienste!$M$6,G1110-1,0)))),"Substructure")),HYPERLINK("#"&amp;RIGHT(CELL("adresse",OFFSET(DMAV_Modell!$N$6,D1110-1,0)),LEN(CELL("adresse",OFFSET(DMAV_Modell!$N$6,D1110-1,0)))-FIND("]",CELL("adresse",OFFSET(DMAV_Modell!$N$6,D1110-1,0)))),"Substructure"))</f>
        <v/>
      </c>
      <c r="R1110" s="80"/>
      <c r="T1110" s="93"/>
      <c r="U1110" s="94"/>
      <c r="V1110" s="95"/>
      <c r="W1110" s="96"/>
      <c r="Y1110" s="85"/>
      <c r="Z1110" s="86"/>
      <c r="AA1110" s="87"/>
      <c r="AB1110" s="88"/>
      <c r="AD1110" s="77"/>
      <c r="AF1110" s="54" t="str" cm="1">
        <f t="array" aca="1" ref="AF1110" ca="1">IF(H1110=0,"",HYPERLINK("#"&amp;RIGHT(CELL("adresse",OFFSET('DM01-AV-CH'!$G$6,H1110-1,0)),LEN(CELL("adresse",OFFSET('DM01-AV-CH'!$G$6,H1110-1,0)))-FIND("]",CELL("adresse",OFFSET('DM01-AV-CH'!$G$6,H1110-1,0)))),"Modell"))</f>
        <v>Modell</v>
      </c>
      <c r="AG1110" s="72" t="str" cm="1">
        <f t="array" ref="AG1110">IF($H1110=0,"",IF(INDEX('DM01-AV-CH'!G$6:G$834,$H1110)="","",INDEX('DM01-AV-CH'!G$6:G$834,$H1110)))</f>
        <v>Gebaeudeadressen</v>
      </c>
      <c r="AH1110" s="73" t="str" cm="1">
        <f t="array" ref="AH1110">IF($H1110=0,"",IF(INDEX('DM01-AV-CH'!H$6:H$834,$H1110)="","",INDEX('DM01-AV-CH'!H$6:H$834,$H1110)))</f>
        <v>GEBNachfuehrung</v>
      </c>
      <c r="AI1110" s="74" t="str" cm="1">
        <f t="array" ref="AI1110">IF($H1110=0,"",IF(INDEX('DM01-AV-CH'!I$6:I$834,$H1110)="","",INDEX('DM01-AV-CH'!I$6:I$834,$H1110)))</f>
        <v>Perimeter</v>
      </c>
    </row>
    <row r="1111" spans="1:35" x14ac:dyDescent="0.25">
      <c r="A1111" s="57">
        <v>1106</v>
      </c>
      <c r="B1111" s="57">
        <f>IF($A1111="","",IF(_xlfn.XLOOKUP($A1111,Korrelation!$D$4:$D$1197,Korrelation!E$4:E$1197,"-",0)="-",0,MATCH(_xlfn.XLOOKUP($A1111,Korrelation!$D$4:$D$1197,Korrelation!E$4:E$1197,"",0),DMAV_Modell!$G$6:$G$677,0)))</f>
        <v>0</v>
      </c>
      <c r="C1111" s="57">
        <f>IF($A1111="","",IF(_xlfn.XLOOKUP($A1111,Korrelation!$D$4:$D$1197,Korrelation!F$4:F$1197,"-",0)="-",0,MATCH(_xlfn.XLOOKUP($A1111,Korrelation!$D$4:$D$1197,Korrelation!F$4:F$1197,"",0),DMAV_Modell!$G$6:$G$677,0)))</f>
        <v>0</v>
      </c>
      <c r="D1111" s="57">
        <f>IF($A1111="","",IF(_xlfn.XLOOKUP($A1111,Korrelation!$D$4:$D$1197,Korrelation!G$4:G$1197,"-",0)="-",0,MATCH(_xlfn.XLOOKUP($A1111,Korrelation!$D$4:$D$1197,Korrelation!G$4:G$1197,"",0),DMAV_Modell!$G$6:$G$677,0)))</f>
        <v>0</v>
      </c>
      <c r="E1111" s="57">
        <f>IF($A1111="","",IF(_xlfn.XLOOKUP($A1111,Korrelation!$D$4:$D$1197,Korrelation!H$4:H$1197,"-",0)="-",0,MATCH(_xlfn.XLOOKUP($A1111,Korrelation!$D$4:$D$1197,Korrelation!H$4:H$1197,"",0),DMAV_Dienste!$F$6:$F$140,0)))</f>
        <v>0</v>
      </c>
      <c r="F1111" s="57">
        <f>IF($A1111="","",IF(_xlfn.XLOOKUP($A1111,Korrelation!$D$4:$D$1197,Korrelation!I$4:I$1197,"-",0)="-",0,MATCH(_xlfn.XLOOKUP($A1111,Korrelation!$D$4:$D$1197,Korrelation!I$4:I$1197,"",0),DMAV_Dienste!$F$6:$F$140,0)))</f>
        <v>0</v>
      </c>
      <c r="G1111" s="57">
        <f>IF($A1111="","",IF(_xlfn.XLOOKUP($A1111,Korrelation!$D$4:$D$1197,Korrelation!J$4:J$1197,"-",0)="-",0,MATCH(_xlfn.XLOOKUP($A1111,Korrelation!$D$4:$D$1197,Korrelation!J$4:J$1197,"",0),DMAV_Dienste!$F$6:$F$140,0)))</f>
        <v>0</v>
      </c>
      <c r="H1111" s="57">
        <f>IF($A1111="","",IF(_xlfn.XLOOKUP($A1111,Korrelation!$D$4:$D$1197,Korrelation!K$4:K$1197,"-",0)="-",0,MATCH(_xlfn.XLOOKUP($A1111,Korrelation!$D$4:$D$1197,Korrelation!K$4:K$1197,"",0),'DM01-AV-CH'!$A$6:$A$834,0)))</f>
        <v>702</v>
      </c>
      <c r="J1111" s="54" t="str" cm="1">
        <f t="array" aca="1" ref="J1111" ca="1">IF(B1111=0,IF(E1111=0,"",HYPERLINK("#"&amp;RIGHT(CELL("adresse",OFFSET(DMAV_Dienste!$M$6,E1111-1,0)),LEN(CELL("adresse",OFFSET(DMAV_Dienste!$M$6,E1111-1,0)))-FIND("]",CELL("adresse",OFFSET(DMAV_Dienste!$M$6,E1111-1,0)))),"Dienst")),HYPERLINK("#"&amp;RIGHT(CELL("adresse",OFFSET(DMAV_Modell!$N$6,B1111-1,0)),LEN(CELL("adresse",OFFSET(DMAV_Modell!$N$6,B1111-1,0)))-FIND("]",CELL("adresse",OFFSET(DMAV_Modell!$N$6,B1111-1,0)))),"Modell"))</f>
        <v/>
      </c>
      <c r="K1111" s="61" t="str" cm="1">
        <f t="array" ref="K1111">IF($B1111=0,IF($E1111=0,"",IF(INDEX(DMAV_Dienste!P$6:P$140,$E1111)="","",INDEX(DMAV_Dienste!P$6:P$140,$E1111))),IF(INDEX(DMAV_Modell!Q$6:Q$838,$B1111)="","",INDEX(DMAV_Modell!Q$6:Q$838,$B1111)))</f>
        <v/>
      </c>
      <c r="L1111" s="62" t="str" cm="1">
        <f t="array" ref="L1111">IF($B1111=0,IF($E1111=0,"",IF(INDEX(DMAV_Dienste!O$6:O$140,$E1111)="","",INDEX(DMAV_Dienste!O$6:O$140,$E1111))),IF(INDEX(DMAV_Modell!P$6:P$838,$B1111)="","",INDEX(DMAV_Modell!P$6:P$838,$B1111)))</f>
        <v/>
      </c>
      <c r="M1111" s="62" t="str" cm="1">
        <f t="array" ref="M1111">IF($B1111=0,IF($E1111=0,"",IF(INDEX(DMAV_Dienste!Q$6:Q$140,$E1111)="","",INDEX(DMAV_Dienste!Q$6:Q$140,$E1111))),IF(INDEX(DMAV_Modell!R$6:R$838,$B1111)="","",INDEX(DMAV_Modell!R$6:R$838,$B1111)))</f>
        <v/>
      </c>
      <c r="N1111" s="62" t="str" cm="1">
        <f t="array" ref="N1111">IF($B1111=0,IF($E1111=0,"",IF(INDEX(DMAV_Dienste!T$6:T$140,$E1111)="","",INDEX(DMAV_Dienste!T$6:T$140,$E1111))),IF(INDEX(DMAV_Modell!U$6:U$838,$B1111)="","",INDEX(DMAV_Modell!U$6:U$838,$B1111)))</f>
        <v/>
      </c>
      <c r="O1111" s="63" t="str" cm="1">
        <f t="array" aca="1" ref="O1111" ca="1">IF(C1111=0,IF(F1111=0,"",HYPERLINK("#"&amp;RIGHT(CELL("adresse",OFFSET(DMAV_Dienste!$M$6,F1111-1,0)),LEN(CELL("adresse",OFFSET(DMAV_Dienste!$M$6,F1111-1,0)))-FIND("]",CELL("adresse",OFFSET(DMAV_Dienste!$M$6,F1111-1,0)))),"Structure")),HYPERLINK("#"&amp;RIGHT(CELL("adresse",OFFSET(DMAV_Modell!$N$6,C1111-1,0)),LEN(CELL("adresse",OFFSET(DMAV_Modell!$N$6,C1111-1,0)))-FIND("]",CELL("adresse",OFFSET(DMAV_Modell!$N$6,C1111-1,0)))),"Structure"))</f>
        <v/>
      </c>
      <c r="P1111" s="64" t="str" cm="1">
        <f t="array" aca="1" ref="P1111" ca="1">IF(D1111=0,IF(G1111=0,"",HYPERLINK("#"&amp;RIGHT(CELL("adresse",OFFSET(DMAV_Dienste!$M$6,G1111-1,0)),LEN(CELL("adresse",OFFSET(DMAV_Dienste!$M$6,G1111-1,0)))-FIND("]",CELL("adresse",OFFSET(DMAV_Dienste!$M$6,G1111-1,0)))),"Substructure")),HYPERLINK("#"&amp;RIGHT(CELL("adresse",OFFSET(DMAV_Modell!$N$6,D1111-1,0)),LEN(CELL("adresse",OFFSET(DMAV_Modell!$N$6,D1111-1,0)))-FIND("]",CELL("adresse",OFFSET(DMAV_Modell!$N$6,D1111-1,0)))),"Substructure"))</f>
        <v/>
      </c>
      <c r="R1111" s="80"/>
      <c r="T1111" s="93"/>
      <c r="U1111" s="94"/>
      <c r="V1111" s="95"/>
      <c r="W1111" s="96"/>
      <c r="Y1111" s="85"/>
      <c r="Z1111" s="86"/>
      <c r="AA1111" s="87"/>
      <c r="AB1111" s="88"/>
      <c r="AD1111" s="77" t="s">
        <v>2711</v>
      </c>
      <c r="AF1111" s="54" t="str" cm="1">
        <f t="array" aca="1" ref="AF1111" ca="1">IF(H1111=0,"",HYPERLINK("#"&amp;RIGHT(CELL("adresse",OFFSET('DM01-AV-CH'!$G$6,H1111-1,0)),LEN(CELL("adresse",OFFSET('DM01-AV-CH'!$G$6,H1111-1,0)))-FIND("]",CELL("adresse",OFFSET('DM01-AV-CH'!$G$6,H1111-1,0)))),"Modell"))</f>
        <v>Modell</v>
      </c>
      <c r="AG1111" s="72" t="str" cm="1">
        <f t="array" ref="AG1111">IF($H1111=0,"",IF(INDEX('DM01-AV-CH'!G$6:G$834,$H1111)="","",INDEX('DM01-AV-CH'!G$6:G$834,$H1111)))</f>
        <v>Gebaeudeadressen</v>
      </c>
      <c r="AH1111" s="73" t="str" cm="1">
        <f t="array" ref="AH1111">IF($H1111=0,"",IF(INDEX('DM01-AV-CH'!H$6:H$834,$H1111)="","",INDEX('DM01-AV-CH'!H$6:H$834,$H1111)))</f>
        <v>GEBNachfuehrung</v>
      </c>
      <c r="AI1111" s="74" t="str" cm="1">
        <f t="array" ref="AI1111">IF($H1111=0,"",IF(INDEX('DM01-AV-CH'!I$6:I$834,$H1111)="","",INDEX('DM01-AV-CH'!I$6:I$834,$H1111)))</f>
        <v>Gueltigkeit</v>
      </c>
    </row>
    <row r="1112" spans="1:35" x14ac:dyDescent="0.25">
      <c r="A1112" s="57">
        <v>1107</v>
      </c>
      <c r="B1112" s="57">
        <f>IF($A1112="","",IF(_xlfn.XLOOKUP($A1112,Korrelation!$D$4:$D$1197,Korrelation!E$4:E$1197,"-",0)="-",0,MATCH(_xlfn.XLOOKUP($A1112,Korrelation!$D$4:$D$1197,Korrelation!E$4:E$1197,"",0),DMAV_Modell!$G$6:$G$677,0)))</f>
        <v>624</v>
      </c>
      <c r="C1112" s="57">
        <f>IF($A1112="","",IF(_xlfn.XLOOKUP($A1112,Korrelation!$D$4:$D$1197,Korrelation!F$4:F$1197,"-",0)="-",0,MATCH(_xlfn.XLOOKUP($A1112,Korrelation!$D$4:$D$1197,Korrelation!F$4:F$1197,"",0),DMAV_Modell!$G$6:$G$677,0)))</f>
        <v>0</v>
      </c>
      <c r="D1112" s="57">
        <f>IF($A1112="","",IF(_xlfn.XLOOKUP($A1112,Korrelation!$D$4:$D$1197,Korrelation!G$4:G$1197,"-",0)="-",0,MATCH(_xlfn.XLOOKUP($A1112,Korrelation!$D$4:$D$1197,Korrelation!G$4:G$1197,"",0),DMAV_Modell!$G$6:$G$677,0)))</f>
        <v>0</v>
      </c>
      <c r="E1112" s="57">
        <f>IF($A1112="","",IF(_xlfn.XLOOKUP($A1112,Korrelation!$D$4:$D$1197,Korrelation!H$4:H$1197,"-",0)="-",0,MATCH(_xlfn.XLOOKUP($A1112,Korrelation!$D$4:$D$1197,Korrelation!H$4:H$1197,"",0),DMAV_Dienste!$F$6:$F$140,0)))</f>
        <v>0</v>
      </c>
      <c r="F1112" s="57">
        <f>IF($A1112="","",IF(_xlfn.XLOOKUP($A1112,Korrelation!$D$4:$D$1197,Korrelation!I$4:I$1197,"-",0)="-",0,MATCH(_xlfn.XLOOKUP($A1112,Korrelation!$D$4:$D$1197,Korrelation!I$4:I$1197,"",0),DMAV_Dienste!$F$6:$F$140,0)))</f>
        <v>0</v>
      </c>
      <c r="G1112" s="57">
        <f>IF($A1112="","",IF(_xlfn.XLOOKUP($A1112,Korrelation!$D$4:$D$1197,Korrelation!J$4:J$1197,"-",0)="-",0,MATCH(_xlfn.XLOOKUP($A1112,Korrelation!$D$4:$D$1197,Korrelation!J$4:J$1197,"",0),DMAV_Dienste!$F$6:$F$140,0)))</f>
        <v>0</v>
      </c>
      <c r="H1112" s="57">
        <f>IF($A1112="","",IF(_xlfn.XLOOKUP($A1112,Korrelation!$D$4:$D$1197,Korrelation!K$4:K$1197,"-",0)="-",0,MATCH(_xlfn.XLOOKUP($A1112,Korrelation!$D$4:$D$1197,Korrelation!K$4:K$1197,"",0),'DM01-AV-CH'!$A$6:$A$834,0)))</f>
        <v>703</v>
      </c>
      <c r="J1112" s="54" t="str" cm="1">
        <f t="array" aca="1" ref="J1112" ca="1">IF(B1112=0,IF(E1112=0,"",HYPERLINK("#"&amp;RIGHT(CELL("adresse",OFFSET(DMAV_Dienste!$M$6,E1112-1,0)),LEN(CELL("adresse",OFFSET(DMAV_Dienste!$M$6,E1112-1,0)))-FIND("]",CELL("adresse",OFFSET(DMAV_Dienste!$M$6,E1112-1,0)))),"Dienst")),HYPERLINK("#"&amp;RIGHT(CELL("adresse",OFFSET(DMAV_Modell!$N$6,B1112-1,0)),LEN(CELL("adresse",OFFSET(DMAV_Modell!$N$6,B1112-1,0)))-FIND("]",CELL("adresse",OFFSET(DMAV_Modell!$N$6,B1112-1,0)))),"Modell"))</f>
        <v>Modell</v>
      </c>
      <c r="K1112" s="61" t="str" cm="1">
        <f t="array" ref="K1112">IF($B1112=0,IF($E1112=0,"",IF(INDEX(DMAV_Dienste!P$6:P$140,$E1112)="","",INDEX(DMAV_Dienste!P$6:P$140,$E1112))),IF(INDEX(DMAV_Modell!Q$6:Q$838,$B1112)="","",INDEX(DMAV_Modell!Q$6:Q$838,$B1112)))</f>
        <v>CLASS</v>
      </c>
      <c r="L1112" s="62" t="str" cm="1">
        <f t="array" ref="L1112">IF($B1112=0,IF($E1112=0,"",IF(INDEX(DMAV_Dienste!O$6:O$140,$E1112)="","",INDEX(DMAV_Dienste!O$6:O$140,$E1112))),IF(INDEX(DMAV_Modell!P$6:P$838,$B1112)="","",INDEX(DMAV_Modell!P$6:P$838,$B1112)))</f>
        <v>Gebaeudeadressen</v>
      </c>
      <c r="M1112" s="62" t="str" cm="1">
        <f t="array" ref="M1112">IF($B1112=0,IF($E1112=0,"",IF(INDEX(DMAV_Dienste!Q$6:Q$140,$E1112)="","",INDEX(DMAV_Dienste!Q$6:Q$140,$E1112))),IF(INDEX(DMAV_Modell!R$6:R$838,$B1112)="","",INDEX(DMAV_Modell!R$6:R$838,$B1112)))</f>
        <v>GANachfuehrung</v>
      </c>
      <c r="N1112" s="62" t="str" cm="1">
        <f t="array" ref="N1112">IF($B1112=0,IF($E1112=0,"",IF(INDEX(DMAV_Dienste!T$6:T$140,$E1112)="","",INDEX(DMAV_Dienste!T$6:T$140,$E1112))),IF(INDEX(DMAV_Modell!U$6:U$838,$B1112)="","",INDEX(DMAV_Modell!U$6:U$838,$B1112)))</f>
        <v>GueltigerEintrag</v>
      </c>
      <c r="O1112" s="63" t="str" cm="1">
        <f t="array" aca="1" ref="O1112" ca="1">IF(C1112=0,IF(F1112=0,"",HYPERLINK("#"&amp;RIGHT(CELL("adresse",OFFSET(DMAV_Dienste!$M$6,F1112-1,0)),LEN(CELL("adresse",OFFSET(DMAV_Dienste!$M$6,F1112-1,0)))-FIND("]",CELL("adresse",OFFSET(DMAV_Dienste!$M$6,F1112-1,0)))),"Structure")),HYPERLINK("#"&amp;RIGHT(CELL("adresse",OFFSET(DMAV_Modell!$N$6,C1112-1,0)),LEN(CELL("adresse",OFFSET(DMAV_Modell!$N$6,C1112-1,0)))-FIND("]",CELL("adresse",OFFSET(DMAV_Modell!$N$6,C1112-1,0)))),"Structure"))</f>
        <v/>
      </c>
      <c r="P1112" s="64" t="str" cm="1">
        <f t="array" aca="1" ref="P1112" ca="1">IF(D1112=0,IF(G1112=0,"",HYPERLINK("#"&amp;RIGHT(CELL("adresse",OFFSET(DMAV_Dienste!$M$6,G1112-1,0)),LEN(CELL("adresse",OFFSET(DMAV_Dienste!$M$6,G1112-1,0)))-FIND("]",CELL("adresse",OFFSET(DMAV_Dienste!$M$6,G1112-1,0)))),"Substructure")),HYPERLINK("#"&amp;RIGHT(CELL("adresse",OFFSET(DMAV_Modell!$N$6,D1112-1,0)),LEN(CELL("adresse",OFFSET(DMAV_Modell!$N$6,D1112-1,0)))-FIND("]",CELL("adresse",OFFSET(DMAV_Modell!$N$6,D1112-1,0)))),"Substructure"))</f>
        <v/>
      </c>
      <c r="R1112" s="80"/>
      <c r="T1112" s="93"/>
      <c r="U1112" s="94"/>
      <c r="V1112" s="95"/>
      <c r="W1112" s="96"/>
      <c r="Y1112" s="85"/>
      <c r="Z1112" s="86"/>
      <c r="AA1112" s="87"/>
      <c r="AB1112" s="88"/>
      <c r="AD1112" s="77"/>
      <c r="AF1112" s="54" t="str" cm="1">
        <f t="array" aca="1" ref="AF1112" ca="1">IF(H1112=0,"",HYPERLINK("#"&amp;RIGHT(CELL("adresse",OFFSET('DM01-AV-CH'!$G$6,H1112-1,0)),LEN(CELL("adresse",OFFSET('DM01-AV-CH'!$G$6,H1112-1,0)))-FIND("]",CELL("adresse",OFFSET('DM01-AV-CH'!$G$6,H1112-1,0)))),"Modell"))</f>
        <v>Modell</v>
      </c>
      <c r="AG1112" s="72" t="str" cm="1">
        <f t="array" ref="AG1112">IF($H1112=0,"",IF(INDEX('DM01-AV-CH'!G$6:G$834,$H1112)="","",INDEX('DM01-AV-CH'!G$6:G$834,$H1112)))</f>
        <v>Gebaeudeadressen</v>
      </c>
      <c r="AH1112" s="73" t="str" cm="1">
        <f t="array" ref="AH1112">IF($H1112=0,"",IF(INDEX('DM01-AV-CH'!H$6:H$834,$H1112)="","",INDEX('DM01-AV-CH'!H$6:H$834,$H1112)))</f>
        <v>GEBNachfuehrung</v>
      </c>
      <c r="AI1112" s="74" t="str" cm="1">
        <f t="array" ref="AI1112">IF($H1112=0,"",IF(INDEX('DM01-AV-CH'!I$6:I$834,$H1112)="","",INDEX('DM01-AV-CH'!I$6:I$834,$H1112)))</f>
        <v>GueltigerEintrag</v>
      </c>
    </row>
    <row r="1113" spans="1:35" x14ac:dyDescent="0.25">
      <c r="A1113" s="57">
        <v>1108</v>
      </c>
      <c r="B1113" s="57">
        <f>IF($A1113="","",IF(_xlfn.XLOOKUP($A1113,Korrelation!$D$4:$D$1197,Korrelation!E$4:E$1197,"-",0)="-",0,MATCH(_xlfn.XLOOKUP($A1113,Korrelation!$D$4:$D$1197,Korrelation!E$4:E$1197,"",0),DMAV_Modell!$G$6:$G$677,0)))</f>
        <v>625</v>
      </c>
      <c r="C1113" s="57">
        <f>IF($A1113="","",IF(_xlfn.XLOOKUP($A1113,Korrelation!$D$4:$D$1197,Korrelation!F$4:F$1197,"-",0)="-",0,MATCH(_xlfn.XLOOKUP($A1113,Korrelation!$D$4:$D$1197,Korrelation!F$4:F$1197,"",0),DMAV_Modell!$G$6:$G$677,0)))</f>
        <v>0</v>
      </c>
      <c r="D1113" s="57">
        <f>IF($A1113="","",IF(_xlfn.XLOOKUP($A1113,Korrelation!$D$4:$D$1197,Korrelation!G$4:G$1197,"-",0)="-",0,MATCH(_xlfn.XLOOKUP($A1113,Korrelation!$D$4:$D$1197,Korrelation!G$4:G$1197,"",0),DMAV_Modell!$G$6:$G$677,0)))</f>
        <v>0</v>
      </c>
      <c r="E1113" s="57">
        <f>IF($A1113="","",IF(_xlfn.XLOOKUP($A1113,Korrelation!$D$4:$D$1197,Korrelation!H$4:H$1197,"-",0)="-",0,MATCH(_xlfn.XLOOKUP($A1113,Korrelation!$D$4:$D$1197,Korrelation!H$4:H$1197,"",0),DMAV_Dienste!$F$6:$F$140,0)))</f>
        <v>0</v>
      </c>
      <c r="F1113" s="57">
        <f>IF($A1113="","",IF(_xlfn.XLOOKUP($A1113,Korrelation!$D$4:$D$1197,Korrelation!I$4:I$1197,"-",0)="-",0,MATCH(_xlfn.XLOOKUP($A1113,Korrelation!$D$4:$D$1197,Korrelation!I$4:I$1197,"",0),DMAV_Dienste!$F$6:$F$140,0)))</f>
        <v>0</v>
      </c>
      <c r="G1113" s="57">
        <f>IF($A1113="","",IF(_xlfn.XLOOKUP($A1113,Korrelation!$D$4:$D$1197,Korrelation!J$4:J$1197,"-",0)="-",0,MATCH(_xlfn.XLOOKUP($A1113,Korrelation!$D$4:$D$1197,Korrelation!J$4:J$1197,"",0),DMAV_Dienste!$F$6:$F$140,0)))</f>
        <v>0</v>
      </c>
      <c r="H1113" s="57">
        <f>IF($A1113="","",IF(_xlfn.XLOOKUP($A1113,Korrelation!$D$4:$D$1197,Korrelation!K$4:K$1197,"-",0)="-",0,MATCH(_xlfn.XLOOKUP($A1113,Korrelation!$D$4:$D$1197,Korrelation!K$4:K$1197,"",0),'DM01-AV-CH'!$A$6:$A$834,0)))</f>
        <v>0</v>
      </c>
      <c r="J1113" s="54" t="str" cm="1">
        <f t="array" aca="1" ref="J1113" ca="1">IF(B1113=0,IF(E1113=0,"",HYPERLINK("#"&amp;RIGHT(CELL("adresse",OFFSET(DMAV_Dienste!$M$6,E1113-1,0)),LEN(CELL("adresse",OFFSET(DMAV_Dienste!$M$6,E1113-1,0)))-FIND("]",CELL("adresse",OFFSET(DMAV_Dienste!$M$6,E1113-1,0)))),"Dienst")),HYPERLINK("#"&amp;RIGHT(CELL("adresse",OFFSET(DMAV_Modell!$N$6,B1113-1,0)),LEN(CELL("adresse",OFFSET(DMAV_Modell!$N$6,B1113-1,0)))-FIND("]",CELL("adresse",OFFSET(DMAV_Modell!$N$6,B1113-1,0)))),"Modell"))</f>
        <v>Modell</v>
      </c>
      <c r="K1113" s="61" t="str" cm="1">
        <f t="array" ref="K1113">IF($B1113=0,IF($E1113=0,"",IF(INDEX(DMAV_Dienste!P$6:P$140,$E1113)="","",INDEX(DMAV_Dienste!P$6:P$140,$E1113))),IF(INDEX(DMAV_Modell!Q$6:Q$838,$B1113)="","",INDEX(DMAV_Modell!Q$6:Q$838,$B1113)))</f>
        <v>STRUCTURE</v>
      </c>
      <c r="L1113" s="62" t="str" cm="1">
        <f t="array" ref="L1113">IF($B1113=0,IF($E1113=0,"",IF(INDEX(DMAV_Dienste!O$6:O$140,$E1113)="","",INDEX(DMAV_Dienste!O$6:O$140,$E1113))),IF(INDEX(DMAV_Modell!P$6:P$838,$B1113)="","",INDEX(DMAV_Modell!P$6:P$838,$B1113)))</f>
        <v>Gebaeudeadressen</v>
      </c>
      <c r="M1113" s="62" t="str" cm="1">
        <f t="array" ref="M1113">IF($B1113=0,IF($E1113=0,"",IF(INDEX(DMAV_Dienste!Q$6:Q$140,$E1113)="","",INDEX(DMAV_Dienste!Q$6:Q$140,$E1113))),IF(INDEX(DMAV_Modell!R$6:R$838,$B1113)="","",INDEX(DMAV_Modell!R$6:R$838,$B1113)))</f>
        <v>Lokalisationsname</v>
      </c>
      <c r="N1113" s="62" t="str" cm="1">
        <f t="array" ref="N1113">IF($B1113=0,IF($E1113=0,"",IF(INDEX(DMAV_Dienste!T$6:T$140,$E1113)="","",INDEX(DMAV_Dienste!T$6:T$140,$E1113))),IF(INDEX(DMAV_Modell!U$6:U$838,$B1113)="","",INDEX(DMAV_Modell!U$6:U$838,$B1113)))</f>
        <v>Name</v>
      </c>
      <c r="O1113" s="63" t="str" cm="1">
        <f t="array" aca="1" ref="O1113" ca="1">IF(C1113=0,IF(F1113=0,"",HYPERLINK("#"&amp;RIGHT(CELL("adresse",OFFSET(DMAV_Dienste!$M$6,F1113-1,0)),LEN(CELL("adresse",OFFSET(DMAV_Dienste!$M$6,F1113-1,0)))-FIND("]",CELL("adresse",OFFSET(DMAV_Dienste!$M$6,F1113-1,0)))),"Structure")),HYPERLINK("#"&amp;RIGHT(CELL("adresse",OFFSET(DMAV_Modell!$N$6,C1113-1,0)),LEN(CELL("adresse",OFFSET(DMAV_Modell!$N$6,C1113-1,0)))-FIND("]",CELL("adresse",OFFSET(DMAV_Modell!$N$6,C1113-1,0)))),"Structure"))</f>
        <v/>
      </c>
      <c r="P1113" s="64" t="str" cm="1">
        <f t="array" aca="1" ref="P1113" ca="1">IF(D1113=0,IF(G1113=0,"",HYPERLINK("#"&amp;RIGHT(CELL("adresse",OFFSET(DMAV_Dienste!$M$6,G1113-1,0)),LEN(CELL("adresse",OFFSET(DMAV_Dienste!$M$6,G1113-1,0)))-FIND("]",CELL("adresse",OFFSET(DMAV_Dienste!$M$6,G1113-1,0)))),"Substructure")),HYPERLINK("#"&amp;RIGHT(CELL("adresse",OFFSET(DMAV_Modell!$N$6,D1113-1,0)),LEN(CELL("adresse",OFFSET(DMAV_Modell!$N$6,D1113-1,0)))-FIND("]",CELL("adresse",OFFSET(DMAV_Modell!$N$6,D1113-1,0)))),"Substructure"))</f>
        <v/>
      </c>
      <c r="R1113" s="80"/>
      <c r="T1113" s="93"/>
      <c r="U1113" s="94"/>
      <c r="V1113" s="95"/>
      <c r="W1113" s="96"/>
      <c r="Y1113" s="85"/>
      <c r="Z1113" s="86"/>
      <c r="AA1113" s="87"/>
      <c r="AB1113" s="88"/>
      <c r="AD1113" s="77"/>
      <c r="AF1113" s="54" t="str" cm="1">
        <f t="array" aca="1" ref="AF1113" ca="1">IF(H1113=0,"",HYPERLINK("#"&amp;RIGHT(CELL("adresse",OFFSET('DM01-AV-CH'!$G$6,H1113-1,0)),LEN(CELL("adresse",OFFSET('DM01-AV-CH'!$G$6,H1113-1,0)))-FIND("]",CELL("adresse",OFFSET('DM01-AV-CH'!$G$6,H1113-1,0)))),"Modell"))</f>
        <v/>
      </c>
      <c r="AG1113" s="72" t="str" cm="1">
        <f t="array" ref="AG1113">IF($H1113=0,"",IF(INDEX('DM01-AV-CH'!G$6:G$834,$H1113)="","",INDEX('DM01-AV-CH'!G$6:G$834,$H1113)))</f>
        <v/>
      </c>
      <c r="AH1113" s="73" t="str" cm="1">
        <f t="array" ref="AH1113">IF($H1113=0,"",IF(INDEX('DM01-AV-CH'!H$6:H$834,$H1113)="","",INDEX('DM01-AV-CH'!H$6:H$834,$H1113)))</f>
        <v/>
      </c>
      <c r="AI1113" s="74" t="str" cm="1">
        <f t="array" ref="AI1113">IF($H1113=0,"",IF(INDEX('DM01-AV-CH'!I$6:I$834,$H1113)="","",INDEX('DM01-AV-CH'!I$6:I$834,$H1113)))</f>
        <v/>
      </c>
    </row>
    <row r="1114" spans="1:35" x14ac:dyDescent="0.25">
      <c r="A1114" s="57">
        <v>1109</v>
      </c>
      <c r="B1114" s="57">
        <f>IF($A1114="","",IF(_xlfn.XLOOKUP($A1114,Korrelation!$D$4:$D$1197,Korrelation!E$4:E$1197,"-",0)="-",0,MATCH(_xlfn.XLOOKUP($A1114,Korrelation!$D$4:$D$1197,Korrelation!E$4:E$1197,"",0),DMAV_Modell!$G$6:$G$677,0)))</f>
        <v>626</v>
      </c>
      <c r="C1114" s="57">
        <f>IF($A1114="","",IF(_xlfn.XLOOKUP($A1114,Korrelation!$D$4:$D$1197,Korrelation!F$4:F$1197,"-",0)="-",0,MATCH(_xlfn.XLOOKUP($A1114,Korrelation!$D$4:$D$1197,Korrelation!F$4:F$1197,"",0),DMAV_Modell!$G$6:$G$677,0)))</f>
        <v>0</v>
      </c>
      <c r="D1114" s="57">
        <f>IF($A1114="","",IF(_xlfn.XLOOKUP($A1114,Korrelation!$D$4:$D$1197,Korrelation!G$4:G$1197,"-",0)="-",0,MATCH(_xlfn.XLOOKUP($A1114,Korrelation!$D$4:$D$1197,Korrelation!G$4:G$1197,"",0),DMAV_Modell!$G$6:$G$677,0)))</f>
        <v>0</v>
      </c>
      <c r="E1114" s="57">
        <f>IF($A1114="","",IF(_xlfn.XLOOKUP($A1114,Korrelation!$D$4:$D$1197,Korrelation!H$4:H$1197,"-",0)="-",0,MATCH(_xlfn.XLOOKUP($A1114,Korrelation!$D$4:$D$1197,Korrelation!H$4:H$1197,"",0),DMAV_Dienste!$F$6:$F$140,0)))</f>
        <v>0</v>
      </c>
      <c r="F1114" s="57">
        <f>IF($A1114="","",IF(_xlfn.XLOOKUP($A1114,Korrelation!$D$4:$D$1197,Korrelation!I$4:I$1197,"-",0)="-",0,MATCH(_xlfn.XLOOKUP($A1114,Korrelation!$D$4:$D$1197,Korrelation!I$4:I$1197,"",0),DMAV_Dienste!$F$6:$F$140,0)))</f>
        <v>0</v>
      </c>
      <c r="G1114" s="57">
        <f>IF($A1114="","",IF(_xlfn.XLOOKUP($A1114,Korrelation!$D$4:$D$1197,Korrelation!J$4:J$1197,"-",0)="-",0,MATCH(_xlfn.XLOOKUP($A1114,Korrelation!$D$4:$D$1197,Korrelation!J$4:J$1197,"",0),DMAV_Dienste!$F$6:$F$140,0)))</f>
        <v>0</v>
      </c>
      <c r="H1114" s="57">
        <f>IF($A1114="","",IF(_xlfn.XLOOKUP($A1114,Korrelation!$D$4:$D$1197,Korrelation!K$4:K$1197,"-",0)="-",0,MATCH(_xlfn.XLOOKUP($A1114,Korrelation!$D$4:$D$1197,Korrelation!K$4:K$1197,"",0),'DM01-AV-CH'!$A$6:$A$834,0)))</f>
        <v>0</v>
      </c>
      <c r="J1114" s="54" t="str" cm="1">
        <f t="array" aca="1" ref="J1114" ca="1">IF(B1114=0,IF(E1114=0,"",HYPERLINK("#"&amp;RIGHT(CELL("adresse",OFFSET(DMAV_Dienste!$M$6,E1114-1,0)),LEN(CELL("adresse",OFFSET(DMAV_Dienste!$M$6,E1114-1,0)))-FIND("]",CELL("adresse",OFFSET(DMAV_Dienste!$M$6,E1114-1,0)))),"Dienst")),HYPERLINK("#"&amp;RIGHT(CELL("adresse",OFFSET(DMAV_Modell!$N$6,B1114-1,0)),LEN(CELL("adresse",OFFSET(DMAV_Modell!$N$6,B1114-1,0)))-FIND("]",CELL("adresse",OFFSET(DMAV_Modell!$N$6,B1114-1,0)))),"Modell"))</f>
        <v>Modell</v>
      </c>
      <c r="K1114" s="61" t="str" cm="1">
        <f t="array" ref="K1114">IF($B1114=0,IF($E1114=0,"",IF(INDEX(DMAV_Dienste!P$6:P$140,$E1114)="","",INDEX(DMAV_Dienste!P$6:P$140,$E1114))),IF(INDEX(DMAV_Modell!Q$6:Q$838,$B1114)="","",INDEX(DMAV_Modell!Q$6:Q$838,$B1114)))</f>
        <v>STRUCTURE</v>
      </c>
      <c r="L1114" s="62" t="str" cm="1">
        <f t="array" ref="L1114">IF($B1114=0,IF($E1114=0,"",IF(INDEX(DMAV_Dienste!O$6:O$140,$E1114)="","",INDEX(DMAV_Dienste!O$6:O$140,$E1114))),IF(INDEX(DMAV_Modell!P$6:P$838,$B1114)="","",INDEX(DMAV_Modell!P$6:P$838,$B1114)))</f>
        <v>Gebaeudeadressen</v>
      </c>
      <c r="M1114" s="62" t="str" cm="1">
        <f t="array" ref="M1114">IF($B1114=0,IF($E1114=0,"",IF(INDEX(DMAV_Dienste!Q$6:Q$140,$E1114)="","",INDEX(DMAV_Dienste!Q$6:Q$140,$E1114))),IF(INDEX(DMAV_Modell!R$6:R$838,$B1114)="","",INDEX(DMAV_Modell!R$6:R$838,$B1114)))</f>
        <v>Lokalisationsname</v>
      </c>
      <c r="N1114" s="62" t="str" cm="1">
        <f t="array" ref="N1114">IF($B1114=0,IF($E1114=0,"",IF(INDEX(DMAV_Dienste!T$6:T$140,$E1114)="","",INDEX(DMAV_Dienste!T$6:T$140,$E1114))),IF(INDEX(DMAV_Modell!U$6:U$838,$B1114)="","",INDEX(DMAV_Modell!U$6:U$838,$B1114)))</f>
        <v>NameKurz</v>
      </c>
      <c r="O1114" s="63" t="str" cm="1">
        <f t="array" aca="1" ref="O1114" ca="1">IF(C1114=0,IF(F1114=0,"",HYPERLINK("#"&amp;RIGHT(CELL("adresse",OFFSET(DMAV_Dienste!$M$6,F1114-1,0)),LEN(CELL("adresse",OFFSET(DMAV_Dienste!$M$6,F1114-1,0)))-FIND("]",CELL("adresse",OFFSET(DMAV_Dienste!$M$6,F1114-1,0)))),"Structure")),HYPERLINK("#"&amp;RIGHT(CELL("adresse",OFFSET(DMAV_Modell!$N$6,C1114-1,0)),LEN(CELL("adresse",OFFSET(DMAV_Modell!$N$6,C1114-1,0)))-FIND("]",CELL("adresse",OFFSET(DMAV_Modell!$N$6,C1114-1,0)))),"Structure"))</f>
        <v/>
      </c>
      <c r="P1114" s="64" t="str" cm="1">
        <f t="array" aca="1" ref="P1114" ca="1">IF(D1114=0,IF(G1114=0,"",HYPERLINK("#"&amp;RIGHT(CELL("adresse",OFFSET(DMAV_Dienste!$M$6,G1114-1,0)),LEN(CELL("adresse",OFFSET(DMAV_Dienste!$M$6,G1114-1,0)))-FIND("]",CELL("adresse",OFFSET(DMAV_Dienste!$M$6,G1114-1,0)))),"Substructure")),HYPERLINK("#"&amp;RIGHT(CELL("adresse",OFFSET(DMAV_Modell!$N$6,D1114-1,0)),LEN(CELL("adresse",OFFSET(DMAV_Modell!$N$6,D1114-1,0)))-FIND("]",CELL("adresse",OFFSET(DMAV_Modell!$N$6,D1114-1,0)))),"Substructure"))</f>
        <v/>
      </c>
      <c r="R1114" s="80"/>
      <c r="T1114" s="93"/>
      <c r="U1114" s="94"/>
      <c r="V1114" s="95"/>
      <c r="W1114" s="96"/>
      <c r="Y1114" s="85"/>
      <c r="Z1114" s="86"/>
      <c r="AA1114" s="87"/>
      <c r="AB1114" s="88"/>
      <c r="AD1114" s="77"/>
      <c r="AF1114" s="54" t="str" cm="1">
        <f t="array" aca="1" ref="AF1114" ca="1">IF(H1114=0,"",HYPERLINK("#"&amp;RIGHT(CELL("adresse",OFFSET('DM01-AV-CH'!$G$6,H1114-1,0)),LEN(CELL("adresse",OFFSET('DM01-AV-CH'!$G$6,H1114-1,0)))-FIND("]",CELL("adresse",OFFSET('DM01-AV-CH'!$G$6,H1114-1,0)))),"Modell"))</f>
        <v/>
      </c>
      <c r="AG1114" s="72" t="str" cm="1">
        <f t="array" ref="AG1114">IF($H1114=0,"",IF(INDEX('DM01-AV-CH'!G$6:G$834,$H1114)="","",INDEX('DM01-AV-CH'!G$6:G$834,$H1114)))</f>
        <v/>
      </c>
      <c r="AH1114" s="73" t="str" cm="1">
        <f t="array" ref="AH1114">IF($H1114=0,"",IF(INDEX('DM01-AV-CH'!H$6:H$834,$H1114)="","",INDEX('DM01-AV-CH'!H$6:H$834,$H1114)))</f>
        <v/>
      </c>
      <c r="AI1114" s="74" t="str" cm="1">
        <f t="array" ref="AI1114">IF($H1114=0,"",IF(INDEX('DM01-AV-CH'!I$6:I$834,$H1114)="","",INDEX('DM01-AV-CH'!I$6:I$834,$H1114)))</f>
        <v/>
      </c>
    </row>
    <row r="1115" spans="1:35" x14ac:dyDescent="0.25">
      <c r="A1115" s="57">
        <v>1110</v>
      </c>
      <c r="B1115" s="57">
        <f>IF($A1115="","",IF(_xlfn.XLOOKUP($A1115,Korrelation!$D$4:$D$1197,Korrelation!E$4:E$1197,"-",0)="-",0,MATCH(_xlfn.XLOOKUP($A1115,Korrelation!$D$4:$D$1197,Korrelation!E$4:E$1197,"",0),DMAV_Modell!$G$6:$G$677,0)))</f>
        <v>627</v>
      </c>
      <c r="C1115" s="57">
        <f>IF($A1115="","",IF(_xlfn.XLOOKUP($A1115,Korrelation!$D$4:$D$1197,Korrelation!F$4:F$1197,"-",0)="-",0,MATCH(_xlfn.XLOOKUP($A1115,Korrelation!$D$4:$D$1197,Korrelation!F$4:F$1197,"",0),DMAV_Modell!$G$6:$G$677,0)))</f>
        <v>0</v>
      </c>
      <c r="D1115" s="57">
        <f>IF($A1115="","",IF(_xlfn.XLOOKUP($A1115,Korrelation!$D$4:$D$1197,Korrelation!G$4:G$1197,"-",0)="-",0,MATCH(_xlfn.XLOOKUP($A1115,Korrelation!$D$4:$D$1197,Korrelation!G$4:G$1197,"",0),DMAV_Modell!$G$6:$G$677,0)))</f>
        <v>0</v>
      </c>
      <c r="E1115" s="57">
        <f>IF($A1115="","",IF(_xlfn.XLOOKUP($A1115,Korrelation!$D$4:$D$1197,Korrelation!H$4:H$1197,"-",0)="-",0,MATCH(_xlfn.XLOOKUP($A1115,Korrelation!$D$4:$D$1197,Korrelation!H$4:H$1197,"",0),DMAV_Dienste!$F$6:$F$140,0)))</f>
        <v>0</v>
      </c>
      <c r="F1115" s="57">
        <f>IF($A1115="","",IF(_xlfn.XLOOKUP($A1115,Korrelation!$D$4:$D$1197,Korrelation!I$4:I$1197,"-",0)="-",0,MATCH(_xlfn.XLOOKUP($A1115,Korrelation!$D$4:$D$1197,Korrelation!I$4:I$1197,"",0),DMAV_Dienste!$F$6:$F$140,0)))</f>
        <v>0</v>
      </c>
      <c r="G1115" s="57">
        <f>IF($A1115="","",IF(_xlfn.XLOOKUP($A1115,Korrelation!$D$4:$D$1197,Korrelation!J$4:J$1197,"-",0)="-",0,MATCH(_xlfn.XLOOKUP($A1115,Korrelation!$D$4:$D$1197,Korrelation!J$4:J$1197,"",0),DMAV_Dienste!$F$6:$F$140,0)))</f>
        <v>0</v>
      </c>
      <c r="H1115" s="57">
        <f>IF($A1115="","",IF(_xlfn.XLOOKUP($A1115,Korrelation!$D$4:$D$1197,Korrelation!K$4:K$1197,"-",0)="-",0,MATCH(_xlfn.XLOOKUP($A1115,Korrelation!$D$4:$D$1197,Korrelation!K$4:K$1197,"",0),'DM01-AV-CH'!$A$6:$A$834,0)))</f>
        <v>0</v>
      </c>
      <c r="J1115" s="54" t="str" cm="1">
        <f t="array" aca="1" ref="J1115" ca="1">IF(B1115=0,IF(E1115=0,"",HYPERLINK("#"&amp;RIGHT(CELL("adresse",OFFSET(DMAV_Dienste!$M$6,E1115-1,0)),LEN(CELL("adresse",OFFSET(DMAV_Dienste!$M$6,E1115-1,0)))-FIND("]",CELL("adresse",OFFSET(DMAV_Dienste!$M$6,E1115-1,0)))),"Dienst")),HYPERLINK("#"&amp;RIGHT(CELL("adresse",OFFSET(DMAV_Modell!$N$6,B1115-1,0)),LEN(CELL("adresse",OFFSET(DMAV_Modell!$N$6,B1115-1,0)))-FIND("]",CELL("adresse",OFFSET(DMAV_Modell!$N$6,B1115-1,0)))),"Modell"))</f>
        <v>Modell</v>
      </c>
      <c r="K1115" s="61" t="str" cm="1">
        <f t="array" ref="K1115">IF($B1115=0,IF($E1115=0,"",IF(INDEX(DMAV_Dienste!P$6:P$140,$E1115)="","",INDEX(DMAV_Dienste!P$6:P$140,$E1115))),IF(INDEX(DMAV_Modell!Q$6:Q$838,$B1115)="","",INDEX(DMAV_Modell!Q$6:Q$838,$B1115)))</f>
        <v>STRUCTURE</v>
      </c>
      <c r="L1115" s="62" t="str" cm="1">
        <f t="array" ref="L1115">IF($B1115=0,IF($E1115=0,"",IF(INDEX(DMAV_Dienste!O$6:O$140,$E1115)="","",INDEX(DMAV_Dienste!O$6:O$140,$E1115))),IF(INDEX(DMAV_Modell!P$6:P$838,$B1115)="","",INDEX(DMAV_Modell!P$6:P$838,$B1115)))</f>
        <v>Gebaeudeadressen</v>
      </c>
      <c r="M1115" s="62" t="str" cm="1">
        <f t="array" ref="M1115">IF($B1115=0,IF($E1115=0,"",IF(INDEX(DMAV_Dienste!Q$6:Q$140,$E1115)="","",INDEX(DMAV_Dienste!Q$6:Q$140,$E1115))),IF(INDEX(DMAV_Modell!R$6:R$838,$B1115)="","",INDEX(DMAV_Modell!R$6:R$838,$B1115)))</f>
        <v>Lokalisationsname</v>
      </c>
      <c r="N1115" s="62" t="str" cm="1">
        <f t="array" ref="N1115">IF($B1115=0,IF($E1115=0,"",IF(INDEX(DMAV_Dienste!T$6:T$140,$E1115)="","",INDEX(DMAV_Dienste!T$6:T$140,$E1115))),IF(INDEX(DMAV_Modell!U$6:U$838,$B1115)="","",INDEX(DMAV_Modell!U$6:U$838,$B1115)))</f>
        <v>NameAlsIndex</v>
      </c>
      <c r="O1115" s="63" t="str" cm="1">
        <f t="array" aca="1" ref="O1115" ca="1">IF(C1115=0,IF(F1115=0,"",HYPERLINK("#"&amp;RIGHT(CELL("adresse",OFFSET(DMAV_Dienste!$M$6,F1115-1,0)),LEN(CELL("adresse",OFFSET(DMAV_Dienste!$M$6,F1115-1,0)))-FIND("]",CELL("adresse",OFFSET(DMAV_Dienste!$M$6,F1115-1,0)))),"Structure")),HYPERLINK("#"&amp;RIGHT(CELL("adresse",OFFSET(DMAV_Modell!$N$6,C1115-1,0)),LEN(CELL("adresse",OFFSET(DMAV_Modell!$N$6,C1115-1,0)))-FIND("]",CELL("adresse",OFFSET(DMAV_Modell!$N$6,C1115-1,0)))),"Structure"))</f>
        <v/>
      </c>
      <c r="P1115" s="64" t="str" cm="1">
        <f t="array" aca="1" ref="P1115" ca="1">IF(D1115=0,IF(G1115=0,"",HYPERLINK("#"&amp;RIGHT(CELL("adresse",OFFSET(DMAV_Dienste!$M$6,G1115-1,0)),LEN(CELL("adresse",OFFSET(DMAV_Dienste!$M$6,G1115-1,0)))-FIND("]",CELL("adresse",OFFSET(DMAV_Dienste!$M$6,G1115-1,0)))),"Substructure")),HYPERLINK("#"&amp;RIGHT(CELL("adresse",OFFSET(DMAV_Modell!$N$6,D1115-1,0)),LEN(CELL("adresse",OFFSET(DMAV_Modell!$N$6,D1115-1,0)))-FIND("]",CELL("adresse",OFFSET(DMAV_Modell!$N$6,D1115-1,0)))),"Substructure"))</f>
        <v/>
      </c>
      <c r="R1115" s="80"/>
      <c r="T1115" s="93"/>
      <c r="U1115" s="94"/>
      <c r="V1115" s="95"/>
      <c r="W1115" s="96"/>
      <c r="Y1115" s="85"/>
      <c r="Z1115" s="86"/>
      <c r="AA1115" s="87"/>
      <c r="AB1115" s="88"/>
      <c r="AD1115" s="77"/>
      <c r="AF1115" s="54" t="str" cm="1">
        <f t="array" aca="1" ref="AF1115" ca="1">IF(H1115=0,"",HYPERLINK("#"&amp;RIGHT(CELL("adresse",OFFSET('DM01-AV-CH'!$G$6,H1115-1,0)),LEN(CELL("adresse",OFFSET('DM01-AV-CH'!$G$6,H1115-1,0)))-FIND("]",CELL("adresse",OFFSET('DM01-AV-CH'!$G$6,H1115-1,0)))),"Modell"))</f>
        <v/>
      </c>
      <c r="AG1115" s="72" t="str" cm="1">
        <f t="array" ref="AG1115">IF($H1115=0,"",IF(INDEX('DM01-AV-CH'!G$6:G$834,$H1115)="","",INDEX('DM01-AV-CH'!G$6:G$834,$H1115)))</f>
        <v/>
      </c>
      <c r="AH1115" s="73" t="str" cm="1">
        <f t="array" ref="AH1115">IF($H1115=0,"",IF(INDEX('DM01-AV-CH'!H$6:H$834,$H1115)="","",INDEX('DM01-AV-CH'!H$6:H$834,$H1115)))</f>
        <v/>
      </c>
      <c r="AI1115" s="74" t="str" cm="1">
        <f t="array" ref="AI1115">IF($H1115=0,"",IF(INDEX('DM01-AV-CH'!I$6:I$834,$H1115)="","",INDEX('DM01-AV-CH'!I$6:I$834,$H1115)))</f>
        <v/>
      </c>
    </row>
    <row r="1116" spans="1:35" x14ac:dyDescent="0.25">
      <c r="A1116" s="57">
        <v>1111</v>
      </c>
      <c r="B1116" s="57">
        <f>IF($A1116="","",IF(_xlfn.XLOOKUP($A1116,Korrelation!$D$4:$D$1197,Korrelation!E$4:E$1197,"-",0)="-",0,MATCH(_xlfn.XLOOKUP($A1116,Korrelation!$D$4:$D$1197,Korrelation!E$4:E$1197,"",0),DMAV_Modell!$G$6:$G$677,0)))</f>
        <v>628</v>
      </c>
      <c r="C1116" s="57">
        <f>IF($A1116="","",IF(_xlfn.XLOOKUP($A1116,Korrelation!$D$4:$D$1197,Korrelation!F$4:F$1197,"-",0)="-",0,MATCH(_xlfn.XLOOKUP($A1116,Korrelation!$D$4:$D$1197,Korrelation!F$4:F$1197,"",0),DMAV_Modell!$G$6:$G$677,0)))</f>
        <v>0</v>
      </c>
      <c r="D1116" s="57">
        <f>IF($A1116="","",IF(_xlfn.XLOOKUP($A1116,Korrelation!$D$4:$D$1197,Korrelation!G$4:G$1197,"-",0)="-",0,MATCH(_xlfn.XLOOKUP($A1116,Korrelation!$D$4:$D$1197,Korrelation!G$4:G$1197,"",0),DMAV_Modell!$G$6:$G$677,0)))</f>
        <v>0</v>
      </c>
      <c r="E1116" s="57">
        <f>IF($A1116="","",IF(_xlfn.XLOOKUP($A1116,Korrelation!$D$4:$D$1197,Korrelation!H$4:H$1197,"-",0)="-",0,MATCH(_xlfn.XLOOKUP($A1116,Korrelation!$D$4:$D$1197,Korrelation!H$4:H$1197,"",0),DMAV_Dienste!$F$6:$F$140,0)))</f>
        <v>0</v>
      </c>
      <c r="F1116" s="57">
        <f>IF($A1116="","",IF(_xlfn.XLOOKUP($A1116,Korrelation!$D$4:$D$1197,Korrelation!I$4:I$1197,"-",0)="-",0,MATCH(_xlfn.XLOOKUP($A1116,Korrelation!$D$4:$D$1197,Korrelation!I$4:I$1197,"",0),DMAV_Dienste!$F$6:$F$140,0)))</f>
        <v>0</v>
      </c>
      <c r="G1116" s="57">
        <f>IF($A1116="","",IF(_xlfn.XLOOKUP($A1116,Korrelation!$D$4:$D$1197,Korrelation!J$4:J$1197,"-",0)="-",0,MATCH(_xlfn.XLOOKUP($A1116,Korrelation!$D$4:$D$1197,Korrelation!J$4:J$1197,"",0),DMAV_Dienste!$F$6:$F$140,0)))</f>
        <v>0</v>
      </c>
      <c r="H1116" s="57">
        <f>IF($A1116="","",IF(_xlfn.XLOOKUP($A1116,Korrelation!$D$4:$D$1197,Korrelation!K$4:K$1197,"-",0)="-",0,MATCH(_xlfn.XLOOKUP($A1116,Korrelation!$D$4:$D$1197,Korrelation!K$4:K$1197,"",0),'DM01-AV-CH'!$A$6:$A$834,0)))</f>
        <v>0</v>
      </c>
      <c r="J1116" s="54" t="str" cm="1">
        <f t="array" aca="1" ref="J1116" ca="1">IF(B1116=0,IF(E1116=0,"",HYPERLINK("#"&amp;RIGHT(CELL("adresse",OFFSET(DMAV_Dienste!$M$6,E1116-1,0)),LEN(CELL("adresse",OFFSET(DMAV_Dienste!$M$6,E1116-1,0)))-FIND("]",CELL("adresse",OFFSET(DMAV_Dienste!$M$6,E1116-1,0)))),"Dienst")),HYPERLINK("#"&amp;RIGHT(CELL("adresse",OFFSET(DMAV_Modell!$N$6,B1116-1,0)),LEN(CELL("adresse",OFFSET(DMAV_Modell!$N$6,B1116-1,0)))-FIND("]",CELL("adresse",OFFSET(DMAV_Modell!$N$6,B1116-1,0)))),"Modell"))</f>
        <v>Modell</v>
      </c>
      <c r="K1116" s="61" t="str" cm="1">
        <f t="array" ref="K1116">IF($B1116=0,IF($E1116=0,"",IF(INDEX(DMAV_Dienste!P$6:P$140,$E1116)="","",INDEX(DMAV_Dienste!P$6:P$140,$E1116))),IF(INDEX(DMAV_Modell!Q$6:Q$838,$B1116)="","",INDEX(DMAV_Modell!Q$6:Q$838,$B1116)))</f>
        <v>STRUCTURE</v>
      </c>
      <c r="L1116" s="62" t="str" cm="1">
        <f t="array" ref="L1116">IF($B1116=0,IF($E1116=0,"",IF(INDEX(DMAV_Dienste!O$6:O$140,$E1116)="","",INDEX(DMAV_Dienste!O$6:O$140,$E1116))),IF(INDEX(DMAV_Modell!P$6:P$838,$B1116)="","",INDEX(DMAV_Modell!P$6:P$838,$B1116)))</f>
        <v>Gebaeudeadressen</v>
      </c>
      <c r="M1116" s="62" t="str" cm="1">
        <f t="array" ref="M1116">IF($B1116=0,IF($E1116=0,"",IF(INDEX(DMAV_Dienste!Q$6:Q$140,$E1116)="","",INDEX(DMAV_Dienste!Q$6:Q$140,$E1116))),IF(INDEX(DMAV_Modell!R$6:R$838,$B1116)="","",INDEX(DMAV_Modell!R$6:R$838,$B1116)))</f>
        <v>Lokalisationsname</v>
      </c>
      <c r="N1116" s="62" t="str" cm="1">
        <f t="array" ref="N1116">IF($B1116=0,IF($E1116=0,"",IF(INDEX(DMAV_Dienste!T$6:T$140,$E1116)="","",INDEX(DMAV_Dienste!T$6:T$140,$E1116))),IF(INDEX(DMAV_Modell!U$6:U$838,$B1116)="","",INDEX(DMAV_Modell!U$6:U$838,$B1116)))</f>
        <v>Sprache</v>
      </c>
      <c r="O1116" s="63" t="str" cm="1">
        <f t="array" aca="1" ref="O1116" ca="1">IF(C1116=0,IF(F1116=0,"",HYPERLINK("#"&amp;RIGHT(CELL("adresse",OFFSET(DMAV_Dienste!$M$6,F1116-1,0)),LEN(CELL("adresse",OFFSET(DMAV_Dienste!$M$6,F1116-1,0)))-FIND("]",CELL("adresse",OFFSET(DMAV_Dienste!$M$6,F1116-1,0)))),"Structure")),HYPERLINK("#"&amp;RIGHT(CELL("adresse",OFFSET(DMAV_Modell!$N$6,C1116-1,0)),LEN(CELL("adresse",OFFSET(DMAV_Modell!$N$6,C1116-1,0)))-FIND("]",CELL("adresse",OFFSET(DMAV_Modell!$N$6,C1116-1,0)))),"Structure"))</f>
        <v/>
      </c>
      <c r="P1116" s="64" t="str" cm="1">
        <f t="array" aca="1" ref="P1116" ca="1">IF(D1116=0,IF(G1116=0,"",HYPERLINK("#"&amp;RIGHT(CELL("adresse",OFFSET(DMAV_Dienste!$M$6,G1116-1,0)),LEN(CELL("adresse",OFFSET(DMAV_Dienste!$M$6,G1116-1,0)))-FIND("]",CELL("adresse",OFFSET(DMAV_Dienste!$M$6,G1116-1,0)))),"Substructure")),HYPERLINK("#"&amp;RIGHT(CELL("adresse",OFFSET(DMAV_Modell!$N$6,D1116-1,0)),LEN(CELL("adresse",OFFSET(DMAV_Modell!$N$6,D1116-1,0)))-FIND("]",CELL("adresse",OFFSET(DMAV_Modell!$N$6,D1116-1,0)))),"Substructure"))</f>
        <v/>
      </c>
      <c r="R1116" s="80"/>
      <c r="T1116" s="93"/>
      <c r="U1116" s="94"/>
      <c r="V1116" s="95"/>
      <c r="W1116" s="96"/>
      <c r="Y1116" s="85"/>
      <c r="Z1116" s="86"/>
      <c r="AA1116" s="87"/>
      <c r="AB1116" s="88"/>
      <c r="AD1116" s="77"/>
      <c r="AF1116" s="54" t="str" cm="1">
        <f t="array" aca="1" ref="AF1116" ca="1">IF(H1116=0,"",HYPERLINK("#"&amp;RIGHT(CELL("adresse",OFFSET('DM01-AV-CH'!$G$6,H1116-1,0)),LEN(CELL("adresse",OFFSET('DM01-AV-CH'!$G$6,H1116-1,0)))-FIND("]",CELL("adresse",OFFSET('DM01-AV-CH'!$G$6,H1116-1,0)))),"Modell"))</f>
        <v/>
      </c>
      <c r="AG1116" s="72" t="str" cm="1">
        <f t="array" ref="AG1116">IF($H1116=0,"",IF(INDEX('DM01-AV-CH'!G$6:G$834,$H1116)="","",INDEX('DM01-AV-CH'!G$6:G$834,$H1116)))</f>
        <v/>
      </c>
      <c r="AH1116" s="73" t="str" cm="1">
        <f t="array" ref="AH1116">IF($H1116=0,"",IF(INDEX('DM01-AV-CH'!H$6:H$834,$H1116)="","",INDEX('DM01-AV-CH'!H$6:H$834,$H1116)))</f>
        <v/>
      </c>
      <c r="AI1116" s="74" t="str" cm="1">
        <f t="array" ref="AI1116">IF($H1116=0,"",IF(INDEX('DM01-AV-CH'!I$6:I$834,$H1116)="","",INDEX('DM01-AV-CH'!I$6:I$834,$H1116)))</f>
        <v/>
      </c>
    </row>
    <row r="1117" spans="1:35" x14ac:dyDescent="0.25">
      <c r="A1117" s="57">
        <v>1112</v>
      </c>
      <c r="B1117" s="57">
        <f>IF($A1117="","",IF(_xlfn.XLOOKUP($A1117,Korrelation!$D$4:$D$1197,Korrelation!E$4:E$1197,"-",0)="-",0,MATCH(_xlfn.XLOOKUP($A1117,Korrelation!$D$4:$D$1197,Korrelation!E$4:E$1197,"",0),DMAV_Modell!$G$6:$G$677,0)))</f>
        <v>629</v>
      </c>
      <c r="C1117" s="57">
        <f>IF($A1117="","",IF(_xlfn.XLOOKUP($A1117,Korrelation!$D$4:$D$1197,Korrelation!F$4:F$1197,"-",0)="-",0,MATCH(_xlfn.XLOOKUP($A1117,Korrelation!$D$4:$D$1197,Korrelation!F$4:F$1197,"",0),DMAV_Modell!$G$6:$G$677,0)))</f>
        <v>26</v>
      </c>
      <c r="D1117" s="57">
        <f>IF($A1117="","",IF(_xlfn.XLOOKUP($A1117,Korrelation!$D$4:$D$1197,Korrelation!G$4:G$1197,"-",0)="-",0,MATCH(_xlfn.XLOOKUP($A1117,Korrelation!$D$4:$D$1197,Korrelation!G$4:G$1197,"",0),DMAV_Modell!$G$6:$G$677,0)))</f>
        <v>0</v>
      </c>
      <c r="E1117" s="57">
        <f>IF($A1117="","",IF(_xlfn.XLOOKUP($A1117,Korrelation!$D$4:$D$1197,Korrelation!H$4:H$1197,"-",0)="-",0,MATCH(_xlfn.XLOOKUP($A1117,Korrelation!$D$4:$D$1197,Korrelation!H$4:H$1197,"",0),DMAV_Dienste!$F$6:$F$140,0)))</f>
        <v>0</v>
      </c>
      <c r="F1117" s="57">
        <f>IF($A1117="","",IF(_xlfn.XLOOKUP($A1117,Korrelation!$D$4:$D$1197,Korrelation!I$4:I$1197,"-",0)="-",0,MATCH(_xlfn.XLOOKUP($A1117,Korrelation!$D$4:$D$1197,Korrelation!I$4:I$1197,"",0),DMAV_Dienste!$F$6:$F$140,0)))</f>
        <v>0</v>
      </c>
      <c r="G1117" s="57">
        <f>IF($A1117="","",IF(_xlfn.XLOOKUP($A1117,Korrelation!$D$4:$D$1197,Korrelation!J$4:J$1197,"-",0)="-",0,MATCH(_xlfn.XLOOKUP($A1117,Korrelation!$D$4:$D$1197,Korrelation!J$4:J$1197,"",0),DMAV_Dienste!$F$6:$F$140,0)))</f>
        <v>0</v>
      </c>
      <c r="H1117" s="57">
        <f>IF($A1117="","",IF(_xlfn.XLOOKUP($A1117,Korrelation!$D$4:$D$1197,Korrelation!K$4:K$1197,"-",0)="-",0,MATCH(_xlfn.XLOOKUP($A1117,Korrelation!$D$4:$D$1197,Korrelation!K$4:K$1197,"",0),'DM01-AV-CH'!$A$6:$A$834,0)))</f>
        <v>0</v>
      </c>
      <c r="J1117" s="54" t="str" cm="1">
        <f t="array" aca="1" ref="J1117" ca="1">IF(B1117=0,IF(E1117=0,"",HYPERLINK("#"&amp;RIGHT(CELL("adresse",OFFSET(DMAV_Dienste!$M$6,E1117-1,0)),LEN(CELL("adresse",OFFSET(DMAV_Dienste!$M$6,E1117-1,0)))-FIND("]",CELL("adresse",OFFSET(DMAV_Dienste!$M$6,E1117-1,0)))),"Dienst")),HYPERLINK("#"&amp;RIGHT(CELL("adresse",OFFSET(DMAV_Modell!$N$6,B1117-1,0)),LEN(CELL("adresse",OFFSET(DMAV_Modell!$N$6,B1117-1,0)))-FIND("]",CELL("adresse",OFFSET(DMAV_Modell!$N$6,B1117-1,0)))),"Modell"))</f>
        <v>Modell</v>
      </c>
      <c r="K1117" s="61" t="str" cm="1">
        <f t="array" ref="K1117">IF($B1117=0,IF($E1117=0,"",IF(INDEX(DMAV_Dienste!P$6:P$140,$E1117)="","",INDEX(DMAV_Dienste!P$6:P$140,$E1117))),IF(INDEX(DMAV_Modell!Q$6:Q$838,$B1117)="","",INDEX(DMAV_Modell!Q$6:Q$838,$B1117)))</f>
        <v>STRUCTURE</v>
      </c>
      <c r="L1117" s="62" t="str" cm="1">
        <f t="array" ref="L1117">IF($B1117=0,IF($E1117=0,"",IF(INDEX(DMAV_Dienste!O$6:O$140,$E1117)="","",INDEX(DMAV_Dienste!O$6:O$140,$E1117))),IF(INDEX(DMAV_Modell!P$6:P$838,$B1117)="","",INDEX(DMAV_Modell!P$6:P$838,$B1117)))</f>
        <v>Gebaeudeadressen</v>
      </c>
      <c r="M1117" s="62" t="str" cm="1">
        <f t="array" ref="M1117">IF($B1117=0,IF($E1117=0,"",IF(INDEX(DMAV_Dienste!Q$6:Q$140,$E1117)="","",INDEX(DMAV_Dienste!Q$6:Q$140,$E1117))),IF(INDEX(DMAV_Modell!R$6:R$838,$B1117)="","",INDEX(DMAV_Modell!R$6:R$838,$B1117)))</f>
        <v>Lokalisationsname</v>
      </c>
      <c r="N1117" s="62" t="str" cm="1">
        <f t="array" ref="N1117">IF($B1117=0,IF($E1117=0,"",IF(INDEX(DMAV_Dienste!T$6:T$140,$E1117)="","",INDEX(DMAV_Dienste!T$6:T$140,$E1117))),IF(INDEX(DMAV_Modell!U$6:U$838,$B1117)="","",INDEX(DMAV_Modell!U$6:U$838,$B1117)))</f>
        <v>Textposition</v>
      </c>
      <c r="O1117" s="63" t="str" cm="1">
        <f t="array" aca="1" ref="O1117" ca="1">IF(C1117=0,IF(F1117=0,"",HYPERLINK("#"&amp;RIGHT(CELL("adresse",OFFSET(DMAV_Dienste!$M$6,F1117-1,0)),LEN(CELL("adresse",OFFSET(DMAV_Dienste!$M$6,F1117-1,0)))-FIND("]",CELL("adresse",OFFSET(DMAV_Dienste!$M$6,F1117-1,0)))),"Structure")),HYPERLINK("#"&amp;RIGHT(CELL("adresse",OFFSET(DMAV_Modell!$N$6,C1117-1,0)),LEN(CELL("adresse",OFFSET(DMAV_Modell!$N$6,C1117-1,0)))-FIND("]",CELL("adresse",OFFSET(DMAV_Modell!$N$6,C1117-1,0)))),"Structure"))</f>
        <v>Structure</v>
      </c>
      <c r="P1117" s="64" t="str" cm="1">
        <f t="array" aca="1" ref="P1117" ca="1">IF(D1117=0,IF(G1117=0,"",HYPERLINK("#"&amp;RIGHT(CELL("adresse",OFFSET(DMAV_Dienste!$M$6,G1117-1,0)),LEN(CELL("adresse",OFFSET(DMAV_Dienste!$M$6,G1117-1,0)))-FIND("]",CELL("adresse",OFFSET(DMAV_Dienste!$M$6,G1117-1,0)))),"Substructure")),HYPERLINK("#"&amp;RIGHT(CELL("adresse",OFFSET(DMAV_Modell!$N$6,D1117-1,0)),LEN(CELL("adresse",OFFSET(DMAV_Modell!$N$6,D1117-1,0)))-FIND("]",CELL("adresse",OFFSET(DMAV_Modell!$N$6,D1117-1,0)))),"Substructure"))</f>
        <v/>
      </c>
      <c r="R1117" s="80"/>
      <c r="T1117" s="93"/>
      <c r="U1117" s="94"/>
      <c r="V1117" s="95"/>
      <c r="W1117" s="96"/>
      <c r="Y1117" s="85"/>
      <c r="Z1117" s="86"/>
      <c r="AA1117" s="87"/>
      <c r="AB1117" s="88"/>
      <c r="AD1117" s="77"/>
      <c r="AF1117" s="54" t="str" cm="1">
        <f t="array" aca="1" ref="AF1117" ca="1">IF(H1117=0,"",HYPERLINK("#"&amp;RIGHT(CELL("adresse",OFFSET('DM01-AV-CH'!$G$6,H1117-1,0)),LEN(CELL("adresse",OFFSET('DM01-AV-CH'!$G$6,H1117-1,0)))-FIND("]",CELL("adresse",OFFSET('DM01-AV-CH'!$G$6,H1117-1,0)))),"Modell"))</f>
        <v/>
      </c>
      <c r="AG1117" s="72" t="str" cm="1">
        <f t="array" ref="AG1117">IF($H1117=0,"",IF(INDEX('DM01-AV-CH'!G$6:G$834,$H1117)="","",INDEX('DM01-AV-CH'!G$6:G$834,$H1117)))</f>
        <v/>
      </c>
      <c r="AH1117" s="73" t="str" cm="1">
        <f t="array" ref="AH1117">IF($H1117=0,"",IF(INDEX('DM01-AV-CH'!H$6:H$834,$H1117)="","",INDEX('DM01-AV-CH'!H$6:H$834,$H1117)))</f>
        <v/>
      </c>
      <c r="AI1117" s="74" t="str" cm="1">
        <f t="array" ref="AI1117">IF($H1117=0,"",IF(INDEX('DM01-AV-CH'!I$6:I$834,$H1117)="","",INDEX('DM01-AV-CH'!I$6:I$834,$H1117)))</f>
        <v/>
      </c>
    </row>
    <row r="1118" spans="1:35" x14ac:dyDescent="0.25">
      <c r="A1118" s="57">
        <v>1113</v>
      </c>
      <c r="B1118" s="57">
        <f>IF($A1118="","",IF(_xlfn.XLOOKUP($A1118,Korrelation!$D$4:$D$1197,Korrelation!E$4:E$1197,"-",0)="-",0,MATCH(_xlfn.XLOOKUP($A1118,Korrelation!$D$4:$D$1197,Korrelation!E$4:E$1197,"",0),DMAV_Modell!$G$6:$G$677,0)))</f>
        <v>630</v>
      </c>
      <c r="C1118" s="57">
        <f>IF($A1118="","",IF(_xlfn.XLOOKUP($A1118,Korrelation!$D$4:$D$1197,Korrelation!F$4:F$1197,"-",0)="-",0,MATCH(_xlfn.XLOOKUP($A1118,Korrelation!$D$4:$D$1197,Korrelation!F$4:F$1197,"",0),DMAV_Modell!$G$6:$G$677,0)))</f>
        <v>0</v>
      </c>
      <c r="D1118" s="57">
        <f>IF($A1118="","",IF(_xlfn.XLOOKUP($A1118,Korrelation!$D$4:$D$1197,Korrelation!G$4:G$1197,"-",0)="-",0,MATCH(_xlfn.XLOOKUP($A1118,Korrelation!$D$4:$D$1197,Korrelation!G$4:G$1197,"",0),DMAV_Modell!$G$6:$G$677,0)))</f>
        <v>0</v>
      </c>
      <c r="E1118" s="57">
        <f>IF($A1118="","",IF(_xlfn.XLOOKUP($A1118,Korrelation!$D$4:$D$1197,Korrelation!H$4:H$1197,"-",0)="-",0,MATCH(_xlfn.XLOOKUP($A1118,Korrelation!$D$4:$D$1197,Korrelation!H$4:H$1197,"",0),DMAV_Dienste!$F$6:$F$140,0)))</f>
        <v>0</v>
      </c>
      <c r="F1118" s="57">
        <f>IF($A1118="","",IF(_xlfn.XLOOKUP($A1118,Korrelation!$D$4:$D$1197,Korrelation!I$4:I$1197,"-",0)="-",0,MATCH(_xlfn.XLOOKUP($A1118,Korrelation!$D$4:$D$1197,Korrelation!I$4:I$1197,"",0),DMAV_Dienste!$F$6:$F$140,0)))</f>
        <v>0</v>
      </c>
      <c r="G1118" s="57">
        <f>IF($A1118="","",IF(_xlfn.XLOOKUP($A1118,Korrelation!$D$4:$D$1197,Korrelation!J$4:J$1197,"-",0)="-",0,MATCH(_xlfn.XLOOKUP($A1118,Korrelation!$D$4:$D$1197,Korrelation!J$4:J$1197,"",0),DMAV_Dienste!$F$6:$F$140,0)))</f>
        <v>0</v>
      </c>
      <c r="H1118" s="57">
        <f>IF($A1118="","",IF(_xlfn.XLOOKUP($A1118,Korrelation!$D$4:$D$1197,Korrelation!K$4:K$1197,"-",0)="-",0,MATCH(_xlfn.XLOOKUP($A1118,Korrelation!$D$4:$D$1197,Korrelation!K$4:K$1197,"",0),'DM01-AV-CH'!$A$6:$A$834,0)))</f>
        <v>0</v>
      </c>
      <c r="J1118" s="54" t="str" cm="1">
        <f t="array" aca="1" ref="J1118" ca="1">IF(B1118=0,IF(E1118=0,"",HYPERLINK("#"&amp;RIGHT(CELL("adresse",OFFSET(DMAV_Dienste!$M$6,E1118-1,0)),LEN(CELL("adresse",OFFSET(DMAV_Dienste!$M$6,E1118-1,0)))-FIND("]",CELL("adresse",OFFSET(DMAV_Dienste!$M$6,E1118-1,0)))),"Dienst")),HYPERLINK("#"&amp;RIGHT(CELL("adresse",OFFSET(DMAV_Modell!$N$6,B1118-1,0)),LEN(CELL("adresse",OFFSET(DMAV_Modell!$N$6,B1118-1,0)))-FIND("]",CELL("adresse",OFFSET(DMAV_Modell!$N$6,B1118-1,0)))),"Modell"))</f>
        <v>Modell</v>
      </c>
      <c r="K1118" s="61" t="str" cm="1">
        <f t="array" ref="K1118">IF($B1118=0,IF($E1118=0,"",IF(INDEX(DMAV_Dienste!P$6:P$140,$E1118)="","",INDEX(DMAV_Dienste!P$6:P$140,$E1118))),IF(INDEX(DMAV_Modell!Q$6:Q$838,$B1118)="","",INDEX(DMAV_Modell!Q$6:Q$838,$B1118)))</f>
        <v>STRUCTURE</v>
      </c>
      <c r="L1118" s="62" t="str" cm="1">
        <f t="array" ref="L1118">IF($B1118=0,IF($E1118=0,"",IF(INDEX(DMAV_Dienste!O$6:O$140,$E1118)="","",INDEX(DMAV_Dienste!O$6:O$140,$E1118))),IF(INDEX(DMAV_Modell!P$6:P$838,$B1118)="","",INDEX(DMAV_Modell!P$6:P$838,$B1118)))</f>
        <v>Gebaeudeadressen</v>
      </c>
      <c r="M1118" s="62" t="str" cm="1">
        <f t="array" ref="M1118">IF($B1118=0,IF($E1118=0,"",IF(INDEX(DMAV_Dienste!Q$6:Q$140,$E1118)="","",INDEX(DMAV_Dienste!Q$6:Q$140,$E1118))),IF(INDEX(DMAV_Modell!R$6:R$838,$B1118)="","",INDEX(DMAV_Modell!R$6:R$838,$B1118)))</f>
        <v>BenanntesGebiet</v>
      </c>
      <c r="N1118" s="62" t="str" cm="1">
        <f t="array" ref="N1118">IF($B1118=0,IF($E1118=0,"",IF(INDEX(DMAV_Dienste!T$6:T$140,$E1118)="","",INDEX(DMAV_Dienste!T$6:T$140,$E1118))),IF(INDEX(DMAV_Modell!U$6:U$838,$B1118)="","",INDEX(DMAV_Modell!U$6:U$838,$B1118)))</f>
        <v>Geometrie</v>
      </c>
      <c r="O1118" s="63" t="str" cm="1">
        <f t="array" aca="1" ref="O1118" ca="1">IF(C1118=0,IF(F1118=0,"",HYPERLINK("#"&amp;RIGHT(CELL("adresse",OFFSET(DMAV_Dienste!$M$6,F1118-1,0)),LEN(CELL("adresse",OFFSET(DMAV_Dienste!$M$6,F1118-1,0)))-FIND("]",CELL("adresse",OFFSET(DMAV_Dienste!$M$6,F1118-1,0)))),"Structure")),HYPERLINK("#"&amp;RIGHT(CELL("adresse",OFFSET(DMAV_Modell!$N$6,C1118-1,0)),LEN(CELL("adresse",OFFSET(DMAV_Modell!$N$6,C1118-1,0)))-FIND("]",CELL("adresse",OFFSET(DMAV_Modell!$N$6,C1118-1,0)))),"Structure"))</f>
        <v/>
      </c>
      <c r="P1118" s="64" t="str" cm="1">
        <f t="array" aca="1" ref="P1118" ca="1">IF(D1118=0,IF(G1118=0,"",HYPERLINK("#"&amp;RIGHT(CELL("adresse",OFFSET(DMAV_Dienste!$M$6,G1118-1,0)),LEN(CELL("adresse",OFFSET(DMAV_Dienste!$M$6,G1118-1,0)))-FIND("]",CELL("adresse",OFFSET(DMAV_Dienste!$M$6,G1118-1,0)))),"Substructure")),HYPERLINK("#"&amp;RIGHT(CELL("adresse",OFFSET(DMAV_Modell!$N$6,D1118-1,0)),LEN(CELL("adresse",OFFSET(DMAV_Modell!$N$6,D1118-1,0)))-FIND("]",CELL("adresse",OFFSET(DMAV_Modell!$N$6,D1118-1,0)))),"Substructure"))</f>
        <v/>
      </c>
      <c r="R1118" s="80"/>
      <c r="T1118" s="93"/>
      <c r="U1118" s="94"/>
      <c r="V1118" s="95"/>
      <c r="W1118" s="96"/>
      <c r="Y1118" s="85"/>
      <c r="Z1118" s="86"/>
      <c r="AA1118" s="87"/>
      <c r="AB1118" s="88"/>
      <c r="AD1118" s="77"/>
      <c r="AF1118" s="54" t="str" cm="1">
        <f t="array" aca="1" ref="AF1118" ca="1">IF(H1118=0,"",HYPERLINK("#"&amp;RIGHT(CELL("adresse",OFFSET('DM01-AV-CH'!$G$6,H1118-1,0)),LEN(CELL("adresse",OFFSET('DM01-AV-CH'!$G$6,H1118-1,0)))-FIND("]",CELL("adresse",OFFSET('DM01-AV-CH'!$G$6,H1118-1,0)))),"Modell"))</f>
        <v/>
      </c>
      <c r="AG1118" s="72" t="str" cm="1">
        <f t="array" ref="AG1118">IF($H1118=0,"",IF(INDEX('DM01-AV-CH'!G$6:G$834,$H1118)="","",INDEX('DM01-AV-CH'!G$6:G$834,$H1118)))</f>
        <v/>
      </c>
      <c r="AH1118" s="73" t="str" cm="1">
        <f t="array" ref="AH1118">IF($H1118=0,"",IF(INDEX('DM01-AV-CH'!H$6:H$834,$H1118)="","",INDEX('DM01-AV-CH'!H$6:H$834,$H1118)))</f>
        <v/>
      </c>
      <c r="AI1118" s="74" t="str" cm="1">
        <f t="array" ref="AI1118">IF($H1118=0,"",IF(INDEX('DM01-AV-CH'!I$6:I$834,$H1118)="","",INDEX('DM01-AV-CH'!I$6:I$834,$H1118)))</f>
        <v/>
      </c>
    </row>
    <row r="1119" spans="1:35" x14ac:dyDescent="0.25">
      <c r="A1119" s="57">
        <v>1114</v>
      </c>
      <c r="B1119" s="57">
        <f>IF($A1119="","",IF(_xlfn.XLOOKUP($A1119,Korrelation!$D$4:$D$1197,Korrelation!E$4:E$1197,"-",0)="-",0,MATCH(_xlfn.XLOOKUP($A1119,Korrelation!$D$4:$D$1197,Korrelation!E$4:E$1197,"",0),DMAV_Modell!$G$6:$G$677,0)))</f>
        <v>631</v>
      </c>
      <c r="C1119" s="57">
        <f>IF($A1119="","",IF(_xlfn.XLOOKUP($A1119,Korrelation!$D$4:$D$1197,Korrelation!F$4:F$1197,"-",0)="-",0,MATCH(_xlfn.XLOOKUP($A1119,Korrelation!$D$4:$D$1197,Korrelation!F$4:F$1197,"",0),DMAV_Modell!$G$6:$G$677,0)))</f>
        <v>0</v>
      </c>
      <c r="D1119" s="57">
        <f>IF($A1119="","",IF(_xlfn.XLOOKUP($A1119,Korrelation!$D$4:$D$1197,Korrelation!G$4:G$1197,"-",0)="-",0,MATCH(_xlfn.XLOOKUP($A1119,Korrelation!$D$4:$D$1197,Korrelation!G$4:G$1197,"",0),DMAV_Modell!$G$6:$G$677,0)))</f>
        <v>0</v>
      </c>
      <c r="E1119" s="57">
        <f>IF($A1119="","",IF(_xlfn.XLOOKUP($A1119,Korrelation!$D$4:$D$1197,Korrelation!H$4:H$1197,"-",0)="-",0,MATCH(_xlfn.XLOOKUP($A1119,Korrelation!$D$4:$D$1197,Korrelation!H$4:H$1197,"",0),DMAV_Dienste!$F$6:$F$140,0)))</f>
        <v>0</v>
      </c>
      <c r="F1119" s="57">
        <f>IF($A1119="","",IF(_xlfn.XLOOKUP($A1119,Korrelation!$D$4:$D$1197,Korrelation!I$4:I$1197,"-",0)="-",0,MATCH(_xlfn.XLOOKUP($A1119,Korrelation!$D$4:$D$1197,Korrelation!I$4:I$1197,"",0),DMAV_Dienste!$F$6:$F$140,0)))</f>
        <v>0</v>
      </c>
      <c r="G1119" s="57">
        <f>IF($A1119="","",IF(_xlfn.XLOOKUP($A1119,Korrelation!$D$4:$D$1197,Korrelation!J$4:J$1197,"-",0)="-",0,MATCH(_xlfn.XLOOKUP($A1119,Korrelation!$D$4:$D$1197,Korrelation!J$4:J$1197,"",0),DMAV_Dienste!$F$6:$F$140,0)))</f>
        <v>0</v>
      </c>
      <c r="H1119" s="57">
        <f>IF($A1119="","",IF(_xlfn.XLOOKUP($A1119,Korrelation!$D$4:$D$1197,Korrelation!K$4:K$1197,"-",0)="-",0,MATCH(_xlfn.XLOOKUP($A1119,Korrelation!$D$4:$D$1197,Korrelation!K$4:K$1197,"",0),'DM01-AV-CH'!$A$6:$A$834,0)))</f>
        <v>0</v>
      </c>
      <c r="J1119" s="54" t="str" cm="1">
        <f t="array" aca="1" ref="J1119" ca="1">IF(B1119=0,IF(E1119=0,"",HYPERLINK("#"&amp;RIGHT(CELL("adresse",OFFSET(DMAV_Dienste!$M$6,E1119-1,0)),LEN(CELL("adresse",OFFSET(DMAV_Dienste!$M$6,E1119-1,0)))-FIND("]",CELL("adresse",OFFSET(DMAV_Dienste!$M$6,E1119-1,0)))),"Dienst")),HYPERLINK("#"&amp;RIGHT(CELL("adresse",OFFSET(DMAV_Modell!$N$6,B1119-1,0)),LEN(CELL("adresse",OFFSET(DMAV_Modell!$N$6,B1119-1,0)))-FIND("]",CELL("adresse",OFFSET(DMAV_Modell!$N$6,B1119-1,0)))),"Modell"))</f>
        <v>Modell</v>
      </c>
      <c r="K1119" s="61" t="str" cm="1">
        <f t="array" ref="K1119">IF($B1119=0,IF($E1119=0,"",IF(INDEX(DMAV_Dienste!P$6:P$140,$E1119)="","",INDEX(DMAV_Dienste!P$6:P$140,$E1119))),IF(INDEX(DMAV_Modell!Q$6:Q$838,$B1119)="","",INDEX(DMAV_Modell!Q$6:Q$838,$B1119)))</f>
        <v>STRUCTURE</v>
      </c>
      <c r="L1119" s="62" t="str" cm="1">
        <f t="array" ref="L1119">IF($B1119=0,IF($E1119=0,"",IF(INDEX(DMAV_Dienste!O$6:O$140,$E1119)="","",INDEX(DMAV_Dienste!O$6:O$140,$E1119))),IF(INDEX(DMAV_Modell!P$6:P$838,$B1119)="","",INDEX(DMAV_Modell!P$6:P$838,$B1119)))</f>
        <v>Gebaeudeadressen</v>
      </c>
      <c r="M1119" s="62" t="str" cm="1">
        <f t="array" ref="M1119">IF($B1119=0,IF($E1119=0,"",IF(INDEX(DMAV_Dienste!Q$6:Q$140,$E1119)="","",INDEX(DMAV_Dienste!Q$6:Q$140,$E1119))),IF(INDEX(DMAV_Modell!R$6:R$838,$B1119)="","",INDEX(DMAV_Modell!R$6:R$838,$B1119)))</f>
        <v>Strassenstueck</v>
      </c>
      <c r="N1119" s="62" t="str" cm="1">
        <f t="array" ref="N1119">IF($B1119=0,IF($E1119=0,"",IF(INDEX(DMAV_Dienste!T$6:T$140,$E1119)="","",INDEX(DMAV_Dienste!T$6:T$140,$E1119))),IF(INDEX(DMAV_Modell!U$6:U$838,$B1119)="","",INDEX(DMAV_Modell!U$6:U$838,$B1119)))</f>
        <v>Geometrie</v>
      </c>
      <c r="O1119" s="63" t="str" cm="1">
        <f t="array" aca="1" ref="O1119" ca="1">IF(C1119=0,IF(F1119=0,"",HYPERLINK("#"&amp;RIGHT(CELL("adresse",OFFSET(DMAV_Dienste!$M$6,F1119-1,0)),LEN(CELL("adresse",OFFSET(DMAV_Dienste!$M$6,F1119-1,0)))-FIND("]",CELL("adresse",OFFSET(DMAV_Dienste!$M$6,F1119-1,0)))),"Structure")),HYPERLINK("#"&amp;RIGHT(CELL("adresse",OFFSET(DMAV_Modell!$N$6,C1119-1,0)),LEN(CELL("adresse",OFFSET(DMAV_Modell!$N$6,C1119-1,0)))-FIND("]",CELL("adresse",OFFSET(DMAV_Modell!$N$6,C1119-1,0)))),"Structure"))</f>
        <v/>
      </c>
      <c r="P1119" s="64" t="str" cm="1">
        <f t="array" aca="1" ref="P1119" ca="1">IF(D1119=0,IF(G1119=0,"",HYPERLINK("#"&amp;RIGHT(CELL("adresse",OFFSET(DMAV_Dienste!$M$6,G1119-1,0)),LEN(CELL("adresse",OFFSET(DMAV_Dienste!$M$6,G1119-1,0)))-FIND("]",CELL("adresse",OFFSET(DMAV_Dienste!$M$6,G1119-1,0)))),"Substructure")),HYPERLINK("#"&amp;RIGHT(CELL("adresse",OFFSET(DMAV_Modell!$N$6,D1119-1,0)),LEN(CELL("adresse",OFFSET(DMAV_Modell!$N$6,D1119-1,0)))-FIND("]",CELL("adresse",OFFSET(DMAV_Modell!$N$6,D1119-1,0)))),"Substructure"))</f>
        <v/>
      </c>
      <c r="R1119" s="80"/>
      <c r="T1119" s="93"/>
      <c r="U1119" s="94"/>
      <c r="V1119" s="95"/>
      <c r="W1119" s="96"/>
      <c r="Y1119" s="85"/>
      <c r="Z1119" s="86"/>
      <c r="AA1119" s="87"/>
      <c r="AB1119" s="88"/>
      <c r="AD1119" s="77"/>
      <c r="AF1119" s="54" t="str" cm="1">
        <f t="array" aca="1" ref="AF1119" ca="1">IF(H1119=0,"",HYPERLINK("#"&amp;RIGHT(CELL("adresse",OFFSET('DM01-AV-CH'!$G$6,H1119-1,0)),LEN(CELL("adresse",OFFSET('DM01-AV-CH'!$G$6,H1119-1,0)))-FIND("]",CELL("adresse",OFFSET('DM01-AV-CH'!$G$6,H1119-1,0)))),"Modell"))</f>
        <v/>
      </c>
      <c r="AG1119" s="72" t="str" cm="1">
        <f t="array" ref="AG1119">IF($H1119=0,"",IF(INDEX('DM01-AV-CH'!G$6:G$834,$H1119)="","",INDEX('DM01-AV-CH'!G$6:G$834,$H1119)))</f>
        <v/>
      </c>
      <c r="AH1119" s="73" t="str" cm="1">
        <f t="array" ref="AH1119">IF($H1119=0,"",IF(INDEX('DM01-AV-CH'!H$6:H$834,$H1119)="","",INDEX('DM01-AV-CH'!H$6:H$834,$H1119)))</f>
        <v/>
      </c>
      <c r="AI1119" s="74" t="str" cm="1">
        <f t="array" ref="AI1119">IF($H1119=0,"",IF(INDEX('DM01-AV-CH'!I$6:I$834,$H1119)="","",INDEX('DM01-AV-CH'!I$6:I$834,$H1119)))</f>
        <v/>
      </c>
    </row>
    <row r="1120" spans="1:35" x14ac:dyDescent="0.25">
      <c r="A1120" s="57">
        <v>1115</v>
      </c>
      <c r="B1120" s="57">
        <f>IF($A1120="","",IF(_xlfn.XLOOKUP($A1120,Korrelation!$D$4:$D$1197,Korrelation!E$4:E$1197,"-",0)="-",0,MATCH(_xlfn.XLOOKUP($A1120,Korrelation!$D$4:$D$1197,Korrelation!E$4:E$1197,"",0),DMAV_Modell!$G$6:$G$677,0)))</f>
        <v>632</v>
      </c>
      <c r="C1120" s="57">
        <f>IF($A1120="","",IF(_xlfn.XLOOKUP($A1120,Korrelation!$D$4:$D$1197,Korrelation!F$4:F$1197,"-",0)="-",0,MATCH(_xlfn.XLOOKUP($A1120,Korrelation!$D$4:$D$1197,Korrelation!F$4:F$1197,"",0),DMAV_Modell!$G$6:$G$677,0)))</f>
        <v>0</v>
      </c>
      <c r="D1120" s="57">
        <f>IF($A1120="","",IF(_xlfn.XLOOKUP($A1120,Korrelation!$D$4:$D$1197,Korrelation!G$4:G$1197,"-",0)="-",0,MATCH(_xlfn.XLOOKUP($A1120,Korrelation!$D$4:$D$1197,Korrelation!G$4:G$1197,"",0),DMAV_Modell!$G$6:$G$677,0)))</f>
        <v>0</v>
      </c>
      <c r="E1120" s="57">
        <f>IF($A1120="","",IF(_xlfn.XLOOKUP($A1120,Korrelation!$D$4:$D$1197,Korrelation!H$4:H$1197,"-",0)="-",0,MATCH(_xlfn.XLOOKUP($A1120,Korrelation!$D$4:$D$1197,Korrelation!H$4:H$1197,"",0),DMAV_Dienste!$F$6:$F$140,0)))</f>
        <v>0</v>
      </c>
      <c r="F1120" s="57">
        <f>IF($A1120="","",IF(_xlfn.XLOOKUP($A1120,Korrelation!$D$4:$D$1197,Korrelation!I$4:I$1197,"-",0)="-",0,MATCH(_xlfn.XLOOKUP($A1120,Korrelation!$D$4:$D$1197,Korrelation!I$4:I$1197,"",0),DMAV_Dienste!$F$6:$F$140,0)))</f>
        <v>0</v>
      </c>
      <c r="G1120" s="57">
        <f>IF($A1120="","",IF(_xlfn.XLOOKUP($A1120,Korrelation!$D$4:$D$1197,Korrelation!J$4:J$1197,"-",0)="-",0,MATCH(_xlfn.XLOOKUP($A1120,Korrelation!$D$4:$D$1197,Korrelation!J$4:J$1197,"",0),DMAV_Dienste!$F$6:$F$140,0)))</f>
        <v>0</v>
      </c>
      <c r="H1120" s="57">
        <f>IF($A1120="","",IF(_xlfn.XLOOKUP($A1120,Korrelation!$D$4:$D$1197,Korrelation!K$4:K$1197,"-",0)="-",0,MATCH(_xlfn.XLOOKUP($A1120,Korrelation!$D$4:$D$1197,Korrelation!K$4:K$1197,"",0),'DM01-AV-CH'!$A$6:$A$834,0)))</f>
        <v>0</v>
      </c>
      <c r="J1120" s="54" t="str" cm="1">
        <f t="array" aca="1" ref="J1120" ca="1">IF(B1120=0,IF(E1120=0,"",HYPERLINK("#"&amp;RIGHT(CELL("adresse",OFFSET(DMAV_Dienste!$M$6,E1120-1,0)),LEN(CELL("adresse",OFFSET(DMAV_Dienste!$M$6,E1120-1,0)))-FIND("]",CELL("adresse",OFFSET(DMAV_Dienste!$M$6,E1120-1,0)))),"Dienst")),HYPERLINK("#"&amp;RIGHT(CELL("adresse",OFFSET(DMAV_Modell!$N$6,B1120-1,0)),LEN(CELL("adresse",OFFSET(DMAV_Modell!$N$6,B1120-1,0)))-FIND("]",CELL("adresse",OFFSET(DMAV_Modell!$N$6,B1120-1,0)))),"Modell"))</f>
        <v>Modell</v>
      </c>
      <c r="K1120" s="61" t="str" cm="1">
        <f t="array" ref="K1120">IF($B1120=0,IF($E1120=0,"",IF(INDEX(DMAV_Dienste!P$6:P$140,$E1120)="","",INDEX(DMAV_Dienste!P$6:P$140,$E1120))),IF(INDEX(DMAV_Modell!Q$6:Q$838,$B1120)="","",INDEX(DMAV_Modell!Q$6:Q$838,$B1120)))</f>
        <v>STRUCTURE</v>
      </c>
      <c r="L1120" s="62" t="str" cm="1">
        <f t="array" ref="L1120">IF($B1120=0,IF($E1120=0,"",IF(INDEX(DMAV_Dienste!O$6:O$140,$E1120)="","",INDEX(DMAV_Dienste!O$6:O$140,$E1120))),IF(INDEX(DMAV_Modell!P$6:P$838,$B1120)="","",INDEX(DMAV_Modell!P$6:P$838,$B1120)))</f>
        <v>Gebaeudeadressen</v>
      </c>
      <c r="M1120" s="62" t="str" cm="1">
        <f t="array" ref="M1120">IF($B1120=0,IF($E1120=0,"",IF(INDEX(DMAV_Dienste!Q$6:Q$140,$E1120)="","",INDEX(DMAV_Dienste!Q$6:Q$140,$E1120))),IF(INDEX(DMAV_Modell!R$6:R$838,$B1120)="","",INDEX(DMAV_Modell!R$6:R$838,$B1120)))</f>
        <v>Strassenstueck</v>
      </c>
      <c r="N1120" s="62" t="str" cm="1">
        <f t="array" ref="N1120">IF($B1120=0,IF($E1120=0,"",IF(INDEX(DMAV_Dienste!T$6:T$140,$E1120)="","",INDEX(DMAV_Dienste!T$6:T$140,$E1120))),IF(INDEX(DMAV_Modell!U$6:U$838,$B1120)="","",INDEX(DMAV_Modell!U$6:U$838,$B1120)))</f>
        <v>IstAchse</v>
      </c>
      <c r="O1120" s="63" t="str" cm="1">
        <f t="array" aca="1" ref="O1120" ca="1">IF(C1120=0,IF(F1120=0,"",HYPERLINK("#"&amp;RIGHT(CELL("adresse",OFFSET(DMAV_Dienste!$M$6,F1120-1,0)),LEN(CELL("adresse",OFFSET(DMAV_Dienste!$M$6,F1120-1,0)))-FIND("]",CELL("adresse",OFFSET(DMAV_Dienste!$M$6,F1120-1,0)))),"Structure")),HYPERLINK("#"&amp;RIGHT(CELL("adresse",OFFSET(DMAV_Modell!$N$6,C1120-1,0)),LEN(CELL("adresse",OFFSET(DMAV_Modell!$N$6,C1120-1,0)))-FIND("]",CELL("adresse",OFFSET(DMAV_Modell!$N$6,C1120-1,0)))),"Structure"))</f>
        <v/>
      </c>
      <c r="P1120" s="64" t="str" cm="1">
        <f t="array" aca="1" ref="P1120" ca="1">IF(D1120=0,IF(G1120=0,"",HYPERLINK("#"&amp;RIGHT(CELL("adresse",OFFSET(DMAV_Dienste!$M$6,G1120-1,0)),LEN(CELL("adresse",OFFSET(DMAV_Dienste!$M$6,G1120-1,0)))-FIND("]",CELL("adresse",OFFSET(DMAV_Dienste!$M$6,G1120-1,0)))),"Substructure")),HYPERLINK("#"&amp;RIGHT(CELL("adresse",OFFSET(DMAV_Modell!$N$6,D1120-1,0)),LEN(CELL("adresse",OFFSET(DMAV_Modell!$N$6,D1120-1,0)))-FIND("]",CELL("adresse",OFFSET(DMAV_Modell!$N$6,D1120-1,0)))),"Substructure"))</f>
        <v/>
      </c>
      <c r="R1120" s="80"/>
      <c r="T1120" s="93"/>
      <c r="U1120" s="94"/>
      <c r="V1120" s="95"/>
      <c r="W1120" s="96"/>
      <c r="Y1120" s="85"/>
      <c r="Z1120" s="86"/>
      <c r="AA1120" s="87"/>
      <c r="AB1120" s="88"/>
      <c r="AD1120" s="77"/>
      <c r="AF1120" s="54" t="str" cm="1">
        <f t="array" aca="1" ref="AF1120" ca="1">IF(H1120=0,"",HYPERLINK("#"&amp;RIGHT(CELL("adresse",OFFSET('DM01-AV-CH'!$G$6,H1120-1,0)),LEN(CELL("adresse",OFFSET('DM01-AV-CH'!$G$6,H1120-1,0)))-FIND("]",CELL("adresse",OFFSET('DM01-AV-CH'!$G$6,H1120-1,0)))),"Modell"))</f>
        <v/>
      </c>
      <c r="AG1120" s="72" t="str" cm="1">
        <f t="array" ref="AG1120">IF($H1120=0,"",IF(INDEX('DM01-AV-CH'!G$6:G$834,$H1120)="","",INDEX('DM01-AV-CH'!G$6:G$834,$H1120)))</f>
        <v/>
      </c>
      <c r="AH1120" s="73" t="str" cm="1">
        <f t="array" ref="AH1120">IF($H1120=0,"",IF(INDEX('DM01-AV-CH'!H$6:H$834,$H1120)="","",INDEX('DM01-AV-CH'!H$6:H$834,$H1120)))</f>
        <v/>
      </c>
      <c r="AI1120" s="74" t="str" cm="1">
        <f t="array" ref="AI1120">IF($H1120=0,"",IF(INDEX('DM01-AV-CH'!I$6:I$834,$H1120)="","",INDEX('DM01-AV-CH'!I$6:I$834,$H1120)))</f>
        <v/>
      </c>
    </row>
    <row r="1121" spans="1:35" x14ac:dyDescent="0.25">
      <c r="A1121" s="57">
        <v>1116</v>
      </c>
      <c r="B1121" s="57">
        <f>IF($A1121="","",IF(_xlfn.XLOOKUP($A1121,Korrelation!$D$4:$D$1197,Korrelation!E$4:E$1197,"-",0)="-",0,MATCH(_xlfn.XLOOKUP($A1121,Korrelation!$D$4:$D$1197,Korrelation!E$4:E$1197,"",0),DMAV_Modell!$G$6:$G$677,0)))</f>
        <v>0</v>
      </c>
      <c r="C1121" s="57">
        <f>IF($A1121="","",IF(_xlfn.XLOOKUP($A1121,Korrelation!$D$4:$D$1197,Korrelation!F$4:F$1197,"-",0)="-",0,MATCH(_xlfn.XLOOKUP($A1121,Korrelation!$D$4:$D$1197,Korrelation!F$4:F$1197,"",0),DMAV_Modell!$G$6:$G$677,0)))</f>
        <v>0</v>
      </c>
      <c r="D1121" s="57">
        <f>IF($A1121="","",IF(_xlfn.XLOOKUP($A1121,Korrelation!$D$4:$D$1197,Korrelation!G$4:G$1197,"-",0)="-",0,MATCH(_xlfn.XLOOKUP($A1121,Korrelation!$D$4:$D$1197,Korrelation!G$4:G$1197,"",0),DMAV_Modell!$G$6:$G$677,0)))</f>
        <v>0</v>
      </c>
      <c r="E1121" s="57">
        <f>IF($A1121="","",IF(_xlfn.XLOOKUP($A1121,Korrelation!$D$4:$D$1197,Korrelation!H$4:H$1197,"-",0)="-",0,MATCH(_xlfn.XLOOKUP($A1121,Korrelation!$D$4:$D$1197,Korrelation!H$4:H$1197,"",0),DMAV_Dienste!$F$6:$F$140,0)))</f>
        <v>0</v>
      </c>
      <c r="F1121" s="57">
        <f>IF($A1121="","",IF(_xlfn.XLOOKUP($A1121,Korrelation!$D$4:$D$1197,Korrelation!I$4:I$1197,"-",0)="-",0,MATCH(_xlfn.XLOOKUP($A1121,Korrelation!$D$4:$D$1197,Korrelation!I$4:I$1197,"",0),DMAV_Dienste!$F$6:$F$140,0)))</f>
        <v>0</v>
      </c>
      <c r="G1121" s="57">
        <f>IF($A1121="","",IF(_xlfn.XLOOKUP($A1121,Korrelation!$D$4:$D$1197,Korrelation!J$4:J$1197,"-",0)="-",0,MATCH(_xlfn.XLOOKUP($A1121,Korrelation!$D$4:$D$1197,Korrelation!J$4:J$1197,"",0),DMAV_Dienste!$F$6:$F$140,0)))</f>
        <v>0</v>
      </c>
      <c r="H1121" s="57">
        <f>IF($A1121="","",IF(_xlfn.XLOOKUP($A1121,Korrelation!$D$4:$D$1197,Korrelation!K$4:K$1197,"-",0)="-",0,MATCH(_xlfn.XLOOKUP($A1121,Korrelation!$D$4:$D$1197,Korrelation!K$4:K$1197,"",0),'DM01-AV-CH'!$A$6:$A$834,0)))</f>
        <v>704</v>
      </c>
      <c r="J1121" s="54" t="str" cm="1">
        <f t="array" aca="1" ref="J1121" ca="1">IF(B1121=0,IF(E1121=0,"",HYPERLINK("#"&amp;RIGHT(CELL("adresse",OFFSET(DMAV_Dienste!$M$6,E1121-1,0)),LEN(CELL("adresse",OFFSET(DMAV_Dienste!$M$6,E1121-1,0)))-FIND("]",CELL("adresse",OFFSET(DMAV_Dienste!$M$6,E1121-1,0)))),"Dienst")),HYPERLINK("#"&amp;RIGHT(CELL("adresse",OFFSET(DMAV_Modell!$N$6,B1121-1,0)),LEN(CELL("adresse",OFFSET(DMAV_Modell!$N$6,B1121-1,0)))-FIND("]",CELL("adresse",OFFSET(DMAV_Modell!$N$6,B1121-1,0)))),"Modell"))</f>
        <v/>
      </c>
      <c r="K1121" s="61" t="str" cm="1">
        <f t="array" ref="K1121">IF($B1121=0,IF($E1121=0,"",IF(INDEX(DMAV_Dienste!P$6:P$140,$E1121)="","",INDEX(DMAV_Dienste!P$6:P$140,$E1121))),IF(INDEX(DMAV_Modell!Q$6:Q$838,$B1121)="","",INDEX(DMAV_Modell!Q$6:Q$838,$B1121)))</f>
        <v/>
      </c>
      <c r="L1121" s="62" t="str" cm="1">
        <f t="array" ref="L1121">IF($B1121=0,IF($E1121=0,"",IF(INDEX(DMAV_Dienste!O$6:O$140,$E1121)="","",INDEX(DMAV_Dienste!O$6:O$140,$E1121))),IF(INDEX(DMAV_Modell!P$6:P$838,$B1121)="","",INDEX(DMAV_Modell!P$6:P$838,$B1121)))</f>
        <v/>
      </c>
      <c r="M1121" s="62" t="str" cm="1">
        <f t="array" ref="M1121">IF($B1121=0,IF($E1121=0,"",IF(INDEX(DMAV_Dienste!Q$6:Q$140,$E1121)="","",INDEX(DMAV_Dienste!Q$6:Q$140,$E1121))),IF(INDEX(DMAV_Modell!R$6:R$838,$B1121)="","",INDEX(DMAV_Modell!R$6:R$838,$B1121)))</f>
        <v/>
      </c>
      <c r="N1121" s="62" t="str" cm="1">
        <f t="array" ref="N1121">IF($B1121=0,IF($E1121=0,"",IF(INDEX(DMAV_Dienste!T$6:T$140,$E1121)="","",INDEX(DMAV_Dienste!T$6:T$140,$E1121))),IF(INDEX(DMAV_Modell!U$6:U$838,$B1121)="","",INDEX(DMAV_Modell!U$6:U$838,$B1121)))</f>
        <v/>
      </c>
      <c r="O1121" s="63" t="str" cm="1">
        <f t="array" aca="1" ref="O1121" ca="1">IF(C1121=0,IF(F1121=0,"",HYPERLINK("#"&amp;RIGHT(CELL("adresse",OFFSET(DMAV_Dienste!$M$6,F1121-1,0)),LEN(CELL("adresse",OFFSET(DMAV_Dienste!$M$6,F1121-1,0)))-FIND("]",CELL("adresse",OFFSET(DMAV_Dienste!$M$6,F1121-1,0)))),"Structure")),HYPERLINK("#"&amp;RIGHT(CELL("adresse",OFFSET(DMAV_Modell!$N$6,C1121-1,0)),LEN(CELL("adresse",OFFSET(DMAV_Modell!$N$6,C1121-1,0)))-FIND("]",CELL("adresse",OFFSET(DMAV_Modell!$N$6,C1121-1,0)))),"Structure"))</f>
        <v/>
      </c>
      <c r="P1121" s="64" t="str" cm="1">
        <f t="array" aca="1" ref="P1121" ca="1">IF(D1121=0,IF(G1121=0,"",HYPERLINK("#"&amp;RIGHT(CELL("adresse",OFFSET(DMAV_Dienste!$M$6,G1121-1,0)),LEN(CELL("adresse",OFFSET(DMAV_Dienste!$M$6,G1121-1,0)))-FIND("]",CELL("adresse",OFFSET(DMAV_Dienste!$M$6,G1121-1,0)))),"Substructure")),HYPERLINK("#"&amp;RIGHT(CELL("adresse",OFFSET(DMAV_Modell!$N$6,D1121-1,0)),LEN(CELL("adresse",OFFSET(DMAV_Modell!$N$6,D1121-1,0)))-FIND("]",CELL("adresse",OFFSET(DMAV_Modell!$N$6,D1121-1,0)))),"Substructure"))</f>
        <v/>
      </c>
      <c r="R1121" s="80"/>
      <c r="T1121" s="93"/>
      <c r="U1121" s="94"/>
      <c r="V1121" s="95"/>
      <c r="W1121" s="96"/>
      <c r="Y1121" s="85"/>
      <c r="Z1121" s="86"/>
      <c r="AA1121" s="87"/>
      <c r="AB1121" s="88"/>
      <c r="AD1121" s="77"/>
      <c r="AF1121" s="54" t="str" cm="1">
        <f t="array" aca="1" ref="AF1121" ca="1">IF(H1121=0,"",HYPERLINK("#"&amp;RIGHT(CELL("adresse",OFFSET('DM01-AV-CH'!$G$6,H1121-1,0)),LEN(CELL("adresse",OFFSET('DM01-AV-CH'!$G$6,H1121-1,0)))-FIND("]",CELL("adresse",OFFSET('DM01-AV-CH'!$G$6,H1121-1,0)))),"Modell"))</f>
        <v>Modell</v>
      </c>
      <c r="AG1121" s="72" t="str" cm="1">
        <f t="array" ref="AG1121">IF($H1121=0,"",IF(INDEX('DM01-AV-CH'!G$6:G$834,$H1121)="","",INDEX('DM01-AV-CH'!G$6:G$834,$H1121)))</f>
        <v>Gebaeudeadressen</v>
      </c>
      <c r="AH1121" s="73" t="str" cm="1">
        <f t="array" ref="AH1121">IF($H1121=0,"",IF(INDEX('DM01-AV-CH'!H$6:H$834,$H1121)="","",INDEX('DM01-AV-CH'!H$6:H$834,$H1121)))</f>
        <v>Lokalisation</v>
      </c>
      <c r="AI1121" s="74" t="str" cm="1">
        <f t="array" ref="AI1121">IF($H1121=0,"",IF(INDEX('DM01-AV-CH'!I$6:I$834,$H1121)="","",INDEX('DM01-AV-CH'!I$6:I$834,$H1121)))</f>
        <v>Entstehung</v>
      </c>
    </row>
    <row r="1122" spans="1:35" x14ac:dyDescent="0.25">
      <c r="A1122" s="57">
        <v>1117</v>
      </c>
      <c r="B1122" s="57">
        <f>IF($A1122="","",IF(_xlfn.XLOOKUP($A1122,Korrelation!$D$4:$D$1197,Korrelation!E$4:E$1197,"-",0)="-",0,MATCH(_xlfn.XLOOKUP($A1122,Korrelation!$D$4:$D$1197,Korrelation!E$4:E$1197,"",0),DMAV_Modell!$G$6:$G$677,0)))</f>
        <v>633</v>
      </c>
      <c r="C1122" s="57">
        <f>IF($A1122="","",IF(_xlfn.XLOOKUP($A1122,Korrelation!$D$4:$D$1197,Korrelation!F$4:F$1197,"-",0)="-",0,MATCH(_xlfn.XLOOKUP($A1122,Korrelation!$D$4:$D$1197,Korrelation!F$4:F$1197,"",0),DMAV_Modell!$G$6:$G$677,0)))</f>
        <v>0</v>
      </c>
      <c r="D1122" s="57">
        <f>IF($A1122="","",IF(_xlfn.XLOOKUP($A1122,Korrelation!$D$4:$D$1197,Korrelation!G$4:G$1197,"-",0)="-",0,MATCH(_xlfn.XLOOKUP($A1122,Korrelation!$D$4:$D$1197,Korrelation!G$4:G$1197,"",0),DMAV_Modell!$G$6:$G$677,0)))</f>
        <v>0</v>
      </c>
      <c r="E1122" s="57">
        <f>IF($A1122="","",IF(_xlfn.XLOOKUP($A1122,Korrelation!$D$4:$D$1197,Korrelation!H$4:H$1197,"-",0)="-",0,MATCH(_xlfn.XLOOKUP($A1122,Korrelation!$D$4:$D$1197,Korrelation!H$4:H$1197,"",0),DMAV_Dienste!$F$6:$F$140,0)))</f>
        <v>0</v>
      </c>
      <c r="F1122" s="57">
        <f>IF($A1122="","",IF(_xlfn.XLOOKUP($A1122,Korrelation!$D$4:$D$1197,Korrelation!I$4:I$1197,"-",0)="-",0,MATCH(_xlfn.XLOOKUP($A1122,Korrelation!$D$4:$D$1197,Korrelation!I$4:I$1197,"",0),DMAV_Dienste!$F$6:$F$140,0)))</f>
        <v>0</v>
      </c>
      <c r="G1122" s="57">
        <f>IF($A1122="","",IF(_xlfn.XLOOKUP($A1122,Korrelation!$D$4:$D$1197,Korrelation!J$4:J$1197,"-",0)="-",0,MATCH(_xlfn.XLOOKUP($A1122,Korrelation!$D$4:$D$1197,Korrelation!J$4:J$1197,"",0),DMAV_Dienste!$F$6:$F$140,0)))</f>
        <v>0</v>
      </c>
      <c r="H1122" s="57">
        <f>IF($A1122="","",IF(_xlfn.XLOOKUP($A1122,Korrelation!$D$4:$D$1197,Korrelation!K$4:K$1197,"-",0)="-",0,MATCH(_xlfn.XLOOKUP($A1122,Korrelation!$D$4:$D$1197,Korrelation!K$4:K$1197,"",0),'DM01-AV-CH'!$A$6:$A$834,0)))</f>
        <v>706</v>
      </c>
      <c r="J1122" s="54" t="str" cm="1">
        <f t="array" aca="1" ref="J1122" ca="1">IF(B1122=0,IF(E1122=0,"",HYPERLINK("#"&amp;RIGHT(CELL("adresse",OFFSET(DMAV_Dienste!$M$6,E1122-1,0)),LEN(CELL("adresse",OFFSET(DMAV_Dienste!$M$6,E1122-1,0)))-FIND("]",CELL("adresse",OFFSET(DMAV_Dienste!$M$6,E1122-1,0)))),"Dienst")),HYPERLINK("#"&amp;RIGHT(CELL("adresse",OFFSET(DMAV_Modell!$N$6,B1122-1,0)),LEN(CELL("adresse",OFFSET(DMAV_Modell!$N$6,B1122-1,0)))-FIND("]",CELL("adresse",OFFSET(DMAV_Modell!$N$6,B1122-1,0)))),"Modell"))</f>
        <v>Modell</v>
      </c>
      <c r="K1122" s="61" t="str" cm="1">
        <f t="array" ref="K1122">IF($B1122=0,IF($E1122=0,"",IF(INDEX(DMAV_Dienste!P$6:P$140,$E1122)="","",INDEX(DMAV_Dienste!P$6:P$140,$E1122))),IF(INDEX(DMAV_Modell!Q$6:Q$838,$B1122)="","",INDEX(DMAV_Modell!Q$6:Q$838,$B1122)))</f>
        <v>CLASS</v>
      </c>
      <c r="L1122" s="62" t="str" cm="1">
        <f t="array" ref="L1122">IF($B1122=0,IF($E1122=0,"",IF(INDEX(DMAV_Dienste!O$6:O$140,$E1122)="","",INDEX(DMAV_Dienste!O$6:O$140,$E1122))),IF(INDEX(DMAV_Modell!P$6:P$838,$B1122)="","",INDEX(DMAV_Modell!P$6:P$838,$B1122)))</f>
        <v>Gebaeudeadressen</v>
      </c>
      <c r="M1122" s="62" t="str" cm="1">
        <f t="array" ref="M1122">IF($B1122=0,IF($E1122=0,"",IF(INDEX(DMAV_Dienste!Q$6:Q$140,$E1122)="","",INDEX(DMAV_Dienste!Q$6:Q$140,$E1122))),IF(INDEX(DMAV_Modell!R$6:R$838,$B1122)="","",INDEX(DMAV_Modell!R$6:R$838,$B1122)))</f>
        <v>Lokalisation</v>
      </c>
      <c r="N1122" s="62" t="str" cm="1">
        <f t="array" ref="N1122">IF($B1122=0,IF($E1122=0,"",IF(INDEX(DMAV_Dienste!T$6:T$140,$E1122)="","",INDEX(DMAV_Dienste!T$6:T$140,$E1122))),IF(INDEX(DMAV_Modell!U$6:U$838,$B1122)="","",INDEX(DMAV_Modell!U$6:U$838,$B1122)))</f>
        <v>LokalisationNummer</v>
      </c>
      <c r="O1122" s="63" t="str" cm="1">
        <f t="array" aca="1" ref="O1122" ca="1">IF(C1122=0,IF(F1122=0,"",HYPERLINK("#"&amp;RIGHT(CELL("adresse",OFFSET(DMAV_Dienste!$M$6,F1122-1,0)),LEN(CELL("adresse",OFFSET(DMAV_Dienste!$M$6,F1122-1,0)))-FIND("]",CELL("adresse",OFFSET(DMAV_Dienste!$M$6,F1122-1,0)))),"Structure")),HYPERLINK("#"&amp;RIGHT(CELL("adresse",OFFSET(DMAV_Modell!$N$6,C1122-1,0)),LEN(CELL("adresse",OFFSET(DMAV_Modell!$N$6,C1122-1,0)))-FIND("]",CELL("adresse",OFFSET(DMAV_Modell!$N$6,C1122-1,0)))),"Structure"))</f>
        <v/>
      </c>
      <c r="P1122" s="64" t="str" cm="1">
        <f t="array" aca="1" ref="P1122" ca="1">IF(D1122=0,IF(G1122=0,"",HYPERLINK("#"&amp;RIGHT(CELL("adresse",OFFSET(DMAV_Dienste!$M$6,G1122-1,0)),LEN(CELL("adresse",OFFSET(DMAV_Dienste!$M$6,G1122-1,0)))-FIND("]",CELL("adresse",OFFSET(DMAV_Dienste!$M$6,G1122-1,0)))),"Substructure")),HYPERLINK("#"&amp;RIGHT(CELL("adresse",OFFSET(DMAV_Modell!$N$6,D1122-1,0)),LEN(CELL("adresse",OFFSET(DMAV_Modell!$N$6,D1122-1,0)))-FIND("]",CELL("adresse",OFFSET(DMAV_Modell!$N$6,D1122-1,0)))),"Substructure"))</f>
        <v/>
      </c>
      <c r="R1122" s="80"/>
      <c r="T1122" s="93"/>
      <c r="U1122" s="94"/>
      <c r="V1122" s="95"/>
      <c r="W1122" s="96"/>
      <c r="Y1122" s="85"/>
      <c r="Z1122" s="86"/>
      <c r="AA1122" s="87"/>
      <c r="AB1122" s="88"/>
      <c r="AD1122" s="77"/>
      <c r="AF1122" s="54" t="str" cm="1">
        <f t="array" aca="1" ref="AF1122" ca="1">IF(H1122=0,"",HYPERLINK("#"&amp;RIGHT(CELL("adresse",OFFSET('DM01-AV-CH'!$G$6,H1122-1,0)),LEN(CELL("adresse",OFFSET('DM01-AV-CH'!$G$6,H1122-1,0)))-FIND("]",CELL("adresse",OFFSET('DM01-AV-CH'!$G$6,H1122-1,0)))),"Modell"))</f>
        <v>Modell</v>
      </c>
      <c r="AG1122" s="72" t="str" cm="1">
        <f t="array" ref="AG1122">IF($H1122=0,"",IF(INDEX('DM01-AV-CH'!G$6:G$834,$H1122)="","",INDEX('DM01-AV-CH'!G$6:G$834,$H1122)))</f>
        <v>Gebaeudeadressen</v>
      </c>
      <c r="AH1122" s="73" t="str" cm="1">
        <f t="array" ref="AH1122">IF($H1122=0,"",IF(INDEX('DM01-AV-CH'!H$6:H$834,$H1122)="","",INDEX('DM01-AV-CH'!H$6:H$834,$H1122)))</f>
        <v>Lokalisation</v>
      </c>
      <c r="AI1122" s="74" t="str" cm="1">
        <f t="array" ref="AI1122">IF($H1122=0,"",IF(INDEX('DM01-AV-CH'!I$6:I$834,$H1122)="","",INDEX('DM01-AV-CH'!I$6:I$834,$H1122)))</f>
        <v>LokalisationNummer</v>
      </c>
    </row>
    <row r="1123" spans="1:35" ht="28.5" x14ac:dyDescent="0.25">
      <c r="A1123" s="57">
        <v>1118</v>
      </c>
      <c r="B1123" s="57">
        <f>IF($A1123="","",IF(_xlfn.XLOOKUP($A1123,Korrelation!$D$4:$D$1197,Korrelation!E$4:E$1197,"-",0)="-",0,MATCH(_xlfn.XLOOKUP($A1123,Korrelation!$D$4:$D$1197,Korrelation!E$4:E$1197,"",0),DMAV_Modell!$G$6:$G$677,0)))</f>
        <v>634</v>
      </c>
      <c r="C1123" s="57">
        <f>IF($A1123="","",IF(_xlfn.XLOOKUP($A1123,Korrelation!$D$4:$D$1197,Korrelation!F$4:F$1197,"-",0)="-",0,MATCH(_xlfn.XLOOKUP($A1123,Korrelation!$D$4:$D$1197,Korrelation!F$4:F$1197,"",0),DMAV_Modell!$G$6:$G$677,0)))</f>
        <v>0</v>
      </c>
      <c r="D1123" s="57">
        <f>IF($A1123="","",IF(_xlfn.XLOOKUP($A1123,Korrelation!$D$4:$D$1197,Korrelation!G$4:G$1197,"-",0)="-",0,MATCH(_xlfn.XLOOKUP($A1123,Korrelation!$D$4:$D$1197,Korrelation!G$4:G$1197,"",0),DMAV_Modell!$G$6:$G$677,0)))</f>
        <v>0</v>
      </c>
      <c r="E1123" s="57">
        <f>IF($A1123="","",IF(_xlfn.XLOOKUP($A1123,Korrelation!$D$4:$D$1197,Korrelation!H$4:H$1197,"-",0)="-",0,MATCH(_xlfn.XLOOKUP($A1123,Korrelation!$D$4:$D$1197,Korrelation!H$4:H$1197,"",0),DMAV_Dienste!$F$6:$F$140,0)))</f>
        <v>0</v>
      </c>
      <c r="F1123" s="57">
        <f>IF($A1123="","",IF(_xlfn.XLOOKUP($A1123,Korrelation!$D$4:$D$1197,Korrelation!I$4:I$1197,"-",0)="-",0,MATCH(_xlfn.XLOOKUP($A1123,Korrelation!$D$4:$D$1197,Korrelation!I$4:I$1197,"",0),DMAV_Dienste!$F$6:$F$140,0)))</f>
        <v>0</v>
      </c>
      <c r="G1123" s="57">
        <f>IF($A1123="","",IF(_xlfn.XLOOKUP($A1123,Korrelation!$D$4:$D$1197,Korrelation!J$4:J$1197,"-",0)="-",0,MATCH(_xlfn.XLOOKUP($A1123,Korrelation!$D$4:$D$1197,Korrelation!J$4:J$1197,"",0),DMAV_Dienste!$F$6:$F$140,0)))</f>
        <v>0</v>
      </c>
      <c r="H1123" s="57">
        <f>IF($A1123="","",IF(_xlfn.XLOOKUP($A1123,Korrelation!$D$4:$D$1197,Korrelation!K$4:K$1197,"-",0)="-",0,MATCH(_xlfn.XLOOKUP($A1123,Korrelation!$D$4:$D$1197,Korrelation!K$4:K$1197,"",0),'DM01-AV-CH'!$A$6:$A$834,0)))</f>
        <v>707</v>
      </c>
      <c r="J1123" s="54" t="str" cm="1">
        <f t="array" aca="1" ref="J1123" ca="1">IF(B1123=0,IF(E1123=0,"",HYPERLINK("#"&amp;RIGHT(CELL("adresse",OFFSET(DMAV_Dienste!$M$6,E1123-1,0)),LEN(CELL("adresse",OFFSET(DMAV_Dienste!$M$6,E1123-1,0)))-FIND("]",CELL("adresse",OFFSET(DMAV_Dienste!$M$6,E1123-1,0)))),"Dienst")),HYPERLINK("#"&amp;RIGHT(CELL("adresse",OFFSET(DMAV_Modell!$N$6,B1123-1,0)),LEN(CELL("adresse",OFFSET(DMAV_Modell!$N$6,B1123-1,0)))-FIND("]",CELL("adresse",OFFSET(DMAV_Modell!$N$6,B1123-1,0)))),"Modell"))</f>
        <v>Modell</v>
      </c>
      <c r="K1123" s="61" t="str" cm="1">
        <f t="array" ref="K1123">IF($B1123=0,IF($E1123=0,"",IF(INDEX(DMAV_Dienste!P$6:P$140,$E1123)="","",INDEX(DMAV_Dienste!P$6:P$140,$E1123))),IF(INDEX(DMAV_Modell!Q$6:Q$838,$B1123)="","",INDEX(DMAV_Modell!Q$6:Q$838,$B1123)))</f>
        <v>CLASS</v>
      </c>
      <c r="L1123" s="62" t="str" cm="1">
        <f t="array" ref="L1123">IF($B1123=0,IF($E1123=0,"",IF(INDEX(DMAV_Dienste!O$6:O$140,$E1123)="","",INDEX(DMAV_Dienste!O$6:O$140,$E1123))),IF(INDEX(DMAV_Modell!P$6:P$838,$B1123)="","",INDEX(DMAV_Modell!P$6:P$838,$B1123)))</f>
        <v>Gebaeudeadressen</v>
      </c>
      <c r="M1123" s="62" t="str" cm="1">
        <f t="array" ref="M1123">IF($B1123=0,IF($E1123=0,"",IF(INDEX(DMAV_Dienste!Q$6:Q$140,$E1123)="","",INDEX(DMAV_Dienste!Q$6:Q$140,$E1123))),IF(INDEX(DMAV_Modell!R$6:R$838,$B1123)="","",INDEX(DMAV_Modell!R$6:R$838,$B1123)))</f>
        <v>Lokalisation</v>
      </c>
      <c r="N1123" s="62" t="str" cm="1">
        <f t="array" ref="N1123">IF($B1123=0,IF($E1123=0,"",IF(INDEX(DMAV_Dienste!T$6:T$140,$E1123)="","",INDEX(DMAV_Dienste!T$6:T$140,$E1123))),IF(INDEX(DMAV_Modell!U$6:U$838,$B1123)="","",INDEX(DMAV_Modell!U$6:U$838,$B1123)))</f>
        <v>AttributeProvisorisch</v>
      </c>
      <c r="O1123" s="63" t="str" cm="1">
        <f t="array" aca="1" ref="O1123" ca="1">IF(C1123=0,IF(F1123=0,"",HYPERLINK("#"&amp;RIGHT(CELL("adresse",OFFSET(DMAV_Dienste!$M$6,F1123-1,0)),LEN(CELL("adresse",OFFSET(DMAV_Dienste!$M$6,F1123-1,0)))-FIND("]",CELL("adresse",OFFSET(DMAV_Dienste!$M$6,F1123-1,0)))),"Structure")),HYPERLINK("#"&amp;RIGHT(CELL("adresse",OFFSET(DMAV_Modell!$N$6,C1123-1,0)),LEN(CELL("adresse",OFFSET(DMAV_Modell!$N$6,C1123-1,0)))-FIND("]",CELL("adresse",OFFSET(DMAV_Modell!$N$6,C1123-1,0)))),"Structure"))</f>
        <v/>
      </c>
      <c r="P1123" s="64" t="str" cm="1">
        <f t="array" aca="1" ref="P1123" ca="1">IF(D1123=0,IF(G1123=0,"",HYPERLINK("#"&amp;RIGHT(CELL("adresse",OFFSET(DMAV_Dienste!$M$6,G1123-1,0)),LEN(CELL("adresse",OFFSET(DMAV_Dienste!$M$6,G1123-1,0)))-FIND("]",CELL("adresse",OFFSET(DMAV_Dienste!$M$6,G1123-1,0)))),"Substructure")),HYPERLINK("#"&amp;RIGHT(CELL("adresse",OFFSET(DMAV_Modell!$N$6,D1123-1,0)),LEN(CELL("adresse",OFFSET(DMAV_Modell!$N$6,D1123-1,0)))-FIND("]",CELL("adresse",OFFSET(DMAV_Modell!$N$6,D1123-1,0)))),"Substructure"))</f>
        <v/>
      </c>
      <c r="R1123" s="80" t="s">
        <v>3062</v>
      </c>
      <c r="T1123" s="93"/>
      <c r="U1123" s="94"/>
      <c r="V1123" s="95"/>
      <c r="W1123" s="96"/>
      <c r="Y1123" s="85"/>
      <c r="Z1123" s="86"/>
      <c r="AA1123" s="87"/>
      <c r="AB1123" s="88"/>
      <c r="AD1123" s="77" t="s">
        <v>2992</v>
      </c>
      <c r="AF1123" s="54" t="str" cm="1">
        <f t="array" aca="1" ref="AF1123" ca="1">IF(H1123=0,"",HYPERLINK("#"&amp;RIGHT(CELL("adresse",OFFSET('DM01-AV-CH'!$G$6,H1123-1,0)),LEN(CELL("adresse",OFFSET('DM01-AV-CH'!$G$6,H1123-1,0)))-FIND("]",CELL("adresse",OFFSET('DM01-AV-CH'!$G$6,H1123-1,0)))),"Modell"))</f>
        <v>Modell</v>
      </c>
      <c r="AG1123" s="72" t="str" cm="1">
        <f t="array" ref="AG1123">IF($H1123=0,"",IF(INDEX('DM01-AV-CH'!G$6:G$834,$H1123)="","",INDEX('DM01-AV-CH'!G$6:G$834,$H1123)))</f>
        <v>Gebaeudeadressen</v>
      </c>
      <c r="AH1123" s="73" t="str" cm="1">
        <f t="array" ref="AH1123">IF($H1123=0,"",IF(INDEX('DM01-AV-CH'!H$6:H$834,$H1123)="","",INDEX('DM01-AV-CH'!H$6:H$834,$H1123)))</f>
        <v>Lokalisation</v>
      </c>
      <c r="AI1123" s="74" t="str" cm="1">
        <f t="array" ref="AI1123">IF($H1123=0,"",IF(INDEX('DM01-AV-CH'!I$6:I$834,$H1123)="","",INDEX('DM01-AV-CH'!I$6:I$834,$H1123)))</f>
        <v>AttributeProvisorisch</v>
      </c>
    </row>
    <row r="1124" spans="1:35" ht="28.5" x14ac:dyDescent="0.25">
      <c r="A1124" s="57">
        <v>1119</v>
      </c>
      <c r="B1124" s="57">
        <f>IF($A1124="","",IF(_xlfn.XLOOKUP($A1124,Korrelation!$D$4:$D$1197,Korrelation!E$4:E$1197,"-",0)="-",0,MATCH(_xlfn.XLOOKUP($A1124,Korrelation!$D$4:$D$1197,Korrelation!E$4:E$1197,"",0),DMAV_Modell!$G$6:$G$677,0)))</f>
        <v>635</v>
      </c>
      <c r="C1124" s="57">
        <f>IF($A1124="","",IF(_xlfn.XLOOKUP($A1124,Korrelation!$D$4:$D$1197,Korrelation!F$4:F$1197,"-",0)="-",0,MATCH(_xlfn.XLOOKUP($A1124,Korrelation!$D$4:$D$1197,Korrelation!F$4:F$1197,"",0),DMAV_Modell!$G$6:$G$677,0)))</f>
        <v>0</v>
      </c>
      <c r="D1124" s="57">
        <f>IF($A1124="","",IF(_xlfn.XLOOKUP($A1124,Korrelation!$D$4:$D$1197,Korrelation!G$4:G$1197,"-",0)="-",0,MATCH(_xlfn.XLOOKUP($A1124,Korrelation!$D$4:$D$1197,Korrelation!G$4:G$1197,"",0),DMAV_Modell!$G$6:$G$677,0)))</f>
        <v>0</v>
      </c>
      <c r="E1124" s="57">
        <f>IF($A1124="","",IF(_xlfn.XLOOKUP($A1124,Korrelation!$D$4:$D$1197,Korrelation!H$4:H$1197,"-",0)="-",0,MATCH(_xlfn.XLOOKUP($A1124,Korrelation!$D$4:$D$1197,Korrelation!H$4:H$1197,"",0),DMAV_Dienste!$F$6:$F$140,0)))</f>
        <v>0</v>
      </c>
      <c r="F1124" s="57">
        <f>IF($A1124="","",IF(_xlfn.XLOOKUP($A1124,Korrelation!$D$4:$D$1197,Korrelation!I$4:I$1197,"-",0)="-",0,MATCH(_xlfn.XLOOKUP($A1124,Korrelation!$D$4:$D$1197,Korrelation!I$4:I$1197,"",0),DMAV_Dienste!$F$6:$F$140,0)))</f>
        <v>0</v>
      </c>
      <c r="G1124" s="57">
        <f>IF($A1124="","",IF(_xlfn.XLOOKUP($A1124,Korrelation!$D$4:$D$1197,Korrelation!J$4:J$1197,"-",0)="-",0,MATCH(_xlfn.XLOOKUP($A1124,Korrelation!$D$4:$D$1197,Korrelation!J$4:J$1197,"",0),DMAV_Dienste!$F$6:$F$140,0)))</f>
        <v>0</v>
      </c>
      <c r="H1124" s="57">
        <f>IF($A1124="","",IF(_xlfn.XLOOKUP($A1124,Korrelation!$D$4:$D$1197,Korrelation!K$4:K$1197,"-",0)="-",0,MATCH(_xlfn.XLOOKUP($A1124,Korrelation!$D$4:$D$1197,Korrelation!K$4:K$1197,"",0),'DM01-AV-CH'!$A$6:$A$834,0)))</f>
        <v>708</v>
      </c>
      <c r="J1124" s="54" t="str" cm="1">
        <f t="array" aca="1" ref="J1124" ca="1">IF(B1124=0,IF(E1124=0,"",HYPERLINK("#"&amp;RIGHT(CELL("adresse",OFFSET(DMAV_Dienste!$M$6,E1124-1,0)),LEN(CELL("adresse",OFFSET(DMAV_Dienste!$M$6,E1124-1,0)))-FIND("]",CELL("adresse",OFFSET(DMAV_Dienste!$M$6,E1124-1,0)))),"Dienst")),HYPERLINK("#"&amp;RIGHT(CELL("adresse",OFFSET(DMAV_Modell!$N$6,B1124-1,0)),LEN(CELL("adresse",OFFSET(DMAV_Modell!$N$6,B1124-1,0)))-FIND("]",CELL("adresse",OFFSET(DMAV_Modell!$N$6,B1124-1,0)))),"Modell"))</f>
        <v>Modell</v>
      </c>
      <c r="K1124" s="61" t="str" cm="1">
        <f t="array" ref="K1124">IF($B1124=0,IF($E1124=0,"",IF(INDEX(DMAV_Dienste!P$6:P$140,$E1124)="","",INDEX(DMAV_Dienste!P$6:P$140,$E1124))),IF(INDEX(DMAV_Modell!Q$6:Q$838,$B1124)="","",INDEX(DMAV_Modell!Q$6:Q$838,$B1124)))</f>
        <v>CLASS</v>
      </c>
      <c r="L1124" s="62" t="str" cm="1">
        <f t="array" ref="L1124">IF($B1124=0,IF($E1124=0,"",IF(INDEX(DMAV_Dienste!O$6:O$140,$E1124)="","",INDEX(DMAV_Dienste!O$6:O$140,$E1124))),IF(INDEX(DMAV_Modell!P$6:P$838,$B1124)="","",INDEX(DMAV_Modell!P$6:P$838,$B1124)))</f>
        <v>Gebaeudeadressen</v>
      </c>
      <c r="M1124" s="62" t="str" cm="1">
        <f t="array" ref="M1124">IF($B1124=0,IF($E1124=0,"",IF(INDEX(DMAV_Dienste!Q$6:Q$140,$E1124)="","",INDEX(DMAV_Dienste!Q$6:Q$140,$E1124))),IF(INDEX(DMAV_Modell!R$6:R$838,$B1124)="","",INDEX(DMAV_Modell!R$6:R$838,$B1124)))</f>
        <v>Lokalisation</v>
      </c>
      <c r="N1124" s="62" t="str" cm="1">
        <f t="array" ref="N1124">IF($B1124=0,IF($E1124=0,"",IF(INDEX(DMAV_Dienste!T$6:T$140,$E1124)="","",INDEX(DMAV_Dienste!T$6:T$140,$E1124))),IF(INDEX(DMAV_Modell!U$6:U$838,$B1124)="","",INDEX(DMAV_Modell!U$6:U$838,$B1124)))</f>
        <v>IstOffizielleBezeichnung</v>
      </c>
      <c r="O1124" s="63" t="str" cm="1">
        <f t="array" aca="1" ref="O1124" ca="1">IF(C1124=0,IF(F1124=0,"",HYPERLINK("#"&amp;RIGHT(CELL("adresse",OFFSET(DMAV_Dienste!$M$6,F1124-1,0)),LEN(CELL("adresse",OFFSET(DMAV_Dienste!$M$6,F1124-1,0)))-FIND("]",CELL("adresse",OFFSET(DMAV_Dienste!$M$6,F1124-1,0)))),"Structure")),HYPERLINK("#"&amp;RIGHT(CELL("adresse",OFFSET(DMAV_Modell!$N$6,C1124-1,0)),LEN(CELL("adresse",OFFSET(DMAV_Modell!$N$6,C1124-1,0)))-FIND("]",CELL("adresse",OFFSET(DMAV_Modell!$N$6,C1124-1,0)))),"Structure"))</f>
        <v/>
      </c>
      <c r="P1124" s="64" t="str" cm="1">
        <f t="array" aca="1" ref="P1124" ca="1">IF(D1124=0,IF(G1124=0,"",HYPERLINK("#"&amp;RIGHT(CELL("adresse",OFFSET(DMAV_Dienste!$M$6,G1124-1,0)),LEN(CELL("adresse",OFFSET(DMAV_Dienste!$M$6,G1124-1,0)))-FIND("]",CELL("adresse",OFFSET(DMAV_Dienste!$M$6,G1124-1,0)))),"Substructure")),HYPERLINK("#"&amp;RIGHT(CELL("adresse",OFFSET(DMAV_Modell!$N$6,D1124-1,0)),LEN(CELL("adresse",OFFSET(DMAV_Modell!$N$6,D1124-1,0)))-FIND("]",CELL("adresse",OFFSET(DMAV_Modell!$N$6,D1124-1,0)))),"Substructure"))</f>
        <v/>
      </c>
      <c r="R1124" s="80" t="s">
        <v>3062</v>
      </c>
      <c r="T1124" s="93"/>
      <c r="U1124" s="94"/>
      <c r="V1124" s="95"/>
      <c r="W1124" s="96"/>
      <c r="Y1124" s="85"/>
      <c r="Z1124" s="86"/>
      <c r="AA1124" s="87"/>
      <c r="AB1124" s="88"/>
      <c r="AD1124" s="77" t="s">
        <v>2992</v>
      </c>
      <c r="AF1124" s="54" t="str" cm="1">
        <f t="array" aca="1" ref="AF1124" ca="1">IF(H1124=0,"",HYPERLINK("#"&amp;RIGHT(CELL("adresse",OFFSET('DM01-AV-CH'!$G$6,H1124-1,0)),LEN(CELL("adresse",OFFSET('DM01-AV-CH'!$G$6,H1124-1,0)))-FIND("]",CELL("adresse",OFFSET('DM01-AV-CH'!$G$6,H1124-1,0)))),"Modell"))</f>
        <v>Modell</v>
      </c>
      <c r="AG1124" s="72" t="str" cm="1">
        <f t="array" ref="AG1124">IF($H1124=0,"",IF(INDEX('DM01-AV-CH'!G$6:G$834,$H1124)="","",INDEX('DM01-AV-CH'!G$6:G$834,$H1124)))</f>
        <v>Gebaeudeadressen</v>
      </c>
      <c r="AH1124" s="73" t="str" cm="1">
        <f t="array" ref="AH1124">IF($H1124=0,"",IF(INDEX('DM01-AV-CH'!H$6:H$834,$H1124)="","",INDEX('DM01-AV-CH'!H$6:H$834,$H1124)))</f>
        <v>Lokalisation</v>
      </c>
      <c r="AI1124" s="74" t="str" cm="1">
        <f t="array" ref="AI1124">IF($H1124=0,"",IF(INDEX('DM01-AV-CH'!I$6:I$834,$H1124)="","",INDEX('DM01-AV-CH'!I$6:I$834,$H1124)))</f>
        <v>IstOffizielleBezeichnung</v>
      </c>
    </row>
    <row r="1125" spans="1:35" x14ac:dyDescent="0.25">
      <c r="A1125" s="57">
        <v>1120</v>
      </c>
      <c r="B1125" s="57">
        <f>IF($A1125="","",IF(_xlfn.XLOOKUP($A1125,Korrelation!$D$4:$D$1197,Korrelation!E$4:E$1197,"-",0)="-",0,MATCH(_xlfn.XLOOKUP($A1125,Korrelation!$D$4:$D$1197,Korrelation!E$4:E$1197,"",0),DMAV_Modell!$G$6:$G$677,0)))</f>
        <v>636</v>
      </c>
      <c r="C1125" s="57">
        <f>IF($A1125="","",IF(_xlfn.XLOOKUP($A1125,Korrelation!$D$4:$D$1197,Korrelation!F$4:F$1197,"-",0)="-",0,MATCH(_xlfn.XLOOKUP($A1125,Korrelation!$D$4:$D$1197,Korrelation!F$4:F$1197,"",0),DMAV_Modell!$G$6:$G$677,0)))</f>
        <v>0</v>
      </c>
      <c r="D1125" s="57">
        <f>IF($A1125="","",IF(_xlfn.XLOOKUP($A1125,Korrelation!$D$4:$D$1197,Korrelation!G$4:G$1197,"-",0)="-",0,MATCH(_xlfn.XLOOKUP($A1125,Korrelation!$D$4:$D$1197,Korrelation!G$4:G$1197,"",0),DMAV_Modell!$G$6:$G$677,0)))</f>
        <v>0</v>
      </c>
      <c r="E1125" s="57">
        <f>IF($A1125="","",IF(_xlfn.XLOOKUP($A1125,Korrelation!$D$4:$D$1197,Korrelation!H$4:H$1197,"-",0)="-",0,MATCH(_xlfn.XLOOKUP($A1125,Korrelation!$D$4:$D$1197,Korrelation!H$4:H$1197,"",0),DMAV_Dienste!$F$6:$F$140,0)))</f>
        <v>0</v>
      </c>
      <c r="F1125" s="57">
        <f>IF($A1125="","",IF(_xlfn.XLOOKUP($A1125,Korrelation!$D$4:$D$1197,Korrelation!I$4:I$1197,"-",0)="-",0,MATCH(_xlfn.XLOOKUP($A1125,Korrelation!$D$4:$D$1197,Korrelation!I$4:I$1197,"",0),DMAV_Dienste!$F$6:$F$140,0)))</f>
        <v>0</v>
      </c>
      <c r="G1125" s="57">
        <f>IF($A1125="","",IF(_xlfn.XLOOKUP($A1125,Korrelation!$D$4:$D$1197,Korrelation!J$4:J$1197,"-",0)="-",0,MATCH(_xlfn.XLOOKUP($A1125,Korrelation!$D$4:$D$1197,Korrelation!J$4:J$1197,"",0),DMAV_Dienste!$F$6:$F$140,0)))</f>
        <v>0</v>
      </c>
      <c r="H1125" s="57">
        <f>IF($A1125="","",IF(_xlfn.XLOOKUP($A1125,Korrelation!$D$4:$D$1197,Korrelation!K$4:K$1197,"-",0)="-",0,MATCH(_xlfn.XLOOKUP($A1125,Korrelation!$D$4:$D$1197,Korrelation!K$4:K$1197,"",0),'DM01-AV-CH'!$A$6:$A$834,0)))</f>
        <v>709</v>
      </c>
      <c r="J1125" s="54" t="str" cm="1">
        <f t="array" aca="1" ref="J1125" ca="1">IF(B1125=0,IF(E1125=0,"",HYPERLINK("#"&amp;RIGHT(CELL("adresse",OFFSET(DMAV_Dienste!$M$6,E1125-1,0)),LEN(CELL("adresse",OFFSET(DMAV_Dienste!$M$6,E1125-1,0)))-FIND("]",CELL("adresse",OFFSET(DMAV_Dienste!$M$6,E1125-1,0)))),"Dienst")),HYPERLINK("#"&amp;RIGHT(CELL("adresse",OFFSET(DMAV_Modell!$N$6,B1125-1,0)),LEN(CELL("adresse",OFFSET(DMAV_Modell!$N$6,B1125-1,0)))-FIND("]",CELL("adresse",OFFSET(DMAV_Modell!$N$6,B1125-1,0)))),"Modell"))</f>
        <v>Modell</v>
      </c>
      <c r="K1125" s="61" t="str" cm="1">
        <f t="array" ref="K1125">IF($B1125=0,IF($E1125=0,"",IF(INDEX(DMAV_Dienste!P$6:P$140,$E1125)="","",INDEX(DMAV_Dienste!P$6:P$140,$E1125))),IF(INDEX(DMAV_Modell!Q$6:Q$838,$B1125)="","",INDEX(DMAV_Modell!Q$6:Q$838,$B1125)))</f>
        <v>CLASS</v>
      </c>
      <c r="L1125" s="62" t="str" cm="1">
        <f t="array" ref="L1125">IF($B1125=0,IF($E1125=0,"",IF(INDEX(DMAV_Dienste!O$6:O$140,$E1125)="","",INDEX(DMAV_Dienste!O$6:O$140,$E1125))),IF(INDEX(DMAV_Modell!P$6:P$838,$B1125)="","",INDEX(DMAV_Modell!P$6:P$838,$B1125)))</f>
        <v>Gebaeudeadressen</v>
      </c>
      <c r="M1125" s="62" t="str" cm="1">
        <f t="array" ref="M1125">IF($B1125=0,IF($E1125=0,"",IF(INDEX(DMAV_Dienste!Q$6:Q$140,$E1125)="","",INDEX(DMAV_Dienste!Q$6:Q$140,$E1125))),IF(INDEX(DMAV_Modell!R$6:R$838,$B1125)="","",INDEX(DMAV_Modell!R$6:R$838,$B1125)))</f>
        <v>Lokalisation</v>
      </c>
      <c r="N1125" s="62" t="str" cm="1">
        <f t="array" ref="N1125">IF($B1125=0,IF($E1125=0,"",IF(INDEX(DMAV_Dienste!T$6:T$140,$E1125)="","",INDEX(DMAV_Dienste!T$6:T$140,$E1125))),IF(INDEX(DMAV_Modell!U$6:U$838,$B1125)="","",INDEX(DMAV_Modell!U$6:U$838,$B1125)))</f>
        <v>Lokalisationsstatus</v>
      </c>
      <c r="O1125" s="63" t="str" cm="1">
        <f t="array" aca="1" ref="O1125" ca="1">IF(C1125=0,IF(F1125=0,"",HYPERLINK("#"&amp;RIGHT(CELL("adresse",OFFSET(DMAV_Dienste!$M$6,F1125-1,0)),LEN(CELL("adresse",OFFSET(DMAV_Dienste!$M$6,F1125-1,0)))-FIND("]",CELL("adresse",OFFSET(DMAV_Dienste!$M$6,F1125-1,0)))),"Structure")),HYPERLINK("#"&amp;RIGHT(CELL("adresse",OFFSET(DMAV_Modell!$N$6,C1125-1,0)),LEN(CELL("adresse",OFFSET(DMAV_Modell!$N$6,C1125-1,0)))-FIND("]",CELL("adresse",OFFSET(DMAV_Modell!$N$6,C1125-1,0)))),"Structure"))</f>
        <v/>
      </c>
      <c r="P1125" s="64" t="str" cm="1">
        <f t="array" aca="1" ref="P1125" ca="1">IF(D1125=0,IF(G1125=0,"",HYPERLINK("#"&amp;RIGHT(CELL("adresse",OFFSET(DMAV_Dienste!$M$6,G1125-1,0)),LEN(CELL("adresse",OFFSET(DMAV_Dienste!$M$6,G1125-1,0)))-FIND("]",CELL("adresse",OFFSET(DMAV_Dienste!$M$6,G1125-1,0)))),"Substructure")),HYPERLINK("#"&amp;RIGHT(CELL("adresse",OFFSET(DMAV_Modell!$N$6,D1125-1,0)),LEN(CELL("adresse",OFFSET(DMAV_Modell!$N$6,D1125-1,0)))-FIND("]",CELL("adresse",OFFSET(DMAV_Modell!$N$6,D1125-1,0)))),"Substructure"))</f>
        <v/>
      </c>
      <c r="R1125" s="80"/>
      <c r="T1125" s="93"/>
      <c r="U1125" s="94"/>
      <c r="V1125" s="95"/>
      <c r="W1125" s="96"/>
      <c r="Y1125" s="85"/>
      <c r="Z1125" s="86"/>
      <c r="AA1125" s="87"/>
      <c r="AB1125" s="88"/>
      <c r="AD1125" s="77"/>
      <c r="AF1125" s="54" t="str" cm="1">
        <f t="array" aca="1" ref="AF1125" ca="1">IF(H1125=0,"",HYPERLINK("#"&amp;RIGHT(CELL("adresse",OFFSET('DM01-AV-CH'!$G$6,H1125-1,0)),LEN(CELL("adresse",OFFSET('DM01-AV-CH'!$G$6,H1125-1,0)))-FIND("]",CELL("adresse",OFFSET('DM01-AV-CH'!$G$6,H1125-1,0)))),"Modell"))</f>
        <v>Modell</v>
      </c>
      <c r="AG1125" s="72" t="str" cm="1">
        <f t="array" ref="AG1125">IF($H1125=0,"",IF(INDEX('DM01-AV-CH'!G$6:G$834,$H1125)="","",INDEX('DM01-AV-CH'!G$6:G$834,$H1125)))</f>
        <v>Gebaeudeadressen</v>
      </c>
      <c r="AH1125" s="73" t="str" cm="1">
        <f t="array" ref="AH1125">IF($H1125=0,"",IF(INDEX('DM01-AV-CH'!H$6:H$834,$H1125)="","",INDEX('DM01-AV-CH'!H$6:H$834,$H1125)))</f>
        <v>Lokalisation</v>
      </c>
      <c r="AI1125" s="74" t="str" cm="1">
        <f t="array" ref="AI1125">IF($H1125=0,"",IF(INDEX('DM01-AV-CH'!I$6:I$834,$H1125)="","",INDEX('DM01-AV-CH'!I$6:I$834,$H1125)))</f>
        <v>Status</v>
      </c>
    </row>
    <row r="1126" spans="1:35" ht="28.5" x14ac:dyDescent="0.25">
      <c r="A1126" s="57">
        <v>1121</v>
      </c>
      <c r="B1126" s="57">
        <f>IF($A1126="","",IF(_xlfn.XLOOKUP($A1126,Korrelation!$D$4:$D$1197,Korrelation!E$4:E$1197,"-",0)="-",0,MATCH(_xlfn.XLOOKUP($A1126,Korrelation!$D$4:$D$1197,Korrelation!E$4:E$1197,"",0),DMAV_Modell!$G$6:$G$677,0)))</f>
        <v>637</v>
      </c>
      <c r="C1126" s="57">
        <f>IF($A1126="","",IF(_xlfn.XLOOKUP($A1126,Korrelation!$D$4:$D$1197,Korrelation!F$4:F$1197,"-",0)="-",0,MATCH(_xlfn.XLOOKUP($A1126,Korrelation!$D$4:$D$1197,Korrelation!F$4:F$1197,"",0),DMAV_Modell!$G$6:$G$677,0)))</f>
        <v>0</v>
      </c>
      <c r="D1126" s="57">
        <f>IF($A1126="","",IF(_xlfn.XLOOKUP($A1126,Korrelation!$D$4:$D$1197,Korrelation!G$4:G$1197,"-",0)="-",0,MATCH(_xlfn.XLOOKUP($A1126,Korrelation!$D$4:$D$1197,Korrelation!G$4:G$1197,"",0),DMAV_Modell!$G$6:$G$677,0)))</f>
        <v>0</v>
      </c>
      <c r="E1126" s="57">
        <f>IF($A1126="","",IF(_xlfn.XLOOKUP($A1126,Korrelation!$D$4:$D$1197,Korrelation!H$4:H$1197,"-",0)="-",0,MATCH(_xlfn.XLOOKUP($A1126,Korrelation!$D$4:$D$1197,Korrelation!H$4:H$1197,"",0),DMAV_Dienste!$F$6:$F$140,0)))</f>
        <v>0</v>
      </c>
      <c r="F1126" s="57">
        <f>IF($A1126="","",IF(_xlfn.XLOOKUP($A1126,Korrelation!$D$4:$D$1197,Korrelation!I$4:I$1197,"-",0)="-",0,MATCH(_xlfn.XLOOKUP($A1126,Korrelation!$D$4:$D$1197,Korrelation!I$4:I$1197,"",0),DMAV_Dienste!$F$6:$F$140,0)))</f>
        <v>0</v>
      </c>
      <c r="G1126" s="57">
        <f>IF($A1126="","",IF(_xlfn.XLOOKUP($A1126,Korrelation!$D$4:$D$1197,Korrelation!J$4:J$1197,"-",0)="-",0,MATCH(_xlfn.XLOOKUP($A1126,Korrelation!$D$4:$D$1197,Korrelation!J$4:J$1197,"",0),DMAV_Dienste!$F$6:$F$140,0)))</f>
        <v>0</v>
      </c>
      <c r="H1126" s="57">
        <f>IF($A1126="","",IF(_xlfn.XLOOKUP($A1126,Korrelation!$D$4:$D$1197,Korrelation!K$4:K$1197,"-",0)="-",0,MATCH(_xlfn.XLOOKUP($A1126,Korrelation!$D$4:$D$1197,Korrelation!K$4:K$1197,"",0),'DM01-AV-CH'!$A$6:$A$834,0)))</f>
        <v>710</v>
      </c>
      <c r="J1126" s="54" t="str" cm="1">
        <f t="array" aca="1" ref="J1126" ca="1">IF(B1126=0,IF(E1126=0,"",HYPERLINK("#"&amp;RIGHT(CELL("adresse",OFFSET(DMAV_Dienste!$M$6,E1126-1,0)),LEN(CELL("adresse",OFFSET(DMAV_Dienste!$M$6,E1126-1,0)))-FIND("]",CELL("adresse",OFFSET(DMAV_Dienste!$M$6,E1126-1,0)))),"Dienst")),HYPERLINK("#"&amp;RIGHT(CELL("adresse",OFFSET(DMAV_Modell!$N$6,B1126-1,0)),LEN(CELL("adresse",OFFSET(DMAV_Modell!$N$6,B1126-1,0)))-FIND("]",CELL("adresse",OFFSET(DMAV_Modell!$N$6,B1126-1,0)))),"Modell"))</f>
        <v>Modell</v>
      </c>
      <c r="K1126" s="61" t="str" cm="1">
        <f t="array" ref="K1126">IF($B1126=0,IF($E1126=0,"",IF(INDEX(DMAV_Dienste!P$6:P$140,$E1126)="","",INDEX(DMAV_Dienste!P$6:P$140,$E1126))),IF(INDEX(DMAV_Modell!Q$6:Q$838,$B1126)="","",INDEX(DMAV_Modell!Q$6:Q$838,$B1126)))</f>
        <v>CLASS</v>
      </c>
      <c r="L1126" s="62" t="str" cm="1">
        <f t="array" ref="L1126">IF($B1126=0,IF($E1126=0,"",IF(INDEX(DMAV_Dienste!O$6:O$140,$E1126)="","",INDEX(DMAV_Dienste!O$6:O$140,$E1126))),IF(INDEX(DMAV_Modell!P$6:P$838,$B1126)="","",INDEX(DMAV_Modell!P$6:P$838,$B1126)))</f>
        <v>Gebaeudeadressen</v>
      </c>
      <c r="M1126" s="62" t="str" cm="1">
        <f t="array" ref="M1126">IF($B1126=0,IF($E1126=0,"",IF(INDEX(DMAV_Dienste!Q$6:Q$140,$E1126)="","",INDEX(DMAV_Dienste!Q$6:Q$140,$E1126))),IF(INDEX(DMAV_Modell!R$6:R$838,$B1126)="","",INDEX(DMAV_Modell!R$6:R$838,$B1126)))</f>
        <v>Lokalisation</v>
      </c>
      <c r="N1126" s="62" t="str" cm="1">
        <f t="array" ref="N1126">IF($B1126=0,IF($E1126=0,"",IF(INDEX(DMAV_Dienste!T$6:T$140,$E1126)="","",INDEX(DMAV_Dienste!T$6:T$140,$E1126))),IF(INDEX(DMAV_Modell!U$6:U$838,$B1126)="","",INDEX(DMAV_Modell!U$6:U$838,$B1126)))</f>
        <v>InAenderung</v>
      </c>
      <c r="O1126" s="63" t="str" cm="1">
        <f t="array" aca="1" ref="O1126" ca="1">IF(C1126=0,IF(F1126=0,"",HYPERLINK("#"&amp;RIGHT(CELL("adresse",OFFSET(DMAV_Dienste!$M$6,F1126-1,0)),LEN(CELL("adresse",OFFSET(DMAV_Dienste!$M$6,F1126-1,0)))-FIND("]",CELL("adresse",OFFSET(DMAV_Dienste!$M$6,F1126-1,0)))),"Structure")),HYPERLINK("#"&amp;RIGHT(CELL("adresse",OFFSET(DMAV_Modell!$N$6,C1126-1,0)),LEN(CELL("adresse",OFFSET(DMAV_Modell!$N$6,C1126-1,0)))-FIND("]",CELL("adresse",OFFSET(DMAV_Modell!$N$6,C1126-1,0)))),"Structure"))</f>
        <v/>
      </c>
      <c r="P1126" s="64" t="str" cm="1">
        <f t="array" aca="1" ref="P1126" ca="1">IF(D1126=0,IF(G1126=0,"",HYPERLINK("#"&amp;RIGHT(CELL("adresse",OFFSET(DMAV_Dienste!$M$6,G1126-1,0)),LEN(CELL("adresse",OFFSET(DMAV_Dienste!$M$6,G1126-1,0)))-FIND("]",CELL("adresse",OFFSET(DMAV_Dienste!$M$6,G1126-1,0)))),"Substructure")),HYPERLINK("#"&amp;RIGHT(CELL("adresse",OFFSET(DMAV_Modell!$N$6,D1126-1,0)),LEN(CELL("adresse",OFFSET(DMAV_Modell!$N$6,D1126-1,0)))-FIND("]",CELL("adresse",OFFSET(DMAV_Modell!$N$6,D1126-1,0)))),"Substructure"))</f>
        <v/>
      </c>
      <c r="R1126" s="80" t="s">
        <v>3062</v>
      </c>
      <c r="T1126" s="93"/>
      <c r="U1126" s="94"/>
      <c r="V1126" s="95"/>
      <c r="W1126" s="96"/>
      <c r="Y1126" s="85"/>
      <c r="Z1126" s="86"/>
      <c r="AA1126" s="87"/>
      <c r="AB1126" s="88"/>
      <c r="AD1126" s="77" t="s">
        <v>2992</v>
      </c>
      <c r="AF1126" s="54" t="str" cm="1">
        <f t="array" aca="1" ref="AF1126" ca="1">IF(H1126=0,"",HYPERLINK("#"&amp;RIGHT(CELL("adresse",OFFSET('DM01-AV-CH'!$G$6,H1126-1,0)),LEN(CELL("adresse",OFFSET('DM01-AV-CH'!$G$6,H1126-1,0)))-FIND("]",CELL("adresse",OFFSET('DM01-AV-CH'!$G$6,H1126-1,0)))),"Modell"))</f>
        <v>Modell</v>
      </c>
      <c r="AG1126" s="72" t="str" cm="1">
        <f t="array" ref="AG1126">IF($H1126=0,"",IF(INDEX('DM01-AV-CH'!G$6:G$834,$H1126)="","",INDEX('DM01-AV-CH'!G$6:G$834,$H1126)))</f>
        <v>Gebaeudeadressen</v>
      </c>
      <c r="AH1126" s="73" t="str" cm="1">
        <f t="array" ref="AH1126">IF($H1126=0,"",IF(INDEX('DM01-AV-CH'!H$6:H$834,$H1126)="","",INDEX('DM01-AV-CH'!H$6:H$834,$H1126)))</f>
        <v>Lokalisation</v>
      </c>
      <c r="AI1126" s="74" t="str" cm="1">
        <f t="array" ref="AI1126">IF($H1126=0,"",IF(INDEX('DM01-AV-CH'!I$6:I$834,$H1126)="","",INDEX('DM01-AV-CH'!I$6:I$834,$H1126)))</f>
        <v>InAenderung</v>
      </c>
    </row>
    <row r="1127" spans="1:35" x14ac:dyDescent="0.25">
      <c r="A1127" s="57">
        <v>1122</v>
      </c>
      <c r="B1127" s="57">
        <f>IF($A1127="","",IF(_xlfn.XLOOKUP($A1127,Korrelation!$D$4:$D$1197,Korrelation!E$4:E$1197,"-",0)="-",0,MATCH(_xlfn.XLOOKUP($A1127,Korrelation!$D$4:$D$1197,Korrelation!E$4:E$1197,"",0),DMAV_Modell!$G$6:$G$677,0)))</f>
        <v>638</v>
      </c>
      <c r="C1127" s="57">
        <f>IF($A1127="","",IF(_xlfn.XLOOKUP($A1127,Korrelation!$D$4:$D$1197,Korrelation!F$4:F$1197,"-",0)="-",0,MATCH(_xlfn.XLOOKUP($A1127,Korrelation!$D$4:$D$1197,Korrelation!F$4:F$1197,"",0),DMAV_Modell!$G$6:$G$677,0)))</f>
        <v>0</v>
      </c>
      <c r="D1127" s="57">
        <f>IF($A1127="","",IF(_xlfn.XLOOKUP($A1127,Korrelation!$D$4:$D$1197,Korrelation!G$4:G$1197,"-",0)="-",0,MATCH(_xlfn.XLOOKUP($A1127,Korrelation!$D$4:$D$1197,Korrelation!G$4:G$1197,"",0),DMAV_Modell!$G$6:$G$677,0)))</f>
        <v>0</v>
      </c>
      <c r="E1127" s="57">
        <f>IF($A1127="","",IF(_xlfn.XLOOKUP($A1127,Korrelation!$D$4:$D$1197,Korrelation!H$4:H$1197,"-",0)="-",0,MATCH(_xlfn.XLOOKUP($A1127,Korrelation!$D$4:$D$1197,Korrelation!H$4:H$1197,"",0),DMAV_Dienste!$F$6:$F$140,0)))</f>
        <v>0</v>
      </c>
      <c r="F1127" s="57">
        <f>IF($A1127="","",IF(_xlfn.XLOOKUP($A1127,Korrelation!$D$4:$D$1197,Korrelation!I$4:I$1197,"-",0)="-",0,MATCH(_xlfn.XLOOKUP($A1127,Korrelation!$D$4:$D$1197,Korrelation!I$4:I$1197,"",0),DMAV_Dienste!$F$6:$F$140,0)))</f>
        <v>0</v>
      </c>
      <c r="G1127" s="57">
        <f>IF($A1127="","",IF(_xlfn.XLOOKUP($A1127,Korrelation!$D$4:$D$1197,Korrelation!J$4:J$1197,"-",0)="-",0,MATCH(_xlfn.XLOOKUP($A1127,Korrelation!$D$4:$D$1197,Korrelation!J$4:J$1197,"",0),DMAV_Dienste!$F$6:$F$140,0)))</f>
        <v>0</v>
      </c>
      <c r="H1127" s="57">
        <f>IF($A1127="","",IF(_xlfn.XLOOKUP($A1127,Korrelation!$D$4:$D$1197,Korrelation!K$4:K$1197,"-",0)="-",0,MATCH(_xlfn.XLOOKUP($A1127,Korrelation!$D$4:$D$1197,Korrelation!K$4:K$1197,"",0),'DM01-AV-CH'!$A$6:$A$834,0)))</f>
        <v>711</v>
      </c>
      <c r="J1127" s="54" t="str" cm="1">
        <f t="array" aca="1" ref="J1127" ca="1">IF(B1127=0,IF(E1127=0,"",HYPERLINK("#"&amp;RIGHT(CELL("adresse",OFFSET(DMAV_Dienste!$M$6,E1127-1,0)),LEN(CELL("adresse",OFFSET(DMAV_Dienste!$M$6,E1127-1,0)))-FIND("]",CELL("adresse",OFFSET(DMAV_Dienste!$M$6,E1127-1,0)))),"Dienst")),HYPERLINK("#"&amp;RIGHT(CELL("adresse",OFFSET(DMAV_Modell!$N$6,B1127-1,0)),LEN(CELL("adresse",OFFSET(DMAV_Modell!$N$6,B1127-1,0)))-FIND("]",CELL("adresse",OFFSET(DMAV_Modell!$N$6,B1127-1,0)))),"Modell"))</f>
        <v>Modell</v>
      </c>
      <c r="K1127" s="61" t="str" cm="1">
        <f t="array" ref="K1127">IF($B1127=0,IF($E1127=0,"",IF(INDEX(DMAV_Dienste!P$6:P$140,$E1127)="","",INDEX(DMAV_Dienste!P$6:P$140,$E1127))),IF(INDEX(DMAV_Modell!Q$6:Q$838,$B1127)="","",INDEX(DMAV_Modell!Q$6:Q$838,$B1127)))</f>
        <v>CLASS</v>
      </c>
      <c r="L1127" s="62" t="str" cm="1">
        <f t="array" ref="L1127">IF($B1127=0,IF($E1127=0,"",IF(INDEX(DMAV_Dienste!O$6:O$140,$E1127)="","",INDEX(DMAV_Dienste!O$6:O$140,$E1127))),IF(INDEX(DMAV_Modell!P$6:P$838,$B1127)="","",INDEX(DMAV_Modell!P$6:P$838,$B1127)))</f>
        <v>Gebaeudeadressen</v>
      </c>
      <c r="M1127" s="62" t="str" cm="1">
        <f t="array" ref="M1127">IF($B1127=0,IF($E1127=0,"",IF(INDEX(DMAV_Dienste!Q$6:Q$140,$E1127)="","",INDEX(DMAV_Dienste!Q$6:Q$140,$E1127))),IF(INDEX(DMAV_Modell!R$6:R$838,$B1127)="","",INDEX(DMAV_Modell!R$6:R$838,$B1127)))</f>
        <v>Lokalisation</v>
      </c>
      <c r="N1127" s="62" t="str" cm="1">
        <f t="array" ref="N1127">IF($B1127=0,IF($E1127=0,"",IF(INDEX(DMAV_Dienste!T$6:T$140,$E1127)="","",INDEX(DMAV_Dienste!T$6:T$140,$E1127))),IF(INDEX(DMAV_Modell!U$6:U$838,$B1127)="","",INDEX(DMAV_Modell!U$6:U$838,$B1127)))</f>
        <v>Lokalisationsart</v>
      </c>
      <c r="O1127" s="63" t="str" cm="1">
        <f t="array" aca="1" ref="O1127" ca="1">IF(C1127=0,IF(F1127=0,"",HYPERLINK("#"&amp;RIGHT(CELL("adresse",OFFSET(DMAV_Dienste!$M$6,F1127-1,0)),LEN(CELL("adresse",OFFSET(DMAV_Dienste!$M$6,F1127-1,0)))-FIND("]",CELL("adresse",OFFSET(DMAV_Dienste!$M$6,F1127-1,0)))),"Structure")),HYPERLINK("#"&amp;RIGHT(CELL("adresse",OFFSET(DMAV_Modell!$N$6,C1127-1,0)),LEN(CELL("adresse",OFFSET(DMAV_Modell!$N$6,C1127-1,0)))-FIND("]",CELL("adresse",OFFSET(DMAV_Modell!$N$6,C1127-1,0)))),"Structure"))</f>
        <v/>
      </c>
      <c r="P1127" s="64" t="str" cm="1">
        <f t="array" aca="1" ref="P1127" ca="1">IF(D1127=0,IF(G1127=0,"",HYPERLINK("#"&amp;RIGHT(CELL("adresse",OFFSET(DMAV_Dienste!$M$6,G1127-1,0)),LEN(CELL("adresse",OFFSET(DMAV_Dienste!$M$6,G1127-1,0)))-FIND("]",CELL("adresse",OFFSET(DMAV_Dienste!$M$6,G1127-1,0)))),"Substructure")),HYPERLINK("#"&amp;RIGHT(CELL("adresse",OFFSET(DMAV_Modell!$N$6,D1127-1,0)),LEN(CELL("adresse",OFFSET(DMAV_Modell!$N$6,D1127-1,0)))-FIND("]",CELL("adresse",OFFSET(DMAV_Modell!$N$6,D1127-1,0)))),"Substructure"))</f>
        <v/>
      </c>
      <c r="R1127" s="80"/>
      <c r="T1127" s="93"/>
      <c r="U1127" s="94"/>
      <c r="V1127" s="95"/>
      <c r="W1127" s="96"/>
      <c r="Y1127" s="85"/>
      <c r="Z1127" s="86"/>
      <c r="AA1127" s="87"/>
      <c r="AB1127" s="88"/>
      <c r="AD1127" s="77"/>
      <c r="AF1127" s="54" t="str" cm="1">
        <f t="array" aca="1" ref="AF1127" ca="1">IF(H1127=0,"",HYPERLINK("#"&amp;RIGHT(CELL("adresse",OFFSET('DM01-AV-CH'!$G$6,H1127-1,0)),LEN(CELL("adresse",OFFSET('DM01-AV-CH'!$G$6,H1127-1,0)))-FIND("]",CELL("adresse",OFFSET('DM01-AV-CH'!$G$6,H1127-1,0)))),"Modell"))</f>
        <v>Modell</v>
      </c>
      <c r="AG1127" s="72" t="str" cm="1">
        <f t="array" ref="AG1127">IF($H1127=0,"",IF(INDEX('DM01-AV-CH'!G$6:G$834,$H1127)="","",INDEX('DM01-AV-CH'!G$6:G$834,$H1127)))</f>
        <v>Gebaeudeadressen</v>
      </c>
      <c r="AH1127" s="73" t="str" cm="1">
        <f t="array" ref="AH1127">IF($H1127=0,"",IF(INDEX('DM01-AV-CH'!H$6:H$834,$H1127)="","",INDEX('DM01-AV-CH'!H$6:H$834,$H1127)))</f>
        <v>Lokalisation</v>
      </c>
      <c r="AI1127" s="74" t="str" cm="1">
        <f t="array" ref="AI1127">IF($H1127=0,"",IF(INDEX('DM01-AV-CH'!I$6:I$834,$H1127)="","",INDEX('DM01-AV-CH'!I$6:I$834,$H1127)))</f>
        <v>Art</v>
      </c>
    </row>
    <row r="1128" spans="1:35" x14ac:dyDescent="0.25">
      <c r="A1128" s="57">
        <v>1123</v>
      </c>
      <c r="B1128" s="57">
        <f>IF($A1128="","",IF(_xlfn.XLOOKUP($A1128,Korrelation!$D$4:$D$1197,Korrelation!E$4:E$1197,"-",0)="-",0,MATCH(_xlfn.XLOOKUP($A1128,Korrelation!$D$4:$D$1197,Korrelation!E$4:E$1197,"",0),DMAV_Modell!$G$6:$G$677,0)))</f>
        <v>639</v>
      </c>
      <c r="C1128" s="57">
        <f>IF($A1128="","",IF(_xlfn.XLOOKUP($A1128,Korrelation!$D$4:$D$1197,Korrelation!F$4:F$1197,"-",0)="-",0,MATCH(_xlfn.XLOOKUP($A1128,Korrelation!$D$4:$D$1197,Korrelation!F$4:F$1197,"",0),DMAV_Modell!$G$6:$G$677,0)))</f>
        <v>0</v>
      </c>
      <c r="D1128" s="57">
        <f>IF($A1128="","",IF(_xlfn.XLOOKUP($A1128,Korrelation!$D$4:$D$1197,Korrelation!G$4:G$1197,"-",0)="-",0,MATCH(_xlfn.XLOOKUP($A1128,Korrelation!$D$4:$D$1197,Korrelation!G$4:G$1197,"",0),DMAV_Modell!$G$6:$G$677,0)))</f>
        <v>0</v>
      </c>
      <c r="E1128" s="57">
        <f>IF($A1128="","",IF(_xlfn.XLOOKUP($A1128,Korrelation!$D$4:$D$1197,Korrelation!H$4:H$1197,"-",0)="-",0,MATCH(_xlfn.XLOOKUP($A1128,Korrelation!$D$4:$D$1197,Korrelation!H$4:H$1197,"",0),DMAV_Dienste!$F$6:$F$140,0)))</f>
        <v>0</v>
      </c>
      <c r="F1128" s="57">
        <f>IF($A1128="","",IF(_xlfn.XLOOKUP($A1128,Korrelation!$D$4:$D$1197,Korrelation!I$4:I$1197,"-",0)="-",0,MATCH(_xlfn.XLOOKUP($A1128,Korrelation!$D$4:$D$1197,Korrelation!I$4:I$1197,"",0),DMAV_Dienste!$F$6:$F$140,0)))</f>
        <v>0</v>
      </c>
      <c r="G1128" s="57">
        <f>IF($A1128="","",IF(_xlfn.XLOOKUP($A1128,Korrelation!$D$4:$D$1197,Korrelation!J$4:J$1197,"-",0)="-",0,MATCH(_xlfn.XLOOKUP($A1128,Korrelation!$D$4:$D$1197,Korrelation!J$4:J$1197,"",0),DMAV_Dienste!$F$6:$F$140,0)))</f>
        <v>0</v>
      </c>
      <c r="H1128" s="57">
        <f>IF($A1128="","",IF(_xlfn.XLOOKUP($A1128,Korrelation!$D$4:$D$1197,Korrelation!K$4:K$1197,"-",0)="-",0,MATCH(_xlfn.XLOOKUP($A1128,Korrelation!$D$4:$D$1197,Korrelation!K$4:K$1197,"",0),'DM01-AV-CH'!$A$6:$A$834,0)))</f>
        <v>705</v>
      </c>
      <c r="J1128" s="54" t="str" cm="1">
        <f t="array" aca="1" ref="J1128" ca="1">IF(B1128=0,IF(E1128=0,"",HYPERLINK("#"&amp;RIGHT(CELL("adresse",OFFSET(DMAV_Dienste!$M$6,E1128-1,0)),LEN(CELL("adresse",OFFSET(DMAV_Dienste!$M$6,E1128-1,0)))-FIND("]",CELL("adresse",OFFSET(DMAV_Dienste!$M$6,E1128-1,0)))),"Dienst")),HYPERLINK("#"&amp;RIGHT(CELL("adresse",OFFSET(DMAV_Modell!$N$6,B1128-1,0)),LEN(CELL("adresse",OFFSET(DMAV_Modell!$N$6,B1128-1,0)))-FIND("]",CELL("adresse",OFFSET(DMAV_Modell!$N$6,B1128-1,0)))),"Modell"))</f>
        <v>Modell</v>
      </c>
      <c r="K1128" s="61" t="str" cm="1">
        <f t="array" ref="K1128">IF($B1128=0,IF($E1128=0,"",IF(INDEX(DMAV_Dienste!P$6:P$140,$E1128)="","",INDEX(DMAV_Dienste!P$6:P$140,$E1128))),IF(INDEX(DMAV_Modell!Q$6:Q$838,$B1128)="","",INDEX(DMAV_Modell!Q$6:Q$838,$B1128)))</f>
        <v>CLASS</v>
      </c>
      <c r="L1128" s="62" t="str" cm="1">
        <f t="array" ref="L1128">IF($B1128=0,IF($E1128=0,"",IF(INDEX(DMAV_Dienste!O$6:O$140,$E1128)="","",INDEX(DMAV_Dienste!O$6:O$140,$E1128))),IF(INDEX(DMAV_Modell!P$6:P$838,$B1128)="","",INDEX(DMAV_Modell!P$6:P$838,$B1128)))</f>
        <v>Gebaeudeadressen</v>
      </c>
      <c r="M1128" s="62" t="str" cm="1">
        <f t="array" ref="M1128">IF($B1128=0,IF($E1128=0,"",IF(INDEX(DMAV_Dienste!Q$6:Q$140,$E1128)="","",INDEX(DMAV_Dienste!Q$6:Q$140,$E1128))),IF(INDEX(DMAV_Modell!R$6:R$838,$B1128)="","",INDEX(DMAV_Modell!R$6:R$838,$B1128)))</f>
        <v>Lokalisation</v>
      </c>
      <c r="N1128" s="62" t="str" cm="1">
        <f t="array" ref="N1128">IF($B1128=0,IF($E1128=0,"",IF(INDEX(DMAV_Dienste!T$6:T$140,$E1128)="","",INDEX(DMAV_Dienste!T$6:T$140,$E1128))),IF(INDEX(DMAV_Modell!U$6:U$838,$B1128)="","",INDEX(DMAV_Modell!U$6:U$838,$B1128)))</f>
        <v>Nummerierungsprinzip</v>
      </c>
      <c r="O1128" s="63" t="str" cm="1">
        <f t="array" aca="1" ref="O1128" ca="1">IF(C1128=0,IF(F1128=0,"",HYPERLINK("#"&amp;RIGHT(CELL("adresse",OFFSET(DMAV_Dienste!$M$6,F1128-1,0)),LEN(CELL("adresse",OFFSET(DMAV_Dienste!$M$6,F1128-1,0)))-FIND("]",CELL("adresse",OFFSET(DMAV_Dienste!$M$6,F1128-1,0)))),"Structure")),HYPERLINK("#"&amp;RIGHT(CELL("adresse",OFFSET(DMAV_Modell!$N$6,C1128-1,0)),LEN(CELL("adresse",OFFSET(DMAV_Modell!$N$6,C1128-1,0)))-FIND("]",CELL("adresse",OFFSET(DMAV_Modell!$N$6,C1128-1,0)))),"Structure"))</f>
        <v/>
      </c>
      <c r="P1128" s="64" t="str" cm="1">
        <f t="array" aca="1" ref="P1128" ca="1">IF(D1128=0,IF(G1128=0,"",HYPERLINK("#"&amp;RIGHT(CELL("adresse",OFFSET(DMAV_Dienste!$M$6,G1128-1,0)),LEN(CELL("adresse",OFFSET(DMAV_Dienste!$M$6,G1128-1,0)))-FIND("]",CELL("adresse",OFFSET(DMAV_Dienste!$M$6,G1128-1,0)))),"Substructure")),HYPERLINK("#"&amp;RIGHT(CELL("adresse",OFFSET(DMAV_Modell!$N$6,D1128-1,0)),LEN(CELL("adresse",OFFSET(DMAV_Modell!$N$6,D1128-1,0)))-FIND("]",CELL("adresse",OFFSET(DMAV_Modell!$N$6,D1128-1,0)))),"Substructure"))</f>
        <v/>
      </c>
      <c r="R1128" s="80"/>
      <c r="T1128" s="93"/>
      <c r="U1128" s="94"/>
      <c r="V1128" s="95"/>
      <c r="W1128" s="96"/>
      <c r="Y1128" s="85"/>
      <c r="Z1128" s="86"/>
      <c r="AA1128" s="87"/>
      <c r="AB1128" s="88"/>
      <c r="AD1128" s="77"/>
      <c r="AF1128" s="54" t="str" cm="1">
        <f t="array" aca="1" ref="AF1128" ca="1">IF(H1128=0,"",HYPERLINK("#"&amp;RIGHT(CELL("adresse",OFFSET('DM01-AV-CH'!$G$6,H1128-1,0)),LEN(CELL("adresse",OFFSET('DM01-AV-CH'!$G$6,H1128-1,0)))-FIND("]",CELL("adresse",OFFSET('DM01-AV-CH'!$G$6,H1128-1,0)))),"Modell"))</f>
        <v>Modell</v>
      </c>
      <c r="AG1128" s="72" t="str" cm="1">
        <f t="array" ref="AG1128">IF($H1128=0,"",IF(INDEX('DM01-AV-CH'!G$6:G$834,$H1128)="","",INDEX('DM01-AV-CH'!G$6:G$834,$H1128)))</f>
        <v>Gebaeudeadressen</v>
      </c>
      <c r="AH1128" s="73" t="str" cm="1">
        <f t="array" ref="AH1128">IF($H1128=0,"",IF(INDEX('DM01-AV-CH'!H$6:H$834,$H1128)="","",INDEX('DM01-AV-CH'!H$6:H$834,$H1128)))</f>
        <v>Lokalisation</v>
      </c>
      <c r="AI1128" s="74" t="str" cm="1">
        <f t="array" ref="AI1128">IF($H1128=0,"",IF(INDEX('DM01-AV-CH'!I$6:I$834,$H1128)="","",INDEX('DM01-AV-CH'!I$6:I$834,$H1128)))</f>
        <v>Nummerierungsprinzip</v>
      </c>
    </row>
    <row r="1129" spans="1:35" x14ac:dyDescent="0.25">
      <c r="A1129" s="57">
        <v>1124</v>
      </c>
      <c r="B1129" s="57">
        <f>IF($A1129="","",IF(_xlfn.XLOOKUP($A1129,Korrelation!$D$4:$D$1197,Korrelation!E$4:E$1197,"-",0)="-",0,MATCH(_xlfn.XLOOKUP($A1129,Korrelation!$D$4:$D$1197,Korrelation!E$4:E$1197,"",0),DMAV_Modell!$G$6:$G$677,0)))</f>
        <v>640</v>
      </c>
      <c r="C1129" s="57">
        <f>IF($A1129="","",IF(_xlfn.XLOOKUP($A1129,Korrelation!$D$4:$D$1197,Korrelation!F$4:F$1197,"-",0)="-",0,MATCH(_xlfn.XLOOKUP($A1129,Korrelation!$D$4:$D$1197,Korrelation!F$4:F$1197,"",0),DMAV_Modell!$G$6:$G$677,0)))</f>
        <v>0</v>
      </c>
      <c r="D1129" s="57">
        <f>IF($A1129="","",IF(_xlfn.XLOOKUP($A1129,Korrelation!$D$4:$D$1197,Korrelation!G$4:G$1197,"-",0)="-",0,MATCH(_xlfn.XLOOKUP($A1129,Korrelation!$D$4:$D$1197,Korrelation!G$4:G$1197,"",0),DMAV_Modell!$G$6:$G$677,0)))</f>
        <v>0</v>
      </c>
      <c r="E1129" s="57">
        <f>IF($A1129="","",IF(_xlfn.XLOOKUP($A1129,Korrelation!$D$4:$D$1197,Korrelation!H$4:H$1197,"-",0)="-",0,MATCH(_xlfn.XLOOKUP($A1129,Korrelation!$D$4:$D$1197,Korrelation!H$4:H$1197,"",0),DMAV_Dienste!$F$6:$F$140,0)))</f>
        <v>0</v>
      </c>
      <c r="F1129" s="57">
        <f>IF($A1129="","",IF(_xlfn.XLOOKUP($A1129,Korrelation!$D$4:$D$1197,Korrelation!I$4:I$1197,"-",0)="-",0,MATCH(_xlfn.XLOOKUP($A1129,Korrelation!$D$4:$D$1197,Korrelation!I$4:I$1197,"",0),DMAV_Dienste!$F$6:$F$140,0)))</f>
        <v>0</v>
      </c>
      <c r="G1129" s="57">
        <f>IF($A1129="","",IF(_xlfn.XLOOKUP($A1129,Korrelation!$D$4:$D$1197,Korrelation!J$4:J$1197,"-",0)="-",0,MATCH(_xlfn.XLOOKUP($A1129,Korrelation!$D$4:$D$1197,Korrelation!J$4:J$1197,"",0),DMAV_Dienste!$F$6:$F$140,0)))</f>
        <v>0</v>
      </c>
      <c r="H1129" s="57">
        <f>IF($A1129="","",IF(_xlfn.XLOOKUP($A1129,Korrelation!$D$4:$D$1197,Korrelation!K$4:K$1197,"-",0)="-",0,MATCH(_xlfn.XLOOKUP($A1129,Korrelation!$D$4:$D$1197,Korrelation!K$4:K$1197,"",0),'DM01-AV-CH'!$A$6:$A$834,0)))</f>
        <v>0</v>
      </c>
      <c r="J1129" s="54" t="str" cm="1">
        <f t="array" aca="1" ref="J1129" ca="1">IF(B1129=0,IF(E1129=0,"",HYPERLINK("#"&amp;RIGHT(CELL("adresse",OFFSET(DMAV_Dienste!$M$6,E1129-1,0)),LEN(CELL("adresse",OFFSET(DMAV_Dienste!$M$6,E1129-1,0)))-FIND("]",CELL("adresse",OFFSET(DMAV_Dienste!$M$6,E1129-1,0)))),"Dienst")),HYPERLINK("#"&amp;RIGHT(CELL("adresse",OFFSET(DMAV_Modell!$N$6,B1129-1,0)),LEN(CELL("adresse",OFFSET(DMAV_Modell!$N$6,B1129-1,0)))-FIND("]",CELL("adresse",OFFSET(DMAV_Modell!$N$6,B1129-1,0)))),"Modell"))</f>
        <v>Modell</v>
      </c>
      <c r="K1129" s="61" t="str" cm="1">
        <f t="array" ref="K1129">IF($B1129=0,IF($E1129=0,"",IF(INDEX(DMAV_Dienste!P$6:P$140,$E1129)="","",INDEX(DMAV_Dienste!P$6:P$140,$E1129))),IF(INDEX(DMAV_Modell!Q$6:Q$838,$B1129)="","",INDEX(DMAV_Modell!Q$6:Q$838,$B1129)))</f>
        <v>CLASS</v>
      </c>
      <c r="L1129" s="62" t="str" cm="1">
        <f t="array" ref="L1129">IF($B1129=0,IF($E1129=0,"",IF(INDEX(DMAV_Dienste!O$6:O$140,$E1129)="","",INDEX(DMAV_Dienste!O$6:O$140,$E1129))),IF(INDEX(DMAV_Modell!P$6:P$838,$B1129)="","",INDEX(DMAV_Modell!P$6:P$838,$B1129)))</f>
        <v>Gebaeudeadressen</v>
      </c>
      <c r="M1129" s="62" t="str" cm="1">
        <f t="array" ref="M1129">IF($B1129=0,IF($E1129=0,"",IF(INDEX(DMAV_Dienste!Q$6:Q$140,$E1129)="","",INDEX(DMAV_Dienste!Q$6:Q$140,$E1129))),IF(INDEX(DMAV_Modell!R$6:R$838,$B1129)="","",INDEX(DMAV_Modell!R$6:R$838,$B1129)))</f>
        <v>Lokalisation</v>
      </c>
      <c r="N1129" s="62" t="str" cm="1">
        <f t="array" ref="N1129">IF($B1129=0,IF($E1129=0,"",IF(INDEX(DMAV_Dienste!T$6:T$140,$E1129)="","",INDEX(DMAV_Dienste!T$6:T$140,$E1129))),IF(INDEX(DMAV_Modell!U$6:U$838,$B1129)="","",INDEX(DMAV_Modell!U$6:U$838,$B1129)))</f>
        <v>ESID</v>
      </c>
      <c r="O1129" s="63" t="str" cm="1">
        <f t="array" aca="1" ref="O1129" ca="1">IF(C1129=0,IF(F1129=0,"",HYPERLINK("#"&amp;RIGHT(CELL("adresse",OFFSET(DMAV_Dienste!$M$6,F1129-1,0)),LEN(CELL("adresse",OFFSET(DMAV_Dienste!$M$6,F1129-1,0)))-FIND("]",CELL("adresse",OFFSET(DMAV_Dienste!$M$6,F1129-1,0)))),"Structure")),HYPERLINK("#"&amp;RIGHT(CELL("adresse",OFFSET(DMAV_Modell!$N$6,C1129-1,0)),LEN(CELL("adresse",OFFSET(DMAV_Modell!$N$6,C1129-1,0)))-FIND("]",CELL("adresse",OFFSET(DMAV_Modell!$N$6,C1129-1,0)))),"Structure"))</f>
        <v/>
      </c>
      <c r="P1129" s="64" t="str" cm="1">
        <f t="array" aca="1" ref="P1129" ca="1">IF(D1129=0,IF(G1129=0,"",HYPERLINK("#"&amp;RIGHT(CELL("adresse",OFFSET(DMAV_Dienste!$M$6,G1129-1,0)),LEN(CELL("adresse",OFFSET(DMAV_Dienste!$M$6,G1129-1,0)))-FIND("]",CELL("adresse",OFFSET(DMAV_Dienste!$M$6,G1129-1,0)))),"Substructure")),HYPERLINK("#"&amp;RIGHT(CELL("adresse",OFFSET(DMAV_Modell!$N$6,D1129-1,0)),LEN(CELL("adresse",OFFSET(DMAV_Modell!$N$6,D1129-1,0)))-FIND("]",CELL("adresse",OFFSET(DMAV_Modell!$N$6,D1129-1,0)))),"Substructure"))</f>
        <v/>
      </c>
      <c r="R1129" s="80"/>
      <c r="T1129" s="93"/>
      <c r="U1129" s="94"/>
      <c r="V1129" s="95"/>
      <c r="W1129" s="96"/>
      <c r="Y1129" s="85"/>
      <c r="Z1129" s="86"/>
      <c r="AA1129" s="87"/>
      <c r="AB1129" s="88"/>
      <c r="AD1129" s="77"/>
      <c r="AF1129" s="54" t="str" cm="1">
        <f t="array" aca="1" ref="AF1129" ca="1">IF(H1129=0,"",HYPERLINK("#"&amp;RIGHT(CELL("adresse",OFFSET('DM01-AV-CH'!$G$6,H1129-1,0)),LEN(CELL("adresse",OFFSET('DM01-AV-CH'!$G$6,H1129-1,0)))-FIND("]",CELL("adresse",OFFSET('DM01-AV-CH'!$G$6,H1129-1,0)))),"Modell"))</f>
        <v/>
      </c>
      <c r="AG1129" s="72" t="str" cm="1">
        <f t="array" ref="AG1129">IF($H1129=0,"",IF(INDEX('DM01-AV-CH'!G$6:G$834,$H1129)="","",INDEX('DM01-AV-CH'!G$6:G$834,$H1129)))</f>
        <v/>
      </c>
      <c r="AH1129" s="73" t="str" cm="1">
        <f t="array" ref="AH1129">IF($H1129=0,"",IF(INDEX('DM01-AV-CH'!H$6:H$834,$H1129)="","",INDEX('DM01-AV-CH'!H$6:H$834,$H1129)))</f>
        <v/>
      </c>
      <c r="AI1129" s="74" t="str" cm="1">
        <f t="array" ref="AI1129">IF($H1129=0,"",IF(INDEX('DM01-AV-CH'!I$6:I$834,$H1129)="","",INDEX('DM01-AV-CH'!I$6:I$834,$H1129)))</f>
        <v/>
      </c>
    </row>
    <row r="1130" spans="1:35" x14ac:dyDescent="0.25">
      <c r="A1130" s="57">
        <v>1125</v>
      </c>
      <c r="B1130" s="57">
        <f>IF($A1130="","",IF(_xlfn.XLOOKUP($A1130,Korrelation!$D$4:$D$1197,Korrelation!E$4:E$1197,"-",0)="-",0,MATCH(_xlfn.XLOOKUP($A1130,Korrelation!$D$4:$D$1197,Korrelation!E$4:E$1197,"",0),DMAV_Modell!$G$6:$G$677,0)))</f>
        <v>0</v>
      </c>
      <c r="C1130" s="57">
        <f>IF($A1130="","",IF(_xlfn.XLOOKUP($A1130,Korrelation!$D$4:$D$1197,Korrelation!F$4:F$1197,"-",0)="-",0,MATCH(_xlfn.XLOOKUP($A1130,Korrelation!$D$4:$D$1197,Korrelation!F$4:F$1197,"",0),DMAV_Modell!$G$6:$G$677,0)))</f>
        <v>0</v>
      </c>
      <c r="D1130" s="57">
        <f>IF($A1130="","",IF(_xlfn.XLOOKUP($A1130,Korrelation!$D$4:$D$1197,Korrelation!G$4:G$1197,"-",0)="-",0,MATCH(_xlfn.XLOOKUP($A1130,Korrelation!$D$4:$D$1197,Korrelation!G$4:G$1197,"",0),DMAV_Modell!$G$6:$G$677,0)))</f>
        <v>0</v>
      </c>
      <c r="E1130" s="57">
        <f>IF($A1130="","",IF(_xlfn.XLOOKUP($A1130,Korrelation!$D$4:$D$1197,Korrelation!H$4:H$1197,"-",0)="-",0,MATCH(_xlfn.XLOOKUP($A1130,Korrelation!$D$4:$D$1197,Korrelation!H$4:H$1197,"",0),DMAV_Dienste!$F$6:$F$140,0)))</f>
        <v>0</v>
      </c>
      <c r="F1130" s="57">
        <f>IF($A1130="","",IF(_xlfn.XLOOKUP($A1130,Korrelation!$D$4:$D$1197,Korrelation!I$4:I$1197,"-",0)="-",0,MATCH(_xlfn.XLOOKUP($A1130,Korrelation!$D$4:$D$1197,Korrelation!I$4:I$1197,"",0),DMAV_Dienste!$F$6:$F$140,0)))</f>
        <v>0</v>
      </c>
      <c r="G1130" s="57">
        <f>IF($A1130="","",IF(_xlfn.XLOOKUP($A1130,Korrelation!$D$4:$D$1197,Korrelation!J$4:J$1197,"-",0)="-",0,MATCH(_xlfn.XLOOKUP($A1130,Korrelation!$D$4:$D$1197,Korrelation!J$4:J$1197,"",0),DMAV_Dienste!$F$6:$F$140,0)))</f>
        <v>0</v>
      </c>
      <c r="H1130" s="57">
        <f>IF($A1130="","",IF(_xlfn.XLOOKUP($A1130,Korrelation!$D$4:$D$1197,Korrelation!K$4:K$1197,"-",0)="-",0,MATCH(_xlfn.XLOOKUP($A1130,Korrelation!$D$4:$D$1197,Korrelation!K$4:K$1197,"",0),'DM01-AV-CH'!$A$6:$A$834,0)))</f>
        <v>712</v>
      </c>
      <c r="J1130" s="54" t="str" cm="1">
        <f t="array" aca="1" ref="J1130" ca="1">IF(B1130=0,IF(E1130=0,"",HYPERLINK("#"&amp;RIGHT(CELL("adresse",OFFSET(DMAV_Dienste!$M$6,E1130-1,0)),LEN(CELL("adresse",OFFSET(DMAV_Dienste!$M$6,E1130-1,0)))-FIND("]",CELL("adresse",OFFSET(DMAV_Dienste!$M$6,E1130-1,0)))),"Dienst")),HYPERLINK("#"&amp;RIGHT(CELL("adresse",OFFSET(DMAV_Modell!$N$6,B1130-1,0)),LEN(CELL("adresse",OFFSET(DMAV_Modell!$N$6,B1130-1,0)))-FIND("]",CELL("adresse",OFFSET(DMAV_Modell!$N$6,B1130-1,0)))),"Modell"))</f>
        <v/>
      </c>
      <c r="K1130" s="61" t="str" cm="1">
        <f t="array" ref="K1130">IF($B1130=0,IF($E1130=0,"",IF(INDEX(DMAV_Dienste!P$6:P$140,$E1130)="","",INDEX(DMAV_Dienste!P$6:P$140,$E1130))),IF(INDEX(DMAV_Modell!Q$6:Q$838,$B1130)="","",INDEX(DMAV_Modell!Q$6:Q$838,$B1130)))</f>
        <v/>
      </c>
      <c r="L1130" s="62" t="str" cm="1">
        <f t="array" ref="L1130">IF($B1130=0,IF($E1130=0,"",IF(INDEX(DMAV_Dienste!O$6:O$140,$E1130)="","",INDEX(DMAV_Dienste!O$6:O$140,$E1130))),IF(INDEX(DMAV_Modell!P$6:P$838,$B1130)="","",INDEX(DMAV_Modell!P$6:P$838,$B1130)))</f>
        <v/>
      </c>
      <c r="M1130" s="62" t="str" cm="1">
        <f t="array" ref="M1130">IF($B1130=0,IF($E1130=0,"",IF(INDEX(DMAV_Dienste!Q$6:Q$140,$E1130)="","",INDEX(DMAV_Dienste!Q$6:Q$140,$E1130))),IF(INDEX(DMAV_Modell!R$6:R$838,$B1130)="","",INDEX(DMAV_Modell!R$6:R$838,$B1130)))</f>
        <v/>
      </c>
      <c r="N1130" s="62" t="str" cm="1">
        <f t="array" ref="N1130">IF($B1130=0,IF($E1130=0,"",IF(INDEX(DMAV_Dienste!T$6:T$140,$E1130)="","",INDEX(DMAV_Dienste!T$6:T$140,$E1130))),IF(INDEX(DMAV_Modell!U$6:U$838,$B1130)="","",INDEX(DMAV_Modell!U$6:U$838,$B1130)))</f>
        <v/>
      </c>
      <c r="O1130" s="63" t="str" cm="1">
        <f t="array" aca="1" ref="O1130" ca="1">IF(C1130=0,IF(F1130=0,"",HYPERLINK("#"&amp;RIGHT(CELL("adresse",OFFSET(DMAV_Dienste!$M$6,F1130-1,0)),LEN(CELL("adresse",OFFSET(DMAV_Dienste!$M$6,F1130-1,0)))-FIND("]",CELL("adresse",OFFSET(DMAV_Dienste!$M$6,F1130-1,0)))),"Structure")),HYPERLINK("#"&amp;RIGHT(CELL("adresse",OFFSET(DMAV_Modell!$N$6,C1130-1,0)),LEN(CELL("adresse",OFFSET(DMAV_Modell!$N$6,C1130-1,0)))-FIND("]",CELL("adresse",OFFSET(DMAV_Modell!$N$6,C1130-1,0)))),"Structure"))</f>
        <v/>
      </c>
      <c r="P1130" s="64" t="str" cm="1">
        <f t="array" aca="1" ref="P1130" ca="1">IF(D1130=0,IF(G1130=0,"",HYPERLINK("#"&amp;RIGHT(CELL("adresse",OFFSET(DMAV_Dienste!$M$6,G1130-1,0)),LEN(CELL("adresse",OFFSET(DMAV_Dienste!$M$6,G1130-1,0)))-FIND("]",CELL("adresse",OFFSET(DMAV_Dienste!$M$6,G1130-1,0)))),"Substructure")),HYPERLINK("#"&amp;RIGHT(CELL("adresse",OFFSET(DMAV_Modell!$N$6,D1130-1,0)),LEN(CELL("adresse",OFFSET(DMAV_Modell!$N$6,D1130-1,0)))-FIND("]",CELL("adresse",OFFSET(DMAV_Modell!$N$6,D1130-1,0)))),"Substructure"))</f>
        <v/>
      </c>
      <c r="R1130" s="80"/>
      <c r="T1130" s="93"/>
      <c r="U1130" s="94"/>
      <c r="V1130" s="95"/>
      <c r="W1130" s="96"/>
      <c r="Y1130" s="85"/>
      <c r="Z1130" s="86"/>
      <c r="AA1130" s="87"/>
      <c r="AB1130" s="88"/>
      <c r="AD1130" s="77"/>
      <c r="AF1130" s="54" t="str" cm="1">
        <f t="array" aca="1" ref="AF1130" ca="1">IF(H1130=0,"",HYPERLINK("#"&amp;RIGHT(CELL("adresse",OFFSET('DM01-AV-CH'!$G$6,H1130-1,0)),LEN(CELL("adresse",OFFSET('DM01-AV-CH'!$G$6,H1130-1,0)))-FIND("]",CELL("adresse",OFFSET('DM01-AV-CH'!$G$6,H1130-1,0)))),"Modell"))</f>
        <v>Modell</v>
      </c>
      <c r="AG1130" s="72" t="str" cm="1">
        <f t="array" ref="AG1130">IF($H1130=0,"",IF(INDEX('DM01-AV-CH'!G$6:G$834,$H1130)="","",INDEX('DM01-AV-CH'!G$6:G$834,$H1130)))</f>
        <v>Gebaeudeadressen</v>
      </c>
      <c r="AH1130" s="73" t="str" cm="1">
        <f t="array" ref="AH1130">IF($H1130=0,"",IF(INDEX('DM01-AV-CH'!H$6:H$834,$H1130)="","",INDEX('DM01-AV-CH'!H$6:H$834,$H1130)))</f>
        <v>LokalisationsName</v>
      </c>
      <c r="AI1130" s="74" t="str" cm="1">
        <f t="array" ref="AI1130">IF($H1130=0,"",IF(INDEX('DM01-AV-CH'!I$6:I$834,$H1130)="","",INDEX('DM01-AV-CH'!I$6:I$834,$H1130)))</f>
        <v>Benannte</v>
      </c>
    </row>
    <row r="1131" spans="1:35" ht="28.5" x14ac:dyDescent="0.25">
      <c r="A1131" s="57">
        <v>1126</v>
      </c>
      <c r="B1131" s="57">
        <f>IF($A1131="","",IF(_xlfn.XLOOKUP($A1131,Korrelation!$D$4:$D$1197,Korrelation!E$4:E$1197,"-",0)="-",0,MATCH(_xlfn.XLOOKUP($A1131,Korrelation!$D$4:$D$1197,Korrelation!E$4:E$1197,"",0),DMAV_Modell!$G$6:$G$677,0)))</f>
        <v>641</v>
      </c>
      <c r="C1131" s="57">
        <f>IF($A1131="","",IF(_xlfn.XLOOKUP($A1131,Korrelation!$D$4:$D$1197,Korrelation!F$4:F$1197,"-",0)="-",0,MATCH(_xlfn.XLOOKUP($A1131,Korrelation!$D$4:$D$1197,Korrelation!F$4:F$1197,"",0),DMAV_Modell!$G$6:$G$677,0)))</f>
        <v>625</v>
      </c>
      <c r="D1131" s="57">
        <f>IF($A1131="","",IF(_xlfn.XLOOKUP($A1131,Korrelation!$D$4:$D$1197,Korrelation!G$4:G$1197,"-",0)="-",0,MATCH(_xlfn.XLOOKUP($A1131,Korrelation!$D$4:$D$1197,Korrelation!G$4:G$1197,"",0),DMAV_Modell!$G$6:$G$677,0)))</f>
        <v>0</v>
      </c>
      <c r="E1131" s="57">
        <f>IF($A1131="","",IF(_xlfn.XLOOKUP($A1131,Korrelation!$D$4:$D$1197,Korrelation!H$4:H$1197,"-",0)="-",0,MATCH(_xlfn.XLOOKUP($A1131,Korrelation!$D$4:$D$1197,Korrelation!H$4:H$1197,"",0),DMAV_Dienste!$F$6:$F$140,0)))</f>
        <v>0</v>
      </c>
      <c r="F1131" s="57">
        <f>IF($A1131="","",IF(_xlfn.XLOOKUP($A1131,Korrelation!$D$4:$D$1197,Korrelation!I$4:I$1197,"-",0)="-",0,MATCH(_xlfn.XLOOKUP($A1131,Korrelation!$D$4:$D$1197,Korrelation!I$4:I$1197,"",0),DMAV_Dienste!$F$6:$F$140,0)))</f>
        <v>0</v>
      </c>
      <c r="G1131" s="57">
        <f>IF($A1131="","",IF(_xlfn.XLOOKUP($A1131,Korrelation!$D$4:$D$1197,Korrelation!J$4:J$1197,"-",0)="-",0,MATCH(_xlfn.XLOOKUP($A1131,Korrelation!$D$4:$D$1197,Korrelation!J$4:J$1197,"",0),DMAV_Dienste!$F$6:$F$140,0)))</f>
        <v>0</v>
      </c>
      <c r="H1131" s="57">
        <f>IF($A1131="","",IF(_xlfn.XLOOKUP($A1131,Korrelation!$D$4:$D$1197,Korrelation!K$4:K$1197,"-",0)="-",0,MATCH(_xlfn.XLOOKUP($A1131,Korrelation!$D$4:$D$1197,Korrelation!K$4:K$1197,"",0),'DM01-AV-CH'!$A$6:$A$834,0)))</f>
        <v>713</v>
      </c>
      <c r="J1131" s="54" t="str" cm="1">
        <f t="array" aca="1" ref="J1131" ca="1">IF(B1131=0,IF(E1131=0,"",HYPERLINK("#"&amp;RIGHT(CELL("adresse",OFFSET(DMAV_Dienste!$M$6,E1131-1,0)),LEN(CELL("adresse",OFFSET(DMAV_Dienste!$M$6,E1131-1,0)))-FIND("]",CELL("adresse",OFFSET(DMAV_Dienste!$M$6,E1131-1,0)))),"Dienst")),HYPERLINK("#"&amp;RIGHT(CELL("adresse",OFFSET(DMAV_Modell!$N$6,B1131-1,0)),LEN(CELL("adresse",OFFSET(DMAV_Modell!$N$6,B1131-1,0)))-FIND("]",CELL("adresse",OFFSET(DMAV_Modell!$N$6,B1131-1,0)))),"Modell"))</f>
        <v>Modell</v>
      </c>
      <c r="K1131" s="61" t="str" cm="1">
        <f t="array" ref="K1131">IF($B1131=0,IF($E1131=0,"",IF(INDEX(DMAV_Dienste!P$6:P$140,$E1131)="","",INDEX(DMAV_Dienste!P$6:P$140,$E1131))),IF(INDEX(DMAV_Modell!Q$6:Q$838,$B1131)="","",INDEX(DMAV_Modell!Q$6:Q$838,$B1131)))</f>
        <v>CLASS</v>
      </c>
      <c r="L1131" s="62" t="str" cm="1">
        <f t="array" ref="L1131">IF($B1131=0,IF($E1131=0,"",IF(INDEX(DMAV_Dienste!O$6:O$140,$E1131)="","",INDEX(DMAV_Dienste!O$6:O$140,$E1131))),IF(INDEX(DMAV_Modell!P$6:P$838,$B1131)="","",INDEX(DMAV_Modell!P$6:P$838,$B1131)))</f>
        <v>Gebaeudeadressen</v>
      </c>
      <c r="M1131" s="62" t="str" cm="1">
        <f t="array" ref="M1131">IF($B1131=0,IF($E1131=0,"",IF(INDEX(DMAV_Dienste!Q$6:Q$140,$E1131)="","",INDEX(DMAV_Dienste!Q$6:Q$140,$E1131))),IF(INDEX(DMAV_Modell!R$6:R$838,$B1131)="","",INDEX(DMAV_Modell!R$6:R$838,$B1131)))</f>
        <v>Lokalisation</v>
      </c>
      <c r="N1131" s="62" t="str" cm="1">
        <f t="array" ref="N1131">IF($B1131=0,IF($E1131=0,"",IF(INDEX(DMAV_Dienste!T$6:T$140,$E1131)="","",INDEX(DMAV_Dienste!T$6:T$140,$E1131))),IF(INDEX(DMAV_Modell!U$6:U$838,$B1131)="","",INDEX(DMAV_Modell!U$6:U$838,$B1131)))</f>
        <v>LokalisationName</v>
      </c>
      <c r="O1131" s="63" t="str" cm="1">
        <f t="array" aca="1" ref="O1131" ca="1">IF(C1131=0,IF(F1131=0,"",HYPERLINK("#"&amp;RIGHT(CELL("adresse",OFFSET(DMAV_Dienste!$M$6,F1131-1,0)),LEN(CELL("adresse",OFFSET(DMAV_Dienste!$M$6,F1131-1,0)))-FIND("]",CELL("adresse",OFFSET(DMAV_Dienste!$M$6,F1131-1,0)))),"Structure")),HYPERLINK("#"&amp;RIGHT(CELL("adresse",OFFSET(DMAV_Modell!$N$6,C1131-1,0)),LEN(CELL("adresse",OFFSET(DMAV_Modell!$N$6,C1131-1,0)))-FIND("]",CELL("adresse",OFFSET(DMAV_Modell!$N$6,C1131-1,0)))),"Structure"))</f>
        <v>Structure</v>
      </c>
      <c r="P1131" s="64" t="str" cm="1">
        <f t="array" aca="1" ref="P1131" ca="1">IF(D1131=0,IF(G1131=0,"",HYPERLINK("#"&amp;RIGHT(CELL("adresse",OFFSET(DMAV_Dienste!$M$6,G1131-1,0)),LEN(CELL("adresse",OFFSET(DMAV_Dienste!$M$6,G1131-1,0)))-FIND("]",CELL("adresse",OFFSET(DMAV_Dienste!$M$6,G1131-1,0)))),"Substructure")),HYPERLINK("#"&amp;RIGHT(CELL("adresse",OFFSET(DMAV_Modell!$N$6,D1131-1,0)),LEN(CELL("adresse",OFFSET(DMAV_Modell!$N$6,D1131-1,0)))-FIND("]",CELL("adresse",OFFSET(DMAV_Modell!$N$6,D1131-1,0)))),"Substructure"))</f>
        <v/>
      </c>
      <c r="R1131" s="80"/>
      <c r="T1131" s="93"/>
      <c r="U1131" s="94" t="s">
        <v>2980</v>
      </c>
      <c r="V1131" s="95" t="s">
        <v>3251</v>
      </c>
      <c r="W1131" s="96"/>
      <c r="Y1131" s="85"/>
      <c r="Z1131" s="86" t="s">
        <v>2980</v>
      </c>
      <c r="AA1131" s="87" t="s">
        <v>3252</v>
      </c>
      <c r="AB1131" s="88"/>
      <c r="AD1131" s="77"/>
      <c r="AF1131" s="54" t="str" cm="1">
        <f t="array" aca="1" ref="AF1131" ca="1">IF(H1131=0,"",HYPERLINK("#"&amp;RIGHT(CELL("adresse",OFFSET('DM01-AV-CH'!$G$6,H1131-1,0)),LEN(CELL("adresse",OFFSET('DM01-AV-CH'!$G$6,H1131-1,0)))-FIND("]",CELL("adresse",OFFSET('DM01-AV-CH'!$G$6,H1131-1,0)))),"Modell"))</f>
        <v>Modell</v>
      </c>
      <c r="AG1131" s="72" t="str" cm="1">
        <f t="array" ref="AG1131">IF($H1131=0,"",IF(INDEX('DM01-AV-CH'!G$6:G$834,$H1131)="","",INDEX('DM01-AV-CH'!G$6:G$834,$H1131)))</f>
        <v>Gebaeudeadressen</v>
      </c>
      <c r="AH1131" s="73" t="str" cm="1">
        <f t="array" ref="AH1131">IF($H1131=0,"",IF(INDEX('DM01-AV-CH'!H$6:H$834,$H1131)="","",INDEX('DM01-AV-CH'!H$6:H$834,$H1131)))</f>
        <v>LokalisationsName</v>
      </c>
      <c r="AI1131" s="74" t="str" cm="1">
        <f t="array" ref="AI1131">IF($H1131=0,"",IF(INDEX('DM01-AV-CH'!I$6:I$834,$H1131)="","",INDEX('DM01-AV-CH'!I$6:I$834,$H1131)))</f>
        <v>Text</v>
      </c>
    </row>
    <row r="1132" spans="1:35" ht="28.5" x14ac:dyDescent="0.25">
      <c r="A1132" s="57">
        <v>1127</v>
      </c>
      <c r="B1132" s="57">
        <f>IF($A1132="","",IF(_xlfn.XLOOKUP($A1132,Korrelation!$D$4:$D$1197,Korrelation!E$4:E$1197,"-",0)="-",0,MATCH(_xlfn.XLOOKUP($A1132,Korrelation!$D$4:$D$1197,Korrelation!E$4:E$1197,"",0),DMAV_Modell!$G$6:$G$677,0)))</f>
        <v>641</v>
      </c>
      <c r="C1132" s="57">
        <f>IF($A1132="","",IF(_xlfn.XLOOKUP($A1132,Korrelation!$D$4:$D$1197,Korrelation!F$4:F$1197,"-",0)="-",0,MATCH(_xlfn.XLOOKUP($A1132,Korrelation!$D$4:$D$1197,Korrelation!F$4:F$1197,"",0),DMAV_Modell!$G$6:$G$677,0)))</f>
        <v>626</v>
      </c>
      <c r="D1132" s="57">
        <f>IF($A1132="","",IF(_xlfn.XLOOKUP($A1132,Korrelation!$D$4:$D$1197,Korrelation!G$4:G$1197,"-",0)="-",0,MATCH(_xlfn.XLOOKUP($A1132,Korrelation!$D$4:$D$1197,Korrelation!G$4:G$1197,"",0),DMAV_Modell!$G$6:$G$677,0)))</f>
        <v>0</v>
      </c>
      <c r="E1132" s="57">
        <f>IF($A1132="","",IF(_xlfn.XLOOKUP($A1132,Korrelation!$D$4:$D$1197,Korrelation!H$4:H$1197,"-",0)="-",0,MATCH(_xlfn.XLOOKUP($A1132,Korrelation!$D$4:$D$1197,Korrelation!H$4:H$1197,"",0),DMAV_Dienste!$F$6:$F$140,0)))</f>
        <v>0</v>
      </c>
      <c r="F1132" s="57">
        <f>IF($A1132="","",IF(_xlfn.XLOOKUP($A1132,Korrelation!$D$4:$D$1197,Korrelation!I$4:I$1197,"-",0)="-",0,MATCH(_xlfn.XLOOKUP($A1132,Korrelation!$D$4:$D$1197,Korrelation!I$4:I$1197,"",0),DMAV_Dienste!$F$6:$F$140,0)))</f>
        <v>0</v>
      </c>
      <c r="G1132" s="57">
        <f>IF($A1132="","",IF(_xlfn.XLOOKUP($A1132,Korrelation!$D$4:$D$1197,Korrelation!J$4:J$1197,"-",0)="-",0,MATCH(_xlfn.XLOOKUP($A1132,Korrelation!$D$4:$D$1197,Korrelation!J$4:J$1197,"",0),DMAV_Dienste!$F$6:$F$140,0)))</f>
        <v>0</v>
      </c>
      <c r="H1132" s="57">
        <f>IF($A1132="","",IF(_xlfn.XLOOKUP($A1132,Korrelation!$D$4:$D$1197,Korrelation!K$4:K$1197,"-",0)="-",0,MATCH(_xlfn.XLOOKUP($A1132,Korrelation!$D$4:$D$1197,Korrelation!K$4:K$1197,"",0),'DM01-AV-CH'!$A$6:$A$834,0)))</f>
        <v>714</v>
      </c>
      <c r="J1132" s="54" t="str" cm="1">
        <f t="array" aca="1" ref="J1132" ca="1">IF(B1132=0,IF(E1132=0,"",HYPERLINK("#"&amp;RIGHT(CELL("adresse",OFFSET(DMAV_Dienste!$M$6,E1132-1,0)),LEN(CELL("adresse",OFFSET(DMAV_Dienste!$M$6,E1132-1,0)))-FIND("]",CELL("adresse",OFFSET(DMAV_Dienste!$M$6,E1132-1,0)))),"Dienst")),HYPERLINK("#"&amp;RIGHT(CELL("adresse",OFFSET(DMAV_Modell!$N$6,B1132-1,0)),LEN(CELL("adresse",OFFSET(DMAV_Modell!$N$6,B1132-1,0)))-FIND("]",CELL("adresse",OFFSET(DMAV_Modell!$N$6,B1132-1,0)))),"Modell"))</f>
        <v>Modell</v>
      </c>
      <c r="K1132" s="61" t="str" cm="1">
        <f t="array" ref="K1132">IF($B1132=0,IF($E1132=0,"",IF(INDEX(DMAV_Dienste!P$6:P$140,$E1132)="","",INDEX(DMAV_Dienste!P$6:P$140,$E1132))),IF(INDEX(DMAV_Modell!Q$6:Q$838,$B1132)="","",INDEX(DMAV_Modell!Q$6:Q$838,$B1132)))</f>
        <v>CLASS</v>
      </c>
      <c r="L1132" s="62" t="str" cm="1">
        <f t="array" ref="L1132">IF($B1132=0,IF($E1132=0,"",IF(INDEX(DMAV_Dienste!O$6:O$140,$E1132)="","",INDEX(DMAV_Dienste!O$6:O$140,$E1132))),IF(INDEX(DMAV_Modell!P$6:P$838,$B1132)="","",INDEX(DMAV_Modell!P$6:P$838,$B1132)))</f>
        <v>Gebaeudeadressen</v>
      </c>
      <c r="M1132" s="62" t="str" cm="1">
        <f t="array" ref="M1132">IF($B1132=0,IF($E1132=0,"",IF(INDEX(DMAV_Dienste!Q$6:Q$140,$E1132)="","",INDEX(DMAV_Dienste!Q$6:Q$140,$E1132))),IF(INDEX(DMAV_Modell!R$6:R$838,$B1132)="","",INDEX(DMAV_Modell!R$6:R$838,$B1132)))</f>
        <v>Lokalisation</v>
      </c>
      <c r="N1132" s="62" t="str" cm="1">
        <f t="array" ref="N1132">IF($B1132=0,IF($E1132=0,"",IF(INDEX(DMAV_Dienste!T$6:T$140,$E1132)="","",INDEX(DMAV_Dienste!T$6:T$140,$E1132))),IF(INDEX(DMAV_Modell!U$6:U$838,$B1132)="","",INDEX(DMAV_Modell!U$6:U$838,$B1132)))</f>
        <v>LokalisationName</v>
      </c>
      <c r="O1132" s="63" t="str" cm="1">
        <f t="array" aca="1" ref="O1132" ca="1">IF(C1132=0,IF(F1132=0,"",HYPERLINK("#"&amp;RIGHT(CELL("adresse",OFFSET(DMAV_Dienste!$M$6,F1132-1,0)),LEN(CELL("adresse",OFFSET(DMAV_Dienste!$M$6,F1132-1,0)))-FIND("]",CELL("adresse",OFFSET(DMAV_Dienste!$M$6,F1132-1,0)))),"Structure")),HYPERLINK("#"&amp;RIGHT(CELL("adresse",OFFSET(DMAV_Modell!$N$6,C1132-1,0)),LEN(CELL("adresse",OFFSET(DMAV_Modell!$N$6,C1132-1,0)))-FIND("]",CELL("adresse",OFFSET(DMAV_Modell!$N$6,C1132-1,0)))),"Structure"))</f>
        <v>Structure</v>
      </c>
      <c r="P1132" s="64" t="str" cm="1">
        <f t="array" aca="1" ref="P1132" ca="1">IF(D1132=0,IF(G1132=0,"",HYPERLINK("#"&amp;RIGHT(CELL("adresse",OFFSET(DMAV_Dienste!$M$6,G1132-1,0)),LEN(CELL("adresse",OFFSET(DMAV_Dienste!$M$6,G1132-1,0)))-FIND("]",CELL("adresse",OFFSET(DMAV_Dienste!$M$6,G1132-1,0)))),"Substructure")),HYPERLINK("#"&amp;RIGHT(CELL("adresse",OFFSET(DMAV_Modell!$N$6,D1132-1,0)),LEN(CELL("adresse",OFFSET(DMAV_Modell!$N$6,D1132-1,0)))-FIND("]",CELL("adresse",OFFSET(DMAV_Modell!$N$6,D1132-1,0)))),"Substructure"))</f>
        <v/>
      </c>
      <c r="R1132" s="80"/>
      <c r="T1132" s="93"/>
      <c r="U1132" s="94" t="s">
        <v>2980</v>
      </c>
      <c r="V1132" s="95" t="s">
        <v>3253</v>
      </c>
      <c r="W1132" s="96"/>
      <c r="Y1132" s="85"/>
      <c r="Z1132" s="86" t="s">
        <v>2980</v>
      </c>
      <c r="AA1132" s="87" t="s">
        <v>3254</v>
      </c>
      <c r="AB1132" s="88"/>
      <c r="AD1132" s="77"/>
      <c r="AF1132" s="54" t="str" cm="1">
        <f t="array" aca="1" ref="AF1132" ca="1">IF(H1132=0,"",HYPERLINK("#"&amp;RIGHT(CELL("adresse",OFFSET('DM01-AV-CH'!$G$6,H1132-1,0)),LEN(CELL("adresse",OFFSET('DM01-AV-CH'!$G$6,H1132-1,0)))-FIND("]",CELL("adresse",OFFSET('DM01-AV-CH'!$G$6,H1132-1,0)))),"Modell"))</f>
        <v>Modell</v>
      </c>
      <c r="AG1132" s="72" t="str" cm="1">
        <f t="array" ref="AG1132">IF($H1132=0,"",IF(INDEX('DM01-AV-CH'!G$6:G$834,$H1132)="","",INDEX('DM01-AV-CH'!G$6:G$834,$H1132)))</f>
        <v>Gebaeudeadressen</v>
      </c>
      <c r="AH1132" s="73" t="str" cm="1">
        <f t="array" ref="AH1132">IF($H1132=0,"",IF(INDEX('DM01-AV-CH'!H$6:H$834,$H1132)="","",INDEX('DM01-AV-CH'!H$6:H$834,$H1132)))</f>
        <v>LokalisationsName</v>
      </c>
      <c r="AI1132" s="74" t="str" cm="1">
        <f t="array" ref="AI1132">IF($H1132=0,"",IF(INDEX('DM01-AV-CH'!I$6:I$834,$H1132)="","",INDEX('DM01-AV-CH'!I$6:I$834,$H1132)))</f>
        <v>KurzText</v>
      </c>
    </row>
    <row r="1133" spans="1:35" ht="28.5" x14ac:dyDescent="0.25">
      <c r="A1133" s="57">
        <v>1128</v>
      </c>
      <c r="B1133" s="57">
        <f>IF($A1133="","",IF(_xlfn.XLOOKUP($A1133,Korrelation!$D$4:$D$1197,Korrelation!E$4:E$1197,"-",0)="-",0,MATCH(_xlfn.XLOOKUP($A1133,Korrelation!$D$4:$D$1197,Korrelation!E$4:E$1197,"",0),DMAV_Modell!$G$6:$G$677,0)))</f>
        <v>641</v>
      </c>
      <c r="C1133" s="57">
        <f>IF($A1133="","",IF(_xlfn.XLOOKUP($A1133,Korrelation!$D$4:$D$1197,Korrelation!F$4:F$1197,"-",0)="-",0,MATCH(_xlfn.XLOOKUP($A1133,Korrelation!$D$4:$D$1197,Korrelation!F$4:F$1197,"",0),DMAV_Modell!$G$6:$G$677,0)))</f>
        <v>627</v>
      </c>
      <c r="D1133" s="57">
        <f>IF($A1133="","",IF(_xlfn.XLOOKUP($A1133,Korrelation!$D$4:$D$1197,Korrelation!G$4:G$1197,"-",0)="-",0,MATCH(_xlfn.XLOOKUP($A1133,Korrelation!$D$4:$D$1197,Korrelation!G$4:G$1197,"",0),DMAV_Modell!$G$6:$G$677,0)))</f>
        <v>0</v>
      </c>
      <c r="E1133" s="57">
        <f>IF($A1133="","",IF(_xlfn.XLOOKUP($A1133,Korrelation!$D$4:$D$1197,Korrelation!H$4:H$1197,"-",0)="-",0,MATCH(_xlfn.XLOOKUP($A1133,Korrelation!$D$4:$D$1197,Korrelation!H$4:H$1197,"",0),DMAV_Dienste!$F$6:$F$140,0)))</f>
        <v>0</v>
      </c>
      <c r="F1133" s="57">
        <f>IF($A1133="","",IF(_xlfn.XLOOKUP($A1133,Korrelation!$D$4:$D$1197,Korrelation!I$4:I$1197,"-",0)="-",0,MATCH(_xlfn.XLOOKUP($A1133,Korrelation!$D$4:$D$1197,Korrelation!I$4:I$1197,"",0),DMAV_Dienste!$F$6:$F$140,0)))</f>
        <v>0</v>
      </c>
      <c r="G1133" s="57">
        <f>IF($A1133="","",IF(_xlfn.XLOOKUP($A1133,Korrelation!$D$4:$D$1197,Korrelation!J$4:J$1197,"-",0)="-",0,MATCH(_xlfn.XLOOKUP($A1133,Korrelation!$D$4:$D$1197,Korrelation!J$4:J$1197,"",0),DMAV_Dienste!$F$6:$F$140,0)))</f>
        <v>0</v>
      </c>
      <c r="H1133" s="57">
        <f>IF($A1133="","",IF(_xlfn.XLOOKUP($A1133,Korrelation!$D$4:$D$1197,Korrelation!K$4:K$1197,"-",0)="-",0,MATCH(_xlfn.XLOOKUP($A1133,Korrelation!$D$4:$D$1197,Korrelation!K$4:K$1197,"",0),'DM01-AV-CH'!$A$6:$A$834,0)))</f>
        <v>715</v>
      </c>
      <c r="J1133" s="54" t="str" cm="1">
        <f t="array" aca="1" ref="J1133" ca="1">IF(B1133=0,IF(E1133=0,"",HYPERLINK("#"&amp;RIGHT(CELL("adresse",OFFSET(DMAV_Dienste!$M$6,E1133-1,0)),LEN(CELL("adresse",OFFSET(DMAV_Dienste!$M$6,E1133-1,0)))-FIND("]",CELL("adresse",OFFSET(DMAV_Dienste!$M$6,E1133-1,0)))),"Dienst")),HYPERLINK("#"&amp;RIGHT(CELL("adresse",OFFSET(DMAV_Modell!$N$6,B1133-1,0)),LEN(CELL("adresse",OFFSET(DMAV_Modell!$N$6,B1133-1,0)))-FIND("]",CELL("adresse",OFFSET(DMAV_Modell!$N$6,B1133-1,0)))),"Modell"))</f>
        <v>Modell</v>
      </c>
      <c r="K1133" s="61" t="str" cm="1">
        <f t="array" ref="K1133">IF($B1133=0,IF($E1133=0,"",IF(INDEX(DMAV_Dienste!P$6:P$140,$E1133)="","",INDEX(DMAV_Dienste!P$6:P$140,$E1133))),IF(INDEX(DMAV_Modell!Q$6:Q$838,$B1133)="","",INDEX(DMAV_Modell!Q$6:Q$838,$B1133)))</f>
        <v>CLASS</v>
      </c>
      <c r="L1133" s="62" t="str" cm="1">
        <f t="array" ref="L1133">IF($B1133=0,IF($E1133=0,"",IF(INDEX(DMAV_Dienste!O$6:O$140,$E1133)="","",INDEX(DMAV_Dienste!O$6:O$140,$E1133))),IF(INDEX(DMAV_Modell!P$6:P$838,$B1133)="","",INDEX(DMAV_Modell!P$6:P$838,$B1133)))</f>
        <v>Gebaeudeadressen</v>
      </c>
      <c r="M1133" s="62" t="str" cm="1">
        <f t="array" ref="M1133">IF($B1133=0,IF($E1133=0,"",IF(INDEX(DMAV_Dienste!Q$6:Q$140,$E1133)="","",INDEX(DMAV_Dienste!Q$6:Q$140,$E1133))),IF(INDEX(DMAV_Modell!R$6:R$838,$B1133)="","",INDEX(DMAV_Modell!R$6:R$838,$B1133)))</f>
        <v>Lokalisation</v>
      </c>
      <c r="N1133" s="62" t="str" cm="1">
        <f t="array" ref="N1133">IF($B1133=0,IF($E1133=0,"",IF(INDEX(DMAV_Dienste!T$6:T$140,$E1133)="","",INDEX(DMAV_Dienste!T$6:T$140,$E1133))),IF(INDEX(DMAV_Modell!U$6:U$838,$B1133)="","",INDEX(DMAV_Modell!U$6:U$838,$B1133)))</f>
        <v>LokalisationName</v>
      </c>
      <c r="O1133" s="63" t="str" cm="1">
        <f t="array" aca="1" ref="O1133" ca="1">IF(C1133=0,IF(F1133=0,"",HYPERLINK("#"&amp;RIGHT(CELL("adresse",OFFSET(DMAV_Dienste!$M$6,F1133-1,0)),LEN(CELL("adresse",OFFSET(DMAV_Dienste!$M$6,F1133-1,0)))-FIND("]",CELL("adresse",OFFSET(DMAV_Dienste!$M$6,F1133-1,0)))),"Structure")),HYPERLINK("#"&amp;RIGHT(CELL("adresse",OFFSET(DMAV_Modell!$N$6,C1133-1,0)),LEN(CELL("adresse",OFFSET(DMAV_Modell!$N$6,C1133-1,0)))-FIND("]",CELL("adresse",OFFSET(DMAV_Modell!$N$6,C1133-1,0)))),"Structure"))</f>
        <v>Structure</v>
      </c>
      <c r="P1133" s="64" t="str" cm="1">
        <f t="array" aca="1" ref="P1133" ca="1">IF(D1133=0,IF(G1133=0,"",HYPERLINK("#"&amp;RIGHT(CELL("adresse",OFFSET(DMAV_Dienste!$M$6,G1133-1,0)),LEN(CELL("adresse",OFFSET(DMAV_Dienste!$M$6,G1133-1,0)))-FIND("]",CELL("adresse",OFFSET(DMAV_Dienste!$M$6,G1133-1,0)))),"Substructure")),HYPERLINK("#"&amp;RIGHT(CELL("adresse",OFFSET(DMAV_Modell!$N$6,D1133-1,0)),LEN(CELL("adresse",OFFSET(DMAV_Modell!$N$6,D1133-1,0)))-FIND("]",CELL("adresse",OFFSET(DMAV_Modell!$N$6,D1133-1,0)))),"Substructure"))</f>
        <v/>
      </c>
      <c r="R1133" s="80"/>
      <c r="T1133" s="93"/>
      <c r="U1133" s="94" t="s">
        <v>2980</v>
      </c>
      <c r="V1133" s="95" t="s">
        <v>3255</v>
      </c>
      <c r="W1133" s="96"/>
      <c r="Y1133" s="85"/>
      <c r="Z1133" s="86" t="s">
        <v>2980</v>
      </c>
      <c r="AA1133" s="87" t="s">
        <v>3256</v>
      </c>
      <c r="AB1133" s="88"/>
      <c r="AD1133" s="77"/>
      <c r="AF1133" s="54" t="str" cm="1">
        <f t="array" aca="1" ref="AF1133" ca="1">IF(H1133=0,"",HYPERLINK("#"&amp;RIGHT(CELL("adresse",OFFSET('DM01-AV-CH'!$G$6,H1133-1,0)),LEN(CELL("adresse",OFFSET('DM01-AV-CH'!$G$6,H1133-1,0)))-FIND("]",CELL("adresse",OFFSET('DM01-AV-CH'!$G$6,H1133-1,0)))),"Modell"))</f>
        <v>Modell</v>
      </c>
      <c r="AG1133" s="72" t="str" cm="1">
        <f t="array" ref="AG1133">IF($H1133=0,"",IF(INDEX('DM01-AV-CH'!G$6:G$834,$H1133)="","",INDEX('DM01-AV-CH'!G$6:G$834,$H1133)))</f>
        <v>Gebaeudeadressen</v>
      </c>
      <c r="AH1133" s="73" t="str" cm="1">
        <f t="array" ref="AH1133">IF($H1133=0,"",IF(INDEX('DM01-AV-CH'!H$6:H$834,$H1133)="","",INDEX('DM01-AV-CH'!H$6:H$834,$H1133)))</f>
        <v>LokalisationsName</v>
      </c>
      <c r="AI1133" s="74" t="str" cm="1">
        <f t="array" ref="AI1133">IF($H1133=0,"",IF(INDEX('DM01-AV-CH'!I$6:I$834,$H1133)="","",INDEX('DM01-AV-CH'!I$6:I$834,$H1133)))</f>
        <v>IndexText</v>
      </c>
    </row>
    <row r="1134" spans="1:35" ht="28.5" x14ac:dyDescent="0.25">
      <c r="A1134" s="57">
        <v>1129</v>
      </c>
      <c r="B1134" s="57">
        <f>IF($A1134="","",IF(_xlfn.XLOOKUP($A1134,Korrelation!$D$4:$D$1197,Korrelation!E$4:E$1197,"-",0)="-",0,MATCH(_xlfn.XLOOKUP($A1134,Korrelation!$D$4:$D$1197,Korrelation!E$4:E$1197,"",0),DMAV_Modell!$G$6:$G$677,0)))</f>
        <v>641</v>
      </c>
      <c r="C1134" s="57">
        <f>IF($A1134="","",IF(_xlfn.XLOOKUP($A1134,Korrelation!$D$4:$D$1197,Korrelation!F$4:F$1197,"-",0)="-",0,MATCH(_xlfn.XLOOKUP($A1134,Korrelation!$D$4:$D$1197,Korrelation!F$4:F$1197,"",0),DMAV_Modell!$G$6:$G$677,0)))</f>
        <v>628</v>
      </c>
      <c r="D1134" s="57">
        <f>IF($A1134="","",IF(_xlfn.XLOOKUP($A1134,Korrelation!$D$4:$D$1197,Korrelation!G$4:G$1197,"-",0)="-",0,MATCH(_xlfn.XLOOKUP($A1134,Korrelation!$D$4:$D$1197,Korrelation!G$4:G$1197,"",0),DMAV_Modell!$G$6:$G$677,0)))</f>
        <v>0</v>
      </c>
      <c r="E1134" s="57">
        <f>IF($A1134="","",IF(_xlfn.XLOOKUP($A1134,Korrelation!$D$4:$D$1197,Korrelation!H$4:H$1197,"-",0)="-",0,MATCH(_xlfn.XLOOKUP($A1134,Korrelation!$D$4:$D$1197,Korrelation!H$4:H$1197,"",0),DMAV_Dienste!$F$6:$F$140,0)))</f>
        <v>0</v>
      </c>
      <c r="F1134" s="57">
        <f>IF($A1134="","",IF(_xlfn.XLOOKUP($A1134,Korrelation!$D$4:$D$1197,Korrelation!I$4:I$1197,"-",0)="-",0,MATCH(_xlfn.XLOOKUP($A1134,Korrelation!$D$4:$D$1197,Korrelation!I$4:I$1197,"",0),DMAV_Dienste!$F$6:$F$140,0)))</f>
        <v>0</v>
      </c>
      <c r="G1134" s="57">
        <f>IF($A1134="","",IF(_xlfn.XLOOKUP($A1134,Korrelation!$D$4:$D$1197,Korrelation!J$4:J$1197,"-",0)="-",0,MATCH(_xlfn.XLOOKUP($A1134,Korrelation!$D$4:$D$1197,Korrelation!J$4:J$1197,"",0),DMAV_Dienste!$F$6:$F$140,0)))</f>
        <v>0</v>
      </c>
      <c r="H1134" s="57">
        <f>IF($A1134="","",IF(_xlfn.XLOOKUP($A1134,Korrelation!$D$4:$D$1197,Korrelation!K$4:K$1197,"-",0)="-",0,MATCH(_xlfn.XLOOKUP($A1134,Korrelation!$D$4:$D$1197,Korrelation!K$4:K$1197,"",0),'DM01-AV-CH'!$A$6:$A$834,0)))</f>
        <v>716</v>
      </c>
      <c r="J1134" s="54" t="str" cm="1">
        <f t="array" aca="1" ref="J1134" ca="1">IF(B1134=0,IF(E1134=0,"",HYPERLINK("#"&amp;RIGHT(CELL("adresse",OFFSET(DMAV_Dienste!$M$6,E1134-1,0)),LEN(CELL("adresse",OFFSET(DMAV_Dienste!$M$6,E1134-1,0)))-FIND("]",CELL("adresse",OFFSET(DMAV_Dienste!$M$6,E1134-1,0)))),"Dienst")),HYPERLINK("#"&amp;RIGHT(CELL("adresse",OFFSET(DMAV_Modell!$N$6,B1134-1,0)),LEN(CELL("adresse",OFFSET(DMAV_Modell!$N$6,B1134-1,0)))-FIND("]",CELL("adresse",OFFSET(DMAV_Modell!$N$6,B1134-1,0)))),"Modell"))</f>
        <v>Modell</v>
      </c>
      <c r="K1134" s="61" t="str" cm="1">
        <f t="array" ref="K1134">IF($B1134=0,IF($E1134=0,"",IF(INDEX(DMAV_Dienste!P$6:P$140,$E1134)="","",INDEX(DMAV_Dienste!P$6:P$140,$E1134))),IF(INDEX(DMAV_Modell!Q$6:Q$838,$B1134)="","",INDEX(DMAV_Modell!Q$6:Q$838,$B1134)))</f>
        <v>CLASS</v>
      </c>
      <c r="L1134" s="62" t="str" cm="1">
        <f t="array" ref="L1134">IF($B1134=0,IF($E1134=0,"",IF(INDEX(DMAV_Dienste!O$6:O$140,$E1134)="","",INDEX(DMAV_Dienste!O$6:O$140,$E1134))),IF(INDEX(DMAV_Modell!P$6:P$838,$B1134)="","",INDEX(DMAV_Modell!P$6:P$838,$B1134)))</f>
        <v>Gebaeudeadressen</v>
      </c>
      <c r="M1134" s="62" t="str" cm="1">
        <f t="array" ref="M1134">IF($B1134=0,IF($E1134=0,"",IF(INDEX(DMAV_Dienste!Q$6:Q$140,$E1134)="","",INDEX(DMAV_Dienste!Q$6:Q$140,$E1134))),IF(INDEX(DMAV_Modell!R$6:R$838,$B1134)="","",INDEX(DMAV_Modell!R$6:R$838,$B1134)))</f>
        <v>Lokalisation</v>
      </c>
      <c r="N1134" s="62" t="str" cm="1">
        <f t="array" ref="N1134">IF($B1134=0,IF($E1134=0,"",IF(INDEX(DMAV_Dienste!T$6:T$140,$E1134)="","",INDEX(DMAV_Dienste!T$6:T$140,$E1134))),IF(INDEX(DMAV_Modell!U$6:U$838,$B1134)="","",INDEX(DMAV_Modell!U$6:U$838,$B1134)))</f>
        <v>LokalisationName</v>
      </c>
      <c r="O1134" s="63" t="str" cm="1">
        <f t="array" aca="1" ref="O1134" ca="1">IF(C1134=0,IF(F1134=0,"",HYPERLINK("#"&amp;RIGHT(CELL("adresse",OFFSET(DMAV_Dienste!$M$6,F1134-1,0)),LEN(CELL("adresse",OFFSET(DMAV_Dienste!$M$6,F1134-1,0)))-FIND("]",CELL("adresse",OFFSET(DMAV_Dienste!$M$6,F1134-1,0)))),"Structure")),HYPERLINK("#"&amp;RIGHT(CELL("adresse",OFFSET(DMAV_Modell!$N$6,C1134-1,0)),LEN(CELL("adresse",OFFSET(DMAV_Modell!$N$6,C1134-1,0)))-FIND("]",CELL("adresse",OFFSET(DMAV_Modell!$N$6,C1134-1,0)))),"Structure"))</f>
        <v>Structure</v>
      </c>
      <c r="P1134" s="64" t="str" cm="1">
        <f t="array" aca="1" ref="P1134" ca="1">IF(D1134=0,IF(G1134=0,"",HYPERLINK("#"&amp;RIGHT(CELL("adresse",OFFSET(DMAV_Dienste!$M$6,G1134-1,0)),LEN(CELL("adresse",OFFSET(DMAV_Dienste!$M$6,G1134-1,0)))-FIND("]",CELL("adresse",OFFSET(DMAV_Dienste!$M$6,G1134-1,0)))),"Substructure")),HYPERLINK("#"&amp;RIGHT(CELL("adresse",OFFSET(DMAV_Modell!$N$6,D1134-1,0)),LEN(CELL("adresse",OFFSET(DMAV_Modell!$N$6,D1134-1,0)))-FIND("]",CELL("adresse",OFFSET(DMAV_Modell!$N$6,D1134-1,0)))),"Substructure"))</f>
        <v/>
      </c>
      <c r="R1134" s="80"/>
      <c r="T1134" s="93"/>
      <c r="U1134" s="94" t="s">
        <v>2980</v>
      </c>
      <c r="V1134" s="95" t="s">
        <v>3257</v>
      </c>
      <c r="W1134" s="96"/>
      <c r="Y1134" s="85"/>
      <c r="Z1134" s="86" t="s">
        <v>2980</v>
      </c>
      <c r="AA1134" s="87" t="s">
        <v>3258</v>
      </c>
      <c r="AB1134" s="88"/>
      <c r="AD1134" s="77"/>
      <c r="AF1134" s="54" t="str" cm="1">
        <f t="array" aca="1" ref="AF1134" ca="1">IF(H1134=0,"",HYPERLINK("#"&amp;RIGHT(CELL("adresse",OFFSET('DM01-AV-CH'!$G$6,H1134-1,0)),LEN(CELL("adresse",OFFSET('DM01-AV-CH'!$G$6,H1134-1,0)))-FIND("]",CELL("adresse",OFFSET('DM01-AV-CH'!$G$6,H1134-1,0)))),"Modell"))</f>
        <v>Modell</v>
      </c>
      <c r="AG1134" s="72" t="str" cm="1">
        <f t="array" ref="AG1134">IF($H1134=0,"",IF(INDEX('DM01-AV-CH'!G$6:G$834,$H1134)="","",INDEX('DM01-AV-CH'!G$6:G$834,$H1134)))</f>
        <v>Gebaeudeadressen</v>
      </c>
      <c r="AH1134" s="73" t="str" cm="1">
        <f t="array" ref="AH1134">IF($H1134=0,"",IF(INDEX('DM01-AV-CH'!H$6:H$834,$H1134)="","",INDEX('DM01-AV-CH'!H$6:H$834,$H1134)))</f>
        <v>LokalisationsName</v>
      </c>
      <c r="AI1134" s="74" t="str" cm="1">
        <f t="array" ref="AI1134">IF($H1134=0,"",IF(INDEX('DM01-AV-CH'!I$6:I$834,$H1134)="","",INDEX('DM01-AV-CH'!I$6:I$834,$H1134)))</f>
        <v>Sprache</v>
      </c>
    </row>
    <row r="1135" spans="1:35" ht="28.5" x14ac:dyDescent="0.25">
      <c r="A1135" s="57">
        <v>1130</v>
      </c>
      <c r="B1135" s="57">
        <f>IF($A1135="","",IF(_xlfn.XLOOKUP($A1135,Korrelation!$D$4:$D$1197,Korrelation!E$4:E$1197,"-",0)="-",0,MATCH(_xlfn.XLOOKUP($A1135,Korrelation!$D$4:$D$1197,Korrelation!E$4:E$1197,"",0),DMAV_Modell!$G$6:$G$677,0)))</f>
        <v>0</v>
      </c>
      <c r="C1135" s="57">
        <f>IF($A1135="","",IF(_xlfn.XLOOKUP($A1135,Korrelation!$D$4:$D$1197,Korrelation!F$4:F$1197,"-",0)="-",0,MATCH(_xlfn.XLOOKUP($A1135,Korrelation!$D$4:$D$1197,Korrelation!F$4:F$1197,"",0),DMAV_Modell!$G$6:$G$677,0)))</f>
        <v>0</v>
      </c>
      <c r="D1135" s="57">
        <f>IF($A1135="","",IF(_xlfn.XLOOKUP($A1135,Korrelation!$D$4:$D$1197,Korrelation!G$4:G$1197,"-",0)="-",0,MATCH(_xlfn.XLOOKUP($A1135,Korrelation!$D$4:$D$1197,Korrelation!G$4:G$1197,"",0),DMAV_Modell!$G$6:$G$677,0)))</f>
        <v>0</v>
      </c>
      <c r="E1135" s="57">
        <f>IF($A1135="","",IF(_xlfn.XLOOKUP($A1135,Korrelation!$D$4:$D$1197,Korrelation!H$4:H$1197,"-",0)="-",0,MATCH(_xlfn.XLOOKUP($A1135,Korrelation!$D$4:$D$1197,Korrelation!H$4:H$1197,"",0),DMAV_Dienste!$F$6:$F$140,0)))</f>
        <v>0</v>
      </c>
      <c r="F1135" s="57">
        <f>IF($A1135="","",IF(_xlfn.XLOOKUP($A1135,Korrelation!$D$4:$D$1197,Korrelation!I$4:I$1197,"-",0)="-",0,MATCH(_xlfn.XLOOKUP($A1135,Korrelation!$D$4:$D$1197,Korrelation!I$4:I$1197,"",0),DMAV_Dienste!$F$6:$F$140,0)))</f>
        <v>0</v>
      </c>
      <c r="G1135" s="57">
        <f>IF($A1135="","",IF(_xlfn.XLOOKUP($A1135,Korrelation!$D$4:$D$1197,Korrelation!J$4:J$1197,"-",0)="-",0,MATCH(_xlfn.XLOOKUP($A1135,Korrelation!$D$4:$D$1197,Korrelation!J$4:J$1197,"",0),DMAV_Dienste!$F$6:$F$140,0)))</f>
        <v>0</v>
      </c>
      <c r="H1135" s="57">
        <f>IF($A1135="","",IF(_xlfn.XLOOKUP($A1135,Korrelation!$D$4:$D$1197,Korrelation!K$4:K$1197,"-",0)="-",0,MATCH(_xlfn.XLOOKUP($A1135,Korrelation!$D$4:$D$1197,Korrelation!K$4:K$1197,"",0),'DM01-AV-CH'!$A$6:$A$834,0)))</f>
        <v>717</v>
      </c>
      <c r="J1135" s="54" t="str" cm="1">
        <f t="array" aca="1" ref="J1135" ca="1">IF(B1135=0,IF(E1135=0,"",HYPERLINK("#"&amp;RIGHT(CELL("adresse",OFFSET(DMAV_Dienste!$M$6,E1135-1,0)),LEN(CELL("adresse",OFFSET(DMAV_Dienste!$M$6,E1135-1,0)))-FIND("]",CELL("adresse",OFFSET(DMAV_Dienste!$M$6,E1135-1,0)))),"Dienst")),HYPERLINK("#"&amp;RIGHT(CELL("adresse",OFFSET(DMAV_Modell!$N$6,B1135-1,0)),LEN(CELL("adresse",OFFSET(DMAV_Modell!$N$6,B1135-1,0)))-FIND("]",CELL("adresse",OFFSET(DMAV_Modell!$N$6,B1135-1,0)))),"Modell"))</f>
        <v/>
      </c>
      <c r="K1135" s="61" t="str" cm="1">
        <f t="array" ref="K1135">IF($B1135=0,IF($E1135=0,"",IF(INDEX(DMAV_Dienste!P$6:P$140,$E1135)="","",INDEX(DMAV_Dienste!P$6:P$140,$E1135))),IF(INDEX(DMAV_Modell!Q$6:Q$838,$B1135)="","",INDEX(DMAV_Modell!Q$6:Q$838,$B1135)))</f>
        <v/>
      </c>
      <c r="L1135" s="62" t="str" cm="1">
        <f t="array" ref="L1135">IF($B1135=0,IF($E1135=0,"",IF(INDEX(DMAV_Dienste!O$6:O$140,$E1135)="","",INDEX(DMAV_Dienste!O$6:O$140,$E1135))),IF(INDEX(DMAV_Modell!P$6:P$838,$B1135)="","",INDEX(DMAV_Modell!P$6:P$838,$B1135)))</f>
        <v/>
      </c>
      <c r="M1135" s="62" t="str" cm="1">
        <f t="array" ref="M1135">IF($B1135=0,IF($E1135=0,"",IF(INDEX(DMAV_Dienste!Q$6:Q$140,$E1135)="","",INDEX(DMAV_Dienste!Q$6:Q$140,$E1135))),IF(INDEX(DMAV_Modell!R$6:R$838,$B1135)="","",INDEX(DMAV_Modell!R$6:R$838,$B1135)))</f>
        <v/>
      </c>
      <c r="N1135" s="62" t="str" cm="1">
        <f t="array" ref="N1135">IF($B1135=0,IF($E1135=0,"",IF(INDEX(DMAV_Dienste!T$6:T$140,$E1135)="","",INDEX(DMAV_Dienste!T$6:T$140,$E1135))),IF(INDEX(DMAV_Modell!U$6:U$838,$B1135)="","",INDEX(DMAV_Modell!U$6:U$838,$B1135)))</f>
        <v/>
      </c>
      <c r="O1135" s="63" t="str" cm="1">
        <f t="array" aca="1" ref="O1135" ca="1">IF(C1135=0,IF(F1135=0,"",HYPERLINK("#"&amp;RIGHT(CELL("adresse",OFFSET(DMAV_Dienste!$M$6,F1135-1,0)),LEN(CELL("adresse",OFFSET(DMAV_Dienste!$M$6,F1135-1,0)))-FIND("]",CELL("adresse",OFFSET(DMAV_Dienste!$M$6,F1135-1,0)))),"Structure")),HYPERLINK("#"&amp;RIGHT(CELL("adresse",OFFSET(DMAV_Modell!$N$6,C1135-1,0)),LEN(CELL("adresse",OFFSET(DMAV_Modell!$N$6,C1135-1,0)))-FIND("]",CELL("adresse",OFFSET(DMAV_Modell!$N$6,C1135-1,0)))),"Structure"))</f>
        <v/>
      </c>
      <c r="P1135" s="64" t="str" cm="1">
        <f t="array" aca="1" ref="P1135" ca="1">IF(D1135=0,IF(G1135=0,"",HYPERLINK("#"&amp;RIGHT(CELL("adresse",OFFSET(DMAV_Dienste!$M$6,G1135-1,0)),LEN(CELL("adresse",OFFSET(DMAV_Dienste!$M$6,G1135-1,0)))-FIND("]",CELL("adresse",OFFSET(DMAV_Dienste!$M$6,G1135-1,0)))),"Substructure")),HYPERLINK("#"&amp;RIGHT(CELL("adresse",OFFSET(DMAV_Modell!$N$6,D1135-1,0)),LEN(CELL("adresse",OFFSET(DMAV_Modell!$N$6,D1135-1,0)))-FIND("]",CELL("adresse",OFFSET(DMAV_Modell!$N$6,D1135-1,0)))),"Substructure"))</f>
        <v/>
      </c>
      <c r="R1135" s="80"/>
      <c r="T1135" s="93"/>
      <c r="U1135" s="94"/>
      <c r="V1135" s="95"/>
      <c r="W1135" s="96"/>
      <c r="Y1135" s="85"/>
      <c r="Z1135" s="86"/>
      <c r="AA1135" s="87"/>
      <c r="AB1135" s="88"/>
      <c r="AD1135" s="77"/>
      <c r="AF1135" s="54" t="str" cm="1">
        <f t="array" aca="1" ref="AF1135" ca="1">IF(H1135=0,"",HYPERLINK("#"&amp;RIGHT(CELL("adresse",OFFSET('DM01-AV-CH'!$G$6,H1135-1,0)),LEN(CELL("adresse",OFFSET('DM01-AV-CH'!$G$6,H1135-1,0)))-FIND("]",CELL("adresse",OFFSET('DM01-AV-CH'!$G$6,H1135-1,0)))),"Modell"))</f>
        <v>Modell</v>
      </c>
      <c r="AG1135" s="72" t="str" cm="1">
        <f t="array" ref="AG1135">IF($H1135=0,"",IF(INDEX('DM01-AV-CH'!G$6:G$834,$H1135)="","",INDEX('DM01-AV-CH'!G$6:G$834,$H1135)))</f>
        <v>Gebaeudeadressen</v>
      </c>
      <c r="AH1135" s="73" t="str" cm="1">
        <f t="array" ref="AH1135">IF($H1135=0,"",IF(INDEX('DM01-AV-CH'!H$6:H$834,$H1135)="","",INDEX('DM01-AV-CH'!H$6:H$834,$H1135)))</f>
        <v>LokalisationsNamePos</v>
      </c>
      <c r="AI1135" s="74" t="str" cm="1">
        <f t="array" ref="AI1135">IF($H1135=0,"",IF(INDEX('DM01-AV-CH'!I$6:I$834,$H1135)="","",INDEX('DM01-AV-CH'!I$6:I$834,$H1135)))</f>
        <v>LokalisationsNamePos_von</v>
      </c>
    </row>
    <row r="1136" spans="1:35" x14ac:dyDescent="0.25">
      <c r="A1136" s="57">
        <v>1131</v>
      </c>
      <c r="B1136" s="57">
        <f>IF($A1136="","",IF(_xlfn.XLOOKUP($A1136,Korrelation!$D$4:$D$1197,Korrelation!E$4:E$1197,"-",0)="-",0,MATCH(_xlfn.XLOOKUP($A1136,Korrelation!$D$4:$D$1197,Korrelation!E$4:E$1197,"",0),DMAV_Modell!$G$6:$G$677,0)))</f>
        <v>0</v>
      </c>
      <c r="C1136" s="57">
        <f>IF($A1136="","",IF(_xlfn.XLOOKUP($A1136,Korrelation!$D$4:$D$1197,Korrelation!F$4:F$1197,"-",0)="-",0,MATCH(_xlfn.XLOOKUP($A1136,Korrelation!$D$4:$D$1197,Korrelation!F$4:F$1197,"",0),DMAV_Modell!$G$6:$G$677,0)))</f>
        <v>0</v>
      </c>
      <c r="D1136" s="57">
        <f>IF($A1136="","",IF(_xlfn.XLOOKUP($A1136,Korrelation!$D$4:$D$1197,Korrelation!G$4:G$1197,"-",0)="-",0,MATCH(_xlfn.XLOOKUP($A1136,Korrelation!$D$4:$D$1197,Korrelation!G$4:G$1197,"",0),DMAV_Modell!$G$6:$G$677,0)))</f>
        <v>0</v>
      </c>
      <c r="E1136" s="57">
        <f>IF($A1136="","",IF(_xlfn.XLOOKUP($A1136,Korrelation!$D$4:$D$1197,Korrelation!H$4:H$1197,"-",0)="-",0,MATCH(_xlfn.XLOOKUP($A1136,Korrelation!$D$4:$D$1197,Korrelation!H$4:H$1197,"",0),DMAV_Dienste!$F$6:$F$140,0)))</f>
        <v>0</v>
      </c>
      <c r="F1136" s="57">
        <f>IF($A1136="","",IF(_xlfn.XLOOKUP($A1136,Korrelation!$D$4:$D$1197,Korrelation!I$4:I$1197,"-",0)="-",0,MATCH(_xlfn.XLOOKUP($A1136,Korrelation!$D$4:$D$1197,Korrelation!I$4:I$1197,"",0),DMAV_Dienste!$F$6:$F$140,0)))</f>
        <v>0</v>
      </c>
      <c r="G1136" s="57">
        <f>IF($A1136="","",IF(_xlfn.XLOOKUP($A1136,Korrelation!$D$4:$D$1197,Korrelation!J$4:J$1197,"-",0)="-",0,MATCH(_xlfn.XLOOKUP($A1136,Korrelation!$D$4:$D$1197,Korrelation!J$4:J$1197,"",0),DMAV_Dienste!$F$6:$F$140,0)))</f>
        <v>0</v>
      </c>
      <c r="H1136" s="57">
        <f>IF($A1136="","",IF(_xlfn.XLOOKUP($A1136,Korrelation!$D$4:$D$1197,Korrelation!K$4:K$1197,"-",0)="-",0,MATCH(_xlfn.XLOOKUP($A1136,Korrelation!$D$4:$D$1197,Korrelation!K$4:K$1197,"",0),'DM01-AV-CH'!$A$6:$A$834,0)))</f>
        <v>718</v>
      </c>
      <c r="J1136" s="54" t="str" cm="1">
        <f t="array" aca="1" ref="J1136" ca="1">IF(B1136=0,IF(E1136=0,"",HYPERLINK("#"&amp;RIGHT(CELL("adresse",OFFSET(DMAV_Dienste!$M$6,E1136-1,0)),LEN(CELL("adresse",OFFSET(DMAV_Dienste!$M$6,E1136-1,0)))-FIND("]",CELL("adresse",OFFSET(DMAV_Dienste!$M$6,E1136-1,0)))),"Dienst")),HYPERLINK("#"&amp;RIGHT(CELL("adresse",OFFSET(DMAV_Modell!$N$6,B1136-1,0)),LEN(CELL("adresse",OFFSET(DMAV_Modell!$N$6,B1136-1,0)))-FIND("]",CELL("adresse",OFFSET(DMAV_Modell!$N$6,B1136-1,0)))),"Modell"))</f>
        <v/>
      </c>
      <c r="K1136" s="61" t="str" cm="1">
        <f t="array" ref="K1136">IF($B1136=0,IF($E1136=0,"",IF(INDEX(DMAV_Dienste!P$6:P$140,$E1136)="","",INDEX(DMAV_Dienste!P$6:P$140,$E1136))),IF(INDEX(DMAV_Modell!Q$6:Q$838,$B1136)="","",INDEX(DMAV_Modell!Q$6:Q$838,$B1136)))</f>
        <v/>
      </c>
      <c r="L1136" s="62" t="str" cm="1">
        <f t="array" ref="L1136">IF($B1136=0,IF($E1136=0,"",IF(INDEX(DMAV_Dienste!O$6:O$140,$E1136)="","",INDEX(DMAV_Dienste!O$6:O$140,$E1136))),IF(INDEX(DMAV_Modell!P$6:P$838,$B1136)="","",INDEX(DMAV_Modell!P$6:P$838,$B1136)))</f>
        <v/>
      </c>
      <c r="M1136" s="62" t="str" cm="1">
        <f t="array" ref="M1136">IF($B1136=0,IF($E1136=0,"",IF(INDEX(DMAV_Dienste!Q$6:Q$140,$E1136)="","",INDEX(DMAV_Dienste!Q$6:Q$140,$E1136))),IF(INDEX(DMAV_Modell!R$6:R$838,$B1136)="","",INDEX(DMAV_Modell!R$6:R$838,$B1136)))</f>
        <v/>
      </c>
      <c r="N1136" s="62" t="str" cm="1">
        <f t="array" ref="N1136">IF($B1136=0,IF($E1136=0,"",IF(INDEX(DMAV_Dienste!T$6:T$140,$E1136)="","",INDEX(DMAV_Dienste!T$6:T$140,$E1136))),IF(INDEX(DMAV_Modell!U$6:U$838,$B1136)="","",INDEX(DMAV_Modell!U$6:U$838,$B1136)))</f>
        <v/>
      </c>
      <c r="O1136" s="63" t="str" cm="1">
        <f t="array" aca="1" ref="O1136" ca="1">IF(C1136=0,IF(F1136=0,"",HYPERLINK("#"&amp;RIGHT(CELL("adresse",OFFSET(DMAV_Dienste!$M$6,F1136-1,0)),LEN(CELL("adresse",OFFSET(DMAV_Dienste!$M$6,F1136-1,0)))-FIND("]",CELL("adresse",OFFSET(DMAV_Dienste!$M$6,F1136-1,0)))),"Structure")),HYPERLINK("#"&amp;RIGHT(CELL("adresse",OFFSET(DMAV_Modell!$N$6,C1136-1,0)),LEN(CELL("adresse",OFFSET(DMAV_Modell!$N$6,C1136-1,0)))-FIND("]",CELL("adresse",OFFSET(DMAV_Modell!$N$6,C1136-1,0)))),"Structure"))</f>
        <v/>
      </c>
      <c r="P1136" s="64" t="str" cm="1">
        <f t="array" aca="1" ref="P1136" ca="1">IF(D1136=0,IF(G1136=0,"",HYPERLINK("#"&amp;RIGHT(CELL("adresse",OFFSET(DMAV_Dienste!$M$6,G1136-1,0)),LEN(CELL("adresse",OFFSET(DMAV_Dienste!$M$6,G1136-1,0)))-FIND("]",CELL("adresse",OFFSET(DMAV_Dienste!$M$6,G1136-1,0)))),"Substructure")),HYPERLINK("#"&amp;RIGHT(CELL("adresse",OFFSET(DMAV_Modell!$N$6,D1136-1,0)),LEN(CELL("adresse",OFFSET(DMAV_Modell!$N$6,D1136-1,0)))-FIND("]",CELL("adresse",OFFSET(DMAV_Modell!$N$6,D1136-1,0)))),"Substructure"))</f>
        <v/>
      </c>
      <c r="R1136" s="80"/>
      <c r="T1136" s="93"/>
      <c r="U1136" s="94"/>
      <c r="V1136" s="95"/>
      <c r="W1136" s="96"/>
      <c r="Y1136" s="85"/>
      <c r="Z1136" s="86"/>
      <c r="AA1136" s="87"/>
      <c r="AB1136" s="88"/>
      <c r="AD1136" s="77"/>
      <c r="AF1136" s="54" t="str" cm="1">
        <f t="array" aca="1" ref="AF1136" ca="1">IF(H1136=0,"",HYPERLINK("#"&amp;RIGHT(CELL("adresse",OFFSET('DM01-AV-CH'!$G$6,H1136-1,0)),LEN(CELL("adresse",OFFSET('DM01-AV-CH'!$G$6,H1136-1,0)))-FIND("]",CELL("adresse",OFFSET('DM01-AV-CH'!$G$6,H1136-1,0)))),"Modell"))</f>
        <v>Modell</v>
      </c>
      <c r="AG1136" s="72" t="str" cm="1">
        <f t="array" ref="AG1136">IF($H1136=0,"",IF(INDEX('DM01-AV-CH'!G$6:G$834,$H1136)="","",INDEX('DM01-AV-CH'!G$6:G$834,$H1136)))</f>
        <v>Gebaeudeadressen</v>
      </c>
      <c r="AH1136" s="73" t="str" cm="1">
        <f t="array" ref="AH1136">IF($H1136=0,"",IF(INDEX('DM01-AV-CH'!H$6:H$834,$H1136)="","",INDEX('DM01-AV-CH'!H$6:H$834,$H1136)))</f>
        <v>LokalisationsNamePos</v>
      </c>
      <c r="AI1136" s="74" t="str" cm="1">
        <f t="array" ref="AI1136">IF($H1136=0,"",IF(INDEX('DM01-AV-CH'!I$6:I$834,$H1136)="","",INDEX('DM01-AV-CH'!I$6:I$834,$H1136)))</f>
        <v>AnfIndex</v>
      </c>
    </row>
    <row r="1137" spans="1:35" x14ac:dyDescent="0.25">
      <c r="A1137" s="57">
        <v>1132</v>
      </c>
      <c r="B1137" s="57">
        <f>IF($A1137="","",IF(_xlfn.XLOOKUP($A1137,Korrelation!$D$4:$D$1197,Korrelation!E$4:E$1197,"-",0)="-",0,MATCH(_xlfn.XLOOKUP($A1137,Korrelation!$D$4:$D$1197,Korrelation!E$4:E$1197,"",0),DMAV_Modell!$G$6:$G$677,0)))</f>
        <v>0</v>
      </c>
      <c r="C1137" s="57">
        <f>IF($A1137="","",IF(_xlfn.XLOOKUP($A1137,Korrelation!$D$4:$D$1197,Korrelation!F$4:F$1197,"-",0)="-",0,MATCH(_xlfn.XLOOKUP($A1137,Korrelation!$D$4:$D$1197,Korrelation!F$4:F$1197,"",0),DMAV_Modell!$G$6:$G$677,0)))</f>
        <v>0</v>
      </c>
      <c r="D1137" s="57">
        <f>IF($A1137="","",IF(_xlfn.XLOOKUP($A1137,Korrelation!$D$4:$D$1197,Korrelation!G$4:G$1197,"-",0)="-",0,MATCH(_xlfn.XLOOKUP($A1137,Korrelation!$D$4:$D$1197,Korrelation!G$4:G$1197,"",0),DMAV_Modell!$G$6:$G$677,0)))</f>
        <v>0</v>
      </c>
      <c r="E1137" s="57">
        <f>IF($A1137="","",IF(_xlfn.XLOOKUP($A1137,Korrelation!$D$4:$D$1197,Korrelation!H$4:H$1197,"-",0)="-",0,MATCH(_xlfn.XLOOKUP($A1137,Korrelation!$D$4:$D$1197,Korrelation!H$4:H$1197,"",0),DMAV_Dienste!$F$6:$F$140,0)))</f>
        <v>0</v>
      </c>
      <c r="F1137" s="57">
        <f>IF($A1137="","",IF(_xlfn.XLOOKUP($A1137,Korrelation!$D$4:$D$1197,Korrelation!I$4:I$1197,"-",0)="-",0,MATCH(_xlfn.XLOOKUP($A1137,Korrelation!$D$4:$D$1197,Korrelation!I$4:I$1197,"",0),DMAV_Dienste!$F$6:$F$140,0)))</f>
        <v>0</v>
      </c>
      <c r="G1137" s="57">
        <f>IF($A1137="","",IF(_xlfn.XLOOKUP($A1137,Korrelation!$D$4:$D$1197,Korrelation!J$4:J$1197,"-",0)="-",0,MATCH(_xlfn.XLOOKUP($A1137,Korrelation!$D$4:$D$1197,Korrelation!J$4:J$1197,"",0),DMAV_Dienste!$F$6:$F$140,0)))</f>
        <v>0</v>
      </c>
      <c r="H1137" s="57">
        <f>IF($A1137="","",IF(_xlfn.XLOOKUP($A1137,Korrelation!$D$4:$D$1197,Korrelation!K$4:K$1197,"-",0)="-",0,MATCH(_xlfn.XLOOKUP($A1137,Korrelation!$D$4:$D$1197,Korrelation!K$4:K$1197,"",0),'DM01-AV-CH'!$A$6:$A$834,0)))</f>
        <v>719</v>
      </c>
      <c r="J1137" s="54" t="str" cm="1">
        <f t="array" aca="1" ref="J1137" ca="1">IF(B1137=0,IF(E1137=0,"",HYPERLINK("#"&amp;RIGHT(CELL("adresse",OFFSET(DMAV_Dienste!$M$6,E1137-1,0)),LEN(CELL("adresse",OFFSET(DMAV_Dienste!$M$6,E1137-1,0)))-FIND("]",CELL("adresse",OFFSET(DMAV_Dienste!$M$6,E1137-1,0)))),"Dienst")),HYPERLINK("#"&amp;RIGHT(CELL("adresse",OFFSET(DMAV_Modell!$N$6,B1137-1,0)),LEN(CELL("adresse",OFFSET(DMAV_Modell!$N$6,B1137-1,0)))-FIND("]",CELL("adresse",OFFSET(DMAV_Modell!$N$6,B1137-1,0)))),"Modell"))</f>
        <v/>
      </c>
      <c r="K1137" s="61" t="str" cm="1">
        <f t="array" ref="K1137">IF($B1137=0,IF($E1137=0,"",IF(INDEX(DMAV_Dienste!P$6:P$140,$E1137)="","",INDEX(DMAV_Dienste!P$6:P$140,$E1137))),IF(INDEX(DMAV_Modell!Q$6:Q$838,$B1137)="","",INDEX(DMAV_Modell!Q$6:Q$838,$B1137)))</f>
        <v/>
      </c>
      <c r="L1137" s="62" t="str" cm="1">
        <f t="array" ref="L1137">IF($B1137=0,IF($E1137=0,"",IF(INDEX(DMAV_Dienste!O$6:O$140,$E1137)="","",INDEX(DMAV_Dienste!O$6:O$140,$E1137))),IF(INDEX(DMAV_Modell!P$6:P$838,$B1137)="","",INDEX(DMAV_Modell!P$6:P$838,$B1137)))</f>
        <v/>
      </c>
      <c r="M1137" s="62" t="str" cm="1">
        <f t="array" ref="M1137">IF($B1137=0,IF($E1137=0,"",IF(INDEX(DMAV_Dienste!Q$6:Q$140,$E1137)="","",INDEX(DMAV_Dienste!Q$6:Q$140,$E1137))),IF(INDEX(DMAV_Modell!R$6:R$838,$B1137)="","",INDEX(DMAV_Modell!R$6:R$838,$B1137)))</f>
        <v/>
      </c>
      <c r="N1137" s="62" t="str" cm="1">
        <f t="array" ref="N1137">IF($B1137=0,IF($E1137=0,"",IF(INDEX(DMAV_Dienste!T$6:T$140,$E1137)="","",INDEX(DMAV_Dienste!T$6:T$140,$E1137))),IF(INDEX(DMAV_Modell!U$6:U$838,$B1137)="","",INDEX(DMAV_Modell!U$6:U$838,$B1137)))</f>
        <v/>
      </c>
      <c r="O1137" s="63" t="str" cm="1">
        <f t="array" aca="1" ref="O1137" ca="1">IF(C1137=0,IF(F1137=0,"",HYPERLINK("#"&amp;RIGHT(CELL("adresse",OFFSET(DMAV_Dienste!$M$6,F1137-1,0)),LEN(CELL("adresse",OFFSET(DMAV_Dienste!$M$6,F1137-1,0)))-FIND("]",CELL("adresse",OFFSET(DMAV_Dienste!$M$6,F1137-1,0)))),"Structure")),HYPERLINK("#"&amp;RIGHT(CELL("adresse",OFFSET(DMAV_Modell!$N$6,C1137-1,0)),LEN(CELL("adresse",OFFSET(DMAV_Modell!$N$6,C1137-1,0)))-FIND("]",CELL("adresse",OFFSET(DMAV_Modell!$N$6,C1137-1,0)))),"Structure"))</f>
        <v/>
      </c>
      <c r="P1137" s="64" t="str" cm="1">
        <f t="array" aca="1" ref="P1137" ca="1">IF(D1137=0,IF(G1137=0,"",HYPERLINK("#"&amp;RIGHT(CELL("adresse",OFFSET(DMAV_Dienste!$M$6,G1137-1,0)),LEN(CELL("adresse",OFFSET(DMAV_Dienste!$M$6,G1137-1,0)))-FIND("]",CELL("adresse",OFFSET(DMAV_Dienste!$M$6,G1137-1,0)))),"Substructure")),HYPERLINK("#"&amp;RIGHT(CELL("adresse",OFFSET(DMAV_Modell!$N$6,D1137-1,0)),LEN(CELL("adresse",OFFSET(DMAV_Modell!$N$6,D1137-1,0)))-FIND("]",CELL("adresse",OFFSET(DMAV_Modell!$N$6,D1137-1,0)))),"Substructure"))</f>
        <v/>
      </c>
      <c r="R1137" s="80"/>
      <c r="T1137" s="93"/>
      <c r="U1137" s="94"/>
      <c r="V1137" s="95"/>
      <c r="W1137" s="96"/>
      <c r="Y1137" s="85"/>
      <c r="Z1137" s="86"/>
      <c r="AA1137" s="87"/>
      <c r="AB1137" s="88"/>
      <c r="AD1137" s="77"/>
      <c r="AF1137" s="54" t="str" cm="1">
        <f t="array" aca="1" ref="AF1137" ca="1">IF(H1137=0,"",HYPERLINK("#"&amp;RIGHT(CELL("adresse",OFFSET('DM01-AV-CH'!$G$6,H1137-1,0)),LEN(CELL("adresse",OFFSET('DM01-AV-CH'!$G$6,H1137-1,0)))-FIND("]",CELL("adresse",OFFSET('DM01-AV-CH'!$G$6,H1137-1,0)))),"Modell"))</f>
        <v>Modell</v>
      </c>
      <c r="AG1137" s="72" t="str" cm="1">
        <f t="array" ref="AG1137">IF($H1137=0,"",IF(INDEX('DM01-AV-CH'!G$6:G$834,$H1137)="","",INDEX('DM01-AV-CH'!G$6:G$834,$H1137)))</f>
        <v>Gebaeudeadressen</v>
      </c>
      <c r="AH1137" s="73" t="str" cm="1">
        <f t="array" ref="AH1137">IF($H1137=0,"",IF(INDEX('DM01-AV-CH'!H$6:H$834,$H1137)="","",INDEX('DM01-AV-CH'!H$6:H$834,$H1137)))</f>
        <v>LokalisationsNamePos</v>
      </c>
      <c r="AI1137" s="74" t="str" cm="1">
        <f t="array" ref="AI1137">IF($H1137=0,"",IF(INDEX('DM01-AV-CH'!I$6:I$834,$H1137)="","",INDEX('DM01-AV-CH'!I$6:I$834,$H1137)))</f>
        <v>EndIndex</v>
      </c>
    </row>
    <row r="1138" spans="1:35" ht="42.75" x14ac:dyDescent="0.25">
      <c r="A1138" s="57">
        <v>1133</v>
      </c>
      <c r="B1138" s="57">
        <f>IF($A1138="","",IF(_xlfn.XLOOKUP($A1138,Korrelation!$D$4:$D$1197,Korrelation!E$4:E$1197,"-",0)="-",0,MATCH(_xlfn.XLOOKUP($A1138,Korrelation!$D$4:$D$1197,Korrelation!E$4:E$1197,"",0),DMAV_Modell!$G$6:$G$677,0)))</f>
        <v>641</v>
      </c>
      <c r="C1138" s="57">
        <f>IF($A1138="","",IF(_xlfn.XLOOKUP($A1138,Korrelation!$D$4:$D$1197,Korrelation!F$4:F$1197,"-",0)="-",0,MATCH(_xlfn.XLOOKUP($A1138,Korrelation!$D$4:$D$1197,Korrelation!F$4:F$1197,"",0),DMAV_Modell!$G$6:$G$677,0)))</f>
        <v>629</v>
      </c>
      <c r="D1138" s="57">
        <f>IF($A1138="","",IF(_xlfn.XLOOKUP($A1138,Korrelation!$D$4:$D$1197,Korrelation!G$4:G$1197,"-",0)="-",0,MATCH(_xlfn.XLOOKUP($A1138,Korrelation!$D$4:$D$1197,Korrelation!G$4:G$1197,"",0),DMAV_Modell!$G$6:$G$677,0)))</f>
        <v>26</v>
      </c>
      <c r="E1138" s="57">
        <f>IF($A1138="","",IF(_xlfn.XLOOKUP($A1138,Korrelation!$D$4:$D$1197,Korrelation!H$4:H$1197,"-",0)="-",0,MATCH(_xlfn.XLOOKUP($A1138,Korrelation!$D$4:$D$1197,Korrelation!H$4:H$1197,"",0),DMAV_Dienste!$F$6:$F$140,0)))</f>
        <v>0</v>
      </c>
      <c r="F1138" s="57">
        <f>IF($A1138="","",IF(_xlfn.XLOOKUP($A1138,Korrelation!$D$4:$D$1197,Korrelation!I$4:I$1197,"-",0)="-",0,MATCH(_xlfn.XLOOKUP($A1138,Korrelation!$D$4:$D$1197,Korrelation!I$4:I$1197,"",0),DMAV_Dienste!$F$6:$F$140,0)))</f>
        <v>0</v>
      </c>
      <c r="G1138" s="57">
        <f>IF($A1138="","",IF(_xlfn.XLOOKUP($A1138,Korrelation!$D$4:$D$1197,Korrelation!J$4:J$1197,"-",0)="-",0,MATCH(_xlfn.XLOOKUP($A1138,Korrelation!$D$4:$D$1197,Korrelation!J$4:J$1197,"",0),DMAV_Dienste!$F$6:$F$140,0)))</f>
        <v>0</v>
      </c>
      <c r="H1138" s="57">
        <f>IF($A1138="","",IF(_xlfn.XLOOKUP($A1138,Korrelation!$D$4:$D$1197,Korrelation!K$4:K$1197,"-",0)="-",0,MATCH(_xlfn.XLOOKUP($A1138,Korrelation!$D$4:$D$1197,Korrelation!K$4:K$1197,"",0),'DM01-AV-CH'!$A$6:$A$834,0)))</f>
        <v>720</v>
      </c>
      <c r="J1138" s="54" t="str" cm="1">
        <f t="array" aca="1" ref="J1138" ca="1">IF(B1138=0,IF(E1138=0,"",HYPERLINK("#"&amp;RIGHT(CELL("adresse",OFFSET(DMAV_Dienste!$M$6,E1138-1,0)),LEN(CELL("adresse",OFFSET(DMAV_Dienste!$M$6,E1138-1,0)))-FIND("]",CELL("adresse",OFFSET(DMAV_Dienste!$M$6,E1138-1,0)))),"Dienst")),HYPERLINK("#"&amp;RIGHT(CELL("adresse",OFFSET(DMAV_Modell!$N$6,B1138-1,0)),LEN(CELL("adresse",OFFSET(DMAV_Modell!$N$6,B1138-1,0)))-FIND("]",CELL("adresse",OFFSET(DMAV_Modell!$N$6,B1138-1,0)))),"Modell"))</f>
        <v>Modell</v>
      </c>
      <c r="K1138" s="61" t="str" cm="1">
        <f t="array" ref="K1138">IF($B1138=0,IF($E1138=0,"",IF(INDEX(DMAV_Dienste!P$6:P$140,$E1138)="","",INDEX(DMAV_Dienste!P$6:P$140,$E1138))),IF(INDEX(DMAV_Modell!Q$6:Q$838,$B1138)="","",INDEX(DMAV_Modell!Q$6:Q$838,$B1138)))</f>
        <v>CLASS</v>
      </c>
      <c r="L1138" s="62" t="str" cm="1">
        <f t="array" ref="L1138">IF($B1138=0,IF($E1138=0,"",IF(INDEX(DMAV_Dienste!O$6:O$140,$E1138)="","",INDEX(DMAV_Dienste!O$6:O$140,$E1138))),IF(INDEX(DMAV_Modell!P$6:P$838,$B1138)="","",INDEX(DMAV_Modell!P$6:P$838,$B1138)))</f>
        <v>Gebaeudeadressen</v>
      </c>
      <c r="M1138" s="62" t="str" cm="1">
        <f t="array" ref="M1138">IF($B1138=0,IF($E1138=0,"",IF(INDEX(DMAV_Dienste!Q$6:Q$140,$E1138)="","",INDEX(DMAV_Dienste!Q$6:Q$140,$E1138))),IF(INDEX(DMAV_Modell!R$6:R$838,$B1138)="","",INDEX(DMAV_Modell!R$6:R$838,$B1138)))</f>
        <v>Lokalisation</v>
      </c>
      <c r="N1138" s="62" t="str" cm="1">
        <f t="array" ref="N1138">IF($B1138=0,IF($E1138=0,"",IF(INDEX(DMAV_Dienste!T$6:T$140,$E1138)="","",INDEX(DMAV_Dienste!T$6:T$140,$E1138))),IF(INDEX(DMAV_Modell!U$6:U$838,$B1138)="","",INDEX(DMAV_Modell!U$6:U$838,$B1138)))</f>
        <v>LokalisationName</v>
      </c>
      <c r="O1138" s="63" t="str" cm="1">
        <f t="array" aca="1" ref="O1138" ca="1">IF(C1138=0,IF(F1138=0,"",HYPERLINK("#"&amp;RIGHT(CELL("adresse",OFFSET(DMAV_Dienste!$M$6,F1138-1,0)),LEN(CELL("adresse",OFFSET(DMAV_Dienste!$M$6,F1138-1,0)))-FIND("]",CELL("adresse",OFFSET(DMAV_Dienste!$M$6,F1138-1,0)))),"Structure")),HYPERLINK("#"&amp;RIGHT(CELL("adresse",OFFSET(DMAV_Modell!$N$6,C1138-1,0)),LEN(CELL("adresse",OFFSET(DMAV_Modell!$N$6,C1138-1,0)))-FIND("]",CELL("adresse",OFFSET(DMAV_Modell!$N$6,C1138-1,0)))),"Structure"))</f>
        <v>Structure</v>
      </c>
      <c r="P1138" s="64" t="str" cm="1">
        <f t="array" aca="1" ref="P1138" ca="1">IF(D1138=0,IF(G1138=0,"",HYPERLINK("#"&amp;RIGHT(CELL("adresse",OFFSET(DMAV_Dienste!$M$6,G1138-1,0)),LEN(CELL("adresse",OFFSET(DMAV_Dienste!$M$6,G1138-1,0)))-FIND("]",CELL("adresse",OFFSET(DMAV_Dienste!$M$6,G1138-1,0)))),"Substructure")),HYPERLINK("#"&amp;RIGHT(CELL("adresse",OFFSET(DMAV_Modell!$N$6,D1138-1,0)),LEN(CELL("adresse",OFFSET(DMAV_Modell!$N$6,D1138-1,0)))-FIND("]",CELL("adresse",OFFSET(DMAV_Modell!$N$6,D1138-1,0)))),"Substructure"))</f>
        <v>Substructure</v>
      </c>
      <c r="R1138" s="80"/>
      <c r="T1138" s="93"/>
      <c r="U1138" s="94" t="s">
        <v>2980</v>
      </c>
      <c r="V1138" s="95" t="s">
        <v>3259</v>
      </c>
      <c r="W1138" s="96"/>
      <c r="Y1138" s="85"/>
      <c r="Z1138" s="86" t="s">
        <v>2980</v>
      </c>
      <c r="AA1138" s="87" t="s">
        <v>3260</v>
      </c>
      <c r="AB1138" s="88"/>
      <c r="AD1138" s="77"/>
      <c r="AF1138" s="54" t="str" cm="1">
        <f t="array" aca="1" ref="AF1138" ca="1">IF(H1138=0,"",HYPERLINK("#"&amp;RIGHT(CELL("adresse",OFFSET('DM01-AV-CH'!$G$6,H1138-1,0)),LEN(CELL("adresse",OFFSET('DM01-AV-CH'!$G$6,H1138-1,0)))-FIND("]",CELL("adresse",OFFSET('DM01-AV-CH'!$G$6,H1138-1,0)))),"Modell"))</f>
        <v>Modell</v>
      </c>
      <c r="AG1138" s="72" t="str" cm="1">
        <f t="array" ref="AG1138">IF($H1138=0,"",IF(INDEX('DM01-AV-CH'!G$6:G$834,$H1138)="","",INDEX('DM01-AV-CH'!G$6:G$834,$H1138)))</f>
        <v>Gebaeudeadressen</v>
      </c>
      <c r="AH1138" s="73" t="str" cm="1">
        <f t="array" ref="AH1138">IF($H1138=0,"",IF(INDEX('DM01-AV-CH'!H$6:H$834,$H1138)="","",INDEX('DM01-AV-CH'!H$6:H$834,$H1138)))</f>
        <v>LokalisationsNamePos</v>
      </c>
      <c r="AI1138" s="74" t="str" cm="1">
        <f t="array" ref="AI1138">IF($H1138=0,"",IF(INDEX('DM01-AV-CH'!I$6:I$834,$H1138)="","",INDEX('DM01-AV-CH'!I$6:I$834,$H1138)))</f>
        <v>Pos</v>
      </c>
    </row>
    <row r="1139" spans="1:35" ht="42.75" x14ac:dyDescent="0.25">
      <c r="A1139" s="57">
        <v>1134</v>
      </c>
      <c r="B1139" s="57">
        <f>IF($A1139="","",IF(_xlfn.XLOOKUP($A1139,Korrelation!$D$4:$D$1197,Korrelation!E$4:E$1197,"-",0)="-",0,MATCH(_xlfn.XLOOKUP($A1139,Korrelation!$D$4:$D$1197,Korrelation!E$4:E$1197,"",0),DMAV_Modell!$G$6:$G$677,0)))</f>
        <v>641</v>
      </c>
      <c r="C1139" s="57">
        <f>IF($A1139="","",IF(_xlfn.XLOOKUP($A1139,Korrelation!$D$4:$D$1197,Korrelation!F$4:F$1197,"-",0)="-",0,MATCH(_xlfn.XLOOKUP($A1139,Korrelation!$D$4:$D$1197,Korrelation!F$4:F$1197,"",0),DMAV_Modell!$G$6:$G$677,0)))</f>
        <v>629</v>
      </c>
      <c r="D1139" s="57">
        <f>IF($A1139="","",IF(_xlfn.XLOOKUP($A1139,Korrelation!$D$4:$D$1197,Korrelation!G$4:G$1197,"-",0)="-",0,MATCH(_xlfn.XLOOKUP($A1139,Korrelation!$D$4:$D$1197,Korrelation!G$4:G$1197,"",0),DMAV_Modell!$G$6:$G$677,0)))</f>
        <v>27</v>
      </c>
      <c r="E1139" s="57">
        <f>IF($A1139="","",IF(_xlfn.XLOOKUP($A1139,Korrelation!$D$4:$D$1197,Korrelation!H$4:H$1197,"-",0)="-",0,MATCH(_xlfn.XLOOKUP($A1139,Korrelation!$D$4:$D$1197,Korrelation!H$4:H$1197,"",0),DMAV_Dienste!$F$6:$F$140,0)))</f>
        <v>0</v>
      </c>
      <c r="F1139" s="57">
        <f>IF($A1139="","",IF(_xlfn.XLOOKUP($A1139,Korrelation!$D$4:$D$1197,Korrelation!I$4:I$1197,"-",0)="-",0,MATCH(_xlfn.XLOOKUP($A1139,Korrelation!$D$4:$D$1197,Korrelation!I$4:I$1197,"",0),DMAV_Dienste!$F$6:$F$140,0)))</f>
        <v>0</v>
      </c>
      <c r="G1139" s="57">
        <f>IF($A1139="","",IF(_xlfn.XLOOKUP($A1139,Korrelation!$D$4:$D$1197,Korrelation!J$4:J$1197,"-",0)="-",0,MATCH(_xlfn.XLOOKUP($A1139,Korrelation!$D$4:$D$1197,Korrelation!J$4:J$1197,"",0),DMAV_Dienste!$F$6:$F$140,0)))</f>
        <v>0</v>
      </c>
      <c r="H1139" s="57">
        <f>IF($A1139="","",IF(_xlfn.XLOOKUP($A1139,Korrelation!$D$4:$D$1197,Korrelation!K$4:K$1197,"-",0)="-",0,MATCH(_xlfn.XLOOKUP($A1139,Korrelation!$D$4:$D$1197,Korrelation!K$4:K$1197,"",0),'DM01-AV-CH'!$A$6:$A$834,0)))</f>
        <v>721</v>
      </c>
      <c r="J1139" s="54" t="str" cm="1">
        <f t="array" aca="1" ref="J1139" ca="1">IF(B1139=0,IF(E1139=0,"",HYPERLINK("#"&amp;RIGHT(CELL("adresse",OFFSET(DMAV_Dienste!$M$6,E1139-1,0)),LEN(CELL("adresse",OFFSET(DMAV_Dienste!$M$6,E1139-1,0)))-FIND("]",CELL("adresse",OFFSET(DMAV_Dienste!$M$6,E1139-1,0)))),"Dienst")),HYPERLINK("#"&amp;RIGHT(CELL("adresse",OFFSET(DMAV_Modell!$N$6,B1139-1,0)),LEN(CELL("adresse",OFFSET(DMAV_Modell!$N$6,B1139-1,0)))-FIND("]",CELL("adresse",OFFSET(DMAV_Modell!$N$6,B1139-1,0)))),"Modell"))</f>
        <v>Modell</v>
      </c>
      <c r="K1139" s="61" t="str" cm="1">
        <f t="array" ref="K1139">IF($B1139=0,IF($E1139=0,"",IF(INDEX(DMAV_Dienste!P$6:P$140,$E1139)="","",INDEX(DMAV_Dienste!P$6:P$140,$E1139))),IF(INDEX(DMAV_Modell!Q$6:Q$838,$B1139)="","",INDEX(DMAV_Modell!Q$6:Q$838,$B1139)))</f>
        <v>CLASS</v>
      </c>
      <c r="L1139" s="62" t="str" cm="1">
        <f t="array" ref="L1139">IF($B1139=0,IF($E1139=0,"",IF(INDEX(DMAV_Dienste!O$6:O$140,$E1139)="","",INDEX(DMAV_Dienste!O$6:O$140,$E1139))),IF(INDEX(DMAV_Modell!P$6:P$838,$B1139)="","",INDEX(DMAV_Modell!P$6:P$838,$B1139)))</f>
        <v>Gebaeudeadressen</v>
      </c>
      <c r="M1139" s="62" t="str" cm="1">
        <f t="array" ref="M1139">IF($B1139=0,IF($E1139=0,"",IF(INDEX(DMAV_Dienste!Q$6:Q$140,$E1139)="","",INDEX(DMAV_Dienste!Q$6:Q$140,$E1139))),IF(INDEX(DMAV_Modell!R$6:R$838,$B1139)="","",INDEX(DMAV_Modell!R$6:R$838,$B1139)))</f>
        <v>Lokalisation</v>
      </c>
      <c r="N1139" s="62" t="str" cm="1">
        <f t="array" ref="N1139">IF($B1139=0,IF($E1139=0,"",IF(INDEX(DMAV_Dienste!T$6:T$140,$E1139)="","",INDEX(DMAV_Dienste!T$6:T$140,$E1139))),IF(INDEX(DMAV_Modell!U$6:U$838,$B1139)="","",INDEX(DMAV_Modell!U$6:U$838,$B1139)))</f>
        <v>LokalisationName</v>
      </c>
      <c r="O1139" s="63" t="str" cm="1">
        <f t="array" aca="1" ref="O1139" ca="1">IF(C1139=0,IF(F1139=0,"",HYPERLINK("#"&amp;RIGHT(CELL("adresse",OFFSET(DMAV_Dienste!$M$6,F1139-1,0)),LEN(CELL("adresse",OFFSET(DMAV_Dienste!$M$6,F1139-1,0)))-FIND("]",CELL("adresse",OFFSET(DMAV_Dienste!$M$6,F1139-1,0)))),"Structure")),HYPERLINK("#"&amp;RIGHT(CELL("adresse",OFFSET(DMAV_Modell!$N$6,C1139-1,0)),LEN(CELL("adresse",OFFSET(DMAV_Modell!$N$6,C1139-1,0)))-FIND("]",CELL("adresse",OFFSET(DMAV_Modell!$N$6,C1139-1,0)))),"Structure"))</f>
        <v>Structure</v>
      </c>
      <c r="P1139" s="64" t="str" cm="1">
        <f t="array" aca="1" ref="P1139" ca="1">IF(D1139=0,IF(G1139=0,"",HYPERLINK("#"&amp;RIGHT(CELL("adresse",OFFSET(DMAV_Dienste!$M$6,G1139-1,0)),LEN(CELL("adresse",OFFSET(DMAV_Dienste!$M$6,G1139-1,0)))-FIND("]",CELL("adresse",OFFSET(DMAV_Dienste!$M$6,G1139-1,0)))),"Substructure")),HYPERLINK("#"&amp;RIGHT(CELL("adresse",OFFSET(DMAV_Modell!$N$6,D1139-1,0)),LEN(CELL("adresse",OFFSET(DMAV_Modell!$N$6,D1139-1,0)))-FIND("]",CELL("adresse",OFFSET(DMAV_Modell!$N$6,D1139-1,0)))),"Substructure"))</f>
        <v>Substructure</v>
      </c>
      <c r="R1139" s="80"/>
      <c r="T1139" s="93"/>
      <c r="U1139" s="94" t="s">
        <v>2980</v>
      </c>
      <c r="V1139" s="95" t="s">
        <v>3261</v>
      </c>
      <c r="W1139" s="96"/>
      <c r="Y1139" s="85"/>
      <c r="Z1139" s="86" t="s">
        <v>2980</v>
      </c>
      <c r="AA1139" s="87" t="s">
        <v>3262</v>
      </c>
      <c r="AB1139" s="88"/>
      <c r="AD1139" s="77"/>
      <c r="AF1139" s="54" t="str" cm="1">
        <f t="array" aca="1" ref="AF1139" ca="1">IF(H1139=0,"",HYPERLINK("#"&amp;RIGHT(CELL("adresse",OFFSET('DM01-AV-CH'!$G$6,H1139-1,0)),LEN(CELL("adresse",OFFSET('DM01-AV-CH'!$G$6,H1139-1,0)))-FIND("]",CELL("adresse",OFFSET('DM01-AV-CH'!$G$6,H1139-1,0)))),"Modell"))</f>
        <v>Modell</v>
      </c>
      <c r="AG1139" s="72" t="str" cm="1">
        <f t="array" ref="AG1139">IF($H1139=0,"",IF(INDEX('DM01-AV-CH'!G$6:G$834,$H1139)="","",INDEX('DM01-AV-CH'!G$6:G$834,$H1139)))</f>
        <v>Gebaeudeadressen</v>
      </c>
      <c r="AH1139" s="73" t="str" cm="1">
        <f t="array" ref="AH1139">IF($H1139=0,"",IF(INDEX('DM01-AV-CH'!H$6:H$834,$H1139)="","",INDEX('DM01-AV-CH'!H$6:H$834,$H1139)))</f>
        <v>LokalisationsNamePos</v>
      </c>
      <c r="AI1139" s="74" t="str" cm="1">
        <f t="array" ref="AI1139">IF($H1139=0,"",IF(INDEX('DM01-AV-CH'!I$6:I$834,$H1139)="","",INDEX('DM01-AV-CH'!I$6:I$834,$H1139)))</f>
        <v>Ori</v>
      </c>
    </row>
    <row r="1140" spans="1:35" ht="42.75" x14ac:dyDescent="0.25">
      <c r="A1140" s="57">
        <v>1135</v>
      </c>
      <c r="B1140" s="57">
        <f>IF($A1140="","",IF(_xlfn.XLOOKUP($A1140,Korrelation!$D$4:$D$1197,Korrelation!E$4:E$1197,"-",0)="-",0,MATCH(_xlfn.XLOOKUP($A1140,Korrelation!$D$4:$D$1197,Korrelation!E$4:E$1197,"",0),DMAV_Modell!$G$6:$G$677,0)))</f>
        <v>641</v>
      </c>
      <c r="C1140" s="57">
        <f>IF($A1140="","",IF(_xlfn.XLOOKUP($A1140,Korrelation!$D$4:$D$1197,Korrelation!F$4:F$1197,"-",0)="-",0,MATCH(_xlfn.XLOOKUP($A1140,Korrelation!$D$4:$D$1197,Korrelation!F$4:F$1197,"",0),DMAV_Modell!$G$6:$G$677,0)))</f>
        <v>629</v>
      </c>
      <c r="D1140" s="57">
        <f>IF($A1140="","",IF(_xlfn.XLOOKUP($A1140,Korrelation!$D$4:$D$1197,Korrelation!G$4:G$1197,"-",0)="-",0,MATCH(_xlfn.XLOOKUP($A1140,Korrelation!$D$4:$D$1197,Korrelation!G$4:G$1197,"",0),DMAV_Modell!$G$6:$G$677,0)))</f>
        <v>30</v>
      </c>
      <c r="E1140" s="57">
        <f>IF($A1140="","",IF(_xlfn.XLOOKUP($A1140,Korrelation!$D$4:$D$1197,Korrelation!H$4:H$1197,"-",0)="-",0,MATCH(_xlfn.XLOOKUP($A1140,Korrelation!$D$4:$D$1197,Korrelation!H$4:H$1197,"",0),DMAV_Dienste!$F$6:$F$140,0)))</f>
        <v>0</v>
      </c>
      <c r="F1140" s="57">
        <f>IF($A1140="","",IF(_xlfn.XLOOKUP($A1140,Korrelation!$D$4:$D$1197,Korrelation!I$4:I$1197,"-",0)="-",0,MATCH(_xlfn.XLOOKUP($A1140,Korrelation!$D$4:$D$1197,Korrelation!I$4:I$1197,"",0),DMAV_Dienste!$F$6:$F$140,0)))</f>
        <v>0</v>
      </c>
      <c r="G1140" s="57">
        <f>IF($A1140="","",IF(_xlfn.XLOOKUP($A1140,Korrelation!$D$4:$D$1197,Korrelation!J$4:J$1197,"-",0)="-",0,MATCH(_xlfn.XLOOKUP($A1140,Korrelation!$D$4:$D$1197,Korrelation!J$4:J$1197,"",0),DMAV_Dienste!$F$6:$F$140,0)))</f>
        <v>0</v>
      </c>
      <c r="H1140" s="57">
        <f>IF($A1140="","",IF(_xlfn.XLOOKUP($A1140,Korrelation!$D$4:$D$1197,Korrelation!K$4:K$1197,"-",0)="-",0,MATCH(_xlfn.XLOOKUP($A1140,Korrelation!$D$4:$D$1197,Korrelation!K$4:K$1197,"",0),'DM01-AV-CH'!$A$6:$A$834,0)))</f>
        <v>722</v>
      </c>
      <c r="J1140" s="54" t="str" cm="1">
        <f t="array" aca="1" ref="J1140" ca="1">IF(B1140=0,IF(E1140=0,"",HYPERLINK("#"&amp;RIGHT(CELL("adresse",OFFSET(DMAV_Dienste!$M$6,E1140-1,0)),LEN(CELL("adresse",OFFSET(DMAV_Dienste!$M$6,E1140-1,0)))-FIND("]",CELL("adresse",OFFSET(DMAV_Dienste!$M$6,E1140-1,0)))),"Dienst")),HYPERLINK("#"&amp;RIGHT(CELL("adresse",OFFSET(DMAV_Modell!$N$6,B1140-1,0)),LEN(CELL("adresse",OFFSET(DMAV_Modell!$N$6,B1140-1,0)))-FIND("]",CELL("adresse",OFFSET(DMAV_Modell!$N$6,B1140-1,0)))),"Modell"))</f>
        <v>Modell</v>
      </c>
      <c r="K1140" s="61" t="str" cm="1">
        <f t="array" ref="K1140">IF($B1140=0,IF($E1140=0,"",IF(INDEX(DMAV_Dienste!P$6:P$140,$E1140)="","",INDEX(DMAV_Dienste!P$6:P$140,$E1140))),IF(INDEX(DMAV_Modell!Q$6:Q$838,$B1140)="","",INDEX(DMAV_Modell!Q$6:Q$838,$B1140)))</f>
        <v>CLASS</v>
      </c>
      <c r="L1140" s="62" t="str" cm="1">
        <f t="array" ref="L1140">IF($B1140=0,IF($E1140=0,"",IF(INDEX(DMAV_Dienste!O$6:O$140,$E1140)="","",INDEX(DMAV_Dienste!O$6:O$140,$E1140))),IF(INDEX(DMAV_Modell!P$6:P$838,$B1140)="","",INDEX(DMAV_Modell!P$6:P$838,$B1140)))</f>
        <v>Gebaeudeadressen</v>
      </c>
      <c r="M1140" s="62" t="str" cm="1">
        <f t="array" ref="M1140">IF($B1140=0,IF($E1140=0,"",IF(INDEX(DMAV_Dienste!Q$6:Q$140,$E1140)="","",INDEX(DMAV_Dienste!Q$6:Q$140,$E1140))),IF(INDEX(DMAV_Modell!R$6:R$838,$B1140)="","",INDEX(DMAV_Modell!R$6:R$838,$B1140)))</f>
        <v>Lokalisation</v>
      </c>
      <c r="N1140" s="62" t="str" cm="1">
        <f t="array" ref="N1140">IF($B1140=0,IF($E1140=0,"",IF(INDEX(DMAV_Dienste!T$6:T$140,$E1140)="","",INDEX(DMAV_Dienste!T$6:T$140,$E1140))),IF(INDEX(DMAV_Modell!U$6:U$838,$B1140)="","",INDEX(DMAV_Modell!U$6:U$838,$B1140)))</f>
        <v>LokalisationName</v>
      </c>
      <c r="O1140" s="63" t="str" cm="1">
        <f t="array" aca="1" ref="O1140" ca="1">IF(C1140=0,IF(F1140=0,"",HYPERLINK("#"&amp;RIGHT(CELL("adresse",OFFSET(DMAV_Dienste!$M$6,F1140-1,0)),LEN(CELL("adresse",OFFSET(DMAV_Dienste!$M$6,F1140-1,0)))-FIND("]",CELL("adresse",OFFSET(DMAV_Dienste!$M$6,F1140-1,0)))),"Structure")),HYPERLINK("#"&amp;RIGHT(CELL("adresse",OFFSET(DMAV_Modell!$N$6,C1140-1,0)),LEN(CELL("adresse",OFFSET(DMAV_Modell!$N$6,C1140-1,0)))-FIND("]",CELL("adresse",OFFSET(DMAV_Modell!$N$6,C1140-1,0)))),"Structure"))</f>
        <v>Structure</v>
      </c>
      <c r="P1140" s="64" t="str" cm="1">
        <f t="array" aca="1" ref="P1140" ca="1">IF(D1140=0,IF(G1140=0,"",HYPERLINK("#"&amp;RIGHT(CELL("adresse",OFFSET(DMAV_Dienste!$M$6,G1140-1,0)),LEN(CELL("adresse",OFFSET(DMAV_Dienste!$M$6,G1140-1,0)))-FIND("]",CELL("adresse",OFFSET(DMAV_Dienste!$M$6,G1140-1,0)))),"Substructure")),HYPERLINK("#"&amp;RIGHT(CELL("adresse",OFFSET(DMAV_Modell!$N$6,D1140-1,0)),LEN(CELL("adresse",OFFSET(DMAV_Modell!$N$6,D1140-1,0)))-FIND("]",CELL("adresse",OFFSET(DMAV_Modell!$N$6,D1140-1,0)))),"Substructure"))</f>
        <v>Substructure</v>
      </c>
      <c r="R1140" s="80"/>
      <c r="T1140" s="93"/>
      <c r="U1140" s="94" t="s">
        <v>2980</v>
      </c>
      <c r="V1140" s="95" t="s">
        <v>3263</v>
      </c>
      <c r="W1140" s="96"/>
      <c r="Y1140" s="85"/>
      <c r="Z1140" s="86" t="s">
        <v>2980</v>
      </c>
      <c r="AA1140" s="87" t="s">
        <v>3264</v>
      </c>
      <c r="AB1140" s="88"/>
      <c r="AD1140" s="77"/>
      <c r="AF1140" s="54" t="str" cm="1">
        <f t="array" aca="1" ref="AF1140" ca="1">IF(H1140=0,"",HYPERLINK("#"&amp;RIGHT(CELL("adresse",OFFSET('DM01-AV-CH'!$G$6,H1140-1,0)),LEN(CELL("adresse",OFFSET('DM01-AV-CH'!$G$6,H1140-1,0)))-FIND("]",CELL("adresse",OFFSET('DM01-AV-CH'!$G$6,H1140-1,0)))),"Modell"))</f>
        <v>Modell</v>
      </c>
      <c r="AG1140" s="72" t="str" cm="1">
        <f t="array" ref="AG1140">IF($H1140=0,"",IF(INDEX('DM01-AV-CH'!G$6:G$834,$H1140)="","",INDEX('DM01-AV-CH'!G$6:G$834,$H1140)))</f>
        <v>Gebaeudeadressen</v>
      </c>
      <c r="AH1140" s="73" t="str" cm="1">
        <f t="array" ref="AH1140">IF($H1140=0,"",IF(INDEX('DM01-AV-CH'!H$6:H$834,$H1140)="","",INDEX('DM01-AV-CH'!H$6:H$834,$H1140)))</f>
        <v>LokalisationsNamePos</v>
      </c>
      <c r="AI1140" s="74" t="str" cm="1">
        <f t="array" ref="AI1140">IF($H1140=0,"",IF(INDEX('DM01-AV-CH'!I$6:I$834,$H1140)="","",INDEX('DM01-AV-CH'!I$6:I$834,$H1140)))</f>
        <v>HAli</v>
      </c>
    </row>
    <row r="1141" spans="1:35" ht="42.75" x14ac:dyDescent="0.25">
      <c r="A1141" s="57">
        <v>1136</v>
      </c>
      <c r="B1141" s="57">
        <f>IF($A1141="","",IF(_xlfn.XLOOKUP($A1141,Korrelation!$D$4:$D$1197,Korrelation!E$4:E$1197,"-",0)="-",0,MATCH(_xlfn.XLOOKUP($A1141,Korrelation!$D$4:$D$1197,Korrelation!E$4:E$1197,"",0),DMAV_Modell!$G$6:$G$677,0)))</f>
        <v>641</v>
      </c>
      <c r="C1141" s="57">
        <f>IF($A1141="","",IF(_xlfn.XLOOKUP($A1141,Korrelation!$D$4:$D$1197,Korrelation!F$4:F$1197,"-",0)="-",0,MATCH(_xlfn.XLOOKUP($A1141,Korrelation!$D$4:$D$1197,Korrelation!F$4:F$1197,"",0),DMAV_Modell!$G$6:$G$677,0)))</f>
        <v>629</v>
      </c>
      <c r="D1141" s="57">
        <f>IF($A1141="","",IF(_xlfn.XLOOKUP($A1141,Korrelation!$D$4:$D$1197,Korrelation!G$4:G$1197,"-",0)="-",0,MATCH(_xlfn.XLOOKUP($A1141,Korrelation!$D$4:$D$1197,Korrelation!G$4:G$1197,"",0),DMAV_Modell!$G$6:$G$677,0)))</f>
        <v>31</v>
      </c>
      <c r="E1141" s="57">
        <f>IF($A1141="","",IF(_xlfn.XLOOKUP($A1141,Korrelation!$D$4:$D$1197,Korrelation!H$4:H$1197,"-",0)="-",0,MATCH(_xlfn.XLOOKUP($A1141,Korrelation!$D$4:$D$1197,Korrelation!H$4:H$1197,"",0),DMAV_Dienste!$F$6:$F$140,0)))</f>
        <v>0</v>
      </c>
      <c r="F1141" s="57">
        <f>IF($A1141="","",IF(_xlfn.XLOOKUP($A1141,Korrelation!$D$4:$D$1197,Korrelation!I$4:I$1197,"-",0)="-",0,MATCH(_xlfn.XLOOKUP($A1141,Korrelation!$D$4:$D$1197,Korrelation!I$4:I$1197,"",0),DMAV_Dienste!$F$6:$F$140,0)))</f>
        <v>0</v>
      </c>
      <c r="G1141" s="57">
        <f>IF($A1141="","",IF(_xlfn.XLOOKUP($A1141,Korrelation!$D$4:$D$1197,Korrelation!J$4:J$1197,"-",0)="-",0,MATCH(_xlfn.XLOOKUP($A1141,Korrelation!$D$4:$D$1197,Korrelation!J$4:J$1197,"",0),DMAV_Dienste!$F$6:$F$140,0)))</f>
        <v>0</v>
      </c>
      <c r="H1141" s="57">
        <f>IF($A1141="","",IF(_xlfn.XLOOKUP($A1141,Korrelation!$D$4:$D$1197,Korrelation!K$4:K$1197,"-",0)="-",0,MATCH(_xlfn.XLOOKUP($A1141,Korrelation!$D$4:$D$1197,Korrelation!K$4:K$1197,"",0),'DM01-AV-CH'!$A$6:$A$834,0)))</f>
        <v>723</v>
      </c>
      <c r="J1141" s="54" t="str" cm="1">
        <f t="array" aca="1" ref="J1141" ca="1">IF(B1141=0,IF(E1141=0,"",HYPERLINK("#"&amp;RIGHT(CELL("adresse",OFFSET(DMAV_Dienste!$M$6,E1141-1,0)),LEN(CELL("adresse",OFFSET(DMAV_Dienste!$M$6,E1141-1,0)))-FIND("]",CELL("adresse",OFFSET(DMAV_Dienste!$M$6,E1141-1,0)))),"Dienst")),HYPERLINK("#"&amp;RIGHT(CELL("adresse",OFFSET(DMAV_Modell!$N$6,B1141-1,0)),LEN(CELL("adresse",OFFSET(DMAV_Modell!$N$6,B1141-1,0)))-FIND("]",CELL("adresse",OFFSET(DMAV_Modell!$N$6,B1141-1,0)))),"Modell"))</f>
        <v>Modell</v>
      </c>
      <c r="K1141" s="61" t="str" cm="1">
        <f t="array" ref="K1141">IF($B1141=0,IF($E1141=0,"",IF(INDEX(DMAV_Dienste!P$6:P$140,$E1141)="","",INDEX(DMAV_Dienste!P$6:P$140,$E1141))),IF(INDEX(DMAV_Modell!Q$6:Q$838,$B1141)="","",INDEX(DMAV_Modell!Q$6:Q$838,$B1141)))</f>
        <v>CLASS</v>
      </c>
      <c r="L1141" s="62" t="str" cm="1">
        <f t="array" ref="L1141">IF($B1141=0,IF($E1141=0,"",IF(INDEX(DMAV_Dienste!O$6:O$140,$E1141)="","",INDEX(DMAV_Dienste!O$6:O$140,$E1141))),IF(INDEX(DMAV_Modell!P$6:P$838,$B1141)="","",INDEX(DMAV_Modell!P$6:P$838,$B1141)))</f>
        <v>Gebaeudeadressen</v>
      </c>
      <c r="M1141" s="62" t="str" cm="1">
        <f t="array" ref="M1141">IF($B1141=0,IF($E1141=0,"",IF(INDEX(DMAV_Dienste!Q$6:Q$140,$E1141)="","",INDEX(DMAV_Dienste!Q$6:Q$140,$E1141))),IF(INDEX(DMAV_Modell!R$6:R$838,$B1141)="","",INDEX(DMAV_Modell!R$6:R$838,$B1141)))</f>
        <v>Lokalisation</v>
      </c>
      <c r="N1141" s="62" t="str" cm="1">
        <f t="array" ref="N1141">IF($B1141=0,IF($E1141=0,"",IF(INDEX(DMAV_Dienste!T$6:T$140,$E1141)="","",INDEX(DMAV_Dienste!T$6:T$140,$E1141))),IF(INDEX(DMAV_Modell!U$6:U$838,$B1141)="","",INDEX(DMAV_Modell!U$6:U$838,$B1141)))</f>
        <v>LokalisationName</v>
      </c>
      <c r="O1141" s="63" t="str" cm="1">
        <f t="array" aca="1" ref="O1141" ca="1">IF(C1141=0,IF(F1141=0,"",HYPERLINK("#"&amp;RIGHT(CELL("adresse",OFFSET(DMAV_Dienste!$M$6,F1141-1,0)),LEN(CELL("adresse",OFFSET(DMAV_Dienste!$M$6,F1141-1,0)))-FIND("]",CELL("adresse",OFFSET(DMAV_Dienste!$M$6,F1141-1,0)))),"Structure")),HYPERLINK("#"&amp;RIGHT(CELL("adresse",OFFSET(DMAV_Modell!$N$6,C1141-1,0)),LEN(CELL("adresse",OFFSET(DMAV_Modell!$N$6,C1141-1,0)))-FIND("]",CELL("adresse",OFFSET(DMAV_Modell!$N$6,C1141-1,0)))),"Structure"))</f>
        <v>Structure</v>
      </c>
      <c r="P1141" s="64" t="str" cm="1">
        <f t="array" aca="1" ref="P1141" ca="1">IF(D1141=0,IF(G1141=0,"",HYPERLINK("#"&amp;RIGHT(CELL("adresse",OFFSET(DMAV_Dienste!$M$6,G1141-1,0)),LEN(CELL("adresse",OFFSET(DMAV_Dienste!$M$6,G1141-1,0)))-FIND("]",CELL("adresse",OFFSET(DMAV_Dienste!$M$6,G1141-1,0)))),"Substructure")),HYPERLINK("#"&amp;RIGHT(CELL("adresse",OFFSET(DMAV_Modell!$N$6,D1141-1,0)),LEN(CELL("adresse",OFFSET(DMAV_Modell!$N$6,D1141-1,0)))-FIND("]",CELL("adresse",OFFSET(DMAV_Modell!$N$6,D1141-1,0)))),"Substructure"))</f>
        <v>Substructure</v>
      </c>
      <c r="R1141" s="80"/>
      <c r="T1141" s="93"/>
      <c r="U1141" s="94" t="s">
        <v>2980</v>
      </c>
      <c r="V1141" s="95" t="s">
        <v>3265</v>
      </c>
      <c r="W1141" s="96"/>
      <c r="Y1141" s="85"/>
      <c r="Z1141" s="86" t="s">
        <v>2980</v>
      </c>
      <c r="AA1141" s="87" t="s">
        <v>3266</v>
      </c>
      <c r="AB1141" s="88"/>
      <c r="AD1141" s="77"/>
      <c r="AF1141" s="54" t="str" cm="1">
        <f t="array" aca="1" ref="AF1141" ca="1">IF(H1141=0,"",HYPERLINK("#"&amp;RIGHT(CELL("adresse",OFFSET('DM01-AV-CH'!$G$6,H1141-1,0)),LEN(CELL("adresse",OFFSET('DM01-AV-CH'!$G$6,H1141-1,0)))-FIND("]",CELL("adresse",OFFSET('DM01-AV-CH'!$G$6,H1141-1,0)))),"Modell"))</f>
        <v>Modell</v>
      </c>
      <c r="AG1141" s="72" t="str" cm="1">
        <f t="array" ref="AG1141">IF($H1141=0,"",IF(INDEX('DM01-AV-CH'!G$6:G$834,$H1141)="","",INDEX('DM01-AV-CH'!G$6:G$834,$H1141)))</f>
        <v>Gebaeudeadressen</v>
      </c>
      <c r="AH1141" s="73" t="str" cm="1">
        <f t="array" ref="AH1141">IF($H1141=0,"",IF(INDEX('DM01-AV-CH'!H$6:H$834,$H1141)="","",INDEX('DM01-AV-CH'!H$6:H$834,$H1141)))</f>
        <v>LokalisationsNamePos</v>
      </c>
      <c r="AI1141" s="74" t="str" cm="1">
        <f t="array" ref="AI1141">IF($H1141=0,"",IF(INDEX('DM01-AV-CH'!I$6:I$834,$H1141)="","",INDEX('DM01-AV-CH'!I$6:I$834,$H1141)))</f>
        <v>VAli</v>
      </c>
    </row>
    <row r="1142" spans="1:35" ht="42.75" x14ac:dyDescent="0.25">
      <c r="A1142" s="57">
        <v>1137</v>
      </c>
      <c r="B1142" s="57">
        <f>IF($A1142="","",IF(_xlfn.XLOOKUP($A1142,Korrelation!$D$4:$D$1197,Korrelation!E$4:E$1197,"-",0)="-",0,MATCH(_xlfn.XLOOKUP($A1142,Korrelation!$D$4:$D$1197,Korrelation!E$4:E$1197,"",0),DMAV_Modell!$G$6:$G$677,0)))</f>
        <v>641</v>
      </c>
      <c r="C1142" s="57">
        <f>IF($A1142="","",IF(_xlfn.XLOOKUP($A1142,Korrelation!$D$4:$D$1197,Korrelation!F$4:F$1197,"-",0)="-",0,MATCH(_xlfn.XLOOKUP($A1142,Korrelation!$D$4:$D$1197,Korrelation!F$4:F$1197,"",0),DMAV_Modell!$G$6:$G$677,0)))</f>
        <v>629</v>
      </c>
      <c r="D1142" s="57">
        <f>IF($A1142="","",IF(_xlfn.XLOOKUP($A1142,Korrelation!$D$4:$D$1197,Korrelation!G$4:G$1197,"-",0)="-",0,MATCH(_xlfn.XLOOKUP($A1142,Korrelation!$D$4:$D$1197,Korrelation!G$4:G$1197,"",0),DMAV_Modell!$G$6:$G$677,0)))</f>
        <v>29</v>
      </c>
      <c r="E1142" s="57">
        <f>IF($A1142="","",IF(_xlfn.XLOOKUP($A1142,Korrelation!$D$4:$D$1197,Korrelation!H$4:H$1197,"-",0)="-",0,MATCH(_xlfn.XLOOKUP($A1142,Korrelation!$D$4:$D$1197,Korrelation!H$4:H$1197,"",0),DMAV_Dienste!$F$6:$F$140,0)))</f>
        <v>0</v>
      </c>
      <c r="F1142" s="57">
        <f>IF($A1142="","",IF(_xlfn.XLOOKUP($A1142,Korrelation!$D$4:$D$1197,Korrelation!I$4:I$1197,"-",0)="-",0,MATCH(_xlfn.XLOOKUP($A1142,Korrelation!$D$4:$D$1197,Korrelation!I$4:I$1197,"",0),DMAV_Dienste!$F$6:$F$140,0)))</f>
        <v>0</v>
      </c>
      <c r="G1142" s="57">
        <f>IF($A1142="","",IF(_xlfn.XLOOKUP($A1142,Korrelation!$D$4:$D$1197,Korrelation!J$4:J$1197,"-",0)="-",0,MATCH(_xlfn.XLOOKUP($A1142,Korrelation!$D$4:$D$1197,Korrelation!J$4:J$1197,"",0),DMAV_Dienste!$F$6:$F$140,0)))</f>
        <v>0</v>
      </c>
      <c r="H1142" s="57">
        <f>IF($A1142="","",IF(_xlfn.XLOOKUP($A1142,Korrelation!$D$4:$D$1197,Korrelation!K$4:K$1197,"-",0)="-",0,MATCH(_xlfn.XLOOKUP($A1142,Korrelation!$D$4:$D$1197,Korrelation!K$4:K$1197,"",0),'DM01-AV-CH'!$A$6:$A$834,0)))</f>
        <v>724</v>
      </c>
      <c r="J1142" s="54" t="str" cm="1">
        <f t="array" aca="1" ref="J1142" ca="1">IF(B1142=0,IF(E1142=0,"",HYPERLINK("#"&amp;RIGHT(CELL("adresse",OFFSET(DMAV_Dienste!$M$6,E1142-1,0)),LEN(CELL("adresse",OFFSET(DMAV_Dienste!$M$6,E1142-1,0)))-FIND("]",CELL("adresse",OFFSET(DMAV_Dienste!$M$6,E1142-1,0)))),"Dienst")),HYPERLINK("#"&amp;RIGHT(CELL("adresse",OFFSET(DMAV_Modell!$N$6,B1142-1,0)),LEN(CELL("adresse",OFFSET(DMAV_Modell!$N$6,B1142-1,0)))-FIND("]",CELL("adresse",OFFSET(DMAV_Modell!$N$6,B1142-1,0)))),"Modell"))</f>
        <v>Modell</v>
      </c>
      <c r="K1142" s="61" t="str" cm="1">
        <f t="array" ref="K1142">IF($B1142=0,IF($E1142=0,"",IF(INDEX(DMAV_Dienste!P$6:P$140,$E1142)="","",INDEX(DMAV_Dienste!P$6:P$140,$E1142))),IF(INDEX(DMAV_Modell!Q$6:Q$838,$B1142)="","",INDEX(DMAV_Modell!Q$6:Q$838,$B1142)))</f>
        <v>CLASS</v>
      </c>
      <c r="L1142" s="62" t="str" cm="1">
        <f t="array" ref="L1142">IF($B1142=0,IF($E1142=0,"",IF(INDEX(DMAV_Dienste!O$6:O$140,$E1142)="","",INDEX(DMAV_Dienste!O$6:O$140,$E1142))),IF(INDEX(DMAV_Modell!P$6:P$838,$B1142)="","",INDEX(DMAV_Modell!P$6:P$838,$B1142)))</f>
        <v>Gebaeudeadressen</v>
      </c>
      <c r="M1142" s="62" t="str" cm="1">
        <f t="array" ref="M1142">IF($B1142=0,IF($E1142=0,"",IF(INDEX(DMAV_Dienste!Q$6:Q$140,$E1142)="","",INDEX(DMAV_Dienste!Q$6:Q$140,$E1142))),IF(INDEX(DMAV_Modell!R$6:R$838,$B1142)="","",INDEX(DMAV_Modell!R$6:R$838,$B1142)))</f>
        <v>Lokalisation</v>
      </c>
      <c r="N1142" s="62" t="str" cm="1">
        <f t="array" ref="N1142">IF($B1142=0,IF($E1142=0,"",IF(INDEX(DMAV_Dienste!T$6:T$140,$E1142)="","",INDEX(DMAV_Dienste!T$6:T$140,$E1142))),IF(INDEX(DMAV_Modell!U$6:U$838,$B1142)="","",INDEX(DMAV_Modell!U$6:U$838,$B1142)))</f>
        <v>LokalisationName</v>
      </c>
      <c r="O1142" s="63" t="str" cm="1">
        <f t="array" aca="1" ref="O1142" ca="1">IF(C1142=0,IF(F1142=0,"",HYPERLINK("#"&amp;RIGHT(CELL("adresse",OFFSET(DMAV_Dienste!$M$6,F1142-1,0)),LEN(CELL("adresse",OFFSET(DMAV_Dienste!$M$6,F1142-1,0)))-FIND("]",CELL("adresse",OFFSET(DMAV_Dienste!$M$6,F1142-1,0)))),"Structure")),HYPERLINK("#"&amp;RIGHT(CELL("adresse",OFFSET(DMAV_Modell!$N$6,C1142-1,0)),LEN(CELL("adresse",OFFSET(DMAV_Modell!$N$6,C1142-1,0)))-FIND("]",CELL("adresse",OFFSET(DMAV_Modell!$N$6,C1142-1,0)))),"Structure"))</f>
        <v>Structure</v>
      </c>
      <c r="P1142" s="64" t="str" cm="1">
        <f t="array" aca="1" ref="P1142" ca="1">IF(D1142=0,IF(G1142=0,"",HYPERLINK("#"&amp;RIGHT(CELL("adresse",OFFSET(DMAV_Dienste!$M$6,G1142-1,0)),LEN(CELL("adresse",OFFSET(DMAV_Dienste!$M$6,G1142-1,0)))-FIND("]",CELL("adresse",OFFSET(DMAV_Dienste!$M$6,G1142-1,0)))),"Substructure")),HYPERLINK("#"&amp;RIGHT(CELL("adresse",OFFSET(DMAV_Modell!$N$6,D1142-1,0)),LEN(CELL("adresse",OFFSET(DMAV_Modell!$N$6,D1142-1,0)))-FIND("]",CELL("adresse",OFFSET(DMAV_Modell!$N$6,D1142-1,0)))),"Substructure"))</f>
        <v>Substructure</v>
      </c>
      <c r="R1142" s="80"/>
      <c r="T1142" s="93"/>
      <c r="U1142" s="94" t="s">
        <v>2980</v>
      </c>
      <c r="V1142" s="95" t="s">
        <v>3267</v>
      </c>
      <c r="W1142" s="96"/>
      <c r="Y1142" s="85"/>
      <c r="Z1142" s="86" t="s">
        <v>2980</v>
      </c>
      <c r="AA1142" s="87" t="s">
        <v>3268</v>
      </c>
      <c r="AB1142" s="88"/>
      <c r="AD1142" s="77"/>
      <c r="AF1142" s="54" t="str" cm="1">
        <f t="array" aca="1" ref="AF1142" ca="1">IF(H1142=0,"",HYPERLINK("#"&amp;RIGHT(CELL("adresse",OFFSET('DM01-AV-CH'!$G$6,H1142-1,0)),LEN(CELL("adresse",OFFSET('DM01-AV-CH'!$G$6,H1142-1,0)))-FIND("]",CELL("adresse",OFFSET('DM01-AV-CH'!$G$6,H1142-1,0)))),"Modell"))</f>
        <v>Modell</v>
      </c>
      <c r="AG1142" s="72" t="str" cm="1">
        <f t="array" ref="AG1142">IF($H1142=0,"",IF(INDEX('DM01-AV-CH'!G$6:G$834,$H1142)="","",INDEX('DM01-AV-CH'!G$6:G$834,$H1142)))</f>
        <v>Gebaeudeadressen</v>
      </c>
      <c r="AH1142" s="73" t="str" cm="1">
        <f t="array" ref="AH1142">IF($H1142=0,"",IF(INDEX('DM01-AV-CH'!H$6:H$834,$H1142)="","",INDEX('DM01-AV-CH'!H$6:H$834,$H1142)))</f>
        <v>LokalisationsNamePos</v>
      </c>
      <c r="AI1142" s="74" t="str" cm="1">
        <f t="array" ref="AI1142">IF($H1142=0,"",IF(INDEX('DM01-AV-CH'!I$6:I$834,$H1142)="","",INDEX('DM01-AV-CH'!I$6:I$834,$H1142)))</f>
        <v>Groesse</v>
      </c>
    </row>
    <row r="1143" spans="1:35" ht="42.75" x14ac:dyDescent="0.25">
      <c r="A1143" s="57">
        <v>1138</v>
      </c>
      <c r="B1143" s="57">
        <f>IF($A1143="","",IF(_xlfn.XLOOKUP($A1143,Korrelation!$D$4:$D$1197,Korrelation!E$4:E$1197,"-",0)="-",0,MATCH(_xlfn.XLOOKUP($A1143,Korrelation!$D$4:$D$1197,Korrelation!E$4:E$1197,"",0),DMAV_Modell!$G$6:$G$677,0)))</f>
        <v>641</v>
      </c>
      <c r="C1143" s="57">
        <f>IF($A1143="","",IF(_xlfn.XLOOKUP($A1143,Korrelation!$D$4:$D$1197,Korrelation!F$4:F$1197,"-",0)="-",0,MATCH(_xlfn.XLOOKUP($A1143,Korrelation!$D$4:$D$1197,Korrelation!F$4:F$1197,"",0),DMAV_Modell!$G$6:$G$677,0)))</f>
        <v>629</v>
      </c>
      <c r="D1143" s="57">
        <f>IF($A1143="","",IF(_xlfn.XLOOKUP($A1143,Korrelation!$D$4:$D$1197,Korrelation!G$4:G$1197,"-",0)="-",0,MATCH(_xlfn.XLOOKUP($A1143,Korrelation!$D$4:$D$1197,Korrelation!G$4:G$1197,"",0),DMAV_Modell!$G$6:$G$677,0)))</f>
        <v>32</v>
      </c>
      <c r="E1143" s="57">
        <f>IF($A1143="","",IF(_xlfn.XLOOKUP($A1143,Korrelation!$D$4:$D$1197,Korrelation!H$4:H$1197,"-",0)="-",0,MATCH(_xlfn.XLOOKUP($A1143,Korrelation!$D$4:$D$1197,Korrelation!H$4:H$1197,"",0),DMAV_Dienste!$F$6:$F$140,0)))</f>
        <v>0</v>
      </c>
      <c r="F1143" s="57">
        <f>IF($A1143="","",IF(_xlfn.XLOOKUP($A1143,Korrelation!$D$4:$D$1197,Korrelation!I$4:I$1197,"-",0)="-",0,MATCH(_xlfn.XLOOKUP($A1143,Korrelation!$D$4:$D$1197,Korrelation!I$4:I$1197,"",0),DMAV_Dienste!$F$6:$F$140,0)))</f>
        <v>0</v>
      </c>
      <c r="G1143" s="57">
        <f>IF($A1143="","",IF(_xlfn.XLOOKUP($A1143,Korrelation!$D$4:$D$1197,Korrelation!J$4:J$1197,"-",0)="-",0,MATCH(_xlfn.XLOOKUP($A1143,Korrelation!$D$4:$D$1197,Korrelation!J$4:J$1197,"",0),DMAV_Dienste!$F$6:$F$140,0)))</f>
        <v>0</v>
      </c>
      <c r="H1143" s="57">
        <f>IF($A1143="","",IF(_xlfn.XLOOKUP($A1143,Korrelation!$D$4:$D$1197,Korrelation!K$4:K$1197,"-",0)="-",0,MATCH(_xlfn.XLOOKUP($A1143,Korrelation!$D$4:$D$1197,Korrelation!K$4:K$1197,"",0),'DM01-AV-CH'!$A$6:$A$834,0)))</f>
        <v>725</v>
      </c>
      <c r="J1143" s="54" t="str" cm="1">
        <f t="array" aca="1" ref="J1143" ca="1">IF(B1143=0,IF(E1143=0,"",HYPERLINK("#"&amp;RIGHT(CELL("adresse",OFFSET(DMAV_Dienste!$M$6,E1143-1,0)),LEN(CELL("adresse",OFFSET(DMAV_Dienste!$M$6,E1143-1,0)))-FIND("]",CELL("adresse",OFFSET(DMAV_Dienste!$M$6,E1143-1,0)))),"Dienst")),HYPERLINK("#"&amp;RIGHT(CELL("adresse",OFFSET(DMAV_Modell!$N$6,B1143-1,0)),LEN(CELL("adresse",OFFSET(DMAV_Modell!$N$6,B1143-1,0)))-FIND("]",CELL("adresse",OFFSET(DMAV_Modell!$N$6,B1143-1,0)))),"Modell"))</f>
        <v>Modell</v>
      </c>
      <c r="K1143" s="61" t="str" cm="1">
        <f t="array" ref="K1143">IF($B1143=0,IF($E1143=0,"",IF(INDEX(DMAV_Dienste!P$6:P$140,$E1143)="","",INDEX(DMAV_Dienste!P$6:P$140,$E1143))),IF(INDEX(DMAV_Modell!Q$6:Q$838,$B1143)="","",INDEX(DMAV_Modell!Q$6:Q$838,$B1143)))</f>
        <v>CLASS</v>
      </c>
      <c r="L1143" s="62" t="str" cm="1">
        <f t="array" ref="L1143">IF($B1143=0,IF($E1143=0,"",IF(INDEX(DMAV_Dienste!O$6:O$140,$E1143)="","",INDEX(DMAV_Dienste!O$6:O$140,$E1143))),IF(INDEX(DMAV_Modell!P$6:P$838,$B1143)="","",INDEX(DMAV_Modell!P$6:P$838,$B1143)))</f>
        <v>Gebaeudeadressen</v>
      </c>
      <c r="M1143" s="62" t="str" cm="1">
        <f t="array" ref="M1143">IF($B1143=0,IF($E1143=0,"",IF(INDEX(DMAV_Dienste!Q$6:Q$140,$E1143)="","",INDEX(DMAV_Dienste!Q$6:Q$140,$E1143))),IF(INDEX(DMAV_Modell!R$6:R$838,$B1143)="","",INDEX(DMAV_Modell!R$6:R$838,$B1143)))</f>
        <v>Lokalisation</v>
      </c>
      <c r="N1143" s="62" t="str" cm="1">
        <f t="array" ref="N1143">IF($B1143=0,IF($E1143=0,"",IF(INDEX(DMAV_Dienste!T$6:T$140,$E1143)="","",INDEX(DMAV_Dienste!T$6:T$140,$E1143))),IF(INDEX(DMAV_Modell!U$6:U$838,$B1143)="","",INDEX(DMAV_Modell!U$6:U$838,$B1143)))</f>
        <v>LokalisationName</v>
      </c>
      <c r="O1143" s="63" t="str" cm="1">
        <f t="array" aca="1" ref="O1143" ca="1">IF(C1143=0,IF(F1143=0,"",HYPERLINK("#"&amp;RIGHT(CELL("adresse",OFFSET(DMAV_Dienste!$M$6,F1143-1,0)),LEN(CELL("adresse",OFFSET(DMAV_Dienste!$M$6,F1143-1,0)))-FIND("]",CELL("adresse",OFFSET(DMAV_Dienste!$M$6,F1143-1,0)))),"Structure")),HYPERLINK("#"&amp;RIGHT(CELL("adresse",OFFSET(DMAV_Modell!$N$6,C1143-1,0)),LEN(CELL("adresse",OFFSET(DMAV_Modell!$N$6,C1143-1,0)))-FIND("]",CELL("adresse",OFFSET(DMAV_Modell!$N$6,C1143-1,0)))),"Structure"))</f>
        <v>Structure</v>
      </c>
      <c r="P1143" s="64" t="str" cm="1">
        <f t="array" aca="1" ref="P1143" ca="1">IF(D1143=0,IF(G1143=0,"",HYPERLINK("#"&amp;RIGHT(CELL("adresse",OFFSET(DMAV_Dienste!$M$6,G1143-1,0)),LEN(CELL("adresse",OFFSET(DMAV_Dienste!$M$6,G1143-1,0)))-FIND("]",CELL("adresse",OFFSET(DMAV_Dienste!$M$6,G1143-1,0)))),"Substructure")),HYPERLINK("#"&amp;RIGHT(CELL("adresse",OFFSET(DMAV_Modell!$N$6,D1143-1,0)),LEN(CELL("adresse",OFFSET(DMAV_Modell!$N$6,D1143-1,0)))-FIND("]",CELL("adresse",OFFSET(DMAV_Modell!$N$6,D1143-1,0)))),"Substructure"))</f>
        <v>Substructure</v>
      </c>
      <c r="R1143" s="80"/>
      <c r="T1143" s="93"/>
      <c r="U1143" s="94" t="s">
        <v>2980</v>
      </c>
      <c r="V1143" s="95" t="s">
        <v>3269</v>
      </c>
      <c r="W1143" s="96"/>
      <c r="Y1143" s="85"/>
      <c r="Z1143" s="86" t="s">
        <v>2980</v>
      </c>
      <c r="AA1143" s="87" t="s">
        <v>3270</v>
      </c>
      <c r="AB1143" s="88"/>
      <c r="AD1143" s="77"/>
      <c r="AF1143" s="54" t="str" cm="1">
        <f t="array" aca="1" ref="AF1143" ca="1">IF(H1143=0,"",HYPERLINK("#"&amp;RIGHT(CELL("adresse",OFFSET('DM01-AV-CH'!$G$6,H1143-1,0)),LEN(CELL("adresse",OFFSET('DM01-AV-CH'!$G$6,H1143-1,0)))-FIND("]",CELL("adresse",OFFSET('DM01-AV-CH'!$G$6,H1143-1,0)))),"Modell"))</f>
        <v>Modell</v>
      </c>
      <c r="AG1143" s="72" t="str" cm="1">
        <f t="array" ref="AG1143">IF($H1143=0,"",IF(INDEX('DM01-AV-CH'!G$6:G$834,$H1143)="","",INDEX('DM01-AV-CH'!G$6:G$834,$H1143)))</f>
        <v>Gebaeudeadressen</v>
      </c>
      <c r="AH1143" s="73" t="str" cm="1">
        <f t="array" ref="AH1143">IF($H1143=0,"",IF(INDEX('DM01-AV-CH'!H$6:H$834,$H1143)="","",INDEX('DM01-AV-CH'!H$6:H$834,$H1143)))</f>
        <v>LokalisationsNamePos</v>
      </c>
      <c r="AI1143" s="74" t="str" cm="1">
        <f t="array" ref="AI1143">IF($H1143=0,"",IF(INDEX('DM01-AV-CH'!I$6:I$834,$H1143)="","",INDEX('DM01-AV-CH'!I$6:I$834,$H1143)))</f>
        <v>Hilfslinie</v>
      </c>
    </row>
    <row r="1144" spans="1:35" x14ac:dyDescent="0.25">
      <c r="A1144" s="57">
        <v>1139</v>
      </c>
      <c r="B1144" s="57">
        <f>IF($A1144="","",IF(_xlfn.XLOOKUP($A1144,Korrelation!$D$4:$D$1197,Korrelation!E$4:E$1197,"-",0)="-",0,MATCH(_xlfn.XLOOKUP($A1144,Korrelation!$D$4:$D$1197,Korrelation!E$4:E$1197,"",0),DMAV_Modell!$G$6:$G$677,0)))</f>
        <v>0</v>
      </c>
      <c r="C1144" s="57">
        <f>IF($A1144="","",IF(_xlfn.XLOOKUP($A1144,Korrelation!$D$4:$D$1197,Korrelation!F$4:F$1197,"-",0)="-",0,MATCH(_xlfn.XLOOKUP($A1144,Korrelation!$D$4:$D$1197,Korrelation!F$4:F$1197,"",0),DMAV_Modell!$G$6:$G$677,0)))</f>
        <v>0</v>
      </c>
      <c r="D1144" s="57">
        <f>IF($A1144="","",IF(_xlfn.XLOOKUP($A1144,Korrelation!$D$4:$D$1197,Korrelation!G$4:G$1197,"-",0)="-",0,MATCH(_xlfn.XLOOKUP($A1144,Korrelation!$D$4:$D$1197,Korrelation!G$4:G$1197,"",0),DMAV_Modell!$G$6:$G$677,0)))</f>
        <v>0</v>
      </c>
      <c r="E1144" s="57">
        <f>IF($A1144="","",IF(_xlfn.XLOOKUP($A1144,Korrelation!$D$4:$D$1197,Korrelation!H$4:H$1197,"-",0)="-",0,MATCH(_xlfn.XLOOKUP($A1144,Korrelation!$D$4:$D$1197,Korrelation!H$4:H$1197,"",0),DMAV_Dienste!$F$6:$F$140,0)))</f>
        <v>0</v>
      </c>
      <c r="F1144" s="57">
        <f>IF($A1144="","",IF(_xlfn.XLOOKUP($A1144,Korrelation!$D$4:$D$1197,Korrelation!I$4:I$1197,"-",0)="-",0,MATCH(_xlfn.XLOOKUP($A1144,Korrelation!$D$4:$D$1197,Korrelation!I$4:I$1197,"",0),DMAV_Dienste!$F$6:$F$140,0)))</f>
        <v>0</v>
      </c>
      <c r="G1144" s="57">
        <f>IF($A1144="","",IF(_xlfn.XLOOKUP($A1144,Korrelation!$D$4:$D$1197,Korrelation!J$4:J$1197,"-",0)="-",0,MATCH(_xlfn.XLOOKUP($A1144,Korrelation!$D$4:$D$1197,Korrelation!J$4:J$1197,"",0),DMAV_Dienste!$F$6:$F$140,0)))</f>
        <v>0</v>
      </c>
      <c r="H1144" s="57">
        <f>IF($A1144="","",IF(_xlfn.XLOOKUP($A1144,Korrelation!$D$4:$D$1197,Korrelation!K$4:K$1197,"-",0)="-",0,MATCH(_xlfn.XLOOKUP($A1144,Korrelation!$D$4:$D$1197,Korrelation!K$4:K$1197,"",0),'DM01-AV-CH'!$A$6:$A$834,0)))</f>
        <v>726</v>
      </c>
      <c r="J1144" s="54" t="str" cm="1">
        <f t="array" aca="1" ref="J1144" ca="1">IF(B1144=0,IF(E1144=0,"",HYPERLINK("#"&amp;RIGHT(CELL("adresse",OFFSET(DMAV_Dienste!$M$6,E1144-1,0)),LEN(CELL("adresse",OFFSET(DMAV_Dienste!$M$6,E1144-1,0)))-FIND("]",CELL("adresse",OFFSET(DMAV_Dienste!$M$6,E1144-1,0)))),"Dienst")),HYPERLINK("#"&amp;RIGHT(CELL("adresse",OFFSET(DMAV_Modell!$N$6,B1144-1,0)),LEN(CELL("adresse",OFFSET(DMAV_Modell!$N$6,B1144-1,0)))-FIND("]",CELL("adresse",OFFSET(DMAV_Modell!$N$6,B1144-1,0)))),"Modell"))</f>
        <v/>
      </c>
      <c r="K1144" s="61" t="str" cm="1">
        <f t="array" ref="K1144">IF($B1144=0,IF($E1144=0,"",IF(INDEX(DMAV_Dienste!P$6:P$140,$E1144)="","",INDEX(DMAV_Dienste!P$6:P$140,$E1144))),IF(INDEX(DMAV_Modell!Q$6:Q$838,$B1144)="","",INDEX(DMAV_Modell!Q$6:Q$838,$B1144)))</f>
        <v/>
      </c>
      <c r="L1144" s="62" t="str" cm="1">
        <f t="array" ref="L1144">IF($B1144=0,IF($E1144=0,"",IF(INDEX(DMAV_Dienste!O$6:O$140,$E1144)="","",INDEX(DMAV_Dienste!O$6:O$140,$E1144))),IF(INDEX(DMAV_Modell!P$6:P$838,$B1144)="","",INDEX(DMAV_Modell!P$6:P$838,$B1144)))</f>
        <v/>
      </c>
      <c r="M1144" s="62" t="str" cm="1">
        <f t="array" ref="M1144">IF($B1144=0,IF($E1144=0,"",IF(INDEX(DMAV_Dienste!Q$6:Q$140,$E1144)="","",INDEX(DMAV_Dienste!Q$6:Q$140,$E1144))),IF(INDEX(DMAV_Modell!R$6:R$838,$B1144)="","",INDEX(DMAV_Modell!R$6:R$838,$B1144)))</f>
        <v/>
      </c>
      <c r="N1144" s="62" t="str" cm="1">
        <f t="array" ref="N1144">IF($B1144=0,IF($E1144=0,"",IF(INDEX(DMAV_Dienste!T$6:T$140,$E1144)="","",INDEX(DMAV_Dienste!T$6:T$140,$E1144))),IF(INDEX(DMAV_Modell!U$6:U$838,$B1144)="","",INDEX(DMAV_Modell!U$6:U$838,$B1144)))</f>
        <v/>
      </c>
      <c r="O1144" s="63" t="str" cm="1">
        <f t="array" aca="1" ref="O1144" ca="1">IF(C1144=0,IF(F1144=0,"",HYPERLINK("#"&amp;RIGHT(CELL("adresse",OFFSET(DMAV_Dienste!$M$6,F1144-1,0)),LEN(CELL("adresse",OFFSET(DMAV_Dienste!$M$6,F1144-1,0)))-FIND("]",CELL("adresse",OFFSET(DMAV_Dienste!$M$6,F1144-1,0)))),"Structure")),HYPERLINK("#"&amp;RIGHT(CELL("adresse",OFFSET(DMAV_Modell!$N$6,C1144-1,0)),LEN(CELL("adresse",OFFSET(DMAV_Modell!$N$6,C1144-1,0)))-FIND("]",CELL("adresse",OFFSET(DMAV_Modell!$N$6,C1144-1,0)))),"Structure"))</f>
        <v/>
      </c>
      <c r="P1144" s="64" t="str" cm="1">
        <f t="array" aca="1" ref="P1144" ca="1">IF(D1144=0,IF(G1144=0,"",HYPERLINK("#"&amp;RIGHT(CELL("adresse",OFFSET(DMAV_Dienste!$M$6,G1144-1,0)),LEN(CELL("adresse",OFFSET(DMAV_Dienste!$M$6,G1144-1,0)))-FIND("]",CELL("adresse",OFFSET(DMAV_Dienste!$M$6,G1144-1,0)))),"Substructure")),HYPERLINK("#"&amp;RIGHT(CELL("adresse",OFFSET(DMAV_Modell!$N$6,D1144-1,0)),LEN(CELL("adresse",OFFSET(DMAV_Modell!$N$6,D1144-1,0)))-FIND("]",CELL("adresse",OFFSET(DMAV_Modell!$N$6,D1144-1,0)))),"Substructure"))</f>
        <v/>
      </c>
      <c r="R1144" s="80"/>
      <c r="T1144" s="93"/>
      <c r="U1144" s="94"/>
      <c r="V1144" s="95"/>
      <c r="W1144" s="96"/>
      <c r="Y1144" s="85"/>
      <c r="Z1144" s="86"/>
      <c r="AA1144" s="87"/>
      <c r="AB1144" s="88"/>
      <c r="AD1144" s="77"/>
      <c r="AF1144" s="54" t="str" cm="1">
        <f t="array" aca="1" ref="AF1144" ca="1">IF(H1144=0,"",HYPERLINK("#"&amp;RIGHT(CELL("adresse",OFFSET('DM01-AV-CH'!$G$6,H1144-1,0)),LEN(CELL("adresse",OFFSET('DM01-AV-CH'!$G$6,H1144-1,0)))-FIND("]",CELL("adresse",OFFSET('DM01-AV-CH'!$G$6,H1144-1,0)))),"Modell"))</f>
        <v>Modell</v>
      </c>
      <c r="AG1144" s="72" t="str" cm="1">
        <f t="array" ref="AG1144">IF($H1144=0,"",IF(INDEX('DM01-AV-CH'!G$6:G$834,$H1144)="","",INDEX('DM01-AV-CH'!G$6:G$834,$H1144)))</f>
        <v>Gebaeudeadressen</v>
      </c>
      <c r="AH1144" s="73" t="str" cm="1">
        <f t="array" ref="AH1144">IF($H1144=0,"",IF(INDEX('DM01-AV-CH'!H$6:H$834,$H1144)="","",INDEX('DM01-AV-CH'!H$6:H$834,$H1144)))</f>
        <v>BenanntesGebiet</v>
      </c>
      <c r="AI1144" s="74" t="str" cm="1">
        <f t="array" ref="AI1144">IF($H1144=0,"",IF(INDEX('DM01-AV-CH'!I$6:I$834,$H1144)="","",INDEX('DM01-AV-CH'!I$6:I$834,$H1144)))</f>
        <v>BenanntesGebiet_von</v>
      </c>
    </row>
    <row r="1145" spans="1:35" ht="28.5" x14ac:dyDescent="0.25">
      <c r="A1145" s="57">
        <v>1140</v>
      </c>
      <c r="B1145" s="57">
        <f>IF($A1145="","",IF(_xlfn.XLOOKUP($A1145,Korrelation!$D$4:$D$1197,Korrelation!E$4:E$1197,"-",0)="-",0,MATCH(_xlfn.XLOOKUP($A1145,Korrelation!$D$4:$D$1197,Korrelation!E$4:E$1197,"",0),DMAV_Modell!$G$6:$G$677,0)))</f>
        <v>642</v>
      </c>
      <c r="C1145" s="57">
        <f>IF($A1145="","",IF(_xlfn.XLOOKUP($A1145,Korrelation!$D$4:$D$1197,Korrelation!F$4:F$1197,"-",0)="-",0,MATCH(_xlfn.XLOOKUP($A1145,Korrelation!$D$4:$D$1197,Korrelation!F$4:F$1197,"",0),DMAV_Modell!$G$6:$G$677,0)))</f>
        <v>630</v>
      </c>
      <c r="D1145" s="57">
        <f>IF($A1145="","",IF(_xlfn.XLOOKUP($A1145,Korrelation!$D$4:$D$1197,Korrelation!G$4:G$1197,"-",0)="-",0,MATCH(_xlfn.XLOOKUP($A1145,Korrelation!$D$4:$D$1197,Korrelation!G$4:G$1197,"",0),DMAV_Modell!$G$6:$G$677,0)))</f>
        <v>0</v>
      </c>
      <c r="E1145" s="57">
        <f>IF($A1145="","",IF(_xlfn.XLOOKUP($A1145,Korrelation!$D$4:$D$1197,Korrelation!H$4:H$1197,"-",0)="-",0,MATCH(_xlfn.XLOOKUP($A1145,Korrelation!$D$4:$D$1197,Korrelation!H$4:H$1197,"",0),DMAV_Dienste!$F$6:$F$140,0)))</f>
        <v>0</v>
      </c>
      <c r="F1145" s="57">
        <f>IF($A1145="","",IF(_xlfn.XLOOKUP($A1145,Korrelation!$D$4:$D$1197,Korrelation!I$4:I$1197,"-",0)="-",0,MATCH(_xlfn.XLOOKUP($A1145,Korrelation!$D$4:$D$1197,Korrelation!I$4:I$1197,"",0),DMAV_Dienste!$F$6:$F$140,0)))</f>
        <v>0</v>
      </c>
      <c r="G1145" s="57">
        <f>IF($A1145="","",IF(_xlfn.XLOOKUP($A1145,Korrelation!$D$4:$D$1197,Korrelation!J$4:J$1197,"-",0)="-",0,MATCH(_xlfn.XLOOKUP($A1145,Korrelation!$D$4:$D$1197,Korrelation!J$4:J$1197,"",0),DMAV_Dienste!$F$6:$F$140,0)))</f>
        <v>0</v>
      </c>
      <c r="H1145" s="57">
        <f>IF($A1145="","",IF(_xlfn.XLOOKUP($A1145,Korrelation!$D$4:$D$1197,Korrelation!K$4:K$1197,"-",0)="-",0,MATCH(_xlfn.XLOOKUP($A1145,Korrelation!$D$4:$D$1197,Korrelation!K$4:K$1197,"",0),'DM01-AV-CH'!$A$6:$A$834,0)))</f>
        <v>727</v>
      </c>
      <c r="J1145" s="54" t="str" cm="1">
        <f t="array" aca="1" ref="J1145" ca="1">IF(B1145=0,IF(E1145=0,"",HYPERLINK("#"&amp;RIGHT(CELL("adresse",OFFSET(DMAV_Dienste!$M$6,E1145-1,0)),LEN(CELL("adresse",OFFSET(DMAV_Dienste!$M$6,E1145-1,0)))-FIND("]",CELL("adresse",OFFSET(DMAV_Dienste!$M$6,E1145-1,0)))),"Dienst")),HYPERLINK("#"&amp;RIGHT(CELL("adresse",OFFSET(DMAV_Modell!$N$6,B1145-1,0)),LEN(CELL("adresse",OFFSET(DMAV_Modell!$N$6,B1145-1,0)))-FIND("]",CELL("adresse",OFFSET(DMAV_Modell!$N$6,B1145-1,0)))),"Modell"))</f>
        <v>Modell</v>
      </c>
      <c r="K1145" s="61" t="str" cm="1">
        <f t="array" ref="K1145">IF($B1145=0,IF($E1145=0,"",IF(INDEX(DMAV_Dienste!P$6:P$140,$E1145)="","",INDEX(DMAV_Dienste!P$6:P$140,$E1145))),IF(INDEX(DMAV_Modell!Q$6:Q$838,$B1145)="","",INDEX(DMAV_Modell!Q$6:Q$838,$B1145)))</f>
        <v>CLASS</v>
      </c>
      <c r="L1145" s="62" t="str" cm="1">
        <f t="array" ref="L1145">IF($B1145=0,IF($E1145=0,"",IF(INDEX(DMAV_Dienste!O$6:O$140,$E1145)="","",INDEX(DMAV_Dienste!O$6:O$140,$E1145))),IF(INDEX(DMAV_Modell!P$6:P$838,$B1145)="","",INDEX(DMAV_Modell!P$6:P$838,$B1145)))</f>
        <v>Gebaeudeadressen</v>
      </c>
      <c r="M1145" s="62" t="str" cm="1">
        <f t="array" ref="M1145">IF($B1145=0,IF($E1145=0,"",IF(INDEX(DMAV_Dienste!Q$6:Q$140,$E1145)="","",INDEX(DMAV_Dienste!Q$6:Q$140,$E1145))),IF(INDEX(DMAV_Modell!R$6:R$838,$B1145)="","",INDEX(DMAV_Modell!R$6:R$838,$B1145)))</f>
        <v>Lokalisation</v>
      </c>
      <c r="N1145" s="62" t="str" cm="1">
        <f t="array" ref="N1145">IF($B1145=0,IF($E1145=0,"",IF(INDEX(DMAV_Dienste!T$6:T$140,$E1145)="","",INDEX(DMAV_Dienste!T$6:T$140,$E1145))),IF(INDEX(DMAV_Modell!U$6:U$838,$B1145)="","",INDEX(DMAV_Modell!U$6:U$838,$B1145)))</f>
        <v>BenanntesGebiet</v>
      </c>
      <c r="O1145" s="63" t="str" cm="1">
        <f t="array" aca="1" ref="O1145" ca="1">IF(C1145=0,IF(F1145=0,"",HYPERLINK("#"&amp;RIGHT(CELL("adresse",OFFSET(DMAV_Dienste!$M$6,F1145-1,0)),LEN(CELL("adresse",OFFSET(DMAV_Dienste!$M$6,F1145-1,0)))-FIND("]",CELL("adresse",OFFSET(DMAV_Dienste!$M$6,F1145-1,0)))),"Structure")),HYPERLINK("#"&amp;RIGHT(CELL("adresse",OFFSET(DMAV_Modell!$N$6,C1145-1,0)),LEN(CELL("adresse",OFFSET(DMAV_Modell!$N$6,C1145-1,0)))-FIND("]",CELL("adresse",OFFSET(DMAV_Modell!$N$6,C1145-1,0)))),"Structure"))</f>
        <v>Structure</v>
      </c>
      <c r="P1145" s="64" t="str" cm="1">
        <f t="array" aca="1" ref="P1145" ca="1">IF(D1145=0,IF(G1145=0,"",HYPERLINK("#"&amp;RIGHT(CELL("adresse",OFFSET(DMAV_Dienste!$M$6,G1145-1,0)),LEN(CELL("adresse",OFFSET(DMAV_Dienste!$M$6,G1145-1,0)))-FIND("]",CELL("adresse",OFFSET(DMAV_Dienste!$M$6,G1145-1,0)))),"Substructure")),HYPERLINK("#"&amp;RIGHT(CELL("adresse",OFFSET(DMAV_Modell!$N$6,D1145-1,0)),LEN(CELL("adresse",OFFSET(DMAV_Modell!$N$6,D1145-1,0)))-FIND("]",CELL("adresse",OFFSET(DMAV_Modell!$N$6,D1145-1,0)))),"Substructure"))</f>
        <v/>
      </c>
      <c r="R1145" s="80"/>
      <c r="T1145" s="93"/>
      <c r="U1145" s="94" t="s">
        <v>2980</v>
      </c>
      <c r="V1145" s="95" t="s">
        <v>3271</v>
      </c>
      <c r="W1145" s="96"/>
      <c r="Y1145" s="85"/>
      <c r="Z1145" s="86" t="s">
        <v>2980</v>
      </c>
      <c r="AA1145" s="87" t="s">
        <v>3272</v>
      </c>
      <c r="AB1145" s="88"/>
      <c r="AD1145" s="77"/>
      <c r="AF1145" s="54" t="str" cm="1">
        <f t="array" aca="1" ref="AF1145" ca="1">IF(H1145=0,"",HYPERLINK("#"&amp;RIGHT(CELL("adresse",OFFSET('DM01-AV-CH'!$G$6,H1145-1,0)),LEN(CELL("adresse",OFFSET('DM01-AV-CH'!$G$6,H1145-1,0)))-FIND("]",CELL("adresse",OFFSET('DM01-AV-CH'!$G$6,H1145-1,0)))),"Modell"))</f>
        <v>Modell</v>
      </c>
      <c r="AG1145" s="72" t="str" cm="1">
        <f t="array" ref="AG1145">IF($H1145=0,"",IF(INDEX('DM01-AV-CH'!G$6:G$834,$H1145)="","",INDEX('DM01-AV-CH'!G$6:G$834,$H1145)))</f>
        <v>Gebaeudeadressen</v>
      </c>
      <c r="AH1145" s="73" t="str" cm="1">
        <f t="array" ref="AH1145">IF($H1145=0,"",IF(INDEX('DM01-AV-CH'!H$6:H$834,$H1145)="","",INDEX('DM01-AV-CH'!H$6:H$834,$H1145)))</f>
        <v>BenanntesGebiet</v>
      </c>
      <c r="AI1145" s="74" t="str" cm="1">
        <f t="array" ref="AI1145">IF($H1145=0,"",IF(INDEX('DM01-AV-CH'!I$6:I$834,$H1145)="","",INDEX('DM01-AV-CH'!I$6:I$834,$H1145)))</f>
        <v>Flaeche</v>
      </c>
    </row>
    <row r="1146" spans="1:35" x14ac:dyDescent="0.25">
      <c r="A1146" s="57">
        <v>1141</v>
      </c>
      <c r="B1146" s="57">
        <f>IF($A1146="","",IF(_xlfn.XLOOKUP($A1146,Korrelation!$D$4:$D$1197,Korrelation!E$4:E$1197,"-",0)="-",0,MATCH(_xlfn.XLOOKUP($A1146,Korrelation!$D$4:$D$1197,Korrelation!E$4:E$1197,"",0),DMAV_Modell!$G$6:$G$677,0)))</f>
        <v>0</v>
      </c>
      <c r="C1146" s="57">
        <f>IF($A1146="","",IF(_xlfn.XLOOKUP($A1146,Korrelation!$D$4:$D$1197,Korrelation!F$4:F$1197,"-",0)="-",0,MATCH(_xlfn.XLOOKUP($A1146,Korrelation!$D$4:$D$1197,Korrelation!F$4:F$1197,"",0),DMAV_Modell!$G$6:$G$677,0)))</f>
        <v>0</v>
      </c>
      <c r="D1146" s="57">
        <f>IF($A1146="","",IF(_xlfn.XLOOKUP($A1146,Korrelation!$D$4:$D$1197,Korrelation!G$4:G$1197,"-",0)="-",0,MATCH(_xlfn.XLOOKUP($A1146,Korrelation!$D$4:$D$1197,Korrelation!G$4:G$1197,"",0),DMAV_Modell!$G$6:$G$677,0)))</f>
        <v>0</v>
      </c>
      <c r="E1146" s="57">
        <f>IF($A1146="","",IF(_xlfn.XLOOKUP($A1146,Korrelation!$D$4:$D$1197,Korrelation!H$4:H$1197,"-",0)="-",0,MATCH(_xlfn.XLOOKUP($A1146,Korrelation!$D$4:$D$1197,Korrelation!H$4:H$1197,"",0),DMAV_Dienste!$F$6:$F$140,0)))</f>
        <v>0</v>
      </c>
      <c r="F1146" s="57">
        <f>IF($A1146="","",IF(_xlfn.XLOOKUP($A1146,Korrelation!$D$4:$D$1197,Korrelation!I$4:I$1197,"-",0)="-",0,MATCH(_xlfn.XLOOKUP($A1146,Korrelation!$D$4:$D$1197,Korrelation!I$4:I$1197,"",0),DMAV_Dienste!$F$6:$F$140,0)))</f>
        <v>0</v>
      </c>
      <c r="G1146" s="57">
        <f>IF($A1146="","",IF(_xlfn.XLOOKUP($A1146,Korrelation!$D$4:$D$1197,Korrelation!J$4:J$1197,"-",0)="-",0,MATCH(_xlfn.XLOOKUP($A1146,Korrelation!$D$4:$D$1197,Korrelation!J$4:J$1197,"",0),DMAV_Dienste!$F$6:$F$140,0)))</f>
        <v>0</v>
      </c>
      <c r="H1146" s="57">
        <f>IF($A1146="","",IF(_xlfn.XLOOKUP($A1146,Korrelation!$D$4:$D$1197,Korrelation!K$4:K$1197,"-",0)="-",0,MATCH(_xlfn.XLOOKUP($A1146,Korrelation!$D$4:$D$1197,Korrelation!K$4:K$1197,"",0),'DM01-AV-CH'!$A$6:$A$834,0)))</f>
        <v>728</v>
      </c>
      <c r="J1146" s="54" t="str" cm="1">
        <f t="array" aca="1" ref="J1146" ca="1">IF(B1146=0,IF(E1146=0,"",HYPERLINK("#"&amp;RIGHT(CELL("adresse",OFFSET(DMAV_Dienste!$M$6,E1146-1,0)),LEN(CELL("adresse",OFFSET(DMAV_Dienste!$M$6,E1146-1,0)))-FIND("]",CELL("adresse",OFFSET(DMAV_Dienste!$M$6,E1146-1,0)))),"Dienst")),HYPERLINK("#"&amp;RIGHT(CELL("adresse",OFFSET(DMAV_Modell!$N$6,B1146-1,0)),LEN(CELL("adresse",OFFSET(DMAV_Modell!$N$6,B1146-1,0)))-FIND("]",CELL("adresse",OFFSET(DMAV_Modell!$N$6,B1146-1,0)))),"Modell"))</f>
        <v/>
      </c>
      <c r="K1146" s="61" t="str" cm="1">
        <f t="array" ref="K1146">IF($B1146=0,IF($E1146=0,"",IF(INDEX(DMAV_Dienste!P$6:P$140,$E1146)="","",INDEX(DMAV_Dienste!P$6:P$140,$E1146))),IF(INDEX(DMAV_Modell!Q$6:Q$838,$B1146)="","",INDEX(DMAV_Modell!Q$6:Q$838,$B1146)))</f>
        <v/>
      </c>
      <c r="L1146" s="62" t="str" cm="1">
        <f t="array" ref="L1146">IF($B1146=0,IF($E1146=0,"",IF(INDEX(DMAV_Dienste!O$6:O$140,$E1146)="","",INDEX(DMAV_Dienste!O$6:O$140,$E1146))),IF(INDEX(DMAV_Modell!P$6:P$838,$B1146)="","",INDEX(DMAV_Modell!P$6:P$838,$B1146)))</f>
        <v/>
      </c>
      <c r="M1146" s="62" t="str" cm="1">
        <f t="array" ref="M1146">IF($B1146=0,IF($E1146=0,"",IF(INDEX(DMAV_Dienste!Q$6:Q$140,$E1146)="","",INDEX(DMAV_Dienste!Q$6:Q$140,$E1146))),IF(INDEX(DMAV_Modell!R$6:R$838,$B1146)="","",INDEX(DMAV_Modell!R$6:R$838,$B1146)))</f>
        <v/>
      </c>
      <c r="N1146" s="62" t="str" cm="1">
        <f t="array" ref="N1146">IF($B1146=0,IF($E1146=0,"",IF(INDEX(DMAV_Dienste!T$6:T$140,$E1146)="","",INDEX(DMAV_Dienste!T$6:T$140,$E1146))),IF(INDEX(DMAV_Modell!U$6:U$838,$B1146)="","",INDEX(DMAV_Modell!U$6:U$838,$B1146)))</f>
        <v/>
      </c>
      <c r="O1146" s="63" t="str" cm="1">
        <f t="array" aca="1" ref="O1146" ca="1">IF(C1146=0,IF(F1146=0,"",HYPERLINK("#"&amp;RIGHT(CELL("adresse",OFFSET(DMAV_Dienste!$M$6,F1146-1,0)),LEN(CELL("adresse",OFFSET(DMAV_Dienste!$M$6,F1146-1,0)))-FIND("]",CELL("adresse",OFFSET(DMAV_Dienste!$M$6,F1146-1,0)))),"Structure")),HYPERLINK("#"&amp;RIGHT(CELL("adresse",OFFSET(DMAV_Modell!$N$6,C1146-1,0)),LEN(CELL("adresse",OFFSET(DMAV_Modell!$N$6,C1146-1,0)))-FIND("]",CELL("adresse",OFFSET(DMAV_Modell!$N$6,C1146-1,0)))),"Structure"))</f>
        <v/>
      </c>
      <c r="P1146" s="64" t="str" cm="1">
        <f t="array" aca="1" ref="P1146" ca="1">IF(D1146=0,IF(G1146=0,"",HYPERLINK("#"&amp;RIGHT(CELL("adresse",OFFSET(DMAV_Dienste!$M$6,G1146-1,0)),LEN(CELL("adresse",OFFSET(DMAV_Dienste!$M$6,G1146-1,0)))-FIND("]",CELL("adresse",OFFSET(DMAV_Dienste!$M$6,G1146-1,0)))),"Substructure")),HYPERLINK("#"&amp;RIGHT(CELL("adresse",OFFSET(DMAV_Modell!$N$6,D1146-1,0)),LEN(CELL("adresse",OFFSET(DMAV_Modell!$N$6,D1146-1,0)))-FIND("]",CELL("adresse",OFFSET(DMAV_Modell!$N$6,D1146-1,0)))),"Substructure"))</f>
        <v/>
      </c>
      <c r="R1146" s="80"/>
      <c r="T1146" s="93"/>
      <c r="U1146" s="94"/>
      <c r="V1146" s="95"/>
      <c r="W1146" s="96"/>
      <c r="Y1146" s="85"/>
      <c r="Z1146" s="86"/>
      <c r="AA1146" s="87"/>
      <c r="AB1146" s="88"/>
      <c r="AD1146" s="77"/>
      <c r="AF1146" s="54" t="str" cm="1">
        <f t="array" aca="1" ref="AF1146" ca="1">IF(H1146=0,"",HYPERLINK("#"&amp;RIGHT(CELL("adresse",OFFSET('DM01-AV-CH'!$G$6,H1146-1,0)),LEN(CELL("adresse",OFFSET('DM01-AV-CH'!$G$6,H1146-1,0)))-FIND("]",CELL("adresse",OFFSET('DM01-AV-CH'!$G$6,H1146-1,0)))),"Modell"))</f>
        <v>Modell</v>
      </c>
      <c r="AG1146" s="72" t="str" cm="1">
        <f t="array" ref="AG1146">IF($H1146=0,"",IF(INDEX('DM01-AV-CH'!G$6:G$834,$H1146)="","",INDEX('DM01-AV-CH'!G$6:G$834,$H1146)))</f>
        <v>Gebaeudeadressen</v>
      </c>
      <c r="AH1146" s="73" t="str" cm="1">
        <f t="array" ref="AH1146">IF($H1146=0,"",IF(INDEX('DM01-AV-CH'!H$6:H$834,$H1146)="","",INDEX('DM01-AV-CH'!H$6:H$834,$H1146)))</f>
        <v>Strassenstueck</v>
      </c>
      <c r="AI1146" s="74" t="str" cm="1">
        <f t="array" ref="AI1146">IF($H1146=0,"",IF(INDEX('DM01-AV-CH'!I$6:I$834,$H1146)="","",INDEX('DM01-AV-CH'!I$6:I$834,$H1146)))</f>
        <v>Strassenstueck_von</v>
      </c>
    </row>
    <row r="1147" spans="1:35" ht="28.5" x14ac:dyDescent="0.25">
      <c r="A1147" s="57">
        <v>1142</v>
      </c>
      <c r="B1147" s="57">
        <f>IF($A1147="","",IF(_xlfn.XLOOKUP($A1147,Korrelation!$D$4:$D$1197,Korrelation!E$4:E$1197,"-",0)="-",0,MATCH(_xlfn.XLOOKUP($A1147,Korrelation!$D$4:$D$1197,Korrelation!E$4:E$1197,"",0),DMAV_Modell!$G$6:$G$677,0)))</f>
        <v>643</v>
      </c>
      <c r="C1147" s="57">
        <f>IF($A1147="","",IF(_xlfn.XLOOKUP($A1147,Korrelation!$D$4:$D$1197,Korrelation!F$4:F$1197,"-",0)="-",0,MATCH(_xlfn.XLOOKUP($A1147,Korrelation!$D$4:$D$1197,Korrelation!F$4:F$1197,"",0),DMAV_Modell!$G$6:$G$677,0)))</f>
        <v>631</v>
      </c>
      <c r="D1147" s="57">
        <f>IF($A1147="","",IF(_xlfn.XLOOKUP($A1147,Korrelation!$D$4:$D$1197,Korrelation!G$4:G$1197,"-",0)="-",0,MATCH(_xlfn.XLOOKUP($A1147,Korrelation!$D$4:$D$1197,Korrelation!G$4:G$1197,"",0),DMAV_Modell!$G$6:$G$677,0)))</f>
        <v>0</v>
      </c>
      <c r="E1147" s="57">
        <f>IF($A1147="","",IF(_xlfn.XLOOKUP($A1147,Korrelation!$D$4:$D$1197,Korrelation!H$4:H$1197,"-",0)="-",0,MATCH(_xlfn.XLOOKUP($A1147,Korrelation!$D$4:$D$1197,Korrelation!H$4:H$1197,"",0),DMAV_Dienste!$F$6:$F$140,0)))</f>
        <v>0</v>
      </c>
      <c r="F1147" s="57">
        <f>IF($A1147="","",IF(_xlfn.XLOOKUP($A1147,Korrelation!$D$4:$D$1197,Korrelation!I$4:I$1197,"-",0)="-",0,MATCH(_xlfn.XLOOKUP($A1147,Korrelation!$D$4:$D$1197,Korrelation!I$4:I$1197,"",0),DMAV_Dienste!$F$6:$F$140,0)))</f>
        <v>0</v>
      </c>
      <c r="G1147" s="57">
        <f>IF($A1147="","",IF(_xlfn.XLOOKUP($A1147,Korrelation!$D$4:$D$1197,Korrelation!J$4:J$1197,"-",0)="-",0,MATCH(_xlfn.XLOOKUP($A1147,Korrelation!$D$4:$D$1197,Korrelation!J$4:J$1197,"",0),DMAV_Dienste!$F$6:$F$140,0)))</f>
        <v>0</v>
      </c>
      <c r="H1147" s="57">
        <f>IF($A1147="","",IF(_xlfn.XLOOKUP($A1147,Korrelation!$D$4:$D$1197,Korrelation!K$4:K$1197,"-",0)="-",0,MATCH(_xlfn.XLOOKUP($A1147,Korrelation!$D$4:$D$1197,Korrelation!K$4:K$1197,"",0),'DM01-AV-CH'!$A$6:$A$834,0)))</f>
        <v>729</v>
      </c>
      <c r="J1147" s="54" t="str" cm="1">
        <f t="array" aca="1" ref="J1147" ca="1">IF(B1147=0,IF(E1147=0,"",HYPERLINK("#"&amp;RIGHT(CELL("adresse",OFFSET(DMAV_Dienste!$M$6,E1147-1,0)),LEN(CELL("adresse",OFFSET(DMAV_Dienste!$M$6,E1147-1,0)))-FIND("]",CELL("adresse",OFFSET(DMAV_Dienste!$M$6,E1147-1,0)))),"Dienst")),HYPERLINK("#"&amp;RIGHT(CELL("adresse",OFFSET(DMAV_Modell!$N$6,B1147-1,0)),LEN(CELL("adresse",OFFSET(DMAV_Modell!$N$6,B1147-1,0)))-FIND("]",CELL("adresse",OFFSET(DMAV_Modell!$N$6,B1147-1,0)))),"Modell"))</f>
        <v>Modell</v>
      </c>
      <c r="K1147" s="61" t="str" cm="1">
        <f t="array" ref="K1147">IF($B1147=0,IF($E1147=0,"",IF(INDEX(DMAV_Dienste!P$6:P$140,$E1147)="","",INDEX(DMAV_Dienste!P$6:P$140,$E1147))),IF(INDEX(DMAV_Modell!Q$6:Q$838,$B1147)="","",INDEX(DMAV_Modell!Q$6:Q$838,$B1147)))</f>
        <v>CLASS</v>
      </c>
      <c r="L1147" s="62" t="str" cm="1">
        <f t="array" ref="L1147">IF($B1147=0,IF($E1147=0,"",IF(INDEX(DMAV_Dienste!O$6:O$140,$E1147)="","",INDEX(DMAV_Dienste!O$6:O$140,$E1147))),IF(INDEX(DMAV_Modell!P$6:P$838,$B1147)="","",INDEX(DMAV_Modell!P$6:P$838,$B1147)))</f>
        <v>Gebaeudeadressen</v>
      </c>
      <c r="M1147" s="62" t="str" cm="1">
        <f t="array" ref="M1147">IF($B1147=0,IF($E1147=0,"",IF(INDEX(DMAV_Dienste!Q$6:Q$140,$E1147)="","",INDEX(DMAV_Dienste!Q$6:Q$140,$E1147))),IF(INDEX(DMAV_Modell!R$6:R$838,$B1147)="","",INDEX(DMAV_Modell!R$6:R$838,$B1147)))</f>
        <v>Lokalisation</v>
      </c>
      <c r="N1147" s="62" t="str" cm="1">
        <f t="array" ref="N1147">IF($B1147=0,IF($E1147=0,"",IF(INDEX(DMAV_Dienste!T$6:T$140,$E1147)="","",INDEX(DMAV_Dienste!T$6:T$140,$E1147))),IF(INDEX(DMAV_Modell!U$6:U$838,$B1147)="","",INDEX(DMAV_Modell!U$6:U$838,$B1147)))</f>
        <v>Strassenstueck</v>
      </c>
      <c r="O1147" s="63" t="str" cm="1">
        <f t="array" aca="1" ref="O1147" ca="1">IF(C1147=0,IF(F1147=0,"",HYPERLINK("#"&amp;RIGHT(CELL("adresse",OFFSET(DMAV_Dienste!$M$6,F1147-1,0)),LEN(CELL("adresse",OFFSET(DMAV_Dienste!$M$6,F1147-1,0)))-FIND("]",CELL("adresse",OFFSET(DMAV_Dienste!$M$6,F1147-1,0)))),"Structure")),HYPERLINK("#"&amp;RIGHT(CELL("adresse",OFFSET(DMAV_Modell!$N$6,C1147-1,0)),LEN(CELL("adresse",OFFSET(DMAV_Modell!$N$6,C1147-1,0)))-FIND("]",CELL("adresse",OFFSET(DMAV_Modell!$N$6,C1147-1,0)))),"Structure"))</f>
        <v>Structure</v>
      </c>
      <c r="P1147" s="64" t="str" cm="1">
        <f t="array" aca="1" ref="P1147" ca="1">IF(D1147=0,IF(G1147=0,"",HYPERLINK("#"&amp;RIGHT(CELL("adresse",OFFSET(DMAV_Dienste!$M$6,G1147-1,0)),LEN(CELL("adresse",OFFSET(DMAV_Dienste!$M$6,G1147-1,0)))-FIND("]",CELL("adresse",OFFSET(DMAV_Dienste!$M$6,G1147-1,0)))),"Substructure")),HYPERLINK("#"&amp;RIGHT(CELL("adresse",OFFSET(DMAV_Modell!$N$6,D1147-1,0)),LEN(CELL("adresse",OFFSET(DMAV_Modell!$N$6,D1147-1,0)))-FIND("]",CELL("adresse",OFFSET(DMAV_Modell!$N$6,D1147-1,0)))),"Substructure"))</f>
        <v/>
      </c>
      <c r="R1147" s="80"/>
      <c r="T1147" s="93"/>
      <c r="U1147" s="94" t="s">
        <v>2980</v>
      </c>
      <c r="V1147" s="95" t="s">
        <v>3273</v>
      </c>
      <c r="W1147" s="96"/>
      <c r="Y1147" s="85"/>
      <c r="Z1147" s="86" t="s">
        <v>2980</v>
      </c>
      <c r="AA1147" s="87" t="s">
        <v>3274</v>
      </c>
      <c r="AB1147" s="88"/>
      <c r="AD1147" s="77"/>
      <c r="AF1147" s="54" t="str" cm="1">
        <f t="array" aca="1" ref="AF1147" ca="1">IF(H1147=0,"",HYPERLINK("#"&amp;RIGHT(CELL("adresse",OFFSET('DM01-AV-CH'!$G$6,H1147-1,0)),LEN(CELL("adresse",OFFSET('DM01-AV-CH'!$G$6,H1147-1,0)))-FIND("]",CELL("adresse",OFFSET('DM01-AV-CH'!$G$6,H1147-1,0)))),"Modell"))</f>
        <v>Modell</v>
      </c>
      <c r="AG1147" s="72" t="str" cm="1">
        <f t="array" ref="AG1147">IF($H1147=0,"",IF(INDEX('DM01-AV-CH'!G$6:G$834,$H1147)="","",INDEX('DM01-AV-CH'!G$6:G$834,$H1147)))</f>
        <v>Gebaeudeadressen</v>
      </c>
      <c r="AH1147" s="73" t="str" cm="1">
        <f t="array" ref="AH1147">IF($H1147=0,"",IF(INDEX('DM01-AV-CH'!H$6:H$834,$H1147)="","",INDEX('DM01-AV-CH'!H$6:H$834,$H1147)))</f>
        <v>Strassenstueck</v>
      </c>
      <c r="AI1147" s="74" t="str" cm="1">
        <f t="array" ref="AI1147">IF($H1147=0,"",IF(INDEX('DM01-AV-CH'!I$6:I$834,$H1147)="","",INDEX('DM01-AV-CH'!I$6:I$834,$H1147)))</f>
        <v>Geometrie</v>
      </c>
    </row>
    <row r="1148" spans="1:35" ht="42.75" x14ac:dyDescent="0.25">
      <c r="A1148" s="57">
        <v>1143</v>
      </c>
      <c r="B1148" s="57">
        <f>IF($A1148="","",IF(_xlfn.XLOOKUP($A1148,Korrelation!$D$4:$D$1197,Korrelation!E$4:E$1197,"-",0)="-",0,MATCH(_xlfn.XLOOKUP($A1148,Korrelation!$D$4:$D$1197,Korrelation!E$4:E$1197,"",0),DMAV_Modell!$G$6:$G$677,0)))</f>
        <v>0</v>
      </c>
      <c r="C1148" s="57">
        <f>IF($A1148="","",IF(_xlfn.XLOOKUP($A1148,Korrelation!$D$4:$D$1197,Korrelation!F$4:F$1197,"-",0)="-",0,MATCH(_xlfn.XLOOKUP($A1148,Korrelation!$D$4:$D$1197,Korrelation!F$4:F$1197,"",0),DMAV_Modell!$G$6:$G$677,0)))</f>
        <v>0</v>
      </c>
      <c r="D1148" s="57">
        <f>IF($A1148="","",IF(_xlfn.XLOOKUP($A1148,Korrelation!$D$4:$D$1197,Korrelation!G$4:G$1197,"-",0)="-",0,MATCH(_xlfn.XLOOKUP($A1148,Korrelation!$D$4:$D$1197,Korrelation!G$4:G$1197,"",0),DMAV_Modell!$G$6:$G$677,0)))</f>
        <v>0</v>
      </c>
      <c r="E1148" s="57">
        <f>IF($A1148="","",IF(_xlfn.XLOOKUP($A1148,Korrelation!$D$4:$D$1197,Korrelation!H$4:H$1197,"-",0)="-",0,MATCH(_xlfn.XLOOKUP($A1148,Korrelation!$D$4:$D$1197,Korrelation!H$4:H$1197,"",0),DMAV_Dienste!$F$6:$F$140,0)))</f>
        <v>0</v>
      </c>
      <c r="F1148" s="57">
        <f>IF($A1148="","",IF(_xlfn.XLOOKUP($A1148,Korrelation!$D$4:$D$1197,Korrelation!I$4:I$1197,"-",0)="-",0,MATCH(_xlfn.XLOOKUP($A1148,Korrelation!$D$4:$D$1197,Korrelation!I$4:I$1197,"",0),DMAV_Dienste!$F$6:$F$140,0)))</f>
        <v>0</v>
      </c>
      <c r="G1148" s="57">
        <f>IF($A1148="","",IF(_xlfn.XLOOKUP($A1148,Korrelation!$D$4:$D$1197,Korrelation!J$4:J$1197,"-",0)="-",0,MATCH(_xlfn.XLOOKUP($A1148,Korrelation!$D$4:$D$1197,Korrelation!J$4:J$1197,"",0),DMAV_Dienste!$F$6:$F$140,0)))</f>
        <v>0</v>
      </c>
      <c r="H1148" s="57">
        <f>IF($A1148="","",IF(_xlfn.XLOOKUP($A1148,Korrelation!$D$4:$D$1197,Korrelation!K$4:K$1197,"-",0)="-",0,MATCH(_xlfn.XLOOKUP($A1148,Korrelation!$D$4:$D$1197,Korrelation!K$4:K$1197,"",0),'DM01-AV-CH'!$A$6:$A$834,0)))</f>
        <v>730</v>
      </c>
      <c r="J1148" s="54" t="str" cm="1">
        <f t="array" aca="1" ref="J1148" ca="1">IF(B1148=0,IF(E1148=0,"",HYPERLINK("#"&amp;RIGHT(CELL("adresse",OFFSET(DMAV_Dienste!$M$6,E1148-1,0)),LEN(CELL("adresse",OFFSET(DMAV_Dienste!$M$6,E1148-1,0)))-FIND("]",CELL("adresse",OFFSET(DMAV_Dienste!$M$6,E1148-1,0)))),"Dienst")),HYPERLINK("#"&amp;RIGHT(CELL("adresse",OFFSET(DMAV_Modell!$N$6,B1148-1,0)),LEN(CELL("adresse",OFFSET(DMAV_Modell!$N$6,B1148-1,0)))-FIND("]",CELL("adresse",OFFSET(DMAV_Modell!$N$6,B1148-1,0)))),"Modell"))</f>
        <v/>
      </c>
      <c r="K1148" s="61" t="str" cm="1">
        <f t="array" ref="K1148">IF($B1148=0,IF($E1148=0,"",IF(INDEX(DMAV_Dienste!P$6:P$140,$E1148)="","",INDEX(DMAV_Dienste!P$6:P$140,$E1148))),IF(INDEX(DMAV_Modell!Q$6:Q$838,$B1148)="","",INDEX(DMAV_Modell!Q$6:Q$838,$B1148)))</f>
        <v/>
      </c>
      <c r="L1148" s="62" t="str" cm="1">
        <f t="array" ref="L1148">IF($B1148=0,IF($E1148=0,"",IF(INDEX(DMAV_Dienste!O$6:O$140,$E1148)="","",INDEX(DMAV_Dienste!O$6:O$140,$E1148))),IF(INDEX(DMAV_Modell!P$6:P$838,$B1148)="","",INDEX(DMAV_Modell!P$6:P$838,$B1148)))</f>
        <v/>
      </c>
      <c r="M1148" s="62" t="str" cm="1">
        <f t="array" ref="M1148">IF($B1148=0,IF($E1148=0,"",IF(INDEX(DMAV_Dienste!Q$6:Q$140,$E1148)="","",INDEX(DMAV_Dienste!Q$6:Q$140,$E1148))),IF(INDEX(DMAV_Modell!R$6:R$838,$B1148)="","",INDEX(DMAV_Modell!R$6:R$838,$B1148)))</f>
        <v/>
      </c>
      <c r="N1148" s="62" t="str" cm="1">
        <f t="array" ref="N1148">IF($B1148=0,IF($E1148=0,"",IF(INDEX(DMAV_Dienste!T$6:T$140,$E1148)="","",INDEX(DMAV_Dienste!T$6:T$140,$E1148))),IF(INDEX(DMAV_Modell!U$6:U$838,$B1148)="","",INDEX(DMAV_Modell!U$6:U$838,$B1148)))</f>
        <v/>
      </c>
      <c r="O1148" s="63" t="str" cm="1">
        <f t="array" aca="1" ref="O1148" ca="1">IF(C1148=0,IF(F1148=0,"",HYPERLINK("#"&amp;RIGHT(CELL("adresse",OFFSET(DMAV_Dienste!$M$6,F1148-1,0)),LEN(CELL("adresse",OFFSET(DMAV_Dienste!$M$6,F1148-1,0)))-FIND("]",CELL("adresse",OFFSET(DMAV_Dienste!$M$6,F1148-1,0)))),"Structure")),HYPERLINK("#"&amp;RIGHT(CELL("adresse",OFFSET(DMAV_Modell!$N$6,C1148-1,0)),LEN(CELL("adresse",OFFSET(DMAV_Modell!$N$6,C1148-1,0)))-FIND("]",CELL("adresse",OFFSET(DMAV_Modell!$N$6,C1148-1,0)))),"Structure"))</f>
        <v/>
      </c>
      <c r="P1148" s="64" t="str" cm="1">
        <f t="array" aca="1" ref="P1148" ca="1">IF(D1148=0,IF(G1148=0,"",HYPERLINK("#"&amp;RIGHT(CELL("adresse",OFFSET(DMAV_Dienste!$M$6,G1148-1,0)),LEN(CELL("adresse",OFFSET(DMAV_Dienste!$M$6,G1148-1,0)))-FIND("]",CELL("adresse",OFFSET(DMAV_Dienste!$M$6,G1148-1,0)))),"Substructure")),HYPERLINK("#"&amp;RIGHT(CELL("adresse",OFFSET(DMAV_Modell!$N$6,D1148-1,0)),LEN(CELL("adresse",OFFSET(DMAV_Modell!$N$6,D1148-1,0)))-FIND("]",CELL("adresse",OFFSET(DMAV_Modell!$N$6,D1148-1,0)))),"Substructure"))</f>
        <v/>
      </c>
      <c r="R1148" s="80"/>
      <c r="T1148" s="93"/>
      <c r="U1148" s="94"/>
      <c r="V1148" s="95"/>
      <c r="W1148" s="96"/>
      <c r="Y1148" s="85" t="s">
        <v>3275</v>
      </c>
      <c r="Z1148" s="86" t="s">
        <v>2746</v>
      </c>
      <c r="AA1148" s="87"/>
      <c r="AB1148" s="88"/>
      <c r="AD1148" s="77"/>
      <c r="AF1148" s="54" t="str" cm="1">
        <f t="array" aca="1" ref="AF1148" ca="1">IF(H1148=0,"",HYPERLINK("#"&amp;RIGHT(CELL("adresse",OFFSET('DM01-AV-CH'!$G$6,H1148-1,0)),LEN(CELL("adresse",OFFSET('DM01-AV-CH'!$G$6,H1148-1,0)))-FIND("]",CELL("adresse",OFFSET('DM01-AV-CH'!$G$6,H1148-1,0)))),"Modell"))</f>
        <v>Modell</v>
      </c>
      <c r="AG1148" s="72" t="str" cm="1">
        <f t="array" ref="AG1148">IF($H1148=0,"",IF(INDEX('DM01-AV-CH'!G$6:G$834,$H1148)="","",INDEX('DM01-AV-CH'!G$6:G$834,$H1148)))</f>
        <v>Gebaeudeadressen</v>
      </c>
      <c r="AH1148" s="73" t="str" cm="1">
        <f t="array" ref="AH1148">IF($H1148=0,"",IF(INDEX('DM01-AV-CH'!H$6:H$834,$H1148)="","",INDEX('DM01-AV-CH'!H$6:H$834,$H1148)))</f>
        <v>Strassenstueck</v>
      </c>
      <c r="AI1148" s="74" t="str" cm="1">
        <f t="array" ref="AI1148">IF($H1148=0,"",IF(INDEX('DM01-AV-CH'!I$6:I$834,$H1148)="","",INDEX('DM01-AV-CH'!I$6:I$834,$H1148)))</f>
        <v>Anfangspunkt</v>
      </c>
    </row>
    <row r="1149" spans="1:35" x14ac:dyDescent="0.25">
      <c r="A1149" s="57">
        <v>1144</v>
      </c>
      <c r="B1149" s="57">
        <f>IF($A1149="","",IF(_xlfn.XLOOKUP($A1149,Korrelation!$D$4:$D$1197,Korrelation!E$4:E$1197,"-",0)="-",0,MATCH(_xlfn.XLOOKUP($A1149,Korrelation!$D$4:$D$1197,Korrelation!E$4:E$1197,"",0),DMAV_Modell!$G$6:$G$677,0)))</f>
        <v>0</v>
      </c>
      <c r="C1149" s="57">
        <f>IF($A1149="","",IF(_xlfn.XLOOKUP($A1149,Korrelation!$D$4:$D$1197,Korrelation!F$4:F$1197,"-",0)="-",0,MATCH(_xlfn.XLOOKUP($A1149,Korrelation!$D$4:$D$1197,Korrelation!F$4:F$1197,"",0),DMAV_Modell!$G$6:$G$677,0)))</f>
        <v>0</v>
      </c>
      <c r="D1149" s="57">
        <f>IF($A1149="","",IF(_xlfn.XLOOKUP($A1149,Korrelation!$D$4:$D$1197,Korrelation!G$4:G$1197,"-",0)="-",0,MATCH(_xlfn.XLOOKUP($A1149,Korrelation!$D$4:$D$1197,Korrelation!G$4:G$1197,"",0),DMAV_Modell!$G$6:$G$677,0)))</f>
        <v>0</v>
      </c>
      <c r="E1149" s="57">
        <f>IF($A1149="","",IF(_xlfn.XLOOKUP($A1149,Korrelation!$D$4:$D$1197,Korrelation!H$4:H$1197,"-",0)="-",0,MATCH(_xlfn.XLOOKUP($A1149,Korrelation!$D$4:$D$1197,Korrelation!H$4:H$1197,"",0),DMAV_Dienste!$F$6:$F$140,0)))</f>
        <v>0</v>
      </c>
      <c r="F1149" s="57">
        <f>IF($A1149="","",IF(_xlfn.XLOOKUP($A1149,Korrelation!$D$4:$D$1197,Korrelation!I$4:I$1197,"-",0)="-",0,MATCH(_xlfn.XLOOKUP($A1149,Korrelation!$D$4:$D$1197,Korrelation!I$4:I$1197,"",0),DMAV_Dienste!$F$6:$F$140,0)))</f>
        <v>0</v>
      </c>
      <c r="G1149" s="57">
        <f>IF($A1149="","",IF(_xlfn.XLOOKUP($A1149,Korrelation!$D$4:$D$1197,Korrelation!J$4:J$1197,"-",0)="-",0,MATCH(_xlfn.XLOOKUP($A1149,Korrelation!$D$4:$D$1197,Korrelation!J$4:J$1197,"",0),DMAV_Dienste!$F$6:$F$140,0)))</f>
        <v>0</v>
      </c>
      <c r="H1149" s="57">
        <f>IF($A1149="","",IF(_xlfn.XLOOKUP($A1149,Korrelation!$D$4:$D$1197,Korrelation!K$4:K$1197,"-",0)="-",0,MATCH(_xlfn.XLOOKUP($A1149,Korrelation!$D$4:$D$1197,Korrelation!K$4:K$1197,"",0),'DM01-AV-CH'!$A$6:$A$834,0)))</f>
        <v>731</v>
      </c>
      <c r="J1149" s="54" t="str" cm="1">
        <f t="array" aca="1" ref="J1149" ca="1">IF(B1149=0,IF(E1149=0,"",HYPERLINK("#"&amp;RIGHT(CELL("adresse",OFFSET(DMAV_Dienste!$M$6,E1149-1,0)),LEN(CELL("adresse",OFFSET(DMAV_Dienste!$M$6,E1149-1,0)))-FIND("]",CELL("adresse",OFFSET(DMAV_Dienste!$M$6,E1149-1,0)))),"Dienst")),HYPERLINK("#"&amp;RIGHT(CELL("adresse",OFFSET(DMAV_Modell!$N$6,B1149-1,0)),LEN(CELL("adresse",OFFSET(DMAV_Modell!$N$6,B1149-1,0)))-FIND("]",CELL("adresse",OFFSET(DMAV_Modell!$N$6,B1149-1,0)))),"Modell"))</f>
        <v/>
      </c>
      <c r="K1149" s="61" t="str" cm="1">
        <f t="array" ref="K1149">IF($B1149=0,IF($E1149=0,"",IF(INDEX(DMAV_Dienste!P$6:P$140,$E1149)="","",INDEX(DMAV_Dienste!P$6:P$140,$E1149))),IF(INDEX(DMAV_Modell!Q$6:Q$838,$B1149)="","",INDEX(DMAV_Modell!Q$6:Q$838,$B1149)))</f>
        <v/>
      </c>
      <c r="L1149" s="62" t="str" cm="1">
        <f t="array" ref="L1149">IF($B1149=0,IF($E1149=0,"",IF(INDEX(DMAV_Dienste!O$6:O$140,$E1149)="","",INDEX(DMAV_Dienste!O$6:O$140,$E1149))),IF(INDEX(DMAV_Modell!P$6:P$838,$B1149)="","",INDEX(DMAV_Modell!P$6:P$838,$B1149)))</f>
        <v/>
      </c>
      <c r="M1149" s="62" t="str" cm="1">
        <f t="array" ref="M1149">IF($B1149=0,IF($E1149=0,"",IF(INDEX(DMAV_Dienste!Q$6:Q$140,$E1149)="","",INDEX(DMAV_Dienste!Q$6:Q$140,$E1149))),IF(INDEX(DMAV_Modell!R$6:R$838,$B1149)="","",INDEX(DMAV_Modell!R$6:R$838,$B1149)))</f>
        <v/>
      </c>
      <c r="N1149" s="62" t="str" cm="1">
        <f t="array" ref="N1149">IF($B1149=0,IF($E1149=0,"",IF(INDEX(DMAV_Dienste!T$6:T$140,$E1149)="","",INDEX(DMAV_Dienste!T$6:T$140,$E1149))),IF(INDEX(DMAV_Modell!U$6:U$838,$B1149)="","",INDEX(DMAV_Modell!U$6:U$838,$B1149)))</f>
        <v/>
      </c>
      <c r="O1149" s="63" t="str" cm="1">
        <f t="array" aca="1" ref="O1149" ca="1">IF(C1149=0,IF(F1149=0,"",HYPERLINK("#"&amp;RIGHT(CELL("adresse",OFFSET(DMAV_Dienste!$M$6,F1149-1,0)),LEN(CELL("adresse",OFFSET(DMAV_Dienste!$M$6,F1149-1,0)))-FIND("]",CELL("adresse",OFFSET(DMAV_Dienste!$M$6,F1149-1,0)))),"Structure")),HYPERLINK("#"&amp;RIGHT(CELL("adresse",OFFSET(DMAV_Modell!$N$6,C1149-1,0)),LEN(CELL("adresse",OFFSET(DMAV_Modell!$N$6,C1149-1,0)))-FIND("]",CELL("adresse",OFFSET(DMAV_Modell!$N$6,C1149-1,0)))),"Structure"))</f>
        <v/>
      </c>
      <c r="P1149" s="64" t="str" cm="1">
        <f t="array" aca="1" ref="P1149" ca="1">IF(D1149=0,IF(G1149=0,"",HYPERLINK("#"&amp;RIGHT(CELL("adresse",OFFSET(DMAV_Dienste!$M$6,G1149-1,0)),LEN(CELL("adresse",OFFSET(DMAV_Dienste!$M$6,G1149-1,0)))-FIND("]",CELL("adresse",OFFSET(DMAV_Dienste!$M$6,G1149-1,0)))),"Substructure")),HYPERLINK("#"&amp;RIGHT(CELL("adresse",OFFSET(DMAV_Modell!$N$6,D1149-1,0)),LEN(CELL("adresse",OFFSET(DMAV_Modell!$N$6,D1149-1,0)))-FIND("]",CELL("adresse",OFFSET(DMAV_Modell!$N$6,D1149-1,0)))),"Substructure"))</f>
        <v/>
      </c>
      <c r="R1149" s="80"/>
      <c r="T1149" s="93"/>
      <c r="U1149" s="94"/>
      <c r="V1149" s="95"/>
      <c r="W1149" s="96"/>
      <c r="Y1149" s="85"/>
      <c r="Z1149" s="86"/>
      <c r="AA1149" s="87"/>
      <c r="AB1149" s="88"/>
      <c r="AD1149" s="77"/>
      <c r="AF1149" s="54" t="str" cm="1">
        <f t="array" aca="1" ref="AF1149" ca="1">IF(H1149=0,"",HYPERLINK("#"&amp;RIGHT(CELL("adresse",OFFSET('DM01-AV-CH'!$G$6,H1149-1,0)),LEN(CELL("adresse",OFFSET('DM01-AV-CH'!$G$6,H1149-1,0)))-FIND("]",CELL("adresse",OFFSET('DM01-AV-CH'!$G$6,H1149-1,0)))),"Modell"))</f>
        <v>Modell</v>
      </c>
      <c r="AG1149" s="72" t="str" cm="1">
        <f t="array" ref="AG1149">IF($H1149=0,"",IF(INDEX('DM01-AV-CH'!G$6:G$834,$H1149)="","",INDEX('DM01-AV-CH'!G$6:G$834,$H1149)))</f>
        <v>Gebaeudeadressen</v>
      </c>
      <c r="AH1149" s="73" t="str" cm="1">
        <f t="array" ref="AH1149">IF($H1149=0,"",IF(INDEX('DM01-AV-CH'!H$6:H$834,$H1149)="","",INDEX('DM01-AV-CH'!H$6:H$834,$H1149)))</f>
        <v>Strassenstueck</v>
      </c>
      <c r="AI1149" s="74" t="str" cm="1">
        <f t="array" ref="AI1149">IF($H1149=0,"",IF(INDEX('DM01-AV-CH'!I$6:I$834,$H1149)="","",INDEX('DM01-AV-CH'!I$6:I$834,$H1149)))</f>
        <v>Ordnung</v>
      </c>
    </row>
    <row r="1150" spans="1:35" ht="28.5" x14ac:dyDescent="0.25">
      <c r="A1150" s="57">
        <v>1145</v>
      </c>
      <c r="B1150" s="57">
        <f>IF($A1150="","",IF(_xlfn.XLOOKUP($A1150,Korrelation!$D$4:$D$1197,Korrelation!E$4:E$1197,"-",0)="-",0,MATCH(_xlfn.XLOOKUP($A1150,Korrelation!$D$4:$D$1197,Korrelation!E$4:E$1197,"",0),DMAV_Modell!$G$6:$G$677,0)))</f>
        <v>643</v>
      </c>
      <c r="C1150" s="57">
        <f>IF($A1150="","",IF(_xlfn.XLOOKUP($A1150,Korrelation!$D$4:$D$1197,Korrelation!F$4:F$1197,"-",0)="-",0,MATCH(_xlfn.XLOOKUP($A1150,Korrelation!$D$4:$D$1197,Korrelation!F$4:F$1197,"",0),DMAV_Modell!$G$6:$G$677,0)))</f>
        <v>632</v>
      </c>
      <c r="D1150" s="57">
        <f>IF($A1150="","",IF(_xlfn.XLOOKUP($A1150,Korrelation!$D$4:$D$1197,Korrelation!G$4:G$1197,"-",0)="-",0,MATCH(_xlfn.XLOOKUP($A1150,Korrelation!$D$4:$D$1197,Korrelation!G$4:G$1197,"",0),DMAV_Modell!$G$6:$G$677,0)))</f>
        <v>0</v>
      </c>
      <c r="E1150" s="57">
        <f>IF($A1150="","",IF(_xlfn.XLOOKUP($A1150,Korrelation!$D$4:$D$1197,Korrelation!H$4:H$1197,"-",0)="-",0,MATCH(_xlfn.XLOOKUP($A1150,Korrelation!$D$4:$D$1197,Korrelation!H$4:H$1197,"",0),DMAV_Dienste!$F$6:$F$140,0)))</f>
        <v>0</v>
      </c>
      <c r="F1150" s="57">
        <f>IF($A1150="","",IF(_xlfn.XLOOKUP($A1150,Korrelation!$D$4:$D$1197,Korrelation!I$4:I$1197,"-",0)="-",0,MATCH(_xlfn.XLOOKUP($A1150,Korrelation!$D$4:$D$1197,Korrelation!I$4:I$1197,"",0),DMAV_Dienste!$F$6:$F$140,0)))</f>
        <v>0</v>
      </c>
      <c r="G1150" s="57">
        <f>IF($A1150="","",IF(_xlfn.XLOOKUP($A1150,Korrelation!$D$4:$D$1197,Korrelation!J$4:J$1197,"-",0)="-",0,MATCH(_xlfn.XLOOKUP($A1150,Korrelation!$D$4:$D$1197,Korrelation!J$4:J$1197,"",0),DMAV_Dienste!$F$6:$F$140,0)))</f>
        <v>0</v>
      </c>
      <c r="H1150" s="57">
        <f>IF($A1150="","",IF(_xlfn.XLOOKUP($A1150,Korrelation!$D$4:$D$1197,Korrelation!K$4:K$1197,"-",0)="-",0,MATCH(_xlfn.XLOOKUP($A1150,Korrelation!$D$4:$D$1197,Korrelation!K$4:K$1197,"",0),'DM01-AV-CH'!$A$6:$A$834,0)))</f>
        <v>732</v>
      </c>
      <c r="J1150" s="54" t="str" cm="1">
        <f t="array" aca="1" ref="J1150" ca="1">IF(B1150=0,IF(E1150=0,"",HYPERLINK("#"&amp;RIGHT(CELL("adresse",OFFSET(DMAV_Dienste!$M$6,E1150-1,0)),LEN(CELL("adresse",OFFSET(DMAV_Dienste!$M$6,E1150-1,0)))-FIND("]",CELL("adresse",OFFSET(DMAV_Dienste!$M$6,E1150-1,0)))),"Dienst")),HYPERLINK("#"&amp;RIGHT(CELL("adresse",OFFSET(DMAV_Modell!$N$6,B1150-1,0)),LEN(CELL("adresse",OFFSET(DMAV_Modell!$N$6,B1150-1,0)))-FIND("]",CELL("adresse",OFFSET(DMAV_Modell!$N$6,B1150-1,0)))),"Modell"))</f>
        <v>Modell</v>
      </c>
      <c r="K1150" s="61" t="str" cm="1">
        <f t="array" ref="K1150">IF($B1150=0,IF($E1150=0,"",IF(INDEX(DMAV_Dienste!P$6:P$140,$E1150)="","",INDEX(DMAV_Dienste!P$6:P$140,$E1150))),IF(INDEX(DMAV_Modell!Q$6:Q$838,$B1150)="","",INDEX(DMAV_Modell!Q$6:Q$838,$B1150)))</f>
        <v>CLASS</v>
      </c>
      <c r="L1150" s="62" t="str" cm="1">
        <f t="array" ref="L1150">IF($B1150=0,IF($E1150=0,"",IF(INDEX(DMAV_Dienste!O$6:O$140,$E1150)="","",INDEX(DMAV_Dienste!O$6:O$140,$E1150))),IF(INDEX(DMAV_Modell!P$6:P$838,$B1150)="","",INDEX(DMAV_Modell!P$6:P$838,$B1150)))</f>
        <v>Gebaeudeadressen</v>
      </c>
      <c r="M1150" s="62" t="str" cm="1">
        <f t="array" ref="M1150">IF($B1150=0,IF($E1150=0,"",IF(INDEX(DMAV_Dienste!Q$6:Q$140,$E1150)="","",INDEX(DMAV_Dienste!Q$6:Q$140,$E1150))),IF(INDEX(DMAV_Modell!R$6:R$838,$B1150)="","",INDEX(DMAV_Modell!R$6:R$838,$B1150)))</f>
        <v>Lokalisation</v>
      </c>
      <c r="N1150" s="62" t="str" cm="1">
        <f t="array" ref="N1150">IF($B1150=0,IF($E1150=0,"",IF(INDEX(DMAV_Dienste!T$6:T$140,$E1150)="","",INDEX(DMAV_Dienste!T$6:T$140,$E1150))),IF(INDEX(DMAV_Modell!U$6:U$838,$B1150)="","",INDEX(DMAV_Modell!U$6:U$838,$B1150)))</f>
        <v>Strassenstueck</v>
      </c>
      <c r="O1150" s="63" t="str" cm="1">
        <f t="array" aca="1" ref="O1150" ca="1">IF(C1150=0,IF(F1150=0,"",HYPERLINK("#"&amp;RIGHT(CELL("adresse",OFFSET(DMAV_Dienste!$M$6,F1150-1,0)),LEN(CELL("adresse",OFFSET(DMAV_Dienste!$M$6,F1150-1,0)))-FIND("]",CELL("adresse",OFFSET(DMAV_Dienste!$M$6,F1150-1,0)))),"Structure")),HYPERLINK("#"&amp;RIGHT(CELL("adresse",OFFSET(DMAV_Modell!$N$6,C1150-1,0)),LEN(CELL("adresse",OFFSET(DMAV_Modell!$N$6,C1150-1,0)))-FIND("]",CELL("adresse",OFFSET(DMAV_Modell!$N$6,C1150-1,0)))),"Structure"))</f>
        <v>Structure</v>
      </c>
      <c r="P1150" s="64" t="str" cm="1">
        <f t="array" aca="1" ref="P1150" ca="1">IF(D1150=0,IF(G1150=0,"",HYPERLINK("#"&amp;RIGHT(CELL("adresse",OFFSET(DMAV_Dienste!$M$6,G1150-1,0)),LEN(CELL("adresse",OFFSET(DMAV_Dienste!$M$6,G1150-1,0)))-FIND("]",CELL("adresse",OFFSET(DMAV_Dienste!$M$6,G1150-1,0)))),"Substructure")),HYPERLINK("#"&amp;RIGHT(CELL("adresse",OFFSET(DMAV_Modell!$N$6,D1150-1,0)),LEN(CELL("adresse",OFFSET(DMAV_Modell!$N$6,D1150-1,0)))-FIND("]",CELL("adresse",OFFSET(DMAV_Modell!$N$6,D1150-1,0)))),"Substructure"))</f>
        <v/>
      </c>
      <c r="R1150" s="80" t="s">
        <v>3062</v>
      </c>
      <c r="T1150" s="93"/>
      <c r="U1150" s="94" t="s">
        <v>2980</v>
      </c>
      <c r="V1150" s="95" t="s">
        <v>3276</v>
      </c>
      <c r="W1150" s="96"/>
      <c r="Y1150" s="85"/>
      <c r="Z1150" s="86" t="s">
        <v>2980</v>
      </c>
      <c r="AA1150" s="87" t="s">
        <v>3277</v>
      </c>
      <c r="AB1150" s="88"/>
      <c r="AD1150" s="77" t="s">
        <v>2992</v>
      </c>
      <c r="AF1150" s="54" t="str" cm="1">
        <f t="array" aca="1" ref="AF1150" ca="1">IF(H1150=0,"",HYPERLINK("#"&amp;RIGHT(CELL("adresse",OFFSET('DM01-AV-CH'!$G$6,H1150-1,0)),LEN(CELL("adresse",OFFSET('DM01-AV-CH'!$G$6,H1150-1,0)))-FIND("]",CELL("adresse",OFFSET('DM01-AV-CH'!$G$6,H1150-1,0)))),"Modell"))</f>
        <v>Modell</v>
      </c>
      <c r="AG1150" s="72" t="str" cm="1">
        <f t="array" ref="AG1150">IF($H1150=0,"",IF(INDEX('DM01-AV-CH'!G$6:G$834,$H1150)="","",INDEX('DM01-AV-CH'!G$6:G$834,$H1150)))</f>
        <v>Gebaeudeadressen</v>
      </c>
      <c r="AH1150" s="73" t="str" cm="1">
        <f t="array" ref="AH1150">IF($H1150=0,"",IF(INDEX('DM01-AV-CH'!H$6:H$834,$H1150)="","",INDEX('DM01-AV-CH'!H$6:H$834,$H1150)))</f>
        <v>Strassenstueck</v>
      </c>
      <c r="AI1150" s="74" t="str" cm="1">
        <f t="array" ref="AI1150">IF($H1150=0,"",IF(INDEX('DM01-AV-CH'!I$6:I$834,$H1150)="","",INDEX('DM01-AV-CH'!I$6:I$834,$H1150)))</f>
        <v>IstAchse</v>
      </c>
    </row>
    <row r="1151" spans="1:35" x14ac:dyDescent="0.25">
      <c r="A1151" s="57">
        <v>1146</v>
      </c>
      <c r="B1151" s="57">
        <f>IF($A1151="","",IF(_xlfn.XLOOKUP($A1151,Korrelation!$D$4:$D$1197,Korrelation!E$4:E$1197,"-",0)="-",0,MATCH(_xlfn.XLOOKUP($A1151,Korrelation!$D$4:$D$1197,Korrelation!E$4:E$1197,"",0),DMAV_Modell!$G$6:$G$677,0)))</f>
        <v>644</v>
      </c>
      <c r="C1151" s="57">
        <f>IF($A1151="","",IF(_xlfn.XLOOKUP($A1151,Korrelation!$D$4:$D$1197,Korrelation!F$4:F$1197,"-",0)="-",0,MATCH(_xlfn.XLOOKUP($A1151,Korrelation!$D$4:$D$1197,Korrelation!F$4:F$1197,"",0),DMAV_Modell!$G$6:$G$677,0)))</f>
        <v>0</v>
      </c>
      <c r="D1151" s="57">
        <f>IF($A1151="","",IF(_xlfn.XLOOKUP($A1151,Korrelation!$D$4:$D$1197,Korrelation!G$4:G$1197,"-",0)="-",0,MATCH(_xlfn.XLOOKUP($A1151,Korrelation!$D$4:$D$1197,Korrelation!G$4:G$1197,"",0),DMAV_Modell!$G$6:$G$677,0)))</f>
        <v>0</v>
      </c>
      <c r="E1151" s="57">
        <f>IF($A1151="","",IF(_xlfn.XLOOKUP($A1151,Korrelation!$D$4:$D$1197,Korrelation!H$4:H$1197,"-",0)="-",0,MATCH(_xlfn.XLOOKUP($A1151,Korrelation!$D$4:$D$1197,Korrelation!H$4:H$1197,"",0),DMAV_Dienste!$F$6:$F$140,0)))</f>
        <v>0</v>
      </c>
      <c r="F1151" s="57">
        <f>IF($A1151="","",IF(_xlfn.XLOOKUP($A1151,Korrelation!$D$4:$D$1197,Korrelation!I$4:I$1197,"-",0)="-",0,MATCH(_xlfn.XLOOKUP($A1151,Korrelation!$D$4:$D$1197,Korrelation!I$4:I$1197,"",0),DMAV_Dienste!$F$6:$F$140,0)))</f>
        <v>0</v>
      </c>
      <c r="G1151" s="57">
        <f>IF($A1151="","",IF(_xlfn.XLOOKUP($A1151,Korrelation!$D$4:$D$1197,Korrelation!J$4:J$1197,"-",0)="-",0,MATCH(_xlfn.XLOOKUP($A1151,Korrelation!$D$4:$D$1197,Korrelation!J$4:J$1197,"",0),DMAV_Dienste!$F$6:$F$140,0)))</f>
        <v>0</v>
      </c>
      <c r="H1151" s="57">
        <f>IF($A1151="","",IF(_xlfn.XLOOKUP($A1151,Korrelation!$D$4:$D$1197,Korrelation!K$4:K$1197,"-",0)="-",0,MATCH(_xlfn.XLOOKUP($A1151,Korrelation!$D$4:$D$1197,Korrelation!K$4:K$1197,"",0),'DM01-AV-CH'!$A$6:$A$834,0)))</f>
        <v>0</v>
      </c>
      <c r="J1151" s="54" t="str" cm="1">
        <f t="array" aca="1" ref="J1151" ca="1">IF(B1151=0,IF(E1151=0,"",HYPERLINK("#"&amp;RIGHT(CELL("adresse",OFFSET(DMAV_Dienste!$M$6,E1151-1,0)),LEN(CELL("adresse",OFFSET(DMAV_Dienste!$M$6,E1151-1,0)))-FIND("]",CELL("adresse",OFFSET(DMAV_Dienste!$M$6,E1151-1,0)))),"Dienst")),HYPERLINK("#"&amp;RIGHT(CELL("adresse",OFFSET(DMAV_Modell!$N$6,B1151-1,0)),LEN(CELL("adresse",OFFSET(DMAV_Modell!$N$6,B1151-1,0)))-FIND("]",CELL("adresse",OFFSET(DMAV_Modell!$N$6,B1151-1,0)))),"Modell"))</f>
        <v>Modell</v>
      </c>
      <c r="K1151" s="61" t="str" cm="1">
        <f t="array" ref="K1151">IF($B1151=0,IF($E1151=0,"",IF(INDEX(DMAV_Dienste!P$6:P$140,$E1151)="","",INDEX(DMAV_Dienste!P$6:P$140,$E1151))),IF(INDEX(DMAV_Modell!Q$6:Q$838,$B1151)="","",INDEX(DMAV_Modell!Q$6:Q$838,$B1151)))</f>
        <v>CLASS.CONSTRAINT</v>
      </c>
      <c r="L1151" s="62" t="str" cm="1">
        <f t="array" ref="L1151">IF($B1151=0,IF($E1151=0,"",IF(INDEX(DMAV_Dienste!O$6:O$140,$E1151)="","",INDEX(DMAV_Dienste!O$6:O$140,$E1151))),IF(INDEX(DMAV_Modell!P$6:P$838,$B1151)="","",INDEX(DMAV_Modell!P$6:P$838,$B1151)))</f>
        <v>Gebaeudeadressen</v>
      </c>
      <c r="M1151" s="62" t="str" cm="1">
        <f t="array" ref="M1151">IF($B1151=0,IF($E1151=0,"",IF(INDEX(DMAV_Dienste!Q$6:Q$140,$E1151)="","",INDEX(DMAV_Dienste!Q$6:Q$140,$E1151))),IF(INDEX(DMAV_Modell!R$6:R$838,$B1151)="","",INDEX(DMAV_Modell!R$6:R$838,$B1151)))</f>
        <v>Lokalisation</v>
      </c>
      <c r="N1151" s="62" t="str" cm="1">
        <f t="array" ref="N1151">IF($B1151=0,IF($E1151=0,"",IF(INDEX(DMAV_Dienste!T$6:T$140,$E1151)="","",INDEX(DMAV_Dienste!T$6:T$140,$E1151))),IF(INDEX(DMAV_Modell!U$6:U$838,$B1151)="","",INDEX(DMAV_Modell!U$6:U$838,$B1151)))</f>
        <v>(INTERLIS.elementCount(@PH1@)&gt;0) == (@PH2@==@PH3@ OR @PH2@==@PH4@)</v>
      </c>
      <c r="O1151" s="63" t="str" cm="1">
        <f t="array" aca="1" ref="O1151" ca="1">IF(C1151=0,IF(F1151=0,"",HYPERLINK("#"&amp;RIGHT(CELL("adresse",OFFSET(DMAV_Dienste!$M$6,F1151-1,0)),LEN(CELL("adresse",OFFSET(DMAV_Dienste!$M$6,F1151-1,0)))-FIND("]",CELL("adresse",OFFSET(DMAV_Dienste!$M$6,F1151-1,0)))),"Structure")),HYPERLINK("#"&amp;RIGHT(CELL("adresse",OFFSET(DMAV_Modell!$N$6,C1151-1,0)),LEN(CELL("adresse",OFFSET(DMAV_Modell!$N$6,C1151-1,0)))-FIND("]",CELL("adresse",OFFSET(DMAV_Modell!$N$6,C1151-1,0)))),"Structure"))</f>
        <v/>
      </c>
      <c r="P1151" s="64" t="str" cm="1">
        <f t="array" aca="1" ref="P1151" ca="1">IF(D1151=0,IF(G1151=0,"",HYPERLINK("#"&amp;RIGHT(CELL("adresse",OFFSET(DMAV_Dienste!$M$6,G1151-1,0)),LEN(CELL("adresse",OFFSET(DMAV_Dienste!$M$6,G1151-1,0)))-FIND("]",CELL("adresse",OFFSET(DMAV_Dienste!$M$6,G1151-1,0)))),"Substructure")),HYPERLINK("#"&amp;RIGHT(CELL("adresse",OFFSET(DMAV_Modell!$N$6,D1151-1,0)),LEN(CELL("adresse",OFFSET(DMAV_Modell!$N$6,D1151-1,0)))-FIND("]",CELL("adresse",OFFSET(DMAV_Modell!$N$6,D1151-1,0)))),"Substructure"))</f>
        <v/>
      </c>
      <c r="R1151" s="80"/>
      <c r="T1151" s="93"/>
      <c r="U1151" s="94"/>
      <c r="V1151" s="95"/>
      <c r="W1151" s="96"/>
      <c r="Y1151" s="85"/>
      <c r="Z1151" s="86"/>
      <c r="AA1151" s="87"/>
      <c r="AB1151" s="88"/>
      <c r="AD1151" s="77"/>
      <c r="AF1151" s="54" t="str" cm="1">
        <f t="array" aca="1" ref="AF1151" ca="1">IF(H1151=0,"",HYPERLINK("#"&amp;RIGHT(CELL("adresse",OFFSET('DM01-AV-CH'!$G$6,H1151-1,0)),LEN(CELL("adresse",OFFSET('DM01-AV-CH'!$G$6,H1151-1,0)))-FIND("]",CELL("adresse",OFFSET('DM01-AV-CH'!$G$6,H1151-1,0)))),"Modell"))</f>
        <v/>
      </c>
      <c r="AG1151" s="72" t="str" cm="1">
        <f t="array" ref="AG1151">IF($H1151=0,"",IF(INDEX('DM01-AV-CH'!G$6:G$834,$H1151)="","",INDEX('DM01-AV-CH'!G$6:G$834,$H1151)))</f>
        <v/>
      </c>
      <c r="AH1151" s="73" t="str" cm="1">
        <f t="array" ref="AH1151">IF($H1151=0,"",IF(INDEX('DM01-AV-CH'!H$6:H$834,$H1151)="","",INDEX('DM01-AV-CH'!H$6:H$834,$H1151)))</f>
        <v/>
      </c>
      <c r="AI1151" s="74" t="str" cm="1">
        <f t="array" ref="AI1151">IF($H1151=0,"",IF(INDEX('DM01-AV-CH'!I$6:I$834,$H1151)="","",INDEX('DM01-AV-CH'!I$6:I$834,$H1151)))</f>
        <v/>
      </c>
    </row>
    <row r="1152" spans="1:35" x14ac:dyDescent="0.25">
      <c r="A1152" s="57">
        <v>1147</v>
      </c>
      <c r="B1152" s="57">
        <f>IF($A1152="","",IF(_xlfn.XLOOKUP($A1152,Korrelation!$D$4:$D$1197,Korrelation!E$4:E$1197,"-",0)="-",0,MATCH(_xlfn.XLOOKUP($A1152,Korrelation!$D$4:$D$1197,Korrelation!E$4:E$1197,"",0),DMAV_Modell!$G$6:$G$677,0)))</f>
        <v>645</v>
      </c>
      <c r="C1152" s="57">
        <f>IF($A1152="","",IF(_xlfn.XLOOKUP($A1152,Korrelation!$D$4:$D$1197,Korrelation!F$4:F$1197,"-",0)="-",0,MATCH(_xlfn.XLOOKUP($A1152,Korrelation!$D$4:$D$1197,Korrelation!F$4:F$1197,"",0),DMAV_Modell!$G$6:$G$677,0)))</f>
        <v>0</v>
      </c>
      <c r="D1152" s="57">
        <f>IF($A1152="","",IF(_xlfn.XLOOKUP($A1152,Korrelation!$D$4:$D$1197,Korrelation!G$4:G$1197,"-",0)="-",0,MATCH(_xlfn.XLOOKUP($A1152,Korrelation!$D$4:$D$1197,Korrelation!G$4:G$1197,"",0),DMAV_Modell!$G$6:$G$677,0)))</f>
        <v>0</v>
      </c>
      <c r="E1152" s="57">
        <f>IF($A1152="","",IF(_xlfn.XLOOKUP($A1152,Korrelation!$D$4:$D$1197,Korrelation!H$4:H$1197,"-",0)="-",0,MATCH(_xlfn.XLOOKUP($A1152,Korrelation!$D$4:$D$1197,Korrelation!H$4:H$1197,"",0),DMAV_Dienste!$F$6:$F$140,0)))</f>
        <v>0</v>
      </c>
      <c r="F1152" s="57">
        <f>IF($A1152="","",IF(_xlfn.XLOOKUP($A1152,Korrelation!$D$4:$D$1197,Korrelation!I$4:I$1197,"-",0)="-",0,MATCH(_xlfn.XLOOKUP($A1152,Korrelation!$D$4:$D$1197,Korrelation!I$4:I$1197,"",0),DMAV_Dienste!$F$6:$F$140,0)))</f>
        <v>0</v>
      </c>
      <c r="G1152" s="57">
        <f>IF($A1152="","",IF(_xlfn.XLOOKUP($A1152,Korrelation!$D$4:$D$1197,Korrelation!J$4:J$1197,"-",0)="-",0,MATCH(_xlfn.XLOOKUP($A1152,Korrelation!$D$4:$D$1197,Korrelation!J$4:J$1197,"",0),DMAV_Dienste!$F$6:$F$140,0)))</f>
        <v>0</v>
      </c>
      <c r="H1152" s="57">
        <f>IF($A1152="","",IF(_xlfn.XLOOKUP($A1152,Korrelation!$D$4:$D$1197,Korrelation!K$4:K$1197,"-",0)="-",0,MATCH(_xlfn.XLOOKUP($A1152,Korrelation!$D$4:$D$1197,Korrelation!K$4:K$1197,"",0),'DM01-AV-CH'!$A$6:$A$834,0)))</f>
        <v>0</v>
      </c>
      <c r="J1152" s="54" t="str" cm="1">
        <f t="array" aca="1" ref="J1152" ca="1">IF(B1152=0,IF(E1152=0,"",HYPERLINK("#"&amp;RIGHT(CELL("adresse",OFFSET(DMAV_Dienste!$M$6,E1152-1,0)),LEN(CELL("adresse",OFFSET(DMAV_Dienste!$M$6,E1152-1,0)))-FIND("]",CELL("adresse",OFFSET(DMAV_Dienste!$M$6,E1152-1,0)))),"Dienst")),HYPERLINK("#"&amp;RIGHT(CELL("adresse",OFFSET(DMAV_Modell!$N$6,B1152-1,0)),LEN(CELL("adresse",OFFSET(DMAV_Modell!$N$6,B1152-1,0)))-FIND("]",CELL("adresse",OFFSET(DMAV_Modell!$N$6,B1152-1,0)))),"Modell"))</f>
        <v>Modell</v>
      </c>
      <c r="K1152" s="61" t="str" cm="1">
        <f t="array" ref="K1152">IF($B1152=0,IF($E1152=0,"",IF(INDEX(DMAV_Dienste!P$6:P$140,$E1152)="","",INDEX(DMAV_Dienste!P$6:P$140,$E1152))),IF(INDEX(DMAV_Modell!Q$6:Q$838,$B1152)="","",INDEX(DMAV_Modell!Q$6:Q$838,$B1152)))</f>
        <v>CLASS.CONSTRAINT</v>
      </c>
      <c r="L1152" s="62" t="str" cm="1">
        <f t="array" ref="L1152">IF($B1152=0,IF($E1152=0,"",IF(INDEX(DMAV_Dienste!O$6:O$140,$E1152)="","",INDEX(DMAV_Dienste!O$6:O$140,$E1152))),IF(INDEX(DMAV_Modell!P$6:P$838,$B1152)="","",INDEX(DMAV_Modell!P$6:P$838,$B1152)))</f>
        <v>Gebaeudeadressen</v>
      </c>
      <c r="M1152" s="62" t="str" cm="1">
        <f t="array" ref="M1152">IF($B1152=0,IF($E1152=0,"",IF(INDEX(DMAV_Dienste!Q$6:Q$140,$E1152)="","",INDEX(DMAV_Dienste!Q$6:Q$140,$E1152))),IF(INDEX(DMAV_Modell!R$6:R$838,$B1152)="","",INDEX(DMAV_Modell!R$6:R$838,$B1152)))</f>
        <v>Lokalisation</v>
      </c>
      <c r="N1152" s="62" t="str" cm="1">
        <f t="array" ref="N1152">IF($B1152=0,IF($E1152=0,"",IF(INDEX(DMAV_Dienste!T$6:T$140,$E1152)="","",INDEX(DMAV_Dienste!T$6:T$140,$E1152))),IF(INDEX(DMAV_Modell!U$6:U$838,$B1152)="","",INDEX(DMAV_Modell!U$6:U$838,$B1152)))</f>
        <v>(INTERLIS.elementCount(@PH1@)&gt;0) == (@PH2@==@PH3@)</v>
      </c>
      <c r="O1152" s="63" t="str" cm="1">
        <f t="array" aca="1" ref="O1152" ca="1">IF(C1152=0,IF(F1152=0,"",HYPERLINK("#"&amp;RIGHT(CELL("adresse",OFFSET(DMAV_Dienste!$M$6,F1152-1,0)),LEN(CELL("adresse",OFFSET(DMAV_Dienste!$M$6,F1152-1,0)))-FIND("]",CELL("adresse",OFFSET(DMAV_Dienste!$M$6,F1152-1,0)))),"Structure")),HYPERLINK("#"&amp;RIGHT(CELL("adresse",OFFSET(DMAV_Modell!$N$6,C1152-1,0)),LEN(CELL("adresse",OFFSET(DMAV_Modell!$N$6,C1152-1,0)))-FIND("]",CELL("adresse",OFFSET(DMAV_Modell!$N$6,C1152-1,0)))),"Structure"))</f>
        <v/>
      </c>
      <c r="P1152" s="64" t="str" cm="1">
        <f t="array" aca="1" ref="P1152" ca="1">IF(D1152=0,IF(G1152=0,"",HYPERLINK("#"&amp;RIGHT(CELL("adresse",OFFSET(DMAV_Dienste!$M$6,G1152-1,0)),LEN(CELL("adresse",OFFSET(DMAV_Dienste!$M$6,G1152-1,0)))-FIND("]",CELL("adresse",OFFSET(DMAV_Dienste!$M$6,G1152-1,0)))),"Substructure")),HYPERLINK("#"&amp;RIGHT(CELL("adresse",OFFSET(DMAV_Modell!$N$6,D1152-1,0)),LEN(CELL("adresse",OFFSET(DMAV_Modell!$N$6,D1152-1,0)))-FIND("]",CELL("adresse",OFFSET(DMAV_Modell!$N$6,D1152-1,0)))),"Substructure"))</f>
        <v/>
      </c>
      <c r="R1152" s="80"/>
      <c r="T1152" s="93"/>
      <c r="U1152" s="94"/>
      <c r="V1152" s="95"/>
      <c r="W1152" s="96"/>
      <c r="Y1152" s="85"/>
      <c r="Z1152" s="86"/>
      <c r="AA1152" s="87"/>
      <c r="AB1152" s="88"/>
      <c r="AD1152" s="77"/>
      <c r="AF1152" s="54" t="str" cm="1">
        <f t="array" aca="1" ref="AF1152" ca="1">IF(H1152=0,"",HYPERLINK("#"&amp;RIGHT(CELL("adresse",OFFSET('DM01-AV-CH'!$G$6,H1152-1,0)),LEN(CELL("adresse",OFFSET('DM01-AV-CH'!$G$6,H1152-1,0)))-FIND("]",CELL("adresse",OFFSET('DM01-AV-CH'!$G$6,H1152-1,0)))),"Modell"))</f>
        <v/>
      </c>
      <c r="AG1152" s="72" t="str" cm="1">
        <f t="array" ref="AG1152">IF($H1152=0,"",IF(INDEX('DM01-AV-CH'!G$6:G$834,$H1152)="","",INDEX('DM01-AV-CH'!G$6:G$834,$H1152)))</f>
        <v/>
      </c>
      <c r="AH1152" s="73" t="str" cm="1">
        <f t="array" ref="AH1152">IF($H1152=0,"",IF(INDEX('DM01-AV-CH'!H$6:H$834,$H1152)="","",INDEX('DM01-AV-CH'!H$6:H$834,$H1152)))</f>
        <v/>
      </c>
      <c r="AI1152" s="74" t="str" cm="1">
        <f t="array" ref="AI1152">IF($H1152=0,"",IF(INDEX('DM01-AV-CH'!I$6:I$834,$H1152)="","",INDEX('DM01-AV-CH'!I$6:I$834,$H1152)))</f>
        <v/>
      </c>
    </row>
    <row r="1153" spans="1:35" x14ac:dyDescent="0.25">
      <c r="A1153" s="57">
        <v>1148</v>
      </c>
      <c r="B1153" s="57">
        <f>IF($A1153="","",IF(_xlfn.XLOOKUP($A1153,Korrelation!$D$4:$D$1197,Korrelation!E$4:E$1197,"-",0)="-",0,MATCH(_xlfn.XLOOKUP($A1153,Korrelation!$D$4:$D$1197,Korrelation!E$4:E$1197,"",0),DMAV_Modell!$G$6:$G$677,0)))</f>
        <v>646</v>
      </c>
      <c r="C1153" s="57">
        <f>IF($A1153="","",IF(_xlfn.XLOOKUP($A1153,Korrelation!$D$4:$D$1197,Korrelation!F$4:F$1197,"-",0)="-",0,MATCH(_xlfn.XLOOKUP($A1153,Korrelation!$D$4:$D$1197,Korrelation!F$4:F$1197,"",0),DMAV_Modell!$G$6:$G$677,0)))</f>
        <v>0</v>
      </c>
      <c r="D1153" s="57">
        <f>IF($A1153="","",IF(_xlfn.XLOOKUP($A1153,Korrelation!$D$4:$D$1197,Korrelation!G$4:G$1197,"-",0)="-",0,MATCH(_xlfn.XLOOKUP($A1153,Korrelation!$D$4:$D$1197,Korrelation!G$4:G$1197,"",0),DMAV_Modell!$G$6:$G$677,0)))</f>
        <v>0</v>
      </c>
      <c r="E1153" s="57">
        <f>IF($A1153="","",IF(_xlfn.XLOOKUP($A1153,Korrelation!$D$4:$D$1197,Korrelation!H$4:H$1197,"-",0)="-",0,MATCH(_xlfn.XLOOKUP($A1153,Korrelation!$D$4:$D$1197,Korrelation!H$4:H$1197,"",0),DMAV_Dienste!$F$6:$F$140,0)))</f>
        <v>0</v>
      </c>
      <c r="F1153" s="57">
        <f>IF($A1153="","",IF(_xlfn.XLOOKUP($A1153,Korrelation!$D$4:$D$1197,Korrelation!I$4:I$1197,"-",0)="-",0,MATCH(_xlfn.XLOOKUP($A1153,Korrelation!$D$4:$D$1197,Korrelation!I$4:I$1197,"",0),DMAV_Dienste!$F$6:$F$140,0)))</f>
        <v>0</v>
      </c>
      <c r="G1153" s="57">
        <f>IF($A1153="","",IF(_xlfn.XLOOKUP($A1153,Korrelation!$D$4:$D$1197,Korrelation!J$4:J$1197,"-",0)="-",0,MATCH(_xlfn.XLOOKUP($A1153,Korrelation!$D$4:$D$1197,Korrelation!J$4:J$1197,"",0),DMAV_Dienste!$F$6:$F$140,0)))</f>
        <v>0</v>
      </c>
      <c r="H1153" s="57">
        <f>IF($A1153="","",IF(_xlfn.XLOOKUP($A1153,Korrelation!$D$4:$D$1197,Korrelation!K$4:K$1197,"-",0)="-",0,MATCH(_xlfn.XLOOKUP($A1153,Korrelation!$D$4:$D$1197,Korrelation!K$4:K$1197,"",0),'DM01-AV-CH'!$A$6:$A$834,0)))</f>
        <v>0</v>
      </c>
      <c r="J1153" s="54" t="str" cm="1">
        <f t="array" aca="1" ref="J1153" ca="1">IF(B1153=0,IF(E1153=0,"",HYPERLINK("#"&amp;RIGHT(CELL("adresse",OFFSET(DMAV_Dienste!$M$6,E1153-1,0)),LEN(CELL("adresse",OFFSET(DMAV_Dienste!$M$6,E1153-1,0)))-FIND("]",CELL("adresse",OFFSET(DMAV_Dienste!$M$6,E1153-1,0)))),"Dienst")),HYPERLINK("#"&amp;RIGHT(CELL("adresse",OFFSET(DMAV_Modell!$N$6,B1153-1,0)),LEN(CELL("adresse",OFFSET(DMAV_Modell!$N$6,B1153-1,0)))-FIND("]",CELL("adresse",OFFSET(DMAV_Modell!$N$6,B1153-1,0)))),"Modell"))</f>
        <v>Modell</v>
      </c>
      <c r="K1153" s="61" t="str" cm="1">
        <f t="array" ref="K1153">IF($B1153=0,IF($E1153=0,"",IF(INDEX(DMAV_Dienste!P$6:P$140,$E1153)="","",INDEX(DMAV_Dienste!P$6:P$140,$E1153))),IF(INDEX(DMAV_Modell!Q$6:Q$838,$B1153)="","",INDEX(DMAV_Modell!Q$6:Q$838,$B1153)))</f>
        <v>ASSOCIATION</v>
      </c>
      <c r="L1153" s="62" t="str" cm="1">
        <f t="array" ref="L1153">IF($B1153=0,IF($E1153=0,"",IF(INDEX(DMAV_Dienste!O$6:O$140,$E1153)="","",INDEX(DMAV_Dienste!O$6:O$140,$E1153))),IF(INDEX(DMAV_Modell!P$6:P$838,$B1153)="","",INDEX(DMAV_Modell!P$6:P$838,$B1153)))</f>
        <v>Gebaeudeadressen</v>
      </c>
      <c r="M1153" s="62" t="str" cm="1">
        <f t="array" ref="M1153">IF($B1153=0,IF($E1153=0,"",IF(INDEX(DMAV_Dienste!Q$6:Q$140,$E1153)="","",INDEX(DMAV_Dienste!Q$6:Q$140,$E1153))),IF(INDEX(DMAV_Modell!R$6:R$838,$B1153)="","",INDEX(DMAV_Modell!R$6:R$838,$B1153)))</f>
        <v>Entstehung_Lokalisation</v>
      </c>
      <c r="N1153" s="62" t="str" cm="1">
        <f t="array" ref="N1153">IF($B1153=0,IF($E1153=0,"",IF(INDEX(DMAV_Dienste!T$6:T$140,$E1153)="","",INDEX(DMAV_Dienste!T$6:T$140,$E1153))),IF(INDEX(DMAV_Modell!U$6:U$838,$B1153)="","",INDEX(DMAV_Modell!U$6:U$838,$B1153)))</f>
        <v>Entstehung</v>
      </c>
      <c r="O1153" s="63" t="str" cm="1">
        <f t="array" aca="1" ref="O1153" ca="1">IF(C1153=0,IF(F1153=0,"",HYPERLINK("#"&amp;RIGHT(CELL("adresse",OFFSET(DMAV_Dienste!$M$6,F1153-1,0)),LEN(CELL("adresse",OFFSET(DMAV_Dienste!$M$6,F1153-1,0)))-FIND("]",CELL("adresse",OFFSET(DMAV_Dienste!$M$6,F1153-1,0)))),"Structure")),HYPERLINK("#"&amp;RIGHT(CELL("adresse",OFFSET(DMAV_Modell!$N$6,C1153-1,0)),LEN(CELL("adresse",OFFSET(DMAV_Modell!$N$6,C1153-1,0)))-FIND("]",CELL("adresse",OFFSET(DMAV_Modell!$N$6,C1153-1,0)))),"Structure"))</f>
        <v/>
      </c>
      <c r="P1153" s="64" t="str" cm="1">
        <f t="array" aca="1" ref="P1153" ca="1">IF(D1153=0,IF(G1153=0,"",HYPERLINK("#"&amp;RIGHT(CELL("adresse",OFFSET(DMAV_Dienste!$M$6,G1153-1,0)),LEN(CELL("adresse",OFFSET(DMAV_Dienste!$M$6,G1153-1,0)))-FIND("]",CELL("adresse",OFFSET(DMAV_Dienste!$M$6,G1153-1,0)))),"Substructure")),HYPERLINK("#"&amp;RIGHT(CELL("adresse",OFFSET(DMAV_Modell!$N$6,D1153-1,0)),LEN(CELL("adresse",OFFSET(DMAV_Modell!$N$6,D1153-1,0)))-FIND("]",CELL("adresse",OFFSET(DMAV_Modell!$N$6,D1153-1,0)))),"Substructure"))</f>
        <v/>
      </c>
      <c r="R1153" s="80"/>
      <c r="T1153" s="93"/>
      <c r="U1153" s="94"/>
      <c r="V1153" s="95"/>
      <c r="W1153" s="96"/>
      <c r="Y1153" s="85"/>
      <c r="Z1153" s="86"/>
      <c r="AA1153" s="87"/>
      <c r="AB1153" s="88"/>
      <c r="AD1153" s="77"/>
      <c r="AF1153" s="54" t="str" cm="1">
        <f t="array" aca="1" ref="AF1153" ca="1">IF(H1153=0,"",HYPERLINK("#"&amp;RIGHT(CELL("adresse",OFFSET('DM01-AV-CH'!$G$6,H1153-1,0)),LEN(CELL("adresse",OFFSET('DM01-AV-CH'!$G$6,H1153-1,0)))-FIND("]",CELL("adresse",OFFSET('DM01-AV-CH'!$G$6,H1153-1,0)))),"Modell"))</f>
        <v/>
      </c>
      <c r="AG1153" s="72" t="str" cm="1">
        <f t="array" ref="AG1153">IF($H1153=0,"",IF(INDEX('DM01-AV-CH'!G$6:G$834,$H1153)="","",INDEX('DM01-AV-CH'!G$6:G$834,$H1153)))</f>
        <v/>
      </c>
      <c r="AH1153" s="73" t="str" cm="1">
        <f t="array" ref="AH1153">IF($H1153=0,"",IF(INDEX('DM01-AV-CH'!H$6:H$834,$H1153)="","",INDEX('DM01-AV-CH'!H$6:H$834,$H1153)))</f>
        <v/>
      </c>
      <c r="AI1153" s="74" t="str" cm="1">
        <f t="array" ref="AI1153">IF($H1153=0,"",IF(INDEX('DM01-AV-CH'!I$6:I$834,$H1153)="","",INDEX('DM01-AV-CH'!I$6:I$834,$H1153)))</f>
        <v/>
      </c>
    </row>
    <row r="1154" spans="1:35" x14ac:dyDescent="0.25">
      <c r="A1154" s="57">
        <v>1149</v>
      </c>
      <c r="B1154" s="57">
        <f>IF($A1154="","",IF(_xlfn.XLOOKUP($A1154,Korrelation!$D$4:$D$1197,Korrelation!E$4:E$1197,"-",0)="-",0,MATCH(_xlfn.XLOOKUP($A1154,Korrelation!$D$4:$D$1197,Korrelation!E$4:E$1197,"",0),DMAV_Modell!$G$6:$G$677,0)))</f>
        <v>647</v>
      </c>
      <c r="C1154" s="57">
        <f>IF($A1154="","",IF(_xlfn.XLOOKUP($A1154,Korrelation!$D$4:$D$1197,Korrelation!F$4:F$1197,"-",0)="-",0,MATCH(_xlfn.XLOOKUP($A1154,Korrelation!$D$4:$D$1197,Korrelation!F$4:F$1197,"",0),DMAV_Modell!$G$6:$G$677,0)))</f>
        <v>0</v>
      </c>
      <c r="D1154" s="57">
        <f>IF($A1154="","",IF(_xlfn.XLOOKUP($A1154,Korrelation!$D$4:$D$1197,Korrelation!G$4:G$1197,"-",0)="-",0,MATCH(_xlfn.XLOOKUP($A1154,Korrelation!$D$4:$D$1197,Korrelation!G$4:G$1197,"",0),DMAV_Modell!$G$6:$G$677,0)))</f>
        <v>0</v>
      </c>
      <c r="E1154" s="57">
        <f>IF($A1154="","",IF(_xlfn.XLOOKUP($A1154,Korrelation!$D$4:$D$1197,Korrelation!H$4:H$1197,"-",0)="-",0,MATCH(_xlfn.XLOOKUP($A1154,Korrelation!$D$4:$D$1197,Korrelation!H$4:H$1197,"",0),DMAV_Dienste!$F$6:$F$140,0)))</f>
        <v>0</v>
      </c>
      <c r="F1154" s="57">
        <f>IF($A1154="","",IF(_xlfn.XLOOKUP($A1154,Korrelation!$D$4:$D$1197,Korrelation!I$4:I$1197,"-",0)="-",0,MATCH(_xlfn.XLOOKUP($A1154,Korrelation!$D$4:$D$1197,Korrelation!I$4:I$1197,"",0),DMAV_Dienste!$F$6:$F$140,0)))</f>
        <v>0</v>
      </c>
      <c r="G1154" s="57">
        <f>IF($A1154="","",IF(_xlfn.XLOOKUP($A1154,Korrelation!$D$4:$D$1197,Korrelation!J$4:J$1197,"-",0)="-",0,MATCH(_xlfn.XLOOKUP($A1154,Korrelation!$D$4:$D$1197,Korrelation!J$4:J$1197,"",0),DMAV_Dienste!$F$6:$F$140,0)))</f>
        <v>0</v>
      </c>
      <c r="H1154" s="57">
        <f>IF($A1154="","",IF(_xlfn.XLOOKUP($A1154,Korrelation!$D$4:$D$1197,Korrelation!K$4:K$1197,"-",0)="-",0,MATCH(_xlfn.XLOOKUP($A1154,Korrelation!$D$4:$D$1197,Korrelation!K$4:K$1197,"",0),'DM01-AV-CH'!$A$6:$A$834,0)))</f>
        <v>0</v>
      </c>
      <c r="J1154" s="54" t="str" cm="1">
        <f t="array" aca="1" ref="J1154" ca="1">IF(B1154=0,IF(E1154=0,"",HYPERLINK("#"&amp;RIGHT(CELL("adresse",OFFSET(DMAV_Dienste!$M$6,E1154-1,0)),LEN(CELL("adresse",OFFSET(DMAV_Dienste!$M$6,E1154-1,0)))-FIND("]",CELL("adresse",OFFSET(DMAV_Dienste!$M$6,E1154-1,0)))),"Dienst")),HYPERLINK("#"&amp;RIGHT(CELL("adresse",OFFSET(DMAV_Modell!$N$6,B1154-1,0)),LEN(CELL("adresse",OFFSET(DMAV_Modell!$N$6,B1154-1,0)))-FIND("]",CELL("adresse",OFFSET(DMAV_Modell!$N$6,B1154-1,0)))),"Modell"))</f>
        <v>Modell</v>
      </c>
      <c r="K1154" s="61" t="str" cm="1">
        <f t="array" ref="K1154">IF($B1154=0,IF($E1154=0,"",IF(INDEX(DMAV_Dienste!P$6:P$140,$E1154)="","",INDEX(DMAV_Dienste!P$6:P$140,$E1154))),IF(INDEX(DMAV_Modell!Q$6:Q$838,$B1154)="","",INDEX(DMAV_Modell!Q$6:Q$838,$B1154)))</f>
        <v>ASSOCIATION</v>
      </c>
      <c r="L1154" s="62" t="str" cm="1">
        <f t="array" ref="L1154">IF($B1154=0,IF($E1154=0,"",IF(INDEX(DMAV_Dienste!O$6:O$140,$E1154)="","",INDEX(DMAV_Dienste!O$6:O$140,$E1154))),IF(INDEX(DMAV_Modell!P$6:P$838,$B1154)="","",INDEX(DMAV_Modell!P$6:P$838,$B1154)))</f>
        <v>Gebaeudeadressen</v>
      </c>
      <c r="M1154" s="62" t="str" cm="1">
        <f t="array" ref="M1154">IF($B1154=0,IF($E1154=0,"",IF(INDEX(DMAV_Dienste!Q$6:Q$140,$E1154)="","",INDEX(DMAV_Dienste!Q$6:Q$140,$E1154))),IF(INDEX(DMAV_Modell!R$6:R$838,$B1154)="","",INDEX(DMAV_Modell!R$6:R$838,$B1154)))</f>
        <v>Entstehung_Lokalisation</v>
      </c>
      <c r="N1154" s="62" t="str" cm="1">
        <f t="array" ref="N1154">IF($B1154=0,IF($E1154=0,"",IF(INDEX(DMAV_Dienste!T$6:T$140,$E1154)="","",INDEX(DMAV_Dienste!T$6:T$140,$E1154))),IF(INDEX(DMAV_Modell!U$6:U$838,$B1154)="","",INDEX(DMAV_Modell!U$6:U$838,$B1154)))</f>
        <v>entstehende_Lokalisation</v>
      </c>
      <c r="O1154" s="63" t="str" cm="1">
        <f t="array" aca="1" ref="O1154" ca="1">IF(C1154=0,IF(F1154=0,"",HYPERLINK("#"&amp;RIGHT(CELL("adresse",OFFSET(DMAV_Dienste!$M$6,F1154-1,0)),LEN(CELL("adresse",OFFSET(DMAV_Dienste!$M$6,F1154-1,0)))-FIND("]",CELL("adresse",OFFSET(DMAV_Dienste!$M$6,F1154-1,0)))),"Structure")),HYPERLINK("#"&amp;RIGHT(CELL("adresse",OFFSET(DMAV_Modell!$N$6,C1154-1,0)),LEN(CELL("adresse",OFFSET(DMAV_Modell!$N$6,C1154-1,0)))-FIND("]",CELL("adresse",OFFSET(DMAV_Modell!$N$6,C1154-1,0)))),"Structure"))</f>
        <v/>
      </c>
      <c r="P1154" s="64" t="str" cm="1">
        <f t="array" aca="1" ref="P1154" ca="1">IF(D1154=0,IF(G1154=0,"",HYPERLINK("#"&amp;RIGHT(CELL("adresse",OFFSET(DMAV_Dienste!$M$6,G1154-1,0)),LEN(CELL("adresse",OFFSET(DMAV_Dienste!$M$6,G1154-1,0)))-FIND("]",CELL("adresse",OFFSET(DMAV_Dienste!$M$6,G1154-1,0)))),"Substructure")),HYPERLINK("#"&amp;RIGHT(CELL("adresse",OFFSET(DMAV_Modell!$N$6,D1154-1,0)),LEN(CELL("adresse",OFFSET(DMAV_Modell!$N$6,D1154-1,0)))-FIND("]",CELL("adresse",OFFSET(DMAV_Modell!$N$6,D1154-1,0)))),"Substructure"))</f>
        <v/>
      </c>
      <c r="R1154" s="80"/>
      <c r="T1154" s="93"/>
      <c r="U1154" s="94"/>
      <c r="V1154" s="95"/>
      <c r="W1154" s="96"/>
      <c r="Y1154" s="85"/>
      <c r="Z1154" s="86"/>
      <c r="AA1154" s="87"/>
      <c r="AB1154" s="88"/>
      <c r="AD1154" s="77"/>
      <c r="AF1154" s="54" t="str" cm="1">
        <f t="array" aca="1" ref="AF1154" ca="1">IF(H1154=0,"",HYPERLINK("#"&amp;RIGHT(CELL("adresse",OFFSET('DM01-AV-CH'!$G$6,H1154-1,0)),LEN(CELL("adresse",OFFSET('DM01-AV-CH'!$G$6,H1154-1,0)))-FIND("]",CELL("adresse",OFFSET('DM01-AV-CH'!$G$6,H1154-1,0)))),"Modell"))</f>
        <v/>
      </c>
      <c r="AG1154" s="72" t="str" cm="1">
        <f t="array" ref="AG1154">IF($H1154=0,"",IF(INDEX('DM01-AV-CH'!G$6:G$834,$H1154)="","",INDEX('DM01-AV-CH'!G$6:G$834,$H1154)))</f>
        <v/>
      </c>
      <c r="AH1154" s="73" t="str" cm="1">
        <f t="array" ref="AH1154">IF($H1154=0,"",IF(INDEX('DM01-AV-CH'!H$6:H$834,$H1154)="","",INDEX('DM01-AV-CH'!H$6:H$834,$H1154)))</f>
        <v/>
      </c>
      <c r="AI1154" s="74" t="str" cm="1">
        <f t="array" ref="AI1154">IF($H1154=0,"",IF(INDEX('DM01-AV-CH'!I$6:I$834,$H1154)="","",INDEX('DM01-AV-CH'!I$6:I$834,$H1154)))</f>
        <v/>
      </c>
    </row>
    <row r="1155" spans="1:35" x14ac:dyDescent="0.25">
      <c r="A1155" s="57">
        <v>1150</v>
      </c>
      <c r="B1155" s="57">
        <f>IF($A1155="","",IF(_xlfn.XLOOKUP($A1155,Korrelation!$D$4:$D$1197,Korrelation!E$4:E$1197,"-",0)="-",0,MATCH(_xlfn.XLOOKUP($A1155,Korrelation!$D$4:$D$1197,Korrelation!E$4:E$1197,"",0),DMAV_Modell!$G$6:$G$677,0)))</f>
        <v>648</v>
      </c>
      <c r="C1155" s="57">
        <f>IF($A1155="","",IF(_xlfn.XLOOKUP($A1155,Korrelation!$D$4:$D$1197,Korrelation!F$4:F$1197,"-",0)="-",0,MATCH(_xlfn.XLOOKUP($A1155,Korrelation!$D$4:$D$1197,Korrelation!F$4:F$1197,"",0),DMAV_Modell!$G$6:$G$677,0)))</f>
        <v>0</v>
      </c>
      <c r="D1155" s="57">
        <f>IF($A1155="","",IF(_xlfn.XLOOKUP($A1155,Korrelation!$D$4:$D$1197,Korrelation!G$4:G$1197,"-",0)="-",0,MATCH(_xlfn.XLOOKUP($A1155,Korrelation!$D$4:$D$1197,Korrelation!G$4:G$1197,"",0),DMAV_Modell!$G$6:$G$677,0)))</f>
        <v>0</v>
      </c>
      <c r="E1155" s="57">
        <f>IF($A1155="","",IF(_xlfn.XLOOKUP($A1155,Korrelation!$D$4:$D$1197,Korrelation!H$4:H$1197,"-",0)="-",0,MATCH(_xlfn.XLOOKUP($A1155,Korrelation!$D$4:$D$1197,Korrelation!H$4:H$1197,"",0),DMAV_Dienste!$F$6:$F$140,0)))</f>
        <v>0</v>
      </c>
      <c r="F1155" s="57">
        <f>IF($A1155="","",IF(_xlfn.XLOOKUP($A1155,Korrelation!$D$4:$D$1197,Korrelation!I$4:I$1197,"-",0)="-",0,MATCH(_xlfn.XLOOKUP($A1155,Korrelation!$D$4:$D$1197,Korrelation!I$4:I$1197,"",0),DMAV_Dienste!$F$6:$F$140,0)))</f>
        <v>0</v>
      </c>
      <c r="G1155" s="57">
        <f>IF($A1155="","",IF(_xlfn.XLOOKUP($A1155,Korrelation!$D$4:$D$1197,Korrelation!J$4:J$1197,"-",0)="-",0,MATCH(_xlfn.XLOOKUP($A1155,Korrelation!$D$4:$D$1197,Korrelation!J$4:J$1197,"",0),DMAV_Dienste!$F$6:$F$140,0)))</f>
        <v>0</v>
      </c>
      <c r="H1155" s="57">
        <f>IF($A1155="","",IF(_xlfn.XLOOKUP($A1155,Korrelation!$D$4:$D$1197,Korrelation!K$4:K$1197,"-",0)="-",0,MATCH(_xlfn.XLOOKUP($A1155,Korrelation!$D$4:$D$1197,Korrelation!K$4:K$1197,"",0),'DM01-AV-CH'!$A$6:$A$834,0)))</f>
        <v>0</v>
      </c>
      <c r="J1155" s="54" t="str" cm="1">
        <f t="array" aca="1" ref="J1155" ca="1">IF(B1155=0,IF(E1155=0,"",HYPERLINK("#"&amp;RIGHT(CELL("adresse",OFFSET(DMAV_Dienste!$M$6,E1155-1,0)),LEN(CELL("adresse",OFFSET(DMAV_Dienste!$M$6,E1155-1,0)))-FIND("]",CELL("adresse",OFFSET(DMAV_Dienste!$M$6,E1155-1,0)))),"Dienst")),HYPERLINK("#"&amp;RIGHT(CELL("adresse",OFFSET(DMAV_Modell!$N$6,B1155-1,0)),LEN(CELL("adresse",OFFSET(DMAV_Modell!$N$6,B1155-1,0)))-FIND("]",CELL("adresse",OFFSET(DMAV_Modell!$N$6,B1155-1,0)))),"Modell"))</f>
        <v>Modell</v>
      </c>
      <c r="K1155" s="61" t="str" cm="1">
        <f t="array" ref="K1155">IF($B1155=0,IF($E1155=0,"",IF(INDEX(DMAV_Dienste!P$6:P$140,$E1155)="","",INDEX(DMAV_Dienste!P$6:P$140,$E1155))),IF(INDEX(DMAV_Modell!Q$6:Q$838,$B1155)="","",INDEX(DMAV_Modell!Q$6:Q$838,$B1155)))</f>
        <v>STRUCTURE</v>
      </c>
      <c r="L1155" s="62" t="str" cm="1">
        <f t="array" ref="L1155">IF($B1155=0,IF($E1155=0,"",IF(INDEX(DMAV_Dienste!O$6:O$140,$E1155)="","",INDEX(DMAV_Dienste!O$6:O$140,$E1155))),IF(INDEX(DMAV_Modell!P$6:P$838,$B1155)="","",INDEX(DMAV_Modell!P$6:P$838,$B1155)))</f>
        <v>Gebaeudeadressen</v>
      </c>
      <c r="M1155" s="62" t="str" cm="1">
        <f t="array" ref="M1155">IF($B1155=0,IF($E1155=0,"",IF(INDEX(DMAV_Dienste!Q$6:Q$140,$E1155)="","",INDEX(DMAV_Dienste!Q$6:Q$140,$E1155))),IF(INDEX(DMAV_Modell!R$6:R$838,$B1155)="","",INDEX(DMAV_Modell!R$6:R$838,$B1155)))</f>
        <v>Gebaeudename</v>
      </c>
      <c r="N1155" s="62" t="str" cm="1">
        <f t="array" ref="N1155">IF($B1155=0,IF($E1155=0,"",IF(INDEX(DMAV_Dienste!T$6:T$140,$E1155)="","",INDEX(DMAV_Dienste!T$6:T$140,$E1155))),IF(INDEX(DMAV_Modell!U$6:U$838,$B1155)="","",INDEX(DMAV_Modell!U$6:U$838,$B1155)))</f>
        <v>Name</v>
      </c>
      <c r="O1155" s="63" t="str" cm="1">
        <f t="array" aca="1" ref="O1155" ca="1">IF(C1155=0,IF(F1155=0,"",HYPERLINK("#"&amp;RIGHT(CELL("adresse",OFFSET(DMAV_Dienste!$M$6,F1155-1,0)),LEN(CELL("adresse",OFFSET(DMAV_Dienste!$M$6,F1155-1,0)))-FIND("]",CELL("adresse",OFFSET(DMAV_Dienste!$M$6,F1155-1,0)))),"Structure")),HYPERLINK("#"&amp;RIGHT(CELL("adresse",OFFSET(DMAV_Modell!$N$6,C1155-1,0)),LEN(CELL("adresse",OFFSET(DMAV_Modell!$N$6,C1155-1,0)))-FIND("]",CELL("adresse",OFFSET(DMAV_Modell!$N$6,C1155-1,0)))),"Structure"))</f>
        <v/>
      </c>
      <c r="P1155" s="64" t="str" cm="1">
        <f t="array" aca="1" ref="P1155" ca="1">IF(D1155=0,IF(G1155=0,"",HYPERLINK("#"&amp;RIGHT(CELL("adresse",OFFSET(DMAV_Dienste!$M$6,G1155-1,0)),LEN(CELL("adresse",OFFSET(DMAV_Dienste!$M$6,G1155-1,0)))-FIND("]",CELL("adresse",OFFSET(DMAV_Dienste!$M$6,G1155-1,0)))),"Substructure")),HYPERLINK("#"&amp;RIGHT(CELL("adresse",OFFSET(DMAV_Modell!$N$6,D1155-1,0)),LEN(CELL("adresse",OFFSET(DMAV_Modell!$N$6,D1155-1,0)))-FIND("]",CELL("adresse",OFFSET(DMAV_Modell!$N$6,D1155-1,0)))),"Substructure"))</f>
        <v/>
      </c>
      <c r="R1155" s="80"/>
      <c r="T1155" s="93"/>
      <c r="U1155" s="94"/>
      <c r="V1155" s="95"/>
      <c r="W1155" s="96"/>
      <c r="Y1155" s="85"/>
      <c r="Z1155" s="86"/>
      <c r="AA1155" s="87"/>
      <c r="AB1155" s="88"/>
      <c r="AD1155" s="77"/>
      <c r="AF1155" s="54" t="str" cm="1">
        <f t="array" aca="1" ref="AF1155" ca="1">IF(H1155=0,"",HYPERLINK("#"&amp;RIGHT(CELL("adresse",OFFSET('DM01-AV-CH'!$G$6,H1155-1,0)),LEN(CELL("adresse",OFFSET('DM01-AV-CH'!$G$6,H1155-1,0)))-FIND("]",CELL("adresse",OFFSET('DM01-AV-CH'!$G$6,H1155-1,0)))),"Modell"))</f>
        <v/>
      </c>
      <c r="AG1155" s="72" t="str" cm="1">
        <f t="array" ref="AG1155">IF($H1155=0,"",IF(INDEX('DM01-AV-CH'!G$6:G$834,$H1155)="","",INDEX('DM01-AV-CH'!G$6:G$834,$H1155)))</f>
        <v/>
      </c>
      <c r="AH1155" s="73" t="str" cm="1">
        <f t="array" ref="AH1155">IF($H1155=0,"",IF(INDEX('DM01-AV-CH'!H$6:H$834,$H1155)="","",INDEX('DM01-AV-CH'!H$6:H$834,$H1155)))</f>
        <v/>
      </c>
      <c r="AI1155" s="74" t="str" cm="1">
        <f t="array" ref="AI1155">IF($H1155=0,"",IF(INDEX('DM01-AV-CH'!I$6:I$834,$H1155)="","",INDEX('DM01-AV-CH'!I$6:I$834,$H1155)))</f>
        <v/>
      </c>
    </row>
    <row r="1156" spans="1:35" x14ac:dyDescent="0.25">
      <c r="A1156" s="57">
        <v>1151</v>
      </c>
      <c r="B1156" s="57">
        <f>IF($A1156="","",IF(_xlfn.XLOOKUP($A1156,Korrelation!$D$4:$D$1197,Korrelation!E$4:E$1197,"-",0)="-",0,MATCH(_xlfn.XLOOKUP($A1156,Korrelation!$D$4:$D$1197,Korrelation!E$4:E$1197,"",0),DMAV_Modell!$G$6:$G$677,0)))</f>
        <v>649</v>
      </c>
      <c r="C1156" s="57">
        <f>IF($A1156="","",IF(_xlfn.XLOOKUP($A1156,Korrelation!$D$4:$D$1197,Korrelation!F$4:F$1197,"-",0)="-",0,MATCH(_xlfn.XLOOKUP($A1156,Korrelation!$D$4:$D$1197,Korrelation!F$4:F$1197,"",0),DMAV_Modell!$G$6:$G$677,0)))</f>
        <v>0</v>
      </c>
      <c r="D1156" s="57">
        <f>IF($A1156="","",IF(_xlfn.XLOOKUP($A1156,Korrelation!$D$4:$D$1197,Korrelation!G$4:G$1197,"-",0)="-",0,MATCH(_xlfn.XLOOKUP($A1156,Korrelation!$D$4:$D$1197,Korrelation!G$4:G$1197,"",0),DMAV_Modell!$G$6:$G$677,0)))</f>
        <v>0</v>
      </c>
      <c r="E1156" s="57">
        <f>IF($A1156="","",IF(_xlfn.XLOOKUP($A1156,Korrelation!$D$4:$D$1197,Korrelation!H$4:H$1197,"-",0)="-",0,MATCH(_xlfn.XLOOKUP($A1156,Korrelation!$D$4:$D$1197,Korrelation!H$4:H$1197,"",0),DMAV_Dienste!$F$6:$F$140,0)))</f>
        <v>0</v>
      </c>
      <c r="F1156" s="57">
        <f>IF($A1156="","",IF(_xlfn.XLOOKUP($A1156,Korrelation!$D$4:$D$1197,Korrelation!I$4:I$1197,"-",0)="-",0,MATCH(_xlfn.XLOOKUP($A1156,Korrelation!$D$4:$D$1197,Korrelation!I$4:I$1197,"",0),DMAV_Dienste!$F$6:$F$140,0)))</f>
        <v>0</v>
      </c>
      <c r="G1156" s="57">
        <f>IF($A1156="","",IF(_xlfn.XLOOKUP($A1156,Korrelation!$D$4:$D$1197,Korrelation!J$4:J$1197,"-",0)="-",0,MATCH(_xlfn.XLOOKUP($A1156,Korrelation!$D$4:$D$1197,Korrelation!J$4:J$1197,"",0),DMAV_Dienste!$F$6:$F$140,0)))</f>
        <v>0</v>
      </c>
      <c r="H1156" s="57">
        <f>IF($A1156="","",IF(_xlfn.XLOOKUP($A1156,Korrelation!$D$4:$D$1197,Korrelation!K$4:K$1197,"-",0)="-",0,MATCH(_xlfn.XLOOKUP($A1156,Korrelation!$D$4:$D$1197,Korrelation!K$4:K$1197,"",0),'DM01-AV-CH'!$A$6:$A$834,0)))</f>
        <v>0</v>
      </c>
      <c r="J1156" s="54" t="str" cm="1">
        <f t="array" aca="1" ref="J1156" ca="1">IF(B1156=0,IF(E1156=0,"",HYPERLINK("#"&amp;RIGHT(CELL("adresse",OFFSET(DMAV_Dienste!$M$6,E1156-1,0)),LEN(CELL("adresse",OFFSET(DMAV_Dienste!$M$6,E1156-1,0)))-FIND("]",CELL("adresse",OFFSET(DMAV_Dienste!$M$6,E1156-1,0)))),"Dienst")),HYPERLINK("#"&amp;RIGHT(CELL("adresse",OFFSET(DMAV_Modell!$N$6,B1156-1,0)),LEN(CELL("adresse",OFFSET(DMAV_Modell!$N$6,B1156-1,0)))-FIND("]",CELL("adresse",OFFSET(DMAV_Modell!$N$6,B1156-1,0)))),"Modell"))</f>
        <v>Modell</v>
      </c>
      <c r="K1156" s="61" t="str" cm="1">
        <f t="array" ref="K1156">IF($B1156=0,IF($E1156=0,"",IF(INDEX(DMAV_Dienste!P$6:P$140,$E1156)="","",INDEX(DMAV_Dienste!P$6:P$140,$E1156))),IF(INDEX(DMAV_Modell!Q$6:Q$838,$B1156)="","",INDEX(DMAV_Modell!Q$6:Q$838,$B1156)))</f>
        <v>STRUCTURE</v>
      </c>
      <c r="L1156" s="62" t="str" cm="1">
        <f t="array" ref="L1156">IF($B1156=0,IF($E1156=0,"",IF(INDEX(DMAV_Dienste!O$6:O$140,$E1156)="","",INDEX(DMAV_Dienste!O$6:O$140,$E1156))),IF(INDEX(DMAV_Modell!P$6:P$838,$B1156)="","",INDEX(DMAV_Modell!P$6:P$838,$B1156)))</f>
        <v>Gebaeudeadressen</v>
      </c>
      <c r="M1156" s="62" t="str" cm="1">
        <f t="array" ref="M1156">IF($B1156=0,IF($E1156=0,"",IF(INDEX(DMAV_Dienste!Q$6:Q$140,$E1156)="","",INDEX(DMAV_Dienste!Q$6:Q$140,$E1156))),IF(INDEX(DMAV_Modell!R$6:R$838,$B1156)="","",INDEX(DMAV_Modell!R$6:R$838,$B1156)))</f>
        <v>Gebaeudename</v>
      </c>
      <c r="N1156" s="62" t="str" cm="1">
        <f t="array" ref="N1156">IF($B1156=0,IF($E1156=0,"",IF(INDEX(DMAV_Dienste!T$6:T$140,$E1156)="","",INDEX(DMAV_Dienste!T$6:T$140,$E1156))),IF(INDEX(DMAV_Modell!U$6:U$838,$B1156)="","",INDEX(DMAV_Modell!U$6:U$838,$B1156)))</f>
        <v>NameKurz</v>
      </c>
      <c r="O1156" s="63" t="str" cm="1">
        <f t="array" aca="1" ref="O1156" ca="1">IF(C1156=0,IF(F1156=0,"",HYPERLINK("#"&amp;RIGHT(CELL("adresse",OFFSET(DMAV_Dienste!$M$6,F1156-1,0)),LEN(CELL("adresse",OFFSET(DMAV_Dienste!$M$6,F1156-1,0)))-FIND("]",CELL("adresse",OFFSET(DMAV_Dienste!$M$6,F1156-1,0)))),"Structure")),HYPERLINK("#"&amp;RIGHT(CELL("adresse",OFFSET(DMAV_Modell!$N$6,C1156-1,0)),LEN(CELL("adresse",OFFSET(DMAV_Modell!$N$6,C1156-1,0)))-FIND("]",CELL("adresse",OFFSET(DMAV_Modell!$N$6,C1156-1,0)))),"Structure"))</f>
        <v/>
      </c>
      <c r="P1156" s="64" t="str" cm="1">
        <f t="array" aca="1" ref="P1156" ca="1">IF(D1156=0,IF(G1156=0,"",HYPERLINK("#"&amp;RIGHT(CELL("adresse",OFFSET(DMAV_Dienste!$M$6,G1156-1,0)),LEN(CELL("adresse",OFFSET(DMAV_Dienste!$M$6,G1156-1,0)))-FIND("]",CELL("adresse",OFFSET(DMAV_Dienste!$M$6,G1156-1,0)))),"Substructure")),HYPERLINK("#"&amp;RIGHT(CELL("adresse",OFFSET(DMAV_Modell!$N$6,D1156-1,0)),LEN(CELL("adresse",OFFSET(DMAV_Modell!$N$6,D1156-1,0)))-FIND("]",CELL("adresse",OFFSET(DMAV_Modell!$N$6,D1156-1,0)))),"Substructure"))</f>
        <v/>
      </c>
      <c r="R1156" s="80"/>
      <c r="T1156" s="93"/>
      <c r="U1156" s="94"/>
      <c r="V1156" s="95"/>
      <c r="W1156" s="96"/>
      <c r="Y1156" s="85"/>
      <c r="Z1156" s="86"/>
      <c r="AA1156" s="87"/>
      <c r="AB1156" s="88"/>
      <c r="AD1156" s="77"/>
      <c r="AF1156" s="54" t="str" cm="1">
        <f t="array" aca="1" ref="AF1156" ca="1">IF(H1156=0,"",HYPERLINK("#"&amp;RIGHT(CELL("adresse",OFFSET('DM01-AV-CH'!$G$6,H1156-1,0)),LEN(CELL("adresse",OFFSET('DM01-AV-CH'!$G$6,H1156-1,0)))-FIND("]",CELL("adresse",OFFSET('DM01-AV-CH'!$G$6,H1156-1,0)))),"Modell"))</f>
        <v/>
      </c>
      <c r="AG1156" s="72" t="str" cm="1">
        <f t="array" ref="AG1156">IF($H1156=0,"",IF(INDEX('DM01-AV-CH'!G$6:G$834,$H1156)="","",INDEX('DM01-AV-CH'!G$6:G$834,$H1156)))</f>
        <v/>
      </c>
      <c r="AH1156" s="73" t="str" cm="1">
        <f t="array" ref="AH1156">IF($H1156=0,"",IF(INDEX('DM01-AV-CH'!H$6:H$834,$H1156)="","",INDEX('DM01-AV-CH'!H$6:H$834,$H1156)))</f>
        <v/>
      </c>
      <c r="AI1156" s="74" t="str" cm="1">
        <f t="array" ref="AI1156">IF($H1156=0,"",IF(INDEX('DM01-AV-CH'!I$6:I$834,$H1156)="","",INDEX('DM01-AV-CH'!I$6:I$834,$H1156)))</f>
        <v/>
      </c>
    </row>
    <row r="1157" spans="1:35" x14ac:dyDescent="0.25">
      <c r="A1157" s="57">
        <v>1152</v>
      </c>
      <c r="B1157" s="57">
        <f>IF($A1157="","",IF(_xlfn.XLOOKUP($A1157,Korrelation!$D$4:$D$1197,Korrelation!E$4:E$1197,"-",0)="-",0,MATCH(_xlfn.XLOOKUP($A1157,Korrelation!$D$4:$D$1197,Korrelation!E$4:E$1197,"",0),DMAV_Modell!$G$6:$G$677,0)))</f>
        <v>650</v>
      </c>
      <c r="C1157" s="57">
        <f>IF($A1157="","",IF(_xlfn.XLOOKUP($A1157,Korrelation!$D$4:$D$1197,Korrelation!F$4:F$1197,"-",0)="-",0,MATCH(_xlfn.XLOOKUP($A1157,Korrelation!$D$4:$D$1197,Korrelation!F$4:F$1197,"",0),DMAV_Modell!$G$6:$G$677,0)))</f>
        <v>0</v>
      </c>
      <c r="D1157" s="57">
        <f>IF($A1157="","",IF(_xlfn.XLOOKUP($A1157,Korrelation!$D$4:$D$1197,Korrelation!G$4:G$1197,"-",0)="-",0,MATCH(_xlfn.XLOOKUP($A1157,Korrelation!$D$4:$D$1197,Korrelation!G$4:G$1197,"",0),DMAV_Modell!$G$6:$G$677,0)))</f>
        <v>0</v>
      </c>
      <c r="E1157" s="57">
        <f>IF($A1157="","",IF(_xlfn.XLOOKUP($A1157,Korrelation!$D$4:$D$1197,Korrelation!H$4:H$1197,"-",0)="-",0,MATCH(_xlfn.XLOOKUP($A1157,Korrelation!$D$4:$D$1197,Korrelation!H$4:H$1197,"",0),DMAV_Dienste!$F$6:$F$140,0)))</f>
        <v>0</v>
      </c>
      <c r="F1157" s="57">
        <f>IF($A1157="","",IF(_xlfn.XLOOKUP($A1157,Korrelation!$D$4:$D$1197,Korrelation!I$4:I$1197,"-",0)="-",0,MATCH(_xlfn.XLOOKUP($A1157,Korrelation!$D$4:$D$1197,Korrelation!I$4:I$1197,"",0),DMAV_Dienste!$F$6:$F$140,0)))</f>
        <v>0</v>
      </c>
      <c r="G1157" s="57">
        <f>IF($A1157="","",IF(_xlfn.XLOOKUP($A1157,Korrelation!$D$4:$D$1197,Korrelation!J$4:J$1197,"-",0)="-",0,MATCH(_xlfn.XLOOKUP($A1157,Korrelation!$D$4:$D$1197,Korrelation!J$4:J$1197,"",0),DMAV_Dienste!$F$6:$F$140,0)))</f>
        <v>0</v>
      </c>
      <c r="H1157" s="57">
        <f>IF($A1157="","",IF(_xlfn.XLOOKUP($A1157,Korrelation!$D$4:$D$1197,Korrelation!K$4:K$1197,"-",0)="-",0,MATCH(_xlfn.XLOOKUP($A1157,Korrelation!$D$4:$D$1197,Korrelation!K$4:K$1197,"",0),'DM01-AV-CH'!$A$6:$A$834,0)))</f>
        <v>0</v>
      </c>
      <c r="J1157" s="54" t="str" cm="1">
        <f t="array" aca="1" ref="J1157" ca="1">IF(B1157=0,IF(E1157=0,"",HYPERLINK("#"&amp;RIGHT(CELL("adresse",OFFSET(DMAV_Dienste!$M$6,E1157-1,0)),LEN(CELL("adresse",OFFSET(DMAV_Dienste!$M$6,E1157-1,0)))-FIND("]",CELL("adresse",OFFSET(DMAV_Dienste!$M$6,E1157-1,0)))),"Dienst")),HYPERLINK("#"&amp;RIGHT(CELL("adresse",OFFSET(DMAV_Modell!$N$6,B1157-1,0)),LEN(CELL("adresse",OFFSET(DMAV_Modell!$N$6,B1157-1,0)))-FIND("]",CELL("adresse",OFFSET(DMAV_Modell!$N$6,B1157-1,0)))),"Modell"))</f>
        <v>Modell</v>
      </c>
      <c r="K1157" s="61" t="str" cm="1">
        <f t="array" ref="K1157">IF($B1157=0,IF($E1157=0,"",IF(INDEX(DMAV_Dienste!P$6:P$140,$E1157)="","",INDEX(DMAV_Dienste!P$6:P$140,$E1157))),IF(INDEX(DMAV_Modell!Q$6:Q$838,$B1157)="","",INDEX(DMAV_Modell!Q$6:Q$838,$B1157)))</f>
        <v>STRUCTURE</v>
      </c>
      <c r="L1157" s="62" t="str" cm="1">
        <f t="array" ref="L1157">IF($B1157=0,IF($E1157=0,"",IF(INDEX(DMAV_Dienste!O$6:O$140,$E1157)="","",INDEX(DMAV_Dienste!O$6:O$140,$E1157))),IF(INDEX(DMAV_Modell!P$6:P$838,$B1157)="","",INDEX(DMAV_Modell!P$6:P$838,$B1157)))</f>
        <v>Gebaeudeadressen</v>
      </c>
      <c r="M1157" s="62" t="str" cm="1">
        <f t="array" ref="M1157">IF($B1157=0,IF($E1157=0,"",IF(INDEX(DMAV_Dienste!Q$6:Q$140,$E1157)="","",INDEX(DMAV_Dienste!Q$6:Q$140,$E1157))),IF(INDEX(DMAV_Modell!R$6:R$838,$B1157)="","",INDEX(DMAV_Modell!R$6:R$838,$B1157)))</f>
        <v>Gebaeudename</v>
      </c>
      <c r="N1157" s="62" t="str" cm="1">
        <f t="array" ref="N1157">IF($B1157=0,IF($E1157=0,"",IF(INDEX(DMAV_Dienste!T$6:T$140,$E1157)="","",INDEX(DMAV_Dienste!T$6:T$140,$E1157))),IF(INDEX(DMAV_Modell!U$6:U$838,$B1157)="","",INDEX(DMAV_Modell!U$6:U$838,$B1157)))</f>
        <v>NameAlsIndex</v>
      </c>
      <c r="O1157" s="63" t="str" cm="1">
        <f t="array" aca="1" ref="O1157" ca="1">IF(C1157=0,IF(F1157=0,"",HYPERLINK("#"&amp;RIGHT(CELL("adresse",OFFSET(DMAV_Dienste!$M$6,F1157-1,0)),LEN(CELL("adresse",OFFSET(DMAV_Dienste!$M$6,F1157-1,0)))-FIND("]",CELL("adresse",OFFSET(DMAV_Dienste!$M$6,F1157-1,0)))),"Structure")),HYPERLINK("#"&amp;RIGHT(CELL("adresse",OFFSET(DMAV_Modell!$N$6,C1157-1,0)),LEN(CELL("adresse",OFFSET(DMAV_Modell!$N$6,C1157-1,0)))-FIND("]",CELL("adresse",OFFSET(DMAV_Modell!$N$6,C1157-1,0)))),"Structure"))</f>
        <v/>
      </c>
      <c r="P1157" s="64" t="str" cm="1">
        <f t="array" aca="1" ref="P1157" ca="1">IF(D1157=0,IF(G1157=0,"",HYPERLINK("#"&amp;RIGHT(CELL("adresse",OFFSET(DMAV_Dienste!$M$6,G1157-1,0)),LEN(CELL("adresse",OFFSET(DMAV_Dienste!$M$6,G1157-1,0)))-FIND("]",CELL("adresse",OFFSET(DMAV_Dienste!$M$6,G1157-1,0)))),"Substructure")),HYPERLINK("#"&amp;RIGHT(CELL("adresse",OFFSET(DMAV_Modell!$N$6,D1157-1,0)),LEN(CELL("adresse",OFFSET(DMAV_Modell!$N$6,D1157-1,0)))-FIND("]",CELL("adresse",OFFSET(DMAV_Modell!$N$6,D1157-1,0)))),"Substructure"))</f>
        <v/>
      </c>
      <c r="R1157" s="80"/>
      <c r="T1157" s="93"/>
      <c r="U1157" s="94"/>
      <c r="V1157" s="95"/>
      <c r="W1157" s="96"/>
      <c r="Y1157" s="85"/>
      <c r="Z1157" s="86"/>
      <c r="AA1157" s="87"/>
      <c r="AB1157" s="88"/>
      <c r="AD1157" s="77"/>
      <c r="AF1157" s="54" t="str" cm="1">
        <f t="array" aca="1" ref="AF1157" ca="1">IF(H1157=0,"",HYPERLINK("#"&amp;RIGHT(CELL("adresse",OFFSET('DM01-AV-CH'!$G$6,H1157-1,0)),LEN(CELL("adresse",OFFSET('DM01-AV-CH'!$G$6,H1157-1,0)))-FIND("]",CELL("adresse",OFFSET('DM01-AV-CH'!$G$6,H1157-1,0)))),"Modell"))</f>
        <v/>
      </c>
      <c r="AG1157" s="72" t="str" cm="1">
        <f t="array" ref="AG1157">IF($H1157=0,"",IF(INDEX('DM01-AV-CH'!G$6:G$834,$H1157)="","",INDEX('DM01-AV-CH'!G$6:G$834,$H1157)))</f>
        <v/>
      </c>
      <c r="AH1157" s="73" t="str" cm="1">
        <f t="array" ref="AH1157">IF($H1157=0,"",IF(INDEX('DM01-AV-CH'!H$6:H$834,$H1157)="","",INDEX('DM01-AV-CH'!H$6:H$834,$H1157)))</f>
        <v/>
      </c>
      <c r="AI1157" s="74" t="str" cm="1">
        <f t="array" ref="AI1157">IF($H1157=0,"",IF(INDEX('DM01-AV-CH'!I$6:I$834,$H1157)="","",INDEX('DM01-AV-CH'!I$6:I$834,$H1157)))</f>
        <v/>
      </c>
    </row>
    <row r="1158" spans="1:35" x14ac:dyDescent="0.25">
      <c r="A1158" s="57">
        <v>1153</v>
      </c>
      <c r="B1158" s="57">
        <f>IF($A1158="","",IF(_xlfn.XLOOKUP($A1158,Korrelation!$D$4:$D$1197,Korrelation!E$4:E$1197,"-",0)="-",0,MATCH(_xlfn.XLOOKUP($A1158,Korrelation!$D$4:$D$1197,Korrelation!E$4:E$1197,"",0),DMAV_Modell!$G$6:$G$677,0)))</f>
        <v>651</v>
      </c>
      <c r="C1158" s="57">
        <f>IF($A1158="","",IF(_xlfn.XLOOKUP($A1158,Korrelation!$D$4:$D$1197,Korrelation!F$4:F$1197,"-",0)="-",0,MATCH(_xlfn.XLOOKUP($A1158,Korrelation!$D$4:$D$1197,Korrelation!F$4:F$1197,"",0),DMAV_Modell!$G$6:$G$677,0)))</f>
        <v>0</v>
      </c>
      <c r="D1158" s="57">
        <f>IF($A1158="","",IF(_xlfn.XLOOKUP($A1158,Korrelation!$D$4:$D$1197,Korrelation!G$4:G$1197,"-",0)="-",0,MATCH(_xlfn.XLOOKUP($A1158,Korrelation!$D$4:$D$1197,Korrelation!G$4:G$1197,"",0),DMAV_Modell!$G$6:$G$677,0)))</f>
        <v>0</v>
      </c>
      <c r="E1158" s="57">
        <f>IF($A1158="","",IF(_xlfn.XLOOKUP($A1158,Korrelation!$D$4:$D$1197,Korrelation!H$4:H$1197,"-",0)="-",0,MATCH(_xlfn.XLOOKUP($A1158,Korrelation!$D$4:$D$1197,Korrelation!H$4:H$1197,"",0),DMAV_Dienste!$F$6:$F$140,0)))</f>
        <v>0</v>
      </c>
      <c r="F1158" s="57">
        <f>IF($A1158="","",IF(_xlfn.XLOOKUP($A1158,Korrelation!$D$4:$D$1197,Korrelation!I$4:I$1197,"-",0)="-",0,MATCH(_xlfn.XLOOKUP($A1158,Korrelation!$D$4:$D$1197,Korrelation!I$4:I$1197,"",0),DMAV_Dienste!$F$6:$F$140,0)))</f>
        <v>0</v>
      </c>
      <c r="G1158" s="57">
        <f>IF($A1158="","",IF(_xlfn.XLOOKUP($A1158,Korrelation!$D$4:$D$1197,Korrelation!J$4:J$1197,"-",0)="-",0,MATCH(_xlfn.XLOOKUP($A1158,Korrelation!$D$4:$D$1197,Korrelation!J$4:J$1197,"",0),DMAV_Dienste!$F$6:$F$140,0)))</f>
        <v>0</v>
      </c>
      <c r="H1158" s="57">
        <f>IF($A1158="","",IF(_xlfn.XLOOKUP($A1158,Korrelation!$D$4:$D$1197,Korrelation!K$4:K$1197,"-",0)="-",0,MATCH(_xlfn.XLOOKUP($A1158,Korrelation!$D$4:$D$1197,Korrelation!K$4:K$1197,"",0),'DM01-AV-CH'!$A$6:$A$834,0)))</f>
        <v>0</v>
      </c>
      <c r="J1158" s="54" t="str" cm="1">
        <f t="array" aca="1" ref="J1158" ca="1">IF(B1158=0,IF(E1158=0,"",HYPERLINK("#"&amp;RIGHT(CELL("adresse",OFFSET(DMAV_Dienste!$M$6,E1158-1,0)),LEN(CELL("adresse",OFFSET(DMAV_Dienste!$M$6,E1158-1,0)))-FIND("]",CELL("adresse",OFFSET(DMAV_Dienste!$M$6,E1158-1,0)))),"Dienst")),HYPERLINK("#"&amp;RIGHT(CELL("adresse",OFFSET(DMAV_Modell!$N$6,B1158-1,0)),LEN(CELL("adresse",OFFSET(DMAV_Modell!$N$6,B1158-1,0)))-FIND("]",CELL("adresse",OFFSET(DMAV_Modell!$N$6,B1158-1,0)))),"Modell"))</f>
        <v>Modell</v>
      </c>
      <c r="K1158" s="61" t="str" cm="1">
        <f t="array" ref="K1158">IF($B1158=0,IF($E1158=0,"",IF(INDEX(DMAV_Dienste!P$6:P$140,$E1158)="","",INDEX(DMAV_Dienste!P$6:P$140,$E1158))),IF(INDEX(DMAV_Modell!Q$6:Q$838,$B1158)="","",INDEX(DMAV_Modell!Q$6:Q$838,$B1158)))</f>
        <v>STRUCTURE</v>
      </c>
      <c r="L1158" s="62" t="str" cm="1">
        <f t="array" ref="L1158">IF($B1158=0,IF($E1158=0,"",IF(INDEX(DMAV_Dienste!O$6:O$140,$E1158)="","",INDEX(DMAV_Dienste!O$6:O$140,$E1158))),IF(INDEX(DMAV_Modell!P$6:P$838,$B1158)="","",INDEX(DMAV_Modell!P$6:P$838,$B1158)))</f>
        <v>Gebaeudeadressen</v>
      </c>
      <c r="M1158" s="62" t="str" cm="1">
        <f t="array" ref="M1158">IF($B1158=0,IF($E1158=0,"",IF(INDEX(DMAV_Dienste!Q$6:Q$140,$E1158)="","",INDEX(DMAV_Dienste!Q$6:Q$140,$E1158))),IF(INDEX(DMAV_Modell!R$6:R$838,$B1158)="","",INDEX(DMAV_Modell!R$6:R$838,$B1158)))</f>
        <v>Gebaeudename</v>
      </c>
      <c r="N1158" s="62" t="str" cm="1">
        <f t="array" ref="N1158">IF($B1158=0,IF($E1158=0,"",IF(INDEX(DMAV_Dienste!T$6:T$140,$E1158)="","",INDEX(DMAV_Dienste!T$6:T$140,$E1158))),IF(INDEX(DMAV_Modell!U$6:U$838,$B1158)="","",INDEX(DMAV_Modell!U$6:U$838,$B1158)))</f>
        <v>Sprache</v>
      </c>
      <c r="O1158" s="63" t="str" cm="1">
        <f t="array" aca="1" ref="O1158" ca="1">IF(C1158=0,IF(F1158=0,"",HYPERLINK("#"&amp;RIGHT(CELL("adresse",OFFSET(DMAV_Dienste!$M$6,F1158-1,0)),LEN(CELL("adresse",OFFSET(DMAV_Dienste!$M$6,F1158-1,0)))-FIND("]",CELL("adresse",OFFSET(DMAV_Dienste!$M$6,F1158-1,0)))),"Structure")),HYPERLINK("#"&amp;RIGHT(CELL("adresse",OFFSET(DMAV_Modell!$N$6,C1158-1,0)),LEN(CELL("adresse",OFFSET(DMAV_Modell!$N$6,C1158-1,0)))-FIND("]",CELL("adresse",OFFSET(DMAV_Modell!$N$6,C1158-1,0)))),"Structure"))</f>
        <v/>
      </c>
      <c r="P1158" s="64" t="str" cm="1">
        <f t="array" aca="1" ref="P1158" ca="1">IF(D1158=0,IF(G1158=0,"",HYPERLINK("#"&amp;RIGHT(CELL("adresse",OFFSET(DMAV_Dienste!$M$6,G1158-1,0)),LEN(CELL("adresse",OFFSET(DMAV_Dienste!$M$6,G1158-1,0)))-FIND("]",CELL("adresse",OFFSET(DMAV_Dienste!$M$6,G1158-1,0)))),"Substructure")),HYPERLINK("#"&amp;RIGHT(CELL("adresse",OFFSET(DMAV_Modell!$N$6,D1158-1,0)),LEN(CELL("adresse",OFFSET(DMAV_Modell!$N$6,D1158-1,0)))-FIND("]",CELL("adresse",OFFSET(DMAV_Modell!$N$6,D1158-1,0)))),"Substructure"))</f>
        <v/>
      </c>
      <c r="R1158" s="80"/>
      <c r="T1158" s="93"/>
      <c r="U1158" s="94"/>
      <c r="V1158" s="95"/>
      <c r="W1158" s="96"/>
      <c r="Y1158" s="85"/>
      <c r="Z1158" s="86"/>
      <c r="AA1158" s="87"/>
      <c r="AB1158" s="88"/>
      <c r="AD1158" s="77"/>
      <c r="AF1158" s="54" t="str" cm="1">
        <f t="array" aca="1" ref="AF1158" ca="1">IF(H1158=0,"",HYPERLINK("#"&amp;RIGHT(CELL("adresse",OFFSET('DM01-AV-CH'!$G$6,H1158-1,0)),LEN(CELL("adresse",OFFSET('DM01-AV-CH'!$G$6,H1158-1,0)))-FIND("]",CELL("adresse",OFFSET('DM01-AV-CH'!$G$6,H1158-1,0)))),"Modell"))</f>
        <v/>
      </c>
      <c r="AG1158" s="72" t="str" cm="1">
        <f t="array" ref="AG1158">IF($H1158=0,"",IF(INDEX('DM01-AV-CH'!G$6:G$834,$H1158)="","",INDEX('DM01-AV-CH'!G$6:G$834,$H1158)))</f>
        <v/>
      </c>
      <c r="AH1158" s="73" t="str" cm="1">
        <f t="array" ref="AH1158">IF($H1158=0,"",IF(INDEX('DM01-AV-CH'!H$6:H$834,$H1158)="","",INDEX('DM01-AV-CH'!H$6:H$834,$H1158)))</f>
        <v/>
      </c>
      <c r="AI1158" s="74" t="str" cm="1">
        <f t="array" ref="AI1158">IF($H1158=0,"",IF(INDEX('DM01-AV-CH'!I$6:I$834,$H1158)="","",INDEX('DM01-AV-CH'!I$6:I$834,$H1158)))</f>
        <v/>
      </c>
    </row>
    <row r="1159" spans="1:35" x14ac:dyDescent="0.25">
      <c r="A1159" s="57">
        <v>1154</v>
      </c>
      <c r="B1159" s="57">
        <f>IF($A1159="","",IF(_xlfn.XLOOKUP($A1159,Korrelation!$D$4:$D$1197,Korrelation!E$4:E$1197,"-",0)="-",0,MATCH(_xlfn.XLOOKUP($A1159,Korrelation!$D$4:$D$1197,Korrelation!E$4:E$1197,"",0),DMAV_Modell!$G$6:$G$677,0)))</f>
        <v>652</v>
      </c>
      <c r="C1159" s="57">
        <f>IF($A1159="","",IF(_xlfn.XLOOKUP($A1159,Korrelation!$D$4:$D$1197,Korrelation!F$4:F$1197,"-",0)="-",0,MATCH(_xlfn.XLOOKUP($A1159,Korrelation!$D$4:$D$1197,Korrelation!F$4:F$1197,"",0),DMAV_Modell!$G$6:$G$677,0)))</f>
        <v>26</v>
      </c>
      <c r="D1159" s="57">
        <f>IF($A1159="","",IF(_xlfn.XLOOKUP($A1159,Korrelation!$D$4:$D$1197,Korrelation!G$4:G$1197,"-",0)="-",0,MATCH(_xlfn.XLOOKUP($A1159,Korrelation!$D$4:$D$1197,Korrelation!G$4:G$1197,"",0),DMAV_Modell!$G$6:$G$677,0)))</f>
        <v>0</v>
      </c>
      <c r="E1159" s="57">
        <f>IF($A1159="","",IF(_xlfn.XLOOKUP($A1159,Korrelation!$D$4:$D$1197,Korrelation!H$4:H$1197,"-",0)="-",0,MATCH(_xlfn.XLOOKUP($A1159,Korrelation!$D$4:$D$1197,Korrelation!H$4:H$1197,"",0),DMAV_Dienste!$F$6:$F$140,0)))</f>
        <v>0</v>
      </c>
      <c r="F1159" s="57">
        <f>IF($A1159="","",IF(_xlfn.XLOOKUP($A1159,Korrelation!$D$4:$D$1197,Korrelation!I$4:I$1197,"-",0)="-",0,MATCH(_xlfn.XLOOKUP($A1159,Korrelation!$D$4:$D$1197,Korrelation!I$4:I$1197,"",0),DMAV_Dienste!$F$6:$F$140,0)))</f>
        <v>0</v>
      </c>
      <c r="G1159" s="57">
        <f>IF($A1159="","",IF(_xlfn.XLOOKUP($A1159,Korrelation!$D$4:$D$1197,Korrelation!J$4:J$1197,"-",0)="-",0,MATCH(_xlfn.XLOOKUP($A1159,Korrelation!$D$4:$D$1197,Korrelation!J$4:J$1197,"",0),DMAV_Dienste!$F$6:$F$140,0)))</f>
        <v>0</v>
      </c>
      <c r="H1159" s="57">
        <f>IF($A1159="","",IF(_xlfn.XLOOKUP($A1159,Korrelation!$D$4:$D$1197,Korrelation!K$4:K$1197,"-",0)="-",0,MATCH(_xlfn.XLOOKUP($A1159,Korrelation!$D$4:$D$1197,Korrelation!K$4:K$1197,"",0),'DM01-AV-CH'!$A$6:$A$834,0)))</f>
        <v>0</v>
      </c>
      <c r="J1159" s="54" t="str" cm="1">
        <f t="array" aca="1" ref="J1159" ca="1">IF(B1159=0,IF(E1159=0,"",HYPERLINK("#"&amp;RIGHT(CELL("adresse",OFFSET(DMAV_Dienste!$M$6,E1159-1,0)),LEN(CELL("adresse",OFFSET(DMAV_Dienste!$M$6,E1159-1,0)))-FIND("]",CELL("adresse",OFFSET(DMAV_Dienste!$M$6,E1159-1,0)))),"Dienst")),HYPERLINK("#"&amp;RIGHT(CELL("adresse",OFFSET(DMAV_Modell!$N$6,B1159-1,0)),LEN(CELL("adresse",OFFSET(DMAV_Modell!$N$6,B1159-1,0)))-FIND("]",CELL("adresse",OFFSET(DMAV_Modell!$N$6,B1159-1,0)))),"Modell"))</f>
        <v>Modell</v>
      </c>
      <c r="K1159" s="61" t="str" cm="1">
        <f t="array" ref="K1159">IF($B1159=0,IF($E1159=0,"",IF(INDEX(DMAV_Dienste!P$6:P$140,$E1159)="","",INDEX(DMAV_Dienste!P$6:P$140,$E1159))),IF(INDEX(DMAV_Modell!Q$6:Q$838,$B1159)="","",INDEX(DMAV_Modell!Q$6:Q$838,$B1159)))</f>
        <v>STRUCTURE</v>
      </c>
      <c r="L1159" s="62" t="str" cm="1">
        <f t="array" ref="L1159">IF($B1159=0,IF($E1159=0,"",IF(INDEX(DMAV_Dienste!O$6:O$140,$E1159)="","",INDEX(DMAV_Dienste!O$6:O$140,$E1159))),IF(INDEX(DMAV_Modell!P$6:P$838,$B1159)="","",INDEX(DMAV_Modell!P$6:P$838,$B1159)))</f>
        <v>Gebaeudeadressen</v>
      </c>
      <c r="M1159" s="62" t="str" cm="1">
        <f t="array" ref="M1159">IF($B1159=0,IF($E1159=0,"",IF(INDEX(DMAV_Dienste!Q$6:Q$140,$E1159)="","",INDEX(DMAV_Dienste!Q$6:Q$140,$E1159))),IF(INDEX(DMAV_Modell!R$6:R$838,$B1159)="","",INDEX(DMAV_Modell!R$6:R$838,$B1159)))</f>
        <v>Gebaeudename</v>
      </c>
      <c r="N1159" s="62" t="str" cm="1">
        <f t="array" ref="N1159">IF($B1159=0,IF($E1159=0,"",IF(INDEX(DMAV_Dienste!T$6:T$140,$E1159)="","",INDEX(DMAV_Dienste!T$6:T$140,$E1159))),IF(INDEX(DMAV_Modell!U$6:U$838,$B1159)="","",INDEX(DMAV_Modell!U$6:U$838,$B1159)))</f>
        <v>Textposition</v>
      </c>
      <c r="O1159" s="63" t="str" cm="1">
        <f t="array" aca="1" ref="O1159" ca="1">IF(C1159=0,IF(F1159=0,"",HYPERLINK("#"&amp;RIGHT(CELL("adresse",OFFSET(DMAV_Dienste!$M$6,F1159-1,0)),LEN(CELL("adresse",OFFSET(DMAV_Dienste!$M$6,F1159-1,0)))-FIND("]",CELL("adresse",OFFSET(DMAV_Dienste!$M$6,F1159-1,0)))),"Structure")),HYPERLINK("#"&amp;RIGHT(CELL("adresse",OFFSET(DMAV_Modell!$N$6,C1159-1,0)),LEN(CELL("adresse",OFFSET(DMAV_Modell!$N$6,C1159-1,0)))-FIND("]",CELL("adresse",OFFSET(DMAV_Modell!$N$6,C1159-1,0)))),"Structure"))</f>
        <v>Structure</v>
      </c>
      <c r="P1159" s="64" t="str" cm="1">
        <f t="array" aca="1" ref="P1159" ca="1">IF(D1159=0,IF(G1159=0,"",HYPERLINK("#"&amp;RIGHT(CELL("adresse",OFFSET(DMAV_Dienste!$M$6,G1159-1,0)),LEN(CELL("adresse",OFFSET(DMAV_Dienste!$M$6,G1159-1,0)))-FIND("]",CELL("adresse",OFFSET(DMAV_Dienste!$M$6,G1159-1,0)))),"Substructure")),HYPERLINK("#"&amp;RIGHT(CELL("adresse",OFFSET(DMAV_Modell!$N$6,D1159-1,0)),LEN(CELL("adresse",OFFSET(DMAV_Modell!$N$6,D1159-1,0)))-FIND("]",CELL("adresse",OFFSET(DMAV_Modell!$N$6,D1159-1,0)))),"Substructure"))</f>
        <v/>
      </c>
      <c r="R1159" s="80"/>
      <c r="T1159" s="93"/>
      <c r="U1159" s="94"/>
      <c r="V1159" s="95"/>
      <c r="W1159" s="96"/>
      <c r="Y1159" s="85"/>
      <c r="Z1159" s="86"/>
      <c r="AA1159" s="87"/>
      <c r="AB1159" s="88"/>
      <c r="AD1159" s="77"/>
      <c r="AF1159" s="54" t="str" cm="1">
        <f t="array" aca="1" ref="AF1159" ca="1">IF(H1159=0,"",HYPERLINK("#"&amp;RIGHT(CELL("adresse",OFFSET('DM01-AV-CH'!$G$6,H1159-1,0)),LEN(CELL("adresse",OFFSET('DM01-AV-CH'!$G$6,H1159-1,0)))-FIND("]",CELL("adresse",OFFSET('DM01-AV-CH'!$G$6,H1159-1,0)))),"Modell"))</f>
        <v/>
      </c>
      <c r="AG1159" s="72" t="str" cm="1">
        <f t="array" ref="AG1159">IF($H1159=0,"",IF(INDEX('DM01-AV-CH'!G$6:G$834,$H1159)="","",INDEX('DM01-AV-CH'!G$6:G$834,$H1159)))</f>
        <v/>
      </c>
      <c r="AH1159" s="73" t="str" cm="1">
        <f t="array" ref="AH1159">IF($H1159=0,"",IF(INDEX('DM01-AV-CH'!H$6:H$834,$H1159)="","",INDEX('DM01-AV-CH'!H$6:H$834,$H1159)))</f>
        <v/>
      </c>
      <c r="AI1159" s="74" t="str" cm="1">
        <f t="array" ref="AI1159">IF($H1159=0,"",IF(INDEX('DM01-AV-CH'!I$6:I$834,$H1159)="","",INDEX('DM01-AV-CH'!I$6:I$834,$H1159)))</f>
        <v/>
      </c>
    </row>
    <row r="1160" spans="1:35" x14ac:dyDescent="0.25">
      <c r="A1160" s="57">
        <v>1155</v>
      </c>
      <c r="B1160" s="57">
        <f>IF($A1160="","",IF(_xlfn.XLOOKUP($A1160,Korrelation!$D$4:$D$1197,Korrelation!E$4:E$1197,"-",0)="-",0,MATCH(_xlfn.XLOOKUP($A1160,Korrelation!$D$4:$D$1197,Korrelation!E$4:E$1197,"",0),DMAV_Modell!$G$6:$G$677,0)))</f>
        <v>653</v>
      </c>
      <c r="C1160" s="57">
        <f>IF($A1160="","",IF(_xlfn.XLOOKUP($A1160,Korrelation!$D$4:$D$1197,Korrelation!F$4:F$1197,"-",0)="-",0,MATCH(_xlfn.XLOOKUP($A1160,Korrelation!$D$4:$D$1197,Korrelation!F$4:F$1197,"",0),DMAV_Modell!$G$6:$G$677,0)))</f>
        <v>0</v>
      </c>
      <c r="D1160" s="57">
        <f>IF($A1160="","",IF(_xlfn.XLOOKUP($A1160,Korrelation!$D$4:$D$1197,Korrelation!G$4:G$1197,"-",0)="-",0,MATCH(_xlfn.XLOOKUP($A1160,Korrelation!$D$4:$D$1197,Korrelation!G$4:G$1197,"",0),DMAV_Modell!$G$6:$G$677,0)))</f>
        <v>0</v>
      </c>
      <c r="E1160" s="57">
        <f>IF($A1160="","",IF(_xlfn.XLOOKUP($A1160,Korrelation!$D$4:$D$1197,Korrelation!H$4:H$1197,"-",0)="-",0,MATCH(_xlfn.XLOOKUP($A1160,Korrelation!$D$4:$D$1197,Korrelation!H$4:H$1197,"",0),DMAV_Dienste!$F$6:$F$140,0)))</f>
        <v>0</v>
      </c>
      <c r="F1160" s="57">
        <f>IF($A1160="","",IF(_xlfn.XLOOKUP($A1160,Korrelation!$D$4:$D$1197,Korrelation!I$4:I$1197,"-",0)="-",0,MATCH(_xlfn.XLOOKUP($A1160,Korrelation!$D$4:$D$1197,Korrelation!I$4:I$1197,"",0),DMAV_Dienste!$F$6:$F$140,0)))</f>
        <v>0</v>
      </c>
      <c r="G1160" s="57">
        <f>IF($A1160="","",IF(_xlfn.XLOOKUP($A1160,Korrelation!$D$4:$D$1197,Korrelation!J$4:J$1197,"-",0)="-",0,MATCH(_xlfn.XLOOKUP($A1160,Korrelation!$D$4:$D$1197,Korrelation!J$4:J$1197,"",0),DMAV_Dienste!$F$6:$F$140,0)))</f>
        <v>0</v>
      </c>
      <c r="H1160" s="57">
        <f>IF($A1160="","",IF(_xlfn.XLOOKUP($A1160,Korrelation!$D$4:$D$1197,Korrelation!K$4:K$1197,"-",0)="-",0,MATCH(_xlfn.XLOOKUP($A1160,Korrelation!$D$4:$D$1197,Korrelation!K$4:K$1197,"",0),'DM01-AV-CH'!$A$6:$A$834,0)))</f>
        <v>0</v>
      </c>
      <c r="J1160" s="54" t="str" cm="1">
        <f t="array" aca="1" ref="J1160" ca="1">IF(B1160=0,IF(E1160=0,"",HYPERLINK("#"&amp;RIGHT(CELL("adresse",OFFSET(DMAV_Dienste!$M$6,E1160-1,0)),LEN(CELL("adresse",OFFSET(DMAV_Dienste!$M$6,E1160-1,0)))-FIND("]",CELL("adresse",OFFSET(DMAV_Dienste!$M$6,E1160-1,0)))),"Dienst")),HYPERLINK("#"&amp;RIGHT(CELL("adresse",OFFSET(DMAV_Modell!$N$6,B1160-1,0)),LEN(CELL("adresse",OFFSET(DMAV_Modell!$N$6,B1160-1,0)))-FIND("]",CELL("adresse",OFFSET(DMAV_Modell!$N$6,B1160-1,0)))),"Modell"))</f>
        <v>Modell</v>
      </c>
      <c r="K1160" s="61" t="str" cm="1">
        <f t="array" ref="K1160">IF($B1160=0,IF($E1160=0,"",IF(INDEX(DMAV_Dienste!P$6:P$140,$E1160)="","",INDEX(DMAV_Dienste!P$6:P$140,$E1160))),IF(INDEX(DMAV_Modell!Q$6:Q$838,$B1160)="","",INDEX(DMAV_Modell!Q$6:Q$838,$B1160)))</f>
        <v>STRUCTURE</v>
      </c>
      <c r="L1160" s="62" t="str" cm="1">
        <f t="array" ref="L1160">IF($B1160=0,IF($E1160=0,"",IF(INDEX(DMAV_Dienste!O$6:O$140,$E1160)="","",INDEX(DMAV_Dienste!O$6:O$140,$E1160))),IF(INDEX(DMAV_Modell!P$6:P$838,$B1160)="","",INDEX(DMAV_Modell!P$6:P$838,$B1160)))</f>
        <v>Gebaeudeadressen</v>
      </c>
      <c r="M1160" s="62" t="str" cm="1">
        <f t="array" ref="M1160">IF($B1160=0,IF($E1160=0,"",IF(INDEX(DMAV_Dienste!Q$6:Q$140,$E1160)="","",INDEX(DMAV_Dienste!Q$6:Q$140,$E1160))),IF(INDEX(DMAV_Modell!R$6:R$838,$B1160)="","",INDEX(DMAV_Modell!R$6:R$838,$B1160)))</f>
        <v>Gebaeudebeschreibung</v>
      </c>
      <c r="N1160" s="62" t="str" cm="1">
        <f t="array" ref="N1160">IF($B1160=0,IF($E1160=0,"",IF(INDEX(DMAV_Dienste!T$6:T$140,$E1160)="","",INDEX(DMAV_Dienste!T$6:T$140,$E1160))),IF(INDEX(DMAV_Modell!U$6:U$838,$B1160)="","",INDEX(DMAV_Modell!U$6:U$838,$B1160)))</f>
        <v>Beschreibung</v>
      </c>
      <c r="O1160" s="63" t="str" cm="1">
        <f t="array" aca="1" ref="O1160" ca="1">IF(C1160=0,IF(F1160=0,"",HYPERLINK("#"&amp;RIGHT(CELL("adresse",OFFSET(DMAV_Dienste!$M$6,F1160-1,0)),LEN(CELL("adresse",OFFSET(DMAV_Dienste!$M$6,F1160-1,0)))-FIND("]",CELL("adresse",OFFSET(DMAV_Dienste!$M$6,F1160-1,0)))),"Structure")),HYPERLINK("#"&amp;RIGHT(CELL("adresse",OFFSET(DMAV_Modell!$N$6,C1160-1,0)),LEN(CELL("adresse",OFFSET(DMAV_Modell!$N$6,C1160-1,0)))-FIND("]",CELL("adresse",OFFSET(DMAV_Modell!$N$6,C1160-1,0)))),"Structure"))</f>
        <v/>
      </c>
      <c r="P1160" s="64" t="str" cm="1">
        <f t="array" aca="1" ref="P1160" ca="1">IF(D1160=0,IF(G1160=0,"",HYPERLINK("#"&amp;RIGHT(CELL("adresse",OFFSET(DMAV_Dienste!$M$6,G1160-1,0)),LEN(CELL("adresse",OFFSET(DMAV_Dienste!$M$6,G1160-1,0)))-FIND("]",CELL("adresse",OFFSET(DMAV_Dienste!$M$6,G1160-1,0)))),"Substructure")),HYPERLINK("#"&amp;RIGHT(CELL("adresse",OFFSET(DMAV_Modell!$N$6,D1160-1,0)),LEN(CELL("adresse",OFFSET(DMAV_Modell!$N$6,D1160-1,0)))-FIND("]",CELL("adresse",OFFSET(DMAV_Modell!$N$6,D1160-1,0)))),"Substructure"))</f>
        <v/>
      </c>
      <c r="R1160" s="80"/>
      <c r="T1160" s="93"/>
      <c r="U1160" s="94"/>
      <c r="V1160" s="95"/>
      <c r="W1160" s="96"/>
      <c r="Y1160" s="85"/>
      <c r="Z1160" s="86"/>
      <c r="AA1160" s="87"/>
      <c r="AB1160" s="88"/>
      <c r="AD1160" s="77"/>
      <c r="AF1160" s="54" t="str" cm="1">
        <f t="array" aca="1" ref="AF1160" ca="1">IF(H1160=0,"",HYPERLINK("#"&amp;RIGHT(CELL("adresse",OFFSET('DM01-AV-CH'!$G$6,H1160-1,0)),LEN(CELL("adresse",OFFSET('DM01-AV-CH'!$G$6,H1160-1,0)))-FIND("]",CELL("adresse",OFFSET('DM01-AV-CH'!$G$6,H1160-1,0)))),"Modell"))</f>
        <v/>
      </c>
      <c r="AG1160" s="72" t="str" cm="1">
        <f t="array" ref="AG1160">IF($H1160=0,"",IF(INDEX('DM01-AV-CH'!G$6:G$834,$H1160)="","",INDEX('DM01-AV-CH'!G$6:G$834,$H1160)))</f>
        <v/>
      </c>
      <c r="AH1160" s="73" t="str" cm="1">
        <f t="array" ref="AH1160">IF($H1160=0,"",IF(INDEX('DM01-AV-CH'!H$6:H$834,$H1160)="","",INDEX('DM01-AV-CH'!H$6:H$834,$H1160)))</f>
        <v/>
      </c>
      <c r="AI1160" s="74" t="str" cm="1">
        <f t="array" ref="AI1160">IF($H1160=0,"",IF(INDEX('DM01-AV-CH'!I$6:I$834,$H1160)="","",INDEX('DM01-AV-CH'!I$6:I$834,$H1160)))</f>
        <v/>
      </c>
    </row>
    <row r="1161" spans="1:35" x14ac:dyDescent="0.25">
      <c r="A1161" s="57">
        <v>1156</v>
      </c>
      <c r="B1161" s="57">
        <f>IF($A1161="","",IF(_xlfn.XLOOKUP($A1161,Korrelation!$D$4:$D$1197,Korrelation!E$4:E$1197,"-",0)="-",0,MATCH(_xlfn.XLOOKUP($A1161,Korrelation!$D$4:$D$1197,Korrelation!E$4:E$1197,"",0),DMAV_Modell!$G$6:$G$677,0)))</f>
        <v>654</v>
      </c>
      <c r="C1161" s="57">
        <f>IF($A1161="","",IF(_xlfn.XLOOKUP($A1161,Korrelation!$D$4:$D$1197,Korrelation!F$4:F$1197,"-",0)="-",0,MATCH(_xlfn.XLOOKUP($A1161,Korrelation!$D$4:$D$1197,Korrelation!F$4:F$1197,"",0),DMAV_Modell!$G$6:$G$677,0)))</f>
        <v>0</v>
      </c>
      <c r="D1161" s="57">
        <f>IF($A1161="","",IF(_xlfn.XLOOKUP($A1161,Korrelation!$D$4:$D$1197,Korrelation!G$4:G$1197,"-",0)="-",0,MATCH(_xlfn.XLOOKUP($A1161,Korrelation!$D$4:$D$1197,Korrelation!G$4:G$1197,"",0),DMAV_Modell!$G$6:$G$677,0)))</f>
        <v>0</v>
      </c>
      <c r="E1161" s="57">
        <f>IF($A1161="","",IF(_xlfn.XLOOKUP($A1161,Korrelation!$D$4:$D$1197,Korrelation!H$4:H$1197,"-",0)="-",0,MATCH(_xlfn.XLOOKUP($A1161,Korrelation!$D$4:$D$1197,Korrelation!H$4:H$1197,"",0),DMAV_Dienste!$F$6:$F$140,0)))</f>
        <v>0</v>
      </c>
      <c r="F1161" s="57">
        <f>IF($A1161="","",IF(_xlfn.XLOOKUP($A1161,Korrelation!$D$4:$D$1197,Korrelation!I$4:I$1197,"-",0)="-",0,MATCH(_xlfn.XLOOKUP($A1161,Korrelation!$D$4:$D$1197,Korrelation!I$4:I$1197,"",0),DMAV_Dienste!$F$6:$F$140,0)))</f>
        <v>0</v>
      </c>
      <c r="G1161" s="57">
        <f>IF($A1161="","",IF(_xlfn.XLOOKUP($A1161,Korrelation!$D$4:$D$1197,Korrelation!J$4:J$1197,"-",0)="-",0,MATCH(_xlfn.XLOOKUP($A1161,Korrelation!$D$4:$D$1197,Korrelation!J$4:J$1197,"",0),DMAV_Dienste!$F$6:$F$140,0)))</f>
        <v>0</v>
      </c>
      <c r="H1161" s="57">
        <f>IF($A1161="","",IF(_xlfn.XLOOKUP($A1161,Korrelation!$D$4:$D$1197,Korrelation!K$4:K$1197,"-",0)="-",0,MATCH(_xlfn.XLOOKUP($A1161,Korrelation!$D$4:$D$1197,Korrelation!K$4:K$1197,"",0),'DM01-AV-CH'!$A$6:$A$834,0)))</f>
        <v>0</v>
      </c>
      <c r="J1161" s="54" t="str" cm="1">
        <f t="array" aca="1" ref="J1161" ca="1">IF(B1161=0,IF(E1161=0,"",HYPERLINK("#"&amp;RIGHT(CELL("adresse",OFFSET(DMAV_Dienste!$M$6,E1161-1,0)),LEN(CELL("adresse",OFFSET(DMAV_Dienste!$M$6,E1161-1,0)))-FIND("]",CELL("adresse",OFFSET(DMAV_Dienste!$M$6,E1161-1,0)))),"Dienst")),HYPERLINK("#"&amp;RIGHT(CELL("adresse",OFFSET(DMAV_Modell!$N$6,B1161-1,0)),LEN(CELL("adresse",OFFSET(DMAV_Modell!$N$6,B1161-1,0)))-FIND("]",CELL("adresse",OFFSET(DMAV_Modell!$N$6,B1161-1,0)))),"Modell"))</f>
        <v>Modell</v>
      </c>
      <c r="K1161" s="61" t="str" cm="1">
        <f t="array" ref="K1161">IF($B1161=0,IF($E1161=0,"",IF(INDEX(DMAV_Dienste!P$6:P$140,$E1161)="","",INDEX(DMAV_Dienste!P$6:P$140,$E1161))),IF(INDEX(DMAV_Modell!Q$6:Q$838,$B1161)="","",INDEX(DMAV_Modell!Q$6:Q$838,$B1161)))</f>
        <v>STRUCTURE</v>
      </c>
      <c r="L1161" s="62" t="str" cm="1">
        <f t="array" ref="L1161">IF($B1161=0,IF($E1161=0,"",IF(INDEX(DMAV_Dienste!O$6:O$140,$E1161)="","",INDEX(DMAV_Dienste!O$6:O$140,$E1161))),IF(INDEX(DMAV_Modell!P$6:P$838,$B1161)="","",INDEX(DMAV_Modell!P$6:P$838,$B1161)))</f>
        <v>Gebaeudeadressen</v>
      </c>
      <c r="M1161" s="62" t="str" cm="1">
        <f t="array" ref="M1161">IF($B1161=0,IF($E1161=0,"",IF(INDEX(DMAV_Dienste!Q$6:Q$140,$E1161)="","",INDEX(DMAV_Dienste!Q$6:Q$140,$E1161))),IF(INDEX(DMAV_Modell!R$6:R$838,$B1161)="","",INDEX(DMAV_Modell!R$6:R$838,$B1161)))</f>
        <v>Gebaeudebeschreibung</v>
      </c>
      <c r="N1161" s="62" t="str" cm="1">
        <f t="array" ref="N1161">IF($B1161=0,IF($E1161=0,"",IF(INDEX(DMAV_Dienste!T$6:T$140,$E1161)="","",INDEX(DMAV_Dienste!T$6:T$140,$E1161))),IF(INDEX(DMAV_Modell!U$6:U$838,$B1161)="","",INDEX(DMAV_Modell!U$6:U$838,$B1161)))</f>
        <v>Sprache</v>
      </c>
      <c r="O1161" s="63" t="str" cm="1">
        <f t="array" aca="1" ref="O1161" ca="1">IF(C1161=0,IF(F1161=0,"",HYPERLINK("#"&amp;RIGHT(CELL("adresse",OFFSET(DMAV_Dienste!$M$6,F1161-1,0)),LEN(CELL("adresse",OFFSET(DMAV_Dienste!$M$6,F1161-1,0)))-FIND("]",CELL("adresse",OFFSET(DMAV_Dienste!$M$6,F1161-1,0)))),"Structure")),HYPERLINK("#"&amp;RIGHT(CELL("adresse",OFFSET(DMAV_Modell!$N$6,C1161-1,0)),LEN(CELL("adresse",OFFSET(DMAV_Modell!$N$6,C1161-1,0)))-FIND("]",CELL("adresse",OFFSET(DMAV_Modell!$N$6,C1161-1,0)))),"Structure"))</f>
        <v/>
      </c>
      <c r="P1161" s="64" t="str" cm="1">
        <f t="array" aca="1" ref="P1161" ca="1">IF(D1161=0,IF(G1161=0,"",HYPERLINK("#"&amp;RIGHT(CELL("adresse",OFFSET(DMAV_Dienste!$M$6,G1161-1,0)),LEN(CELL("adresse",OFFSET(DMAV_Dienste!$M$6,G1161-1,0)))-FIND("]",CELL("adresse",OFFSET(DMAV_Dienste!$M$6,G1161-1,0)))),"Substructure")),HYPERLINK("#"&amp;RIGHT(CELL("adresse",OFFSET(DMAV_Modell!$N$6,D1161-1,0)),LEN(CELL("adresse",OFFSET(DMAV_Modell!$N$6,D1161-1,0)))-FIND("]",CELL("adresse",OFFSET(DMAV_Modell!$N$6,D1161-1,0)))),"Substructure"))</f>
        <v/>
      </c>
      <c r="R1161" s="80"/>
      <c r="T1161" s="93"/>
      <c r="U1161" s="94"/>
      <c r="V1161" s="95"/>
      <c r="W1161" s="96"/>
      <c r="Y1161" s="85"/>
      <c r="Z1161" s="86"/>
      <c r="AA1161" s="87"/>
      <c r="AB1161" s="88"/>
      <c r="AD1161" s="77"/>
      <c r="AF1161" s="54" t="str" cm="1">
        <f t="array" aca="1" ref="AF1161" ca="1">IF(H1161=0,"",HYPERLINK("#"&amp;RIGHT(CELL("adresse",OFFSET('DM01-AV-CH'!$G$6,H1161-1,0)),LEN(CELL("adresse",OFFSET('DM01-AV-CH'!$G$6,H1161-1,0)))-FIND("]",CELL("adresse",OFFSET('DM01-AV-CH'!$G$6,H1161-1,0)))),"Modell"))</f>
        <v/>
      </c>
      <c r="AG1161" s="72" t="str" cm="1">
        <f t="array" ref="AG1161">IF($H1161=0,"",IF(INDEX('DM01-AV-CH'!G$6:G$834,$H1161)="","",INDEX('DM01-AV-CH'!G$6:G$834,$H1161)))</f>
        <v/>
      </c>
      <c r="AH1161" s="73" t="str" cm="1">
        <f t="array" ref="AH1161">IF($H1161=0,"",IF(INDEX('DM01-AV-CH'!H$6:H$834,$H1161)="","",INDEX('DM01-AV-CH'!H$6:H$834,$H1161)))</f>
        <v/>
      </c>
      <c r="AI1161" s="74" t="str" cm="1">
        <f t="array" ref="AI1161">IF($H1161=0,"",IF(INDEX('DM01-AV-CH'!I$6:I$834,$H1161)="","",INDEX('DM01-AV-CH'!I$6:I$834,$H1161)))</f>
        <v/>
      </c>
    </row>
    <row r="1162" spans="1:35" x14ac:dyDescent="0.25">
      <c r="A1162" s="57">
        <v>1157</v>
      </c>
      <c r="B1162" s="57">
        <f>IF($A1162="","",IF(_xlfn.XLOOKUP($A1162,Korrelation!$D$4:$D$1197,Korrelation!E$4:E$1197,"-",0)="-",0,MATCH(_xlfn.XLOOKUP($A1162,Korrelation!$D$4:$D$1197,Korrelation!E$4:E$1197,"",0),DMAV_Modell!$G$6:$G$677,0)))</f>
        <v>0</v>
      </c>
      <c r="C1162" s="57">
        <f>IF($A1162="","",IF(_xlfn.XLOOKUP($A1162,Korrelation!$D$4:$D$1197,Korrelation!F$4:F$1197,"-",0)="-",0,MATCH(_xlfn.XLOOKUP($A1162,Korrelation!$D$4:$D$1197,Korrelation!F$4:F$1197,"",0),DMAV_Modell!$G$6:$G$677,0)))</f>
        <v>0</v>
      </c>
      <c r="D1162" s="57">
        <f>IF($A1162="","",IF(_xlfn.XLOOKUP($A1162,Korrelation!$D$4:$D$1197,Korrelation!G$4:G$1197,"-",0)="-",0,MATCH(_xlfn.XLOOKUP($A1162,Korrelation!$D$4:$D$1197,Korrelation!G$4:G$1197,"",0),DMAV_Modell!$G$6:$G$677,0)))</f>
        <v>0</v>
      </c>
      <c r="E1162" s="57">
        <f>IF($A1162="","",IF(_xlfn.XLOOKUP($A1162,Korrelation!$D$4:$D$1197,Korrelation!H$4:H$1197,"-",0)="-",0,MATCH(_xlfn.XLOOKUP($A1162,Korrelation!$D$4:$D$1197,Korrelation!H$4:H$1197,"",0),DMAV_Dienste!$F$6:$F$140,0)))</f>
        <v>0</v>
      </c>
      <c r="F1162" s="57">
        <f>IF($A1162="","",IF(_xlfn.XLOOKUP($A1162,Korrelation!$D$4:$D$1197,Korrelation!I$4:I$1197,"-",0)="-",0,MATCH(_xlfn.XLOOKUP($A1162,Korrelation!$D$4:$D$1197,Korrelation!I$4:I$1197,"",0),DMAV_Dienste!$F$6:$F$140,0)))</f>
        <v>0</v>
      </c>
      <c r="G1162" s="57">
        <f>IF($A1162="","",IF(_xlfn.XLOOKUP($A1162,Korrelation!$D$4:$D$1197,Korrelation!J$4:J$1197,"-",0)="-",0,MATCH(_xlfn.XLOOKUP($A1162,Korrelation!$D$4:$D$1197,Korrelation!J$4:J$1197,"",0),DMAV_Dienste!$F$6:$F$140,0)))</f>
        <v>0</v>
      </c>
      <c r="H1162" s="57">
        <f>IF($A1162="","",IF(_xlfn.XLOOKUP($A1162,Korrelation!$D$4:$D$1197,Korrelation!K$4:K$1197,"-",0)="-",0,MATCH(_xlfn.XLOOKUP($A1162,Korrelation!$D$4:$D$1197,Korrelation!K$4:K$1197,"",0),'DM01-AV-CH'!$A$6:$A$834,0)))</f>
        <v>733</v>
      </c>
      <c r="J1162" s="54" t="str" cm="1">
        <f t="array" aca="1" ref="J1162" ca="1">IF(B1162=0,IF(E1162=0,"",HYPERLINK("#"&amp;RIGHT(CELL("adresse",OFFSET(DMAV_Dienste!$M$6,E1162-1,0)),LEN(CELL("adresse",OFFSET(DMAV_Dienste!$M$6,E1162-1,0)))-FIND("]",CELL("adresse",OFFSET(DMAV_Dienste!$M$6,E1162-1,0)))),"Dienst")),HYPERLINK("#"&amp;RIGHT(CELL("adresse",OFFSET(DMAV_Modell!$N$6,B1162-1,0)),LEN(CELL("adresse",OFFSET(DMAV_Modell!$N$6,B1162-1,0)))-FIND("]",CELL("adresse",OFFSET(DMAV_Modell!$N$6,B1162-1,0)))),"Modell"))</f>
        <v/>
      </c>
      <c r="K1162" s="61" t="str" cm="1">
        <f t="array" ref="K1162">IF($B1162=0,IF($E1162=0,"",IF(INDEX(DMAV_Dienste!P$6:P$140,$E1162)="","",INDEX(DMAV_Dienste!P$6:P$140,$E1162))),IF(INDEX(DMAV_Modell!Q$6:Q$838,$B1162)="","",INDEX(DMAV_Modell!Q$6:Q$838,$B1162)))</f>
        <v/>
      </c>
      <c r="L1162" s="62" t="str" cm="1">
        <f t="array" ref="L1162">IF($B1162=0,IF($E1162=0,"",IF(INDEX(DMAV_Dienste!O$6:O$140,$E1162)="","",INDEX(DMAV_Dienste!O$6:O$140,$E1162))),IF(INDEX(DMAV_Modell!P$6:P$838,$B1162)="","",INDEX(DMAV_Modell!P$6:P$838,$B1162)))</f>
        <v/>
      </c>
      <c r="M1162" s="62" t="str" cm="1">
        <f t="array" ref="M1162">IF($B1162=0,IF($E1162=0,"",IF(INDEX(DMAV_Dienste!Q$6:Q$140,$E1162)="","",INDEX(DMAV_Dienste!Q$6:Q$140,$E1162))),IF(INDEX(DMAV_Modell!R$6:R$838,$B1162)="","",INDEX(DMAV_Modell!R$6:R$838,$B1162)))</f>
        <v/>
      </c>
      <c r="N1162" s="62" t="str" cm="1">
        <f t="array" ref="N1162">IF($B1162=0,IF($E1162=0,"",IF(INDEX(DMAV_Dienste!T$6:T$140,$E1162)="","",INDEX(DMAV_Dienste!T$6:T$140,$E1162))),IF(INDEX(DMAV_Modell!U$6:U$838,$B1162)="","",INDEX(DMAV_Modell!U$6:U$838,$B1162)))</f>
        <v/>
      </c>
      <c r="O1162" s="63" t="str" cm="1">
        <f t="array" aca="1" ref="O1162" ca="1">IF(C1162=0,IF(F1162=0,"",HYPERLINK("#"&amp;RIGHT(CELL("adresse",OFFSET(DMAV_Dienste!$M$6,F1162-1,0)),LEN(CELL("adresse",OFFSET(DMAV_Dienste!$M$6,F1162-1,0)))-FIND("]",CELL("adresse",OFFSET(DMAV_Dienste!$M$6,F1162-1,0)))),"Structure")),HYPERLINK("#"&amp;RIGHT(CELL("adresse",OFFSET(DMAV_Modell!$N$6,C1162-1,0)),LEN(CELL("adresse",OFFSET(DMAV_Modell!$N$6,C1162-1,0)))-FIND("]",CELL("adresse",OFFSET(DMAV_Modell!$N$6,C1162-1,0)))),"Structure"))</f>
        <v/>
      </c>
      <c r="P1162" s="64" t="str" cm="1">
        <f t="array" aca="1" ref="P1162" ca="1">IF(D1162=0,IF(G1162=0,"",HYPERLINK("#"&amp;RIGHT(CELL("adresse",OFFSET(DMAV_Dienste!$M$6,G1162-1,0)),LEN(CELL("adresse",OFFSET(DMAV_Dienste!$M$6,G1162-1,0)))-FIND("]",CELL("adresse",OFFSET(DMAV_Dienste!$M$6,G1162-1,0)))),"Substructure")),HYPERLINK("#"&amp;RIGHT(CELL("adresse",OFFSET(DMAV_Modell!$N$6,D1162-1,0)),LEN(CELL("adresse",OFFSET(DMAV_Modell!$N$6,D1162-1,0)))-FIND("]",CELL("adresse",OFFSET(DMAV_Modell!$N$6,D1162-1,0)))),"Substructure"))</f>
        <v/>
      </c>
      <c r="R1162" s="80"/>
      <c r="T1162" s="93"/>
      <c r="U1162" s="94"/>
      <c r="V1162" s="95"/>
      <c r="W1162" s="96"/>
      <c r="Y1162" s="85"/>
      <c r="Z1162" s="86"/>
      <c r="AA1162" s="87"/>
      <c r="AB1162" s="88"/>
      <c r="AD1162" s="77"/>
      <c r="AF1162" s="54" t="str" cm="1">
        <f t="array" aca="1" ref="AF1162" ca="1">IF(H1162=0,"",HYPERLINK("#"&amp;RIGHT(CELL("adresse",OFFSET('DM01-AV-CH'!$G$6,H1162-1,0)),LEN(CELL("adresse",OFFSET('DM01-AV-CH'!$G$6,H1162-1,0)))-FIND("]",CELL("adresse",OFFSET('DM01-AV-CH'!$G$6,H1162-1,0)))),"Modell"))</f>
        <v>Modell</v>
      </c>
      <c r="AG1162" s="72" t="str" cm="1">
        <f t="array" ref="AG1162">IF($H1162=0,"",IF(INDEX('DM01-AV-CH'!G$6:G$834,$H1162)="","",INDEX('DM01-AV-CH'!G$6:G$834,$H1162)))</f>
        <v>Gebaeudeadressen</v>
      </c>
      <c r="AH1162" s="73" t="str" cm="1">
        <f t="array" ref="AH1162">IF($H1162=0,"",IF(INDEX('DM01-AV-CH'!H$6:H$834,$H1162)="","",INDEX('DM01-AV-CH'!H$6:H$834,$H1162)))</f>
        <v>Gebaeudeeingang</v>
      </c>
      <c r="AI1162" s="74" t="str" cm="1">
        <f t="array" ref="AI1162">IF($H1162=0,"",IF(INDEX('DM01-AV-CH'!I$6:I$834,$H1162)="","",INDEX('DM01-AV-CH'!I$6:I$834,$H1162)))</f>
        <v>Entstehung</v>
      </c>
    </row>
    <row r="1163" spans="1:35" x14ac:dyDescent="0.25">
      <c r="A1163" s="57">
        <v>1158</v>
      </c>
      <c r="B1163" s="57">
        <f>IF($A1163="","",IF(_xlfn.XLOOKUP($A1163,Korrelation!$D$4:$D$1197,Korrelation!E$4:E$1197,"-",0)="-",0,MATCH(_xlfn.XLOOKUP($A1163,Korrelation!$D$4:$D$1197,Korrelation!E$4:E$1197,"",0),DMAV_Modell!$G$6:$G$677,0)))</f>
        <v>0</v>
      </c>
      <c r="C1163" s="57">
        <f>IF($A1163="","",IF(_xlfn.XLOOKUP($A1163,Korrelation!$D$4:$D$1197,Korrelation!F$4:F$1197,"-",0)="-",0,MATCH(_xlfn.XLOOKUP($A1163,Korrelation!$D$4:$D$1197,Korrelation!F$4:F$1197,"",0),DMAV_Modell!$G$6:$G$677,0)))</f>
        <v>0</v>
      </c>
      <c r="D1163" s="57">
        <f>IF($A1163="","",IF(_xlfn.XLOOKUP($A1163,Korrelation!$D$4:$D$1197,Korrelation!G$4:G$1197,"-",0)="-",0,MATCH(_xlfn.XLOOKUP($A1163,Korrelation!$D$4:$D$1197,Korrelation!G$4:G$1197,"",0),DMAV_Modell!$G$6:$G$677,0)))</f>
        <v>0</v>
      </c>
      <c r="E1163" s="57">
        <f>IF($A1163="","",IF(_xlfn.XLOOKUP($A1163,Korrelation!$D$4:$D$1197,Korrelation!H$4:H$1197,"-",0)="-",0,MATCH(_xlfn.XLOOKUP($A1163,Korrelation!$D$4:$D$1197,Korrelation!H$4:H$1197,"",0),DMAV_Dienste!$F$6:$F$140,0)))</f>
        <v>0</v>
      </c>
      <c r="F1163" s="57">
        <f>IF($A1163="","",IF(_xlfn.XLOOKUP($A1163,Korrelation!$D$4:$D$1197,Korrelation!I$4:I$1197,"-",0)="-",0,MATCH(_xlfn.XLOOKUP($A1163,Korrelation!$D$4:$D$1197,Korrelation!I$4:I$1197,"",0),DMAV_Dienste!$F$6:$F$140,0)))</f>
        <v>0</v>
      </c>
      <c r="G1163" s="57">
        <f>IF($A1163="","",IF(_xlfn.XLOOKUP($A1163,Korrelation!$D$4:$D$1197,Korrelation!J$4:J$1197,"-",0)="-",0,MATCH(_xlfn.XLOOKUP($A1163,Korrelation!$D$4:$D$1197,Korrelation!J$4:J$1197,"",0),DMAV_Dienste!$F$6:$F$140,0)))</f>
        <v>0</v>
      </c>
      <c r="H1163" s="57">
        <f>IF($A1163="","",IF(_xlfn.XLOOKUP($A1163,Korrelation!$D$4:$D$1197,Korrelation!K$4:K$1197,"-",0)="-",0,MATCH(_xlfn.XLOOKUP($A1163,Korrelation!$D$4:$D$1197,Korrelation!K$4:K$1197,"",0),'DM01-AV-CH'!$A$6:$A$834,0)))</f>
        <v>734</v>
      </c>
      <c r="J1163" s="54" t="str" cm="1">
        <f t="array" aca="1" ref="J1163" ca="1">IF(B1163=0,IF(E1163=0,"",HYPERLINK("#"&amp;RIGHT(CELL("adresse",OFFSET(DMAV_Dienste!$M$6,E1163-1,0)),LEN(CELL("adresse",OFFSET(DMAV_Dienste!$M$6,E1163-1,0)))-FIND("]",CELL("adresse",OFFSET(DMAV_Dienste!$M$6,E1163-1,0)))),"Dienst")),HYPERLINK("#"&amp;RIGHT(CELL("adresse",OFFSET(DMAV_Modell!$N$6,B1163-1,0)),LEN(CELL("adresse",OFFSET(DMAV_Modell!$N$6,B1163-1,0)))-FIND("]",CELL("adresse",OFFSET(DMAV_Modell!$N$6,B1163-1,0)))),"Modell"))</f>
        <v/>
      </c>
      <c r="K1163" s="61" t="str" cm="1">
        <f t="array" ref="K1163">IF($B1163=0,IF($E1163=0,"",IF(INDEX(DMAV_Dienste!P$6:P$140,$E1163)="","",INDEX(DMAV_Dienste!P$6:P$140,$E1163))),IF(INDEX(DMAV_Modell!Q$6:Q$838,$B1163)="","",INDEX(DMAV_Modell!Q$6:Q$838,$B1163)))</f>
        <v/>
      </c>
      <c r="L1163" s="62" t="str" cm="1">
        <f t="array" ref="L1163">IF($B1163=0,IF($E1163=0,"",IF(INDEX(DMAV_Dienste!O$6:O$140,$E1163)="","",INDEX(DMAV_Dienste!O$6:O$140,$E1163))),IF(INDEX(DMAV_Modell!P$6:P$838,$B1163)="","",INDEX(DMAV_Modell!P$6:P$838,$B1163)))</f>
        <v/>
      </c>
      <c r="M1163" s="62" t="str" cm="1">
        <f t="array" ref="M1163">IF($B1163=0,IF($E1163=0,"",IF(INDEX(DMAV_Dienste!Q$6:Q$140,$E1163)="","",INDEX(DMAV_Dienste!Q$6:Q$140,$E1163))),IF(INDEX(DMAV_Modell!R$6:R$838,$B1163)="","",INDEX(DMAV_Modell!R$6:R$838,$B1163)))</f>
        <v/>
      </c>
      <c r="N1163" s="62" t="str" cm="1">
        <f t="array" ref="N1163">IF($B1163=0,IF($E1163=0,"",IF(INDEX(DMAV_Dienste!T$6:T$140,$E1163)="","",INDEX(DMAV_Dienste!T$6:T$140,$E1163))),IF(INDEX(DMAV_Modell!U$6:U$838,$B1163)="","",INDEX(DMAV_Modell!U$6:U$838,$B1163)))</f>
        <v/>
      </c>
      <c r="O1163" s="63" t="str" cm="1">
        <f t="array" aca="1" ref="O1163" ca="1">IF(C1163=0,IF(F1163=0,"",HYPERLINK("#"&amp;RIGHT(CELL("adresse",OFFSET(DMAV_Dienste!$M$6,F1163-1,0)),LEN(CELL("adresse",OFFSET(DMAV_Dienste!$M$6,F1163-1,0)))-FIND("]",CELL("adresse",OFFSET(DMAV_Dienste!$M$6,F1163-1,0)))),"Structure")),HYPERLINK("#"&amp;RIGHT(CELL("adresse",OFFSET(DMAV_Modell!$N$6,C1163-1,0)),LEN(CELL("adresse",OFFSET(DMAV_Modell!$N$6,C1163-1,0)))-FIND("]",CELL("adresse",OFFSET(DMAV_Modell!$N$6,C1163-1,0)))),"Structure"))</f>
        <v/>
      </c>
      <c r="P1163" s="64" t="str" cm="1">
        <f t="array" aca="1" ref="P1163" ca="1">IF(D1163=0,IF(G1163=0,"",HYPERLINK("#"&amp;RIGHT(CELL("adresse",OFFSET(DMAV_Dienste!$M$6,G1163-1,0)),LEN(CELL("adresse",OFFSET(DMAV_Dienste!$M$6,G1163-1,0)))-FIND("]",CELL("adresse",OFFSET(DMAV_Dienste!$M$6,G1163-1,0)))),"Substructure")),HYPERLINK("#"&amp;RIGHT(CELL("adresse",OFFSET(DMAV_Modell!$N$6,D1163-1,0)),LEN(CELL("adresse",OFFSET(DMAV_Modell!$N$6,D1163-1,0)))-FIND("]",CELL("adresse",OFFSET(DMAV_Modell!$N$6,D1163-1,0)))),"Substructure"))</f>
        <v/>
      </c>
      <c r="R1163" s="80"/>
      <c r="T1163" s="93"/>
      <c r="U1163" s="94"/>
      <c r="V1163" s="95"/>
      <c r="W1163" s="96"/>
      <c r="Y1163" s="85"/>
      <c r="Z1163" s="86"/>
      <c r="AA1163" s="87"/>
      <c r="AB1163" s="88"/>
      <c r="AD1163" s="77"/>
      <c r="AF1163" s="54" t="str" cm="1">
        <f t="array" aca="1" ref="AF1163" ca="1">IF(H1163=0,"",HYPERLINK("#"&amp;RIGHT(CELL("adresse",OFFSET('DM01-AV-CH'!$G$6,H1163-1,0)),LEN(CELL("adresse",OFFSET('DM01-AV-CH'!$G$6,H1163-1,0)))-FIND("]",CELL("adresse",OFFSET('DM01-AV-CH'!$G$6,H1163-1,0)))),"Modell"))</f>
        <v>Modell</v>
      </c>
      <c r="AG1163" s="72" t="str" cm="1">
        <f t="array" ref="AG1163">IF($H1163=0,"",IF(INDEX('DM01-AV-CH'!G$6:G$834,$H1163)="","",INDEX('DM01-AV-CH'!G$6:G$834,$H1163)))</f>
        <v>Gebaeudeadressen</v>
      </c>
      <c r="AH1163" s="73" t="str" cm="1">
        <f t="array" ref="AH1163">IF($H1163=0,"",IF(INDEX('DM01-AV-CH'!H$6:H$834,$H1163)="","",INDEX('DM01-AV-CH'!H$6:H$834,$H1163)))</f>
        <v>Gebaeudeeingang</v>
      </c>
      <c r="AI1163" s="74" t="str" cm="1">
        <f t="array" ref="AI1163">IF($H1163=0,"",IF(INDEX('DM01-AV-CH'!I$6:I$834,$H1163)="","",INDEX('DM01-AV-CH'!I$6:I$834,$H1163)))</f>
        <v>Gebaeudeeingang_von</v>
      </c>
    </row>
    <row r="1164" spans="1:35" x14ac:dyDescent="0.25">
      <c r="A1164" s="57">
        <v>1159</v>
      </c>
      <c r="B1164" s="57">
        <f>IF($A1164="","",IF(_xlfn.XLOOKUP($A1164,Korrelation!$D$4:$D$1197,Korrelation!E$4:E$1197,"-",0)="-",0,MATCH(_xlfn.XLOOKUP($A1164,Korrelation!$D$4:$D$1197,Korrelation!E$4:E$1197,"",0),DMAV_Modell!$G$6:$G$677,0)))</f>
        <v>655</v>
      </c>
      <c r="C1164" s="57">
        <f>IF($A1164="","",IF(_xlfn.XLOOKUP($A1164,Korrelation!$D$4:$D$1197,Korrelation!F$4:F$1197,"-",0)="-",0,MATCH(_xlfn.XLOOKUP($A1164,Korrelation!$D$4:$D$1197,Korrelation!F$4:F$1197,"",0),DMAV_Modell!$G$6:$G$677,0)))</f>
        <v>0</v>
      </c>
      <c r="D1164" s="57">
        <f>IF($A1164="","",IF(_xlfn.XLOOKUP($A1164,Korrelation!$D$4:$D$1197,Korrelation!G$4:G$1197,"-",0)="-",0,MATCH(_xlfn.XLOOKUP($A1164,Korrelation!$D$4:$D$1197,Korrelation!G$4:G$1197,"",0),DMAV_Modell!$G$6:$G$677,0)))</f>
        <v>0</v>
      </c>
      <c r="E1164" s="57">
        <f>IF($A1164="","",IF(_xlfn.XLOOKUP($A1164,Korrelation!$D$4:$D$1197,Korrelation!H$4:H$1197,"-",0)="-",0,MATCH(_xlfn.XLOOKUP($A1164,Korrelation!$D$4:$D$1197,Korrelation!H$4:H$1197,"",0),DMAV_Dienste!$F$6:$F$140,0)))</f>
        <v>0</v>
      </c>
      <c r="F1164" s="57">
        <f>IF($A1164="","",IF(_xlfn.XLOOKUP($A1164,Korrelation!$D$4:$D$1197,Korrelation!I$4:I$1197,"-",0)="-",0,MATCH(_xlfn.XLOOKUP($A1164,Korrelation!$D$4:$D$1197,Korrelation!I$4:I$1197,"",0),DMAV_Dienste!$F$6:$F$140,0)))</f>
        <v>0</v>
      </c>
      <c r="G1164" s="57">
        <f>IF($A1164="","",IF(_xlfn.XLOOKUP($A1164,Korrelation!$D$4:$D$1197,Korrelation!J$4:J$1197,"-",0)="-",0,MATCH(_xlfn.XLOOKUP($A1164,Korrelation!$D$4:$D$1197,Korrelation!J$4:J$1197,"",0),DMAV_Dienste!$F$6:$F$140,0)))</f>
        <v>0</v>
      </c>
      <c r="H1164" s="57">
        <f>IF($A1164="","",IF(_xlfn.XLOOKUP($A1164,Korrelation!$D$4:$D$1197,Korrelation!K$4:K$1197,"-",0)="-",0,MATCH(_xlfn.XLOOKUP($A1164,Korrelation!$D$4:$D$1197,Korrelation!K$4:K$1197,"",0),'DM01-AV-CH'!$A$6:$A$834,0)))</f>
        <v>735</v>
      </c>
      <c r="J1164" s="54" t="str" cm="1">
        <f t="array" aca="1" ref="J1164" ca="1">IF(B1164=0,IF(E1164=0,"",HYPERLINK("#"&amp;RIGHT(CELL("adresse",OFFSET(DMAV_Dienste!$M$6,E1164-1,0)),LEN(CELL("adresse",OFFSET(DMAV_Dienste!$M$6,E1164-1,0)))-FIND("]",CELL("adresse",OFFSET(DMAV_Dienste!$M$6,E1164-1,0)))),"Dienst")),HYPERLINK("#"&amp;RIGHT(CELL("adresse",OFFSET(DMAV_Modell!$N$6,B1164-1,0)),LEN(CELL("adresse",OFFSET(DMAV_Modell!$N$6,B1164-1,0)))-FIND("]",CELL("adresse",OFFSET(DMAV_Modell!$N$6,B1164-1,0)))),"Modell"))</f>
        <v>Modell</v>
      </c>
      <c r="K1164" s="61" t="str" cm="1">
        <f t="array" ref="K1164">IF($B1164=0,IF($E1164=0,"",IF(INDEX(DMAV_Dienste!P$6:P$140,$E1164)="","",INDEX(DMAV_Dienste!P$6:P$140,$E1164))),IF(INDEX(DMAV_Modell!Q$6:Q$838,$B1164)="","",INDEX(DMAV_Modell!Q$6:Q$838,$B1164)))</f>
        <v>CLASS</v>
      </c>
      <c r="L1164" s="62" t="str" cm="1">
        <f t="array" ref="L1164">IF($B1164=0,IF($E1164=0,"",IF(INDEX(DMAV_Dienste!O$6:O$140,$E1164)="","",INDEX(DMAV_Dienste!O$6:O$140,$E1164))),IF(INDEX(DMAV_Modell!P$6:P$838,$B1164)="","",INDEX(DMAV_Modell!P$6:P$838,$B1164)))</f>
        <v>Gebaeudeadressen</v>
      </c>
      <c r="M1164" s="62" t="str" cm="1">
        <f t="array" ref="M1164">IF($B1164=0,IF($E1164=0,"",IF(INDEX(DMAV_Dienste!Q$6:Q$140,$E1164)="","",INDEX(DMAV_Dienste!Q$6:Q$140,$E1164))),IF(INDEX(DMAV_Modell!R$6:R$838,$B1164)="","",INDEX(DMAV_Modell!R$6:R$838,$B1164)))</f>
        <v>Gebaeudeeingang</v>
      </c>
      <c r="N1164" s="62" t="str" cm="1">
        <f t="array" ref="N1164">IF($B1164=0,IF($E1164=0,"",IF(INDEX(DMAV_Dienste!T$6:T$140,$E1164)="","",INDEX(DMAV_Dienste!T$6:T$140,$E1164))),IF(INDEX(DMAV_Modell!U$6:U$838,$B1164)="","",INDEX(DMAV_Modell!U$6:U$838,$B1164)))</f>
        <v>Gebaeudestatus</v>
      </c>
      <c r="O1164" s="63" t="str" cm="1">
        <f t="array" aca="1" ref="O1164" ca="1">IF(C1164=0,IF(F1164=0,"",HYPERLINK("#"&amp;RIGHT(CELL("adresse",OFFSET(DMAV_Dienste!$M$6,F1164-1,0)),LEN(CELL("adresse",OFFSET(DMAV_Dienste!$M$6,F1164-1,0)))-FIND("]",CELL("adresse",OFFSET(DMAV_Dienste!$M$6,F1164-1,0)))),"Structure")),HYPERLINK("#"&amp;RIGHT(CELL("adresse",OFFSET(DMAV_Modell!$N$6,C1164-1,0)),LEN(CELL("adresse",OFFSET(DMAV_Modell!$N$6,C1164-1,0)))-FIND("]",CELL("adresse",OFFSET(DMAV_Modell!$N$6,C1164-1,0)))),"Structure"))</f>
        <v/>
      </c>
      <c r="P1164" s="64" t="str" cm="1">
        <f t="array" aca="1" ref="P1164" ca="1">IF(D1164=0,IF(G1164=0,"",HYPERLINK("#"&amp;RIGHT(CELL("adresse",OFFSET(DMAV_Dienste!$M$6,G1164-1,0)),LEN(CELL("adresse",OFFSET(DMAV_Dienste!$M$6,G1164-1,0)))-FIND("]",CELL("adresse",OFFSET(DMAV_Dienste!$M$6,G1164-1,0)))),"Substructure")),HYPERLINK("#"&amp;RIGHT(CELL("adresse",OFFSET(DMAV_Modell!$N$6,D1164-1,0)),LEN(CELL("adresse",OFFSET(DMAV_Modell!$N$6,D1164-1,0)))-FIND("]",CELL("adresse",OFFSET(DMAV_Modell!$N$6,D1164-1,0)))),"Substructure"))</f>
        <v/>
      </c>
      <c r="R1164" s="80"/>
      <c r="T1164" s="93"/>
      <c r="U1164" s="94"/>
      <c r="V1164" s="95"/>
      <c r="W1164" s="96"/>
      <c r="Y1164" s="85"/>
      <c r="Z1164" s="86"/>
      <c r="AA1164" s="87"/>
      <c r="AB1164" s="88"/>
      <c r="AD1164" s="77"/>
      <c r="AF1164" s="54" t="str" cm="1">
        <f t="array" aca="1" ref="AF1164" ca="1">IF(H1164=0,"",HYPERLINK("#"&amp;RIGHT(CELL("adresse",OFFSET('DM01-AV-CH'!$G$6,H1164-1,0)),LEN(CELL("adresse",OFFSET('DM01-AV-CH'!$G$6,H1164-1,0)))-FIND("]",CELL("adresse",OFFSET('DM01-AV-CH'!$G$6,H1164-1,0)))),"Modell"))</f>
        <v>Modell</v>
      </c>
      <c r="AG1164" s="72" t="str" cm="1">
        <f t="array" ref="AG1164">IF($H1164=0,"",IF(INDEX('DM01-AV-CH'!G$6:G$834,$H1164)="","",INDEX('DM01-AV-CH'!G$6:G$834,$H1164)))</f>
        <v>Gebaeudeadressen</v>
      </c>
      <c r="AH1164" s="73" t="str" cm="1">
        <f t="array" ref="AH1164">IF($H1164=0,"",IF(INDEX('DM01-AV-CH'!H$6:H$834,$H1164)="","",INDEX('DM01-AV-CH'!H$6:H$834,$H1164)))</f>
        <v>Gebaeudeeingang</v>
      </c>
      <c r="AI1164" s="74" t="str" cm="1">
        <f t="array" ref="AI1164">IF($H1164=0,"",IF(INDEX('DM01-AV-CH'!I$6:I$834,$H1164)="","",INDEX('DM01-AV-CH'!I$6:I$834,$H1164)))</f>
        <v>Status</v>
      </c>
    </row>
    <row r="1165" spans="1:35" ht="28.5" x14ac:dyDescent="0.25">
      <c r="A1165" s="57">
        <v>1160</v>
      </c>
      <c r="B1165" s="57">
        <f>IF($A1165="","",IF(_xlfn.XLOOKUP($A1165,Korrelation!$D$4:$D$1197,Korrelation!E$4:E$1197,"-",0)="-",0,MATCH(_xlfn.XLOOKUP($A1165,Korrelation!$D$4:$D$1197,Korrelation!E$4:E$1197,"",0),DMAV_Modell!$G$6:$G$677,0)))</f>
        <v>656</v>
      </c>
      <c r="C1165" s="57">
        <f>IF($A1165="","",IF(_xlfn.XLOOKUP($A1165,Korrelation!$D$4:$D$1197,Korrelation!F$4:F$1197,"-",0)="-",0,MATCH(_xlfn.XLOOKUP($A1165,Korrelation!$D$4:$D$1197,Korrelation!F$4:F$1197,"",0),DMAV_Modell!$G$6:$G$677,0)))</f>
        <v>0</v>
      </c>
      <c r="D1165" s="57">
        <f>IF($A1165="","",IF(_xlfn.XLOOKUP($A1165,Korrelation!$D$4:$D$1197,Korrelation!G$4:G$1197,"-",0)="-",0,MATCH(_xlfn.XLOOKUP($A1165,Korrelation!$D$4:$D$1197,Korrelation!G$4:G$1197,"",0),DMAV_Modell!$G$6:$G$677,0)))</f>
        <v>0</v>
      </c>
      <c r="E1165" s="57">
        <f>IF($A1165="","",IF(_xlfn.XLOOKUP($A1165,Korrelation!$D$4:$D$1197,Korrelation!H$4:H$1197,"-",0)="-",0,MATCH(_xlfn.XLOOKUP($A1165,Korrelation!$D$4:$D$1197,Korrelation!H$4:H$1197,"",0),DMAV_Dienste!$F$6:$F$140,0)))</f>
        <v>0</v>
      </c>
      <c r="F1165" s="57">
        <f>IF($A1165="","",IF(_xlfn.XLOOKUP($A1165,Korrelation!$D$4:$D$1197,Korrelation!I$4:I$1197,"-",0)="-",0,MATCH(_xlfn.XLOOKUP($A1165,Korrelation!$D$4:$D$1197,Korrelation!I$4:I$1197,"",0),DMAV_Dienste!$F$6:$F$140,0)))</f>
        <v>0</v>
      </c>
      <c r="G1165" s="57">
        <f>IF($A1165="","",IF(_xlfn.XLOOKUP($A1165,Korrelation!$D$4:$D$1197,Korrelation!J$4:J$1197,"-",0)="-",0,MATCH(_xlfn.XLOOKUP($A1165,Korrelation!$D$4:$D$1197,Korrelation!J$4:J$1197,"",0),DMAV_Dienste!$F$6:$F$140,0)))</f>
        <v>0</v>
      </c>
      <c r="H1165" s="57">
        <f>IF($A1165="","",IF(_xlfn.XLOOKUP($A1165,Korrelation!$D$4:$D$1197,Korrelation!K$4:K$1197,"-",0)="-",0,MATCH(_xlfn.XLOOKUP($A1165,Korrelation!$D$4:$D$1197,Korrelation!K$4:K$1197,"",0),'DM01-AV-CH'!$A$6:$A$834,0)))</f>
        <v>736</v>
      </c>
      <c r="J1165" s="54" t="str" cm="1">
        <f t="array" aca="1" ref="J1165" ca="1">IF(B1165=0,IF(E1165=0,"",HYPERLINK("#"&amp;RIGHT(CELL("adresse",OFFSET(DMAV_Dienste!$M$6,E1165-1,0)),LEN(CELL("adresse",OFFSET(DMAV_Dienste!$M$6,E1165-1,0)))-FIND("]",CELL("adresse",OFFSET(DMAV_Dienste!$M$6,E1165-1,0)))),"Dienst")),HYPERLINK("#"&amp;RIGHT(CELL("adresse",OFFSET(DMAV_Modell!$N$6,B1165-1,0)),LEN(CELL("adresse",OFFSET(DMAV_Modell!$N$6,B1165-1,0)))-FIND("]",CELL("adresse",OFFSET(DMAV_Modell!$N$6,B1165-1,0)))),"Modell"))</f>
        <v>Modell</v>
      </c>
      <c r="K1165" s="61" t="str" cm="1">
        <f t="array" ref="K1165">IF($B1165=0,IF($E1165=0,"",IF(INDEX(DMAV_Dienste!P$6:P$140,$E1165)="","",INDEX(DMAV_Dienste!P$6:P$140,$E1165))),IF(INDEX(DMAV_Modell!Q$6:Q$838,$B1165)="","",INDEX(DMAV_Modell!Q$6:Q$838,$B1165)))</f>
        <v>CLASS</v>
      </c>
      <c r="L1165" s="62" t="str" cm="1">
        <f t="array" ref="L1165">IF($B1165=0,IF($E1165=0,"",IF(INDEX(DMAV_Dienste!O$6:O$140,$E1165)="","",INDEX(DMAV_Dienste!O$6:O$140,$E1165))),IF(INDEX(DMAV_Modell!P$6:P$838,$B1165)="","",INDEX(DMAV_Modell!P$6:P$838,$B1165)))</f>
        <v>Gebaeudeadressen</v>
      </c>
      <c r="M1165" s="62" t="str" cm="1">
        <f t="array" ref="M1165">IF($B1165=0,IF($E1165=0,"",IF(INDEX(DMAV_Dienste!Q$6:Q$140,$E1165)="","",INDEX(DMAV_Dienste!Q$6:Q$140,$E1165))),IF(INDEX(DMAV_Modell!R$6:R$838,$B1165)="","",INDEX(DMAV_Modell!R$6:R$838,$B1165)))</f>
        <v>Gebaeudeeingang</v>
      </c>
      <c r="N1165" s="62" t="str" cm="1">
        <f t="array" ref="N1165">IF($B1165=0,IF($E1165=0,"",IF(INDEX(DMAV_Dienste!T$6:T$140,$E1165)="","",INDEX(DMAV_Dienste!T$6:T$140,$E1165))),IF(INDEX(DMAV_Modell!U$6:U$838,$B1165)="","",INDEX(DMAV_Modell!U$6:U$838,$B1165)))</f>
        <v>InAenderung</v>
      </c>
      <c r="O1165" s="63" t="str" cm="1">
        <f t="array" aca="1" ref="O1165" ca="1">IF(C1165=0,IF(F1165=0,"",HYPERLINK("#"&amp;RIGHT(CELL("adresse",OFFSET(DMAV_Dienste!$M$6,F1165-1,0)),LEN(CELL("adresse",OFFSET(DMAV_Dienste!$M$6,F1165-1,0)))-FIND("]",CELL("adresse",OFFSET(DMAV_Dienste!$M$6,F1165-1,0)))),"Structure")),HYPERLINK("#"&amp;RIGHT(CELL("adresse",OFFSET(DMAV_Modell!$N$6,C1165-1,0)),LEN(CELL("adresse",OFFSET(DMAV_Modell!$N$6,C1165-1,0)))-FIND("]",CELL("adresse",OFFSET(DMAV_Modell!$N$6,C1165-1,0)))),"Structure"))</f>
        <v/>
      </c>
      <c r="P1165" s="64" t="str" cm="1">
        <f t="array" aca="1" ref="P1165" ca="1">IF(D1165=0,IF(G1165=0,"",HYPERLINK("#"&amp;RIGHT(CELL("adresse",OFFSET(DMAV_Dienste!$M$6,G1165-1,0)),LEN(CELL("adresse",OFFSET(DMAV_Dienste!$M$6,G1165-1,0)))-FIND("]",CELL("adresse",OFFSET(DMAV_Dienste!$M$6,G1165-1,0)))),"Substructure")),HYPERLINK("#"&amp;RIGHT(CELL("adresse",OFFSET(DMAV_Modell!$N$6,D1165-1,0)),LEN(CELL("adresse",OFFSET(DMAV_Modell!$N$6,D1165-1,0)))-FIND("]",CELL("adresse",OFFSET(DMAV_Modell!$N$6,D1165-1,0)))),"Substructure"))</f>
        <v/>
      </c>
      <c r="R1165" s="80" t="s">
        <v>3062</v>
      </c>
      <c r="T1165" s="93"/>
      <c r="U1165" s="94"/>
      <c r="V1165" s="95"/>
      <c r="W1165" s="96"/>
      <c r="Y1165" s="85"/>
      <c r="Z1165" s="86"/>
      <c r="AA1165" s="87"/>
      <c r="AB1165" s="88"/>
      <c r="AD1165" s="77" t="s">
        <v>2992</v>
      </c>
      <c r="AF1165" s="54" t="str" cm="1">
        <f t="array" aca="1" ref="AF1165" ca="1">IF(H1165=0,"",HYPERLINK("#"&amp;RIGHT(CELL("adresse",OFFSET('DM01-AV-CH'!$G$6,H1165-1,0)),LEN(CELL("adresse",OFFSET('DM01-AV-CH'!$G$6,H1165-1,0)))-FIND("]",CELL("adresse",OFFSET('DM01-AV-CH'!$G$6,H1165-1,0)))),"Modell"))</f>
        <v>Modell</v>
      </c>
      <c r="AG1165" s="72" t="str" cm="1">
        <f t="array" ref="AG1165">IF($H1165=0,"",IF(INDEX('DM01-AV-CH'!G$6:G$834,$H1165)="","",INDEX('DM01-AV-CH'!G$6:G$834,$H1165)))</f>
        <v>Gebaeudeadressen</v>
      </c>
      <c r="AH1165" s="73" t="str" cm="1">
        <f t="array" ref="AH1165">IF($H1165=0,"",IF(INDEX('DM01-AV-CH'!H$6:H$834,$H1165)="","",INDEX('DM01-AV-CH'!H$6:H$834,$H1165)))</f>
        <v>Gebaeudeeingang</v>
      </c>
      <c r="AI1165" s="74" t="str" cm="1">
        <f t="array" ref="AI1165">IF($H1165=0,"",IF(INDEX('DM01-AV-CH'!I$6:I$834,$H1165)="","",INDEX('DM01-AV-CH'!I$6:I$834,$H1165)))</f>
        <v>InAenderung</v>
      </c>
    </row>
    <row r="1166" spans="1:35" ht="28.5" x14ac:dyDescent="0.25">
      <c r="A1166" s="57">
        <v>1161</v>
      </c>
      <c r="B1166" s="57">
        <f>IF($A1166="","",IF(_xlfn.XLOOKUP($A1166,Korrelation!$D$4:$D$1197,Korrelation!E$4:E$1197,"-",0)="-",0,MATCH(_xlfn.XLOOKUP($A1166,Korrelation!$D$4:$D$1197,Korrelation!E$4:E$1197,"",0),DMAV_Modell!$G$6:$G$677,0)))</f>
        <v>657</v>
      </c>
      <c r="C1166" s="57">
        <f>IF($A1166="","",IF(_xlfn.XLOOKUP($A1166,Korrelation!$D$4:$D$1197,Korrelation!F$4:F$1197,"-",0)="-",0,MATCH(_xlfn.XLOOKUP($A1166,Korrelation!$D$4:$D$1197,Korrelation!F$4:F$1197,"",0),DMAV_Modell!$G$6:$G$677,0)))</f>
        <v>0</v>
      </c>
      <c r="D1166" s="57">
        <f>IF($A1166="","",IF(_xlfn.XLOOKUP($A1166,Korrelation!$D$4:$D$1197,Korrelation!G$4:G$1197,"-",0)="-",0,MATCH(_xlfn.XLOOKUP($A1166,Korrelation!$D$4:$D$1197,Korrelation!G$4:G$1197,"",0),DMAV_Modell!$G$6:$G$677,0)))</f>
        <v>0</v>
      </c>
      <c r="E1166" s="57">
        <f>IF($A1166="","",IF(_xlfn.XLOOKUP($A1166,Korrelation!$D$4:$D$1197,Korrelation!H$4:H$1197,"-",0)="-",0,MATCH(_xlfn.XLOOKUP($A1166,Korrelation!$D$4:$D$1197,Korrelation!H$4:H$1197,"",0),DMAV_Dienste!$F$6:$F$140,0)))</f>
        <v>0</v>
      </c>
      <c r="F1166" s="57">
        <f>IF($A1166="","",IF(_xlfn.XLOOKUP($A1166,Korrelation!$D$4:$D$1197,Korrelation!I$4:I$1197,"-",0)="-",0,MATCH(_xlfn.XLOOKUP($A1166,Korrelation!$D$4:$D$1197,Korrelation!I$4:I$1197,"",0),DMAV_Dienste!$F$6:$F$140,0)))</f>
        <v>0</v>
      </c>
      <c r="G1166" s="57">
        <f>IF($A1166="","",IF(_xlfn.XLOOKUP($A1166,Korrelation!$D$4:$D$1197,Korrelation!J$4:J$1197,"-",0)="-",0,MATCH(_xlfn.XLOOKUP($A1166,Korrelation!$D$4:$D$1197,Korrelation!J$4:J$1197,"",0),DMAV_Dienste!$F$6:$F$140,0)))</f>
        <v>0</v>
      </c>
      <c r="H1166" s="57">
        <f>IF($A1166="","",IF(_xlfn.XLOOKUP($A1166,Korrelation!$D$4:$D$1197,Korrelation!K$4:K$1197,"-",0)="-",0,MATCH(_xlfn.XLOOKUP($A1166,Korrelation!$D$4:$D$1197,Korrelation!K$4:K$1197,"",0),'DM01-AV-CH'!$A$6:$A$834,0)))</f>
        <v>737</v>
      </c>
      <c r="J1166" s="54" t="str" cm="1">
        <f t="array" aca="1" ref="J1166" ca="1">IF(B1166=0,IF(E1166=0,"",HYPERLINK("#"&amp;RIGHT(CELL("adresse",OFFSET(DMAV_Dienste!$M$6,E1166-1,0)),LEN(CELL("adresse",OFFSET(DMAV_Dienste!$M$6,E1166-1,0)))-FIND("]",CELL("adresse",OFFSET(DMAV_Dienste!$M$6,E1166-1,0)))),"Dienst")),HYPERLINK("#"&amp;RIGHT(CELL("adresse",OFFSET(DMAV_Modell!$N$6,B1166-1,0)),LEN(CELL("adresse",OFFSET(DMAV_Modell!$N$6,B1166-1,0)))-FIND("]",CELL("adresse",OFFSET(DMAV_Modell!$N$6,B1166-1,0)))),"Modell"))</f>
        <v>Modell</v>
      </c>
      <c r="K1166" s="61" t="str" cm="1">
        <f t="array" ref="K1166">IF($B1166=0,IF($E1166=0,"",IF(INDEX(DMAV_Dienste!P$6:P$140,$E1166)="","",INDEX(DMAV_Dienste!P$6:P$140,$E1166))),IF(INDEX(DMAV_Modell!Q$6:Q$838,$B1166)="","",INDEX(DMAV_Modell!Q$6:Q$838,$B1166)))</f>
        <v>CLASS</v>
      </c>
      <c r="L1166" s="62" t="str" cm="1">
        <f t="array" ref="L1166">IF($B1166=0,IF($E1166=0,"",IF(INDEX(DMAV_Dienste!O$6:O$140,$E1166)="","",INDEX(DMAV_Dienste!O$6:O$140,$E1166))),IF(INDEX(DMAV_Modell!P$6:P$838,$B1166)="","",INDEX(DMAV_Modell!P$6:P$838,$B1166)))</f>
        <v>Gebaeudeadressen</v>
      </c>
      <c r="M1166" s="62" t="str" cm="1">
        <f t="array" ref="M1166">IF($B1166=0,IF($E1166=0,"",IF(INDEX(DMAV_Dienste!Q$6:Q$140,$E1166)="","",INDEX(DMAV_Dienste!Q$6:Q$140,$E1166))),IF(INDEX(DMAV_Modell!R$6:R$838,$B1166)="","",INDEX(DMAV_Modell!R$6:R$838,$B1166)))</f>
        <v>Gebaeudeeingang</v>
      </c>
      <c r="N1166" s="62" t="str" cm="1">
        <f t="array" ref="N1166">IF($B1166=0,IF($E1166=0,"",IF(INDEX(DMAV_Dienste!T$6:T$140,$E1166)="","",INDEX(DMAV_Dienste!T$6:T$140,$E1166))),IF(INDEX(DMAV_Modell!U$6:U$838,$B1166)="","",INDEX(DMAV_Modell!U$6:U$838,$B1166)))</f>
        <v>AttributeProvisorisch</v>
      </c>
      <c r="O1166" s="63" t="str" cm="1">
        <f t="array" aca="1" ref="O1166" ca="1">IF(C1166=0,IF(F1166=0,"",HYPERLINK("#"&amp;RIGHT(CELL("adresse",OFFSET(DMAV_Dienste!$M$6,F1166-1,0)),LEN(CELL("adresse",OFFSET(DMAV_Dienste!$M$6,F1166-1,0)))-FIND("]",CELL("adresse",OFFSET(DMAV_Dienste!$M$6,F1166-1,0)))),"Structure")),HYPERLINK("#"&amp;RIGHT(CELL("adresse",OFFSET(DMAV_Modell!$N$6,C1166-1,0)),LEN(CELL("adresse",OFFSET(DMAV_Modell!$N$6,C1166-1,0)))-FIND("]",CELL("adresse",OFFSET(DMAV_Modell!$N$6,C1166-1,0)))),"Structure"))</f>
        <v/>
      </c>
      <c r="P1166" s="64" t="str" cm="1">
        <f t="array" aca="1" ref="P1166" ca="1">IF(D1166=0,IF(G1166=0,"",HYPERLINK("#"&amp;RIGHT(CELL("adresse",OFFSET(DMAV_Dienste!$M$6,G1166-1,0)),LEN(CELL("adresse",OFFSET(DMAV_Dienste!$M$6,G1166-1,0)))-FIND("]",CELL("adresse",OFFSET(DMAV_Dienste!$M$6,G1166-1,0)))),"Substructure")),HYPERLINK("#"&amp;RIGHT(CELL("adresse",OFFSET(DMAV_Modell!$N$6,D1166-1,0)),LEN(CELL("adresse",OFFSET(DMAV_Modell!$N$6,D1166-1,0)))-FIND("]",CELL("adresse",OFFSET(DMAV_Modell!$N$6,D1166-1,0)))),"Substructure"))</f>
        <v/>
      </c>
      <c r="R1166" s="80" t="s">
        <v>3062</v>
      </c>
      <c r="T1166" s="93"/>
      <c r="U1166" s="94"/>
      <c r="V1166" s="95"/>
      <c r="W1166" s="96"/>
      <c r="Y1166" s="85"/>
      <c r="Z1166" s="86"/>
      <c r="AA1166" s="87"/>
      <c r="AB1166" s="88"/>
      <c r="AD1166" s="77" t="s">
        <v>2992</v>
      </c>
      <c r="AF1166" s="54" t="str" cm="1">
        <f t="array" aca="1" ref="AF1166" ca="1">IF(H1166=0,"",HYPERLINK("#"&amp;RIGHT(CELL("adresse",OFFSET('DM01-AV-CH'!$G$6,H1166-1,0)),LEN(CELL("adresse",OFFSET('DM01-AV-CH'!$G$6,H1166-1,0)))-FIND("]",CELL("adresse",OFFSET('DM01-AV-CH'!$G$6,H1166-1,0)))),"Modell"))</f>
        <v>Modell</v>
      </c>
      <c r="AG1166" s="72" t="str" cm="1">
        <f t="array" ref="AG1166">IF($H1166=0,"",IF(INDEX('DM01-AV-CH'!G$6:G$834,$H1166)="","",INDEX('DM01-AV-CH'!G$6:G$834,$H1166)))</f>
        <v>Gebaeudeadressen</v>
      </c>
      <c r="AH1166" s="73" t="str" cm="1">
        <f t="array" ref="AH1166">IF($H1166=0,"",IF(INDEX('DM01-AV-CH'!H$6:H$834,$H1166)="","",INDEX('DM01-AV-CH'!H$6:H$834,$H1166)))</f>
        <v>Gebaeudeeingang</v>
      </c>
      <c r="AI1166" s="74" t="str" cm="1">
        <f t="array" ref="AI1166">IF($H1166=0,"",IF(INDEX('DM01-AV-CH'!I$6:I$834,$H1166)="","",INDEX('DM01-AV-CH'!I$6:I$834,$H1166)))</f>
        <v>AttributeProvisorisch</v>
      </c>
    </row>
    <row r="1167" spans="1:35" ht="28.5" x14ac:dyDescent="0.25">
      <c r="A1167" s="57">
        <v>1162</v>
      </c>
      <c r="B1167" s="57">
        <f>IF($A1167="","",IF(_xlfn.XLOOKUP($A1167,Korrelation!$D$4:$D$1197,Korrelation!E$4:E$1197,"-",0)="-",0,MATCH(_xlfn.XLOOKUP($A1167,Korrelation!$D$4:$D$1197,Korrelation!E$4:E$1197,"",0),DMAV_Modell!$G$6:$G$677,0)))</f>
        <v>658</v>
      </c>
      <c r="C1167" s="57">
        <f>IF($A1167="","",IF(_xlfn.XLOOKUP($A1167,Korrelation!$D$4:$D$1197,Korrelation!F$4:F$1197,"-",0)="-",0,MATCH(_xlfn.XLOOKUP($A1167,Korrelation!$D$4:$D$1197,Korrelation!F$4:F$1197,"",0),DMAV_Modell!$G$6:$G$677,0)))</f>
        <v>0</v>
      </c>
      <c r="D1167" s="57">
        <f>IF($A1167="","",IF(_xlfn.XLOOKUP($A1167,Korrelation!$D$4:$D$1197,Korrelation!G$4:G$1197,"-",0)="-",0,MATCH(_xlfn.XLOOKUP($A1167,Korrelation!$D$4:$D$1197,Korrelation!G$4:G$1197,"",0),DMAV_Modell!$G$6:$G$677,0)))</f>
        <v>0</v>
      </c>
      <c r="E1167" s="57">
        <f>IF($A1167="","",IF(_xlfn.XLOOKUP($A1167,Korrelation!$D$4:$D$1197,Korrelation!H$4:H$1197,"-",0)="-",0,MATCH(_xlfn.XLOOKUP($A1167,Korrelation!$D$4:$D$1197,Korrelation!H$4:H$1197,"",0),DMAV_Dienste!$F$6:$F$140,0)))</f>
        <v>0</v>
      </c>
      <c r="F1167" s="57">
        <f>IF($A1167="","",IF(_xlfn.XLOOKUP($A1167,Korrelation!$D$4:$D$1197,Korrelation!I$4:I$1197,"-",0)="-",0,MATCH(_xlfn.XLOOKUP($A1167,Korrelation!$D$4:$D$1197,Korrelation!I$4:I$1197,"",0),DMAV_Dienste!$F$6:$F$140,0)))</f>
        <v>0</v>
      </c>
      <c r="G1167" s="57">
        <f>IF($A1167="","",IF(_xlfn.XLOOKUP($A1167,Korrelation!$D$4:$D$1197,Korrelation!J$4:J$1197,"-",0)="-",0,MATCH(_xlfn.XLOOKUP($A1167,Korrelation!$D$4:$D$1197,Korrelation!J$4:J$1197,"",0),DMAV_Dienste!$F$6:$F$140,0)))</f>
        <v>0</v>
      </c>
      <c r="H1167" s="57">
        <f>IF($A1167="","",IF(_xlfn.XLOOKUP($A1167,Korrelation!$D$4:$D$1197,Korrelation!K$4:K$1197,"-",0)="-",0,MATCH(_xlfn.XLOOKUP($A1167,Korrelation!$D$4:$D$1197,Korrelation!K$4:K$1197,"",0),'DM01-AV-CH'!$A$6:$A$834,0)))</f>
        <v>738</v>
      </c>
      <c r="J1167" s="54" t="str" cm="1">
        <f t="array" aca="1" ref="J1167" ca="1">IF(B1167=0,IF(E1167=0,"",HYPERLINK("#"&amp;RIGHT(CELL("adresse",OFFSET(DMAV_Dienste!$M$6,E1167-1,0)),LEN(CELL("adresse",OFFSET(DMAV_Dienste!$M$6,E1167-1,0)))-FIND("]",CELL("adresse",OFFSET(DMAV_Dienste!$M$6,E1167-1,0)))),"Dienst")),HYPERLINK("#"&amp;RIGHT(CELL("adresse",OFFSET(DMAV_Modell!$N$6,B1167-1,0)),LEN(CELL("adresse",OFFSET(DMAV_Modell!$N$6,B1167-1,0)))-FIND("]",CELL("adresse",OFFSET(DMAV_Modell!$N$6,B1167-1,0)))),"Modell"))</f>
        <v>Modell</v>
      </c>
      <c r="K1167" s="61" t="str" cm="1">
        <f t="array" ref="K1167">IF($B1167=0,IF($E1167=0,"",IF(INDEX(DMAV_Dienste!P$6:P$140,$E1167)="","",INDEX(DMAV_Dienste!P$6:P$140,$E1167))),IF(INDEX(DMAV_Modell!Q$6:Q$838,$B1167)="","",INDEX(DMAV_Modell!Q$6:Q$838,$B1167)))</f>
        <v>CLASS</v>
      </c>
      <c r="L1167" s="62" t="str" cm="1">
        <f t="array" ref="L1167">IF($B1167=0,IF($E1167=0,"",IF(INDEX(DMAV_Dienste!O$6:O$140,$E1167)="","",INDEX(DMAV_Dienste!O$6:O$140,$E1167))),IF(INDEX(DMAV_Modell!P$6:P$838,$B1167)="","",INDEX(DMAV_Modell!P$6:P$838,$B1167)))</f>
        <v>Gebaeudeadressen</v>
      </c>
      <c r="M1167" s="62" t="str" cm="1">
        <f t="array" ref="M1167">IF($B1167=0,IF($E1167=0,"",IF(INDEX(DMAV_Dienste!Q$6:Q$140,$E1167)="","",INDEX(DMAV_Dienste!Q$6:Q$140,$E1167))),IF(INDEX(DMAV_Modell!R$6:R$838,$B1167)="","",INDEX(DMAV_Modell!R$6:R$838,$B1167)))</f>
        <v>Gebaeudeeingang</v>
      </c>
      <c r="N1167" s="62" t="str" cm="1">
        <f t="array" ref="N1167">IF($B1167=0,IF($E1167=0,"",IF(INDEX(DMAV_Dienste!T$6:T$140,$E1167)="","",INDEX(DMAV_Dienste!T$6:T$140,$E1167))),IF(INDEX(DMAV_Modell!U$6:U$838,$B1167)="","",INDEX(DMAV_Modell!U$6:U$838,$B1167)))</f>
        <v>IstOffizielleGebaeudeadresse</v>
      </c>
      <c r="O1167" s="63" t="str" cm="1">
        <f t="array" aca="1" ref="O1167" ca="1">IF(C1167=0,IF(F1167=0,"",HYPERLINK("#"&amp;RIGHT(CELL("adresse",OFFSET(DMAV_Dienste!$M$6,F1167-1,0)),LEN(CELL("adresse",OFFSET(DMAV_Dienste!$M$6,F1167-1,0)))-FIND("]",CELL("adresse",OFFSET(DMAV_Dienste!$M$6,F1167-1,0)))),"Structure")),HYPERLINK("#"&amp;RIGHT(CELL("adresse",OFFSET(DMAV_Modell!$N$6,C1167-1,0)),LEN(CELL("adresse",OFFSET(DMAV_Modell!$N$6,C1167-1,0)))-FIND("]",CELL("adresse",OFFSET(DMAV_Modell!$N$6,C1167-1,0)))),"Structure"))</f>
        <v/>
      </c>
      <c r="P1167" s="64" t="str" cm="1">
        <f t="array" aca="1" ref="P1167" ca="1">IF(D1167=0,IF(G1167=0,"",HYPERLINK("#"&amp;RIGHT(CELL("adresse",OFFSET(DMAV_Dienste!$M$6,G1167-1,0)),LEN(CELL("adresse",OFFSET(DMAV_Dienste!$M$6,G1167-1,0)))-FIND("]",CELL("adresse",OFFSET(DMAV_Dienste!$M$6,G1167-1,0)))),"Substructure")),HYPERLINK("#"&amp;RIGHT(CELL("adresse",OFFSET(DMAV_Modell!$N$6,D1167-1,0)),LEN(CELL("adresse",OFFSET(DMAV_Modell!$N$6,D1167-1,0)))-FIND("]",CELL("adresse",OFFSET(DMAV_Modell!$N$6,D1167-1,0)))),"Substructure"))</f>
        <v/>
      </c>
      <c r="R1167" s="80" t="s">
        <v>3062</v>
      </c>
      <c r="T1167" s="93"/>
      <c r="U1167" s="94"/>
      <c r="V1167" s="95"/>
      <c r="W1167" s="96"/>
      <c r="Y1167" s="85"/>
      <c r="Z1167" s="86"/>
      <c r="AA1167" s="87"/>
      <c r="AB1167" s="88"/>
      <c r="AD1167" s="77" t="s">
        <v>2992</v>
      </c>
      <c r="AF1167" s="54" t="str" cm="1">
        <f t="array" aca="1" ref="AF1167" ca="1">IF(H1167=0,"",HYPERLINK("#"&amp;RIGHT(CELL("adresse",OFFSET('DM01-AV-CH'!$G$6,H1167-1,0)),LEN(CELL("adresse",OFFSET('DM01-AV-CH'!$G$6,H1167-1,0)))-FIND("]",CELL("adresse",OFFSET('DM01-AV-CH'!$G$6,H1167-1,0)))),"Modell"))</f>
        <v>Modell</v>
      </c>
      <c r="AG1167" s="72" t="str" cm="1">
        <f t="array" ref="AG1167">IF($H1167=0,"",IF(INDEX('DM01-AV-CH'!G$6:G$834,$H1167)="","",INDEX('DM01-AV-CH'!G$6:G$834,$H1167)))</f>
        <v>Gebaeudeadressen</v>
      </c>
      <c r="AH1167" s="73" t="str" cm="1">
        <f t="array" ref="AH1167">IF($H1167=0,"",IF(INDEX('DM01-AV-CH'!H$6:H$834,$H1167)="","",INDEX('DM01-AV-CH'!H$6:H$834,$H1167)))</f>
        <v>Gebaeudeeingang</v>
      </c>
      <c r="AI1167" s="74" t="str" cm="1">
        <f t="array" ref="AI1167">IF($H1167=0,"",IF(INDEX('DM01-AV-CH'!I$6:I$834,$H1167)="","",INDEX('DM01-AV-CH'!I$6:I$834,$H1167)))</f>
        <v>IstOffizielleBezeichnung</v>
      </c>
    </row>
    <row r="1168" spans="1:35" x14ac:dyDescent="0.25">
      <c r="A1168" s="57">
        <v>1163</v>
      </c>
      <c r="B1168" s="57">
        <f>IF($A1168="","",IF(_xlfn.XLOOKUP($A1168,Korrelation!$D$4:$D$1197,Korrelation!E$4:E$1197,"-",0)="-",0,MATCH(_xlfn.XLOOKUP($A1168,Korrelation!$D$4:$D$1197,Korrelation!E$4:E$1197,"",0),DMAV_Modell!$G$6:$G$677,0)))</f>
        <v>659</v>
      </c>
      <c r="C1168" s="57">
        <f>IF($A1168="","",IF(_xlfn.XLOOKUP($A1168,Korrelation!$D$4:$D$1197,Korrelation!F$4:F$1197,"-",0)="-",0,MATCH(_xlfn.XLOOKUP($A1168,Korrelation!$D$4:$D$1197,Korrelation!F$4:F$1197,"",0),DMAV_Modell!$G$6:$G$677,0)))</f>
        <v>0</v>
      </c>
      <c r="D1168" s="57">
        <f>IF($A1168="","",IF(_xlfn.XLOOKUP($A1168,Korrelation!$D$4:$D$1197,Korrelation!G$4:G$1197,"-",0)="-",0,MATCH(_xlfn.XLOOKUP($A1168,Korrelation!$D$4:$D$1197,Korrelation!G$4:G$1197,"",0),DMAV_Modell!$G$6:$G$677,0)))</f>
        <v>0</v>
      </c>
      <c r="E1168" s="57">
        <f>IF($A1168="","",IF(_xlfn.XLOOKUP($A1168,Korrelation!$D$4:$D$1197,Korrelation!H$4:H$1197,"-",0)="-",0,MATCH(_xlfn.XLOOKUP($A1168,Korrelation!$D$4:$D$1197,Korrelation!H$4:H$1197,"",0),DMAV_Dienste!$F$6:$F$140,0)))</f>
        <v>0</v>
      </c>
      <c r="F1168" s="57">
        <f>IF($A1168="","",IF(_xlfn.XLOOKUP($A1168,Korrelation!$D$4:$D$1197,Korrelation!I$4:I$1197,"-",0)="-",0,MATCH(_xlfn.XLOOKUP($A1168,Korrelation!$D$4:$D$1197,Korrelation!I$4:I$1197,"",0),DMAV_Dienste!$F$6:$F$140,0)))</f>
        <v>0</v>
      </c>
      <c r="G1168" s="57">
        <f>IF($A1168="","",IF(_xlfn.XLOOKUP($A1168,Korrelation!$D$4:$D$1197,Korrelation!J$4:J$1197,"-",0)="-",0,MATCH(_xlfn.XLOOKUP($A1168,Korrelation!$D$4:$D$1197,Korrelation!J$4:J$1197,"",0),DMAV_Dienste!$F$6:$F$140,0)))</f>
        <v>0</v>
      </c>
      <c r="H1168" s="57">
        <f>IF($A1168="","",IF(_xlfn.XLOOKUP($A1168,Korrelation!$D$4:$D$1197,Korrelation!K$4:K$1197,"-",0)="-",0,MATCH(_xlfn.XLOOKUP($A1168,Korrelation!$D$4:$D$1197,Korrelation!K$4:K$1197,"",0),'DM01-AV-CH'!$A$6:$A$834,0)))</f>
        <v>739</v>
      </c>
      <c r="J1168" s="54" t="str" cm="1">
        <f t="array" aca="1" ref="J1168" ca="1">IF(B1168=0,IF(E1168=0,"",HYPERLINK("#"&amp;RIGHT(CELL("adresse",OFFSET(DMAV_Dienste!$M$6,E1168-1,0)),LEN(CELL("adresse",OFFSET(DMAV_Dienste!$M$6,E1168-1,0)))-FIND("]",CELL("adresse",OFFSET(DMAV_Dienste!$M$6,E1168-1,0)))),"Dienst")),HYPERLINK("#"&amp;RIGHT(CELL("adresse",OFFSET(DMAV_Modell!$N$6,B1168-1,0)),LEN(CELL("adresse",OFFSET(DMAV_Modell!$N$6,B1168-1,0)))-FIND("]",CELL("adresse",OFFSET(DMAV_Modell!$N$6,B1168-1,0)))),"Modell"))</f>
        <v>Modell</v>
      </c>
      <c r="K1168" s="61" t="str" cm="1">
        <f t="array" ref="K1168">IF($B1168=0,IF($E1168=0,"",IF(INDEX(DMAV_Dienste!P$6:P$140,$E1168)="","",INDEX(DMAV_Dienste!P$6:P$140,$E1168))),IF(INDEX(DMAV_Modell!Q$6:Q$838,$B1168)="","",INDEX(DMAV_Modell!Q$6:Q$838,$B1168)))</f>
        <v>CLASS</v>
      </c>
      <c r="L1168" s="62" t="str" cm="1">
        <f t="array" ref="L1168">IF($B1168=0,IF($E1168=0,"",IF(INDEX(DMAV_Dienste!O$6:O$140,$E1168)="","",INDEX(DMAV_Dienste!O$6:O$140,$E1168))),IF(INDEX(DMAV_Modell!P$6:P$838,$B1168)="","",INDEX(DMAV_Modell!P$6:P$838,$B1168)))</f>
        <v>Gebaeudeadressen</v>
      </c>
      <c r="M1168" s="62" t="str" cm="1">
        <f t="array" ref="M1168">IF($B1168=0,IF($E1168=0,"",IF(INDEX(DMAV_Dienste!Q$6:Q$140,$E1168)="","",INDEX(DMAV_Dienste!Q$6:Q$140,$E1168))),IF(INDEX(DMAV_Modell!R$6:R$838,$B1168)="","",INDEX(DMAV_Modell!R$6:R$838,$B1168)))</f>
        <v>Gebaeudeeingang</v>
      </c>
      <c r="N1168" s="62" t="str" cm="1">
        <f t="array" ref="N1168">IF($B1168=0,IF($E1168=0,"",IF(INDEX(DMAV_Dienste!T$6:T$140,$E1168)="","",INDEX(DMAV_Dienste!T$6:T$140,$E1168))),IF(INDEX(DMAV_Modell!U$6:U$838,$B1168)="","",INDEX(DMAV_Modell!U$6:U$838,$B1168)))</f>
        <v>Geometrie</v>
      </c>
      <c r="O1168" s="63" t="str" cm="1">
        <f t="array" aca="1" ref="O1168" ca="1">IF(C1168=0,IF(F1168=0,"",HYPERLINK("#"&amp;RIGHT(CELL("adresse",OFFSET(DMAV_Dienste!$M$6,F1168-1,0)),LEN(CELL("adresse",OFFSET(DMAV_Dienste!$M$6,F1168-1,0)))-FIND("]",CELL("adresse",OFFSET(DMAV_Dienste!$M$6,F1168-1,0)))),"Structure")),HYPERLINK("#"&amp;RIGHT(CELL("adresse",OFFSET(DMAV_Modell!$N$6,C1168-1,0)),LEN(CELL("adresse",OFFSET(DMAV_Modell!$N$6,C1168-1,0)))-FIND("]",CELL("adresse",OFFSET(DMAV_Modell!$N$6,C1168-1,0)))),"Structure"))</f>
        <v/>
      </c>
      <c r="P1168" s="64" t="str" cm="1">
        <f t="array" aca="1" ref="P1168" ca="1">IF(D1168=0,IF(G1168=0,"",HYPERLINK("#"&amp;RIGHT(CELL("adresse",OFFSET(DMAV_Dienste!$M$6,G1168-1,0)),LEN(CELL("adresse",OFFSET(DMAV_Dienste!$M$6,G1168-1,0)))-FIND("]",CELL("adresse",OFFSET(DMAV_Dienste!$M$6,G1168-1,0)))),"Substructure")),HYPERLINK("#"&amp;RIGHT(CELL("adresse",OFFSET(DMAV_Modell!$N$6,D1168-1,0)),LEN(CELL("adresse",OFFSET(DMAV_Modell!$N$6,D1168-1,0)))-FIND("]",CELL("adresse",OFFSET(DMAV_Modell!$N$6,D1168-1,0)))),"Substructure"))</f>
        <v/>
      </c>
      <c r="R1168" s="80"/>
      <c r="T1168" s="93"/>
      <c r="U1168" s="94"/>
      <c r="V1168" s="95"/>
      <c r="W1168" s="96"/>
      <c r="Y1168" s="85"/>
      <c r="Z1168" s="86"/>
      <c r="AA1168" s="87"/>
      <c r="AB1168" s="88"/>
      <c r="AD1168" s="77"/>
      <c r="AF1168" s="54" t="str" cm="1">
        <f t="array" aca="1" ref="AF1168" ca="1">IF(H1168=0,"",HYPERLINK("#"&amp;RIGHT(CELL("adresse",OFFSET('DM01-AV-CH'!$G$6,H1168-1,0)),LEN(CELL("adresse",OFFSET('DM01-AV-CH'!$G$6,H1168-1,0)))-FIND("]",CELL("adresse",OFFSET('DM01-AV-CH'!$G$6,H1168-1,0)))),"Modell"))</f>
        <v>Modell</v>
      </c>
      <c r="AG1168" s="72" t="str" cm="1">
        <f t="array" ref="AG1168">IF($H1168=0,"",IF(INDEX('DM01-AV-CH'!G$6:G$834,$H1168)="","",INDEX('DM01-AV-CH'!G$6:G$834,$H1168)))</f>
        <v>Gebaeudeadressen</v>
      </c>
      <c r="AH1168" s="73" t="str" cm="1">
        <f t="array" ref="AH1168">IF($H1168=0,"",IF(INDEX('DM01-AV-CH'!H$6:H$834,$H1168)="","",INDEX('DM01-AV-CH'!H$6:H$834,$H1168)))</f>
        <v>Gebaeudeeingang</v>
      </c>
      <c r="AI1168" s="74" t="str" cm="1">
        <f t="array" ref="AI1168">IF($H1168=0,"",IF(INDEX('DM01-AV-CH'!I$6:I$834,$H1168)="","",INDEX('DM01-AV-CH'!I$6:I$834,$H1168)))</f>
        <v>Lage</v>
      </c>
    </row>
    <row r="1169" spans="1:35" x14ac:dyDescent="0.25">
      <c r="A1169" s="57">
        <v>1164</v>
      </c>
      <c r="B1169" s="57">
        <f>IF($A1169="","",IF(_xlfn.XLOOKUP($A1169,Korrelation!$D$4:$D$1197,Korrelation!E$4:E$1197,"-",0)="-",0,MATCH(_xlfn.XLOOKUP($A1169,Korrelation!$D$4:$D$1197,Korrelation!E$4:E$1197,"",0),DMAV_Modell!$G$6:$G$677,0)))</f>
        <v>660</v>
      </c>
      <c r="C1169" s="57">
        <f>IF($A1169="","",IF(_xlfn.XLOOKUP($A1169,Korrelation!$D$4:$D$1197,Korrelation!F$4:F$1197,"-",0)="-",0,MATCH(_xlfn.XLOOKUP($A1169,Korrelation!$D$4:$D$1197,Korrelation!F$4:F$1197,"",0),DMAV_Modell!$G$6:$G$677,0)))</f>
        <v>0</v>
      </c>
      <c r="D1169" s="57">
        <f>IF($A1169="","",IF(_xlfn.XLOOKUP($A1169,Korrelation!$D$4:$D$1197,Korrelation!G$4:G$1197,"-",0)="-",0,MATCH(_xlfn.XLOOKUP($A1169,Korrelation!$D$4:$D$1197,Korrelation!G$4:G$1197,"",0),DMAV_Modell!$G$6:$G$677,0)))</f>
        <v>0</v>
      </c>
      <c r="E1169" s="57">
        <f>IF($A1169="","",IF(_xlfn.XLOOKUP($A1169,Korrelation!$D$4:$D$1197,Korrelation!H$4:H$1197,"-",0)="-",0,MATCH(_xlfn.XLOOKUP($A1169,Korrelation!$D$4:$D$1197,Korrelation!H$4:H$1197,"",0),DMAV_Dienste!$F$6:$F$140,0)))</f>
        <v>0</v>
      </c>
      <c r="F1169" s="57">
        <f>IF($A1169="","",IF(_xlfn.XLOOKUP($A1169,Korrelation!$D$4:$D$1197,Korrelation!I$4:I$1197,"-",0)="-",0,MATCH(_xlfn.XLOOKUP($A1169,Korrelation!$D$4:$D$1197,Korrelation!I$4:I$1197,"",0),DMAV_Dienste!$F$6:$F$140,0)))</f>
        <v>0</v>
      </c>
      <c r="G1169" s="57">
        <f>IF($A1169="","",IF(_xlfn.XLOOKUP($A1169,Korrelation!$D$4:$D$1197,Korrelation!J$4:J$1197,"-",0)="-",0,MATCH(_xlfn.XLOOKUP($A1169,Korrelation!$D$4:$D$1197,Korrelation!J$4:J$1197,"",0),DMAV_Dienste!$F$6:$F$140,0)))</f>
        <v>0</v>
      </c>
      <c r="H1169" s="57">
        <f>IF($A1169="","",IF(_xlfn.XLOOKUP($A1169,Korrelation!$D$4:$D$1197,Korrelation!K$4:K$1197,"-",0)="-",0,MATCH(_xlfn.XLOOKUP($A1169,Korrelation!$D$4:$D$1197,Korrelation!K$4:K$1197,"",0),'DM01-AV-CH'!$A$6:$A$834,0)))</f>
        <v>740</v>
      </c>
      <c r="J1169" s="54" t="str" cm="1">
        <f t="array" aca="1" ref="J1169" ca="1">IF(B1169=0,IF(E1169=0,"",HYPERLINK("#"&amp;RIGHT(CELL("adresse",OFFSET(DMAV_Dienste!$M$6,E1169-1,0)),LEN(CELL("adresse",OFFSET(DMAV_Dienste!$M$6,E1169-1,0)))-FIND("]",CELL("adresse",OFFSET(DMAV_Dienste!$M$6,E1169-1,0)))),"Dienst")),HYPERLINK("#"&amp;RIGHT(CELL("adresse",OFFSET(DMAV_Modell!$N$6,B1169-1,0)),LEN(CELL("adresse",OFFSET(DMAV_Modell!$N$6,B1169-1,0)))-FIND("]",CELL("adresse",OFFSET(DMAV_Modell!$N$6,B1169-1,0)))),"Modell"))</f>
        <v>Modell</v>
      </c>
      <c r="K1169" s="61" t="str" cm="1">
        <f t="array" ref="K1169">IF($B1169=0,IF($E1169=0,"",IF(INDEX(DMAV_Dienste!P$6:P$140,$E1169)="","",INDEX(DMAV_Dienste!P$6:P$140,$E1169))),IF(INDEX(DMAV_Modell!Q$6:Q$838,$B1169)="","",INDEX(DMAV_Modell!Q$6:Q$838,$B1169)))</f>
        <v>CLASS</v>
      </c>
      <c r="L1169" s="62" t="str" cm="1">
        <f t="array" ref="L1169">IF($B1169=0,IF($E1169=0,"",IF(INDEX(DMAV_Dienste!O$6:O$140,$E1169)="","",INDEX(DMAV_Dienste!O$6:O$140,$E1169))),IF(INDEX(DMAV_Modell!P$6:P$838,$B1169)="","",INDEX(DMAV_Modell!P$6:P$838,$B1169)))</f>
        <v>Gebaeudeadressen</v>
      </c>
      <c r="M1169" s="62" t="str" cm="1">
        <f t="array" ref="M1169">IF($B1169=0,IF($E1169=0,"",IF(INDEX(DMAV_Dienste!Q$6:Q$140,$E1169)="","",INDEX(DMAV_Dienste!Q$6:Q$140,$E1169))),IF(INDEX(DMAV_Modell!R$6:R$838,$B1169)="","",INDEX(DMAV_Modell!R$6:R$838,$B1169)))</f>
        <v>Gebaeudeeingang</v>
      </c>
      <c r="N1169" s="62" t="str" cm="1">
        <f t="array" ref="N1169">IF($B1169=0,IF($E1169=0,"",IF(INDEX(DMAV_Dienste!T$6:T$140,$E1169)="","",INDEX(DMAV_Dienste!T$6:T$140,$E1169))),IF(INDEX(DMAV_Modell!U$6:U$838,$B1169)="","",INDEX(DMAV_Modell!U$6:U$838,$B1169)))</f>
        <v>HoeheUeberGrund</v>
      </c>
      <c r="O1169" s="63" t="str" cm="1">
        <f t="array" aca="1" ref="O1169" ca="1">IF(C1169=0,IF(F1169=0,"",HYPERLINK("#"&amp;RIGHT(CELL("adresse",OFFSET(DMAV_Dienste!$M$6,F1169-1,0)),LEN(CELL("adresse",OFFSET(DMAV_Dienste!$M$6,F1169-1,0)))-FIND("]",CELL("adresse",OFFSET(DMAV_Dienste!$M$6,F1169-1,0)))),"Structure")),HYPERLINK("#"&amp;RIGHT(CELL("adresse",OFFSET(DMAV_Modell!$N$6,C1169-1,0)),LEN(CELL("adresse",OFFSET(DMAV_Modell!$N$6,C1169-1,0)))-FIND("]",CELL("adresse",OFFSET(DMAV_Modell!$N$6,C1169-1,0)))),"Structure"))</f>
        <v/>
      </c>
      <c r="P1169" s="64" t="str" cm="1">
        <f t="array" aca="1" ref="P1169" ca="1">IF(D1169=0,IF(G1169=0,"",HYPERLINK("#"&amp;RIGHT(CELL("adresse",OFFSET(DMAV_Dienste!$M$6,G1169-1,0)),LEN(CELL("adresse",OFFSET(DMAV_Dienste!$M$6,G1169-1,0)))-FIND("]",CELL("adresse",OFFSET(DMAV_Dienste!$M$6,G1169-1,0)))),"Substructure")),HYPERLINK("#"&amp;RIGHT(CELL("adresse",OFFSET(DMAV_Modell!$N$6,D1169-1,0)),LEN(CELL("adresse",OFFSET(DMAV_Modell!$N$6,D1169-1,0)))-FIND("]",CELL("adresse",OFFSET(DMAV_Modell!$N$6,D1169-1,0)))),"Substructure"))</f>
        <v/>
      </c>
      <c r="R1169" s="80"/>
      <c r="T1169" s="93"/>
      <c r="U1169" s="94"/>
      <c r="V1169" s="95"/>
      <c r="W1169" s="96"/>
      <c r="Y1169" s="85"/>
      <c r="Z1169" s="86"/>
      <c r="AA1169" s="87"/>
      <c r="AB1169" s="88"/>
      <c r="AD1169" s="77"/>
      <c r="AF1169" s="54" t="str" cm="1">
        <f t="array" aca="1" ref="AF1169" ca="1">IF(H1169=0,"",HYPERLINK("#"&amp;RIGHT(CELL("adresse",OFFSET('DM01-AV-CH'!$G$6,H1169-1,0)),LEN(CELL("adresse",OFFSET('DM01-AV-CH'!$G$6,H1169-1,0)))-FIND("]",CELL("adresse",OFFSET('DM01-AV-CH'!$G$6,H1169-1,0)))),"Modell"))</f>
        <v>Modell</v>
      </c>
      <c r="AG1169" s="72" t="str" cm="1">
        <f t="array" ref="AG1169">IF($H1169=0,"",IF(INDEX('DM01-AV-CH'!G$6:G$834,$H1169)="","",INDEX('DM01-AV-CH'!G$6:G$834,$H1169)))</f>
        <v>Gebaeudeadressen</v>
      </c>
      <c r="AH1169" s="73" t="str" cm="1">
        <f t="array" ref="AH1169">IF($H1169=0,"",IF(INDEX('DM01-AV-CH'!H$6:H$834,$H1169)="","",INDEX('DM01-AV-CH'!H$6:H$834,$H1169)))</f>
        <v>Gebaeudeeingang</v>
      </c>
      <c r="AI1169" s="74" t="str" cm="1">
        <f t="array" ref="AI1169">IF($H1169=0,"",IF(INDEX('DM01-AV-CH'!I$6:I$834,$H1169)="","",INDEX('DM01-AV-CH'!I$6:I$834,$H1169)))</f>
        <v>HoehenLage</v>
      </c>
    </row>
    <row r="1170" spans="1:35" x14ac:dyDescent="0.25">
      <c r="A1170" s="57">
        <v>1165</v>
      </c>
      <c r="B1170" s="57">
        <f>IF($A1170="","",IF(_xlfn.XLOOKUP($A1170,Korrelation!$D$4:$D$1197,Korrelation!E$4:E$1197,"-",0)="-",0,MATCH(_xlfn.XLOOKUP($A1170,Korrelation!$D$4:$D$1197,Korrelation!E$4:E$1197,"",0),DMAV_Modell!$G$6:$G$677,0)))</f>
        <v>661</v>
      </c>
      <c r="C1170" s="57">
        <f>IF($A1170="","",IF(_xlfn.XLOOKUP($A1170,Korrelation!$D$4:$D$1197,Korrelation!F$4:F$1197,"-",0)="-",0,MATCH(_xlfn.XLOOKUP($A1170,Korrelation!$D$4:$D$1197,Korrelation!F$4:F$1197,"",0),DMAV_Modell!$G$6:$G$677,0)))</f>
        <v>0</v>
      </c>
      <c r="D1170" s="57">
        <f>IF($A1170="","",IF(_xlfn.XLOOKUP($A1170,Korrelation!$D$4:$D$1197,Korrelation!G$4:G$1197,"-",0)="-",0,MATCH(_xlfn.XLOOKUP($A1170,Korrelation!$D$4:$D$1197,Korrelation!G$4:G$1197,"",0),DMAV_Modell!$G$6:$G$677,0)))</f>
        <v>0</v>
      </c>
      <c r="E1170" s="57">
        <f>IF($A1170="","",IF(_xlfn.XLOOKUP($A1170,Korrelation!$D$4:$D$1197,Korrelation!H$4:H$1197,"-",0)="-",0,MATCH(_xlfn.XLOOKUP($A1170,Korrelation!$D$4:$D$1197,Korrelation!H$4:H$1197,"",0),DMAV_Dienste!$F$6:$F$140,0)))</f>
        <v>0</v>
      </c>
      <c r="F1170" s="57">
        <f>IF($A1170="","",IF(_xlfn.XLOOKUP($A1170,Korrelation!$D$4:$D$1197,Korrelation!I$4:I$1197,"-",0)="-",0,MATCH(_xlfn.XLOOKUP($A1170,Korrelation!$D$4:$D$1197,Korrelation!I$4:I$1197,"",0),DMAV_Dienste!$F$6:$F$140,0)))</f>
        <v>0</v>
      </c>
      <c r="G1170" s="57">
        <f>IF($A1170="","",IF(_xlfn.XLOOKUP($A1170,Korrelation!$D$4:$D$1197,Korrelation!J$4:J$1197,"-",0)="-",0,MATCH(_xlfn.XLOOKUP($A1170,Korrelation!$D$4:$D$1197,Korrelation!J$4:J$1197,"",0),DMAV_Dienste!$F$6:$F$140,0)))</f>
        <v>0</v>
      </c>
      <c r="H1170" s="57">
        <f>IF($A1170="","",IF(_xlfn.XLOOKUP($A1170,Korrelation!$D$4:$D$1197,Korrelation!K$4:K$1197,"-",0)="-",0,MATCH(_xlfn.XLOOKUP($A1170,Korrelation!$D$4:$D$1197,Korrelation!K$4:K$1197,"",0),'DM01-AV-CH'!$A$6:$A$834,0)))</f>
        <v>741</v>
      </c>
      <c r="J1170" s="54" t="str" cm="1">
        <f t="array" aca="1" ref="J1170" ca="1">IF(B1170=0,IF(E1170=0,"",HYPERLINK("#"&amp;RIGHT(CELL("adresse",OFFSET(DMAV_Dienste!$M$6,E1170-1,0)),LEN(CELL("adresse",OFFSET(DMAV_Dienste!$M$6,E1170-1,0)))-FIND("]",CELL("adresse",OFFSET(DMAV_Dienste!$M$6,E1170-1,0)))),"Dienst")),HYPERLINK("#"&amp;RIGHT(CELL("adresse",OFFSET(DMAV_Modell!$N$6,B1170-1,0)),LEN(CELL("adresse",OFFSET(DMAV_Modell!$N$6,B1170-1,0)))-FIND("]",CELL("adresse",OFFSET(DMAV_Modell!$N$6,B1170-1,0)))),"Modell"))</f>
        <v>Modell</v>
      </c>
      <c r="K1170" s="61" t="str" cm="1">
        <f t="array" ref="K1170">IF($B1170=0,IF($E1170=0,"",IF(INDEX(DMAV_Dienste!P$6:P$140,$E1170)="","",INDEX(DMAV_Dienste!P$6:P$140,$E1170))),IF(INDEX(DMAV_Modell!Q$6:Q$838,$B1170)="","",INDEX(DMAV_Modell!Q$6:Q$838,$B1170)))</f>
        <v>CLASS</v>
      </c>
      <c r="L1170" s="62" t="str" cm="1">
        <f t="array" ref="L1170">IF($B1170=0,IF($E1170=0,"",IF(INDEX(DMAV_Dienste!O$6:O$140,$E1170)="","",INDEX(DMAV_Dienste!O$6:O$140,$E1170))),IF(INDEX(DMAV_Modell!P$6:P$838,$B1170)="","",INDEX(DMAV_Modell!P$6:P$838,$B1170)))</f>
        <v>Gebaeudeadressen</v>
      </c>
      <c r="M1170" s="62" t="str" cm="1">
        <f t="array" ref="M1170">IF($B1170=0,IF($E1170=0,"",IF(INDEX(DMAV_Dienste!Q$6:Q$140,$E1170)="","",INDEX(DMAV_Dienste!Q$6:Q$140,$E1170))),IF(INDEX(DMAV_Modell!R$6:R$838,$B1170)="","",INDEX(DMAV_Modell!R$6:R$838,$B1170)))</f>
        <v>Gebaeudeeingang</v>
      </c>
      <c r="N1170" s="62" t="str" cm="1">
        <f t="array" ref="N1170">IF($B1170=0,IF($E1170=0,"",IF(INDEX(DMAV_Dienste!T$6:T$140,$E1170)="","",INDEX(DMAV_Dienste!T$6:T$140,$E1170))),IF(INDEX(DMAV_Modell!U$6:U$838,$B1170)="","",INDEX(DMAV_Modell!U$6:U$838,$B1170)))</f>
        <v>Hausnummer</v>
      </c>
      <c r="O1170" s="63" t="str" cm="1">
        <f t="array" aca="1" ref="O1170" ca="1">IF(C1170=0,IF(F1170=0,"",HYPERLINK("#"&amp;RIGHT(CELL("adresse",OFFSET(DMAV_Dienste!$M$6,F1170-1,0)),LEN(CELL("adresse",OFFSET(DMAV_Dienste!$M$6,F1170-1,0)))-FIND("]",CELL("adresse",OFFSET(DMAV_Dienste!$M$6,F1170-1,0)))),"Structure")),HYPERLINK("#"&amp;RIGHT(CELL("adresse",OFFSET(DMAV_Modell!$N$6,C1170-1,0)),LEN(CELL("adresse",OFFSET(DMAV_Modell!$N$6,C1170-1,0)))-FIND("]",CELL("adresse",OFFSET(DMAV_Modell!$N$6,C1170-1,0)))),"Structure"))</f>
        <v/>
      </c>
      <c r="P1170" s="64" t="str" cm="1">
        <f t="array" aca="1" ref="P1170" ca="1">IF(D1170=0,IF(G1170=0,"",HYPERLINK("#"&amp;RIGHT(CELL("adresse",OFFSET(DMAV_Dienste!$M$6,G1170-1,0)),LEN(CELL("adresse",OFFSET(DMAV_Dienste!$M$6,G1170-1,0)))-FIND("]",CELL("adresse",OFFSET(DMAV_Dienste!$M$6,G1170-1,0)))),"Substructure")),HYPERLINK("#"&amp;RIGHT(CELL("adresse",OFFSET(DMAV_Modell!$N$6,D1170-1,0)),LEN(CELL("adresse",OFFSET(DMAV_Modell!$N$6,D1170-1,0)))-FIND("]",CELL("adresse",OFFSET(DMAV_Modell!$N$6,D1170-1,0)))),"Substructure"))</f>
        <v/>
      </c>
      <c r="R1170" s="80"/>
      <c r="T1170" s="93"/>
      <c r="U1170" s="94"/>
      <c r="V1170" s="95"/>
      <c r="W1170" s="96"/>
      <c r="Y1170" s="85"/>
      <c r="Z1170" s="86"/>
      <c r="AA1170" s="87"/>
      <c r="AB1170" s="88"/>
      <c r="AD1170" s="77"/>
      <c r="AF1170" s="54" t="str" cm="1">
        <f t="array" aca="1" ref="AF1170" ca="1">IF(H1170=0,"",HYPERLINK("#"&amp;RIGHT(CELL("adresse",OFFSET('DM01-AV-CH'!$G$6,H1170-1,0)),LEN(CELL("adresse",OFFSET('DM01-AV-CH'!$G$6,H1170-1,0)))-FIND("]",CELL("adresse",OFFSET('DM01-AV-CH'!$G$6,H1170-1,0)))),"Modell"))</f>
        <v>Modell</v>
      </c>
      <c r="AG1170" s="72" t="str" cm="1">
        <f t="array" ref="AG1170">IF($H1170=0,"",IF(INDEX('DM01-AV-CH'!G$6:G$834,$H1170)="","",INDEX('DM01-AV-CH'!G$6:G$834,$H1170)))</f>
        <v>Gebaeudeadressen</v>
      </c>
      <c r="AH1170" s="73" t="str" cm="1">
        <f t="array" ref="AH1170">IF($H1170=0,"",IF(INDEX('DM01-AV-CH'!H$6:H$834,$H1170)="","",INDEX('DM01-AV-CH'!H$6:H$834,$H1170)))</f>
        <v>Gebaeudeeingang</v>
      </c>
      <c r="AI1170" s="74" t="str" cm="1">
        <f t="array" ref="AI1170">IF($H1170=0,"",IF(INDEX('DM01-AV-CH'!I$6:I$834,$H1170)="","",INDEX('DM01-AV-CH'!I$6:I$834,$H1170)))</f>
        <v>Hausnummer</v>
      </c>
    </row>
    <row r="1171" spans="1:35" ht="28.5" x14ac:dyDescent="0.25">
      <c r="A1171" s="57">
        <v>1166</v>
      </c>
      <c r="B1171" s="57">
        <f>IF($A1171="","",IF(_xlfn.XLOOKUP($A1171,Korrelation!$D$4:$D$1197,Korrelation!E$4:E$1197,"-",0)="-",0,MATCH(_xlfn.XLOOKUP($A1171,Korrelation!$D$4:$D$1197,Korrelation!E$4:E$1197,"",0),DMAV_Modell!$G$6:$G$677,0)))</f>
        <v>662</v>
      </c>
      <c r="C1171" s="57">
        <f>IF($A1171="","",IF(_xlfn.XLOOKUP($A1171,Korrelation!$D$4:$D$1197,Korrelation!F$4:F$1197,"-",0)="-",0,MATCH(_xlfn.XLOOKUP($A1171,Korrelation!$D$4:$D$1197,Korrelation!F$4:F$1197,"",0),DMAV_Modell!$G$6:$G$677,0)))</f>
        <v>0</v>
      </c>
      <c r="D1171" s="57">
        <f>IF($A1171="","",IF(_xlfn.XLOOKUP($A1171,Korrelation!$D$4:$D$1197,Korrelation!G$4:G$1197,"-",0)="-",0,MATCH(_xlfn.XLOOKUP($A1171,Korrelation!$D$4:$D$1197,Korrelation!G$4:G$1197,"",0),DMAV_Modell!$G$6:$G$677,0)))</f>
        <v>0</v>
      </c>
      <c r="E1171" s="57">
        <f>IF($A1171="","",IF(_xlfn.XLOOKUP($A1171,Korrelation!$D$4:$D$1197,Korrelation!H$4:H$1197,"-",0)="-",0,MATCH(_xlfn.XLOOKUP($A1171,Korrelation!$D$4:$D$1197,Korrelation!H$4:H$1197,"",0),DMAV_Dienste!$F$6:$F$140,0)))</f>
        <v>0</v>
      </c>
      <c r="F1171" s="57">
        <f>IF($A1171="","",IF(_xlfn.XLOOKUP($A1171,Korrelation!$D$4:$D$1197,Korrelation!I$4:I$1197,"-",0)="-",0,MATCH(_xlfn.XLOOKUP($A1171,Korrelation!$D$4:$D$1197,Korrelation!I$4:I$1197,"",0),DMAV_Dienste!$F$6:$F$140,0)))</f>
        <v>0</v>
      </c>
      <c r="G1171" s="57">
        <f>IF($A1171="","",IF(_xlfn.XLOOKUP($A1171,Korrelation!$D$4:$D$1197,Korrelation!J$4:J$1197,"-",0)="-",0,MATCH(_xlfn.XLOOKUP($A1171,Korrelation!$D$4:$D$1197,Korrelation!J$4:J$1197,"",0),DMAV_Dienste!$F$6:$F$140,0)))</f>
        <v>0</v>
      </c>
      <c r="H1171" s="57">
        <f>IF($A1171="","",IF(_xlfn.XLOOKUP($A1171,Korrelation!$D$4:$D$1197,Korrelation!K$4:K$1197,"-",0)="-",0,MATCH(_xlfn.XLOOKUP($A1171,Korrelation!$D$4:$D$1197,Korrelation!K$4:K$1197,"",0),'DM01-AV-CH'!$A$6:$A$834,0)))</f>
        <v>742</v>
      </c>
      <c r="J1171" s="54" t="str" cm="1">
        <f t="array" aca="1" ref="J1171" ca="1">IF(B1171=0,IF(E1171=0,"",HYPERLINK("#"&amp;RIGHT(CELL("adresse",OFFSET(DMAV_Dienste!$M$6,E1171-1,0)),LEN(CELL("adresse",OFFSET(DMAV_Dienste!$M$6,E1171-1,0)))-FIND("]",CELL("adresse",OFFSET(DMAV_Dienste!$M$6,E1171-1,0)))),"Dienst")),HYPERLINK("#"&amp;RIGHT(CELL("adresse",OFFSET(DMAV_Modell!$N$6,B1171-1,0)),LEN(CELL("adresse",OFFSET(DMAV_Modell!$N$6,B1171-1,0)))-FIND("]",CELL("adresse",OFFSET(DMAV_Modell!$N$6,B1171-1,0)))),"Modell"))</f>
        <v>Modell</v>
      </c>
      <c r="K1171" s="61" t="str" cm="1">
        <f t="array" ref="K1171">IF($B1171=0,IF($E1171=0,"",IF(INDEX(DMAV_Dienste!P$6:P$140,$E1171)="","",INDEX(DMAV_Dienste!P$6:P$140,$E1171))),IF(INDEX(DMAV_Modell!Q$6:Q$838,$B1171)="","",INDEX(DMAV_Modell!Q$6:Q$838,$B1171)))</f>
        <v>CLASS</v>
      </c>
      <c r="L1171" s="62" t="str" cm="1">
        <f t="array" ref="L1171">IF($B1171=0,IF($E1171=0,"",IF(INDEX(DMAV_Dienste!O$6:O$140,$E1171)="","",INDEX(DMAV_Dienste!O$6:O$140,$E1171))),IF(INDEX(DMAV_Modell!P$6:P$838,$B1171)="","",INDEX(DMAV_Modell!P$6:P$838,$B1171)))</f>
        <v>Gebaeudeadressen</v>
      </c>
      <c r="M1171" s="62" t="str" cm="1">
        <f t="array" ref="M1171">IF($B1171=0,IF($E1171=0,"",IF(INDEX(DMAV_Dienste!Q$6:Q$140,$E1171)="","",INDEX(DMAV_Dienste!Q$6:Q$140,$E1171))),IF(INDEX(DMAV_Modell!R$6:R$838,$B1171)="","",INDEX(DMAV_Modell!R$6:R$838,$B1171)))</f>
        <v>Gebaeudeeingang</v>
      </c>
      <c r="N1171" s="62" t="str" cm="1">
        <f t="array" ref="N1171">IF($B1171=0,IF($E1171=0,"",IF(INDEX(DMAV_Dienste!T$6:T$140,$E1171)="","",INDEX(DMAV_Dienste!T$6:T$140,$E1171))),IF(INDEX(DMAV_Modell!U$6:U$838,$B1171)="","",INDEX(DMAV_Modell!U$6:U$838,$B1171)))</f>
        <v>ImModul</v>
      </c>
      <c r="O1171" s="63" t="str" cm="1">
        <f t="array" aca="1" ref="O1171" ca="1">IF(C1171=0,IF(F1171=0,"",HYPERLINK("#"&amp;RIGHT(CELL("adresse",OFFSET(DMAV_Dienste!$M$6,F1171-1,0)),LEN(CELL("adresse",OFFSET(DMAV_Dienste!$M$6,F1171-1,0)))-FIND("]",CELL("adresse",OFFSET(DMAV_Dienste!$M$6,F1171-1,0)))),"Structure")),HYPERLINK("#"&amp;RIGHT(CELL("adresse",OFFSET(DMAV_Modell!$N$6,C1171-1,0)),LEN(CELL("adresse",OFFSET(DMAV_Modell!$N$6,C1171-1,0)))-FIND("]",CELL("adresse",OFFSET(DMAV_Modell!$N$6,C1171-1,0)))),"Structure"))</f>
        <v/>
      </c>
      <c r="P1171" s="64" t="str" cm="1">
        <f t="array" aca="1" ref="P1171" ca="1">IF(D1171=0,IF(G1171=0,"",HYPERLINK("#"&amp;RIGHT(CELL("adresse",OFFSET(DMAV_Dienste!$M$6,G1171-1,0)),LEN(CELL("adresse",OFFSET(DMAV_Dienste!$M$6,G1171-1,0)))-FIND("]",CELL("adresse",OFFSET(DMAV_Dienste!$M$6,G1171-1,0)))),"Substructure")),HYPERLINK("#"&amp;RIGHT(CELL("adresse",OFFSET(DMAV_Modell!$N$6,D1171-1,0)),LEN(CELL("adresse",OFFSET(DMAV_Modell!$N$6,D1171-1,0)))-FIND("]",CELL("adresse",OFFSET(DMAV_Modell!$N$6,D1171-1,0)))),"Substructure"))</f>
        <v/>
      </c>
      <c r="R1171" s="80" t="s">
        <v>3278</v>
      </c>
      <c r="T1171" s="93"/>
      <c r="U1171" s="94"/>
      <c r="V1171" s="95"/>
      <c r="W1171" s="96"/>
      <c r="Y1171" s="85"/>
      <c r="Z1171" s="86"/>
      <c r="AA1171" s="87"/>
      <c r="AB1171" s="88"/>
      <c r="AD1171" s="77" t="s">
        <v>3279</v>
      </c>
      <c r="AF1171" s="54" t="str" cm="1">
        <f t="array" aca="1" ref="AF1171" ca="1">IF(H1171=0,"",HYPERLINK("#"&amp;RIGHT(CELL("adresse",OFFSET('DM01-AV-CH'!$G$6,H1171-1,0)),LEN(CELL("adresse",OFFSET('DM01-AV-CH'!$G$6,H1171-1,0)))-FIND("]",CELL("adresse",OFFSET('DM01-AV-CH'!$G$6,H1171-1,0)))),"Modell"))</f>
        <v>Modell</v>
      </c>
      <c r="AG1171" s="72" t="str" cm="1">
        <f t="array" ref="AG1171">IF($H1171=0,"",IF(INDEX('DM01-AV-CH'!G$6:G$834,$H1171)="","",INDEX('DM01-AV-CH'!G$6:G$834,$H1171)))</f>
        <v>Gebaeudeadressen</v>
      </c>
      <c r="AH1171" s="73" t="str" cm="1">
        <f t="array" ref="AH1171">IF($H1171=0,"",IF(INDEX('DM01-AV-CH'!H$6:H$834,$H1171)="","",INDEX('DM01-AV-CH'!H$6:H$834,$H1171)))</f>
        <v>Gebaeudeeingang</v>
      </c>
      <c r="AI1171" s="74" t="str" cm="1">
        <f t="array" ref="AI1171">IF($H1171=0,"",IF(INDEX('DM01-AV-CH'!I$6:I$834,$H1171)="","",INDEX('DM01-AV-CH'!I$6:I$834,$H1171)))</f>
        <v>Im_Gebaeude</v>
      </c>
    </row>
    <row r="1172" spans="1:35" x14ac:dyDescent="0.25">
      <c r="A1172" s="57">
        <v>1167</v>
      </c>
      <c r="B1172" s="57">
        <f>IF($A1172="","",IF(_xlfn.XLOOKUP($A1172,Korrelation!$D$4:$D$1197,Korrelation!E$4:E$1197,"-",0)="-",0,MATCH(_xlfn.XLOOKUP($A1172,Korrelation!$D$4:$D$1197,Korrelation!E$4:E$1197,"",0),DMAV_Modell!$G$6:$G$677,0)))</f>
        <v>663</v>
      </c>
      <c r="C1172" s="57">
        <f>IF($A1172="","",IF(_xlfn.XLOOKUP($A1172,Korrelation!$D$4:$D$1197,Korrelation!F$4:F$1197,"-",0)="-",0,MATCH(_xlfn.XLOOKUP($A1172,Korrelation!$D$4:$D$1197,Korrelation!F$4:F$1197,"",0),DMAV_Modell!$G$6:$G$677,0)))</f>
        <v>0</v>
      </c>
      <c r="D1172" s="57">
        <f>IF($A1172="","",IF(_xlfn.XLOOKUP($A1172,Korrelation!$D$4:$D$1197,Korrelation!G$4:G$1197,"-",0)="-",0,MATCH(_xlfn.XLOOKUP($A1172,Korrelation!$D$4:$D$1197,Korrelation!G$4:G$1197,"",0),DMAV_Modell!$G$6:$G$677,0)))</f>
        <v>0</v>
      </c>
      <c r="E1172" s="57">
        <f>IF($A1172="","",IF(_xlfn.XLOOKUP($A1172,Korrelation!$D$4:$D$1197,Korrelation!H$4:H$1197,"-",0)="-",0,MATCH(_xlfn.XLOOKUP($A1172,Korrelation!$D$4:$D$1197,Korrelation!H$4:H$1197,"",0),DMAV_Dienste!$F$6:$F$140,0)))</f>
        <v>0</v>
      </c>
      <c r="F1172" s="57">
        <f>IF($A1172="","",IF(_xlfn.XLOOKUP($A1172,Korrelation!$D$4:$D$1197,Korrelation!I$4:I$1197,"-",0)="-",0,MATCH(_xlfn.XLOOKUP($A1172,Korrelation!$D$4:$D$1197,Korrelation!I$4:I$1197,"",0),DMAV_Dienste!$F$6:$F$140,0)))</f>
        <v>0</v>
      </c>
      <c r="G1172" s="57">
        <f>IF($A1172="","",IF(_xlfn.XLOOKUP($A1172,Korrelation!$D$4:$D$1197,Korrelation!J$4:J$1197,"-",0)="-",0,MATCH(_xlfn.XLOOKUP($A1172,Korrelation!$D$4:$D$1197,Korrelation!J$4:J$1197,"",0),DMAV_Dienste!$F$6:$F$140,0)))</f>
        <v>0</v>
      </c>
      <c r="H1172" s="57">
        <f>IF($A1172="","",IF(_xlfn.XLOOKUP($A1172,Korrelation!$D$4:$D$1197,Korrelation!K$4:K$1197,"-",0)="-",0,MATCH(_xlfn.XLOOKUP($A1172,Korrelation!$D$4:$D$1197,Korrelation!K$4:K$1197,"",0),'DM01-AV-CH'!$A$6:$A$834,0)))</f>
        <v>743</v>
      </c>
      <c r="J1172" s="54" t="str" cm="1">
        <f t="array" aca="1" ref="J1172" ca="1">IF(B1172=0,IF(E1172=0,"",HYPERLINK("#"&amp;RIGHT(CELL("adresse",OFFSET(DMAV_Dienste!$M$6,E1172-1,0)),LEN(CELL("adresse",OFFSET(DMAV_Dienste!$M$6,E1172-1,0)))-FIND("]",CELL("adresse",OFFSET(DMAV_Dienste!$M$6,E1172-1,0)))),"Dienst")),HYPERLINK("#"&amp;RIGHT(CELL("adresse",OFFSET(DMAV_Modell!$N$6,B1172-1,0)),LEN(CELL("adresse",OFFSET(DMAV_Modell!$N$6,B1172-1,0)))-FIND("]",CELL("adresse",OFFSET(DMAV_Modell!$N$6,B1172-1,0)))),"Modell"))</f>
        <v>Modell</v>
      </c>
      <c r="K1172" s="61" t="str" cm="1">
        <f t="array" ref="K1172">IF($B1172=0,IF($E1172=0,"",IF(INDEX(DMAV_Dienste!P$6:P$140,$E1172)="","",INDEX(DMAV_Dienste!P$6:P$140,$E1172))),IF(INDEX(DMAV_Modell!Q$6:Q$838,$B1172)="","",INDEX(DMAV_Modell!Q$6:Q$838,$B1172)))</f>
        <v>CLASS</v>
      </c>
      <c r="L1172" s="62" t="str" cm="1">
        <f t="array" ref="L1172">IF($B1172=0,IF($E1172=0,"",IF(INDEX(DMAV_Dienste!O$6:O$140,$E1172)="","",INDEX(DMAV_Dienste!O$6:O$140,$E1172))),IF(INDEX(DMAV_Modell!P$6:P$838,$B1172)="","",INDEX(DMAV_Modell!P$6:P$838,$B1172)))</f>
        <v>Gebaeudeadressen</v>
      </c>
      <c r="M1172" s="62" t="str" cm="1">
        <f t="array" ref="M1172">IF($B1172=0,IF($E1172=0,"",IF(INDEX(DMAV_Dienste!Q$6:Q$140,$E1172)="","",INDEX(DMAV_Dienste!Q$6:Q$140,$E1172))),IF(INDEX(DMAV_Modell!R$6:R$838,$B1172)="","",INDEX(DMAV_Modell!R$6:R$838,$B1172)))</f>
        <v>Gebaeudeeingang</v>
      </c>
      <c r="N1172" s="62" t="str" cm="1">
        <f t="array" ref="N1172">IF($B1172=0,IF($E1172=0,"",IF(INDEX(DMAV_Dienste!T$6:T$140,$E1172)="","",INDEX(DMAV_Dienste!T$6:T$140,$E1172))),IF(INDEX(DMAV_Modell!U$6:U$838,$B1172)="","",INDEX(DMAV_Modell!U$6:U$838,$B1172)))</f>
        <v>EGID</v>
      </c>
      <c r="O1172" s="63" t="str" cm="1">
        <f t="array" aca="1" ref="O1172" ca="1">IF(C1172=0,IF(F1172=0,"",HYPERLINK("#"&amp;RIGHT(CELL("adresse",OFFSET(DMAV_Dienste!$M$6,F1172-1,0)),LEN(CELL("adresse",OFFSET(DMAV_Dienste!$M$6,F1172-1,0)))-FIND("]",CELL("adresse",OFFSET(DMAV_Dienste!$M$6,F1172-1,0)))),"Structure")),HYPERLINK("#"&amp;RIGHT(CELL("adresse",OFFSET(DMAV_Modell!$N$6,C1172-1,0)),LEN(CELL("adresse",OFFSET(DMAV_Modell!$N$6,C1172-1,0)))-FIND("]",CELL("adresse",OFFSET(DMAV_Modell!$N$6,C1172-1,0)))),"Structure"))</f>
        <v/>
      </c>
      <c r="P1172" s="64" t="str" cm="1">
        <f t="array" aca="1" ref="P1172" ca="1">IF(D1172=0,IF(G1172=0,"",HYPERLINK("#"&amp;RIGHT(CELL("adresse",OFFSET(DMAV_Dienste!$M$6,G1172-1,0)),LEN(CELL("adresse",OFFSET(DMAV_Dienste!$M$6,G1172-1,0)))-FIND("]",CELL("adresse",OFFSET(DMAV_Dienste!$M$6,G1172-1,0)))),"Substructure")),HYPERLINK("#"&amp;RIGHT(CELL("adresse",OFFSET(DMAV_Modell!$N$6,D1172-1,0)),LEN(CELL("adresse",OFFSET(DMAV_Modell!$N$6,D1172-1,0)))-FIND("]",CELL("adresse",OFFSET(DMAV_Modell!$N$6,D1172-1,0)))),"Substructure"))</f>
        <v/>
      </c>
      <c r="R1172" s="80"/>
      <c r="T1172" s="93"/>
      <c r="U1172" s="94"/>
      <c r="V1172" s="95"/>
      <c r="W1172" s="96"/>
      <c r="Y1172" s="85"/>
      <c r="Z1172" s="86"/>
      <c r="AA1172" s="87"/>
      <c r="AB1172" s="88"/>
      <c r="AD1172" s="77"/>
      <c r="AF1172" s="54" t="str" cm="1">
        <f t="array" aca="1" ref="AF1172" ca="1">IF(H1172=0,"",HYPERLINK("#"&amp;RIGHT(CELL("adresse",OFFSET('DM01-AV-CH'!$G$6,H1172-1,0)),LEN(CELL("adresse",OFFSET('DM01-AV-CH'!$G$6,H1172-1,0)))-FIND("]",CELL("adresse",OFFSET('DM01-AV-CH'!$G$6,H1172-1,0)))),"Modell"))</f>
        <v>Modell</v>
      </c>
      <c r="AG1172" s="72" t="str" cm="1">
        <f t="array" ref="AG1172">IF($H1172=0,"",IF(INDEX('DM01-AV-CH'!G$6:G$834,$H1172)="","",INDEX('DM01-AV-CH'!G$6:G$834,$H1172)))</f>
        <v>Gebaeudeadressen</v>
      </c>
      <c r="AH1172" s="73" t="str" cm="1">
        <f t="array" ref="AH1172">IF($H1172=0,"",IF(INDEX('DM01-AV-CH'!H$6:H$834,$H1172)="","",INDEX('DM01-AV-CH'!H$6:H$834,$H1172)))</f>
        <v>Gebaeudeeingang</v>
      </c>
      <c r="AI1172" s="74" t="str" cm="1">
        <f t="array" ref="AI1172">IF($H1172=0,"",IF(INDEX('DM01-AV-CH'!I$6:I$834,$H1172)="","",INDEX('DM01-AV-CH'!I$6:I$834,$H1172)))</f>
        <v>GWR_EGID</v>
      </c>
    </row>
    <row r="1173" spans="1:35" x14ac:dyDescent="0.25">
      <c r="A1173" s="57">
        <v>1168</v>
      </c>
      <c r="B1173" s="57">
        <f>IF($A1173="","",IF(_xlfn.XLOOKUP($A1173,Korrelation!$D$4:$D$1197,Korrelation!E$4:E$1197,"-",0)="-",0,MATCH(_xlfn.XLOOKUP($A1173,Korrelation!$D$4:$D$1197,Korrelation!E$4:E$1197,"",0),DMAV_Modell!$G$6:$G$677,0)))</f>
        <v>664</v>
      </c>
      <c r="C1173" s="57">
        <f>IF($A1173="","",IF(_xlfn.XLOOKUP($A1173,Korrelation!$D$4:$D$1197,Korrelation!F$4:F$1197,"-",0)="-",0,MATCH(_xlfn.XLOOKUP($A1173,Korrelation!$D$4:$D$1197,Korrelation!F$4:F$1197,"",0),DMAV_Modell!$G$6:$G$677,0)))</f>
        <v>0</v>
      </c>
      <c r="D1173" s="57">
        <f>IF($A1173="","",IF(_xlfn.XLOOKUP($A1173,Korrelation!$D$4:$D$1197,Korrelation!G$4:G$1197,"-",0)="-",0,MATCH(_xlfn.XLOOKUP($A1173,Korrelation!$D$4:$D$1197,Korrelation!G$4:G$1197,"",0),DMAV_Modell!$G$6:$G$677,0)))</f>
        <v>0</v>
      </c>
      <c r="E1173" s="57">
        <f>IF($A1173="","",IF(_xlfn.XLOOKUP($A1173,Korrelation!$D$4:$D$1197,Korrelation!H$4:H$1197,"-",0)="-",0,MATCH(_xlfn.XLOOKUP($A1173,Korrelation!$D$4:$D$1197,Korrelation!H$4:H$1197,"",0),DMAV_Dienste!$F$6:$F$140,0)))</f>
        <v>0</v>
      </c>
      <c r="F1173" s="57">
        <f>IF($A1173="","",IF(_xlfn.XLOOKUP($A1173,Korrelation!$D$4:$D$1197,Korrelation!I$4:I$1197,"-",0)="-",0,MATCH(_xlfn.XLOOKUP($A1173,Korrelation!$D$4:$D$1197,Korrelation!I$4:I$1197,"",0),DMAV_Dienste!$F$6:$F$140,0)))</f>
        <v>0</v>
      </c>
      <c r="G1173" s="57">
        <f>IF($A1173="","",IF(_xlfn.XLOOKUP($A1173,Korrelation!$D$4:$D$1197,Korrelation!J$4:J$1197,"-",0)="-",0,MATCH(_xlfn.XLOOKUP($A1173,Korrelation!$D$4:$D$1197,Korrelation!J$4:J$1197,"",0),DMAV_Dienste!$F$6:$F$140,0)))</f>
        <v>0</v>
      </c>
      <c r="H1173" s="57">
        <f>IF($A1173="","",IF(_xlfn.XLOOKUP($A1173,Korrelation!$D$4:$D$1197,Korrelation!K$4:K$1197,"-",0)="-",0,MATCH(_xlfn.XLOOKUP($A1173,Korrelation!$D$4:$D$1197,Korrelation!K$4:K$1197,"",0),'DM01-AV-CH'!$A$6:$A$834,0)))</f>
        <v>744</v>
      </c>
      <c r="J1173" s="54" t="str" cm="1">
        <f t="array" aca="1" ref="J1173" ca="1">IF(B1173=0,IF(E1173=0,"",HYPERLINK("#"&amp;RIGHT(CELL("adresse",OFFSET(DMAV_Dienste!$M$6,E1173-1,0)),LEN(CELL("adresse",OFFSET(DMAV_Dienste!$M$6,E1173-1,0)))-FIND("]",CELL("adresse",OFFSET(DMAV_Dienste!$M$6,E1173-1,0)))),"Dienst")),HYPERLINK("#"&amp;RIGHT(CELL("adresse",OFFSET(DMAV_Modell!$N$6,B1173-1,0)),LEN(CELL("adresse",OFFSET(DMAV_Modell!$N$6,B1173-1,0)))-FIND("]",CELL("adresse",OFFSET(DMAV_Modell!$N$6,B1173-1,0)))),"Modell"))</f>
        <v>Modell</v>
      </c>
      <c r="K1173" s="61" t="str" cm="1">
        <f t="array" ref="K1173">IF($B1173=0,IF($E1173=0,"",IF(INDEX(DMAV_Dienste!P$6:P$140,$E1173)="","",INDEX(DMAV_Dienste!P$6:P$140,$E1173))),IF(INDEX(DMAV_Modell!Q$6:Q$838,$B1173)="","",INDEX(DMAV_Modell!Q$6:Q$838,$B1173)))</f>
        <v>CLASS</v>
      </c>
      <c r="L1173" s="62" t="str" cm="1">
        <f t="array" ref="L1173">IF($B1173=0,IF($E1173=0,"",IF(INDEX(DMAV_Dienste!O$6:O$140,$E1173)="","",INDEX(DMAV_Dienste!O$6:O$140,$E1173))),IF(INDEX(DMAV_Modell!P$6:P$838,$B1173)="","",INDEX(DMAV_Modell!P$6:P$838,$B1173)))</f>
        <v>Gebaeudeadressen</v>
      </c>
      <c r="M1173" s="62" t="str" cm="1">
        <f t="array" ref="M1173">IF($B1173=0,IF($E1173=0,"",IF(INDEX(DMAV_Dienste!Q$6:Q$140,$E1173)="","",INDEX(DMAV_Dienste!Q$6:Q$140,$E1173))),IF(INDEX(DMAV_Modell!R$6:R$838,$B1173)="","",INDEX(DMAV_Modell!R$6:R$838,$B1173)))</f>
        <v>Gebaeudeeingang</v>
      </c>
      <c r="N1173" s="62" t="str" cm="1">
        <f t="array" ref="N1173">IF($B1173=0,IF($E1173=0,"",IF(INDEX(DMAV_Dienste!T$6:T$140,$E1173)="","",INDEX(DMAV_Dienste!T$6:T$140,$E1173))),IF(INDEX(DMAV_Modell!U$6:U$838,$B1173)="","",INDEX(DMAV_Modell!U$6:U$838,$B1173)))</f>
        <v>EDID</v>
      </c>
      <c r="O1173" s="63" t="str" cm="1">
        <f t="array" aca="1" ref="O1173" ca="1">IF(C1173=0,IF(F1173=0,"",HYPERLINK("#"&amp;RIGHT(CELL("adresse",OFFSET(DMAV_Dienste!$M$6,F1173-1,0)),LEN(CELL("adresse",OFFSET(DMAV_Dienste!$M$6,F1173-1,0)))-FIND("]",CELL("adresse",OFFSET(DMAV_Dienste!$M$6,F1173-1,0)))),"Structure")),HYPERLINK("#"&amp;RIGHT(CELL("adresse",OFFSET(DMAV_Modell!$N$6,C1173-1,0)),LEN(CELL("adresse",OFFSET(DMAV_Modell!$N$6,C1173-1,0)))-FIND("]",CELL("adresse",OFFSET(DMAV_Modell!$N$6,C1173-1,0)))),"Structure"))</f>
        <v/>
      </c>
      <c r="P1173" s="64" t="str" cm="1">
        <f t="array" aca="1" ref="P1173" ca="1">IF(D1173=0,IF(G1173=0,"",HYPERLINK("#"&amp;RIGHT(CELL("adresse",OFFSET(DMAV_Dienste!$M$6,G1173-1,0)),LEN(CELL("adresse",OFFSET(DMAV_Dienste!$M$6,G1173-1,0)))-FIND("]",CELL("adresse",OFFSET(DMAV_Dienste!$M$6,G1173-1,0)))),"Substructure")),HYPERLINK("#"&amp;RIGHT(CELL("adresse",OFFSET(DMAV_Modell!$N$6,D1173-1,0)),LEN(CELL("adresse",OFFSET(DMAV_Modell!$N$6,D1173-1,0)))-FIND("]",CELL("adresse",OFFSET(DMAV_Modell!$N$6,D1173-1,0)))),"Substructure"))</f>
        <v/>
      </c>
      <c r="R1173" s="80"/>
      <c r="T1173" s="93"/>
      <c r="U1173" s="94"/>
      <c r="V1173" s="95"/>
      <c r="W1173" s="96"/>
      <c r="Y1173" s="85"/>
      <c r="Z1173" s="86"/>
      <c r="AA1173" s="87"/>
      <c r="AB1173" s="88"/>
      <c r="AD1173" s="77"/>
      <c r="AF1173" s="54" t="str" cm="1">
        <f t="array" aca="1" ref="AF1173" ca="1">IF(H1173=0,"",HYPERLINK("#"&amp;RIGHT(CELL("adresse",OFFSET('DM01-AV-CH'!$G$6,H1173-1,0)),LEN(CELL("adresse",OFFSET('DM01-AV-CH'!$G$6,H1173-1,0)))-FIND("]",CELL("adresse",OFFSET('DM01-AV-CH'!$G$6,H1173-1,0)))),"Modell"))</f>
        <v>Modell</v>
      </c>
      <c r="AG1173" s="72" t="str" cm="1">
        <f t="array" ref="AG1173">IF($H1173=0,"",IF(INDEX('DM01-AV-CH'!G$6:G$834,$H1173)="","",INDEX('DM01-AV-CH'!G$6:G$834,$H1173)))</f>
        <v>Gebaeudeadressen</v>
      </c>
      <c r="AH1173" s="73" t="str" cm="1">
        <f t="array" ref="AH1173">IF($H1173=0,"",IF(INDEX('DM01-AV-CH'!H$6:H$834,$H1173)="","",INDEX('DM01-AV-CH'!H$6:H$834,$H1173)))</f>
        <v>Gebaeudeeingang</v>
      </c>
      <c r="AI1173" s="74" t="str" cm="1">
        <f t="array" ref="AI1173">IF($H1173=0,"",IF(INDEX('DM01-AV-CH'!I$6:I$834,$H1173)="","",INDEX('DM01-AV-CH'!I$6:I$834,$H1173)))</f>
        <v>GWR_EDID</v>
      </c>
    </row>
    <row r="1174" spans="1:35" x14ac:dyDescent="0.25">
      <c r="A1174" s="57">
        <v>1169</v>
      </c>
      <c r="B1174" s="57">
        <f>IF($A1174="","",IF(_xlfn.XLOOKUP($A1174,Korrelation!$D$4:$D$1197,Korrelation!E$4:E$1197,"-",0)="-",0,MATCH(_xlfn.XLOOKUP($A1174,Korrelation!$D$4:$D$1197,Korrelation!E$4:E$1197,"",0),DMAV_Modell!$G$6:$G$677,0)))</f>
        <v>0</v>
      </c>
      <c r="C1174" s="57">
        <f>IF($A1174="","",IF(_xlfn.XLOOKUP($A1174,Korrelation!$D$4:$D$1197,Korrelation!F$4:F$1197,"-",0)="-",0,MATCH(_xlfn.XLOOKUP($A1174,Korrelation!$D$4:$D$1197,Korrelation!F$4:F$1197,"",0),DMAV_Modell!$G$6:$G$677,0)))</f>
        <v>0</v>
      </c>
      <c r="D1174" s="57">
        <f>IF($A1174="","",IF(_xlfn.XLOOKUP($A1174,Korrelation!$D$4:$D$1197,Korrelation!G$4:G$1197,"-",0)="-",0,MATCH(_xlfn.XLOOKUP($A1174,Korrelation!$D$4:$D$1197,Korrelation!G$4:G$1197,"",0),DMAV_Modell!$G$6:$G$677,0)))</f>
        <v>0</v>
      </c>
      <c r="E1174" s="57">
        <f>IF($A1174="","",IF(_xlfn.XLOOKUP($A1174,Korrelation!$D$4:$D$1197,Korrelation!H$4:H$1197,"-",0)="-",0,MATCH(_xlfn.XLOOKUP($A1174,Korrelation!$D$4:$D$1197,Korrelation!H$4:H$1197,"",0),DMAV_Dienste!$F$6:$F$140,0)))</f>
        <v>0</v>
      </c>
      <c r="F1174" s="57">
        <f>IF($A1174="","",IF(_xlfn.XLOOKUP($A1174,Korrelation!$D$4:$D$1197,Korrelation!I$4:I$1197,"-",0)="-",0,MATCH(_xlfn.XLOOKUP($A1174,Korrelation!$D$4:$D$1197,Korrelation!I$4:I$1197,"",0),DMAV_Dienste!$F$6:$F$140,0)))</f>
        <v>0</v>
      </c>
      <c r="G1174" s="57">
        <f>IF($A1174="","",IF(_xlfn.XLOOKUP($A1174,Korrelation!$D$4:$D$1197,Korrelation!J$4:J$1197,"-",0)="-",0,MATCH(_xlfn.XLOOKUP($A1174,Korrelation!$D$4:$D$1197,Korrelation!J$4:J$1197,"",0),DMAV_Dienste!$F$6:$F$140,0)))</f>
        <v>0</v>
      </c>
      <c r="H1174" s="57">
        <f>IF($A1174="","",IF(_xlfn.XLOOKUP($A1174,Korrelation!$D$4:$D$1197,Korrelation!K$4:K$1197,"-",0)="-",0,MATCH(_xlfn.XLOOKUP($A1174,Korrelation!$D$4:$D$1197,Korrelation!K$4:K$1197,"",0),'DM01-AV-CH'!$A$6:$A$834,0)))</f>
        <v>751</v>
      </c>
      <c r="J1174" s="54" t="str" cm="1">
        <f t="array" aca="1" ref="J1174" ca="1">IF(B1174=0,IF(E1174=0,"",HYPERLINK("#"&amp;RIGHT(CELL("adresse",OFFSET(DMAV_Dienste!$M$6,E1174-1,0)),LEN(CELL("adresse",OFFSET(DMAV_Dienste!$M$6,E1174-1,0)))-FIND("]",CELL("adresse",OFFSET(DMAV_Dienste!$M$6,E1174-1,0)))),"Dienst")),HYPERLINK("#"&amp;RIGHT(CELL("adresse",OFFSET(DMAV_Modell!$N$6,B1174-1,0)),LEN(CELL("adresse",OFFSET(DMAV_Modell!$N$6,B1174-1,0)))-FIND("]",CELL("adresse",OFFSET(DMAV_Modell!$N$6,B1174-1,0)))),"Modell"))</f>
        <v/>
      </c>
      <c r="K1174" s="61" t="str" cm="1">
        <f t="array" ref="K1174">IF($B1174=0,IF($E1174=0,"",IF(INDEX(DMAV_Dienste!P$6:P$140,$E1174)="","",INDEX(DMAV_Dienste!P$6:P$140,$E1174))),IF(INDEX(DMAV_Modell!Q$6:Q$838,$B1174)="","",INDEX(DMAV_Modell!Q$6:Q$838,$B1174)))</f>
        <v/>
      </c>
      <c r="L1174" s="62" t="str" cm="1">
        <f t="array" ref="L1174">IF($B1174=0,IF($E1174=0,"",IF(INDEX(DMAV_Dienste!O$6:O$140,$E1174)="","",INDEX(DMAV_Dienste!O$6:O$140,$E1174))),IF(INDEX(DMAV_Modell!P$6:P$838,$B1174)="","",INDEX(DMAV_Modell!P$6:P$838,$B1174)))</f>
        <v/>
      </c>
      <c r="M1174" s="62" t="str" cm="1">
        <f t="array" ref="M1174">IF($B1174=0,IF($E1174=0,"",IF(INDEX(DMAV_Dienste!Q$6:Q$140,$E1174)="","",INDEX(DMAV_Dienste!Q$6:Q$140,$E1174))),IF(INDEX(DMAV_Modell!R$6:R$838,$B1174)="","",INDEX(DMAV_Modell!R$6:R$838,$B1174)))</f>
        <v/>
      </c>
      <c r="N1174" s="62" t="str" cm="1">
        <f t="array" ref="N1174">IF($B1174=0,IF($E1174=0,"",IF(INDEX(DMAV_Dienste!T$6:T$140,$E1174)="","",INDEX(DMAV_Dienste!T$6:T$140,$E1174))),IF(INDEX(DMAV_Modell!U$6:U$838,$B1174)="","",INDEX(DMAV_Modell!U$6:U$838,$B1174)))</f>
        <v/>
      </c>
      <c r="O1174" s="63" t="str" cm="1">
        <f t="array" aca="1" ref="O1174" ca="1">IF(C1174=0,IF(F1174=0,"",HYPERLINK("#"&amp;RIGHT(CELL("adresse",OFFSET(DMAV_Dienste!$M$6,F1174-1,0)),LEN(CELL("adresse",OFFSET(DMAV_Dienste!$M$6,F1174-1,0)))-FIND("]",CELL("adresse",OFFSET(DMAV_Dienste!$M$6,F1174-1,0)))),"Structure")),HYPERLINK("#"&amp;RIGHT(CELL("adresse",OFFSET(DMAV_Modell!$N$6,C1174-1,0)),LEN(CELL("adresse",OFFSET(DMAV_Modell!$N$6,C1174-1,0)))-FIND("]",CELL("adresse",OFFSET(DMAV_Modell!$N$6,C1174-1,0)))),"Structure"))</f>
        <v/>
      </c>
      <c r="P1174" s="64" t="str" cm="1">
        <f t="array" aca="1" ref="P1174" ca="1">IF(D1174=0,IF(G1174=0,"",HYPERLINK("#"&amp;RIGHT(CELL("adresse",OFFSET(DMAV_Dienste!$M$6,G1174-1,0)),LEN(CELL("adresse",OFFSET(DMAV_Dienste!$M$6,G1174-1,0)))-FIND("]",CELL("adresse",OFFSET(DMAV_Dienste!$M$6,G1174-1,0)))),"Substructure")),HYPERLINK("#"&amp;RIGHT(CELL("adresse",OFFSET(DMAV_Modell!$N$6,D1174-1,0)),LEN(CELL("adresse",OFFSET(DMAV_Modell!$N$6,D1174-1,0)))-FIND("]",CELL("adresse",OFFSET(DMAV_Modell!$N$6,D1174-1,0)))),"Substructure"))</f>
        <v/>
      </c>
      <c r="R1174" s="80"/>
      <c r="T1174" s="93"/>
      <c r="U1174" s="94"/>
      <c r="V1174" s="95"/>
      <c r="W1174" s="96"/>
      <c r="Y1174" s="85"/>
      <c r="Z1174" s="86"/>
      <c r="AA1174" s="87"/>
      <c r="AB1174" s="88"/>
      <c r="AD1174" s="77"/>
      <c r="AF1174" s="54" t="str" cm="1">
        <f t="array" aca="1" ref="AF1174" ca="1">IF(H1174=0,"",HYPERLINK("#"&amp;RIGHT(CELL("adresse",OFFSET('DM01-AV-CH'!$G$6,H1174-1,0)),LEN(CELL("adresse",OFFSET('DM01-AV-CH'!$G$6,H1174-1,0)))-FIND("]",CELL("adresse",OFFSET('DM01-AV-CH'!$G$6,H1174-1,0)))),"Modell"))</f>
        <v>Modell</v>
      </c>
      <c r="AG1174" s="72" t="str" cm="1">
        <f t="array" ref="AG1174">IF($H1174=0,"",IF(INDEX('DM01-AV-CH'!G$6:G$834,$H1174)="","",INDEX('DM01-AV-CH'!G$6:G$834,$H1174)))</f>
        <v>Gebaeudeadressen</v>
      </c>
      <c r="AH1174" s="73" t="str" cm="1">
        <f t="array" ref="AH1174">IF($H1174=0,"",IF(INDEX('DM01-AV-CH'!H$6:H$834,$H1174)="","",INDEX('DM01-AV-CH'!H$6:H$834,$H1174)))</f>
        <v>GebaeudeName</v>
      </c>
      <c r="AI1174" s="74" t="str" cm="1">
        <f t="array" ref="AI1174">IF($H1174=0,"",IF(INDEX('DM01-AV-CH'!I$6:I$834,$H1174)="","",INDEX('DM01-AV-CH'!I$6:I$834,$H1174)))</f>
        <v>GebaeudeName_von</v>
      </c>
    </row>
    <row r="1175" spans="1:35" ht="28.5" x14ac:dyDescent="0.25">
      <c r="A1175" s="57">
        <v>1170</v>
      </c>
      <c r="B1175" s="57">
        <f>IF($A1175="","",IF(_xlfn.XLOOKUP($A1175,Korrelation!$D$4:$D$1197,Korrelation!E$4:E$1197,"-",0)="-",0,MATCH(_xlfn.XLOOKUP($A1175,Korrelation!$D$4:$D$1197,Korrelation!E$4:E$1197,"",0),DMAV_Modell!$G$6:$G$677,0)))</f>
        <v>665</v>
      </c>
      <c r="C1175" s="57">
        <f>IF($A1175="","",IF(_xlfn.XLOOKUP($A1175,Korrelation!$D$4:$D$1197,Korrelation!F$4:F$1197,"-",0)="-",0,MATCH(_xlfn.XLOOKUP($A1175,Korrelation!$D$4:$D$1197,Korrelation!F$4:F$1197,"",0),DMAV_Modell!$G$6:$G$677,0)))</f>
        <v>648</v>
      </c>
      <c r="D1175" s="57">
        <f>IF($A1175="","",IF(_xlfn.XLOOKUP($A1175,Korrelation!$D$4:$D$1197,Korrelation!G$4:G$1197,"-",0)="-",0,MATCH(_xlfn.XLOOKUP($A1175,Korrelation!$D$4:$D$1197,Korrelation!G$4:G$1197,"",0),DMAV_Modell!$G$6:$G$677,0)))</f>
        <v>0</v>
      </c>
      <c r="E1175" s="57">
        <f>IF($A1175="","",IF(_xlfn.XLOOKUP($A1175,Korrelation!$D$4:$D$1197,Korrelation!H$4:H$1197,"-",0)="-",0,MATCH(_xlfn.XLOOKUP($A1175,Korrelation!$D$4:$D$1197,Korrelation!H$4:H$1197,"",0),DMAV_Dienste!$F$6:$F$140,0)))</f>
        <v>0</v>
      </c>
      <c r="F1175" s="57">
        <f>IF($A1175="","",IF(_xlfn.XLOOKUP($A1175,Korrelation!$D$4:$D$1197,Korrelation!I$4:I$1197,"-",0)="-",0,MATCH(_xlfn.XLOOKUP($A1175,Korrelation!$D$4:$D$1197,Korrelation!I$4:I$1197,"",0),DMAV_Dienste!$F$6:$F$140,0)))</f>
        <v>0</v>
      </c>
      <c r="G1175" s="57">
        <f>IF($A1175="","",IF(_xlfn.XLOOKUP($A1175,Korrelation!$D$4:$D$1197,Korrelation!J$4:J$1197,"-",0)="-",0,MATCH(_xlfn.XLOOKUP($A1175,Korrelation!$D$4:$D$1197,Korrelation!J$4:J$1197,"",0),DMAV_Dienste!$F$6:$F$140,0)))</f>
        <v>0</v>
      </c>
      <c r="H1175" s="57">
        <f>IF($A1175="","",IF(_xlfn.XLOOKUP($A1175,Korrelation!$D$4:$D$1197,Korrelation!K$4:K$1197,"-",0)="-",0,MATCH(_xlfn.XLOOKUP($A1175,Korrelation!$D$4:$D$1197,Korrelation!K$4:K$1197,"",0),'DM01-AV-CH'!$A$6:$A$834,0)))</f>
        <v>752</v>
      </c>
      <c r="J1175" s="54" t="str" cm="1">
        <f t="array" aca="1" ref="J1175" ca="1">IF(B1175=0,IF(E1175=0,"",HYPERLINK("#"&amp;RIGHT(CELL("adresse",OFFSET(DMAV_Dienste!$M$6,E1175-1,0)),LEN(CELL("adresse",OFFSET(DMAV_Dienste!$M$6,E1175-1,0)))-FIND("]",CELL("adresse",OFFSET(DMAV_Dienste!$M$6,E1175-1,0)))),"Dienst")),HYPERLINK("#"&amp;RIGHT(CELL("adresse",OFFSET(DMAV_Modell!$N$6,B1175-1,0)),LEN(CELL("adresse",OFFSET(DMAV_Modell!$N$6,B1175-1,0)))-FIND("]",CELL("adresse",OFFSET(DMAV_Modell!$N$6,B1175-1,0)))),"Modell"))</f>
        <v>Modell</v>
      </c>
      <c r="K1175" s="61" t="str" cm="1">
        <f t="array" ref="K1175">IF($B1175=0,IF($E1175=0,"",IF(INDEX(DMAV_Dienste!P$6:P$140,$E1175)="","",INDEX(DMAV_Dienste!P$6:P$140,$E1175))),IF(INDEX(DMAV_Modell!Q$6:Q$838,$B1175)="","",INDEX(DMAV_Modell!Q$6:Q$838,$B1175)))</f>
        <v>CLASS</v>
      </c>
      <c r="L1175" s="62" t="str" cm="1">
        <f t="array" ref="L1175">IF($B1175=0,IF($E1175=0,"",IF(INDEX(DMAV_Dienste!O$6:O$140,$E1175)="","",INDEX(DMAV_Dienste!O$6:O$140,$E1175))),IF(INDEX(DMAV_Modell!P$6:P$838,$B1175)="","",INDEX(DMAV_Modell!P$6:P$838,$B1175)))</f>
        <v>Gebaeudeadressen</v>
      </c>
      <c r="M1175" s="62" t="str" cm="1">
        <f t="array" ref="M1175">IF($B1175=0,IF($E1175=0,"",IF(INDEX(DMAV_Dienste!Q$6:Q$140,$E1175)="","",INDEX(DMAV_Dienste!Q$6:Q$140,$E1175))),IF(INDEX(DMAV_Modell!R$6:R$838,$B1175)="","",INDEX(DMAV_Modell!R$6:R$838,$B1175)))</f>
        <v>Gebaeudeeingang</v>
      </c>
      <c r="N1175" s="62" t="str" cm="1">
        <f t="array" ref="N1175">IF($B1175=0,IF($E1175=0,"",IF(INDEX(DMAV_Dienste!T$6:T$140,$E1175)="","",INDEX(DMAV_Dienste!T$6:T$140,$E1175))),IF(INDEX(DMAV_Modell!U$6:U$838,$B1175)="","",INDEX(DMAV_Modell!U$6:U$838,$B1175)))</f>
        <v>GebaeudeName</v>
      </c>
      <c r="O1175" s="63" t="str" cm="1">
        <f t="array" aca="1" ref="O1175" ca="1">IF(C1175=0,IF(F1175=0,"",HYPERLINK("#"&amp;RIGHT(CELL("adresse",OFFSET(DMAV_Dienste!$M$6,F1175-1,0)),LEN(CELL("adresse",OFFSET(DMAV_Dienste!$M$6,F1175-1,0)))-FIND("]",CELL("adresse",OFFSET(DMAV_Dienste!$M$6,F1175-1,0)))),"Structure")),HYPERLINK("#"&amp;RIGHT(CELL("adresse",OFFSET(DMAV_Modell!$N$6,C1175-1,0)),LEN(CELL("adresse",OFFSET(DMAV_Modell!$N$6,C1175-1,0)))-FIND("]",CELL("adresse",OFFSET(DMAV_Modell!$N$6,C1175-1,0)))),"Structure"))</f>
        <v>Structure</v>
      </c>
      <c r="P1175" s="64" t="str" cm="1">
        <f t="array" aca="1" ref="P1175" ca="1">IF(D1175=0,IF(G1175=0,"",HYPERLINK("#"&amp;RIGHT(CELL("adresse",OFFSET(DMAV_Dienste!$M$6,G1175-1,0)),LEN(CELL("adresse",OFFSET(DMAV_Dienste!$M$6,G1175-1,0)))-FIND("]",CELL("adresse",OFFSET(DMAV_Dienste!$M$6,G1175-1,0)))),"Substructure")),HYPERLINK("#"&amp;RIGHT(CELL("adresse",OFFSET(DMAV_Modell!$N$6,D1175-1,0)),LEN(CELL("adresse",OFFSET(DMAV_Modell!$N$6,D1175-1,0)))-FIND("]",CELL("adresse",OFFSET(DMAV_Modell!$N$6,D1175-1,0)))),"Substructure"))</f>
        <v/>
      </c>
      <c r="R1175" s="80"/>
      <c r="T1175" s="93"/>
      <c r="U1175" s="94" t="s">
        <v>2980</v>
      </c>
      <c r="V1175" s="95" t="s">
        <v>3280</v>
      </c>
      <c r="W1175" s="96"/>
      <c r="Y1175" s="85"/>
      <c r="Z1175" s="86" t="s">
        <v>2980</v>
      </c>
      <c r="AA1175" s="87" t="s">
        <v>3281</v>
      </c>
      <c r="AB1175" s="88"/>
      <c r="AD1175" s="77"/>
      <c r="AF1175" s="54" t="str" cm="1">
        <f t="array" aca="1" ref="AF1175" ca="1">IF(H1175=0,"",HYPERLINK("#"&amp;RIGHT(CELL("adresse",OFFSET('DM01-AV-CH'!$G$6,H1175-1,0)),LEN(CELL("adresse",OFFSET('DM01-AV-CH'!$G$6,H1175-1,0)))-FIND("]",CELL("adresse",OFFSET('DM01-AV-CH'!$G$6,H1175-1,0)))),"Modell"))</f>
        <v>Modell</v>
      </c>
      <c r="AG1175" s="72" t="str" cm="1">
        <f t="array" ref="AG1175">IF($H1175=0,"",IF(INDEX('DM01-AV-CH'!G$6:G$834,$H1175)="","",INDEX('DM01-AV-CH'!G$6:G$834,$H1175)))</f>
        <v>Gebaeudeadressen</v>
      </c>
      <c r="AH1175" s="73" t="str" cm="1">
        <f t="array" ref="AH1175">IF($H1175=0,"",IF(INDEX('DM01-AV-CH'!H$6:H$834,$H1175)="","",INDEX('DM01-AV-CH'!H$6:H$834,$H1175)))</f>
        <v>GebaeudeName</v>
      </c>
      <c r="AI1175" s="74" t="str" cm="1">
        <f t="array" ref="AI1175">IF($H1175=0,"",IF(INDEX('DM01-AV-CH'!I$6:I$834,$H1175)="","",INDEX('DM01-AV-CH'!I$6:I$834,$H1175)))</f>
        <v>Text</v>
      </c>
    </row>
    <row r="1176" spans="1:35" ht="28.5" x14ac:dyDescent="0.25">
      <c r="A1176" s="57">
        <v>1171</v>
      </c>
      <c r="B1176" s="57">
        <f>IF($A1176="","",IF(_xlfn.XLOOKUP($A1176,Korrelation!$D$4:$D$1197,Korrelation!E$4:E$1197,"-",0)="-",0,MATCH(_xlfn.XLOOKUP($A1176,Korrelation!$D$4:$D$1197,Korrelation!E$4:E$1197,"",0),DMAV_Modell!$G$6:$G$677,0)))</f>
        <v>665</v>
      </c>
      <c r="C1176" s="57">
        <f>IF($A1176="","",IF(_xlfn.XLOOKUP($A1176,Korrelation!$D$4:$D$1197,Korrelation!F$4:F$1197,"-",0)="-",0,MATCH(_xlfn.XLOOKUP($A1176,Korrelation!$D$4:$D$1197,Korrelation!F$4:F$1197,"",0),DMAV_Modell!$G$6:$G$677,0)))</f>
        <v>649</v>
      </c>
      <c r="D1176" s="57">
        <f>IF($A1176="","",IF(_xlfn.XLOOKUP($A1176,Korrelation!$D$4:$D$1197,Korrelation!G$4:G$1197,"-",0)="-",0,MATCH(_xlfn.XLOOKUP($A1176,Korrelation!$D$4:$D$1197,Korrelation!G$4:G$1197,"",0),DMAV_Modell!$G$6:$G$677,0)))</f>
        <v>0</v>
      </c>
      <c r="E1176" s="57">
        <f>IF($A1176="","",IF(_xlfn.XLOOKUP($A1176,Korrelation!$D$4:$D$1197,Korrelation!H$4:H$1197,"-",0)="-",0,MATCH(_xlfn.XLOOKUP($A1176,Korrelation!$D$4:$D$1197,Korrelation!H$4:H$1197,"",0),DMAV_Dienste!$F$6:$F$140,0)))</f>
        <v>0</v>
      </c>
      <c r="F1176" s="57">
        <f>IF($A1176="","",IF(_xlfn.XLOOKUP($A1176,Korrelation!$D$4:$D$1197,Korrelation!I$4:I$1197,"-",0)="-",0,MATCH(_xlfn.XLOOKUP($A1176,Korrelation!$D$4:$D$1197,Korrelation!I$4:I$1197,"",0),DMAV_Dienste!$F$6:$F$140,0)))</f>
        <v>0</v>
      </c>
      <c r="G1176" s="57">
        <f>IF($A1176="","",IF(_xlfn.XLOOKUP($A1176,Korrelation!$D$4:$D$1197,Korrelation!J$4:J$1197,"-",0)="-",0,MATCH(_xlfn.XLOOKUP($A1176,Korrelation!$D$4:$D$1197,Korrelation!J$4:J$1197,"",0),DMAV_Dienste!$F$6:$F$140,0)))</f>
        <v>0</v>
      </c>
      <c r="H1176" s="57">
        <f>IF($A1176="","",IF(_xlfn.XLOOKUP($A1176,Korrelation!$D$4:$D$1197,Korrelation!K$4:K$1197,"-",0)="-",0,MATCH(_xlfn.XLOOKUP($A1176,Korrelation!$D$4:$D$1197,Korrelation!K$4:K$1197,"",0),'DM01-AV-CH'!$A$6:$A$834,0)))</f>
        <v>753</v>
      </c>
      <c r="J1176" s="54" t="str" cm="1">
        <f t="array" aca="1" ref="J1176" ca="1">IF(B1176=0,IF(E1176=0,"",HYPERLINK("#"&amp;RIGHT(CELL("adresse",OFFSET(DMAV_Dienste!$M$6,E1176-1,0)),LEN(CELL("adresse",OFFSET(DMAV_Dienste!$M$6,E1176-1,0)))-FIND("]",CELL("adresse",OFFSET(DMAV_Dienste!$M$6,E1176-1,0)))),"Dienst")),HYPERLINK("#"&amp;RIGHT(CELL("adresse",OFFSET(DMAV_Modell!$N$6,B1176-1,0)),LEN(CELL("adresse",OFFSET(DMAV_Modell!$N$6,B1176-1,0)))-FIND("]",CELL("adresse",OFFSET(DMAV_Modell!$N$6,B1176-1,0)))),"Modell"))</f>
        <v>Modell</v>
      </c>
      <c r="K1176" s="61" t="str" cm="1">
        <f t="array" ref="K1176">IF($B1176=0,IF($E1176=0,"",IF(INDEX(DMAV_Dienste!P$6:P$140,$E1176)="","",INDEX(DMAV_Dienste!P$6:P$140,$E1176))),IF(INDEX(DMAV_Modell!Q$6:Q$838,$B1176)="","",INDEX(DMAV_Modell!Q$6:Q$838,$B1176)))</f>
        <v>CLASS</v>
      </c>
      <c r="L1176" s="62" t="str" cm="1">
        <f t="array" ref="L1176">IF($B1176=0,IF($E1176=0,"",IF(INDEX(DMAV_Dienste!O$6:O$140,$E1176)="","",INDEX(DMAV_Dienste!O$6:O$140,$E1176))),IF(INDEX(DMAV_Modell!P$6:P$838,$B1176)="","",INDEX(DMAV_Modell!P$6:P$838,$B1176)))</f>
        <v>Gebaeudeadressen</v>
      </c>
      <c r="M1176" s="62" t="str" cm="1">
        <f t="array" ref="M1176">IF($B1176=0,IF($E1176=0,"",IF(INDEX(DMAV_Dienste!Q$6:Q$140,$E1176)="","",INDEX(DMAV_Dienste!Q$6:Q$140,$E1176))),IF(INDEX(DMAV_Modell!R$6:R$838,$B1176)="","",INDEX(DMAV_Modell!R$6:R$838,$B1176)))</f>
        <v>Gebaeudeeingang</v>
      </c>
      <c r="N1176" s="62" t="str" cm="1">
        <f t="array" ref="N1176">IF($B1176=0,IF($E1176=0,"",IF(INDEX(DMAV_Dienste!T$6:T$140,$E1176)="","",INDEX(DMAV_Dienste!T$6:T$140,$E1176))),IF(INDEX(DMAV_Modell!U$6:U$838,$B1176)="","",INDEX(DMAV_Modell!U$6:U$838,$B1176)))</f>
        <v>GebaeudeName</v>
      </c>
      <c r="O1176" s="63" t="str" cm="1">
        <f t="array" aca="1" ref="O1176" ca="1">IF(C1176=0,IF(F1176=0,"",HYPERLINK("#"&amp;RIGHT(CELL("adresse",OFFSET(DMAV_Dienste!$M$6,F1176-1,0)),LEN(CELL("adresse",OFFSET(DMAV_Dienste!$M$6,F1176-1,0)))-FIND("]",CELL("adresse",OFFSET(DMAV_Dienste!$M$6,F1176-1,0)))),"Structure")),HYPERLINK("#"&amp;RIGHT(CELL("adresse",OFFSET(DMAV_Modell!$N$6,C1176-1,0)),LEN(CELL("adresse",OFFSET(DMAV_Modell!$N$6,C1176-1,0)))-FIND("]",CELL("adresse",OFFSET(DMAV_Modell!$N$6,C1176-1,0)))),"Structure"))</f>
        <v>Structure</v>
      </c>
      <c r="P1176" s="64" t="str" cm="1">
        <f t="array" aca="1" ref="P1176" ca="1">IF(D1176=0,IF(G1176=0,"",HYPERLINK("#"&amp;RIGHT(CELL("adresse",OFFSET(DMAV_Dienste!$M$6,G1176-1,0)),LEN(CELL("adresse",OFFSET(DMAV_Dienste!$M$6,G1176-1,0)))-FIND("]",CELL("adresse",OFFSET(DMAV_Dienste!$M$6,G1176-1,0)))),"Substructure")),HYPERLINK("#"&amp;RIGHT(CELL("adresse",OFFSET(DMAV_Modell!$N$6,D1176-1,0)),LEN(CELL("adresse",OFFSET(DMAV_Modell!$N$6,D1176-1,0)))-FIND("]",CELL("adresse",OFFSET(DMAV_Modell!$N$6,D1176-1,0)))),"Substructure"))</f>
        <v/>
      </c>
      <c r="R1176" s="80"/>
      <c r="T1176" s="93"/>
      <c r="U1176" s="94" t="s">
        <v>2980</v>
      </c>
      <c r="V1176" s="95" t="s">
        <v>3282</v>
      </c>
      <c r="W1176" s="96"/>
      <c r="Y1176" s="85"/>
      <c r="Z1176" s="86" t="s">
        <v>2980</v>
      </c>
      <c r="AA1176" s="87" t="s">
        <v>3283</v>
      </c>
      <c r="AB1176" s="88"/>
      <c r="AD1176" s="77"/>
      <c r="AF1176" s="54" t="str" cm="1">
        <f t="array" aca="1" ref="AF1176" ca="1">IF(H1176=0,"",HYPERLINK("#"&amp;RIGHT(CELL("adresse",OFFSET('DM01-AV-CH'!$G$6,H1176-1,0)),LEN(CELL("adresse",OFFSET('DM01-AV-CH'!$G$6,H1176-1,0)))-FIND("]",CELL("adresse",OFFSET('DM01-AV-CH'!$G$6,H1176-1,0)))),"Modell"))</f>
        <v>Modell</v>
      </c>
      <c r="AG1176" s="72" t="str" cm="1">
        <f t="array" ref="AG1176">IF($H1176=0,"",IF(INDEX('DM01-AV-CH'!G$6:G$834,$H1176)="","",INDEX('DM01-AV-CH'!G$6:G$834,$H1176)))</f>
        <v>Gebaeudeadressen</v>
      </c>
      <c r="AH1176" s="73" t="str" cm="1">
        <f t="array" ref="AH1176">IF($H1176=0,"",IF(INDEX('DM01-AV-CH'!H$6:H$834,$H1176)="","",INDEX('DM01-AV-CH'!H$6:H$834,$H1176)))</f>
        <v>GebaeudeName</v>
      </c>
      <c r="AI1176" s="74" t="str" cm="1">
        <f t="array" ref="AI1176">IF($H1176=0,"",IF(INDEX('DM01-AV-CH'!I$6:I$834,$H1176)="","",INDEX('DM01-AV-CH'!I$6:I$834,$H1176)))</f>
        <v>KurzText</v>
      </c>
    </row>
    <row r="1177" spans="1:35" ht="28.5" x14ac:dyDescent="0.25">
      <c r="A1177" s="57">
        <v>1172</v>
      </c>
      <c r="B1177" s="57">
        <f>IF($A1177="","",IF(_xlfn.XLOOKUP($A1177,Korrelation!$D$4:$D$1197,Korrelation!E$4:E$1197,"-",0)="-",0,MATCH(_xlfn.XLOOKUP($A1177,Korrelation!$D$4:$D$1197,Korrelation!E$4:E$1197,"",0),DMAV_Modell!$G$6:$G$677,0)))</f>
        <v>665</v>
      </c>
      <c r="C1177" s="57">
        <f>IF($A1177="","",IF(_xlfn.XLOOKUP($A1177,Korrelation!$D$4:$D$1197,Korrelation!F$4:F$1197,"-",0)="-",0,MATCH(_xlfn.XLOOKUP($A1177,Korrelation!$D$4:$D$1197,Korrelation!F$4:F$1197,"",0),DMAV_Modell!$G$6:$G$677,0)))</f>
        <v>650</v>
      </c>
      <c r="D1177" s="57">
        <f>IF($A1177="","",IF(_xlfn.XLOOKUP($A1177,Korrelation!$D$4:$D$1197,Korrelation!G$4:G$1197,"-",0)="-",0,MATCH(_xlfn.XLOOKUP($A1177,Korrelation!$D$4:$D$1197,Korrelation!G$4:G$1197,"",0),DMAV_Modell!$G$6:$G$677,0)))</f>
        <v>0</v>
      </c>
      <c r="E1177" s="57">
        <f>IF($A1177="","",IF(_xlfn.XLOOKUP($A1177,Korrelation!$D$4:$D$1197,Korrelation!H$4:H$1197,"-",0)="-",0,MATCH(_xlfn.XLOOKUP($A1177,Korrelation!$D$4:$D$1197,Korrelation!H$4:H$1197,"",0),DMAV_Dienste!$F$6:$F$140,0)))</f>
        <v>0</v>
      </c>
      <c r="F1177" s="57">
        <f>IF($A1177="","",IF(_xlfn.XLOOKUP($A1177,Korrelation!$D$4:$D$1197,Korrelation!I$4:I$1197,"-",0)="-",0,MATCH(_xlfn.XLOOKUP($A1177,Korrelation!$D$4:$D$1197,Korrelation!I$4:I$1197,"",0),DMAV_Dienste!$F$6:$F$140,0)))</f>
        <v>0</v>
      </c>
      <c r="G1177" s="57">
        <f>IF($A1177="","",IF(_xlfn.XLOOKUP($A1177,Korrelation!$D$4:$D$1197,Korrelation!J$4:J$1197,"-",0)="-",0,MATCH(_xlfn.XLOOKUP($A1177,Korrelation!$D$4:$D$1197,Korrelation!J$4:J$1197,"",0),DMAV_Dienste!$F$6:$F$140,0)))</f>
        <v>0</v>
      </c>
      <c r="H1177" s="57">
        <f>IF($A1177="","",IF(_xlfn.XLOOKUP($A1177,Korrelation!$D$4:$D$1197,Korrelation!K$4:K$1197,"-",0)="-",0,MATCH(_xlfn.XLOOKUP($A1177,Korrelation!$D$4:$D$1197,Korrelation!K$4:K$1197,"",0),'DM01-AV-CH'!$A$6:$A$834,0)))</f>
        <v>754</v>
      </c>
      <c r="J1177" s="54" t="str" cm="1">
        <f t="array" aca="1" ref="J1177" ca="1">IF(B1177=0,IF(E1177=0,"",HYPERLINK("#"&amp;RIGHT(CELL("adresse",OFFSET(DMAV_Dienste!$M$6,E1177-1,0)),LEN(CELL("adresse",OFFSET(DMAV_Dienste!$M$6,E1177-1,0)))-FIND("]",CELL("adresse",OFFSET(DMAV_Dienste!$M$6,E1177-1,0)))),"Dienst")),HYPERLINK("#"&amp;RIGHT(CELL("adresse",OFFSET(DMAV_Modell!$N$6,B1177-1,0)),LEN(CELL("adresse",OFFSET(DMAV_Modell!$N$6,B1177-1,0)))-FIND("]",CELL("adresse",OFFSET(DMAV_Modell!$N$6,B1177-1,0)))),"Modell"))</f>
        <v>Modell</v>
      </c>
      <c r="K1177" s="61" t="str" cm="1">
        <f t="array" ref="K1177">IF($B1177=0,IF($E1177=0,"",IF(INDEX(DMAV_Dienste!P$6:P$140,$E1177)="","",INDEX(DMAV_Dienste!P$6:P$140,$E1177))),IF(INDEX(DMAV_Modell!Q$6:Q$838,$B1177)="","",INDEX(DMAV_Modell!Q$6:Q$838,$B1177)))</f>
        <v>CLASS</v>
      </c>
      <c r="L1177" s="62" t="str" cm="1">
        <f t="array" ref="L1177">IF($B1177=0,IF($E1177=0,"",IF(INDEX(DMAV_Dienste!O$6:O$140,$E1177)="","",INDEX(DMAV_Dienste!O$6:O$140,$E1177))),IF(INDEX(DMAV_Modell!P$6:P$838,$B1177)="","",INDEX(DMAV_Modell!P$6:P$838,$B1177)))</f>
        <v>Gebaeudeadressen</v>
      </c>
      <c r="M1177" s="62" t="str" cm="1">
        <f t="array" ref="M1177">IF($B1177=0,IF($E1177=0,"",IF(INDEX(DMAV_Dienste!Q$6:Q$140,$E1177)="","",INDEX(DMAV_Dienste!Q$6:Q$140,$E1177))),IF(INDEX(DMAV_Modell!R$6:R$838,$B1177)="","",INDEX(DMAV_Modell!R$6:R$838,$B1177)))</f>
        <v>Gebaeudeeingang</v>
      </c>
      <c r="N1177" s="62" t="str" cm="1">
        <f t="array" ref="N1177">IF($B1177=0,IF($E1177=0,"",IF(INDEX(DMAV_Dienste!T$6:T$140,$E1177)="","",INDEX(DMAV_Dienste!T$6:T$140,$E1177))),IF(INDEX(DMAV_Modell!U$6:U$838,$B1177)="","",INDEX(DMAV_Modell!U$6:U$838,$B1177)))</f>
        <v>GebaeudeName</v>
      </c>
      <c r="O1177" s="63" t="str" cm="1">
        <f t="array" aca="1" ref="O1177" ca="1">IF(C1177=0,IF(F1177=0,"",HYPERLINK("#"&amp;RIGHT(CELL("adresse",OFFSET(DMAV_Dienste!$M$6,F1177-1,0)),LEN(CELL("adresse",OFFSET(DMAV_Dienste!$M$6,F1177-1,0)))-FIND("]",CELL("adresse",OFFSET(DMAV_Dienste!$M$6,F1177-1,0)))),"Structure")),HYPERLINK("#"&amp;RIGHT(CELL("adresse",OFFSET(DMAV_Modell!$N$6,C1177-1,0)),LEN(CELL("adresse",OFFSET(DMAV_Modell!$N$6,C1177-1,0)))-FIND("]",CELL("adresse",OFFSET(DMAV_Modell!$N$6,C1177-1,0)))),"Structure"))</f>
        <v>Structure</v>
      </c>
      <c r="P1177" s="64" t="str" cm="1">
        <f t="array" aca="1" ref="P1177" ca="1">IF(D1177=0,IF(G1177=0,"",HYPERLINK("#"&amp;RIGHT(CELL("adresse",OFFSET(DMAV_Dienste!$M$6,G1177-1,0)),LEN(CELL("adresse",OFFSET(DMAV_Dienste!$M$6,G1177-1,0)))-FIND("]",CELL("adresse",OFFSET(DMAV_Dienste!$M$6,G1177-1,0)))),"Substructure")),HYPERLINK("#"&amp;RIGHT(CELL("adresse",OFFSET(DMAV_Modell!$N$6,D1177-1,0)),LEN(CELL("adresse",OFFSET(DMAV_Modell!$N$6,D1177-1,0)))-FIND("]",CELL("adresse",OFFSET(DMAV_Modell!$N$6,D1177-1,0)))),"Substructure"))</f>
        <v/>
      </c>
      <c r="R1177" s="80"/>
      <c r="T1177" s="93"/>
      <c r="U1177" s="94" t="s">
        <v>2980</v>
      </c>
      <c r="V1177" s="95" t="s">
        <v>3284</v>
      </c>
      <c r="W1177" s="96"/>
      <c r="Y1177" s="85"/>
      <c r="Z1177" s="86" t="s">
        <v>2980</v>
      </c>
      <c r="AA1177" s="87" t="s">
        <v>3285</v>
      </c>
      <c r="AB1177" s="88"/>
      <c r="AD1177" s="77"/>
      <c r="AF1177" s="54" t="str" cm="1">
        <f t="array" aca="1" ref="AF1177" ca="1">IF(H1177=0,"",HYPERLINK("#"&amp;RIGHT(CELL("adresse",OFFSET('DM01-AV-CH'!$G$6,H1177-1,0)),LEN(CELL("adresse",OFFSET('DM01-AV-CH'!$G$6,H1177-1,0)))-FIND("]",CELL("adresse",OFFSET('DM01-AV-CH'!$G$6,H1177-1,0)))),"Modell"))</f>
        <v>Modell</v>
      </c>
      <c r="AG1177" s="72" t="str" cm="1">
        <f t="array" ref="AG1177">IF($H1177=0,"",IF(INDEX('DM01-AV-CH'!G$6:G$834,$H1177)="","",INDEX('DM01-AV-CH'!G$6:G$834,$H1177)))</f>
        <v>Gebaeudeadressen</v>
      </c>
      <c r="AH1177" s="73" t="str" cm="1">
        <f t="array" ref="AH1177">IF($H1177=0,"",IF(INDEX('DM01-AV-CH'!H$6:H$834,$H1177)="","",INDEX('DM01-AV-CH'!H$6:H$834,$H1177)))</f>
        <v>GebaeudeName</v>
      </c>
      <c r="AI1177" s="74" t="str" cm="1">
        <f t="array" ref="AI1177">IF($H1177=0,"",IF(INDEX('DM01-AV-CH'!I$6:I$834,$H1177)="","",INDEX('DM01-AV-CH'!I$6:I$834,$H1177)))</f>
        <v>IndexText</v>
      </c>
    </row>
    <row r="1178" spans="1:35" ht="28.5" x14ac:dyDescent="0.25">
      <c r="A1178" s="57">
        <v>1173</v>
      </c>
      <c r="B1178" s="57">
        <f>IF($A1178="","",IF(_xlfn.XLOOKUP($A1178,Korrelation!$D$4:$D$1197,Korrelation!E$4:E$1197,"-",0)="-",0,MATCH(_xlfn.XLOOKUP($A1178,Korrelation!$D$4:$D$1197,Korrelation!E$4:E$1197,"",0),DMAV_Modell!$G$6:$G$677,0)))</f>
        <v>665</v>
      </c>
      <c r="C1178" s="57">
        <f>IF($A1178="","",IF(_xlfn.XLOOKUP($A1178,Korrelation!$D$4:$D$1197,Korrelation!F$4:F$1197,"-",0)="-",0,MATCH(_xlfn.XLOOKUP($A1178,Korrelation!$D$4:$D$1197,Korrelation!F$4:F$1197,"",0),DMAV_Modell!$G$6:$G$677,0)))</f>
        <v>651</v>
      </c>
      <c r="D1178" s="57">
        <f>IF($A1178="","",IF(_xlfn.XLOOKUP($A1178,Korrelation!$D$4:$D$1197,Korrelation!G$4:G$1197,"-",0)="-",0,MATCH(_xlfn.XLOOKUP($A1178,Korrelation!$D$4:$D$1197,Korrelation!G$4:G$1197,"",0),DMAV_Modell!$G$6:$G$677,0)))</f>
        <v>0</v>
      </c>
      <c r="E1178" s="57">
        <f>IF($A1178="","",IF(_xlfn.XLOOKUP($A1178,Korrelation!$D$4:$D$1197,Korrelation!H$4:H$1197,"-",0)="-",0,MATCH(_xlfn.XLOOKUP($A1178,Korrelation!$D$4:$D$1197,Korrelation!H$4:H$1197,"",0),DMAV_Dienste!$F$6:$F$140,0)))</f>
        <v>0</v>
      </c>
      <c r="F1178" s="57">
        <f>IF($A1178="","",IF(_xlfn.XLOOKUP($A1178,Korrelation!$D$4:$D$1197,Korrelation!I$4:I$1197,"-",0)="-",0,MATCH(_xlfn.XLOOKUP($A1178,Korrelation!$D$4:$D$1197,Korrelation!I$4:I$1197,"",0),DMAV_Dienste!$F$6:$F$140,0)))</f>
        <v>0</v>
      </c>
      <c r="G1178" s="57">
        <f>IF($A1178="","",IF(_xlfn.XLOOKUP($A1178,Korrelation!$D$4:$D$1197,Korrelation!J$4:J$1197,"-",0)="-",0,MATCH(_xlfn.XLOOKUP($A1178,Korrelation!$D$4:$D$1197,Korrelation!J$4:J$1197,"",0),DMAV_Dienste!$F$6:$F$140,0)))</f>
        <v>0</v>
      </c>
      <c r="H1178" s="57">
        <f>IF($A1178="","",IF(_xlfn.XLOOKUP($A1178,Korrelation!$D$4:$D$1197,Korrelation!K$4:K$1197,"-",0)="-",0,MATCH(_xlfn.XLOOKUP($A1178,Korrelation!$D$4:$D$1197,Korrelation!K$4:K$1197,"",0),'DM01-AV-CH'!$A$6:$A$834,0)))</f>
        <v>755</v>
      </c>
      <c r="J1178" s="54" t="str" cm="1">
        <f t="array" aca="1" ref="J1178" ca="1">IF(B1178=0,IF(E1178=0,"",HYPERLINK("#"&amp;RIGHT(CELL("adresse",OFFSET(DMAV_Dienste!$M$6,E1178-1,0)),LEN(CELL("adresse",OFFSET(DMAV_Dienste!$M$6,E1178-1,0)))-FIND("]",CELL("adresse",OFFSET(DMAV_Dienste!$M$6,E1178-1,0)))),"Dienst")),HYPERLINK("#"&amp;RIGHT(CELL("adresse",OFFSET(DMAV_Modell!$N$6,B1178-1,0)),LEN(CELL("adresse",OFFSET(DMAV_Modell!$N$6,B1178-1,0)))-FIND("]",CELL("adresse",OFFSET(DMAV_Modell!$N$6,B1178-1,0)))),"Modell"))</f>
        <v>Modell</v>
      </c>
      <c r="K1178" s="61" t="str" cm="1">
        <f t="array" ref="K1178">IF($B1178=0,IF($E1178=0,"",IF(INDEX(DMAV_Dienste!P$6:P$140,$E1178)="","",INDEX(DMAV_Dienste!P$6:P$140,$E1178))),IF(INDEX(DMAV_Modell!Q$6:Q$838,$B1178)="","",INDEX(DMAV_Modell!Q$6:Q$838,$B1178)))</f>
        <v>CLASS</v>
      </c>
      <c r="L1178" s="62" t="str" cm="1">
        <f t="array" ref="L1178">IF($B1178=0,IF($E1178=0,"",IF(INDEX(DMAV_Dienste!O$6:O$140,$E1178)="","",INDEX(DMAV_Dienste!O$6:O$140,$E1178))),IF(INDEX(DMAV_Modell!P$6:P$838,$B1178)="","",INDEX(DMAV_Modell!P$6:P$838,$B1178)))</f>
        <v>Gebaeudeadressen</v>
      </c>
      <c r="M1178" s="62" t="str" cm="1">
        <f t="array" ref="M1178">IF($B1178=0,IF($E1178=0,"",IF(INDEX(DMAV_Dienste!Q$6:Q$140,$E1178)="","",INDEX(DMAV_Dienste!Q$6:Q$140,$E1178))),IF(INDEX(DMAV_Modell!R$6:R$838,$B1178)="","",INDEX(DMAV_Modell!R$6:R$838,$B1178)))</f>
        <v>Gebaeudeeingang</v>
      </c>
      <c r="N1178" s="62" t="str" cm="1">
        <f t="array" ref="N1178">IF($B1178=0,IF($E1178=0,"",IF(INDEX(DMAV_Dienste!T$6:T$140,$E1178)="","",INDEX(DMAV_Dienste!T$6:T$140,$E1178))),IF(INDEX(DMAV_Modell!U$6:U$838,$B1178)="","",INDEX(DMAV_Modell!U$6:U$838,$B1178)))</f>
        <v>GebaeudeName</v>
      </c>
      <c r="O1178" s="63" t="str" cm="1">
        <f t="array" aca="1" ref="O1178" ca="1">IF(C1178=0,IF(F1178=0,"",HYPERLINK("#"&amp;RIGHT(CELL("adresse",OFFSET(DMAV_Dienste!$M$6,F1178-1,0)),LEN(CELL("adresse",OFFSET(DMAV_Dienste!$M$6,F1178-1,0)))-FIND("]",CELL("adresse",OFFSET(DMAV_Dienste!$M$6,F1178-1,0)))),"Structure")),HYPERLINK("#"&amp;RIGHT(CELL("adresse",OFFSET(DMAV_Modell!$N$6,C1178-1,0)),LEN(CELL("adresse",OFFSET(DMAV_Modell!$N$6,C1178-1,0)))-FIND("]",CELL("adresse",OFFSET(DMAV_Modell!$N$6,C1178-1,0)))),"Structure"))</f>
        <v>Structure</v>
      </c>
      <c r="P1178" s="64" t="str" cm="1">
        <f t="array" aca="1" ref="P1178" ca="1">IF(D1178=0,IF(G1178=0,"",HYPERLINK("#"&amp;RIGHT(CELL("adresse",OFFSET(DMAV_Dienste!$M$6,G1178-1,0)),LEN(CELL("adresse",OFFSET(DMAV_Dienste!$M$6,G1178-1,0)))-FIND("]",CELL("adresse",OFFSET(DMAV_Dienste!$M$6,G1178-1,0)))),"Substructure")),HYPERLINK("#"&amp;RIGHT(CELL("adresse",OFFSET(DMAV_Modell!$N$6,D1178-1,0)),LEN(CELL("adresse",OFFSET(DMAV_Modell!$N$6,D1178-1,0)))-FIND("]",CELL("adresse",OFFSET(DMAV_Modell!$N$6,D1178-1,0)))),"Substructure"))</f>
        <v/>
      </c>
      <c r="R1178" s="80"/>
      <c r="T1178" s="93"/>
      <c r="U1178" s="94" t="s">
        <v>2980</v>
      </c>
      <c r="V1178" s="95" t="s">
        <v>3286</v>
      </c>
      <c r="W1178" s="96"/>
      <c r="Y1178" s="85"/>
      <c r="Z1178" s="86" t="s">
        <v>2980</v>
      </c>
      <c r="AA1178" s="87" t="s">
        <v>3287</v>
      </c>
      <c r="AB1178" s="88"/>
      <c r="AD1178" s="77"/>
      <c r="AF1178" s="54" t="str" cm="1">
        <f t="array" aca="1" ref="AF1178" ca="1">IF(H1178=0,"",HYPERLINK("#"&amp;RIGHT(CELL("adresse",OFFSET('DM01-AV-CH'!$G$6,H1178-1,0)),LEN(CELL("adresse",OFFSET('DM01-AV-CH'!$G$6,H1178-1,0)))-FIND("]",CELL("adresse",OFFSET('DM01-AV-CH'!$G$6,H1178-1,0)))),"Modell"))</f>
        <v>Modell</v>
      </c>
      <c r="AG1178" s="72" t="str" cm="1">
        <f t="array" ref="AG1178">IF($H1178=0,"",IF(INDEX('DM01-AV-CH'!G$6:G$834,$H1178)="","",INDEX('DM01-AV-CH'!G$6:G$834,$H1178)))</f>
        <v>Gebaeudeadressen</v>
      </c>
      <c r="AH1178" s="73" t="str" cm="1">
        <f t="array" ref="AH1178">IF($H1178=0,"",IF(INDEX('DM01-AV-CH'!H$6:H$834,$H1178)="","",INDEX('DM01-AV-CH'!H$6:H$834,$H1178)))</f>
        <v>GebaeudeName</v>
      </c>
      <c r="AI1178" s="74" t="str" cm="1">
        <f t="array" ref="AI1178">IF($H1178=0,"",IF(INDEX('DM01-AV-CH'!I$6:I$834,$H1178)="","",INDEX('DM01-AV-CH'!I$6:I$834,$H1178)))</f>
        <v>Sprache</v>
      </c>
    </row>
    <row r="1179" spans="1:35" x14ac:dyDescent="0.25">
      <c r="A1179" s="57">
        <v>1174</v>
      </c>
      <c r="B1179" s="57">
        <f>IF($A1179="","",IF(_xlfn.XLOOKUP($A1179,Korrelation!$D$4:$D$1197,Korrelation!E$4:E$1197,"-",0)="-",0,MATCH(_xlfn.XLOOKUP($A1179,Korrelation!$D$4:$D$1197,Korrelation!E$4:E$1197,"",0),DMAV_Modell!$G$6:$G$677,0)))</f>
        <v>0</v>
      </c>
      <c r="C1179" s="57">
        <f>IF($A1179="","",IF(_xlfn.XLOOKUP($A1179,Korrelation!$D$4:$D$1197,Korrelation!F$4:F$1197,"-",0)="-",0,MATCH(_xlfn.XLOOKUP($A1179,Korrelation!$D$4:$D$1197,Korrelation!F$4:F$1197,"",0),DMAV_Modell!$G$6:$G$677,0)))</f>
        <v>0</v>
      </c>
      <c r="D1179" s="57">
        <f>IF($A1179="","",IF(_xlfn.XLOOKUP($A1179,Korrelation!$D$4:$D$1197,Korrelation!G$4:G$1197,"-",0)="-",0,MATCH(_xlfn.XLOOKUP($A1179,Korrelation!$D$4:$D$1197,Korrelation!G$4:G$1197,"",0),DMAV_Modell!$G$6:$G$677,0)))</f>
        <v>0</v>
      </c>
      <c r="E1179" s="57">
        <f>IF($A1179="","",IF(_xlfn.XLOOKUP($A1179,Korrelation!$D$4:$D$1197,Korrelation!H$4:H$1197,"-",0)="-",0,MATCH(_xlfn.XLOOKUP($A1179,Korrelation!$D$4:$D$1197,Korrelation!H$4:H$1197,"",0),DMAV_Dienste!$F$6:$F$140,0)))</f>
        <v>0</v>
      </c>
      <c r="F1179" s="57">
        <f>IF($A1179="","",IF(_xlfn.XLOOKUP($A1179,Korrelation!$D$4:$D$1197,Korrelation!I$4:I$1197,"-",0)="-",0,MATCH(_xlfn.XLOOKUP($A1179,Korrelation!$D$4:$D$1197,Korrelation!I$4:I$1197,"",0),DMAV_Dienste!$F$6:$F$140,0)))</f>
        <v>0</v>
      </c>
      <c r="G1179" s="57">
        <f>IF($A1179="","",IF(_xlfn.XLOOKUP($A1179,Korrelation!$D$4:$D$1197,Korrelation!J$4:J$1197,"-",0)="-",0,MATCH(_xlfn.XLOOKUP($A1179,Korrelation!$D$4:$D$1197,Korrelation!J$4:J$1197,"",0),DMAV_Dienste!$F$6:$F$140,0)))</f>
        <v>0</v>
      </c>
      <c r="H1179" s="57">
        <f>IF($A1179="","",IF(_xlfn.XLOOKUP($A1179,Korrelation!$D$4:$D$1197,Korrelation!K$4:K$1197,"-",0)="-",0,MATCH(_xlfn.XLOOKUP($A1179,Korrelation!$D$4:$D$1197,Korrelation!K$4:K$1197,"",0),'DM01-AV-CH'!$A$6:$A$834,0)))</f>
        <v>756</v>
      </c>
      <c r="J1179" s="54" t="str" cm="1">
        <f t="array" aca="1" ref="J1179" ca="1">IF(B1179=0,IF(E1179=0,"",HYPERLINK("#"&amp;RIGHT(CELL("adresse",OFFSET(DMAV_Dienste!$M$6,E1179-1,0)),LEN(CELL("adresse",OFFSET(DMAV_Dienste!$M$6,E1179-1,0)))-FIND("]",CELL("adresse",OFFSET(DMAV_Dienste!$M$6,E1179-1,0)))),"Dienst")),HYPERLINK("#"&amp;RIGHT(CELL("adresse",OFFSET(DMAV_Modell!$N$6,B1179-1,0)),LEN(CELL("adresse",OFFSET(DMAV_Modell!$N$6,B1179-1,0)))-FIND("]",CELL("adresse",OFFSET(DMAV_Modell!$N$6,B1179-1,0)))),"Modell"))</f>
        <v/>
      </c>
      <c r="K1179" s="61" t="str" cm="1">
        <f t="array" ref="K1179">IF($B1179=0,IF($E1179=0,"",IF(INDEX(DMAV_Dienste!P$6:P$140,$E1179)="","",INDEX(DMAV_Dienste!P$6:P$140,$E1179))),IF(INDEX(DMAV_Modell!Q$6:Q$838,$B1179)="","",INDEX(DMAV_Modell!Q$6:Q$838,$B1179)))</f>
        <v/>
      </c>
      <c r="L1179" s="62" t="str" cm="1">
        <f t="array" ref="L1179">IF($B1179=0,IF($E1179=0,"",IF(INDEX(DMAV_Dienste!O$6:O$140,$E1179)="","",INDEX(DMAV_Dienste!O$6:O$140,$E1179))),IF(INDEX(DMAV_Modell!P$6:P$838,$B1179)="","",INDEX(DMAV_Modell!P$6:P$838,$B1179)))</f>
        <v/>
      </c>
      <c r="M1179" s="62" t="str" cm="1">
        <f t="array" ref="M1179">IF($B1179=0,IF($E1179=0,"",IF(INDEX(DMAV_Dienste!Q$6:Q$140,$E1179)="","",INDEX(DMAV_Dienste!Q$6:Q$140,$E1179))),IF(INDEX(DMAV_Modell!R$6:R$838,$B1179)="","",INDEX(DMAV_Modell!R$6:R$838,$B1179)))</f>
        <v/>
      </c>
      <c r="N1179" s="62" t="str" cm="1">
        <f t="array" ref="N1179">IF($B1179=0,IF($E1179=0,"",IF(INDEX(DMAV_Dienste!T$6:T$140,$E1179)="","",INDEX(DMAV_Dienste!T$6:T$140,$E1179))),IF(INDEX(DMAV_Modell!U$6:U$838,$B1179)="","",INDEX(DMAV_Modell!U$6:U$838,$B1179)))</f>
        <v/>
      </c>
      <c r="O1179" s="63" t="str" cm="1">
        <f t="array" aca="1" ref="O1179" ca="1">IF(C1179=0,IF(F1179=0,"",HYPERLINK("#"&amp;RIGHT(CELL("adresse",OFFSET(DMAV_Dienste!$M$6,F1179-1,0)),LEN(CELL("adresse",OFFSET(DMAV_Dienste!$M$6,F1179-1,0)))-FIND("]",CELL("adresse",OFFSET(DMAV_Dienste!$M$6,F1179-1,0)))),"Structure")),HYPERLINK("#"&amp;RIGHT(CELL("adresse",OFFSET(DMAV_Modell!$N$6,C1179-1,0)),LEN(CELL("adresse",OFFSET(DMAV_Modell!$N$6,C1179-1,0)))-FIND("]",CELL("adresse",OFFSET(DMAV_Modell!$N$6,C1179-1,0)))),"Structure"))</f>
        <v/>
      </c>
      <c r="P1179" s="64" t="str" cm="1">
        <f t="array" aca="1" ref="P1179" ca="1">IF(D1179=0,IF(G1179=0,"",HYPERLINK("#"&amp;RIGHT(CELL("adresse",OFFSET(DMAV_Dienste!$M$6,G1179-1,0)),LEN(CELL("adresse",OFFSET(DMAV_Dienste!$M$6,G1179-1,0)))-FIND("]",CELL("adresse",OFFSET(DMAV_Dienste!$M$6,G1179-1,0)))),"Substructure")),HYPERLINK("#"&amp;RIGHT(CELL("adresse",OFFSET(DMAV_Modell!$N$6,D1179-1,0)),LEN(CELL("adresse",OFFSET(DMAV_Modell!$N$6,D1179-1,0)))-FIND("]",CELL("adresse",OFFSET(DMAV_Modell!$N$6,D1179-1,0)))),"Substructure"))</f>
        <v/>
      </c>
      <c r="R1179" s="80"/>
      <c r="T1179" s="93"/>
      <c r="U1179" s="94"/>
      <c r="V1179" s="95"/>
      <c r="W1179" s="96"/>
      <c r="Y1179" s="85"/>
      <c r="Z1179" s="86"/>
      <c r="AA1179" s="87"/>
      <c r="AB1179" s="88"/>
      <c r="AD1179" s="77"/>
      <c r="AF1179" s="54" t="str" cm="1">
        <f t="array" aca="1" ref="AF1179" ca="1">IF(H1179=0,"",HYPERLINK("#"&amp;RIGHT(CELL("adresse",OFFSET('DM01-AV-CH'!$G$6,H1179-1,0)),LEN(CELL("adresse",OFFSET('DM01-AV-CH'!$G$6,H1179-1,0)))-FIND("]",CELL("adresse",OFFSET('DM01-AV-CH'!$G$6,H1179-1,0)))),"Modell"))</f>
        <v>Modell</v>
      </c>
      <c r="AG1179" s="72" t="str" cm="1">
        <f t="array" ref="AG1179">IF($H1179=0,"",IF(INDEX('DM01-AV-CH'!G$6:G$834,$H1179)="","",INDEX('DM01-AV-CH'!G$6:G$834,$H1179)))</f>
        <v>Gebaeudeadressen</v>
      </c>
      <c r="AH1179" s="73" t="str" cm="1">
        <f t="array" ref="AH1179">IF($H1179=0,"",IF(INDEX('DM01-AV-CH'!H$6:H$834,$H1179)="","",INDEX('DM01-AV-CH'!H$6:H$834,$H1179)))</f>
        <v>GebaeudeNamePos</v>
      </c>
      <c r="AI1179" s="74" t="str" cm="1">
        <f t="array" ref="AI1179">IF($H1179=0,"",IF(INDEX('DM01-AV-CH'!I$6:I$834,$H1179)="","",INDEX('DM01-AV-CH'!I$6:I$834,$H1179)))</f>
        <v>GebaeudeNamePos_von</v>
      </c>
    </row>
    <row r="1180" spans="1:35" ht="42.75" x14ac:dyDescent="0.25">
      <c r="A1180" s="57">
        <v>1175</v>
      </c>
      <c r="B1180" s="57">
        <f>IF($A1180="","",IF(_xlfn.XLOOKUP($A1180,Korrelation!$D$4:$D$1197,Korrelation!E$4:E$1197,"-",0)="-",0,MATCH(_xlfn.XLOOKUP($A1180,Korrelation!$D$4:$D$1197,Korrelation!E$4:E$1197,"",0),DMAV_Modell!$G$6:$G$677,0)))</f>
        <v>665</v>
      </c>
      <c r="C1180" s="57">
        <f>IF($A1180="","",IF(_xlfn.XLOOKUP($A1180,Korrelation!$D$4:$D$1197,Korrelation!F$4:F$1197,"-",0)="-",0,MATCH(_xlfn.XLOOKUP($A1180,Korrelation!$D$4:$D$1197,Korrelation!F$4:F$1197,"",0),DMAV_Modell!$G$6:$G$677,0)))</f>
        <v>651</v>
      </c>
      <c r="D1180" s="57">
        <f>IF($A1180="","",IF(_xlfn.XLOOKUP($A1180,Korrelation!$D$4:$D$1197,Korrelation!G$4:G$1197,"-",0)="-",0,MATCH(_xlfn.XLOOKUP($A1180,Korrelation!$D$4:$D$1197,Korrelation!G$4:G$1197,"",0),DMAV_Modell!$G$6:$G$677,0)))</f>
        <v>26</v>
      </c>
      <c r="E1180" s="57">
        <f>IF($A1180="","",IF(_xlfn.XLOOKUP($A1180,Korrelation!$D$4:$D$1197,Korrelation!H$4:H$1197,"-",0)="-",0,MATCH(_xlfn.XLOOKUP($A1180,Korrelation!$D$4:$D$1197,Korrelation!H$4:H$1197,"",0),DMAV_Dienste!$F$6:$F$140,0)))</f>
        <v>0</v>
      </c>
      <c r="F1180" s="57">
        <f>IF($A1180="","",IF(_xlfn.XLOOKUP($A1180,Korrelation!$D$4:$D$1197,Korrelation!I$4:I$1197,"-",0)="-",0,MATCH(_xlfn.XLOOKUP($A1180,Korrelation!$D$4:$D$1197,Korrelation!I$4:I$1197,"",0),DMAV_Dienste!$F$6:$F$140,0)))</f>
        <v>0</v>
      </c>
      <c r="G1180" s="57">
        <f>IF($A1180="","",IF(_xlfn.XLOOKUP($A1180,Korrelation!$D$4:$D$1197,Korrelation!J$4:J$1197,"-",0)="-",0,MATCH(_xlfn.XLOOKUP($A1180,Korrelation!$D$4:$D$1197,Korrelation!J$4:J$1197,"",0),DMAV_Dienste!$F$6:$F$140,0)))</f>
        <v>0</v>
      </c>
      <c r="H1180" s="57">
        <f>IF($A1180="","",IF(_xlfn.XLOOKUP($A1180,Korrelation!$D$4:$D$1197,Korrelation!K$4:K$1197,"-",0)="-",0,MATCH(_xlfn.XLOOKUP($A1180,Korrelation!$D$4:$D$1197,Korrelation!K$4:K$1197,"",0),'DM01-AV-CH'!$A$6:$A$834,0)))</f>
        <v>757</v>
      </c>
      <c r="J1180" s="54" t="str" cm="1">
        <f t="array" aca="1" ref="J1180" ca="1">IF(B1180=0,IF(E1180=0,"",HYPERLINK("#"&amp;RIGHT(CELL("adresse",OFFSET(DMAV_Dienste!$M$6,E1180-1,0)),LEN(CELL("adresse",OFFSET(DMAV_Dienste!$M$6,E1180-1,0)))-FIND("]",CELL("adresse",OFFSET(DMAV_Dienste!$M$6,E1180-1,0)))),"Dienst")),HYPERLINK("#"&amp;RIGHT(CELL("adresse",OFFSET(DMAV_Modell!$N$6,B1180-1,0)),LEN(CELL("adresse",OFFSET(DMAV_Modell!$N$6,B1180-1,0)))-FIND("]",CELL("adresse",OFFSET(DMAV_Modell!$N$6,B1180-1,0)))),"Modell"))</f>
        <v>Modell</v>
      </c>
      <c r="K1180" s="61" t="str" cm="1">
        <f t="array" ref="K1180">IF($B1180=0,IF($E1180=0,"",IF(INDEX(DMAV_Dienste!P$6:P$140,$E1180)="","",INDEX(DMAV_Dienste!P$6:P$140,$E1180))),IF(INDEX(DMAV_Modell!Q$6:Q$838,$B1180)="","",INDEX(DMAV_Modell!Q$6:Q$838,$B1180)))</f>
        <v>CLASS</v>
      </c>
      <c r="L1180" s="62" t="str" cm="1">
        <f t="array" ref="L1180">IF($B1180=0,IF($E1180=0,"",IF(INDEX(DMAV_Dienste!O$6:O$140,$E1180)="","",INDEX(DMAV_Dienste!O$6:O$140,$E1180))),IF(INDEX(DMAV_Modell!P$6:P$838,$B1180)="","",INDEX(DMAV_Modell!P$6:P$838,$B1180)))</f>
        <v>Gebaeudeadressen</v>
      </c>
      <c r="M1180" s="62" t="str" cm="1">
        <f t="array" ref="M1180">IF($B1180=0,IF($E1180=0,"",IF(INDEX(DMAV_Dienste!Q$6:Q$140,$E1180)="","",INDEX(DMAV_Dienste!Q$6:Q$140,$E1180))),IF(INDEX(DMAV_Modell!R$6:R$838,$B1180)="","",INDEX(DMAV_Modell!R$6:R$838,$B1180)))</f>
        <v>Gebaeudeeingang</v>
      </c>
      <c r="N1180" s="62" t="str" cm="1">
        <f t="array" ref="N1180">IF($B1180=0,IF($E1180=0,"",IF(INDEX(DMAV_Dienste!T$6:T$140,$E1180)="","",INDEX(DMAV_Dienste!T$6:T$140,$E1180))),IF(INDEX(DMAV_Modell!U$6:U$838,$B1180)="","",INDEX(DMAV_Modell!U$6:U$838,$B1180)))</f>
        <v>GebaeudeName</v>
      </c>
      <c r="O1180" s="63" t="str" cm="1">
        <f t="array" aca="1" ref="O1180" ca="1">IF(C1180=0,IF(F1180=0,"",HYPERLINK("#"&amp;RIGHT(CELL("adresse",OFFSET(DMAV_Dienste!$M$6,F1180-1,0)),LEN(CELL("adresse",OFFSET(DMAV_Dienste!$M$6,F1180-1,0)))-FIND("]",CELL("adresse",OFFSET(DMAV_Dienste!$M$6,F1180-1,0)))),"Structure")),HYPERLINK("#"&amp;RIGHT(CELL("adresse",OFFSET(DMAV_Modell!$N$6,C1180-1,0)),LEN(CELL("adresse",OFFSET(DMAV_Modell!$N$6,C1180-1,0)))-FIND("]",CELL("adresse",OFFSET(DMAV_Modell!$N$6,C1180-1,0)))),"Structure"))</f>
        <v>Structure</v>
      </c>
      <c r="P1180" s="64" t="str" cm="1">
        <f t="array" aca="1" ref="P1180" ca="1">IF(D1180=0,IF(G1180=0,"",HYPERLINK("#"&amp;RIGHT(CELL("adresse",OFFSET(DMAV_Dienste!$M$6,G1180-1,0)),LEN(CELL("adresse",OFFSET(DMAV_Dienste!$M$6,G1180-1,0)))-FIND("]",CELL("adresse",OFFSET(DMAV_Dienste!$M$6,G1180-1,0)))),"Substructure")),HYPERLINK("#"&amp;RIGHT(CELL("adresse",OFFSET(DMAV_Modell!$N$6,D1180-1,0)),LEN(CELL("adresse",OFFSET(DMAV_Modell!$N$6,D1180-1,0)))-FIND("]",CELL("adresse",OFFSET(DMAV_Modell!$N$6,D1180-1,0)))),"Substructure"))</f>
        <v>Substructure</v>
      </c>
      <c r="R1180" s="80"/>
      <c r="T1180" s="93"/>
      <c r="U1180" s="94" t="s">
        <v>2980</v>
      </c>
      <c r="V1180" s="95" t="s">
        <v>3288</v>
      </c>
      <c r="W1180" s="96"/>
      <c r="Y1180" s="85"/>
      <c r="Z1180" s="86" t="s">
        <v>2980</v>
      </c>
      <c r="AA1180" s="87" t="s">
        <v>3289</v>
      </c>
      <c r="AB1180" s="88"/>
      <c r="AD1180" s="77"/>
      <c r="AF1180" s="54" t="str" cm="1">
        <f t="array" aca="1" ref="AF1180" ca="1">IF(H1180=0,"",HYPERLINK("#"&amp;RIGHT(CELL("adresse",OFFSET('DM01-AV-CH'!$G$6,H1180-1,0)),LEN(CELL("adresse",OFFSET('DM01-AV-CH'!$G$6,H1180-1,0)))-FIND("]",CELL("adresse",OFFSET('DM01-AV-CH'!$G$6,H1180-1,0)))),"Modell"))</f>
        <v>Modell</v>
      </c>
      <c r="AG1180" s="72" t="str" cm="1">
        <f t="array" ref="AG1180">IF($H1180=0,"",IF(INDEX('DM01-AV-CH'!G$6:G$834,$H1180)="","",INDEX('DM01-AV-CH'!G$6:G$834,$H1180)))</f>
        <v>Gebaeudeadressen</v>
      </c>
      <c r="AH1180" s="73" t="str" cm="1">
        <f t="array" ref="AH1180">IF($H1180=0,"",IF(INDEX('DM01-AV-CH'!H$6:H$834,$H1180)="","",INDEX('DM01-AV-CH'!H$6:H$834,$H1180)))</f>
        <v>GebaeudeNamePos</v>
      </c>
      <c r="AI1180" s="74" t="str" cm="1">
        <f t="array" ref="AI1180">IF($H1180=0,"",IF(INDEX('DM01-AV-CH'!I$6:I$834,$H1180)="","",INDEX('DM01-AV-CH'!I$6:I$834,$H1180)))</f>
        <v>Pos</v>
      </c>
    </row>
    <row r="1181" spans="1:35" ht="42.75" x14ac:dyDescent="0.25">
      <c r="A1181" s="57">
        <v>1176</v>
      </c>
      <c r="B1181" s="57">
        <f>IF($A1181="","",IF(_xlfn.XLOOKUP($A1181,Korrelation!$D$4:$D$1197,Korrelation!E$4:E$1197,"-",0)="-",0,MATCH(_xlfn.XLOOKUP($A1181,Korrelation!$D$4:$D$1197,Korrelation!E$4:E$1197,"",0),DMAV_Modell!$G$6:$G$677,0)))</f>
        <v>665</v>
      </c>
      <c r="C1181" s="57">
        <f>IF($A1181="","",IF(_xlfn.XLOOKUP($A1181,Korrelation!$D$4:$D$1197,Korrelation!F$4:F$1197,"-",0)="-",0,MATCH(_xlfn.XLOOKUP($A1181,Korrelation!$D$4:$D$1197,Korrelation!F$4:F$1197,"",0),DMAV_Modell!$G$6:$G$677,0)))</f>
        <v>651</v>
      </c>
      <c r="D1181" s="57">
        <f>IF($A1181="","",IF(_xlfn.XLOOKUP($A1181,Korrelation!$D$4:$D$1197,Korrelation!G$4:G$1197,"-",0)="-",0,MATCH(_xlfn.XLOOKUP($A1181,Korrelation!$D$4:$D$1197,Korrelation!G$4:G$1197,"",0),DMAV_Modell!$G$6:$G$677,0)))</f>
        <v>27</v>
      </c>
      <c r="E1181" s="57">
        <f>IF($A1181="","",IF(_xlfn.XLOOKUP($A1181,Korrelation!$D$4:$D$1197,Korrelation!H$4:H$1197,"-",0)="-",0,MATCH(_xlfn.XLOOKUP($A1181,Korrelation!$D$4:$D$1197,Korrelation!H$4:H$1197,"",0),DMAV_Dienste!$F$6:$F$140,0)))</f>
        <v>0</v>
      </c>
      <c r="F1181" s="57">
        <f>IF($A1181="","",IF(_xlfn.XLOOKUP($A1181,Korrelation!$D$4:$D$1197,Korrelation!I$4:I$1197,"-",0)="-",0,MATCH(_xlfn.XLOOKUP($A1181,Korrelation!$D$4:$D$1197,Korrelation!I$4:I$1197,"",0),DMAV_Dienste!$F$6:$F$140,0)))</f>
        <v>0</v>
      </c>
      <c r="G1181" s="57">
        <f>IF($A1181="","",IF(_xlfn.XLOOKUP($A1181,Korrelation!$D$4:$D$1197,Korrelation!J$4:J$1197,"-",0)="-",0,MATCH(_xlfn.XLOOKUP($A1181,Korrelation!$D$4:$D$1197,Korrelation!J$4:J$1197,"",0),DMAV_Dienste!$F$6:$F$140,0)))</f>
        <v>0</v>
      </c>
      <c r="H1181" s="57">
        <f>IF($A1181="","",IF(_xlfn.XLOOKUP($A1181,Korrelation!$D$4:$D$1197,Korrelation!K$4:K$1197,"-",0)="-",0,MATCH(_xlfn.XLOOKUP($A1181,Korrelation!$D$4:$D$1197,Korrelation!K$4:K$1197,"",0),'DM01-AV-CH'!$A$6:$A$834,0)))</f>
        <v>758</v>
      </c>
      <c r="J1181" s="54" t="str" cm="1">
        <f t="array" aca="1" ref="J1181" ca="1">IF(B1181=0,IF(E1181=0,"",HYPERLINK("#"&amp;RIGHT(CELL("adresse",OFFSET(DMAV_Dienste!$M$6,E1181-1,0)),LEN(CELL("adresse",OFFSET(DMAV_Dienste!$M$6,E1181-1,0)))-FIND("]",CELL("adresse",OFFSET(DMAV_Dienste!$M$6,E1181-1,0)))),"Dienst")),HYPERLINK("#"&amp;RIGHT(CELL("adresse",OFFSET(DMAV_Modell!$N$6,B1181-1,0)),LEN(CELL("adresse",OFFSET(DMAV_Modell!$N$6,B1181-1,0)))-FIND("]",CELL("adresse",OFFSET(DMAV_Modell!$N$6,B1181-1,0)))),"Modell"))</f>
        <v>Modell</v>
      </c>
      <c r="K1181" s="61" t="str" cm="1">
        <f t="array" ref="K1181">IF($B1181=0,IF($E1181=0,"",IF(INDEX(DMAV_Dienste!P$6:P$140,$E1181)="","",INDEX(DMAV_Dienste!P$6:P$140,$E1181))),IF(INDEX(DMAV_Modell!Q$6:Q$838,$B1181)="","",INDEX(DMAV_Modell!Q$6:Q$838,$B1181)))</f>
        <v>CLASS</v>
      </c>
      <c r="L1181" s="62" t="str" cm="1">
        <f t="array" ref="L1181">IF($B1181=0,IF($E1181=0,"",IF(INDEX(DMAV_Dienste!O$6:O$140,$E1181)="","",INDEX(DMAV_Dienste!O$6:O$140,$E1181))),IF(INDEX(DMAV_Modell!P$6:P$838,$B1181)="","",INDEX(DMAV_Modell!P$6:P$838,$B1181)))</f>
        <v>Gebaeudeadressen</v>
      </c>
      <c r="M1181" s="62" t="str" cm="1">
        <f t="array" ref="M1181">IF($B1181=0,IF($E1181=0,"",IF(INDEX(DMAV_Dienste!Q$6:Q$140,$E1181)="","",INDEX(DMAV_Dienste!Q$6:Q$140,$E1181))),IF(INDEX(DMAV_Modell!R$6:R$838,$B1181)="","",INDEX(DMAV_Modell!R$6:R$838,$B1181)))</f>
        <v>Gebaeudeeingang</v>
      </c>
      <c r="N1181" s="62" t="str" cm="1">
        <f t="array" ref="N1181">IF($B1181=0,IF($E1181=0,"",IF(INDEX(DMAV_Dienste!T$6:T$140,$E1181)="","",INDEX(DMAV_Dienste!T$6:T$140,$E1181))),IF(INDEX(DMAV_Modell!U$6:U$838,$B1181)="","",INDEX(DMAV_Modell!U$6:U$838,$B1181)))</f>
        <v>GebaeudeName</v>
      </c>
      <c r="O1181" s="63" t="str" cm="1">
        <f t="array" aca="1" ref="O1181" ca="1">IF(C1181=0,IF(F1181=0,"",HYPERLINK("#"&amp;RIGHT(CELL("adresse",OFFSET(DMAV_Dienste!$M$6,F1181-1,0)),LEN(CELL("adresse",OFFSET(DMAV_Dienste!$M$6,F1181-1,0)))-FIND("]",CELL("adresse",OFFSET(DMAV_Dienste!$M$6,F1181-1,0)))),"Structure")),HYPERLINK("#"&amp;RIGHT(CELL("adresse",OFFSET(DMAV_Modell!$N$6,C1181-1,0)),LEN(CELL("adresse",OFFSET(DMAV_Modell!$N$6,C1181-1,0)))-FIND("]",CELL("adresse",OFFSET(DMAV_Modell!$N$6,C1181-1,0)))),"Structure"))</f>
        <v>Structure</v>
      </c>
      <c r="P1181" s="64" t="str" cm="1">
        <f t="array" aca="1" ref="P1181" ca="1">IF(D1181=0,IF(G1181=0,"",HYPERLINK("#"&amp;RIGHT(CELL("adresse",OFFSET(DMAV_Dienste!$M$6,G1181-1,0)),LEN(CELL("adresse",OFFSET(DMAV_Dienste!$M$6,G1181-1,0)))-FIND("]",CELL("adresse",OFFSET(DMAV_Dienste!$M$6,G1181-1,0)))),"Substructure")),HYPERLINK("#"&amp;RIGHT(CELL("adresse",OFFSET(DMAV_Modell!$N$6,D1181-1,0)),LEN(CELL("adresse",OFFSET(DMAV_Modell!$N$6,D1181-1,0)))-FIND("]",CELL("adresse",OFFSET(DMAV_Modell!$N$6,D1181-1,0)))),"Substructure"))</f>
        <v>Substructure</v>
      </c>
      <c r="R1181" s="80"/>
      <c r="T1181" s="93"/>
      <c r="U1181" s="94" t="s">
        <v>2980</v>
      </c>
      <c r="V1181" s="95" t="s">
        <v>3290</v>
      </c>
      <c r="W1181" s="96"/>
      <c r="Y1181" s="85"/>
      <c r="Z1181" s="86" t="s">
        <v>2980</v>
      </c>
      <c r="AA1181" s="87" t="s">
        <v>3291</v>
      </c>
      <c r="AB1181" s="88"/>
      <c r="AD1181" s="77"/>
      <c r="AF1181" s="54" t="str" cm="1">
        <f t="array" aca="1" ref="AF1181" ca="1">IF(H1181=0,"",HYPERLINK("#"&amp;RIGHT(CELL("adresse",OFFSET('DM01-AV-CH'!$G$6,H1181-1,0)),LEN(CELL("adresse",OFFSET('DM01-AV-CH'!$G$6,H1181-1,0)))-FIND("]",CELL("adresse",OFFSET('DM01-AV-CH'!$G$6,H1181-1,0)))),"Modell"))</f>
        <v>Modell</v>
      </c>
      <c r="AG1181" s="72" t="str" cm="1">
        <f t="array" ref="AG1181">IF($H1181=0,"",IF(INDEX('DM01-AV-CH'!G$6:G$834,$H1181)="","",INDEX('DM01-AV-CH'!G$6:G$834,$H1181)))</f>
        <v>Gebaeudeadressen</v>
      </c>
      <c r="AH1181" s="73" t="str" cm="1">
        <f t="array" ref="AH1181">IF($H1181=0,"",IF(INDEX('DM01-AV-CH'!H$6:H$834,$H1181)="","",INDEX('DM01-AV-CH'!H$6:H$834,$H1181)))</f>
        <v>GebaeudeNamePos</v>
      </c>
      <c r="AI1181" s="74" t="str" cm="1">
        <f t="array" ref="AI1181">IF($H1181=0,"",IF(INDEX('DM01-AV-CH'!I$6:I$834,$H1181)="","",INDEX('DM01-AV-CH'!I$6:I$834,$H1181)))</f>
        <v>Ori</v>
      </c>
    </row>
    <row r="1182" spans="1:35" ht="42.75" x14ac:dyDescent="0.25">
      <c r="A1182" s="57">
        <v>1177</v>
      </c>
      <c r="B1182" s="57">
        <f>IF($A1182="","",IF(_xlfn.XLOOKUP($A1182,Korrelation!$D$4:$D$1197,Korrelation!E$4:E$1197,"-",0)="-",0,MATCH(_xlfn.XLOOKUP($A1182,Korrelation!$D$4:$D$1197,Korrelation!E$4:E$1197,"",0),DMAV_Modell!$G$6:$G$677,0)))</f>
        <v>665</v>
      </c>
      <c r="C1182" s="57">
        <f>IF($A1182="","",IF(_xlfn.XLOOKUP($A1182,Korrelation!$D$4:$D$1197,Korrelation!F$4:F$1197,"-",0)="-",0,MATCH(_xlfn.XLOOKUP($A1182,Korrelation!$D$4:$D$1197,Korrelation!F$4:F$1197,"",0),DMAV_Modell!$G$6:$G$677,0)))</f>
        <v>651</v>
      </c>
      <c r="D1182" s="57">
        <f>IF($A1182="","",IF(_xlfn.XLOOKUP($A1182,Korrelation!$D$4:$D$1197,Korrelation!G$4:G$1197,"-",0)="-",0,MATCH(_xlfn.XLOOKUP($A1182,Korrelation!$D$4:$D$1197,Korrelation!G$4:G$1197,"",0),DMAV_Modell!$G$6:$G$677,0)))</f>
        <v>30</v>
      </c>
      <c r="E1182" s="57">
        <f>IF($A1182="","",IF(_xlfn.XLOOKUP($A1182,Korrelation!$D$4:$D$1197,Korrelation!H$4:H$1197,"-",0)="-",0,MATCH(_xlfn.XLOOKUP($A1182,Korrelation!$D$4:$D$1197,Korrelation!H$4:H$1197,"",0),DMAV_Dienste!$F$6:$F$140,0)))</f>
        <v>0</v>
      </c>
      <c r="F1182" s="57">
        <f>IF($A1182="","",IF(_xlfn.XLOOKUP($A1182,Korrelation!$D$4:$D$1197,Korrelation!I$4:I$1197,"-",0)="-",0,MATCH(_xlfn.XLOOKUP($A1182,Korrelation!$D$4:$D$1197,Korrelation!I$4:I$1197,"",0),DMAV_Dienste!$F$6:$F$140,0)))</f>
        <v>0</v>
      </c>
      <c r="G1182" s="57">
        <f>IF($A1182="","",IF(_xlfn.XLOOKUP($A1182,Korrelation!$D$4:$D$1197,Korrelation!J$4:J$1197,"-",0)="-",0,MATCH(_xlfn.XLOOKUP($A1182,Korrelation!$D$4:$D$1197,Korrelation!J$4:J$1197,"",0),DMAV_Dienste!$F$6:$F$140,0)))</f>
        <v>0</v>
      </c>
      <c r="H1182" s="57">
        <f>IF($A1182="","",IF(_xlfn.XLOOKUP($A1182,Korrelation!$D$4:$D$1197,Korrelation!K$4:K$1197,"-",0)="-",0,MATCH(_xlfn.XLOOKUP($A1182,Korrelation!$D$4:$D$1197,Korrelation!K$4:K$1197,"",0),'DM01-AV-CH'!$A$6:$A$834,0)))</f>
        <v>759</v>
      </c>
      <c r="J1182" s="54" t="str" cm="1">
        <f t="array" aca="1" ref="J1182" ca="1">IF(B1182=0,IF(E1182=0,"",HYPERLINK("#"&amp;RIGHT(CELL("adresse",OFFSET(DMAV_Dienste!$M$6,E1182-1,0)),LEN(CELL("adresse",OFFSET(DMAV_Dienste!$M$6,E1182-1,0)))-FIND("]",CELL("adresse",OFFSET(DMAV_Dienste!$M$6,E1182-1,0)))),"Dienst")),HYPERLINK("#"&amp;RIGHT(CELL("adresse",OFFSET(DMAV_Modell!$N$6,B1182-1,0)),LEN(CELL("adresse",OFFSET(DMAV_Modell!$N$6,B1182-1,0)))-FIND("]",CELL("adresse",OFFSET(DMAV_Modell!$N$6,B1182-1,0)))),"Modell"))</f>
        <v>Modell</v>
      </c>
      <c r="K1182" s="61" t="str" cm="1">
        <f t="array" ref="K1182">IF($B1182=0,IF($E1182=0,"",IF(INDEX(DMAV_Dienste!P$6:P$140,$E1182)="","",INDEX(DMAV_Dienste!P$6:P$140,$E1182))),IF(INDEX(DMAV_Modell!Q$6:Q$838,$B1182)="","",INDEX(DMAV_Modell!Q$6:Q$838,$B1182)))</f>
        <v>CLASS</v>
      </c>
      <c r="L1182" s="62" t="str" cm="1">
        <f t="array" ref="L1182">IF($B1182=0,IF($E1182=0,"",IF(INDEX(DMAV_Dienste!O$6:O$140,$E1182)="","",INDEX(DMAV_Dienste!O$6:O$140,$E1182))),IF(INDEX(DMAV_Modell!P$6:P$838,$B1182)="","",INDEX(DMAV_Modell!P$6:P$838,$B1182)))</f>
        <v>Gebaeudeadressen</v>
      </c>
      <c r="M1182" s="62" t="str" cm="1">
        <f t="array" ref="M1182">IF($B1182=0,IF($E1182=0,"",IF(INDEX(DMAV_Dienste!Q$6:Q$140,$E1182)="","",INDEX(DMAV_Dienste!Q$6:Q$140,$E1182))),IF(INDEX(DMAV_Modell!R$6:R$838,$B1182)="","",INDEX(DMAV_Modell!R$6:R$838,$B1182)))</f>
        <v>Gebaeudeeingang</v>
      </c>
      <c r="N1182" s="62" t="str" cm="1">
        <f t="array" ref="N1182">IF($B1182=0,IF($E1182=0,"",IF(INDEX(DMAV_Dienste!T$6:T$140,$E1182)="","",INDEX(DMAV_Dienste!T$6:T$140,$E1182))),IF(INDEX(DMAV_Modell!U$6:U$838,$B1182)="","",INDEX(DMAV_Modell!U$6:U$838,$B1182)))</f>
        <v>GebaeudeName</v>
      </c>
      <c r="O1182" s="63" t="str" cm="1">
        <f t="array" aca="1" ref="O1182" ca="1">IF(C1182=0,IF(F1182=0,"",HYPERLINK("#"&amp;RIGHT(CELL("adresse",OFFSET(DMAV_Dienste!$M$6,F1182-1,0)),LEN(CELL("adresse",OFFSET(DMAV_Dienste!$M$6,F1182-1,0)))-FIND("]",CELL("adresse",OFFSET(DMAV_Dienste!$M$6,F1182-1,0)))),"Structure")),HYPERLINK("#"&amp;RIGHT(CELL("adresse",OFFSET(DMAV_Modell!$N$6,C1182-1,0)),LEN(CELL("adresse",OFFSET(DMAV_Modell!$N$6,C1182-1,0)))-FIND("]",CELL("adresse",OFFSET(DMAV_Modell!$N$6,C1182-1,0)))),"Structure"))</f>
        <v>Structure</v>
      </c>
      <c r="P1182" s="64" t="str" cm="1">
        <f t="array" aca="1" ref="P1182" ca="1">IF(D1182=0,IF(G1182=0,"",HYPERLINK("#"&amp;RIGHT(CELL("adresse",OFFSET(DMAV_Dienste!$M$6,G1182-1,0)),LEN(CELL("adresse",OFFSET(DMAV_Dienste!$M$6,G1182-1,0)))-FIND("]",CELL("adresse",OFFSET(DMAV_Dienste!$M$6,G1182-1,0)))),"Substructure")),HYPERLINK("#"&amp;RIGHT(CELL("adresse",OFFSET(DMAV_Modell!$N$6,D1182-1,0)),LEN(CELL("adresse",OFFSET(DMAV_Modell!$N$6,D1182-1,0)))-FIND("]",CELL("adresse",OFFSET(DMAV_Modell!$N$6,D1182-1,0)))),"Substructure"))</f>
        <v>Substructure</v>
      </c>
      <c r="R1182" s="80"/>
      <c r="T1182" s="93"/>
      <c r="U1182" s="94" t="s">
        <v>2980</v>
      </c>
      <c r="V1182" s="95" t="s">
        <v>3292</v>
      </c>
      <c r="W1182" s="96"/>
      <c r="Y1182" s="85"/>
      <c r="Z1182" s="86" t="s">
        <v>2980</v>
      </c>
      <c r="AA1182" s="87" t="s">
        <v>3293</v>
      </c>
      <c r="AB1182" s="88"/>
      <c r="AD1182" s="77"/>
      <c r="AF1182" s="54" t="str" cm="1">
        <f t="array" aca="1" ref="AF1182" ca="1">IF(H1182=0,"",HYPERLINK("#"&amp;RIGHT(CELL("adresse",OFFSET('DM01-AV-CH'!$G$6,H1182-1,0)),LEN(CELL("adresse",OFFSET('DM01-AV-CH'!$G$6,H1182-1,0)))-FIND("]",CELL("adresse",OFFSET('DM01-AV-CH'!$G$6,H1182-1,0)))),"Modell"))</f>
        <v>Modell</v>
      </c>
      <c r="AG1182" s="72" t="str" cm="1">
        <f t="array" ref="AG1182">IF($H1182=0,"",IF(INDEX('DM01-AV-CH'!G$6:G$834,$H1182)="","",INDEX('DM01-AV-CH'!G$6:G$834,$H1182)))</f>
        <v>Gebaeudeadressen</v>
      </c>
      <c r="AH1182" s="73" t="str" cm="1">
        <f t="array" ref="AH1182">IF($H1182=0,"",IF(INDEX('DM01-AV-CH'!H$6:H$834,$H1182)="","",INDEX('DM01-AV-CH'!H$6:H$834,$H1182)))</f>
        <v>GebaeudeNamePos</v>
      </c>
      <c r="AI1182" s="74" t="str" cm="1">
        <f t="array" ref="AI1182">IF($H1182=0,"",IF(INDEX('DM01-AV-CH'!I$6:I$834,$H1182)="","",INDEX('DM01-AV-CH'!I$6:I$834,$H1182)))</f>
        <v>HAli</v>
      </c>
    </row>
    <row r="1183" spans="1:35" ht="42.75" x14ac:dyDescent="0.25">
      <c r="A1183" s="57">
        <v>1178</v>
      </c>
      <c r="B1183" s="57">
        <f>IF($A1183="","",IF(_xlfn.XLOOKUP($A1183,Korrelation!$D$4:$D$1197,Korrelation!E$4:E$1197,"-",0)="-",0,MATCH(_xlfn.XLOOKUP($A1183,Korrelation!$D$4:$D$1197,Korrelation!E$4:E$1197,"",0),DMAV_Modell!$G$6:$G$677,0)))</f>
        <v>665</v>
      </c>
      <c r="C1183" s="57">
        <f>IF($A1183="","",IF(_xlfn.XLOOKUP($A1183,Korrelation!$D$4:$D$1197,Korrelation!F$4:F$1197,"-",0)="-",0,MATCH(_xlfn.XLOOKUP($A1183,Korrelation!$D$4:$D$1197,Korrelation!F$4:F$1197,"",0),DMAV_Modell!$G$6:$G$677,0)))</f>
        <v>651</v>
      </c>
      <c r="D1183" s="57">
        <f>IF($A1183="","",IF(_xlfn.XLOOKUP($A1183,Korrelation!$D$4:$D$1197,Korrelation!G$4:G$1197,"-",0)="-",0,MATCH(_xlfn.XLOOKUP($A1183,Korrelation!$D$4:$D$1197,Korrelation!G$4:G$1197,"",0),DMAV_Modell!$G$6:$G$677,0)))</f>
        <v>31</v>
      </c>
      <c r="E1183" s="57">
        <f>IF($A1183="","",IF(_xlfn.XLOOKUP($A1183,Korrelation!$D$4:$D$1197,Korrelation!H$4:H$1197,"-",0)="-",0,MATCH(_xlfn.XLOOKUP($A1183,Korrelation!$D$4:$D$1197,Korrelation!H$4:H$1197,"",0),DMAV_Dienste!$F$6:$F$140,0)))</f>
        <v>0</v>
      </c>
      <c r="F1183" s="57">
        <f>IF($A1183="","",IF(_xlfn.XLOOKUP($A1183,Korrelation!$D$4:$D$1197,Korrelation!I$4:I$1197,"-",0)="-",0,MATCH(_xlfn.XLOOKUP($A1183,Korrelation!$D$4:$D$1197,Korrelation!I$4:I$1197,"",0),DMAV_Dienste!$F$6:$F$140,0)))</f>
        <v>0</v>
      </c>
      <c r="G1183" s="57">
        <f>IF($A1183="","",IF(_xlfn.XLOOKUP($A1183,Korrelation!$D$4:$D$1197,Korrelation!J$4:J$1197,"-",0)="-",0,MATCH(_xlfn.XLOOKUP($A1183,Korrelation!$D$4:$D$1197,Korrelation!J$4:J$1197,"",0),DMAV_Dienste!$F$6:$F$140,0)))</f>
        <v>0</v>
      </c>
      <c r="H1183" s="57">
        <f>IF($A1183="","",IF(_xlfn.XLOOKUP($A1183,Korrelation!$D$4:$D$1197,Korrelation!K$4:K$1197,"-",0)="-",0,MATCH(_xlfn.XLOOKUP($A1183,Korrelation!$D$4:$D$1197,Korrelation!K$4:K$1197,"",0),'DM01-AV-CH'!$A$6:$A$834,0)))</f>
        <v>760</v>
      </c>
      <c r="J1183" s="54" t="str" cm="1">
        <f t="array" aca="1" ref="J1183" ca="1">IF(B1183=0,IF(E1183=0,"",HYPERLINK("#"&amp;RIGHT(CELL("adresse",OFFSET(DMAV_Dienste!$M$6,E1183-1,0)),LEN(CELL("adresse",OFFSET(DMAV_Dienste!$M$6,E1183-1,0)))-FIND("]",CELL("adresse",OFFSET(DMAV_Dienste!$M$6,E1183-1,0)))),"Dienst")),HYPERLINK("#"&amp;RIGHT(CELL("adresse",OFFSET(DMAV_Modell!$N$6,B1183-1,0)),LEN(CELL("adresse",OFFSET(DMAV_Modell!$N$6,B1183-1,0)))-FIND("]",CELL("adresse",OFFSET(DMAV_Modell!$N$6,B1183-1,0)))),"Modell"))</f>
        <v>Modell</v>
      </c>
      <c r="K1183" s="61" t="str" cm="1">
        <f t="array" ref="K1183">IF($B1183=0,IF($E1183=0,"",IF(INDEX(DMAV_Dienste!P$6:P$140,$E1183)="","",INDEX(DMAV_Dienste!P$6:P$140,$E1183))),IF(INDEX(DMAV_Modell!Q$6:Q$838,$B1183)="","",INDEX(DMAV_Modell!Q$6:Q$838,$B1183)))</f>
        <v>CLASS</v>
      </c>
      <c r="L1183" s="62" t="str" cm="1">
        <f t="array" ref="L1183">IF($B1183=0,IF($E1183=0,"",IF(INDEX(DMAV_Dienste!O$6:O$140,$E1183)="","",INDEX(DMAV_Dienste!O$6:O$140,$E1183))),IF(INDEX(DMAV_Modell!P$6:P$838,$B1183)="","",INDEX(DMAV_Modell!P$6:P$838,$B1183)))</f>
        <v>Gebaeudeadressen</v>
      </c>
      <c r="M1183" s="62" t="str" cm="1">
        <f t="array" ref="M1183">IF($B1183=0,IF($E1183=0,"",IF(INDEX(DMAV_Dienste!Q$6:Q$140,$E1183)="","",INDEX(DMAV_Dienste!Q$6:Q$140,$E1183))),IF(INDEX(DMAV_Modell!R$6:R$838,$B1183)="","",INDEX(DMAV_Modell!R$6:R$838,$B1183)))</f>
        <v>Gebaeudeeingang</v>
      </c>
      <c r="N1183" s="62" t="str" cm="1">
        <f t="array" ref="N1183">IF($B1183=0,IF($E1183=0,"",IF(INDEX(DMAV_Dienste!T$6:T$140,$E1183)="","",INDEX(DMAV_Dienste!T$6:T$140,$E1183))),IF(INDEX(DMAV_Modell!U$6:U$838,$B1183)="","",INDEX(DMAV_Modell!U$6:U$838,$B1183)))</f>
        <v>GebaeudeName</v>
      </c>
      <c r="O1183" s="63" t="str" cm="1">
        <f t="array" aca="1" ref="O1183" ca="1">IF(C1183=0,IF(F1183=0,"",HYPERLINK("#"&amp;RIGHT(CELL("adresse",OFFSET(DMAV_Dienste!$M$6,F1183-1,0)),LEN(CELL("adresse",OFFSET(DMAV_Dienste!$M$6,F1183-1,0)))-FIND("]",CELL("adresse",OFFSET(DMAV_Dienste!$M$6,F1183-1,0)))),"Structure")),HYPERLINK("#"&amp;RIGHT(CELL("adresse",OFFSET(DMAV_Modell!$N$6,C1183-1,0)),LEN(CELL("adresse",OFFSET(DMAV_Modell!$N$6,C1183-1,0)))-FIND("]",CELL("adresse",OFFSET(DMAV_Modell!$N$6,C1183-1,0)))),"Structure"))</f>
        <v>Structure</v>
      </c>
      <c r="P1183" s="64" t="str" cm="1">
        <f t="array" aca="1" ref="P1183" ca="1">IF(D1183=0,IF(G1183=0,"",HYPERLINK("#"&amp;RIGHT(CELL("adresse",OFFSET(DMAV_Dienste!$M$6,G1183-1,0)),LEN(CELL("adresse",OFFSET(DMAV_Dienste!$M$6,G1183-1,0)))-FIND("]",CELL("adresse",OFFSET(DMAV_Dienste!$M$6,G1183-1,0)))),"Substructure")),HYPERLINK("#"&amp;RIGHT(CELL("adresse",OFFSET(DMAV_Modell!$N$6,D1183-1,0)),LEN(CELL("adresse",OFFSET(DMAV_Modell!$N$6,D1183-1,0)))-FIND("]",CELL("adresse",OFFSET(DMAV_Modell!$N$6,D1183-1,0)))),"Substructure"))</f>
        <v>Substructure</v>
      </c>
      <c r="R1183" s="80"/>
      <c r="T1183" s="93"/>
      <c r="U1183" s="94" t="s">
        <v>2980</v>
      </c>
      <c r="V1183" s="95" t="s">
        <v>3294</v>
      </c>
      <c r="W1183" s="96"/>
      <c r="Y1183" s="85"/>
      <c r="Z1183" s="86" t="s">
        <v>2980</v>
      </c>
      <c r="AA1183" s="87" t="s">
        <v>3295</v>
      </c>
      <c r="AB1183" s="88"/>
      <c r="AD1183" s="77"/>
      <c r="AF1183" s="54" t="str" cm="1">
        <f t="array" aca="1" ref="AF1183" ca="1">IF(H1183=0,"",HYPERLINK("#"&amp;RIGHT(CELL("adresse",OFFSET('DM01-AV-CH'!$G$6,H1183-1,0)),LEN(CELL("adresse",OFFSET('DM01-AV-CH'!$G$6,H1183-1,0)))-FIND("]",CELL("adresse",OFFSET('DM01-AV-CH'!$G$6,H1183-1,0)))),"Modell"))</f>
        <v>Modell</v>
      </c>
      <c r="AG1183" s="72" t="str" cm="1">
        <f t="array" ref="AG1183">IF($H1183=0,"",IF(INDEX('DM01-AV-CH'!G$6:G$834,$H1183)="","",INDEX('DM01-AV-CH'!G$6:G$834,$H1183)))</f>
        <v>Gebaeudeadressen</v>
      </c>
      <c r="AH1183" s="73" t="str" cm="1">
        <f t="array" ref="AH1183">IF($H1183=0,"",IF(INDEX('DM01-AV-CH'!H$6:H$834,$H1183)="","",INDEX('DM01-AV-CH'!H$6:H$834,$H1183)))</f>
        <v>GebaeudeNamePos</v>
      </c>
      <c r="AI1183" s="74" t="str" cm="1">
        <f t="array" ref="AI1183">IF($H1183=0,"",IF(INDEX('DM01-AV-CH'!I$6:I$834,$H1183)="","",INDEX('DM01-AV-CH'!I$6:I$834,$H1183)))</f>
        <v>VAli</v>
      </c>
    </row>
    <row r="1184" spans="1:35" ht="42.75" x14ac:dyDescent="0.25">
      <c r="A1184" s="57">
        <v>1179</v>
      </c>
      <c r="B1184" s="57">
        <f>IF($A1184="","",IF(_xlfn.XLOOKUP($A1184,Korrelation!$D$4:$D$1197,Korrelation!E$4:E$1197,"-",0)="-",0,MATCH(_xlfn.XLOOKUP($A1184,Korrelation!$D$4:$D$1197,Korrelation!E$4:E$1197,"",0),DMAV_Modell!$G$6:$G$677,0)))</f>
        <v>665</v>
      </c>
      <c r="C1184" s="57">
        <f>IF($A1184="","",IF(_xlfn.XLOOKUP($A1184,Korrelation!$D$4:$D$1197,Korrelation!F$4:F$1197,"-",0)="-",0,MATCH(_xlfn.XLOOKUP($A1184,Korrelation!$D$4:$D$1197,Korrelation!F$4:F$1197,"",0),DMAV_Modell!$G$6:$G$677,0)))</f>
        <v>651</v>
      </c>
      <c r="D1184" s="57">
        <f>IF($A1184="","",IF(_xlfn.XLOOKUP($A1184,Korrelation!$D$4:$D$1197,Korrelation!G$4:G$1197,"-",0)="-",0,MATCH(_xlfn.XLOOKUP($A1184,Korrelation!$D$4:$D$1197,Korrelation!G$4:G$1197,"",0),DMAV_Modell!$G$6:$G$677,0)))</f>
        <v>29</v>
      </c>
      <c r="E1184" s="57">
        <f>IF($A1184="","",IF(_xlfn.XLOOKUP($A1184,Korrelation!$D$4:$D$1197,Korrelation!H$4:H$1197,"-",0)="-",0,MATCH(_xlfn.XLOOKUP($A1184,Korrelation!$D$4:$D$1197,Korrelation!H$4:H$1197,"",0),DMAV_Dienste!$F$6:$F$140,0)))</f>
        <v>0</v>
      </c>
      <c r="F1184" s="57">
        <f>IF($A1184="","",IF(_xlfn.XLOOKUP($A1184,Korrelation!$D$4:$D$1197,Korrelation!I$4:I$1197,"-",0)="-",0,MATCH(_xlfn.XLOOKUP($A1184,Korrelation!$D$4:$D$1197,Korrelation!I$4:I$1197,"",0),DMAV_Dienste!$F$6:$F$140,0)))</f>
        <v>0</v>
      </c>
      <c r="G1184" s="57">
        <f>IF($A1184="","",IF(_xlfn.XLOOKUP($A1184,Korrelation!$D$4:$D$1197,Korrelation!J$4:J$1197,"-",0)="-",0,MATCH(_xlfn.XLOOKUP($A1184,Korrelation!$D$4:$D$1197,Korrelation!J$4:J$1197,"",0),DMAV_Dienste!$F$6:$F$140,0)))</f>
        <v>0</v>
      </c>
      <c r="H1184" s="57">
        <f>IF($A1184="","",IF(_xlfn.XLOOKUP($A1184,Korrelation!$D$4:$D$1197,Korrelation!K$4:K$1197,"-",0)="-",0,MATCH(_xlfn.XLOOKUP($A1184,Korrelation!$D$4:$D$1197,Korrelation!K$4:K$1197,"",0),'DM01-AV-CH'!$A$6:$A$834,0)))</f>
        <v>761</v>
      </c>
      <c r="J1184" s="54" t="str" cm="1">
        <f t="array" aca="1" ref="J1184" ca="1">IF(B1184=0,IF(E1184=0,"",HYPERLINK("#"&amp;RIGHT(CELL("adresse",OFFSET(DMAV_Dienste!$M$6,E1184-1,0)),LEN(CELL("adresse",OFFSET(DMAV_Dienste!$M$6,E1184-1,0)))-FIND("]",CELL("adresse",OFFSET(DMAV_Dienste!$M$6,E1184-1,0)))),"Dienst")),HYPERLINK("#"&amp;RIGHT(CELL("adresse",OFFSET(DMAV_Modell!$N$6,B1184-1,0)),LEN(CELL("adresse",OFFSET(DMAV_Modell!$N$6,B1184-1,0)))-FIND("]",CELL("adresse",OFFSET(DMAV_Modell!$N$6,B1184-1,0)))),"Modell"))</f>
        <v>Modell</v>
      </c>
      <c r="K1184" s="61" t="str" cm="1">
        <f t="array" ref="K1184">IF($B1184=0,IF($E1184=0,"",IF(INDEX(DMAV_Dienste!P$6:P$140,$E1184)="","",INDEX(DMAV_Dienste!P$6:P$140,$E1184))),IF(INDEX(DMAV_Modell!Q$6:Q$838,$B1184)="","",INDEX(DMAV_Modell!Q$6:Q$838,$B1184)))</f>
        <v>CLASS</v>
      </c>
      <c r="L1184" s="62" t="str" cm="1">
        <f t="array" ref="L1184">IF($B1184=0,IF($E1184=0,"",IF(INDEX(DMAV_Dienste!O$6:O$140,$E1184)="","",INDEX(DMAV_Dienste!O$6:O$140,$E1184))),IF(INDEX(DMAV_Modell!P$6:P$838,$B1184)="","",INDEX(DMAV_Modell!P$6:P$838,$B1184)))</f>
        <v>Gebaeudeadressen</v>
      </c>
      <c r="M1184" s="62" t="str" cm="1">
        <f t="array" ref="M1184">IF($B1184=0,IF($E1184=0,"",IF(INDEX(DMAV_Dienste!Q$6:Q$140,$E1184)="","",INDEX(DMAV_Dienste!Q$6:Q$140,$E1184))),IF(INDEX(DMAV_Modell!R$6:R$838,$B1184)="","",INDEX(DMAV_Modell!R$6:R$838,$B1184)))</f>
        <v>Gebaeudeeingang</v>
      </c>
      <c r="N1184" s="62" t="str" cm="1">
        <f t="array" ref="N1184">IF($B1184=0,IF($E1184=0,"",IF(INDEX(DMAV_Dienste!T$6:T$140,$E1184)="","",INDEX(DMAV_Dienste!T$6:T$140,$E1184))),IF(INDEX(DMAV_Modell!U$6:U$838,$B1184)="","",INDEX(DMAV_Modell!U$6:U$838,$B1184)))</f>
        <v>GebaeudeName</v>
      </c>
      <c r="O1184" s="63" t="str" cm="1">
        <f t="array" aca="1" ref="O1184" ca="1">IF(C1184=0,IF(F1184=0,"",HYPERLINK("#"&amp;RIGHT(CELL("adresse",OFFSET(DMAV_Dienste!$M$6,F1184-1,0)),LEN(CELL("adresse",OFFSET(DMAV_Dienste!$M$6,F1184-1,0)))-FIND("]",CELL("adresse",OFFSET(DMAV_Dienste!$M$6,F1184-1,0)))),"Structure")),HYPERLINK("#"&amp;RIGHT(CELL("adresse",OFFSET(DMAV_Modell!$N$6,C1184-1,0)),LEN(CELL("adresse",OFFSET(DMAV_Modell!$N$6,C1184-1,0)))-FIND("]",CELL("adresse",OFFSET(DMAV_Modell!$N$6,C1184-1,0)))),"Structure"))</f>
        <v>Structure</v>
      </c>
      <c r="P1184" s="64" t="str" cm="1">
        <f t="array" aca="1" ref="P1184" ca="1">IF(D1184=0,IF(G1184=0,"",HYPERLINK("#"&amp;RIGHT(CELL("adresse",OFFSET(DMAV_Dienste!$M$6,G1184-1,0)),LEN(CELL("adresse",OFFSET(DMAV_Dienste!$M$6,G1184-1,0)))-FIND("]",CELL("adresse",OFFSET(DMAV_Dienste!$M$6,G1184-1,0)))),"Substructure")),HYPERLINK("#"&amp;RIGHT(CELL("adresse",OFFSET(DMAV_Modell!$N$6,D1184-1,0)),LEN(CELL("adresse",OFFSET(DMAV_Modell!$N$6,D1184-1,0)))-FIND("]",CELL("adresse",OFFSET(DMAV_Modell!$N$6,D1184-1,0)))),"Substructure"))</f>
        <v>Substructure</v>
      </c>
      <c r="R1184" s="80"/>
      <c r="T1184" s="93"/>
      <c r="U1184" s="94" t="s">
        <v>2980</v>
      </c>
      <c r="V1184" s="95" t="s">
        <v>3296</v>
      </c>
      <c r="W1184" s="96"/>
      <c r="Y1184" s="85"/>
      <c r="Z1184" s="86" t="s">
        <v>2980</v>
      </c>
      <c r="AA1184" s="87" t="s">
        <v>3297</v>
      </c>
      <c r="AB1184" s="88"/>
      <c r="AD1184" s="77"/>
      <c r="AF1184" s="54" t="str" cm="1">
        <f t="array" aca="1" ref="AF1184" ca="1">IF(H1184=0,"",HYPERLINK("#"&amp;RIGHT(CELL("adresse",OFFSET('DM01-AV-CH'!$G$6,H1184-1,0)),LEN(CELL("adresse",OFFSET('DM01-AV-CH'!$G$6,H1184-1,0)))-FIND("]",CELL("adresse",OFFSET('DM01-AV-CH'!$G$6,H1184-1,0)))),"Modell"))</f>
        <v>Modell</v>
      </c>
      <c r="AG1184" s="72" t="str" cm="1">
        <f t="array" ref="AG1184">IF($H1184=0,"",IF(INDEX('DM01-AV-CH'!G$6:G$834,$H1184)="","",INDEX('DM01-AV-CH'!G$6:G$834,$H1184)))</f>
        <v>Gebaeudeadressen</v>
      </c>
      <c r="AH1184" s="73" t="str" cm="1">
        <f t="array" ref="AH1184">IF($H1184=0,"",IF(INDEX('DM01-AV-CH'!H$6:H$834,$H1184)="","",INDEX('DM01-AV-CH'!H$6:H$834,$H1184)))</f>
        <v>GebaeudeNamePos</v>
      </c>
      <c r="AI1184" s="74" t="str" cm="1">
        <f t="array" ref="AI1184">IF($H1184=0,"",IF(INDEX('DM01-AV-CH'!I$6:I$834,$H1184)="","",INDEX('DM01-AV-CH'!I$6:I$834,$H1184)))</f>
        <v>Groesse</v>
      </c>
    </row>
    <row r="1185" spans="1:35" ht="42.75" x14ac:dyDescent="0.25">
      <c r="A1185" s="57">
        <v>1180</v>
      </c>
      <c r="B1185" s="57">
        <f>IF($A1185="","",IF(_xlfn.XLOOKUP($A1185,Korrelation!$D$4:$D$1197,Korrelation!E$4:E$1197,"-",0)="-",0,MATCH(_xlfn.XLOOKUP($A1185,Korrelation!$D$4:$D$1197,Korrelation!E$4:E$1197,"",0),DMAV_Modell!$G$6:$G$677,0)))</f>
        <v>665</v>
      </c>
      <c r="C1185" s="57">
        <f>IF($A1185="","",IF(_xlfn.XLOOKUP($A1185,Korrelation!$D$4:$D$1197,Korrelation!F$4:F$1197,"-",0)="-",0,MATCH(_xlfn.XLOOKUP($A1185,Korrelation!$D$4:$D$1197,Korrelation!F$4:F$1197,"",0),DMAV_Modell!$G$6:$G$677,0)))</f>
        <v>651</v>
      </c>
      <c r="D1185" s="57">
        <f>IF($A1185="","",IF(_xlfn.XLOOKUP($A1185,Korrelation!$D$4:$D$1197,Korrelation!G$4:G$1197,"-",0)="-",0,MATCH(_xlfn.XLOOKUP($A1185,Korrelation!$D$4:$D$1197,Korrelation!G$4:G$1197,"",0),DMAV_Modell!$G$6:$G$677,0)))</f>
        <v>32</v>
      </c>
      <c r="E1185" s="57">
        <f>IF($A1185="","",IF(_xlfn.XLOOKUP($A1185,Korrelation!$D$4:$D$1197,Korrelation!H$4:H$1197,"-",0)="-",0,MATCH(_xlfn.XLOOKUP($A1185,Korrelation!$D$4:$D$1197,Korrelation!H$4:H$1197,"",0),DMAV_Dienste!$F$6:$F$140,0)))</f>
        <v>0</v>
      </c>
      <c r="F1185" s="57">
        <f>IF($A1185="","",IF(_xlfn.XLOOKUP($A1185,Korrelation!$D$4:$D$1197,Korrelation!I$4:I$1197,"-",0)="-",0,MATCH(_xlfn.XLOOKUP($A1185,Korrelation!$D$4:$D$1197,Korrelation!I$4:I$1197,"",0),DMAV_Dienste!$F$6:$F$140,0)))</f>
        <v>0</v>
      </c>
      <c r="G1185" s="57">
        <f>IF($A1185="","",IF(_xlfn.XLOOKUP($A1185,Korrelation!$D$4:$D$1197,Korrelation!J$4:J$1197,"-",0)="-",0,MATCH(_xlfn.XLOOKUP($A1185,Korrelation!$D$4:$D$1197,Korrelation!J$4:J$1197,"",0),DMAV_Dienste!$F$6:$F$140,0)))</f>
        <v>0</v>
      </c>
      <c r="H1185" s="57">
        <f>IF($A1185="","",IF(_xlfn.XLOOKUP($A1185,Korrelation!$D$4:$D$1197,Korrelation!K$4:K$1197,"-",0)="-",0,MATCH(_xlfn.XLOOKUP($A1185,Korrelation!$D$4:$D$1197,Korrelation!K$4:K$1197,"",0),'DM01-AV-CH'!$A$6:$A$834,0)))</f>
        <v>762</v>
      </c>
      <c r="J1185" s="54" t="str" cm="1">
        <f t="array" aca="1" ref="J1185" ca="1">IF(B1185=0,IF(E1185=0,"",HYPERLINK("#"&amp;RIGHT(CELL("adresse",OFFSET(DMAV_Dienste!$M$6,E1185-1,0)),LEN(CELL("adresse",OFFSET(DMAV_Dienste!$M$6,E1185-1,0)))-FIND("]",CELL("adresse",OFFSET(DMAV_Dienste!$M$6,E1185-1,0)))),"Dienst")),HYPERLINK("#"&amp;RIGHT(CELL("adresse",OFFSET(DMAV_Modell!$N$6,B1185-1,0)),LEN(CELL("adresse",OFFSET(DMAV_Modell!$N$6,B1185-1,0)))-FIND("]",CELL("adresse",OFFSET(DMAV_Modell!$N$6,B1185-1,0)))),"Modell"))</f>
        <v>Modell</v>
      </c>
      <c r="K1185" s="61" t="str" cm="1">
        <f t="array" ref="K1185">IF($B1185=0,IF($E1185=0,"",IF(INDEX(DMAV_Dienste!P$6:P$140,$E1185)="","",INDEX(DMAV_Dienste!P$6:P$140,$E1185))),IF(INDEX(DMAV_Modell!Q$6:Q$838,$B1185)="","",INDEX(DMAV_Modell!Q$6:Q$838,$B1185)))</f>
        <v>CLASS</v>
      </c>
      <c r="L1185" s="62" t="str" cm="1">
        <f t="array" ref="L1185">IF($B1185=0,IF($E1185=0,"",IF(INDEX(DMAV_Dienste!O$6:O$140,$E1185)="","",INDEX(DMAV_Dienste!O$6:O$140,$E1185))),IF(INDEX(DMAV_Modell!P$6:P$838,$B1185)="","",INDEX(DMAV_Modell!P$6:P$838,$B1185)))</f>
        <v>Gebaeudeadressen</v>
      </c>
      <c r="M1185" s="62" t="str" cm="1">
        <f t="array" ref="M1185">IF($B1185=0,IF($E1185=0,"",IF(INDEX(DMAV_Dienste!Q$6:Q$140,$E1185)="","",INDEX(DMAV_Dienste!Q$6:Q$140,$E1185))),IF(INDEX(DMAV_Modell!R$6:R$838,$B1185)="","",INDEX(DMAV_Modell!R$6:R$838,$B1185)))</f>
        <v>Gebaeudeeingang</v>
      </c>
      <c r="N1185" s="62" t="str" cm="1">
        <f t="array" ref="N1185">IF($B1185=0,IF($E1185=0,"",IF(INDEX(DMAV_Dienste!T$6:T$140,$E1185)="","",INDEX(DMAV_Dienste!T$6:T$140,$E1185))),IF(INDEX(DMAV_Modell!U$6:U$838,$B1185)="","",INDEX(DMAV_Modell!U$6:U$838,$B1185)))</f>
        <v>GebaeudeName</v>
      </c>
      <c r="O1185" s="63" t="str" cm="1">
        <f t="array" aca="1" ref="O1185" ca="1">IF(C1185=0,IF(F1185=0,"",HYPERLINK("#"&amp;RIGHT(CELL("adresse",OFFSET(DMAV_Dienste!$M$6,F1185-1,0)),LEN(CELL("adresse",OFFSET(DMAV_Dienste!$M$6,F1185-1,0)))-FIND("]",CELL("adresse",OFFSET(DMAV_Dienste!$M$6,F1185-1,0)))),"Structure")),HYPERLINK("#"&amp;RIGHT(CELL("adresse",OFFSET(DMAV_Modell!$N$6,C1185-1,0)),LEN(CELL("adresse",OFFSET(DMAV_Modell!$N$6,C1185-1,0)))-FIND("]",CELL("adresse",OFFSET(DMAV_Modell!$N$6,C1185-1,0)))),"Structure"))</f>
        <v>Structure</v>
      </c>
      <c r="P1185" s="64" t="str" cm="1">
        <f t="array" aca="1" ref="P1185" ca="1">IF(D1185=0,IF(G1185=0,"",HYPERLINK("#"&amp;RIGHT(CELL("adresse",OFFSET(DMAV_Dienste!$M$6,G1185-1,0)),LEN(CELL("adresse",OFFSET(DMAV_Dienste!$M$6,G1185-1,0)))-FIND("]",CELL("adresse",OFFSET(DMAV_Dienste!$M$6,G1185-1,0)))),"Substructure")),HYPERLINK("#"&amp;RIGHT(CELL("adresse",OFFSET(DMAV_Modell!$N$6,D1185-1,0)),LEN(CELL("adresse",OFFSET(DMAV_Modell!$N$6,D1185-1,0)))-FIND("]",CELL("adresse",OFFSET(DMAV_Modell!$N$6,D1185-1,0)))),"Substructure"))</f>
        <v>Substructure</v>
      </c>
      <c r="R1185" s="80"/>
      <c r="T1185" s="93"/>
      <c r="U1185" s="94" t="s">
        <v>2980</v>
      </c>
      <c r="V1185" s="95" t="s">
        <v>3298</v>
      </c>
      <c r="W1185" s="96"/>
      <c r="Y1185" s="85"/>
      <c r="Z1185" s="86" t="s">
        <v>2980</v>
      </c>
      <c r="AA1185" s="87" t="s">
        <v>3299</v>
      </c>
      <c r="AB1185" s="88"/>
      <c r="AD1185" s="77"/>
      <c r="AF1185" s="54" t="str" cm="1">
        <f t="array" aca="1" ref="AF1185" ca="1">IF(H1185=0,"",HYPERLINK("#"&amp;RIGHT(CELL("adresse",OFFSET('DM01-AV-CH'!$G$6,H1185-1,0)),LEN(CELL("adresse",OFFSET('DM01-AV-CH'!$G$6,H1185-1,0)))-FIND("]",CELL("adresse",OFFSET('DM01-AV-CH'!$G$6,H1185-1,0)))),"Modell"))</f>
        <v>Modell</v>
      </c>
      <c r="AG1185" s="72" t="str" cm="1">
        <f t="array" ref="AG1185">IF($H1185=0,"",IF(INDEX('DM01-AV-CH'!G$6:G$834,$H1185)="","",INDEX('DM01-AV-CH'!G$6:G$834,$H1185)))</f>
        <v>Gebaeudeadressen</v>
      </c>
      <c r="AH1185" s="73" t="str" cm="1">
        <f t="array" ref="AH1185">IF($H1185=0,"",IF(INDEX('DM01-AV-CH'!H$6:H$834,$H1185)="","",INDEX('DM01-AV-CH'!H$6:H$834,$H1185)))</f>
        <v>GebaeudeNamePos</v>
      </c>
      <c r="AI1185" s="74" t="str" cm="1">
        <f t="array" ref="AI1185">IF($H1185=0,"",IF(INDEX('DM01-AV-CH'!I$6:I$834,$H1185)="","",INDEX('DM01-AV-CH'!I$6:I$834,$H1185)))</f>
        <v>Hilfslinie</v>
      </c>
    </row>
    <row r="1186" spans="1:35" ht="28.5" x14ac:dyDescent="0.25">
      <c r="A1186" s="57">
        <v>1181</v>
      </c>
      <c r="B1186" s="57">
        <f>IF($A1186="","",IF(_xlfn.XLOOKUP($A1186,Korrelation!$D$4:$D$1197,Korrelation!E$4:E$1197,"-",0)="-",0,MATCH(_xlfn.XLOOKUP($A1186,Korrelation!$D$4:$D$1197,Korrelation!E$4:E$1197,"",0),DMAV_Modell!$G$6:$G$677,0)))</f>
        <v>0</v>
      </c>
      <c r="C1186" s="57">
        <f>IF($A1186="","",IF(_xlfn.XLOOKUP($A1186,Korrelation!$D$4:$D$1197,Korrelation!F$4:F$1197,"-",0)="-",0,MATCH(_xlfn.XLOOKUP($A1186,Korrelation!$D$4:$D$1197,Korrelation!F$4:F$1197,"",0),DMAV_Modell!$G$6:$G$677,0)))</f>
        <v>0</v>
      </c>
      <c r="D1186" s="57">
        <f>IF($A1186="","",IF(_xlfn.XLOOKUP($A1186,Korrelation!$D$4:$D$1197,Korrelation!G$4:G$1197,"-",0)="-",0,MATCH(_xlfn.XLOOKUP($A1186,Korrelation!$D$4:$D$1197,Korrelation!G$4:G$1197,"",0),DMAV_Modell!$G$6:$G$677,0)))</f>
        <v>0</v>
      </c>
      <c r="E1186" s="57">
        <f>IF($A1186="","",IF(_xlfn.XLOOKUP($A1186,Korrelation!$D$4:$D$1197,Korrelation!H$4:H$1197,"-",0)="-",0,MATCH(_xlfn.XLOOKUP($A1186,Korrelation!$D$4:$D$1197,Korrelation!H$4:H$1197,"",0),DMAV_Dienste!$F$6:$F$140,0)))</f>
        <v>0</v>
      </c>
      <c r="F1186" s="57">
        <f>IF($A1186="","",IF(_xlfn.XLOOKUP($A1186,Korrelation!$D$4:$D$1197,Korrelation!I$4:I$1197,"-",0)="-",0,MATCH(_xlfn.XLOOKUP($A1186,Korrelation!$D$4:$D$1197,Korrelation!I$4:I$1197,"",0),DMAV_Dienste!$F$6:$F$140,0)))</f>
        <v>0</v>
      </c>
      <c r="G1186" s="57">
        <f>IF($A1186="","",IF(_xlfn.XLOOKUP($A1186,Korrelation!$D$4:$D$1197,Korrelation!J$4:J$1197,"-",0)="-",0,MATCH(_xlfn.XLOOKUP($A1186,Korrelation!$D$4:$D$1197,Korrelation!J$4:J$1197,"",0),DMAV_Dienste!$F$6:$F$140,0)))</f>
        <v>0</v>
      </c>
      <c r="H1186" s="57">
        <f>IF($A1186="","",IF(_xlfn.XLOOKUP($A1186,Korrelation!$D$4:$D$1197,Korrelation!K$4:K$1197,"-",0)="-",0,MATCH(_xlfn.XLOOKUP($A1186,Korrelation!$D$4:$D$1197,Korrelation!K$4:K$1197,"",0),'DM01-AV-CH'!$A$6:$A$834,0)))</f>
        <v>763</v>
      </c>
      <c r="J1186" s="54" t="str" cm="1">
        <f t="array" aca="1" ref="J1186" ca="1">IF(B1186=0,IF(E1186=0,"",HYPERLINK("#"&amp;RIGHT(CELL("adresse",OFFSET(DMAV_Dienste!$M$6,E1186-1,0)),LEN(CELL("adresse",OFFSET(DMAV_Dienste!$M$6,E1186-1,0)))-FIND("]",CELL("adresse",OFFSET(DMAV_Dienste!$M$6,E1186-1,0)))),"Dienst")),HYPERLINK("#"&amp;RIGHT(CELL("adresse",OFFSET(DMAV_Modell!$N$6,B1186-1,0)),LEN(CELL("adresse",OFFSET(DMAV_Modell!$N$6,B1186-1,0)))-FIND("]",CELL("adresse",OFFSET(DMAV_Modell!$N$6,B1186-1,0)))),"Modell"))</f>
        <v/>
      </c>
      <c r="K1186" s="61" t="str" cm="1">
        <f t="array" ref="K1186">IF($B1186=0,IF($E1186=0,"",IF(INDEX(DMAV_Dienste!P$6:P$140,$E1186)="","",INDEX(DMAV_Dienste!P$6:P$140,$E1186))),IF(INDEX(DMAV_Modell!Q$6:Q$838,$B1186)="","",INDEX(DMAV_Modell!Q$6:Q$838,$B1186)))</f>
        <v/>
      </c>
      <c r="L1186" s="62" t="str" cm="1">
        <f t="array" ref="L1186">IF($B1186=0,IF($E1186=0,"",IF(INDEX(DMAV_Dienste!O$6:O$140,$E1186)="","",INDEX(DMAV_Dienste!O$6:O$140,$E1186))),IF(INDEX(DMAV_Modell!P$6:P$838,$B1186)="","",INDEX(DMAV_Modell!P$6:P$838,$B1186)))</f>
        <v/>
      </c>
      <c r="M1186" s="62" t="str" cm="1">
        <f t="array" ref="M1186">IF($B1186=0,IF($E1186=0,"",IF(INDEX(DMAV_Dienste!Q$6:Q$140,$E1186)="","",INDEX(DMAV_Dienste!Q$6:Q$140,$E1186))),IF(INDEX(DMAV_Modell!R$6:R$838,$B1186)="","",INDEX(DMAV_Modell!R$6:R$838,$B1186)))</f>
        <v/>
      </c>
      <c r="N1186" s="62" t="str" cm="1">
        <f t="array" ref="N1186">IF($B1186=0,IF($E1186=0,"",IF(INDEX(DMAV_Dienste!T$6:T$140,$E1186)="","",INDEX(DMAV_Dienste!T$6:T$140,$E1186))),IF(INDEX(DMAV_Modell!U$6:U$838,$B1186)="","",INDEX(DMAV_Modell!U$6:U$838,$B1186)))</f>
        <v/>
      </c>
      <c r="O1186" s="63" t="str" cm="1">
        <f t="array" aca="1" ref="O1186" ca="1">IF(C1186=0,IF(F1186=0,"",HYPERLINK("#"&amp;RIGHT(CELL("adresse",OFFSET(DMAV_Dienste!$M$6,F1186-1,0)),LEN(CELL("adresse",OFFSET(DMAV_Dienste!$M$6,F1186-1,0)))-FIND("]",CELL("adresse",OFFSET(DMAV_Dienste!$M$6,F1186-1,0)))),"Structure")),HYPERLINK("#"&amp;RIGHT(CELL("adresse",OFFSET(DMAV_Modell!$N$6,C1186-1,0)),LEN(CELL("adresse",OFFSET(DMAV_Modell!$N$6,C1186-1,0)))-FIND("]",CELL("adresse",OFFSET(DMAV_Modell!$N$6,C1186-1,0)))),"Structure"))</f>
        <v/>
      </c>
      <c r="P1186" s="64" t="str" cm="1">
        <f t="array" aca="1" ref="P1186" ca="1">IF(D1186=0,IF(G1186=0,"",HYPERLINK("#"&amp;RIGHT(CELL("adresse",OFFSET(DMAV_Dienste!$M$6,G1186-1,0)),LEN(CELL("adresse",OFFSET(DMAV_Dienste!$M$6,G1186-1,0)))-FIND("]",CELL("adresse",OFFSET(DMAV_Dienste!$M$6,G1186-1,0)))),"Substructure")),HYPERLINK("#"&amp;RIGHT(CELL("adresse",OFFSET(DMAV_Modell!$N$6,D1186-1,0)),LEN(CELL("adresse",OFFSET(DMAV_Modell!$N$6,D1186-1,0)))-FIND("]",CELL("adresse",OFFSET(DMAV_Modell!$N$6,D1186-1,0)))),"Substructure"))</f>
        <v/>
      </c>
      <c r="R1186" s="80"/>
      <c r="T1186" s="93"/>
      <c r="U1186" s="94"/>
      <c r="V1186" s="95"/>
      <c r="W1186" s="96"/>
      <c r="Y1186" s="85"/>
      <c r="Z1186" s="86"/>
      <c r="AA1186" s="87"/>
      <c r="AB1186" s="88"/>
      <c r="AD1186" s="77"/>
      <c r="AF1186" s="54" t="str" cm="1">
        <f t="array" aca="1" ref="AF1186" ca="1">IF(H1186=0,"",HYPERLINK("#"&amp;RIGHT(CELL("adresse",OFFSET('DM01-AV-CH'!$G$6,H1186-1,0)),LEN(CELL("adresse",OFFSET('DM01-AV-CH'!$G$6,H1186-1,0)))-FIND("]",CELL("adresse",OFFSET('DM01-AV-CH'!$G$6,H1186-1,0)))),"Modell"))</f>
        <v>Modell</v>
      </c>
      <c r="AG1186" s="72" t="str" cm="1">
        <f t="array" ref="AG1186">IF($H1186=0,"",IF(INDEX('DM01-AV-CH'!G$6:G$834,$H1186)="","",INDEX('DM01-AV-CH'!G$6:G$834,$H1186)))</f>
        <v>Gebaeudeadressen</v>
      </c>
      <c r="AH1186" s="73" t="str" cm="1">
        <f t="array" ref="AH1186">IF($H1186=0,"",IF(INDEX('DM01-AV-CH'!H$6:H$834,$H1186)="","",INDEX('DM01-AV-CH'!H$6:H$834,$H1186)))</f>
        <v>GebaeudeBeschreibung</v>
      </c>
      <c r="AI1186" s="74" t="str" cm="1">
        <f t="array" ref="AI1186">IF($H1186=0,"",IF(INDEX('DM01-AV-CH'!I$6:I$834,$H1186)="","",INDEX('DM01-AV-CH'!I$6:I$834,$H1186)))</f>
        <v>GebaeudeBeschreibung_von</v>
      </c>
    </row>
    <row r="1187" spans="1:35" ht="42.75" x14ac:dyDescent="0.25">
      <c r="A1187" s="57">
        <v>1182</v>
      </c>
      <c r="B1187" s="57">
        <f>IF($A1187="","",IF(_xlfn.XLOOKUP($A1187,Korrelation!$D$4:$D$1197,Korrelation!E$4:E$1197,"-",0)="-",0,MATCH(_xlfn.XLOOKUP($A1187,Korrelation!$D$4:$D$1197,Korrelation!E$4:E$1197,"",0),DMAV_Modell!$G$6:$G$677,0)))</f>
        <v>666</v>
      </c>
      <c r="C1187" s="57">
        <f>IF($A1187="","",IF(_xlfn.XLOOKUP($A1187,Korrelation!$D$4:$D$1197,Korrelation!F$4:F$1197,"-",0)="-",0,MATCH(_xlfn.XLOOKUP($A1187,Korrelation!$D$4:$D$1197,Korrelation!F$4:F$1197,"",0),DMAV_Modell!$G$6:$G$677,0)))</f>
        <v>653</v>
      </c>
      <c r="D1187" s="57">
        <f>IF($A1187="","",IF(_xlfn.XLOOKUP($A1187,Korrelation!$D$4:$D$1197,Korrelation!G$4:G$1197,"-",0)="-",0,MATCH(_xlfn.XLOOKUP($A1187,Korrelation!$D$4:$D$1197,Korrelation!G$4:G$1197,"",0),DMAV_Modell!$G$6:$G$677,0)))</f>
        <v>0</v>
      </c>
      <c r="E1187" s="57">
        <f>IF($A1187="","",IF(_xlfn.XLOOKUP($A1187,Korrelation!$D$4:$D$1197,Korrelation!H$4:H$1197,"-",0)="-",0,MATCH(_xlfn.XLOOKUP($A1187,Korrelation!$D$4:$D$1197,Korrelation!H$4:H$1197,"",0),DMAV_Dienste!$F$6:$F$140,0)))</f>
        <v>0</v>
      </c>
      <c r="F1187" s="57">
        <f>IF($A1187="","",IF(_xlfn.XLOOKUP($A1187,Korrelation!$D$4:$D$1197,Korrelation!I$4:I$1197,"-",0)="-",0,MATCH(_xlfn.XLOOKUP($A1187,Korrelation!$D$4:$D$1197,Korrelation!I$4:I$1197,"",0),DMAV_Dienste!$F$6:$F$140,0)))</f>
        <v>0</v>
      </c>
      <c r="G1187" s="57">
        <f>IF($A1187="","",IF(_xlfn.XLOOKUP($A1187,Korrelation!$D$4:$D$1197,Korrelation!J$4:J$1197,"-",0)="-",0,MATCH(_xlfn.XLOOKUP($A1187,Korrelation!$D$4:$D$1197,Korrelation!J$4:J$1197,"",0),DMAV_Dienste!$F$6:$F$140,0)))</f>
        <v>0</v>
      </c>
      <c r="H1187" s="57">
        <f>IF($A1187="","",IF(_xlfn.XLOOKUP($A1187,Korrelation!$D$4:$D$1197,Korrelation!K$4:K$1197,"-",0)="-",0,MATCH(_xlfn.XLOOKUP($A1187,Korrelation!$D$4:$D$1197,Korrelation!K$4:K$1197,"",0),'DM01-AV-CH'!$A$6:$A$834,0)))</f>
        <v>764</v>
      </c>
      <c r="J1187" s="54" t="str" cm="1">
        <f t="array" aca="1" ref="J1187" ca="1">IF(B1187=0,IF(E1187=0,"",HYPERLINK("#"&amp;RIGHT(CELL("adresse",OFFSET(DMAV_Dienste!$M$6,E1187-1,0)),LEN(CELL("adresse",OFFSET(DMAV_Dienste!$M$6,E1187-1,0)))-FIND("]",CELL("adresse",OFFSET(DMAV_Dienste!$M$6,E1187-1,0)))),"Dienst")),HYPERLINK("#"&amp;RIGHT(CELL("adresse",OFFSET(DMAV_Modell!$N$6,B1187-1,0)),LEN(CELL("adresse",OFFSET(DMAV_Modell!$N$6,B1187-1,0)))-FIND("]",CELL("adresse",OFFSET(DMAV_Modell!$N$6,B1187-1,0)))),"Modell"))</f>
        <v>Modell</v>
      </c>
      <c r="K1187" s="61" t="str" cm="1">
        <f t="array" ref="K1187">IF($B1187=0,IF($E1187=0,"",IF(INDEX(DMAV_Dienste!P$6:P$140,$E1187)="","",INDEX(DMAV_Dienste!P$6:P$140,$E1187))),IF(INDEX(DMAV_Modell!Q$6:Q$838,$B1187)="","",INDEX(DMAV_Modell!Q$6:Q$838,$B1187)))</f>
        <v>CLASS</v>
      </c>
      <c r="L1187" s="62" t="str" cm="1">
        <f t="array" ref="L1187">IF($B1187=0,IF($E1187=0,"",IF(INDEX(DMAV_Dienste!O$6:O$140,$E1187)="","",INDEX(DMAV_Dienste!O$6:O$140,$E1187))),IF(INDEX(DMAV_Modell!P$6:P$838,$B1187)="","",INDEX(DMAV_Modell!P$6:P$838,$B1187)))</f>
        <v>Gebaeudeadressen</v>
      </c>
      <c r="M1187" s="62" t="str" cm="1">
        <f t="array" ref="M1187">IF($B1187=0,IF($E1187=0,"",IF(INDEX(DMAV_Dienste!Q$6:Q$140,$E1187)="","",INDEX(DMAV_Dienste!Q$6:Q$140,$E1187))),IF(INDEX(DMAV_Modell!R$6:R$838,$B1187)="","",INDEX(DMAV_Modell!R$6:R$838,$B1187)))</f>
        <v>Gebaeudeeingang</v>
      </c>
      <c r="N1187" s="62" t="str" cm="1">
        <f t="array" ref="N1187">IF($B1187=0,IF($E1187=0,"",IF(INDEX(DMAV_Dienste!T$6:T$140,$E1187)="","",INDEX(DMAV_Dienste!T$6:T$140,$E1187))),IF(INDEX(DMAV_Modell!U$6:U$838,$B1187)="","",INDEX(DMAV_Modell!U$6:U$838,$B1187)))</f>
        <v>GebaeudeBeschreibung</v>
      </c>
      <c r="O1187" s="63" t="str" cm="1">
        <f t="array" aca="1" ref="O1187" ca="1">IF(C1187=0,IF(F1187=0,"",HYPERLINK("#"&amp;RIGHT(CELL("adresse",OFFSET(DMAV_Dienste!$M$6,F1187-1,0)),LEN(CELL("adresse",OFFSET(DMAV_Dienste!$M$6,F1187-1,0)))-FIND("]",CELL("adresse",OFFSET(DMAV_Dienste!$M$6,F1187-1,0)))),"Structure")),HYPERLINK("#"&amp;RIGHT(CELL("adresse",OFFSET(DMAV_Modell!$N$6,C1187-1,0)),LEN(CELL("adresse",OFFSET(DMAV_Modell!$N$6,C1187-1,0)))-FIND("]",CELL("adresse",OFFSET(DMAV_Modell!$N$6,C1187-1,0)))),"Structure"))</f>
        <v>Structure</v>
      </c>
      <c r="P1187" s="64" t="str" cm="1">
        <f t="array" aca="1" ref="P1187" ca="1">IF(D1187=0,IF(G1187=0,"",HYPERLINK("#"&amp;RIGHT(CELL("adresse",OFFSET(DMAV_Dienste!$M$6,G1187-1,0)),LEN(CELL("adresse",OFFSET(DMAV_Dienste!$M$6,G1187-1,0)))-FIND("]",CELL("adresse",OFFSET(DMAV_Dienste!$M$6,G1187-1,0)))),"Substructure")),HYPERLINK("#"&amp;RIGHT(CELL("adresse",OFFSET(DMAV_Modell!$N$6,D1187-1,0)),LEN(CELL("adresse",OFFSET(DMAV_Modell!$N$6,D1187-1,0)))-FIND("]",CELL("adresse",OFFSET(DMAV_Modell!$N$6,D1187-1,0)))),"Substructure"))</f>
        <v/>
      </c>
      <c r="R1187" s="80"/>
      <c r="T1187" s="93"/>
      <c r="U1187" s="94" t="s">
        <v>2980</v>
      </c>
      <c r="V1187" s="95" t="s">
        <v>3300</v>
      </c>
      <c r="W1187" s="96"/>
      <c r="Y1187" s="85"/>
      <c r="Z1187" s="86" t="s">
        <v>2980</v>
      </c>
      <c r="AA1187" s="87" t="s">
        <v>3301</v>
      </c>
      <c r="AB1187" s="88"/>
      <c r="AD1187" s="77"/>
      <c r="AF1187" s="54" t="str" cm="1">
        <f t="array" aca="1" ref="AF1187" ca="1">IF(H1187=0,"",HYPERLINK("#"&amp;RIGHT(CELL("adresse",OFFSET('DM01-AV-CH'!$G$6,H1187-1,0)),LEN(CELL("adresse",OFFSET('DM01-AV-CH'!$G$6,H1187-1,0)))-FIND("]",CELL("adresse",OFFSET('DM01-AV-CH'!$G$6,H1187-1,0)))),"Modell"))</f>
        <v>Modell</v>
      </c>
      <c r="AG1187" s="72" t="str" cm="1">
        <f t="array" ref="AG1187">IF($H1187=0,"",IF(INDEX('DM01-AV-CH'!G$6:G$834,$H1187)="","",INDEX('DM01-AV-CH'!G$6:G$834,$H1187)))</f>
        <v>Gebaeudeadressen</v>
      </c>
      <c r="AH1187" s="73" t="str" cm="1">
        <f t="array" ref="AH1187">IF($H1187=0,"",IF(INDEX('DM01-AV-CH'!H$6:H$834,$H1187)="","",INDEX('DM01-AV-CH'!H$6:H$834,$H1187)))</f>
        <v>GebaeudeBeschreibung</v>
      </c>
      <c r="AI1187" s="74" t="str" cm="1">
        <f t="array" ref="AI1187">IF($H1187=0,"",IF(INDEX('DM01-AV-CH'!I$6:I$834,$H1187)="","",INDEX('DM01-AV-CH'!I$6:I$834,$H1187)))</f>
        <v>Text</v>
      </c>
    </row>
    <row r="1188" spans="1:35" ht="42.75" x14ac:dyDescent="0.25">
      <c r="A1188" s="57">
        <v>1183</v>
      </c>
      <c r="B1188" s="57">
        <f>IF($A1188="","",IF(_xlfn.XLOOKUP($A1188,Korrelation!$D$4:$D$1197,Korrelation!E$4:E$1197,"-",0)="-",0,MATCH(_xlfn.XLOOKUP($A1188,Korrelation!$D$4:$D$1197,Korrelation!E$4:E$1197,"",0),DMAV_Modell!$G$6:$G$677,0)))</f>
        <v>666</v>
      </c>
      <c r="C1188" s="57">
        <f>IF($A1188="","",IF(_xlfn.XLOOKUP($A1188,Korrelation!$D$4:$D$1197,Korrelation!F$4:F$1197,"-",0)="-",0,MATCH(_xlfn.XLOOKUP($A1188,Korrelation!$D$4:$D$1197,Korrelation!F$4:F$1197,"",0),DMAV_Modell!$G$6:$G$677,0)))</f>
        <v>654</v>
      </c>
      <c r="D1188" s="57">
        <f>IF($A1188="","",IF(_xlfn.XLOOKUP($A1188,Korrelation!$D$4:$D$1197,Korrelation!G$4:G$1197,"-",0)="-",0,MATCH(_xlfn.XLOOKUP($A1188,Korrelation!$D$4:$D$1197,Korrelation!G$4:G$1197,"",0),DMAV_Modell!$G$6:$G$677,0)))</f>
        <v>0</v>
      </c>
      <c r="E1188" s="57">
        <f>IF($A1188="","",IF(_xlfn.XLOOKUP($A1188,Korrelation!$D$4:$D$1197,Korrelation!H$4:H$1197,"-",0)="-",0,MATCH(_xlfn.XLOOKUP($A1188,Korrelation!$D$4:$D$1197,Korrelation!H$4:H$1197,"",0),DMAV_Dienste!$F$6:$F$140,0)))</f>
        <v>0</v>
      </c>
      <c r="F1188" s="57">
        <f>IF($A1188="","",IF(_xlfn.XLOOKUP($A1188,Korrelation!$D$4:$D$1197,Korrelation!I$4:I$1197,"-",0)="-",0,MATCH(_xlfn.XLOOKUP($A1188,Korrelation!$D$4:$D$1197,Korrelation!I$4:I$1197,"",0),DMAV_Dienste!$F$6:$F$140,0)))</f>
        <v>0</v>
      </c>
      <c r="G1188" s="57">
        <f>IF($A1188="","",IF(_xlfn.XLOOKUP($A1188,Korrelation!$D$4:$D$1197,Korrelation!J$4:J$1197,"-",0)="-",0,MATCH(_xlfn.XLOOKUP($A1188,Korrelation!$D$4:$D$1197,Korrelation!J$4:J$1197,"",0),DMAV_Dienste!$F$6:$F$140,0)))</f>
        <v>0</v>
      </c>
      <c r="H1188" s="57">
        <f>IF($A1188="","",IF(_xlfn.XLOOKUP($A1188,Korrelation!$D$4:$D$1197,Korrelation!K$4:K$1197,"-",0)="-",0,MATCH(_xlfn.XLOOKUP($A1188,Korrelation!$D$4:$D$1197,Korrelation!K$4:K$1197,"",0),'DM01-AV-CH'!$A$6:$A$834,0)))</f>
        <v>765</v>
      </c>
      <c r="J1188" s="54" t="str" cm="1">
        <f t="array" aca="1" ref="J1188" ca="1">IF(B1188=0,IF(E1188=0,"",HYPERLINK("#"&amp;RIGHT(CELL("adresse",OFFSET(DMAV_Dienste!$M$6,E1188-1,0)),LEN(CELL("adresse",OFFSET(DMAV_Dienste!$M$6,E1188-1,0)))-FIND("]",CELL("adresse",OFFSET(DMAV_Dienste!$M$6,E1188-1,0)))),"Dienst")),HYPERLINK("#"&amp;RIGHT(CELL("adresse",OFFSET(DMAV_Modell!$N$6,B1188-1,0)),LEN(CELL("adresse",OFFSET(DMAV_Modell!$N$6,B1188-1,0)))-FIND("]",CELL("adresse",OFFSET(DMAV_Modell!$N$6,B1188-1,0)))),"Modell"))</f>
        <v>Modell</v>
      </c>
      <c r="K1188" s="61" t="str" cm="1">
        <f t="array" ref="K1188">IF($B1188=0,IF($E1188=0,"",IF(INDEX(DMAV_Dienste!P$6:P$140,$E1188)="","",INDEX(DMAV_Dienste!P$6:P$140,$E1188))),IF(INDEX(DMAV_Modell!Q$6:Q$838,$B1188)="","",INDEX(DMAV_Modell!Q$6:Q$838,$B1188)))</f>
        <v>CLASS</v>
      </c>
      <c r="L1188" s="62" t="str" cm="1">
        <f t="array" ref="L1188">IF($B1188=0,IF($E1188=0,"",IF(INDEX(DMAV_Dienste!O$6:O$140,$E1188)="","",INDEX(DMAV_Dienste!O$6:O$140,$E1188))),IF(INDEX(DMAV_Modell!P$6:P$838,$B1188)="","",INDEX(DMAV_Modell!P$6:P$838,$B1188)))</f>
        <v>Gebaeudeadressen</v>
      </c>
      <c r="M1188" s="62" t="str" cm="1">
        <f t="array" ref="M1188">IF($B1188=0,IF($E1188=0,"",IF(INDEX(DMAV_Dienste!Q$6:Q$140,$E1188)="","",INDEX(DMAV_Dienste!Q$6:Q$140,$E1188))),IF(INDEX(DMAV_Modell!R$6:R$838,$B1188)="","",INDEX(DMAV_Modell!R$6:R$838,$B1188)))</f>
        <v>Gebaeudeeingang</v>
      </c>
      <c r="N1188" s="62" t="str" cm="1">
        <f t="array" ref="N1188">IF($B1188=0,IF($E1188=0,"",IF(INDEX(DMAV_Dienste!T$6:T$140,$E1188)="","",INDEX(DMAV_Dienste!T$6:T$140,$E1188))),IF(INDEX(DMAV_Modell!U$6:U$838,$B1188)="","",INDEX(DMAV_Modell!U$6:U$838,$B1188)))</f>
        <v>GebaeudeBeschreibung</v>
      </c>
      <c r="O1188" s="63" t="str" cm="1">
        <f t="array" aca="1" ref="O1188" ca="1">IF(C1188=0,IF(F1188=0,"",HYPERLINK("#"&amp;RIGHT(CELL("adresse",OFFSET(DMAV_Dienste!$M$6,F1188-1,0)),LEN(CELL("adresse",OFFSET(DMAV_Dienste!$M$6,F1188-1,0)))-FIND("]",CELL("adresse",OFFSET(DMAV_Dienste!$M$6,F1188-1,0)))),"Structure")),HYPERLINK("#"&amp;RIGHT(CELL("adresse",OFFSET(DMAV_Modell!$N$6,C1188-1,0)),LEN(CELL("adresse",OFFSET(DMAV_Modell!$N$6,C1188-1,0)))-FIND("]",CELL("adresse",OFFSET(DMAV_Modell!$N$6,C1188-1,0)))),"Structure"))</f>
        <v>Structure</v>
      </c>
      <c r="P1188" s="64" t="str" cm="1">
        <f t="array" aca="1" ref="P1188" ca="1">IF(D1188=0,IF(G1188=0,"",HYPERLINK("#"&amp;RIGHT(CELL("adresse",OFFSET(DMAV_Dienste!$M$6,G1188-1,0)),LEN(CELL("adresse",OFFSET(DMAV_Dienste!$M$6,G1188-1,0)))-FIND("]",CELL("adresse",OFFSET(DMAV_Dienste!$M$6,G1188-1,0)))),"Substructure")),HYPERLINK("#"&amp;RIGHT(CELL("adresse",OFFSET(DMAV_Modell!$N$6,D1188-1,0)),LEN(CELL("adresse",OFFSET(DMAV_Modell!$N$6,D1188-1,0)))-FIND("]",CELL("adresse",OFFSET(DMAV_Modell!$N$6,D1188-1,0)))),"Substructure"))</f>
        <v/>
      </c>
      <c r="R1188" s="80"/>
      <c r="T1188" s="93"/>
      <c r="U1188" s="94" t="s">
        <v>2980</v>
      </c>
      <c r="V1188" s="95" t="s">
        <v>3302</v>
      </c>
      <c r="W1188" s="96"/>
      <c r="Y1188" s="85"/>
      <c r="Z1188" s="86" t="s">
        <v>2980</v>
      </c>
      <c r="AA1188" s="87" t="s">
        <v>3303</v>
      </c>
      <c r="AB1188" s="88"/>
      <c r="AD1188" s="77"/>
      <c r="AF1188" s="54" t="str" cm="1">
        <f t="array" aca="1" ref="AF1188" ca="1">IF(H1188=0,"",HYPERLINK("#"&amp;RIGHT(CELL("adresse",OFFSET('DM01-AV-CH'!$G$6,H1188-1,0)),LEN(CELL("adresse",OFFSET('DM01-AV-CH'!$G$6,H1188-1,0)))-FIND("]",CELL("adresse",OFFSET('DM01-AV-CH'!$G$6,H1188-1,0)))),"Modell"))</f>
        <v>Modell</v>
      </c>
      <c r="AG1188" s="72" t="str" cm="1">
        <f t="array" ref="AG1188">IF($H1188=0,"",IF(INDEX('DM01-AV-CH'!G$6:G$834,$H1188)="","",INDEX('DM01-AV-CH'!G$6:G$834,$H1188)))</f>
        <v>Gebaeudeadressen</v>
      </c>
      <c r="AH1188" s="73" t="str" cm="1">
        <f t="array" ref="AH1188">IF($H1188=0,"",IF(INDEX('DM01-AV-CH'!H$6:H$834,$H1188)="","",INDEX('DM01-AV-CH'!H$6:H$834,$H1188)))</f>
        <v>GebaeudeBeschreibung</v>
      </c>
      <c r="AI1188" s="74" t="str" cm="1">
        <f t="array" ref="AI1188">IF($H1188=0,"",IF(INDEX('DM01-AV-CH'!I$6:I$834,$H1188)="","",INDEX('DM01-AV-CH'!I$6:I$834,$H1188)))</f>
        <v>Sprache</v>
      </c>
    </row>
    <row r="1189" spans="1:35" x14ac:dyDescent="0.25">
      <c r="A1189" s="57">
        <v>1184</v>
      </c>
      <c r="B1189" s="57">
        <f>IF($A1189="","",IF(_xlfn.XLOOKUP($A1189,Korrelation!$D$4:$D$1197,Korrelation!E$4:E$1197,"-",0)="-",0,MATCH(_xlfn.XLOOKUP($A1189,Korrelation!$D$4:$D$1197,Korrelation!E$4:E$1197,"",0),DMAV_Modell!$G$6:$G$677,0)))</f>
        <v>0</v>
      </c>
      <c r="C1189" s="57">
        <f>IF($A1189="","",IF(_xlfn.XLOOKUP($A1189,Korrelation!$D$4:$D$1197,Korrelation!F$4:F$1197,"-",0)="-",0,MATCH(_xlfn.XLOOKUP($A1189,Korrelation!$D$4:$D$1197,Korrelation!F$4:F$1197,"",0),DMAV_Modell!$G$6:$G$677,0)))</f>
        <v>0</v>
      </c>
      <c r="D1189" s="57">
        <f>IF($A1189="","",IF(_xlfn.XLOOKUP($A1189,Korrelation!$D$4:$D$1197,Korrelation!G$4:G$1197,"-",0)="-",0,MATCH(_xlfn.XLOOKUP($A1189,Korrelation!$D$4:$D$1197,Korrelation!G$4:G$1197,"",0),DMAV_Modell!$G$6:$G$677,0)))</f>
        <v>0</v>
      </c>
      <c r="E1189" s="57">
        <f>IF($A1189="","",IF(_xlfn.XLOOKUP($A1189,Korrelation!$D$4:$D$1197,Korrelation!H$4:H$1197,"-",0)="-",0,MATCH(_xlfn.XLOOKUP($A1189,Korrelation!$D$4:$D$1197,Korrelation!H$4:H$1197,"",0),DMAV_Dienste!$F$6:$F$140,0)))</f>
        <v>0</v>
      </c>
      <c r="F1189" s="57">
        <f>IF($A1189="","",IF(_xlfn.XLOOKUP($A1189,Korrelation!$D$4:$D$1197,Korrelation!I$4:I$1197,"-",0)="-",0,MATCH(_xlfn.XLOOKUP($A1189,Korrelation!$D$4:$D$1197,Korrelation!I$4:I$1197,"",0),DMAV_Dienste!$F$6:$F$140,0)))</f>
        <v>0</v>
      </c>
      <c r="G1189" s="57">
        <f>IF($A1189="","",IF(_xlfn.XLOOKUP($A1189,Korrelation!$D$4:$D$1197,Korrelation!J$4:J$1197,"-",0)="-",0,MATCH(_xlfn.XLOOKUP($A1189,Korrelation!$D$4:$D$1197,Korrelation!J$4:J$1197,"",0),DMAV_Dienste!$F$6:$F$140,0)))</f>
        <v>0</v>
      </c>
      <c r="H1189" s="57">
        <f>IF($A1189="","",IF(_xlfn.XLOOKUP($A1189,Korrelation!$D$4:$D$1197,Korrelation!K$4:K$1197,"-",0)="-",0,MATCH(_xlfn.XLOOKUP($A1189,Korrelation!$D$4:$D$1197,Korrelation!K$4:K$1197,"",0),'DM01-AV-CH'!$A$6:$A$834,0)))</f>
        <v>745</v>
      </c>
      <c r="J1189" s="54" t="str" cm="1">
        <f t="array" aca="1" ref="J1189" ca="1">IF(B1189=0,IF(E1189=0,"",HYPERLINK("#"&amp;RIGHT(CELL("adresse",OFFSET(DMAV_Dienste!$M$6,E1189-1,0)),LEN(CELL("adresse",OFFSET(DMAV_Dienste!$M$6,E1189-1,0)))-FIND("]",CELL("adresse",OFFSET(DMAV_Dienste!$M$6,E1189-1,0)))),"Dienst")),HYPERLINK("#"&amp;RIGHT(CELL("adresse",OFFSET(DMAV_Modell!$N$6,B1189-1,0)),LEN(CELL("adresse",OFFSET(DMAV_Modell!$N$6,B1189-1,0)))-FIND("]",CELL("adresse",OFFSET(DMAV_Modell!$N$6,B1189-1,0)))),"Modell"))</f>
        <v/>
      </c>
      <c r="K1189" s="61" t="str" cm="1">
        <f t="array" ref="K1189">IF($B1189=0,IF($E1189=0,"",IF(INDEX(DMAV_Dienste!P$6:P$140,$E1189)="","",INDEX(DMAV_Dienste!P$6:P$140,$E1189))),IF(INDEX(DMAV_Modell!Q$6:Q$838,$B1189)="","",INDEX(DMAV_Modell!Q$6:Q$838,$B1189)))</f>
        <v/>
      </c>
      <c r="L1189" s="62" t="str" cm="1">
        <f t="array" ref="L1189">IF($B1189=0,IF($E1189=0,"",IF(INDEX(DMAV_Dienste!O$6:O$140,$E1189)="","",INDEX(DMAV_Dienste!O$6:O$140,$E1189))),IF(INDEX(DMAV_Modell!P$6:P$838,$B1189)="","",INDEX(DMAV_Modell!P$6:P$838,$B1189)))</f>
        <v/>
      </c>
      <c r="M1189" s="62" t="str" cm="1">
        <f t="array" ref="M1189">IF($B1189=0,IF($E1189=0,"",IF(INDEX(DMAV_Dienste!Q$6:Q$140,$E1189)="","",INDEX(DMAV_Dienste!Q$6:Q$140,$E1189))),IF(INDEX(DMAV_Modell!R$6:R$838,$B1189)="","",INDEX(DMAV_Modell!R$6:R$838,$B1189)))</f>
        <v/>
      </c>
      <c r="N1189" s="62" t="str" cm="1">
        <f t="array" ref="N1189">IF($B1189=0,IF($E1189=0,"",IF(INDEX(DMAV_Dienste!T$6:T$140,$E1189)="","",INDEX(DMAV_Dienste!T$6:T$140,$E1189))),IF(INDEX(DMAV_Modell!U$6:U$838,$B1189)="","",INDEX(DMAV_Modell!U$6:U$838,$B1189)))</f>
        <v/>
      </c>
      <c r="O1189" s="63" t="str" cm="1">
        <f t="array" aca="1" ref="O1189" ca="1">IF(C1189=0,IF(F1189=0,"",HYPERLINK("#"&amp;RIGHT(CELL("adresse",OFFSET(DMAV_Dienste!$M$6,F1189-1,0)),LEN(CELL("adresse",OFFSET(DMAV_Dienste!$M$6,F1189-1,0)))-FIND("]",CELL("adresse",OFFSET(DMAV_Dienste!$M$6,F1189-1,0)))),"Structure")),HYPERLINK("#"&amp;RIGHT(CELL("adresse",OFFSET(DMAV_Modell!$N$6,C1189-1,0)),LEN(CELL("adresse",OFFSET(DMAV_Modell!$N$6,C1189-1,0)))-FIND("]",CELL("adresse",OFFSET(DMAV_Modell!$N$6,C1189-1,0)))),"Structure"))</f>
        <v/>
      </c>
      <c r="P1189" s="64" t="str" cm="1">
        <f t="array" aca="1" ref="P1189" ca="1">IF(D1189=0,IF(G1189=0,"",HYPERLINK("#"&amp;RIGHT(CELL("adresse",OFFSET(DMAV_Dienste!$M$6,G1189-1,0)),LEN(CELL("adresse",OFFSET(DMAV_Dienste!$M$6,G1189-1,0)))-FIND("]",CELL("adresse",OFFSET(DMAV_Dienste!$M$6,G1189-1,0)))),"Substructure")),HYPERLINK("#"&amp;RIGHT(CELL("adresse",OFFSET(DMAV_Modell!$N$6,D1189-1,0)),LEN(CELL("adresse",OFFSET(DMAV_Modell!$N$6,D1189-1,0)))-FIND("]",CELL("adresse",OFFSET(DMAV_Modell!$N$6,D1189-1,0)))),"Substructure"))</f>
        <v/>
      </c>
      <c r="R1189" s="80"/>
      <c r="T1189" s="93"/>
      <c r="U1189" s="94"/>
      <c r="V1189" s="95"/>
      <c r="W1189" s="96"/>
      <c r="Y1189" s="85"/>
      <c r="Z1189" s="86"/>
      <c r="AA1189" s="87"/>
      <c r="AB1189" s="88"/>
      <c r="AD1189" s="77"/>
      <c r="AF1189" s="54" t="str" cm="1">
        <f t="array" aca="1" ref="AF1189" ca="1">IF(H1189=0,"",HYPERLINK("#"&amp;RIGHT(CELL("adresse",OFFSET('DM01-AV-CH'!$G$6,H1189-1,0)),LEN(CELL("adresse",OFFSET('DM01-AV-CH'!$G$6,H1189-1,0)))-FIND("]",CELL("adresse",OFFSET('DM01-AV-CH'!$G$6,H1189-1,0)))),"Modell"))</f>
        <v>Modell</v>
      </c>
      <c r="AG1189" s="72" t="str" cm="1">
        <f t="array" ref="AG1189">IF($H1189=0,"",IF(INDEX('DM01-AV-CH'!G$6:G$834,$H1189)="","",INDEX('DM01-AV-CH'!G$6:G$834,$H1189)))</f>
        <v>Gebaeudeadressen</v>
      </c>
      <c r="AH1189" s="73" t="str" cm="1">
        <f t="array" ref="AH1189">IF($H1189=0,"",IF(INDEX('DM01-AV-CH'!H$6:H$834,$H1189)="","",INDEX('DM01-AV-CH'!H$6:H$834,$H1189)))</f>
        <v>HausnummerPos</v>
      </c>
      <c r="AI1189" s="74" t="str" cm="1">
        <f t="array" ref="AI1189">IF($H1189=0,"",IF(INDEX('DM01-AV-CH'!I$6:I$834,$H1189)="","",INDEX('DM01-AV-CH'!I$6:I$834,$H1189)))</f>
        <v>HausnummerPos_von</v>
      </c>
    </row>
    <row r="1190" spans="1:35" ht="28.5" x14ac:dyDescent="0.25">
      <c r="A1190" s="57">
        <v>1185</v>
      </c>
      <c r="B1190" s="57">
        <f>IF($A1190="","",IF(_xlfn.XLOOKUP($A1190,Korrelation!$D$4:$D$1197,Korrelation!E$4:E$1197,"-",0)="-",0,MATCH(_xlfn.XLOOKUP($A1190,Korrelation!$D$4:$D$1197,Korrelation!E$4:E$1197,"",0),DMAV_Modell!$G$6:$G$677,0)))</f>
        <v>667</v>
      </c>
      <c r="C1190" s="57">
        <f>IF($A1190="","",IF(_xlfn.XLOOKUP($A1190,Korrelation!$D$4:$D$1197,Korrelation!F$4:F$1197,"-",0)="-",0,MATCH(_xlfn.XLOOKUP($A1190,Korrelation!$D$4:$D$1197,Korrelation!F$4:F$1197,"",0),DMAV_Modell!$G$6:$G$677,0)))</f>
        <v>26</v>
      </c>
      <c r="D1190" s="57">
        <f>IF($A1190="","",IF(_xlfn.XLOOKUP($A1190,Korrelation!$D$4:$D$1197,Korrelation!G$4:G$1197,"-",0)="-",0,MATCH(_xlfn.XLOOKUP($A1190,Korrelation!$D$4:$D$1197,Korrelation!G$4:G$1197,"",0),DMAV_Modell!$G$6:$G$677,0)))</f>
        <v>0</v>
      </c>
      <c r="E1190" s="57">
        <f>IF($A1190="","",IF(_xlfn.XLOOKUP($A1190,Korrelation!$D$4:$D$1197,Korrelation!H$4:H$1197,"-",0)="-",0,MATCH(_xlfn.XLOOKUP($A1190,Korrelation!$D$4:$D$1197,Korrelation!H$4:H$1197,"",0),DMAV_Dienste!$F$6:$F$140,0)))</f>
        <v>0</v>
      </c>
      <c r="F1190" s="57">
        <f>IF($A1190="","",IF(_xlfn.XLOOKUP($A1190,Korrelation!$D$4:$D$1197,Korrelation!I$4:I$1197,"-",0)="-",0,MATCH(_xlfn.XLOOKUP($A1190,Korrelation!$D$4:$D$1197,Korrelation!I$4:I$1197,"",0),DMAV_Dienste!$F$6:$F$140,0)))</f>
        <v>0</v>
      </c>
      <c r="G1190" s="57">
        <f>IF($A1190="","",IF(_xlfn.XLOOKUP($A1190,Korrelation!$D$4:$D$1197,Korrelation!J$4:J$1197,"-",0)="-",0,MATCH(_xlfn.XLOOKUP($A1190,Korrelation!$D$4:$D$1197,Korrelation!J$4:J$1197,"",0),DMAV_Dienste!$F$6:$F$140,0)))</f>
        <v>0</v>
      </c>
      <c r="H1190" s="57">
        <f>IF($A1190="","",IF(_xlfn.XLOOKUP($A1190,Korrelation!$D$4:$D$1197,Korrelation!K$4:K$1197,"-",0)="-",0,MATCH(_xlfn.XLOOKUP($A1190,Korrelation!$D$4:$D$1197,Korrelation!K$4:K$1197,"",0),'DM01-AV-CH'!$A$6:$A$834,0)))</f>
        <v>746</v>
      </c>
      <c r="J1190" s="54" t="str" cm="1">
        <f t="array" aca="1" ref="J1190" ca="1">IF(B1190=0,IF(E1190=0,"",HYPERLINK("#"&amp;RIGHT(CELL("adresse",OFFSET(DMAV_Dienste!$M$6,E1190-1,0)),LEN(CELL("adresse",OFFSET(DMAV_Dienste!$M$6,E1190-1,0)))-FIND("]",CELL("adresse",OFFSET(DMAV_Dienste!$M$6,E1190-1,0)))),"Dienst")),HYPERLINK("#"&amp;RIGHT(CELL("adresse",OFFSET(DMAV_Modell!$N$6,B1190-1,0)),LEN(CELL("adresse",OFFSET(DMAV_Modell!$N$6,B1190-1,0)))-FIND("]",CELL("adresse",OFFSET(DMAV_Modell!$N$6,B1190-1,0)))),"Modell"))</f>
        <v>Modell</v>
      </c>
      <c r="K1190" s="61" t="str" cm="1">
        <f t="array" ref="K1190">IF($B1190=0,IF($E1190=0,"",IF(INDEX(DMAV_Dienste!P$6:P$140,$E1190)="","",INDEX(DMAV_Dienste!P$6:P$140,$E1190))),IF(INDEX(DMAV_Modell!Q$6:Q$838,$B1190)="","",INDEX(DMAV_Modell!Q$6:Q$838,$B1190)))</f>
        <v>CLASS</v>
      </c>
      <c r="L1190" s="62" t="str" cm="1">
        <f t="array" ref="L1190">IF($B1190=0,IF($E1190=0,"",IF(INDEX(DMAV_Dienste!O$6:O$140,$E1190)="","",INDEX(DMAV_Dienste!O$6:O$140,$E1190))),IF(INDEX(DMAV_Modell!P$6:P$838,$B1190)="","",INDEX(DMAV_Modell!P$6:P$838,$B1190)))</f>
        <v>Gebaeudeadressen</v>
      </c>
      <c r="M1190" s="62" t="str" cm="1">
        <f t="array" ref="M1190">IF($B1190=0,IF($E1190=0,"",IF(INDEX(DMAV_Dienste!Q$6:Q$140,$E1190)="","",INDEX(DMAV_Dienste!Q$6:Q$140,$E1190))),IF(INDEX(DMAV_Modell!R$6:R$838,$B1190)="","",INDEX(DMAV_Modell!R$6:R$838,$B1190)))</f>
        <v>Gebaeudeeingang</v>
      </c>
      <c r="N1190" s="62" t="str" cm="1">
        <f t="array" ref="N1190">IF($B1190=0,IF($E1190=0,"",IF(INDEX(DMAV_Dienste!T$6:T$140,$E1190)="","",INDEX(DMAV_Dienste!T$6:T$140,$E1190))),IF(INDEX(DMAV_Modell!U$6:U$838,$B1190)="","",INDEX(DMAV_Modell!U$6:U$838,$B1190)))</f>
        <v>Textposition</v>
      </c>
      <c r="O1190" s="63" t="str" cm="1">
        <f t="array" aca="1" ref="O1190" ca="1">IF(C1190=0,IF(F1190=0,"",HYPERLINK("#"&amp;RIGHT(CELL("adresse",OFFSET(DMAV_Dienste!$M$6,F1190-1,0)),LEN(CELL("adresse",OFFSET(DMAV_Dienste!$M$6,F1190-1,0)))-FIND("]",CELL("adresse",OFFSET(DMAV_Dienste!$M$6,F1190-1,0)))),"Structure")),HYPERLINK("#"&amp;RIGHT(CELL("adresse",OFFSET(DMAV_Modell!$N$6,C1190-1,0)),LEN(CELL("adresse",OFFSET(DMAV_Modell!$N$6,C1190-1,0)))-FIND("]",CELL("adresse",OFFSET(DMAV_Modell!$N$6,C1190-1,0)))),"Structure"))</f>
        <v>Structure</v>
      </c>
      <c r="P1190" s="64" t="str" cm="1">
        <f t="array" aca="1" ref="P1190" ca="1">IF(D1190=0,IF(G1190=0,"",HYPERLINK("#"&amp;RIGHT(CELL("adresse",OFFSET(DMAV_Dienste!$M$6,G1190-1,0)),LEN(CELL("adresse",OFFSET(DMAV_Dienste!$M$6,G1190-1,0)))-FIND("]",CELL("adresse",OFFSET(DMAV_Dienste!$M$6,G1190-1,0)))),"Substructure")),HYPERLINK("#"&amp;RIGHT(CELL("adresse",OFFSET(DMAV_Modell!$N$6,D1190-1,0)),LEN(CELL("adresse",OFFSET(DMAV_Modell!$N$6,D1190-1,0)))-FIND("]",CELL("adresse",OFFSET(DMAV_Modell!$N$6,D1190-1,0)))),"Substructure"))</f>
        <v/>
      </c>
      <c r="R1190" s="80"/>
      <c r="T1190" s="93"/>
      <c r="U1190" s="94" t="s">
        <v>2980</v>
      </c>
      <c r="V1190" s="95" t="s">
        <v>3304</v>
      </c>
      <c r="W1190" s="96"/>
      <c r="Y1190" s="85"/>
      <c r="Z1190" s="86" t="s">
        <v>2980</v>
      </c>
      <c r="AA1190" s="87" t="s">
        <v>3305</v>
      </c>
      <c r="AB1190" s="88"/>
      <c r="AD1190" s="77"/>
      <c r="AF1190" s="54" t="str" cm="1">
        <f t="array" aca="1" ref="AF1190" ca="1">IF(H1190=0,"",HYPERLINK("#"&amp;RIGHT(CELL("adresse",OFFSET('DM01-AV-CH'!$G$6,H1190-1,0)),LEN(CELL("adresse",OFFSET('DM01-AV-CH'!$G$6,H1190-1,0)))-FIND("]",CELL("adresse",OFFSET('DM01-AV-CH'!$G$6,H1190-1,0)))),"Modell"))</f>
        <v>Modell</v>
      </c>
      <c r="AG1190" s="72" t="str" cm="1">
        <f t="array" ref="AG1190">IF($H1190=0,"",IF(INDEX('DM01-AV-CH'!G$6:G$834,$H1190)="","",INDEX('DM01-AV-CH'!G$6:G$834,$H1190)))</f>
        <v>Gebaeudeadressen</v>
      </c>
      <c r="AH1190" s="73" t="str" cm="1">
        <f t="array" ref="AH1190">IF($H1190=0,"",IF(INDEX('DM01-AV-CH'!H$6:H$834,$H1190)="","",INDEX('DM01-AV-CH'!H$6:H$834,$H1190)))</f>
        <v>HausnummerPos</v>
      </c>
      <c r="AI1190" s="74" t="str" cm="1">
        <f t="array" ref="AI1190">IF($H1190=0,"",IF(INDEX('DM01-AV-CH'!I$6:I$834,$H1190)="","",INDEX('DM01-AV-CH'!I$6:I$834,$H1190)))</f>
        <v>Pos</v>
      </c>
    </row>
    <row r="1191" spans="1:35" ht="28.5" x14ac:dyDescent="0.25">
      <c r="A1191" s="57">
        <v>1186</v>
      </c>
      <c r="B1191" s="57">
        <f>IF($A1191="","",IF(_xlfn.XLOOKUP($A1191,Korrelation!$D$4:$D$1197,Korrelation!E$4:E$1197,"-",0)="-",0,MATCH(_xlfn.XLOOKUP($A1191,Korrelation!$D$4:$D$1197,Korrelation!E$4:E$1197,"",0),DMAV_Modell!$G$6:$G$677,0)))</f>
        <v>667</v>
      </c>
      <c r="C1191" s="57">
        <f>IF($A1191="","",IF(_xlfn.XLOOKUP($A1191,Korrelation!$D$4:$D$1197,Korrelation!F$4:F$1197,"-",0)="-",0,MATCH(_xlfn.XLOOKUP($A1191,Korrelation!$D$4:$D$1197,Korrelation!F$4:F$1197,"",0),DMAV_Modell!$G$6:$G$677,0)))</f>
        <v>27</v>
      </c>
      <c r="D1191" s="57">
        <f>IF($A1191="","",IF(_xlfn.XLOOKUP($A1191,Korrelation!$D$4:$D$1197,Korrelation!G$4:G$1197,"-",0)="-",0,MATCH(_xlfn.XLOOKUP($A1191,Korrelation!$D$4:$D$1197,Korrelation!G$4:G$1197,"",0),DMAV_Modell!$G$6:$G$677,0)))</f>
        <v>0</v>
      </c>
      <c r="E1191" s="57">
        <f>IF($A1191="","",IF(_xlfn.XLOOKUP($A1191,Korrelation!$D$4:$D$1197,Korrelation!H$4:H$1197,"-",0)="-",0,MATCH(_xlfn.XLOOKUP($A1191,Korrelation!$D$4:$D$1197,Korrelation!H$4:H$1197,"",0),DMAV_Dienste!$F$6:$F$140,0)))</f>
        <v>0</v>
      </c>
      <c r="F1191" s="57">
        <f>IF($A1191="","",IF(_xlfn.XLOOKUP($A1191,Korrelation!$D$4:$D$1197,Korrelation!I$4:I$1197,"-",0)="-",0,MATCH(_xlfn.XLOOKUP($A1191,Korrelation!$D$4:$D$1197,Korrelation!I$4:I$1197,"",0),DMAV_Dienste!$F$6:$F$140,0)))</f>
        <v>0</v>
      </c>
      <c r="G1191" s="57">
        <f>IF($A1191="","",IF(_xlfn.XLOOKUP($A1191,Korrelation!$D$4:$D$1197,Korrelation!J$4:J$1197,"-",0)="-",0,MATCH(_xlfn.XLOOKUP($A1191,Korrelation!$D$4:$D$1197,Korrelation!J$4:J$1197,"",0),DMAV_Dienste!$F$6:$F$140,0)))</f>
        <v>0</v>
      </c>
      <c r="H1191" s="57">
        <f>IF($A1191="","",IF(_xlfn.XLOOKUP($A1191,Korrelation!$D$4:$D$1197,Korrelation!K$4:K$1197,"-",0)="-",0,MATCH(_xlfn.XLOOKUP($A1191,Korrelation!$D$4:$D$1197,Korrelation!K$4:K$1197,"",0),'DM01-AV-CH'!$A$6:$A$834,0)))</f>
        <v>747</v>
      </c>
      <c r="J1191" s="54" t="str" cm="1">
        <f t="array" aca="1" ref="J1191" ca="1">IF(B1191=0,IF(E1191=0,"",HYPERLINK("#"&amp;RIGHT(CELL("adresse",OFFSET(DMAV_Dienste!$M$6,E1191-1,0)),LEN(CELL("adresse",OFFSET(DMAV_Dienste!$M$6,E1191-1,0)))-FIND("]",CELL("adresse",OFFSET(DMAV_Dienste!$M$6,E1191-1,0)))),"Dienst")),HYPERLINK("#"&amp;RIGHT(CELL("adresse",OFFSET(DMAV_Modell!$N$6,B1191-1,0)),LEN(CELL("adresse",OFFSET(DMAV_Modell!$N$6,B1191-1,0)))-FIND("]",CELL("adresse",OFFSET(DMAV_Modell!$N$6,B1191-1,0)))),"Modell"))</f>
        <v>Modell</v>
      </c>
      <c r="K1191" s="61" t="str" cm="1">
        <f t="array" ref="K1191">IF($B1191=0,IF($E1191=0,"",IF(INDEX(DMAV_Dienste!P$6:P$140,$E1191)="","",INDEX(DMAV_Dienste!P$6:P$140,$E1191))),IF(INDEX(DMAV_Modell!Q$6:Q$838,$B1191)="","",INDEX(DMAV_Modell!Q$6:Q$838,$B1191)))</f>
        <v>CLASS</v>
      </c>
      <c r="L1191" s="62" t="str" cm="1">
        <f t="array" ref="L1191">IF($B1191=0,IF($E1191=0,"",IF(INDEX(DMAV_Dienste!O$6:O$140,$E1191)="","",INDEX(DMAV_Dienste!O$6:O$140,$E1191))),IF(INDEX(DMAV_Modell!P$6:P$838,$B1191)="","",INDEX(DMAV_Modell!P$6:P$838,$B1191)))</f>
        <v>Gebaeudeadressen</v>
      </c>
      <c r="M1191" s="62" t="str" cm="1">
        <f t="array" ref="M1191">IF($B1191=0,IF($E1191=0,"",IF(INDEX(DMAV_Dienste!Q$6:Q$140,$E1191)="","",INDEX(DMAV_Dienste!Q$6:Q$140,$E1191))),IF(INDEX(DMAV_Modell!R$6:R$838,$B1191)="","",INDEX(DMAV_Modell!R$6:R$838,$B1191)))</f>
        <v>Gebaeudeeingang</v>
      </c>
      <c r="N1191" s="62" t="str" cm="1">
        <f t="array" ref="N1191">IF($B1191=0,IF($E1191=0,"",IF(INDEX(DMAV_Dienste!T$6:T$140,$E1191)="","",INDEX(DMAV_Dienste!T$6:T$140,$E1191))),IF(INDEX(DMAV_Modell!U$6:U$838,$B1191)="","",INDEX(DMAV_Modell!U$6:U$838,$B1191)))</f>
        <v>Textposition</v>
      </c>
      <c r="O1191" s="63" t="str" cm="1">
        <f t="array" aca="1" ref="O1191" ca="1">IF(C1191=0,IF(F1191=0,"",HYPERLINK("#"&amp;RIGHT(CELL("adresse",OFFSET(DMAV_Dienste!$M$6,F1191-1,0)),LEN(CELL("adresse",OFFSET(DMAV_Dienste!$M$6,F1191-1,0)))-FIND("]",CELL("adresse",OFFSET(DMAV_Dienste!$M$6,F1191-1,0)))),"Structure")),HYPERLINK("#"&amp;RIGHT(CELL("adresse",OFFSET(DMAV_Modell!$N$6,C1191-1,0)),LEN(CELL("adresse",OFFSET(DMAV_Modell!$N$6,C1191-1,0)))-FIND("]",CELL("adresse",OFFSET(DMAV_Modell!$N$6,C1191-1,0)))),"Structure"))</f>
        <v>Structure</v>
      </c>
      <c r="P1191" s="64" t="str" cm="1">
        <f t="array" aca="1" ref="P1191" ca="1">IF(D1191=0,IF(G1191=0,"",HYPERLINK("#"&amp;RIGHT(CELL("adresse",OFFSET(DMAV_Dienste!$M$6,G1191-1,0)),LEN(CELL("adresse",OFFSET(DMAV_Dienste!$M$6,G1191-1,0)))-FIND("]",CELL("adresse",OFFSET(DMAV_Dienste!$M$6,G1191-1,0)))),"Substructure")),HYPERLINK("#"&amp;RIGHT(CELL("adresse",OFFSET(DMAV_Modell!$N$6,D1191-1,0)),LEN(CELL("adresse",OFFSET(DMAV_Modell!$N$6,D1191-1,0)))-FIND("]",CELL("adresse",OFFSET(DMAV_Modell!$N$6,D1191-1,0)))),"Substructure"))</f>
        <v/>
      </c>
      <c r="R1191" s="80"/>
      <c r="T1191" s="93"/>
      <c r="U1191" s="94" t="s">
        <v>2980</v>
      </c>
      <c r="V1191" s="95" t="s">
        <v>3306</v>
      </c>
      <c r="W1191" s="96"/>
      <c r="Y1191" s="85"/>
      <c r="Z1191" s="86" t="s">
        <v>2980</v>
      </c>
      <c r="AA1191" s="87" t="s">
        <v>3307</v>
      </c>
      <c r="AB1191" s="88"/>
      <c r="AD1191" s="77"/>
      <c r="AF1191" s="54" t="str" cm="1">
        <f t="array" aca="1" ref="AF1191" ca="1">IF(H1191=0,"",HYPERLINK("#"&amp;RIGHT(CELL("adresse",OFFSET('DM01-AV-CH'!$G$6,H1191-1,0)),LEN(CELL("adresse",OFFSET('DM01-AV-CH'!$G$6,H1191-1,0)))-FIND("]",CELL("adresse",OFFSET('DM01-AV-CH'!$G$6,H1191-1,0)))),"Modell"))</f>
        <v>Modell</v>
      </c>
      <c r="AG1191" s="72" t="str" cm="1">
        <f t="array" ref="AG1191">IF($H1191=0,"",IF(INDEX('DM01-AV-CH'!G$6:G$834,$H1191)="","",INDEX('DM01-AV-CH'!G$6:G$834,$H1191)))</f>
        <v>Gebaeudeadressen</v>
      </c>
      <c r="AH1191" s="73" t="str" cm="1">
        <f t="array" ref="AH1191">IF($H1191=0,"",IF(INDEX('DM01-AV-CH'!H$6:H$834,$H1191)="","",INDEX('DM01-AV-CH'!H$6:H$834,$H1191)))</f>
        <v>HausnummerPos</v>
      </c>
      <c r="AI1191" s="74" t="str" cm="1">
        <f t="array" ref="AI1191">IF($H1191=0,"",IF(INDEX('DM01-AV-CH'!I$6:I$834,$H1191)="","",INDEX('DM01-AV-CH'!I$6:I$834,$H1191)))</f>
        <v>Ori</v>
      </c>
    </row>
    <row r="1192" spans="1:35" ht="28.5" x14ac:dyDescent="0.25">
      <c r="A1192" s="57">
        <v>1187</v>
      </c>
      <c r="B1192" s="57">
        <f>IF($A1192="","",IF(_xlfn.XLOOKUP($A1192,Korrelation!$D$4:$D$1197,Korrelation!E$4:E$1197,"-",0)="-",0,MATCH(_xlfn.XLOOKUP($A1192,Korrelation!$D$4:$D$1197,Korrelation!E$4:E$1197,"",0),DMAV_Modell!$G$6:$G$677,0)))</f>
        <v>667</v>
      </c>
      <c r="C1192" s="57">
        <f>IF($A1192="","",IF(_xlfn.XLOOKUP($A1192,Korrelation!$D$4:$D$1197,Korrelation!F$4:F$1197,"-",0)="-",0,MATCH(_xlfn.XLOOKUP($A1192,Korrelation!$D$4:$D$1197,Korrelation!F$4:F$1197,"",0),DMAV_Modell!$G$6:$G$677,0)))</f>
        <v>30</v>
      </c>
      <c r="D1192" s="57">
        <f>IF($A1192="","",IF(_xlfn.XLOOKUP($A1192,Korrelation!$D$4:$D$1197,Korrelation!G$4:G$1197,"-",0)="-",0,MATCH(_xlfn.XLOOKUP($A1192,Korrelation!$D$4:$D$1197,Korrelation!G$4:G$1197,"",0),DMAV_Modell!$G$6:$G$677,0)))</f>
        <v>0</v>
      </c>
      <c r="E1192" s="57">
        <f>IF($A1192="","",IF(_xlfn.XLOOKUP($A1192,Korrelation!$D$4:$D$1197,Korrelation!H$4:H$1197,"-",0)="-",0,MATCH(_xlfn.XLOOKUP($A1192,Korrelation!$D$4:$D$1197,Korrelation!H$4:H$1197,"",0),DMAV_Dienste!$F$6:$F$140,0)))</f>
        <v>0</v>
      </c>
      <c r="F1192" s="57">
        <f>IF($A1192="","",IF(_xlfn.XLOOKUP($A1192,Korrelation!$D$4:$D$1197,Korrelation!I$4:I$1197,"-",0)="-",0,MATCH(_xlfn.XLOOKUP($A1192,Korrelation!$D$4:$D$1197,Korrelation!I$4:I$1197,"",0),DMAV_Dienste!$F$6:$F$140,0)))</f>
        <v>0</v>
      </c>
      <c r="G1192" s="57">
        <f>IF($A1192="","",IF(_xlfn.XLOOKUP($A1192,Korrelation!$D$4:$D$1197,Korrelation!J$4:J$1197,"-",0)="-",0,MATCH(_xlfn.XLOOKUP($A1192,Korrelation!$D$4:$D$1197,Korrelation!J$4:J$1197,"",0),DMAV_Dienste!$F$6:$F$140,0)))</f>
        <v>0</v>
      </c>
      <c r="H1192" s="57">
        <f>IF($A1192="","",IF(_xlfn.XLOOKUP($A1192,Korrelation!$D$4:$D$1197,Korrelation!K$4:K$1197,"-",0)="-",0,MATCH(_xlfn.XLOOKUP($A1192,Korrelation!$D$4:$D$1197,Korrelation!K$4:K$1197,"",0),'DM01-AV-CH'!$A$6:$A$834,0)))</f>
        <v>748</v>
      </c>
      <c r="J1192" s="54" t="str" cm="1">
        <f t="array" aca="1" ref="J1192" ca="1">IF(B1192=0,IF(E1192=0,"",HYPERLINK("#"&amp;RIGHT(CELL("adresse",OFFSET(DMAV_Dienste!$M$6,E1192-1,0)),LEN(CELL("adresse",OFFSET(DMAV_Dienste!$M$6,E1192-1,0)))-FIND("]",CELL("adresse",OFFSET(DMAV_Dienste!$M$6,E1192-1,0)))),"Dienst")),HYPERLINK("#"&amp;RIGHT(CELL("adresse",OFFSET(DMAV_Modell!$N$6,B1192-1,0)),LEN(CELL("adresse",OFFSET(DMAV_Modell!$N$6,B1192-1,0)))-FIND("]",CELL("adresse",OFFSET(DMAV_Modell!$N$6,B1192-1,0)))),"Modell"))</f>
        <v>Modell</v>
      </c>
      <c r="K1192" s="61" t="str" cm="1">
        <f t="array" ref="K1192">IF($B1192=0,IF($E1192=0,"",IF(INDEX(DMAV_Dienste!P$6:P$140,$E1192)="","",INDEX(DMAV_Dienste!P$6:P$140,$E1192))),IF(INDEX(DMAV_Modell!Q$6:Q$838,$B1192)="","",INDEX(DMAV_Modell!Q$6:Q$838,$B1192)))</f>
        <v>CLASS</v>
      </c>
      <c r="L1192" s="62" t="str" cm="1">
        <f t="array" ref="L1192">IF($B1192=0,IF($E1192=0,"",IF(INDEX(DMAV_Dienste!O$6:O$140,$E1192)="","",INDEX(DMAV_Dienste!O$6:O$140,$E1192))),IF(INDEX(DMAV_Modell!P$6:P$838,$B1192)="","",INDEX(DMAV_Modell!P$6:P$838,$B1192)))</f>
        <v>Gebaeudeadressen</v>
      </c>
      <c r="M1192" s="62" t="str" cm="1">
        <f t="array" ref="M1192">IF($B1192=0,IF($E1192=0,"",IF(INDEX(DMAV_Dienste!Q$6:Q$140,$E1192)="","",INDEX(DMAV_Dienste!Q$6:Q$140,$E1192))),IF(INDEX(DMAV_Modell!R$6:R$838,$B1192)="","",INDEX(DMAV_Modell!R$6:R$838,$B1192)))</f>
        <v>Gebaeudeeingang</v>
      </c>
      <c r="N1192" s="62" t="str" cm="1">
        <f t="array" ref="N1192">IF($B1192=0,IF($E1192=0,"",IF(INDEX(DMAV_Dienste!T$6:T$140,$E1192)="","",INDEX(DMAV_Dienste!T$6:T$140,$E1192))),IF(INDEX(DMAV_Modell!U$6:U$838,$B1192)="","",INDEX(DMAV_Modell!U$6:U$838,$B1192)))</f>
        <v>Textposition</v>
      </c>
      <c r="O1192" s="63" t="str" cm="1">
        <f t="array" aca="1" ref="O1192" ca="1">IF(C1192=0,IF(F1192=0,"",HYPERLINK("#"&amp;RIGHT(CELL("adresse",OFFSET(DMAV_Dienste!$M$6,F1192-1,0)),LEN(CELL("adresse",OFFSET(DMAV_Dienste!$M$6,F1192-1,0)))-FIND("]",CELL("adresse",OFFSET(DMAV_Dienste!$M$6,F1192-1,0)))),"Structure")),HYPERLINK("#"&amp;RIGHT(CELL("adresse",OFFSET(DMAV_Modell!$N$6,C1192-1,0)),LEN(CELL("adresse",OFFSET(DMAV_Modell!$N$6,C1192-1,0)))-FIND("]",CELL("adresse",OFFSET(DMAV_Modell!$N$6,C1192-1,0)))),"Structure"))</f>
        <v>Structure</v>
      </c>
      <c r="P1192" s="64" t="str" cm="1">
        <f t="array" aca="1" ref="P1192" ca="1">IF(D1192=0,IF(G1192=0,"",HYPERLINK("#"&amp;RIGHT(CELL("adresse",OFFSET(DMAV_Dienste!$M$6,G1192-1,0)),LEN(CELL("adresse",OFFSET(DMAV_Dienste!$M$6,G1192-1,0)))-FIND("]",CELL("adresse",OFFSET(DMAV_Dienste!$M$6,G1192-1,0)))),"Substructure")),HYPERLINK("#"&amp;RIGHT(CELL("adresse",OFFSET(DMAV_Modell!$N$6,D1192-1,0)),LEN(CELL("adresse",OFFSET(DMAV_Modell!$N$6,D1192-1,0)))-FIND("]",CELL("adresse",OFFSET(DMAV_Modell!$N$6,D1192-1,0)))),"Substructure"))</f>
        <v/>
      </c>
      <c r="R1192" s="80"/>
      <c r="T1192" s="93"/>
      <c r="U1192" s="94" t="s">
        <v>2980</v>
      </c>
      <c r="V1192" s="95" t="s">
        <v>3308</v>
      </c>
      <c r="W1192" s="96"/>
      <c r="Y1192" s="85"/>
      <c r="Z1192" s="86" t="s">
        <v>2980</v>
      </c>
      <c r="AA1192" s="87" t="s">
        <v>3309</v>
      </c>
      <c r="AB1192" s="88"/>
      <c r="AD1192" s="77"/>
      <c r="AF1192" s="54" t="str" cm="1">
        <f t="array" aca="1" ref="AF1192" ca="1">IF(H1192=0,"",HYPERLINK("#"&amp;RIGHT(CELL("adresse",OFFSET('DM01-AV-CH'!$G$6,H1192-1,0)),LEN(CELL("adresse",OFFSET('DM01-AV-CH'!$G$6,H1192-1,0)))-FIND("]",CELL("adresse",OFFSET('DM01-AV-CH'!$G$6,H1192-1,0)))),"Modell"))</f>
        <v>Modell</v>
      </c>
      <c r="AG1192" s="72" t="str" cm="1">
        <f t="array" ref="AG1192">IF($H1192=0,"",IF(INDEX('DM01-AV-CH'!G$6:G$834,$H1192)="","",INDEX('DM01-AV-CH'!G$6:G$834,$H1192)))</f>
        <v>Gebaeudeadressen</v>
      </c>
      <c r="AH1192" s="73" t="str" cm="1">
        <f t="array" ref="AH1192">IF($H1192=0,"",IF(INDEX('DM01-AV-CH'!H$6:H$834,$H1192)="","",INDEX('DM01-AV-CH'!H$6:H$834,$H1192)))</f>
        <v>HausnummerPos</v>
      </c>
      <c r="AI1192" s="74" t="str" cm="1">
        <f t="array" ref="AI1192">IF($H1192=0,"",IF(INDEX('DM01-AV-CH'!I$6:I$834,$H1192)="","",INDEX('DM01-AV-CH'!I$6:I$834,$H1192)))</f>
        <v>HAli</v>
      </c>
    </row>
    <row r="1193" spans="1:35" ht="28.5" x14ac:dyDescent="0.25">
      <c r="A1193" s="57">
        <v>1188</v>
      </c>
      <c r="B1193" s="57">
        <f>IF($A1193="","",IF(_xlfn.XLOOKUP($A1193,Korrelation!$D$4:$D$1197,Korrelation!E$4:E$1197,"-",0)="-",0,MATCH(_xlfn.XLOOKUP($A1193,Korrelation!$D$4:$D$1197,Korrelation!E$4:E$1197,"",0),DMAV_Modell!$G$6:$G$677,0)))</f>
        <v>667</v>
      </c>
      <c r="C1193" s="57">
        <f>IF($A1193="","",IF(_xlfn.XLOOKUP($A1193,Korrelation!$D$4:$D$1197,Korrelation!F$4:F$1197,"-",0)="-",0,MATCH(_xlfn.XLOOKUP($A1193,Korrelation!$D$4:$D$1197,Korrelation!F$4:F$1197,"",0),DMAV_Modell!$G$6:$G$677,0)))</f>
        <v>31</v>
      </c>
      <c r="D1193" s="57">
        <f>IF($A1193="","",IF(_xlfn.XLOOKUP($A1193,Korrelation!$D$4:$D$1197,Korrelation!G$4:G$1197,"-",0)="-",0,MATCH(_xlfn.XLOOKUP($A1193,Korrelation!$D$4:$D$1197,Korrelation!G$4:G$1197,"",0),DMAV_Modell!$G$6:$G$677,0)))</f>
        <v>0</v>
      </c>
      <c r="E1193" s="57">
        <f>IF($A1193="","",IF(_xlfn.XLOOKUP($A1193,Korrelation!$D$4:$D$1197,Korrelation!H$4:H$1197,"-",0)="-",0,MATCH(_xlfn.XLOOKUP($A1193,Korrelation!$D$4:$D$1197,Korrelation!H$4:H$1197,"",0),DMAV_Dienste!$F$6:$F$140,0)))</f>
        <v>0</v>
      </c>
      <c r="F1193" s="57">
        <f>IF($A1193="","",IF(_xlfn.XLOOKUP($A1193,Korrelation!$D$4:$D$1197,Korrelation!I$4:I$1197,"-",0)="-",0,MATCH(_xlfn.XLOOKUP($A1193,Korrelation!$D$4:$D$1197,Korrelation!I$4:I$1197,"",0),DMAV_Dienste!$F$6:$F$140,0)))</f>
        <v>0</v>
      </c>
      <c r="G1193" s="57">
        <f>IF($A1193="","",IF(_xlfn.XLOOKUP($A1193,Korrelation!$D$4:$D$1197,Korrelation!J$4:J$1197,"-",0)="-",0,MATCH(_xlfn.XLOOKUP($A1193,Korrelation!$D$4:$D$1197,Korrelation!J$4:J$1197,"",0),DMAV_Dienste!$F$6:$F$140,0)))</f>
        <v>0</v>
      </c>
      <c r="H1193" s="57">
        <f>IF($A1193="","",IF(_xlfn.XLOOKUP($A1193,Korrelation!$D$4:$D$1197,Korrelation!K$4:K$1197,"-",0)="-",0,MATCH(_xlfn.XLOOKUP($A1193,Korrelation!$D$4:$D$1197,Korrelation!K$4:K$1197,"",0),'DM01-AV-CH'!$A$6:$A$834,0)))</f>
        <v>749</v>
      </c>
      <c r="J1193" s="54" t="str" cm="1">
        <f t="array" aca="1" ref="J1193" ca="1">IF(B1193=0,IF(E1193=0,"",HYPERLINK("#"&amp;RIGHT(CELL("adresse",OFFSET(DMAV_Dienste!$M$6,E1193-1,0)),LEN(CELL("adresse",OFFSET(DMAV_Dienste!$M$6,E1193-1,0)))-FIND("]",CELL("adresse",OFFSET(DMAV_Dienste!$M$6,E1193-1,0)))),"Dienst")),HYPERLINK("#"&amp;RIGHT(CELL("adresse",OFFSET(DMAV_Modell!$N$6,B1193-1,0)),LEN(CELL("adresse",OFFSET(DMAV_Modell!$N$6,B1193-1,0)))-FIND("]",CELL("adresse",OFFSET(DMAV_Modell!$N$6,B1193-1,0)))),"Modell"))</f>
        <v>Modell</v>
      </c>
      <c r="K1193" s="61" t="str" cm="1">
        <f t="array" ref="K1193">IF($B1193=0,IF($E1193=0,"",IF(INDEX(DMAV_Dienste!P$6:P$140,$E1193)="","",INDEX(DMAV_Dienste!P$6:P$140,$E1193))),IF(INDEX(DMAV_Modell!Q$6:Q$838,$B1193)="","",INDEX(DMAV_Modell!Q$6:Q$838,$B1193)))</f>
        <v>CLASS</v>
      </c>
      <c r="L1193" s="62" t="str" cm="1">
        <f t="array" ref="L1193">IF($B1193=0,IF($E1193=0,"",IF(INDEX(DMAV_Dienste!O$6:O$140,$E1193)="","",INDEX(DMAV_Dienste!O$6:O$140,$E1193))),IF(INDEX(DMAV_Modell!P$6:P$838,$B1193)="","",INDEX(DMAV_Modell!P$6:P$838,$B1193)))</f>
        <v>Gebaeudeadressen</v>
      </c>
      <c r="M1193" s="62" t="str" cm="1">
        <f t="array" ref="M1193">IF($B1193=0,IF($E1193=0,"",IF(INDEX(DMAV_Dienste!Q$6:Q$140,$E1193)="","",INDEX(DMAV_Dienste!Q$6:Q$140,$E1193))),IF(INDEX(DMAV_Modell!R$6:R$838,$B1193)="","",INDEX(DMAV_Modell!R$6:R$838,$B1193)))</f>
        <v>Gebaeudeeingang</v>
      </c>
      <c r="N1193" s="62" t="str" cm="1">
        <f t="array" ref="N1193">IF($B1193=0,IF($E1193=0,"",IF(INDEX(DMAV_Dienste!T$6:T$140,$E1193)="","",INDEX(DMAV_Dienste!T$6:T$140,$E1193))),IF(INDEX(DMAV_Modell!U$6:U$838,$B1193)="","",INDEX(DMAV_Modell!U$6:U$838,$B1193)))</f>
        <v>Textposition</v>
      </c>
      <c r="O1193" s="63" t="str" cm="1">
        <f t="array" aca="1" ref="O1193" ca="1">IF(C1193=0,IF(F1193=0,"",HYPERLINK("#"&amp;RIGHT(CELL("adresse",OFFSET(DMAV_Dienste!$M$6,F1193-1,0)),LEN(CELL("adresse",OFFSET(DMAV_Dienste!$M$6,F1193-1,0)))-FIND("]",CELL("adresse",OFFSET(DMAV_Dienste!$M$6,F1193-1,0)))),"Structure")),HYPERLINK("#"&amp;RIGHT(CELL("adresse",OFFSET(DMAV_Modell!$N$6,C1193-1,0)),LEN(CELL("adresse",OFFSET(DMAV_Modell!$N$6,C1193-1,0)))-FIND("]",CELL("adresse",OFFSET(DMAV_Modell!$N$6,C1193-1,0)))),"Structure"))</f>
        <v>Structure</v>
      </c>
      <c r="P1193" s="64" t="str" cm="1">
        <f t="array" aca="1" ref="P1193" ca="1">IF(D1193=0,IF(G1193=0,"",HYPERLINK("#"&amp;RIGHT(CELL("adresse",OFFSET(DMAV_Dienste!$M$6,G1193-1,0)),LEN(CELL("adresse",OFFSET(DMAV_Dienste!$M$6,G1193-1,0)))-FIND("]",CELL("adresse",OFFSET(DMAV_Dienste!$M$6,G1193-1,0)))),"Substructure")),HYPERLINK("#"&amp;RIGHT(CELL("adresse",OFFSET(DMAV_Modell!$N$6,D1193-1,0)),LEN(CELL("adresse",OFFSET(DMAV_Modell!$N$6,D1193-1,0)))-FIND("]",CELL("adresse",OFFSET(DMAV_Modell!$N$6,D1193-1,0)))),"Substructure"))</f>
        <v/>
      </c>
      <c r="R1193" s="80"/>
      <c r="T1193" s="93"/>
      <c r="U1193" s="94" t="s">
        <v>2980</v>
      </c>
      <c r="V1193" s="95" t="s">
        <v>3310</v>
      </c>
      <c r="W1193" s="96"/>
      <c r="Y1193" s="85"/>
      <c r="Z1193" s="86" t="s">
        <v>2980</v>
      </c>
      <c r="AA1193" s="87" t="s">
        <v>3311</v>
      </c>
      <c r="AB1193" s="88"/>
      <c r="AD1193" s="77"/>
      <c r="AF1193" s="54" t="str" cm="1">
        <f t="array" aca="1" ref="AF1193" ca="1">IF(H1193=0,"",HYPERLINK("#"&amp;RIGHT(CELL("adresse",OFFSET('DM01-AV-CH'!$G$6,H1193-1,0)),LEN(CELL("adresse",OFFSET('DM01-AV-CH'!$G$6,H1193-1,0)))-FIND("]",CELL("adresse",OFFSET('DM01-AV-CH'!$G$6,H1193-1,0)))),"Modell"))</f>
        <v>Modell</v>
      </c>
      <c r="AG1193" s="72" t="str" cm="1">
        <f t="array" ref="AG1193">IF($H1193=0,"",IF(INDEX('DM01-AV-CH'!G$6:G$834,$H1193)="","",INDEX('DM01-AV-CH'!G$6:G$834,$H1193)))</f>
        <v>Gebaeudeadressen</v>
      </c>
      <c r="AH1193" s="73" t="str" cm="1">
        <f t="array" ref="AH1193">IF($H1193=0,"",IF(INDEX('DM01-AV-CH'!H$6:H$834,$H1193)="","",INDEX('DM01-AV-CH'!H$6:H$834,$H1193)))</f>
        <v>HausnummerPos</v>
      </c>
      <c r="AI1193" s="74" t="str" cm="1">
        <f t="array" ref="AI1193">IF($H1193=0,"",IF(INDEX('DM01-AV-CH'!I$6:I$834,$H1193)="","",INDEX('DM01-AV-CH'!I$6:I$834,$H1193)))</f>
        <v>VAli</v>
      </c>
    </row>
    <row r="1194" spans="1:35" ht="28.5" x14ac:dyDescent="0.25">
      <c r="A1194" s="57">
        <v>1189</v>
      </c>
      <c r="B1194" s="57">
        <f>IF($A1194="","",IF(_xlfn.XLOOKUP($A1194,Korrelation!$D$4:$D$1197,Korrelation!E$4:E$1197,"-",0)="-",0,MATCH(_xlfn.XLOOKUP($A1194,Korrelation!$D$4:$D$1197,Korrelation!E$4:E$1197,"",0),DMAV_Modell!$G$6:$G$677,0)))</f>
        <v>667</v>
      </c>
      <c r="C1194" s="57">
        <f>IF($A1194="","",IF(_xlfn.XLOOKUP($A1194,Korrelation!$D$4:$D$1197,Korrelation!F$4:F$1197,"-",0)="-",0,MATCH(_xlfn.XLOOKUP($A1194,Korrelation!$D$4:$D$1197,Korrelation!F$4:F$1197,"",0),DMAV_Modell!$G$6:$G$677,0)))</f>
        <v>29</v>
      </c>
      <c r="D1194" s="57">
        <f>IF($A1194="","",IF(_xlfn.XLOOKUP($A1194,Korrelation!$D$4:$D$1197,Korrelation!G$4:G$1197,"-",0)="-",0,MATCH(_xlfn.XLOOKUP($A1194,Korrelation!$D$4:$D$1197,Korrelation!G$4:G$1197,"",0),DMAV_Modell!$G$6:$G$677,0)))</f>
        <v>0</v>
      </c>
      <c r="E1194" s="57">
        <f>IF($A1194="","",IF(_xlfn.XLOOKUP($A1194,Korrelation!$D$4:$D$1197,Korrelation!H$4:H$1197,"-",0)="-",0,MATCH(_xlfn.XLOOKUP($A1194,Korrelation!$D$4:$D$1197,Korrelation!H$4:H$1197,"",0),DMAV_Dienste!$F$6:$F$140,0)))</f>
        <v>0</v>
      </c>
      <c r="F1194" s="57">
        <f>IF($A1194="","",IF(_xlfn.XLOOKUP($A1194,Korrelation!$D$4:$D$1197,Korrelation!I$4:I$1197,"-",0)="-",0,MATCH(_xlfn.XLOOKUP($A1194,Korrelation!$D$4:$D$1197,Korrelation!I$4:I$1197,"",0),DMAV_Dienste!$F$6:$F$140,0)))</f>
        <v>0</v>
      </c>
      <c r="G1194" s="57">
        <f>IF($A1194="","",IF(_xlfn.XLOOKUP($A1194,Korrelation!$D$4:$D$1197,Korrelation!J$4:J$1197,"-",0)="-",0,MATCH(_xlfn.XLOOKUP($A1194,Korrelation!$D$4:$D$1197,Korrelation!J$4:J$1197,"",0),DMAV_Dienste!$F$6:$F$140,0)))</f>
        <v>0</v>
      </c>
      <c r="H1194" s="57">
        <f>IF($A1194="","",IF(_xlfn.XLOOKUP($A1194,Korrelation!$D$4:$D$1197,Korrelation!K$4:K$1197,"-",0)="-",0,MATCH(_xlfn.XLOOKUP($A1194,Korrelation!$D$4:$D$1197,Korrelation!K$4:K$1197,"",0),'DM01-AV-CH'!$A$6:$A$834,0)))</f>
        <v>750</v>
      </c>
      <c r="J1194" s="54" t="str" cm="1">
        <f t="array" aca="1" ref="J1194" ca="1">IF(B1194=0,IF(E1194=0,"",HYPERLINK("#"&amp;RIGHT(CELL("adresse",OFFSET(DMAV_Dienste!$M$6,E1194-1,0)),LEN(CELL("adresse",OFFSET(DMAV_Dienste!$M$6,E1194-1,0)))-FIND("]",CELL("adresse",OFFSET(DMAV_Dienste!$M$6,E1194-1,0)))),"Dienst")),HYPERLINK("#"&amp;RIGHT(CELL("adresse",OFFSET(DMAV_Modell!$N$6,B1194-1,0)),LEN(CELL("adresse",OFFSET(DMAV_Modell!$N$6,B1194-1,0)))-FIND("]",CELL("adresse",OFFSET(DMAV_Modell!$N$6,B1194-1,0)))),"Modell"))</f>
        <v>Modell</v>
      </c>
      <c r="K1194" s="61" t="str" cm="1">
        <f t="array" ref="K1194">IF($B1194=0,IF($E1194=0,"",IF(INDEX(DMAV_Dienste!P$6:P$140,$E1194)="","",INDEX(DMAV_Dienste!P$6:P$140,$E1194))),IF(INDEX(DMAV_Modell!Q$6:Q$838,$B1194)="","",INDEX(DMAV_Modell!Q$6:Q$838,$B1194)))</f>
        <v>CLASS</v>
      </c>
      <c r="L1194" s="62" t="str" cm="1">
        <f t="array" ref="L1194">IF($B1194=0,IF($E1194=0,"",IF(INDEX(DMAV_Dienste!O$6:O$140,$E1194)="","",INDEX(DMAV_Dienste!O$6:O$140,$E1194))),IF(INDEX(DMAV_Modell!P$6:P$838,$B1194)="","",INDEX(DMAV_Modell!P$6:P$838,$B1194)))</f>
        <v>Gebaeudeadressen</v>
      </c>
      <c r="M1194" s="62" t="str" cm="1">
        <f t="array" ref="M1194">IF($B1194=0,IF($E1194=0,"",IF(INDEX(DMAV_Dienste!Q$6:Q$140,$E1194)="","",INDEX(DMAV_Dienste!Q$6:Q$140,$E1194))),IF(INDEX(DMAV_Modell!R$6:R$838,$B1194)="","",INDEX(DMAV_Modell!R$6:R$838,$B1194)))</f>
        <v>Gebaeudeeingang</v>
      </c>
      <c r="N1194" s="62" t="str" cm="1">
        <f t="array" ref="N1194">IF($B1194=0,IF($E1194=0,"",IF(INDEX(DMAV_Dienste!T$6:T$140,$E1194)="","",INDEX(DMAV_Dienste!T$6:T$140,$E1194))),IF(INDEX(DMAV_Modell!U$6:U$838,$B1194)="","",INDEX(DMAV_Modell!U$6:U$838,$B1194)))</f>
        <v>Textposition</v>
      </c>
      <c r="O1194" s="63" t="str" cm="1">
        <f t="array" aca="1" ref="O1194" ca="1">IF(C1194=0,IF(F1194=0,"",HYPERLINK("#"&amp;RIGHT(CELL("adresse",OFFSET(DMAV_Dienste!$M$6,F1194-1,0)),LEN(CELL("adresse",OFFSET(DMAV_Dienste!$M$6,F1194-1,0)))-FIND("]",CELL("adresse",OFFSET(DMAV_Dienste!$M$6,F1194-1,0)))),"Structure")),HYPERLINK("#"&amp;RIGHT(CELL("adresse",OFFSET(DMAV_Modell!$N$6,C1194-1,0)),LEN(CELL("adresse",OFFSET(DMAV_Modell!$N$6,C1194-1,0)))-FIND("]",CELL("adresse",OFFSET(DMAV_Modell!$N$6,C1194-1,0)))),"Structure"))</f>
        <v>Structure</v>
      </c>
      <c r="P1194" s="64" t="str" cm="1">
        <f t="array" aca="1" ref="P1194" ca="1">IF(D1194=0,IF(G1194=0,"",HYPERLINK("#"&amp;RIGHT(CELL("adresse",OFFSET(DMAV_Dienste!$M$6,G1194-1,0)),LEN(CELL("adresse",OFFSET(DMAV_Dienste!$M$6,G1194-1,0)))-FIND("]",CELL("adresse",OFFSET(DMAV_Dienste!$M$6,G1194-1,0)))),"Substructure")),HYPERLINK("#"&amp;RIGHT(CELL("adresse",OFFSET(DMAV_Modell!$N$6,D1194-1,0)),LEN(CELL("adresse",OFFSET(DMAV_Modell!$N$6,D1194-1,0)))-FIND("]",CELL("adresse",OFFSET(DMAV_Modell!$N$6,D1194-1,0)))),"Substructure"))</f>
        <v/>
      </c>
      <c r="R1194" s="80"/>
      <c r="T1194" s="93"/>
      <c r="U1194" s="94" t="s">
        <v>2980</v>
      </c>
      <c r="V1194" s="95" t="s">
        <v>3312</v>
      </c>
      <c r="W1194" s="96"/>
      <c r="Y1194" s="85"/>
      <c r="Z1194" s="86" t="s">
        <v>2980</v>
      </c>
      <c r="AA1194" s="87" t="s">
        <v>3313</v>
      </c>
      <c r="AB1194" s="88"/>
      <c r="AD1194" s="77"/>
      <c r="AF1194" s="54" t="str" cm="1">
        <f t="array" aca="1" ref="AF1194" ca="1">IF(H1194=0,"",HYPERLINK("#"&amp;RIGHT(CELL("adresse",OFFSET('DM01-AV-CH'!$G$6,H1194-1,0)),LEN(CELL("adresse",OFFSET('DM01-AV-CH'!$G$6,H1194-1,0)))-FIND("]",CELL("adresse",OFFSET('DM01-AV-CH'!$G$6,H1194-1,0)))),"Modell"))</f>
        <v>Modell</v>
      </c>
      <c r="AG1194" s="72" t="str" cm="1">
        <f t="array" ref="AG1194">IF($H1194=0,"",IF(INDEX('DM01-AV-CH'!G$6:G$834,$H1194)="","",INDEX('DM01-AV-CH'!G$6:G$834,$H1194)))</f>
        <v>Gebaeudeadressen</v>
      </c>
      <c r="AH1194" s="73" t="str" cm="1">
        <f t="array" ref="AH1194">IF($H1194=0,"",IF(INDEX('DM01-AV-CH'!H$6:H$834,$H1194)="","",INDEX('DM01-AV-CH'!H$6:H$834,$H1194)))</f>
        <v>HausnummerPos</v>
      </c>
      <c r="AI1194" s="74" t="str" cm="1">
        <f t="array" ref="AI1194">IF($H1194=0,"",IF(INDEX('DM01-AV-CH'!I$6:I$834,$H1194)="","",INDEX('DM01-AV-CH'!I$6:I$834,$H1194)))</f>
        <v>Groesse</v>
      </c>
    </row>
    <row r="1195" spans="1:35" x14ac:dyDescent="0.25">
      <c r="A1195" s="57">
        <v>1190</v>
      </c>
      <c r="B1195" s="57">
        <f>IF($A1195="","",IF(_xlfn.XLOOKUP($A1195,Korrelation!$D$4:$D$1197,Korrelation!E$4:E$1197,"-",0)="-",0,MATCH(_xlfn.XLOOKUP($A1195,Korrelation!$D$4:$D$1197,Korrelation!E$4:E$1197,"",0),DMAV_Modell!$G$6:$G$677,0)))</f>
        <v>668</v>
      </c>
      <c r="C1195" s="57">
        <f>IF($A1195="","",IF(_xlfn.XLOOKUP($A1195,Korrelation!$D$4:$D$1197,Korrelation!F$4:F$1197,"-",0)="-",0,MATCH(_xlfn.XLOOKUP($A1195,Korrelation!$D$4:$D$1197,Korrelation!F$4:F$1197,"",0),DMAV_Modell!$G$6:$G$677,0)))</f>
        <v>0</v>
      </c>
      <c r="D1195" s="57">
        <f>IF($A1195="","",IF(_xlfn.XLOOKUP($A1195,Korrelation!$D$4:$D$1197,Korrelation!G$4:G$1197,"-",0)="-",0,MATCH(_xlfn.XLOOKUP($A1195,Korrelation!$D$4:$D$1197,Korrelation!G$4:G$1197,"",0),DMAV_Modell!$G$6:$G$677,0)))</f>
        <v>0</v>
      </c>
      <c r="E1195" s="57">
        <f>IF($A1195="","",IF(_xlfn.XLOOKUP($A1195,Korrelation!$D$4:$D$1197,Korrelation!H$4:H$1197,"-",0)="-",0,MATCH(_xlfn.XLOOKUP($A1195,Korrelation!$D$4:$D$1197,Korrelation!H$4:H$1197,"",0),DMAV_Dienste!$F$6:$F$140,0)))</f>
        <v>0</v>
      </c>
      <c r="F1195" s="57">
        <f>IF($A1195="","",IF(_xlfn.XLOOKUP($A1195,Korrelation!$D$4:$D$1197,Korrelation!I$4:I$1197,"-",0)="-",0,MATCH(_xlfn.XLOOKUP($A1195,Korrelation!$D$4:$D$1197,Korrelation!I$4:I$1197,"",0),DMAV_Dienste!$F$6:$F$140,0)))</f>
        <v>0</v>
      </c>
      <c r="G1195" s="57">
        <f>IF($A1195="","",IF(_xlfn.XLOOKUP($A1195,Korrelation!$D$4:$D$1197,Korrelation!J$4:J$1197,"-",0)="-",0,MATCH(_xlfn.XLOOKUP($A1195,Korrelation!$D$4:$D$1197,Korrelation!J$4:J$1197,"",0),DMAV_Dienste!$F$6:$F$140,0)))</f>
        <v>0</v>
      </c>
      <c r="H1195" s="57">
        <f>IF($A1195="","",IF(_xlfn.XLOOKUP($A1195,Korrelation!$D$4:$D$1197,Korrelation!K$4:K$1197,"-",0)="-",0,MATCH(_xlfn.XLOOKUP($A1195,Korrelation!$D$4:$D$1197,Korrelation!K$4:K$1197,"",0),'DM01-AV-CH'!$A$6:$A$834,0)))</f>
        <v>0</v>
      </c>
      <c r="J1195" s="54" t="str" cm="1">
        <f t="array" aca="1" ref="J1195" ca="1">IF(B1195=0,IF(E1195=0,"",HYPERLINK("#"&amp;RIGHT(CELL("adresse",OFFSET(DMAV_Dienste!$M$6,E1195-1,0)),LEN(CELL("adresse",OFFSET(DMAV_Dienste!$M$6,E1195-1,0)))-FIND("]",CELL("adresse",OFFSET(DMAV_Dienste!$M$6,E1195-1,0)))),"Dienst")),HYPERLINK("#"&amp;RIGHT(CELL("adresse",OFFSET(DMAV_Modell!$N$6,B1195-1,0)),LEN(CELL("adresse",OFFSET(DMAV_Modell!$N$6,B1195-1,0)))-FIND("]",CELL("adresse",OFFSET(DMAV_Modell!$N$6,B1195-1,0)))),"Modell"))</f>
        <v>Modell</v>
      </c>
      <c r="K1195" s="61" t="str" cm="1">
        <f t="array" ref="K1195">IF($B1195=0,IF($E1195=0,"",IF(INDEX(DMAV_Dienste!P$6:P$140,$E1195)="","",INDEX(DMAV_Dienste!P$6:P$140,$E1195))),IF(INDEX(DMAV_Modell!Q$6:Q$838,$B1195)="","",INDEX(DMAV_Modell!Q$6:Q$838,$B1195)))</f>
        <v>ASSOCIATION</v>
      </c>
      <c r="L1195" s="62" t="str" cm="1">
        <f t="array" ref="L1195">IF($B1195=0,IF($E1195=0,"",IF(INDEX(DMAV_Dienste!O$6:O$140,$E1195)="","",INDEX(DMAV_Dienste!O$6:O$140,$E1195))),IF(INDEX(DMAV_Modell!P$6:P$838,$B1195)="","",INDEX(DMAV_Modell!P$6:P$838,$B1195)))</f>
        <v>Gebaeudeadressen</v>
      </c>
      <c r="M1195" s="62" t="str" cm="1">
        <f t="array" ref="M1195">IF($B1195=0,IF($E1195=0,"",IF(INDEX(DMAV_Dienste!Q$6:Q$140,$E1195)="","",INDEX(DMAV_Dienste!Q$6:Q$140,$E1195))),IF(INDEX(DMAV_Modell!R$6:R$838,$B1195)="","",INDEX(DMAV_Modell!R$6:R$838,$B1195)))</f>
        <v>Entstehung_Gebaeudeeingang</v>
      </c>
      <c r="N1195" s="62" t="str" cm="1">
        <f t="array" ref="N1195">IF($B1195=0,IF($E1195=0,"",IF(INDEX(DMAV_Dienste!T$6:T$140,$E1195)="","",INDEX(DMAV_Dienste!T$6:T$140,$E1195))),IF(INDEX(DMAV_Modell!U$6:U$838,$B1195)="","",INDEX(DMAV_Modell!U$6:U$838,$B1195)))</f>
        <v>Entstehung</v>
      </c>
      <c r="O1195" s="63" t="str" cm="1">
        <f t="array" aca="1" ref="O1195" ca="1">IF(C1195=0,IF(F1195=0,"",HYPERLINK("#"&amp;RIGHT(CELL("adresse",OFFSET(DMAV_Dienste!$M$6,F1195-1,0)),LEN(CELL("adresse",OFFSET(DMAV_Dienste!$M$6,F1195-1,0)))-FIND("]",CELL("adresse",OFFSET(DMAV_Dienste!$M$6,F1195-1,0)))),"Structure")),HYPERLINK("#"&amp;RIGHT(CELL("adresse",OFFSET(DMAV_Modell!$N$6,C1195-1,0)),LEN(CELL("adresse",OFFSET(DMAV_Modell!$N$6,C1195-1,0)))-FIND("]",CELL("adresse",OFFSET(DMAV_Modell!$N$6,C1195-1,0)))),"Structure"))</f>
        <v/>
      </c>
      <c r="P1195" s="64" t="str" cm="1">
        <f t="array" aca="1" ref="P1195" ca="1">IF(D1195=0,IF(G1195=0,"",HYPERLINK("#"&amp;RIGHT(CELL("adresse",OFFSET(DMAV_Dienste!$M$6,G1195-1,0)),LEN(CELL("adresse",OFFSET(DMAV_Dienste!$M$6,G1195-1,0)))-FIND("]",CELL("adresse",OFFSET(DMAV_Dienste!$M$6,G1195-1,0)))),"Substructure")),HYPERLINK("#"&amp;RIGHT(CELL("adresse",OFFSET(DMAV_Modell!$N$6,D1195-1,0)),LEN(CELL("adresse",OFFSET(DMAV_Modell!$N$6,D1195-1,0)))-FIND("]",CELL("adresse",OFFSET(DMAV_Modell!$N$6,D1195-1,0)))),"Substructure"))</f>
        <v/>
      </c>
      <c r="R1195" s="80"/>
      <c r="T1195" s="93"/>
      <c r="U1195" s="94"/>
      <c r="V1195" s="95"/>
      <c r="W1195" s="96"/>
      <c r="Y1195" s="85"/>
      <c r="Z1195" s="86"/>
      <c r="AA1195" s="87"/>
      <c r="AB1195" s="88"/>
      <c r="AD1195" s="77"/>
      <c r="AF1195" s="54" t="str" cm="1">
        <f t="array" aca="1" ref="AF1195" ca="1">IF(H1195=0,"",HYPERLINK("#"&amp;RIGHT(CELL("adresse",OFFSET('DM01-AV-CH'!$G$6,H1195-1,0)),LEN(CELL("adresse",OFFSET('DM01-AV-CH'!$G$6,H1195-1,0)))-FIND("]",CELL("adresse",OFFSET('DM01-AV-CH'!$G$6,H1195-1,0)))),"Modell"))</f>
        <v/>
      </c>
      <c r="AG1195" s="72" t="str" cm="1">
        <f t="array" ref="AG1195">IF($H1195=0,"",IF(INDEX('DM01-AV-CH'!G$6:G$834,$H1195)="","",INDEX('DM01-AV-CH'!G$6:G$834,$H1195)))</f>
        <v/>
      </c>
      <c r="AH1195" s="73" t="str" cm="1">
        <f t="array" ref="AH1195">IF($H1195=0,"",IF(INDEX('DM01-AV-CH'!H$6:H$834,$H1195)="","",INDEX('DM01-AV-CH'!H$6:H$834,$H1195)))</f>
        <v/>
      </c>
      <c r="AI1195" s="74" t="str" cm="1">
        <f t="array" ref="AI1195">IF($H1195=0,"",IF(INDEX('DM01-AV-CH'!I$6:I$834,$H1195)="","",INDEX('DM01-AV-CH'!I$6:I$834,$H1195)))</f>
        <v/>
      </c>
    </row>
    <row r="1196" spans="1:35" x14ac:dyDescent="0.25">
      <c r="A1196" s="57">
        <v>1191</v>
      </c>
      <c r="B1196" s="57">
        <f>IF($A1196="","",IF(_xlfn.XLOOKUP($A1196,Korrelation!$D$4:$D$1197,Korrelation!E$4:E$1197,"-",0)="-",0,MATCH(_xlfn.XLOOKUP($A1196,Korrelation!$D$4:$D$1197,Korrelation!E$4:E$1197,"",0),DMAV_Modell!$G$6:$G$677,0)))</f>
        <v>669</v>
      </c>
      <c r="C1196" s="57">
        <f>IF($A1196="","",IF(_xlfn.XLOOKUP($A1196,Korrelation!$D$4:$D$1197,Korrelation!F$4:F$1197,"-",0)="-",0,MATCH(_xlfn.XLOOKUP($A1196,Korrelation!$D$4:$D$1197,Korrelation!F$4:F$1197,"",0),DMAV_Modell!$G$6:$G$677,0)))</f>
        <v>0</v>
      </c>
      <c r="D1196" s="57">
        <f>IF($A1196="","",IF(_xlfn.XLOOKUP($A1196,Korrelation!$D$4:$D$1197,Korrelation!G$4:G$1197,"-",0)="-",0,MATCH(_xlfn.XLOOKUP($A1196,Korrelation!$D$4:$D$1197,Korrelation!G$4:G$1197,"",0),DMAV_Modell!$G$6:$G$677,0)))</f>
        <v>0</v>
      </c>
      <c r="E1196" s="57">
        <f>IF($A1196="","",IF(_xlfn.XLOOKUP($A1196,Korrelation!$D$4:$D$1197,Korrelation!H$4:H$1197,"-",0)="-",0,MATCH(_xlfn.XLOOKUP($A1196,Korrelation!$D$4:$D$1197,Korrelation!H$4:H$1197,"",0),DMAV_Dienste!$F$6:$F$140,0)))</f>
        <v>0</v>
      </c>
      <c r="F1196" s="57">
        <f>IF($A1196="","",IF(_xlfn.XLOOKUP($A1196,Korrelation!$D$4:$D$1197,Korrelation!I$4:I$1197,"-",0)="-",0,MATCH(_xlfn.XLOOKUP($A1196,Korrelation!$D$4:$D$1197,Korrelation!I$4:I$1197,"",0),DMAV_Dienste!$F$6:$F$140,0)))</f>
        <v>0</v>
      </c>
      <c r="G1196" s="57">
        <f>IF($A1196="","",IF(_xlfn.XLOOKUP($A1196,Korrelation!$D$4:$D$1197,Korrelation!J$4:J$1197,"-",0)="-",0,MATCH(_xlfn.XLOOKUP($A1196,Korrelation!$D$4:$D$1197,Korrelation!J$4:J$1197,"",0),DMAV_Dienste!$F$6:$F$140,0)))</f>
        <v>0</v>
      </c>
      <c r="H1196" s="57">
        <f>IF($A1196="","",IF(_xlfn.XLOOKUP($A1196,Korrelation!$D$4:$D$1197,Korrelation!K$4:K$1197,"-",0)="-",0,MATCH(_xlfn.XLOOKUP($A1196,Korrelation!$D$4:$D$1197,Korrelation!K$4:K$1197,"",0),'DM01-AV-CH'!$A$6:$A$834,0)))</f>
        <v>0</v>
      </c>
      <c r="J1196" s="54" t="str" cm="1">
        <f t="array" aca="1" ref="J1196" ca="1">IF(B1196=0,IF(E1196=0,"",HYPERLINK("#"&amp;RIGHT(CELL("adresse",OFFSET(DMAV_Dienste!$M$6,E1196-1,0)),LEN(CELL("adresse",OFFSET(DMAV_Dienste!$M$6,E1196-1,0)))-FIND("]",CELL("adresse",OFFSET(DMAV_Dienste!$M$6,E1196-1,0)))),"Dienst")),HYPERLINK("#"&amp;RIGHT(CELL("adresse",OFFSET(DMAV_Modell!$N$6,B1196-1,0)),LEN(CELL("adresse",OFFSET(DMAV_Modell!$N$6,B1196-1,0)))-FIND("]",CELL("adresse",OFFSET(DMAV_Modell!$N$6,B1196-1,0)))),"Modell"))</f>
        <v>Modell</v>
      </c>
      <c r="K1196" s="61" t="str" cm="1">
        <f t="array" ref="K1196">IF($B1196=0,IF($E1196=0,"",IF(INDEX(DMAV_Dienste!P$6:P$140,$E1196)="","",INDEX(DMAV_Dienste!P$6:P$140,$E1196))),IF(INDEX(DMAV_Modell!Q$6:Q$838,$B1196)="","",INDEX(DMAV_Modell!Q$6:Q$838,$B1196)))</f>
        <v>ASSOCIATION</v>
      </c>
      <c r="L1196" s="62" t="str" cm="1">
        <f t="array" ref="L1196">IF($B1196=0,IF($E1196=0,"",IF(INDEX(DMAV_Dienste!O$6:O$140,$E1196)="","",INDEX(DMAV_Dienste!O$6:O$140,$E1196))),IF(INDEX(DMAV_Modell!P$6:P$838,$B1196)="","",INDEX(DMAV_Modell!P$6:P$838,$B1196)))</f>
        <v>Gebaeudeadressen</v>
      </c>
      <c r="M1196" s="62" t="str" cm="1">
        <f t="array" ref="M1196">IF($B1196=0,IF($E1196=0,"",IF(INDEX(DMAV_Dienste!Q$6:Q$140,$E1196)="","",INDEX(DMAV_Dienste!Q$6:Q$140,$E1196))),IF(INDEX(DMAV_Modell!R$6:R$838,$B1196)="","",INDEX(DMAV_Modell!R$6:R$838,$B1196)))</f>
        <v>Entstehung_Gebaeudeeingang</v>
      </c>
      <c r="N1196" s="62" t="str" cm="1">
        <f t="array" ref="N1196">IF($B1196=0,IF($E1196=0,"",IF(INDEX(DMAV_Dienste!T$6:T$140,$E1196)="","",INDEX(DMAV_Dienste!T$6:T$140,$E1196))),IF(INDEX(DMAV_Modell!U$6:U$838,$B1196)="","",INDEX(DMAV_Modell!U$6:U$838,$B1196)))</f>
        <v>entstehender_Gebaeudeeingang</v>
      </c>
      <c r="O1196" s="63" t="str" cm="1">
        <f t="array" aca="1" ref="O1196" ca="1">IF(C1196=0,IF(F1196=0,"",HYPERLINK("#"&amp;RIGHT(CELL("adresse",OFFSET(DMAV_Dienste!$M$6,F1196-1,0)),LEN(CELL("adresse",OFFSET(DMAV_Dienste!$M$6,F1196-1,0)))-FIND("]",CELL("adresse",OFFSET(DMAV_Dienste!$M$6,F1196-1,0)))),"Structure")),HYPERLINK("#"&amp;RIGHT(CELL("adresse",OFFSET(DMAV_Modell!$N$6,C1196-1,0)),LEN(CELL("adresse",OFFSET(DMAV_Modell!$N$6,C1196-1,0)))-FIND("]",CELL("adresse",OFFSET(DMAV_Modell!$N$6,C1196-1,0)))),"Structure"))</f>
        <v/>
      </c>
      <c r="P1196" s="64" t="str" cm="1">
        <f t="array" aca="1" ref="P1196" ca="1">IF(D1196=0,IF(G1196=0,"",HYPERLINK("#"&amp;RIGHT(CELL("adresse",OFFSET(DMAV_Dienste!$M$6,G1196-1,0)),LEN(CELL("adresse",OFFSET(DMAV_Dienste!$M$6,G1196-1,0)))-FIND("]",CELL("adresse",OFFSET(DMAV_Dienste!$M$6,G1196-1,0)))),"Substructure")),HYPERLINK("#"&amp;RIGHT(CELL("adresse",OFFSET(DMAV_Modell!$N$6,D1196-1,0)),LEN(CELL("adresse",OFFSET(DMAV_Modell!$N$6,D1196-1,0)))-FIND("]",CELL("adresse",OFFSET(DMAV_Modell!$N$6,D1196-1,0)))),"Substructure"))</f>
        <v/>
      </c>
      <c r="R1196" s="80"/>
      <c r="T1196" s="93"/>
      <c r="U1196" s="94"/>
      <c r="V1196" s="95"/>
      <c r="W1196" s="96"/>
      <c r="Y1196" s="85"/>
      <c r="Z1196" s="86"/>
      <c r="AA1196" s="87"/>
      <c r="AB1196" s="88"/>
      <c r="AD1196" s="77"/>
      <c r="AF1196" s="54" t="str" cm="1">
        <f t="array" aca="1" ref="AF1196" ca="1">IF(H1196=0,"",HYPERLINK("#"&amp;RIGHT(CELL("adresse",OFFSET('DM01-AV-CH'!$G$6,H1196-1,0)),LEN(CELL("adresse",OFFSET('DM01-AV-CH'!$G$6,H1196-1,0)))-FIND("]",CELL("adresse",OFFSET('DM01-AV-CH'!$G$6,H1196-1,0)))),"Modell"))</f>
        <v/>
      </c>
      <c r="AG1196" s="72" t="str" cm="1">
        <f t="array" ref="AG1196">IF($H1196=0,"",IF(INDEX('DM01-AV-CH'!G$6:G$834,$H1196)="","",INDEX('DM01-AV-CH'!G$6:G$834,$H1196)))</f>
        <v/>
      </c>
      <c r="AH1196" s="73" t="str" cm="1">
        <f t="array" ref="AH1196">IF($H1196=0,"",IF(INDEX('DM01-AV-CH'!H$6:H$834,$H1196)="","",INDEX('DM01-AV-CH'!H$6:H$834,$H1196)))</f>
        <v/>
      </c>
      <c r="AI1196" s="74" t="str" cm="1">
        <f t="array" ref="AI1196">IF($H1196=0,"",IF(INDEX('DM01-AV-CH'!I$6:I$834,$H1196)="","",INDEX('DM01-AV-CH'!I$6:I$834,$H1196)))</f>
        <v/>
      </c>
    </row>
    <row r="1197" spans="1:35" x14ac:dyDescent="0.25">
      <c r="A1197" s="57">
        <v>1192</v>
      </c>
      <c r="B1197" s="57">
        <f>IF($A1197="","",IF(_xlfn.XLOOKUP($A1197,Korrelation!$D$4:$D$1197,Korrelation!E$4:E$1197,"-",0)="-",0,MATCH(_xlfn.XLOOKUP($A1197,Korrelation!$D$4:$D$1197,Korrelation!E$4:E$1197,"",0),DMAV_Modell!$G$6:$G$677,0)))</f>
        <v>670</v>
      </c>
      <c r="C1197" s="57">
        <f>IF($A1197="","",IF(_xlfn.XLOOKUP($A1197,Korrelation!$D$4:$D$1197,Korrelation!F$4:F$1197,"-",0)="-",0,MATCH(_xlfn.XLOOKUP($A1197,Korrelation!$D$4:$D$1197,Korrelation!F$4:F$1197,"",0),DMAV_Modell!$G$6:$G$677,0)))</f>
        <v>0</v>
      </c>
      <c r="D1197" s="57">
        <f>IF($A1197="","",IF(_xlfn.XLOOKUP($A1197,Korrelation!$D$4:$D$1197,Korrelation!G$4:G$1197,"-",0)="-",0,MATCH(_xlfn.XLOOKUP($A1197,Korrelation!$D$4:$D$1197,Korrelation!G$4:G$1197,"",0),DMAV_Modell!$G$6:$G$677,0)))</f>
        <v>0</v>
      </c>
      <c r="E1197" s="57">
        <f>IF($A1197="","",IF(_xlfn.XLOOKUP($A1197,Korrelation!$D$4:$D$1197,Korrelation!H$4:H$1197,"-",0)="-",0,MATCH(_xlfn.XLOOKUP($A1197,Korrelation!$D$4:$D$1197,Korrelation!H$4:H$1197,"",0),DMAV_Dienste!$F$6:$F$140,0)))</f>
        <v>0</v>
      </c>
      <c r="F1197" s="57">
        <f>IF($A1197="","",IF(_xlfn.XLOOKUP($A1197,Korrelation!$D$4:$D$1197,Korrelation!I$4:I$1197,"-",0)="-",0,MATCH(_xlfn.XLOOKUP($A1197,Korrelation!$D$4:$D$1197,Korrelation!I$4:I$1197,"",0),DMAV_Dienste!$F$6:$F$140,0)))</f>
        <v>0</v>
      </c>
      <c r="G1197" s="57">
        <f>IF($A1197="","",IF(_xlfn.XLOOKUP($A1197,Korrelation!$D$4:$D$1197,Korrelation!J$4:J$1197,"-",0)="-",0,MATCH(_xlfn.XLOOKUP($A1197,Korrelation!$D$4:$D$1197,Korrelation!J$4:J$1197,"",0),DMAV_Dienste!$F$6:$F$140,0)))</f>
        <v>0</v>
      </c>
      <c r="H1197" s="57">
        <f>IF($A1197="","",IF(_xlfn.XLOOKUP($A1197,Korrelation!$D$4:$D$1197,Korrelation!K$4:K$1197,"-",0)="-",0,MATCH(_xlfn.XLOOKUP($A1197,Korrelation!$D$4:$D$1197,Korrelation!K$4:K$1197,"",0),'DM01-AV-CH'!$A$6:$A$834,0)))</f>
        <v>0</v>
      </c>
      <c r="J1197" s="54" t="str" cm="1">
        <f t="array" aca="1" ref="J1197" ca="1">IF(B1197=0,IF(E1197=0,"",HYPERLINK("#"&amp;RIGHT(CELL("adresse",OFFSET(DMAV_Dienste!$M$6,E1197-1,0)),LEN(CELL("adresse",OFFSET(DMAV_Dienste!$M$6,E1197-1,0)))-FIND("]",CELL("adresse",OFFSET(DMAV_Dienste!$M$6,E1197-1,0)))),"Dienst")),HYPERLINK("#"&amp;RIGHT(CELL("adresse",OFFSET(DMAV_Modell!$N$6,B1197-1,0)),LEN(CELL("adresse",OFFSET(DMAV_Modell!$N$6,B1197-1,0)))-FIND("]",CELL("adresse",OFFSET(DMAV_Modell!$N$6,B1197-1,0)))),"Modell"))</f>
        <v>Modell</v>
      </c>
      <c r="K1197" s="61" t="str" cm="1">
        <f t="array" ref="K1197">IF($B1197=0,IF($E1197=0,"",IF(INDEX(DMAV_Dienste!P$6:P$140,$E1197)="","",INDEX(DMAV_Dienste!P$6:P$140,$E1197))),IF(INDEX(DMAV_Modell!Q$6:Q$838,$B1197)="","",INDEX(DMAV_Modell!Q$6:Q$838,$B1197)))</f>
        <v>ASSOCIATION</v>
      </c>
      <c r="L1197" s="62" t="str" cm="1">
        <f t="array" ref="L1197">IF($B1197=0,IF($E1197=0,"",IF(INDEX(DMAV_Dienste!O$6:O$140,$E1197)="","",INDEX(DMAV_Dienste!O$6:O$140,$E1197))),IF(INDEX(DMAV_Modell!P$6:P$838,$B1197)="","",INDEX(DMAV_Modell!P$6:P$838,$B1197)))</f>
        <v>Gebaeudeadressen</v>
      </c>
      <c r="M1197" s="62" t="str" cm="1">
        <f t="array" ref="M1197">IF($B1197=0,IF($E1197=0,"",IF(INDEX(DMAV_Dienste!Q$6:Q$140,$E1197)="","",INDEX(DMAV_Dienste!Q$6:Q$140,$E1197))),IF(INDEX(DMAV_Modell!R$6:R$838,$B1197)="","",INDEX(DMAV_Modell!R$6:R$838,$B1197)))</f>
        <v>LokalisationGebaeudeeingang</v>
      </c>
      <c r="N1197" s="62" t="str" cm="1">
        <f t="array" ref="N1197">IF($B1197=0,IF($E1197=0,"",IF(INDEX(DMAV_Dienste!T$6:T$140,$E1197)="","",INDEX(DMAV_Dienste!T$6:T$140,$E1197))),IF(INDEX(DMAV_Modell!U$6:U$838,$B1197)="","",INDEX(DMAV_Modell!U$6:U$838,$B1197)))</f>
        <v>Lokalisation</v>
      </c>
      <c r="O1197" s="63" t="str" cm="1">
        <f t="array" aca="1" ref="O1197" ca="1">IF(C1197=0,IF(F1197=0,"",HYPERLINK("#"&amp;RIGHT(CELL("adresse",OFFSET(DMAV_Dienste!$M$6,F1197-1,0)),LEN(CELL("adresse",OFFSET(DMAV_Dienste!$M$6,F1197-1,0)))-FIND("]",CELL("adresse",OFFSET(DMAV_Dienste!$M$6,F1197-1,0)))),"Structure")),HYPERLINK("#"&amp;RIGHT(CELL("adresse",OFFSET(DMAV_Modell!$N$6,C1197-1,0)),LEN(CELL("adresse",OFFSET(DMAV_Modell!$N$6,C1197-1,0)))-FIND("]",CELL("adresse",OFFSET(DMAV_Modell!$N$6,C1197-1,0)))),"Structure"))</f>
        <v/>
      </c>
      <c r="P1197" s="64" t="str" cm="1">
        <f t="array" aca="1" ref="P1197" ca="1">IF(D1197=0,IF(G1197=0,"",HYPERLINK("#"&amp;RIGHT(CELL("adresse",OFFSET(DMAV_Dienste!$M$6,G1197-1,0)),LEN(CELL("adresse",OFFSET(DMAV_Dienste!$M$6,G1197-1,0)))-FIND("]",CELL("adresse",OFFSET(DMAV_Dienste!$M$6,G1197-1,0)))),"Substructure")),HYPERLINK("#"&amp;RIGHT(CELL("adresse",OFFSET(DMAV_Modell!$N$6,D1197-1,0)),LEN(CELL("adresse",OFFSET(DMAV_Modell!$N$6,D1197-1,0)))-FIND("]",CELL("adresse",OFFSET(DMAV_Modell!$N$6,D1197-1,0)))),"Substructure"))</f>
        <v/>
      </c>
      <c r="R1197" s="80"/>
      <c r="T1197" s="93"/>
      <c r="U1197" s="94"/>
      <c r="V1197" s="95"/>
      <c r="W1197" s="96"/>
      <c r="Y1197" s="85"/>
      <c r="Z1197" s="86"/>
      <c r="AA1197" s="87"/>
      <c r="AB1197" s="88"/>
      <c r="AD1197" s="77"/>
      <c r="AF1197" s="54" t="str" cm="1">
        <f t="array" aca="1" ref="AF1197" ca="1">IF(H1197=0,"",HYPERLINK("#"&amp;RIGHT(CELL("adresse",OFFSET('DM01-AV-CH'!$G$6,H1197-1,0)),LEN(CELL("adresse",OFFSET('DM01-AV-CH'!$G$6,H1197-1,0)))-FIND("]",CELL("adresse",OFFSET('DM01-AV-CH'!$G$6,H1197-1,0)))),"Modell"))</f>
        <v/>
      </c>
      <c r="AG1197" s="72" t="str" cm="1">
        <f t="array" ref="AG1197">IF($H1197=0,"",IF(INDEX('DM01-AV-CH'!G$6:G$834,$H1197)="","",INDEX('DM01-AV-CH'!G$6:G$834,$H1197)))</f>
        <v/>
      </c>
      <c r="AH1197" s="73" t="str" cm="1">
        <f t="array" ref="AH1197">IF($H1197=0,"",IF(INDEX('DM01-AV-CH'!H$6:H$834,$H1197)="","",INDEX('DM01-AV-CH'!H$6:H$834,$H1197)))</f>
        <v/>
      </c>
      <c r="AI1197" s="74" t="str" cm="1">
        <f t="array" ref="AI1197">IF($H1197=0,"",IF(INDEX('DM01-AV-CH'!I$6:I$834,$H1197)="","",INDEX('DM01-AV-CH'!I$6:I$834,$H1197)))</f>
        <v/>
      </c>
    </row>
    <row r="1198" spans="1:35" x14ac:dyDescent="0.25">
      <c r="A1198" s="57">
        <v>1193</v>
      </c>
      <c r="B1198" s="57">
        <f>IF($A1198="","",IF(_xlfn.XLOOKUP($A1198,Korrelation!$D$4:$D$1197,Korrelation!E$4:E$1197,"-",0)="-",0,MATCH(_xlfn.XLOOKUP($A1198,Korrelation!$D$4:$D$1197,Korrelation!E$4:E$1197,"",0),DMAV_Modell!$G$6:$G$677,0)))</f>
        <v>671</v>
      </c>
      <c r="C1198" s="57">
        <f>IF($A1198="","",IF(_xlfn.XLOOKUP($A1198,Korrelation!$D$4:$D$1197,Korrelation!F$4:F$1197,"-",0)="-",0,MATCH(_xlfn.XLOOKUP($A1198,Korrelation!$D$4:$D$1197,Korrelation!F$4:F$1197,"",0),DMAV_Modell!$G$6:$G$677,0)))</f>
        <v>0</v>
      </c>
      <c r="D1198" s="57">
        <f>IF($A1198="","",IF(_xlfn.XLOOKUP($A1198,Korrelation!$D$4:$D$1197,Korrelation!G$4:G$1197,"-",0)="-",0,MATCH(_xlfn.XLOOKUP($A1198,Korrelation!$D$4:$D$1197,Korrelation!G$4:G$1197,"",0),DMAV_Modell!$G$6:$G$677,0)))</f>
        <v>0</v>
      </c>
      <c r="E1198" s="57">
        <f>IF($A1198="","",IF(_xlfn.XLOOKUP($A1198,Korrelation!$D$4:$D$1197,Korrelation!H$4:H$1197,"-",0)="-",0,MATCH(_xlfn.XLOOKUP($A1198,Korrelation!$D$4:$D$1197,Korrelation!H$4:H$1197,"",0),DMAV_Dienste!$F$6:$F$140,0)))</f>
        <v>0</v>
      </c>
      <c r="F1198" s="57">
        <f>IF($A1198="","",IF(_xlfn.XLOOKUP($A1198,Korrelation!$D$4:$D$1197,Korrelation!I$4:I$1197,"-",0)="-",0,MATCH(_xlfn.XLOOKUP($A1198,Korrelation!$D$4:$D$1197,Korrelation!I$4:I$1197,"",0),DMAV_Dienste!$F$6:$F$140,0)))</f>
        <v>0</v>
      </c>
      <c r="G1198" s="57">
        <f>IF($A1198="","",IF(_xlfn.XLOOKUP($A1198,Korrelation!$D$4:$D$1197,Korrelation!J$4:J$1197,"-",0)="-",0,MATCH(_xlfn.XLOOKUP($A1198,Korrelation!$D$4:$D$1197,Korrelation!J$4:J$1197,"",0),DMAV_Dienste!$F$6:$F$140,0)))</f>
        <v>0</v>
      </c>
      <c r="H1198" s="57">
        <f>IF($A1198="","",IF(_xlfn.XLOOKUP($A1198,Korrelation!$D$4:$D$1197,Korrelation!K$4:K$1197,"-",0)="-",0,MATCH(_xlfn.XLOOKUP($A1198,Korrelation!$D$4:$D$1197,Korrelation!K$4:K$1197,"",0),'DM01-AV-CH'!$A$6:$A$834,0)))</f>
        <v>0</v>
      </c>
      <c r="J1198" s="54" t="str" cm="1">
        <f t="array" aca="1" ref="J1198" ca="1">IF(B1198=0,IF(E1198=0,"",HYPERLINK("#"&amp;RIGHT(CELL("adresse",OFFSET(DMAV_Dienste!$M$6,E1198-1,0)),LEN(CELL("adresse",OFFSET(DMAV_Dienste!$M$6,E1198-1,0)))-FIND("]",CELL("adresse",OFFSET(DMAV_Dienste!$M$6,E1198-1,0)))),"Dienst")),HYPERLINK("#"&amp;RIGHT(CELL("adresse",OFFSET(DMAV_Modell!$N$6,B1198-1,0)),LEN(CELL("adresse",OFFSET(DMAV_Modell!$N$6,B1198-1,0)))-FIND("]",CELL("adresse",OFFSET(DMAV_Modell!$N$6,B1198-1,0)))),"Modell"))</f>
        <v>Modell</v>
      </c>
      <c r="K1198" s="61" t="str" cm="1">
        <f t="array" ref="K1198">IF($B1198=0,IF($E1198=0,"",IF(INDEX(DMAV_Dienste!P$6:P$140,$E1198)="","",INDEX(DMAV_Dienste!P$6:P$140,$E1198))),IF(INDEX(DMAV_Modell!Q$6:Q$838,$B1198)="","",INDEX(DMAV_Modell!Q$6:Q$838,$B1198)))</f>
        <v>ASSOCIATION</v>
      </c>
      <c r="L1198" s="62" t="str" cm="1">
        <f t="array" ref="L1198">IF($B1198=0,IF($E1198=0,"",IF(INDEX(DMAV_Dienste!O$6:O$140,$E1198)="","",INDEX(DMAV_Dienste!O$6:O$140,$E1198))),IF(INDEX(DMAV_Modell!P$6:P$838,$B1198)="","",INDEX(DMAV_Modell!P$6:P$838,$B1198)))</f>
        <v>Gebaeudeadressen</v>
      </c>
      <c r="M1198" s="62" t="str" cm="1">
        <f t="array" ref="M1198">IF($B1198=0,IF($E1198=0,"",IF(INDEX(DMAV_Dienste!Q$6:Q$140,$E1198)="","",INDEX(DMAV_Dienste!Q$6:Q$140,$E1198))),IF(INDEX(DMAV_Modell!R$6:R$838,$B1198)="","",INDEX(DMAV_Modell!R$6:R$838,$B1198)))</f>
        <v>LokalisationGebaeudeeingang</v>
      </c>
      <c r="N1198" s="62" t="str" cm="1">
        <f t="array" ref="N1198">IF($B1198=0,IF($E1198=0,"",IF(INDEX(DMAV_Dienste!T$6:T$140,$E1198)="","",INDEX(DMAV_Dienste!T$6:T$140,$E1198))),IF(INDEX(DMAV_Modell!U$6:U$838,$B1198)="","",INDEX(DMAV_Modell!U$6:U$838,$B1198)))</f>
        <v>Gebaeudeeingang</v>
      </c>
      <c r="O1198" s="63" t="str" cm="1">
        <f t="array" aca="1" ref="O1198" ca="1">IF(C1198=0,IF(F1198=0,"",HYPERLINK("#"&amp;RIGHT(CELL("adresse",OFFSET(DMAV_Dienste!$M$6,F1198-1,0)),LEN(CELL("adresse",OFFSET(DMAV_Dienste!$M$6,F1198-1,0)))-FIND("]",CELL("adresse",OFFSET(DMAV_Dienste!$M$6,F1198-1,0)))),"Structure")),HYPERLINK("#"&amp;RIGHT(CELL("adresse",OFFSET(DMAV_Modell!$N$6,C1198-1,0)),LEN(CELL("adresse",OFFSET(DMAV_Modell!$N$6,C1198-1,0)))-FIND("]",CELL("adresse",OFFSET(DMAV_Modell!$N$6,C1198-1,0)))),"Structure"))</f>
        <v/>
      </c>
      <c r="P1198" s="64" t="str" cm="1">
        <f t="array" aca="1" ref="P1198" ca="1">IF(D1198=0,IF(G1198=0,"",HYPERLINK("#"&amp;RIGHT(CELL("adresse",OFFSET(DMAV_Dienste!$M$6,G1198-1,0)),LEN(CELL("adresse",OFFSET(DMAV_Dienste!$M$6,G1198-1,0)))-FIND("]",CELL("adresse",OFFSET(DMAV_Dienste!$M$6,G1198-1,0)))),"Substructure")),HYPERLINK("#"&amp;RIGHT(CELL("adresse",OFFSET(DMAV_Modell!$N$6,D1198-1,0)),LEN(CELL("adresse",OFFSET(DMAV_Modell!$N$6,D1198-1,0)))-FIND("]",CELL("adresse",OFFSET(DMAV_Modell!$N$6,D1198-1,0)))),"Substructure"))</f>
        <v/>
      </c>
      <c r="R1198" s="80"/>
      <c r="T1198" s="93"/>
      <c r="U1198" s="94"/>
      <c r="V1198" s="95"/>
      <c r="W1198" s="96"/>
      <c r="Y1198" s="85"/>
      <c r="Z1198" s="86"/>
      <c r="AA1198" s="87"/>
      <c r="AB1198" s="88"/>
      <c r="AD1198" s="77"/>
      <c r="AF1198" s="54" t="str" cm="1">
        <f t="array" aca="1" ref="AF1198" ca="1">IF(H1198=0,"",HYPERLINK("#"&amp;RIGHT(CELL("adresse",OFFSET('DM01-AV-CH'!$G$6,H1198-1,0)),LEN(CELL("adresse",OFFSET('DM01-AV-CH'!$G$6,H1198-1,0)))-FIND("]",CELL("adresse",OFFSET('DM01-AV-CH'!$G$6,H1198-1,0)))),"Modell"))</f>
        <v/>
      </c>
      <c r="AG1198" s="72" t="str" cm="1">
        <f t="array" ref="AG1198">IF($H1198=0,"",IF(INDEX('DM01-AV-CH'!G$6:G$834,$H1198)="","",INDEX('DM01-AV-CH'!G$6:G$834,$H1198)))</f>
        <v/>
      </c>
      <c r="AH1198" s="73" t="str" cm="1">
        <f t="array" ref="AH1198">IF($H1198=0,"",IF(INDEX('DM01-AV-CH'!H$6:H$834,$H1198)="","",INDEX('DM01-AV-CH'!H$6:H$834,$H1198)))</f>
        <v/>
      </c>
      <c r="AI1198" s="74" t="str" cm="1">
        <f t="array" ref="AI1198">IF($H1198=0,"",IF(INDEX('DM01-AV-CH'!I$6:I$834,$H1198)="","",INDEX('DM01-AV-CH'!I$6:I$834,$H1198)))</f>
        <v/>
      </c>
    </row>
    <row r="1199" spans="1:35" x14ac:dyDescent="0.25">
      <c r="A1199" s="57">
        <v>1194</v>
      </c>
      <c r="B1199" s="57">
        <f>IF($A1199="","",IF(_xlfn.XLOOKUP($A1199,Korrelation!$D$4:$D$1197,Korrelation!E$4:E$1197,"-",0)="-",0,MATCH(_xlfn.XLOOKUP($A1199,Korrelation!$D$4:$D$1197,Korrelation!E$4:E$1197,"",0),DMAV_Modell!$G$6:$G$677,0)))</f>
        <v>672</v>
      </c>
      <c r="C1199" s="57">
        <f>IF($A1199="","",IF(_xlfn.XLOOKUP($A1199,Korrelation!$D$4:$D$1197,Korrelation!F$4:F$1197,"-",0)="-",0,MATCH(_xlfn.XLOOKUP($A1199,Korrelation!$D$4:$D$1197,Korrelation!F$4:F$1197,"",0),DMAV_Modell!$G$6:$G$677,0)))</f>
        <v>0</v>
      </c>
      <c r="D1199" s="57">
        <f>IF($A1199="","",IF(_xlfn.XLOOKUP($A1199,Korrelation!$D$4:$D$1197,Korrelation!G$4:G$1197,"-",0)="-",0,MATCH(_xlfn.XLOOKUP($A1199,Korrelation!$D$4:$D$1197,Korrelation!G$4:G$1197,"",0),DMAV_Modell!$G$6:$G$677,0)))</f>
        <v>0</v>
      </c>
      <c r="E1199" s="57">
        <f>IF($A1199="","",IF(_xlfn.XLOOKUP($A1199,Korrelation!$D$4:$D$1197,Korrelation!H$4:H$1197,"-",0)="-",0,MATCH(_xlfn.XLOOKUP($A1199,Korrelation!$D$4:$D$1197,Korrelation!H$4:H$1197,"",0),DMAV_Dienste!$F$6:$F$140,0)))</f>
        <v>0</v>
      </c>
      <c r="F1199" s="57">
        <f>IF($A1199="","",IF(_xlfn.XLOOKUP($A1199,Korrelation!$D$4:$D$1197,Korrelation!I$4:I$1197,"-",0)="-",0,MATCH(_xlfn.XLOOKUP($A1199,Korrelation!$D$4:$D$1197,Korrelation!I$4:I$1197,"",0),DMAV_Dienste!$F$6:$F$140,0)))</f>
        <v>0</v>
      </c>
      <c r="G1199" s="57">
        <f>IF($A1199="","",IF(_xlfn.XLOOKUP($A1199,Korrelation!$D$4:$D$1197,Korrelation!J$4:J$1197,"-",0)="-",0,MATCH(_xlfn.XLOOKUP($A1199,Korrelation!$D$4:$D$1197,Korrelation!J$4:J$1197,"",0),DMAV_Dienste!$F$6:$F$140,0)))</f>
        <v>0</v>
      </c>
      <c r="H1199" s="57">
        <f>IF($A1199="","",IF(_xlfn.XLOOKUP($A1199,Korrelation!$D$4:$D$1197,Korrelation!K$4:K$1197,"-",0)="-",0,MATCH(_xlfn.XLOOKUP($A1199,Korrelation!$D$4:$D$1197,Korrelation!K$4:K$1197,"",0),'DM01-AV-CH'!$A$6:$A$834,0)))</f>
        <v>0</v>
      </c>
      <c r="J1199" s="54" t="str" cm="1">
        <f t="array" aca="1" ref="J1199" ca="1">IF(B1199=0,IF(E1199=0,"",HYPERLINK("#"&amp;RIGHT(CELL("adresse",OFFSET(DMAV_Dienste!$M$6,E1199-1,0)),LEN(CELL("adresse",OFFSET(DMAV_Dienste!$M$6,E1199-1,0)))-FIND("]",CELL("adresse",OFFSET(DMAV_Dienste!$M$6,E1199-1,0)))),"Dienst")),HYPERLINK("#"&amp;RIGHT(CELL("adresse",OFFSET(DMAV_Modell!$N$6,B1199-1,0)),LEN(CELL("adresse",OFFSET(DMAV_Modell!$N$6,B1199-1,0)))-FIND("]",CELL("adresse",OFFSET(DMAV_Modell!$N$6,B1199-1,0)))),"Modell"))</f>
        <v>Modell</v>
      </c>
      <c r="K1199" s="61" t="str" cm="1">
        <f t="array" ref="K1199">IF($B1199=0,IF($E1199=0,"",IF(INDEX(DMAV_Dienste!P$6:P$140,$E1199)="","",INDEX(DMAV_Dienste!P$6:P$140,$E1199))),IF(INDEX(DMAV_Modell!Q$6:Q$838,$B1199)="","",INDEX(DMAV_Modell!Q$6:Q$838,$B1199)))</f>
        <v>ASSOCIATION.CONSTRAINT</v>
      </c>
      <c r="L1199" s="62" t="str" cm="1">
        <f t="array" ref="L1199">IF($B1199=0,IF($E1199=0,"",IF(INDEX(DMAV_Dienste!O$6:O$140,$E1199)="","",INDEX(DMAV_Dienste!O$6:O$140,$E1199))),IF(INDEX(DMAV_Modell!P$6:P$838,$B1199)="","",INDEX(DMAV_Modell!P$6:P$838,$B1199)))</f>
        <v>Gebaeudeadressen</v>
      </c>
      <c r="M1199" s="62" t="str" cm="1">
        <f t="array" ref="M1199">IF($B1199=0,IF($E1199=0,"",IF(INDEX(DMAV_Dienste!Q$6:Q$140,$E1199)="","",INDEX(DMAV_Dienste!Q$6:Q$140,$E1199))),IF(INDEX(DMAV_Modell!R$6:R$838,$B1199)="","",INDEX(DMAV_Modell!R$6:R$838,$B1199)))</f>
        <v>LokalisationGebaeudeeingang</v>
      </c>
      <c r="N1199" s="62" t="str" cm="1">
        <f t="array" ref="N1199">IF($B1199=0,IF($E1199=0,"",IF(INDEX(DMAV_Dienste!T$6:T$140,$E1199)="","",INDEX(DMAV_Dienste!T$6:T$140,$E1199))),IF(INDEX(DMAV_Modell!U$6:U$838,$B1199)="","",INDEX(DMAV_Modell!U$6:U$838,$B1199)))</f>
        <v>(@PH1@!=@PH2@) OR NOT(DEFINED(@PH3@))</v>
      </c>
      <c r="O1199" s="63" t="str" cm="1">
        <f t="array" aca="1" ref="O1199" ca="1">IF(C1199=0,IF(F1199=0,"",HYPERLINK("#"&amp;RIGHT(CELL("adresse",OFFSET(DMAV_Dienste!$M$6,F1199-1,0)),LEN(CELL("adresse",OFFSET(DMAV_Dienste!$M$6,F1199-1,0)))-FIND("]",CELL("adresse",OFFSET(DMAV_Dienste!$M$6,F1199-1,0)))),"Structure")),HYPERLINK("#"&amp;RIGHT(CELL("adresse",OFFSET(DMAV_Modell!$N$6,C1199-1,0)),LEN(CELL("adresse",OFFSET(DMAV_Modell!$N$6,C1199-1,0)))-FIND("]",CELL("adresse",OFFSET(DMAV_Modell!$N$6,C1199-1,0)))),"Structure"))</f>
        <v/>
      </c>
      <c r="P1199" s="64" t="str" cm="1">
        <f t="array" aca="1" ref="P1199" ca="1">IF(D1199=0,IF(G1199=0,"",HYPERLINK("#"&amp;RIGHT(CELL("adresse",OFFSET(DMAV_Dienste!$M$6,G1199-1,0)),LEN(CELL("adresse",OFFSET(DMAV_Dienste!$M$6,G1199-1,0)))-FIND("]",CELL("adresse",OFFSET(DMAV_Dienste!$M$6,G1199-1,0)))),"Substructure")),HYPERLINK("#"&amp;RIGHT(CELL("adresse",OFFSET(DMAV_Modell!$N$6,D1199-1,0)),LEN(CELL("adresse",OFFSET(DMAV_Modell!$N$6,D1199-1,0)))-FIND("]",CELL("adresse",OFFSET(DMAV_Modell!$N$6,D1199-1,0)))),"Substructure"))</f>
        <v/>
      </c>
      <c r="R1199" s="80"/>
      <c r="T1199" s="93"/>
      <c r="U1199" s="94"/>
      <c r="V1199" s="95"/>
      <c r="W1199" s="96"/>
      <c r="Y1199" s="85"/>
      <c r="Z1199" s="86"/>
      <c r="AA1199" s="87"/>
      <c r="AB1199" s="88"/>
      <c r="AD1199" s="77"/>
      <c r="AF1199" s="54" t="str" cm="1">
        <f t="array" aca="1" ref="AF1199" ca="1">IF(H1199=0,"",HYPERLINK("#"&amp;RIGHT(CELL("adresse",OFFSET('DM01-AV-CH'!$G$6,H1199-1,0)),LEN(CELL("adresse",OFFSET('DM01-AV-CH'!$G$6,H1199-1,0)))-FIND("]",CELL("adresse",OFFSET('DM01-AV-CH'!$G$6,H1199-1,0)))),"Modell"))</f>
        <v/>
      </c>
      <c r="AG1199" s="72" t="str" cm="1">
        <f t="array" ref="AG1199">IF($H1199=0,"",IF(INDEX('DM01-AV-CH'!G$6:G$834,$H1199)="","",INDEX('DM01-AV-CH'!G$6:G$834,$H1199)))</f>
        <v/>
      </c>
      <c r="AH1199" s="73" t="str" cm="1">
        <f t="array" ref="AH1199">IF($H1199=0,"",IF(INDEX('DM01-AV-CH'!H$6:H$834,$H1199)="","",INDEX('DM01-AV-CH'!H$6:H$834,$H1199)))</f>
        <v/>
      </c>
      <c r="AI1199" s="74" t="str" cm="1">
        <f t="array" ref="AI1199">IF($H1199=0,"",IF(INDEX('DM01-AV-CH'!I$6:I$834,$H1199)="","",INDEX('DM01-AV-CH'!I$6:I$834,$H1199)))</f>
        <v/>
      </c>
    </row>
    <row r="1200" spans="1:35" x14ac:dyDescent="0.25">
      <c r="AF1200" s="57" t="str" cm="1">
        <f t="array" aca="1" ref="AF1200" ca="1">IF(H1200=0,"",HYPERLINK("#"&amp;RIGHT(CELL("adresse",OFFSET('DM01-AV-CH'!$G$6,H1200-1,0)),LEN(CELL("adresse",OFFSET('DM01-AV-CH'!$G$6,H1200-1,0)))-FIND("]",CELL("adresse",OFFSET('DM01-AV-CH'!$G$6,H1200-1,0)))),"Modell"))</f>
        <v/>
      </c>
      <c r="AG1200" s="59" t="str" cm="1">
        <f t="array" ref="AG1200">IF($H1200=0,"",IF(INDEX('DM01-AV-CH'!G$6:G$834,$H1200)="","",INDEX('DM01-AV-CH'!G$6:G$834,$H1200)))</f>
        <v/>
      </c>
      <c r="AH1200" s="59" t="str" cm="1">
        <f t="array" ref="AH1200">IF($H1200=0,"",IF(INDEX('DM01-AV-CH'!H$6:H$834,$H1200)="","",INDEX('DM01-AV-CH'!H$6:H$834,$H1200)))</f>
        <v/>
      </c>
      <c r="AI1200" s="59" t="str" cm="1">
        <f t="array" ref="AI1200">IF($H1200=0,"",IF(INDEX('DM01-AV-CH'!I$6:I$834,$H1200)="","",INDEX('DM01-AV-CH'!I$6:I$834,$H1200)))</f>
        <v/>
      </c>
    </row>
    <row r="1201" spans="32:35" x14ac:dyDescent="0.25">
      <c r="AF1201" s="57" t="str" cm="1">
        <f t="array" aca="1" ref="AF1201" ca="1">IF(H1201=0,"",HYPERLINK("#"&amp;RIGHT(CELL("adresse",OFFSET('DM01-AV-CH'!$G$6,H1201-1,0)),LEN(CELL("adresse",OFFSET('DM01-AV-CH'!$G$6,H1201-1,0)))-FIND("]",CELL("adresse",OFFSET('DM01-AV-CH'!$G$6,H1201-1,0)))),"Modell"))</f>
        <v/>
      </c>
      <c r="AG1201" s="59" t="str" cm="1">
        <f t="array" ref="AG1201">IF($H1201=0,"",IF(INDEX('DM01-AV-CH'!G$6:G$834,$H1201)="","",INDEX('DM01-AV-CH'!G$6:G$834,$H1201)))</f>
        <v/>
      </c>
      <c r="AH1201" s="59" t="str" cm="1">
        <f t="array" ref="AH1201">IF($H1201=0,"",IF(INDEX('DM01-AV-CH'!H$6:H$834,$H1201)="","",INDEX('DM01-AV-CH'!H$6:H$834,$H1201)))</f>
        <v/>
      </c>
      <c r="AI1201" s="59" t="str" cm="1">
        <f t="array" ref="AI1201">IF($H1201=0,"",IF(INDEX('DM01-AV-CH'!I$6:I$834,$H1201)="","",INDEX('DM01-AV-CH'!I$6:I$834,$H1201)))</f>
        <v/>
      </c>
    </row>
    <row r="1202" spans="32:35" x14ac:dyDescent="0.25">
      <c r="AF1202" s="57" t="str" cm="1">
        <f t="array" aca="1" ref="AF1202" ca="1">IF(H1202=0,"",HYPERLINK("#"&amp;RIGHT(CELL("adresse",OFFSET('DM01-AV-CH'!$G$6,H1202-1,0)),LEN(CELL("adresse",OFFSET('DM01-AV-CH'!$G$6,H1202-1,0)))-FIND("]",CELL("adresse",OFFSET('DM01-AV-CH'!$G$6,H1202-1,0)))),"Modell"))</f>
        <v/>
      </c>
      <c r="AG1202" s="59" t="str" cm="1">
        <f t="array" ref="AG1202">IF($H1202=0,"",IF(INDEX('DM01-AV-CH'!G$6:G$834,$H1202)="","",INDEX('DM01-AV-CH'!G$6:G$834,$H1202)))</f>
        <v/>
      </c>
      <c r="AH1202" s="59" t="str" cm="1">
        <f t="array" ref="AH1202">IF($H1202=0,"",IF(INDEX('DM01-AV-CH'!H$6:H$834,$H1202)="","",INDEX('DM01-AV-CH'!H$6:H$834,$H1202)))</f>
        <v/>
      </c>
      <c r="AI1202" s="59" t="str" cm="1">
        <f t="array" ref="AI1202">IF($H1202=0,"",IF(INDEX('DM01-AV-CH'!I$6:I$834,$H1202)="","",INDEX('DM01-AV-CH'!I$6:I$834,$H1202)))</f>
        <v/>
      </c>
    </row>
    <row r="1203" spans="32:35" x14ac:dyDescent="0.25">
      <c r="AF1203" s="57" t="str" cm="1">
        <f t="array" aca="1" ref="AF1203" ca="1">IF(H1203=0,"",HYPERLINK("#"&amp;RIGHT(CELL("adresse",OFFSET('DM01-AV-CH'!$G$6,H1203-1,0)),LEN(CELL("adresse",OFFSET('DM01-AV-CH'!$G$6,H1203-1,0)))-FIND("]",CELL("adresse",OFFSET('DM01-AV-CH'!$G$6,H1203-1,0)))),"Modell"))</f>
        <v/>
      </c>
      <c r="AG1203" s="59" t="str" cm="1">
        <f t="array" ref="AG1203">IF($H1203=0,"",IF(INDEX('DM01-AV-CH'!G$6:G$834,$H1203)="","",INDEX('DM01-AV-CH'!G$6:G$834,$H1203)))</f>
        <v/>
      </c>
      <c r="AH1203" s="59" t="str" cm="1">
        <f t="array" ref="AH1203">IF($H1203=0,"",IF(INDEX('DM01-AV-CH'!H$6:H$834,$H1203)="","",INDEX('DM01-AV-CH'!H$6:H$834,$H1203)))</f>
        <v/>
      </c>
      <c r="AI1203" s="59" t="str" cm="1">
        <f t="array" ref="AI1203">IF($H1203=0,"",IF(INDEX('DM01-AV-CH'!I$6:I$834,$H1203)="","",INDEX('DM01-AV-CH'!I$6:I$834,$H1203)))</f>
        <v/>
      </c>
    </row>
    <row r="1204" spans="32:35" x14ac:dyDescent="0.25">
      <c r="AF1204" s="57" t="str" cm="1">
        <f t="array" aca="1" ref="AF1204" ca="1">IF(H1204=0,"",HYPERLINK("#"&amp;RIGHT(CELL("adresse",OFFSET('DM01-AV-CH'!$G$6,H1204-1,0)),LEN(CELL("adresse",OFFSET('DM01-AV-CH'!$G$6,H1204-1,0)))-FIND("]",CELL("adresse",OFFSET('DM01-AV-CH'!$G$6,H1204-1,0)))),"Modell"))</f>
        <v/>
      </c>
      <c r="AG1204" s="59" t="str" cm="1">
        <f t="array" ref="AG1204">IF($H1204=0,"",IF(INDEX('DM01-AV-CH'!G$6:G$834,$H1204)="","",INDEX('DM01-AV-CH'!G$6:G$834,$H1204)))</f>
        <v/>
      </c>
      <c r="AH1204" s="59" t="str" cm="1">
        <f t="array" ref="AH1204">IF($H1204=0,"",IF(INDEX('DM01-AV-CH'!H$6:H$834,$H1204)="","",INDEX('DM01-AV-CH'!H$6:H$834,$H1204)))</f>
        <v/>
      </c>
      <c r="AI1204" s="59" t="str" cm="1">
        <f t="array" ref="AI1204">IF($H1204=0,"",IF(INDEX('DM01-AV-CH'!I$6:I$834,$H1204)="","",INDEX('DM01-AV-CH'!I$6:I$834,$H1204)))</f>
        <v/>
      </c>
    </row>
  </sheetData>
  <autoFilter ref="J5:AI3155" xr:uid="{348E0B8A-3CC2-4B20-8A34-EF8895036FF5}"/>
  <mergeCells count="6">
    <mergeCell ref="K4:P4"/>
    <mergeCell ref="T4:W4"/>
    <mergeCell ref="Y4:AB4"/>
    <mergeCell ref="AG4:AI4"/>
    <mergeCell ref="B4:D4"/>
    <mergeCell ref="E4:G4"/>
  </mergeCells>
  <dataValidations count="2">
    <dataValidation allowBlank="1" showInputMessage="1" showErrorMessage="1" promptTitle="Legende" prompt="I: integrieren_x000a_K: kopieren_x000a_V: verschieben" sqref="Z4 Z6:Z1048576" xr:uid="{84D1ED46-C993-488A-BBDB-FFB02AFAD3C0}"/>
    <dataValidation allowBlank="1" showInputMessage="1" showErrorMessage="1" promptTitle="Legende" prompt="K: kopieren_x000a_V: verschieben" sqref="U6:U1048576" xr:uid="{4549F76E-0DC4-4F70-8147-1223F1941214}"/>
  </dataValidation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rgb="FF00B050"/>
  </sheetPr>
  <dimension ref="A1:AH483"/>
  <sheetViews>
    <sheetView zoomScale="70" zoomScaleNormal="70" workbookViewId="0">
      <pane ySplit="5" topLeftCell="A6" activePane="bottomLeft" state="frozen"/>
      <selection pane="bottomLeft" activeCell="L6" sqref="L6"/>
    </sheetView>
  </sheetViews>
  <sheetFormatPr baseColWidth="10" defaultColWidth="9.140625" defaultRowHeight="12.75" x14ac:dyDescent="0.25"/>
  <cols>
    <col min="1" max="2" width="5.7109375" style="51" customWidth="1"/>
    <col min="3" max="3" width="10.7109375" style="51" customWidth="1"/>
    <col min="4" max="4" width="5.7109375" style="50" customWidth="1"/>
    <col min="5" max="5" width="10.7109375" style="50" hidden="1" customWidth="1"/>
    <col min="6" max="7" width="10.7109375" style="190" customWidth="1"/>
    <col min="8" max="8" width="10.7109375" style="149" hidden="1" customWidth="1"/>
    <col min="9" max="10" width="5.7109375" style="149" hidden="1" customWidth="1"/>
    <col min="11" max="11" width="5.7109375" style="50" customWidth="1"/>
    <col min="12" max="14" width="30.7109375" style="51" customWidth="1"/>
    <col min="15" max="15" width="50.7109375" style="52" customWidth="1"/>
    <col min="16" max="16" width="10.7109375" style="209" customWidth="1"/>
    <col min="17" max="18" width="50.7109375" style="210" customWidth="1"/>
    <col min="19" max="19" width="3.7109375" style="51" customWidth="1"/>
    <col min="20" max="22" width="30.7109375" style="51" customWidth="1"/>
    <col min="23" max="23" width="50.7109375" style="52" customWidth="1"/>
    <col min="24" max="24" width="9.140625" style="209" customWidth="1"/>
    <col min="25" max="26" width="50.7109375" style="210" customWidth="1"/>
    <col min="27" max="27" width="5.7109375" style="51" customWidth="1"/>
    <col min="28" max="30" width="30.7109375" style="51" customWidth="1"/>
    <col min="31" max="31" width="50.7109375" style="52" customWidth="1"/>
    <col min="32" max="32" width="10.7109375" style="209" customWidth="1"/>
    <col min="33" max="34" width="50.7109375" style="210" customWidth="1"/>
    <col min="35" max="16384" width="9.140625" style="51"/>
  </cols>
  <sheetData>
    <row r="1" spans="1:34" s="21" customFormat="1" ht="20.25" x14ac:dyDescent="0.25">
      <c r="A1" s="20" t="s">
        <v>1197</v>
      </c>
      <c r="C1" s="22"/>
      <c r="D1" s="22"/>
      <c r="E1" s="22"/>
      <c r="F1" s="191"/>
      <c r="G1" s="191"/>
      <c r="H1" s="148"/>
      <c r="I1" s="148"/>
      <c r="J1" s="148"/>
      <c r="N1" s="23"/>
      <c r="O1" s="29"/>
      <c r="P1" s="207"/>
      <c r="Q1" s="207"/>
      <c r="R1" s="208"/>
      <c r="V1" s="23"/>
      <c r="W1" s="229"/>
      <c r="X1" s="207"/>
      <c r="Y1" s="207"/>
      <c r="Z1" s="207"/>
      <c r="AE1" s="23"/>
      <c r="AF1" s="213"/>
      <c r="AG1" s="207"/>
      <c r="AH1" s="207"/>
    </row>
    <row r="2" spans="1:34" x14ac:dyDescent="0.25">
      <c r="A2" s="185" t="s">
        <v>5731</v>
      </c>
      <c r="F2" s="154"/>
      <c r="G2" s="154"/>
    </row>
    <row r="3" spans="1:34" x14ac:dyDescent="0.25">
      <c r="B3" s="151"/>
      <c r="C3" s="151"/>
      <c r="D3" s="149"/>
    </row>
    <row r="4" spans="1:34" ht="15" customHeight="1" x14ac:dyDescent="0.25">
      <c r="A4" s="250" t="s">
        <v>2808</v>
      </c>
      <c r="B4" s="250"/>
      <c r="C4" s="250"/>
      <c r="D4" s="250"/>
      <c r="E4" s="250"/>
      <c r="F4" s="250"/>
      <c r="G4" s="250"/>
      <c r="H4" s="251" t="s">
        <v>3721</v>
      </c>
      <c r="I4" s="251"/>
      <c r="J4" s="251"/>
      <c r="L4" s="247" t="s">
        <v>613</v>
      </c>
      <c r="M4" s="247"/>
      <c r="N4" s="247"/>
      <c r="O4" s="247"/>
      <c r="P4" s="248"/>
      <c r="Q4" s="248"/>
      <c r="R4" s="248"/>
      <c r="T4" s="249" t="s">
        <v>2809</v>
      </c>
      <c r="U4" s="249"/>
      <c r="V4" s="249"/>
      <c r="W4" s="249"/>
      <c r="X4" s="249"/>
      <c r="Y4" s="249"/>
      <c r="Z4" s="249"/>
      <c r="AB4" s="252" t="s">
        <v>3790</v>
      </c>
      <c r="AC4" s="252"/>
      <c r="AD4" s="252"/>
      <c r="AE4" s="252"/>
      <c r="AF4" s="252"/>
      <c r="AG4" s="252"/>
      <c r="AH4" s="252"/>
    </row>
    <row r="5" spans="1:34" x14ac:dyDescent="0.25">
      <c r="A5" s="30" t="s">
        <v>3662</v>
      </c>
      <c r="B5" s="30" t="s">
        <v>0</v>
      </c>
      <c r="C5" s="30" t="s">
        <v>4</v>
      </c>
      <c r="D5" s="31" t="s">
        <v>698</v>
      </c>
      <c r="E5" s="31" t="s">
        <v>3720</v>
      </c>
      <c r="F5" s="31" t="s">
        <v>34</v>
      </c>
      <c r="G5" s="31" t="s">
        <v>2</v>
      </c>
      <c r="H5" s="147" t="s">
        <v>6</v>
      </c>
      <c r="I5" s="147" t="s">
        <v>3722</v>
      </c>
      <c r="J5" s="147" t="s">
        <v>3723</v>
      </c>
      <c r="K5" s="32"/>
      <c r="L5" s="24" t="s">
        <v>700</v>
      </c>
      <c r="M5" s="24" t="s">
        <v>5</v>
      </c>
      <c r="N5" s="24" t="s">
        <v>7</v>
      </c>
      <c r="O5" s="26" t="s">
        <v>699</v>
      </c>
      <c r="P5" s="215" t="s">
        <v>8</v>
      </c>
      <c r="Q5" s="216" t="s">
        <v>101</v>
      </c>
      <c r="R5" s="216" t="s">
        <v>9</v>
      </c>
      <c r="T5" s="33" t="s">
        <v>701</v>
      </c>
      <c r="U5" s="33" t="s">
        <v>702</v>
      </c>
      <c r="V5" s="33" t="s">
        <v>7</v>
      </c>
      <c r="W5" s="34" t="s">
        <v>3654</v>
      </c>
      <c r="X5" s="211" t="s">
        <v>8</v>
      </c>
      <c r="Y5" s="212" t="s">
        <v>735</v>
      </c>
      <c r="Z5" s="212" t="s">
        <v>907</v>
      </c>
      <c r="AB5" s="152" t="s">
        <v>3791</v>
      </c>
      <c r="AC5" s="152" t="s">
        <v>1700</v>
      </c>
      <c r="AD5" s="152" t="s">
        <v>2732</v>
      </c>
      <c r="AE5" s="173" t="s">
        <v>3792</v>
      </c>
      <c r="AF5" s="214" t="s">
        <v>3793</v>
      </c>
      <c r="AG5" s="226" t="s">
        <v>1294</v>
      </c>
      <c r="AH5" s="226" t="s">
        <v>3794</v>
      </c>
    </row>
    <row r="6" spans="1:34" ht="25.5" x14ac:dyDescent="0.25">
      <c r="A6" s="51" t="s">
        <v>3663</v>
      </c>
      <c r="B6" s="51">
        <v>1</v>
      </c>
      <c r="C6" s="51" t="s">
        <v>25</v>
      </c>
      <c r="F6" s="189" t="str" cm="1">
        <f t="array" aca="1" ref="F6" ca="1">IF(I6=0,"",HYPERLINK("#"&amp;RIGHT(CELL("dateiname"),LEN(CELL("dateiname"))-FIND("]",CELL("dateiname")))&amp;"!"&amp;CELL("adresse",OFFSET($C$6,I6-1,0)),"Definition"))</f>
        <v/>
      </c>
      <c r="G6" s="189" t="str" cm="1">
        <f t="array" aca="1" ref="G6" ca="1">IF(J6=0,"",HYPERLINK("#"&amp;RIGHT(CELL("adresse",OFFSET(DMAV_Modell!$A$6,J6-1,0)),LEN(CELL("adresse",OFFSET(DMAV_Modell!$A$6,J6-1,0)))-SEARCH("]",CELL("adresse",OFFSET(DMAV_Modell!$A$6,J6-1,0)))),"Modell"))</f>
        <v>Modell</v>
      </c>
      <c r="H6" s="150" t="str">
        <f>A6&amp;B6</f>
        <v>DMG1</v>
      </c>
      <c r="I6" s="150">
        <f>IF(E6="",0,MATCH(E6,$H$6:$H$483,0))</f>
        <v>0</v>
      </c>
      <c r="J6" s="150">
        <f>IF(_xlfn.XLOOKUP(H6,Korrelation!$B$4:$B$723,Korrelation!$A$4:$A$723,0,0)=0,0,MATCH(_xlfn.XLOOKUP(H6,Korrelation!$B$4:$B$723,Korrelation!$A$4:$A$723,0,0),DMAV_Modell!$G$6:$G$677,0))</f>
        <v>14</v>
      </c>
      <c r="L6" s="51" t="s">
        <v>10</v>
      </c>
      <c r="M6" s="51" t="s">
        <v>26</v>
      </c>
      <c r="Q6" s="217">
        <v>228.1</v>
      </c>
      <c r="R6" s="210" t="s">
        <v>3724</v>
      </c>
      <c r="T6" s="51" t="s">
        <v>6119</v>
      </c>
      <c r="U6" s="51" t="s">
        <v>6120</v>
      </c>
      <c r="Y6" s="210">
        <v>228.1</v>
      </c>
      <c r="Z6" s="210" t="s">
        <v>6121</v>
      </c>
      <c r="AB6" s="51" t="s">
        <v>6267</v>
      </c>
      <c r="AC6" s="51" t="s">
        <v>6268</v>
      </c>
      <c r="AG6" s="210">
        <v>228.1</v>
      </c>
      <c r="AH6" s="210" t="s">
        <v>6269</v>
      </c>
    </row>
    <row r="7" spans="1:34" x14ac:dyDescent="0.25">
      <c r="A7" s="51" t="s">
        <v>3663</v>
      </c>
      <c r="B7" s="51">
        <v>2</v>
      </c>
      <c r="C7" s="51" t="s">
        <v>25</v>
      </c>
      <c r="F7" s="189" t="str" cm="1">
        <f t="array" aca="1" ref="F7" ca="1">IF(I7=0,"",HYPERLINK("#"&amp;RIGHT(CELL("dateiname"),LEN(CELL("dateiname"))-FIND("]",CELL("dateiname")))&amp;"!"&amp;CELL("adresse",OFFSET($C$6,I7-1,0)),"Definition"))</f>
        <v/>
      </c>
      <c r="G7" s="189" t="str" cm="1">
        <f t="array" aca="1" ref="G7" ca="1">IF(J7=0,"",HYPERLINK("#"&amp;RIGHT(CELL("adresse",OFFSET(DMAV_Modell!$A$6,J7-1,0)),LEN(CELL("adresse",OFFSET(DMAV_Modell!$A$6,J7-1,0)))-SEARCH("]",CELL("adresse",OFFSET(DMAV_Modell!$A$6,J7-1,0)))),"Modell"))</f>
        <v>Modell</v>
      </c>
      <c r="H7" s="150" t="str">
        <f t="shared" ref="H7:H70" si="0">A7&amp;B7</f>
        <v>DMG2</v>
      </c>
      <c r="I7" s="150">
        <f t="shared" ref="I7:I70" si="1">IF(E7="",0,MATCH(E7,$H$6:$H$483,0))</f>
        <v>0</v>
      </c>
      <c r="J7" s="150">
        <f>IF(_xlfn.XLOOKUP(H7,Korrelation!$B$4:$B$723,Korrelation!$A$4:$A$723,0,0)=0,0,MATCH(_xlfn.XLOOKUP(H7,Korrelation!$B$4:$B$723,Korrelation!$A$4:$A$723,0,0),DMAV_Modell!$G$6:$G$677,0))</f>
        <v>5</v>
      </c>
      <c r="L7" s="51" t="s">
        <v>10</v>
      </c>
      <c r="M7" s="51" t="s">
        <v>27</v>
      </c>
      <c r="O7" s="52" t="s">
        <v>13</v>
      </c>
      <c r="Q7" s="218">
        <v>228.2</v>
      </c>
      <c r="T7" s="51" t="s">
        <v>6119</v>
      </c>
      <c r="U7" s="51" t="s">
        <v>6122</v>
      </c>
      <c r="W7" s="52" t="s">
        <v>703</v>
      </c>
      <c r="Y7" s="210">
        <v>228.2</v>
      </c>
      <c r="AB7" s="51" t="s">
        <v>6267</v>
      </c>
      <c r="AC7" s="51" t="s">
        <v>6270</v>
      </c>
      <c r="AE7" s="52" t="s">
        <v>4001</v>
      </c>
      <c r="AG7" s="210">
        <v>228.2</v>
      </c>
    </row>
    <row r="8" spans="1:34" x14ac:dyDescent="0.25">
      <c r="A8" s="51" t="s">
        <v>3663</v>
      </c>
      <c r="B8" s="51">
        <v>3</v>
      </c>
      <c r="C8" s="51" t="s">
        <v>25</v>
      </c>
      <c r="F8" s="189" t="str" cm="1">
        <f t="array" aca="1" ref="F8" ca="1">IF(I8=0,"",HYPERLINK("#"&amp;RIGHT(CELL("dateiname"),LEN(CELL("dateiname"))-FIND("]",CELL("dateiname")))&amp;"!"&amp;CELL("adresse",OFFSET($C$6,I8-1,0)),"Definition"))</f>
        <v/>
      </c>
      <c r="G8" s="189" t="str" cm="1">
        <f t="array" aca="1" ref="G8" ca="1">IF(J8=0,"",HYPERLINK("#"&amp;RIGHT(CELL("adresse",OFFSET(DMAV_Modell!$A$6,J8-1,0)),LEN(CELL("adresse",OFFSET(DMAV_Modell!$A$6,J8-1,0)))-SEARCH("]",CELL("adresse",OFFSET(DMAV_Modell!$A$6,J8-1,0)))),"Modell"))</f>
        <v>Modell</v>
      </c>
      <c r="H8" s="150" t="str">
        <f t="shared" si="0"/>
        <v>DMG3</v>
      </c>
      <c r="I8" s="150">
        <f t="shared" si="1"/>
        <v>0</v>
      </c>
      <c r="J8" s="150">
        <f>IF(_xlfn.XLOOKUP(H8,Korrelation!$B$4:$B$723,Korrelation!$A$4:$A$723,0,0)=0,0,MATCH(_xlfn.XLOOKUP(H8,Korrelation!$B$4:$B$723,Korrelation!$A$4:$A$723,0,0),DMAV_Modell!$G$6:$G$677,0))</f>
        <v>8</v>
      </c>
      <c r="L8" s="51" t="s">
        <v>10</v>
      </c>
      <c r="M8" s="51" t="s">
        <v>28</v>
      </c>
      <c r="O8" s="52" t="s">
        <v>15</v>
      </c>
      <c r="Q8" s="218">
        <v>228.3</v>
      </c>
      <c r="T8" s="51" t="s">
        <v>6119</v>
      </c>
      <c r="U8" s="51" t="s">
        <v>6123</v>
      </c>
      <c r="W8" s="52" t="s">
        <v>704</v>
      </c>
      <c r="Y8" s="210">
        <v>228.3</v>
      </c>
      <c r="AB8" s="51" t="s">
        <v>6267</v>
      </c>
      <c r="AC8" s="51" t="s">
        <v>6271</v>
      </c>
      <c r="AE8" s="52" t="s">
        <v>4064</v>
      </c>
      <c r="AG8" s="210">
        <v>228.3</v>
      </c>
    </row>
    <row r="9" spans="1:34" x14ac:dyDescent="0.25">
      <c r="A9" s="51" t="s">
        <v>3663</v>
      </c>
      <c r="B9" s="51">
        <v>4</v>
      </c>
      <c r="C9" s="51" t="s">
        <v>25</v>
      </c>
      <c r="F9" s="189" t="str" cm="1">
        <f t="array" aca="1" ref="F9" ca="1">IF(I9=0,"",HYPERLINK("#"&amp;RIGHT(CELL("dateiname"),LEN(CELL("dateiname"))-FIND("]",CELL("dateiname")))&amp;"!"&amp;CELL("adresse",OFFSET($C$6,I9-1,0)),"Definition"))</f>
        <v/>
      </c>
      <c r="G9" s="189" t="str" cm="1">
        <f t="array" aca="1" ref="G9" ca="1">IF(J9=0,"",HYPERLINK("#"&amp;RIGHT(CELL("adresse",OFFSET(DMAV_Modell!$A$6,J9-1,0)),LEN(CELL("adresse",OFFSET(DMAV_Modell!$A$6,J9-1,0)))-SEARCH("]",CELL("adresse",OFFSET(DMAV_Modell!$A$6,J9-1,0)))),"Modell"))</f>
        <v>Modell</v>
      </c>
      <c r="H9" s="150" t="str">
        <f t="shared" si="0"/>
        <v>DMG4</v>
      </c>
      <c r="I9" s="150">
        <f t="shared" si="1"/>
        <v>0</v>
      </c>
      <c r="J9" s="150">
        <f>IF(_xlfn.XLOOKUP(H9,Korrelation!$B$4:$B$723,Korrelation!$A$4:$A$723,0,0)=0,0,MATCH(_xlfn.XLOOKUP(H9,Korrelation!$B$4:$B$723,Korrelation!$A$4:$A$723,0,0),DMAV_Modell!$G$6:$G$677,0))</f>
        <v>7</v>
      </c>
      <c r="L9" s="51" t="s">
        <v>10</v>
      </c>
      <c r="M9" s="51" t="s">
        <v>29</v>
      </c>
      <c r="O9" s="52" t="s">
        <v>16</v>
      </c>
      <c r="Q9" s="219">
        <v>228.4</v>
      </c>
      <c r="T9" s="51" t="s">
        <v>6119</v>
      </c>
      <c r="U9" s="51" t="s">
        <v>705</v>
      </c>
      <c r="W9" s="52" t="s">
        <v>705</v>
      </c>
      <c r="Y9" s="210">
        <v>228.4</v>
      </c>
      <c r="AB9" s="51" t="s">
        <v>6267</v>
      </c>
      <c r="AC9" s="51" t="s">
        <v>4175</v>
      </c>
      <c r="AE9" s="52" t="s">
        <v>4175</v>
      </c>
      <c r="AG9" s="210">
        <v>228.4</v>
      </c>
    </row>
    <row r="10" spans="1:34" x14ac:dyDescent="0.25">
      <c r="A10" s="51" t="s">
        <v>3663</v>
      </c>
      <c r="B10" s="51">
        <v>5</v>
      </c>
      <c r="C10" s="51" t="s">
        <v>25</v>
      </c>
      <c r="F10" s="189" t="str" cm="1">
        <f t="array" aca="1" ref="F10" ca="1">IF(I10=0,"",HYPERLINK("#"&amp;RIGHT(CELL("dateiname"),LEN(CELL("dateiname"))-FIND("]",CELL("dateiname")))&amp;"!"&amp;CELL("adresse",OFFSET($C$6,I10-1,0)),"Definition"))</f>
        <v/>
      </c>
      <c r="G10" s="189" t="str" cm="1">
        <f t="array" aca="1" ref="G10" ca="1">IF(J10=0,"",HYPERLINK("#"&amp;RIGHT(CELL("adresse",OFFSET(DMAV_Modell!$A$6,J10-1,0)),LEN(CELL("adresse",OFFSET(DMAV_Modell!$A$6,J10-1,0)))-SEARCH("]",CELL("adresse",OFFSET(DMAV_Modell!$A$6,J10-1,0)))),"Modell"))</f>
        <v>Modell</v>
      </c>
      <c r="H10" s="150" t="str">
        <f t="shared" si="0"/>
        <v>DMG5</v>
      </c>
      <c r="I10" s="150">
        <f t="shared" si="1"/>
        <v>0</v>
      </c>
      <c r="J10" s="150">
        <f>IF(_xlfn.XLOOKUP(H10,Korrelation!$B$4:$B$723,Korrelation!$A$4:$A$723,0,0)=0,0,MATCH(_xlfn.XLOOKUP(H10,Korrelation!$B$4:$B$723,Korrelation!$A$4:$A$723,0,0),DMAV_Modell!$G$6:$G$677,0))</f>
        <v>3</v>
      </c>
      <c r="L10" s="51" t="s">
        <v>10</v>
      </c>
      <c r="M10" s="51" t="s">
        <v>3356</v>
      </c>
      <c r="O10" s="52" t="s">
        <v>3356</v>
      </c>
      <c r="Q10" s="218">
        <v>228.5</v>
      </c>
      <c r="T10" s="51" t="s">
        <v>6119</v>
      </c>
      <c r="U10" s="51" t="s">
        <v>6124</v>
      </c>
      <c r="W10" s="52" t="s">
        <v>6124</v>
      </c>
      <c r="Y10" s="210">
        <v>228.5</v>
      </c>
      <c r="AB10" s="51" t="s">
        <v>6267</v>
      </c>
      <c r="AC10" s="51" t="s">
        <v>6272</v>
      </c>
      <c r="AE10" s="52" t="s">
        <v>4294</v>
      </c>
      <c r="AG10" s="210">
        <v>228.5</v>
      </c>
    </row>
    <row r="11" spans="1:34" x14ac:dyDescent="0.25">
      <c r="A11" s="51" t="s">
        <v>3663</v>
      </c>
      <c r="B11" s="51">
        <v>6</v>
      </c>
      <c r="C11" s="51" t="s">
        <v>25</v>
      </c>
      <c r="F11" s="189" t="str" cm="1">
        <f t="array" aca="1" ref="F11" ca="1">IF(I11=0,"",HYPERLINK("#"&amp;RIGHT(CELL("dateiname"),LEN(CELL("dateiname"))-FIND("]",CELL("dateiname")))&amp;"!"&amp;CELL("adresse",OFFSET($C$6,I11-1,0)),"Definition"))</f>
        <v/>
      </c>
      <c r="G11" s="189" t="str" cm="1">
        <f t="array" aca="1" ref="G11" ca="1">IF(J11=0,"",HYPERLINK("#"&amp;RIGHT(CELL("adresse",OFFSET(DMAV_Modell!$A$6,J11-1,0)),LEN(CELL("adresse",OFFSET(DMAV_Modell!$A$6,J11-1,0)))-SEARCH("]",CELL("adresse",OFFSET(DMAV_Modell!$A$6,J11-1,0)))),"Modell"))</f>
        <v>Modell</v>
      </c>
      <c r="H11" s="150" t="str">
        <f t="shared" si="0"/>
        <v>DMG6</v>
      </c>
      <c r="I11" s="150">
        <f t="shared" si="1"/>
        <v>0</v>
      </c>
      <c r="J11" s="150">
        <f>IF(_xlfn.XLOOKUP(H11,Korrelation!$B$4:$B$723,Korrelation!$A$4:$A$723,0,0)=0,0,MATCH(_xlfn.XLOOKUP(H11,Korrelation!$B$4:$B$723,Korrelation!$A$4:$A$723,0,0),DMAV_Modell!$G$6:$G$677,0))</f>
        <v>2</v>
      </c>
      <c r="L11" s="51" t="s">
        <v>10</v>
      </c>
      <c r="M11" s="51" t="s">
        <v>30</v>
      </c>
      <c r="O11" s="52" t="s">
        <v>17</v>
      </c>
      <c r="Q11" s="219">
        <v>228.6</v>
      </c>
      <c r="T11" s="51" t="s">
        <v>6119</v>
      </c>
      <c r="U11" s="51" t="s">
        <v>6125</v>
      </c>
      <c r="W11" s="52" t="s">
        <v>6126</v>
      </c>
      <c r="Y11" s="210">
        <v>228.6</v>
      </c>
      <c r="AB11" s="51" t="s">
        <v>6267</v>
      </c>
      <c r="AC11" s="51" t="s">
        <v>6273</v>
      </c>
      <c r="AE11" s="52" t="s">
        <v>4318</v>
      </c>
      <c r="AG11" s="210">
        <v>228.6</v>
      </c>
    </row>
    <row r="12" spans="1:34" x14ac:dyDescent="0.25">
      <c r="A12" s="51" t="s">
        <v>3663</v>
      </c>
      <c r="B12" s="51">
        <v>7</v>
      </c>
      <c r="C12" s="51" t="s">
        <v>25</v>
      </c>
      <c r="F12" s="189" t="str" cm="1">
        <f t="array" aca="1" ref="F12" ca="1">IF(I12=0,"",HYPERLINK("#"&amp;RIGHT(CELL("dateiname"),LEN(CELL("dateiname"))-FIND("]",CELL("dateiname")))&amp;"!"&amp;CELL("adresse",OFFSET($C$6,I12-1,0)),"Definition"))</f>
        <v/>
      </c>
      <c r="G12" s="189" t="str" cm="1">
        <f t="array" aca="1" ref="G12" ca="1">IF(J12=0,"",HYPERLINK("#"&amp;RIGHT(CELL("adresse",OFFSET(DMAV_Modell!$A$6,J12-1,0)),LEN(CELL("adresse",OFFSET(DMAV_Modell!$A$6,J12-1,0)))-SEARCH("]",CELL("adresse",OFFSET(DMAV_Modell!$A$6,J12-1,0)))),"Modell"))</f>
        <v>Modell</v>
      </c>
      <c r="H12" s="150" t="str">
        <f t="shared" si="0"/>
        <v>DMG7</v>
      </c>
      <c r="I12" s="150">
        <f t="shared" si="1"/>
        <v>0</v>
      </c>
      <c r="J12" s="150">
        <f>IF(_xlfn.XLOOKUP(H12,Korrelation!$B$4:$B$723,Korrelation!$A$4:$A$723,0,0)=0,0,MATCH(_xlfn.XLOOKUP(H12,Korrelation!$B$4:$B$723,Korrelation!$A$4:$A$723,0,0),DMAV_Modell!$G$6:$G$677,0))</f>
        <v>9</v>
      </c>
      <c r="L12" s="51" t="s">
        <v>10</v>
      </c>
      <c r="M12" s="115" t="s">
        <v>31</v>
      </c>
      <c r="O12" s="116" t="s">
        <v>18</v>
      </c>
      <c r="Q12" s="219">
        <v>228.7</v>
      </c>
      <c r="T12" s="51" t="s">
        <v>6119</v>
      </c>
      <c r="U12" s="115" t="s">
        <v>6127</v>
      </c>
      <c r="W12" s="116" t="s">
        <v>706</v>
      </c>
      <c r="Y12" s="210">
        <v>228.7</v>
      </c>
      <c r="AB12" s="51" t="s">
        <v>6267</v>
      </c>
      <c r="AC12" s="51" t="s">
        <v>6274</v>
      </c>
      <c r="AE12" s="52" t="s">
        <v>2177</v>
      </c>
      <c r="AG12" s="210">
        <v>228.7</v>
      </c>
    </row>
    <row r="13" spans="1:34" x14ac:dyDescent="0.25">
      <c r="A13" s="51" t="s">
        <v>3663</v>
      </c>
      <c r="B13" s="51">
        <v>8</v>
      </c>
      <c r="C13" s="51" t="s">
        <v>25</v>
      </c>
      <c r="F13" s="189" t="str" cm="1">
        <f t="array" aca="1" ref="F13" ca="1">IF(I13=0,"",HYPERLINK("#"&amp;RIGHT(CELL("dateiname"),LEN(CELL("dateiname"))-FIND("]",CELL("dateiname")))&amp;"!"&amp;CELL("adresse",OFFSET($C$6,I13-1,0)),"Definition"))</f>
        <v/>
      </c>
      <c r="G13" s="189" t="str" cm="1">
        <f t="array" aca="1" ref="G13" ca="1">IF(J13=0,"",HYPERLINK("#"&amp;RIGHT(CELL("adresse",OFFSET(DMAV_Modell!$A$6,J13-1,0)),LEN(CELL("adresse",OFFSET(DMAV_Modell!$A$6,J13-1,0)))-SEARCH("]",CELL("adresse",OFFSET(DMAV_Modell!$A$6,J13-1,0)))),"Modell"))</f>
        <v>Modell</v>
      </c>
      <c r="H13" s="150" t="str">
        <f t="shared" si="0"/>
        <v>DMG8</v>
      </c>
      <c r="I13" s="150">
        <f t="shared" si="1"/>
        <v>0</v>
      </c>
      <c r="J13" s="150">
        <f>IF(_xlfn.XLOOKUP(H13,Korrelation!$B$4:$B$723,Korrelation!$A$4:$A$723,0,0)=0,0,MATCH(_xlfn.XLOOKUP(H13,Korrelation!$B$4:$B$723,Korrelation!$A$4:$A$723,0,0),DMAV_Modell!$G$6:$G$677,0))</f>
        <v>1</v>
      </c>
      <c r="L13" s="51" t="s">
        <v>10</v>
      </c>
      <c r="M13" s="51" t="s">
        <v>19</v>
      </c>
      <c r="O13" s="52" t="s">
        <v>19</v>
      </c>
      <c r="Q13" s="219">
        <v>228.8</v>
      </c>
      <c r="T13" s="51" t="s">
        <v>6119</v>
      </c>
      <c r="U13" s="51" t="s">
        <v>6128</v>
      </c>
      <c r="W13" s="52" t="s">
        <v>6129</v>
      </c>
      <c r="Y13" s="210">
        <v>228.8</v>
      </c>
      <c r="AB13" s="51" t="s">
        <v>6267</v>
      </c>
      <c r="AC13" s="51" t="s">
        <v>6275</v>
      </c>
      <c r="AE13" s="52" t="s">
        <v>4357</v>
      </c>
      <c r="AG13" s="210">
        <v>228.8</v>
      </c>
    </row>
    <row r="14" spans="1:34" x14ac:dyDescent="0.25">
      <c r="A14" s="51" t="s">
        <v>3663</v>
      </c>
      <c r="B14" s="51">
        <v>9</v>
      </c>
      <c r="C14" s="51" t="s">
        <v>25</v>
      </c>
      <c r="F14" s="189" t="str" cm="1">
        <f t="array" aca="1" ref="F14" ca="1">IF(I14=0,"",HYPERLINK("#"&amp;RIGHT(CELL("dateiname"),LEN(CELL("dateiname"))-FIND("]",CELL("dateiname")))&amp;"!"&amp;CELL("adresse",OFFSET($C$6,I14-1,0)),"Definition"))</f>
        <v/>
      </c>
      <c r="G14" s="189" t="str" cm="1">
        <f t="array" aca="1" ref="G14" ca="1">IF(J14=0,"",HYPERLINK("#"&amp;RIGHT(CELL("adresse",OFFSET(DMAV_Modell!$A$6,J14-1,0)),LEN(CELL("adresse",OFFSET(DMAV_Modell!$A$6,J14-1,0)))-SEARCH("]",CELL("adresse",OFFSET(DMAV_Modell!$A$6,J14-1,0)))),"Modell"))</f>
        <v>Modell</v>
      </c>
      <c r="H14" s="150" t="str">
        <f t="shared" si="0"/>
        <v>DMG9</v>
      </c>
      <c r="I14" s="150">
        <f t="shared" si="1"/>
        <v>0</v>
      </c>
      <c r="J14" s="150">
        <f>IF(_xlfn.XLOOKUP(H14,Korrelation!$B$4:$B$723,Korrelation!$A$4:$A$723,0,0)=0,0,MATCH(_xlfn.XLOOKUP(H14,Korrelation!$B$4:$B$723,Korrelation!$A$4:$A$723,0,0),DMAV_Modell!$G$6:$G$677,0))</f>
        <v>4</v>
      </c>
      <c r="L14" s="51" t="s">
        <v>10</v>
      </c>
      <c r="M14" s="51" t="s">
        <v>20</v>
      </c>
      <c r="O14" s="52" t="s">
        <v>20</v>
      </c>
      <c r="Q14" s="219">
        <v>228.9</v>
      </c>
      <c r="T14" s="51" t="s">
        <v>6119</v>
      </c>
      <c r="U14" s="51" t="s">
        <v>6130</v>
      </c>
      <c r="W14" s="52" t="s">
        <v>707</v>
      </c>
      <c r="Y14" s="210">
        <v>228.9</v>
      </c>
      <c r="AB14" s="51" t="s">
        <v>6267</v>
      </c>
      <c r="AC14" s="51" t="s">
        <v>6276</v>
      </c>
      <c r="AE14" s="52" t="s">
        <v>4396</v>
      </c>
      <c r="AG14" s="210">
        <v>228.9</v>
      </c>
    </row>
    <row r="15" spans="1:34" x14ac:dyDescent="0.25">
      <c r="A15" s="51" t="s">
        <v>3663</v>
      </c>
      <c r="B15" s="51">
        <v>10</v>
      </c>
      <c r="C15" s="51" t="s">
        <v>25</v>
      </c>
      <c r="F15" s="189" t="str" cm="1">
        <f t="array" aca="1" ref="F15" ca="1">IF(I15=0,"",HYPERLINK("#"&amp;RIGHT(CELL("dateiname"),LEN(CELL("dateiname"))-FIND("]",CELL("dateiname")))&amp;"!"&amp;CELL("adresse",OFFSET($C$6,I15-1,0)),"Definition"))</f>
        <v/>
      </c>
      <c r="G15" s="189" t="str" cm="1">
        <f t="array" aca="1" ref="G15" ca="1">IF(J15=0,"",HYPERLINK("#"&amp;RIGHT(CELL("adresse",OFFSET(DMAV_Modell!$A$6,J15-1,0)),LEN(CELL("adresse",OFFSET(DMAV_Modell!$A$6,J15-1,0)))-SEARCH("]",CELL("adresse",OFFSET(DMAV_Modell!$A$6,J15-1,0)))),"Modell"))</f>
        <v>Modell</v>
      </c>
      <c r="H15" s="150" t="str">
        <f t="shared" si="0"/>
        <v>DMG10</v>
      </c>
      <c r="I15" s="150">
        <f t="shared" si="1"/>
        <v>0</v>
      </c>
      <c r="J15" s="150">
        <f>IF(_xlfn.XLOOKUP(H15,Korrelation!$B$4:$B$723,Korrelation!$A$4:$A$723,0,0)=0,0,MATCH(_xlfn.XLOOKUP(H15,Korrelation!$B$4:$B$723,Korrelation!$A$4:$A$723,0,0),DMAV_Modell!$G$6:$G$677,0))</f>
        <v>10</v>
      </c>
      <c r="L15" s="51" t="s">
        <v>10</v>
      </c>
      <c r="M15" s="51" t="s">
        <v>32</v>
      </c>
      <c r="O15" s="52" t="s">
        <v>21</v>
      </c>
      <c r="Q15" s="222" t="s">
        <v>6266</v>
      </c>
      <c r="T15" s="51" t="s">
        <v>6119</v>
      </c>
      <c r="U15" s="51" t="s">
        <v>6131</v>
      </c>
      <c r="W15" s="52" t="s">
        <v>708</v>
      </c>
      <c r="Y15" s="223" t="s">
        <v>6266</v>
      </c>
      <c r="AB15" s="51" t="s">
        <v>6267</v>
      </c>
      <c r="AC15" s="51" t="s">
        <v>6277</v>
      </c>
      <c r="AE15" s="52" t="s">
        <v>1937</v>
      </c>
      <c r="AG15" s="223" t="s">
        <v>6266</v>
      </c>
    </row>
    <row r="16" spans="1:34" x14ac:dyDescent="0.25">
      <c r="A16" s="51" t="s">
        <v>3663</v>
      </c>
      <c r="B16" s="51">
        <v>11</v>
      </c>
      <c r="C16" s="51" t="s">
        <v>25</v>
      </c>
      <c r="F16" s="189" t="str" cm="1">
        <f t="array" aca="1" ref="F16" ca="1">IF(I16=0,"",HYPERLINK("#"&amp;RIGHT(CELL("dateiname"),LEN(CELL("dateiname"))-FIND("]",CELL("dateiname")))&amp;"!"&amp;CELL("adresse",OFFSET($C$6,I16-1,0)),"Definition"))</f>
        <v/>
      </c>
      <c r="G16" s="189" t="str" cm="1">
        <f t="array" aca="1" ref="G16" ca="1">IF(J16=0,"",HYPERLINK("#"&amp;RIGHT(CELL("adresse",OFFSET(DMAV_Modell!$A$6,J16-1,0)),LEN(CELL("adresse",OFFSET(DMAV_Modell!$A$6,J16-1,0)))-SEARCH("]",CELL("adresse",OFFSET(DMAV_Modell!$A$6,J16-1,0)))),"Modell"))</f>
        <v>Modell</v>
      </c>
      <c r="H16" s="150" t="str">
        <f t="shared" si="0"/>
        <v>DMG11</v>
      </c>
      <c r="I16" s="150">
        <f t="shared" si="1"/>
        <v>0</v>
      </c>
      <c r="J16" s="150">
        <f>IF(_xlfn.XLOOKUP(H16,Korrelation!$B$4:$B$723,Korrelation!$A$4:$A$723,0,0)=0,0,MATCH(_xlfn.XLOOKUP(H16,Korrelation!$B$4:$B$723,Korrelation!$A$4:$A$723,0,0),DMAV_Modell!$G$6:$G$677,0))</f>
        <v>11</v>
      </c>
      <c r="L16" s="51" t="s">
        <v>10</v>
      </c>
      <c r="M16" s="51" t="s">
        <v>22</v>
      </c>
      <c r="O16" s="52" t="s">
        <v>22</v>
      </c>
      <c r="Q16" s="219">
        <v>228.11</v>
      </c>
      <c r="T16" s="51" t="s">
        <v>6119</v>
      </c>
      <c r="U16" s="51" t="s">
        <v>6132</v>
      </c>
      <c r="W16" s="52" t="s">
        <v>709</v>
      </c>
      <c r="Y16" s="210">
        <v>228.11</v>
      </c>
      <c r="AB16" s="51" t="s">
        <v>6267</v>
      </c>
      <c r="AC16" s="51" t="s">
        <v>6278</v>
      </c>
      <c r="AE16" s="52" t="s">
        <v>4431</v>
      </c>
      <c r="AG16" s="210">
        <v>228.11</v>
      </c>
    </row>
    <row r="17" spans="1:33" x14ac:dyDescent="0.25">
      <c r="A17" s="51" t="s">
        <v>3663</v>
      </c>
      <c r="B17" s="51">
        <v>12</v>
      </c>
      <c r="C17" s="51" t="s">
        <v>25</v>
      </c>
      <c r="F17" s="189" t="str" cm="1">
        <f t="array" aca="1" ref="F17" ca="1">IF(I17=0,"",HYPERLINK("#"&amp;RIGHT(CELL("dateiname"),LEN(CELL("dateiname"))-FIND("]",CELL("dateiname")))&amp;"!"&amp;CELL("adresse",OFFSET($C$6,I17-1,0)),"Definition"))</f>
        <v/>
      </c>
      <c r="G17" s="189" t="str" cm="1">
        <f t="array" aca="1" ref="G17" ca="1">IF(J17=0,"",HYPERLINK("#"&amp;RIGHT(CELL("adresse",OFFSET(DMAV_Modell!$A$6,J17-1,0)),LEN(CELL("adresse",OFFSET(DMAV_Modell!$A$6,J17-1,0)))-SEARCH("]",CELL("adresse",OFFSET(DMAV_Modell!$A$6,J17-1,0)))),"Modell"))</f>
        <v>Modell</v>
      </c>
      <c r="H17" s="150" t="str">
        <f t="shared" si="0"/>
        <v>DMG12</v>
      </c>
      <c r="I17" s="150">
        <f t="shared" si="1"/>
        <v>0</v>
      </c>
      <c r="J17" s="150">
        <f>IF(_xlfn.XLOOKUP(H17,Korrelation!$B$4:$B$723,Korrelation!$A$4:$A$723,0,0)=0,0,MATCH(_xlfn.XLOOKUP(H17,Korrelation!$B$4:$B$723,Korrelation!$A$4:$A$723,0,0),DMAV_Modell!$G$6:$G$677,0))</f>
        <v>6</v>
      </c>
      <c r="L17" s="51" t="s">
        <v>10</v>
      </c>
      <c r="M17" s="51" t="s">
        <v>33</v>
      </c>
      <c r="O17" s="52" t="s">
        <v>24</v>
      </c>
      <c r="Q17" s="220">
        <v>228.12</v>
      </c>
      <c r="T17" s="51" t="s">
        <v>6119</v>
      </c>
      <c r="U17" s="51" t="s">
        <v>6133</v>
      </c>
      <c r="W17" s="52" t="s">
        <v>710</v>
      </c>
      <c r="Y17" s="210">
        <v>228.12</v>
      </c>
      <c r="AB17" s="51" t="s">
        <v>6267</v>
      </c>
      <c r="AC17" s="51" t="s">
        <v>6279</v>
      </c>
      <c r="AE17" s="52" t="s">
        <v>4444</v>
      </c>
      <c r="AG17" s="210">
        <v>228.12</v>
      </c>
    </row>
    <row r="18" spans="1:33" ht="25.5" x14ac:dyDescent="0.25">
      <c r="A18" s="51" t="s">
        <v>3663</v>
      </c>
      <c r="B18" s="51">
        <v>13</v>
      </c>
      <c r="C18" s="51" t="s">
        <v>34</v>
      </c>
      <c r="F18" s="189" t="str" cm="1">
        <f t="array" aca="1" ref="F18" ca="1">IF(I18=0,"",HYPERLINK("#"&amp;RIGHT(CELL("dateiname"),LEN(CELL("dateiname"))-FIND("]",CELL("dateiname")))&amp;"!"&amp;CELL("adresse",OFFSET($C$6,I18-1,0)),"Definition"))</f>
        <v/>
      </c>
      <c r="G18" s="189" t="str" cm="1">
        <f t="array" aca="1" ref="G18" ca="1">IF(J18=0,"",HYPERLINK("#"&amp;RIGHT(CELL("adresse",OFFSET(DMAV_Modell!$A$6,J18-1,0)),LEN(CELL("adresse",OFFSET(DMAV_Modell!$A$6,J18-1,0)))-SEARCH("]",CELL("adresse",OFFSET(DMAV_Modell!$A$6,J18-1,0)))),"Modell"))</f>
        <v>Modell</v>
      </c>
      <c r="H18" s="150" t="str">
        <f t="shared" si="0"/>
        <v>DMG13</v>
      </c>
      <c r="I18" s="150">
        <f t="shared" si="1"/>
        <v>0</v>
      </c>
      <c r="J18" s="150">
        <f>IF(_xlfn.XLOOKUP(H18,Korrelation!$B$4:$B$723,Korrelation!$A$4:$A$723,0,0)=0,0,MATCH(_xlfn.XLOOKUP(H18,Korrelation!$B$4:$B$723,Korrelation!$A$4:$A$723,0,0),DMAV_Modell!$G$6:$G$677,0))</f>
        <v>42</v>
      </c>
      <c r="L18" s="51" t="s">
        <v>10</v>
      </c>
      <c r="M18" s="51" t="s">
        <v>265</v>
      </c>
      <c r="O18" s="144" t="s">
        <v>35</v>
      </c>
      <c r="Q18" s="219" t="s">
        <v>36</v>
      </c>
      <c r="T18" s="51" t="s">
        <v>6119</v>
      </c>
      <c r="U18" s="51" t="s">
        <v>711</v>
      </c>
      <c r="W18" s="144" t="s">
        <v>712</v>
      </c>
      <c r="Y18" s="224" t="s">
        <v>6134</v>
      </c>
      <c r="AB18" s="51" t="s">
        <v>6267</v>
      </c>
      <c r="AC18" s="51" t="s">
        <v>1976</v>
      </c>
      <c r="AE18" s="52" t="s">
        <v>2708</v>
      </c>
      <c r="AG18" s="210" t="s">
        <v>6280</v>
      </c>
    </row>
    <row r="19" spans="1:33" ht="38.25" x14ac:dyDescent="0.25">
      <c r="A19" s="51" t="s">
        <v>3663</v>
      </c>
      <c r="B19" s="51">
        <v>14</v>
      </c>
      <c r="C19" s="51" t="s">
        <v>34</v>
      </c>
      <c r="F19" s="189" t="str" cm="1">
        <f t="array" aca="1" ref="F19" ca="1">IF(I19=0,"",HYPERLINK("#"&amp;RIGHT(CELL("dateiname"),LEN(CELL("dateiname"))-FIND("]",CELL("dateiname")))&amp;"!"&amp;CELL("adresse",OFFSET($C$6,I19-1,0)),"Definition"))</f>
        <v/>
      </c>
      <c r="G19" s="189" t="str" cm="1">
        <f t="array" aca="1" ref="G19" ca="1">IF(J19=0,"",HYPERLINK("#"&amp;RIGHT(CELL("adresse",OFFSET(DMAV_Modell!$A$6,J19-1,0)),LEN(CELL("adresse",OFFSET(DMAV_Modell!$A$6,J19-1,0)))-SEARCH("]",CELL("adresse",OFFSET(DMAV_Modell!$A$6,J19-1,0)))),"Modell"))</f>
        <v>Modell</v>
      </c>
      <c r="H19" s="150" t="str">
        <f t="shared" si="0"/>
        <v>DMG14</v>
      </c>
      <c r="I19" s="150">
        <f t="shared" si="1"/>
        <v>0</v>
      </c>
      <c r="J19" s="150">
        <f>IF(_xlfn.XLOOKUP(H19,Korrelation!$B$4:$B$723,Korrelation!$A$4:$A$723,0,0)=0,0,MATCH(_xlfn.XLOOKUP(H19,Korrelation!$B$4:$B$723,Korrelation!$A$4:$A$723,0,0),DMAV_Modell!$G$6:$G$677,0))</f>
        <v>43</v>
      </c>
      <c r="L19" s="51" t="s">
        <v>10</v>
      </c>
      <c r="M19" s="51" t="s">
        <v>265</v>
      </c>
      <c r="O19" s="144" t="s">
        <v>37</v>
      </c>
      <c r="Q19" s="219" t="s">
        <v>38</v>
      </c>
      <c r="T19" s="51" t="s">
        <v>6119</v>
      </c>
      <c r="U19" s="51" t="s">
        <v>711</v>
      </c>
      <c r="W19" s="144" t="s">
        <v>713</v>
      </c>
      <c r="Y19" s="210" t="s">
        <v>6135</v>
      </c>
      <c r="AB19" s="51" t="s">
        <v>6267</v>
      </c>
      <c r="AC19" s="51" t="s">
        <v>1976</v>
      </c>
      <c r="AE19" s="52" t="s">
        <v>713</v>
      </c>
      <c r="AG19" s="210" t="s">
        <v>6281</v>
      </c>
    </row>
    <row r="20" spans="1:33" ht="25.5" x14ac:dyDescent="0.25">
      <c r="A20" s="51" t="s">
        <v>3663</v>
      </c>
      <c r="B20" s="51">
        <v>15</v>
      </c>
      <c r="C20" s="51" t="s">
        <v>34</v>
      </c>
      <c r="F20" s="189" t="str" cm="1">
        <f t="array" aca="1" ref="F20" ca="1">IF(I20=0,"",HYPERLINK("#"&amp;RIGHT(CELL("dateiname"),LEN(CELL("dateiname"))-FIND("]",CELL("dateiname")))&amp;"!"&amp;CELL("adresse",OFFSET($C$6,I20-1,0)),"Definition"))</f>
        <v/>
      </c>
      <c r="G20" s="189" t="str" cm="1">
        <f t="array" aca="1" ref="G20" ca="1">IF(J20=0,"",HYPERLINK("#"&amp;RIGHT(CELL("adresse",OFFSET(DMAV_Modell!$A$6,J20-1,0)),LEN(CELL("adresse",OFFSET(DMAV_Modell!$A$6,J20-1,0)))-SEARCH("]",CELL("adresse",OFFSET(DMAV_Modell!$A$6,J20-1,0)))),"Modell"))</f>
        <v>Modell</v>
      </c>
      <c r="H20" s="150" t="str">
        <f t="shared" si="0"/>
        <v>DMG15</v>
      </c>
      <c r="I20" s="150">
        <f t="shared" si="1"/>
        <v>0</v>
      </c>
      <c r="J20" s="150">
        <f>IF(_xlfn.XLOOKUP(H20,Korrelation!$B$4:$B$723,Korrelation!$A$4:$A$723,0,0)=0,0,MATCH(_xlfn.XLOOKUP(H20,Korrelation!$B$4:$B$723,Korrelation!$A$4:$A$723,0,0),DMAV_Modell!$G$6:$G$677,0))</f>
        <v>45</v>
      </c>
      <c r="L20" s="51" t="s">
        <v>10</v>
      </c>
      <c r="M20" s="145" t="s">
        <v>39</v>
      </c>
      <c r="O20" s="144" t="s">
        <v>40</v>
      </c>
      <c r="Q20" s="219" t="s">
        <v>41</v>
      </c>
      <c r="T20" s="51" t="s">
        <v>6119</v>
      </c>
      <c r="U20" s="145" t="s">
        <v>714</v>
      </c>
      <c r="W20" s="52" t="s">
        <v>715</v>
      </c>
      <c r="Y20" s="210" t="s">
        <v>6136</v>
      </c>
      <c r="AB20" s="51" t="s">
        <v>6267</v>
      </c>
      <c r="AC20" s="51" t="s">
        <v>1844</v>
      </c>
      <c r="AE20" s="52" t="s">
        <v>3960</v>
      </c>
      <c r="AG20" s="210" t="s">
        <v>6282</v>
      </c>
    </row>
    <row r="21" spans="1:33" ht="25.5" x14ac:dyDescent="0.25">
      <c r="A21" s="51" t="s">
        <v>3663</v>
      </c>
      <c r="B21" s="51">
        <v>16</v>
      </c>
      <c r="C21" s="51" t="s">
        <v>34</v>
      </c>
      <c r="F21" s="189" t="str" cm="1">
        <f t="array" aca="1" ref="F21" ca="1">IF(I21=0,"",HYPERLINK("#"&amp;RIGHT(CELL("dateiname"),LEN(CELL("dateiname"))-FIND("]",CELL("dateiname")))&amp;"!"&amp;CELL("adresse",OFFSET($C$6,I21-1,0)),"Definition"))</f>
        <v/>
      </c>
      <c r="G21" s="189" t="str" cm="1">
        <f t="array" aca="1" ref="G21" ca="1">IF(J21=0,"",HYPERLINK("#"&amp;RIGHT(CELL("adresse",OFFSET(DMAV_Modell!$A$6,J21-1,0)),LEN(CELL("adresse",OFFSET(DMAV_Modell!$A$6,J21-1,0)))-SEARCH("]",CELL("adresse",OFFSET(DMAV_Modell!$A$6,J21-1,0)))),"Modell"))</f>
        <v>Modell</v>
      </c>
      <c r="H21" s="150" t="str">
        <f t="shared" si="0"/>
        <v>DMG16</v>
      </c>
      <c r="I21" s="150">
        <f t="shared" si="1"/>
        <v>0</v>
      </c>
      <c r="J21" s="150">
        <f>IF(_xlfn.XLOOKUP(H21,Korrelation!$B$4:$B$723,Korrelation!$A$4:$A$723,0,0)=0,0,MATCH(_xlfn.XLOOKUP(H21,Korrelation!$B$4:$B$723,Korrelation!$A$4:$A$723,0,0),DMAV_Modell!$G$6:$G$677,0))</f>
        <v>46</v>
      </c>
      <c r="L21" s="51" t="s">
        <v>10</v>
      </c>
      <c r="M21" s="51" t="s">
        <v>39</v>
      </c>
      <c r="O21" s="52" t="s">
        <v>42</v>
      </c>
      <c r="Q21" s="210" t="s">
        <v>43</v>
      </c>
      <c r="T21" s="51" t="s">
        <v>6119</v>
      </c>
      <c r="U21" s="51" t="s">
        <v>714</v>
      </c>
      <c r="W21" s="52" t="s">
        <v>2806</v>
      </c>
      <c r="Y21" s="210" t="s">
        <v>6137</v>
      </c>
      <c r="AB21" s="51" t="s">
        <v>6267</v>
      </c>
      <c r="AC21" s="51" t="s">
        <v>1844</v>
      </c>
      <c r="AE21" s="52" t="s">
        <v>3961</v>
      </c>
      <c r="AG21" s="210" t="s">
        <v>6283</v>
      </c>
    </row>
    <row r="22" spans="1:33" ht="25.5" x14ac:dyDescent="0.25">
      <c r="A22" s="51" t="s">
        <v>3663</v>
      </c>
      <c r="B22" s="51">
        <v>17</v>
      </c>
      <c r="C22" s="51" t="s">
        <v>34</v>
      </c>
      <c r="F22" s="189" t="str" cm="1">
        <f t="array" aca="1" ref="F22" ca="1">IF(I22=0,"",HYPERLINK("#"&amp;RIGHT(CELL("dateiname"),LEN(CELL("dateiname"))-FIND("]",CELL("dateiname")))&amp;"!"&amp;CELL("adresse",OFFSET($C$6,I22-1,0)),"Definition"))</f>
        <v/>
      </c>
      <c r="G22" s="189" t="str" cm="1">
        <f t="array" aca="1" ref="G22" ca="1">IF(J22=0,"",HYPERLINK("#"&amp;RIGHT(CELL("adresse",OFFSET(DMAV_Modell!$A$6,J22-1,0)),LEN(CELL("adresse",OFFSET(DMAV_Modell!$A$6,J22-1,0)))-SEARCH("]",CELL("adresse",OFFSET(DMAV_Modell!$A$6,J22-1,0)))),"Modell"))</f>
        <v>Modell</v>
      </c>
      <c r="H22" s="150" t="str">
        <f t="shared" si="0"/>
        <v>DMG17</v>
      </c>
      <c r="I22" s="150">
        <f t="shared" si="1"/>
        <v>0</v>
      </c>
      <c r="J22" s="150">
        <f>IF(_xlfn.XLOOKUP(H22,Korrelation!$B$4:$B$723,Korrelation!$A$4:$A$723,0,0)=0,0,MATCH(_xlfn.XLOOKUP(H22,Korrelation!$B$4:$B$723,Korrelation!$A$4:$A$723,0,0),DMAV_Modell!$G$6:$G$677,0))</f>
        <v>47</v>
      </c>
      <c r="L22" s="51" t="s">
        <v>10</v>
      </c>
      <c r="M22" s="51" t="s">
        <v>39</v>
      </c>
      <c r="O22" s="52" t="s">
        <v>44</v>
      </c>
      <c r="Q22" s="210" t="s">
        <v>45</v>
      </c>
      <c r="T22" s="51" t="s">
        <v>6119</v>
      </c>
      <c r="U22" s="51" t="s">
        <v>714</v>
      </c>
      <c r="W22" s="52" t="s">
        <v>716</v>
      </c>
      <c r="Y22" s="210" t="s">
        <v>6138</v>
      </c>
      <c r="AB22" s="51" t="s">
        <v>6267</v>
      </c>
      <c r="AC22" s="51" t="s">
        <v>1844</v>
      </c>
      <c r="AE22" s="52" t="s">
        <v>3962</v>
      </c>
      <c r="AG22" s="210" t="s">
        <v>6284</v>
      </c>
    </row>
    <row r="23" spans="1:33" x14ac:dyDescent="0.25">
      <c r="A23" s="51" t="s">
        <v>3663</v>
      </c>
      <c r="B23" s="51">
        <v>18</v>
      </c>
      <c r="C23" s="51" t="s">
        <v>34</v>
      </c>
      <c r="F23" s="189" t="str" cm="1">
        <f t="array" aca="1" ref="F23" ca="1">IF(I23=0,"",HYPERLINK("#"&amp;RIGHT(CELL("dateiname"),LEN(CELL("dateiname"))-FIND("]",CELL("dateiname")))&amp;"!"&amp;CELL("adresse",OFFSET($C$6,I23-1,0)),"Definition"))</f>
        <v/>
      </c>
      <c r="G23" s="189" t="str" cm="1">
        <f t="array" aca="1" ref="G23" ca="1">IF(J23=0,"",HYPERLINK("#"&amp;RIGHT(CELL("adresse",OFFSET(DMAV_Modell!$A$6,J23-1,0)),LEN(CELL("adresse",OFFSET(DMAV_Modell!$A$6,J23-1,0)))-SEARCH("]",CELL("adresse",OFFSET(DMAV_Modell!$A$6,J23-1,0)))),"Modell"))</f>
        <v>Modell</v>
      </c>
      <c r="H23" s="150" t="str">
        <f t="shared" si="0"/>
        <v>DMG18</v>
      </c>
      <c r="I23" s="150">
        <f t="shared" si="1"/>
        <v>0</v>
      </c>
      <c r="J23" s="150">
        <f>IF(_xlfn.XLOOKUP(H23,Korrelation!$B$4:$B$723,Korrelation!$A$4:$A$723,0,0)=0,0,MATCH(_xlfn.XLOOKUP(H23,Korrelation!$B$4:$B$723,Korrelation!$A$4:$A$723,0,0),DMAV_Modell!$G$6:$G$677,0))</f>
        <v>48</v>
      </c>
      <c r="L23" s="51" t="s">
        <v>10</v>
      </c>
      <c r="M23" s="137" t="s">
        <v>39</v>
      </c>
      <c r="O23" s="52" t="s">
        <v>46</v>
      </c>
      <c r="Q23" s="221" t="s">
        <v>47</v>
      </c>
      <c r="T23" s="51" t="s">
        <v>6119</v>
      </c>
      <c r="U23" s="51" t="s">
        <v>714</v>
      </c>
      <c r="W23" s="225" t="s">
        <v>717</v>
      </c>
      <c r="Y23" s="210" t="s">
        <v>6139</v>
      </c>
      <c r="AB23" s="51" t="s">
        <v>6267</v>
      </c>
      <c r="AC23" s="51" t="s">
        <v>1844</v>
      </c>
      <c r="AE23" s="52" t="s">
        <v>3963</v>
      </c>
      <c r="AG23" s="210" t="s">
        <v>6285</v>
      </c>
    </row>
    <row r="24" spans="1:33" x14ac:dyDescent="0.25">
      <c r="A24" s="51" t="s">
        <v>3663</v>
      </c>
      <c r="B24" s="51">
        <v>19</v>
      </c>
      <c r="C24" s="51" t="s">
        <v>34</v>
      </c>
      <c r="F24" s="189" t="str" cm="1">
        <f t="array" aca="1" ref="F24" ca="1">IF(I24=0,"",HYPERLINK("#"&amp;RIGHT(CELL("dateiname"),LEN(CELL("dateiname"))-FIND("]",CELL("dateiname")))&amp;"!"&amp;CELL("adresse",OFFSET($C$6,I24-1,0)),"Definition"))</f>
        <v/>
      </c>
      <c r="G24" s="189" t="str" cm="1">
        <f t="array" aca="1" ref="G24" ca="1">IF(J24=0,"",HYPERLINK("#"&amp;RIGHT(CELL("adresse",OFFSET(DMAV_Modell!$A$6,J24-1,0)),LEN(CELL("adresse",OFFSET(DMAV_Modell!$A$6,J24-1,0)))-SEARCH("]",CELL("adresse",OFFSET(DMAV_Modell!$A$6,J24-1,0)))),"Modell"))</f>
        <v>Modell</v>
      </c>
      <c r="H24" s="150" t="str">
        <f t="shared" si="0"/>
        <v>DMG19</v>
      </c>
      <c r="I24" s="150">
        <f t="shared" si="1"/>
        <v>0</v>
      </c>
      <c r="J24" s="150">
        <f>IF(_xlfn.XLOOKUP(H24,Korrelation!$B$4:$B$723,Korrelation!$A$4:$A$723,0,0)=0,0,MATCH(_xlfn.XLOOKUP(H24,Korrelation!$B$4:$B$723,Korrelation!$A$4:$A$723,0,0),DMAV_Modell!$G$6:$G$677,0))</f>
        <v>49</v>
      </c>
      <c r="L24" s="51" t="s">
        <v>10</v>
      </c>
      <c r="M24" s="137" t="s">
        <v>39</v>
      </c>
      <c r="O24" s="52" t="s">
        <v>48</v>
      </c>
      <c r="Q24" s="221" t="s">
        <v>49</v>
      </c>
      <c r="T24" s="51" t="s">
        <v>6119</v>
      </c>
      <c r="U24" s="51" t="s">
        <v>714</v>
      </c>
      <c r="W24" s="225" t="s">
        <v>718</v>
      </c>
      <c r="Y24" s="210" t="s">
        <v>6140</v>
      </c>
      <c r="AB24" s="51" t="s">
        <v>6267</v>
      </c>
      <c r="AC24" s="51" t="s">
        <v>1844</v>
      </c>
      <c r="AE24" s="52" t="s">
        <v>3964</v>
      </c>
      <c r="AG24" s="210" t="s">
        <v>6286</v>
      </c>
    </row>
    <row r="25" spans="1:33" ht="25.5" x14ac:dyDescent="0.25">
      <c r="A25" s="51" t="s">
        <v>3663</v>
      </c>
      <c r="B25" s="51">
        <v>20</v>
      </c>
      <c r="C25" s="51" t="s">
        <v>34</v>
      </c>
      <c r="F25" s="189" t="str" cm="1">
        <f t="array" aca="1" ref="F25" ca="1">IF(I25=0,"",HYPERLINK("#"&amp;RIGHT(CELL("dateiname"),LEN(CELL("dateiname"))-FIND("]",CELL("dateiname")))&amp;"!"&amp;CELL("adresse",OFFSET($C$6,I25-1,0)),"Definition"))</f>
        <v/>
      </c>
      <c r="G25" s="189" t="str" cm="1">
        <f t="array" aca="1" ref="G25" ca="1">IF(J25=0,"",HYPERLINK("#"&amp;RIGHT(CELL("adresse",OFFSET(DMAV_Modell!$A$6,J25-1,0)),LEN(CELL("adresse",OFFSET(DMAV_Modell!$A$6,J25-1,0)))-SEARCH("]",CELL("adresse",OFFSET(DMAV_Modell!$A$6,J25-1,0)))),"Modell"))</f>
        <v>Modell</v>
      </c>
      <c r="H25" s="150" t="str">
        <f t="shared" si="0"/>
        <v>DMG20</v>
      </c>
      <c r="I25" s="150">
        <f t="shared" si="1"/>
        <v>0</v>
      </c>
      <c r="J25" s="150">
        <f>IF(_xlfn.XLOOKUP(H25,Korrelation!$B$4:$B$723,Korrelation!$A$4:$A$723,0,0)=0,0,MATCH(_xlfn.XLOOKUP(H25,Korrelation!$B$4:$B$723,Korrelation!$A$4:$A$723,0,0),DMAV_Modell!$G$6:$G$677,0))</f>
        <v>50</v>
      </c>
      <c r="L25" s="51" t="s">
        <v>10</v>
      </c>
      <c r="M25" s="137" t="s">
        <v>39</v>
      </c>
      <c r="O25" s="52" t="s">
        <v>50</v>
      </c>
      <c r="Q25" s="221" t="s">
        <v>51</v>
      </c>
      <c r="T25" s="51" t="s">
        <v>6119</v>
      </c>
      <c r="U25" s="51" t="s">
        <v>714</v>
      </c>
      <c r="W25" s="225" t="s">
        <v>719</v>
      </c>
      <c r="Y25" s="210" t="s">
        <v>6141</v>
      </c>
      <c r="AB25" s="51" t="s">
        <v>6267</v>
      </c>
      <c r="AC25" s="51" t="s">
        <v>1844</v>
      </c>
      <c r="AE25" s="52" t="s">
        <v>3965</v>
      </c>
      <c r="AG25" s="210" t="s">
        <v>6287</v>
      </c>
    </row>
    <row r="26" spans="1:33" x14ac:dyDescent="0.25">
      <c r="A26" s="51" t="s">
        <v>3663</v>
      </c>
      <c r="B26" s="51">
        <v>21</v>
      </c>
      <c r="C26" s="51" t="s">
        <v>34</v>
      </c>
      <c r="F26" s="189" t="str" cm="1">
        <f t="array" aca="1" ref="F26" ca="1">IF(I26=0,"",HYPERLINK("#"&amp;RIGHT(CELL("dateiname"),LEN(CELL("dateiname"))-FIND("]",CELL("dateiname")))&amp;"!"&amp;CELL("adresse",OFFSET($C$6,I26-1,0)),"Definition"))</f>
        <v/>
      </c>
      <c r="G26" s="189" t="str" cm="1">
        <f t="array" aca="1" ref="G26" ca="1">IF(J26=0,"",HYPERLINK("#"&amp;RIGHT(CELL("adresse",OFFSET(DMAV_Modell!$A$6,J26-1,0)),LEN(CELL("adresse",OFFSET(DMAV_Modell!$A$6,J26-1,0)))-SEARCH("]",CELL("adresse",OFFSET(DMAV_Modell!$A$6,J26-1,0)))),"Modell"))</f>
        <v>Modell</v>
      </c>
      <c r="H26" s="150" t="str">
        <f t="shared" si="0"/>
        <v>DMG21</v>
      </c>
      <c r="I26" s="150">
        <f t="shared" si="1"/>
        <v>0</v>
      </c>
      <c r="J26" s="150">
        <f>IF(_xlfn.XLOOKUP(H26,Korrelation!$B$4:$B$723,Korrelation!$A$4:$A$723,0,0)=0,0,MATCH(_xlfn.XLOOKUP(H26,Korrelation!$B$4:$B$723,Korrelation!$A$4:$A$723,0,0),DMAV_Modell!$G$6:$G$677,0))</f>
        <v>51</v>
      </c>
      <c r="L26" s="51" t="s">
        <v>10</v>
      </c>
      <c r="M26" s="51" t="s">
        <v>39</v>
      </c>
      <c r="O26" s="52" t="s">
        <v>52</v>
      </c>
      <c r="Q26" s="221" t="s">
        <v>53</v>
      </c>
      <c r="T26" s="51" t="s">
        <v>6119</v>
      </c>
      <c r="U26" s="51" t="s">
        <v>714</v>
      </c>
      <c r="W26" s="52" t="s">
        <v>6142</v>
      </c>
      <c r="Y26" s="210" t="s">
        <v>6143</v>
      </c>
      <c r="AB26" s="51" t="s">
        <v>6267</v>
      </c>
      <c r="AC26" s="51" t="s">
        <v>1844</v>
      </c>
      <c r="AE26" s="52" t="s">
        <v>6288</v>
      </c>
      <c r="AG26" s="210" t="s">
        <v>6289</v>
      </c>
    </row>
    <row r="27" spans="1:33" ht="25.5" x14ac:dyDescent="0.25">
      <c r="A27" s="51" t="s">
        <v>3663</v>
      </c>
      <c r="B27" s="51">
        <v>22</v>
      </c>
      <c r="C27" s="51" t="s">
        <v>34</v>
      </c>
      <c r="F27" s="189" t="str" cm="1">
        <f t="array" aca="1" ref="F27" ca="1">IF(I27=0,"",HYPERLINK("#"&amp;RIGHT(CELL("dateiname"),LEN(CELL("dateiname"))-FIND("]",CELL("dateiname")))&amp;"!"&amp;CELL("adresse",OFFSET($C$6,I27-1,0)),"Definition"))</f>
        <v/>
      </c>
      <c r="G27" s="189" t="str" cm="1">
        <f t="array" aca="1" ref="G27" ca="1">IF(J27=0,"",HYPERLINK("#"&amp;RIGHT(CELL("adresse",OFFSET(DMAV_Modell!$A$6,J27-1,0)),LEN(CELL("adresse",OFFSET(DMAV_Modell!$A$6,J27-1,0)))-SEARCH("]",CELL("adresse",OFFSET(DMAV_Modell!$A$6,J27-1,0)))),"Modell"))</f>
        <v>Modell</v>
      </c>
      <c r="H27" s="150" t="str">
        <f t="shared" si="0"/>
        <v>DMG22</v>
      </c>
      <c r="I27" s="150">
        <f t="shared" si="1"/>
        <v>0</v>
      </c>
      <c r="J27" s="150">
        <f>IF(_xlfn.XLOOKUP(H27,Korrelation!$B$4:$B$723,Korrelation!$A$4:$A$723,0,0)=0,0,MATCH(_xlfn.XLOOKUP(H27,Korrelation!$B$4:$B$723,Korrelation!$A$4:$A$723,0,0),DMAV_Modell!$G$6:$G$677,0))</f>
        <v>52</v>
      </c>
      <c r="L27" s="51" t="s">
        <v>10</v>
      </c>
      <c r="M27" s="51" t="s">
        <v>39</v>
      </c>
      <c r="O27" s="52" t="s">
        <v>54</v>
      </c>
      <c r="Q27" s="221" t="s">
        <v>55</v>
      </c>
      <c r="T27" s="51" t="s">
        <v>6119</v>
      </c>
      <c r="U27" s="51" t="s">
        <v>714</v>
      </c>
      <c r="W27" s="225" t="s">
        <v>6144</v>
      </c>
      <c r="Y27" s="210" t="s">
        <v>6145</v>
      </c>
      <c r="AB27" s="51" t="s">
        <v>6267</v>
      </c>
      <c r="AC27" s="51" t="s">
        <v>1844</v>
      </c>
      <c r="AE27" s="52" t="s">
        <v>1382</v>
      </c>
      <c r="AG27" s="210" t="s">
        <v>6290</v>
      </c>
    </row>
    <row r="28" spans="1:33" ht="140.25" x14ac:dyDescent="0.25">
      <c r="A28" s="51" t="s">
        <v>3663</v>
      </c>
      <c r="B28" s="51">
        <v>23</v>
      </c>
      <c r="C28" s="51" t="s">
        <v>3664</v>
      </c>
      <c r="F28" s="189" t="str" cm="1">
        <f t="array" aca="1" ref="F28" ca="1">IF(I28=0,"",HYPERLINK("#"&amp;RIGHT(CELL("dateiname"),LEN(CELL("dateiname"))-FIND("]",CELL("dateiname")))&amp;"!"&amp;CELL("adresse",OFFSET($C$6,I28-1,0)),"Definition"))</f>
        <v/>
      </c>
      <c r="G28" s="189" t="str" cm="1">
        <f t="array" aca="1" ref="G28" ca="1">IF(J28=0,"",HYPERLINK("#"&amp;RIGHT(CELL("adresse",OFFSET(DMAV_Modell!$A$6,J28-1,0)),LEN(CELL("adresse",OFFSET(DMAV_Modell!$A$6,J28-1,0)))-SEARCH("]",CELL("adresse",OFFSET(DMAV_Modell!$A$6,J28-1,0)))),"Modell"))</f>
        <v>Modell</v>
      </c>
      <c r="H28" s="150" t="str">
        <f t="shared" si="0"/>
        <v>DMG23</v>
      </c>
      <c r="I28" s="150">
        <f t="shared" si="1"/>
        <v>0</v>
      </c>
      <c r="J28" s="150">
        <f>IF(_xlfn.XLOOKUP(H28,Korrelation!$B$4:$B$723,Korrelation!$A$4:$A$723,0,0)=0,0,MATCH(_xlfn.XLOOKUP(H28,Korrelation!$B$4:$B$723,Korrelation!$A$4:$A$723,0,0),DMAV_Modell!$G$6:$G$677,0))</f>
        <v>44</v>
      </c>
      <c r="L28" s="51" t="s">
        <v>10</v>
      </c>
      <c r="M28" s="51" t="s">
        <v>3725</v>
      </c>
      <c r="Q28" s="210" t="s">
        <v>3726</v>
      </c>
      <c r="T28" s="51" t="s">
        <v>6119</v>
      </c>
      <c r="U28" s="51" t="s">
        <v>3725</v>
      </c>
      <c r="W28" s="225"/>
      <c r="Y28" s="210" t="s">
        <v>6146</v>
      </c>
      <c r="AB28" s="51" t="s">
        <v>6267</v>
      </c>
      <c r="AC28" s="51" t="s">
        <v>3725</v>
      </c>
      <c r="AG28" s="210" t="s">
        <v>6291</v>
      </c>
    </row>
    <row r="29" spans="1:33" ht="63.75" x14ac:dyDescent="0.25">
      <c r="A29" s="51" t="s">
        <v>3663</v>
      </c>
      <c r="B29" s="51">
        <v>24</v>
      </c>
      <c r="C29" s="51" t="s">
        <v>34</v>
      </c>
      <c r="F29" s="189" t="str" cm="1">
        <f t="array" aca="1" ref="F29" ca="1">IF(I29=0,"",HYPERLINK("#"&amp;RIGHT(CELL("dateiname"),LEN(CELL("dateiname"))-FIND("]",CELL("dateiname")))&amp;"!"&amp;CELL("adresse",OFFSET($C$6,I29-1,0)),"Definition"))</f>
        <v/>
      </c>
      <c r="G29" s="189" t="str" cm="1">
        <f t="array" aca="1" ref="G29" ca="1">IF(J29=0,"",HYPERLINK("#"&amp;RIGHT(CELL("adresse",OFFSET(DMAV_Modell!$A$6,J29-1,0)),LEN(CELL("adresse",OFFSET(DMAV_Modell!$A$6,J29-1,0)))-SEARCH("]",CELL("adresse",OFFSET(DMAV_Modell!$A$6,J29-1,0)))),"Modell"))</f>
        <v>Modell</v>
      </c>
      <c r="H29" s="150" t="str">
        <f t="shared" si="0"/>
        <v>DMG24</v>
      </c>
      <c r="I29" s="150">
        <f t="shared" si="1"/>
        <v>0</v>
      </c>
      <c r="J29" s="150">
        <f>IF(_xlfn.XLOOKUP(H29,Korrelation!$B$4:$B$723,Korrelation!$A$4:$A$723,0,0)=0,0,MATCH(_xlfn.XLOOKUP(H29,Korrelation!$B$4:$B$723,Korrelation!$A$4:$A$723,0,0),DMAV_Modell!$G$6:$G$677,0))</f>
        <v>21</v>
      </c>
      <c r="L29" s="51" t="s">
        <v>10</v>
      </c>
      <c r="M29" s="51" t="s">
        <v>56</v>
      </c>
      <c r="O29" s="52" t="s">
        <v>57</v>
      </c>
      <c r="Q29" s="210" t="s">
        <v>3727</v>
      </c>
      <c r="T29" s="51" t="s">
        <v>6119</v>
      </c>
      <c r="U29" s="51" t="s">
        <v>720</v>
      </c>
      <c r="W29" s="52" t="s">
        <v>721</v>
      </c>
      <c r="Y29" s="210" t="s">
        <v>6147</v>
      </c>
      <c r="AB29" s="51" t="s">
        <v>6267</v>
      </c>
      <c r="AC29" s="51" t="s">
        <v>3928</v>
      </c>
      <c r="AE29" s="52" t="s">
        <v>3929</v>
      </c>
      <c r="AG29" s="210" t="s">
        <v>6292</v>
      </c>
    </row>
    <row r="30" spans="1:33" ht="51" x14ac:dyDescent="0.25">
      <c r="A30" s="51" t="s">
        <v>3663</v>
      </c>
      <c r="B30" s="51">
        <v>25</v>
      </c>
      <c r="C30" s="51" t="s">
        <v>34</v>
      </c>
      <c r="F30" s="189" t="str" cm="1">
        <f t="array" aca="1" ref="F30" ca="1">IF(I30=0,"",HYPERLINK("#"&amp;RIGHT(CELL("dateiname"),LEN(CELL("dateiname"))-FIND("]",CELL("dateiname")))&amp;"!"&amp;CELL("adresse",OFFSET($C$6,I30-1,0)),"Definition"))</f>
        <v/>
      </c>
      <c r="G30" s="189" t="str" cm="1">
        <f t="array" aca="1" ref="G30" ca="1">IF(J30=0,"",HYPERLINK("#"&amp;RIGHT(CELL("adresse",OFFSET(DMAV_Modell!$A$6,J30-1,0)),LEN(CELL("adresse",OFFSET(DMAV_Modell!$A$6,J30-1,0)))-SEARCH("]",CELL("adresse",OFFSET(DMAV_Modell!$A$6,J30-1,0)))),"Modell"))</f>
        <v>Modell</v>
      </c>
      <c r="H30" s="150" t="str">
        <f t="shared" si="0"/>
        <v>DMG25</v>
      </c>
      <c r="I30" s="150">
        <f t="shared" si="1"/>
        <v>0</v>
      </c>
      <c r="J30" s="150">
        <f>IF(_xlfn.XLOOKUP(H30,Korrelation!$B$4:$B$723,Korrelation!$A$4:$A$723,0,0)=0,0,MATCH(_xlfn.XLOOKUP(H30,Korrelation!$B$4:$B$723,Korrelation!$A$4:$A$723,0,0),DMAV_Modell!$G$6:$G$677,0))</f>
        <v>22</v>
      </c>
      <c r="L30" s="51" t="s">
        <v>10</v>
      </c>
      <c r="M30" s="51" t="s">
        <v>56</v>
      </c>
      <c r="O30" s="52" t="s">
        <v>58</v>
      </c>
      <c r="Q30" s="210" t="s">
        <v>3728</v>
      </c>
      <c r="T30" s="51" t="s">
        <v>6119</v>
      </c>
      <c r="U30" s="51" t="s">
        <v>720</v>
      </c>
      <c r="W30" s="52" t="s">
        <v>722</v>
      </c>
      <c r="Y30" s="210" t="s">
        <v>6148</v>
      </c>
      <c r="AB30" s="51" t="s">
        <v>6267</v>
      </c>
      <c r="AC30" s="51" t="s">
        <v>3928</v>
      </c>
      <c r="AE30" s="52" t="s">
        <v>3930</v>
      </c>
      <c r="AG30" s="210" t="s">
        <v>6293</v>
      </c>
    </row>
    <row r="31" spans="1:33" ht="25.5" x14ac:dyDescent="0.25">
      <c r="A31" s="51" t="s">
        <v>3663</v>
      </c>
      <c r="B31" s="51">
        <v>26</v>
      </c>
      <c r="C31" s="51" t="s">
        <v>34</v>
      </c>
      <c r="F31" s="189" t="str" cm="1">
        <f t="array" aca="1" ref="F31" ca="1">IF(I31=0,"",HYPERLINK("#"&amp;RIGHT(CELL("dateiname"),LEN(CELL("dateiname"))-FIND("]",CELL("dateiname")))&amp;"!"&amp;CELL("adresse",OFFSET($C$6,I31-1,0)),"Definition"))</f>
        <v/>
      </c>
      <c r="G31" s="189" t="str" cm="1">
        <f t="array" aca="1" ref="G31" ca="1">IF(J31=0,"",HYPERLINK("#"&amp;RIGHT(CELL("adresse",OFFSET(DMAV_Modell!$A$6,J31-1,0)),LEN(CELL("adresse",OFFSET(DMAV_Modell!$A$6,J31-1,0)))-SEARCH("]",CELL("adresse",OFFSET(DMAV_Modell!$A$6,J31-1,0)))),"Modell"))</f>
        <v>Modell</v>
      </c>
      <c r="H31" s="150" t="str">
        <f t="shared" si="0"/>
        <v>DMG26</v>
      </c>
      <c r="I31" s="150">
        <f t="shared" si="1"/>
        <v>0</v>
      </c>
      <c r="J31" s="150">
        <f>IF(_xlfn.XLOOKUP(H31,Korrelation!$B$4:$B$723,Korrelation!$A$4:$A$723,0,0)=0,0,MATCH(_xlfn.XLOOKUP(H31,Korrelation!$B$4:$B$723,Korrelation!$A$4:$A$723,0,0),DMAV_Modell!$G$6:$G$677,0))</f>
        <v>23</v>
      </c>
      <c r="L31" s="51" t="s">
        <v>10</v>
      </c>
      <c r="M31" s="51" t="s">
        <v>59</v>
      </c>
      <c r="O31" s="52" t="s">
        <v>60</v>
      </c>
      <c r="Q31" s="210" t="s">
        <v>61</v>
      </c>
      <c r="T31" s="51" t="s">
        <v>6119</v>
      </c>
      <c r="U31" s="51" t="s">
        <v>723</v>
      </c>
      <c r="W31" s="52" t="s">
        <v>724</v>
      </c>
      <c r="Y31" s="210" t="s">
        <v>6149</v>
      </c>
      <c r="AB31" s="51" t="s">
        <v>6267</v>
      </c>
      <c r="AC31" s="51" t="s">
        <v>1272</v>
      </c>
      <c r="AE31" s="52" t="s">
        <v>3931</v>
      </c>
      <c r="AG31" s="210" t="s">
        <v>6294</v>
      </c>
    </row>
    <row r="32" spans="1:33" ht="25.5" x14ac:dyDescent="0.25">
      <c r="A32" s="51" t="s">
        <v>3663</v>
      </c>
      <c r="B32" s="51">
        <v>27</v>
      </c>
      <c r="C32" s="51" t="s">
        <v>34</v>
      </c>
      <c r="F32" s="189" t="str" cm="1">
        <f t="array" aca="1" ref="F32" ca="1">IF(I32=0,"",HYPERLINK("#"&amp;RIGHT(CELL("dateiname"),LEN(CELL("dateiname"))-FIND("]",CELL("dateiname")))&amp;"!"&amp;CELL("adresse",OFFSET($C$6,I32-1,0)),"Definition"))</f>
        <v/>
      </c>
      <c r="G32" s="189" t="str" cm="1">
        <f t="array" aca="1" ref="G32" ca="1">IF(J32=0,"",HYPERLINK("#"&amp;RIGHT(CELL("adresse",OFFSET(DMAV_Modell!$A$6,J32-1,0)),LEN(CELL("adresse",OFFSET(DMAV_Modell!$A$6,J32-1,0)))-SEARCH("]",CELL("adresse",OFFSET(DMAV_Modell!$A$6,J32-1,0)))),"Modell"))</f>
        <v>Modell</v>
      </c>
      <c r="H32" s="150" t="str">
        <f t="shared" si="0"/>
        <v>DMG27</v>
      </c>
      <c r="I32" s="150">
        <f t="shared" si="1"/>
        <v>0</v>
      </c>
      <c r="J32" s="150">
        <f>IF(_xlfn.XLOOKUP(H32,Korrelation!$B$4:$B$723,Korrelation!$A$4:$A$723,0,0)=0,0,MATCH(_xlfn.XLOOKUP(H32,Korrelation!$B$4:$B$723,Korrelation!$A$4:$A$723,0,0),DMAV_Modell!$G$6:$G$677,0))</f>
        <v>24</v>
      </c>
      <c r="L32" s="51" t="s">
        <v>10</v>
      </c>
      <c r="M32" s="51" t="s">
        <v>59</v>
      </c>
      <c r="O32" s="52" t="s">
        <v>62</v>
      </c>
      <c r="Q32" s="210" t="s">
        <v>63</v>
      </c>
      <c r="T32" s="51" t="s">
        <v>6119</v>
      </c>
      <c r="U32" s="51" t="s">
        <v>723</v>
      </c>
      <c r="W32" s="52" t="s">
        <v>725</v>
      </c>
      <c r="Y32" s="210" t="s">
        <v>6150</v>
      </c>
      <c r="AB32" s="51" t="s">
        <v>6267</v>
      </c>
      <c r="AC32" s="51" t="s">
        <v>1272</v>
      </c>
      <c r="AE32" s="52" t="s">
        <v>3932</v>
      </c>
      <c r="AG32" s="210" t="s">
        <v>6295</v>
      </c>
    </row>
    <row r="33" spans="1:33" ht="25.5" x14ac:dyDescent="0.25">
      <c r="A33" s="51" t="s">
        <v>3663</v>
      </c>
      <c r="B33" s="51">
        <v>28</v>
      </c>
      <c r="C33" s="51" t="s">
        <v>34</v>
      </c>
      <c r="F33" s="189" t="str" cm="1">
        <f t="array" aca="1" ref="F33" ca="1">IF(I33=0,"",HYPERLINK("#"&amp;RIGHT(CELL("dateiname"),LEN(CELL("dateiname"))-FIND("]",CELL("dateiname")))&amp;"!"&amp;CELL("adresse",OFFSET($C$6,I33-1,0)),"Definition"))</f>
        <v/>
      </c>
      <c r="G33" s="189" t="str" cm="1">
        <f t="array" aca="1" ref="G33" ca="1">IF(J33=0,"",HYPERLINK("#"&amp;RIGHT(CELL("adresse",OFFSET(DMAV_Modell!$A$6,J33-1,0)),LEN(CELL("adresse",OFFSET(DMAV_Modell!$A$6,J33-1,0)))-SEARCH("]",CELL("adresse",OFFSET(DMAV_Modell!$A$6,J33-1,0)))),"Modell"))</f>
        <v>Modell</v>
      </c>
      <c r="H33" s="150" t="str">
        <f t="shared" si="0"/>
        <v>DMG28</v>
      </c>
      <c r="I33" s="150">
        <f t="shared" si="1"/>
        <v>0</v>
      </c>
      <c r="J33" s="150">
        <f>IF(_xlfn.XLOOKUP(H33,Korrelation!$B$4:$B$723,Korrelation!$A$4:$A$723,0,0)=0,0,MATCH(_xlfn.XLOOKUP(H33,Korrelation!$B$4:$B$723,Korrelation!$A$4:$A$723,0,0),DMAV_Modell!$G$6:$G$677,0))</f>
        <v>25</v>
      </c>
      <c r="L33" s="51" t="s">
        <v>10</v>
      </c>
      <c r="M33" s="51" t="s">
        <v>59</v>
      </c>
      <c r="O33" s="52" t="s">
        <v>64</v>
      </c>
      <c r="Q33" s="210" t="s">
        <v>65</v>
      </c>
      <c r="T33" s="51" t="s">
        <v>6119</v>
      </c>
      <c r="U33" s="51" t="s">
        <v>723</v>
      </c>
      <c r="W33" s="52" t="s">
        <v>726</v>
      </c>
      <c r="Y33" s="210" t="s">
        <v>6151</v>
      </c>
      <c r="AB33" s="51" t="s">
        <v>6267</v>
      </c>
      <c r="AC33" s="51" t="s">
        <v>1272</v>
      </c>
      <c r="AE33" s="52" t="s">
        <v>726</v>
      </c>
      <c r="AG33" s="210" t="s">
        <v>6296</v>
      </c>
    </row>
    <row r="34" spans="1:33" x14ac:dyDescent="0.25">
      <c r="A34" s="51" t="s">
        <v>3663</v>
      </c>
      <c r="B34" s="51">
        <v>29</v>
      </c>
      <c r="C34" s="51" t="s">
        <v>66</v>
      </c>
      <c r="D34" s="50">
        <v>1</v>
      </c>
      <c r="F34" s="189" t="str" cm="1">
        <f t="array" aca="1" ref="F34" ca="1">IF(I34=0,"",HYPERLINK("#"&amp;RIGHT(CELL("dateiname"),LEN(CELL("dateiname"))-FIND("]",CELL("dateiname")))&amp;"!"&amp;CELL("adresse",OFFSET($C$6,I34-1,0)),"Definition"))</f>
        <v/>
      </c>
      <c r="G34" s="189" t="str" cm="1">
        <f t="array" aca="1" ref="G34" ca="1">IF(J34=0,"",HYPERLINK("#"&amp;RIGHT(CELL("adresse",OFFSET(DMAV_Modell!$A$6,J34-1,0)),LEN(CELL("adresse",OFFSET(DMAV_Modell!$A$6,J34-1,0)))-SEARCH("]",CELL("adresse",OFFSET(DMAV_Modell!$A$6,J34-1,0)))),"Modell"))</f>
        <v>Modell</v>
      </c>
      <c r="H34" s="150" t="str">
        <f t="shared" si="0"/>
        <v>DMG29</v>
      </c>
      <c r="I34" s="150">
        <f t="shared" si="1"/>
        <v>0</v>
      </c>
      <c r="J34" s="150">
        <f>IF(_xlfn.XLOOKUP(H34,Korrelation!$B$4:$B$723,Korrelation!$A$4:$A$723,0,0)=0,0,MATCH(_xlfn.XLOOKUP(H34,Korrelation!$B$4:$B$723,Korrelation!$A$4:$A$723,0,0),DMAV_Modell!$G$6:$G$677,0))</f>
        <v>33</v>
      </c>
      <c r="L34" s="51" t="s">
        <v>10</v>
      </c>
      <c r="M34" s="51" t="s">
        <v>67</v>
      </c>
      <c r="N34" s="51" t="s">
        <v>68</v>
      </c>
      <c r="O34" s="52" t="s">
        <v>69</v>
      </c>
      <c r="Q34" s="210" t="s">
        <v>70</v>
      </c>
      <c r="T34" s="51" t="s">
        <v>6119</v>
      </c>
      <c r="U34" s="51" t="s">
        <v>727</v>
      </c>
      <c r="V34" s="51" t="s">
        <v>68</v>
      </c>
      <c r="W34" s="52" t="s">
        <v>69</v>
      </c>
      <c r="Y34" s="210" t="s">
        <v>6152</v>
      </c>
      <c r="AB34" s="51" t="s">
        <v>6267</v>
      </c>
      <c r="AC34" s="51" t="s">
        <v>3941</v>
      </c>
      <c r="AD34" s="51" t="s">
        <v>3934</v>
      </c>
      <c r="AE34" s="52" t="s">
        <v>69</v>
      </c>
      <c r="AG34" s="210" t="s">
        <v>6297</v>
      </c>
    </row>
    <row r="35" spans="1:33" x14ac:dyDescent="0.25">
      <c r="A35" s="51" t="s">
        <v>3663</v>
      </c>
      <c r="B35" s="51">
        <v>30</v>
      </c>
      <c r="C35" s="51" t="s">
        <v>66</v>
      </c>
      <c r="D35" s="50" t="s">
        <v>72</v>
      </c>
      <c r="F35" s="189" t="str" cm="1">
        <f t="array" aca="1" ref="F35" ca="1">IF(I35=0,"",HYPERLINK("#"&amp;RIGHT(CELL("dateiname"),LEN(CELL("dateiname"))-FIND("]",CELL("dateiname")))&amp;"!"&amp;CELL("adresse",OFFSET($C$6,I35-1,0)),"Definition"))</f>
        <v/>
      </c>
      <c r="G35" s="189" t="str" cm="1">
        <f t="array" aca="1" ref="G35" ca="1">IF(J35=0,"",HYPERLINK("#"&amp;RIGHT(CELL("adresse",OFFSET(DMAV_Modell!$A$6,J35-1,0)),LEN(CELL("adresse",OFFSET(DMAV_Modell!$A$6,J35-1,0)))-SEARCH("]",CELL("adresse",OFFSET(DMAV_Modell!$A$6,J35-1,0)))),"Modell"))</f>
        <v>Modell</v>
      </c>
      <c r="H35" s="150" t="str">
        <f t="shared" si="0"/>
        <v>DMG30</v>
      </c>
      <c r="I35" s="150">
        <f t="shared" si="1"/>
        <v>0</v>
      </c>
      <c r="J35" s="150">
        <f>IF(_xlfn.XLOOKUP(H35,Korrelation!$B$4:$B$723,Korrelation!$A$4:$A$723,0,0)=0,0,MATCH(_xlfn.XLOOKUP(H35,Korrelation!$B$4:$B$723,Korrelation!$A$4:$A$723,0,0),DMAV_Modell!$G$6:$G$677,0))</f>
        <v>34</v>
      </c>
      <c r="L35" s="51" t="s">
        <v>10</v>
      </c>
      <c r="M35" s="51" t="s">
        <v>67</v>
      </c>
      <c r="N35" s="51" t="s">
        <v>71</v>
      </c>
      <c r="O35" s="52" t="s">
        <v>73</v>
      </c>
      <c r="P35" s="227" t="s">
        <v>3729</v>
      </c>
      <c r="Q35" s="210" t="s">
        <v>74</v>
      </c>
      <c r="T35" s="51" t="s">
        <v>6119</v>
      </c>
      <c r="U35" s="51" t="s">
        <v>727</v>
      </c>
      <c r="V35" s="51" t="s">
        <v>728</v>
      </c>
      <c r="W35" s="52" t="s">
        <v>73</v>
      </c>
      <c r="X35" s="209" t="s">
        <v>3729</v>
      </c>
      <c r="Y35" s="210" t="s">
        <v>6153</v>
      </c>
      <c r="AB35" s="51" t="s">
        <v>6267</v>
      </c>
      <c r="AC35" s="51" t="s">
        <v>3941</v>
      </c>
      <c r="AD35" s="51" t="s">
        <v>3935</v>
      </c>
      <c r="AE35" s="52" t="s">
        <v>73</v>
      </c>
      <c r="AF35" s="227" t="s">
        <v>3729</v>
      </c>
      <c r="AG35" s="210" t="s">
        <v>6298</v>
      </c>
    </row>
    <row r="36" spans="1:33" ht="38.25" x14ac:dyDescent="0.25">
      <c r="A36" s="51" t="s">
        <v>3663</v>
      </c>
      <c r="B36" s="51">
        <v>31</v>
      </c>
      <c r="C36" s="51" t="s">
        <v>66</v>
      </c>
      <c r="D36" s="50" t="s">
        <v>72</v>
      </c>
      <c r="E36" s="50" t="s">
        <v>3676</v>
      </c>
      <c r="F36" s="189" t="str" cm="1">
        <f t="array" aca="1" ref="F36" ca="1">IF(I36=0,"",HYPERLINK("#"&amp;RIGHT(CELL("dateiname"),LEN(CELL("dateiname"))-FIND("]",CELL("dateiname")))&amp;"!"&amp;CELL("adresse",OFFSET($C$6,I36-1,0)),"Definition"))</f>
        <v>Definition</v>
      </c>
      <c r="G36" s="189" t="str" cm="1">
        <f t="array" aca="1" ref="G36" ca="1">IF(J36=0,"",HYPERLINK("#"&amp;RIGHT(CELL("adresse",OFFSET(DMAV_Modell!$A$6,J36-1,0)),LEN(CELL("adresse",OFFSET(DMAV_Modell!$A$6,J36-1,0)))-SEARCH("]",CELL("adresse",OFFSET(DMAV_Modell!$A$6,J36-1,0)))),"Modell"))</f>
        <v>Modell</v>
      </c>
      <c r="H36" s="150" t="str">
        <f t="shared" si="0"/>
        <v>DMG31</v>
      </c>
      <c r="I36" s="150">
        <f t="shared" si="1"/>
        <v>24</v>
      </c>
      <c r="J36" s="150">
        <f>IF(_xlfn.XLOOKUP(H36,Korrelation!$B$4:$B$723,Korrelation!$A$4:$A$723,0,0)=0,0,MATCH(_xlfn.XLOOKUP(H36,Korrelation!$B$4:$B$723,Korrelation!$A$4:$A$723,0,0),DMAV_Modell!$G$6:$G$677,0))</f>
        <v>35</v>
      </c>
      <c r="L36" s="51" t="s">
        <v>10</v>
      </c>
      <c r="M36" s="51" t="s">
        <v>67</v>
      </c>
      <c r="N36" s="51" t="s">
        <v>56</v>
      </c>
      <c r="O36" s="52" t="s">
        <v>75</v>
      </c>
      <c r="Q36" s="210" t="s">
        <v>76</v>
      </c>
      <c r="T36" s="51" t="s">
        <v>6119</v>
      </c>
      <c r="U36" s="51" t="s">
        <v>727</v>
      </c>
      <c r="V36" s="51" t="s">
        <v>720</v>
      </c>
      <c r="W36" s="52" t="s">
        <v>6154</v>
      </c>
      <c r="Y36" s="210" t="s">
        <v>6155</v>
      </c>
      <c r="AB36" s="51" t="s">
        <v>6267</v>
      </c>
      <c r="AC36" s="51" t="s">
        <v>3941</v>
      </c>
      <c r="AD36" s="51" t="s">
        <v>3928</v>
      </c>
      <c r="AE36" s="52" t="s">
        <v>6299</v>
      </c>
      <c r="AG36" s="210" t="s">
        <v>6300</v>
      </c>
    </row>
    <row r="37" spans="1:33" x14ac:dyDescent="0.25">
      <c r="A37" s="51" t="s">
        <v>3663</v>
      </c>
      <c r="B37" s="51">
        <v>32</v>
      </c>
      <c r="C37" s="51" t="s">
        <v>66</v>
      </c>
      <c r="D37" s="50">
        <v>1</v>
      </c>
      <c r="F37" s="189" t="str" cm="1">
        <f t="array" aca="1" ref="F37" ca="1">IF(I37=0,"",HYPERLINK("#"&amp;RIGHT(CELL("dateiname"),LEN(CELL("dateiname"))-FIND("]",CELL("dateiname")))&amp;"!"&amp;CELL("adresse",OFFSET($C$6,I37-1,0)),"Definition"))</f>
        <v/>
      </c>
      <c r="G37" s="189" t="str" cm="1">
        <f t="array" aca="1" ref="G37" ca="1">IF(J37=0,"",HYPERLINK("#"&amp;RIGHT(CELL("adresse",OFFSET(DMAV_Modell!$A$6,J37-1,0)),LEN(CELL("adresse",OFFSET(DMAV_Modell!$A$6,J37-1,0)))-SEARCH("]",CELL("adresse",OFFSET(DMAV_Modell!$A$6,J37-1,0)))),"Modell"))</f>
        <v>Modell</v>
      </c>
      <c r="H37" s="150" t="str">
        <f t="shared" si="0"/>
        <v>DMG32</v>
      </c>
      <c r="I37" s="150">
        <f t="shared" si="1"/>
        <v>0</v>
      </c>
      <c r="J37" s="150">
        <f>IF(_xlfn.XLOOKUP(H37,Korrelation!$B$4:$B$723,Korrelation!$A$4:$A$723,0,0)=0,0,MATCH(_xlfn.XLOOKUP(H37,Korrelation!$B$4:$B$723,Korrelation!$A$4:$A$723,0,0),DMAV_Modell!$G$6:$G$677,0))</f>
        <v>26</v>
      </c>
      <c r="L37" s="51" t="s">
        <v>10</v>
      </c>
      <c r="M37" s="51" t="s">
        <v>77</v>
      </c>
      <c r="N37" s="51" t="s">
        <v>68</v>
      </c>
      <c r="O37" s="52" t="s">
        <v>69</v>
      </c>
      <c r="Q37" s="210" t="s">
        <v>78</v>
      </c>
      <c r="T37" s="51" t="s">
        <v>6119</v>
      </c>
      <c r="U37" s="51" t="s">
        <v>729</v>
      </c>
      <c r="V37" s="51" t="s">
        <v>68</v>
      </c>
      <c r="W37" s="52" t="s">
        <v>69</v>
      </c>
      <c r="Y37" s="210" t="s">
        <v>6156</v>
      </c>
      <c r="AB37" s="51" t="s">
        <v>6267</v>
      </c>
      <c r="AC37" s="51" t="s">
        <v>3933</v>
      </c>
      <c r="AD37" s="51" t="s">
        <v>3934</v>
      </c>
      <c r="AE37" s="52" t="s">
        <v>69</v>
      </c>
      <c r="AG37" s="210" t="s">
        <v>6301</v>
      </c>
    </row>
    <row r="38" spans="1:33" x14ac:dyDescent="0.25">
      <c r="A38" s="51" t="s">
        <v>3663</v>
      </c>
      <c r="B38" s="51">
        <v>33</v>
      </c>
      <c r="C38" s="51" t="s">
        <v>66</v>
      </c>
      <c r="D38" s="50" t="s">
        <v>72</v>
      </c>
      <c r="F38" s="189" t="str" cm="1">
        <f t="array" aca="1" ref="F38" ca="1">IF(I38=0,"",HYPERLINK("#"&amp;RIGHT(CELL("dateiname"),LEN(CELL("dateiname"))-FIND("]",CELL("dateiname")))&amp;"!"&amp;CELL("adresse",OFFSET($C$6,I38-1,0)),"Definition"))</f>
        <v/>
      </c>
      <c r="G38" s="189" t="str" cm="1">
        <f t="array" aca="1" ref="G38" ca="1">IF(J38=0,"",HYPERLINK("#"&amp;RIGHT(CELL("adresse",OFFSET(DMAV_Modell!$A$6,J38-1,0)),LEN(CELL("adresse",OFFSET(DMAV_Modell!$A$6,J38-1,0)))-SEARCH("]",CELL("adresse",OFFSET(DMAV_Modell!$A$6,J38-1,0)))),"Modell"))</f>
        <v>Modell</v>
      </c>
      <c r="H38" s="150" t="str">
        <f t="shared" si="0"/>
        <v>DMG33</v>
      </c>
      <c r="I38" s="150">
        <f t="shared" si="1"/>
        <v>0</v>
      </c>
      <c r="J38" s="150">
        <f>IF(_xlfn.XLOOKUP(H38,Korrelation!$B$4:$B$723,Korrelation!$A$4:$A$723,0,0)=0,0,MATCH(_xlfn.XLOOKUP(H38,Korrelation!$B$4:$B$723,Korrelation!$A$4:$A$723,0,0),DMAV_Modell!$G$6:$G$677,0))</f>
        <v>27</v>
      </c>
      <c r="L38" s="51" t="s">
        <v>10</v>
      </c>
      <c r="M38" s="51" t="s">
        <v>77</v>
      </c>
      <c r="N38" s="51" t="s">
        <v>71</v>
      </c>
      <c r="O38" s="52" t="s">
        <v>73</v>
      </c>
      <c r="P38" s="209" t="s">
        <v>3730</v>
      </c>
      <c r="Q38" s="210" t="s">
        <v>79</v>
      </c>
      <c r="T38" s="51" t="s">
        <v>6119</v>
      </c>
      <c r="U38" s="51" t="s">
        <v>729</v>
      </c>
      <c r="V38" s="51" t="s">
        <v>728</v>
      </c>
      <c r="W38" s="52" t="s">
        <v>73</v>
      </c>
      <c r="X38" s="209" t="s">
        <v>3730</v>
      </c>
      <c r="Y38" s="210" t="s">
        <v>6157</v>
      </c>
      <c r="AB38" s="51" t="s">
        <v>6267</v>
      </c>
      <c r="AC38" s="51" t="s">
        <v>3933</v>
      </c>
      <c r="AD38" s="51" t="s">
        <v>3935</v>
      </c>
      <c r="AE38" s="52" t="s">
        <v>73</v>
      </c>
      <c r="AF38" s="209" t="s">
        <v>3730</v>
      </c>
      <c r="AG38" s="210" t="s">
        <v>6302</v>
      </c>
    </row>
    <row r="39" spans="1:33" ht="38.25" x14ac:dyDescent="0.25">
      <c r="A39" s="51" t="s">
        <v>3663</v>
      </c>
      <c r="B39" s="51">
        <v>34</v>
      </c>
      <c r="C39" s="51" t="s">
        <v>66</v>
      </c>
      <c r="D39" s="50" t="s">
        <v>72</v>
      </c>
      <c r="E39" s="50" t="s">
        <v>3676</v>
      </c>
      <c r="F39" s="189" t="str" cm="1">
        <f t="array" aca="1" ref="F39" ca="1">IF(I39=0,"",HYPERLINK("#"&amp;RIGHT(CELL("dateiname"),LEN(CELL("dateiname"))-FIND("]",CELL("dateiname")))&amp;"!"&amp;CELL("adresse",OFFSET($C$6,I39-1,0)),"Definition"))</f>
        <v>Definition</v>
      </c>
      <c r="G39" s="189" t="str" cm="1">
        <f t="array" aca="1" ref="G39" ca="1">IF(J39=0,"",HYPERLINK("#"&amp;RIGHT(CELL("adresse",OFFSET(DMAV_Modell!$A$6,J39-1,0)),LEN(CELL("adresse",OFFSET(DMAV_Modell!$A$6,J39-1,0)))-SEARCH("]",CELL("adresse",OFFSET(DMAV_Modell!$A$6,J39-1,0)))),"Modell"))</f>
        <v>Modell</v>
      </c>
      <c r="H39" s="150" t="str">
        <f t="shared" si="0"/>
        <v>DMG34</v>
      </c>
      <c r="I39" s="150">
        <f t="shared" si="1"/>
        <v>24</v>
      </c>
      <c r="J39" s="150">
        <f>IF(_xlfn.XLOOKUP(H39,Korrelation!$B$4:$B$723,Korrelation!$A$4:$A$723,0,0)=0,0,MATCH(_xlfn.XLOOKUP(H39,Korrelation!$B$4:$B$723,Korrelation!$A$4:$A$723,0,0),DMAV_Modell!$G$6:$G$677,0))</f>
        <v>28</v>
      </c>
      <c r="L39" s="51" t="s">
        <v>10</v>
      </c>
      <c r="M39" s="51" t="s">
        <v>77</v>
      </c>
      <c r="N39" s="51" t="s">
        <v>56</v>
      </c>
      <c r="O39" s="52" t="s">
        <v>75</v>
      </c>
      <c r="Q39" s="210" t="s">
        <v>80</v>
      </c>
      <c r="T39" s="51" t="s">
        <v>6119</v>
      </c>
      <c r="U39" s="51" t="s">
        <v>729</v>
      </c>
      <c r="V39" s="51" t="s">
        <v>720</v>
      </c>
      <c r="W39" s="52" t="s">
        <v>6158</v>
      </c>
      <c r="Y39" s="210" t="s">
        <v>6159</v>
      </c>
      <c r="AB39" s="51" t="s">
        <v>6267</v>
      </c>
      <c r="AC39" s="51" t="s">
        <v>3933</v>
      </c>
      <c r="AD39" s="51" t="s">
        <v>3928</v>
      </c>
      <c r="AE39" s="52" t="s">
        <v>6299</v>
      </c>
      <c r="AG39" s="210" t="s">
        <v>6303</v>
      </c>
    </row>
    <row r="40" spans="1:33" x14ac:dyDescent="0.25">
      <c r="A40" s="51" t="s">
        <v>3663</v>
      </c>
      <c r="B40" s="51">
        <v>35</v>
      </c>
      <c r="C40" s="51" t="s">
        <v>66</v>
      </c>
      <c r="D40" s="50" t="s">
        <v>72</v>
      </c>
      <c r="E40" s="50" t="s">
        <v>3677</v>
      </c>
      <c r="F40" s="189" t="str" cm="1">
        <f t="array" aca="1" ref="F40" ca="1">IF(I40=0,"",HYPERLINK("#"&amp;RIGHT(CELL("dateiname"),LEN(CELL("dateiname"))-FIND("]",CELL("dateiname")))&amp;"!"&amp;CELL("adresse",OFFSET($C$6,I40-1,0)),"Definition"))</f>
        <v>Definition</v>
      </c>
      <c r="G40" s="189" t="str" cm="1">
        <f t="array" aca="1" ref="G40" ca="1">IF(J40=0,"",HYPERLINK("#"&amp;RIGHT(CELL("adresse",OFFSET(DMAV_Modell!$A$6,J40-1,0)),LEN(CELL("adresse",OFFSET(DMAV_Modell!$A$6,J40-1,0)))-SEARCH("]",CELL("adresse",OFFSET(DMAV_Modell!$A$6,J40-1,0)))),"Modell"))</f>
        <v>Modell</v>
      </c>
      <c r="H40" s="150" t="str">
        <f t="shared" si="0"/>
        <v>DMG35</v>
      </c>
      <c r="I40" s="150">
        <f t="shared" si="1"/>
        <v>26</v>
      </c>
      <c r="J40" s="150">
        <f>IF(_xlfn.XLOOKUP(H40,Korrelation!$B$4:$B$723,Korrelation!$A$4:$A$723,0,0)=0,0,MATCH(_xlfn.XLOOKUP(H40,Korrelation!$B$4:$B$723,Korrelation!$A$4:$A$723,0,0),DMAV_Modell!$G$6:$G$677,0))</f>
        <v>29</v>
      </c>
      <c r="L40" s="51" t="s">
        <v>10</v>
      </c>
      <c r="M40" s="51" t="s">
        <v>77</v>
      </c>
      <c r="N40" s="51" t="s">
        <v>81</v>
      </c>
      <c r="O40" s="52" t="s">
        <v>82</v>
      </c>
      <c r="P40" s="209" t="s">
        <v>62</v>
      </c>
      <c r="Q40" s="210" t="s">
        <v>83</v>
      </c>
      <c r="T40" s="51" t="s">
        <v>6119</v>
      </c>
      <c r="U40" s="51" t="s">
        <v>729</v>
      </c>
      <c r="V40" s="51" t="s">
        <v>723</v>
      </c>
      <c r="W40" s="52" t="s">
        <v>6160</v>
      </c>
      <c r="X40" s="209" t="s">
        <v>725</v>
      </c>
      <c r="Y40" s="210" t="s">
        <v>6161</v>
      </c>
      <c r="AB40" s="51" t="s">
        <v>6267</v>
      </c>
      <c r="AC40" s="51" t="s">
        <v>3933</v>
      </c>
      <c r="AD40" s="51" t="s">
        <v>3937</v>
      </c>
      <c r="AE40" s="52" t="s">
        <v>6304</v>
      </c>
      <c r="AF40" s="209" t="s">
        <v>3932</v>
      </c>
      <c r="AG40" s="210" t="s">
        <v>6305</v>
      </c>
    </row>
    <row r="41" spans="1:33" ht="25.5" x14ac:dyDescent="0.25">
      <c r="A41" s="51" t="s">
        <v>3663</v>
      </c>
      <c r="B41" s="51">
        <v>36</v>
      </c>
      <c r="C41" s="51" t="s">
        <v>66</v>
      </c>
      <c r="D41" s="50" t="s">
        <v>72</v>
      </c>
      <c r="F41" s="189" t="str" cm="1">
        <f t="array" aca="1" ref="F41" ca="1">IF(I41=0,"",HYPERLINK("#"&amp;RIGHT(CELL("dateiname"),LEN(CELL("dateiname"))-FIND("]",CELL("dateiname")))&amp;"!"&amp;CELL("adresse",OFFSET($C$6,I41-1,0)),"Definition"))</f>
        <v/>
      </c>
      <c r="G41" s="189" t="str" cm="1">
        <f t="array" aca="1" ref="G41" ca="1">IF(J41=0,"",HYPERLINK("#"&amp;RIGHT(CELL("adresse",OFFSET(DMAV_Modell!$A$6,J41-1,0)),LEN(CELL("adresse",OFFSET(DMAV_Modell!$A$6,J41-1,0)))-SEARCH("]",CELL("adresse",OFFSET(DMAV_Modell!$A$6,J41-1,0)))),"Modell"))</f>
        <v>Modell</v>
      </c>
      <c r="H41" s="150" t="str">
        <f t="shared" si="0"/>
        <v>DMG36</v>
      </c>
      <c r="I41" s="150">
        <f t="shared" si="1"/>
        <v>0</v>
      </c>
      <c r="J41" s="150">
        <f>IF(_xlfn.XLOOKUP(H41,Korrelation!$B$4:$B$723,Korrelation!$A$4:$A$723,0,0)=0,0,MATCH(_xlfn.XLOOKUP(H41,Korrelation!$B$4:$B$723,Korrelation!$A$4:$A$723,0,0),DMAV_Modell!$G$6:$G$677,0))</f>
        <v>30</v>
      </c>
      <c r="L41" s="51" t="s">
        <v>10</v>
      </c>
      <c r="M41" s="51" t="s">
        <v>77</v>
      </c>
      <c r="N41" s="51" t="s">
        <v>84</v>
      </c>
      <c r="O41" s="52" t="s">
        <v>85</v>
      </c>
      <c r="P41" s="209" t="s">
        <v>86</v>
      </c>
      <c r="Q41" s="210" t="s">
        <v>87</v>
      </c>
      <c r="T41" s="51" t="s">
        <v>6119</v>
      </c>
      <c r="U41" s="51" t="s">
        <v>729</v>
      </c>
      <c r="V41" s="51" t="s">
        <v>730</v>
      </c>
      <c r="W41" s="52" t="s">
        <v>6162</v>
      </c>
      <c r="X41" s="209" t="s">
        <v>86</v>
      </c>
      <c r="Y41" s="210" t="s">
        <v>6163</v>
      </c>
      <c r="AB41" s="51" t="s">
        <v>6267</v>
      </c>
      <c r="AC41" s="51" t="s">
        <v>3933</v>
      </c>
      <c r="AD41" s="51" t="s">
        <v>3938</v>
      </c>
      <c r="AE41" s="52" t="s">
        <v>85</v>
      </c>
      <c r="AF41" s="209" t="s">
        <v>86</v>
      </c>
      <c r="AG41" s="210" t="s">
        <v>6306</v>
      </c>
    </row>
    <row r="42" spans="1:33" ht="25.5" x14ac:dyDescent="0.25">
      <c r="A42" s="51" t="s">
        <v>3663</v>
      </c>
      <c r="B42" s="51">
        <v>37</v>
      </c>
      <c r="C42" s="51" t="s">
        <v>66</v>
      </c>
      <c r="D42" s="50" t="s">
        <v>72</v>
      </c>
      <c r="F42" s="189" t="str" cm="1">
        <f t="array" aca="1" ref="F42" ca="1">IF(I42=0,"",HYPERLINK("#"&amp;RIGHT(CELL("dateiname"),LEN(CELL("dateiname"))-FIND("]",CELL("dateiname")))&amp;"!"&amp;CELL("adresse",OFFSET($C$6,I42-1,0)),"Definition"))</f>
        <v/>
      </c>
      <c r="G42" s="189" t="str" cm="1">
        <f t="array" aca="1" ref="G42" ca="1">IF(J42=0,"",HYPERLINK("#"&amp;RIGHT(CELL("adresse",OFFSET(DMAV_Modell!$A$6,J42-1,0)),LEN(CELL("adresse",OFFSET(DMAV_Modell!$A$6,J42-1,0)))-SEARCH("]",CELL("adresse",OFFSET(DMAV_Modell!$A$6,J42-1,0)))),"Modell"))</f>
        <v>Modell</v>
      </c>
      <c r="H42" s="150" t="str">
        <f t="shared" si="0"/>
        <v>DMG37</v>
      </c>
      <c r="I42" s="150">
        <f t="shared" si="1"/>
        <v>0</v>
      </c>
      <c r="J42" s="150">
        <f>IF(_xlfn.XLOOKUP(H42,Korrelation!$B$4:$B$723,Korrelation!$A$4:$A$723,0,0)=0,0,MATCH(_xlfn.XLOOKUP(H42,Korrelation!$B$4:$B$723,Korrelation!$A$4:$A$723,0,0),DMAV_Modell!$G$6:$G$677,0))</f>
        <v>31</v>
      </c>
      <c r="L42" s="51" t="s">
        <v>10</v>
      </c>
      <c r="M42" s="51" t="s">
        <v>77</v>
      </c>
      <c r="N42" s="51" t="s">
        <v>88</v>
      </c>
      <c r="O42" s="52" t="s">
        <v>89</v>
      </c>
      <c r="P42" s="209" t="s">
        <v>90</v>
      </c>
      <c r="Q42" s="210" t="s">
        <v>91</v>
      </c>
      <c r="T42" s="51" t="s">
        <v>6119</v>
      </c>
      <c r="U42" s="51" t="s">
        <v>729</v>
      </c>
      <c r="V42" s="51" t="s">
        <v>731</v>
      </c>
      <c r="W42" s="52" t="s">
        <v>6164</v>
      </c>
      <c r="X42" s="209" t="s">
        <v>90</v>
      </c>
      <c r="Y42" s="210" t="s">
        <v>6165</v>
      </c>
      <c r="AB42" s="51" t="s">
        <v>6267</v>
      </c>
      <c r="AC42" s="51" t="s">
        <v>3933</v>
      </c>
      <c r="AD42" s="51" t="s">
        <v>3939</v>
      </c>
      <c r="AE42" s="52" t="s">
        <v>89</v>
      </c>
      <c r="AF42" s="209" t="s">
        <v>90</v>
      </c>
      <c r="AG42" s="210" t="s">
        <v>6307</v>
      </c>
    </row>
    <row r="43" spans="1:33" ht="38.25" x14ac:dyDescent="0.25">
      <c r="A43" s="51" t="s">
        <v>3663</v>
      </c>
      <c r="B43" s="51">
        <v>38</v>
      </c>
      <c r="C43" s="51" t="s">
        <v>66</v>
      </c>
      <c r="D43" s="50" t="s">
        <v>72</v>
      </c>
      <c r="F43" s="189" t="str" cm="1">
        <f t="array" aca="1" ref="F43" ca="1">IF(I43=0,"",HYPERLINK("#"&amp;RIGHT(CELL("dateiname"),LEN(CELL("dateiname"))-FIND("]",CELL("dateiname")))&amp;"!"&amp;CELL("adresse",OFFSET($C$6,I43-1,0)),"Definition"))</f>
        <v/>
      </c>
      <c r="G43" s="189" t="str" cm="1">
        <f t="array" aca="1" ref="G43" ca="1">IF(J43=0,"",HYPERLINK("#"&amp;RIGHT(CELL("adresse",OFFSET(DMAV_Modell!$A$6,J43-1,0)),LEN(CELL("adresse",OFFSET(DMAV_Modell!$A$6,J43-1,0)))-SEARCH("]",CELL("adresse",OFFSET(DMAV_Modell!$A$6,J43-1,0)))),"Modell"))</f>
        <v>Modell</v>
      </c>
      <c r="H43" s="150" t="str">
        <f t="shared" si="0"/>
        <v>DMG38</v>
      </c>
      <c r="I43" s="150">
        <f t="shared" si="1"/>
        <v>0</v>
      </c>
      <c r="J43" s="150">
        <f>IF(_xlfn.XLOOKUP(H43,Korrelation!$B$4:$B$723,Korrelation!$A$4:$A$723,0,0)=0,0,MATCH(_xlfn.XLOOKUP(H43,Korrelation!$B$4:$B$723,Korrelation!$A$4:$A$723,0,0),DMAV_Modell!$G$6:$G$677,0))</f>
        <v>32</v>
      </c>
      <c r="L43" s="51" t="s">
        <v>10</v>
      </c>
      <c r="M43" s="51" t="s">
        <v>77</v>
      </c>
      <c r="N43" s="51" t="s">
        <v>92</v>
      </c>
      <c r="O43" s="52" t="s">
        <v>93</v>
      </c>
      <c r="Q43" s="210" t="s">
        <v>94</v>
      </c>
      <c r="T43" s="51" t="s">
        <v>6119</v>
      </c>
      <c r="U43" s="51" t="s">
        <v>729</v>
      </c>
      <c r="V43" s="51" t="s">
        <v>732</v>
      </c>
      <c r="W43" s="52" t="s">
        <v>93</v>
      </c>
      <c r="Y43" s="210" t="s">
        <v>6166</v>
      </c>
      <c r="AB43" s="51" t="s">
        <v>6267</v>
      </c>
      <c r="AC43" s="51" t="s">
        <v>3933</v>
      </c>
      <c r="AD43" s="51" t="s">
        <v>3940</v>
      </c>
      <c r="AE43" s="52" t="s">
        <v>93</v>
      </c>
      <c r="AG43" s="210" t="s">
        <v>6308</v>
      </c>
    </row>
    <row r="44" spans="1:33" ht="38.25" x14ac:dyDescent="0.25">
      <c r="A44" s="51" t="s">
        <v>3663</v>
      </c>
      <c r="B44" s="51">
        <v>39</v>
      </c>
      <c r="C44" s="51" t="s">
        <v>95</v>
      </c>
      <c r="D44" s="50">
        <v>1</v>
      </c>
      <c r="F44" s="189" t="str" cm="1">
        <f t="array" aca="1" ref="F44" ca="1">IF(I44=0,"",HYPERLINK("#"&amp;RIGHT(CELL("dateiname"),LEN(CELL("dateiname"))-FIND("]",CELL("dateiname")))&amp;"!"&amp;CELL("adresse",OFFSET($C$6,I44-1,0)),"Definition"))</f>
        <v/>
      </c>
      <c r="G44" s="189" t="str" cm="1">
        <f t="array" aca="1" ref="G44" ca="1">IF(J44=0,"",HYPERLINK("#"&amp;RIGHT(CELL("adresse",OFFSET(DMAV_Modell!$A$6,J44-1,0)),LEN(CELL("adresse",OFFSET(DMAV_Modell!$A$6,J44-1,0)))-SEARCH("]",CELL("adresse",OFFSET(DMAV_Modell!$A$6,J44-1,0)))),"Modell"))</f>
        <v>Modell</v>
      </c>
      <c r="H44" s="150" t="str">
        <f t="shared" si="0"/>
        <v>DMG39</v>
      </c>
      <c r="I44" s="150">
        <f t="shared" si="1"/>
        <v>0</v>
      </c>
      <c r="J44" s="150">
        <f>IF(_xlfn.XLOOKUP(H44,Korrelation!$B$4:$B$723,Korrelation!$A$4:$A$723,0,0)=0,0,MATCH(_xlfn.XLOOKUP(H44,Korrelation!$B$4:$B$723,Korrelation!$A$4:$A$723,0,0),DMAV_Modell!$G$6:$G$677,0))</f>
        <v>55</v>
      </c>
      <c r="L44" s="51" t="s">
        <v>10</v>
      </c>
      <c r="M44" s="51" t="s">
        <v>3568</v>
      </c>
      <c r="N44" s="51" t="s">
        <v>3407</v>
      </c>
      <c r="O44" s="52" t="s">
        <v>3410</v>
      </c>
      <c r="Q44" s="210" t="s">
        <v>3415</v>
      </c>
      <c r="T44" s="51" t="s">
        <v>6119</v>
      </c>
      <c r="U44" s="51" t="s">
        <v>6167</v>
      </c>
      <c r="V44" s="51" t="s">
        <v>3557</v>
      </c>
      <c r="W44" s="52" t="s">
        <v>3410</v>
      </c>
      <c r="Y44" s="210" t="s">
        <v>6168</v>
      </c>
      <c r="AB44" s="51" t="s">
        <v>6267</v>
      </c>
      <c r="AC44" s="51" t="s">
        <v>3974</v>
      </c>
      <c r="AD44" s="51" t="s">
        <v>3975</v>
      </c>
      <c r="AE44" s="52" t="s">
        <v>3410</v>
      </c>
      <c r="AG44" s="210" t="s">
        <v>6309</v>
      </c>
    </row>
    <row r="45" spans="1:33" ht="38.25" x14ac:dyDescent="0.25">
      <c r="A45" s="51" t="s">
        <v>3663</v>
      </c>
      <c r="B45" s="51">
        <v>40</v>
      </c>
      <c r="C45" s="51" t="s">
        <v>95</v>
      </c>
      <c r="D45" s="50">
        <v>1</v>
      </c>
      <c r="F45" s="189" t="str" cm="1">
        <f t="array" aca="1" ref="F45" ca="1">IF(I45=0,"",HYPERLINK("#"&amp;RIGHT(CELL("dateiname"),LEN(CELL("dateiname"))-FIND("]",CELL("dateiname")))&amp;"!"&amp;CELL("adresse",OFFSET($C$6,I45-1,0)),"Definition"))</f>
        <v/>
      </c>
      <c r="G45" s="189" t="str" cm="1">
        <f t="array" aca="1" ref="G45" ca="1">IF(J45=0,"",HYPERLINK("#"&amp;RIGHT(CELL("adresse",OFFSET(DMAV_Modell!$A$6,J45-1,0)),LEN(CELL("adresse",OFFSET(DMAV_Modell!$A$6,J45-1,0)))-SEARCH("]",CELL("adresse",OFFSET(DMAV_Modell!$A$6,J45-1,0)))),"Modell"))</f>
        <v>Modell</v>
      </c>
      <c r="H45" s="150" t="str">
        <f t="shared" si="0"/>
        <v>DMG40</v>
      </c>
      <c r="I45" s="150">
        <f t="shared" si="1"/>
        <v>0</v>
      </c>
      <c r="J45" s="150">
        <f>IF(_xlfn.XLOOKUP(H45,Korrelation!$B$4:$B$723,Korrelation!$A$4:$A$723,0,0)=0,0,MATCH(_xlfn.XLOOKUP(H45,Korrelation!$B$4:$B$723,Korrelation!$A$4:$A$723,0,0),DMAV_Modell!$G$6:$G$677,0))</f>
        <v>56</v>
      </c>
      <c r="L45" s="51" t="s">
        <v>10</v>
      </c>
      <c r="M45" s="51" t="s">
        <v>3568</v>
      </c>
      <c r="N45" s="51" t="s">
        <v>207</v>
      </c>
      <c r="O45" s="52" t="s">
        <v>210</v>
      </c>
      <c r="Q45" s="210" t="s">
        <v>3415</v>
      </c>
      <c r="T45" s="51" t="s">
        <v>6119</v>
      </c>
      <c r="U45" s="51" t="s">
        <v>6167</v>
      </c>
      <c r="V45" s="51" t="s">
        <v>773</v>
      </c>
      <c r="W45" s="52" t="s">
        <v>210</v>
      </c>
      <c r="Y45" s="210" t="s">
        <v>6168</v>
      </c>
      <c r="AB45" s="51" t="s">
        <v>6267</v>
      </c>
      <c r="AC45" s="51" t="s">
        <v>3974</v>
      </c>
      <c r="AD45" s="51" t="s">
        <v>773</v>
      </c>
      <c r="AE45" s="52" t="s">
        <v>210</v>
      </c>
      <c r="AG45" s="210" t="s">
        <v>6309</v>
      </c>
    </row>
    <row r="46" spans="1:33" x14ac:dyDescent="0.25">
      <c r="A46" s="51" t="s">
        <v>3663</v>
      </c>
      <c r="B46" s="51">
        <v>41</v>
      </c>
      <c r="C46" s="51" t="s">
        <v>95</v>
      </c>
      <c r="D46" s="50">
        <v>1</v>
      </c>
      <c r="F46" s="189" t="str" cm="1">
        <f t="array" aca="1" ref="F46" ca="1">IF(I46=0,"",HYPERLINK("#"&amp;RIGHT(CELL("dateiname"),LEN(CELL("dateiname"))-FIND("]",CELL("dateiname")))&amp;"!"&amp;CELL("adresse",OFFSET($C$6,I46-1,0)),"Definition"))</f>
        <v/>
      </c>
      <c r="G46" s="189" t="str" cm="1">
        <f t="array" aca="1" ref="G46" ca="1">IF(J46=0,"",HYPERLINK("#"&amp;RIGHT(CELL("adresse",OFFSET(DMAV_Modell!$A$6,J46-1,0)),LEN(CELL("adresse",OFFSET(DMAV_Modell!$A$6,J46-1,0)))-SEARCH("]",CELL("adresse",OFFSET(DMAV_Modell!$A$6,J46-1,0)))),"Modell"))</f>
        <v>Modell</v>
      </c>
      <c r="H46" s="150" t="str">
        <f t="shared" si="0"/>
        <v>DMG41</v>
      </c>
      <c r="I46" s="150">
        <f t="shared" si="1"/>
        <v>0</v>
      </c>
      <c r="J46" s="150">
        <f>IF(_xlfn.XLOOKUP(H46,Korrelation!$B$4:$B$723,Korrelation!$A$4:$A$723,0,0)=0,0,MATCH(_xlfn.XLOOKUP(H46,Korrelation!$B$4:$B$723,Korrelation!$A$4:$A$723,0,0),DMAV_Modell!$G$6:$G$677,0))</f>
        <v>57</v>
      </c>
      <c r="L46" s="51" t="s">
        <v>10</v>
      </c>
      <c r="M46" s="51" t="s">
        <v>3568</v>
      </c>
      <c r="N46" s="51" t="s">
        <v>96</v>
      </c>
      <c r="O46" s="52" t="s">
        <v>97</v>
      </c>
      <c r="Q46" s="210" t="s">
        <v>3412</v>
      </c>
      <c r="T46" s="51" t="s">
        <v>6119</v>
      </c>
      <c r="U46" s="51" t="s">
        <v>6167</v>
      </c>
      <c r="V46" s="51" t="s">
        <v>733</v>
      </c>
      <c r="W46" s="52" t="s">
        <v>97</v>
      </c>
      <c r="Y46" s="210" t="s">
        <v>6169</v>
      </c>
      <c r="AB46" s="51" t="s">
        <v>6267</v>
      </c>
      <c r="AC46" s="51" t="s">
        <v>3974</v>
      </c>
      <c r="AD46" s="51" t="s">
        <v>1378</v>
      </c>
      <c r="AE46" s="52" t="s">
        <v>97</v>
      </c>
      <c r="AG46" s="210" t="s">
        <v>6310</v>
      </c>
    </row>
    <row r="47" spans="1:33" x14ac:dyDescent="0.25">
      <c r="A47" s="51" t="s">
        <v>3663</v>
      </c>
      <c r="B47" s="51">
        <v>42</v>
      </c>
      <c r="C47" s="51" t="s">
        <v>95</v>
      </c>
      <c r="D47" s="50">
        <v>1</v>
      </c>
      <c r="F47" s="189" t="str" cm="1">
        <f t="array" aca="1" ref="F47" ca="1">IF(I47=0,"",HYPERLINK("#"&amp;RIGHT(CELL("dateiname"),LEN(CELL("dateiname"))-FIND("]",CELL("dateiname")))&amp;"!"&amp;CELL("adresse",OFFSET($C$6,I47-1,0)),"Definition"))</f>
        <v/>
      </c>
      <c r="G47" s="189" t="str" cm="1">
        <f t="array" aca="1" ref="G47" ca="1">IF(J47=0,"",HYPERLINK("#"&amp;RIGHT(CELL("adresse",OFFSET(DMAV_Modell!$A$6,J47-1,0)),LEN(CELL("adresse",OFFSET(DMAV_Modell!$A$6,J47-1,0)))-SEARCH("]",CELL("adresse",OFFSET(DMAV_Modell!$A$6,J47-1,0)))),"Modell"))</f>
        <v>Modell</v>
      </c>
      <c r="H47" s="150" t="str">
        <f t="shared" si="0"/>
        <v>DMG42</v>
      </c>
      <c r="I47" s="150">
        <f t="shared" si="1"/>
        <v>0</v>
      </c>
      <c r="J47" s="150">
        <f>IF(_xlfn.XLOOKUP(H47,Korrelation!$B$4:$B$723,Korrelation!$A$4:$A$723,0,0)=0,0,MATCH(_xlfn.XLOOKUP(H47,Korrelation!$B$4:$B$723,Korrelation!$A$4:$A$723,0,0),DMAV_Modell!$G$6:$G$677,0))</f>
        <v>58</v>
      </c>
      <c r="L47" s="51" t="s">
        <v>10</v>
      </c>
      <c r="M47" s="51" t="s">
        <v>3568</v>
      </c>
      <c r="N47" s="51" t="s">
        <v>5</v>
      </c>
      <c r="O47" s="52" t="s">
        <v>102</v>
      </c>
      <c r="Q47" s="210" t="s">
        <v>3731</v>
      </c>
      <c r="T47" s="51" t="s">
        <v>6119</v>
      </c>
      <c r="U47" s="51" t="s">
        <v>6167</v>
      </c>
      <c r="V47" s="51" t="s">
        <v>702</v>
      </c>
      <c r="W47" s="52" t="s">
        <v>102</v>
      </c>
      <c r="Y47" s="210" t="s">
        <v>6170</v>
      </c>
      <c r="AB47" s="51" t="s">
        <v>6267</v>
      </c>
      <c r="AC47" s="51" t="s">
        <v>3974</v>
      </c>
      <c r="AD47" s="51" t="s">
        <v>1700</v>
      </c>
      <c r="AE47" s="52" t="s">
        <v>102</v>
      </c>
      <c r="AG47" s="210" t="s">
        <v>6311</v>
      </c>
    </row>
    <row r="48" spans="1:33" ht="51" x14ac:dyDescent="0.25">
      <c r="A48" s="51" t="s">
        <v>3663</v>
      </c>
      <c r="B48" s="51">
        <v>43</v>
      </c>
      <c r="C48" s="51" t="s">
        <v>95</v>
      </c>
      <c r="D48" s="50" t="s">
        <v>72</v>
      </c>
      <c r="F48" s="189" t="str" cm="1">
        <f t="array" aca="1" ref="F48" ca="1">IF(I48=0,"",HYPERLINK("#"&amp;RIGHT(CELL("dateiname"),LEN(CELL("dateiname"))-FIND("]",CELL("dateiname")))&amp;"!"&amp;CELL("adresse",OFFSET($C$6,I48-1,0)),"Definition"))</f>
        <v/>
      </c>
      <c r="G48" s="189" t="str" cm="1">
        <f t="array" aca="1" ref="G48" ca="1">IF(J48=0,"",HYPERLINK("#"&amp;RIGHT(CELL("adresse",OFFSET(DMAV_Modell!$A$6,J48-1,0)),LEN(CELL("adresse",OFFSET(DMAV_Modell!$A$6,J48-1,0)))-SEARCH("]",CELL("adresse",OFFSET(DMAV_Modell!$A$6,J48-1,0)))),"Modell"))</f>
        <v>Modell</v>
      </c>
      <c r="H48" s="150" t="str">
        <f t="shared" si="0"/>
        <v>DMG43</v>
      </c>
      <c r="I48" s="150">
        <f t="shared" si="1"/>
        <v>0</v>
      </c>
      <c r="J48" s="150">
        <f>IF(_xlfn.XLOOKUP(H48,Korrelation!$B$4:$B$723,Korrelation!$A$4:$A$723,0,0)=0,0,MATCH(_xlfn.XLOOKUP(H48,Korrelation!$B$4:$B$723,Korrelation!$A$4:$A$723,0,0),DMAV_Modell!$G$6:$G$677,0))</f>
        <v>59</v>
      </c>
      <c r="L48" s="51" t="s">
        <v>10</v>
      </c>
      <c r="M48" s="51" t="s">
        <v>3568</v>
      </c>
      <c r="N48" s="51" t="s">
        <v>3408</v>
      </c>
      <c r="O48" s="52" t="s">
        <v>3411</v>
      </c>
      <c r="Q48" s="210" t="s">
        <v>3413</v>
      </c>
      <c r="T48" s="51" t="s">
        <v>6119</v>
      </c>
      <c r="U48" s="51" t="s">
        <v>6167</v>
      </c>
      <c r="V48" s="51" t="s">
        <v>3558</v>
      </c>
      <c r="W48" s="52" t="s">
        <v>3411</v>
      </c>
      <c r="Y48" s="210" t="s">
        <v>6171</v>
      </c>
      <c r="AB48" s="51" t="s">
        <v>6267</v>
      </c>
      <c r="AC48" s="51" t="s">
        <v>3974</v>
      </c>
      <c r="AD48" s="51" t="s">
        <v>3988</v>
      </c>
      <c r="AE48" s="52" t="s">
        <v>3411</v>
      </c>
      <c r="AG48" s="210" t="s">
        <v>6312</v>
      </c>
    </row>
    <row r="49" spans="1:33" ht="38.25" x14ac:dyDescent="0.25">
      <c r="A49" s="51" t="s">
        <v>3663</v>
      </c>
      <c r="B49" s="51">
        <v>44</v>
      </c>
      <c r="C49" s="51" t="s">
        <v>95</v>
      </c>
      <c r="D49" s="50" t="s">
        <v>72</v>
      </c>
      <c r="F49" s="189" t="str" cm="1">
        <f t="array" aca="1" ref="F49" ca="1">IF(I49=0,"",HYPERLINK("#"&amp;RIGHT(CELL("dateiname"),LEN(CELL("dateiname"))-FIND("]",CELL("dateiname")))&amp;"!"&amp;CELL("adresse",OFFSET($C$6,I49-1,0)),"Definition"))</f>
        <v/>
      </c>
      <c r="G49" s="189" t="str" cm="1">
        <f t="array" aca="1" ref="G49" ca="1">IF(J49=0,"",HYPERLINK("#"&amp;RIGHT(CELL("adresse",OFFSET(DMAV_Modell!$A$6,J49-1,0)),LEN(CELL("adresse",OFFSET(DMAV_Modell!$A$6,J49-1,0)))-SEARCH("]",CELL("adresse",OFFSET(DMAV_Modell!$A$6,J49-1,0)))),"Modell"))</f>
        <v>Modell</v>
      </c>
      <c r="H49" s="150" t="str">
        <f t="shared" si="0"/>
        <v>DMG44</v>
      </c>
      <c r="I49" s="150">
        <f t="shared" si="1"/>
        <v>0</v>
      </c>
      <c r="J49" s="150">
        <f>IF(_xlfn.XLOOKUP(H49,Korrelation!$B$4:$B$723,Korrelation!$A$4:$A$723,0,0)=0,0,MATCH(_xlfn.XLOOKUP(H49,Korrelation!$B$4:$B$723,Korrelation!$A$4:$A$723,0,0),DMAV_Modell!$G$6:$G$677,0))</f>
        <v>60</v>
      </c>
      <c r="L49" s="51" t="s">
        <v>10</v>
      </c>
      <c r="M49" s="51" t="s">
        <v>3568</v>
      </c>
      <c r="N49" s="51" t="s">
        <v>3409</v>
      </c>
      <c r="O49" s="52" t="s">
        <v>3411</v>
      </c>
      <c r="Q49" s="210" t="s">
        <v>3414</v>
      </c>
      <c r="T49" s="51" t="s">
        <v>6119</v>
      </c>
      <c r="U49" s="51" t="s">
        <v>6167</v>
      </c>
      <c r="V49" s="51" t="s">
        <v>3559</v>
      </c>
      <c r="W49" s="52" t="s">
        <v>3411</v>
      </c>
      <c r="Y49" s="210" t="s">
        <v>6172</v>
      </c>
      <c r="AB49" s="51" t="s">
        <v>6267</v>
      </c>
      <c r="AC49" s="51" t="s">
        <v>3974</v>
      </c>
      <c r="AD49" s="51" t="s">
        <v>3992</v>
      </c>
      <c r="AE49" s="52" t="s">
        <v>3411</v>
      </c>
      <c r="AG49" s="210" t="s">
        <v>6313</v>
      </c>
    </row>
    <row r="50" spans="1:33" ht="25.5" x14ac:dyDescent="0.25">
      <c r="A50" s="51" t="s">
        <v>3663</v>
      </c>
      <c r="B50" s="51">
        <v>45</v>
      </c>
      <c r="C50" s="51" t="s">
        <v>95</v>
      </c>
      <c r="D50" s="50" t="s">
        <v>72</v>
      </c>
      <c r="F50" s="189" t="str" cm="1">
        <f t="array" aca="1" ref="F50" ca="1">IF(I50=0,"",HYPERLINK("#"&amp;RIGHT(CELL("dateiname"),LEN(CELL("dateiname"))-FIND("]",CELL("dateiname")))&amp;"!"&amp;CELL("adresse",OFFSET($C$6,I50-1,0)),"Definition"))</f>
        <v/>
      </c>
      <c r="G50" s="189" t="str" cm="1">
        <f t="array" aca="1" ref="G50" ca="1">IF(J50=0,"",HYPERLINK("#"&amp;RIGHT(CELL("adresse",OFFSET(DMAV_Modell!$A$6,J50-1,0)),LEN(CELL("adresse",OFFSET(DMAV_Modell!$A$6,J50-1,0)))-SEARCH("]",CELL("adresse",OFFSET(DMAV_Modell!$A$6,J50-1,0)))),"Modell"))</f>
        <v>Modell</v>
      </c>
      <c r="H50" s="150" t="str">
        <f t="shared" si="0"/>
        <v>DMG45</v>
      </c>
      <c r="I50" s="150">
        <f t="shared" si="1"/>
        <v>0</v>
      </c>
      <c r="J50" s="150">
        <f>IF(_xlfn.XLOOKUP(H50,Korrelation!$B$4:$B$723,Korrelation!$A$4:$A$723,0,0)=0,0,MATCH(_xlfn.XLOOKUP(H50,Korrelation!$B$4:$B$723,Korrelation!$A$4:$A$723,0,0),DMAV_Modell!$G$6:$G$677,0))</f>
        <v>61</v>
      </c>
      <c r="L50" s="51" t="s">
        <v>10</v>
      </c>
      <c r="M50" s="51" t="s">
        <v>3568</v>
      </c>
      <c r="N50" s="51" t="s">
        <v>123</v>
      </c>
      <c r="O50" s="52" t="s">
        <v>3732</v>
      </c>
      <c r="Q50" s="210" t="s">
        <v>3733</v>
      </c>
      <c r="T50" s="51" t="s">
        <v>6119</v>
      </c>
      <c r="U50" s="51" t="s">
        <v>6167</v>
      </c>
      <c r="V50" s="51" t="s">
        <v>123</v>
      </c>
      <c r="W50" s="52" t="s">
        <v>3732</v>
      </c>
      <c r="Y50" s="210" t="s">
        <v>6173</v>
      </c>
      <c r="AB50" s="51" t="s">
        <v>6267</v>
      </c>
      <c r="AC50" s="51" t="s">
        <v>3974</v>
      </c>
      <c r="AD50" s="51" t="s">
        <v>1247</v>
      </c>
      <c r="AE50" s="52" t="s">
        <v>3732</v>
      </c>
      <c r="AG50" s="210" t="s">
        <v>6314</v>
      </c>
    </row>
    <row r="51" spans="1:33" x14ac:dyDescent="0.25">
      <c r="A51" s="51" t="s">
        <v>3663</v>
      </c>
      <c r="B51" s="51">
        <v>46</v>
      </c>
      <c r="C51" s="51" t="s">
        <v>95</v>
      </c>
      <c r="D51" s="50">
        <v>1</v>
      </c>
      <c r="F51" s="189" t="str" cm="1">
        <f t="array" aca="1" ref="F51" ca="1">IF(I51=0,"",HYPERLINK("#"&amp;RIGHT(CELL("dateiname"),LEN(CELL("dateiname"))-FIND("]",CELL("dateiname")))&amp;"!"&amp;CELL("adresse",OFFSET($C$6,I51-1,0)),"Definition"))</f>
        <v/>
      </c>
      <c r="G51" s="189" t="str" cm="1">
        <f t="array" aca="1" ref="G51" ca="1">IF(J51=0,"",HYPERLINK("#"&amp;RIGHT(CELL("adresse",OFFSET(DMAV_Modell!$A$6,J51-1,0)),LEN(CELL("adresse",OFFSET(DMAV_Modell!$A$6,J51-1,0)))-SEARCH("]",CELL("adresse",OFFSET(DMAV_Modell!$A$6,J51-1,0)))),"Modell"))</f>
        <v/>
      </c>
      <c r="H51" s="150" t="str">
        <f t="shared" si="0"/>
        <v>DMG46</v>
      </c>
      <c r="I51" s="150">
        <f t="shared" si="1"/>
        <v>0</v>
      </c>
      <c r="J51" s="150">
        <f>IF(_xlfn.XLOOKUP(H51,Korrelation!$B$4:$B$723,Korrelation!$A$4:$A$723,0,0)=0,0,MATCH(_xlfn.XLOOKUP(H51,Korrelation!$B$4:$B$723,Korrelation!$A$4:$A$723,0,0),DMAV_Modell!$G$6:$G$677,0))</f>
        <v>0</v>
      </c>
      <c r="L51" s="51" t="s">
        <v>10</v>
      </c>
      <c r="M51" s="51" t="s">
        <v>3734</v>
      </c>
      <c r="N51" s="51" t="s">
        <v>96</v>
      </c>
      <c r="O51" s="52" t="s">
        <v>97</v>
      </c>
      <c r="Q51" s="210" t="s">
        <v>98</v>
      </c>
      <c r="T51" s="51" t="s">
        <v>6119</v>
      </c>
      <c r="U51" s="51" t="s">
        <v>6174</v>
      </c>
      <c r="V51" s="51" t="s">
        <v>733</v>
      </c>
      <c r="W51" s="52" t="s">
        <v>97</v>
      </c>
      <c r="Y51" s="210" t="s">
        <v>6175</v>
      </c>
      <c r="AB51" s="51" t="s">
        <v>6267</v>
      </c>
      <c r="AC51" s="51" t="s">
        <v>6315</v>
      </c>
      <c r="AD51" s="51" t="s">
        <v>1378</v>
      </c>
      <c r="AE51" s="52" t="s">
        <v>97</v>
      </c>
      <c r="AG51" s="210" t="s">
        <v>6316</v>
      </c>
    </row>
    <row r="52" spans="1:33" ht="25.5" x14ac:dyDescent="0.25">
      <c r="A52" s="51" t="s">
        <v>3663</v>
      </c>
      <c r="B52" s="51">
        <v>47</v>
      </c>
      <c r="C52" s="51" t="s">
        <v>95</v>
      </c>
      <c r="D52" s="50">
        <v>1</v>
      </c>
      <c r="F52" s="189" t="str" cm="1">
        <f t="array" aca="1" ref="F52" ca="1">IF(I52=0,"",HYPERLINK("#"&amp;RIGHT(CELL("dateiname"),LEN(CELL("dateiname"))-FIND("]",CELL("dateiname")))&amp;"!"&amp;CELL("adresse",OFFSET($C$6,I52-1,0)),"Definition"))</f>
        <v/>
      </c>
      <c r="G52" s="189" t="str" cm="1">
        <f t="array" aca="1" ref="G52" ca="1">IF(J52=0,"",HYPERLINK("#"&amp;RIGHT(CELL("adresse",OFFSET(DMAV_Modell!$A$6,J52-1,0)),LEN(CELL("adresse",OFFSET(DMAV_Modell!$A$6,J52-1,0)))-SEARCH("]",CELL("adresse",OFFSET(DMAV_Modell!$A$6,J52-1,0)))),"Modell"))</f>
        <v/>
      </c>
      <c r="H52" s="150" t="str">
        <f t="shared" si="0"/>
        <v>DMG47</v>
      </c>
      <c r="I52" s="150">
        <f t="shared" si="1"/>
        <v>0</v>
      </c>
      <c r="J52" s="150">
        <f>IF(_xlfn.XLOOKUP(H52,Korrelation!$B$4:$B$723,Korrelation!$A$4:$A$723,0,0)=0,0,MATCH(_xlfn.XLOOKUP(H52,Korrelation!$B$4:$B$723,Korrelation!$A$4:$A$723,0,0),DMAV_Modell!$G$6:$G$677,0))</f>
        <v>0</v>
      </c>
      <c r="L52" s="51" t="s">
        <v>10</v>
      </c>
      <c r="M52" s="51" t="s">
        <v>3734</v>
      </c>
      <c r="N52" s="51" t="s">
        <v>99</v>
      </c>
      <c r="O52" s="52" t="s">
        <v>97</v>
      </c>
      <c r="Q52" s="210" t="s">
        <v>100</v>
      </c>
      <c r="T52" s="51" t="s">
        <v>6119</v>
      </c>
      <c r="U52" s="51" t="s">
        <v>6174</v>
      </c>
      <c r="V52" s="51" t="s">
        <v>734</v>
      </c>
      <c r="W52" s="52" t="s">
        <v>97</v>
      </c>
      <c r="Y52" s="210" t="s">
        <v>6176</v>
      </c>
      <c r="AB52" s="51" t="s">
        <v>6267</v>
      </c>
      <c r="AC52" s="51" t="s">
        <v>6315</v>
      </c>
      <c r="AD52" s="51" t="s">
        <v>1376</v>
      </c>
      <c r="AE52" s="52" t="s">
        <v>97</v>
      </c>
      <c r="AG52" s="210" t="s">
        <v>6317</v>
      </c>
    </row>
    <row r="53" spans="1:33" x14ac:dyDescent="0.25">
      <c r="A53" s="51" t="s">
        <v>3663</v>
      </c>
      <c r="B53" s="51">
        <v>48</v>
      </c>
      <c r="C53" s="51" t="s">
        <v>95</v>
      </c>
      <c r="D53" s="50">
        <v>1</v>
      </c>
      <c r="F53" s="189" t="str" cm="1">
        <f t="array" aca="1" ref="F53" ca="1">IF(I53=0,"",HYPERLINK("#"&amp;RIGHT(CELL("dateiname"),LEN(CELL("dateiname"))-FIND("]",CELL("dateiname")))&amp;"!"&amp;CELL("adresse",OFFSET($C$6,I53-1,0)),"Definition"))</f>
        <v/>
      </c>
      <c r="G53" s="189" t="str" cm="1">
        <f t="array" aca="1" ref="G53" ca="1">IF(J53=0,"",HYPERLINK("#"&amp;RIGHT(CELL("adresse",OFFSET(DMAV_Modell!$A$6,J53-1,0)),LEN(CELL("adresse",OFFSET(DMAV_Modell!$A$6,J53-1,0)))-SEARCH("]",CELL("adresse",OFFSET(DMAV_Modell!$A$6,J53-1,0)))),"Modell"))</f>
        <v/>
      </c>
      <c r="H53" s="150" t="str">
        <f t="shared" si="0"/>
        <v>DMG48</v>
      </c>
      <c r="I53" s="150">
        <f t="shared" si="1"/>
        <v>0</v>
      </c>
      <c r="J53" s="150">
        <f>IF(_xlfn.XLOOKUP(H53,Korrelation!$B$4:$B$723,Korrelation!$A$4:$A$723,0,0)=0,0,MATCH(_xlfn.XLOOKUP(H53,Korrelation!$B$4:$B$723,Korrelation!$A$4:$A$723,0,0),DMAV_Modell!$G$6:$G$677,0))</f>
        <v>0</v>
      </c>
      <c r="L53" s="51" t="s">
        <v>10</v>
      </c>
      <c r="M53" s="51" t="s">
        <v>3734</v>
      </c>
      <c r="N53" s="51" t="s">
        <v>101</v>
      </c>
      <c r="O53" s="52" t="s">
        <v>102</v>
      </c>
      <c r="Q53" s="210" t="s">
        <v>103</v>
      </c>
      <c r="T53" s="51" t="s">
        <v>6119</v>
      </c>
      <c r="U53" s="51" t="s">
        <v>6174</v>
      </c>
      <c r="V53" s="51" t="s">
        <v>735</v>
      </c>
      <c r="W53" s="52" t="s">
        <v>102</v>
      </c>
      <c r="Y53" s="210" t="s">
        <v>6177</v>
      </c>
      <c r="AB53" s="51" t="s">
        <v>6267</v>
      </c>
      <c r="AC53" s="51" t="s">
        <v>6315</v>
      </c>
      <c r="AD53" s="51" t="s">
        <v>1294</v>
      </c>
      <c r="AE53" s="52" t="s">
        <v>102</v>
      </c>
      <c r="AG53" s="210" t="s">
        <v>6318</v>
      </c>
    </row>
    <row r="54" spans="1:33" ht="76.5" x14ac:dyDescent="0.25">
      <c r="A54" s="51" t="s">
        <v>3663</v>
      </c>
      <c r="B54" s="51">
        <v>49</v>
      </c>
      <c r="C54" s="51" t="s">
        <v>95</v>
      </c>
      <c r="D54" s="50" t="s">
        <v>72</v>
      </c>
      <c r="F54" s="189" t="str" cm="1">
        <f t="array" aca="1" ref="F54" ca="1">IF(I54=0,"",HYPERLINK("#"&amp;RIGHT(CELL("dateiname"),LEN(CELL("dateiname"))-FIND("]",CELL("dateiname")))&amp;"!"&amp;CELL("adresse",OFFSET($C$6,I54-1,0)),"Definition"))</f>
        <v/>
      </c>
      <c r="G54" s="189" t="str" cm="1">
        <f t="array" aca="1" ref="G54" ca="1">IF(J54=0,"",HYPERLINK("#"&amp;RIGHT(CELL("adresse",OFFSET(DMAV_Modell!$A$6,J54-1,0)),LEN(CELL("adresse",OFFSET(DMAV_Modell!$A$6,J54-1,0)))-SEARCH("]",CELL("adresse",OFFSET(DMAV_Modell!$A$6,J54-1,0)))),"Modell"))</f>
        <v/>
      </c>
      <c r="H54" s="150" t="str">
        <f t="shared" si="0"/>
        <v>DMG49</v>
      </c>
      <c r="I54" s="150">
        <f t="shared" si="1"/>
        <v>0</v>
      </c>
      <c r="J54" s="150">
        <f>IF(_xlfn.XLOOKUP(H54,Korrelation!$B$4:$B$723,Korrelation!$A$4:$A$723,0,0)=0,0,MATCH(_xlfn.XLOOKUP(H54,Korrelation!$B$4:$B$723,Korrelation!$A$4:$A$723,0,0),DMAV_Modell!$G$6:$G$677,0))</f>
        <v>0</v>
      </c>
      <c r="L54" s="51" t="s">
        <v>10</v>
      </c>
      <c r="M54" s="51" t="s">
        <v>3734</v>
      </c>
      <c r="N54" s="51" t="s">
        <v>104</v>
      </c>
      <c r="O54" s="52" t="s">
        <v>105</v>
      </c>
      <c r="Q54" s="210" t="s">
        <v>106</v>
      </c>
      <c r="T54" s="51" t="s">
        <v>6119</v>
      </c>
      <c r="U54" s="51" t="s">
        <v>6174</v>
      </c>
      <c r="V54" s="51" t="s">
        <v>736</v>
      </c>
      <c r="W54" s="52" t="s">
        <v>105</v>
      </c>
      <c r="Y54" s="210" t="s">
        <v>6178</v>
      </c>
      <c r="AB54" s="51" t="s">
        <v>6267</v>
      </c>
      <c r="AC54" s="51" t="s">
        <v>6315</v>
      </c>
      <c r="AD54" s="51" t="s">
        <v>1595</v>
      </c>
      <c r="AE54" s="52" t="s">
        <v>105</v>
      </c>
      <c r="AG54" s="210" t="s">
        <v>6319</v>
      </c>
    </row>
    <row r="55" spans="1:33" ht="25.5" x14ac:dyDescent="0.25">
      <c r="A55" s="51" t="s">
        <v>3663</v>
      </c>
      <c r="B55" s="51">
        <v>50</v>
      </c>
      <c r="C55" s="51" t="s">
        <v>95</v>
      </c>
      <c r="D55" s="50">
        <v>1</v>
      </c>
      <c r="F55" s="189" t="str" cm="1">
        <f t="array" aca="1" ref="F55" ca="1">IF(I55=0,"",HYPERLINK("#"&amp;RIGHT(CELL("dateiname"),LEN(CELL("dateiname"))-FIND("]",CELL("dateiname")))&amp;"!"&amp;CELL("adresse",OFFSET($C$6,I55-1,0)),"Definition"))</f>
        <v/>
      </c>
      <c r="G55" s="189" t="str" cm="1">
        <f t="array" aca="1" ref="G55" ca="1">IF(J55=0,"",HYPERLINK("#"&amp;RIGHT(CELL("adresse",OFFSET(DMAV_Modell!$A$6,J55-1,0)),LEN(CELL("adresse",OFFSET(DMAV_Modell!$A$6,J55-1,0)))-SEARCH("]",CELL("adresse",OFFSET(DMAV_Modell!$A$6,J55-1,0)))),"Modell"))</f>
        <v/>
      </c>
      <c r="H55" s="150" t="str">
        <f t="shared" si="0"/>
        <v>DMG50</v>
      </c>
      <c r="I55" s="150">
        <f t="shared" si="1"/>
        <v>0</v>
      </c>
      <c r="J55" s="150">
        <f>IF(_xlfn.XLOOKUP(H55,Korrelation!$B$4:$B$723,Korrelation!$A$4:$A$723,0,0)=0,0,MATCH(_xlfn.XLOOKUP(H55,Korrelation!$B$4:$B$723,Korrelation!$A$4:$A$723,0,0),DMAV_Modell!$G$6:$G$677,0))</f>
        <v>0</v>
      </c>
      <c r="L55" s="51" t="s">
        <v>10</v>
      </c>
      <c r="M55" s="51" t="s">
        <v>3734</v>
      </c>
      <c r="N55" s="51" t="s">
        <v>107</v>
      </c>
      <c r="O55" s="52" t="s">
        <v>108</v>
      </c>
      <c r="Q55" s="210" t="s">
        <v>109</v>
      </c>
      <c r="T55" s="51" t="s">
        <v>6119</v>
      </c>
      <c r="U55" s="51" t="s">
        <v>6174</v>
      </c>
      <c r="V55" s="51" t="s">
        <v>737</v>
      </c>
      <c r="W55" s="52" t="s">
        <v>108</v>
      </c>
      <c r="Y55" s="210" t="s">
        <v>6179</v>
      </c>
      <c r="AB55" s="51" t="s">
        <v>6267</v>
      </c>
      <c r="AC55" s="51" t="s">
        <v>6315</v>
      </c>
      <c r="AD55" s="51" t="s">
        <v>4014</v>
      </c>
      <c r="AE55" s="52" t="s">
        <v>108</v>
      </c>
      <c r="AG55" s="210" t="s">
        <v>6320</v>
      </c>
    </row>
    <row r="56" spans="1:33" ht="25.5" x14ac:dyDescent="0.25">
      <c r="A56" s="51" t="s">
        <v>3663</v>
      </c>
      <c r="B56" s="51">
        <v>51</v>
      </c>
      <c r="C56" s="51" t="s">
        <v>34</v>
      </c>
      <c r="F56" s="189" t="str" cm="1">
        <f t="array" aca="1" ref="F56" ca="1">IF(I56=0,"",HYPERLINK("#"&amp;RIGHT(CELL("dateiname"),LEN(CELL("dateiname"))-FIND("]",CELL("dateiname")))&amp;"!"&amp;CELL("adresse",OFFSET($C$6,I56-1,0)),"Definition"))</f>
        <v/>
      </c>
      <c r="G56" s="189" t="str" cm="1">
        <f t="array" aca="1" ref="G56" ca="1">IF(J56=0,"",HYPERLINK("#"&amp;RIGHT(CELL("adresse",OFFSET(DMAV_Modell!$A$6,J56-1,0)),LEN(CELL("adresse",OFFSET(DMAV_Modell!$A$6,J56-1,0)))-SEARCH("]",CELL("adresse",OFFSET(DMAV_Modell!$A$6,J56-1,0)))),"Modell"))</f>
        <v/>
      </c>
      <c r="H56" s="150" t="str">
        <f t="shared" si="0"/>
        <v>DMG51</v>
      </c>
      <c r="I56" s="150">
        <f t="shared" si="1"/>
        <v>0</v>
      </c>
      <c r="J56" s="150">
        <f>IF(_xlfn.XLOOKUP(H56,Korrelation!$B$4:$B$723,Korrelation!$A$4:$A$723,0,0)=0,0,MATCH(_xlfn.XLOOKUP(H56,Korrelation!$B$4:$B$723,Korrelation!$A$4:$A$723,0,0),DMAV_Modell!$G$6:$G$677,0))</f>
        <v>0</v>
      </c>
      <c r="L56" s="51" t="s">
        <v>10</v>
      </c>
      <c r="M56" s="51" t="s">
        <v>110</v>
      </c>
      <c r="O56" s="52" t="s">
        <v>111</v>
      </c>
      <c r="Q56" s="210" t="s">
        <v>112</v>
      </c>
      <c r="T56" s="51" t="s">
        <v>6119</v>
      </c>
      <c r="U56" s="51" t="s">
        <v>738</v>
      </c>
      <c r="W56" s="52" t="s">
        <v>111</v>
      </c>
      <c r="Y56" s="210" t="s">
        <v>6180</v>
      </c>
      <c r="AB56" s="51" t="s">
        <v>6267</v>
      </c>
      <c r="AC56" s="51" t="s">
        <v>4178</v>
      </c>
      <c r="AE56" s="52" t="s">
        <v>4179</v>
      </c>
      <c r="AG56" s="210" t="s">
        <v>6321</v>
      </c>
    </row>
    <row r="57" spans="1:33" ht="89.25" x14ac:dyDescent="0.25">
      <c r="A57" s="51" t="s">
        <v>3663</v>
      </c>
      <c r="B57" s="51">
        <v>52</v>
      </c>
      <c r="C57" s="51" t="s">
        <v>34</v>
      </c>
      <c r="F57" s="189" t="str" cm="1">
        <f t="array" aca="1" ref="F57" ca="1">IF(I57=0,"",HYPERLINK("#"&amp;RIGHT(CELL("dateiname"),LEN(CELL("dateiname"))-FIND("]",CELL("dateiname")))&amp;"!"&amp;CELL("adresse",OFFSET($C$6,I57-1,0)),"Definition"))</f>
        <v/>
      </c>
      <c r="G57" s="189" t="str" cm="1">
        <f t="array" aca="1" ref="G57" ca="1">IF(J57=0,"",HYPERLINK("#"&amp;RIGHT(CELL("adresse",OFFSET(DMAV_Modell!$A$6,J57-1,0)),LEN(CELL("adresse",OFFSET(DMAV_Modell!$A$6,J57-1,0)))-SEARCH("]",CELL("adresse",OFFSET(DMAV_Modell!$A$6,J57-1,0)))),"Modell"))</f>
        <v/>
      </c>
      <c r="H57" s="150" t="str">
        <f t="shared" si="0"/>
        <v>DMG52</v>
      </c>
      <c r="I57" s="150">
        <f t="shared" si="1"/>
        <v>0</v>
      </c>
      <c r="J57" s="150">
        <f>IF(_xlfn.XLOOKUP(H57,Korrelation!$B$4:$B$723,Korrelation!$A$4:$A$723,0,0)=0,0,MATCH(_xlfn.XLOOKUP(H57,Korrelation!$B$4:$B$723,Korrelation!$A$4:$A$723,0,0),DMAV_Modell!$G$6:$G$677,0))</f>
        <v>0</v>
      </c>
      <c r="L57" s="51" t="s">
        <v>10</v>
      </c>
      <c r="M57" s="51" t="s">
        <v>110</v>
      </c>
      <c r="O57" s="52" t="s">
        <v>113</v>
      </c>
      <c r="Q57" s="210" t="s">
        <v>114</v>
      </c>
      <c r="T57" s="51" t="s">
        <v>6119</v>
      </c>
      <c r="U57" s="51" t="s">
        <v>738</v>
      </c>
      <c r="W57" s="52" t="s">
        <v>739</v>
      </c>
      <c r="Y57" s="210" t="s">
        <v>6181</v>
      </c>
      <c r="AB57" s="51" t="s">
        <v>6267</v>
      </c>
      <c r="AC57" s="51" t="s">
        <v>4178</v>
      </c>
      <c r="AE57" s="52" t="s">
        <v>4180</v>
      </c>
      <c r="AG57" s="210" t="s">
        <v>6322</v>
      </c>
    </row>
    <row r="58" spans="1:33" ht="63.75" x14ac:dyDescent="0.25">
      <c r="A58" s="51" t="s">
        <v>3663</v>
      </c>
      <c r="B58" s="51">
        <v>53</v>
      </c>
      <c r="C58" s="51" t="s">
        <v>34</v>
      </c>
      <c r="F58" s="189" t="str" cm="1">
        <f t="array" aca="1" ref="F58" ca="1">IF(I58=0,"",HYPERLINK("#"&amp;RIGHT(CELL("dateiname"),LEN(CELL("dateiname"))-FIND("]",CELL("dateiname")))&amp;"!"&amp;CELL("adresse",OFFSET($C$6,I58-1,0)),"Definition"))</f>
        <v/>
      </c>
      <c r="G58" s="189" t="str" cm="1">
        <f t="array" aca="1" ref="G58" ca="1">IF(J58=0,"",HYPERLINK("#"&amp;RIGHT(CELL("adresse",OFFSET(DMAV_Modell!$A$6,J58-1,0)),LEN(CELL("adresse",OFFSET(DMAV_Modell!$A$6,J58-1,0)))-SEARCH("]",CELL("adresse",OFFSET(DMAV_Modell!$A$6,J58-1,0)))),"Modell"))</f>
        <v/>
      </c>
      <c r="H58" s="150" t="str">
        <f t="shared" si="0"/>
        <v>DMG53</v>
      </c>
      <c r="I58" s="150">
        <f t="shared" si="1"/>
        <v>0</v>
      </c>
      <c r="J58" s="150">
        <f>IF(_xlfn.XLOOKUP(H58,Korrelation!$B$4:$B$723,Korrelation!$A$4:$A$723,0,0)=0,0,MATCH(_xlfn.XLOOKUP(H58,Korrelation!$B$4:$B$723,Korrelation!$A$4:$A$723,0,0),DMAV_Modell!$G$6:$G$677,0))</f>
        <v>0</v>
      </c>
      <c r="L58" s="51" t="s">
        <v>10</v>
      </c>
      <c r="M58" s="51" t="s">
        <v>110</v>
      </c>
      <c r="O58" s="52" t="s">
        <v>115</v>
      </c>
      <c r="Q58" s="210" t="s">
        <v>116</v>
      </c>
      <c r="T58" s="51" t="s">
        <v>6119</v>
      </c>
      <c r="U58" s="51" t="s">
        <v>738</v>
      </c>
      <c r="W58" s="52" t="s">
        <v>740</v>
      </c>
      <c r="Y58" s="210" t="s">
        <v>6182</v>
      </c>
      <c r="AB58" s="51" t="s">
        <v>6267</v>
      </c>
      <c r="AC58" s="51" t="s">
        <v>4178</v>
      </c>
      <c r="AE58" s="52" t="s">
        <v>4181</v>
      </c>
      <c r="AG58" s="210" t="s">
        <v>6323</v>
      </c>
    </row>
    <row r="59" spans="1:33" x14ac:dyDescent="0.25">
      <c r="A59" s="51" t="s">
        <v>3663</v>
      </c>
      <c r="B59" s="51">
        <v>54</v>
      </c>
      <c r="C59" s="51" t="s">
        <v>95</v>
      </c>
      <c r="D59" s="50">
        <v>1</v>
      </c>
      <c r="F59" s="189" t="str" cm="1">
        <f t="array" aca="1" ref="F59" ca="1">IF(I59=0,"",HYPERLINK("#"&amp;RIGHT(CELL("dateiname"),LEN(CELL("dateiname"))-FIND("]",CELL("dateiname")))&amp;"!"&amp;CELL("adresse",OFFSET($C$6,I59-1,0)),"Definition"))</f>
        <v/>
      </c>
      <c r="G59" s="189" t="str" cm="1">
        <f t="array" aca="1" ref="G59" ca="1">IF(J59=0,"",HYPERLINK("#"&amp;RIGHT(CELL("adresse",OFFSET(DMAV_Modell!$A$6,J59-1,0)),LEN(CELL("adresse",OFFSET(DMAV_Modell!$A$6,J59-1,0)))-SEARCH("]",CELL("adresse",OFFSET(DMAV_Modell!$A$6,J59-1,0)))),"Modell"))</f>
        <v/>
      </c>
      <c r="H59" s="150" t="str">
        <f t="shared" si="0"/>
        <v>DMG54</v>
      </c>
      <c r="I59" s="150">
        <f t="shared" si="1"/>
        <v>0</v>
      </c>
      <c r="J59" s="150">
        <f>IF(_xlfn.XLOOKUP(H59,Korrelation!$B$4:$B$723,Korrelation!$A$4:$A$723,0,0)=0,0,MATCH(_xlfn.XLOOKUP(H59,Korrelation!$B$4:$B$723,Korrelation!$A$4:$A$723,0,0),DMAV_Modell!$G$6:$G$677,0))</f>
        <v>0</v>
      </c>
      <c r="L59" s="51" t="s">
        <v>10</v>
      </c>
      <c r="M59" s="51" t="s">
        <v>3735</v>
      </c>
      <c r="N59" s="51" t="s">
        <v>96</v>
      </c>
      <c r="O59" s="52" t="s">
        <v>97</v>
      </c>
      <c r="Q59" s="210" t="s">
        <v>98</v>
      </c>
      <c r="T59" s="51" t="s">
        <v>6119</v>
      </c>
      <c r="U59" s="51" t="s">
        <v>6174</v>
      </c>
      <c r="V59" s="51" t="s">
        <v>733</v>
      </c>
      <c r="W59" s="52" t="s">
        <v>97</v>
      </c>
      <c r="Y59" s="210" t="s">
        <v>6183</v>
      </c>
      <c r="AB59" s="51" t="s">
        <v>6267</v>
      </c>
      <c r="AC59" s="51" t="s">
        <v>6315</v>
      </c>
      <c r="AD59" s="51" t="s">
        <v>1378</v>
      </c>
      <c r="AE59" s="52" t="s">
        <v>97</v>
      </c>
      <c r="AG59" s="210" t="s">
        <v>6316</v>
      </c>
    </row>
    <row r="60" spans="1:33" ht="25.5" x14ac:dyDescent="0.25">
      <c r="A60" s="51" t="s">
        <v>3663</v>
      </c>
      <c r="B60" s="51">
        <v>55</v>
      </c>
      <c r="C60" s="51" t="s">
        <v>95</v>
      </c>
      <c r="D60" s="50">
        <v>1</v>
      </c>
      <c r="F60" s="189" t="str" cm="1">
        <f t="array" aca="1" ref="F60" ca="1">IF(I60=0,"",HYPERLINK("#"&amp;RIGHT(CELL("dateiname"),LEN(CELL("dateiname"))-FIND("]",CELL("dateiname")))&amp;"!"&amp;CELL("adresse",OFFSET($C$6,I60-1,0)),"Definition"))</f>
        <v/>
      </c>
      <c r="G60" s="189" t="str" cm="1">
        <f t="array" aca="1" ref="G60" ca="1">IF(J60=0,"",HYPERLINK("#"&amp;RIGHT(CELL("adresse",OFFSET(DMAV_Modell!$A$6,J60-1,0)),LEN(CELL("adresse",OFFSET(DMAV_Modell!$A$6,J60-1,0)))-SEARCH("]",CELL("adresse",OFFSET(DMAV_Modell!$A$6,J60-1,0)))),"Modell"))</f>
        <v/>
      </c>
      <c r="H60" s="150" t="str">
        <f t="shared" si="0"/>
        <v>DMG55</v>
      </c>
      <c r="I60" s="150">
        <f t="shared" si="1"/>
        <v>0</v>
      </c>
      <c r="J60" s="150">
        <f>IF(_xlfn.XLOOKUP(H60,Korrelation!$B$4:$B$723,Korrelation!$A$4:$A$723,0,0)=0,0,MATCH(_xlfn.XLOOKUP(H60,Korrelation!$B$4:$B$723,Korrelation!$A$4:$A$723,0,0),DMAV_Modell!$G$6:$G$677,0))</f>
        <v>0</v>
      </c>
      <c r="L60" s="51" t="s">
        <v>10</v>
      </c>
      <c r="M60" s="51" t="s">
        <v>3735</v>
      </c>
      <c r="N60" s="51" t="s">
        <v>99</v>
      </c>
      <c r="O60" s="52" t="s">
        <v>97</v>
      </c>
      <c r="Q60" s="210" t="s">
        <v>100</v>
      </c>
      <c r="T60" s="51" t="s">
        <v>6119</v>
      </c>
      <c r="U60" s="51" t="s">
        <v>6174</v>
      </c>
      <c r="V60" s="51" t="s">
        <v>734</v>
      </c>
      <c r="W60" s="52" t="s">
        <v>97</v>
      </c>
      <c r="Y60" s="210" t="s">
        <v>6176</v>
      </c>
      <c r="AB60" s="51" t="s">
        <v>6267</v>
      </c>
      <c r="AC60" s="51" t="s">
        <v>6315</v>
      </c>
      <c r="AD60" s="51" t="s">
        <v>1376</v>
      </c>
      <c r="AE60" s="52" t="s">
        <v>97</v>
      </c>
      <c r="AG60" s="210" t="s">
        <v>6317</v>
      </c>
    </row>
    <row r="61" spans="1:33" x14ac:dyDescent="0.25">
      <c r="A61" s="51" t="s">
        <v>3663</v>
      </c>
      <c r="B61" s="51">
        <v>56</v>
      </c>
      <c r="C61" s="51" t="s">
        <v>95</v>
      </c>
      <c r="D61" s="50">
        <v>1</v>
      </c>
      <c r="F61" s="189" t="str" cm="1">
        <f t="array" aca="1" ref="F61" ca="1">IF(I61=0,"",HYPERLINK("#"&amp;RIGHT(CELL("dateiname"),LEN(CELL("dateiname"))-FIND("]",CELL("dateiname")))&amp;"!"&amp;CELL("adresse",OFFSET($C$6,I61-1,0)),"Definition"))</f>
        <v/>
      </c>
      <c r="G61" s="189" t="str" cm="1">
        <f t="array" aca="1" ref="G61" ca="1">IF(J61=0,"",HYPERLINK("#"&amp;RIGHT(CELL("adresse",OFFSET(DMAV_Modell!$A$6,J61-1,0)),LEN(CELL("adresse",OFFSET(DMAV_Modell!$A$6,J61-1,0)))-SEARCH("]",CELL("adresse",OFFSET(DMAV_Modell!$A$6,J61-1,0)))),"Modell"))</f>
        <v/>
      </c>
      <c r="H61" s="150" t="str">
        <f t="shared" si="0"/>
        <v>DMG56</v>
      </c>
      <c r="I61" s="150">
        <f t="shared" si="1"/>
        <v>0</v>
      </c>
      <c r="J61" s="150">
        <f>IF(_xlfn.XLOOKUP(H61,Korrelation!$B$4:$B$723,Korrelation!$A$4:$A$723,0,0)=0,0,MATCH(_xlfn.XLOOKUP(H61,Korrelation!$B$4:$B$723,Korrelation!$A$4:$A$723,0,0),DMAV_Modell!$G$6:$G$677,0))</f>
        <v>0</v>
      </c>
      <c r="L61" s="51" t="s">
        <v>10</v>
      </c>
      <c r="M61" s="51" t="s">
        <v>3735</v>
      </c>
      <c r="N61" s="51" t="s">
        <v>101</v>
      </c>
      <c r="O61" s="52" t="s">
        <v>102</v>
      </c>
      <c r="Q61" s="210" t="s">
        <v>103</v>
      </c>
      <c r="T61" s="51" t="s">
        <v>6119</v>
      </c>
      <c r="U61" s="51" t="s">
        <v>6174</v>
      </c>
      <c r="V61" s="51" t="s">
        <v>735</v>
      </c>
      <c r="W61" s="52" t="s">
        <v>102</v>
      </c>
      <c r="Y61" s="210" t="s">
        <v>6177</v>
      </c>
      <c r="AB61" s="51" t="s">
        <v>6267</v>
      </c>
      <c r="AC61" s="51" t="s">
        <v>6315</v>
      </c>
      <c r="AD61" s="51" t="s">
        <v>1294</v>
      </c>
      <c r="AE61" s="52" t="s">
        <v>102</v>
      </c>
      <c r="AG61" s="210" t="s">
        <v>6318</v>
      </c>
    </row>
    <row r="62" spans="1:33" ht="38.25" x14ac:dyDescent="0.25">
      <c r="A62" s="51" t="s">
        <v>3663</v>
      </c>
      <c r="B62" s="51">
        <v>57</v>
      </c>
      <c r="C62" s="51" t="s">
        <v>95</v>
      </c>
      <c r="D62" s="50">
        <v>1</v>
      </c>
      <c r="E62" s="50" t="s">
        <v>3678</v>
      </c>
      <c r="F62" s="189" t="str" cm="1">
        <f t="array" aca="1" ref="F62" ca="1">IF(I62=0,"",HYPERLINK("#"&amp;RIGHT(CELL("dateiname"),LEN(CELL("dateiname"))-FIND("]",CELL("dateiname")))&amp;"!"&amp;CELL("adresse",OFFSET($C$6,I62-1,0)),"Definition"))</f>
        <v>Definition</v>
      </c>
      <c r="G62" s="189" t="str" cm="1">
        <f t="array" aca="1" ref="G62" ca="1">IF(J62=0,"",HYPERLINK("#"&amp;RIGHT(CELL("adresse",OFFSET(DMAV_Modell!$A$6,J62-1,0)),LEN(CELL("adresse",OFFSET(DMAV_Modell!$A$6,J62-1,0)))-SEARCH("]",CELL("adresse",OFFSET(DMAV_Modell!$A$6,J62-1,0)))),"Modell"))</f>
        <v/>
      </c>
      <c r="H62" s="150" t="str">
        <f t="shared" si="0"/>
        <v>DMG57</v>
      </c>
      <c r="I62" s="150">
        <f t="shared" si="1"/>
        <v>51</v>
      </c>
      <c r="J62" s="150">
        <f>IF(_xlfn.XLOOKUP(H62,Korrelation!$B$4:$B$723,Korrelation!$A$4:$A$723,0,0)=0,0,MATCH(_xlfn.XLOOKUP(H62,Korrelation!$B$4:$B$723,Korrelation!$A$4:$A$723,0,0),DMAV_Modell!$G$6:$G$677,0))</f>
        <v>0</v>
      </c>
      <c r="L62" s="51" t="s">
        <v>10</v>
      </c>
      <c r="M62" s="51" t="s">
        <v>3735</v>
      </c>
      <c r="N62" s="51" t="s">
        <v>110</v>
      </c>
      <c r="O62" s="52" t="s">
        <v>117</v>
      </c>
      <c r="Q62" s="210" t="s">
        <v>118</v>
      </c>
      <c r="T62" s="51" t="s">
        <v>6119</v>
      </c>
      <c r="U62" s="51" t="s">
        <v>6174</v>
      </c>
      <c r="V62" s="51" t="s">
        <v>738</v>
      </c>
      <c r="W62" s="52" t="s">
        <v>6184</v>
      </c>
      <c r="Y62" s="210" t="s">
        <v>6185</v>
      </c>
      <c r="AB62" s="51" t="s">
        <v>6267</v>
      </c>
      <c r="AC62" s="51" t="s">
        <v>6315</v>
      </c>
      <c r="AD62" s="51" t="s">
        <v>4178</v>
      </c>
      <c r="AE62" s="52" t="s">
        <v>6324</v>
      </c>
      <c r="AG62" s="210" t="s">
        <v>6325</v>
      </c>
    </row>
    <row r="63" spans="1:33" ht="76.5" x14ac:dyDescent="0.25">
      <c r="A63" s="51" t="s">
        <v>3663</v>
      </c>
      <c r="B63" s="51">
        <v>58</v>
      </c>
      <c r="C63" s="51" t="s">
        <v>95</v>
      </c>
      <c r="D63" s="50" t="s">
        <v>72</v>
      </c>
      <c r="F63" s="189" t="str" cm="1">
        <f t="array" aca="1" ref="F63" ca="1">IF(I63=0,"",HYPERLINK("#"&amp;RIGHT(CELL("dateiname"),LEN(CELL("dateiname"))-FIND("]",CELL("dateiname")))&amp;"!"&amp;CELL("adresse",OFFSET($C$6,I63-1,0)),"Definition"))</f>
        <v/>
      </c>
      <c r="G63" s="189" t="str" cm="1">
        <f t="array" aca="1" ref="G63" ca="1">IF(J63=0,"",HYPERLINK("#"&amp;RIGHT(CELL("adresse",OFFSET(DMAV_Modell!$A$6,J63-1,0)),LEN(CELL("adresse",OFFSET(DMAV_Modell!$A$6,J63-1,0)))-SEARCH("]",CELL("adresse",OFFSET(DMAV_Modell!$A$6,J63-1,0)))),"Modell"))</f>
        <v/>
      </c>
      <c r="H63" s="150" t="str">
        <f t="shared" si="0"/>
        <v>DMG58</v>
      </c>
      <c r="I63" s="150">
        <f t="shared" si="1"/>
        <v>0</v>
      </c>
      <c r="J63" s="150">
        <f>IF(_xlfn.XLOOKUP(H63,Korrelation!$B$4:$B$723,Korrelation!$A$4:$A$723,0,0)=0,0,MATCH(_xlfn.XLOOKUP(H63,Korrelation!$B$4:$B$723,Korrelation!$A$4:$A$723,0,0),DMAV_Modell!$G$6:$G$677,0))</f>
        <v>0</v>
      </c>
      <c r="L63" s="51" t="s">
        <v>10</v>
      </c>
      <c r="M63" s="51" t="s">
        <v>3735</v>
      </c>
      <c r="N63" s="51" t="s">
        <v>104</v>
      </c>
      <c r="O63" s="52" t="s">
        <v>105</v>
      </c>
      <c r="Q63" s="210" t="s">
        <v>106</v>
      </c>
      <c r="T63" s="51" t="s">
        <v>6119</v>
      </c>
      <c r="U63" s="51" t="s">
        <v>6174</v>
      </c>
      <c r="V63" s="51" t="s">
        <v>736</v>
      </c>
      <c r="W63" s="52" t="s">
        <v>105</v>
      </c>
      <c r="Y63" s="210" t="s">
        <v>6186</v>
      </c>
      <c r="AB63" s="51" t="s">
        <v>6267</v>
      </c>
      <c r="AC63" s="51" t="s">
        <v>6315</v>
      </c>
      <c r="AD63" s="51" t="s">
        <v>1595</v>
      </c>
      <c r="AE63" s="52" t="s">
        <v>105</v>
      </c>
      <c r="AG63" s="210" t="s">
        <v>6319</v>
      </c>
    </row>
    <row r="64" spans="1:33" ht="51" x14ac:dyDescent="0.25">
      <c r="A64" s="51" t="s">
        <v>3663</v>
      </c>
      <c r="B64" s="51">
        <v>59</v>
      </c>
      <c r="C64" s="51" t="s">
        <v>95</v>
      </c>
      <c r="D64" s="50">
        <v>1</v>
      </c>
      <c r="F64" s="189" t="str" cm="1">
        <f t="array" aca="1" ref="F64" ca="1">IF(I64=0,"",HYPERLINK("#"&amp;RIGHT(CELL("dateiname"),LEN(CELL("dateiname"))-FIND("]",CELL("dateiname")))&amp;"!"&amp;CELL("adresse",OFFSET($C$6,I64-1,0)),"Definition"))</f>
        <v/>
      </c>
      <c r="G64" s="189" t="str" cm="1">
        <f t="array" aca="1" ref="G64" ca="1">IF(J64=0,"",HYPERLINK("#"&amp;RIGHT(CELL("adresse",OFFSET(DMAV_Modell!$A$6,J64-1,0)),LEN(CELL("adresse",OFFSET(DMAV_Modell!$A$6,J64-1,0)))-SEARCH("]",CELL("adresse",OFFSET(DMAV_Modell!$A$6,J64-1,0)))),"Modell"))</f>
        <v/>
      </c>
      <c r="H64" s="150" t="str">
        <f t="shared" si="0"/>
        <v>DMG59</v>
      </c>
      <c r="I64" s="150">
        <f t="shared" si="1"/>
        <v>0</v>
      </c>
      <c r="J64" s="150">
        <f>IF(_xlfn.XLOOKUP(H64,Korrelation!$B$4:$B$723,Korrelation!$A$4:$A$723,0,0)=0,0,MATCH(_xlfn.XLOOKUP(H64,Korrelation!$B$4:$B$723,Korrelation!$A$4:$A$723,0,0),DMAV_Modell!$G$6:$G$677,0))</f>
        <v>0</v>
      </c>
      <c r="L64" s="51" t="s">
        <v>10</v>
      </c>
      <c r="M64" s="51" t="s">
        <v>3735</v>
      </c>
      <c r="N64" s="51" t="s">
        <v>107</v>
      </c>
      <c r="O64" s="52" t="s">
        <v>108</v>
      </c>
      <c r="Q64" s="210" t="s">
        <v>119</v>
      </c>
      <c r="T64" s="51" t="s">
        <v>6119</v>
      </c>
      <c r="U64" s="51" t="s">
        <v>6174</v>
      </c>
      <c r="V64" s="51" t="s">
        <v>737</v>
      </c>
      <c r="W64" s="52" t="s">
        <v>108</v>
      </c>
      <c r="Y64" s="210" t="s">
        <v>6187</v>
      </c>
      <c r="AB64" s="51" t="s">
        <v>6267</v>
      </c>
      <c r="AC64" s="51" t="s">
        <v>6315</v>
      </c>
      <c r="AD64" s="51" t="s">
        <v>4014</v>
      </c>
      <c r="AE64" s="52" t="s">
        <v>108</v>
      </c>
      <c r="AG64" s="210" t="s">
        <v>6326</v>
      </c>
    </row>
    <row r="65" spans="1:33" ht="51" x14ac:dyDescent="0.25">
      <c r="A65" s="51" t="s">
        <v>3663</v>
      </c>
      <c r="B65" s="51">
        <v>60</v>
      </c>
      <c r="C65" s="51" t="s">
        <v>95</v>
      </c>
      <c r="D65" s="50" t="s">
        <v>72</v>
      </c>
      <c r="F65" s="189" t="str" cm="1">
        <f t="array" aca="1" ref="F65" ca="1">IF(I65=0,"",HYPERLINK("#"&amp;RIGHT(CELL("dateiname"),LEN(CELL("dateiname"))-FIND("]",CELL("dateiname")))&amp;"!"&amp;CELL("adresse",OFFSET($C$6,I65-1,0)),"Definition"))</f>
        <v/>
      </c>
      <c r="G65" s="189" t="str" cm="1">
        <f t="array" aca="1" ref="G65" ca="1">IF(J65=0,"",HYPERLINK("#"&amp;RIGHT(CELL("adresse",OFFSET(DMAV_Modell!$A$6,J65-1,0)),LEN(CELL("adresse",OFFSET(DMAV_Modell!$A$6,J65-1,0)))-SEARCH("]",CELL("adresse",OFFSET(DMAV_Modell!$A$6,J65-1,0)))),"Modell"))</f>
        <v/>
      </c>
      <c r="H65" s="150" t="str">
        <f t="shared" si="0"/>
        <v>DMG60</v>
      </c>
      <c r="I65" s="150">
        <f t="shared" si="1"/>
        <v>0</v>
      </c>
      <c r="J65" s="150">
        <f>IF(_xlfn.XLOOKUP(H65,Korrelation!$B$4:$B$723,Korrelation!$A$4:$A$723,0,0)=0,0,MATCH(_xlfn.XLOOKUP(H65,Korrelation!$B$4:$B$723,Korrelation!$A$4:$A$723,0,0),DMAV_Modell!$G$6:$G$677,0))</f>
        <v>0</v>
      </c>
      <c r="L65" s="51" t="s">
        <v>10</v>
      </c>
      <c r="M65" s="51" t="s">
        <v>3735</v>
      </c>
      <c r="N65" s="51" t="s">
        <v>3736</v>
      </c>
      <c r="O65" s="52" t="s">
        <v>108</v>
      </c>
      <c r="Q65" s="210" t="s">
        <v>3737</v>
      </c>
      <c r="T65" s="51" t="s">
        <v>6119</v>
      </c>
      <c r="U65" s="51" t="s">
        <v>6174</v>
      </c>
      <c r="V65" s="51" t="s">
        <v>6188</v>
      </c>
      <c r="W65" s="52" t="s">
        <v>108</v>
      </c>
      <c r="Y65" s="210" t="s">
        <v>6189</v>
      </c>
      <c r="AB65" s="51" t="s">
        <v>6267</v>
      </c>
      <c r="AC65" s="51" t="s">
        <v>6315</v>
      </c>
      <c r="AD65" s="51" t="s">
        <v>6327</v>
      </c>
      <c r="AE65" s="52" t="s">
        <v>108</v>
      </c>
      <c r="AG65" s="210" t="s">
        <v>6328</v>
      </c>
    </row>
    <row r="66" spans="1:33" x14ac:dyDescent="0.25">
      <c r="A66" s="51" t="s">
        <v>3665</v>
      </c>
      <c r="B66" s="51">
        <v>1</v>
      </c>
      <c r="C66" s="51" t="s">
        <v>34</v>
      </c>
      <c r="F66" s="189" t="str" cm="1">
        <f t="array" aca="1" ref="F66" ca="1">IF(I66=0,"",HYPERLINK("#"&amp;RIGHT(CELL("dateiname"),LEN(CELL("dateiname"))-FIND("]",CELL("dateiname")))&amp;"!"&amp;CELL("adresse",OFFSET($C$6,I66-1,0)),"Definition"))</f>
        <v/>
      </c>
      <c r="G66" s="189" t="str" cm="1">
        <f t="array" aca="1" ref="G66" ca="1">IF(J66=0,"",HYPERLINK("#"&amp;RIGHT(CELL("adresse",OFFSET(DMAV_Modell!$A$6,J66-1,0)),LEN(CELL("adresse",OFFSET(DMAV_Modell!$A$6,J66-1,0)))-SEARCH("]",CELL("adresse",OFFSET(DMAV_Modell!$A$6,J66-1,0)))),"Modell"))</f>
        <v>Modell</v>
      </c>
      <c r="H66" s="150" t="str">
        <f t="shared" si="0"/>
        <v>DFP1</v>
      </c>
      <c r="I66" s="150">
        <f t="shared" si="1"/>
        <v>0</v>
      </c>
      <c r="J66" s="150">
        <f>IF(_xlfn.XLOOKUP(H66,Korrelation!$B$4:$B$723,Korrelation!$A$4:$A$723,0,0)=0,0,MATCH(_xlfn.XLOOKUP(H66,Korrelation!$B$4:$B$723,Korrelation!$A$4:$A$723,0,0),DMAV_Modell!$G$6:$G$677,0))</f>
        <v>67</v>
      </c>
      <c r="L66" s="51" t="s">
        <v>27</v>
      </c>
      <c r="M66" s="51" t="s">
        <v>152</v>
      </c>
      <c r="O66" s="52" t="s">
        <v>153</v>
      </c>
      <c r="P66" s="56"/>
      <c r="Q66" s="52" t="s">
        <v>154</v>
      </c>
      <c r="R66" s="52"/>
      <c r="T66" s="51" t="s">
        <v>6122</v>
      </c>
      <c r="U66" s="51" t="s">
        <v>758</v>
      </c>
      <c r="W66" s="52" t="s">
        <v>759</v>
      </c>
      <c r="Y66" s="210" t="s">
        <v>6190</v>
      </c>
      <c r="AB66" s="51" t="s">
        <v>6329</v>
      </c>
      <c r="AC66" s="51" t="s">
        <v>4002</v>
      </c>
      <c r="AE66" s="52" t="s">
        <v>759</v>
      </c>
      <c r="AG66" s="210" t="s">
        <v>6330</v>
      </c>
    </row>
    <row r="67" spans="1:33" x14ac:dyDescent="0.25">
      <c r="A67" s="51" t="s">
        <v>3665</v>
      </c>
      <c r="B67" s="51">
        <v>2</v>
      </c>
      <c r="C67" s="51" t="s">
        <v>34</v>
      </c>
      <c r="F67" s="189" t="str" cm="1">
        <f t="array" aca="1" ref="F67" ca="1">IF(I67=0,"",HYPERLINK("#"&amp;RIGHT(CELL("dateiname"),LEN(CELL("dateiname"))-FIND("]",CELL("dateiname")))&amp;"!"&amp;CELL("adresse",OFFSET($C$6,I67-1,0)),"Definition"))</f>
        <v/>
      </c>
      <c r="G67" s="189" t="str" cm="1">
        <f t="array" aca="1" ref="G67" ca="1">IF(J67=0,"",HYPERLINK("#"&amp;RIGHT(CELL("adresse",OFFSET(DMAV_Modell!$A$6,J67-1,0)),LEN(CELL("adresse",OFFSET(DMAV_Modell!$A$6,J67-1,0)))-SEARCH("]",CELL("adresse",OFFSET(DMAV_Modell!$A$6,J67-1,0)))),"Modell"))</f>
        <v>Modell</v>
      </c>
      <c r="H67" s="150" t="str">
        <f t="shared" si="0"/>
        <v>DFP2</v>
      </c>
      <c r="I67" s="150">
        <f t="shared" si="1"/>
        <v>0</v>
      </c>
      <c r="J67" s="150">
        <f>IF(_xlfn.XLOOKUP(H67,Korrelation!$B$4:$B$723,Korrelation!$A$4:$A$723,0,0)=0,0,MATCH(_xlfn.XLOOKUP(H67,Korrelation!$B$4:$B$723,Korrelation!$A$4:$A$723,0,0),DMAV_Modell!$G$6:$G$677,0))</f>
        <v>68</v>
      </c>
      <c r="L67" s="51" t="s">
        <v>27</v>
      </c>
      <c r="M67" s="51" t="s">
        <v>152</v>
      </c>
      <c r="O67" s="52" t="s">
        <v>155</v>
      </c>
      <c r="P67" s="56"/>
      <c r="Q67" s="52" t="s">
        <v>156</v>
      </c>
      <c r="R67" s="52"/>
      <c r="T67" s="51" t="s">
        <v>6122</v>
      </c>
      <c r="U67" s="51" t="s">
        <v>758</v>
      </c>
      <c r="W67" s="52" t="s">
        <v>760</v>
      </c>
      <c r="Y67" s="210" t="s">
        <v>6191</v>
      </c>
      <c r="AB67" s="51" t="s">
        <v>6329</v>
      </c>
      <c r="AC67" s="51" t="s">
        <v>4002</v>
      </c>
      <c r="AE67" s="52" t="s">
        <v>4003</v>
      </c>
      <c r="AG67" s="210" t="s">
        <v>6331</v>
      </c>
    </row>
    <row r="68" spans="1:33" x14ac:dyDescent="0.25">
      <c r="A68" s="51" t="s">
        <v>3665</v>
      </c>
      <c r="B68" s="51">
        <v>3</v>
      </c>
      <c r="C68" s="51" t="s">
        <v>34</v>
      </c>
      <c r="F68" s="189" t="str" cm="1">
        <f t="array" aca="1" ref="F68" ca="1">IF(I68=0,"",HYPERLINK("#"&amp;RIGHT(CELL("dateiname"),LEN(CELL("dateiname"))-FIND("]",CELL("dateiname")))&amp;"!"&amp;CELL("adresse",OFFSET($C$6,I68-1,0)),"Definition"))</f>
        <v/>
      </c>
      <c r="G68" s="189" t="str" cm="1">
        <f t="array" aca="1" ref="G68" ca="1">IF(J68=0,"",HYPERLINK("#"&amp;RIGHT(CELL("adresse",OFFSET(DMAV_Modell!$A$6,J68-1,0)),LEN(CELL("adresse",OFFSET(DMAV_Modell!$A$6,J68-1,0)))-SEARCH("]",CELL("adresse",OFFSET(DMAV_Modell!$A$6,J68-1,0)))),"Modell"))</f>
        <v>Modell</v>
      </c>
      <c r="H68" s="150" t="str">
        <f t="shared" si="0"/>
        <v>DFP3</v>
      </c>
      <c r="I68" s="150">
        <f t="shared" si="1"/>
        <v>0</v>
      </c>
      <c r="J68" s="150">
        <f>IF(_xlfn.XLOOKUP(H68,Korrelation!$B$4:$B$723,Korrelation!$A$4:$A$723,0,0)=0,0,MATCH(_xlfn.XLOOKUP(H68,Korrelation!$B$4:$B$723,Korrelation!$A$4:$A$723,0,0),DMAV_Modell!$G$6:$G$677,0))</f>
        <v>69</v>
      </c>
      <c r="L68" s="51" t="s">
        <v>27</v>
      </c>
      <c r="M68" s="51" t="s">
        <v>138</v>
      </c>
      <c r="N68" s="100"/>
      <c r="O68" s="52" t="s">
        <v>139</v>
      </c>
      <c r="P68" s="56"/>
      <c r="Q68" s="52" t="s">
        <v>140</v>
      </c>
      <c r="R68" s="52"/>
      <c r="T68" s="51" t="s">
        <v>6122</v>
      </c>
      <c r="U68" s="51" t="s">
        <v>750</v>
      </c>
      <c r="V68" s="100"/>
      <c r="W68" s="52" t="s">
        <v>751</v>
      </c>
      <c r="Y68" s="210" t="s">
        <v>6192</v>
      </c>
      <c r="AB68" s="51" t="s">
        <v>6329</v>
      </c>
      <c r="AC68" s="51" t="s">
        <v>4004</v>
      </c>
      <c r="AE68" s="52" t="s">
        <v>4005</v>
      </c>
      <c r="AG68" s="210" t="s">
        <v>6332</v>
      </c>
    </row>
    <row r="69" spans="1:33" x14ac:dyDescent="0.25">
      <c r="A69" s="51" t="s">
        <v>3665</v>
      </c>
      <c r="B69" s="51">
        <v>4</v>
      </c>
      <c r="C69" s="51" t="s">
        <v>34</v>
      </c>
      <c r="F69" s="189" t="str" cm="1">
        <f t="array" aca="1" ref="F69" ca="1">IF(I69=0,"",HYPERLINK("#"&amp;RIGHT(CELL("dateiname"),LEN(CELL("dateiname"))-FIND("]",CELL("dateiname")))&amp;"!"&amp;CELL("adresse",OFFSET($C$6,I69-1,0)),"Definition"))</f>
        <v/>
      </c>
      <c r="G69" s="189" t="str" cm="1">
        <f t="array" aca="1" ref="G69" ca="1">IF(J69=0,"",HYPERLINK("#"&amp;RIGHT(CELL("adresse",OFFSET(DMAV_Modell!$A$6,J69-1,0)),LEN(CELL("adresse",OFFSET(DMAV_Modell!$A$6,J69-1,0)))-SEARCH("]",CELL("adresse",OFFSET(DMAV_Modell!$A$6,J69-1,0)))),"Modell"))</f>
        <v>Modell</v>
      </c>
      <c r="H69" s="150" t="str">
        <f t="shared" si="0"/>
        <v>DFP4</v>
      </c>
      <c r="I69" s="150">
        <f t="shared" si="1"/>
        <v>0</v>
      </c>
      <c r="J69" s="150">
        <f>IF(_xlfn.XLOOKUP(H69,Korrelation!$B$4:$B$723,Korrelation!$A$4:$A$723,0,0)=0,0,MATCH(_xlfn.XLOOKUP(H69,Korrelation!$B$4:$B$723,Korrelation!$A$4:$A$723,0,0),DMAV_Modell!$G$6:$G$677,0))</f>
        <v>70</v>
      </c>
      <c r="L69" s="51" t="s">
        <v>27</v>
      </c>
      <c r="M69" s="51" t="s">
        <v>138</v>
      </c>
      <c r="O69" s="52" t="s">
        <v>141</v>
      </c>
      <c r="P69" s="56"/>
      <c r="Q69" s="52" t="s">
        <v>142</v>
      </c>
      <c r="R69" s="52"/>
      <c r="T69" s="51" t="s">
        <v>6122</v>
      </c>
      <c r="U69" s="51" t="s">
        <v>750</v>
      </c>
      <c r="W69" s="52" t="s">
        <v>752</v>
      </c>
      <c r="Y69" s="210" t="s">
        <v>6193</v>
      </c>
      <c r="AB69" s="51" t="s">
        <v>6329</v>
      </c>
      <c r="AC69" s="51" t="s">
        <v>4004</v>
      </c>
      <c r="AE69" s="52" t="s">
        <v>4006</v>
      </c>
      <c r="AG69" s="210" t="s">
        <v>6333</v>
      </c>
    </row>
    <row r="70" spans="1:33" ht="25.5" x14ac:dyDescent="0.25">
      <c r="A70" s="51" t="s">
        <v>3665</v>
      </c>
      <c r="B70" s="51">
        <v>5</v>
      </c>
      <c r="C70" s="51" t="s">
        <v>34</v>
      </c>
      <c r="F70" s="189" t="str" cm="1">
        <f t="array" aca="1" ref="F70" ca="1">IF(I70=0,"",HYPERLINK("#"&amp;RIGHT(CELL("dateiname"),LEN(CELL("dateiname"))-FIND("]",CELL("dateiname")))&amp;"!"&amp;CELL("adresse",OFFSET($C$6,I70-1,0)),"Definition"))</f>
        <v/>
      </c>
      <c r="G70" s="189" t="str" cm="1">
        <f t="array" aca="1" ref="G70" ca="1">IF(J70=0,"",HYPERLINK("#"&amp;RIGHT(CELL("adresse",OFFSET(DMAV_Modell!$A$6,J70-1,0)),LEN(CELL("adresse",OFFSET(DMAV_Modell!$A$6,J70-1,0)))-SEARCH("]",CELL("adresse",OFFSET(DMAV_Modell!$A$6,J70-1,0)))),"Modell"))</f>
        <v>Modell</v>
      </c>
      <c r="H70" s="150" t="str">
        <f t="shared" si="0"/>
        <v>DFP5</v>
      </c>
      <c r="I70" s="150">
        <f t="shared" si="1"/>
        <v>0</v>
      </c>
      <c r="J70" s="150">
        <f>IF(_xlfn.XLOOKUP(H70,Korrelation!$B$4:$B$723,Korrelation!$A$4:$A$723,0,0)=0,0,MATCH(_xlfn.XLOOKUP(H70,Korrelation!$B$4:$B$723,Korrelation!$A$4:$A$723,0,0),DMAV_Modell!$G$6:$G$677,0))</f>
        <v>71</v>
      </c>
      <c r="L70" s="51" t="s">
        <v>27</v>
      </c>
      <c r="M70" s="51" t="s">
        <v>138</v>
      </c>
      <c r="O70" s="52" t="s">
        <v>143</v>
      </c>
      <c r="P70" s="56"/>
      <c r="Q70" s="52" t="s">
        <v>144</v>
      </c>
      <c r="R70" s="52"/>
      <c r="T70" s="51" t="s">
        <v>6122</v>
      </c>
      <c r="U70" s="51" t="s">
        <v>750</v>
      </c>
      <c r="W70" s="52" t="s">
        <v>753</v>
      </c>
      <c r="Y70" s="210" t="s">
        <v>6194</v>
      </c>
      <c r="AB70" s="51" t="s">
        <v>6329</v>
      </c>
      <c r="AC70" s="51" t="s">
        <v>4004</v>
      </c>
      <c r="AE70" s="52" t="s">
        <v>4007</v>
      </c>
      <c r="AG70" s="210" t="s">
        <v>6334</v>
      </c>
    </row>
    <row r="71" spans="1:33" ht="25.5" x14ac:dyDescent="0.25">
      <c r="A71" s="51" t="s">
        <v>3665</v>
      </c>
      <c r="B71" s="51">
        <v>6</v>
      </c>
      <c r="C71" s="51" t="s">
        <v>34</v>
      </c>
      <c r="F71" s="189" t="str" cm="1">
        <f t="array" aca="1" ref="F71" ca="1">IF(I71=0,"",HYPERLINK("#"&amp;RIGHT(CELL("dateiname"),LEN(CELL("dateiname"))-FIND("]",CELL("dateiname")))&amp;"!"&amp;CELL("adresse",OFFSET($C$6,I71-1,0)),"Definition"))</f>
        <v/>
      </c>
      <c r="G71" s="189" t="str" cm="1">
        <f t="array" aca="1" ref="G71" ca="1">IF(J71=0,"",HYPERLINK("#"&amp;RIGHT(CELL("adresse",OFFSET(DMAV_Modell!$A$6,J71-1,0)),LEN(CELL("adresse",OFFSET(DMAV_Modell!$A$6,J71-1,0)))-SEARCH("]",CELL("adresse",OFFSET(DMAV_Modell!$A$6,J71-1,0)))),"Modell"))</f>
        <v>Modell</v>
      </c>
      <c r="H71" s="150" t="str">
        <f t="shared" ref="H71:H134" si="2">A71&amp;B71</f>
        <v>DFP6</v>
      </c>
      <c r="I71" s="150">
        <f t="shared" ref="I71:I134" si="3">IF(E71="",0,MATCH(E71,$H$6:$H$483,0))</f>
        <v>0</v>
      </c>
      <c r="J71" s="150">
        <f>IF(_xlfn.XLOOKUP(H71,Korrelation!$B$4:$B$723,Korrelation!$A$4:$A$723,0,0)=0,0,MATCH(_xlfn.XLOOKUP(H71,Korrelation!$B$4:$B$723,Korrelation!$A$4:$A$723,0,0),DMAV_Modell!$G$6:$G$677,0))</f>
        <v>72</v>
      </c>
      <c r="L71" s="51" t="s">
        <v>27</v>
      </c>
      <c r="M71" s="51" t="s">
        <v>157</v>
      </c>
      <c r="O71" s="52" t="s">
        <v>158</v>
      </c>
      <c r="P71" s="56"/>
      <c r="Q71" s="52" t="s">
        <v>159</v>
      </c>
      <c r="R71" s="52"/>
      <c r="T71" s="51" t="s">
        <v>6122</v>
      </c>
      <c r="U71" s="51" t="s">
        <v>761</v>
      </c>
      <c r="W71" s="52" t="s">
        <v>762</v>
      </c>
      <c r="Y71" s="210" t="s">
        <v>6195</v>
      </c>
      <c r="AB71" s="51" t="s">
        <v>6329</v>
      </c>
      <c r="AC71" s="51" t="s">
        <v>4008</v>
      </c>
      <c r="AE71" s="52" t="s">
        <v>4009</v>
      </c>
      <c r="AG71" s="210" t="s">
        <v>6335</v>
      </c>
    </row>
    <row r="72" spans="1:33" ht="25.5" x14ac:dyDescent="0.25">
      <c r="A72" s="51" t="s">
        <v>3665</v>
      </c>
      <c r="B72" s="51">
        <v>7</v>
      </c>
      <c r="C72" s="51" t="s">
        <v>34</v>
      </c>
      <c r="F72" s="189" t="str" cm="1">
        <f t="array" aca="1" ref="F72" ca="1">IF(I72=0,"",HYPERLINK("#"&amp;RIGHT(CELL("dateiname"),LEN(CELL("dateiname"))-FIND("]",CELL("dateiname")))&amp;"!"&amp;CELL("adresse",OFFSET($C$6,I72-1,0)),"Definition"))</f>
        <v/>
      </c>
      <c r="G72" s="189" t="str" cm="1">
        <f t="array" aca="1" ref="G72" ca="1">IF(J72=0,"",HYPERLINK("#"&amp;RIGHT(CELL("adresse",OFFSET(DMAV_Modell!$A$6,J72-1,0)),LEN(CELL("adresse",OFFSET(DMAV_Modell!$A$6,J72-1,0)))-SEARCH("]",CELL("adresse",OFFSET(DMAV_Modell!$A$6,J72-1,0)))),"Modell"))</f>
        <v>Modell</v>
      </c>
      <c r="H72" s="150" t="str">
        <f t="shared" si="2"/>
        <v>DFP7</v>
      </c>
      <c r="I72" s="150">
        <f t="shared" si="3"/>
        <v>0</v>
      </c>
      <c r="J72" s="150">
        <f>IF(_xlfn.XLOOKUP(H72,Korrelation!$B$4:$B$723,Korrelation!$A$4:$A$723,0,0)=0,0,MATCH(_xlfn.XLOOKUP(H72,Korrelation!$B$4:$B$723,Korrelation!$A$4:$A$723,0,0),DMAV_Modell!$G$6:$G$677,0))</f>
        <v>73</v>
      </c>
      <c r="L72" s="51" t="s">
        <v>27</v>
      </c>
      <c r="M72" s="51" t="s">
        <v>157</v>
      </c>
      <c r="O72" s="52" t="s">
        <v>160</v>
      </c>
      <c r="P72" s="56"/>
      <c r="Q72" s="52" t="s">
        <v>161</v>
      </c>
      <c r="R72" s="52"/>
      <c r="T72" s="51" t="s">
        <v>6122</v>
      </c>
      <c r="U72" s="51" t="s">
        <v>761</v>
      </c>
      <c r="W72" s="52" t="s">
        <v>763</v>
      </c>
      <c r="Y72" s="210" t="s">
        <v>6196</v>
      </c>
      <c r="AB72" s="51" t="s">
        <v>6329</v>
      </c>
      <c r="AC72" s="51" t="s">
        <v>4008</v>
      </c>
      <c r="AE72" s="52" t="s">
        <v>4010</v>
      </c>
      <c r="AG72" s="210" t="s">
        <v>6336</v>
      </c>
    </row>
    <row r="73" spans="1:33" ht="25.5" x14ac:dyDescent="0.25">
      <c r="A73" s="51" t="s">
        <v>3665</v>
      </c>
      <c r="B73" s="51">
        <v>8</v>
      </c>
      <c r="C73" s="51" t="s">
        <v>34</v>
      </c>
      <c r="F73" s="189" t="str" cm="1">
        <f t="array" aca="1" ref="F73" ca="1">IF(I73=0,"",HYPERLINK("#"&amp;RIGHT(CELL("dateiname"),LEN(CELL("dateiname"))-FIND("]",CELL("dateiname")))&amp;"!"&amp;CELL("adresse",OFFSET($C$6,I73-1,0)),"Definition"))</f>
        <v/>
      </c>
      <c r="G73" s="189" t="str" cm="1">
        <f t="array" aca="1" ref="G73" ca="1">IF(J73=0,"",HYPERLINK("#"&amp;RIGHT(CELL("adresse",OFFSET(DMAV_Modell!$A$6,J73-1,0)),LEN(CELL("adresse",OFFSET(DMAV_Modell!$A$6,J73-1,0)))-SEARCH("]",CELL("adresse",OFFSET(DMAV_Modell!$A$6,J73-1,0)))),"Modell"))</f>
        <v>Modell</v>
      </c>
      <c r="H73" s="150" t="str">
        <f t="shared" si="2"/>
        <v>DFP8</v>
      </c>
      <c r="I73" s="150">
        <f t="shared" si="3"/>
        <v>0</v>
      </c>
      <c r="J73" s="150">
        <f>IF(_xlfn.XLOOKUP(H73,Korrelation!$B$4:$B$723,Korrelation!$A$4:$A$723,0,0)=0,0,MATCH(_xlfn.XLOOKUP(H73,Korrelation!$B$4:$B$723,Korrelation!$A$4:$A$723,0,0),DMAV_Modell!$G$6:$G$677,0))</f>
        <v>74</v>
      </c>
      <c r="L73" s="51" t="s">
        <v>27</v>
      </c>
      <c r="M73" s="51" t="s">
        <v>157</v>
      </c>
      <c r="O73" s="52" t="s">
        <v>162</v>
      </c>
      <c r="P73" s="56"/>
      <c r="Q73" s="52" t="s">
        <v>163</v>
      </c>
      <c r="R73" s="52"/>
      <c r="T73" s="51" t="s">
        <v>6122</v>
      </c>
      <c r="U73" s="51" t="s">
        <v>761</v>
      </c>
      <c r="W73" s="52" t="s">
        <v>764</v>
      </c>
      <c r="Y73" s="210" t="s">
        <v>6197</v>
      </c>
      <c r="AB73" s="51" t="s">
        <v>6329</v>
      </c>
      <c r="AC73" s="51" t="s">
        <v>4008</v>
      </c>
      <c r="AE73" s="52" t="s">
        <v>4011</v>
      </c>
      <c r="AG73" s="210" t="s">
        <v>6337</v>
      </c>
    </row>
    <row r="74" spans="1:33" x14ac:dyDescent="0.25">
      <c r="A74" s="51" t="s">
        <v>3665</v>
      </c>
      <c r="B74" s="51">
        <v>9</v>
      </c>
      <c r="C74" s="51" t="s">
        <v>95</v>
      </c>
      <c r="D74" s="50">
        <v>1</v>
      </c>
      <c r="F74" s="189" t="str" cm="1">
        <f t="array" aca="1" ref="F74" ca="1">IF(I74=0,"",HYPERLINK("#"&amp;RIGHT(CELL("dateiname"),LEN(CELL("dateiname"))-FIND("]",CELL("dateiname")))&amp;"!"&amp;CELL("adresse",OFFSET($C$6,I74-1,0)),"Definition"))</f>
        <v/>
      </c>
      <c r="G74" s="189" t="str" cm="1">
        <f t="array" aca="1" ref="G74" ca="1">IF(J74=0,"",HYPERLINK("#"&amp;RIGHT(CELL("adresse",OFFSET(DMAV_Modell!$A$6,J74-1,0)),LEN(CELL("adresse",OFFSET(DMAV_Modell!$A$6,J74-1,0)))-SEARCH("]",CELL("adresse",OFFSET(DMAV_Modell!$A$6,J74-1,0)))),"Modell"))</f>
        <v>Modell</v>
      </c>
      <c r="H74" s="150" t="str">
        <f t="shared" si="2"/>
        <v>DFP9</v>
      </c>
      <c r="I74" s="150">
        <f t="shared" si="3"/>
        <v>0</v>
      </c>
      <c r="J74" s="150">
        <f>IF(_xlfn.XLOOKUP(H74,Korrelation!$B$4:$B$723,Korrelation!$A$4:$A$723,0,0)=0,0,MATCH(_xlfn.XLOOKUP(H74,Korrelation!$B$4:$B$723,Korrelation!$A$4:$A$723,0,0),DMAV_Modell!$G$6:$G$677,0))</f>
        <v>75</v>
      </c>
      <c r="L74" s="51" t="s">
        <v>27</v>
      </c>
      <c r="M74" s="51" t="s">
        <v>164</v>
      </c>
      <c r="N74" s="51" t="s">
        <v>96</v>
      </c>
      <c r="O74" s="52" t="s">
        <v>97</v>
      </c>
      <c r="P74" s="56"/>
      <c r="Q74" s="52" t="s">
        <v>98</v>
      </c>
      <c r="R74" s="52"/>
      <c r="T74" s="51" t="s">
        <v>6122</v>
      </c>
      <c r="U74" s="51" t="s">
        <v>765</v>
      </c>
      <c r="V74" s="51" t="s">
        <v>733</v>
      </c>
      <c r="W74" s="52" t="s">
        <v>97</v>
      </c>
      <c r="Y74" s="210" t="s">
        <v>6175</v>
      </c>
      <c r="AB74" s="51" t="s">
        <v>6329</v>
      </c>
      <c r="AC74" s="51" t="s">
        <v>4012</v>
      </c>
      <c r="AD74" s="51" t="s">
        <v>1378</v>
      </c>
      <c r="AE74" s="52" t="s">
        <v>97</v>
      </c>
      <c r="AG74" s="210" t="s">
        <v>6316</v>
      </c>
    </row>
    <row r="75" spans="1:33" ht="25.5" x14ac:dyDescent="0.25">
      <c r="A75" s="51" t="s">
        <v>3665</v>
      </c>
      <c r="B75" s="51">
        <v>10</v>
      </c>
      <c r="C75" s="51" t="s">
        <v>95</v>
      </c>
      <c r="D75" s="50">
        <v>1</v>
      </c>
      <c r="F75" s="189" t="str" cm="1">
        <f t="array" aca="1" ref="F75" ca="1">IF(I75=0,"",HYPERLINK("#"&amp;RIGHT(CELL("dateiname"),LEN(CELL("dateiname"))-FIND("]",CELL("dateiname")))&amp;"!"&amp;CELL("adresse",OFFSET($C$6,I75-1,0)),"Definition"))</f>
        <v/>
      </c>
      <c r="G75" s="189" t="str" cm="1">
        <f t="array" aca="1" ref="G75" ca="1">IF(J75=0,"",HYPERLINK("#"&amp;RIGHT(CELL("adresse",OFFSET(DMAV_Modell!$A$6,J75-1,0)),LEN(CELL("adresse",OFFSET(DMAV_Modell!$A$6,J75-1,0)))-SEARCH("]",CELL("adresse",OFFSET(DMAV_Modell!$A$6,J75-1,0)))),"Modell"))</f>
        <v>Modell</v>
      </c>
      <c r="H75" s="150" t="str">
        <f t="shared" si="2"/>
        <v>DFP10</v>
      </c>
      <c r="I75" s="150">
        <f t="shared" si="3"/>
        <v>0</v>
      </c>
      <c r="J75" s="150">
        <f>IF(_xlfn.XLOOKUP(H75,Korrelation!$B$4:$B$723,Korrelation!$A$4:$A$723,0,0)=0,0,MATCH(_xlfn.XLOOKUP(H75,Korrelation!$B$4:$B$723,Korrelation!$A$4:$A$723,0,0),DMAV_Modell!$G$6:$G$677,0))</f>
        <v>76</v>
      </c>
      <c r="L75" s="51" t="s">
        <v>27</v>
      </c>
      <c r="M75" s="51" t="s">
        <v>164</v>
      </c>
      <c r="N75" s="51" t="s">
        <v>99</v>
      </c>
      <c r="O75" s="52" t="s">
        <v>97</v>
      </c>
      <c r="P75" s="56"/>
      <c r="Q75" s="52" t="s">
        <v>100</v>
      </c>
      <c r="R75" s="52"/>
      <c r="T75" s="51" t="s">
        <v>6122</v>
      </c>
      <c r="U75" s="51" t="s">
        <v>765</v>
      </c>
      <c r="V75" s="51" t="s">
        <v>734</v>
      </c>
      <c r="W75" s="52" t="s">
        <v>97</v>
      </c>
      <c r="Y75" s="210" t="s">
        <v>6176</v>
      </c>
      <c r="AB75" s="51" t="s">
        <v>6329</v>
      </c>
      <c r="AC75" s="51" t="s">
        <v>4012</v>
      </c>
      <c r="AD75" s="51" t="s">
        <v>1376</v>
      </c>
      <c r="AE75" s="52" t="s">
        <v>97</v>
      </c>
      <c r="AG75" s="210" t="s">
        <v>6317</v>
      </c>
    </row>
    <row r="76" spans="1:33" x14ac:dyDescent="0.25">
      <c r="A76" s="51" t="s">
        <v>3665</v>
      </c>
      <c r="B76" s="51">
        <v>11</v>
      </c>
      <c r="C76" s="51" t="s">
        <v>95</v>
      </c>
      <c r="D76" s="50">
        <v>1</v>
      </c>
      <c r="F76" s="189" t="str" cm="1">
        <f t="array" aca="1" ref="F76" ca="1">IF(I76=0,"",HYPERLINK("#"&amp;RIGHT(CELL("dateiname"),LEN(CELL("dateiname"))-FIND("]",CELL("dateiname")))&amp;"!"&amp;CELL("adresse",OFFSET($C$6,I76-1,0)),"Definition"))</f>
        <v/>
      </c>
      <c r="G76" s="189" t="str" cm="1">
        <f t="array" aca="1" ref="G76" ca="1">IF(J76=0,"",HYPERLINK("#"&amp;RIGHT(CELL("adresse",OFFSET(DMAV_Modell!$A$6,J76-1,0)),LEN(CELL("adresse",OFFSET(DMAV_Modell!$A$6,J76-1,0)))-SEARCH("]",CELL("adresse",OFFSET(DMAV_Modell!$A$6,J76-1,0)))),"Modell"))</f>
        <v>Modell</v>
      </c>
      <c r="H76" s="150" t="str">
        <f t="shared" si="2"/>
        <v>DFP11</v>
      </c>
      <c r="I76" s="150">
        <f t="shared" si="3"/>
        <v>0</v>
      </c>
      <c r="J76" s="150">
        <f>IF(_xlfn.XLOOKUP(H76,Korrelation!$B$4:$B$723,Korrelation!$A$4:$A$723,0,0)=0,0,MATCH(_xlfn.XLOOKUP(H76,Korrelation!$B$4:$B$723,Korrelation!$A$4:$A$723,0,0),DMAV_Modell!$G$6:$G$677,0))</f>
        <v>77</v>
      </c>
      <c r="L76" s="51" t="s">
        <v>27</v>
      </c>
      <c r="M76" s="51" t="s">
        <v>164</v>
      </c>
      <c r="N76" s="51" t="s">
        <v>101</v>
      </c>
      <c r="O76" s="52" t="s">
        <v>102</v>
      </c>
      <c r="P76" s="56"/>
      <c r="Q76" s="52" t="s">
        <v>103</v>
      </c>
      <c r="R76" s="52"/>
      <c r="T76" s="51" t="s">
        <v>6122</v>
      </c>
      <c r="U76" s="51" t="s">
        <v>765</v>
      </c>
      <c r="V76" s="51" t="s">
        <v>735</v>
      </c>
      <c r="W76" s="52" t="s">
        <v>102</v>
      </c>
      <c r="Y76" s="210" t="s">
        <v>6177</v>
      </c>
      <c r="AB76" s="51" t="s">
        <v>6329</v>
      </c>
      <c r="AC76" s="51" t="s">
        <v>4012</v>
      </c>
      <c r="AD76" s="51" t="s">
        <v>1294</v>
      </c>
      <c r="AE76" s="52" t="s">
        <v>102</v>
      </c>
      <c r="AG76" s="210" t="s">
        <v>6318</v>
      </c>
    </row>
    <row r="77" spans="1:33" ht="76.5" x14ac:dyDescent="0.25">
      <c r="A77" s="51" t="s">
        <v>3665</v>
      </c>
      <c r="B77" s="51">
        <v>12</v>
      </c>
      <c r="C77" s="51" t="s">
        <v>95</v>
      </c>
      <c r="D77" s="50" t="s">
        <v>72</v>
      </c>
      <c r="F77" s="189" t="str" cm="1">
        <f t="array" aca="1" ref="F77" ca="1">IF(I77=0,"",HYPERLINK("#"&amp;RIGHT(CELL("dateiname"),LEN(CELL("dateiname"))-FIND("]",CELL("dateiname")))&amp;"!"&amp;CELL("adresse",OFFSET($C$6,I77-1,0)),"Definition"))</f>
        <v/>
      </c>
      <c r="G77" s="189" t="str" cm="1">
        <f t="array" aca="1" ref="G77" ca="1">IF(J77=0,"",HYPERLINK("#"&amp;RIGHT(CELL("adresse",OFFSET(DMAV_Modell!$A$6,J77-1,0)),LEN(CELL("adresse",OFFSET(DMAV_Modell!$A$6,J77-1,0)))-SEARCH("]",CELL("adresse",OFFSET(DMAV_Modell!$A$6,J77-1,0)))),"Modell"))</f>
        <v>Modell</v>
      </c>
      <c r="H77" s="150" t="str">
        <f t="shared" si="2"/>
        <v>DFP12</v>
      </c>
      <c r="I77" s="150">
        <f t="shared" si="3"/>
        <v>0</v>
      </c>
      <c r="J77" s="150">
        <f>IF(_xlfn.XLOOKUP(H77,Korrelation!$B$4:$B$723,Korrelation!$A$4:$A$723,0,0)=0,0,MATCH(_xlfn.XLOOKUP(H77,Korrelation!$B$4:$B$723,Korrelation!$A$4:$A$723,0,0),DMAV_Modell!$G$6:$G$677,0))</f>
        <v>78</v>
      </c>
      <c r="L77" s="51" t="s">
        <v>27</v>
      </c>
      <c r="M77" s="51" t="s">
        <v>164</v>
      </c>
      <c r="N77" s="51" t="s">
        <v>104</v>
      </c>
      <c r="O77" s="52" t="s">
        <v>105</v>
      </c>
      <c r="P77" s="56"/>
      <c r="Q77" s="52" t="s">
        <v>106</v>
      </c>
      <c r="R77" s="52"/>
      <c r="T77" s="51" t="s">
        <v>6122</v>
      </c>
      <c r="U77" s="51" t="s">
        <v>765</v>
      </c>
      <c r="V77" s="51" t="s">
        <v>736</v>
      </c>
      <c r="W77" s="52" t="s">
        <v>105</v>
      </c>
      <c r="Y77" s="210" t="s">
        <v>6178</v>
      </c>
      <c r="AB77" s="51" t="s">
        <v>6329</v>
      </c>
      <c r="AC77" s="51" t="s">
        <v>4012</v>
      </c>
      <c r="AD77" s="51" t="s">
        <v>1595</v>
      </c>
      <c r="AE77" s="52" t="s">
        <v>105</v>
      </c>
      <c r="AG77" s="210" t="s">
        <v>6319</v>
      </c>
    </row>
    <row r="78" spans="1:33" ht="25.5" x14ac:dyDescent="0.25">
      <c r="A78" s="51" t="s">
        <v>3665</v>
      </c>
      <c r="B78" s="51">
        <v>13</v>
      </c>
      <c r="C78" s="51" t="s">
        <v>95</v>
      </c>
      <c r="D78" s="50">
        <v>1</v>
      </c>
      <c r="F78" s="189" t="str" cm="1">
        <f t="array" aca="1" ref="F78" ca="1">IF(I78=0,"",HYPERLINK("#"&amp;RIGHT(CELL("dateiname"),LEN(CELL("dateiname"))-FIND("]",CELL("dateiname")))&amp;"!"&amp;CELL("adresse",OFFSET($C$6,I78-1,0)),"Definition"))</f>
        <v/>
      </c>
      <c r="G78" s="189" t="str" cm="1">
        <f t="array" aca="1" ref="G78" ca="1">IF(J78=0,"",HYPERLINK("#"&amp;RIGHT(CELL("adresse",OFFSET(DMAV_Modell!$A$6,J78-1,0)),LEN(CELL("adresse",OFFSET(DMAV_Modell!$A$6,J78-1,0)))-SEARCH("]",CELL("adresse",OFFSET(DMAV_Modell!$A$6,J78-1,0)))),"Modell"))</f>
        <v>Modell</v>
      </c>
      <c r="H78" s="150" t="str">
        <f t="shared" si="2"/>
        <v>DFP13</v>
      </c>
      <c r="I78" s="150">
        <f t="shared" si="3"/>
        <v>0</v>
      </c>
      <c r="J78" s="150">
        <f>IF(_xlfn.XLOOKUP(H78,Korrelation!$B$4:$B$723,Korrelation!$A$4:$A$723,0,0)=0,0,MATCH(_xlfn.XLOOKUP(H78,Korrelation!$B$4:$B$723,Korrelation!$A$4:$A$723,0,0),DMAV_Modell!$G$6:$G$677,0))</f>
        <v>79</v>
      </c>
      <c r="L78" s="51" t="s">
        <v>27</v>
      </c>
      <c r="M78" s="51" t="s">
        <v>164</v>
      </c>
      <c r="N78" s="51" t="s">
        <v>107</v>
      </c>
      <c r="O78" s="52" t="s">
        <v>108</v>
      </c>
      <c r="P78" s="56"/>
      <c r="Q78" s="52" t="s">
        <v>109</v>
      </c>
      <c r="R78" s="52"/>
      <c r="T78" s="51" t="s">
        <v>6122</v>
      </c>
      <c r="U78" s="51" t="s">
        <v>765</v>
      </c>
      <c r="V78" s="51" t="s">
        <v>737</v>
      </c>
      <c r="W78" s="52" t="s">
        <v>108</v>
      </c>
      <c r="Y78" s="210" t="s">
        <v>6179</v>
      </c>
      <c r="AB78" s="51" t="s">
        <v>6329</v>
      </c>
      <c r="AC78" s="51" t="s">
        <v>4012</v>
      </c>
      <c r="AD78" s="51" t="s">
        <v>4014</v>
      </c>
      <c r="AE78" s="52" t="s">
        <v>108</v>
      </c>
      <c r="AG78" s="210" t="s">
        <v>6320</v>
      </c>
    </row>
    <row r="79" spans="1:33" x14ac:dyDescent="0.25">
      <c r="A79" s="51" t="s">
        <v>3665</v>
      </c>
      <c r="B79" s="51">
        <v>14</v>
      </c>
      <c r="C79" s="51" t="s">
        <v>95</v>
      </c>
      <c r="D79" s="50">
        <v>1</v>
      </c>
      <c r="F79" s="189" t="str" cm="1">
        <f t="array" aca="1" ref="F79" ca="1">IF(I79=0,"",HYPERLINK("#"&amp;RIGHT(CELL("dateiname"),LEN(CELL("dateiname"))-FIND("]",CELL("dateiname")))&amp;"!"&amp;CELL("adresse",OFFSET($C$6,I79-1,0)),"Definition"))</f>
        <v/>
      </c>
      <c r="G79" s="189" t="str" cm="1">
        <f t="array" aca="1" ref="G79" ca="1">IF(J79=0,"",HYPERLINK("#"&amp;RIGHT(CELL("adresse",OFFSET(DMAV_Modell!$A$6,J79-1,0)),LEN(CELL("adresse",OFFSET(DMAV_Modell!$A$6,J79-1,0)))-SEARCH("]",CELL("adresse",OFFSET(DMAV_Modell!$A$6,J79-1,0)))),"Modell"))</f>
        <v>Modell</v>
      </c>
      <c r="H79" s="150" t="str">
        <f t="shared" si="2"/>
        <v>DFP14</v>
      </c>
      <c r="I79" s="150">
        <f t="shared" si="3"/>
        <v>0</v>
      </c>
      <c r="J79" s="150">
        <f>IF(_xlfn.XLOOKUP(H79,Korrelation!$B$4:$B$723,Korrelation!$A$4:$A$723,0,0)=0,0,MATCH(_xlfn.XLOOKUP(H79,Korrelation!$B$4:$B$723,Korrelation!$A$4:$A$723,0,0),DMAV_Modell!$G$6:$G$677,0))</f>
        <v>80</v>
      </c>
      <c r="L79" s="51" t="s">
        <v>27</v>
      </c>
      <c r="M79" s="51" t="s">
        <v>153</v>
      </c>
      <c r="N79" s="51" t="s">
        <v>96</v>
      </c>
      <c r="O79" s="52" t="s">
        <v>97</v>
      </c>
      <c r="P79" s="56"/>
      <c r="Q79" s="52" t="s">
        <v>98</v>
      </c>
      <c r="R79" s="52"/>
      <c r="T79" s="51" t="s">
        <v>6122</v>
      </c>
      <c r="U79" s="51" t="s">
        <v>759</v>
      </c>
      <c r="V79" s="51" t="s">
        <v>733</v>
      </c>
      <c r="W79" s="52" t="s">
        <v>97</v>
      </c>
      <c r="Y79" s="210" t="s">
        <v>6175</v>
      </c>
      <c r="AB79" s="51" t="s">
        <v>6329</v>
      </c>
      <c r="AC79" s="51" t="s">
        <v>759</v>
      </c>
      <c r="AD79" s="51" t="s">
        <v>1378</v>
      </c>
      <c r="AE79" s="52" t="s">
        <v>97</v>
      </c>
      <c r="AG79" s="210" t="s">
        <v>6316</v>
      </c>
    </row>
    <row r="80" spans="1:33" x14ac:dyDescent="0.25">
      <c r="A80" s="51" t="s">
        <v>3665</v>
      </c>
      <c r="B80" s="51">
        <v>15</v>
      </c>
      <c r="C80" s="51" t="s">
        <v>95</v>
      </c>
      <c r="D80" s="50">
        <v>1</v>
      </c>
      <c r="F80" s="189" t="str" cm="1">
        <f t="array" aca="1" ref="F80" ca="1">IF(I80=0,"",HYPERLINK("#"&amp;RIGHT(CELL("dateiname"),LEN(CELL("dateiname"))-FIND("]",CELL("dateiname")))&amp;"!"&amp;CELL("adresse",OFFSET($C$6,I80-1,0)),"Definition"))</f>
        <v/>
      </c>
      <c r="G80" s="189" t="str" cm="1">
        <f t="array" aca="1" ref="G80" ca="1">IF(J80=0,"",HYPERLINK("#"&amp;RIGHT(CELL("adresse",OFFSET(DMAV_Modell!$A$6,J80-1,0)),LEN(CELL("adresse",OFFSET(DMAV_Modell!$A$6,J80-1,0)))-SEARCH("]",CELL("adresse",OFFSET(DMAV_Modell!$A$6,J80-1,0)))),"Modell"))</f>
        <v>Modell</v>
      </c>
      <c r="H80" s="150" t="str">
        <f t="shared" si="2"/>
        <v>DFP15</v>
      </c>
      <c r="I80" s="150">
        <f t="shared" si="3"/>
        <v>0</v>
      </c>
      <c r="J80" s="150">
        <f>IF(_xlfn.XLOOKUP(H80,Korrelation!$B$4:$B$723,Korrelation!$A$4:$A$723,0,0)=0,0,MATCH(_xlfn.XLOOKUP(H80,Korrelation!$B$4:$B$723,Korrelation!$A$4:$A$723,0,0),DMAV_Modell!$G$6:$G$677,0))</f>
        <v>81</v>
      </c>
      <c r="L80" s="51" t="s">
        <v>27</v>
      </c>
      <c r="M80" s="51" t="s">
        <v>153</v>
      </c>
      <c r="N80" s="51" t="s">
        <v>121</v>
      </c>
      <c r="O80" s="52" t="s">
        <v>97</v>
      </c>
      <c r="P80" s="56"/>
      <c r="Q80" s="52" t="s">
        <v>122</v>
      </c>
      <c r="R80" s="52"/>
      <c r="T80" s="51" t="s">
        <v>6122</v>
      </c>
      <c r="U80" s="51" t="s">
        <v>759</v>
      </c>
      <c r="V80" s="51" t="s">
        <v>742</v>
      </c>
      <c r="W80" s="52" t="s">
        <v>97</v>
      </c>
      <c r="Y80" s="210" t="s">
        <v>6198</v>
      </c>
      <c r="AB80" s="51" t="s">
        <v>6329</v>
      </c>
      <c r="AC80" s="51" t="s">
        <v>759</v>
      </c>
      <c r="AD80" s="51" t="s">
        <v>742</v>
      </c>
      <c r="AE80" s="52" t="s">
        <v>97</v>
      </c>
      <c r="AG80" s="210" t="s">
        <v>6338</v>
      </c>
    </row>
    <row r="81" spans="1:34" x14ac:dyDescent="0.25">
      <c r="A81" s="51" t="s">
        <v>3665</v>
      </c>
      <c r="B81" s="51">
        <v>16</v>
      </c>
      <c r="C81" s="51" t="s">
        <v>95</v>
      </c>
      <c r="D81" s="50">
        <v>1</v>
      </c>
      <c r="E81" s="50" t="s">
        <v>3679</v>
      </c>
      <c r="F81" s="189" t="str" cm="1">
        <f t="array" aca="1" ref="F81" ca="1">IF(I81=0,"",HYPERLINK("#"&amp;RIGHT(CELL("dateiname"),LEN(CELL("dateiname"))-FIND("]",CELL("dateiname")))&amp;"!"&amp;CELL("adresse",OFFSET($C$6,I81-1,0)),"Definition"))</f>
        <v>Definition</v>
      </c>
      <c r="G81" s="189" t="str" cm="1">
        <f t="array" aca="1" ref="G81" ca="1">IF(J81=0,"",HYPERLINK("#"&amp;RIGHT(CELL("adresse",OFFSET(DMAV_Modell!$A$6,J81-1,0)),LEN(CELL("adresse",OFFSET(DMAV_Modell!$A$6,J81-1,0)))-SEARCH("]",CELL("adresse",OFFSET(DMAV_Modell!$A$6,J81-1,0)))),"Modell"))</f>
        <v>Modell</v>
      </c>
      <c r="H81" s="150" t="str">
        <f t="shared" si="2"/>
        <v>DFP16</v>
      </c>
      <c r="I81" s="150">
        <f t="shared" si="3"/>
        <v>61</v>
      </c>
      <c r="J81" s="150">
        <f>IF(_xlfn.XLOOKUP(H81,Korrelation!$B$4:$B$723,Korrelation!$A$4:$A$723,0,0)=0,0,MATCH(_xlfn.XLOOKUP(H81,Korrelation!$B$4:$B$723,Korrelation!$A$4:$A$723,0,0),DMAV_Modell!$G$6:$G$677,0))</f>
        <v>82</v>
      </c>
      <c r="L81" s="51" t="s">
        <v>27</v>
      </c>
      <c r="M81" s="51" t="s">
        <v>153</v>
      </c>
      <c r="N81" s="51" t="s">
        <v>152</v>
      </c>
      <c r="O81" s="52" t="s">
        <v>165</v>
      </c>
      <c r="P81" s="56"/>
      <c r="Q81" s="52" t="s">
        <v>166</v>
      </c>
      <c r="R81" s="52"/>
      <c r="T81" s="51" t="s">
        <v>6122</v>
      </c>
      <c r="U81" s="51" t="s">
        <v>759</v>
      </c>
      <c r="V81" s="51" t="s">
        <v>758</v>
      </c>
      <c r="W81" s="52" t="s">
        <v>6199</v>
      </c>
      <c r="Y81" s="210" t="s">
        <v>6200</v>
      </c>
      <c r="AB81" s="51" t="s">
        <v>6329</v>
      </c>
      <c r="AC81" s="51" t="s">
        <v>759</v>
      </c>
      <c r="AD81" s="51" t="s">
        <v>4002</v>
      </c>
      <c r="AE81" s="52" t="s">
        <v>6339</v>
      </c>
      <c r="AG81" s="210" t="s">
        <v>6340</v>
      </c>
    </row>
    <row r="82" spans="1:34" ht="38.25" x14ac:dyDescent="0.25">
      <c r="A82" s="51" t="s">
        <v>3665</v>
      </c>
      <c r="B82" s="51">
        <v>17</v>
      </c>
      <c r="C82" s="51" t="s">
        <v>95</v>
      </c>
      <c r="D82" s="50">
        <v>1</v>
      </c>
      <c r="F82" s="189" t="str" cm="1">
        <f t="array" aca="1" ref="F82" ca="1">IF(I82=0,"",HYPERLINK("#"&amp;RIGHT(CELL("dateiname"),LEN(CELL("dateiname"))-FIND("]",CELL("dateiname")))&amp;"!"&amp;CELL("adresse",OFFSET($C$6,I82-1,0)),"Definition"))</f>
        <v/>
      </c>
      <c r="G82" s="189" t="str" cm="1">
        <f t="array" aca="1" ref="G82" ca="1">IF(J82=0,"",HYPERLINK("#"&amp;RIGHT(CELL("adresse",OFFSET(DMAV_Modell!$A$6,J82-1,0)),LEN(CELL("adresse",OFFSET(DMAV_Modell!$A$6,J82-1,0)))-SEARCH("]",CELL("adresse",OFFSET(DMAV_Modell!$A$6,J82-1,0)))),"Modell"))</f>
        <v>Modell</v>
      </c>
      <c r="H82" s="150" t="str">
        <f t="shared" si="2"/>
        <v>DFP17</v>
      </c>
      <c r="I82" s="150">
        <f t="shared" si="3"/>
        <v>0</v>
      </c>
      <c r="J82" s="150">
        <f>IF(_xlfn.XLOOKUP(H82,Korrelation!$B$4:$B$723,Korrelation!$A$4:$A$723,0,0)=0,0,MATCH(_xlfn.XLOOKUP(H82,Korrelation!$B$4:$B$723,Korrelation!$A$4:$A$723,0,0),DMAV_Modell!$G$6:$G$677,0))</f>
        <v>83</v>
      </c>
      <c r="L82" s="51" t="s">
        <v>27</v>
      </c>
      <c r="M82" s="51" t="s">
        <v>153</v>
      </c>
      <c r="N82" s="51" t="s">
        <v>123</v>
      </c>
      <c r="O82" s="52" t="s">
        <v>69</v>
      </c>
      <c r="P82" s="56"/>
      <c r="Q82" s="52" t="s">
        <v>167</v>
      </c>
      <c r="R82" s="52" t="s">
        <v>94</v>
      </c>
      <c r="T82" s="51" t="s">
        <v>6122</v>
      </c>
      <c r="U82" s="51" t="s">
        <v>759</v>
      </c>
      <c r="V82" s="51" t="s">
        <v>123</v>
      </c>
      <c r="W82" s="52" t="s">
        <v>69</v>
      </c>
      <c r="Y82" s="210" t="s">
        <v>6201</v>
      </c>
      <c r="Z82" s="210" t="s">
        <v>6202</v>
      </c>
      <c r="AB82" s="51" t="s">
        <v>6329</v>
      </c>
      <c r="AC82" s="51" t="s">
        <v>759</v>
      </c>
      <c r="AD82" s="51" t="s">
        <v>1247</v>
      </c>
      <c r="AE82" s="52" t="s">
        <v>69</v>
      </c>
      <c r="AG82" s="210" t="s">
        <v>6341</v>
      </c>
      <c r="AH82" s="210" t="s">
        <v>6308</v>
      </c>
    </row>
    <row r="83" spans="1:34" ht="51" x14ac:dyDescent="0.25">
      <c r="A83" s="51" t="s">
        <v>3665</v>
      </c>
      <c r="B83" s="51">
        <v>18</v>
      </c>
      <c r="C83" s="51" t="s">
        <v>95</v>
      </c>
      <c r="D83" s="50" t="s">
        <v>72</v>
      </c>
      <c r="F83" s="189" t="str" cm="1">
        <f t="array" aca="1" ref="F83" ca="1">IF(I83=0,"",HYPERLINK("#"&amp;RIGHT(CELL("dateiname"),LEN(CELL("dateiname"))-FIND("]",CELL("dateiname")))&amp;"!"&amp;CELL("adresse",OFFSET($C$6,I83-1,0)),"Definition"))</f>
        <v/>
      </c>
      <c r="G83" s="189" t="str" cm="1">
        <f t="array" aca="1" ref="G83" ca="1">IF(J83=0,"",HYPERLINK("#"&amp;RIGHT(CELL("adresse",OFFSET(DMAV_Modell!$A$6,J83-1,0)),LEN(CELL("adresse",OFFSET(DMAV_Modell!$A$6,J83-1,0)))-SEARCH("]",CELL("adresse",OFFSET(DMAV_Modell!$A$6,J83-1,0)))),"Modell"))</f>
        <v>Modell</v>
      </c>
      <c r="H83" s="150" t="str">
        <f t="shared" si="2"/>
        <v>DFP18</v>
      </c>
      <c r="I83" s="150">
        <f t="shared" si="3"/>
        <v>0</v>
      </c>
      <c r="J83" s="150">
        <f>IF(_xlfn.XLOOKUP(H83,Korrelation!$B$4:$B$723,Korrelation!$A$4:$A$723,0,0)=0,0,MATCH(_xlfn.XLOOKUP(H83,Korrelation!$B$4:$B$723,Korrelation!$A$4:$A$723,0,0),DMAV_Modell!$G$6:$G$677,0))</f>
        <v>84</v>
      </c>
      <c r="L83" s="51" t="s">
        <v>27</v>
      </c>
      <c r="M83" s="51" t="s">
        <v>153</v>
      </c>
      <c r="N83" s="51" t="s">
        <v>125</v>
      </c>
      <c r="O83" s="52" t="s">
        <v>126</v>
      </c>
      <c r="P83" s="56"/>
      <c r="Q83" s="52" t="s">
        <v>168</v>
      </c>
      <c r="R83" s="52" t="s">
        <v>127</v>
      </c>
      <c r="T83" s="51" t="s">
        <v>6122</v>
      </c>
      <c r="U83" s="51" t="s">
        <v>759</v>
      </c>
      <c r="V83" s="51" t="s">
        <v>743</v>
      </c>
      <c r="W83" s="52" t="s">
        <v>126</v>
      </c>
      <c r="Y83" s="210" t="s">
        <v>6203</v>
      </c>
      <c r="Z83" s="210" t="s">
        <v>6204</v>
      </c>
      <c r="AB83" s="51" t="s">
        <v>6329</v>
      </c>
      <c r="AC83" s="51" t="s">
        <v>759</v>
      </c>
      <c r="AD83" s="51" t="s">
        <v>4018</v>
      </c>
      <c r="AE83" s="52" t="s">
        <v>126</v>
      </c>
      <c r="AG83" s="210" t="s">
        <v>6342</v>
      </c>
      <c r="AH83" s="210" t="s">
        <v>6343</v>
      </c>
    </row>
    <row r="84" spans="1:34" ht="25.5" x14ac:dyDescent="0.25">
      <c r="A84" s="51" t="s">
        <v>3665</v>
      </c>
      <c r="B84" s="51">
        <v>19</v>
      </c>
      <c r="C84" s="51" t="s">
        <v>95</v>
      </c>
      <c r="D84" s="50">
        <v>1</v>
      </c>
      <c r="F84" s="189" t="str" cm="1">
        <f t="array" aca="1" ref="F84" ca="1">IF(I84=0,"",HYPERLINK("#"&amp;RIGHT(CELL("dateiname"),LEN(CELL("dateiname"))-FIND("]",CELL("dateiname")))&amp;"!"&amp;CELL("adresse",OFFSET($C$6,I84-1,0)),"Definition"))</f>
        <v/>
      </c>
      <c r="G84" s="189" t="str" cm="1">
        <f t="array" aca="1" ref="G84" ca="1">IF(J84=0,"",HYPERLINK("#"&amp;RIGHT(CELL("adresse",OFFSET(DMAV_Modell!$A$6,J84-1,0)),LEN(CELL("adresse",OFFSET(DMAV_Modell!$A$6,J84-1,0)))-SEARCH("]",CELL("adresse",OFFSET(DMAV_Modell!$A$6,J84-1,0)))),"Modell"))</f>
        <v>Modell</v>
      </c>
      <c r="H84" s="150" t="str">
        <f t="shared" si="2"/>
        <v>DFP19</v>
      </c>
      <c r="I84" s="150">
        <f t="shared" si="3"/>
        <v>0</v>
      </c>
      <c r="J84" s="150">
        <f>IF(_xlfn.XLOOKUP(H84,Korrelation!$B$4:$B$723,Korrelation!$A$4:$A$723,0,0)=0,0,MATCH(_xlfn.XLOOKUP(H84,Korrelation!$B$4:$B$723,Korrelation!$A$4:$A$723,0,0),DMAV_Modell!$G$6:$G$677,0))</f>
        <v>85</v>
      </c>
      <c r="L84" s="51" t="s">
        <v>27</v>
      </c>
      <c r="M84" s="51" t="s">
        <v>153</v>
      </c>
      <c r="N84" s="51" t="s">
        <v>128</v>
      </c>
      <c r="O84" s="52" t="s">
        <v>129</v>
      </c>
      <c r="P84" s="56"/>
      <c r="Q84" s="52" t="s">
        <v>169</v>
      </c>
      <c r="R84" s="52"/>
      <c r="T84" s="51" t="s">
        <v>6122</v>
      </c>
      <c r="U84" s="51" t="s">
        <v>759</v>
      </c>
      <c r="V84" s="51" t="s">
        <v>744</v>
      </c>
      <c r="W84" s="52" t="s">
        <v>129</v>
      </c>
      <c r="Y84" s="210" t="s">
        <v>6205</v>
      </c>
      <c r="AB84" s="51" t="s">
        <v>6329</v>
      </c>
      <c r="AC84" s="51" t="s">
        <v>759</v>
      </c>
      <c r="AD84" s="51" t="s">
        <v>4021</v>
      </c>
      <c r="AE84" s="52" t="s">
        <v>129</v>
      </c>
      <c r="AG84" s="210" t="s">
        <v>6344</v>
      </c>
    </row>
    <row r="85" spans="1:34" ht="63.75" x14ac:dyDescent="0.25">
      <c r="A85" s="51" t="s">
        <v>3665</v>
      </c>
      <c r="B85" s="51">
        <v>20</v>
      </c>
      <c r="C85" s="51" t="s">
        <v>95</v>
      </c>
      <c r="D85" s="50">
        <v>1</v>
      </c>
      <c r="F85" s="189" t="str" cm="1">
        <f t="array" aca="1" ref="F85" ca="1">IF(I85=0,"",HYPERLINK("#"&amp;RIGHT(CELL("dateiname"),LEN(CELL("dateiname"))-FIND("]",CELL("dateiname")))&amp;"!"&amp;CELL("adresse",OFFSET($C$6,I85-1,0)),"Definition"))</f>
        <v/>
      </c>
      <c r="G85" s="189" t="str" cm="1">
        <f t="array" aca="1" ref="G85" ca="1">IF(J85=0,"",HYPERLINK("#"&amp;RIGHT(CELL("adresse",OFFSET(DMAV_Modell!$A$6,J85-1,0)),LEN(CELL("adresse",OFFSET(DMAV_Modell!$A$6,J85-1,0)))-SEARCH("]",CELL("adresse",OFFSET(DMAV_Modell!$A$6,J85-1,0)))),"Modell"))</f>
        <v>Modell</v>
      </c>
      <c r="H85" s="150" t="str">
        <f t="shared" si="2"/>
        <v>DFP20</v>
      </c>
      <c r="I85" s="150">
        <f t="shared" si="3"/>
        <v>0</v>
      </c>
      <c r="J85" s="150">
        <f>IF(_xlfn.XLOOKUP(H85,Korrelation!$B$4:$B$723,Korrelation!$A$4:$A$723,0,0)=0,0,MATCH(_xlfn.XLOOKUP(H85,Korrelation!$B$4:$B$723,Korrelation!$A$4:$A$723,0,0),DMAV_Modell!$G$6:$G$677,0))</f>
        <v>86</v>
      </c>
      <c r="L85" s="51" t="s">
        <v>27</v>
      </c>
      <c r="M85" s="51" t="s">
        <v>153</v>
      </c>
      <c r="N85" s="51" t="s">
        <v>130</v>
      </c>
      <c r="O85" s="52" t="s">
        <v>131</v>
      </c>
      <c r="P85" s="56"/>
      <c r="Q85" s="52" t="s">
        <v>170</v>
      </c>
      <c r="R85" s="52" t="s">
        <v>171</v>
      </c>
      <c r="T85" s="51" t="s">
        <v>6122</v>
      </c>
      <c r="U85" s="51" t="s">
        <v>759</v>
      </c>
      <c r="V85" s="51" t="s">
        <v>745</v>
      </c>
      <c r="W85" s="52" t="s">
        <v>131</v>
      </c>
      <c r="Y85" s="210" t="s">
        <v>6206</v>
      </c>
      <c r="Z85" s="210" t="s">
        <v>6207</v>
      </c>
      <c r="AB85" s="51" t="s">
        <v>6329</v>
      </c>
      <c r="AC85" s="51" t="s">
        <v>759</v>
      </c>
      <c r="AD85" s="51" t="s">
        <v>4024</v>
      </c>
      <c r="AE85" s="52" t="s">
        <v>131</v>
      </c>
      <c r="AG85" s="210" t="s">
        <v>6345</v>
      </c>
      <c r="AH85" s="210" t="s">
        <v>6346</v>
      </c>
    </row>
    <row r="86" spans="1:34" ht="63.75" x14ac:dyDescent="0.25">
      <c r="A86" s="51" t="s">
        <v>3665</v>
      </c>
      <c r="B86" s="51">
        <v>21</v>
      </c>
      <c r="C86" s="51" t="s">
        <v>95</v>
      </c>
      <c r="D86" s="50" t="s">
        <v>72</v>
      </c>
      <c r="F86" s="189" t="str" cm="1">
        <f t="array" aca="1" ref="F86" ca="1">IF(I86=0,"",HYPERLINK("#"&amp;RIGHT(CELL("dateiname"),LEN(CELL("dateiname"))-FIND("]",CELL("dateiname")))&amp;"!"&amp;CELL("adresse",OFFSET($C$6,I86-1,0)),"Definition"))</f>
        <v/>
      </c>
      <c r="G86" s="189" t="str" cm="1">
        <f t="array" aca="1" ref="G86" ca="1">IF(J86=0,"",HYPERLINK("#"&amp;RIGHT(CELL("adresse",OFFSET(DMAV_Modell!$A$6,J86-1,0)),LEN(CELL("adresse",OFFSET(DMAV_Modell!$A$6,J86-1,0)))-SEARCH("]",CELL("adresse",OFFSET(DMAV_Modell!$A$6,J86-1,0)))),"Modell"))</f>
        <v>Modell</v>
      </c>
      <c r="H86" s="150" t="str">
        <f t="shared" si="2"/>
        <v>DFP21</v>
      </c>
      <c r="I86" s="150">
        <f t="shared" si="3"/>
        <v>0</v>
      </c>
      <c r="J86" s="150">
        <f>IF(_xlfn.XLOOKUP(H86,Korrelation!$B$4:$B$723,Korrelation!$A$4:$A$723,0,0)=0,0,MATCH(_xlfn.XLOOKUP(H86,Korrelation!$B$4:$B$723,Korrelation!$A$4:$A$723,0,0),DMAV_Modell!$G$6:$G$677,0))</f>
        <v>87</v>
      </c>
      <c r="L86" s="51" t="s">
        <v>27</v>
      </c>
      <c r="M86" s="51" t="s">
        <v>153</v>
      </c>
      <c r="N86" s="51" t="s">
        <v>132</v>
      </c>
      <c r="O86" s="52" t="s">
        <v>129</v>
      </c>
      <c r="P86" s="56"/>
      <c r="Q86" s="52" t="s">
        <v>172</v>
      </c>
      <c r="R86" s="52" t="s">
        <v>173</v>
      </c>
      <c r="T86" s="51" t="s">
        <v>6122</v>
      </c>
      <c r="U86" s="51" t="s">
        <v>759</v>
      </c>
      <c r="V86" s="51" t="s">
        <v>746</v>
      </c>
      <c r="W86" s="52" t="s">
        <v>129</v>
      </c>
      <c r="Y86" s="210" t="s">
        <v>6208</v>
      </c>
      <c r="Z86" s="210" t="s">
        <v>6209</v>
      </c>
      <c r="AB86" s="51" t="s">
        <v>6329</v>
      </c>
      <c r="AC86" s="51" t="s">
        <v>759</v>
      </c>
      <c r="AD86" s="51" t="s">
        <v>4026</v>
      </c>
      <c r="AE86" s="52" t="s">
        <v>129</v>
      </c>
      <c r="AG86" s="210" t="s">
        <v>6347</v>
      </c>
      <c r="AH86" s="210" t="s">
        <v>6348</v>
      </c>
    </row>
    <row r="87" spans="1:34" ht="76.5" x14ac:dyDescent="0.25">
      <c r="A87" s="51" t="s">
        <v>3665</v>
      </c>
      <c r="B87" s="51">
        <v>22</v>
      </c>
      <c r="C87" s="51" t="s">
        <v>95</v>
      </c>
      <c r="D87" s="50" t="s">
        <v>72</v>
      </c>
      <c r="F87" s="189" t="str" cm="1">
        <f t="array" aca="1" ref="F87" ca="1">IF(I87=0,"",HYPERLINK("#"&amp;RIGHT(CELL("dateiname"),LEN(CELL("dateiname"))-FIND("]",CELL("dateiname")))&amp;"!"&amp;CELL("adresse",OFFSET($C$6,I87-1,0)),"Definition"))</f>
        <v/>
      </c>
      <c r="G87" s="189" t="str" cm="1">
        <f t="array" aca="1" ref="G87" ca="1">IF(J87=0,"",HYPERLINK("#"&amp;RIGHT(CELL("adresse",OFFSET(DMAV_Modell!$A$6,J87-1,0)),LEN(CELL("adresse",OFFSET(DMAV_Modell!$A$6,J87-1,0)))-SEARCH("]",CELL("adresse",OFFSET(DMAV_Modell!$A$6,J87-1,0)))),"Modell"))</f>
        <v>Modell</v>
      </c>
      <c r="H87" s="150" t="str">
        <f t="shared" si="2"/>
        <v>DFP22</v>
      </c>
      <c r="I87" s="150">
        <f t="shared" si="3"/>
        <v>0</v>
      </c>
      <c r="J87" s="150">
        <f>IF(_xlfn.XLOOKUP(H87,Korrelation!$B$4:$B$723,Korrelation!$A$4:$A$723,0,0)=0,0,MATCH(_xlfn.XLOOKUP(H87,Korrelation!$B$4:$B$723,Korrelation!$A$4:$A$723,0,0),DMAV_Modell!$G$6:$G$677,0))</f>
        <v>88</v>
      </c>
      <c r="L87" s="51" t="s">
        <v>27</v>
      </c>
      <c r="M87" s="51" t="s">
        <v>153</v>
      </c>
      <c r="N87" s="51" t="s">
        <v>133</v>
      </c>
      <c r="O87" s="52" t="s">
        <v>131</v>
      </c>
      <c r="P87" s="56"/>
      <c r="Q87" s="52" t="s">
        <v>174</v>
      </c>
      <c r="R87" s="52" t="s">
        <v>175</v>
      </c>
      <c r="T87" s="51" t="s">
        <v>6122</v>
      </c>
      <c r="U87" s="51" t="s">
        <v>759</v>
      </c>
      <c r="V87" s="51" t="s">
        <v>747</v>
      </c>
      <c r="W87" s="52" t="s">
        <v>131</v>
      </c>
      <c r="Y87" s="210" t="s">
        <v>6210</v>
      </c>
      <c r="Z87" s="210" t="s">
        <v>6211</v>
      </c>
      <c r="AB87" s="51" t="s">
        <v>6329</v>
      </c>
      <c r="AC87" s="51" t="s">
        <v>759</v>
      </c>
      <c r="AD87" s="51" t="s">
        <v>4027</v>
      </c>
      <c r="AE87" s="52" t="s">
        <v>131</v>
      </c>
      <c r="AG87" s="210" t="s">
        <v>6349</v>
      </c>
      <c r="AH87" s="210" t="s">
        <v>6350</v>
      </c>
    </row>
    <row r="88" spans="1:34" ht="38.25" x14ac:dyDescent="0.25">
      <c r="A88" s="51" t="s">
        <v>3665</v>
      </c>
      <c r="B88" s="51">
        <v>23</v>
      </c>
      <c r="C88" s="51" t="s">
        <v>95</v>
      </c>
      <c r="D88" s="50">
        <v>1</v>
      </c>
      <c r="E88" s="50" t="s">
        <v>3680</v>
      </c>
      <c r="F88" s="189" t="str" cm="1">
        <f t="array" aca="1" ref="F88" ca="1">IF(I88=0,"",HYPERLINK("#"&amp;RIGHT(CELL("dateiname"),LEN(CELL("dateiname"))-FIND("]",CELL("dateiname")))&amp;"!"&amp;CELL("adresse",OFFSET($C$6,I88-1,0)),"Definition"))</f>
        <v>Definition</v>
      </c>
      <c r="G88" s="189" t="str" cm="1">
        <f t="array" aca="1" ref="G88" ca="1">IF(J88=0,"",HYPERLINK("#"&amp;RIGHT(CELL("adresse",OFFSET(DMAV_Modell!$A$6,J88-1,0)),LEN(CELL("adresse",OFFSET(DMAV_Modell!$A$6,J88-1,0)))-SEARCH("]",CELL("adresse",OFFSET(DMAV_Modell!$A$6,J88-1,0)))),"Modell"))</f>
        <v>Modell</v>
      </c>
      <c r="H88" s="150" t="str">
        <f t="shared" si="2"/>
        <v>DFP23</v>
      </c>
      <c r="I88" s="150">
        <f t="shared" si="3"/>
        <v>15</v>
      </c>
      <c r="J88" s="150">
        <f>IF(_xlfn.XLOOKUP(H88,Korrelation!$B$4:$B$723,Korrelation!$A$4:$A$723,0,0)=0,0,MATCH(_xlfn.XLOOKUP(H88,Korrelation!$B$4:$B$723,Korrelation!$A$4:$A$723,0,0),DMAV_Modell!$G$6:$G$677,0))</f>
        <v>89</v>
      </c>
      <c r="L88" s="51" t="s">
        <v>27</v>
      </c>
      <c r="M88" s="51" t="s">
        <v>153</v>
      </c>
      <c r="N88" s="51" t="s">
        <v>134</v>
      </c>
      <c r="O88" s="52" t="s">
        <v>146</v>
      </c>
      <c r="P88" s="56"/>
      <c r="Q88" s="52" t="s">
        <v>3738</v>
      </c>
      <c r="R88" s="52" t="s">
        <v>176</v>
      </c>
      <c r="T88" s="51" t="s">
        <v>6122</v>
      </c>
      <c r="U88" s="51" t="s">
        <v>759</v>
      </c>
      <c r="V88" s="51" t="s">
        <v>748</v>
      </c>
      <c r="W88" s="52" t="s">
        <v>6212</v>
      </c>
      <c r="Y88" s="210" t="s">
        <v>6213</v>
      </c>
      <c r="Z88" s="210" t="s">
        <v>6214</v>
      </c>
      <c r="AB88" s="51" t="s">
        <v>6329</v>
      </c>
      <c r="AC88" s="51" t="s">
        <v>759</v>
      </c>
      <c r="AD88" s="51" t="s">
        <v>1845</v>
      </c>
      <c r="AE88" s="52" t="s">
        <v>6351</v>
      </c>
      <c r="AG88" s="210" t="s">
        <v>6352</v>
      </c>
      <c r="AH88" s="210" t="s">
        <v>6353</v>
      </c>
    </row>
    <row r="89" spans="1:34" ht="25.5" x14ac:dyDescent="0.25">
      <c r="A89" s="51" t="s">
        <v>3665</v>
      </c>
      <c r="B89" s="51">
        <v>24</v>
      </c>
      <c r="C89" s="51" t="s">
        <v>95</v>
      </c>
      <c r="D89" s="50" t="s">
        <v>72</v>
      </c>
      <c r="E89" s="50" t="s">
        <v>3681</v>
      </c>
      <c r="F89" s="189" t="str" cm="1">
        <f t="array" aca="1" ref="F89" ca="1">IF(I89=0,"",HYPERLINK("#"&amp;RIGHT(CELL("dateiname"),LEN(CELL("dateiname"))-FIND("]",CELL("dateiname")))&amp;"!"&amp;CELL("adresse",OFFSET($C$6,I89-1,0)),"Definition"))</f>
        <v>Definition</v>
      </c>
      <c r="G89" s="189" t="str" cm="1">
        <f t="array" aca="1" ref="G89" ca="1">IF(J89=0,"",HYPERLINK("#"&amp;RIGHT(CELL("adresse",OFFSET(DMAV_Modell!$A$6,J89-1,0)),LEN(CELL("adresse",OFFSET(DMAV_Modell!$A$6,J89-1,0)))-SEARCH("]",CELL("adresse",OFFSET(DMAV_Modell!$A$6,J89-1,0)))),"Modell"))</f>
        <v>Modell</v>
      </c>
      <c r="H89" s="150" t="str">
        <f t="shared" si="2"/>
        <v>DFP24</v>
      </c>
      <c r="I89" s="150">
        <f t="shared" si="3"/>
        <v>63</v>
      </c>
      <c r="J89" s="150">
        <f>IF(_xlfn.XLOOKUP(H89,Korrelation!$B$4:$B$723,Korrelation!$A$4:$A$723,0,0)=0,0,MATCH(_xlfn.XLOOKUP(H89,Korrelation!$B$4:$B$723,Korrelation!$A$4:$A$723,0,0),DMAV_Modell!$G$6:$G$677,0))</f>
        <v>90</v>
      </c>
      <c r="L89" s="51" t="s">
        <v>27</v>
      </c>
      <c r="M89" s="51" t="s">
        <v>153</v>
      </c>
      <c r="N89" s="51" t="s">
        <v>138</v>
      </c>
      <c r="O89" s="52" t="s">
        <v>147</v>
      </c>
      <c r="P89" s="56"/>
      <c r="Q89" s="52" t="s">
        <v>177</v>
      </c>
      <c r="R89" s="52"/>
      <c r="T89" s="51" t="s">
        <v>6122</v>
      </c>
      <c r="U89" s="51" t="s">
        <v>759</v>
      </c>
      <c r="V89" s="51" t="s">
        <v>750</v>
      </c>
      <c r="W89" s="52" t="s">
        <v>6215</v>
      </c>
      <c r="Y89" s="210" t="s">
        <v>6216</v>
      </c>
      <c r="AB89" s="51" t="s">
        <v>6329</v>
      </c>
      <c r="AC89" s="51" t="s">
        <v>759</v>
      </c>
      <c r="AD89" s="51" t="s">
        <v>4004</v>
      </c>
      <c r="AE89" s="52" t="s">
        <v>6354</v>
      </c>
      <c r="AG89" s="210" t="s">
        <v>6355</v>
      </c>
    </row>
    <row r="90" spans="1:34" ht="51" x14ac:dyDescent="0.25">
      <c r="A90" s="51" t="s">
        <v>3665</v>
      </c>
      <c r="B90" s="51">
        <v>25</v>
      </c>
      <c r="C90" s="51" t="s">
        <v>95</v>
      </c>
      <c r="D90" s="50">
        <v>1</v>
      </c>
      <c r="E90" s="50" t="s">
        <v>3682</v>
      </c>
      <c r="F90" s="189" t="str" cm="1">
        <f t="array" aca="1" ref="F90" ca="1">IF(I90=0,"",HYPERLINK("#"&amp;RIGHT(CELL("dateiname"),LEN(CELL("dateiname"))-FIND("]",CELL("dateiname")))&amp;"!"&amp;CELL("adresse",OFFSET($C$6,I90-1,0)),"Definition"))</f>
        <v>Definition</v>
      </c>
      <c r="G90" s="189" t="str" cm="1">
        <f t="array" aca="1" ref="G90" ca="1">IF(J90=0,"",HYPERLINK("#"&amp;RIGHT(CELL("adresse",OFFSET(DMAV_Modell!$A$6,J90-1,0)),LEN(CELL("adresse",OFFSET(DMAV_Modell!$A$6,J90-1,0)))-SEARCH("]",CELL("adresse",OFFSET(DMAV_Modell!$A$6,J90-1,0)))),"Modell"))</f>
        <v>Modell</v>
      </c>
      <c r="H90" s="150" t="str">
        <f t="shared" si="2"/>
        <v>DFP25</v>
      </c>
      <c r="I90" s="150">
        <f t="shared" si="3"/>
        <v>66</v>
      </c>
      <c r="J90" s="150">
        <f>IF(_xlfn.XLOOKUP(H90,Korrelation!$B$4:$B$723,Korrelation!$A$4:$A$723,0,0)=0,0,MATCH(_xlfn.XLOOKUP(H90,Korrelation!$B$4:$B$723,Korrelation!$A$4:$A$723,0,0),DMAV_Modell!$G$6:$G$677,0))</f>
        <v>91</v>
      </c>
      <c r="L90" s="51" t="s">
        <v>27</v>
      </c>
      <c r="M90" s="51" t="s">
        <v>153</v>
      </c>
      <c r="N90" s="51" t="s">
        <v>157</v>
      </c>
      <c r="O90" s="52" t="s">
        <v>178</v>
      </c>
      <c r="P90" s="56"/>
      <c r="Q90" s="52" t="s">
        <v>179</v>
      </c>
      <c r="R90" s="52"/>
      <c r="T90" s="51" t="s">
        <v>6122</v>
      </c>
      <c r="U90" s="51" t="s">
        <v>759</v>
      </c>
      <c r="V90" s="51" t="s">
        <v>761</v>
      </c>
      <c r="W90" s="52" t="s">
        <v>6217</v>
      </c>
      <c r="Y90" s="210" t="s">
        <v>6218</v>
      </c>
      <c r="AB90" s="51" t="s">
        <v>6329</v>
      </c>
      <c r="AC90" s="51" t="s">
        <v>759</v>
      </c>
      <c r="AD90" s="51" t="s">
        <v>4008</v>
      </c>
      <c r="AE90" s="52" t="s">
        <v>6356</v>
      </c>
      <c r="AG90" s="210" t="s">
        <v>6357</v>
      </c>
    </row>
    <row r="91" spans="1:34" ht="89.25" x14ac:dyDescent="0.25">
      <c r="A91" s="51" t="s">
        <v>3665</v>
      </c>
      <c r="B91" s="51">
        <v>26</v>
      </c>
      <c r="C91" s="51" t="s">
        <v>95</v>
      </c>
      <c r="D91" s="50" t="s">
        <v>72</v>
      </c>
      <c r="F91" s="189" t="str" cm="1">
        <f t="array" aca="1" ref="F91" ca="1">IF(I91=0,"",HYPERLINK("#"&amp;RIGHT(CELL("dateiname"),LEN(CELL("dateiname"))-FIND("]",CELL("dateiname")))&amp;"!"&amp;CELL("adresse",OFFSET($C$6,I91-1,0)),"Definition"))</f>
        <v/>
      </c>
      <c r="G91" s="189" t="str" cm="1">
        <f t="array" aca="1" ref="G91" ca="1">IF(J91=0,"",HYPERLINK("#"&amp;RIGHT(CELL("adresse",OFFSET(DMAV_Modell!$A$6,J91-1,0)),LEN(CELL("adresse",OFFSET(DMAV_Modell!$A$6,J91-1,0)))-SEARCH("]",CELL("adresse",OFFSET(DMAV_Modell!$A$6,J91-1,0)))),"Modell"))</f>
        <v>Modell</v>
      </c>
      <c r="H91" s="150" t="str">
        <f t="shared" si="2"/>
        <v>DFP26</v>
      </c>
      <c r="I91" s="150">
        <f t="shared" si="3"/>
        <v>0</v>
      </c>
      <c r="J91" s="150">
        <f>IF(_xlfn.XLOOKUP(H91,Korrelation!$B$4:$B$723,Korrelation!$A$4:$A$723,0,0)=0,0,MATCH(_xlfn.XLOOKUP(H91,Korrelation!$B$4:$B$723,Korrelation!$A$4:$A$723,0,0),DMAV_Modell!$G$6:$G$677,0))</f>
        <v>92</v>
      </c>
      <c r="L91" s="51" t="s">
        <v>27</v>
      </c>
      <c r="M91" s="51" t="s">
        <v>153</v>
      </c>
      <c r="N91" s="51" t="s">
        <v>294</v>
      </c>
      <c r="O91" s="52" t="s">
        <v>131</v>
      </c>
      <c r="P91" s="56"/>
      <c r="Q91" s="52" t="s">
        <v>3739</v>
      </c>
      <c r="R91" s="52" t="s">
        <v>3740</v>
      </c>
      <c r="T91" s="51" t="s">
        <v>6122</v>
      </c>
      <c r="U91" s="51" t="s">
        <v>759</v>
      </c>
      <c r="V91" s="51" t="s">
        <v>6219</v>
      </c>
      <c r="W91" s="52" t="s">
        <v>131</v>
      </c>
      <c r="Y91" s="210" t="s">
        <v>6220</v>
      </c>
      <c r="Z91" s="210" t="s">
        <v>6221</v>
      </c>
      <c r="AB91" s="51" t="s">
        <v>6329</v>
      </c>
      <c r="AC91" s="51" t="s">
        <v>759</v>
      </c>
      <c r="AD91" s="51" t="s">
        <v>4030</v>
      </c>
      <c r="AE91" s="52" t="s">
        <v>131</v>
      </c>
      <c r="AG91" s="210" t="s">
        <v>6358</v>
      </c>
      <c r="AH91" s="210" t="s">
        <v>6359</v>
      </c>
    </row>
    <row r="92" spans="1:34" ht="102" x14ac:dyDescent="0.25">
      <c r="A92" s="51" t="s">
        <v>3665</v>
      </c>
      <c r="B92" s="51">
        <v>27</v>
      </c>
      <c r="C92" s="51" t="s">
        <v>95</v>
      </c>
      <c r="D92" s="50">
        <v>1</v>
      </c>
      <c r="F92" s="189" t="str" cm="1">
        <f t="array" aca="1" ref="F92" ca="1">IF(I92=0,"",HYPERLINK("#"&amp;RIGHT(CELL("dateiname"),LEN(CELL("dateiname"))-FIND("]",CELL("dateiname")))&amp;"!"&amp;CELL("adresse",OFFSET($C$6,I92-1,0)),"Definition"))</f>
        <v/>
      </c>
      <c r="G92" s="189" t="str" cm="1">
        <f t="array" aca="1" ref="G92" ca="1">IF(J92=0,"",HYPERLINK("#"&amp;RIGHT(CELL("adresse",OFFSET(DMAV_Modell!$A$6,J92-1,0)),LEN(CELL("adresse",OFFSET(DMAV_Modell!$A$6,J92-1,0)))-SEARCH("]",CELL("adresse",OFFSET(DMAV_Modell!$A$6,J92-1,0)))),"Modell"))</f>
        <v>Modell</v>
      </c>
      <c r="H92" s="150" t="str">
        <f t="shared" si="2"/>
        <v>DFP27</v>
      </c>
      <c r="I92" s="150">
        <f t="shared" si="3"/>
        <v>0</v>
      </c>
      <c r="J92" s="150">
        <f>IF(_xlfn.XLOOKUP(H92,Korrelation!$B$4:$B$723,Korrelation!$A$4:$A$723,0,0)=0,0,MATCH(_xlfn.XLOOKUP(H92,Korrelation!$B$4:$B$723,Korrelation!$A$4:$A$723,0,0),DMAV_Modell!$G$6:$G$677,0))</f>
        <v>93</v>
      </c>
      <c r="L92" s="51" t="s">
        <v>27</v>
      </c>
      <c r="M92" s="51" t="s">
        <v>153</v>
      </c>
      <c r="N92" s="51" t="s">
        <v>180</v>
      </c>
      <c r="O92" s="52" t="s">
        <v>131</v>
      </c>
      <c r="P92" s="56"/>
      <c r="Q92" s="52" t="s">
        <v>181</v>
      </c>
      <c r="R92" s="52" t="s">
        <v>182</v>
      </c>
      <c r="T92" s="51" t="s">
        <v>6122</v>
      </c>
      <c r="U92" s="51" t="s">
        <v>759</v>
      </c>
      <c r="V92" s="51" t="s">
        <v>766</v>
      </c>
      <c r="W92" s="52" t="s">
        <v>131</v>
      </c>
      <c r="Y92" s="210" t="s">
        <v>6222</v>
      </c>
      <c r="Z92" s="210" t="s">
        <v>6223</v>
      </c>
      <c r="AB92" s="51" t="s">
        <v>6329</v>
      </c>
      <c r="AC92" s="51" t="s">
        <v>759</v>
      </c>
      <c r="AD92" s="51" t="s">
        <v>4031</v>
      </c>
      <c r="AE92" s="52" t="s">
        <v>131</v>
      </c>
      <c r="AG92" s="210" t="s">
        <v>6360</v>
      </c>
      <c r="AH92" s="210" t="s">
        <v>6361</v>
      </c>
    </row>
    <row r="93" spans="1:34" ht="38.25" x14ac:dyDescent="0.25">
      <c r="A93" s="51" t="s">
        <v>3665</v>
      </c>
      <c r="B93" s="51">
        <v>28</v>
      </c>
      <c r="C93" s="51" t="s">
        <v>95</v>
      </c>
      <c r="D93" s="50" t="s">
        <v>72</v>
      </c>
      <c r="F93" s="189" t="str" cm="1">
        <f t="array" aca="1" ref="F93" ca="1">IF(I93=0,"",HYPERLINK("#"&amp;RIGHT(CELL("dateiname"),LEN(CELL("dateiname"))-FIND("]",CELL("dateiname")))&amp;"!"&amp;CELL("adresse",OFFSET($C$6,I93-1,0)),"Definition"))</f>
        <v/>
      </c>
      <c r="G93" s="189" t="str" cm="1">
        <f t="array" aca="1" ref="G93" ca="1">IF(J93=0,"",HYPERLINK("#"&amp;RIGHT(CELL("adresse",OFFSET(DMAV_Modell!$A$6,J93-1,0)),LEN(CELL("adresse",OFFSET(DMAV_Modell!$A$6,J93-1,0)))-SEARCH("]",CELL("adresse",OFFSET(DMAV_Modell!$A$6,J93-1,0)))),"Modell"))</f>
        <v>Modell</v>
      </c>
      <c r="H93" s="150" t="str">
        <f t="shared" si="2"/>
        <v>DFP28</v>
      </c>
      <c r="I93" s="150">
        <f t="shared" si="3"/>
        <v>0</v>
      </c>
      <c r="J93" s="150">
        <f>IF(_xlfn.XLOOKUP(H93,Korrelation!$B$4:$B$723,Korrelation!$A$4:$A$723,0,0)=0,0,MATCH(_xlfn.XLOOKUP(H93,Korrelation!$B$4:$B$723,Korrelation!$A$4:$A$723,0,0),DMAV_Modell!$G$6:$G$677,0))</f>
        <v>94</v>
      </c>
      <c r="L93" s="51" t="s">
        <v>27</v>
      </c>
      <c r="M93" s="51" t="s">
        <v>153</v>
      </c>
      <c r="N93" s="51" t="s">
        <v>149</v>
      </c>
      <c r="O93" s="52" t="s">
        <v>73</v>
      </c>
      <c r="P93" s="56" t="s">
        <v>3729</v>
      </c>
      <c r="Q93" s="52" t="s">
        <v>183</v>
      </c>
      <c r="R93" s="52"/>
      <c r="T93" s="51" t="s">
        <v>6122</v>
      </c>
      <c r="U93" s="51" t="s">
        <v>759</v>
      </c>
      <c r="V93" s="51" t="s">
        <v>756</v>
      </c>
      <c r="W93" s="52" t="s">
        <v>73</v>
      </c>
      <c r="X93" s="209" t="s">
        <v>3729</v>
      </c>
      <c r="Y93" s="210" t="s">
        <v>6224</v>
      </c>
      <c r="AB93" s="51" t="s">
        <v>6329</v>
      </c>
      <c r="AC93" s="51" t="s">
        <v>759</v>
      </c>
      <c r="AD93" s="51" t="s">
        <v>4034</v>
      </c>
      <c r="AE93" s="52" t="s">
        <v>73</v>
      </c>
      <c r="AF93" s="209" t="s">
        <v>3729</v>
      </c>
      <c r="AG93" s="210" t="s">
        <v>6362</v>
      </c>
    </row>
    <row r="94" spans="1:34" ht="38.25" x14ac:dyDescent="0.25">
      <c r="A94" s="51" t="s">
        <v>3665</v>
      </c>
      <c r="B94" s="51">
        <v>29</v>
      </c>
      <c r="C94" s="51" t="s">
        <v>95</v>
      </c>
      <c r="D94" s="50" t="s">
        <v>72</v>
      </c>
      <c r="E94" s="50" t="s">
        <v>3683</v>
      </c>
      <c r="F94" s="189" t="str" cm="1">
        <f t="array" aca="1" ref="F94" ca="1">IF(I94=0,"",HYPERLINK("#"&amp;RIGHT(CELL("dateiname"),LEN(CELL("dateiname"))-FIND("]",CELL("dateiname")))&amp;"!"&amp;CELL("adresse",OFFSET($C$6,I94-1,0)),"Definition"))</f>
        <v>Definition</v>
      </c>
      <c r="G94" s="189" t="str" cm="1">
        <f t="array" aca="1" ref="G94" ca="1">IF(J94=0,"",HYPERLINK("#"&amp;RIGHT(CELL("adresse",OFFSET(DMAV_Modell!$A$6,J94-1,0)),LEN(CELL("adresse",OFFSET(DMAV_Modell!$A$6,J94-1,0)))-SEARCH("]",CELL("adresse",OFFSET(DMAV_Modell!$A$6,J94-1,0)))),"Modell"))</f>
        <v>Modell</v>
      </c>
      <c r="H94" s="150" t="str">
        <f t="shared" si="2"/>
        <v>DFP29</v>
      </c>
      <c r="I94" s="150">
        <f t="shared" si="3"/>
        <v>32</v>
      </c>
      <c r="J94" s="150">
        <f>IF(_xlfn.XLOOKUP(H94,Korrelation!$B$4:$B$723,Korrelation!$A$4:$A$723,0,0)=0,0,MATCH(_xlfn.XLOOKUP(H94,Korrelation!$B$4:$B$723,Korrelation!$A$4:$A$723,0,0),DMAV_Modell!$G$6:$G$677,0))</f>
        <v>95</v>
      </c>
      <c r="L94" s="51" t="s">
        <v>27</v>
      </c>
      <c r="M94" s="51" t="s">
        <v>153</v>
      </c>
      <c r="N94" s="51" t="s">
        <v>77</v>
      </c>
      <c r="O94" s="52" t="s">
        <v>250</v>
      </c>
      <c r="P94" s="56"/>
      <c r="Q94" s="52" t="s">
        <v>3741</v>
      </c>
      <c r="R94" s="52" t="s">
        <v>252</v>
      </c>
      <c r="T94" s="51" t="s">
        <v>6122</v>
      </c>
      <c r="U94" s="51" t="s">
        <v>759</v>
      </c>
      <c r="V94" s="51" t="s">
        <v>729</v>
      </c>
      <c r="W94" s="52" t="s">
        <v>6225</v>
      </c>
      <c r="Y94" s="210" t="s">
        <v>6226</v>
      </c>
      <c r="Z94" s="210" t="s">
        <v>6227</v>
      </c>
      <c r="AB94" s="51" t="s">
        <v>6329</v>
      </c>
      <c r="AC94" s="51" t="s">
        <v>759</v>
      </c>
      <c r="AD94" s="51" t="s">
        <v>3933</v>
      </c>
      <c r="AE94" s="52" t="s">
        <v>6363</v>
      </c>
      <c r="AG94" s="210" t="s">
        <v>6364</v>
      </c>
      <c r="AH94" s="210" t="s">
        <v>6365</v>
      </c>
    </row>
    <row r="95" spans="1:34" x14ac:dyDescent="0.25">
      <c r="A95" s="51" t="s">
        <v>3665</v>
      </c>
      <c r="B95" s="51">
        <v>30</v>
      </c>
      <c r="C95" s="51" t="s">
        <v>95</v>
      </c>
      <c r="D95" s="50">
        <v>1</v>
      </c>
      <c r="F95" s="189" t="str" cm="1">
        <f t="array" aca="1" ref="F95" ca="1">IF(I95=0,"",HYPERLINK("#"&amp;RIGHT(CELL("dateiname"),LEN(CELL("dateiname"))-FIND("]",CELL("dateiname")))&amp;"!"&amp;CELL("adresse",OFFSET($C$6,I95-1,0)),"Definition"))</f>
        <v/>
      </c>
      <c r="G95" s="189" t="str" cm="1">
        <f t="array" aca="1" ref="G95" ca="1">IF(J95=0,"",HYPERLINK("#"&amp;RIGHT(CELL("adresse",OFFSET(DMAV_Modell!$A$6,J95-1,0)),LEN(CELL("adresse",OFFSET(DMAV_Modell!$A$6,J95-1,0)))-SEARCH("]",CELL("adresse",OFFSET(DMAV_Modell!$A$6,J95-1,0)))),"Modell"))</f>
        <v>Modell</v>
      </c>
      <c r="H95" s="150" t="str">
        <f t="shared" si="2"/>
        <v>DFP30</v>
      </c>
      <c r="I95" s="150">
        <f t="shared" si="3"/>
        <v>0</v>
      </c>
      <c r="J95" s="150">
        <f>IF(_xlfn.XLOOKUP(H95,Korrelation!$B$4:$B$723,Korrelation!$A$4:$A$723,0,0)=0,0,MATCH(_xlfn.XLOOKUP(H95,Korrelation!$B$4:$B$723,Korrelation!$A$4:$A$723,0,0),DMAV_Modell!$G$6:$G$677,0))</f>
        <v>102</v>
      </c>
      <c r="L95" s="51" t="s">
        <v>27</v>
      </c>
      <c r="M95" s="51" t="s">
        <v>184</v>
      </c>
      <c r="N95" s="51" t="s">
        <v>96</v>
      </c>
      <c r="O95" s="52" t="s">
        <v>97</v>
      </c>
      <c r="P95" s="56"/>
      <c r="Q95" s="52" t="s">
        <v>98</v>
      </c>
      <c r="R95" s="52"/>
      <c r="T95" s="51" t="s">
        <v>6122</v>
      </c>
      <c r="U95" s="51" t="s">
        <v>767</v>
      </c>
      <c r="V95" s="51" t="s">
        <v>733</v>
      </c>
      <c r="W95" s="52" t="s">
        <v>97</v>
      </c>
      <c r="Y95" s="210" t="s">
        <v>6175</v>
      </c>
      <c r="AB95" s="51" t="s">
        <v>6329</v>
      </c>
      <c r="AC95" s="51" t="s">
        <v>4056</v>
      </c>
      <c r="AD95" s="51" t="s">
        <v>1378</v>
      </c>
      <c r="AE95" s="52" t="s">
        <v>97</v>
      </c>
      <c r="AG95" s="210" t="s">
        <v>6316</v>
      </c>
    </row>
    <row r="96" spans="1:34" ht="25.5" x14ac:dyDescent="0.25">
      <c r="A96" s="51" t="s">
        <v>3665</v>
      </c>
      <c r="B96" s="51">
        <v>31</v>
      </c>
      <c r="C96" s="51" t="s">
        <v>95</v>
      </c>
      <c r="D96" s="50">
        <v>1</v>
      </c>
      <c r="F96" s="189" t="str" cm="1">
        <f t="array" aca="1" ref="F96" ca="1">IF(I96=0,"",HYPERLINK("#"&amp;RIGHT(CELL("dateiname"),LEN(CELL("dateiname"))-FIND("]",CELL("dateiname")))&amp;"!"&amp;CELL("adresse",OFFSET($C$6,I96-1,0)),"Definition"))</f>
        <v/>
      </c>
      <c r="G96" s="189" t="str" cm="1">
        <f t="array" aca="1" ref="G96" ca="1">IF(J96=0,"",HYPERLINK("#"&amp;RIGHT(CELL("adresse",OFFSET(DMAV_Modell!$A$6,J96-1,0)),LEN(CELL("adresse",OFFSET(DMAV_Modell!$A$6,J96-1,0)))-SEARCH("]",CELL("adresse",OFFSET(DMAV_Modell!$A$6,J96-1,0)))),"Modell"))</f>
        <v>Modell</v>
      </c>
      <c r="H96" s="150" t="str">
        <f t="shared" si="2"/>
        <v>DFP31</v>
      </c>
      <c r="I96" s="150">
        <f t="shared" si="3"/>
        <v>0</v>
      </c>
      <c r="J96" s="150">
        <f>IF(_xlfn.XLOOKUP(H96,Korrelation!$B$4:$B$723,Korrelation!$A$4:$A$723,0,0)=0,0,MATCH(_xlfn.XLOOKUP(H96,Korrelation!$B$4:$B$723,Korrelation!$A$4:$A$723,0,0),DMAV_Modell!$G$6:$G$677,0))</f>
        <v>103</v>
      </c>
      <c r="L96" s="51" t="s">
        <v>27</v>
      </c>
      <c r="M96" s="51" t="s">
        <v>184</v>
      </c>
      <c r="N96" s="51" t="s">
        <v>99</v>
      </c>
      <c r="O96" s="52" t="s">
        <v>97</v>
      </c>
      <c r="P96" s="56"/>
      <c r="Q96" s="52" t="s">
        <v>100</v>
      </c>
      <c r="R96" s="52"/>
      <c r="T96" s="51" t="s">
        <v>6122</v>
      </c>
      <c r="U96" s="51" t="s">
        <v>767</v>
      </c>
      <c r="V96" s="51" t="s">
        <v>734</v>
      </c>
      <c r="W96" s="52" t="s">
        <v>97</v>
      </c>
      <c r="Y96" s="210" t="s">
        <v>6176</v>
      </c>
      <c r="AB96" s="51" t="s">
        <v>6329</v>
      </c>
      <c r="AC96" s="51" t="s">
        <v>4056</v>
      </c>
      <c r="AD96" s="51" t="s">
        <v>1376</v>
      </c>
      <c r="AE96" s="52" t="s">
        <v>97</v>
      </c>
      <c r="AG96" s="210" t="s">
        <v>6317</v>
      </c>
    </row>
    <row r="97" spans="1:34" x14ac:dyDescent="0.25">
      <c r="A97" s="51" t="s">
        <v>3665</v>
      </c>
      <c r="B97" s="51">
        <v>32</v>
      </c>
      <c r="C97" s="51" t="s">
        <v>95</v>
      </c>
      <c r="D97" s="50">
        <v>1</v>
      </c>
      <c r="F97" s="189" t="str" cm="1">
        <f t="array" aca="1" ref="F97" ca="1">IF(I97=0,"",HYPERLINK("#"&amp;RIGHT(CELL("dateiname"),LEN(CELL("dateiname"))-FIND("]",CELL("dateiname")))&amp;"!"&amp;CELL("adresse",OFFSET($C$6,I97-1,0)),"Definition"))</f>
        <v/>
      </c>
      <c r="G97" s="189" t="str" cm="1">
        <f t="array" aca="1" ref="G97" ca="1">IF(J97=0,"",HYPERLINK("#"&amp;RIGHT(CELL("adresse",OFFSET(DMAV_Modell!$A$6,J97-1,0)),LEN(CELL("adresse",OFFSET(DMAV_Modell!$A$6,J97-1,0)))-SEARCH("]",CELL("adresse",OFFSET(DMAV_Modell!$A$6,J97-1,0)))),"Modell"))</f>
        <v>Modell</v>
      </c>
      <c r="H97" s="150" t="str">
        <f t="shared" si="2"/>
        <v>DFP32</v>
      </c>
      <c r="I97" s="150">
        <f t="shared" si="3"/>
        <v>0</v>
      </c>
      <c r="J97" s="150">
        <f>IF(_xlfn.XLOOKUP(H97,Korrelation!$B$4:$B$723,Korrelation!$A$4:$A$723,0,0)=0,0,MATCH(_xlfn.XLOOKUP(H97,Korrelation!$B$4:$B$723,Korrelation!$A$4:$A$723,0,0),DMAV_Modell!$G$6:$G$677,0))</f>
        <v>104</v>
      </c>
      <c r="L97" s="51" t="s">
        <v>27</v>
      </c>
      <c r="M97" s="51" t="s">
        <v>184</v>
      </c>
      <c r="N97" s="51" t="s">
        <v>101</v>
      </c>
      <c r="O97" s="52" t="s">
        <v>102</v>
      </c>
      <c r="P97" s="56"/>
      <c r="Q97" s="52" t="s">
        <v>103</v>
      </c>
      <c r="R97" s="52"/>
      <c r="T97" s="51" t="s">
        <v>6122</v>
      </c>
      <c r="U97" s="51" t="s">
        <v>767</v>
      </c>
      <c r="V97" s="51" t="s">
        <v>735</v>
      </c>
      <c r="W97" s="52" t="s">
        <v>102</v>
      </c>
      <c r="Y97" s="210" t="s">
        <v>6177</v>
      </c>
      <c r="AB97" s="51" t="s">
        <v>6329</v>
      </c>
      <c r="AC97" s="51" t="s">
        <v>4056</v>
      </c>
      <c r="AD97" s="51" t="s">
        <v>1294</v>
      </c>
      <c r="AE97" s="52" t="s">
        <v>102</v>
      </c>
      <c r="AG97" s="210" t="s">
        <v>6318</v>
      </c>
    </row>
    <row r="98" spans="1:34" ht="76.5" x14ac:dyDescent="0.25">
      <c r="A98" s="51" t="s">
        <v>3665</v>
      </c>
      <c r="B98" s="51">
        <v>33</v>
      </c>
      <c r="C98" s="51" t="s">
        <v>95</v>
      </c>
      <c r="D98" s="50" t="s">
        <v>72</v>
      </c>
      <c r="F98" s="189" t="str" cm="1">
        <f t="array" aca="1" ref="F98" ca="1">IF(I98=0,"",HYPERLINK("#"&amp;RIGHT(CELL("dateiname"),LEN(CELL("dateiname"))-FIND("]",CELL("dateiname")))&amp;"!"&amp;CELL("adresse",OFFSET($C$6,I98-1,0)),"Definition"))</f>
        <v/>
      </c>
      <c r="G98" s="189" t="str" cm="1">
        <f t="array" aca="1" ref="G98" ca="1">IF(J98=0,"",HYPERLINK("#"&amp;RIGHT(CELL("adresse",OFFSET(DMAV_Modell!$A$6,J98-1,0)),LEN(CELL("adresse",OFFSET(DMAV_Modell!$A$6,J98-1,0)))-SEARCH("]",CELL("adresse",OFFSET(DMAV_Modell!$A$6,J98-1,0)))),"Modell"))</f>
        <v>Modell</v>
      </c>
      <c r="H98" s="150" t="str">
        <f t="shared" si="2"/>
        <v>DFP33</v>
      </c>
      <c r="I98" s="150">
        <f t="shared" si="3"/>
        <v>0</v>
      </c>
      <c r="J98" s="150">
        <f>IF(_xlfn.XLOOKUP(H98,Korrelation!$B$4:$B$723,Korrelation!$A$4:$A$723,0,0)=0,0,MATCH(_xlfn.XLOOKUP(H98,Korrelation!$B$4:$B$723,Korrelation!$A$4:$A$723,0,0),DMAV_Modell!$G$6:$G$677,0))</f>
        <v>105</v>
      </c>
      <c r="L98" s="51" t="s">
        <v>27</v>
      </c>
      <c r="M98" s="51" t="s">
        <v>184</v>
      </c>
      <c r="N98" s="51" t="s">
        <v>104</v>
      </c>
      <c r="O98" s="52" t="s">
        <v>105</v>
      </c>
      <c r="P98" s="56"/>
      <c r="Q98" s="52" t="s">
        <v>106</v>
      </c>
      <c r="R98" s="52"/>
      <c r="T98" s="51" t="s">
        <v>6122</v>
      </c>
      <c r="U98" s="51" t="s">
        <v>767</v>
      </c>
      <c r="V98" s="51" t="s">
        <v>736</v>
      </c>
      <c r="W98" s="52" t="s">
        <v>105</v>
      </c>
      <c r="Y98" s="210" t="s">
        <v>6178</v>
      </c>
      <c r="AB98" s="51" t="s">
        <v>6329</v>
      </c>
      <c r="AC98" s="51" t="s">
        <v>4056</v>
      </c>
      <c r="AD98" s="51" t="s">
        <v>1595</v>
      </c>
      <c r="AE98" s="52" t="s">
        <v>105</v>
      </c>
      <c r="AG98" s="210" t="s">
        <v>6319</v>
      </c>
    </row>
    <row r="99" spans="1:34" ht="25.5" x14ac:dyDescent="0.25">
      <c r="A99" s="51" t="s">
        <v>3665</v>
      </c>
      <c r="B99" s="51">
        <v>34</v>
      </c>
      <c r="C99" s="51" t="s">
        <v>95</v>
      </c>
      <c r="D99" s="50">
        <v>1</v>
      </c>
      <c r="F99" s="189" t="str" cm="1">
        <f t="array" aca="1" ref="F99" ca="1">IF(I99=0,"",HYPERLINK("#"&amp;RIGHT(CELL("dateiname"),LEN(CELL("dateiname"))-FIND("]",CELL("dateiname")))&amp;"!"&amp;CELL("adresse",OFFSET($C$6,I99-1,0)),"Definition"))</f>
        <v/>
      </c>
      <c r="G99" s="189" t="str" cm="1">
        <f t="array" aca="1" ref="G99" ca="1">IF(J99=0,"",HYPERLINK("#"&amp;RIGHT(CELL("adresse",OFFSET(DMAV_Modell!$A$6,J99-1,0)),LEN(CELL("adresse",OFFSET(DMAV_Modell!$A$6,J99-1,0)))-SEARCH("]",CELL("adresse",OFFSET(DMAV_Modell!$A$6,J99-1,0)))),"Modell"))</f>
        <v>Modell</v>
      </c>
      <c r="H99" s="150" t="str">
        <f t="shared" si="2"/>
        <v>DFP34</v>
      </c>
      <c r="I99" s="150">
        <f t="shared" si="3"/>
        <v>0</v>
      </c>
      <c r="J99" s="150">
        <f>IF(_xlfn.XLOOKUP(H99,Korrelation!$B$4:$B$723,Korrelation!$A$4:$A$723,0,0)=0,0,MATCH(_xlfn.XLOOKUP(H99,Korrelation!$B$4:$B$723,Korrelation!$A$4:$A$723,0,0),DMAV_Modell!$G$6:$G$677,0))</f>
        <v>106</v>
      </c>
      <c r="L99" s="51" t="s">
        <v>27</v>
      </c>
      <c r="M99" s="51" t="s">
        <v>184</v>
      </c>
      <c r="N99" s="51" t="s">
        <v>107</v>
      </c>
      <c r="O99" s="52" t="s">
        <v>108</v>
      </c>
      <c r="P99" s="56"/>
      <c r="Q99" s="52" t="s">
        <v>109</v>
      </c>
      <c r="R99" s="52"/>
      <c r="T99" s="51" t="s">
        <v>6122</v>
      </c>
      <c r="U99" s="51" t="s">
        <v>767</v>
      </c>
      <c r="V99" s="51" t="s">
        <v>737</v>
      </c>
      <c r="W99" s="52" t="s">
        <v>108</v>
      </c>
      <c r="Y99" s="210" t="s">
        <v>6179</v>
      </c>
      <c r="AB99" s="51" t="s">
        <v>6329</v>
      </c>
      <c r="AC99" s="51" t="s">
        <v>4056</v>
      </c>
      <c r="AD99" s="51" t="s">
        <v>4014</v>
      </c>
      <c r="AE99" s="52" t="s">
        <v>108</v>
      </c>
      <c r="AG99" s="210" t="s">
        <v>6320</v>
      </c>
    </row>
    <row r="100" spans="1:34" x14ac:dyDescent="0.25">
      <c r="A100" s="51" t="s">
        <v>3665</v>
      </c>
      <c r="B100" s="51">
        <v>35</v>
      </c>
      <c r="C100" s="51" t="s">
        <v>95</v>
      </c>
      <c r="D100" s="50">
        <v>1</v>
      </c>
      <c r="F100" s="189" t="str" cm="1">
        <f t="array" aca="1" ref="F100" ca="1">IF(I100=0,"",HYPERLINK("#"&amp;RIGHT(CELL("dateiname"),LEN(CELL("dateiname"))-FIND("]",CELL("dateiname")))&amp;"!"&amp;CELL("adresse",OFFSET($C$6,I100-1,0)),"Definition"))</f>
        <v/>
      </c>
      <c r="G100" s="189" t="str" cm="1">
        <f t="array" aca="1" ref="G100" ca="1">IF(J100=0,"",HYPERLINK("#"&amp;RIGHT(CELL("adresse",OFFSET(DMAV_Modell!$A$6,J100-1,0)),LEN(CELL("adresse",OFFSET(DMAV_Modell!$A$6,J100-1,0)))-SEARCH("]",CELL("adresse",OFFSET(DMAV_Modell!$A$6,J100-1,0)))),"Modell"))</f>
        <v>Modell</v>
      </c>
      <c r="H100" s="150" t="str">
        <f t="shared" si="2"/>
        <v>DFP35</v>
      </c>
      <c r="I100" s="150">
        <f t="shared" si="3"/>
        <v>0</v>
      </c>
      <c r="J100" s="150">
        <f>IF(_xlfn.XLOOKUP(H100,Korrelation!$B$4:$B$723,Korrelation!$A$4:$A$723,0,0)=0,0,MATCH(_xlfn.XLOOKUP(H100,Korrelation!$B$4:$B$723,Korrelation!$A$4:$A$723,0,0),DMAV_Modell!$G$6:$G$677,0))</f>
        <v>107</v>
      </c>
      <c r="L100" s="51" t="s">
        <v>27</v>
      </c>
      <c r="M100" s="51" t="s">
        <v>185</v>
      </c>
      <c r="N100" s="51" t="s">
        <v>96</v>
      </c>
      <c r="O100" s="52" t="s">
        <v>97</v>
      </c>
      <c r="P100" s="56"/>
      <c r="Q100" s="52" t="s">
        <v>98</v>
      </c>
      <c r="R100" s="52"/>
      <c r="T100" s="51" t="s">
        <v>6122</v>
      </c>
      <c r="U100" s="51" t="s">
        <v>768</v>
      </c>
      <c r="V100" s="51" t="s">
        <v>733</v>
      </c>
      <c r="W100" s="52" t="s">
        <v>97</v>
      </c>
      <c r="Y100" s="210" t="s">
        <v>6175</v>
      </c>
      <c r="AB100" s="51" t="s">
        <v>6329</v>
      </c>
      <c r="AC100" s="51" t="s">
        <v>768</v>
      </c>
      <c r="AD100" s="51" t="s">
        <v>1378</v>
      </c>
      <c r="AE100" s="52" t="s">
        <v>97</v>
      </c>
      <c r="AG100" s="210" t="s">
        <v>6316</v>
      </c>
    </row>
    <row r="101" spans="1:34" x14ac:dyDescent="0.25">
      <c r="A101" s="51" t="s">
        <v>3665</v>
      </c>
      <c r="B101" s="51">
        <v>36</v>
      </c>
      <c r="C101" s="51" t="s">
        <v>95</v>
      </c>
      <c r="D101" s="50">
        <v>1</v>
      </c>
      <c r="F101" s="189" t="str" cm="1">
        <f t="array" aca="1" ref="F101" ca="1">IF(I101=0,"",HYPERLINK("#"&amp;RIGHT(CELL("dateiname"),LEN(CELL("dateiname"))-FIND("]",CELL("dateiname")))&amp;"!"&amp;CELL("adresse",OFFSET($C$6,I101-1,0)),"Definition"))</f>
        <v/>
      </c>
      <c r="G101" s="189" t="str" cm="1">
        <f t="array" aca="1" ref="G101" ca="1">IF(J101=0,"",HYPERLINK("#"&amp;RIGHT(CELL("adresse",OFFSET(DMAV_Modell!$A$6,J101-1,0)),LEN(CELL("adresse",OFFSET(DMAV_Modell!$A$6,J101-1,0)))-SEARCH("]",CELL("adresse",OFFSET(DMAV_Modell!$A$6,J101-1,0)))),"Modell"))</f>
        <v>Modell</v>
      </c>
      <c r="H101" s="150" t="str">
        <f t="shared" si="2"/>
        <v>DFP36</v>
      </c>
      <c r="I101" s="150">
        <f t="shared" si="3"/>
        <v>0</v>
      </c>
      <c r="J101" s="150">
        <f>IF(_xlfn.XLOOKUP(H101,Korrelation!$B$4:$B$723,Korrelation!$A$4:$A$723,0,0)=0,0,MATCH(_xlfn.XLOOKUP(H101,Korrelation!$B$4:$B$723,Korrelation!$A$4:$A$723,0,0),DMAV_Modell!$G$6:$G$677,0))</f>
        <v>108</v>
      </c>
      <c r="L101" s="51" t="s">
        <v>27</v>
      </c>
      <c r="M101" s="51" t="s">
        <v>185</v>
      </c>
      <c r="N101" s="51" t="s">
        <v>121</v>
      </c>
      <c r="O101" s="52" t="s">
        <v>97</v>
      </c>
      <c r="P101" s="56"/>
      <c r="Q101" s="52" t="s">
        <v>122</v>
      </c>
      <c r="R101" s="52"/>
      <c r="T101" s="51" t="s">
        <v>6122</v>
      </c>
      <c r="U101" s="51" t="s">
        <v>768</v>
      </c>
      <c r="V101" s="51" t="s">
        <v>742</v>
      </c>
      <c r="W101" s="52" t="s">
        <v>97</v>
      </c>
      <c r="Y101" s="210" t="s">
        <v>6198</v>
      </c>
      <c r="AB101" s="51" t="s">
        <v>6329</v>
      </c>
      <c r="AC101" s="51" t="s">
        <v>768</v>
      </c>
      <c r="AD101" s="51" t="s">
        <v>742</v>
      </c>
      <c r="AE101" s="52" t="s">
        <v>97</v>
      </c>
      <c r="AG101" s="210" t="s">
        <v>6338</v>
      </c>
    </row>
    <row r="102" spans="1:34" ht="38.25" x14ac:dyDescent="0.25">
      <c r="A102" s="51" t="s">
        <v>3665</v>
      </c>
      <c r="B102" s="51">
        <v>37</v>
      </c>
      <c r="C102" s="51" t="s">
        <v>95</v>
      </c>
      <c r="D102" s="50">
        <v>1</v>
      </c>
      <c r="F102" s="189" t="str" cm="1">
        <f t="array" aca="1" ref="F102" ca="1">IF(I102=0,"",HYPERLINK("#"&amp;RIGHT(CELL("dateiname"),LEN(CELL("dateiname"))-FIND("]",CELL("dateiname")))&amp;"!"&amp;CELL("adresse",OFFSET($C$6,I102-1,0)),"Definition"))</f>
        <v/>
      </c>
      <c r="G102" s="189" t="str" cm="1">
        <f t="array" aca="1" ref="G102" ca="1">IF(J102=0,"",HYPERLINK("#"&amp;RIGHT(CELL("adresse",OFFSET(DMAV_Modell!$A$6,J102-1,0)),LEN(CELL("adresse",OFFSET(DMAV_Modell!$A$6,J102-1,0)))-SEARCH("]",CELL("adresse",OFFSET(DMAV_Modell!$A$6,J102-1,0)))),"Modell"))</f>
        <v>Modell</v>
      </c>
      <c r="H102" s="150" t="str">
        <f t="shared" si="2"/>
        <v>DFP37</v>
      </c>
      <c r="I102" s="150">
        <f t="shared" si="3"/>
        <v>0</v>
      </c>
      <c r="J102" s="150">
        <f>IF(_xlfn.XLOOKUP(H102,Korrelation!$B$4:$B$723,Korrelation!$A$4:$A$723,0,0)=0,0,MATCH(_xlfn.XLOOKUP(H102,Korrelation!$B$4:$B$723,Korrelation!$A$4:$A$723,0,0),DMAV_Modell!$G$6:$G$677,0))</f>
        <v>109</v>
      </c>
      <c r="L102" s="51" t="s">
        <v>27</v>
      </c>
      <c r="M102" s="51" t="s">
        <v>185</v>
      </c>
      <c r="N102" s="51" t="s">
        <v>123</v>
      </c>
      <c r="O102" s="52" t="s">
        <v>69</v>
      </c>
      <c r="P102" s="56"/>
      <c r="Q102" s="52" t="s">
        <v>186</v>
      </c>
      <c r="R102" s="52" t="s">
        <v>94</v>
      </c>
      <c r="T102" s="51" t="s">
        <v>6122</v>
      </c>
      <c r="U102" s="51" t="s">
        <v>768</v>
      </c>
      <c r="V102" s="51" t="s">
        <v>123</v>
      </c>
      <c r="W102" s="52" t="s">
        <v>69</v>
      </c>
      <c r="Y102" s="210" t="s">
        <v>6228</v>
      </c>
      <c r="Z102" s="210" t="s">
        <v>6166</v>
      </c>
      <c r="AB102" s="51" t="s">
        <v>6329</v>
      </c>
      <c r="AC102" s="51" t="s">
        <v>768</v>
      </c>
      <c r="AD102" s="51" t="s">
        <v>1247</v>
      </c>
      <c r="AE102" s="52" t="s">
        <v>69</v>
      </c>
      <c r="AG102" s="210" t="s">
        <v>6366</v>
      </c>
      <c r="AH102" s="210" t="s">
        <v>6308</v>
      </c>
    </row>
    <row r="103" spans="1:34" x14ac:dyDescent="0.25">
      <c r="A103" s="51" t="s">
        <v>3665</v>
      </c>
      <c r="B103" s="51">
        <v>38</v>
      </c>
      <c r="C103" s="51" t="s">
        <v>95</v>
      </c>
      <c r="D103" s="50">
        <v>1</v>
      </c>
      <c r="F103" s="189" t="str" cm="1">
        <f t="array" aca="1" ref="F103" ca="1">IF(I103=0,"",HYPERLINK("#"&amp;RIGHT(CELL("dateiname"),LEN(CELL("dateiname"))-FIND("]",CELL("dateiname")))&amp;"!"&amp;CELL("adresse",OFFSET($C$6,I103-1,0)),"Definition"))</f>
        <v/>
      </c>
      <c r="G103" s="189" t="str" cm="1">
        <f t="array" aca="1" ref="G103" ca="1">IF(J103=0,"",HYPERLINK("#"&amp;RIGHT(CELL("adresse",OFFSET(DMAV_Modell!$A$6,J103-1,0)),LEN(CELL("adresse",OFFSET(DMAV_Modell!$A$6,J103-1,0)))-SEARCH("]",CELL("adresse",OFFSET(DMAV_Modell!$A$6,J103-1,0)))),"Modell"))</f>
        <v>Modell</v>
      </c>
      <c r="H103" s="150" t="str">
        <f t="shared" si="2"/>
        <v>DFP38</v>
      </c>
      <c r="I103" s="150">
        <f t="shared" si="3"/>
        <v>0</v>
      </c>
      <c r="J103" s="150">
        <f>IF(_xlfn.XLOOKUP(H103,Korrelation!$B$4:$B$723,Korrelation!$A$4:$A$723,0,0)=0,0,MATCH(_xlfn.XLOOKUP(H103,Korrelation!$B$4:$B$723,Korrelation!$A$4:$A$723,0,0),DMAV_Modell!$G$6:$G$677,0))</f>
        <v>110</v>
      </c>
      <c r="L103" s="51" t="s">
        <v>27</v>
      </c>
      <c r="M103" s="51" t="s">
        <v>185</v>
      </c>
      <c r="N103" s="51" t="s">
        <v>125</v>
      </c>
      <c r="O103" s="52" t="s">
        <v>126</v>
      </c>
      <c r="P103" s="56"/>
      <c r="Q103" s="52" t="s">
        <v>187</v>
      </c>
      <c r="R103" s="52" t="s">
        <v>151</v>
      </c>
      <c r="T103" s="51" t="s">
        <v>6122</v>
      </c>
      <c r="U103" s="51" t="s">
        <v>768</v>
      </c>
      <c r="V103" s="51" t="s">
        <v>743</v>
      </c>
      <c r="W103" s="52" t="s">
        <v>126</v>
      </c>
      <c r="Y103" s="210" t="s">
        <v>6229</v>
      </c>
      <c r="Z103" s="210" t="s">
        <v>6230</v>
      </c>
      <c r="AB103" s="51" t="s">
        <v>6329</v>
      </c>
      <c r="AC103" s="51" t="s">
        <v>768</v>
      </c>
      <c r="AD103" s="51" t="s">
        <v>4018</v>
      </c>
      <c r="AE103" s="52" t="s">
        <v>126</v>
      </c>
      <c r="AG103" s="210" t="s">
        <v>6367</v>
      </c>
      <c r="AH103" s="210" t="s">
        <v>6368</v>
      </c>
    </row>
    <row r="104" spans="1:34" x14ac:dyDescent="0.25">
      <c r="A104" s="51" t="s">
        <v>3665</v>
      </c>
      <c r="B104" s="51">
        <v>39</v>
      </c>
      <c r="C104" s="51" t="s">
        <v>95</v>
      </c>
      <c r="D104" s="50">
        <v>1</v>
      </c>
      <c r="F104" s="189" t="str" cm="1">
        <f t="array" aca="1" ref="F104" ca="1">IF(I104=0,"",HYPERLINK("#"&amp;RIGHT(CELL("dateiname"),LEN(CELL("dateiname"))-FIND("]",CELL("dateiname")))&amp;"!"&amp;CELL("adresse",OFFSET($C$6,I104-1,0)),"Definition"))</f>
        <v/>
      </c>
      <c r="G104" s="189" t="str" cm="1">
        <f t="array" aca="1" ref="G104" ca="1">IF(J104=0,"",HYPERLINK("#"&amp;RIGHT(CELL("adresse",OFFSET(DMAV_Modell!$A$6,J104-1,0)),LEN(CELL("adresse",OFFSET(DMAV_Modell!$A$6,J104-1,0)))-SEARCH("]",CELL("adresse",OFFSET(DMAV_Modell!$A$6,J104-1,0)))),"Modell"))</f>
        <v>Modell</v>
      </c>
      <c r="H104" s="150" t="str">
        <f t="shared" si="2"/>
        <v>DFP39</v>
      </c>
      <c r="I104" s="150">
        <f t="shared" si="3"/>
        <v>0</v>
      </c>
      <c r="J104" s="150">
        <f>IF(_xlfn.XLOOKUP(H104,Korrelation!$B$4:$B$723,Korrelation!$A$4:$A$723,0,0)=0,0,MATCH(_xlfn.XLOOKUP(H104,Korrelation!$B$4:$B$723,Korrelation!$A$4:$A$723,0,0),DMAV_Modell!$G$6:$G$677,0))</f>
        <v>111</v>
      </c>
      <c r="L104" s="51" t="s">
        <v>27</v>
      </c>
      <c r="M104" s="51" t="s">
        <v>185</v>
      </c>
      <c r="N104" s="51" t="s">
        <v>128</v>
      </c>
      <c r="O104" s="52" t="s">
        <v>129</v>
      </c>
      <c r="P104" s="56"/>
      <c r="Q104" s="52" t="s">
        <v>188</v>
      </c>
      <c r="R104" s="52"/>
      <c r="T104" s="51" t="s">
        <v>6122</v>
      </c>
      <c r="U104" s="51" t="s">
        <v>768</v>
      </c>
      <c r="V104" s="51" t="s">
        <v>744</v>
      </c>
      <c r="W104" s="52" t="s">
        <v>129</v>
      </c>
      <c r="Y104" s="210" t="s">
        <v>6231</v>
      </c>
      <c r="AB104" s="51" t="s">
        <v>6329</v>
      </c>
      <c r="AC104" s="51" t="s">
        <v>768</v>
      </c>
      <c r="AD104" s="51" t="s">
        <v>4021</v>
      </c>
      <c r="AE104" s="52" t="s">
        <v>129</v>
      </c>
      <c r="AG104" s="210" t="s">
        <v>6369</v>
      </c>
    </row>
    <row r="105" spans="1:34" ht="51" x14ac:dyDescent="0.25">
      <c r="A105" s="51" t="s">
        <v>3665</v>
      </c>
      <c r="B105" s="51">
        <v>40</v>
      </c>
      <c r="C105" s="51" t="s">
        <v>95</v>
      </c>
      <c r="D105" s="50">
        <v>1</v>
      </c>
      <c r="F105" s="189" t="str" cm="1">
        <f t="array" aca="1" ref="F105" ca="1">IF(I105=0,"",HYPERLINK("#"&amp;RIGHT(CELL("dateiname"),LEN(CELL("dateiname"))-FIND("]",CELL("dateiname")))&amp;"!"&amp;CELL("adresse",OFFSET($C$6,I105-1,0)),"Definition"))</f>
        <v/>
      </c>
      <c r="G105" s="189" t="str" cm="1">
        <f t="array" aca="1" ref="G105" ca="1">IF(J105=0,"",HYPERLINK("#"&amp;RIGHT(CELL("adresse",OFFSET(DMAV_Modell!$A$6,J105-1,0)),LEN(CELL("adresse",OFFSET(DMAV_Modell!$A$6,J105-1,0)))-SEARCH("]",CELL("adresse",OFFSET(DMAV_Modell!$A$6,J105-1,0)))),"Modell"))</f>
        <v>Modell</v>
      </c>
      <c r="H105" s="150" t="str">
        <f t="shared" si="2"/>
        <v>DFP40</v>
      </c>
      <c r="I105" s="150">
        <f t="shared" si="3"/>
        <v>0</v>
      </c>
      <c r="J105" s="150">
        <f>IF(_xlfn.XLOOKUP(H105,Korrelation!$B$4:$B$723,Korrelation!$A$4:$A$723,0,0)=0,0,MATCH(_xlfn.XLOOKUP(H105,Korrelation!$B$4:$B$723,Korrelation!$A$4:$A$723,0,0),DMAV_Modell!$G$6:$G$677,0))</f>
        <v>112</v>
      </c>
      <c r="L105" s="51" t="s">
        <v>27</v>
      </c>
      <c r="M105" s="51" t="s">
        <v>185</v>
      </c>
      <c r="N105" s="51" t="s">
        <v>130</v>
      </c>
      <c r="O105" s="52" t="s">
        <v>131</v>
      </c>
      <c r="P105" s="56"/>
      <c r="Q105" s="52" t="s">
        <v>189</v>
      </c>
      <c r="R105" s="52" t="s">
        <v>190</v>
      </c>
      <c r="T105" s="51" t="s">
        <v>6122</v>
      </c>
      <c r="U105" s="51" t="s">
        <v>768</v>
      </c>
      <c r="V105" s="51" t="s">
        <v>745</v>
      </c>
      <c r="W105" s="52" t="s">
        <v>131</v>
      </c>
      <c r="Y105" s="210" t="s">
        <v>6232</v>
      </c>
      <c r="Z105" s="210" t="s">
        <v>6233</v>
      </c>
      <c r="AB105" s="51" t="s">
        <v>6329</v>
      </c>
      <c r="AC105" s="51" t="s">
        <v>768</v>
      </c>
      <c r="AD105" s="51" t="s">
        <v>4024</v>
      </c>
      <c r="AE105" s="52" t="s">
        <v>131</v>
      </c>
      <c r="AG105" s="210" t="s">
        <v>6370</v>
      </c>
      <c r="AH105" s="210" t="s">
        <v>6371</v>
      </c>
    </row>
    <row r="106" spans="1:34" x14ac:dyDescent="0.25">
      <c r="A106" s="51" t="s">
        <v>3665</v>
      </c>
      <c r="B106" s="51">
        <v>41</v>
      </c>
      <c r="C106" s="51" t="s">
        <v>95</v>
      </c>
      <c r="D106" s="50">
        <v>1</v>
      </c>
      <c r="F106" s="189" t="str" cm="1">
        <f t="array" aca="1" ref="F106" ca="1">IF(I106=0,"",HYPERLINK("#"&amp;RIGHT(CELL("dateiname"),LEN(CELL("dateiname"))-FIND("]",CELL("dateiname")))&amp;"!"&amp;CELL("adresse",OFFSET($C$6,I106-1,0)),"Definition"))</f>
        <v/>
      </c>
      <c r="G106" s="189" t="str" cm="1">
        <f t="array" aca="1" ref="G106" ca="1">IF(J106=0,"",HYPERLINK("#"&amp;RIGHT(CELL("adresse",OFFSET(DMAV_Modell!$A$6,J106-1,0)),LEN(CELL("adresse",OFFSET(DMAV_Modell!$A$6,J106-1,0)))-SEARCH("]",CELL("adresse",OFFSET(DMAV_Modell!$A$6,J106-1,0)))),"Modell"))</f>
        <v>Modell</v>
      </c>
      <c r="H106" s="150" t="str">
        <f t="shared" si="2"/>
        <v>DFP41</v>
      </c>
      <c r="I106" s="150">
        <f t="shared" si="3"/>
        <v>0</v>
      </c>
      <c r="J106" s="150">
        <f>IF(_xlfn.XLOOKUP(H106,Korrelation!$B$4:$B$723,Korrelation!$A$4:$A$723,0,0)=0,0,MATCH(_xlfn.XLOOKUP(H106,Korrelation!$B$4:$B$723,Korrelation!$A$4:$A$723,0,0),DMAV_Modell!$G$6:$G$677,0))</f>
        <v>113</v>
      </c>
      <c r="L106" s="51" t="s">
        <v>27</v>
      </c>
      <c r="M106" s="51" t="s">
        <v>185</v>
      </c>
      <c r="N106" s="51" t="s">
        <v>132</v>
      </c>
      <c r="O106" s="52" t="s">
        <v>129</v>
      </c>
      <c r="P106" s="56"/>
      <c r="Q106" s="52" t="s">
        <v>191</v>
      </c>
      <c r="R106" s="52"/>
      <c r="T106" s="51" t="s">
        <v>6122</v>
      </c>
      <c r="U106" s="51" t="s">
        <v>768</v>
      </c>
      <c r="V106" s="51" t="s">
        <v>746</v>
      </c>
      <c r="W106" s="52" t="s">
        <v>129</v>
      </c>
      <c r="Y106" s="210" t="s">
        <v>6234</v>
      </c>
      <c r="AB106" s="51" t="s">
        <v>6329</v>
      </c>
      <c r="AC106" s="51" t="s">
        <v>768</v>
      </c>
      <c r="AD106" s="51" t="s">
        <v>4026</v>
      </c>
      <c r="AE106" s="52" t="s">
        <v>129</v>
      </c>
      <c r="AG106" s="210" t="s">
        <v>6372</v>
      </c>
    </row>
    <row r="107" spans="1:34" ht="51" x14ac:dyDescent="0.25">
      <c r="A107" s="51" t="s">
        <v>3665</v>
      </c>
      <c r="B107" s="51">
        <v>42</v>
      </c>
      <c r="C107" s="51" t="s">
        <v>95</v>
      </c>
      <c r="D107" s="50">
        <v>1</v>
      </c>
      <c r="F107" s="189" t="str" cm="1">
        <f t="array" aca="1" ref="F107" ca="1">IF(I107=0,"",HYPERLINK("#"&amp;RIGHT(CELL("dateiname"),LEN(CELL("dateiname"))-FIND("]",CELL("dateiname")))&amp;"!"&amp;CELL("adresse",OFFSET($C$6,I107-1,0)),"Definition"))</f>
        <v/>
      </c>
      <c r="G107" s="189" t="str" cm="1">
        <f t="array" aca="1" ref="G107" ca="1">IF(J107=0,"",HYPERLINK("#"&amp;RIGHT(CELL("adresse",OFFSET(DMAV_Modell!$A$6,J107-1,0)),LEN(CELL("adresse",OFFSET(DMAV_Modell!$A$6,J107-1,0)))-SEARCH("]",CELL("adresse",OFFSET(DMAV_Modell!$A$6,J107-1,0)))),"Modell"))</f>
        <v>Modell</v>
      </c>
      <c r="H107" s="150" t="str">
        <f t="shared" si="2"/>
        <v>DFP42</v>
      </c>
      <c r="I107" s="150">
        <f t="shared" si="3"/>
        <v>0</v>
      </c>
      <c r="J107" s="150">
        <f>IF(_xlfn.XLOOKUP(H107,Korrelation!$B$4:$B$723,Korrelation!$A$4:$A$723,0,0)=0,0,MATCH(_xlfn.XLOOKUP(H107,Korrelation!$B$4:$B$723,Korrelation!$A$4:$A$723,0,0),DMAV_Modell!$G$6:$G$677,0))</f>
        <v>114</v>
      </c>
      <c r="L107" s="51" t="s">
        <v>27</v>
      </c>
      <c r="M107" s="51" t="s">
        <v>185</v>
      </c>
      <c r="N107" s="51" t="s">
        <v>133</v>
      </c>
      <c r="O107" s="52" t="s">
        <v>131</v>
      </c>
      <c r="P107" s="56"/>
      <c r="Q107" s="52" t="s">
        <v>192</v>
      </c>
      <c r="R107" s="52" t="s">
        <v>190</v>
      </c>
      <c r="T107" s="51" t="s">
        <v>6122</v>
      </c>
      <c r="U107" s="51" t="s">
        <v>768</v>
      </c>
      <c r="V107" s="51" t="s">
        <v>747</v>
      </c>
      <c r="W107" s="52" t="s">
        <v>131</v>
      </c>
      <c r="Y107" s="210" t="s">
        <v>6235</v>
      </c>
      <c r="Z107" s="210" t="s">
        <v>6236</v>
      </c>
      <c r="AB107" s="51" t="s">
        <v>6329</v>
      </c>
      <c r="AC107" s="51" t="s">
        <v>768</v>
      </c>
      <c r="AD107" s="51" t="s">
        <v>4027</v>
      </c>
      <c r="AE107" s="52" t="s">
        <v>131</v>
      </c>
      <c r="AG107" s="210" t="s">
        <v>6373</v>
      </c>
      <c r="AH107" s="210" t="s">
        <v>6371</v>
      </c>
    </row>
    <row r="108" spans="1:34" ht="38.25" x14ac:dyDescent="0.25">
      <c r="A108" s="51" t="s">
        <v>3665</v>
      </c>
      <c r="B108" s="51">
        <v>43</v>
      </c>
      <c r="C108" s="51" t="s">
        <v>95</v>
      </c>
      <c r="D108" s="50" t="s">
        <v>72</v>
      </c>
      <c r="E108" s="50" t="s">
        <v>3683</v>
      </c>
      <c r="F108" s="189" t="str" cm="1">
        <f t="array" aca="1" ref="F108" ca="1">IF(I108=0,"",HYPERLINK("#"&amp;RIGHT(CELL("dateiname"),LEN(CELL("dateiname"))-FIND("]",CELL("dateiname")))&amp;"!"&amp;CELL("adresse",OFFSET($C$6,I108-1,0)),"Definition"))</f>
        <v>Definition</v>
      </c>
      <c r="G108" s="189" t="str" cm="1">
        <f t="array" aca="1" ref="G108" ca="1">IF(J108=0,"",HYPERLINK("#"&amp;RIGHT(CELL("adresse",OFFSET(DMAV_Modell!$A$6,J108-1,0)),LEN(CELL("adresse",OFFSET(DMAV_Modell!$A$6,J108-1,0)))-SEARCH("]",CELL("adresse",OFFSET(DMAV_Modell!$A$6,J108-1,0)))),"Modell"))</f>
        <v>Modell</v>
      </c>
      <c r="H108" s="150" t="str">
        <f t="shared" si="2"/>
        <v>DFP43</v>
      </c>
      <c r="I108" s="150">
        <f t="shared" si="3"/>
        <v>32</v>
      </c>
      <c r="J108" s="150">
        <f>IF(_xlfn.XLOOKUP(H108,Korrelation!$B$4:$B$723,Korrelation!$A$4:$A$723,0,0)=0,0,MATCH(_xlfn.XLOOKUP(H108,Korrelation!$B$4:$B$723,Korrelation!$A$4:$A$723,0,0),DMAV_Modell!$G$6:$G$677,0))</f>
        <v>115</v>
      </c>
      <c r="L108" s="51" t="s">
        <v>27</v>
      </c>
      <c r="M108" s="51" t="s">
        <v>185</v>
      </c>
      <c r="N108" s="51" t="s">
        <v>77</v>
      </c>
      <c r="O108" s="52" t="s">
        <v>250</v>
      </c>
      <c r="P108" s="56"/>
      <c r="Q108" s="52" t="s">
        <v>3741</v>
      </c>
      <c r="R108" s="52" t="s">
        <v>252</v>
      </c>
      <c r="T108" s="51" t="s">
        <v>6122</v>
      </c>
      <c r="U108" s="51" t="s">
        <v>768</v>
      </c>
      <c r="V108" s="51" t="s">
        <v>729</v>
      </c>
      <c r="W108" s="52" t="s">
        <v>6225</v>
      </c>
      <c r="Y108" s="210" t="s">
        <v>6226</v>
      </c>
      <c r="Z108" s="210" t="s">
        <v>6227</v>
      </c>
      <c r="AB108" s="51" t="s">
        <v>6329</v>
      </c>
      <c r="AC108" s="51" t="s">
        <v>768</v>
      </c>
      <c r="AD108" s="51" t="s">
        <v>3933</v>
      </c>
      <c r="AE108" s="52" t="s">
        <v>6363</v>
      </c>
      <c r="AG108" s="210" t="s">
        <v>6374</v>
      </c>
      <c r="AH108" s="210" t="s">
        <v>6365</v>
      </c>
    </row>
    <row r="109" spans="1:34" ht="25.5" x14ac:dyDescent="0.25">
      <c r="A109" s="51" t="s">
        <v>3666</v>
      </c>
      <c r="B109" s="51">
        <v>1</v>
      </c>
      <c r="C109" s="51" t="s">
        <v>34</v>
      </c>
      <c r="F109" s="189" t="str" cm="1">
        <f t="array" aca="1" ref="F109" ca="1">IF(I109=0,"",HYPERLINK("#"&amp;RIGHT(CELL("dateiname"),LEN(CELL("dateiname"))-FIND("]",CELL("dateiname")))&amp;"!"&amp;CELL("adresse",OFFSET($C$6,I109-1,0)),"Definition"))</f>
        <v/>
      </c>
      <c r="G109" s="189" t="str" cm="1">
        <f t="array" aca="1" ref="G109" ca="1">IF(J109=0,"",HYPERLINK("#"&amp;RIGHT(CELL("adresse",OFFSET(DMAV_Modell!$A$6,J109-1,0)),LEN(CELL("adresse",OFFSET(DMAV_Modell!$A$6,J109-1,0)))-SEARCH("]",CELL("adresse",OFFSET(DMAV_Modell!$A$6,J109-1,0)))),"Modell"))</f>
        <v/>
      </c>
      <c r="H109" s="150" t="str">
        <f t="shared" si="2"/>
        <v>DHH1</v>
      </c>
      <c r="I109" s="150">
        <f t="shared" si="3"/>
        <v>0</v>
      </c>
      <c r="J109" s="150">
        <f>IF(_xlfn.XLOOKUP(H109,Korrelation!$B$4:$B$723,Korrelation!$A$4:$A$723,0,0)=0,0,MATCH(_xlfn.XLOOKUP(H109,Korrelation!$B$4:$B$723,Korrelation!$A$4:$A$723,0,0),DMAV_Modell!$G$6:$G$677,0))</f>
        <v>0</v>
      </c>
      <c r="L109" s="51" t="s">
        <v>28</v>
      </c>
      <c r="M109" s="51" t="s">
        <v>193</v>
      </c>
      <c r="O109" s="52" t="s">
        <v>196</v>
      </c>
      <c r="P109" s="56"/>
      <c r="Q109" s="52" t="s">
        <v>200</v>
      </c>
      <c r="R109" s="52"/>
      <c r="T109" s="51" t="s">
        <v>6123</v>
      </c>
      <c r="U109" s="51" t="s">
        <v>769</v>
      </c>
      <c r="W109" s="52" t="s">
        <v>6237</v>
      </c>
      <c r="Y109" s="210" t="s">
        <v>6238</v>
      </c>
      <c r="AB109" s="51" t="s">
        <v>6375</v>
      </c>
      <c r="AC109" s="51" t="s">
        <v>6376</v>
      </c>
      <c r="AE109" s="52" t="s">
        <v>6377</v>
      </c>
      <c r="AG109" s="210" t="s">
        <v>6378</v>
      </c>
    </row>
    <row r="110" spans="1:34" ht="25.5" x14ac:dyDescent="0.25">
      <c r="A110" s="51" t="s">
        <v>3666</v>
      </c>
      <c r="B110" s="51">
        <v>2</v>
      </c>
      <c r="C110" s="51" t="s">
        <v>34</v>
      </c>
      <c r="F110" s="189" t="str" cm="1">
        <f t="array" aca="1" ref="F110" ca="1">IF(I110=0,"",HYPERLINK("#"&amp;RIGHT(CELL("dateiname"),LEN(CELL("dateiname"))-FIND("]",CELL("dateiname")))&amp;"!"&amp;CELL("adresse",OFFSET($C$6,I110-1,0)),"Definition"))</f>
        <v/>
      </c>
      <c r="G110" s="189" t="str" cm="1">
        <f t="array" aca="1" ref="G110" ca="1">IF(J110=0,"",HYPERLINK("#"&amp;RIGHT(CELL("adresse",OFFSET(DMAV_Modell!$A$6,J110-1,0)),LEN(CELL("adresse",OFFSET(DMAV_Modell!$A$6,J110-1,0)))-SEARCH("]",CELL("adresse",OFFSET(DMAV_Modell!$A$6,J110-1,0)))),"Modell"))</f>
        <v/>
      </c>
      <c r="H110" s="150" t="str">
        <f t="shared" si="2"/>
        <v>DHH2</v>
      </c>
      <c r="I110" s="150">
        <f t="shared" si="3"/>
        <v>0</v>
      </c>
      <c r="J110" s="150">
        <f>IF(_xlfn.XLOOKUP(H110,Korrelation!$B$4:$B$723,Korrelation!$A$4:$A$723,0,0)=0,0,MATCH(_xlfn.XLOOKUP(H110,Korrelation!$B$4:$B$723,Korrelation!$A$4:$A$723,0,0),DMAV_Modell!$G$6:$G$677,0))</f>
        <v>0</v>
      </c>
      <c r="L110" s="51" t="s">
        <v>28</v>
      </c>
      <c r="M110" s="51" t="s">
        <v>193</v>
      </c>
      <c r="O110" s="52" t="s">
        <v>195</v>
      </c>
      <c r="P110" s="56"/>
      <c r="Q110" s="52" t="s">
        <v>201</v>
      </c>
      <c r="R110" s="52"/>
      <c r="T110" s="51" t="s">
        <v>6123</v>
      </c>
      <c r="U110" s="51" t="s">
        <v>769</v>
      </c>
      <c r="W110" s="52" t="s">
        <v>6239</v>
      </c>
      <c r="Y110" s="210" t="s">
        <v>6240</v>
      </c>
      <c r="AB110" s="51" t="s">
        <v>6375</v>
      </c>
      <c r="AC110" s="51" t="s">
        <v>6376</v>
      </c>
      <c r="AE110" s="52" t="s">
        <v>6379</v>
      </c>
      <c r="AG110" s="210" t="s">
        <v>6380</v>
      </c>
    </row>
    <row r="111" spans="1:34" ht="25.5" x14ac:dyDescent="0.25">
      <c r="A111" s="51" t="s">
        <v>3666</v>
      </c>
      <c r="B111" s="51">
        <v>3</v>
      </c>
      <c r="C111" s="51" t="s">
        <v>34</v>
      </c>
      <c r="F111" s="189" t="str" cm="1">
        <f t="array" aca="1" ref="F111" ca="1">IF(I111=0,"",HYPERLINK("#"&amp;RIGHT(CELL("dateiname"),LEN(CELL("dateiname"))-FIND("]",CELL("dateiname")))&amp;"!"&amp;CELL("adresse",OFFSET($C$6,I111-1,0)),"Definition"))</f>
        <v/>
      </c>
      <c r="G111" s="189" t="str" cm="1">
        <f t="array" aca="1" ref="G111" ca="1">IF(J111=0,"",HYPERLINK("#"&amp;RIGHT(CELL("adresse",OFFSET(DMAV_Modell!$A$6,J111-1,0)),LEN(CELL("adresse",OFFSET(DMAV_Modell!$A$6,J111-1,0)))-SEARCH("]",CELL("adresse",OFFSET(DMAV_Modell!$A$6,J111-1,0)))),"Modell"))</f>
        <v/>
      </c>
      <c r="H111" s="150" t="str">
        <f t="shared" si="2"/>
        <v>DHH3</v>
      </c>
      <c r="I111" s="150">
        <f t="shared" si="3"/>
        <v>0</v>
      </c>
      <c r="J111" s="150">
        <f>IF(_xlfn.XLOOKUP(H111,Korrelation!$B$4:$B$723,Korrelation!$A$4:$A$723,0,0)=0,0,MATCH(_xlfn.XLOOKUP(H111,Korrelation!$B$4:$B$723,Korrelation!$A$4:$A$723,0,0),DMAV_Modell!$G$6:$G$677,0))</f>
        <v>0</v>
      </c>
      <c r="L111" s="51" t="s">
        <v>28</v>
      </c>
      <c r="M111" s="51" t="s">
        <v>193</v>
      </c>
      <c r="O111" s="52" t="s">
        <v>194</v>
      </c>
      <c r="P111" s="56"/>
      <c r="Q111" s="52" t="s">
        <v>202</v>
      </c>
      <c r="R111" s="52"/>
      <c r="T111" s="51" t="s">
        <v>6123</v>
      </c>
      <c r="U111" s="51" t="s">
        <v>769</v>
      </c>
      <c r="W111" s="52" t="s">
        <v>770</v>
      </c>
      <c r="Y111" s="210" t="s">
        <v>6241</v>
      </c>
      <c r="AB111" s="51" t="s">
        <v>6375</v>
      </c>
      <c r="AC111" s="51" t="s">
        <v>6376</v>
      </c>
      <c r="AE111" s="52" t="s">
        <v>4092</v>
      </c>
      <c r="AG111" s="210" t="s">
        <v>6381</v>
      </c>
    </row>
    <row r="112" spans="1:34" ht="25.5" x14ac:dyDescent="0.25">
      <c r="A112" s="51" t="s">
        <v>3666</v>
      </c>
      <c r="B112" s="51">
        <v>4</v>
      </c>
      <c r="C112" s="51" t="s">
        <v>34</v>
      </c>
      <c r="F112" s="189" t="str" cm="1">
        <f t="array" aca="1" ref="F112" ca="1">IF(I112=0,"",HYPERLINK("#"&amp;RIGHT(CELL("dateiname"),LEN(CELL("dateiname"))-FIND("]",CELL("dateiname")))&amp;"!"&amp;CELL("adresse",OFFSET($C$6,I112-1,0)),"Definition"))</f>
        <v/>
      </c>
      <c r="G112" s="189" t="str" cm="1">
        <f t="array" aca="1" ref="G112" ca="1">IF(J112=0,"",HYPERLINK("#"&amp;RIGHT(CELL("adresse",OFFSET(DMAV_Modell!$A$6,J112-1,0)),LEN(CELL("adresse",OFFSET(DMAV_Modell!$A$6,J112-1,0)))-SEARCH("]",CELL("adresse",OFFSET(DMAV_Modell!$A$6,J112-1,0)))),"Modell"))</f>
        <v/>
      </c>
      <c r="H112" s="150" t="str">
        <f t="shared" si="2"/>
        <v>DHH4</v>
      </c>
      <c r="I112" s="150">
        <f t="shared" si="3"/>
        <v>0</v>
      </c>
      <c r="J112" s="150">
        <f>IF(_xlfn.XLOOKUP(H112,Korrelation!$B$4:$B$723,Korrelation!$A$4:$A$723,0,0)=0,0,MATCH(_xlfn.XLOOKUP(H112,Korrelation!$B$4:$B$723,Korrelation!$A$4:$A$723,0,0),DMAV_Modell!$G$6:$G$677,0))</f>
        <v>0</v>
      </c>
      <c r="L112" s="51" t="s">
        <v>28</v>
      </c>
      <c r="M112" s="51" t="s">
        <v>193</v>
      </c>
      <c r="O112" s="52" t="s">
        <v>203</v>
      </c>
      <c r="P112" s="56"/>
      <c r="Q112" s="52" t="s">
        <v>204</v>
      </c>
      <c r="R112" s="52"/>
      <c r="T112" s="51" t="s">
        <v>6123</v>
      </c>
      <c r="U112" s="51" t="s">
        <v>769</v>
      </c>
      <c r="W112" s="52" t="s">
        <v>6242</v>
      </c>
      <c r="Y112" s="210" t="s">
        <v>6243</v>
      </c>
      <c r="AB112" s="51" t="s">
        <v>6375</v>
      </c>
      <c r="AC112" s="51" t="s">
        <v>6376</v>
      </c>
      <c r="AE112" s="52" t="s">
        <v>6382</v>
      </c>
      <c r="AG112" s="210" t="s">
        <v>6383</v>
      </c>
    </row>
    <row r="113" spans="1:34" x14ac:dyDescent="0.25">
      <c r="A113" s="51" t="s">
        <v>3666</v>
      </c>
      <c r="B113" s="51">
        <v>5</v>
      </c>
      <c r="C113" s="51" t="s">
        <v>95</v>
      </c>
      <c r="D113" s="50">
        <v>1</v>
      </c>
      <c r="F113" s="189" t="str" cm="1">
        <f t="array" aca="1" ref="F113" ca="1">IF(I113=0,"",HYPERLINK("#"&amp;RIGHT(CELL("dateiname"),LEN(CELL("dateiname"))-FIND("]",CELL("dateiname")))&amp;"!"&amp;CELL("adresse",OFFSET($C$6,I113-1,0)),"Definition"))</f>
        <v/>
      </c>
      <c r="G113" s="189" t="str" cm="1">
        <f t="array" aca="1" ref="G113" ca="1">IF(J113=0,"",HYPERLINK("#"&amp;RIGHT(CELL("adresse",OFFSET(DMAV_Modell!$A$6,J113-1,0)),LEN(CELL("adresse",OFFSET(DMAV_Modell!$A$6,J113-1,0)))-SEARCH("]",CELL("adresse",OFFSET(DMAV_Modell!$A$6,J113-1,0)))),"Modell"))</f>
        <v>Modell</v>
      </c>
      <c r="H113" s="150" t="str">
        <f t="shared" si="2"/>
        <v>DHH5</v>
      </c>
      <c r="I113" s="150">
        <f t="shared" si="3"/>
        <v>0</v>
      </c>
      <c r="J113" s="150">
        <f>IF(_xlfn.XLOOKUP(H113,Korrelation!$B$4:$B$723,Korrelation!$A$4:$A$723,0,0)=0,0,MATCH(_xlfn.XLOOKUP(H113,Korrelation!$B$4:$B$723,Korrelation!$A$4:$A$723,0,0),DMAV_Modell!$G$6:$G$677,0))</f>
        <v>121</v>
      </c>
      <c r="L113" s="51" t="s">
        <v>28</v>
      </c>
      <c r="M113" s="51" t="s">
        <v>205</v>
      </c>
      <c r="N113" s="51" t="s">
        <v>96</v>
      </c>
      <c r="O113" s="52" t="s">
        <v>97</v>
      </c>
      <c r="P113" s="56"/>
      <c r="Q113" s="52" t="s">
        <v>98</v>
      </c>
      <c r="R113" s="52"/>
      <c r="T113" s="51" t="s">
        <v>6123</v>
      </c>
      <c r="U113" s="51" t="s">
        <v>771</v>
      </c>
      <c r="V113" s="51" t="s">
        <v>733</v>
      </c>
      <c r="W113" s="52" t="s">
        <v>97</v>
      </c>
      <c r="Y113" s="210" t="s">
        <v>6183</v>
      </c>
      <c r="AB113" s="51" t="s">
        <v>6375</v>
      </c>
      <c r="AC113" s="51" t="s">
        <v>4065</v>
      </c>
      <c r="AD113" s="51" t="s">
        <v>1378</v>
      </c>
      <c r="AE113" s="52" t="s">
        <v>97</v>
      </c>
      <c r="AG113" s="210" t="s">
        <v>6316</v>
      </c>
    </row>
    <row r="114" spans="1:34" ht="25.5" x14ac:dyDescent="0.25">
      <c r="A114" s="51" t="s">
        <v>3666</v>
      </c>
      <c r="B114" s="51">
        <v>6</v>
      </c>
      <c r="C114" s="51" t="s">
        <v>95</v>
      </c>
      <c r="D114" s="50">
        <v>1</v>
      </c>
      <c r="F114" s="189" t="str" cm="1">
        <f t="array" aca="1" ref="F114" ca="1">IF(I114=0,"",HYPERLINK("#"&amp;RIGHT(CELL("dateiname"),LEN(CELL("dateiname"))-FIND("]",CELL("dateiname")))&amp;"!"&amp;CELL("adresse",OFFSET($C$6,I114-1,0)),"Definition"))</f>
        <v/>
      </c>
      <c r="G114" s="189" t="str" cm="1">
        <f t="array" aca="1" ref="G114" ca="1">IF(J114=0,"",HYPERLINK("#"&amp;RIGHT(CELL("adresse",OFFSET(DMAV_Modell!$A$6,J114-1,0)),LEN(CELL("adresse",OFFSET(DMAV_Modell!$A$6,J114-1,0)))-SEARCH("]",CELL("adresse",OFFSET(DMAV_Modell!$A$6,J114-1,0)))),"Modell"))</f>
        <v>Modell</v>
      </c>
      <c r="H114" s="150" t="str">
        <f t="shared" si="2"/>
        <v>DHH6</v>
      </c>
      <c r="I114" s="150">
        <f t="shared" si="3"/>
        <v>0</v>
      </c>
      <c r="J114" s="150">
        <f>IF(_xlfn.XLOOKUP(H114,Korrelation!$B$4:$B$723,Korrelation!$A$4:$A$723,0,0)=0,0,MATCH(_xlfn.XLOOKUP(H114,Korrelation!$B$4:$B$723,Korrelation!$A$4:$A$723,0,0),DMAV_Modell!$G$6:$G$677,0))</f>
        <v>122</v>
      </c>
      <c r="L114" s="51" t="s">
        <v>28</v>
      </c>
      <c r="M114" s="51" t="s">
        <v>205</v>
      </c>
      <c r="N114" s="51" t="s">
        <v>99</v>
      </c>
      <c r="O114" s="52" t="s">
        <v>97</v>
      </c>
      <c r="P114" s="56"/>
      <c r="Q114" s="52" t="s">
        <v>100</v>
      </c>
      <c r="R114" s="52"/>
      <c r="T114" s="51" t="s">
        <v>6123</v>
      </c>
      <c r="U114" s="51" t="s">
        <v>771</v>
      </c>
      <c r="V114" s="51" t="s">
        <v>734</v>
      </c>
      <c r="W114" s="52" t="s">
        <v>97</v>
      </c>
      <c r="Y114" s="210" t="s">
        <v>6176</v>
      </c>
      <c r="AB114" s="51" t="s">
        <v>6375</v>
      </c>
      <c r="AC114" s="51" t="s">
        <v>4065</v>
      </c>
      <c r="AD114" s="51" t="s">
        <v>1376</v>
      </c>
      <c r="AE114" s="52" t="s">
        <v>97</v>
      </c>
      <c r="AG114" s="210" t="s">
        <v>6317</v>
      </c>
    </row>
    <row r="115" spans="1:34" x14ac:dyDescent="0.25">
      <c r="A115" s="51" t="s">
        <v>3666</v>
      </c>
      <c r="B115" s="51">
        <v>7</v>
      </c>
      <c r="C115" s="51" t="s">
        <v>95</v>
      </c>
      <c r="D115" s="50">
        <v>1</v>
      </c>
      <c r="F115" s="189" t="str" cm="1">
        <f t="array" aca="1" ref="F115" ca="1">IF(I115=0,"",HYPERLINK("#"&amp;RIGHT(CELL("dateiname"),LEN(CELL("dateiname"))-FIND("]",CELL("dateiname")))&amp;"!"&amp;CELL("adresse",OFFSET($C$6,I115-1,0)),"Definition"))</f>
        <v/>
      </c>
      <c r="G115" s="189" t="str" cm="1">
        <f t="array" aca="1" ref="G115" ca="1">IF(J115=0,"",HYPERLINK("#"&amp;RIGHT(CELL("adresse",OFFSET(DMAV_Modell!$A$6,J115-1,0)),LEN(CELL("adresse",OFFSET(DMAV_Modell!$A$6,J115-1,0)))-SEARCH("]",CELL("adresse",OFFSET(DMAV_Modell!$A$6,J115-1,0)))),"Modell"))</f>
        <v>Modell</v>
      </c>
      <c r="H115" s="150" t="str">
        <f t="shared" si="2"/>
        <v>DHH7</v>
      </c>
      <c r="I115" s="150">
        <f t="shared" si="3"/>
        <v>0</v>
      </c>
      <c r="J115" s="150">
        <f>IF(_xlfn.XLOOKUP(H115,Korrelation!$B$4:$B$723,Korrelation!$A$4:$A$723,0,0)=0,0,MATCH(_xlfn.XLOOKUP(H115,Korrelation!$B$4:$B$723,Korrelation!$A$4:$A$723,0,0),DMAV_Modell!$G$6:$G$677,0))</f>
        <v>123</v>
      </c>
      <c r="L115" s="51" t="s">
        <v>28</v>
      </c>
      <c r="M115" s="51" t="s">
        <v>205</v>
      </c>
      <c r="N115" s="51" t="s">
        <v>101</v>
      </c>
      <c r="O115" s="52" t="s">
        <v>102</v>
      </c>
      <c r="P115" s="56"/>
      <c r="Q115" s="52" t="s">
        <v>103</v>
      </c>
      <c r="R115" s="52"/>
      <c r="T115" s="51" t="s">
        <v>6123</v>
      </c>
      <c r="U115" s="51" t="s">
        <v>771</v>
      </c>
      <c r="V115" s="51" t="s">
        <v>735</v>
      </c>
      <c r="W115" s="52" t="s">
        <v>102</v>
      </c>
      <c r="Y115" s="210" t="s">
        <v>6177</v>
      </c>
      <c r="AB115" s="51" t="s">
        <v>6375</v>
      </c>
      <c r="AC115" s="51" t="s">
        <v>4065</v>
      </c>
      <c r="AD115" s="51" t="s">
        <v>1294</v>
      </c>
      <c r="AE115" s="52" t="s">
        <v>102</v>
      </c>
      <c r="AG115" s="210" t="s">
        <v>6318</v>
      </c>
    </row>
    <row r="116" spans="1:34" ht="76.5" x14ac:dyDescent="0.25">
      <c r="A116" s="51" t="s">
        <v>3666</v>
      </c>
      <c r="B116" s="51">
        <v>8</v>
      </c>
      <c r="C116" s="51" t="s">
        <v>95</v>
      </c>
      <c r="D116" s="50" t="s">
        <v>72</v>
      </c>
      <c r="F116" s="189" t="str" cm="1">
        <f t="array" aca="1" ref="F116" ca="1">IF(I116=0,"",HYPERLINK("#"&amp;RIGHT(CELL("dateiname"),LEN(CELL("dateiname"))-FIND("]",CELL("dateiname")))&amp;"!"&amp;CELL("adresse",OFFSET($C$6,I116-1,0)),"Definition"))</f>
        <v/>
      </c>
      <c r="G116" s="189" t="str" cm="1">
        <f t="array" aca="1" ref="G116" ca="1">IF(J116=0,"",HYPERLINK("#"&amp;RIGHT(CELL("adresse",OFFSET(DMAV_Modell!$A$6,J116-1,0)),LEN(CELL("adresse",OFFSET(DMAV_Modell!$A$6,J116-1,0)))-SEARCH("]",CELL("adresse",OFFSET(DMAV_Modell!$A$6,J116-1,0)))),"Modell"))</f>
        <v>Modell</v>
      </c>
      <c r="H116" s="150" t="str">
        <f t="shared" si="2"/>
        <v>DHH8</v>
      </c>
      <c r="I116" s="150">
        <f t="shared" si="3"/>
        <v>0</v>
      </c>
      <c r="J116" s="150">
        <f>IF(_xlfn.XLOOKUP(H116,Korrelation!$B$4:$B$723,Korrelation!$A$4:$A$723,0,0)=0,0,MATCH(_xlfn.XLOOKUP(H116,Korrelation!$B$4:$B$723,Korrelation!$A$4:$A$723,0,0),DMAV_Modell!$G$6:$G$677,0))</f>
        <v>124</v>
      </c>
      <c r="L116" s="51" t="s">
        <v>28</v>
      </c>
      <c r="M116" s="51" t="s">
        <v>205</v>
      </c>
      <c r="N116" s="51" t="s">
        <v>104</v>
      </c>
      <c r="O116" s="52" t="s">
        <v>105</v>
      </c>
      <c r="P116" s="56"/>
      <c r="Q116" s="52" t="s">
        <v>106</v>
      </c>
      <c r="R116" s="52"/>
      <c r="T116" s="51" t="s">
        <v>6123</v>
      </c>
      <c r="U116" s="51" t="s">
        <v>771</v>
      </c>
      <c r="V116" s="51" t="s">
        <v>736</v>
      </c>
      <c r="W116" s="52" t="s">
        <v>105</v>
      </c>
      <c r="Y116" s="210" t="s">
        <v>6186</v>
      </c>
      <c r="AB116" s="51" t="s">
        <v>6375</v>
      </c>
      <c r="AC116" s="51" t="s">
        <v>4065</v>
      </c>
      <c r="AD116" s="51" t="s">
        <v>1595</v>
      </c>
      <c r="AE116" s="52" t="s">
        <v>105</v>
      </c>
      <c r="AG116" s="210" t="s">
        <v>6319</v>
      </c>
    </row>
    <row r="117" spans="1:34" ht="51" x14ac:dyDescent="0.25">
      <c r="A117" s="51" t="s">
        <v>3666</v>
      </c>
      <c r="B117" s="51">
        <v>9</v>
      </c>
      <c r="C117" s="51" t="s">
        <v>95</v>
      </c>
      <c r="D117" s="50">
        <v>1</v>
      </c>
      <c r="F117" s="189" t="str" cm="1">
        <f t="array" aca="1" ref="F117" ca="1">IF(I117=0,"",HYPERLINK("#"&amp;RIGHT(CELL("dateiname"),LEN(CELL("dateiname"))-FIND("]",CELL("dateiname")))&amp;"!"&amp;CELL("adresse",OFFSET($C$6,I117-1,0)),"Definition"))</f>
        <v/>
      </c>
      <c r="G117" s="189" t="str" cm="1">
        <f t="array" aca="1" ref="G117" ca="1">IF(J117=0,"",HYPERLINK("#"&amp;RIGHT(CELL("adresse",OFFSET(DMAV_Modell!$A$6,J117-1,0)),LEN(CELL("adresse",OFFSET(DMAV_Modell!$A$6,J117-1,0)))-SEARCH("]",CELL("adresse",OFFSET(DMAV_Modell!$A$6,J117-1,0)))),"Modell"))</f>
        <v>Modell</v>
      </c>
      <c r="H117" s="150" t="str">
        <f t="shared" si="2"/>
        <v>DHH9</v>
      </c>
      <c r="I117" s="150">
        <f t="shared" si="3"/>
        <v>0</v>
      </c>
      <c r="J117" s="150">
        <f>IF(_xlfn.XLOOKUP(H117,Korrelation!$B$4:$B$723,Korrelation!$A$4:$A$723,0,0)=0,0,MATCH(_xlfn.XLOOKUP(H117,Korrelation!$B$4:$B$723,Korrelation!$A$4:$A$723,0,0),DMAV_Modell!$G$6:$G$677,0))</f>
        <v>125</v>
      </c>
      <c r="L117" s="51" t="s">
        <v>28</v>
      </c>
      <c r="M117" s="51" t="s">
        <v>205</v>
      </c>
      <c r="N117" s="51" t="s">
        <v>107</v>
      </c>
      <c r="O117" s="52" t="s">
        <v>108</v>
      </c>
      <c r="P117" s="56"/>
      <c r="Q117" s="52" t="s">
        <v>119</v>
      </c>
      <c r="R117" s="52"/>
      <c r="T117" s="51" t="s">
        <v>6123</v>
      </c>
      <c r="U117" s="51" t="s">
        <v>771</v>
      </c>
      <c r="V117" s="51" t="s">
        <v>737</v>
      </c>
      <c r="W117" s="52" t="s">
        <v>108</v>
      </c>
      <c r="Y117" s="210" t="s">
        <v>6187</v>
      </c>
      <c r="AB117" s="51" t="s">
        <v>6375</v>
      </c>
      <c r="AC117" s="51" t="s">
        <v>4065</v>
      </c>
      <c r="AD117" s="51" t="s">
        <v>4014</v>
      </c>
      <c r="AE117" s="52" t="s">
        <v>108</v>
      </c>
      <c r="AG117" s="210" t="s">
        <v>6326</v>
      </c>
    </row>
    <row r="118" spans="1:34" ht="51" x14ac:dyDescent="0.25">
      <c r="A118" s="51" t="s">
        <v>3666</v>
      </c>
      <c r="B118" s="51">
        <v>10</v>
      </c>
      <c r="C118" s="51" t="s">
        <v>95</v>
      </c>
      <c r="D118" s="50" t="s">
        <v>72</v>
      </c>
      <c r="F118" s="189" t="str" cm="1">
        <f t="array" aca="1" ref="F118" ca="1">IF(I118=0,"",HYPERLINK("#"&amp;RIGHT(CELL("dateiname"),LEN(CELL("dateiname"))-FIND("]",CELL("dateiname")))&amp;"!"&amp;CELL("adresse",OFFSET($C$6,I118-1,0)),"Definition"))</f>
        <v/>
      </c>
      <c r="G118" s="189" t="str" cm="1">
        <f t="array" aca="1" ref="G118" ca="1">IF(J118=0,"",HYPERLINK("#"&amp;RIGHT(CELL("adresse",OFFSET(DMAV_Modell!$A$6,J118-1,0)),LEN(CELL("adresse",OFFSET(DMAV_Modell!$A$6,J118-1,0)))-SEARCH("]",CELL("adresse",OFFSET(DMAV_Modell!$A$6,J118-1,0)))),"Modell"))</f>
        <v>Modell</v>
      </c>
      <c r="H118" s="150" t="str">
        <f t="shared" si="2"/>
        <v>DHH10</v>
      </c>
      <c r="I118" s="150">
        <f t="shared" si="3"/>
        <v>0</v>
      </c>
      <c r="J118" s="150">
        <f>IF(_xlfn.XLOOKUP(H118,Korrelation!$B$4:$B$723,Korrelation!$A$4:$A$723,0,0)=0,0,MATCH(_xlfn.XLOOKUP(H118,Korrelation!$B$4:$B$723,Korrelation!$A$4:$A$723,0,0),DMAV_Modell!$G$6:$G$677,0))</f>
        <v>126</v>
      </c>
      <c r="L118" s="51" t="s">
        <v>28</v>
      </c>
      <c r="M118" s="51" t="s">
        <v>205</v>
      </c>
      <c r="N118" s="51" t="s">
        <v>206</v>
      </c>
      <c r="O118" s="52" t="s">
        <v>108</v>
      </c>
      <c r="P118" s="56"/>
      <c r="Q118" s="52" t="s">
        <v>3737</v>
      </c>
      <c r="R118" s="52"/>
      <c r="T118" s="51" t="s">
        <v>6123</v>
      </c>
      <c r="U118" s="51" t="s">
        <v>771</v>
      </c>
      <c r="V118" s="51" t="s">
        <v>772</v>
      </c>
      <c r="W118" s="52" t="s">
        <v>108</v>
      </c>
      <c r="Y118" s="210" t="s">
        <v>6189</v>
      </c>
      <c r="AB118" s="51" t="s">
        <v>6375</v>
      </c>
      <c r="AC118" s="51" t="s">
        <v>4065</v>
      </c>
      <c r="AD118" s="51" t="s">
        <v>4066</v>
      </c>
      <c r="AE118" s="52" t="s">
        <v>108</v>
      </c>
      <c r="AG118" s="210" t="s">
        <v>6328</v>
      </c>
    </row>
    <row r="119" spans="1:34" x14ac:dyDescent="0.25">
      <c r="A119" s="51" t="s">
        <v>3666</v>
      </c>
      <c r="B119" s="51">
        <v>11</v>
      </c>
      <c r="C119" s="51" t="s">
        <v>95</v>
      </c>
      <c r="D119" s="50">
        <v>1</v>
      </c>
      <c r="F119" s="189" t="str" cm="1">
        <f t="array" aca="1" ref="F119" ca="1">IF(I119=0,"",HYPERLINK("#"&amp;RIGHT(CELL("dateiname"),LEN(CELL("dateiname"))-FIND("]",CELL("dateiname")))&amp;"!"&amp;CELL("adresse",OFFSET($C$6,I119-1,0)),"Definition"))</f>
        <v/>
      </c>
      <c r="G119" s="189" t="str" cm="1">
        <f t="array" aca="1" ref="G119" ca="1">IF(J119=0,"",HYPERLINK("#"&amp;RIGHT(CELL("adresse",OFFSET(DMAV_Modell!$A$6,J119-1,0)),LEN(CELL("adresse",OFFSET(DMAV_Modell!$A$6,J119-1,0)))-SEARCH("]",CELL("adresse",OFFSET(DMAV_Modell!$A$6,J119-1,0)))),"Modell"))</f>
        <v>Modell</v>
      </c>
      <c r="H119" s="150" t="str">
        <f t="shared" si="2"/>
        <v>DHH11</v>
      </c>
      <c r="I119" s="150">
        <f t="shared" si="3"/>
        <v>0</v>
      </c>
      <c r="J119" s="150">
        <f>IF(_xlfn.XLOOKUP(H119,Korrelation!$B$4:$B$723,Korrelation!$A$4:$A$723,0,0)=0,0,MATCH(_xlfn.XLOOKUP(H119,Korrelation!$B$4:$B$723,Korrelation!$A$4:$A$723,0,0),DMAV_Modell!$G$6:$G$677,0))</f>
        <v>127</v>
      </c>
      <c r="L119" s="51" t="s">
        <v>28</v>
      </c>
      <c r="M119" s="51" t="s">
        <v>207</v>
      </c>
      <c r="N119" s="51" t="s">
        <v>5</v>
      </c>
      <c r="O119" s="52" t="s">
        <v>102</v>
      </c>
      <c r="P119" s="56"/>
      <c r="Q119" s="52" t="s">
        <v>208</v>
      </c>
      <c r="R119" s="52"/>
      <c r="T119" s="51" t="s">
        <v>6123</v>
      </c>
      <c r="U119" s="51" t="s">
        <v>773</v>
      </c>
      <c r="V119" s="51" t="s">
        <v>702</v>
      </c>
      <c r="W119" s="52" t="s">
        <v>102</v>
      </c>
      <c r="Y119" s="210" t="s">
        <v>6244</v>
      </c>
      <c r="AB119" s="51" t="s">
        <v>6375</v>
      </c>
      <c r="AC119" s="51" t="s">
        <v>1809</v>
      </c>
      <c r="AD119" s="51" t="s">
        <v>1700</v>
      </c>
      <c r="AE119" s="52" t="s">
        <v>102</v>
      </c>
      <c r="AG119" s="210" t="s">
        <v>6384</v>
      </c>
    </row>
    <row r="120" spans="1:34" ht="38.25" x14ac:dyDescent="0.25">
      <c r="A120" s="51" t="s">
        <v>3666</v>
      </c>
      <c r="B120" s="51">
        <v>12</v>
      </c>
      <c r="C120" s="51" t="s">
        <v>95</v>
      </c>
      <c r="D120" s="50">
        <v>1</v>
      </c>
      <c r="F120" s="189" t="str" cm="1">
        <f t="array" aca="1" ref="F120" ca="1">IF(I120=0,"",HYPERLINK("#"&amp;RIGHT(CELL("dateiname"),LEN(CELL("dateiname"))-FIND("]",CELL("dateiname")))&amp;"!"&amp;CELL("adresse",OFFSET($C$6,I120-1,0)),"Definition"))</f>
        <v/>
      </c>
      <c r="G120" s="189" t="str" cm="1">
        <f t="array" aca="1" ref="G120" ca="1">IF(J120=0,"",HYPERLINK("#"&amp;RIGHT(CELL("adresse",OFFSET(DMAV_Modell!$A$6,J120-1,0)),LEN(CELL("adresse",OFFSET(DMAV_Modell!$A$6,J120-1,0)))-SEARCH("]",CELL("adresse",OFFSET(DMAV_Modell!$A$6,J120-1,0)))),"Modell"))</f>
        <v>Modell</v>
      </c>
      <c r="H120" s="150" t="str">
        <f t="shared" si="2"/>
        <v>DHH12</v>
      </c>
      <c r="I120" s="150">
        <f t="shared" si="3"/>
        <v>0</v>
      </c>
      <c r="J120" s="150">
        <f>IF(_xlfn.XLOOKUP(H120,Korrelation!$B$4:$B$723,Korrelation!$A$4:$A$723,0,0)=0,0,MATCH(_xlfn.XLOOKUP(H120,Korrelation!$B$4:$B$723,Korrelation!$A$4:$A$723,0,0),DMAV_Modell!$G$6:$G$677,0))</f>
        <v>128</v>
      </c>
      <c r="L120" s="51" t="s">
        <v>28</v>
      </c>
      <c r="M120" s="51" t="s">
        <v>207</v>
      </c>
      <c r="N120" s="51" t="s">
        <v>209</v>
      </c>
      <c r="O120" s="52" t="s">
        <v>210</v>
      </c>
      <c r="P120" s="56"/>
      <c r="Q120" s="52" t="s">
        <v>211</v>
      </c>
      <c r="R120" s="52" t="s">
        <v>212</v>
      </c>
      <c r="T120" s="51" t="s">
        <v>6123</v>
      </c>
      <c r="U120" s="51" t="s">
        <v>773</v>
      </c>
      <c r="V120" s="51" t="s">
        <v>774</v>
      </c>
      <c r="W120" s="52" t="s">
        <v>210</v>
      </c>
      <c r="Y120" s="210" t="s">
        <v>6245</v>
      </c>
      <c r="Z120" s="210" t="s">
        <v>6246</v>
      </c>
      <c r="AB120" s="51" t="s">
        <v>6375</v>
      </c>
      <c r="AC120" s="51" t="s">
        <v>1809</v>
      </c>
      <c r="AD120" s="51" t="s">
        <v>4067</v>
      </c>
      <c r="AE120" s="52" t="s">
        <v>210</v>
      </c>
      <c r="AG120" s="210" t="s">
        <v>6385</v>
      </c>
      <c r="AH120" s="210" t="s">
        <v>6386</v>
      </c>
    </row>
    <row r="121" spans="1:34" ht="38.25" x14ac:dyDescent="0.25">
      <c r="A121" s="51" t="s">
        <v>3666</v>
      </c>
      <c r="B121" s="51">
        <v>13</v>
      </c>
      <c r="C121" s="51" t="s">
        <v>95</v>
      </c>
      <c r="D121" s="50">
        <v>1</v>
      </c>
      <c r="F121" s="189" t="str" cm="1">
        <f t="array" aca="1" ref="F121" ca="1">IF(I121=0,"",HYPERLINK("#"&amp;RIGHT(CELL("dateiname"),LEN(CELL("dateiname"))-FIND("]",CELL("dateiname")))&amp;"!"&amp;CELL("adresse",OFFSET($C$6,I121-1,0)),"Definition"))</f>
        <v/>
      </c>
      <c r="G121" s="189" t="str" cm="1">
        <f t="array" aca="1" ref="G121" ca="1">IF(J121=0,"",HYPERLINK("#"&amp;RIGHT(CELL("adresse",OFFSET(DMAV_Modell!$A$6,J121-1,0)),LEN(CELL("adresse",OFFSET(DMAV_Modell!$A$6,J121-1,0)))-SEARCH("]",CELL("adresse",OFFSET(DMAV_Modell!$A$6,J121-1,0)))),"Modell"))</f>
        <v>Modell</v>
      </c>
      <c r="H121" s="150" t="str">
        <f t="shared" si="2"/>
        <v>DHH13</v>
      </c>
      <c r="I121" s="150">
        <f t="shared" si="3"/>
        <v>0</v>
      </c>
      <c r="J121" s="150">
        <f>IF(_xlfn.XLOOKUP(H121,Korrelation!$B$4:$B$723,Korrelation!$A$4:$A$723,0,0)=0,0,MATCH(_xlfn.XLOOKUP(H121,Korrelation!$B$4:$B$723,Korrelation!$A$4:$A$723,0,0),DMAV_Modell!$G$6:$G$677,0))</f>
        <v>129</v>
      </c>
      <c r="L121" s="51" t="s">
        <v>28</v>
      </c>
      <c r="M121" s="51" t="s">
        <v>207</v>
      </c>
      <c r="N121" s="51" t="s">
        <v>213</v>
      </c>
      <c r="O121" s="52" t="s">
        <v>131</v>
      </c>
      <c r="P121" s="206" t="s">
        <v>214</v>
      </c>
      <c r="Q121" s="52" t="s">
        <v>215</v>
      </c>
      <c r="R121" s="205" t="s">
        <v>6118</v>
      </c>
      <c r="T121" s="51" t="s">
        <v>6123</v>
      </c>
      <c r="U121" s="51" t="s">
        <v>773</v>
      </c>
      <c r="V121" s="51" t="s">
        <v>775</v>
      </c>
      <c r="W121" s="52" t="s">
        <v>131</v>
      </c>
      <c r="X121" s="209" t="s">
        <v>214</v>
      </c>
      <c r="Y121" s="210" t="s">
        <v>6247</v>
      </c>
      <c r="Z121" s="210" t="s">
        <v>6248</v>
      </c>
      <c r="AB121" s="51" t="s">
        <v>6375</v>
      </c>
      <c r="AC121" s="51" t="s">
        <v>1809</v>
      </c>
      <c r="AD121" s="51" t="s">
        <v>4068</v>
      </c>
      <c r="AE121" s="52" t="s">
        <v>131</v>
      </c>
      <c r="AF121" s="209" t="s">
        <v>214</v>
      </c>
      <c r="AG121" s="210" t="s">
        <v>6387</v>
      </c>
      <c r="AH121" s="210" t="s">
        <v>6388</v>
      </c>
    </row>
    <row r="122" spans="1:34" ht="140.25" x14ac:dyDescent="0.25">
      <c r="A122" s="51" t="s">
        <v>3666</v>
      </c>
      <c r="B122" s="51">
        <v>14</v>
      </c>
      <c r="C122" s="51" t="s">
        <v>95</v>
      </c>
      <c r="D122" s="50">
        <v>1</v>
      </c>
      <c r="F122" s="189" t="str" cm="1">
        <f t="array" aca="1" ref="F122" ca="1">IF(I122=0,"",HYPERLINK("#"&amp;RIGHT(CELL("dateiname"),LEN(CELL("dateiname"))-FIND("]",CELL("dateiname")))&amp;"!"&amp;CELL("adresse",OFFSET($C$6,I122-1,0)),"Definition"))</f>
        <v/>
      </c>
      <c r="G122" s="189" t="str" cm="1">
        <f t="array" aca="1" ref="G122" ca="1">IF(J122=0,"",HYPERLINK("#"&amp;RIGHT(CELL("adresse",OFFSET(DMAV_Modell!$A$6,J122-1,0)),LEN(CELL("adresse",OFFSET(DMAV_Modell!$A$6,J122-1,0)))-SEARCH("]",CELL("adresse",OFFSET(DMAV_Modell!$A$6,J122-1,0)))),"Modell"))</f>
        <v>Modell</v>
      </c>
      <c r="H122" s="150" t="str">
        <f t="shared" si="2"/>
        <v>DHH14</v>
      </c>
      <c r="I122" s="150">
        <f t="shared" si="3"/>
        <v>0</v>
      </c>
      <c r="J122" s="150">
        <f>IF(_xlfn.XLOOKUP(H122,Korrelation!$B$4:$B$723,Korrelation!$A$4:$A$723,0,0)=0,0,MATCH(_xlfn.XLOOKUP(H122,Korrelation!$B$4:$B$723,Korrelation!$A$4:$A$723,0,0),DMAV_Modell!$G$6:$G$677,0))</f>
        <v>140</v>
      </c>
      <c r="L122" s="51" t="s">
        <v>28</v>
      </c>
      <c r="M122" s="51" t="s">
        <v>216</v>
      </c>
      <c r="N122" s="51" t="s">
        <v>123</v>
      </c>
      <c r="O122" s="52" t="s">
        <v>105</v>
      </c>
      <c r="P122" s="56"/>
      <c r="Q122" s="52" t="s">
        <v>3742</v>
      </c>
      <c r="R122" s="126" t="s">
        <v>217</v>
      </c>
      <c r="T122" s="51" t="s">
        <v>6123</v>
      </c>
      <c r="U122" s="51" t="s">
        <v>776</v>
      </c>
      <c r="V122" s="51" t="s">
        <v>123</v>
      </c>
      <c r="W122" s="52" t="s">
        <v>105</v>
      </c>
      <c r="Y122" s="210" t="s">
        <v>6249</v>
      </c>
      <c r="Z122" s="228" t="s">
        <v>6250</v>
      </c>
      <c r="AB122" s="51" t="s">
        <v>6375</v>
      </c>
      <c r="AC122" s="51" t="s">
        <v>4090</v>
      </c>
      <c r="AD122" s="51" t="s">
        <v>1247</v>
      </c>
      <c r="AE122" s="52" t="s">
        <v>105</v>
      </c>
      <c r="AG122" s="210" t="s">
        <v>6389</v>
      </c>
      <c r="AH122" s="210" t="s">
        <v>6390</v>
      </c>
    </row>
    <row r="123" spans="1:34" ht="76.5" x14ac:dyDescent="0.25">
      <c r="A123" s="51" t="s">
        <v>3666</v>
      </c>
      <c r="B123" s="51">
        <v>15</v>
      </c>
      <c r="C123" s="51" t="s">
        <v>95</v>
      </c>
      <c r="D123" s="50" t="s">
        <v>72</v>
      </c>
      <c r="F123" s="189" t="str" cm="1">
        <f t="array" aca="1" ref="F123" ca="1">IF(I123=0,"",HYPERLINK("#"&amp;RIGHT(CELL("dateiname"),LEN(CELL("dateiname"))-FIND("]",CELL("dateiname")))&amp;"!"&amp;CELL("adresse",OFFSET($C$6,I123-1,0)),"Definition"))</f>
        <v/>
      </c>
      <c r="G123" s="189" t="str" cm="1">
        <f t="array" aca="1" ref="G123" ca="1">IF(J123=0,"",HYPERLINK("#"&amp;RIGHT(CELL("adresse",OFFSET(DMAV_Modell!$A$6,J123-1,0)),LEN(CELL("adresse",OFFSET(DMAV_Modell!$A$6,J123-1,0)))-SEARCH("]",CELL("adresse",OFFSET(DMAV_Modell!$A$6,J123-1,0)))),"Modell"))</f>
        <v>Modell</v>
      </c>
      <c r="H123" s="150" t="str">
        <f t="shared" si="2"/>
        <v>DHH15</v>
      </c>
      <c r="I123" s="150">
        <f t="shared" si="3"/>
        <v>0</v>
      </c>
      <c r="J123" s="150">
        <f>IF(_xlfn.XLOOKUP(H123,Korrelation!$B$4:$B$723,Korrelation!$A$4:$A$723,0,0)=0,0,MATCH(_xlfn.XLOOKUP(H123,Korrelation!$B$4:$B$723,Korrelation!$A$4:$A$723,0,0),DMAV_Modell!$G$6:$G$677,0))</f>
        <v>142</v>
      </c>
      <c r="L123" s="51" t="s">
        <v>28</v>
      </c>
      <c r="M123" s="51" t="s">
        <v>216</v>
      </c>
      <c r="N123" s="51" t="s">
        <v>218</v>
      </c>
      <c r="O123" s="52" t="s">
        <v>219</v>
      </c>
      <c r="P123" s="56"/>
      <c r="Q123" s="52" t="s">
        <v>220</v>
      </c>
      <c r="R123" s="126" t="s">
        <v>221</v>
      </c>
      <c r="T123" s="51" t="s">
        <v>6123</v>
      </c>
      <c r="U123" s="51" t="s">
        <v>776</v>
      </c>
      <c r="V123" s="51" t="s">
        <v>6251</v>
      </c>
      <c r="W123" s="52" t="s">
        <v>219</v>
      </c>
      <c r="Y123" s="210" t="s">
        <v>6252</v>
      </c>
      <c r="Z123" s="228" t="s">
        <v>6253</v>
      </c>
      <c r="AB123" s="51" t="s">
        <v>6375</v>
      </c>
      <c r="AC123" s="51" t="s">
        <v>4090</v>
      </c>
      <c r="AD123" s="51" t="s">
        <v>4091</v>
      </c>
      <c r="AE123" s="52" t="s">
        <v>219</v>
      </c>
      <c r="AG123" s="210" t="s">
        <v>6391</v>
      </c>
      <c r="AH123" s="210" t="s">
        <v>6392</v>
      </c>
    </row>
    <row r="124" spans="1:34" ht="76.5" x14ac:dyDescent="0.25">
      <c r="A124" s="51" t="s">
        <v>3666</v>
      </c>
      <c r="B124" s="51">
        <v>16</v>
      </c>
      <c r="C124" s="51" t="s">
        <v>95</v>
      </c>
      <c r="D124" s="50" t="s">
        <v>72</v>
      </c>
      <c r="F124" s="189" t="str" cm="1">
        <f t="array" aca="1" ref="F124" ca="1">IF(I124=0,"",HYPERLINK("#"&amp;RIGHT(CELL("dateiname"),LEN(CELL("dateiname"))-FIND("]",CELL("dateiname")))&amp;"!"&amp;CELL("adresse",OFFSET($C$6,I124-1,0)),"Definition"))</f>
        <v/>
      </c>
      <c r="G124" s="189" t="str" cm="1">
        <f t="array" aca="1" ref="G124" ca="1">IF(J124=0,"",HYPERLINK("#"&amp;RIGHT(CELL("adresse",OFFSET(DMAV_Modell!$A$6,J124-1,0)),LEN(CELL("adresse",OFFSET(DMAV_Modell!$A$6,J124-1,0)))-SEARCH("]",CELL("adresse",OFFSET(DMAV_Modell!$A$6,J124-1,0)))),"Modell"))</f>
        <v>Modell</v>
      </c>
      <c r="H124" s="150" t="str">
        <f t="shared" si="2"/>
        <v>DHH16</v>
      </c>
      <c r="I124" s="150">
        <f t="shared" si="3"/>
        <v>0</v>
      </c>
      <c r="J124" s="150">
        <f>IF(_xlfn.XLOOKUP(H124,Korrelation!$B$4:$B$723,Korrelation!$A$4:$A$723,0,0)=0,0,MATCH(_xlfn.XLOOKUP(H124,Korrelation!$B$4:$B$723,Korrelation!$A$4:$A$723,0,0),DMAV_Modell!$G$6:$G$677,0))</f>
        <v>143</v>
      </c>
      <c r="L124" s="51" t="s">
        <v>28</v>
      </c>
      <c r="M124" s="51" t="s">
        <v>216</v>
      </c>
      <c r="N124" s="51" t="s">
        <v>3393</v>
      </c>
      <c r="O124" s="52" t="s">
        <v>219</v>
      </c>
      <c r="P124" s="56"/>
      <c r="Q124" s="52" t="s">
        <v>3395</v>
      </c>
      <c r="R124" s="52" t="s">
        <v>3397</v>
      </c>
      <c r="T124" s="51" t="s">
        <v>6123</v>
      </c>
      <c r="U124" s="51" t="s">
        <v>776</v>
      </c>
      <c r="V124" s="51" t="s">
        <v>6254</v>
      </c>
      <c r="W124" s="52" t="s">
        <v>219</v>
      </c>
      <c r="Y124" s="210" t="s">
        <v>6255</v>
      </c>
      <c r="Z124" s="210" t="s">
        <v>6256</v>
      </c>
      <c r="AB124" s="51" t="s">
        <v>6375</v>
      </c>
      <c r="AC124" s="51" t="s">
        <v>4090</v>
      </c>
      <c r="AD124" s="51" t="s">
        <v>6393</v>
      </c>
      <c r="AE124" s="52" t="s">
        <v>219</v>
      </c>
      <c r="AG124" s="210" t="s">
        <v>6394</v>
      </c>
      <c r="AH124" s="210" t="s">
        <v>6395</v>
      </c>
    </row>
    <row r="125" spans="1:34" ht="76.5" x14ac:dyDescent="0.25">
      <c r="A125" s="51" t="s">
        <v>3666</v>
      </c>
      <c r="B125" s="51">
        <v>17</v>
      </c>
      <c r="C125" s="51" t="s">
        <v>95</v>
      </c>
      <c r="D125" s="50" t="s">
        <v>72</v>
      </c>
      <c r="F125" s="189" t="str" cm="1">
        <f t="array" aca="1" ref="F125" ca="1">IF(I125=0,"",HYPERLINK("#"&amp;RIGHT(CELL("dateiname"),LEN(CELL("dateiname"))-FIND("]",CELL("dateiname")))&amp;"!"&amp;CELL("adresse",OFFSET($C$6,I125-1,0)),"Definition"))</f>
        <v/>
      </c>
      <c r="G125" s="189" t="str" cm="1">
        <f t="array" aca="1" ref="G125" ca="1">IF(J125=0,"",HYPERLINK("#"&amp;RIGHT(CELL("adresse",OFFSET(DMAV_Modell!$A$6,J125-1,0)),LEN(CELL("adresse",OFFSET(DMAV_Modell!$A$6,J125-1,0)))-SEARCH("]",CELL("adresse",OFFSET(DMAV_Modell!$A$6,J125-1,0)))),"Modell"))</f>
        <v>Modell</v>
      </c>
      <c r="H125" s="150" t="str">
        <f t="shared" si="2"/>
        <v>DHH17</v>
      </c>
      <c r="I125" s="150">
        <f t="shared" si="3"/>
        <v>0</v>
      </c>
      <c r="J125" s="150">
        <f>IF(_xlfn.XLOOKUP(H125,Korrelation!$B$4:$B$723,Korrelation!$A$4:$A$723,0,0)=0,0,MATCH(_xlfn.XLOOKUP(H125,Korrelation!$B$4:$B$723,Korrelation!$A$4:$A$723,0,0),DMAV_Modell!$G$6:$G$677,0))</f>
        <v>144</v>
      </c>
      <c r="L125" s="51" t="s">
        <v>28</v>
      </c>
      <c r="M125" s="51" t="s">
        <v>216</v>
      </c>
      <c r="N125" s="51" t="s">
        <v>3394</v>
      </c>
      <c r="O125" s="52" t="s">
        <v>219</v>
      </c>
      <c r="P125" s="56"/>
      <c r="Q125" s="52" t="s">
        <v>3396</v>
      </c>
      <c r="R125" s="52" t="s">
        <v>3398</v>
      </c>
      <c r="T125" s="51" t="s">
        <v>6123</v>
      </c>
      <c r="U125" s="51" t="s">
        <v>776</v>
      </c>
      <c r="V125" s="51" t="s">
        <v>3399</v>
      </c>
      <c r="W125" s="52" t="s">
        <v>219</v>
      </c>
      <c r="Y125" s="210" t="s">
        <v>6257</v>
      </c>
      <c r="Z125" s="210" t="s">
        <v>6258</v>
      </c>
      <c r="AB125" s="51" t="s">
        <v>6375</v>
      </c>
      <c r="AC125" s="51" t="s">
        <v>4090</v>
      </c>
      <c r="AD125" s="51" t="s">
        <v>4093</v>
      </c>
      <c r="AE125" s="52" t="s">
        <v>219</v>
      </c>
      <c r="AG125" s="210" t="s">
        <v>6396</v>
      </c>
      <c r="AH125" s="210" t="s">
        <v>6397</v>
      </c>
    </row>
    <row r="126" spans="1:34" ht="38.25" x14ac:dyDescent="0.25">
      <c r="A126" s="51" t="s">
        <v>3666</v>
      </c>
      <c r="B126" s="51">
        <v>18</v>
      </c>
      <c r="C126" s="51" t="s">
        <v>95</v>
      </c>
      <c r="D126" s="50">
        <v>1</v>
      </c>
      <c r="F126" s="189" t="str" cm="1">
        <f t="array" aca="1" ref="F126" ca="1">IF(I126=0,"",HYPERLINK("#"&amp;RIGHT(CELL("dateiname"),LEN(CELL("dateiname"))-FIND("]",CELL("dateiname")))&amp;"!"&amp;CELL("adresse",OFFSET($C$6,I126-1,0)),"Definition"))</f>
        <v/>
      </c>
      <c r="G126" s="189" t="str" cm="1">
        <f t="array" aca="1" ref="G126" ca="1">IF(J126=0,"",HYPERLINK("#"&amp;RIGHT(CELL("adresse",OFFSET(DMAV_Modell!$A$6,J126-1,0)),LEN(CELL("adresse",OFFSET(DMAV_Modell!$A$6,J126-1,0)))-SEARCH("]",CELL("adresse",OFFSET(DMAV_Modell!$A$6,J126-1,0)))),"Modell"))</f>
        <v>Modell</v>
      </c>
      <c r="H126" s="150" t="str">
        <f t="shared" si="2"/>
        <v>DHH18</v>
      </c>
      <c r="I126" s="150">
        <f t="shared" si="3"/>
        <v>0</v>
      </c>
      <c r="J126" s="150">
        <f>IF(_xlfn.XLOOKUP(H126,Korrelation!$B$4:$B$723,Korrelation!$A$4:$A$723,0,0)=0,0,MATCH(_xlfn.XLOOKUP(H126,Korrelation!$B$4:$B$723,Korrelation!$A$4:$A$723,0,0),DMAV_Modell!$G$6:$G$677,0))</f>
        <v>141</v>
      </c>
      <c r="L126" s="51" t="s">
        <v>28</v>
      </c>
      <c r="M126" s="51" t="s">
        <v>216</v>
      </c>
      <c r="N126" s="51" t="s">
        <v>213</v>
      </c>
      <c r="O126" s="52" t="s">
        <v>131</v>
      </c>
      <c r="P126" s="56" t="s">
        <v>214</v>
      </c>
      <c r="Q126" s="52" t="s">
        <v>215</v>
      </c>
      <c r="R126" s="52" t="s">
        <v>222</v>
      </c>
      <c r="T126" s="51" t="s">
        <v>6123</v>
      </c>
      <c r="U126" s="51" t="s">
        <v>776</v>
      </c>
      <c r="V126" s="51" t="s">
        <v>775</v>
      </c>
      <c r="W126" s="52" t="s">
        <v>131</v>
      </c>
      <c r="X126" s="209" t="s">
        <v>214</v>
      </c>
      <c r="Y126" s="210" t="s">
        <v>6247</v>
      </c>
      <c r="Z126" s="210" t="s">
        <v>6259</v>
      </c>
      <c r="AB126" s="51" t="s">
        <v>6375</v>
      </c>
      <c r="AC126" s="51" t="s">
        <v>4090</v>
      </c>
      <c r="AD126" s="51" t="s">
        <v>4068</v>
      </c>
      <c r="AE126" s="52" t="s">
        <v>131</v>
      </c>
      <c r="AF126" s="209" t="s">
        <v>214</v>
      </c>
      <c r="AG126" s="210" t="s">
        <v>6387</v>
      </c>
      <c r="AH126" s="210" t="s">
        <v>6398</v>
      </c>
    </row>
    <row r="127" spans="1:34" ht="76.5" x14ac:dyDescent="0.25">
      <c r="A127" s="51" t="s">
        <v>3666</v>
      </c>
      <c r="B127" s="51">
        <v>19</v>
      </c>
      <c r="C127" s="51" t="s">
        <v>95</v>
      </c>
      <c r="D127" s="50">
        <v>1</v>
      </c>
      <c r="F127" s="189" t="str" cm="1">
        <f t="array" aca="1" ref="F127" ca="1">IF(I127=0,"",HYPERLINK("#"&amp;RIGHT(CELL("dateiname"),LEN(CELL("dateiname"))-FIND("]",CELL("dateiname")))&amp;"!"&amp;CELL("adresse",OFFSET($C$6,I127-1,0)),"Definition"))</f>
        <v/>
      </c>
      <c r="G127" s="189" t="str" cm="1">
        <f t="array" aca="1" ref="G127" ca="1">IF(J127=0,"",HYPERLINK("#"&amp;RIGHT(CELL("adresse",OFFSET(DMAV_Modell!$A$6,J127-1,0)),LEN(CELL("adresse",OFFSET(DMAV_Modell!$A$6,J127-1,0)))-SEARCH("]",CELL("adresse",OFFSET(DMAV_Modell!$A$6,J127-1,0)))),"Modell"))</f>
        <v>Modell</v>
      </c>
      <c r="H127" s="150" t="str">
        <f t="shared" si="2"/>
        <v>DHH19</v>
      </c>
      <c r="I127" s="150">
        <f t="shared" si="3"/>
        <v>0</v>
      </c>
      <c r="J127" s="150">
        <f>IF(_xlfn.XLOOKUP(H127,Korrelation!$B$4:$B$723,Korrelation!$A$4:$A$723,0,0)=0,0,MATCH(_xlfn.XLOOKUP(H127,Korrelation!$B$4:$B$723,Korrelation!$A$4:$A$723,0,0),DMAV_Modell!$G$6:$G$677,0))</f>
        <v>161</v>
      </c>
      <c r="L127" s="51" t="s">
        <v>28</v>
      </c>
      <c r="M127" s="51" t="s">
        <v>223</v>
      </c>
      <c r="N127" s="51" t="s">
        <v>123</v>
      </c>
      <c r="O127" s="52" t="s">
        <v>198</v>
      </c>
      <c r="P127" s="56"/>
      <c r="Q127" s="52" t="s">
        <v>224</v>
      </c>
      <c r="R127" s="52" t="s">
        <v>225</v>
      </c>
      <c r="T127" s="51" t="s">
        <v>6123</v>
      </c>
      <c r="U127" s="51" t="s">
        <v>777</v>
      </c>
      <c r="V127" s="51" t="s">
        <v>123</v>
      </c>
      <c r="W127" s="52" t="s">
        <v>198</v>
      </c>
      <c r="Y127" s="210" t="s">
        <v>6260</v>
      </c>
      <c r="Z127" s="210" t="s">
        <v>6261</v>
      </c>
      <c r="AB127" s="51" t="s">
        <v>6375</v>
      </c>
      <c r="AC127" s="51" t="s">
        <v>4123</v>
      </c>
      <c r="AD127" s="51" t="s">
        <v>1247</v>
      </c>
      <c r="AE127" s="52" t="s">
        <v>198</v>
      </c>
      <c r="AG127" s="210" t="s">
        <v>6399</v>
      </c>
      <c r="AH127" s="210" t="s">
        <v>6400</v>
      </c>
    </row>
    <row r="128" spans="1:34" ht="76.5" x14ac:dyDescent="0.25">
      <c r="A128" s="51" t="s">
        <v>3666</v>
      </c>
      <c r="B128" s="51">
        <v>20</v>
      </c>
      <c r="C128" s="51" t="s">
        <v>95</v>
      </c>
      <c r="D128" s="50">
        <v>1</v>
      </c>
      <c r="F128" s="189" t="str" cm="1">
        <f t="array" aca="1" ref="F128" ca="1">IF(I128=0,"",HYPERLINK("#"&amp;RIGHT(CELL("dateiname"),LEN(CELL("dateiname"))-FIND("]",CELL("dateiname")))&amp;"!"&amp;CELL("adresse",OFFSET($C$6,I128-1,0)),"Definition"))</f>
        <v/>
      </c>
      <c r="G128" s="189" t="str" cm="1">
        <f t="array" aca="1" ref="G128" ca="1">IF(J128=0,"",HYPERLINK("#"&amp;RIGHT(CELL("adresse",OFFSET(DMAV_Modell!$A$6,J128-1,0)),LEN(CELL("adresse",OFFSET(DMAV_Modell!$A$6,J128-1,0)))-SEARCH("]",CELL("adresse",OFFSET(DMAV_Modell!$A$6,J128-1,0)))),"Modell"))</f>
        <v>Modell</v>
      </c>
      <c r="H128" s="150" t="str">
        <f t="shared" si="2"/>
        <v>DHH20</v>
      </c>
      <c r="I128" s="150">
        <f t="shared" si="3"/>
        <v>0</v>
      </c>
      <c r="J128" s="150">
        <f>IF(_xlfn.XLOOKUP(H128,Korrelation!$B$4:$B$723,Korrelation!$A$4:$A$723,0,0)=0,0,MATCH(_xlfn.XLOOKUP(H128,Korrelation!$B$4:$B$723,Korrelation!$A$4:$A$723,0,0),DMAV_Modell!$G$6:$G$677,0))</f>
        <v>173</v>
      </c>
      <c r="L128" s="51" t="s">
        <v>28</v>
      </c>
      <c r="M128" s="51" t="s">
        <v>226</v>
      </c>
      <c r="N128" s="51" t="s">
        <v>123</v>
      </c>
      <c r="O128" s="52" t="s">
        <v>198</v>
      </c>
      <c r="P128" s="56"/>
      <c r="Q128" s="52" t="s">
        <v>224</v>
      </c>
      <c r="R128" s="52" t="s">
        <v>225</v>
      </c>
      <c r="T128" s="51" t="s">
        <v>6123</v>
      </c>
      <c r="U128" s="51" t="s">
        <v>778</v>
      </c>
      <c r="V128" s="51" t="s">
        <v>123</v>
      </c>
      <c r="W128" s="52" t="s">
        <v>198</v>
      </c>
      <c r="Y128" s="210" t="s">
        <v>6260</v>
      </c>
      <c r="Z128" s="210" t="s">
        <v>6262</v>
      </c>
      <c r="AB128" s="51" t="s">
        <v>6375</v>
      </c>
      <c r="AC128" s="51" t="s">
        <v>1771</v>
      </c>
      <c r="AD128" s="51" t="s">
        <v>1247</v>
      </c>
      <c r="AE128" s="52" t="s">
        <v>198</v>
      </c>
      <c r="AG128" s="210" t="s">
        <v>6399</v>
      </c>
      <c r="AH128" s="210" t="s">
        <v>6400</v>
      </c>
    </row>
    <row r="129" spans="1:34" x14ac:dyDescent="0.25">
      <c r="A129" s="51" t="s">
        <v>3666</v>
      </c>
      <c r="B129" s="51">
        <v>21</v>
      </c>
      <c r="C129" s="51" t="s">
        <v>95</v>
      </c>
      <c r="D129" s="50">
        <v>1</v>
      </c>
      <c r="E129" s="50" t="s">
        <v>3684</v>
      </c>
      <c r="F129" s="189" t="str" cm="1">
        <f t="array" aca="1" ref="F129" ca="1">IF(I129=0,"",HYPERLINK("#"&amp;RIGHT(CELL("dateiname"),LEN(CELL("dateiname"))-FIND("]",CELL("dateiname")))&amp;"!"&amp;CELL("adresse",OFFSET($C$6,I129-1,0)),"Definition"))</f>
        <v>Definition</v>
      </c>
      <c r="G129" s="189" t="str" cm="1">
        <f t="array" aca="1" ref="G129" ca="1">IF(J129=0,"",HYPERLINK("#"&amp;RIGHT(CELL("adresse",OFFSET(DMAV_Modell!$A$6,J129-1,0)),LEN(CELL("adresse",OFFSET(DMAV_Modell!$A$6,J129-1,0)))-SEARCH("]",CELL("adresse",OFFSET(DMAV_Modell!$A$6,J129-1,0)))),"Modell"))</f>
        <v>Modell</v>
      </c>
      <c r="H129" s="150" t="str">
        <f t="shared" si="2"/>
        <v>DHH21</v>
      </c>
      <c r="I129" s="150">
        <f t="shared" si="3"/>
        <v>104</v>
      </c>
      <c r="J129" s="150">
        <f>IF(_xlfn.XLOOKUP(H129,Korrelation!$B$4:$B$723,Korrelation!$A$4:$A$723,0,0)=0,0,MATCH(_xlfn.XLOOKUP(H129,Korrelation!$B$4:$B$723,Korrelation!$A$4:$A$723,0,0),DMAV_Modell!$G$6:$G$677,0))</f>
        <v>174</v>
      </c>
      <c r="L129" s="51" t="s">
        <v>28</v>
      </c>
      <c r="M129" s="51" t="s">
        <v>226</v>
      </c>
      <c r="N129" s="51" t="s">
        <v>193</v>
      </c>
      <c r="O129" s="52" t="s">
        <v>199</v>
      </c>
      <c r="P129" s="56"/>
      <c r="Q129" s="52" t="s">
        <v>227</v>
      </c>
      <c r="R129" s="52"/>
      <c r="T129" s="51" t="s">
        <v>6123</v>
      </c>
      <c r="U129" s="51" t="s">
        <v>778</v>
      </c>
      <c r="V129" s="51" t="s">
        <v>769</v>
      </c>
      <c r="W129" s="52" t="s">
        <v>6263</v>
      </c>
      <c r="Y129" s="210" t="s">
        <v>6264</v>
      </c>
      <c r="AB129" s="51" t="s">
        <v>6375</v>
      </c>
      <c r="AC129" s="51" t="s">
        <v>1771</v>
      </c>
      <c r="AD129" s="51" t="s">
        <v>1515</v>
      </c>
      <c r="AE129" s="52" t="s">
        <v>6401</v>
      </c>
      <c r="AG129" s="210" t="s">
        <v>6402</v>
      </c>
    </row>
    <row r="130" spans="1:34" ht="76.5" x14ac:dyDescent="0.25">
      <c r="A130" s="51" t="s">
        <v>3666</v>
      </c>
      <c r="B130" s="51">
        <v>22</v>
      </c>
      <c r="C130" s="51" t="s">
        <v>95</v>
      </c>
      <c r="D130" s="50">
        <v>1</v>
      </c>
      <c r="F130" s="189" t="str" cm="1">
        <f t="array" aca="1" ref="F130" ca="1">IF(I130=0,"",HYPERLINK("#"&amp;RIGHT(CELL("dateiname"),LEN(CELL("dateiname"))-FIND("]",CELL("dateiname")))&amp;"!"&amp;CELL("adresse",OFFSET($C$6,I130-1,0)),"Definition"))</f>
        <v/>
      </c>
      <c r="G130" s="189" t="str" cm="1">
        <f t="array" aca="1" ref="G130" ca="1">IF(J130=0,"",HYPERLINK("#"&amp;RIGHT(CELL("adresse",OFFSET(DMAV_Modell!$A$6,J130-1,0)),LEN(CELL("adresse",OFFSET(DMAV_Modell!$A$6,J130-1,0)))-SEARCH("]",CELL("adresse",OFFSET(DMAV_Modell!$A$6,J130-1,0)))),"Modell"))</f>
        <v>Modell</v>
      </c>
      <c r="H130" s="150" t="str">
        <f t="shared" si="2"/>
        <v>DHH22</v>
      </c>
      <c r="I130" s="150">
        <f t="shared" si="3"/>
        <v>0</v>
      </c>
      <c r="J130" s="150">
        <f>IF(_xlfn.XLOOKUP(H130,Korrelation!$B$4:$B$723,Korrelation!$A$4:$A$723,0,0)=0,0,MATCH(_xlfn.XLOOKUP(H130,Korrelation!$B$4:$B$723,Korrelation!$A$4:$A$723,0,0),DMAV_Modell!$G$6:$G$677,0))</f>
        <v>184</v>
      </c>
      <c r="L130" s="51" t="s">
        <v>28</v>
      </c>
      <c r="M130" s="51" t="s">
        <v>228</v>
      </c>
      <c r="N130" s="51" t="s">
        <v>123</v>
      </c>
      <c r="O130" s="52" t="s">
        <v>198</v>
      </c>
      <c r="P130" s="56"/>
      <c r="Q130" s="52" t="s">
        <v>224</v>
      </c>
      <c r="R130" s="52" t="s">
        <v>225</v>
      </c>
      <c r="T130" s="51" t="s">
        <v>6123</v>
      </c>
      <c r="U130" s="51" t="s">
        <v>779</v>
      </c>
      <c r="V130" s="51" t="s">
        <v>123</v>
      </c>
      <c r="W130" s="52" t="s">
        <v>198</v>
      </c>
      <c r="Y130" s="210" t="s">
        <v>6260</v>
      </c>
      <c r="Z130" s="210" t="s">
        <v>6261</v>
      </c>
      <c r="AB130" s="51" t="s">
        <v>6375</v>
      </c>
      <c r="AC130" s="51" t="s">
        <v>4157</v>
      </c>
      <c r="AD130" s="51" t="s">
        <v>1247</v>
      </c>
      <c r="AE130" s="52" t="s">
        <v>198</v>
      </c>
      <c r="AG130" s="210" t="s">
        <v>6399</v>
      </c>
      <c r="AH130" s="210" t="s">
        <v>6400</v>
      </c>
    </row>
    <row r="131" spans="1:34" x14ac:dyDescent="0.25">
      <c r="A131" s="51" t="s">
        <v>3666</v>
      </c>
      <c r="B131" s="51">
        <v>23</v>
      </c>
      <c r="C131" s="51" t="s">
        <v>95</v>
      </c>
      <c r="D131" s="50">
        <v>1</v>
      </c>
      <c r="E131" s="50" t="s">
        <v>3684</v>
      </c>
      <c r="F131" s="189" t="str" cm="1">
        <f t="array" aca="1" ref="F131" ca="1">IF(I131=0,"",HYPERLINK("#"&amp;RIGHT(CELL("dateiname"),LEN(CELL("dateiname"))-FIND("]",CELL("dateiname")))&amp;"!"&amp;CELL("adresse",OFFSET($C$6,I131-1,0)),"Definition"))</f>
        <v>Definition</v>
      </c>
      <c r="G131" s="189" t="str" cm="1">
        <f t="array" aca="1" ref="G131" ca="1">IF(J131=0,"",HYPERLINK("#"&amp;RIGHT(CELL("adresse",OFFSET(DMAV_Modell!$A$6,J131-1,0)),LEN(CELL("adresse",OFFSET(DMAV_Modell!$A$6,J131-1,0)))-SEARCH("]",CELL("adresse",OFFSET(DMAV_Modell!$A$6,J131-1,0)))),"Modell"))</f>
        <v>Modell</v>
      </c>
      <c r="H131" s="150" t="str">
        <f t="shared" si="2"/>
        <v>DHH23</v>
      </c>
      <c r="I131" s="150">
        <f t="shared" si="3"/>
        <v>104</v>
      </c>
      <c r="J131" s="150">
        <f>IF(_xlfn.XLOOKUP(H131,Korrelation!$B$4:$B$723,Korrelation!$A$4:$A$723,0,0)=0,0,MATCH(_xlfn.XLOOKUP(H131,Korrelation!$B$4:$B$723,Korrelation!$A$4:$A$723,0,0),DMAV_Modell!$G$6:$G$677,0))</f>
        <v>185</v>
      </c>
      <c r="L131" s="51" t="s">
        <v>28</v>
      </c>
      <c r="M131" s="51" t="s">
        <v>228</v>
      </c>
      <c r="N131" s="51" t="s">
        <v>193</v>
      </c>
      <c r="O131" s="52" t="s">
        <v>199</v>
      </c>
      <c r="P131" s="56"/>
      <c r="Q131" s="52" t="s">
        <v>229</v>
      </c>
      <c r="R131" s="52"/>
      <c r="T131" s="51" t="s">
        <v>6123</v>
      </c>
      <c r="U131" s="51" t="s">
        <v>779</v>
      </c>
      <c r="V131" s="51" t="s">
        <v>769</v>
      </c>
      <c r="W131" s="52" t="s">
        <v>6263</v>
      </c>
      <c r="Y131" s="210" t="s">
        <v>6265</v>
      </c>
      <c r="AB131" s="51" t="s">
        <v>6375</v>
      </c>
      <c r="AC131" s="51" t="s">
        <v>4157</v>
      </c>
      <c r="AD131" s="51" t="s">
        <v>1515</v>
      </c>
      <c r="AE131" s="52" t="s">
        <v>6401</v>
      </c>
      <c r="AG131" s="210" t="s">
        <v>6403</v>
      </c>
    </row>
    <row r="132" spans="1:34" x14ac:dyDescent="0.25">
      <c r="A132" s="51" t="s">
        <v>3667</v>
      </c>
      <c r="B132" s="51">
        <v>1</v>
      </c>
      <c r="C132" s="51" t="s">
        <v>34</v>
      </c>
      <c r="F132" s="189" t="str" cm="1">
        <f t="array" aca="1" ref="F132" ca="1">IF(I132=0,"",HYPERLINK("#"&amp;RIGHT(CELL("dateiname"),LEN(CELL("dateiname"))-FIND("]",CELL("dateiname")))&amp;"!"&amp;CELL("adresse",OFFSET($C$6,I132-1,0)),"Definition"))</f>
        <v/>
      </c>
      <c r="G132" s="189" t="str" cm="1">
        <f t="array" aca="1" ref="G132" ca="1">IF(J132=0,"",HYPERLINK("#"&amp;RIGHT(CELL("adresse",OFFSET(DMAV_Modell!$A$6,J132-1,0)),LEN(CELL("adresse",OFFSET(DMAV_Modell!$A$6,J132-1,0)))-SEARCH("]",CELL("adresse",OFFSET(DMAV_Modell!$A$6,J132-1,0)))),"Modell"))</f>
        <v>Modell</v>
      </c>
      <c r="H132" s="150" t="str">
        <f t="shared" si="2"/>
        <v>DGS1</v>
      </c>
      <c r="I132" s="150">
        <f t="shared" si="3"/>
        <v>0</v>
      </c>
      <c r="J132" s="150">
        <f>IF(_xlfn.XLOOKUP(H132,Korrelation!$B$4:$B$723,Korrelation!$A$4:$A$723,0,0)=0,0,MATCH(_xlfn.XLOOKUP(H132,Korrelation!$B$4:$B$723,Korrelation!$A$4:$A$723,0,0),DMAV_Modell!$G$6:$G$677,0))</f>
        <v>202</v>
      </c>
      <c r="L132" s="51" t="s">
        <v>29</v>
      </c>
      <c r="M132" s="51" t="s">
        <v>230</v>
      </c>
      <c r="O132" s="52" t="s">
        <v>231</v>
      </c>
      <c r="P132" s="56"/>
      <c r="Q132" s="52" t="s">
        <v>232</v>
      </c>
      <c r="R132" s="52"/>
      <c r="T132" s="51" t="s">
        <v>705</v>
      </c>
      <c r="U132" s="51" t="s">
        <v>780</v>
      </c>
      <c r="W132" s="52" t="s">
        <v>781</v>
      </c>
      <c r="Y132" s="210" t="s">
        <v>6404</v>
      </c>
      <c r="AB132" s="51" t="s">
        <v>4175</v>
      </c>
      <c r="AC132" s="51" t="s">
        <v>4176</v>
      </c>
      <c r="AE132" s="52" t="s">
        <v>2109</v>
      </c>
      <c r="AG132" s="210" t="s">
        <v>6405</v>
      </c>
    </row>
    <row r="133" spans="1:34" ht="25.5" x14ac:dyDescent="0.25">
      <c r="A133" s="51" t="s">
        <v>3667</v>
      </c>
      <c r="B133" s="51">
        <v>2</v>
      </c>
      <c r="C133" s="51" t="s">
        <v>34</v>
      </c>
      <c r="F133" s="189" t="str" cm="1">
        <f t="array" aca="1" ref="F133" ca="1">IF(I133=0,"",HYPERLINK("#"&amp;RIGHT(CELL("dateiname"),LEN(CELL("dateiname"))-FIND("]",CELL("dateiname")))&amp;"!"&amp;CELL("adresse",OFFSET($C$6,I133-1,0)),"Definition"))</f>
        <v/>
      </c>
      <c r="G133" s="189" t="str" cm="1">
        <f t="array" aca="1" ref="G133" ca="1">IF(J133=0,"",HYPERLINK("#"&amp;RIGHT(CELL("adresse",OFFSET(DMAV_Modell!$A$6,J133-1,0)),LEN(CELL("adresse",OFFSET(DMAV_Modell!$A$6,J133-1,0)))-SEARCH("]",CELL("adresse",OFFSET(DMAV_Modell!$A$6,J133-1,0)))),"Modell"))</f>
        <v>Modell</v>
      </c>
      <c r="H133" s="150" t="str">
        <f t="shared" si="2"/>
        <v>DGS2</v>
      </c>
      <c r="I133" s="150">
        <f t="shared" si="3"/>
        <v>0</v>
      </c>
      <c r="J133" s="150">
        <f>IF(_xlfn.XLOOKUP(H133,Korrelation!$B$4:$B$723,Korrelation!$A$4:$A$723,0,0)=0,0,MATCH(_xlfn.XLOOKUP(H133,Korrelation!$B$4:$B$723,Korrelation!$A$4:$A$723,0,0),DMAV_Modell!$G$6:$G$677,0))</f>
        <v>203</v>
      </c>
      <c r="L133" s="51" t="s">
        <v>29</v>
      </c>
      <c r="M133" s="51" t="s">
        <v>230</v>
      </c>
      <c r="O133" s="52" t="s">
        <v>3743</v>
      </c>
      <c r="P133" s="56"/>
      <c r="Q133" s="52" t="s">
        <v>234</v>
      </c>
      <c r="R133" s="52"/>
      <c r="T133" s="51" t="s">
        <v>705</v>
      </c>
      <c r="U133" s="51" t="s">
        <v>780</v>
      </c>
      <c r="W133" s="52" t="s">
        <v>782</v>
      </c>
      <c r="Y133" s="210" t="s">
        <v>6406</v>
      </c>
      <c r="AB133" s="51" t="s">
        <v>4175</v>
      </c>
      <c r="AC133" s="51" t="s">
        <v>4176</v>
      </c>
      <c r="AE133" s="52" t="s">
        <v>6407</v>
      </c>
      <c r="AG133" s="210" t="s">
        <v>6408</v>
      </c>
    </row>
    <row r="134" spans="1:34" ht="51" x14ac:dyDescent="0.25">
      <c r="A134" s="51" t="s">
        <v>3667</v>
      </c>
      <c r="B134" s="51">
        <v>3</v>
      </c>
      <c r="C134" s="51" t="s">
        <v>34</v>
      </c>
      <c r="F134" s="189" t="str" cm="1">
        <f t="array" aca="1" ref="F134" ca="1">IF(I134=0,"",HYPERLINK("#"&amp;RIGHT(CELL("dateiname"),LEN(CELL("dateiname"))-FIND("]",CELL("dateiname")))&amp;"!"&amp;CELL("adresse",OFFSET($C$6,I134-1,0)),"Definition"))</f>
        <v/>
      </c>
      <c r="G134" s="189" t="str" cm="1">
        <f t="array" aca="1" ref="G134" ca="1">IF(J134=0,"",HYPERLINK("#"&amp;RIGHT(CELL("adresse",OFFSET(DMAV_Modell!$A$6,J134-1,0)),LEN(CELL("adresse",OFFSET(DMAV_Modell!$A$6,J134-1,0)))-SEARCH("]",CELL("adresse",OFFSET(DMAV_Modell!$A$6,J134-1,0)))),"Modell"))</f>
        <v>Modell</v>
      </c>
      <c r="H134" s="150" t="str">
        <f t="shared" si="2"/>
        <v>DGS3</v>
      </c>
      <c r="I134" s="150">
        <f t="shared" si="3"/>
        <v>0</v>
      </c>
      <c r="J134" s="150">
        <f>IF(_xlfn.XLOOKUP(H134,Korrelation!$B$4:$B$723,Korrelation!$A$4:$A$723,0,0)=0,0,MATCH(_xlfn.XLOOKUP(H134,Korrelation!$B$4:$B$723,Korrelation!$A$4:$A$723,0,0),DMAV_Modell!$G$6:$G$677,0))</f>
        <v>204</v>
      </c>
      <c r="L134" s="51" t="s">
        <v>29</v>
      </c>
      <c r="M134" s="51" t="s">
        <v>230</v>
      </c>
      <c r="O134" s="52" t="s">
        <v>235</v>
      </c>
      <c r="P134" s="56"/>
      <c r="Q134" s="52" t="s">
        <v>236</v>
      </c>
      <c r="R134" s="52"/>
      <c r="T134" s="51" t="s">
        <v>705</v>
      </c>
      <c r="U134" s="51" t="s">
        <v>780</v>
      </c>
      <c r="W134" s="52" t="s">
        <v>783</v>
      </c>
      <c r="Y134" s="210" t="s">
        <v>6409</v>
      </c>
      <c r="AB134" s="51" t="s">
        <v>4175</v>
      </c>
      <c r="AC134" s="51" t="s">
        <v>4176</v>
      </c>
      <c r="AE134" s="52" t="s">
        <v>2015</v>
      </c>
      <c r="AG134" s="210" t="s">
        <v>6410</v>
      </c>
    </row>
    <row r="135" spans="1:34" x14ac:dyDescent="0.25">
      <c r="A135" s="51" t="s">
        <v>3667</v>
      </c>
      <c r="B135" s="51">
        <v>4</v>
      </c>
      <c r="C135" s="51" t="s">
        <v>95</v>
      </c>
      <c r="D135" s="50">
        <v>1</v>
      </c>
      <c r="F135" s="189" t="str" cm="1">
        <f t="array" aca="1" ref="F135" ca="1">IF(I135=0,"",HYPERLINK("#"&amp;RIGHT(CELL("dateiname"),LEN(CELL("dateiname"))-FIND("]",CELL("dateiname")))&amp;"!"&amp;CELL("adresse",OFFSET($C$6,I135-1,0)),"Definition"))</f>
        <v/>
      </c>
      <c r="G135" s="189" t="str" cm="1">
        <f t="array" aca="1" ref="G135" ca="1">IF(J135=0,"",HYPERLINK("#"&amp;RIGHT(CELL("adresse",OFFSET(DMAV_Modell!$A$6,J135-1,0)),LEN(CELL("adresse",OFFSET(DMAV_Modell!$A$6,J135-1,0)))-SEARCH("]",CELL("adresse",OFFSET(DMAV_Modell!$A$6,J135-1,0)))),"Modell"))</f>
        <v>Modell</v>
      </c>
      <c r="H135" s="150" t="str">
        <f t="shared" ref="H135:H198" si="4">A135&amp;B135</f>
        <v>DGS4</v>
      </c>
      <c r="I135" s="150">
        <f t="shared" ref="I135:I198" si="5">IF(E135="",0,MATCH(E135,$H$6:$H$483,0))</f>
        <v>0</v>
      </c>
      <c r="J135" s="150">
        <f>IF(_xlfn.XLOOKUP(H135,Korrelation!$B$4:$B$723,Korrelation!$A$4:$A$723,0,0)=0,0,MATCH(_xlfn.XLOOKUP(H135,Korrelation!$B$4:$B$723,Korrelation!$A$4:$A$723,0,0),DMAV_Modell!$G$6:$G$677,0))</f>
        <v>208</v>
      </c>
      <c r="L135" s="51" t="s">
        <v>29</v>
      </c>
      <c r="M135" s="51" t="s">
        <v>237</v>
      </c>
      <c r="N135" s="51" t="s">
        <v>96</v>
      </c>
      <c r="O135" s="52" t="s">
        <v>97</v>
      </c>
      <c r="P135" s="56"/>
      <c r="Q135" s="52" t="s">
        <v>98</v>
      </c>
      <c r="R135" s="52"/>
      <c r="T135" s="51" t="s">
        <v>705</v>
      </c>
      <c r="U135" s="51" t="s">
        <v>784</v>
      </c>
      <c r="V135" s="51" t="s">
        <v>733</v>
      </c>
      <c r="W135" s="52" t="s">
        <v>97</v>
      </c>
      <c r="Y135" s="210" t="s">
        <v>6183</v>
      </c>
      <c r="AB135" s="51" t="s">
        <v>4175</v>
      </c>
      <c r="AC135" s="51" t="s">
        <v>4182</v>
      </c>
      <c r="AD135" s="51" t="s">
        <v>1378</v>
      </c>
      <c r="AE135" s="52" t="s">
        <v>97</v>
      </c>
      <c r="AG135" s="210" t="s">
        <v>6316</v>
      </c>
    </row>
    <row r="136" spans="1:34" ht="25.5" x14ac:dyDescent="0.25">
      <c r="A136" s="51" t="s">
        <v>3667</v>
      </c>
      <c r="B136" s="51">
        <v>5</v>
      </c>
      <c r="C136" s="51" t="s">
        <v>95</v>
      </c>
      <c r="D136" s="50">
        <v>1</v>
      </c>
      <c r="F136" s="189" t="str" cm="1">
        <f t="array" aca="1" ref="F136" ca="1">IF(I136=0,"",HYPERLINK("#"&amp;RIGHT(CELL("dateiname"),LEN(CELL("dateiname"))-FIND("]",CELL("dateiname")))&amp;"!"&amp;CELL("adresse",OFFSET($C$6,I136-1,0)),"Definition"))</f>
        <v/>
      </c>
      <c r="G136" s="189" t="str" cm="1">
        <f t="array" aca="1" ref="G136" ca="1">IF(J136=0,"",HYPERLINK("#"&amp;RIGHT(CELL("adresse",OFFSET(DMAV_Modell!$A$6,J136-1,0)),LEN(CELL("adresse",OFFSET(DMAV_Modell!$A$6,J136-1,0)))-SEARCH("]",CELL("adresse",OFFSET(DMAV_Modell!$A$6,J136-1,0)))),"Modell"))</f>
        <v>Modell</v>
      </c>
      <c r="H136" s="150" t="str">
        <f t="shared" si="4"/>
        <v>DGS5</v>
      </c>
      <c r="I136" s="150">
        <f t="shared" si="5"/>
        <v>0</v>
      </c>
      <c r="J136" s="150">
        <f>IF(_xlfn.XLOOKUP(H136,Korrelation!$B$4:$B$723,Korrelation!$A$4:$A$723,0,0)=0,0,MATCH(_xlfn.XLOOKUP(H136,Korrelation!$B$4:$B$723,Korrelation!$A$4:$A$723,0,0),DMAV_Modell!$G$6:$G$677,0))</f>
        <v>209</v>
      </c>
      <c r="L136" s="51" t="s">
        <v>29</v>
      </c>
      <c r="M136" s="51" t="s">
        <v>237</v>
      </c>
      <c r="N136" s="51" t="s">
        <v>99</v>
      </c>
      <c r="O136" s="52" t="s">
        <v>97</v>
      </c>
      <c r="P136" s="56"/>
      <c r="Q136" s="52" t="s">
        <v>100</v>
      </c>
      <c r="R136" s="52"/>
      <c r="T136" s="51" t="s">
        <v>705</v>
      </c>
      <c r="U136" s="51" t="s">
        <v>784</v>
      </c>
      <c r="V136" s="51" t="s">
        <v>734</v>
      </c>
      <c r="W136" s="52" t="s">
        <v>97</v>
      </c>
      <c r="Y136" s="210" t="s">
        <v>6176</v>
      </c>
      <c r="AB136" s="51" t="s">
        <v>4175</v>
      </c>
      <c r="AC136" s="51" t="s">
        <v>4182</v>
      </c>
      <c r="AD136" s="51" t="s">
        <v>1376</v>
      </c>
      <c r="AE136" s="52" t="s">
        <v>97</v>
      </c>
      <c r="AG136" s="210" t="s">
        <v>6317</v>
      </c>
    </row>
    <row r="137" spans="1:34" x14ac:dyDescent="0.25">
      <c r="A137" s="51" t="s">
        <v>3667</v>
      </c>
      <c r="B137" s="51">
        <v>6</v>
      </c>
      <c r="C137" s="51" t="s">
        <v>95</v>
      </c>
      <c r="D137" s="50">
        <v>1</v>
      </c>
      <c r="F137" s="189" t="str" cm="1">
        <f t="array" aca="1" ref="F137" ca="1">IF(I137=0,"",HYPERLINK("#"&amp;RIGHT(CELL("dateiname"),LEN(CELL("dateiname"))-FIND("]",CELL("dateiname")))&amp;"!"&amp;CELL("adresse",OFFSET($C$6,I137-1,0)),"Definition"))</f>
        <v/>
      </c>
      <c r="G137" s="189" t="str" cm="1">
        <f t="array" aca="1" ref="G137" ca="1">IF(J137=0,"",HYPERLINK("#"&amp;RIGHT(CELL("adresse",OFFSET(DMAV_Modell!$A$6,J137-1,0)),LEN(CELL("adresse",OFFSET(DMAV_Modell!$A$6,J137-1,0)))-SEARCH("]",CELL("adresse",OFFSET(DMAV_Modell!$A$6,J137-1,0)))),"Modell"))</f>
        <v>Modell</v>
      </c>
      <c r="H137" s="150" t="str">
        <f t="shared" si="4"/>
        <v>DGS6</v>
      </c>
      <c r="I137" s="150">
        <f t="shared" si="5"/>
        <v>0</v>
      </c>
      <c r="J137" s="150">
        <f>IF(_xlfn.XLOOKUP(H137,Korrelation!$B$4:$B$723,Korrelation!$A$4:$A$723,0,0)=0,0,MATCH(_xlfn.XLOOKUP(H137,Korrelation!$B$4:$B$723,Korrelation!$A$4:$A$723,0,0),DMAV_Modell!$G$6:$G$677,0))</f>
        <v>210</v>
      </c>
      <c r="L137" s="51" t="s">
        <v>29</v>
      </c>
      <c r="M137" s="51" t="s">
        <v>237</v>
      </c>
      <c r="N137" s="51" t="s">
        <v>101</v>
      </c>
      <c r="O137" s="52" t="s">
        <v>102</v>
      </c>
      <c r="P137" s="56"/>
      <c r="Q137" s="52" t="s">
        <v>103</v>
      </c>
      <c r="R137" s="52"/>
      <c r="T137" s="51" t="s">
        <v>705</v>
      </c>
      <c r="U137" s="51" t="s">
        <v>784</v>
      </c>
      <c r="V137" s="51" t="s">
        <v>735</v>
      </c>
      <c r="W137" s="52" t="s">
        <v>102</v>
      </c>
      <c r="Y137" s="210" t="s">
        <v>6177</v>
      </c>
      <c r="AB137" s="51" t="s">
        <v>4175</v>
      </c>
      <c r="AC137" s="51" t="s">
        <v>4182</v>
      </c>
      <c r="AD137" s="51" t="s">
        <v>1294</v>
      </c>
      <c r="AE137" s="52" t="s">
        <v>102</v>
      </c>
      <c r="AG137" s="210" t="s">
        <v>6318</v>
      </c>
    </row>
    <row r="138" spans="1:34" ht="38.25" x14ac:dyDescent="0.25">
      <c r="A138" s="51" t="s">
        <v>3667</v>
      </c>
      <c r="B138" s="51">
        <v>7</v>
      </c>
      <c r="C138" s="51" t="s">
        <v>95</v>
      </c>
      <c r="D138" s="50">
        <v>1</v>
      </c>
      <c r="E138" s="50" t="s">
        <v>3678</v>
      </c>
      <c r="F138" s="189" t="str" cm="1">
        <f t="array" aca="1" ref="F138" ca="1">IF(I138=0,"",HYPERLINK("#"&amp;RIGHT(CELL("dateiname"),LEN(CELL("dateiname"))-FIND("]",CELL("dateiname")))&amp;"!"&amp;CELL("adresse",OFFSET($C$6,I138-1,0)),"Definition"))</f>
        <v>Definition</v>
      </c>
      <c r="G138" s="189" t="str" cm="1">
        <f t="array" aca="1" ref="G138" ca="1">IF(J138=0,"",HYPERLINK("#"&amp;RIGHT(CELL("adresse",OFFSET(DMAV_Modell!$A$6,J138-1,0)),LEN(CELL("adresse",OFFSET(DMAV_Modell!$A$6,J138-1,0)))-SEARCH("]",CELL("adresse",OFFSET(DMAV_Modell!$A$6,J138-1,0)))),"Modell"))</f>
        <v>Modell</v>
      </c>
      <c r="H138" s="150" t="str">
        <f t="shared" si="4"/>
        <v>DGS7</v>
      </c>
      <c r="I138" s="150">
        <f t="shared" si="5"/>
        <v>51</v>
      </c>
      <c r="J138" s="150">
        <f>IF(_xlfn.XLOOKUP(H138,Korrelation!$B$4:$B$723,Korrelation!$A$4:$A$723,0,0)=0,0,MATCH(_xlfn.XLOOKUP(H138,Korrelation!$B$4:$B$723,Korrelation!$A$4:$A$723,0,0),DMAV_Modell!$G$6:$G$677,0))</f>
        <v>212</v>
      </c>
      <c r="L138" s="51" t="s">
        <v>29</v>
      </c>
      <c r="M138" s="51" t="s">
        <v>237</v>
      </c>
      <c r="N138" s="51" t="s">
        <v>110</v>
      </c>
      <c r="O138" s="52" t="s">
        <v>117</v>
      </c>
      <c r="P138" s="56"/>
      <c r="Q138" s="52" t="s">
        <v>118</v>
      </c>
      <c r="R138" s="52"/>
      <c r="T138" s="51" t="s">
        <v>705</v>
      </c>
      <c r="U138" s="51" t="s">
        <v>784</v>
      </c>
      <c r="V138" s="51" t="s">
        <v>738</v>
      </c>
      <c r="W138" s="52" t="s">
        <v>6184</v>
      </c>
      <c r="Y138" s="210" t="s">
        <v>6185</v>
      </c>
      <c r="AB138" s="51" t="s">
        <v>4175</v>
      </c>
      <c r="AC138" s="51" t="s">
        <v>4182</v>
      </c>
      <c r="AD138" s="51" t="s">
        <v>4178</v>
      </c>
      <c r="AE138" s="52" t="s">
        <v>6324</v>
      </c>
      <c r="AG138" s="210" t="s">
        <v>6325</v>
      </c>
    </row>
    <row r="139" spans="1:34" ht="76.5" x14ac:dyDescent="0.25">
      <c r="A139" s="51" t="s">
        <v>3667</v>
      </c>
      <c r="B139" s="51">
        <v>8</v>
      </c>
      <c r="C139" s="51" t="s">
        <v>95</v>
      </c>
      <c r="D139" s="50" t="s">
        <v>72</v>
      </c>
      <c r="F139" s="189" t="str" cm="1">
        <f t="array" aca="1" ref="F139" ca="1">IF(I139=0,"",HYPERLINK("#"&amp;RIGHT(CELL("dateiname"),LEN(CELL("dateiname"))-FIND("]",CELL("dateiname")))&amp;"!"&amp;CELL("adresse",OFFSET($C$6,I139-1,0)),"Definition"))</f>
        <v/>
      </c>
      <c r="G139" s="189" t="str" cm="1">
        <f t="array" aca="1" ref="G139" ca="1">IF(J139=0,"",HYPERLINK("#"&amp;RIGHT(CELL("adresse",OFFSET(DMAV_Modell!$A$6,J139-1,0)),LEN(CELL("adresse",OFFSET(DMAV_Modell!$A$6,J139-1,0)))-SEARCH("]",CELL("adresse",OFFSET(DMAV_Modell!$A$6,J139-1,0)))),"Modell"))</f>
        <v>Modell</v>
      </c>
      <c r="H139" s="150" t="str">
        <f t="shared" si="4"/>
        <v>DGS8</v>
      </c>
      <c r="I139" s="150">
        <f t="shared" si="5"/>
        <v>0</v>
      </c>
      <c r="J139" s="150">
        <f>IF(_xlfn.XLOOKUP(H139,Korrelation!$B$4:$B$723,Korrelation!$A$4:$A$723,0,0)=0,0,MATCH(_xlfn.XLOOKUP(H139,Korrelation!$B$4:$B$723,Korrelation!$A$4:$A$723,0,0),DMAV_Modell!$G$6:$G$677,0))</f>
        <v>211</v>
      </c>
      <c r="L139" s="51" t="s">
        <v>29</v>
      </c>
      <c r="M139" s="51" t="s">
        <v>237</v>
      </c>
      <c r="N139" s="51" t="s">
        <v>104</v>
      </c>
      <c r="O139" s="52" t="s">
        <v>105</v>
      </c>
      <c r="P139" s="56"/>
      <c r="Q139" s="52" t="s">
        <v>106</v>
      </c>
      <c r="R139" s="52"/>
      <c r="T139" s="51" t="s">
        <v>705</v>
      </c>
      <c r="U139" s="51" t="s">
        <v>784</v>
      </c>
      <c r="V139" s="51" t="s">
        <v>736</v>
      </c>
      <c r="W139" s="52" t="s">
        <v>105</v>
      </c>
      <c r="Y139" s="210" t="s">
        <v>6186</v>
      </c>
      <c r="AB139" s="51" t="s">
        <v>4175</v>
      </c>
      <c r="AC139" s="51" t="s">
        <v>4182</v>
      </c>
      <c r="AD139" s="51" t="s">
        <v>1595</v>
      </c>
      <c r="AE139" s="52" t="s">
        <v>105</v>
      </c>
      <c r="AG139" s="210" t="s">
        <v>6319</v>
      </c>
    </row>
    <row r="140" spans="1:34" ht="51" x14ac:dyDescent="0.25">
      <c r="A140" s="51" t="s">
        <v>3667</v>
      </c>
      <c r="B140" s="51">
        <v>9</v>
      </c>
      <c r="C140" s="51" t="s">
        <v>95</v>
      </c>
      <c r="D140" s="50">
        <v>1</v>
      </c>
      <c r="F140" s="189" t="str" cm="1">
        <f t="array" aca="1" ref="F140" ca="1">IF(I140=0,"",HYPERLINK("#"&amp;RIGHT(CELL("dateiname"),LEN(CELL("dateiname"))-FIND("]",CELL("dateiname")))&amp;"!"&amp;CELL("adresse",OFFSET($C$6,I140-1,0)),"Definition"))</f>
        <v/>
      </c>
      <c r="G140" s="189" t="str" cm="1">
        <f t="array" aca="1" ref="G140" ca="1">IF(J140=0,"",HYPERLINK("#"&amp;RIGHT(CELL("adresse",OFFSET(DMAV_Modell!$A$6,J140-1,0)),LEN(CELL("adresse",OFFSET(DMAV_Modell!$A$6,J140-1,0)))-SEARCH("]",CELL("adresse",OFFSET(DMAV_Modell!$A$6,J140-1,0)))),"Modell"))</f>
        <v>Modell</v>
      </c>
      <c r="H140" s="150" t="str">
        <f t="shared" si="4"/>
        <v>DGS9</v>
      </c>
      <c r="I140" s="150">
        <f t="shared" si="5"/>
        <v>0</v>
      </c>
      <c r="J140" s="150">
        <f>IF(_xlfn.XLOOKUP(H140,Korrelation!$B$4:$B$723,Korrelation!$A$4:$A$723,0,0)=0,0,MATCH(_xlfn.XLOOKUP(H140,Korrelation!$B$4:$B$723,Korrelation!$A$4:$A$723,0,0),DMAV_Modell!$G$6:$G$677,0))</f>
        <v>213</v>
      </c>
      <c r="L140" s="51" t="s">
        <v>29</v>
      </c>
      <c r="M140" s="51" t="s">
        <v>237</v>
      </c>
      <c r="N140" s="51" t="s">
        <v>107</v>
      </c>
      <c r="O140" s="52" t="s">
        <v>108</v>
      </c>
      <c r="P140" s="56"/>
      <c r="Q140" s="52" t="s">
        <v>119</v>
      </c>
      <c r="R140" s="52"/>
      <c r="T140" s="51" t="s">
        <v>705</v>
      </c>
      <c r="U140" s="51" t="s">
        <v>784</v>
      </c>
      <c r="V140" s="51" t="s">
        <v>737</v>
      </c>
      <c r="W140" s="52" t="s">
        <v>108</v>
      </c>
      <c r="Y140" s="210" t="s">
        <v>6187</v>
      </c>
      <c r="AB140" s="51" t="s">
        <v>4175</v>
      </c>
      <c r="AC140" s="51" t="s">
        <v>4182</v>
      </c>
      <c r="AD140" s="51" t="s">
        <v>4014</v>
      </c>
      <c r="AE140" s="52" t="s">
        <v>108</v>
      </c>
      <c r="AG140" s="210" t="s">
        <v>6326</v>
      </c>
    </row>
    <row r="141" spans="1:34" ht="51" x14ac:dyDescent="0.25">
      <c r="A141" s="51" t="s">
        <v>3667</v>
      </c>
      <c r="B141" s="51">
        <v>10</v>
      </c>
      <c r="C141" s="51" t="s">
        <v>95</v>
      </c>
      <c r="D141" s="50" t="s">
        <v>72</v>
      </c>
      <c r="F141" s="189" t="str" cm="1">
        <f t="array" aca="1" ref="F141" ca="1">IF(I141=0,"",HYPERLINK("#"&amp;RIGHT(CELL("dateiname"),LEN(CELL("dateiname"))-FIND("]",CELL("dateiname")))&amp;"!"&amp;CELL("adresse",OFFSET($C$6,I141-1,0)),"Definition"))</f>
        <v/>
      </c>
      <c r="G141" s="189" t="str" cm="1">
        <f t="array" aca="1" ref="G141" ca="1">IF(J141=0,"",HYPERLINK("#"&amp;RIGHT(CELL("adresse",OFFSET(DMAV_Modell!$A$6,J141-1,0)),LEN(CELL("adresse",OFFSET(DMAV_Modell!$A$6,J141-1,0)))-SEARCH("]",CELL("adresse",OFFSET(DMAV_Modell!$A$6,J141-1,0)))),"Modell"))</f>
        <v>Modell</v>
      </c>
      <c r="H141" s="150" t="str">
        <f t="shared" si="4"/>
        <v>DGS10</v>
      </c>
      <c r="I141" s="150">
        <f t="shared" si="5"/>
        <v>0</v>
      </c>
      <c r="J141" s="150">
        <f>IF(_xlfn.XLOOKUP(H141,Korrelation!$B$4:$B$723,Korrelation!$A$4:$A$723,0,0)=0,0,MATCH(_xlfn.XLOOKUP(H141,Korrelation!$B$4:$B$723,Korrelation!$A$4:$A$723,0,0),DMAV_Modell!$G$6:$G$677,0))</f>
        <v>214</v>
      </c>
      <c r="L141" s="51" t="s">
        <v>29</v>
      </c>
      <c r="M141" s="51" t="s">
        <v>237</v>
      </c>
      <c r="N141" s="51" t="s">
        <v>238</v>
      </c>
      <c r="O141" s="52" t="s">
        <v>108</v>
      </c>
      <c r="P141" s="56"/>
      <c r="Q141" s="52" t="s">
        <v>3737</v>
      </c>
      <c r="R141" s="52"/>
      <c r="T141" s="51" t="s">
        <v>705</v>
      </c>
      <c r="U141" s="51" t="s">
        <v>784</v>
      </c>
      <c r="V141" s="51" t="s">
        <v>6188</v>
      </c>
      <c r="W141" s="52" t="s">
        <v>108</v>
      </c>
      <c r="Y141" s="210" t="s">
        <v>6189</v>
      </c>
      <c r="AB141" s="51" t="s">
        <v>4175</v>
      </c>
      <c r="AC141" s="51" t="s">
        <v>4182</v>
      </c>
      <c r="AD141" s="51" t="s">
        <v>4183</v>
      </c>
      <c r="AE141" s="52" t="s">
        <v>108</v>
      </c>
      <c r="AG141" s="210" t="s">
        <v>6328</v>
      </c>
    </row>
    <row r="142" spans="1:34" ht="25.5" x14ac:dyDescent="0.25">
      <c r="A142" s="51" t="s">
        <v>3667</v>
      </c>
      <c r="B142" s="51">
        <v>11</v>
      </c>
      <c r="C142" s="51" t="s">
        <v>95</v>
      </c>
      <c r="D142" s="50" t="s">
        <v>72</v>
      </c>
      <c r="F142" s="189" t="str" cm="1">
        <f t="array" aca="1" ref="F142" ca="1">IF(I142=0,"",HYPERLINK("#"&amp;RIGHT(CELL("dateiname"),LEN(CELL("dateiname"))-FIND("]",CELL("dateiname")))&amp;"!"&amp;CELL("adresse",OFFSET($C$6,I142-1,0)),"Definition"))</f>
        <v/>
      </c>
      <c r="G142" s="189" t="str" cm="1">
        <f t="array" aca="1" ref="G142" ca="1">IF(J142=0,"",HYPERLINK("#"&amp;RIGHT(CELL("adresse",OFFSET(DMAV_Modell!$A$6,J142-1,0)),LEN(CELL("adresse",OFFSET(DMAV_Modell!$A$6,J142-1,0)))-SEARCH("]",CELL("adresse",OFFSET(DMAV_Modell!$A$6,J142-1,0)))),"Modell"))</f>
        <v>Modell</v>
      </c>
      <c r="H142" s="150" t="str">
        <f t="shared" si="4"/>
        <v>DGS11</v>
      </c>
      <c r="I142" s="150">
        <f t="shared" si="5"/>
        <v>0</v>
      </c>
      <c r="J142" s="150">
        <f>IF(_xlfn.XLOOKUP(H142,Korrelation!$B$4:$B$723,Korrelation!$A$4:$A$723,0,0)=0,0,MATCH(_xlfn.XLOOKUP(H142,Korrelation!$B$4:$B$723,Korrelation!$A$4:$A$723,0,0),DMAV_Modell!$G$6:$G$677,0))</f>
        <v>241</v>
      </c>
      <c r="L142" s="51" t="s">
        <v>29</v>
      </c>
      <c r="M142" s="51" t="s">
        <v>239</v>
      </c>
      <c r="N142" s="51" t="s">
        <v>240</v>
      </c>
      <c r="O142" s="52" t="s">
        <v>241</v>
      </c>
      <c r="P142" s="56"/>
      <c r="Q142" s="52" t="s">
        <v>242</v>
      </c>
      <c r="R142" s="52"/>
      <c r="T142" s="51" t="s">
        <v>705</v>
      </c>
      <c r="U142" s="51" t="s">
        <v>786</v>
      </c>
      <c r="V142" s="51" t="s">
        <v>240</v>
      </c>
      <c r="W142" s="52" t="s">
        <v>241</v>
      </c>
      <c r="Y142" s="210" t="s">
        <v>6411</v>
      </c>
      <c r="AB142" s="51" t="s">
        <v>4175</v>
      </c>
      <c r="AC142" s="51" t="s">
        <v>2067</v>
      </c>
      <c r="AD142" s="51" t="s">
        <v>240</v>
      </c>
      <c r="AE142" s="52" t="s">
        <v>72</v>
      </c>
      <c r="AF142" s="209" t="s">
        <v>241</v>
      </c>
      <c r="AG142" s="210" t="s">
        <v>6412</v>
      </c>
    </row>
    <row r="143" spans="1:34" x14ac:dyDescent="0.25">
      <c r="A143" s="51" t="s">
        <v>3667</v>
      </c>
      <c r="B143" s="51">
        <v>12</v>
      </c>
      <c r="C143" s="51" t="s">
        <v>95</v>
      </c>
      <c r="D143" s="50">
        <v>1</v>
      </c>
      <c r="F143" s="189" t="str" cm="1">
        <f t="array" aca="1" ref="F143" ca="1">IF(I143=0,"",HYPERLINK("#"&amp;RIGHT(CELL("dateiname"),LEN(CELL("dateiname"))-FIND("]",CELL("dateiname")))&amp;"!"&amp;CELL("adresse",OFFSET($C$6,I143-1,0)),"Definition"))</f>
        <v/>
      </c>
      <c r="G143" s="189" t="str" cm="1">
        <f t="array" aca="1" ref="G143" ca="1">IF(J143=0,"",HYPERLINK("#"&amp;RIGHT(CELL("adresse",OFFSET(DMAV_Modell!$A$6,J143-1,0)),LEN(CELL("adresse",OFFSET(DMAV_Modell!$A$6,J143-1,0)))-SEARCH("]",CELL("adresse",OFFSET(DMAV_Modell!$A$6,J143-1,0)))),"Modell"))</f>
        <v>Modell</v>
      </c>
      <c r="H143" s="150" t="str">
        <f t="shared" si="4"/>
        <v>DGS12</v>
      </c>
      <c r="I143" s="150">
        <f t="shared" si="5"/>
        <v>0</v>
      </c>
      <c r="J143" s="150">
        <f>IF(_xlfn.XLOOKUP(H143,Korrelation!$B$4:$B$723,Korrelation!$A$4:$A$723,0,0)=0,0,MATCH(_xlfn.XLOOKUP(H143,Korrelation!$B$4:$B$723,Korrelation!$A$4:$A$723,0,0),DMAV_Modell!$G$6:$G$677,0))</f>
        <v>239</v>
      </c>
      <c r="L143" s="51" t="s">
        <v>29</v>
      </c>
      <c r="M143" s="51" t="s">
        <v>239</v>
      </c>
      <c r="N143" s="51" t="s">
        <v>96</v>
      </c>
      <c r="O143" s="52" t="s">
        <v>97</v>
      </c>
      <c r="P143" s="56"/>
      <c r="Q143" s="52" t="s">
        <v>98</v>
      </c>
      <c r="R143" s="52"/>
      <c r="T143" s="51" t="s">
        <v>705</v>
      </c>
      <c r="U143" s="51" t="s">
        <v>786</v>
      </c>
      <c r="V143" s="51" t="s">
        <v>733</v>
      </c>
      <c r="W143" s="52" t="s">
        <v>97</v>
      </c>
      <c r="Y143" s="210" t="s">
        <v>6175</v>
      </c>
      <c r="AB143" s="51" t="s">
        <v>4175</v>
      </c>
      <c r="AC143" s="51" t="s">
        <v>2067</v>
      </c>
      <c r="AD143" s="51" t="s">
        <v>1378</v>
      </c>
      <c r="AE143" s="52">
        <v>1</v>
      </c>
      <c r="AF143" s="209" t="s">
        <v>97</v>
      </c>
      <c r="AG143" s="210" t="s">
        <v>6316</v>
      </c>
    </row>
    <row r="144" spans="1:34" x14ac:dyDescent="0.25">
      <c r="A144" s="51" t="s">
        <v>3667</v>
      </c>
      <c r="B144" s="51">
        <v>13</v>
      </c>
      <c r="C144" s="51" t="s">
        <v>95</v>
      </c>
      <c r="D144" s="50">
        <v>1</v>
      </c>
      <c r="F144" s="189" t="str" cm="1">
        <f t="array" aca="1" ref="F144" ca="1">IF(I144=0,"",HYPERLINK("#"&amp;RIGHT(CELL("dateiname"),LEN(CELL("dateiname"))-FIND("]",CELL("dateiname")))&amp;"!"&amp;CELL("adresse",OFFSET($C$6,I144-1,0)),"Definition"))</f>
        <v/>
      </c>
      <c r="G144" s="189" t="str" cm="1">
        <f t="array" aca="1" ref="G144" ca="1">IF(J144=0,"",HYPERLINK("#"&amp;RIGHT(CELL("adresse",OFFSET(DMAV_Modell!$A$6,J144-1,0)),LEN(CELL("adresse",OFFSET(DMAV_Modell!$A$6,J144-1,0)))-SEARCH("]",CELL("adresse",OFFSET(DMAV_Modell!$A$6,J144-1,0)))),"Modell"))</f>
        <v>Modell</v>
      </c>
      <c r="H144" s="150" t="str">
        <f t="shared" si="4"/>
        <v>DGS13</v>
      </c>
      <c r="I144" s="150">
        <f t="shared" si="5"/>
        <v>0</v>
      </c>
      <c r="J144" s="150">
        <f>IF(_xlfn.XLOOKUP(H144,Korrelation!$B$4:$B$723,Korrelation!$A$4:$A$723,0,0)=0,0,MATCH(_xlfn.XLOOKUP(H144,Korrelation!$B$4:$B$723,Korrelation!$A$4:$A$723,0,0),DMAV_Modell!$G$6:$G$677,0))</f>
        <v>240</v>
      </c>
      <c r="L144" s="51" t="s">
        <v>29</v>
      </c>
      <c r="M144" s="51" t="s">
        <v>239</v>
      </c>
      <c r="N144" s="51" t="s">
        <v>121</v>
      </c>
      <c r="O144" s="52" t="s">
        <v>97</v>
      </c>
      <c r="P144" s="56"/>
      <c r="Q144" s="52" t="s">
        <v>243</v>
      </c>
      <c r="R144" s="52"/>
      <c r="T144" s="51" t="s">
        <v>705</v>
      </c>
      <c r="U144" s="51" t="s">
        <v>786</v>
      </c>
      <c r="V144" s="51" t="s">
        <v>742</v>
      </c>
      <c r="W144" s="52" t="s">
        <v>97</v>
      </c>
      <c r="Y144" s="210" t="s">
        <v>6413</v>
      </c>
      <c r="AB144" s="51" t="s">
        <v>4175</v>
      </c>
      <c r="AC144" s="51" t="s">
        <v>2067</v>
      </c>
      <c r="AD144" s="51" t="s">
        <v>742</v>
      </c>
      <c r="AE144" s="52">
        <v>1</v>
      </c>
      <c r="AF144" s="209" t="s">
        <v>97</v>
      </c>
      <c r="AG144" s="210" t="s">
        <v>6414</v>
      </c>
    </row>
    <row r="145" spans="1:34" ht="127.5" x14ac:dyDescent="0.25">
      <c r="A145" s="51" t="s">
        <v>3667</v>
      </c>
      <c r="B145" s="51">
        <v>14</v>
      </c>
      <c r="C145" s="51" t="s">
        <v>95</v>
      </c>
      <c r="D145" s="50">
        <v>1</v>
      </c>
      <c r="E145" s="50" t="s">
        <v>3685</v>
      </c>
      <c r="F145" s="189" t="str" cm="1">
        <f t="array" aca="1" ref="F145" ca="1">IF(I145=0,"",HYPERLINK("#"&amp;RIGHT(CELL("dateiname"),LEN(CELL("dateiname"))-FIND("]",CELL("dateiname")))&amp;"!"&amp;CELL("adresse",OFFSET($C$6,I145-1,0)),"Definition"))</f>
        <v>Definition</v>
      </c>
      <c r="G145" s="189" t="str" cm="1">
        <f t="array" aca="1" ref="G145" ca="1">IF(J145=0,"",HYPERLINK("#"&amp;RIGHT(CELL("adresse",OFFSET(DMAV_Modell!$A$6,J145-1,0)),LEN(CELL("adresse",OFFSET(DMAV_Modell!$A$6,J145-1,0)))-SEARCH("]",CELL("adresse",OFFSET(DMAV_Modell!$A$6,J145-1,0)))),"Modell"))</f>
        <v>Modell</v>
      </c>
      <c r="H145" s="150" t="str">
        <f t="shared" si="4"/>
        <v>DGS14</v>
      </c>
      <c r="I145" s="150">
        <f t="shared" si="5"/>
        <v>127</v>
      </c>
      <c r="J145" s="150">
        <f>IF(_xlfn.XLOOKUP(H145,Korrelation!$B$4:$B$723,Korrelation!$A$4:$A$723,0,0)=0,0,MATCH(_xlfn.XLOOKUP(H145,Korrelation!$B$4:$B$723,Korrelation!$A$4:$A$723,0,0),DMAV_Modell!$G$6:$G$677,0))</f>
        <v>244</v>
      </c>
      <c r="L145" s="51" t="s">
        <v>29</v>
      </c>
      <c r="M145" s="51" t="s">
        <v>239</v>
      </c>
      <c r="N145" s="51" t="s">
        <v>230</v>
      </c>
      <c r="O145" s="52" t="s">
        <v>2804</v>
      </c>
      <c r="P145" s="56"/>
      <c r="Q145" s="52" t="s">
        <v>244</v>
      </c>
      <c r="R145" s="52" t="s">
        <v>3744</v>
      </c>
      <c r="T145" s="51" t="s">
        <v>705</v>
      </c>
      <c r="U145" s="51" t="s">
        <v>786</v>
      </c>
      <c r="V145" s="51" t="s">
        <v>780</v>
      </c>
      <c r="W145" s="52" t="s">
        <v>6415</v>
      </c>
      <c r="Y145" s="210" t="s">
        <v>6416</v>
      </c>
      <c r="Z145" s="210" t="s">
        <v>6417</v>
      </c>
      <c r="AB145" s="51" t="s">
        <v>4175</v>
      </c>
      <c r="AC145" s="51" t="s">
        <v>2067</v>
      </c>
      <c r="AD145" s="51" t="s">
        <v>4176</v>
      </c>
      <c r="AE145" s="52">
        <v>1</v>
      </c>
      <c r="AF145" s="209" t="s">
        <v>6418</v>
      </c>
      <c r="AG145" s="210" t="s">
        <v>6419</v>
      </c>
      <c r="AH145" s="210" t="s">
        <v>6420</v>
      </c>
    </row>
    <row r="146" spans="1:34" ht="63.75" x14ac:dyDescent="0.25">
      <c r="A146" s="51" t="s">
        <v>3667</v>
      </c>
      <c r="B146" s="51">
        <v>15</v>
      </c>
      <c r="C146" s="51" t="s">
        <v>95</v>
      </c>
      <c r="D146" s="50">
        <v>1</v>
      </c>
      <c r="F146" s="189" t="str" cm="1">
        <f t="array" aca="1" ref="F146" ca="1">IF(I146=0,"",HYPERLINK("#"&amp;RIGHT(CELL("dateiname"),LEN(CELL("dateiname"))-FIND("]",CELL("dateiname")))&amp;"!"&amp;CELL("adresse",OFFSET($C$6,I146-1,0)),"Definition"))</f>
        <v/>
      </c>
      <c r="G146" s="189" t="str" cm="1">
        <f t="array" aca="1" ref="G146" ca="1">IF(J146=0,"",HYPERLINK("#"&amp;RIGHT(CELL("adresse",OFFSET(DMAV_Modell!$A$6,J146-1,0)),LEN(CELL("adresse",OFFSET(DMAV_Modell!$A$6,J146-1,0)))-SEARCH("]",CELL("adresse",OFFSET(DMAV_Modell!$A$6,J146-1,0)))),"Modell"))</f>
        <v>Modell</v>
      </c>
      <c r="H146" s="150" t="str">
        <f t="shared" si="4"/>
        <v>DGS15</v>
      </c>
      <c r="I146" s="150">
        <f t="shared" si="5"/>
        <v>0</v>
      </c>
      <c r="J146" s="150">
        <f>IF(_xlfn.XLOOKUP(H146,Korrelation!$B$4:$B$723,Korrelation!$A$4:$A$723,0,0)=0,0,MATCH(_xlfn.XLOOKUP(H146,Korrelation!$B$4:$B$723,Korrelation!$A$4:$A$723,0,0),DMAV_Modell!$G$6:$G$677,0))</f>
        <v>242</v>
      </c>
      <c r="L146" s="51" t="s">
        <v>29</v>
      </c>
      <c r="M146" s="51" t="s">
        <v>239</v>
      </c>
      <c r="N146" s="51" t="s">
        <v>245</v>
      </c>
      <c r="O146" s="52" t="s">
        <v>131</v>
      </c>
      <c r="P146" s="56"/>
      <c r="Q146" s="52" t="s">
        <v>246</v>
      </c>
      <c r="R146" s="52" t="s">
        <v>247</v>
      </c>
      <c r="T146" s="51" t="s">
        <v>705</v>
      </c>
      <c r="U146" s="51" t="s">
        <v>786</v>
      </c>
      <c r="V146" s="51" t="s">
        <v>787</v>
      </c>
      <c r="W146" s="52" t="s">
        <v>131</v>
      </c>
      <c r="Y146" s="210" t="s">
        <v>6421</v>
      </c>
      <c r="Z146" s="210" t="s">
        <v>6422</v>
      </c>
      <c r="AB146" s="51" t="s">
        <v>4175</v>
      </c>
      <c r="AC146" s="51" t="s">
        <v>2067</v>
      </c>
      <c r="AD146" s="51" t="s">
        <v>4206</v>
      </c>
      <c r="AE146" s="52">
        <v>1</v>
      </c>
      <c r="AF146" s="209" t="s">
        <v>131</v>
      </c>
      <c r="AG146" s="210" t="s">
        <v>6423</v>
      </c>
      <c r="AH146" s="210" t="s">
        <v>6424</v>
      </c>
    </row>
    <row r="147" spans="1:34" ht="165.75" x14ac:dyDescent="0.25">
      <c r="A147" s="51" t="s">
        <v>3667</v>
      </c>
      <c r="B147" s="51">
        <v>16</v>
      </c>
      <c r="C147" s="51" t="s">
        <v>95</v>
      </c>
      <c r="D147" s="50">
        <v>1</v>
      </c>
      <c r="F147" s="189" t="str" cm="1">
        <f t="array" aca="1" ref="F147" ca="1">IF(I147=0,"",HYPERLINK("#"&amp;RIGHT(CELL("dateiname"),LEN(CELL("dateiname"))-FIND("]",CELL("dateiname")))&amp;"!"&amp;CELL("adresse",OFFSET($C$6,I147-1,0)),"Definition"))</f>
        <v/>
      </c>
      <c r="G147" s="189" t="str" cm="1">
        <f t="array" aca="1" ref="G147" ca="1">IF(J147=0,"",HYPERLINK("#"&amp;RIGHT(CELL("adresse",OFFSET(DMAV_Modell!$A$6,J147-1,0)),LEN(CELL("adresse",OFFSET(DMAV_Modell!$A$6,J147-1,0)))-SEARCH("]",CELL("adresse",OFFSET(DMAV_Modell!$A$6,J147-1,0)))),"Modell"))</f>
        <v>Modell</v>
      </c>
      <c r="H147" s="150" t="str">
        <f t="shared" si="4"/>
        <v>DGS16</v>
      </c>
      <c r="I147" s="150">
        <f t="shared" si="5"/>
        <v>0</v>
      </c>
      <c r="J147" s="150">
        <f>IF(_xlfn.XLOOKUP(H147,Korrelation!$B$4:$B$723,Korrelation!$A$4:$A$723,0,0)=0,0,MATCH(_xlfn.XLOOKUP(H147,Korrelation!$B$4:$B$723,Korrelation!$A$4:$A$723,0,0),DMAV_Modell!$G$6:$G$677,0))</f>
        <v>243</v>
      </c>
      <c r="L147" s="51" t="s">
        <v>29</v>
      </c>
      <c r="M147" s="51" t="s">
        <v>239</v>
      </c>
      <c r="N147" s="51" t="s">
        <v>248</v>
      </c>
      <c r="O147" s="52" t="s">
        <v>131</v>
      </c>
      <c r="P147" s="56"/>
      <c r="Q147" s="52" t="s">
        <v>249</v>
      </c>
      <c r="R147" s="52" t="s">
        <v>3745</v>
      </c>
      <c r="T147" s="51" t="s">
        <v>705</v>
      </c>
      <c r="U147" s="51" t="s">
        <v>786</v>
      </c>
      <c r="V147" s="51" t="s">
        <v>6425</v>
      </c>
      <c r="W147" s="52" t="s">
        <v>131</v>
      </c>
      <c r="Y147" s="210" t="s">
        <v>6426</v>
      </c>
      <c r="Z147" s="230" t="s">
        <v>6530</v>
      </c>
      <c r="AB147" s="51" t="s">
        <v>4175</v>
      </c>
      <c r="AC147" s="51" t="s">
        <v>2067</v>
      </c>
      <c r="AD147" s="51" t="s">
        <v>4207</v>
      </c>
      <c r="AE147" s="52">
        <v>1</v>
      </c>
      <c r="AF147" s="209" t="s">
        <v>131</v>
      </c>
      <c r="AG147" s="210" t="s">
        <v>6427</v>
      </c>
      <c r="AH147" s="230" t="s">
        <v>6531</v>
      </c>
    </row>
    <row r="148" spans="1:34" ht="38.25" x14ac:dyDescent="0.25">
      <c r="A148" s="51" t="s">
        <v>3667</v>
      </c>
      <c r="B148" s="51">
        <v>17</v>
      </c>
      <c r="C148" s="51" t="s">
        <v>95</v>
      </c>
      <c r="D148" s="50" t="s">
        <v>72</v>
      </c>
      <c r="E148" s="50" t="s">
        <v>3683</v>
      </c>
      <c r="F148" s="189" t="str" cm="1">
        <f t="array" aca="1" ref="F148" ca="1">IF(I148=0,"",HYPERLINK("#"&amp;RIGHT(CELL("dateiname"),LEN(CELL("dateiname"))-FIND("]",CELL("dateiname")))&amp;"!"&amp;CELL("adresse",OFFSET($C$6,I148-1,0)),"Definition"))</f>
        <v>Definition</v>
      </c>
      <c r="G148" s="189" t="str" cm="1">
        <f t="array" aca="1" ref="G148" ca="1">IF(J148=0,"",HYPERLINK("#"&amp;RIGHT(CELL("adresse",OFFSET(DMAV_Modell!$A$6,J148-1,0)),LEN(CELL("adresse",OFFSET(DMAV_Modell!$A$6,J148-1,0)))-SEARCH("]",CELL("adresse",OFFSET(DMAV_Modell!$A$6,J148-1,0)))),"Modell"))</f>
        <v>Modell</v>
      </c>
      <c r="H148" s="150" t="str">
        <f t="shared" si="4"/>
        <v>DGS17</v>
      </c>
      <c r="I148" s="150">
        <f t="shared" si="5"/>
        <v>32</v>
      </c>
      <c r="J148" s="150">
        <f>IF(_xlfn.XLOOKUP(H148,Korrelation!$B$4:$B$723,Korrelation!$A$4:$A$723,0,0)=0,0,MATCH(_xlfn.XLOOKUP(H148,Korrelation!$B$4:$B$723,Korrelation!$A$4:$A$723,0,0),DMAV_Modell!$G$6:$G$677,0))</f>
        <v>245</v>
      </c>
      <c r="L148" s="51" t="s">
        <v>29</v>
      </c>
      <c r="M148" s="51" t="s">
        <v>239</v>
      </c>
      <c r="N148" s="51" t="s">
        <v>77</v>
      </c>
      <c r="O148" s="52" t="s">
        <v>250</v>
      </c>
      <c r="P148" s="56"/>
      <c r="Q148" s="52" t="s">
        <v>251</v>
      </c>
      <c r="R148" s="52" t="s">
        <v>252</v>
      </c>
      <c r="T148" s="51" t="s">
        <v>705</v>
      </c>
      <c r="U148" s="51" t="s">
        <v>786</v>
      </c>
      <c r="V148" s="51" t="s">
        <v>729</v>
      </c>
      <c r="W148" s="52" t="s">
        <v>6428</v>
      </c>
      <c r="Y148" s="210" t="s">
        <v>6429</v>
      </c>
      <c r="Z148" s="210" t="s">
        <v>6430</v>
      </c>
      <c r="AB148" s="51" t="s">
        <v>4175</v>
      </c>
      <c r="AC148" s="51" t="s">
        <v>2067</v>
      </c>
      <c r="AD148" s="51" t="s">
        <v>3933</v>
      </c>
      <c r="AE148" s="52" t="s">
        <v>6363</v>
      </c>
      <c r="AG148" s="210" t="s">
        <v>6431</v>
      </c>
      <c r="AH148" s="210" t="s">
        <v>6432</v>
      </c>
    </row>
    <row r="149" spans="1:34" ht="102" x14ac:dyDescent="0.25">
      <c r="A149" s="51" t="s">
        <v>3667</v>
      </c>
      <c r="B149" s="51">
        <v>18</v>
      </c>
      <c r="C149" s="51" t="s">
        <v>95</v>
      </c>
      <c r="D149" s="50">
        <v>1</v>
      </c>
      <c r="F149" s="189" t="str" cm="1">
        <f t="array" aca="1" ref="F149" ca="1">IF(I149=0,"",HYPERLINK("#"&amp;RIGHT(CELL("dateiname"),LEN(CELL("dateiname"))-FIND("]",CELL("dateiname")))&amp;"!"&amp;CELL("adresse",OFFSET($C$6,I149-1,0)),"Definition"))</f>
        <v/>
      </c>
      <c r="G149" s="189" t="str" cm="1">
        <f t="array" aca="1" ref="G149" ca="1">IF(J149=0,"",HYPERLINK("#"&amp;RIGHT(CELL("adresse",OFFSET(DMAV_Modell!$A$6,J149-1,0)),LEN(CELL("adresse",OFFSET(DMAV_Modell!$A$6,J149-1,0)))-SEARCH("]",CELL("adresse",OFFSET(DMAV_Modell!$A$6,J149-1,0)))),"Modell"))</f>
        <v>Modell</v>
      </c>
      <c r="H149" s="150" t="str">
        <f t="shared" si="4"/>
        <v>DGS18</v>
      </c>
      <c r="I149" s="150">
        <f t="shared" si="5"/>
        <v>0</v>
      </c>
      <c r="J149" s="150">
        <f>IF(_xlfn.XLOOKUP(H149,Korrelation!$B$4:$B$723,Korrelation!$A$4:$A$723,0,0)=0,0,MATCH(_xlfn.XLOOKUP(H149,Korrelation!$B$4:$B$723,Korrelation!$A$4:$A$723,0,0),DMAV_Modell!$G$6:$G$677,0))</f>
        <v>246</v>
      </c>
      <c r="L149" s="51" t="s">
        <v>29</v>
      </c>
      <c r="M149" s="51" t="s">
        <v>239</v>
      </c>
      <c r="N149" s="51" t="s">
        <v>213</v>
      </c>
      <c r="O149" s="52" t="s">
        <v>131</v>
      </c>
      <c r="P149" s="56" t="s">
        <v>214</v>
      </c>
      <c r="Q149" s="52" t="s">
        <v>253</v>
      </c>
      <c r="R149" s="52" t="s">
        <v>254</v>
      </c>
      <c r="T149" s="51" t="s">
        <v>705</v>
      </c>
      <c r="U149" s="51" t="s">
        <v>786</v>
      </c>
      <c r="V149" s="51" t="s">
        <v>775</v>
      </c>
      <c r="W149" s="52" t="s">
        <v>131</v>
      </c>
      <c r="X149" s="209" t="s">
        <v>214</v>
      </c>
      <c r="Y149" s="210" t="s">
        <v>6433</v>
      </c>
      <c r="Z149" s="210" t="s">
        <v>6434</v>
      </c>
      <c r="AB149" s="51" t="s">
        <v>4175</v>
      </c>
      <c r="AC149" s="51" t="s">
        <v>2067</v>
      </c>
      <c r="AD149" s="51" t="s">
        <v>4068</v>
      </c>
      <c r="AE149" s="52" t="s">
        <v>131</v>
      </c>
      <c r="AF149" s="209" t="s">
        <v>214</v>
      </c>
      <c r="AG149" s="210" t="s">
        <v>6435</v>
      </c>
      <c r="AH149" s="210" t="s">
        <v>6436</v>
      </c>
    </row>
    <row r="150" spans="1:34" ht="63.75" x14ac:dyDescent="0.25">
      <c r="A150" s="51" t="s">
        <v>3667</v>
      </c>
      <c r="B150" s="51">
        <v>19</v>
      </c>
      <c r="C150" s="51" t="s">
        <v>95</v>
      </c>
      <c r="D150" s="50" t="s">
        <v>72</v>
      </c>
      <c r="F150" s="189" t="str" cm="1">
        <f t="array" aca="1" ref="F150" ca="1">IF(I150=0,"",HYPERLINK("#"&amp;RIGHT(CELL("dateiname"),LEN(CELL("dateiname"))-FIND("]",CELL("dateiname")))&amp;"!"&amp;CELL("adresse",OFFSET($C$6,I150-1,0)),"Definition"))</f>
        <v/>
      </c>
      <c r="G150" s="189" t="str" cm="1">
        <f t="array" aca="1" ref="G150" ca="1">IF(J150=0,"",HYPERLINK("#"&amp;RIGHT(CELL("adresse",OFFSET(DMAV_Modell!$A$6,J150-1,0)),LEN(CELL("adresse",OFFSET(DMAV_Modell!$A$6,J150-1,0)))-SEARCH("]",CELL("adresse",OFFSET(DMAV_Modell!$A$6,J150-1,0)))),"Modell"))</f>
        <v>Modell</v>
      </c>
      <c r="H150" s="150" t="str">
        <f t="shared" si="4"/>
        <v>DGS19</v>
      </c>
      <c r="I150" s="150">
        <f t="shared" si="5"/>
        <v>0</v>
      </c>
      <c r="J150" s="150">
        <f>IF(_xlfn.XLOOKUP(H150,Korrelation!$B$4:$B$723,Korrelation!$A$4:$A$723,0,0)=0,0,MATCH(_xlfn.XLOOKUP(H150,Korrelation!$B$4:$B$723,Korrelation!$A$4:$A$723,0,0),DMAV_Modell!$G$6:$G$677,0))</f>
        <v>247</v>
      </c>
      <c r="L150" s="51" t="s">
        <v>29</v>
      </c>
      <c r="M150" s="51" t="s">
        <v>239</v>
      </c>
      <c r="N150" s="51" t="s">
        <v>255</v>
      </c>
      <c r="O150" s="52" t="s">
        <v>256</v>
      </c>
      <c r="P150" s="56"/>
      <c r="Q150" s="52" t="s">
        <v>257</v>
      </c>
      <c r="R150" s="52" t="s">
        <v>258</v>
      </c>
      <c r="T150" s="51" t="s">
        <v>705</v>
      </c>
      <c r="U150" s="51" t="s">
        <v>786</v>
      </c>
      <c r="V150" s="51" t="s">
        <v>788</v>
      </c>
      <c r="W150" s="52" t="s">
        <v>256</v>
      </c>
      <c r="Y150" s="210" t="s">
        <v>6437</v>
      </c>
      <c r="Z150" s="210" t="s">
        <v>6438</v>
      </c>
      <c r="AB150" s="51" t="s">
        <v>4175</v>
      </c>
      <c r="AC150" s="51" t="s">
        <v>2067</v>
      </c>
      <c r="AD150" s="51" t="s">
        <v>788</v>
      </c>
      <c r="AE150" s="52" t="s">
        <v>256</v>
      </c>
      <c r="AG150" s="210" t="s">
        <v>6439</v>
      </c>
      <c r="AH150" s="210" t="s">
        <v>6440</v>
      </c>
    </row>
    <row r="151" spans="1:34" ht="76.5" x14ac:dyDescent="0.25">
      <c r="A151" s="51" t="s">
        <v>3667</v>
      </c>
      <c r="B151" s="51">
        <v>20</v>
      </c>
      <c r="C151" s="51" t="s">
        <v>95</v>
      </c>
      <c r="D151" s="50" t="s">
        <v>72</v>
      </c>
      <c r="F151" s="189" t="str" cm="1">
        <f t="array" aca="1" ref="F151" ca="1">IF(I151=0,"",HYPERLINK("#"&amp;RIGHT(CELL("dateiname"),LEN(CELL("dateiname"))-FIND("]",CELL("dateiname")))&amp;"!"&amp;CELL("adresse",OFFSET($C$6,I151-1,0)),"Definition"))</f>
        <v/>
      </c>
      <c r="G151" s="189" t="str" cm="1">
        <f t="array" aca="1" ref="G151" ca="1">IF(J151=0,"",HYPERLINK("#"&amp;RIGHT(CELL("adresse",OFFSET(DMAV_Modell!$A$6,J151-1,0)),LEN(CELL("adresse",OFFSET(DMAV_Modell!$A$6,J151-1,0)))-SEARCH("]",CELL("adresse",OFFSET(DMAV_Modell!$A$6,J151-1,0)))),"Modell"))</f>
        <v>Modell</v>
      </c>
      <c r="H151" s="150" t="str">
        <f t="shared" si="4"/>
        <v>DGS20</v>
      </c>
      <c r="I151" s="150">
        <f t="shared" si="5"/>
        <v>0</v>
      </c>
      <c r="J151" s="150">
        <f>IF(_xlfn.XLOOKUP(H151,Korrelation!$B$4:$B$723,Korrelation!$A$4:$A$723,0,0)=0,0,MATCH(_xlfn.XLOOKUP(H151,Korrelation!$B$4:$B$723,Korrelation!$A$4:$A$723,0,0),DMAV_Modell!$G$6:$G$677,0))</f>
        <v>259</v>
      </c>
      <c r="L151" s="51" t="s">
        <v>29</v>
      </c>
      <c r="M151" s="51" t="s">
        <v>231</v>
      </c>
      <c r="N151" s="51" t="s">
        <v>259</v>
      </c>
      <c r="O151" s="52" t="s">
        <v>97</v>
      </c>
      <c r="P151" s="56"/>
      <c r="Q151" s="52" t="s">
        <v>260</v>
      </c>
      <c r="R151" s="52" t="s">
        <v>261</v>
      </c>
      <c r="T151" s="51" t="s">
        <v>705</v>
      </c>
      <c r="U151" s="51" t="s">
        <v>789</v>
      </c>
      <c r="V151" s="51" t="s">
        <v>790</v>
      </c>
      <c r="W151" s="52" t="s">
        <v>97</v>
      </c>
      <c r="Y151" s="210" t="s">
        <v>6441</v>
      </c>
      <c r="Z151" s="210" t="s">
        <v>6442</v>
      </c>
      <c r="AB151" s="51" t="s">
        <v>4175</v>
      </c>
      <c r="AC151" s="51" t="s">
        <v>4223</v>
      </c>
      <c r="AD151" s="51" t="s">
        <v>2022</v>
      </c>
      <c r="AE151" s="52" t="s">
        <v>97</v>
      </c>
      <c r="AG151" s="210" t="s">
        <v>6443</v>
      </c>
      <c r="AH151" s="210" t="s">
        <v>6444</v>
      </c>
    </row>
    <row r="152" spans="1:34" ht="140.25" x14ac:dyDescent="0.25">
      <c r="A152" s="51" t="s">
        <v>3667</v>
      </c>
      <c r="B152" s="51">
        <v>21</v>
      </c>
      <c r="C152" s="51" t="s">
        <v>95</v>
      </c>
      <c r="D152" s="50">
        <v>1</v>
      </c>
      <c r="F152" s="189" t="str" cm="1">
        <f t="array" aca="1" ref="F152" ca="1">IF(I152=0,"",HYPERLINK("#"&amp;RIGHT(CELL("dateiname"),LEN(CELL("dateiname"))-FIND("]",CELL("dateiname")))&amp;"!"&amp;CELL("adresse",OFFSET($C$6,I152-1,0)),"Definition"))</f>
        <v/>
      </c>
      <c r="G152" s="189" t="str" cm="1">
        <f t="array" aca="1" ref="G152" ca="1">IF(J152=0,"",HYPERLINK("#"&amp;RIGHT(CELL("adresse",OFFSET(DMAV_Modell!$A$6,J152-1,0)),LEN(CELL("adresse",OFFSET(DMAV_Modell!$A$6,J152-1,0)))-SEARCH("]",CELL("adresse",OFFSET(DMAV_Modell!$A$6,J152-1,0)))),"Modell"))</f>
        <v>Modell</v>
      </c>
      <c r="H152" s="150" t="str">
        <f t="shared" si="4"/>
        <v>DGS21</v>
      </c>
      <c r="I152" s="150">
        <f t="shared" si="5"/>
        <v>0</v>
      </c>
      <c r="J152" s="150">
        <f>IF(_xlfn.XLOOKUP(H152,Korrelation!$B$4:$B$723,Korrelation!$A$4:$A$723,0,0)=0,0,MATCH(_xlfn.XLOOKUP(H152,Korrelation!$B$4:$B$723,Korrelation!$A$4:$A$723,0,0),DMAV_Modell!$G$6:$G$677,0))</f>
        <v>260</v>
      </c>
      <c r="L152" s="51" t="s">
        <v>29</v>
      </c>
      <c r="M152" s="51" t="s">
        <v>231</v>
      </c>
      <c r="N152" s="51" t="s">
        <v>123</v>
      </c>
      <c r="O152" s="52" t="s">
        <v>105</v>
      </c>
      <c r="P152" s="56"/>
      <c r="Q152" s="52" t="s">
        <v>3746</v>
      </c>
      <c r="R152" s="52" t="s">
        <v>262</v>
      </c>
      <c r="T152" s="51" t="s">
        <v>705</v>
      </c>
      <c r="U152" s="51" t="s">
        <v>789</v>
      </c>
      <c r="V152" s="51" t="s">
        <v>123</v>
      </c>
      <c r="W152" s="52" t="s">
        <v>105</v>
      </c>
      <c r="Y152" s="210" t="s">
        <v>6249</v>
      </c>
      <c r="Z152" s="210" t="s">
        <v>6445</v>
      </c>
      <c r="AB152" s="51" t="s">
        <v>4175</v>
      </c>
      <c r="AC152" s="51" t="s">
        <v>4223</v>
      </c>
      <c r="AD152" s="51" t="s">
        <v>1247</v>
      </c>
      <c r="AE152" s="52" t="s">
        <v>105</v>
      </c>
      <c r="AG152" s="210" t="s">
        <v>6389</v>
      </c>
      <c r="AH152" s="210" t="s">
        <v>6446</v>
      </c>
    </row>
    <row r="153" spans="1:34" ht="76.5" x14ac:dyDescent="0.25">
      <c r="A153" s="51" t="s">
        <v>3667</v>
      </c>
      <c r="B153" s="51">
        <v>22</v>
      </c>
      <c r="C153" s="51" t="s">
        <v>95</v>
      </c>
      <c r="D153" s="50" t="s">
        <v>72</v>
      </c>
      <c r="F153" s="189" t="str" cm="1">
        <f t="array" aca="1" ref="F153" ca="1">IF(I153=0,"",HYPERLINK("#"&amp;RIGHT(CELL("dateiname"),LEN(CELL("dateiname"))-FIND("]",CELL("dateiname")))&amp;"!"&amp;CELL("adresse",OFFSET($C$6,I153-1,0)),"Definition"))</f>
        <v/>
      </c>
      <c r="G153" s="189" t="str" cm="1">
        <f t="array" aca="1" ref="G153" ca="1">IF(J153=0,"",HYPERLINK("#"&amp;RIGHT(CELL("adresse",OFFSET(DMAV_Modell!$A$6,J153-1,0)),LEN(CELL("adresse",OFFSET(DMAV_Modell!$A$6,J153-1,0)))-SEARCH("]",CELL("adresse",OFFSET(DMAV_Modell!$A$6,J153-1,0)))),"Modell"))</f>
        <v>Modell</v>
      </c>
      <c r="H153" s="150" t="str">
        <f t="shared" si="4"/>
        <v>DGS22</v>
      </c>
      <c r="I153" s="150">
        <f t="shared" si="5"/>
        <v>0</v>
      </c>
      <c r="J153" s="150">
        <f>IF(_xlfn.XLOOKUP(H153,Korrelation!$B$4:$B$723,Korrelation!$A$4:$A$723,0,0)=0,0,MATCH(_xlfn.XLOOKUP(H153,Korrelation!$B$4:$B$723,Korrelation!$A$4:$A$723,0,0),DMAV_Modell!$G$6:$G$677,0))</f>
        <v>263</v>
      </c>
      <c r="L153" s="51" t="s">
        <v>29</v>
      </c>
      <c r="M153" s="51" t="s">
        <v>231</v>
      </c>
      <c r="N153" s="51" t="s">
        <v>218</v>
      </c>
      <c r="O153" s="52" t="s">
        <v>219</v>
      </c>
      <c r="P153" s="56"/>
      <c r="Q153" s="52" t="s">
        <v>263</v>
      </c>
      <c r="R153" s="52" t="s">
        <v>264</v>
      </c>
      <c r="T153" s="51" t="s">
        <v>705</v>
      </c>
      <c r="U153" s="51" t="s">
        <v>789</v>
      </c>
      <c r="V153" s="51" t="s">
        <v>791</v>
      </c>
      <c r="W153" s="52" t="s">
        <v>219</v>
      </c>
      <c r="Y153" s="210" t="s">
        <v>6447</v>
      </c>
      <c r="Z153" s="210" t="s">
        <v>6448</v>
      </c>
      <c r="AB153" s="51" t="s">
        <v>4175</v>
      </c>
      <c r="AC153" s="51" t="s">
        <v>4223</v>
      </c>
      <c r="AD153" s="51" t="s">
        <v>4091</v>
      </c>
      <c r="AE153" s="52" t="s">
        <v>219</v>
      </c>
      <c r="AG153" s="210" t="s">
        <v>6449</v>
      </c>
      <c r="AH153" s="210" t="s">
        <v>6450</v>
      </c>
    </row>
    <row r="154" spans="1:34" ht="25.5" x14ac:dyDescent="0.25">
      <c r="A154" s="51" t="s">
        <v>3667</v>
      </c>
      <c r="B154" s="51">
        <v>23</v>
      </c>
      <c r="C154" s="51" t="s">
        <v>95</v>
      </c>
      <c r="D154" s="50">
        <v>1</v>
      </c>
      <c r="E154" s="50" t="s">
        <v>3686</v>
      </c>
      <c r="F154" s="189" t="str" cm="1">
        <f t="array" aca="1" ref="F154" ca="1">IF(I154=0,"",HYPERLINK("#"&amp;RIGHT(CELL("dateiname"),LEN(CELL("dateiname"))-FIND("]",CELL("dateiname")))&amp;"!"&amp;CELL("adresse",OFFSET($C$6,I154-1,0)),"Definition"))</f>
        <v>Definition</v>
      </c>
      <c r="G154" s="189" t="str" cm="1">
        <f t="array" aca="1" ref="G154" ca="1">IF(J154=0,"",HYPERLINK("#"&amp;RIGHT(CELL("adresse",OFFSET(DMAV_Modell!$A$6,J154-1,0)),LEN(CELL("adresse",OFFSET(DMAV_Modell!$A$6,J154-1,0)))-SEARCH("]",CELL("adresse",OFFSET(DMAV_Modell!$A$6,J154-1,0)))),"Modell"))</f>
        <v>Modell</v>
      </c>
      <c r="H154" s="150" t="str">
        <f t="shared" si="4"/>
        <v>DGS23</v>
      </c>
      <c r="I154" s="150">
        <f t="shared" si="5"/>
        <v>13</v>
      </c>
      <c r="J154" s="150">
        <f>IF(_xlfn.XLOOKUP(H154,Korrelation!$B$4:$B$723,Korrelation!$A$4:$A$723,0,0)=0,0,MATCH(_xlfn.XLOOKUP(H154,Korrelation!$B$4:$B$723,Korrelation!$A$4:$A$723,0,0),DMAV_Modell!$G$6:$G$677,0))</f>
        <v>264</v>
      </c>
      <c r="L154" s="51" t="s">
        <v>29</v>
      </c>
      <c r="M154" s="51" t="s">
        <v>231</v>
      </c>
      <c r="N154" s="51" t="s">
        <v>265</v>
      </c>
      <c r="O154" s="52" t="s">
        <v>2800</v>
      </c>
      <c r="P154" s="56"/>
      <c r="Q154" s="52" t="s">
        <v>266</v>
      </c>
      <c r="R154" s="52" t="s">
        <v>267</v>
      </c>
      <c r="T154" s="51" t="s">
        <v>705</v>
      </c>
      <c r="U154" s="51" t="s">
        <v>789</v>
      </c>
      <c r="V154" s="51" t="s">
        <v>711</v>
      </c>
      <c r="W154" s="52" t="s">
        <v>6451</v>
      </c>
      <c r="Y154" s="210" t="s">
        <v>6452</v>
      </c>
      <c r="Z154" s="210" t="s">
        <v>6453</v>
      </c>
      <c r="AB154" s="51" t="s">
        <v>4175</v>
      </c>
      <c r="AC154" s="51" t="s">
        <v>4223</v>
      </c>
      <c r="AD154" s="51" t="s">
        <v>1976</v>
      </c>
      <c r="AE154" s="52" t="s">
        <v>6454</v>
      </c>
      <c r="AG154" s="210" t="s">
        <v>6455</v>
      </c>
      <c r="AH154" s="210" t="s">
        <v>6456</v>
      </c>
    </row>
    <row r="155" spans="1:34" ht="38.25" x14ac:dyDescent="0.25">
      <c r="A155" s="51" t="s">
        <v>3667</v>
      </c>
      <c r="B155" s="51">
        <v>24</v>
      </c>
      <c r="C155" s="51" t="s">
        <v>95</v>
      </c>
      <c r="D155" s="50">
        <v>1</v>
      </c>
      <c r="F155" s="189" t="str" cm="1">
        <f t="array" aca="1" ref="F155" ca="1">IF(I155=0,"",HYPERLINK("#"&amp;RIGHT(CELL("dateiname"),LEN(CELL("dateiname"))-FIND("]",CELL("dateiname")))&amp;"!"&amp;CELL("adresse",OFFSET($C$6,I155-1,0)),"Definition"))</f>
        <v/>
      </c>
      <c r="G155" s="189" t="str" cm="1">
        <f t="array" aca="1" ref="G155" ca="1">IF(J155=0,"",HYPERLINK("#"&amp;RIGHT(CELL("adresse",OFFSET(DMAV_Modell!$A$6,J155-1,0)),LEN(CELL("adresse",OFFSET(DMAV_Modell!$A$6,J155-1,0)))-SEARCH("]",CELL("adresse",OFFSET(DMAV_Modell!$A$6,J155-1,0)))),"Modell"))</f>
        <v>Modell</v>
      </c>
      <c r="H155" s="150" t="str">
        <f t="shared" si="4"/>
        <v>DGS24</v>
      </c>
      <c r="I155" s="150">
        <f t="shared" si="5"/>
        <v>0</v>
      </c>
      <c r="J155" s="150">
        <f>IF(_xlfn.XLOOKUP(H155,Korrelation!$B$4:$B$723,Korrelation!$A$4:$A$723,0,0)=0,0,MATCH(_xlfn.XLOOKUP(H155,Korrelation!$B$4:$B$723,Korrelation!$A$4:$A$723,0,0),DMAV_Modell!$G$6:$G$677,0))</f>
        <v>261</v>
      </c>
      <c r="L155" s="51" t="s">
        <v>29</v>
      </c>
      <c r="M155" s="51" t="s">
        <v>231</v>
      </c>
      <c r="N155" s="51" t="s">
        <v>213</v>
      </c>
      <c r="O155" s="52" t="s">
        <v>131</v>
      </c>
      <c r="P155" s="56" t="s">
        <v>214</v>
      </c>
      <c r="Q155" s="52" t="s">
        <v>268</v>
      </c>
      <c r="R155" s="52" t="s">
        <v>269</v>
      </c>
      <c r="T155" s="51" t="s">
        <v>705</v>
      </c>
      <c r="U155" s="51" t="s">
        <v>789</v>
      </c>
      <c r="V155" s="51" t="s">
        <v>775</v>
      </c>
      <c r="W155" s="52" t="s">
        <v>131</v>
      </c>
      <c r="X155" s="209" t="s">
        <v>214</v>
      </c>
      <c r="Y155" s="210" t="s">
        <v>6457</v>
      </c>
      <c r="Z155" s="210" t="s">
        <v>6458</v>
      </c>
      <c r="AB155" s="51" t="s">
        <v>4175</v>
      </c>
      <c r="AC155" s="51" t="s">
        <v>4223</v>
      </c>
      <c r="AD155" s="51" t="s">
        <v>4068</v>
      </c>
      <c r="AE155" s="52" t="s">
        <v>131</v>
      </c>
      <c r="AF155" s="209" t="s">
        <v>214</v>
      </c>
      <c r="AG155" s="210" t="s">
        <v>6459</v>
      </c>
      <c r="AH155" s="210" t="s">
        <v>6460</v>
      </c>
    </row>
    <row r="156" spans="1:34" x14ac:dyDescent="0.25">
      <c r="A156" s="51" t="s">
        <v>3667</v>
      </c>
      <c r="B156" s="51">
        <v>25</v>
      </c>
      <c r="C156" s="51" t="s">
        <v>95</v>
      </c>
      <c r="D156" s="50">
        <v>1</v>
      </c>
      <c r="F156" s="189" t="str" cm="1">
        <f t="array" aca="1" ref="F156" ca="1">IF(I156=0,"",HYPERLINK("#"&amp;RIGHT(CELL("dateiname"),LEN(CELL("dateiname"))-FIND("]",CELL("dateiname")))&amp;"!"&amp;CELL("adresse",OFFSET($C$6,I156-1,0)),"Definition"))</f>
        <v/>
      </c>
      <c r="G156" s="189" t="str" cm="1">
        <f t="array" aca="1" ref="G156" ca="1">IF(J156=0,"",HYPERLINK("#"&amp;RIGHT(CELL("adresse",OFFSET(DMAV_Modell!$A$6,J156-1,0)),LEN(CELL("adresse",OFFSET(DMAV_Modell!$A$6,J156-1,0)))-SEARCH("]",CELL("adresse",OFFSET(DMAV_Modell!$A$6,J156-1,0)))),"Modell"))</f>
        <v>Modell</v>
      </c>
      <c r="H156" s="150" t="str">
        <f t="shared" si="4"/>
        <v>DGS25</v>
      </c>
      <c r="I156" s="150">
        <f t="shared" si="5"/>
        <v>0</v>
      </c>
      <c r="J156" s="150">
        <f>IF(_xlfn.XLOOKUP(H156,Korrelation!$B$4:$B$723,Korrelation!$A$4:$A$723,0,0)=0,0,MATCH(_xlfn.XLOOKUP(H156,Korrelation!$B$4:$B$723,Korrelation!$A$4:$A$723,0,0),DMAV_Modell!$G$6:$G$677,0))</f>
        <v>262</v>
      </c>
      <c r="L156" s="51" t="s">
        <v>29</v>
      </c>
      <c r="M156" s="51" t="s">
        <v>231</v>
      </c>
      <c r="N156" s="51" t="s">
        <v>270</v>
      </c>
      <c r="O156" s="52" t="s">
        <v>256</v>
      </c>
      <c r="P156" s="56"/>
      <c r="Q156" s="52" t="s">
        <v>271</v>
      </c>
      <c r="R156" s="52"/>
      <c r="T156" s="51" t="s">
        <v>705</v>
      </c>
      <c r="U156" s="51" t="s">
        <v>789</v>
      </c>
      <c r="V156" s="51" t="s">
        <v>792</v>
      </c>
      <c r="W156" s="52" t="s">
        <v>256</v>
      </c>
      <c r="Y156" s="210" t="s">
        <v>6461</v>
      </c>
      <c r="AB156" s="51" t="s">
        <v>4175</v>
      </c>
      <c r="AC156" s="51" t="s">
        <v>4223</v>
      </c>
      <c r="AD156" s="51" t="s">
        <v>792</v>
      </c>
      <c r="AE156" s="52" t="s">
        <v>256</v>
      </c>
      <c r="AG156" s="210" t="s">
        <v>6462</v>
      </c>
    </row>
    <row r="157" spans="1:34" ht="76.5" x14ac:dyDescent="0.25">
      <c r="A157" s="51" t="s">
        <v>3667</v>
      </c>
      <c r="B157" s="51">
        <v>26</v>
      </c>
      <c r="C157" s="51" t="s">
        <v>95</v>
      </c>
      <c r="D157" s="50" t="s">
        <v>72</v>
      </c>
      <c r="F157" s="189" t="str" cm="1">
        <f t="array" aca="1" ref="F157" ca="1">IF(I157=0,"",HYPERLINK("#"&amp;RIGHT(CELL("dateiname"),LEN(CELL("dateiname"))-FIND("]",CELL("dateiname")))&amp;"!"&amp;CELL("adresse",OFFSET($C$6,I157-1,0)),"Definition"))</f>
        <v/>
      </c>
      <c r="G157" s="189" t="str" cm="1">
        <f t="array" aca="1" ref="G157" ca="1">IF(J157=0,"",HYPERLINK("#"&amp;RIGHT(CELL("adresse",OFFSET(DMAV_Modell!$A$6,J157-1,0)),LEN(CELL("adresse",OFFSET(DMAV_Modell!$A$6,J157-1,0)))-SEARCH("]",CELL("adresse",OFFSET(DMAV_Modell!$A$6,J157-1,0)))),"Modell"))</f>
        <v>Modell</v>
      </c>
      <c r="H157" s="150" t="str">
        <f t="shared" si="4"/>
        <v>DGS26</v>
      </c>
      <c r="I157" s="150">
        <f t="shared" si="5"/>
        <v>0</v>
      </c>
      <c r="J157" s="150">
        <f>IF(_xlfn.XLOOKUP(H157,Korrelation!$B$4:$B$723,Korrelation!$A$4:$A$723,0,0)=0,0,MATCH(_xlfn.XLOOKUP(H157,Korrelation!$B$4:$B$723,Korrelation!$A$4:$A$723,0,0),DMAV_Modell!$G$6:$G$677,0))</f>
        <v>276</v>
      </c>
      <c r="L157" s="51" t="s">
        <v>29</v>
      </c>
      <c r="M157" s="51" t="s">
        <v>233</v>
      </c>
      <c r="N157" s="51" t="s">
        <v>259</v>
      </c>
      <c r="O157" s="52" t="s">
        <v>97</v>
      </c>
      <c r="P157" s="56"/>
      <c r="Q157" s="52" t="s">
        <v>272</v>
      </c>
      <c r="R157" s="52" t="s">
        <v>273</v>
      </c>
      <c r="T157" s="51" t="s">
        <v>705</v>
      </c>
      <c r="U157" s="51" t="s">
        <v>793</v>
      </c>
      <c r="V157" s="51" t="s">
        <v>790</v>
      </c>
      <c r="W157" s="52" t="s">
        <v>97</v>
      </c>
      <c r="Y157" s="210" t="s">
        <v>6463</v>
      </c>
      <c r="Z157" s="210" t="s">
        <v>6442</v>
      </c>
      <c r="AB157" s="51" t="s">
        <v>4175</v>
      </c>
      <c r="AC157" s="51" t="s">
        <v>4244</v>
      </c>
      <c r="AD157" s="51" t="s">
        <v>2022</v>
      </c>
      <c r="AE157" s="52" t="s">
        <v>97</v>
      </c>
      <c r="AG157" s="210" t="s">
        <v>6464</v>
      </c>
      <c r="AH157" s="210" t="s">
        <v>6444</v>
      </c>
    </row>
    <row r="158" spans="1:34" ht="89.25" x14ac:dyDescent="0.25">
      <c r="A158" s="51" t="s">
        <v>3667</v>
      </c>
      <c r="B158" s="51">
        <v>27</v>
      </c>
      <c r="C158" s="51" t="s">
        <v>95</v>
      </c>
      <c r="D158" s="50">
        <v>1</v>
      </c>
      <c r="F158" s="189" t="str" cm="1">
        <f t="array" aca="1" ref="F158" ca="1">IF(I158=0,"",HYPERLINK("#"&amp;RIGHT(CELL("dateiname"),LEN(CELL("dateiname"))-FIND("]",CELL("dateiname")))&amp;"!"&amp;CELL("adresse",OFFSET($C$6,I158-1,0)),"Definition"))</f>
        <v/>
      </c>
      <c r="G158" s="189" t="str" cm="1">
        <f t="array" aca="1" ref="G158" ca="1">IF(J158=0,"",HYPERLINK("#"&amp;RIGHT(CELL("adresse",OFFSET(DMAV_Modell!$A$6,J158-1,0)),LEN(CELL("adresse",OFFSET(DMAV_Modell!$A$6,J158-1,0)))-SEARCH("]",CELL("adresse",OFFSET(DMAV_Modell!$A$6,J158-1,0)))),"Modell"))</f>
        <v>Modell</v>
      </c>
      <c r="H158" s="150" t="str">
        <f t="shared" si="4"/>
        <v>DGS27</v>
      </c>
      <c r="I158" s="150">
        <f t="shared" si="5"/>
        <v>0</v>
      </c>
      <c r="J158" s="150">
        <f>IF(_xlfn.XLOOKUP(H158,Korrelation!$B$4:$B$723,Korrelation!$A$4:$A$723,0,0)=0,0,MATCH(_xlfn.XLOOKUP(H158,Korrelation!$B$4:$B$723,Korrelation!$A$4:$A$723,0,0),DMAV_Modell!$G$6:$G$677,0))</f>
        <v>277</v>
      </c>
      <c r="L158" s="51" t="s">
        <v>29</v>
      </c>
      <c r="M158" s="51" t="s">
        <v>233</v>
      </c>
      <c r="N158" s="51" t="s">
        <v>123</v>
      </c>
      <c r="O158" s="52" t="s">
        <v>105</v>
      </c>
      <c r="P158" s="56"/>
      <c r="Q158" s="52" t="s">
        <v>3742</v>
      </c>
      <c r="R158" s="52" t="s">
        <v>274</v>
      </c>
      <c r="T158" s="51" t="s">
        <v>705</v>
      </c>
      <c r="U158" s="51" t="s">
        <v>793</v>
      </c>
      <c r="V158" s="51" t="s">
        <v>123</v>
      </c>
      <c r="W158" s="52" t="s">
        <v>105</v>
      </c>
      <c r="Y158" s="210" t="s">
        <v>6465</v>
      </c>
      <c r="Z158" s="210" t="s">
        <v>6466</v>
      </c>
      <c r="AB158" s="51" t="s">
        <v>4175</v>
      </c>
      <c r="AC158" s="51" t="s">
        <v>4244</v>
      </c>
      <c r="AD158" s="51" t="s">
        <v>1247</v>
      </c>
      <c r="AE158" s="52" t="s">
        <v>105</v>
      </c>
      <c r="AG158" s="210" t="s">
        <v>6389</v>
      </c>
      <c r="AH158" s="210" t="s">
        <v>6467</v>
      </c>
    </row>
    <row r="159" spans="1:34" ht="76.5" x14ac:dyDescent="0.25">
      <c r="A159" s="51" t="s">
        <v>3667</v>
      </c>
      <c r="B159" s="51">
        <v>28</v>
      </c>
      <c r="C159" s="51" t="s">
        <v>95</v>
      </c>
      <c r="D159" s="50" t="s">
        <v>72</v>
      </c>
      <c r="F159" s="189" t="str" cm="1">
        <f t="array" aca="1" ref="F159" ca="1">IF(I159=0,"",HYPERLINK("#"&amp;RIGHT(CELL("dateiname"),LEN(CELL("dateiname"))-FIND("]",CELL("dateiname")))&amp;"!"&amp;CELL("adresse",OFFSET($C$6,I159-1,0)),"Definition"))</f>
        <v/>
      </c>
      <c r="G159" s="189" t="str" cm="1">
        <f t="array" aca="1" ref="G159" ca="1">IF(J159=0,"",HYPERLINK("#"&amp;RIGHT(CELL("adresse",OFFSET(DMAV_Modell!$A$6,J159-1,0)),LEN(CELL("adresse",OFFSET(DMAV_Modell!$A$6,J159-1,0)))-SEARCH("]",CELL("adresse",OFFSET(DMAV_Modell!$A$6,J159-1,0)))),"Modell"))</f>
        <v>Modell</v>
      </c>
      <c r="H159" s="150" t="str">
        <f t="shared" si="4"/>
        <v>DGS28</v>
      </c>
      <c r="I159" s="150">
        <f t="shared" si="5"/>
        <v>0</v>
      </c>
      <c r="J159" s="150">
        <f>IF(_xlfn.XLOOKUP(H159,Korrelation!$B$4:$B$723,Korrelation!$A$4:$A$723,0,0)=0,0,MATCH(_xlfn.XLOOKUP(H159,Korrelation!$B$4:$B$723,Korrelation!$A$4:$A$723,0,0),DMAV_Modell!$G$6:$G$677,0))</f>
        <v>279</v>
      </c>
      <c r="L159" s="51" t="s">
        <v>29</v>
      </c>
      <c r="M159" s="51" t="s">
        <v>233</v>
      </c>
      <c r="N159" s="51" t="s">
        <v>218</v>
      </c>
      <c r="O159" s="52" t="s">
        <v>219</v>
      </c>
      <c r="P159" s="56"/>
      <c r="Q159" s="52" t="s">
        <v>275</v>
      </c>
      <c r="R159" s="52" t="s">
        <v>276</v>
      </c>
      <c r="T159" s="51" t="s">
        <v>705</v>
      </c>
      <c r="U159" s="51" t="s">
        <v>793</v>
      </c>
      <c r="V159" s="51" t="s">
        <v>791</v>
      </c>
      <c r="W159" s="52" t="s">
        <v>219</v>
      </c>
      <c r="Y159" s="210" t="s">
        <v>6468</v>
      </c>
      <c r="Z159" s="210" t="s">
        <v>6469</v>
      </c>
      <c r="AB159" s="51" t="s">
        <v>4175</v>
      </c>
      <c r="AC159" s="51" t="s">
        <v>4244</v>
      </c>
      <c r="AD159" s="51" t="s">
        <v>4091</v>
      </c>
      <c r="AE159" s="52" t="s">
        <v>219</v>
      </c>
      <c r="AG159" s="210" t="s">
        <v>6470</v>
      </c>
      <c r="AH159" s="210" t="s">
        <v>6471</v>
      </c>
    </row>
    <row r="160" spans="1:34" ht="25.5" x14ac:dyDescent="0.25">
      <c r="A160" s="51" t="s">
        <v>3667</v>
      </c>
      <c r="B160" s="51">
        <v>29</v>
      </c>
      <c r="C160" s="51" t="s">
        <v>95</v>
      </c>
      <c r="D160" s="50">
        <v>1</v>
      </c>
      <c r="F160" s="189" t="str" cm="1">
        <f t="array" aca="1" ref="F160" ca="1">IF(I160=0,"",HYPERLINK("#"&amp;RIGHT(CELL("dateiname"),LEN(CELL("dateiname"))-FIND("]",CELL("dateiname")))&amp;"!"&amp;CELL("adresse",OFFSET($C$6,I160-1,0)),"Definition"))</f>
        <v/>
      </c>
      <c r="G160" s="189" t="str" cm="1">
        <f t="array" aca="1" ref="G160" ca="1">IF(J160=0,"",HYPERLINK("#"&amp;RIGHT(CELL("adresse",OFFSET(DMAV_Modell!$A$6,J160-1,0)),LEN(CELL("adresse",OFFSET(DMAV_Modell!$A$6,J160-1,0)))-SEARCH("]",CELL("adresse",OFFSET(DMAV_Modell!$A$6,J160-1,0)))),"Modell"))</f>
        <v>Modell</v>
      </c>
      <c r="H160" s="150" t="str">
        <f t="shared" si="4"/>
        <v>DGS29</v>
      </c>
      <c r="I160" s="150">
        <f t="shared" si="5"/>
        <v>0</v>
      </c>
      <c r="J160" s="150">
        <f>IF(_xlfn.XLOOKUP(H160,Korrelation!$B$4:$B$723,Korrelation!$A$4:$A$723,0,0)=0,0,MATCH(_xlfn.XLOOKUP(H160,Korrelation!$B$4:$B$723,Korrelation!$A$4:$A$723,0,0),DMAV_Modell!$G$6:$G$677,0))</f>
        <v>278</v>
      </c>
      <c r="L160" s="51" t="s">
        <v>29</v>
      </c>
      <c r="M160" s="51" t="s">
        <v>233</v>
      </c>
      <c r="N160" s="51" t="s">
        <v>270</v>
      </c>
      <c r="O160" s="52" t="s">
        <v>256</v>
      </c>
      <c r="P160" s="56"/>
      <c r="Q160" s="52" t="s">
        <v>277</v>
      </c>
      <c r="R160" s="52"/>
      <c r="T160" s="51" t="s">
        <v>705</v>
      </c>
      <c r="U160" s="51" t="s">
        <v>793</v>
      </c>
      <c r="V160" s="51" t="s">
        <v>792</v>
      </c>
      <c r="W160" s="52" t="s">
        <v>256</v>
      </c>
      <c r="Y160" s="210" t="s">
        <v>6472</v>
      </c>
      <c r="AB160" s="51" t="s">
        <v>4175</v>
      </c>
      <c r="AC160" s="51" t="s">
        <v>4244</v>
      </c>
      <c r="AD160" s="51" t="s">
        <v>792</v>
      </c>
      <c r="AE160" s="52" t="s">
        <v>256</v>
      </c>
      <c r="AG160" s="210" t="s">
        <v>6473</v>
      </c>
    </row>
    <row r="161" spans="1:34" ht="51" x14ac:dyDescent="0.25">
      <c r="A161" s="51" t="s">
        <v>3667</v>
      </c>
      <c r="B161" s="51">
        <v>30</v>
      </c>
      <c r="C161" s="51" t="s">
        <v>95</v>
      </c>
      <c r="D161" s="50" t="s">
        <v>72</v>
      </c>
      <c r="F161" s="189" t="str" cm="1">
        <f t="array" aca="1" ref="F161" ca="1">IF(I161=0,"",HYPERLINK("#"&amp;RIGHT(CELL("dateiname"),LEN(CELL("dateiname"))-FIND("]",CELL("dateiname")))&amp;"!"&amp;CELL("adresse",OFFSET($C$6,I161-1,0)),"Definition"))</f>
        <v/>
      </c>
      <c r="G161" s="189" t="str" cm="1">
        <f t="array" aca="1" ref="G161" ca="1">IF(J161=0,"",HYPERLINK("#"&amp;RIGHT(CELL("adresse",OFFSET(DMAV_Modell!$A$6,J161-1,0)),LEN(CELL("adresse",OFFSET(DMAV_Modell!$A$6,J161-1,0)))-SEARCH("]",CELL("adresse",OFFSET(DMAV_Modell!$A$6,J161-1,0)))),"Modell"))</f>
        <v>Modell</v>
      </c>
      <c r="H161" s="150" t="str">
        <f t="shared" si="4"/>
        <v>DGS30</v>
      </c>
      <c r="I161" s="150">
        <f t="shared" si="5"/>
        <v>0</v>
      </c>
      <c r="J161" s="150">
        <f>IF(_xlfn.XLOOKUP(H161,Korrelation!$B$4:$B$723,Korrelation!$A$4:$A$723,0,0)=0,0,MATCH(_xlfn.XLOOKUP(H161,Korrelation!$B$4:$B$723,Korrelation!$A$4:$A$723,0,0),DMAV_Modell!$G$6:$G$677,0))</f>
        <v>280</v>
      </c>
      <c r="L161" s="51" t="s">
        <v>29</v>
      </c>
      <c r="M161" s="51" t="s">
        <v>233</v>
      </c>
      <c r="N161" s="51" t="s">
        <v>3747</v>
      </c>
      <c r="O161" s="52" t="s">
        <v>131</v>
      </c>
      <c r="P161" s="56"/>
      <c r="Q161" s="52" t="s">
        <v>3748</v>
      </c>
      <c r="R161" s="52" t="s">
        <v>3749</v>
      </c>
      <c r="T161" s="51" t="s">
        <v>705</v>
      </c>
      <c r="U161" s="51" t="s">
        <v>793</v>
      </c>
      <c r="V161" s="51" t="s">
        <v>4246</v>
      </c>
      <c r="W161" s="52" t="s">
        <v>131</v>
      </c>
      <c r="Y161" s="210" t="s">
        <v>6474</v>
      </c>
      <c r="Z161" s="210" t="s">
        <v>6475</v>
      </c>
      <c r="AB161" s="51" t="s">
        <v>4175</v>
      </c>
      <c r="AC161" s="51" t="s">
        <v>4244</v>
      </c>
      <c r="AD161" s="51" t="s">
        <v>4247</v>
      </c>
      <c r="AE161" s="52" t="s">
        <v>131</v>
      </c>
      <c r="AG161" s="210" t="s">
        <v>6476</v>
      </c>
      <c r="AH161" s="210" t="s">
        <v>6477</v>
      </c>
    </row>
    <row r="162" spans="1:34" ht="76.5" x14ac:dyDescent="0.25">
      <c r="A162" s="51" t="s">
        <v>3667</v>
      </c>
      <c r="B162" s="51">
        <v>31</v>
      </c>
      <c r="C162" s="51" t="s">
        <v>95</v>
      </c>
      <c r="D162" s="50" t="s">
        <v>72</v>
      </c>
      <c r="F162" s="189" t="str" cm="1">
        <f t="array" aca="1" ref="F162" ca="1">IF(I162=0,"",HYPERLINK("#"&amp;RIGHT(CELL("dateiname"),LEN(CELL("dateiname"))-FIND("]",CELL("dateiname")))&amp;"!"&amp;CELL("adresse",OFFSET($C$6,I162-1,0)),"Definition"))</f>
        <v/>
      </c>
      <c r="G162" s="189" t="str" cm="1">
        <f t="array" aca="1" ref="G162" ca="1">IF(J162=0,"",HYPERLINK("#"&amp;RIGHT(CELL("adresse",OFFSET(DMAV_Modell!$A$6,J162-1,0)),LEN(CELL("adresse",OFFSET(DMAV_Modell!$A$6,J162-1,0)))-SEARCH("]",CELL("adresse",OFFSET(DMAV_Modell!$A$6,J162-1,0)))),"Modell"))</f>
        <v>Modell</v>
      </c>
      <c r="H162" s="150" t="str">
        <f t="shared" si="4"/>
        <v>DGS31</v>
      </c>
      <c r="I162" s="150">
        <f t="shared" si="5"/>
        <v>0</v>
      </c>
      <c r="J162" s="150">
        <f>IF(_xlfn.XLOOKUP(H162,Korrelation!$B$4:$B$723,Korrelation!$A$4:$A$723,0,0)=0,0,MATCH(_xlfn.XLOOKUP(H162,Korrelation!$B$4:$B$723,Korrelation!$A$4:$A$723,0,0),DMAV_Modell!$G$6:$G$677,0))</f>
        <v>291</v>
      </c>
      <c r="L162" s="51" t="s">
        <v>29</v>
      </c>
      <c r="M162" s="51" t="s">
        <v>235</v>
      </c>
      <c r="N162" s="51" t="s">
        <v>259</v>
      </c>
      <c r="O162" s="52" t="s">
        <v>97</v>
      </c>
      <c r="P162" s="56"/>
      <c r="Q162" s="52" t="s">
        <v>278</v>
      </c>
      <c r="R162" s="52" t="s">
        <v>273</v>
      </c>
      <c r="T162" s="51" t="s">
        <v>705</v>
      </c>
      <c r="U162" s="51" t="s">
        <v>794</v>
      </c>
      <c r="V162" s="51" t="s">
        <v>790</v>
      </c>
      <c r="W162" s="52" t="s">
        <v>97</v>
      </c>
      <c r="Y162" s="210" t="s">
        <v>6478</v>
      </c>
      <c r="Z162" s="210" t="s">
        <v>6442</v>
      </c>
      <c r="AB162" s="51" t="s">
        <v>4175</v>
      </c>
      <c r="AC162" s="51" t="s">
        <v>2015</v>
      </c>
      <c r="AD162" s="51" t="s">
        <v>2022</v>
      </c>
      <c r="AE162" s="52" t="s">
        <v>97</v>
      </c>
      <c r="AG162" s="210" t="s">
        <v>6479</v>
      </c>
      <c r="AH162" s="210" t="s">
        <v>6444</v>
      </c>
    </row>
    <row r="163" spans="1:34" ht="76.5" x14ac:dyDescent="0.25">
      <c r="A163" s="51" t="s">
        <v>3667</v>
      </c>
      <c r="B163" s="51">
        <v>32</v>
      </c>
      <c r="C163" s="51" t="s">
        <v>95</v>
      </c>
      <c r="D163" s="50">
        <v>1</v>
      </c>
      <c r="F163" s="189" t="str" cm="1">
        <f t="array" aca="1" ref="F163" ca="1">IF(I163=0,"",HYPERLINK("#"&amp;RIGHT(CELL("dateiname"),LEN(CELL("dateiname"))-FIND("]",CELL("dateiname")))&amp;"!"&amp;CELL("adresse",OFFSET($C$6,I163-1,0)),"Definition"))</f>
        <v/>
      </c>
      <c r="G163" s="189" t="str" cm="1">
        <f t="array" aca="1" ref="G163" ca="1">IF(J163=0,"",HYPERLINK("#"&amp;RIGHT(CELL("adresse",OFFSET(DMAV_Modell!$A$6,J163-1,0)),LEN(CELL("adresse",OFFSET(DMAV_Modell!$A$6,J163-1,0)))-SEARCH("]",CELL("adresse",OFFSET(DMAV_Modell!$A$6,J163-1,0)))),"Modell"))</f>
        <v>Modell</v>
      </c>
      <c r="H163" s="150" t="str">
        <f t="shared" si="4"/>
        <v>DGS32</v>
      </c>
      <c r="I163" s="150">
        <f t="shared" si="5"/>
        <v>0</v>
      </c>
      <c r="J163" s="150">
        <f>IF(_xlfn.XLOOKUP(H163,Korrelation!$B$4:$B$723,Korrelation!$A$4:$A$723,0,0)=0,0,MATCH(_xlfn.XLOOKUP(H163,Korrelation!$B$4:$B$723,Korrelation!$A$4:$A$723,0,0),DMAV_Modell!$G$6:$G$677,0))</f>
        <v>292</v>
      </c>
      <c r="L163" s="51" t="s">
        <v>29</v>
      </c>
      <c r="M163" s="51" t="s">
        <v>235</v>
      </c>
      <c r="N163" s="51" t="s">
        <v>123</v>
      </c>
      <c r="O163" s="52" t="s">
        <v>105</v>
      </c>
      <c r="P163" s="56"/>
      <c r="Q163" s="52" t="s">
        <v>3742</v>
      </c>
      <c r="R163" s="52" t="s">
        <v>279</v>
      </c>
      <c r="T163" s="51" t="s">
        <v>705</v>
      </c>
      <c r="U163" s="51" t="s">
        <v>794</v>
      </c>
      <c r="V163" s="51" t="s">
        <v>123</v>
      </c>
      <c r="W163" s="52" t="s">
        <v>105</v>
      </c>
      <c r="Y163" s="210" t="s">
        <v>6465</v>
      </c>
      <c r="Z163" s="210" t="s">
        <v>6480</v>
      </c>
      <c r="AB163" s="51" t="s">
        <v>4175</v>
      </c>
      <c r="AC163" s="51" t="s">
        <v>2015</v>
      </c>
      <c r="AD163" s="51" t="s">
        <v>1247</v>
      </c>
      <c r="AE163" s="52" t="s">
        <v>105</v>
      </c>
      <c r="AG163" s="210" t="s">
        <v>6481</v>
      </c>
      <c r="AH163" s="210" t="s">
        <v>6482</v>
      </c>
    </row>
    <row r="164" spans="1:34" ht="76.5" x14ac:dyDescent="0.25">
      <c r="A164" s="51" t="s">
        <v>3667</v>
      </c>
      <c r="B164" s="51">
        <v>33</v>
      </c>
      <c r="C164" s="51" t="s">
        <v>95</v>
      </c>
      <c r="D164" s="50" t="s">
        <v>72</v>
      </c>
      <c r="F164" s="189" t="str" cm="1">
        <f t="array" aca="1" ref="F164" ca="1">IF(I164=0,"",HYPERLINK("#"&amp;RIGHT(CELL("dateiname"),LEN(CELL("dateiname"))-FIND("]",CELL("dateiname")))&amp;"!"&amp;CELL("adresse",OFFSET($C$6,I164-1,0)),"Definition"))</f>
        <v/>
      </c>
      <c r="G164" s="189" t="str" cm="1">
        <f t="array" aca="1" ref="G164" ca="1">IF(J164=0,"",HYPERLINK("#"&amp;RIGHT(CELL("adresse",OFFSET(DMAV_Modell!$A$6,J164-1,0)),LEN(CELL("adresse",OFFSET(DMAV_Modell!$A$6,J164-1,0)))-SEARCH("]",CELL("adresse",OFFSET(DMAV_Modell!$A$6,J164-1,0)))),"Modell"))</f>
        <v>Modell</v>
      </c>
      <c r="H164" s="150" t="str">
        <f t="shared" si="4"/>
        <v>DGS33</v>
      </c>
      <c r="I164" s="150">
        <f t="shared" si="5"/>
        <v>0</v>
      </c>
      <c r="J164" s="150">
        <f>IF(_xlfn.XLOOKUP(H164,Korrelation!$B$4:$B$723,Korrelation!$A$4:$A$723,0,0)=0,0,MATCH(_xlfn.XLOOKUP(H164,Korrelation!$B$4:$B$723,Korrelation!$A$4:$A$723,0,0),DMAV_Modell!$G$6:$G$677,0))</f>
        <v>294</v>
      </c>
      <c r="L164" s="51" t="s">
        <v>29</v>
      </c>
      <c r="M164" s="51" t="s">
        <v>235</v>
      </c>
      <c r="N164" s="51" t="s">
        <v>218</v>
      </c>
      <c r="O164" s="52" t="s">
        <v>219</v>
      </c>
      <c r="P164" s="56"/>
      <c r="Q164" s="52" t="s">
        <v>280</v>
      </c>
      <c r="R164" s="52" t="s">
        <v>281</v>
      </c>
      <c r="T164" s="51" t="s">
        <v>705</v>
      </c>
      <c r="U164" s="51" t="s">
        <v>794</v>
      </c>
      <c r="V164" s="51" t="s">
        <v>791</v>
      </c>
      <c r="W164" s="52" t="s">
        <v>219</v>
      </c>
      <c r="Y164" s="210" t="s">
        <v>6483</v>
      </c>
      <c r="Z164" s="210" t="s">
        <v>6484</v>
      </c>
      <c r="AB164" s="51" t="s">
        <v>4175</v>
      </c>
      <c r="AC164" s="51" t="s">
        <v>2015</v>
      </c>
      <c r="AD164" s="51" t="s">
        <v>4091</v>
      </c>
      <c r="AE164" s="52" t="s">
        <v>219</v>
      </c>
      <c r="AG164" s="210" t="s">
        <v>6485</v>
      </c>
      <c r="AH164" s="210" t="s">
        <v>6486</v>
      </c>
    </row>
    <row r="165" spans="1:34" x14ac:dyDescent="0.25">
      <c r="A165" s="51" t="s">
        <v>3667</v>
      </c>
      <c r="B165" s="51">
        <v>34</v>
      </c>
      <c r="C165" s="51" t="s">
        <v>95</v>
      </c>
      <c r="D165" s="50">
        <v>1</v>
      </c>
      <c r="F165" s="189" t="str" cm="1">
        <f t="array" aca="1" ref="F165" ca="1">IF(I165=0,"",HYPERLINK("#"&amp;RIGHT(CELL("dateiname"),LEN(CELL("dateiname"))-FIND("]",CELL("dateiname")))&amp;"!"&amp;CELL("adresse",OFFSET($C$6,I165-1,0)),"Definition"))</f>
        <v/>
      </c>
      <c r="G165" s="189" t="str" cm="1">
        <f t="array" aca="1" ref="G165" ca="1">IF(J165=0,"",HYPERLINK("#"&amp;RIGHT(CELL("adresse",OFFSET(DMAV_Modell!$A$6,J165-1,0)),LEN(CELL("adresse",OFFSET(DMAV_Modell!$A$6,J165-1,0)))-SEARCH("]",CELL("adresse",OFFSET(DMAV_Modell!$A$6,J165-1,0)))),"Modell"))</f>
        <v>Modell</v>
      </c>
      <c r="H165" s="150" t="str">
        <f t="shared" si="4"/>
        <v>DGS34</v>
      </c>
      <c r="I165" s="150">
        <f t="shared" si="5"/>
        <v>0</v>
      </c>
      <c r="J165" s="150">
        <f>IF(_xlfn.XLOOKUP(H165,Korrelation!$B$4:$B$723,Korrelation!$A$4:$A$723,0,0)=0,0,MATCH(_xlfn.XLOOKUP(H165,Korrelation!$B$4:$B$723,Korrelation!$A$4:$A$723,0,0),DMAV_Modell!$G$6:$G$677,0))</f>
        <v>293</v>
      </c>
      <c r="L165" s="51" t="s">
        <v>29</v>
      </c>
      <c r="M165" s="51" t="s">
        <v>235</v>
      </c>
      <c r="N165" s="51" t="s">
        <v>270</v>
      </c>
      <c r="O165" s="52" t="s">
        <v>256</v>
      </c>
      <c r="P165" s="56"/>
      <c r="Q165" s="52" t="s">
        <v>282</v>
      </c>
      <c r="R165" s="52"/>
      <c r="T165" s="51" t="s">
        <v>705</v>
      </c>
      <c r="U165" s="51" t="s">
        <v>794</v>
      </c>
      <c r="V165" s="51" t="s">
        <v>792</v>
      </c>
      <c r="W165" s="52" t="s">
        <v>256</v>
      </c>
      <c r="Y165" s="210" t="s">
        <v>6487</v>
      </c>
      <c r="AB165" s="51" t="s">
        <v>4175</v>
      </c>
      <c r="AC165" s="51" t="s">
        <v>2015</v>
      </c>
      <c r="AD165" s="51" t="s">
        <v>792</v>
      </c>
      <c r="AE165" s="52" t="s">
        <v>256</v>
      </c>
      <c r="AG165" s="210" t="s">
        <v>6488</v>
      </c>
    </row>
    <row r="166" spans="1:34" x14ac:dyDescent="0.25">
      <c r="A166" s="51" t="s">
        <v>3667</v>
      </c>
      <c r="B166" s="51">
        <v>35</v>
      </c>
      <c r="C166" s="51" t="s">
        <v>95</v>
      </c>
      <c r="D166" s="50" t="s">
        <v>72</v>
      </c>
      <c r="F166" s="189" t="str" cm="1">
        <f t="array" aca="1" ref="F166" ca="1">IF(I166=0,"",HYPERLINK("#"&amp;RIGHT(CELL("dateiname"),LEN(CELL("dateiname"))-FIND("]",CELL("dateiname")))&amp;"!"&amp;CELL("adresse",OFFSET($C$6,I166-1,0)),"Definition"))</f>
        <v/>
      </c>
      <c r="G166" s="189" t="str" cm="1">
        <f t="array" aca="1" ref="G166" ca="1">IF(J166=0,"",HYPERLINK("#"&amp;RIGHT(CELL("adresse",OFFSET(DMAV_Modell!$A$6,J166-1,0)),LEN(CELL("adresse",OFFSET(DMAV_Modell!$A$6,J166-1,0)))-SEARCH("]",CELL("adresse",OFFSET(DMAV_Modell!$A$6,J166-1,0)))),"Modell"))</f>
        <v>Modell</v>
      </c>
      <c r="H166" s="150" t="str">
        <f t="shared" si="4"/>
        <v>DGS35</v>
      </c>
      <c r="I166" s="150">
        <f t="shared" si="5"/>
        <v>0</v>
      </c>
      <c r="J166" s="150">
        <f>IF(_xlfn.XLOOKUP(H166,Korrelation!$B$4:$B$723,Korrelation!$A$4:$A$723,0,0)=0,0,MATCH(_xlfn.XLOOKUP(H166,Korrelation!$B$4:$B$723,Korrelation!$A$4:$A$723,0,0),DMAV_Modell!$G$6:$G$677,0))</f>
        <v>215</v>
      </c>
      <c r="L166" s="51" t="s">
        <v>29</v>
      </c>
      <c r="M166" s="51" t="s">
        <v>160</v>
      </c>
      <c r="N166" s="51" t="s">
        <v>96</v>
      </c>
      <c r="O166" s="52" t="s">
        <v>97</v>
      </c>
      <c r="P166" s="56"/>
      <c r="Q166" s="52" t="s">
        <v>98</v>
      </c>
      <c r="R166" s="52"/>
      <c r="T166" s="51" t="s">
        <v>705</v>
      </c>
      <c r="U166" s="51" t="s">
        <v>795</v>
      </c>
      <c r="V166" s="51" t="s">
        <v>733</v>
      </c>
      <c r="W166" s="52" t="s">
        <v>97</v>
      </c>
      <c r="Y166" s="210" t="s">
        <v>6175</v>
      </c>
      <c r="AB166" s="51" t="s">
        <v>4175</v>
      </c>
      <c r="AC166" s="51" t="s">
        <v>4185</v>
      </c>
      <c r="AD166" s="51" t="s">
        <v>1378</v>
      </c>
      <c r="AE166" s="52" t="s">
        <v>97</v>
      </c>
      <c r="AG166" s="210" t="s">
        <v>6316</v>
      </c>
    </row>
    <row r="167" spans="1:34" ht="51" x14ac:dyDescent="0.25">
      <c r="A167" s="51" t="s">
        <v>3667</v>
      </c>
      <c r="B167" s="51">
        <v>36</v>
      </c>
      <c r="C167" s="51" t="s">
        <v>95</v>
      </c>
      <c r="D167" s="50" t="s">
        <v>72</v>
      </c>
      <c r="F167" s="189" t="str" cm="1">
        <f t="array" aca="1" ref="F167" ca="1">IF(I167=0,"",HYPERLINK("#"&amp;RIGHT(CELL("dateiname"),LEN(CELL("dateiname"))-FIND("]",CELL("dateiname")))&amp;"!"&amp;CELL("adresse",OFFSET($C$6,I167-1,0)),"Definition"))</f>
        <v/>
      </c>
      <c r="G167" s="189" t="str" cm="1">
        <f t="array" aca="1" ref="G167" ca="1">IF(J167=0,"",HYPERLINK("#"&amp;RIGHT(CELL("adresse",OFFSET(DMAV_Modell!$A$6,J167-1,0)),LEN(CELL("adresse",OFFSET(DMAV_Modell!$A$6,J167-1,0)))-SEARCH("]",CELL("adresse",OFFSET(DMAV_Modell!$A$6,J167-1,0)))),"Modell"))</f>
        <v>Modell</v>
      </c>
      <c r="H167" s="150" t="str">
        <f t="shared" si="4"/>
        <v>DGS36</v>
      </c>
      <c r="I167" s="150">
        <f t="shared" si="5"/>
        <v>0</v>
      </c>
      <c r="J167" s="150">
        <f>IF(_xlfn.XLOOKUP(H167,Korrelation!$B$4:$B$723,Korrelation!$A$4:$A$723,0,0)=0,0,MATCH(_xlfn.XLOOKUP(H167,Korrelation!$B$4:$B$723,Korrelation!$A$4:$A$723,0,0),DMAV_Modell!$G$6:$G$677,0))</f>
        <v>216</v>
      </c>
      <c r="L167" s="51" t="s">
        <v>29</v>
      </c>
      <c r="M167" s="51" t="s">
        <v>160</v>
      </c>
      <c r="N167" s="51" t="s">
        <v>121</v>
      </c>
      <c r="O167" s="52" t="s">
        <v>97</v>
      </c>
      <c r="P167" s="56"/>
      <c r="Q167" s="52" t="s">
        <v>122</v>
      </c>
      <c r="R167" s="52" t="s">
        <v>283</v>
      </c>
      <c r="T167" s="51" t="s">
        <v>705</v>
      </c>
      <c r="U167" s="51" t="s">
        <v>795</v>
      </c>
      <c r="V167" s="51" t="s">
        <v>742</v>
      </c>
      <c r="W167" s="52" t="s">
        <v>97</v>
      </c>
      <c r="Y167" s="210" t="s">
        <v>6198</v>
      </c>
      <c r="Z167" s="210" t="s">
        <v>6489</v>
      </c>
      <c r="AB167" s="51" t="s">
        <v>4175</v>
      </c>
      <c r="AC167" s="51" t="s">
        <v>4185</v>
      </c>
      <c r="AD167" s="51" t="s">
        <v>742</v>
      </c>
      <c r="AE167" s="52" t="s">
        <v>97</v>
      </c>
      <c r="AG167" s="210" t="s">
        <v>6338</v>
      </c>
      <c r="AH167" s="210" t="s">
        <v>6490</v>
      </c>
    </row>
    <row r="168" spans="1:34" ht="38.25" x14ac:dyDescent="0.25">
      <c r="A168" s="51" t="s">
        <v>3667</v>
      </c>
      <c r="B168" s="51">
        <v>37</v>
      </c>
      <c r="C168" s="51" t="s">
        <v>95</v>
      </c>
      <c r="D168" s="50">
        <v>1</v>
      </c>
      <c r="F168" s="189" t="str" cm="1">
        <f t="array" aca="1" ref="F168" ca="1">IF(I168=0,"",HYPERLINK("#"&amp;RIGHT(CELL("dateiname"),LEN(CELL("dateiname"))-FIND("]",CELL("dateiname")))&amp;"!"&amp;CELL("adresse",OFFSET($C$6,I168-1,0)),"Definition"))</f>
        <v/>
      </c>
      <c r="G168" s="189" t="str" cm="1">
        <f t="array" aca="1" ref="G168" ca="1">IF(J168=0,"",HYPERLINK("#"&amp;RIGHT(CELL("adresse",OFFSET(DMAV_Modell!$A$6,J168-1,0)),LEN(CELL("adresse",OFFSET(DMAV_Modell!$A$6,J168-1,0)))-SEARCH("]",CELL("adresse",OFFSET(DMAV_Modell!$A$6,J168-1,0)))),"Modell"))</f>
        <v>Modell</v>
      </c>
      <c r="H168" s="150" t="str">
        <f t="shared" si="4"/>
        <v>DGS37</v>
      </c>
      <c r="I168" s="150">
        <f t="shared" si="5"/>
        <v>0</v>
      </c>
      <c r="J168" s="150">
        <f>IF(_xlfn.XLOOKUP(H168,Korrelation!$B$4:$B$723,Korrelation!$A$4:$A$723,0,0)=0,0,MATCH(_xlfn.XLOOKUP(H168,Korrelation!$B$4:$B$723,Korrelation!$A$4:$A$723,0,0),DMAV_Modell!$G$6:$G$677,0))</f>
        <v>217</v>
      </c>
      <c r="L168" s="51" t="s">
        <v>29</v>
      </c>
      <c r="M168" s="51" t="s">
        <v>160</v>
      </c>
      <c r="N168" s="51" t="s">
        <v>123</v>
      </c>
      <c r="O168" s="52" t="s">
        <v>69</v>
      </c>
      <c r="P168" s="56"/>
      <c r="Q168" s="52" t="s">
        <v>284</v>
      </c>
      <c r="R168" s="52" t="s">
        <v>94</v>
      </c>
      <c r="T168" s="51" t="s">
        <v>705</v>
      </c>
      <c r="U168" s="51" t="s">
        <v>795</v>
      </c>
      <c r="V168" s="51" t="s">
        <v>123</v>
      </c>
      <c r="W168" s="52" t="s">
        <v>69</v>
      </c>
      <c r="Y168" s="210" t="s">
        <v>6491</v>
      </c>
      <c r="Z168" s="210" t="s">
        <v>6166</v>
      </c>
      <c r="AB168" s="51" t="s">
        <v>4175</v>
      </c>
      <c r="AC168" s="51" t="s">
        <v>4185</v>
      </c>
      <c r="AD168" s="51" t="s">
        <v>1247</v>
      </c>
      <c r="AE168" s="52" t="s">
        <v>69</v>
      </c>
      <c r="AG168" s="210" t="s">
        <v>6492</v>
      </c>
      <c r="AH168" s="210" t="s">
        <v>6308</v>
      </c>
    </row>
    <row r="169" spans="1:34" ht="51" x14ac:dyDescent="0.25">
      <c r="A169" s="51" t="s">
        <v>3667</v>
      </c>
      <c r="B169" s="51">
        <v>38</v>
      </c>
      <c r="C169" s="51" t="s">
        <v>95</v>
      </c>
      <c r="D169" s="50" t="s">
        <v>72</v>
      </c>
      <c r="F169" s="189" t="str" cm="1">
        <f t="array" aca="1" ref="F169" ca="1">IF(I169=0,"",HYPERLINK("#"&amp;RIGHT(CELL("dateiname"),LEN(CELL("dateiname"))-FIND("]",CELL("dateiname")))&amp;"!"&amp;CELL("adresse",OFFSET($C$6,I169-1,0)),"Definition"))</f>
        <v/>
      </c>
      <c r="G169" s="189" t="str" cm="1">
        <f t="array" aca="1" ref="G169" ca="1">IF(J169=0,"",HYPERLINK("#"&amp;RIGHT(CELL("adresse",OFFSET(DMAV_Modell!$A$6,J169-1,0)),LEN(CELL("adresse",OFFSET(DMAV_Modell!$A$6,J169-1,0)))-SEARCH("]",CELL("adresse",OFFSET(DMAV_Modell!$A$6,J169-1,0)))),"Modell"))</f>
        <v>Modell</v>
      </c>
      <c r="H169" s="150" t="str">
        <f t="shared" si="4"/>
        <v>DGS38</v>
      </c>
      <c r="I169" s="150">
        <f t="shared" si="5"/>
        <v>0</v>
      </c>
      <c r="J169" s="150">
        <f>IF(_xlfn.XLOOKUP(H169,Korrelation!$B$4:$B$723,Korrelation!$A$4:$A$723,0,0)=0,0,MATCH(_xlfn.XLOOKUP(H169,Korrelation!$B$4:$B$723,Korrelation!$A$4:$A$723,0,0),DMAV_Modell!$G$6:$G$677,0))</f>
        <v>218</v>
      </c>
      <c r="L169" s="51" t="s">
        <v>29</v>
      </c>
      <c r="M169" s="51" t="s">
        <v>160</v>
      </c>
      <c r="N169" s="51" t="s">
        <v>125</v>
      </c>
      <c r="O169" s="52" t="s">
        <v>126</v>
      </c>
      <c r="P169" s="56"/>
      <c r="Q169" s="52" t="s">
        <v>3750</v>
      </c>
      <c r="R169" s="52" t="s">
        <v>127</v>
      </c>
      <c r="T169" s="51" t="s">
        <v>705</v>
      </c>
      <c r="U169" s="51" t="s">
        <v>795</v>
      </c>
      <c r="V169" s="51" t="s">
        <v>743</v>
      </c>
      <c r="W169" s="52" t="s">
        <v>126</v>
      </c>
      <c r="Y169" s="210" t="s">
        <v>6493</v>
      </c>
      <c r="Z169" s="210" t="s">
        <v>6494</v>
      </c>
      <c r="AB169" s="51" t="s">
        <v>4175</v>
      </c>
      <c r="AC169" s="51" t="s">
        <v>4185</v>
      </c>
      <c r="AD169" s="51" t="s">
        <v>4018</v>
      </c>
      <c r="AE169" s="52" t="s">
        <v>126</v>
      </c>
      <c r="AG169" s="210" t="s">
        <v>6495</v>
      </c>
      <c r="AH169" s="210" t="s">
        <v>6343</v>
      </c>
    </row>
    <row r="170" spans="1:34" x14ac:dyDescent="0.25">
      <c r="A170" s="51" t="s">
        <v>3667</v>
      </c>
      <c r="B170" s="51">
        <v>39</v>
      </c>
      <c r="C170" s="51" t="s">
        <v>95</v>
      </c>
      <c r="D170" s="50">
        <v>1</v>
      </c>
      <c r="F170" s="189" t="str" cm="1">
        <f t="array" aca="1" ref="F170" ca="1">IF(I170=0,"",HYPERLINK("#"&amp;RIGHT(CELL("dateiname"),LEN(CELL("dateiname"))-FIND("]",CELL("dateiname")))&amp;"!"&amp;CELL("adresse",OFFSET($C$6,I170-1,0)),"Definition"))</f>
        <v/>
      </c>
      <c r="G170" s="189" t="str" cm="1">
        <f t="array" aca="1" ref="G170" ca="1">IF(J170=0,"",HYPERLINK("#"&amp;RIGHT(CELL("adresse",OFFSET(DMAV_Modell!$A$6,J170-1,0)),LEN(CELL("adresse",OFFSET(DMAV_Modell!$A$6,J170-1,0)))-SEARCH("]",CELL("adresse",OFFSET(DMAV_Modell!$A$6,J170-1,0)))),"Modell"))</f>
        <v>Modell</v>
      </c>
      <c r="H170" s="150" t="str">
        <f t="shared" si="4"/>
        <v>DGS39</v>
      </c>
      <c r="I170" s="150">
        <f t="shared" si="5"/>
        <v>0</v>
      </c>
      <c r="J170" s="150">
        <f>IF(_xlfn.XLOOKUP(H170,Korrelation!$B$4:$B$723,Korrelation!$A$4:$A$723,0,0)=0,0,MATCH(_xlfn.XLOOKUP(H170,Korrelation!$B$4:$B$723,Korrelation!$A$4:$A$723,0,0),DMAV_Modell!$G$6:$G$677,0))</f>
        <v>219</v>
      </c>
      <c r="L170" s="51" t="s">
        <v>29</v>
      </c>
      <c r="M170" s="51" t="s">
        <v>160</v>
      </c>
      <c r="N170" s="51" t="s">
        <v>128</v>
      </c>
      <c r="O170" s="52" t="s">
        <v>129</v>
      </c>
      <c r="P170" s="56"/>
      <c r="Q170" s="52" t="s">
        <v>285</v>
      </c>
      <c r="R170" s="52"/>
      <c r="T170" s="51" t="s">
        <v>705</v>
      </c>
      <c r="U170" s="51" t="s">
        <v>795</v>
      </c>
      <c r="V170" s="51" t="s">
        <v>744</v>
      </c>
      <c r="W170" s="52" t="s">
        <v>129</v>
      </c>
      <c r="Y170" s="210" t="s">
        <v>6496</v>
      </c>
      <c r="AB170" s="51" t="s">
        <v>4175</v>
      </c>
      <c r="AC170" s="51" t="s">
        <v>4185</v>
      </c>
      <c r="AD170" s="51" t="s">
        <v>4021</v>
      </c>
      <c r="AE170" s="52" t="s">
        <v>129</v>
      </c>
      <c r="AG170" s="210" t="s">
        <v>6497</v>
      </c>
    </row>
    <row r="171" spans="1:34" ht="102" x14ac:dyDescent="0.25">
      <c r="A171" s="51" t="s">
        <v>3667</v>
      </c>
      <c r="B171" s="51">
        <v>40</v>
      </c>
      <c r="C171" s="51" t="s">
        <v>95</v>
      </c>
      <c r="D171" s="50">
        <v>1</v>
      </c>
      <c r="F171" s="189" t="str" cm="1">
        <f t="array" aca="1" ref="F171" ca="1">IF(I171=0,"",HYPERLINK("#"&amp;RIGHT(CELL("dateiname"),LEN(CELL("dateiname"))-FIND("]",CELL("dateiname")))&amp;"!"&amp;CELL("adresse",OFFSET($C$6,I171-1,0)),"Definition"))</f>
        <v/>
      </c>
      <c r="G171" s="189" t="str" cm="1">
        <f t="array" aca="1" ref="G171" ca="1">IF(J171=0,"",HYPERLINK("#"&amp;RIGHT(CELL("adresse",OFFSET(DMAV_Modell!$A$6,J171-1,0)),LEN(CELL("adresse",OFFSET(DMAV_Modell!$A$6,J171-1,0)))-SEARCH("]",CELL("adresse",OFFSET(DMAV_Modell!$A$6,J171-1,0)))),"Modell"))</f>
        <v>Modell</v>
      </c>
      <c r="H171" s="150" t="str">
        <f t="shared" si="4"/>
        <v>DGS40</v>
      </c>
      <c r="I171" s="150">
        <f t="shared" si="5"/>
        <v>0</v>
      </c>
      <c r="J171" s="150">
        <f>IF(_xlfn.XLOOKUP(H171,Korrelation!$B$4:$B$723,Korrelation!$A$4:$A$723,0,0)=0,0,MATCH(_xlfn.XLOOKUP(H171,Korrelation!$B$4:$B$723,Korrelation!$A$4:$A$723,0,0),DMAV_Modell!$G$6:$G$677,0))</f>
        <v>220</v>
      </c>
      <c r="L171" s="51" t="s">
        <v>29</v>
      </c>
      <c r="M171" s="51" t="s">
        <v>160</v>
      </c>
      <c r="N171" s="51" t="s">
        <v>130</v>
      </c>
      <c r="O171" s="52" t="s">
        <v>131</v>
      </c>
      <c r="P171" s="56" t="s">
        <v>3751</v>
      </c>
      <c r="Q171" s="52" t="s">
        <v>3752</v>
      </c>
      <c r="R171" s="52" t="s">
        <v>286</v>
      </c>
      <c r="T171" s="51" t="s">
        <v>705</v>
      </c>
      <c r="U171" s="51" t="s">
        <v>795</v>
      </c>
      <c r="V171" s="51" t="s">
        <v>745</v>
      </c>
      <c r="W171" s="52" t="s">
        <v>131</v>
      </c>
      <c r="X171" s="209" t="s">
        <v>3751</v>
      </c>
      <c r="Y171" s="210" t="s">
        <v>6498</v>
      </c>
      <c r="Z171" s="210" t="s">
        <v>6499</v>
      </c>
      <c r="AB171" s="51" t="s">
        <v>4175</v>
      </c>
      <c r="AC171" s="51" t="s">
        <v>4185</v>
      </c>
      <c r="AD171" s="51" t="s">
        <v>4024</v>
      </c>
      <c r="AE171" s="52" t="s">
        <v>131</v>
      </c>
      <c r="AF171" s="209" t="s">
        <v>3751</v>
      </c>
      <c r="AG171" s="210" t="s">
        <v>6500</v>
      </c>
      <c r="AH171" s="210" t="s">
        <v>6501</v>
      </c>
    </row>
    <row r="172" spans="1:34" ht="63.75" x14ac:dyDescent="0.25">
      <c r="A172" s="51" t="s">
        <v>3667</v>
      </c>
      <c r="B172" s="51">
        <v>41</v>
      </c>
      <c r="C172" s="51" t="s">
        <v>95</v>
      </c>
      <c r="D172" s="50" t="s">
        <v>72</v>
      </c>
      <c r="F172" s="189" t="str" cm="1">
        <f t="array" aca="1" ref="F172" ca="1">IF(I172=0,"",HYPERLINK("#"&amp;RIGHT(CELL("dateiname"),LEN(CELL("dateiname"))-FIND("]",CELL("dateiname")))&amp;"!"&amp;CELL("adresse",OFFSET($C$6,I172-1,0)),"Definition"))</f>
        <v/>
      </c>
      <c r="G172" s="189" t="str" cm="1">
        <f t="array" aca="1" ref="G172" ca="1">IF(J172=0,"",HYPERLINK("#"&amp;RIGHT(CELL("adresse",OFFSET(DMAV_Modell!$A$6,J172-1,0)),LEN(CELL("adresse",OFFSET(DMAV_Modell!$A$6,J172-1,0)))-SEARCH("]",CELL("adresse",OFFSET(DMAV_Modell!$A$6,J172-1,0)))),"Modell"))</f>
        <v>Modell</v>
      </c>
      <c r="H172" s="150" t="str">
        <f t="shared" si="4"/>
        <v>DGS41</v>
      </c>
      <c r="I172" s="150">
        <f t="shared" si="5"/>
        <v>0</v>
      </c>
      <c r="J172" s="150">
        <f>IF(_xlfn.XLOOKUP(H172,Korrelation!$B$4:$B$723,Korrelation!$A$4:$A$723,0,0)=0,0,MATCH(_xlfn.XLOOKUP(H172,Korrelation!$B$4:$B$723,Korrelation!$A$4:$A$723,0,0),DMAV_Modell!$G$6:$G$677,0))</f>
        <v>221</v>
      </c>
      <c r="L172" s="51" t="s">
        <v>29</v>
      </c>
      <c r="M172" s="51" t="s">
        <v>160</v>
      </c>
      <c r="N172" s="51" t="s">
        <v>132</v>
      </c>
      <c r="O172" s="52" t="s">
        <v>129</v>
      </c>
      <c r="P172" s="56"/>
      <c r="Q172" s="52" t="s">
        <v>3753</v>
      </c>
      <c r="R172" s="52" t="s">
        <v>287</v>
      </c>
      <c r="T172" s="51" t="s">
        <v>705</v>
      </c>
      <c r="U172" s="51" t="s">
        <v>795</v>
      </c>
      <c r="V172" s="232" t="s">
        <v>746</v>
      </c>
      <c r="W172" s="52" t="s">
        <v>129</v>
      </c>
      <c r="Y172" s="210" t="s">
        <v>6502</v>
      </c>
      <c r="Z172" s="210" t="s">
        <v>6503</v>
      </c>
      <c r="AB172" s="51" t="s">
        <v>4175</v>
      </c>
      <c r="AC172" s="51" t="s">
        <v>4185</v>
      </c>
      <c r="AD172" s="51" t="s">
        <v>4026</v>
      </c>
      <c r="AE172" s="52" t="s">
        <v>129</v>
      </c>
      <c r="AG172" s="210" t="s">
        <v>6504</v>
      </c>
      <c r="AH172" s="210" t="s">
        <v>6505</v>
      </c>
    </row>
    <row r="173" spans="1:34" ht="114.75" x14ac:dyDescent="0.25">
      <c r="A173" s="51" t="s">
        <v>3667</v>
      </c>
      <c r="B173" s="51">
        <v>42</v>
      </c>
      <c r="C173" s="51" t="s">
        <v>95</v>
      </c>
      <c r="D173" s="50" t="s">
        <v>72</v>
      </c>
      <c r="F173" s="189" t="str" cm="1">
        <f t="array" aca="1" ref="F173" ca="1">IF(I173=0,"",HYPERLINK("#"&amp;RIGHT(CELL("dateiname"),LEN(CELL("dateiname"))-FIND("]",CELL("dateiname")))&amp;"!"&amp;CELL("adresse",OFFSET($C$6,I173-1,0)),"Definition"))</f>
        <v/>
      </c>
      <c r="G173" s="189" t="str" cm="1">
        <f t="array" aca="1" ref="G173" ca="1">IF(J173=0,"",HYPERLINK("#"&amp;RIGHT(CELL("adresse",OFFSET(DMAV_Modell!$A$6,J173-1,0)),LEN(CELL("adresse",OFFSET(DMAV_Modell!$A$6,J173-1,0)))-SEARCH("]",CELL("adresse",OFFSET(DMAV_Modell!$A$6,J173-1,0)))),"Modell"))</f>
        <v>Modell</v>
      </c>
      <c r="H173" s="150" t="str">
        <f t="shared" si="4"/>
        <v>DGS42</v>
      </c>
      <c r="I173" s="150">
        <f t="shared" si="5"/>
        <v>0</v>
      </c>
      <c r="J173" s="150">
        <f>IF(_xlfn.XLOOKUP(H173,Korrelation!$B$4:$B$723,Korrelation!$A$4:$A$723,0,0)=0,0,MATCH(_xlfn.XLOOKUP(H173,Korrelation!$B$4:$B$723,Korrelation!$A$4:$A$723,0,0),DMAV_Modell!$G$6:$G$677,0))</f>
        <v>222</v>
      </c>
      <c r="L173" s="51" t="s">
        <v>29</v>
      </c>
      <c r="M173" s="51" t="s">
        <v>160</v>
      </c>
      <c r="N173" s="51" t="s">
        <v>133</v>
      </c>
      <c r="O173" s="52" t="s">
        <v>131</v>
      </c>
      <c r="P173" s="56"/>
      <c r="Q173" s="52" t="s">
        <v>3754</v>
      </c>
      <c r="R173" s="52" t="s">
        <v>288</v>
      </c>
      <c r="T173" s="51" t="s">
        <v>705</v>
      </c>
      <c r="U173" s="51" t="s">
        <v>795</v>
      </c>
      <c r="V173" s="51" t="s">
        <v>747</v>
      </c>
      <c r="W173" s="52" t="s">
        <v>131</v>
      </c>
      <c r="X173" s="209" t="s">
        <v>214</v>
      </c>
      <c r="Y173" s="210" t="s">
        <v>6506</v>
      </c>
      <c r="Z173" s="210" t="s">
        <v>6507</v>
      </c>
      <c r="AB173" s="51" t="s">
        <v>4175</v>
      </c>
      <c r="AC173" s="51" t="s">
        <v>4185</v>
      </c>
      <c r="AD173" s="51" t="s">
        <v>4027</v>
      </c>
      <c r="AE173" s="52" t="s">
        <v>131</v>
      </c>
      <c r="AF173" s="209" t="s">
        <v>214</v>
      </c>
      <c r="AG173" s="210" t="s">
        <v>6508</v>
      </c>
      <c r="AH173" s="210" t="s">
        <v>6509</v>
      </c>
    </row>
    <row r="174" spans="1:34" ht="51" x14ac:dyDescent="0.25">
      <c r="A174" s="51" t="s">
        <v>3667</v>
      </c>
      <c r="B174" s="51">
        <v>43</v>
      </c>
      <c r="C174" s="51" t="s">
        <v>95</v>
      </c>
      <c r="D174" s="50">
        <v>1</v>
      </c>
      <c r="E174" s="50" t="s">
        <v>3680</v>
      </c>
      <c r="F174" s="189" t="str" cm="1">
        <f t="array" aca="1" ref="F174" ca="1">IF(I174=0,"",HYPERLINK("#"&amp;RIGHT(CELL("dateiname"),LEN(CELL("dateiname"))-FIND("]",CELL("dateiname")))&amp;"!"&amp;CELL("adresse",OFFSET($C$6,I174-1,0)),"Definition"))</f>
        <v>Definition</v>
      </c>
      <c r="G174" s="189" t="str" cm="1">
        <f t="array" aca="1" ref="G174" ca="1">IF(J174=0,"",HYPERLINK("#"&amp;RIGHT(CELL("adresse",OFFSET(DMAV_Modell!$A$6,J174-1,0)),LEN(CELL("adresse",OFFSET(DMAV_Modell!$A$6,J174-1,0)))-SEARCH("]",CELL("adresse",OFFSET(DMAV_Modell!$A$6,J174-1,0)))),"Modell"))</f>
        <v>Modell</v>
      </c>
      <c r="H174" s="150" t="str">
        <f t="shared" si="4"/>
        <v>DGS43</v>
      </c>
      <c r="I174" s="150">
        <f t="shared" si="5"/>
        <v>15</v>
      </c>
      <c r="J174" s="150">
        <f>IF(_xlfn.XLOOKUP(H174,Korrelation!$B$4:$B$723,Korrelation!$A$4:$A$723,0,0)=0,0,MATCH(_xlfn.XLOOKUP(H174,Korrelation!$B$4:$B$723,Korrelation!$A$4:$A$723,0,0),DMAV_Modell!$G$6:$G$677,0))</f>
        <v>223</v>
      </c>
      <c r="L174" s="51" t="s">
        <v>29</v>
      </c>
      <c r="M174" s="51" t="s">
        <v>160</v>
      </c>
      <c r="N174" s="51" t="s">
        <v>134</v>
      </c>
      <c r="O174" s="52" t="s">
        <v>146</v>
      </c>
      <c r="P174" s="56"/>
      <c r="Q174" s="52" t="s">
        <v>289</v>
      </c>
      <c r="R174" s="52" t="s">
        <v>290</v>
      </c>
      <c r="T174" s="51" t="s">
        <v>705</v>
      </c>
      <c r="U174" s="51" t="s">
        <v>795</v>
      </c>
      <c r="V174" s="51" t="s">
        <v>748</v>
      </c>
      <c r="W174" s="52" t="s">
        <v>6212</v>
      </c>
      <c r="Y174" s="210" t="s">
        <v>6510</v>
      </c>
      <c r="Z174" s="210" t="s">
        <v>6511</v>
      </c>
      <c r="AB174" s="51" t="s">
        <v>4175</v>
      </c>
      <c r="AC174" s="51" t="s">
        <v>4185</v>
      </c>
      <c r="AD174" s="51" t="s">
        <v>1845</v>
      </c>
      <c r="AE174" s="52" t="s">
        <v>6351</v>
      </c>
      <c r="AG174" s="210" t="s">
        <v>6512</v>
      </c>
      <c r="AH174" s="235" t="s">
        <v>6513</v>
      </c>
    </row>
    <row r="175" spans="1:34" ht="63.75" x14ac:dyDescent="0.25">
      <c r="A175" s="51" t="s">
        <v>3667</v>
      </c>
      <c r="B175" s="51">
        <v>44</v>
      </c>
      <c r="C175" s="51" t="s">
        <v>95</v>
      </c>
      <c r="D175" s="50">
        <v>1</v>
      </c>
      <c r="F175" s="189" t="str" cm="1">
        <f t="array" aca="1" ref="F175" ca="1">IF(I175=0,"",HYPERLINK("#"&amp;RIGHT(CELL("dateiname"),LEN(CELL("dateiname"))-FIND("]",CELL("dateiname")))&amp;"!"&amp;CELL("adresse",OFFSET($C$6,I175-1,0)),"Definition"))</f>
        <v/>
      </c>
      <c r="G175" s="189" t="str" cm="1">
        <f t="array" aca="1" ref="G175" ca="1">IF(J175=0,"",HYPERLINK("#"&amp;RIGHT(CELL("adresse",OFFSET(DMAV_Modell!$A$6,J175-1,0)),LEN(CELL("adresse",OFFSET(DMAV_Modell!$A$6,J175-1,0)))-SEARCH("]",CELL("adresse",OFFSET(DMAV_Modell!$A$6,J175-1,0)))),"Modell"))</f>
        <v>Modell</v>
      </c>
      <c r="H175" s="150" t="str">
        <f t="shared" si="4"/>
        <v>DGS44</v>
      </c>
      <c r="I175" s="150">
        <f t="shared" si="5"/>
        <v>0</v>
      </c>
      <c r="J175" s="150">
        <f>IF(_xlfn.XLOOKUP(H175,Korrelation!$B$4:$B$723,Korrelation!$A$4:$A$723,0,0)=0,0,MATCH(_xlfn.XLOOKUP(H175,Korrelation!$B$4:$B$723,Korrelation!$A$4:$A$723,0,0),DMAV_Modell!$G$6:$G$677,0))</f>
        <v>224</v>
      </c>
      <c r="L175" s="51" t="s">
        <v>29</v>
      </c>
      <c r="M175" s="51" t="s">
        <v>160</v>
      </c>
      <c r="N175" s="51" t="s">
        <v>291</v>
      </c>
      <c r="O175" s="52" t="s">
        <v>131</v>
      </c>
      <c r="P175" s="56" t="s">
        <v>214</v>
      </c>
      <c r="Q175" s="52" t="s">
        <v>292</v>
      </c>
      <c r="R175" s="52" t="s">
        <v>293</v>
      </c>
      <c r="T175" s="51" t="s">
        <v>705</v>
      </c>
      <c r="U175" s="51" t="s">
        <v>795</v>
      </c>
      <c r="V175" s="51" t="s">
        <v>6514</v>
      </c>
      <c r="W175" s="52" t="s">
        <v>131</v>
      </c>
      <c r="X175" s="209" t="s">
        <v>214</v>
      </c>
      <c r="Y175" s="210" t="s">
        <v>6515</v>
      </c>
      <c r="Z175" s="210" t="s">
        <v>6516</v>
      </c>
      <c r="AB175" s="51" t="s">
        <v>4175</v>
      </c>
      <c r="AC175" s="51" t="s">
        <v>4185</v>
      </c>
      <c r="AD175" s="51" t="s">
        <v>4187</v>
      </c>
      <c r="AE175" s="52" t="s">
        <v>131</v>
      </c>
      <c r="AF175" s="209" t="s">
        <v>214</v>
      </c>
      <c r="AG175" s="210" t="s">
        <v>6517</v>
      </c>
      <c r="AH175" s="210" t="s">
        <v>6518</v>
      </c>
    </row>
    <row r="176" spans="1:34" ht="51" x14ac:dyDescent="0.25">
      <c r="A176" s="51" t="s">
        <v>3667</v>
      </c>
      <c r="B176" s="51">
        <v>45</v>
      </c>
      <c r="C176" s="115" t="s">
        <v>95</v>
      </c>
      <c r="D176" s="50">
        <v>1</v>
      </c>
      <c r="F176" s="189" t="str" cm="1">
        <f t="array" aca="1" ref="F176" ca="1">IF(I176=0,"",HYPERLINK("#"&amp;RIGHT(CELL("dateiname"),LEN(CELL("dateiname"))-FIND("]",CELL("dateiname")))&amp;"!"&amp;CELL("adresse",OFFSET($C$6,I176-1,0)),"Definition"))</f>
        <v/>
      </c>
      <c r="G176" s="189" t="str" cm="1">
        <f t="array" aca="1" ref="G176" ca="1">IF(J176=0,"",HYPERLINK("#"&amp;RIGHT(CELL("adresse",OFFSET(DMAV_Modell!$A$6,J176-1,0)),LEN(CELL("adresse",OFFSET(DMAV_Modell!$A$6,J176-1,0)))-SEARCH("]",CELL("adresse",OFFSET(DMAV_Modell!$A$6,J176-1,0)))),"Modell"))</f>
        <v>Modell</v>
      </c>
      <c r="H176" s="150" t="str">
        <f t="shared" si="4"/>
        <v>DGS45</v>
      </c>
      <c r="I176" s="150">
        <f t="shared" si="5"/>
        <v>0</v>
      </c>
      <c r="J176" s="150">
        <f>IF(_xlfn.XLOOKUP(H176,Korrelation!$B$4:$B$723,Korrelation!$A$4:$A$723,0,0)=0,0,MATCH(_xlfn.XLOOKUP(H176,Korrelation!$B$4:$B$723,Korrelation!$A$4:$A$723,0,0),DMAV_Modell!$G$6:$G$677,0))</f>
        <v>225</v>
      </c>
      <c r="L176" s="115" t="s">
        <v>29</v>
      </c>
      <c r="M176" s="51" t="s">
        <v>160</v>
      </c>
      <c r="N176" s="51" t="s">
        <v>294</v>
      </c>
      <c r="O176" s="52" t="s">
        <v>131</v>
      </c>
      <c r="P176" s="56" t="s">
        <v>214</v>
      </c>
      <c r="Q176" s="52" t="s">
        <v>295</v>
      </c>
      <c r="R176" s="52" t="s">
        <v>296</v>
      </c>
      <c r="T176" s="115" t="s">
        <v>705</v>
      </c>
      <c r="U176" s="51" t="s">
        <v>795</v>
      </c>
      <c r="V176" s="51" t="s">
        <v>796</v>
      </c>
      <c r="W176" s="52" t="s">
        <v>131</v>
      </c>
      <c r="X176" s="209" t="s">
        <v>214</v>
      </c>
      <c r="Y176" s="210" t="s">
        <v>6519</v>
      </c>
      <c r="Z176" s="210" t="s">
        <v>6520</v>
      </c>
      <c r="AB176" s="51" t="s">
        <v>4175</v>
      </c>
      <c r="AC176" s="51" t="s">
        <v>4185</v>
      </c>
      <c r="AD176" s="51" t="s">
        <v>6521</v>
      </c>
      <c r="AE176" s="52" t="s">
        <v>131</v>
      </c>
      <c r="AF176" s="209" t="s">
        <v>214</v>
      </c>
      <c r="AG176" s="210" t="s">
        <v>6522</v>
      </c>
      <c r="AH176" s="210" t="s">
        <v>6523</v>
      </c>
    </row>
    <row r="177" spans="1:34" ht="63.75" x14ac:dyDescent="0.25">
      <c r="A177" s="51" t="s">
        <v>3667</v>
      </c>
      <c r="B177" s="51">
        <v>46</v>
      </c>
      <c r="C177" s="115" t="s">
        <v>95</v>
      </c>
      <c r="D177" s="50">
        <v>1</v>
      </c>
      <c r="F177" s="189" t="str" cm="1">
        <f t="array" aca="1" ref="F177" ca="1">IF(I177=0,"",HYPERLINK("#"&amp;RIGHT(CELL("dateiname"),LEN(CELL("dateiname"))-FIND("]",CELL("dateiname")))&amp;"!"&amp;CELL("adresse",OFFSET($C$6,I177-1,0)),"Definition"))</f>
        <v/>
      </c>
      <c r="G177" s="189" t="str" cm="1">
        <f t="array" aca="1" ref="G177" ca="1">IF(J177=0,"",HYPERLINK("#"&amp;RIGHT(CELL("adresse",OFFSET(DMAV_Modell!$A$6,J177-1,0)),LEN(CELL("adresse",OFFSET(DMAV_Modell!$A$6,J177-1,0)))-SEARCH("]",CELL("adresse",OFFSET(DMAV_Modell!$A$6,J177-1,0)))),"Modell"))</f>
        <v>Modell</v>
      </c>
      <c r="H177" s="150" t="str">
        <f t="shared" si="4"/>
        <v>DGS46</v>
      </c>
      <c r="I177" s="150">
        <f t="shared" si="5"/>
        <v>0</v>
      </c>
      <c r="J177" s="150">
        <f>IF(_xlfn.XLOOKUP(H177,Korrelation!$B$4:$B$723,Korrelation!$A$4:$A$723,0,0)=0,0,MATCH(_xlfn.XLOOKUP(H177,Korrelation!$B$4:$B$723,Korrelation!$A$4:$A$723,0,0),DMAV_Modell!$G$6:$G$677,0))</f>
        <v>226</v>
      </c>
      <c r="L177" s="51" t="s">
        <v>29</v>
      </c>
      <c r="M177" s="51" t="s">
        <v>160</v>
      </c>
      <c r="N177" s="51" t="s">
        <v>297</v>
      </c>
      <c r="O177" s="52" t="s">
        <v>131</v>
      </c>
      <c r="P177" s="56" t="s">
        <v>3751</v>
      </c>
      <c r="Q177" s="52" t="s">
        <v>298</v>
      </c>
      <c r="R177" s="52" t="s">
        <v>299</v>
      </c>
      <c r="T177" s="51" t="s">
        <v>705</v>
      </c>
      <c r="U177" s="51" t="s">
        <v>795</v>
      </c>
      <c r="V177" s="51" t="s">
        <v>797</v>
      </c>
      <c r="W177" s="52" t="s">
        <v>131</v>
      </c>
      <c r="X177" s="209" t="s">
        <v>3751</v>
      </c>
      <c r="Y177" s="210" t="s">
        <v>6524</v>
      </c>
      <c r="Z177" s="210" t="s">
        <v>6525</v>
      </c>
      <c r="AB177" s="51" t="s">
        <v>4175</v>
      </c>
      <c r="AC177" s="51" t="s">
        <v>4185</v>
      </c>
      <c r="AD177" s="51" t="s">
        <v>4188</v>
      </c>
      <c r="AE177" s="52" t="s">
        <v>131</v>
      </c>
      <c r="AF177" s="209" t="s">
        <v>3751</v>
      </c>
      <c r="AG177" s="210" t="s">
        <v>6526</v>
      </c>
      <c r="AH177" s="210" t="s">
        <v>6527</v>
      </c>
    </row>
    <row r="178" spans="1:34" ht="38.25" x14ac:dyDescent="0.25">
      <c r="A178" s="51" t="s">
        <v>3667</v>
      </c>
      <c r="B178" s="51">
        <v>47</v>
      </c>
      <c r="C178" s="115" t="s">
        <v>95</v>
      </c>
      <c r="D178" s="50" t="s">
        <v>72</v>
      </c>
      <c r="F178" s="189" t="str" cm="1">
        <f t="array" aca="1" ref="F178" ca="1">IF(I178=0,"",HYPERLINK("#"&amp;RIGHT(CELL("dateiname"),LEN(CELL("dateiname"))-FIND("]",CELL("dateiname")))&amp;"!"&amp;CELL("adresse",OFFSET($C$6,I178-1,0)),"Definition"))</f>
        <v/>
      </c>
      <c r="G178" s="189" t="str" cm="1">
        <f t="array" aca="1" ref="G178" ca="1">IF(J178=0,"",HYPERLINK("#"&amp;RIGHT(CELL("adresse",OFFSET(DMAV_Modell!$A$6,J178-1,0)),LEN(CELL("adresse",OFFSET(DMAV_Modell!$A$6,J178-1,0)))-SEARCH("]",CELL("adresse",OFFSET(DMAV_Modell!$A$6,J178-1,0)))),"Modell"))</f>
        <v>Modell</v>
      </c>
      <c r="H178" s="150" t="str">
        <f t="shared" si="4"/>
        <v>DGS47</v>
      </c>
      <c r="I178" s="150">
        <f t="shared" si="5"/>
        <v>0</v>
      </c>
      <c r="J178" s="150">
        <f>IF(_xlfn.XLOOKUP(H178,Korrelation!$B$4:$B$723,Korrelation!$A$4:$A$723,0,0)=0,0,MATCH(_xlfn.XLOOKUP(H178,Korrelation!$B$4:$B$723,Korrelation!$A$4:$A$723,0,0),DMAV_Modell!$G$6:$G$677,0))</f>
        <v>227</v>
      </c>
      <c r="L178" s="51" t="s">
        <v>29</v>
      </c>
      <c r="M178" s="51" t="s">
        <v>160</v>
      </c>
      <c r="N178" s="51" t="s">
        <v>149</v>
      </c>
      <c r="O178" s="52" t="s">
        <v>73</v>
      </c>
      <c r="P178" s="56" t="s">
        <v>3729</v>
      </c>
      <c r="Q178" s="52" t="s">
        <v>300</v>
      </c>
      <c r="R178" s="52"/>
      <c r="T178" s="51" t="s">
        <v>705</v>
      </c>
      <c r="U178" s="51" t="s">
        <v>795</v>
      </c>
      <c r="V178" s="51" t="s">
        <v>756</v>
      </c>
      <c r="W178" s="52" t="s">
        <v>73</v>
      </c>
      <c r="X178" s="209" t="s">
        <v>3729</v>
      </c>
      <c r="Y178" s="210" t="s">
        <v>6528</v>
      </c>
      <c r="AB178" s="51" t="s">
        <v>4175</v>
      </c>
      <c r="AC178" s="51" t="s">
        <v>4185</v>
      </c>
      <c r="AD178" s="51" t="s">
        <v>4034</v>
      </c>
      <c r="AE178" s="52" t="s">
        <v>73</v>
      </c>
      <c r="AF178" s="209" t="s">
        <v>3729</v>
      </c>
      <c r="AG178" s="210" t="s">
        <v>6529</v>
      </c>
    </row>
    <row r="179" spans="1:34" ht="38.25" x14ac:dyDescent="0.25">
      <c r="A179" s="51" t="s">
        <v>3668</v>
      </c>
      <c r="B179" s="51">
        <v>1</v>
      </c>
      <c r="C179" s="51" t="s">
        <v>34</v>
      </c>
      <c r="F179" s="189" t="str" cm="1">
        <f t="array" aca="1" ref="F179" ca="1">IF(I179=0,"",HYPERLINK("#"&amp;RIGHT(CELL("dateiname"),LEN(CELL("dateiname"))-FIND("]",CELL("dateiname")))&amp;"!"&amp;CELL("adresse",OFFSET($C$6,I179-1,0)),"Definition"))</f>
        <v/>
      </c>
      <c r="G179" s="189" t="str" cm="1">
        <f t="array" aca="1" ref="G179" ca="1">IF(J179=0,"",HYPERLINK("#"&amp;RIGHT(CELL("adresse",OFFSET(DMAV_Modell!$A$6,J179-1,0)),LEN(CELL("adresse",OFFSET(DMAV_Modell!$A$6,J179-1,0)))-SEARCH("]",CELL("adresse",OFFSET(DMAV_Modell!$A$6,J179-1,0)))),"Modell"))</f>
        <v>Modell</v>
      </c>
      <c r="H179" s="150" t="str">
        <f t="shared" si="4"/>
        <v>DDG1</v>
      </c>
      <c r="I179" s="150">
        <f t="shared" si="5"/>
        <v>0</v>
      </c>
      <c r="J179" s="150">
        <f>IF(_xlfn.XLOOKUP(H179,Korrelation!$B$4:$B$723,Korrelation!$A$4:$A$723,0,0)=0,0,MATCH(_xlfn.XLOOKUP(H179,Korrelation!$B$4:$B$723,Korrelation!$A$4:$A$723,0,0),DMAV_Modell!$G$6:$G$677,0))</f>
        <v>310</v>
      </c>
      <c r="L179" s="51" t="s">
        <v>3356</v>
      </c>
      <c r="M179" s="51" t="s">
        <v>3359</v>
      </c>
      <c r="O179" s="52" t="s">
        <v>3365</v>
      </c>
      <c r="P179" s="56"/>
      <c r="Q179" s="52" t="s">
        <v>3371</v>
      </c>
      <c r="R179" s="52"/>
      <c r="T179" s="51" t="s">
        <v>6532</v>
      </c>
      <c r="U179" s="51" t="s">
        <v>3374</v>
      </c>
      <c r="W179" s="52" t="s">
        <v>3375</v>
      </c>
      <c r="Y179" s="210" t="s">
        <v>6533</v>
      </c>
      <c r="AB179" s="51" t="s">
        <v>6534</v>
      </c>
      <c r="AC179" s="51" t="s">
        <v>4285</v>
      </c>
      <c r="AE179" s="52" t="s">
        <v>6535</v>
      </c>
      <c r="AG179" s="210" t="s">
        <v>6536</v>
      </c>
    </row>
    <row r="180" spans="1:34" ht="25.5" x14ac:dyDescent="0.25">
      <c r="A180" s="51" t="s">
        <v>3668</v>
      </c>
      <c r="B180" s="51">
        <v>2</v>
      </c>
      <c r="C180" s="51" t="s">
        <v>34</v>
      </c>
      <c r="F180" s="189" t="str" cm="1">
        <f t="array" aca="1" ref="F180" ca="1">IF(I180=0,"",HYPERLINK("#"&amp;RIGHT(CELL("dateiname"),LEN(CELL("dateiname"))-FIND("]",CELL("dateiname")))&amp;"!"&amp;CELL("adresse",OFFSET($C$6,I180-1,0)),"Definition"))</f>
        <v/>
      </c>
      <c r="G180" s="189" t="str" cm="1">
        <f t="array" aca="1" ref="G180" ca="1">IF(J180=0,"",HYPERLINK("#"&amp;RIGHT(CELL("adresse",OFFSET(DMAV_Modell!$A$6,J180-1,0)),LEN(CELL("adresse",OFFSET(DMAV_Modell!$A$6,J180-1,0)))-SEARCH("]",CELL("adresse",OFFSET(DMAV_Modell!$A$6,J180-1,0)))),"Modell"))</f>
        <v>Modell</v>
      </c>
      <c r="H180" s="150" t="str">
        <f t="shared" si="4"/>
        <v>DDG2</v>
      </c>
      <c r="I180" s="150">
        <f t="shared" si="5"/>
        <v>0</v>
      </c>
      <c r="J180" s="150">
        <f>IF(_xlfn.XLOOKUP(H180,Korrelation!$B$4:$B$723,Korrelation!$A$4:$A$723,0,0)=0,0,MATCH(_xlfn.XLOOKUP(H180,Korrelation!$B$4:$B$723,Korrelation!$A$4:$A$723,0,0),DMAV_Modell!$G$6:$G$677,0))</f>
        <v>311</v>
      </c>
      <c r="L180" s="51" t="s">
        <v>3356</v>
      </c>
      <c r="M180" s="51" t="s">
        <v>3359</v>
      </c>
      <c r="O180" s="52" t="s">
        <v>3366</v>
      </c>
      <c r="P180" s="56"/>
      <c r="Q180" s="52" t="s">
        <v>3372</v>
      </c>
      <c r="R180" s="52"/>
      <c r="T180" s="51" t="s">
        <v>6532</v>
      </c>
      <c r="U180" s="51" t="s">
        <v>3374</v>
      </c>
      <c r="W180" s="52" t="s">
        <v>3376</v>
      </c>
      <c r="Y180" s="210" t="s">
        <v>6537</v>
      </c>
      <c r="AB180" s="51" t="s">
        <v>6534</v>
      </c>
      <c r="AC180" s="51" t="s">
        <v>4285</v>
      </c>
      <c r="AE180" s="52" t="s">
        <v>6538</v>
      </c>
      <c r="AG180" s="210" t="s">
        <v>6539</v>
      </c>
    </row>
    <row r="181" spans="1:34" x14ac:dyDescent="0.25">
      <c r="A181" s="51" t="s">
        <v>3668</v>
      </c>
      <c r="B181" s="51">
        <v>3</v>
      </c>
      <c r="C181" s="51" t="s">
        <v>34</v>
      </c>
      <c r="F181" s="189" t="str" cm="1">
        <f t="array" aca="1" ref="F181" ca="1">IF(I181=0,"",HYPERLINK("#"&amp;RIGHT(CELL("dateiname"),LEN(CELL("dateiname"))-FIND("]",CELL("dateiname")))&amp;"!"&amp;CELL("adresse",OFFSET($C$6,I181-1,0)),"Definition"))</f>
        <v/>
      </c>
      <c r="G181" s="189" t="str" cm="1">
        <f t="array" aca="1" ref="G181" ca="1">IF(J181=0,"",HYPERLINK("#"&amp;RIGHT(CELL("adresse",OFFSET(DMAV_Modell!$A$6,J181-1,0)),LEN(CELL("adresse",OFFSET(DMAV_Modell!$A$6,J181-1,0)))-SEARCH("]",CELL("adresse",OFFSET(DMAV_Modell!$A$6,J181-1,0)))),"Modell"))</f>
        <v>Modell</v>
      </c>
      <c r="H181" s="150" t="str">
        <f t="shared" si="4"/>
        <v>DDG3</v>
      </c>
      <c r="I181" s="150">
        <f t="shared" si="5"/>
        <v>0</v>
      </c>
      <c r="J181" s="150">
        <f>IF(_xlfn.XLOOKUP(H181,Korrelation!$B$4:$B$723,Korrelation!$A$4:$A$723,0,0)=0,0,MATCH(_xlfn.XLOOKUP(H181,Korrelation!$B$4:$B$723,Korrelation!$A$4:$A$723,0,0),DMAV_Modell!$G$6:$G$677,0))</f>
        <v>312</v>
      </c>
      <c r="L181" s="51" t="s">
        <v>3356</v>
      </c>
      <c r="M181" s="51" t="s">
        <v>3359</v>
      </c>
      <c r="O181" s="52" t="s">
        <v>3367</v>
      </c>
      <c r="P181" s="56"/>
      <c r="Q181" s="52" t="s">
        <v>3373</v>
      </c>
      <c r="R181" s="52"/>
      <c r="T181" s="51" t="s">
        <v>6532</v>
      </c>
      <c r="U181" s="51" t="s">
        <v>3374</v>
      </c>
      <c r="W181" s="52" t="s">
        <v>3377</v>
      </c>
      <c r="Y181" s="210" t="s">
        <v>6540</v>
      </c>
      <c r="AB181" s="51" t="s">
        <v>6534</v>
      </c>
      <c r="AC181" s="51" t="s">
        <v>4285</v>
      </c>
      <c r="AE181" s="52" t="s">
        <v>4288</v>
      </c>
      <c r="AG181" s="210" t="s">
        <v>6541</v>
      </c>
    </row>
    <row r="182" spans="1:34" ht="38.25" x14ac:dyDescent="0.25">
      <c r="A182" s="51" t="s">
        <v>3668</v>
      </c>
      <c r="B182" s="51">
        <v>4</v>
      </c>
      <c r="C182" s="51" t="s">
        <v>66</v>
      </c>
      <c r="D182" s="50">
        <v>1</v>
      </c>
      <c r="F182" s="189" t="str" cm="1">
        <f t="array" aca="1" ref="F182" ca="1">IF(I182=0,"",HYPERLINK("#"&amp;RIGHT(CELL("dateiname"),LEN(CELL("dateiname"))-FIND("]",CELL("dateiname")))&amp;"!"&amp;CELL("adresse",OFFSET($C$6,I182-1,0)),"Definition"))</f>
        <v/>
      </c>
      <c r="G182" s="189" t="str" cm="1">
        <f t="array" aca="1" ref="G182" ca="1">IF(J182=0,"",HYPERLINK("#"&amp;RIGHT(CELL("adresse",OFFSET(DMAV_Modell!$A$6,J182-1,0)),LEN(CELL("adresse",OFFSET(DMAV_Modell!$A$6,J182-1,0)))-SEARCH("]",CELL("adresse",OFFSET(DMAV_Modell!$A$6,J182-1,0)))),"Modell"))</f>
        <v>Modell</v>
      </c>
      <c r="H182" s="150" t="str">
        <f t="shared" si="4"/>
        <v>DDG4</v>
      </c>
      <c r="I182" s="150">
        <f t="shared" si="5"/>
        <v>0</v>
      </c>
      <c r="J182" s="150">
        <f>IF(_xlfn.XLOOKUP(H182,Korrelation!$B$4:$B$723,Korrelation!$A$4:$A$723,0,0)=0,0,MATCH(_xlfn.XLOOKUP(H182,Korrelation!$B$4:$B$723,Korrelation!$A$4:$A$723,0,0),DMAV_Modell!$G$6:$G$677,0))</f>
        <v>319</v>
      </c>
      <c r="L182" s="51" t="s">
        <v>3356</v>
      </c>
      <c r="M182" s="51" t="s">
        <v>3378</v>
      </c>
      <c r="N182" s="51" t="s">
        <v>123</v>
      </c>
      <c r="O182" s="52" t="s">
        <v>105</v>
      </c>
      <c r="P182" s="56"/>
      <c r="Q182" s="52" t="s">
        <v>301</v>
      </c>
      <c r="R182" s="52" t="s">
        <v>94</v>
      </c>
      <c r="T182" s="51" t="s">
        <v>6532</v>
      </c>
      <c r="U182" s="51" t="s">
        <v>798</v>
      </c>
      <c r="V182" s="51" t="s">
        <v>123</v>
      </c>
      <c r="W182" s="52" t="s">
        <v>105</v>
      </c>
      <c r="Y182" s="210" t="s">
        <v>6542</v>
      </c>
      <c r="Z182" s="210" t="s">
        <v>6166</v>
      </c>
      <c r="AB182" s="51" t="s">
        <v>6534</v>
      </c>
      <c r="AC182" s="51" t="s">
        <v>4291</v>
      </c>
      <c r="AD182" s="51" t="s">
        <v>1247</v>
      </c>
      <c r="AE182" s="52" t="s">
        <v>105</v>
      </c>
      <c r="AG182" s="210" t="s">
        <v>6543</v>
      </c>
      <c r="AH182" s="210" t="s">
        <v>6308</v>
      </c>
    </row>
    <row r="183" spans="1:34" ht="38.25" x14ac:dyDescent="0.25">
      <c r="A183" s="51" t="s">
        <v>3668</v>
      </c>
      <c r="B183" s="51">
        <v>5</v>
      </c>
      <c r="C183" s="51" t="s">
        <v>66</v>
      </c>
      <c r="D183" s="50">
        <v>1</v>
      </c>
      <c r="F183" s="189" t="str" cm="1">
        <f t="array" aca="1" ref="F183" ca="1">IF(I183=0,"",HYPERLINK("#"&amp;RIGHT(CELL("dateiname"),LEN(CELL("dateiname"))-FIND("]",CELL("dateiname")))&amp;"!"&amp;CELL("adresse",OFFSET($C$6,I183-1,0)),"Definition"))</f>
        <v/>
      </c>
      <c r="G183" s="189" t="str" cm="1">
        <f t="array" aca="1" ref="G183" ca="1">IF(J183=0,"",HYPERLINK("#"&amp;RIGHT(CELL("adresse",OFFSET(DMAV_Modell!$A$6,J183-1,0)),LEN(CELL("adresse",OFFSET(DMAV_Modell!$A$6,J183-1,0)))-SEARCH("]",CELL("adresse",OFFSET(DMAV_Modell!$A$6,J183-1,0)))),"Modell"))</f>
        <v>Modell</v>
      </c>
      <c r="H183" s="150" t="str">
        <f t="shared" si="4"/>
        <v>DDG5</v>
      </c>
      <c r="I183" s="150">
        <f t="shared" si="5"/>
        <v>0</v>
      </c>
      <c r="J183" s="150">
        <f>IF(_xlfn.XLOOKUP(H183,Korrelation!$B$4:$B$723,Korrelation!$A$4:$A$723,0,0)=0,0,MATCH(_xlfn.XLOOKUP(H183,Korrelation!$B$4:$B$723,Korrelation!$A$4:$A$723,0,0),DMAV_Modell!$G$6:$G$677,0))</f>
        <v>320</v>
      </c>
      <c r="L183" s="51" t="s">
        <v>3356</v>
      </c>
      <c r="M183" s="51" t="s">
        <v>302</v>
      </c>
      <c r="N183" s="51" t="s">
        <v>123</v>
      </c>
      <c r="O183" s="52" t="s">
        <v>198</v>
      </c>
      <c r="P183" s="56"/>
      <c r="Q183" s="52" t="s">
        <v>303</v>
      </c>
      <c r="R183" s="52" t="s">
        <v>94</v>
      </c>
      <c r="T183" s="51" t="s">
        <v>6532</v>
      </c>
      <c r="U183" s="51" t="s">
        <v>799</v>
      </c>
      <c r="V183" s="51" t="s">
        <v>123</v>
      </c>
      <c r="W183" s="52" t="s">
        <v>198</v>
      </c>
      <c r="Y183" s="210" t="s">
        <v>6544</v>
      </c>
      <c r="Z183" s="210" t="s">
        <v>6166</v>
      </c>
      <c r="AB183" s="51" t="s">
        <v>6534</v>
      </c>
      <c r="AC183" s="51" t="s">
        <v>4292</v>
      </c>
      <c r="AD183" s="51" t="s">
        <v>1247</v>
      </c>
      <c r="AE183" s="52" t="s">
        <v>198</v>
      </c>
      <c r="AG183" s="210" t="s">
        <v>6545</v>
      </c>
      <c r="AH183" s="210" t="s">
        <v>6308</v>
      </c>
    </row>
    <row r="184" spans="1:34" ht="38.25" x14ac:dyDescent="0.25">
      <c r="A184" s="51" t="s">
        <v>3668</v>
      </c>
      <c r="B184" s="51">
        <v>6</v>
      </c>
      <c r="C184" s="51" t="s">
        <v>66</v>
      </c>
      <c r="D184" s="50">
        <v>1</v>
      </c>
      <c r="F184" s="189" t="str" cm="1">
        <f t="array" aca="1" ref="F184" ca="1">IF(I184=0,"",HYPERLINK("#"&amp;RIGHT(CELL("dateiname"),LEN(CELL("dateiname"))-FIND("]",CELL("dateiname")))&amp;"!"&amp;CELL("adresse",OFFSET($C$6,I184-1,0)),"Definition"))</f>
        <v/>
      </c>
      <c r="G184" s="189" t="str" cm="1">
        <f t="array" aca="1" ref="G184" ca="1">IF(J184=0,"",HYPERLINK("#"&amp;RIGHT(CELL("adresse",OFFSET(DMAV_Modell!$A$6,J184-1,0)),LEN(CELL("adresse",OFFSET(DMAV_Modell!$A$6,J184-1,0)))-SEARCH("]",CELL("adresse",OFFSET(DMAV_Modell!$A$6,J184-1,0)))),"Modell"))</f>
        <v>Modell</v>
      </c>
      <c r="H184" s="150" t="str">
        <f t="shared" si="4"/>
        <v>DDG6</v>
      </c>
      <c r="I184" s="150">
        <f t="shared" si="5"/>
        <v>0</v>
      </c>
      <c r="J184" s="150">
        <f>IF(_xlfn.XLOOKUP(H184,Korrelation!$B$4:$B$723,Korrelation!$A$4:$A$723,0,0)=0,0,MATCH(_xlfn.XLOOKUP(H184,Korrelation!$B$4:$B$723,Korrelation!$A$4:$A$723,0,0),DMAV_Modell!$G$6:$G$677,0))</f>
        <v>321</v>
      </c>
      <c r="L184" s="51" t="s">
        <v>3356</v>
      </c>
      <c r="M184" s="51" t="s">
        <v>304</v>
      </c>
      <c r="N184" s="51" t="s">
        <v>123</v>
      </c>
      <c r="O184" s="52" t="s">
        <v>69</v>
      </c>
      <c r="P184" s="56"/>
      <c r="Q184" s="52" t="s">
        <v>305</v>
      </c>
      <c r="R184" s="52" t="s">
        <v>94</v>
      </c>
      <c r="T184" s="51" t="s">
        <v>6532</v>
      </c>
      <c r="U184" s="51" t="s">
        <v>800</v>
      </c>
      <c r="V184" s="51" t="s">
        <v>123</v>
      </c>
      <c r="W184" s="52" t="s">
        <v>69</v>
      </c>
      <c r="Y184" s="210" t="s">
        <v>6546</v>
      </c>
      <c r="Z184" s="210" t="s">
        <v>6166</v>
      </c>
      <c r="AB184" s="51" t="s">
        <v>6534</v>
      </c>
      <c r="AC184" s="51" t="s">
        <v>4293</v>
      </c>
      <c r="AD184" s="51" t="s">
        <v>1247</v>
      </c>
      <c r="AE184" s="52" t="s">
        <v>69</v>
      </c>
      <c r="AG184" s="210" t="s">
        <v>6547</v>
      </c>
      <c r="AH184" s="210" t="s">
        <v>6308</v>
      </c>
    </row>
    <row r="185" spans="1:34" ht="25.5" x14ac:dyDescent="0.25">
      <c r="A185" s="51" t="s">
        <v>3668</v>
      </c>
      <c r="B185" s="51">
        <v>7</v>
      </c>
      <c r="C185" s="51" t="s">
        <v>66</v>
      </c>
      <c r="D185" s="50" t="s">
        <v>72</v>
      </c>
      <c r="F185" s="189" t="str" cm="1">
        <f t="array" aca="1" ref="F185" ca="1">IF(I185=0,"",HYPERLINK("#"&amp;RIGHT(CELL("dateiname"),LEN(CELL("dateiname"))-FIND("]",CELL("dateiname")))&amp;"!"&amp;CELL("adresse",OFFSET($C$6,I185-1,0)),"Definition"))</f>
        <v/>
      </c>
      <c r="G185" s="189" t="str" cm="1">
        <f t="array" aca="1" ref="G185" ca="1">IF(J185=0,"",HYPERLINK("#"&amp;RIGHT(CELL("adresse",OFFSET(DMAV_Modell!$A$6,J185-1,0)),LEN(CELL("adresse",OFFSET(DMAV_Modell!$A$6,J185-1,0)))-SEARCH("]",CELL("adresse",OFFSET(DMAV_Modell!$A$6,J185-1,0)))),"Modell"))</f>
        <v>Modell</v>
      </c>
      <c r="H185" s="150" t="str">
        <f t="shared" si="4"/>
        <v>DDG7</v>
      </c>
      <c r="I185" s="150">
        <f t="shared" si="5"/>
        <v>0</v>
      </c>
      <c r="J185" s="150">
        <f>IF(_xlfn.XLOOKUP(H185,Korrelation!$B$4:$B$723,Korrelation!$A$4:$A$723,0,0)=0,0,MATCH(_xlfn.XLOOKUP(H185,Korrelation!$B$4:$B$723,Korrelation!$A$4:$A$723,0,0),DMAV_Modell!$G$6:$G$677,0))</f>
        <v>322</v>
      </c>
      <c r="L185" s="51" t="s">
        <v>3356</v>
      </c>
      <c r="M185" s="51" t="s">
        <v>304</v>
      </c>
      <c r="N185" s="51" t="s">
        <v>149</v>
      </c>
      <c r="O185" s="52" t="s">
        <v>73</v>
      </c>
      <c r="P185" s="56" t="s">
        <v>3729</v>
      </c>
      <c r="Q185" s="52" t="s">
        <v>306</v>
      </c>
      <c r="R185" s="52"/>
      <c r="T185" s="51" t="s">
        <v>6532</v>
      </c>
      <c r="U185" s="51" t="s">
        <v>800</v>
      </c>
      <c r="V185" s="51" t="s">
        <v>756</v>
      </c>
      <c r="W185" s="52" t="s">
        <v>73</v>
      </c>
      <c r="X185" s="209" t="s">
        <v>3729</v>
      </c>
      <c r="Y185" s="210" t="s">
        <v>6548</v>
      </c>
      <c r="AB185" s="51" t="s">
        <v>6534</v>
      </c>
      <c r="AC185" s="51" t="s">
        <v>4293</v>
      </c>
      <c r="AD185" s="51" t="s">
        <v>4034</v>
      </c>
      <c r="AE185" s="52" t="s">
        <v>73</v>
      </c>
      <c r="AF185" s="209" t="s">
        <v>3729</v>
      </c>
      <c r="AG185" s="210" t="s">
        <v>6549</v>
      </c>
    </row>
    <row r="186" spans="1:34" x14ac:dyDescent="0.25">
      <c r="A186" s="51" t="s">
        <v>3668</v>
      </c>
      <c r="B186" s="51">
        <v>8</v>
      </c>
      <c r="C186" s="51" t="s">
        <v>95</v>
      </c>
      <c r="D186" s="50">
        <v>1</v>
      </c>
      <c r="F186" s="189" t="str" cm="1">
        <f t="array" aca="1" ref="F186" ca="1">IF(I186=0,"",HYPERLINK("#"&amp;RIGHT(CELL("dateiname"),LEN(CELL("dateiname"))-FIND("]",CELL("dateiname")))&amp;"!"&amp;CELL("adresse",OFFSET($C$6,I186-1,0)),"Definition"))</f>
        <v/>
      </c>
      <c r="G186" s="189" t="str" cm="1">
        <f t="array" aca="1" ref="G186" ca="1">IF(J186=0,"",HYPERLINK("#"&amp;RIGHT(CELL("adresse",OFFSET(DMAV_Modell!$A$6,J186-1,0)),LEN(CELL("adresse",OFFSET(DMAV_Modell!$A$6,J186-1,0)))-SEARCH("]",CELL("adresse",OFFSET(DMAV_Modell!$A$6,J186-1,0)))),"Modell"))</f>
        <v>Modell</v>
      </c>
      <c r="H186" s="150" t="str">
        <f t="shared" si="4"/>
        <v>DDG8</v>
      </c>
      <c r="I186" s="150">
        <f t="shared" si="5"/>
        <v>0</v>
      </c>
      <c r="J186" s="150">
        <f>IF(_xlfn.XLOOKUP(H186,Korrelation!$B$4:$B$723,Korrelation!$A$4:$A$723,0,0)=0,0,MATCH(_xlfn.XLOOKUP(H186,Korrelation!$B$4:$B$723,Korrelation!$A$4:$A$723,0,0),DMAV_Modell!$G$6:$G$677,0))</f>
        <v>313</v>
      </c>
      <c r="L186" s="51" t="s">
        <v>3356</v>
      </c>
      <c r="M186" s="51" t="s">
        <v>307</v>
      </c>
      <c r="N186" s="51" t="s">
        <v>96</v>
      </c>
      <c r="O186" s="52" t="s">
        <v>97</v>
      </c>
      <c r="P186" s="56"/>
      <c r="Q186" s="52" t="s">
        <v>98</v>
      </c>
      <c r="R186" s="52"/>
      <c r="T186" s="51" t="s">
        <v>6532</v>
      </c>
      <c r="U186" s="51" t="s">
        <v>4289</v>
      </c>
      <c r="V186" s="51" t="s">
        <v>733</v>
      </c>
      <c r="W186" s="52" t="s">
        <v>97</v>
      </c>
      <c r="Y186" s="210" t="s">
        <v>6183</v>
      </c>
      <c r="AB186" s="51" t="s">
        <v>6534</v>
      </c>
      <c r="AC186" s="51" t="s">
        <v>4290</v>
      </c>
      <c r="AD186" s="51" t="s">
        <v>1378</v>
      </c>
      <c r="AE186" s="52" t="s">
        <v>97</v>
      </c>
      <c r="AG186" s="210" t="s">
        <v>6316</v>
      </c>
    </row>
    <row r="187" spans="1:34" ht="25.5" x14ac:dyDescent="0.25">
      <c r="A187" s="51" t="s">
        <v>3668</v>
      </c>
      <c r="B187" s="51">
        <v>9</v>
      </c>
      <c r="C187" s="51" t="s">
        <v>95</v>
      </c>
      <c r="D187" s="50">
        <v>1</v>
      </c>
      <c r="F187" s="189" t="str" cm="1">
        <f t="array" aca="1" ref="F187" ca="1">IF(I187=0,"",HYPERLINK("#"&amp;RIGHT(CELL("dateiname"),LEN(CELL("dateiname"))-FIND("]",CELL("dateiname")))&amp;"!"&amp;CELL("adresse",OFFSET($C$6,I187-1,0)),"Definition"))</f>
        <v/>
      </c>
      <c r="G187" s="189" t="str" cm="1">
        <f t="array" aca="1" ref="G187" ca="1">IF(J187=0,"",HYPERLINK("#"&amp;RIGHT(CELL("adresse",OFFSET(DMAV_Modell!$A$6,J187-1,0)),LEN(CELL("adresse",OFFSET(DMAV_Modell!$A$6,J187-1,0)))-SEARCH("]",CELL("adresse",OFFSET(DMAV_Modell!$A$6,J187-1,0)))),"Modell"))</f>
        <v>Modell</v>
      </c>
      <c r="H187" s="150" t="str">
        <f t="shared" si="4"/>
        <v>DDG9</v>
      </c>
      <c r="I187" s="150">
        <f t="shared" si="5"/>
        <v>0</v>
      </c>
      <c r="J187" s="150">
        <f>IF(_xlfn.XLOOKUP(H187,Korrelation!$B$4:$B$723,Korrelation!$A$4:$A$723,0,0)=0,0,MATCH(_xlfn.XLOOKUP(H187,Korrelation!$B$4:$B$723,Korrelation!$A$4:$A$723,0,0),DMAV_Modell!$G$6:$G$677,0))</f>
        <v>314</v>
      </c>
      <c r="L187" s="51" t="s">
        <v>3356</v>
      </c>
      <c r="M187" s="51" t="s">
        <v>307</v>
      </c>
      <c r="N187" s="51" t="s">
        <v>99</v>
      </c>
      <c r="O187" s="52" t="s">
        <v>97</v>
      </c>
      <c r="P187" s="56"/>
      <c r="Q187" s="52" t="s">
        <v>100</v>
      </c>
      <c r="R187" s="52"/>
      <c r="T187" s="51" t="s">
        <v>6532</v>
      </c>
      <c r="U187" s="51" t="s">
        <v>4289</v>
      </c>
      <c r="V187" s="51" t="s">
        <v>734</v>
      </c>
      <c r="W187" s="52" t="s">
        <v>97</v>
      </c>
      <c r="Y187" s="210" t="s">
        <v>6176</v>
      </c>
      <c r="AB187" s="51" t="s">
        <v>6534</v>
      </c>
      <c r="AC187" s="51" t="s">
        <v>4290</v>
      </c>
      <c r="AD187" s="51" t="s">
        <v>1376</v>
      </c>
      <c r="AE187" s="52" t="s">
        <v>97</v>
      </c>
      <c r="AG187" s="210" t="s">
        <v>6317</v>
      </c>
    </row>
    <row r="188" spans="1:34" x14ac:dyDescent="0.25">
      <c r="A188" s="51" t="s">
        <v>3668</v>
      </c>
      <c r="B188" s="51">
        <v>10</v>
      </c>
      <c r="C188" s="51" t="s">
        <v>95</v>
      </c>
      <c r="D188" s="50">
        <v>1</v>
      </c>
      <c r="F188" s="189" t="str" cm="1">
        <f t="array" aca="1" ref="F188" ca="1">IF(I188=0,"",HYPERLINK("#"&amp;RIGHT(CELL("dateiname"),LEN(CELL("dateiname"))-FIND("]",CELL("dateiname")))&amp;"!"&amp;CELL("adresse",OFFSET($C$6,I188-1,0)),"Definition"))</f>
        <v/>
      </c>
      <c r="G188" s="189" t="str" cm="1">
        <f t="array" aca="1" ref="G188" ca="1">IF(J188=0,"",HYPERLINK("#"&amp;RIGHT(CELL("adresse",OFFSET(DMAV_Modell!$A$6,J188-1,0)),LEN(CELL("adresse",OFFSET(DMAV_Modell!$A$6,J188-1,0)))-SEARCH("]",CELL("adresse",OFFSET(DMAV_Modell!$A$6,J188-1,0)))),"Modell"))</f>
        <v>Modell</v>
      </c>
      <c r="H188" s="150" t="str">
        <f t="shared" si="4"/>
        <v>DDG10</v>
      </c>
      <c r="I188" s="150">
        <f t="shared" si="5"/>
        <v>0</v>
      </c>
      <c r="J188" s="150">
        <f>IF(_xlfn.XLOOKUP(H188,Korrelation!$B$4:$B$723,Korrelation!$A$4:$A$723,0,0)=0,0,MATCH(_xlfn.XLOOKUP(H188,Korrelation!$B$4:$B$723,Korrelation!$A$4:$A$723,0,0),DMAV_Modell!$G$6:$G$677,0))</f>
        <v>315</v>
      </c>
      <c r="L188" s="51" t="s">
        <v>3356</v>
      </c>
      <c r="M188" s="51" t="s">
        <v>307</v>
      </c>
      <c r="N188" s="51" t="s">
        <v>101</v>
      </c>
      <c r="O188" s="52" t="s">
        <v>102</v>
      </c>
      <c r="P188" s="56"/>
      <c r="Q188" s="52" t="s">
        <v>103</v>
      </c>
      <c r="R188" s="52"/>
      <c r="T188" s="51" t="s">
        <v>6532</v>
      </c>
      <c r="U188" s="51" t="s">
        <v>4289</v>
      </c>
      <c r="V188" s="51" t="s">
        <v>735</v>
      </c>
      <c r="W188" s="52" t="s">
        <v>102</v>
      </c>
      <c r="Y188" s="210" t="s">
        <v>6177</v>
      </c>
      <c r="AB188" s="51" t="s">
        <v>6534</v>
      </c>
      <c r="AC188" s="51" t="s">
        <v>4290</v>
      </c>
      <c r="AD188" s="51" t="s">
        <v>1294</v>
      </c>
      <c r="AE188" s="52" t="s">
        <v>102</v>
      </c>
      <c r="AG188" s="210" t="s">
        <v>6318</v>
      </c>
    </row>
    <row r="189" spans="1:34" ht="76.5" x14ac:dyDescent="0.25">
      <c r="A189" s="51" t="s">
        <v>3668</v>
      </c>
      <c r="B189" s="51">
        <v>11</v>
      </c>
      <c r="C189" s="51" t="s">
        <v>95</v>
      </c>
      <c r="D189" s="50" t="s">
        <v>72</v>
      </c>
      <c r="F189" s="189" t="str" cm="1">
        <f t="array" aca="1" ref="F189" ca="1">IF(I189=0,"",HYPERLINK("#"&amp;RIGHT(CELL("dateiname"),LEN(CELL("dateiname"))-FIND("]",CELL("dateiname")))&amp;"!"&amp;CELL("adresse",OFFSET($C$6,I189-1,0)),"Definition"))</f>
        <v/>
      </c>
      <c r="G189" s="189" t="str" cm="1">
        <f t="array" aca="1" ref="G189" ca="1">IF(J189=0,"",HYPERLINK("#"&amp;RIGHT(CELL("adresse",OFFSET(DMAV_Modell!$A$6,J189-1,0)),LEN(CELL("adresse",OFFSET(DMAV_Modell!$A$6,J189-1,0)))-SEARCH("]",CELL("adresse",OFFSET(DMAV_Modell!$A$6,J189-1,0)))),"Modell"))</f>
        <v>Modell</v>
      </c>
      <c r="H189" s="150" t="str">
        <f t="shared" si="4"/>
        <v>DDG11</v>
      </c>
      <c r="I189" s="150">
        <f t="shared" si="5"/>
        <v>0</v>
      </c>
      <c r="J189" s="150">
        <f>IF(_xlfn.XLOOKUP(H189,Korrelation!$B$4:$B$723,Korrelation!$A$4:$A$723,0,0)=0,0,MATCH(_xlfn.XLOOKUP(H189,Korrelation!$B$4:$B$723,Korrelation!$A$4:$A$723,0,0),DMAV_Modell!$G$6:$G$677,0))</f>
        <v>316</v>
      </c>
      <c r="L189" s="51" t="s">
        <v>3356</v>
      </c>
      <c r="M189" s="51" t="s">
        <v>307</v>
      </c>
      <c r="N189" s="51" t="s">
        <v>104</v>
      </c>
      <c r="O189" s="52" t="s">
        <v>105</v>
      </c>
      <c r="P189" s="56"/>
      <c r="Q189" s="52" t="s">
        <v>106</v>
      </c>
      <c r="R189" s="52"/>
      <c r="T189" s="51" t="s">
        <v>6532</v>
      </c>
      <c r="U189" s="51" t="s">
        <v>4289</v>
      </c>
      <c r="V189" s="51" t="s">
        <v>736</v>
      </c>
      <c r="W189" s="52" t="s">
        <v>105</v>
      </c>
      <c r="Y189" s="210" t="s">
        <v>6186</v>
      </c>
      <c r="AB189" s="51" t="s">
        <v>6534</v>
      </c>
      <c r="AC189" s="51" t="s">
        <v>4290</v>
      </c>
      <c r="AD189" s="51" t="s">
        <v>1595</v>
      </c>
      <c r="AE189" s="52" t="s">
        <v>105</v>
      </c>
      <c r="AG189" s="210" t="s">
        <v>6319</v>
      </c>
    </row>
    <row r="190" spans="1:34" ht="51" x14ac:dyDescent="0.25">
      <c r="A190" s="51" t="s">
        <v>3668</v>
      </c>
      <c r="B190" s="51">
        <v>12</v>
      </c>
      <c r="C190" s="51" t="s">
        <v>95</v>
      </c>
      <c r="D190" s="50">
        <v>1</v>
      </c>
      <c r="F190" s="189" t="str" cm="1">
        <f t="array" aca="1" ref="F190" ca="1">IF(I190=0,"",HYPERLINK("#"&amp;RIGHT(CELL("dateiname"),LEN(CELL("dateiname"))-FIND("]",CELL("dateiname")))&amp;"!"&amp;CELL("adresse",OFFSET($C$6,I190-1,0)),"Definition"))</f>
        <v/>
      </c>
      <c r="G190" s="189" t="str" cm="1">
        <f t="array" aca="1" ref="G190" ca="1">IF(J190=0,"",HYPERLINK("#"&amp;RIGHT(CELL("adresse",OFFSET(DMAV_Modell!$A$6,J190-1,0)),LEN(CELL("adresse",OFFSET(DMAV_Modell!$A$6,J190-1,0)))-SEARCH("]",CELL("adresse",OFFSET(DMAV_Modell!$A$6,J190-1,0)))),"Modell"))</f>
        <v>Modell</v>
      </c>
      <c r="H190" s="150" t="str">
        <f t="shared" si="4"/>
        <v>DDG12</v>
      </c>
      <c r="I190" s="150">
        <f t="shared" si="5"/>
        <v>0</v>
      </c>
      <c r="J190" s="150">
        <f>IF(_xlfn.XLOOKUP(H190,Korrelation!$B$4:$B$723,Korrelation!$A$4:$A$723,0,0)=0,0,MATCH(_xlfn.XLOOKUP(H190,Korrelation!$B$4:$B$723,Korrelation!$A$4:$A$723,0,0),DMAV_Modell!$G$6:$G$677,0))</f>
        <v>317</v>
      </c>
      <c r="L190" s="51" t="s">
        <v>3356</v>
      </c>
      <c r="M190" s="51" t="s">
        <v>307</v>
      </c>
      <c r="N190" s="51" t="s">
        <v>107</v>
      </c>
      <c r="O190" s="52" t="s">
        <v>108</v>
      </c>
      <c r="P190" s="56"/>
      <c r="Q190" s="52" t="s">
        <v>119</v>
      </c>
      <c r="R190" s="52"/>
      <c r="T190" s="51" t="s">
        <v>6532</v>
      </c>
      <c r="U190" s="51" t="s">
        <v>4289</v>
      </c>
      <c r="V190" s="51" t="s">
        <v>737</v>
      </c>
      <c r="W190" s="52" t="s">
        <v>108</v>
      </c>
      <c r="Y190" s="210" t="s">
        <v>6187</v>
      </c>
      <c r="AB190" s="51" t="s">
        <v>6534</v>
      </c>
      <c r="AC190" s="51" t="s">
        <v>4290</v>
      </c>
      <c r="AD190" s="51" t="s">
        <v>4014</v>
      </c>
      <c r="AE190" s="52" t="s">
        <v>108</v>
      </c>
      <c r="AG190" s="210" t="s">
        <v>6326</v>
      </c>
    </row>
    <row r="191" spans="1:34" ht="51" x14ac:dyDescent="0.25">
      <c r="A191" s="51" t="s">
        <v>3668</v>
      </c>
      <c r="B191" s="51">
        <v>13</v>
      </c>
      <c r="C191" s="51" t="s">
        <v>95</v>
      </c>
      <c r="D191" s="50" t="s">
        <v>72</v>
      </c>
      <c r="F191" s="189" t="str" cm="1">
        <f t="array" aca="1" ref="F191" ca="1">IF(I191=0,"",HYPERLINK("#"&amp;RIGHT(CELL("dateiname"),LEN(CELL("dateiname"))-FIND("]",CELL("dateiname")))&amp;"!"&amp;CELL("adresse",OFFSET($C$6,I191-1,0)),"Definition"))</f>
        <v/>
      </c>
      <c r="G191" s="189" t="str" cm="1">
        <f t="array" aca="1" ref="G191" ca="1">IF(J191=0,"",HYPERLINK("#"&amp;RIGHT(CELL("adresse",OFFSET(DMAV_Modell!$A$6,J191-1,0)),LEN(CELL("adresse",OFFSET(DMAV_Modell!$A$6,J191-1,0)))-SEARCH("]",CELL("adresse",OFFSET(DMAV_Modell!$A$6,J191-1,0)))),"Modell"))</f>
        <v>Modell</v>
      </c>
      <c r="H191" s="150" t="str">
        <f t="shared" si="4"/>
        <v>DDG13</v>
      </c>
      <c r="I191" s="150">
        <f t="shared" si="5"/>
        <v>0</v>
      </c>
      <c r="J191" s="150">
        <f>IF(_xlfn.XLOOKUP(H191,Korrelation!$B$4:$B$723,Korrelation!$A$4:$A$723,0,0)=0,0,MATCH(_xlfn.XLOOKUP(H191,Korrelation!$B$4:$B$723,Korrelation!$A$4:$A$723,0,0),DMAV_Modell!$G$6:$G$677,0))</f>
        <v>318</v>
      </c>
      <c r="L191" s="51" t="s">
        <v>3356</v>
      </c>
      <c r="M191" s="51" t="s">
        <v>307</v>
      </c>
      <c r="N191" s="51" t="s">
        <v>238</v>
      </c>
      <c r="O191" s="52" t="s">
        <v>108</v>
      </c>
      <c r="P191" s="56"/>
      <c r="Q191" s="52" t="s">
        <v>3737</v>
      </c>
      <c r="R191" s="52"/>
      <c r="T191" s="51" t="s">
        <v>6532</v>
      </c>
      <c r="U191" s="51" t="s">
        <v>4289</v>
      </c>
      <c r="V191" s="51" t="s">
        <v>785</v>
      </c>
      <c r="W191" s="52" t="s">
        <v>108</v>
      </c>
      <c r="Y191" s="210" t="s">
        <v>6189</v>
      </c>
      <c r="AB191" s="51" t="s">
        <v>6534</v>
      </c>
      <c r="AC191" s="51" t="s">
        <v>4290</v>
      </c>
      <c r="AD191" s="51" t="s">
        <v>4183</v>
      </c>
      <c r="AE191" s="52" t="s">
        <v>108</v>
      </c>
      <c r="AG191" s="210" t="s">
        <v>6328</v>
      </c>
    </row>
    <row r="192" spans="1:34" ht="25.5" x14ac:dyDescent="0.25">
      <c r="A192" s="51" t="s">
        <v>3668</v>
      </c>
      <c r="B192" s="51">
        <v>14</v>
      </c>
      <c r="C192" s="51" t="s">
        <v>95</v>
      </c>
      <c r="D192" s="50" t="s">
        <v>72</v>
      </c>
      <c r="F192" s="189" t="str" cm="1">
        <f t="array" aca="1" ref="F192" ca="1">IF(I192=0,"",HYPERLINK("#"&amp;RIGHT(CELL("dateiname"),LEN(CELL("dateiname"))-FIND("]",CELL("dateiname")))&amp;"!"&amp;CELL("adresse",OFFSET($C$6,I192-1,0)),"Definition"))</f>
        <v/>
      </c>
      <c r="G192" s="189" t="str" cm="1">
        <f t="array" aca="1" ref="G192" ca="1">IF(J192=0,"",HYPERLINK("#"&amp;RIGHT(CELL("adresse",OFFSET(DMAV_Modell!$A$6,J192-1,0)),LEN(CELL("adresse",OFFSET(DMAV_Modell!$A$6,J192-1,0)))-SEARCH("]",CELL("adresse",OFFSET(DMAV_Modell!$A$6,J192-1,0)))),"Modell"))</f>
        <v>Modell</v>
      </c>
      <c r="H192" s="150" t="str">
        <f t="shared" si="4"/>
        <v>DDG14</v>
      </c>
      <c r="I192" s="150">
        <f t="shared" si="5"/>
        <v>0</v>
      </c>
      <c r="J192" s="150">
        <f>IF(_xlfn.XLOOKUP(H192,Korrelation!$B$4:$B$723,Korrelation!$A$4:$A$723,0,0)=0,0,MATCH(_xlfn.XLOOKUP(H192,Korrelation!$B$4:$B$723,Korrelation!$A$4:$A$723,0,0),DMAV_Modell!$G$6:$G$677,0))</f>
        <v>323</v>
      </c>
      <c r="L192" s="51" t="s">
        <v>3356</v>
      </c>
      <c r="M192" s="51" t="s">
        <v>3360</v>
      </c>
      <c r="N192" s="51" t="s">
        <v>308</v>
      </c>
      <c r="O192" s="52" t="s">
        <v>309</v>
      </c>
      <c r="P192" s="56"/>
      <c r="Q192" s="52" t="s">
        <v>242</v>
      </c>
      <c r="R192" s="52"/>
      <c r="T192" s="51" t="s">
        <v>6532</v>
      </c>
      <c r="U192" s="51" t="s">
        <v>3379</v>
      </c>
      <c r="V192" s="51" t="s">
        <v>308</v>
      </c>
      <c r="W192" s="52" t="s">
        <v>309</v>
      </c>
      <c r="Y192" s="210" t="s">
        <v>6411</v>
      </c>
      <c r="AB192" s="51" t="s">
        <v>6534</v>
      </c>
      <c r="AC192" s="51" t="s">
        <v>4294</v>
      </c>
      <c r="AD192" s="51" t="s">
        <v>308</v>
      </c>
      <c r="AE192" s="52" t="s">
        <v>309</v>
      </c>
      <c r="AG192" s="210" t="s">
        <v>6412</v>
      </c>
    </row>
    <row r="193" spans="1:34" x14ac:dyDescent="0.25">
      <c r="A193" s="51" t="s">
        <v>3668</v>
      </c>
      <c r="B193" s="51">
        <v>15</v>
      </c>
      <c r="C193" s="51" t="s">
        <v>95</v>
      </c>
      <c r="D193" s="50">
        <v>1</v>
      </c>
      <c r="F193" s="189" t="str" cm="1">
        <f t="array" aca="1" ref="F193" ca="1">IF(I193=0,"",HYPERLINK("#"&amp;RIGHT(CELL("dateiname"),LEN(CELL("dateiname"))-FIND("]",CELL("dateiname")))&amp;"!"&amp;CELL("adresse",OFFSET($C$6,I193-1,0)),"Definition"))</f>
        <v/>
      </c>
      <c r="G193" s="189" t="str" cm="1">
        <f t="array" aca="1" ref="G193" ca="1">IF(J193=0,"",HYPERLINK("#"&amp;RIGHT(CELL("adresse",OFFSET(DMAV_Modell!$A$6,J193-1,0)),LEN(CELL("adresse",OFFSET(DMAV_Modell!$A$6,J193-1,0)))-SEARCH("]",CELL("adresse",OFFSET(DMAV_Modell!$A$6,J193-1,0)))),"Modell"))</f>
        <v>Modell</v>
      </c>
      <c r="H193" s="150" t="str">
        <f t="shared" si="4"/>
        <v>DDG15</v>
      </c>
      <c r="I193" s="150">
        <f t="shared" si="5"/>
        <v>0</v>
      </c>
      <c r="J193" s="150">
        <f>IF(_xlfn.XLOOKUP(H193,Korrelation!$B$4:$B$723,Korrelation!$A$4:$A$723,0,0)=0,0,MATCH(_xlfn.XLOOKUP(H193,Korrelation!$B$4:$B$723,Korrelation!$A$4:$A$723,0,0),DMAV_Modell!$G$6:$G$677,0))</f>
        <v>324</v>
      </c>
      <c r="L193" s="51" t="s">
        <v>3356</v>
      </c>
      <c r="M193" s="51" t="s">
        <v>3360</v>
      </c>
      <c r="N193" s="51" t="s">
        <v>96</v>
      </c>
      <c r="O193" s="52" t="s">
        <v>97</v>
      </c>
      <c r="P193" s="56"/>
      <c r="Q193" s="52" t="s">
        <v>98</v>
      </c>
      <c r="R193" s="52"/>
      <c r="T193" s="51" t="s">
        <v>6532</v>
      </c>
      <c r="U193" s="51" t="s">
        <v>3379</v>
      </c>
      <c r="V193" s="51" t="s">
        <v>733</v>
      </c>
      <c r="W193" s="52" t="s">
        <v>97</v>
      </c>
      <c r="Y193" s="210" t="s">
        <v>6175</v>
      </c>
      <c r="AB193" s="51" t="s">
        <v>6534</v>
      </c>
      <c r="AC193" s="51" t="s">
        <v>4294</v>
      </c>
      <c r="AD193" s="51" t="s">
        <v>1378</v>
      </c>
      <c r="AE193" s="52" t="s">
        <v>97</v>
      </c>
      <c r="AG193" s="210" t="s">
        <v>6316</v>
      </c>
    </row>
    <row r="194" spans="1:34" x14ac:dyDescent="0.25">
      <c r="A194" s="51" t="s">
        <v>3668</v>
      </c>
      <c r="B194" s="51">
        <v>16</v>
      </c>
      <c r="C194" s="51" t="s">
        <v>95</v>
      </c>
      <c r="D194" s="50" t="s">
        <v>72</v>
      </c>
      <c r="F194" s="189" t="str" cm="1">
        <f t="array" aca="1" ref="F194" ca="1">IF(I194=0,"",HYPERLINK("#"&amp;RIGHT(CELL("dateiname"),LEN(CELL("dateiname"))-FIND("]",CELL("dateiname")))&amp;"!"&amp;CELL("adresse",OFFSET($C$6,I194-1,0)),"Definition"))</f>
        <v/>
      </c>
      <c r="G194" s="189" t="str" cm="1">
        <f t="array" aca="1" ref="G194" ca="1">IF(J194=0,"",HYPERLINK("#"&amp;RIGHT(CELL("adresse",OFFSET(DMAV_Modell!$A$6,J194-1,0)),LEN(CELL("adresse",OFFSET(DMAV_Modell!$A$6,J194-1,0)))-SEARCH("]",CELL("adresse",OFFSET(DMAV_Modell!$A$6,J194-1,0)))),"Modell"))</f>
        <v>Modell</v>
      </c>
      <c r="H194" s="150" t="str">
        <f t="shared" si="4"/>
        <v>DDG16</v>
      </c>
      <c r="I194" s="150">
        <f t="shared" si="5"/>
        <v>0</v>
      </c>
      <c r="J194" s="150">
        <f>IF(_xlfn.XLOOKUP(H194,Korrelation!$B$4:$B$723,Korrelation!$A$4:$A$723,0,0)=0,0,MATCH(_xlfn.XLOOKUP(H194,Korrelation!$B$4:$B$723,Korrelation!$A$4:$A$723,0,0),DMAV_Modell!$G$6:$G$677,0))</f>
        <v>325</v>
      </c>
      <c r="L194" s="51" t="s">
        <v>3356</v>
      </c>
      <c r="M194" s="51" t="s">
        <v>3360</v>
      </c>
      <c r="N194" s="51" t="s">
        <v>310</v>
      </c>
      <c r="O194" s="52" t="s">
        <v>97</v>
      </c>
      <c r="P194" s="56"/>
      <c r="Q194" s="52" t="s">
        <v>311</v>
      </c>
      <c r="R194" s="52"/>
      <c r="T194" s="51" t="s">
        <v>6532</v>
      </c>
      <c r="U194" s="51" t="s">
        <v>3379</v>
      </c>
      <c r="V194" s="51" t="s">
        <v>801</v>
      </c>
      <c r="W194" s="52" t="s">
        <v>97</v>
      </c>
      <c r="Y194" s="210" t="s">
        <v>6550</v>
      </c>
      <c r="AB194" s="51" t="s">
        <v>6534</v>
      </c>
      <c r="AC194" s="51" t="s">
        <v>4294</v>
      </c>
      <c r="AD194" s="51" t="s">
        <v>4295</v>
      </c>
      <c r="AE194" s="52" t="s">
        <v>97</v>
      </c>
      <c r="AG194" s="210" t="s">
        <v>6551</v>
      </c>
    </row>
    <row r="195" spans="1:34" x14ac:dyDescent="0.25">
      <c r="A195" s="51" t="s">
        <v>3668</v>
      </c>
      <c r="B195" s="51">
        <v>17</v>
      </c>
      <c r="C195" s="51" t="s">
        <v>95</v>
      </c>
      <c r="D195" s="50" t="s">
        <v>72</v>
      </c>
      <c r="F195" s="189" t="str" cm="1">
        <f t="array" aca="1" ref="F195" ca="1">IF(I195=0,"",HYPERLINK("#"&amp;RIGHT(CELL("dateiname"),LEN(CELL("dateiname"))-FIND("]",CELL("dateiname")))&amp;"!"&amp;CELL("adresse",OFFSET($C$6,I195-1,0)),"Definition"))</f>
        <v/>
      </c>
      <c r="G195" s="189" t="str" cm="1">
        <f t="array" aca="1" ref="G195" ca="1">IF(J195=0,"",HYPERLINK("#"&amp;RIGHT(CELL("adresse",OFFSET(DMAV_Modell!$A$6,J195-1,0)),LEN(CELL("adresse",OFFSET(DMAV_Modell!$A$6,J195-1,0)))-SEARCH("]",CELL("adresse",OFFSET(DMAV_Modell!$A$6,J195-1,0)))),"Modell"))</f>
        <v>Modell</v>
      </c>
      <c r="H195" s="150" t="str">
        <f t="shared" si="4"/>
        <v>DDG17</v>
      </c>
      <c r="I195" s="150">
        <f t="shared" si="5"/>
        <v>0</v>
      </c>
      <c r="J195" s="150">
        <f>IF(_xlfn.XLOOKUP(H195,Korrelation!$B$4:$B$723,Korrelation!$A$4:$A$723,0,0)=0,0,MATCH(_xlfn.XLOOKUP(H195,Korrelation!$B$4:$B$723,Korrelation!$A$4:$A$723,0,0),DMAV_Modell!$G$6:$G$677,0))</f>
        <v>326</v>
      </c>
      <c r="L195" s="51" t="s">
        <v>3356</v>
      </c>
      <c r="M195" s="51" t="s">
        <v>3360</v>
      </c>
      <c r="N195" s="51" t="s">
        <v>312</v>
      </c>
      <c r="O195" s="52" t="s">
        <v>102</v>
      </c>
      <c r="P195" s="56"/>
      <c r="Q195" s="52" t="s">
        <v>313</v>
      </c>
      <c r="R195" s="52"/>
      <c r="T195" s="51" t="s">
        <v>6532</v>
      </c>
      <c r="U195" s="51" t="s">
        <v>3379</v>
      </c>
      <c r="V195" s="51" t="s">
        <v>802</v>
      </c>
      <c r="W195" s="52" t="s">
        <v>102</v>
      </c>
      <c r="Y195" s="210" t="s">
        <v>6552</v>
      </c>
      <c r="AB195" s="51" t="s">
        <v>6534</v>
      </c>
      <c r="AC195" s="51" t="s">
        <v>4294</v>
      </c>
      <c r="AD195" s="51" t="s">
        <v>4296</v>
      </c>
      <c r="AE195" s="52" t="s">
        <v>102</v>
      </c>
      <c r="AG195" s="210" t="s">
        <v>6553</v>
      </c>
    </row>
    <row r="196" spans="1:34" ht="25.5" x14ac:dyDescent="0.25">
      <c r="A196" s="51" t="s">
        <v>3668</v>
      </c>
      <c r="B196" s="51">
        <v>18</v>
      </c>
      <c r="C196" s="51" t="s">
        <v>95</v>
      </c>
      <c r="D196" s="50" t="s">
        <v>72</v>
      </c>
      <c r="F196" s="189" t="str" cm="1">
        <f t="array" aca="1" ref="F196" ca="1">IF(I196=0,"",HYPERLINK("#"&amp;RIGHT(CELL("dateiname"),LEN(CELL("dateiname"))-FIND("]",CELL("dateiname")))&amp;"!"&amp;CELL("adresse",OFFSET($C$6,I196-1,0)),"Definition"))</f>
        <v/>
      </c>
      <c r="G196" s="189" t="str" cm="1">
        <f t="array" aca="1" ref="G196" ca="1">IF(J196=0,"",HYPERLINK("#"&amp;RIGHT(CELL("adresse",OFFSET(DMAV_Modell!$A$6,J196-1,0)),LEN(CELL("adresse",OFFSET(DMAV_Modell!$A$6,J196-1,0)))-SEARCH("]",CELL("adresse",OFFSET(DMAV_Modell!$A$6,J196-1,0)))),"Modell"))</f>
        <v>Modell</v>
      </c>
      <c r="H196" s="150" t="str">
        <f t="shared" si="4"/>
        <v>DDG18</v>
      </c>
      <c r="I196" s="150">
        <f t="shared" si="5"/>
        <v>0</v>
      </c>
      <c r="J196" s="150">
        <f>IF(_xlfn.XLOOKUP(H196,Korrelation!$B$4:$B$723,Korrelation!$A$4:$A$723,0,0)=0,0,MATCH(_xlfn.XLOOKUP(H196,Korrelation!$B$4:$B$723,Korrelation!$A$4:$A$723,0,0),DMAV_Modell!$G$6:$G$677,0))</f>
        <v>327</v>
      </c>
      <c r="L196" s="51" t="s">
        <v>3356</v>
      </c>
      <c r="M196" s="51" t="s">
        <v>3360</v>
      </c>
      <c r="N196" s="51" t="s">
        <v>314</v>
      </c>
      <c r="O196" s="52" t="s">
        <v>126</v>
      </c>
      <c r="P196" s="56"/>
      <c r="Q196" s="52" t="s">
        <v>3382</v>
      </c>
      <c r="R196" s="52"/>
      <c r="T196" s="51" t="s">
        <v>6532</v>
      </c>
      <c r="U196" s="51" t="s">
        <v>3379</v>
      </c>
      <c r="V196" s="51" t="s">
        <v>803</v>
      </c>
      <c r="W196" s="52" t="s">
        <v>126</v>
      </c>
      <c r="Y196" s="210" t="s">
        <v>6554</v>
      </c>
      <c r="AB196" s="51" t="s">
        <v>6534</v>
      </c>
      <c r="AC196" s="51" t="s">
        <v>4294</v>
      </c>
      <c r="AD196" s="51" t="s">
        <v>1497</v>
      </c>
      <c r="AE196" s="52" t="s">
        <v>126</v>
      </c>
      <c r="AG196" s="210" t="s">
        <v>6555</v>
      </c>
    </row>
    <row r="197" spans="1:34" ht="38.25" x14ac:dyDescent="0.25">
      <c r="A197" s="51" t="s">
        <v>3668</v>
      </c>
      <c r="B197" s="51">
        <v>19</v>
      </c>
      <c r="C197" s="51" t="s">
        <v>95</v>
      </c>
      <c r="D197" s="50">
        <v>1</v>
      </c>
      <c r="F197" s="189" t="str" cm="1">
        <f t="array" aca="1" ref="F197" ca="1">IF(I197=0,"",HYPERLINK("#"&amp;RIGHT(CELL("dateiname"),LEN(CELL("dateiname"))-FIND("]",CELL("dateiname")))&amp;"!"&amp;CELL("adresse",OFFSET($C$6,I197-1,0)),"Definition"))</f>
        <v/>
      </c>
      <c r="G197" s="189" t="str" cm="1">
        <f t="array" aca="1" ref="G197" ca="1">IF(J197=0,"",HYPERLINK("#"&amp;RIGHT(CELL("adresse",OFFSET(DMAV_Modell!$A$6,J197-1,0)),LEN(CELL("adresse",OFFSET(DMAV_Modell!$A$6,J197-1,0)))-SEARCH("]",CELL("adresse",OFFSET(DMAV_Modell!$A$6,J197-1,0)))),"Modell"))</f>
        <v>Modell</v>
      </c>
      <c r="H197" s="150" t="str">
        <f t="shared" si="4"/>
        <v>DDG19</v>
      </c>
      <c r="I197" s="150">
        <f t="shared" si="5"/>
        <v>0</v>
      </c>
      <c r="J197" s="150">
        <f>IF(_xlfn.XLOOKUP(H197,Korrelation!$B$4:$B$723,Korrelation!$A$4:$A$723,0,0)=0,0,MATCH(_xlfn.XLOOKUP(H197,Korrelation!$B$4:$B$723,Korrelation!$A$4:$A$723,0,0),DMAV_Modell!$G$6:$G$677,0))</f>
        <v>328</v>
      </c>
      <c r="L197" s="51" t="s">
        <v>3356</v>
      </c>
      <c r="M197" s="51" t="s">
        <v>3360</v>
      </c>
      <c r="N197" s="51" t="s">
        <v>248</v>
      </c>
      <c r="O197" s="52" t="s">
        <v>131</v>
      </c>
      <c r="P197" s="56"/>
      <c r="Q197" s="52" t="s">
        <v>315</v>
      </c>
      <c r="R197" s="52" t="s">
        <v>316</v>
      </c>
      <c r="T197" s="51" t="s">
        <v>6532</v>
      </c>
      <c r="U197" s="51" t="s">
        <v>3379</v>
      </c>
      <c r="V197" s="51" t="s">
        <v>804</v>
      </c>
      <c r="W197" s="52" t="s">
        <v>131</v>
      </c>
      <c r="Y197" s="210" t="s">
        <v>6556</v>
      </c>
      <c r="Z197" s="210" t="s">
        <v>6557</v>
      </c>
      <c r="AB197" s="51" t="s">
        <v>6534</v>
      </c>
      <c r="AC197" s="51" t="s">
        <v>4294</v>
      </c>
      <c r="AD197" s="51" t="s">
        <v>4207</v>
      </c>
      <c r="AE197" s="52" t="s">
        <v>131</v>
      </c>
      <c r="AG197" s="210" t="s">
        <v>6558</v>
      </c>
      <c r="AH197" s="210" t="s">
        <v>6559</v>
      </c>
    </row>
    <row r="198" spans="1:34" x14ac:dyDescent="0.25">
      <c r="A198" s="51" t="s">
        <v>3668</v>
      </c>
      <c r="B198" s="51">
        <v>20</v>
      </c>
      <c r="C198" s="51" t="s">
        <v>95</v>
      </c>
      <c r="D198" s="50">
        <v>1</v>
      </c>
      <c r="E198" s="50" t="s">
        <v>3687</v>
      </c>
      <c r="F198" s="189" t="str" cm="1">
        <f t="array" aca="1" ref="F198" ca="1">IF(I198=0,"",HYPERLINK("#"&amp;RIGHT(CELL("dateiname"),LEN(CELL("dateiname"))-FIND("]",CELL("dateiname")))&amp;"!"&amp;CELL("adresse",OFFSET($C$6,I198-1,0)),"Definition"))</f>
        <v>Definition</v>
      </c>
      <c r="G198" s="189" t="str" cm="1">
        <f t="array" aca="1" ref="G198" ca="1">IF(J198=0,"",HYPERLINK("#"&amp;RIGHT(CELL("adresse",OFFSET(DMAV_Modell!$A$6,J198-1,0)),LEN(CELL("adresse",OFFSET(DMAV_Modell!$A$6,J198-1,0)))-SEARCH("]",CELL("adresse",OFFSET(DMAV_Modell!$A$6,J198-1,0)))),"Modell"))</f>
        <v>Modell</v>
      </c>
      <c r="H198" s="150" t="str">
        <f t="shared" si="4"/>
        <v>DDG20</v>
      </c>
      <c r="I198" s="150">
        <f t="shared" si="5"/>
        <v>174</v>
      </c>
      <c r="J198" s="150">
        <f>IF(_xlfn.XLOOKUP(H198,Korrelation!$B$4:$B$723,Korrelation!$A$4:$A$723,0,0)=0,0,MATCH(_xlfn.XLOOKUP(H198,Korrelation!$B$4:$B$723,Korrelation!$A$4:$A$723,0,0),DMAV_Modell!$G$6:$G$677,0))</f>
        <v>329</v>
      </c>
      <c r="L198" s="51" t="s">
        <v>3356</v>
      </c>
      <c r="M198" s="51" t="s">
        <v>3360</v>
      </c>
      <c r="N198" s="51" t="s">
        <v>3359</v>
      </c>
      <c r="O198" s="52" t="s">
        <v>3380</v>
      </c>
      <c r="P198" s="56"/>
      <c r="Q198" s="52" t="s">
        <v>3383</v>
      </c>
      <c r="R198" s="52"/>
      <c r="T198" s="51" t="s">
        <v>6532</v>
      </c>
      <c r="U198" s="51" t="s">
        <v>3379</v>
      </c>
      <c r="V198" s="51" t="s">
        <v>3374</v>
      </c>
      <c r="W198" s="52" t="s">
        <v>6560</v>
      </c>
      <c r="Y198" s="210" t="s">
        <v>6561</v>
      </c>
      <c r="AB198" s="51" t="s">
        <v>6534</v>
      </c>
      <c r="AC198" s="51" t="s">
        <v>4294</v>
      </c>
      <c r="AD198" s="51" t="s">
        <v>4285</v>
      </c>
      <c r="AE198" s="52" t="s">
        <v>6562</v>
      </c>
      <c r="AG198" s="210" t="s">
        <v>6563</v>
      </c>
    </row>
    <row r="199" spans="1:34" ht="25.5" x14ac:dyDescent="0.25">
      <c r="A199" s="51" t="s">
        <v>3668</v>
      </c>
      <c r="B199" s="51">
        <v>21</v>
      </c>
      <c r="C199" s="51" t="s">
        <v>95</v>
      </c>
      <c r="D199" s="50" t="s">
        <v>72</v>
      </c>
      <c r="E199" s="50" t="s">
        <v>3688</v>
      </c>
      <c r="F199" s="189" t="str" cm="1">
        <f t="array" aca="1" ref="F199" ca="1">IF(I199=0,"",HYPERLINK("#"&amp;RIGHT(CELL("dateiname"),LEN(CELL("dateiname"))-FIND("]",CELL("dateiname")))&amp;"!"&amp;CELL("adresse",OFFSET($C$6,I199-1,0)),"Definition"))</f>
        <v>Definition</v>
      </c>
      <c r="G199" s="189" t="str" cm="1">
        <f t="array" aca="1" ref="G199" ca="1">IF(J199=0,"",HYPERLINK("#"&amp;RIGHT(CELL("adresse",OFFSET(DMAV_Modell!$A$6,J199-1,0)),LEN(CELL("adresse",OFFSET(DMAV_Modell!$A$6,J199-1,0)))-SEARCH("]",CELL("adresse",OFFSET(DMAV_Modell!$A$6,J199-1,0)))),"Modell"))</f>
        <v>Modell</v>
      </c>
      <c r="H199" s="150" t="str">
        <f t="shared" ref="H199:H262" si="6">A199&amp;B199</f>
        <v>DDG21</v>
      </c>
      <c r="I199" s="150">
        <f t="shared" ref="I199:I262" si="7">IF(E199="",0,MATCH(E199,$H$6:$H$483,0))</f>
        <v>177</v>
      </c>
      <c r="J199" s="150">
        <f>IF(_xlfn.XLOOKUP(H199,Korrelation!$B$4:$B$723,Korrelation!$A$4:$A$723,0,0)=0,0,MATCH(_xlfn.XLOOKUP(H199,Korrelation!$B$4:$B$723,Korrelation!$A$4:$A$723,0,0),DMAV_Modell!$G$6:$G$677,0))</f>
        <v>330</v>
      </c>
      <c r="L199" s="51" t="s">
        <v>3356</v>
      </c>
      <c r="M199" s="51" t="s">
        <v>3360</v>
      </c>
      <c r="N199" s="51" t="s">
        <v>317</v>
      </c>
      <c r="O199" s="52" t="s">
        <v>3381</v>
      </c>
      <c r="P199" s="56"/>
      <c r="Q199" s="52" t="s">
        <v>318</v>
      </c>
      <c r="R199" s="52" t="s">
        <v>319</v>
      </c>
      <c r="T199" s="51" t="s">
        <v>6532</v>
      </c>
      <c r="U199" s="51" t="s">
        <v>3379</v>
      </c>
      <c r="V199" s="51" t="s">
        <v>798</v>
      </c>
      <c r="W199" s="52" t="s">
        <v>6564</v>
      </c>
      <c r="Y199" s="210" t="s">
        <v>6565</v>
      </c>
      <c r="Z199" s="210" t="s">
        <v>6566</v>
      </c>
      <c r="AB199" s="51" t="s">
        <v>6534</v>
      </c>
      <c r="AC199" s="51" t="s">
        <v>4294</v>
      </c>
      <c r="AD199" s="51" t="s">
        <v>4291</v>
      </c>
      <c r="AE199" s="52" t="s">
        <v>6567</v>
      </c>
      <c r="AG199" s="210" t="s">
        <v>6568</v>
      </c>
      <c r="AH199" s="210" t="s">
        <v>6569</v>
      </c>
    </row>
    <row r="200" spans="1:34" ht="25.5" x14ac:dyDescent="0.25">
      <c r="A200" s="51" t="s">
        <v>3668</v>
      </c>
      <c r="B200" s="51">
        <v>22</v>
      </c>
      <c r="C200" s="51" t="s">
        <v>95</v>
      </c>
      <c r="D200" s="50" t="s">
        <v>72</v>
      </c>
      <c r="E200" s="50" t="s">
        <v>3689</v>
      </c>
      <c r="F200" s="189" t="str" cm="1">
        <f t="array" aca="1" ref="F200" ca="1">IF(I200=0,"",HYPERLINK("#"&amp;RIGHT(CELL("dateiname"),LEN(CELL("dateiname"))-FIND("]",CELL("dateiname")))&amp;"!"&amp;CELL("adresse",OFFSET($C$6,I200-1,0)),"Definition"))</f>
        <v>Definition</v>
      </c>
      <c r="G200" s="189" t="str" cm="1">
        <f t="array" aca="1" ref="G200" ca="1">IF(J200=0,"",HYPERLINK("#"&amp;RIGHT(CELL("adresse",OFFSET(DMAV_Modell!$A$6,J200-1,0)),LEN(CELL("adresse",OFFSET(DMAV_Modell!$A$6,J200-1,0)))-SEARCH("]",CELL("adresse",OFFSET(DMAV_Modell!$A$6,J200-1,0)))),"Modell"))</f>
        <v>Modell</v>
      </c>
      <c r="H200" s="150" t="str">
        <f t="shared" si="6"/>
        <v>DDG22</v>
      </c>
      <c r="I200" s="150">
        <f t="shared" si="7"/>
        <v>178</v>
      </c>
      <c r="J200" s="150">
        <f>IF(_xlfn.XLOOKUP(H200,Korrelation!$B$4:$B$723,Korrelation!$A$4:$A$723,0,0)=0,0,MATCH(_xlfn.XLOOKUP(H200,Korrelation!$B$4:$B$723,Korrelation!$A$4:$A$723,0,0),DMAV_Modell!$G$6:$G$677,0))</f>
        <v>331</v>
      </c>
      <c r="L200" s="51" t="s">
        <v>3356</v>
      </c>
      <c r="M200" s="51" t="s">
        <v>3360</v>
      </c>
      <c r="N200" s="51" t="s">
        <v>302</v>
      </c>
      <c r="O200" s="52" t="s">
        <v>320</v>
      </c>
      <c r="P200" s="56"/>
      <c r="Q200" s="52" t="s">
        <v>321</v>
      </c>
      <c r="R200" s="52" t="s">
        <v>322</v>
      </c>
      <c r="T200" s="51" t="s">
        <v>6532</v>
      </c>
      <c r="U200" s="51" t="s">
        <v>3379</v>
      </c>
      <c r="V200" s="51" t="s">
        <v>799</v>
      </c>
      <c r="W200" s="52" t="s">
        <v>6570</v>
      </c>
      <c r="Y200" s="210" t="s">
        <v>6571</v>
      </c>
      <c r="Z200" s="210" t="s">
        <v>6566</v>
      </c>
      <c r="AB200" s="51" t="s">
        <v>6534</v>
      </c>
      <c r="AC200" s="51" t="s">
        <v>4294</v>
      </c>
      <c r="AD200" s="51" t="s">
        <v>4292</v>
      </c>
      <c r="AE200" s="52" t="s">
        <v>6572</v>
      </c>
      <c r="AG200" s="210" t="s">
        <v>6573</v>
      </c>
      <c r="AH200" s="210" t="s">
        <v>6569</v>
      </c>
    </row>
    <row r="201" spans="1:34" ht="25.5" x14ac:dyDescent="0.25">
      <c r="A201" s="51" t="s">
        <v>3668</v>
      </c>
      <c r="B201" s="51">
        <v>23</v>
      </c>
      <c r="C201" s="51" t="s">
        <v>95</v>
      </c>
      <c r="D201" s="50" t="s">
        <v>72</v>
      </c>
      <c r="E201" s="50" t="s">
        <v>3690</v>
      </c>
      <c r="F201" s="189" t="str" cm="1">
        <f t="array" aca="1" ref="F201" ca="1">IF(I201=0,"",HYPERLINK("#"&amp;RIGHT(CELL("dateiname"),LEN(CELL("dateiname"))-FIND("]",CELL("dateiname")))&amp;"!"&amp;CELL("adresse",OFFSET($C$6,I201-1,0)),"Definition"))</f>
        <v>Definition</v>
      </c>
      <c r="G201" s="189" t="str" cm="1">
        <f t="array" aca="1" ref="G201" ca="1">IF(J201=0,"",HYPERLINK("#"&amp;RIGHT(CELL("adresse",OFFSET(DMAV_Modell!$A$6,J201-1,0)),LEN(CELL("adresse",OFFSET(DMAV_Modell!$A$6,J201-1,0)))-SEARCH("]",CELL("adresse",OFFSET(DMAV_Modell!$A$6,J201-1,0)))),"Modell"))</f>
        <v>Modell</v>
      </c>
      <c r="H201" s="150" t="str">
        <f t="shared" si="6"/>
        <v>DDG23</v>
      </c>
      <c r="I201" s="150">
        <f t="shared" si="7"/>
        <v>179</v>
      </c>
      <c r="J201" s="150">
        <f>IF(_xlfn.XLOOKUP(H201,Korrelation!$B$4:$B$723,Korrelation!$A$4:$A$723,0,0)=0,0,MATCH(_xlfn.XLOOKUP(H201,Korrelation!$B$4:$B$723,Korrelation!$A$4:$A$723,0,0),DMAV_Modell!$G$6:$G$677,0))</f>
        <v>332</v>
      </c>
      <c r="L201" s="51" t="s">
        <v>3356</v>
      </c>
      <c r="M201" s="51" t="s">
        <v>3360</v>
      </c>
      <c r="N201" s="51" t="s">
        <v>304</v>
      </c>
      <c r="O201" s="52" t="s">
        <v>323</v>
      </c>
      <c r="P201" s="56"/>
      <c r="Q201" s="52" t="s">
        <v>324</v>
      </c>
      <c r="R201" s="52" t="s">
        <v>325</v>
      </c>
      <c r="T201" s="51" t="s">
        <v>6532</v>
      </c>
      <c r="U201" s="51" t="s">
        <v>3379</v>
      </c>
      <c r="V201" s="51" t="s">
        <v>800</v>
      </c>
      <c r="W201" s="52" t="s">
        <v>6574</v>
      </c>
      <c r="Y201" s="210" t="s">
        <v>6575</v>
      </c>
      <c r="Z201" s="210" t="s">
        <v>6566</v>
      </c>
      <c r="AB201" s="51" t="s">
        <v>6534</v>
      </c>
      <c r="AC201" s="51" t="s">
        <v>4294</v>
      </c>
      <c r="AD201" s="51" t="s">
        <v>4293</v>
      </c>
      <c r="AE201" s="52" t="s">
        <v>6576</v>
      </c>
      <c r="AG201" s="210" t="s">
        <v>6577</v>
      </c>
      <c r="AH201" s="210" t="s">
        <v>6569</v>
      </c>
    </row>
    <row r="202" spans="1:34" ht="25.5" x14ac:dyDescent="0.25">
      <c r="A202" s="51" t="s">
        <v>3668</v>
      </c>
      <c r="B202" s="51">
        <v>24</v>
      </c>
      <c r="C202" s="51" t="s">
        <v>95</v>
      </c>
      <c r="D202" s="50" t="s">
        <v>72</v>
      </c>
      <c r="E202" s="50" t="s">
        <v>3683</v>
      </c>
      <c r="F202" s="189" t="str" cm="1">
        <f t="array" aca="1" ref="F202" ca="1">IF(I202=0,"",HYPERLINK("#"&amp;RIGHT(CELL("dateiname"),LEN(CELL("dateiname"))-FIND("]",CELL("dateiname")))&amp;"!"&amp;CELL("adresse",OFFSET($C$6,I202-1,0)),"Definition"))</f>
        <v>Definition</v>
      </c>
      <c r="G202" s="189" t="str" cm="1">
        <f t="array" aca="1" ref="G202" ca="1">IF(J202=0,"",HYPERLINK("#"&amp;RIGHT(CELL("adresse",OFFSET(DMAV_Modell!$A$6,J202-1,0)),LEN(CELL("adresse",OFFSET(DMAV_Modell!$A$6,J202-1,0)))-SEARCH("]",CELL("adresse",OFFSET(DMAV_Modell!$A$6,J202-1,0)))),"Modell"))</f>
        <v>Modell</v>
      </c>
      <c r="H202" s="150" t="str">
        <f t="shared" si="6"/>
        <v>DDG24</v>
      </c>
      <c r="I202" s="150">
        <f t="shared" si="7"/>
        <v>32</v>
      </c>
      <c r="J202" s="150">
        <f>IF(_xlfn.XLOOKUP(H202,Korrelation!$B$4:$B$723,Korrelation!$A$4:$A$723,0,0)=0,0,MATCH(_xlfn.XLOOKUP(H202,Korrelation!$B$4:$B$723,Korrelation!$A$4:$A$723,0,0),DMAV_Modell!$G$6:$G$677,0))</f>
        <v>333</v>
      </c>
      <c r="L202" s="51" t="s">
        <v>3356</v>
      </c>
      <c r="M202" s="51" t="s">
        <v>3360</v>
      </c>
      <c r="N202" s="51" t="s">
        <v>77</v>
      </c>
      <c r="O202" s="52" t="s">
        <v>250</v>
      </c>
      <c r="P202" s="56"/>
      <c r="Q202" s="52" t="s">
        <v>326</v>
      </c>
      <c r="R202" s="52" t="s">
        <v>327</v>
      </c>
      <c r="T202" s="51" t="s">
        <v>6532</v>
      </c>
      <c r="U202" s="51" t="s">
        <v>3379</v>
      </c>
      <c r="V202" s="51" t="s">
        <v>729</v>
      </c>
      <c r="W202" s="52" t="s">
        <v>6225</v>
      </c>
      <c r="Y202" s="210" t="s">
        <v>6578</v>
      </c>
      <c r="Z202" s="210" t="s">
        <v>6579</v>
      </c>
      <c r="AB202" s="51" t="s">
        <v>6534</v>
      </c>
      <c r="AC202" s="51" t="s">
        <v>4294</v>
      </c>
      <c r="AD202" s="51" t="s">
        <v>3933</v>
      </c>
      <c r="AE202" s="52" t="s">
        <v>6363</v>
      </c>
      <c r="AG202" s="210" t="s">
        <v>6580</v>
      </c>
      <c r="AH202" s="210" t="s">
        <v>6581</v>
      </c>
    </row>
    <row r="203" spans="1:34" x14ac:dyDescent="0.25">
      <c r="A203" s="51" t="s">
        <v>3669</v>
      </c>
      <c r="B203" s="51">
        <v>1</v>
      </c>
      <c r="C203" s="51" t="s">
        <v>95</v>
      </c>
      <c r="D203" s="50">
        <v>1</v>
      </c>
      <c r="F203" s="189" t="str" cm="1">
        <f t="array" aca="1" ref="F203" ca="1">IF(I203=0,"",HYPERLINK("#"&amp;RIGHT(CELL("dateiname"),LEN(CELL("dateiname"))-FIND("]",CELL("dateiname")))&amp;"!"&amp;CELL("adresse",OFFSET($C$6,I203-1,0)),"Definition"))</f>
        <v/>
      </c>
      <c r="G203" s="189" t="str" cm="1">
        <f t="array" aca="1" ref="G203" ca="1">IF(J203=0,"",HYPERLINK("#"&amp;RIGHT(CELL("adresse",OFFSET(DMAV_Modell!$A$6,J203-1,0)),LEN(CELL("adresse",OFFSET(DMAV_Modell!$A$6,J203-1,0)))-SEARCH("]",CELL("adresse",OFFSET(DMAV_Modell!$A$6,J203-1,0)))),"Modell"))</f>
        <v>Modell</v>
      </c>
      <c r="H203" s="150" t="str">
        <f t="shared" si="6"/>
        <v>DBV1</v>
      </c>
      <c r="I203" s="150">
        <f t="shared" si="7"/>
        <v>0</v>
      </c>
      <c r="J203" s="150">
        <f>IF(_xlfn.XLOOKUP(H203,Korrelation!$B$4:$B$723,Korrelation!$A$4:$A$723,0,0)=0,0,MATCH(_xlfn.XLOOKUP(H203,Korrelation!$B$4:$B$723,Korrelation!$A$4:$A$723,0,0),DMAV_Modell!$G$6:$G$677,0))</f>
        <v>345</v>
      </c>
      <c r="L203" s="51" t="s">
        <v>30</v>
      </c>
      <c r="M203" s="51" t="s">
        <v>328</v>
      </c>
      <c r="N203" s="51" t="s">
        <v>96</v>
      </c>
      <c r="O203" s="52" t="s">
        <v>97</v>
      </c>
      <c r="P203" s="56"/>
      <c r="Q203" s="52" t="s">
        <v>98</v>
      </c>
      <c r="R203" s="52"/>
      <c r="T203" s="51" t="s">
        <v>6582</v>
      </c>
      <c r="U203" s="51" t="s">
        <v>805</v>
      </c>
      <c r="V203" s="51" t="s">
        <v>733</v>
      </c>
      <c r="W203" s="52" t="s">
        <v>97</v>
      </c>
      <c r="Y203" s="210" t="s">
        <v>6183</v>
      </c>
      <c r="AB203" s="51" t="s">
        <v>6273</v>
      </c>
      <c r="AC203" s="51" t="s">
        <v>4319</v>
      </c>
      <c r="AD203" s="51" t="s">
        <v>1378</v>
      </c>
      <c r="AE203" s="52" t="s">
        <v>97</v>
      </c>
      <c r="AG203" s="210" t="s">
        <v>6316</v>
      </c>
    </row>
    <row r="204" spans="1:34" ht="25.5" x14ac:dyDescent="0.25">
      <c r="A204" s="51" t="s">
        <v>3669</v>
      </c>
      <c r="B204" s="51">
        <v>2</v>
      </c>
      <c r="C204" s="51" t="s">
        <v>95</v>
      </c>
      <c r="D204" s="50">
        <v>1</v>
      </c>
      <c r="F204" s="189" t="str" cm="1">
        <f t="array" aca="1" ref="F204" ca="1">IF(I204=0,"",HYPERLINK("#"&amp;RIGHT(CELL("dateiname"),LEN(CELL("dateiname"))-FIND("]",CELL("dateiname")))&amp;"!"&amp;CELL("adresse",OFFSET($C$6,I204-1,0)),"Definition"))</f>
        <v/>
      </c>
      <c r="G204" s="189" t="str" cm="1">
        <f t="array" aca="1" ref="G204" ca="1">IF(J204=0,"",HYPERLINK("#"&amp;RIGHT(CELL("adresse",OFFSET(DMAV_Modell!$A$6,J204-1,0)),LEN(CELL("adresse",OFFSET(DMAV_Modell!$A$6,J204-1,0)))-SEARCH("]",CELL("adresse",OFFSET(DMAV_Modell!$A$6,J204-1,0)))),"Modell"))</f>
        <v>Modell</v>
      </c>
      <c r="H204" s="150" t="str">
        <f t="shared" si="6"/>
        <v>DBV2</v>
      </c>
      <c r="I204" s="150">
        <f t="shared" si="7"/>
        <v>0</v>
      </c>
      <c r="J204" s="150">
        <f>IF(_xlfn.XLOOKUP(H204,Korrelation!$B$4:$B$723,Korrelation!$A$4:$A$723,0,0)=0,0,MATCH(_xlfn.XLOOKUP(H204,Korrelation!$B$4:$B$723,Korrelation!$A$4:$A$723,0,0),DMAV_Modell!$G$6:$G$677,0))</f>
        <v>346</v>
      </c>
      <c r="L204" s="51" t="s">
        <v>30</v>
      </c>
      <c r="M204" s="51" t="s">
        <v>328</v>
      </c>
      <c r="N204" s="51" t="s">
        <v>99</v>
      </c>
      <c r="O204" s="52" t="s">
        <v>97</v>
      </c>
      <c r="P204" s="56"/>
      <c r="Q204" s="52" t="s">
        <v>100</v>
      </c>
      <c r="R204" s="52"/>
      <c r="T204" s="51" t="s">
        <v>6582</v>
      </c>
      <c r="U204" s="51" t="s">
        <v>805</v>
      </c>
      <c r="V204" s="51" t="s">
        <v>734</v>
      </c>
      <c r="W204" s="52" t="s">
        <v>97</v>
      </c>
      <c r="Y204" s="210" t="s">
        <v>6176</v>
      </c>
      <c r="AB204" s="51" t="s">
        <v>6273</v>
      </c>
      <c r="AC204" s="51" t="s">
        <v>4319</v>
      </c>
      <c r="AD204" s="51" t="s">
        <v>1376</v>
      </c>
      <c r="AE204" s="52" t="s">
        <v>97</v>
      </c>
      <c r="AG204" s="210" t="s">
        <v>6317</v>
      </c>
    </row>
    <row r="205" spans="1:34" x14ac:dyDescent="0.25">
      <c r="A205" s="51" t="s">
        <v>3669</v>
      </c>
      <c r="B205" s="51">
        <v>3</v>
      </c>
      <c r="C205" s="51" t="s">
        <v>95</v>
      </c>
      <c r="D205" s="50">
        <v>1</v>
      </c>
      <c r="F205" s="189" t="str" cm="1">
        <f t="array" aca="1" ref="F205" ca="1">IF(I205=0,"",HYPERLINK("#"&amp;RIGHT(CELL("dateiname"),LEN(CELL("dateiname"))-FIND("]",CELL("dateiname")))&amp;"!"&amp;CELL("adresse",OFFSET($C$6,I205-1,0)),"Definition"))</f>
        <v/>
      </c>
      <c r="G205" s="189" t="str" cm="1">
        <f t="array" aca="1" ref="G205" ca="1">IF(J205=0,"",HYPERLINK("#"&amp;RIGHT(CELL("adresse",OFFSET(DMAV_Modell!$A$6,J205-1,0)),LEN(CELL("adresse",OFFSET(DMAV_Modell!$A$6,J205-1,0)))-SEARCH("]",CELL("adresse",OFFSET(DMAV_Modell!$A$6,J205-1,0)))),"Modell"))</f>
        <v>Modell</v>
      </c>
      <c r="H205" s="150" t="str">
        <f t="shared" si="6"/>
        <v>DBV3</v>
      </c>
      <c r="I205" s="150">
        <f t="shared" si="7"/>
        <v>0</v>
      </c>
      <c r="J205" s="150">
        <f>IF(_xlfn.XLOOKUP(H205,Korrelation!$B$4:$B$723,Korrelation!$A$4:$A$723,0,0)=0,0,MATCH(_xlfn.XLOOKUP(H205,Korrelation!$B$4:$B$723,Korrelation!$A$4:$A$723,0,0),DMAV_Modell!$G$6:$G$677,0))</f>
        <v>347</v>
      </c>
      <c r="L205" s="51" t="s">
        <v>30</v>
      </c>
      <c r="M205" s="51" t="s">
        <v>328</v>
      </c>
      <c r="N205" s="51" t="s">
        <v>101</v>
      </c>
      <c r="O205" s="52" t="s">
        <v>102</v>
      </c>
      <c r="P205" s="56"/>
      <c r="Q205" s="52" t="s">
        <v>103</v>
      </c>
      <c r="R205" s="52"/>
      <c r="T205" s="51" t="s">
        <v>6582</v>
      </c>
      <c r="U205" s="51" t="s">
        <v>805</v>
      </c>
      <c r="V205" s="51" t="s">
        <v>735</v>
      </c>
      <c r="W205" s="52" t="s">
        <v>102</v>
      </c>
      <c r="Y205" s="210" t="s">
        <v>6177</v>
      </c>
      <c r="AB205" s="51" t="s">
        <v>6273</v>
      </c>
      <c r="AC205" s="51" t="s">
        <v>4319</v>
      </c>
      <c r="AD205" s="51" t="s">
        <v>1294</v>
      </c>
      <c r="AE205" s="52" t="s">
        <v>102</v>
      </c>
      <c r="AG205" s="210" t="s">
        <v>6318</v>
      </c>
    </row>
    <row r="206" spans="1:34" ht="76.5" x14ac:dyDescent="0.25">
      <c r="A206" s="51" t="s">
        <v>3669</v>
      </c>
      <c r="B206" s="51">
        <v>4</v>
      </c>
      <c r="C206" s="51" t="s">
        <v>95</v>
      </c>
      <c r="D206" s="50" t="s">
        <v>72</v>
      </c>
      <c r="F206" s="189" t="str" cm="1">
        <f t="array" aca="1" ref="F206" ca="1">IF(I206=0,"",HYPERLINK("#"&amp;RIGHT(CELL("dateiname"),LEN(CELL("dateiname"))-FIND("]",CELL("dateiname")))&amp;"!"&amp;CELL("adresse",OFFSET($C$6,I206-1,0)),"Definition"))</f>
        <v/>
      </c>
      <c r="G206" s="189" t="str" cm="1">
        <f t="array" aca="1" ref="G206" ca="1">IF(J206=0,"",HYPERLINK("#"&amp;RIGHT(CELL("adresse",OFFSET(DMAV_Modell!$A$6,J206-1,0)),LEN(CELL("adresse",OFFSET(DMAV_Modell!$A$6,J206-1,0)))-SEARCH("]",CELL("adresse",OFFSET(DMAV_Modell!$A$6,J206-1,0)))),"Modell"))</f>
        <v>Modell</v>
      </c>
      <c r="H206" s="150" t="str">
        <f t="shared" si="6"/>
        <v>DBV4</v>
      </c>
      <c r="I206" s="150">
        <f t="shared" si="7"/>
        <v>0</v>
      </c>
      <c r="J206" s="150">
        <f>IF(_xlfn.XLOOKUP(H206,Korrelation!$B$4:$B$723,Korrelation!$A$4:$A$723,0,0)=0,0,MATCH(_xlfn.XLOOKUP(H206,Korrelation!$B$4:$B$723,Korrelation!$A$4:$A$723,0,0),DMAV_Modell!$G$6:$G$677,0))</f>
        <v>348</v>
      </c>
      <c r="L206" s="51" t="s">
        <v>30</v>
      </c>
      <c r="M206" s="51" t="s">
        <v>328</v>
      </c>
      <c r="N206" s="51" t="s">
        <v>104</v>
      </c>
      <c r="O206" s="52" t="s">
        <v>105</v>
      </c>
      <c r="P206" s="56"/>
      <c r="Q206" s="52" t="s">
        <v>106</v>
      </c>
      <c r="R206" s="52"/>
      <c r="T206" s="51" t="s">
        <v>6582</v>
      </c>
      <c r="U206" s="51" t="s">
        <v>805</v>
      </c>
      <c r="V206" s="51" t="s">
        <v>736</v>
      </c>
      <c r="W206" s="52" t="s">
        <v>105</v>
      </c>
      <c r="Y206" s="210" t="s">
        <v>6186</v>
      </c>
      <c r="AB206" s="51" t="s">
        <v>6273</v>
      </c>
      <c r="AC206" s="51" t="s">
        <v>4319</v>
      </c>
      <c r="AD206" s="51" t="s">
        <v>1595</v>
      </c>
      <c r="AE206" s="52" t="s">
        <v>105</v>
      </c>
      <c r="AG206" s="210" t="s">
        <v>6319</v>
      </c>
    </row>
    <row r="207" spans="1:34" ht="51" x14ac:dyDescent="0.25">
      <c r="A207" s="51" t="s">
        <v>3669</v>
      </c>
      <c r="B207" s="51">
        <v>5</v>
      </c>
      <c r="C207" s="51" t="s">
        <v>95</v>
      </c>
      <c r="D207" s="50">
        <v>1</v>
      </c>
      <c r="F207" s="189" t="str" cm="1">
        <f t="array" aca="1" ref="F207" ca="1">IF(I207=0,"",HYPERLINK("#"&amp;RIGHT(CELL("dateiname"),LEN(CELL("dateiname"))-FIND("]",CELL("dateiname")))&amp;"!"&amp;CELL("adresse",OFFSET($C$6,I207-1,0)),"Definition"))</f>
        <v/>
      </c>
      <c r="G207" s="189" t="str" cm="1">
        <f t="array" aca="1" ref="G207" ca="1">IF(J207=0,"",HYPERLINK("#"&amp;RIGHT(CELL("adresse",OFFSET(DMAV_Modell!$A$6,J207-1,0)),LEN(CELL("adresse",OFFSET(DMAV_Modell!$A$6,J207-1,0)))-SEARCH("]",CELL("adresse",OFFSET(DMAV_Modell!$A$6,J207-1,0)))),"Modell"))</f>
        <v>Modell</v>
      </c>
      <c r="H207" s="150" t="str">
        <f t="shared" si="6"/>
        <v>DBV5</v>
      </c>
      <c r="I207" s="150">
        <f t="shared" si="7"/>
        <v>0</v>
      </c>
      <c r="J207" s="150">
        <f>IF(_xlfn.XLOOKUP(H207,Korrelation!$B$4:$B$723,Korrelation!$A$4:$A$723,0,0)=0,0,MATCH(_xlfn.XLOOKUP(H207,Korrelation!$B$4:$B$723,Korrelation!$A$4:$A$723,0,0),DMAV_Modell!$G$6:$G$677,0))</f>
        <v>349</v>
      </c>
      <c r="L207" s="51" t="s">
        <v>30</v>
      </c>
      <c r="M207" s="51" t="s">
        <v>328</v>
      </c>
      <c r="N207" s="51" t="s">
        <v>107</v>
      </c>
      <c r="O207" s="52" t="s">
        <v>108</v>
      </c>
      <c r="P207" s="56"/>
      <c r="Q207" s="52" t="s">
        <v>119</v>
      </c>
      <c r="R207" s="52"/>
      <c r="T207" s="51" t="s">
        <v>6582</v>
      </c>
      <c r="U207" s="51" t="s">
        <v>805</v>
      </c>
      <c r="V207" s="51" t="s">
        <v>737</v>
      </c>
      <c r="W207" s="52" t="s">
        <v>108</v>
      </c>
      <c r="Y207" s="210" t="s">
        <v>6187</v>
      </c>
      <c r="AB207" s="51" t="s">
        <v>6273</v>
      </c>
      <c r="AC207" s="51" t="s">
        <v>4319</v>
      </c>
      <c r="AD207" s="51" t="s">
        <v>4014</v>
      </c>
      <c r="AE207" s="52" t="s">
        <v>108</v>
      </c>
      <c r="AG207" s="210" t="s">
        <v>6326</v>
      </c>
    </row>
    <row r="208" spans="1:34" ht="51" x14ac:dyDescent="0.25">
      <c r="A208" s="51" t="s">
        <v>3669</v>
      </c>
      <c r="B208" s="51">
        <v>6</v>
      </c>
      <c r="C208" s="51" t="s">
        <v>95</v>
      </c>
      <c r="D208" s="50" t="s">
        <v>72</v>
      </c>
      <c r="F208" s="189" t="str" cm="1">
        <f t="array" aca="1" ref="F208" ca="1">IF(I208=0,"",HYPERLINK("#"&amp;RIGHT(CELL("dateiname"),LEN(CELL("dateiname"))-FIND("]",CELL("dateiname")))&amp;"!"&amp;CELL("adresse",OFFSET($C$6,I208-1,0)),"Definition"))</f>
        <v/>
      </c>
      <c r="G208" s="189" t="str" cm="1">
        <f t="array" aca="1" ref="G208" ca="1">IF(J208=0,"",HYPERLINK("#"&amp;RIGHT(CELL("adresse",OFFSET(DMAV_Modell!$A$6,J208-1,0)),LEN(CELL("adresse",OFFSET(DMAV_Modell!$A$6,J208-1,0)))-SEARCH("]",CELL("adresse",OFFSET(DMAV_Modell!$A$6,J208-1,0)))),"Modell"))</f>
        <v>Modell</v>
      </c>
      <c r="H208" s="150" t="str">
        <f t="shared" si="6"/>
        <v>DBV6</v>
      </c>
      <c r="I208" s="150">
        <f t="shared" si="7"/>
        <v>0</v>
      </c>
      <c r="J208" s="150">
        <f>IF(_xlfn.XLOOKUP(H208,Korrelation!$B$4:$B$723,Korrelation!$A$4:$A$723,0,0)=0,0,MATCH(_xlfn.XLOOKUP(H208,Korrelation!$B$4:$B$723,Korrelation!$A$4:$A$723,0,0),DMAV_Modell!$G$6:$G$677,0))</f>
        <v>350</v>
      </c>
      <c r="L208" s="51" t="s">
        <v>30</v>
      </c>
      <c r="M208" s="51" t="s">
        <v>328</v>
      </c>
      <c r="N208" s="51" t="s">
        <v>206</v>
      </c>
      <c r="O208" s="52" t="s">
        <v>108</v>
      </c>
      <c r="P208" s="56"/>
      <c r="Q208" s="52" t="s">
        <v>3737</v>
      </c>
      <c r="R208" s="52"/>
      <c r="T208" s="51" t="s">
        <v>6582</v>
      </c>
      <c r="U208" s="51" t="s">
        <v>805</v>
      </c>
      <c r="V208" s="51" t="s">
        <v>772</v>
      </c>
      <c r="W208" s="52" t="s">
        <v>108</v>
      </c>
      <c r="Y208" s="210" t="s">
        <v>6189</v>
      </c>
      <c r="AB208" s="51" t="s">
        <v>6273</v>
      </c>
      <c r="AC208" s="51" t="s">
        <v>4319</v>
      </c>
      <c r="AD208" s="51" t="s">
        <v>4066</v>
      </c>
      <c r="AE208" s="52" t="s">
        <v>108</v>
      </c>
      <c r="AG208" s="210" t="s">
        <v>6328</v>
      </c>
    </row>
    <row r="209" spans="1:34" x14ac:dyDescent="0.25">
      <c r="A209" s="51" t="s">
        <v>3669</v>
      </c>
      <c r="B209" s="51">
        <v>7</v>
      </c>
      <c r="C209" s="51" t="s">
        <v>95</v>
      </c>
      <c r="D209" s="50">
        <v>1</v>
      </c>
      <c r="F209" s="189" t="str" cm="1">
        <f t="array" aca="1" ref="F209" ca="1">IF(I209=0,"",HYPERLINK("#"&amp;RIGHT(CELL("dateiname"),LEN(CELL("dateiname"))-FIND("]",CELL("dateiname")))&amp;"!"&amp;CELL("adresse",OFFSET($C$6,I209-1,0)),"Definition"))</f>
        <v/>
      </c>
      <c r="G209" s="189" t="str" cm="1">
        <f t="array" aca="1" ref="G209" ca="1">IF(J209=0,"",HYPERLINK("#"&amp;RIGHT(CELL("adresse",OFFSET(DMAV_Modell!$A$6,J209-1,0)),LEN(CELL("adresse",OFFSET(DMAV_Modell!$A$6,J209-1,0)))-SEARCH("]",CELL("adresse",OFFSET(DMAV_Modell!$A$6,J209-1,0)))),"Modell"))</f>
        <v>Modell</v>
      </c>
      <c r="H209" s="150" t="str">
        <f t="shared" si="6"/>
        <v>DBV7</v>
      </c>
      <c r="I209" s="150">
        <f t="shared" si="7"/>
        <v>0</v>
      </c>
      <c r="J209" s="150">
        <f>IF(_xlfn.XLOOKUP(H209,Korrelation!$B$4:$B$723,Korrelation!$A$4:$A$723,0,0)=0,0,MATCH(_xlfn.XLOOKUP(H209,Korrelation!$B$4:$B$723,Korrelation!$A$4:$A$723,0,0),DMAV_Modell!$G$6:$G$677,0))</f>
        <v>351</v>
      </c>
      <c r="L209" s="51" t="s">
        <v>30</v>
      </c>
      <c r="M209" s="51" t="s">
        <v>329</v>
      </c>
      <c r="N209" s="51" t="s">
        <v>96</v>
      </c>
      <c r="O209" s="52" t="s">
        <v>97</v>
      </c>
      <c r="P209" s="56"/>
      <c r="Q209" s="52" t="s">
        <v>98</v>
      </c>
      <c r="R209" s="52"/>
      <c r="T209" s="51" t="s">
        <v>6582</v>
      </c>
      <c r="U209" s="51" t="s">
        <v>806</v>
      </c>
      <c r="V209" s="51" t="s">
        <v>733</v>
      </c>
      <c r="W209" s="52" t="s">
        <v>97</v>
      </c>
      <c r="Y209" s="210" t="s">
        <v>6183</v>
      </c>
      <c r="AB209" s="51" t="s">
        <v>6273</v>
      </c>
      <c r="AC209" s="51" t="s">
        <v>4318</v>
      </c>
      <c r="AD209" s="51" t="s">
        <v>1378</v>
      </c>
      <c r="AE209" s="52" t="s">
        <v>97</v>
      </c>
      <c r="AG209" s="210" t="s">
        <v>6316</v>
      </c>
    </row>
    <row r="210" spans="1:34" x14ac:dyDescent="0.25">
      <c r="A210" s="51" t="s">
        <v>3669</v>
      </c>
      <c r="B210" s="51">
        <v>8</v>
      </c>
      <c r="C210" s="51" t="s">
        <v>95</v>
      </c>
      <c r="D210" s="50">
        <v>1</v>
      </c>
      <c r="F210" s="189" t="str" cm="1">
        <f t="array" aca="1" ref="F210" ca="1">IF(I210=0,"",HYPERLINK("#"&amp;RIGHT(CELL("dateiname"),LEN(CELL("dateiname"))-FIND("]",CELL("dateiname")))&amp;"!"&amp;CELL("adresse",OFFSET($C$6,I210-1,0)),"Definition"))</f>
        <v/>
      </c>
      <c r="G210" s="189" t="str" cm="1">
        <f t="array" aca="1" ref="G210" ca="1">IF(J210=0,"",HYPERLINK("#"&amp;RIGHT(CELL("adresse",OFFSET(DMAV_Modell!$A$6,J210-1,0)),LEN(CELL("adresse",OFFSET(DMAV_Modell!$A$6,J210-1,0)))-SEARCH("]",CELL("adresse",OFFSET(DMAV_Modell!$A$6,J210-1,0)))),"Modell"))</f>
        <v>Modell</v>
      </c>
      <c r="H210" s="150" t="str">
        <f t="shared" si="6"/>
        <v>DBV8</v>
      </c>
      <c r="I210" s="150">
        <f t="shared" si="7"/>
        <v>0</v>
      </c>
      <c r="J210" s="150">
        <f>IF(_xlfn.XLOOKUP(H210,Korrelation!$B$4:$B$723,Korrelation!$A$4:$A$723,0,0)=0,0,MATCH(_xlfn.XLOOKUP(H210,Korrelation!$B$4:$B$723,Korrelation!$A$4:$A$723,0,0),DMAV_Modell!$G$6:$G$677,0))</f>
        <v>352</v>
      </c>
      <c r="L210" s="51" t="s">
        <v>30</v>
      </c>
      <c r="M210" s="51" t="s">
        <v>329</v>
      </c>
      <c r="N210" s="51" t="s">
        <v>99</v>
      </c>
      <c r="O210" s="52" t="s">
        <v>97</v>
      </c>
      <c r="P210" s="56"/>
      <c r="Q210" s="52" t="s">
        <v>330</v>
      </c>
      <c r="R210" s="52"/>
      <c r="T210" s="51" t="s">
        <v>6582</v>
      </c>
      <c r="U210" s="51" t="s">
        <v>806</v>
      </c>
      <c r="V210" s="51" t="s">
        <v>734</v>
      </c>
      <c r="W210" s="52" t="s">
        <v>97</v>
      </c>
      <c r="Y210" s="210" t="s">
        <v>6583</v>
      </c>
      <c r="AB210" s="51" t="s">
        <v>6273</v>
      </c>
      <c r="AC210" s="51" t="s">
        <v>4318</v>
      </c>
      <c r="AD210" s="51" t="s">
        <v>1376</v>
      </c>
      <c r="AE210" s="52" t="s">
        <v>97</v>
      </c>
      <c r="AG210" s="210" t="s">
        <v>6584</v>
      </c>
    </row>
    <row r="211" spans="1:34" ht="25.5" x14ac:dyDescent="0.25">
      <c r="A211" s="51" t="s">
        <v>3669</v>
      </c>
      <c r="B211" s="51">
        <v>9</v>
      </c>
      <c r="C211" s="51" t="s">
        <v>95</v>
      </c>
      <c r="D211" s="50" t="s">
        <v>72</v>
      </c>
      <c r="F211" s="189" t="str" cm="1">
        <f t="array" aca="1" ref="F211" ca="1">IF(I211=0,"",HYPERLINK("#"&amp;RIGHT(CELL("dateiname"),LEN(CELL("dateiname"))-FIND("]",CELL("dateiname")))&amp;"!"&amp;CELL("adresse",OFFSET($C$6,I211-1,0)),"Definition"))</f>
        <v/>
      </c>
      <c r="G211" s="189" t="str" cm="1">
        <f t="array" aca="1" ref="G211" ca="1">IF(J211=0,"",HYPERLINK("#"&amp;RIGHT(CELL("adresse",OFFSET(DMAV_Modell!$A$6,J211-1,0)),LEN(CELL("adresse",OFFSET(DMAV_Modell!$A$6,J211-1,0)))-SEARCH("]",CELL("adresse",OFFSET(DMAV_Modell!$A$6,J211-1,0)))),"Modell"))</f>
        <v>Modell</v>
      </c>
      <c r="H211" s="150" t="str">
        <f t="shared" si="6"/>
        <v>DBV9</v>
      </c>
      <c r="I211" s="150">
        <f t="shared" si="7"/>
        <v>0</v>
      </c>
      <c r="J211" s="150">
        <f>IF(_xlfn.XLOOKUP(H211,Korrelation!$B$4:$B$723,Korrelation!$A$4:$A$723,0,0)=0,0,MATCH(_xlfn.XLOOKUP(H211,Korrelation!$B$4:$B$723,Korrelation!$A$4:$A$723,0,0),DMAV_Modell!$G$6:$G$677,0))</f>
        <v>353</v>
      </c>
      <c r="L211" s="51" t="s">
        <v>30</v>
      </c>
      <c r="M211" s="51" t="s">
        <v>329</v>
      </c>
      <c r="N211" s="51" t="s">
        <v>101</v>
      </c>
      <c r="O211" s="52" t="s">
        <v>102</v>
      </c>
      <c r="P211" s="56"/>
      <c r="Q211" s="52" t="s">
        <v>331</v>
      </c>
      <c r="R211" s="52"/>
      <c r="T211" s="51" t="s">
        <v>6582</v>
      </c>
      <c r="U211" s="51" t="s">
        <v>806</v>
      </c>
      <c r="V211" s="51" t="s">
        <v>735</v>
      </c>
      <c r="W211" s="52" t="s">
        <v>102</v>
      </c>
      <c r="Y211" s="210" t="s">
        <v>6585</v>
      </c>
      <c r="AB211" s="51" t="s">
        <v>6273</v>
      </c>
      <c r="AC211" s="51" t="s">
        <v>4318</v>
      </c>
      <c r="AD211" s="51" t="s">
        <v>1294</v>
      </c>
      <c r="AE211" s="52" t="s">
        <v>102</v>
      </c>
      <c r="AG211" s="210" t="s">
        <v>6586</v>
      </c>
    </row>
    <row r="212" spans="1:34" ht="38.25" x14ac:dyDescent="0.25">
      <c r="A212" s="51" t="s">
        <v>3669</v>
      </c>
      <c r="B212" s="51">
        <v>10</v>
      </c>
      <c r="C212" s="51" t="s">
        <v>95</v>
      </c>
      <c r="D212" s="50">
        <v>1</v>
      </c>
      <c r="F212" s="189" t="str" cm="1">
        <f t="array" aca="1" ref="F212" ca="1">IF(I212=0,"",HYPERLINK("#"&amp;RIGHT(CELL("dateiname"),LEN(CELL("dateiname"))-FIND("]",CELL("dateiname")))&amp;"!"&amp;CELL("adresse",OFFSET($C$6,I212-1,0)),"Definition"))</f>
        <v/>
      </c>
      <c r="G212" s="189" t="str" cm="1">
        <f t="array" aca="1" ref="G212" ca="1">IF(J212=0,"",HYPERLINK("#"&amp;RIGHT(CELL("adresse",OFFSET(DMAV_Modell!$A$6,J212-1,0)),LEN(CELL("adresse",OFFSET(DMAV_Modell!$A$6,J212-1,0)))-SEARCH("]",CELL("adresse",OFFSET(DMAV_Modell!$A$6,J212-1,0)))),"Modell"))</f>
        <v>Modell</v>
      </c>
      <c r="H212" s="150" t="str">
        <f t="shared" si="6"/>
        <v>DBV10</v>
      </c>
      <c r="I212" s="150">
        <f t="shared" si="7"/>
        <v>0</v>
      </c>
      <c r="J212" s="150">
        <f>IF(_xlfn.XLOOKUP(H212,Korrelation!$B$4:$B$723,Korrelation!$A$4:$A$723,0,0)=0,0,MATCH(_xlfn.XLOOKUP(H212,Korrelation!$B$4:$B$723,Korrelation!$A$4:$A$723,0,0),DMAV_Modell!$G$6:$G$677,0))</f>
        <v>354</v>
      </c>
      <c r="L212" s="51" t="s">
        <v>30</v>
      </c>
      <c r="M212" s="51" t="s">
        <v>329</v>
      </c>
      <c r="N212" s="51" t="s">
        <v>123</v>
      </c>
      <c r="O212" s="52" t="s">
        <v>105</v>
      </c>
      <c r="P212" s="56"/>
      <c r="Q212" s="52" t="s">
        <v>3755</v>
      </c>
      <c r="R212" s="52" t="s">
        <v>94</v>
      </c>
      <c r="T212" s="51" t="s">
        <v>6582</v>
      </c>
      <c r="U212" s="51" t="s">
        <v>806</v>
      </c>
      <c r="V212" s="51" t="s">
        <v>123</v>
      </c>
      <c r="W212" s="52" t="s">
        <v>105</v>
      </c>
      <c r="Y212" s="210" t="s">
        <v>6249</v>
      </c>
      <c r="Z212" s="210" t="s">
        <v>6166</v>
      </c>
      <c r="AB212" s="51" t="s">
        <v>6273</v>
      </c>
      <c r="AC212" s="51" t="s">
        <v>4318</v>
      </c>
      <c r="AD212" s="51" t="s">
        <v>1247</v>
      </c>
      <c r="AE212" s="52" t="s">
        <v>105</v>
      </c>
      <c r="AG212" s="210" t="s">
        <v>6587</v>
      </c>
      <c r="AH212" s="210" t="s">
        <v>6308</v>
      </c>
    </row>
    <row r="213" spans="1:34" ht="38.25" x14ac:dyDescent="0.25">
      <c r="A213" s="51" t="s">
        <v>3669</v>
      </c>
      <c r="B213" s="51">
        <v>11</v>
      </c>
      <c r="C213" s="51" t="s">
        <v>95</v>
      </c>
      <c r="D213" s="50" t="s">
        <v>72</v>
      </c>
      <c r="E213" s="50" t="s">
        <v>3683</v>
      </c>
      <c r="F213" s="189" t="str" cm="1">
        <f t="array" aca="1" ref="F213" ca="1">IF(I213=0,"",HYPERLINK("#"&amp;RIGHT(CELL("dateiname"),LEN(CELL("dateiname"))-FIND("]",CELL("dateiname")))&amp;"!"&amp;CELL("adresse",OFFSET($C$6,I213-1,0)),"Definition"))</f>
        <v>Definition</v>
      </c>
      <c r="G213" s="189" t="str" cm="1">
        <f t="array" aca="1" ref="G213" ca="1">IF(J213=0,"",HYPERLINK("#"&amp;RIGHT(CELL("adresse",OFFSET(DMAV_Modell!$A$6,J213-1,0)),LEN(CELL("adresse",OFFSET(DMAV_Modell!$A$6,J213-1,0)))-SEARCH("]",CELL("adresse",OFFSET(DMAV_Modell!$A$6,J213-1,0)))),"Modell"))</f>
        <v>Modell</v>
      </c>
      <c r="H213" s="150" t="str">
        <f t="shared" si="6"/>
        <v>DBV11</v>
      </c>
      <c r="I213" s="150">
        <f t="shared" si="7"/>
        <v>32</v>
      </c>
      <c r="J213" s="150">
        <f>IF(_xlfn.XLOOKUP(H213,Korrelation!$B$4:$B$723,Korrelation!$A$4:$A$723,0,0)=0,0,MATCH(_xlfn.XLOOKUP(H213,Korrelation!$B$4:$B$723,Korrelation!$A$4:$A$723,0,0),DMAV_Modell!$G$6:$G$677,0))</f>
        <v>355</v>
      </c>
      <c r="L213" s="51" t="s">
        <v>30</v>
      </c>
      <c r="M213" s="51" t="s">
        <v>329</v>
      </c>
      <c r="N213" s="51" t="s">
        <v>77</v>
      </c>
      <c r="O213" s="52" t="s">
        <v>250</v>
      </c>
      <c r="P213" s="56"/>
      <c r="Q213" s="52" t="s">
        <v>332</v>
      </c>
      <c r="R213" s="52" t="s">
        <v>252</v>
      </c>
      <c r="T213" s="51" t="s">
        <v>6582</v>
      </c>
      <c r="U213" s="51" t="s">
        <v>806</v>
      </c>
      <c r="V213" s="51" t="s">
        <v>729</v>
      </c>
      <c r="W213" s="52" t="s">
        <v>6588</v>
      </c>
      <c r="Y213" s="210" t="s">
        <v>6589</v>
      </c>
      <c r="Z213" s="210" t="s">
        <v>6590</v>
      </c>
      <c r="AB213" s="51" t="s">
        <v>6273</v>
      </c>
      <c r="AC213" s="51" t="s">
        <v>4318</v>
      </c>
      <c r="AD213" s="51" t="s">
        <v>3933</v>
      </c>
      <c r="AE213" s="52" t="s">
        <v>6363</v>
      </c>
      <c r="AG213" s="210" t="s">
        <v>6591</v>
      </c>
      <c r="AH213" s="210" t="s">
        <v>6432</v>
      </c>
    </row>
    <row r="214" spans="1:34" x14ac:dyDescent="0.25">
      <c r="A214" s="51" t="s">
        <v>3670</v>
      </c>
      <c r="B214" s="51">
        <v>1</v>
      </c>
      <c r="C214" s="51" t="s">
        <v>95</v>
      </c>
      <c r="D214" s="50">
        <v>1</v>
      </c>
      <c r="F214" s="189" t="str" cm="1">
        <f t="array" aca="1" ref="F214" ca="1">IF(I214=0,"",HYPERLINK("#"&amp;RIGHT(CELL("dateiname"),LEN(CELL("dateiname"))-FIND("]",CELL("dateiname")))&amp;"!"&amp;CELL("adresse",OFFSET($C$6,I214-1,0)),"Definition"))</f>
        <v/>
      </c>
      <c r="G214" s="189" t="str" cm="1">
        <f t="array" aca="1" ref="G214" ca="1">IF(J214=0,"",HYPERLINK("#"&amp;RIGHT(CELL("adresse",OFFSET(DMAV_Modell!$A$6,J214-1,0)),LEN(CELL("adresse",OFFSET(DMAV_Modell!$A$6,J214-1,0)))-SEARCH("]",CELL("adresse",OFFSET(DMAV_Modell!$A$6,J214-1,0)))),"Modell"))</f>
        <v>Modell</v>
      </c>
      <c r="H214" s="150" t="str">
        <f t="shared" si="6"/>
        <v>DNK1</v>
      </c>
      <c r="I214" s="150">
        <f t="shared" si="7"/>
        <v>0</v>
      </c>
      <c r="J214" s="150">
        <f>IF(_xlfn.XLOOKUP(H214,Korrelation!$B$4:$B$723,Korrelation!$A$4:$A$723,0,0)=0,0,MATCH(_xlfn.XLOOKUP(H214,Korrelation!$B$4:$B$723,Korrelation!$A$4:$A$723,0,0),DMAV_Modell!$G$6:$G$677,0))</f>
        <v>367</v>
      </c>
      <c r="L214" s="51" t="s">
        <v>31</v>
      </c>
      <c r="M214" s="51" t="s">
        <v>333</v>
      </c>
      <c r="N214" s="51" t="s">
        <v>96</v>
      </c>
      <c r="O214" s="52" t="s">
        <v>97</v>
      </c>
      <c r="P214" s="56"/>
      <c r="Q214" s="52" t="s">
        <v>98</v>
      </c>
      <c r="R214" s="52"/>
      <c r="T214" s="51" t="s">
        <v>6592</v>
      </c>
      <c r="U214" s="51" t="s">
        <v>807</v>
      </c>
      <c r="V214" s="51" t="s">
        <v>733</v>
      </c>
      <c r="W214" s="52" t="s">
        <v>97</v>
      </c>
      <c r="Y214" s="210" t="s">
        <v>6175</v>
      </c>
      <c r="AB214" s="51" t="s">
        <v>6274</v>
      </c>
      <c r="AC214" s="51" t="s">
        <v>4337</v>
      </c>
      <c r="AD214" s="51" t="s">
        <v>1378</v>
      </c>
      <c r="AE214" s="52" t="s">
        <v>97</v>
      </c>
      <c r="AG214" s="210" t="s">
        <v>6316</v>
      </c>
    </row>
    <row r="215" spans="1:34" ht="25.5" x14ac:dyDescent="0.25">
      <c r="A215" s="51" t="s">
        <v>3670</v>
      </c>
      <c r="B215" s="51">
        <v>2</v>
      </c>
      <c r="C215" s="51" t="s">
        <v>95</v>
      </c>
      <c r="D215" s="50">
        <v>1</v>
      </c>
      <c r="F215" s="189" t="str" cm="1">
        <f t="array" aca="1" ref="F215" ca="1">IF(I215=0,"",HYPERLINK("#"&amp;RIGHT(CELL("dateiname"),LEN(CELL("dateiname"))-FIND("]",CELL("dateiname")))&amp;"!"&amp;CELL("adresse",OFFSET($C$6,I215-1,0)),"Definition"))</f>
        <v/>
      </c>
      <c r="G215" s="189" t="str" cm="1">
        <f t="array" aca="1" ref="G215" ca="1">IF(J215=0,"",HYPERLINK("#"&amp;RIGHT(CELL("adresse",OFFSET(DMAV_Modell!$A$6,J215-1,0)),LEN(CELL("adresse",OFFSET(DMAV_Modell!$A$6,J215-1,0)))-SEARCH("]",CELL("adresse",OFFSET(DMAV_Modell!$A$6,J215-1,0)))),"Modell"))</f>
        <v>Modell</v>
      </c>
      <c r="H215" s="150" t="str">
        <f t="shared" si="6"/>
        <v>DNK2</v>
      </c>
      <c r="I215" s="150">
        <f t="shared" si="7"/>
        <v>0</v>
      </c>
      <c r="J215" s="150">
        <f>IF(_xlfn.XLOOKUP(H215,Korrelation!$B$4:$B$723,Korrelation!$A$4:$A$723,0,0)=0,0,MATCH(_xlfn.XLOOKUP(H215,Korrelation!$B$4:$B$723,Korrelation!$A$4:$A$723,0,0),DMAV_Modell!$G$6:$G$677,0))</f>
        <v>368</v>
      </c>
      <c r="L215" s="51" t="s">
        <v>31</v>
      </c>
      <c r="M215" s="51" t="s">
        <v>333</v>
      </c>
      <c r="N215" s="51" t="s">
        <v>99</v>
      </c>
      <c r="O215" s="52" t="s">
        <v>97</v>
      </c>
      <c r="P215" s="56"/>
      <c r="Q215" s="52" t="s">
        <v>100</v>
      </c>
      <c r="R215" s="52"/>
      <c r="T215" s="51" t="s">
        <v>6592</v>
      </c>
      <c r="U215" s="51" t="s">
        <v>807</v>
      </c>
      <c r="V215" s="51" t="s">
        <v>734</v>
      </c>
      <c r="W215" s="52" t="s">
        <v>97</v>
      </c>
      <c r="Y215" s="210" t="s">
        <v>6176</v>
      </c>
      <c r="AB215" s="51" t="s">
        <v>6274</v>
      </c>
      <c r="AC215" s="51" t="s">
        <v>4337</v>
      </c>
      <c r="AD215" s="51" t="s">
        <v>1376</v>
      </c>
      <c r="AE215" s="52" t="s">
        <v>97</v>
      </c>
      <c r="AG215" s="210" t="s">
        <v>6317</v>
      </c>
    </row>
    <row r="216" spans="1:34" x14ac:dyDescent="0.25">
      <c r="A216" s="51" t="s">
        <v>3670</v>
      </c>
      <c r="B216" s="51">
        <v>3</v>
      </c>
      <c r="C216" s="51" t="s">
        <v>95</v>
      </c>
      <c r="D216" s="50">
        <v>1</v>
      </c>
      <c r="F216" s="189" t="str" cm="1">
        <f t="array" aca="1" ref="F216" ca="1">IF(I216=0,"",HYPERLINK("#"&amp;RIGHT(CELL("dateiname"),LEN(CELL("dateiname"))-FIND("]",CELL("dateiname")))&amp;"!"&amp;CELL("adresse",OFFSET($C$6,I216-1,0)),"Definition"))</f>
        <v/>
      </c>
      <c r="G216" s="189" t="str" cm="1">
        <f t="array" aca="1" ref="G216" ca="1">IF(J216=0,"",HYPERLINK("#"&amp;RIGHT(CELL("adresse",OFFSET(DMAV_Modell!$A$6,J216-1,0)),LEN(CELL("adresse",OFFSET(DMAV_Modell!$A$6,J216-1,0)))-SEARCH("]",CELL("adresse",OFFSET(DMAV_Modell!$A$6,J216-1,0)))),"Modell"))</f>
        <v>Modell</v>
      </c>
      <c r="H216" s="150" t="str">
        <f t="shared" si="6"/>
        <v>DNK3</v>
      </c>
      <c r="I216" s="150">
        <f t="shared" si="7"/>
        <v>0</v>
      </c>
      <c r="J216" s="150">
        <f>IF(_xlfn.XLOOKUP(H216,Korrelation!$B$4:$B$723,Korrelation!$A$4:$A$723,0,0)=0,0,MATCH(_xlfn.XLOOKUP(H216,Korrelation!$B$4:$B$723,Korrelation!$A$4:$A$723,0,0),DMAV_Modell!$G$6:$G$677,0))</f>
        <v>369</v>
      </c>
      <c r="L216" s="51" t="s">
        <v>31</v>
      </c>
      <c r="M216" s="51" t="s">
        <v>333</v>
      </c>
      <c r="N216" s="51" t="s">
        <v>101</v>
      </c>
      <c r="O216" s="52" t="s">
        <v>102</v>
      </c>
      <c r="P216" s="56"/>
      <c r="Q216" s="52" t="s">
        <v>103</v>
      </c>
      <c r="R216" s="52"/>
      <c r="T216" s="51" t="s">
        <v>6592</v>
      </c>
      <c r="U216" s="51" t="s">
        <v>807</v>
      </c>
      <c r="V216" s="51" t="s">
        <v>735</v>
      </c>
      <c r="W216" s="52" t="s">
        <v>102</v>
      </c>
      <c r="Y216" s="210" t="s">
        <v>6177</v>
      </c>
      <c r="AB216" s="51" t="s">
        <v>6274</v>
      </c>
      <c r="AC216" s="51" t="s">
        <v>4337</v>
      </c>
      <c r="AD216" s="51" t="s">
        <v>1294</v>
      </c>
      <c r="AE216" s="52" t="s">
        <v>102</v>
      </c>
      <c r="AG216" s="210" t="s">
        <v>6318</v>
      </c>
    </row>
    <row r="217" spans="1:34" ht="76.5" x14ac:dyDescent="0.25">
      <c r="A217" s="51" t="s">
        <v>3670</v>
      </c>
      <c r="B217" s="51">
        <v>4</v>
      </c>
      <c r="C217" s="51" t="s">
        <v>95</v>
      </c>
      <c r="D217" s="50" t="s">
        <v>72</v>
      </c>
      <c r="F217" s="189" t="str" cm="1">
        <f t="array" aca="1" ref="F217" ca="1">IF(I217=0,"",HYPERLINK("#"&amp;RIGHT(CELL("dateiname"),LEN(CELL("dateiname"))-FIND("]",CELL("dateiname")))&amp;"!"&amp;CELL("adresse",OFFSET($C$6,I217-1,0)),"Definition"))</f>
        <v/>
      </c>
      <c r="G217" s="189" t="str" cm="1">
        <f t="array" aca="1" ref="G217" ca="1">IF(J217=0,"",HYPERLINK("#"&amp;RIGHT(CELL("adresse",OFFSET(DMAV_Modell!$A$6,J217-1,0)),LEN(CELL("adresse",OFFSET(DMAV_Modell!$A$6,J217-1,0)))-SEARCH("]",CELL("adresse",OFFSET(DMAV_Modell!$A$6,J217-1,0)))),"Modell"))</f>
        <v>Modell</v>
      </c>
      <c r="H217" s="150" t="str">
        <f t="shared" si="6"/>
        <v>DNK4</v>
      </c>
      <c r="I217" s="150">
        <f t="shared" si="7"/>
        <v>0</v>
      </c>
      <c r="J217" s="150">
        <f>IF(_xlfn.XLOOKUP(H217,Korrelation!$B$4:$B$723,Korrelation!$A$4:$A$723,0,0)=0,0,MATCH(_xlfn.XLOOKUP(H217,Korrelation!$B$4:$B$723,Korrelation!$A$4:$A$723,0,0),DMAV_Modell!$G$6:$G$677,0))</f>
        <v>370</v>
      </c>
      <c r="L217" s="51" t="s">
        <v>31</v>
      </c>
      <c r="M217" s="51" t="s">
        <v>333</v>
      </c>
      <c r="N217" s="51" t="s">
        <v>104</v>
      </c>
      <c r="O217" s="52" t="s">
        <v>105</v>
      </c>
      <c r="P217" s="56"/>
      <c r="Q217" s="52" t="s">
        <v>106</v>
      </c>
      <c r="R217" s="52"/>
      <c r="T217" s="51" t="s">
        <v>6592</v>
      </c>
      <c r="U217" s="51" t="s">
        <v>807</v>
      </c>
      <c r="V217" s="51" t="s">
        <v>736</v>
      </c>
      <c r="W217" s="52" t="s">
        <v>105</v>
      </c>
      <c r="Y217" s="210" t="s">
        <v>6178</v>
      </c>
      <c r="AB217" s="51" t="s">
        <v>6274</v>
      </c>
      <c r="AC217" s="51" t="s">
        <v>4337</v>
      </c>
      <c r="AD217" s="51" t="s">
        <v>1595</v>
      </c>
      <c r="AE217" s="52" t="s">
        <v>105</v>
      </c>
      <c r="AG217" s="210" t="s">
        <v>6319</v>
      </c>
    </row>
    <row r="218" spans="1:34" ht="25.5" x14ac:dyDescent="0.25">
      <c r="A218" s="51" t="s">
        <v>3670</v>
      </c>
      <c r="B218" s="51">
        <v>5</v>
      </c>
      <c r="C218" s="51" t="s">
        <v>95</v>
      </c>
      <c r="D218" s="50">
        <v>1</v>
      </c>
      <c r="F218" s="189" t="str" cm="1">
        <f t="array" aca="1" ref="F218" ca="1">IF(I218=0,"",HYPERLINK("#"&amp;RIGHT(CELL("dateiname"),LEN(CELL("dateiname"))-FIND("]",CELL("dateiname")))&amp;"!"&amp;CELL("adresse",OFFSET($C$6,I218-1,0)),"Definition"))</f>
        <v/>
      </c>
      <c r="G218" s="189" t="str" cm="1">
        <f t="array" aca="1" ref="G218" ca="1">IF(J218=0,"",HYPERLINK("#"&amp;RIGHT(CELL("adresse",OFFSET(DMAV_Modell!$A$6,J218-1,0)),LEN(CELL("adresse",OFFSET(DMAV_Modell!$A$6,J218-1,0)))-SEARCH("]",CELL("adresse",OFFSET(DMAV_Modell!$A$6,J218-1,0)))),"Modell"))</f>
        <v>Modell</v>
      </c>
      <c r="H218" s="150" t="str">
        <f t="shared" si="6"/>
        <v>DNK5</v>
      </c>
      <c r="I218" s="150">
        <f t="shared" si="7"/>
        <v>0</v>
      </c>
      <c r="J218" s="150">
        <f>IF(_xlfn.XLOOKUP(H218,Korrelation!$B$4:$B$723,Korrelation!$A$4:$A$723,0,0)=0,0,MATCH(_xlfn.XLOOKUP(H218,Korrelation!$B$4:$B$723,Korrelation!$A$4:$A$723,0,0),DMAV_Modell!$G$6:$G$677,0))</f>
        <v>371</v>
      </c>
      <c r="L218" s="51" t="s">
        <v>31</v>
      </c>
      <c r="M218" s="51" t="s">
        <v>333</v>
      </c>
      <c r="N218" s="51" t="s">
        <v>107</v>
      </c>
      <c r="O218" s="52" t="s">
        <v>108</v>
      </c>
      <c r="P218" s="56"/>
      <c r="Q218" s="52" t="s">
        <v>109</v>
      </c>
      <c r="R218" s="52"/>
      <c r="T218" s="51" t="s">
        <v>6592</v>
      </c>
      <c r="U218" s="51" t="s">
        <v>807</v>
      </c>
      <c r="V218" s="51" t="s">
        <v>737</v>
      </c>
      <c r="W218" s="52" t="s">
        <v>108</v>
      </c>
      <c r="Y218" s="210" t="s">
        <v>6179</v>
      </c>
      <c r="AB218" s="51" t="s">
        <v>6274</v>
      </c>
      <c r="AC218" s="51" t="s">
        <v>4337</v>
      </c>
      <c r="AD218" s="51" t="s">
        <v>4014</v>
      </c>
      <c r="AE218" s="52" t="s">
        <v>108</v>
      </c>
      <c r="AG218" s="210" t="s">
        <v>6320</v>
      </c>
    </row>
    <row r="219" spans="1:34" x14ac:dyDescent="0.25">
      <c r="A219" s="51" t="s">
        <v>3670</v>
      </c>
      <c r="B219" s="51">
        <v>6</v>
      </c>
      <c r="C219" s="51" t="s">
        <v>95</v>
      </c>
      <c r="D219" s="50">
        <v>1</v>
      </c>
      <c r="F219" s="189" t="str" cm="1">
        <f t="array" aca="1" ref="F219" ca="1">IF(I219=0,"",HYPERLINK("#"&amp;RIGHT(CELL("dateiname"),LEN(CELL("dateiname"))-FIND("]",CELL("dateiname")))&amp;"!"&amp;CELL("adresse",OFFSET($C$6,I219-1,0)),"Definition"))</f>
        <v/>
      </c>
      <c r="G219" s="189" t="str" cm="1">
        <f t="array" aca="1" ref="G219" ca="1">IF(J219=0,"",HYPERLINK("#"&amp;RIGHT(CELL("adresse",OFFSET(DMAV_Modell!$A$6,J219-1,0)),LEN(CELL("adresse",OFFSET(DMAV_Modell!$A$6,J219-1,0)))-SEARCH("]",CELL("adresse",OFFSET(DMAV_Modell!$A$6,J219-1,0)))),"Modell"))</f>
        <v>Modell</v>
      </c>
      <c r="H219" s="150" t="str">
        <f t="shared" si="6"/>
        <v>DNK6</v>
      </c>
      <c r="I219" s="150">
        <f t="shared" si="7"/>
        <v>0</v>
      </c>
      <c r="J219" s="150">
        <f>IF(_xlfn.XLOOKUP(H219,Korrelation!$B$4:$B$723,Korrelation!$A$4:$A$723,0,0)=0,0,MATCH(_xlfn.XLOOKUP(H219,Korrelation!$B$4:$B$723,Korrelation!$A$4:$A$723,0,0),DMAV_Modell!$G$6:$G$677,0))</f>
        <v>378</v>
      </c>
      <c r="L219" s="51" t="s">
        <v>31</v>
      </c>
      <c r="M219" s="51" t="s">
        <v>334</v>
      </c>
      <c r="N219" s="51" t="s">
        <v>5</v>
      </c>
      <c r="O219" s="52" t="s">
        <v>102</v>
      </c>
      <c r="P219" s="56"/>
      <c r="Q219" s="52" t="s">
        <v>335</v>
      </c>
      <c r="R219" s="52"/>
      <c r="T219" s="51" t="s">
        <v>6592</v>
      </c>
      <c r="U219" s="51" t="s">
        <v>808</v>
      </c>
      <c r="V219" s="51" t="s">
        <v>702</v>
      </c>
      <c r="W219" s="52" t="s">
        <v>102</v>
      </c>
      <c r="Y219" s="210" t="s">
        <v>6593</v>
      </c>
      <c r="AB219" s="51" t="s">
        <v>6274</v>
      </c>
      <c r="AC219" s="51" t="s">
        <v>4344</v>
      </c>
      <c r="AD219" s="51" t="s">
        <v>1700</v>
      </c>
      <c r="AE219" s="52" t="s">
        <v>102</v>
      </c>
      <c r="AG219" s="210" t="s">
        <v>6594</v>
      </c>
    </row>
    <row r="220" spans="1:34" ht="25.5" x14ac:dyDescent="0.25">
      <c r="A220" s="51" t="s">
        <v>3670</v>
      </c>
      <c r="B220" s="51">
        <v>7</v>
      </c>
      <c r="C220" s="51" t="s">
        <v>95</v>
      </c>
      <c r="D220" s="50" t="s">
        <v>72</v>
      </c>
      <c r="F220" s="189" t="str" cm="1">
        <f t="array" aca="1" ref="F220" ca="1">IF(I220=0,"",HYPERLINK("#"&amp;RIGHT(CELL("dateiname"),LEN(CELL("dateiname"))-FIND("]",CELL("dateiname")))&amp;"!"&amp;CELL("adresse",OFFSET($C$6,I220-1,0)),"Definition"))</f>
        <v/>
      </c>
      <c r="G220" s="189" t="str" cm="1">
        <f t="array" aca="1" ref="G220" ca="1">IF(J220=0,"",HYPERLINK("#"&amp;RIGHT(CELL("adresse",OFFSET(DMAV_Modell!$A$6,J220-1,0)),LEN(CELL("adresse",OFFSET(DMAV_Modell!$A$6,J220-1,0)))-SEARCH("]",CELL("adresse",OFFSET(DMAV_Modell!$A$6,J220-1,0)))),"Modell"))</f>
        <v>Modell</v>
      </c>
      <c r="H220" s="150" t="str">
        <f t="shared" si="6"/>
        <v>DNK7</v>
      </c>
      <c r="I220" s="150">
        <f t="shared" si="7"/>
        <v>0</v>
      </c>
      <c r="J220" s="150">
        <f>IF(_xlfn.XLOOKUP(H220,Korrelation!$B$4:$B$723,Korrelation!$A$4:$A$723,0,0)=0,0,MATCH(_xlfn.XLOOKUP(H220,Korrelation!$B$4:$B$723,Korrelation!$A$4:$A$723,0,0),DMAV_Modell!$G$6:$G$677,0))</f>
        <v>380</v>
      </c>
      <c r="L220" s="51" t="s">
        <v>31</v>
      </c>
      <c r="M220" s="51" t="s">
        <v>334</v>
      </c>
      <c r="N220" s="51" t="s">
        <v>4</v>
      </c>
      <c r="O220" s="52" t="s">
        <v>135</v>
      </c>
      <c r="P220" s="56"/>
      <c r="Q220" s="52" t="s">
        <v>336</v>
      </c>
      <c r="R220" s="52"/>
      <c r="T220" s="51" t="s">
        <v>6592</v>
      </c>
      <c r="U220" s="51" t="s">
        <v>808</v>
      </c>
      <c r="V220" s="51" t="s">
        <v>809</v>
      </c>
      <c r="W220" s="52" t="s">
        <v>135</v>
      </c>
      <c r="Y220" s="210" t="s">
        <v>6595</v>
      </c>
      <c r="AB220" s="51" t="s">
        <v>6274</v>
      </c>
      <c r="AC220" s="51" t="s">
        <v>4344</v>
      </c>
      <c r="AD220" s="51" t="s">
        <v>2208</v>
      </c>
      <c r="AE220" s="52" t="s">
        <v>135</v>
      </c>
      <c r="AG220" s="210" t="s">
        <v>6596</v>
      </c>
    </row>
    <row r="221" spans="1:34" ht="38.25" x14ac:dyDescent="0.25">
      <c r="A221" s="51" t="s">
        <v>3670</v>
      </c>
      <c r="B221" s="51">
        <v>8</v>
      </c>
      <c r="C221" s="51" t="s">
        <v>95</v>
      </c>
      <c r="D221" s="50">
        <v>1</v>
      </c>
      <c r="F221" s="189" t="str" cm="1">
        <f t="array" aca="1" ref="F221" ca="1">IF(I221=0,"",HYPERLINK("#"&amp;RIGHT(CELL("dateiname"),LEN(CELL("dateiname"))-FIND("]",CELL("dateiname")))&amp;"!"&amp;CELL("adresse",OFFSET($C$6,I221-1,0)),"Definition"))</f>
        <v/>
      </c>
      <c r="G221" s="189" t="str" cm="1">
        <f t="array" aca="1" ref="G221" ca="1">IF(J221=0,"",HYPERLINK("#"&amp;RIGHT(CELL("adresse",OFFSET(DMAV_Modell!$A$6,J221-1,0)),LEN(CELL("adresse",OFFSET(DMAV_Modell!$A$6,J221-1,0)))-SEARCH("]",CELL("adresse",OFFSET(DMAV_Modell!$A$6,J221-1,0)))),"Modell"))</f>
        <v>Modell</v>
      </c>
      <c r="H221" s="150" t="str">
        <f t="shared" si="6"/>
        <v>DNK8</v>
      </c>
      <c r="I221" s="150">
        <f t="shared" si="7"/>
        <v>0</v>
      </c>
      <c r="J221" s="150">
        <f>IF(_xlfn.XLOOKUP(H221,Korrelation!$B$4:$B$723,Korrelation!$A$4:$A$723,0,0)=0,0,MATCH(_xlfn.XLOOKUP(H221,Korrelation!$B$4:$B$723,Korrelation!$A$4:$A$723,0,0),DMAV_Modell!$G$6:$G$677,0))</f>
        <v>379</v>
      </c>
      <c r="L221" s="51" t="s">
        <v>31</v>
      </c>
      <c r="M221" s="51" t="s">
        <v>334</v>
      </c>
      <c r="N221" s="51" t="s">
        <v>123</v>
      </c>
      <c r="O221" s="52" t="s">
        <v>3756</v>
      </c>
      <c r="P221" s="56"/>
      <c r="Q221" s="52" t="s">
        <v>3742</v>
      </c>
      <c r="R221" s="52" t="s">
        <v>94</v>
      </c>
      <c r="T221" s="51" t="s">
        <v>6592</v>
      </c>
      <c r="U221" s="51" t="s">
        <v>808</v>
      </c>
      <c r="V221" s="51" t="s">
        <v>123</v>
      </c>
      <c r="W221" s="52" t="s">
        <v>105</v>
      </c>
      <c r="Y221" s="210" t="s">
        <v>6249</v>
      </c>
      <c r="Z221" s="210" t="s">
        <v>6166</v>
      </c>
      <c r="AB221" s="51" t="s">
        <v>6274</v>
      </c>
      <c r="AC221" s="51" t="s">
        <v>4344</v>
      </c>
      <c r="AD221" s="51" t="s">
        <v>1247</v>
      </c>
      <c r="AE221" s="52" t="s">
        <v>105</v>
      </c>
      <c r="AG221" s="210" t="s">
        <v>6389</v>
      </c>
      <c r="AH221" s="210" t="s">
        <v>6308</v>
      </c>
    </row>
    <row r="222" spans="1:34" ht="38.25" x14ac:dyDescent="0.25">
      <c r="A222" s="51" t="s">
        <v>3670</v>
      </c>
      <c r="B222" s="51">
        <v>9</v>
      </c>
      <c r="C222" s="51" t="s">
        <v>95</v>
      </c>
      <c r="D222" s="50" t="s">
        <v>72</v>
      </c>
      <c r="E222" s="50" t="s">
        <v>3683</v>
      </c>
      <c r="F222" s="189" t="str" cm="1">
        <f t="array" aca="1" ref="F222" ca="1">IF(I222=0,"",HYPERLINK("#"&amp;RIGHT(CELL("dateiname"),LEN(CELL("dateiname"))-FIND("]",CELL("dateiname")))&amp;"!"&amp;CELL("adresse",OFFSET($C$6,I222-1,0)),"Definition"))</f>
        <v>Definition</v>
      </c>
      <c r="G222" s="189" t="str" cm="1">
        <f t="array" aca="1" ref="G222" ca="1">IF(J222=0,"",HYPERLINK("#"&amp;RIGHT(CELL("adresse",OFFSET(DMAV_Modell!$A$6,J222-1,0)),LEN(CELL("adresse",OFFSET(DMAV_Modell!$A$6,J222-1,0)))-SEARCH("]",CELL("adresse",OFFSET(DMAV_Modell!$A$6,J222-1,0)))),"Modell"))</f>
        <v>Modell</v>
      </c>
      <c r="H222" s="150" t="str">
        <f t="shared" si="6"/>
        <v>DNK9</v>
      </c>
      <c r="I222" s="150">
        <f t="shared" si="7"/>
        <v>32</v>
      </c>
      <c r="J222" s="150">
        <f>IF(_xlfn.XLOOKUP(H222,Korrelation!$B$4:$B$723,Korrelation!$A$4:$A$723,0,0)=0,0,MATCH(_xlfn.XLOOKUP(H222,Korrelation!$B$4:$B$723,Korrelation!$A$4:$A$723,0,0),DMAV_Modell!$G$6:$G$677,0))</f>
        <v>381</v>
      </c>
      <c r="L222" s="51" t="s">
        <v>31</v>
      </c>
      <c r="M222" s="51" t="s">
        <v>334</v>
      </c>
      <c r="N222" s="51" t="s">
        <v>77</v>
      </c>
      <c r="O222" s="52" t="s">
        <v>250</v>
      </c>
      <c r="P222" s="56"/>
      <c r="Q222" s="52" t="s">
        <v>337</v>
      </c>
      <c r="R222" s="52"/>
      <c r="T222" s="51" t="s">
        <v>6592</v>
      </c>
      <c r="U222" s="51" t="s">
        <v>808</v>
      </c>
      <c r="V222" s="51" t="s">
        <v>729</v>
      </c>
      <c r="W222" s="52" t="s">
        <v>6428</v>
      </c>
      <c r="Y222" s="210" t="s">
        <v>6597</v>
      </c>
      <c r="AB222" s="51" t="s">
        <v>6274</v>
      </c>
      <c r="AC222" s="51" t="s">
        <v>4344</v>
      </c>
      <c r="AD222" s="51" t="s">
        <v>3933</v>
      </c>
      <c r="AE222" s="52" t="s">
        <v>6598</v>
      </c>
      <c r="AG222" s="210" t="s">
        <v>6599</v>
      </c>
    </row>
    <row r="223" spans="1:34" x14ac:dyDescent="0.25">
      <c r="A223" s="51" t="s">
        <v>3670</v>
      </c>
      <c r="B223" s="51">
        <v>10</v>
      </c>
      <c r="C223" s="51" t="s">
        <v>95</v>
      </c>
      <c r="D223" s="50">
        <v>1</v>
      </c>
      <c r="F223" s="189" t="str" cm="1">
        <f t="array" aca="1" ref="F223" ca="1">IF(I223=0,"",HYPERLINK("#"&amp;RIGHT(CELL("dateiname"),LEN(CELL("dateiname"))-FIND("]",CELL("dateiname")))&amp;"!"&amp;CELL("adresse",OFFSET($C$6,I223-1,0)),"Definition"))</f>
        <v/>
      </c>
      <c r="G223" s="189" t="str" cm="1">
        <f t="array" aca="1" ref="G223" ca="1">IF(J223=0,"",HYPERLINK("#"&amp;RIGHT(CELL("adresse",OFFSET(DMAV_Modell!$A$6,J223-1,0)),LEN(CELL("adresse",OFFSET(DMAV_Modell!$A$6,J223-1,0)))-SEARCH("]",CELL("adresse",OFFSET(DMAV_Modell!$A$6,J223-1,0)))),"Modell"))</f>
        <v>Modell</v>
      </c>
      <c r="H223" s="150" t="str">
        <f t="shared" si="6"/>
        <v>DNK10</v>
      </c>
      <c r="I223" s="150">
        <f t="shared" si="7"/>
        <v>0</v>
      </c>
      <c r="J223" s="150">
        <f>IF(_xlfn.XLOOKUP(H223,Korrelation!$B$4:$B$723,Korrelation!$A$4:$A$723,0,0)=0,0,MATCH(_xlfn.XLOOKUP(H223,Korrelation!$B$4:$B$723,Korrelation!$A$4:$A$723,0,0),DMAV_Modell!$G$6:$G$677,0))</f>
        <v>372</v>
      </c>
      <c r="L223" s="51" t="s">
        <v>31</v>
      </c>
      <c r="M223" s="51" t="s">
        <v>338</v>
      </c>
      <c r="N223" s="51" t="s">
        <v>5</v>
      </c>
      <c r="O223" s="52" t="s">
        <v>102</v>
      </c>
      <c r="P223" s="56"/>
      <c r="Q223" s="52" t="s">
        <v>339</v>
      </c>
      <c r="R223" s="52"/>
      <c r="T223" s="51" t="s">
        <v>6592</v>
      </c>
      <c r="U223" s="51" t="s">
        <v>810</v>
      </c>
      <c r="V223" s="51" t="s">
        <v>702</v>
      </c>
      <c r="W223" s="52" t="s">
        <v>102</v>
      </c>
      <c r="Y223" s="210" t="s">
        <v>6600</v>
      </c>
      <c r="AB223" s="51" t="s">
        <v>6274</v>
      </c>
      <c r="AC223" s="51" t="s">
        <v>4338</v>
      </c>
      <c r="AD223" s="51" t="s">
        <v>1700</v>
      </c>
      <c r="AE223" s="52" t="s">
        <v>6601</v>
      </c>
      <c r="AG223" s="210" t="s">
        <v>6602</v>
      </c>
    </row>
    <row r="224" spans="1:34" ht="63.75" x14ac:dyDescent="0.25">
      <c r="A224" s="51" t="s">
        <v>3670</v>
      </c>
      <c r="B224" s="51">
        <v>11</v>
      </c>
      <c r="C224" s="51" t="s">
        <v>95</v>
      </c>
      <c r="D224" s="50">
        <v>1</v>
      </c>
      <c r="F224" s="189" t="str" cm="1">
        <f t="array" aca="1" ref="F224" ca="1">IF(I224=0,"",HYPERLINK("#"&amp;RIGHT(CELL("dateiname"),LEN(CELL("dateiname"))-FIND("]",CELL("dateiname")))&amp;"!"&amp;CELL("adresse",OFFSET($C$6,I224-1,0)),"Definition"))</f>
        <v/>
      </c>
      <c r="G224" s="189" t="str" cm="1">
        <f t="array" aca="1" ref="G224" ca="1">IF(J224=0,"",HYPERLINK("#"&amp;RIGHT(CELL("adresse",OFFSET(DMAV_Modell!$A$6,J224-1,0)),LEN(CELL("adresse",OFFSET(DMAV_Modell!$A$6,J224-1,0)))-SEARCH("]",CELL("adresse",OFFSET(DMAV_Modell!$A$6,J224-1,0)))),"Modell"))</f>
        <v>Modell</v>
      </c>
      <c r="H224" s="150" t="str">
        <f t="shared" si="6"/>
        <v>DNK11</v>
      </c>
      <c r="I224" s="150">
        <f t="shared" si="7"/>
        <v>0</v>
      </c>
      <c r="J224" s="150">
        <f>IF(_xlfn.XLOOKUP(H224,Korrelation!$B$4:$B$723,Korrelation!$A$4:$A$723,0,0)=0,0,MATCH(_xlfn.XLOOKUP(H224,Korrelation!$B$4:$B$723,Korrelation!$A$4:$A$723,0,0),DMAV_Modell!$G$6:$G$677,0))</f>
        <v>374</v>
      </c>
      <c r="L224" s="51" t="s">
        <v>31</v>
      </c>
      <c r="M224" s="51" t="s">
        <v>338</v>
      </c>
      <c r="N224" s="51" t="s">
        <v>213</v>
      </c>
      <c r="O224" s="52" t="s">
        <v>131</v>
      </c>
      <c r="P224" s="56" t="s">
        <v>214</v>
      </c>
      <c r="Q224" s="52" t="s">
        <v>340</v>
      </c>
      <c r="R224" s="52" t="s">
        <v>341</v>
      </c>
      <c r="T224" s="51" t="s">
        <v>6592</v>
      </c>
      <c r="U224" s="51" t="s">
        <v>810</v>
      </c>
      <c r="V224" s="51" t="s">
        <v>775</v>
      </c>
      <c r="W224" s="52" t="s">
        <v>131</v>
      </c>
      <c r="X224" s="209" t="s">
        <v>214</v>
      </c>
      <c r="Y224" s="210" t="s">
        <v>6603</v>
      </c>
      <c r="Z224" s="210" t="s">
        <v>6604</v>
      </c>
      <c r="AB224" s="51" t="s">
        <v>6274</v>
      </c>
      <c r="AC224" s="51" t="s">
        <v>4338</v>
      </c>
      <c r="AD224" s="51" t="s">
        <v>4068</v>
      </c>
      <c r="AE224" s="52" t="s">
        <v>131</v>
      </c>
      <c r="AF224" s="209" t="s">
        <v>214</v>
      </c>
      <c r="AG224" s="210" t="s">
        <v>6605</v>
      </c>
      <c r="AH224" s="210" t="s">
        <v>6606</v>
      </c>
    </row>
    <row r="225" spans="1:34" ht="38.25" x14ac:dyDescent="0.25">
      <c r="A225" s="51" t="s">
        <v>3670</v>
      </c>
      <c r="B225" s="51">
        <v>12</v>
      </c>
      <c r="C225" s="51" t="s">
        <v>95</v>
      </c>
      <c r="D225" s="50">
        <v>1</v>
      </c>
      <c r="F225" s="189" t="str" cm="1">
        <f t="array" aca="1" ref="F225" ca="1">IF(I225=0,"",HYPERLINK("#"&amp;RIGHT(CELL("dateiname"),LEN(CELL("dateiname"))-FIND("]",CELL("dateiname")))&amp;"!"&amp;CELL("adresse",OFFSET($C$6,I225-1,0)),"Definition"))</f>
        <v/>
      </c>
      <c r="G225" s="189" t="str" cm="1">
        <f t="array" aca="1" ref="G225" ca="1">IF(J225=0,"",HYPERLINK("#"&amp;RIGHT(CELL("adresse",OFFSET(DMAV_Modell!$A$6,J225-1,0)),LEN(CELL("adresse",OFFSET(DMAV_Modell!$A$6,J225-1,0)))-SEARCH("]",CELL("adresse",OFFSET(DMAV_Modell!$A$6,J225-1,0)))),"Modell"))</f>
        <v>Modell</v>
      </c>
      <c r="H225" s="150" t="str">
        <f t="shared" si="6"/>
        <v>DNK12</v>
      </c>
      <c r="I225" s="150">
        <f t="shared" si="7"/>
        <v>0</v>
      </c>
      <c r="J225" s="150">
        <f>IF(_xlfn.XLOOKUP(H225,Korrelation!$B$4:$B$723,Korrelation!$A$4:$A$723,0,0)=0,0,MATCH(_xlfn.XLOOKUP(H225,Korrelation!$B$4:$B$723,Korrelation!$A$4:$A$723,0,0),DMAV_Modell!$G$6:$G$677,0))</f>
        <v>373</v>
      </c>
      <c r="L225" s="51" t="s">
        <v>31</v>
      </c>
      <c r="M225" s="51" t="s">
        <v>338</v>
      </c>
      <c r="N225" s="51" t="s">
        <v>123</v>
      </c>
      <c r="O225" s="52" t="s">
        <v>3756</v>
      </c>
      <c r="P225" s="56"/>
      <c r="Q225" s="52" t="s">
        <v>3757</v>
      </c>
      <c r="R225" s="52" t="s">
        <v>94</v>
      </c>
      <c r="T225" s="51" t="s">
        <v>6592</v>
      </c>
      <c r="U225" s="51" t="s">
        <v>810</v>
      </c>
      <c r="V225" s="51" t="s">
        <v>123</v>
      </c>
      <c r="W225" s="52" t="s">
        <v>6607</v>
      </c>
      <c r="Y225" s="210" t="s">
        <v>6608</v>
      </c>
      <c r="Z225" s="210" t="s">
        <v>6166</v>
      </c>
      <c r="AB225" s="51" t="s">
        <v>6274</v>
      </c>
      <c r="AC225" s="51" t="s">
        <v>4338</v>
      </c>
      <c r="AD225" s="51" t="s">
        <v>1247</v>
      </c>
      <c r="AE225" s="52" t="s">
        <v>3756</v>
      </c>
      <c r="AG225" s="210" t="s">
        <v>6609</v>
      </c>
      <c r="AH225" s="210" t="s">
        <v>6308</v>
      </c>
    </row>
    <row r="226" spans="1:34" ht="38.25" x14ac:dyDescent="0.25">
      <c r="A226" s="51" t="s">
        <v>3670</v>
      </c>
      <c r="B226" s="51">
        <v>13</v>
      </c>
      <c r="C226" s="51" t="s">
        <v>95</v>
      </c>
      <c r="D226" s="50" t="s">
        <v>72</v>
      </c>
      <c r="E226" s="50" t="s">
        <v>3683</v>
      </c>
      <c r="F226" s="189" t="str" cm="1">
        <f t="array" aca="1" ref="F226" ca="1">IF(I226=0,"",HYPERLINK("#"&amp;RIGHT(CELL("dateiname"),LEN(CELL("dateiname"))-FIND("]",CELL("dateiname")))&amp;"!"&amp;CELL("adresse",OFFSET($C$6,I226-1,0)),"Definition"))</f>
        <v>Definition</v>
      </c>
      <c r="G226" s="189" t="str" cm="1">
        <f t="array" aca="1" ref="G226" ca="1">IF(J226=0,"",HYPERLINK("#"&amp;RIGHT(CELL("adresse",OFFSET(DMAV_Modell!$A$6,J226-1,0)),LEN(CELL("adresse",OFFSET(DMAV_Modell!$A$6,J226-1,0)))-SEARCH("]",CELL("adresse",OFFSET(DMAV_Modell!$A$6,J226-1,0)))),"Modell"))</f>
        <v>Modell</v>
      </c>
      <c r="H226" s="150" t="str">
        <f t="shared" si="6"/>
        <v>DNK13</v>
      </c>
      <c r="I226" s="150">
        <f t="shared" si="7"/>
        <v>32</v>
      </c>
      <c r="J226" s="150">
        <f>IF(_xlfn.XLOOKUP(H226,Korrelation!$B$4:$B$723,Korrelation!$A$4:$A$723,0,0)=0,0,MATCH(_xlfn.XLOOKUP(H226,Korrelation!$B$4:$B$723,Korrelation!$A$4:$A$723,0,0),DMAV_Modell!$G$6:$G$677,0))</f>
        <v>375</v>
      </c>
      <c r="L226" s="51" t="s">
        <v>31</v>
      </c>
      <c r="M226" s="51" t="s">
        <v>338</v>
      </c>
      <c r="N226" s="51" t="s">
        <v>77</v>
      </c>
      <c r="O226" s="52" t="s">
        <v>250</v>
      </c>
      <c r="P226" s="56"/>
      <c r="Q226" s="52" t="s">
        <v>337</v>
      </c>
      <c r="R226" s="52"/>
      <c r="T226" s="51" t="s">
        <v>6592</v>
      </c>
      <c r="U226" s="51" t="s">
        <v>810</v>
      </c>
      <c r="V226" s="51" t="s">
        <v>729</v>
      </c>
      <c r="W226" s="52" t="s">
        <v>6428</v>
      </c>
      <c r="Y226" s="210" t="s">
        <v>6610</v>
      </c>
      <c r="AB226" s="51" t="s">
        <v>6274</v>
      </c>
      <c r="AC226" s="51" t="s">
        <v>4338</v>
      </c>
      <c r="AD226" s="51" t="s">
        <v>6611</v>
      </c>
      <c r="AE226" s="52" t="s">
        <v>6598</v>
      </c>
      <c r="AG226" s="210" t="s">
        <v>6599</v>
      </c>
    </row>
    <row r="227" spans="1:34" x14ac:dyDescent="0.25">
      <c r="A227" s="51" t="s">
        <v>3670</v>
      </c>
      <c r="B227" s="51">
        <v>14</v>
      </c>
      <c r="C227" s="51" t="s">
        <v>95</v>
      </c>
      <c r="D227" s="50">
        <v>1</v>
      </c>
      <c r="F227" s="189" t="str" cm="1">
        <f t="array" aca="1" ref="F227" ca="1">IF(I227=0,"",HYPERLINK("#"&amp;RIGHT(CELL("dateiname"),LEN(CELL("dateiname"))-FIND("]",CELL("dateiname")))&amp;"!"&amp;CELL("adresse",OFFSET($C$6,I227-1,0)),"Definition"))</f>
        <v/>
      </c>
      <c r="G227" s="189" t="str" cm="1">
        <f t="array" aca="1" ref="G227" ca="1">IF(J227=0,"",HYPERLINK("#"&amp;RIGHT(CELL("adresse",OFFSET(DMAV_Modell!$A$6,J227-1,0)),LEN(CELL("adresse",OFFSET(DMAV_Modell!$A$6,J227-1,0)))-SEARCH("]",CELL("adresse",OFFSET(DMAV_Modell!$A$6,J227-1,0)))),"Modell"))</f>
        <v>Modell</v>
      </c>
      <c r="H227" s="150" t="str">
        <f t="shared" si="6"/>
        <v>DNK14</v>
      </c>
      <c r="I227" s="150">
        <f t="shared" si="7"/>
        <v>0</v>
      </c>
      <c r="J227" s="150">
        <f>IF(_xlfn.XLOOKUP(H227,Korrelation!$B$4:$B$723,Korrelation!$A$4:$A$723,0,0)=0,0,MATCH(_xlfn.XLOOKUP(H227,Korrelation!$B$4:$B$723,Korrelation!$A$4:$A$723,0,0),DMAV_Modell!$G$6:$G$677,0))</f>
        <v>384</v>
      </c>
      <c r="L227" s="51" t="s">
        <v>31</v>
      </c>
      <c r="M227" s="51" t="s">
        <v>342</v>
      </c>
      <c r="N227" s="51" t="s">
        <v>5</v>
      </c>
      <c r="O227" s="52" t="s">
        <v>102</v>
      </c>
      <c r="P227" s="56"/>
      <c r="Q227" s="52" t="s">
        <v>343</v>
      </c>
      <c r="R227" s="52"/>
      <c r="T227" s="51" t="s">
        <v>6592</v>
      </c>
      <c r="U227" s="51" t="s">
        <v>811</v>
      </c>
      <c r="V227" s="51" t="s">
        <v>702</v>
      </c>
      <c r="W227" s="52" t="s">
        <v>102</v>
      </c>
      <c r="Y227" s="210" t="s">
        <v>6612</v>
      </c>
      <c r="AB227" s="51" t="s">
        <v>6274</v>
      </c>
      <c r="AC227" s="51" t="s">
        <v>4349</v>
      </c>
      <c r="AD227" s="51" t="s">
        <v>1700</v>
      </c>
      <c r="AE227" s="52" t="s">
        <v>102</v>
      </c>
      <c r="AG227" s="210" t="s">
        <v>6613</v>
      </c>
    </row>
    <row r="228" spans="1:34" ht="38.25" x14ac:dyDescent="0.25">
      <c r="A228" s="51" t="s">
        <v>3670</v>
      </c>
      <c r="B228" s="51">
        <v>15</v>
      </c>
      <c r="C228" s="51" t="s">
        <v>95</v>
      </c>
      <c r="D228" s="50">
        <v>1</v>
      </c>
      <c r="F228" s="189" t="str" cm="1">
        <f t="array" aca="1" ref="F228" ca="1">IF(I228=0,"",HYPERLINK("#"&amp;RIGHT(CELL("dateiname"),LEN(CELL("dateiname"))-FIND("]",CELL("dateiname")))&amp;"!"&amp;CELL("adresse",OFFSET($C$6,I228-1,0)),"Definition"))</f>
        <v/>
      </c>
      <c r="G228" s="189" t="str" cm="1">
        <f t="array" aca="1" ref="G228" ca="1">IF(J228=0,"",HYPERLINK("#"&amp;RIGHT(CELL("adresse",OFFSET(DMAV_Modell!$A$6,J228-1,0)),LEN(CELL("adresse",OFFSET(DMAV_Modell!$A$6,J228-1,0)))-SEARCH("]",CELL("adresse",OFFSET(DMAV_Modell!$A$6,J228-1,0)))),"Modell"))</f>
        <v>Modell</v>
      </c>
      <c r="H228" s="150" t="str">
        <f t="shared" si="6"/>
        <v>DNK15</v>
      </c>
      <c r="I228" s="150">
        <f t="shared" si="7"/>
        <v>0</v>
      </c>
      <c r="J228" s="150">
        <f>IF(_xlfn.XLOOKUP(H228,Korrelation!$B$4:$B$723,Korrelation!$A$4:$A$723,0,0)=0,0,MATCH(_xlfn.XLOOKUP(H228,Korrelation!$B$4:$B$723,Korrelation!$A$4:$A$723,0,0),DMAV_Modell!$G$6:$G$677,0))</f>
        <v>385</v>
      </c>
      <c r="L228" s="51" t="s">
        <v>31</v>
      </c>
      <c r="M228" s="51" t="s">
        <v>342</v>
      </c>
      <c r="N228" s="51" t="s">
        <v>123</v>
      </c>
      <c r="O228" s="52" t="s">
        <v>69</v>
      </c>
      <c r="P228" s="56"/>
      <c r="Q228" s="52" t="s">
        <v>124</v>
      </c>
      <c r="R228" s="52" t="s">
        <v>94</v>
      </c>
      <c r="T228" s="51" t="s">
        <v>6592</v>
      </c>
      <c r="U228" s="51" t="s">
        <v>811</v>
      </c>
      <c r="V228" s="51" t="s">
        <v>123</v>
      </c>
      <c r="W228" s="52" t="s">
        <v>69</v>
      </c>
      <c r="Y228" s="210" t="s">
        <v>6614</v>
      </c>
      <c r="Z228" s="210" t="s">
        <v>6166</v>
      </c>
      <c r="AB228" s="51" t="s">
        <v>6274</v>
      </c>
      <c r="AC228" s="51" t="s">
        <v>4349</v>
      </c>
      <c r="AD228" s="51" t="s">
        <v>1247</v>
      </c>
      <c r="AE228" s="52" t="s">
        <v>69</v>
      </c>
      <c r="AG228" s="210" t="s">
        <v>6615</v>
      </c>
      <c r="AH228" s="210" t="s">
        <v>6308</v>
      </c>
    </row>
    <row r="229" spans="1:34" ht="38.25" x14ac:dyDescent="0.25">
      <c r="A229" s="51" t="s">
        <v>3670</v>
      </c>
      <c r="B229" s="51">
        <v>16</v>
      </c>
      <c r="C229" s="51" t="s">
        <v>95</v>
      </c>
      <c r="D229" s="50" t="s">
        <v>72</v>
      </c>
      <c r="E229" s="50" t="s">
        <v>3683</v>
      </c>
      <c r="F229" s="189" t="str" cm="1">
        <f t="array" aca="1" ref="F229" ca="1">IF(I229=0,"",HYPERLINK("#"&amp;RIGHT(CELL("dateiname"),LEN(CELL("dateiname"))-FIND("]",CELL("dateiname")))&amp;"!"&amp;CELL("adresse",OFFSET($C$6,I229-1,0)),"Definition"))</f>
        <v>Definition</v>
      </c>
      <c r="G229" s="189" t="str" cm="1">
        <f t="array" aca="1" ref="G229" ca="1">IF(J229=0,"",HYPERLINK("#"&amp;RIGHT(CELL("adresse",OFFSET(DMAV_Modell!$A$6,J229-1,0)),LEN(CELL("adresse",OFFSET(DMAV_Modell!$A$6,J229-1,0)))-SEARCH("]",CELL("adresse",OFFSET(DMAV_Modell!$A$6,J229-1,0)))),"Modell"))</f>
        <v>Modell</v>
      </c>
      <c r="H229" s="150" t="str">
        <f t="shared" si="6"/>
        <v>DNK16</v>
      </c>
      <c r="I229" s="150">
        <f t="shared" si="7"/>
        <v>32</v>
      </c>
      <c r="J229" s="150">
        <f>IF(_xlfn.XLOOKUP(H229,Korrelation!$B$4:$B$723,Korrelation!$A$4:$A$723,0,0)=0,0,MATCH(_xlfn.XLOOKUP(H229,Korrelation!$B$4:$B$723,Korrelation!$A$4:$A$723,0,0),DMAV_Modell!$G$6:$G$677,0))</f>
        <v>386</v>
      </c>
      <c r="L229" s="51" t="s">
        <v>31</v>
      </c>
      <c r="M229" s="51" t="s">
        <v>342</v>
      </c>
      <c r="N229" s="51" t="s">
        <v>77</v>
      </c>
      <c r="O229" s="52" t="s">
        <v>250</v>
      </c>
      <c r="P229" s="56"/>
      <c r="Q229" s="52" t="s">
        <v>337</v>
      </c>
      <c r="R229" s="52"/>
      <c r="T229" s="51" t="s">
        <v>6592</v>
      </c>
      <c r="U229" s="51" t="s">
        <v>811</v>
      </c>
      <c r="V229" s="51" t="s">
        <v>729</v>
      </c>
      <c r="W229" s="52" t="s">
        <v>6428</v>
      </c>
      <c r="Y229" s="210" t="s">
        <v>6597</v>
      </c>
      <c r="AB229" s="51" t="s">
        <v>6274</v>
      </c>
      <c r="AC229" s="51" t="s">
        <v>4349</v>
      </c>
      <c r="AD229" s="51" t="s">
        <v>3933</v>
      </c>
      <c r="AE229" s="52" t="s">
        <v>6598</v>
      </c>
      <c r="AG229" s="210" t="s">
        <v>6599</v>
      </c>
    </row>
    <row r="230" spans="1:34" ht="51" x14ac:dyDescent="0.25">
      <c r="A230" s="51" t="s">
        <v>3671</v>
      </c>
      <c r="B230" s="51">
        <v>1</v>
      </c>
      <c r="C230" s="51" t="s">
        <v>34</v>
      </c>
      <c r="F230" s="189" t="str" cm="1">
        <f t="array" aca="1" ref="F230" ca="1">IF(I230=0,"",HYPERLINK("#"&amp;RIGHT(CELL("dateiname"),LEN(CELL("dateiname"))-FIND("]",CELL("dateiname")))&amp;"!"&amp;CELL("adresse",OFFSET($C$6,I230-1,0)),"Definition"))</f>
        <v/>
      </c>
      <c r="G230" s="189" t="str" cm="1">
        <f t="array" aca="1" ref="G230" ca="1">IF(J230=0,"",HYPERLINK("#"&amp;RIGHT(CELL("adresse",OFFSET(DMAV_Modell!$A$6,J230-1,0)),LEN(CELL("adresse",OFFSET(DMAV_Modell!$A$6,J230-1,0)))-SEARCH("]",CELL("adresse",OFFSET(DMAV_Modell!$A$6,J230-1,0)))),"Modell"))</f>
        <v>Modell</v>
      </c>
      <c r="H230" s="150" t="str">
        <f t="shared" si="6"/>
        <v>DBB1</v>
      </c>
      <c r="I230" s="150">
        <f t="shared" si="7"/>
        <v>0</v>
      </c>
      <c r="J230" s="150">
        <f>IF(_xlfn.XLOOKUP(H230,Korrelation!$B$4:$B$723,Korrelation!$A$4:$A$723,0,0)=0,0,MATCH(_xlfn.XLOOKUP(H230,Korrelation!$B$4:$B$723,Korrelation!$A$4:$A$723,0,0),DMAV_Modell!$G$6:$G$677,0))</f>
        <v>394</v>
      </c>
      <c r="L230" s="51" t="s">
        <v>19</v>
      </c>
      <c r="M230" s="51" t="s">
        <v>344</v>
      </c>
      <c r="O230" s="52" t="s">
        <v>1098</v>
      </c>
      <c r="P230" s="56"/>
      <c r="Q230" s="52" t="s">
        <v>3758</v>
      </c>
      <c r="R230" s="52"/>
      <c r="T230" s="51" t="s">
        <v>6128</v>
      </c>
      <c r="U230" s="51" t="s">
        <v>812</v>
      </c>
      <c r="W230" s="52" t="s">
        <v>813</v>
      </c>
      <c r="Y230" s="210" t="s">
        <v>6616</v>
      </c>
      <c r="AB230" s="51" t="s">
        <v>6275</v>
      </c>
      <c r="AC230" s="51" t="s">
        <v>4358</v>
      </c>
      <c r="AE230" s="52" t="s">
        <v>2403</v>
      </c>
      <c r="AG230" s="210" t="s">
        <v>6617</v>
      </c>
    </row>
    <row r="231" spans="1:34" ht="25.5" x14ac:dyDescent="0.25">
      <c r="A231" s="51" t="s">
        <v>3671</v>
      </c>
      <c r="B231" s="51">
        <v>2</v>
      </c>
      <c r="C231" s="51" t="s">
        <v>34</v>
      </c>
      <c r="F231" s="189" t="str" cm="1">
        <f t="array" aca="1" ref="F231" ca="1">IF(I231=0,"",HYPERLINK("#"&amp;RIGHT(CELL("dateiname"),LEN(CELL("dateiname"))-FIND("]",CELL("dateiname")))&amp;"!"&amp;CELL("adresse",OFFSET($C$6,I231-1,0)),"Definition"))</f>
        <v/>
      </c>
      <c r="G231" s="189" t="str" cm="1">
        <f t="array" aca="1" ref="G231" ca="1">IF(J231=0,"",HYPERLINK("#"&amp;RIGHT(CELL("adresse",OFFSET(DMAV_Modell!$A$6,J231-1,0)),LEN(CELL("adresse",OFFSET(DMAV_Modell!$A$6,J231-1,0)))-SEARCH("]",CELL("adresse",OFFSET(DMAV_Modell!$A$6,J231-1,0)))),"Modell"))</f>
        <v>Modell</v>
      </c>
      <c r="H231" s="150" t="str">
        <f t="shared" si="6"/>
        <v>DBB2</v>
      </c>
      <c r="I231" s="150">
        <f t="shared" si="7"/>
        <v>0</v>
      </c>
      <c r="J231" s="150">
        <f>IF(_xlfn.XLOOKUP(H231,Korrelation!$B$4:$B$723,Korrelation!$A$4:$A$723,0,0)=0,0,MATCH(_xlfn.XLOOKUP(H231,Korrelation!$B$4:$B$723,Korrelation!$A$4:$A$723,0,0),DMAV_Modell!$G$6:$G$677,0))</f>
        <v>395</v>
      </c>
      <c r="L231" s="51" t="s">
        <v>19</v>
      </c>
      <c r="M231" s="51" t="s">
        <v>344</v>
      </c>
      <c r="O231" s="52" t="s">
        <v>345</v>
      </c>
      <c r="P231" s="56"/>
      <c r="Q231" s="52" t="s">
        <v>346</v>
      </c>
      <c r="R231" s="52"/>
      <c r="T231" s="51" t="s">
        <v>6128</v>
      </c>
      <c r="U231" s="51" t="s">
        <v>812</v>
      </c>
      <c r="W231" s="52" t="s">
        <v>6618</v>
      </c>
      <c r="Y231" s="210" t="s">
        <v>6619</v>
      </c>
      <c r="AB231" s="51" t="s">
        <v>6275</v>
      </c>
      <c r="AC231" s="51" t="s">
        <v>4358</v>
      </c>
      <c r="AE231" s="52" t="s">
        <v>6620</v>
      </c>
      <c r="AG231" s="210" t="s">
        <v>6621</v>
      </c>
    </row>
    <row r="232" spans="1:34" ht="38.25" x14ac:dyDescent="0.25">
      <c r="A232" s="51" t="s">
        <v>3671</v>
      </c>
      <c r="B232" s="51">
        <v>3</v>
      </c>
      <c r="C232" s="51" t="s">
        <v>34</v>
      </c>
      <c r="F232" s="189" t="str" cm="1">
        <f t="array" aca="1" ref="F232" ca="1">IF(I232=0,"",HYPERLINK("#"&amp;RIGHT(CELL("dateiname"),LEN(CELL("dateiname"))-FIND("]",CELL("dateiname")))&amp;"!"&amp;CELL("adresse",OFFSET($C$6,I232-1,0)),"Definition"))</f>
        <v/>
      </c>
      <c r="G232" s="189" t="str" cm="1">
        <f t="array" aca="1" ref="G232" ca="1">IF(J232=0,"",HYPERLINK("#"&amp;RIGHT(CELL("adresse",OFFSET(DMAV_Modell!$A$6,J232-1,0)),LEN(CELL("adresse",OFFSET(DMAV_Modell!$A$6,J232-1,0)))-SEARCH("]",CELL("adresse",OFFSET(DMAV_Modell!$A$6,J232-1,0)))),"Modell"))</f>
        <v>Modell</v>
      </c>
      <c r="H232" s="150" t="str">
        <f t="shared" si="6"/>
        <v>DBB3</v>
      </c>
      <c r="I232" s="150">
        <f t="shared" si="7"/>
        <v>0</v>
      </c>
      <c r="J232" s="150">
        <f>IF(_xlfn.XLOOKUP(H232,Korrelation!$B$4:$B$723,Korrelation!$A$4:$A$723,0,0)=0,0,MATCH(_xlfn.XLOOKUP(H232,Korrelation!$B$4:$B$723,Korrelation!$A$4:$A$723,0,0),DMAV_Modell!$G$6:$G$677,0))</f>
        <v>396</v>
      </c>
      <c r="L232" s="51" t="s">
        <v>19</v>
      </c>
      <c r="M232" s="51" t="s">
        <v>344</v>
      </c>
      <c r="O232" s="52" t="s">
        <v>347</v>
      </c>
      <c r="P232" s="56"/>
      <c r="Q232" s="52" t="s">
        <v>348</v>
      </c>
      <c r="R232" s="52"/>
      <c r="T232" s="51" t="s">
        <v>6128</v>
      </c>
      <c r="U232" s="51" t="s">
        <v>812</v>
      </c>
      <c r="W232" s="52" t="s">
        <v>6622</v>
      </c>
      <c r="Y232" s="210" t="s">
        <v>6623</v>
      </c>
      <c r="AB232" s="51" t="s">
        <v>6275</v>
      </c>
      <c r="AC232" s="51" t="s">
        <v>4358</v>
      </c>
      <c r="AE232" s="52" t="s">
        <v>6624</v>
      </c>
      <c r="AG232" s="210" t="s">
        <v>6625</v>
      </c>
    </row>
    <row r="233" spans="1:34" ht="51" x14ac:dyDescent="0.25">
      <c r="A233" s="51" t="s">
        <v>3671</v>
      </c>
      <c r="B233" s="51">
        <v>4</v>
      </c>
      <c r="C233" s="51" t="s">
        <v>34</v>
      </c>
      <c r="F233" s="189" t="str" cm="1">
        <f t="array" aca="1" ref="F233" ca="1">IF(I233=0,"",HYPERLINK("#"&amp;RIGHT(CELL("dateiname"),LEN(CELL("dateiname"))-FIND("]",CELL("dateiname")))&amp;"!"&amp;CELL("adresse",OFFSET($C$6,I233-1,0)),"Definition"))</f>
        <v/>
      </c>
      <c r="G233" s="189" t="str" cm="1">
        <f t="array" aca="1" ref="G233" ca="1">IF(J233=0,"",HYPERLINK("#"&amp;RIGHT(CELL("adresse",OFFSET(DMAV_Modell!$A$6,J233-1,0)),LEN(CELL("adresse",OFFSET(DMAV_Modell!$A$6,J233-1,0)))-SEARCH("]",CELL("adresse",OFFSET(DMAV_Modell!$A$6,J233-1,0)))),"Modell"))</f>
        <v>Modell</v>
      </c>
      <c r="H233" s="150" t="str">
        <f t="shared" si="6"/>
        <v>DBB4</v>
      </c>
      <c r="I233" s="150">
        <f t="shared" si="7"/>
        <v>0</v>
      </c>
      <c r="J233" s="150">
        <f>IF(_xlfn.XLOOKUP(H233,Korrelation!$B$4:$B$723,Korrelation!$A$4:$A$723,0,0)=0,0,MATCH(_xlfn.XLOOKUP(H233,Korrelation!$B$4:$B$723,Korrelation!$A$4:$A$723,0,0),DMAV_Modell!$G$6:$G$677,0))</f>
        <v>397</v>
      </c>
      <c r="L233" s="51" t="s">
        <v>19</v>
      </c>
      <c r="M233" s="51" t="s">
        <v>344</v>
      </c>
      <c r="O233" s="52" t="s">
        <v>349</v>
      </c>
      <c r="P233" s="56"/>
      <c r="Q233" s="52" t="s">
        <v>350</v>
      </c>
      <c r="R233" s="52"/>
      <c r="T233" s="51" t="s">
        <v>6128</v>
      </c>
      <c r="U233" s="51" t="s">
        <v>812</v>
      </c>
      <c r="W233" s="52" t="s">
        <v>6626</v>
      </c>
      <c r="Y233" s="210" t="s">
        <v>6627</v>
      </c>
      <c r="AB233" s="51" t="s">
        <v>6275</v>
      </c>
      <c r="AC233" s="51" t="s">
        <v>4358</v>
      </c>
      <c r="AE233" s="52" t="s">
        <v>6628</v>
      </c>
      <c r="AG233" s="210" t="s">
        <v>6629</v>
      </c>
    </row>
    <row r="234" spans="1:34" ht="38.25" x14ac:dyDescent="0.25">
      <c r="A234" s="51" t="s">
        <v>3671</v>
      </c>
      <c r="B234" s="51">
        <v>5</v>
      </c>
      <c r="C234" s="51" t="s">
        <v>34</v>
      </c>
      <c r="F234" s="189" t="str" cm="1">
        <f t="array" aca="1" ref="F234" ca="1">IF(I234=0,"",HYPERLINK("#"&amp;RIGHT(CELL("dateiname"),LEN(CELL("dateiname"))-FIND("]",CELL("dateiname")))&amp;"!"&amp;CELL("adresse",OFFSET($C$6,I234-1,0)),"Definition"))</f>
        <v/>
      </c>
      <c r="G234" s="189" t="str" cm="1">
        <f t="array" aca="1" ref="G234" ca="1">IF(J234=0,"",HYPERLINK("#"&amp;RIGHT(CELL("adresse",OFFSET(DMAV_Modell!$A$6,J234-1,0)),LEN(CELL("adresse",OFFSET(DMAV_Modell!$A$6,J234-1,0)))-SEARCH("]",CELL("adresse",OFFSET(DMAV_Modell!$A$6,J234-1,0)))),"Modell"))</f>
        <v>Modell</v>
      </c>
      <c r="H234" s="150" t="str">
        <f t="shared" si="6"/>
        <v>DBB5</v>
      </c>
      <c r="I234" s="150">
        <f t="shared" si="7"/>
        <v>0</v>
      </c>
      <c r="J234" s="150">
        <f>IF(_xlfn.XLOOKUP(H234,Korrelation!$B$4:$B$723,Korrelation!$A$4:$A$723,0,0)=0,0,MATCH(_xlfn.XLOOKUP(H234,Korrelation!$B$4:$B$723,Korrelation!$A$4:$A$723,0,0),DMAV_Modell!$G$6:$G$677,0))</f>
        <v>398</v>
      </c>
      <c r="L234" s="51" t="s">
        <v>19</v>
      </c>
      <c r="M234" s="51" t="s">
        <v>344</v>
      </c>
      <c r="O234" s="52" t="s">
        <v>351</v>
      </c>
      <c r="P234" s="56"/>
      <c r="Q234" s="52" t="s">
        <v>352</v>
      </c>
      <c r="R234" s="52"/>
      <c r="T234" s="51" t="s">
        <v>6128</v>
      </c>
      <c r="U234" s="51" t="s">
        <v>812</v>
      </c>
      <c r="W234" s="52" t="s">
        <v>6630</v>
      </c>
      <c r="Y234" s="210" t="s">
        <v>6631</v>
      </c>
      <c r="AB234" s="51" t="s">
        <v>6275</v>
      </c>
      <c r="AC234" s="51" t="s">
        <v>4358</v>
      </c>
      <c r="AE234" s="52" t="s">
        <v>6632</v>
      </c>
      <c r="AG234" s="210" t="s">
        <v>6633</v>
      </c>
    </row>
    <row r="235" spans="1:34" ht="25.5" x14ac:dyDescent="0.25">
      <c r="A235" s="51" t="s">
        <v>3671</v>
      </c>
      <c r="B235" s="51">
        <v>6</v>
      </c>
      <c r="C235" s="51" t="s">
        <v>34</v>
      </c>
      <c r="F235" s="189" t="str" cm="1">
        <f t="array" aca="1" ref="F235" ca="1">IF(I235=0,"",HYPERLINK("#"&amp;RIGHT(CELL("dateiname"),LEN(CELL("dateiname"))-FIND("]",CELL("dateiname")))&amp;"!"&amp;CELL("adresse",OFFSET($C$6,I235-1,0)),"Definition"))</f>
        <v/>
      </c>
      <c r="G235" s="189" t="str" cm="1">
        <f t="array" aca="1" ref="G235" ca="1">IF(J235=0,"",HYPERLINK("#"&amp;RIGHT(CELL("adresse",OFFSET(DMAV_Modell!$A$6,J235-1,0)),LEN(CELL("adresse",OFFSET(DMAV_Modell!$A$6,J235-1,0)))-SEARCH("]",CELL("adresse",OFFSET(DMAV_Modell!$A$6,J235-1,0)))),"Modell"))</f>
        <v>Modell</v>
      </c>
      <c r="H235" s="150" t="str">
        <f t="shared" si="6"/>
        <v>DBB6</v>
      </c>
      <c r="I235" s="150">
        <f t="shared" si="7"/>
        <v>0</v>
      </c>
      <c r="J235" s="150">
        <f>IF(_xlfn.XLOOKUP(H235,Korrelation!$B$4:$B$723,Korrelation!$A$4:$A$723,0,0)=0,0,MATCH(_xlfn.XLOOKUP(H235,Korrelation!$B$4:$B$723,Korrelation!$A$4:$A$723,0,0),DMAV_Modell!$G$6:$G$677,0))</f>
        <v>399</v>
      </c>
      <c r="L235" s="51" t="s">
        <v>19</v>
      </c>
      <c r="M235" s="51" t="s">
        <v>344</v>
      </c>
      <c r="O235" s="52" t="s">
        <v>353</v>
      </c>
      <c r="P235" s="56"/>
      <c r="Q235" s="52" t="s">
        <v>354</v>
      </c>
      <c r="R235" s="52"/>
      <c r="T235" s="51" t="s">
        <v>6128</v>
      </c>
      <c r="U235" s="51" t="s">
        <v>812</v>
      </c>
      <c r="W235" s="52" t="s">
        <v>6634</v>
      </c>
      <c r="Y235" s="210" t="s">
        <v>6635</v>
      </c>
      <c r="AB235" s="51" t="s">
        <v>6275</v>
      </c>
      <c r="AC235" s="51" t="s">
        <v>4358</v>
      </c>
      <c r="AE235" s="52" t="s">
        <v>6636</v>
      </c>
      <c r="AG235" s="210" t="s">
        <v>6637</v>
      </c>
    </row>
    <row r="236" spans="1:34" ht="63.75" x14ac:dyDescent="0.25">
      <c r="A236" s="51" t="s">
        <v>3671</v>
      </c>
      <c r="B236" s="51">
        <v>7</v>
      </c>
      <c r="C236" s="51" t="s">
        <v>34</v>
      </c>
      <c r="F236" s="189" t="str" cm="1">
        <f t="array" aca="1" ref="F236" ca="1">IF(I236=0,"",HYPERLINK("#"&amp;RIGHT(CELL("dateiname"),LEN(CELL("dateiname"))-FIND("]",CELL("dateiname")))&amp;"!"&amp;CELL("adresse",OFFSET($C$6,I236-1,0)),"Definition"))</f>
        <v/>
      </c>
      <c r="G236" s="189" t="str" cm="1">
        <f t="array" aca="1" ref="G236" ca="1">IF(J236=0,"",HYPERLINK("#"&amp;RIGHT(CELL("adresse",OFFSET(DMAV_Modell!$A$6,J236-1,0)),LEN(CELL("adresse",OFFSET(DMAV_Modell!$A$6,J236-1,0)))-SEARCH("]",CELL("adresse",OFFSET(DMAV_Modell!$A$6,J236-1,0)))),"Modell"))</f>
        <v>Modell</v>
      </c>
      <c r="H236" s="150" t="str">
        <f t="shared" si="6"/>
        <v>DBB7</v>
      </c>
      <c r="I236" s="150">
        <f t="shared" si="7"/>
        <v>0</v>
      </c>
      <c r="J236" s="150">
        <f>IF(_xlfn.XLOOKUP(H236,Korrelation!$B$4:$B$723,Korrelation!$A$4:$A$723,0,0)=0,0,MATCH(_xlfn.XLOOKUP(H236,Korrelation!$B$4:$B$723,Korrelation!$A$4:$A$723,0,0),DMAV_Modell!$G$6:$G$677,0))</f>
        <v>400</v>
      </c>
      <c r="L236" s="51" t="s">
        <v>19</v>
      </c>
      <c r="M236" s="51" t="s">
        <v>344</v>
      </c>
      <c r="O236" s="52" t="s">
        <v>355</v>
      </c>
      <c r="P236" s="56"/>
      <c r="Q236" s="52" t="s">
        <v>356</v>
      </c>
      <c r="R236" s="52"/>
      <c r="T236" s="51" t="s">
        <v>6128</v>
      </c>
      <c r="U236" s="51" t="s">
        <v>812</v>
      </c>
      <c r="W236" s="52" t="s">
        <v>6638</v>
      </c>
      <c r="Y236" s="210" t="s">
        <v>6639</v>
      </c>
      <c r="AB236" s="51" t="s">
        <v>6275</v>
      </c>
      <c r="AC236" s="51" t="s">
        <v>4358</v>
      </c>
      <c r="AE236" s="52" t="s">
        <v>6640</v>
      </c>
      <c r="AG236" s="210" t="s">
        <v>6641</v>
      </c>
    </row>
    <row r="237" spans="1:34" ht="38.25" x14ac:dyDescent="0.25">
      <c r="A237" s="51" t="s">
        <v>3671</v>
      </c>
      <c r="B237" s="51">
        <v>8</v>
      </c>
      <c r="C237" s="51" t="s">
        <v>34</v>
      </c>
      <c r="F237" s="189" t="str" cm="1">
        <f t="array" aca="1" ref="F237" ca="1">IF(I237=0,"",HYPERLINK("#"&amp;RIGHT(CELL("dateiname"),LEN(CELL("dateiname"))-FIND("]",CELL("dateiname")))&amp;"!"&amp;CELL("adresse",OFFSET($C$6,I237-1,0)),"Definition"))</f>
        <v/>
      </c>
      <c r="G237" s="189" t="str" cm="1">
        <f t="array" aca="1" ref="G237" ca="1">IF(J237=0,"",HYPERLINK("#"&amp;RIGHT(CELL("adresse",OFFSET(DMAV_Modell!$A$6,J237-1,0)),LEN(CELL("adresse",OFFSET(DMAV_Modell!$A$6,J237-1,0)))-SEARCH("]",CELL("adresse",OFFSET(DMAV_Modell!$A$6,J237-1,0)))),"Modell"))</f>
        <v>Modell</v>
      </c>
      <c r="H237" s="150" t="str">
        <f t="shared" si="6"/>
        <v>DBB8</v>
      </c>
      <c r="I237" s="150">
        <f t="shared" si="7"/>
        <v>0</v>
      </c>
      <c r="J237" s="150">
        <f>IF(_xlfn.XLOOKUP(H237,Korrelation!$B$4:$B$723,Korrelation!$A$4:$A$723,0,0)=0,0,MATCH(_xlfn.XLOOKUP(H237,Korrelation!$B$4:$B$723,Korrelation!$A$4:$A$723,0,0),DMAV_Modell!$G$6:$G$677,0))</f>
        <v>401</v>
      </c>
      <c r="L237" s="51" t="s">
        <v>19</v>
      </c>
      <c r="M237" s="51" t="s">
        <v>344</v>
      </c>
      <c r="O237" s="52" t="s">
        <v>357</v>
      </c>
      <c r="P237" s="56"/>
      <c r="Q237" s="52" t="s">
        <v>358</v>
      </c>
      <c r="R237" s="52"/>
      <c r="T237" s="51" t="s">
        <v>6128</v>
      </c>
      <c r="U237" s="51" t="s">
        <v>812</v>
      </c>
      <c r="W237" s="52" t="s">
        <v>6642</v>
      </c>
      <c r="Y237" s="210" t="s">
        <v>6643</v>
      </c>
      <c r="AB237" s="51" t="s">
        <v>6275</v>
      </c>
      <c r="AC237" s="51" t="s">
        <v>4358</v>
      </c>
      <c r="AE237" s="52" t="s">
        <v>6644</v>
      </c>
      <c r="AG237" s="210" t="s">
        <v>6645</v>
      </c>
    </row>
    <row r="238" spans="1:34" ht="25.5" x14ac:dyDescent="0.25">
      <c r="A238" s="51" t="s">
        <v>3671</v>
      </c>
      <c r="B238" s="51">
        <v>9</v>
      </c>
      <c r="C238" s="51" t="s">
        <v>34</v>
      </c>
      <c r="F238" s="189" t="str" cm="1">
        <f t="array" aca="1" ref="F238" ca="1">IF(I238=0,"",HYPERLINK("#"&amp;RIGHT(CELL("dateiname"),LEN(CELL("dateiname"))-FIND("]",CELL("dateiname")))&amp;"!"&amp;CELL("adresse",OFFSET($C$6,I238-1,0)),"Definition"))</f>
        <v/>
      </c>
      <c r="G238" s="189" t="str" cm="1">
        <f t="array" aca="1" ref="G238" ca="1">IF(J238=0,"",HYPERLINK("#"&amp;RIGHT(CELL("adresse",OFFSET(DMAV_Modell!$A$6,J238-1,0)),LEN(CELL("adresse",OFFSET(DMAV_Modell!$A$6,J238-1,0)))-SEARCH("]",CELL("adresse",OFFSET(DMAV_Modell!$A$6,J238-1,0)))),"Modell"))</f>
        <v>Modell</v>
      </c>
      <c r="H238" s="150" t="str">
        <f t="shared" si="6"/>
        <v>DBB9</v>
      </c>
      <c r="I238" s="150">
        <f t="shared" si="7"/>
        <v>0</v>
      </c>
      <c r="J238" s="150">
        <f>IF(_xlfn.XLOOKUP(H238,Korrelation!$B$4:$B$723,Korrelation!$A$4:$A$723,0,0)=0,0,MATCH(_xlfn.XLOOKUP(H238,Korrelation!$B$4:$B$723,Korrelation!$A$4:$A$723,0,0),DMAV_Modell!$G$6:$G$677,0))</f>
        <v>402</v>
      </c>
      <c r="L238" s="51" t="s">
        <v>19</v>
      </c>
      <c r="M238" s="51" t="s">
        <v>344</v>
      </c>
      <c r="O238" s="52" t="s">
        <v>359</v>
      </c>
      <c r="P238" s="56"/>
      <c r="Q238" s="52" t="s">
        <v>360</v>
      </c>
      <c r="R238" s="52"/>
      <c r="T238" s="51" t="s">
        <v>6128</v>
      </c>
      <c r="U238" s="51" t="s">
        <v>812</v>
      </c>
      <c r="W238" s="52" t="s">
        <v>6646</v>
      </c>
      <c r="Y238" s="210" t="s">
        <v>6647</v>
      </c>
      <c r="AB238" s="51" t="s">
        <v>6275</v>
      </c>
      <c r="AC238" s="51" t="s">
        <v>4358</v>
      </c>
      <c r="AE238" s="52" t="s">
        <v>6648</v>
      </c>
      <c r="AG238" s="210" t="s">
        <v>6649</v>
      </c>
    </row>
    <row r="239" spans="1:34" x14ac:dyDescent="0.25">
      <c r="A239" s="51" t="s">
        <v>3671</v>
      </c>
      <c r="B239" s="51">
        <v>10</v>
      </c>
      <c r="C239" s="51" t="s">
        <v>34</v>
      </c>
      <c r="F239" s="189" t="str" cm="1">
        <f t="array" aca="1" ref="F239" ca="1">IF(I239=0,"",HYPERLINK("#"&amp;RIGHT(CELL("dateiname"),LEN(CELL("dateiname"))-FIND("]",CELL("dateiname")))&amp;"!"&amp;CELL("adresse",OFFSET($C$6,I239-1,0)),"Definition"))</f>
        <v/>
      </c>
      <c r="G239" s="189" t="str" cm="1">
        <f t="array" aca="1" ref="G239" ca="1">IF(J239=0,"",HYPERLINK("#"&amp;RIGHT(CELL("adresse",OFFSET(DMAV_Modell!$A$6,J239-1,0)),LEN(CELL("adresse",OFFSET(DMAV_Modell!$A$6,J239-1,0)))-SEARCH("]",CELL("adresse",OFFSET(DMAV_Modell!$A$6,J239-1,0)))),"Modell"))</f>
        <v>Modell</v>
      </c>
      <c r="H239" s="150" t="str">
        <f t="shared" si="6"/>
        <v>DBB10</v>
      </c>
      <c r="I239" s="150">
        <f t="shared" si="7"/>
        <v>0</v>
      </c>
      <c r="J239" s="150">
        <f>IF(_xlfn.XLOOKUP(H239,Korrelation!$B$4:$B$723,Korrelation!$A$4:$A$723,0,0)=0,0,MATCH(_xlfn.XLOOKUP(H239,Korrelation!$B$4:$B$723,Korrelation!$A$4:$A$723,0,0),DMAV_Modell!$G$6:$G$677,0))</f>
        <v>403</v>
      </c>
      <c r="L239" s="51" t="s">
        <v>19</v>
      </c>
      <c r="M239" s="51" t="s">
        <v>344</v>
      </c>
      <c r="O239" s="52" t="s">
        <v>361</v>
      </c>
      <c r="P239" s="56"/>
      <c r="Q239" s="52" t="s">
        <v>362</v>
      </c>
      <c r="R239" s="52"/>
      <c r="T239" s="51" t="s">
        <v>6128</v>
      </c>
      <c r="U239" s="51" t="s">
        <v>812</v>
      </c>
      <c r="W239" s="52" t="s">
        <v>6650</v>
      </c>
      <c r="Y239" s="210" t="s">
        <v>6651</v>
      </c>
      <c r="AB239" s="51" t="s">
        <v>6275</v>
      </c>
      <c r="AC239" s="51" t="s">
        <v>4358</v>
      </c>
      <c r="AE239" s="52" t="s">
        <v>6652</v>
      </c>
      <c r="AG239" s="210" t="s">
        <v>6653</v>
      </c>
    </row>
    <row r="240" spans="1:34" x14ac:dyDescent="0.25">
      <c r="A240" s="51" t="s">
        <v>3671</v>
      </c>
      <c r="B240" s="51">
        <v>11</v>
      </c>
      <c r="C240" s="51" t="s">
        <v>34</v>
      </c>
      <c r="F240" s="189" t="str" cm="1">
        <f t="array" aca="1" ref="F240" ca="1">IF(I240=0,"",HYPERLINK("#"&amp;RIGHT(CELL("dateiname"),LEN(CELL("dateiname"))-FIND("]",CELL("dateiname")))&amp;"!"&amp;CELL("adresse",OFFSET($C$6,I240-1,0)),"Definition"))</f>
        <v/>
      </c>
      <c r="G240" s="189" t="str" cm="1">
        <f t="array" aca="1" ref="G240" ca="1">IF(J240=0,"",HYPERLINK("#"&amp;RIGHT(CELL("adresse",OFFSET(DMAV_Modell!$A$6,J240-1,0)),LEN(CELL("adresse",OFFSET(DMAV_Modell!$A$6,J240-1,0)))-SEARCH("]",CELL("adresse",OFFSET(DMAV_Modell!$A$6,J240-1,0)))),"Modell"))</f>
        <v>Modell</v>
      </c>
      <c r="H240" s="150" t="str">
        <f t="shared" si="6"/>
        <v>DBB11</v>
      </c>
      <c r="I240" s="150">
        <f t="shared" si="7"/>
        <v>0</v>
      </c>
      <c r="J240" s="150">
        <f>IF(_xlfn.XLOOKUP(H240,Korrelation!$B$4:$B$723,Korrelation!$A$4:$A$723,0,0)=0,0,MATCH(_xlfn.XLOOKUP(H240,Korrelation!$B$4:$B$723,Korrelation!$A$4:$A$723,0,0),DMAV_Modell!$G$6:$G$677,0))</f>
        <v>404</v>
      </c>
      <c r="L240" s="51" t="s">
        <v>19</v>
      </c>
      <c r="M240" s="51" t="s">
        <v>344</v>
      </c>
      <c r="O240" s="52" t="s">
        <v>363</v>
      </c>
      <c r="P240" s="56"/>
      <c r="Q240" s="52" t="s">
        <v>364</v>
      </c>
      <c r="R240" s="52"/>
      <c r="T240" s="51" t="s">
        <v>6128</v>
      </c>
      <c r="U240" s="51" t="s">
        <v>812</v>
      </c>
      <c r="W240" s="52" t="s">
        <v>6654</v>
      </c>
      <c r="Y240" s="210" t="s">
        <v>6655</v>
      </c>
      <c r="AB240" s="51" t="s">
        <v>6275</v>
      </c>
      <c r="AC240" s="51" t="s">
        <v>4358</v>
      </c>
      <c r="AE240" s="52" t="s">
        <v>6656</v>
      </c>
      <c r="AG240" s="210" t="s">
        <v>6657</v>
      </c>
    </row>
    <row r="241" spans="1:33" ht="38.25" x14ac:dyDescent="0.25">
      <c r="A241" s="51" t="s">
        <v>3671</v>
      </c>
      <c r="B241" s="51">
        <v>12</v>
      </c>
      <c r="C241" s="51" t="s">
        <v>34</v>
      </c>
      <c r="F241" s="189" t="str" cm="1">
        <f t="array" aca="1" ref="F241" ca="1">IF(I241=0,"",HYPERLINK("#"&amp;RIGHT(CELL("dateiname"),LEN(CELL("dateiname"))-FIND("]",CELL("dateiname")))&amp;"!"&amp;CELL("adresse",OFFSET($C$6,I241-1,0)),"Definition"))</f>
        <v/>
      </c>
      <c r="G241" s="189" t="str" cm="1">
        <f t="array" aca="1" ref="G241" ca="1">IF(J241=0,"",HYPERLINK("#"&amp;RIGHT(CELL("adresse",OFFSET(DMAV_Modell!$A$6,J241-1,0)),LEN(CELL("adresse",OFFSET(DMAV_Modell!$A$6,J241-1,0)))-SEARCH("]",CELL("adresse",OFFSET(DMAV_Modell!$A$6,J241-1,0)))),"Modell"))</f>
        <v>Modell</v>
      </c>
      <c r="H241" s="150" t="str">
        <f t="shared" si="6"/>
        <v>DBB12</v>
      </c>
      <c r="I241" s="150">
        <f t="shared" si="7"/>
        <v>0</v>
      </c>
      <c r="J241" s="150">
        <f>IF(_xlfn.XLOOKUP(H241,Korrelation!$B$4:$B$723,Korrelation!$A$4:$A$723,0,0)=0,0,MATCH(_xlfn.XLOOKUP(H241,Korrelation!$B$4:$B$723,Korrelation!$A$4:$A$723,0,0),DMAV_Modell!$G$6:$G$677,0))</f>
        <v>405</v>
      </c>
      <c r="L241" s="51" t="s">
        <v>19</v>
      </c>
      <c r="M241" s="51" t="s">
        <v>344</v>
      </c>
      <c r="O241" s="52" t="s">
        <v>365</v>
      </c>
      <c r="P241" s="56"/>
      <c r="Q241" s="52" t="s">
        <v>366</v>
      </c>
      <c r="R241" s="52"/>
      <c r="T241" s="51" t="s">
        <v>6128</v>
      </c>
      <c r="U241" s="51" t="s">
        <v>812</v>
      </c>
      <c r="W241" s="52" t="s">
        <v>6658</v>
      </c>
      <c r="Y241" s="210" t="s">
        <v>6659</v>
      </c>
      <c r="AB241" s="51" t="s">
        <v>6275</v>
      </c>
      <c r="AC241" s="51" t="s">
        <v>4358</v>
      </c>
      <c r="AE241" s="52" t="s">
        <v>6660</v>
      </c>
      <c r="AG241" s="210" t="s">
        <v>6661</v>
      </c>
    </row>
    <row r="242" spans="1:33" ht="25.5" x14ac:dyDescent="0.25">
      <c r="A242" s="51" t="s">
        <v>3671</v>
      </c>
      <c r="B242" s="51">
        <v>13</v>
      </c>
      <c r="C242" s="51" t="s">
        <v>34</v>
      </c>
      <c r="F242" s="189" t="str" cm="1">
        <f t="array" aca="1" ref="F242" ca="1">IF(I242=0,"",HYPERLINK("#"&amp;RIGHT(CELL("dateiname"),LEN(CELL("dateiname"))-FIND("]",CELL("dateiname")))&amp;"!"&amp;CELL("adresse",OFFSET($C$6,I242-1,0)),"Definition"))</f>
        <v/>
      </c>
      <c r="G242" s="189" t="str" cm="1">
        <f t="array" aca="1" ref="G242" ca="1">IF(J242=0,"",HYPERLINK("#"&amp;RIGHT(CELL("adresse",OFFSET(DMAV_Modell!$A$6,J242-1,0)),LEN(CELL("adresse",OFFSET(DMAV_Modell!$A$6,J242-1,0)))-SEARCH("]",CELL("adresse",OFFSET(DMAV_Modell!$A$6,J242-1,0)))),"Modell"))</f>
        <v>Modell</v>
      </c>
      <c r="H242" s="150" t="str">
        <f t="shared" si="6"/>
        <v>DBB13</v>
      </c>
      <c r="I242" s="150">
        <f t="shared" si="7"/>
        <v>0</v>
      </c>
      <c r="J242" s="150">
        <f>IF(_xlfn.XLOOKUP(H242,Korrelation!$B$4:$B$723,Korrelation!$A$4:$A$723,0,0)=0,0,MATCH(_xlfn.XLOOKUP(H242,Korrelation!$B$4:$B$723,Korrelation!$A$4:$A$723,0,0),DMAV_Modell!$G$6:$G$677,0))</f>
        <v>406</v>
      </c>
      <c r="L242" s="51" t="s">
        <v>19</v>
      </c>
      <c r="M242" s="51" t="s">
        <v>344</v>
      </c>
      <c r="O242" s="52" t="s">
        <v>367</v>
      </c>
      <c r="P242" s="56"/>
      <c r="Q242" s="52" t="s">
        <v>368</v>
      </c>
      <c r="R242" s="52"/>
      <c r="T242" s="51" t="s">
        <v>6128</v>
      </c>
      <c r="U242" s="51" t="s">
        <v>812</v>
      </c>
      <c r="W242" s="52" t="s">
        <v>6662</v>
      </c>
      <c r="Y242" s="210" t="s">
        <v>6663</v>
      </c>
      <c r="AB242" s="51" t="s">
        <v>6275</v>
      </c>
      <c r="AC242" s="51" t="s">
        <v>4358</v>
      </c>
      <c r="AE242" s="52" t="s">
        <v>6664</v>
      </c>
      <c r="AG242" s="210" t="s">
        <v>6665</v>
      </c>
    </row>
    <row r="243" spans="1:33" ht="25.5" x14ac:dyDescent="0.25">
      <c r="A243" s="51" t="s">
        <v>3671</v>
      </c>
      <c r="B243" s="51">
        <v>14</v>
      </c>
      <c r="C243" s="51" t="s">
        <v>34</v>
      </c>
      <c r="F243" s="189" t="str" cm="1">
        <f t="array" aca="1" ref="F243" ca="1">IF(I243=0,"",HYPERLINK("#"&amp;RIGHT(CELL("dateiname"),LEN(CELL("dateiname"))-FIND("]",CELL("dateiname")))&amp;"!"&amp;CELL("adresse",OFFSET($C$6,I243-1,0)),"Definition"))</f>
        <v/>
      </c>
      <c r="G243" s="189" t="str" cm="1">
        <f t="array" aca="1" ref="G243" ca="1">IF(J243=0,"",HYPERLINK("#"&amp;RIGHT(CELL("adresse",OFFSET(DMAV_Modell!$A$6,J243-1,0)),LEN(CELL("adresse",OFFSET(DMAV_Modell!$A$6,J243-1,0)))-SEARCH("]",CELL("adresse",OFFSET(DMAV_Modell!$A$6,J243-1,0)))),"Modell"))</f>
        <v>Modell</v>
      </c>
      <c r="H243" s="150" t="str">
        <f t="shared" si="6"/>
        <v>DBB14</v>
      </c>
      <c r="I243" s="150">
        <f t="shared" si="7"/>
        <v>0</v>
      </c>
      <c r="J243" s="150">
        <f>IF(_xlfn.XLOOKUP(H243,Korrelation!$B$4:$B$723,Korrelation!$A$4:$A$723,0,0)=0,0,MATCH(_xlfn.XLOOKUP(H243,Korrelation!$B$4:$B$723,Korrelation!$A$4:$A$723,0,0),DMAV_Modell!$G$6:$G$677,0))</f>
        <v>407</v>
      </c>
      <c r="L243" s="51" t="s">
        <v>19</v>
      </c>
      <c r="M243" s="51" t="s">
        <v>344</v>
      </c>
      <c r="O243" s="52" t="s">
        <v>369</v>
      </c>
      <c r="P243" s="56"/>
      <c r="Q243" s="52" t="s">
        <v>370</v>
      </c>
      <c r="R243" s="52"/>
      <c r="T243" s="51" t="s">
        <v>6128</v>
      </c>
      <c r="U243" s="51" t="s">
        <v>812</v>
      </c>
      <c r="W243" s="52" t="s">
        <v>6666</v>
      </c>
      <c r="Y243" s="210" t="s">
        <v>6667</v>
      </c>
      <c r="AB243" s="51" t="s">
        <v>6275</v>
      </c>
      <c r="AC243" s="51" t="s">
        <v>4358</v>
      </c>
      <c r="AE243" s="52" t="s">
        <v>6668</v>
      </c>
      <c r="AG243" s="210" t="s">
        <v>6669</v>
      </c>
    </row>
    <row r="244" spans="1:33" x14ac:dyDescent="0.25">
      <c r="A244" s="51" t="s">
        <v>3671</v>
      </c>
      <c r="B244" s="51">
        <v>15</v>
      </c>
      <c r="C244" s="51" t="s">
        <v>34</v>
      </c>
      <c r="F244" s="189" t="str" cm="1">
        <f t="array" aca="1" ref="F244" ca="1">IF(I244=0,"",HYPERLINK("#"&amp;RIGHT(CELL("dateiname"),LEN(CELL("dateiname"))-FIND("]",CELL("dateiname")))&amp;"!"&amp;CELL("adresse",OFFSET($C$6,I244-1,0)),"Definition"))</f>
        <v/>
      </c>
      <c r="G244" s="189" t="str" cm="1">
        <f t="array" aca="1" ref="G244" ca="1">IF(J244=0,"",HYPERLINK("#"&amp;RIGHT(CELL("adresse",OFFSET(DMAV_Modell!$A$6,J244-1,0)),LEN(CELL("adresse",OFFSET(DMAV_Modell!$A$6,J244-1,0)))-SEARCH("]",CELL("adresse",OFFSET(DMAV_Modell!$A$6,J244-1,0)))),"Modell"))</f>
        <v>Modell</v>
      </c>
      <c r="H244" s="150" t="str">
        <f t="shared" si="6"/>
        <v>DBB15</v>
      </c>
      <c r="I244" s="150">
        <f t="shared" si="7"/>
        <v>0</v>
      </c>
      <c r="J244" s="150">
        <f>IF(_xlfn.XLOOKUP(H244,Korrelation!$B$4:$B$723,Korrelation!$A$4:$A$723,0,0)=0,0,MATCH(_xlfn.XLOOKUP(H244,Korrelation!$B$4:$B$723,Korrelation!$A$4:$A$723,0,0),DMAV_Modell!$G$6:$G$677,0))</f>
        <v>408</v>
      </c>
      <c r="L244" s="51" t="s">
        <v>19</v>
      </c>
      <c r="M244" s="51" t="s">
        <v>344</v>
      </c>
      <c r="O244" s="52" t="s">
        <v>371</v>
      </c>
      <c r="P244" s="56"/>
      <c r="Q244" s="52" t="s">
        <v>372</v>
      </c>
      <c r="R244" s="52"/>
      <c r="T244" s="51" t="s">
        <v>6128</v>
      </c>
      <c r="U244" s="51" t="s">
        <v>812</v>
      </c>
      <c r="W244" s="52" t="s">
        <v>6670</v>
      </c>
      <c r="Y244" s="210" t="s">
        <v>6671</v>
      </c>
      <c r="AB244" s="51" t="s">
        <v>6275</v>
      </c>
      <c r="AC244" s="51" t="s">
        <v>4358</v>
      </c>
      <c r="AE244" s="52" t="s">
        <v>6672</v>
      </c>
      <c r="AG244" s="210" t="s">
        <v>6673</v>
      </c>
    </row>
    <row r="245" spans="1:33" x14ac:dyDescent="0.25">
      <c r="A245" s="51" t="s">
        <v>3671</v>
      </c>
      <c r="B245" s="51">
        <v>16</v>
      </c>
      <c r="C245" s="51" t="s">
        <v>34</v>
      </c>
      <c r="F245" s="189" t="str" cm="1">
        <f t="array" aca="1" ref="F245" ca="1">IF(I245=0,"",HYPERLINK("#"&amp;RIGHT(CELL("dateiname"),LEN(CELL("dateiname"))-FIND("]",CELL("dateiname")))&amp;"!"&amp;CELL("adresse",OFFSET($C$6,I245-1,0)),"Definition"))</f>
        <v/>
      </c>
      <c r="G245" s="189" t="str" cm="1">
        <f t="array" aca="1" ref="G245" ca="1">IF(J245=0,"",HYPERLINK("#"&amp;RIGHT(CELL("adresse",OFFSET(DMAV_Modell!$A$6,J245-1,0)),LEN(CELL("adresse",OFFSET(DMAV_Modell!$A$6,J245-1,0)))-SEARCH("]",CELL("adresse",OFFSET(DMAV_Modell!$A$6,J245-1,0)))),"Modell"))</f>
        <v>Modell</v>
      </c>
      <c r="H245" s="150" t="str">
        <f t="shared" si="6"/>
        <v>DBB16</v>
      </c>
      <c r="I245" s="150">
        <f t="shared" si="7"/>
        <v>0</v>
      </c>
      <c r="J245" s="150">
        <f>IF(_xlfn.XLOOKUP(H245,Korrelation!$B$4:$B$723,Korrelation!$A$4:$A$723,0,0)=0,0,MATCH(_xlfn.XLOOKUP(H245,Korrelation!$B$4:$B$723,Korrelation!$A$4:$A$723,0,0),DMAV_Modell!$G$6:$G$677,0))</f>
        <v>409</v>
      </c>
      <c r="L245" s="51" t="s">
        <v>19</v>
      </c>
      <c r="M245" s="51" t="s">
        <v>344</v>
      </c>
      <c r="O245" s="52" t="s">
        <v>373</v>
      </c>
      <c r="P245" s="56"/>
      <c r="Q245" s="52" t="s">
        <v>374</v>
      </c>
      <c r="R245" s="52"/>
      <c r="T245" s="51" t="s">
        <v>6128</v>
      </c>
      <c r="U245" s="51" t="s">
        <v>812</v>
      </c>
      <c r="W245" s="52" t="s">
        <v>6674</v>
      </c>
      <c r="Y245" s="210" t="s">
        <v>6675</v>
      </c>
      <c r="AB245" s="51" t="s">
        <v>6275</v>
      </c>
      <c r="AC245" s="51" t="s">
        <v>4358</v>
      </c>
      <c r="AE245" s="52" t="s">
        <v>6676</v>
      </c>
      <c r="AG245" s="210" t="s">
        <v>6677</v>
      </c>
    </row>
    <row r="246" spans="1:33" ht="25.5" x14ac:dyDescent="0.25">
      <c r="A246" s="51" t="s">
        <v>3671</v>
      </c>
      <c r="B246" s="51">
        <v>17</v>
      </c>
      <c r="C246" s="51" t="s">
        <v>34</v>
      </c>
      <c r="F246" s="189" t="str" cm="1">
        <f t="array" aca="1" ref="F246" ca="1">IF(I246=0,"",HYPERLINK("#"&amp;RIGHT(CELL("dateiname"),LEN(CELL("dateiname"))-FIND("]",CELL("dateiname")))&amp;"!"&amp;CELL("adresse",OFFSET($C$6,I246-1,0)),"Definition"))</f>
        <v/>
      </c>
      <c r="G246" s="189" t="str" cm="1">
        <f t="array" aca="1" ref="G246" ca="1">IF(J246=0,"",HYPERLINK("#"&amp;RIGHT(CELL("adresse",OFFSET(DMAV_Modell!$A$6,J246-1,0)),LEN(CELL("adresse",OFFSET(DMAV_Modell!$A$6,J246-1,0)))-SEARCH("]",CELL("adresse",OFFSET(DMAV_Modell!$A$6,J246-1,0)))),"Modell"))</f>
        <v>Modell</v>
      </c>
      <c r="H246" s="150" t="str">
        <f t="shared" si="6"/>
        <v>DBB17</v>
      </c>
      <c r="I246" s="150">
        <f t="shared" si="7"/>
        <v>0</v>
      </c>
      <c r="J246" s="150">
        <f>IF(_xlfn.XLOOKUP(H246,Korrelation!$B$4:$B$723,Korrelation!$A$4:$A$723,0,0)=0,0,MATCH(_xlfn.XLOOKUP(H246,Korrelation!$B$4:$B$723,Korrelation!$A$4:$A$723,0,0),DMAV_Modell!$G$6:$G$677,0))</f>
        <v>410</v>
      </c>
      <c r="L246" s="51" t="s">
        <v>19</v>
      </c>
      <c r="M246" s="51" t="s">
        <v>344</v>
      </c>
      <c r="O246" s="52" t="s">
        <v>375</v>
      </c>
      <c r="P246" s="56"/>
      <c r="Q246" s="52" t="s">
        <v>376</v>
      </c>
      <c r="R246" s="52"/>
      <c r="T246" s="51" t="s">
        <v>6128</v>
      </c>
      <c r="U246" s="51" t="s">
        <v>812</v>
      </c>
      <c r="W246" s="52" t="s">
        <v>6678</v>
      </c>
      <c r="Y246" s="210" t="s">
        <v>6679</v>
      </c>
      <c r="AB246" s="51" t="s">
        <v>6275</v>
      </c>
      <c r="AC246" s="51" t="s">
        <v>4358</v>
      </c>
      <c r="AE246" s="52" t="s">
        <v>6680</v>
      </c>
      <c r="AG246" s="210" t="s">
        <v>6681</v>
      </c>
    </row>
    <row r="247" spans="1:33" x14ac:dyDescent="0.25">
      <c r="A247" s="51" t="s">
        <v>3671</v>
      </c>
      <c r="B247" s="51">
        <v>18</v>
      </c>
      <c r="C247" s="51" t="s">
        <v>34</v>
      </c>
      <c r="F247" s="189" t="str" cm="1">
        <f t="array" aca="1" ref="F247" ca="1">IF(I247=0,"",HYPERLINK("#"&amp;RIGHT(CELL("dateiname"),LEN(CELL("dateiname"))-FIND("]",CELL("dateiname")))&amp;"!"&amp;CELL("adresse",OFFSET($C$6,I247-1,0)),"Definition"))</f>
        <v/>
      </c>
      <c r="G247" s="189" t="str" cm="1">
        <f t="array" aca="1" ref="G247" ca="1">IF(J247=0,"",HYPERLINK("#"&amp;RIGHT(CELL("adresse",OFFSET(DMAV_Modell!$A$6,J247-1,0)),LEN(CELL("adresse",OFFSET(DMAV_Modell!$A$6,J247-1,0)))-SEARCH("]",CELL("adresse",OFFSET(DMAV_Modell!$A$6,J247-1,0)))),"Modell"))</f>
        <v>Modell</v>
      </c>
      <c r="H247" s="150" t="str">
        <f t="shared" si="6"/>
        <v>DBB18</v>
      </c>
      <c r="I247" s="150">
        <f t="shared" si="7"/>
        <v>0</v>
      </c>
      <c r="J247" s="150">
        <f>IF(_xlfn.XLOOKUP(H247,Korrelation!$B$4:$B$723,Korrelation!$A$4:$A$723,0,0)=0,0,MATCH(_xlfn.XLOOKUP(H247,Korrelation!$B$4:$B$723,Korrelation!$A$4:$A$723,0,0),DMAV_Modell!$G$6:$G$677,0))</f>
        <v>411</v>
      </c>
      <c r="L247" s="51" t="s">
        <v>19</v>
      </c>
      <c r="M247" s="51" t="s">
        <v>344</v>
      </c>
      <c r="O247" s="52" t="s">
        <v>377</v>
      </c>
      <c r="P247" s="56"/>
      <c r="Q247" s="52" t="s">
        <v>3759</v>
      </c>
      <c r="R247" s="52"/>
      <c r="T247" s="51" t="s">
        <v>6128</v>
      </c>
      <c r="U247" s="51" t="s">
        <v>812</v>
      </c>
      <c r="W247" s="52" t="s">
        <v>6682</v>
      </c>
      <c r="Y247" s="210" t="s">
        <v>6683</v>
      </c>
      <c r="AB247" s="51" t="s">
        <v>6275</v>
      </c>
      <c r="AC247" s="51" t="s">
        <v>4358</v>
      </c>
      <c r="AE247" s="52" t="s">
        <v>6684</v>
      </c>
      <c r="AG247" s="210" t="s">
        <v>6685</v>
      </c>
    </row>
    <row r="248" spans="1:33" ht="63.75" x14ac:dyDescent="0.25">
      <c r="A248" s="51" t="s">
        <v>3671</v>
      </c>
      <c r="B248" s="51">
        <v>19</v>
      </c>
      <c r="C248" s="51" t="s">
        <v>34</v>
      </c>
      <c r="F248" s="189" t="str" cm="1">
        <f t="array" aca="1" ref="F248" ca="1">IF(I248=0,"",HYPERLINK("#"&amp;RIGHT(CELL("dateiname"),LEN(CELL("dateiname"))-FIND("]",CELL("dateiname")))&amp;"!"&amp;CELL("adresse",OFFSET($C$6,I248-1,0)),"Definition"))</f>
        <v/>
      </c>
      <c r="G248" s="189" t="str" cm="1">
        <f t="array" aca="1" ref="G248" ca="1">IF(J248=0,"",HYPERLINK("#"&amp;RIGHT(CELL("adresse",OFFSET(DMAV_Modell!$A$6,J248-1,0)),LEN(CELL("adresse",OFFSET(DMAV_Modell!$A$6,J248-1,0)))-SEARCH("]",CELL("adresse",OFFSET(DMAV_Modell!$A$6,J248-1,0)))),"Modell"))</f>
        <v>Modell</v>
      </c>
      <c r="H248" s="150" t="str">
        <f t="shared" si="6"/>
        <v>DBB19</v>
      </c>
      <c r="I248" s="150">
        <f t="shared" si="7"/>
        <v>0</v>
      </c>
      <c r="J248" s="150">
        <f>IF(_xlfn.XLOOKUP(H248,Korrelation!$B$4:$B$723,Korrelation!$A$4:$A$723,0,0)=0,0,MATCH(_xlfn.XLOOKUP(H248,Korrelation!$B$4:$B$723,Korrelation!$A$4:$A$723,0,0),DMAV_Modell!$G$6:$G$677,0))</f>
        <v>412</v>
      </c>
      <c r="L248" s="51" t="s">
        <v>19</v>
      </c>
      <c r="M248" s="51" t="s">
        <v>344</v>
      </c>
      <c r="O248" s="52" t="s">
        <v>378</v>
      </c>
      <c r="P248" s="56"/>
      <c r="Q248" s="52" t="s">
        <v>3760</v>
      </c>
      <c r="R248" s="52"/>
      <c r="T248" s="51" t="s">
        <v>6128</v>
      </c>
      <c r="U248" s="51" t="s">
        <v>812</v>
      </c>
      <c r="W248" s="52" t="s">
        <v>6686</v>
      </c>
      <c r="Y248" s="210" t="s">
        <v>6687</v>
      </c>
      <c r="AB248" s="51" t="s">
        <v>6275</v>
      </c>
      <c r="AC248" s="51" t="s">
        <v>4358</v>
      </c>
      <c r="AE248" s="52" t="s">
        <v>6688</v>
      </c>
      <c r="AG248" s="210" t="s">
        <v>6689</v>
      </c>
    </row>
    <row r="249" spans="1:33" ht="63.75" x14ac:dyDescent="0.25">
      <c r="A249" s="51" t="s">
        <v>3671</v>
      </c>
      <c r="B249" s="51">
        <v>20</v>
      </c>
      <c r="C249" s="51" t="s">
        <v>34</v>
      </c>
      <c r="F249" s="189" t="str" cm="1">
        <f t="array" aca="1" ref="F249" ca="1">IF(I249=0,"",HYPERLINK("#"&amp;RIGHT(CELL("dateiname"),LEN(CELL("dateiname"))-FIND("]",CELL("dateiname")))&amp;"!"&amp;CELL("adresse",OFFSET($C$6,I249-1,0)),"Definition"))</f>
        <v/>
      </c>
      <c r="G249" s="189" t="str" cm="1">
        <f t="array" aca="1" ref="G249" ca="1">IF(J249=0,"",HYPERLINK("#"&amp;RIGHT(CELL("adresse",OFFSET(DMAV_Modell!$A$6,J249-1,0)),LEN(CELL("adresse",OFFSET(DMAV_Modell!$A$6,J249-1,0)))-SEARCH("]",CELL("adresse",OFFSET(DMAV_Modell!$A$6,J249-1,0)))),"Modell"))</f>
        <v>Modell</v>
      </c>
      <c r="H249" s="150" t="str">
        <f t="shared" si="6"/>
        <v>DBB20</v>
      </c>
      <c r="I249" s="150">
        <f t="shared" si="7"/>
        <v>0</v>
      </c>
      <c r="J249" s="150">
        <f>IF(_xlfn.XLOOKUP(H249,Korrelation!$B$4:$B$723,Korrelation!$A$4:$A$723,0,0)=0,0,MATCH(_xlfn.XLOOKUP(H249,Korrelation!$B$4:$B$723,Korrelation!$A$4:$A$723,0,0),DMAV_Modell!$G$6:$G$677,0))</f>
        <v>413</v>
      </c>
      <c r="L249" s="51" t="s">
        <v>19</v>
      </c>
      <c r="M249" s="51" t="s">
        <v>344</v>
      </c>
      <c r="O249" s="52" t="s">
        <v>379</v>
      </c>
      <c r="P249" s="56"/>
      <c r="Q249" s="52" t="s">
        <v>380</v>
      </c>
      <c r="R249" s="52"/>
      <c r="T249" s="51" t="s">
        <v>6128</v>
      </c>
      <c r="U249" s="51" t="s">
        <v>812</v>
      </c>
      <c r="W249" s="52" t="s">
        <v>6690</v>
      </c>
      <c r="Y249" s="210" t="s">
        <v>6691</v>
      </c>
      <c r="AB249" s="51" t="s">
        <v>6275</v>
      </c>
      <c r="AC249" s="51" t="s">
        <v>4358</v>
      </c>
      <c r="AE249" s="52" t="s">
        <v>6692</v>
      </c>
      <c r="AG249" s="210" t="s">
        <v>6693</v>
      </c>
    </row>
    <row r="250" spans="1:33" ht="51" x14ac:dyDescent="0.25">
      <c r="A250" s="51" t="s">
        <v>3671</v>
      </c>
      <c r="B250" s="51">
        <v>21</v>
      </c>
      <c r="C250" s="51" t="s">
        <v>34</v>
      </c>
      <c r="F250" s="189" t="str" cm="1">
        <f t="array" aca="1" ref="F250" ca="1">IF(I250=0,"",HYPERLINK("#"&amp;RIGHT(CELL("dateiname"),LEN(CELL("dateiname"))-FIND("]",CELL("dateiname")))&amp;"!"&amp;CELL("adresse",OFFSET($C$6,I250-1,0)),"Definition"))</f>
        <v/>
      </c>
      <c r="G250" s="189" t="str" cm="1">
        <f t="array" aca="1" ref="G250" ca="1">IF(J250=0,"",HYPERLINK("#"&amp;RIGHT(CELL("adresse",OFFSET(DMAV_Modell!$A$6,J250-1,0)),LEN(CELL("adresse",OFFSET(DMAV_Modell!$A$6,J250-1,0)))-SEARCH("]",CELL("adresse",OFFSET(DMAV_Modell!$A$6,J250-1,0)))),"Modell"))</f>
        <v>Modell</v>
      </c>
      <c r="H250" s="150" t="str">
        <f t="shared" si="6"/>
        <v>DBB21</v>
      </c>
      <c r="I250" s="150">
        <f t="shared" si="7"/>
        <v>0</v>
      </c>
      <c r="J250" s="150">
        <f>IF(_xlfn.XLOOKUP(H250,Korrelation!$B$4:$B$723,Korrelation!$A$4:$A$723,0,0)=0,0,MATCH(_xlfn.XLOOKUP(H250,Korrelation!$B$4:$B$723,Korrelation!$A$4:$A$723,0,0),DMAV_Modell!$G$6:$G$677,0))</f>
        <v>414</v>
      </c>
      <c r="L250" s="51" t="s">
        <v>19</v>
      </c>
      <c r="M250" s="51" t="s">
        <v>344</v>
      </c>
      <c r="O250" s="52" t="s">
        <v>381</v>
      </c>
      <c r="P250" s="56"/>
      <c r="Q250" s="52" t="s">
        <v>382</v>
      </c>
      <c r="R250" s="52"/>
      <c r="T250" s="51" t="s">
        <v>6128</v>
      </c>
      <c r="U250" s="51" t="s">
        <v>812</v>
      </c>
      <c r="W250" s="52" t="s">
        <v>6694</v>
      </c>
      <c r="Y250" s="210" t="s">
        <v>6695</v>
      </c>
      <c r="AB250" s="51" t="s">
        <v>6275</v>
      </c>
      <c r="AC250" s="51" t="s">
        <v>4358</v>
      </c>
      <c r="AE250" s="52" t="s">
        <v>6696</v>
      </c>
      <c r="AG250" s="210" t="s">
        <v>6697</v>
      </c>
    </row>
    <row r="251" spans="1:33" x14ac:dyDescent="0.25">
      <c r="A251" s="51" t="s">
        <v>3671</v>
      </c>
      <c r="B251" s="51">
        <v>22</v>
      </c>
      <c r="C251" s="51" t="s">
        <v>34</v>
      </c>
      <c r="F251" s="189" t="str" cm="1">
        <f t="array" aca="1" ref="F251" ca="1">IF(I251=0,"",HYPERLINK("#"&amp;RIGHT(CELL("dateiname"),LEN(CELL("dateiname"))-FIND("]",CELL("dateiname")))&amp;"!"&amp;CELL("adresse",OFFSET($C$6,I251-1,0)),"Definition"))</f>
        <v/>
      </c>
      <c r="G251" s="189" t="str" cm="1">
        <f t="array" aca="1" ref="G251" ca="1">IF(J251=0,"",HYPERLINK("#"&amp;RIGHT(CELL("adresse",OFFSET(DMAV_Modell!$A$6,J251-1,0)),LEN(CELL("adresse",OFFSET(DMAV_Modell!$A$6,J251-1,0)))-SEARCH("]",CELL("adresse",OFFSET(DMAV_Modell!$A$6,J251-1,0)))),"Modell"))</f>
        <v>Modell</v>
      </c>
      <c r="H251" s="150" t="str">
        <f t="shared" si="6"/>
        <v>DBB22</v>
      </c>
      <c r="I251" s="150">
        <f t="shared" si="7"/>
        <v>0</v>
      </c>
      <c r="J251" s="150">
        <f>IF(_xlfn.XLOOKUP(H251,Korrelation!$B$4:$B$723,Korrelation!$A$4:$A$723,0,0)=0,0,MATCH(_xlfn.XLOOKUP(H251,Korrelation!$B$4:$B$723,Korrelation!$A$4:$A$723,0,0),DMAV_Modell!$G$6:$G$677,0))</f>
        <v>415</v>
      </c>
      <c r="L251" s="51" t="s">
        <v>19</v>
      </c>
      <c r="M251" s="51" t="s">
        <v>344</v>
      </c>
      <c r="O251" s="52" t="s">
        <v>383</v>
      </c>
      <c r="P251" s="56"/>
      <c r="Q251" s="52" t="s">
        <v>384</v>
      </c>
      <c r="R251" s="52"/>
      <c r="T251" s="51" t="s">
        <v>6128</v>
      </c>
      <c r="U251" s="51" t="s">
        <v>812</v>
      </c>
      <c r="W251" s="52" t="s">
        <v>6698</v>
      </c>
      <c r="Y251" s="210" t="s">
        <v>6699</v>
      </c>
      <c r="AB251" s="51" t="s">
        <v>6275</v>
      </c>
      <c r="AC251" s="51" t="s">
        <v>4358</v>
      </c>
      <c r="AE251" s="52" t="s">
        <v>6700</v>
      </c>
      <c r="AG251" s="210" t="s">
        <v>6701</v>
      </c>
    </row>
    <row r="252" spans="1:33" ht="38.25" x14ac:dyDescent="0.25">
      <c r="A252" s="51" t="s">
        <v>3671</v>
      </c>
      <c r="B252" s="51">
        <v>23</v>
      </c>
      <c r="C252" s="51" t="s">
        <v>34</v>
      </c>
      <c r="F252" s="189" t="str" cm="1">
        <f t="array" aca="1" ref="F252" ca="1">IF(I252=0,"",HYPERLINK("#"&amp;RIGHT(CELL("dateiname"),LEN(CELL("dateiname"))-FIND("]",CELL("dateiname")))&amp;"!"&amp;CELL("adresse",OFFSET($C$6,I252-1,0)),"Definition"))</f>
        <v/>
      </c>
      <c r="G252" s="189" t="str" cm="1">
        <f t="array" aca="1" ref="G252" ca="1">IF(J252=0,"",HYPERLINK("#"&amp;RIGHT(CELL("adresse",OFFSET(DMAV_Modell!$A$6,J252-1,0)),LEN(CELL("adresse",OFFSET(DMAV_Modell!$A$6,J252-1,0)))-SEARCH("]",CELL("adresse",OFFSET(DMAV_Modell!$A$6,J252-1,0)))),"Modell"))</f>
        <v>Modell</v>
      </c>
      <c r="H252" s="150" t="str">
        <f t="shared" si="6"/>
        <v>DBB23</v>
      </c>
      <c r="I252" s="150">
        <f t="shared" si="7"/>
        <v>0</v>
      </c>
      <c r="J252" s="150">
        <f>IF(_xlfn.XLOOKUP(H252,Korrelation!$B$4:$B$723,Korrelation!$A$4:$A$723,0,0)=0,0,MATCH(_xlfn.XLOOKUP(H252,Korrelation!$B$4:$B$723,Korrelation!$A$4:$A$723,0,0),DMAV_Modell!$G$6:$G$677,0))</f>
        <v>416</v>
      </c>
      <c r="L252" s="51" t="s">
        <v>19</v>
      </c>
      <c r="M252" s="51" t="s">
        <v>344</v>
      </c>
      <c r="O252" s="52" t="s">
        <v>385</v>
      </c>
      <c r="P252" s="56"/>
      <c r="Q252" s="52" t="s">
        <v>386</v>
      </c>
      <c r="R252" s="52"/>
      <c r="T252" s="51" t="s">
        <v>6128</v>
      </c>
      <c r="U252" s="51" t="s">
        <v>812</v>
      </c>
      <c r="W252" s="52" t="s">
        <v>6702</v>
      </c>
      <c r="Y252" s="210" t="s">
        <v>6703</v>
      </c>
      <c r="AB252" s="51" t="s">
        <v>6275</v>
      </c>
      <c r="AC252" s="51" t="s">
        <v>4358</v>
      </c>
      <c r="AE252" s="52" t="s">
        <v>6704</v>
      </c>
      <c r="AG252" s="210" t="s">
        <v>6705</v>
      </c>
    </row>
    <row r="253" spans="1:33" ht="25.5" x14ac:dyDescent="0.25">
      <c r="A253" s="51" t="s">
        <v>3671</v>
      </c>
      <c r="B253" s="51">
        <v>24</v>
      </c>
      <c r="C253" s="51" t="s">
        <v>34</v>
      </c>
      <c r="F253" s="189" t="str" cm="1">
        <f t="array" aca="1" ref="F253" ca="1">IF(I253=0,"",HYPERLINK("#"&amp;RIGHT(CELL("dateiname"),LEN(CELL("dateiname"))-FIND("]",CELL("dateiname")))&amp;"!"&amp;CELL("adresse",OFFSET($C$6,I253-1,0)),"Definition"))</f>
        <v/>
      </c>
      <c r="G253" s="189" t="str" cm="1">
        <f t="array" aca="1" ref="G253" ca="1">IF(J253=0,"",HYPERLINK("#"&amp;RIGHT(CELL("adresse",OFFSET(DMAV_Modell!$A$6,J253-1,0)),LEN(CELL("adresse",OFFSET(DMAV_Modell!$A$6,J253-1,0)))-SEARCH("]",CELL("adresse",OFFSET(DMAV_Modell!$A$6,J253-1,0)))),"Modell"))</f>
        <v>Modell</v>
      </c>
      <c r="H253" s="150" t="str">
        <f t="shared" si="6"/>
        <v>DBB24</v>
      </c>
      <c r="I253" s="150">
        <f t="shared" si="7"/>
        <v>0</v>
      </c>
      <c r="J253" s="150">
        <f>IF(_xlfn.XLOOKUP(H253,Korrelation!$B$4:$B$723,Korrelation!$A$4:$A$723,0,0)=0,0,MATCH(_xlfn.XLOOKUP(H253,Korrelation!$B$4:$B$723,Korrelation!$A$4:$A$723,0,0),DMAV_Modell!$G$6:$G$677,0))</f>
        <v>417</v>
      </c>
      <c r="L253" s="51" t="s">
        <v>19</v>
      </c>
      <c r="M253" s="51" t="s">
        <v>344</v>
      </c>
      <c r="O253" s="52" t="s">
        <v>387</v>
      </c>
      <c r="P253" s="56"/>
      <c r="Q253" s="52" t="s">
        <v>388</v>
      </c>
      <c r="R253" s="52"/>
      <c r="T253" s="51" t="s">
        <v>6128</v>
      </c>
      <c r="U253" s="51" t="s">
        <v>812</v>
      </c>
      <c r="W253" s="52" t="s">
        <v>6706</v>
      </c>
      <c r="Y253" s="210" t="s">
        <v>6707</v>
      </c>
      <c r="AB253" s="51" t="s">
        <v>6275</v>
      </c>
      <c r="AC253" s="51" t="s">
        <v>4358</v>
      </c>
      <c r="AE253" s="52" t="s">
        <v>6708</v>
      </c>
      <c r="AG253" s="210" t="s">
        <v>6709</v>
      </c>
    </row>
    <row r="254" spans="1:33" ht="25.5" x14ac:dyDescent="0.25">
      <c r="A254" s="51" t="s">
        <v>3671</v>
      </c>
      <c r="B254" s="51">
        <v>25</v>
      </c>
      <c r="C254" s="51" t="s">
        <v>34</v>
      </c>
      <c r="F254" s="189" t="str" cm="1">
        <f t="array" aca="1" ref="F254" ca="1">IF(I254=0,"",HYPERLINK("#"&amp;RIGHT(CELL("dateiname"),LEN(CELL("dateiname"))-FIND("]",CELL("dateiname")))&amp;"!"&amp;CELL("adresse",OFFSET($C$6,I254-1,0)),"Definition"))</f>
        <v/>
      </c>
      <c r="G254" s="189" t="str" cm="1">
        <f t="array" aca="1" ref="G254" ca="1">IF(J254=0,"",HYPERLINK("#"&amp;RIGHT(CELL("adresse",OFFSET(DMAV_Modell!$A$6,J254-1,0)),LEN(CELL("adresse",OFFSET(DMAV_Modell!$A$6,J254-1,0)))-SEARCH("]",CELL("adresse",OFFSET(DMAV_Modell!$A$6,J254-1,0)))),"Modell"))</f>
        <v>Modell</v>
      </c>
      <c r="H254" s="150" t="str">
        <f t="shared" si="6"/>
        <v>DBB25</v>
      </c>
      <c r="I254" s="150">
        <f t="shared" si="7"/>
        <v>0</v>
      </c>
      <c r="J254" s="150">
        <f>IF(_xlfn.XLOOKUP(H254,Korrelation!$B$4:$B$723,Korrelation!$A$4:$A$723,0,0)=0,0,MATCH(_xlfn.XLOOKUP(H254,Korrelation!$B$4:$B$723,Korrelation!$A$4:$A$723,0,0),DMAV_Modell!$G$6:$G$677,0))</f>
        <v>418</v>
      </c>
      <c r="L254" s="51" t="s">
        <v>19</v>
      </c>
      <c r="M254" s="51" t="s">
        <v>344</v>
      </c>
      <c r="O254" s="52" t="s">
        <v>389</v>
      </c>
      <c r="P254" s="56"/>
      <c r="Q254" s="52" t="s">
        <v>390</v>
      </c>
      <c r="R254" s="52"/>
      <c r="T254" s="51" t="s">
        <v>6128</v>
      </c>
      <c r="U254" s="51" t="s">
        <v>812</v>
      </c>
      <c r="W254" s="52" t="s">
        <v>6710</v>
      </c>
      <c r="Y254" s="210" t="s">
        <v>6711</v>
      </c>
      <c r="AB254" s="51" t="s">
        <v>6275</v>
      </c>
      <c r="AC254" s="51" t="s">
        <v>4358</v>
      </c>
      <c r="AE254" s="52" t="s">
        <v>6712</v>
      </c>
      <c r="AG254" s="210" t="s">
        <v>6713</v>
      </c>
    </row>
    <row r="255" spans="1:33" ht="38.25" x14ac:dyDescent="0.25">
      <c r="A255" s="51" t="s">
        <v>3671</v>
      </c>
      <c r="B255" s="51">
        <v>26</v>
      </c>
      <c r="C255" s="51" t="s">
        <v>34</v>
      </c>
      <c r="F255" s="189" t="str" cm="1">
        <f t="array" aca="1" ref="F255" ca="1">IF(I255=0,"",HYPERLINK("#"&amp;RIGHT(CELL("dateiname"),LEN(CELL("dateiname"))-FIND("]",CELL("dateiname")))&amp;"!"&amp;CELL("adresse",OFFSET($C$6,I255-1,0)),"Definition"))</f>
        <v/>
      </c>
      <c r="G255" s="189" t="str" cm="1">
        <f t="array" aca="1" ref="G255" ca="1">IF(J255=0,"",HYPERLINK("#"&amp;RIGHT(CELL("adresse",OFFSET(DMAV_Modell!$A$6,J255-1,0)),LEN(CELL("adresse",OFFSET(DMAV_Modell!$A$6,J255-1,0)))-SEARCH("]",CELL("adresse",OFFSET(DMAV_Modell!$A$6,J255-1,0)))),"Modell"))</f>
        <v>Modell</v>
      </c>
      <c r="H255" s="150" t="str">
        <f t="shared" si="6"/>
        <v>DBB26</v>
      </c>
      <c r="I255" s="150">
        <f t="shared" si="7"/>
        <v>0</v>
      </c>
      <c r="J255" s="150">
        <f>IF(_xlfn.XLOOKUP(H255,Korrelation!$B$4:$B$723,Korrelation!$A$4:$A$723,0,0)=0,0,MATCH(_xlfn.XLOOKUP(H255,Korrelation!$B$4:$B$723,Korrelation!$A$4:$A$723,0,0),DMAV_Modell!$G$6:$G$677,0))</f>
        <v>419</v>
      </c>
      <c r="L255" s="51" t="s">
        <v>19</v>
      </c>
      <c r="M255" s="51" t="s">
        <v>344</v>
      </c>
      <c r="O255" s="52" t="s">
        <v>391</v>
      </c>
      <c r="P255" s="56"/>
      <c r="Q255" s="52" t="s">
        <v>392</v>
      </c>
      <c r="R255" s="52"/>
      <c r="T255" s="51" t="s">
        <v>6128</v>
      </c>
      <c r="U255" s="51" t="s">
        <v>812</v>
      </c>
      <c r="W255" s="52" t="s">
        <v>6714</v>
      </c>
      <c r="Y255" s="210" t="s">
        <v>6715</v>
      </c>
      <c r="AB255" s="51" t="s">
        <v>6275</v>
      </c>
      <c r="AC255" s="51" t="s">
        <v>4358</v>
      </c>
      <c r="AE255" s="52" t="s">
        <v>6716</v>
      </c>
      <c r="AG255" s="210" t="s">
        <v>6717</v>
      </c>
    </row>
    <row r="256" spans="1:33" ht="25.5" x14ac:dyDescent="0.25">
      <c r="A256" s="51" t="s">
        <v>3671</v>
      </c>
      <c r="B256" s="51">
        <v>27</v>
      </c>
      <c r="C256" s="51" t="s">
        <v>34</v>
      </c>
      <c r="F256" s="189" t="str" cm="1">
        <f t="array" aca="1" ref="F256" ca="1">IF(I256=0,"",HYPERLINK("#"&amp;RIGHT(CELL("dateiname"),LEN(CELL("dateiname"))-FIND("]",CELL("dateiname")))&amp;"!"&amp;CELL("adresse",OFFSET($C$6,I256-1,0)),"Definition"))</f>
        <v/>
      </c>
      <c r="G256" s="189" t="str" cm="1">
        <f t="array" aca="1" ref="G256" ca="1">IF(J256=0,"",HYPERLINK("#"&amp;RIGHT(CELL("adresse",OFFSET(DMAV_Modell!$A$6,J256-1,0)),LEN(CELL("adresse",OFFSET(DMAV_Modell!$A$6,J256-1,0)))-SEARCH("]",CELL("adresse",OFFSET(DMAV_Modell!$A$6,J256-1,0)))),"Modell"))</f>
        <v/>
      </c>
      <c r="H256" s="150" t="str">
        <f t="shared" si="6"/>
        <v>DBB27</v>
      </c>
      <c r="I256" s="150">
        <f t="shared" si="7"/>
        <v>0</v>
      </c>
      <c r="J256" s="150">
        <f>IF(_xlfn.XLOOKUP(H256,Korrelation!$B$4:$B$723,Korrelation!$A$4:$A$723,0,0)=0,0,MATCH(_xlfn.XLOOKUP(H256,Korrelation!$B$4:$B$723,Korrelation!$A$4:$A$723,0,0),DMAV_Modell!$G$6:$G$677,0))</f>
        <v>0</v>
      </c>
      <c r="L256" s="51" t="s">
        <v>19</v>
      </c>
      <c r="M256" s="51" t="s">
        <v>393</v>
      </c>
      <c r="O256" s="52" t="s">
        <v>394</v>
      </c>
      <c r="P256" s="56"/>
      <c r="Q256" s="52" t="s">
        <v>395</v>
      </c>
      <c r="R256" s="52"/>
      <c r="T256" s="51" t="s">
        <v>6128</v>
      </c>
      <c r="U256" s="51" t="s">
        <v>814</v>
      </c>
      <c r="W256" s="52" t="s">
        <v>815</v>
      </c>
      <c r="Y256" s="210" t="s">
        <v>6718</v>
      </c>
      <c r="AB256" s="51" t="s">
        <v>6275</v>
      </c>
      <c r="AC256" s="51" t="s">
        <v>3946</v>
      </c>
      <c r="AE256" s="52" t="s">
        <v>6719</v>
      </c>
      <c r="AG256" s="210" t="s">
        <v>6720</v>
      </c>
    </row>
    <row r="257" spans="1:34" ht="25.5" x14ac:dyDescent="0.25">
      <c r="A257" s="51" t="s">
        <v>3671</v>
      </c>
      <c r="B257" s="51">
        <v>28</v>
      </c>
      <c r="C257" s="51" t="s">
        <v>34</v>
      </c>
      <c r="F257" s="189" t="str" cm="1">
        <f t="array" aca="1" ref="F257" ca="1">IF(I257=0,"",HYPERLINK("#"&amp;RIGHT(CELL("dateiname"),LEN(CELL("dateiname"))-FIND("]",CELL("dateiname")))&amp;"!"&amp;CELL("adresse",OFFSET($C$6,I257-1,0)),"Definition"))</f>
        <v/>
      </c>
      <c r="G257" s="189" t="str" cm="1">
        <f t="array" aca="1" ref="G257" ca="1">IF(J257=0,"",HYPERLINK("#"&amp;RIGHT(CELL("adresse",OFFSET(DMAV_Modell!$A$6,J257-1,0)),LEN(CELL("adresse",OFFSET(DMAV_Modell!$A$6,J257-1,0)))-SEARCH("]",CELL("adresse",OFFSET(DMAV_Modell!$A$6,J257-1,0)))),"Modell"))</f>
        <v/>
      </c>
      <c r="H257" s="150" t="str">
        <f t="shared" si="6"/>
        <v>DBB28</v>
      </c>
      <c r="I257" s="150">
        <f t="shared" si="7"/>
        <v>0</v>
      </c>
      <c r="J257" s="150">
        <f>IF(_xlfn.XLOOKUP(H257,Korrelation!$B$4:$B$723,Korrelation!$A$4:$A$723,0,0)=0,0,MATCH(_xlfn.XLOOKUP(H257,Korrelation!$B$4:$B$723,Korrelation!$A$4:$A$723,0,0),DMAV_Modell!$G$6:$G$677,0))</f>
        <v>0</v>
      </c>
      <c r="L257" s="51" t="s">
        <v>19</v>
      </c>
      <c r="M257" s="51" t="s">
        <v>393</v>
      </c>
      <c r="O257" s="52" t="s">
        <v>396</v>
      </c>
      <c r="P257" s="56"/>
      <c r="Q257" s="52" t="s">
        <v>397</v>
      </c>
      <c r="R257" s="52"/>
      <c r="T257" s="51" t="s">
        <v>6128</v>
      </c>
      <c r="U257" s="51" t="s">
        <v>814</v>
      </c>
      <c r="W257" s="52" t="s">
        <v>816</v>
      </c>
      <c r="Y257" s="210" t="s">
        <v>6721</v>
      </c>
      <c r="AB257" s="51" t="s">
        <v>6275</v>
      </c>
      <c r="AC257" s="51" t="s">
        <v>3946</v>
      </c>
      <c r="AE257" s="52" t="s">
        <v>2670</v>
      </c>
      <c r="AG257" s="210" t="s">
        <v>6722</v>
      </c>
    </row>
    <row r="258" spans="1:34" ht="25.5" x14ac:dyDescent="0.25">
      <c r="A258" s="51" t="s">
        <v>3671</v>
      </c>
      <c r="B258" s="51">
        <v>29</v>
      </c>
      <c r="C258" s="51" t="s">
        <v>34</v>
      </c>
      <c r="F258" s="189" t="str" cm="1">
        <f t="array" aca="1" ref="F258" ca="1">IF(I258=0,"",HYPERLINK("#"&amp;RIGHT(CELL("dateiname"),LEN(CELL("dateiname"))-FIND("]",CELL("dateiname")))&amp;"!"&amp;CELL("adresse",OFFSET($C$6,I258-1,0)),"Definition"))</f>
        <v/>
      </c>
      <c r="G258" s="189" t="str" cm="1">
        <f t="array" aca="1" ref="G258" ca="1">IF(J258=0,"",HYPERLINK("#"&amp;RIGHT(CELL("adresse",OFFSET(DMAV_Modell!$A$6,J258-1,0)),LEN(CELL("adresse",OFFSET(DMAV_Modell!$A$6,J258-1,0)))-SEARCH("]",CELL("adresse",OFFSET(DMAV_Modell!$A$6,J258-1,0)))),"Modell"))</f>
        <v/>
      </c>
      <c r="H258" s="150" t="str">
        <f t="shared" si="6"/>
        <v>DBB29</v>
      </c>
      <c r="I258" s="150">
        <f t="shared" si="7"/>
        <v>0</v>
      </c>
      <c r="J258" s="150">
        <f>IF(_xlfn.XLOOKUP(H258,Korrelation!$B$4:$B$723,Korrelation!$A$4:$A$723,0,0)=0,0,MATCH(_xlfn.XLOOKUP(H258,Korrelation!$B$4:$B$723,Korrelation!$A$4:$A$723,0,0),DMAV_Modell!$G$6:$G$677,0))</f>
        <v>0</v>
      </c>
      <c r="L258" s="51" t="s">
        <v>19</v>
      </c>
      <c r="M258" s="51" t="s">
        <v>393</v>
      </c>
      <c r="O258" s="52" t="s">
        <v>398</v>
      </c>
      <c r="P258" s="56"/>
      <c r="Q258" s="52" t="s">
        <v>399</v>
      </c>
      <c r="R258" s="52"/>
      <c r="T258" s="51" t="s">
        <v>6128</v>
      </c>
      <c r="U258" s="51" t="s">
        <v>814</v>
      </c>
      <c r="W258" s="52" t="s">
        <v>817</v>
      </c>
      <c r="Y258" s="210" t="s">
        <v>6723</v>
      </c>
      <c r="AB258" s="51" t="s">
        <v>6275</v>
      </c>
      <c r="AC258" s="51" t="s">
        <v>3946</v>
      </c>
      <c r="AE258" s="52" t="s">
        <v>2666</v>
      </c>
      <c r="AG258" s="210" t="s">
        <v>6724</v>
      </c>
    </row>
    <row r="259" spans="1:34" x14ac:dyDescent="0.25">
      <c r="A259" s="51" t="s">
        <v>3671</v>
      </c>
      <c r="B259" s="51">
        <v>30</v>
      </c>
      <c r="C259" s="51" t="s">
        <v>66</v>
      </c>
      <c r="D259" s="50">
        <v>1</v>
      </c>
      <c r="F259" s="189" t="str" cm="1">
        <f t="array" aca="1" ref="F259" ca="1">IF(I259=0,"",HYPERLINK("#"&amp;RIGHT(CELL("dateiname"),LEN(CELL("dateiname"))-FIND("]",CELL("dateiname")))&amp;"!"&amp;CELL("adresse",OFFSET($C$6,I259-1,0)),"Definition"))</f>
        <v/>
      </c>
      <c r="G259" s="189" t="str" cm="1">
        <f t="array" aca="1" ref="G259" ca="1">IF(J259=0,"",HYPERLINK("#"&amp;RIGHT(CELL("adresse",OFFSET(DMAV_Modell!$A$6,J259-1,0)),LEN(CELL("adresse",OFFSET(DMAV_Modell!$A$6,J259-1,0)))-SEARCH("]",CELL("adresse",OFFSET(DMAV_Modell!$A$6,J259-1,0)))),"Modell"))</f>
        <v>Modell</v>
      </c>
      <c r="H259" s="150" t="str">
        <f t="shared" si="6"/>
        <v>DBB30</v>
      </c>
      <c r="I259" s="150">
        <f t="shared" si="7"/>
        <v>0</v>
      </c>
      <c r="J259" s="150">
        <f>IF(_xlfn.XLOOKUP(H259,Korrelation!$B$4:$B$723,Korrelation!$A$4:$A$723,0,0)=0,0,MATCH(_xlfn.XLOOKUP(H259,Korrelation!$B$4:$B$723,Korrelation!$A$4:$A$723,0,0),DMAV_Modell!$G$6:$G$677,0))</f>
        <v>425</v>
      </c>
      <c r="L259" s="51" t="s">
        <v>19</v>
      </c>
      <c r="M259" s="51" t="s">
        <v>400</v>
      </c>
      <c r="N259" s="51" t="s">
        <v>121</v>
      </c>
      <c r="O259" s="52" t="s">
        <v>97</v>
      </c>
      <c r="P259" s="56"/>
      <c r="Q259" s="52" t="s">
        <v>401</v>
      </c>
      <c r="R259" s="52"/>
      <c r="T259" s="51" t="s">
        <v>6128</v>
      </c>
      <c r="U259" s="51" t="s">
        <v>818</v>
      </c>
      <c r="V259" s="51" t="s">
        <v>742</v>
      </c>
      <c r="W259" s="52" t="s">
        <v>97</v>
      </c>
      <c r="Y259" s="210" t="s">
        <v>6725</v>
      </c>
      <c r="AB259" s="51" t="s">
        <v>6275</v>
      </c>
      <c r="AC259" s="51" t="s">
        <v>4360</v>
      </c>
      <c r="AD259" s="51" t="s">
        <v>742</v>
      </c>
      <c r="AE259" s="52" t="s">
        <v>97</v>
      </c>
      <c r="AG259" s="210" t="s">
        <v>6726</v>
      </c>
    </row>
    <row r="260" spans="1:34" ht="38.25" x14ac:dyDescent="0.25">
      <c r="A260" s="51" t="s">
        <v>3671</v>
      </c>
      <c r="B260" s="51">
        <v>31</v>
      </c>
      <c r="C260" s="51" t="s">
        <v>66</v>
      </c>
      <c r="D260" s="50" t="s">
        <v>72</v>
      </c>
      <c r="E260" s="50" t="s">
        <v>3683</v>
      </c>
      <c r="F260" s="189" t="str" cm="1">
        <f t="array" aca="1" ref="F260" ca="1">IF(I260=0,"",HYPERLINK("#"&amp;RIGHT(CELL("dateiname"),LEN(CELL("dateiname"))-FIND("]",CELL("dateiname")))&amp;"!"&amp;CELL("adresse",OFFSET($C$6,I260-1,0)),"Definition"))</f>
        <v>Definition</v>
      </c>
      <c r="G260" s="189" t="str" cm="1">
        <f t="array" aca="1" ref="G260" ca="1">IF(J260=0,"",HYPERLINK("#"&amp;RIGHT(CELL("adresse",OFFSET(DMAV_Modell!$A$6,J260-1,0)),LEN(CELL("adresse",OFFSET(DMAV_Modell!$A$6,J260-1,0)))-SEARCH("]",CELL("adresse",OFFSET(DMAV_Modell!$A$6,J260-1,0)))),"Modell"))</f>
        <v>Modell</v>
      </c>
      <c r="H260" s="150" t="str">
        <f t="shared" si="6"/>
        <v>DBB31</v>
      </c>
      <c r="I260" s="150">
        <f t="shared" si="7"/>
        <v>32</v>
      </c>
      <c r="J260" s="150">
        <f>IF(_xlfn.XLOOKUP(H260,Korrelation!$B$4:$B$723,Korrelation!$A$4:$A$723,0,0)=0,0,MATCH(_xlfn.XLOOKUP(H260,Korrelation!$B$4:$B$723,Korrelation!$A$4:$A$723,0,0),DMAV_Modell!$G$6:$G$677,0))</f>
        <v>426</v>
      </c>
      <c r="L260" s="51" t="s">
        <v>19</v>
      </c>
      <c r="M260" s="51" t="s">
        <v>400</v>
      </c>
      <c r="N260" s="51" t="s">
        <v>77</v>
      </c>
      <c r="O260" s="52" t="s">
        <v>250</v>
      </c>
      <c r="P260" s="56"/>
      <c r="Q260" s="52" t="s">
        <v>402</v>
      </c>
      <c r="R260" s="52"/>
      <c r="T260" s="51" t="s">
        <v>6128</v>
      </c>
      <c r="U260" s="51" t="s">
        <v>818</v>
      </c>
      <c r="V260" s="51" t="s">
        <v>729</v>
      </c>
      <c r="W260" s="52" t="s">
        <v>6428</v>
      </c>
      <c r="Y260" s="210" t="s">
        <v>6727</v>
      </c>
      <c r="AB260" s="51" t="s">
        <v>6275</v>
      </c>
      <c r="AC260" s="51" t="s">
        <v>4360</v>
      </c>
      <c r="AD260" s="51" t="s">
        <v>3933</v>
      </c>
      <c r="AE260" s="52" t="s">
        <v>6363</v>
      </c>
      <c r="AG260" s="210" t="s">
        <v>6728</v>
      </c>
    </row>
    <row r="261" spans="1:34" x14ac:dyDescent="0.25">
      <c r="A261" s="51" t="s">
        <v>3671</v>
      </c>
      <c r="B261" s="51">
        <v>32</v>
      </c>
      <c r="C261" s="51" t="s">
        <v>66</v>
      </c>
      <c r="D261" s="50">
        <v>1</v>
      </c>
      <c r="F261" s="189" t="str" cm="1">
        <f t="array" aca="1" ref="F261" ca="1">IF(I261=0,"",HYPERLINK("#"&amp;RIGHT(CELL("dateiname"),LEN(CELL("dateiname"))-FIND("]",CELL("dateiname")))&amp;"!"&amp;CELL("adresse",OFFSET($C$6,I261-1,0)),"Definition"))</f>
        <v/>
      </c>
      <c r="G261" s="189" t="str" cm="1">
        <f t="array" aca="1" ref="G261" ca="1">IF(J261=0,"",HYPERLINK("#"&amp;RIGHT(CELL("adresse",OFFSET(DMAV_Modell!$A$6,J261-1,0)),LEN(CELL("adresse",OFFSET(DMAV_Modell!$A$6,J261-1,0)))-SEARCH("]",CELL("adresse",OFFSET(DMAV_Modell!$A$6,J261-1,0)))),"Modell"))</f>
        <v>Modell</v>
      </c>
      <c r="H261" s="150" t="str">
        <f t="shared" si="6"/>
        <v>DBB32</v>
      </c>
      <c r="I261" s="150">
        <f t="shared" si="7"/>
        <v>0</v>
      </c>
      <c r="J261" s="150">
        <f>IF(_xlfn.XLOOKUP(H261,Korrelation!$B$4:$B$723,Korrelation!$A$4:$A$723,0,0)=0,0,MATCH(_xlfn.XLOOKUP(H261,Korrelation!$B$4:$B$723,Korrelation!$A$4:$A$723,0,0),DMAV_Modell!$G$6:$G$677,0))</f>
        <v>427</v>
      </c>
      <c r="L261" s="51" t="s">
        <v>19</v>
      </c>
      <c r="M261" s="51" t="s">
        <v>403</v>
      </c>
      <c r="N261" s="51" t="s">
        <v>5</v>
      </c>
      <c r="O261" s="52" t="s">
        <v>102</v>
      </c>
      <c r="P261" s="56"/>
      <c r="Q261" s="52" t="s">
        <v>404</v>
      </c>
      <c r="R261" s="52"/>
      <c r="T261" s="51" t="s">
        <v>6128</v>
      </c>
      <c r="U261" s="51" t="s">
        <v>819</v>
      </c>
      <c r="V261" s="51" t="s">
        <v>702</v>
      </c>
      <c r="W261" s="52" t="s">
        <v>102</v>
      </c>
      <c r="Y261" s="210" t="s">
        <v>6729</v>
      </c>
      <c r="AB261" s="51" t="s">
        <v>6275</v>
      </c>
      <c r="AC261" s="51" t="s">
        <v>4361</v>
      </c>
      <c r="AD261" s="51" t="s">
        <v>1700</v>
      </c>
      <c r="AE261" s="52" t="s">
        <v>102</v>
      </c>
      <c r="AG261" s="210" t="s">
        <v>6730</v>
      </c>
    </row>
    <row r="262" spans="1:34" ht="38.25" x14ac:dyDescent="0.25">
      <c r="A262" s="51" t="s">
        <v>3671</v>
      </c>
      <c r="B262" s="51">
        <v>33</v>
      </c>
      <c r="C262" s="51" t="s">
        <v>66</v>
      </c>
      <c r="D262" s="50" t="s">
        <v>72</v>
      </c>
      <c r="E262" s="50" t="s">
        <v>3683</v>
      </c>
      <c r="F262" s="189" t="str" cm="1">
        <f t="array" aca="1" ref="F262" ca="1">IF(I262=0,"",HYPERLINK("#"&amp;RIGHT(CELL("dateiname"),LEN(CELL("dateiname"))-FIND("]",CELL("dateiname")))&amp;"!"&amp;CELL("adresse",OFFSET($C$6,I262-1,0)),"Definition"))</f>
        <v>Definition</v>
      </c>
      <c r="G262" s="189" t="str" cm="1">
        <f t="array" aca="1" ref="G262" ca="1">IF(J262=0,"",HYPERLINK("#"&amp;RIGHT(CELL("adresse",OFFSET(DMAV_Modell!$A$6,J262-1,0)),LEN(CELL("adresse",OFFSET(DMAV_Modell!$A$6,J262-1,0)))-SEARCH("]",CELL("adresse",OFFSET(DMAV_Modell!$A$6,J262-1,0)))),"Modell"))</f>
        <v>Modell</v>
      </c>
      <c r="H262" s="150" t="str">
        <f t="shared" si="6"/>
        <v>DBB33</v>
      </c>
      <c r="I262" s="150">
        <f t="shared" si="7"/>
        <v>32</v>
      </c>
      <c r="J262" s="150">
        <f>IF(_xlfn.XLOOKUP(H262,Korrelation!$B$4:$B$723,Korrelation!$A$4:$A$723,0,0)=0,0,MATCH(_xlfn.XLOOKUP(H262,Korrelation!$B$4:$B$723,Korrelation!$A$4:$A$723,0,0),DMAV_Modell!$G$6:$G$677,0))</f>
        <v>428</v>
      </c>
      <c r="L262" s="51" t="s">
        <v>19</v>
      </c>
      <c r="M262" s="51" t="s">
        <v>403</v>
      </c>
      <c r="N262" s="51" t="s">
        <v>77</v>
      </c>
      <c r="O262" s="52" t="s">
        <v>250</v>
      </c>
      <c r="P262" s="56"/>
      <c r="Q262" s="52" t="s">
        <v>405</v>
      </c>
      <c r="R262" s="52"/>
      <c r="T262" s="51" t="s">
        <v>6128</v>
      </c>
      <c r="U262" s="51" t="s">
        <v>819</v>
      </c>
      <c r="V262" s="51" t="s">
        <v>729</v>
      </c>
      <c r="W262" s="52" t="s">
        <v>6428</v>
      </c>
      <c r="Y262" s="210" t="s">
        <v>6731</v>
      </c>
      <c r="AB262" s="51" t="s">
        <v>6275</v>
      </c>
      <c r="AC262" s="51" t="s">
        <v>4361</v>
      </c>
      <c r="AD262" s="51" t="s">
        <v>3933</v>
      </c>
      <c r="AE262" s="52" t="s">
        <v>6363</v>
      </c>
      <c r="AG262" s="210" t="s">
        <v>6732</v>
      </c>
    </row>
    <row r="263" spans="1:34" x14ac:dyDescent="0.25">
      <c r="A263" s="51" t="s">
        <v>3671</v>
      </c>
      <c r="B263" s="51">
        <v>34</v>
      </c>
      <c r="C263" s="51" t="s">
        <v>95</v>
      </c>
      <c r="D263" s="50">
        <v>1</v>
      </c>
      <c r="F263" s="189" t="str" cm="1">
        <f t="array" aca="1" ref="F263" ca="1">IF(I263=0,"",HYPERLINK("#"&amp;RIGHT(CELL("dateiname"),LEN(CELL("dateiname"))-FIND("]",CELL("dateiname")))&amp;"!"&amp;CELL("adresse",OFFSET($C$6,I263-1,0)),"Definition"))</f>
        <v/>
      </c>
      <c r="G263" s="189" t="str" cm="1">
        <f t="array" aca="1" ref="G263" ca="1">IF(J263=0,"",HYPERLINK("#"&amp;RIGHT(CELL("adresse",OFFSET(DMAV_Modell!$A$6,J263-1,0)),LEN(CELL("adresse",OFFSET(DMAV_Modell!$A$6,J263-1,0)))-SEARCH("]",CELL("adresse",OFFSET(DMAV_Modell!$A$6,J263-1,0)))),"Modell"))</f>
        <v>Modell</v>
      </c>
      <c r="H263" s="150" t="str">
        <f t="shared" ref="H263:H326" si="8">A263&amp;B263</f>
        <v>DBB34</v>
      </c>
      <c r="I263" s="150">
        <f t="shared" ref="I263:I326" si="9">IF(E263="",0,MATCH(E263,$H$6:$H$483,0))</f>
        <v>0</v>
      </c>
      <c r="J263" s="150">
        <f>IF(_xlfn.XLOOKUP(H263,Korrelation!$B$4:$B$723,Korrelation!$A$4:$A$723,0,0)=0,0,MATCH(_xlfn.XLOOKUP(H263,Korrelation!$B$4:$B$723,Korrelation!$A$4:$A$723,0,0),DMAV_Modell!$G$6:$G$677,0))</f>
        <v>420</v>
      </c>
      <c r="L263" s="51" t="s">
        <v>19</v>
      </c>
      <c r="M263" s="51" t="s">
        <v>406</v>
      </c>
      <c r="N263" s="51" t="s">
        <v>96</v>
      </c>
      <c r="O263" s="52" t="s">
        <v>97</v>
      </c>
      <c r="P263" s="56"/>
      <c r="Q263" s="52" t="s">
        <v>98</v>
      </c>
      <c r="R263" s="52"/>
      <c r="T263" s="51" t="s">
        <v>6128</v>
      </c>
      <c r="U263" s="51" t="s">
        <v>820</v>
      </c>
      <c r="V263" s="51" t="s">
        <v>733</v>
      </c>
      <c r="W263" s="52" t="s">
        <v>97</v>
      </c>
      <c r="Y263" s="210" t="s">
        <v>6175</v>
      </c>
      <c r="AB263" s="51" t="s">
        <v>6275</v>
      </c>
      <c r="AC263" s="51" t="s">
        <v>4359</v>
      </c>
      <c r="AD263" s="51" t="s">
        <v>1378</v>
      </c>
      <c r="AE263" s="52" t="s">
        <v>97</v>
      </c>
      <c r="AG263" s="210" t="s">
        <v>6316</v>
      </c>
    </row>
    <row r="264" spans="1:34" ht="25.5" x14ac:dyDescent="0.25">
      <c r="A264" s="51" t="s">
        <v>3671</v>
      </c>
      <c r="B264" s="51">
        <v>35</v>
      </c>
      <c r="C264" s="51" t="s">
        <v>95</v>
      </c>
      <c r="D264" s="50">
        <v>1</v>
      </c>
      <c r="F264" s="189" t="str" cm="1">
        <f t="array" aca="1" ref="F264" ca="1">IF(I264=0,"",HYPERLINK("#"&amp;RIGHT(CELL("dateiname"),LEN(CELL("dateiname"))-FIND("]",CELL("dateiname")))&amp;"!"&amp;CELL("adresse",OFFSET($C$6,I264-1,0)),"Definition"))</f>
        <v/>
      </c>
      <c r="G264" s="189" t="str" cm="1">
        <f t="array" aca="1" ref="G264" ca="1">IF(J264=0,"",HYPERLINK("#"&amp;RIGHT(CELL("adresse",OFFSET(DMAV_Modell!$A$6,J264-1,0)),LEN(CELL("adresse",OFFSET(DMAV_Modell!$A$6,J264-1,0)))-SEARCH("]",CELL("adresse",OFFSET(DMAV_Modell!$A$6,J264-1,0)))),"Modell"))</f>
        <v>Modell</v>
      </c>
      <c r="H264" s="150" t="str">
        <f t="shared" si="8"/>
        <v>DBB35</v>
      </c>
      <c r="I264" s="150">
        <f t="shared" si="9"/>
        <v>0</v>
      </c>
      <c r="J264" s="150">
        <f>IF(_xlfn.XLOOKUP(H264,Korrelation!$B$4:$B$723,Korrelation!$A$4:$A$723,0,0)=0,0,MATCH(_xlfn.XLOOKUP(H264,Korrelation!$B$4:$B$723,Korrelation!$A$4:$A$723,0,0),DMAV_Modell!$G$6:$G$677,0))</f>
        <v>421</v>
      </c>
      <c r="L264" s="51" t="s">
        <v>19</v>
      </c>
      <c r="M264" s="51" t="s">
        <v>406</v>
      </c>
      <c r="N264" s="51" t="s">
        <v>99</v>
      </c>
      <c r="O264" s="52" t="s">
        <v>97</v>
      </c>
      <c r="P264" s="56"/>
      <c r="Q264" s="52" t="s">
        <v>100</v>
      </c>
      <c r="R264" s="52"/>
      <c r="T264" s="51" t="s">
        <v>6128</v>
      </c>
      <c r="U264" s="51" t="s">
        <v>820</v>
      </c>
      <c r="V264" s="51" t="s">
        <v>734</v>
      </c>
      <c r="W264" s="52" t="s">
        <v>97</v>
      </c>
      <c r="Y264" s="210" t="s">
        <v>6176</v>
      </c>
      <c r="AB264" s="51" t="s">
        <v>6275</v>
      </c>
      <c r="AC264" s="51" t="s">
        <v>4359</v>
      </c>
      <c r="AD264" s="51" t="s">
        <v>1376</v>
      </c>
      <c r="AE264" s="52" t="s">
        <v>97</v>
      </c>
      <c r="AG264" s="210" t="s">
        <v>6317</v>
      </c>
    </row>
    <row r="265" spans="1:34" x14ac:dyDescent="0.25">
      <c r="A265" s="51" t="s">
        <v>3671</v>
      </c>
      <c r="B265" s="51">
        <v>36</v>
      </c>
      <c r="C265" s="51" t="s">
        <v>95</v>
      </c>
      <c r="D265" s="50">
        <v>1</v>
      </c>
      <c r="F265" s="189" t="str" cm="1">
        <f t="array" aca="1" ref="F265" ca="1">IF(I265=0,"",HYPERLINK("#"&amp;RIGHT(CELL("dateiname"),LEN(CELL("dateiname"))-FIND("]",CELL("dateiname")))&amp;"!"&amp;CELL("adresse",OFFSET($C$6,I265-1,0)),"Definition"))</f>
        <v/>
      </c>
      <c r="G265" s="189" t="str" cm="1">
        <f t="array" aca="1" ref="G265" ca="1">IF(J265=0,"",HYPERLINK("#"&amp;RIGHT(CELL("adresse",OFFSET(DMAV_Modell!$A$6,J265-1,0)),LEN(CELL("adresse",OFFSET(DMAV_Modell!$A$6,J265-1,0)))-SEARCH("]",CELL("adresse",OFFSET(DMAV_Modell!$A$6,J265-1,0)))),"Modell"))</f>
        <v>Modell</v>
      </c>
      <c r="H265" s="150" t="str">
        <f t="shared" si="8"/>
        <v>DBB36</v>
      </c>
      <c r="I265" s="150">
        <f t="shared" si="9"/>
        <v>0</v>
      </c>
      <c r="J265" s="150">
        <f>IF(_xlfn.XLOOKUP(H265,Korrelation!$B$4:$B$723,Korrelation!$A$4:$A$723,0,0)=0,0,MATCH(_xlfn.XLOOKUP(H265,Korrelation!$B$4:$B$723,Korrelation!$A$4:$A$723,0,0),DMAV_Modell!$G$6:$G$677,0))</f>
        <v>422</v>
      </c>
      <c r="L265" s="51" t="s">
        <v>19</v>
      </c>
      <c r="M265" s="51" t="s">
        <v>406</v>
      </c>
      <c r="N265" s="51" t="s">
        <v>101</v>
      </c>
      <c r="O265" s="52" t="s">
        <v>102</v>
      </c>
      <c r="P265" s="56"/>
      <c r="Q265" s="52" t="s">
        <v>103</v>
      </c>
      <c r="R265" s="52"/>
      <c r="T265" s="51" t="s">
        <v>6128</v>
      </c>
      <c r="U265" s="51" t="s">
        <v>820</v>
      </c>
      <c r="V265" s="51" t="s">
        <v>735</v>
      </c>
      <c r="W265" s="52" t="s">
        <v>102</v>
      </c>
      <c r="Y265" s="210" t="s">
        <v>6177</v>
      </c>
      <c r="AB265" s="51" t="s">
        <v>6275</v>
      </c>
      <c r="AC265" s="51" t="s">
        <v>4359</v>
      </c>
      <c r="AD265" s="51" t="s">
        <v>1294</v>
      </c>
      <c r="AE265" s="52" t="s">
        <v>102</v>
      </c>
      <c r="AG265" s="210" t="s">
        <v>6318</v>
      </c>
    </row>
    <row r="266" spans="1:34" ht="76.5" x14ac:dyDescent="0.25">
      <c r="A266" s="51" t="s">
        <v>3671</v>
      </c>
      <c r="B266" s="51">
        <v>37</v>
      </c>
      <c r="C266" s="51" t="s">
        <v>95</v>
      </c>
      <c r="D266" s="50" t="s">
        <v>72</v>
      </c>
      <c r="F266" s="189" t="str" cm="1">
        <f t="array" aca="1" ref="F266" ca="1">IF(I266=0,"",HYPERLINK("#"&amp;RIGHT(CELL("dateiname"),LEN(CELL("dateiname"))-FIND("]",CELL("dateiname")))&amp;"!"&amp;CELL("adresse",OFFSET($C$6,I266-1,0)),"Definition"))</f>
        <v/>
      </c>
      <c r="G266" s="189" t="str" cm="1">
        <f t="array" aca="1" ref="G266" ca="1">IF(J266=0,"",HYPERLINK("#"&amp;RIGHT(CELL("adresse",OFFSET(DMAV_Modell!$A$6,J266-1,0)),LEN(CELL("adresse",OFFSET(DMAV_Modell!$A$6,J266-1,0)))-SEARCH("]",CELL("adresse",OFFSET(DMAV_Modell!$A$6,J266-1,0)))),"Modell"))</f>
        <v>Modell</v>
      </c>
      <c r="H266" s="150" t="str">
        <f t="shared" si="8"/>
        <v>DBB37</v>
      </c>
      <c r="I266" s="150">
        <f t="shared" si="9"/>
        <v>0</v>
      </c>
      <c r="J266" s="150">
        <f>IF(_xlfn.XLOOKUP(H266,Korrelation!$B$4:$B$723,Korrelation!$A$4:$A$723,0,0)=0,0,MATCH(_xlfn.XLOOKUP(H266,Korrelation!$B$4:$B$723,Korrelation!$A$4:$A$723,0,0),DMAV_Modell!$G$6:$G$677,0))</f>
        <v>423</v>
      </c>
      <c r="L266" s="51" t="s">
        <v>19</v>
      </c>
      <c r="M266" s="51" t="s">
        <v>406</v>
      </c>
      <c r="N266" s="51" t="s">
        <v>104</v>
      </c>
      <c r="O266" s="52" t="s">
        <v>105</v>
      </c>
      <c r="P266" s="56"/>
      <c r="Q266" s="52" t="s">
        <v>106</v>
      </c>
      <c r="R266" s="52"/>
      <c r="T266" s="51" t="s">
        <v>6128</v>
      </c>
      <c r="U266" s="51" t="s">
        <v>820</v>
      </c>
      <c r="V266" s="51" t="s">
        <v>736</v>
      </c>
      <c r="W266" s="52" t="s">
        <v>105</v>
      </c>
      <c r="Y266" s="210" t="s">
        <v>6178</v>
      </c>
      <c r="AB266" s="51" t="s">
        <v>6275</v>
      </c>
      <c r="AC266" s="51" t="s">
        <v>4359</v>
      </c>
      <c r="AD266" s="51" t="s">
        <v>1595</v>
      </c>
      <c r="AE266" s="52" t="s">
        <v>105</v>
      </c>
      <c r="AG266" s="210" t="s">
        <v>6319</v>
      </c>
    </row>
    <row r="267" spans="1:34" ht="25.5" x14ac:dyDescent="0.25">
      <c r="A267" s="51" t="s">
        <v>3671</v>
      </c>
      <c r="B267" s="51">
        <v>38</v>
      </c>
      <c r="C267" s="51" t="s">
        <v>95</v>
      </c>
      <c r="D267" s="50">
        <v>1</v>
      </c>
      <c r="F267" s="189" t="str" cm="1">
        <f t="array" aca="1" ref="F267" ca="1">IF(I267=0,"",HYPERLINK("#"&amp;RIGHT(CELL("dateiname"),LEN(CELL("dateiname"))-FIND("]",CELL("dateiname")))&amp;"!"&amp;CELL("adresse",OFFSET($C$6,I267-1,0)),"Definition"))</f>
        <v/>
      </c>
      <c r="G267" s="189" t="str" cm="1">
        <f t="array" aca="1" ref="G267" ca="1">IF(J267=0,"",HYPERLINK("#"&amp;RIGHT(CELL("adresse",OFFSET(DMAV_Modell!$A$6,J267-1,0)),LEN(CELL("adresse",OFFSET(DMAV_Modell!$A$6,J267-1,0)))-SEARCH("]",CELL("adresse",OFFSET(DMAV_Modell!$A$6,J267-1,0)))),"Modell"))</f>
        <v>Modell</v>
      </c>
      <c r="H267" s="150" t="str">
        <f t="shared" si="8"/>
        <v>DBB38</v>
      </c>
      <c r="I267" s="150">
        <f t="shared" si="9"/>
        <v>0</v>
      </c>
      <c r="J267" s="150">
        <f>IF(_xlfn.XLOOKUP(H267,Korrelation!$B$4:$B$723,Korrelation!$A$4:$A$723,0,0)=0,0,MATCH(_xlfn.XLOOKUP(H267,Korrelation!$B$4:$B$723,Korrelation!$A$4:$A$723,0,0),DMAV_Modell!$G$6:$G$677,0))</f>
        <v>424</v>
      </c>
      <c r="L267" s="51" t="s">
        <v>19</v>
      </c>
      <c r="M267" s="51" t="s">
        <v>406</v>
      </c>
      <c r="N267" s="51" t="s">
        <v>107</v>
      </c>
      <c r="O267" s="52" t="s">
        <v>108</v>
      </c>
      <c r="P267" s="56"/>
      <c r="Q267" s="52" t="s">
        <v>109</v>
      </c>
      <c r="R267" s="52"/>
      <c r="T267" s="51" t="s">
        <v>6128</v>
      </c>
      <c r="U267" s="51" t="s">
        <v>820</v>
      </c>
      <c r="V267" s="51" t="s">
        <v>737</v>
      </c>
      <c r="W267" s="52" t="s">
        <v>108</v>
      </c>
      <c r="Y267" s="210" t="s">
        <v>6179</v>
      </c>
      <c r="AB267" s="51" t="s">
        <v>6275</v>
      </c>
      <c r="AC267" s="51" t="s">
        <v>4359</v>
      </c>
      <c r="AD267" s="51" t="s">
        <v>4014</v>
      </c>
      <c r="AE267" s="52" t="s">
        <v>108</v>
      </c>
      <c r="AG267" s="210" t="s">
        <v>6320</v>
      </c>
    </row>
    <row r="268" spans="1:34" ht="51" x14ac:dyDescent="0.25">
      <c r="A268" s="51" t="s">
        <v>3671</v>
      </c>
      <c r="B268" s="51">
        <v>39</v>
      </c>
      <c r="C268" s="51" t="s">
        <v>95</v>
      </c>
      <c r="D268" s="50" t="s">
        <v>72</v>
      </c>
      <c r="E268" s="50" t="s">
        <v>3691</v>
      </c>
      <c r="F268" s="189" t="str" cm="1">
        <f t="array" aca="1" ref="F268" ca="1">IF(I268=0,"",HYPERLINK("#"&amp;RIGHT(CELL("dateiname"),LEN(CELL("dateiname"))-FIND("]",CELL("dateiname")))&amp;"!"&amp;CELL("adresse",OFFSET($C$6,I268-1,0)),"Definition"))</f>
        <v>Definition</v>
      </c>
      <c r="G268" s="189" t="str" cm="1">
        <f t="array" aca="1" ref="G268" ca="1">IF(J268=0,"",HYPERLINK("#"&amp;RIGHT(CELL("adresse",OFFSET(DMAV_Modell!$A$6,J268-1,0)),LEN(CELL("adresse",OFFSET(DMAV_Modell!$A$6,J268-1,0)))-SEARCH("]",CELL("adresse",OFFSET(DMAV_Modell!$A$6,J268-1,0)))),"Modell"))</f>
        <v>Modell</v>
      </c>
      <c r="H268" s="150" t="str">
        <f t="shared" si="8"/>
        <v>DBB39</v>
      </c>
      <c r="I268" s="150">
        <f t="shared" si="9"/>
        <v>225</v>
      </c>
      <c r="J268" s="150">
        <f>IF(_xlfn.XLOOKUP(H268,Korrelation!$B$4:$B$723,Korrelation!$A$4:$A$723,0,0)=0,0,MATCH(_xlfn.XLOOKUP(H268,Korrelation!$B$4:$B$723,Korrelation!$A$4:$A$723,0,0),DMAV_Modell!$G$6:$G$677,0))</f>
        <v>431</v>
      </c>
      <c r="L268" s="51" t="s">
        <v>19</v>
      </c>
      <c r="M268" s="51" t="s">
        <v>19</v>
      </c>
      <c r="N268" s="51" t="s">
        <v>344</v>
      </c>
      <c r="O268" s="52" t="s">
        <v>407</v>
      </c>
      <c r="P268" s="56"/>
      <c r="Q268" s="52" t="s">
        <v>408</v>
      </c>
      <c r="R268" s="52" t="s">
        <v>409</v>
      </c>
      <c r="T268" s="51" t="s">
        <v>6128</v>
      </c>
      <c r="U268" s="51" t="s">
        <v>821</v>
      </c>
      <c r="V268" s="51" t="s">
        <v>812</v>
      </c>
      <c r="W268" s="52" t="s">
        <v>6733</v>
      </c>
      <c r="Y268" s="210" t="s">
        <v>6734</v>
      </c>
      <c r="Z268" s="210" t="s">
        <v>6735</v>
      </c>
      <c r="AB268" s="51" t="s">
        <v>6275</v>
      </c>
      <c r="AC268" s="51" t="s">
        <v>4357</v>
      </c>
      <c r="AD268" s="51" t="s">
        <v>4358</v>
      </c>
      <c r="AE268" s="52" t="s">
        <v>6736</v>
      </c>
      <c r="AG268" s="210" t="s">
        <v>6737</v>
      </c>
      <c r="AH268" s="210" t="s">
        <v>6738</v>
      </c>
    </row>
    <row r="269" spans="1:34" ht="51" x14ac:dyDescent="0.25">
      <c r="A269" s="51" t="s">
        <v>3671</v>
      </c>
      <c r="B269" s="51">
        <v>40</v>
      </c>
      <c r="C269" s="51" t="s">
        <v>95</v>
      </c>
      <c r="D269" s="50">
        <v>1</v>
      </c>
      <c r="F269" s="189" t="str" cm="1">
        <f t="array" aca="1" ref="F269" ca="1">IF(I269=0,"",HYPERLINK("#"&amp;RIGHT(CELL("dateiname"),LEN(CELL("dateiname"))-FIND("]",CELL("dateiname")))&amp;"!"&amp;CELL("adresse",OFFSET($C$6,I269-1,0)),"Definition"))</f>
        <v/>
      </c>
      <c r="G269" s="189" t="str" cm="1">
        <f t="array" aca="1" ref="G269" ca="1">IF(J269=0,"",HYPERLINK("#"&amp;RIGHT(CELL("adresse",OFFSET(DMAV_Modell!$A$6,J269-1,0)),LEN(CELL("adresse",OFFSET(DMAV_Modell!$A$6,J269-1,0)))-SEARCH("]",CELL("adresse",OFFSET(DMAV_Modell!$A$6,J269-1,0)))),"Modell"))</f>
        <v>Modell</v>
      </c>
      <c r="H269" s="150" t="str">
        <f t="shared" si="8"/>
        <v>DBB40</v>
      </c>
      <c r="I269" s="150">
        <f t="shared" si="9"/>
        <v>0</v>
      </c>
      <c r="J269" s="150">
        <f>IF(_xlfn.XLOOKUP(H269,Korrelation!$B$4:$B$723,Korrelation!$A$4:$A$723,0,0)=0,0,MATCH(_xlfn.XLOOKUP(H269,Korrelation!$B$4:$B$723,Korrelation!$A$4:$A$723,0,0),DMAV_Modell!$G$6:$G$677,0))</f>
        <v>432</v>
      </c>
      <c r="L269" s="51" t="s">
        <v>19</v>
      </c>
      <c r="M269" s="51" t="s">
        <v>19</v>
      </c>
      <c r="N269" s="51" t="s">
        <v>213</v>
      </c>
      <c r="O269" s="52" t="s">
        <v>131</v>
      </c>
      <c r="P269" s="56" t="s">
        <v>214</v>
      </c>
      <c r="Q269" s="52" t="s">
        <v>410</v>
      </c>
      <c r="R269" s="52" t="s">
        <v>411</v>
      </c>
      <c r="T269" s="51" t="s">
        <v>6128</v>
      </c>
      <c r="U269" s="51" t="s">
        <v>821</v>
      </c>
      <c r="V269" s="51" t="s">
        <v>775</v>
      </c>
      <c r="W269" s="52" t="s">
        <v>131</v>
      </c>
      <c r="X269" s="209" t="s">
        <v>214</v>
      </c>
      <c r="Y269" s="210" t="s">
        <v>6739</v>
      </c>
      <c r="Z269" s="210" t="s">
        <v>6740</v>
      </c>
      <c r="AB269" s="51" t="s">
        <v>6275</v>
      </c>
      <c r="AC269" s="51" t="s">
        <v>4357</v>
      </c>
      <c r="AD269" s="51" t="s">
        <v>4068</v>
      </c>
      <c r="AE269" s="52" t="s">
        <v>131</v>
      </c>
      <c r="AF269" s="209" t="s">
        <v>214</v>
      </c>
      <c r="AG269" s="210" t="s">
        <v>6741</v>
      </c>
      <c r="AH269" s="210" t="s">
        <v>6742</v>
      </c>
    </row>
    <row r="270" spans="1:34" ht="51" x14ac:dyDescent="0.25">
      <c r="A270" s="51" t="s">
        <v>3671</v>
      </c>
      <c r="B270" s="51">
        <v>41</v>
      </c>
      <c r="C270" s="51" t="s">
        <v>95</v>
      </c>
      <c r="D270" s="50">
        <v>1</v>
      </c>
      <c r="E270" s="50" t="s">
        <v>3686</v>
      </c>
      <c r="F270" s="189" t="str" cm="1">
        <f t="array" aca="1" ref="F270" ca="1">IF(I270=0,"",HYPERLINK("#"&amp;RIGHT(CELL("dateiname"),LEN(CELL("dateiname"))-FIND("]",CELL("dateiname")))&amp;"!"&amp;CELL("adresse",OFFSET($C$6,I270-1,0)),"Definition"))</f>
        <v>Definition</v>
      </c>
      <c r="G270" s="189" t="str" cm="1">
        <f t="array" aca="1" ref="G270" ca="1">IF(J270=0,"",HYPERLINK("#"&amp;RIGHT(CELL("adresse",OFFSET(DMAV_Modell!$A$6,J270-1,0)),LEN(CELL("adresse",OFFSET(DMAV_Modell!$A$6,J270-1,0)))-SEARCH("]",CELL("adresse",OFFSET(DMAV_Modell!$A$6,J270-1,0)))),"Modell"))</f>
        <v>Modell</v>
      </c>
      <c r="H270" s="150" t="str">
        <f t="shared" si="8"/>
        <v>DBB41</v>
      </c>
      <c r="I270" s="150">
        <f t="shared" si="9"/>
        <v>13</v>
      </c>
      <c r="J270" s="150">
        <f>IF(_xlfn.XLOOKUP(H270,Korrelation!$B$4:$B$723,Korrelation!$A$4:$A$723,0,0)=0,0,MATCH(_xlfn.XLOOKUP(H270,Korrelation!$B$4:$B$723,Korrelation!$A$4:$A$723,0,0),DMAV_Modell!$G$6:$G$677,0))</f>
        <v>430</v>
      </c>
      <c r="L270" s="51" t="s">
        <v>19</v>
      </c>
      <c r="M270" s="51" t="s">
        <v>19</v>
      </c>
      <c r="N270" s="51" t="s">
        <v>265</v>
      </c>
      <c r="O270" s="52" t="s">
        <v>2800</v>
      </c>
      <c r="P270" s="56"/>
      <c r="Q270" s="52" t="s">
        <v>3761</v>
      </c>
      <c r="R270" s="52"/>
      <c r="T270" s="51" t="s">
        <v>6128</v>
      </c>
      <c r="U270" s="51" t="s">
        <v>821</v>
      </c>
      <c r="V270" s="51" t="s">
        <v>711</v>
      </c>
      <c r="W270" s="52" t="s">
        <v>6743</v>
      </c>
      <c r="Y270" s="210" t="s">
        <v>6744</v>
      </c>
      <c r="AB270" s="51" t="s">
        <v>6275</v>
      </c>
      <c r="AC270" s="51" t="s">
        <v>4357</v>
      </c>
      <c r="AD270" s="51" t="s">
        <v>1976</v>
      </c>
      <c r="AE270" s="52" t="s">
        <v>6454</v>
      </c>
      <c r="AG270" s="210" t="s">
        <v>6745</v>
      </c>
    </row>
    <row r="271" spans="1:34" ht="102" x14ac:dyDescent="0.25">
      <c r="A271" s="51" t="s">
        <v>3671</v>
      </c>
      <c r="B271" s="51">
        <v>42</v>
      </c>
      <c r="C271" s="51" t="s">
        <v>95</v>
      </c>
      <c r="D271" s="50">
        <v>1</v>
      </c>
      <c r="F271" s="189" t="str" cm="1">
        <f t="array" aca="1" ref="F271" ca="1">IF(I271=0,"",HYPERLINK("#"&amp;RIGHT(CELL("dateiname"),LEN(CELL("dateiname"))-FIND("]",CELL("dateiname")))&amp;"!"&amp;CELL("adresse",OFFSET($C$6,I271-1,0)),"Definition"))</f>
        <v/>
      </c>
      <c r="G271" s="189" t="str" cm="1">
        <f t="array" aca="1" ref="G271" ca="1">IF(J271=0,"",HYPERLINK("#"&amp;RIGHT(CELL("adresse",OFFSET(DMAV_Modell!$A$6,J271-1,0)),LEN(CELL("adresse",OFFSET(DMAV_Modell!$A$6,J271-1,0)))-SEARCH("]",CELL("adresse",OFFSET(DMAV_Modell!$A$6,J271-1,0)))),"Modell"))</f>
        <v>Modell</v>
      </c>
      <c r="H271" s="150" t="str">
        <f t="shared" si="8"/>
        <v>DBB42</v>
      </c>
      <c r="I271" s="150">
        <f t="shared" si="9"/>
        <v>0</v>
      </c>
      <c r="J271" s="150">
        <f>IF(_xlfn.XLOOKUP(H271,Korrelation!$B$4:$B$723,Korrelation!$A$4:$A$723,0,0)=0,0,MATCH(_xlfn.XLOOKUP(H271,Korrelation!$B$4:$B$723,Korrelation!$A$4:$A$723,0,0),DMAV_Modell!$G$6:$G$677,0))</f>
        <v>429</v>
      </c>
      <c r="L271" s="51" t="s">
        <v>19</v>
      </c>
      <c r="M271" s="51" t="s">
        <v>19</v>
      </c>
      <c r="N271" s="51" t="s">
        <v>123</v>
      </c>
      <c r="O271" s="52" t="s">
        <v>105</v>
      </c>
      <c r="P271" s="56"/>
      <c r="Q271" s="52" t="s">
        <v>3742</v>
      </c>
      <c r="R271" s="52" t="s">
        <v>412</v>
      </c>
      <c r="T271" s="51" t="s">
        <v>6128</v>
      </c>
      <c r="U271" s="51" t="s">
        <v>821</v>
      </c>
      <c r="V271" s="51" t="s">
        <v>123</v>
      </c>
      <c r="W271" s="52" t="s">
        <v>105</v>
      </c>
      <c r="Y271" s="210" t="s">
        <v>6249</v>
      </c>
      <c r="Z271" s="210" t="s">
        <v>6746</v>
      </c>
      <c r="AB271" s="51" t="s">
        <v>6275</v>
      </c>
      <c r="AC271" s="51" t="s">
        <v>4357</v>
      </c>
      <c r="AD271" s="51" t="s">
        <v>1247</v>
      </c>
      <c r="AE271" s="52" t="s">
        <v>105</v>
      </c>
      <c r="AG271" s="210" t="s">
        <v>6747</v>
      </c>
      <c r="AH271" s="210" t="s">
        <v>6748</v>
      </c>
    </row>
    <row r="272" spans="1:34" x14ac:dyDescent="0.25">
      <c r="A272" s="51" t="s">
        <v>3671</v>
      </c>
      <c r="B272" s="51">
        <v>43</v>
      </c>
      <c r="C272" s="51" t="s">
        <v>95</v>
      </c>
      <c r="D272" s="50">
        <v>1</v>
      </c>
      <c r="E272" s="50" t="s">
        <v>3692</v>
      </c>
      <c r="F272" s="189" t="str" cm="1">
        <f t="array" aca="1" ref="F272" ca="1">IF(I272=0,"",HYPERLINK("#"&amp;RIGHT(CELL("dateiname"),LEN(CELL("dateiname"))-FIND("]",CELL("dateiname")))&amp;"!"&amp;CELL("adresse",OFFSET($C$6,I272-1,0)),"Definition"))</f>
        <v>Definition</v>
      </c>
      <c r="G272" s="189" t="str" cm="1">
        <f t="array" aca="1" ref="G272" ca="1">IF(J272=0,"",HYPERLINK("#"&amp;RIGHT(CELL("adresse",OFFSET(DMAV_Modell!$A$6,J272-1,0)),LEN(CELL("adresse",OFFSET(DMAV_Modell!$A$6,J272-1,0)))-SEARCH("]",CELL("adresse",OFFSET(DMAV_Modell!$A$6,J272-1,0)))),"Modell"))</f>
        <v>Modell</v>
      </c>
      <c r="H272" s="150" t="str">
        <f t="shared" si="8"/>
        <v>DBB43</v>
      </c>
      <c r="I272" s="150">
        <f t="shared" si="9"/>
        <v>251</v>
      </c>
      <c r="J272" s="150">
        <f>IF(_xlfn.XLOOKUP(H272,Korrelation!$B$4:$B$723,Korrelation!$A$4:$A$723,0,0)=0,0,MATCH(_xlfn.XLOOKUP(H272,Korrelation!$B$4:$B$723,Korrelation!$A$4:$A$723,0,0),DMAV_Modell!$G$6:$G$677,0))</f>
        <v>433</v>
      </c>
      <c r="L272" s="51" t="s">
        <v>19</v>
      </c>
      <c r="M272" s="51" t="s">
        <v>19</v>
      </c>
      <c r="N272" s="51" t="s">
        <v>393</v>
      </c>
      <c r="O272" s="52" t="s">
        <v>413</v>
      </c>
      <c r="P272" s="56"/>
      <c r="Q272" s="52" t="s">
        <v>414</v>
      </c>
      <c r="R272" s="52"/>
      <c r="T272" s="51" t="s">
        <v>6128</v>
      </c>
      <c r="U272" s="51" t="s">
        <v>821</v>
      </c>
      <c r="V272" s="51" t="s">
        <v>814</v>
      </c>
      <c r="W272" s="52" t="s">
        <v>6749</v>
      </c>
      <c r="Y272" s="210" t="s">
        <v>6750</v>
      </c>
      <c r="AB272" s="51" t="s">
        <v>6275</v>
      </c>
      <c r="AC272" s="51" t="s">
        <v>4357</v>
      </c>
      <c r="AD272" s="51" t="s">
        <v>3946</v>
      </c>
      <c r="AE272" s="52" t="s">
        <v>6751</v>
      </c>
      <c r="AG272" s="210" t="s">
        <v>6752</v>
      </c>
    </row>
    <row r="273" spans="1:34" x14ac:dyDescent="0.25">
      <c r="A273" s="51" t="s">
        <v>3671</v>
      </c>
      <c r="B273" s="51">
        <v>44</v>
      </c>
      <c r="C273" s="51" t="s">
        <v>95</v>
      </c>
      <c r="D273" s="50" t="s">
        <v>72</v>
      </c>
      <c r="E273" s="50" t="s">
        <v>3693</v>
      </c>
      <c r="F273" s="189" t="str" cm="1">
        <f t="array" aca="1" ref="F273" ca="1">IF(I273=0,"",HYPERLINK("#"&amp;RIGHT(CELL("dateiname"),LEN(CELL("dateiname"))-FIND("]",CELL("dateiname")))&amp;"!"&amp;CELL("adresse",OFFSET($C$6,I273-1,0)),"Definition"))</f>
        <v>Definition</v>
      </c>
      <c r="G273" s="189" t="str" cm="1">
        <f t="array" aca="1" ref="G273" ca="1">IF(J273=0,"",HYPERLINK("#"&amp;RIGHT(CELL("adresse",OFFSET(DMAV_Modell!$A$6,J273-1,0)),LEN(CELL("adresse",OFFSET(DMAV_Modell!$A$6,J273-1,0)))-SEARCH("]",CELL("adresse",OFFSET(DMAV_Modell!$A$6,J273-1,0)))),"Modell"))</f>
        <v>Modell</v>
      </c>
      <c r="H273" s="150" t="str">
        <f t="shared" si="8"/>
        <v>DBB44</v>
      </c>
      <c r="I273" s="150">
        <f t="shared" si="9"/>
        <v>254</v>
      </c>
      <c r="J273" s="150">
        <f>IF(_xlfn.XLOOKUP(H273,Korrelation!$B$4:$B$723,Korrelation!$A$4:$A$723,0,0)=0,0,MATCH(_xlfn.XLOOKUP(H273,Korrelation!$B$4:$B$723,Korrelation!$A$4:$A$723,0,0),DMAV_Modell!$G$6:$G$677,0))</f>
        <v>434</v>
      </c>
      <c r="L273" s="51" t="s">
        <v>19</v>
      </c>
      <c r="M273" s="51" t="s">
        <v>19</v>
      </c>
      <c r="N273" s="51" t="s">
        <v>400</v>
      </c>
      <c r="O273" s="52" t="s">
        <v>415</v>
      </c>
      <c r="P273" s="56"/>
      <c r="Q273" s="52" t="s">
        <v>401</v>
      </c>
      <c r="R273" s="52"/>
      <c r="T273" s="51" t="s">
        <v>6128</v>
      </c>
      <c r="U273" s="51" t="s">
        <v>821</v>
      </c>
      <c r="V273" s="51" t="s">
        <v>818</v>
      </c>
      <c r="W273" s="52" t="s">
        <v>6753</v>
      </c>
      <c r="Y273" s="210" t="s">
        <v>6754</v>
      </c>
      <c r="AB273" s="51" t="s">
        <v>6275</v>
      </c>
      <c r="AC273" s="51" t="s">
        <v>4357</v>
      </c>
      <c r="AD273" s="51" t="s">
        <v>4360</v>
      </c>
      <c r="AE273" s="52" t="s">
        <v>6755</v>
      </c>
      <c r="AG273" s="210" t="s">
        <v>6726</v>
      </c>
    </row>
    <row r="274" spans="1:34" ht="38.25" x14ac:dyDescent="0.25">
      <c r="A274" s="51" t="s">
        <v>3671</v>
      </c>
      <c r="B274" s="51">
        <v>45</v>
      </c>
      <c r="C274" s="51" t="s">
        <v>95</v>
      </c>
      <c r="D274" s="50" t="s">
        <v>72</v>
      </c>
      <c r="F274" s="189" t="str" cm="1">
        <f t="array" aca="1" ref="F274" ca="1">IF(I274=0,"",HYPERLINK("#"&amp;RIGHT(CELL("dateiname"),LEN(CELL("dateiname"))-FIND("]",CELL("dateiname")))&amp;"!"&amp;CELL("adresse",OFFSET($C$6,I274-1,0)),"Definition"))</f>
        <v/>
      </c>
      <c r="G274" s="189" t="str" cm="1">
        <f t="array" aca="1" ref="G274" ca="1">IF(J274=0,"",HYPERLINK("#"&amp;RIGHT(CELL("adresse",OFFSET(DMAV_Modell!$A$6,J274-1,0)),LEN(CELL("adresse",OFFSET(DMAV_Modell!$A$6,J274-1,0)))-SEARCH("]",CELL("adresse",OFFSET(DMAV_Modell!$A$6,J274-1,0)))),"Modell"))</f>
        <v>Modell</v>
      </c>
      <c r="H274" s="150" t="str">
        <f t="shared" si="8"/>
        <v>DBB45</v>
      </c>
      <c r="I274" s="150">
        <f t="shared" si="9"/>
        <v>0</v>
      </c>
      <c r="J274" s="150">
        <f>IF(_xlfn.XLOOKUP(H274,Korrelation!$B$4:$B$723,Korrelation!$A$4:$A$723,0,0)=0,0,MATCH(_xlfn.XLOOKUP(H274,Korrelation!$B$4:$B$723,Korrelation!$A$4:$A$723,0,0),DMAV_Modell!$G$6:$G$677,0))</f>
        <v>436</v>
      </c>
      <c r="L274" s="51" t="s">
        <v>19</v>
      </c>
      <c r="M274" s="51" t="s">
        <v>19</v>
      </c>
      <c r="N274" s="51" t="s">
        <v>416</v>
      </c>
      <c r="O274" s="52" t="s">
        <v>417</v>
      </c>
      <c r="P274" s="56"/>
      <c r="Q274" s="52" t="s">
        <v>3762</v>
      </c>
      <c r="R274" s="52" t="s">
        <v>3763</v>
      </c>
      <c r="T274" s="51" t="s">
        <v>6128</v>
      </c>
      <c r="U274" s="51" t="s">
        <v>821</v>
      </c>
      <c r="V274" s="51" t="s">
        <v>416</v>
      </c>
      <c r="W274" s="52" t="s">
        <v>417</v>
      </c>
      <c r="Y274" s="210" t="s">
        <v>6756</v>
      </c>
      <c r="Z274" s="210" t="s">
        <v>6757</v>
      </c>
      <c r="AB274" s="51" t="s">
        <v>6275</v>
      </c>
      <c r="AC274" s="51" t="s">
        <v>4357</v>
      </c>
      <c r="AD274" s="51" t="s">
        <v>416</v>
      </c>
      <c r="AE274" s="52" t="s">
        <v>417</v>
      </c>
      <c r="AG274" s="210" t="s">
        <v>6758</v>
      </c>
      <c r="AH274" s="210" t="s">
        <v>6759</v>
      </c>
    </row>
    <row r="275" spans="1:34" x14ac:dyDescent="0.25">
      <c r="A275" s="51" t="s">
        <v>3671</v>
      </c>
      <c r="B275" s="51">
        <v>46</v>
      </c>
      <c r="C275" s="51" t="s">
        <v>95</v>
      </c>
      <c r="D275" s="50" t="s">
        <v>72</v>
      </c>
      <c r="E275" s="50" t="s">
        <v>3694</v>
      </c>
      <c r="F275" s="189" t="str" cm="1">
        <f t="array" aca="1" ref="F275" ca="1">IF(I275=0,"",HYPERLINK("#"&amp;RIGHT(CELL("dateiname"),LEN(CELL("dateiname"))-FIND("]",CELL("dateiname")))&amp;"!"&amp;CELL("adresse",OFFSET($C$6,I275-1,0)),"Definition"))</f>
        <v>Definition</v>
      </c>
      <c r="G275" s="189" t="str" cm="1">
        <f t="array" aca="1" ref="G275" ca="1">IF(J275=0,"",HYPERLINK("#"&amp;RIGHT(CELL("adresse",OFFSET(DMAV_Modell!$A$6,J275-1,0)),LEN(CELL("adresse",OFFSET(DMAV_Modell!$A$6,J275-1,0)))-SEARCH("]",CELL("adresse",OFFSET(DMAV_Modell!$A$6,J275-1,0)))),"Modell"))</f>
        <v>Modell</v>
      </c>
      <c r="H275" s="150" t="str">
        <f t="shared" si="8"/>
        <v>DBB46</v>
      </c>
      <c r="I275" s="150">
        <f t="shared" si="9"/>
        <v>256</v>
      </c>
      <c r="J275" s="150">
        <f>IF(_xlfn.XLOOKUP(H275,Korrelation!$B$4:$B$723,Korrelation!$A$4:$A$723,0,0)=0,0,MATCH(_xlfn.XLOOKUP(H275,Korrelation!$B$4:$B$723,Korrelation!$A$4:$A$723,0,0),DMAV_Modell!$G$6:$G$677,0))</f>
        <v>435</v>
      </c>
      <c r="L275" s="51" t="s">
        <v>19</v>
      </c>
      <c r="M275" s="51" t="s">
        <v>19</v>
      </c>
      <c r="N275" s="51" t="s">
        <v>403</v>
      </c>
      <c r="O275" s="52" t="s">
        <v>418</v>
      </c>
      <c r="P275" s="56"/>
      <c r="Q275" s="52" t="s">
        <v>419</v>
      </c>
      <c r="R275" s="52"/>
      <c r="T275" s="51" t="s">
        <v>6128</v>
      </c>
      <c r="U275" s="51" t="s">
        <v>821</v>
      </c>
      <c r="V275" s="51" t="s">
        <v>819</v>
      </c>
      <c r="W275" s="52" t="s">
        <v>6760</v>
      </c>
      <c r="Y275" s="210" t="s">
        <v>6761</v>
      </c>
      <c r="AB275" s="51" t="s">
        <v>6275</v>
      </c>
      <c r="AC275" s="51" t="s">
        <v>4357</v>
      </c>
      <c r="AD275" s="51" t="s">
        <v>4361</v>
      </c>
      <c r="AE275" s="52" t="s">
        <v>6762</v>
      </c>
      <c r="AG275" s="210" t="s">
        <v>6763</v>
      </c>
    </row>
    <row r="276" spans="1:34" ht="51" x14ac:dyDescent="0.25">
      <c r="A276" s="51" t="s">
        <v>3671</v>
      </c>
      <c r="B276" s="51">
        <v>47</v>
      </c>
      <c r="C276" s="51" t="s">
        <v>95</v>
      </c>
      <c r="D276" s="50" t="s">
        <v>72</v>
      </c>
      <c r="E276" s="50" t="s">
        <v>3695</v>
      </c>
      <c r="F276" s="189" t="str" cm="1">
        <f t="array" aca="1" ref="F276" ca="1">IF(I276=0,"",HYPERLINK("#"&amp;RIGHT(CELL("dateiname"),LEN(CELL("dateiname"))-FIND("]",CELL("dateiname")))&amp;"!"&amp;CELL("adresse",OFFSET($C$6,I276-1,0)),"Definition"))</f>
        <v>Definition</v>
      </c>
      <c r="G276" s="189" t="str" cm="1">
        <f t="array" aca="1" ref="G276" ca="1">IF(J276=0,"",HYPERLINK("#"&amp;RIGHT(CELL("adresse",OFFSET(DMAV_Modell!$A$6,J276-1,0)),LEN(CELL("adresse",OFFSET(DMAV_Modell!$A$6,J276-1,0)))-SEARCH("]",CELL("adresse",OFFSET(DMAV_Modell!$A$6,J276-1,0)))),"Modell"))</f>
        <v>Modell</v>
      </c>
      <c r="H276" s="150" t="str">
        <f t="shared" si="8"/>
        <v>DBB47</v>
      </c>
      <c r="I276" s="150">
        <f t="shared" si="9"/>
        <v>29</v>
      </c>
      <c r="J276" s="150">
        <f>IF(_xlfn.XLOOKUP(H276,Korrelation!$B$4:$B$723,Korrelation!$A$4:$A$723,0,0)=0,0,MATCH(_xlfn.XLOOKUP(H276,Korrelation!$B$4:$B$723,Korrelation!$A$4:$A$723,0,0),DMAV_Modell!$G$6:$G$677,0))</f>
        <v>437</v>
      </c>
      <c r="L276" s="51" t="s">
        <v>19</v>
      </c>
      <c r="M276" s="51" t="s">
        <v>19</v>
      </c>
      <c r="N276" s="51" t="s">
        <v>67</v>
      </c>
      <c r="O276" s="52" t="s">
        <v>420</v>
      </c>
      <c r="P276" s="56"/>
      <c r="Q276" s="52" t="s">
        <v>421</v>
      </c>
      <c r="R276" s="184" t="s">
        <v>5730</v>
      </c>
      <c r="T276" s="51" t="s">
        <v>6128</v>
      </c>
      <c r="U276" s="51" t="s">
        <v>821</v>
      </c>
      <c r="V276" s="51" t="s">
        <v>727</v>
      </c>
      <c r="W276" s="52" t="s">
        <v>6764</v>
      </c>
      <c r="Y276" s="210" t="s">
        <v>6765</v>
      </c>
      <c r="Z276" s="210" t="s">
        <v>6766</v>
      </c>
      <c r="AB276" s="51" t="s">
        <v>6275</v>
      </c>
      <c r="AC276" s="51" t="s">
        <v>4357</v>
      </c>
      <c r="AD276" s="51" t="s">
        <v>3941</v>
      </c>
      <c r="AE276" s="52" t="s">
        <v>6767</v>
      </c>
      <c r="AG276" s="210" t="s">
        <v>6768</v>
      </c>
      <c r="AH276" s="210" t="s">
        <v>6769</v>
      </c>
    </row>
    <row r="277" spans="1:34" x14ac:dyDescent="0.25">
      <c r="A277" s="51" t="s">
        <v>3671</v>
      </c>
      <c r="B277" s="51">
        <v>48</v>
      </c>
      <c r="C277" s="51" t="s">
        <v>95</v>
      </c>
      <c r="D277" s="50" t="s">
        <v>72</v>
      </c>
      <c r="F277" s="189" t="str" cm="1">
        <f t="array" aca="1" ref="F277" ca="1">IF(I277=0,"",HYPERLINK("#"&amp;RIGHT(CELL("dateiname"),LEN(CELL("dateiname"))-FIND("]",CELL("dateiname")))&amp;"!"&amp;CELL("adresse",OFFSET($C$6,I277-1,0)),"Definition"))</f>
        <v/>
      </c>
      <c r="G277" s="189" t="str" cm="1">
        <f t="array" aca="1" ref="G277" ca="1">IF(J277=0,"",HYPERLINK("#"&amp;RIGHT(CELL("adresse",OFFSET(DMAV_Modell!$A$6,J277-1,0)),LEN(CELL("adresse",OFFSET(DMAV_Modell!$A$6,J277-1,0)))-SEARCH("]",CELL("adresse",OFFSET(DMAV_Modell!$A$6,J277-1,0)))),"Modell"))</f>
        <v>Modell</v>
      </c>
      <c r="H277" s="150" t="str">
        <f t="shared" si="8"/>
        <v>DBB48</v>
      </c>
      <c r="I277" s="150">
        <f t="shared" si="9"/>
        <v>0</v>
      </c>
      <c r="J277" s="150">
        <f>IF(_xlfn.XLOOKUP(H277,Korrelation!$B$4:$B$723,Korrelation!$A$4:$A$723,0,0)=0,0,MATCH(_xlfn.XLOOKUP(H277,Korrelation!$B$4:$B$723,Korrelation!$A$4:$A$723,0,0),DMAV_Modell!$G$6:$G$677,0))</f>
        <v>446</v>
      </c>
      <c r="L277" s="51" t="s">
        <v>19</v>
      </c>
      <c r="M277" s="51" t="s">
        <v>422</v>
      </c>
      <c r="N277" s="51" t="s">
        <v>121</v>
      </c>
      <c r="O277" s="52" t="s">
        <v>97</v>
      </c>
      <c r="P277" s="56"/>
      <c r="Q277" s="52" t="s">
        <v>122</v>
      </c>
      <c r="R277" s="52"/>
      <c r="T277" s="51" t="s">
        <v>6128</v>
      </c>
      <c r="U277" s="51" t="s">
        <v>822</v>
      </c>
      <c r="V277" s="51" t="s">
        <v>742</v>
      </c>
      <c r="W277" s="52" t="s">
        <v>97</v>
      </c>
      <c r="Y277" s="210" t="s">
        <v>6198</v>
      </c>
      <c r="AB277" s="51" t="s">
        <v>6275</v>
      </c>
      <c r="AC277" s="51" t="s">
        <v>4388</v>
      </c>
      <c r="AD277" s="51" t="s">
        <v>742</v>
      </c>
      <c r="AE277" s="52" t="s">
        <v>97</v>
      </c>
      <c r="AG277" s="210" t="s">
        <v>6338</v>
      </c>
    </row>
    <row r="278" spans="1:34" ht="38.25" x14ac:dyDescent="0.25">
      <c r="A278" s="51" t="s">
        <v>3671</v>
      </c>
      <c r="B278" s="51">
        <v>49</v>
      </c>
      <c r="C278" s="51" t="s">
        <v>95</v>
      </c>
      <c r="D278" s="50">
        <v>1</v>
      </c>
      <c r="F278" s="189" t="str" cm="1">
        <f t="array" aca="1" ref="F278" ca="1">IF(I278=0,"",HYPERLINK("#"&amp;RIGHT(CELL("dateiname"),LEN(CELL("dateiname"))-FIND("]",CELL("dateiname")))&amp;"!"&amp;CELL("adresse",OFFSET($C$6,I278-1,0)),"Definition"))</f>
        <v/>
      </c>
      <c r="G278" s="189" t="str" cm="1">
        <f t="array" aca="1" ref="G278" ca="1">IF(J278=0,"",HYPERLINK("#"&amp;RIGHT(CELL("adresse",OFFSET(DMAV_Modell!$A$6,J278-1,0)),LEN(CELL("adresse",OFFSET(DMAV_Modell!$A$6,J278-1,0)))-SEARCH("]",CELL("adresse",OFFSET(DMAV_Modell!$A$6,J278-1,0)))),"Modell"))</f>
        <v>Modell</v>
      </c>
      <c r="H278" s="150" t="str">
        <f t="shared" si="8"/>
        <v>DBB49</v>
      </c>
      <c r="I278" s="150">
        <f t="shared" si="9"/>
        <v>0</v>
      </c>
      <c r="J278" s="150">
        <f>IF(_xlfn.XLOOKUP(H278,Korrelation!$B$4:$B$723,Korrelation!$A$4:$A$723,0,0)=0,0,MATCH(_xlfn.XLOOKUP(H278,Korrelation!$B$4:$B$723,Korrelation!$A$4:$A$723,0,0),DMAV_Modell!$G$6:$G$677,0))</f>
        <v>447</v>
      </c>
      <c r="L278" s="51" t="s">
        <v>19</v>
      </c>
      <c r="M278" s="51" t="s">
        <v>422</v>
      </c>
      <c r="N278" s="51" t="s">
        <v>123</v>
      </c>
      <c r="O278" s="52" t="s">
        <v>69</v>
      </c>
      <c r="P278" s="56"/>
      <c r="Q278" s="52" t="s">
        <v>423</v>
      </c>
      <c r="R278" s="52" t="s">
        <v>94</v>
      </c>
      <c r="T278" s="51" t="s">
        <v>6128</v>
      </c>
      <c r="U278" s="51" t="s">
        <v>822</v>
      </c>
      <c r="V278" s="51" t="s">
        <v>123</v>
      </c>
      <c r="W278" s="52" t="s">
        <v>69</v>
      </c>
      <c r="Y278" s="210" t="s">
        <v>6770</v>
      </c>
      <c r="Z278" s="210" t="s">
        <v>6166</v>
      </c>
      <c r="AB278" s="51" t="s">
        <v>6275</v>
      </c>
      <c r="AC278" s="51" t="s">
        <v>4388</v>
      </c>
      <c r="AD278" s="51" t="s">
        <v>1247</v>
      </c>
      <c r="AE278" s="52" t="s">
        <v>69</v>
      </c>
      <c r="AG278" s="210" t="s">
        <v>6771</v>
      </c>
      <c r="AH278" s="210" t="s">
        <v>6308</v>
      </c>
    </row>
    <row r="279" spans="1:34" ht="51" x14ac:dyDescent="0.25">
      <c r="A279" s="51" t="s">
        <v>3671</v>
      </c>
      <c r="B279" s="51">
        <v>50</v>
      </c>
      <c r="C279" s="51" t="s">
        <v>95</v>
      </c>
      <c r="D279" s="50" t="s">
        <v>72</v>
      </c>
      <c r="F279" s="189" t="str" cm="1">
        <f t="array" aca="1" ref="F279" ca="1">IF(I279=0,"",HYPERLINK("#"&amp;RIGHT(CELL("dateiname"),LEN(CELL("dateiname"))-FIND("]",CELL("dateiname")))&amp;"!"&amp;CELL("adresse",OFFSET($C$6,I279-1,0)),"Definition"))</f>
        <v/>
      </c>
      <c r="G279" s="189" t="str" cm="1">
        <f t="array" aca="1" ref="G279" ca="1">IF(J279=0,"",HYPERLINK("#"&amp;RIGHT(CELL("adresse",OFFSET(DMAV_Modell!$A$6,J279-1,0)),LEN(CELL("adresse",OFFSET(DMAV_Modell!$A$6,J279-1,0)))-SEARCH("]",CELL("adresse",OFFSET(DMAV_Modell!$A$6,J279-1,0)))),"Modell"))</f>
        <v>Modell</v>
      </c>
      <c r="H279" s="150" t="str">
        <f t="shared" si="8"/>
        <v>DBB50</v>
      </c>
      <c r="I279" s="150">
        <f t="shared" si="9"/>
        <v>0</v>
      </c>
      <c r="J279" s="150">
        <f>IF(_xlfn.XLOOKUP(H279,Korrelation!$B$4:$B$723,Korrelation!$A$4:$A$723,0,0)=0,0,MATCH(_xlfn.XLOOKUP(H279,Korrelation!$B$4:$B$723,Korrelation!$A$4:$A$723,0,0),DMAV_Modell!$G$6:$G$677,0))</f>
        <v>448</v>
      </c>
      <c r="L279" s="51" t="s">
        <v>19</v>
      </c>
      <c r="M279" s="51" t="s">
        <v>422</v>
      </c>
      <c r="N279" s="51" t="s">
        <v>125</v>
      </c>
      <c r="O279" s="52" t="s">
        <v>126</v>
      </c>
      <c r="P279" s="56"/>
      <c r="Q279" s="52" t="s">
        <v>424</v>
      </c>
      <c r="R279" s="52" t="s">
        <v>127</v>
      </c>
      <c r="T279" s="51" t="s">
        <v>6128</v>
      </c>
      <c r="U279" s="51" t="s">
        <v>822</v>
      </c>
      <c r="V279" s="51" t="s">
        <v>743</v>
      </c>
      <c r="W279" s="52" t="s">
        <v>126</v>
      </c>
      <c r="Y279" s="210" t="s">
        <v>6772</v>
      </c>
      <c r="Z279" s="210" t="s">
        <v>6494</v>
      </c>
      <c r="AB279" s="51" t="s">
        <v>6275</v>
      </c>
      <c r="AC279" s="51" t="s">
        <v>4388</v>
      </c>
      <c r="AD279" s="51" t="s">
        <v>4018</v>
      </c>
      <c r="AE279" s="52" t="s">
        <v>126</v>
      </c>
      <c r="AG279" s="210" t="s">
        <v>6773</v>
      </c>
      <c r="AH279" s="210" t="s">
        <v>6343</v>
      </c>
    </row>
    <row r="280" spans="1:34" x14ac:dyDescent="0.25">
      <c r="A280" s="51" t="s">
        <v>3671</v>
      </c>
      <c r="B280" s="51">
        <v>51</v>
      </c>
      <c r="C280" s="51" t="s">
        <v>95</v>
      </c>
      <c r="D280" s="50">
        <v>1</v>
      </c>
      <c r="F280" s="189" t="str" cm="1">
        <f t="array" aca="1" ref="F280" ca="1">IF(I280=0,"",HYPERLINK("#"&amp;RIGHT(CELL("dateiname"),LEN(CELL("dateiname"))-FIND("]",CELL("dateiname")))&amp;"!"&amp;CELL("adresse",OFFSET($C$6,I280-1,0)),"Definition"))</f>
        <v/>
      </c>
      <c r="G280" s="189" t="str" cm="1">
        <f t="array" aca="1" ref="G280" ca="1">IF(J280=0,"",HYPERLINK("#"&amp;RIGHT(CELL("adresse",OFFSET(DMAV_Modell!$A$6,J280-1,0)),LEN(CELL("adresse",OFFSET(DMAV_Modell!$A$6,J280-1,0)))-SEARCH("]",CELL("adresse",OFFSET(DMAV_Modell!$A$6,J280-1,0)))),"Modell"))</f>
        <v>Modell</v>
      </c>
      <c r="H280" s="150" t="str">
        <f t="shared" si="8"/>
        <v>DBB51</v>
      </c>
      <c r="I280" s="150">
        <f t="shared" si="9"/>
        <v>0</v>
      </c>
      <c r="J280" s="150">
        <f>IF(_xlfn.XLOOKUP(H280,Korrelation!$B$4:$B$723,Korrelation!$A$4:$A$723,0,0)=0,0,MATCH(_xlfn.XLOOKUP(H280,Korrelation!$B$4:$B$723,Korrelation!$A$4:$A$723,0,0),DMAV_Modell!$G$6:$G$677,0))</f>
        <v>449</v>
      </c>
      <c r="L280" s="51" t="s">
        <v>19</v>
      </c>
      <c r="M280" s="51" t="s">
        <v>422</v>
      </c>
      <c r="N280" s="51" t="s">
        <v>128</v>
      </c>
      <c r="O280" s="52" t="s">
        <v>129</v>
      </c>
      <c r="P280" s="56"/>
      <c r="Q280" s="52" t="s">
        <v>425</v>
      </c>
      <c r="R280" s="52"/>
      <c r="T280" s="51" t="s">
        <v>6128</v>
      </c>
      <c r="U280" s="51" t="s">
        <v>822</v>
      </c>
      <c r="V280" s="51" t="s">
        <v>744</v>
      </c>
      <c r="W280" s="52" t="s">
        <v>129</v>
      </c>
      <c r="Y280" s="210" t="s">
        <v>6774</v>
      </c>
      <c r="AB280" s="51" t="s">
        <v>6275</v>
      </c>
      <c r="AC280" s="51" t="s">
        <v>4388</v>
      </c>
      <c r="AD280" s="51" t="s">
        <v>4021</v>
      </c>
      <c r="AE280" s="52" t="s">
        <v>129</v>
      </c>
      <c r="AG280" s="210" t="s">
        <v>6775</v>
      </c>
    </row>
    <row r="281" spans="1:34" ht="76.5" x14ac:dyDescent="0.25">
      <c r="A281" s="51" t="s">
        <v>3671</v>
      </c>
      <c r="B281" s="51">
        <v>52</v>
      </c>
      <c r="C281" s="51" t="s">
        <v>95</v>
      </c>
      <c r="D281" s="50">
        <v>1</v>
      </c>
      <c r="F281" s="189" t="str" cm="1">
        <f t="array" aca="1" ref="F281" ca="1">IF(I281=0,"",HYPERLINK("#"&amp;RIGHT(CELL("dateiname"),LEN(CELL("dateiname"))-FIND("]",CELL("dateiname")))&amp;"!"&amp;CELL("adresse",OFFSET($C$6,I281-1,0)),"Definition"))</f>
        <v/>
      </c>
      <c r="G281" s="189" t="str" cm="1">
        <f t="array" aca="1" ref="G281" ca="1">IF(J281=0,"",HYPERLINK("#"&amp;RIGHT(CELL("adresse",OFFSET(DMAV_Modell!$A$6,J281-1,0)),LEN(CELL("adresse",OFFSET(DMAV_Modell!$A$6,J281-1,0)))-SEARCH("]",CELL("adresse",OFFSET(DMAV_Modell!$A$6,J281-1,0)))),"Modell"))</f>
        <v>Modell</v>
      </c>
      <c r="H281" s="150" t="str">
        <f t="shared" si="8"/>
        <v>DBB52</v>
      </c>
      <c r="I281" s="150">
        <f t="shared" si="9"/>
        <v>0</v>
      </c>
      <c r="J281" s="150">
        <f>IF(_xlfn.XLOOKUP(H281,Korrelation!$B$4:$B$723,Korrelation!$A$4:$A$723,0,0)=0,0,MATCH(_xlfn.XLOOKUP(H281,Korrelation!$B$4:$B$723,Korrelation!$A$4:$A$723,0,0),DMAV_Modell!$G$6:$G$677,0))</f>
        <v>450</v>
      </c>
      <c r="L281" s="51" t="s">
        <v>19</v>
      </c>
      <c r="M281" s="51" t="s">
        <v>422</v>
      </c>
      <c r="N281" s="51" t="s">
        <v>130</v>
      </c>
      <c r="O281" s="52" t="s">
        <v>131</v>
      </c>
      <c r="P281" s="231" t="s">
        <v>3751</v>
      </c>
      <c r="Q281" s="52" t="s">
        <v>426</v>
      </c>
      <c r="R281" s="52" t="s">
        <v>427</v>
      </c>
      <c r="T281" s="51" t="s">
        <v>6128</v>
      </c>
      <c r="U281" s="51" t="s">
        <v>822</v>
      </c>
      <c r="V281" s="51" t="s">
        <v>745</v>
      </c>
      <c r="W281" s="52" t="s">
        <v>131</v>
      </c>
      <c r="X281" s="209" t="s">
        <v>3751</v>
      </c>
      <c r="Y281" s="210" t="s">
        <v>6776</v>
      </c>
      <c r="Z281" s="210" t="s">
        <v>6777</v>
      </c>
      <c r="AB281" s="51" t="s">
        <v>6275</v>
      </c>
      <c r="AC281" s="51" t="s">
        <v>4388</v>
      </c>
      <c r="AD281" s="51" t="s">
        <v>4024</v>
      </c>
      <c r="AE281" s="52" t="s">
        <v>131</v>
      </c>
      <c r="AF281" s="209" t="s">
        <v>3751</v>
      </c>
      <c r="AG281" s="210" t="s">
        <v>6778</v>
      </c>
      <c r="AH281" s="210" t="s">
        <v>6779</v>
      </c>
    </row>
    <row r="282" spans="1:34" ht="63.75" x14ac:dyDescent="0.25">
      <c r="A282" s="51" t="s">
        <v>3671</v>
      </c>
      <c r="B282" s="51">
        <v>53</v>
      </c>
      <c r="C282" s="51" t="s">
        <v>95</v>
      </c>
      <c r="D282" s="50" t="s">
        <v>72</v>
      </c>
      <c r="F282" s="189" t="str" cm="1">
        <f t="array" aca="1" ref="F282" ca="1">IF(I282=0,"",HYPERLINK("#"&amp;RIGHT(CELL("dateiname"),LEN(CELL("dateiname"))-FIND("]",CELL("dateiname")))&amp;"!"&amp;CELL("adresse",OFFSET($C$6,I282-1,0)),"Definition"))</f>
        <v/>
      </c>
      <c r="G282" s="189" t="str" cm="1">
        <f t="array" aca="1" ref="G282" ca="1">IF(J282=0,"",HYPERLINK("#"&amp;RIGHT(CELL("adresse",OFFSET(DMAV_Modell!$A$6,J282-1,0)),LEN(CELL("adresse",OFFSET(DMAV_Modell!$A$6,J282-1,0)))-SEARCH("]",CELL("adresse",OFFSET(DMAV_Modell!$A$6,J282-1,0)))),"Modell"))</f>
        <v>Modell</v>
      </c>
      <c r="H282" s="150" t="str">
        <f t="shared" si="8"/>
        <v>DBB53</v>
      </c>
      <c r="I282" s="150">
        <f t="shared" si="9"/>
        <v>0</v>
      </c>
      <c r="J282" s="150">
        <f>IF(_xlfn.XLOOKUP(H282,Korrelation!$B$4:$B$723,Korrelation!$A$4:$A$723,0,0)=0,0,MATCH(_xlfn.XLOOKUP(H282,Korrelation!$B$4:$B$723,Korrelation!$A$4:$A$723,0,0),DMAV_Modell!$G$6:$G$677,0))</f>
        <v>451</v>
      </c>
      <c r="L282" s="51" t="s">
        <v>19</v>
      </c>
      <c r="M282" s="51" t="s">
        <v>422</v>
      </c>
      <c r="N282" s="51" t="s">
        <v>132</v>
      </c>
      <c r="O282" s="52" t="s">
        <v>129</v>
      </c>
      <c r="P282" s="56"/>
      <c r="Q282" s="52" t="s">
        <v>428</v>
      </c>
      <c r="R282" s="52" t="s">
        <v>429</v>
      </c>
      <c r="T282" s="51" t="s">
        <v>6128</v>
      </c>
      <c r="U282" s="51" t="s">
        <v>822</v>
      </c>
      <c r="V282" s="51" t="s">
        <v>746</v>
      </c>
      <c r="W282" s="52" t="s">
        <v>129</v>
      </c>
      <c r="Y282" s="210" t="s">
        <v>6780</v>
      </c>
      <c r="Z282" s="210" t="s">
        <v>6781</v>
      </c>
      <c r="AB282" s="51" t="s">
        <v>6275</v>
      </c>
      <c r="AC282" s="51" t="s">
        <v>4388</v>
      </c>
      <c r="AD282" s="51" t="s">
        <v>4026</v>
      </c>
      <c r="AE282" s="52" t="s">
        <v>129</v>
      </c>
      <c r="AG282" s="210" t="s">
        <v>6782</v>
      </c>
      <c r="AH282" s="210" t="s">
        <v>6783</v>
      </c>
    </row>
    <row r="283" spans="1:34" ht="114.75" x14ac:dyDescent="0.25">
      <c r="A283" s="51" t="s">
        <v>3671</v>
      </c>
      <c r="B283" s="51">
        <v>54</v>
      </c>
      <c r="C283" s="51" t="s">
        <v>95</v>
      </c>
      <c r="D283" s="50" t="s">
        <v>72</v>
      </c>
      <c r="F283" s="189" t="str" cm="1">
        <f t="array" aca="1" ref="F283" ca="1">IF(I283=0,"",HYPERLINK("#"&amp;RIGHT(CELL("dateiname"),LEN(CELL("dateiname"))-FIND("]",CELL("dateiname")))&amp;"!"&amp;CELL("adresse",OFFSET($C$6,I283-1,0)),"Definition"))</f>
        <v/>
      </c>
      <c r="G283" s="189" t="str" cm="1">
        <f t="array" aca="1" ref="G283" ca="1">IF(J283=0,"",HYPERLINK("#"&amp;RIGHT(CELL("adresse",OFFSET(DMAV_Modell!$A$6,J283-1,0)),LEN(CELL("adresse",OFFSET(DMAV_Modell!$A$6,J283-1,0)))-SEARCH("]",CELL("adresse",OFFSET(DMAV_Modell!$A$6,J283-1,0)))),"Modell"))</f>
        <v>Modell</v>
      </c>
      <c r="H283" s="150" t="str">
        <f t="shared" si="8"/>
        <v>DBB54</v>
      </c>
      <c r="I283" s="150">
        <f t="shared" si="9"/>
        <v>0</v>
      </c>
      <c r="J283" s="150">
        <f>IF(_xlfn.XLOOKUP(H283,Korrelation!$B$4:$B$723,Korrelation!$A$4:$A$723,0,0)=0,0,MATCH(_xlfn.XLOOKUP(H283,Korrelation!$B$4:$B$723,Korrelation!$A$4:$A$723,0,0),DMAV_Modell!$G$6:$G$677,0))</f>
        <v>452</v>
      </c>
      <c r="L283" s="51" t="s">
        <v>19</v>
      </c>
      <c r="M283" s="51" t="s">
        <v>422</v>
      </c>
      <c r="N283" s="51" t="s">
        <v>133</v>
      </c>
      <c r="O283" s="52" t="s">
        <v>131</v>
      </c>
      <c r="P283" s="56"/>
      <c r="Q283" s="52" t="s">
        <v>430</v>
      </c>
      <c r="R283" s="52" t="s">
        <v>431</v>
      </c>
      <c r="T283" s="51" t="s">
        <v>6128</v>
      </c>
      <c r="U283" s="51" t="s">
        <v>822</v>
      </c>
      <c r="V283" s="51" t="s">
        <v>747</v>
      </c>
      <c r="W283" s="52" t="s">
        <v>131</v>
      </c>
      <c r="Y283" s="210" t="s">
        <v>6784</v>
      </c>
      <c r="Z283" s="210" t="s">
        <v>6785</v>
      </c>
      <c r="AB283" s="51" t="s">
        <v>6275</v>
      </c>
      <c r="AC283" s="51" t="s">
        <v>4388</v>
      </c>
      <c r="AD283" s="51" t="s">
        <v>4027</v>
      </c>
      <c r="AE283" s="52" t="s">
        <v>131</v>
      </c>
      <c r="AG283" s="210" t="s">
        <v>6786</v>
      </c>
      <c r="AH283" s="210" t="s">
        <v>6787</v>
      </c>
    </row>
    <row r="284" spans="1:34" ht="63.75" x14ac:dyDescent="0.25">
      <c r="A284" s="51" t="s">
        <v>3671</v>
      </c>
      <c r="B284" s="51">
        <v>55</v>
      </c>
      <c r="C284" s="51" t="s">
        <v>95</v>
      </c>
      <c r="D284" s="50">
        <v>1</v>
      </c>
      <c r="F284" s="189" t="str" cm="1">
        <f t="array" aca="1" ref="F284" ca="1">IF(I284=0,"",HYPERLINK("#"&amp;RIGHT(CELL("dateiname"),LEN(CELL("dateiname"))-FIND("]",CELL("dateiname")))&amp;"!"&amp;CELL("adresse",OFFSET($C$6,I284-1,0)),"Definition"))</f>
        <v/>
      </c>
      <c r="G284" s="189" t="str" cm="1">
        <f t="array" aca="1" ref="G284" ca="1">IF(J284=0,"",HYPERLINK("#"&amp;RIGHT(CELL("adresse",OFFSET(DMAV_Modell!$A$6,J284-1,0)),LEN(CELL("adresse",OFFSET(DMAV_Modell!$A$6,J284-1,0)))-SEARCH("]",CELL("adresse",OFFSET(DMAV_Modell!$A$6,J284-1,0)))),"Modell"))</f>
        <v>Modell</v>
      </c>
      <c r="H284" s="150" t="str">
        <f t="shared" si="8"/>
        <v>DBB55</v>
      </c>
      <c r="I284" s="150">
        <f t="shared" si="9"/>
        <v>0</v>
      </c>
      <c r="J284" s="150">
        <f>IF(_xlfn.XLOOKUP(H284,Korrelation!$B$4:$B$723,Korrelation!$A$4:$A$723,0,0)=0,0,MATCH(_xlfn.XLOOKUP(H284,Korrelation!$B$4:$B$723,Korrelation!$A$4:$A$723,0,0),DMAV_Modell!$G$6:$G$677,0))</f>
        <v>453</v>
      </c>
      <c r="L284" s="51" t="s">
        <v>19</v>
      </c>
      <c r="M284" s="51" t="s">
        <v>422</v>
      </c>
      <c r="N284" s="51" t="s">
        <v>297</v>
      </c>
      <c r="O284" s="52" t="s">
        <v>131</v>
      </c>
      <c r="P284" s="56"/>
      <c r="Q284" s="52" t="s">
        <v>432</v>
      </c>
      <c r="R284" s="52" t="s">
        <v>433</v>
      </c>
      <c r="T284" s="51" t="s">
        <v>6128</v>
      </c>
      <c r="U284" s="51" t="s">
        <v>822</v>
      </c>
      <c r="V284" s="51" t="s">
        <v>797</v>
      </c>
      <c r="W284" s="52" t="s">
        <v>131</v>
      </c>
      <c r="Y284" s="210" t="s">
        <v>6788</v>
      </c>
      <c r="Z284" s="210" t="s">
        <v>6789</v>
      </c>
      <c r="AB284" s="51" t="s">
        <v>6275</v>
      </c>
      <c r="AC284" s="51" t="s">
        <v>4388</v>
      </c>
      <c r="AD284" s="51" t="s">
        <v>4188</v>
      </c>
      <c r="AE284" s="52" t="s">
        <v>131</v>
      </c>
      <c r="AG284" s="210" t="s">
        <v>6790</v>
      </c>
      <c r="AH284" s="210" t="s">
        <v>6791</v>
      </c>
    </row>
    <row r="285" spans="1:34" ht="76.5" x14ac:dyDescent="0.25">
      <c r="A285" s="51" t="s">
        <v>3672</v>
      </c>
      <c r="B285" s="51">
        <v>1</v>
      </c>
      <c r="C285" s="51" t="s">
        <v>34</v>
      </c>
      <c r="F285" s="189" t="str" cm="1">
        <f t="array" aca="1" ref="F285" ca="1">IF(I285=0,"",HYPERLINK("#"&amp;RIGHT(CELL("dateiname"),LEN(CELL("dateiname"))-FIND("]",CELL("dateiname")))&amp;"!"&amp;CELL("adresse",OFFSET($C$6,I285-1,0)),"Definition"))</f>
        <v/>
      </c>
      <c r="G285" s="189" t="str" cm="1">
        <f t="array" aca="1" ref="G285" ca="1">IF(J285=0,"",HYPERLINK("#"&amp;RIGHT(CELL("adresse",OFFSET(DMAV_Modell!$A$6,J285-1,0)),LEN(CELL("adresse",OFFSET(DMAV_Modell!$A$6,J285-1,0)))-SEARCH("]",CELL("adresse",OFFSET(DMAV_Modell!$A$6,J285-1,0)))),"Modell"))</f>
        <v>Modell</v>
      </c>
      <c r="H285" s="150" t="str">
        <f t="shared" si="8"/>
        <v>DEO1</v>
      </c>
      <c r="I285" s="150">
        <f t="shared" si="9"/>
        <v>0</v>
      </c>
      <c r="J285" s="150">
        <f>IF(_xlfn.XLOOKUP(H285,Korrelation!$B$4:$B$723,Korrelation!$A$4:$A$723,0,0)=0,0,MATCH(_xlfn.XLOOKUP(H285,Korrelation!$B$4:$B$723,Korrelation!$A$4:$A$723,0,0),DMAV_Modell!$G$6:$G$677,0))</f>
        <v>463</v>
      </c>
      <c r="L285" s="51" t="s">
        <v>20</v>
      </c>
      <c r="M285" s="51" t="s">
        <v>434</v>
      </c>
      <c r="O285" s="52" t="s">
        <v>435</v>
      </c>
      <c r="P285" s="56"/>
      <c r="Q285" s="52" t="s">
        <v>3764</v>
      </c>
      <c r="R285" s="52"/>
      <c r="T285" s="51" t="s">
        <v>6130</v>
      </c>
      <c r="U285" s="51" t="s">
        <v>823</v>
      </c>
      <c r="W285" s="52" t="s">
        <v>824</v>
      </c>
      <c r="Y285" s="210" t="s">
        <v>6792</v>
      </c>
      <c r="AB285" s="51" t="s">
        <v>6276</v>
      </c>
      <c r="AC285" s="51" t="s">
        <v>4397</v>
      </c>
      <c r="AE285" s="52" t="s">
        <v>2368</v>
      </c>
      <c r="AG285" s="210" t="s">
        <v>6793</v>
      </c>
    </row>
    <row r="286" spans="1:34" ht="38.25" x14ac:dyDescent="0.25">
      <c r="A286" s="51" t="s">
        <v>3672</v>
      </c>
      <c r="B286" s="51">
        <v>2</v>
      </c>
      <c r="C286" s="51" t="s">
        <v>34</v>
      </c>
      <c r="F286" s="189" t="str" cm="1">
        <f t="array" aca="1" ref="F286" ca="1">IF(I286=0,"",HYPERLINK("#"&amp;RIGHT(CELL("dateiname"),LEN(CELL("dateiname"))-FIND("]",CELL("dateiname")))&amp;"!"&amp;CELL("adresse",OFFSET($C$6,I286-1,0)),"Definition"))</f>
        <v/>
      </c>
      <c r="G286" s="189" t="str" cm="1">
        <f t="array" aca="1" ref="G286" ca="1">IF(J286=0,"",HYPERLINK("#"&amp;RIGHT(CELL("adresse",OFFSET(DMAV_Modell!$A$6,J286-1,0)),LEN(CELL("adresse",OFFSET(DMAV_Modell!$A$6,J286-1,0)))-SEARCH("]",CELL("adresse",OFFSET(DMAV_Modell!$A$6,J286-1,0)))),"Modell"))</f>
        <v>Modell</v>
      </c>
      <c r="H286" s="150" t="str">
        <f t="shared" si="8"/>
        <v>DEO2</v>
      </c>
      <c r="I286" s="150">
        <f t="shared" si="9"/>
        <v>0</v>
      </c>
      <c r="J286" s="150">
        <f>IF(_xlfn.XLOOKUP(H286,Korrelation!$B$4:$B$723,Korrelation!$A$4:$A$723,0,0)=0,0,MATCH(_xlfn.XLOOKUP(H286,Korrelation!$B$4:$B$723,Korrelation!$A$4:$A$723,0,0),DMAV_Modell!$G$6:$G$677,0))</f>
        <v>464</v>
      </c>
      <c r="L286" s="51" t="s">
        <v>20</v>
      </c>
      <c r="M286" s="51" t="s">
        <v>434</v>
      </c>
      <c r="O286" s="52" t="s">
        <v>436</v>
      </c>
      <c r="P286" s="56"/>
      <c r="Q286" s="52" t="s">
        <v>3765</v>
      </c>
      <c r="R286" s="52"/>
      <c r="T286" s="51" t="s">
        <v>6130</v>
      </c>
      <c r="U286" s="51" t="s">
        <v>823</v>
      </c>
      <c r="W286" s="52" t="s">
        <v>825</v>
      </c>
      <c r="Y286" s="210" t="s">
        <v>6794</v>
      </c>
      <c r="AB286" s="51" t="s">
        <v>6276</v>
      </c>
      <c r="AC286" s="51" t="s">
        <v>4397</v>
      </c>
      <c r="AE286" s="52" t="s">
        <v>6795</v>
      </c>
      <c r="AG286" s="210" t="s">
        <v>6796</v>
      </c>
    </row>
    <row r="287" spans="1:34" ht="89.25" x14ac:dyDescent="0.25">
      <c r="A287" s="51" t="s">
        <v>3672</v>
      </c>
      <c r="B287" s="51">
        <v>3</v>
      </c>
      <c r="C287" s="51" t="s">
        <v>34</v>
      </c>
      <c r="F287" s="189" t="str" cm="1">
        <f t="array" aca="1" ref="F287" ca="1">IF(I287=0,"",HYPERLINK("#"&amp;RIGHT(CELL("dateiname"),LEN(CELL("dateiname"))-FIND("]",CELL("dateiname")))&amp;"!"&amp;CELL("adresse",OFFSET($C$6,I287-1,0)),"Definition"))</f>
        <v/>
      </c>
      <c r="G287" s="189" t="str" cm="1">
        <f t="array" aca="1" ref="G287" ca="1">IF(J287=0,"",HYPERLINK("#"&amp;RIGHT(CELL("adresse",OFFSET(DMAV_Modell!$A$6,J287-1,0)),LEN(CELL("adresse",OFFSET(DMAV_Modell!$A$6,J287-1,0)))-SEARCH("]",CELL("adresse",OFFSET(DMAV_Modell!$A$6,J287-1,0)))),"Modell"))</f>
        <v>Modell</v>
      </c>
      <c r="H287" s="150" t="str">
        <f t="shared" si="8"/>
        <v>DEO3</v>
      </c>
      <c r="I287" s="150">
        <f t="shared" si="9"/>
        <v>0</v>
      </c>
      <c r="J287" s="150">
        <f>IF(_xlfn.XLOOKUP(H287,Korrelation!$B$4:$B$723,Korrelation!$A$4:$A$723,0,0)=0,0,MATCH(_xlfn.XLOOKUP(H287,Korrelation!$B$4:$B$723,Korrelation!$A$4:$A$723,0,0),DMAV_Modell!$G$6:$G$677,0))</f>
        <v>465</v>
      </c>
      <c r="L287" s="51" t="s">
        <v>20</v>
      </c>
      <c r="M287" s="51" t="s">
        <v>434</v>
      </c>
      <c r="O287" s="52" t="s">
        <v>437</v>
      </c>
      <c r="P287" s="56"/>
      <c r="Q287" s="52" t="s">
        <v>3766</v>
      </c>
      <c r="R287" s="52"/>
      <c r="T287" s="51" t="s">
        <v>6130</v>
      </c>
      <c r="U287" s="51" t="s">
        <v>823</v>
      </c>
      <c r="W287" s="52" t="s">
        <v>826</v>
      </c>
      <c r="Y287" s="210" t="s">
        <v>6797</v>
      </c>
      <c r="AB287" s="51" t="s">
        <v>6276</v>
      </c>
      <c r="AC287" s="51" t="s">
        <v>4397</v>
      </c>
      <c r="AE287" s="52" t="s">
        <v>2366</v>
      </c>
      <c r="AG287" s="210" t="s">
        <v>6798</v>
      </c>
    </row>
    <row r="288" spans="1:34" ht="38.25" x14ac:dyDescent="0.25">
      <c r="A288" s="51" t="s">
        <v>3672</v>
      </c>
      <c r="B288" s="51">
        <v>4</v>
      </c>
      <c r="C288" s="51" t="s">
        <v>34</v>
      </c>
      <c r="F288" s="189" t="str" cm="1">
        <f t="array" aca="1" ref="F288" ca="1">IF(I288=0,"",HYPERLINK("#"&amp;RIGHT(CELL("dateiname"),LEN(CELL("dateiname"))-FIND("]",CELL("dateiname")))&amp;"!"&amp;CELL("adresse",OFFSET($C$6,I288-1,0)),"Definition"))</f>
        <v/>
      </c>
      <c r="G288" s="189" t="str" cm="1">
        <f t="array" aca="1" ref="G288" ca="1">IF(J288=0,"",HYPERLINK("#"&amp;RIGHT(CELL("adresse",OFFSET(DMAV_Modell!$A$6,J288-1,0)),LEN(CELL("adresse",OFFSET(DMAV_Modell!$A$6,J288-1,0)))-SEARCH("]",CELL("adresse",OFFSET(DMAV_Modell!$A$6,J288-1,0)))),"Modell"))</f>
        <v>Modell</v>
      </c>
      <c r="H288" s="150" t="str">
        <f t="shared" si="8"/>
        <v>DEO4</v>
      </c>
      <c r="I288" s="150">
        <f t="shared" si="9"/>
        <v>0</v>
      </c>
      <c r="J288" s="150">
        <f>IF(_xlfn.XLOOKUP(H288,Korrelation!$B$4:$B$723,Korrelation!$A$4:$A$723,0,0)=0,0,MATCH(_xlfn.XLOOKUP(H288,Korrelation!$B$4:$B$723,Korrelation!$A$4:$A$723,0,0),DMAV_Modell!$G$6:$G$677,0))</f>
        <v>466</v>
      </c>
      <c r="L288" s="51" t="s">
        <v>20</v>
      </c>
      <c r="M288" s="51" t="s">
        <v>434</v>
      </c>
      <c r="O288" s="52" t="s">
        <v>438</v>
      </c>
      <c r="P288" s="56"/>
      <c r="Q288" s="52" t="s">
        <v>3767</v>
      </c>
      <c r="R288" s="52"/>
      <c r="T288" s="51" t="s">
        <v>6130</v>
      </c>
      <c r="U288" s="51" t="s">
        <v>823</v>
      </c>
      <c r="W288" s="52" t="s">
        <v>827</v>
      </c>
      <c r="Y288" s="210" t="s">
        <v>6799</v>
      </c>
      <c r="AB288" s="51" t="s">
        <v>6276</v>
      </c>
      <c r="AC288" s="51" t="s">
        <v>4397</v>
      </c>
      <c r="AE288" s="52" t="s">
        <v>2365</v>
      </c>
      <c r="AG288" s="210" t="s">
        <v>6800</v>
      </c>
    </row>
    <row r="289" spans="1:33" ht="38.25" x14ac:dyDescent="0.25">
      <c r="A289" s="51" t="s">
        <v>3672</v>
      </c>
      <c r="B289" s="51">
        <v>5</v>
      </c>
      <c r="C289" s="51" t="s">
        <v>34</v>
      </c>
      <c r="F289" s="189" t="str" cm="1">
        <f t="array" aca="1" ref="F289" ca="1">IF(I289=0,"",HYPERLINK("#"&amp;RIGHT(CELL("dateiname"),LEN(CELL("dateiname"))-FIND("]",CELL("dateiname")))&amp;"!"&amp;CELL("adresse",OFFSET($C$6,I289-1,0)),"Definition"))</f>
        <v/>
      </c>
      <c r="G289" s="189" t="str" cm="1">
        <f t="array" aca="1" ref="G289" ca="1">IF(J289=0,"",HYPERLINK("#"&amp;RIGHT(CELL("adresse",OFFSET(DMAV_Modell!$A$6,J289-1,0)),LEN(CELL("adresse",OFFSET(DMAV_Modell!$A$6,J289-1,0)))-SEARCH("]",CELL("adresse",OFFSET(DMAV_Modell!$A$6,J289-1,0)))),"Modell"))</f>
        <v>Modell</v>
      </c>
      <c r="H289" s="150" t="str">
        <f t="shared" si="8"/>
        <v>DEO5</v>
      </c>
      <c r="I289" s="150">
        <f t="shared" si="9"/>
        <v>0</v>
      </c>
      <c r="J289" s="150">
        <f>IF(_xlfn.XLOOKUP(H289,Korrelation!$B$4:$B$723,Korrelation!$A$4:$A$723,0,0)=0,0,MATCH(_xlfn.XLOOKUP(H289,Korrelation!$B$4:$B$723,Korrelation!$A$4:$A$723,0,0),DMAV_Modell!$G$6:$G$677,0))</f>
        <v>467</v>
      </c>
      <c r="L289" s="51" t="s">
        <v>20</v>
      </c>
      <c r="M289" s="51" t="s">
        <v>434</v>
      </c>
      <c r="O289" s="52" t="s">
        <v>439</v>
      </c>
      <c r="P289" s="56"/>
      <c r="Q289" s="52" t="s">
        <v>440</v>
      </c>
      <c r="R289" s="52"/>
      <c r="T289" s="51" t="s">
        <v>6130</v>
      </c>
      <c r="U289" s="51" t="s">
        <v>823</v>
      </c>
      <c r="W289" s="52" t="s">
        <v>828</v>
      </c>
      <c r="Y289" s="210" t="s">
        <v>6801</v>
      </c>
      <c r="AB289" s="51" t="s">
        <v>6276</v>
      </c>
      <c r="AC289" s="51" t="s">
        <v>4397</v>
      </c>
      <c r="AE289" s="52" t="s">
        <v>2364</v>
      </c>
      <c r="AG289" s="210" t="s">
        <v>6802</v>
      </c>
    </row>
    <row r="290" spans="1:33" ht="89.25" x14ac:dyDescent="0.25">
      <c r="A290" s="51" t="s">
        <v>3672</v>
      </c>
      <c r="B290" s="51">
        <v>6</v>
      </c>
      <c r="C290" s="51" t="s">
        <v>34</v>
      </c>
      <c r="F290" s="189" t="str" cm="1">
        <f t="array" aca="1" ref="F290" ca="1">IF(I290=0,"",HYPERLINK("#"&amp;RIGHT(CELL("dateiname"),LEN(CELL("dateiname"))-FIND("]",CELL("dateiname")))&amp;"!"&amp;CELL("adresse",OFFSET($C$6,I290-1,0)),"Definition"))</f>
        <v/>
      </c>
      <c r="G290" s="189" t="str" cm="1">
        <f t="array" aca="1" ref="G290" ca="1">IF(J290=0,"",HYPERLINK("#"&amp;RIGHT(CELL("adresse",OFFSET(DMAV_Modell!$A$6,J290-1,0)),LEN(CELL("adresse",OFFSET(DMAV_Modell!$A$6,J290-1,0)))-SEARCH("]",CELL("adresse",OFFSET(DMAV_Modell!$A$6,J290-1,0)))),"Modell"))</f>
        <v>Modell</v>
      </c>
      <c r="H290" s="150" t="str">
        <f t="shared" si="8"/>
        <v>DEO6</v>
      </c>
      <c r="I290" s="150">
        <f t="shared" si="9"/>
        <v>0</v>
      </c>
      <c r="J290" s="150">
        <f>IF(_xlfn.XLOOKUP(H290,Korrelation!$B$4:$B$723,Korrelation!$A$4:$A$723,0,0)=0,0,MATCH(_xlfn.XLOOKUP(H290,Korrelation!$B$4:$B$723,Korrelation!$A$4:$A$723,0,0),DMAV_Modell!$G$6:$G$677,0))</f>
        <v>468</v>
      </c>
      <c r="L290" s="51" t="s">
        <v>20</v>
      </c>
      <c r="M290" s="51" t="s">
        <v>434</v>
      </c>
      <c r="O290" s="52" t="s">
        <v>441</v>
      </c>
      <c r="P290" s="56"/>
      <c r="Q290" s="52" t="s">
        <v>3768</v>
      </c>
      <c r="R290" s="52"/>
      <c r="T290" s="51" t="s">
        <v>6130</v>
      </c>
      <c r="U290" s="51" t="s">
        <v>823</v>
      </c>
      <c r="W290" s="52" t="s">
        <v>829</v>
      </c>
      <c r="Y290" s="210" t="s">
        <v>6803</v>
      </c>
      <c r="AB290" s="51" t="s">
        <v>6276</v>
      </c>
      <c r="AC290" s="51" t="s">
        <v>4397</v>
      </c>
      <c r="AE290" s="52" t="s">
        <v>2363</v>
      </c>
      <c r="AG290" s="210" t="s">
        <v>6804</v>
      </c>
    </row>
    <row r="291" spans="1:33" ht="51" x14ac:dyDescent="0.25">
      <c r="A291" s="51" t="s">
        <v>3672</v>
      </c>
      <c r="B291" s="51">
        <v>7</v>
      </c>
      <c r="C291" s="51" t="s">
        <v>34</v>
      </c>
      <c r="F291" s="189" t="str" cm="1">
        <f t="array" aca="1" ref="F291" ca="1">IF(I291=0,"",HYPERLINK("#"&amp;RIGHT(CELL("dateiname"),LEN(CELL("dateiname"))-FIND("]",CELL("dateiname")))&amp;"!"&amp;CELL("adresse",OFFSET($C$6,I291-1,0)),"Definition"))</f>
        <v/>
      </c>
      <c r="G291" s="189" t="str" cm="1">
        <f t="array" aca="1" ref="G291" ca="1">IF(J291=0,"",HYPERLINK("#"&amp;RIGHT(CELL("adresse",OFFSET(DMAV_Modell!$A$6,J291-1,0)),LEN(CELL("adresse",OFFSET(DMAV_Modell!$A$6,J291-1,0)))-SEARCH("]",CELL("adresse",OFFSET(DMAV_Modell!$A$6,J291-1,0)))),"Modell"))</f>
        <v>Modell</v>
      </c>
      <c r="H291" s="150" t="str">
        <f t="shared" si="8"/>
        <v>DEO7</v>
      </c>
      <c r="I291" s="150">
        <f t="shared" si="9"/>
        <v>0</v>
      </c>
      <c r="J291" s="150">
        <f>IF(_xlfn.XLOOKUP(H291,Korrelation!$B$4:$B$723,Korrelation!$A$4:$A$723,0,0)=0,0,MATCH(_xlfn.XLOOKUP(H291,Korrelation!$B$4:$B$723,Korrelation!$A$4:$A$723,0,0),DMAV_Modell!$G$6:$G$677,0))</f>
        <v>469</v>
      </c>
      <c r="L291" s="51" t="s">
        <v>20</v>
      </c>
      <c r="M291" s="51" t="s">
        <v>434</v>
      </c>
      <c r="O291" s="52" t="s">
        <v>442</v>
      </c>
      <c r="P291" s="56"/>
      <c r="Q291" s="52" t="s">
        <v>443</v>
      </c>
      <c r="R291" s="52"/>
      <c r="T291" s="51" t="s">
        <v>6130</v>
      </c>
      <c r="U291" s="51" t="s">
        <v>823</v>
      </c>
      <c r="W291" s="52" t="s">
        <v>830</v>
      </c>
      <c r="Y291" s="210" t="s">
        <v>6805</v>
      </c>
      <c r="AB291" s="51" t="s">
        <v>6276</v>
      </c>
      <c r="AC291" s="51" t="s">
        <v>4397</v>
      </c>
      <c r="AE291" s="52" t="s">
        <v>2362</v>
      </c>
      <c r="AG291" s="210" t="s">
        <v>6806</v>
      </c>
    </row>
    <row r="292" spans="1:33" ht="38.25" x14ac:dyDescent="0.25">
      <c r="A292" s="51" t="s">
        <v>3672</v>
      </c>
      <c r="B292" s="51">
        <v>8</v>
      </c>
      <c r="C292" s="51" t="s">
        <v>34</v>
      </c>
      <c r="F292" s="189" t="str" cm="1">
        <f t="array" aca="1" ref="F292" ca="1">IF(I292=0,"",HYPERLINK("#"&amp;RIGHT(CELL("dateiname"),LEN(CELL("dateiname"))-FIND("]",CELL("dateiname")))&amp;"!"&amp;CELL("adresse",OFFSET($C$6,I292-1,0)),"Definition"))</f>
        <v/>
      </c>
      <c r="G292" s="189" t="str" cm="1">
        <f t="array" aca="1" ref="G292" ca="1">IF(J292=0,"",HYPERLINK("#"&amp;RIGHT(CELL("adresse",OFFSET(DMAV_Modell!$A$6,J292-1,0)),LEN(CELL("adresse",OFFSET(DMAV_Modell!$A$6,J292-1,0)))-SEARCH("]",CELL("adresse",OFFSET(DMAV_Modell!$A$6,J292-1,0)))),"Modell"))</f>
        <v>Modell</v>
      </c>
      <c r="H292" s="150" t="str">
        <f t="shared" si="8"/>
        <v>DEO8</v>
      </c>
      <c r="I292" s="150">
        <f t="shared" si="9"/>
        <v>0</v>
      </c>
      <c r="J292" s="150">
        <f>IF(_xlfn.XLOOKUP(H292,Korrelation!$B$4:$B$723,Korrelation!$A$4:$A$723,0,0)=0,0,MATCH(_xlfn.XLOOKUP(H292,Korrelation!$B$4:$B$723,Korrelation!$A$4:$A$723,0,0),DMAV_Modell!$G$6:$G$677,0))</f>
        <v>470</v>
      </c>
      <c r="L292" s="51" t="s">
        <v>20</v>
      </c>
      <c r="M292" s="51" t="s">
        <v>434</v>
      </c>
      <c r="O292" s="52" t="s">
        <v>444</v>
      </c>
      <c r="P292" s="56"/>
      <c r="Q292" s="52" t="s">
        <v>3769</v>
      </c>
      <c r="R292" s="52"/>
      <c r="T292" s="51" t="s">
        <v>6130</v>
      </c>
      <c r="U292" s="51" t="s">
        <v>823</v>
      </c>
      <c r="W292" s="52" t="s">
        <v>831</v>
      </c>
      <c r="Y292" s="210" t="s">
        <v>6807</v>
      </c>
      <c r="AB292" s="51" t="s">
        <v>6276</v>
      </c>
      <c r="AC292" s="51" t="s">
        <v>4397</v>
      </c>
      <c r="AE292" s="52" t="s">
        <v>2360</v>
      </c>
      <c r="AG292" s="210" t="s">
        <v>6808</v>
      </c>
    </row>
    <row r="293" spans="1:33" x14ac:dyDescent="0.25">
      <c r="A293" s="51" t="s">
        <v>3672</v>
      </c>
      <c r="B293" s="51">
        <v>9</v>
      </c>
      <c r="C293" s="51" t="s">
        <v>34</v>
      </c>
      <c r="F293" s="189" t="str" cm="1">
        <f t="array" aca="1" ref="F293" ca="1">IF(I293=0,"",HYPERLINK("#"&amp;RIGHT(CELL("dateiname"),LEN(CELL("dateiname"))-FIND("]",CELL("dateiname")))&amp;"!"&amp;CELL("adresse",OFFSET($C$6,I293-1,0)),"Definition"))</f>
        <v/>
      </c>
      <c r="G293" s="189" t="str" cm="1">
        <f t="array" aca="1" ref="G293" ca="1">IF(J293=0,"",HYPERLINK("#"&amp;RIGHT(CELL("adresse",OFFSET(DMAV_Modell!$A$6,J293-1,0)),LEN(CELL("adresse",OFFSET(DMAV_Modell!$A$6,J293-1,0)))-SEARCH("]",CELL("adresse",OFFSET(DMAV_Modell!$A$6,J293-1,0)))),"Modell"))</f>
        <v>Modell</v>
      </c>
      <c r="H293" s="150" t="str">
        <f t="shared" si="8"/>
        <v>DEO9</v>
      </c>
      <c r="I293" s="150">
        <f t="shared" si="9"/>
        <v>0</v>
      </c>
      <c r="J293" s="150">
        <f>IF(_xlfn.XLOOKUP(H293,Korrelation!$B$4:$B$723,Korrelation!$A$4:$A$723,0,0)=0,0,MATCH(_xlfn.XLOOKUP(H293,Korrelation!$B$4:$B$723,Korrelation!$A$4:$A$723,0,0),DMAV_Modell!$G$6:$G$677,0))</f>
        <v>471</v>
      </c>
      <c r="L293" s="51" t="s">
        <v>20</v>
      </c>
      <c r="M293" s="51" t="s">
        <v>434</v>
      </c>
      <c r="O293" s="52" t="s">
        <v>445</v>
      </c>
      <c r="P293" s="56"/>
      <c r="Q293" s="52" t="s">
        <v>446</v>
      </c>
      <c r="R293" s="52"/>
      <c r="T293" s="51" t="s">
        <v>6130</v>
      </c>
      <c r="U293" s="51" t="s">
        <v>823</v>
      </c>
      <c r="W293" s="52" t="s">
        <v>832</v>
      </c>
      <c r="Y293" s="210" t="s">
        <v>6809</v>
      </c>
      <c r="AB293" s="51" t="s">
        <v>6276</v>
      </c>
      <c r="AC293" s="51" t="s">
        <v>4397</v>
      </c>
      <c r="AE293" s="52" t="s">
        <v>2358</v>
      </c>
      <c r="AG293" s="210" t="s">
        <v>6810</v>
      </c>
    </row>
    <row r="294" spans="1:33" x14ac:dyDescent="0.25">
      <c r="A294" s="51" t="s">
        <v>3672</v>
      </c>
      <c r="B294" s="51">
        <v>10</v>
      </c>
      <c r="C294" s="51" t="s">
        <v>34</v>
      </c>
      <c r="F294" s="189" t="str" cm="1">
        <f t="array" aca="1" ref="F294" ca="1">IF(I294=0,"",HYPERLINK("#"&amp;RIGHT(CELL("dateiname"),LEN(CELL("dateiname"))-FIND("]",CELL("dateiname")))&amp;"!"&amp;CELL("adresse",OFFSET($C$6,I294-1,0)),"Definition"))</f>
        <v/>
      </c>
      <c r="G294" s="189" t="str" cm="1">
        <f t="array" aca="1" ref="G294" ca="1">IF(J294=0,"",HYPERLINK("#"&amp;RIGHT(CELL("adresse",OFFSET(DMAV_Modell!$A$6,J294-1,0)),LEN(CELL("adresse",OFFSET(DMAV_Modell!$A$6,J294-1,0)))-SEARCH("]",CELL("adresse",OFFSET(DMAV_Modell!$A$6,J294-1,0)))),"Modell"))</f>
        <v>Modell</v>
      </c>
      <c r="H294" s="150" t="str">
        <f t="shared" si="8"/>
        <v>DEO10</v>
      </c>
      <c r="I294" s="150">
        <f t="shared" si="9"/>
        <v>0</v>
      </c>
      <c r="J294" s="150">
        <f>IF(_xlfn.XLOOKUP(H294,Korrelation!$B$4:$B$723,Korrelation!$A$4:$A$723,0,0)=0,0,MATCH(_xlfn.XLOOKUP(H294,Korrelation!$B$4:$B$723,Korrelation!$A$4:$A$723,0,0),DMAV_Modell!$G$6:$G$677,0))</f>
        <v>472</v>
      </c>
      <c r="L294" s="51" t="s">
        <v>20</v>
      </c>
      <c r="M294" s="51" t="s">
        <v>434</v>
      </c>
      <c r="O294" s="52" t="s">
        <v>447</v>
      </c>
      <c r="P294" s="56"/>
      <c r="Q294" s="52" t="s">
        <v>448</v>
      </c>
      <c r="R294" s="52"/>
      <c r="T294" s="51" t="s">
        <v>6130</v>
      </c>
      <c r="U294" s="51" t="s">
        <v>823</v>
      </c>
      <c r="W294" s="52" t="s">
        <v>833</v>
      </c>
      <c r="Y294" s="210" t="s">
        <v>6811</v>
      </c>
      <c r="AB294" s="51" t="s">
        <v>6276</v>
      </c>
      <c r="AC294" s="51" t="s">
        <v>4397</v>
      </c>
      <c r="AE294" s="52" t="s">
        <v>2357</v>
      </c>
      <c r="AG294" s="210" t="s">
        <v>6812</v>
      </c>
    </row>
    <row r="295" spans="1:33" ht="25.5" x14ac:dyDescent="0.25">
      <c r="A295" s="51" t="s">
        <v>3672</v>
      </c>
      <c r="B295" s="51">
        <v>11</v>
      </c>
      <c r="C295" s="51" t="s">
        <v>34</v>
      </c>
      <c r="F295" s="189" t="str" cm="1">
        <f t="array" aca="1" ref="F295" ca="1">IF(I295=0,"",HYPERLINK("#"&amp;RIGHT(CELL("dateiname"),LEN(CELL("dateiname"))-FIND("]",CELL("dateiname")))&amp;"!"&amp;CELL("adresse",OFFSET($C$6,I295-1,0)),"Definition"))</f>
        <v/>
      </c>
      <c r="G295" s="189" t="str" cm="1">
        <f t="array" aca="1" ref="G295" ca="1">IF(J295=0,"",HYPERLINK("#"&amp;RIGHT(CELL("adresse",OFFSET(DMAV_Modell!$A$6,J295-1,0)),LEN(CELL("adresse",OFFSET(DMAV_Modell!$A$6,J295-1,0)))-SEARCH("]",CELL("adresse",OFFSET(DMAV_Modell!$A$6,J295-1,0)))),"Modell"))</f>
        <v>Modell</v>
      </c>
      <c r="H295" s="150" t="str">
        <f t="shared" si="8"/>
        <v>DEO11</v>
      </c>
      <c r="I295" s="150">
        <f t="shared" si="9"/>
        <v>0</v>
      </c>
      <c r="J295" s="150">
        <f>IF(_xlfn.XLOOKUP(H295,Korrelation!$B$4:$B$723,Korrelation!$A$4:$A$723,0,0)=0,0,MATCH(_xlfn.XLOOKUP(H295,Korrelation!$B$4:$B$723,Korrelation!$A$4:$A$723,0,0),DMAV_Modell!$G$6:$G$677,0))</f>
        <v>473</v>
      </c>
      <c r="L295" s="51" t="s">
        <v>20</v>
      </c>
      <c r="M295" s="51" t="s">
        <v>434</v>
      </c>
      <c r="O295" s="52" t="s">
        <v>449</v>
      </c>
      <c r="P295" s="56"/>
      <c r="Q295" s="52" t="s">
        <v>450</v>
      </c>
      <c r="R295" s="52"/>
      <c r="T295" s="51" t="s">
        <v>6130</v>
      </c>
      <c r="U295" s="51" t="s">
        <v>823</v>
      </c>
      <c r="W295" s="52" t="s">
        <v>834</v>
      </c>
      <c r="Y295" s="210" t="s">
        <v>6813</v>
      </c>
      <c r="AB295" s="51" t="s">
        <v>6276</v>
      </c>
      <c r="AC295" s="51" t="s">
        <v>4397</v>
      </c>
      <c r="AE295" s="52" t="s">
        <v>2356</v>
      </c>
      <c r="AG295" s="210" t="s">
        <v>6814</v>
      </c>
    </row>
    <row r="296" spans="1:33" ht="38.25" x14ac:dyDescent="0.25">
      <c r="A296" s="51" t="s">
        <v>3672</v>
      </c>
      <c r="B296" s="51">
        <v>12</v>
      </c>
      <c r="C296" s="51" t="s">
        <v>34</v>
      </c>
      <c r="F296" s="189" t="str" cm="1">
        <f t="array" aca="1" ref="F296" ca="1">IF(I296=0,"",HYPERLINK("#"&amp;RIGHT(CELL("dateiname"),LEN(CELL("dateiname"))-FIND("]",CELL("dateiname")))&amp;"!"&amp;CELL("adresse",OFFSET($C$6,I296-1,0)),"Definition"))</f>
        <v/>
      </c>
      <c r="G296" s="189" t="str" cm="1">
        <f t="array" aca="1" ref="G296" ca="1">IF(J296=0,"",HYPERLINK("#"&amp;RIGHT(CELL("adresse",OFFSET(DMAV_Modell!$A$6,J296-1,0)),LEN(CELL("adresse",OFFSET(DMAV_Modell!$A$6,J296-1,0)))-SEARCH("]",CELL("adresse",OFFSET(DMAV_Modell!$A$6,J296-1,0)))),"Modell"))</f>
        <v>Modell</v>
      </c>
      <c r="H296" s="150" t="str">
        <f t="shared" si="8"/>
        <v>DEO12</v>
      </c>
      <c r="I296" s="150">
        <f t="shared" si="9"/>
        <v>0</v>
      </c>
      <c r="J296" s="150">
        <f>IF(_xlfn.XLOOKUP(H296,Korrelation!$B$4:$B$723,Korrelation!$A$4:$A$723,0,0)=0,0,MATCH(_xlfn.XLOOKUP(H296,Korrelation!$B$4:$B$723,Korrelation!$A$4:$A$723,0,0),DMAV_Modell!$G$6:$G$677,0))</f>
        <v>474</v>
      </c>
      <c r="L296" s="51" t="s">
        <v>20</v>
      </c>
      <c r="M296" s="51" t="s">
        <v>434</v>
      </c>
      <c r="O296" s="52" t="s">
        <v>451</v>
      </c>
      <c r="P296" s="56"/>
      <c r="Q296" s="52" t="s">
        <v>3770</v>
      </c>
      <c r="R296" s="52"/>
      <c r="T296" s="51" t="s">
        <v>6130</v>
      </c>
      <c r="U296" s="51" t="s">
        <v>823</v>
      </c>
      <c r="W296" s="52" t="s">
        <v>835</v>
      </c>
      <c r="Y296" s="210" t="s">
        <v>6815</v>
      </c>
      <c r="AB296" s="51" t="s">
        <v>6276</v>
      </c>
      <c r="AC296" s="51" t="s">
        <v>4397</v>
      </c>
      <c r="AE296" s="52" t="s">
        <v>2355</v>
      </c>
      <c r="AG296" s="210" t="s">
        <v>6816</v>
      </c>
    </row>
    <row r="297" spans="1:33" x14ac:dyDescent="0.25">
      <c r="A297" s="51" t="s">
        <v>3672</v>
      </c>
      <c r="B297" s="51">
        <v>13</v>
      </c>
      <c r="C297" s="51" t="s">
        <v>34</v>
      </c>
      <c r="F297" s="189" t="str" cm="1">
        <f t="array" aca="1" ref="F297" ca="1">IF(I297=0,"",HYPERLINK("#"&amp;RIGHT(CELL("dateiname"),LEN(CELL("dateiname"))-FIND("]",CELL("dateiname")))&amp;"!"&amp;CELL("adresse",OFFSET($C$6,I297-1,0)),"Definition"))</f>
        <v/>
      </c>
      <c r="G297" s="189" t="str" cm="1">
        <f t="array" aca="1" ref="G297" ca="1">IF(J297=0,"",HYPERLINK("#"&amp;RIGHT(CELL("adresse",OFFSET(DMAV_Modell!$A$6,J297-1,0)),LEN(CELL("adresse",OFFSET(DMAV_Modell!$A$6,J297-1,0)))-SEARCH("]",CELL("adresse",OFFSET(DMAV_Modell!$A$6,J297-1,0)))),"Modell"))</f>
        <v>Modell</v>
      </c>
      <c r="H297" s="150" t="str">
        <f t="shared" si="8"/>
        <v>DEO13</v>
      </c>
      <c r="I297" s="150">
        <f t="shared" si="9"/>
        <v>0</v>
      </c>
      <c r="J297" s="150">
        <f>IF(_xlfn.XLOOKUP(H297,Korrelation!$B$4:$B$723,Korrelation!$A$4:$A$723,0,0)=0,0,MATCH(_xlfn.XLOOKUP(H297,Korrelation!$B$4:$B$723,Korrelation!$A$4:$A$723,0,0),DMAV_Modell!$G$6:$G$677,0))</f>
        <v>475</v>
      </c>
      <c r="L297" s="51" t="s">
        <v>20</v>
      </c>
      <c r="M297" s="51" t="s">
        <v>434</v>
      </c>
      <c r="O297" s="52" t="s">
        <v>452</v>
      </c>
      <c r="P297" s="56"/>
      <c r="Q297" s="52" t="s">
        <v>453</v>
      </c>
      <c r="R297" s="52"/>
      <c r="T297" s="51" t="s">
        <v>6130</v>
      </c>
      <c r="U297" s="51" t="s">
        <v>823</v>
      </c>
      <c r="W297" s="52" t="s">
        <v>836</v>
      </c>
      <c r="Y297" s="210" t="s">
        <v>6817</v>
      </c>
      <c r="AB297" s="51" t="s">
        <v>6276</v>
      </c>
      <c r="AC297" s="51" t="s">
        <v>4397</v>
      </c>
      <c r="AE297" s="52" t="s">
        <v>2354</v>
      </c>
      <c r="AG297" s="210" t="s">
        <v>6818</v>
      </c>
    </row>
    <row r="298" spans="1:33" x14ac:dyDescent="0.25">
      <c r="A298" s="51" t="s">
        <v>3672</v>
      </c>
      <c r="B298" s="51">
        <v>14</v>
      </c>
      <c r="C298" s="51" t="s">
        <v>34</v>
      </c>
      <c r="F298" s="189" t="str" cm="1">
        <f t="array" aca="1" ref="F298" ca="1">IF(I298=0,"",HYPERLINK("#"&amp;RIGHT(CELL("dateiname"),LEN(CELL("dateiname"))-FIND("]",CELL("dateiname")))&amp;"!"&amp;CELL("adresse",OFFSET($C$6,I298-1,0)),"Definition"))</f>
        <v/>
      </c>
      <c r="G298" s="189" t="str" cm="1">
        <f t="array" aca="1" ref="G298" ca="1">IF(J298=0,"",HYPERLINK("#"&amp;RIGHT(CELL("adresse",OFFSET(DMAV_Modell!$A$6,J298-1,0)),LEN(CELL("adresse",OFFSET(DMAV_Modell!$A$6,J298-1,0)))-SEARCH("]",CELL("adresse",OFFSET(DMAV_Modell!$A$6,J298-1,0)))),"Modell"))</f>
        <v>Modell</v>
      </c>
      <c r="H298" s="150" t="str">
        <f t="shared" si="8"/>
        <v>DEO14</v>
      </c>
      <c r="I298" s="150">
        <f t="shared" si="9"/>
        <v>0</v>
      </c>
      <c r="J298" s="150">
        <f>IF(_xlfn.XLOOKUP(H298,Korrelation!$B$4:$B$723,Korrelation!$A$4:$A$723,0,0)=0,0,MATCH(_xlfn.XLOOKUP(H298,Korrelation!$B$4:$B$723,Korrelation!$A$4:$A$723,0,0),DMAV_Modell!$G$6:$G$677,0))</f>
        <v>476</v>
      </c>
      <c r="L298" s="51" t="s">
        <v>20</v>
      </c>
      <c r="M298" s="51" t="s">
        <v>434</v>
      </c>
      <c r="O298" s="52" t="s">
        <v>454</v>
      </c>
      <c r="P298" s="56"/>
      <c r="Q298" s="52" t="s">
        <v>455</v>
      </c>
      <c r="R298" s="52"/>
      <c r="T298" s="51" t="s">
        <v>6130</v>
      </c>
      <c r="U298" s="51" t="s">
        <v>823</v>
      </c>
      <c r="W298" s="52" t="s">
        <v>837</v>
      </c>
      <c r="Y298" s="210" t="s">
        <v>6819</v>
      </c>
      <c r="AB298" s="51" t="s">
        <v>6276</v>
      </c>
      <c r="AC298" s="51" t="s">
        <v>4397</v>
      </c>
      <c r="AE298" s="52" t="s">
        <v>2353</v>
      </c>
      <c r="AG298" s="210" t="s">
        <v>6820</v>
      </c>
    </row>
    <row r="299" spans="1:33" ht="25.5" x14ac:dyDescent="0.25">
      <c r="A299" s="51" t="s">
        <v>3672</v>
      </c>
      <c r="B299" s="51">
        <v>15</v>
      </c>
      <c r="C299" s="51" t="s">
        <v>34</v>
      </c>
      <c r="F299" s="189" t="str" cm="1">
        <f t="array" aca="1" ref="F299" ca="1">IF(I299=0,"",HYPERLINK("#"&amp;RIGHT(CELL("dateiname"),LEN(CELL("dateiname"))-FIND("]",CELL("dateiname")))&amp;"!"&amp;CELL("adresse",OFFSET($C$6,I299-1,0)),"Definition"))</f>
        <v/>
      </c>
      <c r="G299" s="189" t="str" cm="1">
        <f t="array" aca="1" ref="G299" ca="1">IF(J299=0,"",HYPERLINK("#"&amp;RIGHT(CELL("adresse",OFFSET(DMAV_Modell!$A$6,J299-1,0)),LEN(CELL("adresse",OFFSET(DMAV_Modell!$A$6,J299-1,0)))-SEARCH("]",CELL("adresse",OFFSET(DMAV_Modell!$A$6,J299-1,0)))),"Modell"))</f>
        <v>Modell</v>
      </c>
      <c r="H299" s="150" t="str">
        <f t="shared" si="8"/>
        <v>DEO15</v>
      </c>
      <c r="I299" s="150">
        <f t="shared" si="9"/>
        <v>0</v>
      </c>
      <c r="J299" s="150">
        <f>IF(_xlfn.XLOOKUP(H299,Korrelation!$B$4:$B$723,Korrelation!$A$4:$A$723,0,0)=0,0,MATCH(_xlfn.XLOOKUP(H299,Korrelation!$B$4:$B$723,Korrelation!$A$4:$A$723,0,0),DMAV_Modell!$G$6:$G$677,0))</f>
        <v>477</v>
      </c>
      <c r="L299" s="51" t="s">
        <v>20</v>
      </c>
      <c r="M299" s="51" t="s">
        <v>434</v>
      </c>
      <c r="O299" s="52" t="s">
        <v>456</v>
      </c>
      <c r="P299" s="56"/>
      <c r="Q299" s="52" t="s">
        <v>3771</v>
      </c>
      <c r="R299" s="52"/>
      <c r="T299" s="51" t="s">
        <v>6130</v>
      </c>
      <c r="U299" s="51" t="s">
        <v>823</v>
      </c>
      <c r="W299" s="52" t="s">
        <v>838</v>
      </c>
      <c r="Y299" s="210" t="s">
        <v>6821</v>
      </c>
      <c r="AB299" s="51" t="s">
        <v>6276</v>
      </c>
      <c r="AC299" s="51" t="s">
        <v>4397</v>
      </c>
      <c r="AE299" s="52" t="s">
        <v>2352</v>
      </c>
      <c r="AG299" s="210" t="s">
        <v>6822</v>
      </c>
    </row>
    <row r="300" spans="1:33" ht="38.25" x14ac:dyDescent="0.25">
      <c r="A300" s="51" t="s">
        <v>3672</v>
      </c>
      <c r="B300" s="51">
        <v>16</v>
      </c>
      <c r="C300" s="51" t="s">
        <v>34</v>
      </c>
      <c r="F300" s="189" t="str" cm="1">
        <f t="array" aca="1" ref="F300" ca="1">IF(I300=0,"",HYPERLINK("#"&amp;RIGHT(CELL("dateiname"),LEN(CELL("dateiname"))-FIND("]",CELL("dateiname")))&amp;"!"&amp;CELL("adresse",OFFSET($C$6,I300-1,0)),"Definition"))</f>
        <v/>
      </c>
      <c r="G300" s="189" t="str" cm="1">
        <f t="array" aca="1" ref="G300" ca="1">IF(J300=0,"",HYPERLINK("#"&amp;RIGHT(CELL("adresse",OFFSET(DMAV_Modell!$A$6,J300-1,0)),LEN(CELL("adresse",OFFSET(DMAV_Modell!$A$6,J300-1,0)))-SEARCH("]",CELL("adresse",OFFSET(DMAV_Modell!$A$6,J300-1,0)))),"Modell"))</f>
        <v>Modell</v>
      </c>
      <c r="H300" s="150" t="str">
        <f t="shared" si="8"/>
        <v>DEO16</v>
      </c>
      <c r="I300" s="150">
        <f t="shared" si="9"/>
        <v>0</v>
      </c>
      <c r="J300" s="150">
        <f>IF(_xlfn.XLOOKUP(H300,Korrelation!$B$4:$B$723,Korrelation!$A$4:$A$723,0,0)=0,0,MATCH(_xlfn.XLOOKUP(H300,Korrelation!$B$4:$B$723,Korrelation!$A$4:$A$723,0,0),DMAV_Modell!$G$6:$G$677,0))</f>
        <v>478</v>
      </c>
      <c r="L300" s="51" t="s">
        <v>20</v>
      </c>
      <c r="M300" s="51" t="s">
        <v>434</v>
      </c>
      <c r="O300" s="52" t="s">
        <v>457</v>
      </c>
      <c r="P300" s="56"/>
      <c r="Q300" s="52" t="s">
        <v>3772</v>
      </c>
      <c r="R300" s="52"/>
      <c r="T300" s="51" t="s">
        <v>6130</v>
      </c>
      <c r="U300" s="51" t="s">
        <v>823</v>
      </c>
      <c r="W300" s="52" t="s">
        <v>839</v>
      </c>
      <c r="Y300" s="210" t="s">
        <v>6823</v>
      </c>
      <c r="AB300" s="51" t="s">
        <v>6276</v>
      </c>
      <c r="AC300" s="51" t="s">
        <v>4397</v>
      </c>
      <c r="AE300" s="52" t="s">
        <v>2351</v>
      </c>
      <c r="AG300" s="210" t="s">
        <v>6824</v>
      </c>
    </row>
    <row r="301" spans="1:33" x14ac:dyDescent="0.25">
      <c r="A301" s="51" t="s">
        <v>3672</v>
      </c>
      <c r="B301" s="51">
        <v>17</v>
      </c>
      <c r="C301" s="51" t="s">
        <v>34</v>
      </c>
      <c r="F301" s="189" t="str" cm="1">
        <f t="array" aca="1" ref="F301" ca="1">IF(I301=0,"",HYPERLINK("#"&amp;RIGHT(CELL("dateiname"),LEN(CELL("dateiname"))-FIND("]",CELL("dateiname")))&amp;"!"&amp;CELL("adresse",OFFSET($C$6,I301-1,0)),"Definition"))</f>
        <v/>
      </c>
      <c r="G301" s="189" t="str" cm="1">
        <f t="array" aca="1" ref="G301" ca="1">IF(J301=0,"",HYPERLINK("#"&amp;RIGHT(CELL("adresse",OFFSET(DMAV_Modell!$A$6,J301-1,0)),LEN(CELL("adresse",OFFSET(DMAV_Modell!$A$6,J301-1,0)))-SEARCH("]",CELL("adresse",OFFSET(DMAV_Modell!$A$6,J301-1,0)))),"Modell"))</f>
        <v>Modell</v>
      </c>
      <c r="H301" s="150" t="str">
        <f t="shared" si="8"/>
        <v>DEO17</v>
      </c>
      <c r="I301" s="150">
        <f t="shared" si="9"/>
        <v>0</v>
      </c>
      <c r="J301" s="150">
        <f>IF(_xlfn.XLOOKUP(H301,Korrelation!$B$4:$B$723,Korrelation!$A$4:$A$723,0,0)=0,0,MATCH(_xlfn.XLOOKUP(H301,Korrelation!$B$4:$B$723,Korrelation!$A$4:$A$723,0,0),DMAV_Modell!$G$6:$G$677,0))</f>
        <v>479</v>
      </c>
      <c r="L301" s="51" t="s">
        <v>20</v>
      </c>
      <c r="M301" s="51" t="s">
        <v>434</v>
      </c>
      <c r="O301" s="52" t="s">
        <v>458</v>
      </c>
      <c r="P301" s="56"/>
      <c r="Q301" s="52" t="s">
        <v>459</v>
      </c>
      <c r="R301" s="52"/>
      <c r="T301" s="51" t="s">
        <v>6130</v>
      </c>
      <c r="U301" s="51" t="s">
        <v>823</v>
      </c>
      <c r="W301" s="52" t="s">
        <v>840</v>
      </c>
      <c r="Y301" s="210" t="s">
        <v>6825</v>
      </c>
      <c r="AB301" s="51" t="s">
        <v>6276</v>
      </c>
      <c r="AC301" s="51" t="s">
        <v>4397</v>
      </c>
      <c r="AE301" s="52" t="s">
        <v>2350</v>
      </c>
      <c r="AG301" s="210" t="s">
        <v>6826</v>
      </c>
    </row>
    <row r="302" spans="1:33" ht="25.5" x14ac:dyDescent="0.25">
      <c r="A302" s="51" t="s">
        <v>3672</v>
      </c>
      <c r="B302" s="51">
        <v>18</v>
      </c>
      <c r="C302" s="51" t="s">
        <v>34</v>
      </c>
      <c r="F302" s="189" t="str" cm="1">
        <f t="array" aca="1" ref="F302" ca="1">IF(I302=0,"",HYPERLINK("#"&amp;RIGHT(CELL("dateiname"),LEN(CELL("dateiname"))-FIND("]",CELL("dateiname")))&amp;"!"&amp;CELL("adresse",OFFSET($C$6,I302-1,0)),"Definition"))</f>
        <v/>
      </c>
      <c r="G302" s="189" t="str" cm="1">
        <f t="array" aca="1" ref="G302" ca="1">IF(J302=0,"",HYPERLINK("#"&amp;RIGHT(CELL("adresse",OFFSET(DMAV_Modell!$A$6,J302-1,0)),LEN(CELL("adresse",OFFSET(DMAV_Modell!$A$6,J302-1,0)))-SEARCH("]",CELL("adresse",OFFSET(DMAV_Modell!$A$6,J302-1,0)))),"Modell"))</f>
        <v>Modell</v>
      </c>
      <c r="H302" s="150" t="str">
        <f t="shared" si="8"/>
        <v>DEO18</v>
      </c>
      <c r="I302" s="150">
        <f t="shared" si="9"/>
        <v>0</v>
      </c>
      <c r="J302" s="150">
        <f>IF(_xlfn.XLOOKUP(H302,Korrelation!$B$4:$B$723,Korrelation!$A$4:$A$723,0,0)=0,0,MATCH(_xlfn.XLOOKUP(H302,Korrelation!$B$4:$B$723,Korrelation!$A$4:$A$723,0,0),DMAV_Modell!$G$6:$G$677,0))</f>
        <v>480</v>
      </c>
      <c r="L302" s="51" t="s">
        <v>20</v>
      </c>
      <c r="M302" s="51" t="s">
        <v>434</v>
      </c>
      <c r="O302" s="52" t="s">
        <v>460</v>
      </c>
      <c r="P302" s="56"/>
      <c r="Q302" s="52" t="s">
        <v>461</v>
      </c>
      <c r="R302" s="52"/>
      <c r="T302" s="51" t="s">
        <v>6130</v>
      </c>
      <c r="U302" s="51" t="s">
        <v>823</v>
      </c>
      <c r="W302" s="52" t="s">
        <v>841</v>
      </c>
      <c r="Y302" s="210" t="s">
        <v>6827</v>
      </c>
      <c r="AB302" s="51" t="s">
        <v>6276</v>
      </c>
      <c r="AC302" s="51" t="s">
        <v>4397</v>
      </c>
      <c r="AE302" s="52" t="s">
        <v>2349</v>
      </c>
      <c r="AG302" s="210" t="s">
        <v>6828</v>
      </c>
    </row>
    <row r="303" spans="1:33" ht="25.5" x14ac:dyDescent="0.25">
      <c r="A303" s="51" t="s">
        <v>3672</v>
      </c>
      <c r="B303" s="51">
        <v>19</v>
      </c>
      <c r="C303" s="51" t="s">
        <v>34</v>
      </c>
      <c r="F303" s="189" t="str" cm="1">
        <f t="array" aca="1" ref="F303" ca="1">IF(I303=0,"",HYPERLINK("#"&amp;RIGHT(CELL("dateiname"),LEN(CELL("dateiname"))-FIND("]",CELL("dateiname")))&amp;"!"&amp;CELL("adresse",OFFSET($C$6,I303-1,0)),"Definition"))</f>
        <v/>
      </c>
      <c r="G303" s="189" t="str" cm="1">
        <f t="array" aca="1" ref="G303" ca="1">IF(J303=0,"",HYPERLINK("#"&amp;RIGHT(CELL("adresse",OFFSET(DMAV_Modell!$A$6,J303-1,0)),LEN(CELL("adresse",OFFSET(DMAV_Modell!$A$6,J303-1,0)))-SEARCH("]",CELL("adresse",OFFSET(DMAV_Modell!$A$6,J303-1,0)))),"Modell"))</f>
        <v>Modell</v>
      </c>
      <c r="H303" s="150" t="str">
        <f t="shared" si="8"/>
        <v>DEO19</v>
      </c>
      <c r="I303" s="150">
        <f t="shared" si="9"/>
        <v>0</v>
      </c>
      <c r="J303" s="150">
        <f>IF(_xlfn.XLOOKUP(H303,Korrelation!$B$4:$B$723,Korrelation!$A$4:$A$723,0,0)=0,0,MATCH(_xlfn.XLOOKUP(H303,Korrelation!$B$4:$B$723,Korrelation!$A$4:$A$723,0,0),DMAV_Modell!$G$6:$G$677,0))</f>
        <v>481</v>
      </c>
      <c r="L303" s="51" t="s">
        <v>20</v>
      </c>
      <c r="M303" s="51" t="s">
        <v>434</v>
      </c>
      <c r="O303" s="52" t="s">
        <v>462</v>
      </c>
      <c r="P303" s="56"/>
      <c r="Q303" s="52" t="s">
        <v>463</v>
      </c>
      <c r="R303" s="52"/>
      <c r="T303" s="51" t="s">
        <v>6130</v>
      </c>
      <c r="U303" s="51" t="s">
        <v>823</v>
      </c>
      <c r="W303" s="52" t="s">
        <v>842</v>
      </c>
      <c r="Y303" s="210" t="s">
        <v>6829</v>
      </c>
      <c r="AB303" s="51" t="s">
        <v>6276</v>
      </c>
      <c r="AC303" s="51" t="s">
        <v>4397</v>
      </c>
      <c r="AE303" s="52" t="s">
        <v>2348</v>
      </c>
      <c r="AG303" s="210" t="s">
        <v>6830</v>
      </c>
    </row>
    <row r="304" spans="1:33" ht="25.5" x14ac:dyDescent="0.25">
      <c r="A304" s="51" t="s">
        <v>3672</v>
      </c>
      <c r="B304" s="51">
        <v>20</v>
      </c>
      <c r="C304" s="51" t="s">
        <v>34</v>
      </c>
      <c r="F304" s="189" t="str" cm="1">
        <f t="array" aca="1" ref="F304" ca="1">IF(I304=0,"",HYPERLINK("#"&amp;RIGHT(CELL("dateiname"),LEN(CELL("dateiname"))-FIND("]",CELL("dateiname")))&amp;"!"&amp;CELL("adresse",OFFSET($C$6,I304-1,0)),"Definition"))</f>
        <v/>
      </c>
      <c r="G304" s="189" t="str" cm="1">
        <f t="array" aca="1" ref="G304" ca="1">IF(J304=0,"",HYPERLINK("#"&amp;RIGHT(CELL("adresse",OFFSET(DMAV_Modell!$A$6,J304-1,0)),LEN(CELL("adresse",OFFSET(DMAV_Modell!$A$6,J304-1,0)))-SEARCH("]",CELL("adresse",OFFSET(DMAV_Modell!$A$6,J304-1,0)))),"Modell"))</f>
        <v>Modell</v>
      </c>
      <c r="H304" s="150" t="str">
        <f t="shared" si="8"/>
        <v>DEO20</v>
      </c>
      <c r="I304" s="150">
        <f t="shared" si="9"/>
        <v>0</v>
      </c>
      <c r="J304" s="150">
        <f>IF(_xlfn.XLOOKUP(H304,Korrelation!$B$4:$B$723,Korrelation!$A$4:$A$723,0,0)=0,0,MATCH(_xlfn.XLOOKUP(H304,Korrelation!$B$4:$B$723,Korrelation!$A$4:$A$723,0,0),DMAV_Modell!$G$6:$G$677,0))</f>
        <v>482</v>
      </c>
      <c r="L304" s="51" t="s">
        <v>20</v>
      </c>
      <c r="M304" s="51" t="s">
        <v>434</v>
      </c>
      <c r="O304" s="52" t="s">
        <v>464</v>
      </c>
      <c r="P304" s="56"/>
      <c r="Q304" s="52" t="s">
        <v>465</v>
      </c>
      <c r="R304" s="52"/>
      <c r="T304" s="51" t="s">
        <v>6130</v>
      </c>
      <c r="U304" s="51" t="s">
        <v>823</v>
      </c>
      <c r="W304" s="52" t="s">
        <v>843</v>
      </c>
      <c r="Y304" s="210" t="s">
        <v>6831</v>
      </c>
      <c r="AB304" s="51" t="s">
        <v>6276</v>
      </c>
      <c r="AC304" s="51" t="s">
        <v>4397</v>
      </c>
      <c r="AE304" s="52" t="s">
        <v>2347</v>
      </c>
      <c r="AG304" s="210" t="s">
        <v>6832</v>
      </c>
    </row>
    <row r="305" spans="1:33" x14ac:dyDescent="0.25">
      <c r="A305" s="51" t="s">
        <v>3672</v>
      </c>
      <c r="B305" s="51">
        <v>21</v>
      </c>
      <c r="C305" s="51" t="s">
        <v>34</v>
      </c>
      <c r="F305" s="189" t="str" cm="1">
        <f t="array" aca="1" ref="F305" ca="1">IF(I305=0,"",HYPERLINK("#"&amp;RIGHT(CELL("dateiname"),LEN(CELL("dateiname"))-FIND("]",CELL("dateiname")))&amp;"!"&amp;CELL("adresse",OFFSET($C$6,I305-1,0)),"Definition"))</f>
        <v/>
      </c>
      <c r="G305" s="189" t="str" cm="1">
        <f t="array" aca="1" ref="G305" ca="1">IF(J305=0,"",HYPERLINK("#"&amp;RIGHT(CELL("adresse",OFFSET(DMAV_Modell!$A$6,J305-1,0)),LEN(CELL("adresse",OFFSET(DMAV_Modell!$A$6,J305-1,0)))-SEARCH("]",CELL("adresse",OFFSET(DMAV_Modell!$A$6,J305-1,0)))),"Modell"))</f>
        <v>Modell</v>
      </c>
      <c r="H305" s="150" t="str">
        <f t="shared" si="8"/>
        <v>DEO21</v>
      </c>
      <c r="I305" s="150">
        <f t="shared" si="9"/>
        <v>0</v>
      </c>
      <c r="J305" s="150">
        <f>IF(_xlfn.XLOOKUP(H305,Korrelation!$B$4:$B$723,Korrelation!$A$4:$A$723,0,0)=0,0,MATCH(_xlfn.XLOOKUP(H305,Korrelation!$B$4:$B$723,Korrelation!$A$4:$A$723,0,0),DMAV_Modell!$G$6:$G$677,0))</f>
        <v>483</v>
      </c>
      <c r="L305" s="51" t="s">
        <v>20</v>
      </c>
      <c r="M305" s="51" t="s">
        <v>434</v>
      </c>
      <c r="O305" s="52" t="s">
        <v>466</v>
      </c>
      <c r="P305" s="56"/>
      <c r="Q305" s="52" t="s">
        <v>467</v>
      </c>
      <c r="R305" s="52"/>
      <c r="T305" s="51" t="s">
        <v>6130</v>
      </c>
      <c r="U305" s="51" t="s">
        <v>823</v>
      </c>
      <c r="W305" s="52" t="s">
        <v>844</v>
      </c>
      <c r="Y305" s="210" t="s">
        <v>6833</v>
      </c>
      <c r="AB305" s="51" t="s">
        <v>6276</v>
      </c>
      <c r="AC305" s="51" t="s">
        <v>4397</v>
      </c>
      <c r="AE305" s="52" t="s">
        <v>2346</v>
      </c>
      <c r="AG305" s="210" t="s">
        <v>6834</v>
      </c>
    </row>
    <row r="306" spans="1:33" x14ac:dyDescent="0.25">
      <c r="A306" s="51" t="s">
        <v>3672</v>
      </c>
      <c r="B306" s="51">
        <v>22</v>
      </c>
      <c r="C306" s="51" t="s">
        <v>34</v>
      </c>
      <c r="F306" s="189" t="str" cm="1">
        <f t="array" aca="1" ref="F306" ca="1">IF(I306=0,"",HYPERLINK("#"&amp;RIGHT(CELL("dateiname"),LEN(CELL("dateiname"))-FIND("]",CELL("dateiname")))&amp;"!"&amp;CELL("adresse",OFFSET($C$6,I306-1,0)),"Definition"))</f>
        <v/>
      </c>
      <c r="G306" s="189" t="str" cm="1">
        <f t="array" aca="1" ref="G306" ca="1">IF(J306=0,"",HYPERLINK("#"&amp;RIGHT(CELL("adresse",OFFSET(DMAV_Modell!$A$6,J306-1,0)),LEN(CELL("adresse",OFFSET(DMAV_Modell!$A$6,J306-1,0)))-SEARCH("]",CELL("adresse",OFFSET(DMAV_Modell!$A$6,J306-1,0)))),"Modell"))</f>
        <v>Modell</v>
      </c>
      <c r="H306" s="150" t="str">
        <f t="shared" si="8"/>
        <v>DEO22</v>
      </c>
      <c r="I306" s="150">
        <f t="shared" si="9"/>
        <v>0</v>
      </c>
      <c r="J306" s="150">
        <f>IF(_xlfn.XLOOKUP(H306,Korrelation!$B$4:$B$723,Korrelation!$A$4:$A$723,0,0)=0,0,MATCH(_xlfn.XLOOKUP(H306,Korrelation!$B$4:$B$723,Korrelation!$A$4:$A$723,0,0),DMAV_Modell!$G$6:$G$677,0))</f>
        <v>484</v>
      </c>
      <c r="L306" s="51" t="s">
        <v>20</v>
      </c>
      <c r="M306" s="51" t="s">
        <v>434</v>
      </c>
      <c r="O306" s="52" t="s">
        <v>468</v>
      </c>
      <c r="P306" s="56"/>
      <c r="Q306" s="52" t="s">
        <v>3773</v>
      </c>
      <c r="R306" s="52"/>
      <c r="T306" s="51" t="s">
        <v>6130</v>
      </c>
      <c r="U306" s="51" t="s">
        <v>823</v>
      </c>
      <c r="W306" s="52" t="s">
        <v>845</v>
      </c>
      <c r="Y306" s="210" t="s">
        <v>6835</v>
      </c>
      <c r="AB306" s="51" t="s">
        <v>6276</v>
      </c>
      <c r="AC306" s="51" t="s">
        <v>4397</v>
      </c>
      <c r="AE306" s="52" t="s">
        <v>2345</v>
      </c>
      <c r="AG306" s="210" t="s">
        <v>6836</v>
      </c>
    </row>
    <row r="307" spans="1:33" ht="38.25" x14ac:dyDescent="0.25">
      <c r="A307" s="51" t="s">
        <v>3672</v>
      </c>
      <c r="B307" s="51">
        <v>23</v>
      </c>
      <c r="C307" s="51" t="s">
        <v>34</v>
      </c>
      <c r="F307" s="189" t="str" cm="1">
        <f t="array" aca="1" ref="F307" ca="1">IF(I307=0,"",HYPERLINK("#"&amp;RIGHT(CELL("dateiname"),LEN(CELL("dateiname"))-FIND("]",CELL("dateiname")))&amp;"!"&amp;CELL("adresse",OFFSET($C$6,I307-1,0)),"Definition"))</f>
        <v/>
      </c>
      <c r="G307" s="189" t="str" cm="1">
        <f t="array" aca="1" ref="G307" ca="1">IF(J307=0,"",HYPERLINK("#"&amp;RIGHT(CELL("adresse",OFFSET(DMAV_Modell!$A$6,J307-1,0)),LEN(CELL("adresse",OFFSET(DMAV_Modell!$A$6,J307-1,0)))-SEARCH("]",CELL("adresse",OFFSET(DMAV_Modell!$A$6,J307-1,0)))),"Modell"))</f>
        <v>Modell</v>
      </c>
      <c r="H307" s="150" t="str">
        <f t="shared" si="8"/>
        <v>DEO23</v>
      </c>
      <c r="I307" s="150">
        <f t="shared" si="9"/>
        <v>0</v>
      </c>
      <c r="J307" s="150">
        <f>IF(_xlfn.XLOOKUP(H307,Korrelation!$B$4:$B$723,Korrelation!$A$4:$A$723,0,0)=0,0,MATCH(_xlfn.XLOOKUP(H307,Korrelation!$B$4:$B$723,Korrelation!$A$4:$A$723,0,0),DMAV_Modell!$G$6:$G$677,0))</f>
        <v>485</v>
      </c>
      <c r="L307" s="51" t="s">
        <v>20</v>
      </c>
      <c r="M307" s="51" t="s">
        <v>434</v>
      </c>
      <c r="O307" s="52" t="s">
        <v>469</v>
      </c>
      <c r="P307" s="56"/>
      <c r="Q307" s="52" t="s">
        <v>3774</v>
      </c>
      <c r="R307" s="52"/>
      <c r="T307" s="51" t="s">
        <v>6130</v>
      </c>
      <c r="U307" s="51" t="s">
        <v>823</v>
      </c>
      <c r="W307" s="52" t="s">
        <v>846</v>
      </c>
      <c r="Y307" s="210" t="s">
        <v>6837</v>
      </c>
      <c r="AB307" s="51" t="s">
        <v>6276</v>
      </c>
      <c r="AC307" s="51" t="s">
        <v>4397</v>
      </c>
      <c r="AE307" s="52" t="s">
        <v>2344</v>
      </c>
      <c r="AG307" s="210" t="s">
        <v>6838</v>
      </c>
    </row>
    <row r="308" spans="1:33" ht="25.5" x14ac:dyDescent="0.25">
      <c r="A308" s="51" t="s">
        <v>3672</v>
      </c>
      <c r="B308" s="51">
        <v>24</v>
      </c>
      <c r="C308" s="51" t="s">
        <v>34</v>
      </c>
      <c r="F308" s="189" t="str" cm="1">
        <f t="array" aca="1" ref="F308" ca="1">IF(I308=0,"",HYPERLINK("#"&amp;RIGHT(CELL("dateiname"),LEN(CELL("dateiname"))-FIND("]",CELL("dateiname")))&amp;"!"&amp;CELL("adresse",OFFSET($C$6,I308-1,0)),"Definition"))</f>
        <v/>
      </c>
      <c r="G308" s="189" t="str" cm="1">
        <f t="array" aca="1" ref="G308" ca="1">IF(J308=0,"",HYPERLINK("#"&amp;RIGHT(CELL("adresse",OFFSET(DMAV_Modell!$A$6,J308-1,0)),LEN(CELL("adresse",OFFSET(DMAV_Modell!$A$6,J308-1,0)))-SEARCH("]",CELL("adresse",OFFSET(DMAV_Modell!$A$6,J308-1,0)))),"Modell"))</f>
        <v>Modell</v>
      </c>
      <c r="H308" s="150" t="str">
        <f t="shared" si="8"/>
        <v>DEO24</v>
      </c>
      <c r="I308" s="150">
        <f t="shared" si="9"/>
        <v>0</v>
      </c>
      <c r="J308" s="150">
        <f>IF(_xlfn.XLOOKUP(H308,Korrelation!$B$4:$B$723,Korrelation!$A$4:$A$723,0,0)=0,0,MATCH(_xlfn.XLOOKUP(H308,Korrelation!$B$4:$B$723,Korrelation!$A$4:$A$723,0,0),DMAV_Modell!$G$6:$G$677,0))</f>
        <v>486</v>
      </c>
      <c r="L308" s="51" t="s">
        <v>20</v>
      </c>
      <c r="M308" s="51" t="s">
        <v>434</v>
      </c>
      <c r="O308" s="52" t="s">
        <v>470</v>
      </c>
      <c r="P308" s="56"/>
      <c r="Q308" s="52" t="s">
        <v>3775</v>
      </c>
      <c r="R308" s="52"/>
      <c r="T308" s="51" t="s">
        <v>6130</v>
      </c>
      <c r="U308" s="51" t="s">
        <v>823</v>
      </c>
      <c r="W308" s="52" t="s">
        <v>847</v>
      </c>
      <c r="Y308" s="210" t="s">
        <v>6839</v>
      </c>
      <c r="AB308" s="51" t="s">
        <v>6276</v>
      </c>
      <c r="AC308" s="51" t="s">
        <v>4397</v>
      </c>
      <c r="AE308" s="52" t="s">
        <v>2343</v>
      </c>
      <c r="AG308" s="210" t="s">
        <v>6840</v>
      </c>
    </row>
    <row r="309" spans="1:33" ht="25.5" x14ac:dyDescent="0.25">
      <c r="A309" s="51" t="s">
        <v>3672</v>
      </c>
      <c r="B309" s="51">
        <v>25</v>
      </c>
      <c r="C309" s="51" t="s">
        <v>34</v>
      </c>
      <c r="F309" s="189" t="str" cm="1">
        <f t="array" aca="1" ref="F309" ca="1">IF(I309=0,"",HYPERLINK("#"&amp;RIGHT(CELL("dateiname"),LEN(CELL("dateiname"))-FIND("]",CELL("dateiname")))&amp;"!"&amp;CELL("adresse",OFFSET($C$6,I309-1,0)),"Definition"))</f>
        <v/>
      </c>
      <c r="G309" s="189" t="str" cm="1">
        <f t="array" aca="1" ref="G309" ca="1">IF(J309=0,"",HYPERLINK("#"&amp;RIGHT(CELL("adresse",OFFSET(DMAV_Modell!$A$6,J309-1,0)),LEN(CELL("adresse",OFFSET(DMAV_Modell!$A$6,J309-1,0)))-SEARCH("]",CELL("adresse",OFFSET(DMAV_Modell!$A$6,J309-1,0)))),"Modell"))</f>
        <v>Modell</v>
      </c>
      <c r="H309" s="150" t="str">
        <f t="shared" si="8"/>
        <v>DEO25</v>
      </c>
      <c r="I309" s="150">
        <f t="shared" si="9"/>
        <v>0</v>
      </c>
      <c r="J309" s="150">
        <f>IF(_xlfn.XLOOKUP(H309,Korrelation!$B$4:$B$723,Korrelation!$A$4:$A$723,0,0)=0,0,MATCH(_xlfn.XLOOKUP(H309,Korrelation!$B$4:$B$723,Korrelation!$A$4:$A$723,0,0),DMAV_Modell!$G$6:$G$677,0))</f>
        <v>487</v>
      </c>
      <c r="L309" s="51" t="s">
        <v>20</v>
      </c>
      <c r="M309" s="51" t="s">
        <v>434</v>
      </c>
      <c r="O309" s="52" t="s">
        <v>471</v>
      </c>
      <c r="P309" s="56"/>
      <c r="Q309" s="52" t="s">
        <v>472</v>
      </c>
      <c r="R309" s="52"/>
      <c r="T309" s="51" t="s">
        <v>6130</v>
      </c>
      <c r="U309" s="51" t="s">
        <v>823</v>
      </c>
      <c r="W309" s="52" t="s">
        <v>848</v>
      </c>
      <c r="Y309" s="210" t="s">
        <v>6841</v>
      </c>
      <c r="AB309" s="51" t="s">
        <v>6276</v>
      </c>
      <c r="AC309" s="51" t="s">
        <v>4397</v>
      </c>
      <c r="AE309" s="52" t="s">
        <v>2342</v>
      </c>
      <c r="AG309" s="210" t="s">
        <v>6842</v>
      </c>
    </row>
    <row r="310" spans="1:33" ht="25.5" x14ac:dyDescent="0.25">
      <c r="A310" s="51" t="s">
        <v>3672</v>
      </c>
      <c r="B310" s="51">
        <v>26</v>
      </c>
      <c r="C310" s="51" t="s">
        <v>34</v>
      </c>
      <c r="F310" s="189" t="str" cm="1">
        <f t="array" aca="1" ref="F310" ca="1">IF(I310=0,"",HYPERLINK("#"&amp;RIGHT(CELL("dateiname"),LEN(CELL("dateiname"))-FIND("]",CELL("dateiname")))&amp;"!"&amp;CELL("adresse",OFFSET($C$6,I310-1,0)),"Definition"))</f>
        <v/>
      </c>
      <c r="G310" s="189" t="str" cm="1">
        <f t="array" aca="1" ref="G310" ca="1">IF(J310=0,"",HYPERLINK("#"&amp;RIGHT(CELL("adresse",OFFSET(DMAV_Modell!$A$6,J310-1,0)),LEN(CELL("adresse",OFFSET(DMAV_Modell!$A$6,J310-1,0)))-SEARCH("]",CELL("adresse",OFFSET(DMAV_Modell!$A$6,J310-1,0)))),"Modell"))</f>
        <v>Modell</v>
      </c>
      <c r="H310" s="150" t="str">
        <f t="shared" si="8"/>
        <v>DEO26</v>
      </c>
      <c r="I310" s="150">
        <f t="shared" si="9"/>
        <v>0</v>
      </c>
      <c r="J310" s="150">
        <f>IF(_xlfn.XLOOKUP(H310,Korrelation!$B$4:$B$723,Korrelation!$A$4:$A$723,0,0)=0,0,MATCH(_xlfn.XLOOKUP(H310,Korrelation!$B$4:$B$723,Korrelation!$A$4:$A$723,0,0),DMAV_Modell!$G$6:$G$677,0))</f>
        <v>488</v>
      </c>
      <c r="L310" s="51" t="s">
        <v>20</v>
      </c>
      <c r="M310" s="51" t="s">
        <v>434</v>
      </c>
      <c r="O310" s="52" t="s">
        <v>473</v>
      </c>
      <c r="P310" s="56"/>
      <c r="Q310" s="52" t="s">
        <v>474</v>
      </c>
      <c r="R310" s="52"/>
      <c r="T310" s="51" t="s">
        <v>6130</v>
      </c>
      <c r="U310" s="51" t="s">
        <v>823</v>
      </c>
      <c r="W310" s="52" t="s">
        <v>849</v>
      </c>
      <c r="Y310" s="210" t="s">
        <v>6843</v>
      </c>
      <c r="AB310" s="51" t="s">
        <v>6276</v>
      </c>
      <c r="AC310" s="51" t="s">
        <v>4397</v>
      </c>
      <c r="AE310" s="52" t="s">
        <v>2341</v>
      </c>
      <c r="AG310" s="210" t="s">
        <v>6844</v>
      </c>
    </row>
    <row r="311" spans="1:33" ht="38.25" x14ac:dyDescent="0.25">
      <c r="A311" s="51" t="s">
        <v>3672</v>
      </c>
      <c r="B311" s="51">
        <v>27</v>
      </c>
      <c r="C311" s="51" t="s">
        <v>34</v>
      </c>
      <c r="F311" s="189" t="str" cm="1">
        <f t="array" aca="1" ref="F311" ca="1">IF(I311=0,"",HYPERLINK("#"&amp;RIGHT(CELL("dateiname"),LEN(CELL("dateiname"))-FIND("]",CELL("dateiname")))&amp;"!"&amp;CELL("adresse",OFFSET($C$6,I311-1,0)),"Definition"))</f>
        <v/>
      </c>
      <c r="G311" s="189" t="str" cm="1">
        <f t="array" aca="1" ref="G311" ca="1">IF(J311=0,"",HYPERLINK("#"&amp;RIGHT(CELL("adresse",OFFSET(DMAV_Modell!$A$6,J311-1,0)),LEN(CELL("adresse",OFFSET(DMAV_Modell!$A$6,J311-1,0)))-SEARCH("]",CELL("adresse",OFFSET(DMAV_Modell!$A$6,J311-1,0)))),"Modell"))</f>
        <v>Modell</v>
      </c>
      <c r="H311" s="150" t="str">
        <f t="shared" si="8"/>
        <v>DEO27</v>
      </c>
      <c r="I311" s="150">
        <f t="shared" si="9"/>
        <v>0</v>
      </c>
      <c r="J311" s="150">
        <f>IF(_xlfn.XLOOKUP(H311,Korrelation!$B$4:$B$723,Korrelation!$A$4:$A$723,0,0)=0,0,MATCH(_xlfn.XLOOKUP(H311,Korrelation!$B$4:$B$723,Korrelation!$A$4:$A$723,0,0),DMAV_Modell!$G$6:$G$677,0))</f>
        <v>489</v>
      </c>
      <c r="L311" s="51" t="s">
        <v>20</v>
      </c>
      <c r="M311" s="51" t="s">
        <v>434</v>
      </c>
      <c r="O311" s="52" t="s">
        <v>475</v>
      </c>
      <c r="P311" s="56"/>
      <c r="Q311" s="52" t="s">
        <v>3776</v>
      </c>
      <c r="R311" s="52"/>
      <c r="T311" s="51" t="s">
        <v>6130</v>
      </c>
      <c r="U311" s="51" t="s">
        <v>823</v>
      </c>
      <c r="W311" s="52" t="s">
        <v>850</v>
      </c>
      <c r="Y311" s="210" t="s">
        <v>6845</v>
      </c>
      <c r="AB311" s="51" t="s">
        <v>6276</v>
      </c>
      <c r="AC311" s="51" t="s">
        <v>4397</v>
      </c>
      <c r="AE311" s="52" t="s">
        <v>2340</v>
      </c>
      <c r="AG311" s="210" t="s">
        <v>6846</v>
      </c>
    </row>
    <row r="312" spans="1:33" ht="63.75" x14ac:dyDescent="0.25">
      <c r="A312" s="51" t="s">
        <v>3672</v>
      </c>
      <c r="B312" s="51">
        <v>28</v>
      </c>
      <c r="C312" s="51" t="s">
        <v>34</v>
      </c>
      <c r="F312" s="189" t="str" cm="1">
        <f t="array" aca="1" ref="F312" ca="1">IF(I312=0,"",HYPERLINK("#"&amp;RIGHT(CELL("dateiname"),LEN(CELL("dateiname"))-FIND("]",CELL("dateiname")))&amp;"!"&amp;CELL("adresse",OFFSET($C$6,I312-1,0)),"Definition"))</f>
        <v/>
      </c>
      <c r="G312" s="189" t="str" cm="1">
        <f t="array" aca="1" ref="G312" ca="1">IF(J312=0,"",HYPERLINK("#"&amp;RIGHT(CELL("adresse",OFFSET(DMAV_Modell!$A$6,J312-1,0)),LEN(CELL("adresse",OFFSET(DMAV_Modell!$A$6,J312-1,0)))-SEARCH("]",CELL("adresse",OFFSET(DMAV_Modell!$A$6,J312-1,0)))),"Modell"))</f>
        <v>Modell</v>
      </c>
      <c r="H312" s="150" t="str">
        <f t="shared" si="8"/>
        <v>DEO28</v>
      </c>
      <c r="I312" s="150">
        <f t="shared" si="9"/>
        <v>0</v>
      </c>
      <c r="J312" s="150">
        <f>IF(_xlfn.XLOOKUP(H312,Korrelation!$B$4:$B$723,Korrelation!$A$4:$A$723,0,0)=0,0,MATCH(_xlfn.XLOOKUP(H312,Korrelation!$B$4:$B$723,Korrelation!$A$4:$A$723,0,0),DMAV_Modell!$G$6:$G$677,0))</f>
        <v>490</v>
      </c>
      <c r="L312" s="51" t="s">
        <v>20</v>
      </c>
      <c r="M312" s="51" t="s">
        <v>434</v>
      </c>
      <c r="O312" s="52" t="s">
        <v>476</v>
      </c>
      <c r="P312" s="56"/>
      <c r="Q312" s="52" t="s">
        <v>3777</v>
      </c>
      <c r="R312" s="52"/>
      <c r="T312" s="51" t="s">
        <v>6130</v>
      </c>
      <c r="U312" s="51" t="s">
        <v>823</v>
      </c>
      <c r="W312" s="52" t="s">
        <v>851</v>
      </c>
      <c r="Y312" s="210" t="s">
        <v>6847</v>
      </c>
      <c r="AB312" s="51" t="s">
        <v>6276</v>
      </c>
      <c r="AC312" s="51" t="s">
        <v>4397</v>
      </c>
      <c r="AE312" s="52" t="s">
        <v>2339</v>
      </c>
      <c r="AG312" s="210" t="s">
        <v>6848</v>
      </c>
    </row>
    <row r="313" spans="1:33" ht="25.5" x14ac:dyDescent="0.25">
      <c r="A313" s="51" t="s">
        <v>3672</v>
      </c>
      <c r="B313" s="51">
        <v>29</v>
      </c>
      <c r="C313" s="51" t="s">
        <v>34</v>
      </c>
      <c r="F313" s="189" t="str" cm="1">
        <f t="array" aca="1" ref="F313" ca="1">IF(I313=0,"",HYPERLINK("#"&amp;RIGHT(CELL("dateiname"),LEN(CELL("dateiname"))-FIND("]",CELL("dateiname")))&amp;"!"&amp;CELL("adresse",OFFSET($C$6,I313-1,0)),"Definition"))</f>
        <v/>
      </c>
      <c r="G313" s="189" t="str" cm="1">
        <f t="array" aca="1" ref="G313" ca="1">IF(J313=0,"",HYPERLINK("#"&amp;RIGHT(CELL("adresse",OFFSET(DMAV_Modell!$A$6,J313-1,0)),LEN(CELL("adresse",OFFSET(DMAV_Modell!$A$6,J313-1,0)))-SEARCH("]",CELL("adresse",OFFSET(DMAV_Modell!$A$6,J313-1,0)))),"Modell"))</f>
        <v>Modell</v>
      </c>
      <c r="H313" s="150" t="str">
        <f t="shared" si="8"/>
        <v>DEO29</v>
      </c>
      <c r="I313" s="150">
        <f t="shared" si="9"/>
        <v>0</v>
      </c>
      <c r="J313" s="150">
        <f>IF(_xlfn.XLOOKUP(H313,Korrelation!$B$4:$B$723,Korrelation!$A$4:$A$723,0,0)=0,0,MATCH(_xlfn.XLOOKUP(H313,Korrelation!$B$4:$B$723,Korrelation!$A$4:$A$723,0,0),DMAV_Modell!$G$6:$G$677,0))</f>
        <v>491</v>
      </c>
      <c r="L313" s="51" t="s">
        <v>20</v>
      </c>
      <c r="M313" s="51" t="s">
        <v>434</v>
      </c>
      <c r="O313" s="52" t="s">
        <v>477</v>
      </c>
      <c r="P313" s="56"/>
      <c r="Q313" s="52" t="s">
        <v>478</v>
      </c>
      <c r="R313" s="52"/>
      <c r="T313" s="51" t="s">
        <v>6130</v>
      </c>
      <c r="U313" s="51" t="s">
        <v>823</v>
      </c>
      <c r="W313" s="52" t="s">
        <v>852</v>
      </c>
      <c r="Y313" s="210" t="s">
        <v>6849</v>
      </c>
      <c r="AB313" s="51" t="s">
        <v>6276</v>
      </c>
      <c r="AC313" s="51" t="s">
        <v>4397</v>
      </c>
      <c r="AE313" s="52" t="s">
        <v>2338</v>
      </c>
      <c r="AG313" s="210" t="s">
        <v>6850</v>
      </c>
    </row>
    <row r="314" spans="1:33" x14ac:dyDescent="0.25">
      <c r="A314" s="51" t="s">
        <v>3672</v>
      </c>
      <c r="B314" s="51">
        <v>30</v>
      </c>
      <c r="C314" s="51" t="s">
        <v>34</v>
      </c>
      <c r="F314" s="189" t="str" cm="1">
        <f t="array" aca="1" ref="F314" ca="1">IF(I314=0,"",HYPERLINK("#"&amp;RIGHT(CELL("dateiname"),LEN(CELL("dateiname"))-FIND("]",CELL("dateiname")))&amp;"!"&amp;CELL("adresse",OFFSET($C$6,I314-1,0)),"Definition"))</f>
        <v/>
      </c>
      <c r="G314" s="189" t="str" cm="1">
        <f t="array" aca="1" ref="G314" ca="1">IF(J314=0,"",HYPERLINK("#"&amp;RIGHT(CELL("adresse",OFFSET(DMAV_Modell!$A$6,J314-1,0)),LEN(CELL("adresse",OFFSET(DMAV_Modell!$A$6,J314-1,0)))-SEARCH("]",CELL("adresse",OFFSET(DMAV_Modell!$A$6,J314-1,0)))),"Modell"))</f>
        <v>Modell</v>
      </c>
      <c r="H314" s="150" t="str">
        <f t="shared" si="8"/>
        <v>DEO30</v>
      </c>
      <c r="I314" s="150">
        <f t="shared" si="9"/>
        <v>0</v>
      </c>
      <c r="J314" s="150">
        <f>IF(_xlfn.XLOOKUP(H314,Korrelation!$B$4:$B$723,Korrelation!$A$4:$A$723,0,0)=0,0,MATCH(_xlfn.XLOOKUP(H314,Korrelation!$B$4:$B$723,Korrelation!$A$4:$A$723,0,0),DMAV_Modell!$G$6:$G$677,0))</f>
        <v>492</v>
      </c>
      <c r="L314" s="51" t="s">
        <v>20</v>
      </c>
      <c r="M314" s="51" t="s">
        <v>434</v>
      </c>
      <c r="O314" s="52" t="s">
        <v>479</v>
      </c>
      <c r="P314" s="56"/>
      <c r="Q314" s="52" t="s">
        <v>480</v>
      </c>
      <c r="R314" s="52"/>
      <c r="T314" s="51" t="s">
        <v>6130</v>
      </c>
      <c r="U314" s="51" t="s">
        <v>823</v>
      </c>
      <c r="W314" s="52" t="s">
        <v>853</v>
      </c>
      <c r="Y314" s="210" t="s">
        <v>6851</v>
      </c>
      <c r="AB314" s="51" t="s">
        <v>6276</v>
      </c>
      <c r="AC314" s="51" t="s">
        <v>4397</v>
      </c>
      <c r="AE314" s="52" t="s">
        <v>2337</v>
      </c>
      <c r="AG314" s="210" t="s">
        <v>6852</v>
      </c>
    </row>
    <row r="315" spans="1:33" ht="25.5" x14ac:dyDescent="0.25">
      <c r="A315" s="51" t="s">
        <v>3672</v>
      </c>
      <c r="B315" s="51">
        <v>31</v>
      </c>
      <c r="C315" s="51" t="s">
        <v>34</v>
      </c>
      <c r="F315" s="189" t="str" cm="1">
        <f t="array" aca="1" ref="F315" ca="1">IF(I315=0,"",HYPERLINK("#"&amp;RIGHT(CELL("dateiname"),LEN(CELL("dateiname"))-FIND("]",CELL("dateiname")))&amp;"!"&amp;CELL("adresse",OFFSET($C$6,I315-1,0)),"Definition"))</f>
        <v/>
      </c>
      <c r="G315" s="189" t="str" cm="1">
        <f t="array" aca="1" ref="G315" ca="1">IF(J315=0,"",HYPERLINK("#"&amp;RIGHT(CELL("adresse",OFFSET(DMAV_Modell!$A$6,J315-1,0)),LEN(CELL("adresse",OFFSET(DMAV_Modell!$A$6,J315-1,0)))-SEARCH("]",CELL("adresse",OFFSET(DMAV_Modell!$A$6,J315-1,0)))),"Modell"))</f>
        <v>Modell</v>
      </c>
      <c r="H315" s="150" t="str">
        <f t="shared" si="8"/>
        <v>DEO31</v>
      </c>
      <c r="I315" s="150">
        <f t="shared" si="9"/>
        <v>0</v>
      </c>
      <c r="J315" s="150">
        <f>IF(_xlfn.XLOOKUP(H315,Korrelation!$B$4:$B$723,Korrelation!$A$4:$A$723,0,0)=0,0,MATCH(_xlfn.XLOOKUP(H315,Korrelation!$B$4:$B$723,Korrelation!$A$4:$A$723,0,0),DMAV_Modell!$G$6:$G$677,0))</f>
        <v>493</v>
      </c>
      <c r="L315" s="51" t="s">
        <v>20</v>
      </c>
      <c r="M315" s="51" t="s">
        <v>434</v>
      </c>
      <c r="O315" s="52" t="s">
        <v>481</v>
      </c>
      <c r="P315" s="56"/>
      <c r="Q315" s="52" t="s">
        <v>482</v>
      </c>
      <c r="R315" s="52"/>
      <c r="T315" s="51" t="s">
        <v>6130</v>
      </c>
      <c r="U315" s="51" t="s">
        <v>823</v>
      </c>
      <c r="W315" s="52" t="s">
        <v>854</v>
      </c>
      <c r="Y315" s="210" t="s">
        <v>6853</v>
      </c>
      <c r="AB315" s="51" t="s">
        <v>6276</v>
      </c>
      <c r="AC315" s="51" t="s">
        <v>4397</v>
      </c>
      <c r="AE315" s="52" t="s">
        <v>2336</v>
      </c>
      <c r="AG315" s="210" t="s">
        <v>6854</v>
      </c>
    </row>
    <row r="316" spans="1:33" ht="25.5" x14ac:dyDescent="0.25">
      <c r="A316" s="51" t="s">
        <v>3672</v>
      </c>
      <c r="B316" s="51">
        <v>32</v>
      </c>
      <c r="C316" s="51" t="s">
        <v>34</v>
      </c>
      <c r="F316" s="189" t="str" cm="1">
        <f t="array" aca="1" ref="F316" ca="1">IF(I316=0,"",HYPERLINK("#"&amp;RIGHT(CELL("dateiname"),LEN(CELL("dateiname"))-FIND("]",CELL("dateiname")))&amp;"!"&amp;CELL("adresse",OFFSET($C$6,I316-1,0)),"Definition"))</f>
        <v/>
      </c>
      <c r="G316" s="189" t="str" cm="1">
        <f t="array" aca="1" ref="G316" ca="1">IF(J316=0,"",HYPERLINK("#"&amp;RIGHT(CELL("adresse",OFFSET(DMAV_Modell!$A$6,J316-1,0)),LEN(CELL("adresse",OFFSET(DMAV_Modell!$A$6,J316-1,0)))-SEARCH("]",CELL("adresse",OFFSET(DMAV_Modell!$A$6,J316-1,0)))),"Modell"))</f>
        <v>Modell</v>
      </c>
      <c r="H316" s="150" t="str">
        <f t="shared" si="8"/>
        <v>DEO32</v>
      </c>
      <c r="I316" s="150">
        <f t="shared" si="9"/>
        <v>0</v>
      </c>
      <c r="J316" s="150">
        <f>IF(_xlfn.XLOOKUP(H316,Korrelation!$B$4:$B$723,Korrelation!$A$4:$A$723,0,0)=0,0,MATCH(_xlfn.XLOOKUP(H316,Korrelation!$B$4:$B$723,Korrelation!$A$4:$A$723,0,0),DMAV_Modell!$G$6:$G$677,0))</f>
        <v>494</v>
      </c>
      <c r="L316" s="51" t="s">
        <v>20</v>
      </c>
      <c r="M316" s="51" t="s">
        <v>434</v>
      </c>
      <c r="O316" s="52" t="s">
        <v>483</v>
      </c>
      <c r="P316" s="56"/>
      <c r="Q316" s="52" t="s">
        <v>484</v>
      </c>
      <c r="R316" s="52"/>
      <c r="T316" s="51" t="s">
        <v>6130</v>
      </c>
      <c r="U316" s="51" t="s">
        <v>823</v>
      </c>
      <c r="W316" s="52" t="s">
        <v>855</v>
      </c>
      <c r="Y316" s="210" t="s">
        <v>6855</v>
      </c>
      <c r="AB316" s="51" t="s">
        <v>6276</v>
      </c>
      <c r="AC316" s="51" t="s">
        <v>4397</v>
      </c>
      <c r="AE316" s="52" t="s">
        <v>2335</v>
      </c>
      <c r="AG316" s="210" t="s">
        <v>6856</v>
      </c>
    </row>
    <row r="317" spans="1:33" ht="25.5" x14ac:dyDescent="0.25">
      <c r="A317" s="51" t="s">
        <v>3672</v>
      </c>
      <c r="B317" s="51">
        <v>33</v>
      </c>
      <c r="C317" s="51" t="s">
        <v>34</v>
      </c>
      <c r="F317" s="189" t="str" cm="1">
        <f t="array" aca="1" ref="F317" ca="1">IF(I317=0,"",HYPERLINK("#"&amp;RIGHT(CELL("dateiname"),LEN(CELL("dateiname"))-FIND("]",CELL("dateiname")))&amp;"!"&amp;CELL("adresse",OFFSET($C$6,I317-1,0)),"Definition"))</f>
        <v/>
      </c>
      <c r="G317" s="189" t="str" cm="1">
        <f t="array" aca="1" ref="G317" ca="1">IF(J317=0,"",HYPERLINK("#"&amp;RIGHT(CELL("adresse",OFFSET(DMAV_Modell!$A$6,J317-1,0)),LEN(CELL("adresse",OFFSET(DMAV_Modell!$A$6,J317-1,0)))-SEARCH("]",CELL("adresse",OFFSET(DMAV_Modell!$A$6,J317-1,0)))),"Modell"))</f>
        <v>Modell</v>
      </c>
      <c r="H317" s="150" t="str">
        <f t="shared" si="8"/>
        <v>DEO33</v>
      </c>
      <c r="I317" s="150">
        <f t="shared" si="9"/>
        <v>0</v>
      </c>
      <c r="J317" s="150">
        <f>IF(_xlfn.XLOOKUP(H317,Korrelation!$B$4:$B$723,Korrelation!$A$4:$A$723,0,0)=0,0,MATCH(_xlfn.XLOOKUP(H317,Korrelation!$B$4:$B$723,Korrelation!$A$4:$A$723,0,0),DMAV_Modell!$G$6:$G$677,0))</f>
        <v>495</v>
      </c>
      <c r="L317" s="51" t="s">
        <v>20</v>
      </c>
      <c r="M317" s="51" t="s">
        <v>434</v>
      </c>
      <c r="O317" s="52" t="s">
        <v>485</v>
      </c>
      <c r="P317" s="56"/>
      <c r="Q317" s="52" t="s">
        <v>486</v>
      </c>
      <c r="R317" s="52"/>
      <c r="T317" s="51" t="s">
        <v>6130</v>
      </c>
      <c r="U317" s="51" t="s">
        <v>823</v>
      </c>
      <c r="W317" s="52" t="s">
        <v>856</v>
      </c>
      <c r="Y317" s="210" t="s">
        <v>6857</v>
      </c>
      <c r="AB317" s="51" t="s">
        <v>6276</v>
      </c>
      <c r="AC317" s="51" t="s">
        <v>4397</v>
      </c>
      <c r="AE317" s="52" t="s">
        <v>2334</v>
      </c>
      <c r="AG317" s="210" t="s">
        <v>6858</v>
      </c>
    </row>
    <row r="318" spans="1:33" ht="25.5" x14ac:dyDescent="0.25">
      <c r="A318" s="51" t="s">
        <v>3672</v>
      </c>
      <c r="B318" s="51">
        <v>34</v>
      </c>
      <c r="C318" s="51" t="s">
        <v>34</v>
      </c>
      <c r="F318" s="189" t="str" cm="1">
        <f t="array" aca="1" ref="F318" ca="1">IF(I318=0,"",HYPERLINK("#"&amp;RIGHT(CELL("dateiname"),LEN(CELL("dateiname"))-FIND("]",CELL("dateiname")))&amp;"!"&amp;CELL("adresse",OFFSET($C$6,I318-1,0)),"Definition"))</f>
        <v/>
      </c>
      <c r="G318" s="189" t="str" cm="1">
        <f t="array" aca="1" ref="G318" ca="1">IF(J318=0,"",HYPERLINK("#"&amp;RIGHT(CELL("adresse",OFFSET(DMAV_Modell!$A$6,J318-1,0)),LEN(CELL("adresse",OFFSET(DMAV_Modell!$A$6,J318-1,0)))-SEARCH("]",CELL("adresse",OFFSET(DMAV_Modell!$A$6,J318-1,0)))),"Modell"))</f>
        <v>Modell</v>
      </c>
      <c r="H318" s="150" t="str">
        <f t="shared" si="8"/>
        <v>DEO34</v>
      </c>
      <c r="I318" s="150">
        <f t="shared" si="9"/>
        <v>0</v>
      </c>
      <c r="J318" s="150">
        <f>IF(_xlfn.XLOOKUP(H318,Korrelation!$B$4:$B$723,Korrelation!$A$4:$A$723,0,0)=0,0,MATCH(_xlfn.XLOOKUP(H318,Korrelation!$B$4:$B$723,Korrelation!$A$4:$A$723,0,0),DMAV_Modell!$G$6:$G$677,0))</f>
        <v>496</v>
      </c>
      <c r="L318" s="51" t="s">
        <v>20</v>
      </c>
      <c r="M318" s="51" t="s">
        <v>434</v>
      </c>
      <c r="O318" s="52" t="s">
        <v>487</v>
      </c>
      <c r="P318" s="56"/>
      <c r="Q318" s="52" t="s">
        <v>488</v>
      </c>
      <c r="R318" s="52"/>
      <c r="T318" s="51" t="s">
        <v>6130</v>
      </c>
      <c r="U318" s="51" t="s">
        <v>823</v>
      </c>
      <c r="W318" s="52" t="s">
        <v>857</v>
      </c>
      <c r="Y318" s="210" t="s">
        <v>6859</v>
      </c>
      <c r="AB318" s="51" t="s">
        <v>6276</v>
      </c>
      <c r="AC318" s="51" t="s">
        <v>4397</v>
      </c>
      <c r="AE318" s="52" t="s">
        <v>2333</v>
      </c>
      <c r="AG318" s="210" t="s">
        <v>6860</v>
      </c>
    </row>
    <row r="319" spans="1:33" x14ac:dyDescent="0.25">
      <c r="A319" s="51" t="s">
        <v>3672</v>
      </c>
      <c r="B319" s="51">
        <v>35</v>
      </c>
      <c r="C319" s="51" t="s">
        <v>34</v>
      </c>
      <c r="F319" s="189" t="str" cm="1">
        <f t="array" aca="1" ref="F319" ca="1">IF(I319=0,"",HYPERLINK("#"&amp;RIGHT(CELL("dateiname"),LEN(CELL("dateiname"))-FIND("]",CELL("dateiname")))&amp;"!"&amp;CELL("adresse",OFFSET($C$6,I319-1,0)),"Definition"))</f>
        <v/>
      </c>
      <c r="G319" s="189" t="str" cm="1">
        <f t="array" aca="1" ref="G319" ca="1">IF(J319=0,"",HYPERLINK("#"&amp;RIGHT(CELL("adresse",OFFSET(DMAV_Modell!$A$6,J319-1,0)),LEN(CELL("adresse",OFFSET(DMAV_Modell!$A$6,J319-1,0)))-SEARCH("]",CELL("adresse",OFFSET(DMAV_Modell!$A$6,J319-1,0)))),"Modell"))</f>
        <v>Modell</v>
      </c>
      <c r="H319" s="150" t="str">
        <f t="shared" si="8"/>
        <v>DEO35</v>
      </c>
      <c r="I319" s="150">
        <f t="shared" si="9"/>
        <v>0</v>
      </c>
      <c r="J319" s="150">
        <f>IF(_xlfn.XLOOKUP(H319,Korrelation!$B$4:$B$723,Korrelation!$A$4:$A$723,0,0)=0,0,MATCH(_xlfn.XLOOKUP(H319,Korrelation!$B$4:$B$723,Korrelation!$A$4:$A$723,0,0),DMAV_Modell!$G$6:$G$677,0))</f>
        <v>497</v>
      </c>
      <c r="L319" s="51" t="s">
        <v>20</v>
      </c>
      <c r="M319" s="51" t="s">
        <v>434</v>
      </c>
      <c r="O319" s="52" t="s">
        <v>489</v>
      </c>
      <c r="P319" s="56"/>
      <c r="Q319" s="52" t="s">
        <v>490</v>
      </c>
      <c r="R319" s="52"/>
      <c r="T319" s="51" t="s">
        <v>6130</v>
      </c>
      <c r="U319" s="51" t="s">
        <v>823</v>
      </c>
      <c r="W319" s="52" t="s">
        <v>858</v>
      </c>
      <c r="Y319" s="210" t="s">
        <v>6861</v>
      </c>
      <c r="AB319" s="51" t="s">
        <v>6276</v>
      </c>
      <c r="AC319" s="51" t="s">
        <v>4397</v>
      </c>
      <c r="AE319" s="52" t="s">
        <v>2332</v>
      </c>
      <c r="AG319" s="210" t="s">
        <v>6862</v>
      </c>
    </row>
    <row r="320" spans="1:33" x14ac:dyDescent="0.25">
      <c r="A320" s="51" t="s">
        <v>3672</v>
      </c>
      <c r="B320" s="51">
        <v>36</v>
      </c>
      <c r="C320" s="51" t="s">
        <v>34</v>
      </c>
      <c r="F320" s="189" t="str" cm="1">
        <f t="array" aca="1" ref="F320" ca="1">IF(I320=0,"",HYPERLINK("#"&amp;RIGHT(CELL("dateiname"),LEN(CELL("dateiname"))-FIND("]",CELL("dateiname")))&amp;"!"&amp;CELL("adresse",OFFSET($C$6,I320-1,0)),"Definition"))</f>
        <v/>
      </c>
      <c r="G320" s="189" t="str" cm="1">
        <f t="array" aca="1" ref="G320" ca="1">IF(J320=0,"",HYPERLINK("#"&amp;RIGHT(CELL("adresse",OFFSET(DMAV_Modell!$A$6,J320-1,0)),LEN(CELL("adresse",OFFSET(DMAV_Modell!$A$6,J320-1,0)))-SEARCH("]",CELL("adresse",OFFSET(DMAV_Modell!$A$6,J320-1,0)))),"Modell"))</f>
        <v>Modell</v>
      </c>
      <c r="H320" s="150" t="str">
        <f t="shared" si="8"/>
        <v>DEO36</v>
      </c>
      <c r="I320" s="150">
        <f t="shared" si="9"/>
        <v>0</v>
      </c>
      <c r="J320" s="150">
        <f>IF(_xlfn.XLOOKUP(H320,Korrelation!$B$4:$B$723,Korrelation!$A$4:$A$723,0,0)=0,0,MATCH(_xlfn.XLOOKUP(H320,Korrelation!$B$4:$B$723,Korrelation!$A$4:$A$723,0,0),DMAV_Modell!$G$6:$G$677,0))</f>
        <v>498</v>
      </c>
      <c r="L320" s="51" t="s">
        <v>20</v>
      </c>
      <c r="M320" s="51" t="s">
        <v>434</v>
      </c>
      <c r="O320" s="52" t="s">
        <v>491</v>
      </c>
      <c r="P320" s="56"/>
      <c r="Q320" s="52" t="s">
        <v>492</v>
      </c>
      <c r="R320" s="52"/>
      <c r="T320" s="51" t="s">
        <v>6130</v>
      </c>
      <c r="U320" s="51" t="s">
        <v>823</v>
      </c>
      <c r="W320" s="52" t="s">
        <v>859</v>
      </c>
      <c r="Y320" s="210" t="s">
        <v>6863</v>
      </c>
      <c r="AB320" s="51" t="s">
        <v>6276</v>
      </c>
      <c r="AC320" s="51" t="s">
        <v>4397</v>
      </c>
      <c r="AE320" s="52" t="s">
        <v>2331</v>
      </c>
      <c r="AG320" s="210" t="s">
        <v>6864</v>
      </c>
    </row>
    <row r="321" spans="1:34" ht="25.5" x14ac:dyDescent="0.25">
      <c r="A321" s="51" t="s">
        <v>3672</v>
      </c>
      <c r="B321" s="51">
        <v>37</v>
      </c>
      <c r="C321" s="51" t="s">
        <v>34</v>
      </c>
      <c r="F321" s="189" t="str" cm="1">
        <f t="array" aca="1" ref="F321" ca="1">IF(I321=0,"",HYPERLINK("#"&amp;RIGHT(CELL("dateiname"),LEN(CELL("dateiname"))-FIND("]",CELL("dateiname")))&amp;"!"&amp;CELL("adresse",OFFSET($C$6,I321-1,0)),"Definition"))</f>
        <v/>
      </c>
      <c r="G321" s="189" t="str" cm="1">
        <f t="array" aca="1" ref="G321" ca="1">IF(J321=0,"",HYPERLINK("#"&amp;RIGHT(CELL("adresse",OFFSET(DMAV_Modell!$A$6,J321-1,0)),LEN(CELL("adresse",OFFSET(DMAV_Modell!$A$6,J321-1,0)))-SEARCH("]",CELL("adresse",OFFSET(DMAV_Modell!$A$6,J321-1,0)))),"Modell"))</f>
        <v>Modell</v>
      </c>
      <c r="H321" s="150" t="str">
        <f t="shared" si="8"/>
        <v>DEO37</v>
      </c>
      <c r="I321" s="150">
        <f t="shared" si="9"/>
        <v>0</v>
      </c>
      <c r="J321" s="150">
        <f>IF(_xlfn.XLOOKUP(H321,Korrelation!$B$4:$B$723,Korrelation!$A$4:$A$723,0,0)=0,0,MATCH(_xlfn.XLOOKUP(H321,Korrelation!$B$4:$B$723,Korrelation!$A$4:$A$723,0,0),DMAV_Modell!$G$6:$G$677,0))</f>
        <v>499</v>
      </c>
      <c r="L321" s="51" t="s">
        <v>20</v>
      </c>
      <c r="M321" s="51" t="s">
        <v>434</v>
      </c>
      <c r="O321" s="52" t="s">
        <v>493</v>
      </c>
      <c r="P321" s="56"/>
      <c r="Q321" s="52" t="s">
        <v>494</v>
      </c>
      <c r="R321" s="52"/>
      <c r="T321" s="51" t="s">
        <v>6130</v>
      </c>
      <c r="U321" s="51" t="s">
        <v>823</v>
      </c>
      <c r="W321" s="52" t="s">
        <v>860</v>
      </c>
      <c r="Y321" s="210" t="s">
        <v>6865</v>
      </c>
      <c r="AB321" s="51" t="s">
        <v>6276</v>
      </c>
      <c r="AC321" s="51" t="s">
        <v>4397</v>
      </c>
      <c r="AE321" s="52" t="s">
        <v>2330</v>
      </c>
      <c r="AG321" s="210" t="s">
        <v>6866</v>
      </c>
    </row>
    <row r="322" spans="1:34" x14ac:dyDescent="0.25">
      <c r="A322" s="51" t="s">
        <v>3672</v>
      </c>
      <c r="B322" s="51">
        <v>38</v>
      </c>
      <c r="C322" s="51" t="s">
        <v>34</v>
      </c>
      <c r="F322" s="189" t="str" cm="1">
        <f t="array" aca="1" ref="F322" ca="1">IF(I322=0,"",HYPERLINK("#"&amp;RIGHT(CELL("dateiname"),LEN(CELL("dateiname"))-FIND("]",CELL("dateiname")))&amp;"!"&amp;CELL("adresse",OFFSET($C$6,I322-1,0)),"Definition"))</f>
        <v/>
      </c>
      <c r="G322" s="189" t="str" cm="1">
        <f t="array" aca="1" ref="G322" ca="1">IF(J322=0,"",HYPERLINK("#"&amp;RIGHT(CELL("adresse",OFFSET(DMAV_Modell!$A$6,J322-1,0)),LEN(CELL("adresse",OFFSET(DMAV_Modell!$A$6,J322-1,0)))-SEARCH("]",CELL("adresse",OFFSET(DMAV_Modell!$A$6,J322-1,0)))),"Modell"))</f>
        <v>Modell</v>
      </c>
      <c r="H322" s="150" t="str">
        <f t="shared" si="8"/>
        <v>DEO38</v>
      </c>
      <c r="I322" s="150">
        <f t="shared" si="9"/>
        <v>0</v>
      </c>
      <c r="J322" s="150">
        <f>IF(_xlfn.XLOOKUP(H322,Korrelation!$B$4:$B$723,Korrelation!$A$4:$A$723,0,0)=0,0,MATCH(_xlfn.XLOOKUP(H322,Korrelation!$B$4:$B$723,Korrelation!$A$4:$A$723,0,0),DMAV_Modell!$G$6:$G$677,0))</f>
        <v>500</v>
      </c>
      <c r="L322" s="51" t="s">
        <v>20</v>
      </c>
      <c r="M322" s="51" t="s">
        <v>434</v>
      </c>
      <c r="O322" s="52" t="s">
        <v>495</v>
      </c>
      <c r="P322" s="56"/>
      <c r="Q322" s="52" t="s">
        <v>496</v>
      </c>
      <c r="R322" s="52"/>
      <c r="T322" s="51" t="s">
        <v>6130</v>
      </c>
      <c r="U322" s="51" t="s">
        <v>823</v>
      </c>
      <c r="W322" s="52" t="s">
        <v>861</v>
      </c>
      <c r="Y322" s="210" t="s">
        <v>6867</v>
      </c>
      <c r="AB322" s="51" t="s">
        <v>6276</v>
      </c>
      <c r="AC322" s="51" t="s">
        <v>4397</v>
      </c>
      <c r="AE322" s="52" t="s">
        <v>2329</v>
      </c>
      <c r="AG322" s="210" t="s">
        <v>6868</v>
      </c>
    </row>
    <row r="323" spans="1:34" ht="25.5" x14ac:dyDescent="0.25">
      <c r="A323" s="51" t="s">
        <v>3672</v>
      </c>
      <c r="B323" s="51">
        <v>39</v>
      </c>
      <c r="C323" s="51" t="s">
        <v>34</v>
      </c>
      <c r="F323" s="189" t="str" cm="1">
        <f t="array" aca="1" ref="F323" ca="1">IF(I323=0,"",HYPERLINK("#"&amp;RIGHT(CELL("dateiname"),LEN(CELL("dateiname"))-FIND("]",CELL("dateiname")))&amp;"!"&amp;CELL("adresse",OFFSET($C$6,I323-1,0)),"Definition"))</f>
        <v/>
      </c>
      <c r="G323" s="189" t="str" cm="1">
        <f t="array" aca="1" ref="G323" ca="1">IF(J323=0,"",HYPERLINK("#"&amp;RIGHT(CELL("adresse",OFFSET(DMAV_Modell!$A$6,J323-1,0)),LEN(CELL("adresse",OFFSET(DMAV_Modell!$A$6,J323-1,0)))-SEARCH("]",CELL("adresse",OFFSET(DMAV_Modell!$A$6,J323-1,0)))),"Modell"))</f>
        <v>Modell</v>
      </c>
      <c r="H323" s="150" t="str">
        <f t="shared" si="8"/>
        <v>DEO39</v>
      </c>
      <c r="I323" s="150">
        <f t="shared" si="9"/>
        <v>0</v>
      </c>
      <c r="J323" s="150">
        <f>IF(_xlfn.XLOOKUP(H323,Korrelation!$B$4:$B$723,Korrelation!$A$4:$A$723,0,0)=0,0,MATCH(_xlfn.XLOOKUP(H323,Korrelation!$B$4:$B$723,Korrelation!$A$4:$A$723,0,0),DMAV_Modell!$G$6:$G$677,0))</f>
        <v>501</v>
      </c>
      <c r="L323" s="51" t="s">
        <v>20</v>
      </c>
      <c r="M323" s="51" t="s">
        <v>434</v>
      </c>
      <c r="O323" s="52" t="s">
        <v>497</v>
      </c>
      <c r="P323" s="56"/>
      <c r="Q323" s="52" t="s">
        <v>498</v>
      </c>
      <c r="R323" s="52"/>
      <c r="T323" s="51" t="s">
        <v>6130</v>
      </c>
      <c r="U323" s="51" t="s">
        <v>823</v>
      </c>
      <c r="W323" s="52" t="s">
        <v>862</v>
      </c>
      <c r="Y323" s="210" t="s">
        <v>6869</v>
      </c>
      <c r="AB323" s="51" t="s">
        <v>6276</v>
      </c>
      <c r="AC323" s="51" t="s">
        <v>4397</v>
      </c>
      <c r="AE323" s="52" t="s">
        <v>2328</v>
      </c>
      <c r="AG323" s="210" t="s">
        <v>6870</v>
      </c>
    </row>
    <row r="324" spans="1:34" x14ac:dyDescent="0.25">
      <c r="A324" s="51" t="s">
        <v>3672</v>
      </c>
      <c r="B324" s="51">
        <v>40</v>
      </c>
      <c r="C324" s="51" t="s">
        <v>34</v>
      </c>
      <c r="F324" s="189" t="str" cm="1">
        <f t="array" aca="1" ref="F324" ca="1">IF(I324=0,"",HYPERLINK("#"&amp;RIGHT(CELL("dateiname"),LEN(CELL("dateiname"))-FIND("]",CELL("dateiname")))&amp;"!"&amp;CELL("adresse",OFFSET($C$6,I324-1,0)),"Definition"))</f>
        <v/>
      </c>
      <c r="G324" s="189" t="str" cm="1">
        <f t="array" aca="1" ref="G324" ca="1">IF(J324=0,"",HYPERLINK("#"&amp;RIGHT(CELL("adresse",OFFSET(DMAV_Modell!$A$6,J324-1,0)),LEN(CELL("adresse",OFFSET(DMAV_Modell!$A$6,J324-1,0)))-SEARCH("]",CELL("adresse",OFFSET(DMAV_Modell!$A$6,J324-1,0)))),"Modell"))</f>
        <v>Modell</v>
      </c>
      <c r="H324" s="150" t="str">
        <f t="shared" si="8"/>
        <v>DEO40</v>
      </c>
      <c r="I324" s="150">
        <f t="shared" si="9"/>
        <v>0</v>
      </c>
      <c r="J324" s="150">
        <f>IF(_xlfn.XLOOKUP(H324,Korrelation!$B$4:$B$723,Korrelation!$A$4:$A$723,0,0)=0,0,MATCH(_xlfn.XLOOKUP(H324,Korrelation!$B$4:$B$723,Korrelation!$A$4:$A$723,0,0),DMAV_Modell!$G$6:$G$677,0))</f>
        <v>502</v>
      </c>
      <c r="L324" s="51" t="s">
        <v>20</v>
      </c>
      <c r="M324" s="51" t="s">
        <v>434</v>
      </c>
      <c r="O324" s="52" t="s">
        <v>499</v>
      </c>
      <c r="P324" s="56"/>
      <c r="Q324" s="52" t="s">
        <v>500</v>
      </c>
      <c r="R324" s="52"/>
      <c r="T324" s="51" t="s">
        <v>6130</v>
      </c>
      <c r="U324" s="51" t="s">
        <v>823</v>
      </c>
      <c r="W324" s="52" t="s">
        <v>863</v>
      </c>
      <c r="Y324" s="210" t="s">
        <v>6871</v>
      </c>
      <c r="AB324" s="51" t="s">
        <v>6276</v>
      </c>
      <c r="AC324" s="51" t="s">
        <v>4397</v>
      </c>
      <c r="AE324" s="52" t="s">
        <v>2327</v>
      </c>
      <c r="AG324" s="210" t="s">
        <v>6872</v>
      </c>
    </row>
    <row r="325" spans="1:34" ht="51" x14ac:dyDescent="0.25">
      <c r="A325" s="51" t="s">
        <v>3672</v>
      </c>
      <c r="B325" s="51">
        <v>41</v>
      </c>
      <c r="C325" s="51" t="s">
        <v>34</v>
      </c>
      <c r="F325" s="189" t="str" cm="1">
        <f t="array" aca="1" ref="F325" ca="1">IF(I325=0,"",HYPERLINK("#"&amp;RIGHT(CELL("dateiname"),LEN(CELL("dateiname"))-FIND("]",CELL("dateiname")))&amp;"!"&amp;CELL("adresse",OFFSET($C$6,I325-1,0)),"Definition"))</f>
        <v/>
      </c>
      <c r="G325" s="189" t="str" cm="1">
        <f t="array" aca="1" ref="G325" ca="1">IF(J325=0,"",HYPERLINK("#"&amp;RIGHT(CELL("adresse",OFFSET(DMAV_Modell!$A$6,J325-1,0)),LEN(CELL("adresse",OFFSET(DMAV_Modell!$A$6,J325-1,0)))-SEARCH("]",CELL("adresse",OFFSET(DMAV_Modell!$A$6,J325-1,0)))),"Modell"))</f>
        <v>Modell</v>
      </c>
      <c r="H325" s="150" t="str">
        <f t="shared" si="8"/>
        <v>DEO41</v>
      </c>
      <c r="I325" s="150">
        <f t="shared" si="9"/>
        <v>0</v>
      </c>
      <c r="J325" s="150">
        <f>IF(_xlfn.XLOOKUP(H325,Korrelation!$B$4:$B$723,Korrelation!$A$4:$A$723,0,0)=0,0,MATCH(_xlfn.XLOOKUP(H325,Korrelation!$B$4:$B$723,Korrelation!$A$4:$A$723,0,0),DMAV_Modell!$G$6:$G$677,0))</f>
        <v>503</v>
      </c>
      <c r="L325" s="51" t="s">
        <v>20</v>
      </c>
      <c r="M325" s="51" t="s">
        <v>434</v>
      </c>
      <c r="O325" s="52" t="s">
        <v>501</v>
      </c>
      <c r="P325" s="56"/>
      <c r="Q325" s="52" t="s">
        <v>502</v>
      </c>
      <c r="R325" s="52"/>
      <c r="T325" s="51" t="s">
        <v>6130</v>
      </c>
      <c r="U325" s="51" t="s">
        <v>823</v>
      </c>
      <c r="W325" s="52" t="s">
        <v>864</v>
      </c>
      <c r="Y325" s="210" t="s">
        <v>6873</v>
      </c>
      <c r="AB325" s="51" t="s">
        <v>6276</v>
      </c>
      <c r="AC325" s="51" t="s">
        <v>4397</v>
      </c>
      <c r="AE325" s="52" t="s">
        <v>2326</v>
      </c>
      <c r="AG325" s="210" t="s">
        <v>6874</v>
      </c>
    </row>
    <row r="326" spans="1:34" x14ac:dyDescent="0.25">
      <c r="A326" s="51" t="s">
        <v>3672</v>
      </c>
      <c r="B326" s="51">
        <v>42</v>
      </c>
      <c r="C326" s="51" t="s">
        <v>34</v>
      </c>
      <c r="F326" s="189" t="str" cm="1">
        <f t="array" aca="1" ref="F326" ca="1">IF(I326=0,"",HYPERLINK("#"&amp;RIGHT(CELL("dateiname"),LEN(CELL("dateiname"))-FIND("]",CELL("dateiname")))&amp;"!"&amp;CELL("adresse",OFFSET($C$6,I326-1,0)),"Definition"))</f>
        <v/>
      </c>
      <c r="G326" s="189" t="str" cm="1">
        <f t="array" aca="1" ref="G326" ca="1">IF(J326=0,"",HYPERLINK("#"&amp;RIGHT(CELL("adresse",OFFSET(DMAV_Modell!$A$6,J326-1,0)),LEN(CELL("adresse",OFFSET(DMAV_Modell!$A$6,J326-1,0)))-SEARCH("]",CELL("adresse",OFFSET(DMAV_Modell!$A$6,J326-1,0)))),"Modell"))</f>
        <v>Modell</v>
      </c>
      <c r="H326" s="150" t="str">
        <f t="shared" si="8"/>
        <v>DEO42</v>
      </c>
      <c r="I326" s="150">
        <f t="shared" si="9"/>
        <v>0</v>
      </c>
      <c r="J326" s="150">
        <f>IF(_xlfn.XLOOKUP(H326,Korrelation!$B$4:$B$723,Korrelation!$A$4:$A$723,0,0)=0,0,MATCH(_xlfn.XLOOKUP(H326,Korrelation!$B$4:$B$723,Korrelation!$A$4:$A$723,0,0),DMAV_Modell!$G$6:$G$677,0))</f>
        <v>504</v>
      </c>
      <c r="L326" s="51" t="s">
        <v>20</v>
      </c>
      <c r="M326" s="51" t="s">
        <v>434</v>
      </c>
      <c r="O326" s="52" t="s">
        <v>503</v>
      </c>
      <c r="P326" s="56"/>
      <c r="Q326" s="52" t="s">
        <v>504</v>
      </c>
      <c r="R326" s="52"/>
      <c r="T326" s="51" t="s">
        <v>6130</v>
      </c>
      <c r="U326" s="51" t="s">
        <v>823</v>
      </c>
      <c r="W326" s="52" t="s">
        <v>865</v>
      </c>
      <c r="Y326" s="210" t="s">
        <v>6875</v>
      </c>
      <c r="AB326" s="51" t="s">
        <v>6276</v>
      </c>
      <c r="AC326" s="51" t="s">
        <v>4397</v>
      </c>
      <c r="AE326" s="52" t="s">
        <v>4398</v>
      </c>
      <c r="AG326" s="210" t="s">
        <v>6876</v>
      </c>
    </row>
    <row r="327" spans="1:34" ht="25.5" x14ac:dyDescent="0.25">
      <c r="A327" s="51" t="s">
        <v>3672</v>
      </c>
      <c r="B327" s="51">
        <v>43</v>
      </c>
      <c r="C327" s="51" t="s">
        <v>34</v>
      </c>
      <c r="F327" s="189" t="str" cm="1">
        <f t="array" aca="1" ref="F327" ca="1">IF(I327=0,"",HYPERLINK("#"&amp;RIGHT(CELL("dateiname"),LEN(CELL("dateiname"))-FIND("]",CELL("dateiname")))&amp;"!"&amp;CELL("adresse",OFFSET($C$6,I327-1,0)),"Definition"))</f>
        <v/>
      </c>
      <c r="G327" s="189" t="str" cm="1">
        <f t="array" aca="1" ref="G327" ca="1">IF(J327=0,"",HYPERLINK("#"&amp;RIGHT(CELL("adresse",OFFSET(DMAV_Modell!$A$6,J327-1,0)),LEN(CELL("adresse",OFFSET(DMAV_Modell!$A$6,J327-1,0)))-SEARCH("]",CELL("adresse",OFFSET(DMAV_Modell!$A$6,J327-1,0)))),"Modell"))</f>
        <v/>
      </c>
      <c r="H327" s="150" t="str">
        <f t="shared" ref="H327:H390" si="10">A327&amp;B327</f>
        <v>DEO43</v>
      </c>
      <c r="I327" s="150">
        <f t="shared" ref="I327:I390" si="11">IF(E327="",0,MATCH(E327,$H$6:$H$483,0))</f>
        <v>0</v>
      </c>
      <c r="J327" s="150">
        <f>IF(_xlfn.XLOOKUP(H327,Korrelation!$B$4:$B$723,Korrelation!$A$4:$A$723,0,0)=0,0,MATCH(_xlfn.XLOOKUP(H327,Korrelation!$B$4:$B$723,Korrelation!$A$4:$A$723,0,0),DMAV_Modell!$G$6:$G$677,0))</f>
        <v>0</v>
      </c>
      <c r="L327" s="51" t="s">
        <v>20</v>
      </c>
      <c r="M327" s="51" t="s">
        <v>393</v>
      </c>
      <c r="O327" s="52" t="s">
        <v>394</v>
      </c>
      <c r="P327" s="56"/>
      <c r="Q327" s="52" t="s">
        <v>3778</v>
      </c>
      <c r="R327" s="52"/>
      <c r="T327" s="51" t="s">
        <v>6130</v>
      </c>
      <c r="U327" s="51" t="s">
        <v>6877</v>
      </c>
      <c r="W327" s="52" t="s">
        <v>815</v>
      </c>
      <c r="Y327" s="210" t="s">
        <v>6878</v>
      </c>
      <c r="AB327" s="51" t="s">
        <v>6276</v>
      </c>
      <c r="AC327" s="51" t="s">
        <v>3946</v>
      </c>
      <c r="AE327" s="52" t="s">
        <v>6719</v>
      </c>
      <c r="AG327" s="210" t="s">
        <v>6879</v>
      </c>
    </row>
    <row r="328" spans="1:34" ht="25.5" x14ac:dyDescent="0.25">
      <c r="A328" s="51" t="s">
        <v>3672</v>
      </c>
      <c r="B328" s="51">
        <v>44</v>
      </c>
      <c r="C328" s="51" t="s">
        <v>34</v>
      </c>
      <c r="F328" s="189" t="str" cm="1">
        <f t="array" aca="1" ref="F328" ca="1">IF(I328=0,"",HYPERLINK("#"&amp;RIGHT(CELL("dateiname"),LEN(CELL("dateiname"))-FIND("]",CELL("dateiname")))&amp;"!"&amp;CELL("adresse",OFFSET($C$6,I328-1,0)),"Definition"))</f>
        <v/>
      </c>
      <c r="G328" s="189" t="str" cm="1">
        <f t="array" aca="1" ref="G328" ca="1">IF(J328=0,"",HYPERLINK("#"&amp;RIGHT(CELL("adresse",OFFSET(DMAV_Modell!$A$6,J328-1,0)),LEN(CELL("adresse",OFFSET(DMAV_Modell!$A$6,J328-1,0)))-SEARCH("]",CELL("adresse",OFFSET(DMAV_Modell!$A$6,J328-1,0)))),"Modell"))</f>
        <v/>
      </c>
      <c r="H328" s="150" t="str">
        <f t="shared" si="10"/>
        <v>DEO44</v>
      </c>
      <c r="I328" s="150">
        <f t="shared" si="11"/>
        <v>0</v>
      </c>
      <c r="J328" s="150">
        <f>IF(_xlfn.XLOOKUP(H328,Korrelation!$B$4:$B$723,Korrelation!$A$4:$A$723,0,0)=0,0,MATCH(_xlfn.XLOOKUP(H328,Korrelation!$B$4:$B$723,Korrelation!$A$4:$A$723,0,0),DMAV_Modell!$G$6:$G$677,0))</f>
        <v>0</v>
      </c>
      <c r="L328" s="51" t="s">
        <v>20</v>
      </c>
      <c r="M328" s="51" t="s">
        <v>393</v>
      </c>
      <c r="O328" s="52" t="s">
        <v>396</v>
      </c>
      <c r="P328" s="56"/>
      <c r="Q328" s="52" t="s">
        <v>3779</v>
      </c>
      <c r="R328" s="52"/>
      <c r="T328" s="51" t="s">
        <v>6130</v>
      </c>
      <c r="U328" s="51" t="s">
        <v>6877</v>
      </c>
      <c r="W328" s="52" t="s">
        <v>816</v>
      </c>
      <c r="Y328" s="210" t="s">
        <v>6880</v>
      </c>
      <c r="AB328" s="51" t="s">
        <v>6276</v>
      </c>
      <c r="AC328" s="51" t="s">
        <v>3946</v>
      </c>
      <c r="AE328" s="52" t="s">
        <v>2670</v>
      </c>
      <c r="AG328" s="210" t="s">
        <v>6881</v>
      </c>
    </row>
    <row r="329" spans="1:34" ht="25.5" x14ac:dyDescent="0.25">
      <c r="A329" s="51" t="s">
        <v>3672</v>
      </c>
      <c r="B329" s="51">
        <v>45</v>
      </c>
      <c r="C329" s="51" t="s">
        <v>34</v>
      </c>
      <c r="F329" s="189" t="str" cm="1">
        <f t="array" aca="1" ref="F329" ca="1">IF(I329=0,"",HYPERLINK("#"&amp;RIGHT(CELL("dateiname"),LEN(CELL("dateiname"))-FIND("]",CELL("dateiname")))&amp;"!"&amp;CELL("adresse",OFFSET($C$6,I329-1,0)),"Definition"))</f>
        <v/>
      </c>
      <c r="G329" s="189" t="str" cm="1">
        <f t="array" aca="1" ref="G329" ca="1">IF(J329=0,"",HYPERLINK("#"&amp;RIGHT(CELL("adresse",OFFSET(DMAV_Modell!$A$6,J329-1,0)),LEN(CELL("adresse",OFFSET(DMAV_Modell!$A$6,J329-1,0)))-SEARCH("]",CELL("adresse",OFFSET(DMAV_Modell!$A$6,J329-1,0)))),"Modell"))</f>
        <v/>
      </c>
      <c r="H329" s="150" t="str">
        <f t="shared" si="10"/>
        <v>DEO45</v>
      </c>
      <c r="I329" s="150">
        <f t="shared" si="11"/>
        <v>0</v>
      </c>
      <c r="J329" s="150">
        <f>IF(_xlfn.XLOOKUP(H329,Korrelation!$B$4:$B$723,Korrelation!$A$4:$A$723,0,0)=0,0,MATCH(_xlfn.XLOOKUP(H329,Korrelation!$B$4:$B$723,Korrelation!$A$4:$A$723,0,0),DMAV_Modell!$G$6:$G$677,0))</f>
        <v>0</v>
      </c>
      <c r="L329" s="51" t="s">
        <v>20</v>
      </c>
      <c r="M329" s="51" t="s">
        <v>393</v>
      </c>
      <c r="O329" s="52" t="s">
        <v>398</v>
      </c>
      <c r="P329" s="56"/>
      <c r="Q329" s="52" t="s">
        <v>3780</v>
      </c>
      <c r="R329" s="52"/>
      <c r="T329" s="51" t="s">
        <v>6130</v>
      </c>
      <c r="U329" s="51" t="s">
        <v>6877</v>
      </c>
      <c r="W329" s="52" t="s">
        <v>817</v>
      </c>
      <c r="Y329" s="210" t="s">
        <v>6882</v>
      </c>
      <c r="AB329" s="51" t="s">
        <v>6276</v>
      </c>
      <c r="AC329" s="51" t="s">
        <v>3946</v>
      </c>
      <c r="AE329" s="52" t="s">
        <v>2666</v>
      </c>
      <c r="AG329" s="210" t="s">
        <v>6883</v>
      </c>
    </row>
    <row r="330" spans="1:34" ht="38.25" x14ac:dyDescent="0.25">
      <c r="A330" s="51" t="s">
        <v>3672</v>
      </c>
      <c r="B330" s="51">
        <v>46</v>
      </c>
      <c r="C330" s="51" t="s">
        <v>66</v>
      </c>
      <c r="D330" s="50">
        <v>1</v>
      </c>
      <c r="F330" s="189" t="str" cm="1">
        <f t="array" aca="1" ref="F330" ca="1">IF(I330=0,"",HYPERLINK("#"&amp;RIGHT(CELL("dateiname"),LEN(CELL("dateiname"))-FIND("]",CELL("dateiname")))&amp;"!"&amp;CELL("adresse",OFFSET($C$6,I330-1,0)),"Definition"))</f>
        <v/>
      </c>
      <c r="G330" s="189" t="str" cm="1">
        <f t="array" aca="1" ref="G330" ca="1">IF(J330=0,"",HYPERLINK("#"&amp;RIGHT(CELL("adresse",OFFSET(DMAV_Modell!$A$6,J330-1,0)),LEN(CELL("adresse",OFFSET(DMAV_Modell!$A$6,J330-1,0)))-SEARCH("]",CELL("adresse",OFFSET(DMAV_Modell!$A$6,J330-1,0)))),"Modell"))</f>
        <v>Modell</v>
      </c>
      <c r="H330" s="150" t="str">
        <f t="shared" si="10"/>
        <v>DEO46</v>
      </c>
      <c r="I330" s="150">
        <f t="shared" si="11"/>
        <v>0</v>
      </c>
      <c r="J330" s="150">
        <f>IF(_xlfn.XLOOKUP(H330,Korrelation!$B$4:$B$723,Korrelation!$A$4:$A$723,0,0)=0,0,MATCH(_xlfn.XLOOKUP(H330,Korrelation!$B$4:$B$723,Korrelation!$A$4:$A$723,0,0),DMAV_Modell!$G$6:$G$677,0))</f>
        <v>510</v>
      </c>
      <c r="L330" s="51" t="s">
        <v>20</v>
      </c>
      <c r="M330" s="51" t="s">
        <v>317</v>
      </c>
      <c r="N330" s="51" t="s">
        <v>123</v>
      </c>
      <c r="O330" s="52" t="s">
        <v>105</v>
      </c>
      <c r="P330" s="56"/>
      <c r="Q330" s="144" t="s">
        <v>301</v>
      </c>
      <c r="R330" s="52" t="s">
        <v>94</v>
      </c>
      <c r="T330" s="51" t="s">
        <v>6130</v>
      </c>
      <c r="U330" s="51" t="s">
        <v>798</v>
      </c>
      <c r="V330" s="51" t="s">
        <v>123</v>
      </c>
      <c r="W330" s="52" t="s">
        <v>105</v>
      </c>
      <c r="Y330" s="210" t="s">
        <v>6884</v>
      </c>
      <c r="Z330" s="210" t="s">
        <v>6166</v>
      </c>
      <c r="AB330" s="51" t="s">
        <v>6276</v>
      </c>
      <c r="AC330" s="51" t="s">
        <v>4291</v>
      </c>
      <c r="AD330" s="51" t="s">
        <v>1247</v>
      </c>
      <c r="AE330" s="52" t="s">
        <v>105</v>
      </c>
      <c r="AG330" s="210" t="s">
        <v>6543</v>
      </c>
      <c r="AH330" s="210" t="s">
        <v>6308</v>
      </c>
    </row>
    <row r="331" spans="1:34" ht="38.25" x14ac:dyDescent="0.25">
      <c r="A331" s="51" t="s">
        <v>3672</v>
      </c>
      <c r="B331" s="51">
        <v>47</v>
      </c>
      <c r="C331" s="51" t="s">
        <v>66</v>
      </c>
      <c r="D331" s="50" t="s">
        <v>72</v>
      </c>
      <c r="E331" s="50" t="s">
        <v>3695</v>
      </c>
      <c r="F331" s="189" t="str" cm="1">
        <f t="array" aca="1" ref="F331" ca="1">IF(I331=0,"",HYPERLINK("#"&amp;RIGHT(CELL("dateiname"),LEN(CELL("dateiname"))-FIND("]",CELL("dateiname")))&amp;"!"&amp;CELL("adresse",OFFSET($C$6,I331-1,0)),"Definition"))</f>
        <v>Definition</v>
      </c>
      <c r="G331" s="189" t="str" cm="1">
        <f t="array" aca="1" ref="G331" ca="1">IF(J331=0,"",HYPERLINK("#"&amp;RIGHT(CELL("adresse",OFFSET(DMAV_Modell!$A$6,J331-1,0)),LEN(CELL("adresse",OFFSET(DMAV_Modell!$A$6,J331-1,0)))-SEARCH("]",CELL("adresse",OFFSET(DMAV_Modell!$A$6,J331-1,0)))),"Modell"))</f>
        <v>Modell</v>
      </c>
      <c r="H331" s="150" t="str">
        <f t="shared" si="10"/>
        <v>DEO47</v>
      </c>
      <c r="I331" s="150">
        <f t="shared" si="11"/>
        <v>29</v>
      </c>
      <c r="J331" s="150">
        <f>IF(_xlfn.XLOOKUP(H331,Korrelation!$B$4:$B$723,Korrelation!$A$4:$A$723,0,0)=0,0,MATCH(_xlfn.XLOOKUP(H331,Korrelation!$B$4:$B$723,Korrelation!$A$4:$A$723,0,0),DMAV_Modell!$G$6:$G$677,0))</f>
        <v>511</v>
      </c>
      <c r="L331" s="51" t="s">
        <v>20</v>
      </c>
      <c r="M331" s="51" t="s">
        <v>317</v>
      </c>
      <c r="N331" s="51" t="s">
        <v>67</v>
      </c>
      <c r="O331" s="52" t="s">
        <v>420</v>
      </c>
      <c r="P331" s="56"/>
      <c r="Q331" s="52" t="s">
        <v>505</v>
      </c>
      <c r="R331" s="52"/>
      <c r="T331" s="51" t="s">
        <v>6130</v>
      </c>
      <c r="U331" s="51" t="s">
        <v>798</v>
      </c>
      <c r="V331" s="51" t="s">
        <v>727</v>
      </c>
      <c r="W331" s="52" t="s">
        <v>6764</v>
      </c>
      <c r="Y331" s="210" t="s">
        <v>6885</v>
      </c>
      <c r="AB331" s="51" t="s">
        <v>6276</v>
      </c>
      <c r="AC331" s="51" t="s">
        <v>4291</v>
      </c>
      <c r="AD331" s="51" t="s">
        <v>3941</v>
      </c>
      <c r="AE331" s="52" t="s">
        <v>6767</v>
      </c>
      <c r="AG331" s="210" t="s">
        <v>6886</v>
      </c>
    </row>
    <row r="332" spans="1:34" ht="38.25" x14ac:dyDescent="0.25">
      <c r="A332" s="51" t="s">
        <v>3672</v>
      </c>
      <c r="B332" s="51">
        <v>48</v>
      </c>
      <c r="C332" s="51" t="s">
        <v>66</v>
      </c>
      <c r="D332" s="50">
        <v>1</v>
      </c>
      <c r="F332" s="189" t="str" cm="1">
        <f t="array" aca="1" ref="F332" ca="1">IF(I332=0,"",HYPERLINK("#"&amp;RIGHT(CELL("dateiname"),LEN(CELL("dateiname"))-FIND("]",CELL("dateiname")))&amp;"!"&amp;CELL("adresse",OFFSET($C$6,I332-1,0)),"Definition"))</f>
        <v/>
      </c>
      <c r="G332" s="189" t="str" cm="1">
        <f t="array" aca="1" ref="G332" ca="1">IF(J332=0,"",HYPERLINK("#"&amp;RIGHT(CELL("adresse",OFFSET(DMAV_Modell!$A$6,J332-1,0)),LEN(CELL("adresse",OFFSET(DMAV_Modell!$A$6,J332-1,0)))-SEARCH("]",CELL("adresse",OFFSET(DMAV_Modell!$A$6,J332-1,0)))),"Modell"))</f>
        <v>Modell</v>
      </c>
      <c r="H332" s="150" t="str">
        <f t="shared" si="10"/>
        <v>DEO48</v>
      </c>
      <c r="I332" s="150">
        <f t="shared" si="11"/>
        <v>0</v>
      </c>
      <c r="J332" s="150">
        <f>IF(_xlfn.XLOOKUP(H332,Korrelation!$B$4:$B$723,Korrelation!$A$4:$A$723,0,0)=0,0,MATCH(_xlfn.XLOOKUP(H332,Korrelation!$B$4:$B$723,Korrelation!$A$4:$A$723,0,0),DMAV_Modell!$G$6:$G$677,0))</f>
        <v>512</v>
      </c>
      <c r="L332" s="51" t="s">
        <v>20</v>
      </c>
      <c r="M332" s="51" t="s">
        <v>302</v>
      </c>
      <c r="N332" s="51" t="s">
        <v>123</v>
      </c>
      <c r="O332" s="52" t="s">
        <v>198</v>
      </c>
      <c r="P332" s="56"/>
      <c r="Q332" s="52" t="s">
        <v>303</v>
      </c>
      <c r="R332" s="52" t="s">
        <v>94</v>
      </c>
      <c r="T332" s="51" t="s">
        <v>6130</v>
      </c>
      <c r="U332" s="51" t="s">
        <v>799</v>
      </c>
      <c r="V332" s="51" t="s">
        <v>123</v>
      </c>
      <c r="W332" s="52" t="s">
        <v>198</v>
      </c>
      <c r="Y332" s="210" t="s">
        <v>6544</v>
      </c>
      <c r="Z332" s="210" t="s">
        <v>6166</v>
      </c>
      <c r="AB332" s="51" t="s">
        <v>6276</v>
      </c>
      <c r="AC332" s="51" t="s">
        <v>4292</v>
      </c>
      <c r="AD332" s="51" t="s">
        <v>1247</v>
      </c>
      <c r="AE332" s="52" t="s">
        <v>198</v>
      </c>
      <c r="AG332" s="210" t="s">
        <v>6545</v>
      </c>
      <c r="AH332" s="210" t="s">
        <v>6308</v>
      </c>
    </row>
    <row r="333" spans="1:34" ht="38.25" x14ac:dyDescent="0.25">
      <c r="A333" s="51" t="s">
        <v>3672</v>
      </c>
      <c r="B333" s="51">
        <v>49</v>
      </c>
      <c r="C333" s="51" t="s">
        <v>66</v>
      </c>
      <c r="D333" s="50" t="s">
        <v>72</v>
      </c>
      <c r="E333" s="50" t="s">
        <v>3695</v>
      </c>
      <c r="F333" s="189" t="str" cm="1">
        <f t="array" aca="1" ref="F333" ca="1">IF(I333=0,"",HYPERLINK("#"&amp;RIGHT(CELL("dateiname"),LEN(CELL("dateiname"))-FIND("]",CELL("dateiname")))&amp;"!"&amp;CELL("adresse",OFFSET($C$6,I333-1,0)),"Definition"))</f>
        <v>Definition</v>
      </c>
      <c r="G333" s="189" t="str" cm="1">
        <f t="array" aca="1" ref="G333" ca="1">IF(J333=0,"",HYPERLINK("#"&amp;RIGHT(CELL("adresse",OFFSET(DMAV_Modell!$A$6,J333-1,0)),LEN(CELL("adresse",OFFSET(DMAV_Modell!$A$6,J333-1,0)))-SEARCH("]",CELL("adresse",OFFSET(DMAV_Modell!$A$6,J333-1,0)))),"Modell"))</f>
        <v>Modell</v>
      </c>
      <c r="H333" s="150" t="str">
        <f t="shared" si="10"/>
        <v>DEO49</v>
      </c>
      <c r="I333" s="150">
        <f t="shared" si="11"/>
        <v>29</v>
      </c>
      <c r="J333" s="150">
        <f>IF(_xlfn.XLOOKUP(H333,Korrelation!$B$4:$B$723,Korrelation!$A$4:$A$723,0,0)=0,0,MATCH(_xlfn.XLOOKUP(H333,Korrelation!$B$4:$B$723,Korrelation!$A$4:$A$723,0,0),DMAV_Modell!$G$6:$G$677,0))</f>
        <v>513</v>
      </c>
      <c r="L333" s="51" t="s">
        <v>20</v>
      </c>
      <c r="M333" s="51" t="s">
        <v>302</v>
      </c>
      <c r="N333" s="51" t="s">
        <v>67</v>
      </c>
      <c r="O333" s="52" t="s">
        <v>420</v>
      </c>
      <c r="P333" s="56"/>
      <c r="Q333" s="52" t="s">
        <v>3655</v>
      </c>
      <c r="R333" s="52"/>
      <c r="T333" s="51" t="s">
        <v>6130</v>
      </c>
      <c r="U333" s="51" t="s">
        <v>799</v>
      </c>
      <c r="V333" s="51" t="s">
        <v>727</v>
      </c>
      <c r="W333" s="52" t="s">
        <v>6764</v>
      </c>
      <c r="Y333" s="210" t="s">
        <v>6887</v>
      </c>
      <c r="AB333" s="51" t="s">
        <v>6276</v>
      </c>
      <c r="AC333" s="51" t="s">
        <v>4292</v>
      </c>
      <c r="AD333" s="51" t="s">
        <v>3941</v>
      </c>
      <c r="AE333" s="52" t="s">
        <v>6767</v>
      </c>
      <c r="AG333" s="210" t="s">
        <v>6886</v>
      </c>
    </row>
    <row r="334" spans="1:34" ht="38.25" x14ac:dyDescent="0.25">
      <c r="A334" s="51" t="s">
        <v>3672</v>
      </c>
      <c r="B334" s="51">
        <v>50</v>
      </c>
      <c r="C334" s="51" t="s">
        <v>66</v>
      </c>
      <c r="D334" s="50">
        <v>1</v>
      </c>
      <c r="F334" s="189" t="str" cm="1">
        <f t="array" aca="1" ref="F334" ca="1">IF(I334=0,"",HYPERLINK("#"&amp;RIGHT(CELL("dateiname"),LEN(CELL("dateiname"))-FIND("]",CELL("dateiname")))&amp;"!"&amp;CELL("adresse",OFFSET($C$6,I334-1,0)),"Definition"))</f>
        <v/>
      </c>
      <c r="G334" s="189" t="str" cm="1">
        <f t="array" aca="1" ref="G334" ca="1">IF(J334=0,"",HYPERLINK("#"&amp;RIGHT(CELL("adresse",OFFSET(DMAV_Modell!$A$6,J334-1,0)),LEN(CELL("adresse",OFFSET(DMAV_Modell!$A$6,J334-1,0)))-SEARCH("]",CELL("adresse",OFFSET(DMAV_Modell!$A$6,J334-1,0)))),"Modell"))</f>
        <v>Modell</v>
      </c>
      <c r="H334" s="150" t="str">
        <f t="shared" si="10"/>
        <v>DEO50</v>
      </c>
      <c r="I334" s="150">
        <f t="shared" si="11"/>
        <v>0</v>
      </c>
      <c r="J334" s="150">
        <f>IF(_xlfn.XLOOKUP(H334,Korrelation!$B$4:$B$723,Korrelation!$A$4:$A$723,0,0)=0,0,MATCH(_xlfn.XLOOKUP(H334,Korrelation!$B$4:$B$723,Korrelation!$A$4:$A$723,0,0),DMAV_Modell!$G$6:$G$677,0))</f>
        <v>514</v>
      </c>
      <c r="L334" s="51" t="s">
        <v>20</v>
      </c>
      <c r="M334" s="51" t="s">
        <v>304</v>
      </c>
      <c r="N334" s="51" t="s">
        <v>123</v>
      </c>
      <c r="O334" s="52" t="s">
        <v>69</v>
      </c>
      <c r="P334" s="56"/>
      <c r="Q334" s="52" t="s">
        <v>305</v>
      </c>
      <c r="R334" s="52" t="s">
        <v>94</v>
      </c>
      <c r="T334" s="51" t="s">
        <v>6130</v>
      </c>
      <c r="U334" s="51" t="s">
        <v>800</v>
      </c>
      <c r="V334" s="51" t="s">
        <v>123</v>
      </c>
      <c r="W334" s="52" t="s">
        <v>69</v>
      </c>
      <c r="Y334" s="210" t="s">
        <v>6546</v>
      </c>
      <c r="Z334" s="210" t="s">
        <v>6166</v>
      </c>
      <c r="AB334" s="51" t="s">
        <v>6276</v>
      </c>
      <c r="AC334" s="51" t="s">
        <v>4293</v>
      </c>
      <c r="AD334" s="51" t="s">
        <v>1247</v>
      </c>
      <c r="AE334" s="52" t="s">
        <v>69</v>
      </c>
      <c r="AG334" s="210" t="s">
        <v>6547</v>
      </c>
      <c r="AH334" s="210" t="s">
        <v>6308</v>
      </c>
    </row>
    <row r="335" spans="1:34" ht="25.5" x14ac:dyDescent="0.25">
      <c r="A335" s="51" t="s">
        <v>3672</v>
      </c>
      <c r="B335" s="51">
        <v>51</v>
      </c>
      <c r="C335" s="51" t="s">
        <v>66</v>
      </c>
      <c r="D335" s="50" t="s">
        <v>72</v>
      </c>
      <c r="F335" s="189" t="str" cm="1">
        <f t="array" aca="1" ref="F335" ca="1">IF(I335=0,"",HYPERLINK("#"&amp;RIGHT(CELL("dateiname"),LEN(CELL("dateiname"))-FIND("]",CELL("dateiname")))&amp;"!"&amp;CELL("adresse",OFFSET($C$6,I335-1,0)),"Definition"))</f>
        <v/>
      </c>
      <c r="G335" s="189" t="str" cm="1">
        <f t="array" aca="1" ref="G335" ca="1">IF(J335=0,"",HYPERLINK("#"&amp;RIGHT(CELL("adresse",OFFSET(DMAV_Modell!$A$6,J335-1,0)),LEN(CELL("adresse",OFFSET(DMAV_Modell!$A$6,J335-1,0)))-SEARCH("]",CELL("adresse",OFFSET(DMAV_Modell!$A$6,J335-1,0)))),"Modell"))</f>
        <v>Modell</v>
      </c>
      <c r="H335" s="150" t="str">
        <f t="shared" si="10"/>
        <v>DEO51</v>
      </c>
      <c r="I335" s="150">
        <f t="shared" si="11"/>
        <v>0</v>
      </c>
      <c r="J335" s="150">
        <f>IF(_xlfn.XLOOKUP(H335,Korrelation!$B$4:$B$723,Korrelation!$A$4:$A$723,0,0)=0,0,MATCH(_xlfn.XLOOKUP(H335,Korrelation!$B$4:$B$723,Korrelation!$A$4:$A$723,0,0),DMAV_Modell!$G$6:$G$677,0))</f>
        <v>515</v>
      </c>
      <c r="L335" s="51" t="s">
        <v>20</v>
      </c>
      <c r="M335" s="51" t="s">
        <v>304</v>
      </c>
      <c r="N335" s="51" t="s">
        <v>149</v>
      </c>
      <c r="O335" s="52" t="s">
        <v>73</v>
      </c>
      <c r="P335" s="56">
        <v>0</v>
      </c>
      <c r="Q335" s="52" t="s">
        <v>306</v>
      </c>
      <c r="R335" s="52"/>
      <c r="T335" s="51" t="s">
        <v>6130</v>
      </c>
      <c r="U335" s="51" t="s">
        <v>800</v>
      </c>
      <c r="V335" s="51" t="s">
        <v>756</v>
      </c>
      <c r="W335" s="52" t="s">
        <v>73</v>
      </c>
      <c r="X335" s="209" t="s">
        <v>3729</v>
      </c>
      <c r="Y335" s="210" t="s">
        <v>6548</v>
      </c>
      <c r="AB335" s="51" t="s">
        <v>6276</v>
      </c>
      <c r="AC335" s="51" t="s">
        <v>4293</v>
      </c>
      <c r="AD335" s="51" t="s">
        <v>4034</v>
      </c>
      <c r="AE335" s="52" t="s">
        <v>73</v>
      </c>
      <c r="AF335" s="209" t="s">
        <v>3729</v>
      </c>
      <c r="AG335" s="210" t="s">
        <v>6549</v>
      </c>
    </row>
    <row r="336" spans="1:34" x14ac:dyDescent="0.25">
      <c r="A336" s="51" t="s">
        <v>3672</v>
      </c>
      <c r="B336" s="51">
        <v>52</v>
      </c>
      <c r="C336" s="51" t="s">
        <v>66</v>
      </c>
      <c r="D336" s="50">
        <v>1</v>
      </c>
      <c r="F336" s="189" t="str" cm="1">
        <f t="array" aca="1" ref="F336" ca="1">IF(I336=0,"",HYPERLINK("#"&amp;RIGHT(CELL("dateiname"),LEN(CELL("dateiname"))-FIND("]",CELL("dateiname")))&amp;"!"&amp;CELL("adresse",OFFSET($C$6,I336-1,0)),"Definition"))</f>
        <v/>
      </c>
      <c r="G336" s="189" t="str" cm="1">
        <f t="array" aca="1" ref="G336" ca="1">IF(J336=0,"",HYPERLINK("#"&amp;RIGHT(CELL("adresse",OFFSET(DMAV_Modell!$A$6,J336-1,0)),LEN(CELL("adresse",OFFSET(DMAV_Modell!$A$6,J336-1,0)))-SEARCH("]",CELL("adresse",OFFSET(DMAV_Modell!$A$6,J336-1,0)))),"Modell"))</f>
        <v>Modell</v>
      </c>
      <c r="H336" s="150" t="str">
        <f t="shared" si="10"/>
        <v>DEO52</v>
      </c>
      <c r="I336" s="150">
        <f t="shared" si="11"/>
        <v>0</v>
      </c>
      <c r="J336" s="150">
        <f>IF(_xlfn.XLOOKUP(H336,Korrelation!$B$4:$B$723,Korrelation!$A$4:$A$723,0,0)=0,0,MATCH(_xlfn.XLOOKUP(H336,Korrelation!$B$4:$B$723,Korrelation!$A$4:$A$723,0,0),DMAV_Modell!$G$6:$G$677,0))</f>
        <v>518</v>
      </c>
      <c r="L336" s="51" t="s">
        <v>20</v>
      </c>
      <c r="M336" s="51" t="s">
        <v>400</v>
      </c>
      <c r="N336" s="51" t="s">
        <v>121</v>
      </c>
      <c r="O336" s="52" t="s">
        <v>97</v>
      </c>
      <c r="P336" s="56"/>
      <c r="Q336" s="52" t="s">
        <v>506</v>
      </c>
      <c r="R336" s="52"/>
      <c r="T336" s="51" t="s">
        <v>6130</v>
      </c>
      <c r="U336" s="51" t="s">
        <v>818</v>
      </c>
      <c r="V336" s="51" t="s">
        <v>742</v>
      </c>
      <c r="W336" s="52" t="s">
        <v>97</v>
      </c>
      <c r="Y336" s="210" t="s">
        <v>6888</v>
      </c>
      <c r="AB336" s="51" t="s">
        <v>6276</v>
      </c>
      <c r="AC336" s="51" t="s">
        <v>4360</v>
      </c>
      <c r="AD336" s="51" t="s">
        <v>742</v>
      </c>
      <c r="AE336" s="52" t="s">
        <v>97</v>
      </c>
      <c r="AG336" s="210" t="s">
        <v>6889</v>
      </c>
    </row>
    <row r="337" spans="1:34" ht="38.25" x14ac:dyDescent="0.25">
      <c r="A337" s="51" t="s">
        <v>3672</v>
      </c>
      <c r="B337" s="51">
        <v>53</v>
      </c>
      <c r="C337" s="51" t="s">
        <v>66</v>
      </c>
      <c r="D337" s="50" t="s">
        <v>72</v>
      </c>
      <c r="E337" s="50" t="s">
        <v>3683</v>
      </c>
      <c r="F337" s="189" t="str" cm="1">
        <f t="array" aca="1" ref="F337" ca="1">IF(I337=0,"",HYPERLINK("#"&amp;RIGHT(CELL("dateiname"),LEN(CELL("dateiname"))-FIND("]",CELL("dateiname")))&amp;"!"&amp;CELL("adresse",OFFSET($C$6,I337-1,0)),"Definition"))</f>
        <v>Definition</v>
      </c>
      <c r="G337" s="189" t="str" cm="1">
        <f t="array" aca="1" ref="G337" ca="1">IF(J337=0,"",HYPERLINK("#"&amp;RIGHT(CELL("adresse",OFFSET(DMAV_Modell!$A$6,J337-1,0)),LEN(CELL("adresse",OFFSET(DMAV_Modell!$A$6,J337-1,0)))-SEARCH("]",CELL("adresse",OFFSET(DMAV_Modell!$A$6,J337-1,0)))),"Modell"))</f>
        <v>Modell</v>
      </c>
      <c r="H337" s="150" t="str">
        <f t="shared" si="10"/>
        <v>DEO53</v>
      </c>
      <c r="I337" s="150">
        <f t="shared" si="11"/>
        <v>32</v>
      </c>
      <c r="J337" s="150">
        <f>IF(_xlfn.XLOOKUP(H337,Korrelation!$B$4:$B$723,Korrelation!$A$4:$A$723,0,0)=0,0,MATCH(_xlfn.XLOOKUP(H337,Korrelation!$B$4:$B$723,Korrelation!$A$4:$A$723,0,0),DMAV_Modell!$G$6:$G$677,0))</f>
        <v>519</v>
      </c>
      <c r="L337" s="51" t="s">
        <v>20</v>
      </c>
      <c r="M337" s="51" t="s">
        <v>400</v>
      </c>
      <c r="N337" s="51" t="s">
        <v>77</v>
      </c>
      <c r="O337" s="52" t="s">
        <v>250</v>
      </c>
      <c r="P337" s="56"/>
      <c r="Q337" s="52" t="s">
        <v>402</v>
      </c>
      <c r="R337" s="52"/>
      <c r="T337" s="51" t="s">
        <v>6130</v>
      </c>
      <c r="U337" s="51" t="s">
        <v>818</v>
      </c>
      <c r="V337" s="51" t="s">
        <v>729</v>
      </c>
      <c r="W337" s="52" t="s">
        <v>6428</v>
      </c>
      <c r="Y337" s="210" t="s">
        <v>6727</v>
      </c>
      <c r="AB337" s="51" t="s">
        <v>6276</v>
      </c>
      <c r="AC337" s="51" t="s">
        <v>4360</v>
      </c>
      <c r="AD337" s="51" t="s">
        <v>3933</v>
      </c>
      <c r="AE337" s="52" t="s">
        <v>6363</v>
      </c>
      <c r="AG337" s="210" t="s">
        <v>6728</v>
      </c>
    </row>
    <row r="338" spans="1:34" x14ac:dyDescent="0.25">
      <c r="A338" s="51" t="s">
        <v>3672</v>
      </c>
      <c r="B338" s="51">
        <v>54</v>
      </c>
      <c r="C338" s="51" t="s">
        <v>66</v>
      </c>
      <c r="D338" s="50">
        <v>1</v>
      </c>
      <c r="F338" s="189" t="str" cm="1">
        <f t="array" aca="1" ref="F338" ca="1">IF(I338=0,"",HYPERLINK("#"&amp;RIGHT(CELL("dateiname"),LEN(CELL("dateiname"))-FIND("]",CELL("dateiname")))&amp;"!"&amp;CELL("adresse",OFFSET($C$6,I338-1,0)),"Definition"))</f>
        <v/>
      </c>
      <c r="G338" s="189" t="str" cm="1">
        <f t="array" aca="1" ref="G338" ca="1">IF(J338=0,"",HYPERLINK("#"&amp;RIGHT(CELL("adresse",OFFSET(DMAV_Modell!$A$6,J338-1,0)),LEN(CELL("adresse",OFFSET(DMAV_Modell!$A$6,J338-1,0)))-SEARCH("]",CELL("adresse",OFFSET(DMAV_Modell!$A$6,J338-1,0)))),"Modell"))</f>
        <v>Modell</v>
      </c>
      <c r="H338" s="150" t="str">
        <f t="shared" si="10"/>
        <v>DEO54</v>
      </c>
      <c r="I338" s="150">
        <f t="shared" si="11"/>
        <v>0</v>
      </c>
      <c r="J338" s="150">
        <f>IF(_xlfn.XLOOKUP(H338,Korrelation!$B$4:$B$723,Korrelation!$A$4:$A$723,0,0)=0,0,MATCH(_xlfn.XLOOKUP(H338,Korrelation!$B$4:$B$723,Korrelation!$A$4:$A$723,0,0),DMAV_Modell!$G$6:$G$677,0))</f>
        <v>516</v>
      </c>
      <c r="L338" s="51" t="s">
        <v>20</v>
      </c>
      <c r="M338" s="51" t="s">
        <v>403</v>
      </c>
      <c r="N338" s="51" t="s">
        <v>5</v>
      </c>
      <c r="O338" s="52" t="s">
        <v>102</v>
      </c>
      <c r="P338" s="56"/>
      <c r="Q338" s="52" t="s">
        <v>404</v>
      </c>
      <c r="R338" s="52"/>
      <c r="T338" s="51" t="s">
        <v>6130</v>
      </c>
      <c r="U338" s="51" t="s">
        <v>819</v>
      </c>
      <c r="V338" s="51" t="s">
        <v>702</v>
      </c>
      <c r="W338" s="52" t="s">
        <v>102</v>
      </c>
      <c r="Y338" s="210" t="s">
        <v>6729</v>
      </c>
      <c r="AB338" s="51" t="s">
        <v>6276</v>
      </c>
      <c r="AC338" s="51" t="s">
        <v>4361</v>
      </c>
      <c r="AD338" s="51" t="s">
        <v>1700</v>
      </c>
      <c r="AE338" s="52" t="s">
        <v>102</v>
      </c>
      <c r="AG338" s="210" t="s">
        <v>6730</v>
      </c>
    </row>
    <row r="339" spans="1:34" ht="38.25" x14ac:dyDescent="0.25">
      <c r="A339" s="51" t="s">
        <v>3672</v>
      </c>
      <c r="B339" s="51">
        <v>55</v>
      </c>
      <c r="C339" s="51" t="s">
        <v>66</v>
      </c>
      <c r="D339" s="50" t="s">
        <v>72</v>
      </c>
      <c r="E339" s="50" t="s">
        <v>3683</v>
      </c>
      <c r="F339" s="189" t="str" cm="1">
        <f t="array" aca="1" ref="F339" ca="1">IF(I339=0,"",HYPERLINK("#"&amp;RIGHT(CELL("dateiname"),LEN(CELL("dateiname"))-FIND("]",CELL("dateiname")))&amp;"!"&amp;CELL("adresse",OFFSET($C$6,I339-1,0)),"Definition"))</f>
        <v>Definition</v>
      </c>
      <c r="G339" s="189" t="str" cm="1">
        <f t="array" aca="1" ref="G339" ca="1">IF(J339=0,"",HYPERLINK("#"&amp;RIGHT(CELL("adresse",OFFSET(DMAV_Modell!$A$6,J339-1,0)),LEN(CELL("adresse",OFFSET(DMAV_Modell!$A$6,J339-1,0)))-SEARCH("]",CELL("adresse",OFFSET(DMAV_Modell!$A$6,J339-1,0)))),"Modell"))</f>
        <v>Modell</v>
      </c>
      <c r="H339" s="150" t="str">
        <f t="shared" si="10"/>
        <v>DEO55</v>
      </c>
      <c r="I339" s="150">
        <f t="shared" si="11"/>
        <v>32</v>
      </c>
      <c r="J339" s="150">
        <f>IF(_xlfn.XLOOKUP(H339,Korrelation!$B$4:$B$723,Korrelation!$A$4:$A$723,0,0)=0,0,MATCH(_xlfn.XLOOKUP(H339,Korrelation!$B$4:$B$723,Korrelation!$A$4:$A$723,0,0),DMAV_Modell!$G$6:$G$677,0))</f>
        <v>517</v>
      </c>
      <c r="L339" s="51" t="s">
        <v>20</v>
      </c>
      <c r="M339" s="51" t="s">
        <v>403</v>
      </c>
      <c r="N339" s="51" t="s">
        <v>77</v>
      </c>
      <c r="O339" s="52" t="s">
        <v>250</v>
      </c>
      <c r="P339" s="56"/>
      <c r="Q339" s="52" t="s">
        <v>405</v>
      </c>
      <c r="R339" s="52"/>
      <c r="T339" s="51" t="s">
        <v>6130</v>
      </c>
      <c r="U339" s="51" t="s">
        <v>819</v>
      </c>
      <c r="V339" s="51" t="s">
        <v>729</v>
      </c>
      <c r="W339" s="52" t="s">
        <v>6428</v>
      </c>
      <c r="Y339" s="210" t="s">
        <v>6731</v>
      </c>
      <c r="AB339" s="51" t="s">
        <v>6276</v>
      </c>
      <c r="AC339" s="51" t="s">
        <v>4361</v>
      </c>
      <c r="AD339" s="51" t="s">
        <v>3933</v>
      </c>
      <c r="AE339" s="52" t="s">
        <v>6363</v>
      </c>
      <c r="AG339" s="210" t="s">
        <v>6732</v>
      </c>
    </row>
    <row r="340" spans="1:34" x14ac:dyDescent="0.25">
      <c r="A340" s="51" t="s">
        <v>3672</v>
      </c>
      <c r="B340" s="51">
        <v>56</v>
      </c>
      <c r="C340" s="51" t="s">
        <v>95</v>
      </c>
      <c r="D340" s="50">
        <v>1</v>
      </c>
      <c r="F340" s="189" t="str" cm="1">
        <f t="array" aca="1" ref="F340" ca="1">IF(I340=0,"",HYPERLINK("#"&amp;RIGHT(CELL("dateiname"),LEN(CELL("dateiname"))-FIND("]",CELL("dateiname")))&amp;"!"&amp;CELL("adresse",OFFSET($C$6,I340-1,0)),"Definition"))</f>
        <v/>
      </c>
      <c r="G340" s="189" t="str" cm="1">
        <f t="array" aca="1" ref="G340" ca="1">IF(J340=0,"",HYPERLINK("#"&amp;RIGHT(CELL("adresse",OFFSET(DMAV_Modell!$A$6,J340-1,0)),LEN(CELL("adresse",OFFSET(DMAV_Modell!$A$6,J340-1,0)))-SEARCH("]",CELL("adresse",OFFSET(DMAV_Modell!$A$6,J340-1,0)))),"Modell"))</f>
        <v>Modell</v>
      </c>
      <c r="H340" s="150" t="str">
        <f t="shared" si="10"/>
        <v>DEO56</v>
      </c>
      <c r="I340" s="150">
        <f t="shared" si="11"/>
        <v>0</v>
      </c>
      <c r="J340" s="150">
        <f>IF(_xlfn.XLOOKUP(H340,Korrelation!$B$4:$B$723,Korrelation!$A$4:$A$723,0,0)=0,0,MATCH(_xlfn.XLOOKUP(H340,Korrelation!$B$4:$B$723,Korrelation!$A$4:$A$723,0,0),DMAV_Modell!$G$6:$G$677,0))</f>
        <v>505</v>
      </c>
      <c r="L340" s="51" t="s">
        <v>20</v>
      </c>
      <c r="M340" s="51" t="s">
        <v>507</v>
      </c>
      <c r="N340" s="51" t="s">
        <v>96</v>
      </c>
      <c r="O340" s="52" t="s">
        <v>97</v>
      </c>
      <c r="P340" s="56"/>
      <c r="Q340" s="52" t="s">
        <v>98</v>
      </c>
      <c r="R340" s="52"/>
      <c r="T340" s="51" t="s">
        <v>6130</v>
      </c>
      <c r="U340" s="51" t="s">
        <v>866</v>
      </c>
      <c r="V340" s="51" t="s">
        <v>733</v>
      </c>
      <c r="W340" s="52" t="s">
        <v>97</v>
      </c>
      <c r="Y340" s="210" t="s">
        <v>6175</v>
      </c>
      <c r="AB340" s="51" t="s">
        <v>6276</v>
      </c>
      <c r="AC340" s="51" t="s">
        <v>4399</v>
      </c>
      <c r="AD340" s="51" t="s">
        <v>1378</v>
      </c>
      <c r="AE340" s="52" t="s">
        <v>97</v>
      </c>
      <c r="AG340" s="210" t="s">
        <v>6316</v>
      </c>
    </row>
    <row r="341" spans="1:34" ht="25.5" x14ac:dyDescent="0.25">
      <c r="A341" s="51" t="s">
        <v>3672</v>
      </c>
      <c r="B341" s="51">
        <v>57</v>
      </c>
      <c r="C341" s="51" t="s">
        <v>95</v>
      </c>
      <c r="D341" s="50">
        <v>1</v>
      </c>
      <c r="F341" s="189" t="str" cm="1">
        <f t="array" aca="1" ref="F341" ca="1">IF(I341=0,"",HYPERLINK("#"&amp;RIGHT(CELL("dateiname"),LEN(CELL("dateiname"))-FIND("]",CELL("dateiname")))&amp;"!"&amp;CELL("adresse",OFFSET($C$6,I341-1,0)),"Definition"))</f>
        <v/>
      </c>
      <c r="G341" s="189" t="str" cm="1">
        <f t="array" aca="1" ref="G341" ca="1">IF(J341=0,"",HYPERLINK("#"&amp;RIGHT(CELL("adresse",OFFSET(DMAV_Modell!$A$6,J341-1,0)),LEN(CELL("adresse",OFFSET(DMAV_Modell!$A$6,J341-1,0)))-SEARCH("]",CELL("adresse",OFFSET(DMAV_Modell!$A$6,J341-1,0)))),"Modell"))</f>
        <v>Modell</v>
      </c>
      <c r="H341" s="150" t="str">
        <f t="shared" si="10"/>
        <v>DEO57</v>
      </c>
      <c r="I341" s="150">
        <f t="shared" si="11"/>
        <v>0</v>
      </c>
      <c r="J341" s="150">
        <f>IF(_xlfn.XLOOKUP(H341,Korrelation!$B$4:$B$723,Korrelation!$A$4:$A$723,0,0)=0,0,MATCH(_xlfn.XLOOKUP(H341,Korrelation!$B$4:$B$723,Korrelation!$A$4:$A$723,0,0),DMAV_Modell!$G$6:$G$677,0))</f>
        <v>506</v>
      </c>
      <c r="L341" s="51" t="s">
        <v>20</v>
      </c>
      <c r="M341" s="51" t="s">
        <v>507</v>
      </c>
      <c r="N341" s="51" t="s">
        <v>99</v>
      </c>
      <c r="O341" s="52" t="s">
        <v>97</v>
      </c>
      <c r="P341" s="56"/>
      <c r="Q341" s="52" t="s">
        <v>100</v>
      </c>
      <c r="R341" s="52"/>
      <c r="T341" s="51" t="s">
        <v>6130</v>
      </c>
      <c r="U341" s="51" t="s">
        <v>866</v>
      </c>
      <c r="V341" s="51" t="s">
        <v>734</v>
      </c>
      <c r="W341" s="52" t="s">
        <v>97</v>
      </c>
      <c r="Y341" s="210" t="s">
        <v>6176</v>
      </c>
      <c r="AB341" s="51" t="s">
        <v>6276</v>
      </c>
      <c r="AC341" s="51" t="s">
        <v>4399</v>
      </c>
      <c r="AD341" s="51" t="s">
        <v>1376</v>
      </c>
      <c r="AE341" s="52" t="s">
        <v>97</v>
      </c>
      <c r="AG341" s="210" t="s">
        <v>6317</v>
      </c>
    </row>
    <row r="342" spans="1:34" x14ac:dyDescent="0.25">
      <c r="A342" s="51" t="s">
        <v>3672</v>
      </c>
      <c r="B342" s="51">
        <v>58</v>
      </c>
      <c r="C342" s="51" t="s">
        <v>95</v>
      </c>
      <c r="D342" s="50">
        <v>1</v>
      </c>
      <c r="F342" s="189" t="str" cm="1">
        <f t="array" aca="1" ref="F342" ca="1">IF(I342=0,"",HYPERLINK("#"&amp;RIGHT(CELL("dateiname"),LEN(CELL("dateiname"))-FIND("]",CELL("dateiname")))&amp;"!"&amp;CELL("adresse",OFFSET($C$6,I342-1,0)),"Definition"))</f>
        <v/>
      </c>
      <c r="G342" s="189" t="str" cm="1">
        <f t="array" aca="1" ref="G342" ca="1">IF(J342=0,"",HYPERLINK("#"&amp;RIGHT(CELL("adresse",OFFSET(DMAV_Modell!$A$6,J342-1,0)),LEN(CELL("adresse",OFFSET(DMAV_Modell!$A$6,J342-1,0)))-SEARCH("]",CELL("adresse",OFFSET(DMAV_Modell!$A$6,J342-1,0)))),"Modell"))</f>
        <v>Modell</v>
      </c>
      <c r="H342" s="150" t="str">
        <f t="shared" si="10"/>
        <v>DEO58</v>
      </c>
      <c r="I342" s="150">
        <f t="shared" si="11"/>
        <v>0</v>
      </c>
      <c r="J342" s="150">
        <f>IF(_xlfn.XLOOKUP(H342,Korrelation!$B$4:$B$723,Korrelation!$A$4:$A$723,0,0)=0,0,MATCH(_xlfn.XLOOKUP(H342,Korrelation!$B$4:$B$723,Korrelation!$A$4:$A$723,0,0),DMAV_Modell!$G$6:$G$677,0))</f>
        <v>507</v>
      </c>
      <c r="L342" s="51" t="s">
        <v>20</v>
      </c>
      <c r="M342" s="51" t="s">
        <v>507</v>
      </c>
      <c r="N342" s="51" t="s">
        <v>101</v>
      </c>
      <c r="O342" s="52" t="s">
        <v>102</v>
      </c>
      <c r="P342" s="56"/>
      <c r="Q342" s="52" t="s">
        <v>103</v>
      </c>
      <c r="R342" s="52"/>
      <c r="T342" s="51" t="s">
        <v>6130</v>
      </c>
      <c r="U342" s="51" t="s">
        <v>866</v>
      </c>
      <c r="V342" s="51" t="s">
        <v>735</v>
      </c>
      <c r="W342" s="52" t="s">
        <v>102</v>
      </c>
      <c r="Y342" s="210" t="s">
        <v>6177</v>
      </c>
      <c r="AB342" s="51" t="s">
        <v>6276</v>
      </c>
      <c r="AC342" s="51" t="s">
        <v>4399</v>
      </c>
      <c r="AD342" s="51" t="s">
        <v>1294</v>
      </c>
      <c r="AE342" s="52" t="s">
        <v>102</v>
      </c>
      <c r="AG342" s="210" t="s">
        <v>6318</v>
      </c>
    </row>
    <row r="343" spans="1:34" ht="76.5" x14ac:dyDescent="0.25">
      <c r="A343" s="51" t="s">
        <v>3672</v>
      </c>
      <c r="B343" s="51">
        <v>59</v>
      </c>
      <c r="C343" s="51" t="s">
        <v>95</v>
      </c>
      <c r="D343" s="50" t="s">
        <v>72</v>
      </c>
      <c r="F343" s="189" t="str" cm="1">
        <f t="array" aca="1" ref="F343" ca="1">IF(I343=0,"",HYPERLINK("#"&amp;RIGHT(CELL("dateiname"),LEN(CELL("dateiname"))-FIND("]",CELL("dateiname")))&amp;"!"&amp;CELL("adresse",OFFSET($C$6,I343-1,0)),"Definition"))</f>
        <v/>
      </c>
      <c r="G343" s="189" t="str" cm="1">
        <f t="array" aca="1" ref="G343" ca="1">IF(J343=0,"",HYPERLINK("#"&amp;RIGHT(CELL("adresse",OFFSET(DMAV_Modell!$A$6,J343-1,0)),LEN(CELL("adresse",OFFSET(DMAV_Modell!$A$6,J343-1,0)))-SEARCH("]",CELL("adresse",OFFSET(DMAV_Modell!$A$6,J343-1,0)))),"Modell"))</f>
        <v>Modell</v>
      </c>
      <c r="H343" s="150" t="str">
        <f t="shared" si="10"/>
        <v>DEO59</v>
      </c>
      <c r="I343" s="150">
        <f t="shared" si="11"/>
        <v>0</v>
      </c>
      <c r="J343" s="150">
        <f>IF(_xlfn.XLOOKUP(H343,Korrelation!$B$4:$B$723,Korrelation!$A$4:$A$723,0,0)=0,0,MATCH(_xlfn.XLOOKUP(H343,Korrelation!$B$4:$B$723,Korrelation!$A$4:$A$723,0,0),DMAV_Modell!$G$6:$G$677,0))</f>
        <v>508</v>
      </c>
      <c r="L343" s="51" t="s">
        <v>20</v>
      </c>
      <c r="M343" s="51" t="s">
        <v>507</v>
      </c>
      <c r="N343" s="51" t="s">
        <v>104</v>
      </c>
      <c r="O343" s="52" t="s">
        <v>105</v>
      </c>
      <c r="P343" s="56"/>
      <c r="Q343" s="52" t="s">
        <v>106</v>
      </c>
      <c r="R343" s="52"/>
      <c r="T343" s="51" t="s">
        <v>6130</v>
      </c>
      <c r="U343" s="51" t="s">
        <v>866</v>
      </c>
      <c r="V343" s="51" t="s">
        <v>736</v>
      </c>
      <c r="W343" s="52" t="s">
        <v>105</v>
      </c>
      <c r="Y343" s="210" t="s">
        <v>6178</v>
      </c>
      <c r="AB343" s="51" t="s">
        <v>6276</v>
      </c>
      <c r="AC343" s="51" t="s">
        <v>4399</v>
      </c>
      <c r="AD343" s="51" t="s">
        <v>1595</v>
      </c>
      <c r="AE343" s="52" t="s">
        <v>105</v>
      </c>
      <c r="AG343" s="210" t="s">
        <v>6319</v>
      </c>
    </row>
    <row r="344" spans="1:34" ht="25.5" x14ac:dyDescent="0.25">
      <c r="A344" s="51" t="s">
        <v>3672</v>
      </c>
      <c r="B344" s="51">
        <v>60</v>
      </c>
      <c r="C344" s="51" t="s">
        <v>95</v>
      </c>
      <c r="D344" s="50">
        <v>1</v>
      </c>
      <c r="F344" s="189" t="str" cm="1">
        <f t="array" aca="1" ref="F344" ca="1">IF(I344=0,"",HYPERLINK("#"&amp;RIGHT(CELL("dateiname"),LEN(CELL("dateiname"))-FIND("]",CELL("dateiname")))&amp;"!"&amp;CELL("adresse",OFFSET($C$6,I344-1,0)),"Definition"))</f>
        <v/>
      </c>
      <c r="G344" s="189" t="str" cm="1">
        <f t="array" aca="1" ref="G344" ca="1">IF(J344=0,"",HYPERLINK("#"&amp;RIGHT(CELL("adresse",OFFSET(DMAV_Modell!$A$6,J344-1,0)),LEN(CELL("adresse",OFFSET(DMAV_Modell!$A$6,J344-1,0)))-SEARCH("]",CELL("adresse",OFFSET(DMAV_Modell!$A$6,J344-1,0)))),"Modell"))</f>
        <v>Modell</v>
      </c>
      <c r="H344" s="150" t="str">
        <f t="shared" si="10"/>
        <v>DEO60</v>
      </c>
      <c r="I344" s="150">
        <f t="shared" si="11"/>
        <v>0</v>
      </c>
      <c r="J344" s="150">
        <f>IF(_xlfn.XLOOKUP(H344,Korrelation!$B$4:$B$723,Korrelation!$A$4:$A$723,0,0)=0,0,MATCH(_xlfn.XLOOKUP(H344,Korrelation!$B$4:$B$723,Korrelation!$A$4:$A$723,0,0),DMAV_Modell!$G$6:$G$677,0))</f>
        <v>509</v>
      </c>
      <c r="L344" s="51" t="s">
        <v>20</v>
      </c>
      <c r="M344" s="51" t="s">
        <v>507</v>
      </c>
      <c r="N344" s="51" t="s">
        <v>107</v>
      </c>
      <c r="O344" s="52" t="s">
        <v>108</v>
      </c>
      <c r="P344" s="56"/>
      <c r="Q344" s="52" t="s">
        <v>109</v>
      </c>
      <c r="R344" s="52"/>
      <c r="T344" s="51" t="s">
        <v>6130</v>
      </c>
      <c r="U344" s="51" t="s">
        <v>866</v>
      </c>
      <c r="V344" s="51" t="s">
        <v>737</v>
      </c>
      <c r="W344" s="52" t="s">
        <v>108</v>
      </c>
      <c r="Y344" s="210" t="s">
        <v>6179</v>
      </c>
      <c r="AB344" s="51" t="s">
        <v>6276</v>
      </c>
      <c r="AC344" s="51" t="s">
        <v>4399</v>
      </c>
      <c r="AD344" s="51" t="s">
        <v>4014</v>
      </c>
      <c r="AE344" s="52" t="s">
        <v>108</v>
      </c>
      <c r="AG344" s="210" t="s">
        <v>6320</v>
      </c>
    </row>
    <row r="345" spans="1:34" ht="25.5" x14ac:dyDescent="0.25">
      <c r="A345" s="51" t="s">
        <v>3672</v>
      </c>
      <c r="B345" s="51">
        <v>61</v>
      </c>
      <c r="C345" s="51" t="s">
        <v>95</v>
      </c>
      <c r="D345" s="50">
        <v>1</v>
      </c>
      <c r="E345" s="50" t="s">
        <v>3696</v>
      </c>
      <c r="F345" s="189" t="str" cm="1">
        <f t="array" aca="1" ref="F345" ca="1">IF(I345=0,"",HYPERLINK("#"&amp;RIGHT(CELL("dateiname"),LEN(CELL("dateiname"))-FIND("]",CELL("dateiname")))&amp;"!"&amp;CELL("adresse",OFFSET($C$6,I345-1,0)),"Definition"))</f>
        <v>Definition</v>
      </c>
      <c r="G345" s="189" t="str" cm="1">
        <f t="array" aca="1" ref="G345" ca="1">IF(J345=0,"",HYPERLINK("#"&amp;RIGHT(CELL("adresse",OFFSET(DMAV_Modell!$A$6,J345-1,0)),LEN(CELL("adresse",OFFSET(DMAV_Modell!$A$6,J345-1,0)))-SEARCH("]",CELL("adresse",OFFSET(DMAV_Modell!$A$6,J345-1,0)))),"Modell"))</f>
        <v>Modell</v>
      </c>
      <c r="H345" s="150" t="str">
        <f t="shared" si="10"/>
        <v>DEO61</v>
      </c>
      <c r="I345" s="150">
        <f t="shared" si="11"/>
        <v>280</v>
      </c>
      <c r="J345" s="150">
        <f>IF(_xlfn.XLOOKUP(H345,Korrelation!$B$4:$B$723,Korrelation!$A$4:$A$723,0,0)=0,0,MATCH(_xlfn.XLOOKUP(H345,Korrelation!$B$4:$B$723,Korrelation!$A$4:$A$723,0,0),DMAV_Modell!$G$6:$G$677,0))</f>
        <v>521</v>
      </c>
      <c r="L345" s="51" t="s">
        <v>20</v>
      </c>
      <c r="M345" s="51" t="s">
        <v>508</v>
      </c>
      <c r="N345" s="51" t="s">
        <v>434</v>
      </c>
      <c r="O345" s="52" t="s">
        <v>509</v>
      </c>
      <c r="P345" s="56"/>
      <c r="Q345" s="52" t="s">
        <v>510</v>
      </c>
      <c r="R345" s="52"/>
      <c r="T345" s="51" t="s">
        <v>6130</v>
      </c>
      <c r="U345" s="51" t="s">
        <v>867</v>
      </c>
      <c r="V345" s="51" t="s">
        <v>6890</v>
      </c>
      <c r="W345" s="52" t="s">
        <v>6891</v>
      </c>
      <c r="Y345" s="210" t="s">
        <v>6892</v>
      </c>
      <c r="AB345" s="51" t="s">
        <v>6276</v>
      </c>
      <c r="AC345" s="51" t="s">
        <v>4400</v>
      </c>
      <c r="AD345" s="51" t="s">
        <v>4397</v>
      </c>
      <c r="AE345" s="52" t="s">
        <v>6893</v>
      </c>
      <c r="AG345" s="210" t="s">
        <v>6894</v>
      </c>
    </row>
    <row r="346" spans="1:34" ht="51" x14ac:dyDescent="0.25">
      <c r="A346" s="51" t="s">
        <v>3672</v>
      </c>
      <c r="B346" s="51">
        <v>62</v>
      </c>
      <c r="C346" s="51" t="s">
        <v>95</v>
      </c>
      <c r="D346" s="50">
        <v>1</v>
      </c>
      <c r="E346" s="50" t="s">
        <v>3686</v>
      </c>
      <c r="F346" s="189" t="str" cm="1">
        <f t="array" aca="1" ref="F346" ca="1">IF(I346=0,"",HYPERLINK("#"&amp;RIGHT(CELL("dateiname"),LEN(CELL("dateiname"))-FIND("]",CELL("dateiname")))&amp;"!"&amp;CELL("adresse",OFFSET($C$6,I346-1,0)),"Definition"))</f>
        <v>Definition</v>
      </c>
      <c r="G346" s="189" t="str" cm="1">
        <f t="array" aca="1" ref="G346" ca="1">IF(J346=0,"",HYPERLINK("#"&amp;RIGHT(CELL("adresse",OFFSET(DMAV_Modell!$A$6,J346-1,0)),LEN(CELL("adresse",OFFSET(DMAV_Modell!$A$6,J346-1,0)))-SEARCH("]",CELL("adresse",OFFSET(DMAV_Modell!$A$6,J346-1,0)))),"Modell"))</f>
        <v>Modell</v>
      </c>
      <c r="H346" s="150" t="str">
        <f t="shared" si="10"/>
        <v>DEO62</v>
      </c>
      <c r="I346" s="150">
        <f t="shared" si="11"/>
        <v>13</v>
      </c>
      <c r="J346" s="150">
        <f>IF(_xlfn.XLOOKUP(H346,Korrelation!$B$4:$B$723,Korrelation!$A$4:$A$723,0,0)=0,0,MATCH(_xlfn.XLOOKUP(H346,Korrelation!$B$4:$B$723,Korrelation!$A$4:$A$723,0,0),DMAV_Modell!$G$6:$G$677,0))</f>
        <v>520</v>
      </c>
      <c r="L346" s="51" t="s">
        <v>20</v>
      </c>
      <c r="M346" s="51" t="s">
        <v>508</v>
      </c>
      <c r="N346" s="51" t="s">
        <v>265</v>
      </c>
      <c r="O346" s="52" t="s">
        <v>2800</v>
      </c>
      <c r="P346" s="56"/>
      <c r="Q346" s="52" t="s">
        <v>3761</v>
      </c>
      <c r="R346" s="52"/>
      <c r="T346" s="51" t="s">
        <v>6130</v>
      </c>
      <c r="U346" s="51" t="s">
        <v>867</v>
      </c>
      <c r="V346" s="51" t="s">
        <v>711</v>
      </c>
      <c r="W346" s="52" t="s">
        <v>6743</v>
      </c>
      <c r="Y346" s="210" t="s">
        <v>6744</v>
      </c>
      <c r="AB346" s="51" t="s">
        <v>6276</v>
      </c>
      <c r="AC346" s="51" t="s">
        <v>4400</v>
      </c>
      <c r="AD346" s="51" t="s">
        <v>1976</v>
      </c>
      <c r="AE346" s="52" t="s">
        <v>6454</v>
      </c>
      <c r="AG346" s="210" t="s">
        <v>6745</v>
      </c>
    </row>
    <row r="347" spans="1:34" ht="25.5" x14ac:dyDescent="0.25">
      <c r="A347" s="51" t="s">
        <v>3672</v>
      </c>
      <c r="B347" s="51">
        <v>63</v>
      </c>
      <c r="C347" s="51" t="s">
        <v>95</v>
      </c>
      <c r="D347" s="50" t="s">
        <v>72</v>
      </c>
      <c r="E347" s="50" t="s">
        <v>3697</v>
      </c>
      <c r="F347" s="189" t="str" cm="1">
        <f t="array" aca="1" ref="F347" ca="1">IF(I347=0,"",HYPERLINK("#"&amp;RIGHT(CELL("dateiname"),LEN(CELL("dateiname"))-FIND("]",CELL("dateiname")))&amp;"!"&amp;CELL("adresse",OFFSET($C$6,I347-1,0)),"Definition"))</f>
        <v>Definition</v>
      </c>
      <c r="G347" s="189" t="str" cm="1">
        <f t="array" aca="1" ref="G347" ca="1">IF(J347=0,"",HYPERLINK("#"&amp;RIGHT(CELL("adresse",OFFSET(DMAV_Modell!$A$6,J347-1,0)),LEN(CELL("adresse",OFFSET(DMAV_Modell!$A$6,J347-1,0)))-SEARCH("]",CELL("adresse",OFFSET(DMAV_Modell!$A$6,J347-1,0)))),"Modell"))</f>
        <v>Modell</v>
      </c>
      <c r="H347" s="150" t="str">
        <f t="shared" si="10"/>
        <v>DEO63</v>
      </c>
      <c r="I347" s="150">
        <f t="shared" si="11"/>
        <v>325</v>
      </c>
      <c r="J347" s="150">
        <f>IF(_xlfn.XLOOKUP(H347,Korrelation!$B$4:$B$723,Korrelation!$A$4:$A$723,0,0)=0,0,MATCH(_xlfn.XLOOKUP(H347,Korrelation!$B$4:$B$723,Korrelation!$A$4:$A$723,0,0),DMAV_Modell!$G$6:$G$677,0))</f>
        <v>522</v>
      </c>
      <c r="L347" s="51" t="s">
        <v>20</v>
      </c>
      <c r="M347" s="51" t="s">
        <v>508</v>
      </c>
      <c r="N347" s="51" t="s">
        <v>317</v>
      </c>
      <c r="O347" s="52" t="s">
        <v>2801</v>
      </c>
      <c r="P347" s="56"/>
      <c r="Q347" s="52" t="s">
        <v>511</v>
      </c>
      <c r="R347" s="52" t="s">
        <v>512</v>
      </c>
      <c r="T347" s="51" t="s">
        <v>6130</v>
      </c>
      <c r="U347" s="51" t="s">
        <v>867</v>
      </c>
      <c r="V347" s="51" t="s">
        <v>798</v>
      </c>
      <c r="W347" s="52" t="s">
        <v>6895</v>
      </c>
      <c r="Y347" s="210" t="s">
        <v>6896</v>
      </c>
      <c r="Z347" s="210" t="s">
        <v>6897</v>
      </c>
      <c r="AB347" s="51" t="s">
        <v>6276</v>
      </c>
      <c r="AC347" s="51" t="s">
        <v>4400</v>
      </c>
      <c r="AD347" s="51" t="s">
        <v>4291</v>
      </c>
      <c r="AE347" s="52" t="s">
        <v>6567</v>
      </c>
      <c r="AG347" s="210" t="s">
        <v>6898</v>
      </c>
      <c r="AH347" s="210" t="s">
        <v>6899</v>
      </c>
    </row>
    <row r="348" spans="1:34" ht="25.5" x14ac:dyDescent="0.25">
      <c r="A348" s="51" t="s">
        <v>3672</v>
      </c>
      <c r="B348" s="51">
        <v>64</v>
      </c>
      <c r="C348" s="51" t="s">
        <v>95</v>
      </c>
      <c r="D348" s="50" t="s">
        <v>72</v>
      </c>
      <c r="E348" s="50" t="s">
        <v>3698</v>
      </c>
      <c r="F348" s="189" t="str" cm="1">
        <f t="array" aca="1" ref="F348" ca="1">IF(I348=0,"",HYPERLINK("#"&amp;RIGHT(CELL("dateiname"),LEN(CELL("dateiname"))-FIND("]",CELL("dateiname")))&amp;"!"&amp;CELL("adresse",OFFSET($C$6,I348-1,0)),"Definition"))</f>
        <v>Definition</v>
      </c>
      <c r="G348" s="189" t="str" cm="1">
        <f t="array" aca="1" ref="G348" ca="1">IF(J348=0,"",HYPERLINK("#"&amp;RIGHT(CELL("adresse",OFFSET(DMAV_Modell!$A$6,J348-1,0)),LEN(CELL("adresse",OFFSET(DMAV_Modell!$A$6,J348-1,0)))-SEARCH("]",CELL("adresse",OFFSET(DMAV_Modell!$A$6,J348-1,0)))),"Modell"))</f>
        <v>Modell</v>
      </c>
      <c r="H348" s="150" t="str">
        <f t="shared" si="10"/>
        <v>DEO64</v>
      </c>
      <c r="I348" s="150">
        <f t="shared" si="11"/>
        <v>327</v>
      </c>
      <c r="J348" s="150">
        <f>IF(_xlfn.XLOOKUP(H348,Korrelation!$B$4:$B$723,Korrelation!$A$4:$A$723,0,0)=0,0,MATCH(_xlfn.XLOOKUP(H348,Korrelation!$B$4:$B$723,Korrelation!$A$4:$A$723,0,0),DMAV_Modell!$G$6:$G$677,0))</f>
        <v>523</v>
      </c>
      <c r="L348" s="51" t="s">
        <v>20</v>
      </c>
      <c r="M348" s="51" t="s">
        <v>508</v>
      </c>
      <c r="N348" s="51" t="s">
        <v>302</v>
      </c>
      <c r="O348" s="52" t="s">
        <v>320</v>
      </c>
      <c r="P348" s="56"/>
      <c r="Q348" s="52" t="s">
        <v>513</v>
      </c>
      <c r="R348" s="52" t="s">
        <v>514</v>
      </c>
      <c r="T348" s="51" t="s">
        <v>6130</v>
      </c>
      <c r="U348" s="51" t="s">
        <v>867</v>
      </c>
      <c r="V348" s="51" t="s">
        <v>799</v>
      </c>
      <c r="W348" s="52" t="s">
        <v>6900</v>
      </c>
      <c r="Y348" s="210" t="s">
        <v>6901</v>
      </c>
      <c r="Z348" s="210" t="s">
        <v>6902</v>
      </c>
      <c r="AB348" s="51" t="s">
        <v>6276</v>
      </c>
      <c r="AC348" s="51" t="s">
        <v>4400</v>
      </c>
      <c r="AD348" s="51" t="s">
        <v>4292</v>
      </c>
      <c r="AE348" s="52" t="s">
        <v>6572</v>
      </c>
      <c r="AG348" s="210" t="s">
        <v>6903</v>
      </c>
      <c r="AH348" s="210" t="s">
        <v>6904</v>
      </c>
    </row>
    <row r="349" spans="1:34" ht="25.5" x14ac:dyDescent="0.25">
      <c r="A349" s="51" t="s">
        <v>3672</v>
      </c>
      <c r="B349" s="51">
        <v>65</v>
      </c>
      <c r="C349" s="51" t="s">
        <v>95</v>
      </c>
      <c r="D349" s="50" t="s">
        <v>72</v>
      </c>
      <c r="E349" s="50" t="s">
        <v>3699</v>
      </c>
      <c r="F349" s="189" t="str" cm="1">
        <f t="array" aca="1" ref="F349" ca="1">IF(I349=0,"",HYPERLINK("#"&amp;RIGHT(CELL("dateiname"),LEN(CELL("dateiname"))-FIND("]",CELL("dateiname")))&amp;"!"&amp;CELL("adresse",OFFSET($C$6,I349-1,0)),"Definition"))</f>
        <v>Definition</v>
      </c>
      <c r="G349" s="189" t="str" cm="1">
        <f t="array" aca="1" ref="G349" ca="1">IF(J349=0,"",HYPERLINK("#"&amp;RIGHT(CELL("adresse",OFFSET(DMAV_Modell!$A$6,J349-1,0)),LEN(CELL("adresse",OFFSET(DMAV_Modell!$A$6,J349-1,0)))-SEARCH("]",CELL("adresse",OFFSET(DMAV_Modell!$A$6,J349-1,0)))),"Modell"))</f>
        <v>Modell</v>
      </c>
      <c r="H349" s="150" t="str">
        <f t="shared" si="10"/>
        <v>DEO65</v>
      </c>
      <c r="I349" s="150">
        <f t="shared" si="11"/>
        <v>329</v>
      </c>
      <c r="J349" s="150">
        <f>IF(_xlfn.XLOOKUP(H349,Korrelation!$B$4:$B$723,Korrelation!$A$4:$A$723,0,0)=0,0,MATCH(_xlfn.XLOOKUP(H349,Korrelation!$B$4:$B$723,Korrelation!$A$4:$A$723,0,0),DMAV_Modell!$G$6:$G$677,0))</f>
        <v>524</v>
      </c>
      <c r="L349" s="51" t="s">
        <v>20</v>
      </c>
      <c r="M349" s="51" t="s">
        <v>508</v>
      </c>
      <c r="N349" s="51" t="s">
        <v>304</v>
      </c>
      <c r="O349" s="52" t="s">
        <v>323</v>
      </c>
      <c r="P349" s="56"/>
      <c r="Q349" s="52" t="s">
        <v>515</v>
      </c>
      <c r="R349" s="52" t="s">
        <v>516</v>
      </c>
      <c r="T349" s="51" t="s">
        <v>6130</v>
      </c>
      <c r="U349" s="51" t="s">
        <v>867</v>
      </c>
      <c r="V349" s="51" t="s">
        <v>800</v>
      </c>
      <c r="W349" s="52" t="s">
        <v>6905</v>
      </c>
      <c r="Y349" s="210" t="s">
        <v>6906</v>
      </c>
      <c r="Z349" s="210" t="s">
        <v>6907</v>
      </c>
      <c r="AB349" s="51" t="s">
        <v>6276</v>
      </c>
      <c r="AC349" s="51" t="s">
        <v>4400</v>
      </c>
      <c r="AD349" s="51" t="s">
        <v>4293</v>
      </c>
      <c r="AE349" s="52" t="s">
        <v>6576</v>
      </c>
      <c r="AG349" s="210" t="s">
        <v>6908</v>
      </c>
      <c r="AH349" s="210" t="s">
        <v>6909</v>
      </c>
    </row>
    <row r="350" spans="1:34" x14ac:dyDescent="0.25">
      <c r="A350" s="51" t="s">
        <v>3672</v>
      </c>
      <c r="B350" s="51">
        <v>66</v>
      </c>
      <c r="C350" s="51" t="s">
        <v>95</v>
      </c>
      <c r="D350" s="50" t="s">
        <v>72</v>
      </c>
      <c r="E350" s="50" t="s">
        <v>3700</v>
      </c>
      <c r="F350" s="189" t="str" cm="1">
        <f t="array" aca="1" ref="F350" ca="1">IF(I350=0,"",HYPERLINK("#"&amp;RIGHT(CELL("dateiname"),LEN(CELL("dateiname"))-FIND("]",CELL("dateiname")))&amp;"!"&amp;CELL("adresse",OFFSET($C$6,I350-1,0)),"Definition"))</f>
        <v>Definition</v>
      </c>
      <c r="G350" s="189" t="str" cm="1">
        <f t="array" aca="1" ref="G350" ca="1">IF(J350=0,"",HYPERLINK("#"&amp;RIGHT(CELL("adresse",OFFSET(DMAV_Modell!$A$6,J350-1,0)),LEN(CELL("adresse",OFFSET(DMAV_Modell!$A$6,J350-1,0)))-SEARCH("]",CELL("adresse",OFFSET(DMAV_Modell!$A$6,J350-1,0)))),"Modell"))</f>
        <v>Modell</v>
      </c>
      <c r="H350" s="150" t="str">
        <f t="shared" si="10"/>
        <v>DEO66</v>
      </c>
      <c r="I350" s="150">
        <f t="shared" si="11"/>
        <v>333</v>
      </c>
      <c r="J350" s="150">
        <f>IF(_xlfn.XLOOKUP(H350,Korrelation!$B$4:$B$723,Korrelation!$A$4:$A$723,0,0)=0,0,MATCH(_xlfn.XLOOKUP(H350,Korrelation!$B$4:$B$723,Korrelation!$A$4:$A$723,0,0),DMAV_Modell!$G$6:$G$677,0))</f>
        <v>526</v>
      </c>
      <c r="L350" s="51" t="s">
        <v>20</v>
      </c>
      <c r="M350" s="51" t="s">
        <v>508</v>
      </c>
      <c r="N350" s="51" t="s">
        <v>403</v>
      </c>
      <c r="O350" s="52" t="s">
        <v>418</v>
      </c>
      <c r="P350" s="56"/>
      <c r="Q350" s="52" t="s">
        <v>517</v>
      </c>
      <c r="R350" s="52"/>
      <c r="T350" s="51" t="s">
        <v>6130</v>
      </c>
      <c r="U350" s="51" t="s">
        <v>867</v>
      </c>
      <c r="V350" s="51" t="s">
        <v>819</v>
      </c>
      <c r="W350" s="52" t="s">
        <v>6910</v>
      </c>
      <c r="Y350" s="210" t="s">
        <v>6911</v>
      </c>
      <c r="AB350" s="51" t="s">
        <v>6276</v>
      </c>
      <c r="AC350" s="51" t="s">
        <v>4400</v>
      </c>
      <c r="AD350" s="51" t="s">
        <v>4361</v>
      </c>
      <c r="AE350" s="52" t="s">
        <v>6762</v>
      </c>
      <c r="AG350" s="210" t="s">
        <v>6912</v>
      </c>
    </row>
    <row r="351" spans="1:34" x14ac:dyDescent="0.25">
      <c r="A351" s="51" t="s">
        <v>3672</v>
      </c>
      <c r="B351" s="51">
        <v>67</v>
      </c>
      <c r="C351" s="51" t="s">
        <v>95</v>
      </c>
      <c r="D351" s="50" t="s">
        <v>72</v>
      </c>
      <c r="E351" s="50" t="s">
        <v>3701</v>
      </c>
      <c r="F351" s="189" t="str" cm="1">
        <f t="array" aca="1" ref="F351" ca="1">IF(I351=0,"",HYPERLINK("#"&amp;RIGHT(CELL("dateiname"),LEN(CELL("dateiname"))-FIND("]",CELL("dateiname")))&amp;"!"&amp;CELL("adresse",OFFSET($C$6,I351-1,0)),"Definition"))</f>
        <v>Definition</v>
      </c>
      <c r="G351" s="189" t="str" cm="1">
        <f t="array" aca="1" ref="G351" ca="1">IF(J351=0,"",HYPERLINK("#"&amp;RIGHT(CELL("adresse",OFFSET(DMAV_Modell!$A$6,J351-1,0)),LEN(CELL("adresse",OFFSET(DMAV_Modell!$A$6,J351-1,0)))-SEARCH("]",CELL("adresse",OFFSET(DMAV_Modell!$A$6,J351-1,0)))),"Modell"))</f>
        <v>Modell</v>
      </c>
      <c r="H351" s="150" t="str">
        <f t="shared" si="10"/>
        <v>DEO67</v>
      </c>
      <c r="I351" s="150">
        <f t="shared" si="11"/>
        <v>331</v>
      </c>
      <c r="J351" s="150">
        <f>IF(_xlfn.XLOOKUP(H351,Korrelation!$B$4:$B$723,Korrelation!$A$4:$A$723,0,0)=0,0,MATCH(_xlfn.XLOOKUP(H351,Korrelation!$B$4:$B$723,Korrelation!$A$4:$A$723,0,0),DMAV_Modell!$G$6:$G$677,0))</f>
        <v>525</v>
      </c>
      <c r="L351" s="51" t="s">
        <v>20</v>
      </c>
      <c r="M351" s="51" t="s">
        <v>508</v>
      </c>
      <c r="N351" s="51" t="s">
        <v>400</v>
      </c>
      <c r="O351" s="52" t="s">
        <v>415</v>
      </c>
      <c r="P351" s="56"/>
      <c r="Q351" s="52" t="s">
        <v>506</v>
      </c>
      <c r="R351" s="52"/>
      <c r="T351" s="51" t="s">
        <v>6130</v>
      </c>
      <c r="U351" s="51" t="s">
        <v>867</v>
      </c>
      <c r="V351" s="51" t="s">
        <v>818</v>
      </c>
      <c r="W351" s="52" t="s">
        <v>6753</v>
      </c>
      <c r="Y351" s="210" t="s">
        <v>6888</v>
      </c>
      <c r="AB351" s="51" t="s">
        <v>6276</v>
      </c>
      <c r="AC351" s="51" t="s">
        <v>4400</v>
      </c>
      <c r="AD351" s="51" t="s">
        <v>4360</v>
      </c>
      <c r="AE351" s="52" t="s">
        <v>6755</v>
      </c>
      <c r="AG351" s="210" t="s">
        <v>6889</v>
      </c>
    </row>
    <row r="352" spans="1:34" ht="38.25" x14ac:dyDescent="0.25">
      <c r="A352" s="51" t="s">
        <v>3672</v>
      </c>
      <c r="B352" s="51">
        <v>68</v>
      </c>
      <c r="C352" s="51" t="s">
        <v>95</v>
      </c>
      <c r="D352" s="50" t="s">
        <v>72</v>
      </c>
      <c r="F352" s="189" t="str" cm="1">
        <f t="array" aca="1" ref="F352" ca="1">IF(I352=0,"",HYPERLINK("#"&amp;RIGHT(CELL("dateiname"),LEN(CELL("dateiname"))-FIND("]",CELL("dateiname")))&amp;"!"&amp;CELL("adresse",OFFSET($C$6,I352-1,0)),"Definition"))</f>
        <v/>
      </c>
      <c r="G352" s="189" t="str" cm="1">
        <f t="array" aca="1" ref="G352" ca="1">IF(J352=0,"",HYPERLINK("#"&amp;RIGHT(CELL("adresse",OFFSET(DMAV_Modell!$A$6,J352-1,0)),LEN(CELL("adresse",OFFSET(DMAV_Modell!$A$6,J352-1,0)))-SEARCH("]",CELL("adresse",OFFSET(DMAV_Modell!$A$6,J352-1,0)))),"Modell"))</f>
        <v>Modell</v>
      </c>
      <c r="H352" s="150" t="str">
        <f t="shared" si="10"/>
        <v>DEO68</v>
      </c>
      <c r="I352" s="150">
        <f t="shared" si="11"/>
        <v>0</v>
      </c>
      <c r="J352" s="150">
        <f>IF(_xlfn.XLOOKUP(H352,Korrelation!$B$4:$B$723,Korrelation!$A$4:$A$723,0,0)=0,0,MATCH(_xlfn.XLOOKUP(H352,Korrelation!$B$4:$B$723,Korrelation!$A$4:$A$723,0,0),DMAV_Modell!$G$6:$G$677,0))</f>
        <v>527</v>
      </c>
      <c r="L352" s="51" t="s">
        <v>20</v>
      </c>
      <c r="M352" s="51" t="s">
        <v>508</v>
      </c>
      <c r="N352" s="51" t="s">
        <v>416</v>
      </c>
      <c r="O352" s="52" t="s">
        <v>417</v>
      </c>
      <c r="P352" s="56"/>
      <c r="Q352" s="52" t="s">
        <v>3762</v>
      </c>
      <c r="R352" s="52" t="s">
        <v>3763</v>
      </c>
      <c r="T352" s="51" t="s">
        <v>6130</v>
      </c>
      <c r="U352" s="51" t="s">
        <v>867</v>
      </c>
      <c r="V352" s="51" t="s">
        <v>416</v>
      </c>
      <c r="W352" s="52" t="s">
        <v>417</v>
      </c>
      <c r="Y352" s="210" t="s">
        <v>6913</v>
      </c>
      <c r="Z352" s="210" t="s">
        <v>6914</v>
      </c>
      <c r="AB352" s="51" t="s">
        <v>6276</v>
      </c>
      <c r="AC352" s="51" t="s">
        <v>4400</v>
      </c>
      <c r="AD352" s="51" t="s">
        <v>416</v>
      </c>
      <c r="AE352" s="52" t="s">
        <v>417</v>
      </c>
      <c r="AG352" s="210" t="s">
        <v>6758</v>
      </c>
      <c r="AH352" s="210" t="s">
        <v>6759</v>
      </c>
    </row>
    <row r="353" spans="1:34" x14ac:dyDescent="0.25">
      <c r="A353" s="51" t="s">
        <v>3672</v>
      </c>
      <c r="B353" s="51">
        <v>69</v>
      </c>
      <c r="C353" s="51" t="s">
        <v>95</v>
      </c>
      <c r="D353" s="50">
        <v>1</v>
      </c>
      <c r="E353" s="50" t="s">
        <v>3702</v>
      </c>
      <c r="F353" s="189" t="str" cm="1">
        <f t="array" aca="1" ref="F353" ca="1">IF(I353=0,"",HYPERLINK("#"&amp;RIGHT(CELL("dateiname"),LEN(CELL("dateiname"))-FIND("]",CELL("dateiname")))&amp;"!"&amp;CELL("adresse",OFFSET($C$6,I353-1,0)),"Definition"))</f>
        <v>Definition</v>
      </c>
      <c r="G353" s="189" t="str" cm="1">
        <f t="array" aca="1" ref="G353" ca="1">IF(J353=0,"",HYPERLINK("#"&amp;RIGHT(CELL("adresse",OFFSET(DMAV_Modell!$A$6,J353-1,0)),LEN(CELL("adresse",OFFSET(DMAV_Modell!$A$6,J353-1,0)))-SEARCH("]",CELL("adresse",OFFSET(DMAV_Modell!$A$6,J353-1,0)))),"Modell"))</f>
        <v>Modell</v>
      </c>
      <c r="H353" s="150" t="str">
        <f t="shared" si="10"/>
        <v>DEO69</v>
      </c>
      <c r="I353" s="150">
        <f t="shared" si="11"/>
        <v>322</v>
      </c>
      <c r="J353" s="150">
        <f>IF(_xlfn.XLOOKUP(H353,Korrelation!$B$4:$B$723,Korrelation!$A$4:$A$723,0,0)=0,0,MATCH(_xlfn.XLOOKUP(H353,Korrelation!$B$4:$B$723,Korrelation!$A$4:$A$723,0,0),DMAV_Modell!$G$6:$G$677,0))</f>
        <v>528</v>
      </c>
      <c r="L353" s="51" t="s">
        <v>20</v>
      </c>
      <c r="M353" s="51" t="s">
        <v>508</v>
      </c>
      <c r="N353" s="51" t="s">
        <v>393</v>
      </c>
      <c r="O353" s="52" t="s">
        <v>413</v>
      </c>
      <c r="P353" s="56"/>
      <c r="Q353" s="52" t="s">
        <v>414</v>
      </c>
      <c r="R353" s="52"/>
      <c r="T353" s="51" t="s">
        <v>6130</v>
      </c>
      <c r="U353" s="51" t="s">
        <v>867</v>
      </c>
      <c r="V353" s="51" t="s">
        <v>814</v>
      </c>
      <c r="W353" s="52" t="s">
        <v>6749</v>
      </c>
      <c r="Y353" s="210" t="s">
        <v>6750</v>
      </c>
      <c r="AB353" s="51" t="s">
        <v>6276</v>
      </c>
      <c r="AC353" s="51" t="s">
        <v>4400</v>
      </c>
      <c r="AD353" s="51" t="s">
        <v>3946</v>
      </c>
      <c r="AE353" s="52" t="s">
        <v>6751</v>
      </c>
      <c r="AG353" s="210" t="s">
        <v>6752</v>
      </c>
    </row>
    <row r="354" spans="1:34" x14ac:dyDescent="0.25">
      <c r="A354" s="51" t="s">
        <v>3672</v>
      </c>
      <c r="B354" s="51">
        <v>70</v>
      </c>
      <c r="C354" s="51" t="s">
        <v>95</v>
      </c>
      <c r="D354" s="50" t="s">
        <v>72</v>
      </c>
      <c r="F354" s="189" t="str" cm="1">
        <f t="array" aca="1" ref="F354" ca="1">IF(I354=0,"",HYPERLINK("#"&amp;RIGHT(CELL("dateiname"),LEN(CELL("dateiname"))-FIND("]",CELL("dateiname")))&amp;"!"&amp;CELL("adresse",OFFSET($C$6,I354-1,0)),"Definition"))</f>
        <v/>
      </c>
      <c r="G354" s="189" t="str" cm="1">
        <f t="array" aca="1" ref="G354" ca="1">IF(J354=0,"",HYPERLINK("#"&amp;RIGHT(CELL("adresse",OFFSET(DMAV_Modell!$A$6,J354-1,0)),LEN(CELL("adresse",OFFSET(DMAV_Modell!$A$6,J354-1,0)))-SEARCH("]",CELL("adresse",OFFSET(DMAV_Modell!$A$6,J354-1,0)))),"Modell"))</f>
        <v>Modell</v>
      </c>
      <c r="H354" s="150" t="str">
        <f t="shared" si="10"/>
        <v>DEO70</v>
      </c>
      <c r="I354" s="150">
        <f t="shared" si="11"/>
        <v>0</v>
      </c>
      <c r="J354" s="150">
        <f>IF(_xlfn.XLOOKUP(H354,Korrelation!$B$4:$B$723,Korrelation!$A$4:$A$723,0,0)=0,0,MATCH(_xlfn.XLOOKUP(H354,Korrelation!$B$4:$B$723,Korrelation!$A$4:$A$723,0,0),DMAV_Modell!$G$6:$G$677,0))</f>
        <v>532</v>
      </c>
      <c r="L354" s="51" t="s">
        <v>20</v>
      </c>
      <c r="M354" s="51" t="s">
        <v>422</v>
      </c>
      <c r="N354" s="51" t="s">
        <v>121</v>
      </c>
      <c r="O354" s="52" t="s">
        <v>97</v>
      </c>
      <c r="P354" s="56"/>
      <c r="Q354" s="52" t="s">
        <v>122</v>
      </c>
      <c r="R354" s="52"/>
      <c r="T354" s="51" t="s">
        <v>6130</v>
      </c>
      <c r="U354" s="51" t="s">
        <v>822</v>
      </c>
      <c r="V354" s="51" t="s">
        <v>742</v>
      </c>
      <c r="W354" s="52" t="s">
        <v>97</v>
      </c>
      <c r="Y354" s="210" t="s">
        <v>6198</v>
      </c>
      <c r="AB354" s="51" t="s">
        <v>6276</v>
      </c>
      <c r="AC354" s="51" t="s">
        <v>4388</v>
      </c>
      <c r="AD354" s="51" t="s">
        <v>742</v>
      </c>
      <c r="AE354" s="52" t="s">
        <v>97</v>
      </c>
      <c r="AG354" s="210" t="s">
        <v>6338</v>
      </c>
    </row>
    <row r="355" spans="1:34" ht="38.25" x14ac:dyDescent="0.25">
      <c r="A355" s="51" t="s">
        <v>3672</v>
      </c>
      <c r="B355" s="51">
        <v>71</v>
      </c>
      <c r="C355" s="51" t="s">
        <v>95</v>
      </c>
      <c r="D355" s="50">
        <v>1</v>
      </c>
      <c r="F355" s="189" t="str" cm="1">
        <f t="array" aca="1" ref="F355" ca="1">IF(I355=0,"",HYPERLINK("#"&amp;RIGHT(CELL("dateiname"),LEN(CELL("dateiname"))-FIND("]",CELL("dateiname")))&amp;"!"&amp;CELL("adresse",OFFSET($C$6,I355-1,0)),"Definition"))</f>
        <v/>
      </c>
      <c r="G355" s="189" t="str" cm="1">
        <f t="array" aca="1" ref="G355" ca="1">IF(J355=0,"",HYPERLINK("#"&amp;RIGHT(CELL("adresse",OFFSET(DMAV_Modell!$A$6,J355-1,0)),LEN(CELL("adresse",OFFSET(DMAV_Modell!$A$6,J355-1,0)))-SEARCH("]",CELL("adresse",OFFSET(DMAV_Modell!$A$6,J355-1,0)))),"Modell"))</f>
        <v>Modell</v>
      </c>
      <c r="H355" s="150" t="str">
        <f t="shared" si="10"/>
        <v>DEO71</v>
      </c>
      <c r="I355" s="150">
        <f t="shared" si="11"/>
        <v>0</v>
      </c>
      <c r="J355" s="150">
        <f>IF(_xlfn.XLOOKUP(H355,Korrelation!$B$4:$B$723,Korrelation!$A$4:$A$723,0,0)=0,0,MATCH(_xlfn.XLOOKUP(H355,Korrelation!$B$4:$B$723,Korrelation!$A$4:$A$723,0,0),DMAV_Modell!$G$6:$G$677,0))</f>
        <v>533</v>
      </c>
      <c r="L355" s="51" t="s">
        <v>20</v>
      </c>
      <c r="M355" s="51" t="s">
        <v>422</v>
      </c>
      <c r="N355" s="51" t="s">
        <v>123</v>
      </c>
      <c r="O355" s="52" t="s">
        <v>69</v>
      </c>
      <c r="P355" s="56"/>
      <c r="Q355" s="52" t="s">
        <v>423</v>
      </c>
      <c r="R355" s="52" t="s">
        <v>94</v>
      </c>
      <c r="T355" s="51" t="s">
        <v>6130</v>
      </c>
      <c r="U355" s="51" t="s">
        <v>822</v>
      </c>
      <c r="V355" s="51" t="s">
        <v>123</v>
      </c>
      <c r="W355" s="52" t="s">
        <v>69</v>
      </c>
      <c r="Y355" s="210" t="s">
        <v>6770</v>
      </c>
      <c r="Z355" s="210" t="s">
        <v>6166</v>
      </c>
      <c r="AB355" s="51" t="s">
        <v>6276</v>
      </c>
      <c r="AC355" s="51" t="s">
        <v>4388</v>
      </c>
      <c r="AD355" s="51" t="s">
        <v>1247</v>
      </c>
      <c r="AE355" s="52" t="s">
        <v>69</v>
      </c>
      <c r="AG355" s="210" t="s">
        <v>6771</v>
      </c>
      <c r="AH355" s="210" t="s">
        <v>6308</v>
      </c>
    </row>
    <row r="356" spans="1:34" ht="51" x14ac:dyDescent="0.25">
      <c r="A356" s="51" t="s">
        <v>3672</v>
      </c>
      <c r="B356" s="51">
        <v>72</v>
      </c>
      <c r="C356" s="51" t="s">
        <v>95</v>
      </c>
      <c r="D356" s="50" t="s">
        <v>72</v>
      </c>
      <c r="F356" s="189" t="str" cm="1">
        <f t="array" aca="1" ref="F356" ca="1">IF(I356=0,"",HYPERLINK("#"&amp;RIGHT(CELL("dateiname"),LEN(CELL("dateiname"))-FIND("]",CELL("dateiname")))&amp;"!"&amp;CELL("adresse",OFFSET($C$6,I356-1,0)),"Definition"))</f>
        <v/>
      </c>
      <c r="G356" s="189" t="str" cm="1">
        <f t="array" aca="1" ref="G356" ca="1">IF(J356=0,"",HYPERLINK("#"&amp;RIGHT(CELL("adresse",OFFSET(DMAV_Modell!$A$6,J356-1,0)),LEN(CELL("adresse",OFFSET(DMAV_Modell!$A$6,J356-1,0)))-SEARCH("]",CELL("adresse",OFFSET(DMAV_Modell!$A$6,J356-1,0)))),"Modell"))</f>
        <v>Modell</v>
      </c>
      <c r="H356" s="150" t="str">
        <f t="shared" si="10"/>
        <v>DEO72</v>
      </c>
      <c r="I356" s="150">
        <f t="shared" si="11"/>
        <v>0</v>
      </c>
      <c r="J356" s="150">
        <f>IF(_xlfn.XLOOKUP(H356,Korrelation!$B$4:$B$723,Korrelation!$A$4:$A$723,0,0)=0,0,MATCH(_xlfn.XLOOKUP(H356,Korrelation!$B$4:$B$723,Korrelation!$A$4:$A$723,0,0),DMAV_Modell!$G$6:$G$677,0))</f>
        <v>534</v>
      </c>
      <c r="L356" s="51" t="s">
        <v>20</v>
      </c>
      <c r="M356" s="51" t="s">
        <v>422</v>
      </c>
      <c r="N356" s="51" t="s">
        <v>125</v>
      </c>
      <c r="O356" s="52" t="s">
        <v>126</v>
      </c>
      <c r="P356" s="56"/>
      <c r="Q356" s="52" t="s">
        <v>424</v>
      </c>
      <c r="R356" s="52" t="s">
        <v>127</v>
      </c>
      <c r="T356" s="51" t="s">
        <v>6130</v>
      </c>
      <c r="U356" s="51" t="s">
        <v>822</v>
      </c>
      <c r="V356" s="51" t="s">
        <v>743</v>
      </c>
      <c r="W356" s="52" t="s">
        <v>126</v>
      </c>
      <c r="Y356" s="210" t="s">
        <v>6772</v>
      </c>
      <c r="Z356" s="210" t="s">
        <v>6494</v>
      </c>
      <c r="AB356" s="51" t="s">
        <v>6276</v>
      </c>
      <c r="AC356" s="51" t="s">
        <v>4388</v>
      </c>
      <c r="AD356" s="51" t="s">
        <v>4018</v>
      </c>
      <c r="AE356" s="52" t="s">
        <v>126</v>
      </c>
      <c r="AG356" s="210" t="s">
        <v>6773</v>
      </c>
      <c r="AH356" s="210" t="s">
        <v>6343</v>
      </c>
    </row>
    <row r="357" spans="1:34" x14ac:dyDescent="0.25">
      <c r="A357" s="51" t="s">
        <v>3672</v>
      </c>
      <c r="B357" s="51">
        <v>73</v>
      </c>
      <c r="C357" s="51" t="s">
        <v>95</v>
      </c>
      <c r="D357" s="50">
        <v>1</v>
      </c>
      <c r="F357" s="189" t="str" cm="1">
        <f t="array" aca="1" ref="F357" ca="1">IF(I357=0,"",HYPERLINK("#"&amp;RIGHT(CELL("dateiname"),LEN(CELL("dateiname"))-FIND("]",CELL("dateiname")))&amp;"!"&amp;CELL("adresse",OFFSET($C$6,I357-1,0)),"Definition"))</f>
        <v/>
      </c>
      <c r="G357" s="189" t="str" cm="1">
        <f t="array" aca="1" ref="G357" ca="1">IF(J357=0,"",HYPERLINK("#"&amp;RIGHT(CELL("adresse",OFFSET(DMAV_Modell!$A$6,J357-1,0)),LEN(CELL("adresse",OFFSET(DMAV_Modell!$A$6,J357-1,0)))-SEARCH("]",CELL("adresse",OFFSET(DMAV_Modell!$A$6,J357-1,0)))),"Modell"))</f>
        <v>Modell</v>
      </c>
      <c r="H357" s="150" t="str">
        <f t="shared" si="10"/>
        <v>DEO73</v>
      </c>
      <c r="I357" s="150">
        <f t="shared" si="11"/>
        <v>0</v>
      </c>
      <c r="J357" s="150">
        <f>IF(_xlfn.XLOOKUP(H357,Korrelation!$B$4:$B$723,Korrelation!$A$4:$A$723,0,0)=0,0,MATCH(_xlfn.XLOOKUP(H357,Korrelation!$B$4:$B$723,Korrelation!$A$4:$A$723,0,0),DMAV_Modell!$G$6:$G$677,0))</f>
        <v>535</v>
      </c>
      <c r="L357" s="51" t="s">
        <v>20</v>
      </c>
      <c r="M357" s="51" t="s">
        <v>422</v>
      </c>
      <c r="N357" s="51" t="s">
        <v>128</v>
      </c>
      <c r="O357" s="52" t="s">
        <v>129</v>
      </c>
      <c r="P357" s="56"/>
      <c r="Q357" s="52" t="s">
        <v>425</v>
      </c>
      <c r="R357" s="52"/>
      <c r="T357" s="51" t="s">
        <v>6130</v>
      </c>
      <c r="U357" s="51" t="s">
        <v>822</v>
      </c>
      <c r="V357" s="51" t="s">
        <v>744</v>
      </c>
      <c r="W357" s="52" t="s">
        <v>129</v>
      </c>
      <c r="Y357" s="210" t="s">
        <v>6774</v>
      </c>
      <c r="AB357" s="51" t="s">
        <v>6276</v>
      </c>
      <c r="AC357" s="51" t="s">
        <v>4388</v>
      </c>
      <c r="AD357" s="51" t="s">
        <v>4021</v>
      </c>
      <c r="AE357" s="52" t="s">
        <v>129</v>
      </c>
      <c r="AG357" s="210" t="s">
        <v>6775</v>
      </c>
    </row>
    <row r="358" spans="1:34" ht="76.5" x14ac:dyDescent="0.25">
      <c r="A358" s="51" t="s">
        <v>3672</v>
      </c>
      <c r="B358" s="51">
        <v>74</v>
      </c>
      <c r="C358" s="51" t="s">
        <v>95</v>
      </c>
      <c r="D358" s="50">
        <v>1</v>
      </c>
      <c r="F358" s="189" t="str" cm="1">
        <f t="array" aca="1" ref="F358" ca="1">IF(I358=0,"",HYPERLINK("#"&amp;RIGHT(CELL("dateiname"),LEN(CELL("dateiname"))-FIND("]",CELL("dateiname")))&amp;"!"&amp;CELL("adresse",OFFSET($C$6,I358-1,0)),"Definition"))</f>
        <v/>
      </c>
      <c r="G358" s="189" t="str" cm="1">
        <f t="array" aca="1" ref="G358" ca="1">IF(J358=0,"",HYPERLINK("#"&amp;RIGHT(CELL("adresse",OFFSET(DMAV_Modell!$A$6,J358-1,0)),LEN(CELL("adresse",OFFSET(DMAV_Modell!$A$6,J358-1,0)))-SEARCH("]",CELL("adresse",OFFSET(DMAV_Modell!$A$6,J358-1,0)))),"Modell"))</f>
        <v>Modell</v>
      </c>
      <c r="H358" s="150" t="str">
        <f t="shared" si="10"/>
        <v>DEO74</v>
      </c>
      <c r="I358" s="150">
        <f t="shared" si="11"/>
        <v>0</v>
      </c>
      <c r="J358" s="150">
        <f>IF(_xlfn.XLOOKUP(H358,Korrelation!$B$4:$B$723,Korrelation!$A$4:$A$723,0,0)=0,0,MATCH(_xlfn.XLOOKUP(H358,Korrelation!$B$4:$B$723,Korrelation!$A$4:$A$723,0,0),DMAV_Modell!$G$6:$G$677,0))</f>
        <v>536</v>
      </c>
      <c r="L358" s="51" t="s">
        <v>20</v>
      </c>
      <c r="M358" s="51" t="s">
        <v>422</v>
      </c>
      <c r="N358" s="51" t="s">
        <v>130</v>
      </c>
      <c r="O358" s="52" t="s">
        <v>131</v>
      </c>
      <c r="P358" s="56" t="s">
        <v>3751</v>
      </c>
      <c r="Q358" s="52" t="s">
        <v>426</v>
      </c>
      <c r="R358" s="52" t="s">
        <v>518</v>
      </c>
      <c r="T358" s="51" t="s">
        <v>6130</v>
      </c>
      <c r="U358" s="51" t="s">
        <v>822</v>
      </c>
      <c r="V358" s="51" t="s">
        <v>745</v>
      </c>
      <c r="W358" s="52" t="s">
        <v>131</v>
      </c>
      <c r="X358" s="209" t="s">
        <v>3751</v>
      </c>
      <c r="Y358" s="210" t="s">
        <v>6776</v>
      </c>
      <c r="Z358" s="210" t="s">
        <v>6777</v>
      </c>
      <c r="AB358" s="51" t="s">
        <v>6276</v>
      </c>
      <c r="AC358" s="51" t="s">
        <v>4388</v>
      </c>
      <c r="AD358" s="51" t="s">
        <v>4024</v>
      </c>
      <c r="AE358" s="52" t="s">
        <v>131</v>
      </c>
      <c r="AF358" s="209" t="s">
        <v>3751</v>
      </c>
      <c r="AG358" s="210" t="s">
        <v>6778</v>
      </c>
      <c r="AH358" s="210" t="s">
        <v>6915</v>
      </c>
    </row>
    <row r="359" spans="1:34" ht="63.75" x14ac:dyDescent="0.25">
      <c r="A359" s="51" t="s">
        <v>3672</v>
      </c>
      <c r="B359" s="51">
        <v>75</v>
      </c>
      <c r="C359" s="51" t="s">
        <v>95</v>
      </c>
      <c r="D359" s="50" t="s">
        <v>72</v>
      </c>
      <c r="F359" s="189" t="str" cm="1">
        <f t="array" aca="1" ref="F359" ca="1">IF(I359=0,"",HYPERLINK("#"&amp;RIGHT(CELL("dateiname"),LEN(CELL("dateiname"))-FIND("]",CELL("dateiname")))&amp;"!"&amp;CELL("adresse",OFFSET($C$6,I359-1,0)),"Definition"))</f>
        <v/>
      </c>
      <c r="G359" s="189" t="str" cm="1">
        <f t="array" aca="1" ref="G359" ca="1">IF(J359=0,"",HYPERLINK("#"&amp;RIGHT(CELL("adresse",OFFSET(DMAV_Modell!$A$6,J359-1,0)),LEN(CELL("adresse",OFFSET(DMAV_Modell!$A$6,J359-1,0)))-SEARCH("]",CELL("adresse",OFFSET(DMAV_Modell!$A$6,J359-1,0)))),"Modell"))</f>
        <v>Modell</v>
      </c>
      <c r="H359" s="150" t="str">
        <f t="shared" si="10"/>
        <v>DEO75</v>
      </c>
      <c r="I359" s="150">
        <f t="shared" si="11"/>
        <v>0</v>
      </c>
      <c r="J359" s="150">
        <f>IF(_xlfn.XLOOKUP(H359,Korrelation!$B$4:$B$723,Korrelation!$A$4:$A$723,0,0)=0,0,MATCH(_xlfn.XLOOKUP(H359,Korrelation!$B$4:$B$723,Korrelation!$A$4:$A$723,0,0),DMAV_Modell!$G$6:$G$677,0))</f>
        <v>537</v>
      </c>
      <c r="L359" s="51" t="s">
        <v>20</v>
      </c>
      <c r="M359" s="51" t="s">
        <v>422</v>
      </c>
      <c r="N359" s="51" t="s">
        <v>132</v>
      </c>
      <c r="O359" s="52" t="s">
        <v>129</v>
      </c>
      <c r="P359" s="56"/>
      <c r="Q359" s="52" t="s">
        <v>428</v>
      </c>
      <c r="R359" s="52" t="s">
        <v>429</v>
      </c>
      <c r="T359" s="51" t="s">
        <v>6130</v>
      </c>
      <c r="U359" s="51" t="s">
        <v>822</v>
      </c>
      <c r="V359" s="51" t="s">
        <v>746</v>
      </c>
      <c r="W359" s="52" t="s">
        <v>129</v>
      </c>
      <c r="Y359" s="210" t="s">
        <v>6780</v>
      </c>
      <c r="Z359" s="210" t="s">
        <v>6781</v>
      </c>
      <c r="AB359" s="51" t="s">
        <v>6276</v>
      </c>
      <c r="AC359" s="51" t="s">
        <v>4388</v>
      </c>
      <c r="AD359" s="51" t="s">
        <v>4026</v>
      </c>
      <c r="AE359" s="52" t="s">
        <v>129</v>
      </c>
      <c r="AG359" s="210" t="s">
        <v>6782</v>
      </c>
      <c r="AH359" s="210" t="s">
        <v>6783</v>
      </c>
    </row>
    <row r="360" spans="1:34" ht="114.75" x14ac:dyDescent="0.25">
      <c r="A360" s="51" t="s">
        <v>3672</v>
      </c>
      <c r="B360" s="51">
        <v>76</v>
      </c>
      <c r="C360" s="51" t="s">
        <v>95</v>
      </c>
      <c r="D360" s="50" t="s">
        <v>72</v>
      </c>
      <c r="F360" s="189" t="str" cm="1">
        <f t="array" aca="1" ref="F360" ca="1">IF(I360=0,"",HYPERLINK("#"&amp;RIGHT(CELL("dateiname"),LEN(CELL("dateiname"))-FIND("]",CELL("dateiname")))&amp;"!"&amp;CELL("adresse",OFFSET($C$6,I360-1,0)),"Definition"))</f>
        <v/>
      </c>
      <c r="G360" s="189" t="str" cm="1">
        <f t="array" aca="1" ref="G360" ca="1">IF(J360=0,"",HYPERLINK("#"&amp;RIGHT(CELL("adresse",OFFSET(DMAV_Modell!$A$6,J360-1,0)),LEN(CELL("adresse",OFFSET(DMAV_Modell!$A$6,J360-1,0)))-SEARCH("]",CELL("adresse",OFFSET(DMAV_Modell!$A$6,J360-1,0)))),"Modell"))</f>
        <v>Modell</v>
      </c>
      <c r="H360" s="150" t="str">
        <f t="shared" si="10"/>
        <v>DEO76</v>
      </c>
      <c r="I360" s="150">
        <f t="shared" si="11"/>
        <v>0</v>
      </c>
      <c r="J360" s="150">
        <f>IF(_xlfn.XLOOKUP(H360,Korrelation!$B$4:$B$723,Korrelation!$A$4:$A$723,0,0)=0,0,MATCH(_xlfn.XLOOKUP(H360,Korrelation!$B$4:$B$723,Korrelation!$A$4:$A$723,0,0),DMAV_Modell!$G$6:$G$677,0))</f>
        <v>538</v>
      </c>
      <c r="L360" s="51" t="s">
        <v>20</v>
      </c>
      <c r="M360" s="51" t="s">
        <v>422</v>
      </c>
      <c r="N360" s="51" t="s">
        <v>133</v>
      </c>
      <c r="O360" s="52" t="s">
        <v>131</v>
      </c>
      <c r="P360" s="56"/>
      <c r="Q360" s="52" t="s">
        <v>430</v>
      </c>
      <c r="R360" s="52" t="s">
        <v>519</v>
      </c>
      <c r="T360" s="51" t="s">
        <v>6130</v>
      </c>
      <c r="U360" s="51" t="s">
        <v>822</v>
      </c>
      <c r="V360" s="51" t="s">
        <v>747</v>
      </c>
      <c r="W360" s="52" t="s">
        <v>131</v>
      </c>
      <c r="Y360" s="210" t="s">
        <v>6784</v>
      </c>
      <c r="Z360" s="210" t="s">
        <v>6916</v>
      </c>
      <c r="AB360" s="51" t="s">
        <v>6276</v>
      </c>
      <c r="AC360" s="51" t="s">
        <v>4388</v>
      </c>
      <c r="AD360" s="51" t="s">
        <v>4027</v>
      </c>
      <c r="AE360" s="52" t="s">
        <v>131</v>
      </c>
      <c r="AG360" s="210" t="s">
        <v>6786</v>
      </c>
      <c r="AH360" s="210" t="s">
        <v>6917</v>
      </c>
    </row>
    <row r="361" spans="1:34" ht="63.75" x14ac:dyDescent="0.25">
      <c r="A361" s="51" t="s">
        <v>3672</v>
      </c>
      <c r="B361" s="51">
        <v>77</v>
      </c>
      <c r="C361" s="51" t="s">
        <v>95</v>
      </c>
      <c r="D361" s="50">
        <v>1</v>
      </c>
      <c r="F361" s="189" t="str" cm="1">
        <f t="array" aca="1" ref="F361" ca="1">IF(I361=0,"",HYPERLINK("#"&amp;RIGHT(CELL("dateiname"),LEN(CELL("dateiname"))-FIND("]",CELL("dateiname")))&amp;"!"&amp;CELL("adresse",OFFSET($C$6,I361-1,0)),"Definition"))</f>
        <v/>
      </c>
      <c r="G361" s="189" t="str" cm="1">
        <f t="array" aca="1" ref="G361" ca="1">IF(J361=0,"",HYPERLINK("#"&amp;RIGHT(CELL("adresse",OFFSET(DMAV_Modell!$A$6,J361-1,0)),LEN(CELL("adresse",OFFSET(DMAV_Modell!$A$6,J361-1,0)))-SEARCH("]",CELL("adresse",OFFSET(DMAV_Modell!$A$6,J361-1,0)))),"Modell"))</f>
        <v>Modell</v>
      </c>
      <c r="H361" s="150" t="str">
        <f t="shared" si="10"/>
        <v>DEO77</v>
      </c>
      <c r="I361" s="150">
        <f t="shared" si="11"/>
        <v>0</v>
      </c>
      <c r="J361" s="150">
        <f>IF(_xlfn.XLOOKUP(H361,Korrelation!$B$4:$B$723,Korrelation!$A$4:$A$723,0,0)=0,0,MATCH(_xlfn.XLOOKUP(H361,Korrelation!$B$4:$B$723,Korrelation!$A$4:$A$723,0,0),DMAV_Modell!$G$6:$G$677,0))</f>
        <v>539</v>
      </c>
      <c r="L361" s="51" t="s">
        <v>20</v>
      </c>
      <c r="M361" s="51" t="s">
        <v>422</v>
      </c>
      <c r="N361" s="51" t="s">
        <v>297</v>
      </c>
      <c r="O361" s="52" t="s">
        <v>131</v>
      </c>
      <c r="P361" s="56"/>
      <c r="Q361" s="52" t="s">
        <v>432</v>
      </c>
      <c r="R361" s="52" t="s">
        <v>520</v>
      </c>
      <c r="T361" s="51" t="s">
        <v>6130</v>
      </c>
      <c r="U361" s="51" t="s">
        <v>822</v>
      </c>
      <c r="V361" s="51" t="s">
        <v>797</v>
      </c>
      <c r="W361" s="52" t="s">
        <v>131</v>
      </c>
      <c r="Y361" s="210" t="s">
        <v>6788</v>
      </c>
      <c r="Z361" s="210" t="s">
        <v>6918</v>
      </c>
      <c r="AB361" s="51" t="s">
        <v>6276</v>
      </c>
      <c r="AC361" s="51" t="s">
        <v>4388</v>
      </c>
      <c r="AD361" s="51" t="s">
        <v>4188</v>
      </c>
      <c r="AE361" s="52" t="s">
        <v>131</v>
      </c>
      <c r="AG361" s="210" t="s">
        <v>6790</v>
      </c>
      <c r="AH361" s="210" t="s">
        <v>6919</v>
      </c>
    </row>
    <row r="362" spans="1:34" ht="25.5" x14ac:dyDescent="0.25">
      <c r="A362" s="51" t="s">
        <v>3673</v>
      </c>
      <c r="B362" s="51">
        <v>1</v>
      </c>
      <c r="C362" s="51" t="s">
        <v>34</v>
      </c>
      <c r="F362" s="189" t="str" cm="1">
        <f t="array" aca="1" ref="F362" ca="1">IF(I362=0,"",HYPERLINK("#"&amp;RIGHT(CELL("dateiname"),LEN(CELL("dateiname"))-FIND("]",CELL("dateiname")))&amp;"!"&amp;CELL("adresse",OFFSET($C$6,I362-1,0)),"Definition"))</f>
        <v/>
      </c>
      <c r="G362" s="189" t="str" cm="1">
        <f t="array" aca="1" ref="G362" ca="1">IF(J362=0,"",HYPERLINK("#"&amp;RIGHT(CELL("adresse",OFFSET(DMAV_Modell!$A$6,J362-1,0)),LEN(CELL("adresse",OFFSET(DMAV_Modell!$A$6,J362-1,0)))-SEARCH("]",CELL("adresse",OFFSET(DMAV_Modell!$A$6,J362-1,0)))),"Modell"))</f>
        <v>Modell</v>
      </c>
      <c r="H362" s="150" t="str">
        <f t="shared" si="10"/>
        <v>DRL1</v>
      </c>
      <c r="I362" s="150">
        <f t="shared" si="11"/>
        <v>0</v>
      </c>
      <c r="J362" s="150">
        <f>IF(_xlfn.XLOOKUP(H362,Korrelation!$B$4:$B$723,Korrelation!$A$4:$A$723,0,0)=0,0,MATCH(_xlfn.XLOOKUP(H362,Korrelation!$B$4:$B$723,Korrelation!$A$4:$A$723,0,0),DMAV_Modell!$G$6:$G$677,0))</f>
        <v>551</v>
      </c>
      <c r="L362" s="51" t="s">
        <v>21</v>
      </c>
      <c r="M362" s="51" t="s">
        <v>521</v>
      </c>
      <c r="O362" s="52" t="s">
        <v>522</v>
      </c>
      <c r="P362" s="56"/>
      <c r="Q362" s="52" t="s">
        <v>523</v>
      </c>
      <c r="R362" s="52"/>
      <c r="T362" s="51" t="s">
        <v>708</v>
      </c>
      <c r="U362" s="51" t="s">
        <v>868</v>
      </c>
      <c r="W362" s="52" t="s">
        <v>869</v>
      </c>
      <c r="Y362" s="210" t="s">
        <v>6920</v>
      </c>
      <c r="AB362" s="51" t="s">
        <v>1937</v>
      </c>
      <c r="AC362" s="51" t="s">
        <v>1975</v>
      </c>
      <c r="AE362" s="52" t="s">
        <v>522</v>
      </c>
      <c r="AG362" s="210" t="s">
        <v>6921</v>
      </c>
    </row>
    <row r="363" spans="1:34" ht="25.5" x14ac:dyDescent="0.25">
      <c r="A363" s="51" t="s">
        <v>3673</v>
      </c>
      <c r="B363" s="51">
        <v>2</v>
      </c>
      <c r="C363" s="51" t="s">
        <v>34</v>
      </c>
      <c r="F363" s="189" t="str" cm="1">
        <f t="array" aca="1" ref="F363" ca="1">IF(I363=0,"",HYPERLINK("#"&amp;RIGHT(CELL("dateiname"),LEN(CELL("dateiname"))-FIND("]",CELL("dateiname")))&amp;"!"&amp;CELL("adresse",OFFSET($C$6,I363-1,0)),"Definition"))</f>
        <v/>
      </c>
      <c r="G363" s="189" t="str" cm="1">
        <f t="array" aca="1" ref="G363" ca="1">IF(J363=0,"",HYPERLINK("#"&amp;RIGHT(CELL("adresse",OFFSET(DMAV_Modell!$A$6,J363-1,0)),LEN(CELL("adresse",OFFSET(DMAV_Modell!$A$6,J363-1,0)))-SEARCH("]",CELL("adresse",OFFSET(DMAV_Modell!$A$6,J363-1,0)))),"Modell"))</f>
        <v>Modell</v>
      </c>
      <c r="H363" s="150" t="str">
        <f t="shared" si="10"/>
        <v>DRL2</v>
      </c>
      <c r="I363" s="150">
        <f t="shared" si="11"/>
        <v>0</v>
      </c>
      <c r="J363" s="150">
        <f>IF(_xlfn.XLOOKUP(H363,Korrelation!$B$4:$B$723,Korrelation!$A$4:$A$723,0,0)=0,0,MATCH(_xlfn.XLOOKUP(H363,Korrelation!$B$4:$B$723,Korrelation!$A$4:$A$723,0,0),DMAV_Modell!$G$6:$G$677,0))</f>
        <v>550</v>
      </c>
      <c r="L363" s="51" t="s">
        <v>21</v>
      </c>
      <c r="M363" s="51" t="s">
        <v>521</v>
      </c>
      <c r="O363" s="52" t="s">
        <v>524</v>
      </c>
      <c r="P363" s="56"/>
      <c r="Q363" s="52" t="s">
        <v>525</v>
      </c>
      <c r="R363" s="52"/>
      <c r="T363" s="51" t="s">
        <v>708</v>
      </c>
      <c r="U363" s="51" t="s">
        <v>868</v>
      </c>
      <c r="W363" s="52" t="s">
        <v>870</v>
      </c>
      <c r="Y363" s="210" t="s">
        <v>6922</v>
      </c>
      <c r="AB363" s="51" t="s">
        <v>1937</v>
      </c>
      <c r="AC363" s="51" t="s">
        <v>1975</v>
      </c>
      <c r="AE363" s="52" t="s">
        <v>6923</v>
      </c>
      <c r="AG363" s="210" t="s">
        <v>6924</v>
      </c>
    </row>
    <row r="364" spans="1:34" ht="25.5" x14ac:dyDescent="0.25">
      <c r="A364" s="51" t="s">
        <v>3673</v>
      </c>
      <c r="B364" s="51">
        <v>3</v>
      </c>
      <c r="C364" s="51" t="s">
        <v>34</v>
      </c>
      <c r="F364" s="189" t="str" cm="1">
        <f t="array" aca="1" ref="F364" ca="1">IF(I364=0,"",HYPERLINK("#"&amp;RIGHT(CELL("dateiname"),LEN(CELL("dateiname"))-FIND("]",CELL("dateiname")))&amp;"!"&amp;CELL("adresse",OFFSET($C$6,I364-1,0)),"Definition"))</f>
        <v/>
      </c>
      <c r="G364" s="189" t="str" cm="1">
        <f t="array" aca="1" ref="G364" ca="1">IF(J364=0,"",HYPERLINK("#"&amp;RIGHT(CELL("adresse",OFFSET(DMAV_Modell!$A$6,J364-1,0)),LEN(CELL("adresse",OFFSET(DMAV_Modell!$A$6,J364-1,0)))-SEARCH("]",CELL("adresse",OFFSET(DMAV_Modell!$A$6,J364-1,0)))),"Modell"))</f>
        <v>Modell</v>
      </c>
      <c r="H364" s="150" t="str">
        <f t="shared" si="10"/>
        <v>DRL3</v>
      </c>
      <c r="I364" s="150">
        <f t="shared" si="11"/>
        <v>0</v>
      </c>
      <c r="J364" s="150">
        <f>IF(_xlfn.XLOOKUP(H364,Korrelation!$B$4:$B$723,Korrelation!$A$4:$A$723,0,0)=0,0,MATCH(_xlfn.XLOOKUP(H364,Korrelation!$B$4:$B$723,Korrelation!$A$4:$A$723,0,0),DMAV_Modell!$G$6:$G$677,0))</f>
        <v>552</v>
      </c>
      <c r="L364" s="51" t="s">
        <v>21</v>
      </c>
      <c r="M364" s="51" t="s">
        <v>521</v>
      </c>
      <c r="O364" s="52" t="s">
        <v>54</v>
      </c>
      <c r="P364" s="56"/>
      <c r="Q364" s="52" t="s">
        <v>526</v>
      </c>
      <c r="R364" s="52"/>
      <c r="T364" s="51" t="s">
        <v>708</v>
      </c>
      <c r="U364" s="51" t="s">
        <v>868</v>
      </c>
      <c r="W364" s="52" t="s">
        <v>871</v>
      </c>
      <c r="Y364" s="210" t="s">
        <v>6925</v>
      </c>
      <c r="AB364" s="51" t="s">
        <v>1937</v>
      </c>
      <c r="AC364" s="51" t="s">
        <v>1975</v>
      </c>
      <c r="AE364" s="52" t="s">
        <v>1382</v>
      </c>
      <c r="AG364" s="210" t="s">
        <v>6926</v>
      </c>
    </row>
    <row r="365" spans="1:34" ht="25.5" x14ac:dyDescent="0.25">
      <c r="A365" s="51" t="s">
        <v>3673</v>
      </c>
      <c r="B365" s="51">
        <v>4</v>
      </c>
      <c r="C365" s="51" t="s">
        <v>34</v>
      </c>
      <c r="F365" s="189" t="str" cm="1">
        <f t="array" aca="1" ref="F365" ca="1">IF(I365=0,"",HYPERLINK("#"&amp;RIGHT(CELL("dateiname"),LEN(CELL("dateiname"))-FIND("]",CELL("dateiname")))&amp;"!"&amp;CELL("adresse",OFFSET($C$6,I365-1,0)),"Definition"))</f>
        <v/>
      </c>
      <c r="G365" s="189" t="str" cm="1">
        <f t="array" aca="1" ref="G365" ca="1">IF(J365=0,"",HYPERLINK("#"&amp;RIGHT(CELL("adresse",OFFSET(DMAV_Modell!$A$6,J365-1,0)),LEN(CELL("adresse",OFFSET(DMAV_Modell!$A$6,J365-1,0)))-SEARCH("]",CELL("adresse",OFFSET(DMAV_Modell!$A$6,J365-1,0)))),"Modell"))</f>
        <v/>
      </c>
      <c r="H365" s="150" t="str">
        <f t="shared" si="10"/>
        <v>DRL4</v>
      </c>
      <c r="I365" s="150">
        <f t="shared" si="11"/>
        <v>0</v>
      </c>
      <c r="J365" s="150">
        <f>IF(_xlfn.XLOOKUP(H365,Korrelation!$B$4:$B$723,Korrelation!$A$4:$A$723,0,0)=0,0,MATCH(_xlfn.XLOOKUP(H365,Korrelation!$B$4:$B$723,Korrelation!$A$4:$A$723,0,0),DMAV_Modell!$G$6:$G$677,0))</f>
        <v>0</v>
      </c>
      <c r="L365" s="51" t="s">
        <v>21</v>
      </c>
      <c r="M365" s="51" t="s">
        <v>527</v>
      </c>
      <c r="O365" s="52" t="s">
        <v>528</v>
      </c>
      <c r="P365" s="56"/>
      <c r="Q365" s="52" t="s">
        <v>529</v>
      </c>
      <c r="R365" s="52"/>
      <c r="T365" s="51" t="s">
        <v>708</v>
      </c>
      <c r="U365" s="51" t="s">
        <v>872</v>
      </c>
      <c r="W365" s="52" t="s">
        <v>6927</v>
      </c>
      <c r="Y365" s="210" t="s">
        <v>6928</v>
      </c>
      <c r="AB365" s="51" t="s">
        <v>1937</v>
      </c>
      <c r="AC365" s="51" t="s">
        <v>4422</v>
      </c>
      <c r="AE365" s="52" t="s">
        <v>1969</v>
      </c>
      <c r="AG365" s="210" t="s">
        <v>6929</v>
      </c>
    </row>
    <row r="366" spans="1:34" ht="25.5" x14ac:dyDescent="0.25">
      <c r="A366" s="51" t="s">
        <v>3673</v>
      </c>
      <c r="B366" s="51">
        <v>5</v>
      </c>
      <c r="C366" s="51" t="s">
        <v>34</v>
      </c>
      <c r="F366" s="189" t="str" cm="1">
        <f t="array" aca="1" ref="F366" ca="1">IF(I366=0,"",HYPERLINK("#"&amp;RIGHT(CELL("dateiname"),LEN(CELL("dateiname"))-FIND("]",CELL("dateiname")))&amp;"!"&amp;CELL("adresse",OFFSET($C$6,I366-1,0)),"Definition"))</f>
        <v/>
      </c>
      <c r="G366" s="189" t="str" cm="1">
        <f t="array" aca="1" ref="G366" ca="1">IF(J366=0,"",HYPERLINK("#"&amp;RIGHT(CELL("adresse",OFFSET(DMAV_Modell!$A$6,J366-1,0)),LEN(CELL("adresse",OFFSET(DMAV_Modell!$A$6,J366-1,0)))-SEARCH("]",CELL("adresse",OFFSET(DMAV_Modell!$A$6,J366-1,0)))),"Modell"))</f>
        <v/>
      </c>
      <c r="H366" s="150" t="str">
        <f t="shared" si="10"/>
        <v>DRL5</v>
      </c>
      <c r="I366" s="150">
        <f t="shared" si="11"/>
        <v>0</v>
      </c>
      <c r="J366" s="150">
        <f>IF(_xlfn.XLOOKUP(H366,Korrelation!$B$4:$B$723,Korrelation!$A$4:$A$723,0,0)=0,0,MATCH(_xlfn.XLOOKUP(H366,Korrelation!$B$4:$B$723,Korrelation!$A$4:$A$723,0,0),DMAV_Modell!$G$6:$G$677,0))</f>
        <v>0</v>
      </c>
      <c r="L366" s="51" t="s">
        <v>21</v>
      </c>
      <c r="M366" s="51" t="s">
        <v>527</v>
      </c>
      <c r="O366" s="52" t="s">
        <v>530</v>
      </c>
      <c r="P366" s="56"/>
      <c r="Q366" s="52" t="s">
        <v>531</v>
      </c>
      <c r="R366" s="52"/>
      <c r="T366" s="51" t="s">
        <v>708</v>
      </c>
      <c r="U366" s="51" t="s">
        <v>872</v>
      </c>
      <c r="W366" s="52" t="s">
        <v>6930</v>
      </c>
      <c r="Y366" s="210" t="s">
        <v>6931</v>
      </c>
      <c r="AB366" s="51" t="s">
        <v>1937</v>
      </c>
      <c r="AC366" s="51" t="s">
        <v>4422</v>
      </c>
      <c r="AE366" s="52" t="s">
        <v>6932</v>
      </c>
      <c r="AG366" s="210" t="s">
        <v>6933</v>
      </c>
    </row>
    <row r="367" spans="1:34" ht="25.5" x14ac:dyDescent="0.25">
      <c r="A367" s="51" t="s">
        <v>3673</v>
      </c>
      <c r="B367" s="51">
        <v>6</v>
      </c>
      <c r="C367" s="51" t="s">
        <v>34</v>
      </c>
      <c r="F367" s="189" t="str" cm="1">
        <f t="array" aca="1" ref="F367" ca="1">IF(I367=0,"",HYPERLINK("#"&amp;RIGHT(CELL("dateiname"),LEN(CELL("dateiname"))-FIND("]",CELL("dateiname")))&amp;"!"&amp;CELL("adresse",OFFSET($C$6,I367-1,0)),"Definition"))</f>
        <v/>
      </c>
      <c r="G367" s="189" t="str" cm="1">
        <f t="array" aca="1" ref="G367" ca="1">IF(J367=0,"",HYPERLINK("#"&amp;RIGHT(CELL("adresse",OFFSET(DMAV_Modell!$A$6,J367-1,0)),LEN(CELL("adresse",OFFSET(DMAV_Modell!$A$6,J367-1,0)))-SEARCH("]",CELL("adresse",OFFSET(DMAV_Modell!$A$6,J367-1,0)))),"Modell"))</f>
        <v/>
      </c>
      <c r="H367" s="150" t="str">
        <f t="shared" si="10"/>
        <v>DRL6</v>
      </c>
      <c r="I367" s="150">
        <f t="shared" si="11"/>
        <v>0</v>
      </c>
      <c r="J367" s="150">
        <f>IF(_xlfn.XLOOKUP(H367,Korrelation!$B$4:$B$723,Korrelation!$A$4:$A$723,0,0)=0,0,MATCH(_xlfn.XLOOKUP(H367,Korrelation!$B$4:$B$723,Korrelation!$A$4:$A$723,0,0),DMAV_Modell!$G$6:$G$677,0))</f>
        <v>0</v>
      </c>
      <c r="L367" s="51" t="s">
        <v>21</v>
      </c>
      <c r="M367" s="51" t="s">
        <v>527</v>
      </c>
      <c r="O367" s="52" t="s">
        <v>54</v>
      </c>
      <c r="P367" s="56"/>
      <c r="Q367" s="52" t="s">
        <v>532</v>
      </c>
      <c r="R367" s="52"/>
      <c r="T367" s="51" t="s">
        <v>708</v>
      </c>
      <c r="U367" s="51" t="s">
        <v>872</v>
      </c>
      <c r="W367" s="52" t="s">
        <v>871</v>
      </c>
      <c r="Y367" s="210" t="s">
        <v>6934</v>
      </c>
      <c r="AB367" s="51" t="s">
        <v>1937</v>
      </c>
      <c r="AC367" s="51" t="s">
        <v>4422</v>
      </c>
      <c r="AE367" s="52" t="s">
        <v>1382</v>
      </c>
      <c r="AG367" s="210" t="s">
        <v>6935</v>
      </c>
    </row>
    <row r="368" spans="1:34" ht="25.5" x14ac:dyDescent="0.25">
      <c r="A368" s="51" t="s">
        <v>3673</v>
      </c>
      <c r="B368" s="51">
        <v>7</v>
      </c>
      <c r="C368" s="51" t="s">
        <v>34</v>
      </c>
      <c r="F368" s="189" t="str" cm="1">
        <f t="array" aca="1" ref="F368" ca="1">IF(I368=0,"",HYPERLINK("#"&amp;RIGHT(CELL("dateiname"),LEN(CELL("dateiname"))-FIND("]",CELL("dateiname")))&amp;"!"&amp;CELL("adresse",OFFSET($C$6,I368-1,0)),"Definition"))</f>
        <v/>
      </c>
      <c r="G368" s="189" t="str" cm="1">
        <f t="array" aca="1" ref="G368" ca="1">IF(J368=0,"",HYPERLINK("#"&amp;RIGHT(CELL("adresse",OFFSET(DMAV_Modell!$A$6,J368-1,0)),LEN(CELL("adresse",OFFSET(DMAV_Modell!$A$6,J368-1,0)))-SEARCH("]",CELL("adresse",OFFSET(DMAV_Modell!$A$6,J368-1,0)))),"Modell"))</f>
        <v/>
      </c>
      <c r="H368" s="150" t="str">
        <f t="shared" si="10"/>
        <v>DRL7</v>
      </c>
      <c r="I368" s="150">
        <f t="shared" si="11"/>
        <v>0</v>
      </c>
      <c r="J368" s="150">
        <f>IF(_xlfn.XLOOKUP(H368,Korrelation!$B$4:$B$723,Korrelation!$A$4:$A$723,0,0)=0,0,MATCH(_xlfn.XLOOKUP(H368,Korrelation!$B$4:$B$723,Korrelation!$A$4:$A$723,0,0),DMAV_Modell!$G$6:$G$677,0))</f>
        <v>0</v>
      </c>
      <c r="L368" s="51" t="s">
        <v>21</v>
      </c>
      <c r="M368" s="51" t="s">
        <v>393</v>
      </c>
      <c r="O368" s="52" t="s">
        <v>394</v>
      </c>
      <c r="P368" s="56"/>
      <c r="Q368" s="52" t="s">
        <v>533</v>
      </c>
      <c r="R368" s="52"/>
      <c r="T368" s="51" t="s">
        <v>708</v>
      </c>
      <c r="U368" s="51" t="s">
        <v>6877</v>
      </c>
      <c r="W368" s="52" t="s">
        <v>815</v>
      </c>
      <c r="Y368" s="210" t="s">
        <v>6936</v>
      </c>
      <c r="AB368" s="51" t="s">
        <v>1937</v>
      </c>
      <c r="AC368" s="51" t="s">
        <v>3946</v>
      </c>
      <c r="AE368" s="52" t="s">
        <v>6719</v>
      </c>
      <c r="AG368" s="210" t="s">
        <v>6937</v>
      </c>
    </row>
    <row r="369" spans="1:34" ht="25.5" x14ac:dyDescent="0.25">
      <c r="A369" s="51" t="s">
        <v>3673</v>
      </c>
      <c r="B369" s="51">
        <v>8</v>
      </c>
      <c r="C369" s="51" t="s">
        <v>34</v>
      </c>
      <c r="F369" s="189" t="str" cm="1">
        <f t="array" aca="1" ref="F369" ca="1">IF(I369=0,"",HYPERLINK("#"&amp;RIGHT(CELL("dateiname"),LEN(CELL("dateiname"))-FIND("]",CELL("dateiname")))&amp;"!"&amp;CELL("adresse",OFFSET($C$6,I369-1,0)),"Definition"))</f>
        <v/>
      </c>
      <c r="G369" s="189" t="str" cm="1">
        <f t="array" aca="1" ref="G369" ca="1">IF(J369=0,"",HYPERLINK("#"&amp;RIGHT(CELL("adresse",OFFSET(DMAV_Modell!$A$6,J369-1,0)),LEN(CELL("adresse",OFFSET(DMAV_Modell!$A$6,J369-1,0)))-SEARCH("]",CELL("adresse",OFFSET(DMAV_Modell!$A$6,J369-1,0)))),"Modell"))</f>
        <v/>
      </c>
      <c r="H369" s="150" t="str">
        <f t="shared" si="10"/>
        <v>DRL8</v>
      </c>
      <c r="I369" s="150">
        <f t="shared" si="11"/>
        <v>0</v>
      </c>
      <c r="J369" s="150">
        <f>IF(_xlfn.XLOOKUP(H369,Korrelation!$B$4:$B$723,Korrelation!$A$4:$A$723,0,0)=0,0,MATCH(_xlfn.XLOOKUP(H369,Korrelation!$B$4:$B$723,Korrelation!$A$4:$A$723,0,0),DMAV_Modell!$G$6:$G$677,0))</f>
        <v>0</v>
      </c>
      <c r="L369" s="51" t="s">
        <v>21</v>
      </c>
      <c r="M369" s="51" t="s">
        <v>393</v>
      </c>
      <c r="O369" s="52" t="s">
        <v>396</v>
      </c>
      <c r="P369" s="56"/>
      <c r="Q369" s="52" t="s">
        <v>534</v>
      </c>
      <c r="R369" s="52"/>
      <c r="T369" s="51" t="s">
        <v>708</v>
      </c>
      <c r="U369" s="51" t="s">
        <v>6877</v>
      </c>
      <c r="W369" s="52" t="s">
        <v>816</v>
      </c>
      <c r="Y369" s="210" t="s">
        <v>6938</v>
      </c>
      <c r="AB369" s="51" t="s">
        <v>1937</v>
      </c>
      <c r="AC369" s="51" t="s">
        <v>3946</v>
      </c>
      <c r="AE369" s="52" t="s">
        <v>2670</v>
      </c>
      <c r="AG369" s="210" t="s">
        <v>6939</v>
      </c>
    </row>
    <row r="370" spans="1:34" ht="25.5" x14ac:dyDescent="0.25">
      <c r="A370" s="51" t="s">
        <v>3673</v>
      </c>
      <c r="B370" s="51">
        <v>9</v>
      </c>
      <c r="C370" s="51" t="s">
        <v>34</v>
      </c>
      <c r="F370" s="189" t="str" cm="1">
        <f t="array" aca="1" ref="F370" ca="1">IF(I370=0,"",HYPERLINK("#"&amp;RIGHT(CELL("dateiname"),LEN(CELL("dateiname"))-FIND("]",CELL("dateiname")))&amp;"!"&amp;CELL("adresse",OFFSET($C$6,I370-1,0)),"Definition"))</f>
        <v/>
      </c>
      <c r="G370" s="189" t="str" cm="1">
        <f t="array" aca="1" ref="G370" ca="1">IF(J370=0,"",HYPERLINK("#"&amp;RIGHT(CELL("adresse",OFFSET(DMAV_Modell!$A$6,J370-1,0)),LEN(CELL("adresse",OFFSET(DMAV_Modell!$A$6,J370-1,0)))-SEARCH("]",CELL("adresse",OFFSET(DMAV_Modell!$A$6,J370-1,0)))),"Modell"))</f>
        <v/>
      </c>
      <c r="H370" s="150" t="str">
        <f t="shared" si="10"/>
        <v>DRL9</v>
      </c>
      <c r="I370" s="150">
        <f t="shared" si="11"/>
        <v>0</v>
      </c>
      <c r="J370" s="150">
        <f>IF(_xlfn.XLOOKUP(H370,Korrelation!$B$4:$B$723,Korrelation!$A$4:$A$723,0,0)=0,0,MATCH(_xlfn.XLOOKUP(H370,Korrelation!$B$4:$B$723,Korrelation!$A$4:$A$723,0,0),DMAV_Modell!$G$6:$G$677,0))</f>
        <v>0</v>
      </c>
      <c r="L370" s="51" t="s">
        <v>21</v>
      </c>
      <c r="M370" s="51" t="s">
        <v>393</v>
      </c>
      <c r="O370" s="52" t="s">
        <v>398</v>
      </c>
      <c r="P370" s="56"/>
      <c r="Q370" s="52" t="s">
        <v>535</v>
      </c>
      <c r="R370" s="52"/>
      <c r="T370" s="51" t="s">
        <v>708</v>
      </c>
      <c r="U370" s="51" t="s">
        <v>6877</v>
      </c>
      <c r="W370" s="52" t="s">
        <v>817</v>
      </c>
      <c r="Y370" s="210" t="s">
        <v>6940</v>
      </c>
      <c r="AB370" s="51" t="s">
        <v>1937</v>
      </c>
      <c r="AC370" s="51" t="s">
        <v>3946</v>
      </c>
      <c r="AE370" s="52" t="s">
        <v>2666</v>
      </c>
      <c r="AG370" s="210" t="s">
        <v>6941</v>
      </c>
    </row>
    <row r="371" spans="1:34" ht="38.25" x14ac:dyDescent="0.25">
      <c r="A371" s="51" t="s">
        <v>3673</v>
      </c>
      <c r="B371" s="51">
        <v>10</v>
      </c>
      <c r="C371" s="51" t="s">
        <v>66</v>
      </c>
      <c r="D371" s="50">
        <v>1</v>
      </c>
      <c r="F371" s="189" t="str" cm="1">
        <f t="array" aca="1" ref="F371" ca="1">IF(I371=0,"",HYPERLINK("#"&amp;RIGHT(CELL("dateiname"),LEN(CELL("dateiname"))-FIND("]",CELL("dateiname")))&amp;"!"&amp;CELL("adresse",OFFSET($C$6,I371-1,0)),"Definition"))</f>
        <v/>
      </c>
      <c r="G371" s="189" t="str" cm="1">
        <f t="array" aca="1" ref="G371" ca="1">IF(J371=0,"",HYPERLINK("#"&amp;RIGHT(CELL("adresse",OFFSET(DMAV_Modell!$A$6,J371-1,0)),LEN(CELL("adresse",OFFSET(DMAV_Modell!$A$6,J371-1,0)))-SEARCH("]",CELL("adresse",OFFSET(DMAV_Modell!$A$6,J371-1,0)))),"Modell"))</f>
        <v>Modell</v>
      </c>
      <c r="H371" s="150" t="str">
        <f t="shared" si="10"/>
        <v>DRL10</v>
      </c>
      <c r="I371" s="150">
        <f t="shared" si="11"/>
        <v>0</v>
      </c>
      <c r="J371" s="150">
        <f>IF(_xlfn.XLOOKUP(H371,Korrelation!$B$4:$B$723,Korrelation!$A$4:$A$723,0,0)=0,0,MATCH(_xlfn.XLOOKUP(H371,Korrelation!$B$4:$B$723,Korrelation!$A$4:$A$723,0,0),DMAV_Modell!$G$6:$G$677,0))</f>
        <v>558</v>
      </c>
      <c r="L371" s="51" t="s">
        <v>21</v>
      </c>
      <c r="M371" s="51" t="s">
        <v>317</v>
      </c>
      <c r="N371" s="51" t="s">
        <v>123</v>
      </c>
      <c r="O371" s="52" t="s">
        <v>105</v>
      </c>
      <c r="P371" s="56"/>
      <c r="Q371" s="52" t="s">
        <v>3781</v>
      </c>
      <c r="R371" s="52" t="s">
        <v>94</v>
      </c>
      <c r="T371" s="51" t="s">
        <v>708</v>
      </c>
      <c r="U371" s="51" t="s">
        <v>798</v>
      </c>
      <c r="V371" s="51" t="s">
        <v>123</v>
      </c>
      <c r="W371" s="52" t="s">
        <v>105</v>
      </c>
      <c r="Y371" s="210" t="s">
        <v>6249</v>
      </c>
      <c r="Z371" s="210" t="s">
        <v>6942</v>
      </c>
      <c r="AB371" s="51" t="s">
        <v>1937</v>
      </c>
      <c r="AC371" s="51" t="s">
        <v>4291</v>
      </c>
      <c r="AD371" s="51" t="s">
        <v>1247</v>
      </c>
      <c r="AE371" s="52" t="s">
        <v>105</v>
      </c>
      <c r="AG371" s="210" t="s">
        <v>6543</v>
      </c>
      <c r="AH371" s="210" t="s">
        <v>6308</v>
      </c>
    </row>
    <row r="372" spans="1:34" ht="38.25" x14ac:dyDescent="0.25">
      <c r="A372" s="51" t="s">
        <v>3673</v>
      </c>
      <c r="B372" s="51">
        <v>11</v>
      </c>
      <c r="C372" s="51" t="s">
        <v>66</v>
      </c>
      <c r="D372" s="50" t="s">
        <v>72</v>
      </c>
      <c r="F372" s="189" t="str" cm="1">
        <f t="array" aca="1" ref="F372" ca="1">IF(I372=0,"",HYPERLINK("#"&amp;RIGHT(CELL("dateiname"),LEN(CELL("dateiname"))-FIND("]",CELL("dateiname")))&amp;"!"&amp;CELL("adresse",OFFSET($C$6,I372-1,0)),"Definition"))</f>
        <v/>
      </c>
      <c r="G372" s="189" t="str" cm="1">
        <f t="array" aca="1" ref="G372" ca="1">IF(J372=0,"",HYPERLINK("#"&amp;RIGHT(CELL("adresse",OFFSET(DMAV_Modell!$A$6,J372-1,0)),LEN(CELL("adresse",OFFSET(DMAV_Modell!$A$6,J372-1,0)))-SEARCH("]",CELL("adresse",OFFSET(DMAV_Modell!$A$6,J372-1,0)))),"Modell"))</f>
        <v>Modell</v>
      </c>
      <c r="H372" s="150" t="str">
        <f t="shared" si="10"/>
        <v>DRL11</v>
      </c>
      <c r="I372" s="150">
        <f t="shared" si="11"/>
        <v>0</v>
      </c>
      <c r="J372" s="150">
        <f>IF(_xlfn.XLOOKUP(H372,Korrelation!$B$4:$B$723,Korrelation!$A$4:$A$723,0,0)=0,0,MATCH(_xlfn.XLOOKUP(H372,Korrelation!$B$4:$B$723,Korrelation!$A$4:$A$723,0,0),DMAV_Modell!$G$6:$G$677,0))</f>
        <v>559</v>
      </c>
      <c r="L372" s="51" t="s">
        <v>21</v>
      </c>
      <c r="M372" s="51" t="s">
        <v>317</v>
      </c>
      <c r="N372" s="51" t="s">
        <v>536</v>
      </c>
      <c r="O372" s="52" t="s">
        <v>219</v>
      </c>
      <c r="P372" s="56"/>
      <c r="Q372" s="52" t="s">
        <v>537</v>
      </c>
      <c r="R372" s="52" t="s">
        <v>94</v>
      </c>
      <c r="T372" s="51" t="s">
        <v>708</v>
      </c>
      <c r="U372" s="51" t="s">
        <v>798</v>
      </c>
      <c r="V372" s="51" t="s">
        <v>873</v>
      </c>
      <c r="W372" s="52" t="s">
        <v>219</v>
      </c>
      <c r="Y372" s="210" t="s">
        <v>6943</v>
      </c>
      <c r="Z372" s="210" t="s">
        <v>6166</v>
      </c>
      <c r="AB372" s="51" t="s">
        <v>1937</v>
      </c>
      <c r="AC372" s="51" t="s">
        <v>4291</v>
      </c>
      <c r="AD372" s="51" t="s">
        <v>4411</v>
      </c>
      <c r="AE372" s="52" t="s">
        <v>219</v>
      </c>
      <c r="AG372" s="210" t="s">
        <v>6944</v>
      </c>
      <c r="AH372" s="210" t="s">
        <v>6308</v>
      </c>
    </row>
    <row r="373" spans="1:34" ht="38.25" x14ac:dyDescent="0.25">
      <c r="A373" s="51" t="s">
        <v>3673</v>
      </c>
      <c r="B373" s="51">
        <v>12</v>
      </c>
      <c r="C373" s="51" t="s">
        <v>66</v>
      </c>
      <c r="D373" s="50">
        <v>1</v>
      </c>
      <c r="F373" s="189" t="str" cm="1">
        <f t="array" aca="1" ref="F373" ca="1">IF(I373=0,"",HYPERLINK("#"&amp;RIGHT(CELL("dateiname"),LEN(CELL("dateiname"))-FIND("]",CELL("dateiname")))&amp;"!"&amp;CELL("adresse",OFFSET($C$6,I373-1,0)),"Definition"))</f>
        <v/>
      </c>
      <c r="G373" s="189" t="str" cm="1">
        <f t="array" aca="1" ref="G373" ca="1">IF(J373=0,"",HYPERLINK("#"&amp;RIGHT(CELL("adresse",OFFSET(DMAV_Modell!$A$6,J373-1,0)),LEN(CELL("adresse",OFFSET(DMAV_Modell!$A$6,J373-1,0)))-SEARCH("]",CELL("adresse",OFFSET(DMAV_Modell!$A$6,J373-1,0)))),"Modell"))</f>
        <v>Modell</v>
      </c>
      <c r="H373" s="150" t="str">
        <f t="shared" si="10"/>
        <v>DRL12</v>
      </c>
      <c r="I373" s="150">
        <f t="shared" si="11"/>
        <v>0</v>
      </c>
      <c r="J373" s="150">
        <f>IF(_xlfn.XLOOKUP(H373,Korrelation!$B$4:$B$723,Korrelation!$A$4:$A$723,0,0)=0,0,MATCH(_xlfn.XLOOKUP(H373,Korrelation!$B$4:$B$723,Korrelation!$A$4:$A$723,0,0),DMAV_Modell!$G$6:$G$677,0))</f>
        <v>561</v>
      </c>
      <c r="L373" s="51" t="s">
        <v>21</v>
      </c>
      <c r="M373" s="51" t="s">
        <v>302</v>
      </c>
      <c r="N373" s="120" t="s">
        <v>123</v>
      </c>
      <c r="O373" s="52" t="s">
        <v>198</v>
      </c>
      <c r="P373" s="56"/>
      <c r="Q373" s="52" t="s">
        <v>303</v>
      </c>
      <c r="R373" s="52" t="s">
        <v>94</v>
      </c>
      <c r="T373" s="51" t="s">
        <v>708</v>
      </c>
      <c r="U373" s="51" t="s">
        <v>799</v>
      </c>
      <c r="V373" s="120" t="s">
        <v>123</v>
      </c>
      <c r="W373" s="52" t="s">
        <v>198</v>
      </c>
      <c r="Y373" s="210" t="s">
        <v>6544</v>
      </c>
      <c r="Z373" s="210" t="s">
        <v>6166</v>
      </c>
      <c r="AB373" s="51" t="s">
        <v>1937</v>
      </c>
      <c r="AC373" s="51" t="s">
        <v>4292</v>
      </c>
      <c r="AD373" s="51" t="s">
        <v>1247</v>
      </c>
      <c r="AE373" s="52" t="s">
        <v>198</v>
      </c>
      <c r="AG373" s="210" t="s">
        <v>6545</v>
      </c>
      <c r="AH373" s="210" t="s">
        <v>6308</v>
      </c>
    </row>
    <row r="374" spans="1:34" ht="38.25" x14ac:dyDescent="0.25">
      <c r="A374" s="51" t="s">
        <v>3673</v>
      </c>
      <c r="B374" s="51">
        <v>13</v>
      </c>
      <c r="C374" s="51" t="s">
        <v>66</v>
      </c>
      <c r="D374" s="118">
        <v>1</v>
      </c>
      <c r="F374" s="189" t="str" cm="1">
        <f t="array" aca="1" ref="F374" ca="1">IF(I374=0,"",HYPERLINK("#"&amp;RIGHT(CELL("dateiname"),LEN(CELL("dateiname"))-FIND("]",CELL("dateiname")))&amp;"!"&amp;CELL("adresse",OFFSET($C$6,I374-1,0)),"Definition"))</f>
        <v/>
      </c>
      <c r="G374" s="189" t="str" cm="1">
        <f t="array" aca="1" ref="G374" ca="1">IF(J374=0,"",HYPERLINK("#"&amp;RIGHT(CELL("adresse",OFFSET(DMAV_Modell!$A$6,J374-1,0)),LEN(CELL("adresse",OFFSET(DMAV_Modell!$A$6,J374-1,0)))-SEARCH("]",CELL("adresse",OFFSET(DMAV_Modell!$A$6,J374-1,0)))),"Modell"))</f>
        <v>Modell</v>
      </c>
      <c r="H374" s="150" t="str">
        <f t="shared" si="10"/>
        <v>DRL13</v>
      </c>
      <c r="I374" s="150">
        <f t="shared" si="11"/>
        <v>0</v>
      </c>
      <c r="J374" s="150">
        <f>IF(_xlfn.XLOOKUP(H374,Korrelation!$B$4:$B$723,Korrelation!$A$4:$A$723,0,0)=0,0,MATCH(_xlfn.XLOOKUP(H374,Korrelation!$B$4:$B$723,Korrelation!$A$4:$A$723,0,0),DMAV_Modell!$G$6:$G$677,0))</f>
        <v>562</v>
      </c>
      <c r="L374" s="51" t="s">
        <v>21</v>
      </c>
      <c r="M374" s="51" t="s">
        <v>302</v>
      </c>
      <c r="N374" s="51" t="s">
        <v>538</v>
      </c>
      <c r="O374" s="52" t="s">
        <v>131</v>
      </c>
      <c r="P374" s="56" t="s">
        <v>214</v>
      </c>
      <c r="Q374" s="52" t="s">
        <v>539</v>
      </c>
      <c r="R374" s="52" t="s">
        <v>540</v>
      </c>
      <c r="T374" s="51" t="s">
        <v>708</v>
      </c>
      <c r="U374" s="51" t="s">
        <v>799</v>
      </c>
      <c r="V374" s="51" t="s">
        <v>874</v>
      </c>
      <c r="W374" s="52" t="s">
        <v>131</v>
      </c>
      <c r="X374" s="209" t="s">
        <v>214</v>
      </c>
      <c r="Y374" s="210" t="s">
        <v>6945</v>
      </c>
      <c r="Z374" s="210" t="s">
        <v>6946</v>
      </c>
      <c r="AB374" s="51" t="s">
        <v>1937</v>
      </c>
      <c r="AC374" s="51" t="s">
        <v>4292</v>
      </c>
      <c r="AD374" s="51" t="s">
        <v>4415</v>
      </c>
      <c r="AE374" s="52" t="s">
        <v>131</v>
      </c>
      <c r="AF374" s="209" t="s">
        <v>214</v>
      </c>
      <c r="AG374" s="210" t="s">
        <v>6947</v>
      </c>
      <c r="AH374" s="210" t="s">
        <v>6948</v>
      </c>
    </row>
    <row r="375" spans="1:34" ht="38.25" x14ac:dyDescent="0.25">
      <c r="A375" s="51" t="s">
        <v>3673</v>
      </c>
      <c r="B375" s="51">
        <v>14</v>
      </c>
      <c r="C375" s="51" t="s">
        <v>66</v>
      </c>
      <c r="D375" s="50">
        <v>1</v>
      </c>
      <c r="F375" s="189" t="str" cm="1">
        <f t="array" aca="1" ref="F375" ca="1">IF(I375=0,"",HYPERLINK("#"&amp;RIGHT(CELL("dateiname"),LEN(CELL("dateiname"))-FIND("]",CELL("dateiname")))&amp;"!"&amp;CELL("adresse",OFFSET($C$6,I375-1,0)),"Definition"))</f>
        <v/>
      </c>
      <c r="G375" s="189" t="str" cm="1">
        <f t="array" aca="1" ref="G375" ca="1">IF(J375=0,"",HYPERLINK("#"&amp;RIGHT(CELL("adresse",OFFSET(DMAV_Modell!$A$6,J375-1,0)),LEN(CELL("adresse",OFFSET(DMAV_Modell!$A$6,J375-1,0)))-SEARCH("]",CELL("adresse",OFFSET(DMAV_Modell!$A$6,J375-1,0)))),"Modell"))</f>
        <v>Modell</v>
      </c>
      <c r="H375" s="150" t="str">
        <f t="shared" si="10"/>
        <v>DRL14</v>
      </c>
      <c r="I375" s="150">
        <f t="shared" si="11"/>
        <v>0</v>
      </c>
      <c r="J375" s="150">
        <f>IF(_xlfn.XLOOKUP(H375,Korrelation!$B$4:$B$723,Korrelation!$A$4:$A$723,0,0)=0,0,MATCH(_xlfn.XLOOKUP(H375,Korrelation!$B$4:$B$723,Korrelation!$A$4:$A$723,0,0),DMAV_Modell!$G$6:$G$677,0))</f>
        <v>563</v>
      </c>
      <c r="L375" s="51" t="s">
        <v>21</v>
      </c>
      <c r="M375" s="51" t="s">
        <v>304</v>
      </c>
      <c r="N375" s="51" t="s">
        <v>123</v>
      </c>
      <c r="O375" s="52" t="s">
        <v>69</v>
      </c>
      <c r="P375" s="56"/>
      <c r="Q375" s="52" t="s">
        <v>305</v>
      </c>
      <c r="R375" s="52" t="s">
        <v>94</v>
      </c>
      <c r="T375" s="51" t="s">
        <v>708</v>
      </c>
      <c r="U375" s="51" t="s">
        <v>800</v>
      </c>
      <c r="V375" s="51" t="s">
        <v>123</v>
      </c>
      <c r="W375" s="52" t="s">
        <v>69</v>
      </c>
      <c r="Y375" s="210" t="s">
        <v>6546</v>
      </c>
      <c r="Z375" s="210" t="s">
        <v>6949</v>
      </c>
      <c r="AB375" s="51" t="s">
        <v>1937</v>
      </c>
      <c r="AC375" s="51" t="s">
        <v>4293</v>
      </c>
      <c r="AD375" s="51" t="s">
        <v>1247</v>
      </c>
      <c r="AE375" s="52" t="s">
        <v>69</v>
      </c>
      <c r="AG375" s="210" t="s">
        <v>6547</v>
      </c>
      <c r="AH375" s="210" t="s">
        <v>6308</v>
      </c>
    </row>
    <row r="376" spans="1:34" x14ac:dyDescent="0.25">
      <c r="A376" s="51" t="s">
        <v>3673</v>
      </c>
      <c r="B376" s="51">
        <v>15</v>
      </c>
      <c r="C376" s="51" t="s">
        <v>66</v>
      </c>
      <c r="D376" s="50" t="s">
        <v>72</v>
      </c>
      <c r="F376" s="189" t="str" cm="1">
        <f t="array" aca="1" ref="F376" ca="1">IF(I376=0,"",HYPERLINK("#"&amp;RIGHT(CELL("dateiname"),LEN(CELL("dateiname"))-FIND("]",CELL("dateiname")))&amp;"!"&amp;CELL("adresse",OFFSET($C$6,I376-1,0)),"Definition"))</f>
        <v/>
      </c>
      <c r="G376" s="189" t="str" cm="1">
        <f t="array" aca="1" ref="G376" ca="1">IF(J376=0,"",HYPERLINK("#"&amp;RIGHT(CELL("adresse",OFFSET(DMAV_Modell!$A$6,J376-1,0)),LEN(CELL("adresse",OFFSET(DMAV_Modell!$A$6,J376-1,0)))-SEARCH("]",CELL("adresse",OFFSET(DMAV_Modell!$A$6,J376-1,0)))),"Modell"))</f>
        <v>Modell</v>
      </c>
      <c r="H376" s="150" t="str">
        <f t="shared" si="10"/>
        <v>DRL15</v>
      </c>
      <c r="I376" s="150">
        <f t="shared" si="11"/>
        <v>0</v>
      </c>
      <c r="J376" s="150">
        <f>IF(_xlfn.XLOOKUP(H376,Korrelation!$B$4:$B$723,Korrelation!$A$4:$A$723,0,0)=0,0,MATCH(_xlfn.XLOOKUP(H376,Korrelation!$B$4:$B$723,Korrelation!$A$4:$A$723,0,0),DMAV_Modell!$G$6:$G$677,0))</f>
        <v>564</v>
      </c>
      <c r="L376" s="51" t="s">
        <v>21</v>
      </c>
      <c r="M376" s="51" t="s">
        <v>304</v>
      </c>
      <c r="N376" s="51" t="s">
        <v>125</v>
      </c>
      <c r="O376" s="52" t="s">
        <v>126</v>
      </c>
      <c r="P376" s="56"/>
      <c r="Q376" s="52" t="s">
        <v>542</v>
      </c>
      <c r="R376" s="52" t="s">
        <v>543</v>
      </c>
      <c r="T376" s="51" t="s">
        <v>708</v>
      </c>
      <c r="U376" s="51" t="s">
        <v>800</v>
      </c>
      <c r="V376" s="51" t="s">
        <v>743</v>
      </c>
      <c r="W376" s="52" t="s">
        <v>126</v>
      </c>
      <c r="Y376" s="210" t="s">
        <v>6950</v>
      </c>
      <c r="Z376" s="210" t="s">
        <v>6951</v>
      </c>
      <c r="AB376" s="51" t="s">
        <v>1937</v>
      </c>
      <c r="AC376" s="51" t="s">
        <v>4293</v>
      </c>
      <c r="AD376" s="51" t="s">
        <v>6952</v>
      </c>
      <c r="AE376" s="52" t="s">
        <v>126</v>
      </c>
      <c r="AG376" s="210" t="s">
        <v>6953</v>
      </c>
      <c r="AH376" s="210" t="s">
        <v>6954</v>
      </c>
    </row>
    <row r="377" spans="1:34" x14ac:dyDescent="0.25">
      <c r="A377" s="51" t="s">
        <v>3673</v>
      </c>
      <c r="B377" s="51">
        <v>16</v>
      </c>
      <c r="C377" s="51" t="s">
        <v>66</v>
      </c>
      <c r="D377" s="50">
        <v>1</v>
      </c>
      <c r="F377" s="189" t="str" cm="1">
        <f t="array" aca="1" ref="F377" ca="1">IF(I377=0,"",HYPERLINK("#"&amp;RIGHT(CELL("dateiname"),LEN(CELL("dateiname"))-FIND("]",CELL("dateiname")))&amp;"!"&amp;CELL("adresse",OFFSET($C$6,I377-1,0)),"Definition"))</f>
        <v/>
      </c>
      <c r="G377" s="189" t="str" cm="1">
        <f t="array" aca="1" ref="G377" ca="1">IF(J377=0,"",HYPERLINK("#"&amp;RIGHT(CELL("adresse",OFFSET(DMAV_Modell!$A$6,J377-1,0)),LEN(CELL("adresse",OFFSET(DMAV_Modell!$A$6,J377-1,0)))-SEARCH("]",CELL("adresse",OFFSET(DMAV_Modell!$A$6,J377-1,0)))),"Modell"))</f>
        <v>Modell</v>
      </c>
      <c r="H377" s="150" t="str">
        <f t="shared" si="10"/>
        <v>DRL16</v>
      </c>
      <c r="I377" s="150">
        <f t="shared" si="11"/>
        <v>0</v>
      </c>
      <c r="J377" s="150">
        <f>IF(_xlfn.XLOOKUP(H377,Korrelation!$B$4:$B$723,Korrelation!$A$4:$A$723,0,0)=0,0,MATCH(_xlfn.XLOOKUP(H377,Korrelation!$B$4:$B$723,Korrelation!$A$4:$A$723,0,0),DMAV_Modell!$G$6:$G$677,0))</f>
        <v>565</v>
      </c>
      <c r="L377" s="51" t="s">
        <v>21</v>
      </c>
      <c r="M377" s="51" t="s">
        <v>304</v>
      </c>
      <c r="N377" s="51" t="s">
        <v>149</v>
      </c>
      <c r="O377" s="52" t="s">
        <v>73</v>
      </c>
      <c r="P377" s="56" t="s">
        <v>3729</v>
      </c>
      <c r="Q377" s="52" t="s">
        <v>544</v>
      </c>
      <c r="R377" s="52"/>
      <c r="T377" s="51" t="s">
        <v>708</v>
      </c>
      <c r="U377" s="51" t="s">
        <v>800</v>
      </c>
      <c r="V377" s="51" t="s">
        <v>756</v>
      </c>
      <c r="W377" s="52" t="s">
        <v>73</v>
      </c>
      <c r="X377" s="209" t="s">
        <v>3729</v>
      </c>
      <c r="Y377" s="210" t="s">
        <v>6955</v>
      </c>
      <c r="AB377" s="51" t="s">
        <v>1937</v>
      </c>
      <c r="AC377" s="51" t="s">
        <v>4293</v>
      </c>
      <c r="AD377" s="51" t="s">
        <v>4034</v>
      </c>
      <c r="AE377" s="52" t="s">
        <v>73</v>
      </c>
      <c r="AF377" s="209" t="s">
        <v>3729</v>
      </c>
      <c r="AG377" s="210" t="s">
        <v>6956</v>
      </c>
    </row>
    <row r="378" spans="1:34" x14ac:dyDescent="0.25">
      <c r="A378" s="51" t="s">
        <v>3673</v>
      </c>
      <c r="B378" s="51">
        <v>17</v>
      </c>
      <c r="C378" s="51" t="s">
        <v>95</v>
      </c>
      <c r="D378" s="50">
        <v>1</v>
      </c>
      <c r="F378" s="189" t="str" cm="1">
        <f t="array" aca="1" ref="F378" ca="1">IF(I378=0,"",HYPERLINK("#"&amp;RIGHT(CELL("dateiname"),LEN(CELL("dateiname"))-FIND("]",CELL("dateiname")))&amp;"!"&amp;CELL("adresse",OFFSET($C$6,I378-1,0)),"Definition"))</f>
        <v/>
      </c>
      <c r="G378" s="189" t="str" cm="1">
        <f t="array" aca="1" ref="G378" ca="1">IF(J378=0,"",HYPERLINK("#"&amp;RIGHT(CELL("adresse",OFFSET(DMAV_Modell!$A$6,J378-1,0)),LEN(CELL("adresse",OFFSET(DMAV_Modell!$A$6,J378-1,0)))-SEARCH("]",CELL("adresse",OFFSET(DMAV_Modell!$A$6,J378-1,0)))),"Modell"))</f>
        <v>Modell</v>
      </c>
      <c r="H378" s="150" t="str">
        <f t="shared" si="10"/>
        <v>DRL17</v>
      </c>
      <c r="I378" s="150">
        <f t="shared" si="11"/>
        <v>0</v>
      </c>
      <c r="J378" s="150">
        <f>IF(_xlfn.XLOOKUP(H378,Korrelation!$B$4:$B$723,Korrelation!$A$4:$A$723,0,0)=0,0,MATCH(_xlfn.XLOOKUP(H378,Korrelation!$B$4:$B$723,Korrelation!$A$4:$A$723,0,0),DMAV_Modell!$G$6:$G$677,0))</f>
        <v>553</v>
      </c>
      <c r="L378" s="51" t="s">
        <v>21</v>
      </c>
      <c r="M378" s="51" t="s">
        <v>545</v>
      </c>
      <c r="N378" s="51" t="s">
        <v>96</v>
      </c>
      <c r="O378" s="52" t="s">
        <v>97</v>
      </c>
      <c r="P378" s="56"/>
      <c r="Q378" s="52" t="s">
        <v>98</v>
      </c>
      <c r="R378" s="52"/>
      <c r="T378" s="51" t="s">
        <v>708</v>
      </c>
      <c r="U378" s="51" t="s">
        <v>876</v>
      </c>
      <c r="V378" s="51" t="s">
        <v>733</v>
      </c>
      <c r="W378" s="52" t="s">
        <v>97</v>
      </c>
      <c r="Y378" s="210" t="s">
        <v>6175</v>
      </c>
      <c r="AB378" s="51" t="s">
        <v>1937</v>
      </c>
      <c r="AC378" s="51" t="s">
        <v>4409</v>
      </c>
      <c r="AD378" s="51" t="s">
        <v>1378</v>
      </c>
      <c r="AE378" s="52" t="s">
        <v>97</v>
      </c>
      <c r="AG378" s="210" t="s">
        <v>6316</v>
      </c>
    </row>
    <row r="379" spans="1:34" ht="25.5" x14ac:dyDescent="0.25">
      <c r="A379" s="51" t="s">
        <v>3673</v>
      </c>
      <c r="B379" s="51">
        <v>18</v>
      </c>
      <c r="C379" s="51" t="s">
        <v>95</v>
      </c>
      <c r="D379" s="50">
        <v>1</v>
      </c>
      <c r="F379" s="189" t="str" cm="1">
        <f t="array" aca="1" ref="F379" ca="1">IF(I379=0,"",HYPERLINK("#"&amp;RIGHT(CELL("dateiname"),LEN(CELL("dateiname"))-FIND("]",CELL("dateiname")))&amp;"!"&amp;CELL("adresse",OFFSET($C$6,I379-1,0)),"Definition"))</f>
        <v/>
      </c>
      <c r="G379" s="189" t="str" cm="1">
        <f t="array" aca="1" ref="G379" ca="1">IF(J379=0,"",HYPERLINK("#"&amp;RIGHT(CELL("adresse",OFFSET(DMAV_Modell!$A$6,J379-1,0)),LEN(CELL("adresse",OFFSET(DMAV_Modell!$A$6,J379-1,0)))-SEARCH("]",CELL("adresse",OFFSET(DMAV_Modell!$A$6,J379-1,0)))),"Modell"))</f>
        <v>Modell</v>
      </c>
      <c r="H379" s="150" t="str">
        <f t="shared" si="10"/>
        <v>DRL18</v>
      </c>
      <c r="I379" s="150">
        <f t="shared" si="11"/>
        <v>0</v>
      </c>
      <c r="J379" s="150">
        <f>IF(_xlfn.XLOOKUP(H379,Korrelation!$B$4:$B$723,Korrelation!$A$4:$A$723,0,0)=0,0,MATCH(_xlfn.XLOOKUP(H379,Korrelation!$B$4:$B$723,Korrelation!$A$4:$A$723,0,0),DMAV_Modell!$G$6:$G$677,0))</f>
        <v>554</v>
      </c>
      <c r="L379" s="51" t="s">
        <v>21</v>
      </c>
      <c r="M379" s="51" t="s">
        <v>545</v>
      </c>
      <c r="N379" s="51" t="s">
        <v>99</v>
      </c>
      <c r="O379" s="52" t="s">
        <v>97</v>
      </c>
      <c r="P379" s="56"/>
      <c r="Q379" s="52" t="s">
        <v>100</v>
      </c>
      <c r="R379" s="52"/>
      <c r="T379" s="51" t="s">
        <v>708</v>
      </c>
      <c r="U379" s="51" t="s">
        <v>876</v>
      </c>
      <c r="V379" s="51" t="s">
        <v>734</v>
      </c>
      <c r="W379" s="52" t="s">
        <v>97</v>
      </c>
      <c r="Y379" s="210" t="s">
        <v>6176</v>
      </c>
      <c r="AB379" s="51" t="s">
        <v>1937</v>
      </c>
      <c r="AC379" s="51" t="s">
        <v>4409</v>
      </c>
      <c r="AD379" s="51" t="s">
        <v>1376</v>
      </c>
      <c r="AE379" s="52" t="s">
        <v>97</v>
      </c>
      <c r="AG379" s="210" t="s">
        <v>6317</v>
      </c>
    </row>
    <row r="380" spans="1:34" x14ac:dyDescent="0.25">
      <c r="A380" s="51" t="s">
        <v>3673</v>
      </c>
      <c r="B380" s="51">
        <v>19</v>
      </c>
      <c r="C380" s="51" t="s">
        <v>95</v>
      </c>
      <c r="D380" s="50">
        <v>1</v>
      </c>
      <c r="F380" s="189" t="str" cm="1">
        <f t="array" aca="1" ref="F380" ca="1">IF(I380=0,"",HYPERLINK("#"&amp;RIGHT(CELL("dateiname"),LEN(CELL("dateiname"))-FIND("]",CELL("dateiname")))&amp;"!"&amp;CELL("adresse",OFFSET($C$6,I380-1,0)),"Definition"))</f>
        <v/>
      </c>
      <c r="G380" s="189" t="str" cm="1">
        <f t="array" aca="1" ref="G380" ca="1">IF(J380=0,"",HYPERLINK("#"&amp;RIGHT(CELL("adresse",OFFSET(DMAV_Modell!$A$6,J380-1,0)),LEN(CELL("adresse",OFFSET(DMAV_Modell!$A$6,J380-1,0)))-SEARCH("]",CELL("adresse",OFFSET(DMAV_Modell!$A$6,J380-1,0)))),"Modell"))</f>
        <v>Modell</v>
      </c>
      <c r="H380" s="150" t="str">
        <f t="shared" si="10"/>
        <v>DRL19</v>
      </c>
      <c r="I380" s="150">
        <f t="shared" si="11"/>
        <v>0</v>
      </c>
      <c r="J380" s="150">
        <f>IF(_xlfn.XLOOKUP(H380,Korrelation!$B$4:$B$723,Korrelation!$A$4:$A$723,0,0)=0,0,MATCH(_xlfn.XLOOKUP(H380,Korrelation!$B$4:$B$723,Korrelation!$A$4:$A$723,0,0),DMAV_Modell!$G$6:$G$677,0))</f>
        <v>555</v>
      </c>
      <c r="L380" s="51" t="s">
        <v>21</v>
      </c>
      <c r="M380" s="51" t="s">
        <v>545</v>
      </c>
      <c r="N380" s="51" t="s">
        <v>101</v>
      </c>
      <c r="O380" s="52" t="s">
        <v>102</v>
      </c>
      <c r="P380" s="56"/>
      <c r="Q380" s="52" t="s">
        <v>103</v>
      </c>
      <c r="R380" s="52"/>
      <c r="T380" s="51" t="s">
        <v>708</v>
      </c>
      <c r="U380" s="51" t="s">
        <v>876</v>
      </c>
      <c r="V380" s="51" t="s">
        <v>735</v>
      </c>
      <c r="W380" s="52" t="s">
        <v>102</v>
      </c>
      <c r="Y380" s="210" t="s">
        <v>6177</v>
      </c>
      <c r="AB380" s="51" t="s">
        <v>1937</v>
      </c>
      <c r="AC380" s="51" t="s">
        <v>4409</v>
      </c>
      <c r="AD380" s="51" t="s">
        <v>1294</v>
      </c>
      <c r="AE380" s="52" t="s">
        <v>102</v>
      </c>
      <c r="AG380" s="210" t="s">
        <v>6318</v>
      </c>
    </row>
    <row r="381" spans="1:34" ht="76.5" x14ac:dyDescent="0.25">
      <c r="A381" s="51" t="s">
        <v>3673</v>
      </c>
      <c r="B381" s="51">
        <v>20</v>
      </c>
      <c r="C381" s="51" t="s">
        <v>95</v>
      </c>
      <c r="D381" s="50" t="s">
        <v>72</v>
      </c>
      <c r="F381" s="189" t="str" cm="1">
        <f t="array" aca="1" ref="F381" ca="1">IF(I381=0,"",HYPERLINK("#"&amp;RIGHT(CELL("dateiname"),LEN(CELL("dateiname"))-FIND("]",CELL("dateiname")))&amp;"!"&amp;CELL("adresse",OFFSET($C$6,I381-1,0)),"Definition"))</f>
        <v/>
      </c>
      <c r="G381" s="189" t="str" cm="1">
        <f t="array" aca="1" ref="G381" ca="1">IF(J381=0,"",HYPERLINK("#"&amp;RIGHT(CELL("adresse",OFFSET(DMAV_Modell!$A$6,J381-1,0)),LEN(CELL("adresse",OFFSET(DMAV_Modell!$A$6,J381-1,0)))-SEARCH("]",CELL("adresse",OFFSET(DMAV_Modell!$A$6,J381-1,0)))),"Modell"))</f>
        <v>Modell</v>
      </c>
      <c r="H381" s="150" t="str">
        <f t="shared" si="10"/>
        <v>DRL20</v>
      </c>
      <c r="I381" s="150">
        <f t="shared" si="11"/>
        <v>0</v>
      </c>
      <c r="J381" s="150">
        <f>IF(_xlfn.XLOOKUP(H381,Korrelation!$B$4:$B$723,Korrelation!$A$4:$A$723,0,0)=0,0,MATCH(_xlfn.XLOOKUP(H381,Korrelation!$B$4:$B$723,Korrelation!$A$4:$A$723,0,0),DMAV_Modell!$G$6:$G$677,0))</f>
        <v>556</v>
      </c>
      <c r="L381" s="51" t="s">
        <v>21</v>
      </c>
      <c r="M381" s="51" t="s">
        <v>545</v>
      </c>
      <c r="N381" s="51" t="s">
        <v>104</v>
      </c>
      <c r="O381" s="52" t="s">
        <v>105</v>
      </c>
      <c r="P381" s="56"/>
      <c r="Q381" s="52" t="s">
        <v>106</v>
      </c>
      <c r="R381" s="52"/>
      <c r="T381" s="51" t="s">
        <v>708</v>
      </c>
      <c r="U381" s="51" t="s">
        <v>876</v>
      </c>
      <c r="V381" s="51" t="s">
        <v>736</v>
      </c>
      <c r="W381" s="52" t="s">
        <v>105</v>
      </c>
      <c r="Y381" s="210" t="s">
        <v>6178</v>
      </c>
      <c r="AB381" s="51" t="s">
        <v>1937</v>
      </c>
      <c r="AC381" s="51" t="s">
        <v>4409</v>
      </c>
      <c r="AD381" s="51" t="s">
        <v>1595</v>
      </c>
      <c r="AE381" s="52" t="s">
        <v>105</v>
      </c>
      <c r="AG381" s="210" t="s">
        <v>6319</v>
      </c>
    </row>
    <row r="382" spans="1:34" ht="25.5" x14ac:dyDescent="0.25">
      <c r="A382" s="51" t="s">
        <v>3673</v>
      </c>
      <c r="B382" s="51">
        <v>21</v>
      </c>
      <c r="C382" s="51" t="s">
        <v>95</v>
      </c>
      <c r="D382" s="50">
        <v>1</v>
      </c>
      <c r="F382" s="189" t="str" cm="1">
        <f t="array" aca="1" ref="F382" ca="1">IF(I382=0,"",HYPERLINK("#"&amp;RIGHT(CELL("dateiname"),LEN(CELL("dateiname"))-FIND("]",CELL("dateiname")))&amp;"!"&amp;CELL("adresse",OFFSET($C$6,I382-1,0)),"Definition"))</f>
        <v/>
      </c>
      <c r="G382" s="189" t="str" cm="1">
        <f t="array" aca="1" ref="G382" ca="1">IF(J382=0,"",HYPERLINK("#"&amp;RIGHT(CELL("adresse",OFFSET(DMAV_Modell!$A$6,J382-1,0)),LEN(CELL("adresse",OFFSET(DMAV_Modell!$A$6,J382-1,0)))-SEARCH("]",CELL("adresse",OFFSET(DMAV_Modell!$A$6,J382-1,0)))),"Modell"))</f>
        <v>Modell</v>
      </c>
      <c r="H382" s="150" t="str">
        <f t="shared" si="10"/>
        <v>DRL21</v>
      </c>
      <c r="I382" s="150">
        <f t="shared" si="11"/>
        <v>0</v>
      </c>
      <c r="J382" s="150">
        <f>IF(_xlfn.XLOOKUP(H382,Korrelation!$B$4:$B$723,Korrelation!$A$4:$A$723,0,0)=0,0,MATCH(_xlfn.XLOOKUP(H382,Korrelation!$B$4:$B$723,Korrelation!$A$4:$A$723,0,0),DMAV_Modell!$G$6:$G$677,0))</f>
        <v>557</v>
      </c>
      <c r="L382" s="51" t="s">
        <v>21</v>
      </c>
      <c r="M382" s="51" t="s">
        <v>545</v>
      </c>
      <c r="N382" s="51" t="s">
        <v>107</v>
      </c>
      <c r="O382" s="52" t="s">
        <v>108</v>
      </c>
      <c r="P382" s="56"/>
      <c r="Q382" s="52" t="s">
        <v>109</v>
      </c>
      <c r="R382" s="52"/>
      <c r="T382" s="51" t="s">
        <v>708</v>
      </c>
      <c r="U382" s="51" t="s">
        <v>876</v>
      </c>
      <c r="V382" s="51" t="s">
        <v>737</v>
      </c>
      <c r="W382" s="52" t="s">
        <v>108</v>
      </c>
      <c r="Y382" s="210" t="s">
        <v>6179</v>
      </c>
      <c r="AB382" s="51" t="s">
        <v>1937</v>
      </c>
      <c r="AC382" s="51" t="s">
        <v>4409</v>
      </c>
      <c r="AD382" s="51" t="s">
        <v>4014</v>
      </c>
      <c r="AE382" s="52" t="s">
        <v>108</v>
      </c>
      <c r="AG382" s="210" t="s">
        <v>6320</v>
      </c>
    </row>
    <row r="383" spans="1:34" x14ac:dyDescent="0.25">
      <c r="A383" s="51" t="s">
        <v>3673</v>
      </c>
      <c r="B383" s="51">
        <v>22</v>
      </c>
      <c r="C383" s="51" t="s">
        <v>95</v>
      </c>
      <c r="D383" s="50">
        <v>1</v>
      </c>
      <c r="E383" s="50" t="s">
        <v>3703</v>
      </c>
      <c r="F383" s="189" t="str" cm="1">
        <f t="array" aca="1" ref="F383" ca="1">IF(I383=0,"",HYPERLINK("#"&amp;RIGHT(CELL("dateiname"),LEN(CELL("dateiname"))-FIND("]",CELL("dateiname")))&amp;"!"&amp;CELL("adresse",OFFSET($C$6,I383-1,0)),"Definition"))</f>
        <v>Definition</v>
      </c>
      <c r="G383" s="189" t="str" cm="1">
        <f t="array" aca="1" ref="G383" ca="1">IF(J383=0,"",HYPERLINK("#"&amp;RIGHT(CELL("adresse",OFFSET(DMAV_Modell!$A$6,J383-1,0)),LEN(CELL("adresse",OFFSET(DMAV_Modell!$A$6,J383-1,0)))-SEARCH("]",CELL("adresse",OFFSET(DMAV_Modell!$A$6,J383-1,0)))),"Modell"))</f>
        <v>Modell</v>
      </c>
      <c r="H383" s="150" t="str">
        <f t="shared" si="10"/>
        <v>DRL22</v>
      </c>
      <c r="I383" s="150">
        <f t="shared" si="11"/>
        <v>357</v>
      </c>
      <c r="J383" s="150">
        <f>IF(_xlfn.XLOOKUP(H383,Korrelation!$B$4:$B$723,Korrelation!$A$4:$A$723,0,0)=0,0,MATCH(_xlfn.XLOOKUP(H383,Korrelation!$B$4:$B$723,Korrelation!$A$4:$A$723,0,0),DMAV_Modell!$G$6:$G$677,0))</f>
        <v>568</v>
      </c>
      <c r="L383" s="51" t="s">
        <v>21</v>
      </c>
      <c r="M383" s="51" t="s">
        <v>546</v>
      </c>
      <c r="N383" s="51" t="s">
        <v>521</v>
      </c>
      <c r="O383" s="52" t="s">
        <v>547</v>
      </c>
      <c r="P383" s="56"/>
      <c r="Q383" s="52" t="s">
        <v>548</v>
      </c>
      <c r="R383" s="52"/>
      <c r="T383" s="51" t="s">
        <v>708</v>
      </c>
      <c r="U383" s="51" t="s">
        <v>877</v>
      </c>
      <c r="V383" s="51" t="s">
        <v>868</v>
      </c>
      <c r="W383" s="52" t="s">
        <v>6957</v>
      </c>
      <c r="Y383" s="210" t="s">
        <v>6958</v>
      </c>
      <c r="AB383" s="51" t="s">
        <v>1937</v>
      </c>
      <c r="AC383" s="51" t="s">
        <v>4416</v>
      </c>
      <c r="AD383" s="51" t="s">
        <v>6959</v>
      </c>
      <c r="AE383" s="52" t="s">
        <v>6960</v>
      </c>
      <c r="AG383" s="210" t="s">
        <v>6961</v>
      </c>
    </row>
    <row r="384" spans="1:34" x14ac:dyDescent="0.25">
      <c r="A384" s="51" t="s">
        <v>3673</v>
      </c>
      <c r="B384" s="51">
        <v>23</v>
      </c>
      <c r="C384" s="51" t="s">
        <v>95</v>
      </c>
      <c r="D384" s="50">
        <v>1</v>
      </c>
      <c r="F384" s="189" t="str" cm="1">
        <f t="array" aca="1" ref="F384" ca="1">IF(I384=0,"",HYPERLINK("#"&amp;RIGHT(CELL("dateiname"),LEN(CELL("dateiname"))-FIND("]",CELL("dateiname")))&amp;"!"&amp;CELL("adresse",OFFSET($C$6,I384-1,0)),"Definition"))</f>
        <v/>
      </c>
      <c r="G384" s="189" t="str" cm="1">
        <f t="array" aca="1" ref="G384" ca="1">IF(J384=0,"",HYPERLINK("#"&amp;RIGHT(CELL("adresse",OFFSET(DMAV_Modell!$A$6,J384-1,0)),LEN(CELL("adresse",OFFSET(DMAV_Modell!$A$6,J384-1,0)))-SEARCH("]",CELL("adresse",OFFSET(DMAV_Modell!$A$6,J384-1,0)))),"Modell"))</f>
        <v>Modell</v>
      </c>
      <c r="H384" s="150" t="str">
        <f t="shared" si="10"/>
        <v>DRL23</v>
      </c>
      <c r="I384" s="150">
        <f t="shared" si="11"/>
        <v>0</v>
      </c>
      <c r="J384" s="150">
        <f>IF(_xlfn.XLOOKUP(H384,Korrelation!$B$4:$B$723,Korrelation!$A$4:$A$723,0,0)=0,0,MATCH(_xlfn.XLOOKUP(H384,Korrelation!$B$4:$B$723,Korrelation!$A$4:$A$723,0,0),DMAV_Modell!$G$6:$G$677,0))</f>
        <v>566</v>
      </c>
      <c r="L384" s="51" t="s">
        <v>21</v>
      </c>
      <c r="M384" s="51" t="s">
        <v>546</v>
      </c>
      <c r="N384" s="51" t="s">
        <v>549</v>
      </c>
      <c r="O384" s="52" t="s">
        <v>135</v>
      </c>
      <c r="P384" s="56"/>
      <c r="Q384" s="52" t="s">
        <v>550</v>
      </c>
      <c r="R384" s="52"/>
      <c r="T384" s="51" t="s">
        <v>708</v>
      </c>
      <c r="U384" s="51" t="s">
        <v>877</v>
      </c>
      <c r="V384" s="51" t="s">
        <v>878</v>
      </c>
      <c r="W384" s="52" t="s">
        <v>135</v>
      </c>
      <c r="Y384" s="210" t="s">
        <v>6962</v>
      </c>
      <c r="AB384" s="51" t="s">
        <v>1937</v>
      </c>
      <c r="AC384" s="51" t="s">
        <v>4416</v>
      </c>
      <c r="AD384" s="51" t="s">
        <v>6963</v>
      </c>
      <c r="AE384" s="52" t="s">
        <v>135</v>
      </c>
      <c r="AG384" s="210" t="s">
        <v>6964</v>
      </c>
    </row>
    <row r="385" spans="1:34" ht="38.25" x14ac:dyDescent="0.25">
      <c r="A385" s="51" t="s">
        <v>3673</v>
      </c>
      <c r="B385" s="51">
        <v>24</v>
      </c>
      <c r="C385" s="51" t="s">
        <v>95</v>
      </c>
      <c r="D385" s="50">
        <v>1</v>
      </c>
      <c r="E385" s="50" t="s">
        <v>3686</v>
      </c>
      <c r="F385" s="189" t="str" cm="1">
        <f t="array" aca="1" ref="F385" ca="1">IF(I385=0,"",HYPERLINK("#"&amp;RIGHT(CELL("dateiname"),LEN(CELL("dateiname"))-FIND("]",CELL("dateiname")))&amp;"!"&amp;CELL("adresse",OFFSET($C$6,I385-1,0)),"Definition"))</f>
        <v>Definition</v>
      </c>
      <c r="G385" s="189" t="str" cm="1">
        <f t="array" aca="1" ref="G385" ca="1">IF(J385=0,"",HYPERLINK("#"&amp;RIGHT(CELL("adresse",OFFSET(DMAV_Modell!$A$6,J385-1,0)),LEN(CELL("adresse",OFFSET(DMAV_Modell!$A$6,J385-1,0)))-SEARCH("]",CELL("adresse",OFFSET(DMAV_Modell!$A$6,J385-1,0)))),"Modell"))</f>
        <v>Modell</v>
      </c>
      <c r="H385" s="150" t="str">
        <f t="shared" si="10"/>
        <v>DRL24</v>
      </c>
      <c r="I385" s="150">
        <f t="shared" si="11"/>
        <v>13</v>
      </c>
      <c r="J385" s="150">
        <f>IF(_xlfn.XLOOKUP(H385,Korrelation!$B$4:$B$723,Korrelation!$A$4:$A$723,0,0)=0,0,MATCH(_xlfn.XLOOKUP(H385,Korrelation!$B$4:$B$723,Korrelation!$A$4:$A$723,0,0),DMAV_Modell!$G$6:$G$677,0))</f>
        <v>567</v>
      </c>
      <c r="L385" s="51" t="s">
        <v>21</v>
      </c>
      <c r="M385" s="51" t="s">
        <v>546</v>
      </c>
      <c r="N385" s="51" t="s">
        <v>265</v>
      </c>
      <c r="O385" s="52" t="s">
        <v>2800</v>
      </c>
      <c r="P385" s="56"/>
      <c r="Q385" s="52" t="s">
        <v>551</v>
      </c>
      <c r="R385" s="52"/>
      <c r="T385" s="51" t="s">
        <v>708</v>
      </c>
      <c r="U385" s="51" t="s">
        <v>877</v>
      </c>
      <c r="V385" s="51" t="s">
        <v>711</v>
      </c>
      <c r="W385" s="52" t="s">
        <v>6743</v>
      </c>
      <c r="Y385" s="210" t="s">
        <v>6965</v>
      </c>
      <c r="AB385" s="51" t="s">
        <v>1937</v>
      </c>
      <c r="AC385" s="51" t="s">
        <v>4416</v>
      </c>
      <c r="AD385" s="51" t="s">
        <v>1976</v>
      </c>
      <c r="AE385" s="52" t="s">
        <v>6454</v>
      </c>
      <c r="AG385" s="210" t="s">
        <v>6966</v>
      </c>
    </row>
    <row r="386" spans="1:34" ht="25.5" x14ac:dyDescent="0.25">
      <c r="A386" s="51" t="s">
        <v>3673</v>
      </c>
      <c r="B386" s="51">
        <v>25</v>
      </c>
      <c r="C386" s="51" t="s">
        <v>95</v>
      </c>
      <c r="D386" s="50" t="s">
        <v>72</v>
      </c>
      <c r="E386" s="50" t="s">
        <v>3704</v>
      </c>
      <c r="F386" s="189" t="str" cm="1">
        <f t="array" aca="1" ref="F386" ca="1">IF(I386=0,"",HYPERLINK("#"&amp;RIGHT(CELL("dateiname"),LEN(CELL("dateiname"))-FIND("]",CELL("dateiname")))&amp;"!"&amp;CELL("adresse",OFFSET($C$6,I386-1,0)),"Definition"))</f>
        <v>Definition</v>
      </c>
      <c r="G386" s="189" t="str" cm="1">
        <f t="array" aca="1" ref="G386" ca="1">IF(J386=0,"",HYPERLINK("#"&amp;RIGHT(CELL("adresse",OFFSET(DMAV_Modell!$A$6,J386-1,0)),LEN(CELL("adresse",OFFSET(DMAV_Modell!$A$6,J386-1,0)))-SEARCH("]",CELL("adresse",OFFSET(DMAV_Modell!$A$6,J386-1,0)))),"Modell"))</f>
        <v>Modell</v>
      </c>
      <c r="H386" s="150" t="str">
        <f t="shared" si="10"/>
        <v>DRL25</v>
      </c>
      <c r="I386" s="150">
        <f t="shared" si="11"/>
        <v>366</v>
      </c>
      <c r="J386" s="150">
        <f>IF(_xlfn.XLOOKUP(H386,Korrelation!$B$4:$B$723,Korrelation!$A$4:$A$723,0,0)=0,0,MATCH(_xlfn.XLOOKUP(H386,Korrelation!$B$4:$B$723,Korrelation!$A$4:$A$723,0,0),DMAV_Modell!$G$6:$G$677,0))</f>
        <v>570</v>
      </c>
      <c r="L386" s="51" t="s">
        <v>21</v>
      </c>
      <c r="M386" s="51" t="s">
        <v>546</v>
      </c>
      <c r="N386" s="51" t="s">
        <v>317</v>
      </c>
      <c r="O386" s="52" t="s">
        <v>2801</v>
      </c>
      <c r="P386" s="56"/>
      <c r="Q386" s="52" t="s">
        <v>552</v>
      </c>
      <c r="R386" s="52" t="s">
        <v>553</v>
      </c>
      <c r="T386" s="51" t="s">
        <v>708</v>
      </c>
      <c r="U386" s="51" t="s">
        <v>877</v>
      </c>
      <c r="V386" s="51" t="s">
        <v>798</v>
      </c>
      <c r="W386" s="52" t="s">
        <v>6895</v>
      </c>
      <c r="Y386" s="210" t="s">
        <v>6967</v>
      </c>
      <c r="Z386" s="210" t="s">
        <v>6968</v>
      </c>
      <c r="AB386" s="51" t="s">
        <v>1937</v>
      </c>
      <c r="AC386" s="51" t="s">
        <v>4416</v>
      </c>
      <c r="AD386" s="51" t="s">
        <v>4291</v>
      </c>
      <c r="AE386" s="52" t="s">
        <v>6567</v>
      </c>
      <c r="AG386" s="210" t="s">
        <v>6969</v>
      </c>
      <c r="AH386" s="210" t="s">
        <v>6970</v>
      </c>
    </row>
    <row r="387" spans="1:34" ht="25.5" x14ac:dyDescent="0.25">
      <c r="A387" s="51" t="s">
        <v>3673</v>
      </c>
      <c r="B387" s="51">
        <v>26</v>
      </c>
      <c r="C387" s="51" t="s">
        <v>95</v>
      </c>
      <c r="D387" s="50" t="s">
        <v>72</v>
      </c>
      <c r="E387" s="50" t="s">
        <v>3705</v>
      </c>
      <c r="F387" s="189" t="str" cm="1">
        <f t="array" aca="1" ref="F387" ca="1">IF(I387=0,"",HYPERLINK("#"&amp;RIGHT(CELL("dateiname"),LEN(CELL("dateiname"))-FIND("]",CELL("dateiname")))&amp;"!"&amp;CELL("adresse",OFFSET($C$6,I387-1,0)),"Definition"))</f>
        <v>Definition</v>
      </c>
      <c r="G387" s="189" t="str" cm="1">
        <f t="array" aca="1" ref="G387" ca="1">IF(J387=0,"",HYPERLINK("#"&amp;RIGHT(CELL("adresse",OFFSET(DMAV_Modell!$A$6,J387-1,0)),LEN(CELL("adresse",OFFSET(DMAV_Modell!$A$6,J387-1,0)))-SEARCH("]",CELL("adresse",OFFSET(DMAV_Modell!$A$6,J387-1,0)))),"Modell"))</f>
        <v>Modell</v>
      </c>
      <c r="H387" s="150" t="str">
        <f t="shared" si="10"/>
        <v>DRL26</v>
      </c>
      <c r="I387" s="150">
        <f t="shared" si="11"/>
        <v>368</v>
      </c>
      <c r="J387" s="150">
        <f>IF(_xlfn.XLOOKUP(H387,Korrelation!$B$4:$B$723,Korrelation!$A$4:$A$723,0,0)=0,0,MATCH(_xlfn.XLOOKUP(H387,Korrelation!$B$4:$B$723,Korrelation!$A$4:$A$723,0,0),DMAV_Modell!$G$6:$G$677,0))</f>
        <v>571</v>
      </c>
      <c r="L387" s="51" t="s">
        <v>21</v>
      </c>
      <c r="M387" s="51" t="s">
        <v>546</v>
      </c>
      <c r="N387" s="51" t="s">
        <v>302</v>
      </c>
      <c r="O387" s="52" t="s">
        <v>320</v>
      </c>
      <c r="P387" s="56"/>
      <c r="Q387" s="52" t="s">
        <v>554</v>
      </c>
      <c r="R387" s="52" t="s">
        <v>553</v>
      </c>
      <c r="T387" s="51" t="s">
        <v>708</v>
      </c>
      <c r="U387" s="51" t="s">
        <v>877</v>
      </c>
      <c r="V387" s="51" t="s">
        <v>799</v>
      </c>
      <c r="W387" s="52" t="s">
        <v>6900</v>
      </c>
      <c r="Y387" s="210" t="s">
        <v>6971</v>
      </c>
      <c r="Z387" s="210" t="s">
        <v>6968</v>
      </c>
      <c r="AB387" s="51" t="s">
        <v>1937</v>
      </c>
      <c r="AC387" s="51" t="s">
        <v>4416</v>
      </c>
      <c r="AD387" s="51" t="s">
        <v>4292</v>
      </c>
      <c r="AE387" s="52" t="s">
        <v>6572</v>
      </c>
      <c r="AG387" s="210" t="s">
        <v>6972</v>
      </c>
      <c r="AH387" s="210" t="s">
        <v>6970</v>
      </c>
    </row>
    <row r="388" spans="1:34" ht="25.5" x14ac:dyDescent="0.25">
      <c r="A388" s="51" t="s">
        <v>3673</v>
      </c>
      <c r="B388" s="51">
        <v>27</v>
      </c>
      <c r="C388" s="51" t="s">
        <v>95</v>
      </c>
      <c r="D388" s="50" t="s">
        <v>72</v>
      </c>
      <c r="E388" s="50" t="s">
        <v>3706</v>
      </c>
      <c r="F388" s="189" t="str" cm="1">
        <f t="array" aca="1" ref="F388" ca="1">IF(I388=0,"",HYPERLINK("#"&amp;RIGHT(CELL("dateiname"),LEN(CELL("dateiname"))-FIND("]",CELL("dateiname")))&amp;"!"&amp;CELL("adresse",OFFSET($C$6,I388-1,0)),"Definition"))</f>
        <v>Definition</v>
      </c>
      <c r="G388" s="189" t="str" cm="1">
        <f t="array" aca="1" ref="G388" ca="1">IF(J388=0,"",HYPERLINK("#"&amp;RIGHT(CELL("adresse",OFFSET(DMAV_Modell!$A$6,J388-1,0)),LEN(CELL("adresse",OFFSET(DMAV_Modell!$A$6,J388-1,0)))-SEARCH("]",CELL("adresse",OFFSET(DMAV_Modell!$A$6,J388-1,0)))),"Modell"))</f>
        <v>Modell</v>
      </c>
      <c r="H388" s="150" t="str">
        <f t="shared" si="10"/>
        <v>DRL27</v>
      </c>
      <c r="I388" s="150">
        <f t="shared" si="11"/>
        <v>370</v>
      </c>
      <c r="J388" s="150">
        <f>IF(_xlfn.XLOOKUP(H388,Korrelation!$B$4:$B$723,Korrelation!$A$4:$A$723,0,0)=0,0,MATCH(_xlfn.XLOOKUP(H388,Korrelation!$B$4:$B$723,Korrelation!$A$4:$A$723,0,0),DMAV_Modell!$G$6:$G$677,0))</f>
        <v>572</v>
      </c>
      <c r="L388" s="51" t="s">
        <v>21</v>
      </c>
      <c r="M388" s="51" t="s">
        <v>546</v>
      </c>
      <c r="N388" s="51" t="s">
        <v>304</v>
      </c>
      <c r="O388" s="52" t="s">
        <v>323</v>
      </c>
      <c r="P388" s="56"/>
      <c r="Q388" s="52" t="s">
        <v>555</v>
      </c>
      <c r="R388" s="52" t="s">
        <v>556</v>
      </c>
      <c r="T388" s="51" t="s">
        <v>708</v>
      </c>
      <c r="U388" s="51" t="s">
        <v>877</v>
      </c>
      <c r="V388" s="51" t="s">
        <v>800</v>
      </c>
      <c r="W388" s="52" t="s">
        <v>6905</v>
      </c>
      <c r="Y388" s="210" t="s">
        <v>6973</v>
      </c>
      <c r="Z388" s="210" t="s">
        <v>6968</v>
      </c>
      <c r="AB388" s="51" t="s">
        <v>1937</v>
      </c>
      <c r="AC388" s="51" t="s">
        <v>4416</v>
      </c>
      <c r="AD388" s="51" t="s">
        <v>4293</v>
      </c>
      <c r="AE388" s="52" t="s">
        <v>6576</v>
      </c>
      <c r="AG388" s="210" t="s">
        <v>6974</v>
      </c>
      <c r="AH388" s="210" t="s">
        <v>6970</v>
      </c>
    </row>
    <row r="389" spans="1:34" x14ac:dyDescent="0.25">
      <c r="A389" s="51" t="s">
        <v>3673</v>
      </c>
      <c r="B389" s="51">
        <v>28</v>
      </c>
      <c r="C389" s="51" t="s">
        <v>95</v>
      </c>
      <c r="D389" s="50">
        <v>1</v>
      </c>
      <c r="E389" s="50" t="s">
        <v>3707</v>
      </c>
      <c r="F389" s="189" t="str" cm="1">
        <f t="array" aca="1" ref="F389" ca="1">IF(I389=0,"",HYPERLINK("#"&amp;RIGHT(CELL("dateiname"),LEN(CELL("dateiname"))-FIND("]",CELL("dateiname")))&amp;"!"&amp;CELL("adresse",OFFSET($C$6,I389-1,0)),"Definition"))</f>
        <v>Definition</v>
      </c>
      <c r="G389" s="189" t="str" cm="1">
        <f t="array" aca="1" ref="G389" ca="1">IF(J389=0,"",HYPERLINK("#"&amp;RIGHT(CELL("adresse",OFFSET(DMAV_Modell!$A$6,J389-1,0)),LEN(CELL("adresse",OFFSET(DMAV_Modell!$A$6,J389-1,0)))-SEARCH("]",CELL("adresse",OFFSET(DMAV_Modell!$A$6,J389-1,0)))),"Modell"))</f>
        <v>Modell</v>
      </c>
      <c r="H389" s="150" t="str">
        <f t="shared" si="10"/>
        <v>DRL28</v>
      </c>
      <c r="I389" s="150">
        <f t="shared" si="11"/>
        <v>363</v>
      </c>
      <c r="J389" s="150">
        <f>IF(_xlfn.XLOOKUP(H389,Korrelation!$B$4:$B$723,Korrelation!$A$4:$A$723,0,0)=0,0,MATCH(_xlfn.XLOOKUP(H389,Korrelation!$B$4:$B$723,Korrelation!$A$4:$A$723,0,0),DMAV_Modell!$G$6:$G$677,0))</f>
        <v>569</v>
      </c>
      <c r="L389" s="51" t="s">
        <v>21</v>
      </c>
      <c r="M389" s="51" t="s">
        <v>546</v>
      </c>
      <c r="N389" s="51" t="s">
        <v>393</v>
      </c>
      <c r="O389" s="52" t="s">
        <v>413</v>
      </c>
      <c r="P389" s="56"/>
      <c r="Q389" s="52" t="s">
        <v>557</v>
      </c>
      <c r="R389" s="52"/>
      <c r="T389" s="51" t="s">
        <v>708</v>
      </c>
      <c r="U389" s="51" t="s">
        <v>877</v>
      </c>
      <c r="V389" s="51" t="s">
        <v>814</v>
      </c>
      <c r="W389" s="52" t="s">
        <v>6749</v>
      </c>
      <c r="Y389" s="210" t="s">
        <v>6750</v>
      </c>
      <c r="AB389" s="51" t="s">
        <v>1937</v>
      </c>
      <c r="AC389" s="51" t="s">
        <v>4416</v>
      </c>
      <c r="AD389" s="51" t="s">
        <v>3946</v>
      </c>
      <c r="AE389" s="52" t="s">
        <v>6751</v>
      </c>
      <c r="AG389" s="210" t="s">
        <v>6975</v>
      </c>
    </row>
    <row r="390" spans="1:34" ht="51" x14ac:dyDescent="0.25">
      <c r="A390" s="51" t="s">
        <v>3673</v>
      </c>
      <c r="B390" s="51">
        <v>29</v>
      </c>
      <c r="C390" s="51" t="s">
        <v>95</v>
      </c>
      <c r="D390" s="50" t="s">
        <v>72</v>
      </c>
      <c r="E390" s="50" t="s">
        <v>3683</v>
      </c>
      <c r="F390" s="189" t="str" cm="1">
        <f t="array" aca="1" ref="F390" ca="1">IF(I390=0,"",HYPERLINK("#"&amp;RIGHT(CELL("dateiname"),LEN(CELL("dateiname"))-FIND("]",CELL("dateiname")))&amp;"!"&amp;CELL("adresse",OFFSET($C$6,I390-1,0)),"Definition"))</f>
        <v>Definition</v>
      </c>
      <c r="G390" s="189" t="str" cm="1">
        <f t="array" aca="1" ref="G390" ca="1">IF(J390=0,"",HYPERLINK("#"&amp;RIGHT(CELL("adresse",OFFSET(DMAV_Modell!$A$6,J390-1,0)),LEN(CELL("adresse",OFFSET(DMAV_Modell!$A$6,J390-1,0)))-SEARCH("]",CELL("adresse",OFFSET(DMAV_Modell!$A$6,J390-1,0)))),"Modell"))</f>
        <v>Modell</v>
      </c>
      <c r="H390" s="150" t="str">
        <f t="shared" si="10"/>
        <v>DRL29</v>
      </c>
      <c r="I390" s="150">
        <f t="shared" si="11"/>
        <v>32</v>
      </c>
      <c r="J390" s="150">
        <f>IF(_xlfn.XLOOKUP(H390,Korrelation!$B$4:$B$723,Korrelation!$A$4:$A$723,0,0)=0,0,MATCH(_xlfn.XLOOKUP(H390,Korrelation!$B$4:$B$723,Korrelation!$A$4:$A$723,0,0),DMAV_Modell!$G$6:$G$677,0))</f>
        <v>573</v>
      </c>
      <c r="L390" s="51" t="s">
        <v>21</v>
      </c>
      <c r="M390" s="51" t="s">
        <v>546</v>
      </c>
      <c r="N390" s="51" t="s">
        <v>77</v>
      </c>
      <c r="O390" s="52" t="s">
        <v>250</v>
      </c>
      <c r="P390" s="56"/>
      <c r="Q390" s="52" t="s">
        <v>558</v>
      </c>
      <c r="R390" s="52"/>
      <c r="T390" s="51" t="s">
        <v>708</v>
      </c>
      <c r="U390" s="51" t="s">
        <v>877</v>
      </c>
      <c r="V390" s="51" t="s">
        <v>729</v>
      </c>
      <c r="W390" s="52" t="s">
        <v>6428</v>
      </c>
      <c r="Y390" s="210" t="s">
        <v>6976</v>
      </c>
      <c r="AB390" s="51" t="s">
        <v>1937</v>
      </c>
      <c r="AC390" s="51" t="s">
        <v>4416</v>
      </c>
      <c r="AD390" s="51" t="s">
        <v>3933</v>
      </c>
      <c r="AE390" s="52" t="s">
        <v>6363</v>
      </c>
      <c r="AG390" s="210" t="s">
        <v>6977</v>
      </c>
    </row>
    <row r="391" spans="1:34" x14ac:dyDescent="0.25">
      <c r="A391" s="51" t="s">
        <v>3673</v>
      </c>
      <c r="B391" s="51">
        <v>30</v>
      </c>
      <c r="C391" s="51" t="s">
        <v>95</v>
      </c>
      <c r="D391" s="50">
        <v>1</v>
      </c>
      <c r="F391" s="189" t="str" cm="1">
        <f t="array" aca="1" ref="F391" ca="1">IF(I391=0,"",HYPERLINK("#"&amp;RIGHT(CELL("dateiname"),LEN(CELL("dateiname"))-FIND("]",CELL("dateiname")))&amp;"!"&amp;CELL("adresse",OFFSET($C$6,I391-1,0)),"Definition"))</f>
        <v/>
      </c>
      <c r="G391" s="189" t="str" cm="1">
        <f t="array" aca="1" ref="G391" ca="1">IF(J391=0,"",HYPERLINK("#"&amp;RIGHT(CELL("adresse",OFFSET(DMAV_Modell!$A$6,J391-1,0)),LEN(CELL("adresse",OFFSET(DMAV_Modell!$A$6,J391-1,0)))-SEARCH("]",CELL("adresse",OFFSET(DMAV_Modell!$A$6,J391-1,0)))),"Modell"))</f>
        <v>Modell</v>
      </c>
      <c r="H391" s="150" t="str">
        <f t="shared" ref="H391:H454" si="12">A391&amp;B391</f>
        <v>DRL30</v>
      </c>
      <c r="I391" s="150">
        <f t="shared" ref="I391:I454" si="13">IF(E391="",0,MATCH(E391,$H$6:$H$483,0))</f>
        <v>0</v>
      </c>
      <c r="J391" s="150">
        <f>IF(_xlfn.XLOOKUP(H391,Korrelation!$B$4:$B$723,Korrelation!$A$4:$A$723,0,0)=0,0,MATCH(_xlfn.XLOOKUP(H391,Korrelation!$B$4:$B$723,Korrelation!$A$4:$A$723,0,0),DMAV_Modell!$G$6:$G$677,0))</f>
        <v>577</v>
      </c>
      <c r="L391" s="51" t="s">
        <v>21</v>
      </c>
      <c r="M391" s="51" t="s">
        <v>528</v>
      </c>
      <c r="N391" s="51" t="s">
        <v>121</v>
      </c>
      <c r="O391" s="52" t="s">
        <v>97</v>
      </c>
      <c r="P391" s="56"/>
      <c r="Q391" s="52" t="s">
        <v>559</v>
      </c>
      <c r="R391" s="52"/>
      <c r="T391" s="51" t="s">
        <v>708</v>
      </c>
      <c r="U391" s="51" t="s">
        <v>528</v>
      </c>
      <c r="V391" s="51" t="s">
        <v>742</v>
      </c>
      <c r="W391" s="52" t="s">
        <v>97</v>
      </c>
      <c r="Y391" s="210" t="s">
        <v>6978</v>
      </c>
      <c r="AB391" s="51" t="s">
        <v>1937</v>
      </c>
      <c r="AC391" s="51" t="s">
        <v>1969</v>
      </c>
      <c r="AD391" s="51" t="s">
        <v>742</v>
      </c>
      <c r="AE391" s="52" t="s">
        <v>97</v>
      </c>
      <c r="AG391" s="210" t="s">
        <v>6979</v>
      </c>
    </row>
    <row r="392" spans="1:34" x14ac:dyDescent="0.25">
      <c r="A392" s="51" t="s">
        <v>3673</v>
      </c>
      <c r="B392" s="51">
        <v>31</v>
      </c>
      <c r="C392" s="51" t="s">
        <v>95</v>
      </c>
      <c r="D392" s="50">
        <v>1</v>
      </c>
      <c r="E392" s="50" t="s">
        <v>3708</v>
      </c>
      <c r="F392" s="189" t="str" cm="1">
        <f t="array" aca="1" ref="F392" ca="1">IF(I392=0,"",HYPERLINK("#"&amp;RIGHT(CELL("dateiname"),LEN(CELL("dateiname"))-FIND("]",CELL("dateiname")))&amp;"!"&amp;CELL("adresse",OFFSET($C$6,I392-1,0)),"Definition"))</f>
        <v>Definition</v>
      </c>
      <c r="G392" s="189" t="str" cm="1">
        <f t="array" aca="1" ref="G392" ca="1">IF(J392=0,"",HYPERLINK("#"&amp;RIGHT(CELL("adresse",OFFSET(DMAV_Modell!$A$6,J392-1,0)),LEN(CELL("adresse",OFFSET(DMAV_Modell!$A$6,J392-1,0)))-SEARCH("]",CELL("adresse",OFFSET(DMAV_Modell!$A$6,J392-1,0)))),"Modell"))</f>
        <v>Modell</v>
      </c>
      <c r="H392" s="150" t="str">
        <f t="shared" si="12"/>
        <v>DRL31</v>
      </c>
      <c r="I392" s="150">
        <f t="shared" si="13"/>
        <v>360</v>
      </c>
      <c r="J392" s="150">
        <f>IF(_xlfn.XLOOKUP(H392,Korrelation!$B$4:$B$723,Korrelation!$A$4:$A$723,0,0)=0,0,MATCH(_xlfn.XLOOKUP(H392,Korrelation!$B$4:$B$723,Korrelation!$A$4:$A$723,0,0),DMAV_Modell!$G$6:$G$677,0))</f>
        <v>583</v>
      </c>
      <c r="L392" s="51" t="s">
        <v>21</v>
      </c>
      <c r="M392" s="51" t="s">
        <v>528</v>
      </c>
      <c r="N392" s="51" t="s">
        <v>527</v>
      </c>
      <c r="O392" s="52" t="s">
        <v>560</v>
      </c>
      <c r="P392" s="56"/>
      <c r="Q392" s="52" t="s">
        <v>561</v>
      </c>
      <c r="R392" s="52"/>
      <c r="T392" s="51" t="s">
        <v>708</v>
      </c>
      <c r="U392" s="51" t="s">
        <v>528</v>
      </c>
      <c r="V392" s="51" t="s">
        <v>872</v>
      </c>
      <c r="W392" s="52" t="s">
        <v>6980</v>
      </c>
      <c r="Y392" s="210" t="s">
        <v>6981</v>
      </c>
      <c r="AB392" s="51" t="s">
        <v>1937</v>
      </c>
      <c r="AC392" s="51" t="s">
        <v>1969</v>
      </c>
      <c r="AD392" s="51" t="s">
        <v>4422</v>
      </c>
      <c r="AE392" s="52" t="s">
        <v>6982</v>
      </c>
      <c r="AG392" s="210" t="s">
        <v>6983</v>
      </c>
    </row>
    <row r="393" spans="1:34" x14ac:dyDescent="0.25">
      <c r="A393" s="51" t="s">
        <v>3673</v>
      </c>
      <c r="B393" s="51">
        <v>32</v>
      </c>
      <c r="C393" s="51" t="s">
        <v>95</v>
      </c>
      <c r="D393" s="50">
        <v>1</v>
      </c>
      <c r="E393" s="50" t="s">
        <v>3703</v>
      </c>
      <c r="F393" s="189" t="str" cm="1">
        <f t="array" aca="1" ref="F393" ca="1">IF(I393=0,"",HYPERLINK("#"&amp;RIGHT(CELL("dateiname"),LEN(CELL("dateiname"))-FIND("]",CELL("dateiname")))&amp;"!"&amp;CELL("adresse",OFFSET($C$6,I393-1,0)),"Definition"))</f>
        <v>Definition</v>
      </c>
      <c r="G393" s="189" t="str" cm="1">
        <f t="array" aca="1" ref="G393" ca="1">IF(J393=0,"",HYPERLINK("#"&amp;RIGHT(CELL("adresse",OFFSET(DMAV_Modell!$A$6,J393-1,0)),LEN(CELL("adresse",OFFSET(DMAV_Modell!$A$6,J393-1,0)))-SEARCH("]",CELL("adresse",OFFSET(DMAV_Modell!$A$6,J393-1,0)))),"Modell"))</f>
        <v>Modell</v>
      </c>
      <c r="H393" s="150" t="str">
        <f t="shared" si="12"/>
        <v>DRL32</v>
      </c>
      <c r="I393" s="150">
        <f t="shared" si="13"/>
        <v>357</v>
      </c>
      <c r="J393" s="150">
        <f>IF(_xlfn.XLOOKUP(H393,Korrelation!$B$4:$B$723,Korrelation!$A$4:$A$723,0,0)=0,0,MATCH(_xlfn.XLOOKUP(H393,Korrelation!$B$4:$B$723,Korrelation!$A$4:$A$723,0,0),DMAV_Modell!$G$6:$G$677,0))</f>
        <v>581</v>
      </c>
      <c r="L393" s="51" t="s">
        <v>21</v>
      </c>
      <c r="M393" s="51" t="s">
        <v>528</v>
      </c>
      <c r="N393" s="51" t="s">
        <v>521</v>
      </c>
      <c r="O393" s="52" t="s">
        <v>547</v>
      </c>
      <c r="P393" s="56"/>
      <c r="Q393" s="52" t="s">
        <v>548</v>
      </c>
      <c r="R393" s="52"/>
      <c r="T393" s="51" t="s">
        <v>708</v>
      </c>
      <c r="U393" s="51" t="s">
        <v>528</v>
      </c>
      <c r="V393" s="51" t="s">
        <v>868</v>
      </c>
      <c r="W393" s="52" t="s">
        <v>6957</v>
      </c>
      <c r="Y393" s="210" t="s">
        <v>6958</v>
      </c>
      <c r="AB393" s="51" t="s">
        <v>1937</v>
      </c>
      <c r="AC393" s="51" t="s">
        <v>1969</v>
      </c>
      <c r="AD393" s="51" t="s">
        <v>6959</v>
      </c>
      <c r="AE393" s="52" t="s">
        <v>6960</v>
      </c>
      <c r="AG393" s="210" t="s">
        <v>6961</v>
      </c>
    </row>
    <row r="394" spans="1:34" x14ac:dyDescent="0.25">
      <c r="A394" s="51" t="s">
        <v>3673</v>
      </c>
      <c r="B394" s="51">
        <v>33</v>
      </c>
      <c r="C394" s="51" t="s">
        <v>95</v>
      </c>
      <c r="D394" s="50">
        <v>1</v>
      </c>
      <c r="F394" s="189" t="str" cm="1">
        <f t="array" aca="1" ref="F394" ca="1">IF(I394=0,"",HYPERLINK("#"&amp;RIGHT(CELL("dateiname"),LEN(CELL("dateiname"))-FIND("]",CELL("dateiname")))&amp;"!"&amp;CELL("adresse",OFFSET($C$6,I394-1,0)),"Definition"))</f>
        <v/>
      </c>
      <c r="G394" s="189" t="str" cm="1">
        <f t="array" aca="1" ref="G394" ca="1">IF(J394=0,"",HYPERLINK("#"&amp;RIGHT(CELL("adresse",OFFSET(DMAV_Modell!$A$6,J394-1,0)),LEN(CELL("adresse",OFFSET(DMAV_Modell!$A$6,J394-1,0)))-SEARCH("]",CELL("adresse",OFFSET(DMAV_Modell!$A$6,J394-1,0)))),"Modell"))</f>
        <v>Modell</v>
      </c>
      <c r="H394" s="150" t="str">
        <f t="shared" si="12"/>
        <v>DRL33</v>
      </c>
      <c r="I394" s="150">
        <f t="shared" si="13"/>
        <v>0</v>
      </c>
      <c r="J394" s="150">
        <f>IF(_xlfn.XLOOKUP(H394,Korrelation!$B$4:$B$723,Korrelation!$A$4:$A$723,0,0)=0,0,MATCH(_xlfn.XLOOKUP(H394,Korrelation!$B$4:$B$723,Korrelation!$A$4:$A$723,0,0),DMAV_Modell!$G$6:$G$677,0))</f>
        <v>578</v>
      </c>
      <c r="L394" s="51" t="s">
        <v>21</v>
      </c>
      <c r="M394" s="51" t="s">
        <v>528</v>
      </c>
      <c r="N394" s="51" t="s">
        <v>549</v>
      </c>
      <c r="O394" s="52" t="s">
        <v>135</v>
      </c>
      <c r="P394" s="56"/>
      <c r="Q394" s="52" t="s">
        <v>550</v>
      </c>
      <c r="R394" s="52"/>
      <c r="T394" s="51" t="s">
        <v>708</v>
      </c>
      <c r="U394" s="51" t="s">
        <v>528</v>
      </c>
      <c r="V394" s="51" t="s">
        <v>878</v>
      </c>
      <c r="W394" s="52" t="s">
        <v>135</v>
      </c>
      <c r="Y394" s="210" t="s">
        <v>6962</v>
      </c>
      <c r="AB394" s="51" t="s">
        <v>1937</v>
      </c>
      <c r="AC394" s="51" t="s">
        <v>1969</v>
      </c>
      <c r="AD394" s="51" t="s">
        <v>6963</v>
      </c>
      <c r="AE394" s="52" t="s">
        <v>135</v>
      </c>
      <c r="AG394" s="210" t="s">
        <v>6964</v>
      </c>
    </row>
    <row r="395" spans="1:34" ht="38.25" x14ac:dyDescent="0.25">
      <c r="A395" s="51" t="s">
        <v>3673</v>
      </c>
      <c r="B395" s="51">
        <v>34</v>
      </c>
      <c r="C395" s="51" t="s">
        <v>95</v>
      </c>
      <c r="D395" s="50">
        <v>1</v>
      </c>
      <c r="E395" s="50" t="s">
        <v>3686</v>
      </c>
      <c r="F395" s="189" t="str" cm="1">
        <f t="array" aca="1" ref="F395" ca="1">IF(I395=0,"",HYPERLINK("#"&amp;RIGHT(CELL("dateiname"),LEN(CELL("dateiname"))-FIND("]",CELL("dateiname")))&amp;"!"&amp;CELL("adresse",OFFSET($C$6,I395-1,0)),"Definition"))</f>
        <v>Definition</v>
      </c>
      <c r="G395" s="189" t="str" cm="1">
        <f t="array" aca="1" ref="G395" ca="1">IF(J395=0,"",HYPERLINK("#"&amp;RIGHT(CELL("adresse",OFFSET(DMAV_Modell!$A$6,J395-1,0)),LEN(CELL("adresse",OFFSET(DMAV_Modell!$A$6,J395-1,0)))-SEARCH("]",CELL("adresse",OFFSET(DMAV_Modell!$A$6,J395-1,0)))),"Modell"))</f>
        <v>Modell</v>
      </c>
      <c r="H395" s="150" t="str">
        <f t="shared" si="12"/>
        <v>DRL34</v>
      </c>
      <c r="I395" s="150">
        <f t="shared" si="13"/>
        <v>13</v>
      </c>
      <c r="J395" s="150">
        <f>IF(_xlfn.XLOOKUP(H395,Korrelation!$B$4:$B$723,Korrelation!$A$4:$A$723,0,0)=0,0,MATCH(_xlfn.XLOOKUP(H395,Korrelation!$B$4:$B$723,Korrelation!$A$4:$A$723,0,0),DMAV_Modell!$G$6:$G$677,0))</f>
        <v>580</v>
      </c>
      <c r="L395" s="51" t="s">
        <v>21</v>
      </c>
      <c r="M395" s="51" t="s">
        <v>528</v>
      </c>
      <c r="N395" s="51" t="s">
        <v>265</v>
      </c>
      <c r="O395" s="52" t="s">
        <v>2800</v>
      </c>
      <c r="P395" s="56"/>
      <c r="Q395" s="52" t="s">
        <v>551</v>
      </c>
      <c r="R395" s="52"/>
      <c r="T395" s="51" t="s">
        <v>708</v>
      </c>
      <c r="U395" s="51" t="s">
        <v>528</v>
      </c>
      <c r="V395" s="51" t="s">
        <v>711</v>
      </c>
      <c r="W395" s="52" t="s">
        <v>6743</v>
      </c>
      <c r="Y395" s="210" t="s">
        <v>6965</v>
      </c>
      <c r="AB395" s="51" t="s">
        <v>1937</v>
      </c>
      <c r="AC395" s="51" t="s">
        <v>1969</v>
      </c>
      <c r="AD395" s="51" t="s">
        <v>1976</v>
      </c>
      <c r="AE395" s="52" t="s">
        <v>6454</v>
      </c>
      <c r="AG395" s="210" t="s">
        <v>6966</v>
      </c>
    </row>
    <row r="396" spans="1:34" ht="38.25" x14ac:dyDescent="0.25">
      <c r="A396" s="51" t="s">
        <v>3673</v>
      </c>
      <c r="B396" s="51">
        <v>35</v>
      </c>
      <c r="C396" s="51" t="s">
        <v>95</v>
      </c>
      <c r="D396" s="50">
        <v>1</v>
      </c>
      <c r="F396" s="189" t="str" cm="1">
        <f t="array" aca="1" ref="F396" ca="1">IF(I396=0,"",HYPERLINK("#"&amp;RIGHT(CELL("dateiname"),LEN(CELL("dateiname"))-FIND("]",CELL("dateiname")))&amp;"!"&amp;CELL("adresse",OFFSET($C$6,I396-1,0)),"Definition"))</f>
        <v/>
      </c>
      <c r="G396" s="189" t="str" cm="1">
        <f t="array" aca="1" ref="G396" ca="1">IF(J396=0,"",HYPERLINK("#"&amp;RIGHT(CELL("adresse",OFFSET(DMAV_Modell!$A$6,J396-1,0)),LEN(CELL("adresse",OFFSET(DMAV_Modell!$A$6,J396-1,0)))-SEARCH("]",CELL("adresse",OFFSET(DMAV_Modell!$A$6,J396-1,0)))),"Modell"))</f>
        <v>Modell</v>
      </c>
      <c r="H396" s="150" t="str">
        <f t="shared" si="12"/>
        <v>DRL35</v>
      </c>
      <c r="I396" s="150">
        <f t="shared" si="13"/>
        <v>0</v>
      </c>
      <c r="J396" s="150">
        <f>IF(_xlfn.XLOOKUP(H396,Korrelation!$B$4:$B$723,Korrelation!$A$4:$A$723,0,0)=0,0,MATCH(_xlfn.XLOOKUP(H396,Korrelation!$B$4:$B$723,Korrelation!$A$4:$A$723,0,0),DMAV_Modell!$G$6:$G$677,0))</f>
        <v>579</v>
      </c>
      <c r="L396" s="51" t="s">
        <v>21</v>
      </c>
      <c r="M396" s="51" t="s">
        <v>528</v>
      </c>
      <c r="N396" s="51" t="s">
        <v>123</v>
      </c>
      <c r="O396" s="52" t="s">
        <v>69</v>
      </c>
      <c r="P396" s="56"/>
      <c r="Q396" s="52" t="s">
        <v>562</v>
      </c>
      <c r="R396" s="52" t="s">
        <v>94</v>
      </c>
      <c r="T396" s="51" t="s">
        <v>708</v>
      </c>
      <c r="U396" s="51" t="s">
        <v>528</v>
      </c>
      <c r="V396" s="51" t="s">
        <v>123</v>
      </c>
      <c r="W396" s="52" t="s">
        <v>69</v>
      </c>
      <c r="Y396" s="210" t="s">
        <v>6984</v>
      </c>
      <c r="Z396" s="210" t="s">
        <v>6166</v>
      </c>
      <c r="AB396" s="51" t="s">
        <v>1937</v>
      </c>
      <c r="AC396" s="51" t="s">
        <v>1969</v>
      </c>
      <c r="AD396" s="51" t="s">
        <v>1247</v>
      </c>
      <c r="AE396" s="52" t="s">
        <v>69</v>
      </c>
      <c r="AG396" s="210" t="s">
        <v>6985</v>
      </c>
      <c r="AH396" s="210" t="s">
        <v>6308</v>
      </c>
    </row>
    <row r="397" spans="1:34" x14ac:dyDescent="0.25">
      <c r="A397" s="51" t="s">
        <v>3673</v>
      </c>
      <c r="B397" s="51">
        <v>36</v>
      </c>
      <c r="C397" s="51" t="s">
        <v>95</v>
      </c>
      <c r="D397" s="50">
        <v>1</v>
      </c>
      <c r="E397" s="50" t="s">
        <v>3707</v>
      </c>
      <c r="F397" s="189" t="str" cm="1">
        <f t="array" aca="1" ref="F397" ca="1">IF(I397=0,"",HYPERLINK("#"&amp;RIGHT(CELL("dateiname"),LEN(CELL("dateiname"))-FIND("]",CELL("dateiname")))&amp;"!"&amp;CELL("adresse",OFFSET($C$6,I397-1,0)),"Definition"))</f>
        <v>Definition</v>
      </c>
      <c r="G397" s="189" t="str" cm="1">
        <f t="array" aca="1" ref="G397" ca="1">IF(J397=0,"",HYPERLINK("#"&amp;RIGHT(CELL("adresse",OFFSET(DMAV_Modell!$A$6,J397-1,0)),LEN(CELL("adresse",OFFSET(DMAV_Modell!$A$6,J397-1,0)))-SEARCH("]",CELL("adresse",OFFSET(DMAV_Modell!$A$6,J397-1,0)))),"Modell"))</f>
        <v>Modell</v>
      </c>
      <c r="H397" s="150" t="str">
        <f t="shared" si="12"/>
        <v>DRL36</v>
      </c>
      <c r="I397" s="150">
        <f t="shared" si="13"/>
        <v>363</v>
      </c>
      <c r="J397" s="150">
        <f>IF(_xlfn.XLOOKUP(H397,Korrelation!$B$4:$B$723,Korrelation!$A$4:$A$723,0,0)=0,0,MATCH(_xlfn.XLOOKUP(H397,Korrelation!$B$4:$B$723,Korrelation!$A$4:$A$723,0,0),DMAV_Modell!$G$6:$G$677,0))</f>
        <v>582</v>
      </c>
      <c r="L397" s="51" t="s">
        <v>21</v>
      </c>
      <c r="M397" s="51" t="s">
        <v>528</v>
      </c>
      <c r="N397" s="51" t="s">
        <v>393</v>
      </c>
      <c r="O397" s="52" t="s">
        <v>413</v>
      </c>
      <c r="P397" s="56"/>
      <c r="Q397" s="52" t="s">
        <v>557</v>
      </c>
      <c r="R397" s="52"/>
      <c r="T397" s="51" t="s">
        <v>708</v>
      </c>
      <c r="U397" s="51" t="s">
        <v>528</v>
      </c>
      <c r="V397" s="51" t="s">
        <v>814</v>
      </c>
      <c r="W397" s="52" t="s">
        <v>6749</v>
      </c>
      <c r="Y397" s="210" t="s">
        <v>6750</v>
      </c>
      <c r="AB397" s="51" t="s">
        <v>1937</v>
      </c>
      <c r="AC397" s="51" t="s">
        <v>1969</v>
      </c>
      <c r="AD397" s="51" t="s">
        <v>3946</v>
      </c>
      <c r="AE397" s="52" t="s">
        <v>6751</v>
      </c>
      <c r="AG397" s="210" t="s">
        <v>6975</v>
      </c>
    </row>
    <row r="398" spans="1:34" x14ac:dyDescent="0.25">
      <c r="A398" s="51" t="s">
        <v>3673</v>
      </c>
      <c r="B398" s="51">
        <v>37</v>
      </c>
      <c r="C398" s="51" t="s">
        <v>95</v>
      </c>
      <c r="D398" s="50" t="s">
        <v>72</v>
      </c>
      <c r="F398" s="189" t="str" cm="1">
        <f t="array" aca="1" ref="F398" ca="1">IF(I398=0,"",HYPERLINK("#"&amp;RIGHT(CELL("dateiname"),LEN(CELL("dateiname"))-FIND("]",CELL("dateiname")))&amp;"!"&amp;CELL("adresse",OFFSET($C$6,I398-1,0)),"Definition"))</f>
        <v/>
      </c>
      <c r="G398" s="189" t="str" cm="1">
        <f t="array" aca="1" ref="G398" ca="1">IF(J398=0,"",HYPERLINK("#"&amp;RIGHT(CELL("adresse",OFFSET(DMAV_Modell!$A$6,J398-1,0)),LEN(CELL("adresse",OFFSET(DMAV_Modell!$A$6,J398-1,0)))-SEARCH("]",CELL("adresse",OFFSET(DMAV_Modell!$A$6,J398-1,0)))),"Modell"))</f>
        <v>Modell</v>
      </c>
      <c r="H398" s="150" t="str">
        <f t="shared" si="12"/>
        <v>DRL37</v>
      </c>
      <c r="I398" s="150">
        <f t="shared" si="13"/>
        <v>0</v>
      </c>
      <c r="J398" s="150">
        <f>IF(_xlfn.XLOOKUP(H398,Korrelation!$B$4:$B$723,Korrelation!$A$4:$A$723,0,0)=0,0,MATCH(_xlfn.XLOOKUP(H398,Korrelation!$B$4:$B$723,Korrelation!$A$4:$A$723,0,0),DMAV_Modell!$G$6:$G$677,0))</f>
        <v>584</v>
      </c>
      <c r="L398" s="51" t="s">
        <v>21</v>
      </c>
      <c r="M398" s="51" t="s">
        <v>528</v>
      </c>
      <c r="N398" s="51" t="s">
        <v>149</v>
      </c>
      <c r="O398" s="52" t="s">
        <v>73</v>
      </c>
      <c r="P398" s="56" t="s">
        <v>3729</v>
      </c>
      <c r="Q398" s="52" t="s">
        <v>563</v>
      </c>
      <c r="R398" s="52"/>
      <c r="T398" s="51" t="s">
        <v>708</v>
      </c>
      <c r="U398" s="51" t="s">
        <v>528</v>
      </c>
      <c r="V398" s="51" t="s">
        <v>756</v>
      </c>
      <c r="W398" s="52" t="s">
        <v>73</v>
      </c>
      <c r="X398" s="209" t="s">
        <v>3729</v>
      </c>
      <c r="Y398" s="210" t="s">
        <v>6986</v>
      </c>
      <c r="AB398" s="51" t="s">
        <v>1937</v>
      </c>
      <c r="AC398" s="51" t="s">
        <v>1969</v>
      </c>
      <c r="AD398" s="51" t="s">
        <v>4034</v>
      </c>
      <c r="AE398" s="52" t="s">
        <v>73</v>
      </c>
      <c r="AF398" s="209" t="s">
        <v>3729</v>
      </c>
      <c r="AG398" s="210" t="s">
        <v>6987</v>
      </c>
    </row>
    <row r="399" spans="1:34" ht="51" x14ac:dyDescent="0.25">
      <c r="A399" s="51" t="s">
        <v>3673</v>
      </c>
      <c r="B399" s="51">
        <v>38</v>
      </c>
      <c r="C399" s="51" t="s">
        <v>95</v>
      </c>
      <c r="D399" s="50" t="s">
        <v>72</v>
      </c>
      <c r="E399" s="50" t="s">
        <v>3683</v>
      </c>
      <c r="F399" s="189" t="str" cm="1">
        <f t="array" aca="1" ref="F399" ca="1">IF(I399=0,"",HYPERLINK("#"&amp;RIGHT(CELL("dateiname"),LEN(CELL("dateiname"))-FIND("]",CELL("dateiname")))&amp;"!"&amp;CELL("adresse",OFFSET($C$6,I399-1,0)),"Definition"))</f>
        <v>Definition</v>
      </c>
      <c r="G399" s="189" t="str" cm="1">
        <f t="array" aca="1" ref="G399" ca="1">IF(J399=0,"",HYPERLINK("#"&amp;RIGHT(CELL("adresse",OFFSET(DMAV_Modell!$A$6,J399-1,0)),LEN(CELL("adresse",OFFSET(DMAV_Modell!$A$6,J399-1,0)))-SEARCH("]",CELL("adresse",OFFSET(DMAV_Modell!$A$6,J399-1,0)))),"Modell"))</f>
        <v>Modell</v>
      </c>
      <c r="H399" s="150" t="str">
        <f t="shared" si="12"/>
        <v>DRL38</v>
      </c>
      <c r="I399" s="150">
        <f t="shared" si="13"/>
        <v>32</v>
      </c>
      <c r="J399" s="150">
        <f>IF(_xlfn.XLOOKUP(H399,Korrelation!$B$4:$B$723,Korrelation!$A$4:$A$723,0,0)=0,0,MATCH(_xlfn.XLOOKUP(H399,Korrelation!$B$4:$B$723,Korrelation!$A$4:$A$723,0,0),DMAV_Modell!$G$6:$G$677,0))</f>
        <v>585</v>
      </c>
      <c r="L399" s="51" t="s">
        <v>21</v>
      </c>
      <c r="M399" s="51" t="s">
        <v>528</v>
      </c>
      <c r="N399" s="51" t="s">
        <v>77</v>
      </c>
      <c r="O399" s="52" t="s">
        <v>250</v>
      </c>
      <c r="P399" s="56"/>
      <c r="Q399" s="52" t="s">
        <v>564</v>
      </c>
      <c r="R399" s="52"/>
      <c r="T399" s="51" t="s">
        <v>708</v>
      </c>
      <c r="U399" s="51" t="s">
        <v>528</v>
      </c>
      <c r="V399" s="51" t="s">
        <v>729</v>
      </c>
      <c r="W399" s="52" t="s">
        <v>6428</v>
      </c>
      <c r="Y399" s="210" t="s">
        <v>6988</v>
      </c>
      <c r="AB399" s="51" t="s">
        <v>1937</v>
      </c>
      <c r="AC399" s="51" t="s">
        <v>1969</v>
      </c>
      <c r="AD399" s="51" t="s">
        <v>3933</v>
      </c>
      <c r="AE399" s="52" t="s">
        <v>6363</v>
      </c>
      <c r="AG399" s="210" t="s">
        <v>6989</v>
      </c>
    </row>
    <row r="400" spans="1:34" x14ac:dyDescent="0.25">
      <c r="A400" s="51" t="s">
        <v>3673</v>
      </c>
      <c r="B400" s="51">
        <v>39</v>
      </c>
      <c r="C400" s="51" t="s">
        <v>95</v>
      </c>
      <c r="D400" s="50" t="s">
        <v>72</v>
      </c>
      <c r="F400" s="189" t="str" cm="1">
        <f t="array" aca="1" ref="F400" ca="1">IF(I400=0,"",HYPERLINK("#"&amp;RIGHT(CELL("dateiname"),LEN(CELL("dateiname"))-FIND("]",CELL("dateiname")))&amp;"!"&amp;CELL("adresse",OFFSET($C$6,I400-1,0)),"Definition"))</f>
        <v/>
      </c>
      <c r="G400" s="189" t="str" cm="1">
        <f t="array" aca="1" ref="G400" ca="1">IF(J400=0,"",HYPERLINK("#"&amp;RIGHT(CELL("adresse",OFFSET(DMAV_Modell!$A$6,J400-1,0)),LEN(CELL("adresse",OFFSET(DMAV_Modell!$A$6,J400-1,0)))-SEARCH("]",CELL("adresse",OFFSET(DMAV_Modell!$A$6,J400-1,0)))),"Modell"))</f>
        <v>Modell</v>
      </c>
      <c r="H400" s="150" t="str">
        <f t="shared" si="12"/>
        <v>DRL39</v>
      </c>
      <c r="I400" s="150">
        <f t="shared" si="13"/>
        <v>0</v>
      </c>
      <c r="J400" s="150">
        <f>IF(_xlfn.XLOOKUP(H400,Korrelation!$B$4:$B$723,Korrelation!$A$4:$A$723,0,0)=0,0,MATCH(_xlfn.XLOOKUP(H400,Korrelation!$B$4:$B$723,Korrelation!$A$4:$A$723,0,0),DMAV_Modell!$G$6:$G$677,0))</f>
        <v>588</v>
      </c>
      <c r="L400" s="51" t="s">
        <v>21</v>
      </c>
      <c r="M400" s="51" t="s">
        <v>422</v>
      </c>
      <c r="N400" s="51" t="s">
        <v>121</v>
      </c>
      <c r="O400" s="52" t="s">
        <v>97</v>
      </c>
      <c r="P400" s="56"/>
      <c r="Q400" s="52" t="s">
        <v>122</v>
      </c>
      <c r="R400" s="52"/>
      <c r="T400" s="51" t="s">
        <v>708</v>
      </c>
      <c r="U400" s="51" t="s">
        <v>822</v>
      </c>
      <c r="V400" s="51" t="s">
        <v>742</v>
      </c>
      <c r="W400" s="52" t="s">
        <v>97</v>
      </c>
      <c r="Y400" s="210" t="s">
        <v>6198</v>
      </c>
      <c r="AB400" s="51" t="s">
        <v>1937</v>
      </c>
      <c r="AC400" s="51" t="s">
        <v>4388</v>
      </c>
      <c r="AD400" s="51" t="s">
        <v>742</v>
      </c>
      <c r="AE400" s="52" t="s">
        <v>6990</v>
      </c>
      <c r="AG400" s="210" t="s">
        <v>6338</v>
      </c>
    </row>
    <row r="401" spans="1:34" ht="38.25" x14ac:dyDescent="0.25">
      <c r="A401" s="51" t="s">
        <v>3673</v>
      </c>
      <c r="B401" s="51">
        <v>40</v>
      </c>
      <c r="C401" s="51" t="s">
        <v>95</v>
      </c>
      <c r="D401" s="50">
        <v>1</v>
      </c>
      <c r="F401" s="189" t="str" cm="1">
        <f t="array" aca="1" ref="F401" ca="1">IF(I401=0,"",HYPERLINK("#"&amp;RIGHT(CELL("dateiname"),LEN(CELL("dateiname"))-FIND("]",CELL("dateiname")))&amp;"!"&amp;CELL("adresse",OFFSET($C$6,I401-1,0)),"Definition"))</f>
        <v/>
      </c>
      <c r="G401" s="189" t="str" cm="1">
        <f t="array" aca="1" ref="G401" ca="1">IF(J401=0,"",HYPERLINK("#"&amp;RIGHT(CELL("adresse",OFFSET(DMAV_Modell!$A$6,J401-1,0)),LEN(CELL("adresse",OFFSET(DMAV_Modell!$A$6,J401-1,0)))-SEARCH("]",CELL("adresse",OFFSET(DMAV_Modell!$A$6,J401-1,0)))),"Modell"))</f>
        <v>Modell</v>
      </c>
      <c r="H401" s="150" t="str">
        <f t="shared" si="12"/>
        <v>DRL40</v>
      </c>
      <c r="I401" s="150">
        <f t="shared" si="13"/>
        <v>0</v>
      </c>
      <c r="J401" s="150">
        <f>IF(_xlfn.XLOOKUP(H401,Korrelation!$B$4:$B$723,Korrelation!$A$4:$A$723,0,0)=0,0,MATCH(_xlfn.XLOOKUP(H401,Korrelation!$B$4:$B$723,Korrelation!$A$4:$A$723,0,0),DMAV_Modell!$G$6:$G$677,0))</f>
        <v>589</v>
      </c>
      <c r="L401" s="51" t="s">
        <v>21</v>
      </c>
      <c r="M401" s="51" t="s">
        <v>422</v>
      </c>
      <c r="N401" s="51" t="s">
        <v>123</v>
      </c>
      <c r="O401" s="52" t="s">
        <v>69</v>
      </c>
      <c r="P401" s="56"/>
      <c r="Q401" s="52" t="s">
        <v>423</v>
      </c>
      <c r="R401" s="52" t="s">
        <v>94</v>
      </c>
      <c r="T401" s="51" t="s">
        <v>708</v>
      </c>
      <c r="U401" s="51" t="s">
        <v>822</v>
      </c>
      <c r="V401" s="51" t="s">
        <v>123</v>
      </c>
      <c r="W401" s="52" t="s">
        <v>69</v>
      </c>
      <c r="Y401" s="210" t="s">
        <v>6770</v>
      </c>
      <c r="Z401" s="210" t="s">
        <v>6166</v>
      </c>
      <c r="AB401" s="51" t="s">
        <v>1937</v>
      </c>
      <c r="AC401" s="51" t="s">
        <v>4388</v>
      </c>
      <c r="AD401" s="51" t="s">
        <v>1247</v>
      </c>
      <c r="AE401" s="52" t="s">
        <v>69</v>
      </c>
      <c r="AG401" s="210" t="s">
        <v>6771</v>
      </c>
      <c r="AH401" s="210" t="s">
        <v>6308</v>
      </c>
    </row>
    <row r="402" spans="1:34" ht="51" x14ac:dyDescent="0.25">
      <c r="A402" s="51" t="s">
        <v>3673</v>
      </c>
      <c r="B402" s="51">
        <v>41</v>
      </c>
      <c r="C402" s="51" t="s">
        <v>95</v>
      </c>
      <c r="D402" s="50" t="s">
        <v>72</v>
      </c>
      <c r="F402" s="189" t="str" cm="1">
        <f t="array" aca="1" ref="F402" ca="1">IF(I402=0,"",HYPERLINK("#"&amp;RIGHT(CELL("dateiname"),LEN(CELL("dateiname"))-FIND("]",CELL("dateiname")))&amp;"!"&amp;CELL("adresse",OFFSET($C$6,I402-1,0)),"Definition"))</f>
        <v/>
      </c>
      <c r="G402" s="189" t="str" cm="1">
        <f t="array" aca="1" ref="G402" ca="1">IF(J402=0,"",HYPERLINK("#"&amp;RIGHT(CELL("adresse",OFFSET(DMAV_Modell!$A$6,J402-1,0)),LEN(CELL("adresse",OFFSET(DMAV_Modell!$A$6,J402-1,0)))-SEARCH("]",CELL("adresse",OFFSET(DMAV_Modell!$A$6,J402-1,0)))),"Modell"))</f>
        <v>Modell</v>
      </c>
      <c r="H402" s="150" t="str">
        <f t="shared" si="12"/>
        <v>DRL41</v>
      </c>
      <c r="I402" s="150">
        <f t="shared" si="13"/>
        <v>0</v>
      </c>
      <c r="J402" s="150">
        <f>IF(_xlfn.XLOOKUP(H402,Korrelation!$B$4:$B$723,Korrelation!$A$4:$A$723,0,0)=0,0,MATCH(_xlfn.XLOOKUP(H402,Korrelation!$B$4:$B$723,Korrelation!$A$4:$A$723,0,0),DMAV_Modell!$G$6:$G$677,0))</f>
        <v>590</v>
      </c>
      <c r="L402" s="51" t="s">
        <v>21</v>
      </c>
      <c r="M402" s="51" t="s">
        <v>422</v>
      </c>
      <c r="N402" s="51" t="s">
        <v>125</v>
      </c>
      <c r="O402" s="52" t="s">
        <v>126</v>
      </c>
      <c r="P402" s="56"/>
      <c r="Q402" s="52" t="s">
        <v>424</v>
      </c>
      <c r="R402" s="52" t="s">
        <v>127</v>
      </c>
      <c r="T402" s="51" t="s">
        <v>708</v>
      </c>
      <c r="U402" s="51" t="s">
        <v>822</v>
      </c>
      <c r="V402" s="51" t="s">
        <v>743</v>
      </c>
      <c r="W402" s="52" t="s">
        <v>126</v>
      </c>
      <c r="Y402" s="210" t="s">
        <v>6772</v>
      </c>
      <c r="Z402" s="210" t="s">
        <v>6204</v>
      </c>
      <c r="AB402" s="51" t="s">
        <v>1937</v>
      </c>
      <c r="AC402" s="51" t="s">
        <v>4388</v>
      </c>
      <c r="AD402" s="51" t="s">
        <v>4018</v>
      </c>
      <c r="AE402" s="52" t="s">
        <v>126</v>
      </c>
      <c r="AG402" s="210" t="s">
        <v>6773</v>
      </c>
      <c r="AH402" s="210" t="s">
        <v>6343</v>
      </c>
    </row>
    <row r="403" spans="1:34" x14ac:dyDescent="0.25">
      <c r="A403" s="51" t="s">
        <v>3673</v>
      </c>
      <c r="B403" s="51">
        <v>42</v>
      </c>
      <c r="C403" s="51" t="s">
        <v>95</v>
      </c>
      <c r="D403" s="50">
        <v>1</v>
      </c>
      <c r="F403" s="189" t="str" cm="1">
        <f t="array" aca="1" ref="F403" ca="1">IF(I403=0,"",HYPERLINK("#"&amp;RIGHT(CELL("dateiname"),LEN(CELL("dateiname"))-FIND("]",CELL("dateiname")))&amp;"!"&amp;CELL("adresse",OFFSET($C$6,I403-1,0)),"Definition"))</f>
        <v/>
      </c>
      <c r="G403" s="189" t="str" cm="1">
        <f t="array" aca="1" ref="G403" ca="1">IF(J403=0,"",HYPERLINK("#"&amp;RIGHT(CELL("adresse",OFFSET(DMAV_Modell!$A$6,J403-1,0)),LEN(CELL("adresse",OFFSET(DMAV_Modell!$A$6,J403-1,0)))-SEARCH("]",CELL("adresse",OFFSET(DMAV_Modell!$A$6,J403-1,0)))),"Modell"))</f>
        <v>Modell</v>
      </c>
      <c r="H403" s="150" t="str">
        <f t="shared" si="12"/>
        <v>DRL42</v>
      </c>
      <c r="I403" s="150">
        <f t="shared" si="13"/>
        <v>0</v>
      </c>
      <c r="J403" s="150">
        <f>IF(_xlfn.XLOOKUP(H403,Korrelation!$B$4:$B$723,Korrelation!$A$4:$A$723,0,0)=0,0,MATCH(_xlfn.XLOOKUP(H403,Korrelation!$B$4:$B$723,Korrelation!$A$4:$A$723,0,0),DMAV_Modell!$G$6:$G$677,0))</f>
        <v>591</v>
      </c>
      <c r="L403" s="51" t="s">
        <v>21</v>
      </c>
      <c r="M403" s="51" t="s">
        <v>422</v>
      </c>
      <c r="N403" s="51" t="s">
        <v>128</v>
      </c>
      <c r="O403" s="52" t="s">
        <v>129</v>
      </c>
      <c r="P403" s="56"/>
      <c r="Q403" s="52" t="s">
        <v>425</v>
      </c>
      <c r="R403" s="52"/>
      <c r="T403" s="51" t="s">
        <v>708</v>
      </c>
      <c r="U403" s="51" t="s">
        <v>822</v>
      </c>
      <c r="V403" s="51" t="s">
        <v>744</v>
      </c>
      <c r="W403" s="52" t="s">
        <v>129</v>
      </c>
      <c r="Y403" s="210" t="s">
        <v>6774</v>
      </c>
      <c r="AB403" s="51" t="s">
        <v>1937</v>
      </c>
      <c r="AC403" s="51" t="s">
        <v>4388</v>
      </c>
      <c r="AD403" s="51" t="s">
        <v>4021</v>
      </c>
      <c r="AE403" s="52" t="s">
        <v>129</v>
      </c>
      <c r="AG403" s="210" t="s">
        <v>6775</v>
      </c>
    </row>
    <row r="404" spans="1:34" ht="76.5" x14ac:dyDescent="0.25">
      <c r="A404" s="51" t="s">
        <v>3673</v>
      </c>
      <c r="B404" s="51">
        <v>43</v>
      </c>
      <c r="C404" s="51" t="s">
        <v>95</v>
      </c>
      <c r="D404" s="50">
        <v>1</v>
      </c>
      <c r="F404" s="189" t="str" cm="1">
        <f t="array" aca="1" ref="F404" ca="1">IF(I404=0,"",HYPERLINK("#"&amp;RIGHT(CELL("dateiname"),LEN(CELL("dateiname"))-FIND("]",CELL("dateiname")))&amp;"!"&amp;CELL("adresse",OFFSET($C$6,I404-1,0)),"Definition"))</f>
        <v/>
      </c>
      <c r="G404" s="189" t="str" cm="1">
        <f t="array" aca="1" ref="G404" ca="1">IF(J404=0,"",HYPERLINK("#"&amp;RIGHT(CELL("adresse",OFFSET(DMAV_Modell!$A$6,J404-1,0)),LEN(CELL("adresse",OFFSET(DMAV_Modell!$A$6,J404-1,0)))-SEARCH("]",CELL("adresse",OFFSET(DMAV_Modell!$A$6,J404-1,0)))),"Modell"))</f>
        <v>Modell</v>
      </c>
      <c r="H404" s="150" t="str">
        <f t="shared" si="12"/>
        <v>DRL43</v>
      </c>
      <c r="I404" s="150">
        <f t="shared" si="13"/>
        <v>0</v>
      </c>
      <c r="J404" s="150">
        <f>IF(_xlfn.XLOOKUP(H404,Korrelation!$B$4:$B$723,Korrelation!$A$4:$A$723,0,0)=0,0,MATCH(_xlfn.XLOOKUP(H404,Korrelation!$B$4:$B$723,Korrelation!$A$4:$A$723,0,0),DMAV_Modell!$G$6:$G$677,0))</f>
        <v>592</v>
      </c>
      <c r="L404" s="51" t="s">
        <v>21</v>
      </c>
      <c r="M404" s="51" t="s">
        <v>422</v>
      </c>
      <c r="N404" s="51" t="s">
        <v>130</v>
      </c>
      <c r="O404" s="52" t="s">
        <v>131</v>
      </c>
      <c r="P404" s="56" t="s">
        <v>3751</v>
      </c>
      <c r="Q404" s="52" t="s">
        <v>426</v>
      </c>
      <c r="R404" s="52" t="s">
        <v>565</v>
      </c>
      <c r="T404" s="51" t="s">
        <v>708</v>
      </c>
      <c r="U404" s="51" t="s">
        <v>822</v>
      </c>
      <c r="V404" s="51" t="s">
        <v>745</v>
      </c>
      <c r="W404" s="52" t="s">
        <v>131</v>
      </c>
      <c r="X404" s="209" t="s">
        <v>3751</v>
      </c>
      <c r="Y404" s="210" t="s">
        <v>6776</v>
      </c>
      <c r="Z404" s="210" t="s">
        <v>6777</v>
      </c>
      <c r="AB404" s="51" t="s">
        <v>1937</v>
      </c>
      <c r="AC404" s="51" t="s">
        <v>4388</v>
      </c>
      <c r="AD404" s="51" t="s">
        <v>4024</v>
      </c>
      <c r="AE404" s="52" t="s">
        <v>131</v>
      </c>
      <c r="AF404" s="209" t="s">
        <v>3751</v>
      </c>
      <c r="AG404" s="210" t="s">
        <v>6778</v>
      </c>
      <c r="AH404" s="210" t="s">
        <v>6915</v>
      </c>
    </row>
    <row r="405" spans="1:34" ht="63.75" x14ac:dyDescent="0.25">
      <c r="A405" s="51" t="s">
        <v>3673</v>
      </c>
      <c r="B405" s="51">
        <v>44</v>
      </c>
      <c r="C405" s="51" t="s">
        <v>95</v>
      </c>
      <c r="D405" s="50" t="s">
        <v>72</v>
      </c>
      <c r="F405" s="189" t="str" cm="1">
        <f t="array" aca="1" ref="F405" ca="1">IF(I405=0,"",HYPERLINK("#"&amp;RIGHT(CELL("dateiname"),LEN(CELL("dateiname"))-FIND("]",CELL("dateiname")))&amp;"!"&amp;CELL("adresse",OFFSET($C$6,I405-1,0)),"Definition"))</f>
        <v/>
      </c>
      <c r="G405" s="189" t="str" cm="1">
        <f t="array" aca="1" ref="G405" ca="1">IF(J405=0,"",HYPERLINK("#"&amp;RIGHT(CELL("adresse",OFFSET(DMAV_Modell!$A$6,J405-1,0)),LEN(CELL("adresse",OFFSET(DMAV_Modell!$A$6,J405-1,0)))-SEARCH("]",CELL("adresse",OFFSET(DMAV_Modell!$A$6,J405-1,0)))),"Modell"))</f>
        <v>Modell</v>
      </c>
      <c r="H405" s="150" t="str">
        <f t="shared" si="12"/>
        <v>DRL44</v>
      </c>
      <c r="I405" s="150">
        <f t="shared" si="13"/>
        <v>0</v>
      </c>
      <c r="J405" s="150">
        <f>IF(_xlfn.XLOOKUP(H405,Korrelation!$B$4:$B$723,Korrelation!$A$4:$A$723,0,0)=0,0,MATCH(_xlfn.XLOOKUP(H405,Korrelation!$B$4:$B$723,Korrelation!$A$4:$A$723,0,0),DMAV_Modell!$G$6:$G$677,0))</f>
        <v>593</v>
      </c>
      <c r="L405" s="51" t="s">
        <v>21</v>
      </c>
      <c r="M405" s="51" t="s">
        <v>422</v>
      </c>
      <c r="N405" s="51" t="s">
        <v>132</v>
      </c>
      <c r="O405" s="52" t="s">
        <v>129</v>
      </c>
      <c r="P405" s="56"/>
      <c r="Q405" s="52" t="s">
        <v>428</v>
      </c>
      <c r="R405" s="52" t="s">
        <v>429</v>
      </c>
      <c r="T405" s="51" t="s">
        <v>708</v>
      </c>
      <c r="U405" s="51" t="s">
        <v>822</v>
      </c>
      <c r="V405" s="51" t="s">
        <v>746</v>
      </c>
      <c r="W405" s="52" t="s">
        <v>129</v>
      </c>
      <c r="Y405" s="210" t="s">
        <v>6780</v>
      </c>
      <c r="Z405" s="210" t="s">
        <v>6781</v>
      </c>
      <c r="AB405" s="51" t="s">
        <v>1937</v>
      </c>
      <c r="AC405" s="51" t="s">
        <v>4388</v>
      </c>
      <c r="AD405" s="51" t="s">
        <v>4026</v>
      </c>
      <c r="AE405" s="52" t="s">
        <v>129</v>
      </c>
      <c r="AG405" s="210" t="s">
        <v>6782</v>
      </c>
      <c r="AH405" s="210" t="s">
        <v>6783</v>
      </c>
    </row>
    <row r="406" spans="1:34" ht="114.75" x14ac:dyDescent="0.25">
      <c r="A406" s="51" t="s">
        <v>3673</v>
      </c>
      <c r="B406" s="51">
        <v>45</v>
      </c>
      <c r="C406" s="51" t="s">
        <v>95</v>
      </c>
      <c r="D406" s="50" t="s">
        <v>72</v>
      </c>
      <c r="F406" s="189" t="str" cm="1">
        <f t="array" aca="1" ref="F406" ca="1">IF(I406=0,"",HYPERLINK("#"&amp;RIGHT(CELL("dateiname"),LEN(CELL("dateiname"))-FIND("]",CELL("dateiname")))&amp;"!"&amp;CELL("adresse",OFFSET($C$6,I406-1,0)),"Definition"))</f>
        <v/>
      </c>
      <c r="G406" s="189" t="str" cm="1">
        <f t="array" aca="1" ref="G406" ca="1">IF(J406=0,"",HYPERLINK("#"&amp;RIGHT(CELL("adresse",OFFSET(DMAV_Modell!$A$6,J406-1,0)),LEN(CELL("adresse",OFFSET(DMAV_Modell!$A$6,J406-1,0)))-SEARCH("]",CELL("adresse",OFFSET(DMAV_Modell!$A$6,J406-1,0)))),"Modell"))</f>
        <v>Modell</v>
      </c>
      <c r="H406" s="150" t="str">
        <f t="shared" si="12"/>
        <v>DRL45</v>
      </c>
      <c r="I406" s="150">
        <f t="shared" si="13"/>
        <v>0</v>
      </c>
      <c r="J406" s="150">
        <f>IF(_xlfn.XLOOKUP(H406,Korrelation!$B$4:$B$723,Korrelation!$A$4:$A$723,0,0)=0,0,MATCH(_xlfn.XLOOKUP(H406,Korrelation!$B$4:$B$723,Korrelation!$A$4:$A$723,0,0),DMAV_Modell!$G$6:$G$677,0))</f>
        <v>594</v>
      </c>
      <c r="L406" s="51" t="s">
        <v>21</v>
      </c>
      <c r="M406" s="51" t="s">
        <v>422</v>
      </c>
      <c r="N406" s="51" t="s">
        <v>133</v>
      </c>
      <c r="O406" s="52" t="s">
        <v>131</v>
      </c>
      <c r="P406" s="56"/>
      <c r="Q406" s="52" t="s">
        <v>430</v>
      </c>
      <c r="R406" s="52" t="s">
        <v>519</v>
      </c>
      <c r="T406" s="51" t="s">
        <v>708</v>
      </c>
      <c r="U406" s="51" t="s">
        <v>822</v>
      </c>
      <c r="V406" s="51" t="s">
        <v>747</v>
      </c>
      <c r="W406" s="52" t="s">
        <v>131</v>
      </c>
      <c r="Y406" s="210" t="s">
        <v>6784</v>
      </c>
      <c r="Z406" s="210" t="s">
        <v>6916</v>
      </c>
      <c r="AB406" s="51" t="s">
        <v>1937</v>
      </c>
      <c r="AC406" s="51" t="s">
        <v>4388</v>
      </c>
      <c r="AD406" s="51" t="s">
        <v>4027</v>
      </c>
      <c r="AE406" s="52" t="s">
        <v>131</v>
      </c>
      <c r="AG406" s="210" t="s">
        <v>6991</v>
      </c>
      <c r="AH406" s="210" t="s">
        <v>6917</v>
      </c>
    </row>
    <row r="407" spans="1:34" ht="51" x14ac:dyDescent="0.25">
      <c r="A407" s="51" t="s">
        <v>3673</v>
      </c>
      <c r="B407" s="51">
        <v>46</v>
      </c>
      <c r="C407" s="51" t="s">
        <v>95</v>
      </c>
      <c r="D407" s="50">
        <v>1</v>
      </c>
      <c r="F407" s="189" t="str" cm="1">
        <f t="array" aca="1" ref="F407" ca="1">IF(I407=0,"",HYPERLINK("#"&amp;RIGHT(CELL("dateiname"),LEN(CELL("dateiname"))-FIND("]",CELL("dateiname")))&amp;"!"&amp;CELL("adresse",OFFSET($C$6,I407-1,0)),"Definition"))</f>
        <v/>
      </c>
      <c r="G407" s="189" t="str" cm="1">
        <f t="array" aca="1" ref="G407" ca="1">IF(J407=0,"",HYPERLINK("#"&amp;RIGHT(CELL("adresse",OFFSET(DMAV_Modell!$A$6,J407-1,0)),LEN(CELL("adresse",OFFSET(DMAV_Modell!$A$6,J407-1,0)))-SEARCH("]",CELL("adresse",OFFSET(DMAV_Modell!$A$6,J407-1,0)))),"Modell"))</f>
        <v>Modell</v>
      </c>
      <c r="H407" s="150" t="str">
        <f t="shared" si="12"/>
        <v>DRL46</v>
      </c>
      <c r="I407" s="150">
        <f t="shared" si="13"/>
        <v>0</v>
      </c>
      <c r="J407" s="150">
        <f>IF(_xlfn.XLOOKUP(H407,Korrelation!$B$4:$B$723,Korrelation!$A$4:$A$723,0,0)=0,0,MATCH(_xlfn.XLOOKUP(H407,Korrelation!$B$4:$B$723,Korrelation!$A$4:$A$723,0,0),DMAV_Modell!$G$6:$G$677,0))</f>
        <v>595</v>
      </c>
      <c r="L407" s="51" t="s">
        <v>21</v>
      </c>
      <c r="M407" s="51" t="s">
        <v>422</v>
      </c>
      <c r="N407" s="51" t="s">
        <v>297</v>
      </c>
      <c r="O407" s="52" t="s">
        <v>131</v>
      </c>
      <c r="P407" s="56"/>
      <c r="Q407" s="52" t="s">
        <v>432</v>
      </c>
      <c r="R407" s="52" t="s">
        <v>566</v>
      </c>
      <c r="T407" s="51" t="s">
        <v>708</v>
      </c>
      <c r="U407" s="51" t="s">
        <v>822</v>
      </c>
      <c r="V407" s="51" t="s">
        <v>797</v>
      </c>
      <c r="W407" s="52" t="s">
        <v>131</v>
      </c>
      <c r="Y407" s="210" t="s">
        <v>6788</v>
      </c>
      <c r="Z407" s="210" t="s">
        <v>6992</v>
      </c>
      <c r="AB407" s="51" t="s">
        <v>1937</v>
      </c>
      <c r="AC407" s="51" t="s">
        <v>4388</v>
      </c>
      <c r="AD407" s="51" t="s">
        <v>4188</v>
      </c>
      <c r="AE407" s="52" t="s">
        <v>131</v>
      </c>
      <c r="AG407" s="210" t="s">
        <v>6790</v>
      </c>
      <c r="AH407" s="210" t="s">
        <v>6993</v>
      </c>
    </row>
    <row r="408" spans="1:34" x14ac:dyDescent="0.25">
      <c r="A408" s="51" t="s">
        <v>3674</v>
      </c>
      <c r="B408" s="51">
        <v>1</v>
      </c>
      <c r="C408" s="51" t="s">
        <v>34</v>
      </c>
      <c r="F408" s="189" t="str" cm="1">
        <f t="array" aca="1" ref="F408" ca="1">IF(I408=0,"",HYPERLINK("#"&amp;RIGHT(CELL("dateiname"),LEN(CELL("dateiname"))-FIND("]",CELL("dateiname")))&amp;"!"&amp;CELL("adresse",OFFSET($C$6,I408-1,0)),"Definition"))</f>
        <v/>
      </c>
      <c r="G408" s="189" t="str" cm="1">
        <f t="array" aca="1" ref="G408" ca="1">IF(J408=0,"",HYPERLINK("#"&amp;RIGHT(CELL("adresse",OFFSET(DMAV_Modell!$A$6,J408-1,0)),LEN(CELL("adresse",OFFSET(DMAV_Modell!$A$6,J408-1,0)))-SEARCH("]",CELL("adresse",OFFSET(DMAV_Modell!$A$6,J408-1,0)))),"Modell"))</f>
        <v/>
      </c>
      <c r="H408" s="150" t="str">
        <f t="shared" si="12"/>
        <v>DTS1</v>
      </c>
      <c r="I408" s="150">
        <f t="shared" si="13"/>
        <v>0</v>
      </c>
      <c r="J408" s="150">
        <f>IF(_xlfn.XLOOKUP(H408,Korrelation!$B$4:$B$723,Korrelation!$A$4:$A$723,0,0)=0,0,MATCH(_xlfn.XLOOKUP(H408,Korrelation!$B$4:$B$723,Korrelation!$A$4:$A$723,0,0),DMAV_Modell!$G$6:$G$677,0))</f>
        <v>0</v>
      </c>
      <c r="L408" s="51" t="s">
        <v>22</v>
      </c>
      <c r="M408" s="51" t="s">
        <v>567</v>
      </c>
      <c r="O408" s="52" t="s">
        <v>568</v>
      </c>
      <c r="P408" s="56"/>
      <c r="Q408" s="52" t="s">
        <v>569</v>
      </c>
      <c r="R408" s="52"/>
      <c r="T408" s="51" t="s">
        <v>6132</v>
      </c>
      <c r="U408" s="51" t="s">
        <v>879</v>
      </c>
      <c r="W408" s="52" t="s">
        <v>6994</v>
      </c>
      <c r="Y408" s="210" t="s">
        <v>6995</v>
      </c>
      <c r="AB408" s="51" t="s">
        <v>6278</v>
      </c>
      <c r="AC408" s="51" t="s">
        <v>4433</v>
      </c>
      <c r="AE408" s="52" t="s">
        <v>6996</v>
      </c>
      <c r="AG408" s="210" t="s">
        <v>6997</v>
      </c>
    </row>
    <row r="409" spans="1:34" x14ac:dyDescent="0.25">
      <c r="A409" s="51" t="s">
        <v>3674</v>
      </c>
      <c r="B409" s="51">
        <v>2</v>
      </c>
      <c r="C409" s="51" t="s">
        <v>34</v>
      </c>
      <c r="F409" s="189" t="str" cm="1">
        <f t="array" aca="1" ref="F409" ca="1">IF(I409=0,"",HYPERLINK("#"&amp;RIGHT(CELL("dateiname"),LEN(CELL("dateiname"))-FIND("]",CELL("dateiname")))&amp;"!"&amp;CELL("adresse",OFFSET($C$6,I409-1,0)),"Definition"))</f>
        <v/>
      </c>
      <c r="G409" s="189" t="str" cm="1">
        <f t="array" aca="1" ref="G409" ca="1">IF(J409=0,"",HYPERLINK("#"&amp;RIGHT(CELL("adresse",OFFSET(DMAV_Modell!$A$6,J409-1,0)),LEN(CELL("adresse",OFFSET(DMAV_Modell!$A$6,J409-1,0)))-SEARCH("]",CELL("adresse",OFFSET(DMAV_Modell!$A$6,J409-1,0)))),"Modell"))</f>
        <v/>
      </c>
      <c r="H409" s="150" t="str">
        <f t="shared" si="12"/>
        <v>DTS2</v>
      </c>
      <c r="I409" s="150">
        <f t="shared" si="13"/>
        <v>0</v>
      </c>
      <c r="J409" s="150">
        <f>IF(_xlfn.XLOOKUP(H409,Korrelation!$B$4:$B$723,Korrelation!$A$4:$A$723,0,0)=0,0,MATCH(_xlfn.XLOOKUP(H409,Korrelation!$B$4:$B$723,Korrelation!$A$4:$A$723,0,0),DMAV_Modell!$G$6:$G$677,0))</f>
        <v>0</v>
      </c>
      <c r="L409" s="51" t="s">
        <v>22</v>
      </c>
      <c r="M409" s="51" t="s">
        <v>567</v>
      </c>
      <c r="O409" s="52" t="s">
        <v>570</v>
      </c>
      <c r="P409" s="56"/>
      <c r="Q409" s="52" t="s">
        <v>571</v>
      </c>
      <c r="R409" s="52"/>
      <c r="T409" s="51" t="s">
        <v>6132</v>
      </c>
      <c r="U409" s="51" t="s">
        <v>879</v>
      </c>
      <c r="W409" s="52" t="s">
        <v>6998</v>
      </c>
      <c r="Y409" s="210" t="s">
        <v>6999</v>
      </c>
      <c r="AB409" s="51" t="s">
        <v>6278</v>
      </c>
      <c r="AC409" s="51" t="s">
        <v>4433</v>
      </c>
      <c r="AE409" s="52" t="s">
        <v>7000</v>
      </c>
      <c r="AG409" s="210" t="s">
        <v>7001</v>
      </c>
    </row>
    <row r="410" spans="1:34" x14ac:dyDescent="0.25">
      <c r="A410" s="51" t="s">
        <v>3674</v>
      </c>
      <c r="B410" s="51">
        <v>3</v>
      </c>
      <c r="C410" s="51" t="s">
        <v>34</v>
      </c>
      <c r="F410" s="189" t="str" cm="1">
        <f t="array" aca="1" ref="F410" ca="1">IF(I410=0,"",HYPERLINK("#"&amp;RIGHT(CELL("dateiname"),LEN(CELL("dateiname"))-FIND("]",CELL("dateiname")))&amp;"!"&amp;CELL("adresse",OFFSET($C$6,I410-1,0)),"Definition"))</f>
        <v/>
      </c>
      <c r="G410" s="189" t="str" cm="1">
        <f t="array" aca="1" ref="G410" ca="1">IF(J410=0,"",HYPERLINK("#"&amp;RIGHT(CELL("adresse",OFFSET(DMAV_Modell!$A$6,J410-1,0)),LEN(CELL("adresse",OFFSET(DMAV_Modell!$A$6,J410-1,0)))-SEARCH("]",CELL("adresse",OFFSET(DMAV_Modell!$A$6,J410-1,0)))),"Modell"))</f>
        <v/>
      </c>
      <c r="H410" s="150" t="str">
        <f t="shared" si="12"/>
        <v>DTS3</v>
      </c>
      <c r="I410" s="150">
        <f t="shared" si="13"/>
        <v>0</v>
      </c>
      <c r="J410" s="150">
        <f>IF(_xlfn.XLOOKUP(H410,Korrelation!$B$4:$B$723,Korrelation!$A$4:$A$723,0,0)=0,0,MATCH(_xlfn.XLOOKUP(H410,Korrelation!$B$4:$B$723,Korrelation!$A$4:$A$723,0,0),DMAV_Modell!$G$6:$G$677,0))</f>
        <v>0</v>
      </c>
      <c r="L410" s="51" t="s">
        <v>22</v>
      </c>
      <c r="M410" s="51" t="s">
        <v>567</v>
      </c>
      <c r="O410" s="52" t="s">
        <v>572</v>
      </c>
      <c r="P410" s="56"/>
      <c r="Q410" s="52" t="s">
        <v>573</v>
      </c>
      <c r="R410" s="52"/>
      <c r="T410" s="51" t="s">
        <v>6132</v>
      </c>
      <c r="U410" s="51" t="s">
        <v>879</v>
      </c>
      <c r="W410" s="52" t="s">
        <v>7002</v>
      </c>
      <c r="Y410" s="210" t="s">
        <v>7003</v>
      </c>
      <c r="AB410" s="51" t="s">
        <v>6278</v>
      </c>
      <c r="AC410" s="51" t="s">
        <v>4433</v>
      </c>
      <c r="AE410" s="52" t="s">
        <v>7004</v>
      </c>
      <c r="AG410" s="210" t="s">
        <v>7005</v>
      </c>
    </row>
    <row r="411" spans="1:34" x14ac:dyDescent="0.25">
      <c r="A411" s="51" t="s">
        <v>3674</v>
      </c>
      <c r="B411" s="51">
        <v>4</v>
      </c>
      <c r="C411" s="51" t="s">
        <v>34</v>
      </c>
      <c r="F411" s="189" t="str" cm="1">
        <f t="array" aca="1" ref="F411" ca="1">IF(I411=0,"",HYPERLINK("#"&amp;RIGHT(CELL("dateiname"),LEN(CELL("dateiname"))-FIND("]",CELL("dateiname")))&amp;"!"&amp;CELL("adresse",OFFSET($C$6,I411-1,0)),"Definition"))</f>
        <v/>
      </c>
      <c r="G411" s="189" t="str" cm="1">
        <f t="array" aca="1" ref="G411" ca="1">IF(J411=0,"",HYPERLINK("#"&amp;RIGHT(CELL("adresse",OFFSET(DMAV_Modell!$A$6,J411-1,0)),LEN(CELL("adresse",OFFSET(DMAV_Modell!$A$6,J411-1,0)))-SEARCH("]",CELL("adresse",OFFSET(DMAV_Modell!$A$6,J411-1,0)))),"Modell"))</f>
        <v/>
      </c>
      <c r="H411" s="150" t="str">
        <f t="shared" si="12"/>
        <v>DTS4</v>
      </c>
      <c r="I411" s="150">
        <f t="shared" si="13"/>
        <v>0</v>
      </c>
      <c r="J411" s="150">
        <f>IF(_xlfn.XLOOKUP(H411,Korrelation!$B$4:$B$723,Korrelation!$A$4:$A$723,0,0)=0,0,MATCH(_xlfn.XLOOKUP(H411,Korrelation!$B$4:$B$723,Korrelation!$A$4:$A$723,0,0),DMAV_Modell!$G$6:$G$677,0))</f>
        <v>0</v>
      </c>
      <c r="L411" s="51" t="s">
        <v>22</v>
      </c>
      <c r="M411" s="51" t="s">
        <v>567</v>
      </c>
      <c r="O411" s="52" t="s">
        <v>574</v>
      </c>
      <c r="P411" s="56"/>
      <c r="Q411" s="52" t="s">
        <v>575</v>
      </c>
      <c r="R411" s="52"/>
      <c r="T411" s="51" t="s">
        <v>6132</v>
      </c>
      <c r="U411" s="51" t="s">
        <v>879</v>
      </c>
      <c r="W411" s="52" t="s">
        <v>7006</v>
      </c>
      <c r="Y411" s="210" t="s">
        <v>7007</v>
      </c>
      <c r="AB411" s="51" t="s">
        <v>6278</v>
      </c>
      <c r="AC411" s="51" t="s">
        <v>4433</v>
      </c>
      <c r="AE411" s="52" t="s">
        <v>7008</v>
      </c>
      <c r="AG411" s="210" t="s">
        <v>7009</v>
      </c>
    </row>
    <row r="412" spans="1:34" x14ac:dyDescent="0.25">
      <c r="A412" s="51" t="s">
        <v>3674</v>
      </c>
      <c r="B412" s="51">
        <v>5</v>
      </c>
      <c r="C412" s="51" t="s">
        <v>34</v>
      </c>
      <c r="F412" s="189" t="str" cm="1">
        <f t="array" aca="1" ref="F412" ca="1">IF(I412=0,"",HYPERLINK("#"&amp;RIGHT(CELL("dateiname"),LEN(CELL("dateiname"))-FIND("]",CELL("dateiname")))&amp;"!"&amp;CELL("adresse",OFFSET($C$6,I412-1,0)),"Definition"))</f>
        <v/>
      </c>
      <c r="G412" s="189" t="str" cm="1">
        <f t="array" aca="1" ref="G412" ca="1">IF(J412=0,"",HYPERLINK("#"&amp;RIGHT(CELL("adresse",OFFSET(DMAV_Modell!$A$6,J412-1,0)),LEN(CELL("adresse",OFFSET(DMAV_Modell!$A$6,J412-1,0)))-SEARCH("]",CELL("adresse",OFFSET(DMAV_Modell!$A$6,J412-1,0)))),"Modell"))</f>
        <v/>
      </c>
      <c r="H412" s="150" t="str">
        <f t="shared" si="12"/>
        <v>DTS5</v>
      </c>
      <c r="I412" s="150">
        <f t="shared" si="13"/>
        <v>0</v>
      </c>
      <c r="J412" s="150">
        <f>IF(_xlfn.XLOOKUP(H412,Korrelation!$B$4:$B$723,Korrelation!$A$4:$A$723,0,0)=0,0,MATCH(_xlfn.XLOOKUP(H412,Korrelation!$B$4:$B$723,Korrelation!$A$4:$A$723,0,0),DMAV_Modell!$G$6:$G$677,0))</f>
        <v>0</v>
      </c>
      <c r="L412" s="51" t="s">
        <v>22</v>
      </c>
      <c r="M412" s="51" t="s">
        <v>567</v>
      </c>
      <c r="O412" s="52" t="s">
        <v>576</v>
      </c>
      <c r="P412" s="56"/>
      <c r="Q412" s="52" t="s">
        <v>577</v>
      </c>
      <c r="R412" s="52"/>
      <c r="T412" s="51" t="s">
        <v>6132</v>
      </c>
      <c r="U412" s="51" t="s">
        <v>879</v>
      </c>
      <c r="W412" s="52" t="s">
        <v>7010</v>
      </c>
      <c r="Y412" s="210" t="s">
        <v>7011</v>
      </c>
      <c r="AB412" s="51" t="s">
        <v>6278</v>
      </c>
      <c r="AC412" s="51" t="s">
        <v>4433</v>
      </c>
      <c r="AE412" s="52" t="s">
        <v>7012</v>
      </c>
      <c r="AG412" s="210" t="s">
        <v>7013</v>
      </c>
    </row>
    <row r="413" spans="1:34" x14ac:dyDescent="0.25">
      <c r="A413" s="51" t="s">
        <v>3674</v>
      </c>
      <c r="B413" s="51">
        <v>6</v>
      </c>
      <c r="C413" s="51" t="s">
        <v>95</v>
      </c>
      <c r="D413" s="50">
        <v>1</v>
      </c>
      <c r="F413" s="189" t="str" cm="1">
        <f t="array" aca="1" ref="F413" ca="1">IF(I413=0,"",HYPERLINK("#"&amp;RIGHT(CELL("dateiname"),LEN(CELL("dateiname"))-FIND("]",CELL("dateiname")))&amp;"!"&amp;CELL("adresse",OFFSET($C$6,I413-1,0)),"Definition"))</f>
        <v/>
      </c>
      <c r="G413" s="189" t="str" cm="1">
        <f t="array" aca="1" ref="G413" ca="1">IF(J413=0,"",HYPERLINK("#"&amp;RIGHT(CELL("adresse",OFFSET(DMAV_Modell!$A$6,J413-1,0)),LEN(CELL("adresse",OFFSET(DMAV_Modell!$A$6,J413-1,0)))-SEARCH("]",CELL("adresse",OFFSET(DMAV_Modell!$A$6,J413-1,0)))),"Modell"))</f>
        <v>Modell</v>
      </c>
      <c r="H413" s="150" t="str">
        <f t="shared" si="12"/>
        <v>DTS6</v>
      </c>
      <c r="I413" s="150">
        <f t="shared" si="13"/>
        <v>0</v>
      </c>
      <c r="J413" s="150">
        <f>IF(_xlfn.XLOOKUP(H413,Korrelation!$B$4:$B$723,Korrelation!$A$4:$A$723,0,0)=0,0,MATCH(_xlfn.XLOOKUP(H413,Korrelation!$B$4:$B$723,Korrelation!$A$4:$A$723,0,0),DMAV_Modell!$G$6:$G$677,0))</f>
        <v>601</v>
      </c>
      <c r="L413" s="51" t="s">
        <v>22</v>
      </c>
      <c r="M413" s="51" t="s">
        <v>578</v>
      </c>
      <c r="N413" s="51" t="s">
        <v>96</v>
      </c>
      <c r="O413" s="52" t="s">
        <v>97</v>
      </c>
      <c r="P413" s="56"/>
      <c r="Q413" s="52" t="s">
        <v>98</v>
      </c>
      <c r="R413" s="52"/>
      <c r="T413" s="51" t="s">
        <v>6132</v>
      </c>
      <c r="U413" s="51" t="s">
        <v>880</v>
      </c>
      <c r="V413" s="51" t="s">
        <v>733</v>
      </c>
      <c r="W413" s="52" t="s">
        <v>97</v>
      </c>
      <c r="Y413" s="210" t="s">
        <v>6175</v>
      </c>
      <c r="AB413" s="51" t="s">
        <v>6278</v>
      </c>
      <c r="AC413" s="51" t="s">
        <v>4432</v>
      </c>
      <c r="AD413" s="51" t="s">
        <v>1378</v>
      </c>
      <c r="AE413" s="52" t="s">
        <v>97</v>
      </c>
      <c r="AG413" s="210" t="s">
        <v>6316</v>
      </c>
    </row>
    <row r="414" spans="1:34" ht="25.5" x14ac:dyDescent="0.25">
      <c r="A414" s="51" t="s">
        <v>3674</v>
      </c>
      <c r="B414" s="51">
        <v>7</v>
      </c>
      <c r="C414" s="51" t="s">
        <v>95</v>
      </c>
      <c r="D414" s="50">
        <v>1</v>
      </c>
      <c r="F414" s="189" t="str" cm="1">
        <f t="array" aca="1" ref="F414" ca="1">IF(I414=0,"",HYPERLINK("#"&amp;RIGHT(CELL("dateiname"),LEN(CELL("dateiname"))-FIND("]",CELL("dateiname")))&amp;"!"&amp;CELL("adresse",OFFSET($C$6,I414-1,0)),"Definition"))</f>
        <v/>
      </c>
      <c r="G414" s="189" t="str" cm="1">
        <f t="array" aca="1" ref="G414" ca="1">IF(J414=0,"",HYPERLINK("#"&amp;RIGHT(CELL("adresse",OFFSET(DMAV_Modell!$A$6,J414-1,0)),LEN(CELL("adresse",OFFSET(DMAV_Modell!$A$6,J414-1,0)))-SEARCH("]",CELL("adresse",OFFSET(DMAV_Modell!$A$6,J414-1,0)))),"Modell"))</f>
        <v>Modell</v>
      </c>
      <c r="H414" s="150" t="str">
        <f t="shared" si="12"/>
        <v>DTS7</v>
      </c>
      <c r="I414" s="150">
        <f t="shared" si="13"/>
        <v>0</v>
      </c>
      <c r="J414" s="150">
        <f>IF(_xlfn.XLOOKUP(H414,Korrelation!$B$4:$B$723,Korrelation!$A$4:$A$723,0,0)=0,0,MATCH(_xlfn.XLOOKUP(H414,Korrelation!$B$4:$B$723,Korrelation!$A$4:$A$723,0,0),DMAV_Modell!$G$6:$G$677,0))</f>
        <v>602</v>
      </c>
      <c r="L414" s="51" t="s">
        <v>22</v>
      </c>
      <c r="M414" s="51" t="s">
        <v>578</v>
      </c>
      <c r="N414" s="51" t="s">
        <v>99</v>
      </c>
      <c r="O414" s="52" t="s">
        <v>97</v>
      </c>
      <c r="P414" s="56"/>
      <c r="Q414" s="52" t="s">
        <v>100</v>
      </c>
      <c r="R414" s="52"/>
      <c r="T414" s="51" t="s">
        <v>6132</v>
      </c>
      <c r="U414" s="51" t="s">
        <v>880</v>
      </c>
      <c r="V414" s="51" t="s">
        <v>734</v>
      </c>
      <c r="W414" s="52" t="s">
        <v>97</v>
      </c>
      <c r="Y414" s="210" t="s">
        <v>6176</v>
      </c>
      <c r="AB414" s="51" t="s">
        <v>6278</v>
      </c>
      <c r="AC414" s="51" t="s">
        <v>4432</v>
      </c>
      <c r="AD414" s="51" t="s">
        <v>1376</v>
      </c>
      <c r="AE414" s="52" t="s">
        <v>97</v>
      </c>
      <c r="AG414" s="210" t="s">
        <v>6317</v>
      </c>
    </row>
    <row r="415" spans="1:34" x14ac:dyDescent="0.25">
      <c r="A415" s="51" t="s">
        <v>3674</v>
      </c>
      <c r="B415" s="51">
        <v>8</v>
      </c>
      <c r="C415" s="51" t="s">
        <v>95</v>
      </c>
      <c r="D415" s="50">
        <v>1</v>
      </c>
      <c r="F415" s="189" t="str" cm="1">
        <f t="array" aca="1" ref="F415" ca="1">IF(I415=0,"",HYPERLINK("#"&amp;RIGHT(CELL("dateiname"),LEN(CELL("dateiname"))-FIND("]",CELL("dateiname")))&amp;"!"&amp;CELL("adresse",OFFSET($C$6,I415-1,0)),"Definition"))</f>
        <v/>
      </c>
      <c r="G415" s="189" t="str" cm="1">
        <f t="array" aca="1" ref="G415" ca="1">IF(J415=0,"",HYPERLINK("#"&amp;RIGHT(CELL("adresse",OFFSET(DMAV_Modell!$A$6,J415-1,0)),LEN(CELL("adresse",OFFSET(DMAV_Modell!$A$6,J415-1,0)))-SEARCH("]",CELL("adresse",OFFSET(DMAV_Modell!$A$6,J415-1,0)))),"Modell"))</f>
        <v>Modell</v>
      </c>
      <c r="H415" s="150" t="str">
        <f t="shared" si="12"/>
        <v>DTS8</v>
      </c>
      <c r="I415" s="150">
        <f t="shared" si="13"/>
        <v>0</v>
      </c>
      <c r="J415" s="150">
        <f>IF(_xlfn.XLOOKUP(H415,Korrelation!$B$4:$B$723,Korrelation!$A$4:$A$723,0,0)=0,0,MATCH(_xlfn.XLOOKUP(H415,Korrelation!$B$4:$B$723,Korrelation!$A$4:$A$723,0,0),DMAV_Modell!$G$6:$G$677,0))</f>
        <v>603</v>
      </c>
      <c r="L415" s="51" t="s">
        <v>22</v>
      </c>
      <c r="M415" s="51" t="s">
        <v>578</v>
      </c>
      <c r="N415" s="51" t="s">
        <v>101</v>
      </c>
      <c r="O415" s="52" t="s">
        <v>102</v>
      </c>
      <c r="P415" s="56"/>
      <c r="Q415" s="52" t="s">
        <v>103</v>
      </c>
      <c r="R415" s="52"/>
      <c r="T415" s="51" t="s">
        <v>6132</v>
      </c>
      <c r="U415" s="51" t="s">
        <v>880</v>
      </c>
      <c r="V415" s="51" t="s">
        <v>735</v>
      </c>
      <c r="W415" s="52" t="s">
        <v>102</v>
      </c>
      <c r="Y415" s="210" t="s">
        <v>6177</v>
      </c>
      <c r="AB415" s="51" t="s">
        <v>6278</v>
      </c>
      <c r="AC415" s="51" t="s">
        <v>4432</v>
      </c>
      <c r="AD415" s="51" t="s">
        <v>1294</v>
      </c>
      <c r="AE415" s="52" t="s">
        <v>102</v>
      </c>
      <c r="AG415" s="210" t="s">
        <v>6318</v>
      </c>
    </row>
    <row r="416" spans="1:34" ht="76.5" x14ac:dyDescent="0.25">
      <c r="A416" s="51" t="s">
        <v>3674</v>
      </c>
      <c r="B416" s="51">
        <v>9</v>
      </c>
      <c r="C416" s="51" t="s">
        <v>95</v>
      </c>
      <c r="D416" s="50" t="s">
        <v>72</v>
      </c>
      <c r="F416" s="189" t="str" cm="1">
        <f t="array" aca="1" ref="F416" ca="1">IF(I416=0,"",HYPERLINK("#"&amp;RIGHT(CELL("dateiname"),LEN(CELL("dateiname"))-FIND("]",CELL("dateiname")))&amp;"!"&amp;CELL("adresse",OFFSET($C$6,I416-1,0)),"Definition"))</f>
        <v/>
      </c>
      <c r="G416" s="189" t="str" cm="1">
        <f t="array" aca="1" ref="G416" ca="1">IF(J416=0,"",HYPERLINK("#"&amp;RIGHT(CELL("adresse",OFFSET(DMAV_Modell!$A$6,J416-1,0)),LEN(CELL("adresse",OFFSET(DMAV_Modell!$A$6,J416-1,0)))-SEARCH("]",CELL("adresse",OFFSET(DMAV_Modell!$A$6,J416-1,0)))),"Modell"))</f>
        <v>Modell</v>
      </c>
      <c r="H416" s="150" t="str">
        <f t="shared" si="12"/>
        <v>DTS9</v>
      </c>
      <c r="I416" s="150">
        <f t="shared" si="13"/>
        <v>0</v>
      </c>
      <c r="J416" s="150">
        <f>IF(_xlfn.XLOOKUP(H416,Korrelation!$B$4:$B$723,Korrelation!$A$4:$A$723,0,0)=0,0,MATCH(_xlfn.XLOOKUP(H416,Korrelation!$B$4:$B$723,Korrelation!$A$4:$A$723,0,0),DMAV_Modell!$G$6:$G$677,0))</f>
        <v>604</v>
      </c>
      <c r="L416" s="51" t="s">
        <v>22</v>
      </c>
      <c r="M416" s="51" t="s">
        <v>578</v>
      </c>
      <c r="N416" s="51" t="s">
        <v>104</v>
      </c>
      <c r="O416" s="52" t="s">
        <v>105</v>
      </c>
      <c r="P416" s="56"/>
      <c r="Q416" s="52" t="s">
        <v>106</v>
      </c>
      <c r="R416" s="52"/>
      <c r="T416" s="51" t="s">
        <v>6132</v>
      </c>
      <c r="U416" s="51" t="s">
        <v>880</v>
      </c>
      <c r="V416" s="51" t="s">
        <v>736</v>
      </c>
      <c r="W416" s="52" t="s">
        <v>105</v>
      </c>
      <c r="Y416" s="210" t="s">
        <v>6178</v>
      </c>
      <c r="AB416" s="51" t="s">
        <v>6278</v>
      </c>
      <c r="AC416" s="51" t="s">
        <v>4432</v>
      </c>
      <c r="AD416" s="51" t="s">
        <v>1595</v>
      </c>
      <c r="AE416" s="52" t="s">
        <v>105</v>
      </c>
      <c r="AG416" s="210" t="s">
        <v>6319</v>
      </c>
    </row>
    <row r="417" spans="1:34" ht="25.5" x14ac:dyDescent="0.25">
      <c r="A417" s="51" t="s">
        <v>3674</v>
      </c>
      <c r="B417" s="51">
        <v>10</v>
      </c>
      <c r="C417" s="51" t="s">
        <v>95</v>
      </c>
      <c r="D417" s="50">
        <v>1</v>
      </c>
      <c r="F417" s="189" t="str" cm="1">
        <f t="array" aca="1" ref="F417" ca="1">IF(I417=0,"",HYPERLINK("#"&amp;RIGHT(CELL("dateiname"),LEN(CELL("dateiname"))-FIND("]",CELL("dateiname")))&amp;"!"&amp;CELL("adresse",OFFSET($C$6,I417-1,0)),"Definition"))</f>
        <v/>
      </c>
      <c r="G417" s="189" t="str" cm="1">
        <f t="array" aca="1" ref="G417" ca="1">IF(J417=0,"",HYPERLINK("#"&amp;RIGHT(CELL("adresse",OFFSET(DMAV_Modell!$A$6,J417-1,0)),LEN(CELL("adresse",OFFSET(DMAV_Modell!$A$6,J417-1,0)))-SEARCH("]",CELL("adresse",OFFSET(DMAV_Modell!$A$6,J417-1,0)))),"Modell"))</f>
        <v>Modell</v>
      </c>
      <c r="H417" s="150" t="str">
        <f t="shared" si="12"/>
        <v>DTS10</v>
      </c>
      <c r="I417" s="150">
        <f t="shared" si="13"/>
        <v>0</v>
      </c>
      <c r="J417" s="150">
        <f>IF(_xlfn.XLOOKUP(H417,Korrelation!$B$4:$B$723,Korrelation!$A$4:$A$723,0,0)=0,0,MATCH(_xlfn.XLOOKUP(H417,Korrelation!$B$4:$B$723,Korrelation!$A$4:$A$723,0,0),DMAV_Modell!$G$6:$G$677,0))</f>
        <v>605</v>
      </c>
      <c r="L417" s="51" t="s">
        <v>22</v>
      </c>
      <c r="M417" s="51" t="s">
        <v>578</v>
      </c>
      <c r="N417" s="51" t="s">
        <v>107</v>
      </c>
      <c r="O417" s="52" t="s">
        <v>108</v>
      </c>
      <c r="P417" s="56"/>
      <c r="Q417" s="52" t="s">
        <v>109</v>
      </c>
      <c r="R417" s="52"/>
      <c r="T417" s="51" t="s">
        <v>6132</v>
      </c>
      <c r="U417" s="51" t="s">
        <v>880</v>
      </c>
      <c r="V417" s="51" t="s">
        <v>737</v>
      </c>
      <c r="W417" s="52" t="s">
        <v>108</v>
      </c>
      <c r="Y417" s="210" t="s">
        <v>6179</v>
      </c>
      <c r="AB417" s="51" t="s">
        <v>6278</v>
      </c>
      <c r="AC417" s="51" t="s">
        <v>4432</v>
      </c>
      <c r="AD417" s="51" t="s">
        <v>4014</v>
      </c>
      <c r="AE417" s="52" t="s">
        <v>108</v>
      </c>
      <c r="AG417" s="210" t="s">
        <v>6320</v>
      </c>
    </row>
    <row r="418" spans="1:34" x14ac:dyDescent="0.25">
      <c r="A418" s="51" t="s">
        <v>3674</v>
      </c>
      <c r="B418" s="51">
        <v>11</v>
      </c>
      <c r="C418" s="51" t="s">
        <v>95</v>
      </c>
      <c r="D418" s="50">
        <v>1</v>
      </c>
      <c r="F418" s="189" t="str" cm="1">
        <f t="array" aca="1" ref="F418" ca="1">IF(I418=0,"",HYPERLINK("#"&amp;RIGHT(CELL("dateiname"),LEN(CELL("dateiname"))-FIND("]",CELL("dateiname")))&amp;"!"&amp;CELL("adresse",OFFSET($C$6,I418-1,0)),"Definition"))</f>
        <v/>
      </c>
      <c r="G418" s="189" t="str" cm="1">
        <f t="array" aca="1" ref="G418" ca="1">IF(J418=0,"",HYPERLINK("#"&amp;RIGHT(CELL("adresse",OFFSET(DMAV_Modell!$A$6,J418-1,0)),LEN(CELL("adresse",OFFSET(DMAV_Modell!$A$6,J418-1,0)))-SEARCH("]",CELL("adresse",OFFSET(DMAV_Modell!$A$6,J418-1,0)))),"Modell"))</f>
        <v>Modell</v>
      </c>
      <c r="H418" s="150" t="str">
        <f t="shared" si="12"/>
        <v>DTS11</v>
      </c>
      <c r="I418" s="150">
        <f t="shared" si="13"/>
        <v>0</v>
      </c>
      <c r="J418" s="150">
        <f>IF(_xlfn.XLOOKUP(H418,Korrelation!$B$4:$B$723,Korrelation!$A$4:$A$723,0,0)=0,0,MATCH(_xlfn.XLOOKUP(H418,Korrelation!$B$4:$B$723,Korrelation!$A$4:$A$723,0,0),DMAV_Modell!$G$6:$G$677,0))</f>
        <v>606</v>
      </c>
      <c r="L418" s="51" t="s">
        <v>22</v>
      </c>
      <c r="M418" s="51" t="s">
        <v>567</v>
      </c>
      <c r="N418" s="51" t="s">
        <v>96</v>
      </c>
      <c r="O418" s="52" t="s">
        <v>97</v>
      </c>
      <c r="P418" s="56"/>
      <c r="Q418" s="52" t="s">
        <v>98</v>
      </c>
      <c r="R418" s="52"/>
      <c r="T418" s="51" t="s">
        <v>6132</v>
      </c>
      <c r="U418" s="51" t="s">
        <v>879</v>
      </c>
      <c r="V418" s="51" t="s">
        <v>733</v>
      </c>
      <c r="W418" s="52" t="s">
        <v>97</v>
      </c>
      <c r="Y418" s="210" t="s">
        <v>6175</v>
      </c>
      <c r="AB418" s="51" t="s">
        <v>6278</v>
      </c>
      <c r="AC418" s="51" t="s">
        <v>4433</v>
      </c>
      <c r="AD418" s="51" t="s">
        <v>1378</v>
      </c>
      <c r="AE418" s="52" t="s">
        <v>97</v>
      </c>
      <c r="AG418" s="210" t="s">
        <v>6316</v>
      </c>
    </row>
    <row r="419" spans="1:34" x14ac:dyDescent="0.25">
      <c r="A419" s="51" t="s">
        <v>3674</v>
      </c>
      <c r="B419" s="51">
        <v>12</v>
      </c>
      <c r="C419" s="51" t="s">
        <v>95</v>
      </c>
      <c r="D419" s="50" t="s">
        <v>72</v>
      </c>
      <c r="F419" s="189" t="str" cm="1">
        <f t="array" aca="1" ref="F419" ca="1">IF(I419=0,"",HYPERLINK("#"&amp;RIGHT(CELL("dateiname"),LEN(CELL("dateiname"))-FIND("]",CELL("dateiname")))&amp;"!"&amp;CELL("adresse",OFFSET($C$6,I419-1,0)),"Definition"))</f>
        <v/>
      </c>
      <c r="G419" s="189" t="str" cm="1">
        <f t="array" aca="1" ref="G419" ca="1">IF(J419=0,"",HYPERLINK("#"&amp;RIGHT(CELL("adresse",OFFSET(DMAV_Modell!$A$6,J419-1,0)),LEN(CELL("adresse",OFFSET(DMAV_Modell!$A$6,J419-1,0)))-SEARCH("]",CELL("adresse",OFFSET(DMAV_Modell!$A$6,J419-1,0)))),"Modell"))</f>
        <v>Modell</v>
      </c>
      <c r="H419" s="150" t="str">
        <f t="shared" si="12"/>
        <v>DTS12</v>
      </c>
      <c r="I419" s="150">
        <f t="shared" si="13"/>
        <v>0</v>
      </c>
      <c r="J419" s="150">
        <f>IF(_xlfn.XLOOKUP(H419,Korrelation!$B$4:$B$723,Korrelation!$A$4:$A$723,0,0)=0,0,MATCH(_xlfn.XLOOKUP(H419,Korrelation!$B$4:$B$723,Korrelation!$A$4:$A$723,0,0),DMAV_Modell!$G$6:$G$677,0))</f>
        <v>607</v>
      </c>
      <c r="L419" s="51" t="s">
        <v>22</v>
      </c>
      <c r="M419" s="51" t="s">
        <v>567</v>
      </c>
      <c r="N419" s="51" t="s">
        <v>99</v>
      </c>
      <c r="O419" s="52" t="s">
        <v>97</v>
      </c>
      <c r="P419" s="56"/>
      <c r="Q419" s="52" t="s">
        <v>330</v>
      </c>
      <c r="R419" s="52"/>
      <c r="T419" s="51" t="s">
        <v>6132</v>
      </c>
      <c r="U419" s="51" t="s">
        <v>879</v>
      </c>
      <c r="V419" s="51" t="s">
        <v>734</v>
      </c>
      <c r="W419" s="52" t="s">
        <v>97</v>
      </c>
      <c r="Y419" s="210" t="s">
        <v>7014</v>
      </c>
      <c r="AB419" s="51" t="s">
        <v>6278</v>
      </c>
      <c r="AC419" s="51" t="s">
        <v>4433</v>
      </c>
      <c r="AD419" s="51" t="s">
        <v>1376</v>
      </c>
      <c r="AE419" s="52" t="s">
        <v>97</v>
      </c>
      <c r="AG419" s="210" t="s">
        <v>6584</v>
      </c>
    </row>
    <row r="420" spans="1:34" x14ac:dyDescent="0.25">
      <c r="A420" s="51" t="s">
        <v>3674</v>
      </c>
      <c r="B420" s="51">
        <v>13</v>
      </c>
      <c r="C420" s="51" t="s">
        <v>95</v>
      </c>
      <c r="D420" s="50">
        <v>1</v>
      </c>
      <c r="E420" s="50" t="s">
        <v>3709</v>
      </c>
      <c r="F420" s="189" t="str" cm="1">
        <f t="array" aca="1" ref="F420" ca="1">IF(I420=0,"",HYPERLINK("#"&amp;RIGHT(CELL("dateiname"),LEN(CELL("dateiname"))-FIND("]",CELL("dateiname")))&amp;"!"&amp;CELL("adresse",OFFSET($C$6,I420-1,0)),"Definition"))</f>
        <v>Definition</v>
      </c>
      <c r="G420" s="189" t="str" cm="1">
        <f t="array" aca="1" ref="G420" ca="1">IF(J420=0,"",HYPERLINK("#"&amp;RIGHT(CELL("adresse",OFFSET(DMAV_Modell!$A$6,J420-1,0)),LEN(CELL("adresse",OFFSET(DMAV_Modell!$A$6,J420-1,0)))-SEARCH("]",CELL("adresse",OFFSET(DMAV_Modell!$A$6,J420-1,0)))),"Modell"))</f>
        <v>Modell</v>
      </c>
      <c r="H420" s="150" t="str">
        <f t="shared" si="12"/>
        <v>DTS13</v>
      </c>
      <c r="I420" s="150">
        <f t="shared" si="13"/>
        <v>403</v>
      </c>
      <c r="J420" s="150">
        <f>IF(_xlfn.XLOOKUP(H420,Korrelation!$B$4:$B$723,Korrelation!$A$4:$A$723,0,0)=0,0,MATCH(_xlfn.XLOOKUP(H420,Korrelation!$B$4:$B$723,Korrelation!$A$4:$A$723,0,0),DMAV_Modell!$G$6:$G$677,0))</f>
        <v>608</v>
      </c>
      <c r="L420" s="51" t="s">
        <v>22</v>
      </c>
      <c r="M420" s="51" t="s">
        <v>567</v>
      </c>
      <c r="N420" s="51" t="s">
        <v>567</v>
      </c>
      <c r="O420" s="52" t="s">
        <v>579</v>
      </c>
      <c r="P420" s="56"/>
      <c r="Q420" s="52" t="s">
        <v>580</v>
      </c>
      <c r="R420" s="52"/>
      <c r="T420" s="51" t="s">
        <v>6132</v>
      </c>
      <c r="U420" s="51" t="s">
        <v>879</v>
      </c>
      <c r="V420" s="51" t="s">
        <v>879</v>
      </c>
      <c r="W420" s="52" t="s">
        <v>7015</v>
      </c>
      <c r="Y420" s="210" t="s">
        <v>7016</v>
      </c>
      <c r="AB420" s="51" t="s">
        <v>6278</v>
      </c>
      <c r="AC420" s="51" t="s">
        <v>4433</v>
      </c>
      <c r="AD420" s="51" t="s">
        <v>4433</v>
      </c>
      <c r="AE420" s="52" t="s">
        <v>7017</v>
      </c>
      <c r="AG420" s="210" t="s">
        <v>7018</v>
      </c>
    </row>
    <row r="421" spans="1:34" ht="51" x14ac:dyDescent="0.25">
      <c r="A421" s="51" t="s">
        <v>3674</v>
      </c>
      <c r="B421" s="51">
        <v>14</v>
      </c>
      <c r="C421" s="51" t="s">
        <v>95</v>
      </c>
      <c r="D421" s="50">
        <v>1</v>
      </c>
      <c r="F421" s="189" t="str" cm="1">
        <f t="array" aca="1" ref="F421" ca="1">IF(I421=0,"",HYPERLINK("#"&amp;RIGHT(CELL("dateiname"),LEN(CELL("dateiname"))-FIND("]",CELL("dateiname")))&amp;"!"&amp;CELL("adresse",OFFSET($C$6,I421-1,0)),"Definition"))</f>
        <v/>
      </c>
      <c r="G421" s="189" t="str" cm="1">
        <f t="array" aca="1" ref="G421" ca="1">IF(J421=0,"",HYPERLINK("#"&amp;RIGHT(CELL("adresse",OFFSET(DMAV_Modell!$A$6,J421-1,0)),LEN(CELL("adresse",OFFSET(DMAV_Modell!$A$6,J421-1,0)))-SEARCH("]",CELL("adresse",OFFSET(DMAV_Modell!$A$6,J421-1,0)))),"Modell"))</f>
        <v>Modell</v>
      </c>
      <c r="H421" s="150" t="str">
        <f t="shared" si="12"/>
        <v>DTS14</v>
      </c>
      <c r="I421" s="150">
        <f t="shared" si="13"/>
        <v>0</v>
      </c>
      <c r="J421" s="150">
        <f>IF(_xlfn.XLOOKUP(H421,Korrelation!$B$4:$B$723,Korrelation!$A$4:$A$723,0,0)=0,0,MATCH(_xlfn.XLOOKUP(H421,Korrelation!$B$4:$B$723,Korrelation!$A$4:$A$723,0,0),DMAV_Modell!$G$6:$G$677,0))</f>
        <v>609</v>
      </c>
      <c r="L421" s="51" t="s">
        <v>22</v>
      </c>
      <c r="M421" s="51" t="s">
        <v>567</v>
      </c>
      <c r="N421" s="51" t="s">
        <v>213</v>
      </c>
      <c r="O421" s="52" t="s">
        <v>131</v>
      </c>
      <c r="P421" s="56" t="s">
        <v>214</v>
      </c>
      <c r="Q421" s="52" t="s">
        <v>581</v>
      </c>
      <c r="R421" s="52" t="s">
        <v>582</v>
      </c>
      <c r="T421" s="51" t="s">
        <v>6132</v>
      </c>
      <c r="U421" s="51" t="s">
        <v>879</v>
      </c>
      <c r="V421" s="51" t="s">
        <v>775</v>
      </c>
      <c r="W421" s="52" t="s">
        <v>131</v>
      </c>
      <c r="X421" s="209" t="s">
        <v>214</v>
      </c>
      <c r="Y421" s="210" t="s">
        <v>7019</v>
      </c>
      <c r="Z421" s="210" t="s">
        <v>7020</v>
      </c>
      <c r="AB421" s="51" t="s">
        <v>6278</v>
      </c>
      <c r="AC421" s="51" t="s">
        <v>4433</v>
      </c>
      <c r="AD421" s="51" t="s">
        <v>4068</v>
      </c>
      <c r="AE421" s="52" t="s">
        <v>131</v>
      </c>
      <c r="AF421" s="209" t="s">
        <v>214</v>
      </c>
      <c r="AG421" s="210" t="s">
        <v>7021</v>
      </c>
      <c r="AH421" s="210" t="s">
        <v>7022</v>
      </c>
    </row>
    <row r="422" spans="1:34" ht="38.25" x14ac:dyDescent="0.25">
      <c r="A422" s="51" t="s">
        <v>3674</v>
      </c>
      <c r="B422" s="51">
        <v>15</v>
      </c>
      <c r="C422" s="51" t="s">
        <v>95</v>
      </c>
      <c r="D422" s="50">
        <v>1</v>
      </c>
      <c r="F422" s="189" t="str" cm="1">
        <f t="array" aca="1" ref="F422" ca="1">IF(I422=0,"",HYPERLINK("#"&amp;RIGHT(CELL("dateiname"),LEN(CELL("dateiname"))-FIND("]",CELL("dateiname")))&amp;"!"&amp;CELL("adresse",OFFSET($C$6,I422-1,0)),"Definition"))</f>
        <v/>
      </c>
      <c r="G422" s="189" t="str" cm="1">
        <f t="array" aca="1" ref="G422" ca="1">IF(J422=0,"",HYPERLINK("#"&amp;RIGHT(CELL("adresse",OFFSET(DMAV_Modell!$A$6,J422-1,0)),LEN(CELL("adresse",OFFSET(DMAV_Modell!$A$6,J422-1,0)))-SEARCH("]",CELL("adresse",OFFSET(DMAV_Modell!$A$6,J422-1,0)))),"Modell"))</f>
        <v>Modell</v>
      </c>
      <c r="H422" s="150" t="str">
        <f t="shared" si="12"/>
        <v>DTS15</v>
      </c>
      <c r="I422" s="150">
        <f t="shared" si="13"/>
        <v>0</v>
      </c>
      <c r="J422" s="150">
        <f>IF(_xlfn.XLOOKUP(H422,Korrelation!$B$4:$B$723,Korrelation!$A$4:$A$723,0,0)=0,0,MATCH(_xlfn.XLOOKUP(H422,Korrelation!$B$4:$B$723,Korrelation!$A$4:$A$723,0,0),DMAV_Modell!$G$6:$G$677,0))</f>
        <v>610</v>
      </c>
      <c r="L422" s="51" t="s">
        <v>22</v>
      </c>
      <c r="M422" s="51" t="s">
        <v>567</v>
      </c>
      <c r="N422" s="51" t="s">
        <v>123</v>
      </c>
      <c r="O422" s="52" t="s">
        <v>3756</v>
      </c>
      <c r="P422" s="56"/>
      <c r="Q422" s="52" t="s">
        <v>3782</v>
      </c>
      <c r="R422" s="52" t="s">
        <v>94</v>
      </c>
      <c r="T422" s="51" t="s">
        <v>6132</v>
      </c>
      <c r="U422" s="51" t="s">
        <v>879</v>
      </c>
      <c r="V422" s="51" t="s">
        <v>123</v>
      </c>
      <c r="W422" s="52" t="s">
        <v>3756</v>
      </c>
      <c r="Y422" s="210" t="s">
        <v>7023</v>
      </c>
      <c r="Z422" s="210" t="s">
        <v>6166</v>
      </c>
      <c r="AB422" s="51" t="s">
        <v>6278</v>
      </c>
      <c r="AC422" s="51" t="s">
        <v>4433</v>
      </c>
      <c r="AD422" s="51" t="s">
        <v>1247</v>
      </c>
      <c r="AE422" s="52" t="s">
        <v>3756</v>
      </c>
      <c r="AG422" s="210" t="s">
        <v>7024</v>
      </c>
      <c r="AH422" s="210" t="s">
        <v>6308</v>
      </c>
    </row>
    <row r="423" spans="1:34" ht="38.25" x14ac:dyDescent="0.25">
      <c r="A423" s="51" t="s">
        <v>3675</v>
      </c>
      <c r="B423" s="51">
        <v>1</v>
      </c>
      <c r="C423" s="51" t="s">
        <v>34</v>
      </c>
      <c r="F423" s="189" t="str" cm="1">
        <f t="array" aca="1" ref="F423" ca="1">IF(I423=0,"",HYPERLINK("#"&amp;RIGHT(CELL("dateiname"),LEN(CELL("dateiname"))-FIND("]",CELL("dateiname")))&amp;"!"&amp;CELL("adresse",OFFSET($C$6,I423-1,0)),"Definition"))</f>
        <v/>
      </c>
      <c r="G423" s="189" t="str" cm="1">
        <f t="array" aca="1" ref="G423" ca="1">IF(J423=0,"",HYPERLINK("#"&amp;RIGHT(CELL("adresse",OFFSET(DMAV_Modell!$A$6,J423-1,0)),LEN(CELL("adresse",OFFSET(DMAV_Modell!$A$6,J423-1,0)))-SEARCH("]",CELL("adresse",OFFSET(DMAV_Modell!$A$6,J423-1,0)))),"Modell"))</f>
        <v/>
      </c>
      <c r="H423" s="150" t="str">
        <f t="shared" si="12"/>
        <v>DGA1</v>
      </c>
      <c r="I423" s="150">
        <f t="shared" si="13"/>
        <v>0</v>
      </c>
      <c r="J423" s="150">
        <f>IF(_xlfn.XLOOKUP(H423,Korrelation!$B$4:$B$723,Korrelation!$A$4:$A$723,0,0)=0,0,MATCH(_xlfn.XLOOKUP(H423,Korrelation!$B$4:$B$723,Korrelation!$A$4:$A$723,0,0),DMAV_Modell!$G$6:$G$677,0))</f>
        <v>0</v>
      </c>
      <c r="L423" s="51" t="s">
        <v>33</v>
      </c>
      <c r="M423" s="51" t="s">
        <v>590</v>
      </c>
      <c r="O423" s="52" t="s">
        <v>19</v>
      </c>
      <c r="P423" s="56"/>
      <c r="Q423" s="52" t="s">
        <v>591</v>
      </c>
      <c r="R423" s="52"/>
      <c r="T423" s="51" t="s">
        <v>6133</v>
      </c>
      <c r="U423" s="51" t="s">
        <v>883</v>
      </c>
      <c r="W423" s="52" t="s">
        <v>7026</v>
      </c>
      <c r="Y423" s="210" t="s">
        <v>7027</v>
      </c>
      <c r="AB423" s="51" t="s">
        <v>6279</v>
      </c>
      <c r="AC423" s="51" t="s">
        <v>4489</v>
      </c>
      <c r="AE423" s="52" t="s">
        <v>4357</v>
      </c>
      <c r="AG423" s="210" t="s">
        <v>7028</v>
      </c>
    </row>
    <row r="424" spans="1:34" ht="25.5" x14ac:dyDescent="0.25">
      <c r="A424" s="51" t="s">
        <v>3675</v>
      </c>
      <c r="B424" s="51">
        <v>2</v>
      </c>
      <c r="C424" s="51" t="s">
        <v>34</v>
      </c>
      <c r="F424" s="189" t="str" cm="1">
        <f t="array" aca="1" ref="F424" ca="1">IF(I424=0,"",HYPERLINK("#"&amp;RIGHT(CELL("dateiname"),LEN(CELL("dateiname"))-FIND("]",CELL("dateiname")))&amp;"!"&amp;CELL("adresse",OFFSET($C$6,I424-1,0)),"Definition"))</f>
        <v/>
      </c>
      <c r="G424" s="189" t="str" cm="1">
        <f t="array" aca="1" ref="G424" ca="1">IF(J424=0,"",HYPERLINK("#"&amp;RIGHT(CELL("adresse",OFFSET(DMAV_Modell!$A$6,J424-1,0)),LEN(CELL("adresse",OFFSET(DMAV_Modell!$A$6,J424-1,0)))-SEARCH("]",CELL("adresse",OFFSET(DMAV_Modell!$A$6,J424-1,0)))),"Modell"))</f>
        <v/>
      </c>
      <c r="H424" s="150" t="str">
        <f t="shared" si="12"/>
        <v>DGA2</v>
      </c>
      <c r="I424" s="150">
        <f t="shared" si="13"/>
        <v>0</v>
      </c>
      <c r="J424" s="150">
        <f>IF(_xlfn.XLOOKUP(H424,Korrelation!$B$4:$B$723,Korrelation!$A$4:$A$723,0,0)=0,0,MATCH(_xlfn.XLOOKUP(H424,Korrelation!$B$4:$B$723,Korrelation!$A$4:$A$723,0,0),DMAV_Modell!$G$6:$G$677,0))</f>
        <v>0</v>
      </c>
      <c r="L424" s="51" t="s">
        <v>33</v>
      </c>
      <c r="M424" s="51" t="s">
        <v>590</v>
      </c>
      <c r="O424" s="52" t="s">
        <v>20</v>
      </c>
      <c r="P424" s="56"/>
      <c r="Q424" s="52" t="s">
        <v>592</v>
      </c>
      <c r="R424" s="52"/>
      <c r="T424" s="51" t="s">
        <v>6133</v>
      </c>
      <c r="U424" s="51" t="s">
        <v>883</v>
      </c>
      <c r="W424" s="52" t="s">
        <v>7029</v>
      </c>
      <c r="Y424" s="210" t="s">
        <v>7030</v>
      </c>
      <c r="AB424" s="51" t="s">
        <v>6279</v>
      </c>
      <c r="AC424" s="51" t="s">
        <v>4489</v>
      </c>
      <c r="AE424" s="52" t="s">
        <v>4396</v>
      </c>
      <c r="AG424" s="210" t="s">
        <v>7031</v>
      </c>
    </row>
    <row r="425" spans="1:34" ht="25.5" x14ac:dyDescent="0.25">
      <c r="A425" s="51" t="s">
        <v>3675</v>
      </c>
      <c r="B425" s="51">
        <v>3</v>
      </c>
      <c r="C425" s="51" t="s">
        <v>34</v>
      </c>
      <c r="F425" s="189" t="str" cm="1">
        <f t="array" aca="1" ref="F425" ca="1">IF(I425=0,"",HYPERLINK("#"&amp;RIGHT(CELL("dateiname"),LEN(CELL("dateiname"))-FIND("]",CELL("dateiname")))&amp;"!"&amp;CELL("adresse",OFFSET($C$6,I425-1,0)),"Definition"))</f>
        <v/>
      </c>
      <c r="G425" s="189" t="str" cm="1">
        <f t="array" aca="1" ref="G425" ca="1">IF(J425=0,"",HYPERLINK("#"&amp;RIGHT(CELL("adresse",OFFSET(DMAV_Modell!$A$6,J425-1,0)),LEN(CELL("adresse",OFFSET(DMAV_Modell!$A$6,J425-1,0)))-SEARCH("]",CELL("adresse",OFFSET(DMAV_Modell!$A$6,J425-1,0)))),"Modell"))</f>
        <v/>
      </c>
      <c r="H425" s="150" t="str">
        <f t="shared" si="12"/>
        <v>DGA3</v>
      </c>
      <c r="I425" s="150">
        <f t="shared" si="13"/>
        <v>0</v>
      </c>
      <c r="J425" s="150">
        <f>IF(_xlfn.XLOOKUP(H425,Korrelation!$B$4:$B$723,Korrelation!$A$4:$A$723,0,0)=0,0,MATCH(_xlfn.XLOOKUP(H425,Korrelation!$B$4:$B$723,Korrelation!$A$4:$A$723,0,0),DMAV_Modell!$G$6:$G$677,0))</f>
        <v>0</v>
      </c>
      <c r="L425" s="51" t="s">
        <v>33</v>
      </c>
      <c r="M425" s="51" t="s">
        <v>593</v>
      </c>
      <c r="O425" s="52" t="s">
        <v>594</v>
      </c>
      <c r="P425" s="56"/>
      <c r="Q425" s="52" t="s">
        <v>595</v>
      </c>
      <c r="R425" s="52"/>
      <c r="T425" s="51" t="s">
        <v>6133</v>
      </c>
      <c r="U425" s="51" t="s">
        <v>884</v>
      </c>
      <c r="W425" s="52" t="s">
        <v>7032</v>
      </c>
      <c r="Y425" s="210" t="s">
        <v>7033</v>
      </c>
      <c r="AB425" s="51" t="s">
        <v>6279</v>
      </c>
      <c r="AC425" s="51" t="s">
        <v>4463</v>
      </c>
      <c r="AE425" s="52" t="s">
        <v>7034</v>
      </c>
      <c r="AG425" s="210" t="s">
        <v>7035</v>
      </c>
    </row>
    <row r="426" spans="1:34" ht="38.25" x14ac:dyDescent="0.25">
      <c r="A426" s="51" t="s">
        <v>3675</v>
      </c>
      <c r="B426" s="51">
        <v>4</v>
      </c>
      <c r="C426" s="51" t="s">
        <v>34</v>
      </c>
      <c r="F426" s="189" t="str" cm="1">
        <f t="array" aca="1" ref="F426" ca="1">IF(I426=0,"",HYPERLINK("#"&amp;RIGHT(CELL("dateiname"),LEN(CELL("dateiname"))-FIND("]",CELL("dateiname")))&amp;"!"&amp;CELL("adresse",OFFSET($C$6,I426-1,0)),"Definition"))</f>
        <v/>
      </c>
      <c r="G426" s="189" t="str" cm="1">
        <f t="array" aca="1" ref="G426" ca="1">IF(J426=0,"",HYPERLINK("#"&amp;RIGHT(CELL("adresse",OFFSET(DMAV_Modell!$A$6,J426-1,0)),LEN(CELL("adresse",OFFSET(DMAV_Modell!$A$6,J426-1,0)))-SEARCH("]",CELL("adresse",OFFSET(DMAV_Modell!$A$6,J426-1,0)))),"Modell"))</f>
        <v/>
      </c>
      <c r="H426" s="150" t="str">
        <f t="shared" si="12"/>
        <v>DGA4</v>
      </c>
      <c r="I426" s="150">
        <f t="shared" si="13"/>
        <v>0</v>
      </c>
      <c r="J426" s="150">
        <f>IF(_xlfn.XLOOKUP(H426,Korrelation!$B$4:$B$723,Korrelation!$A$4:$A$723,0,0)=0,0,MATCH(_xlfn.XLOOKUP(H426,Korrelation!$B$4:$B$723,Korrelation!$A$4:$A$723,0,0),DMAV_Modell!$G$6:$G$677,0))</f>
        <v>0</v>
      </c>
      <c r="L426" s="51" t="s">
        <v>33</v>
      </c>
      <c r="M426" s="51" t="s">
        <v>593</v>
      </c>
      <c r="O426" s="52" t="s">
        <v>596</v>
      </c>
      <c r="P426" s="56"/>
      <c r="Q426" s="52" t="s">
        <v>597</v>
      </c>
      <c r="R426" s="52"/>
      <c r="T426" s="51" t="s">
        <v>6133</v>
      </c>
      <c r="U426" s="51" t="s">
        <v>884</v>
      </c>
      <c r="W426" s="52" t="s">
        <v>7036</v>
      </c>
      <c r="Y426" s="210" t="s">
        <v>7037</v>
      </c>
      <c r="AB426" s="51" t="s">
        <v>6279</v>
      </c>
      <c r="AC426" s="51" t="s">
        <v>4463</v>
      </c>
      <c r="AE426" s="52" t="s">
        <v>7038</v>
      </c>
      <c r="AG426" s="210" t="s">
        <v>7039</v>
      </c>
    </row>
    <row r="427" spans="1:34" ht="25.5" x14ac:dyDescent="0.25">
      <c r="A427" s="51" t="s">
        <v>3675</v>
      </c>
      <c r="B427" s="51">
        <v>5</v>
      </c>
      <c r="C427" s="51" t="s">
        <v>34</v>
      </c>
      <c r="F427" s="189" t="str" cm="1">
        <f t="array" aca="1" ref="F427" ca="1">IF(I427=0,"",HYPERLINK("#"&amp;RIGHT(CELL("dateiname"),LEN(CELL("dateiname"))-FIND("]",CELL("dateiname")))&amp;"!"&amp;CELL("adresse",OFFSET($C$6,I427-1,0)),"Definition"))</f>
        <v/>
      </c>
      <c r="G427" s="189" t="str" cm="1">
        <f t="array" aca="1" ref="G427" ca="1">IF(J427=0,"",HYPERLINK("#"&amp;RIGHT(CELL("adresse",OFFSET(DMAV_Modell!$A$6,J427-1,0)),LEN(CELL("adresse",OFFSET(DMAV_Modell!$A$6,J427-1,0)))-SEARCH("]",CELL("adresse",OFFSET(DMAV_Modell!$A$6,J427-1,0)))),"Modell"))</f>
        <v/>
      </c>
      <c r="H427" s="150" t="str">
        <f t="shared" si="12"/>
        <v>DGA5</v>
      </c>
      <c r="I427" s="150">
        <f t="shared" si="13"/>
        <v>0</v>
      </c>
      <c r="J427" s="150">
        <f>IF(_xlfn.XLOOKUP(H427,Korrelation!$B$4:$B$723,Korrelation!$A$4:$A$723,0,0)=0,0,MATCH(_xlfn.XLOOKUP(H427,Korrelation!$B$4:$B$723,Korrelation!$A$4:$A$723,0,0),DMAV_Modell!$G$6:$G$677,0))</f>
        <v>0</v>
      </c>
      <c r="L427" s="51" t="s">
        <v>33</v>
      </c>
      <c r="M427" s="51" t="s">
        <v>593</v>
      </c>
      <c r="O427" s="52" t="s">
        <v>598</v>
      </c>
      <c r="P427" s="56"/>
      <c r="Q427" s="52" t="s">
        <v>599</v>
      </c>
      <c r="R427" s="52"/>
      <c r="T427" s="51" t="s">
        <v>6133</v>
      </c>
      <c r="U427" s="51" t="s">
        <v>884</v>
      </c>
      <c r="W427" s="52" t="s">
        <v>7040</v>
      </c>
      <c r="Y427" s="210" t="s">
        <v>7041</v>
      </c>
      <c r="AB427" s="51" t="s">
        <v>6279</v>
      </c>
      <c r="AC427" s="51" t="s">
        <v>4463</v>
      </c>
      <c r="AE427" s="52" t="s">
        <v>7042</v>
      </c>
      <c r="AG427" s="210" t="s">
        <v>7043</v>
      </c>
    </row>
    <row r="428" spans="1:34" ht="63.75" x14ac:dyDescent="0.25">
      <c r="A428" s="51" t="s">
        <v>3675</v>
      </c>
      <c r="B428" s="51">
        <v>6</v>
      </c>
      <c r="C428" s="51" t="s">
        <v>34</v>
      </c>
      <c r="F428" s="189" t="str" cm="1">
        <f t="array" aca="1" ref="F428" ca="1">IF(I428=0,"",HYPERLINK("#"&amp;RIGHT(CELL("dateiname"),LEN(CELL("dateiname"))-FIND("]",CELL("dateiname")))&amp;"!"&amp;CELL("adresse",OFFSET($C$6,I428-1,0)),"Definition"))</f>
        <v/>
      </c>
      <c r="G428" s="189" t="str" cm="1">
        <f t="array" aca="1" ref="G428" ca="1">IF(J428=0,"",HYPERLINK("#"&amp;RIGHT(CELL("adresse",OFFSET(DMAV_Modell!$A$6,J428-1,0)),LEN(CELL("adresse",OFFSET(DMAV_Modell!$A$6,J428-1,0)))-SEARCH("]",CELL("adresse",OFFSET(DMAV_Modell!$A$6,J428-1,0)))),"Modell"))</f>
        <v/>
      </c>
      <c r="H428" s="150" t="str">
        <f t="shared" si="12"/>
        <v>DGA6</v>
      </c>
      <c r="I428" s="150">
        <f t="shared" si="13"/>
        <v>0</v>
      </c>
      <c r="J428" s="150">
        <f>IF(_xlfn.XLOOKUP(H428,Korrelation!$B$4:$B$723,Korrelation!$A$4:$A$723,0,0)=0,0,MATCH(_xlfn.XLOOKUP(H428,Korrelation!$B$4:$B$723,Korrelation!$A$4:$A$723,0,0),DMAV_Modell!$G$6:$G$677,0))</f>
        <v>0</v>
      </c>
      <c r="L428" s="51" t="s">
        <v>33</v>
      </c>
      <c r="M428" s="51" t="s">
        <v>600</v>
      </c>
      <c r="O428" s="52" t="s">
        <v>601</v>
      </c>
      <c r="P428" s="56"/>
      <c r="Q428" s="52" t="s">
        <v>602</v>
      </c>
      <c r="R428" s="52"/>
      <c r="T428" s="51" t="s">
        <v>6133</v>
      </c>
      <c r="U428" s="51" t="s">
        <v>885</v>
      </c>
      <c r="W428" s="52" t="s">
        <v>7044</v>
      </c>
      <c r="Y428" s="210" t="s">
        <v>7045</v>
      </c>
      <c r="AB428" s="51" t="s">
        <v>6279</v>
      </c>
      <c r="AC428" s="51" t="s">
        <v>4466</v>
      </c>
      <c r="AE428" s="52" t="s">
        <v>7046</v>
      </c>
      <c r="AG428" s="210" t="s">
        <v>7047</v>
      </c>
    </row>
    <row r="429" spans="1:34" ht="25.5" x14ac:dyDescent="0.25">
      <c r="A429" s="51" t="s">
        <v>3675</v>
      </c>
      <c r="B429" s="51">
        <v>7</v>
      </c>
      <c r="C429" s="51" t="s">
        <v>34</v>
      </c>
      <c r="F429" s="189" t="str" cm="1">
        <f t="array" aca="1" ref="F429" ca="1">IF(I429=0,"",HYPERLINK("#"&amp;RIGHT(CELL("dateiname"),LEN(CELL("dateiname"))-FIND("]",CELL("dateiname")))&amp;"!"&amp;CELL("adresse",OFFSET($C$6,I429-1,0)),"Definition"))</f>
        <v/>
      </c>
      <c r="G429" s="189" t="str" cm="1">
        <f t="array" aca="1" ref="G429" ca="1">IF(J429=0,"",HYPERLINK("#"&amp;RIGHT(CELL("adresse",OFFSET(DMAV_Modell!$A$6,J429-1,0)),LEN(CELL("adresse",OFFSET(DMAV_Modell!$A$6,J429-1,0)))-SEARCH("]",CELL("adresse",OFFSET(DMAV_Modell!$A$6,J429-1,0)))),"Modell"))</f>
        <v/>
      </c>
      <c r="H429" s="150" t="str">
        <f t="shared" si="12"/>
        <v>DGA7</v>
      </c>
      <c r="I429" s="150">
        <f t="shared" si="13"/>
        <v>0</v>
      </c>
      <c r="J429" s="150">
        <f>IF(_xlfn.XLOOKUP(H429,Korrelation!$B$4:$B$723,Korrelation!$A$4:$A$723,0,0)=0,0,MATCH(_xlfn.XLOOKUP(H429,Korrelation!$B$4:$B$723,Korrelation!$A$4:$A$723,0,0),DMAV_Modell!$G$6:$G$677,0))</f>
        <v>0</v>
      </c>
      <c r="L429" s="51" t="s">
        <v>33</v>
      </c>
      <c r="M429" s="51" t="s">
        <v>600</v>
      </c>
      <c r="O429" s="52" t="s">
        <v>603</v>
      </c>
      <c r="P429" s="56"/>
      <c r="Q429" s="52" t="s">
        <v>604</v>
      </c>
      <c r="R429" s="52"/>
      <c r="T429" s="51" t="s">
        <v>6133</v>
      </c>
      <c r="U429" s="51" t="s">
        <v>885</v>
      </c>
      <c r="W429" s="52" t="s">
        <v>7048</v>
      </c>
      <c r="Y429" s="210" t="s">
        <v>7049</v>
      </c>
      <c r="AB429" s="51" t="s">
        <v>6279</v>
      </c>
      <c r="AC429" s="51" t="s">
        <v>4466</v>
      </c>
      <c r="AE429" s="52" t="s">
        <v>7050</v>
      </c>
      <c r="AG429" s="210" t="s">
        <v>7051</v>
      </c>
    </row>
    <row r="430" spans="1:34" ht="63.75" x14ac:dyDescent="0.25">
      <c r="A430" s="51" t="s">
        <v>3675</v>
      </c>
      <c r="B430" s="51">
        <v>8</v>
      </c>
      <c r="C430" s="51" t="s">
        <v>34</v>
      </c>
      <c r="F430" s="189" t="str" cm="1">
        <f t="array" aca="1" ref="F430" ca="1">IF(I430=0,"",HYPERLINK("#"&amp;RIGHT(CELL("dateiname"),LEN(CELL("dateiname"))-FIND("]",CELL("dateiname")))&amp;"!"&amp;CELL("adresse",OFFSET($C$6,I430-1,0)),"Definition"))</f>
        <v/>
      </c>
      <c r="G430" s="189" t="str" cm="1">
        <f t="array" aca="1" ref="G430" ca="1">IF(J430=0,"",HYPERLINK("#"&amp;RIGHT(CELL("adresse",OFFSET(DMAV_Modell!$A$6,J430-1,0)),LEN(CELL("adresse",OFFSET(DMAV_Modell!$A$6,J430-1,0)))-SEARCH("]",CELL("adresse",OFFSET(DMAV_Modell!$A$6,J430-1,0)))),"Modell"))</f>
        <v/>
      </c>
      <c r="H430" s="150" t="str">
        <f t="shared" si="12"/>
        <v>DGA8</v>
      </c>
      <c r="I430" s="150">
        <f t="shared" si="13"/>
        <v>0</v>
      </c>
      <c r="J430" s="150">
        <f>IF(_xlfn.XLOOKUP(H430,Korrelation!$B$4:$B$723,Korrelation!$A$4:$A$723,0,0)=0,0,MATCH(_xlfn.XLOOKUP(H430,Korrelation!$B$4:$B$723,Korrelation!$A$4:$A$723,0,0),DMAV_Modell!$G$6:$G$677,0))</f>
        <v>0</v>
      </c>
      <c r="L430" s="51" t="s">
        <v>33</v>
      </c>
      <c r="M430" s="51" t="s">
        <v>600</v>
      </c>
      <c r="O430" s="52" t="s">
        <v>605</v>
      </c>
      <c r="P430" s="56"/>
      <c r="Q430" s="52" t="s">
        <v>606</v>
      </c>
      <c r="R430" s="52"/>
      <c r="T430" s="51" t="s">
        <v>6133</v>
      </c>
      <c r="U430" s="51" t="s">
        <v>885</v>
      </c>
      <c r="W430" s="52" t="s">
        <v>7052</v>
      </c>
      <c r="Y430" s="210" t="s">
        <v>7053</v>
      </c>
      <c r="AB430" s="51" t="s">
        <v>6279</v>
      </c>
      <c r="AC430" s="51" t="s">
        <v>4466</v>
      </c>
      <c r="AE430" s="52" t="s">
        <v>7054</v>
      </c>
      <c r="AG430" s="210" t="s">
        <v>7055</v>
      </c>
    </row>
    <row r="431" spans="1:34" ht="76.5" x14ac:dyDescent="0.25">
      <c r="A431" s="51" t="s">
        <v>3675</v>
      </c>
      <c r="B431" s="51">
        <v>9</v>
      </c>
      <c r="C431" s="51" t="s">
        <v>34</v>
      </c>
      <c r="F431" s="189" t="str" cm="1">
        <f t="array" aca="1" ref="F431" ca="1">IF(I431=0,"",HYPERLINK("#"&amp;RIGHT(CELL("dateiname"),LEN(CELL("dateiname"))-FIND("]",CELL("dateiname")))&amp;"!"&amp;CELL("adresse",OFFSET($C$6,I431-1,0)),"Definition"))</f>
        <v/>
      </c>
      <c r="G431" s="189" t="str" cm="1">
        <f t="array" aca="1" ref="G431" ca="1">IF(J431=0,"",HYPERLINK("#"&amp;RIGHT(CELL("adresse",OFFSET(DMAV_Modell!$A$6,J431-1,0)),LEN(CELL("adresse",OFFSET(DMAV_Modell!$A$6,J431-1,0)))-SEARCH("]",CELL("adresse",OFFSET(DMAV_Modell!$A$6,J431-1,0)))),"Modell"))</f>
        <v/>
      </c>
      <c r="H431" s="150" t="str">
        <f t="shared" si="12"/>
        <v>DGA9</v>
      </c>
      <c r="I431" s="150">
        <f t="shared" si="13"/>
        <v>0</v>
      </c>
      <c r="J431" s="150">
        <f>IF(_xlfn.XLOOKUP(H431,Korrelation!$B$4:$B$723,Korrelation!$A$4:$A$723,0,0)=0,0,MATCH(_xlfn.XLOOKUP(H431,Korrelation!$B$4:$B$723,Korrelation!$A$4:$A$723,0,0),DMAV_Modell!$G$6:$G$677,0))</f>
        <v>0</v>
      </c>
      <c r="L431" s="51" t="s">
        <v>33</v>
      </c>
      <c r="M431" s="51" t="s">
        <v>600</v>
      </c>
      <c r="O431" s="52" t="s">
        <v>607</v>
      </c>
      <c r="P431" s="56"/>
      <c r="Q431" s="52" t="s">
        <v>608</v>
      </c>
      <c r="R431" s="52"/>
      <c r="T431" s="51" t="s">
        <v>6133</v>
      </c>
      <c r="U431" s="51" t="s">
        <v>885</v>
      </c>
      <c r="W431" s="52" t="s">
        <v>7056</v>
      </c>
      <c r="Y431" s="210" t="s">
        <v>7057</v>
      </c>
      <c r="AB431" s="51" t="s">
        <v>6279</v>
      </c>
      <c r="AC431" s="51" t="s">
        <v>4466</v>
      </c>
      <c r="AE431" s="52" t="s">
        <v>7058</v>
      </c>
      <c r="AG431" s="210" t="s">
        <v>7059</v>
      </c>
    </row>
    <row r="432" spans="1:34" ht="76.5" x14ac:dyDescent="0.25">
      <c r="A432" s="51" t="s">
        <v>3675</v>
      </c>
      <c r="B432" s="51">
        <v>10</v>
      </c>
      <c r="C432" s="51" t="s">
        <v>34</v>
      </c>
      <c r="F432" s="189" t="str" cm="1">
        <f t="array" aca="1" ref="F432" ca="1">IF(I432=0,"",HYPERLINK("#"&amp;RIGHT(CELL("dateiname"),LEN(CELL("dateiname"))-FIND("]",CELL("dateiname")))&amp;"!"&amp;CELL("adresse",OFFSET($C$6,I432-1,0)),"Definition"))</f>
        <v/>
      </c>
      <c r="G432" s="189" t="str" cm="1">
        <f t="array" aca="1" ref="G432" ca="1">IF(J432=0,"",HYPERLINK("#"&amp;RIGHT(CELL("adresse",OFFSET(DMAV_Modell!$A$6,J432-1,0)),LEN(CELL("adresse",OFFSET(DMAV_Modell!$A$6,J432-1,0)))-SEARCH("]",CELL("adresse",OFFSET(DMAV_Modell!$A$6,J432-1,0)))),"Modell"))</f>
        <v/>
      </c>
      <c r="H432" s="150" t="str">
        <f t="shared" si="12"/>
        <v>DGA10</v>
      </c>
      <c r="I432" s="150">
        <f t="shared" si="13"/>
        <v>0</v>
      </c>
      <c r="J432" s="150">
        <f>IF(_xlfn.XLOOKUP(H432,Korrelation!$B$4:$B$723,Korrelation!$A$4:$A$723,0,0)=0,0,MATCH(_xlfn.XLOOKUP(H432,Korrelation!$B$4:$B$723,Korrelation!$A$4:$A$723,0,0),DMAV_Modell!$G$6:$G$677,0))</f>
        <v>0</v>
      </c>
      <c r="L432" s="51" t="s">
        <v>33</v>
      </c>
      <c r="M432" s="51" t="s">
        <v>600</v>
      </c>
      <c r="O432" s="52" t="s">
        <v>609</v>
      </c>
      <c r="P432" s="56"/>
      <c r="Q432" s="52" t="s">
        <v>610</v>
      </c>
      <c r="R432" s="52"/>
      <c r="T432" s="51" t="s">
        <v>6133</v>
      </c>
      <c r="U432" s="51" t="s">
        <v>885</v>
      </c>
      <c r="W432" s="52" t="s">
        <v>7060</v>
      </c>
      <c r="Y432" s="210" t="s">
        <v>7061</v>
      </c>
      <c r="AB432" s="51" t="s">
        <v>6279</v>
      </c>
      <c r="AC432" s="51" t="s">
        <v>4466</v>
      </c>
      <c r="AE432" s="52" t="s">
        <v>7062</v>
      </c>
      <c r="AG432" s="210" t="s">
        <v>7063</v>
      </c>
    </row>
    <row r="433" spans="1:34" x14ac:dyDescent="0.25">
      <c r="A433" s="51" t="s">
        <v>3675</v>
      </c>
      <c r="B433" s="51">
        <v>11</v>
      </c>
      <c r="C433" s="51" t="s">
        <v>34</v>
      </c>
      <c r="F433" s="189" t="str" cm="1">
        <f t="array" aca="1" ref="F433" ca="1">IF(I433=0,"",HYPERLINK("#"&amp;RIGHT(CELL("dateiname"),LEN(CELL("dateiname"))-FIND("]",CELL("dateiname")))&amp;"!"&amp;CELL("adresse",OFFSET($C$6,I433-1,0)),"Definition"))</f>
        <v/>
      </c>
      <c r="G433" s="189" t="str" cm="1">
        <f t="array" aca="1" ref="G433" ca="1">IF(J433=0,"",HYPERLINK("#"&amp;RIGHT(CELL("adresse",OFFSET(DMAV_Modell!$A$6,J433-1,0)),LEN(CELL("adresse",OFFSET(DMAV_Modell!$A$6,J433-1,0)))-SEARCH("]",CELL("adresse",OFFSET(DMAV_Modell!$A$6,J433-1,0)))),"Modell"))</f>
        <v>Modell</v>
      </c>
      <c r="H433" s="150" t="str">
        <f t="shared" si="12"/>
        <v>DGA11</v>
      </c>
      <c r="I433" s="150">
        <f t="shared" si="13"/>
        <v>0</v>
      </c>
      <c r="J433" s="150">
        <f>IF(_xlfn.XLOOKUP(H433,Korrelation!$B$4:$B$723,Korrelation!$A$4:$A$723,0,0)=0,0,MATCH(_xlfn.XLOOKUP(H433,Korrelation!$B$4:$B$723,Korrelation!$A$4:$A$723,0,0),DMAV_Modell!$G$6:$G$677,0))</f>
        <v>616</v>
      </c>
      <c r="L433" s="51" t="s">
        <v>33</v>
      </c>
      <c r="M433" s="51" t="s">
        <v>611</v>
      </c>
      <c r="O433" s="52" t="s">
        <v>612</v>
      </c>
      <c r="P433" s="56"/>
      <c r="Q433" s="52" t="s">
        <v>613</v>
      </c>
      <c r="R433" s="52"/>
      <c r="T433" s="51" t="s">
        <v>6133</v>
      </c>
      <c r="U433" s="51" t="s">
        <v>886</v>
      </c>
      <c r="W433" s="52" t="s">
        <v>612</v>
      </c>
      <c r="Y433" s="210" t="s">
        <v>7064</v>
      </c>
      <c r="AB433" s="51" t="s">
        <v>6279</v>
      </c>
      <c r="AC433" s="51" t="s">
        <v>1426</v>
      </c>
      <c r="AE433" s="52" t="s">
        <v>612</v>
      </c>
      <c r="AG433" s="210" t="s">
        <v>7065</v>
      </c>
    </row>
    <row r="434" spans="1:34" x14ac:dyDescent="0.25">
      <c r="A434" s="51" t="s">
        <v>3675</v>
      </c>
      <c r="B434" s="51">
        <v>12</v>
      </c>
      <c r="C434" s="51" t="s">
        <v>34</v>
      </c>
      <c r="F434" s="189" t="str" cm="1">
        <f t="array" aca="1" ref="F434" ca="1">IF(I434=0,"",HYPERLINK("#"&amp;RIGHT(CELL("dateiname"),LEN(CELL("dateiname"))-FIND("]",CELL("dateiname")))&amp;"!"&amp;CELL("adresse",OFFSET($C$6,I434-1,0)),"Definition"))</f>
        <v/>
      </c>
      <c r="G434" s="189" t="str" cm="1">
        <f t="array" aca="1" ref="G434" ca="1">IF(J434=0,"",HYPERLINK("#"&amp;RIGHT(CELL("adresse",OFFSET(DMAV_Modell!$A$6,J434-1,0)),LEN(CELL("adresse",OFFSET(DMAV_Modell!$A$6,J434-1,0)))-SEARCH("]",CELL("adresse",OFFSET(DMAV_Modell!$A$6,J434-1,0)))),"Modell"))</f>
        <v>Modell</v>
      </c>
      <c r="H434" s="150" t="str">
        <f t="shared" si="12"/>
        <v>DGA12</v>
      </c>
      <c r="I434" s="150">
        <f t="shared" si="13"/>
        <v>0</v>
      </c>
      <c r="J434" s="150">
        <f>IF(_xlfn.XLOOKUP(H434,Korrelation!$B$4:$B$723,Korrelation!$A$4:$A$723,0,0)=0,0,MATCH(_xlfn.XLOOKUP(H434,Korrelation!$B$4:$B$723,Korrelation!$A$4:$A$723,0,0),DMAV_Modell!$G$6:$G$677,0))</f>
        <v>617</v>
      </c>
      <c r="L434" s="51" t="s">
        <v>33</v>
      </c>
      <c r="M434" s="51" t="s">
        <v>611</v>
      </c>
      <c r="O434" s="52" t="s">
        <v>614</v>
      </c>
      <c r="P434" s="56"/>
      <c r="Q434" s="52" t="s">
        <v>615</v>
      </c>
      <c r="R434" s="52"/>
      <c r="T434" s="51" t="s">
        <v>6133</v>
      </c>
      <c r="U434" s="51" t="s">
        <v>886</v>
      </c>
      <c r="W434" s="52" t="s">
        <v>614</v>
      </c>
      <c r="Y434" s="210" t="s">
        <v>7066</v>
      </c>
      <c r="AB434" s="51" t="s">
        <v>6279</v>
      </c>
      <c r="AC434" s="51" t="s">
        <v>1426</v>
      </c>
      <c r="AE434" s="52" t="s">
        <v>614</v>
      </c>
      <c r="AG434" s="210" t="s">
        <v>7067</v>
      </c>
    </row>
    <row r="435" spans="1:34" x14ac:dyDescent="0.25">
      <c r="A435" s="51" t="s">
        <v>3675</v>
      </c>
      <c r="B435" s="51">
        <v>13</v>
      </c>
      <c r="C435" s="51" t="s">
        <v>34</v>
      </c>
      <c r="F435" s="189" t="str" cm="1">
        <f t="array" aca="1" ref="F435" ca="1">IF(I435=0,"",HYPERLINK("#"&amp;RIGHT(CELL("dateiname"),LEN(CELL("dateiname"))-FIND("]",CELL("dateiname")))&amp;"!"&amp;CELL("adresse",OFFSET($C$6,I435-1,0)),"Definition"))</f>
        <v/>
      </c>
      <c r="G435" s="189" t="str" cm="1">
        <f t="array" aca="1" ref="G435" ca="1">IF(J435=0,"",HYPERLINK("#"&amp;RIGHT(CELL("adresse",OFFSET(DMAV_Modell!$A$6,J435-1,0)),LEN(CELL("adresse",OFFSET(DMAV_Modell!$A$6,J435-1,0)))-SEARCH("]",CELL("adresse",OFFSET(DMAV_Modell!$A$6,J435-1,0)))),"Modell"))</f>
        <v>Modell</v>
      </c>
      <c r="H435" s="150" t="str">
        <f t="shared" si="12"/>
        <v>DGA13</v>
      </c>
      <c r="I435" s="150">
        <f t="shared" si="13"/>
        <v>0</v>
      </c>
      <c r="J435" s="150">
        <f>IF(_xlfn.XLOOKUP(H435,Korrelation!$B$4:$B$723,Korrelation!$A$4:$A$723,0,0)=0,0,MATCH(_xlfn.XLOOKUP(H435,Korrelation!$B$4:$B$723,Korrelation!$A$4:$A$723,0,0),DMAV_Modell!$G$6:$G$677,0))</f>
        <v>618</v>
      </c>
      <c r="L435" s="51" t="s">
        <v>33</v>
      </c>
      <c r="M435" s="51" t="s">
        <v>611</v>
      </c>
      <c r="O435" s="52" t="s">
        <v>616</v>
      </c>
      <c r="P435" s="56"/>
      <c r="Q435" s="52" t="s">
        <v>617</v>
      </c>
      <c r="R435" s="52"/>
      <c r="T435" s="51" t="s">
        <v>6133</v>
      </c>
      <c r="U435" s="51" t="s">
        <v>886</v>
      </c>
      <c r="W435" s="52" t="s">
        <v>616</v>
      </c>
      <c r="Y435" s="210" t="s">
        <v>7068</v>
      </c>
      <c r="AB435" s="51" t="s">
        <v>6279</v>
      </c>
      <c r="AC435" s="51" t="s">
        <v>1426</v>
      </c>
      <c r="AE435" s="52" t="s">
        <v>616</v>
      </c>
      <c r="AG435" s="210" t="s">
        <v>3790</v>
      </c>
    </row>
    <row r="436" spans="1:34" x14ac:dyDescent="0.25">
      <c r="A436" s="51" t="s">
        <v>3675</v>
      </c>
      <c r="B436" s="51">
        <v>14</v>
      </c>
      <c r="C436" s="51" t="s">
        <v>34</v>
      </c>
      <c r="F436" s="189" t="str" cm="1">
        <f t="array" aca="1" ref="F436" ca="1">IF(I436=0,"",HYPERLINK("#"&amp;RIGHT(CELL("dateiname"),LEN(CELL("dateiname"))-FIND("]",CELL("dateiname")))&amp;"!"&amp;CELL("adresse",OFFSET($C$6,I436-1,0)),"Definition"))</f>
        <v/>
      </c>
      <c r="G436" s="189" t="str" cm="1">
        <f t="array" aca="1" ref="G436" ca="1">IF(J436=0,"",HYPERLINK("#"&amp;RIGHT(CELL("adresse",OFFSET(DMAV_Modell!$A$6,J436-1,0)),LEN(CELL("adresse",OFFSET(DMAV_Modell!$A$6,J436-1,0)))-SEARCH("]",CELL("adresse",OFFSET(DMAV_Modell!$A$6,J436-1,0)))),"Modell"))</f>
        <v>Modell</v>
      </c>
      <c r="H436" s="150" t="str">
        <f t="shared" si="12"/>
        <v>DGA14</v>
      </c>
      <c r="I436" s="150">
        <f t="shared" si="13"/>
        <v>0</v>
      </c>
      <c r="J436" s="150">
        <f>IF(_xlfn.XLOOKUP(H436,Korrelation!$B$4:$B$723,Korrelation!$A$4:$A$723,0,0)=0,0,MATCH(_xlfn.XLOOKUP(H436,Korrelation!$B$4:$B$723,Korrelation!$A$4:$A$723,0,0),DMAV_Modell!$G$6:$G$677,0))</f>
        <v>619</v>
      </c>
      <c r="L436" s="51" t="s">
        <v>33</v>
      </c>
      <c r="M436" s="51" t="s">
        <v>611</v>
      </c>
      <c r="O436" s="52" t="s">
        <v>618</v>
      </c>
      <c r="P436" s="56"/>
      <c r="Q436" s="52" t="s">
        <v>619</v>
      </c>
      <c r="R436" s="52"/>
      <c r="T436" s="51" t="s">
        <v>6133</v>
      </c>
      <c r="U436" s="51" t="s">
        <v>886</v>
      </c>
      <c r="W436" s="52" t="s">
        <v>618</v>
      </c>
      <c r="Y436" s="210" t="s">
        <v>7069</v>
      </c>
      <c r="AB436" s="51" t="s">
        <v>6279</v>
      </c>
      <c r="AC436" s="51" t="s">
        <v>1426</v>
      </c>
      <c r="AE436" s="52" t="s">
        <v>618</v>
      </c>
      <c r="AG436" s="210" t="s">
        <v>7070</v>
      </c>
    </row>
    <row r="437" spans="1:34" x14ac:dyDescent="0.25">
      <c r="A437" s="51" t="s">
        <v>3675</v>
      </c>
      <c r="B437" s="51">
        <v>15</v>
      </c>
      <c r="C437" s="51" t="s">
        <v>34</v>
      </c>
      <c r="F437" s="189" t="str" cm="1">
        <f t="array" aca="1" ref="F437" ca="1">IF(I437=0,"",HYPERLINK("#"&amp;RIGHT(CELL("dateiname"),LEN(CELL("dateiname"))-FIND("]",CELL("dateiname")))&amp;"!"&amp;CELL("adresse",OFFSET($C$6,I437-1,0)),"Definition"))</f>
        <v/>
      </c>
      <c r="G437" s="189" t="str" cm="1">
        <f t="array" aca="1" ref="G437" ca="1">IF(J437=0,"",HYPERLINK("#"&amp;RIGHT(CELL("adresse",OFFSET(DMAV_Modell!$A$6,J437-1,0)),LEN(CELL("adresse",OFFSET(DMAV_Modell!$A$6,J437-1,0)))-SEARCH("]",CELL("adresse",OFFSET(DMAV_Modell!$A$6,J437-1,0)))),"Modell"))</f>
        <v/>
      </c>
      <c r="H437" s="150" t="str">
        <f t="shared" si="12"/>
        <v>DGA15</v>
      </c>
      <c r="I437" s="150">
        <f t="shared" si="13"/>
        <v>0</v>
      </c>
      <c r="J437" s="150">
        <f>IF(_xlfn.XLOOKUP(H437,Korrelation!$B$4:$B$723,Korrelation!$A$4:$A$723,0,0)=0,0,MATCH(_xlfn.XLOOKUP(H437,Korrelation!$B$4:$B$723,Korrelation!$A$4:$A$723,0,0),DMAV_Modell!$G$6:$G$677,0))</f>
        <v>0</v>
      </c>
      <c r="L437" s="51" t="s">
        <v>33</v>
      </c>
      <c r="M437" s="51" t="s">
        <v>393</v>
      </c>
      <c r="O437" s="52" t="s">
        <v>394</v>
      </c>
      <c r="P437" s="56"/>
      <c r="Q437" s="52" t="s">
        <v>620</v>
      </c>
      <c r="R437" s="52"/>
      <c r="T437" s="51" t="s">
        <v>6133</v>
      </c>
      <c r="U437" s="51" t="s">
        <v>814</v>
      </c>
      <c r="W437" s="52" t="s">
        <v>815</v>
      </c>
      <c r="Y437" s="210" t="s">
        <v>7071</v>
      </c>
      <c r="AB437" s="51" t="s">
        <v>6279</v>
      </c>
      <c r="AC437" s="51" t="s">
        <v>3946</v>
      </c>
      <c r="AE437" s="52" t="s">
        <v>2674</v>
      </c>
      <c r="AG437" s="210" t="s">
        <v>7072</v>
      </c>
    </row>
    <row r="438" spans="1:34" ht="25.5" x14ac:dyDescent="0.25">
      <c r="A438" s="51" t="s">
        <v>3675</v>
      </c>
      <c r="B438" s="51">
        <v>16</v>
      </c>
      <c r="C438" s="51" t="s">
        <v>34</v>
      </c>
      <c r="F438" s="189" t="str" cm="1">
        <f t="array" aca="1" ref="F438" ca="1">IF(I438=0,"",HYPERLINK("#"&amp;RIGHT(CELL("dateiname"),LEN(CELL("dateiname"))-FIND("]",CELL("dateiname")))&amp;"!"&amp;CELL("adresse",OFFSET($C$6,I438-1,0)),"Definition"))</f>
        <v/>
      </c>
      <c r="G438" s="189" t="str" cm="1">
        <f t="array" aca="1" ref="G438" ca="1">IF(J438=0,"",HYPERLINK("#"&amp;RIGHT(CELL("adresse",OFFSET(DMAV_Modell!$A$6,J438-1,0)),LEN(CELL("adresse",OFFSET(DMAV_Modell!$A$6,J438-1,0)))-SEARCH("]",CELL("adresse",OFFSET(DMAV_Modell!$A$6,J438-1,0)))),"Modell"))</f>
        <v/>
      </c>
      <c r="H438" s="150" t="str">
        <f t="shared" si="12"/>
        <v>DGA16</v>
      </c>
      <c r="I438" s="150">
        <f t="shared" si="13"/>
        <v>0</v>
      </c>
      <c r="J438" s="150">
        <f>IF(_xlfn.XLOOKUP(H438,Korrelation!$B$4:$B$723,Korrelation!$A$4:$A$723,0,0)=0,0,MATCH(_xlfn.XLOOKUP(H438,Korrelation!$B$4:$B$723,Korrelation!$A$4:$A$723,0,0),DMAV_Modell!$G$6:$G$677,0))</f>
        <v>0</v>
      </c>
      <c r="L438" s="51" t="s">
        <v>33</v>
      </c>
      <c r="M438" s="51" t="s">
        <v>393</v>
      </c>
      <c r="O438" s="52" t="s">
        <v>396</v>
      </c>
      <c r="P438" s="56"/>
      <c r="Q438" s="52" t="s">
        <v>621</v>
      </c>
      <c r="R438" s="52"/>
      <c r="T438" s="51" t="s">
        <v>6133</v>
      </c>
      <c r="U438" s="51" t="s">
        <v>814</v>
      </c>
      <c r="W438" s="52" t="s">
        <v>816</v>
      </c>
      <c r="Y438" s="210" t="s">
        <v>7073</v>
      </c>
      <c r="AB438" s="51" t="s">
        <v>6279</v>
      </c>
      <c r="AC438" s="51" t="s">
        <v>3946</v>
      </c>
      <c r="AE438" s="52" t="s">
        <v>2670</v>
      </c>
      <c r="AG438" s="210" t="s">
        <v>7074</v>
      </c>
    </row>
    <row r="439" spans="1:34" ht="25.5" x14ac:dyDescent="0.25">
      <c r="A439" s="51" t="s">
        <v>3675</v>
      </c>
      <c r="B439" s="51">
        <v>17</v>
      </c>
      <c r="C439" s="51" t="s">
        <v>34</v>
      </c>
      <c r="F439" s="189" t="str" cm="1">
        <f t="array" aca="1" ref="F439" ca="1">IF(I439=0,"",HYPERLINK("#"&amp;RIGHT(CELL("dateiname"),LEN(CELL("dateiname"))-FIND("]",CELL("dateiname")))&amp;"!"&amp;CELL("adresse",OFFSET($C$6,I439-1,0)),"Definition"))</f>
        <v/>
      </c>
      <c r="G439" s="189" t="str" cm="1">
        <f t="array" aca="1" ref="G439" ca="1">IF(J439=0,"",HYPERLINK("#"&amp;RIGHT(CELL("adresse",OFFSET(DMAV_Modell!$A$6,J439-1,0)),LEN(CELL("adresse",OFFSET(DMAV_Modell!$A$6,J439-1,0)))-SEARCH("]",CELL("adresse",OFFSET(DMAV_Modell!$A$6,J439-1,0)))),"Modell"))</f>
        <v/>
      </c>
      <c r="H439" s="150" t="str">
        <f t="shared" si="12"/>
        <v>DGA17</v>
      </c>
      <c r="I439" s="150">
        <f t="shared" si="13"/>
        <v>0</v>
      </c>
      <c r="J439" s="150">
        <f>IF(_xlfn.XLOOKUP(H439,Korrelation!$B$4:$B$723,Korrelation!$A$4:$A$723,0,0)=0,0,MATCH(_xlfn.XLOOKUP(H439,Korrelation!$B$4:$B$723,Korrelation!$A$4:$A$723,0,0),DMAV_Modell!$G$6:$G$677,0))</f>
        <v>0</v>
      </c>
      <c r="L439" s="51" t="s">
        <v>33</v>
      </c>
      <c r="M439" s="51" t="s">
        <v>393</v>
      </c>
      <c r="O439" s="52" t="s">
        <v>398</v>
      </c>
      <c r="P439" s="56"/>
      <c r="Q439" s="52" t="s">
        <v>399</v>
      </c>
      <c r="R439" s="52"/>
      <c r="T439" s="51" t="s">
        <v>6133</v>
      </c>
      <c r="U439" s="51" t="s">
        <v>814</v>
      </c>
      <c r="W439" s="52" t="s">
        <v>817</v>
      </c>
      <c r="Y439" s="210" t="s">
        <v>7075</v>
      </c>
      <c r="AB439" s="51" t="s">
        <v>6279</v>
      </c>
      <c r="AC439" s="51" t="s">
        <v>3946</v>
      </c>
      <c r="AE439" s="52" t="s">
        <v>2666</v>
      </c>
      <c r="AG439" s="210" t="s">
        <v>6724</v>
      </c>
    </row>
    <row r="440" spans="1:34" ht="38.25" x14ac:dyDescent="0.25">
      <c r="A440" s="51" t="s">
        <v>3675</v>
      </c>
      <c r="B440" s="51">
        <v>18</v>
      </c>
      <c r="C440" s="51" t="s">
        <v>66</v>
      </c>
      <c r="D440" s="50">
        <v>1</v>
      </c>
      <c r="F440" s="189" t="str" cm="1">
        <f t="array" aca="1" ref="F440" ca="1">IF(I440=0,"",HYPERLINK("#"&amp;RIGHT(CELL("dateiname"),LEN(CELL("dateiname"))-FIND("]",CELL("dateiname")))&amp;"!"&amp;CELL("adresse",OFFSET($C$6,I440-1,0)),"Definition"))</f>
        <v/>
      </c>
      <c r="G440" s="189" t="str" cm="1">
        <f t="array" aca="1" ref="G440" ca="1">IF(J440=0,"",HYPERLINK("#"&amp;RIGHT(CELL("adresse",OFFSET(DMAV_Modell!$A$6,J440-1,0)),LEN(CELL("adresse",OFFSET(DMAV_Modell!$A$6,J440-1,0)))-SEARCH("]",CELL("adresse",OFFSET(DMAV_Modell!$A$6,J440-1,0)))),"Modell"))</f>
        <v>Modell</v>
      </c>
      <c r="H440" s="150" t="str">
        <f t="shared" si="12"/>
        <v>DGA18</v>
      </c>
      <c r="I440" s="150">
        <f t="shared" si="13"/>
        <v>0</v>
      </c>
      <c r="J440" s="150">
        <f>IF(_xlfn.XLOOKUP(H440,Korrelation!$B$4:$B$723,Korrelation!$A$4:$A$723,0,0)=0,0,MATCH(_xlfn.XLOOKUP(H440,Korrelation!$B$4:$B$723,Korrelation!$A$4:$A$723,0,0),DMAV_Modell!$G$6:$G$677,0))</f>
        <v>630</v>
      </c>
      <c r="L440" s="51" t="s">
        <v>33</v>
      </c>
      <c r="M440" s="51" t="s">
        <v>598</v>
      </c>
      <c r="N440" s="51" t="s">
        <v>123</v>
      </c>
      <c r="O440" s="52" t="s">
        <v>105</v>
      </c>
      <c r="P440" s="56"/>
      <c r="Q440" s="52" t="s">
        <v>3742</v>
      </c>
      <c r="R440" s="52" t="s">
        <v>622</v>
      </c>
      <c r="T440" s="51" t="s">
        <v>6133</v>
      </c>
      <c r="U440" s="51" t="s">
        <v>887</v>
      </c>
      <c r="V440" s="51" t="s">
        <v>123</v>
      </c>
      <c r="W440" s="52" t="s">
        <v>105</v>
      </c>
      <c r="Y440" s="210" t="s">
        <v>6249</v>
      </c>
      <c r="Z440" s="210" t="s">
        <v>6166</v>
      </c>
      <c r="AB440" s="51" t="s">
        <v>6279</v>
      </c>
      <c r="AC440" s="51" t="s">
        <v>4454</v>
      </c>
      <c r="AD440" s="51" t="s">
        <v>1247</v>
      </c>
      <c r="AE440" s="52" t="s">
        <v>105</v>
      </c>
      <c r="AG440" s="210" t="s">
        <v>6389</v>
      </c>
      <c r="AH440" s="210" t="s">
        <v>6308</v>
      </c>
    </row>
    <row r="441" spans="1:34" x14ac:dyDescent="0.25">
      <c r="A441" s="51" t="s">
        <v>3675</v>
      </c>
      <c r="B441" s="51">
        <v>19</v>
      </c>
      <c r="C441" s="51" t="s">
        <v>66</v>
      </c>
      <c r="D441" s="50">
        <v>1</v>
      </c>
      <c r="F441" s="189" t="str" cm="1">
        <f t="array" aca="1" ref="F441" ca="1">IF(I441=0,"",HYPERLINK("#"&amp;RIGHT(CELL("dateiname"),LEN(CELL("dateiname"))-FIND("]",CELL("dateiname")))&amp;"!"&amp;CELL("adresse",OFFSET($C$6,I441-1,0)),"Definition"))</f>
        <v/>
      </c>
      <c r="G441" s="189" t="str" cm="1">
        <f t="array" aca="1" ref="G441" ca="1">IF(J441=0,"",HYPERLINK("#"&amp;RIGHT(CELL("adresse",OFFSET(DMAV_Modell!$A$6,J441-1,0)),LEN(CELL("adresse",OFFSET(DMAV_Modell!$A$6,J441-1,0)))-SEARCH("]",CELL("adresse",OFFSET(DMAV_Modell!$A$6,J441-1,0)))),"Modell"))</f>
        <v>Modell</v>
      </c>
      <c r="H441" s="150" t="str">
        <f t="shared" si="12"/>
        <v>DGA19</v>
      </c>
      <c r="I441" s="150">
        <f t="shared" si="13"/>
        <v>0</v>
      </c>
      <c r="J441" s="150">
        <f>IF(_xlfn.XLOOKUP(H441,Korrelation!$B$4:$B$723,Korrelation!$A$4:$A$723,0,0)=0,0,MATCH(_xlfn.XLOOKUP(H441,Korrelation!$B$4:$B$723,Korrelation!$A$4:$A$723,0,0),DMAV_Modell!$G$6:$G$677,0))</f>
        <v>653</v>
      </c>
      <c r="L441" s="51" t="s">
        <v>33</v>
      </c>
      <c r="M441" s="51" t="s">
        <v>1183</v>
      </c>
      <c r="N441" s="51" t="s">
        <v>101</v>
      </c>
      <c r="O441" s="52" t="s">
        <v>623</v>
      </c>
      <c r="P441" s="56"/>
      <c r="Q441" s="52" t="s">
        <v>624</v>
      </c>
      <c r="R441" s="52"/>
      <c r="T441" s="51" t="s">
        <v>6133</v>
      </c>
      <c r="U441" s="51" t="s">
        <v>888</v>
      </c>
      <c r="V441" s="51" t="s">
        <v>735</v>
      </c>
      <c r="W441" s="52" t="s">
        <v>623</v>
      </c>
      <c r="Y441" s="210" t="s">
        <v>7076</v>
      </c>
      <c r="AB441" s="51" t="s">
        <v>6279</v>
      </c>
      <c r="AC441" s="51" t="s">
        <v>4481</v>
      </c>
      <c r="AD441" s="51" t="s">
        <v>1294</v>
      </c>
      <c r="AE441" s="52" t="s">
        <v>623</v>
      </c>
      <c r="AG441" s="210" t="s">
        <v>7077</v>
      </c>
    </row>
    <row r="442" spans="1:34" ht="25.5" x14ac:dyDescent="0.25">
      <c r="A442" s="51" t="s">
        <v>3675</v>
      </c>
      <c r="B442" s="51">
        <v>20</v>
      </c>
      <c r="C442" s="51" t="s">
        <v>66</v>
      </c>
      <c r="D442" s="50">
        <v>1</v>
      </c>
      <c r="E442" s="50" t="s">
        <v>3710</v>
      </c>
      <c r="F442" s="189" t="str" cm="1">
        <f t="array" aca="1" ref="F442" ca="1">IF(I442=0,"",HYPERLINK("#"&amp;RIGHT(CELL("dateiname"),LEN(CELL("dateiname"))-FIND("]",CELL("dateiname")))&amp;"!"&amp;CELL("adresse",OFFSET($C$6,I442-1,0)),"Definition"))</f>
        <v>Definition</v>
      </c>
      <c r="G442" s="189" t="str" cm="1">
        <f t="array" aca="1" ref="G442" ca="1">IF(J442=0,"",HYPERLINK("#"&amp;RIGHT(CELL("adresse",OFFSET(DMAV_Modell!$A$6,J442-1,0)),LEN(CELL("adresse",OFFSET(DMAV_Modell!$A$6,J442-1,0)))-SEARCH("]",CELL("adresse",OFFSET(DMAV_Modell!$A$6,J442-1,0)))),"Modell"))</f>
        <v>Modell</v>
      </c>
      <c r="H442" s="150" t="str">
        <f t="shared" si="12"/>
        <v>DGA20</v>
      </c>
      <c r="I442" s="150">
        <f t="shared" si="13"/>
        <v>428</v>
      </c>
      <c r="J442" s="150">
        <f>IF(_xlfn.XLOOKUP(H442,Korrelation!$B$4:$B$723,Korrelation!$A$4:$A$723,0,0)=0,0,MATCH(_xlfn.XLOOKUP(H442,Korrelation!$B$4:$B$723,Korrelation!$A$4:$A$723,0,0),DMAV_Modell!$G$6:$G$677,0))</f>
        <v>654</v>
      </c>
      <c r="L442" s="51" t="s">
        <v>33</v>
      </c>
      <c r="M442" s="51" t="s">
        <v>1183</v>
      </c>
      <c r="N442" s="51" t="s">
        <v>611</v>
      </c>
      <c r="O442" s="52" t="s">
        <v>625</v>
      </c>
      <c r="P442" s="56"/>
      <c r="Q442" s="52" t="s">
        <v>626</v>
      </c>
      <c r="R442" s="52"/>
      <c r="T442" s="51" t="s">
        <v>6133</v>
      </c>
      <c r="U442" s="51" t="s">
        <v>888</v>
      </c>
      <c r="V442" s="51" t="s">
        <v>886</v>
      </c>
      <c r="W442" s="52" t="s">
        <v>7078</v>
      </c>
      <c r="Y442" s="210" t="s">
        <v>7079</v>
      </c>
      <c r="AB442" s="51" t="s">
        <v>6279</v>
      </c>
      <c r="AC442" s="51" t="s">
        <v>4481</v>
      </c>
      <c r="AD442" s="51" t="s">
        <v>1426</v>
      </c>
      <c r="AE442" s="52" t="s">
        <v>7080</v>
      </c>
      <c r="AG442" s="210" t="s">
        <v>7081</v>
      </c>
    </row>
    <row r="443" spans="1:34" x14ac:dyDescent="0.25">
      <c r="A443" s="51" t="s">
        <v>3675</v>
      </c>
      <c r="B443" s="51">
        <v>21</v>
      </c>
      <c r="C443" s="51" t="s">
        <v>66</v>
      </c>
      <c r="D443" s="50">
        <v>1</v>
      </c>
      <c r="F443" s="189" t="str" cm="1">
        <f t="array" aca="1" ref="F443" ca="1">IF(I443=0,"",HYPERLINK("#"&amp;RIGHT(CELL("dateiname"),LEN(CELL("dateiname"))-FIND("]",CELL("dateiname")))&amp;"!"&amp;CELL("adresse",OFFSET($C$6,I443-1,0)),"Definition"))</f>
        <v/>
      </c>
      <c r="G443" s="189" t="str" cm="1">
        <f t="array" aca="1" ref="G443" ca="1">IF(J443=0,"",HYPERLINK("#"&amp;RIGHT(CELL("adresse",OFFSET(DMAV_Modell!$A$6,J443-1,0)),LEN(CELL("adresse",OFFSET(DMAV_Modell!$A$6,J443-1,0)))-SEARCH("]",CELL("adresse",OFFSET(DMAV_Modell!$A$6,J443-1,0)))),"Modell"))</f>
        <v>Modell</v>
      </c>
      <c r="H443" s="150" t="str">
        <f t="shared" si="12"/>
        <v>DGA21</v>
      </c>
      <c r="I443" s="150">
        <f t="shared" si="13"/>
        <v>0</v>
      </c>
      <c r="J443" s="150">
        <f>IF(_xlfn.XLOOKUP(H443,Korrelation!$B$4:$B$723,Korrelation!$A$4:$A$723,0,0)=0,0,MATCH(_xlfn.XLOOKUP(H443,Korrelation!$B$4:$B$723,Korrelation!$A$4:$A$723,0,0),DMAV_Modell!$G$6:$G$677,0))</f>
        <v>648</v>
      </c>
      <c r="L443" s="51" t="s">
        <v>33</v>
      </c>
      <c r="M443" s="51" t="s">
        <v>1182</v>
      </c>
      <c r="N443" s="51" t="s">
        <v>5</v>
      </c>
      <c r="O443" s="52" t="s">
        <v>102</v>
      </c>
      <c r="P443" s="56"/>
      <c r="Q443" s="52" t="s">
        <v>627</v>
      </c>
      <c r="R443" s="52"/>
      <c r="T443" s="51" t="s">
        <v>6133</v>
      </c>
      <c r="U443" s="51" t="s">
        <v>889</v>
      </c>
      <c r="V443" s="51" t="s">
        <v>702</v>
      </c>
      <c r="W443" s="52" t="s">
        <v>102</v>
      </c>
      <c r="Y443" s="210" t="s">
        <v>7082</v>
      </c>
      <c r="AB443" s="51" t="s">
        <v>6279</v>
      </c>
      <c r="AC443" s="51" t="s">
        <v>4480</v>
      </c>
      <c r="AD443" s="51" t="s">
        <v>1700</v>
      </c>
      <c r="AE443" s="52" t="s">
        <v>102</v>
      </c>
      <c r="AG443" s="210" t="s">
        <v>7083</v>
      </c>
    </row>
    <row r="444" spans="1:34" x14ac:dyDescent="0.25">
      <c r="A444" s="51" t="s">
        <v>3675</v>
      </c>
      <c r="B444" s="51">
        <v>22</v>
      </c>
      <c r="C444" s="51" t="s">
        <v>66</v>
      </c>
      <c r="D444" s="50" t="s">
        <v>72</v>
      </c>
      <c r="F444" s="189" t="str" cm="1">
        <f t="array" aca="1" ref="F444" ca="1">IF(I444=0,"",HYPERLINK("#"&amp;RIGHT(CELL("dateiname"),LEN(CELL("dateiname"))-FIND("]",CELL("dateiname")))&amp;"!"&amp;CELL("adresse",OFFSET($C$6,I444-1,0)),"Definition"))</f>
        <v/>
      </c>
      <c r="G444" s="189" t="str" cm="1">
        <f t="array" aca="1" ref="G444" ca="1">IF(J444=0,"",HYPERLINK("#"&amp;RIGHT(CELL("adresse",OFFSET(DMAV_Modell!$A$6,J444-1,0)),LEN(CELL("adresse",OFFSET(DMAV_Modell!$A$6,J444-1,0)))-SEARCH("]",CELL("adresse",OFFSET(DMAV_Modell!$A$6,J444-1,0)))),"Modell"))</f>
        <v>Modell</v>
      </c>
      <c r="H444" s="150" t="str">
        <f t="shared" si="12"/>
        <v>DGA22</v>
      </c>
      <c r="I444" s="150">
        <f t="shared" si="13"/>
        <v>0</v>
      </c>
      <c r="J444" s="150">
        <f>IF(_xlfn.XLOOKUP(H444,Korrelation!$B$4:$B$723,Korrelation!$A$4:$A$723,0,0)=0,0,MATCH(_xlfn.XLOOKUP(H444,Korrelation!$B$4:$B$723,Korrelation!$A$4:$A$723,0,0),DMAV_Modell!$G$6:$G$677,0))</f>
        <v>649</v>
      </c>
      <c r="L444" s="51" t="s">
        <v>33</v>
      </c>
      <c r="M444" s="51" t="s">
        <v>1182</v>
      </c>
      <c r="N444" s="51" t="s">
        <v>628</v>
      </c>
      <c r="O444" s="52" t="s">
        <v>629</v>
      </c>
      <c r="P444" s="56"/>
      <c r="Q444" s="52" t="s">
        <v>630</v>
      </c>
      <c r="R444" s="52"/>
      <c r="T444" s="51" t="s">
        <v>6133</v>
      </c>
      <c r="U444" s="51" t="s">
        <v>889</v>
      </c>
      <c r="V444" s="51" t="s">
        <v>890</v>
      </c>
      <c r="W444" s="52" t="s">
        <v>629</v>
      </c>
      <c r="Y444" s="210" t="s">
        <v>7084</v>
      </c>
      <c r="AB444" s="51" t="s">
        <v>6279</v>
      </c>
      <c r="AC444" s="51" t="s">
        <v>4480</v>
      </c>
      <c r="AD444" s="51" t="s">
        <v>4452</v>
      </c>
      <c r="AE444" s="52" t="s">
        <v>629</v>
      </c>
      <c r="AG444" s="210" t="s">
        <v>7085</v>
      </c>
    </row>
    <row r="445" spans="1:34" x14ac:dyDescent="0.25">
      <c r="A445" s="51" t="s">
        <v>3675</v>
      </c>
      <c r="B445" s="51">
        <v>23</v>
      </c>
      <c r="C445" s="51" t="s">
        <v>66</v>
      </c>
      <c r="D445" s="50" t="s">
        <v>72</v>
      </c>
      <c r="F445" s="189" t="str" cm="1">
        <f t="array" aca="1" ref="F445" ca="1">IF(I445=0,"",HYPERLINK("#"&amp;RIGHT(CELL("dateiname"),LEN(CELL("dateiname"))-FIND("]",CELL("dateiname")))&amp;"!"&amp;CELL("adresse",OFFSET($C$6,I445-1,0)),"Definition"))</f>
        <v/>
      </c>
      <c r="G445" s="189" t="str" cm="1">
        <f t="array" aca="1" ref="G445" ca="1">IF(J445=0,"",HYPERLINK("#"&amp;RIGHT(CELL("adresse",OFFSET(DMAV_Modell!$A$6,J445-1,0)),LEN(CELL("adresse",OFFSET(DMAV_Modell!$A$6,J445-1,0)))-SEARCH("]",CELL("adresse",OFFSET(DMAV_Modell!$A$6,J445-1,0)))),"Modell"))</f>
        <v>Modell</v>
      </c>
      <c r="H445" s="150" t="str">
        <f t="shared" si="12"/>
        <v>DGA23</v>
      </c>
      <c r="I445" s="150">
        <f t="shared" si="13"/>
        <v>0</v>
      </c>
      <c r="J445" s="150">
        <f>IF(_xlfn.XLOOKUP(H445,Korrelation!$B$4:$B$723,Korrelation!$A$4:$A$723,0,0)=0,0,MATCH(_xlfn.XLOOKUP(H445,Korrelation!$B$4:$B$723,Korrelation!$A$4:$A$723,0,0),DMAV_Modell!$G$6:$G$677,0))</f>
        <v>650</v>
      </c>
      <c r="L445" s="51" t="s">
        <v>33</v>
      </c>
      <c r="M445" s="51" t="s">
        <v>1182</v>
      </c>
      <c r="N445" s="51" t="s">
        <v>631</v>
      </c>
      <c r="O445" s="52" t="s">
        <v>632</v>
      </c>
      <c r="P445" s="56"/>
      <c r="Q445" s="52" t="s">
        <v>633</v>
      </c>
      <c r="R445" s="52"/>
      <c r="T445" s="51" t="s">
        <v>6133</v>
      </c>
      <c r="U445" s="51" t="s">
        <v>889</v>
      </c>
      <c r="V445" s="51" t="s">
        <v>891</v>
      </c>
      <c r="W445" s="52" t="s">
        <v>632</v>
      </c>
      <c r="Y445" s="210" t="s">
        <v>7086</v>
      </c>
      <c r="AB445" s="51" t="s">
        <v>6279</v>
      </c>
      <c r="AC445" s="51" t="s">
        <v>4480</v>
      </c>
      <c r="AD445" s="51" t="s">
        <v>4453</v>
      </c>
      <c r="AE445" s="52" t="s">
        <v>632</v>
      </c>
      <c r="AG445" s="210" t="s">
        <v>7087</v>
      </c>
    </row>
    <row r="446" spans="1:34" x14ac:dyDescent="0.25">
      <c r="A446" s="51" t="s">
        <v>3675</v>
      </c>
      <c r="B446" s="51">
        <v>24</v>
      </c>
      <c r="C446" s="51" t="s">
        <v>66</v>
      </c>
      <c r="D446" s="50">
        <v>1</v>
      </c>
      <c r="E446" s="50" t="s">
        <v>3710</v>
      </c>
      <c r="F446" s="189" t="str" cm="1">
        <f t="array" aca="1" ref="F446" ca="1">IF(I446=0,"",HYPERLINK("#"&amp;RIGHT(CELL("dateiname"),LEN(CELL("dateiname"))-FIND("]",CELL("dateiname")))&amp;"!"&amp;CELL("adresse",OFFSET($C$6,I446-1,0)),"Definition"))</f>
        <v>Definition</v>
      </c>
      <c r="G446" s="189" t="str" cm="1">
        <f t="array" aca="1" ref="G446" ca="1">IF(J446=0,"",HYPERLINK("#"&amp;RIGHT(CELL("adresse",OFFSET(DMAV_Modell!$A$6,J446-1,0)),LEN(CELL("adresse",OFFSET(DMAV_Modell!$A$6,J446-1,0)))-SEARCH("]",CELL("adresse",OFFSET(DMAV_Modell!$A$6,J446-1,0)))),"Modell"))</f>
        <v>Modell</v>
      </c>
      <c r="H446" s="150" t="str">
        <f t="shared" si="12"/>
        <v>DGA24</v>
      </c>
      <c r="I446" s="150">
        <f t="shared" si="13"/>
        <v>428</v>
      </c>
      <c r="J446" s="150">
        <f>IF(_xlfn.XLOOKUP(H446,Korrelation!$B$4:$B$723,Korrelation!$A$4:$A$723,0,0)=0,0,MATCH(_xlfn.XLOOKUP(H446,Korrelation!$B$4:$B$723,Korrelation!$A$4:$A$723,0,0),DMAV_Modell!$G$6:$G$677,0))</f>
        <v>651</v>
      </c>
      <c r="L446" s="51" t="s">
        <v>33</v>
      </c>
      <c r="M446" s="51" t="s">
        <v>1182</v>
      </c>
      <c r="N446" s="51" t="s">
        <v>611</v>
      </c>
      <c r="O446" s="52" t="s">
        <v>625</v>
      </c>
      <c r="P446" s="56"/>
      <c r="Q446" s="52" t="s">
        <v>634</v>
      </c>
      <c r="R446" s="52"/>
      <c r="T446" s="51" t="s">
        <v>6133</v>
      </c>
      <c r="U446" s="51" t="s">
        <v>889</v>
      </c>
      <c r="V446" s="51" t="s">
        <v>886</v>
      </c>
      <c r="W446" s="52" t="s">
        <v>7078</v>
      </c>
      <c r="Y446" s="210" t="s">
        <v>7088</v>
      </c>
      <c r="AB446" s="51" t="s">
        <v>6279</v>
      </c>
      <c r="AC446" s="51" t="s">
        <v>4480</v>
      </c>
      <c r="AD446" s="51" t="s">
        <v>1426</v>
      </c>
      <c r="AE446" s="52" t="s">
        <v>7080</v>
      </c>
      <c r="AG446" s="210" t="s">
        <v>7089</v>
      </c>
    </row>
    <row r="447" spans="1:34" ht="38.25" x14ac:dyDescent="0.25">
      <c r="A447" s="51" t="s">
        <v>3675</v>
      </c>
      <c r="B447" s="51">
        <v>25</v>
      </c>
      <c r="C447" s="51" t="s">
        <v>66</v>
      </c>
      <c r="D447" s="50" t="s">
        <v>72</v>
      </c>
      <c r="E447" s="50" t="s">
        <v>3683</v>
      </c>
      <c r="F447" s="189" t="str" cm="1">
        <f t="array" aca="1" ref="F447" ca="1">IF(I447=0,"",HYPERLINK("#"&amp;RIGHT(CELL("dateiname"),LEN(CELL("dateiname"))-FIND("]",CELL("dateiname")))&amp;"!"&amp;CELL("adresse",OFFSET($C$6,I447-1,0)),"Definition"))</f>
        <v>Definition</v>
      </c>
      <c r="G447" s="189" t="str" cm="1">
        <f t="array" aca="1" ref="G447" ca="1">IF(J447=0,"",HYPERLINK("#"&amp;RIGHT(CELL("adresse",OFFSET(DMAV_Modell!$A$6,J447-1,0)),LEN(CELL("adresse",OFFSET(DMAV_Modell!$A$6,J447-1,0)))-SEARCH("]",CELL("adresse",OFFSET(DMAV_Modell!$A$6,J447-1,0)))),"Modell"))</f>
        <v>Modell</v>
      </c>
      <c r="H447" s="150" t="str">
        <f t="shared" si="12"/>
        <v>DGA25</v>
      </c>
      <c r="I447" s="150">
        <f t="shared" si="13"/>
        <v>32</v>
      </c>
      <c r="J447" s="150">
        <f>IF(_xlfn.XLOOKUP(H447,Korrelation!$B$4:$B$723,Korrelation!$A$4:$A$723,0,0)=0,0,MATCH(_xlfn.XLOOKUP(H447,Korrelation!$B$4:$B$723,Korrelation!$A$4:$A$723,0,0),DMAV_Modell!$G$6:$G$677,0))</f>
        <v>652</v>
      </c>
      <c r="L447" s="51" t="s">
        <v>33</v>
      </c>
      <c r="M447" s="51" t="s">
        <v>1182</v>
      </c>
      <c r="N447" s="51" t="s">
        <v>77</v>
      </c>
      <c r="O447" s="52" t="s">
        <v>250</v>
      </c>
      <c r="P447" s="56"/>
      <c r="Q447" s="52" t="s">
        <v>635</v>
      </c>
      <c r="R447" s="52"/>
      <c r="T447" s="51" t="s">
        <v>6133</v>
      </c>
      <c r="U447" s="51" t="s">
        <v>889</v>
      </c>
      <c r="V447" s="51" t="s">
        <v>729</v>
      </c>
      <c r="W447" s="52" t="s">
        <v>6428</v>
      </c>
      <c r="Y447" s="210" t="s">
        <v>7090</v>
      </c>
      <c r="AB447" s="51" t="s">
        <v>6279</v>
      </c>
      <c r="AC447" s="51" t="s">
        <v>4480</v>
      </c>
      <c r="AD447" s="51" t="s">
        <v>3933</v>
      </c>
      <c r="AE447" s="52" t="s">
        <v>6363</v>
      </c>
      <c r="AG447" s="210" t="s">
        <v>7091</v>
      </c>
    </row>
    <row r="448" spans="1:34" ht="38.25" x14ac:dyDescent="0.25">
      <c r="A448" s="51" t="s">
        <v>3675</v>
      </c>
      <c r="B448" s="51">
        <v>26</v>
      </c>
      <c r="C448" s="51" t="s">
        <v>66</v>
      </c>
      <c r="D448" s="50">
        <v>1</v>
      </c>
      <c r="F448" s="189" t="str" cm="1">
        <f t="array" aca="1" ref="F448" ca="1">IF(I448=0,"",HYPERLINK("#"&amp;RIGHT(CELL("dateiname"),LEN(CELL("dateiname"))-FIND("]",CELL("dateiname")))&amp;"!"&amp;CELL("adresse",OFFSET($C$6,I448-1,0)),"Definition"))</f>
        <v/>
      </c>
      <c r="G448" s="189" t="str" cm="1">
        <f t="array" aca="1" ref="G448" ca="1">IF(J448=0,"",HYPERLINK("#"&amp;RIGHT(CELL("adresse",OFFSET(DMAV_Modell!$A$6,J448-1,0)),LEN(CELL("adresse",OFFSET(DMAV_Modell!$A$6,J448-1,0)))-SEARCH("]",CELL("adresse",OFFSET(DMAV_Modell!$A$6,J448-1,0)))),"Modell"))</f>
        <v>Modell</v>
      </c>
      <c r="H448" s="150" t="str">
        <f t="shared" si="12"/>
        <v>DGA26</v>
      </c>
      <c r="I448" s="150">
        <f t="shared" si="13"/>
        <v>0</v>
      </c>
      <c r="J448" s="150">
        <f>IF(_xlfn.XLOOKUP(H448,Korrelation!$B$4:$B$723,Korrelation!$A$4:$A$723,0,0)=0,0,MATCH(_xlfn.XLOOKUP(H448,Korrelation!$B$4:$B$723,Korrelation!$A$4:$A$723,0,0),DMAV_Modell!$G$6:$G$677,0))</f>
        <v>625</v>
      </c>
      <c r="L448" s="51" t="s">
        <v>33</v>
      </c>
      <c r="M448" s="51" t="s">
        <v>636</v>
      </c>
      <c r="N448" s="51" t="s">
        <v>5</v>
      </c>
      <c r="O448" s="52" t="s">
        <v>102</v>
      </c>
      <c r="P448" s="56"/>
      <c r="Q448" s="52" t="s">
        <v>637</v>
      </c>
      <c r="R448" s="52" t="s">
        <v>3783</v>
      </c>
      <c r="T448" s="51" t="s">
        <v>6133</v>
      </c>
      <c r="U448" s="51" t="s">
        <v>892</v>
      </c>
      <c r="V448" s="51" t="s">
        <v>702</v>
      </c>
      <c r="W448" s="52" t="s">
        <v>102</v>
      </c>
      <c r="Y448" s="210" t="s">
        <v>7092</v>
      </c>
      <c r="Z448" s="210" t="s">
        <v>7093</v>
      </c>
      <c r="AB448" s="51" t="s">
        <v>6279</v>
      </c>
      <c r="AC448" s="51" t="s">
        <v>4451</v>
      </c>
      <c r="AD448" s="51" t="s">
        <v>1700</v>
      </c>
      <c r="AE448" s="52" t="s">
        <v>102</v>
      </c>
      <c r="AG448" s="210" t="s">
        <v>7094</v>
      </c>
      <c r="AH448" s="210" t="s">
        <v>7095</v>
      </c>
    </row>
    <row r="449" spans="1:34" ht="51" x14ac:dyDescent="0.25">
      <c r="A449" s="51" t="s">
        <v>3675</v>
      </c>
      <c r="B449" s="51">
        <v>27</v>
      </c>
      <c r="C449" s="51" t="s">
        <v>66</v>
      </c>
      <c r="D449" s="50" t="s">
        <v>72</v>
      </c>
      <c r="F449" s="189" t="str" cm="1">
        <f t="array" aca="1" ref="F449" ca="1">IF(I449=0,"",HYPERLINK("#"&amp;RIGHT(CELL("dateiname"),LEN(CELL("dateiname"))-FIND("]",CELL("dateiname")))&amp;"!"&amp;CELL("adresse",OFFSET($C$6,I449-1,0)),"Definition"))</f>
        <v/>
      </c>
      <c r="G449" s="189" t="str" cm="1">
        <f t="array" aca="1" ref="G449" ca="1">IF(J449=0,"",HYPERLINK("#"&amp;RIGHT(CELL("adresse",OFFSET(DMAV_Modell!$A$6,J449-1,0)),LEN(CELL("adresse",OFFSET(DMAV_Modell!$A$6,J449-1,0)))-SEARCH("]",CELL("adresse",OFFSET(DMAV_Modell!$A$6,J449-1,0)))),"Modell"))</f>
        <v>Modell</v>
      </c>
      <c r="H449" s="150" t="str">
        <f t="shared" si="12"/>
        <v>DGA27</v>
      </c>
      <c r="I449" s="150">
        <f t="shared" si="13"/>
        <v>0</v>
      </c>
      <c r="J449" s="150">
        <f>IF(_xlfn.XLOOKUP(H449,Korrelation!$B$4:$B$723,Korrelation!$A$4:$A$723,0,0)=0,0,MATCH(_xlfn.XLOOKUP(H449,Korrelation!$B$4:$B$723,Korrelation!$A$4:$A$723,0,0),DMAV_Modell!$G$6:$G$677,0))</f>
        <v>626</v>
      </c>
      <c r="L449" s="51" t="s">
        <v>33</v>
      </c>
      <c r="M449" s="51" t="s">
        <v>636</v>
      </c>
      <c r="N449" s="51" t="s">
        <v>628</v>
      </c>
      <c r="O449" s="52" t="s">
        <v>629</v>
      </c>
      <c r="P449" s="56"/>
      <c r="Q449" s="52" t="s">
        <v>638</v>
      </c>
      <c r="R449" s="52" t="s">
        <v>3784</v>
      </c>
      <c r="T449" s="51" t="s">
        <v>6133</v>
      </c>
      <c r="U449" s="51" t="s">
        <v>892</v>
      </c>
      <c r="V449" s="51" t="s">
        <v>890</v>
      </c>
      <c r="W449" s="52" t="s">
        <v>629</v>
      </c>
      <c r="Y449" s="210" t="s">
        <v>7096</v>
      </c>
      <c r="Z449" s="210" t="s">
        <v>7097</v>
      </c>
      <c r="AB449" s="51" t="s">
        <v>6279</v>
      </c>
      <c r="AC449" s="51" t="s">
        <v>4451</v>
      </c>
      <c r="AD449" s="51" t="s">
        <v>4452</v>
      </c>
      <c r="AE449" s="52" t="s">
        <v>629</v>
      </c>
      <c r="AG449" s="210" t="s">
        <v>7098</v>
      </c>
      <c r="AH449" s="210" t="s">
        <v>7099</v>
      </c>
    </row>
    <row r="450" spans="1:34" ht="51" x14ac:dyDescent="0.25">
      <c r="A450" s="51" t="s">
        <v>3675</v>
      </c>
      <c r="B450" s="51">
        <v>28</v>
      </c>
      <c r="C450" s="51" t="s">
        <v>66</v>
      </c>
      <c r="D450" s="50" t="s">
        <v>72</v>
      </c>
      <c r="F450" s="189" t="str" cm="1">
        <f t="array" aca="1" ref="F450" ca="1">IF(I450=0,"",HYPERLINK("#"&amp;RIGHT(CELL("dateiname"),LEN(CELL("dateiname"))-FIND("]",CELL("dateiname")))&amp;"!"&amp;CELL("adresse",OFFSET($C$6,I450-1,0)),"Definition"))</f>
        <v/>
      </c>
      <c r="G450" s="189" t="str" cm="1">
        <f t="array" aca="1" ref="G450" ca="1">IF(J450=0,"",HYPERLINK("#"&amp;RIGHT(CELL("adresse",OFFSET(DMAV_Modell!$A$6,J450-1,0)),LEN(CELL("adresse",OFFSET(DMAV_Modell!$A$6,J450-1,0)))-SEARCH("]",CELL("adresse",OFFSET(DMAV_Modell!$A$6,J450-1,0)))),"Modell"))</f>
        <v>Modell</v>
      </c>
      <c r="H450" s="150" t="str">
        <f t="shared" si="12"/>
        <v>DGA28</v>
      </c>
      <c r="I450" s="150">
        <f t="shared" si="13"/>
        <v>0</v>
      </c>
      <c r="J450" s="150">
        <f>IF(_xlfn.XLOOKUP(H450,Korrelation!$B$4:$B$723,Korrelation!$A$4:$A$723,0,0)=0,0,MATCH(_xlfn.XLOOKUP(H450,Korrelation!$B$4:$B$723,Korrelation!$A$4:$A$723,0,0),DMAV_Modell!$G$6:$G$677,0))</f>
        <v>627</v>
      </c>
      <c r="L450" s="51" t="s">
        <v>33</v>
      </c>
      <c r="M450" s="51" t="s">
        <v>636</v>
      </c>
      <c r="N450" s="51" t="s">
        <v>631</v>
      </c>
      <c r="O450" s="52" t="s">
        <v>632</v>
      </c>
      <c r="P450" s="56"/>
      <c r="Q450" s="52" t="s">
        <v>639</v>
      </c>
      <c r="R450" s="52" t="s">
        <v>3785</v>
      </c>
      <c r="T450" s="51" t="s">
        <v>6133</v>
      </c>
      <c r="U450" s="51" t="s">
        <v>892</v>
      </c>
      <c r="V450" s="51" t="s">
        <v>891</v>
      </c>
      <c r="W450" s="52" t="s">
        <v>632</v>
      </c>
      <c r="Y450" s="210" t="s">
        <v>7100</v>
      </c>
      <c r="Z450" s="210" t="s">
        <v>7101</v>
      </c>
      <c r="AB450" s="51" t="s">
        <v>6279</v>
      </c>
      <c r="AC450" s="51" t="s">
        <v>4451</v>
      </c>
      <c r="AD450" s="51" t="s">
        <v>4453</v>
      </c>
      <c r="AE450" s="52" t="s">
        <v>632</v>
      </c>
      <c r="AG450" s="210" t="s">
        <v>7102</v>
      </c>
      <c r="AH450" s="210" t="s">
        <v>7103</v>
      </c>
    </row>
    <row r="451" spans="1:34" x14ac:dyDescent="0.25">
      <c r="A451" s="51" t="s">
        <v>3675</v>
      </c>
      <c r="B451" s="51">
        <v>29</v>
      </c>
      <c r="C451" s="51" t="s">
        <v>66</v>
      </c>
      <c r="D451" s="50">
        <v>1</v>
      </c>
      <c r="E451" s="50" t="s">
        <v>3710</v>
      </c>
      <c r="F451" s="189" t="str" cm="1">
        <f t="array" aca="1" ref="F451" ca="1">IF(I451=0,"",HYPERLINK("#"&amp;RIGHT(CELL("dateiname"),LEN(CELL("dateiname"))-FIND("]",CELL("dateiname")))&amp;"!"&amp;CELL("adresse",OFFSET($C$6,I451-1,0)),"Definition"))</f>
        <v>Definition</v>
      </c>
      <c r="G451" s="189" t="str" cm="1">
        <f t="array" aca="1" ref="G451" ca="1">IF(J451=0,"",HYPERLINK("#"&amp;RIGHT(CELL("adresse",OFFSET(DMAV_Modell!$A$6,J451-1,0)),LEN(CELL("adresse",OFFSET(DMAV_Modell!$A$6,J451-1,0)))-SEARCH("]",CELL("adresse",OFFSET(DMAV_Modell!$A$6,J451-1,0)))),"Modell"))</f>
        <v>Modell</v>
      </c>
      <c r="H451" s="150" t="str">
        <f t="shared" si="12"/>
        <v>DGA29</v>
      </c>
      <c r="I451" s="150">
        <f t="shared" si="13"/>
        <v>428</v>
      </c>
      <c r="J451" s="150">
        <f>IF(_xlfn.XLOOKUP(H451,Korrelation!$B$4:$B$723,Korrelation!$A$4:$A$723,0,0)=0,0,MATCH(_xlfn.XLOOKUP(H451,Korrelation!$B$4:$B$723,Korrelation!$A$4:$A$723,0,0),DMAV_Modell!$G$6:$G$677,0))</f>
        <v>628</v>
      </c>
      <c r="L451" s="51" t="s">
        <v>33</v>
      </c>
      <c r="M451" s="51" t="s">
        <v>636</v>
      </c>
      <c r="N451" s="51" t="s">
        <v>611</v>
      </c>
      <c r="O451" s="52" t="s">
        <v>625</v>
      </c>
      <c r="P451" s="56"/>
      <c r="Q451" s="52" t="s">
        <v>640</v>
      </c>
      <c r="R451" s="52"/>
      <c r="T451" s="51" t="s">
        <v>6133</v>
      </c>
      <c r="U451" s="51" t="s">
        <v>892</v>
      </c>
      <c r="V451" s="51" t="s">
        <v>886</v>
      </c>
      <c r="W451" s="52" t="s">
        <v>7078</v>
      </c>
      <c r="Y451" s="210" t="s">
        <v>7104</v>
      </c>
      <c r="AB451" s="51" t="s">
        <v>6279</v>
      </c>
      <c r="AC451" s="51" t="s">
        <v>4451</v>
      </c>
      <c r="AD451" s="51" t="s">
        <v>1426</v>
      </c>
      <c r="AE451" s="52" t="s">
        <v>7080</v>
      </c>
      <c r="AG451" s="210" t="s">
        <v>7105</v>
      </c>
    </row>
    <row r="452" spans="1:34" ht="38.25" x14ac:dyDescent="0.25">
      <c r="A452" s="51" t="s">
        <v>3675</v>
      </c>
      <c r="B452" s="51">
        <v>30</v>
      </c>
      <c r="C452" s="51" t="s">
        <v>66</v>
      </c>
      <c r="D452" s="50" t="s">
        <v>72</v>
      </c>
      <c r="E452" s="50" t="s">
        <v>3683</v>
      </c>
      <c r="F452" s="189" t="str" cm="1">
        <f t="array" aca="1" ref="F452" ca="1">IF(I452=0,"",HYPERLINK("#"&amp;RIGHT(CELL("dateiname"),LEN(CELL("dateiname"))-FIND("]",CELL("dateiname")))&amp;"!"&amp;CELL("adresse",OFFSET($C$6,I452-1,0)),"Definition"))</f>
        <v>Definition</v>
      </c>
      <c r="G452" s="189" t="str" cm="1">
        <f t="array" aca="1" ref="G452" ca="1">IF(J452=0,"",HYPERLINK("#"&amp;RIGHT(CELL("adresse",OFFSET(DMAV_Modell!$A$6,J452-1,0)),LEN(CELL("adresse",OFFSET(DMAV_Modell!$A$6,J452-1,0)))-SEARCH("]",CELL("adresse",OFFSET(DMAV_Modell!$A$6,J452-1,0)))),"Modell"))</f>
        <v>Modell</v>
      </c>
      <c r="H452" s="150" t="str">
        <f t="shared" si="12"/>
        <v>DGA30</v>
      </c>
      <c r="I452" s="150">
        <f t="shared" si="13"/>
        <v>32</v>
      </c>
      <c r="J452" s="150">
        <f>IF(_xlfn.XLOOKUP(H452,Korrelation!$B$4:$B$723,Korrelation!$A$4:$A$723,0,0)=0,0,MATCH(_xlfn.XLOOKUP(H452,Korrelation!$B$4:$B$723,Korrelation!$A$4:$A$723,0,0),DMAV_Modell!$G$6:$G$677,0))</f>
        <v>629</v>
      </c>
      <c r="L452" s="51" t="s">
        <v>33</v>
      </c>
      <c r="M452" s="51" t="s">
        <v>636</v>
      </c>
      <c r="N452" s="51" t="s">
        <v>77</v>
      </c>
      <c r="O452" s="52" t="s">
        <v>250</v>
      </c>
      <c r="P452" s="56"/>
      <c r="Q452" s="52" t="s">
        <v>641</v>
      </c>
      <c r="R452" s="52"/>
      <c r="T452" s="51" t="s">
        <v>6133</v>
      </c>
      <c r="U452" s="51" t="s">
        <v>892</v>
      </c>
      <c r="V452" s="51" t="s">
        <v>729</v>
      </c>
      <c r="W452" s="52" t="s">
        <v>6428</v>
      </c>
      <c r="Y452" s="210" t="s">
        <v>7106</v>
      </c>
      <c r="AB452" s="51" t="s">
        <v>6279</v>
      </c>
      <c r="AC452" s="51" t="s">
        <v>4451</v>
      </c>
      <c r="AD452" s="51" t="s">
        <v>3933</v>
      </c>
      <c r="AE452" s="52" t="s">
        <v>6363</v>
      </c>
      <c r="AG452" s="210" t="s">
        <v>7107</v>
      </c>
    </row>
    <row r="453" spans="1:34" ht="63.75" x14ac:dyDescent="0.25">
      <c r="A453" s="51" t="s">
        <v>3675</v>
      </c>
      <c r="B453" s="51">
        <v>31</v>
      </c>
      <c r="C453" s="51" t="s">
        <v>66</v>
      </c>
      <c r="D453" s="50">
        <v>1</v>
      </c>
      <c r="F453" s="189" t="str" cm="1">
        <f t="array" aca="1" ref="F453" ca="1">IF(I453=0,"",HYPERLINK("#"&amp;RIGHT(CELL("dateiname"),LEN(CELL("dateiname"))-FIND("]",CELL("dateiname")))&amp;"!"&amp;CELL("adresse",OFFSET($C$6,I453-1,0)),"Definition"))</f>
        <v/>
      </c>
      <c r="G453" s="189" t="str" cm="1">
        <f t="array" aca="1" ref="G453" ca="1">IF(J453=0,"",HYPERLINK("#"&amp;RIGHT(CELL("adresse",OFFSET(DMAV_Modell!$A$6,J453-1,0)),LEN(CELL("adresse",OFFSET(DMAV_Modell!$A$6,J453-1,0)))-SEARCH("]",CELL("adresse",OFFSET(DMAV_Modell!$A$6,J453-1,0)))),"Modell"))</f>
        <v>Modell</v>
      </c>
      <c r="H453" s="150" t="str">
        <f t="shared" si="12"/>
        <v>DGA31</v>
      </c>
      <c r="I453" s="150">
        <f t="shared" si="13"/>
        <v>0</v>
      </c>
      <c r="J453" s="150">
        <f>IF(_xlfn.XLOOKUP(H453,Korrelation!$B$4:$B$723,Korrelation!$A$4:$A$723,0,0)=0,0,MATCH(_xlfn.XLOOKUP(H453,Korrelation!$B$4:$B$723,Korrelation!$A$4:$A$723,0,0),DMAV_Modell!$G$6:$G$677,0))</f>
        <v>632</v>
      </c>
      <c r="L453" s="51" t="s">
        <v>33</v>
      </c>
      <c r="M453" s="51" t="s">
        <v>642</v>
      </c>
      <c r="N453" s="51" t="s">
        <v>643</v>
      </c>
      <c r="O453" s="52" t="s">
        <v>131</v>
      </c>
      <c r="P453" s="56"/>
      <c r="Q453" s="52" t="s">
        <v>644</v>
      </c>
      <c r="R453" s="52" t="s">
        <v>645</v>
      </c>
      <c r="T453" s="51" t="s">
        <v>6133</v>
      </c>
      <c r="U453" s="51" t="s">
        <v>894</v>
      </c>
      <c r="V453" s="51" t="s">
        <v>893</v>
      </c>
      <c r="W453" s="52" t="s">
        <v>131</v>
      </c>
      <c r="Y453" s="210" t="s">
        <v>7108</v>
      </c>
      <c r="Z453" s="210" t="s">
        <v>7109</v>
      </c>
      <c r="AB453" s="51" t="s">
        <v>6279</v>
      </c>
      <c r="AC453" s="51" t="s">
        <v>4455</v>
      </c>
      <c r="AD453" s="51" t="s">
        <v>4456</v>
      </c>
      <c r="AE453" s="52" t="s">
        <v>131</v>
      </c>
      <c r="AG453" s="210" t="s">
        <v>7110</v>
      </c>
      <c r="AH453" s="210" t="s">
        <v>7111</v>
      </c>
    </row>
    <row r="454" spans="1:34" ht="38.25" x14ac:dyDescent="0.25">
      <c r="A454" s="51" t="s">
        <v>3675</v>
      </c>
      <c r="B454" s="51">
        <v>32</v>
      </c>
      <c r="C454" s="51" t="s">
        <v>66</v>
      </c>
      <c r="D454" s="50">
        <v>1</v>
      </c>
      <c r="F454" s="189" t="str" cm="1">
        <f t="array" aca="1" ref="F454" ca="1">IF(I454=0,"",HYPERLINK("#"&amp;RIGHT(CELL("dateiname"),LEN(CELL("dateiname"))-FIND("]",CELL("dateiname")))&amp;"!"&amp;CELL("adresse",OFFSET($C$6,I454-1,0)),"Definition"))</f>
        <v/>
      </c>
      <c r="G454" s="189" t="str" cm="1">
        <f t="array" aca="1" ref="G454" ca="1">IF(J454=0,"",HYPERLINK("#"&amp;RIGHT(CELL("adresse",OFFSET(DMAV_Modell!$A$6,J454-1,0)),LEN(CELL("adresse",OFFSET(DMAV_Modell!$A$6,J454-1,0)))-SEARCH("]",CELL("adresse",OFFSET(DMAV_Modell!$A$6,J454-1,0)))),"Modell"))</f>
        <v>Modell</v>
      </c>
      <c r="H454" s="150" t="str">
        <f t="shared" si="12"/>
        <v>DGA32</v>
      </c>
      <c r="I454" s="150">
        <f t="shared" si="13"/>
        <v>0</v>
      </c>
      <c r="J454" s="150">
        <f>IF(_xlfn.XLOOKUP(H454,Korrelation!$B$4:$B$723,Korrelation!$A$4:$A$723,0,0)=0,0,MATCH(_xlfn.XLOOKUP(H454,Korrelation!$B$4:$B$723,Korrelation!$A$4:$A$723,0,0),DMAV_Modell!$G$6:$G$677,0))</f>
        <v>631</v>
      </c>
      <c r="L454" s="51" t="s">
        <v>33</v>
      </c>
      <c r="M454" s="51" t="s">
        <v>642</v>
      </c>
      <c r="N454" s="51" t="s">
        <v>123</v>
      </c>
      <c r="O454" s="52" t="s">
        <v>646</v>
      </c>
      <c r="P454" s="56"/>
      <c r="Q454" s="52" t="s">
        <v>647</v>
      </c>
      <c r="R454" s="52" t="s">
        <v>622</v>
      </c>
      <c r="T454" s="51" t="s">
        <v>6133</v>
      </c>
      <c r="U454" s="51" t="s">
        <v>894</v>
      </c>
      <c r="V454" s="51" t="s">
        <v>123</v>
      </c>
      <c r="W454" s="52" t="s">
        <v>646</v>
      </c>
      <c r="Y454" s="210" t="s">
        <v>7112</v>
      </c>
      <c r="Z454" s="210" t="s">
        <v>6166</v>
      </c>
      <c r="AB454" s="51" t="s">
        <v>6279</v>
      </c>
      <c r="AC454" s="51" t="s">
        <v>4455</v>
      </c>
      <c r="AD454" s="51" t="s">
        <v>1247</v>
      </c>
      <c r="AE454" s="52" t="s">
        <v>646</v>
      </c>
      <c r="AG454" s="210" t="s">
        <v>7113</v>
      </c>
      <c r="AH454" s="210" t="s">
        <v>6308</v>
      </c>
    </row>
    <row r="455" spans="1:34" x14ac:dyDescent="0.25">
      <c r="A455" s="51" t="s">
        <v>3675</v>
      </c>
      <c r="B455" s="51">
        <v>33</v>
      </c>
      <c r="C455" s="51" t="s">
        <v>95</v>
      </c>
      <c r="D455" s="50">
        <v>1</v>
      </c>
      <c r="F455" s="189" t="str" cm="1">
        <f t="array" aca="1" ref="F455" ca="1">IF(I455=0,"",HYPERLINK("#"&amp;RIGHT(CELL("dateiname"),LEN(CELL("dateiname"))-FIND("]",CELL("dateiname")))&amp;"!"&amp;CELL("adresse",OFFSET($C$6,I455-1,0)),"Definition"))</f>
        <v/>
      </c>
      <c r="G455" s="189" t="str" cm="1">
        <f t="array" aca="1" ref="G455" ca="1">IF(J455=0,"",HYPERLINK("#"&amp;RIGHT(CELL("adresse",OFFSET(DMAV_Modell!$A$6,J455-1,0)),LEN(CELL("adresse",OFFSET(DMAV_Modell!$A$6,J455-1,0)))-SEARCH("]",CELL("adresse",OFFSET(DMAV_Modell!$A$6,J455-1,0)))),"Modell"))</f>
        <v>Modell</v>
      </c>
      <c r="H455" s="150" t="str">
        <f t="shared" ref="H455:H483" si="14">A455&amp;B455</f>
        <v>DGA33</v>
      </c>
      <c r="I455" s="150">
        <f t="shared" ref="I455:I483" si="15">IF(E455="",0,MATCH(E455,$H$6:$H$483,0))</f>
        <v>0</v>
      </c>
      <c r="J455" s="150">
        <f>IF(_xlfn.XLOOKUP(H455,Korrelation!$B$4:$B$723,Korrelation!$A$4:$A$723,0,0)=0,0,MATCH(_xlfn.XLOOKUP(H455,Korrelation!$B$4:$B$723,Korrelation!$A$4:$A$723,0,0),DMAV_Modell!$G$6:$G$677,0))</f>
        <v>620</v>
      </c>
      <c r="L455" s="51" t="s">
        <v>33</v>
      </c>
      <c r="M455" s="51" t="s">
        <v>648</v>
      </c>
      <c r="N455" s="51" t="s">
        <v>96</v>
      </c>
      <c r="O455" s="52" t="s">
        <v>97</v>
      </c>
      <c r="P455" s="56"/>
      <c r="Q455" s="52" t="s">
        <v>98</v>
      </c>
      <c r="R455" s="52"/>
      <c r="T455" s="51" t="s">
        <v>6133</v>
      </c>
      <c r="U455" s="51" t="s">
        <v>895</v>
      </c>
      <c r="V455" s="51" t="s">
        <v>733</v>
      </c>
      <c r="W455" s="52" t="s">
        <v>97</v>
      </c>
      <c r="Y455" s="210" t="s">
        <v>6175</v>
      </c>
      <c r="AB455" s="51" t="s">
        <v>6279</v>
      </c>
      <c r="AC455" s="51" t="s">
        <v>4449</v>
      </c>
      <c r="AD455" s="51" t="s">
        <v>1378</v>
      </c>
      <c r="AE455" s="52" t="s">
        <v>97</v>
      </c>
      <c r="AG455" s="210" t="s">
        <v>6316</v>
      </c>
    </row>
    <row r="456" spans="1:34" ht="25.5" x14ac:dyDescent="0.25">
      <c r="A456" s="51" t="s">
        <v>3675</v>
      </c>
      <c r="B456" s="51">
        <v>34</v>
      </c>
      <c r="C456" s="51" t="s">
        <v>95</v>
      </c>
      <c r="D456" s="50">
        <v>1</v>
      </c>
      <c r="F456" s="189" t="str" cm="1">
        <f t="array" aca="1" ref="F456" ca="1">IF(I456=0,"",HYPERLINK("#"&amp;RIGHT(CELL("dateiname"),LEN(CELL("dateiname"))-FIND("]",CELL("dateiname")))&amp;"!"&amp;CELL("adresse",OFFSET($C$6,I456-1,0)),"Definition"))</f>
        <v/>
      </c>
      <c r="G456" s="189" t="str" cm="1">
        <f t="array" aca="1" ref="G456" ca="1">IF(J456=0,"",HYPERLINK("#"&amp;RIGHT(CELL("adresse",OFFSET(DMAV_Modell!$A$6,J456-1,0)),LEN(CELL("adresse",OFFSET(DMAV_Modell!$A$6,J456-1,0)))-SEARCH("]",CELL("adresse",OFFSET(DMAV_Modell!$A$6,J456-1,0)))),"Modell"))</f>
        <v>Modell</v>
      </c>
      <c r="H456" s="150" t="str">
        <f t="shared" si="14"/>
        <v>DGA34</v>
      </c>
      <c r="I456" s="150">
        <f t="shared" si="15"/>
        <v>0</v>
      </c>
      <c r="J456" s="150">
        <f>IF(_xlfn.XLOOKUP(H456,Korrelation!$B$4:$B$723,Korrelation!$A$4:$A$723,0,0)=0,0,MATCH(_xlfn.XLOOKUP(H456,Korrelation!$B$4:$B$723,Korrelation!$A$4:$A$723,0,0),DMAV_Modell!$G$6:$G$677,0))</f>
        <v>621</v>
      </c>
      <c r="L456" s="51" t="s">
        <v>33</v>
      </c>
      <c r="M456" s="51" t="s">
        <v>648</v>
      </c>
      <c r="N456" s="51" t="s">
        <v>99</v>
      </c>
      <c r="O456" s="52" t="s">
        <v>97</v>
      </c>
      <c r="P456" s="56"/>
      <c r="Q456" s="52" t="s">
        <v>100</v>
      </c>
      <c r="R456" s="52"/>
      <c r="T456" s="51" t="s">
        <v>6133</v>
      </c>
      <c r="U456" s="51" t="s">
        <v>895</v>
      </c>
      <c r="V456" s="51" t="s">
        <v>734</v>
      </c>
      <c r="W456" s="52" t="s">
        <v>97</v>
      </c>
      <c r="Y456" s="210" t="s">
        <v>6176</v>
      </c>
      <c r="AB456" s="51" t="s">
        <v>6279</v>
      </c>
      <c r="AC456" s="51" t="s">
        <v>4449</v>
      </c>
      <c r="AD456" s="51" t="s">
        <v>1376</v>
      </c>
      <c r="AE456" s="52" t="s">
        <v>97</v>
      </c>
      <c r="AG456" s="210" t="s">
        <v>6317</v>
      </c>
    </row>
    <row r="457" spans="1:34" x14ac:dyDescent="0.25">
      <c r="A457" s="51" t="s">
        <v>3675</v>
      </c>
      <c r="B457" s="51">
        <v>35</v>
      </c>
      <c r="C457" s="51" t="s">
        <v>95</v>
      </c>
      <c r="D457" s="50">
        <v>1</v>
      </c>
      <c r="F457" s="189" t="str" cm="1">
        <f t="array" aca="1" ref="F457" ca="1">IF(I457=0,"",HYPERLINK("#"&amp;RIGHT(CELL("dateiname"),LEN(CELL("dateiname"))-FIND("]",CELL("dateiname")))&amp;"!"&amp;CELL("adresse",OFFSET($C$6,I457-1,0)),"Definition"))</f>
        <v/>
      </c>
      <c r="G457" s="189" t="str" cm="1">
        <f t="array" aca="1" ref="G457" ca="1">IF(J457=0,"",HYPERLINK("#"&amp;RIGHT(CELL("adresse",OFFSET(DMAV_Modell!$A$6,J457-1,0)),LEN(CELL("adresse",OFFSET(DMAV_Modell!$A$6,J457-1,0)))-SEARCH("]",CELL("adresse",OFFSET(DMAV_Modell!$A$6,J457-1,0)))),"Modell"))</f>
        <v>Modell</v>
      </c>
      <c r="H457" s="150" t="str">
        <f t="shared" si="14"/>
        <v>DGA35</v>
      </c>
      <c r="I457" s="150">
        <f t="shared" si="15"/>
        <v>0</v>
      </c>
      <c r="J457" s="150">
        <f>IF(_xlfn.XLOOKUP(H457,Korrelation!$B$4:$B$723,Korrelation!$A$4:$A$723,0,0)=0,0,MATCH(_xlfn.XLOOKUP(H457,Korrelation!$B$4:$B$723,Korrelation!$A$4:$A$723,0,0),DMAV_Modell!$G$6:$G$677,0))</f>
        <v>622</v>
      </c>
      <c r="L457" s="51" t="s">
        <v>33</v>
      </c>
      <c r="M457" s="51" t="s">
        <v>648</v>
      </c>
      <c r="N457" s="51" t="s">
        <v>101</v>
      </c>
      <c r="O457" s="52" t="s">
        <v>102</v>
      </c>
      <c r="P457" s="56"/>
      <c r="Q457" s="52" t="s">
        <v>103</v>
      </c>
      <c r="R457" s="52"/>
      <c r="T457" s="51" t="s">
        <v>6133</v>
      </c>
      <c r="U457" s="51" t="s">
        <v>895</v>
      </c>
      <c r="V457" s="51" t="s">
        <v>735</v>
      </c>
      <c r="W457" s="52" t="s">
        <v>102</v>
      </c>
      <c r="Y457" s="210" t="s">
        <v>6177</v>
      </c>
      <c r="AB457" s="51" t="s">
        <v>6279</v>
      </c>
      <c r="AC457" s="51" t="s">
        <v>4449</v>
      </c>
      <c r="AD457" s="51" t="s">
        <v>1294</v>
      </c>
      <c r="AE457" s="52" t="s">
        <v>102</v>
      </c>
      <c r="AG457" s="210" t="s">
        <v>6318</v>
      </c>
    </row>
    <row r="458" spans="1:34" ht="76.5" x14ac:dyDescent="0.25">
      <c r="A458" s="51" t="s">
        <v>3675</v>
      </c>
      <c r="B458" s="51">
        <v>36</v>
      </c>
      <c r="C458" s="51" t="s">
        <v>95</v>
      </c>
      <c r="D458" s="50" t="s">
        <v>72</v>
      </c>
      <c r="F458" s="189" t="str" cm="1">
        <f t="array" aca="1" ref="F458" ca="1">IF(I458=0,"",HYPERLINK("#"&amp;RIGHT(CELL("dateiname"),LEN(CELL("dateiname"))-FIND("]",CELL("dateiname")))&amp;"!"&amp;CELL("adresse",OFFSET($C$6,I458-1,0)),"Definition"))</f>
        <v/>
      </c>
      <c r="G458" s="189" t="str" cm="1">
        <f t="array" aca="1" ref="G458" ca="1">IF(J458=0,"",HYPERLINK("#"&amp;RIGHT(CELL("adresse",OFFSET(DMAV_Modell!$A$6,J458-1,0)),LEN(CELL("adresse",OFFSET(DMAV_Modell!$A$6,J458-1,0)))-SEARCH("]",CELL("adresse",OFFSET(DMAV_Modell!$A$6,J458-1,0)))),"Modell"))</f>
        <v>Modell</v>
      </c>
      <c r="H458" s="150" t="str">
        <f t="shared" si="14"/>
        <v>DGA36</v>
      </c>
      <c r="I458" s="150">
        <f t="shared" si="15"/>
        <v>0</v>
      </c>
      <c r="J458" s="150">
        <f>IF(_xlfn.XLOOKUP(H458,Korrelation!$B$4:$B$723,Korrelation!$A$4:$A$723,0,0)=0,0,MATCH(_xlfn.XLOOKUP(H458,Korrelation!$B$4:$B$723,Korrelation!$A$4:$A$723,0,0),DMAV_Modell!$G$6:$G$677,0))</f>
        <v>623</v>
      </c>
      <c r="L458" s="51" t="s">
        <v>33</v>
      </c>
      <c r="M458" s="51" t="s">
        <v>648</v>
      </c>
      <c r="N458" s="51" t="s">
        <v>104</v>
      </c>
      <c r="O458" s="52" t="s">
        <v>105</v>
      </c>
      <c r="P458" s="56"/>
      <c r="Q458" s="52" t="s">
        <v>106</v>
      </c>
      <c r="R458" s="52"/>
      <c r="T458" s="51" t="s">
        <v>6133</v>
      </c>
      <c r="U458" s="51" t="s">
        <v>895</v>
      </c>
      <c r="V458" s="51" t="s">
        <v>736</v>
      </c>
      <c r="W458" s="52" t="s">
        <v>105</v>
      </c>
      <c r="Y458" s="210" t="s">
        <v>6178</v>
      </c>
      <c r="AB458" s="51" t="s">
        <v>6279</v>
      </c>
      <c r="AC458" s="51" t="s">
        <v>4449</v>
      </c>
      <c r="AD458" s="51" t="s">
        <v>1595</v>
      </c>
      <c r="AE458" s="52" t="s">
        <v>105</v>
      </c>
      <c r="AG458" s="210" t="s">
        <v>6319</v>
      </c>
    </row>
    <row r="459" spans="1:34" ht="25.5" x14ac:dyDescent="0.25">
      <c r="A459" s="51" t="s">
        <v>3675</v>
      </c>
      <c r="B459" s="51">
        <v>37</v>
      </c>
      <c r="C459" s="51" t="s">
        <v>95</v>
      </c>
      <c r="D459" s="50">
        <v>1</v>
      </c>
      <c r="F459" s="189" t="str" cm="1">
        <f t="array" aca="1" ref="F459" ca="1">IF(I459=0,"",HYPERLINK("#"&amp;RIGHT(CELL("dateiname"),LEN(CELL("dateiname"))-FIND("]",CELL("dateiname")))&amp;"!"&amp;CELL("adresse",OFFSET($C$6,I459-1,0)),"Definition"))</f>
        <v/>
      </c>
      <c r="G459" s="189" t="str" cm="1">
        <f t="array" aca="1" ref="G459" ca="1">IF(J459=0,"",HYPERLINK("#"&amp;RIGHT(CELL("adresse",OFFSET(DMAV_Modell!$A$6,J459-1,0)),LEN(CELL("adresse",OFFSET(DMAV_Modell!$A$6,J459-1,0)))-SEARCH("]",CELL("adresse",OFFSET(DMAV_Modell!$A$6,J459-1,0)))),"Modell"))</f>
        <v>Modell</v>
      </c>
      <c r="H459" s="150" t="str">
        <f t="shared" si="14"/>
        <v>DGA37</v>
      </c>
      <c r="I459" s="150">
        <f t="shared" si="15"/>
        <v>0</v>
      </c>
      <c r="J459" s="150">
        <f>IF(_xlfn.XLOOKUP(H459,Korrelation!$B$4:$B$723,Korrelation!$A$4:$A$723,0,0)=0,0,MATCH(_xlfn.XLOOKUP(H459,Korrelation!$B$4:$B$723,Korrelation!$A$4:$A$723,0,0),DMAV_Modell!$G$6:$G$677,0))</f>
        <v>624</v>
      </c>
      <c r="L459" s="51" t="s">
        <v>33</v>
      </c>
      <c r="M459" s="51" t="s">
        <v>648</v>
      </c>
      <c r="N459" s="51" t="s">
        <v>107</v>
      </c>
      <c r="O459" s="52" t="s">
        <v>108</v>
      </c>
      <c r="P459" s="56"/>
      <c r="Q459" s="52" t="s">
        <v>109</v>
      </c>
      <c r="R459" s="52"/>
      <c r="T459" s="51" t="s">
        <v>6133</v>
      </c>
      <c r="U459" s="51" t="s">
        <v>895</v>
      </c>
      <c r="V459" s="51" t="s">
        <v>737</v>
      </c>
      <c r="W459" s="52" t="s">
        <v>108</v>
      </c>
      <c r="Y459" s="210" t="s">
        <v>6179</v>
      </c>
      <c r="AB459" s="51" t="s">
        <v>6279</v>
      </c>
      <c r="AC459" s="51" t="s">
        <v>4449</v>
      </c>
      <c r="AD459" s="51" t="s">
        <v>4014</v>
      </c>
      <c r="AE459" s="52" t="s">
        <v>108</v>
      </c>
      <c r="AG459" s="210" t="s">
        <v>6320</v>
      </c>
    </row>
    <row r="460" spans="1:34" x14ac:dyDescent="0.25">
      <c r="A460" s="51" t="s">
        <v>3675</v>
      </c>
      <c r="B460" s="51">
        <v>38</v>
      </c>
      <c r="C460" s="51" t="s">
        <v>95</v>
      </c>
      <c r="D460" s="50" t="s">
        <v>72</v>
      </c>
      <c r="F460" s="189" t="str" cm="1">
        <f t="array" aca="1" ref="F460" ca="1">IF(I460=0,"",HYPERLINK("#"&amp;RIGHT(CELL("dateiname"),LEN(CELL("dateiname"))-FIND("]",CELL("dateiname")))&amp;"!"&amp;CELL("adresse",OFFSET($C$6,I460-1,0)),"Definition"))</f>
        <v/>
      </c>
      <c r="G460" s="189" t="str" cm="1">
        <f t="array" aca="1" ref="G460" ca="1">IF(J460=0,"",HYPERLINK("#"&amp;RIGHT(CELL("adresse",OFFSET(DMAV_Modell!$A$6,J460-1,0)),LEN(CELL("adresse",OFFSET(DMAV_Modell!$A$6,J460-1,0)))-SEARCH("]",CELL("adresse",OFFSET(DMAV_Modell!$A$6,J460-1,0)))),"Modell"))</f>
        <v>Modell</v>
      </c>
      <c r="H460" s="150" t="str">
        <f t="shared" si="14"/>
        <v>DGA38</v>
      </c>
      <c r="I460" s="150">
        <f t="shared" si="15"/>
        <v>0</v>
      </c>
      <c r="J460" s="150">
        <f>IF(_xlfn.XLOOKUP(H460,Korrelation!$B$4:$B$723,Korrelation!$A$4:$A$723,0,0)=0,0,MATCH(_xlfn.XLOOKUP(H460,Korrelation!$B$4:$B$723,Korrelation!$A$4:$A$723,0,0),DMAV_Modell!$G$6:$G$677,0))</f>
        <v>633</v>
      </c>
      <c r="L460" s="51" t="s">
        <v>33</v>
      </c>
      <c r="M460" s="51" t="s">
        <v>649</v>
      </c>
      <c r="N460" s="51" t="s">
        <v>650</v>
      </c>
      <c r="O460" s="52" t="s">
        <v>97</v>
      </c>
      <c r="P460" s="56"/>
      <c r="Q460" s="52" t="s">
        <v>651</v>
      </c>
      <c r="R460" s="52"/>
      <c r="T460" s="51" t="s">
        <v>6133</v>
      </c>
      <c r="U460" s="51" t="s">
        <v>896</v>
      </c>
      <c r="V460" s="51" t="s">
        <v>897</v>
      </c>
      <c r="W460" s="52" t="s">
        <v>97</v>
      </c>
      <c r="Y460" s="210" t="s">
        <v>7114</v>
      </c>
      <c r="AB460" s="51" t="s">
        <v>6279</v>
      </c>
      <c r="AC460" s="51" t="s">
        <v>1580</v>
      </c>
      <c r="AD460" s="51" t="s">
        <v>4457</v>
      </c>
      <c r="AE460" s="52" t="s">
        <v>97</v>
      </c>
      <c r="AG460" s="210" t="s">
        <v>7115</v>
      </c>
    </row>
    <row r="461" spans="1:34" ht="38.25" x14ac:dyDescent="0.25">
      <c r="A461" s="51" t="s">
        <v>3675</v>
      </c>
      <c r="B461" s="51">
        <v>39</v>
      </c>
      <c r="C461" s="51" t="s">
        <v>95</v>
      </c>
      <c r="D461" s="50">
        <v>1</v>
      </c>
      <c r="E461" s="50" t="s">
        <v>3711</v>
      </c>
      <c r="F461" s="189" t="str" cm="1">
        <f t="array" aca="1" ref="F461" ca="1">IF(I461=0,"",HYPERLINK("#"&amp;RIGHT(CELL("dateiname"),LEN(CELL("dateiname"))-FIND("]",CELL("dateiname")))&amp;"!"&amp;CELL("adresse",OFFSET($C$6,I461-1,0)),"Definition"))</f>
        <v>Definition</v>
      </c>
      <c r="G461" s="189" t="str" cm="1">
        <f t="array" aca="1" ref="G461" ca="1">IF(J461=0,"",HYPERLINK("#"&amp;RIGHT(CELL("adresse",OFFSET(DMAV_Modell!$A$6,J461-1,0)),LEN(CELL("adresse",OFFSET(DMAV_Modell!$A$6,J461-1,0)))-SEARCH("]",CELL("adresse",OFFSET(DMAV_Modell!$A$6,J461-1,0)))),"Modell"))</f>
        <v>Modell</v>
      </c>
      <c r="H461" s="150" t="str">
        <f t="shared" si="14"/>
        <v>DGA39</v>
      </c>
      <c r="I461" s="150">
        <f t="shared" si="15"/>
        <v>443</v>
      </c>
      <c r="J461" s="150">
        <f>IF(_xlfn.XLOOKUP(H461,Korrelation!$B$4:$B$723,Korrelation!$A$4:$A$723,0,0)=0,0,MATCH(_xlfn.XLOOKUP(H461,Korrelation!$B$4:$B$723,Korrelation!$A$4:$A$723,0,0),DMAV_Modell!$G$6:$G$677,0))</f>
        <v>641</v>
      </c>
      <c r="L461" s="51" t="s">
        <v>33</v>
      </c>
      <c r="M461" s="51" t="s">
        <v>649</v>
      </c>
      <c r="N461" s="51" t="s">
        <v>636</v>
      </c>
      <c r="O461" s="52" t="s">
        <v>652</v>
      </c>
      <c r="P461" s="56"/>
      <c r="Q461" s="52" t="s">
        <v>653</v>
      </c>
      <c r="R461" s="52"/>
      <c r="T461" s="51" t="s">
        <v>6133</v>
      </c>
      <c r="U461" s="51" t="s">
        <v>896</v>
      </c>
      <c r="V461" s="51" t="s">
        <v>892</v>
      </c>
      <c r="W461" s="52" t="s">
        <v>7116</v>
      </c>
      <c r="Y461" s="210" t="s">
        <v>7117</v>
      </c>
      <c r="AB461" s="51" t="s">
        <v>6279</v>
      </c>
      <c r="AC461" s="51" t="s">
        <v>1580</v>
      </c>
      <c r="AD461" s="51" t="s">
        <v>4451</v>
      </c>
      <c r="AE461" s="52" t="s">
        <v>7118</v>
      </c>
      <c r="AG461" s="210" t="s">
        <v>7119</v>
      </c>
    </row>
    <row r="462" spans="1:34" ht="127.5" x14ac:dyDescent="0.25">
      <c r="A462" s="51" t="s">
        <v>3675</v>
      </c>
      <c r="B462" s="51">
        <v>40</v>
      </c>
      <c r="C462" s="51" t="s">
        <v>95</v>
      </c>
      <c r="D462" s="50">
        <v>1</v>
      </c>
      <c r="E462" s="50" t="s">
        <v>3712</v>
      </c>
      <c r="F462" s="189" t="str" cm="1">
        <f t="array" aca="1" ref="F462" ca="1">IF(I462=0,"",HYPERLINK("#"&amp;RIGHT(CELL("dateiname"),LEN(CELL("dateiname"))-FIND("]",CELL("dateiname")))&amp;"!"&amp;CELL("adresse",OFFSET($C$6,I462-1,0)),"Definition"))</f>
        <v>Definition</v>
      </c>
      <c r="G462" s="189" t="str" cm="1">
        <f t="array" aca="1" ref="G462" ca="1">IF(J462=0,"",HYPERLINK("#"&amp;RIGHT(CELL("adresse",OFFSET(DMAV_Modell!$A$6,J462-1,0)),LEN(CELL("adresse",OFFSET(DMAV_Modell!$A$6,J462-1,0)))-SEARCH("]",CELL("adresse",OFFSET(DMAV_Modell!$A$6,J462-1,0)))),"Modell"))</f>
        <v>Modell</v>
      </c>
      <c r="H462" s="150" t="str">
        <f t="shared" si="14"/>
        <v>DGA40</v>
      </c>
      <c r="I462" s="150">
        <f t="shared" si="15"/>
        <v>420</v>
      </c>
      <c r="J462" s="150">
        <f>IF(_xlfn.XLOOKUP(H462,Korrelation!$B$4:$B$723,Korrelation!$A$4:$A$723,0,0)=0,0,MATCH(_xlfn.XLOOKUP(H462,Korrelation!$B$4:$B$723,Korrelation!$A$4:$A$723,0,0),DMAV_Modell!$G$6:$G$677,0))</f>
        <v>638</v>
      </c>
      <c r="L462" s="51" t="s">
        <v>33</v>
      </c>
      <c r="M462" s="51" t="s">
        <v>649</v>
      </c>
      <c r="N462" s="51" t="s">
        <v>593</v>
      </c>
      <c r="O462" s="52" t="s">
        <v>654</v>
      </c>
      <c r="P462" s="56"/>
      <c r="Q462" s="52" t="s">
        <v>655</v>
      </c>
      <c r="R462" s="52" t="s">
        <v>3786</v>
      </c>
      <c r="T462" s="51" t="s">
        <v>6133</v>
      </c>
      <c r="U462" s="51" t="s">
        <v>896</v>
      </c>
      <c r="V462" s="51" t="s">
        <v>884</v>
      </c>
      <c r="W462" s="52" t="s">
        <v>7120</v>
      </c>
      <c r="Y462" s="210" t="s">
        <v>7121</v>
      </c>
      <c r="Z462" s="210" t="s">
        <v>7122</v>
      </c>
      <c r="AB462" s="51" t="s">
        <v>6279</v>
      </c>
      <c r="AC462" s="51" t="s">
        <v>1580</v>
      </c>
      <c r="AD462" s="51" t="s">
        <v>4463</v>
      </c>
      <c r="AE462" s="52" t="s">
        <v>7123</v>
      </c>
      <c r="AG462" s="210" t="s">
        <v>7124</v>
      </c>
      <c r="AH462" s="210" t="s">
        <v>7125</v>
      </c>
    </row>
    <row r="463" spans="1:34" ht="25.5" x14ac:dyDescent="0.25">
      <c r="A463" s="51" t="s">
        <v>3675</v>
      </c>
      <c r="B463" s="51">
        <v>41</v>
      </c>
      <c r="C463" s="51" t="s">
        <v>95</v>
      </c>
      <c r="D463" s="50">
        <v>1</v>
      </c>
      <c r="E463" s="50" t="s">
        <v>3713</v>
      </c>
      <c r="F463" s="189" t="str" cm="1">
        <f t="array" aca="1" ref="F463" ca="1">IF(I463=0,"",HYPERLINK("#"&amp;RIGHT(CELL("dateiname"),LEN(CELL("dateiname"))-FIND("]",CELL("dateiname")))&amp;"!"&amp;CELL("adresse",OFFSET($C$6,I463-1,0)),"Definition"))</f>
        <v>Definition</v>
      </c>
      <c r="G463" s="189" t="str" cm="1">
        <f t="array" aca="1" ref="G463" ca="1">IF(J463=0,"",HYPERLINK("#"&amp;RIGHT(CELL("adresse",OFFSET(DMAV_Modell!$A$6,J463-1,0)),LEN(CELL("adresse",OFFSET(DMAV_Modell!$A$6,J463-1,0)))-SEARCH("]",CELL("adresse",OFFSET(DMAV_Modell!$A$6,J463-1,0)))),"Modell"))</f>
        <v>Modell</v>
      </c>
      <c r="H463" s="150" t="str">
        <f t="shared" si="14"/>
        <v>DGA41</v>
      </c>
      <c r="I463" s="150">
        <f t="shared" si="15"/>
        <v>423</v>
      </c>
      <c r="J463" s="150">
        <f>IF(_xlfn.XLOOKUP(H463,Korrelation!$B$4:$B$723,Korrelation!$A$4:$A$723,0,0)=0,0,MATCH(_xlfn.XLOOKUP(H463,Korrelation!$B$4:$B$723,Korrelation!$A$4:$A$723,0,0),DMAV_Modell!$G$6:$G$677,0))</f>
        <v>639</v>
      </c>
      <c r="L463" s="51" t="s">
        <v>33</v>
      </c>
      <c r="M463" s="51" t="s">
        <v>649</v>
      </c>
      <c r="N463" s="51" t="s">
        <v>600</v>
      </c>
      <c r="O463" s="52" t="s">
        <v>656</v>
      </c>
      <c r="P463" s="56"/>
      <c r="Q463" s="52" t="s">
        <v>657</v>
      </c>
      <c r="R463" s="52"/>
      <c r="T463" s="51" t="s">
        <v>6133</v>
      </c>
      <c r="U463" s="51" t="s">
        <v>896</v>
      </c>
      <c r="V463" s="51" t="s">
        <v>885</v>
      </c>
      <c r="W463" s="52" t="s">
        <v>7126</v>
      </c>
      <c r="Y463" s="210" t="s">
        <v>7127</v>
      </c>
      <c r="AB463" s="51" t="s">
        <v>6279</v>
      </c>
      <c r="AC463" s="51" t="s">
        <v>1580</v>
      </c>
      <c r="AD463" s="51" t="s">
        <v>4466</v>
      </c>
      <c r="AE463" s="52" t="s">
        <v>7128</v>
      </c>
      <c r="AG463" s="210" t="s">
        <v>7129</v>
      </c>
    </row>
    <row r="464" spans="1:34" ht="38.25" x14ac:dyDescent="0.25">
      <c r="A464" s="51" t="s">
        <v>3675</v>
      </c>
      <c r="B464" s="51">
        <v>42</v>
      </c>
      <c r="C464" s="51" t="s">
        <v>95</v>
      </c>
      <c r="D464" s="50" t="s">
        <v>72</v>
      </c>
      <c r="E464" s="50" t="s">
        <v>3714</v>
      </c>
      <c r="F464" s="189" t="str" cm="1">
        <f t="array" aca="1" ref="F464" ca="1">IF(I464=0,"",HYPERLINK("#"&amp;RIGHT(CELL("dateiname"),LEN(CELL("dateiname"))-FIND("]",CELL("dateiname")))&amp;"!"&amp;CELL("adresse",OFFSET($C$6,I464-1,0)),"Definition"))</f>
        <v>Definition</v>
      </c>
      <c r="G464" s="189" t="str" cm="1">
        <f t="array" aca="1" ref="G464" ca="1">IF(J464=0,"",HYPERLINK("#"&amp;RIGHT(CELL("adresse",OFFSET(DMAV_Modell!$A$6,J464-1,0)),LEN(CELL("adresse",OFFSET(DMAV_Modell!$A$6,J464-1,0)))-SEARCH("]",CELL("adresse",OFFSET(DMAV_Modell!$A$6,J464-1,0)))),"Modell"))</f>
        <v>Modell</v>
      </c>
      <c r="H464" s="150" t="str">
        <f t="shared" si="14"/>
        <v>DGA42</v>
      </c>
      <c r="I464" s="150">
        <f t="shared" si="15"/>
        <v>448</v>
      </c>
      <c r="J464" s="150">
        <f>IF(_xlfn.XLOOKUP(H464,Korrelation!$B$4:$B$723,Korrelation!$A$4:$A$723,0,0)=0,0,MATCH(_xlfn.XLOOKUP(H464,Korrelation!$B$4:$B$723,Korrelation!$A$4:$A$723,0,0),DMAV_Modell!$G$6:$G$677,0))</f>
        <v>643</v>
      </c>
      <c r="L464" s="51" t="s">
        <v>33</v>
      </c>
      <c r="M464" s="51" t="s">
        <v>649</v>
      </c>
      <c r="N464" s="51" t="s">
        <v>642</v>
      </c>
      <c r="O464" s="52" t="s">
        <v>2805</v>
      </c>
      <c r="P464" s="56"/>
      <c r="Q464" s="52" t="s">
        <v>658</v>
      </c>
      <c r="R464" s="52" t="s">
        <v>659</v>
      </c>
      <c r="T464" s="51" t="s">
        <v>6133</v>
      </c>
      <c r="U464" s="51" t="s">
        <v>896</v>
      </c>
      <c r="V464" s="51" t="s">
        <v>894</v>
      </c>
      <c r="W464" s="52" t="s">
        <v>7130</v>
      </c>
      <c r="Y464" s="210" t="s">
        <v>7131</v>
      </c>
      <c r="Z464" s="210" t="s">
        <v>7132</v>
      </c>
      <c r="AB464" s="51" t="s">
        <v>6279</v>
      </c>
      <c r="AC464" s="51" t="s">
        <v>1580</v>
      </c>
      <c r="AD464" s="51" t="s">
        <v>4455</v>
      </c>
      <c r="AE464" s="52" t="s">
        <v>7133</v>
      </c>
      <c r="AG464" s="210" t="s">
        <v>7134</v>
      </c>
      <c r="AH464" s="210" t="s">
        <v>7135</v>
      </c>
    </row>
    <row r="465" spans="1:34" ht="38.25" x14ac:dyDescent="0.25">
      <c r="A465" s="51" t="s">
        <v>3675</v>
      </c>
      <c r="B465" s="51">
        <v>43</v>
      </c>
      <c r="C465" s="51" t="s">
        <v>95</v>
      </c>
      <c r="D465" s="50" t="s">
        <v>72</v>
      </c>
      <c r="E465" s="50" t="s">
        <v>3715</v>
      </c>
      <c r="F465" s="189" t="str" cm="1">
        <f t="array" aca="1" ref="F465" ca="1">IF(I465=0,"",HYPERLINK("#"&amp;RIGHT(CELL("dateiname"),LEN(CELL("dateiname"))-FIND("]",CELL("dateiname")))&amp;"!"&amp;CELL("adresse",OFFSET($C$6,I465-1,0)),"Definition"))</f>
        <v>Definition</v>
      </c>
      <c r="G465" s="189" t="str" cm="1">
        <f t="array" aca="1" ref="G465" ca="1">IF(J465=0,"",HYPERLINK("#"&amp;RIGHT(CELL("adresse",OFFSET(DMAV_Modell!$A$6,J465-1,0)),LEN(CELL("adresse",OFFSET(DMAV_Modell!$A$6,J465-1,0)))-SEARCH("]",CELL("adresse",OFFSET(DMAV_Modell!$A$6,J465-1,0)))),"Modell"))</f>
        <v>Modell</v>
      </c>
      <c r="H465" s="150" t="str">
        <f t="shared" si="14"/>
        <v>DGA43</v>
      </c>
      <c r="I465" s="150">
        <f t="shared" si="15"/>
        <v>435</v>
      </c>
      <c r="J465" s="150">
        <f>IF(_xlfn.XLOOKUP(H465,Korrelation!$B$4:$B$723,Korrelation!$A$4:$A$723,0,0)=0,0,MATCH(_xlfn.XLOOKUP(H465,Korrelation!$B$4:$B$723,Korrelation!$A$4:$A$723,0,0),DMAV_Modell!$G$6:$G$677,0))</f>
        <v>642</v>
      </c>
      <c r="L465" s="51" t="s">
        <v>33</v>
      </c>
      <c r="M465" s="51" t="s">
        <v>649</v>
      </c>
      <c r="N465" s="51" t="s">
        <v>598</v>
      </c>
      <c r="O465" s="52" t="s">
        <v>660</v>
      </c>
      <c r="P465" s="56"/>
      <c r="Q465" s="52" t="s">
        <v>661</v>
      </c>
      <c r="R465" s="52" t="s">
        <v>662</v>
      </c>
      <c r="T465" s="51" t="s">
        <v>6133</v>
      </c>
      <c r="U465" s="51" t="s">
        <v>896</v>
      </c>
      <c r="V465" s="51" t="s">
        <v>887</v>
      </c>
      <c r="W465" s="52" t="s">
        <v>7136</v>
      </c>
      <c r="Y465" s="210" t="s">
        <v>7137</v>
      </c>
      <c r="Z465" s="210" t="s">
        <v>7138</v>
      </c>
      <c r="AB465" s="51" t="s">
        <v>6279</v>
      </c>
      <c r="AC465" s="51" t="s">
        <v>1580</v>
      </c>
      <c r="AD465" s="51" t="s">
        <v>4454</v>
      </c>
      <c r="AE465" s="52" t="s">
        <v>7139</v>
      </c>
      <c r="AG465" s="210" t="s">
        <v>7140</v>
      </c>
      <c r="AH465" s="210" t="s">
        <v>7141</v>
      </c>
    </row>
    <row r="466" spans="1:34" ht="25.5" x14ac:dyDescent="0.25">
      <c r="A466" s="51" t="s">
        <v>3675</v>
      </c>
      <c r="B466" s="51">
        <v>44</v>
      </c>
      <c r="C466" s="51" t="s">
        <v>95</v>
      </c>
      <c r="D466" s="50">
        <v>1</v>
      </c>
      <c r="F466" s="189" t="str" cm="1">
        <f t="array" aca="1" ref="F466" ca="1">IF(I466=0,"",HYPERLINK("#"&amp;RIGHT(CELL("dateiname"),LEN(CELL("dateiname"))-FIND("]",CELL("dateiname")))&amp;"!"&amp;CELL("adresse",OFFSET($C$6,I466-1,0)),"Definition"))</f>
        <v/>
      </c>
      <c r="G466" s="189" t="str" cm="1">
        <f t="array" aca="1" ref="G466" ca="1">IF(J466=0,"",HYPERLINK("#"&amp;RIGHT(CELL("adresse",OFFSET(DMAV_Modell!$A$6,J466-1,0)),LEN(CELL("adresse",OFFSET(DMAV_Modell!$A$6,J466-1,0)))-SEARCH("]",CELL("adresse",OFFSET(DMAV_Modell!$A$6,J466-1,0)))),"Modell"))</f>
        <v>Modell</v>
      </c>
      <c r="H466" s="150" t="str">
        <f t="shared" si="14"/>
        <v>DGA44</v>
      </c>
      <c r="I466" s="150">
        <f t="shared" si="15"/>
        <v>0</v>
      </c>
      <c r="J466" s="150">
        <f>IF(_xlfn.XLOOKUP(H466,Korrelation!$B$4:$B$723,Korrelation!$A$4:$A$723,0,0)=0,0,MATCH(_xlfn.XLOOKUP(H466,Korrelation!$B$4:$B$723,Korrelation!$A$4:$A$723,0,0),DMAV_Modell!$G$6:$G$677,0))</f>
        <v>635</v>
      </c>
      <c r="L466" s="51" t="s">
        <v>33</v>
      </c>
      <c r="M466" s="51" t="s">
        <v>649</v>
      </c>
      <c r="N466" s="51" t="s">
        <v>663</v>
      </c>
      <c r="O466" s="52" t="s">
        <v>131</v>
      </c>
      <c r="P466" s="56"/>
      <c r="Q466" s="52" t="s">
        <v>664</v>
      </c>
      <c r="R466" s="52" t="s">
        <v>665</v>
      </c>
      <c r="T466" s="51" t="s">
        <v>6133</v>
      </c>
      <c r="U466" s="51" t="s">
        <v>896</v>
      </c>
      <c r="V466" s="51" t="s">
        <v>7142</v>
      </c>
      <c r="W466" s="52" t="s">
        <v>131</v>
      </c>
      <c r="Y466" s="210" t="s">
        <v>7143</v>
      </c>
      <c r="Z466" s="210" t="s">
        <v>7144</v>
      </c>
      <c r="AB466" s="51" t="s">
        <v>6279</v>
      </c>
      <c r="AC466" s="51" t="s">
        <v>1580</v>
      </c>
      <c r="AD466" s="51" t="s">
        <v>4459</v>
      </c>
      <c r="AE466" s="52" t="s">
        <v>131</v>
      </c>
      <c r="AG466" s="210" t="s">
        <v>7145</v>
      </c>
      <c r="AH466" s="210" t="s">
        <v>7146</v>
      </c>
    </row>
    <row r="467" spans="1:34" ht="38.25" x14ac:dyDescent="0.25">
      <c r="A467" s="51" t="s">
        <v>3675</v>
      </c>
      <c r="B467" s="51">
        <v>45</v>
      </c>
      <c r="C467" s="51" t="s">
        <v>95</v>
      </c>
      <c r="D467" s="50">
        <v>1</v>
      </c>
      <c r="F467" s="189" t="str" cm="1">
        <f t="array" aca="1" ref="F467" ca="1">IF(I467=0,"",HYPERLINK("#"&amp;RIGHT(CELL("dateiname"),LEN(CELL("dateiname"))-FIND("]",CELL("dateiname")))&amp;"!"&amp;CELL("adresse",OFFSET($C$6,I467-1,0)),"Definition"))</f>
        <v/>
      </c>
      <c r="G467" s="189" t="str" cm="1">
        <f t="array" aca="1" ref="G467" ca="1">IF(J467=0,"",HYPERLINK("#"&amp;RIGHT(CELL("adresse",OFFSET(DMAV_Modell!$A$6,J467-1,0)),LEN(CELL("adresse",OFFSET(DMAV_Modell!$A$6,J467-1,0)))-SEARCH("]",CELL("adresse",OFFSET(DMAV_Modell!$A$6,J467-1,0)))),"Modell"))</f>
        <v>Modell</v>
      </c>
      <c r="H467" s="150" t="str">
        <f t="shared" si="14"/>
        <v>DGA45</v>
      </c>
      <c r="I467" s="150">
        <f t="shared" si="15"/>
        <v>0</v>
      </c>
      <c r="J467" s="150">
        <f>IF(_xlfn.XLOOKUP(H467,Korrelation!$B$4:$B$723,Korrelation!$A$4:$A$723,0,0)=0,0,MATCH(_xlfn.XLOOKUP(H467,Korrelation!$B$4:$B$723,Korrelation!$A$4:$A$723,0,0),DMAV_Modell!$G$6:$G$677,0))</f>
        <v>637</v>
      </c>
      <c r="L467" s="51" t="s">
        <v>33</v>
      </c>
      <c r="M467" s="51" t="s">
        <v>649</v>
      </c>
      <c r="N467" s="51" t="s">
        <v>666</v>
      </c>
      <c r="O467" s="52" t="s">
        <v>131</v>
      </c>
      <c r="P467" s="56" t="s">
        <v>214</v>
      </c>
      <c r="Q467" s="52" t="s">
        <v>667</v>
      </c>
      <c r="R467" s="52" t="s">
        <v>668</v>
      </c>
      <c r="T467" s="51" t="s">
        <v>6133</v>
      </c>
      <c r="U467" s="51" t="s">
        <v>896</v>
      </c>
      <c r="V467" s="51" t="s">
        <v>899</v>
      </c>
      <c r="W467" s="52" t="s">
        <v>131</v>
      </c>
      <c r="X467" s="209" t="s">
        <v>214</v>
      </c>
      <c r="Y467" s="210" t="s">
        <v>7147</v>
      </c>
      <c r="Z467" s="210" t="s">
        <v>7148</v>
      </c>
      <c r="AB467" s="51" t="s">
        <v>6279</v>
      </c>
      <c r="AC467" s="51" t="s">
        <v>1580</v>
      </c>
      <c r="AD467" s="51" t="s">
        <v>4461</v>
      </c>
      <c r="AE467" s="52" t="s">
        <v>131</v>
      </c>
      <c r="AF467" s="209" t="s">
        <v>214</v>
      </c>
      <c r="AG467" s="210" t="s">
        <v>7149</v>
      </c>
      <c r="AH467" s="210" t="s">
        <v>7150</v>
      </c>
    </row>
    <row r="468" spans="1:34" ht="51" x14ac:dyDescent="0.25">
      <c r="A468" s="51" t="s">
        <v>3675</v>
      </c>
      <c r="B468" s="51">
        <v>46</v>
      </c>
      <c r="C468" s="51" t="s">
        <v>95</v>
      </c>
      <c r="D468" s="50">
        <v>1</v>
      </c>
      <c r="F468" s="189" t="str" cm="1">
        <f t="array" aca="1" ref="F468" ca="1">IF(I468=0,"",HYPERLINK("#"&amp;RIGHT(CELL("dateiname"),LEN(CELL("dateiname"))-FIND("]",CELL("dateiname")))&amp;"!"&amp;CELL("adresse",OFFSET($C$6,I468-1,0)),"Definition"))</f>
        <v/>
      </c>
      <c r="G468" s="189" t="str" cm="1">
        <f t="array" aca="1" ref="G468" ca="1">IF(J468=0,"",HYPERLINK("#"&amp;RIGHT(CELL("adresse",OFFSET(DMAV_Modell!$A$6,J468-1,0)),LEN(CELL("adresse",OFFSET(DMAV_Modell!$A$6,J468-1,0)))-SEARCH("]",CELL("adresse",OFFSET(DMAV_Modell!$A$6,J468-1,0)))),"Modell"))</f>
        <v>Modell</v>
      </c>
      <c r="H468" s="150" t="str">
        <f t="shared" si="14"/>
        <v>DGA46</v>
      </c>
      <c r="I468" s="150">
        <f t="shared" si="15"/>
        <v>0</v>
      </c>
      <c r="J468" s="150">
        <f>IF(_xlfn.XLOOKUP(H468,Korrelation!$B$4:$B$723,Korrelation!$A$4:$A$723,0,0)=0,0,MATCH(_xlfn.XLOOKUP(H468,Korrelation!$B$4:$B$723,Korrelation!$A$4:$A$723,0,0),DMAV_Modell!$G$6:$G$677,0))</f>
        <v>634</v>
      </c>
      <c r="L468" s="51" t="s">
        <v>33</v>
      </c>
      <c r="M468" s="51" t="s">
        <v>649</v>
      </c>
      <c r="N468" s="51" t="s">
        <v>669</v>
      </c>
      <c r="O468" s="52" t="s">
        <v>131</v>
      </c>
      <c r="P468" s="56"/>
      <c r="Q468" s="52" t="s">
        <v>670</v>
      </c>
      <c r="R468" s="52" t="s">
        <v>3787</v>
      </c>
      <c r="T468" s="51" t="s">
        <v>6133</v>
      </c>
      <c r="U468" s="51" t="s">
        <v>896</v>
      </c>
      <c r="V468" s="51" t="s">
        <v>900</v>
      </c>
      <c r="W468" s="52" t="s">
        <v>131</v>
      </c>
      <c r="Y468" s="210" t="s">
        <v>7151</v>
      </c>
      <c r="Z468" s="210" t="s">
        <v>7152</v>
      </c>
      <c r="AB468" s="51" t="s">
        <v>6279</v>
      </c>
      <c r="AC468" s="51" t="s">
        <v>1580</v>
      </c>
      <c r="AD468" s="51" t="s">
        <v>4458</v>
      </c>
      <c r="AE468" s="52" t="s">
        <v>131</v>
      </c>
      <c r="AG468" s="210" t="s">
        <v>7153</v>
      </c>
      <c r="AH468" s="210" t="s">
        <v>7154</v>
      </c>
    </row>
    <row r="469" spans="1:34" x14ac:dyDescent="0.25">
      <c r="A469" s="51" t="s">
        <v>3675</v>
      </c>
      <c r="B469" s="51">
        <v>47</v>
      </c>
      <c r="C469" s="51" t="s">
        <v>95</v>
      </c>
      <c r="D469" s="50">
        <v>1</v>
      </c>
      <c r="E469" s="50" t="s">
        <v>3716</v>
      </c>
      <c r="F469" s="189" t="str" cm="1">
        <f t="array" aca="1" ref="F469" ca="1">IF(I469=0,"",HYPERLINK("#"&amp;RIGHT(CELL("dateiname"),LEN(CELL("dateiname"))-FIND("]",CELL("dateiname")))&amp;"!"&amp;CELL("adresse",OFFSET($C$6,I469-1,0)),"Definition"))</f>
        <v>Definition</v>
      </c>
      <c r="G469" s="189" t="str" cm="1">
        <f t="array" aca="1" ref="G469" ca="1">IF(J469=0,"",HYPERLINK("#"&amp;RIGHT(CELL("adresse",OFFSET(DMAV_Modell!$A$6,J469-1,0)),LEN(CELL("adresse",OFFSET(DMAV_Modell!$A$6,J469-1,0)))-SEARCH("]",CELL("adresse",OFFSET(DMAV_Modell!$A$6,J469-1,0)))),"Modell"))</f>
        <v>Modell</v>
      </c>
      <c r="H469" s="150" t="str">
        <f t="shared" si="14"/>
        <v>DGA47</v>
      </c>
      <c r="I469" s="150">
        <f t="shared" si="15"/>
        <v>432</v>
      </c>
      <c r="J469" s="150">
        <f>IF(_xlfn.XLOOKUP(H469,Korrelation!$B$4:$B$723,Korrelation!$A$4:$A$723,0,0)=0,0,MATCH(_xlfn.XLOOKUP(H469,Korrelation!$B$4:$B$723,Korrelation!$A$4:$A$723,0,0),DMAV_Modell!$G$6:$G$677,0))</f>
        <v>636</v>
      </c>
      <c r="L469" s="51" t="s">
        <v>33</v>
      </c>
      <c r="M469" s="51" t="s">
        <v>649</v>
      </c>
      <c r="N469" s="51" t="s">
        <v>671</v>
      </c>
      <c r="O469" s="52" t="s">
        <v>413</v>
      </c>
      <c r="P469" s="56"/>
      <c r="Q469" s="52" t="s">
        <v>672</v>
      </c>
      <c r="R469" s="52" t="s">
        <v>673</v>
      </c>
      <c r="T469" s="51" t="s">
        <v>6133</v>
      </c>
      <c r="U469" s="51" t="s">
        <v>896</v>
      </c>
      <c r="V469" s="51" t="s">
        <v>901</v>
      </c>
      <c r="W469" s="52" t="s">
        <v>6749</v>
      </c>
      <c r="Y469" s="210" t="s">
        <v>7155</v>
      </c>
      <c r="Z469" s="210" t="s">
        <v>7156</v>
      </c>
      <c r="AB469" s="51" t="s">
        <v>6279</v>
      </c>
      <c r="AC469" s="51" t="s">
        <v>1580</v>
      </c>
      <c r="AD469" s="51" t="s">
        <v>4460</v>
      </c>
      <c r="AE469" s="52" t="s">
        <v>6751</v>
      </c>
      <c r="AG469" s="210" t="s">
        <v>7157</v>
      </c>
      <c r="AH469" s="210" t="s">
        <v>7158</v>
      </c>
    </row>
    <row r="470" spans="1:34" ht="38.25" x14ac:dyDescent="0.25">
      <c r="A470" s="51" t="s">
        <v>3675</v>
      </c>
      <c r="B470" s="51">
        <v>48</v>
      </c>
      <c r="C470" s="51" t="s">
        <v>95</v>
      </c>
      <c r="D470" s="50" t="s">
        <v>72</v>
      </c>
      <c r="F470" s="189" t="str" cm="1">
        <f t="array" aca="1" ref="F470" ca="1">IF(I470=0,"",HYPERLINK("#"&amp;RIGHT(CELL("dateiname"),LEN(CELL("dateiname"))-FIND("]",CELL("dateiname")))&amp;"!"&amp;CELL("adresse",OFFSET($C$6,I470-1,0)),"Definition"))</f>
        <v/>
      </c>
      <c r="G470" s="189" t="str" cm="1">
        <f t="array" aca="1" ref="G470" ca="1">IF(J470=0,"",HYPERLINK("#"&amp;RIGHT(CELL("adresse",OFFSET(DMAV_Modell!$A$6,J470-1,0)),LEN(CELL("adresse",OFFSET(DMAV_Modell!$A$6,J470-1,0)))-SEARCH("]",CELL("adresse",OFFSET(DMAV_Modell!$A$6,J470-1,0)))),"Modell"))</f>
        <v>Modell</v>
      </c>
      <c r="H470" s="150" t="str">
        <f t="shared" si="14"/>
        <v>DGA48</v>
      </c>
      <c r="I470" s="150">
        <f t="shared" si="15"/>
        <v>0</v>
      </c>
      <c r="J470" s="150">
        <f>IF(_xlfn.XLOOKUP(H470,Korrelation!$B$4:$B$723,Korrelation!$A$4:$A$723,0,0)=0,0,MATCH(_xlfn.XLOOKUP(H470,Korrelation!$B$4:$B$723,Korrelation!$A$4:$A$723,0,0),DMAV_Modell!$G$6:$G$677,0))</f>
        <v>640</v>
      </c>
      <c r="L470" s="51" t="s">
        <v>33</v>
      </c>
      <c r="M470" s="51" t="s">
        <v>649</v>
      </c>
      <c r="N470" s="51" t="s">
        <v>674</v>
      </c>
      <c r="O470" s="52" t="s">
        <v>675</v>
      </c>
      <c r="P470" s="56"/>
      <c r="Q470" s="52" t="s">
        <v>676</v>
      </c>
      <c r="R470" s="52"/>
      <c r="T470" s="51" t="s">
        <v>6133</v>
      </c>
      <c r="U470" s="51" t="s">
        <v>896</v>
      </c>
      <c r="V470" s="51" t="s">
        <v>674</v>
      </c>
      <c r="W470" s="52" t="s">
        <v>675</v>
      </c>
      <c r="Y470" s="210" t="s">
        <v>7159</v>
      </c>
      <c r="AB470" s="51" t="s">
        <v>6279</v>
      </c>
      <c r="AC470" s="51" t="s">
        <v>1580</v>
      </c>
      <c r="AD470" s="51" t="s">
        <v>674</v>
      </c>
      <c r="AE470" s="52" t="s">
        <v>675</v>
      </c>
      <c r="AG470" s="210" t="s">
        <v>7160</v>
      </c>
    </row>
    <row r="471" spans="1:34" ht="38.25" x14ac:dyDescent="0.25">
      <c r="A471" s="51" t="s">
        <v>3675</v>
      </c>
      <c r="B471" s="51">
        <v>49</v>
      </c>
      <c r="C471" s="51" t="s">
        <v>95</v>
      </c>
      <c r="D471" s="50" t="s">
        <v>72</v>
      </c>
      <c r="F471" s="189" t="str" cm="1">
        <f t="array" aca="1" ref="F471" ca="1">IF(I471=0,"",HYPERLINK("#"&amp;RIGHT(CELL("dateiname"),LEN(CELL("dateiname"))-FIND("]",CELL("dateiname")))&amp;"!"&amp;CELL("adresse",OFFSET($C$6,I471-1,0)),"Definition"))</f>
        <v/>
      </c>
      <c r="G471" s="189" t="str" cm="1">
        <f t="array" aca="1" ref="G471" ca="1">IF(J471=0,"",HYPERLINK("#"&amp;RIGHT(CELL("adresse",OFFSET(DMAV_Modell!$A$6,J471-1,0)),LEN(CELL("adresse",OFFSET(DMAV_Modell!$A$6,J471-1,0)))-SEARCH("]",CELL("adresse",OFFSET(DMAV_Modell!$A$6,J471-1,0)))),"Modell"))</f>
        <v>Modell</v>
      </c>
      <c r="H471" s="150" t="str">
        <f t="shared" si="14"/>
        <v>DGA49</v>
      </c>
      <c r="I471" s="150">
        <f t="shared" si="15"/>
        <v>0</v>
      </c>
      <c r="J471" s="150">
        <f>IF(_xlfn.XLOOKUP(H471,Korrelation!$B$4:$B$723,Korrelation!$A$4:$A$723,0,0)=0,0,MATCH(_xlfn.XLOOKUP(H471,Korrelation!$B$4:$B$723,Korrelation!$A$4:$A$723,0,0),DMAV_Modell!$G$6:$G$677,0))</f>
        <v>661</v>
      </c>
      <c r="L471" s="51" t="s">
        <v>33</v>
      </c>
      <c r="M471" s="51" t="s">
        <v>677</v>
      </c>
      <c r="N471" s="51" t="s">
        <v>678</v>
      </c>
      <c r="O471" s="52" t="s">
        <v>97</v>
      </c>
      <c r="P471" s="56"/>
      <c r="Q471" s="52" t="s">
        <v>3788</v>
      </c>
      <c r="R471" s="52" t="s">
        <v>7025</v>
      </c>
      <c r="T471" s="51" t="s">
        <v>6133</v>
      </c>
      <c r="U471" s="51" t="s">
        <v>902</v>
      </c>
      <c r="V471" s="51" t="s">
        <v>903</v>
      </c>
      <c r="W471" s="52" t="s">
        <v>97</v>
      </c>
      <c r="Y471" s="210" t="s">
        <v>7161</v>
      </c>
      <c r="Z471" s="210" t="s">
        <v>7162</v>
      </c>
      <c r="AB471" s="51" t="s">
        <v>6279</v>
      </c>
      <c r="AC471" s="51" t="s">
        <v>4482</v>
      </c>
      <c r="AD471" s="51" t="s">
        <v>4487</v>
      </c>
      <c r="AE471" s="52" t="s">
        <v>97</v>
      </c>
      <c r="AG471" s="210" t="s">
        <v>7163</v>
      </c>
      <c r="AH471" s="210" t="s">
        <v>7164</v>
      </c>
    </row>
    <row r="472" spans="1:34" x14ac:dyDescent="0.25">
      <c r="A472" s="51" t="s">
        <v>3675</v>
      </c>
      <c r="B472" s="51">
        <v>50</v>
      </c>
      <c r="C472" s="51" t="s">
        <v>95</v>
      </c>
      <c r="D472" s="50" t="s">
        <v>72</v>
      </c>
      <c r="E472" s="50" t="s">
        <v>3717</v>
      </c>
      <c r="F472" s="189" t="str" cm="1">
        <f t="array" aca="1" ref="F472" ca="1">IF(I472=0,"",HYPERLINK("#"&amp;RIGHT(CELL("dateiname"),LEN(CELL("dateiname"))-FIND("]",CELL("dateiname")))&amp;"!"&amp;CELL("adresse",OFFSET($C$6,I472-1,0)),"Definition"))</f>
        <v>Definition</v>
      </c>
      <c r="G472" s="189" t="str" cm="1">
        <f t="array" aca="1" ref="G472" ca="1">IF(J472=0,"",HYPERLINK("#"&amp;RIGHT(CELL("adresse",OFFSET(DMAV_Modell!$A$6,J472-1,0)),LEN(CELL("adresse",OFFSET(DMAV_Modell!$A$6,J472-1,0)))-SEARCH("]",CELL("adresse",OFFSET(DMAV_Modell!$A$6,J472-1,0)))),"Modell"))</f>
        <v>Modell</v>
      </c>
      <c r="H472" s="150" t="str">
        <f t="shared" si="14"/>
        <v>DGA50</v>
      </c>
      <c r="I472" s="150">
        <f t="shared" si="15"/>
        <v>438</v>
      </c>
      <c r="J472" s="150">
        <f>IF(_xlfn.XLOOKUP(H472,Korrelation!$B$4:$B$723,Korrelation!$A$4:$A$723,0,0)=0,0,MATCH(_xlfn.XLOOKUP(H472,Korrelation!$B$4:$B$723,Korrelation!$A$4:$A$723,0,0),DMAV_Modell!$G$6:$G$677,0))</f>
        <v>665</v>
      </c>
      <c r="L472" s="51" t="s">
        <v>33</v>
      </c>
      <c r="M472" s="51" t="s">
        <v>677</v>
      </c>
      <c r="N472" s="51" t="s">
        <v>679</v>
      </c>
      <c r="O472" s="52" t="s">
        <v>2802</v>
      </c>
      <c r="P472" s="56"/>
      <c r="Q472" s="52" t="s">
        <v>680</v>
      </c>
      <c r="R472" s="52"/>
      <c r="T472" s="51" t="s">
        <v>6133</v>
      </c>
      <c r="U472" s="51" t="s">
        <v>902</v>
      </c>
      <c r="V472" s="51" t="s">
        <v>889</v>
      </c>
      <c r="W472" s="52" t="s">
        <v>7165</v>
      </c>
      <c r="Y472" s="210" t="s">
        <v>7166</v>
      </c>
      <c r="AB472" s="51" t="s">
        <v>6279</v>
      </c>
      <c r="AC472" s="51" t="s">
        <v>4482</v>
      </c>
      <c r="AD472" s="51" t="s">
        <v>4480</v>
      </c>
      <c r="AE472" s="52" t="s">
        <v>7167</v>
      </c>
      <c r="AG472" s="210" t="s">
        <v>7168</v>
      </c>
    </row>
    <row r="473" spans="1:34" x14ac:dyDescent="0.25">
      <c r="A473" s="51" t="s">
        <v>3675</v>
      </c>
      <c r="B473" s="51">
        <v>51</v>
      </c>
      <c r="C473" s="51" t="s">
        <v>95</v>
      </c>
      <c r="D473" s="50" t="s">
        <v>72</v>
      </c>
      <c r="E473" s="50" t="s">
        <v>3718</v>
      </c>
      <c r="F473" s="189" t="str" cm="1">
        <f t="array" aca="1" ref="F473" ca="1">IF(I473=0,"",HYPERLINK("#"&amp;RIGHT(CELL("dateiname"),LEN(CELL("dateiname"))-FIND("]",CELL("dateiname")))&amp;"!"&amp;CELL("adresse",OFFSET($C$6,I473-1,0)),"Definition"))</f>
        <v>Definition</v>
      </c>
      <c r="G473" s="189" t="str" cm="1">
        <f t="array" aca="1" ref="G473" ca="1">IF(J473=0,"",HYPERLINK("#"&amp;RIGHT(CELL("adresse",OFFSET(DMAV_Modell!$A$6,J473-1,0)),LEN(CELL("adresse",OFFSET(DMAV_Modell!$A$6,J473-1,0)))-SEARCH("]",CELL("adresse",OFFSET(DMAV_Modell!$A$6,J473-1,0)))),"Modell"))</f>
        <v>Modell</v>
      </c>
      <c r="H473" s="150" t="str">
        <f t="shared" si="14"/>
        <v>DGA51</v>
      </c>
      <c r="I473" s="150">
        <f t="shared" si="15"/>
        <v>436</v>
      </c>
      <c r="J473" s="150">
        <f>IF(_xlfn.XLOOKUP(H473,Korrelation!$B$4:$B$723,Korrelation!$A$4:$A$723,0,0)=0,0,MATCH(_xlfn.XLOOKUP(H473,Korrelation!$B$4:$B$723,Korrelation!$A$4:$A$723,0,0),DMAV_Modell!$G$6:$G$677,0))</f>
        <v>666</v>
      </c>
      <c r="L473" s="51" t="s">
        <v>33</v>
      </c>
      <c r="M473" s="51" t="s">
        <v>677</v>
      </c>
      <c r="N473" s="51" t="s">
        <v>681</v>
      </c>
      <c r="O473" s="52" t="s">
        <v>2803</v>
      </c>
      <c r="P473" s="56"/>
      <c r="Q473" s="52" t="s">
        <v>682</v>
      </c>
      <c r="R473" s="52"/>
      <c r="T473" s="51" t="s">
        <v>6133</v>
      </c>
      <c r="U473" s="51" t="s">
        <v>902</v>
      </c>
      <c r="V473" s="51" t="s">
        <v>888</v>
      </c>
      <c r="W473" s="52" t="s">
        <v>7169</v>
      </c>
      <c r="Y473" s="210" t="s">
        <v>7170</v>
      </c>
      <c r="AB473" s="51" t="s">
        <v>6279</v>
      </c>
      <c r="AC473" s="51" t="s">
        <v>4482</v>
      </c>
      <c r="AD473" s="51" t="s">
        <v>4481</v>
      </c>
      <c r="AE473" s="52" t="s">
        <v>7171</v>
      </c>
      <c r="AG473" s="210" t="s">
        <v>7077</v>
      </c>
    </row>
    <row r="474" spans="1:34" x14ac:dyDescent="0.25">
      <c r="A474" s="51" t="s">
        <v>3675</v>
      </c>
      <c r="B474" s="51">
        <v>52</v>
      </c>
      <c r="C474" s="51" t="s">
        <v>95</v>
      </c>
      <c r="D474" s="50">
        <v>1</v>
      </c>
      <c r="E474" s="50" t="s">
        <v>3716</v>
      </c>
      <c r="F474" s="189" t="str" cm="1">
        <f t="array" aca="1" ref="F474" ca="1">IF(I474=0,"",HYPERLINK("#"&amp;RIGHT(CELL("dateiname"),LEN(CELL("dateiname"))-FIND("]",CELL("dateiname")))&amp;"!"&amp;CELL("adresse",OFFSET($C$6,I474-1,0)),"Definition"))</f>
        <v>Definition</v>
      </c>
      <c r="G474" s="189" t="str" cm="1">
        <f t="array" aca="1" ref="G474" ca="1">IF(J474=0,"",HYPERLINK("#"&amp;RIGHT(CELL("adresse",OFFSET(DMAV_Modell!$A$6,J474-1,0)),LEN(CELL("adresse",OFFSET(DMAV_Modell!$A$6,J474-1,0)))-SEARCH("]",CELL("adresse",OFFSET(DMAV_Modell!$A$6,J474-1,0)))),"Modell"))</f>
        <v>Modell</v>
      </c>
      <c r="H474" s="150" t="str">
        <f t="shared" si="14"/>
        <v>DGA52</v>
      </c>
      <c r="I474" s="150">
        <f t="shared" si="15"/>
        <v>432</v>
      </c>
      <c r="J474" s="150">
        <f>IF(_xlfn.XLOOKUP(H474,Korrelation!$B$4:$B$723,Korrelation!$A$4:$A$723,0,0)=0,0,MATCH(_xlfn.XLOOKUP(H474,Korrelation!$B$4:$B$723,Korrelation!$A$4:$A$723,0,0),DMAV_Modell!$G$6:$G$677,0))</f>
        <v>655</v>
      </c>
      <c r="L474" s="51" t="s">
        <v>33</v>
      </c>
      <c r="M474" s="51" t="s">
        <v>677</v>
      </c>
      <c r="N474" s="51" t="s">
        <v>683</v>
      </c>
      <c r="O474" s="52" t="s">
        <v>413</v>
      </c>
      <c r="P474" s="56"/>
      <c r="Q474" s="52" t="s">
        <v>684</v>
      </c>
      <c r="R474" s="52" t="s">
        <v>673</v>
      </c>
      <c r="T474" s="51" t="s">
        <v>6133</v>
      </c>
      <c r="U474" s="51" t="s">
        <v>902</v>
      </c>
      <c r="V474" s="51" t="s">
        <v>904</v>
      </c>
      <c r="W474" s="52" t="s">
        <v>6749</v>
      </c>
      <c r="Y474" s="210" t="s">
        <v>7172</v>
      </c>
      <c r="Z474" s="210" t="s">
        <v>7173</v>
      </c>
      <c r="AB474" s="51" t="s">
        <v>6279</v>
      </c>
      <c r="AC474" s="51" t="s">
        <v>4482</v>
      </c>
      <c r="AD474" s="51" t="s">
        <v>4483</v>
      </c>
      <c r="AE474" s="52" t="s">
        <v>6751</v>
      </c>
      <c r="AG474" s="210" t="s">
        <v>7174</v>
      </c>
      <c r="AH474" s="210" t="s">
        <v>7158</v>
      </c>
    </row>
    <row r="475" spans="1:34" ht="25.5" x14ac:dyDescent="0.25">
      <c r="A475" s="51" t="s">
        <v>3675</v>
      </c>
      <c r="B475" s="51">
        <v>53</v>
      </c>
      <c r="C475" s="51" t="s">
        <v>95</v>
      </c>
      <c r="D475" s="50">
        <v>1</v>
      </c>
      <c r="E475" s="50" t="s">
        <v>3719</v>
      </c>
      <c r="F475" s="189" t="str" cm="1">
        <f t="array" aca="1" ref="F475" ca="1">IF(I475=0,"",HYPERLINK("#"&amp;RIGHT(CELL("dateiname"),LEN(CELL("dateiname"))-FIND("]",CELL("dateiname")))&amp;"!"&amp;CELL("adresse",OFFSET($C$6,I475-1,0)),"Definition"))</f>
        <v>Definition</v>
      </c>
      <c r="G475" s="189" t="str" cm="1">
        <f t="array" aca="1" ref="G475" ca="1">IF(J475=0,"",HYPERLINK("#"&amp;RIGHT(CELL("adresse",OFFSET(DMAV_Modell!$A$6,J475-1,0)),LEN(CELL("adresse",OFFSET(DMAV_Modell!$A$6,J475-1,0)))-SEARCH("]",CELL("adresse",OFFSET(DMAV_Modell!$A$6,J475-1,0)))),"Modell"))</f>
        <v>Modell</v>
      </c>
      <c r="H475" s="150" t="str">
        <f t="shared" si="14"/>
        <v>DGA53</v>
      </c>
      <c r="I475" s="150">
        <f t="shared" si="15"/>
        <v>418</v>
      </c>
      <c r="J475" s="150">
        <f>IF(_xlfn.XLOOKUP(H475,Korrelation!$B$4:$B$723,Korrelation!$A$4:$A$723,0,0)=0,0,MATCH(_xlfn.XLOOKUP(H475,Korrelation!$B$4:$B$723,Korrelation!$A$4:$A$723,0,0),DMAV_Modell!$G$6:$G$677,0))</f>
        <v>662</v>
      </c>
      <c r="L475" s="51" t="s">
        <v>33</v>
      </c>
      <c r="M475" s="51" t="s">
        <v>677</v>
      </c>
      <c r="N475" s="51" t="s">
        <v>590</v>
      </c>
      <c r="O475" s="52" t="s">
        <v>685</v>
      </c>
      <c r="P475" s="56"/>
      <c r="Q475" s="52" t="s">
        <v>686</v>
      </c>
      <c r="R475" s="52"/>
      <c r="T475" s="51" t="s">
        <v>6133</v>
      </c>
      <c r="U475" s="51" t="s">
        <v>902</v>
      </c>
      <c r="V475" s="51" t="s">
        <v>883</v>
      </c>
      <c r="W475" s="52" t="s">
        <v>7175</v>
      </c>
      <c r="Y475" s="210" t="s">
        <v>7176</v>
      </c>
      <c r="AB475" s="51" t="s">
        <v>6279</v>
      </c>
      <c r="AC475" s="51" t="s">
        <v>4482</v>
      </c>
      <c r="AD475" s="51" t="s">
        <v>4489</v>
      </c>
      <c r="AE475" s="52" t="s">
        <v>7177</v>
      </c>
      <c r="AG475" s="210" t="s">
        <v>7178</v>
      </c>
    </row>
    <row r="476" spans="1:34" ht="38.25" x14ac:dyDescent="0.25">
      <c r="A476" s="51" t="s">
        <v>3675</v>
      </c>
      <c r="B476" s="51">
        <v>54</v>
      </c>
      <c r="C476" s="51" t="s">
        <v>95</v>
      </c>
      <c r="D476" s="50">
        <v>1</v>
      </c>
      <c r="F476" s="189" t="str" cm="1">
        <f t="array" aca="1" ref="F476" ca="1">IF(I476=0,"",HYPERLINK("#"&amp;RIGHT(CELL("dateiname"),LEN(CELL("dateiname"))-FIND("]",CELL("dateiname")))&amp;"!"&amp;CELL("adresse",OFFSET($C$6,I476-1,0)),"Definition"))</f>
        <v/>
      </c>
      <c r="G476" s="189" t="str" cm="1">
        <f t="array" aca="1" ref="G476" ca="1">IF(J476=0,"",HYPERLINK("#"&amp;RIGHT(CELL("adresse",OFFSET(DMAV_Modell!$A$6,J476-1,0)),LEN(CELL("adresse",OFFSET(DMAV_Modell!$A$6,J476-1,0)))-SEARCH("]",CELL("adresse",OFFSET(DMAV_Modell!$A$6,J476-1,0)))),"Modell"))</f>
        <v>Modell</v>
      </c>
      <c r="H476" s="150" t="str">
        <f t="shared" si="14"/>
        <v>DGA54</v>
      </c>
      <c r="I476" s="150">
        <f t="shared" si="15"/>
        <v>0</v>
      </c>
      <c r="J476" s="150">
        <f>IF(_xlfn.XLOOKUP(H476,Korrelation!$B$4:$B$723,Korrelation!$A$4:$A$723,0,0)=0,0,MATCH(_xlfn.XLOOKUP(H476,Korrelation!$B$4:$B$723,Korrelation!$A$4:$A$723,0,0),DMAV_Modell!$G$6:$G$677,0))</f>
        <v>659</v>
      </c>
      <c r="L476" s="51" t="s">
        <v>33</v>
      </c>
      <c r="M476" s="51" t="s">
        <v>677</v>
      </c>
      <c r="N476" s="51" t="s">
        <v>123</v>
      </c>
      <c r="O476" s="52" t="s">
        <v>69</v>
      </c>
      <c r="P476" s="56"/>
      <c r="Q476" s="52" t="s">
        <v>687</v>
      </c>
      <c r="R476" s="52" t="s">
        <v>94</v>
      </c>
      <c r="T476" s="51" t="s">
        <v>6133</v>
      </c>
      <c r="U476" s="51" t="s">
        <v>902</v>
      </c>
      <c r="V476" s="51" t="s">
        <v>123</v>
      </c>
      <c r="W476" s="52" t="s">
        <v>69</v>
      </c>
      <c r="Y476" s="210" t="s">
        <v>7179</v>
      </c>
      <c r="Z476" s="210" t="s">
        <v>6166</v>
      </c>
      <c r="AB476" s="51" t="s">
        <v>6279</v>
      </c>
      <c r="AC476" s="51" t="s">
        <v>4482</v>
      </c>
      <c r="AD476" s="51" t="s">
        <v>1247</v>
      </c>
      <c r="AE476" s="52" t="s">
        <v>69</v>
      </c>
      <c r="AG476" s="210" t="s">
        <v>7180</v>
      </c>
      <c r="AH476" s="210" t="s">
        <v>6308</v>
      </c>
    </row>
    <row r="477" spans="1:34" ht="25.5" x14ac:dyDescent="0.25">
      <c r="A477" s="51" t="s">
        <v>3675</v>
      </c>
      <c r="B477" s="51">
        <v>55</v>
      </c>
      <c r="C477" s="51" t="s">
        <v>95</v>
      </c>
      <c r="D477" s="50" t="s">
        <v>72</v>
      </c>
      <c r="F477" s="189" t="str" cm="1">
        <f t="array" aca="1" ref="F477" ca="1">IF(I477=0,"",HYPERLINK("#"&amp;RIGHT(CELL("dateiname"),LEN(CELL("dateiname"))-FIND("]",CELL("dateiname")))&amp;"!"&amp;CELL("adresse",OFFSET($C$6,I477-1,0)),"Definition"))</f>
        <v/>
      </c>
      <c r="G477" s="189" t="str" cm="1">
        <f t="array" aca="1" ref="G477" ca="1">IF(J477=0,"",HYPERLINK("#"&amp;RIGHT(CELL("adresse",OFFSET(DMAV_Modell!$A$6,J477-1,0)),LEN(CELL("adresse",OFFSET(DMAV_Modell!$A$6,J477-1,0)))-SEARCH("]",CELL("adresse",OFFSET(DMAV_Modell!$A$6,J477-1,0)))),"Modell"))</f>
        <v>Modell</v>
      </c>
      <c r="H477" s="150" t="str">
        <f t="shared" si="14"/>
        <v>DGA55</v>
      </c>
      <c r="I477" s="150">
        <f t="shared" si="15"/>
        <v>0</v>
      </c>
      <c r="J477" s="150">
        <f>IF(_xlfn.XLOOKUP(H477,Korrelation!$B$4:$B$723,Korrelation!$A$4:$A$723,0,0)=0,0,MATCH(_xlfn.XLOOKUP(H477,Korrelation!$B$4:$B$723,Korrelation!$A$4:$A$723,0,0),DMAV_Modell!$G$6:$G$677,0))</f>
        <v>660</v>
      </c>
      <c r="L477" s="51" t="s">
        <v>33</v>
      </c>
      <c r="M477" s="51" t="s">
        <v>677</v>
      </c>
      <c r="N477" s="51" t="s">
        <v>688</v>
      </c>
      <c r="O477" s="52" t="s">
        <v>689</v>
      </c>
      <c r="P477" s="56"/>
      <c r="Q477" s="52" t="s">
        <v>690</v>
      </c>
      <c r="R477" s="52"/>
      <c r="T477" s="51" t="s">
        <v>6133</v>
      </c>
      <c r="U477" s="51" t="s">
        <v>902</v>
      </c>
      <c r="V477" s="51" t="s">
        <v>905</v>
      </c>
      <c r="W477" s="52" t="s">
        <v>689</v>
      </c>
      <c r="Y477" s="210" t="s">
        <v>7181</v>
      </c>
      <c r="AB477" s="51" t="s">
        <v>6279</v>
      </c>
      <c r="AC477" s="51" t="s">
        <v>4482</v>
      </c>
      <c r="AD477" s="51" t="s">
        <v>4485</v>
      </c>
      <c r="AE477" s="52" t="s">
        <v>689</v>
      </c>
      <c r="AG477" s="210" t="s">
        <v>7182</v>
      </c>
    </row>
    <row r="478" spans="1:34" ht="25.5" x14ac:dyDescent="0.25">
      <c r="A478" s="51" t="s">
        <v>3675</v>
      </c>
      <c r="B478" s="51">
        <v>56</v>
      </c>
      <c r="C478" s="51" t="s">
        <v>95</v>
      </c>
      <c r="D478" s="50">
        <v>1</v>
      </c>
      <c r="F478" s="189" t="str" cm="1">
        <f t="array" aca="1" ref="F478" ca="1">IF(I478=0,"",HYPERLINK("#"&amp;RIGHT(CELL("dateiname"),LEN(CELL("dateiname"))-FIND("]",CELL("dateiname")))&amp;"!"&amp;CELL("adresse",OFFSET($C$6,I478-1,0)),"Definition"))</f>
        <v/>
      </c>
      <c r="G478" s="189" t="str" cm="1">
        <f t="array" aca="1" ref="G478" ca="1">IF(J478=0,"",HYPERLINK("#"&amp;RIGHT(CELL("adresse",OFFSET(DMAV_Modell!$A$6,J478-1,0)),LEN(CELL("adresse",OFFSET(DMAV_Modell!$A$6,J478-1,0)))-SEARCH("]",CELL("adresse",OFFSET(DMAV_Modell!$A$6,J478-1,0)))),"Modell"))</f>
        <v>Modell</v>
      </c>
      <c r="H478" s="150" t="str">
        <f t="shared" si="14"/>
        <v>DGA56</v>
      </c>
      <c r="I478" s="150">
        <f t="shared" si="15"/>
        <v>0</v>
      </c>
      <c r="J478" s="150">
        <f>IF(_xlfn.XLOOKUP(H478,Korrelation!$B$4:$B$723,Korrelation!$A$4:$A$723,0,0)=0,0,MATCH(_xlfn.XLOOKUP(H478,Korrelation!$B$4:$B$723,Korrelation!$A$4:$A$723,0,0),DMAV_Modell!$G$6:$G$677,0))</f>
        <v>658</v>
      </c>
      <c r="L478" s="51" t="s">
        <v>33</v>
      </c>
      <c r="M478" s="51" t="s">
        <v>677</v>
      </c>
      <c r="N478" s="51" t="s">
        <v>1185</v>
      </c>
      <c r="O478" s="52" t="s">
        <v>131</v>
      </c>
      <c r="P478" s="56"/>
      <c r="Q478" s="52" t="s">
        <v>691</v>
      </c>
      <c r="R478" s="233" t="s">
        <v>665</v>
      </c>
      <c r="T478" s="51" t="s">
        <v>6133</v>
      </c>
      <c r="U478" s="51" t="s">
        <v>902</v>
      </c>
      <c r="V478" s="51" t="s">
        <v>906</v>
      </c>
      <c r="W478" s="52" t="s">
        <v>131</v>
      </c>
      <c r="Y478" s="210" t="s">
        <v>7183</v>
      </c>
      <c r="Z478" s="210" t="s">
        <v>7144</v>
      </c>
      <c r="AB478" s="51" t="s">
        <v>6279</v>
      </c>
      <c r="AC478" s="51" t="s">
        <v>4482</v>
      </c>
      <c r="AD478" s="51" t="s">
        <v>4484</v>
      </c>
      <c r="AE478" s="52" t="s">
        <v>131</v>
      </c>
      <c r="AG478" s="210" t="s">
        <v>7184</v>
      </c>
      <c r="AH478" s="210" t="s">
        <v>7146</v>
      </c>
    </row>
    <row r="479" spans="1:34" ht="38.25" x14ac:dyDescent="0.25">
      <c r="A479" s="51" t="s">
        <v>3675</v>
      </c>
      <c r="B479" s="51">
        <v>57</v>
      </c>
      <c r="C479" s="51" t="s">
        <v>95</v>
      </c>
      <c r="D479" s="50">
        <v>1</v>
      </c>
      <c r="F479" s="189" t="str" cm="1">
        <f t="array" aca="1" ref="F479" ca="1">IF(I479=0,"",HYPERLINK("#"&amp;RIGHT(CELL("dateiname"),LEN(CELL("dateiname"))-FIND("]",CELL("dateiname")))&amp;"!"&amp;CELL("adresse",OFFSET($C$6,I479-1,0)),"Definition"))</f>
        <v/>
      </c>
      <c r="G479" s="189" t="str" cm="1">
        <f t="array" aca="1" ref="G479" ca="1">IF(J479=0,"",HYPERLINK("#"&amp;RIGHT(CELL("adresse",OFFSET(DMAV_Modell!$A$6,J479-1,0)),LEN(CELL("adresse",OFFSET(DMAV_Modell!$A$6,J479-1,0)))-SEARCH("]",CELL("adresse",OFFSET(DMAV_Modell!$A$6,J479-1,0)))),"Modell"))</f>
        <v>Modell</v>
      </c>
      <c r="H479" s="150" t="str">
        <f t="shared" si="14"/>
        <v>DGA57</v>
      </c>
      <c r="I479" s="150">
        <f t="shared" si="15"/>
        <v>0</v>
      </c>
      <c r="J479" s="150">
        <f>IF(_xlfn.XLOOKUP(H479,Korrelation!$B$4:$B$723,Korrelation!$A$4:$A$723,0,0)=0,0,MATCH(_xlfn.XLOOKUP(H479,Korrelation!$B$4:$B$723,Korrelation!$A$4:$A$723,0,0),DMAV_Modell!$G$6:$G$677,0))</f>
        <v>656</v>
      </c>
      <c r="L479" s="51" t="s">
        <v>33</v>
      </c>
      <c r="M479" s="51" t="s">
        <v>677</v>
      </c>
      <c r="N479" s="51" t="s">
        <v>666</v>
      </c>
      <c r="O479" s="52" t="s">
        <v>131</v>
      </c>
      <c r="P479" s="231" t="s">
        <v>214</v>
      </c>
      <c r="Q479" s="52" t="s">
        <v>692</v>
      </c>
      <c r="R479" s="233" t="s">
        <v>668</v>
      </c>
      <c r="T479" s="51" t="s">
        <v>6133</v>
      </c>
      <c r="U479" s="51" t="s">
        <v>902</v>
      </c>
      <c r="V479" s="51" t="s">
        <v>899</v>
      </c>
      <c r="W479" s="52" t="s">
        <v>131</v>
      </c>
      <c r="X479" s="209" t="s">
        <v>214</v>
      </c>
      <c r="Y479" s="210" t="s">
        <v>7185</v>
      </c>
      <c r="Z479" s="210" t="s">
        <v>7148</v>
      </c>
      <c r="AB479" s="51" t="s">
        <v>6279</v>
      </c>
      <c r="AC479" s="51" t="s">
        <v>4482</v>
      </c>
      <c r="AD479" s="51" t="s">
        <v>4461</v>
      </c>
      <c r="AE479" s="52" t="s">
        <v>131</v>
      </c>
      <c r="AF479" s="209" t="s">
        <v>214</v>
      </c>
      <c r="AG479" s="210" t="s">
        <v>7186</v>
      </c>
      <c r="AH479" s="210" t="s">
        <v>7150</v>
      </c>
    </row>
    <row r="480" spans="1:34" ht="51" x14ac:dyDescent="0.25">
      <c r="A480" s="51" t="s">
        <v>3675</v>
      </c>
      <c r="B480" s="51">
        <v>58</v>
      </c>
      <c r="C480" s="51" t="s">
        <v>95</v>
      </c>
      <c r="D480" s="50">
        <v>1</v>
      </c>
      <c r="F480" s="189" t="str" cm="1">
        <f t="array" aca="1" ref="F480" ca="1">IF(I480=0,"",HYPERLINK("#"&amp;RIGHT(CELL("dateiname"),LEN(CELL("dateiname"))-FIND("]",CELL("dateiname")))&amp;"!"&amp;CELL("adresse",OFFSET($C$6,I480-1,0)),"Definition"))</f>
        <v/>
      </c>
      <c r="G480" s="189" t="str" cm="1">
        <f t="array" aca="1" ref="G480" ca="1">IF(J480=0,"",HYPERLINK("#"&amp;RIGHT(CELL("adresse",OFFSET(DMAV_Modell!$A$6,J480-1,0)),LEN(CELL("adresse",OFFSET(DMAV_Modell!$A$6,J480-1,0)))-SEARCH("]",CELL("adresse",OFFSET(DMAV_Modell!$A$6,J480-1,0)))),"Modell"))</f>
        <v>Modell</v>
      </c>
      <c r="H480" s="150" t="str">
        <f t="shared" si="14"/>
        <v>DGA58</v>
      </c>
      <c r="I480" s="150">
        <f t="shared" si="15"/>
        <v>0</v>
      </c>
      <c r="J480" s="150">
        <f>IF(_xlfn.XLOOKUP(H480,Korrelation!$B$4:$B$723,Korrelation!$A$4:$A$723,0,0)=0,0,MATCH(_xlfn.XLOOKUP(H480,Korrelation!$B$4:$B$723,Korrelation!$A$4:$A$723,0,0),DMAV_Modell!$G$6:$G$677,0))</f>
        <v>657</v>
      </c>
      <c r="L480" s="51" t="s">
        <v>33</v>
      </c>
      <c r="M480" s="51" t="s">
        <v>677</v>
      </c>
      <c r="N480" s="51" t="s">
        <v>669</v>
      </c>
      <c r="O480" s="52" t="s">
        <v>131</v>
      </c>
      <c r="P480" s="56"/>
      <c r="Q480" s="52" t="s">
        <v>693</v>
      </c>
      <c r="R480" s="233" t="s">
        <v>3787</v>
      </c>
      <c r="T480" s="51" t="s">
        <v>6133</v>
      </c>
      <c r="U480" s="51" t="s">
        <v>902</v>
      </c>
      <c r="V480" s="51" t="s">
        <v>900</v>
      </c>
      <c r="W480" s="52" t="s">
        <v>131</v>
      </c>
      <c r="Y480" s="210" t="s">
        <v>7187</v>
      </c>
      <c r="Z480" s="210" t="s">
        <v>7152</v>
      </c>
      <c r="AB480" s="51" t="s">
        <v>6279</v>
      </c>
      <c r="AC480" s="51" t="s">
        <v>4482</v>
      </c>
      <c r="AD480" s="51" t="s">
        <v>4458</v>
      </c>
      <c r="AE480" s="52" t="s">
        <v>131</v>
      </c>
      <c r="AG480" s="210" t="s">
        <v>7153</v>
      </c>
      <c r="AH480" s="210" t="s">
        <v>7154</v>
      </c>
    </row>
    <row r="481" spans="1:33" ht="38.25" x14ac:dyDescent="0.25">
      <c r="A481" s="51" t="s">
        <v>3675</v>
      </c>
      <c r="B481" s="51">
        <v>59</v>
      </c>
      <c r="C481" s="51" t="s">
        <v>95</v>
      </c>
      <c r="D481" s="50" t="s">
        <v>72</v>
      </c>
      <c r="F481" s="190" t="str" cm="1">
        <f t="array" aca="1" ref="F481" ca="1">IF(I481=0,"",HYPERLINK("#"&amp;RIGHT(CELL("dateiname"),LEN(CELL("dateiname"))-FIND("]",CELL("dateiname")))&amp;"!"&amp;CELL("adresse",OFFSET($C$6,I481-1,0)),"Definition"))</f>
        <v/>
      </c>
      <c r="G481" s="190" t="str" cm="1">
        <f t="array" aca="1" ref="G481" ca="1">IF(J481=0,"",HYPERLINK("#"&amp;RIGHT(CELL("adresse",OFFSET(DMAV_Modell!$A$6,J481-1,0)),LEN(CELL("adresse",OFFSET(DMAV_Modell!$A$6,J481-1,0)))-SEARCH("]",CELL("adresse",OFFSET(DMAV_Modell!$A$6,J481-1,0)))),"Modell"))</f>
        <v>Modell</v>
      </c>
      <c r="H481" s="150" t="str">
        <f t="shared" si="14"/>
        <v>DGA59</v>
      </c>
      <c r="I481" s="150">
        <f t="shared" si="15"/>
        <v>0</v>
      </c>
      <c r="J481" s="150">
        <f>IF(_xlfn.XLOOKUP(H481,Korrelation!$B$4:$B$723,Korrelation!$A$4:$A$723,0,0)=0,0,MATCH(_xlfn.XLOOKUP(H481,Korrelation!$B$4:$B$723,Korrelation!$A$4:$A$723,0,0),DMAV_Modell!$G$6:$G$677,0))</f>
        <v>663</v>
      </c>
      <c r="L481" s="51" t="s">
        <v>33</v>
      </c>
      <c r="M481" s="51" t="s">
        <v>677</v>
      </c>
      <c r="N481" s="51" t="s">
        <v>416</v>
      </c>
      <c r="O481" s="52" t="s">
        <v>417</v>
      </c>
      <c r="P481" s="56"/>
      <c r="Q481" s="52" t="s">
        <v>3789</v>
      </c>
      <c r="R481" s="52"/>
      <c r="T481" s="51" t="s">
        <v>6133</v>
      </c>
      <c r="U481" s="51" t="s">
        <v>902</v>
      </c>
      <c r="V481" s="51" t="s">
        <v>416</v>
      </c>
      <c r="W481" s="52" t="s">
        <v>417</v>
      </c>
      <c r="Y481" s="210" t="s">
        <v>7188</v>
      </c>
      <c r="AB481" s="51" t="s">
        <v>6279</v>
      </c>
      <c r="AC481" s="51" t="s">
        <v>4482</v>
      </c>
      <c r="AD481" s="51" t="s">
        <v>416</v>
      </c>
      <c r="AE481" s="52" t="s">
        <v>417</v>
      </c>
      <c r="AG481" s="210" t="s">
        <v>7189</v>
      </c>
    </row>
    <row r="482" spans="1:33" ht="38.25" x14ac:dyDescent="0.25">
      <c r="A482" s="51" t="s">
        <v>3675</v>
      </c>
      <c r="B482" s="51">
        <v>60</v>
      </c>
      <c r="C482" s="51" t="s">
        <v>95</v>
      </c>
      <c r="D482" s="50" t="s">
        <v>72</v>
      </c>
      <c r="F482" s="190" t="str" cm="1">
        <f t="array" aca="1" ref="F482" ca="1">IF(I482=0,"",HYPERLINK("#"&amp;RIGHT(CELL("dateiname"),LEN(CELL("dateiname"))-FIND("]",CELL("dateiname")))&amp;"!"&amp;CELL("adresse",OFFSET($C$6,I482-1,0)),"Definition"))</f>
        <v/>
      </c>
      <c r="G482" s="190" t="str" cm="1">
        <f t="array" aca="1" ref="G482" ca="1">IF(J482=0,"",HYPERLINK("#"&amp;RIGHT(CELL("adresse",OFFSET(DMAV_Modell!$A$6,J482-1,0)),LEN(CELL("adresse",OFFSET(DMAV_Modell!$A$6,J482-1,0)))-SEARCH("]",CELL("adresse",OFFSET(DMAV_Modell!$A$6,J482-1,0)))),"Modell"))</f>
        <v>Modell</v>
      </c>
      <c r="H482" s="150" t="str">
        <f t="shared" si="14"/>
        <v>DGA60</v>
      </c>
      <c r="I482" s="150">
        <f t="shared" si="15"/>
        <v>0</v>
      </c>
      <c r="J482" s="150">
        <f>IF(_xlfn.XLOOKUP(H482,Korrelation!$B$4:$B$723,Korrelation!$A$4:$A$723,0,0)=0,0,MATCH(_xlfn.XLOOKUP(H482,Korrelation!$B$4:$B$723,Korrelation!$A$4:$A$723,0,0),DMAV_Modell!$G$6:$G$677,0))</f>
        <v>664</v>
      </c>
      <c r="L482" s="51" t="s">
        <v>33</v>
      </c>
      <c r="M482" s="51" t="s">
        <v>677</v>
      </c>
      <c r="N482" s="51" t="s">
        <v>694</v>
      </c>
      <c r="O482" s="52" t="s">
        <v>695</v>
      </c>
      <c r="P482" s="56"/>
      <c r="Q482" s="52" t="s">
        <v>696</v>
      </c>
      <c r="R482" s="52"/>
      <c r="T482" s="51" t="s">
        <v>6133</v>
      </c>
      <c r="U482" s="51" t="s">
        <v>902</v>
      </c>
      <c r="V482" s="51" t="s">
        <v>694</v>
      </c>
      <c r="W482" s="52" t="s">
        <v>695</v>
      </c>
      <c r="Y482" s="210" t="s">
        <v>7190</v>
      </c>
      <c r="AB482" s="51" t="s">
        <v>6279</v>
      </c>
      <c r="AC482" s="51" t="s">
        <v>4482</v>
      </c>
      <c r="AD482" s="51" t="s">
        <v>694</v>
      </c>
      <c r="AE482" s="52" t="s">
        <v>695</v>
      </c>
      <c r="AG482" s="210" t="s">
        <v>7191</v>
      </c>
    </row>
    <row r="483" spans="1:33" ht="38.25" x14ac:dyDescent="0.25">
      <c r="A483" s="51" t="s">
        <v>3675</v>
      </c>
      <c r="B483" s="51">
        <v>61</v>
      </c>
      <c r="C483" s="51" t="s">
        <v>95</v>
      </c>
      <c r="D483" s="50" t="s">
        <v>72</v>
      </c>
      <c r="E483" s="50" t="s">
        <v>3683</v>
      </c>
      <c r="F483" s="190" t="str" cm="1">
        <f t="array" aca="1" ref="F483" ca="1">IF(I483=0,"",HYPERLINK("#"&amp;RIGHT(CELL("dateiname"),LEN(CELL("dateiname"))-FIND("]",CELL("dateiname")))&amp;"!"&amp;CELL("adresse",OFFSET($C$6,I483-1,0)),"Definition"))</f>
        <v>Definition</v>
      </c>
      <c r="G483" s="190" t="str" cm="1">
        <f t="array" aca="1" ref="G483" ca="1">IF(J483=0,"",HYPERLINK("#"&amp;RIGHT(CELL("adresse",OFFSET(DMAV_Modell!$A$6,J483-1,0)),LEN(CELL("adresse",OFFSET(DMAV_Modell!$A$6,J483-1,0)))-SEARCH("]",CELL("adresse",OFFSET(DMAV_Modell!$A$6,J483-1,0)))),"Modell"))</f>
        <v>Modell</v>
      </c>
      <c r="H483" s="150" t="str">
        <f t="shared" si="14"/>
        <v>DGA61</v>
      </c>
      <c r="I483" s="150">
        <f t="shared" si="15"/>
        <v>32</v>
      </c>
      <c r="J483" s="150">
        <f>IF(_xlfn.XLOOKUP(H483,Korrelation!$B$4:$B$723,Korrelation!$A$4:$A$723,0,0)=0,0,MATCH(_xlfn.XLOOKUP(H483,Korrelation!$B$4:$B$723,Korrelation!$A$4:$A$723,0,0),DMAV_Modell!$G$6:$G$677,0))</f>
        <v>667</v>
      </c>
      <c r="L483" s="51" t="s">
        <v>33</v>
      </c>
      <c r="M483" s="51" t="s">
        <v>677</v>
      </c>
      <c r="N483" s="51" t="s">
        <v>77</v>
      </c>
      <c r="O483" s="52" t="s">
        <v>250</v>
      </c>
      <c r="P483" s="56"/>
      <c r="Q483" s="52" t="s">
        <v>697</v>
      </c>
      <c r="R483" s="52"/>
      <c r="T483" s="51" t="s">
        <v>6133</v>
      </c>
      <c r="U483" s="51" t="s">
        <v>902</v>
      </c>
      <c r="V483" s="51" t="s">
        <v>729</v>
      </c>
      <c r="W483" s="52" t="s">
        <v>6428</v>
      </c>
      <c r="Y483" s="210" t="s">
        <v>7192</v>
      </c>
      <c r="AB483" s="51" t="s">
        <v>6279</v>
      </c>
      <c r="AC483" s="51" t="s">
        <v>4482</v>
      </c>
      <c r="AD483" s="51" t="s">
        <v>3933</v>
      </c>
      <c r="AE483" s="52" t="s">
        <v>6363</v>
      </c>
      <c r="AG483" s="210" t="s">
        <v>7193</v>
      </c>
    </row>
  </sheetData>
  <autoFilter ref="A5:AH483" xr:uid="{00000000-0001-0000-0000-000000000000}"/>
  <mergeCells count="5">
    <mergeCell ref="L4:R4"/>
    <mergeCell ref="T4:Z4"/>
    <mergeCell ref="A4:G4"/>
    <mergeCell ref="H4:J4"/>
    <mergeCell ref="AB4:AH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C62A-C36D-4198-9B8A-6507B4402C87}">
  <sheetPr codeName="Tabelle2">
    <tabColor rgb="FF00B050"/>
  </sheetPr>
  <dimension ref="A1:BB838"/>
  <sheetViews>
    <sheetView zoomScale="70" zoomScaleNormal="70" workbookViewId="0">
      <pane ySplit="5" topLeftCell="A6" activePane="bottomLeft" state="frozen"/>
      <selection pane="bottomLeft" activeCell="N6" sqref="N6"/>
    </sheetView>
  </sheetViews>
  <sheetFormatPr baseColWidth="10" defaultColWidth="11.42578125" defaultRowHeight="12.75" x14ac:dyDescent="0.25"/>
  <cols>
    <col min="1" max="1" width="10.5703125" style="51" customWidth="1"/>
    <col min="2" max="2" width="5.5703125" style="51" customWidth="1"/>
    <col min="3" max="3" width="10.5703125" style="51" hidden="1" customWidth="1"/>
    <col min="4" max="6" width="10.5703125" style="51" customWidth="1"/>
    <col min="7" max="7" width="10.5703125" style="151" hidden="1" customWidth="1"/>
    <col min="8" max="9" width="5.5703125" style="151" hidden="1" customWidth="1"/>
    <col min="10" max="10" width="5.5703125" style="153" customWidth="1"/>
    <col min="11" max="12" width="10.5703125" style="160" customWidth="1"/>
    <col min="13" max="13" width="5.5703125" style="153" customWidth="1"/>
    <col min="14" max="16" width="30.5703125" style="51" customWidth="1"/>
    <col min="17" max="17" width="20.5703125" style="51" customWidth="1"/>
    <col min="18" max="18" width="30.5703125" style="51" customWidth="1"/>
    <col min="19" max="19" width="5.5703125" style="50" customWidth="1"/>
    <col min="20" max="20" width="5.5703125" style="51" customWidth="1"/>
    <col min="21" max="21" width="40.5703125" style="52" customWidth="1"/>
    <col min="22" max="22" width="10.5703125" style="52" customWidth="1"/>
    <col min="23" max="23" width="50.5703125" style="131" customWidth="1"/>
    <col min="24" max="24" width="10.5703125" style="51" customWidth="1"/>
    <col min="25" max="25" width="50.5703125" style="52" customWidth="1"/>
    <col min="26" max="26" width="70.5703125" style="52" customWidth="1"/>
    <col min="27" max="27" width="5.5703125" style="51" customWidth="1"/>
    <col min="28" max="30" width="30.5703125" style="51" customWidth="1"/>
    <col min="31" max="31" width="20.5703125" style="51" customWidth="1"/>
    <col min="32" max="32" width="30.5703125" style="51" customWidth="1"/>
    <col min="33" max="33" width="5.5703125" style="50" customWidth="1"/>
    <col min="34" max="34" width="5.5703125" style="51" customWidth="1"/>
    <col min="35" max="35" width="40.5703125" style="52" customWidth="1"/>
    <col min="36" max="36" width="10.5703125" style="51" customWidth="1"/>
    <col min="37" max="37" width="50.5703125" style="52" customWidth="1"/>
    <col min="38" max="38" width="10.5703125" style="51" customWidth="1"/>
    <col min="39" max="39" width="50.5703125" style="52" customWidth="1"/>
    <col min="40" max="40" width="70.5703125" style="52" customWidth="1"/>
    <col min="41" max="41" width="5.5703125" style="51" customWidth="1"/>
    <col min="42" max="44" width="30.5703125" style="51" customWidth="1"/>
    <col min="45" max="45" width="20.5703125" style="51" customWidth="1"/>
    <col min="46" max="46" width="30.5703125" style="51" customWidth="1"/>
    <col min="47" max="47" width="5.5703125" style="50" customWidth="1"/>
    <col min="48" max="48" width="5.5703125" style="51" customWidth="1"/>
    <col min="49" max="49" width="40.5703125" style="52" customWidth="1"/>
    <col min="50" max="50" width="10.5703125" style="51" customWidth="1"/>
    <col min="51" max="51" width="50.5703125" style="52" customWidth="1"/>
    <col min="52" max="52" width="10.5703125" style="51" customWidth="1"/>
    <col min="53" max="53" width="50.5703125" style="52" customWidth="1"/>
    <col min="54" max="54" width="70.5703125" style="52" customWidth="1"/>
    <col min="55" max="16384" width="11.42578125" style="51"/>
  </cols>
  <sheetData>
    <row r="1" spans="1:54" s="21" customFormat="1" ht="20.25" x14ac:dyDescent="0.25">
      <c r="A1" s="20" t="s">
        <v>3027</v>
      </c>
      <c r="B1" s="20"/>
      <c r="C1" s="20"/>
      <c r="D1" s="20"/>
      <c r="E1" s="20"/>
      <c r="F1" s="20"/>
      <c r="G1" s="155"/>
      <c r="H1" s="155"/>
      <c r="I1" s="155"/>
      <c r="J1" s="157"/>
      <c r="K1" s="159"/>
      <c r="L1" s="159"/>
      <c r="M1" s="157"/>
      <c r="Q1" s="22"/>
      <c r="S1" s="23"/>
      <c r="T1" s="23"/>
      <c r="V1" s="130"/>
      <c r="X1" s="23"/>
      <c r="Y1" s="23"/>
      <c r="AA1" s="124"/>
      <c r="AG1" s="22"/>
      <c r="AI1" s="23"/>
      <c r="AK1" s="23"/>
      <c r="AM1" s="23"/>
      <c r="AN1" s="23"/>
      <c r="AU1" s="22"/>
      <c r="AW1" s="23"/>
      <c r="AY1" s="23"/>
      <c r="BA1" s="23"/>
      <c r="BB1" s="23"/>
    </row>
    <row r="2" spans="1:54" x14ac:dyDescent="0.25">
      <c r="A2" s="185" t="s">
        <v>5731</v>
      </c>
      <c r="B2" s="146"/>
      <c r="R2" s="50"/>
      <c r="S2" s="51"/>
      <c r="T2" s="52"/>
      <c r="V2" s="51"/>
    </row>
    <row r="3" spans="1:54" x14ac:dyDescent="0.25">
      <c r="R3" s="50"/>
      <c r="S3" s="51"/>
      <c r="T3" s="52"/>
      <c r="V3" s="51"/>
    </row>
    <row r="4" spans="1:54" x14ac:dyDescent="0.25">
      <c r="A4" s="250" t="s">
        <v>3720</v>
      </c>
      <c r="B4" s="250"/>
      <c r="C4" s="250"/>
      <c r="D4" s="250"/>
      <c r="E4" s="250"/>
      <c r="F4" s="250"/>
      <c r="G4" s="251" t="s">
        <v>3721</v>
      </c>
      <c r="H4" s="251"/>
      <c r="I4" s="251"/>
      <c r="K4" s="253" t="s">
        <v>5555</v>
      </c>
      <c r="L4" s="253"/>
      <c r="N4" s="247" t="s">
        <v>613</v>
      </c>
      <c r="O4" s="247"/>
      <c r="P4" s="247"/>
      <c r="Q4" s="247"/>
      <c r="R4" s="247"/>
      <c r="S4" s="247"/>
      <c r="T4" s="247"/>
      <c r="U4" s="247"/>
      <c r="V4" s="247"/>
      <c r="W4" s="247"/>
      <c r="X4" s="247"/>
      <c r="Y4" s="247"/>
      <c r="Z4" s="53"/>
      <c r="AB4" s="165" t="s">
        <v>2809</v>
      </c>
      <c r="AC4" s="165"/>
      <c r="AD4" s="165"/>
      <c r="AE4" s="165"/>
      <c r="AF4" s="165"/>
      <c r="AG4" s="165"/>
      <c r="AH4" s="165"/>
      <c r="AI4" s="182"/>
      <c r="AJ4" s="165"/>
      <c r="AK4" s="182"/>
      <c r="AL4" s="165"/>
      <c r="AM4" s="165"/>
      <c r="AN4" s="169"/>
      <c r="AP4" s="172" t="s">
        <v>3790</v>
      </c>
      <c r="AQ4" s="172"/>
      <c r="AR4" s="172"/>
      <c r="AS4" s="172"/>
      <c r="AT4" s="172"/>
      <c r="AU4" s="172"/>
      <c r="AV4" s="172"/>
      <c r="AW4" s="183"/>
      <c r="AX4" s="172"/>
      <c r="AY4" s="172"/>
      <c r="AZ4" s="172"/>
      <c r="BA4" s="172"/>
      <c r="BB4" s="175"/>
    </row>
    <row r="5" spans="1:54" s="27" customFormat="1" x14ac:dyDescent="0.25">
      <c r="A5" s="30" t="s">
        <v>2</v>
      </c>
      <c r="B5" s="30" t="s">
        <v>1202</v>
      </c>
      <c r="C5" s="30" t="s">
        <v>3720</v>
      </c>
      <c r="D5" s="30" t="s">
        <v>4502</v>
      </c>
      <c r="E5" s="30" t="s">
        <v>34</v>
      </c>
      <c r="F5" s="31" t="s">
        <v>3326</v>
      </c>
      <c r="G5" s="147" t="s">
        <v>6</v>
      </c>
      <c r="H5" s="147" t="s">
        <v>3722</v>
      </c>
      <c r="I5" s="147" t="s">
        <v>4501</v>
      </c>
      <c r="J5" s="154"/>
      <c r="K5" s="177" t="s">
        <v>3391</v>
      </c>
      <c r="L5" s="177" t="s">
        <v>3392</v>
      </c>
      <c r="M5" s="154"/>
      <c r="N5" s="24" t="s">
        <v>1</v>
      </c>
      <c r="O5" s="24" t="s">
        <v>2</v>
      </c>
      <c r="P5" s="24" t="s">
        <v>3</v>
      </c>
      <c r="Q5" s="24" t="s">
        <v>4</v>
      </c>
      <c r="R5" s="24" t="s">
        <v>5</v>
      </c>
      <c r="S5" s="25" t="s">
        <v>698</v>
      </c>
      <c r="T5" s="24" t="s">
        <v>6</v>
      </c>
      <c r="U5" s="26" t="s">
        <v>7</v>
      </c>
      <c r="V5" s="26" t="s">
        <v>3555</v>
      </c>
      <c r="W5" s="132" t="s">
        <v>1198</v>
      </c>
      <c r="X5" s="24" t="s">
        <v>8</v>
      </c>
      <c r="Y5" s="26" t="s">
        <v>9</v>
      </c>
      <c r="Z5" s="28" t="s">
        <v>5558</v>
      </c>
      <c r="AB5" s="33" t="s">
        <v>5639</v>
      </c>
      <c r="AC5" s="33" t="s">
        <v>5640</v>
      </c>
      <c r="AD5" s="33" t="s">
        <v>3</v>
      </c>
      <c r="AE5" s="33" t="s">
        <v>809</v>
      </c>
      <c r="AF5" s="33" t="s">
        <v>702</v>
      </c>
      <c r="AG5" s="167" t="s">
        <v>698</v>
      </c>
      <c r="AH5" s="33" t="s">
        <v>6</v>
      </c>
      <c r="AI5" s="34" t="s">
        <v>7</v>
      </c>
      <c r="AJ5" s="34" t="s">
        <v>3555</v>
      </c>
      <c r="AK5" s="168" t="s">
        <v>5641</v>
      </c>
      <c r="AL5" s="33" t="s">
        <v>8</v>
      </c>
      <c r="AM5" s="34" t="s">
        <v>5646</v>
      </c>
      <c r="AN5" s="170" t="s">
        <v>5642</v>
      </c>
      <c r="AO5" s="166"/>
      <c r="AP5" s="152" t="s">
        <v>5643</v>
      </c>
      <c r="AQ5" s="152" t="s">
        <v>5644</v>
      </c>
      <c r="AR5" s="152" t="s">
        <v>3</v>
      </c>
      <c r="AS5" s="152" t="s">
        <v>2208</v>
      </c>
      <c r="AT5" s="152" t="s">
        <v>1700</v>
      </c>
      <c r="AU5" s="171" t="s">
        <v>698</v>
      </c>
      <c r="AV5" s="152" t="s">
        <v>6</v>
      </c>
      <c r="AW5" s="173" t="s">
        <v>2732</v>
      </c>
      <c r="AX5" s="173" t="s">
        <v>3555</v>
      </c>
      <c r="AY5" s="174" t="s">
        <v>5645</v>
      </c>
      <c r="AZ5" s="152" t="s">
        <v>8</v>
      </c>
      <c r="BA5" s="173" t="s">
        <v>3794</v>
      </c>
      <c r="BB5" s="176" t="s">
        <v>5647</v>
      </c>
    </row>
    <row r="6" spans="1:54" x14ac:dyDescent="0.25">
      <c r="A6" s="51" t="s">
        <v>3795</v>
      </c>
      <c r="B6" s="51">
        <v>1</v>
      </c>
      <c r="C6" s="51" t="s">
        <v>3814</v>
      </c>
      <c r="E6" s="54" t="str" cm="1">
        <f t="array" aca="1" ref="E6" ca="1">IF(H6=0,"",HYPERLINK("#"&amp;RIGHT(CELL("dateiname"),LEN(CELL("dateiname"))-FIND("]",CELL("dateiname")))&amp;"!"&amp;CELL("adresse",OFFSET($Q$6,H6-1,0)),"Definition"))</f>
        <v>Definition</v>
      </c>
      <c r="F6" s="54" t="str" cm="1">
        <f t="array" aca="1" ref="F6" ca="1">IF(I6=0,"",HYPERLINK("#"&amp;RIGHT(CELL("adresse",OFFSET(DMAV_Doku!$B$6,I6-1,0)),LEN(CELL("adresse",OFFSET(DMAV_Doku!$B$6,I6-1,0)))-SEARCH("]",CELL("adresse",OFFSET(DMAV_Doku!$B$6,I6-1,0)))),"ModDoc"))</f>
        <v>ModDoc</v>
      </c>
      <c r="G6" s="150" t="str">
        <f>A6&amp;B6</f>
        <v>TMAL1</v>
      </c>
      <c r="H6" s="150">
        <f>IF(C6="",0,MATCH(C6,$G$6:$G$677,0))</f>
        <v>389</v>
      </c>
      <c r="I6" s="150">
        <f>IF(_xlfn.XLOOKUP(G6,Korrelation!$A$4:$A$723,Korrelation!$B$4:$B$723,0,0)=0,0,MATCH(_xlfn.XLOOKUP(G6,Korrelation!$A$4:$A$723,Korrelation!$B$4:$B$723,0,0),DMAV_Doku!$H$6:$H$483,0))</f>
        <v>8</v>
      </c>
      <c r="J6" s="158"/>
      <c r="K6" s="161"/>
      <c r="L6" s="161"/>
      <c r="M6" s="158"/>
      <c r="N6" s="122" t="s">
        <v>3868</v>
      </c>
      <c r="O6" s="51" t="s">
        <v>3869</v>
      </c>
      <c r="Q6" s="51" t="s">
        <v>910</v>
      </c>
      <c r="R6" s="51" t="s">
        <v>3870</v>
      </c>
      <c r="W6" s="52"/>
      <c r="AB6" s="51" t="s">
        <v>3871</v>
      </c>
      <c r="AC6" s="51" t="s">
        <v>3872</v>
      </c>
      <c r="AE6" s="51" t="s">
        <v>910</v>
      </c>
      <c r="AF6" s="51" t="s">
        <v>3873</v>
      </c>
      <c r="AP6" s="51" t="s">
        <v>3874</v>
      </c>
      <c r="AQ6" s="51" t="s">
        <v>3875</v>
      </c>
      <c r="AS6" s="51" t="s">
        <v>910</v>
      </c>
      <c r="AT6" s="51" t="s">
        <v>3876</v>
      </c>
    </row>
    <row r="7" spans="1:54" x14ac:dyDescent="0.25">
      <c r="A7" s="51" t="s">
        <v>3795</v>
      </c>
      <c r="B7" s="51">
        <v>2</v>
      </c>
      <c r="C7" s="51" t="s">
        <v>3815</v>
      </c>
      <c r="E7" s="54" t="str" cm="1">
        <f t="array" aca="1" ref="E7" ca="1">IF(H7=0,"",HYPERLINK("#"&amp;RIGHT(CELL("dateiname"),LEN(CELL("dateiname"))-FIND("]",CELL("dateiname")))&amp;"!"&amp;CELL("adresse",OFFSET($Q$6,H7-1,0)),"Definition"))</f>
        <v>Definition</v>
      </c>
      <c r="F7" s="54" t="str" cm="1">
        <f t="array" aca="1" ref="F7" ca="1">IF(I7=0,"",HYPERLINK("#"&amp;RIGHT(CELL("adresse",OFFSET(DMAV_Doku!$B$6,I7-1,0)),LEN(CELL("adresse",OFFSET(DMAV_Doku!$B$6,I7-1,0)))-SEARCH("]",CELL("adresse",OFFSET(DMAV_Doku!$B$6,I7-1,0)))),"ModDoc"))</f>
        <v>ModDoc</v>
      </c>
      <c r="G7" s="150" t="str">
        <f t="shared" ref="G7:G70" si="0">A7&amp;B7</f>
        <v>TMAL2</v>
      </c>
      <c r="H7" s="150">
        <f t="shared" ref="H7:H70" si="1">IF(C7="",0,MATCH(C7,$G$6:$G$677,0))</f>
        <v>343</v>
      </c>
      <c r="I7" s="150">
        <f>IF(_xlfn.XLOOKUP(G7,Korrelation!$A$4:$A$723,Korrelation!$B$4:$B$723,0,0)=0,0,MATCH(_xlfn.XLOOKUP(G7,Korrelation!$A$4:$A$723,Korrelation!$B$4:$B$723,0,0),DMAV_Doku!$H$6:$H$483,0))</f>
        <v>6</v>
      </c>
      <c r="J7" s="158"/>
      <c r="K7" s="161"/>
      <c r="L7" s="161"/>
      <c r="M7" s="158"/>
      <c r="N7" s="51" t="s">
        <v>3868</v>
      </c>
      <c r="O7" s="51" t="s">
        <v>3869</v>
      </c>
      <c r="Q7" s="51" t="s">
        <v>910</v>
      </c>
      <c r="R7" s="51" t="s">
        <v>3877</v>
      </c>
      <c r="W7" s="52"/>
      <c r="AB7" s="51" t="s">
        <v>3871</v>
      </c>
      <c r="AC7" s="51" t="s">
        <v>3872</v>
      </c>
      <c r="AE7" s="51" t="s">
        <v>910</v>
      </c>
      <c r="AF7" s="51" t="s">
        <v>3878</v>
      </c>
      <c r="AP7" s="51" t="s">
        <v>3874</v>
      </c>
      <c r="AQ7" s="51" t="s">
        <v>3875</v>
      </c>
      <c r="AS7" s="51" t="s">
        <v>910</v>
      </c>
      <c r="AT7" s="51" t="s">
        <v>3879</v>
      </c>
    </row>
    <row r="8" spans="1:54" x14ac:dyDescent="0.25">
      <c r="A8" s="51" t="s">
        <v>3795</v>
      </c>
      <c r="B8" s="51">
        <v>3</v>
      </c>
      <c r="C8" s="51" t="s">
        <v>3816</v>
      </c>
      <c r="E8" s="54" t="str" cm="1">
        <f t="array" aca="1" ref="E8" ca="1">IF(H8=0,"",HYPERLINK("#"&amp;RIGHT(CELL("dateiname"),LEN(CELL("dateiname"))-FIND("]",CELL("dateiname")))&amp;"!"&amp;CELL("adresse",OFFSET($Q$6,H8-1,0)),"Definition"))</f>
        <v>Definition</v>
      </c>
      <c r="F8" s="54" t="str" cm="1">
        <f t="array" aca="1" ref="F8" ca="1">IF(I8=0,"",HYPERLINK("#"&amp;RIGHT(CELL("adresse",OFFSET(DMAV_Doku!$B$6,I8-1,0)),LEN(CELL("adresse",OFFSET(DMAV_Doku!$B$6,I8-1,0)))-SEARCH("]",CELL("adresse",OFFSET(DMAV_Doku!$B$6,I8-1,0)))),"ModDoc"))</f>
        <v>ModDoc</v>
      </c>
      <c r="G8" s="150" t="str">
        <f t="shared" si="0"/>
        <v>TMAL3</v>
      </c>
      <c r="H8" s="150">
        <f t="shared" si="1"/>
        <v>307</v>
      </c>
      <c r="I8" s="150">
        <f>IF(_xlfn.XLOOKUP(G8,Korrelation!$A$4:$A$723,Korrelation!$B$4:$B$723,0,0)=0,0,MATCH(_xlfn.XLOOKUP(G8,Korrelation!$A$4:$A$723,Korrelation!$B$4:$B$723,0,0),DMAV_Doku!$H$6:$H$483,0))</f>
        <v>5</v>
      </c>
      <c r="J8" s="158"/>
      <c r="K8" s="161"/>
      <c r="L8" s="161"/>
      <c r="M8" s="158"/>
      <c r="N8" s="51" t="s">
        <v>3868</v>
      </c>
      <c r="O8" s="51" t="s">
        <v>3869</v>
      </c>
      <c r="Q8" s="51" t="s">
        <v>910</v>
      </c>
      <c r="R8" s="51" t="s">
        <v>3880</v>
      </c>
      <c r="W8" s="52"/>
      <c r="AB8" s="51" t="s">
        <v>3871</v>
      </c>
      <c r="AC8" s="51" t="s">
        <v>3872</v>
      </c>
      <c r="AE8" s="51" t="s">
        <v>910</v>
      </c>
      <c r="AF8" s="51" t="s">
        <v>3881</v>
      </c>
      <c r="AP8" s="51" t="s">
        <v>3874</v>
      </c>
      <c r="AQ8" s="51" t="s">
        <v>3875</v>
      </c>
      <c r="AS8" s="51" t="s">
        <v>910</v>
      </c>
      <c r="AT8" s="51" t="s">
        <v>3882</v>
      </c>
    </row>
    <row r="9" spans="1:54" x14ac:dyDescent="0.25">
      <c r="A9" s="51" t="s">
        <v>3795</v>
      </c>
      <c r="B9" s="51">
        <v>4</v>
      </c>
      <c r="C9" s="51" t="s">
        <v>3817</v>
      </c>
      <c r="E9" s="54" t="str" cm="1">
        <f t="array" aca="1" ref="E9" ca="1">IF(H9=0,"",HYPERLINK("#"&amp;RIGHT(CELL("dateiname"),LEN(CELL("dateiname"))-FIND("]",CELL("dateiname")))&amp;"!"&amp;CELL("adresse",OFFSET($Q$6,H9-1,0)),"Definition"))</f>
        <v>Definition</v>
      </c>
      <c r="F9" s="54" t="str" cm="1">
        <f t="array" aca="1" ref="F9" ca="1">IF(I9=0,"",HYPERLINK("#"&amp;RIGHT(CELL("adresse",OFFSET(DMAV_Doku!$B$6,I9-1,0)),LEN(CELL("adresse",OFFSET(DMAV_Doku!$B$6,I9-1,0)))-SEARCH("]",CELL("adresse",OFFSET(DMAV_Doku!$B$6,I9-1,0)))),"ModDoc"))</f>
        <v>ModDoc</v>
      </c>
      <c r="G9" s="150" t="str">
        <f t="shared" si="0"/>
        <v>TMAL4</v>
      </c>
      <c r="H9" s="150">
        <f t="shared" si="1"/>
        <v>458</v>
      </c>
      <c r="I9" s="150">
        <f>IF(_xlfn.XLOOKUP(G9,Korrelation!$A$4:$A$723,Korrelation!$B$4:$B$723,0,0)=0,0,MATCH(_xlfn.XLOOKUP(G9,Korrelation!$A$4:$A$723,Korrelation!$B$4:$B$723,0,0),DMAV_Doku!$H$6:$H$483,0))</f>
        <v>9</v>
      </c>
      <c r="J9" s="158"/>
      <c r="K9" s="161"/>
      <c r="L9" s="161"/>
      <c r="M9" s="158"/>
      <c r="N9" s="51" t="s">
        <v>3868</v>
      </c>
      <c r="O9" s="51" t="s">
        <v>3869</v>
      </c>
      <c r="Q9" s="51" t="s">
        <v>910</v>
      </c>
      <c r="R9" s="51" t="s">
        <v>3883</v>
      </c>
      <c r="W9" s="52"/>
      <c r="AB9" s="51" t="s">
        <v>3871</v>
      </c>
      <c r="AC9" s="51" t="s">
        <v>3872</v>
      </c>
      <c r="AE9" s="51" t="s">
        <v>910</v>
      </c>
      <c r="AF9" s="51" t="s">
        <v>3884</v>
      </c>
      <c r="AP9" s="51" t="s">
        <v>3874</v>
      </c>
      <c r="AQ9" s="51" t="s">
        <v>3875</v>
      </c>
      <c r="AS9" s="51" t="s">
        <v>910</v>
      </c>
      <c r="AT9" s="51" t="s">
        <v>3885</v>
      </c>
    </row>
    <row r="10" spans="1:54" x14ac:dyDescent="0.25">
      <c r="A10" s="51" t="s">
        <v>3795</v>
      </c>
      <c r="B10" s="51">
        <v>5</v>
      </c>
      <c r="C10" s="51" t="s">
        <v>3818</v>
      </c>
      <c r="E10" s="54" t="str" cm="1">
        <f t="array" aca="1" ref="E10" ca="1">IF(H10=0,"",HYPERLINK("#"&amp;RIGHT(CELL("dateiname"),LEN(CELL("dateiname"))-FIND("]",CELL("dateiname")))&amp;"!"&amp;CELL("adresse",OFFSET($Q$6,H10-1,0)),"Definition"))</f>
        <v>Definition</v>
      </c>
      <c r="F10" s="54" t="str" cm="1">
        <f t="array" aca="1" ref="F10" ca="1">IF(I10=0,"",HYPERLINK("#"&amp;RIGHT(CELL("adresse",OFFSET(DMAV_Doku!$B$6,I10-1,0)),LEN(CELL("adresse",OFFSET(DMAV_Doku!$B$6,I10-1,0)))-SEARCH("]",CELL("adresse",OFFSET(DMAV_Doku!$B$6,I10-1,0)))),"ModDoc"))</f>
        <v>ModDoc</v>
      </c>
      <c r="G10" s="150" t="str">
        <f t="shared" si="0"/>
        <v>TMAL5</v>
      </c>
      <c r="H10" s="150">
        <f t="shared" si="1"/>
        <v>62</v>
      </c>
      <c r="I10" s="150">
        <f>IF(_xlfn.XLOOKUP(G10,Korrelation!$A$4:$A$723,Korrelation!$B$4:$B$723,0,0)=0,0,MATCH(_xlfn.XLOOKUP(G10,Korrelation!$A$4:$A$723,Korrelation!$B$4:$B$723,0,0),DMAV_Doku!$H$6:$H$483,0))</f>
        <v>2</v>
      </c>
      <c r="J10" s="158"/>
      <c r="K10" s="161"/>
      <c r="L10" s="161"/>
      <c r="M10" s="158"/>
      <c r="N10" s="51" t="s">
        <v>3868</v>
      </c>
      <c r="O10" s="51" t="s">
        <v>3869</v>
      </c>
      <c r="Q10" s="51" t="s">
        <v>910</v>
      </c>
      <c r="R10" s="51" t="s">
        <v>3886</v>
      </c>
      <c r="W10" s="52"/>
      <c r="AB10" s="51" t="s">
        <v>3871</v>
      </c>
      <c r="AC10" s="51" t="s">
        <v>3872</v>
      </c>
      <c r="AE10" s="51" t="s">
        <v>910</v>
      </c>
      <c r="AF10" s="51" t="s">
        <v>3887</v>
      </c>
      <c r="AP10" s="51" t="s">
        <v>3874</v>
      </c>
      <c r="AQ10" s="51" t="s">
        <v>3875</v>
      </c>
      <c r="AS10" s="51" t="s">
        <v>910</v>
      </c>
      <c r="AT10" s="51" t="s">
        <v>3888</v>
      </c>
    </row>
    <row r="11" spans="1:54" x14ac:dyDescent="0.25">
      <c r="A11" s="51" t="s">
        <v>3795</v>
      </c>
      <c r="B11" s="51">
        <v>6</v>
      </c>
      <c r="C11" s="51" t="s">
        <v>3819</v>
      </c>
      <c r="E11" s="54" t="str" cm="1">
        <f t="array" aca="1" ref="E11" ca="1">IF(H11=0,"",HYPERLINK("#"&amp;RIGHT(CELL("dateiname"),LEN(CELL("dateiname"))-FIND("]",CELL("dateiname")))&amp;"!"&amp;CELL("adresse",OFFSET($Q$6,H11-1,0)),"Definition"))</f>
        <v>Definition</v>
      </c>
      <c r="F11" s="54" t="str" cm="1">
        <f t="array" aca="1" ref="F11" ca="1">IF(I11=0,"",HYPERLINK("#"&amp;RIGHT(CELL("adresse",OFFSET(DMAV_Doku!$B$6,I11-1,0)),LEN(CELL("adresse",OFFSET(DMAV_Doku!$B$6,I11-1,0)))-SEARCH("]",CELL("adresse",OFFSET(DMAV_Doku!$B$6,I11-1,0)))),"ModDoc"))</f>
        <v>ModDoc</v>
      </c>
      <c r="G11" s="150" t="str">
        <f t="shared" si="0"/>
        <v>TMAL6</v>
      </c>
      <c r="H11" s="150">
        <f t="shared" si="1"/>
        <v>613</v>
      </c>
      <c r="I11" s="150">
        <f>IF(_xlfn.XLOOKUP(G11,Korrelation!$A$4:$A$723,Korrelation!$B$4:$B$723,0,0)=0,0,MATCH(_xlfn.XLOOKUP(G11,Korrelation!$A$4:$A$723,Korrelation!$B$4:$B$723,0,0),DMAV_Doku!$H$6:$H$483,0))</f>
        <v>12</v>
      </c>
      <c r="J11" s="158"/>
      <c r="K11" s="161"/>
      <c r="L11" s="161"/>
      <c r="M11" s="158"/>
      <c r="N11" s="51" t="s">
        <v>3868</v>
      </c>
      <c r="O11" s="51" t="s">
        <v>3869</v>
      </c>
      <c r="Q11" s="51" t="s">
        <v>910</v>
      </c>
      <c r="R11" s="51" t="s">
        <v>3889</v>
      </c>
      <c r="W11" s="52"/>
      <c r="AB11" s="51" t="s">
        <v>3871</v>
      </c>
      <c r="AC11" s="51" t="s">
        <v>3872</v>
      </c>
      <c r="AE11" s="51" t="s">
        <v>910</v>
      </c>
      <c r="AF11" s="51" t="s">
        <v>3890</v>
      </c>
      <c r="AP11" s="51" t="s">
        <v>3874</v>
      </c>
      <c r="AQ11" s="51" t="s">
        <v>3875</v>
      </c>
      <c r="AS11" s="51" t="s">
        <v>910</v>
      </c>
      <c r="AT11" s="51" t="s">
        <v>3891</v>
      </c>
    </row>
    <row r="12" spans="1:54" x14ac:dyDescent="0.25">
      <c r="A12" s="51" t="s">
        <v>3795</v>
      </c>
      <c r="B12" s="51">
        <v>7</v>
      </c>
      <c r="C12" s="51" t="s">
        <v>3820</v>
      </c>
      <c r="E12" s="54" t="str" cm="1">
        <f t="array" aca="1" ref="E12" ca="1">IF(H12=0,"",HYPERLINK("#"&amp;RIGHT(CELL("dateiname"),LEN(CELL("dateiname"))-FIND("]",CELL("dateiname")))&amp;"!"&amp;CELL("adresse",OFFSET($Q$6,H12-1,0)),"Definition"))</f>
        <v>Definition</v>
      </c>
      <c r="F12" s="54" t="str" cm="1">
        <f t="array" aca="1" ref="F12" ca="1">IF(I12=0,"",HYPERLINK("#"&amp;RIGHT(CELL("adresse",OFFSET(DMAV_Doku!$B$6,I12-1,0)),LEN(CELL("adresse",OFFSET(DMAV_Doku!$B$6,I12-1,0)))-SEARCH("]",CELL("adresse",OFFSET(DMAV_Doku!$B$6,I12-1,0)))),"ModDoc"))</f>
        <v>ModDoc</v>
      </c>
      <c r="G12" s="150" t="str">
        <f t="shared" si="0"/>
        <v>TMAL7</v>
      </c>
      <c r="H12" s="150">
        <f t="shared" si="1"/>
        <v>195</v>
      </c>
      <c r="I12" s="150">
        <f>IF(_xlfn.XLOOKUP(G12,Korrelation!$A$4:$A$723,Korrelation!$B$4:$B$723,0,0)=0,0,MATCH(_xlfn.XLOOKUP(G12,Korrelation!$A$4:$A$723,Korrelation!$B$4:$B$723,0,0),DMAV_Doku!$H$6:$H$483,0))</f>
        <v>4</v>
      </c>
      <c r="J12" s="158"/>
      <c r="K12" s="161"/>
      <c r="L12" s="161"/>
      <c r="M12" s="158"/>
      <c r="N12" s="51" t="s">
        <v>3868</v>
      </c>
      <c r="O12" s="51" t="s">
        <v>3869</v>
      </c>
      <c r="Q12" s="51" t="s">
        <v>910</v>
      </c>
      <c r="R12" s="141" t="s">
        <v>3892</v>
      </c>
      <c r="W12" s="52"/>
      <c r="AB12" s="51" t="s">
        <v>3871</v>
      </c>
      <c r="AC12" s="51" t="s">
        <v>3872</v>
      </c>
      <c r="AE12" s="51" t="s">
        <v>910</v>
      </c>
      <c r="AF12" s="51" t="s">
        <v>3893</v>
      </c>
      <c r="AP12" s="51" t="s">
        <v>3874</v>
      </c>
      <c r="AQ12" s="51" t="s">
        <v>3875</v>
      </c>
      <c r="AS12" s="51" t="s">
        <v>910</v>
      </c>
      <c r="AT12" s="51" t="s">
        <v>3894</v>
      </c>
    </row>
    <row r="13" spans="1:54" x14ac:dyDescent="0.25">
      <c r="A13" s="51" t="s">
        <v>3795</v>
      </c>
      <c r="B13" s="51">
        <v>8</v>
      </c>
      <c r="C13" s="51" t="s">
        <v>3821</v>
      </c>
      <c r="E13" s="54" t="str" cm="1">
        <f t="array" aca="1" ref="E13" ca="1">IF(H13=0,"",HYPERLINK("#"&amp;RIGHT(CELL("dateiname"),LEN(CELL("dateiname"))-FIND("]",CELL("dateiname")))&amp;"!"&amp;CELL("adresse",OFFSET($Q$6,H13-1,0)),"Definition"))</f>
        <v>Definition</v>
      </c>
      <c r="F13" s="54" t="str" cm="1">
        <f t="array" aca="1" ref="F13" ca="1">IF(I13=0,"",HYPERLINK("#"&amp;RIGHT(CELL("adresse",OFFSET(DMAV_Doku!$B$6,I13-1,0)),LEN(CELL("adresse",OFFSET(DMAV_Doku!$B$6,I13-1,0)))-SEARCH("]",CELL("adresse",OFFSET(DMAV_Doku!$B$6,I13-1,0)))),"ModDoc"))</f>
        <v>ModDoc</v>
      </c>
      <c r="G13" s="150" t="str">
        <f t="shared" si="0"/>
        <v>TMAL8</v>
      </c>
      <c r="H13" s="150">
        <f t="shared" si="1"/>
        <v>118</v>
      </c>
      <c r="I13" s="150">
        <f>IF(_xlfn.XLOOKUP(G13,Korrelation!$A$4:$A$723,Korrelation!$B$4:$B$723,0,0)=0,0,MATCH(_xlfn.XLOOKUP(G13,Korrelation!$A$4:$A$723,Korrelation!$B$4:$B$723,0,0),DMAV_Doku!$H$6:$H$483,0))</f>
        <v>3</v>
      </c>
      <c r="J13" s="158"/>
      <c r="K13" s="161"/>
      <c r="L13" s="161"/>
      <c r="M13" s="158"/>
      <c r="N13" s="51" t="s">
        <v>3868</v>
      </c>
      <c r="O13" s="51" t="s">
        <v>3869</v>
      </c>
      <c r="Q13" s="51" t="s">
        <v>910</v>
      </c>
      <c r="R13" s="51" t="s">
        <v>919</v>
      </c>
      <c r="W13" s="52"/>
      <c r="AB13" s="51" t="s">
        <v>3871</v>
      </c>
      <c r="AC13" s="51" t="s">
        <v>3872</v>
      </c>
      <c r="AE13" s="51" t="s">
        <v>910</v>
      </c>
      <c r="AF13" s="51" t="s">
        <v>3895</v>
      </c>
      <c r="AP13" s="51" t="s">
        <v>3874</v>
      </c>
      <c r="AQ13" s="51" t="s">
        <v>3875</v>
      </c>
      <c r="AS13" s="51" t="s">
        <v>910</v>
      </c>
      <c r="AT13" s="51" t="s">
        <v>3896</v>
      </c>
    </row>
    <row r="14" spans="1:54" x14ac:dyDescent="0.25">
      <c r="A14" s="51" t="s">
        <v>3795</v>
      </c>
      <c r="B14" s="51">
        <v>9</v>
      </c>
      <c r="C14" s="51" t="s">
        <v>3822</v>
      </c>
      <c r="E14" s="54" t="str" cm="1">
        <f t="array" aca="1" ref="E14" ca="1">IF(H14=0,"",HYPERLINK("#"&amp;RIGHT(CELL("dateiname"),LEN(CELL("dateiname"))-FIND("]",CELL("dateiname")))&amp;"!"&amp;CELL("adresse",OFFSET($Q$6,H14-1,0)),"Definition"))</f>
        <v>Definition</v>
      </c>
      <c r="F14" s="54" t="str" cm="1">
        <f t="array" aca="1" ref="F14" ca="1">IF(I14=0,"",HYPERLINK("#"&amp;RIGHT(CELL("adresse",OFFSET(DMAV_Doku!$B$6,I14-1,0)),LEN(CELL("adresse",OFFSET(DMAV_Doku!$B$6,I14-1,0)))-SEARCH("]",CELL("adresse",OFFSET(DMAV_Doku!$B$6,I14-1,0)))),"ModDoc"))</f>
        <v>ModDoc</v>
      </c>
      <c r="G14" s="150" t="str">
        <f t="shared" si="0"/>
        <v>TMAL9</v>
      </c>
      <c r="H14" s="150">
        <f t="shared" si="1"/>
        <v>365</v>
      </c>
      <c r="I14" s="150">
        <f>IF(_xlfn.XLOOKUP(G14,Korrelation!$A$4:$A$723,Korrelation!$B$4:$B$723,0,0)=0,0,MATCH(_xlfn.XLOOKUP(G14,Korrelation!$A$4:$A$723,Korrelation!$B$4:$B$723,0,0),DMAV_Doku!$H$6:$H$483,0))</f>
        <v>7</v>
      </c>
      <c r="J14" s="158"/>
      <c r="K14" s="161"/>
      <c r="L14" s="161"/>
      <c r="M14" s="158"/>
      <c r="N14" s="51" t="s">
        <v>3868</v>
      </c>
      <c r="O14" s="51" t="s">
        <v>3869</v>
      </c>
      <c r="Q14" s="51" t="s">
        <v>910</v>
      </c>
      <c r="R14" s="51" t="s">
        <v>3897</v>
      </c>
      <c r="W14" s="52"/>
      <c r="AB14" s="51" t="s">
        <v>3871</v>
      </c>
      <c r="AC14" s="51" t="s">
        <v>3872</v>
      </c>
      <c r="AE14" s="51" t="s">
        <v>910</v>
      </c>
      <c r="AF14" s="51" t="s">
        <v>3898</v>
      </c>
      <c r="AP14" s="51" t="s">
        <v>3874</v>
      </c>
      <c r="AQ14" s="51" t="s">
        <v>3875</v>
      </c>
      <c r="AS14" s="51" t="s">
        <v>910</v>
      </c>
      <c r="AT14" s="51" t="s">
        <v>3899</v>
      </c>
    </row>
    <row r="15" spans="1:54" x14ac:dyDescent="0.25">
      <c r="A15" s="51" t="s">
        <v>3795</v>
      </c>
      <c r="B15" s="51">
        <v>10</v>
      </c>
      <c r="C15" s="51" t="s">
        <v>3823</v>
      </c>
      <c r="E15" s="54" t="str" cm="1">
        <f t="array" aca="1" ref="E15" ca="1">IF(H15=0,"",HYPERLINK("#"&amp;RIGHT(CELL("dateiname"),LEN(CELL("dateiname"))-FIND("]",CELL("dateiname")))&amp;"!"&amp;CELL("adresse",OFFSET($Q$6,H15-1,0)),"Definition"))</f>
        <v>Definition</v>
      </c>
      <c r="F15" s="54" t="str" cm="1">
        <f t="array" aca="1" ref="F15" ca="1">IF(I15=0,"",HYPERLINK("#"&amp;RIGHT(CELL("adresse",OFFSET(DMAV_Doku!$B$6,I15-1,0)),LEN(CELL("adresse",OFFSET(DMAV_Doku!$B$6,I15-1,0)))-SEARCH("]",CELL("adresse",OFFSET(DMAV_Doku!$B$6,I15-1,0)))),"ModDoc"))</f>
        <v>ModDoc</v>
      </c>
      <c r="G15" s="150" t="str">
        <f t="shared" si="0"/>
        <v>TMAL10</v>
      </c>
      <c r="H15" s="150">
        <f t="shared" si="1"/>
        <v>544</v>
      </c>
      <c r="I15" s="150">
        <f>IF(_xlfn.XLOOKUP(G15,Korrelation!$A$4:$A$723,Korrelation!$B$4:$B$723,0,0)=0,0,MATCH(_xlfn.XLOOKUP(G15,Korrelation!$A$4:$A$723,Korrelation!$B$4:$B$723,0,0),DMAV_Doku!$H$6:$H$483,0))</f>
        <v>10</v>
      </c>
      <c r="J15" s="158"/>
      <c r="K15" s="161"/>
      <c r="L15" s="161"/>
      <c r="M15" s="158"/>
      <c r="N15" s="51" t="s">
        <v>3868</v>
      </c>
      <c r="O15" s="51" t="s">
        <v>3869</v>
      </c>
      <c r="Q15" s="51" t="s">
        <v>910</v>
      </c>
      <c r="R15" s="51" t="s">
        <v>3900</v>
      </c>
      <c r="W15" s="52"/>
      <c r="AB15" s="51" t="s">
        <v>3871</v>
      </c>
      <c r="AC15" s="51" t="s">
        <v>3872</v>
      </c>
      <c r="AE15" s="51" t="s">
        <v>910</v>
      </c>
      <c r="AF15" s="51" t="s">
        <v>3901</v>
      </c>
      <c r="AP15" s="51" t="s">
        <v>3874</v>
      </c>
      <c r="AQ15" s="51" t="s">
        <v>3875</v>
      </c>
      <c r="AS15" s="51" t="s">
        <v>910</v>
      </c>
      <c r="AT15" s="51" t="s">
        <v>3902</v>
      </c>
    </row>
    <row r="16" spans="1:54" x14ac:dyDescent="0.25">
      <c r="A16" s="51" t="s">
        <v>3795</v>
      </c>
      <c r="B16" s="51">
        <v>11</v>
      </c>
      <c r="C16" s="51" t="s">
        <v>3824</v>
      </c>
      <c r="E16" s="54" t="str" cm="1">
        <f t="array" aca="1" ref="E16" ca="1">IF(H16=0,"",HYPERLINK("#"&amp;RIGHT(CELL("dateiname"),LEN(CELL("dateiname"))-FIND("]",CELL("dateiname")))&amp;"!"&amp;CELL("adresse",OFFSET($Q$6,H16-1,0)),"Definition"))</f>
        <v>Definition</v>
      </c>
      <c r="F16" s="54" t="str" cm="1">
        <f t="array" aca="1" ref="F16" ca="1">IF(I16=0,"",HYPERLINK("#"&amp;RIGHT(CELL("adresse",OFFSET(DMAV_Doku!$B$6,I16-1,0)),LEN(CELL("adresse",OFFSET(DMAV_Doku!$B$6,I16-1,0)))-SEARCH("]",CELL("adresse",OFFSET(DMAV_Doku!$B$6,I16-1,0)))),"ModDoc"))</f>
        <v>ModDoc</v>
      </c>
      <c r="G16" s="150" t="str">
        <f t="shared" si="0"/>
        <v>TMAL11</v>
      </c>
      <c r="H16" s="150">
        <f t="shared" si="1"/>
        <v>600</v>
      </c>
      <c r="I16" s="150">
        <f>IF(_xlfn.XLOOKUP(G16,Korrelation!$A$4:$A$723,Korrelation!$B$4:$B$723,0,0)=0,0,MATCH(_xlfn.XLOOKUP(G16,Korrelation!$A$4:$A$723,Korrelation!$B$4:$B$723,0,0),DMAV_Doku!$H$6:$H$483,0))</f>
        <v>11</v>
      </c>
      <c r="J16" s="158"/>
      <c r="K16" s="161"/>
      <c r="L16" s="161"/>
      <c r="M16" s="158"/>
      <c r="N16" s="51" t="s">
        <v>3868</v>
      </c>
      <c r="O16" s="51" t="s">
        <v>3869</v>
      </c>
      <c r="Q16" s="51" t="s">
        <v>910</v>
      </c>
      <c r="R16" s="51" t="s">
        <v>3903</v>
      </c>
      <c r="W16" s="52"/>
      <c r="AB16" s="51" t="s">
        <v>3871</v>
      </c>
      <c r="AC16" s="51" t="s">
        <v>3872</v>
      </c>
      <c r="AE16" s="51" t="s">
        <v>910</v>
      </c>
      <c r="AF16" s="51" t="s">
        <v>3904</v>
      </c>
      <c r="AP16" s="51" t="s">
        <v>3874</v>
      </c>
      <c r="AQ16" s="51" t="s">
        <v>3875</v>
      </c>
      <c r="AS16" s="51" t="s">
        <v>910</v>
      </c>
      <c r="AT16" s="51" t="s">
        <v>3905</v>
      </c>
    </row>
    <row r="17" spans="1:53" x14ac:dyDescent="0.25">
      <c r="A17" s="51" t="s">
        <v>3795</v>
      </c>
      <c r="B17" s="51">
        <v>12</v>
      </c>
      <c r="C17" s="51" t="s">
        <v>3825</v>
      </c>
      <c r="E17" s="54" t="str" cm="1">
        <f t="array" aca="1" ref="E17" ca="1">IF(H17=0,"",HYPERLINK("#"&amp;RIGHT(CELL("dateiname"),LEN(CELL("dateiname"))-FIND("]",CELL("dateiname")))&amp;"!"&amp;CELL("adresse",OFFSET($Q$6,H17-1,0)),"Definition"))</f>
        <v>Definition</v>
      </c>
      <c r="F17" s="54" t="str" cm="1">
        <f t="array" aca="1" ref="F17" ca="1">IF(I17=0,"",HYPERLINK("#"&amp;RIGHT(CELL("adresse",OFFSET(DMAV_Doku!$B$6,I17-1,0)),LEN(CELL("adresse",OFFSET(DMAV_Doku!$B$6,I17-1,0)))-SEARCH("]",CELL("adresse",OFFSET(DMAV_Doku!$B$6,I17-1,0)))),"ModDoc"))</f>
        <v/>
      </c>
      <c r="G17" s="150" t="str">
        <f t="shared" si="0"/>
        <v>TMAL12</v>
      </c>
      <c r="H17" s="150">
        <f t="shared" si="1"/>
        <v>53</v>
      </c>
      <c r="I17" s="150">
        <f>IF(_xlfn.XLOOKUP(G17,Korrelation!$A$4:$A$723,Korrelation!$B$4:$B$723,0,0)=0,0,MATCH(_xlfn.XLOOKUP(G17,Korrelation!$A$4:$A$723,Korrelation!$B$4:$B$723,0,0),DMAV_Doku!$H$6:$H$483,0))</f>
        <v>0</v>
      </c>
      <c r="J17" s="158"/>
      <c r="K17" s="161">
        <v>45444</v>
      </c>
      <c r="L17" s="161"/>
      <c r="M17" s="158"/>
      <c r="N17" s="51" t="s">
        <v>3868</v>
      </c>
      <c r="O17" s="51" t="s">
        <v>3869</v>
      </c>
      <c r="Q17" s="51" t="s">
        <v>910</v>
      </c>
      <c r="R17" s="51" t="s">
        <v>3906</v>
      </c>
      <c r="W17" s="52"/>
      <c r="AB17" s="51" t="s">
        <v>3871</v>
      </c>
      <c r="AC17" s="51" t="s">
        <v>3872</v>
      </c>
      <c r="AE17" s="51" t="s">
        <v>910</v>
      </c>
      <c r="AF17" s="51" t="s">
        <v>3907</v>
      </c>
      <c r="AP17" s="51" t="s">
        <v>3874</v>
      </c>
      <c r="AQ17" s="51" t="s">
        <v>3875</v>
      </c>
      <c r="AS17" s="51" t="s">
        <v>910</v>
      </c>
      <c r="AT17" s="51" t="s">
        <v>3908</v>
      </c>
    </row>
    <row r="18" spans="1:53" ht="38.25" x14ac:dyDescent="0.25">
      <c r="A18" s="51" t="s">
        <v>3795</v>
      </c>
      <c r="B18" s="51">
        <v>13</v>
      </c>
      <c r="E18" s="54" t="str" cm="1">
        <f t="array" aca="1" ref="E18" ca="1">IF(H18=0,"",HYPERLINK("#"&amp;RIGHT(CELL("dateiname"),LEN(CELL("dateiname"))-FIND("]",CELL("dateiname")))&amp;"!"&amp;CELL("adresse",OFFSET($Q$6,H18-1,0)),"Definition"))</f>
        <v/>
      </c>
      <c r="F18" s="54" t="str" cm="1">
        <f t="array" aca="1" ref="F18" ca="1">IF(I18=0,"",HYPERLINK("#"&amp;RIGHT(CELL("adresse",OFFSET(DMAV_Doku!$B$6,I18-1,0)),LEN(CELL("adresse",OFFSET(DMAV_Doku!$B$6,I18-1,0)))-SEARCH("]",CELL("adresse",OFFSET(DMAV_Doku!$B$6,I18-1,0)))),"ModDoc"))</f>
        <v/>
      </c>
      <c r="G18" s="150" t="str">
        <f t="shared" si="0"/>
        <v>TMAL13</v>
      </c>
      <c r="H18" s="150">
        <f t="shared" si="1"/>
        <v>0</v>
      </c>
      <c r="I18" s="150">
        <f>IF(_xlfn.XLOOKUP(G18,Korrelation!$A$4:$A$723,Korrelation!$B$4:$B$723,0,0)=0,0,MATCH(_xlfn.XLOOKUP(G18,Korrelation!$A$4:$A$723,Korrelation!$B$4:$B$723,0,0),DMAV_Doku!$H$6:$H$483,0))</f>
        <v>0</v>
      </c>
      <c r="J18" s="158"/>
      <c r="K18" s="161">
        <v>45689</v>
      </c>
      <c r="L18" s="161"/>
      <c r="M18" s="158"/>
      <c r="N18" s="51" t="s">
        <v>3868</v>
      </c>
      <c r="O18" s="51" t="s">
        <v>3869</v>
      </c>
      <c r="Q18" s="51" t="s">
        <v>910</v>
      </c>
      <c r="R18" s="51" t="s">
        <v>3575</v>
      </c>
      <c r="W18" s="52"/>
      <c r="Y18" s="52" t="s">
        <v>3909</v>
      </c>
      <c r="AB18" s="51" t="s">
        <v>3871</v>
      </c>
      <c r="AC18" s="51" t="s">
        <v>3872</v>
      </c>
      <c r="AE18" s="51" t="s">
        <v>910</v>
      </c>
      <c r="AF18" s="51" t="s">
        <v>3575</v>
      </c>
      <c r="AM18" s="52" t="s">
        <v>3910</v>
      </c>
      <c r="AP18" s="51" t="s">
        <v>3874</v>
      </c>
      <c r="AQ18" s="51" t="s">
        <v>3875</v>
      </c>
      <c r="AS18" s="51" t="s">
        <v>910</v>
      </c>
      <c r="AT18" s="51" t="s">
        <v>3575</v>
      </c>
      <c r="BA18" s="52" t="s">
        <v>3910</v>
      </c>
    </row>
    <row r="19" spans="1:53" ht="38.25" x14ac:dyDescent="0.25">
      <c r="A19" s="51" t="s">
        <v>3795</v>
      </c>
      <c r="B19" s="51">
        <v>14</v>
      </c>
      <c r="E19" s="54" t="str" cm="1">
        <f t="array" aca="1" ref="E19" ca="1">IF(H19=0,"",HYPERLINK("#"&amp;RIGHT(CELL("dateiname"),LEN(CELL("dateiname"))-FIND("]",CELL("dateiname")))&amp;"!"&amp;CELL("adresse",OFFSET($Q$6,H19-1,0)),"Definition"))</f>
        <v/>
      </c>
      <c r="F19" s="54" t="str" cm="1">
        <f t="array" aca="1" ref="F19" ca="1">IF(I19=0,"",HYPERLINK("#"&amp;RIGHT(CELL("adresse",OFFSET(DMAV_Doku!$B$6,I19-1,0)),LEN(CELL("adresse",OFFSET(DMAV_Doku!$B$6,I19-1,0)))-SEARCH("]",CELL("adresse",OFFSET(DMAV_Doku!$B$6,I19-1,0)))),"ModDoc"))</f>
        <v>ModDoc</v>
      </c>
      <c r="G19" s="150" t="str">
        <f t="shared" si="0"/>
        <v>TMAL14</v>
      </c>
      <c r="H19" s="150">
        <f t="shared" si="1"/>
        <v>0</v>
      </c>
      <c r="I19" s="150">
        <f>IF(_xlfn.XLOOKUP(G19,Korrelation!$A$4:$A$723,Korrelation!$B$4:$B$723,0,0)=0,0,MATCH(_xlfn.XLOOKUP(G19,Korrelation!$A$4:$A$723,Korrelation!$B$4:$B$723,0,0),DMAV_Doku!$H$6:$H$483,0))</f>
        <v>1</v>
      </c>
      <c r="J19" s="158"/>
      <c r="K19" s="161">
        <v>45689</v>
      </c>
      <c r="L19" s="161"/>
      <c r="M19" s="158"/>
      <c r="N19" s="51" t="s">
        <v>3868</v>
      </c>
      <c r="O19" s="51" t="s">
        <v>3869</v>
      </c>
      <c r="Q19" s="51" t="s">
        <v>910</v>
      </c>
      <c r="R19" s="51" t="s">
        <v>3603</v>
      </c>
      <c r="W19" s="52"/>
      <c r="Y19" s="52" t="s">
        <v>3911</v>
      </c>
      <c r="AB19" s="51" t="s">
        <v>3871</v>
      </c>
      <c r="AC19" s="51" t="s">
        <v>3872</v>
      </c>
      <c r="AE19" s="51" t="s">
        <v>910</v>
      </c>
      <c r="AF19" s="51" t="s">
        <v>3912</v>
      </c>
      <c r="AM19" s="52" t="s">
        <v>3913</v>
      </c>
      <c r="AP19" s="51" t="s">
        <v>3874</v>
      </c>
      <c r="AQ19" s="51" t="s">
        <v>3875</v>
      </c>
      <c r="AS19" s="51" t="s">
        <v>910</v>
      </c>
      <c r="AT19" s="51" t="s">
        <v>3914</v>
      </c>
      <c r="BA19" s="52" t="s">
        <v>3913</v>
      </c>
    </row>
    <row r="20" spans="1:53" ht="38.25" x14ac:dyDescent="0.25">
      <c r="A20" s="51" t="s">
        <v>3795</v>
      </c>
      <c r="B20" s="51">
        <v>15</v>
      </c>
      <c r="E20" s="54" t="str" cm="1">
        <f t="array" aca="1" ref="E20" ca="1">IF(H20=0,"",HYPERLINK("#"&amp;RIGHT(CELL("dateiname"),LEN(CELL("dateiname"))-FIND("]",CELL("dateiname")))&amp;"!"&amp;CELL("adresse",OFFSET($Q$6,H20-1,0)),"Definition"))</f>
        <v/>
      </c>
      <c r="F20" s="54" t="str" cm="1">
        <f t="array" aca="1" ref="F20" ca="1">IF(I20=0,"",HYPERLINK("#"&amp;RIGHT(CELL("adresse",OFFSET(DMAV_Doku!$B$6,I20-1,0)),LEN(CELL("adresse",OFFSET(DMAV_Doku!$B$6,I20-1,0)))-SEARCH("]",CELL("adresse",OFFSET(DMAV_Doku!$B$6,I20-1,0)))),"ModDoc"))</f>
        <v/>
      </c>
      <c r="G20" s="150" t="str">
        <f t="shared" si="0"/>
        <v>TMAL15</v>
      </c>
      <c r="H20" s="150">
        <f t="shared" si="1"/>
        <v>0</v>
      </c>
      <c r="I20" s="150">
        <f>IF(_xlfn.XLOOKUP(G20,Korrelation!$A$4:$A$723,Korrelation!$B$4:$B$723,0,0)=0,0,MATCH(_xlfn.XLOOKUP(G20,Korrelation!$A$4:$A$723,Korrelation!$B$4:$B$723,0,0),DMAV_Doku!$H$6:$H$483,0))</f>
        <v>0</v>
      </c>
      <c r="J20" s="158"/>
      <c r="K20" s="161">
        <v>45689</v>
      </c>
      <c r="L20" s="161"/>
      <c r="M20" s="158"/>
      <c r="N20" s="51" t="s">
        <v>3868</v>
      </c>
      <c r="O20" s="51" t="s">
        <v>3869</v>
      </c>
      <c r="Q20" s="51" t="s">
        <v>910</v>
      </c>
      <c r="R20" s="51" t="s">
        <v>3602</v>
      </c>
      <c r="W20" s="52"/>
      <c r="Y20" s="52" t="s">
        <v>3915</v>
      </c>
      <c r="AB20" s="51" t="s">
        <v>3871</v>
      </c>
      <c r="AC20" s="51" t="s">
        <v>3872</v>
      </c>
      <c r="AE20" s="51" t="s">
        <v>910</v>
      </c>
      <c r="AF20" s="51" t="s">
        <v>3602</v>
      </c>
      <c r="AM20" s="52" t="s">
        <v>3916</v>
      </c>
      <c r="AP20" s="51" t="s">
        <v>3874</v>
      </c>
      <c r="AQ20" s="51" t="s">
        <v>3875</v>
      </c>
      <c r="AS20" s="51" t="s">
        <v>910</v>
      </c>
      <c r="AT20" s="51" t="s">
        <v>3602</v>
      </c>
      <c r="BA20" s="52" t="s">
        <v>3916</v>
      </c>
    </row>
    <row r="21" spans="1:53" ht="38.25" x14ac:dyDescent="0.25">
      <c r="A21" s="51" t="s">
        <v>3795</v>
      </c>
      <c r="B21" s="51">
        <v>16</v>
      </c>
      <c r="E21" s="54" t="str" cm="1">
        <f t="array" aca="1" ref="E21" ca="1">IF(H21=0,"",HYPERLINK("#"&amp;RIGHT(CELL("dateiname"),LEN(CELL("dateiname"))-FIND("]",CELL("dateiname")))&amp;"!"&amp;CELL("adresse",OFFSET($Q$6,H21-1,0)),"Definition"))</f>
        <v/>
      </c>
      <c r="F21" s="54" t="str" cm="1">
        <f t="array" aca="1" ref="F21" ca="1">IF(I21=0,"",HYPERLINK("#"&amp;RIGHT(CELL("adresse",OFFSET(DMAV_Doku!$B$6,I21-1,0)),LEN(CELL("adresse",OFFSET(DMAV_Doku!$B$6,I21-1,0)))-SEARCH("]",CELL("adresse",OFFSET(DMAV_Doku!$B$6,I21-1,0)))),"ModDoc"))</f>
        <v/>
      </c>
      <c r="G21" s="150" t="str">
        <f t="shared" si="0"/>
        <v>TMAL16</v>
      </c>
      <c r="H21" s="150">
        <f t="shared" si="1"/>
        <v>0</v>
      </c>
      <c r="I21" s="150">
        <f>IF(_xlfn.XLOOKUP(G21,Korrelation!$A$4:$A$723,Korrelation!$B$4:$B$723,0,0)=0,0,MATCH(_xlfn.XLOOKUP(G21,Korrelation!$A$4:$A$723,Korrelation!$B$4:$B$723,0,0),DMAV_Doku!$H$6:$H$483,0))</f>
        <v>0</v>
      </c>
      <c r="J21" s="158"/>
      <c r="K21" s="161">
        <v>45689</v>
      </c>
      <c r="L21" s="161"/>
      <c r="M21" s="158"/>
      <c r="N21" s="51" t="s">
        <v>3868</v>
      </c>
      <c r="O21" s="51" t="s">
        <v>3869</v>
      </c>
      <c r="Q21" s="51" t="s">
        <v>910</v>
      </c>
      <c r="R21" s="51" t="s">
        <v>3595</v>
      </c>
      <c r="W21" s="52"/>
      <c r="Y21" s="52" t="s">
        <v>3917</v>
      </c>
      <c r="AB21" s="51" t="s">
        <v>3871</v>
      </c>
      <c r="AC21" s="51" t="s">
        <v>3872</v>
      </c>
      <c r="AE21" s="51" t="s">
        <v>910</v>
      </c>
      <c r="AF21" s="51" t="s">
        <v>3595</v>
      </c>
      <c r="AM21" s="52" t="s">
        <v>3918</v>
      </c>
      <c r="AP21" s="51" t="s">
        <v>3874</v>
      </c>
      <c r="AQ21" s="51" t="s">
        <v>3875</v>
      </c>
      <c r="AS21" s="51" t="s">
        <v>910</v>
      </c>
      <c r="AT21" s="51" t="s">
        <v>3595</v>
      </c>
      <c r="BA21" s="52" t="s">
        <v>3918</v>
      </c>
    </row>
    <row r="22" spans="1:53" x14ac:dyDescent="0.25">
      <c r="A22" s="51" t="s">
        <v>3796</v>
      </c>
      <c r="B22" s="51">
        <v>1</v>
      </c>
      <c r="E22" s="54" t="str" cm="1">
        <f t="array" aca="1" ref="E22" ca="1">IF(H22=0,"",HYPERLINK("#"&amp;RIGHT(CELL("dateiname"),LEN(CELL("dateiname"))-FIND("]",CELL("dateiname")))&amp;"!"&amp;CELL("adresse",OFFSET($Q$6,H22-1,0)),"Definition"))</f>
        <v/>
      </c>
      <c r="F22" s="54" t="str" cm="1">
        <f t="array" aca="1" ref="F22" ca="1">IF(I22=0,"",HYPERLINK("#"&amp;RIGHT(CELL("adresse",OFFSET(DMAV_Doku!$B$6,I22-1,0)),LEN(CELL("adresse",OFFSET(DMAV_Doku!$B$6,I22-1,0)))-SEARCH("]",CELL("adresse",OFFSET(DMAV_Doku!$B$6,I22-1,0)))),"ModDoc"))</f>
        <v/>
      </c>
      <c r="G22" s="150" t="str">
        <f t="shared" si="0"/>
        <v>TMGE1</v>
      </c>
      <c r="H22" s="150">
        <f t="shared" si="1"/>
        <v>0</v>
      </c>
      <c r="I22" s="150">
        <f>IF(_xlfn.XLOOKUP(G22,Korrelation!$A$4:$A$723,Korrelation!$B$4:$B$723,0,0)=0,0,MATCH(_xlfn.XLOOKUP(G22,Korrelation!$A$4:$A$723,Korrelation!$B$4:$B$723,0,0),DMAV_Doku!$H$6:$H$483,0))</f>
        <v>0</v>
      </c>
      <c r="J22" s="158"/>
      <c r="K22" s="161"/>
      <c r="L22" s="161"/>
      <c r="M22" s="158"/>
      <c r="N22" s="51" t="s">
        <v>925</v>
      </c>
      <c r="O22" s="51" t="s">
        <v>926</v>
      </c>
      <c r="Q22" s="51" t="s">
        <v>927</v>
      </c>
      <c r="R22" s="51" t="s">
        <v>314</v>
      </c>
      <c r="W22" s="52" t="s">
        <v>3919</v>
      </c>
      <c r="AB22" s="51" t="s">
        <v>3920</v>
      </c>
      <c r="AC22" s="51" t="s">
        <v>3921</v>
      </c>
      <c r="AE22" s="51" t="s">
        <v>927</v>
      </c>
      <c r="AF22" s="51" t="s">
        <v>803</v>
      </c>
      <c r="AK22" s="52" t="s">
        <v>928</v>
      </c>
      <c r="AP22" s="51" t="s">
        <v>3922</v>
      </c>
      <c r="AQ22" s="51" t="s">
        <v>3923</v>
      </c>
      <c r="AS22" s="51" t="s">
        <v>927</v>
      </c>
      <c r="AT22" s="51" t="s">
        <v>1497</v>
      </c>
      <c r="AY22" s="52" t="s">
        <v>928</v>
      </c>
    </row>
    <row r="23" spans="1:53" x14ac:dyDescent="0.25">
      <c r="A23" s="51" t="s">
        <v>3797</v>
      </c>
      <c r="B23" s="51">
        <v>1</v>
      </c>
      <c r="E23" s="54" t="str" cm="1">
        <f t="array" aca="1" ref="E23" ca="1">IF(H23=0,"",HYPERLINK("#"&amp;RIGHT(CELL("dateiname"),LEN(CELL("dateiname"))-FIND("]",CELL("dateiname")))&amp;"!"&amp;CELL("adresse",OFFSET($Q$6,H23-1,0)),"Definition"))</f>
        <v/>
      </c>
      <c r="F23" s="54" t="str" cm="1">
        <f t="array" aca="1" ref="F23" ca="1">IF(I23=0,"",HYPERLINK("#"&amp;RIGHT(CELL("adresse",OFFSET(DMAV_Doku!$B$6,I23-1,0)),LEN(CELL("adresse",OFFSET(DMAV_Doku!$B$6,I23-1,0)))-SEARCH("]",CELL("adresse",OFFSET(DMAV_Doku!$B$6,I23-1,0)))),"ModDoc"))</f>
        <v/>
      </c>
      <c r="G23" s="150" t="str">
        <f t="shared" si="0"/>
        <v>TMGR1</v>
      </c>
      <c r="H23" s="150">
        <f t="shared" si="1"/>
        <v>0</v>
      </c>
      <c r="I23" s="150">
        <f>IF(_xlfn.XLOOKUP(G23,Korrelation!$A$4:$A$723,Korrelation!$B$4:$B$723,0,0)=0,0,MATCH(_xlfn.XLOOKUP(G23,Korrelation!$A$4:$A$723,Korrelation!$B$4:$B$723,0,0),DMAV_Doku!$H$6:$H$483,0))</f>
        <v>0</v>
      </c>
      <c r="J23" s="158"/>
      <c r="K23" s="161"/>
      <c r="L23" s="161"/>
      <c r="M23" s="158"/>
      <c r="N23" s="51" t="s">
        <v>929</v>
      </c>
      <c r="O23" s="51" t="s">
        <v>930</v>
      </c>
      <c r="Q23" s="51" t="s">
        <v>910</v>
      </c>
      <c r="R23" s="51" t="s">
        <v>931</v>
      </c>
      <c r="W23" s="52"/>
      <c r="AB23" s="51" t="s">
        <v>3924</v>
      </c>
      <c r="AC23" s="51" t="s">
        <v>3925</v>
      </c>
      <c r="AE23" s="51" t="s">
        <v>910</v>
      </c>
      <c r="AF23" s="51" t="s">
        <v>931</v>
      </c>
      <c r="AP23" s="51" t="s">
        <v>3926</v>
      </c>
      <c r="AQ23" s="51" t="s">
        <v>3927</v>
      </c>
      <c r="AS23" s="51" t="s">
        <v>910</v>
      </c>
      <c r="AT23" s="51" t="s">
        <v>931</v>
      </c>
    </row>
    <row r="24" spans="1:53" x14ac:dyDescent="0.25">
      <c r="A24" s="51" t="s">
        <v>3797</v>
      </c>
      <c r="B24" s="51">
        <v>2</v>
      </c>
      <c r="E24" s="54" t="str" cm="1">
        <f t="array" aca="1" ref="E24" ca="1">IF(H24=0,"",HYPERLINK("#"&amp;RIGHT(CELL("dateiname"),LEN(CELL("dateiname"))-FIND("]",CELL("dateiname")))&amp;"!"&amp;CELL("adresse",OFFSET($Q$6,H24-1,0)),"Definition"))</f>
        <v/>
      </c>
      <c r="F24" s="54" t="str" cm="1">
        <f t="array" aca="1" ref="F24" ca="1">IF(I24=0,"",HYPERLINK("#"&amp;RIGHT(CELL("adresse",OFFSET(DMAV_Doku!$B$6,I24-1,0)),LEN(CELL("adresse",OFFSET(DMAV_Doku!$B$6,I24-1,0)))-SEARCH("]",CELL("adresse",OFFSET(DMAV_Doku!$B$6,I24-1,0)))),"ModDoc"))</f>
        <v/>
      </c>
      <c r="G24" s="150" t="str">
        <f t="shared" si="0"/>
        <v>TMGR2</v>
      </c>
      <c r="H24" s="150">
        <f t="shared" si="1"/>
        <v>0</v>
      </c>
      <c r="I24" s="150">
        <f>IF(_xlfn.XLOOKUP(G24,Korrelation!$A$4:$A$723,Korrelation!$B$4:$B$723,0,0)=0,0,MATCH(_xlfn.XLOOKUP(G24,Korrelation!$A$4:$A$723,Korrelation!$B$4:$B$723,0,0),DMAV_Doku!$H$6:$H$483,0))</f>
        <v>0</v>
      </c>
      <c r="J24" s="158"/>
      <c r="K24" s="161"/>
      <c r="L24" s="161"/>
      <c r="M24" s="158"/>
      <c r="N24" s="51" t="s">
        <v>929</v>
      </c>
      <c r="O24" s="51" t="s">
        <v>930</v>
      </c>
      <c r="Q24" s="51" t="s">
        <v>910</v>
      </c>
      <c r="R24" s="51" t="s">
        <v>932</v>
      </c>
      <c r="W24" s="52"/>
      <c r="AB24" s="51" t="s">
        <v>3924</v>
      </c>
      <c r="AC24" s="51" t="s">
        <v>3925</v>
      </c>
      <c r="AE24" s="51" t="s">
        <v>910</v>
      </c>
      <c r="AF24" s="51" t="s">
        <v>932</v>
      </c>
      <c r="AP24" s="51" t="s">
        <v>3926</v>
      </c>
      <c r="AQ24" s="51" t="s">
        <v>3927</v>
      </c>
      <c r="AS24" s="51" t="s">
        <v>910</v>
      </c>
      <c r="AT24" s="51" t="s">
        <v>932</v>
      </c>
    </row>
    <row r="25" spans="1:53" x14ac:dyDescent="0.25">
      <c r="A25" s="51" t="s">
        <v>3797</v>
      </c>
      <c r="B25" s="51">
        <v>3</v>
      </c>
      <c r="E25" s="54" t="str" cm="1">
        <f t="array" aca="1" ref="E25" ca="1">IF(H25=0,"",HYPERLINK("#"&amp;RIGHT(CELL("dateiname"),LEN(CELL("dateiname"))-FIND("]",CELL("dateiname")))&amp;"!"&amp;CELL("adresse",OFFSET($Q$6,H25-1,0)),"Definition"))</f>
        <v/>
      </c>
      <c r="F25" s="54" t="str" cm="1">
        <f t="array" aca="1" ref="F25" ca="1">IF(I25=0,"",HYPERLINK("#"&amp;RIGHT(CELL("adresse",OFFSET(DMAV_Doku!$B$6,I25-1,0)),LEN(CELL("adresse",OFFSET(DMAV_Doku!$B$6,I25-1,0)))-SEARCH("]",CELL("adresse",OFFSET(DMAV_Doku!$B$6,I25-1,0)))),"ModDoc"))</f>
        <v/>
      </c>
      <c r="G25" s="150" t="str">
        <f t="shared" si="0"/>
        <v>TMGR3</v>
      </c>
      <c r="H25" s="150">
        <f t="shared" si="1"/>
        <v>0</v>
      </c>
      <c r="I25" s="150">
        <f>IF(_xlfn.XLOOKUP(G25,Korrelation!$A$4:$A$723,Korrelation!$B$4:$B$723,0,0)=0,0,MATCH(_xlfn.XLOOKUP(G25,Korrelation!$A$4:$A$723,Korrelation!$B$4:$B$723,0,0),DMAV_Doku!$H$6:$H$483,0))</f>
        <v>0</v>
      </c>
      <c r="J25" s="158"/>
      <c r="K25" s="161"/>
      <c r="L25" s="161"/>
      <c r="M25" s="158"/>
      <c r="N25" s="51" t="s">
        <v>929</v>
      </c>
      <c r="O25" s="51" t="s">
        <v>930</v>
      </c>
      <c r="Q25" s="51" t="s">
        <v>927</v>
      </c>
      <c r="R25" s="51" t="s">
        <v>933</v>
      </c>
      <c r="W25" s="52" t="s">
        <v>934</v>
      </c>
      <c r="AB25" s="51" t="s">
        <v>3924</v>
      </c>
      <c r="AC25" s="51" t="s">
        <v>3925</v>
      </c>
      <c r="AE25" s="51" t="s">
        <v>927</v>
      </c>
      <c r="AF25" s="51" t="s">
        <v>933</v>
      </c>
      <c r="AK25" s="52" t="s">
        <v>934</v>
      </c>
      <c r="AP25" s="51" t="s">
        <v>3926</v>
      </c>
      <c r="AQ25" s="51" t="s">
        <v>3927</v>
      </c>
      <c r="AS25" s="51" t="s">
        <v>927</v>
      </c>
      <c r="AT25" s="51" t="s">
        <v>1216</v>
      </c>
      <c r="AY25" s="52" t="s">
        <v>934</v>
      </c>
    </row>
    <row r="26" spans="1:53" x14ac:dyDescent="0.25">
      <c r="A26" s="51" t="s">
        <v>3797</v>
      </c>
      <c r="B26" s="51">
        <v>4</v>
      </c>
      <c r="E26" s="54" t="str" cm="1">
        <f t="array" aca="1" ref="E26" ca="1">IF(H26=0,"",HYPERLINK("#"&amp;RIGHT(CELL("dateiname"),LEN(CELL("dateiname"))-FIND("]",CELL("dateiname")))&amp;"!"&amp;CELL("adresse",OFFSET($Q$6,H26-1,0)),"Definition"))</f>
        <v/>
      </c>
      <c r="F26" s="54" t="str" cm="1">
        <f t="array" aca="1" ref="F26" ca="1">IF(I26=0,"",HYPERLINK("#"&amp;RIGHT(CELL("adresse",OFFSET(DMAV_Doku!$B$6,I26-1,0)),LEN(CELL("adresse",OFFSET(DMAV_Doku!$B$6,I26-1,0)))-SEARCH("]",CELL("adresse",OFFSET(DMAV_Doku!$B$6,I26-1,0)))),"ModDoc"))</f>
        <v>ModDoc</v>
      </c>
      <c r="G26" s="150" t="str">
        <f t="shared" si="0"/>
        <v>TMGR4</v>
      </c>
      <c r="H26" s="150">
        <f t="shared" si="1"/>
        <v>0</v>
      </c>
      <c r="I26" s="150">
        <f>IF(_xlfn.XLOOKUP(G26,Korrelation!$A$4:$A$723,Korrelation!$B$4:$B$723,0,0)=0,0,MATCH(_xlfn.XLOOKUP(G26,Korrelation!$A$4:$A$723,Korrelation!$B$4:$B$723,0,0),DMAV_Doku!$H$6:$H$483,0))</f>
        <v>24</v>
      </c>
      <c r="J26" s="158"/>
      <c r="K26" s="161"/>
      <c r="L26" s="161"/>
      <c r="M26" s="158"/>
      <c r="N26" s="51" t="s">
        <v>929</v>
      </c>
      <c r="O26" s="51" t="s">
        <v>930</v>
      </c>
      <c r="Q26" s="51" t="s">
        <v>927</v>
      </c>
      <c r="R26" s="51" t="s">
        <v>56</v>
      </c>
      <c r="W26" s="52" t="s">
        <v>57</v>
      </c>
      <c r="AB26" s="51" t="s">
        <v>3924</v>
      </c>
      <c r="AC26" s="51" t="s">
        <v>3925</v>
      </c>
      <c r="AE26" s="51" t="s">
        <v>927</v>
      </c>
      <c r="AF26" s="51" t="s">
        <v>720</v>
      </c>
      <c r="AK26" s="52" t="s">
        <v>721</v>
      </c>
      <c r="AP26" s="51" t="s">
        <v>3926</v>
      </c>
      <c r="AQ26" s="51" t="s">
        <v>3927</v>
      </c>
      <c r="AS26" s="51" t="s">
        <v>927</v>
      </c>
      <c r="AT26" s="51" t="s">
        <v>3928</v>
      </c>
      <c r="AY26" s="52" t="s">
        <v>3929</v>
      </c>
    </row>
    <row r="27" spans="1:53" x14ac:dyDescent="0.25">
      <c r="A27" s="51" t="s">
        <v>3797</v>
      </c>
      <c r="B27" s="51">
        <v>5</v>
      </c>
      <c r="E27" s="54" t="str" cm="1">
        <f t="array" aca="1" ref="E27" ca="1">IF(H27=0,"",HYPERLINK("#"&amp;RIGHT(CELL("dateiname"),LEN(CELL("dateiname"))-FIND("]",CELL("dateiname")))&amp;"!"&amp;CELL("adresse",OFFSET($Q$6,H27-1,0)),"Definition"))</f>
        <v/>
      </c>
      <c r="F27" s="54" t="str" cm="1">
        <f t="array" aca="1" ref="F27" ca="1">IF(I27=0,"",HYPERLINK("#"&amp;RIGHT(CELL("adresse",OFFSET(DMAV_Doku!$B$6,I27-1,0)),LEN(CELL("adresse",OFFSET(DMAV_Doku!$B$6,I27-1,0)))-SEARCH("]",CELL("adresse",OFFSET(DMAV_Doku!$B$6,I27-1,0)))),"ModDoc"))</f>
        <v>ModDoc</v>
      </c>
      <c r="G27" s="150" t="str">
        <f t="shared" si="0"/>
        <v>TMGR5</v>
      </c>
      <c r="H27" s="150">
        <f t="shared" si="1"/>
        <v>0</v>
      </c>
      <c r="I27" s="150">
        <f>IF(_xlfn.XLOOKUP(G27,Korrelation!$A$4:$A$723,Korrelation!$B$4:$B$723,0,0)=0,0,MATCH(_xlfn.XLOOKUP(G27,Korrelation!$A$4:$A$723,Korrelation!$B$4:$B$723,0,0),DMAV_Doku!$H$6:$H$483,0))</f>
        <v>25</v>
      </c>
      <c r="J27" s="158"/>
      <c r="K27" s="161"/>
      <c r="L27" s="161"/>
      <c r="M27" s="158"/>
      <c r="N27" s="51" t="s">
        <v>929</v>
      </c>
      <c r="O27" s="51" t="s">
        <v>930</v>
      </c>
      <c r="Q27" s="51" t="s">
        <v>927</v>
      </c>
      <c r="R27" s="51" t="s">
        <v>56</v>
      </c>
      <c r="W27" s="52" t="s">
        <v>58</v>
      </c>
      <c r="AB27" s="51" t="s">
        <v>3924</v>
      </c>
      <c r="AC27" s="51" t="s">
        <v>3925</v>
      </c>
      <c r="AE27" s="51" t="s">
        <v>927</v>
      </c>
      <c r="AF27" s="51" t="s">
        <v>720</v>
      </c>
      <c r="AK27" s="52" t="s">
        <v>722</v>
      </c>
      <c r="AP27" s="51" t="s">
        <v>3926</v>
      </c>
      <c r="AQ27" s="51" t="s">
        <v>3927</v>
      </c>
      <c r="AS27" s="51" t="s">
        <v>927</v>
      </c>
      <c r="AT27" s="51" t="s">
        <v>3928</v>
      </c>
      <c r="AY27" s="52" t="s">
        <v>3930</v>
      </c>
    </row>
    <row r="28" spans="1:53" x14ac:dyDescent="0.25">
      <c r="A28" s="51" t="s">
        <v>3797</v>
      </c>
      <c r="B28" s="51">
        <v>6</v>
      </c>
      <c r="E28" s="54" t="str" cm="1">
        <f t="array" aca="1" ref="E28" ca="1">IF(H28=0,"",HYPERLINK("#"&amp;RIGHT(CELL("dateiname"),LEN(CELL("dateiname"))-FIND("]",CELL("dateiname")))&amp;"!"&amp;CELL("adresse",OFFSET($Q$6,H28-1,0)),"Definition"))</f>
        <v/>
      </c>
      <c r="F28" s="54" t="str" cm="1">
        <f t="array" aca="1" ref="F28" ca="1">IF(I28=0,"",HYPERLINK("#"&amp;RIGHT(CELL("adresse",OFFSET(DMAV_Doku!$B$6,I28-1,0)),LEN(CELL("adresse",OFFSET(DMAV_Doku!$B$6,I28-1,0)))-SEARCH("]",CELL("adresse",OFFSET(DMAV_Doku!$B$6,I28-1,0)))),"ModDoc"))</f>
        <v>ModDoc</v>
      </c>
      <c r="G28" s="150" t="str">
        <f t="shared" si="0"/>
        <v>TMGR6</v>
      </c>
      <c r="H28" s="150">
        <f t="shared" si="1"/>
        <v>0</v>
      </c>
      <c r="I28" s="150">
        <f>IF(_xlfn.XLOOKUP(G28,Korrelation!$A$4:$A$723,Korrelation!$B$4:$B$723,0,0)=0,0,MATCH(_xlfn.XLOOKUP(G28,Korrelation!$A$4:$A$723,Korrelation!$B$4:$B$723,0,0),DMAV_Doku!$H$6:$H$483,0))</f>
        <v>26</v>
      </c>
      <c r="J28" s="158"/>
      <c r="K28" s="161"/>
      <c r="L28" s="161"/>
      <c r="M28" s="158"/>
      <c r="N28" s="51" t="s">
        <v>929</v>
      </c>
      <c r="O28" s="51" t="s">
        <v>930</v>
      </c>
      <c r="Q28" s="51" t="s">
        <v>927</v>
      </c>
      <c r="R28" s="51" t="s">
        <v>59</v>
      </c>
      <c r="W28" s="52" t="s">
        <v>60</v>
      </c>
      <c r="AB28" s="51" t="s">
        <v>3924</v>
      </c>
      <c r="AC28" s="51" t="s">
        <v>3925</v>
      </c>
      <c r="AE28" s="51" t="s">
        <v>927</v>
      </c>
      <c r="AF28" s="51" t="s">
        <v>723</v>
      </c>
      <c r="AK28" s="52" t="s">
        <v>724</v>
      </c>
      <c r="AP28" s="51" t="s">
        <v>3926</v>
      </c>
      <c r="AQ28" s="51" t="s">
        <v>3927</v>
      </c>
      <c r="AS28" s="51" t="s">
        <v>927</v>
      </c>
      <c r="AT28" s="51" t="s">
        <v>1272</v>
      </c>
      <c r="AY28" s="52" t="s">
        <v>3931</v>
      </c>
    </row>
    <row r="29" spans="1:53" x14ac:dyDescent="0.25">
      <c r="A29" s="51" t="s">
        <v>3797</v>
      </c>
      <c r="B29" s="51">
        <v>7</v>
      </c>
      <c r="E29" s="54" t="str" cm="1">
        <f t="array" aca="1" ref="E29" ca="1">IF(H29=0,"",HYPERLINK("#"&amp;RIGHT(CELL("dateiname"),LEN(CELL("dateiname"))-FIND("]",CELL("dateiname")))&amp;"!"&amp;CELL("adresse",OFFSET($Q$6,H29-1,0)),"Definition"))</f>
        <v/>
      </c>
      <c r="F29" s="54" t="str" cm="1">
        <f t="array" aca="1" ref="F29" ca="1">IF(I29=0,"",HYPERLINK("#"&amp;RIGHT(CELL("adresse",OFFSET(DMAV_Doku!$B$6,I29-1,0)),LEN(CELL("adresse",OFFSET(DMAV_Doku!$B$6,I29-1,0)))-SEARCH("]",CELL("adresse",OFFSET(DMAV_Doku!$B$6,I29-1,0)))),"ModDoc"))</f>
        <v>ModDoc</v>
      </c>
      <c r="G29" s="150" t="str">
        <f t="shared" si="0"/>
        <v>TMGR7</v>
      </c>
      <c r="H29" s="150">
        <f t="shared" si="1"/>
        <v>0</v>
      </c>
      <c r="I29" s="150">
        <f>IF(_xlfn.XLOOKUP(G29,Korrelation!$A$4:$A$723,Korrelation!$B$4:$B$723,0,0)=0,0,MATCH(_xlfn.XLOOKUP(G29,Korrelation!$A$4:$A$723,Korrelation!$B$4:$B$723,0,0),DMAV_Doku!$H$6:$H$483,0))</f>
        <v>27</v>
      </c>
      <c r="J29" s="158"/>
      <c r="K29" s="161"/>
      <c r="L29" s="161"/>
      <c r="M29" s="158"/>
      <c r="N29" s="51" t="s">
        <v>929</v>
      </c>
      <c r="O29" s="51" t="s">
        <v>930</v>
      </c>
      <c r="Q29" s="51" t="s">
        <v>927</v>
      </c>
      <c r="R29" s="51" t="s">
        <v>59</v>
      </c>
      <c r="W29" s="52" t="s">
        <v>62</v>
      </c>
      <c r="AB29" s="51" t="s">
        <v>3924</v>
      </c>
      <c r="AC29" s="51" t="s">
        <v>3925</v>
      </c>
      <c r="AE29" s="51" t="s">
        <v>927</v>
      </c>
      <c r="AF29" s="51" t="s">
        <v>723</v>
      </c>
      <c r="AK29" s="52" t="s">
        <v>725</v>
      </c>
      <c r="AP29" s="51" t="s">
        <v>3926</v>
      </c>
      <c r="AQ29" s="51" t="s">
        <v>3927</v>
      </c>
      <c r="AS29" s="51" t="s">
        <v>927</v>
      </c>
      <c r="AT29" s="51" t="s">
        <v>1272</v>
      </c>
      <c r="AY29" s="52" t="s">
        <v>3932</v>
      </c>
    </row>
    <row r="30" spans="1:53" x14ac:dyDescent="0.25">
      <c r="A30" s="51" t="s">
        <v>3797</v>
      </c>
      <c r="B30" s="51">
        <v>8</v>
      </c>
      <c r="E30" s="54" t="str" cm="1">
        <f t="array" aca="1" ref="E30" ca="1">IF(H30=0,"",HYPERLINK("#"&amp;RIGHT(CELL("dateiname"),LEN(CELL("dateiname"))-FIND("]",CELL("dateiname")))&amp;"!"&amp;CELL("adresse",OFFSET($Q$6,H30-1,0)),"Definition"))</f>
        <v/>
      </c>
      <c r="F30" s="54" t="str" cm="1">
        <f t="array" aca="1" ref="F30" ca="1">IF(I30=0,"",HYPERLINK("#"&amp;RIGHT(CELL("adresse",OFFSET(DMAV_Doku!$B$6,I30-1,0)),LEN(CELL("adresse",OFFSET(DMAV_Doku!$B$6,I30-1,0)))-SEARCH("]",CELL("adresse",OFFSET(DMAV_Doku!$B$6,I30-1,0)))),"ModDoc"))</f>
        <v>ModDoc</v>
      </c>
      <c r="G30" s="150" t="str">
        <f t="shared" si="0"/>
        <v>TMGR8</v>
      </c>
      <c r="H30" s="150">
        <f t="shared" si="1"/>
        <v>0</v>
      </c>
      <c r="I30" s="150">
        <f>IF(_xlfn.XLOOKUP(G30,Korrelation!$A$4:$A$723,Korrelation!$B$4:$B$723,0,0)=0,0,MATCH(_xlfn.XLOOKUP(G30,Korrelation!$A$4:$A$723,Korrelation!$B$4:$B$723,0,0),DMAV_Doku!$H$6:$H$483,0))</f>
        <v>28</v>
      </c>
      <c r="J30" s="158"/>
      <c r="K30" s="161"/>
      <c r="L30" s="161"/>
      <c r="M30" s="158"/>
      <c r="N30" s="51" t="s">
        <v>929</v>
      </c>
      <c r="O30" s="51" t="s">
        <v>930</v>
      </c>
      <c r="Q30" s="51" t="s">
        <v>927</v>
      </c>
      <c r="R30" s="51" t="s">
        <v>59</v>
      </c>
      <c r="W30" s="52" t="s">
        <v>64</v>
      </c>
      <c r="AB30" s="51" t="s">
        <v>3924</v>
      </c>
      <c r="AC30" s="51" t="s">
        <v>3925</v>
      </c>
      <c r="AE30" s="51" t="s">
        <v>927</v>
      </c>
      <c r="AF30" s="51" t="s">
        <v>723</v>
      </c>
      <c r="AK30" s="52" t="s">
        <v>726</v>
      </c>
      <c r="AP30" s="51" t="s">
        <v>3926</v>
      </c>
      <c r="AQ30" s="51" t="s">
        <v>3927</v>
      </c>
      <c r="AS30" s="51" t="s">
        <v>927</v>
      </c>
      <c r="AT30" s="51" t="s">
        <v>1272</v>
      </c>
      <c r="AY30" s="52" t="s">
        <v>726</v>
      </c>
    </row>
    <row r="31" spans="1:53" x14ac:dyDescent="0.25">
      <c r="A31" s="51" t="s">
        <v>3797</v>
      </c>
      <c r="B31" s="51">
        <v>9</v>
      </c>
      <c r="E31" s="54" t="str" cm="1">
        <f t="array" aca="1" ref="E31" ca="1">IF(H31=0,"",HYPERLINK("#"&amp;RIGHT(CELL("dateiname"),LEN(CELL("dateiname"))-FIND("]",CELL("dateiname")))&amp;"!"&amp;CELL("adresse",OFFSET($Q$6,H31-1,0)),"Definition"))</f>
        <v/>
      </c>
      <c r="F31" s="54" t="str" cm="1">
        <f t="array" aca="1" ref="F31" ca="1">IF(I31=0,"",HYPERLINK("#"&amp;RIGHT(CELL("adresse",OFFSET(DMAV_Doku!$B$6,I31-1,0)),LEN(CELL("adresse",OFFSET(DMAV_Doku!$B$6,I31-1,0)))-SEARCH("]",CELL("adresse",OFFSET(DMAV_Doku!$B$6,I31-1,0)))),"ModDoc"))</f>
        <v>ModDoc</v>
      </c>
      <c r="G31" s="150" t="str">
        <f t="shared" si="0"/>
        <v>TMGR9</v>
      </c>
      <c r="H31" s="150">
        <f t="shared" si="1"/>
        <v>0</v>
      </c>
      <c r="I31" s="150">
        <f>IF(_xlfn.XLOOKUP(G31,Korrelation!$A$4:$A$723,Korrelation!$B$4:$B$723,0,0)=0,0,MATCH(_xlfn.XLOOKUP(G31,Korrelation!$A$4:$A$723,Korrelation!$B$4:$B$723,0,0),DMAV_Doku!$H$6:$H$483,0))</f>
        <v>32</v>
      </c>
      <c r="J31" s="158"/>
      <c r="K31" s="161"/>
      <c r="L31" s="161"/>
      <c r="M31" s="158"/>
      <c r="N31" s="51" t="s">
        <v>929</v>
      </c>
      <c r="O31" s="51" t="s">
        <v>930</v>
      </c>
      <c r="Q31" s="51" t="s">
        <v>1067</v>
      </c>
      <c r="R31" s="51" t="s">
        <v>77</v>
      </c>
      <c r="S31" s="50" t="s">
        <v>950</v>
      </c>
      <c r="U31" s="52" t="s">
        <v>68</v>
      </c>
      <c r="W31" s="52" t="s">
        <v>952</v>
      </c>
      <c r="AB31" s="51" t="s">
        <v>3924</v>
      </c>
      <c r="AC31" s="51" t="s">
        <v>3925</v>
      </c>
      <c r="AE31" s="51" t="s">
        <v>1067</v>
      </c>
      <c r="AF31" s="51" t="s">
        <v>729</v>
      </c>
      <c r="AG31" s="50" t="s">
        <v>950</v>
      </c>
      <c r="AI31" s="52" t="s">
        <v>68</v>
      </c>
      <c r="AK31" s="52" t="s">
        <v>952</v>
      </c>
      <c r="AP31" s="51" t="s">
        <v>3926</v>
      </c>
      <c r="AQ31" s="51" t="s">
        <v>3927</v>
      </c>
      <c r="AS31" s="51" t="s">
        <v>1067</v>
      </c>
      <c r="AT31" s="51" t="s">
        <v>3933</v>
      </c>
      <c r="AU31" s="50" t="s">
        <v>950</v>
      </c>
      <c r="AW31" s="52" t="s">
        <v>3934</v>
      </c>
      <c r="AY31" s="52" t="s">
        <v>952</v>
      </c>
    </row>
    <row r="32" spans="1:53" x14ac:dyDescent="0.25">
      <c r="A32" s="51" t="s">
        <v>3797</v>
      </c>
      <c r="B32" s="51">
        <v>10</v>
      </c>
      <c r="C32" s="51" t="s">
        <v>3826</v>
      </c>
      <c r="E32" s="54" t="str" cm="1">
        <f t="array" aca="1" ref="E32" ca="1">IF(H32=0,"",HYPERLINK("#"&amp;RIGHT(CELL("dateiname"),LEN(CELL("dateiname"))-FIND("]",CELL("dateiname")))&amp;"!"&amp;CELL("adresse",OFFSET($Q$6,H32-1,0)),"Definition"))</f>
        <v>Definition</v>
      </c>
      <c r="F32" s="54" t="str" cm="1">
        <f t="array" aca="1" ref="F32" ca="1">IF(I32=0,"",HYPERLINK("#"&amp;RIGHT(CELL("adresse",OFFSET(DMAV_Doku!$B$6,I32-1,0)),LEN(CELL("adresse",OFFSET(DMAV_Doku!$B$6,I32-1,0)))-SEARCH("]",CELL("adresse",OFFSET(DMAV_Doku!$B$6,I32-1,0)))),"ModDoc"))</f>
        <v>ModDoc</v>
      </c>
      <c r="G32" s="150" t="str">
        <f t="shared" si="0"/>
        <v>TMGR10</v>
      </c>
      <c r="H32" s="150">
        <f t="shared" si="1"/>
        <v>20</v>
      </c>
      <c r="I32" s="150">
        <f>IF(_xlfn.XLOOKUP(G32,Korrelation!$A$4:$A$723,Korrelation!$B$4:$B$723,0,0)=0,0,MATCH(_xlfn.XLOOKUP(G32,Korrelation!$A$4:$A$723,Korrelation!$B$4:$B$723,0,0),DMAV_Doku!$H$6:$H$483,0))</f>
        <v>33</v>
      </c>
      <c r="J32" s="158"/>
      <c r="K32" s="161"/>
      <c r="L32" s="161"/>
      <c r="M32" s="158"/>
      <c r="N32" s="51" t="s">
        <v>929</v>
      </c>
      <c r="O32" s="51" t="s">
        <v>930</v>
      </c>
      <c r="Q32" s="51" t="s">
        <v>1067</v>
      </c>
      <c r="R32" s="51" t="s">
        <v>77</v>
      </c>
      <c r="U32" s="52" t="s">
        <v>71</v>
      </c>
      <c r="W32" s="52" t="s">
        <v>933</v>
      </c>
      <c r="AB32" s="51" t="s">
        <v>3924</v>
      </c>
      <c r="AC32" s="51" t="s">
        <v>3925</v>
      </c>
      <c r="AE32" s="51" t="s">
        <v>1067</v>
      </c>
      <c r="AF32" s="51" t="s">
        <v>729</v>
      </c>
      <c r="AI32" s="52" t="s">
        <v>728</v>
      </c>
      <c r="AK32" s="52" t="s">
        <v>933</v>
      </c>
      <c r="AP32" s="51" t="s">
        <v>3926</v>
      </c>
      <c r="AQ32" s="51" t="s">
        <v>3927</v>
      </c>
      <c r="AS32" s="51" t="s">
        <v>1067</v>
      </c>
      <c r="AT32" s="51" t="s">
        <v>3933</v>
      </c>
      <c r="AW32" s="52" t="s">
        <v>3935</v>
      </c>
      <c r="AY32" s="52" t="s">
        <v>1216</v>
      </c>
    </row>
    <row r="33" spans="1:51" x14ac:dyDescent="0.25">
      <c r="A33" s="51" t="s">
        <v>3797</v>
      </c>
      <c r="B33" s="51">
        <v>11</v>
      </c>
      <c r="C33" s="51" t="s">
        <v>3827</v>
      </c>
      <c r="E33" s="54" t="str" cm="1">
        <f t="array" aca="1" ref="E33" ca="1">IF(H33=0,"",HYPERLINK("#"&amp;RIGHT(CELL("dateiname"),LEN(CELL("dateiname"))-FIND("]",CELL("dateiname")))&amp;"!"&amp;CELL("adresse",OFFSET($Q$6,H33-1,0)),"Definition"))</f>
        <v>Definition</v>
      </c>
      <c r="F33" s="54" t="str" cm="1">
        <f t="array" aca="1" ref="F33" ca="1">IF(I33=0,"",HYPERLINK("#"&amp;RIGHT(CELL("adresse",OFFSET(DMAV_Doku!$B$6,I33-1,0)),LEN(CELL("adresse",OFFSET(DMAV_Doku!$B$6,I33-1,0)))-SEARCH("]",CELL("adresse",OFFSET(DMAV_Doku!$B$6,I33-1,0)))),"ModDoc"))</f>
        <v>ModDoc</v>
      </c>
      <c r="G33" s="150" t="str">
        <f t="shared" si="0"/>
        <v>TMGR11</v>
      </c>
      <c r="H33" s="150">
        <f t="shared" si="1"/>
        <v>21</v>
      </c>
      <c r="I33" s="150">
        <f>IF(_xlfn.XLOOKUP(G33,Korrelation!$A$4:$A$723,Korrelation!$B$4:$B$723,0,0)=0,0,MATCH(_xlfn.XLOOKUP(G33,Korrelation!$A$4:$A$723,Korrelation!$B$4:$B$723,0,0),DMAV_Doku!$H$6:$H$483,0))</f>
        <v>34</v>
      </c>
      <c r="J33" s="158"/>
      <c r="K33" s="161"/>
      <c r="L33" s="161"/>
      <c r="M33" s="158"/>
      <c r="N33" s="51" t="s">
        <v>929</v>
      </c>
      <c r="O33" s="51" t="s">
        <v>930</v>
      </c>
      <c r="Q33" s="51" t="s">
        <v>1067</v>
      </c>
      <c r="R33" s="51" t="s">
        <v>77</v>
      </c>
      <c r="U33" s="52" t="s">
        <v>56</v>
      </c>
      <c r="W33" s="52" t="s">
        <v>56</v>
      </c>
      <c r="AB33" s="51" t="s">
        <v>3924</v>
      </c>
      <c r="AC33" s="51" t="s">
        <v>3925</v>
      </c>
      <c r="AE33" s="51" t="s">
        <v>1067</v>
      </c>
      <c r="AF33" s="51" t="s">
        <v>729</v>
      </c>
      <c r="AI33" s="52" t="s">
        <v>720</v>
      </c>
      <c r="AK33" s="52" t="s">
        <v>720</v>
      </c>
      <c r="AP33" s="51" t="s">
        <v>3926</v>
      </c>
      <c r="AQ33" s="51" t="s">
        <v>3927</v>
      </c>
      <c r="AS33" s="51" t="s">
        <v>1067</v>
      </c>
      <c r="AT33" s="51" t="s">
        <v>3933</v>
      </c>
      <c r="AW33" s="52" t="s">
        <v>3928</v>
      </c>
      <c r="AY33" s="52" t="s">
        <v>3928</v>
      </c>
    </row>
    <row r="34" spans="1:51" x14ac:dyDescent="0.25">
      <c r="A34" s="51" t="s">
        <v>3797</v>
      </c>
      <c r="B34" s="51">
        <v>12</v>
      </c>
      <c r="C34" s="51" t="s">
        <v>3828</v>
      </c>
      <c r="E34" s="54" t="str" cm="1">
        <f t="array" aca="1" ref="E34" ca="1">IF(H34=0,"",HYPERLINK("#"&amp;RIGHT(CELL("dateiname"),LEN(CELL("dateiname"))-FIND("]",CELL("dateiname")))&amp;"!"&amp;CELL("adresse",OFFSET($Q$6,H34-1,0)),"Definition"))</f>
        <v>Definition</v>
      </c>
      <c r="F34" s="54" t="str" cm="1">
        <f t="array" aca="1" ref="F34" ca="1">IF(I34=0,"",HYPERLINK("#"&amp;RIGHT(CELL("adresse",OFFSET(DMAV_Doku!$B$6,I34-1,0)),LEN(CELL("adresse",OFFSET(DMAV_Doku!$B$6,I34-1,0)))-SEARCH("]",CELL("adresse",OFFSET(DMAV_Doku!$B$6,I34-1,0)))),"ModDoc"))</f>
        <v>ModDoc</v>
      </c>
      <c r="G34" s="150" t="str">
        <f t="shared" si="0"/>
        <v>TMGR12</v>
      </c>
      <c r="H34" s="150">
        <f t="shared" si="1"/>
        <v>23</v>
      </c>
      <c r="I34" s="150">
        <f>IF(_xlfn.XLOOKUP(G34,Korrelation!$A$4:$A$723,Korrelation!$B$4:$B$723,0,0)=0,0,MATCH(_xlfn.XLOOKUP(G34,Korrelation!$A$4:$A$723,Korrelation!$B$4:$B$723,0,0),DMAV_Doku!$H$6:$H$483,0))</f>
        <v>35</v>
      </c>
      <c r="J34" s="158"/>
      <c r="K34" s="161"/>
      <c r="L34" s="161"/>
      <c r="M34" s="158"/>
      <c r="N34" s="51" t="s">
        <v>929</v>
      </c>
      <c r="O34" s="51" t="s">
        <v>930</v>
      </c>
      <c r="Q34" s="51" t="s">
        <v>1067</v>
      </c>
      <c r="R34" s="51" t="s">
        <v>77</v>
      </c>
      <c r="U34" s="52" t="s">
        <v>81</v>
      </c>
      <c r="W34" s="52" t="s">
        <v>59</v>
      </c>
      <c r="AB34" s="51" t="s">
        <v>3924</v>
      </c>
      <c r="AC34" s="51" t="s">
        <v>3925</v>
      </c>
      <c r="AE34" s="51" t="s">
        <v>1067</v>
      </c>
      <c r="AF34" s="51" t="s">
        <v>729</v>
      </c>
      <c r="AI34" s="52" t="s">
        <v>3936</v>
      </c>
      <c r="AK34" s="52" t="s">
        <v>723</v>
      </c>
      <c r="AP34" s="51" t="s">
        <v>3926</v>
      </c>
      <c r="AQ34" s="51" t="s">
        <v>3927</v>
      </c>
      <c r="AS34" s="51" t="s">
        <v>1067</v>
      </c>
      <c r="AT34" s="51" t="s">
        <v>3933</v>
      </c>
      <c r="AW34" s="52" t="s">
        <v>3937</v>
      </c>
      <c r="AY34" s="52" t="s">
        <v>1272</v>
      </c>
    </row>
    <row r="35" spans="1:51" x14ac:dyDescent="0.25">
      <c r="A35" s="51" t="s">
        <v>3797</v>
      </c>
      <c r="B35" s="51">
        <v>13</v>
      </c>
      <c r="E35" s="54" t="str" cm="1">
        <f t="array" aca="1" ref="E35" ca="1">IF(H35=0,"",HYPERLINK("#"&amp;RIGHT(CELL("dateiname"),LEN(CELL("dateiname"))-FIND("]",CELL("dateiname")))&amp;"!"&amp;CELL("adresse",OFFSET($Q$6,H35-1,0)),"Definition"))</f>
        <v/>
      </c>
      <c r="F35" s="54" t="str" cm="1">
        <f t="array" aca="1" ref="F35" ca="1">IF(I35=0,"",HYPERLINK("#"&amp;RIGHT(CELL("adresse",OFFSET(DMAV_Doku!$B$6,I35-1,0)),LEN(CELL("adresse",OFFSET(DMAV_Doku!$B$6,I35-1,0)))-SEARCH("]",CELL("adresse",OFFSET(DMAV_Doku!$B$6,I35-1,0)))),"ModDoc"))</f>
        <v>ModDoc</v>
      </c>
      <c r="G35" s="150" t="str">
        <f t="shared" si="0"/>
        <v>TMGR13</v>
      </c>
      <c r="H35" s="150">
        <f t="shared" si="1"/>
        <v>0</v>
      </c>
      <c r="I35" s="150">
        <f>IF(_xlfn.XLOOKUP(G35,Korrelation!$A$4:$A$723,Korrelation!$B$4:$B$723,0,0)=0,0,MATCH(_xlfn.XLOOKUP(G35,Korrelation!$A$4:$A$723,Korrelation!$B$4:$B$723,0,0),DMAV_Doku!$H$6:$H$483,0))</f>
        <v>36</v>
      </c>
      <c r="J35" s="158"/>
      <c r="K35" s="161"/>
      <c r="L35" s="161"/>
      <c r="M35" s="158"/>
      <c r="N35" s="51" t="s">
        <v>929</v>
      </c>
      <c r="O35" s="51" t="s">
        <v>930</v>
      </c>
      <c r="Q35" s="51" t="s">
        <v>1067</v>
      </c>
      <c r="R35" s="51" t="s">
        <v>77</v>
      </c>
      <c r="U35" s="52" t="s">
        <v>84</v>
      </c>
      <c r="W35" s="52" t="s">
        <v>1199</v>
      </c>
      <c r="AB35" s="51" t="s">
        <v>3924</v>
      </c>
      <c r="AC35" s="51" t="s">
        <v>3925</v>
      </c>
      <c r="AE35" s="51" t="s">
        <v>1067</v>
      </c>
      <c r="AF35" s="51" t="s">
        <v>729</v>
      </c>
      <c r="AI35" s="52" t="s">
        <v>730</v>
      </c>
      <c r="AK35" s="52" t="s">
        <v>1199</v>
      </c>
      <c r="AP35" s="51" t="s">
        <v>3926</v>
      </c>
      <c r="AQ35" s="51" t="s">
        <v>3927</v>
      </c>
      <c r="AS35" s="51" t="s">
        <v>1067</v>
      </c>
      <c r="AT35" s="51" t="s">
        <v>3933</v>
      </c>
      <c r="AW35" s="52" t="s">
        <v>3938</v>
      </c>
      <c r="AY35" s="52" t="s">
        <v>1199</v>
      </c>
    </row>
    <row r="36" spans="1:51" x14ac:dyDescent="0.25">
      <c r="A36" s="51" t="s">
        <v>3797</v>
      </c>
      <c r="B36" s="51">
        <v>14</v>
      </c>
      <c r="E36" s="54" t="str" cm="1">
        <f t="array" aca="1" ref="E36" ca="1">IF(H36=0,"",HYPERLINK("#"&amp;RIGHT(CELL("dateiname"),LEN(CELL("dateiname"))-FIND("]",CELL("dateiname")))&amp;"!"&amp;CELL("adresse",OFFSET($Q$6,H36-1,0)),"Definition"))</f>
        <v/>
      </c>
      <c r="F36" s="54" t="str" cm="1">
        <f t="array" aca="1" ref="F36" ca="1">IF(I36=0,"",HYPERLINK("#"&amp;RIGHT(CELL("adresse",OFFSET(DMAV_Doku!$B$6,I36-1,0)),LEN(CELL("adresse",OFFSET(DMAV_Doku!$B$6,I36-1,0)))-SEARCH("]",CELL("adresse",OFFSET(DMAV_Doku!$B$6,I36-1,0)))),"ModDoc"))</f>
        <v>ModDoc</v>
      </c>
      <c r="G36" s="150" t="str">
        <f t="shared" si="0"/>
        <v>TMGR14</v>
      </c>
      <c r="H36" s="150">
        <f t="shared" si="1"/>
        <v>0</v>
      </c>
      <c r="I36" s="150">
        <f>IF(_xlfn.XLOOKUP(G36,Korrelation!$A$4:$A$723,Korrelation!$B$4:$B$723,0,0)=0,0,MATCH(_xlfn.XLOOKUP(G36,Korrelation!$A$4:$A$723,Korrelation!$B$4:$B$723,0,0),DMAV_Doku!$H$6:$H$483,0))</f>
        <v>37</v>
      </c>
      <c r="J36" s="158"/>
      <c r="K36" s="161"/>
      <c r="L36" s="161"/>
      <c r="M36" s="158"/>
      <c r="N36" s="51" t="s">
        <v>929</v>
      </c>
      <c r="O36" s="51" t="s">
        <v>930</v>
      </c>
      <c r="Q36" s="51" t="s">
        <v>1067</v>
      </c>
      <c r="R36" s="51" t="s">
        <v>77</v>
      </c>
      <c r="U36" s="52" t="s">
        <v>88</v>
      </c>
      <c r="W36" s="52" t="s">
        <v>1200</v>
      </c>
      <c r="AB36" s="51" t="s">
        <v>3924</v>
      </c>
      <c r="AC36" s="51" t="s">
        <v>3925</v>
      </c>
      <c r="AE36" s="51" t="s">
        <v>1067</v>
      </c>
      <c r="AF36" s="51" t="s">
        <v>729</v>
      </c>
      <c r="AI36" s="52" t="s">
        <v>731</v>
      </c>
      <c r="AK36" s="52" t="s">
        <v>1200</v>
      </c>
      <c r="AP36" s="51" t="s">
        <v>3926</v>
      </c>
      <c r="AQ36" s="51" t="s">
        <v>3927</v>
      </c>
      <c r="AS36" s="51" t="s">
        <v>1067</v>
      </c>
      <c r="AT36" s="51" t="s">
        <v>3933</v>
      </c>
      <c r="AW36" s="52" t="s">
        <v>3939</v>
      </c>
      <c r="AY36" s="52" t="s">
        <v>1200</v>
      </c>
    </row>
    <row r="37" spans="1:51" x14ac:dyDescent="0.25">
      <c r="A37" s="51" t="s">
        <v>3797</v>
      </c>
      <c r="B37" s="51">
        <v>15</v>
      </c>
      <c r="E37" s="54" t="str" cm="1">
        <f t="array" aca="1" ref="E37" ca="1">IF(H37=0,"",HYPERLINK("#"&amp;RIGHT(CELL("dateiname"),LEN(CELL("dateiname"))-FIND("]",CELL("dateiname")))&amp;"!"&amp;CELL("adresse",OFFSET($Q$6,H37-1,0)),"Definition"))</f>
        <v/>
      </c>
      <c r="F37" s="54" t="str" cm="1">
        <f t="array" aca="1" ref="F37" ca="1">IF(I37=0,"",HYPERLINK("#"&amp;RIGHT(CELL("adresse",OFFSET(DMAV_Doku!$B$6,I37-1,0)),LEN(CELL("adresse",OFFSET(DMAV_Doku!$B$6,I37-1,0)))-SEARCH("]",CELL("adresse",OFFSET(DMAV_Doku!$B$6,I37-1,0)))),"ModDoc"))</f>
        <v>ModDoc</v>
      </c>
      <c r="G37" s="150" t="str">
        <f t="shared" si="0"/>
        <v>TMGR15</v>
      </c>
      <c r="H37" s="150">
        <f t="shared" si="1"/>
        <v>0</v>
      </c>
      <c r="I37" s="150">
        <f>IF(_xlfn.XLOOKUP(G37,Korrelation!$A$4:$A$723,Korrelation!$B$4:$B$723,0,0)=0,0,MATCH(_xlfn.XLOOKUP(G37,Korrelation!$A$4:$A$723,Korrelation!$B$4:$B$723,0,0),DMAV_Doku!$H$6:$H$483,0))</f>
        <v>38</v>
      </c>
      <c r="J37" s="158"/>
      <c r="K37" s="161"/>
      <c r="L37" s="161"/>
      <c r="M37" s="158"/>
      <c r="N37" s="51" t="s">
        <v>929</v>
      </c>
      <c r="O37" s="51" t="s">
        <v>930</v>
      </c>
      <c r="Q37" s="51" t="s">
        <v>1067</v>
      </c>
      <c r="R37" s="51" t="s">
        <v>77</v>
      </c>
      <c r="U37" s="52" t="s">
        <v>92</v>
      </c>
      <c r="W37" s="52" t="s">
        <v>1201</v>
      </c>
      <c r="AB37" s="51" t="s">
        <v>3924</v>
      </c>
      <c r="AC37" s="51" t="s">
        <v>3925</v>
      </c>
      <c r="AE37" s="51" t="s">
        <v>1067</v>
      </c>
      <c r="AF37" s="51" t="s">
        <v>729</v>
      </c>
      <c r="AI37" s="52" t="s">
        <v>732</v>
      </c>
      <c r="AK37" s="52" t="s">
        <v>1201</v>
      </c>
      <c r="AP37" s="51" t="s">
        <v>3926</v>
      </c>
      <c r="AQ37" s="51" t="s">
        <v>3927</v>
      </c>
      <c r="AS37" s="51" t="s">
        <v>1067</v>
      </c>
      <c r="AT37" s="51" t="s">
        <v>3933</v>
      </c>
      <c r="AW37" s="52" t="s">
        <v>3940</v>
      </c>
      <c r="AY37" s="52" t="s">
        <v>1201</v>
      </c>
    </row>
    <row r="38" spans="1:51" x14ac:dyDescent="0.25">
      <c r="A38" s="51" t="s">
        <v>3797</v>
      </c>
      <c r="B38" s="51">
        <v>16</v>
      </c>
      <c r="E38" s="54" t="str" cm="1">
        <f t="array" aca="1" ref="E38" ca="1">IF(H38=0,"",HYPERLINK("#"&amp;RIGHT(CELL("dateiname"),LEN(CELL("dateiname"))-FIND("]",CELL("dateiname")))&amp;"!"&amp;CELL("adresse",OFFSET($Q$6,H38-1,0)),"Definition"))</f>
        <v/>
      </c>
      <c r="F38" s="54" t="str" cm="1">
        <f t="array" aca="1" ref="F38" ca="1">IF(I38=0,"",HYPERLINK("#"&amp;RIGHT(CELL("adresse",OFFSET(DMAV_Doku!$B$6,I38-1,0)),LEN(CELL("adresse",OFFSET(DMAV_Doku!$B$6,I38-1,0)))-SEARCH("]",CELL("adresse",OFFSET(DMAV_Doku!$B$6,I38-1,0)))),"ModDoc"))</f>
        <v>ModDoc</v>
      </c>
      <c r="G38" s="150" t="str">
        <f t="shared" si="0"/>
        <v>TMGR16</v>
      </c>
      <c r="H38" s="150">
        <f t="shared" si="1"/>
        <v>0</v>
      </c>
      <c r="I38" s="150">
        <f>IF(_xlfn.XLOOKUP(G38,Korrelation!$A$4:$A$723,Korrelation!$B$4:$B$723,0,0)=0,0,MATCH(_xlfn.XLOOKUP(G38,Korrelation!$A$4:$A$723,Korrelation!$B$4:$B$723,0,0),DMAV_Doku!$H$6:$H$483,0))</f>
        <v>29</v>
      </c>
      <c r="J38" s="158"/>
      <c r="K38" s="161"/>
      <c r="L38" s="161"/>
      <c r="M38" s="158"/>
      <c r="N38" s="51" t="s">
        <v>929</v>
      </c>
      <c r="O38" s="51" t="s">
        <v>930</v>
      </c>
      <c r="Q38" s="51" t="s">
        <v>1067</v>
      </c>
      <c r="R38" s="51" t="s">
        <v>67</v>
      </c>
      <c r="S38" s="50" t="s">
        <v>950</v>
      </c>
      <c r="U38" s="52" t="s">
        <v>68</v>
      </c>
      <c r="W38" s="52" t="s">
        <v>952</v>
      </c>
      <c r="AB38" s="51" t="s">
        <v>3924</v>
      </c>
      <c r="AC38" s="51" t="s">
        <v>3925</v>
      </c>
      <c r="AE38" s="51" t="s">
        <v>1067</v>
      </c>
      <c r="AF38" s="51" t="s">
        <v>727</v>
      </c>
      <c r="AG38" s="50" t="s">
        <v>950</v>
      </c>
      <c r="AI38" s="52" t="s">
        <v>68</v>
      </c>
      <c r="AK38" s="52" t="s">
        <v>952</v>
      </c>
      <c r="AP38" s="51" t="s">
        <v>3926</v>
      </c>
      <c r="AQ38" s="51" t="s">
        <v>3927</v>
      </c>
      <c r="AS38" s="51" t="s">
        <v>1067</v>
      </c>
      <c r="AT38" s="51" t="s">
        <v>3941</v>
      </c>
      <c r="AU38" s="50" t="s">
        <v>950</v>
      </c>
      <c r="AW38" s="52" t="s">
        <v>3934</v>
      </c>
      <c r="AY38" s="52" t="s">
        <v>952</v>
      </c>
    </row>
    <row r="39" spans="1:51" x14ac:dyDescent="0.25">
      <c r="A39" s="51" t="s">
        <v>3797</v>
      </c>
      <c r="B39" s="51">
        <v>17</v>
      </c>
      <c r="C39" s="51" t="s">
        <v>3826</v>
      </c>
      <c r="E39" s="54" t="str" cm="1">
        <f t="array" aca="1" ref="E39" ca="1">IF(H39=0,"",HYPERLINK("#"&amp;RIGHT(CELL("dateiname"),LEN(CELL("dateiname"))-FIND("]",CELL("dateiname")))&amp;"!"&amp;CELL("adresse",OFFSET($Q$6,H39-1,0)),"Definition"))</f>
        <v>Definition</v>
      </c>
      <c r="F39" s="54" t="str" cm="1">
        <f t="array" aca="1" ref="F39" ca="1">IF(I39=0,"",HYPERLINK("#"&amp;RIGHT(CELL("adresse",OFFSET(DMAV_Doku!$B$6,I39-1,0)),LEN(CELL("adresse",OFFSET(DMAV_Doku!$B$6,I39-1,0)))-SEARCH("]",CELL("adresse",OFFSET(DMAV_Doku!$B$6,I39-1,0)))),"ModDoc"))</f>
        <v>ModDoc</v>
      </c>
      <c r="G39" s="150" t="str">
        <f t="shared" si="0"/>
        <v>TMGR17</v>
      </c>
      <c r="H39" s="150">
        <f t="shared" si="1"/>
        <v>20</v>
      </c>
      <c r="I39" s="150">
        <f>IF(_xlfn.XLOOKUP(G39,Korrelation!$A$4:$A$723,Korrelation!$B$4:$B$723,0,0)=0,0,MATCH(_xlfn.XLOOKUP(G39,Korrelation!$A$4:$A$723,Korrelation!$B$4:$B$723,0,0),DMAV_Doku!$H$6:$H$483,0))</f>
        <v>30</v>
      </c>
      <c r="J39" s="158"/>
      <c r="K39" s="161"/>
      <c r="L39" s="161"/>
      <c r="M39" s="158"/>
      <c r="N39" s="51" t="s">
        <v>929</v>
      </c>
      <c r="O39" s="51" t="s">
        <v>930</v>
      </c>
      <c r="Q39" s="51" t="s">
        <v>1067</v>
      </c>
      <c r="R39" s="51" t="s">
        <v>67</v>
      </c>
      <c r="U39" s="52" t="s">
        <v>71</v>
      </c>
      <c r="W39" s="52" t="s">
        <v>933</v>
      </c>
      <c r="AB39" s="51" t="s">
        <v>3924</v>
      </c>
      <c r="AC39" s="51" t="s">
        <v>3925</v>
      </c>
      <c r="AE39" s="51" t="s">
        <v>1067</v>
      </c>
      <c r="AF39" s="51" t="s">
        <v>727</v>
      </c>
      <c r="AI39" s="52" t="s">
        <v>728</v>
      </c>
      <c r="AK39" s="52" t="s">
        <v>933</v>
      </c>
      <c r="AP39" s="51" t="s">
        <v>3926</v>
      </c>
      <c r="AQ39" s="51" t="s">
        <v>3927</v>
      </c>
      <c r="AS39" s="51" t="s">
        <v>1067</v>
      </c>
      <c r="AT39" s="51" t="s">
        <v>3941</v>
      </c>
      <c r="AW39" s="52" t="s">
        <v>3935</v>
      </c>
      <c r="AY39" s="52" t="s">
        <v>1216</v>
      </c>
    </row>
    <row r="40" spans="1:51" x14ac:dyDescent="0.25">
      <c r="A40" s="51" t="s">
        <v>3797</v>
      </c>
      <c r="B40" s="51">
        <v>18</v>
      </c>
      <c r="C40" s="51" t="s">
        <v>3827</v>
      </c>
      <c r="E40" s="54" t="str" cm="1">
        <f t="array" aca="1" ref="E40" ca="1">IF(H40=0,"",HYPERLINK("#"&amp;RIGHT(CELL("dateiname"),LEN(CELL("dateiname"))-FIND("]",CELL("dateiname")))&amp;"!"&amp;CELL("adresse",OFFSET($Q$6,H40-1,0)),"Definition"))</f>
        <v>Definition</v>
      </c>
      <c r="F40" s="54" t="str" cm="1">
        <f t="array" aca="1" ref="F40" ca="1">IF(I40=0,"",HYPERLINK("#"&amp;RIGHT(CELL("adresse",OFFSET(DMAV_Doku!$B$6,I40-1,0)),LEN(CELL("adresse",OFFSET(DMAV_Doku!$B$6,I40-1,0)))-SEARCH("]",CELL("adresse",OFFSET(DMAV_Doku!$B$6,I40-1,0)))),"ModDoc"))</f>
        <v>ModDoc</v>
      </c>
      <c r="G40" s="150" t="str">
        <f t="shared" si="0"/>
        <v>TMGR18</v>
      </c>
      <c r="H40" s="150">
        <f t="shared" si="1"/>
        <v>21</v>
      </c>
      <c r="I40" s="150">
        <f>IF(_xlfn.XLOOKUP(G40,Korrelation!$A$4:$A$723,Korrelation!$B$4:$B$723,0,0)=0,0,MATCH(_xlfn.XLOOKUP(G40,Korrelation!$A$4:$A$723,Korrelation!$B$4:$B$723,0,0),DMAV_Doku!$H$6:$H$483,0))</f>
        <v>31</v>
      </c>
      <c r="J40" s="158"/>
      <c r="K40" s="161"/>
      <c r="L40" s="161"/>
      <c r="M40" s="158"/>
      <c r="N40" s="51" t="s">
        <v>929</v>
      </c>
      <c r="O40" s="51" t="s">
        <v>930</v>
      </c>
      <c r="Q40" s="51" t="s">
        <v>1067</v>
      </c>
      <c r="R40" s="51" t="s">
        <v>67</v>
      </c>
      <c r="U40" s="52" t="s">
        <v>56</v>
      </c>
      <c r="W40" s="52" t="s">
        <v>56</v>
      </c>
      <c r="AB40" s="51" t="s">
        <v>3924</v>
      </c>
      <c r="AC40" s="51" t="s">
        <v>3925</v>
      </c>
      <c r="AE40" s="51" t="s">
        <v>1067</v>
      </c>
      <c r="AF40" s="51" t="s">
        <v>727</v>
      </c>
      <c r="AI40" s="52" t="s">
        <v>720</v>
      </c>
      <c r="AK40" s="52" t="s">
        <v>720</v>
      </c>
      <c r="AP40" s="51" t="s">
        <v>3926</v>
      </c>
      <c r="AQ40" s="51" t="s">
        <v>3927</v>
      </c>
      <c r="AS40" s="51" t="s">
        <v>1067</v>
      </c>
      <c r="AT40" s="51" t="s">
        <v>3941</v>
      </c>
      <c r="AW40" s="52" t="s">
        <v>3928</v>
      </c>
      <c r="AY40" s="52" t="s">
        <v>3928</v>
      </c>
    </row>
    <row r="41" spans="1:51" x14ac:dyDescent="0.25">
      <c r="A41" s="51" t="s">
        <v>3798</v>
      </c>
      <c r="B41" s="51">
        <v>1</v>
      </c>
      <c r="E41" s="54" t="str" cm="1">
        <f t="array" aca="1" ref="E41" ca="1">IF(H41=0,"",HYPERLINK("#"&amp;RIGHT(CELL("dateiname"),LEN(CELL("dateiname"))-FIND("]",CELL("dateiname")))&amp;"!"&amp;CELL("adresse",OFFSET($Q$6,H41-1,0)),"Definition"))</f>
        <v/>
      </c>
      <c r="F41" s="54" t="str" cm="1">
        <f t="array" aca="1" ref="F41" ca="1">IF(I41=0,"",HYPERLINK("#"&amp;RIGHT(CELL("adresse",OFFSET(DMAV_Doku!$B$6,I41-1,0)),LEN(CELL("adresse",OFFSET(DMAV_Doku!$B$6,I41-1,0)))-SEARCH("]",CELL("adresse",OFFSET(DMAV_Doku!$B$6,I41-1,0)))),"ModDoc"))</f>
        <v/>
      </c>
      <c r="G41" s="150" t="str">
        <f t="shared" si="0"/>
        <v>TMMI1</v>
      </c>
      <c r="H41" s="150">
        <f t="shared" si="1"/>
        <v>0</v>
      </c>
      <c r="I41" s="150">
        <f>IF(_xlfn.XLOOKUP(G41,Korrelation!$A$4:$A$723,Korrelation!$B$4:$B$723,0,0)=0,0,MATCH(_xlfn.XLOOKUP(G41,Korrelation!$A$4:$A$723,Korrelation!$B$4:$B$723,0,0),DMAV_Doku!$H$6:$H$483,0))</f>
        <v>0</v>
      </c>
      <c r="J41" s="158"/>
      <c r="K41" s="161"/>
      <c r="L41" s="161"/>
      <c r="M41" s="158"/>
      <c r="N41" s="51" t="s">
        <v>935</v>
      </c>
      <c r="O41" s="51" t="s">
        <v>936</v>
      </c>
      <c r="Q41" s="51" t="s">
        <v>927</v>
      </c>
      <c r="R41" s="51" t="s">
        <v>393</v>
      </c>
      <c r="W41" s="52" t="s">
        <v>394</v>
      </c>
      <c r="AB41" s="51" t="s">
        <v>3942</v>
      </c>
      <c r="AC41" s="51" t="s">
        <v>3943</v>
      </c>
      <c r="AE41" s="51" t="s">
        <v>927</v>
      </c>
      <c r="AF41" s="51" t="s">
        <v>814</v>
      </c>
      <c r="AK41" s="52" t="s">
        <v>815</v>
      </c>
      <c r="AP41" s="51" t="s">
        <v>3944</v>
      </c>
      <c r="AQ41" s="51" t="s">
        <v>3945</v>
      </c>
      <c r="AS41" s="51" t="s">
        <v>927</v>
      </c>
      <c r="AT41" s="51" t="s">
        <v>3946</v>
      </c>
      <c r="AY41" s="52" t="s">
        <v>2674</v>
      </c>
    </row>
    <row r="42" spans="1:51" x14ac:dyDescent="0.25">
      <c r="A42" s="51" t="s">
        <v>3798</v>
      </c>
      <c r="B42" s="51">
        <v>2</v>
      </c>
      <c r="E42" s="54" t="str" cm="1">
        <f t="array" aca="1" ref="E42" ca="1">IF(H42=0,"",HYPERLINK("#"&amp;RIGHT(CELL("dateiname"),LEN(CELL("dateiname"))-FIND("]",CELL("dateiname")))&amp;"!"&amp;CELL("adresse",OFFSET($Q$6,H42-1,0)),"Definition"))</f>
        <v/>
      </c>
      <c r="F42" s="54" t="str" cm="1">
        <f t="array" aca="1" ref="F42" ca="1">IF(I42=0,"",HYPERLINK("#"&amp;RIGHT(CELL("adresse",OFFSET(DMAV_Doku!$B$6,I42-1,0)),LEN(CELL("adresse",OFFSET(DMAV_Doku!$B$6,I42-1,0)))-SEARCH("]",CELL("adresse",OFFSET(DMAV_Doku!$B$6,I42-1,0)))),"ModDoc"))</f>
        <v/>
      </c>
      <c r="G42" s="150" t="str">
        <f t="shared" si="0"/>
        <v>TMMI2</v>
      </c>
      <c r="H42" s="150">
        <f t="shared" si="1"/>
        <v>0</v>
      </c>
      <c r="I42" s="150">
        <f>IF(_xlfn.XLOOKUP(G42,Korrelation!$A$4:$A$723,Korrelation!$B$4:$B$723,0,0)=0,0,MATCH(_xlfn.XLOOKUP(G42,Korrelation!$A$4:$A$723,Korrelation!$B$4:$B$723,0,0),DMAV_Doku!$H$6:$H$483,0))</f>
        <v>0</v>
      </c>
      <c r="J42" s="158"/>
      <c r="K42" s="161"/>
      <c r="L42" s="161"/>
      <c r="M42" s="158"/>
      <c r="N42" s="51" t="s">
        <v>935</v>
      </c>
      <c r="O42" s="51" t="s">
        <v>936</v>
      </c>
      <c r="Q42" s="51" t="s">
        <v>927</v>
      </c>
      <c r="R42" s="51" t="s">
        <v>393</v>
      </c>
      <c r="W42" s="52" t="s">
        <v>396</v>
      </c>
      <c r="AB42" s="51" t="s">
        <v>3942</v>
      </c>
      <c r="AC42" s="51" t="s">
        <v>3943</v>
      </c>
      <c r="AE42" s="51" t="s">
        <v>927</v>
      </c>
      <c r="AF42" s="51" t="s">
        <v>814</v>
      </c>
      <c r="AK42" s="52" t="s">
        <v>816</v>
      </c>
      <c r="AP42" s="51" t="s">
        <v>3944</v>
      </c>
      <c r="AQ42" s="51" t="s">
        <v>3945</v>
      </c>
      <c r="AS42" s="51" t="s">
        <v>927</v>
      </c>
      <c r="AT42" s="51" t="s">
        <v>3946</v>
      </c>
      <c r="AY42" s="52" t="s">
        <v>2670</v>
      </c>
    </row>
    <row r="43" spans="1:51" x14ac:dyDescent="0.25">
      <c r="A43" s="51" t="s">
        <v>3798</v>
      </c>
      <c r="B43" s="51">
        <v>3</v>
      </c>
      <c r="E43" s="54" t="str" cm="1">
        <f t="array" aca="1" ref="E43" ca="1">IF(H43=0,"",HYPERLINK("#"&amp;RIGHT(CELL("dateiname"),LEN(CELL("dateiname"))-FIND("]",CELL("dateiname")))&amp;"!"&amp;CELL("adresse",OFFSET($Q$6,H43-1,0)),"Definition"))</f>
        <v/>
      </c>
      <c r="F43" s="54" t="str" cm="1">
        <f t="array" aca="1" ref="F43" ca="1">IF(I43=0,"",HYPERLINK("#"&amp;RIGHT(CELL("adresse",OFFSET(DMAV_Doku!$B$6,I43-1,0)),LEN(CELL("adresse",OFFSET(DMAV_Doku!$B$6,I43-1,0)))-SEARCH("]",CELL("adresse",OFFSET(DMAV_Doku!$B$6,I43-1,0)))),"ModDoc"))</f>
        <v/>
      </c>
      <c r="G43" s="150" t="str">
        <f t="shared" si="0"/>
        <v>TMMI3</v>
      </c>
      <c r="H43" s="150">
        <f t="shared" si="1"/>
        <v>0</v>
      </c>
      <c r="I43" s="150">
        <f>IF(_xlfn.XLOOKUP(G43,Korrelation!$A$4:$A$723,Korrelation!$B$4:$B$723,0,0)=0,0,MATCH(_xlfn.XLOOKUP(G43,Korrelation!$A$4:$A$723,Korrelation!$B$4:$B$723,0,0),DMAV_Doku!$H$6:$H$483,0))</f>
        <v>0</v>
      </c>
      <c r="J43" s="158"/>
      <c r="K43" s="161"/>
      <c r="L43" s="161"/>
      <c r="M43" s="158"/>
      <c r="N43" s="51" t="s">
        <v>935</v>
      </c>
      <c r="O43" s="51" t="s">
        <v>936</v>
      </c>
      <c r="Q43" s="51" t="s">
        <v>927</v>
      </c>
      <c r="R43" s="51" t="s">
        <v>393</v>
      </c>
      <c r="W43" s="52" t="s">
        <v>398</v>
      </c>
      <c r="AB43" s="51" t="s">
        <v>3942</v>
      </c>
      <c r="AC43" s="51" t="s">
        <v>3943</v>
      </c>
      <c r="AE43" s="51" t="s">
        <v>927</v>
      </c>
      <c r="AF43" s="51" t="s">
        <v>814</v>
      </c>
      <c r="AK43" s="52" t="s">
        <v>817</v>
      </c>
      <c r="AP43" s="51" t="s">
        <v>3944</v>
      </c>
      <c r="AQ43" s="51" t="s">
        <v>3945</v>
      </c>
      <c r="AS43" s="51" t="s">
        <v>927</v>
      </c>
      <c r="AT43" s="51" t="s">
        <v>3946</v>
      </c>
      <c r="AY43" s="52" t="s">
        <v>2666</v>
      </c>
    </row>
    <row r="44" spans="1:51" x14ac:dyDescent="0.25">
      <c r="A44" s="51" t="s">
        <v>3799</v>
      </c>
      <c r="B44" s="51">
        <v>1</v>
      </c>
      <c r="E44" s="54" t="str" cm="1">
        <f t="array" aca="1" ref="E44" ca="1">IF(H44=0,"",HYPERLINK("#"&amp;RIGHT(CELL("dateiname"),LEN(CELL("dateiname"))-FIND("]",CELL("dateiname")))&amp;"!"&amp;CELL("adresse",OFFSET($Q$6,H44-1,0)),"Definition"))</f>
        <v/>
      </c>
      <c r="F44" s="54" t="str" cm="1">
        <f t="array" aca="1" ref="F44" ca="1">IF(I44=0,"",HYPERLINK("#"&amp;RIGHT(CELL("adresse",OFFSET(DMAV_Doku!$B$6,I44-1,0)),LEN(CELL("adresse",OFFSET(DMAV_Doku!$B$6,I44-1,0)))-SEARCH("]",CELL("adresse",OFFSET(DMAV_Doku!$B$6,I44-1,0)))),"ModDoc"))</f>
        <v/>
      </c>
      <c r="G44" s="150" t="str">
        <f t="shared" si="0"/>
        <v>TMQU1</v>
      </c>
      <c r="H44" s="150">
        <f t="shared" si="1"/>
        <v>0</v>
      </c>
      <c r="I44" s="150">
        <f>IF(_xlfn.XLOOKUP(G44,Korrelation!$A$4:$A$723,Korrelation!$B$4:$B$723,0,0)=0,0,MATCH(_xlfn.XLOOKUP(G44,Korrelation!$A$4:$A$723,Korrelation!$B$4:$B$723,0,0),DMAV_Doku!$H$6:$H$483,0))</f>
        <v>0</v>
      </c>
      <c r="J44" s="158"/>
      <c r="K44" s="161"/>
      <c r="L44" s="161"/>
      <c r="M44" s="158"/>
      <c r="N44" s="51" t="s">
        <v>937</v>
      </c>
      <c r="O44" s="51" t="s">
        <v>938</v>
      </c>
      <c r="Q44" s="51" t="s">
        <v>910</v>
      </c>
      <c r="R44" s="51" t="s">
        <v>931</v>
      </c>
      <c r="W44" s="52"/>
      <c r="AB44" s="51" t="s">
        <v>3947</v>
      </c>
      <c r="AC44" s="51" t="s">
        <v>3948</v>
      </c>
      <c r="AE44" s="51" t="s">
        <v>910</v>
      </c>
      <c r="AF44" s="51" t="s">
        <v>931</v>
      </c>
      <c r="AP44" s="51" t="s">
        <v>3949</v>
      </c>
      <c r="AQ44" s="51" t="s">
        <v>3950</v>
      </c>
      <c r="AS44" s="51" t="s">
        <v>910</v>
      </c>
      <c r="AT44" s="51" t="s">
        <v>931</v>
      </c>
    </row>
    <row r="45" spans="1:51" x14ac:dyDescent="0.25">
      <c r="A45" s="51" t="s">
        <v>3799</v>
      </c>
      <c r="B45" s="51">
        <v>2</v>
      </c>
      <c r="E45" s="54" t="str" cm="1">
        <f t="array" aca="1" ref="E45" ca="1">IF(H45=0,"",HYPERLINK("#"&amp;RIGHT(CELL("dateiname"),LEN(CELL("dateiname"))-FIND("]",CELL("dateiname")))&amp;"!"&amp;CELL("adresse",OFFSET($Q$6,H45-1,0)),"Definition"))</f>
        <v/>
      </c>
      <c r="F45" s="54" t="str" cm="1">
        <f t="array" aca="1" ref="F45" ca="1">IF(I45=0,"",HYPERLINK("#"&amp;RIGHT(CELL("adresse",OFFSET(DMAV_Doku!$B$6,I45-1,0)),LEN(CELL("adresse",OFFSET(DMAV_Doku!$B$6,I45-1,0)))-SEARCH("]",CELL("adresse",OFFSET(DMAV_Doku!$B$6,I45-1,0)))),"ModDoc"))</f>
        <v/>
      </c>
      <c r="G45" s="150" t="str">
        <f t="shared" si="0"/>
        <v>TMQU2</v>
      </c>
      <c r="H45" s="150">
        <f t="shared" si="1"/>
        <v>0</v>
      </c>
      <c r="I45" s="150">
        <f>IF(_xlfn.XLOOKUP(G45,Korrelation!$A$4:$A$723,Korrelation!$B$4:$B$723,0,0)=0,0,MATCH(_xlfn.XLOOKUP(G45,Korrelation!$A$4:$A$723,Korrelation!$B$4:$B$723,0,0),DMAV_Doku!$H$6:$H$483,0))</f>
        <v>0</v>
      </c>
      <c r="J45" s="158"/>
      <c r="K45" s="161"/>
      <c r="L45" s="161"/>
      <c r="M45" s="158"/>
      <c r="N45" s="51" t="s">
        <v>937</v>
      </c>
      <c r="O45" s="51" t="s">
        <v>938</v>
      </c>
      <c r="Q45" s="51" t="s">
        <v>927</v>
      </c>
      <c r="R45" s="51" t="s">
        <v>939</v>
      </c>
      <c r="W45" s="52" t="s">
        <v>940</v>
      </c>
      <c r="AB45" s="51" t="s">
        <v>3947</v>
      </c>
      <c r="AC45" s="51" t="s">
        <v>3948</v>
      </c>
      <c r="AE45" s="51" t="s">
        <v>927</v>
      </c>
      <c r="AF45" s="51" t="s">
        <v>1854</v>
      </c>
      <c r="AK45" s="52" t="s">
        <v>940</v>
      </c>
      <c r="AP45" s="51" t="s">
        <v>3949</v>
      </c>
      <c r="AQ45" s="51" t="s">
        <v>3950</v>
      </c>
      <c r="AS45" s="51" t="s">
        <v>927</v>
      </c>
      <c r="AT45" s="51" t="s">
        <v>1852</v>
      </c>
      <c r="AY45" s="52" t="s">
        <v>940</v>
      </c>
    </row>
    <row r="46" spans="1:51" x14ac:dyDescent="0.25">
      <c r="A46" s="51" t="s">
        <v>3799</v>
      </c>
      <c r="B46" s="51">
        <v>3</v>
      </c>
      <c r="E46" s="54" t="str" cm="1">
        <f t="array" aca="1" ref="E46" ca="1">IF(H46=0,"",HYPERLINK("#"&amp;RIGHT(CELL("dateiname"),LEN(CELL("dateiname"))-FIND("]",CELL("dateiname")))&amp;"!"&amp;CELL("adresse",OFFSET($Q$6,H46-1,0)),"Definition"))</f>
        <v/>
      </c>
      <c r="F46" s="54" t="str" cm="1">
        <f t="array" aca="1" ref="F46" ca="1">IF(I46=0,"",HYPERLINK("#"&amp;RIGHT(CELL("adresse",OFFSET(DMAV_Doku!$B$6,I46-1,0)),LEN(CELL("adresse",OFFSET(DMAV_Doku!$B$6,I46-1,0)))-SEARCH("]",CELL("adresse",OFFSET(DMAV_Doku!$B$6,I46-1,0)))),"ModDoc"))</f>
        <v/>
      </c>
      <c r="G46" s="150" t="str">
        <f t="shared" si="0"/>
        <v>TMQU3</v>
      </c>
      <c r="H46" s="150">
        <f t="shared" si="1"/>
        <v>0</v>
      </c>
      <c r="I46" s="150">
        <f>IF(_xlfn.XLOOKUP(G46,Korrelation!$A$4:$A$723,Korrelation!$B$4:$B$723,0,0)=0,0,MATCH(_xlfn.XLOOKUP(G46,Korrelation!$A$4:$A$723,Korrelation!$B$4:$B$723,0,0),DMAV_Doku!$H$6:$H$483,0))</f>
        <v>0</v>
      </c>
      <c r="J46" s="158"/>
      <c r="K46" s="161"/>
      <c r="L46" s="161"/>
      <c r="M46" s="158"/>
      <c r="N46" s="51" t="s">
        <v>937</v>
      </c>
      <c r="O46" s="51" t="s">
        <v>938</v>
      </c>
      <c r="Q46" s="51" t="s">
        <v>927</v>
      </c>
      <c r="R46" s="51" t="s">
        <v>941</v>
      </c>
      <c r="W46" s="52" t="s">
        <v>131</v>
      </c>
      <c r="AB46" s="51" t="s">
        <v>3947</v>
      </c>
      <c r="AC46" s="51" t="s">
        <v>3948</v>
      </c>
      <c r="AE46" s="51" t="s">
        <v>927</v>
      </c>
      <c r="AF46" s="51" t="s">
        <v>1849</v>
      </c>
      <c r="AK46" s="52" t="s">
        <v>131</v>
      </c>
      <c r="AP46" s="51" t="s">
        <v>3949</v>
      </c>
      <c r="AQ46" s="51" t="s">
        <v>3950</v>
      </c>
      <c r="AS46" s="51" t="s">
        <v>927</v>
      </c>
      <c r="AT46" s="51" t="s">
        <v>1847</v>
      </c>
      <c r="AY46" s="52" t="s">
        <v>131</v>
      </c>
    </row>
    <row r="47" spans="1:51" x14ac:dyDescent="0.25">
      <c r="A47" s="51" t="s">
        <v>3799</v>
      </c>
      <c r="B47" s="51">
        <v>4</v>
      </c>
      <c r="E47" s="54" t="str" cm="1">
        <f t="array" aca="1" ref="E47" ca="1">IF(H47=0,"",HYPERLINK("#"&amp;RIGHT(CELL("dateiname"),LEN(CELL("dateiname"))-FIND("]",CELL("dateiname")))&amp;"!"&amp;CELL("adresse",OFFSET($Q$6,H47-1,0)),"Definition"))</f>
        <v/>
      </c>
      <c r="F47" s="54" t="str" cm="1">
        <f t="array" aca="1" ref="F47" ca="1">IF(I47=0,"",HYPERLINK("#"&amp;RIGHT(CELL("adresse",OFFSET(DMAV_Doku!$B$6,I47-1,0)),LEN(CELL("adresse",OFFSET(DMAV_Doku!$B$6,I47-1,0)))-SEARCH("]",CELL("adresse",OFFSET(DMAV_Doku!$B$6,I47-1,0)))),"ModDoc"))</f>
        <v>ModDoc</v>
      </c>
      <c r="G47" s="150" t="str">
        <f t="shared" si="0"/>
        <v>TMQU4</v>
      </c>
      <c r="H47" s="150">
        <f t="shared" si="1"/>
        <v>0</v>
      </c>
      <c r="I47" s="150">
        <f>IF(_xlfn.XLOOKUP(G47,Korrelation!$A$4:$A$723,Korrelation!$B$4:$B$723,0,0)=0,0,MATCH(_xlfn.XLOOKUP(G47,Korrelation!$A$4:$A$723,Korrelation!$B$4:$B$723,0,0),DMAV_Doku!$H$6:$H$483,0))</f>
        <v>13</v>
      </c>
      <c r="J47" s="158"/>
      <c r="K47" s="161"/>
      <c r="L47" s="161"/>
      <c r="M47" s="158"/>
      <c r="N47" s="51" t="s">
        <v>937</v>
      </c>
      <c r="O47" s="51" t="s">
        <v>938</v>
      </c>
      <c r="Q47" s="51" t="s">
        <v>927</v>
      </c>
      <c r="R47" s="51" t="s">
        <v>265</v>
      </c>
      <c r="W47" s="52" t="s">
        <v>35</v>
      </c>
      <c r="AB47" s="51" t="s">
        <v>3947</v>
      </c>
      <c r="AC47" s="51" t="s">
        <v>3948</v>
      </c>
      <c r="AE47" s="51" t="s">
        <v>927</v>
      </c>
      <c r="AF47" s="51" t="s">
        <v>711</v>
      </c>
      <c r="AK47" s="52" t="s">
        <v>712</v>
      </c>
      <c r="AP47" s="51" t="s">
        <v>3949</v>
      </c>
      <c r="AQ47" s="51" t="s">
        <v>3950</v>
      </c>
      <c r="AS47" s="51" t="s">
        <v>927</v>
      </c>
      <c r="AT47" s="51" t="s">
        <v>1976</v>
      </c>
      <c r="AY47" s="52" t="s">
        <v>2708</v>
      </c>
    </row>
    <row r="48" spans="1:51" x14ac:dyDescent="0.25">
      <c r="A48" s="51" t="s">
        <v>3799</v>
      </c>
      <c r="B48" s="51">
        <v>5</v>
      </c>
      <c r="E48" s="54" t="str" cm="1">
        <f t="array" aca="1" ref="E48" ca="1">IF(H48=0,"",HYPERLINK("#"&amp;RIGHT(CELL("dateiname"),LEN(CELL("dateiname"))-FIND("]",CELL("dateiname")))&amp;"!"&amp;CELL("adresse",OFFSET($Q$6,H48-1,0)),"Definition"))</f>
        <v/>
      </c>
      <c r="F48" s="54" t="str" cm="1">
        <f t="array" aca="1" ref="F48" ca="1">IF(I48=0,"",HYPERLINK("#"&amp;RIGHT(CELL("adresse",OFFSET(DMAV_Doku!$B$6,I48-1,0)),LEN(CELL("adresse",OFFSET(DMAV_Doku!$B$6,I48-1,0)))-SEARCH("]",CELL("adresse",OFFSET(DMAV_Doku!$B$6,I48-1,0)))),"ModDoc"))</f>
        <v>ModDoc</v>
      </c>
      <c r="G48" s="150" t="str">
        <f t="shared" si="0"/>
        <v>TMQU5</v>
      </c>
      <c r="H48" s="150">
        <f t="shared" si="1"/>
        <v>0</v>
      </c>
      <c r="I48" s="150">
        <f>IF(_xlfn.XLOOKUP(G48,Korrelation!$A$4:$A$723,Korrelation!$B$4:$B$723,0,0)=0,0,MATCH(_xlfn.XLOOKUP(G48,Korrelation!$A$4:$A$723,Korrelation!$B$4:$B$723,0,0),DMAV_Doku!$H$6:$H$483,0))</f>
        <v>14</v>
      </c>
      <c r="J48" s="158"/>
      <c r="K48" s="161"/>
      <c r="L48" s="161"/>
      <c r="M48" s="158"/>
      <c r="N48" s="51" t="s">
        <v>937</v>
      </c>
      <c r="O48" s="51" t="s">
        <v>938</v>
      </c>
      <c r="Q48" s="51" t="s">
        <v>927</v>
      </c>
      <c r="R48" s="51" t="s">
        <v>265</v>
      </c>
      <c r="W48" s="52" t="s">
        <v>37</v>
      </c>
      <c r="AB48" s="51" t="s">
        <v>3947</v>
      </c>
      <c r="AC48" s="51" t="s">
        <v>3948</v>
      </c>
      <c r="AE48" s="51" t="s">
        <v>927</v>
      </c>
      <c r="AF48" s="51" t="s">
        <v>711</v>
      </c>
      <c r="AK48" s="52" t="s">
        <v>713</v>
      </c>
      <c r="AP48" s="51" t="s">
        <v>3949</v>
      </c>
      <c r="AQ48" s="51" t="s">
        <v>3950</v>
      </c>
      <c r="AS48" s="51" t="s">
        <v>927</v>
      </c>
      <c r="AT48" s="51" t="s">
        <v>1976</v>
      </c>
      <c r="AY48" s="52" t="s">
        <v>2705</v>
      </c>
    </row>
    <row r="49" spans="1:53" ht="51" x14ac:dyDescent="0.25">
      <c r="A49" s="51" t="s">
        <v>3800</v>
      </c>
      <c r="B49" s="51">
        <v>1</v>
      </c>
      <c r="E49" s="54" t="str" cm="1">
        <f t="array" aca="1" ref="E49" ca="1">IF(H49=0,"",HYPERLINK("#"&amp;RIGHT(CELL("dateiname"),LEN(CELL("dateiname"))-FIND("]",CELL("dateiname")))&amp;"!"&amp;CELL("adresse",OFFSET($Q$6,H49-1,0)),"Definition"))</f>
        <v/>
      </c>
      <c r="F49" s="54" t="str" cm="1">
        <f t="array" aca="1" ref="F49" ca="1">IF(I49=0,"",HYPERLINK("#"&amp;RIGHT(CELL("adresse",OFFSET(DMAV_Doku!$B$6,I49-1,0)),LEN(CELL("adresse",OFFSET(DMAV_Doku!$B$6,I49-1,0)))-SEARCH("]",CELL("adresse",OFFSET(DMAV_Doku!$B$6,I49-1,0)))),"ModDoc"))</f>
        <v>ModDoc</v>
      </c>
      <c r="G49" s="150" t="str">
        <f t="shared" si="0"/>
        <v>TMTO1</v>
      </c>
      <c r="H49" s="150">
        <f t="shared" si="1"/>
        <v>0</v>
      </c>
      <c r="I49" s="150">
        <f>IF(_xlfn.XLOOKUP(G49,Korrelation!$A$4:$A$723,Korrelation!$B$4:$B$723,0,0)=0,0,MATCH(_xlfn.XLOOKUP(G49,Korrelation!$A$4:$A$723,Korrelation!$B$4:$B$723,0,0),DMAV_Doku!$H$6:$H$483,0))</f>
        <v>23</v>
      </c>
      <c r="J49" s="158"/>
      <c r="K49" s="161"/>
      <c r="L49" s="161"/>
      <c r="M49" s="158"/>
      <c r="N49" s="51" t="s">
        <v>942</v>
      </c>
      <c r="O49" s="51" t="s">
        <v>943</v>
      </c>
      <c r="Q49" s="51" t="s">
        <v>944</v>
      </c>
      <c r="R49" s="51" t="s">
        <v>945</v>
      </c>
      <c r="U49" s="156" t="s">
        <v>3416</v>
      </c>
      <c r="W49" s="52" t="s">
        <v>131</v>
      </c>
      <c r="AB49" s="51" t="s">
        <v>3952</v>
      </c>
      <c r="AC49" s="51" t="s">
        <v>3953</v>
      </c>
      <c r="AE49" s="51" t="s">
        <v>944</v>
      </c>
      <c r="AF49" s="51" t="s">
        <v>945</v>
      </c>
      <c r="AI49" s="52" t="s">
        <v>3951</v>
      </c>
      <c r="AK49" s="52" t="s">
        <v>131</v>
      </c>
      <c r="AP49" s="51" t="s">
        <v>3954</v>
      </c>
      <c r="AQ49" s="51" t="s">
        <v>3955</v>
      </c>
      <c r="AS49" s="51" t="s">
        <v>944</v>
      </c>
      <c r="AT49" s="51" t="s">
        <v>945</v>
      </c>
      <c r="AW49" s="52" t="s">
        <v>3951</v>
      </c>
      <c r="AY49" s="52" t="s">
        <v>131</v>
      </c>
    </row>
    <row r="50" spans="1:53" x14ac:dyDescent="0.25">
      <c r="A50" s="51" t="s">
        <v>3801</v>
      </c>
      <c r="B50" s="51">
        <v>1</v>
      </c>
      <c r="E50" s="54" t="str" cm="1">
        <f t="array" aca="1" ref="E50" ca="1">IF(H50=0,"",HYPERLINK("#"&amp;RIGHT(CELL("dateiname"),LEN(CELL("dateiname"))-FIND("]",CELL("dateiname")))&amp;"!"&amp;CELL("adresse",OFFSET($Q$6,H50-1,0)),"Definition"))</f>
        <v/>
      </c>
      <c r="F50" s="54" t="str" cm="1">
        <f t="array" aca="1" ref="F50" ca="1">IF(I50=0,"",HYPERLINK("#"&amp;RIGHT(CELL("adresse",OFFSET(DMAV_Doku!$B$6,I50-1,0)),LEN(CELL("adresse",OFFSET(DMAV_Doku!$B$6,I50-1,0)))-SEARCH("]",CELL("adresse",OFFSET(DMAV_Doku!$B$6,I50-1,0)))),"ModDoc"))</f>
        <v>ModDoc</v>
      </c>
      <c r="G50" s="150" t="str">
        <f t="shared" si="0"/>
        <v>TMVM1</v>
      </c>
      <c r="H50" s="150">
        <f t="shared" si="1"/>
        <v>0</v>
      </c>
      <c r="I50" s="150">
        <f>IF(_xlfn.XLOOKUP(G50,Korrelation!$A$4:$A$723,Korrelation!$B$4:$B$723,0,0)=0,0,MATCH(_xlfn.XLOOKUP(G50,Korrelation!$A$4:$A$723,Korrelation!$B$4:$B$723,0,0),DMAV_Doku!$H$6:$H$483,0))</f>
        <v>15</v>
      </c>
      <c r="J50" s="158"/>
      <c r="K50" s="161"/>
      <c r="L50" s="161"/>
      <c r="M50" s="158"/>
      <c r="N50" s="51" t="s">
        <v>946</v>
      </c>
      <c r="O50" s="51" t="s">
        <v>947</v>
      </c>
      <c r="Q50" s="51" t="s">
        <v>927</v>
      </c>
      <c r="R50" s="51" t="s">
        <v>39</v>
      </c>
      <c r="W50" s="52" t="s">
        <v>40</v>
      </c>
      <c r="AB50" s="51" t="s">
        <v>3956</v>
      </c>
      <c r="AC50" s="51" t="s">
        <v>3957</v>
      </c>
      <c r="AE50" s="51" t="s">
        <v>927</v>
      </c>
      <c r="AF50" s="51" t="s">
        <v>714</v>
      </c>
      <c r="AK50" s="52" t="s">
        <v>715</v>
      </c>
      <c r="AP50" s="51" t="s">
        <v>3958</v>
      </c>
      <c r="AQ50" s="51" t="s">
        <v>3959</v>
      </c>
      <c r="AS50" s="51" t="s">
        <v>927</v>
      </c>
      <c r="AT50" s="51" t="s">
        <v>1844</v>
      </c>
      <c r="AY50" s="52" t="s">
        <v>3960</v>
      </c>
    </row>
    <row r="51" spans="1:53" x14ac:dyDescent="0.25">
      <c r="A51" s="51" t="s">
        <v>3801</v>
      </c>
      <c r="B51" s="51">
        <v>2</v>
      </c>
      <c r="E51" s="54" t="str" cm="1">
        <f t="array" aca="1" ref="E51" ca="1">IF(H51=0,"",HYPERLINK("#"&amp;RIGHT(CELL("dateiname"),LEN(CELL("dateiname"))-FIND("]",CELL("dateiname")))&amp;"!"&amp;CELL("adresse",OFFSET($Q$6,H51-1,0)),"Definition"))</f>
        <v/>
      </c>
      <c r="F51" s="54" t="str" cm="1">
        <f t="array" aca="1" ref="F51" ca="1">IF(I51=0,"",HYPERLINK("#"&amp;RIGHT(CELL("adresse",OFFSET(DMAV_Doku!$B$6,I51-1,0)),LEN(CELL("adresse",OFFSET(DMAV_Doku!$B$6,I51-1,0)))-SEARCH("]",CELL("adresse",OFFSET(DMAV_Doku!$B$6,I51-1,0)))),"ModDoc"))</f>
        <v>ModDoc</v>
      </c>
      <c r="G51" s="150" t="str">
        <f t="shared" si="0"/>
        <v>TMVM2</v>
      </c>
      <c r="H51" s="150">
        <f t="shared" si="1"/>
        <v>0</v>
      </c>
      <c r="I51" s="150">
        <f>IF(_xlfn.XLOOKUP(G51,Korrelation!$A$4:$A$723,Korrelation!$B$4:$B$723,0,0)=0,0,MATCH(_xlfn.XLOOKUP(G51,Korrelation!$A$4:$A$723,Korrelation!$B$4:$B$723,0,0),DMAV_Doku!$H$6:$H$483,0))</f>
        <v>16</v>
      </c>
      <c r="J51" s="158"/>
      <c r="K51" s="161"/>
      <c r="L51" s="161"/>
      <c r="M51" s="158"/>
      <c r="N51" s="51" t="s">
        <v>946</v>
      </c>
      <c r="O51" s="51" t="s">
        <v>947</v>
      </c>
      <c r="Q51" s="51" t="s">
        <v>927</v>
      </c>
      <c r="R51" s="51" t="s">
        <v>39</v>
      </c>
      <c r="W51" s="52" t="s">
        <v>42</v>
      </c>
      <c r="AB51" s="51" t="s">
        <v>3956</v>
      </c>
      <c r="AC51" s="51" t="s">
        <v>3957</v>
      </c>
      <c r="AE51" s="51" t="s">
        <v>927</v>
      </c>
      <c r="AF51" s="51" t="s">
        <v>714</v>
      </c>
      <c r="AK51" s="52" t="s">
        <v>2806</v>
      </c>
      <c r="AP51" s="51" t="s">
        <v>3958</v>
      </c>
      <c r="AQ51" s="51" t="s">
        <v>3959</v>
      </c>
      <c r="AS51" s="51" t="s">
        <v>927</v>
      </c>
      <c r="AT51" s="51" t="s">
        <v>1844</v>
      </c>
      <c r="AY51" s="52" t="s">
        <v>3961</v>
      </c>
    </row>
    <row r="52" spans="1:53" x14ac:dyDescent="0.25">
      <c r="A52" s="51" t="s">
        <v>3801</v>
      </c>
      <c r="B52" s="51">
        <v>3</v>
      </c>
      <c r="E52" s="54" t="str" cm="1">
        <f t="array" aca="1" ref="E52" ca="1">IF(H52=0,"",HYPERLINK("#"&amp;RIGHT(CELL("dateiname"),LEN(CELL("dateiname"))-FIND("]",CELL("dateiname")))&amp;"!"&amp;CELL("adresse",OFFSET($Q$6,H52-1,0)),"Definition"))</f>
        <v/>
      </c>
      <c r="F52" s="54" t="str" cm="1">
        <f t="array" aca="1" ref="F52" ca="1">IF(I52=0,"",HYPERLINK("#"&amp;RIGHT(CELL("adresse",OFFSET(DMAV_Doku!$B$6,I52-1,0)),LEN(CELL("adresse",OFFSET(DMAV_Doku!$B$6,I52-1,0)))-SEARCH("]",CELL("adresse",OFFSET(DMAV_Doku!$B$6,I52-1,0)))),"ModDoc"))</f>
        <v>ModDoc</v>
      </c>
      <c r="G52" s="150" t="str">
        <f t="shared" si="0"/>
        <v>TMVM3</v>
      </c>
      <c r="H52" s="150">
        <f t="shared" si="1"/>
        <v>0</v>
      </c>
      <c r="I52" s="150">
        <f>IF(_xlfn.XLOOKUP(G52,Korrelation!$A$4:$A$723,Korrelation!$B$4:$B$723,0,0)=0,0,MATCH(_xlfn.XLOOKUP(G52,Korrelation!$A$4:$A$723,Korrelation!$B$4:$B$723,0,0),DMAV_Doku!$H$6:$H$483,0))</f>
        <v>17</v>
      </c>
      <c r="J52" s="158"/>
      <c r="K52" s="161"/>
      <c r="L52" s="161"/>
      <c r="M52" s="158"/>
      <c r="N52" s="51" t="s">
        <v>946</v>
      </c>
      <c r="O52" s="51" t="s">
        <v>947</v>
      </c>
      <c r="Q52" s="51" t="s">
        <v>927</v>
      </c>
      <c r="R52" s="51" t="s">
        <v>39</v>
      </c>
      <c r="W52" s="52" t="s">
        <v>44</v>
      </c>
      <c r="AB52" s="51" t="s">
        <v>3956</v>
      </c>
      <c r="AC52" s="51" t="s">
        <v>3957</v>
      </c>
      <c r="AE52" s="51" t="s">
        <v>927</v>
      </c>
      <c r="AF52" s="51" t="s">
        <v>714</v>
      </c>
      <c r="AK52" s="52" t="s">
        <v>716</v>
      </c>
      <c r="AP52" s="51" t="s">
        <v>3958</v>
      </c>
      <c r="AQ52" s="51" t="s">
        <v>3959</v>
      </c>
      <c r="AS52" s="51" t="s">
        <v>927</v>
      </c>
      <c r="AT52" s="51" t="s">
        <v>1844</v>
      </c>
      <c r="AY52" s="52" t="s">
        <v>3962</v>
      </c>
    </row>
    <row r="53" spans="1:53" x14ac:dyDescent="0.25">
      <c r="A53" s="51" t="s">
        <v>3801</v>
      </c>
      <c r="B53" s="51">
        <v>4</v>
      </c>
      <c r="E53" s="54" t="str" cm="1">
        <f t="array" aca="1" ref="E53" ca="1">IF(H53=0,"",HYPERLINK("#"&amp;RIGHT(CELL("dateiname"),LEN(CELL("dateiname"))-FIND("]",CELL("dateiname")))&amp;"!"&amp;CELL("adresse",OFFSET($Q$6,H53-1,0)),"Definition"))</f>
        <v/>
      </c>
      <c r="F53" s="54" t="str" cm="1">
        <f t="array" aca="1" ref="F53" ca="1">IF(I53=0,"",HYPERLINK("#"&amp;RIGHT(CELL("adresse",OFFSET(DMAV_Doku!$B$6,I53-1,0)),LEN(CELL("adresse",OFFSET(DMAV_Doku!$B$6,I53-1,0)))-SEARCH("]",CELL("adresse",OFFSET(DMAV_Doku!$B$6,I53-1,0)))),"ModDoc"))</f>
        <v>ModDoc</v>
      </c>
      <c r="G53" s="150" t="str">
        <f t="shared" si="0"/>
        <v>TMVM4</v>
      </c>
      <c r="H53" s="150">
        <f t="shared" si="1"/>
        <v>0</v>
      </c>
      <c r="I53" s="150">
        <f>IF(_xlfn.XLOOKUP(G53,Korrelation!$A$4:$A$723,Korrelation!$B$4:$B$723,0,0)=0,0,MATCH(_xlfn.XLOOKUP(G53,Korrelation!$A$4:$A$723,Korrelation!$B$4:$B$723,0,0),DMAV_Doku!$H$6:$H$483,0))</f>
        <v>18</v>
      </c>
      <c r="J53" s="158"/>
      <c r="K53" s="161"/>
      <c r="L53" s="161"/>
      <c r="M53" s="158"/>
      <c r="N53" s="51" t="s">
        <v>946</v>
      </c>
      <c r="O53" s="51" t="s">
        <v>947</v>
      </c>
      <c r="Q53" s="51" t="s">
        <v>927</v>
      </c>
      <c r="R53" s="51" t="s">
        <v>39</v>
      </c>
      <c r="W53" s="52" t="s">
        <v>46</v>
      </c>
      <c r="AB53" s="51" t="s">
        <v>3956</v>
      </c>
      <c r="AC53" s="51" t="s">
        <v>3957</v>
      </c>
      <c r="AE53" s="51" t="s">
        <v>927</v>
      </c>
      <c r="AF53" s="51" t="s">
        <v>714</v>
      </c>
      <c r="AK53" s="52" t="s">
        <v>717</v>
      </c>
      <c r="AP53" s="51" t="s">
        <v>3958</v>
      </c>
      <c r="AQ53" s="51" t="s">
        <v>3959</v>
      </c>
      <c r="AS53" s="51" t="s">
        <v>927</v>
      </c>
      <c r="AT53" s="51" t="s">
        <v>1844</v>
      </c>
      <c r="AY53" s="52" t="s">
        <v>3963</v>
      </c>
    </row>
    <row r="54" spans="1:53" x14ac:dyDescent="0.25">
      <c r="A54" s="51" t="s">
        <v>3801</v>
      </c>
      <c r="B54" s="51">
        <v>5</v>
      </c>
      <c r="E54" s="54" t="str" cm="1">
        <f t="array" aca="1" ref="E54" ca="1">IF(H54=0,"",HYPERLINK("#"&amp;RIGHT(CELL("dateiname"),LEN(CELL("dateiname"))-FIND("]",CELL("dateiname")))&amp;"!"&amp;CELL("adresse",OFFSET($Q$6,H54-1,0)),"Definition"))</f>
        <v/>
      </c>
      <c r="F54" s="54" t="str" cm="1">
        <f t="array" aca="1" ref="F54" ca="1">IF(I54=0,"",HYPERLINK("#"&amp;RIGHT(CELL("adresse",OFFSET(DMAV_Doku!$B$6,I54-1,0)),LEN(CELL("adresse",OFFSET(DMAV_Doku!$B$6,I54-1,0)))-SEARCH("]",CELL("adresse",OFFSET(DMAV_Doku!$B$6,I54-1,0)))),"ModDoc"))</f>
        <v>ModDoc</v>
      </c>
      <c r="G54" s="150" t="str">
        <f t="shared" si="0"/>
        <v>TMVM5</v>
      </c>
      <c r="H54" s="150">
        <f t="shared" si="1"/>
        <v>0</v>
      </c>
      <c r="I54" s="150">
        <f>IF(_xlfn.XLOOKUP(G54,Korrelation!$A$4:$A$723,Korrelation!$B$4:$B$723,0,0)=0,0,MATCH(_xlfn.XLOOKUP(G54,Korrelation!$A$4:$A$723,Korrelation!$B$4:$B$723,0,0),DMAV_Doku!$H$6:$H$483,0))</f>
        <v>19</v>
      </c>
      <c r="J54" s="158"/>
      <c r="K54" s="161"/>
      <c r="L54" s="161"/>
      <c r="M54" s="158"/>
      <c r="N54" s="51" t="s">
        <v>946</v>
      </c>
      <c r="O54" s="51" t="s">
        <v>947</v>
      </c>
      <c r="Q54" s="51" t="s">
        <v>927</v>
      </c>
      <c r="R54" s="51" t="s">
        <v>39</v>
      </c>
      <c r="W54" s="52" t="s">
        <v>48</v>
      </c>
      <c r="AB54" s="51" t="s">
        <v>3956</v>
      </c>
      <c r="AC54" s="51" t="s">
        <v>3957</v>
      </c>
      <c r="AE54" s="51" t="s">
        <v>927</v>
      </c>
      <c r="AF54" s="51" t="s">
        <v>714</v>
      </c>
      <c r="AK54" s="52" t="s">
        <v>718</v>
      </c>
      <c r="AP54" s="51" t="s">
        <v>3958</v>
      </c>
      <c r="AQ54" s="51" t="s">
        <v>3959</v>
      </c>
      <c r="AS54" s="51" t="s">
        <v>927</v>
      </c>
      <c r="AT54" s="51" t="s">
        <v>1844</v>
      </c>
      <c r="AY54" s="52" t="s">
        <v>3964</v>
      </c>
    </row>
    <row r="55" spans="1:53" x14ac:dyDescent="0.25">
      <c r="A55" s="51" t="s">
        <v>3801</v>
      </c>
      <c r="B55" s="51">
        <v>6</v>
      </c>
      <c r="E55" s="54" t="str" cm="1">
        <f t="array" aca="1" ref="E55" ca="1">IF(H55=0,"",HYPERLINK("#"&amp;RIGHT(CELL("dateiname"),LEN(CELL("dateiname"))-FIND("]",CELL("dateiname")))&amp;"!"&amp;CELL("adresse",OFFSET($Q$6,H55-1,0)),"Definition"))</f>
        <v/>
      </c>
      <c r="F55" s="54" t="str" cm="1">
        <f t="array" aca="1" ref="F55" ca="1">IF(I55=0,"",HYPERLINK("#"&amp;RIGHT(CELL("adresse",OFFSET(DMAV_Doku!$B$6,I55-1,0)),LEN(CELL("adresse",OFFSET(DMAV_Doku!$B$6,I55-1,0)))-SEARCH("]",CELL("adresse",OFFSET(DMAV_Doku!$B$6,I55-1,0)))),"ModDoc"))</f>
        <v>ModDoc</v>
      </c>
      <c r="G55" s="150" t="str">
        <f t="shared" si="0"/>
        <v>TMVM6</v>
      </c>
      <c r="H55" s="150">
        <f t="shared" si="1"/>
        <v>0</v>
      </c>
      <c r="I55" s="150">
        <f>IF(_xlfn.XLOOKUP(G55,Korrelation!$A$4:$A$723,Korrelation!$B$4:$B$723,0,0)=0,0,MATCH(_xlfn.XLOOKUP(G55,Korrelation!$A$4:$A$723,Korrelation!$B$4:$B$723,0,0),DMAV_Doku!$H$6:$H$483,0))</f>
        <v>20</v>
      </c>
      <c r="J55" s="158"/>
      <c r="K55" s="161"/>
      <c r="L55" s="161"/>
      <c r="M55" s="158"/>
      <c r="N55" s="51" t="s">
        <v>946</v>
      </c>
      <c r="O55" s="51" t="s">
        <v>947</v>
      </c>
      <c r="Q55" s="51" t="s">
        <v>927</v>
      </c>
      <c r="R55" s="51" t="s">
        <v>39</v>
      </c>
      <c r="W55" s="52" t="s">
        <v>50</v>
      </c>
      <c r="AB55" s="51" t="s">
        <v>3956</v>
      </c>
      <c r="AC55" s="51" t="s">
        <v>3957</v>
      </c>
      <c r="AE55" s="51" t="s">
        <v>927</v>
      </c>
      <c r="AF55" s="51" t="s">
        <v>714</v>
      </c>
      <c r="AK55" s="52" t="s">
        <v>719</v>
      </c>
      <c r="AP55" s="51" t="s">
        <v>3958</v>
      </c>
      <c r="AQ55" s="51" t="s">
        <v>3959</v>
      </c>
      <c r="AS55" s="51" t="s">
        <v>927</v>
      </c>
      <c r="AT55" s="51" t="s">
        <v>1844</v>
      </c>
      <c r="AY55" s="52" t="s">
        <v>3965</v>
      </c>
    </row>
    <row r="56" spans="1:53" x14ac:dyDescent="0.25">
      <c r="A56" s="51" t="s">
        <v>3801</v>
      </c>
      <c r="B56" s="51">
        <v>7</v>
      </c>
      <c r="E56" s="54" t="str" cm="1">
        <f t="array" aca="1" ref="E56" ca="1">IF(H56=0,"",HYPERLINK("#"&amp;RIGHT(CELL("dateiname"),LEN(CELL("dateiname"))-FIND("]",CELL("dateiname")))&amp;"!"&amp;CELL("adresse",OFFSET($Q$6,H56-1,0)),"Definition"))</f>
        <v/>
      </c>
      <c r="F56" s="54" t="str" cm="1">
        <f t="array" aca="1" ref="F56" ca="1">IF(I56=0,"",HYPERLINK("#"&amp;RIGHT(CELL("adresse",OFFSET(DMAV_Doku!$B$6,I56-1,0)),LEN(CELL("adresse",OFFSET(DMAV_Doku!$B$6,I56-1,0)))-SEARCH("]",CELL("adresse",OFFSET(DMAV_Doku!$B$6,I56-1,0)))),"ModDoc"))</f>
        <v>ModDoc</v>
      </c>
      <c r="G56" s="150" t="str">
        <f t="shared" si="0"/>
        <v>TMVM7</v>
      </c>
      <c r="H56" s="150">
        <f t="shared" si="1"/>
        <v>0</v>
      </c>
      <c r="I56" s="150">
        <f>IF(_xlfn.XLOOKUP(G56,Korrelation!$A$4:$A$723,Korrelation!$B$4:$B$723,0,0)=0,0,MATCH(_xlfn.XLOOKUP(G56,Korrelation!$A$4:$A$723,Korrelation!$B$4:$B$723,0,0),DMAV_Doku!$H$6:$H$483,0))</f>
        <v>21</v>
      </c>
      <c r="J56" s="158"/>
      <c r="K56" s="161"/>
      <c r="L56" s="161"/>
      <c r="M56" s="158"/>
      <c r="N56" s="51" t="s">
        <v>946</v>
      </c>
      <c r="O56" s="51" t="s">
        <v>947</v>
      </c>
      <c r="Q56" s="51" t="s">
        <v>927</v>
      </c>
      <c r="R56" s="51" t="s">
        <v>39</v>
      </c>
      <c r="W56" s="52" t="s">
        <v>52</v>
      </c>
      <c r="AB56" s="51" t="s">
        <v>3956</v>
      </c>
      <c r="AC56" s="51" t="s">
        <v>3957</v>
      </c>
      <c r="AE56" s="51" t="s">
        <v>927</v>
      </c>
      <c r="AF56" s="51" t="s">
        <v>714</v>
      </c>
      <c r="AK56" s="52" t="s">
        <v>2807</v>
      </c>
      <c r="AP56" s="51" t="s">
        <v>3958</v>
      </c>
      <c r="AQ56" s="51" t="s">
        <v>3959</v>
      </c>
      <c r="AS56" s="51" t="s">
        <v>927</v>
      </c>
      <c r="AT56" s="51" t="s">
        <v>1844</v>
      </c>
      <c r="AY56" s="52" t="s">
        <v>3966</v>
      </c>
    </row>
    <row r="57" spans="1:53" x14ac:dyDescent="0.25">
      <c r="A57" s="51" t="s">
        <v>3801</v>
      </c>
      <c r="B57" s="51">
        <v>8</v>
      </c>
      <c r="E57" s="54" t="str" cm="1">
        <f t="array" aca="1" ref="E57" ca="1">IF(H57=0,"",HYPERLINK("#"&amp;RIGHT(CELL("dateiname"),LEN(CELL("dateiname"))-FIND("]",CELL("dateiname")))&amp;"!"&amp;CELL("adresse",OFFSET($Q$6,H57-1,0)),"Definition"))</f>
        <v/>
      </c>
      <c r="F57" s="54" t="str" cm="1">
        <f t="array" aca="1" ref="F57" ca="1">IF(I57=0,"",HYPERLINK("#"&amp;RIGHT(CELL("adresse",OFFSET(DMAV_Doku!$B$6,I57-1,0)),LEN(CELL("adresse",OFFSET(DMAV_Doku!$B$6,I57-1,0)))-SEARCH("]",CELL("adresse",OFFSET(DMAV_Doku!$B$6,I57-1,0)))),"ModDoc"))</f>
        <v>ModDoc</v>
      </c>
      <c r="G57" s="150" t="str">
        <f t="shared" si="0"/>
        <v>TMVM8</v>
      </c>
      <c r="H57" s="150">
        <f t="shared" si="1"/>
        <v>0</v>
      </c>
      <c r="I57" s="150">
        <f>IF(_xlfn.XLOOKUP(G57,Korrelation!$A$4:$A$723,Korrelation!$B$4:$B$723,0,0)=0,0,MATCH(_xlfn.XLOOKUP(G57,Korrelation!$A$4:$A$723,Korrelation!$B$4:$B$723,0,0),DMAV_Doku!$H$6:$H$483,0))</f>
        <v>22</v>
      </c>
      <c r="J57" s="158"/>
      <c r="K57" s="161"/>
      <c r="L57" s="161"/>
      <c r="M57" s="158"/>
      <c r="N57" s="51" t="s">
        <v>946</v>
      </c>
      <c r="O57" s="51" t="s">
        <v>947</v>
      </c>
      <c r="Q57" s="51" t="s">
        <v>927</v>
      </c>
      <c r="R57" s="51" t="s">
        <v>39</v>
      </c>
      <c r="W57" s="52" t="s">
        <v>54</v>
      </c>
      <c r="AB57" s="51" t="s">
        <v>3956</v>
      </c>
      <c r="AC57" s="51" t="s">
        <v>3957</v>
      </c>
      <c r="AE57" s="51" t="s">
        <v>927</v>
      </c>
      <c r="AF57" s="51" t="s">
        <v>714</v>
      </c>
      <c r="AK57" s="52" t="s">
        <v>871</v>
      </c>
      <c r="AP57" s="51" t="s">
        <v>3958</v>
      </c>
      <c r="AQ57" s="51" t="s">
        <v>3959</v>
      </c>
      <c r="AS57" s="51" t="s">
        <v>927</v>
      </c>
      <c r="AT57" s="51" t="s">
        <v>1844</v>
      </c>
      <c r="AY57" s="52" t="s">
        <v>1382</v>
      </c>
    </row>
    <row r="58" spans="1:53" x14ac:dyDescent="0.25">
      <c r="A58" s="51" t="s">
        <v>3802</v>
      </c>
      <c r="B58" s="51">
        <v>1</v>
      </c>
      <c r="E58" s="54" t="str" cm="1">
        <f t="array" aca="1" ref="E58" ca="1">IF(H58=0,"",HYPERLINK("#"&amp;RIGHT(CELL("dateiname"),LEN(CELL("dateiname"))-FIND("]",CELL("dateiname")))&amp;"!"&amp;CELL("adresse",OFFSET($Q$6,H58-1,0)),"Definition"))</f>
        <v/>
      </c>
      <c r="F58" s="54" t="str" cm="1">
        <f t="array" aca="1" ref="F58" ca="1">IF(I58=0,"",HYPERLINK("#"&amp;RIGHT(CELL("adresse",OFFSET(DMAV_Doku!$B$6,I58-1,0)),LEN(CELL("adresse",OFFSET(DMAV_Doku!$B$6,I58-1,0)))-SEARCH("]",CELL("adresse",OFFSET(DMAV_Doku!$B$6,I58-1,0)))),"ModDoc"))</f>
        <v/>
      </c>
      <c r="G58" s="150" t="str">
        <f t="shared" si="0"/>
        <v>SMUG1</v>
      </c>
      <c r="H58" s="150">
        <f t="shared" si="1"/>
        <v>0</v>
      </c>
      <c r="I58" s="150">
        <f>IF(_xlfn.XLOOKUP(G58,Korrelation!$A$4:$A$723,Korrelation!$B$4:$B$723,0,0)=0,0,MATCH(_xlfn.XLOOKUP(G58,Korrelation!$A$4:$A$723,Korrelation!$B$4:$B$723,0,0),DMAV_Doku!$H$6:$H$483,0))</f>
        <v>0</v>
      </c>
      <c r="J58" s="158"/>
      <c r="K58" s="161">
        <v>45444</v>
      </c>
      <c r="L58" s="161"/>
      <c r="M58" s="158"/>
      <c r="N58" s="51" t="s">
        <v>3967</v>
      </c>
      <c r="O58" s="51" t="s">
        <v>3906</v>
      </c>
      <c r="Q58" s="51" t="s">
        <v>910</v>
      </c>
      <c r="R58" s="51" t="s">
        <v>992</v>
      </c>
      <c r="W58" s="52"/>
      <c r="AB58" s="51" t="s">
        <v>3968</v>
      </c>
      <c r="AC58" s="51" t="s">
        <v>3907</v>
      </c>
      <c r="AE58" s="51" t="s">
        <v>910</v>
      </c>
      <c r="AF58" s="51" t="s">
        <v>992</v>
      </c>
      <c r="AP58" s="51" t="s">
        <v>3969</v>
      </c>
      <c r="AQ58" s="51" t="s">
        <v>3908</v>
      </c>
      <c r="AS58" s="51" t="s">
        <v>910</v>
      </c>
      <c r="AT58" s="51" t="s">
        <v>992</v>
      </c>
    </row>
    <row r="59" spans="1:53" x14ac:dyDescent="0.25">
      <c r="A59" s="51" t="s">
        <v>3802</v>
      </c>
      <c r="B59" s="51">
        <v>2</v>
      </c>
      <c r="E59" s="54" t="str" cm="1">
        <f t="array" aca="1" ref="E59" ca="1">IF(H59=0,"",HYPERLINK("#"&amp;RIGHT(CELL("dateiname"),LEN(CELL("dateiname"))-FIND("]",CELL("dateiname")))&amp;"!"&amp;CELL("adresse",OFFSET($Q$6,H59-1,0)),"Definition"))</f>
        <v/>
      </c>
      <c r="F59" s="54" t="str" cm="1">
        <f t="array" aca="1" ref="F59" ca="1">IF(I59=0,"",HYPERLINK("#"&amp;RIGHT(CELL("adresse",OFFSET(DMAV_Doku!$B$6,I59-1,0)),LEN(CELL("adresse",OFFSET(DMAV_Doku!$B$6,I59-1,0)))-SEARCH("]",CELL("adresse",OFFSET(DMAV_Doku!$B$6,I59-1,0)))),"ModDoc"))</f>
        <v/>
      </c>
      <c r="G59" s="150" t="str">
        <f t="shared" si="0"/>
        <v>SMUG2</v>
      </c>
      <c r="H59" s="150">
        <f t="shared" si="1"/>
        <v>0</v>
      </c>
      <c r="I59" s="150">
        <f>IF(_xlfn.XLOOKUP(G59,Korrelation!$A$4:$A$723,Korrelation!$B$4:$B$723,0,0)=0,0,MATCH(_xlfn.XLOOKUP(G59,Korrelation!$A$4:$A$723,Korrelation!$B$4:$B$723,0,0),DMAV_Doku!$H$6:$H$483,0))</f>
        <v>0</v>
      </c>
      <c r="J59" s="158"/>
      <c r="K59" s="161">
        <v>46054</v>
      </c>
      <c r="L59" s="161"/>
      <c r="M59" s="158"/>
      <c r="N59" s="51" t="s">
        <v>3967</v>
      </c>
      <c r="O59" s="51" t="s">
        <v>3906</v>
      </c>
      <c r="Q59" s="51" t="s">
        <v>910</v>
      </c>
      <c r="R59" s="51" t="s">
        <v>932</v>
      </c>
      <c r="W59" s="52"/>
      <c r="AB59" s="51" t="s">
        <v>3968</v>
      </c>
      <c r="AC59" s="51" t="s">
        <v>3907</v>
      </c>
      <c r="AE59" s="51" t="s">
        <v>910</v>
      </c>
      <c r="AF59" s="51" t="s">
        <v>932</v>
      </c>
      <c r="AP59" s="51" t="s">
        <v>3969</v>
      </c>
      <c r="AQ59" s="51" t="s">
        <v>3908</v>
      </c>
      <c r="AS59" s="51" t="s">
        <v>910</v>
      </c>
      <c r="AT59" s="51" t="s">
        <v>932</v>
      </c>
    </row>
    <row r="60" spans="1:53" ht="25.5" x14ac:dyDescent="0.25">
      <c r="A60" s="51" t="s">
        <v>3802</v>
      </c>
      <c r="B60" s="51">
        <v>3</v>
      </c>
      <c r="E60" s="54" t="str" cm="1">
        <f t="array" aca="1" ref="E60" ca="1">IF(H60=0,"",HYPERLINK("#"&amp;RIGHT(CELL("dateiname"),LEN(CELL("dateiname"))-FIND("]",CELL("dateiname")))&amp;"!"&amp;CELL("adresse",OFFSET($Q$6,H60-1,0)),"Definition"))</f>
        <v/>
      </c>
      <c r="F60" s="54" t="str" cm="1">
        <f t="array" aca="1" ref="F60" ca="1">IF(I60=0,"",HYPERLINK("#"&amp;RIGHT(CELL("adresse",OFFSET(DMAV_Doku!$B$6,I60-1,0)),LEN(CELL("adresse",OFFSET(DMAV_Doku!$B$6,I60-1,0)))-SEARCH("]",CELL("adresse",OFFSET(DMAV_Doku!$B$6,I60-1,0)))),"ModDoc"))</f>
        <v>ModDoc</v>
      </c>
      <c r="G60" s="150" t="str">
        <f t="shared" si="0"/>
        <v>SMUG3</v>
      </c>
      <c r="H60" s="150">
        <f t="shared" si="1"/>
        <v>0</v>
      </c>
      <c r="I60" s="150">
        <f>IF(_xlfn.XLOOKUP(G60,Korrelation!$A$4:$A$723,Korrelation!$B$4:$B$723,0,0)=0,0,MATCH(_xlfn.XLOOKUP(G60,Korrelation!$A$4:$A$723,Korrelation!$B$4:$B$723,0,0),DMAV_Doku!$H$6:$H$483,0))</f>
        <v>39</v>
      </c>
      <c r="J60" s="158"/>
      <c r="K60" s="161">
        <v>45444</v>
      </c>
      <c r="L60" s="161"/>
      <c r="M60" s="158"/>
      <c r="N60" s="51" t="s">
        <v>3967</v>
      </c>
      <c r="O60" s="51" t="s">
        <v>3906</v>
      </c>
      <c r="P60" s="51" t="s">
        <v>3386</v>
      </c>
      <c r="Q60" s="51" t="s">
        <v>949</v>
      </c>
      <c r="R60" s="51" t="s">
        <v>3417</v>
      </c>
      <c r="S60" s="50" t="s">
        <v>950</v>
      </c>
      <c r="U60" s="52" t="s">
        <v>3407</v>
      </c>
      <c r="W60" s="52" t="s">
        <v>3418</v>
      </c>
      <c r="Y60" s="52" t="s">
        <v>3970</v>
      </c>
      <c r="AB60" s="51" t="s">
        <v>3968</v>
      </c>
      <c r="AC60" s="51" t="s">
        <v>3907</v>
      </c>
      <c r="AD60" s="51" t="s">
        <v>3971</v>
      </c>
      <c r="AE60" s="51" t="s">
        <v>949</v>
      </c>
      <c r="AF60" s="51" t="s">
        <v>3569</v>
      </c>
      <c r="AG60" s="50" t="s">
        <v>950</v>
      </c>
      <c r="AI60" s="52" t="s">
        <v>3557</v>
      </c>
      <c r="AK60" s="52" t="s">
        <v>3418</v>
      </c>
      <c r="AM60" s="52" t="s">
        <v>3972</v>
      </c>
      <c r="AP60" s="51" t="s">
        <v>3969</v>
      </c>
      <c r="AQ60" s="51" t="s">
        <v>3908</v>
      </c>
      <c r="AR60" s="51" t="s">
        <v>3973</v>
      </c>
      <c r="AS60" s="51" t="s">
        <v>949</v>
      </c>
      <c r="AT60" s="51" t="s">
        <v>3974</v>
      </c>
      <c r="AU60" s="50" t="s">
        <v>950</v>
      </c>
      <c r="AW60" s="52" t="s">
        <v>3975</v>
      </c>
      <c r="AY60" s="52" t="s">
        <v>3418</v>
      </c>
      <c r="BA60" s="52" t="s">
        <v>3976</v>
      </c>
    </row>
    <row r="61" spans="1:53" ht="38.25" x14ac:dyDescent="0.25">
      <c r="A61" s="51" t="s">
        <v>3802</v>
      </c>
      <c r="B61" s="51">
        <v>4</v>
      </c>
      <c r="E61" s="54" t="str" cm="1">
        <f t="array" aca="1" ref="E61" ca="1">IF(H61=0,"",HYPERLINK("#"&amp;RIGHT(CELL("dateiname"),LEN(CELL("dateiname"))-FIND("]",CELL("dateiname")))&amp;"!"&amp;CELL("adresse",OFFSET($Q$6,H61-1,0)),"Definition"))</f>
        <v/>
      </c>
      <c r="F61" s="54" t="str" cm="1">
        <f t="array" aca="1" ref="F61" ca="1">IF(I61=0,"",HYPERLINK("#"&amp;RIGHT(CELL("adresse",OFFSET(DMAV_Doku!$B$6,I61-1,0)),LEN(CELL("adresse",OFFSET(DMAV_Doku!$B$6,I61-1,0)))-SEARCH("]",CELL("adresse",OFFSET(DMAV_Doku!$B$6,I61-1,0)))),"ModDoc"))</f>
        <v>ModDoc</v>
      </c>
      <c r="G61" s="150" t="str">
        <f t="shared" si="0"/>
        <v>SMUG4</v>
      </c>
      <c r="H61" s="150">
        <f t="shared" si="1"/>
        <v>0</v>
      </c>
      <c r="I61" s="150">
        <f>IF(_xlfn.XLOOKUP(G61,Korrelation!$A$4:$A$723,Korrelation!$B$4:$B$723,0,0)=0,0,MATCH(_xlfn.XLOOKUP(G61,Korrelation!$A$4:$A$723,Korrelation!$B$4:$B$723,0,0),DMAV_Doku!$H$6:$H$483,0))</f>
        <v>40</v>
      </c>
      <c r="J61" s="158"/>
      <c r="K61" s="161">
        <v>45444</v>
      </c>
      <c r="L61" s="161"/>
      <c r="M61" s="158"/>
      <c r="N61" s="51" t="s">
        <v>3967</v>
      </c>
      <c r="O61" s="51" t="s">
        <v>3906</v>
      </c>
      <c r="P61" s="51" t="s">
        <v>3386</v>
      </c>
      <c r="Q61" s="51" t="s">
        <v>949</v>
      </c>
      <c r="R61" s="51" t="s">
        <v>3417</v>
      </c>
      <c r="S61" s="50" t="s">
        <v>950</v>
      </c>
      <c r="U61" s="52" t="s">
        <v>207</v>
      </c>
      <c r="W61" s="52" t="s">
        <v>993</v>
      </c>
      <c r="Y61" s="52" t="s">
        <v>3977</v>
      </c>
      <c r="AB61" s="51" t="s">
        <v>3968</v>
      </c>
      <c r="AC61" s="51" t="s">
        <v>3907</v>
      </c>
      <c r="AD61" s="51" t="s">
        <v>3971</v>
      </c>
      <c r="AE61" s="51" t="s">
        <v>949</v>
      </c>
      <c r="AF61" s="51" t="s">
        <v>3569</v>
      </c>
      <c r="AG61" s="50" t="s">
        <v>950</v>
      </c>
      <c r="AI61" s="52" t="s">
        <v>773</v>
      </c>
      <c r="AK61" s="52" t="s">
        <v>993</v>
      </c>
      <c r="AM61" s="52" t="s">
        <v>3978</v>
      </c>
      <c r="AP61" s="51" t="s">
        <v>3969</v>
      </c>
      <c r="AQ61" s="51" t="s">
        <v>3908</v>
      </c>
      <c r="AR61" s="51" t="s">
        <v>3973</v>
      </c>
      <c r="AS61" s="51" t="s">
        <v>949</v>
      </c>
      <c r="AT61" s="51" t="s">
        <v>3974</v>
      </c>
      <c r="AU61" s="50" t="s">
        <v>950</v>
      </c>
      <c r="AW61" s="52" t="s">
        <v>1809</v>
      </c>
      <c r="AY61" s="52" t="s">
        <v>993</v>
      </c>
      <c r="BA61" s="52" t="s">
        <v>3979</v>
      </c>
    </row>
    <row r="62" spans="1:53" ht="25.5" x14ac:dyDescent="0.25">
      <c r="A62" s="51" t="s">
        <v>3802</v>
      </c>
      <c r="B62" s="51">
        <v>5</v>
      </c>
      <c r="E62" s="54" t="str" cm="1">
        <f t="array" aca="1" ref="E62" ca="1">IF(H62=0,"",HYPERLINK("#"&amp;RIGHT(CELL("dateiname"),LEN(CELL("dateiname"))-FIND("]",CELL("dateiname")))&amp;"!"&amp;CELL("adresse",OFFSET($Q$6,H62-1,0)),"Definition"))</f>
        <v/>
      </c>
      <c r="F62" s="54" t="str" cm="1">
        <f t="array" aca="1" ref="F62" ca="1">IF(I62=0,"",HYPERLINK("#"&amp;RIGHT(CELL("adresse",OFFSET(DMAV_Doku!$B$6,I62-1,0)),LEN(CELL("adresse",OFFSET(DMAV_Doku!$B$6,I62-1,0)))-SEARCH("]",CELL("adresse",OFFSET(DMAV_Doku!$B$6,I62-1,0)))),"ModDoc"))</f>
        <v>ModDoc</v>
      </c>
      <c r="G62" s="150" t="str">
        <f t="shared" si="0"/>
        <v>SMUG5</v>
      </c>
      <c r="H62" s="150">
        <f t="shared" si="1"/>
        <v>0</v>
      </c>
      <c r="I62" s="150">
        <f>IF(_xlfn.XLOOKUP(G62,Korrelation!$A$4:$A$723,Korrelation!$B$4:$B$723,0,0)=0,0,MATCH(_xlfn.XLOOKUP(G62,Korrelation!$A$4:$A$723,Korrelation!$B$4:$B$723,0,0),DMAV_Doku!$H$6:$H$483,0))</f>
        <v>41</v>
      </c>
      <c r="J62" s="158"/>
      <c r="K62" s="161">
        <v>45444</v>
      </c>
      <c r="L62" s="161"/>
      <c r="M62" s="158"/>
      <c r="N62" s="51" t="s">
        <v>3967</v>
      </c>
      <c r="O62" s="51" t="s">
        <v>3906</v>
      </c>
      <c r="P62" s="51" t="s">
        <v>3386</v>
      </c>
      <c r="Q62" s="51" t="s">
        <v>949</v>
      </c>
      <c r="R62" s="51" t="s">
        <v>3417</v>
      </c>
      <c r="S62" s="50" t="s">
        <v>950</v>
      </c>
      <c r="T62" s="51" t="s">
        <v>6</v>
      </c>
      <c r="U62" s="52" t="s">
        <v>96</v>
      </c>
      <c r="W62" s="52" t="s">
        <v>951</v>
      </c>
      <c r="Y62" s="52" t="s">
        <v>3980</v>
      </c>
      <c r="AB62" s="51" t="s">
        <v>3968</v>
      </c>
      <c r="AC62" s="51" t="s">
        <v>3907</v>
      </c>
      <c r="AD62" s="51" t="s">
        <v>3971</v>
      </c>
      <c r="AE62" s="51" t="s">
        <v>949</v>
      </c>
      <c r="AF62" s="51" t="s">
        <v>3569</v>
      </c>
      <c r="AG62" s="50" t="s">
        <v>950</v>
      </c>
      <c r="AH62" s="51" t="s">
        <v>6</v>
      </c>
      <c r="AI62" s="52" t="s">
        <v>733</v>
      </c>
      <c r="AK62" s="52" t="s">
        <v>951</v>
      </c>
      <c r="AM62" s="52" t="s">
        <v>3981</v>
      </c>
      <c r="AP62" s="51" t="s">
        <v>3969</v>
      </c>
      <c r="AQ62" s="51" t="s">
        <v>3908</v>
      </c>
      <c r="AR62" s="51" t="s">
        <v>3973</v>
      </c>
      <c r="AS62" s="51" t="s">
        <v>949</v>
      </c>
      <c r="AT62" s="51" t="s">
        <v>3974</v>
      </c>
      <c r="AU62" s="50" t="s">
        <v>950</v>
      </c>
      <c r="AV62" s="51" t="s">
        <v>6</v>
      </c>
      <c r="AW62" s="52" t="s">
        <v>1378</v>
      </c>
      <c r="AY62" s="52" t="s">
        <v>951</v>
      </c>
      <c r="BA62" s="52" t="s">
        <v>3982</v>
      </c>
    </row>
    <row r="63" spans="1:53" ht="38.25" x14ac:dyDescent="0.25">
      <c r="A63" s="51" t="s">
        <v>3802</v>
      </c>
      <c r="B63" s="51">
        <v>6</v>
      </c>
      <c r="E63" s="54" t="str" cm="1">
        <f t="array" aca="1" ref="E63" ca="1">IF(H63=0,"",HYPERLINK("#"&amp;RIGHT(CELL("dateiname"),LEN(CELL("dateiname"))-FIND("]",CELL("dateiname")))&amp;"!"&amp;CELL("adresse",OFFSET($Q$6,H63-1,0)),"Definition"))</f>
        <v/>
      </c>
      <c r="F63" s="54" t="str" cm="1">
        <f t="array" aca="1" ref="F63" ca="1">IF(I63=0,"",HYPERLINK("#"&amp;RIGHT(CELL("adresse",OFFSET(DMAV_Doku!$B$6,I63-1,0)),LEN(CELL("adresse",OFFSET(DMAV_Doku!$B$6,I63-1,0)))-SEARCH("]",CELL("adresse",OFFSET(DMAV_Doku!$B$6,I63-1,0)))),"ModDoc"))</f>
        <v>ModDoc</v>
      </c>
      <c r="G63" s="150" t="str">
        <f t="shared" si="0"/>
        <v>SMUG6</v>
      </c>
      <c r="H63" s="150">
        <f t="shared" si="1"/>
        <v>0</v>
      </c>
      <c r="I63" s="150">
        <f>IF(_xlfn.XLOOKUP(G63,Korrelation!$A$4:$A$723,Korrelation!$B$4:$B$723,0,0)=0,0,MATCH(_xlfn.XLOOKUP(G63,Korrelation!$A$4:$A$723,Korrelation!$B$4:$B$723,0,0),DMAV_Doku!$H$6:$H$483,0))</f>
        <v>42</v>
      </c>
      <c r="J63" s="158"/>
      <c r="K63" s="161">
        <v>45444</v>
      </c>
      <c r="L63" s="161"/>
      <c r="M63" s="158"/>
      <c r="N63" s="51" t="s">
        <v>3967</v>
      </c>
      <c r="O63" s="51" t="s">
        <v>3906</v>
      </c>
      <c r="P63" s="51" t="s">
        <v>3386</v>
      </c>
      <c r="Q63" s="51" t="s">
        <v>949</v>
      </c>
      <c r="R63" s="51" t="s">
        <v>3417</v>
      </c>
      <c r="S63" s="50" t="s">
        <v>950</v>
      </c>
      <c r="U63" s="52" t="s">
        <v>5</v>
      </c>
      <c r="W63" s="52" t="s">
        <v>964</v>
      </c>
      <c r="Y63" s="52" t="s">
        <v>3983</v>
      </c>
      <c r="AB63" s="51" t="s">
        <v>3968</v>
      </c>
      <c r="AC63" s="51" t="s">
        <v>3907</v>
      </c>
      <c r="AD63" s="51" t="s">
        <v>3971</v>
      </c>
      <c r="AE63" s="51" t="s">
        <v>949</v>
      </c>
      <c r="AF63" s="51" t="s">
        <v>3569</v>
      </c>
      <c r="AG63" s="50" t="s">
        <v>950</v>
      </c>
      <c r="AI63" s="52" t="s">
        <v>702</v>
      </c>
      <c r="AK63" s="52" t="s">
        <v>964</v>
      </c>
      <c r="AM63" s="52" t="s">
        <v>3984</v>
      </c>
      <c r="AP63" s="51" t="s">
        <v>3969</v>
      </c>
      <c r="AQ63" s="51" t="s">
        <v>3908</v>
      </c>
      <c r="AR63" s="51" t="s">
        <v>3973</v>
      </c>
      <c r="AS63" s="51" t="s">
        <v>949</v>
      </c>
      <c r="AT63" s="51" t="s">
        <v>3974</v>
      </c>
      <c r="AU63" s="50" t="s">
        <v>950</v>
      </c>
      <c r="AW63" s="52" t="s">
        <v>1700</v>
      </c>
      <c r="AY63" s="52" t="s">
        <v>964</v>
      </c>
      <c r="BA63" s="52" t="s">
        <v>3985</v>
      </c>
    </row>
    <row r="64" spans="1:53" ht="38.25" x14ac:dyDescent="0.25">
      <c r="A64" s="51" t="s">
        <v>3802</v>
      </c>
      <c r="B64" s="51">
        <v>7</v>
      </c>
      <c r="E64" s="54" t="str" cm="1">
        <f t="array" aca="1" ref="E64" ca="1">IF(H64=0,"",HYPERLINK("#"&amp;RIGHT(CELL("dateiname"),LEN(CELL("dateiname"))-FIND("]",CELL("dateiname")))&amp;"!"&amp;CELL("adresse",OFFSET($Q$6,H64-1,0)),"Definition"))</f>
        <v/>
      </c>
      <c r="F64" s="54" t="str" cm="1">
        <f t="array" aca="1" ref="F64" ca="1">IF(I64=0,"",HYPERLINK("#"&amp;RIGHT(CELL("adresse",OFFSET(DMAV_Doku!$B$6,I64-1,0)),LEN(CELL("adresse",OFFSET(DMAV_Doku!$B$6,I64-1,0)))-SEARCH("]",CELL("adresse",OFFSET(DMAV_Doku!$B$6,I64-1,0)))),"ModDoc"))</f>
        <v>ModDoc</v>
      </c>
      <c r="G64" s="150" t="str">
        <f t="shared" si="0"/>
        <v>SMUG7</v>
      </c>
      <c r="H64" s="150">
        <f t="shared" si="1"/>
        <v>0</v>
      </c>
      <c r="I64" s="150">
        <f>IF(_xlfn.XLOOKUP(G64,Korrelation!$A$4:$A$723,Korrelation!$B$4:$B$723,0,0)=0,0,MATCH(_xlfn.XLOOKUP(G64,Korrelation!$A$4:$A$723,Korrelation!$B$4:$B$723,0,0),DMAV_Doku!$H$6:$H$483,0))</f>
        <v>43</v>
      </c>
      <c r="J64" s="158"/>
      <c r="K64" s="161">
        <v>45444</v>
      </c>
      <c r="L64" s="161"/>
      <c r="M64" s="158"/>
      <c r="N64" s="51" t="s">
        <v>3967</v>
      </c>
      <c r="O64" s="51" t="s">
        <v>3906</v>
      </c>
      <c r="P64" s="51" t="s">
        <v>3386</v>
      </c>
      <c r="Q64" s="51" t="s">
        <v>949</v>
      </c>
      <c r="R64" s="51" t="s">
        <v>3417</v>
      </c>
      <c r="U64" s="52" t="s">
        <v>3408</v>
      </c>
      <c r="W64" s="52" t="s">
        <v>3419</v>
      </c>
      <c r="Y64" s="52" t="s">
        <v>3986</v>
      </c>
      <c r="AB64" s="51" t="s">
        <v>3968</v>
      </c>
      <c r="AC64" s="51" t="s">
        <v>3907</v>
      </c>
      <c r="AD64" s="51" t="s">
        <v>3971</v>
      </c>
      <c r="AE64" s="51" t="s">
        <v>949</v>
      </c>
      <c r="AF64" s="51" t="s">
        <v>3569</v>
      </c>
      <c r="AI64" s="52" t="s">
        <v>3558</v>
      </c>
      <c r="AK64" s="52" t="s">
        <v>3419</v>
      </c>
      <c r="AM64" s="52" t="s">
        <v>3987</v>
      </c>
      <c r="AP64" s="51" t="s">
        <v>3969</v>
      </c>
      <c r="AQ64" s="51" t="s">
        <v>3908</v>
      </c>
      <c r="AR64" s="51" t="s">
        <v>3973</v>
      </c>
      <c r="AS64" s="51" t="s">
        <v>949</v>
      </c>
      <c r="AT64" s="51" t="s">
        <v>3974</v>
      </c>
      <c r="AW64" s="52" t="s">
        <v>3988</v>
      </c>
      <c r="AY64" s="52" t="s">
        <v>3419</v>
      </c>
      <c r="BA64" s="52" t="s">
        <v>3989</v>
      </c>
    </row>
    <row r="65" spans="1:54" ht="25.5" x14ac:dyDescent="0.25">
      <c r="A65" s="51" t="s">
        <v>3802</v>
      </c>
      <c r="B65" s="51">
        <v>8</v>
      </c>
      <c r="E65" s="54" t="str" cm="1">
        <f t="array" aca="1" ref="E65" ca="1">IF(H65=0,"",HYPERLINK("#"&amp;RIGHT(CELL("dateiname"),LEN(CELL("dateiname"))-FIND("]",CELL("dateiname")))&amp;"!"&amp;CELL("adresse",OFFSET($Q$6,H65-1,0)),"Definition"))</f>
        <v/>
      </c>
      <c r="F65" s="54" t="str" cm="1">
        <f t="array" aca="1" ref="F65" ca="1">IF(I65=0,"",HYPERLINK("#"&amp;RIGHT(CELL("adresse",OFFSET(DMAV_Doku!$B$6,I65-1,0)),LEN(CELL("adresse",OFFSET(DMAV_Doku!$B$6,I65-1,0)))-SEARCH("]",CELL("adresse",OFFSET(DMAV_Doku!$B$6,I65-1,0)))),"ModDoc"))</f>
        <v>ModDoc</v>
      </c>
      <c r="G65" s="150" t="str">
        <f t="shared" si="0"/>
        <v>SMUG8</v>
      </c>
      <c r="H65" s="150">
        <f t="shared" si="1"/>
        <v>0</v>
      </c>
      <c r="I65" s="150">
        <f>IF(_xlfn.XLOOKUP(G65,Korrelation!$A$4:$A$723,Korrelation!$B$4:$B$723,0,0)=0,0,MATCH(_xlfn.XLOOKUP(G65,Korrelation!$A$4:$A$723,Korrelation!$B$4:$B$723,0,0),DMAV_Doku!$H$6:$H$483,0))</f>
        <v>44</v>
      </c>
      <c r="J65" s="158"/>
      <c r="K65" s="161">
        <v>45444</v>
      </c>
      <c r="L65" s="161"/>
      <c r="M65" s="158"/>
      <c r="N65" s="51" t="s">
        <v>3967</v>
      </c>
      <c r="O65" s="51" t="s">
        <v>3906</v>
      </c>
      <c r="P65" s="51" t="s">
        <v>3386</v>
      </c>
      <c r="Q65" s="51" t="s">
        <v>949</v>
      </c>
      <c r="R65" s="51" t="s">
        <v>3417</v>
      </c>
      <c r="U65" s="52" t="s">
        <v>3409</v>
      </c>
      <c r="W65" s="52" t="s">
        <v>3419</v>
      </c>
      <c r="Y65" s="52" t="s">
        <v>3990</v>
      </c>
      <c r="AB65" s="51" t="s">
        <v>3968</v>
      </c>
      <c r="AC65" s="51" t="s">
        <v>3907</v>
      </c>
      <c r="AD65" s="51" t="s">
        <v>3971</v>
      </c>
      <c r="AE65" s="51" t="s">
        <v>949</v>
      </c>
      <c r="AF65" s="51" t="s">
        <v>3569</v>
      </c>
      <c r="AI65" s="52" t="s">
        <v>3559</v>
      </c>
      <c r="AK65" s="52" t="s">
        <v>3419</v>
      </c>
      <c r="AM65" s="52" t="s">
        <v>3991</v>
      </c>
      <c r="AP65" s="51" t="s">
        <v>3969</v>
      </c>
      <c r="AQ65" s="51" t="s">
        <v>3908</v>
      </c>
      <c r="AR65" s="51" t="s">
        <v>3973</v>
      </c>
      <c r="AS65" s="51" t="s">
        <v>949</v>
      </c>
      <c r="AT65" s="51" t="s">
        <v>3974</v>
      </c>
      <c r="AW65" s="52" t="s">
        <v>3992</v>
      </c>
      <c r="AY65" s="52" t="s">
        <v>3419</v>
      </c>
      <c r="BA65" s="52" t="s">
        <v>3993</v>
      </c>
    </row>
    <row r="66" spans="1:54" ht="38.25" x14ac:dyDescent="0.25">
      <c r="A66" s="51" t="s">
        <v>3802</v>
      </c>
      <c r="B66" s="51">
        <v>9</v>
      </c>
      <c r="E66" s="54" t="str" cm="1">
        <f t="array" aca="1" ref="E66" ca="1">IF(H66=0,"",HYPERLINK("#"&amp;RIGHT(CELL("dateiname"),LEN(CELL("dateiname"))-FIND("]",CELL("dateiname")))&amp;"!"&amp;CELL("adresse",OFFSET($Q$6,H66-1,0)),"Definition"))</f>
        <v/>
      </c>
      <c r="F66" s="54" t="str" cm="1">
        <f t="array" aca="1" ref="F66" ca="1">IF(I66=0,"",HYPERLINK("#"&amp;RIGHT(CELL("adresse",OFFSET(DMAV_Doku!$B$6,I66-1,0)),LEN(CELL("adresse",OFFSET(DMAV_Doku!$B$6,I66-1,0)))-SEARCH("]",CELL("adresse",OFFSET(DMAV_Doku!$B$6,I66-1,0)))),"ModDoc"))</f>
        <v>ModDoc</v>
      </c>
      <c r="G66" s="150" t="str">
        <f t="shared" si="0"/>
        <v>SMUG9</v>
      </c>
      <c r="H66" s="150">
        <f t="shared" si="1"/>
        <v>0</v>
      </c>
      <c r="I66" s="150">
        <f>IF(_xlfn.XLOOKUP(G66,Korrelation!$A$4:$A$723,Korrelation!$B$4:$B$723,0,0)=0,0,MATCH(_xlfn.XLOOKUP(G66,Korrelation!$A$4:$A$723,Korrelation!$B$4:$B$723,0,0),DMAV_Doku!$H$6:$H$483,0))</f>
        <v>45</v>
      </c>
      <c r="J66" s="158"/>
      <c r="K66" s="161">
        <v>46054</v>
      </c>
      <c r="L66" s="161"/>
      <c r="M66" s="158"/>
      <c r="N66" s="51" t="s">
        <v>3967</v>
      </c>
      <c r="O66" s="51" t="s">
        <v>3906</v>
      </c>
      <c r="P66" s="51" t="s">
        <v>3386</v>
      </c>
      <c r="Q66" s="51" t="s">
        <v>949</v>
      </c>
      <c r="R66" s="51" t="s">
        <v>3417</v>
      </c>
      <c r="U66" s="52" t="s">
        <v>123</v>
      </c>
      <c r="W66" s="52" t="s">
        <v>3994</v>
      </c>
      <c r="Y66" s="52" t="s">
        <v>3995</v>
      </c>
      <c r="AB66" s="51" t="s">
        <v>3968</v>
      </c>
      <c r="AC66" s="51" t="s">
        <v>3907</v>
      </c>
      <c r="AD66" s="51" t="s">
        <v>3971</v>
      </c>
      <c r="AE66" s="51" t="s">
        <v>949</v>
      </c>
      <c r="AF66" s="51" t="s">
        <v>3569</v>
      </c>
      <c r="AI66" s="52" t="s">
        <v>123</v>
      </c>
      <c r="AK66" s="52" t="s">
        <v>3994</v>
      </c>
      <c r="AM66" s="52" t="s">
        <v>3996</v>
      </c>
      <c r="AP66" s="51" t="s">
        <v>3969</v>
      </c>
      <c r="AQ66" s="51" t="s">
        <v>3908</v>
      </c>
      <c r="AR66" s="51" t="s">
        <v>3973</v>
      </c>
      <c r="AS66" s="51" t="s">
        <v>949</v>
      </c>
      <c r="AT66" s="51" t="s">
        <v>3974</v>
      </c>
      <c r="AW66" s="52" t="s">
        <v>1247</v>
      </c>
      <c r="AY66" s="52" t="s">
        <v>3994</v>
      </c>
      <c r="BA66" s="52" t="s">
        <v>3997</v>
      </c>
    </row>
    <row r="67" spans="1:54" x14ac:dyDescent="0.25">
      <c r="A67" s="51" t="s">
        <v>3803</v>
      </c>
      <c r="B67" s="51">
        <v>1</v>
      </c>
      <c r="E67" s="54" t="str" cm="1">
        <f t="array" aca="1" ref="E67" ca="1">IF(H67=0,"",HYPERLINK("#"&amp;RIGHT(CELL("dateiname"),LEN(CELL("dateiname"))-FIND("]",CELL("dateiname")))&amp;"!"&amp;CELL("adresse",OFFSET($Q$6,H67-1,0)),"Definition"))</f>
        <v/>
      </c>
      <c r="F67" s="54" t="str" cm="1">
        <f t="array" aca="1" ref="F67" ca="1">IF(I67=0,"",HYPERLINK("#"&amp;RIGHT(CELL("adresse",OFFSET(DMAV_Doku!$B$6,I67-1,0)),LEN(CELL("adresse",OFFSET(DMAV_Doku!$B$6,I67-1,0)))-SEARCH("]",CELL("adresse",OFFSET(DMAV_Doku!$B$6,I67-1,0)))),"ModDoc"))</f>
        <v/>
      </c>
      <c r="G67" s="150" t="str">
        <f t="shared" si="0"/>
        <v>MFP1</v>
      </c>
      <c r="H67" s="150">
        <f t="shared" si="1"/>
        <v>0</v>
      </c>
      <c r="I67" s="150">
        <f>IF(_xlfn.XLOOKUP(G67,Korrelation!$A$4:$A$723,Korrelation!$B$4:$B$723,0,0)=0,0,MATCH(_xlfn.XLOOKUP(G67,Korrelation!$A$4:$A$723,Korrelation!$B$4:$B$723,0,0),DMAV_Doku!$H$6:$H$483,0))</f>
        <v>0</v>
      </c>
      <c r="J67" s="158"/>
      <c r="K67" s="161"/>
      <c r="L67" s="161"/>
      <c r="M67" s="158"/>
      <c r="N67" s="51" t="s">
        <v>3998</v>
      </c>
      <c r="O67" s="51" t="s">
        <v>3886</v>
      </c>
      <c r="Q67" s="51" t="s">
        <v>910</v>
      </c>
      <c r="R67" s="51" t="s">
        <v>932</v>
      </c>
      <c r="W67" s="52"/>
      <c r="AB67" s="51" t="s">
        <v>3999</v>
      </c>
      <c r="AC67" s="51" t="s">
        <v>3887</v>
      </c>
      <c r="AE67" s="51" t="s">
        <v>910</v>
      </c>
      <c r="AF67" s="51" t="s">
        <v>932</v>
      </c>
      <c r="AP67" s="51" t="s">
        <v>4000</v>
      </c>
      <c r="AQ67" s="51" t="s">
        <v>3888</v>
      </c>
      <c r="AS67" s="51" t="s">
        <v>910</v>
      </c>
      <c r="AT67" s="51" t="s">
        <v>932</v>
      </c>
    </row>
    <row r="68" spans="1:54" x14ac:dyDescent="0.25">
      <c r="A68" s="51" t="s">
        <v>3803</v>
      </c>
      <c r="B68" s="51">
        <v>2</v>
      </c>
      <c r="C68" s="51" t="s">
        <v>3829</v>
      </c>
      <c r="E68" s="54" t="str" cm="1">
        <f t="array" aca="1" ref="E68" ca="1">IF(H68=0,"",HYPERLINK("#"&amp;RIGHT(CELL("dateiname"),LEN(CELL("dateiname"))-FIND("]",CELL("dateiname")))&amp;"!"&amp;CELL("adresse",OFFSET($Q$6,H68-1,0)),"Definition"))</f>
        <v>Definition</v>
      </c>
      <c r="F68" s="54" t="str" cm="1">
        <f t="array" aca="1" ref="F68" ca="1">IF(I68=0,"",HYPERLINK("#"&amp;RIGHT(CELL("adresse",OFFSET(DMAV_Doku!$B$6,I68-1,0)),LEN(CELL("adresse",OFFSET(DMAV_Doku!$B$6,I68-1,0)))-SEARCH("]",CELL("adresse",OFFSET(DMAV_Doku!$B$6,I68-1,0)))),"ModDoc"))</f>
        <v/>
      </c>
      <c r="G68" s="150" t="str">
        <f t="shared" si="0"/>
        <v>MFP2</v>
      </c>
      <c r="H68" s="150">
        <f t="shared" si="1"/>
        <v>17</v>
      </c>
      <c r="I68" s="150">
        <f>IF(_xlfn.XLOOKUP(G68,Korrelation!$A$4:$A$723,Korrelation!$B$4:$B$723,0,0)=0,0,MATCH(_xlfn.XLOOKUP(G68,Korrelation!$A$4:$A$723,Korrelation!$B$4:$B$723,0,0),DMAV_Doku!$H$6:$H$483,0))</f>
        <v>0</v>
      </c>
      <c r="J68" s="158"/>
      <c r="K68" s="161"/>
      <c r="L68" s="161"/>
      <c r="M68" s="158"/>
      <c r="N68" s="51" t="s">
        <v>3998</v>
      </c>
      <c r="O68" s="51" t="s">
        <v>3886</v>
      </c>
      <c r="Q68" s="51" t="s">
        <v>910</v>
      </c>
      <c r="R68" s="51" t="s">
        <v>926</v>
      </c>
      <c r="W68" s="52"/>
      <c r="AB68" s="51" t="s">
        <v>3999</v>
      </c>
      <c r="AC68" s="51" t="s">
        <v>3887</v>
      </c>
      <c r="AE68" s="51" t="s">
        <v>910</v>
      </c>
      <c r="AF68" s="51" t="s">
        <v>3921</v>
      </c>
      <c r="AP68" s="51" t="s">
        <v>4000</v>
      </c>
      <c r="AQ68" s="51" t="s">
        <v>3888</v>
      </c>
      <c r="AS68" s="51" t="s">
        <v>910</v>
      </c>
      <c r="AT68" s="51" t="s">
        <v>3923</v>
      </c>
    </row>
    <row r="69" spans="1:54" x14ac:dyDescent="0.25">
      <c r="A69" s="51" t="s">
        <v>3803</v>
      </c>
      <c r="B69" s="51">
        <v>3</v>
      </c>
      <c r="C69" s="51" t="s">
        <v>3830</v>
      </c>
      <c r="E69" s="54" t="str" cm="1">
        <f t="array" aca="1" ref="E69" ca="1">IF(H69=0,"",HYPERLINK("#"&amp;RIGHT(CELL("dateiname"),LEN(CELL("dateiname"))-FIND("]",CELL("dateiname")))&amp;"!"&amp;CELL("adresse",OFFSET($Q$6,H69-1,0)),"Definition"))</f>
        <v>Definition</v>
      </c>
      <c r="F69" s="54" t="str" cm="1">
        <f t="array" aca="1" ref="F69" ca="1">IF(I69=0,"",HYPERLINK("#"&amp;RIGHT(CELL("adresse",OFFSET(DMAV_Doku!$B$6,I69-1,0)),LEN(CELL("adresse",OFFSET(DMAV_Doku!$B$6,I69-1,0)))-SEARCH("]",CELL("adresse",OFFSET(DMAV_Doku!$B$6,I69-1,0)))),"ModDoc"))</f>
        <v/>
      </c>
      <c r="G69" s="150" t="str">
        <f t="shared" si="0"/>
        <v>MFP3</v>
      </c>
      <c r="H69" s="150">
        <f t="shared" si="1"/>
        <v>45</v>
      </c>
      <c r="I69" s="150">
        <f>IF(_xlfn.XLOOKUP(G69,Korrelation!$A$4:$A$723,Korrelation!$B$4:$B$723,0,0)=0,0,MATCH(_xlfn.XLOOKUP(G69,Korrelation!$A$4:$A$723,Korrelation!$B$4:$B$723,0,0),DMAV_Doku!$H$6:$H$483,0))</f>
        <v>0</v>
      </c>
      <c r="J69" s="158"/>
      <c r="K69" s="161"/>
      <c r="L69" s="161"/>
      <c r="M69" s="158"/>
      <c r="N69" s="51" t="s">
        <v>3998</v>
      </c>
      <c r="O69" s="51" t="s">
        <v>3886</v>
      </c>
      <c r="Q69" s="51" t="s">
        <v>910</v>
      </c>
      <c r="R69" s="51" t="s">
        <v>947</v>
      </c>
      <c r="W69" s="52"/>
      <c r="AB69" s="51" t="s">
        <v>3999</v>
      </c>
      <c r="AC69" s="51" t="s">
        <v>3887</v>
      </c>
      <c r="AE69" s="51" t="s">
        <v>910</v>
      </c>
      <c r="AF69" s="51" t="s">
        <v>3957</v>
      </c>
      <c r="AP69" s="51" t="s">
        <v>4000</v>
      </c>
      <c r="AQ69" s="51" t="s">
        <v>3888</v>
      </c>
      <c r="AS69" s="51" t="s">
        <v>910</v>
      </c>
      <c r="AT69" s="51" t="s">
        <v>3959</v>
      </c>
    </row>
    <row r="70" spans="1:54" x14ac:dyDescent="0.25">
      <c r="A70" s="51" t="s">
        <v>3803</v>
      </c>
      <c r="B70" s="51">
        <v>4</v>
      </c>
      <c r="C70" s="51" t="s">
        <v>3831</v>
      </c>
      <c r="E70" s="54" t="str" cm="1">
        <f t="array" aca="1" ref="E70" ca="1">IF(H70=0,"",HYPERLINK("#"&amp;RIGHT(CELL("dateiname"),LEN(CELL("dateiname"))-FIND("]",CELL("dateiname")))&amp;"!"&amp;CELL("adresse",OFFSET($Q$6,H70-1,0)),"Definition"))</f>
        <v>Definition</v>
      </c>
      <c r="F70" s="54" t="str" cm="1">
        <f t="array" aca="1" ref="F70" ca="1">IF(I70=0,"",HYPERLINK("#"&amp;RIGHT(CELL("adresse",OFFSET(DMAV_Doku!$B$6,I70-1,0)),LEN(CELL("adresse",OFFSET(DMAV_Doku!$B$6,I70-1,0)))-SEARCH("]",CELL("adresse",OFFSET(DMAV_Doku!$B$6,I70-1,0)))),"ModDoc"))</f>
        <v/>
      </c>
      <c r="G70" s="150" t="str">
        <f t="shared" si="0"/>
        <v>MFP4</v>
      </c>
      <c r="H70" s="150">
        <f t="shared" si="1"/>
        <v>39</v>
      </c>
      <c r="I70" s="150">
        <f>IF(_xlfn.XLOOKUP(G70,Korrelation!$A$4:$A$723,Korrelation!$B$4:$B$723,0,0)=0,0,MATCH(_xlfn.XLOOKUP(G70,Korrelation!$A$4:$A$723,Korrelation!$B$4:$B$723,0,0),DMAV_Doku!$H$6:$H$483,0))</f>
        <v>0</v>
      </c>
      <c r="J70" s="158"/>
      <c r="K70" s="161"/>
      <c r="L70" s="161"/>
      <c r="M70" s="158"/>
      <c r="N70" s="51" t="s">
        <v>3998</v>
      </c>
      <c r="O70" s="51" t="s">
        <v>3886</v>
      </c>
      <c r="Q70" s="51" t="s">
        <v>910</v>
      </c>
      <c r="R70" s="51" t="s">
        <v>938</v>
      </c>
      <c r="W70" s="52"/>
      <c r="AB70" s="51" t="s">
        <v>3999</v>
      </c>
      <c r="AC70" s="51" t="s">
        <v>3887</v>
      </c>
      <c r="AE70" s="51" t="s">
        <v>910</v>
      </c>
      <c r="AF70" s="51" t="s">
        <v>3948</v>
      </c>
      <c r="AP70" s="51" t="s">
        <v>4000</v>
      </c>
      <c r="AQ70" s="51" t="s">
        <v>3888</v>
      </c>
      <c r="AS70" s="51" t="s">
        <v>910</v>
      </c>
      <c r="AT70" s="51" t="s">
        <v>3950</v>
      </c>
    </row>
    <row r="71" spans="1:54" x14ac:dyDescent="0.25">
      <c r="A71" s="51" t="s">
        <v>3803</v>
      </c>
      <c r="B71" s="51">
        <v>5</v>
      </c>
      <c r="C71" s="51" t="s">
        <v>3832</v>
      </c>
      <c r="E71" s="54" t="str" cm="1">
        <f t="array" aca="1" ref="E71" ca="1">IF(H71=0,"",HYPERLINK("#"&amp;RIGHT(CELL("dateiname"),LEN(CELL("dateiname"))-FIND("]",CELL("dateiname")))&amp;"!"&amp;CELL("adresse",OFFSET($Q$6,H71-1,0)),"Definition"))</f>
        <v>Definition</v>
      </c>
      <c r="F71" s="54" t="str" cm="1">
        <f t="array" aca="1" ref="F71" ca="1">IF(I71=0,"",HYPERLINK("#"&amp;RIGHT(CELL("adresse",OFFSET(DMAV_Doku!$B$6,I71-1,0)),LEN(CELL("adresse",OFFSET(DMAV_Doku!$B$6,I71-1,0)))-SEARCH("]",CELL("adresse",OFFSET(DMAV_Doku!$B$6,I71-1,0)))),"ModDoc"))</f>
        <v/>
      </c>
      <c r="G71" s="150" t="str">
        <f t="shared" ref="G71:G134" si="2">A71&amp;B71</f>
        <v>MFP5</v>
      </c>
      <c r="H71" s="150">
        <f t="shared" ref="H71:H134" si="3">IF(C71="",0,MATCH(C71,$G$6:$G$677,0))</f>
        <v>18</v>
      </c>
      <c r="I71" s="150">
        <f>IF(_xlfn.XLOOKUP(G71,Korrelation!$A$4:$A$723,Korrelation!$B$4:$B$723,0,0)=0,0,MATCH(_xlfn.XLOOKUP(G71,Korrelation!$A$4:$A$723,Korrelation!$B$4:$B$723,0,0),DMAV_Doku!$H$6:$H$483,0))</f>
        <v>0</v>
      </c>
      <c r="J71" s="158"/>
      <c r="K71" s="161"/>
      <c r="L71" s="161"/>
      <c r="M71" s="158"/>
      <c r="N71" s="51" t="s">
        <v>3998</v>
      </c>
      <c r="O71" s="51" t="s">
        <v>3886</v>
      </c>
      <c r="Q71" s="51" t="s">
        <v>910</v>
      </c>
      <c r="R71" s="51" t="s">
        <v>930</v>
      </c>
      <c r="W71" s="52"/>
      <c r="AB71" s="51" t="s">
        <v>3999</v>
      </c>
      <c r="AC71" s="51" t="s">
        <v>3887</v>
      </c>
      <c r="AE71" s="51" t="s">
        <v>910</v>
      </c>
      <c r="AF71" s="51" t="s">
        <v>3925</v>
      </c>
      <c r="AP71" s="51" t="s">
        <v>4000</v>
      </c>
      <c r="AQ71" s="51" t="s">
        <v>3888</v>
      </c>
      <c r="AS71" s="51" t="s">
        <v>910</v>
      </c>
      <c r="AT71" s="51" t="s">
        <v>3927</v>
      </c>
    </row>
    <row r="72" spans="1:54" x14ac:dyDescent="0.25">
      <c r="A72" s="51" t="s">
        <v>3803</v>
      </c>
      <c r="B72" s="51">
        <v>6</v>
      </c>
      <c r="E72" s="54" t="str" cm="1">
        <f t="array" aca="1" ref="E72" ca="1">IF(H72=0,"",HYPERLINK("#"&amp;RIGHT(CELL("dateiname"),LEN(CELL("dateiname"))-FIND("]",CELL("dateiname")))&amp;"!"&amp;CELL("adresse",OFFSET($Q$6,H72-1,0)),"Definition"))</f>
        <v/>
      </c>
      <c r="F72" s="54" t="str" cm="1">
        <f t="array" aca="1" ref="F72" ca="1">IF(I72=0,"",HYPERLINK("#"&amp;RIGHT(CELL("adresse",OFFSET(DMAV_Doku!$B$6,I72-1,0)),LEN(CELL("adresse",OFFSET(DMAV_Doku!$B$6,I72-1,0)))-SEARCH("]",CELL("adresse",OFFSET(DMAV_Doku!$B$6,I72-1,0)))),"ModDoc"))</f>
        <v>ModDoc</v>
      </c>
      <c r="G72" s="150" t="str">
        <f t="shared" si="2"/>
        <v>MFP6</v>
      </c>
      <c r="H72" s="150">
        <f t="shared" si="3"/>
        <v>0</v>
      </c>
      <c r="I72" s="150">
        <f>IF(_xlfn.XLOOKUP(G72,Korrelation!$A$4:$A$723,Korrelation!$B$4:$B$723,0,0)=0,0,MATCH(_xlfn.XLOOKUP(G72,Korrelation!$A$4:$A$723,Korrelation!$B$4:$B$723,0,0),DMAV_Doku!$H$6:$H$483,0))</f>
        <v>61</v>
      </c>
      <c r="J72" s="158"/>
      <c r="K72" s="161"/>
      <c r="L72" s="161"/>
      <c r="M72" s="158"/>
      <c r="N72" s="51" t="s">
        <v>3998</v>
      </c>
      <c r="O72" s="51" t="s">
        <v>3886</v>
      </c>
      <c r="P72" s="51" t="s">
        <v>13</v>
      </c>
      <c r="Q72" s="51" t="s">
        <v>927</v>
      </c>
      <c r="R72" s="51" t="s">
        <v>152</v>
      </c>
      <c r="W72" s="52" t="s">
        <v>153</v>
      </c>
      <c r="AB72" s="51" t="s">
        <v>3999</v>
      </c>
      <c r="AC72" s="51" t="s">
        <v>3887</v>
      </c>
      <c r="AD72" s="51" t="s">
        <v>703</v>
      </c>
      <c r="AE72" s="51" t="s">
        <v>927</v>
      </c>
      <c r="AF72" s="51" t="s">
        <v>758</v>
      </c>
      <c r="AK72" s="52" t="s">
        <v>759</v>
      </c>
      <c r="AP72" s="51" t="s">
        <v>4000</v>
      </c>
      <c r="AQ72" s="51" t="s">
        <v>3888</v>
      </c>
      <c r="AR72" s="51" t="s">
        <v>4001</v>
      </c>
      <c r="AS72" s="51" t="s">
        <v>927</v>
      </c>
      <c r="AT72" s="51" t="s">
        <v>4002</v>
      </c>
      <c r="AY72" s="52" t="s">
        <v>759</v>
      </c>
    </row>
    <row r="73" spans="1:54" x14ac:dyDescent="0.25">
      <c r="A73" s="51" t="s">
        <v>3803</v>
      </c>
      <c r="B73" s="51">
        <v>7</v>
      </c>
      <c r="E73" s="54" t="str" cm="1">
        <f t="array" aca="1" ref="E73" ca="1">IF(H73=0,"",HYPERLINK("#"&amp;RIGHT(CELL("dateiname"),LEN(CELL("dateiname"))-FIND("]",CELL("dateiname")))&amp;"!"&amp;CELL("adresse",OFFSET($Q$6,H73-1,0)),"Definition"))</f>
        <v/>
      </c>
      <c r="F73" s="54" t="str" cm="1">
        <f t="array" aca="1" ref="F73" ca="1">IF(I73=0,"",HYPERLINK("#"&amp;RIGHT(CELL("adresse",OFFSET(DMAV_Doku!$B$6,I73-1,0)),LEN(CELL("adresse",OFFSET(DMAV_Doku!$B$6,I73-1,0)))-SEARCH("]",CELL("adresse",OFFSET(DMAV_Doku!$B$6,I73-1,0)))),"ModDoc"))</f>
        <v>ModDoc</v>
      </c>
      <c r="G73" s="150" t="str">
        <f t="shared" si="2"/>
        <v>MFP7</v>
      </c>
      <c r="H73" s="150">
        <f t="shared" si="3"/>
        <v>0</v>
      </c>
      <c r="I73" s="150">
        <f>IF(_xlfn.XLOOKUP(G73,Korrelation!$A$4:$A$723,Korrelation!$B$4:$B$723,0,0)=0,0,MATCH(_xlfn.XLOOKUP(G73,Korrelation!$A$4:$A$723,Korrelation!$B$4:$B$723,0,0),DMAV_Doku!$H$6:$H$483,0))</f>
        <v>62</v>
      </c>
      <c r="J73" s="158"/>
      <c r="K73" s="161"/>
      <c r="L73" s="161"/>
      <c r="M73" s="158"/>
      <c r="N73" s="51" t="s">
        <v>3998</v>
      </c>
      <c r="O73" s="51" t="s">
        <v>3886</v>
      </c>
      <c r="P73" s="51" t="s">
        <v>13</v>
      </c>
      <c r="Q73" s="51" t="s">
        <v>927</v>
      </c>
      <c r="R73" s="51" t="s">
        <v>152</v>
      </c>
      <c r="W73" s="52" t="s">
        <v>155</v>
      </c>
      <c r="AB73" s="51" t="s">
        <v>3999</v>
      </c>
      <c r="AC73" s="51" t="s">
        <v>3887</v>
      </c>
      <c r="AD73" s="51" t="s">
        <v>703</v>
      </c>
      <c r="AE73" s="51" t="s">
        <v>927</v>
      </c>
      <c r="AF73" s="51" t="s">
        <v>758</v>
      </c>
      <c r="AK73" s="52" t="s">
        <v>760</v>
      </c>
      <c r="AP73" s="51" t="s">
        <v>4000</v>
      </c>
      <c r="AQ73" s="51" t="s">
        <v>3888</v>
      </c>
      <c r="AR73" s="51" t="s">
        <v>4001</v>
      </c>
      <c r="AS73" s="51" t="s">
        <v>927</v>
      </c>
      <c r="AT73" s="51" t="s">
        <v>4002</v>
      </c>
      <c r="AY73" s="52" t="s">
        <v>4003</v>
      </c>
    </row>
    <row r="74" spans="1:54" x14ac:dyDescent="0.25">
      <c r="A74" s="51" t="s">
        <v>3803</v>
      </c>
      <c r="B74" s="51">
        <v>8</v>
      </c>
      <c r="E74" s="54" t="str" cm="1">
        <f t="array" aca="1" ref="E74" ca="1">IF(H74=0,"",HYPERLINK("#"&amp;RIGHT(CELL("dateiname"),LEN(CELL("dateiname"))-FIND("]",CELL("dateiname")))&amp;"!"&amp;CELL("adresse",OFFSET($Q$6,H74-1,0)),"Definition"))</f>
        <v/>
      </c>
      <c r="F74" s="54" t="str" cm="1">
        <f t="array" aca="1" ref="F74" ca="1">IF(I74=0,"",HYPERLINK("#"&amp;RIGHT(CELL("adresse",OFFSET(DMAV_Doku!$B$6,I74-1,0)),LEN(CELL("adresse",OFFSET(DMAV_Doku!$B$6,I74-1,0)))-SEARCH("]",CELL("adresse",OFFSET(DMAV_Doku!$B$6,I74-1,0)))),"ModDoc"))</f>
        <v>ModDoc</v>
      </c>
      <c r="G74" s="150" t="str">
        <f t="shared" si="2"/>
        <v>MFP8</v>
      </c>
      <c r="H74" s="150">
        <f t="shared" si="3"/>
        <v>0</v>
      </c>
      <c r="I74" s="150">
        <f>IF(_xlfn.XLOOKUP(G74,Korrelation!$A$4:$A$723,Korrelation!$B$4:$B$723,0,0)=0,0,MATCH(_xlfn.XLOOKUP(G74,Korrelation!$A$4:$A$723,Korrelation!$B$4:$B$723,0,0),DMAV_Doku!$H$6:$H$483,0))</f>
        <v>63</v>
      </c>
      <c r="J74" s="158"/>
      <c r="K74" s="161"/>
      <c r="L74" s="161"/>
      <c r="M74" s="158"/>
      <c r="N74" s="51" t="s">
        <v>3998</v>
      </c>
      <c r="O74" s="51" t="s">
        <v>3886</v>
      </c>
      <c r="P74" s="51" t="s">
        <v>13</v>
      </c>
      <c r="Q74" s="51" t="s">
        <v>927</v>
      </c>
      <c r="R74" s="51" t="s">
        <v>138</v>
      </c>
      <c r="W74" s="52" t="s">
        <v>139</v>
      </c>
      <c r="AB74" s="51" t="s">
        <v>3999</v>
      </c>
      <c r="AC74" s="51" t="s">
        <v>3887</v>
      </c>
      <c r="AD74" s="51" t="s">
        <v>703</v>
      </c>
      <c r="AE74" s="51" t="s">
        <v>927</v>
      </c>
      <c r="AF74" s="51" t="s">
        <v>750</v>
      </c>
      <c r="AK74" s="52" t="s">
        <v>751</v>
      </c>
      <c r="AP74" s="51" t="s">
        <v>4000</v>
      </c>
      <c r="AQ74" s="51" t="s">
        <v>3888</v>
      </c>
      <c r="AR74" s="51" t="s">
        <v>4001</v>
      </c>
      <c r="AS74" s="51" t="s">
        <v>927</v>
      </c>
      <c r="AT74" s="51" t="s">
        <v>4004</v>
      </c>
      <c r="AY74" s="52" t="s">
        <v>4005</v>
      </c>
    </row>
    <row r="75" spans="1:54" x14ac:dyDescent="0.25">
      <c r="A75" s="51" t="s">
        <v>3803</v>
      </c>
      <c r="B75" s="51">
        <v>9</v>
      </c>
      <c r="E75" s="54" t="str" cm="1">
        <f t="array" aca="1" ref="E75" ca="1">IF(H75=0,"",HYPERLINK("#"&amp;RIGHT(CELL("dateiname"),LEN(CELL("dateiname"))-FIND("]",CELL("dateiname")))&amp;"!"&amp;CELL("adresse",OFFSET($Q$6,H75-1,0)),"Definition"))</f>
        <v/>
      </c>
      <c r="F75" s="54" t="str" cm="1">
        <f t="array" aca="1" ref="F75" ca="1">IF(I75=0,"",HYPERLINK("#"&amp;RIGHT(CELL("adresse",OFFSET(DMAV_Doku!$B$6,I75-1,0)),LEN(CELL("adresse",OFFSET(DMAV_Doku!$B$6,I75-1,0)))-SEARCH("]",CELL("adresse",OFFSET(DMAV_Doku!$B$6,I75-1,0)))),"ModDoc"))</f>
        <v>ModDoc</v>
      </c>
      <c r="G75" s="150" t="str">
        <f t="shared" si="2"/>
        <v>MFP9</v>
      </c>
      <c r="H75" s="150">
        <f t="shared" si="3"/>
        <v>0</v>
      </c>
      <c r="I75" s="150">
        <f>IF(_xlfn.XLOOKUP(G75,Korrelation!$A$4:$A$723,Korrelation!$B$4:$B$723,0,0)=0,0,MATCH(_xlfn.XLOOKUP(G75,Korrelation!$A$4:$A$723,Korrelation!$B$4:$B$723,0,0),DMAV_Doku!$H$6:$H$483,0))</f>
        <v>64</v>
      </c>
      <c r="J75" s="158"/>
      <c r="K75" s="161"/>
      <c r="L75" s="161"/>
      <c r="M75" s="158"/>
      <c r="N75" s="51" t="s">
        <v>3998</v>
      </c>
      <c r="O75" s="51" t="s">
        <v>3886</v>
      </c>
      <c r="P75" s="51" t="s">
        <v>13</v>
      </c>
      <c r="Q75" s="51" t="s">
        <v>927</v>
      </c>
      <c r="R75" s="51" t="s">
        <v>138</v>
      </c>
      <c r="W75" s="52" t="s">
        <v>141</v>
      </c>
      <c r="AB75" s="51" t="s">
        <v>3999</v>
      </c>
      <c r="AC75" s="51" t="s">
        <v>3887</v>
      </c>
      <c r="AD75" s="51" t="s">
        <v>703</v>
      </c>
      <c r="AE75" s="51" t="s">
        <v>927</v>
      </c>
      <c r="AF75" s="51" t="s">
        <v>750</v>
      </c>
      <c r="AK75" s="52" t="s">
        <v>752</v>
      </c>
      <c r="AP75" s="51" t="s">
        <v>4000</v>
      </c>
      <c r="AQ75" s="51" t="s">
        <v>3888</v>
      </c>
      <c r="AR75" s="51" t="s">
        <v>4001</v>
      </c>
      <c r="AS75" s="51" t="s">
        <v>927</v>
      </c>
      <c r="AT75" s="51" t="s">
        <v>4004</v>
      </c>
      <c r="AY75" s="52" t="s">
        <v>4006</v>
      </c>
    </row>
    <row r="76" spans="1:54" x14ac:dyDescent="0.25">
      <c r="A76" s="51" t="s">
        <v>3803</v>
      </c>
      <c r="B76" s="51">
        <v>10</v>
      </c>
      <c r="E76" s="54" t="str" cm="1">
        <f t="array" aca="1" ref="E76" ca="1">IF(H76=0,"",HYPERLINK("#"&amp;RIGHT(CELL("dateiname"),LEN(CELL("dateiname"))-FIND("]",CELL("dateiname")))&amp;"!"&amp;CELL("adresse",OFFSET($Q$6,H76-1,0)),"Definition"))</f>
        <v/>
      </c>
      <c r="F76" s="54" t="str" cm="1">
        <f t="array" aca="1" ref="F76" ca="1">IF(I76=0,"",HYPERLINK("#"&amp;RIGHT(CELL("adresse",OFFSET(DMAV_Doku!$B$6,I76-1,0)),LEN(CELL("adresse",OFFSET(DMAV_Doku!$B$6,I76-1,0)))-SEARCH("]",CELL("adresse",OFFSET(DMAV_Doku!$B$6,I76-1,0)))),"ModDoc"))</f>
        <v>ModDoc</v>
      </c>
      <c r="G76" s="150" t="str">
        <f t="shared" si="2"/>
        <v>MFP10</v>
      </c>
      <c r="H76" s="150">
        <f t="shared" si="3"/>
        <v>0</v>
      </c>
      <c r="I76" s="150">
        <f>IF(_xlfn.XLOOKUP(G76,Korrelation!$A$4:$A$723,Korrelation!$B$4:$B$723,0,0)=0,0,MATCH(_xlfn.XLOOKUP(G76,Korrelation!$A$4:$A$723,Korrelation!$B$4:$B$723,0,0),DMAV_Doku!$H$6:$H$483,0))</f>
        <v>65</v>
      </c>
      <c r="J76" s="158"/>
      <c r="K76" s="161"/>
      <c r="L76" s="161"/>
      <c r="M76" s="158"/>
      <c r="N76" s="51" t="s">
        <v>3998</v>
      </c>
      <c r="O76" s="51" t="s">
        <v>3886</v>
      </c>
      <c r="P76" s="51" t="s">
        <v>13</v>
      </c>
      <c r="Q76" s="51" t="s">
        <v>927</v>
      </c>
      <c r="R76" s="51" t="s">
        <v>138</v>
      </c>
      <c r="W76" s="52" t="s">
        <v>143</v>
      </c>
      <c r="AB76" s="51" t="s">
        <v>3999</v>
      </c>
      <c r="AC76" s="51" t="s">
        <v>3887</v>
      </c>
      <c r="AD76" s="51" t="s">
        <v>703</v>
      </c>
      <c r="AE76" s="51" t="s">
        <v>927</v>
      </c>
      <c r="AF76" s="51" t="s">
        <v>750</v>
      </c>
      <c r="AK76" s="52" t="s">
        <v>753</v>
      </c>
      <c r="AP76" s="51" t="s">
        <v>4000</v>
      </c>
      <c r="AQ76" s="51" t="s">
        <v>3888</v>
      </c>
      <c r="AR76" s="51" t="s">
        <v>4001</v>
      </c>
      <c r="AS76" s="51" t="s">
        <v>927</v>
      </c>
      <c r="AT76" s="51" t="s">
        <v>4004</v>
      </c>
      <c r="AY76" s="52" t="s">
        <v>4007</v>
      </c>
    </row>
    <row r="77" spans="1:54" x14ac:dyDescent="0.25">
      <c r="A77" s="51" t="s">
        <v>3803</v>
      </c>
      <c r="B77" s="51">
        <v>11</v>
      </c>
      <c r="E77" s="54" t="str" cm="1">
        <f t="array" aca="1" ref="E77" ca="1">IF(H77=0,"",HYPERLINK("#"&amp;RIGHT(CELL("dateiname"),LEN(CELL("dateiname"))-FIND("]",CELL("dateiname")))&amp;"!"&amp;CELL("adresse",OFFSET($Q$6,H77-1,0)),"Definition"))</f>
        <v/>
      </c>
      <c r="F77" s="54" t="str" cm="1">
        <f t="array" aca="1" ref="F77" ca="1">IF(I77=0,"",HYPERLINK("#"&amp;RIGHT(CELL("adresse",OFFSET(DMAV_Doku!$B$6,I77-1,0)),LEN(CELL("adresse",OFFSET(DMAV_Doku!$B$6,I77-1,0)))-SEARCH("]",CELL("adresse",OFFSET(DMAV_Doku!$B$6,I77-1,0)))),"ModDoc"))</f>
        <v>ModDoc</v>
      </c>
      <c r="G77" s="150" t="str">
        <f t="shared" si="2"/>
        <v>MFP11</v>
      </c>
      <c r="H77" s="150">
        <f t="shared" si="3"/>
        <v>0</v>
      </c>
      <c r="I77" s="150">
        <f>IF(_xlfn.XLOOKUP(G77,Korrelation!$A$4:$A$723,Korrelation!$B$4:$B$723,0,0)=0,0,MATCH(_xlfn.XLOOKUP(G77,Korrelation!$A$4:$A$723,Korrelation!$B$4:$B$723,0,0),DMAV_Doku!$H$6:$H$483,0))</f>
        <v>66</v>
      </c>
      <c r="J77" s="158"/>
      <c r="K77" s="161"/>
      <c r="L77" s="161"/>
      <c r="M77" s="158"/>
      <c r="N77" s="51" t="s">
        <v>3998</v>
      </c>
      <c r="O77" s="51" t="s">
        <v>3886</v>
      </c>
      <c r="P77" s="51" t="s">
        <v>13</v>
      </c>
      <c r="Q77" s="51" t="s">
        <v>927</v>
      </c>
      <c r="R77" s="51" t="s">
        <v>157</v>
      </c>
      <c r="W77" s="52" t="s">
        <v>158</v>
      </c>
      <c r="AB77" s="51" t="s">
        <v>3999</v>
      </c>
      <c r="AC77" s="51" t="s">
        <v>3887</v>
      </c>
      <c r="AD77" s="51" t="s">
        <v>703</v>
      </c>
      <c r="AE77" s="51" t="s">
        <v>927</v>
      </c>
      <c r="AF77" s="51" t="s">
        <v>761</v>
      </c>
      <c r="AK77" s="52" t="s">
        <v>762</v>
      </c>
      <c r="AP77" s="51" t="s">
        <v>4000</v>
      </c>
      <c r="AQ77" s="51" t="s">
        <v>3888</v>
      </c>
      <c r="AR77" s="51" t="s">
        <v>4001</v>
      </c>
      <c r="AS77" s="51" t="s">
        <v>927</v>
      </c>
      <c r="AT77" s="51" t="s">
        <v>4008</v>
      </c>
      <c r="AY77" s="52" t="s">
        <v>4009</v>
      </c>
    </row>
    <row r="78" spans="1:54" x14ac:dyDescent="0.25">
      <c r="A78" s="51" t="s">
        <v>3803</v>
      </c>
      <c r="B78" s="51">
        <v>12</v>
      </c>
      <c r="E78" s="54" t="str" cm="1">
        <f t="array" aca="1" ref="E78" ca="1">IF(H78=0,"",HYPERLINK("#"&amp;RIGHT(CELL("dateiname"),LEN(CELL("dateiname"))-FIND("]",CELL("dateiname")))&amp;"!"&amp;CELL("adresse",OFFSET($Q$6,H78-1,0)),"Definition"))</f>
        <v/>
      </c>
      <c r="F78" s="54" t="str" cm="1">
        <f t="array" aca="1" ref="F78" ca="1">IF(I78=0,"",HYPERLINK("#"&amp;RIGHT(CELL("adresse",OFFSET(DMAV_Doku!$B$6,I78-1,0)),LEN(CELL("adresse",OFFSET(DMAV_Doku!$B$6,I78-1,0)))-SEARCH("]",CELL("adresse",OFFSET(DMAV_Doku!$B$6,I78-1,0)))),"ModDoc"))</f>
        <v>ModDoc</v>
      </c>
      <c r="G78" s="150" t="str">
        <f t="shared" si="2"/>
        <v>MFP12</v>
      </c>
      <c r="H78" s="150">
        <f t="shared" si="3"/>
        <v>0</v>
      </c>
      <c r="I78" s="150">
        <f>IF(_xlfn.XLOOKUP(G78,Korrelation!$A$4:$A$723,Korrelation!$B$4:$B$723,0,0)=0,0,MATCH(_xlfn.XLOOKUP(G78,Korrelation!$A$4:$A$723,Korrelation!$B$4:$B$723,0,0),DMAV_Doku!$H$6:$H$483,0))</f>
        <v>67</v>
      </c>
      <c r="J78" s="158"/>
      <c r="K78" s="161"/>
      <c r="L78" s="161"/>
      <c r="M78" s="158"/>
      <c r="N78" s="51" t="s">
        <v>3998</v>
      </c>
      <c r="O78" s="51" t="s">
        <v>3886</v>
      </c>
      <c r="P78" s="51" t="s">
        <v>13</v>
      </c>
      <c r="Q78" s="51" t="s">
        <v>927</v>
      </c>
      <c r="R78" s="51" t="s">
        <v>157</v>
      </c>
      <c r="W78" s="52" t="s">
        <v>160</v>
      </c>
      <c r="AB78" s="51" t="s">
        <v>3999</v>
      </c>
      <c r="AC78" s="51" t="s">
        <v>3887</v>
      </c>
      <c r="AD78" s="51" t="s">
        <v>703</v>
      </c>
      <c r="AE78" s="51" t="s">
        <v>927</v>
      </c>
      <c r="AF78" s="51" t="s">
        <v>761</v>
      </c>
      <c r="AK78" s="52" t="s">
        <v>763</v>
      </c>
      <c r="AP78" s="51" t="s">
        <v>4000</v>
      </c>
      <c r="AQ78" s="51" t="s">
        <v>3888</v>
      </c>
      <c r="AR78" s="51" t="s">
        <v>4001</v>
      </c>
      <c r="AS78" s="51" t="s">
        <v>927</v>
      </c>
      <c r="AT78" s="51" t="s">
        <v>4008</v>
      </c>
      <c r="AY78" s="52" t="s">
        <v>4010</v>
      </c>
    </row>
    <row r="79" spans="1:54" x14ac:dyDescent="0.25">
      <c r="A79" s="51" t="s">
        <v>3803</v>
      </c>
      <c r="B79" s="51">
        <v>13</v>
      </c>
      <c r="E79" s="54" t="str" cm="1">
        <f t="array" aca="1" ref="E79" ca="1">IF(H79=0,"",HYPERLINK("#"&amp;RIGHT(CELL("dateiname"),LEN(CELL("dateiname"))-FIND("]",CELL("dateiname")))&amp;"!"&amp;CELL("adresse",OFFSET($Q$6,H79-1,0)),"Definition"))</f>
        <v/>
      </c>
      <c r="F79" s="54" t="str" cm="1">
        <f t="array" aca="1" ref="F79" ca="1">IF(I79=0,"",HYPERLINK("#"&amp;RIGHT(CELL("adresse",OFFSET(DMAV_Doku!$B$6,I79-1,0)),LEN(CELL("adresse",OFFSET(DMAV_Doku!$B$6,I79-1,0)))-SEARCH("]",CELL("adresse",OFFSET(DMAV_Doku!$B$6,I79-1,0)))),"ModDoc"))</f>
        <v>ModDoc</v>
      </c>
      <c r="G79" s="150" t="str">
        <f t="shared" si="2"/>
        <v>MFP13</v>
      </c>
      <c r="H79" s="150">
        <f t="shared" si="3"/>
        <v>0</v>
      </c>
      <c r="I79" s="150">
        <f>IF(_xlfn.XLOOKUP(G79,Korrelation!$A$4:$A$723,Korrelation!$B$4:$B$723,0,0)=0,0,MATCH(_xlfn.XLOOKUP(G79,Korrelation!$A$4:$A$723,Korrelation!$B$4:$B$723,0,0),DMAV_Doku!$H$6:$H$483,0))</f>
        <v>68</v>
      </c>
      <c r="J79" s="158"/>
      <c r="K79" s="161"/>
      <c r="L79" s="161"/>
      <c r="M79" s="158"/>
      <c r="N79" s="51" t="s">
        <v>3998</v>
      </c>
      <c r="O79" s="51" t="s">
        <v>3886</v>
      </c>
      <c r="P79" s="51" t="s">
        <v>13</v>
      </c>
      <c r="Q79" s="51" t="s">
        <v>927</v>
      </c>
      <c r="R79" s="51" t="s">
        <v>157</v>
      </c>
      <c r="W79" s="52" t="s">
        <v>162</v>
      </c>
      <c r="AB79" s="51" t="s">
        <v>3999</v>
      </c>
      <c r="AC79" s="51" t="s">
        <v>3887</v>
      </c>
      <c r="AD79" s="51" t="s">
        <v>703</v>
      </c>
      <c r="AE79" s="51" t="s">
        <v>927</v>
      </c>
      <c r="AF79" s="51" t="s">
        <v>761</v>
      </c>
      <c r="AK79" s="52" t="s">
        <v>764</v>
      </c>
      <c r="AP79" s="51" t="s">
        <v>4000</v>
      </c>
      <c r="AQ79" s="51" t="s">
        <v>3888</v>
      </c>
      <c r="AR79" s="51" t="s">
        <v>4001</v>
      </c>
      <c r="AS79" s="51" t="s">
        <v>927</v>
      </c>
      <c r="AT79" s="51" t="s">
        <v>4008</v>
      </c>
      <c r="AY79" s="52" t="s">
        <v>4011</v>
      </c>
    </row>
    <row r="80" spans="1:54" x14ac:dyDescent="0.25">
      <c r="A80" s="51" t="s">
        <v>3803</v>
      </c>
      <c r="B80" s="51">
        <v>14</v>
      </c>
      <c r="D80" s="51" t="s">
        <v>3432</v>
      </c>
      <c r="E80" s="54" t="str" cm="1">
        <f t="array" aca="1" ref="E80" ca="1">IF(H80=0,"",HYPERLINK("#"&amp;RIGHT(CELL("dateiname"),LEN(CELL("dateiname"))-FIND("]",CELL("dateiname")))&amp;"!"&amp;CELL("adresse",OFFSET($Q$6,H80-1,0)),"Definition"))</f>
        <v/>
      </c>
      <c r="F80" s="54" t="str" cm="1">
        <f t="array" aca="1" ref="F80" ca="1">IF(I80=0,"",HYPERLINK("#"&amp;RIGHT(CELL("adresse",OFFSET(DMAV_Doku!$B$6,I80-1,0)),LEN(CELL("adresse",OFFSET(DMAV_Doku!$B$6,I80-1,0)))-SEARCH("]",CELL("adresse",OFFSET(DMAV_Doku!$B$6,I80-1,0)))),"ModDoc"))</f>
        <v>ModDoc</v>
      </c>
      <c r="G80" s="150" t="str">
        <f t="shared" si="2"/>
        <v>MFP14</v>
      </c>
      <c r="H80" s="150">
        <f t="shared" si="3"/>
        <v>0</v>
      </c>
      <c r="I80" s="150">
        <f>IF(_xlfn.XLOOKUP(G80,Korrelation!$A$4:$A$723,Korrelation!$B$4:$B$723,0,0)=0,0,MATCH(_xlfn.XLOOKUP(G80,Korrelation!$A$4:$A$723,Korrelation!$B$4:$B$723,0,0),DMAV_Doku!$H$6:$H$483,0))</f>
        <v>69</v>
      </c>
      <c r="J80" s="158"/>
      <c r="K80" s="161"/>
      <c r="L80" s="161"/>
      <c r="M80" s="158"/>
      <c r="N80" s="51" t="s">
        <v>3998</v>
      </c>
      <c r="O80" s="51" t="s">
        <v>3886</v>
      </c>
      <c r="P80" s="51" t="s">
        <v>13</v>
      </c>
      <c r="Q80" s="51" t="s">
        <v>949</v>
      </c>
      <c r="R80" s="51" t="s">
        <v>164</v>
      </c>
      <c r="S80" s="50" t="s">
        <v>950</v>
      </c>
      <c r="T80" s="51" t="s">
        <v>959</v>
      </c>
      <c r="U80" s="52" t="s">
        <v>96</v>
      </c>
      <c r="W80" s="52" t="s">
        <v>951</v>
      </c>
      <c r="Z80" s="200" t="s">
        <v>6006</v>
      </c>
      <c r="AB80" s="51" t="s">
        <v>3999</v>
      </c>
      <c r="AC80" s="51" t="s">
        <v>3887</v>
      </c>
      <c r="AD80" s="51" t="s">
        <v>703</v>
      </c>
      <c r="AE80" s="51" t="s">
        <v>949</v>
      </c>
      <c r="AF80" s="51" t="s">
        <v>765</v>
      </c>
      <c r="AG80" s="50" t="s">
        <v>950</v>
      </c>
      <c r="AH80" s="51" t="s">
        <v>959</v>
      </c>
      <c r="AI80" s="52" t="s">
        <v>733</v>
      </c>
      <c r="AK80" s="52" t="s">
        <v>951</v>
      </c>
      <c r="AN80" s="234" t="s">
        <v>6008</v>
      </c>
      <c r="AP80" s="51" t="s">
        <v>4000</v>
      </c>
      <c r="AQ80" s="51" t="s">
        <v>3888</v>
      </c>
      <c r="AR80" s="51" t="s">
        <v>4001</v>
      </c>
      <c r="AS80" s="51" t="s">
        <v>949</v>
      </c>
      <c r="AT80" s="51" t="s">
        <v>4012</v>
      </c>
      <c r="AU80" s="50" t="s">
        <v>950</v>
      </c>
      <c r="AV80" s="51" t="s">
        <v>959</v>
      </c>
      <c r="AW80" s="52" t="s">
        <v>1378</v>
      </c>
      <c r="AY80" s="52" t="s">
        <v>951</v>
      </c>
      <c r="BB80" s="200" t="s">
        <v>6009</v>
      </c>
    </row>
    <row r="81" spans="1:54" x14ac:dyDescent="0.25">
      <c r="A81" s="51" t="s">
        <v>3803</v>
      </c>
      <c r="B81" s="51">
        <v>15</v>
      </c>
      <c r="D81" s="51" t="s">
        <v>3432</v>
      </c>
      <c r="E81" s="54" t="str" cm="1">
        <f t="array" aca="1" ref="E81" ca="1">IF(H81=0,"",HYPERLINK("#"&amp;RIGHT(CELL("dateiname"),LEN(CELL("dateiname"))-FIND("]",CELL("dateiname")))&amp;"!"&amp;CELL("adresse",OFFSET($Q$6,H81-1,0)),"Definition"))</f>
        <v/>
      </c>
      <c r="F81" s="54" t="str" cm="1">
        <f t="array" aca="1" ref="F81" ca="1">IF(I81=0,"",HYPERLINK("#"&amp;RIGHT(CELL("adresse",OFFSET(DMAV_Doku!$B$6,I81-1,0)),LEN(CELL("adresse",OFFSET(DMAV_Doku!$B$6,I81-1,0)))-SEARCH("]",CELL("adresse",OFFSET(DMAV_Doku!$B$6,I81-1,0)))),"ModDoc"))</f>
        <v>ModDoc</v>
      </c>
      <c r="G81" s="150" t="str">
        <f t="shared" si="2"/>
        <v>MFP15</v>
      </c>
      <c r="H81" s="150">
        <f t="shared" si="3"/>
        <v>0</v>
      </c>
      <c r="I81" s="150">
        <f>IF(_xlfn.XLOOKUP(G81,Korrelation!$A$4:$A$723,Korrelation!$B$4:$B$723,0,0)=0,0,MATCH(_xlfn.XLOOKUP(G81,Korrelation!$A$4:$A$723,Korrelation!$B$4:$B$723,0,0),DMAV_Doku!$H$6:$H$483,0))</f>
        <v>70</v>
      </c>
      <c r="J81" s="158"/>
      <c r="K81" s="161"/>
      <c r="L81" s="161"/>
      <c r="M81" s="158"/>
      <c r="N81" s="51" t="s">
        <v>3998</v>
      </c>
      <c r="O81" s="51" t="s">
        <v>3886</v>
      </c>
      <c r="P81" s="51" t="s">
        <v>13</v>
      </c>
      <c r="Q81" s="51" t="s">
        <v>949</v>
      </c>
      <c r="R81" s="51" t="s">
        <v>164</v>
      </c>
      <c r="S81" s="50" t="s">
        <v>950</v>
      </c>
      <c r="T81" s="51" t="s">
        <v>959</v>
      </c>
      <c r="U81" s="52" t="s">
        <v>99</v>
      </c>
      <c r="W81" s="52" t="s">
        <v>951</v>
      </c>
      <c r="Y81" s="52" t="s">
        <v>1599</v>
      </c>
      <c r="Z81" s="200" t="s">
        <v>6006</v>
      </c>
      <c r="AB81" s="51" t="s">
        <v>3999</v>
      </c>
      <c r="AC81" s="51" t="s">
        <v>3887</v>
      </c>
      <c r="AD81" s="51" t="s">
        <v>703</v>
      </c>
      <c r="AE81" s="51" t="s">
        <v>949</v>
      </c>
      <c r="AF81" s="51" t="s">
        <v>765</v>
      </c>
      <c r="AG81" s="50" t="s">
        <v>950</v>
      </c>
      <c r="AH81" s="51" t="s">
        <v>959</v>
      </c>
      <c r="AI81" s="52" t="s">
        <v>734</v>
      </c>
      <c r="AK81" s="52" t="s">
        <v>951</v>
      </c>
      <c r="AN81" s="234" t="s">
        <v>6008</v>
      </c>
      <c r="AP81" s="51" t="s">
        <v>4000</v>
      </c>
      <c r="AQ81" s="51" t="s">
        <v>3888</v>
      </c>
      <c r="AR81" s="51" t="s">
        <v>4001</v>
      </c>
      <c r="AS81" s="51" t="s">
        <v>949</v>
      </c>
      <c r="AT81" s="51" t="s">
        <v>4012</v>
      </c>
      <c r="AU81" s="50" t="s">
        <v>950</v>
      </c>
      <c r="AV81" s="51" t="s">
        <v>959</v>
      </c>
      <c r="AW81" s="52" t="s">
        <v>1376</v>
      </c>
      <c r="AY81" s="52" t="s">
        <v>951</v>
      </c>
      <c r="BB81" s="52" t="s">
        <v>6009</v>
      </c>
    </row>
    <row r="82" spans="1:54" x14ac:dyDescent="0.25">
      <c r="A82" s="51" t="s">
        <v>3803</v>
      </c>
      <c r="B82" s="51">
        <v>16</v>
      </c>
      <c r="E82" s="54" t="str" cm="1">
        <f t="array" aca="1" ref="E82" ca="1">IF(H82=0,"",HYPERLINK("#"&amp;RIGHT(CELL("dateiname"),LEN(CELL("dateiname"))-FIND("]",CELL("dateiname")))&amp;"!"&amp;CELL("adresse",OFFSET($Q$6,H82-1,0)),"Definition"))</f>
        <v/>
      </c>
      <c r="F82" s="54" t="str" cm="1">
        <f t="array" aca="1" ref="F82" ca="1">IF(I82=0,"",HYPERLINK("#"&amp;RIGHT(CELL("adresse",OFFSET(DMAV_Doku!$B$6,I82-1,0)),LEN(CELL("adresse",OFFSET(DMAV_Doku!$B$6,I82-1,0)))-SEARCH("]",CELL("adresse",OFFSET(DMAV_Doku!$B$6,I82-1,0)))),"ModDoc"))</f>
        <v>ModDoc</v>
      </c>
      <c r="G82" s="150" t="str">
        <f t="shared" si="2"/>
        <v>MFP16</v>
      </c>
      <c r="H82" s="150">
        <f t="shared" si="3"/>
        <v>0</v>
      </c>
      <c r="I82" s="150">
        <f>IF(_xlfn.XLOOKUP(G82,Korrelation!$A$4:$A$723,Korrelation!$B$4:$B$723,0,0)=0,0,MATCH(_xlfn.XLOOKUP(G82,Korrelation!$A$4:$A$723,Korrelation!$B$4:$B$723,0,0),DMAV_Doku!$H$6:$H$483,0))</f>
        <v>71</v>
      </c>
      <c r="J82" s="158"/>
      <c r="K82" s="161"/>
      <c r="L82" s="161"/>
      <c r="M82" s="158"/>
      <c r="N82" s="51" t="s">
        <v>3998</v>
      </c>
      <c r="O82" s="51" t="s">
        <v>3886</v>
      </c>
      <c r="P82" s="51" t="s">
        <v>13</v>
      </c>
      <c r="Q82" s="51" t="s">
        <v>949</v>
      </c>
      <c r="R82" s="51" t="s">
        <v>164</v>
      </c>
      <c r="S82" s="50" t="s">
        <v>950</v>
      </c>
      <c r="U82" s="52" t="s">
        <v>101</v>
      </c>
      <c r="W82" s="52" t="s">
        <v>964</v>
      </c>
      <c r="AB82" s="51" t="s">
        <v>3999</v>
      </c>
      <c r="AC82" s="51" t="s">
        <v>3887</v>
      </c>
      <c r="AD82" s="51" t="s">
        <v>703</v>
      </c>
      <c r="AE82" s="51" t="s">
        <v>949</v>
      </c>
      <c r="AF82" s="51" t="s">
        <v>765</v>
      </c>
      <c r="AG82" s="50" t="s">
        <v>950</v>
      </c>
      <c r="AI82" s="52" t="s">
        <v>735</v>
      </c>
      <c r="AK82" s="52" t="s">
        <v>964</v>
      </c>
      <c r="AP82" s="51" t="s">
        <v>4000</v>
      </c>
      <c r="AQ82" s="51" t="s">
        <v>3888</v>
      </c>
      <c r="AR82" s="51" t="s">
        <v>4001</v>
      </c>
      <c r="AS82" s="51" t="s">
        <v>949</v>
      </c>
      <c r="AT82" s="51" t="s">
        <v>4012</v>
      </c>
      <c r="AU82" s="50" t="s">
        <v>950</v>
      </c>
      <c r="AW82" s="52" t="s">
        <v>1294</v>
      </c>
      <c r="AY82" s="52" t="s">
        <v>964</v>
      </c>
    </row>
    <row r="83" spans="1:54" ht="38.25" x14ac:dyDescent="0.25">
      <c r="A83" s="51" t="s">
        <v>3803</v>
      </c>
      <c r="B83" s="51">
        <v>17</v>
      </c>
      <c r="E83" s="54" t="str" cm="1">
        <f t="array" aca="1" ref="E83" ca="1">IF(H83=0,"",HYPERLINK("#"&amp;RIGHT(CELL("dateiname"),LEN(CELL("dateiname"))-FIND("]",CELL("dateiname")))&amp;"!"&amp;CELL("adresse",OFFSET($Q$6,H83-1,0)),"Definition"))</f>
        <v/>
      </c>
      <c r="F83" s="54" t="str" cm="1">
        <f t="array" aca="1" ref="F83" ca="1">IF(I83=0,"",HYPERLINK("#"&amp;RIGHT(CELL("adresse",OFFSET(DMAV_Doku!$B$6,I83-1,0)),LEN(CELL("adresse",OFFSET(DMAV_Doku!$B$6,I83-1,0)))-SEARCH("]",CELL("adresse",OFFSET(DMAV_Doku!$B$6,I83-1,0)))),"ModDoc"))</f>
        <v>ModDoc</v>
      </c>
      <c r="G83" s="150" t="str">
        <f t="shared" si="2"/>
        <v>MFP17</v>
      </c>
      <c r="H83" s="150">
        <f t="shared" si="3"/>
        <v>0</v>
      </c>
      <c r="I83" s="150">
        <f>IF(_xlfn.XLOOKUP(G83,Korrelation!$A$4:$A$723,Korrelation!$B$4:$B$723,0,0)=0,0,MATCH(_xlfn.XLOOKUP(G83,Korrelation!$A$4:$A$723,Korrelation!$B$4:$B$723,0,0),DMAV_Doku!$H$6:$H$483,0))</f>
        <v>72</v>
      </c>
      <c r="J83" s="158"/>
      <c r="K83" s="161"/>
      <c r="L83" s="161"/>
      <c r="M83" s="158"/>
      <c r="N83" s="51" t="s">
        <v>3998</v>
      </c>
      <c r="O83" s="51" t="s">
        <v>3886</v>
      </c>
      <c r="P83" s="51" t="s">
        <v>13</v>
      </c>
      <c r="Q83" s="51" t="s">
        <v>949</v>
      </c>
      <c r="R83" s="51" t="s">
        <v>164</v>
      </c>
      <c r="U83" s="52" t="s">
        <v>104</v>
      </c>
      <c r="W83" s="52" t="s">
        <v>965</v>
      </c>
      <c r="AB83" s="51" t="s">
        <v>3999</v>
      </c>
      <c r="AC83" s="51" t="s">
        <v>3887</v>
      </c>
      <c r="AD83" s="51" t="s">
        <v>703</v>
      </c>
      <c r="AE83" s="51" t="s">
        <v>949</v>
      </c>
      <c r="AF83" s="51" t="s">
        <v>765</v>
      </c>
      <c r="AI83" s="52" t="s">
        <v>736</v>
      </c>
      <c r="AK83" s="52" t="s">
        <v>965</v>
      </c>
      <c r="AP83" s="51" t="s">
        <v>4000</v>
      </c>
      <c r="AQ83" s="51" t="s">
        <v>3888</v>
      </c>
      <c r="AR83" s="51" t="s">
        <v>4001</v>
      </c>
      <c r="AS83" s="51" t="s">
        <v>949</v>
      </c>
      <c r="AT83" s="51" t="s">
        <v>4012</v>
      </c>
      <c r="AW83" s="52" t="s">
        <v>1595</v>
      </c>
      <c r="AY83" s="52" t="s">
        <v>965</v>
      </c>
    </row>
    <row r="84" spans="1:54" x14ac:dyDescent="0.25">
      <c r="A84" s="51" t="s">
        <v>3803</v>
      </c>
      <c r="B84" s="51">
        <v>18</v>
      </c>
      <c r="E84" s="54" t="str" cm="1">
        <f t="array" aca="1" ref="E84" ca="1">IF(H84=0,"",HYPERLINK("#"&amp;RIGHT(CELL("dateiname"),LEN(CELL("dateiname"))-FIND("]",CELL("dateiname")))&amp;"!"&amp;CELL("adresse",OFFSET($Q$6,H84-1,0)),"Definition"))</f>
        <v/>
      </c>
      <c r="F84" s="54" t="str" cm="1">
        <f t="array" aca="1" ref="F84" ca="1">IF(I84=0,"",HYPERLINK("#"&amp;RIGHT(CELL("adresse",OFFSET(DMAV_Doku!$B$6,I84-1,0)),LEN(CELL("adresse",OFFSET(DMAV_Doku!$B$6,I84-1,0)))-SEARCH("]",CELL("adresse",OFFSET(DMAV_Doku!$B$6,I84-1,0)))),"ModDoc"))</f>
        <v>ModDoc</v>
      </c>
      <c r="G84" s="150" t="str">
        <f t="shared" si="2"/>
        <v>MFP18</v>
      </c>
      <c r="H84" s="150">
        <f t="shared" si="3"/>
        <v>0</v>
      </c>
      <c r="I84" s="150">
        <f>IF(_xlfn.XLOOKUP(G84,Korrelation!$A$4:$A$723,Korrelation!$B$4:$B$723,0,0)=0,0,MATCH(_xlfn.XLOOKUP(G84,Korrelation!$A$4:$A$723,Korrelation!$B$4:$B$723,0,0),DMAV_Doku!$H$6:$H$483,0))</f>
        <v>73</v>
      </c>
      <c r="J84" s="158"/>
      <c r="K84" s="161"/>
      <c r="L84" s="161"/>
      <c r="M84" s="158"/>
      <c r="N84" s="51" t="s">
        <v>3998</v>
      </c>
      <c r="O84" s="51" t="s">
        <v>3886</v>
      </c>
      <c r="P84" s="51" t="s">
        <v>13</v>
      </c>
      <c r="Q84" s="51" t="s">
        <v>949</v>
      </c>
      <c r="R84" s="51" t="s">
        <v>164</v>
      </c>
      <c r="S84" s="50" t="s">
        <v>950</v>
      </c>
      <c r="U84" s="52" t="s">
        <v>107</v>
      </c>
      <c r="W84" s="52" t="s">
        <v>966</v>
      </c>
      <c r="AB84" s="51" t="s">
        <v>3999</v>
      </c>
      <c r="AC84" s="51" t="s">
        <v>3887</v>
      </c>
      <c r="AD84" s="51" t="s">
        <v>703</v>
      </c>
      <c r="AE84" s="51" t="s">
        <v>949</v>
      </c>
      <c r="AF84" s="51" t="s">
        <v>765</v>
      </c>
      <c r="AG84" s="50" t="s">
        <v>950</v>
      </c>
      <c r="AI84" s="52" t="s">
        <v>737</v>
      </c>
      <c r="AK84" s="52" t="s">
        <v>4013</v>
      </c>
      <c r="AP84" s="51" t="s">
        <v>4000</v>
      </c>
      <c r="AQ84" s="51" t="s">
        <v>3888</v>
      </c>
      <c r="AR84" s="51" t="s">
        <v>4001</v>
      </c>
      <c r="AS84" s="51" t="s">
        <v>949</v>
      </c>
      <c r="AT84" s="51" t="s">
        <v>4012</v>
      </c>
      <c r="AU84" s="50" t="s">
        <v>950</v>
      </c>
      <c r="AW84" s="52" t="s">
        <v>4014</v>
      </c>
      <c r="AY84" s="52" t="s">
        <v>4013</v>
      </c>
    </row>
    <row r="85" spans="1:54" x14ac:dyDescent="0.25">
      <c r="A85" s="51" t="s">
        <v>3803</v>
      </c>
      <c r="B85" s="51">
        <v>19</v>
      </c>
      <c r="D85" s="51" t="s">
        <v>4015</v>
      </c>
      <c r="E85" s="54" t="str" cm="1">
        <f t="array" aca="1" ref="E85" ca="1">IF(H85=0,"",HYPERLINK("#"&amp;RIGHT(CELL("dateiname"),LEN(CELL("dateiname"))-FIND("]",CELL("dateiname")))&amp;"!"&amp;CELL("adresse",OFFSET($Q$6,H85-1,0)),"Definition"))</f>
        <v/>
      </c>
      <c r="F85" s="54" t="str" cm="1">
        <f t="array" aca="1" ref="F85" ca="1">IF(I85=0,"",HYPERLINK("#"&amp;RIGHT(CELL("adresse",OFFSET(DMAV_Doku!$B$6,I85-1,0)),LEN(CELL("adresse",OFFSET(DMAV_Doku!$B$6,I85-1,0)))-SEARCH("]",CELL("adresse",OFFSET(DMAV_Doku!$B$6,I85-1,0)))),"ModDoc"))</f>
        <v>ModDoc</v>
      </c>
      <c r="G85" s="150" t="str">
        <f t="shared" si="2"/>
        <v>MFP19</v>
      </c>
      <c r="H85" s="150">
        <f t="shared" si="3"/>
        <v>0</v>
      </c>
      <c r="I85" s="150">
        <f>IF(_xlfn.XLOOKUP(G85,Korrelation!$A$4:$A$723,Korrelation!$B$4:$B$723,0,0)=0,0,MATCH(_xlfn.XLOOKUP(G85,Korrelation!$A$4:$A$723,Korrelation!$B$4:$B$723,0,0),DMAV_Doku!$H$6:$H$483,0))</f>
        <v>74</v>
      </c>
      <c r="J85" s="158"/>
      <c r="K85" s="161"/>
      <c r="L85" s="161"/>
      <c r="M85" s="158"/>
      <c r="N85" s="51" t="s">
        <v>3998</v>
      </c>
      <c r="O85" s="51" t="s">
        <v>3886</v>
      </c>
      <c r="P85" s="51" t="s">
        <v>13</v>
      </c>
      <c r="Q85" s="51" t="s">
        <v>949</v>
      </c>
      <c r="R85" s="51" t="s">
        <v>153</v>
      </c>
      <c r="S85" s="50" t="s">
        <v>950</v>
      </c>
      <c r="T85" s="51" t="s">
        <v>962</v>
      </c>
      <c r="U85" s="52" t="s">
        <v>96</v>
      </c>
      <c r="W85" s="52" t="s">
        <v>951</v>
      </c>
      <c r="Z85" s="199" t="s">
        <v>5650</v>
      </c>
      <c r="AB85" s="51" t="s">
        <v>3999</v>
      </c>
      <c r="AC85" s="51" t="s">
        <v>3887</v>
      </c>
      <c r="AD85" s="51" t="s">
        <v>703</v>
      </c>
      <c r="AE85" s="51" t="s">
        <v>949</v>
      </c>
      <c r="AF85" s="51" t="s">
        <v>759</v>
      </c>
      <c r="AG85" s="50" t="s">
        <v>950</v>
      </c>
      <c r="AH85" s="51" t="s">
        <v>962</v>
      </c>
      <c r="AI85" s="52" t="s">
        <v>733</v>
      </c>
      <c r="AK85" s="52" t="s">
        <v>951</v>
      </c>
      <c r="AN85" s="199" t="s">
        <v>7208</v>
      </c>
      <c r="AP85" s="51" t="s">
        <v>4000</v>
      </c>
      <c r="AQ85" s="51" t="s">
        <v>3888</v>
      </c>
      <c r="AR85" s="51" t="s">
        <v>4001</v>
      </c>
      <c r="AS85" s="51" t="s">
        <v>949</v>
      </c>
      <c r="AT85" s="51" t="s">
        <v>759</v>
      </c>
      <c r="AU85" s="50" t="s">
        <v>950</v>
      </c>
      <c r="AV85" s="51" t="s">
        <v>962</v>
      </c>
      <c r="AW85" s="52" t="s">
        <v>1378</v>
      </c>
      <c r="AY85" s="52" t="s">
        <v>951</v>
      </c>
      <c r="BB85" s="199" t="s">
        <v>5990</v>
      </c>
    </row>
    <row r="86" spans="1:54" x14ac:dyDescent="0.25">
      <c r="A86" s="51" t="s">
        <v>3803</v>
      </c>
      <c r="B86" s="51">
        <v>20</v>
      </c>
      <c r="D86" s="51" t="s">
        <v>4015</v>
      </c>
      <c r="E86" s="54" t="str" cm="1">
        <f t="array" aca="1" ref="E86" ca="1">IF(H86=0,"",HYPERLINK("#"&amp;RIGHT(CELL("dateiname"),LEN(CELL("dateiname"))-FIND("]",CELL("dateiname")))&amp;"!"&amp;CELL("adresse",OFFSET($Q$6,H86-1,0)),"Definition"))</f>
        <v/>
      </c>
      <c r="F86" s="54" t="str" cm="1">
        <f t="array" aca="1" ref="F86" ca="1">IF(I86=0,"",HYPERLINK("#"&amp;RIGHT(CELL("adresse",OFFSET(DMAV_Doku!$B$6,I86-1,0)),LEN(CELL("adresse",OFFSET(DMAV_Doku!$B$6,I86-1,0)))-SEARCH("]",CELL("adresse",OFFSET(DMAV_Doku!$B$6,I86-1,0)))),"ModDoc"))</f>
        <v>ModDoc</v>
      </c>
      <c r="G86" s="150" t="str">
        <f t="shared" si="2"/>
        <v>MFP20</v>
      </c>
      <c r="H86" s="150">
        <f t="shared" si="3"/>
        <v>0</v>
      </c>
      <c r="I86" s="150">
        <f>IF(_xlfn.XLOOKUP(G86,Korrelation!$A$4:$A$723,Korrelation!$B$4:$B$723,0,0)=0,0,MATCH(_xlfn.XLOOKUP(G86,Korrelation!$A$4:$A$723,Korrelation!$B$4:$B$723,0,0),DMAV_Doku!$H$6:$H$483,0))</f>
        <v>75</v>
      </c>
      <c r="J86" s="158"/>
      <c r="K86" s="161"/>
      <c r="L86" s="161"/>
      <c r="M86" s="158"/>
      <c r="N86" s="51" t="s">
        <v>3998</v>
      </c>
      <c r="O86" s="51" t="s">
        <v>3886</v>
      </c>
      <c r="P86" s="51" t="s">
        <v>13</v>
      </c>
      <c r="Q86" s="51" t="s">
        <v>949</v>
      </c>
      <c r="R86" s="51" t="s">
        <v>153</v>
      </c>
      <c r="S86" s="50" t="s">
        <v>950</v>
      </c>
      <c r="T86" s="51" t="s">
        <v>962</v>
      </c>
      <c r="U86" s="52" t="s">
        <v>121</v>
      </c>
      <c r="W86" s="52" t="s">
        <v>951</v>
      </c>
      <c r="Y86" s="52" t="s">
        <v>2211</v>
      </c>
      <c r="Z86" s="184" t="s">
        <v>5650</v>
      </c>
      <c r="AB86" s="51" t="s">
        <v>3999</v>
      </c>
      <c r="AC86" s="51" t="s">
        <v>3887</v>
      </c>
      <c r="AD86" s="51" t="s">
        <v>703</v>
      </c>
      <c r="AE86" s="51" t="s">
        <v>949</v>
      </c>
      <c r="AF86" s="51" t="s">
        <v>759</v>
      </c>
      <c r="AG86" s="50" t="s">
        <v>950</v>
      </c>
      <c r="AH86" s="51" t="s">
        <v>962</v>
      </c>
      <c r="AI86" s="52" t="s">
        <v>742</v>
      </c>
      <c r="AK86" s="52" t="s">
        <v>951</v>
      </c>
      <c r="AN86" s="52" t="s">
        <v>7208</v>
      </c>
      <c r="AP86" s="51" t="s">
        <v>4000</v>
      </c>
      <c r="AQ86" s="51" t="s">
        <v>3888</v>
      </c>
      <c r="AR86" s="51" t="s">
        <v>4001</v>
      </c>
      <c r="AS86" s="51" t="s">
        <v>949</v>
      </c>
      <c r="AT86" s="51" t="s">
        <v>759</v>
      </c>
      <c r="AU86" s="50" t="s">
        <v>950</v>
      </c>
      <c r="AV86" s="51" t="s">
        <v>962</v>
      </c>
      <c r="AW86" s="52" t="s">
        <v>742</v>
      </c>
      <c r="AY86" s="52" t="s">
        <v>951</v>
      </c>
      <c r="BB86" s="52" t="s">
        <v>5990</v>
      </c>
    </row>
    <row r="87" spans="1:54" x14ac:dyDescent="0.25">
      <c r="A87" s="51" t="s">
        <v>3803</v>
      </c>
      <c r="B87" s="51">
        <v>21</v>
      </c>
      <c r="C87" s="51" t="s">
        <v>3833</v>
      </c>
      <c r="E87" s="54" t="str" cm="1">
        <f t="array" aca="1" ref="E87" ca="1">IF(H87=0,"",HYPERLINK("#"&amp;RIGHT(CELL("dateiname"),LEN(CELL("dateiname"))-FIND("]",CELL("dateiname")))&amp;"!"&amp;CELL("adresse",OFFSET($Q$6,H87-1,0)),"Definition"))</f>
        <v>Definition</v>
      </c>
      <c r="F87" s="54" t="str" cm="1">
        <f t="array" aca="1" ref="F87" ca="1">IF(I87=0,"",HYPERLINK("#"&amp;RIGHT(CELL("adresse",OFFSET(DMAV_Doku!$B$6,I87-1,0)),LEN(CELL("adresse",OFFSET(DMAV_Doku!$B$6,I87-1,0)))-SEARCH("]",CELL("adresse",OFFSET(DMAV_Doku!$B$6,I87-1,0)))),"ModDoc"))</f>
        <v>ModDoc</v>
      </c>
      <c r="G87" s="150" t="str">
        <f t="shared" si="2"/>
        <v>MFP21</v>
      </c>
      <c r="H87" s="150">
        <f t="shared" si="3"/>
        <v>67</v>
      </c>
      <c r="I87" s="150">
        <f>IF(_xlfn.XLOOKUP(G87,Korrelation!$A$4:$A$723,Korrelation!$B$4:$B$723,0,0)=0,0,MATCH(_xlfn.XLOOKUP(G87,Korrelation!$A$4:$A$723,Korrelation!$B$4:$B$723,0,0),DMAV_Doku!$H$6:$H$483,0))</f>
        <v>76</v>
      </c>
      <c r="J87" s="158"/>
      <c r="K87" s="161"/>
      <c r="L87" s="161"/>
      <c r="M87" s="158"/>
      <c r="N87" s="51" t="s">
        <v>3998</v>
      </c>
      <c r="O87" s="51" t="s">
        <v>3886</v>
      </c>
      <c r="P87" s="51" t="s">
        <v>13</v>
      </c>
      <c r="Q87" s="51" t="s">
        <v>949</v>
      </c>
      <c r="R87" s="51" t="s">
        <v>153</v>
      </c>
      <c r="S87" s="50" t="s">
        <v>950</v>
      </c>
      <c r="U87" s="52" t="s">
        <v>152</v>
      </c>
      <c r="W87" s="131" t="s">
        <v>152</v>
      </c>
      <c r="AB87" s="51" t="s">
        <v>3999</v>
      </c>
      <c r="AC87" s="51" t="s">
        <v>3887</v>
      </c>
      <c r="AD87" s="51" t="s">
        <v>703</v>
      </c>
      <c r="AE87" s="51" t="s">
        <v>949</v>
      </c>
      <c r="AF87" s="51" t="s">
        <v>759</v>
      </c>
      <c r="AG87" s="50" t="s">
        <v>950</v>
      </c>
      <c r="AI87" s="52" t="s">
        <v>758</v>
      </c>
      <c r="AK87" s="52" t="s">
        <v>758</v>
      </c>
      <c r="AP87" s="51" t="s">
        <v>4000</v>
      </c>
      <c r="AQ87" s="51" t="s">
        <v>3888</v>
      </c>
      <c r="AR87" s="51" t="s">
        <v>4001</v>
      </c>
      <c r="AS87" s="51" t="s">
        <v>949</v>
      </c>
      <c r="AT87" s="51" t="s">
        <v>759</v>
      </c>
      <c r="AU87" s="50" t="s">
        <v>950</v>
      </c>
      <c r="AW87" s="52" t="s">
        <v>4002</v>
      </c>
      <c r="AY87" s="52" t="s">
        <v>4002</v>
      </c>
    </row>
    <row r="88" spans="1:54" x14ac:dyDescent="0.25">
      <c r="A88" s="51" t="s">
        <v>3803</v>
      </c>
      <c r="B88" s="51">
        <v>22</v>
      </c>
      <c r="D88" s="51" t="s">
        <v>4016</v>
      </c>
      <c r="E88" s="54" t="str" cm="1">
        <f t="array" aca="1" ref="E88" ca="1">IF(H88=0,"",HYPERLINK("#"&amp;RIGHT(CELL("dateiname"),LEN(CELL("dateiname"))-FIND("]",CELL("dateiname")))&amp;"!"&amp;CELL("adresse",OFFSET($Q$6,H88-1,0)),"Definition"))</f>
        <v/>
      </c>
      <c r="F88" s="54" t="str" cm="1">
        <f t="array" aca="1" ref="F88" ca="1">IF(I88=0,"",HYPERLINK("#"&amp;RIGHT(CELL("adresse",OFFSET(DMAV_Doku!$B$6,I88-1,0)),LEN(CELL("adresse",OFFSET(DMAV_Doku!$B$6,I88-1,0)))-SEARCH("]",CELL("adresse",OFFSET(DMAV_Doku!$B$6,I88-1,0)))),"ModDoc"))</f>
        <v>ModDoc</v>
      </c>
      <c r="G88" s="150" t="str">
        <f t="shared" si="2"/>
        <v>MFP22</v>
      </c>
      <c r="H88" s="150">
        <f t="shared" si="3"/>
        <v>0</v>
      </c>
      <c r="I88" s="150">
        <f>IF(_xlfn.XLOOKUP(G88,Korrelation!$A$4:$A$723,Korrelation!$B$4:$B$723,0,0)=0,0,MATCH(_xlfn.XLOOKUP(G88,Korrelation!$A$4:$A$723,Korrelation!$B$4:$B$723,0,0),DMAV_Doku!$H$6:$H$483,0))</f>
        <v>77</v>
      </c>
      <c r="J88" s="158"/>
      <c r="K88" s="161"/>
      <c r="L88" s="161"/>
      <c r="M88" s="158"/>
      <c r="N88" s="51" t="s">
        <v>3998</v>
      </c>
      <c r="O88" s="51" t="s">
        <v>3886</v>
      </c>
      <c r="P88" s="51" t="s">
        <v>13</v>
      </c>
      <c r="Q88" s="51" t="s">
        <v>949</v>
      </c>
      <c r="R88" s="51" t="s">
        <v>153</v>
      </c>
      <c r="S88" s="50" t="s">
        <v>950</v>
      </c>
      <c r="T88" s="51" t="s">
        <v>6</v>
      </c>
      <c r="U88" s="52" t="s">
        <v>123</v>
      </c>
      <c r="V88" s="55"/>
      <c r="W88" s="52" t="s">
        <v>952</v>
      </c>
      <c r="Z88" s="199" t="s">
        <v>5649</v>
      </c>
      <c r="AB88" s="51" t="s">
        <v>3999</v>
      </c>
      <c r="AC88" s="51" t="s">
        <v>3887</v>
      </c>
      <c r="AD88" s="51" t="s">
        <v>703</v>
      </c>
      <c r="AE88" s="51" t="s">
        <v>949</v>
      </c>
      <c r="AF88" s="51" t="s">
        <v>759</v>
      </c>
      <c r="AG88" s="50" t="s">
        <v>950</v>
      </c>
      <c r="AH88" s="51" t="s">
        <v>6</v>
      </c>
      <c r="AI88" s="52" t="s">
        <v>123</v>
      </c>
      <c r="AK88" s="52" t="s">
        <v>952</v>
      </c>
      <c r="AN88" s="199" t="s">
        <v>5996</v>
      </c>
      <c r="AP88" s="51" t="s">
        <v>4000</v>
      </c>
      <c r="AQ88" s="51" t="s">
        <v>3888</v>
      </c>
      <c r="AR88" s="51" t="s">
        <v>4001</v>
      </c>
      <c r="AS88" s="51" t="s">
        <v>949</v>
      </c>
      <c r="AT88" s="51" t="s">
        <v>759</v>
      </c>
      <c r="AU88" s="50" t="s">
        <v>950</v>
      </c>
      <c r="AV88" s="51" t="s">
        <v>6</v>
      </c>
      <c r="AW88" s="52" t="s">
        <v>1247</v>
      </c>
      <c r="AY88" s="52" t="s">
        <v>952</v>
      </c>
      <c r="BB88" s="199" t="s">
        <v>5998</v>
      </c>
    </row>
    <row r="89" spans="1:54" x14ac:dyDescent="0.25">
      <c r="A89" s="51" t="s">
        <v>3803</v>
      </c>
      <c r="B89" s="51">
        <v>23</v>
      </c>
      <c r="C89" s="51" t="s">
        <v>3829</v>
      </c>
      <c r="E89" s="54" t="str" cm="1">
        <f t="array" aca="1" ref="E89" ca="1">IF(H89=0,"",HYPERLINK("#"&amp;RIGHT(CELL("dateiname"),LEN(CELL("dateiname"))-FIND("]",CELL("dateiname")))&amp;"!"&amp;CELL("adresse",OFFSET($Q$6,H89-1,0)),"Definition"))</f>
        <v>Definition</v>
      </c>
      <c r="F89" s="54" t="str" cm="1">
        <f t="array" aca="1" ref="F89" ca="1">IF(I89=0,"",HYPERLINK("#"&amp;RIGHT(CELL("adresse",OFFSET(DMAV_Doku!$B$6,I89-1,0)),LEN(CELL("adresse",OFFSET(DMAV_Doku!$B$6,I89-1,0)))-SEARCH("]",CELL("adresse",OFFSET(DMAV_Doku!$B$6,I89-1,0)))),"ModDoc"))</f>
        <v>ModDoc</v>
      </c>
      <c r="G89" s="150" t="str">
        <f t="shared" si="2"/>
        <v>MFP23</v>
      </c>
      <c r="H89" s="150">
        <f t="shared" si="3"/>
        <v>17</v>
      </c>
      <c r="I89" s="150">
        <f>IF(_xlfn.XLOOKUP(G89,Korrelation!$A$4:$A$723,Korrelation!$B$4:$B$723,0,0)=0,0,MATCH(_xlfn.XLOOKUP(G89,Korrelation!$A$4:$A$723,Korrelation!$B$4:$B$723,0,0),DMAV_Doku!$H$6:$H$483,0))</f>
        <v>78</v>
      </c>
      <c r="J89" s="158"/>
      <c r="K89" s="161"/>
      <c r="L89" s="161"/>
      <c r="M89" s="158"/>
      <c r="N89" s="51" t="s">
        <v>3998</v>
      </c>
      <c r="O89" s="51" t="s">
        <v>3886</v>
      </c>
      <c r="P89" s="51" t="s">
        <v>13</v>
      </c>
      <c r="Q89" s="51" t="s">
        <v>949</v>
      </c>
      <c r="R89" s="51" t="s">
        <v>153</v>
      </c>
      <c r="U89" s="52" t="s">
        <v>125</v>
      </c>
      <c r="V89" s="55"/>
      <c r="W89" s="52" t="s">
        <v>953</v>
      </c>
      <c r="AB89" s="51" t="s">
        <v>3999</v>
      </c>
      <c r="AC89" s="51" t="s">
        <v>3887</v>
      </c>
      <c r="AD89" s="51" t="s">
        <v>703</v>
      </c>
      <c r="AE89" s="51" t="s">
        <v>949</v>
      </c>
      <c r="AF89" s="51" t="s">
        <v>759</v>
      </c>
      <c r="AI89" s="52" t="s">
        <v>743</v>
      </c>
      <c r="AK89" s="52" t="s">
        <v>4017</v>
      </c>
      <c r="AP89" s="51" t="s">
        <v>4000</v>
      </c>
      <c r="AQ89" s="51" t="s">
        <v>3888</v>
      </c>
      <c r="AR89" s="51" t="s">
        <v>4001</v>
      </c>
      <c r="AS89" s="51" t="s">
        <v>949</v>
      </c>
      <c r="AT89" s="51" t="s">
        <v>759</v>
      </c>
      <c r="AW89" s="52" t="s">
        <v>4018</v>
      </c>
      <c r="AY89" s="52" t="s">
        <v>4019</v>
      </c>
    </row>
    <row r="90" spans="1:54" x14ac:dyDescent="0.25">
      <c r="A90" s="51" t="s">
        <v>3803</v>
      </c>
      <c r="B90" s="51">
        <v>24</v>
      </c>
      <c r="C90" s="51" t="s">
        <v>3834</v>
      </c>
      <c r="E90" s="54" t="str" cm="1">
        <f t="array" aca="1" ref="E90" ca="1">IF(H90=0,"",HYPERLINK("#"&amp;RIGHT(CELL("dateiname"),LEN(CELL("dateiname"))-FIND("]",CELL("dateiname")))&amp;"!"&amp;CELL("adresse",OFFSET($Q$6,H90-1,0)),"Definition"))</f>
        <v>Definition</v>
      </c>
      <c r="F90" s="54" t="str" cm="1">
        <f t="array" aca="1" ref="F90" ca="1">IF(I90=0,"",HYPERLINK("#"&amp;RIGHT(CELL("adresse",OFFSET(DMAV_Doku!$B$6,I90-1,0)),LEN(CELL("adresse",OFFSET(DMAV_Doku!$B$6,I90-1,0)))-SEARCH("]",CELL("adresse",OFFSET(DMAV_Doku!$B$6,I90-1,0)))),"ModDoc"))</f>
        <v>ModDoc</v>
      </c>
      <c r="G90" s="150" t="str">
        <f t="shared" si="2"/>
        <v>MFP24</v>
      </c>
      <c r="H90" s="150">
        <f t="shared" si="3"/>
        <v>40</v>
      </c>
      <c r="I90" s="150">
        <f>IF(_xlfn.XLOOKUP(G90,Korrelation!$A$4:$A$723,Korrelation!$B$4:$B$723,0,0)=0,0,MATCH(_xlfn.XLOOKUP(G90,Korrelation!$A$4:$A$723,Korrelation!$B$4:$B$723,0,0),DMAV_Doku!$H$6:$H$483,0))</f>
        <v>79</v>
      </c>
      <c r="J90" s="158"/>
      <c r="K90" s="161"/>
      <c r="L90" s="161"/>
      <c r="M90" s="158"/>
      <c r="N90" s="51" t="s">
        <v>3998</v>
      </c>
      <c r="O90" s="51" t="s">
        <v>3886</v>
      </c>
      <c r="P90" s="51" t="s">
        <v>13</v>
      </c>
      <c r="Q90" s="51" t="s">
        <v>949</v>
      </c>
      <c r="R90" s="51" t="s">
        <v>153</v>
      </c>
      <c r="S90" s="50" t="s">
        <v>950</v>
      </c>
      <c r="U90" s="55" t="s">
        <v>128</v>
      </c>
      <c r="V90" s="55"/>
      <c r="W90" s="52" t="s">
        <v>954</v>
      </c>
      <c r="AB90" s="51" t="s">
        <v>3999</v>
      </c>
      <c r="AC90" s="51" t="s">
        <v>3887</v>
      </c>
      <c r="AD90" s="51" t="s">
        <v>703</v>
      </c>
      <c r="AE90" s="51" t="s">
        <v>949</v>
      </c>
      <c r="AF90" s="51" t="s">
        <v>759</v>
      </c>
      <c r="AG90" s="50" t="s">
        <v>950</v>
      </c>
      <c r="AI90" s="52" t="s">
        <v>744</v>
      </c>
      <c r="AK90" s="52" t="s">
        <v>4020</v>
      </c>
      <c r="AP90" s="51" t="s">
        <v>4000</v>
      </c>
      <c r="AQ90" s="51" t="s">
        <v>3888</v>
      </c>
      <c r="AR90" s="51" t="s">
        <v>4001</v>
      </c>
      <c r="AS90" s="51" t="s">
        <v>949</v>
      </c>
      <c r="AT90" s="51" t="s">
        <v>759</v>
      </c>
      <c r="AU90" s="50" t="s">
        <v>950</v>
      </c>
      <c r="AW90" s="52" t="s">
        <v>4021</v>
      </c>
      <c r="AY90" s="52" t="s">
        <v>4022</v>
      </c>
    </row>
    <row r="91" spans="1:54" x14ac:dyDescent="0.25">
      <c r="A91" s="51" t="s">
        <v>3803</v>
      </c>
      <c r="B91" s="51">
        <v>25</v>
      </c>
      <c r="C91" s="51" t="s">
        <v>3835</v>
      </c>
      <c r="E91" s="54" t="str" cm="1">
        <f t="array" aca="1" ref="E91" ca="1">IF(H91=0,"",HYPERLINK("#"&amp;RIGHT(CELL("dateiname"),LEN(CELL("dateiname"))-FIND("]",CELL("dateiname")))&amp;"!"&amp;CELL("adresse",OFFSET($Q$6,H91-1,0)),"Definition"))</f>
        <v>Definition</v>
      </c>
      <c r="F91" s="54" t="str" cm="1">
        <f t="array" aca="1" ref="F91" ca="1">IF(I91=0,"",HYPERLINK("#"&amp;RIGHT(CELL("adresse",OFFSET(DMAV_Doku!$B$6,I91-1,0)),LEN(CELL("adresse",OFFSET(DMAV_Doku!$B$6,I91-1,0)))-SEARCH("]",CELL("adresse",OFFSET(DMAV_Doku!$B$6,I91-1,0)))),"ModDoc"))</f>
        <v>ModDoc</v>
      </c>
      <c r="G91" s="150" t="str">
        <f t="shared" si="2"/>
        <v>MFP25</v>
      </c>
      <c r="H91" s="150">
        <f t="shared" si="3"/>
        <v>41</v>
      </c>
      <c r="I91" s="150">
        <f>IF(_xlfn.XLOOKUP(G91,Korrelation!$A$4:$A$723,Korrelation!$B$4:$B$723,0,0)=0,0,MATCH(_xlfn.XLOOKUP(G91,Korrelation!$A$4:$A$723,Korrelation!$B$4:$B$723,0,0),DMAV_Doku!$H$6:$H$483,0))</f>
        <v>80</v>
      </c>
      <c r="J91" s="158"/>
      <c r="K91" s="161"/>
      <c r="L91" s="161"/>
      <c r="M91" s="158"/>
      <c r="N91" s="51" t="s">
        <v>3998</v>
      </c>
      <c r="O91" s="51" t="s">
        <v>3886</v>
      </c>
      <c r="P91" s="51" t="s">
        <v>13</v>
      </c>
      <c r="Q91" s="51" t="s">
        <v>949</v>
      </c>
      <c r="R91" s="51" t="s">
        <v>153</v>
      </c>
      <c r="S91" s="50" t="s">
        <v>950</v>
      </c>
      <c r="U91" s="52" t="s">
        <v>130</v>
      </c>
      <c r="W91" s="52" t="s">
        <v>955</v>
      </c>
      <c r="AB91" s="51" t="s">
        <v>3999</v>
      </c>
      <c r="AC91" s="51" t="s">
        <v>3887</v>
      </c>
      <c r="AD91" s="51" t="s">
        <v>703</v>
      </c>
      <c r="AE91" s="51" t="s">
        <v>949</v>
      </c>
      <c r="AF91" s="51" t="s">
        <v>759</v>
      </c>
      <c r="AG91" s="50" t="s">
        <v>950</v>
      </c>
      <c r="AI91" s="52" t="s">
        <v>745</v>
      </c>
      <c r="AK91" s="52" t="s">
        <v>4023</v>
      </c>
      <c r="AP91" s="51" t="s">
        <v>4000</v>
      </c>
      <c r="AQ91" s="51" t="s">
        <v>3888</v>
      </c>
      <c r="AR91" s="51" t="s">
        <v>4001</v>
      </c>
      <c r="AS91" s="51" t="s">
        <v>949</v>
      </c>
      <c r="AT91" s="51" t="s">
        <v>759</v>
      </c>
      <c r="AU91" s="50" t="s">
        <v>950</v>
      </c>
      <c r="AW91" s="52" t="s">
        <v>4024</v>
      </c>
      <c r="AY91" s="52" t="s">
        <v>4025</v>
      </c>
    </row>
    <row r="92" spans="1:54" x14ac:dyDescent="0.25">
      <c r="A92" s="51" t="s">
        <v>3803</v>
      </c>
      <c r="B92" s="51">
        <v>26</v>
      </c>
      <c r="C92" s="51" t="s">
        <v>3834</v>
      </c>
      <c r="E92" s="54" t="str" cm="1">
        <f t="array" aca="1" ref="E92" ca="1">IF(H92=0,"",HYPERLINK("#"&amp;RIGHT(CELL("dateiname"),LEN(CELL("dateiname"))-FIND("]",CELL("dateiname")))&amp;"!"&amp;CELL("adresse",OFFSET($Q$6,H92-1,0)),"Definition"))</f>
        <v>Definition</v>
      </c>
      <c r="F92" s="54" t="str" cm="1">
        <f t="array" aca="1" ref="F92" ca="1">IF(I92=0,"",HYPERLINK("#"&amp;RIGHT(CELL("adresse",OFFSET(DMAV_Doku!$B$6,I92-1,0)),LEN(CELL("adresse",OFFSET(DMAV_Doku!$B$6,I92-1,0)))-SEARCH("]",CELL("adresse",OFFSET(DMAV_Doku!$B$6,I92-1,0)))),"ModDoc"))</f>
        <v>ModDoc</v>
      </c>
      <c r="G92" s="150" t="str">
        <f t="shared" si="2"/>
        <v>MFP26</v>
      </c>
      <c r="H92" s="150">
        <f t="shared" si="3"/>
        <v>40</v>
      </c>
      <c r="I92" s="150">
        <f>IF(_xlfn.XLOOKUP(G92,Korrelation!$A$4:$A$723,Korrelation!$B$4:$B$723,0,0)=0,0,MATCH(_xlfn.XLOOKUP(G92,Korrelation!$A$4:$A$723,Korrelation!$B$4:$B$723,0,0),DMAV_Doku!$H$6:$H$483,0))</f>
        <v>81</v>
      </c>
      <c r="J92" s="158"/>
      <c r="K92" s="161"/>
      <c r="L92" s="161"/>
      <c r="M92" s="158"/>
      <c r="N92" s="51" t="s">
        <v>3998</v>
      </c>
      <c r="O92" s="51" t="s">
        <v>3886</v>
      </c>
      <c r="P92" s="51" t="s">
        <v>13</v>
      </c>
      <c r="Q92" s="51" t="s">
        <v>949</v>
      </c>
      <c r="R92" s="51" t="s">
        <v>153</v>
      </c>
      <c r="U92" s="52" t="s">
        <v>132</v>
      </c>
      <c r="W92" s="52" t="s">
        <v>954</v>
      </c>
      <c r="AB92" s="51" t="s">
        <v>3999</v>
      </c>
      <c r="AC92" s="51" t="s">
        <v>3887</v>
      </c>
      <c r="AD92" s="51" t="s">
        <v>703</v>
      </c>
      <c r="AE92" s="51" t="s">
        <v>949</v>
      </c>
      <c r="AF92" s="51" t="s">
        <v>759</v>
      </c>
      <c r="AI92" s="52" t="s">
        <v>746</v>
      </c>
      <c r="AK92" s="52" t="s">
        <v>4020</v>
      </c>
      <c r="AP92" s="51" t="s">
        <v>4000</v>
      </c>
      <c r="AQ92" s="51" t="s">
        <v>3888</v>
      </c>
      <c r="AR92" s="51" t="s">
        <v>4001</v>
      </c>
      <c r="AS92" s="51" t="s">
        <v>949</v>
      </c>
      <c r="AT92" s="51" t="s">
        <v>759</v>
      </c>
      <c r="AW92" s="52" t="s">
        <v>4026</v>
      </c>
      <c r="AY92" s="52" t="s">
        <v>4022</v>
      </c>
    </row>
    <row r="93" spans="1:54" x14ac:dyDescent="0.25">
      <c r="A93" s="51" t="s">
        <v>3803</v>
      </c>
      <c r="B93" s="51">
        <v>27</v>
      </c>
      <c r="C93" s="51" t="s">
        <v>3835</v>
      </c>
      <c r="E93" s="54" t="str" cm="1">
        <f t="array" aca="1" ref="E93" ca="1">IF(H93=0,"",HYPERLINK("#"&amp;RIGHT(CELL("dateiname"),LEN(CELL("dateiname"))-FIND("]",CELL("dateiname")))&amp;"!"&amp;CELL("adresse",OFFSET($Q$6,H93-1,0)),"Definition"))</f>
        <v>Definition</v>
      </c>
      <c r="F93" s="54" t="str" cm="1">
        <f t="array" aca="1" ref="F93" ca="1">IF(I93=0,"",HYPERLINK("#"&amp;RIGHT(CELL("adresse",OFFSET(DMAV_Doku!$B$6,I93-1,0)),LEN(CELL("adresse",OFFSET(DMAV_Doku!$B$6,I93-1,0)))-SEARCH("]",CELL("adresse",OFFSET(DMAV_Doku!$B$6,I93-1,0)))),"ModDoc"))</f>
        <v>ModDoc</v>
      </c>
      <c r="G93" s="150" t="str">
        <f t="shared" si="2"/>
        <v>MFP27</v>
      </c>
      <c r="H93" s="150">
        <f t="shared" si="3"/>
        <v>41</v>
      </c>
      <c r="I93" s="150">
        <f>IF(_xlfn.XLOOKUP(G93,Korrelation!$A$4:$A$723,Korrelation!$B$4:$B$723,0,0)=0,0,MATCH(_xlfn.XLOOKUP(G93,Korrelation!$A$4:$A$723,Korrelation!$B$4:$B$723,0,0),DMAV_Doku!$H$6:$H$483,0))</f>
        <v>82</v>
      </c>
      <c r="J93" s="158"/>
      <c r="K93" s="161"/>
      <c r="L93" s="161"/>
      <c r="M93" s="158"/>
      <c r="N93" s="51" t="s">
        <v>3998</v>
      </c>
      <c r="O93" s="51" t="s">
        <v>3886</v>
      </c>
      <c r="P93" s="51" t="s">
        <v>13</v>
      </c>
      <c r="Q93" s="51" t="s">
        <v>949</v>
      </c>
      <c r="R93" s="51" t="s">
        <v>153</v>
      </c>
      <c r="U93" s="52" t="s">
        <v>133</v>
      </c>
      <c r="W93" s="52" t="s">
        <v>955</v>
      </c>
      <c r="AB93" s="51" t="s">
        <v>3999</v>
      </c>
      <c r="AC93" s="51" t="s">
        <v>3887</v>
      </c>
      <c r="AD93" s="51" t="s">
        <v>703</v>
      </c>
      <c r="AE93" s="51" t="s">
        <v>949</v>
      </c>
      <c r="AF93" s="51" t="s">
        <v>759</v>
      </c>
      <c r="AI93" s="52" t="s">
        <v>747</v>
      </c>
      <c r="AK93" s="52" t="s">
        <v>4023</v>
      </c>
      <c r="AP93" s="51" t="s">
        <v>4000</v>
      </c>
      <c r="AQ93" s="51" t="s">
        <v>3888</v>
      </c>
      <c r="AR93" s="51" t="s">
        <v>4001</v>
      </c>
      <c r="AS93" s="51" t="s">
        <v>949</v>
      </c>
      <c r="AT93" s="51" t="s">
        <v>759</v>
      </c>
      <c r="AW93" s="52" t="s">
        <v>4027</v>
      </c>
      <c r="AY93" s="52" t="s">
        <v>4025</v>
      </c>
    </row>
    <row r="94" spans="1:54" x14ac:dyDescent="0.25">
      <c r="A94" s="51" t="s">
        <v>3803</v>
      </c>
      <c r="B94" s="51">
        <v>28</v>
      </c>
      <c r="C94" s="51" t="s">
        <v>3830</v>
      </c>
      <c r="E94" s="54" t="str" cm="1">
        <f t="array" aca="1" ref="E94" ca="1">IF(H94=0,"",HYPERLINK("#"&amp;RIGHT(CELL("dateiname"),LEN(CELL("dateiname"))-FIND("]",CELL("dateiname")))&amp;"!"&amp;CELL("adresse",OFFSET($Q$6,H94-1,0)),"Definition"))</f>
        <v>Definition</v>
      </c>
      <c r="F94" s="54" t="str" cm="1">
        <f t="array" aca="1" ref="F94" ca="1">IF(I94=0,"",HYPERLINK("#"&amp;RIGHT(CELL("adresse",OFFSET(DMAV_Doku!$B$6,I94-1,0)),LEN(CELL("adresse",OFFSET(DMAV_Doku!$B$6,I94-1,0)))-SEARCH("]",CELL("adresse",OFFSET(DMAV_Doku!$B$6,I94-1,0)))),"ModDoc"))</f>
        <v>ModDoc</v>
      </c>
      <c r="G94" s="150" t="str">
        <f t="shared" si="2"/>
        <v>MFP28</v>
      </c>
      <c r="H94" s="150">
        <f t="shared" si="3"/>
        <v>45</v>
      </c>
      <c r="I94" s="150">
        <f>IF(_xlfn.XLOOKUP(G94,Korrelation!$A$4:$A$723,Korrelation!$B$4:$B$723,0,0)=0,0,MATCH(_xlfn.XLOOKUP(G94,Korrelation!$A$4:$A$723,Korrelation!$B$4:$B$723,0,0),DMAV_Doku!$H$6:$H$483,0))</f>
        <v>83</v>
      </c>
      <c r="J94" s="158"/>
      <c r="K94" s="161"/>
      <c r="L94" s="161"/>
      <c r="M94" s="158"/>
      <c r="N94" s="51" t="s">
        <v>3998</v>
      </c>
      <c r="O94" s="51" t="s">
        <v>3886</v>
      </c>
      <c r="P94" s="51" t="s">
        <v>13</v>
      </c>
      <c r="Q94" s="51" t="s">
        <v>949</v>
      </c>
      <c r="R94" s="51" t="s">
        <v>153</v>
      </c>
      <c r="S94" s="50" t="s">
        <v>950</v>
      </c>
      <c r="U94" s="52" t="s">
        <v>134</v>
      </c>
      <c r="W94" s="52" t="s">
        <v>960</v>
      </c>
      <c r="AB94" s="51" t="s">
        <v>3999</v>
      </c>
      <c r="AC94" s="51" t="s">
        <v>3887</v>
      </c>
      <c r="AD94" s="51" t="s">
        <v>703</v>
      </c>
      <c r="AE94" s="51" t="s">
        <v>949</v>
      </c>
      <c r="AF94" s="51" t="s">
        <v>759</v>
      </c>
      <c r="AG94" s="50" t="s">
        <v>950</v>
      </c>
      <c r="AI94" s="52" t="s">
        <v>748</v>
      </c>
      <c r="AK94" s="52" t="s">
        <v>4028</v>
      </c>
      <c r="AP94" s="51" t="s">
        <v>4000</v>
      </c>
      <c r="AQ94" s="51" t="s">
        <v>3888</v>
      </c>
      <c r="AR94" s="51" t="s">
        <v>4001</v>
      </c>
      <c r="AS94" s="51" t="s">
        <v>949</v>
      </c>
      <c r="AT94" s="51" t="s">
        <v>759</v>
      </c>
      <c r="AU94" s="50" t="s">
        <v>950</v>
      </c>
      <c r="AW94" s="52" t="s">
        <v>1845</v>
      </c>
      <c r="AY94" s="52" t="s">
        <v>4029</v>
      </c>
    </row>
    <row r="95" spans="1:54" x14ac:dyDescent="0.25">
      <c r="A95" s="51" t="s">
        <v>3803</v>
      </c>
      <c r="B95" s="51">
        <v>29</v>
      </c>
      <c r="C95" s="51" t="s">
        <v>3836</v>
      </c>
      <c r="E95" s="54" t="str" cm="1">
        <f t="array" aca="1" ref="E95" ca="1">IF(H95=0,"",HYPERLINK("#"&amp;RIGHT(CELL("dateiname"),LEN(CELL("dateiname"))-FIND("]",CELL("dateiname")))&amp;"!"&amp;CELL("adresse",OFFSET($Q$6,H95-1,0)),"Definition"))</f>
        <v>Definition</v>
      </c>
      <c r="F95" s="54" t="str" cm="1">
        <f t="array" aca="1" ref="F95" ca="1">IF(I95=0,"",HYPERLINK("#"&amp;RIGHT(CELL("adresse",OFFSET(DMAV_Doku!$B$6,I95-1,0)),LEN(CELL("adresse",OFFSET(DMAV_Doku!$B$6,I95-1,0)))-SEARCH("]",CELL("adresse",OFFSET(DMAV_Doku!$B$6,I95-1,0)))),"ModDoc"))</f>
        <v>ModDoc</v>
      </c>
      <c r="G95" s="150" t="str">
        <f t="shared" si="2"/>
        <v>MFP29</v>
      </c>
      <c r="H95" s="150">
        <f t="shared" si="3"/>
        <v>69</v>
      </c>
      <c r="I95" s="150">
        <f>IF(_xlfn.XLOOKUP(G95,Korrelation!$A$4:$A$723,Korrelation!$B$4:$B$723,0,0)=0,0,MATCH(_xlfn.XLOOKUP(G95,Korrelation!$A$4:$A$723,Korrelation!$B$4:$B$723,0,0),DMAV_Doku!$H$6:$H$483,0))</f>
        <v>84</v>
      </c>
      <c r="J95" s="158"/>
      <c r="K95" s="161"/>
      <c r="L95" s="161"/>
      <c r="M95" s="158"/>
      <c r="N95" s="51" t="s">
        <v>3998</v>
      </c>
      <c r="O95" s="51" t="s">
        <v>3886</v>
      </c>
      <c r="P95" s="51" t="s">
        <v>13</v>
      </c>
      <c r="Q95" s="51" t="s">
        <v>949</v>
      </c>
      <c r="R95" s="51" t="s">
        <v>153</v>
      </c>
      <c r="U95" s="52" t="s">
        <v>138</v>
      </c>
      <c r="W95" s="52" t="s">
        <v>138</v>
      </c>
      <c r="AB95" s="51" t="s">
        <v>3999</v>
      </c>
      <c r="AC95" s="51" t="s">
        <v>3887</v>
      </c>
      <c r="AD95" s="51" t="s">
        <v>703</v>
      </c>
      <c r="AE95" s="51" t="s">
        <v>949</v>
      </c>
      <c r="AF95" s="51" t="s">
        <v>759</v>
      </c>
      <c r="AI95" s="52" t="s">
        <v>750</v>
      </c>
      <c r="AK95" s="52" t="s">
        <v>750</v>
      </c>
      <c r="AP95" s="51" t="s">
        <v>4000</v>
      </c>
      <c r="AQ95" s="51" t="s">
        <v>3888</v>
      </c>
      <c r="AR95" s="51" t="s">
        <v>4001</v>
      </c>
      <c r="AS95" s="51" t="s">
        <v>949</v>
      </c>
      <c r="AT95" s="51" t="s">
        <v>759</v>
      </c>
      <c r="AW95" s="52" t="s">
        <v>4004</v>
      </c>
      <c r="AY95" s="52" t="s">
        <v>4004</v>
      </c>
    </row>
    <row r="96" spans="1:54" x14ac:dyDescent="0.25">
      <c r="A96" s="51" t="s">
        <v>3803</v>
      </c>
      <c r="B96" s="51">
        <v>30</v>
      </c>
      <c r="C96" s="51" t="s">
        <v>3837</v>
      </c>
      <c r="E96" s="54" t="str" cm="1">
        <f t="array" aca="1" ref="E96" ca="1">IF(H96=0,"",HYPERLINK("#"&amp;RIGHT(CELL("dateiname"),LEN(CELL("dateiname"))-FIND("]",CELL("dateiname")))&amp;"!"&amp;CELL("adresse",OFFSET($Q$6,H96-1,0)),"Definition"))</f>
        <v>Definition</v>
      </c>
      <c r="F96" s="54" t="str" cm="1">
        <f t="array" aca="1" ref="F96" ca="1">IF(I96=0,"",HYPERLINK("#"&amp;RIGHT(CELL("adresse",OFFSET(DMAV_Doku!$B$6,I96-1,0)),LEN(CELL("adresse",OFFSET(DMAV_Doku!$B$6,I96-1,0)))-SEARCH("]",CELL("adresse",OFFSET(DMAV_Doku!$B$6,I96-1,0)))),"ModDoc"))</f>
        <v>ModDoc</v>
      </c>
      <c r="G96" s="150" t="str">
        <f t="shared" si="2"/>
        <v>MFP30</v>
      </c>
      <c r="H96" s="150">
        <f t="shared" si="3"/>
        <v>72</v>
      </c>
      <c r="I96" s="150">
        <f>IF(_xlfn.XLOOKUP(G96,Korrelation!$A$4:$A$723,Korrelation!$B$4:$B$723,0,0)=0,0,MATCH(_xlfn.XLOOKUP(G96,Korrelation!$A$4:$A$723,Korrelation!$B$4:$B$723,0,0),DMAV_Doku!$H$6:$H$483,0))</f>
        <v>85</v>
      </c>
      <c r="J96" s="158"/>
      <c r="K96" s="161"/>
      <c r="L96" s="161"/>
      <c r="M96" s="158"/>
      <c r="N96" s="51" t="s">
        <v>3998</v>
      </c>
      <c r="O96" s="51" t="s">
        <v>3886</v>
      </c>
      <c r="P96" s="51" t="s">
        <v>13</v>
      </c>
      <c r="Q96" s="51" t="s">
        <v>949</v>
      </c>
      <c r="R96" s="51" t="s">
        <v>153</v>
      </c>
      <c r="S96" s="50" t="s">
        <v>950</v>
      </c>
      <c r="U96" s="52" t="s">
        <v>157</v>
      </c>
      <c r="V96" s="55"/>
      <c r="W96" s="52" t="s">
        <v>157</v>
      </c>
      <c r="AB96" s="51" t="s">
        <v>3999</v>
      </c>
      <c r="AC96" s="51" t="s">
        <v>3887</v>
      </c>
      <c r="AD96" s="51" t="s">
        <v>703</v>
      </c>
      <c r="AE96" s="51" t="s">
        <v>949</v>
      </c>
      <c r="AF96" s="51" t="s">
        <v>759</v>
      </c>
      <c r="AG96" s="50" t="s">
        <v>950</v>
      </c>
      <c r="AI96" s="52" t="s">
        <v>761</v>
      </c>
      <c r="AK96" s="52" t="s">
        <v>761</v>
      </c>
      <c r="AP96" s="51" t="s">
        <v>4000</v>
      </c>
      <c r="AQ96" s="51" t="s">
        <v>3888</v>
      </c>
      <c r="AR96" s="51" t="s">
        <v>4001</v>
      </c>
      <c r="AS96" s="51" t="s">
        <v>949</v>
      </c>
      <c r="AT96" s="51" t="s">
        <v>759</v>
      </c>
      <c r="AU96" s="50" t="s">
        <v>950</v>
      </c>
      <c r="AW96" s="52" t="s">
        <v>4008</v>
      </c>
      <c r="AY96" s="52" t="s">
        <v>4008</v>
      </c>
    </row>
    <row r="97" spans="1:54" x14ac:dyDescent="0.25">
      <c r="A97" s="51" t="s">
        <v>3803</v>
      </c>
      <c r="B97" s="51">
        <v>31</v>
      </c>
      <c r="E97" s="54" t="str" cm="1">
        <f t="array" aca="1" ref="E97" ca="1">IF(H97=0,"",HYPERLINK("#"&amp;RIGHT(CELL("dateiname"),LEN(CELL("dateiname"))-FIND("]",CELL("dateiname")))&amp;"!"&amp;CELL("adresse",OFFSET($Q$6,H97-1,0)),"Definition"))</f>
        <v/>
      </c>
      <c r="F97" s="54" t="str" cm="1">
        <f t="array" aca="1" ref="F97" ca="1">IF(I97=0,"",HYPERLINK("#"&amp;RIGHT(CELL("adresse",OFFSET(DMAV_Doku!$B$6,I97-1,0)),LEN(CELL("adresse",OFFSET(DMAV_Doku!$B$6,I97-1,0)))-SEARCH("]",CELL("adresse",OFFSET(DMAV_Doku!$B$6,I97-1,0)))),"ModDoc"))</f>
        <v>ModDoc</v>
      </c>
      <c r="G97" s="150" t="str">
        <f t="shared" si="2"/>
        <v>MFP31</v>
      </c>
      <c r="H97" s="150">
        <f t="shared" si="3"/>
        <v>0</v>
      </c>
      <c r="I97" s="150">
        <f>IF(_xlfn.XLOOKUP(G97,Korrelation!$A$4:$A$723,Korrelation!$B$4:$B$723,0,0)=0,0,MATCH(_xlfn.XLOOKUP(G97,Korrelation!$A$4:$A$723,Korrelation!$B$4:$B$723,0,0),DMAV_Doku!$H$6:$H$483,0))</f>
        <v>86</v>
      </c>
      <c r="J97" s="158"/>
      <c r="K97" s="161">
        <v>46054</v>
      </c>
      <c r="L97" s="161"/>
      <c r="M97" s="158"/>
      <c r="N97" s="51" t="s">
        <v>3998</v>
      </c>
      <c r="O97" s="51" t="s">
        <v>3886</v>
      </c>
      <c r="P97" s="51" t="s">
        <v>13</v>
      </c>
      <c r="Q97" s="51" t="s">
        <v>949</v>
      </c>
      <c r="R97" s="51" t="s">
        <v>153</v>
      </c>
      <c r="U97" s="52" t="s">
        <v>294</v>
      </c>
      <c r="W97" s="52" t="s">
        <v>131</v>
      </c>
      <c r="AB97" s="51" t="s">
        <v>3999</v>
      </c>
      <c r="AC97" s="51" t="s">
        <v>3887</v>
      </c>
      <c r="AD97" s="51" t="s">
        <v>703</v>
      </c>
      <c r="AE97" s="51" t="s">
        <v>949</v>
      </c>
      <c r="AF97" s="51" t="s">
        <v>759</v>
      </c>
      <c r="AI97" s="52" t="s">
        <v>796</v>
      </c>
      <c r="AK97" s="52" t="s">
        <v>131</v>
      </c>
      <c r="AP97" s="51" t="s">
        <v>4000</v>
      </c>
      <c r="AQ97" s="51" t="s">
        <v>3888</v>
      </c>
      <c r="AR97" s="51" t="s">
        <v>4001</v>
      </c>
      <c r="AS97" s="51" t="s">
        <v>949</v>
      </c>
      <c r="AT97" s="51" t="s">
        <v>759</v>
      </c>
      <c r="AW97" s="52" t="s">
        <v>4030</v>
      </c>
      <c r="AY97" s="52" t="s">
        <v>131</v>
      </c>
    </row>
    <row r="98" spans="1:54" x14ac:dyDescent="0.25">
      <c r="A98" s="51" t="s">
        <v>3803</v>
      </c>
      <c r="B98" s="51">
        <v>32</v>
      </c>
      <c r="E98" s="54" t="str" cm="1">
        <f t="array" aca="1" ref="E98" ca="1">IF(H98=0,"",HYPERLINK("#"&amp;RIGHT(CELL("dateiname"),LEN(CELL("dateiname"))-FIND("]",CELL("dateiname")))&amp;"!"&amp;CELL("adresse",OFFSET($Q$6,H98-1,0)),"Definition"))</f>
        <v/>
      </c>
      <c r="F98" s="54" t="str" cm="1">
        <f t="array" aca="1" ref="F98" ca="1">IF(I98=0,"",HYPERLINK("#"&amp;RIGHT(CELL("adresse",OFFSET(DMAV_Doku!$B$6,I98-1,0)),LEN(CELL("adresse",OFFSET(DMAV_Doku!$B$6,I98-1,0)))-SEARCH("]",CELL("adresse",OFFSET(DMAV_Doku!$B$6,I98-1,0)))),"ModDoc"))</f>
        <v>ModDoc</v>
      </c>
      <c r="G98" s="150" t="str">
        <f t="shared" si="2"/>
        <v>MFP32</v>
      </c>
      <c r="H98" s="150">
        <f t="shared" si="3"/>
        <v>0</v>
      </c>
      <c r="I98" s="150">
        <f>IF(_xlfn.XLOOKUP(G98,Korrelation!$A$4:$A$723,Korrelation!$B$4:$B$723,0,0)=0,0,MATCH(_xlfn.XLOOKUP(G98,Korrelation!$A$4:$A$723,Korrelation!$B$4:$B$723,0,0),DMAV_Doku!$H$6:$H$483,0))</f>
        <v>87</v>
      </c>
      <c r="J98" s="158"/>
      <c r="K98" s="161"/>
      <c r="L98" s="161"/>
      <c r="M98" s="158"/>
      <c r="N98" s="51" t="s">
        <v>3998</v>
      </c>
      <c r="O98" s="51" t="s">
        <v>3886</v>
      </c>
      <c r="P98" s="51" t="s">
        <v>13</v>
      </c>
      <c r="Q98" s="51" t="s">
        <v>949</v>
      </c>
      <c r="R98" s="51" t="s">
        <v>153</v>
      </c>
      <c r="S98" s="50" t="s">
        <v>950</v>
      </c>
      <c r="U98" s="52" t="s">
        <v>180</v>
      </c>
      <c r="W98" s="52" t="s">
        <v>131</v>
      </c>
      <c r="AB98" s="51" t="s">
        <v>3999</v>
      </c>
      <c r="AC98" s="51" t="s">
        <v>3887</v>
      </c>
      <c r="AD98" s="51" t="s">
        <v>703</v>
      </c>
      <c r="AE98" s="51" t="s">
        <v>949</v>
      </c>
      <c r="AF98" s="51" t="s">
        <v>759</v>
      </c>
      <c r="AG98" s="50" t="s">
        <v>950</v>
      </c>
      <c r="AI98" s="52" t="s">
        <v>766</v>
      </c>
      <c r="AK98" s="52" t="s">
        <v>131</v>
      </c>
      <c r="AP98" s="51" t="s">
        <v>4000</v>
      </c>
      <c r="AQ98" s="51" t="s">
        <v>3888</v>
      </c>
      <c r="AR98" s="51" t="s">
        <v>4001</v>
      </c>
      <c r="AS98" s="51" t="s">
        <v>949</v>
      </c>
      <c r="AT98" s="51" t="s">
        <v>759</v>
      </c>
      <c r="AU98" s="50" t="s">
        <v>950</v>
      </c>
      <c r="AW98" s="52" t="s">
        <v>4031</v>
      </c>
      <c r="AY98" s="52" t="s">
        <v>131</v>
      </c>
    </row>
    <row r="99" spans="1:54" x14ac:dyDescent="0.25">
      <c r="A99" s="51" t="s">
        <v>3803</v>
      </c>
      <c r="B99" s="51">
        <v>33</v>
      </c>
      <c r="C99" s="51" t="s">
        <v>3826</v>
      </c>
      <c r="E99" s="54" t="str" cm="1">
        <f t="array" aca="1" ref="E99" ca="1">IF(H99=0,"",HYPERLINK("#"&amp;RIGHT(CELL("dateiname"),LEN(CELL("dateiname"))-FIND("]",CELL("dateiname")))&amp;"!"&amp;CELL("adresse",OFFSET($Q$6,H99-1,0)),"Definition"))</f>
        <v>Definition</v>
      </c>
      <c r="F99" s="54" t="str" cm="1">
        <f t="array" aca="1" ref="F99" ca="1">IF(I99=0,"",HYPERLINK("#"&amp;RIGHT(CELL("adresse",OFFSET(DMAV_Doku!$B$6,I99-1,0)),LEN(CELL("adresse",OFFSET(DMAV_Doku!$B$6,I99-1,0)))-SEARCH("]",CELL("adresse",OFFSET(DMAV_Doku!$B$6,I99-1,0)))),"ModDoc"))</f>
        <v>ModDoc</v>
      </c>
      <c r="G99" s="150" t="str">
        <f t="shared" si="2"/>
        <v>MFP33</v>
      </c>
      <c r="H99" s="150">
        <f t="shared" si="3"/>
        <v>20</v>
      </c>
      <c r="I99" s="150">
        <f>IF(_xlfn.XLOOKUP(G99,Korrelation!$A$4:$A$723,Korrelation!$B$4:$B$723,0,0)=0,0,MATCH(_xlfn.XLOOKUP(G99,Korrelation!$A$4:$A$723,Korrelation!$B$4:$B$723,0,0),DMAV_Doku!$H$6:$H$483,0))</f>
        <v>88</v>
      </c>
      <c r="J99" s="158"/>
      <c r="K99" s="161"/>
      <c r="L99" s="161"/>
      <c r="M99" s="158"/>
      <c r="N99" s="51" t="s">
        <v>3998</v>
      </c>
      <c r="O99" s="51" t="s">
        <v>3886</v>
      </c>
      <c r="P99" s="51" t="s">
        <v>13</v>
      </c>
      <c r="Q99" s="51" t="s">
        <v>949</v>
      </c>
      <c r="R99" s="51" t="s">
        <v>153</v>
      </c>
      <c r="U99" s="52" t="s">
        <v>149</v>
      </c>
      <c r="W99" s="52" t="s">
        <v>961</v>
      </c>
      <c r="Y99" s="52" t="s">
        <v>4032</v>
      </c>
      <c r="AB99" s="51" t="s">
        <v>3999</v>
      </c>
      <c r="AC99" s="51" t="s">
        <v>3887</v>
      </c>
      <c r="AD99" s="51" t="s">
        <v>703</v>
      </c>
      <c r="AE99" s="51" t="s">
        <v>949</v>
      </c>
      <c r="AF99" s="51" t="s">
        <v>759</v>
      </c>
      <c r="AI99" s="52" t="s">
        <v>756</v>
      </c>
      <c r="AK99" s="52" t="s">
        <v>4033</v>
      </c>
      <c r="AP99" s="51" t="s">
        <v>4000</v>
      </c>
      <c r="AQ99" s="51" t="s">
        <v>3888</v>
      </c>
      <c r="AR99" s="51" t="s">
        <v>4001</v>
      </c>
      <c r="AS99" s="51" t="s">
        <v>949</v>
      </c>
      <c r="AT99" s="51" t="s">
        <v>759</v>
      </c>
      <c r="AW99" s="52" t="s">
        <v>4034</v>
      </c>
      <c r="AY99" s="52" t="s">
        <v>4035</v>
      </c>
    </row>
    <row r="100" spans="1:54" x14ac:dyDescent="0.25">
      <c r="A100" s="51" t="s">
        <v>3803</v>
      </c>
      <c r="B100" s="51">
        <v>34</v>
      </c>
      <c r="C100" s="51" t="s">
        <v>3838</v>
      </c>
      <c r="E100" s="54" t="str" cm="1">
        <f t="array" aca="1" ref="E100" ca="1">IF(H100=0,"",HYPERLINK("#"&amp;RIGHT(CELL("dateiname"),LEN(CELL("dateiname"))-FIND("]",CELL("dateiname")))&amp;"!"&amp;CELL("adresse",OFFSET($Q$6,H100-1,0)),"Definition"))</f>
        <v>Definition</v>
      </c>
      <c r="F100" s="54" t="str" cm="1">
        <f t="array" aca="1" ref="F100" ca="1">IF(I100=0,"",HYPERLINK("#"&amp;RIGHT(CELL("adresse",OFFSET(DMAV_Doku!$B$6,I100-1,0)),LEN(CELL("adresse",OFFSET(DMAV_Doku!$B$6,I100-1,0)))-SEARCH("]",CELL("adresse",OFFSET(DMAV_Doku!$B$6,I100-1,0)))),"ModDoc"))</f>
        <v>ModDoc</v>
      </c>
      <c r="G100" s="150" t="str">
        <f t="shared" si="2"/>
        <v>MFP34</v>
      </c>
      <c r="H100" s="150">
        <f t="shared" si="3"/>
        <v>26</v>
      </c>
      <c r="I100" s="150">
        <f>IF(_xlfn.XLOOKUP(G100,Korrelation!$A$4:$A$723,Korrelation!$B$4:$B$723,0,0)=0,0,MATCH(_xlfn.XLOOKUP(G100,Korrelation!$A$4:$A$723,Korrelation!$B$4:$B$723,0,0),DMAV_Doku!$H$6:$H$483,0))</f>
        <v>89</v>
      </c>
      <c r="J100" s="158"/>
      <c r="K100" s="161">
        <v>46054</v>
      </c>
      <c r="L100" s="161"/>
      <c r="M100" s="158"/>
      <c r="N100" s="51" t="s">
        <v>3998</v>
      </c>
      <c r="O100" s="51" t="s">
        <v>3886</v>
      </c>
      <c r="P100" s="51" t="s">
        <v>13</v>
      </c>
      <c r="Q100" s="51" t="s">
        <v>949</v>
      </c>
      <c r="R100" s="51" t="s">
        <v>153</v>
      </c>
      <c r="U100" s="52" t="s">
        <v>77</v>
      </c>
      <c r="V100" s="52" t="s">
        <v>3471</v>
      </c>
      <c r="W100" s="52" t="s">
        <v>3472</v>
      </c>
      <c r="AB100" s="51" t="s">
        <v>3999</v>
      </c>
      <c r="AC100" s="51" t="s">
        <v>3887</v>
      </c>
      <c r="AD100" s="51" t="s">
        <v>703</v>
      </c>
      <c r="AE100" s="51" t="s">
        <v>949</v>
      </c>
      <c r="AF100" s="51" t="s">
        <v>759</v>
      </c>
      <c r="AI100" s="52" t="s">
        <v>729</v>
      </c>
      <c r="AJ100" s="51" t="s">
        <v>3471</v>
      </c>
      <c r="AK100" s="52" t="s">
        <v>4036</v>
      </c>
      <c r="AP100" s="51" t="s">
        <v>4000</v>
      </c>
      <c r="AQ100" s="51" t="s">
        <v>3888</v>
      </c>
      <c r="AR100" s="51" t="s">
        <v>4001</v>
      </c>
      <c r="AS100" s="51" t="s">
        <v>949</v>
      </c>
      <c r="AT100" s="51" t="s">
        <v>759</v>
      </c>
      <c r="AW100" s="52" t="s">
        <v>3933</v>
      </c>
      <c r="AX100" s="51" t="s">
        <v>3471</v>
      </c>
      <c r="AY100" s="52" t="s">
        <v>4037</v>
      </c>
    </row>
    <row r="101" spans="1:54" ht="51" x14ac:dyDescent="0.25">
      <c r="A101" s="51" t="s">
        <v>3803</v>
      </c>
      <c r="B101" s="51">
        <v>35</v>
      </c>
      <c r="D101" s="51" t="s">
        <v>3433</v>
      </c>
      <c r="E101" s="54" t="str" cm="1">
        <f t="array" aca="1" ref="E101" ca="1">IF(H101=0,"",HYPERLINK("#"&amp;RIGHT(CELL("dateiname"),LEN(CELL("dateiname"))-FIND("]",CELL("dateiname")))&amp;"!"&amp;CELL("adresse",OFFSET($Q$6,H101-1,0)),"Definition"))</f>
        <v/>
      </c>
      <c r="F101" s="54" t="str" cm="1">
        <f t="array" aca="1" ref="F101" ca="1">IF(I101=0,"",HYPERLINK("#"&amp;RIGHT(CELL("adresse",OFFSET(DMAV_Doku!$B$6,I101-1,0)),LEN(CELL("adresse",OFFSET(DMAV_Doku!$B$6,I101-1,0)))-SEARCH("]",CELL("adresse",OFFSET(DMAV_Doku!$B$6,I101-1,0)))),"ModDoc"))</f>
        <v/>
      </c>
      <c r="G101" s="150" t="str">
        <f t="shared" si="2"/>
        <v>MFP35</v>
      </c>
      <c r="H101" s="150">
        <f t="shared" si="3"/>
        <v>0</v>
      </c>
      <c r="I101" s="150">
        <f>IF(_xlfn.XLOOKUP(G101,Korrelation!$A$4:$A$723,Korrelation!$B$4:$B$723,0,0)=0,0,MATCH(_xlfn.XLOOKUP(G101,Korrelation!$A$4:$A$723,Korrelation!$B$4:$B$723,0,0),DMAV_Doku!$H$6:$H$483,0))</f>
        <v>0</v>
      </c>
      <c r="J101" s="158"/>
      <c r="K101" s="161"/>
      <c r="L101" s="161"/>
      <c r="M101" s="158"/>
      <c r="N101" s="51" t="s">
        <v>3998</v>
      </c>
      <c r="O101" s="51" t="s">
        <v>3886</v>
      </c>
      <c r="P101" s="51" t="s">
        <v>13</v>
      </c>
      <c r="Q101" s="51" t="s">
        <v>957</v>
      </c>
      <c r="R101" s="51" t="s">
        <v>153</v>
      </c>
      <c r="S101" s="50" t="s">
        <v>950</v>
      </c>
      <c r="U101" s="52" t="s">
        <v>2751</v>
      </c>
      <c r="W101" s="52" t="s">
        <v>3420</v>
      </c>
      <c r="Z101" s="201" t="s">
        <v>3656</v>
      </c>
      <c r="AB101" s="51" t="s">
        <v>3999</v>
      </c>
      <c r="AC101" s="51" t="s">
        <v>3887</v>
      </c>
      <c r="AD101" s="51" t="s">
        <v>703</v>
      </c>
      <c r="AE101" s="51" t="s">
        <v>957</v>
      </c>
      <c r="AF101" s="51" t="s">
        <v>759</v>
      </c>
      <c r="AG101" s="50" t="s">
        <v>950</v>
      </c>
      <c r="AI101" s="52" t="s">
        <v>4038</v>
      </c>
      <c r="AK101" s="52" t="s">
        <v>4039</v>
      </c>
      <c r="AN101" s="201" t="s">
        <v>7209</v>
      </c>
      <c r="AP101" s="51" t="s">
        <v>4000</v>
      </c>
      <c r="AQ101" s="51" t="s">
        <v>3888</v>
      </c>
      <c r="AR101" s="51" t="s">
        <v>4001</v>
      </c>
      <c r="AS101" s="51" t="s">
        <v>957</v>
      </c>
      <c r="AT101" s="51" t="s">
        <v>759</v>
      </c>
      <c r="AU101" s="50" t="s">
        <v>950</v>
      </c>
      <c r="AW101" s="52" t="s">
        <v>4038</v>
      </c>
      <c r="AY101" s="52" t="s">
        <v>4040</v>
      </c>
      <c r="BB101" s="201" t="s">
        <v>6017</v>
      </c>
    </row>
    <row r="102" spans="1:54" ht="51" x14ac:dyDescent="0.25">
      <c r="A102" s="51" t="s">
        <v>3803</v>
      </c>
      <c r="B102" s="51">
        <v>36</v>
      </c>
      <c r="D102" s="51" t="s">
        <v>3434</v>
      </c>
      <c r="E102" s="54" t="str" cm="1">
        <f t="array" aca="1" ref="E102" ca="1">IF(H102=0,"",HYPERLINK("#"&amp;RIGHT(CELL("dateiname"),LEN(CELL("dateiname"))-FIND("]",CELL("dateiname")))&amp;"!"&amp;CELL("adresse",OFFSET($Q$6,H102-1,0)),"Definition"))</f>
        <v/>
      </c>
      <c r="F102" s="54" t="str" cm="1">
        <f t="array" aca="1" ref="F102" ca="1">IF(I102=0,"",HYPERLINK("#"&amp;RIGHT(CELL("adresse",OFFSET(DMAV_Doku!$B$6,I102-1,0)),LEN(CELL("adresse",OFFSET(DMAV_Doku!$B$6,I102-1,0)))-SEARCH("]",CELL("adresse",OFFSET(DMAV_Doku!$B$6,I102-1,0)))),"ModDoc"))</f>
        <v/>
      </c>
      <c r="G102" s="150" t="str">
        <f t="shared" si="2"/>
        <v>MFP36</v>
      </c>
      <c r="H102" s="150">
        <f t="shared" si="3"/>
        <v>0</v>
      </c>
      <c r="I102" s="150">
        <f>IF(_xlfn.XLOOKUP(G102,Korrelation!$A$4:$A$723,Korrelation!$B$4:$B$723,0,0)=0,0,MATCH(_xlfn.XLOOKUP(G102,Korrelation!$A$4:$A$723,Korrelation!$B$4:$B$723,0,0),DMAV_Doku!$H$6:$H$483,0))</f>
        <v>0</v>
      </c>
      <c r="J102" s="158"/>
      <c r="K102" s="161"/>
      <c r="L102" s="161"/>
      <c r="M102" s="158"/>
      <c r="N102" s="51" t="s">
        <v>3998</v>
      </c>
      <c r="O102" s="51" t="s">
        <v>3886</v>
      </c>
      <c r="P102" s="51" t="s">
        <v>13</v>
      </c>
      <c r="Q102" s="51" t="s">
        <v>957</v>
      </c>
      <c r="R102" s="51" t="s">
        <v>153</v>
      </c>
      <c r="S102" s="50" t="s">
        <v>950</v>
      </c>
      <c r="U102" s="52" t="s">
        <v>2751</v>
      </c>
      <c r="W102" s="52" t="s">
        <v>3422</v>
      </c>
      <c r="Z102" s="201" t="s">
        <v>3657</v>
      </c>
      <c r="AB102" s="51" t="s">
        <v>3999</v>
      </c>
      <c r="AC102" s="51" t="s">
        <v>3887</v>
      </c>
      <c r="AD102" s="51" t="s">
        <v>703</v>
      </c>
      <c r="AE102" s="51" t="s">
        <v>957</v>
      </c>
      <c r="AF102" s="51" t="s">
        <v>759</v>
      </c>
      <c r="AG102" s="50" t="s">
        <v>950</v>
      </c>
      <c r="AI102" s="52" t="s">
        <v>4038</v>
      </c>
      <c r="AK102" s="52" t="s">
        <v>4041</v>
      </c>
      <c r="AN102" s="201" t="s">
        <v>7210</v>
      </c>
      <c r="AP102" s="51" t="s">
        <v>4000</v>
      </c>
      <c r="AQ102" s="51" t="s">
        <v>3888</v>
      </c>
      <c r="AR102" s="51" t="s">
        <v>4001</v>
      </c>
      <c r="AS102" s="51" t="s">
        <v>957</v>
      </c>
      <c r="AT102" s="51" t="s">
        <v>759</v>
      </c>
      <c r="AU102" s="50" t="s">
        <v>950</v>
      </c>
      <c r="AW102" s="52" t="s">
        <v>4038</v>
      </c>
      <c r="AY102" s="52" t="s">
        <v>4042</v>
      </c>
      <c r="BB102" s="201" t="s">
        <v>6042</v>
      </c>
    </row>
    <row r="103" spans="1:54" ht="38.25" customHeight="1" x14ac:dyDescent="0.25">
      <c r="A103" s="51" t="s">
        <v>3803</v>
      </c>
      <c r="B103" s="51">
        <v>37</v>
      </c>
      <c r="D103" s="51" t="s">
        <v>3437</v>
      </c>
      <c r="E103" s="54" t="str" cm="1">
        <f t="array" aca="1" ref="E103" ca="1">IF(H103=0,"",HYPERLINK("#"&amp;RIGHT(CELL("dateiname"),LEN(CELL("dateiname"))-FIND("]",CELL("dateiname")))&amp;"!"&amp;CELL("adresse",OFFSET($Q$6,H103-1,0)),"Definition"))</f>
        <v/>
      </c>
      <c r="F103" s="54" t="str" cm="1">
        <f t="array" aca="1" ref="F103" ca="1">IF(I103=0,"",HYPERLINK("#"&amp;RIGHT(CELL("adresse",OFFSET(DMAV_Doku!$B$6,I103-1,0)),LEN(CELL("adresse",OFFSET(DMAV_Doku!$B$6,I103-1,0)))-SEARCH("]",CELL("adresse",OFFSET(DMAV_Doku!$B$6,I103-1,0)))),"ModDoc"))</f>
        <v/>
      </c>
      <c r="G103" s="150" t="str">
        <f t="shared" si="2"/>
        <v>MFP37</v>
      </c>
      <c r="H103" s="150">
        <f t="shared" si="3"/>
        <v>0</v>
      </c>
      <c r="I103" s="150">
        <f>IF(_xlfn.XLOOKUP(G103,Korrelation!$A$4:$A$723,Korrelation!$B$4:$B$723,0,0)=0,0,MATCH(_xlfn.XLOOKUP(G103,Korrelation!$A$4:$A$723,Korrelation!$B$4:$B$723,0,0),DMAV_Doku!$H$6:$H$483,0))</f>
        <v>0</v>
      </c>
      <c r="J103" s="158"/>
      <c r="K103" s="161"/>
      <c r="L103" s="161"/>
      <c r="M103" s="158"/>
      <c r="N103" s="51" t="s">
        <v>3998</v>
      </c>
      <c r="O103" s="51" t="s">
        <v>3886</v>
      </c>
      <c r="P103" s="51" t="s">
        <v>13</v>
      </c>
      <c r="Q103" s="51" t="s">
        <v>957</v>
      </c>
      <c r="R103" s="51" t="s">
        <v>153</v>
      </c>
      <c r="S103" s="50" t="s">
        <v>950</v>
      </c>
      <c r="U103" s="52" t="s">
        <v>3435</v>
      </c>
      <c r="W103" s="52" t="s">
        <v>3436</v>
      </c>
      <c r="Z103" s="202" t="s">
        <v>2749</v>
      </c>
      <c r="AB103" s="51" t="s">
        <v>3999</v>
      </c>
      <c r="AC103" s="51" t="s">
        <v>3887</v>
      </c>
      <c r="AD103" s="51" t="s">
        <v>703</v>
      </c>
      <c r="AE103" s="51" t="s">
        <v>957</v>
      </c>
      <c r="AF103" s="51" t="s">
        <v>759</v>
      </c>
      <c r="AG103" s="50" t="s">
        <v>950</v>
      </c>
      <c r="AI103" s="52" t="s">
        <v>4043</v>
      </c>
      <c r="AK103" s="52" t="s">
        <v>4044</v>
      </c>
      <c r="AN103" s="202" t="s">
        <v>7211</v>
      </c>
      <c r="AP103" s="51" t="s">
        <v>4000</v>
      </c>
      <c r="AQ103" s="51" t="s">
        <v>3888</v>
      </c>
      <c r="AR103" s="51" t="s">
        <v>4001</v>
      </c>
      <c r="AS103" s="51" t="s">
        <v>957</v>
      </c>
      <c r="AT103" s="51" t="s">
        <v>759</v>
      </c>
      <c r="AU103" s="50" t="s">
        <v>950</v>
      </c>
      <c r="AW103" s="52" t="s">
        <v>4045</v>
      </c>
      <c r="AY103" s="52" t="s">
        <v>4046</v>
      </c>
      <c r="BB103" s="202" t="s">
        <v>6022</v>
      </c>
    </row>
    <row r="104" spans="1:54" ht="38.25" x14ac:dyDescent="0.25">
      <c r="A104" s="51" t="s">
        <v>3803</v>
      </c>
      <c r="B104" s="51">
        <v>38</v>
      </c>
      <c r="D104" s="51" t="s">
        <v>4049</v>
      </c>
      <c r="E104" s="54" t="str" cm="1">
        <f t="array" aca="1" ref="E104" ca="1">IF(H104=0,"",HYPERLINK("#"&amp;RIGHT(CELL("dateiname"),LEN(CELL("dateiname"))-FIND("]",CELL("dateiname")))&amp;"!"&amp;CELL("adresse",OFFSET($Q$6,H104-1,0)),"Definition"))</f>
        <v/>
      </c>
      <c r="F104" s="54" t="str" cm="1">
        <f t="array" aca="1" ref="F104" ca="1">IF(I104=0,"",HYPERLINK("#"&amp;RIGHT(CELL("adresse",OFFSET(DMAV_Doku!$B$6,I104-1,0)),LEN(CELL("adresse",OFFSET(DMAV_Doku!$B$6,I104-1,0)))-SEARCH("]",CELL("adresse",OFFSET(DMAV_Doku!$B$6,I104-1,0)))),"ModDoc"))</f>
        <v/>
      </c>
      <c r="G104" s="150" t="str">
        <f t="shared" si="2"/>
        <v>MFP38</v>
      </c>
      <c r="H104" s="150">
        <f t="shared" si="3"/>
        <v>0</v>
      </c>
      <c r="I104" s="150">
        <f>IF(_xlfn.XLOOKUP(G104,Korrelation!$A$4:$A$723,Korrelation!$B$4:$B$723,0,0)=0,0,MATCH(_xlfn.XLOOKUP(G104,Korrelation!$A$4:$A$723,Korrelation!$B$4:$B$723,0,0),DMAV_Doku!$H$6:$H$483,0))</f>
        <v>0</v>
      </c>
      <c r="J104" s="158"/>
      <c r="K104" s="161">
        <v>46054</v>
      </c>
      <c r="L104" s="161"/>
      <c r="M104" s="158"/>
      <c r="N104" s="51" t="s">
        <v>3998</v>
      </c>
      <c r="O104" s="51" t="s">
        <v>3886</v>
      </c>
      <c r="P104" s="51" t="s">
        <v>13</v>
      </c>
      <c r="Q104" s="51" t="s">
        <v>957</v>
      </c>
      <c r="R104" s="51" t="s">
        <v>153</v>
      </c>
      <c r="S104" s="50" t="s">
        <v>950</v>
      </c>
      <c r="U104" s="52" t="s">
        <v>4047</v>
      </c>
      <c r="W104" s="52" t="s">
        <v>4048</v>
      </c>
      <c r="Z104" s="202" t="s">
        <v>5648</v>
      </c>
      <c r="AB104" s="51" t="s">
        <v>3999</v>
      </c>
      <c r="AC104" s="51" t="s">
        <v>3887</v>
      </c>
      <c r="AD104" s="51" t="s">
        <v>703</v>
      </c>
      <c r="AE104" s="51" t="s">
        <v>957</v>
      </c>
      <c r="AF104" s="51" t="s">
        <v>759</v>
      </c>
      <c r="AG104" s="50" t="s">
        <v>950</v>
      </c>
      <c r="AI104" s="52" t="s">
        <v>4050</v>
      </c>
      <c r="AK104" s="52" t="s">
        <v>4051</v>
      </c>
      <c r="AN104" s="202" t="s">
        <v>7212</v>
      </c>
      <c r="AP104" s="51" t="s">
        <v>4000</v>
      </c>
      <c r="AQ104" s="51" t="s">
        <v>3888</v>
      </c>
      <c r="AR104" s="51" t="s">
        <v>4001</v>
      </c>
      <c r="AS104" s="51" t="s">
        <v>957</v>
      </c>
      <c r="AT104" s="51" t="s">
        <v>759</v>
      </c>
      <c r="AU104" s="50" t="s">
        <v>950</v>
      </c>
      <c r="AW104" s="52" t="s">
        <v>4050</v>
      </c>
      <c r="AY104" s="52" t="s">
        <v>4052</v>
      </c>
      <c r="BB104" s="202" t="s">
        <v>6023</v>
      </c>
    </row>
    <row r="105" spans="1:54" x14ac:dyDescent="0.25">
      <c r="A105" s="51" t="s">
        <v>3803</v>
      </c>
      <c r="B105" s="51">
        <v>39</v>
      </c>
      <c r="E105" s="54" t="str" cm="1">
        <f t="array" aca="1" ref="E105" ca="1">IF(H105=0,"",HYPERLINK("#"&amp;RIGHT(CELL("dateiname"),LEN(CELL("dateiname"))-FIND("]",CELL("dateiname")))&amp;"!"&amp;CELL("adresse",OFFSET($Q$6,H105-1,0)),"Definition"))</f>
        <v/>
      </c>
      <c r="F105" s="54" t="str" cm="1">
        <f t="array" aca="1" ref="F105" ca="1">IF(I105=0,"",HYPERLINK("#"&amp;RIGHT(CELL("adresse",OFFSET(DMAV_Doku!$B$6,I105-1,0)),LEN(CELL("adresse",OFFSET(DMAV_Doku!$B$6,I105-1,0)))-SEARCH("]",CELL("adresse",OFFSET(DMAV_Doku!$B$6,I105-1,0)))),"ModDoc"))</f>
        <v/>
      </c>
      <c r="G105" s="150" t="str">
        <f t="shared" si="2"/>
        <v>MFP39</v>
      </c>
      <c r="H105" s="150">
        <f t="shared" si="3"/>
        <v>0</v>
      </c>
      <c r="I105" s="150">
        <f>IF(_xlfn.XLOOKUP(G105,Korrelation!$A$4:$A$723,Korrelation!$B$4:$B$723,0,0)=0,0,MATCH(_xlfn.XLOOKUP(G105,Korrelation!$A$4:$A$723,Korrelation!$B$4:$B$723,0,0),DMAV_Doku!$H$6:$H$483,0))</f>
        <v>0</v>
      </c>
      <c r="J105" s="158"/>
      <c r="K105" s="161"/>
      <c r="L105" s="161"/>
      <c r="M105" s="158"/>
      <c r="N105" s="51" t="s">
        <v>3998</v>
      </c>
      <c r="O105" s="51" t="s">
        <v>3886</v>
      </c>
      <c r="P105" s="51" t="s">
        <v>13</v>
      </c>
      <c r="Q105" s="51" t="s">
        <v>967</v>
      </c>
      <c r="R105" s="51" t="s">
        <v>968</v>
      </c>
      <c r="U105" s="52" t="s">
        <v>969</v>
      </c>
      <c r="W105" s="52" t="s">
        <v>164</v>
      </c>
      <c r="X105" s="51" t="s">
        <v>970</v>
      </c>
      <c r="AB105" s="51" t="s">
        <v>3999</v>
      </c>
      <c r="AC105" s="51" t="s">
        <v>3887</v>
      </c>
      <c r="AD105" s="51" t="s">
        <v>703</v>
      </c>
      <c r="AE105" s="51" t="s">
        <v>967</v>
      </c>
      <c r="AF105" s="51" t="s">
        <v>4053</v>
      </c>
      <c r="AI105" s="52" t="s">
        <v>1319</v>
      </c>
      <c r="AK105" s="52" t="s">
        <v>765</v>
      </c>
      <c r="AL105" s="51" t="s">
        <v>970</v>
      </c>
      <c r="AP105" s="51" t="s">
        <v>4000</v>
      </c>
      <c r="AQ105" s="51" t="s">
        <v>3888</v>
      </c>
      <c r="AR105" s="51" t="s">
        <v>4001</v>
      </c>
      <c r="AS105" s="51" t="s">
        <v>967</v>
      </c>
      <c r="AT105" s="51" t="s">
        <v>4053</v>
      </c>
      <c r="AW105" s="52" t="s">
        <v>1319</v>
      </c>
      <c r="AY105" s="52" t="s">
        <v>4012</v>
      </c>
      <c r="AZ105" s="51" t="s">
        <v>970</v>
      </c>
    </row>
    <row r="106" spans="1:54" x14ac:dyDescent="0.25">
      <c r="A106" s="51" t="s">
        <v>3803</v>
      </c>
      <c r="B106" s="51">
        <v>40</v>
      </c>
      <c r="E106" s="54" t="str" cm="1">
        <f t="array" aca="1" ref="E106" ca="1">IF(H106=0,"",HYPERLINK("#"&amp;RIGHT(CELL("dateiname"),LEN(CELL("dateiname"))-FIND("]",CELL("dateiname")))&amp;"!"&amp;CELL("adresse",OFFSET($Q$6,H106-1,0)),"Definition"))</f>
        <v/>
      </c>
      <c r="F106" s="54" t="str" cm="1">
        <f t="array" aca="1" ref="F106" ca="1">IF(I106=0,"",HYPERLINK("#"&amp;RIGHT(CELL("adresse",OFFSET(DMAV_Doku!$B$6,I106-1,0)),LEN(CELL("adresse",OFFSET(DMAV_Doku!$B$6,I106-1,0)))-SEARCH("]",CELL("adresse",OFFSET(DMAV_Doku!$B$6,I106-1,0)))),"ModDoc"))</f>
        <v/>
      </c>
      <c r="G106" s="150" t="str">
        <f t="shared" si="2"/>
        <v>MFP40</v>
      </c>
      <c r="H106" s="150">
        <f t="shared" si="3"/>
        <v>0</v>
      </c>
      <c r="I106" s="150">
        <f>IF(_xlfn.XLOOKUP(G106,Korrelation!$A$4:$A$723,Korrelation!$B$4:$B$723,0,0)=0,0,MATCH(_xlfn.XLOOKUP(G106,Korrelation!$A$4:$A$723,Korrelation!$B$4:$B$723,0,0),DMAV_Doku!$H$6:$H$483,0))</f>
        <v>0</v>
      </c>
      <c r="J106" s="158"/>
      <c r="K106" s="161"/>
      <c r="L106" s="161"/>
      <c r="M106" s="158"/>
      <c r="N106" s="51" t="s">
        <v>3998</v>
      </c>
      <c r="O106" s="51" t="s">
        <v>3886</v>
      </c>
      <c r="P106" s="51" t="s">
        <v>13</v>
      </c>
      <c r="Q106" s="51" t="s">
        <v>967</v>
      </c>
      <c r="R106" s="51" t="s">
        <v>968</v>
      </c>
      <c r="U106" s="52" t="s">
        <v>971</v>
      </c>
      <c r="W106" s="52" t="s">
        <v>153</v>
      </c>
      <c r="X106" s="51" t="s">
        <v>972</v>
      </c>
      <c r="AB106" s="51" t="s">
        <v>3999</v>
      </c>
      <c r="AC106" s="51" t="s">
        <v>3887</v>
      </c>
      <c r="AD106" s="51" t="s">
        <v>703</v>
      </c>
      <c r="AE106" s="51" t="s">
        <v>967</v>
      </c>
      <c r="AF106" s="51" t="s">
        <v>4053</v>
      </c>
      <c r="AI106" s="52" t="s">
        <v>4054</v>
      </c>
      <c r="AK106" s="52" t="s">
        <v>759</v>
      </c>
      <c r="AL106" s="51" t="s">
        <v>972</v>
      </c>
      <c r="AP106" s="51" t="s">
        <v>4000</v>
      </c>
      <c r="AQ106" s="51" t="s">
        <v>3888</v>
      </c>
      <c r="AR106" s="51" t="s">
        <v>4001</v>
      </c>
      <c r="AS106" s="51" t="s">
        <v>967</v>
      </c>
      <c r="AT106" s="51" t="s">
        <v>4053</v>
      </c>
      <c r="AW106" s="52" t="s">
        <v>4055</v>
      </c>
      <c r="AY106" s="52" t="s">
        <v>759</v>
      </c>
      <c r="AZ106" s="51" t="s">
        <v>972</v>
      </c>
    </row>
    <row r="107" spans="1:54" x14ac:dyDescent="0.25">
      <c r="A107" s="51" t="s">
        <v>3803</v>
      </c>
      <c r="B107" s="51">
        <v>41</v>
      </c>
      <c r="D107" s="51" t="s">
        <v>3440</v>
      </c>
      <c r="E107" s="54" t="str" cm="1">
        <f t="array" aca="1" ref="E107" ca="1">IF(H107=0,"",HYPERLINK("#"&amp;RIGHT(CELL("dateiname"),LEN(CELL("dateiname"))-FIND("]",CELL("dateiname")))&amp;"!"&amp;CELL("adresse",OFFSET($Q$6,H107-1,0)),"Definition"))</f>
        <v/>
      </c>
      <c r="F107" s="54" t="str" cm="1">
        <f t="array" aca="1" ref="F107" ca="1">IF(I107=0,"",HYPERLINK("#"&amp;RIGHT(CELL("adresse",OFFSET(DMAV_Doku!$B$6,I107-1,0)),LEN(CELL("adresse",OFFSET(DMAV_Doku!$B$6,I107-1,0)))-SEARCH("]",CELL("adresse",OFFSET(DMAV_Doku!$B$6,I107-1,0)))),"ModDoc"))</f>
        <v>ModDoc</v>
      </c>
      <c r="G107" s="150" t="str">
        <f t="shared" si="2"/>
        <v>MFP41</v>
      </c>
      <c r="H107" s="150">
        <f t="shared" si="3"/>
        <v>0</v>
      </c>
      <c r="I107" s="150">
        <f>IF(_xlfn.XLOOKUP(G107,Korrelation!$A$4:$A$723,Korrelation!$B$4:$B$723,0,0)=0,0,MATCH(_xlfn.XLOOKUP(G107,Korrelation!$A$4:$A$723,Korrelation!$B$4:$B$723,0,0),DMAV_Doku!$H$6:$H$483,0))</f>
        <v>90</v>
      </c>
      <c r="J107" s="158"/>
      <c r="K107" s="161"/>
      <c r="L107" s="161"/>
      <c r="M107" s="158"/>
      <c r="N107" s="51" t="s">
        <v>3998</v>
      </c>
      <c r="O107" s="51" t="s">
        <v>3886</v>
      </c>
      <c r="P107" s="51" t="s">
        <v>13</v>
      </c>
      <c r="Q107" s="51" t="s">
        <v>949</v>
      </c>
      <c r="R107" s="51" t="s">
        <v>184</v>
      </c>
      <c r="S107" s="50" t="s">
        <v>950</v>
      </c>
      <c r="T107" s="51" t="s">
        <v>959</v>
      </c>
      <c r="U107" s="52" t="s">
        <v>96</v>
      </c>
      <c r="W107" s="52" t="s">
        <v>951</v>
      </c>
      <c r="Z107" s="200" t="s">
        <v>6006</v>
      </c>
      <c r="AB107" s="51" t="s">
        <v>3999</v>
      </c>
      <c r="AC107" s="51" t="s">
        <v>3887</v>
      </c>
      <c r="AD107" s="51" t="s">
        <v>703</v>
      </c>
      <c r="AE107" s="51" t="s">
        <v>949</v>
      </c>
      <c r="AF107" s="51" t="s">
        <v>767</v>
      </c>
      <c r="AG107" s="50" t="s">
        <v>950</v>
      </c>
      <c r="AH107" s="51" t="s">
        <v>959</v>
      </c>
      <c r="AI107" s="52" t="s">
        <v>733</v>
      </c>
      <c r="AK107" s="52" t="s">
        <v>951</v>
      </c>
      <c r="AN107" s="52" t="s">
        <v>6008</v>
      </c>
      <c r="AP107" s="51" t="s">
        <v>4000</v>
      </c>
      <c r="AQ107" s="51" t="s">
        <v>3888</v>
      </c>
      <c r="AR107" s="51" t="s">
        <v>4001</v>
      </c>
      <c r="AS107" s="51" t="s">
        <v>949</v>
      </c>
      <c r="AT107" s="51" t="s">
        <v>4056</v>
      </c>
      <c r="AU107" s="50" t="s">
        <v>950</v>
      </c>
      <c r="AV107" s="51" t="s">
        <v>959</v>
      </c>
      <c r="AW107" s="52" t="s">
        <v>1378</v>
      </c>
      <c r="AY107" s="52" t="s">
        <v>951</v>
      </c>
      <c r="BB107" s="52" t="s">
        <v>6009</v>
      </c>
    </row>
    <row r="108" spans="1:54" x14ac:dyDescent="0.25">
      <c r="A108" s="51" t="s">
        <v>3803</v>
      </c>
      <c r="B108" s="51">
        <v>42</v>
      </c>
      <c r="D108" s="51" t="s">
        <v>3440</v>
      </c>
      <c r="E108" s="54" t="str" cm="1">
        <f t="array" aca="1" ref="E108" ca="1">IF(H108=0,"",HYPERLINK("#"&amp;RIGHT(CELL("dateiname"),LEN(CELL("dateiname"))-FIND("]",CELL("dateiname")))&amp;"!"&amp;CELL("adresse",OFFSET($Q$6,H108-1,0)),"Definition"))</f>
        <v/>
      </c>
      <c r="F108" s="54" t="str" cm="1">
        <f t="array" aca="1" ref="F108" ca="1">IF(I108=0,"",HYPERLINK("#"&amp;RIGHT(CELL("adresse",OFFSET(DMAV_Doku!$B$6,I108-1,0)),LEN(CELL("adresse",OFFSET(DMAV_Doku!$B$6,I108-1,0)))-SEARCH("]",CELL("adresse",OFFSET(DMAV_Doku!$B$6,I108-1,0)))),"ModDoc"))</f>
        <v>ModDoc</v>
      </c>
      <c r="G108" s="150" t="str">
        <f t="shared" si="2"/>
        <v>MFP42</v>
      </c>
      <c r="H108" s="150">
        <f t="shared" si="3"/>
        <v>0</v>
      </c>
      <c r="I108" s="150">
        <f>IF(_xlfn.XLOOKUP(G108,Korrelation!$A$4:$A$723,Korrelation!$B$4:$B$723,0,0)=0,0,MATCH(_xlfn.XLOOKUP(G108,Korrelation!$A$4:$A$723,Korrelation!$B$4:$B$723,0,0),DMAV_Doku!$H$6:$H$483,0))</f>
        <v>91</v>
      </c>
      <c r="J108" s="158"/>
      <c r="K108" s="161"/>
      <c r="L108" s="161"/>
      <c r="M108" s="158"/>
      <c r="N108" s="51" t="s">
        <v>3998</v>
      </c>
      <c r="O108" s="51" t="s">
        <v>3886</v>
      </c>
      <c r="P108" s="51" t="s">
        <v>13</v>
      </c>
      <c r="Q108" s="51" t="s">
        <v>949</v>
      </c>
      <c r="R108" s="51" t="s">
        <v>184</v>
      </c>
      <c r="S108" s="50" t="s">
        <v>950</v>
      </c>
      <c r="T108" s="51" t="s">
        <v>959</v>
      </c>
      <c r="U108" s="52" t="s">
        <v>99</v>
      </c>
      <c r="W108" s="52" t="s">
        <v>951</v>
      </c>
      <c r="Y108" s="52" t="s">
        <v>1599</v>
      </c>
      <c r="Z108" s="200" t="s">
        <v>6006</v>
      </c>
      <c r="AB108" s="51" t="s">
        <v>3999</v>
      </c>
      <c r="AC108" s="51" t="s">
        <v>3887</v>
      </c>
      <c r="AD108" s="51" t="s">
        <v>703</v>
      </c>
      <c r="AE108" s="51" t="s">
        <v>949</v>
      </c>
      <c r="AF108" s="51" t="s">
        <v>767</v>
      </c>
      <c r="AG108" s="50" t="s">
        <v>950</v>
      </c>
      <c r="AH108" s="51" t="s">
        <v>959</v>
      </c>
      <c r="AI108" s="52" t="s">
        <v>734</v>
      </c>
      <c r="AK108" s="52" t="s">
        <v>951</v>
      </c>
      <c r="AN108" s="52" t="s">
        <v>6008</v>
      </c>
      <c r="AP108" s="51" t="s">
        <v>4000</v>
      </c>
      <c r="AQ108" s="51" t="s">
        <v>3888</v>
      </c>
      <c r="AR108" s="51" t="s">
        <v>4001</v>
      </c>
      <c r="AS108" s="51" t="s">
        <v>949</v>
      </c>
      <c r="AT108" s="51" t="s">
        <v>4056</v>
      </c>
      <c r="AU108" s="50" t="s">
        <v>950</v>
      </c>
      <c r="AV108" s="51" t="s">
        <v>959</v>
      </c>
      <c r="AW108" s="52" t="s">
        <v>1376</v>
      </c>
      <c r="AY108" s="52" t="s">
        <v>951</v>
      </c>
      <c r="BB108" s="52" t="s">
        <v>6009</v>
      </c>
    </row>
    <row r="109" spans="1:54" x14ac:dyDescent="0.25">
      <c r="A109" s="51" t="s">
        <v>3803</v>
      </c>
      <c r="B109" s="51">
        <v>43</v>
      </c>
      <c r="E109" s="54" t="str" cm="1">
        <f t="array" aca="1" ref="E109" ca="1">IF(H109=0,"",HYPERLINK("#"&amp;RIGHT(CELL("dateiname"),LEN(CELL("dateiname"))-FIND("]",CELL("dateiname")))&amp;"!"&amp;CELL("adresse",OFFSET($Q$6,H109-1,0)),"Definition"))</f>
        <v/>
      </c>
      <c r="F109" s="54" t="str" cm="1">
        <f t="array" aca="1" ref="F109" ca="1">IF(I109=0,"",HYPERLINK("#"&amp;RIGHT(CELL("adresse",OFFSET(DMAV_Doku!$B$6,I109-1,0)),LEN(CELL("adresse",OFFSET(DMAV_Doku!$B$6,I109-1,0)))-SEARCH("]",CELL("adresse",OFFSET(DMAV_Doku!$B$6,I109-1,0)))),"ModDoc"))</f>
        <v>ModDoc</v>
      </c>
      <c r="G109" s="150" t="str">
        <f t="shared" si="2"/>
        <v>MFP43</v>
      </c>
      <c r="H109" s="150">
        <f t="shared" si="3"/>
        <v>0</v>
      </c>
      <c r="I109" s="150">
        <f>IF(_xlfn.XLOOKUP(G109,Korrelation!$A$4:$A$723,Korrelation!$B$4:$B$723,0,0)=0,0,MATCH(_xlfn.XLOOKUP(G109,Korrelation!$A$4:$A$723,Korrelation!$B$4:$B$723,0,0),DMAV_Doku!$H$6:$H$483,0))</f>
        <v>92</v>
      </c>
      <c r="J109" s="158"/>
      <c r="K109" s="161"/>
      <c r="L109" s="161"/>
      <c r="M109" s="158"/>
      <c r="N109" s="51" t="s">
        <v>3998</v>
      </c>
      <c r="O109" s="51" t="s">
        <v>3886</v>
      </c>
      <c r="P109" s="51" t="s">
        <v>13</v>
      </c>
      <c r="Q109" s="51" t="s">
        <v>949</v>
      </c>
      <c r="R109" s="51" t="s">
        <v>184</v>
      </c>
      <c r="S109" s="50" t="s">
        <v>950</v>
      </c>
      <c r="U109" s="52" t="s">
        <v>101</v>
      </c>
      <c r="W109" s="52" t="s">
        <v>964</v>
      </c>
      <c r="AB109" s="51" t="s">
        <v>3999</v>
      </c>
      <c r="AC109" s="51" t="s">
        <v>3887</v>
      </c>
      <c r="AD109" s="51" t="s">
        <v>703</v>
      </c>
      <c r="AE109" s="51" t="s">
        <v>949</v>
      </c>
      <c r="AF109" s="51" t="s">
        <v>767</v>
      </c>
      <c r="AG109" s="50" t="s">
        <v>950</v>
      </c>
      <c r="AI109" s="52" t="s">
        <v>735</v>
      </c>
      <c r="AK109" s="52" t="s">
        <v>964</v>
      </c>
      <c r="AP109" s="51" t="s">
        <v>4000</v>
      </c>
      <c r="AQ109" s="51" t="s">
        <v>3888</v>
      </c>
      <c r="AR109" s="51" t="s">
        <v>4001</v>
      </c>
      <c r="AS109" s="51" t="s">
        <v>949</v>
      </c>
      <c r="AT109" s="51" t="s">
        <v>4056</v>
      </c>
      <c r="AU109" s="50" t="s">
        <v>950</v>
      </c>
      <c r="AW109" s="52" t="s">
        <v>1294</v>
      </c>
      <c r="AY109" s="52" t="s">
        <v>964</v>
      </c>
    </row>
    <row r="110" spans="1:54" ht="38.25" x14ac:dyDescent="0.25">
      <c r="A110" s="51" t="s">
        <v>3803</v>
      </c>
      <c r="B110" s="51">
        <v>44</v>
      </c>
      <c r="E110" s="54" t="str" cm="1">
        <f t="array" aca="1" ref="E110" ca="1">IF(H110=0,"",HYPERLINK("#"&amp;RIGHT(CELL("dateiname"),LEN(CELL("dateiname"))-FIND("]",CELL("dateiname")))&amp;"!"&amp;CELL("adresse",OFFSET($Q$6,H110-1,0)),"Definition"))</f>
        <v/>
      </c>
      <c r="F110" s="54" t="str" cm="1">
        <f t="array" aca="1" ref="F110" ca="1">IF(I110=0,"",HYPERLINK("#"&amp;RIGHT(CELL("adresse",OFFSET(DMAV_Doku!$B$6,I110-1,0)),LEN(CELL("adresse",OFFSET(DMAV_Doku!$B$6,I110-1,0)))-SEARCH("]",CELL("adresse",OFFSET(DMAV_Doku!$B$6,I110-1,0)))),"ModDoc"))</f>
        <v>ModDoc</v>
      </c>
      <c r="G110" s="150" t="str">
        <f t="shared" si="2"/>
        <v>MFP44</v>
      </c>
      <c r="H110" s="150">
        <f t="shared" si="3"/>
        <v>0</v>
      </c>
      <c r="I110" s="150">
        <f>IF(_xlfn.XLOOKUP(G110,Korrelation!$A$4:$A$723,Korrelation!$B$4:$B$723,0,0)=0,0,MATCH(_xlfn.XLOOKUP(G110,Korrelation!$A$4:$A$723,Korrelation!$B$4:$B$723,0,0),DMAV_Doku!$H$6:$H$483,0))</f>
        <v>93</v>
      </c>
      <c r="J110" s="158"/>
      <c r="K110" s="161"/>
      <c r="L110" s="161"/>
      <c r="M110" s="158"/>
      <c r="N110" s="51" t="s">
        <v>3998</v>
      </c>
      <c r="O110" s="51" t="s">
        <v>3886</v>
      </c>
      <c r="P110" s="51" t="s">
        <v>13</v>
      </c>
      <c r="Q110" s="51" t="s">
        <v>949</v>
      </c>
      <c r="R110" s="51" t="s">
        <v>184</v>
      </c>
      <c r="U110" s="52" t="s">
        <v>104</v>
      </c>
      <c r="W110" s="52" t="s">
        <v>965</v>
      </c>
      <c r="AB110" s="51" t="s">
        <v>3999</v>
      </c>
      <c r="AC110" s="51" t="s">
        <v>3887</v>
      </c>
      <c r="AD110" s="51" t="s">
        <v>703</v>
      </c>
      <c r="AE110" s="51" t="s">
        <v>949</v>
      </c>
      <c r="AF110" s="51" t="s">
        <v>767</v>
      </c>
      <c r="AI110" s="52" t="s">
        <v>736</v>
      </c>
      <c r="AK110" s="52" t="s">
        <v>965</v>
      </c>
      <c r="AP110" s="51" t="s">
        <v>4000</v>
      </c>
      <c r="AQ110" s="51" t="s">
        <v>3888</v>
      </c>
      <c r="AR110" s="51" t="s">
        <v>4001</v>
      </c>
      <c r="AS110" s="51" t="s">
        <v>949</v>
      </c>
      <c r="AT110" s="51" t="s">
        <v>4056</v>
      </c>
      <c r="AW110" s="52" t="s">
        <v>1595</v>
      </c>
      <c r="AY110" s="52" t="s">
        <v>965</v>
      </c>
    </row>
    <row r="111" spans="1:54" x14ac:dyDescent="0.25">
      <c r="A111" s="51" t="s">
        <v>3803</v>
      </c>
      <c r="B111" s="51">
        <v>45</v>
      </c>
      <c r="E111" s="54" t="str" cm="1">
        <f t="array" aca="1" ref="E111" ca="1">IF(H111=0,"",HYPERLINK("#"&amp;RIGHT(CELL("dateiname"),LEN(CELL("dateiname"))-FIND("]",CELL("dateiname")))&amp;"!"&amp;CELL("adresse",OFFSET($Q$6,H111-1,0)),"Definition"))</f>
        <v/>
      </c>
      <c r="F111" s="54" t="str" cm="1">
        <f t="array" aca="1" ref="F111" ca="1">IF(I111=0,"",HYPERLINK("#"&amp;RIGHT(CELL("adresse",OFFSET(DMAV_Doku!$B$6,I111-1,0)),LEN(CELL("adresse",OFFSET(DMAV_Doku!$B$6,I111-1,0)))-SEARCH("]",CELL("adresse",OFFSET(DMAV_Doku!$B$6,I111-1,0)))),"ModDoc"))</f>
        <v>ModDoc</v>
      </c>
      <c r="G111" s="150" t="str">
        <f t="shared" si="2"/>
        <v>MFP45</v>
      </c>
      <c r="H111" s="150">
        <f t="shared" si="3"/>
        <v>0</v>
      </c>
      <c r="I111" s="150">
        <f>IF(_xlfn.XLOOKUP(G111,Korrelation!$A$4:$A$723,Korrelation!$B$4:$B$723,0,0)=0,0,MATCH(_xlfn.XLOOKUP(G111,Korrelation!$A$4:$A$723,Korrelation!$B$4:$B$723,0,0),DMAV_Doku!$H$6:$H$483,0))</f>
        <v>94</v>
      </c>
      <c r="J111" s="158"/>
      <c r="K111" s="161"/>
      <c r="L111" s="161"/>
      <c r="M111" s="158"/>
      <c r="N111" s="51" t="s">
        <v>3998</v>
      </c>
      <c r="O111" s="51" t="s">
        <v>3886</v>
      </c>
      <c r="P111" s="51" t="s">
        <v>13</v>
      </c>
      <c r="Q111" s="51" t="s">
        <v>949</v>
      </c>
      <c r="R111" s="51" t="s">
        <v>184</v>
      </c>
      <c r="S111" s="50" t="s">
        <v>950</v>
      </c>
      <c r="U111" s="52" t="s">
        <v>107</v>
      </c>
      <c r="W111" s="52" t="s">
        <v>966</v>
      </c>
      <c r="AB111" s="51" t="s">
        <v>3999</v>
      </c>
      <c r="AC111" s="51" t="s">
        <v>3887</v>
      </c>
      <c r="AD111" s="51" t="s">
        <v>703</v>
      </c>
      <c r="AE111" s="51" t="s">
        <v>949</v>
      </c>
      <c r="AF111" s="51" t="s">
        <v>767</v>
      </c>
      <c r="AG111" s="50" t="s">
        <v>950</v>
      </c>
      <c r="AI111" s="52" t="s">
        <v>737</v>
      </c>
      <c r="AK111" s="52" t="s">
        <v>4013</v>
      </c>
      <c r="AP111" s="51" t="s">
        <v>4000</v>
      </c>
      <c r="AQ111" s="51" t="s">
        <v>3888</v>
      </c>
      <c r="AR111" s="51" t="s">
        <v>4001</v>
      </c>
      <c r="AS111" s="51" t="s">
        <v>949</v>
      </c>
      <c r="AT111" s="51" t="s">
        <v>4056</v>
      </c>
      <c r="AU111" s="50" t="s">
        <v>950</v>
      </c>
      <c r="AW111" s="52" t="s">
        <v>4014</v>
      </c>
      <c r="AY111" s="52" t="s">
        <v>4013</v>
      </c>
    </row>
    <row r="112" spans="1:54" x14ac:dyDescent="0.25">
      <c r="A112" s="51" t="s">
        <v>3803</v>
      </c>
      <c r="B112" s="51">
        <v>46</v>
      </c>
      <c r="D112" s="51" t="s">
        <v>4057</v>
      </c>
      <c r="E112" s="54" t="str" cm="1">
        <f t="array" aca="1" ref="E112" ca="1">IF(H112=0,"",HYPERLINK("#"&amp;RIGHT(CELL("dateiname"),LEN(CELL("dateiname"))-FIND("]",CELL("dateiname")))&amp;"!"&amp;CELL("adresse",OFFSET($Q$6,H112-1,0)),"Definition"))</f>
        <v/>
      </c>
      <c r="F112" s="54" t="str" cm="1">
        <f t="array" aca="1" ref="F112" ca="1">IF(I112=0,"",HYPERLINK("#"&amp;RIGHT(CELL("adresse",OFFSET(DMAV_Doku!$B$6,I112-1,0)),LEN(CELL("adresse",OFFSET(DMAV_Doku!$B$6,I112-1,0)))-SEARCH("]",CELL("adresse",OFFSET(DMAV_Doku!$B$6,I112-1,0)))),"ModDoc"))</f>
        <v>ModDoc</v>
      </c>
      <c r="G112" s="150" t="str">
        <f t="shared" si="2"/>
        <v>MFP46</v>
      </c>
      <c r="H112" s="150">
        <f t="shared" si="3"/>
        <v>0</v>
      </c>
      <c r="I112" s="150">
        <f>IF(_xlfn.XLOOKUP(G112,Korrelation!$A$4:$A$723,Korrelation!$B$4:$B$723,0,0)=0,0,MATCH(_xlfn.XLOOKUP(G112,Korrelation!$A$4:$A$723,Korrelation!$B$4:$B$723,0,0),DMAV_Doku!$H$6:$H$483,0))</f>
        <v>95</v>
      </c>
      <c r="J112" s="158"/>
      <c r="K112" s="161"/>
      <c r="L112" s="161"/>
      <c r="M112" s="158"/>
      <c r="N112" s="51" t="s">
        <v>3998</v>
      </c>
      <c r="O112" s="51" t="s">
        <v>3886</v>
      </c>
      <c r="P112" s="51" t="s">
        <v>13</v>
      </c>
      <c r="Q112" s="51" t="s">
        <v>949</v>
      </c>
      <c r="R112" s="51" t="s">
        <v>185</v>
      </c>
      <c r="S112" s="50" t="s">
        <v>950</v>
      </c>
      <c r="T112" s="51" t="s">
        <v>962</v>
      </c>
      <c r="U112" s="52" t="s">
        <v>96</v>
      </c>
      <c r="W112" s="52" t="s">
        <v>951</v>
      </c>
      <c r="Z112" s="184" t="s">
        <v>5651</v>
      </c>
      <c r="AB112" s="51" t="s">
        <v>3999</v>
      </c>
      <c r="AC112" s="51" t="s">
        <v>3887</v>
      </c>
      <c r="AD112" s="51" t="s">
        <v>703</v>
      </c>
      <c r="AE112" s="51" t="s">
        <v>949</v>
      </c>
      <c r="AF112" s="51" t="s">
        <v>768</v>
      </c>
      <c r="AG112" s="50" t="s">
        <v>950</v>
      </c>
      <c r="AH112" s="51" t="s">
        <v>962</v>
      </c>
      <c r="AI112" s="52" t="s">
        <v>733</v>
      </c>
      <c r="AK112" s="52" t="s">
        <v>951</v>
      </c>
      <c r="AN112" s="199" t="s">
        <v>7213</v>
      </c>
      <c r="AP112" s="51" t="s">
        <v>4000</v>
      </c>
      <c r="AQ112" s="51" t="s">
        <v>3888</v>
      </c>
      <c r="AR112" s="51" t="s">
        <v>4001</v>
      </c>
      <c r="AS112" s="51" t="s">
        <v>949</v>
      </c>
      <c r="AT112" s="51" t="s">
        <v>768</v>
      </c>
      <c r="AU112" s="50" t="s">
        <v>950</v>
      </c>
      <c r="AV112" s="51" t="s">
        <v>962</v>
      </c>
      <c r="AW112" s="52" t="s">
        <v>1378</v>
      </c>
      <c r="AY112" s="52" t="s">
        <v>951</v>
      </c>
      <c r="BB112" s="199" t="s">
        <v>5991</v>
      </c>
    </row>
    <row r="113" spans="1:54" x14ac:dyDescent="0.25">
      <c r="A113" s="51" t="s">
        <v>3803</v>
      </c>
      <c r="B113" s="51">
        <v>47</v>
      </c>
      <c r="D113" s="51" t="s">
        <v>4057</v>
      </c>
      <c r="E113" s="54" t="str" cm="1">
        <f t="array" aca="1" ref="E113" ca="1">IF(H113=0,"",HYPERLINK("#"&amp;RIGHT(CELL("dateiname"),LEN(CELL("dateiname"))-FIND("]",CELL("dateiname")))&amp;"!"&amp;CELL("adresse",OFFSET($Q$6,H113-1,0)),"Definition"))</f>
        <v/>
      </c>
      <c r="F113" s="54" t="str" cm="1">
        <f t="array" aca="1" ref="F113" ca="1">IF(I113=0,"",HYPERLINK("#"&amp;RIGHT(CELL("adresse",OFFSET(DMAV_Doku!$B$6,I113-1,0)),LEN(CELL("adresse",OFFSET(DMAV_Doku!$B$6,I113-1,0)))-SEARCH("]",CELL("adresse",OFFSET(DMAV_Doku!$B$6,I113-1,0)))),"ModDoc"))</f>
        <v>ModDoc</v>
      </c>
      <c r="G113" s="150" t="str">
        <f t="shared" si="2"/>
        <v>MFP47</v>
      </c>
      <c r="H113" s="150">
        <f t="shared" si="3"/>
        <v>0</v>
      </c>
      <c r="I113" s="150">
        <f>IF(_xlfn.XLOOKUP(G113,Korrelation!$A$4:$A$723,Korrelation!$B$4:$B$723,0,0)=0,0,MATCH(_xlfn.XLOOKUP(G113,Korrelation!$A$4:$A$723,Korrelation!$B$4:$B$723,0,0),DMAV_Doku!$H$6:$H$483,0))</f>
        <v>96</v>
      </c>
      <c r="J113" s="158"/>
      <c r="K113" s="161"/>
      <c r="L113" s="161"/>
      <c r="M113" s="158"/>
      <c r="N113" s="51" t="s">
        <v>3998</v>
      </c>
      <c r="O113" s="51" t="s">
        <v>3886</v>
      </c>
      <c r="P113" s="51" t="s">
        <v>13</v>
      </c>
      <c r="Q113" s="51" t="s">
        <v>949</v>
      </c>
      <c r="R113" s="51" t="s">
        <v>185</v>
      </c>
      <c r="S113" s="50" t="s">
        <v>950</v>
      </c>
      <c r="T113" s="51" t="s">
        <v>962</v>
      </c>
      <c r="U113" s="52" t="s">
        <v>121</v>
      </c>
      <c r="W113" s="52" t="s">
        <v>951</v>
      </c>
      <c r="Z113" s="184" t="s">
        <v>5651</v>
      </c>
      <c r="AB113" s="51" t="s">
        <v>3999</v>
      </c>
      <c r="AC113" s="51" t="s">
        <v>3887</v>
      </c>
      <c r="AD113" s="51" t="s">
        <v>703</v>
      </c>
      <c r="AE113" s="51" t="s">
        <v>949</v>
      </c>
      <c r="AF113" s="51" t="s">
        <v>768</v>
      </c>
      <c r="AG113" s="50" t="s">
        <v>950</v>
      </c>
      <c r="AH113" s="51" t="s">
        <v>962</v>
      </c>
      <c r="AI113" s="52" t="s">
        <v>742</v>
      </c>
      <c r="AK113" s="52" t="s">
        <v>951</v>
      </c>
      <c r="AN113" s="52" t="s">
        <v>7213</v>
      </c>
      <c r="AP113" s="51" t="s">
        <v>4000</v>
      </c>
      <c r="AQ113" s="51" t="s">
        <v>3888</v>
      </c>
      <c r="AR113" s="51" t="s">
        <v>4001</v>
      </c>
      <c r="AS113" s="51" t="s">
        <v>949</v>
      </c>
      <c r="AT113" s="51" t="s">
        <v>768</v>
      </c>
      <c r="AU113" s="50" t="s">
        <v>950</v>
      </c>
      <c r="AV113" s="51" t="s">
        <v>962</v>
      </c>
      <c r="AW113" s="52" t="s">
        <v>742</v>
      </c>
      <c r="AY113" s="52" t="s">
        <v>951</v>
      </c>
      <c r="BB113" s="52" t="s">
        <v>5991</v>
      </c>
    </row>
    <row r="114" spans="1:54" x14ac:dyDescent="0.25">
      <c r="A114" s="51" t="s">
        <v>3803</v>
      </c>
      <c r="B114" s="51">
        <v>48</v>
      </c>
      <c r="D114" s="51" t="s">
        <v>4058</v>
      </c>
      <c r="E114" s="54" t="str" cm="1">
        <f t="array" aca="1" ref="E114" ca="1">IF(H114=0,"",HYPERLINK("#"&amp;RIGHT(CELL("dateiname"),LEN(CELL("dateiname"))-FIND("]",CELL("dateiname")))&amp;"!"&amp;CELL("adresse",OFFSET($Q$6,H114-1,0)),"Definition"))</f>
        <v/>
      </c>
      <c r="F114" s="54" t="str" cm="1">
        <f t="array" aca="1" ref="F114" ca="1">IF(I114=0,"",HYPERLINK("#"&amp;RIGHT(CELL("adresse",OFFSET(DMAV_Doku!$B$6,I114-1,0)),LEN(CELL("adresse",OFFSET(DMAV_Doku!$B$6,I114-1,0)))-SEARCH("]",CELL("adresse",OFFSET(DMAV_Doku!$B$6,I114-1,0)))),"ModDoc"))</f>
        <v>ModDoc</v>
      </c>
      <c r="G114" s="150" t="str">
        <f t="shared" si="2"/>
        <v>MFP48</v>
      </c>
      <c r="H114" s="150">
        <f t="shared" si="3"/>
        <v>0</v>
      </c>
      <c r="I114" s="150">
        <f>IF(_xlfn.XLOOKUP(G114,Korrelation!$A$4:$A$723,Korrelation!$B$4:$B$723,0,0)=0,0,MATCH(_xlfn.XLOOKUP(G114,Korrelation!$A$4:$A$723,Korrelation!$B$4:$B$723,0,0),DMAV_Doku!$H$6:$H$483,0))</f>
        <v>97</v>
      </c>
      <c r="J114" s="158"/>
      <c r="K114" s="161"/>
      <c r="L114" s="161"/>
      <c r="M114" s="158"/>
      <c r="N114" s="51" t="s">
        <v>3998</v>
      </c>
      <c r="O114" s="51" t="s">
        <v>3886</v>
      </c>
      <c r="P114" s="51" t="s">
        <v>13</v>
      </c>
      <c r="Q114" s="51" t="s">
        <v>949</v>
      </c>
      <c r="R114" s="51" t="s">
        <v>185</v>
      </c>
      <c r="S114" s="50" t="s">
        <v>950</v>
      </c>
      <c r="T114" s="51" t="s">
        <v>6</v>
      </c>
      <c r="U114" s="52" t="s">
        <v>123</v>
      </c>
      <c r="W114" s="52" t="s">
        <v>952</v>
      </c>
      <c r="Z114" s="184" t="s">
        <v>5652</v>
      </c>
      <c r="AB114" s="51" t="s">
        <v>3999</v>
      </c>
      <c r="AC114" s="51" t="s">
        <v>3887</v>
      </c>
      <c r="AD114" s="51" t="s">
        <v>703</v>
      </c>
      <c r="AE114" s="51" t="s">
        <v>949</v>
      </c>
      <c r="AF114" s="51" t="s">
        <v>768</v>
      </c>
      <c r="AG114" s="50" t="s">
        <v>950</v>
      </c>
      <c r="AH114" s="51" t="s">
        <v>6</v>
      </c>
      <c r="AI114" s="52" t="s">
        <v>123</v>
      </c>
      <c r="AK114" s="52" t="s">
        <v>952</v>
      </c>
      <c r="AN114" s="199" t="s">
        <v>5997</v>
      </c>
      <c r="AP114" s="51" t="s">
        <v>4000</v>
      </c>
      <c r="AQ114" s="51" t="s">
        <v>3888</v>
      </c>
      <c r="AR114" s="51" t="s">
        <v>4001</v>
      </c>
      <c r="AS114" s="51" t="s">
        <v>949</v>
      </c>
      <c r="AT114" s="51" t="s">
        <v>768</v>
      </c>
      <c r="AU114" s="50" t="s">
        <v>950</v>
      </c>
      <c r="AV114" s="51" t="s">
        <v>6</v>
      </c>
      <c r="AW114" s="52" t="s">
        <v>1247</v>
      </c>
      <c r="AY114" s="52" t="s">
        <v>952</v>
      </c>
      <c r="BB114" s="199" t="s">
        <v>5999</v>
      </c>
    </row>
    <row r="115" spans="1:54" x14ac:dyDescent="0.25">
      <c r="A115" s="51" t="s">
        <v>3803</v>
      </c>
      <c r="B115" s="51">
        <v>49</v>
      </c>
      <c r="C115" s="51" t="s">
        <v>3829</v>
      </c>
      <c r="E115" s="54" t="str" cm="1">
        <f t="array" aca="1" ref="E115" ca="1">IF(H115=0,"",HYPERLINK("#"&amp;RIGHT(CELL("dateiname"),LEN(CELL("dateiname"))-FIND("]",CELL("dateiname")))&amp;"!"&amp;CELL("adresse",OFFSET($Q$6,H115-1,0)),"Definition"))</f>
        <v>Definition</v>
      </c>
      <c r="F115" s="54" t="str" cm="1">
        <f t="array" aca="1" ref="F115" ca="1">IF(I115=0,"",HYPERLINK("#"&amp;RIGHT(CELL("adresse",OFFSET(DMAV_Doku!$B$6,I115-1,0)),LEN(CELL("adresse",OFFSET(DMAV_Doku!$B$6,I115-1,0)))-SEARCH("]",CELL("adresse",OFFSET(DMAV_Doku!$B$6,I115-1,0)))),"ModDoc"))</f>
        <v>ModDoc</v>
      </c>
      <c r="G115" s="150" t="str">
        <f t="shared" si="2"/>
        <v>MFP49</v>
      </c>
      <c r="H115" s="150">
        <f t="shared" si="3"/>
        <v>17</v>
      </c>
      <c r="I115" s="150">
        <f>IF(_xlfn.XLOOKUP(G115,Korrelation!$A$4:$A$723,Korrelation!$B$4:$B$723,0,0)=0,0,MATCH(_xlfn.XLOOKUP(G115,Korrelation!$A$4:$A$723,Korrelation!$B$4:$B$723,0,0),DMAV_Doku!$H$6:$H$483,0))</f>
        <v>98</v>
      </c>
      <c r="J115" s="158"/>
      <c r="K115" s="161"/>
      <c r="L115" s="161"/>
      <c r="M115" s="158"/>
      <c r="N115" s="51" t="s">
        <v>3998</v>
      </c>
      <c r="O115" s="51" t="s">
        <v>3886</v>
      </c>
      <c r="P115" s="51" t="s">
        <v>13</v>
      </c>
      <c r="Q115" s="51" t="s">
        <v>949</v>
      </c>
      <c r="R115" s="51" t="s">
        <v>185</v>
      </c>
      <c r="S115" s="50" t="s">
        <v>950</v>
      </c>
      <c r="U115" s="52" t="s">
        <v>125</v>
      </c>
      <c r="W115" s="52" t="s">
        <v>953</v>
      </c>
      <c r="AB115" s="51" t="s">
        <v>3999</v>
      </c>
      <c r="AC115" s="51" t="s">
        <v>3887</v>
      </c>
      <c r="AD115" s="51" t="s">
        <v>703</v>
      </c>
      <c r="AE115" s="51" t="s">
        <v>949</v>
      </c>
      <c r="AF115" s="51" t="s">
        <v>768</v>
      </c>
      <c r="AG115" s="50" t="s">
        <v>950</v>
      </c>
      <c r="AI115" s="52" t="s">
        <v>743</v>
      </c>
      <c r="AK115" s="52" t="s">
        <v>4017</v>
      </c>
      <c r="AP115" s="51" t="s">
        <v>4000</v>
      </c>
      <c r="AQ115" s="51" t="s">
        <v>3888</v>
      </c>
      <c r="AR115" s="51" t="s">
        <v>4001</v>
      </c>
      <c r="AS115" s="51" t="s">
        <v>949</v>
      </c>
      <c r="AT115" s="51" t="s">
        <v>768</v>
      </c>
      <c r="AU115" s="50" t="s">
        <v>950</v>
      </c>
      <c r="AW115" s="52" t="s">
        <v>4018</v>
      </c>
      <c r="AY115" s="52" t="s">
        <v>4019</v>
      </c>
    </row>
    <row r="116" spans="1:54" x14ac:dyDescent="0.25">
      <c r="A116" s="51" t="s">
        <v>3803</v>
      </c>
      <c r="B116" s="51">
        <v>50</v>
      </c>
      <c r="C116" s="51" t="s">
        <v>3834</v>
      </c>
      <c r="E116" s="54" t="str" cm="1">
        <f t="array" aca="1" ref="E116" ca="1">IF(H116=0,"",HYPERLINK("#"&amp;RIGHT(CELL("dateiname"),LEN(CELL("dateiname"))-FIND("]",CELL("dateiname")))&amp;"!"&amp;CELL("adresse",OFFSET($Q$6,H116-1,0)),"Definition"))</f>
        <v>Definition</v>
      </c>
      <c r="F116" s="54" t="str" cm="1">
        <f t="array" aca="1" ref="F116" ca="1">IF(I116=0,"",HYPERLINK("#"&amp;RIGHT(CELL("adresse",OFFSET(DMAV_Doku!$B$6,I116-1,0)),LEN(CELL("adresse",OFFSET(DMAV_Doku!$B$6,I116-1,0)))-SEARCH("]",CELL("adresse",OFFSET(DMAV_Doku!$B$6,I116-1,0)))),"ModDoc"))</f>
        <v>ModDoc</v>
      </c>
      <c r="G116" s="150" t="str">
        <f t="shared" si="2"/>
        <v>MFP50</v>
      </c>
      <c r="H116" s="150">
        <f t="shared" si="3"/>
        <v>40</v>
      </c>
      <c r="I116" s="150">
        <f>IF(_xlfn.XLOOKUP(G116,Korrelation!$A$4:$A$723,Korrelation!$B$4:$B$723,0,0)=0,0,MATCH(_xlfn.XLOOKUP(G116,Korrelation!$A$4:$A$723,Korrelation!$B$4:$B$723,0,0),DMAV_Doku!$H$6:$H$483,0))</f>
        <v>99</v>
      </c>
      <c r="J116" s="158"/>
      <c r="K116" s="161"/>
      <c r="L116" s="161"/>
      <c r="M116" s="158"/>
      <c r="N116" s="51" t="s">
        <v>3998</v>
      </c>
      <c r="O116" s="51" t="s">
        <v>3886</v>
      </c>
      <c r="P116" s="51" t="s">
        <v>13</v>
      </c>
      <c r="Q116" s="51" t="s">
        <v>949</v>
      </c>
      <c r="R116" s="51" t="s">
        <v>185</v>
      </c>
      <c r="S116" s="50" t="s">
        <v>950</v>
      </c>
      <c r="U116" s="52" t="s">
        <v>128</v>
      </c>
      <c r="W116" s="52" t="s">
        <v>954</v>
      </c>
      <c r="AB116" s="51" t="s">
        <v>3999</v>
      </c>
      <c r="AC116" s="51" t="s">
        <v>3887</v>
      </c>
      <c r="AD116" s="51" t="s">
        <v>703</v>
      </c>
      <c r="AE116" s="51" t="s">
        <v>949</v>
      </c>
      <c r="AF116" s="51" t="s">
        <v>768</v>
      </c>
      <c r="AG116" s="50" t="s">
        <v>950</v>
      </c>
      <c r="AI116" s="52" t="s">
        <v>744</v>
      </c>
      <c r="AK116" s="52" t="s">
        <v>4020</v>
      </c>
      <c r="AP116" s="51" t="s">
        <v>4000</v>
      </c>
      <c r="AQ116" s="51" t="s">
        <v>3888</v>
      </c>
      <c r="AR116" s="51" t="s">
        <v>4001</v>
      </c>
      <c r="AS116" s="51" t="s">
        <v>949</v>
      </c>
      <c r="AT116" s="51" t="s">
        <v>768</v>
      </c>
      <c r="AU116" s="50" t="s">
        <v>950</v>
      </c>
      <c r="AW116" s="52" t="s">
        <v>4021</v>
      </c>
      <c r="AY116" s="52" t="s">
        <v>4022</v>
      </c>
    </row>
    <row r="117" spans="1:54" x14ac:dyDescent="0.25">
      <c r="A117" s="51" t="s">
        <v>3803</v>
      </c>
      <c r="B117" s="51">
        <v>51</v>
      </c>
      <c r="C117" s="51" t="s">
        <v>3835</v>
      </c>
      <c r="E117" s="54" t="str" cm="1">
        <f t="array" aca="1" ref="E117" ca="1">IF(H117=0,"",HYPERLINK("#"&amp;RIGHT(CELL("dateiname"),LEN(CELL("dateiname"))-FIND("]",CELL("dateiname")))&amp;"!"&amp;CELL("adresse",OFFSET($Q$6,H117-1,0)),"Definition"))</f>
        <v>Definition</v>
      </c>
      <c r="F117" s="54" t="str" cm="1">
        <f t="array" aca="1" ref="F117" ca="1">IF(I117=0,"",HYPERLINK("#"&amp;RIGHT(CELL("adresse",OFFSET(DMAV_Doku!$B$6,I117-1,0)),LEN(CELL("adresse",OFFSET(DMAV_Doku!$B$6,I117-1,0)))-SEARCH("]",CELL("adresse",OFFSET(DMAV_Doku!$B$6,I117-1,0)))),"ModDoc"))</f>
        <v>ModDoc</v>
      </c>
      <c r="G117" s="150" t="str">
        <f t="shared" si="2"/>
        <v>MFP51</v>
      </c>
      <c r="H117" s="150">
        <f t="shared" si="3"/>
        <v>41</v>
      </c>
      <c r="I117" s="150">
        <f>IF(_xlfn.XLOOKUP(G117,Korrelation!$A$4:$A$723,Korrelation!$B$4:$B$723,0,0)=0,0,MATCH(_xlfn.XLOOKUP(G117,Korrelation!$A$4:$A$723,Korrelation!$B$4:$B$723,0,0),DMAV_Doku!$H$6:$H$483,0))</f>
        <v>100</v>
      </c>
      <c r="J117" s="158"/>
      <c r="K117" s="161"/>
      <c r="L117" s="161"/>
      <c r="M117" s="158"/>
      <c r="N117" s="51" t="s">
        <v>3998</v>
      </c>
      <c r="O117" s="51" t="s">
        <v>3886</v>
      </c>
      <c r="P117" s="51" t="s">
        <v>13</v>
      </c>
      <c r="Q117" s="51" t="s">
        <v>949</v>
      </c>
      <c r="R117" s="51" t="s">
        <v>185</v>
      </c>
      <c r="S117" s="50" t="s">
        <v>950</v>
      </c>
      <c r="U117" s="52" t="s">
        <v>130</v>
      </c>
      <c r="W117" s="52" t="s">
        <v>955</v>
      </c>
      <c r="AB117" s="51" t="s">
        <v>3999</v>
      </c>
      <c r="AC117" s="51" t="s">
        <v>3887</v>
      </c>
      <c r="AD117" s="51" t="s">
        <v>703</v>
      </c>
      <c r="AE117" s="51" t="s">
        <v>949</v>
      </c>
      <c r="AF117" s="51" t="s">
        <v>768</v>
      </c>
      <c r="AG117" s="50" t="s">
        <v>950</v>
      </c>
      <c r="AI117" s="52" t="s">
        <v>745</v>
      </c>
      <c r="AK117" s="52" t="s">
        <v>4023</v>
      </c>
      <c r="AP117" s="51" t="s">
        <v>4000</v>
      </c>
      <c r="AQ117" s="51" t="s">
        <v>3888</v>
      </c>
      <c r="AR117" s="51" t="s">
        <v>4001</v>
      </c>
      <c r="AS117" s="51" t="s">
        <v>949</v>
      </c>
      <c r="AT117" s="51" t="s">
        <v>768</v>
      </c>
      <c r="AU117" s="50" t="s">
        <v>950</v>
      </c>
      <c r="AW117" s="52" t="s">
        <v>4024</v>
      </c>
      <c r="AY117" s="52" t="s">
        <v>4025</v>
      </c>
    </row>
    <row r="118" spans="1:54" x14ac:dyDescent="0.25">
      <c r="A118" s="51" t="s">
        <v>3803</v>
      </c>
      <c r="B118" s="51">
        <v>52</v>
      </c>
      <c r="C118" s="51" t="s">
        <v>3834</v>
      </c>
      <c r="E118" s="54" t="str" cm="1">
        <f t="array" aca="1" ref="E118" ca="1">IF(H118=0,"",HYPERLINK("#"&amp;RIGHT(CELL("dateiname"),LEN(CELL("dateiname"))-FIND("]",CELL("dateiname")))&amp;"!"&amp;CELL("adresse",OFFSET($Q$6,H118-1,0)),"Definition"))</f>
        <v>Definition</v>
      </c>
      <c r="F118" s="54" t="str" cm="1">
        <f t="array" aca="1" ref="F118" ca="1">IF(I118=0,"",HYPERLINK("#"&amp;RIGHT(CELL("adresse",OFFSET(DMAV_Doku!$B$6,I118-1,0)),LEN(CELL("adresse",OFFSET(DMAV_Doku!$B$6,I118-1,0)))-SEARCH("]",CELL("adresse",OFFSET(DMAV_Doku!$B$6,I118-1,0)))),"ModDoc"))</f>
        <v>ModDoc</v>
      </c>
      <c r="G118" s="150" t="str">
        <f t="shared" si="2"/>
        <v>MFP52</v>
      </c>
      <c r="H118" s="150">
        <f t="shared" si="3"/>
        <v>40</v>
      </c>
      <c r="I118" s="150">
        <f>IF(_xlfn.XLOOKUP(G118,Korrelation!$A$4:$A$723,Korrelation!$B$4:$B$723,0,0)=0,0,MATCH(_xlfn.XLOOKUP(G118,Korrelation!$A$4:$A$723,Korrelation!$B$4:$B$723,0,0),DMAV_Doku!$H$6:$H$483,0))</f>
        <v>101</v>
      </c>
      <c r="J118" s="158"/>
      <c r="K118" s="161"/>
      <c r="L118" s="161"/>
      <c r="M118" s="158"/>
      <c r="N118" s="51" t="s">
        <v>3998</v>
      </c>
      <c r="O118" s="51" t="s">
        <v>3886</v>
      </c>
      <c r="P118" s="51" t="s">
        <v>13</v>
      </c>
      <c r="Q118" s="51" t="s">
        <v>949</v>
      </c>
      <c r="R118" s="51" t="s">
        <v>185</v>
      </c>
      <c r="S118" s="50" t="s">
        <v>950</v>
      </c>
      <c r="U118" s="52" t="s">
        <v>132</v>
      </c>
      <c r="W118" s="52" t="s">
        <v>954</v>
      </c>
      <c r="AB118" s="51" t="s">
        <v>3999</v>
      </c>
      <c r="AC118" s="51" t="s">
        <v>3887</v>
      </c>
      <c r="AD118" s="51" t="s">
        <v>703</v>
      </c>
      <c r="AE118" s="51" t="s">
        <v>949</v>
      </c>
      <c r="AF118" s="51" t="s">
        <v>768</v>
      </c>
      <c r="AG118" s="50" t="s">
        <v>950</v>
      </c>
      <c r="AI118" s="52" t="s">
        <v>746</v>
      </c>
      <c r="AK118" s="52" t="s">
        <v>4020</v>
      </c>
      <c r="AP118" s="51" t="s">
        <v>4000</v>
      </c>
      <c r="AQ118" s="51" t="s">
        <v>3888</v>
      </c>
      <c r="AR118" s="51" t="s">
        <v>4001</v>
      </c>
      <c r="AS118" s="51" t="s">
        <v>949</v>
      </c>
      <c r="AT118" s="51" t="s">
        <v>768</v>
      </c>
      <c r="AU118" s="50" t="s">
        <v>950</v>
      </c>
      <c r="AW118" s="52" t="s">
        <v>4026</v>
      </c>
      <c r="AY118" s="52" t="s">
        <v>4022</v>
      </c>
    </row>
    <row r="119" spans="1:54" x14ac:dyDescent="0.25">
      <c r="A119" s="51" t="s">
        <v>3803</v>
      </c>
      <c r="B119" s="51">
        <v>53</v>
      </c>
      <c r="C119" s="51" t="s">
        <v>3835</v>
      </c>
      <c r="E119" s="54" t="str" cm="1">
        <f t="array" aca="1" ref="E119" ca="1">IF(H119=0,"",HYPERLINK("#"&amp;RIGHT(CELL("dateiname"),LEN(CELL("dateiname"))-FIND("]",CELL("dateiname")))&amp;"!"&amp;CELL("adresse",OFFSET($Q$6,H119-1,0)),"Definition"))</f>
        <v>Definition</v>
      </c>
      <c r="F119" s="54" t="str" cm="1">
        <f t="array" aca="1" ref="F119" ca="1">IF(I119=0,"",HYPERLINK("#"&amp;RIGHT(CELL("adresse",OFFSET(DMAV_Doku!$B$6,I119-1,0)),LEN(CELL("adresse",OFFSET(DMAV_Doku!$B$6,I119-1,0)))-SEARCH("]",CELL("adresse",OFFSET(DMAV_Doku!$B$6,I119-1,0)))),"ModDoc"))</f>
        <v>ModDoc</v>
      </c>
      <c r="G119" s="150" t="str">
        <f t="shared" si="2"/>
        <v>MFP53</v>
      </c>
      <c r="H119" s="150">
        <f t="shared" si="3"/>
        <v>41</v>
      </c>
      <c r="I119" s="150">
        <f>IF(_xlfn.XLOOKUP(G119,Korrelation!$A$4:$A$723,Korrelation!$B$4:$B$723,0,0)=0,0,MATCH(_xlfn.XLOOKUP(G119,Korrelation!$A$4:$A$723,Korrelation!$B$4:$B$723,0,0),DMAV_Doku!$H$6:$H$483,0))</f>
        <v>102</v>
      </c>
      <c r="J119" s="158"/>
      <c r="K119" s="161"/>
      <c r="L119" s="161"/>
      <c r="M119" s="158"/>
      <c r="N119" s="51" t="s">
        <v>3998</v>
      </c>
      <c r="O119" s="51" t="s">
        <v>3886</v>
      </c>
      <c r="P119" s="51" t="s">
        <v>13</v>
      </c>
      <c r="Q119" s="51" t="s">
        <v>949</v>
      </c>
      <c r="R119" s="51" t="s">
        <v>185</v>
      </c>
      <c r="S119" s="50" t="s">
        <v>950</v>
      </c>
      <c r="U119" s="52" t="s">
        <v>133</v>
      </c>
      <c r="V119" s="55"/>
      <c r="W119" s="52" t="s">
        <v>955</v>
      </c>
      <c r="AB119" s="51" t="s">
        <v>3999</v>
      </c>
      <c r="AC119" s="51" t="s">
        <v>3887</v>
      </c>
      <c r="AD119" s="51" t="s">
        <v>703</v>
      </c>
      <c r="AE119" s="51" t="s">
        <v>949</v>
      </c>
      <c r="AF119" s="51" t="s">
        <v>768</v>
      </c>
      <c r="AG119" s="50" t="s">
        <v>950</v>
      </c>
      <c r="AI119" s="52" t="s">
        <v>747</v>
      </c>
      <c r="AK119" s="52" t="s">
        <v>4023</v>
      </c>
      <c r="AP119" s="51" t="s">
        <v>4000</v>
      </c>
      <c r="AQ119" s="51" t="s">
        <v>3888</v>
      </c>
      <c r="AR119" s="51" t="s">
        <v>4001</v>
      </c>
      <c r="AS119" s="51" t="s">
        <v>949</v>
      </c>
      <c r="AT119" s="51" t="s">
        <v>768</v>
      </c>
      <c r="AU119" s="50" t="s">
        <v>950</v>
      </c>
      <c r="AW119" s="52" t="s">
        <v>4027</v>
      </c>
      <c r="AY119" s="52" t="s">
        <v>4025</v>
      </c>
    </row>
    <row r="120" spans="1:54" x14ac:dyDescent="0.25">
      <c r="A120" s="51" t="s">
        <v>3803</v>
      </c>
      <c r="B120" s="51">
        <v>54</v>
      </c>
      <c r="C120" s="51" t="s">
        <v>3838</v>
      </c>
      <c r="E120" s="54" t="str" cm="1">
        <f t="array" aca="1" ref="E120" ca="1">IF(H120=0,"",HYPERLINK("#"&amp;RIGHT(CELL("dateiname"),LEN(CELL("dateiname"))-FIND("]",CELL("dateiname")))&amp;"!"&amp;CELL("adresse",OFFSET($Q$6,H120-1,0)),"Definition"))</f>
        <v>Definition</v>
      </c>
      <c r="F120" s="54" t="str" cm="1">
        <f t="array" aca="1" ref="F120" ca="1">IF(I120=0,"",HYPERLINK("#"&amp;RIGHT(CELL("adresse",OFFSET(DMAV_Doku!$B$6,I120-1,0)),LEN(CELL("adresse",OFFSET(DMAV_Doku!$B$6,I120-1,0)))-SEARCH("]",CELL("adresse",OFFSET(DMAV_Doku!$B$6,I120-1,0)))),"ModDoc"))</f>
        <v>ModDoc</v>
      </c>
      <c r="G120" s="150" t="str">
        <f t="shared" si="2"/>
        <v>MFP54</v>
      </c>
      <c r="H120" s="150">
        <f t="shared" si="3"/>
        <v>26</v>
      </c>
      <c r="I120" s="150">
        <f>IF(_xlfn.XLOOKUP(G120,Korrelation!$A$4:$A$723,Korrelation!$B$4:$B$723,0,0)=0,0,MATCH(_xlfn.XLOOKUP(G120,Korrelation!$A$4:$A$723,Korrelation!$B$4:$B$723,0,0),DMAV_Doku!$H$6:$H$483,0))</f>
        <v>103</v>
      </c>
      <c r="J120" s="158"/>
      <c r="K120" s="161">
        <v>46054</v>
      </c>
      <c r="L120" s="161"/>
      <c r="M120" s="158"/>
      <c r="N120" s="51" t="s">
        <v>3998</v>
      </c>
      <c r="O120" s="51" t="s">
        <v>3886</v>
      </c>
      <c r="P120" s="51" t="s">
        <v>13</v>
      </c>
      <c r="Q120" s="51" t="s">
        <v>949</v>
      </c>
      <c r="R120" s="51" t="s">
        <v>185</v>
      </c>
      <c r="U120" s="52" t="s">
        <v>77</v>
      </c>
      <c r="V120" s="52" t="s">
        <v>3471</v>
      </c>
      <c r="W120" s="52" t="s">
        <v>3472</v>
      </c>
      <c r="AB120" s="51" t="s">
        <v>3999</v>
      </c>
      <c r="AC120" s="51" t="s">
        <v>3887</v>
      </c>
      <c r="AD120" s="51" t="s">
        <v>703</v>
      </c>
      <c r="AE120" s="51" t="s">
        <v>949</v>
      </c>
      <c r="AF120" s="51" t="s">
        <v>768</v>
      </c>
      <c r="AI120" s="52" t="s">
        <v>729</v>
      </c>
      <c r="AJ120" s="51" t="s">
        <v>3471</v>
      </c>
      <c r="AK120" s="52" t="s">
        <v>4036</v>
      </c>
      <c r="AP120" s="51" t="s">
        <v>4000</v>
      </c>
      <c r="AQ120" s="51" t="s">
        <v>3888</v>
      </c>
      <c r="AR120" s="51" t="s">
        <v>4001</v>
      </c>
      <c r="AS120" s="51" t="s">
        <v>949</v>
      </c>
      <c r="AT120" s="51" t="s">
        <v>768</v>
      </c>
      <c r="AW120" s="52" t="s">
        <v>3933</v>
      </c>
      <c r="AX120" s="51" t="s">
        <v>3471</v>
      </c>
      <c r="AY120" s="52" t="s">
        <v>4037</v>
      </c>
    </row>
    <row r="121" spans="1:54" x14ac:dyDescent="0.25">
      <c r="A121" s="51" t="s">
        <v>3803</v>
      </c>
      <c r="B121" s="51">
        <v>55</v>
      </c>
      <c r="E121" s="54" t="str" cm="1">
        <f t="array" aca="1" ref="E121" ca="1">IF(H121=0,"",HYPERLINK("#"&amp;RIGHT(CELL("dateiname"),LEN(CELL("dateiname"))-FIND("]",CELL("dateiname")))&amp;"!"&amp;CELL("adresse",OFFSET($Q$6,H121-1,0)),"Definition"))</f>
        <v/>
      </c>
      <c r="F121" s="54" t="str" cm="1">
        <f t="array" aca="1" ref="F121" ca="1">IF(I121=0,"",HYPERLINK("#"&amp;RIGHT(CELL("adresse",OFFSET(DMAV_Doku!$B$6,I121-1,0)),LEN(CELL("adresse",OFFSET(DMAV_Doku!$B$6,I121-1,0)))-SEARCH("]",CELL("adresse",OFFSET(DMAV_Doku!$B$6,I121-1,0)))),"ModDoc"))</f>
        <v/>
      </c>
      <c r="G121" s="150" t="str">
        <f t="shared" si="2"/>
        <v>MFP55</v>
      </c>
      <c r="H121" s="150">
        <f t="shared" si="3"/>
        <v>0</v>
      </c>
      <c r="I121" s="150">
        <f>IF(_xlfn.XLOOKUP(G121,Korrelation!$A$4:$A$723,Korrelation!$B$4:$B$723,0,0)=0,0,MATCH(_xlfn.XLOOKUP(G121,Korrelation!$A$4:$A$723,Korrelation!$B$4:$B$723,0,0),DMAV_Doku!$H$6:$H$483,0))</f>
        <v>0</v>
      </c>
      <c r="J121" s="158"/>
      <c r="K121" s="161"/>
      <c r="L121" s="161"/>
      <c r="M121" s="158"/>
      <c r="N121" s="51" t="s">
        <v>3998</v>
      </c>
      <c r="O121" s="51" t="s">
        <v>3886</v>
      </c>
      <c r="P121" s="51" t="s">
        <v>13</v>
      </c>
      <c r="Q121" s="51" t="s">
        <v>967</v>
      </c>
      <c r="R121" s="51" t="s">
        <v>983</v>
      </c>
      <c r="U121" s="52" t="s">
        <v>969</v>
      </c>
      <c r="W121" s="52" t="s">
        <v>184</v>
      </c>
      <c r="X121" s="51" t="s">
        <v>970</v>
      </c>
      <c r="AB121" s="51" t="s">
        <v>3999</v>
      </c>
      <c r="AC121" s="51" t="s">
        <v>3887</v>
      </c>
      <c r="AD121" s="51" t="s">
        <v>703</v>
      </c>
      <c r="AE121" s="51" t="s">
        <v>967</v>
      </c>
      <c r="AF121" s="51" t="s">
        <v>4059</v>
      </c>
      <c r="AI121" s="52" t="s">
        <v>1319</v>
      </c>
      <c r="AK121" s="52" t="s">
        <v>767</v>
      </c>
      <c r="AL121" s="51" t="s">
        <v>970</v>
      </c>
      <c r="AP121" s="51" t="s">
        <v>4000</v>
      </c>
      <c r="AQ121" s="51" t="s">
        <v>3888</v>
      </c>
      <c r="AR121" s="51" t="s">
        <v>4001</v>
      </c>
      <c r="AS121" s="51" t="s">
        <v>967</v>
      </c>
      <c r="AT121" s="51" t="s">
        <v>4059</v>
      </c>
      <c r="AW121" s="52" t="s">
        <v>1319</v>
      </c>
      <c r="AY121" s="52" t="s">
        <v>4056</v>
      </c>
      <c r="AZ121" s="51" t="s">
        <v>970</v>
      </c>
    </row>
    <row r="122" spans="1:54" x14ac:dyDescent="0.25">
      <c r="A122" s="51" t="s">
        <v>3803</v>
      </c>
      <c r="B122" s="51">
        <v>56</v>
      </c>
      <c r="E122" s="54" t="str" cm="1">
        <f t="array" aca="1" ref="E122" ca="1">IF(H122=0,"",HYPERLINK("#"&amp;RIGHT(CELL("dateiname"),LEN(CELL("dateiname"))-FIND("]",CELL("dateiname")))&amp;"!"&amp;CELL("adresse",OFFSET($Q$6,H122-1,0)),"Definition"))</f>
        <v/>
      </c>
      <c r="F122" s="54" t="str" cm="1">
        <f t="array" aca="1" ref="F122" ca="1">IF(I122=0,"",HYPERLINK("#"&amp;RIGHT(CELL("adresse",OFFSET(DMAV_Doku!$B$6,I122-1,0)),LEN(CELL("adresse",OFFSET(DMAV_Doku!$B$6,I122-1,0)))-SEARCH("]",CELL("adresse",OFFSET(DMAV_Doku!$B$6,I122-1,0)))),"ModDoc"))</f>
        <v/>
      </c>
      <c r="G122" s="150" t="str">
        <f t="shared" si="2"/>
        <v>MFP56</v>
      </c>
      <c r="H122" s="150">
        <f t="shared" si="3"/>
        <v>0</v>
      </c>
      <c r="I122" s="150">
        <f>IF(_xlfn.XLOOKUP(G122,Korrelation!$A$4:$A$723,Korrelation!$B$4:$B$723,0,0)=0,0,MATCH(_xlfn.XLOOKUP(G122,Korrelation!$A$4:$A$723,Korrelation!$B$4:$B$723,0,0),DMAV_Doku!$H$6:$H$483,0))</f>
        <v>0</v>
      </c>
      <c r="J122" s="158"/>
      <c r="K122" s="161"/>
      <c r="L122" s="161"/>
      <c r="M122" s="158"/>
      <c r="N122" s="51" t="s">
        <v>3998</v>
      </c>
      <c r="O122" s="51" t="s">
        <v>3886</v>
      </c>
      <c r="P122" s="51" t="s">
        <v>13</v>
      </c>
      <c r="Q122" s="51" t="s">
        <v>967</v>
      </c>
      <c r="R122" s="51" t="s">
        <v>983</v>
      </c>
      <c r="U122" s="52" t="s">
        <v>984</v>
      </c>
      <c r="W122" s="52" t="s">
        <v>185</v>
      </c>
      <c r="X122" s="51" t="s">
        <v>972</v>
      </c>
      <c r="AB122" s="51" t="s">
        <v>3999</v>
      </c>
      <c r="AC122" s="51" t="s">
        <v>3887</v>
      </c>
      <c r="AD122" s="51" t="s">
        <v>703</v>
      </c>
      <c r="AE122" s="51" t="s">
        <v>967</v>
      </c>
      <c r="AF122" s="51" t="s">
        <v>4059</v>
      </c>
      <c r="AI122" s="52" t="s">
        <v>4060</v>
      </c>
      <c r="AK122" s="52" t="s">
        <v>768</v>
      </c>
      <c r="AL122" s="51" t="s">
        <v>972</v>
      </c>
      <c r="AP122" s="51" t="s">
        <v>4000</v>
      </c>
      <c r="AQ122" s="51" t="s">
        <v>3888</v>
      </c>
      <c r="AR122" s="51" t="s">
        <v>4001</v>
      </c>
      <c r="AS122" s="51" t="s">
        <v>967</v>
      </c>
      <c r="AT122" s="51" t="s">
        <v>4059</v>
      </c>
      <c r="AW122" s="52" t="s">
        <v>4061</v>
      </c>
      <c r="AY122" s="52" t="s">
        <v>768</v>
      </c>
      <c r="AZ122" s="51" t="s">
        <v>972</v>
      </c>
    </row>
    <row r="123" spans="1:54" x14ac:dyDescent="0.25">
      <c r="A123" s="51" t="s">
        <v>3804</v>
      </c>
      <c r="B123" s="51">
        <v>1</v>
      </c>
      <c r="E123" s="54" t="str" cm="1">
        <f t="array" aca="1" ref="E123" ca="1">IF(H123=0,"",HYPERLINK("#"&amp;RIGHT(CELL("dateiname"),LEN(CELL("dateiname"))-FIND("]",CELL("dateiname")))&amp;"!"&amp;CELL("adresse",OFFSET($Q$6,H123-1,0)),"Definition"))</f>
        <v/>
      </c>
      <c r="F123" s="54" t="str" cm="1">
        <f t="array" aca="1" ref="F123" ca="1">IF(I123=0,"",HYPERLINK("#"&amp;RIGHT(CELL("adresse",OFFSET(DMAV_Doku!$B$6,I123-1,0)),LEN(CELL("adresse",OFFSET(DMAV_Doku!$B$6,I123-1,0)))-SEARCH("]",CELL("adresse",OFFSET(DMAV_Doku!$B$6,I123-1,0)))),"ModDoc"))</f>
        <v/>
      </c>
      <c r="G123" s="150" t="str">
        <f t="shared" si="2"/>
        <v>MHG1</v>
      </c>
      <c r="H123" s="150">
        <f t="shared" si="3"/>
        <v>0</v>
      </c>
      <c r="I123" s="150">
        <f>IF(_xlfn.XLOOKUP(G123,Korrelation!$A$4:$A$723,Korrelation!$B$4:$B$723,0,0)=0,0,MATCH(_xlfn.XLOOKUP(G123,Korrelation!$A$4:$A$723,Korrelation!$B$4:$B$723,0,0),DMAV_Doku!$H$6:$H$483,0))</f>
        <v>0</v>
      </c>
      <c r="J123" s="158"/>
      <c r="K123" s="161"/>
      <c r="L123" s="161"/>
      <c r="M123" s="158"/>
      <c r="N123" s="51" t="s">
        <v>991</v>
      </c>
      <c r="O123" s="51" t="s">
        <v>919</v>
      </c>
      <c r="Q123" s="51" t="s">
        <v>910</v>
      </c>
      <c r="R123" s="51" t="s">
        <v>932</v>
      </c>
      <c r="W123" s="52"/>
      <c r="AB123" s="51" t="s">
        <v>4062</v>
      </c>
      <c r="AC123" s="51" t="s">
        <v>3895</v>
      </c>
      <c r="AE123" s="51" t="s">
        <v>910</v>
      </c>
      <c r="AF123" s="51" t="s">
        <v>932</v>
      </c>
      <c r="AP123" s="51" t="s">
        <v>4063</v>
      </c>
      <c r="AQ123" s="51" t="s">
        <v>3896</v>
      </c>
      <c r="AS123" s="51" t="s">
        <v>910</v>
      </c>
      <c r="AT123" s="51" t="s">
        <v>932</v>
      </c>
    </row>
    <row r="124" spans="1:54" x14ac:dyDescent="0.25">
      <c r="A124" s="51" t="s">
        <v>3804</v>
      </c>
      <c r="B124" s="51">
        <v>2</v>
      </c>
      <c r="E124" s="54" t="str" cm="1">
        <f t="array" aca="1" ref="E124" ca="1">IF(H124=0,"",HYPERLINK("#"&amp;RIGHT(CELL("dateiname"),LEN(CELL("dateiname"))-FIND("]",CELL("dateiname")))&amp;"!"&amp;CELL("adresse",OFFSET($Q$6,H124-1,0)),"Definition"))</f>
        <v/>
      </c>
      <c r="F124" s="54" t="str" cm="1">
        <f t="array" aca="1" ref="F124" ca="1">IF(I124=0,"",HYPERLINK("#"&amp;RIGHT(CELL("adresse",OFFSET(DMAV_Doku!$B$6,I124-1,0)),LEN(CELL("adresse",OFFSET(DMAV_Doku!$B$6,I124-1,0)))-SEARCH("]",CELL("adresse",OFFSET(DMAV_Doku!$B$6,I124-1,0)))),"ModDoc"))</f>
        <v/>
      </c>
      <c r="G124" s="150" t="str">
        <f t="shared" si="2"/>
        <v>MHG2</v>
      </c>
      <c r="H124" s="150">
        <f t="shared" si="3"/>
        <v>0</v>
      </c>
      <c r="I124" s="150">
        <f>IF(_xlfn.XLOOKUP(G124,Korrelation!$A$4:$A$723,Korrelation!$B$4:$B$723,0,0)=0,0,MATCH(_xlfn.XLOOKUP(G124,Korrelation!$A$4:$A$723,Korrelation!$B$4:$B$723,0,0),DMAV_Doku!$H$6:$H$483,0))</f>
        <v>0</v>
      </c>
      <c r="J124" s="158"/>
      <c r="K124" s="161"/>
      <c r="L124" s="161"/>
      <c r="M124" s="158"/>
      <c r="N124" s="51" t="s">
        <v>991</v>
      </c>
      <c r="O124" s="51" t="s">
        <v>919</v>
      </c>
      <c r="Q124" s="51" t="s">
        <v>910</v>
      </c>
      <c r="R124" s="51" t="s">
        <v>992</v>
      </c>
      <c r="W124" s="52"/>
      <c r="AB124" s="51" t="s">
        <v>4062</v>
      </c>
      <c r="AC124" s="51" t="s">
        <v>3895</v>
      </c>
      <c r="AE124" s="51" t="s">
        <v>910</v>
      </c>
      <c r="AF124" s="51" t="s">
        <v>992</v>
      </c>
      <c r="AP124" s="51" t="s">
        <v>4063</v>
      </c>
      <c r="AQ124" s="51" t="s">
        <v>3896</v>
      </c>
      <c r="AS124" s="51" t="s">
        <v>910</v>
      </c>
      <c r="AT124" s="51" t="s">
        <v>992</v>
      </c>
    </row>
    <row r="125" spans="1:54" x14ac:dyDescent="0.25">
      <c r="A125" s="51" t="s">
        <v>3804</v>
      </c>
      <c r="B125" s="51">
        <v>3</v>
      </c>
      <c r="C125" s="51" t="s">
        <v>3839</v>
      </c>
      <c r="E125" s="54" t="str" cm="1">
        <f t="array" aca="1" ref="E125" ca="1">IF(H125=0,"",HYPERLINK("#"&amp;RIGHT(CELL("dateiname"),LEN(CELL("dateiname"))-FIND("]",CELL("dateiname")))&amp;"!"&amp;CELL("adresse",OFFSET($Q$6,H125-1,0)),"Definition"))</f>
        <v>Definition</v>
      </c>
      <c r="F125" s="54" t="str" cm="1">
        <f t="array" aca="1" ref="F125" ca="1">IF(I125=0,"",HYPERLINK("#"&amp;RIGHT(CELL("adresse",OFFSET(DMAV_Doku!$B$6,I125-1,0)),LEN(CELL("adresse",OFFSET(DMAV_Doku!$B$6,I125-1,0)))-SEARCH("]",CELL("adresse",OFFSET(DMAV_Doku!$B$6,I125-1,0)))),"ModDoc"))</f>
        <v/>
      </c>
      <c r="G125" s="150" t="str">
        <f t="shared" si="2"/>
        <v>MHG3</v>
      </c>
      <c r="H125" s="150">
        <f t="shared" si="3"/>
        <v>44</v>
      </c>
      <c r="I125" s="150">
        <f>IF(_xlfn.XLOOKUP(G125,Korrelation!$A$4:$A$723,Korrelation!$B$4:$B$723,0,0)=0,0,MATCH(_xlfn.XLOOKUP(G125,Korrelation!$A$4:$A$723,Korrelation!$B$4:$B$723,0,0),DMAV_Doku!$H$6:$H$483,0))</f>
        <v>0</v>
      </c>
      <c r="J125" s="158"/>
      <c r="K125" s="161"/>
      <c r="L125" s="161"/>
      <c r="M125" s="158"/>
      <c r="N125" s="51" t="s">
        <v>991</v>
      </c>
      <c r="O125" s="51" t="s">
        <v>919</v>
      </c>
      <c r="Q125" s="51" t="s">
        <v>910</v>
      </c>
      <c r="R125" s="51" t="s">
        <v>943</v>
      </c>
      <c r="W125" s="52"/>
      <c r="AB125" s="51" t="s">
        <v>4062</v>
      </c>
      <c r="AC125" s="51" t="s">
        <v>3895</v>
      </c>
      <c r="AE125" s="51" t="s">
        <v>910</v>
      </c>
      <c r="AF125" s="51" t="s">
        <v>3953</v>
      </c>
      <c r="AP125" s="51" t="s">
        <v>4063</v>
      </c>
      <c r="AQ125" s="51" t="s">
        <v>3896</v>
      </c>
      <c r="AS125" s="51" t="s">
        <v>910</v>
      </c>
      <c r="AT125" s="51" t="s">
        <v>3955</v>
      </c>
    </row>
    <row r="126" spans="1:54" x14ac:dyDescent="0.25">
      <c r="A126" s="51" t="s">
        <v>3804</v>
      </c>
      <c r="B126" s="51">
        <v>4</v>
      </c>
      <c r="D126" s="51" t="s">
        <v>3444</v>
      </c>
      <c r="E126" s="54" t="str" cm="1">
        <f t="array" aca="1" ref="E126" ca="1">IF(H126=0,"",HYPERLINK("#"&amp;RIGHT(CELL("dateiname"),LEN(CELL("dateiname"))-FIND("]",CELL("dateiname")))&amp;"!"&amp;CELL("adresse",OFFSET($Q$6,H126-1,0)),"Definition"))</f>
        <v/>
      </c>
      <c r="F126" s="54" t="str" cm="1">
        <f t="array" aca="1" ref="F126" ca="1">IF(I126=0,"",HYPERLINK("#"&amp;RIGHT(CELL("adresse",OFFSET(DMAV_Doku!$B$6,I126-1,0)),LEN(CELL("adresse",OFFSET(DMAV_Doku!$B$6,I126-1,0)))-SEARCH("]",CELL("adresse",OFFSET(DMAV_Doku!$B$6,I126-1,0)))),"ModDoc"))</f>
        <v>ModDoc</v>
      </c>
      <c r="G126" s="150" t="str">
        <f t="shared" si="2"/>
        <v>MHG4</v>
      </c>
      <c r="H126" s="150">
        <f t="shared" si="3"/>
        <v>0</v>
      </c>
      <c r="I126" s="150">
        <f>IF(_xlfn.XLOOKUP(G126,Korrelation!$A$4:$A$723,Korrelation!$B$4:$B$723,0,0)=0,0,MATCH(_xlfn.XLOOKUP(G126,Korrelation!$A$4:$A$723,Korrelation!$B$4:$B$723,0,0),DMAV_Doku!$H$6:$H$483,0))</f>
        <v>108</v>
      </c>
      <c r="J126" s="158"/>
      <c r="K126" s="161"/>
      <c r="L126" s="161"/>
      <c r="M126" s="158"/>
      <c r="N126" s="51" t="s">
        <v>991</v>
      </c>
      <c r="O126" s="51" t="s">
        <v>919</v>
      </c>
      <c r="P126" s="51" t="s">
        <v>15</v>
      </c>
      <c r="Q126" s="51" t="s">
        <v>949</v>
      </c>
      <c r="R126" s="51" t="s">
        <v>205</v>
      </c>
      <c r="S126" s="50" t="s">
        <v>950</v>
      </c>
      <c r="T126" s="51" t="s">
        <v>959</v>
      </c>
      <c r="U126" s="52" t="s">
        <v>96</v>
      </c>
      <c r="W126" s="52" t="s">
        <v>951</v>
      </c>
      <c r="Z126" s="200" t="s">
        <v>6006</v>
      </c>
      <c r="AB126" s="51" t="s">
        <v>4062</v>
      </c>
      <c r="AC126" s="51" t="s">
        <v>3895</v>
      </c>
      <c r="AD126" s="51" t="s">
        <v>704</v>
      </c>
      <c r="AE126" s="51" t="s">
        <v>949</v>
      </c>
      <c r="AF126" s="51" t="s">
        <v>771</v>
      </c>
      <c r="AG126" s="50" t="s">
        <v>950</v>
      </c>
      <c r="AH126" s="51" t="s">
        <v>959</v>
      </c>
      <c r="AI126" s="52" t="s">
        <v>733</v>
      </c>
      <c r="AK126" s="52" t="s">
        <v>951</v>
      </c>
      <c r="AN126" s="52" t="s">
        <v>6008</v>
      </c>
      <c r="AP126" s="51" t="s">
        <v>4063</v>
      </c>
      <c r="AQ126" s="51" t="s">
        <v>3896</v>
      </c>
      <c r="AR126" s="51" t="s">
        <v>4064</v>
      </c>
      <c r="AS126" s="51" t="s">
        <v>949</v>
      </c>
      <c r="AT126" s="51" t="s">
        <v>4065</v>
      </c>
      <c r="AU126" s="50" t="s">
        <v>950</v>
      </c>
      <c r="AV126" s="51" t="s">
        <v>959</v>
      </c>
      <c r="AW126" s="52" t="s">
        <v>1378</v>
      </c>
      <c r="AY126" s="52" t="s">
        <v>951</v>
      </c>
      <c r="BB126" s="52" t="s">
        <v>6009</v>
      </c>
    </row>
    <row r="127" spans="1:54" x14ac:dyDescent="0.25">
      <c r="A127" s="51" t="s">
        <v>3804</v>
      </c>
      <c r="B127" s="51">
        <v>5</v>
      </c>
      <c r="D127" s="51" t="s">
        <v>3444</v>
      </c>
      <c r="E127" s="54" t="str" cm="1">
        <f t="array" aca="1" ref="E127" ca="1">IF(H127=0,"",HYPERLINK("#"&amp;RIGHT(CELL("dateiname"),LEN(CELL("dateiname"))-FIND("]",CELL("dateiname")))&amp;"!"&amp;CELL("adresse",OFFSET($Q$6,H127-1,0)),"Definition"))</f>
        <v/>
      </c>
      <c r="F127" s="54" t="str" cm="1">
        <f t="array" aca="1" ref="F127" ca="1">IF(I127=0,"",HYPERLINK("#"&amp;RIGHT(CELL("adresse",OFFSET(DMAV_Doku!$B$6,I127-1,0)),LEN(CELL("adresse",OFFSET(DMAV_Doku!$B$6,I127-1,0)))-SEARCH("]",CELL("adresse",OFFSET(DMAV_Doku!$B$6,I127-1,0)))),"ModDoc"))</f>
        <v>ModDoc</v>
      </c>
      <c r="G127" s="150" t="str">
        <f t="shared" si="2"/>
        <v>MHG5</v>
      </c>
      <c r="H127" s="150">
        <f t="shared" si="3"/>
        <v>0</v>
      </c>
      <c r="I127" s="150">
        <f>IF(_xlfn.XLOOKUP(G127,Korrelation!$A$4:$A$723,Korrelation!$B$4:$B$723,0,0)=0,0,MATCH(_xlfn.XLOOKUP(G127,Korrelation!$A$4:$A$723,Korrelation!$B$4:$B$723,0,0),DMAV_Doku!$H$6:$H$483,0))</f>
        <v>109</v>
      </c>
      <c r="J127" s="158"/>
      <c r="K127" s="161"/>
      <c r="L127" s="161"/>
      <c r="M127" s="158"/>
      <c r="N127" s="51" t="s">
        <v>991</v>
      </c>
      <c r="O127" s="51" t="s">
        <v>919</v>
      </c>
      <c r="P127" s="51" t="s">
        <v>15</v>
      </c>
      <c r="Q127" s="51" t="s">
        <v>949</v>
      </c>
      <c r="R127" s="51" t="s">
        <v>205</v>
      </c>
      <c r="S127" s="50" t="s">
        <v>950</v>
      </c>
      <c r="T127" s="51" t="s">
        <v>959</v>
      </c>
      <c r="U127" s="52" t="s">
        <v>99</v>
      </c>
      <c r="W127" s="52" t="s">
        <v>951</v>
      </c>
      <c r="Y127" s="52" t="s">
        <v>1599</v>
      </c>
      <c r="Z127" s="200" t="s">
        <v>6006</v>
      </c>
      <c r="AB127" s="51" t="s">
        <v>4062</v>
      </c>
      <c r="AC127" s="51" t="s">
        <v>3895</v>
      </c>
      <c r="AD127" s="51" t="s">
        <v>704</v>
      </c>
      <c r="AE127" s="51" t="s">
        <v>949</v>
      </c>
      <c r="AF127" s="51" t="s">
        <v>771</v>
      </c>
      <c r="AG127" s="50" t="s">
        <v>950</v>
      </c>
      <c r="AH127" s="51" t="s">
        <v>959</v>
      </c>
      <c r="AI127" s="52" t="s">
        <v>734</v>
      </c>
      <c r="AK127" s="52" t="s">
        <v>951</v>
      </c>
      <c r="AN127" s="52" t="s">
        <v>6008</v>
      </c>
      <c r="AP127" s="51" t="s">
        <v>4063</v>
      </c>
      <c r="AQ127" s="51" t="s">
        <v>3896</v>
      </c>
      <c r="AR127" s="51" t="s">
        <v>4064</v>
      </c>
      <c r="AS127" s="51" t="s">
        <v>949</v>
      </c>
      <c r="AT127" s="51" t="s">
        <v>4065</v>
      </c>
      <c r="AU127" s="50" t="s">
        <v>950</v>
      </c>
      <c r="AV127" s="51" t="s">
        <v>959</v>
      </c>
      <c r="AW127" s="52" t="s">
        <v>1376</v>
      </c>
      <c r="AY127" s="52" t="s">
        <v>951</v>
      </c>
      <c r="BB127" s="52" t="s">
        <v>6009</v>
      </c>
    </row>
    <row r="128" spans="1:54" x14ac:dyDescent="0.25">
      <c r="A128" s="51" t="s">
        <v>3804</v>
      </c>
      <c r="B128" s="51">
        <v>6</v>
      </c>
      <c r="E128" s="54" t="str" cm="1">
        <f t="array" aca="1" ref="E128" ca="1">IF(H128=0,"",HYPERLINK("#"&amp;RIGHT(CELL("dateiname"),LEN(CELL("dateiname"))-FIND("]",CELL("dateiname")))&amp;"!"&amp;CELL("adresse",OFFSET($Q$6,H128-1,0)),"Definition"))</f>
        <v/>
      </c>
      <c r="F128" s="54" t="str" cm="1">
        <f t="array" aca="1" ref="F128" ca="1">IF(I128=0,"",HYPERLINK("#"&amp;RIGHT(CELL("adresse",OFFSET(DMAV_Doku!$B$6,I128-1,0)),LEN(CELL("adresse",OFFSET(DMAV_Doku!$B$6,I128-1,0)))-SEARCH("]",CELL("adresse",OFFSET(DMAV_Doku!$B$6,I128-1,0)))),"ModDoc"))</f>
        <v>ModDoc</v>
      </c>
      <c r="G128" s="150" t="str">
        <f t="shared" si="2"/>
        <v>MHG6</v>
      </c>
      <c r="H128" s="150">
        <f t="shared" si="3"/>
        <v>0</v>
      </c>
      <c r="I128" s="150">
        <f>IF(_xlfn.XLOOKUP(G128,Korrelation!$A$4:$A$723,Korrelation!$B$4:$B$723,0,0)=0,0,MATCH(_xlfn.XLOOKUP(G128,Korrelation!$A$4:$A$723,Korrelation!$B$4:$B$723,0,0),DMAV_Doku!$H$6:$H$483,0))</f>
        <v>110</v>
      </c>
      <c r="J128" s="158"/>
      <c r="K128" s="161"/>
      <c r="L128" s="161"/>
      <c r="M128" s="158"/>
      <c r="N128" s="51" t="s">
        <v>991</v>
      </c>
      <c r="O128" s="51" t="s">
        <v>919</v>
      </c>
      <c r="P128" s="51" t="s">
        <v>15</v>
      </c>
      <c r="Q128" s="51" t="s">
        <v>949</v>
      </c>
      <c r="R128" s="51" t="s">
        <v>205</v>
      </c>
      <c r="S128" s="50" t="s">
        <v>950</v>
      </c>
      <c r="U128" s="52" t="s">
        <v>101</v>
      </c>
      <c r="W128" s="52" t="s">
        <v>964</v>
      </c>
      <c r="AB128" s="51" t="s">
        <v>4062</v>
      </c>
      <c r="AC128" s="51" t="s">
        <v>3895</v>
      </c>
      <c r="AD128" s="51" t="s">
        <v>704</v>
      </c>
      <c r="AE128" s="51" t="s">
        <v>949</v>
      </c>
      <c r="AF128" s="51" t="s">
        <v>771</v>
      </c>
      <c r="AG128" s="50" t="s">
        <v>950</v>
      </c>
      <c r="AI128" s="52" t="s">
        <v>735</v>
      </c>
      <c r="AK128" s="52" t="s">
        <v>964</v>
      </c>
      <c r="AP128" s="51" t="s">
        <v>4063</v>
      </c>
      <c r="AQ128" s="51" t="s">
        <v>3896</v>
      </c>
      <c r="AR128" s="51" t="s">
        <v>4064</v>
      </c>
      <c r="AS128" s="51" t="s">
        <v>949</v>
      </c>
      <c r="AT128" s="51" t="s">
        <v>4065</v>
      </c>
      <c r="AU128" s="50" t="s">
        <v>950</v>
      </c>
      <c r="AW128" s="52" t="s">
        <v>1294</v>
      </c>
      <c r="AY128" s="52" t="s">
        <v>964</v>
      </c>
    </row>
    <row r="129" spans="1:54" ht="38.25" x14ac:dyDescent="0.25">
      <c r="A129" s="51" t="s">
        <v>3804</v>
      </c>
      <c r="B129" s="51">
        <v>7</v>
      </c>
      <c r="E129" s="54" t="str" cm="1">
        <f t="array" aca="1" ref="E129" ca="1">IF(H129=0,"",HYPERLINK("#"&amp;RIGHT(CELL("dateiname"),LEN(CELL("dateiname"))-FIND("]",CELL("dateiname")))&amp;"!"&amp;CELL("adresse",OFFSET($Q$6,H129-1,0)),"Definition"))</f>
        <v/>
      </c>
      <c r="F129" s="54" t="str" cm="1">
        <f t="array" aca="1" ref="F129" ca="1">IF(I129=0,"",HYPERLINK("#"&amp;RIGHT(CELL("adresse",OFFSET(DMAV_Doku!$B$6,I129-1,0)),LEN(CELL("adresse",OFFSET(DMAV_Doku!$B$6,I129-1,0)))-SEARCH("]",CELL("adresse",OFFSET(DMAV_Doku!$B$6,I129-1,0)))),"ModDoc"))</f>
        <v>ModDoc</v>
      </c>
      <c r="G129" s="150" t="str">
        <f t="shared" si="2"/>
        <v>MHG7</v>
      </c>
      <c r="H129" s="150">
        <f t="shared" si="3"/>
        <v>0</v>
      </c>
      <c r="I129" s="150">
        <f>IF(_xlfn.XLOOKUP(G129,Korrelation!$A$4:$A$723,Korrelation!$B$4:$B$723,0,0)=0,0,MATCH(_xlfn.XLOOKUP(G129,Korrelation!$A$4:$A$723,Korrelation!$B$4:$B$723,0,0),DMAV_Doku!$H$6:$H$483,0))</f>
        <v>111</v>
      </c>
      <c r="J129" s="158"/>
      <c r="K129" s="161"/>
      <c r="L129" s="161"/>
      <c r="M129" s="158"/>
      <c r="N129" s="51" t="s">
        <v>991</v>
      </c>
      <c r="O129" s="51" t="s">
        <v>919</v>
      </c>
      <c r="P129" s="51" t="s">
        <v>15</v>
      </c>
      <c r="Q129" s="51" t="s">
        <v>949</v>
      </c>
      <c r="R129" s="51" t="s">
        <v>205</v>
      </c>
      <c r="U129" s="52" t="s">
        <v>104</v>
      </c>
      <c r="W129" s="52" t="s">
        <v>965</v>
      </c>
      <c r="AB129" s="51" t="s">
        <v>4062</v>
      </c>
      <c r="AC129" s="51" t="s">
        <v>3895</v>
      </c>
      <c r="AD129" s="51" t="s">
        <v>704</v>
      </c>
      <c r="AE129" s="51" t="s">
        <v>949</v>
      </c>
      <c r="AF129" s="51" t="s">
        <v>771</v>
      </c>
      <c r="AI129" s="52" t="s">
        <v>736</v>
      </c>
      <c r="AK129" s="52" t="s">
        <v>965</v>
      </c>
      <c r="AP129" s="51" t="s">
        <v>4063</v>
      </c>
      <c r="AQ129" s="51" t="s">
        <v>3896</v>
      </c>
      <c r="AR129" s="51" t="s">
        <v>4064</v>
      </c>
      <c r="AS129" s="51" t="s">
        <v>949</v>
      </c>
      <c r="AT129" s="51" t="s">
        <v>4065</v>
      </c>
      <c r="AW129" s="52" t="s">
        <v>1595</v>
      </c>
      <c r="AY129" s="52" t="s">
        <v>965</v>
      </c>
    </row>
    <row r="130" spans="1:54" x14ac:dyDescent="0.25">
      <c r="A130" s="51" t="s">
        <v>3804</v>
      </c>
      <c r="B130" s="51">
        <v>8</v>
      </c>
      <c r="E130" s="54" t="str" cm="1">
        <f t="array" aca="1" ref="E130" ca="1">IF(H130=0,"",HYPERLINK("#"&amp;RIGHT(CELL("dateiname"),LEN(CELL("dateiname"))-FIND("]",CELL("dateiname")))&amp;"!"&amp;CELL("adresse",OFFSET($Q$6,H130-1,0)),"Definition"))</f>
        <v/>
      </c>
      <c r="F130" s="54" t="str" cm="1">
        <f t="array" aca="1" ref="F130" ca="1">IF(I130=0,"",HYPERLINK("#"&amp;RIGHT(CELL("adresse",OFFSET(DMAV_Doku!$B$6,I130-1,0)),LEN(CELL("adresse",OFFSET(DMAV_Doku!$B$6,I130-1,0)))-SEARCH("]",CELL("adresse",OFFSET(DMAV_Doku!$B$6,I130-1,0)))),"ModDoc"))</f>
        <v>ModDoc</v>
      </c>
      <c r="G130" s="150" t="str">
        <f t="shared" si="2"/>
        <v>MHG8</v>
      </c>
      <c r="H130" s="150">
        <f t="shared" si="3"/>
        <v>0</v>
      </c>
      <c r="I130" s="150">
        <f>IF(_xlfn.XLOOKUP(G130,Korrelation!$A$4:$A$723,Korrelation!$B$4:$B$723,0,0)=0,0,MATCH(_xlfn.XLOOKUP(G130,Korrelation!$A$4:$A$723,Korrelation!$B$4:$B$723,0,0),DMAV_Doku!$H$6:$H$483,0))</f>
        <v>112</v>
      </c>
      <c r="J130" s="158"/>
      <c r="K130" s="161"/>
      <c r="L130" s="161"/>
      <c r="M130" s="158"/>
      <c r="N130" s="51" t="s">
        <v>991</v>
      </c>
      <c r="O130" s="51" t="s">
        <v>919</v>
      </c>
      <c r="P130" s="51" t="s">
        <v>15</v>
      </c>
      <c r="Q130" s="51" t="s">
        <v>949</v>
      </c>
      <c r="R130" s="51" t="s">
        <v>205</v>
      </c>
      <c r="S130" s="50" t="s">
        <v>950</v>
      </c>
      <c r="U130" s="52" t="s">
        <v>107</v>
      </c>
      <c r="W130" s="52" t="s">
        <v>966</v>
      </c>
      <c r="AB130" s="51" t="s">
        <v>4062</v>
      </c>
      <c r="AC130" s="51" t="s">
        <v>3895</v>
      </c>
      <c r="AD130" s="51" t="s">
        <v>704</v>
      </c>
      <c r="AE130" s="51" t="s">
        <v>949</v>
      </c>
      <c r="AF130" s="51" t="s">
        <v>771</v>
      </c>
      <c r="AG130" s="50" t="s">
        <v>950</v>
      </c>
      <c r="AI130" s="52" t="s">
        <v>737</v>
      </c>
      <c r="AK130" s="52" t="s">
        <v>4013</v>
      </c>
      <c r="AP130" s="51" t="s">
        <v>4063</v>
      </c>
      <c r="AQ130" s="51" t="s">
        <v>3896</v>
      </c>
      <c r="AR130" s="51" t="s">
        <v>4064</v>
      </c>
      <c r="AS130" s="51" t="s">
        <v>949</v>
      </c>
      <c r="AT130" s="51" t="s">
        <v>4065</v>
      </c>
      <c r="AU130" s="50" t="s">
        <v>950</v>
      </c>
      <c r="AW130" s="52" t="s">
        <v>4014</v>
      </c>
      <c r="AY130" s="52" t="s">
        <v>4013</v>
      </c>
    </row>
    <row r="131" spans="1:54" x14ac:dyDescent="0.25">
      <c r="A131" s="51" t="s">
        <v>3804</v>
      </c>
      <c r="B131" s="51">
        <v>9</v>
      </c>
      <c r="E131" s="54" t="str" cm="1">
        <f t="array" aca="1" ref="E131" ca="1">IF(H131=0,"",HYPERLINK("#"&amp;RIGHT(CELL("dateiname"),LEN(CELL("dateiname"))-FIND("]",CELL("dateiname")))&amp;"!"&amp;CELL("adresse",OFFSET($Q$6,H131-1,0)),"Definition"))</f>
        <v/>
      </c>
      <c r="F131" s="54" t="str" cm="1">
        <f t="array" aca="1" ref="F131" ca="1">IF(I131=0,"",HYPERLINK("#"&amp;RIGHT(CELL("adresse",OFFSET(DMAV_Doku!$B$6,I131-1,0)),LEN(CELL("adresse",OFFSET(DMAV_Doku!$B$6,I131-1,0)))-SEARCH("]",CELL("adresse",OFFSET(DMAV_Doku!$B$6,I131-1,0)))),"ModDoc"))</f>
        <v>ModDoc</v>
      </c>
      <c r="G131" s="150" t="str">
        <f t="shared" si="2"/>
        <v>MHG9</v>
      </c>
      <c r="H131" s="150">
        <f t="shared" si="3"/>
        <v>0</v>
      </c>
      <c r="I131" s="150">
        <f>IF(_xlfn.XLOOKUP(G131,Korrelation!$A$4:$A$723,Korrelation!$B$4:$B$723,0,0)=0,0,MATCH(_xlfn.XLOOKUP(G131,Korrelation!$A$4:$A$723,Korrelation!$B$4:$B$723,0,0),DMAV_Doku!$H$6:$H$483,0))</f>
        <v>113</v>
      </c>
      <c r="J131" s="158"/>
      <c r="K131" s="161"/>
      <c r="L131" s="161"/>
      <c r="M131" s="158"/>
      <c r="N131" s="51" t="s">
        <v>991</v>
      </c>
      <c r="O131" s="51" t="s">
        <v>919</v>
      </c>
      <c r="P131" s="51" t="s">
        <v>15</v>
      </c>
      <c r="Q131" s="51" t="s">
        <v>949</v>
      </c>
      <c r="R131" s="51" t="s">
        <v>205</v>
      </c>
      <c r="U131" s="52" t="s">
        <v>206</v>
      </c>
      <c r="W131" s="52" t="s">
        <v>966</v>
      </c>
      <c r="AB131" s="51" t="s">
        <v>4062</v>
      </c>
      <c r="AC131" s="51" t="s">
        <v>3895</v>
      </c>
      <c r="AD131" s="51" t="s">
        <v>704</v>
      </c>
      <c r="AE131" s="51" t="s">
        <v>949</v>
      </c>
      <c r="AF131" s="51" t="s">
        <v>771</v>
      </c>
      <c r="AI131" s="52" t="s">
        <v>772</v>
      </c>
      <c r="AK131" s="52" t="s">
        <v>4013</v>
      </c>
      <c r="AP131" s="51" t="s">
        <v>4063</v>
      </c>
      <c r="AQ131" s="51" t="s">
        <v>3896</v>
      </c>
      <c r="AR131" s="51" t="s">
        <v>4064</v>
      </c>
      <c r="AS131" s="51" t="s">
        <v>949</v>
      </c>
      <c r="AT131" s="51" t="s">
        <v>4065</v>
      </c>
      <c r="AW131" s="52" t="s">
        <v>4066</v>
      </c>
      <c r="AY131" s="52" t="s">
        <v>4013</v>
      </c>
    </row>
    <row r="132" spans="1:54" x14ac:dyDescent="0.25">
      <c r="A132" s="51" t="s">
        <v>3804</v>
      </c>
      <c r="B132" s="51">
        <v>10</v>
      </c>
      <c r="E132" s="54" t="str" cm="1">
        <f t="array" aca="1" ref="E132" ca="1">IF(H132=0,"",HYPERLINK("#"&amp;RIGHT(CELL("dateiname"),LEN(CELL("dateiname"))-FIND("]",CELL("dateiname")))&amp;"!"&amp;CELL("adresse",OFFSET($Q$6,H132-1,0)),"Definition"))</f>
        <v/>
      </c>
      <c r="F132" s="54" t="str" cm="1">
        <f t="array" aca="1" ref="F132" ca="1">IF(I132=0,"",HYPERLINK("#"&amp;RIGHT(CELL("adresse",OFFSET(DMAV_Doku!$B$6,I132-1,0)),LEN(CELL("adresse",OFFSET(DMAV_Doku!$B$6,I132-1,0)))-SEARCH("]",CELL("adresse",OFFSET(DMAV_Doku!$B$6,I132-1,0)))),"ModDoc"))</f>
        <v>ModDoc</v>
      </c>
      <c r="G132" s="150" t="str">
        <f t="shared" si="2"/>
        <v>MHG10</v>
      </c>
      <c r="H132" s="150">
        <f t="shared" si="3"/>
        <v>0</v>
      </c>
      <c r="I132" s="150">
        <f>IF(_xlfn.XLOOKUP(G132,Korrelation!$A$4:$A$723,Korrelation!$B$4:$B$723,0,0)=0,0,MATCH(_xlfn.XLOOKUP(G132,Korrelation!$A$4:$A$723,Korrelation!$B$4:$B$723,0,0),DMAV_Doku!$H$6:$H$483,0))</f>
        <v>114</v>
      </c>
      <c r="J132" s="158"/>
      <c r="K132" s="161"/>
      <c r="L132" s="161"/>
      <c r="M132" s="158"/>
      <c r="N132" s="51" t="s">
        <v>991</v>
      </c>
      <c r="O132" s="51" t="s">
        <v>919</v>
      </c>
      <c r="P132" s="51" t="s">
        <v>15</v>
      </c>
      <c r="Q132" s="51" t="s">
        <v>949</v>
      </c>
      <c r="R132" s="51" t="s">
        <v>207</v>
      </c>
      <c r="S132" s="50" t="s">
        <v>950</v>
      </c>
      <c r="U132" s="52" t="s">
        <v>5</v>
      </c>
      <c r="W132" s="52" t="s">
        <v>964</v>
      </c>
      <c r="AB132" s="51" t="s">
        <v>4062</v>
      </c>
      <c r="AC132" s="51" t="s">
        <v>3895</v>
      </c>
      <c r="AD132" s="51" t="s">
        <v>704</v>
      </c>
      <c r="AE132" s="51" t="s">
        <v>949</v>
      </c>
      <c r="AF132" s="51" t="s">
        <v>773</v>
      </c>
      <c r="AG132" s="50" t="s">
        <v>950</v>
      </c>
      <c r="AI132" s="52" t="s">
        <v>702</v>
      </c>
      <c r="AK132" s="52" t="s">
        <v>964</v>
      </c>
      <c r="AP132" s="51" t="s">
        <v>4063</v>
      </c>
      <c r="AQ132" s="51" t="s">
        <v>3896</v>
      </c>
      <c r="AR132" s="51" t="s">
        <v>4064</v>
      </c>
      <c r="AS132" s="51" t="s">
        <v>949</v>
      </c>
      <c r="AT132" s="51" t="s">
        <v>1809</v>
      </c>
      <c r="AU132" s="50" t="s">
        <v>950</v>
      </c>
      <c r="AW132" s="52" t="s">
        <v>1700</v>
      </c>
      <c r="AY132" s="52" t="s">
        <v>964</v>
      </c>
    </row>
    <row r="133" spans="1:54" x14ac:dyDescent="0.25">
      <c r="A133" s="51" t="s">
        <v>3804</v>
      </c>
      <c r="B133" s="51">
        <v>11</v>
      </c>
      <c r="E133" s="54" t="str" cm="1">
        <f t="array" aca="1" ref="E133" ca="1">IF(H133=0,"",HYPERLINK("#"&amp;RIGHT(CELL("dateiname"),LEN(CELL("dateiname"))-FIND("]",CELL("dateiname")))&amp;"!"&amp;CELL("adresse",OFFSET($Q$6,H133-1,0)),"Definition"))</f>
        <v/>
      </c>
      <c r="F133" s="54" t="str" cm="1">
        <f t="array" aca="1" ref="F133" ca="1">IF(I133=0,"",HYPERLINK("#"&amp;RIGHT(CELL("adresse",OFFSET(DMAV_Doku!$B$6,I133-1,0)),LEN(CELL("adresse",OFFSET(DMAV_Doku!$B$6,I133-1,0)))-SEARCH("]",CELL("adresse",OFFSET(DMAV_Doku!$B$6,I133-1,0)))),"ModDoc"))</f>
        <v>ModDoc</v>
      </c>
      <c r="G133" s="150" t="str">
        <f t="shared" si="2"/>
        <v>MHG11</v>
      </c>
      <c r="H133" s="150">
        <f t="shared" si="3"/>
        <v>0</v>
      </c>
      <c r="I133" s="150">
        <f>IF(_xlfn.XLOOKUP(G133,Korrelation!$A$4:$A$723,Korrelation!$B$4:$B$723,0,0)=0,0,MATCH(_xlfn.XLOOKUP(G133,Korrelation!$A$4:$A$723,Korrelation!$B$4:$B$723,0,0),DMAV_Doku!$H$6:$H$483,0))</f>
        <v>115</v>
      </c>
      <c r="J133" s="158"/>
      <c r="K133" s="161"/>
      <c r="L133" s="161"/>
      <c r="M133" s="158"/>
      <c r="N133" s="51" t="s">
        <v>991</v>
      </c>
      <c r="O133" s="51" t="s">
        <v>919</v>
      </c>
      <c r="P133" s="51" t="s">
        <v>15</v>
      </c>
      <c r="Q133" s="51" t="s">
        <v>949</v>
      </c>
      <c r="R133" s="51" t="s">
        <v>207</v>
      </c>
      <c r="S133" s="50" t="s">
        <v>950</v>
      </c>
      <c r="U133" s="52" t="s">
        <v>209</v>
      </c>
      <c r="W133" s="52" t="s">
        <v>993</v>
      </c>
      <c r="AB133" s="51" t="s">
        <v>4062</v>
      </c>
      <c r="AC133" s="51" t="s">
        <v>3895</v>
      </c>
      <c r="AD133" s="51" t="s">
        <v>704</v>
      </c>
      <c r="AE133" s="51" t="s">
        <v>949</v>
      </c>
      <c r="AF133" s="51" t="s">
        <v>773</v>
      </c>
      <c r="AG133" s="50" t="s">
        <v>950</v>
      </c>
      <c r="AI133" s="52" t="s">
        <v>774</v>
      </c>
      <c r="AK133" s="52" t="s">
        <v>993</v>
      </c>
      <c r="AP133" s="51" t="s">
        <v>4063</v>
      </c>
      <c r="AQ133" s="51" t="s">
        <v>3896</v>
      </c>
      <c r="AR133" s="51" t="s">
        <v>4064</v>
      </c>
      <c r="AS133" s="51" t="s">
        <v>949</v>
      </c>
      <c r="AT133" s="51" t="s">
        <v>1809</v>
      </c>
      <c r="AU133" s="50" t="s">
        <v>950</v>
      </c>
      <c r="AW133" s="52" t="s">
        <v>4067</v>
      </c>
      <c r="AY133" s="52" t="s">
        <v>993</v>
      </c>
    </row>
    <row r="134" spans="1:54" x14ac:dyDescent="0.25">
      <c r="A134" s="51" t="s">
        <v>3804</v>
      </c>
      <c r="B134" s="51">
        <v>12</v>
      </c>
      <c r="E134" s="54" t="str" cm="1">
        <f t="array" aca="1" ref="E134" ca="1">IF(H134=0,"",HYPERLINK("#"&amp;RIGHT(CELL("dateiname"),LEN(CELL("dateiname"))-FIND("]",CELL("dateiname")))&amp;"!"&amp;CELL("adresse",OFFSET($Q$6,H134-1,0)),"Definition"))</f>
        <v/>
      </c>
      <c r="F134" s="54" t="str" cm="1">
        <f t="array" aca="1" ref="F134" ca="1">IF(I134=0,"",HYPERLINK("#"&amp;RIGHT(CELL("adresse",OFFSET(DMAV_Doku!$B$6,I134-1,0)),LEN(CELL("adresse",OFFSET(DMAV_Doku!$B$6,I134-1,0)))-SEARCH("]",CELL("adresse",OFFSET(DMAV_Doku!$B$6,I134-1,0)))),"ModDoc"))</f>
        <v>ModDoc</v>
      </c>
      <c r="G134" s="150" t="str">
        <f t="shared" si="2"/>
        <v>MHG12</v>
      </c>
      <c r="H134" s="150">
        <f t="shared" si="3"/>
        <v>0</v>
      </c>
      <c r="I134" s="150">
        <f>IF(_xlfn.XLOOKUP(G134,Korrelation!$A$4:$A$723,Korrelation!$B$4:$B$723,0,0)=0,0,MATCH(_xlfn.XLOOKUP(G134,Korrelation!$A$4:$A$723,Korrelation!$B$4:$B$723,0,0),DMAV_Doku!$H$6:$H$483,0))</f>
        <v>116</v>
      </c>
      <c r="J134" s="158"/>
      <c r="K134" s="161"/>
      <c r="L134" s="161"/>
      <c r="M134" s="158"/>
      <c r="N134" s="51" t="s">
        <v>991</v>
      </c>
      <c r="O134" s="51" t="s">
        <v>919</v>
      </c>
      <c r="P134" s="51" t="s">
        <v>15</v>
      </c>
      <c r="Q134" s="51" t="s">
        <v>949</v>
      </c>
      <c r="R134" s="51" t="s">
        <v>207</v>
      </c>
      <c r="S134" s="50" t="s">
        <v>950</v>
      </c>
      <c r="U134" s="52" t="s">
        <v>213</v>
      </c>
      <c r="W134" s="52" t="s">
        <v>131</v>
      </c>
      <c r="AB134" s="51" t="s">
        <v>4062</v>
      </c>
      <c r="AC134" s="51" t="s">
        <v>3895</v>
      </c>
      <c r="AD134" s="51" t="s">
        <v>704</v>
      </c>
      <c r="AE134" s="51" t="s">
        <v>949</v>
      </c>
      <c r="AF134" s="51" t="s">
        <v>773</v>
      </c>
      <c r="AG134" s="50" t="s">
        <v>950</v>
      </c>
      <c r="AI134" s="52" t="s">
        <v>775</v>
      </c>
      <c r="AK134" s="52" t="s">
        <v>131</v>
      </c>
      <c r="AP134" s="51" t="s">
        <v>4063</v>
      </c>
      <c r="AQ134" s="51" t="s">
        <v>3896</v>
      </c>
      <c r="AR134" s="51" t="s">
        <v>4064</v>
      </c>
      <c r="AS134" s="51" t="s">
        <v>949</v>
      </c>
      <c r="AT134" s="51" t="s">
        <v>1809</v>
      </c>
      <c r="AU134" s="50" t="s">
        <v>950</v>
      </c>
      <c r="AW134" s="52" t="s">
        <v>4068</v>
      </c>
      <c r="AY134" s="52" t="s">
        <v>131</v>
      </c>
    </row>
    <row r="135" spans="1:54" x14ac:dyDescent="0.25">
      <c r="A135" s="51" t="s">
        <v>3804</v>
      </c>
      <c r="B135" s="51">
        <v>13</v>
      </c>
      <c r="E135" s="54" t="str" cm="1">
        <f t="array" aca="1" ref="E135" ca="1">IF(H135=0,"",HYPERLINK("#"&amp;RIGHT(CELL("dateiname"),LEN(CELL("dateiname"))-FIND("]",CELL("dateiname")))&amp;"!"&amp;CELL("adresse",OFFSET($Q$6,H135-1,0)),"Definition"))</f>
        <v/>
      </c>
      <c r="F135" s="54" t="str" cm="1">
        <f t="array" aca="1" ref="F135" ca="1">IF(I135=0,"",HYPERLINK("#"&amp;RIGHT(CELL("adresse",OFFSET(DMAV_Doku!$B$6,I135-1,0)),LEN(CELL("adresse",OFFSET(DMAV_Doku!$B$6,I135-1,0)))-SEARCH("]",CELL("adresse",OFFSET(DMAV_Doku!$B$6,I135-1,0)))),"ModDoc"))</f>
        <v/>
      </c>
      <c r="G135" s="150" t="str">
        <f t="shared" ref="G135:G198" si="4">A135&amp;B135</f>
        <v>MHG13</v>
      </c>
      <c r="H135" s="150">
        <f t="shared" ref="H135:H198" si="5">IF(C135="",0,MATCH(C135,$G$6:$G$677,0))</f>
        <v>0</v>
      </c>
      <c r="I135" s="150">
        <f>IF(_xlfn.XLOOKUP(G135,Korrelation!$A$4:$A$723,Korrelation!$B$4:$B$723,0,0)=0,0,MATCH(_xlfn.XLOOKUP(G135,Korrelation!$A$4:$A$723,Korrelation!$B$4:$B$723,0,0),DMAV_Doku!$H$6:$H$483,0))</f>
        <v>0</v>
      </c>
      <c r="J135" s="158"/>
      <c r="K135" s="161"/>
      <c r="L135" s="161"/>
      <c r="M135" s="158"/>
      <c r="N135" s="51" t="s">
        <v>991</v>
      </c>
      <c r="O135" s="51" t="s">
        <v>919</v>
      </c>
      <c r="P135" s="51" t="s">
        <v>15</v>
      </c>
      <c r="Q135" s="51" t="s">
        <v>967</v>
      </c>
      <c r="R135" s="51" t="s">
        <v>994</v>
      </c>
      <c r="U135" s="52" t="s">
        <v>969</v>
      </c>
      <c r="W135" s="52" t="s">
        <v>205</v>
      </c>
      <c r="X135" s="51" t="s">
        <v>970</v>
      </c>
      <c r="AB135" s="51" t="s">
        <v>4062</v>
      </c>
      <c r="AC135" s="51" t="s">
        <v>3895</v>
      </c>
      <c r="AD135" s="51" t="s">
        <v>704</v>
      </c>
      <c r="AE135" s="51" t="s">
        <v>967</v>
      </c>
      <c r="AF135" s="51" t="s">
        <v>4069</v>
      </c>
      <c r="AI135" s="52" t="s">
        <v>1319</v>
      </c>
      <c r="AK135" s="52" t="s">
        <v>771</v>
      </c>
      <c r="AL135" s="51" t="s">
        <v>970</v>
      </c>
      <c r="AP135" s="51" t="s">
        <v>4063</v>
      </c>
      <c r="AQ135" s="51" t="s">
        <v>3896</v>
      </c>
      <c r="AR135" s="51" t="s">
        <v>4064</v>
      </c>
      <c r="AS135" s="51" t="s">
        <v>967</v>
      </c>
      <c r="AT135" s="51" t="s">
        <v>4070</v>
      </c>
      <c r="AW135" s="52" t="s">
        <v>1319</v>
      </c>
      <c r="AY135" s="52" t="s">
        <v>4065</v>
      </c>
      <c r="AZ135" s="51" t="s">
        <v>970</v>
      </c>
    </row>
    <row r="136" spans="1:54" x14ac:dyDescent="0.25">
      <c r="A136" s="51" t="s">
        <v>3804</v>
      </c>
      <c r="B136" s="51">
        <v>14</v>
      </c>
      <c r="E136" s="54" t="str" cm="1">
        <f t="array" aca="1" ref="E136" ca="1">IF(H136=0,"",HYPERLINK("#"&amp;RIGHT(CELL("dateiname"),LEN(CELL("dateiname"))-FIND("]",CELL("dateiname")))&amp;"!"&amp;CELL("adresse",OFFSET($Q$6,H136-1,0)),"Definition"))</f>
        <v/>
      </c>
      <c r="F136" s="54" t="str" cm="1">
        <f t="array" aca="1" ref="F136" ca="1">IF(I136=0,"",HYPERLINK("#"&amp;RIGHT(CELL("adresse",OFFSET(DMAV_Doku!$B$6,I136-1,0)),LEN(CELL("adresse",OFFSET(DMAV_Doku!$B$6,I136-1,0)))-SEARCH("]",CELL("adresse",OFFSET(DMAV_Doku!$B$6,I136-1,0)))),"ModDoc"))</f>
        <v/>
      </c>
      <c r="G136" s="150" t="str">
        <f t="shared" si="4"/>
        <v>MHG14</v>
      </c>
      <c r="H136" s="150">
        <f t="shared" si="5"/>
        <v>0</v>
      </c>
      <c r="I136" s="150">
        <f>IF(_xlfn.XLOOKUP(G136,Korrelation!$A$4:$A$723,Korrelation!$B$4:$B$723,0,0)=0,0,MATCH(_xlfn.XLOOKUP(G136,Korrelation!$A$4:$A$723,Korrelation!$B$4:$B$723,0,0),DMAV_Doku!$H$6:$H$483,0))</f>
        <v>0</v>
      </c>
      <c r="J136" s="158"/>
      <c r="K136" s="161"/>
      <c r="L136" s="161"/>
      <c r="M136" s="158"/>
      <c r="N136" s="51" t="s">
        <v>991</v>
      </c>
      <c r="O136" s="51" t="s">
        <v>919</v>
      </c>
      <c r="P136" s="51" t="s">
        <v>15</v>
      </c>
      <c r="Q136" s="51" t="s">
        <v>967</v>
      </c>
      <c r="R136" s="51" t="s">
        <v>994</v>
      </c>
      <c r="U136" s="52" t="s">
        <v>995</v>
      </c>
      <c r="W136" s="52" t="s">
        <v>207</v>
      </c>
      <c r="X136" s="51" t="s">
        <v>972</v>
      </c>
      <c r="AB136" s="51" t="s">
        <v>4062</v>
      </c>
      <c r="AC136" s="51" t="s">
        <v>3895</v>
      </c>
      <c r="AD136" s="51" t="s">
        <v>704</v>
      </c>
      <c r="AE136" s="51" t="s">
        <v>967</v>
      </c>
      <c r="AF136" s="51" t="s">
        <v>4069</v>
      </c>
      <c r="AI136" s="52" t="s">
        <v>4071</v>
      </c>
      <c r="AK136" s="52" t="s">
        <v>773</v>
      </c>
      <c r="AL136" s="51" t="s">
        <v>972</v>
      </c>
      <c r="AP136" s="51" t="s">
        <v>4063</v>
      </c>
      <c r="AQ136" s="51" t="s">
        <v>3896</v>
      </c>
      <c r="AR136" s="51" t="s">
        <v>4064</v>
      </c>
      <c r="AS136" s="51" t="s">
        <v>967</v>
      </c>
      <c r="AT136" s="51" t="s">
        <v>4070</v>
      </c>
      <c r="AW136" s="52" t="s">
        <v>4072</v>
      </c>
      <c r="AY136" s="52" t="s">
        <v>1809</v>
      </c>
      <c r="AZ136" s="51" t="s">
        <v>972</v>
      </c>
    </row>
    <row r="137" spans="1:54" x14ac:dyDescent="0.25">
      <c r="A137" s="51" t="s">
        <v>3804</v>
      </c>
      <c r="B137" s="51">
        <v>15</v>
      </c>
      <c r="E137" s="54" t="str" cm="1">
        <f t="array" aca="1" ref="E137" ca="1">IF(H137=0,"",HYPERLINK("#"&amp;RIGHT(CELL("dateiname"),LEN(CELL("dateiname"))-FIND("]",CELL("dateiname")))&amp;"!"&amp;CELL("adresse",OFFSET($Q$6,H137-1,0)),"Definition"))</f>
        <v/>
      </c>
      <c r="F137" s="54" t="str" cm="1">
        <f t="array" aca="1" ref="F137" ca="1">IF(I137=0,"",HYPERLINK("#"&amp;RIGHT(CELL("adresse",OFFSET(DMAV_Doku!$B$6,I137-1,0)),LEN(CELL("adresse",OFFSET(DMAV_Doku!$B$6,I137-1,0)))-SEARCH("]",CELL("adresse",OFFSET(DMAV_Doku!$B$6,I137-1,0)))),"ModDoc"))</f>
        <v/>
      </c>
      <c r="G137" s="150" t="str">
        <f t="shared" si="4"/>
        <v>MHG15</v>
      </c>
      <c r="H137" s="150">
        <f t="shared" si="5"/>
        <v>0</v>
      </c>
      <c r="I137" s="150">
        <f>IF(_xlfn.XLOOKUP(G137,Korrelation!$A$4:$A$723,Korrelation!$B$4:$B$723,0,0)=0,0,MATCH(_xlfn.XLOOKUP(G137,Korrelation!$A$4:$A$723,Korrelation!$B$4:$B$723,0,0),DMAV_Doku!$H$6:$H$483,0))</f>
        <v>0</v>
      </c>
      <c r="J137" s="158"/>
      <c r="K137" s="161"/>
      <c r="L137" s="161"/>
      <c r="M137" s="158"/>
      <c r="N137" s="51" t="s">
        <v>991</v>
      </c>
      <c r="O137" s="51" t="s">
        <v>919</v>
      </c>
      <c r="P137" s="51" t="s">
        <v>15</v>
      </c>
      <c r="Q137" s="51" t="s">
        <v>967</v>
      </c>
      <c r="R137" s="51" t="s">
        <v>996</v>
      </c>
      <c r="U137" s="52" t="s">
        <v>974</v>
      </c>
      <c r="W137" s="52" t="s">
        <v>205</v>
      </c>
      <c r="X137" s="51" t="s">
        <v>975</v>
      </c>
      <c r="AB137" s="51" t="s">
        <v>4062</v>
      </c>
      <c r="AC137" s="51" t="s">
        <v>3895</v>
      </c>
      <c r="AD137" s="51" t="s">
        <v>704</v>
      </c>
      <c r="AE137" s="51" t="s">
        <v>967</v>
      </c>
      <c r="AF137" s="51" t="s">
        <v>4073</v>
      </c>
      <c r="AI137" s="52" t="s">
        <v>4074</v>
      </c>
      <c r="AK137" s="52" t="s">
        <v>771</v>
      </c>
      <c r="AL137" s="51" t="s">
        <v>975</v>
      </c>
      <c r="AP137" s="51" t="s">
        <v>4063</v>
      </c>
      <c r="AQ137" s="51" t="s">
        <v>3896</v>
      </c>
      <c r="AR137" s="51" t="s">
        <v>4064</v>
      </c>
      <c r="AS137" s="51" t="s">
        <v>967</v>
      </c>
      <c r="AT137" s="51" t="s">
        <v>4075</v>
      </c>
      <c r="AW137" s="52" t="s">
        <v>4076</v>
      </c>
      <c r="AY137" s="52" t="s">
        <v>4065</v>
      </c>
      <c r="AZ137" s="51" t="s">
        <v>975</v>
      </c>
    </row>
    <row r="138" spans="1:54" x14ac:dyDescent="0.25">
      <c r="A138" s="51" t="s">
        <v>3804</v>
      </c>
      <c r="B138" s="51">
        <v>16</v>
      </c>
      <c r="E138" s="54" t="str" cm="1">
        <f t="array" aca="1" ref="E138" ca="1">IF(H138=0,"",HYPERLINK("#"&amp;RIGHT(CELL("dateiname"),LEN(CELL("dateiname"))-FIND("]",CELL("dateiname")))&amp;"!"&amp;CELL("adresse",OFFSET($Q$6,H138-1,0)),"Definition"))</f>
        <v/>
      </c>
      <c r="F138" s="54" t="str" cm="1">
        <f t="array" aca="1" ref="F138" ca="1">IF(I138=0,"",HYPERLINK("#"&amp;RIGHT(CELL("adresse",OFFSET(DMAV_Doku!$B$6,I138-1,0)),LEN(CELL("adresse",OFFSET(DMAV_Doku!$B$6,I138-1,0)))-SEARCH("]",CELL("adresse",OFFSET(DMAV_Doku!$B$6,I138-1,0)))),"ModDoc"))</f>
        <v/>
      </c>
      <c r="G138" s="150" t="str">
        <f t="shared" si="4"/>
        <v>MHG16</v>
      </c>
      <c r="H138" s="150">
        <f t="shared" si="5"/>
        <v>0</v>
      </c>
      <c r="I138" s="150">
        <f>IF(_xlfn.XLOOKUP(G138,Korrelation!$A$4:$A$723,Korrelation!$B$4:$B$723,0,0)=0,0,MATCH(_xlfn.XLOOKUP(G138,Korrelation!$A$4:$A$723,Korrelation!$B$4:$B$723,0,0),DMAV_Doku!$H$6:$H$483,0))</f>
        <v>0</v>
      </c>
      <c r="J138" s="158"/>
      <c r="K138" s="161"/>
      <c r="L138" s="161"/>
      <c r="M138" s="158"/>
      <c r="N138" s="51" t="s">
        <v>991</v>
      </c>
      <c r="O138" s="51" t="s">
        <v>919</v>
      </c>
      <c r="P138" s="51" t="s">
        <v>15</v>
      </c>
      <c r="Q138" s="51" t="s">
        <v>967</v>
      </c>
      <c r="R138" s="51" t="s">
        <v>996</v>
      </c>
      <c r="U138" s="52" t="s">
        <v>997</v>
      </c>
      <c r="W138" s="52" t="s">
        <v>207</v>
      </c>
      <c r="X138" s="51" t="s">
        <v>972</v>
      </c>
      <c r="AB138" s="51" t="s">
        <v>4062</v>
      </c>
      <c r="AC138" s="51" t="s">
        <v>3895</v>
      </c>
      <c r="AD138" s="51" t="s">
        <v>704</v>
      </c>
      <c r="AE138" s="51" t="s">
        <v>967</v>
      </c>
      <c r="AF138" s="51" t="s">
        <v>4073</v>
      </c>
      <c r="AI138" s="52" t="s">
        <v>4077</v>
      </c>
      <c r="AK138" s="52" t="s">
        <v>773</v>
      </c>
      <c r="AL138" s="51" t="s">
        <v>972</v>
      </c>
      <c r="AP138" s="51" t="s">
        <v>4063</v>
      </c>
      <c r="AQ138" s="51" t="s">
        <v>3896</v>
      </c>
      <c r="AR138" s="51" t="s">
        <v>4064</v>
      </c>
      <c r="AS138" s="51" t="s">
        <v>967</v>
      </c>
      <c r="AT138" s="51" t="s">
        <v>4075</v>
      </c>
      <c r="AW138" s="52" t="s">
        <v>4078</v>
      </c>
      <c r="AY138" s="52" t="s">
        <v>1809</v>
      </c>
      <c r="AZ138" s="51" t="s">
        <v>972</v>
      </c>
    </row>
    <row r="139" spans="1:54" x14ac:dyDescent="0.25">
      <c r="A139" s="51" t="s">
        <v>3804</v>
      </c>
      <c r="B139" s="51">
        <v>17</v>
      </c>
      <c r="E139" s="54" t="str" cm="1">
        <f t="array" aca="1" ref="E139" ca="1">IF(H139=0,"",HYPERLINK("#"&amp;RIGHT(CELL("dateiname"),LEN(CELL("dateiname"))-FIND("]",CELL("dateiname")))&amp;"!"&amp;CELL("adresse",OFFSET($Q$6,H139-1,0)),"Definition"))</f>
        <v/>
      </c>
      <c r="F139" s="54" t="str" cm="1">
        <f t="array" aca="1" ref="F139" ca="1">IF(I139=0,"",HYPERLINK("#"&amp;RIGHT(CELL("adresse",OFFSET(DMAV_Doku!$B$6,I139-1,0)),LEN(CELL("adresse",OFFSET(DMAV_Doku!$B$6,I139-1,0)))-SEARCH("]",CELL("adresse",OFFSET(DMAV_Doku!$B$6,I139-1,0)))),"ModDoc"))</f>
        <v/>
      </c>
      <c r="G139" s="150" t="str">
        <f t="shared" si="4"/>
        <v>MHG17</v>
      </c>
      <c r="H139" s="150">
        <f t="shared" si="5"/>
        <v>0</v>
      </c>
      <c r="I139" s="150">
        <f>IF(_xlfn.XLOOKUP(G139,Korrelation!$A$4:$A$723,Korrelation!$B$4:$B$723,0,0)=0,0,MATCH(_xlfn.XLOOKUP(G139,Korrelation!$A$4:$A$723,Korrelation!$B$4:$B$723,0,0),DMAV_Doku!$H$6:$H$483,0))</f>
        <v>0</v>
      </c>
      <c r="J139" s="158"/>
      <c r="K139" s="161"/>
      <c r="L139" s="161"/>
      <c r="M139" s="158"/>
      <c r="N139" s="51" t="s">
        <v>991</v>
      </c>
      <c r="O139" s="51" t="s">
        <v>919</v>
      </c>
      <c r="P139" s="51" t="s">
        <v>15</v>
      </c>
      <c r="Q139" s="51" t="s">
        <v>967</v>
      </c>
      <c r="R139" s="51" t="s">
        <v>998</v>
      </c>
      <c r="U139" s="52" t="s">
        <v>999</v>
      </c>
      <c r="W139" s="52" t="s">
        <v>207</v>
      </c>
      <c r="X139" s="51" t="s">
        <v>975</v>
      </c>
      <c r="AB139" s="51" t="s">
        <v>4062</v>
      </c>
      <c r="AC139" s="51" t="s">
        <v>3895</v>
      </c>
      <c r="AD139" s="51" t="s">
        <v>704</v>
      </c>
      <c r="AE139" s="51" t="s">
        <v>967</v>
      </c>
      <c r="AF139" s="51" t="s">
        <v>4079</v>
      </c>
      <c r="AI139" s="52" t="s">
        <v>4080</v>
      </c>
      <c r="AK139" s="52" t="s">
        <v>773</v>
      </c>
      <c r="AL139" s="51" t="s">
        <v>975</v>
      </c>
      <c r="AP139" s="51" t="s">
        <v>4063</v>
      </c>
      <c r="AQ139" s="51" t="s">
        <v>3896</v>
      </c>
      <c r="AR139" s="51" t="s">
        <v>4064</v>
      </c>
      <c r="AS139" s="51" t="s">
        <v>967</v>
      </c>
      <c r="AT139" s="51" t="s">
        <v>4081</v>
      </c>
      <c r="AW139" s="52" t="s">
        <v>4082</v>
      </c>
      <c r="AY139" s="52" t="s">
        <v>1809</v>
      </c>
      <c r="AZ139" s="51" t="s">
        <v>975</v>
      </c>
    </row>
    <row r="140" spans="1:54" x14ac:dyDescent="0.25">
      <c r="A140" s="51" t="s">
        <v>3804</v>
      </c>
      <c r="B140" s="51">
        <v>18</v>
      </c>
      <c r="E140" s="54" t="str" cm="1">
        <f t="array" aca="1" ref="E140" ca="1">IF(H140=0,"",HYPERLINK("#"&amp;RIGHT(CELL("dateiname"),LEN(CELL("dateiname"))-FIND("]",CELL("dateiname")))&amp;"!"&amp;CELL("adresse",OFFSET($Q$6,H140-1,0)),"Definition"))</f>
        <v/>
      </c>
      <c r="F140" s="54" t="str" cm="1">
        <f t="array" aca="1" ref="F140" ca="1">IF(I140=0,"",HYPERLINK("#"&amp;RIGHT(CELL("adresse",OFFSET(DMAV_Doku!$B$6,I140-1,0)),LEN(CELL("adresse",OFFSET(DMAV_Doku!$B$6,I140-1,0)))-SEARCH("]",CELL("adresse",OFFSET(DMAV_Doku!$B$6,I140-1,0)))),"ModDoc"))</f>
        <v/>
      </c>
      <c r="G140" s="150" t="str">
        <f t="shared" si="4"/>
        <v>MHG18</v>
      </c>
      <c r="H140" s="150">
        <f t="shared" si="5"/>
        <v>0</v>
      </c>
      <c r="I140" s="150">
        <f>IF(_xlfn.XLOOKUP(G140,Korrelation!$A$4:$A$723,Korrelation!$B$4:$B$723,0,0)=0,0,MATCH(_xlfn.XLOOKUP(G140,Korrelation!$A$4:$A$723,Korrelation!$B$4:$B$723,0,0),DMAV_Doku!$H$6:$H$483,0))</f>
        <v>0</v>
      </c>
      <c r="J140" s="158"/>
      <c r="K140" s="161"/>
      <c r="L140" s="161"/>
      <c r="M140" s="158"/>
      <c r="N140" s="51" t="s">
        <v>991</v>
      </c>
      <c r="O140" s="51" t="s">
        <v>919</v>
      </c>
      <c r="P140" s="51" t="s">
        <v>15</v>
      </c>
      <c r="Q140" s="51" t="s">
        <v>967</v>
      </c>
      <c r="R140" s="51" t="s">
        <v>998</v>
      </c>
      <c r="U140" s="52" t="s">
        <v>1000</v>
      </c>
      <c r="W140" s="52" t="s">
        <v>207</v>
      </c>
      <c r="X140" s="51" t="s">
        <v>972</v>
      </c>
      <c r="Z140" s="126"/>
      <c r="AB140" s="51" t="s">
        <v>4062</v>
      </c>
      <c r="AC140" s="51" t="s">
        <v>3895</v>
      </c>
      <c r="AD140" s="51" t="s">
        <v>704</v>
      </c>
      <c r="AE140" s="51" t="s">
        <v>967</v>
      </c>
      <c r="AF140" s="51" t="s">
        <v>4079</v>
      </c>
      <c r="AI140" s="52" t="s">
        <v>4083</v>
      </c>
      <c r="AK140" s="52" t="s">
        <v>773</v>
      </c>
      <c r="AL140" s="51" t="s">
        <v>972</v>
      </c>
      <c r="AP140" s="51" t="s">
        <v>4063</v>
      </c>
      <c r="AQ140" s="51" t="s">
        <v>3896</v>
      </c>
      <c r="AR140" s="51" t="s">
        <v>4064</v>
      </c>
      <c r="AS140" s="51" t="s">
        <v>967</v>
      </c>
      <c r="AT140" s="51" t="s">
        <v>4081</v>
      </c>
      <c r="AW140" s="52" t="s">
        <v>4084</v>
      </c>
      <c r="AY140" s="52" t="s">
        <v>1809</v>
      </c>
      <c r="AZ140" s="51" t="s">
        <v>972</v>
      </c>
    </row>
    <row r="141" spans="1:54" x14ac:dyDescent="0.25">
      <c r="A141" s="51" t="s">
        <v>3804</v>
      </c>
      <c r="B141" s="51">
        <v>19</v>
      </c>
      <c r="E141" s="54" t="str" cm="1">
        <f t="array" aca="1" ref="E141" ca="1">IF(H141=0,"",HYPERLINK("#"&amp;RIGHT(CELL("dateiname"),LEN(CELL("dateiname"))-FIND("]",CELL("dateiname")))&amp;"!"&amp;CELL("adresse",OFFSET($Q$6,H141-1,0)),"Definition"))</f>
        <v/>
      </c>
      <c r="F141" s="54" t="str" cm="1">
        <f t="array" aca="1" ref="F141" ca="1">IF(I141=0,"",HYPERLINK("#"&amp;RIGHT(CELL("adresse",OFFSET(DMAV_Doku!$B$6,I141-1,0)),LEN(CELL("adresse",OFFSET(DMAV_Doku!$B$6,I141-1,0)))-SEARCH("]",CELL("adresse",OFFSET(DMAV_Doku!$B$6,I141-1,0)))),"ModDoc"))</f>
        <v/>
      </c>
      <c r="G141" s="150" t="str">
        <f t="shared" si="4"/>
        <v>MHG19</v>
      </c>
      <c r="H141" s="150">
        <f t="shared" si="5"/>
        <v>0</v>
      </c>
      <c r="I141" s="150">
        <f>IF(_xlfn.XLOOKUP(G141,Korrelation!$A$4:$A$723,Korrelation!$B$4:$B$723,0,0)=0,0,MATCH(_xlfn.XLOOKUP(G141,Korrelation!$A$4:$A$723,Korrelation!$B$4:$B$723,0,0),DMAV_Doku!$H$6:$H$483,0))</f>
        <v>0</v>
      </c>
      <c r="J141" s="158"/>
      <c r="K141" s="161"/>
      <c r="L141" s="161"/>
      <c r="M141" s="158"/>
      <c r="N141" s="51" t="s">
        <v>991</v>
      </c>
      <c r="O141" s="51" t="s">
        <v>919</v>
      </c>
      <c r="P141" s="51" t="s">
        <v>15</v>
      </c>
      <c r="Q141" s="51" t="s">
        <v>977</v>
      </c>
      <c r="R141" s="51" t="s">
        <v>1001</v>
      </c>
      <c r="U141" s="52" t="s">
        <v>979</v>
      </c>
      <c r="W141" s="52" t="s">
        <v>207</v>
      </c>
      <c r="Z141" s="126"/>
      <c r="AB141" s="51" t="s">
        <v>4062</v>
      </c>
      <c r="AC141" s="51" t="s">
        <v>3895</v>
      </c>
      <c r="AD141" s="51" t="s">
        <v>704</v>
      </c>
      <c r="AE141" s="51" t="s">
        <v>977</v>
      </c>
      <c r="AF141" s="51" t="s">
        <v>4085</v>
      </c>
      <c r="AI141" s="52" t="s">
        <v>979</v>
      </c>
      <c r="AK141" s="52" t="s">
        <v>773</v>
      </c>
      <c r="AP141" s="51" t="s">
        <v>4063</v>
      </c>
      <c r="AQ141" s="51" t="s">
        <v>3896</v>
      </c>
      <c r="AR141" s="51" t="s">
        <v>4064</v>
      </c>
      <c r="AS141" s="51" t="s">
        <v>977</v>
      </c>
      <c r="AT141" s="51" t="s">
        <v>4086</v>
      </c>
      <c r="AW141" s="52" t="s">
        <v>979</v>
      </c>
      <c r="AY141" s="52" t="s">
        <v>1809</v>
      </c>
    </row>
    <row r="142" spans="1:54" ht="51" x14ac:dyDescent="0.25">
      <c r="A142" s="51" t="s">
        <v>3804</v>
      </c>
      <c r="B142" s="51">
        <v>20</v>
      </c>
      <c r="E142" s="54" t="str" cm="1">
        <f t="array" aca="1" ref="E142" ca="1">IF(H142=0,"",HYPERLINK("#"&amp;RIGHT(CELL("dateiname"),LEN(CELL("dateiname"))-FIND("]",CELL("dateiname")))&amp;"!"&amp;CELL("adresse",OFFSET($Q$6,H142-1,0)),"Definition"))</f>
        <v/>
      </c>
      <c r="F142" s="54" t="str" cm="1">
        <f t="array" aca="1" ref="F142" ca="1">IF(I142=0,"",HYPERLINK("#"&amp;RIGHT(CELL("adresse",OFFSET(DMAV_Doku!$B$6,I142-1,0)),LEN(CELL("adresse",OFFSET(DMAV_Doku!$B$6,I142-1,0)))-SEARCH("]",CELL("adresse",OFFSET(DMAV_Doku!$B$6,I142-1,0)))),"ModDoc"))</f>
        <v/>
      </c>
      <c r="G142" s="150" t="str">
        <f t="shared" si="4"/>
        <v>MHG20</v>
      </c>
      <c r="H142" s="150">
        <f t="shared" si="5"/>
        <v>0</v>
      </c>
      <c r="I142" s="150">
        <f>IF(_xlfn.XLOOKUP(G142,Korrelation!$A$4:$A$723,Korrelation!$B$4:$B$723,0,0)=0,0,MATCH(_xlfn.XLOOKUP(G142,Korrelation!$A$4:$A$723,Korrelation!$B$4:$B$723,0,0),DMAV_Doku!$H$6:$H$483,0))</f>
        <v>0</v>
      </c>
      <c r="J142" s="158"/>
      <c r="K142" s="161"/>
      <c r="L142" s="161"/>
      <c r="M142" s="158"/>
      <c r="N142" s="51" t="s">
        <v>991</v>
      </c>
      <c r="O142" s="51" t="s">
        <v>919</v>
      </c>
      <c r="P142" s="51" t="s">
        <v>15</v>
      </c>
      <c r="Q142" s="51" t="s">
        <v>977</v>
      </c>
      <c r="R142" s="51" t="s">
        <v>1001</v>
      </c>
      <c r="U142" s="52" t="s">
        <v>1002</v>
      </c>
      <c r="W142" s="52" t="s">
        <v>1003</v>
      </c>
      <c r="Z142" s="198" t="s">
        <v>2763</v>
      </c>
      <c r="AB142" s="51" t="s">
        <v>4062</v>
      </c>
      <c r="AC142" s="51" t="s">
        <v>3895</v>
      </c>
      <c r="AD142" s="51" t="s">
        <v>704</v>
      </c>
      <c r="AE142" s="51" t="s">
        <v>977</v>
      </c>
      <c r="AF142" s="51" t="s">
        <v>4085</v>
      </c>
      <c r="AI142" s="52" t="s">
        <v>4087</v>
      </c>
      <c r="AK142" s="52" t="s">
        <v>4088</v>
      </c>
      <c r="AN142" s="259" t="s">
        <v>7260</v>
      </c>
      <c r="AP142" s="51" t="s">
        <v>4063</v>
      </c>
      <c r="AQ142" s="51" t="s">
        <v>3896</v>
      </c>
      <c r="AR142" s="51" t="s">
        <v>4064</v>
      </c>
      <c r="AS142" s="51" t="s">
        <v>977</v>
      </c>
      <c r="AT142" s="51" t="s">
        <v>4086</v>
      </c>
      <c r="AW142" s="52" t="s">
        <v>4087</v>
      </c>
      <c r="AY142" s="52" t="s">
        <v>4089</v>
      </c>
      <c r="BB142" s="199" t="s">
        <v>6043</v>
      </c>
    </row>
    <row r="143" spans="1:54" x14ac:dyDescent="0.25">
      <c r="A143" s="51" t="s">
        <v>3804</v>
      </c>
      <c r="B143" s="51">
        <v>21</v>
      </c>
      <c r="E143" s="54" t="str" cm="1">
        <f t="array" aca="1" ref="E143" ca="1">IF(H143=0,"",HYPERLINK("#"&amp;RIGHT(CELL("dateiname"),LEN(CELL("dateiname"))-FIND("]",CELL("dateiname")))&amp;"!"&amp;CELL("adresse",OFFSET($Q$6,H143-1,0)),"Definition"))</f>
        <v/>
      </c>
      <c r="F143" s="54" t="str" cm="1">
        <f t="array" aca="1" ref="F143" ca="1">IF(I143=0,"",HYPERLINK("#"&amp;RIGHT(CELL("adresse",OFFSET(DMAV_Doku!$B$6,I143-1,0)),LEN(CELL("adresse",OFFSET(DMAV_Doku!$B$6,I143-1,0)))-SEARCH("]",CELL("adresse",OFFSET(DMAV_Doku!$B$6,I143-1,0)))),"ModDoc"))</f>
        <v/>
      </c>
      <c r="G143" s="150" t="str">
        <f t="shared" si="4"/>
        <v>MHG21</v>
      </c>
      <c r="H143" s="150">
        <f t="shared" si="5"/>
        <v>0</v>
      </c>
      <c r="I143" s="150">
        <f>IF(_xlfn.XLOOKUP(G143,Korrelation!$A$4:$A$723,Korrelation!$B$4:$B$723,0,0)=0,0,MATCH(_xlfn.XLOOKUP(G143,Korrelation!$A$4:$A$723,Korrelation!$B$4:$B$723,0,0),DMAV_Doku!$H$6:$H$483,0))</f>
        <v>0</v>
      </c>
      <c r="J143" s="158"/>
      <c r="K143" s="161"/>
      <c r="L143" s="161"/>
      <c r="M143" s="158"/>
      <c r="N143" s="51" t="s">
        <v>991</v>
      </c>
      <c r="O143" s="51" t="s">
        <v>919</v>
      </c>
      <c r="P143" s="51" t="s">
        <v>15</v>
      </c>
      <c r="Q143" s="51" t="s">
        <v>977</v>
      </c>
      <c r="R143" s="51" t="s">
        <v>1001</v>
      </c>
      <c r="U143" s="52" t="s">
        <v>982</v>
      </c>
      <c r="V143" s="55"/>
      <c r="W143" s="52" t="s">
        <v>207</v>
      </c>
      <c r="AB143" s="51" t="s">
        <v>4062</v>
      </c>
      <c r="AC143" s="51" t="s">
        <v>3895</v>
      </c>
      <c r="AD143" s="51" t="s">
        <v>704</v>
      </c>
      <c r="AE143" s="51" t="s">
        <v>977</v>
      </c>
      <c r="AF143" s="51" t="s">
        <v>4085</v>
      </c>
      <c r="AI143" s="52" t="s">
        <v>982</v>
      </c>
      <c r="AK143" s="52" t="s">
        <v>773</v>
      </c>
      <c r="AP143" s="51" t="s">
        <v>4063</v>
      </c>
      <c r="AQ143" s="51" t="s">
        <v>3896</v>
      </c>
      <c r="AR143" s="51" t="s">
        <v>4064</v>
      </c>
      <c r="AS143" s="51" t="s">
        <v>977</v>
      </c>
      <c r="AT143" s="51" t="s">
        <v>4086</v>
      </c>
      <c r="AW143" s="52" t="s">
        <v>982</v>
      </c>
      <c r="AY143" s="52" t="s">
        <v>1809</v>
      </c>
    </row>
    <row r="144" spans="1:54" x14ac:dyDescent="0.25">
      <c r="A144" s="51" t="s">
        <v>3804</v>
      </c>
      <c r="B144" s="51">
        <v>22</v>
      </c>
      <c r="D144" s="51" t="s">
        <v>3445</v>
      </c>
      <c r="E144" s="54" t="str" cm="1">
        <f t="array" aca="1" ref="E144" ca="1">IF(H144=0,"",HYPERLINK("#"&amp;RIGHT(CELL("dateiname"),LEN(CELL("dateiname"))-FIND("]",CELL("dateiname")))&amp;"!"&amp;CELL("adresse",OFFSET($Q$6,H144-1,0)),"Definition"))</f>
        <v/>
      </c>
      <c r="F144" s="54" t="str" cm="1">
        <f t="array" aca="1" ref="F144" ca="1">IF(I144=0,"",HYPERLINK("#"&amp;RIGHT(CELL("adresse",OFFSET(DMAV_Doku!$B$6,I144-1,0)),LEN(CELL("adresse",OFFSET(DMAV_Doku!$B$6,I144-1,0)))-SEARCH("]",CELL("adresse",OFFSET(DMAV_Doku!$B$6,I144-1,0)))),"ModDoc"))</f>
        <v/>
      </c>
      <c r="G144" s="150" t="str">
        <f t="shared" si="4"/>
        <v>MHG22</v>
      </c>
      <c r="H144" s="150">
        <f t="shared" si="5"/>
        <v>0</v>
      </c>
      <c r="I144" s="150">
        <f>IF(_xlfn.XLOOKUP(G144,Korrelation!$A$4:$A$723,Korrelation!$B$4:$B$723,0,0)=0,0,MATCH(_xlfn.XLOOKUP(G144,Korrelation!$A$4:$A$723,Korrelation!$B$4:$B$723,0,0),DMAV_Doku!$H$6:$H$483,0))</f>
        <v>0</v>
      </c>
      <c r="J144" s="158"/>
      <c r="K144" s="161"/>
      <c r="L144" s="161"/>
      <c r="M144" s="158"/>
      <c r="N144" s="51" t="s">
        <v>991</v>
      </c>
      <c r="O144" s="51" t="s">
        <v>919</v>
      </c>
      <c r="P144" s="51" t="s">
        <v>15</v>
      </c>
      <c r="Q144" s="51" t="s">
        <v>977</v>
      </c>
      <c r="R144" s="51" t="s">
        <v>1001</v>
      </c>
      <c r="T144" s="51" t="s">
        <v>6</v>
      </c>
      <c r="U144" s="52" t="s">
        <v>209</v>
      </c>
      <c r="W144" s="52"/>
      <c r="Z144" s="199" t="s">
        <v>2764</v>
      </c>
      <c r="AB144" s="51" t="s">
        <v>4062</v>
      </c>
      <c r="AC144" s="51" t="s">
        <v>3895</v>
      </c>
      <c r="AD144" s="51" t="s">
        <v>704</v>
      </c>
      <c r="AE144" s="51" t="s">
        <v>977</v>
      </c>
      <c r="AF144" s="51" t="s">
        <v>4085</v>
      </c>
      <c r="AH144" s="51" t="s">
        <v>6</v>
      </c>
      <c r="AI144" s="52" t="s">
        <v>774</v>
      </c>
      <c r="AN144" s="199" t="s">
        <v>5993</v>
      </c>
      <c r="AP144" s="51" t="s">
        <v>4063</v>
      </c>
      <c r="AQ144" s="51" t="s">
        <v>3896</v>
      </c>
      <c r="AR144" s="51" t="s">
        <v>4064</v>
      </c>
      <c r="AS144" s="51" t="s">
        <v>977</v>
      </c>
      <c r="AT144" s="51" t="s">
        <v>4086</v>
      </c>
      <c r="AV144" s="51" t="s">
        <v>6</v>
      </c>
      <c r="AW144" s="52" t="s">
        <v>4067</v>
      </c>
      <c r="BB144" s="199" t="s">
        <v>5992</v>
      </c>
    </row>
    <row r="145" spans="1:54" ht="38.25" x14ac:dyDescent="0.25">
      <c r="A145" s="51" t="s">
        <v>3804</v>
      </c>
      <c r="B145" s="51">
        <v>23</v>
      </c>
      <c r="E145" s="54" t="str" cm="1">
        <f t="array" aca="1" ref="E145" ca="1">IF(H145=0,"",HYPERLINK("#"&amp;RIGHT(CELL("dateiname"),LEN(CELL("dateiname"))-FIND("]",CELL("dateiname")))&amp;"!"&amp;CELL("adresse",OFFSET($Q$6,H145-1,0)),"Definition"))</f>
        <v/>
      </c>
      <c r="F145" s="54" t="str" cm="1">
        <f t="array" aca="1" ref="F145" ca="1">IF(I145=0,"",HYPERLINK("#"&amp;RIGHT(CELL("adresse",OFFSET(DMAV_Doku!$B$6,I145-1,0)),LEN(CELL("adresse",OFFSET(DMAV_Doku!$B$6,I145-1,0)))-SEARCH("]",CELL("adresse",OFFSET(DMAV_Doku!$B$6,I145-1,0)))),"ModDoc"))</f>
        <v>ModDoc</v>
      </c>
      <c r="G145" s="150" t="str">
        <f t="shared" si="4"/>
        <v>MHG23</v>
      </c>
      <c r="H145" s="150">
        <f t="shared" si="5"/>
        <v>0</v>
      </c>
      <c r="I145" s="150">
        <f>IF(_xlfn.XLOOKUP(G145,Korrelation!$A$4:$A$723,Korrelation!$B$4:$B$723,0,0)=0,0,MATCH(_xlfn.XLOOKUP(G145,Korrelation!$A$4:$A$723,Korrelation!$B$4:$B$723,0,0),DMAV_Doku!$H$6:$H$483,0))</f>
        <v>117</v>
      </c>
      <c r="J145" s="158"/>
      <c r="K145" s="161"/>
      <c r="L145" s="161"/>
      <c r="M145" s="158"/>
      <c r="N145" s="51" t="s">
        <v>991</v>
      </c>
      <c r="O145" s="51" t="s">
        <v>919</v>
      </c>
      <c r="P145" s="51" t="s">
        <v>15</v>
      </c>
      <c r="Q145" s="51" t="s">
        <v>949</v>
      </c>
      <c r="R145" s="51" t="s">
        <v>216</v>
      </c>
      <c r="S145" s="50" t="s">
        <v>950</v>
      </c>
      <c r="U145" s="52" t="s">
        <v>123</v>
      </c>
      <c r="W145" s="52" t="s">
        <v>965</v>
      </c>
      <c r="Y145" s="52" t="s">
        <v>3446</v>
      </c>
      <c r="AB145" s="51" t="s">
        <v>4062</v>
      </c>
      <c r="AC145" s="51" t="s">
        <v>3895</v>
      </c>
      <c r="AD145" s="51" t="s">
        <v>704</v>
      </c>
      <c r="AE145" s="51" t="s">
        <v>949</v>
      </c>
      <c r="AF145" s="51" t="s">
        <v>776</v>
      </c>
      <c r="AG145" s="50" t="s">
        <v>950</v>
      </c>
      <c r="AI145" s="52" t="s">
        <v>123</v>
      </c>
      <c r="AK145" s="52" t="s">
        <v>965</v>
      </c>
      <c r="AP145" s="51" t="s">
        <v>4063</v>
      </c>
      <c r="AQ145" s="51" t="s">
        <v>3896</v>
      </c>
      <c r="AR145" s="51" t="s">
        <v>4064</v>
      </c>
      <c r="AS145" s="51" t="s">
        <v>949</v>
      </c>
      <c r="AT145" s="51" t="s">
        <v>4090</v>
      </c>
      <c r="AU145" s="50" t="s">
        <v>950</v>
      </c>
      <c r="AW145" s="52" t="s">
        <v>1247</v>
      </c>
      <c r="AY145" s="52" t="s">
        <v>965</v>
      </c>
    </row>
    <row r="146" spans="1:54" x14ac:dyDescent="0.25">
      <c r="A146" s="51" t="s">
        <v>3804</v>
      </c>
      <c r="B146" s="51">
        <v>24</v>
      </c>
      <c r="E146" s="54" t="str" cm="1">
        <f t="array" aca="1" ref="E146" ca="1">IF(H146=0,"",HYPERLINK("#"&amp;RIGHT(CELL("dateiname"),LEN(CELL("dateiname"))-FIND("]",CELL("dateiname")))&amp;"!"&amp;CELL("adresse",OFFSET($Q$6,H146-1,0)),"Definition"))</f>
        <v/>
      </c>
      <c r="F146" s="54" t="str" cm="1">
        <f t="array" aca="1" ref="F146" ca="1">IF(I146=0,"",HYPERLINK("#"&amp;RIGHT(CELL("adresse",OFFSET(DMAV_Doku!$B$6,I146-1,0)),LEN(CELL("adresse",OFFSET(DMAV_Doku!$B$6,I146-1,0)))-SEARCH("]",CELL("adresse",OFFSET(DMAV_Doku!$B$6,I146-1,0)))),"ModDoc"))</f>
        <v>ModDoc</v>
      </c>
      <c r="G146" s="150" t="str">
        <f t="shared" si="4"/>
        <v>MHG24</v>
      </c>
      <c r="H146" s="150">
        <f t="shared" si="5"/>
        <v>0</v>
      </c>
      <c r="I146" s="150">
        <f>IF(_xlfn.XLOOKUP(G146,Korrelation!$A$4:$A$723,Korrelation!$B$4:$B$723,0,0)=0,0,MATCH(_xlfn.XLOOKUP(G146,Korrelation!$A$4:$A$723,Korrelation!$B$4:$B$723,0,0),DMAV_Doku!$H$6:$H$483,0))</f>
        <v>121</v>
      </c>
      <c r="J146" s="158"/>
      <c r="K146" s="161"/>
      <c r="L146" s="161"/>
      <c r="M146" s="158"/>
      <c r="N146" s="51" t="s">
        <v>991</v>
      </c>
      <c r="O146" s="51" t="s">
        <v>919</v>
      </c>
      <c r="P146" s="51" t="s">
        <v>15</v>
      </c>
      <c r="Q146" s="51" t="s">
        <v>949</v>
      </c>
      <c r="R146" s="51" t="s">
        <v>216</v>
      </c>
      <c r="S146" s="50" t="s">
        <v>950</v>
      </c>
      <c r="U146" s="52" t="s">
        <v>213</v>
      </c>
      <c r="W146" s="52" t="s">
        <v>131</v>
      </c>
      <c r="Y146" s="52" t="s">
        <v>3446</v>
      </c>
      <c r="AB146" s="51" t="s">
        <v>4062</v>
      </c>
      <c r="AC146" s="51" t="s">
        <v>3895</v>
      </c>
      <c r="AD146" s="51" t="s">
        <v>704</v>
      </c>
      <c r="AE146" s="51" t="s">
        <v>949</v>
      </c>
      <c r="AF146" s="51" t="s">
        <v>776</v>
      </c>
      <c r="AG146" s="50" t="s">
        <v>950</v>
      </c>
      <c r="AI146" s="52" t="s">
        <v>775</v>
      </c>
      <c r="AK146" s="52" t="s">
        <v>131</v>
      </c>
      <c r="AP146" s="51" t="s">
        <v>4063</v>
      </c>
      <c r="AQ146" s="51" t="s">
        <v>3896</v>
      </c>
      <c r="AR146" s="51" t="s">
        <v>4064</v>
      </c>
      <c r="AS146" s="51" t="s">
        <v>949</v>
      </c>
      <c r="AT146" s="51" t="s">
        <v>4090</v>
      </c>
      <c r="AU146" s="50" t="s">
        <v>950</v>
      </c>
      <c r="AW146" s="52" t="s">
        <v>4068</v>
      </c>
      <c r="AY146" s="52" t="s">
        <v>131</v>
      </c>
    </row>
    <row r="147" spans="1:54" x14ac:dyDescent="0.25">
      <c r="A147" s="51" t="s">
        <v>3804</v>
      </c>
      <c r="B147" s="51">
        <v>25</v>
      </c>
      <c r="E147" s="54" t="str" cm="1">
        <f t="array" aca="1" ref="E147" ca="1">IF(H147=0,"",HYPERLINK("#"&amp;RIGHT(CELL("dateiname"),LEN(CELL("dateiname"))-FIND("]",CELL("dateiname")))&amp;"!"&amp;CELL("adresse",OFFSET($Q$6,H147-1,0)),"Definition"))</f>
        <v/>
      </c>
      <c r="F147" s="54" t="str" cm="1">
        <f t="array" aca="1" ref="F147" ca="1">IF(I147=0,"",HYPERLINK("#"&amp;RIGHT(CELL("adresse",OFFSET(DMAV_Doku!$B$6,I147-1,0)),LEN(CELL("adresse",OFFSET(DMAV_Doku!$B$6,I147-1,0)))-SEARCH("]",CELL("adresse",OFFSET(DMAV_Doku!$B$6,I147-1,0)))),"ModDoc"))</f>
        <v>ModDoc</v>
      </c>
      <c r="G147" s="150" t="str">
        <f t="shared" si="4"/>
        <v>MHG25</v>
      </c>
      <c r="H147" s="150">
        <f t="shared" si="5"/>
        <v>0</v>
      </c>
      <c r="I147" s="150">
        <f>IF(_xlfn.XLOOKUP(G147,Korrelation!$A$4:$A$723,Korrelation!$B$4:$B$723,0,0)=0,0,MATCH(_xlfn.XLOOKUP(G147,Korrelation!$A$4:$A$723,Korrelation!$B$4:$B$723,0,0),DMAV_Doku!$H$6:$H$483,0))</f>
        <v>118</v>
      </c>
      <c r="J147" s="158"/>
      <c r="K147" s="161"/>
      <c r="L147" s="161"/>
      <c r="M147" s="158"/>
      <c r="N147" s="51" t="s">
        <v>991</v>
      </c>
      <c r="O147" s="51" t="s">
        <v>919</v>
      </c>
      <c r="P147" s="51" t="s">
        <v>15</v>
      </c>
      <c r="Q147" s="51" t="s">
        <v>949</v>
      </c>
      <c r="R147" s="51" t="s">
        <v>216</v>
      </c>
      <c r="U147" s="52" t="s">
        <v>218</v>
      </c>
      <c r="W147" s="52" t="s">
        <v>1004</v>
      </c>
      <c r="Y147" s="52" t="s">
        <v>3446</v>
      </c>
      <c r="AB147" s="51" t="s">
        <v>4062</v>
      </c>
      <c r="AC147" s="51" t="s">
        <v>3895</v>
      </c>
      <c r="AD147" s="51" t="s">
        <v>704</v>
      </c>
      <c r="AE147" s="51" t="s">
        <v>949</v>
      </c>
      <c r="AF147" s="51" t="s">
        <v>776</v>
      </c>
      <c r="AI147" s="52" t="s">
        <v>791</v>
      </c>
      <c r="AK147" s="52" t="s">
        <v>1004</v>
      </c>
      <c r="AP147" s="51" t="s">
        <v>4063</v>
      </c>
      <c r="AQ147" s="51" t="s">
        <v>3896</v>
      </c>
      <c r="AR147" s="51" t="s">
        <v>4064</v>
      </c>
      <c r="AS147" s="51" t="s">
        <v>949</v>
      </c>
      <c r="AT147" s="51" t="s">
        <v>4090</v>
      </c>
      <c r="AW147" s="52" t="s">
        <v>4091</v>
      </c>
      <c r="AY147" s="52" t="s">
        <v>1004</v>
      </c>
    </row>
    <row r="148" spans="1:54" x14ac:dyDescent="0.25">
      <c r="A148" s="51" t="s">
        <v>3804</v>
      </c>
      <c r="B148" s="51">
        <v>26</v>
      </c>
      <c r="E148" s="54" t="str" cm="1">
        <f t="array" aca="1" ref="E148" ca="1">IF(H148=0,"",HYPERLINK("#"&amp;RIGHT(CELL("dateiname"),LEN(CELL("dateiname"))-FIND("]",CELL("dateiname")))&amp;"!"&amp;CELL("adresse",OFFSET($Q$6,H148-1,0)),"Definition"))</f>
        <v/>
      </c>
      <c r="F148" s="54" t="str" cm="1">
        <f t="array" aca="1" ref="F148" ca="1">IF(I148=0,"",HYPERLINK("#"&amp;RIGHT(CELL("adresse",OFFSET(DMAV_Doku!$B$6,I148-1,0)),LEN(CELL("adresse",OFFSET(DMAV_Doku!$B$6,I148-1,0)))-SEARCH("]",CELL("adresse",OFFSET(DMAV_Doku!$B$6,I148-1,0)))),"ModDoc"))</f>
        <v>ModDoc</v>
      </c>
      <c r="G148" s="150" t="str">
        <f t="shared" si="4"/>
        <v>MHG26</v>
      </c>
      <c r="H148" s="150">
        <f t="shared" si="5"/>
        <v>0</v>
      </c>
      <c r="I148" s="150">
        <f>IF(_xlfn.XLOOKUP(G148,Korrelation!$A$4:$A$723,Korrelation!$B$4:$B$723,0,0)=0,0,MATCH(_xlfn.XLOOKUP(G148,Korrelation!$A$4:$A$723,Korrelation!$B$4:$B$723,0,0),DMAV_Doku!$H$6:$H$483,0))</f>
        <v>119</v>
      </c>
      <c r="J148" s="158"/>
      <c r="K148" s="161">
        <v>45444</v>
      </c>
      <c r="L148" s="161"/>
      <c r="M148" s="158"/>
      <c r="N148" s="51" t="s">
        <v>991</v>
      </c>
      <c r="O148" s="51" t="s">
        <v>919</v>
      </c>
      <c r="P148" s="51" t="s">
        <v>15</v>
      </c>
      <c r="Q148" s="51" t="s">
        <v>949</v>
      </c>
      <c r="R148" s="51" t="s">
        <v>216</v>
      </c>
      <c r="U148" s="52" t="s">
        <v>3393</v>
      </c>
      <c r="W148" s="52" t="s">
        <v>1004</v>
      </c>
      <c r="Y148" s="52" t="s">
        <v>3446</v>
      </c>
      <c r="AB148" s="51" t="s">
        <v>4062</v>
      </c>
      <c r="AC148" s="51" t="s">
        <v>3895</v>
      </c>
      <c r="AD148" s="51" t="s">
        <v>704</v>
      </c>
      <c r="AE148" s="51" t="s">
        <v>949</v>
      </c>
      <c r="AF148" s="51" t="s">
        <v>776</v>
      </c>
      <c r="AI148" s="52" t="s">
        <v>770</v>
      </c>
      <c r="AK148" s="52" t="s">
        <v>1004</v>
      </c>
      <c r="AP148" s="51" t="s">
        <v>4063</v>
      </c>
      <c r="AQ148" s="51" t="s">
        <v>3896</v>
      </c>
      <c r="AR148" s="51" t="s">
        <v>4064</v>
      </c>
      <c r="AS148" s="51" t="s">
        <v>949</v>
      </c>
      <c r="AT148" s="51" t="s">
        <v>4090</v>
      </c>
      <c r="AW148" s="52" t="s">
        <v>4092</v>
      </c>
      <c r="AY148" s="52" t="s">
        <v>1004</v>
      </c>
    </row>
    <row r="149" spans="1:54" x14ac:dyDescent="0.25">
      <c r="A149" s="51" t="s">
        <v>3804</v>
      </c>
      <c r="B149" s="51">
        <v>27</v>
      </c>
      <c r="E149" s="54" t="str" cm="1">
        <f t="array" aca="1" ref="E149" ca="1">IF(H149=0,"",HYPERLINK("#"&amp;RIGHT(CELL("dateiname"),LEN(CELL("dateiname"))-FIND("]",CELL("dateiname")))&amp;"!"&amp;CELL("adresse",OFFSET($Q$6,H149-1,0)),"Definition"))</f>
        <v/>
      </c>
      <c r="F149" s="54" t="str" cm="1">
        <f t="array" aca="1" ref="F149" ca="1">IF(I149=0,"",HYPERLINK("#"&amp;RIGHT(CELL("adresse",OFFSET(DMAV_Doku!$B$6,I149-1,0)),LEN(CELL("adresse",OFFSET(DMAV_Doku!$B$6,I149-1,0)))-SEARCH("]",CELL("adresse",OFFSET(DMAV_Doku!$B$6,I149-1,0)))),"ModDoc"))</f>
        <v>ModDoc</v>
      </c>
      <c r="G149" s="150" t="str">
        <f t="shared" si="4"/>
        <v>MHG27</v>
      </c>
      <c r="H149" s="150">
        <f t="shared" si="5"/>
        <v>0</v>
      </c>
      <c r="I149" s="150">
        <f>IF(_xlfn.XLOOKUP(G149,Korrelation!$A$4:$A$723,Korrelation!$B$4:$B$723,0,0)=0,0,MATCH(_xlfn.XLOOKUP(G149,Korrelation!$A$4:$A$723,Korrelation!$B$4:$B$723,0,0),DMAV_Doku!$H$6:$H$483,0))</f>
        <v>120</v>
      </c>
      <c r="J149" s="158"/>
      <c r="K149" s="161">
        <v>45444</v>
      </c>
      <c r="L149" s="161"/>
      <c r="M149" s="158"/>
      <c r="N149" s="51" t="s">
        <v>991</v>
      </c>
      <c r="O149" s="51" t="s">
        <v>919</v>
      </c>
      <c r="P149" s="51" t="s">
        <v>15</v>
      </c>
      <c r="Q149" s="51" t="s">
        <v>949</v>
      </c>
      <c r="R149" s="51" t="s">
        <v>216</v>
      </c>
      <c r="U149" s="52" t="s">
        <v>3394</v>
      </c>
      <c r="W149" s="52" t="s">
        <v>1004</v>
      </c>
      <c r="Y149" s="52" t="s">
        <v>3446</v>
      </c>
      <c r="AB149" s="51" t="s">
        <v>4062</v>
      </c>
      <c r="AC149" s="51" t="s">
        <v>3895</v>
      </c>
      <c r="AD149" s="51" t="s">
        <v>704</v>
      </c>
      <c r="AE149" s="51" t="s">
        <v>949</v>
      </c>
      <c r="AF149" s="51" t="s">
        <v>776</v>
      </c>
      <c r="AI149" s="52" t="s">
        <v>3399</v>
      </c>
      <c r="AK149" s="52" t="s">
        <v>1004</v>
      </c>
      <c r="AP149" s="51" t="s">
        <v>4063</v>
      </c>
      <c r="AQ149" s="51" t="s">
        <v>3896</v>
      </c>
      <c r="AR149" s="51" t="s">
        <v>4064</v>
      </c>
      <c r="AS149" s="51" t="s">
        <v>949</v>
      </c>
      <c r="AT149" s="51" t="s">
        <v>4090</v>
      </c>
      <c r="AW149" s="52" t="s">
        <v>4093</v>
      </c>
      <c r="AY149" s="52" t="s">
        <v>1004</v>
      </c>
    </row>
    <row r="150" spans="1:54" ht="38.25" x14ac:dyDescent="0.25">
      <c r="A150" s="51" t="s">
        <v>3804</v>
      </c>
      <c r="B150" s="51">
        <v>28</v>
      </c>
      <c r="D150" s="51" t="s">
        <v>3448</v>
      </c>
      <c r="E150" s="54" t="str" cm="1">
        <f t="array" aca="1" ref="E150" ca="1">IF(H150=0,"",HYPERLINK("#"&amp;RIGHT(CELL("dateiname"),LEN(CELL("dateiname"))-FIND("]",CELL("dateiname")))&amp;"!"&amp;CELL("adresse",OFFSET($Q$6,H150-1,0)),"Definition"))</f>
        <v/>
      </c>
      <c r="F150" s="54" t="str" cm="1">
        <f t="array" aca="1" ref="F150" ca="1">IF(I150=0,"",HYPERLINK("#"&amp;RIGHT(CELL("adresse",OFFSET(DMAV_Doku!$B$6,I150-1,0)),LEN(CELL("adresse",OFFSET(DMAV_Doku!$B$6,I150-1,0)))-SEARCH("]",CELL("adresse",OFFSET(DMAV_Doku!$B$6,I150-1,0)))),"ModDoc"))</f>
        <v/>
      </c>
      <c r="G150" s="150" t="str">
        <f t="shared" si="4"/>
        <v>MHG28</v>
      </c>
      <c r="H150" s="150">
        <f t="shared" si="5"/>
        <v>0</v>
      </c>
      <c r="I150" s="150">
        <f>IF(_xlfn.XLOOKUP(G150,Korrelation!$A$4:$A$723,Korrelation!$B$4:$B$723,0,0)=0,0,MATCH(_xlfn.XLOOKUP(G150,Korrelation!$A$4:$A$723,Korrelation!$B$4:$B$723,0,0),DMAV_Doku!$H$6:$H$483,0))</f>
        <v>0</v>
      </c>
      <c r="J150" s="158"/>
      <c r="K150" s="161"/>
      <c r="L150" s="161"/>
      <c r="M150" s="158"/>
      <c r="N150" s="51" t="s">
        <v>991</v>
      </c>
      <c r="O150" s="51" t="s">
        <v>919</v>
      </c>
      <c r="P150" s="51" t="s">
        <v>15</v>
      </c>
      <c r="Q150" s="51" t="s">
        <v>957</v>
      </c>
      <c r="R150" s="51" t="s">
        <v>216</v>
      </c>
      <c r="S150" s="50" t="s">
        <v>950</v>
      </c>
      <c r="U150" s="52" t="s">
        <v>3449</v>
      </c>
      <c r="W150" s="52" t="s">
        <v>4094</v>
      </c>
      <c r="Y150" s="52" t="s">
        <v>3447</v>
      </c>
      <c r="Z150" s="202" t="s">
        <v>3400</v>
      </c>
      <c r="AB150" s="51" t="s">
        <v>4062</v>
      </c>
      <c r="AC150" s="51" t="s">
        <v>3895</v>
      </c>
      <c r="AD150" s="51" t="s">
        <v>704</v>
      </c>
      <c r="AE150" s="51" t="s">
        <v>957</v>
      </c>
      <c r="AF150" s="51" t="s">
        <v>776</v>
      </c>
      <c r="AG150" s="50" t="s">
        <v>950</v>
      </c>
      <c r="AI150" s="52" t="s">
        <v>4095</v>
      </c>
      <c r="AK150" s="52" t="s">
        <v>4096</v>
      </c>
      <c r="AN150" s="202" t="s">
        <v>7214</v>
      </c>
      <c r="AP150" s="51" t="s">
        <v>4063</v>
      </c>
      <c r="AQ150" s="51" t="s">
        <v>3896</v>
      </c>
      <c r="AR150" s="51" t="s">
        <v>4064</v>
      </c>
      <c r="AS150" s="51" t="s">
        <v>957</v>
      </c>
      <c r="AT150" s="51" t="s">
        <v>4090</v>
      </c>
      <c r="AU150" s="50" t="s">
        <v>950</v>
      </c>
      <c r="AW150" s="52" t="s">
        <v>4095</v>
      </c>
      <c r="AY150" s="52" t="s">
        <v>4097</v>
      </c>
      <c r="BB150" s="202" t="s">
        <v>6024</v>
      </c>
    </row>
    <row r="151" spans="1:54" ht="38.25" x14ac:dyDescent="0.25">
      <c r="A151" s="51" t="s">
        <v>3804</v>
      </c>
      <c r="B151" s="51">
        <v>29</v>
      </c>
      <c r="D151" s="51" t="s">
        <v>3451</v>
      </c>
      <c r="E151" s="54" t="str" cm="1">
        <f t="array" aca="1" ref="E151" ca="1">IF(H151=0,"",HYPERLINK("#"&amp;RIGHT(CELL("dateiname"),LEN(CELL("dateiname"))-FIND("]",CELL("dateiname")))&amp;"!"&amp;CELL("adresse",OFFSET($Q$6,H151-1,0)),"Definition"))</f>
        <v/>
      </c>
      <c r="F151" s="54" t="str" cm="1">
        <f t="array" aca="1" ref="F151" ca="1">IF(I151=0,"",HYPERLINK("#"&amp;RIGHT(CELL("adresse",OFFSET(DMAV_Doku!$B$6,I151-1,0)),LEN(CELL("adresse",OFFSET(DMAV_Doku!$B$6,I151-1,0)))-SEARCH("]",CELL("adresse",OFFSET(DMAV_Doku!$B$6,I151-1,0)))),"ModDoc"))</f>
        <v/>
      </c>
      <c r="G151" s="150" t="str">
        <f t="shared" si="4"/>
        <v>MHG29</v>
      </c>
      <c r="H151" s="150">
        <f t="shared" si="5"/>
        <v>0</v>
      </c>
      <c r="I151" s="150">
        <f>IF(_xlfn.XLOOKUP(G151,Korrelation!$A$4:$A$723,Korrelation!$B$4:$B$723,0,0)=0,0,MATCH(_xlfn.XLOOKUP(G151,Korrelation!$A$4:$A$723,Korrelation!$B$4:$B$723,0,0),DMAV_Doku!$H$6:$H$483,0))</f>
        <v>0</v>
      </c>
      <c r="J151" s="158"/>
      <c r="K151" s="161">
        <v>45444</v>
      </c>
      <c r="L151" s="161"/>
      <c r="M151" s="158"/>
      <c r="N151" s="51" t="s">
        <v>991</v>
      </c>
      <c r="O151" s="51" t="s">
        <v>919</v>
      </c>
      <c r="P151" s="51" t="s">
        <v>15</v>
      </c>
      <c r="Q151" s="51" t="s">
        <v>957</v>
      </c>
      <c r="R151" s="51" t="s">
        <v>216</v>
      </c>
      <c r="S151" s="50" t="s">
        <v>950</v>
      </c>
      <c r="U151" s="52" t="s">
        <v>3449</v>
      </c>
      <c r="V151" s="55"/>
      <c r="W151" s="52" t="s">
        <v>3450</v>
      </c>
      <c r="Y151" s="52" t="s">
        <v>3446</v>
      </c>
      <c r="Z151" s="202" t="s">
        <v>3401</v>
      </c>
      <c r="AB151" s="51" t="s">
        <v>4062</v>
      </c>
      <c r="AC151" s="51" t="s">
        <v>3895</v>
      </c>
      <c r="AD151" s="51" t="s">
        <v>704</v>
      </c>
      <c r="AE151" s="51" t="s">
        <v>957</v>
      </c>
      <c r="AF151" s="51" t="s">
        <v>776</v>
      </c>
      <c r="AG151" s="50" t="s">
        <v>950</v>
      </c>
      <c r="AI151" s="52" t="s">
        <v>4095</v>
      </c>
      <c r="AK151" s="52" t="s">
        <v>4098</v>
      </c>
      <c r="AN151" s="202" t="s">
        <v>7215</v>
      </c>
      <c r="AP151" s="51" t="s">
        <v>4063</v>
      </c>
      <c r="AQ151" s="51" t="s">
        <v>3896</v>
      </c>
      <c r="AR151" s="51" t="s">
        <v>4064</v>
      </c>
      <c r="AS151" s="51" t="s">
        <v>957</v>
      </c>
      <c r="AT151" s="51" t="s">
        <v>4090</v>
      </c>
      <c r="AU151" s="50" t="s">
        <v>950</v>
      </c>
      <c r="AW151" s="52" t="s">
        <v>4095</v>
      </c>
      <c r="AY151" s="52" t="s">
        <v>4099</v>
      </c>
      <c r="BB151" s="202" t="s">
        <v>6025</v>
      </c>
    </row>
    <row r="152" spans="1:54" ht="38.25" x14ac:dyDescent="0.25">
      <c r="A152" s="51" t="s">
        <v>3804</v>
      </c>
      <c r="B152" s="51">
        <v>30</v>
      </c>
      <c r="D152" s="51" t="s">
        <v>3453</v>
      </c>
      <c r="E152" s="54" t="str" cm="1">
        <f t="array" aca="1" ref="E152" ca="1">IF(H152=0,"",HYPERLINK("#"&amp;RIGHT(CELL("dateiname"),LEN(CELL("dateiname"))-FIND("]",CELL("dateiname")))&amp;"!"&amp;CELL("adresse",OFFSET($Q$6,H152-1,0)),"Definition"))</f>
        <v/>
      </c>
      <c r="F152" s="54" t="str" cm="1">
        <f t="array" aca="1" ref="F152" ca="1">IF(I152=0,"",HYPERLINK("#"&amp;RIGHT(CELL("adresse",OFFSET(DMAV_Doku!$B$6,I152-1,0)),LEN(CELL("adresse",OFFSET(DMAV_Doku!$B$6,I152-1,0)))-SEARCH("]",CELL("adresse",OFFSET(DMAV_Doku!$B$6,I152-1,0)))),"ModDoc"))</f>
        <v/>
      </c>
      <c r="G152" s="150" t="str">
        <f t="shared" si="4"/>
        <v>MHG30</v>
      </c>
      <c r="H152" s="150">
        <f t="shared" si="5"/>
        <v>0</v>
      </c>
      <c r="I152" s="150">
        <f>IF(_xlfn.XLOOKUP(G152,Korrelation!$A$4:$A$723,Korrelation!$B$4:$B$723,0,0)=0,0,MATCH(_xlfn.XLOOKUP(G152,Korrelation!$A$4:$A$723,Korrelation!$B$4:$B$723,0,0),DMAV_Doku!$H$6:$H$483,0))</f>
        <v>0</v>
      </c>
      <c r="J152" s="158"/>
      <c r="K152" s="161">
        <v>45444</v>
      </c>
      <c r="L152" s="161"/>
      <c r="M152" s="158"/>
      <c r="N152" s="51" t="s">
        <v>991</v>
      </c>
      <c r="O152" s="51" t="s">
        <v>919</v>
      </c>
      <c r="P152" s="51" t="s">
        <v>15</v>
      </c>
      <c r="Q152" s="51" t="s">
        <v>957</v>
      </c>
      <c r="R152" s="51" t="s">
        <v>216</v>
      </c>
      <c r="S152" s="127" t="s">
        <v>950</v>
      </c>
      <c r="U152" s="52" t="s">
        <v>3449</v>
      </c>
      <c r="V152" s="128"/>
      <c r="W152" s="52" t="s">
        <v>3452</v>
      </c>
      <c r="Y152" s="52" t="s">
        <v>3446</v>
      </c>
      <c r="Z152" s="202" t="s">
        <v>3402</v>
      </c>
      <c r="AB152" s="51" t="s">
        <v>4062</v>
      </c>
      <c r="AC152" s="51" t="s">
        <v>3895</v>
      </c>
      <c r="AD152" s="51" t="s">
        <v>704</v>
      </c>
      <c r="AE152" s="51" t="s">
        <v>957</v>
      </c>
      <c r="AF152" s="51" t="s">
        <v>776</v>
      </c>
      <c r="AG152" s="50" t="s">
        <v>950</v>
      </c>
      <c r="AI152" s="52" t="s">
        <v>4095</v>
      </c>
      <c r="AK152" s="52" t="s">
        <v>4100</v>
      </c>
      <c r="AN152" s="202" t="s">
        <v>7216</v>
      </c>
      <c r="AP152" s="51" t="s">
        <v>4063</v>
      </c>
      <c r="AQ152" s="51" t="s">
        <v>3896</v>
      </c>
      <c r="AR152" s="51" t="s">
        <v>4064</v>
      </c>
      <c r="AS152" s="51" t="s">
        <v>957</v>
      </c>
      <c r="AT152" s="51" t="s">
        <v>4090</v>
      </c>
      <c r="AU152" s="50" t="s">
        <v>950</v>
      </c>
      <c r="AW152" s="52" t="s">
        <v>4095</v>
      </c>
      <c r="AY152" s="52" t="s">
        <v>4101</v>
      </c>
      <c r="BB152" s="202" t="s">
        <v>6026</v>
      </c>
    </row>
    <row r="153" spans="1:54" x14ac:dyDescent="0.25">
      <c r="A153" s="51" t="s">
        <v>3804</v>
      </c>
      <c r="B153" s="51">
        <v>31</v>
      </c>
      <c r="E153" s="54" t="str" cm="1">
        <f t="array" aca="1" ref="E153" ca="1">IF(H153=0,"",HYPERLINK("#"&amp;RIGHT(CELL("dateiname"),LEN(CELL("dateiname"))-FIND("]",CELL("dateiname")))&amp;"!"&amp;CELL("adresse",OFFSET($Q$6,H153-1,0)),"Definition"))</f>
        <v/>
      </c>
      <c r="F153" s="54" t="str" cm="1">
        <f t="array" aca="1" ref="F153" ca="1">IF(I153=0,"",HYPERLINK("#"&amp;RIGHT(CELL("adresse",OFFSET(DMAV_Doku!$B$6,I153-1,0)),LEN(CELL("adresse",OFFSET(DMAV_Doku!$B$6,I153-1,0)))-SEARCH("]",CELL("adresse",OFFSET(DMAV_Doku!$B$6,I153-1,0)))),"ModDoc"))</f>
        <v/>
      </c>
      <c r="G153" s="150" t="str">
        <f t="shared" si="4"/>
        <v>MHG31</v>
      </c>
      <c r="H153" s="150">
        <f t="shared" si="5"/>
        <v>0</v>
      </c>
      <c r="I153" s="150">
        <f>IF(_xlfn.XLOOKUP(G153,Korrelation!$A$4:$A$723,Korrelation!$B$4:$B$723,0,0)=0,0,MATCH(_xlfn.XLOOKUP(G153,Korrelation!$A$4:$A$723,Korrelation!$B$4:$B$723,0,0),DMAV_Doku!$H$6:$H$483,0))</f>
        <v>0</v>
      </c>
      <c r="J153" s="158"/>
      <c r="K153" s="161"/>
      <c r="L153" s="161"/>
      <c r="M153" s="158"/>
      <c r="N153" s="51" t="s">
        <v>991</v>
      </c>
      <c r="O153" s="51" t="s">
        <v>919</v>
      </c>
      <c r="P153" s="51" t="s">
        <v>15</v>
      </c>
      <c r="Q153" s="51" t="s">
        <v>967</v>
      </c>
      <c r="R153" s="51" t="s">
        <v>1005</v>
      </c>
      <c r="S153" s="127"/>
      <c r="U153" s="52" t="s">
        <v>969</v>
      </c>
      <c r="V153" s="128"/>
      <c r="W153" s="52" t="s">
        <v>205</v>
      </c>
      <c r="X153" s="51" t="s">
        <v>970</v>
      </c>
      <c r="AB153" s="51" t="s">
        <v>4062</v>
      </c>
      <c r="AC153" s="51" t="s">
        <v>3895</v>
      </c>
      <c r="AD153" s="51" t="s">
        <v>704</v>
      </c>
      <c r="AE153" s="51" t="s">
        <v>967</v>
      </c>
      <c r="AF153" s="51" t="s">
        <v>4102</v>
      </c>
      <c r="AI153" s="52" t="s">
        <v>1319</v>
      </c>
      <c r="AK153" s="52" t="s">
        <v>771</v>
      </c>
      <c r="AL153" s="51" t="s">
        <v>970</v>
      </c>
      <c r="AP153" s="51" t="s">
        <v>4063</v>
      </c>
      <c r="AQ153" s="51" t="s">
        <v>3896</v>
      </c>
      <c r="AR153" s="51" t="s">
        <v>4064</v>
      </c>
      <c r="AS153" s="51" t="s">
        <v>967</v>
      </c>
      <c r="AT153" s="51" t="s">
        <v>4103</v>
      </c>
      <c r="AW153" s="52" t="s">
        <v>1319</v>
      </c>
      <c r="AY153" s="52" t="s">
        <v>4065</v>
      </c>
      <c r="AZ153" s="51" t="s">
        <v>970</v>
      </c>
    </row>
    <row r="154" spans="1:54" x14ac:dyDescent="0.25">
      <c r="A154" s="51" t="s">
        <v>3804</v>
      </c>
      <c r="B154" s="51">
        <v>32</v>
      </c>
      <c r="E154" s="54" t="str" cm="1">
        <f t="array" aca="1" ref="E154" ca="1">IF(H154=0,"",HYPERLINK("#"&amp;RIGHT(CELL("dateiname"),LEN(CELL("dateiname"))-FIND("]",CELL("dateiname")))&amp;"!"&amp;CELL("adresse",OFFSET($Q$6,H154-1,0)),"Definition"))</f>
        <v/>
      </c>
      <c r="F154" s="54" t="str" cm="1">
        <f t="array" aca="1" ref="F154" ca="1">IF(I154=0,"",HYPERLINK("#"&amp;RIGHT(CELL("adresse",OFFSET(DMAV_Doku!$B$6,I154-1,0)),LEN(CELL("adresse",OFFSET(DMAV_Doku!$B$6,I154-1,0)))-SEARCH("]",CELL("adresse",OFFSET(DMAV_Doku!$B$6,I154-1,0)))),"ModDoc"))</f>
        <v/>
      </c>
      <c r="G154" s="150" t="str">
        <f t="shared" si="4"/>
        <v>MHG32</v>
      </c>
      <c r="H154" s="150">
        <f t="shared" si="5"/>
        <v>0</v>
      </c>
      <c r="I154" s="150">
        <f>IF(_xlfn.XLOOKUP(G154,Korrelation!$A$4:$A$723,Korrelation!$B$4:$B$723,0,0)=0,0,MATCH(_xlfn.XLOOKUP(G154,Korrelation!$A$4:$A$723,Korrelation!$B$4:$B$723,0,0),DMAV_Doku!$H$6:$H$483,0))</f>
        <v>0</v>
      </c>
      <c r="J154" s="158"/>
      <c r="K154" s="161"/>
      <c r="L154" s="161"/>
      <c r="M154" s="158"/>
      <c r="N154" s="51" t="s">
        <v>991</v>
      </c>
      <c r="O154" s="51" t="s">
        <v>919</v>
      </c>
      <c r="P154" s="51" t="s">
        <v>15</v>
      </c>
      <c r="Q154" s="51" t="s">
        <v>967</v>
      </c>
      <c r="R154" s="51" t="s">
        <v>1005</v>
      </c>
      <c r="U154" s="52" t="s">
        <v>1006</v>
      </c>
      <c r="W154" s="52" t="s">
        <v>216</v>
      </c>
      <c r="X154" s="51" t="s">
        <v>972</v>
      </c>
      <c r="AB154" s="51" t="s">
        <v>4062</v>
      </c>
      <c r="AC154" s="51" t="s">
        <v>3895</v>
      </c>
      <c r="AD154" s="51" t="s">
        <v>704</v>
      </c>
      <c r="AE154" s="51" t="s">
        <v>967</v>
      </c>
      <c r="AF154" s="51" t="s">
        <v>4102</v>
      </c>
      <c r="AI154" s="52" t="s">
        <v>4104</v>
      </c>
      <c r="AK154" s="52" t="s">
        <v>776</v>
      </c>
      <c r="AL154" s="51" t="s">
        <v>972</v>
      </c>
      <c r="AP154" s="51" t="s">
        <v>4063</v>
      </c>
      <c r="AQ154" s="51" t="s">
        <v>3896</v>
      </c>
      <c r="AR154" s="51" t="s">
        <v>4064</v>
      </c>
      <c r="AS154" s="51" t="s">
        <v>967</v>
      </c>
      <c r="AT154" s="51" t="s">
        <v>4103</v>
      </c>
      <c r="AW154" s="52" t="s">
        <v>4105</v>
      </c>
      <c r="AY154" s="52" t="s">
        <v>4090</v>
      </c>
      <c r="AZ154" s="51" t="s">
        <v>972</v>
      </c>
    </row>
    <row r="155" spans="1:54" x14ac:dyDescent="0.25">
      <c r="A155" s="51" t="s">
        <v>3804</v>
      </c>
      <c r="B155" s="51">
        <v>33</v>
      </c>
      <c r="E155" s="54" t="str" cm="1">
        <f t="array" aca="1" ref="E155" ca="1">IF(H155=0,"",HYPERLINK("#"&amp;RIGHT(CELL("dateiname"),LEN(CELL("dateiname"))-FIND("]",CELL("dateiname")))&amp;"!"&amp;CELL("adresse",OFFSET($Q$6,H155-1,0)),"Definition"))</f>
        <v/>
      </c>
      <c r="F155" s="54" t="str" cm="1">
        <f t="array" aca="1" ref="F155" ca="1">IF(I155=0,"",HYPERLINK("#"&amp;RIGHT(CELL("adresse",OFFSET(DMAV_Doku!$B$6,I155-1,0)),LEN(CELL("adresse",OFFSET(DMAV_Doku!$B$6,I155-1,0)))-SEARCH("]",CELL("adresse",OFFSET(DMAV_Doku!$B$6,I155-1,0)))),"ModDoc"))</f>
        <v/>
      </c>
      <c r="G155" s="150" t="str">
        <f t="shared" si="4"/>
        <v>MHG33</v>
      </c>
      <c r="H155" s="150">
        <f t="shared" si="5"/>
        <v>0</v>
      </c>
      <c r="I155" s="150">
        <f>IF(_xlfn.XLOOKUP(G155,Korrelation!$A$4:$A$723,Korrelation!$B$4:$B$723,0,0)=0,0,MATCH(_xlfn.XLOOKUP(G155,Korrelation!$A$4:$A$723,Korrelation!$B$4:$B$723,0,0),DMAV_Doku!$H$6:$H$483,0))</f>
        <v>0</v>
      </c>
      <c r="J155" s="158"/>
      <c r="K155" s="161"/>
      <c r="L155" s="161"/>
      <c r="M155" s="158"/>
      <c r="N155" s="51" t="s">
        <v>991</v>
      </c>
      <c r="O155" s="51" t="s">
        <v>919</v>
      </c>
      <c r="P155" s="51" t="s">
        <v>15</v>
      </c>
      <c r="Q155" s="51" t="s">
        <v>967</v>
      </c>
      <c r="R155" s="51" t="s">
        <v>1007</v>
      </c>
      <c r="U155" s="52" t="s">
        <v>974</v>
      </c>
      <c r="W155" s="52" t="s">
        <v>205</v>
      </c>
      <c r="X155" s="51" t="s">
        <v>975</v>
      </c>
      <c r="AB155" s="51" t="s">
        <v>4062</v>
      </c>
      <c r="AC155" s="51" t="s">
        <v>3895</v>
      </c>
      <c r="AD155" s="51" t="s">
        <v>704</v>
      </c>
      <c r="AE155" s="51" t="s">
        <v>967</v>
      </c>
      <c r="AF155" s="51" t="s">
        <v>4106</v>
      </c>
      <c r="AI155" s="52" t="s">
        <v>4074</v>
      </c>
      <c r="AK155" s="52" t="s">
        <v>771</v>
      </c>
      <c r="AL155" s="51" t="s">
        <v>975</v>
      </c>
      <c r="AP155" s="51" t="s">
        <v>4063</v>
      </c>
      <c r="AQ155" s="51" t="s">
        <v>3896</v>
      </c>
      <c r="AR155" s="51" t="s">
        <v>4064</v>
      </c>
      <c r="AS155" s="51" t="s">
        <v>967</v>
      </c>
      <c r="AT155" s="51" t="s">
        <v>4107</v>
      </c>
      <c r="AW155" s="52" t="s">
        <v>4076</v>
      </c>
      <c r="AY155" s="52" t="s">
        <v>4065</v>
      </c>
      <c r="AZ155" s="51" t="s">
        <v>975</v>
      </c>
    </row>
    <row r="156" spans="1:54" x14ac:dyDescent="0.25">
      <c r="A156" s="51" t="s">
        <v>3804</v>
      </c>
      <c r="B156" s="51">
        <v>34</v>
      </c>
      <c r="E156" s="54" t="str" cm="1">
        <f t="array" aca="1" ref="E156" ca="1">IF(H156=0,"",HYPERLINK("#"&amp;RIGHT(CELL("dateiname"),LEN(CELL("dateiname"))-FIND("]",CELL("dateiname")))&amp;"!"&amp;CELL("adresse",OFFSET($Q$6,H156-1,0)),"Definition"))</f>
        <v/>
      </c>
      <c r="F156" s="54" t="str" cm="1">
        <f t="array" aca="1" ref="F156" ca="1">IF(I156=0,"",HYPERLINK("#"&amp;RIGHT(CELL("adresse",OFFSET(DMAV_Doku!$B$6,I156-1,0)),LEN(CELL("adresse",OFFSET(DMAV_Doku!$B$6,I156-1,0)))-SEARCH("]",CELL("adresse",OFFSET(DMAV_Doku!$B$6,I156-1,0)))),"ModDoc"))</f>
        <v/>
      </c>
      <c r="G156" s="150" t="str">
        <f t="shared" si="4"/>
        <v>MHG34</v>
      </c>
      <c r="H156" s="150">
        <f t="shared" si="5"/>
        <v>0</v>
      </c>
      <c r="I156" s="150">
        <f>IF(_xlfn.XLOOKUP(G156,Korrelation!$A$4:$A$723,Korrelation!$B$4:$B$723,0,0)=0,0,MATCH(_xlfn.XLOOKUP(G156,Korrelation!$A$4:$A$723,Korrelation!$B$4:$B$723,0,0),DMAV_Doku!$H$6:$H$483,0))</f>
        <v>0</v>
      </c>
      <c r="J156" s="158"/>
      <c r="K156" s="161"/>
      <c r="L156" s="161"/>
      <c r="M156" s="158"/>
      <c r="N156" s="51" t="s">
        <v>991</v>
      </c>
      <c r="O156" s="51" t="s">
        <v>919</v>
      </c>
      <c r="P156" s="51" t="s">
        <v>15</v>
      </c>
      <c r="Q156" s="51" t="s">
        <v>967</v>
      </c>
      <c r="R156" s="51" t="s">
        <v>1007</v>
      </c>
      <c r="U156" s="52" t="s">
        <v>1008</v>
      </c>
      <c r="W156" s="52" t="s">
        <v>216</v>
      </c>
      <c r="X156" s="51" t="s">
        <v>972</v>
      </c>
      <c r="AB156" s="51" t="s">
        <v>4062</v>
      </c>
      <c r="AC156" s="51" t="s">
        <v>3895</v>
      </c>
      <c r="AD156" s="51" t="s">
        <v>704</v>
      </c>
      <c r="AE156" s="51" t="s">
        <v>967</v>
      </c>
      <c r="AF156" s="51" t="s">
        <v>4106</v>
      </c>
      <c r="AI156" s="52" t="s">
        <v>4108</v>
      </c>
      <c r="AK156" s="52" t="s">
        <v>776</v>
      </c>
      <c r="AL156" s="51" t="s">
        <v>972</v>
      </c>
      <c r="AP156" s="51" t="s">
        <v>4063</v>
      </c>
      <c r="AQ156" s="51" t="s">
        <v>3896</v>
      </c>
      <c r="AR156" s="51" t="s">
        <v>4064</v>
      </c>
      <c r="AS156" s="51" t="s">
        <v>967</v>
      </c>
      <c r="AT156" s="51" t="s">
        <v>4107</v>
      </c>
      <c r="AW156" s="52" t="s">
        <v>4109</v>
      </c>
      <c r="AY156" s="52" t="s">
        <v>4090</v>
      </c>
      <c r="AZ156" s="51" t="s">
        <v>972</v>
      </c>
    </row>
    <row r="157" spans="1:54" x14ac:dyDescent="0.25">
      <c r="A157" s="51" t="s">
        <v>3804</v>
      </c>
      <c r="B157" s="51">
        <v>35</v>
      </c>
      <c r="E157" s="54" t="str" cm="1">
        <f t="array" aca="1" ref="E157" ca="1">IF(H157=0,"",HYPERLINK("#"&amp;RIGHT(CELL("dateiname"),LEN(CELL("dateiname"))-FIND("]",CELL("dateiname")))&amp;"!"&amp;CELL("adresse",OFFSET($Q$6,H157-1,0)),"Definition"))</f>
        <v/>
      </c>
      <c r="F157" s="54" t="str" cm="1">
        <f t="array" aca="1" ref="F157" ca="1">IF(I157=0,"",HYPERLINK("#"&amp;RIGHT(CELL("adresse",OFFSET(DMAV_Doku!$B$6,I157-1,0)),LEN(CELL("adresse",OFFSET(DMAV_Doku!$B$6,I157-1,0)))-SEARCH("]",CELL("adresse",OFFSET(DMAV_Doku!$B$6,I157-1,0)))),"ModDoc"))</f>
        <v/>
      </c>
      <c r="G157" s="150" t="str">
        <f t="shared" si="4"/>
        <v>MHG35</v>
      </c>
      <c r="H157" s="150">
        <f t="shared" si="5"/>
        <v>0</v>
      </c>
      <c r="I157" s="150">
        <f>IF(_xlfn.XLOOKUP(G157,Korrelation!$A$4:$A$723,Korrelation!$B$4:$B$723,0,0)=0,0,MATCH(_xlfn.XLOOKUP(G157,Korrelation!$A$4:$A$723,Korrelation!$B$4:$B$723,0,0),DMAV_Doku!$H$6:$H$483,0))</f>
        <v>0</v>
      </c>
      <c r="J157" s="158"/>
      <c r="K157" s="161"/>
      <c r="L157" s="161"/>
      <c r="M157" s="158"/>
      <c r="N157" s="51" t="s">
        <v>991</v>
      </c>
      <c r="O157" s="51" t="s">
        <v>919</v>
      </c>
      <c r="P157" s="51" t="s">
        <v>15</v>
      </c>
      <c r="Q157" s="51" t="s">
        <v>967</v>
      </c>
      <c r="R157" s="51" t="s">
        <v>1009</v>
      </c>
      <c r="U157" s="52" t="s">
        <v>999</v>
      </c>
      <c r="W157" s="52" t="s">
        <v>216</v>
      </c>
      <c r="X157" s="51" t="s">
        <v>975</v>
      </c>
      <c r="AB157" s="51" t="s">
        <v>4062</v>
      </c>
      <c r="AC157" s="51" t="s">
        <v>3895</v>
      </c>
      <c r="AD157" s="51" t="s">
        <v>704</v>
      </c>
      <c r="AE157" s="51" t="s">
        <v>967</v>
      </c>
      <c r="AF157" s="51" t="s">
        <v>4110</v>
      </c>
      <c r="AI157" s="52" t="s">
        <v>4080</v>
      </c>
      <c r="AK157" s="52" t="s">
        <v>776</v>
      </c>
      <c r="AL157" s="51" t="s">
        <v>975</v>
      </c>
      <c r="AP157" s="51" t="s">
        <v>4063</v>
      </c>
      <c r="AQ157" s="51" t="s">
        <v>3896</v>
      </c>
      <c r="AR157" s="51" t="s">
        <v>4064</v>
      </c>
      <c r="AS157" s="51" t="s">
        <v>967</v>
      </c>
      <c r="AT157" s="51" t="s">
        <v>4111</v>
      </c>
      <c r="AW157" s="52" t="s">
        <v>4082</v>
      </c>
      <c r="AY157" s="52" t="s">
        <v>4090</v>
      </c>
      <c r="AZ157" s="51" t="s">
        <v>975</v>
      </c>
    </row>
    <row r="158" spans="1:54" x14ac:dyDescent="0.25">
      <c r="A158" s="51" t="s">
        <v>3804</v>
      </c>
      <c r="B158" s="51">
        <v>36</v>
      </c>
      <c r="E158" s="54" t="str" cm="1">
        <f t="array" aca="1" ref="E158" ca="1">IF(H158=0,"",HYPERLINK("#"&amp;RIGHT(CELL("dateiname"),LEN(CELL("dateiname"))-FIND("]",CELL("dateiname")))&amp;"!"&amp;CELL("adresse",OFFSET($Q$6,H158-1,0)),"Definition"))</f>
        <v/>
      </c>
      <c r="F158" s="54" t="str" cm="1">
        <f t="array" aca="1" ref="F158" ca="1">IF(I158=0,"",HYPERLINK("#"&amp;RIGHT(CELL("adresse",OFFSET(DMAV_Doku!$B$6,I158-1,0)),LEN(CELL("adresse",OFFSET(DMAV_Doku!$B$6,I158-1,0)))-SEARCH("]",CELL("adresse",OFFSET(DMAV_Doku!$B$6,I158-1,0)))),"ModDoc"))</f>
        <v/>
      </c>
      <c r="G158" s="150" t="str">
        <f t="shared" si="4"/>
        <v>MHG36</v>
      </c>
      <c r="H158" s="150">
        <f t="shared" si="5"/>
        <v>0</v>
      </c>
      <c r="I158" s="150">
        <f>IF(_xlfn.XLOOKUP(G158,Korrelation!$A$4:$A$723,Korrelation!$B$4:$B$723,0,0)=0,0,MATCH(_xlfn.XLOOKUP(G158,Korrelation!$A$4:$A$723,Korrelation!$B$4:$B$723,0,0),DMAV_Doku!$H$6:$H$483,0))</f>
        <v>0</v>
      </c>
      <c r="J158" s="158"/>
      <c r="K158" s="161"/>
      <c r="L158" s="161"/>
      <c r="M158" s="158"/>
      <c r="N158" s="51" t="s">
        <v>991</v>
      </c>
      <c r="O158" s="51" t="s">
        <v>919</v>
      </c>
      <c r="P158" s="51" t="s">
        <v>15</v>
      </c>
      <c r="Q158" s="51" t="s">
        <v>967</v>
      </c>
      <c r="R158" s="51" t="s">
        <v>1009</v>
      </c>
      <c r="U158" s="52" t="s">
        <v>1000</v>
      </c>
      <c r="W158" s="52" t="s">
        <v>216</v>
      </c>
      <c r="X158" s="51" t="s">
        <v>972</v>
      </c>
      <c r="AB158" s="51" t="s">
        <v>4062</v>
      </c>
      <c r="AC158" s="51" t="s">
        <v>3895</v>
      </c>
      <c r="AD158" s="51" t="s">
        <v>704</v>
      </c>
      <c r="AE158" s="51" t="s">
        <v>967</v>
      </c>
      <c r="AF158" s="51" t="s">
        <v>4110</v>
      </c>
      <c r="AI158" s="52" t="s">
        <v>4083</v>
      </c>
      <c r="AK158" s="52" t="s">
        <v>776</v>
      </c>
      <c r="AL158" s="51" t="s">
        <v>972</v>
      </c>
      <c r="AP158" s="51" t="s">
        <v>4063</v>
      </c>
      <c r="AQ158" s="51" t="s">
        <v>3896</v>
      </c>
      <c r="AR158" s="51" t="s">
        <v>4064</v>
      </c>
      <c r="AS158" s="51" t="s">
        <v>967</v>
      </c>
      <c r="AT158" s="51" t="s">
        <v>4111</v>
      </c>
      <c r="AW158" s="52" t="s">
        <v>4084</v>
      </c>
      <c r="AY158" s="52" t="s">
        <v>4090</v>
      </c>
      <c r="AZ158" s="51" t="s">
        <v>972</v>
      </c>
    </row>
    <row r="159" spans="1:54" x14ac:dyDescent="0.25">
      <c r="A159" s="51" t="s">
        <v>3804</v>
      </c>
      <c r="B159" s="51">
        <v>37</v>
      </c>
      <c r="E159" s="54" t="str" cm="1">
        <f t="array" aca="1" ref="E159" ca="1">IF(H159=0,"",HYPERLINK("#"&amp;RIGHT(CELL("dateiname"),LEN(CELL("dateiname"))-FIND("]",CELL("dateiname")))&amp;"!"&amp;CELL("adresse",OFFSET($Q$6,H159-1,0)),"Definition"))</f>
        <v/>
      </c>
      <c r="F159" s="54" t="str" cm="1">
        <f t="array" aca="1" ref="F159" ca="1">IF(I159=0,"",HYPERLINK("#"&amp;RIGHT(CELL("adresse",OFFSET(DMAV_Doku!$B$6,I159-1,0)),LEN(CELL("adresse",OFFSET(DMAV_Doku!$B$6,I159-1,0)))-SEARCH("]",CELL("adresse",OFFSET(DMAV_Doku!$B$6,I159-1,0)))),"ModDoc"))</f>
        <v/>
      </c>
      <c r="G159" s="150" t="str">
        <f t="shared" si="4"/>
        <v>MHG37</v>
      </c>
      <c r="H159" s="150">
        <f t="shared" si="5"/>
        <v>0</v>
      </c>
      <c r="I159" s="150">
        <f>IF(_xlfn.XLOOKUP(G159,Korrelation!$A$4:$A$723,Korrelation!$B$4:$B$723,0,0)=0,0,MATCH(_xlfn.XLOOKUP(G159,Korrelation!$A$4:$A$723,Korrelation!$B$4:$B$723,0,0),DMAV_Doku!$H$6:$H$483,0))</f>
        <v>0</v>
      </c>
      <c r="J159" s="158"/>
      <c r="K159" s="161"/>
      <c r="L159" s="161"/>
      <c r="M159" s="158"/>
      <c r="N159" s="51" t="s">
        <v>991</v>
      </c>
      <c r="O159" s="51" t="s">
        <v>919</v>
      </c>
      <c r="P159" s="51" t="s">
        <v>15</v>
      </c>
      <c r="Q159" s="51" t="s">
        <v>977</v>
      </c>
      <c r="R159" s="51" t="s">
        <v>1010</v>
      </c>
      <c r="U159" s="52" t="s">
        <v>979</v>
      </c>
      <c r="W159" s="52" t="s">
        <v>216</v>
      </c>
      <c r="AB159" s="51" t="s">
        <v>4062</v>
      </c>
      <c r="AC159" s="51" t="s">
        <v>3895</v>
      </c>
      <c r="AD159" s="51" t="s">
        <v>704</v>
      </c>
      <c r="AE159" s="51" t="s">
        <v>977</v>
      </c>
      <c r="AF159" s="51" t="s">
        <v>4112</v>
      </c>
      <c r="AI159" s="52" t="s">
        <v>979</v>
      </c>
      <c r="AK159" s="52" t="s">
        <v>776</v>
      </c>
      <c r="AP159" s="51" t="s">
        <v>4063</v>
      </c>
      <c r="AQ159" s="51" t="s">
        <v>3896</v>
      </c>
      <c r="AR159" s="51" t="s">
        <v>4064</v>
      </c>
      <c r="AS159" s="51" t="s">
        <v>977</v>
      </c>
      <c r="AT159" s="51" t="s">
        <v>4113</v>
      </c>
      <c r="AW159" s="52" t="s">
        <v>979</v>
      </c>
      <c r="AY159" s="52" t="s">
        <v>4090</v>
      </c>
    </row>
    <row r="160" spans="1:54" ht="63.75" x14ac:dyDescent="0.25">
      <c r="A160" s="51" t="s">
        <v>3804</v>
      </c>
      <c r="B160" s="51">
        <v>38</v>
      </c>
      <c r="E160" s="54" t="str" cm="1">
        <f t="array" aca="1" ref="E160" ca="1">IF(H160=0,"",HYPERLINK("#"&amp;RIGHT(CELL("dateiname"),LEN(CELL("dateiname"))-FIND("]",CELL("dateiname")))&amp;"!"&amp;CELL("adresse",OFFSET($Q$6,H160-1,0)),"Definition"))</f>
        <v/>
      </c>
      <c r="F160" s="54" t="str" cm="1">
        <f t="array" aca="1" ref="F160" ca="1">IF(I160=0,"",HYPERLINK("#"&amp;RIGHT(CELL("adresse",OFFSET(DMAV_Doku!$B$6,I160-1,0)),LEN(CELL("adresse",OFFSET(DMAV_Doku!$B$6,I160-1,0)))-SEARCH("]",CELL("adresse",OFFSET(DMAV_Doku!$B$6,I160-1,0)))),"ModDoc"))</f>
        <v/>
      </c>
      <c r="G160" s="150" t="str">
        <f t="shared" si="4"/>
        <v>MHG38</v>
      </c>
      <c r="H160" s="150">
        <f t="shared" si="5"/>
        <v>0</v>
      </c>
      <c r="I160" s="150">
        <f>IF(_xlfn.XLOOKUP(G160,Korrelation!$A$4:$A$723,Korrelation!$B$4:$B$723,0,0)=0,0,MATCH(_xlfn.XLOOKUP(G160,Korrelation!$A$4:$A$723,Korrelation!$B$4:$B$723,0,0),DMAV_Doku!$H$6:$H$483,0))</f>
        <v>0</v>
      </c>
      <c r="J160" s="158"/>
      <c r="K160" s="161"/>
      <c r="L160" s="161"/>
      <c r="M160" s="158"/>
      <c r="N160" s="51" t="s">
        <v>991</v>
      </c>
      <c r="O160" s="51" t="s">
        <v>919</v>
      </c>
      <c r="P160" s="51" t="s">
        <v>15</v>
      </c>
      <c r="Q160" s="51" t="s">
        <v>977</v>
      </c>
      <c r="R160" s="51" t="s">
        <v>1010</v>
      </c>
      <c r="U160" s="52" t="s">
        <v>1002</v>
      </c>
      <c r="W160" s="52" t="s">
        <v>1011</v>
      </c>
      <c r="Z160" s="198" t="s">
        <v>2765</v>
      </c>
      <c r="AB160" s="51" t="s">
        <v>4062</v>
      </c>
      <c r="AC160" s="51" t="s">
        <v>3895</v>
      </c>
      <c r="AD160" s="51" t="s">
        <v>704</v>
      </c>
      <c r="AE160" s="51" t="s">
        <v>977</v>
      </c>
      <c r="AF160" s="51" t="s">
        <v>4112</v>
      </c>
      <c r="AI160" s="52" t="s">
        <v>4114</v>
      </c>
      <c r="AK160" s="52" t="s">
        <v>4115</v>
      </c>
      <c r="AN160" s="259" t="s">
        <v>7261</v>
      </c>
      <c r="AP160" s="51" t="s">
        <v>4063</v>
      </c>
      <c r="AQ160" s="51" t="s">
        <v>3896</v>
      </c>
      <c r="AR160" s="51" t="s">
        <v>4064</v>
      </c>
      <c r="AS160" s="51" t="s">
        <v>977</v>
      </c>
      <c r="AT160" s="51" t="s">
        <v>4113</v>
      </c>
      <c r="AW160" s="52" t="s">
        <v>4087</v>
      </c>
      <c r="AY160" s="52" t="s">
        <v>4116</v>
      </c>
      <c r="BB160" s="199" t="s">
        <v>5982</v>
      </c>
    </row>
    <row r="161" spans="1:54" x14ac:dyDescent="0.25">
      <c r="A161" s="51" t="s">
        <v>3804</v>
      </c>
      <c r="B161" s="51">
        <v>39</v>
      </c>
      <c r="E161" s="54" t="str" cm="1">
        <f t="array" aca="1" ref="E161" ca="1">IF(H161=0,"",HYPERLINK("#"&amp;RIGHT(CELL("dateiname"),LEN(CELL("dateiname"))-FIND("]",CELL("dateiname")))&amp;"!"&amp;CELL("adresse",OFFSET($Q$6,H161-1,0)),"Definition"))</f>
        <v/>
      </c>
      <c r="F161" s="54" t="str" cm="1">
        <f t="array" aca="1" ref="F161" ca="1">IF(I161=0,"",HYPERLINK("#"&amp;RIGHT(CELL("adresse",OFFSET(DMAV_Doku!$B$6,I161-1,0)),LEN(CELL("adresse",OFFSET(DMAV_Doku!$B$6,I161-1,0)))-SEARCH("]",CELL("adresse",OFFSET(DMAV_Doku!$B$6,I161-1,0)))),"ModDoc"))</f>
        <v/>
      </c>
      <c r="G161" s="150" t="str">
        <f t="shared" si="4"/>
        <v>MHG39</v>
      </c>
      <c r="H161" s="150">
        <f t="shared" si="5"/>
        <v>0</v>
      </c>
      <c r="I161" s="150">
        <f>IF(_xlfn.XLOOKUP(G161,Korrelation!$A$4:$A$723,Korrelation!$B$4:$B$723,0,0)=0,0,MATCH(_xlfn.XLOOKUP(G161,Korrelation!$A$4:$A$723,Korrelation!$B$4:$B$723,0,0),DMAV_Doku!$H$6:$H$483,0))</f>
        <v>0</v>
      </c>
      <c r="J161" s="158"/>
      <c r="K161" s="161"/>
      <c r="L161" s="161"/>
      <c r="M161" s="158"/>
      <c r="N161" s="51" t="s">
        <v>991</v>
      </c>
      <c r="O161" s="51" t="s">
        <v>919</v>
      </c>
      <c r="P161" s="51" t="s">
        <v>15</v>
      </c>
      <c r="Q161" s="51" t="s">
        <v>977</v>
      </c>
      <c r="R161" s="51" t="s">
        <v>1010</v>
      </c>
      <c r="U161" s="52" t="s">
        <v>982</v>
      </c>
      <c r="V161" s="55"/>
      <c r="W161" s="52" t="s">
        <v>216</v>
      </c>
      <c r="AB161" s="51" t="s">
        <v>4062</v>
      </c>
      <c r="AC161" s="51" t="s">
        <v>3895</v>
      </c>
      <c r="AD161" s="51" t="s">
        <v>704</v>
      </c>
      <c r="AE161" s="51" t="s">
        <v>977</v>
      </c>
      <c r="AF161" s="51" t="s">
        <v>4112</v>
      </c>
      <c r="AI161" s="52" t="s">
        <v>982</v>
      </c>
      <c r="AK161" s="52" t="s">
        <v>776</v>
      </c>
      <c r="AP161" s="51" t="s">
        <v>4063</v>
      </c>
      <c r="AQ161" s="51" t="s">
        <v>3896</v>
      </c>
      <c r="AR161" s="51" t="s">
        <v>4064</v>
      </c>
      <c r="AS161" s="51" t="s">
        <v>977</v>
      </c>
      <c r="AT161" s="51" t="s">
        <v>4113</v>
      </c>
      <c r="AW161" s="52" t="s">
        <v>982</v>
      </c>
      <c r="AY161" s="52" t="s">
        <v>4090</v>
      </c>
    </row>
    <row r="162" spans="1:54" ht="25.5" x14ac:dyDescent="0.25">
      <c r="A162" s="51" t="s">
        <v>3804</v>
      </c>
      <c r="B162" s="51">
        <v>40</v>
      </c>
      <c r="D162" s="51" t="s">
        <v>3456</v>
      </c>
      <c r="E162" s="54" t="str" cm="1">
        <f t="array" aca="1" ref="E162" ca="1">IF(H162=0,"",HYPERLINK("#"&amp;RIGHT(CELL("dateiname"),LEN(CELL("dateiname"))-FIND("]",CELL("dateiname")))&amp;"!"&amp;CELL("adresse",OFFSET($Q$6,H162-1,0)),"Definition"))</f>
        <v/>
      </c>
      <c r="F162" s="54" t="str" cm="1">
        <f t="array" aca="1" ref="F162" ca="1">IF(I162=0,"",HYPERLINK("#"&amp;RIGHT(CELL("adresse",OFFSET(DMAV_Doku!$B$6,I162-1,0)),LEN(CELL("adresse",OFFSET(DMAV_Doku!$B$6,I162-1,0)))-SEARCH("]",CELL("adresse",OFFSET(DMAV_Doku!$B$6,I162-1,0)))),"ModDoc"))</f>
        <v/>
      </c>
      <c r="G162" s="150" t="str">
        <f t="shared" si="4"/>
        <v>MHG40</v>
      </c>
      <c r="H162" s="150">
        <f t="shared" si="5"/>
        <v>0</v>
      </c>
      <c r="I162" s="150">
        <f>IF(_xlfn.XLOOKUP(G162,Korrelation!$A$4:$A$723,Korrelation!$B$4:$B$723,0,0)=0,0,MATCH(_xlfn.XLOOKUP(G162,Korrelation!$A$4:$A$723,Korrelation!$B$4:$B$723,0,0),DMAV_Doku!$H$6:$H$483,0))</f>
        <v>0</v>
      </c>
      <c r="J162" s="158"/>
      <c r="K162" s="161"/>
      <c r="L162" s="161"/>
      <c r="M162" s="158"/>
      <c r="N162" s="51" t="s">
        <v>991</v>
      </c>
      <c r="O162" s="51" t="s">
        <v>919</v>
      </c>
      <c r="P162" s="51" t="s">
        <v>15</v>
      </c>
      <c r="Q162" s="51" t="s">
        <v>1012</v>
      </c>
      <c r="R162" s="51" t="s">
        <v>1010</v>
      </c>
      <c r="U162" s="52" t="s">
        <v>3454</v>
      </c>
      <c r="W162" s="52" t="s">
        <v>3455</v>
      </c>
      <c r="Z162" s="199" t="s">
        <v>2782</v>
      </c>
      <c r="AB162" s="51" t="s">
        <v>4062</v>
      </c>
      <c r="AC162" s="51" t="s">
        <v>3895</v>
      </c>
      <c r="AD162" s="51" t="s">
        <v>704</v>
      </c>
      <c r="AE162" s="51" t="s">
        <v>1012</v>
      </c>
      <c r="AF162" s="51" t="s">
        <v>4112</v>
      </c>
      <c r="AI162" s="52" t="s">
        <v>3454</v>
      </c>
      <c r="AK162" s="52" t="s">
        <v>4117</v>
      </c>
      <c r="AN162" s="52" t="s">
        <v>7217</v>
      </c>
      <c r="AP162" s="51" t="s">
        <v>4063</v>
      </c>
      <c r="AQ162" s="51" t="s">
        <v>3896</v>
      </c>
      <c r="AR162" s="51" t="s">
        <v>4064</v>
      </c>
      <c r="AS162" s="51" t="s">
        <v>1012</v>
      </c>
      <c r="AT162" s="51" t="s">
        <v>4113</v>
      </c>
      <c r="AW162" s="52" t="s">
        <v>3454</v>
      </c>
      <c r="AY162" s="52" t="s">
        <v>4118</v>
      </c>
      <c r="BB162" s="52" t="s">
        <v>6044</v>
      </c>
    </row>
    <row r="163" spans="1:54" x14ac:dyDescent="0.25">
      <c r="A163" s="51" t="s">
        <v>3804</v>
      </c>
      <c r="B163" s="51">
        <v>41</v>
      </c>
      <c r="E163" s="54" t="str" cm="1">
        <f t="array" aca="1" ref="E163" ca="1">IF(H163=0,"",HYPERLINK("#"&amp;RIGHT(CELL("dateiname"),LEN(CELL("dateiname"))-FIND("]",CELL("dateiname")))&amp;"!"&amp;CELL("adresse",OFFSET($Q$6,H163-1,0)),"Definition"))</f>
        <v/>
      </c>
      <c r="F163" s="54" t="str" cm="1">
        <f t="array" aca="1" ref="F163" ca="1">IF(I163=0,"",HYPERLINK("#"&amp;RIGHT(CELL("adresse",OFFSET(DMAV_Doku!$B$6,I163-1,0)),LEN(CELL("adresse",OFFSET(DMAV_Doku!$B$6,I163-1,0)))-SEARCH("]",CELL("adresse",OFFSET(DMAV_Doku!$B$6,I163-1,0)))),"ModDoc"))</f>
        <v/>
      </c>
      <c r="G163" s="150" t="str">
        <f t="shared" si="4"/>
        <v>MHG41</v>
      </c>
      <c r="H163" s="150">
        <f t="shared" si="5"/>
        <v>0</v>
      </c>
      <c r="I163" s="150">
        <f>IF(_xlfn.XLOOKUP(G163,Korrelation!$A$4:$A$723,Korrelation!$B$4:$B$723,0,0)=0,0,MATCH(_xlfn.XLOOKUP(G163,Korrelation!$A$4:$A$723,Korrelation!$B$4:$B$723,0,0),DMAV_Doku!$H$6:$H$483,0))</f>
        <v>0</v>
      </c>
      <c r="J163" s="158"/>
      <c r="K163" s="161"/>
      <c r="L163" s="161"/>
      <c r="M163" s="158"/>
      <c r="N163" s="51" t="s">
        <v>991</v>
      </c>
      <c r="O163" s="51" t="s">
        <v>919</v>
      </c>
      <c r="P163" s="51" t="s">
        <v>15</v>
      </c>
      <c r="Q163" s="51" t="s">
        <v>967</v>
      </c>
      <c r="R163" s="51" t="s">
        <v>1013</v>
      </c>
      <c r="U163" s="55" t="s">
        <v>207</v>
      </c>
      <c r="V163" s="55"/>
      <c r="W163" s="52" t="s">
        <v>207</v>
      </c>
      <c r="X163" s="51" t="s">
        <v>970</v>
      </c>
      <c r="AB163" s="51" t="s">
        <v>4062</v>
      </c>
      <c r="AC163" s="51" t="s">
        <v>3895</v>
      </c>
      <c r="AD163" s="51" t="s">
        <v>704</v>
      </c>
      <c r="AE163" s="51" t="s">
        <v>967</v>
      </c>
      <c r="AF163" s="51" t="s">
        <v>4119</v>
      </c>
      <c r="AI163" s="52" t="s">
        <v>773</v>
      </c>
      <c r="AK163" s="52" t="s">
        <v>773</v>
      </c>
      <c r="AL163" s="51" t="s">
        <v>970</v>
      </c>
      <c r="AP163" s="51" t="s">
        <v>4063</v>
      </c>
      <c r="AQ163" s="51" t="s">
        <v>3896</v>
      </c>
      <c r="AR163" s="51" t="s">
        <v>4064</v>
      </c>
      <c r="AS163" s="51" t="s">
        <v>967</v>
      </c>
      <c r="AT163" s="51" t="s">
        <v>4120</v>
      </c>
      <c r="AW163" s="52" t="s">
        <v>1809</v>
      </c>
      <c r="AY163" s="52" t="s">
        <v>1809</v>
      </c>
      <c r="AZ163" s="51" t="s">
        <v>970</v>
      </c>
    </row>
    <row r="164" spans="1:54" x14ac:dyDescent="0.25">
      <c r="A164" s="51" t="s">
        <v>3804</v>
      </c>
      <c r="B164" s="51">
        <v>42</v>
      </c>
      <c r="E164" s="54" t="str" cm="1">
        <f t="array" aca="1" ref="E164" ca="1">IF(H164=0,"",HYPERLINK("#"&amp;RIGHT(CELL("dateiname"),LEN(CELL("dateiname"))-FIND("]",CELL("dateiname")))&amp;"!"&amp;CELL("adresse",OFFSET($Q$6,H164-1,0)),"Definition"))</f>
        <v/>
      </c>
      <c r="F164" s="54" t="str" cm="1">
        <f t="array" aca="1" ref="F164" ca="1">IF(I164=0,"",HYPERLINK("#"&amp;RIGHT(CELL("adresse",OFFSET(DMAV_Doku!$B$6,I164-1,0)),LEN(CELL("adresse",OFFSET(DMAV_Doku!$B$6,I164-1,0)))-SEARCH("]",CELL("adresse",OFFSET(DMAV_Doku!$B$6,I164-1,0)))),"ModDoc"))</f>
        <v/>
      </c>
      <c r="G164" s="150" t="str">
        <f t="shared" si="4"/>
        <v>MHG42</v>
      </c>
      <c r="H164" s="150">
        <f t="shared" si="5"/>
        <v>0</v>
      </c>
      <c r="I164" s="150">
        <f>IF(_xlfn.XLOOKUP(G164,Korrelation!$A$4:$A$723,Korrelation!$B$4:$B$723,0,0)=0,0,MATCH(_xlfn.XLOOKUP(G164,Korrelation!$A$4:$A$723,Korrelation!$B$4:$B$723,0,0),DMAV_Doku!$H$6:$H$483,0))</f>
        <v>0</v>
      </c>
      <c r="J164" s="158"/>
      <c r="K164" s="161"/>
      <c r="L164" s="161"/>
      <c r="M164" s="158"/>
      <c r="N164" s="51" t="s">
        <v>991</v>
      </c>
      <c r="O164" s="51" t="s">
        <v>919</v>
      </c>
      <c r="P164" s="51" t="s">
        <v>15</v>
      </c>
      <c r="Q164" s="51" t="s">
        <v>967</v>
      </c>
      <c r="R164" s="51" t="s">
        <v>1013</v>
      </c>
      <c r="U164" s="52" t="s">
        <v>216</v>
      </c>
      <c r="W164" s="52" t="s">
        <v>216</v>
      </c>
      <c r="X164" s="51" t="s">
        <v>1014</v>
      </c>
      <c r="AB164" s="51" t="s">
        <v>4062</v>
      </c>
      <c r="AC164" s="51" t="s">
        <v>3895</v>
      </c>
      <c r="AD164" s="51" t="s">
        <v>704</v>
      </c>
      <c r="AE164" s="51" t="s">
        <v>967</v>
      </c>
      <c r="AF164" s="51" t="s">
        <v>4119</v>
      </c>
      <c r="AI164" s="52" t="s">
        <v>776</v>
      </c>
      <c r="AK164" s="52" t="s">
        <v>776</v>
      </c>
      <c r="AL164" s="51" t="s">
        <v>1014</v>
      </c>
      <c r="AP164" s="51" t="s">
        <v>4063</v>
      </c>
      <c r="AQ164" s="51" t="s">
        <v>3896</v>
      </c>
      <c r="AR164" s="51" t="s">
        <v>4064</v>
      </c>
      <c r="AS164" s="51" t="s">
        <v>967</v>
      </c>
      <c r="AT164" s="51" t="s">
        <v>4120</v>
      </c>
      <c r="AW164" s="52" t="s">
        <v>4090</v>
      </c>
      <c r="AY164" s="52" t="s">
        <v>4090</v>
      </c>
      <c r="AZ164" s="51" t="s">
        <v>1014</v>
      </c>
    </row>
    <row r="165" spans="1:54" ht="25.5" x14ac:dyDescent="0.25">
      <c r="A165" s="51" t="s">
        <v>3804</v>
      </c>
      <c r="B165" s="51">
        <v>43</v>
      </c>
      <c r="D165" s="51" t="s">
        <v>3459</v>
      </c>
      <c r="E165" s="54" t="str" cm="1">
        <f t="array" aca="1" ref="E165" ca="1">IF(H165=0,"",HYPERLINK("#"&amp;RIGHT(CELL("dateiname"),LEN(CELL("dateiname"))-FIND("]",CELL("dateiname")))&amp;"!"&amp;CELL("adresse",OFFSET($Q$6,H165-1,0)),"Definition"))</f>
        <v/>
      </c>
      <c r="F165" s="54" t="str" cm="1">
        <f t="array" aca="1" ref="F165" ca="1">IF(I165=0,"",HYPERLINK("#"&amp;RIGHT(CELL("adresse",OFFSET(DMAV_Doku!$B$6,I165-1,0)),LEN(CELL("adresse",OFFSET(DMAV_Doku!$B$6,I165-1,0)))-SEARCH("]",CELL("adresse",OFFSET(DMAV_Doku!$B$6,I165-1,0)))),"ModDoc"))</f>
        <v/>
      </c>
      <c r="G165" s="150" t="str">
        <f t="shared" si="4"/>
        <v>MHG43</v>
      </c>
      <c r="H165" s="150">
        <f t="shared" si="5"/>
        <v>0</v>
      </c>
      <c r="I165" s="150">
        <f>IF(_xlfn.XLOOKUP(G165,Korrelation!$A$4:$A$723,Korrelation!$B$4:$B$723,0,0)=0,0,MATCH(_xlfn.XLOOKUP(G165,Korrelation!$A$4:$A$723,Korrelation!$B$4:$B$723,0,0),DMAV_Doku!$H$6:$H$483,0))</f>
        <v>0</v>
      </c>
      <c r="J165" s="158"/>
      <c r="K165" s="161"/>
      <c r="L165" s="161"/>
      <c r="M165" s="158"/>
      <c r="N165" s="51" t="s">
        <v>991</v>
      </c>
      <c r="O165" s="51" t="s">
        <v>919</v>
      </c>
      <c r="P165" s="51" t="s">
        <v>15</v>
      </c>
      <c r="Q165" s="51" t="s">
        <v>1015</v>
      </c>
      <c r="R165" s="51" t="s">
        <v>1013</v>
      </c>
      <c r="S165" s="50" t="s">
        <v>950</v>
      </c>
      <c r="U165" s="52" t="s">
        <v>3457</v>
      </c>
      <c r="W165" s="52" t="s">
        <v>3458</v>
      </c>
      <c r="Z165" s="202" t="s">
        <v>2756</v>
      </c>
      <c r="AB165" s="51" t="s">
        <v>4062</v>
      </c>
      <c r="AC165" s="51" t="s">
        <v>3895</v>
      </c>
      <c r="AD165" s="51" t="s">
        <v>704</v>
      </c>
      <c r="AE165" s="51" t="s">
        <v>1015</v>
      </c>
      <c r="AF165" s="51" t="s">
        <v>4119</v>
      </c>
      <c r="AG165" s="50" t="s">
        <v>950</v>
      </c>
      <c r="AI165" s="52" t="s">
        <v>3457</v>
      </c>
      <c r="AK165" s="52" t="s">
        <v>4121</v>
      </c>
      <c r="AN165" s="202" t="s">
        <v>7218</v>
      </c>
      <c r="AP165" s="51" t="s">
        <v>4063</v>
      </c>
      <c r="AQ165" s="51" t="s">
        <v>3896</v>
      </c>
      <c r="AR165" s="51" t="s">
        <v>4064</v>
      </c>
      <c r="AS165" s="51" t="s">
        <v>1015</v>
      </c>
      <c r="AT165" s="51" t="s">
        <v>4120</v>
      </c>
      <c r="AU165" s="50" t="s">
        <v>950</v>
      </c>
      <c r="AW165" s="52" t="s">
        <v>3457</v>
      </c>
      <c r="AY165" s="52" t="s">
        <v>4122</v>
      </c>
      <c r="BB165" s="202" t="s">
        <v>6027</v>
      </c>
    </row>
    <row r="166" spans="1:54" x14ac:dyDescent="0.25">
      <c r="A166" s="51" t="s">
        <v>3804</v>
      </c>
      <c r="B166" s="51">
        <v>44</v>
      </c>
      <c r="E166" s="54" t="str" cm="1">
        <f t="array" aca="1" ref="E166" ca="1">IF(H166=0,"",HYPERLINK("#"&amp;RIGHT(CELL("dateiname"),LEN(CELL("dateiname"))-FIND("]",CELL("dateiname")))&amp;"!"&amp;CELL("adresse",OFFSET($Q$6,H166-1,0)),"Definition"))</f>
        <v/>
      </c>
      <c r="F166" s="54" t="str" cm="1">
        <f t="array" aca="1" ref="F166" ca="1">IF(I166=0,"",HYPERLINK("#"&amp;RIGHT(CELL("adresse",OFFSET(DMAV_Doku!$B$6,I166-1,0)),LEN(CELL("adresse",OFFSET(DMAV_Doku!$B$6,I166-1,0)))-SEARCH("]",CELL("adresse",OFFSET(DMAV_Doku!$B$6,I166-1,0)))),"ModDoc"))</f>
        <v>ModDoc</v>
      </c>
      <c r="G166" s="150" t="str">
        <f t="shared" si="4"/>
        <v>MHG44</v>
      </c>
      <c r="H166" s="150">
        <f t="shared" si="5"/>
        <v>0</v>
      </c>
      <c r="I166" s="150">
        <f>IF(_xlfn.XLOOKUP(G166,Korrelation!$A$4:$A$723,Korrelation!$B$4:$B$723,0,0)=0,0,MATCH(_xlfn.XLOOKUP(G166,Korrelation!$A$4:$A$723,Korrelation!$B$4:$B$723,0,0),DMAV_Doku!$H$6:$H$483,0))</f>
        <v>122</v>
      </c>
      <c r="J166" s="158"/>
      <c r="K166" s="161"/>
      <c r="L166" s="161"/>
      <c r="M166" s="158"/>
      <c r="N166" s="51" t="s">
        <v>991</v>
      </c>
      <c r="O166" s="51" t="s">
        <v>919</v>
      </c>
      <c r="P166" s="51" t="s">
        <v>15</v>
      </c>
      <c r="Q166" s="51" t="s">
        <v>949</v>
      </c>
      <c r="R166" s="51" t="s">
        <v>223</v>
      </c>
      <c r="S166" s="50" t="s">
        <v>950</v>
      </c>
      <c r="U166" s="55" t="s">
        <v>123</v>
      </c>
      <c r="V166" s="55"/>
      <c r="W166" s="52" t="s">
        <v>990</v>
      </c>
      <c r="Y166" s="52" t="s">
        <v>3446</v>
      </c>
      <c r="AB166" s="51" t="s">
        <v>4062</v>
      </c>
      <c r="AC166" s="51" t="s">
        <v>3895</v>
      </c>
      <c r="AD166" s="51" t="s">
        <v>704</v>
      </c>
      <c r="AE166" s="51" t="s">
        <v>949</v>
      </c>
      <c r="AF166" s="51" t="s">
        <v>777</v>
      </c>
      <c r="AG166" s="50" t="s">
        <v>950</v>
      </c>
      <c r="AI166" s="52" t="s">
        <v>123</v>
      </c>
      <c r="AK166" s="52" t="s">
        <v>990</v>
      </c>
      <c r="AP166" s="51" t="s">
        <v>4063</v>
      </c>
      <c r="AQ166" s="51" t="s">
        <v>3896</v>
      </c>
      <c r="AR166" s="51" t="s">
        <v>4064</v>
      </c>
      <c r="AS166" s="51" t="s">
        <v>949</v>
      </c>
      <c r="AT166" s="51" t="s">
        <v>4123</v>
      </c>
      <c r="AU166" s="50" t="s">
        <v>950</v>
      </c>
      <c r="AW166" s="52" t="s">
        <v>1247</v>
      </c>
      <c r="AY166" s="52" t="s">
        <v>990</v>
      </c>
    </row>
    <row r="167" spans="1:54" x14ac:dyDescent="0.25">
      <c r="A167" s="51" t="s">
        <v>3804</v>
      </c>
      <c r="B167" s="51">
        <v>45</v>
      </c>
      <c r="E167" s="54" t="str" cm="1">
        <f t="array" aca="1" ref="E167" ca="1">IF(H167=0,"",HYPERLINK("#"&amp;RIGHT(CELL("dateiname"),LEN(CELL("dateiname"))-FIND("]",CELL("dateiname")))&amp;"!"&amp;CELL("adresse",OFFSET($Q$6,H167-1,0)),"Definition"))</f>
        <v/>
      </c>
      <c r="F167" s="54" t="str" cm="1">
        <f t="array" aca="1" ref="F167" ca="1">IF(I167=0,"",HYPERLINK("#"&amp;RIGHT(CELL("adresse",OFFSET(DMAV_Doku!$B$6,I167-1,0)),LEN(CELL("adresse",OFFSET(DMAV_Doku!$B$6,I167-1,0)))-SEARCH("]",CELL("adresse",OFFSET(DMAV_Doku!$B$6,I167-1,0)))),"ModDoc"))</f>
        <v/>
      </c>
      <c r="G167" s="150" t="str">
        <f t="shared" si="4"/>
        <v>MHG45</v>
      </c>
      <c r="H167" s="150">
        <f t="shared" si="5"/>
        <v>0</v>
      </c>
      <c r="I167" s="150">
        <f>IF(_xlfn.XLOOKUP(G167,Korrelation!$A$4:$A$723,Korrelation!$B$4:$B$723,0,0)=0,0,MATCH(_xlfn.XLOOKUP(G167,Korrelation!$A$4:$A$723,Korrelation!$B$4:$B$723,0,0),DMAV_Doku!$H$6:$H$483,0))</f>
        <v>0</v>
      </c>
      <c r="J167" s="158"/>
      <c r="K167" s="161"/>
      <c r="L167" s="161"/>
      <c r="M167" s="158"/>
      <c r="N167" s="51" t="s">
        <v>991</v>
      </c>
      <c r="O167" s="51" t="s">
        <v>919</v>
      </c>
      <c r="P167" s="51" t="s">
        <v>15</v>
      </c>
      <c r="Q167" s="51" t="s">
        <v>967</v>
      </c>
      <c r="R167" s="51" t="s">
        <v>1016</v>
      </c>
      <c r="U167" s="52" t="s">
        <v>969</v>
      </c>
      <c r="W167" s="52" t="s">
        <v>205</v>
      </c>
      <c r="X167" s="51" t="s">
        <v>970</v>
      </c>
      <c r="AB167" s="51" t="s">
        <v>4062</v>
      </c>
      <c r="AC167" s="51" t="s">
        <v>3895</v>
      </c>
      <c r="AD167" s="51" t="s">
        <v>704</v>
      </c>
      <c r="AE167" s="51" t="s">
        <v>967</v>
      </c>
      <c r="AF167" s="51" t="s">
        <v>4124</v>
      </c>
      <c r="AI167" s="52" t="s">
        <v>1319</v>
      </c>
      <c r="AK167" s="52" t="s">
        <v>771</v>
      </c>
      <c r="AL167" s="51" t="s">
        <v>970</v>
      </c>
      <c r="AP167" s="51" t="s">
        <v>4063</v>
      </c>
      <c r="AQ167" s="51" t="s">
        <v>3896</v>
      </c>
      <c r="AR167" s="51" t="s">
        <v>4064</v>
      </c>
      <c r="AS167" s="51" t="s">
        <v>967</v>
      </c>
      <c r="AT167" s="51" t="s">
        <v>4125</v>
      </c>
      <c r="AW167" s="52" t="s">
        <v>1319</v>
      </c>
      <c r="AY167" s="52" t="s">
        <v>4065</v>
      </c>
      <c r="AZ167" s="51" t="s">
        <v>970</v>
      </c>
    </row>
    <row r="168" spans="1:54" x14ac:dyDescent="0.25">
      <c r="A168" s="51" t="s">
        <v>3804</v>
      </c>
      <c r="B168" s="51">
        <v>46</v>
      </c>
      <c r="E168" s="54" t="str" cm="1">
        <f t="array" aca="1" ref="E168" ca="1">IF(H168=0,"",HYPERLINK("#"&amp;RIGHT(CELL("dateiname"),LEN(CELL("dateiname"))-FIND("]",CELL("dateiname")))&amp;"!"&amp;CELL("adresse",OFFSET($Q$6,H168-1,0)),"Definition"))</f>
        <v/>
      </c>
      <c r="F168" s="54" t="str" cm="1">
        <f t="array" aca="1" ref="F168" ca="1">IF(I168=0,"",HYPERLINK("#"&amp;RIGHT(CELL("adresse",OFFSET(DMAV_Doku!$B$6,I168-1,0)),LEN(CELL("adresse",OFFSET(DMAV_Doku!$B$6,I168-1,0)))-SEARCH("]",CELL("adresse",OFFSET(DMAV_Doku!$B$6,I168-1,0)))),"ModDoc"))</f>
        <v/>
      </c>
      <c r="G168" s="150" t="str">
        <f t="shared" si="4"/>
        <v>MHG46</v>
      </c>
      <c r="H168" s="150">
        <f t="shared" si="5"/>
        <v>0</v>
      </c>
      <c r="I168" s="150">
        <f>IF(_xlfn.XLOOKUP(G168,Korrelation!$A$4:$A$723,Korrelation!$B$4:$B$723,0,0)=0,0,MATCH(_xlfn.XLOOKUP(G168,Korrelation!$A$4:$A$723,Korrelation!$B$4:$B$723,0,0),DMAV_Doku!$H$6:$H$483,0))</f>
        <v>0</v>
      </c>
      <c r="J168" s="158"/>
      <c r="K168" s="161"/>
      <c r="L168" s="161"/>
      <c r="M168" s="158"/>
      <c r="N168" s="51" t="s">
        <v>991</v>
      </c>
      <c r="O168" s="51" t="s">
        <v>919</v>
      </c>
      <c r="P168" s="51" t="s">
        <v>15</v>
      </c>
      <c r="Q168" s="51" t="s">
        <v>967</v>
      </c>
      <c r="R168" s="51" t="s">
        <v>1016</v>
      </c>
      <c r="U168" s="52" t="s">
        <v>1017</v>
      </c>
      <c r="W168" s="52" t="s">
        <v>223</v>
      </c>
      <c r="X168" s="51" t="s">
        <v>972</v>
      </c>
      <c r="AB168" s="51" t="s">
        <v>4062</v>
      </c>
      <c r="AC168" s="51" t="s">
        <v>3895</v>
      </c>
      <c r="AD168" s="51" t="s">
        <v>704</v>
      </c>
      <c r="AE168" s="51" t="s">
        <v>967</v>
      </c>
      <c r="AF168" s="51" t="s">
        <v>4124</v>
      </c>
      <c r="AI168" s="52" t="s">
        <v>4126</v>
      </c>
      <c r="AK168" s="52" t="s">
        <v>777</v>
      </c>
      <c r="AL168" s="51" t="s">
        <v>972</v>
      </c>
      <c r="AP168" s="51" t="s">
        <v>4063</v>
      </c>
      <c r="AQ168" s="51" t="s">
        <v>3896</v>
      </c>
      <c r="AR168" s="51" t="s">
        <v>4064</v>
      </c>
      <c r="AS168" s="51" t="s">
        <v>967</v>
      </c>
      <c r="AT168" s="51" t="s">
        <v>4125</v>
      </c>
      <c r="AW168" s="52" t="s">
        <v>4127</v>
      </c>
      <c r="AY168" s="52" t="s">
        <v>4123</v>
      </c>
      <c r="AZ168" s="51" t="s">
        <v>972</v>
      </c>
    </row>
    <row r="169" spans="1:54" x14ac:dyDescent="0.25">
      <c r="A169" s="51" t="s">
        <v>3804</v>
      </c>
      <c r="B169" s="51">
        <v>47</v>
      </c>
      <c r="E169" s="54" t="str" cm="1">
        <f t="array" aca="1" ref="E169" ca="1">IF(H169=0,"",HYPERLINK("#"&amp;RIGHT(CELL("dateiname"),LEN(CELL("dateiname"))-FIND("]",CELL("dateiname")))&amp;"!"&amp;CELL("adresse",OFFSET($Q$6,H169-1,0)),"Definition"))</f>
        <v/>
      </c>
      <c r="F169" s="54" t="str" cm="1">
        <f t="array" aca="1" ref="F169" ca="1">IF(I169=0,"",HYPERLINK("#"&amp;RIGHT(CELL("adresse",OFFSET(DMAV_Doku!$B$6,I169-1,0)),LEN(CELL("adresse",OFFSET(DMAV_Doku!$B$6,I169-1,0)))-SEARCH("]",CELL("adresse",OFFSET(DMAV_Doku!$B$6,I169-1,0)))),"ModDoc"))</f>
        <v/>
      </c>
      <c r="G169" s="150" t="str">
        <f t="shared" si="4"/>
        <v>MHG47</v>
      </c>
      <c r="H169" s="150">
        <f t="shared" si="5"/>
        <v>0</v>
      </c>
      <c r="I169" s="150">
        <f>IF(_xlfn.XLOOKUP(G169,Korrelation!$A$4:$A$723,Korrelation!$B$4:$B$723,0,0)=0,0,MATCH(_xlfn.XLOOKUP(G169,Korrelation!$A$4:$A$723,Korrelation!$B$4:$B$723,0,0),DMAV_Doku!$H$6:$H$483,0))</f>
        <v>0</v>
      </c>
      <c r="J169" s="158"/>
      <c r="K169" s="161"/>
      <c r="L169" s="161"/>
      <c r="M169" s="158"/>
      <c r="N169" s="51" t="s">
        <v>991</v>
      </c>
      <c r="O169" s="51" t="s">
        <v>919</v>
      </c>
      <c r="P169" s="51" t="s">
        <v>15</v>
      </c>
      <c r="Q169" s="51" t="s">
        <v>967</v>
      </c>
      <c r="R169" s="51" t="s">
        <v>1018</v>
      </c>
      <c r="U169" s="52" t="s">
        <v>974</v>
      </c>
      <c r="W169" s="52" t="s">
        <v>205</v>
      </c>
      <c r="X169" s="51" t="s">
        <v>975</v>
      </c>
      <c r="AB169" s="51" t="s">
        <v>4062</v>
      </c>
      <c r="AC169" s="51" t="s">
        <v>3895</v>
      </c>
      <c r="AD169" s="51" t="s">
        <v>704</v>
      </c>
      <c r="AE169" s="51" t="s">
        <v>967</v>
      </c>
      <c r="AF169" s="51" t="s">
        <v>4128</v>
      </c>
      <c r="AI169" s="52" t="s">
        <v>4074</v>
      </c>
      <c r="AK169" s="52" t="s">
        <v>771</v>
      </c>
      <c r="AL169" s="51" t="s">
        <v>975</v>
      </c>
      <c r="AP169" s="51" t="s">
        <v>4063</v>
      </c>
      <c r="AQ169" s="51" t="s">
        <v>3896</v>
      </c>
      <c r="AR169" s="51" t="s">
        <v>4064</v>
      </c>
      <c r="AS169" s="51" t="s">
        <v>967</v>
      </c>
      <c r="AT169" s="51" t="s">
        <v>4129</v>
      </c>
      <c r="AW169" s="52" t="s">
        <v>4076</v>
      </c>
      <c r="AY169" s="52" t="s">
        <v>4065</v>
      </c>
      <c r="AZ169" s="51" t="s">
        <v>975</v>
      </c>
    </row>
    <row r="170" spans="1:54" x14ac:dyDescent="0.25">
      <c r="A170" s="51" t="s">
        <v>3804</v>
      </c>
      <c r="B170" s="51">
        <v>48</v>
      </c>
      <c r="E170" s="54" t="str" cm="1">
        <f t="array" aca="1" ref="E170" ca="1">IF(H170=0,"",HYPERLINK("#"&amp;RIGHT(CELL("dateiname"),LEN(CELL("dateiname"))-FIND("]",CELL("dateiname")))&amp;"!"&amp;CELL("adresse",OFFSET($Q$6,H170-1,0)),"Definition"))</f>
        <v/>
      </c>
      <c r="F170" s="54" t="str" cm="1">
        <f t="array" aca="1" ref="F170" ca="1">IF(I170=0,"",HYPERLINK("#"&amp;RIGHT(CELL("adresse",OFFSET(DMAV_Doku!$B$6,I170-1,0)),LEN(CELL("adresse",OFFSET(DMAV_Doku!$B$6,I170-1,0)))-SEARCH("]",CELL("adresse",OFFSET(DMAV_Doku!$B$6,I170-1,0)))),"ModDoc"))</f>
        <v/>
      </c>
      <c r="G170" s="150" t="str">
        <f t="shared" si="4"/>
        <v>MHG48</v>
      </c>
      <c r="H170" s="150">
        <f t="shared" si="5"/>
        <v>0</v>
      </c>
      <c r="I170" s="150">
        <f>IF(_xlfn.XLOOKUP(G170,Korrelation!$A$4:$A$723,Korrelation!$B$4:$B$723,0,0)=0,0,MATCH(_xlfn.XLOOKUP(G170,Korrelation!$A$4:$A$723,Korrelation!$B$4:$B$723,0,0),DMAV_Doku!$H$6:$H$483,0))</f>
        <v>0</v>
      </c>
      <c r="J170" s="158"/>
      <c r="K170" s="161"/>
      <c r="L170" s="161"/>
      <c r="M170" s="158"/>
      <c r="N170" s="51" t="s">
        <v>991</v>
      </c>
      <c r="O170" s="51" t="s">
        <v>919</v>
      </c>
      <c r="P170" s="51" t="s">
        <v>15</v>
      </c>
      <c r="Q170" s="51" t="s">
        <v>967</v>
      </c>
      <c r="R170" s="51" t="s">
        <v>1018</v>
      </c>
      <c r="U170" s="52" t="s">
        <v>1019</v>
      </c>
      <c r="W170" s="52" t="s">
        <v>223</v>
      </c>
      <c r="X170" s="51" t="s">
        <v>972</v>
      </c>
      <c r="AB170" s="51" t="s">
        <v>4062</v>
      </c>
      <c r="AC170" s="51" t="s">
        <v>3895</v>
      </c>
      <c r="AD170" s="51" t="s">
        <v>704</v>
      </c>
      <c r="AE170" s="51" t="s">
        <v>967</v>
      </c>
      <c r="AF170" s="51" t="s">
        <v>4128</v>
      </c>
      <c r="AI170" s="52" t="s">
        <v>4130</v>
      </c>
      <c r="AK170" s="52" t="s">
        <v>777</v>
      </c>
      <c r="AL170" s="51" t="s">
        <v>972</v>
      </c>
      <c r="AP170" s="51" t="s">
        <v>4063</v>
      </c>
      <c r="AQ170" s="51" t="s">
        <v>3896</v>
      </c>
      <c r="AR170" s="51" t="s">
        <v>4064</v>
      </c>
      <c r="AS170" s="51" t="s">
        <v>967</v>
      </c>
      <c r="AT170" s="51" t="s">
        <v>4129</v>
      </c>
      <c r="AW170" s="52" t="s">
        <v>4131</v>
      </c>
      <c r="AY170" s="52" t="s">
        <v>4123</v>
      </c>
      <c r="AZ170" s="51" t="s">
        <v>972</v>
      </c>
    </row>
    <row r="171" spans="1:54" x14ac:dyDescent="0.25">
      <c r="A171" s="51" t="s">
        <v>3804</v>
      </c>
      <c r="B171" s="51">
        <v>49</v>
      </c>
      <c r="E171" s="54" t="str" cm="1">
        <f t="array" aca="1" ref="E171" ca="1">IF(H171=0,"",HYPERLINK("#"&amp;RIGHT(CELL("dateiname"),LEN(CELL("dateiname"))-FIND("]",CELL("dateiname")))&amp;"!"&amp;CELL("adresse",OFFSET($Q$6,H171-1,0)),"Definition"))</f>
        <v/>
      </c>
      <c r="F171" s="54" t="str" cm="1">
        <f t="array" aca="1" ref="F171" ca="1">IF(I171=0,"",HYPERLINK("#"&amp;RIGHT(CELL("adresse",OFFSET(DMAV_Doku!$B$6,I171-1,0)),LEN(CELL("adresse",OFFSET(DMAV_Doku!$B$6,I171-1,0)))-SEARCH("]",CELL("adresse",OFFSET(DMAV_Doku!$B$6,I171-1,0)))),"ModDoc"))</f>
        <v/>
      </c>
      <c r="G171" s="150" t="str">
        <f t="shared" si="4"/>
        <v>MHG49</v>
      </c>
      <c r="H171" s="150">
        <f t="shared" si="5"/>
        <v>0</v>
      </c>
      <c r="I171" s="150">
        <f>IF(_xlfn.XLOOKUP(G171,Korrelation!$A$4:$A$723,Korrelation!$B$4:$B$723,0,0)=0,0,MATCH(_xlfn.XLOOKUP(G171,Korrelation!$A$4:$A$723,Korrelation!$B$4:$B$723,0,0),DMAV_Doku!$H$6:$H$483,0))</f>
        <v>0</v>
      </c>
      <c r="J171" s="158"/>
      <c r="K171" s="161"/>
      <c r="L171" s="161"/>
      <c r="M171" s="158"/>
      <c r="N171" s="51" t="s">
        <v>991</v>
      </c>
      <c r="O171" s="51" t="s">
        <v>919</v>
      </c>
      <c r="P171" s="51" t="s">
        <v>15</v>
      </c>
      <c r="Q171" s="51" t="s">
        <v>967</v>
      </c>
      <c r="R171" s="51" t="s">
        <v>1020</v>
      </c>
      <c r="U171" s="52" t="s">
        <v>207</v>
      </c>
      <c r="W171" s="52" t="s">
        <v>207</v>
      </c>
      <c r="X171" s="51" t="s">
        <v>970</v>
      </c>
      <c r="AB171" s="51" t="s">
        <v>4062</v>
      </c>
      <c r="AC171" s="51" t="s">
        <v>3895</v>
      </c>
      <c r="AD171" s="51" t="s">
        <v>704</v>
      </c>
      <c r="AE171" s="51" t="s">
        <v>967</v>
      </c>
      <c r="AF171" s="51" t="s">
        <v>4132</v>
      </c>
      <c r="AI171" s="52" t="s">
        <v>773</v>
      </c>
      <c r="AK171" s="52" t="s">
        <v>773</v>
      </c>
      <c r="AL171" s="51" t="s">
        <v>970</v>
      </c>
      <c r="AP171" s="51" t="s">
        <v>4063</v>
      </c>
      <c r="AQ171" s="51" t="s">
        <v>3896</v>
      </c>
      <c r="AR171" s="51" t="s">
        <v>4064</v>
      </c>
      <c r="AS171" s="51" t="s">
        <v>967</v>
      </c>
      <c r="AT171" s="51" t="s">
        <v>4133</v>
      </c>
      <c r="AW171" s="52" t="s">
        <v>1809</v>
      </c>
      <c r="AY171" s="52" t="s">
        <v>1809</v>
      </c>
      <c r="AZ171" s="51" t="s">
        <v>970</v>
      </c>
    </row>
    <row r="172" spans="1:54" x14ac:dyDescent="0.25">
      <c r="A172" s="51" t="s">
        <v>3804</v>
      </c>
      <c r="B172" s="51">
        <v>50</v>
      </c>
      <c r="E172" s="54" t="str" cm="1">
        <f t="array" aca="1" ref="E172" ca="1">IF(H172=0,"",HYPERLINK("#"&amp;RIGHT(CELL("dateiname"),LEN(CELL("dateiname"))-FIND("]",CELL("dateiname")))&amp;"!"&amp;CELL("adresse",OFFSET($Q$6,H172-1,0)),"Definition"))</f>
        <v/>
      </c>
      <c r="F172" s="54" t="str" cm="1">
        <f t="array" aca="1" ref="F172" ca="1">IF(I172=0,"",HYPERLINK("#"&amp;RIGHT(CELL("adresse",OFFSET(DMAV_Doku!$B$6,I172-1,0)),LEN(CELL("adresse",OFFSET(DMAV_Doku!$B$6,I172-1,0)))-SEARCH("]",CELL("adresse",OFFSET(DMAV_Doku!$B$6,I172-1,0)))),"ModDoc"))</f>
        <v/>
      </c>
      <c r="G172" s="150" t="str">
        <f t="shared" si="4"/>
        <v>MHG50</v>
      </c>
      <c r="H172" s="150">
        <f t="shared" si="5"/>
        <v>0</v>
      </c>
      <c r="I172" s="150">
        <f>IF(_xlfn.XLOOKUP(G172,Korrelation!$A$4:$A$723,Korrelation!$B$4:$B$723,0,0)=0,0,MATCH(_xlfn.XLOOKUP(G172,Korrelation!$A$4:$A$723,Korrelation!$B$4:$B$723,0,0),DMAV_Doku!$H$6:$H$483,0))</f>
        <v>0</v>
      </c>
      <c r="J172" s="158"/>
      <c r="K172" s="161"/>
      <c r="L172" s="161"/>
      <c r="M172" s="158"/>
      <c r="N172" s="51" t="s">
        <v>991</v>
      </c>
      <c r="O172" s="51" t="s">
        <v>919</v>
      </c>
      <c r="P172" s="51" t="s">
        <v>15</v>
      </c>
      <c r="Q172" s="51" t="s">
        <v>967</v>
      </c>
      <c r="R172" s="51" t="s">
        <v>1020</v>
      </c>
      <c r="U172" s="52" t="s">
        <v>1021</v>
      </c>
      <c r="W172" s="52" t="s">
        <v>223</v>
      </c>
      <c r="X172" s="51" t="s">
        <v>972</v>
      </c>
      <c r="AB172" s="51" t="s">
        <v>4062</v>
      </c>
      <c r="AC172" s="51" t="s">
        <v>3895</v>
      </c>
      <c r="AD172" s="51" t="s">
        <v>704</v>
      </c>
      <c r="AE172" s="51" t="s">
        <v>967</v>
      </c>
      <c r="AF172" s="51" t="s">
        <v>4132</v>
      </c>
      <c r="AI172" s="52" t="s">
        <v>777</v>
      </c>
      <c r="AK172" s="52" t="s">
        <v>777</v>
      </c>
      <c r="AL172" s="51" t="s">
        <v>972</v>
      </c>
      <c r="AP172" s="51" t="s">
        <v>4063</v>
      </c>
      <c r="AQ172" s="51" t="s">
        <v>3896</v>
      </c>
      <c r="AR172" s="51" t="s">
        <v>4064</v>
      </c>
      <c r="AS172" s="51" t="s">
        <v>967</v>
      </c>
      <c r="AT172" s="51" t="s">
        <v>4133</v>
      </c>
      <c r="AW172" s="52" t="s">
        <v>4123</v>
      </c>
      <c r="AY172" s="52" t="s">
        <v>4123</v>
      </c>
      <c r="AZ172" s="51" t="s">
        <v>972</v>
      </c>
    </row>
    <row r="173" spans="1:54" x14ac:dyDescent="0.25">
      <c r="A173" s="51" t="s">
        <v>3804</v>
      </c>
      <c r="B173" s="51">
        <v>51</v>
      </c>
      <c r="E173" s="54" t="str" cm="1">
        <f t="array" aca="1" ref="E173" ca="1">IF(H173=0,"",HYPERLINK("#"&amp;RIGHT(CELL("dateiname"),LEN(CELL("dateiname"))-FIND("]",CELL("dateiname")))&amp;"!"&amp;CELL("adresse",OFFSET($Q$6,H173-1,0)),"Definition"))</f>
        <v/>
      </c>
      <c r="F173" s="54" t="str" cm="1">
        <f t="array" aca="1" ref="F173" ca="1">IF(I173=0,"",HYPERLINK("#"&amp;RIGHT(CELL("adresse",OFFSET(DMAV_Doku!$B$6,I173-1,0)),LEN(CELL("adresse",OFFSET(DMAV_Doku!$B$6,I173-1,0)))-SEARCH("]",CELL("adresse",OFFSET(DMAV_Doku!$B$6,I173-1,0)))),"ModDoc"))</f>
        <v/>
      </c>
      <c r="G173" s="150" t="str">
        <f t="shared" si="4"/>
        <v>MHG51</v>
      </c>
      <c r="H173" s="150">
        <f t="shared" si="5"/>
        <v>0</v>
      </c>
      <c r="I173" s="150">
        <f>IF(_xlfn.XLOOKUP(G173,Korrelation!$A$4:$A$723,Korrelation!$B$4:$B$723,0,0)=0,0,MATCH(_xlfn.XLOOKUP(G173,Korrelation!$A$4:$A$723,Korrelation!$B$4:$B$723,0,0),DMAV_Doku!$H$6:$H$483,0))</f>
        <v>0</v>
      </c>
      <c r="J173" s="158"/>
      <c r="K173" s="161"/>
      <c r="L173" s="161"/>
      <c r="M173" s="158"/>
      <c r="N173" s="51" t="s">
        <v>991</v>
      </c>
      <c r="O173" s="51" t="s">
        <v>919</v>
      </c>
      <c r="P173" s="51" t="s">
        <v>15</v>
      </c>
      <c r="Q173" s="51" t="s">
        <v>967</v>
      </c>
      <c r="R173" s="51" t="s">
        <v>1022</v>
      </c>
      <c r="U173" s="52" t="s">
        <v>999</v>
      </c>
      <c r="W173" s="133" t="s">
        <v>223</v>
      </c>
      <c r="X173" s="51" t="s">
        <v>975</v>
      </c>
      <c r="AB173" s="51" t="s">
        <v>4062</v>
      </c>
      <c r="AC173" s="51" t="s">
        <v>3895</v>
      </c>
      <c r="AD173" s="51" t="s">
        <v>704</v>
      </c>
      <c r="AE173" s="51" t="s">
        <v>967</v>
      </c>
      <c r="AF173" s="51" t="s">
        <v>4134</v>
      </c>
      <c r="AI173" s="52" t="s">
        <v>4080</v>
      </c>
      <c r="AK173" s="52" t="s">
        <v>777</v>
      </c>
      <c r="AL173" s="51" t="s">
        <v>975</v>
      </c>
      <c r="AP173" s="51" t="s">
        <v>4063</v>
      </c>
      <c r="AQ173" s="51" t="s">
        <v>3896</v>
      </c>
      <c r="AR173" s="51" t="s">
        <v>4064</v>
      </c>
      <c r="AS173" s="51" t="s">
        <v>967</v>
      </c>
      <c r="AT173" s="51" t="s">
        <v>4135</v>
      </c>
      <c r="AW173" s="52" t="s">
        <v>4082</v>
      </c>
      <c r="AY173" s="52" t="s">
        <v>4123</v>
      </c>
      <c r="AZ173" s="51" t="s">
        <v>975</v>
      </c>
    </row>
    <row r="174" spans="1:54" x14ac:dyDescent="0.25">
      <c r="A174" s="51" t="s">
        <v>3804</v>
      </c>
      <c r="B174" s="51">
        <v>52</v>
      </c>
      <c r="E174" s="54" t="str" cm="1">
        <f t="array" aca="1" ref="E174" ca="1">IF(H174=0,"",HYPERLINK("#"&amp;RIGHT(CELL("dateiname"),LEN(CELL("dateiname"))-FIND("]",CELL("dateiname")))&amp;"!"&amp;CELL("adresse",OFFSET($Q$6,H174-1,0)),"Definition"))</f>
        <v/>
      </c>
      <c r="F174" s="54" t="str" cm="1">
        <f t="array" aca="1" ref="F174" ca="1">IF(I174=0,"",HYPERLINK("#"&amp;RIGHT(CELL("adresse",OFFSET(DMAV_Doku!$B$6,I174-1,0)),LEN(CELL("adresse",OFFSET(DMAV_Doku!$B$6,I174-1,0)))-SEARCH("]",CELL("adresse",OFFSET(DMAV_Doku!$B$6,I174-1,0)))),"ModDoc"))</f>
        <v/>
      </c>
      <c r="G174" s="150" t="str">
        <f t="shared" si="4"/>
        <v>MHG52</v>
      </c>
      <c r="H174" s="150">
        <f t="shared" si="5"/>
        <v>0</v>
      </c>
      <c r="I174" s="150">
        <f>IF(_xlfn.XLOOKUP(G174,Korrelation!$A$4:$A$723,Korrelation!$B$4:$B$723,0,0)=0,0,MATCH(_xlfn.XLOOKUP(G174,Korrelation!$A$4:$A$723,Korrelation!$B$4:$B$723,0,0),DMAV_Doku!$H$6:$H$483,0))</f>
        <v>0</v>
      </c>
      <c r="J174" s="158"/>
      <c r="K174" s="161"/>
      <c r="L174" s="161"/>
      <c r="M174" s="158"/>
      <c r="N174" s="51" t="s">
        <v>991</v>
      </c>
      <c r="O174" s="51" t="s">
        <v>919</v>
      </c>
      <c r="P174" s="51" t="s">
        <v>15</v>
      </c>
      <c r="Q174" s="51" t="s">
        <v>967</v>
      </c>
      <c r="R174" s="51" t="s">
        <v>1022</v>
      </c>
      <c r="U174" s="52" t="s">
        <v>1000</v>
      </c>
      <c r="W174" s="52" t="s">
        <v>223</v>
      </c>
      <c r="X174" s="51" t="s">
        <v>972</v>
      </c>
      <c r="AB174" s="51" t="s">
        <v>4062</v>
      </c>
      <c r="AC174" s="51" t="s">
        <v>3895</v>
      </c>
      <c r="AD174" s="51" t="s">
        <v>704</v>
      </c>
      <c r="AE174" s="51" t="s">
        <v>967</v>
      </c>
      <c r="AF174" s="51" t="s">
        <v>4134</v>
      </c>
      <c r="AI174" s="52" t="s">
        <v>4083</v>
      </c>
      <c r="AK174" s="52" t="s">
        <v>777</v>
      </c>
      <c r="AL174" s="51" t="s">
        <v>972</v>
      </c>
      <c r="AP174" s="51" t="s">
        <v>4063</v>
      </c>
      <c r="AQ174" s="51" t="s">
        <v>3896</v>
      </c>
      <c r="AR174" s="51" t="s">
        <v>4064</v>
      </c>
      <c r="AS174" s="51" t="s">
        <v>967</v>
      </c>
      <c r="AT174" s="51" t="s">
        <v>4135</v>
      </c>
      <c r="AW174" s="52" t="s">
        <v>4084</v>
      </c>
      <c r="AY174" s="52" t="s">
        <v>4123</v>
      </c>
      <c r="AZ174" s="51" t="s">
        <v>972</v>
      </c>
    </row>
    <row r="175" spans="1:54" x14ac:dyDescent="0.25">
      <c r="A175" s="51" t="s">
        <v>3804</v>
      </c>
      <c r="B175" s="51">
        <v>53</v>
      </c>
      <c r="E175" s="54" t="str" cm="1">
        <f t="array" aca="1" ref="E175" ca="1">IF(H175=0,"",HYPERLINK("#"&amp;RIGHT(CELL("dateiname"),LEN(CELL("dateiname"))-FIND("]",CELL("dateiname")))&amp;"!"&amp;CELL("adresse",OFFSET($Q$6,H175-1,0)),"Definition"))</f>
        <v/>
      </c>
      <c r="F175" s="54" t="str" cm="1">
        <f t="array" aca="1" ref="F175" ca="1">IF(I175=0,"",HYPERLINK("#"&amp;RIGHT(CELL("adresse",OFFSET(DMAV_Doku!$B$6,I175-1,0)),LEN(CELL("adresse",OFFSET(DMAV_Doku!$B$6,I175-1,0)))-SEARCH("]",CELL("adresse",OFFSET(DMAV_Doku!$B$6,I175-1,0)))),"ModDoc"))</f>
        <v/>
      </c>
      <c r="G175" s="150" t="str">
        <f t="shared" si="4"/>
        <v>MHG53</v>
      </c>
      <c r="H175" s="150">
        <f t="shared" si="5"/>
        <v>0</v>
      </c>
      <c r="I175" s="150">
        <f>IF(_xlfn.XLOOKUP(G175,Korrelation!$A$4:$A$723,Korrelation!$B$4:$B$723,0,0)=0,0,MATCH(_xlfn.XLOOKUP(G175,Korrelation!$A$4:$A$723,Korrelation!$B$4:$B$723,0,0),DMAV_Doku!$H$6:$H$483,0))</f>
        <v>0</v>
      </c>
      <c r="J175" s="158"/>
      <c r="K175" s="161"/>
      <c r="L175" s="161"/>
      <c r="M175" s="158"/>
      <c r="N175" s="51" t="s">
        <v>991</v>
      </c>
      <c r="O175" s="51" t="s">
        <v>919</v>
      </c>
      <c r="P175" s="51" t="s">
        <v>15</v>
      </c>
      <c r="Q175" s="51" t="s">
        <v>977</v>
      </c>
      <c r="R175" s="51" t="s">
        <v>1023</v>
      </c>
      <c r="U175" s="52" t="s">
        <v>979</v>
      </c>
      <c r="W175" s="52" t="s">
        <v>223</v>
      </c>
      <c r="AB175" s="51" t="s">
        <v>4062</v>
      </c>
      <c r="AC175" s="51" t="s">
        <v>3895</v>
      </c>
      <c r="AD175" s="51" t="s">
        <v>704</v>
      </c>
      <c r="AE175" s="51" t="s">
        <v>977</v>
      </c>
      <c r="AF175" s="51" t="s">
        <v>4136</v>
      </c>
      <c r="AI175" s="52" t="s">
        <v>979</v>
      </c>
      <c r="AK175" s="52" t="s">
        <v>777</v>
      </c>
      <c r="AP175" s="51" t="s">
        <v>4063</v>
      </c>
      <c r="AQ175" s="51" t="s">
        <v>3896</v>
      </c>
      <c r="AR175" s="51" t="s">
        <v>4064</v>
      </c>
      <c r="AS175" s="51" t="s">
        <v>977</v>
      </c>
      <c r="AT175" s="51" t="s">
        <v>4137</v>
      </c>
      <c r="AW175" s="52" t="s">
        <v>979</v>
      </c>
      <c r="AY175" s="52" t="s">
        <v>4123</v>
      </c>
    </row>
    <row r="176" spans="1:54" ht="38.25" x14ac:dyDescent="0.25">
      <c r="A176" s="51" t="s">
        <v>3804</v>
      </c>
      <c r="B176" s="51">
        <v>54</v>
      </c>
      <c r="E176" s="54" t="str" cm="1">
        <f t="array" aca="1" ref="E176" ca="1">IF(H176=0,"",HYPERLINK("#"&amp;RIGHT(CELL("dateiname"),LEN(CELL("dateiname"))-FIND("]",CELL("dateiname")))&amp;"!"&amp;CELL("adresse",OFFSET($Q$6,H176-1,0)),"Definition"))</f>
        <v/>
      </c>
      <c r="F176" s="54" t="str" cm="1">
        <f t="array" aca="1" ref="F176" ca="1">IF(I176=0,"",HYPERLINK("#"&amp;RIGHT(CELL("adresse",OFFSET(DMAV_Doku!$B$6,I176-1,0)),LEN(CELL("adresse",OFFSET(DMAV_Doku!$B$6,I176-1,0)))-SEARCH("]",CELL("adresse",OFFSET(DMAV_Doku!$B$6,I176-1,0)))),"ModDoc"))</f>
        <v/>
      </c>
      <c r="G176" s="150" t="str">
        <f t="shared" si="4"/>
        <v>MHG54</v>
      </c>
      <c r="H176" s="150">
        <f t="shared" si="5"/>
        <v>0</v>
      </c>
      <c r="I176" s="150">
        <f>IF(_xlfn.XLOOKUP(G176,Korrelation!$A$4:$A$723,Korrelation!$B$4:$B$723,0,0)=0,0,MATCH(_xlfn.XLOOKUP(G176,Korrelation!$A$4:$A$723,Korrelation!$B$4:$B$723,0,0),DMAV_Doku!$H$6:$H$483,0))</f>
        <v>0</v>
      </c>
      <c r="J176" s="158"/>
      <c r="K176" s="161"/>
      <c r="L176" s="161"/>
      <c r="M176" s="158"/>
      <c r="N176" s="51" t="s">
        <v>991</v>
      </c>
      <c r="O176" s="51" t="s">
        <v>919</v>
      </c>
      <c r="P176" s="51" t="s">
        <v>15</v>
      </c>
      <c r="Q176" s="51" t="s">
        <v>977</v>
      </c>
      <c r="R176" s="51" t="s">
        <v>1023</v>
      </c>
      <c r="U176" s="52" t="s">
        <v>980</v>
      </c>
      <c r="W176" s="52" t="s">
        <v>1024</v>
      </c>
      <c r="Z176" s="198" t="s">
        <v>2766</v>
      </c>
      <c r="AB176" s="51" t="s">
        <v>4062</v>
      </c>
      <c r="AC176" s="51" t="s">
        <v>3895</v>
      </c>
      <c r="AD176" s="51" t="s">
        <v>704</v>
      </c>
      <c r="AE176" s="51" t="s">
        <v>977</v>
      </c>
      <c r="AF176" s="51" t="s">
        <v>4136</v>
      </c>
      <c r="AI176" s="52" t="s">
        <v>4138</v>
      </c>
      <c r="AK176" s="52" t="s">
        <v>4139</v>
      </c>
      <c r="AN176" s="260" t="s">
        <v>7262</v>
      </c>
      <c r="AP176" s="51" t="s">
        <v>4063</v>
      </c>
      <c r="AQ176" s="51" t="s">
        <v>3896</v>
      </c>
      <c r="AR176" s="51" t="s">
        <v>4064</v>
      </c>
      <c r="AS176" s="51" t="s">
        <v>977</v>
      </c>
      <c r="AT176" s="51" t="s">
        <v>4137</v>
      </c>
      <c r="AW176" s="52" t="s">
        <v>4138</v>
      </c>
      <c r="AY176" s="52" t="s">
        <v>4140</v>
      </c>
      <c r="BB176" s="52" t="s">
        <v>5981</v>
      </c>
    </row>
    <row r="177" spans="1:54" x14ac:dyDescent="0.25">
      <c r="A177" s="51" t="s">
        <v>3804</v>
      </c>
      <c r="B177" s="51">
        <v>55</v>
      </c>
      <c r="E177" s="54" t="str" cm="1">
        <f t="array" aca="1" ref="E177" ca="1">IF(H177=0,"",HYPERLINK("#"&amp;RIGHT(CELL("dateiname"),LEN(CELL("dateiname"))-FIND("]",CELL("dateiname")))&amp;"!"&amp;CELL("adresse",OFFSET($Q$6,H177-1,0)),"Definition"))</f>
        <v/>
      </c>
      <c r="F177" s="54" t="str" cm="1">
        <f t="array" aca="1" ref="F177" ca="1">IF(I177=0,"",HYPERLINK("#"&amp;RIGHT(CELL("adresse",OFFSET(DMAV_Doku!$B$6,I177-1,0)),LEN(CELL("adresse",OFFSET(DMAV_Doku!$B$6,I177-1,0)))-SEARCH("]",CELL("adresse",OFFSET(DMAV_Doku!$B$6,I177-1,0)))),"ModDoc"))</f>
        <v/>
      </c>
      <c r="G177" s="150" t="str">
        <f t="shared" si="4"/>
        <v>MHG55</v>
      </c>
      <c r="H177" s="150">
        <f t="shared" si="5"/>
        <v>0</v>
      </c>
      <c r="I177" s="150">
        <f>IF(_xlfn.XLOOKUP(G177,Korrelation!$A$4:$A$723,Korrelation!$B$4:$B$723,0,0)=0,0,MATCH(_xlfn.XLOOKUP(G177,Korrelation!$A$4:$A$723,Korrelation!$B$4:$B$723,0,0),DMAV_Doku!$H$6:$H$483,0))</f>
        <v>0</v>
      </c>
      <c r="J177" s="158"/>
      <c r="K177" s="161"/>
      <c r="L177" s="161"/>
      <c r="M177" s="158"/>
      <c r="N177" s="51" t="s">
        <v>991</v>
      </c>
      <c r="O177" s="51" t="s">
        <v>919</v>
      </c>
      <c r="P177" s="51" t="s">
        <v>15</v>
      </c>
      <c r="Q177" s="51" t="s">
        <v>977</v>
      </c>
      <c r="R177" s="51" t="s">
        <v>1023</v>
      </c>
      <c r="U177" s="52" t="s">
        <v>982</v>
      </c>
      <c r="V177" s="55"/>
      <c r="W177" s="52" t="s">
        <v>223</v>
      </c>
      <c r="AB177" s="51" t="s">
        <v>4062</v>
      </c>
      <c r="AC177" s="51" t="s">
        <v>3895</v>
      </c>
      <c r="AD177" s="51" t="s">
        <v>704</v>
      </c>
      <c r="AE177" s="51" t="s">
        <v>977</v>
      </c>
      <c r="AF177" s="51" t="s">
        <v>4136</v>
      </c>
      <c r="AI177" s="52" t="s">
        <v>982</v>
      </c>
      <c r="AK177" s="52" t="s">
        <v>777</v>
      </c>
      <c r="AP177" s="51" t="s">
        <v>4063</v>
      </c>
      <c r="AQ177" s="51" t="s">
        <v>3896</v>
      </c>
      <c r="AR177" s="51" t="s">
        <v>4064</v>
      </c>
      <c r="AS177" s="51" t="s">
        <v>977</v>
      </c>
      <c r="AT177" s="51" t="s">
        <v>4137</v>
      </c>
      <c r="AW177" s="52" t="s">
        <v>982</v>
      </c>
      <c r="AY177" s="52" t="s">
        <v>4123</v>
      </c>
    </row>
    <row r="178" spans="1:54" x14ac:dyDescent="0.25">
      <c r="A178" s="51" t="s">
        <v>3804</v>
      </c>
      <c r="B178" s="51">
        <v>56</v>
      </c>
      <c r="E178" s="54" t="str" cm="1">
        <f t="array" aca="1" ref="E178" ca="1">IF(H178=0,"",HYPERLINK("#"&amp;RIGHT(CELL("dateiname"),LEN(CELL("dateiname"))-FIND("]",CELL("dateiname")))&amp;"!"&amp;CELL("adresse",OFFSET($Q$6,H178-1,0)),"Definition"))</f>
        <v/>
      </c>
      <c r="F178" s="54" t="str" cm="1">
        <f t="array" aca="1" ref="F178" ca="1">IF(I178=0,"",HYPERLINK("#"&amp;RIGHT(CELL("adresse",OFFSET(DMAV_Doku!$B$6,I178-1,0)),LEN(CELL("adresse",OFFSET(DMAV_Doku!$B$6,I178-1,0)))-SEARCH("]",CELL("adresse",OFFSET(DMAV_Doku!$B$6,I178-1,0)))),"ModDoc"))</f>
        <v>ModDoc</v>
      </c>
      <c r="G178" s="150" t="str">
        <f t="shared" si="4"/>
        <v>MHG56</v>
      </c>
      <c r="H178" s="150">
        <f t="shared" si="5"/>
        <v>0</v>
      </c>
      <c r="I178" s="150">
        <f>IF(_xlfn.XLOOKUP(G178,Korrelation!$A$4:$A$723,Korrelation!$B$4:$B$723,0,0)=0,0,MATCH(_xlfn.XLOOKUP(G178,Korrelation!$A$4:$A$723,Korrelation!$B$4:$B$723,0,0),DMAV_Doku!$H$6:$H$483,0))</f>
        <v>123</v>
      </c>
      <c r="J178" s="158"/>
      <c r="K178" s="161"/>
      <c r="L178" s="161"/>
      <c r="M178" s="158"/>
      <c r="N178" s="51" t="s">
        <v>991</v>
      </c>
      <c r="O178" s="51" t="s">
        <v>919</v>
      </c>
      <c r="P178" s="51" t="s">
        <v>15</v>
      </c>
      <c r="Q178" s="51" t="s">
        <v>949</v>
      </c>
      <c r="R178" s="51" t="s">
        <v>226</v>
      </c>
      <c r="S178" s="50" t="s">
        <v>950</v>
      </c>
      <c r="U178" s="52" t="s">
        <v>123</v>
      </c>
      <c r="W178" s="52" t="s">
        <v>990</v>
      </c>
      <c r="Y178" s="52" t="s">
        <v>1764</v>
      </c>
      <c r="AB178" s="51" t="s">
        <v>4062</v>
      </c>
      <c r="AC178" s="51" t="s">
        <v>3895</v>
      </c>
      <c r="AD178" s="51" t="s">
        <v>704</v>
      </c>
      <c r="AE178" s="51" t="s">
        <v>949</v>
      </c>
      <c r="AF178" s="51" t="s">
        <v>778</v>
      </c>
      <c r="AG178" s="50" t="s">
        <v>950</v>
      </c>
      <c r="AI178" s="52" t="s">
        <v>123</v>
      </c>
      <c r="AK178" s="52" t="s">
        <v>990</v>
      </c>
      <c r="AP178" s="51" t="s">
        <v>4063</v>
      </c>
      <c r="AQ178" s="51" t="s">
        <v>3896</v>
      </c>
      <c r="AR178" s="51" t="s">
        <v>4064</v>
      </c>
      <c r="AS178" s="51" t="s">
        <v>949</v>
      </c>
      <c r="AT178" s="51" t="s">
        <v>1771</v>
      </c>
      <c r="AU178" s="50" t="s">
        <v>950</v>
      </c>
      <c r="AW178" s="52" t="s">
        <v>1247</v>
      </c>
      <c r="AY178" s="52" t="s">
        <v>990</v>
      </c>
    </row>
    <row r="179" spans="1:54" x14ac:dyDescent="0.25">
      <c r="A179" s="51" t="s">
        <v>3804</v>
      </c>
      <c r="B179" s="51">
        <v>57</v>
      </c>
      <c r="E179" s="54" t="str" cm="1">
        <f t="array" aca="1" ref="E179" ca="1">IF(H179=0,"",HYPERLINK("#"&amp;RIGHT(CELL("dateiname"),LEN(CELL("dateiname"))-FIND("]",CELL("dateiname")))&amp;"!"&amp;CELL("adresse",OFFSET($Q$6,H179-1,0)),"Definition"))</f>
        <v/>
      </c>
      <c r="F179" s="54" t="str" cm="1">
        <f t="array" aca="1" ref="F179" ca="1">IF(I179=0,"",HYPERLINK("#"&amp;RIGHT(CELL("adresse",OFFSET(DMAV_Doku!$B$6,I179-1,0)),LEN(CELL("adresse",OFFSET(DMAV_Doku!$B$6,I179-1,0)))-SEARCH("]",CELL("adresse",OFFSET(DMAV_Doku!$B$6,I179-1,0)))),"ModDoc"))</f>
        <v>ModDoc</v>
      </c>
      <c r="G179" s="150" t="str">
        <f t="shared" si="4"/>
        <v>MHG57</v>
      </c>
      <c r="H179" s="150">
        <f t="shared" si="5"/>
        <v>0</v>
      </c>
      <c r="I179" s="150">
        <f>IF(_xlfn.XLOOKUP(G179,Korrelation!$A$4:$A$723,Korrelation!$B$4:$B$723,0,0)=0,0,MATCH(_xlfn.XLOOKUP(G179,Korrelation!$A$4:$A$723,Korrelation!$B$4:$B$723,0,0),DMAV_Doku!$H$6:$H$483,0))</f>
        <v>124</v>
      </c>
      <c r="J179" s="158"/>
      <c r="K179" s="161"/>
      <c r="L179" s="161"/>
      <c r="M179" s="158"/>
      <c r="N179" s="51" t="s">
        <v>991</v>
      </c>
      <c r="O179" s="51" t="s">
        <v>919</v>
      </c>
      <c r="P179" s="51" t="s">
        <v>15</v>
      </c>
      <c r="Q179" s="51" t="s">
        <v>949</v>
      </c>
      <c r="R179" s="51" t="s">
        <v>226</v>
      </c>
      <c r="S179" s="50" t="s">
        <v>950</v>
      </c>
      <c r="U179" s="52" t="s">
        <v>193</v>
      </c>
      <c r="W179" s="52" t="s">
        <v>2784</v>
      </c>
      <c r="Y179" s="52" t="s">
        <v>3460</v>
      </c>
      <c r="AB179" s="51" t="s">
        <v>4062</v>
      </c>
      <c r="AC179" s="51" t="s">
        <v>3895</v>
      </c>
      <c r="AD179" s="51" t="s">
        <v>704</v>
      </c>
      <c r="AE179" s="51" t="s">
        <v>949</v>
      </c>
      <c r="AF179" s="51" t="s">
        <v>778</v>
      </c>
      <c r="AG179" s="50" t="s">
        <v>950</v>
      </c>
      <c r="AI179" s="52" t="s">
        <v>769</v>
      </c>
      <c r="AK179" s="52" t="s">
        <v>4141</v>
      </c>
      <c r="AP179" s="51" t="s">
        <v>4063</v>
      </c>
      <c r="AQ179" s="51" t="s">
        <v>3896</v>
      </c>
      <c r="AR179" s="51" t="s">
        <v>4064</v>
      </c>
      <c r="AS179" s="51" t="s">
        <v>949</v>
      </c>
      <c r="AT179" s="51" t="s">
        <v>1771</v>
      </c>
      <c r="AU179" s="50" t="s">
        <v>950</v>
      </c>
      <c r="AW179" s="52" t="s">
        <v>1515</v>
      </c>
      <c r="AY179" s="52" t="s">
        <v>4142</v>
      </c>
    </row>
    <row r="180" spans="1:54" x14ac:dyDescent="0.25">
      <c r="A180" s="51" t="s">
        <v>3804</v>
      </c>
      <c r="B180" s="51">
        <v>58</v>
      </c>
      <c r="E180" s="54" t="str" cm="1">
        <f t="array" aca="1" ref="E180" ca="1">IF(H180=0,"",HYPERLINK("#"&amp;RIGHT(CELL("dateiname"),LEN(CELL("dateiname"))-FIND("]",CELL("dateiname")))&amp;"!"&amp;CELL("adresse",OFFSET($Q$6,H180-1,0)),"Definition"))</f>
        <v/>
      </c>
      <c r="F180" s="54" t="str" cm="1">
        <f t="array" aca="1" ref="F180" ca="1">IF(I180=0,"",HYPERLINK("#"&amp;RIGHT(CELL("adresse",OFFSET(DMAV_Doku!$B$6,I180-1,0)),LEN(CELL("adresse",OFFSET(DMAV_Doku!$B$6,I180-1,0)))-SEARCH("]",CELL("adresse",OFFSET(DMAV_Doku!$B$6,I180-1,0)))),"ModDoc"))</f>
        <v/>
      </c>
      <c r="G180" s="150" t="str">
        <f t="shared" si="4"/>
        <v>MHG58</v>
      </c>
      <c r="H180" s="150">
        <f t="shared" si="5"/>
        <v>0</v>
      </c>
      <c r="I180" s="150">
        <f>IF(_xlfn.XLOOKUP(G180,Korrelation!$A$4:$A$723,Korrelation!$B$4:$B$723,0,0)=0,0,MATCH(_xlfn.XLOOKUP(G180,Korrelation!$A$4:$A$723,Korrelation!$B$4:$B$723,0,0),DMAV_Doku!$H$6:$H$483,0))</f>
        <v>0</v>
      </c>
      <c r="J180" s="158"/>
      <c r="K180" s="161"/>
      <c r="L180" s="161"/>
      <c r="M180" s="158"/>
      <c r="N180" s="51" t="s">
        <v>991</v>
      </c>
      <c r="O180" s="51" t="s">
        <v>919</v>
      </c>
      <c r="P180" s="51" t="s">
        <v>15</v>
      </c>
      <c r="Q180" s="51" t="s">
        <v>967</v>
      </c>
      <c r="R180" s="51" t="s">
        <v>1025</v>
      </c>
      <c r="U180" s="52" t="s">
        <v>969</v>
      </c>
      <c r="W180" s="52" t="s">
        <v>205</v>
      </c>
      <c r="X180" s="51" t="s">
        <v>970</v>
      </c>
      <c r="AB180" s="51" t="s">
        <v>4062</v>
      </c>
      <c r="AC180" s="51" t="s">
        <v>3895</v>
      </c>
      <c r="AD180" s="51" t="s">
        <v>704</v>
      </c>
      <c r="AE180" s="51" t="s">
        <v>967</v>
      </c>
      <c r="AF180" s="51" t="s">
        <v>4143</v>
      </c>
      <c r="AI180" s="52" t="s">
        <v>1319</v>
      </c>
      <c r="AK180" s="52" t="s">
        <v>771</v>
      </c>
      <c r="AL180" s="51" t="s">
        <v>970</v>
      </c>
      <c r="AP180" s="51" t="s">
        <v>4063</v>
      </c>
      <c r="AQ180" s="51" t="s">
        <v>3896</v>
      </c>
      <c r="AR180" s="51" t="s">
        <v>4064</v>
      </c>
      <c r="AS180" s="51" t="s">
        <v>967</v>
      </c>
      <c r="AT180" s="51" t="s">
        <v>4144</v>
      </c>
      <c r="AW180" s="52" t="s">
        <v>1319</v>
      </c>
      <c r="AY180" s="52" t="s">
        <v>4065</v>
      </c>
      <c r="AZ180" s="51" t="s">
        <v>970</v>
      </c>
    </row>
    <row r="181" spans="1:54" x14ac:dyDescent="0.25">
      <c r="A181" s="51" t="s">
        <v>3804</v>
      </c>
      <c r="B181" s="51">
        <v>59</v>
      </c>
      <c r="E181" s="54" t="str" cm="1">
        <f t="array" aca="1" ref="E181" ca="1">IF(H181=0,"",HYPERLINK("#"&amp;RIGHT(CELL("dateiname"),LEN(CELL("dateiname"))-FIND("]",CELL("dateiname")))&amp;"!"&amp;CELL("adresse",OFFSET($Q$6,H181-1,0)),"Definition"))</f>
        <v/>
      </c>
      <c r="F181" s="54" t="str" cm="1">
        <f t="array" aca="1" ref="F181" ca="1">IF(I181=0,"",HYPERLINK("#"&amp;RIGHT(CELL("adresse",OFFSET(DMAV_Doku!$B$6,I181-1,0)),LEN(CELL("adresse",OFFSET(DMAV_Doku!$B$6,I181-1,0)))-SEARCH("]",CELL("adresse",OFFSET(DMAV_Doku!$B$6,I181-1,0)))),"ModDoc"))</f>
        <v/>
      </c>
      <c r="G181" s="150" t="str">
        <f t="shared" si="4"/>
        <v>MHG59</v>
      </c>
      <c r="H181" s="150">
        <f t="shared" si="5"/>
        <v>0</v>
      </c>
      <c r="I181" s="150">
        <f>IF(_xlfn.XLOOKUP(G181,Korrelation!$A$4:$A$723,Korrelation!$B$4:$B$723,0,0)=0,0,MATCH(_xlfn.XLOOKUP(G181,Korrelation!$A$4:$A$723,Korrelation!$B$4:$B$723,0,0),DMAV_Doku!$H$6:$H$483,0))</f>
        <v>0</v>
      </c>
      <c r="J181" s="158"/>
      <c r="K181" s="161"/>
      <c r="L181" s="161"/>
      <c r="M181" s="158"/>
      <c r="N181" s="51" t="s">
        <v>991</v>
      </c>
      <c r="O181" s="51" t="s">
        <v>919</v>
      </c>
      <c r="P181" s="51" t="s">
        <v>15</v>
      </c>
      <c r="Q181" s="51" t="s">
        <v>967</v>
      </c>
      <c r="R181" s="51" t="s">
        <v>1025</v>
      </c>
      <c r="U181" s="52" t="s">
        <v>1026</v>
      </c>
      <c r="W181" s="52" t="s">
        <v>226</v>
      </c>
      <c r="X181" s="51" t="s">
        <v>972</v>
      </c>
      <c r="AB181" s="51" t="s">
        <v>4062</v>
      </c>
      <c r="AC181" s="51" t="s">
        <v>3895</v>
      </c>
      <c r="AD181" s="51" t="s">
        <v>704</v>
      </c>
      <c r="AE181" s="51" t="s">
        <v>967</v>
      </c>
      <c r="AF181" s="51" t="s">
        <v>4143</v>
      </c>
      <c r="AI181" s="52" t="s">
        <v>4145</v>
      </c>
      <c r="AK181" s="52" t="s">
        <v>778</v>
      </c>
      <c r="AL181" s="51" t="s">
        <v>972</v>
      </c>
      <c r="AP181" s="51" t="s">
        <v>4063</v>
      </c>
      <c r="AQ181" s="51" t="s">
        <v>3896</v>
      </c>
      <c r="AR181" s="51" t="s">
        <v>4064</v>
      </c>
      <c r="AS181" s="51" t="s">
        <v>967</v>
      </c>
      <c r="AT181" s="51" t="s">
        <v>4144</v>
      </c>
      <c r="AW181" s="52" t="s">
        <v>4146</v>
      </c>
      <c r="AY181" s="52" t="s">
        <v>1771</v>
      </c>
      <c r="AZ181" s="51" t="s">
        <v>972</v>
      </c>
    </row>
    <row r="182" spans="1:54" x14ac:dyDescent="0.25">
      <c r="A182" s="51" t="s">
        <v>3804</v>
      </c>
      <c r="B182" s="51">
        <v>60</v>
      </c>
      <c r="E182" s="54" t="str" cm="1">
        <f t="array" aca="1" ref="E182" ca="1">IF(H182=0,"",HYPERLINK("#"&amp;RIGHT(CELL("dateiname"),LEN(CELL("dateiname"))-FIND("]",CELL("dateiname")))&amp;"!"&amp;CELL("adresse",OFFSET($Q$6,H182-1,0)),"Definition"))</f>
        <v/>
      </c>
      <c r="F182" s="54" t="str" cm="1">
        <f t="array" aca="1" ref="F182" ca="1">IF(I182=0,"",HYPERLINK("#"&amp;RIGHT(CELL("adresse",OFFSET(DMAV_Doku!$B$6,I182-1,0)),LEN(CELL("adresse",OFFSET(DMAV_Doku!$B$6,I182-1,0)))-SEARCH("]",CELL("adresse",OFFSET(DMAV_Doku!$B$6,I182-1,0)))),"ModDoc"))</f>
        <v/>
      </c>
      <c r="G182" s="150" t="str">
        <f t="shared" si="4"/>
        <v>MHG60</v>
      </c>
      <c r="H182" s="150">
        <f t="shared" si="5"/>
        <v>0</v>
      </c>
      <c r="I182" s="150">
        <f>IF(_xlfn.XLOOKUP(G182,Korrelation!$A$4:$A$723,Korrelation!$B$4:$B$723,0,0)=0,0,MATCH(_xlfn.XLOOKUP(G182,Korrelation!$A$4:$A$723,Korrelation!$B$4:$B$723,0,0),DMAV_Doku!$H$6:$H$483,0))</f>
        <v>0</v>
      </c>
      <c r="J182" s="158"/>
      <c r="K182" s="161"/>
      <c r="L182" s="161"/>
      <c r="M182" s="158"/>
      <c r="N182" s="51" t="s">
        <v>991</v>
      </c>
      <c r="O182" s="51" t="s">
        <v>919</v>
      </c>
      <c r="P182" s="51" t="s">
        <v>15</v>
      </c>
      <c r="Q182" s="51" t="s">
        <v>967</v>
      </c>
      <c r="R182" s="51" t="s">
        <v>1027</v>
      </c>
      <c r="U182" s="52" t="s">
        <v>974</v>
      </c>
      <c r="W182" s="52" t="s">
        <v>205</v>
      </c>
      <c r="X182" s="51" t="s">
        <v>975</v>
      </c>
      <c r="AB182" s="51" t="s">
        <v>4062</v>
      </c>
      <c r="AC182" s="51" t="s">
        <v>3895</v>
      </c>
      <c r="AD182" s="51" t="s">
        <v>704</v>
      </c>
      <c r="AE182" s="51" t="s">
        <v>967</v>
      </c>
      <c r="AF182" s="51" t="s">
        <v>4147</v>
      </c>
      <c r="AI182" s="52" t="s">
        <v>4074</v>
      </c>
      <c r="AK182" s="52" t="s">
        <v>771</v>
      </c>
      <c r="AL182" s="51" t="s">
        <v>975</v>
      </c>
      <c r="AP182" s="51" t="s">
        <v>4063</v>
      </c>
      <c r="AQ182" s="51" t="s">
        <v>3896</v>
      </c>
      <c r="AR182" s="51" t="s">
        <v>4064</v>
      </c>
      <c r="AS182" s="51" t="s">
        <v>967</v>
      </c>
      <c r="AT182" s="51" t="s">
        <v>4148</v>
      </c>
      <c r="AW182" s="52" t="s">
        <v>4076</v>
      </c>
      <c r="AY182" s="52" t="s">
        <v>4065</v>
      </c>
      <c r="AZ182" s="51" t="s">
        <v>975</v>
      </c>
    </row>
    <row r="183" spans="1:54" x14ac:dyDescent="0.25">
      <c r="A183" s="51" t="s">
        <v>3804</v>
      </c>
      <c r="B183" s="51">
        <v>61</v>
      </c>
      <c r="E183" s="54" t="str" cm="1">
        <f t="array" aca="1" ref="E183" ca="1">IF(H183=0,"",HYPERLINK("#"&amp;RIGHT(CELL("dateiname"),LEN(CELL("dateiname"))-FIND("]",CELL("dateiname")))&amp;"!"&amp;CELL("adresse",OFFSET($Q$6,H183-1,0)),"Definition"))</f>
        <v/>
      </c>
      <c r="F183" s="54" t="str" cm="1">
        <f t="array" aca="1" ref="F183" ca="1">IF(I183=0,"",HYPERLINK("#"&amp;RIGHT(CELL("adresse",OFFSET(DMAV_Doku!$B$6,I183-1,0)),LEN(CELL("adresse",OFFSET(DMAV_Doku!$B$6,I183-1,0)))-SEARCH("]",CELL("adresse",OFFSET(DMAV_Doku!$B$6,I183-1,0)))),"ModDoc"))</f>
        <v/>
      </c>
      <c r="G183" s="150" t="str">
        <f t="shared" si="4"/>
        <v>MHG61</v>
      </c>
      <c r="H183" s="150">
        <f t="shared" si="5"/>
        <v>0</v>
      </c>
      <c r="I183" s="150">
        <f>IF(_xlfn.XLOOKUP(G183,Korrelation!$A$4:$A$723,Korrelation!$B$4:$B$723,0,0)=0,0,MATCH(_xlfn.XLOOKUP(G183,Korrelation!$A$4:$A$723,Korrelation!$B$4:$B$723,0,0),DMAV_Doku!$H$6:$H$483,0))</f>
        <v>0</v>
      </c>
      <c r="J183" s="158"/>
      <c r="K183" s="161"/>
      <c r="L183" s="161"/>
      <c r="M183" s="158"/>
      <c r="N183" s="51" t="s">
        <v>991</v>
      </c>
      <c r="O183" s="51" t="s">
        <v>919</v>
      </c>
      <c r="P183" s="51" t="s">
        <v>15</v>
      </c>
      <c r="Q183" s="51" t="s">
        <v>967</v>
      </c>
      <c r="R183" s="51" t="s">
        <v>1027</v>
      </c>
      <c r="U183" s="52" t="s">
        <v>1028</v>
      </c>
      <c r="W183" s="52" t="s">
        <v>226</v>
      </c>
      <c r="X183" s="51" t="s">
        <v>972</v>
      </c>
      <c r="AB183" s="51" t="s">
        <v>4062</v>
      </c>
      <c r="AC183" s="51" t="s">
        <v>3895</v>
      </c>
      <c r="AD183" s="51" t="s">
        <v>704</v>
      </c>
      <c r="AE183" s="51" t="s">
        <v>967</v>
      </c>
      <c r="AF183" s="51" t="s">
        <v>4147</v>
      </c>
      <c r="AI183" s="52" t="s">
        <v>4149</v>
      </c>
      <c r="AK183" s="52" t="s">
        <v>778</v>
      </c>
      <c r="AL183" s="51" t="s">
        <v>972</v>
      </c>
      <c r="AP183" s="51" t="s">
        <v>4063</v>
      </c>
      <c r="AQ183" s="51" t="s">
        <v>3896</v>
      </c>
      <c r="AR183" s="51" t="s">
        <v>4064</v>
      </c>
      <c r="AS183" s="51" t="s">
        <v>967</v>
      </c>
      <c r="AT183" s="51" t="s">
        <v>4148</v>
      </c>
      <c r="AW183" s="52" t="s">
        <v>4150</v>
      </c>
      <c r="AY183" s="52" t="s">
        <v>1771</v>
      </c>
      <c r="AZ183" s="51" t="s">
        <v>972</v>
      </c>
    </row>
    <row r="184" spans="1:54" x14ac:dyDescent="0.25">
      <c r="A184" s="51" t="s">
        <v>3804</v>
      </c>
      <c r="B184" s="51">
        <v>62</v>
      </c>
      <c r="E184" s="54" t="str" cm="1">
        <f t="array" aca="1" ref="E184" ca="1">IF(H184=0,"",HYPERLINK("#"&amp;RIGHT(CELL("dateiname"),LEN(CELL("dateiname"))-FIND("]",CELL("dateiname")))&amp;"!"&amp;CELL("adresse",OFFSET($Q$6,H184-1,0)),"Definition"))</f>
        <v/>
      </c>
      <c r="F184" s="54" t="str" cm="1">
        <f t="array" aca="1" ref="F184" ca="1">IF(I184=0,"",HYPERLINK("#"&amp;RIGHT(CELL("adresse",OFFSET(DMAV_Doku!$B$6,I184-1,0)),LEN(CELL("adresse",OFFSET(DMAV_Doku!$B$6,I184-1,0)))-SEARCH("]",CELL("adresse",OFFSET(DMAV_Doku!$B$6,I184-1,0)))),"ModDoc"))</f>
        <v/>
      </c>
      <c r="G184" s="150" t="str">
        <f t="shared" si="4"/>
        <v>MHG62</v>
      </c>
      <c r="H184" s="150">
        <f t="shared" si="5"/>
        <v>0</v>
      </c>
      <c r="I184" s="150">
        <f>IF(_xlfn.XLOOKUP(G184,Korrelation!$A$4:$A$723,Korrelation!$B$4:$B$723,0,0)=0,0,MATCH(_xlfn.XLOOKUP(G184,Korrelation!$A$4:$A$723,Korrelation!$B$4:$B$723,0,0),DMAV_Doku!$H$6:$H$483,0))</f>
        <v>0</v>
      </c>
      <c r="J184" s="158"/>
      <c r="K184" s="161"/>
      <c r="L184" s="161"/>
      <c r="M184" s="158"/>
      <c r="N184" s="51" t="s">
        <v>991</v>
      </c>
      <c r="O184" s="51" t="s">
        <v>919</v>
      </c>
      <c r="P184" s="51" t="s">
        <v>15</v>
      </c>
      <c r="Q184" s="51" t="s">
        <v>967</v>
      </c>
      <c r="R184" s="51" t="s">
        <v>1029</v>
      </c>
      <c r="U184" s="52" t="s">
        <v>999</v>
      </c>
      <c r="W184" s="52" t="s">
        <v>226</v>
      </c>
      <c r="X184" s="51" t="s">
        <v>975</v>
      </c>
      <c r="AB184" s="51" t="s">
        <v>4062</v>
      </c>
      <c r="AC184" s="51" t="s">
        <v>3895</v>
      </c>
      <c r="AD184" s="51" t="s">
        <v>704</v>
      </c>
      <c r="AE184" s="51" t="s">
        <v>967</v>
      </c>
      <c r="AF184" s="51" t="s">
        <v>4151</v>
      </c>
      <c r="AI184" s="52" t="s">
        <v>4080</v>
      </c>
      <c r="AK184" s="52" t="s">
        <v>778</v>
      </c>
      <c r="AL184" s="51" t="s">
        <v>975</v>
      </c>
      <c r="AP184" s="51" t="s">
        <v>4063</v>
      </c>
      <c r="AQ184" s="51" t="s">
        <v>3896</v>
      </c>
      <c r="AR184" s="51" t="s">
        <v>4064</v>
      </c>
      <c r="AS184" s="51" t="s">
        <v>967</v>
      </c>
      <c r="AT184" s="51" t="s">
        <v>4152</v>
      </c>
      <c r="AW184" s="52" t="s">
        <v>4082</v>
      </c>
      <c r="AY184" s="52" t="s">
        <v>1771</v>
      </c>
      <c r="AZ184" s="51" t="s">
        <v>975</v>
      </c>
    </row>
    <row r="185" spans="1:54" x14ac:dyDescent="0.25">
      <c r="A185" s="51" t="s">
        <v>3804</v>
      </c>
      <c r="B185" s="51">
        <v>63</v>
      </c>
      <c r="E185" s="54" t="str" cm="1">
        <f t="array" aca="1" ref="E185" ca="1">IF(H185=0,"",HYPERLINK("#"&amp;RIGHT(CELL("dateiname"),LEN(CELL("dateiname"))-FIND("]",CELL("dateiname")))&amp;"!"&amp;CELL("adresse",OFFSET($Q$6,H185-1,0)),"Definition"))</f>
        <v/>
      </c>
      <c r="F185" s="54" t="str" cm="1">
        <f t="array" aca="1" ref="F185" ca="1">IF(I185=0,"",HYPERLINK("#"&amp;RIGHT(CELL("adresse",OFFSET(DMAV_Doku!$B$6,I185-1,0)),LEN(CELL("adresse",OFFSET(DMAV_Doku!$B$6,I185-1,0)))-SEARCH("]",CELL("adresse",OFFSET(DMAV_Doku!$B$6,I185-1,0)))),"ModDoc"))</f>
        <v/>
      </c>
      <c r="G185" s="150" t="str">
        <f t="shared" si="4"/>
        <v>MHG63</v>
      </c>
      <c r="H185" s="150">
        <f t="shared" si="5"/>
        <v>0</v>
      </c>
      <c r="I185" s="150">
        <f>IF(_xlfn.XLOOKUP(G185,Korrelation!$A$4:$A$723,Korrelation!$B$4:$B$723,0,0)=0,0,MATCH(_xlfn.XLOOKUP(G185,Korrelation!$A$4:$A$723,Korrelation!$B$4:$B$723,0,0),DMAV_Doku!$H$6:$H$483,0))</f>
        <v>0</v>
      </c>
      <c r="J185" s="158"/>
      <c r="K185" s="161"/>
      <c r="L185" s="161"/>
      <c r="M185" s="158"/>
      <c r="N185" s="51" t="s">
        <v>991</v>
      </c>
      <c r="O185" s="51" t="s">
        <v>919</v>
      </c>
      <c r="P185" s="51" t="s">
        <v>15</v>
      </c>
      <c r="Q185" s="51" t="s">
        <v>967</v>
      </c>
      <c r="R185" s="51" t="s">
        <v>1029</v>
      </c>
      <c r="U185" s="52" t="s">
        <v>1000</v>
      </c>
      <c r="W185" s="52" t="s">
        <v>226</v>
      </c>
      <c r="X185" s="51" t="s">
        <v>972</v>
      </c>
      <c r="AB185" s="51" t="s">
        <v>4062</v>
      </c>
      <c r="AC185" s="51" t="s">
        <v>3895</v>
      </c>
      <c r="AD185" s="51" t="s">
        <v>704</v>
      </c>
      <c r="AE185" s="51" t="s">
        <v>967</v>
      </c>
      <c r="AF185" s="51" t="s">
        <v>4151</v>
      </c>
      <c r="AI185" s="52" t="s">
        <v>4083</v>
      </c>
      <c r="AK185" s="52" t="s">
        <v>778</v>
      </c>
      <c r="AL185" s="51" t="s">
        <v>972</v>
      </c>
      <c r="AP185" s="51" t="s">
        <v>4063</v>
      </c>
      <c r="AQ185" s="51" t="s">
        <v>3896</v>
      </c>
      <c r="AR185" s="51" t="s">
        <v>4064</v>
      </c>
      <c r="AS185" s="51" t="s">
        <v>967</v>
      </c>
      <c r="AT185" s="51" t="s">
        <v>4152</v>
      </c>
      <c r="AW185" s="52" t="s">
        <v>4084</v>
      </c>
      <c r="AY185" s="52" t="s">
        <v>1771</v>
      </c>
      <c r="AZ185" s="51" t="s">
        <v>972</v>
      </c>
    </row>
    <row r="186" spans="1:54" x14ac:dyDescent="0.25">
      <c r="A186" s="51" t="s">
        <v>3804</v>
      </c>
      <c r="B186" s="51">
        <v>64</v>
      </c>
      <c r="E186" s="54" t="str" cm="1">
        <f t="array" aca="1" ref="E186" ca="1">IF(H186=0,"",HYPERLINK("#"&amp;RIGHT(CELL("dateiname"),LEN(CELL("dateiname"))-FIND("]",CELL("dateiname")))&amp;"!"&amp;CELL("adresse",OFFSET($Q$6,H186-1,0)),"Definition"))</f>
        <v/>
      </c>
      <c r="F186" s="54" t="str" cm="1">
        <f t="array" aca="1" ref="F186" ca="1">IF(I186=0,"",HYPERLINK("#"&amp;RIGHT(CELL("adresse",OFFSET(DMAV_Doku!$B$6,I186-1,0)),LEN(CELL("adresse",OFFSET(DMAV_Doku!$B$6,I186-1,0)))-SEARCH("]",CELL("adresse",OFFSET(DMAV_Doku!$B$6,I186-1,0)))),"ModDoc"))</f>
        <v/>
      </c>
      <c r="G186" s="150" t="str">
        <f t="shared" si="4"/>
        <v>MHG64</v>
      </c>
      <c r="H186" s="150">
        <f t="shared" si="5"/>
        <v>0</v>
      </c>
      <c r="I186" s="150">
        <f>IF(_xlfn.XLOOKUP(G186,Korrelation!$A$4:$A$723,Korrelation!$B$4:$B$723,0,0)=0,0,MATCH(_xlfn.XLOOKUP(G186,Korrelation!$A$4:$A$723,Korrelation!$B$4:$B$723,0,0),DMAV_Doku!$H$6:$H$483,0))</f>
        <v>0</v>
      </c>
      <c r="J186" s="158"/>
      <c r="K186" s="161"/>
      <c r="L186" s="161"/>
      <c r="M186" s="158"/>
      <c r="N186" s="51" t="s">
        <v>991</v>
      </c>
      <c r="O186" s="51" t="s">
        <v>919</v>
      </c>
      <c r="P186" s="51" t="s">
        <v>15</v>
      </c>
      <c r="Q186" s="51" t="s">
        <v>977</v>
      </c>
      <c r="R186" s="51" t="s">
        <v>1030</v>
      </c>
      <c r="U186" s="52" t="s">
        <v>979</v>
      </c>
      <c r="W186" s="52" t="s">
        <v>226</v>
      </c>
      <c r="AB186" s="51" t="s">
        <v>4062</v>
      </c>
      <c r="AC186" s="51" t="s">
        <v>3895</v>
      </c>
      <c r="AD186" s="51" t="s">
        <v>704</v>
      </c>
      <c r="AE186" s="51" t="s">
        <v>977</v>
      </c>
      <c r="AF186" s="51" t="s">
        <v>4153</v>
      </c>
      <c r="AI186" s="52" t="s">
        <v>979</v>
      </c>
      <c r="AK186" s="52" t="s">
        <v>778</v>
      </c>
      <c r="AP186" s="51" t="s">
        <v>4063</v>
      </c>
      <c r="AQ186" s="51" t="s">
        <v>3896</v>
      </c>
      <c r="AR186" s="51" t="s">
        <v>4064</v>
      </c>
      <c r="AS186" s="51" t="s">
        <v>977</v>
      </c>
      <c r="AT186" s="51" t="s">
        <v>4154</v>
      </c>
      <c r="AW186" s="52" t="s">
        <v>979</v>
      </c>
      <c r="AY186" s="52" t="s">
        <v>1771</v>
      </c>
    </row>
    <row r="187" spans="1:54" ht="76.5" x14ac:dyDescent="0.25">
      <c r="A187" s="51" t="s">
        <v>3804</v>
      </c>
      <c r="B187" s="51">
        <v>65</v>
      </c>
      <c r="E187" s="54" t="str" cm="1">
        <f t="array" aca="1" ref="E187" ca="1">IF(H187=0,"",HYPERLINK("#"&amp;RIGHT(CELL("dateiname"),LEN(CELL("dateiname"))-FIND("]",CELL("dateiname")))&amp;"!"&amp;CELL("adresse",OFFSET($Q$6,H187-1,0)),"Definition"))</f>
        <v/>
      </c>
      <c r="F187" s="54" t="str" cm="1">
        <f t="array" aca="1" ref="F187" ca="1">IF(I187=0,"",HYPERLINK("#"&amp;RIGHT(CELL("adresse",OFFSET(DMAV_Doku!$B$6,I187-1,0)),LEN(CELL("adresse",OFFSET(DMAV_Doku!$B$6,I187-1,0)))-SEARCH("]",CELL("adresse",OFFSET(DMAV_Doku!$B$6,I187-1,0)))),"ModDoc"))</f>
        <v/>
      </c>
      <c r="G187" s="150" t="str">
        <f t="shared" si="4"/>
        <v>MHG65</v>
      </c>
      <c r="H187" s="150">
        <f t="shared" si="5"/>
        <v>0</v>
      </c>
      <c r="I187" s="150">
        <f>IF(_xlfn.XLOOKUP(G187,Korrelation!$A$4:$A$723,Korrelation!$B$4:$B$723,0,0)=0,0,MATCH(_xlfn.XLOOKUP(G187,Korrelation!$A$4:$A$723,Korrelation!$B$4:$B$723,0,0),DMAV_Doku!$H$6:$H$483,0))</f>
        <v>0</v>
      </c>
      <c r="J187" s="158"/>
      <c r="K187" s="161"/>
      <c r="L187" s="161"/>
      <c r="M187" s="158"/>
      <c r="N187" s="51" t="s">
        <v>991</v>
      </c>
      <c r="O187" s="51" t="s">
        <v>919</v>
      </c>
      <c r="P187" s="51" t="s">
        <v>15</v>
      </c>
      <c r="Q187" s="51" t="s">
        <v>977</v>
      </c>
      <c r="R187" s="51" t="s">
        <v>1030</v>
      </c>
      <c r="U187" s="52" t="s">
        <v>1002</v>
      </c>
      <c r="W187" s="52" t="s">
        <v>1031</v>
      </c>
      <c r="Z187" s="198" t="s">
        <v>2767</v>
      </c>
      <c r="AB187" s="51" t="s">
        <v>4062</v>
      </c>
      <c r="AC187" s="51" t="s">
        <v>3895</v>
      </c>
      <c r="AD187" s="51" t="s">
        <v>704</v>
      </c>
      <c r="AE187" s="51" t="s">
        <v>977</v>
      </c>
      <c r="AF187" s="51" t="s">
        <v>4153</v>
      </c>
      <c r="AI187" s="52" t="s">
        <v>4087</v>
      </c>
      <c r="AK187" s="52" t="s">
        <v>4155</v>
      </c>
      <c r="AN187" s="259" t="s">
        <v>7263</v>
      </c>
      <c r="AP187" s="51" t="s">
        <v>4063</v>
      </c>
      <c r="AQ187" s="51" t="s">
        <v>3896</v>
      </c>
      <c r="AR187" s="51" t="s">
        <v>4064</v>
      </c>
      <c r="AS187" s="51" t="s">
        <v>977</v>
      </c>
      <c r="AT187" s="51" t="s">
        <v>4154</v>
      </c>
      <c r="AW187" s="52" t="s">
        <v>4087</v>
      </c>
      <c r="AY187" s="52" t="s">
        <v>4156</v>
      </c>
      <c r="BB187" s="199" t="s">
        <v>5983</v>
      </c>
    </row>
    <row r="188" spans="1:54" x14ac:dyDescent="0.25">
      <c r="A188" s="51" t="s">
        <v>3804</v>
      </c>
      <c r="B188" s="51">
        <v>66</v>
      </c>
      <c r="E188" s="54" t="str" cm="1">
        <f t="array" aca="1" ref="E188" ca="1">IF(H188=0,"",HYPERLINK("#"&amp;RIGHT(CELL("dateiname"),LEN(CELL("dateiname"))-FIND("]",CELL("dateiname")))&amp;"!"&amp;CELL("adresse",OFFSET($Q$6,H188-1,0)),"Definition"))</f>
        <v/>
      </c>
      <c r="F188" s="54" t="str" cm="1">
        <f t="array" aca="1" ref="F188" ca="1">IF(I188=0,"",HYPERLINK("#"&amp;RIGHT(CELL("adresse",OFFSET(DMAV_Doku!$B$6,I188-1,0)),LEN(CELL("adresse",OFFSET(DMAV_Doku!$B$6,I188-1,0)))-SEARCH("]",CELL("adresse",OFFSET(DMAV_Doku!$B$6,I188-1,0)))),"ModDoc"))</f>
        <v/>
      </c>
      <c r="G188" s="150" t="str">
        <f t="shared" si="4"/>
        <v>MHG66</v>
      </c>
      <c r="H188" s="150">
        <f t="shared" si="5"/>
        <v>0</v>
      </c>
      <c r="I188" s="150">
        <f>IF(_xlfn.XLOOKUP(G188,Korrelation!$A$4:$A$723,Korrelation!$B$4:$B$723,0,0)=0,0,MATCH(_xlfn.XLOOKUP(G188,Korrelation!$A$4:$A$723,Korrelation!$B$4:$B$723,0,0),DMAV_Doku!$H$6:$H$483,0))</f>
        <v>0</v>
      </c>
      <c r="J188" s="158"/>
      <c r="K188" s="161"/>
      <c r="L188" s="161"/>
      <c r="M188" s="158"/>
      <c r="N188" s="51" t="s">
        <v>991</v>
      </c>
      <c r="O188" s="51" t="s">
        <v>919</v>
      </c>
      <c r="P188" s="51" t="s">
        <v>15</v>
      </c>
      <c r="Q188" s="51" t="s">
        <v>977</v>
      </c>
      <c r="R188" s="51" t="s">
        <v>1030</v>
      </c>
      <c r="U188" s="52" t="s">
        <v>982</v>
      </c>
      <c r="V188" s="55"/>
      <c r="W188" s="52" t="s">
        <v>226</v>
      </c>
      <c r="AB188" s="51" t="s">
        <v>4062</v>
      </c>
      <c r="AC188" s="51" t="s">
        <v>3895</v>
      </c>
      <c r="AD188" s="51" t="s">
        <v>704</v>
      </c>
      <c r="AE188" s="51" t="s">
        <v>977</v>
      </c>
      <c r="AF188" s="51" t="s">
        <v>4153</v>
      </c>
      <c r="AI188" s="52" t="s">
        <v>982</v>
      </c>
      <c r="AK188" s="52" t="s">
        <v>778</v>
      </c>
      <c r="AP188" s="51" t="s">
        <v>4063</v>
      </c>
      <c r="AQ188" s="51" t="s">
        <v>3896</v>
      </c>
      <c r="AR188" s="51" t="s">
        <v>4064</v>
      </c>
      <c r="AS188" s="51" t="s">
        <v>977</v>
      </c>
      <c r="AT188" s="51" t="s">
        <v>4154</v>
      </c>
      <c r="AW188" s="52" t="s">
        <v>982</v>
      </c>
      <c r="AY188" s="52" t="s">
        <v>1771</v>
      </c>
    </row>
    <row r="189" spans="1:54" x14ac:dyDescent="0.25">
      <c r="A189" s="51" t="s">
        <v>3804</v>
      </c>
      <c r="B189" s="51">
        <v>67</v>
      </c>
      <c r="E189" s="54" t="str" cm="1">
        <f t="array" aca="1" ref="E189" ca="1">IF(H189=0,"",HYPERLINK("#"&amp;RIGHT(CELL("dateiname"),LEN(CELL("dateiname"))-FIND("]",CELL("dateiname")))&amp;"!"&amp;CELL("adresse",OFFSET($Q$6,H189-1,0)),"Definition"))</f>
        <v/>
      </c>
      <c r="F189" s="54" t="str" cm="1">
        <f t="array" aca="1" ref="F189" ca="1">IF(I189=0,"",HYPERLINK("#"&amp;RIGHT(CELL("adresse",OFFSET(DMAV_Doku!$B$6,I189-1,0)),LEN(CELL("adresse",OFFSET(DMAV_Doku!$B$6,I189-1,0)))-SEARCH("]",CELL("adresse",OFFSET(DMAV_Doku!$B$6,I189-1,0)))),"ModDoc"))</f>
        <v>ModDoc</v>
      </c>
      <c r="G189" s="150" t="str">
        <f t="shared" si="4"/>
        <v>MHG67</v>
      </c>
      <c r="H189" s="150">
        <f t="shared" si="5"/>
        <v>0</v>
      </c>
      <c r="I189" s="150">
        <f>IF(_xlfn.XLOOKUP(G189,Korrelation!$A$4:$A$723,Korrelation!$B$4:$B$723,0,0)=0,0,MATCH(_xlfn.XLOOKUP(G189,Korrelation!$A$4:$A$723,Korrelation!$B$4:$B$723,0,0),DMAV_Doku!$H$6:$H$483,0))</f>
        <v>125</v>
      </c>
      <c r="J189" s="158"/>
      <c r="K189" s="161"/>
      <c r="L189" s="161"/>
      <c r="M189" s="158"/>
      <c r="N189" s="51" t="s">
        <v>991</v>
      </c>
      <c r="O189" s="51" t="s">
        <v>919</v>
      </c>
      <c r="P189" s="51" t="s">
        <v>15</v>
      </c>
      <c r="Q189" s="51" t="s">
        <v>949</v>
      </c>
      <c r="R189" s="51" t="s">
        <v>228</v>
      </c>
      <c r="S189" s="50" t="s">
        <v>950</v>
      </c>
      <c r="U189" s="52" t="s">
        <v>123</v>
      </c>
      <c r="W189" s="52" t="s">
        <v>990</v>
      </c>
      <c r="Y189" s="52" t="s">
        <v>1764</v>
      </c>
      <c r="AB189" s="51" t="s">
        <v>4062</v>
      </c>
      <c r="AC189" s="51" t="s">
        <v>3895</v>
      </c>
      <c r="AD189" s="51" t="s">
        <v>704</v>
      </c>
      <c r="AE189" s="51" t="s">
        <v>949</v>
      </c>
      <c r="AF189" s="51" t="s">
        <v>779</v>
      </c>
      <c r="AG189" s="50" t="s">
        <v>950</v>
      </c>
      <c r="AI189" s="52" t="s">
        <v>123</v>
      </c>
      <c r="AK189" s="52" t="s">
        <v>990</v>
      </c>
      <c r="AP189" s="51" t="s">
        <v>4063</v>
      </c>
      <c r="AQ189" s="51" t="s">
        <v>3896</v>
      </c>
      <c r="AR189" s="51" t="s">
        <v>4064</v>
      </c>
      <c r="AS189" s="51" t="s">
        <v>949</v>
      </c>
      <c r="AT189" s="51" t="s">
        <v>4157</v>
      </c>
      <c r="AU189" s="50" t="s">
        <v>950</v>
      </c>
      <c r="AW189" s="52" t="s">
        <v>1247</v>
      </c>
      <c r="AY189" s="52" t="s">
        <v>990</v>
      </c>
    </row>
    <row r="190" spans="1:54" x14ac:dyDescent="0.25">
      <c r="A190" s="51" t="s">
        <v>3804</v>
      </c>
      <c r="B190" s="51">
        <v>68</v>
      </c>
      <c r="E190" s="54" t="str" cm="1">
        <f t="array" aca="1" ref="E190" ca="1">IF(H190=0,"",HYPERLINK("#"&amp;RIGHT(CELL("dateiname"),LEN(CELL("dateiname"))-FIND("]",CELL("dateiname")))&amp;"!"&amp;CELL("adresse",OFFSET($Q$6,H190-1,0)),"Definition"))</f>
        <v/>
      </c>
      <c r="F190" s="54" t="str" cm="1">
        <f t="array" aca="1" ref="F190" ca="1">IF(I190=0,"",HYPERLINK("#"&amp;RIGHT(CELL("adresse",OFFSET(DMAV_Doku!$B$6,I190-1,0)),LEN(CELL("adresse",OFFSET(DMAV_Doku!$B$6,I190-1,0)))-SEARCH("]",CELL("adresse",OFFSET(DMAV_Doku!$B$6,I190-1,0)))),"ModDoc"))</f>
        <v>ModDoc</v>
      </c>
      <c r="G190" s="150" t="str">
        <f t="shared" si="4"/>
        <v>MHG68</v>
      </c>
      <c r="H190" s="150">
        <f t="shared" si="5"/>
        <v>0</v>
      </c>
      <c r="I190" s="150">
        <f>IF(_xlfn.XLOOKUP(G190,Korrelation!$A$4:$A$723,Korrelation!$B$4:$B$723,0,0)=0,0,MATCH(_xlfn.XLOOKUP(G190,Korrelation!$A$4:$A$723,Korrelation!$B$4:$B$723,0,0),DMAV_Doku!$H$6:$H$483,0))</f>
        <v>126</v>
      </c>
      <c r="J190" s="158"/>
      <c r="K190" s="161"/>
      <c r="L190" s="161"/>
      <c r="M190" s="158"/>
      <c r="N190" s="51" t="s">
        <v>991</v>
      </c>
      <c r="O190" s="51" t="s">
        <v>919</v>
      </c>
      <c r="P190" s="51" t="s">
        <v>15</v>
      </c>
      <c r="Q190" s="51" t="s">
        <v>949</v>
      </c>
      <c r="R190" s="51" t="s">
        <v>228</v>
      </c>
      <c r="S190" s="50" t="s">
        <v>950</v>
      </c>
      <c r="U190" s="52" t="s">
        <v>193</v>
      </c>
      <c r="W190" s="52" t="s">
        <v>2784</v>
      </c>
      <c r="Y190" s="52" t="s">
        <v>3460</v>
      </c>
      <c r="AB190" s="51" t="s">
        <v>4062</v>
      </c>
      <c r="AC190" s="51" t="s">
        <v>3895</v>
      </c>
      <c r="AD190" s="51" t="s">
        <v>704</v>
      </c>
      <c r="AE190" s="51" t="s">
        <v>949</v>
      </c>
      <c r="AF190" s="51" t="s">
        <v>779</v>
      </c>
      <c r="AG190" s="50" t="s">
        <v>950</v>
      </c>
      <c r="AI190" s="52" t="s">
        <v>769</v>
      </c>
      <c r="AK190" s="52" t="s">
        <v>4141</v>
      </c>
      <c r="AP190" s="51" t="s">
        <v>4063</v>
      </c>
      <c r="AQ190" s="51" t="s">
        <v>3896</v>
      </c>
      <c r="AR190" s="51" t="s">
        <v>4064</v>
      </c>
      <c r="AS190" s="51" t="s">
        <v>949</v>
      </c>
      <c r="AT190" s="51" t="s">
        <v>4157</v>
      </c>
      <c r="AU190" s="50" t="s">
        <v>950</v>
      </c>
      <c r="AW190" s="52" t="s">
        <v>1515</v>
      </c>
      <c r="AY190" s="52" t="s">
        <v>4142</v>
      </c>
    </row>
    <row r="191" spans="1:54" x14ac:dyDescent="0.25">
      <c r="A191" s="51" t="s">
        <v>3804</v>
      </c>
      <c r="B191" s="51">
        <v>69</v>
      </c>
      <c r="E191" s="54" t="str" cm="1">
        <f t="array" aca="1" ref="E191" ca="1">IF(H191=0,"",HYPERLINK("#"&amp;RIGHT(CELL("dateiname"),LEN(CELL("dateiname"))-FIND("]",CELL("dateiname")))&amp;"!"&amp;CELL("adresse",OFFSET($Q$6,H191-1,0)),"Definition"))</f>
        <v/>
      </c>
      <c r="F191" s="54" t="str" cm="1">
        <f t="array" aca="1" ref="F191" ca="1">IF(I191=0,"",HYPERLINK("#"&amp;RIGHT(CELL("adresse",OFFSET(DMAV_Doku!$B$6,I191-1,0)),LEN(CELL("adresse",OFFSET(DMAV_Doku!$B$6,I191-1,0)))-SEARCH("]",CELL("adresse",OFFSET(DMAV_Doku!$B$6,I191-1,0)))),"ModDoc"))</f>
        <v/>
      </c>
      <c r="G191" s="150" t="str">
        <f t="shared" si="4"/>
        <v>MHG69</v>
      </c>
      <c r="H191" s="150">
        <f t="shared" si="5"/>
        <v>0</v>
      </c>
      <c r="I191" s="150">
        <f>IF(_xlfn.XLOOKUP(G191,Korrelation!$A$4:$A$723,Korrelation!$B$4:$B$723,0,0)=0,0,MATCH(_xlfn.XLOOKUP(G191,Korrelation!$A$4:$A$723,Korrelation!$B$4:$B$723,0,0),DMAV_Doku!$H$6:$H$483,0))</f>
        <v>0</v>
      </c>
      <c r="J191" s="158"/>
      <c r="K191" s="161"/>
      <c r="L191" s="161"/>
      <c r="M191" s="158"/>
      <c r="N191" s="51" t="s">
        <v>991</v>
      </c>
      <c r="O191" s="51" t="s">
        <v>919</v>
      </c>
      <c r="P191" s="51" t="s">
        <v>15</v>
      </c>
      <c r="Q191" s="51" t="s">
        <v>967</v>
      </c>
      <c r="R191" s="51" t="s">
        <v>1032</v>
      </c>
      <c r="U191" s="52" t="s">
        <v>969</v>
      </c>
      <c r="W191" s="52" t="s">
        <v>205</v>
      </c>
      <c r="X191" s="51" t="s">
        <v>970</v>
      </c>
      <c r="AB191" s="51" t="s">
        <v>4062</v>
      </c>
      <c r="AC191" s="51" t="s">
        <v>3895</v>
      </c>
      <c r="AD191" s="51" t="s">
        <v>704</v>
      </c>
      <c r="AE191" s="51" t="s">
        <v>967</v>
      </c>
      <c r="AF191" s="51" t="s">
        <v>4158</v>
      </c>
      <c r="AI191" s="52" t="s">
        <v>1319</v>
      </c>
      <c r="AK191" s="52" t="s">
        <v>771</v>
      </c>
      <c r="AL191" s="51" t="s">
        <v>970</v>
      </c>
      <c r="AP191" s="51" t="s">
        <v>4063</v>
      </c>
      <c r="AQ191" s="51" t="s">
        <v>3896</v>
      </c>
      <c r="AR191" s="51" t="s">
        <v>4064</v>
      </c>
      <c r="AS191" s="51" t="s">
        <v>967</v>
      </c>
      <c r="AT191" s="51" t="s">
        <v>4159</v>
      </c>
      <c r="AW191" s="52" t="s">
        <v>1319</v>
      </c>
      <c r="AY191" s="52" t="s">
        <v>4065</v>
      </c>
      <c r="AZ191" s="51" t="s">
        <v>970</v>
      </c>
    </row>
    <row r="192" spans="1:54" x14ac:dyDescent="0.25">
      <c r="A192" s="51" t="s">
        <v>3804</v>
      </c>
      <c r="B192" s="51">
        <v>70</v>
      </c>
      <c r="E192" s="54" t="str" cm="1">
        <f t="array" aca="1" ref="E192" ca="1">IF(H192=0,"",HYPERLINK("#"&amp;RIGHT(CELL("dateiname"),LEN(CELL("dateiname"))-FIND("]",CELL("dateiname")))&amp;"!"&amp;CELL("adresse",OFFSET($Q$6,H192-1,0)),"Definition"))</f>
        <v/>
      </c>
      <c r="F192" s="54" t="str" cm="1">
        <f t="array" aca="1" ref="F192" ca="1">IF(I192=0,"",HYPERLINK("#"&amp;RIGHT(CELL("adresse",OFFSET(DMAV_Doku!$B$6,I192-1,0)),LEN(CELL("adresse",OFFSET(DMAV_Doku!$B$6,I192-1,0)))-SEARCH("]",CELL("adresse",OFFSET(DMAV_Doku!$B$6,I192-1,0)))),"ModDoc"))</f>
        <v/>
      </c>
      <c r="G192" s="150" t="str">
        <f t="shared" si="4"/>
        <v>MHG70</v>
      </c>
      <c r="H192" s="150">
        <f t="shared" si="5"/>
        <v>0</v>
      </c>
      <c r="I192" s="150">
        <f>IF(_xlfn.XLOOKUP(G192,Korrelation!$A$4:$A$723,Korrelation!$B$4:$B$723,0,0)=0,0,MATCH(_xlfn.XLOOKUP(G192,Korrelation!$A$4:$A$723,Korrelation!$B$4:$B$723,0,0),DMAV_Doku!$H$6:$H$483,0))</f>
        <v>0</v>
      </c>
      <c r="J192" s="158"/>
      <c r="K192" s="161"/>
      <c r="L192" s="161"/>
      <c r="M192" s="158"/>
      <c r="N192" s="51" t="s">
        <v>991</v>
      </c>
      <c r="O192" s="51" t="s">
        <v>919</v>
      </c>
      <c r="P192" s="51" t="s">
        <v>15</v>
      </c>
      <c r="Q192" s="51" t="s">
        <v>967</v>
      </c>
      <c r="R192" s="51" t="s">
        <v>1032</v>
      </c>
      <c r="U192" s="52" t="s">
        <v>1033</v>
      </c>
      <c r="W192" s="52" t="s">
        <v>228</v>
      </c>
      <c r="X192" s="51" t="s">
        <v>972</v>
      </c>
      <c r="AB192" s="51" t="s">
        <v>4062</v>
      </c>
      <c r="AC192" s="51" t="s">
        <v>3895</v>
      </c>
      <c r="AD192" s="51" t="s">
        <v>704</v>
      </c>
      <c r="AE192" s="51" t="s">
        <v>967</v>
      </c>
      <c r="AF192" s="51" t="s">
        <v>4158</v>
      </c>
      <c r="AI192" s="52" t="s">
        <v>4160</v>
      </c>
      <c r="AK192" s="52" t="s">
        <v>779</v>
      </c>
      <c r="AL192" s="51" t="s">
        <v>972</v>
      </c>
      <c r="AP192" s="51" t="s">
        <v>4063</v>
      </c>
      <c r="AQ192" s="51" t="s">
        <v>3896</v>
      </c>
      <c r="AR192" s="51" t="s">
        <v>4064</v>
      </c>
      <c r="AS192" s="51" t="s">
        <v>967</v>
      </c>
      <c r="AT192" s="51" t="s">
        <v>4159</v>
      </c>
      <c r="AW192" s="52" t="s">
        <v>4161</v>
      </c>
      <c r="AY192" s="52" t="s">
        <v>4157</v>
      </c>
      <c r="AZ192" s="51" t="s">
        <v>972</v>
      </c>
    </row>
    <row r="193" spans="1:54" x14ac:dyDescent="0.25">
      <c r="A193" s="51" t="s">
        <v>3804</v>
      </c>
      <c r="B193" s="51">
        <v>71</v>
      </c>
      <c r="E193" s="54" t="str" cm="1">
        <f t="array" aca="1" ref="E193" ca="1">IF(H193=0,"",HYPERLINK("#"&amp;RIGHT(CELL("dateiname"),LEN(CELL("dateiname"))-FIND("]",CELL("dateiname")))&amp;"!"&amp;CELL("adresse",OFFSET($Q$6,H193-1,0)),"Definition"))</f>
        <v/>
      </c>
      <c r="F193" s="54" t="str" cm="1">
        <f t="array" aca="1" ref="F193" ca="1">IF(I193=0,"",HYPERLINK("#"&amp;RIGHT(CELL("adresse",OFFSET(DMAV_Doku!$B$6,I193-1,0)),LEN(CELL("adresse",OFFSET(DMAV_Doku!$B$6,I193-1,0)))-SEARCH("]",CELL("adresse",OFFSET(DMAV_Doku!$B$6,I193-1,0)))),"ModDoc"))</f>
        <v/>
      </c>
      <c r="G193" s="150" t="str">
        <f t="shared" si="4"/>
        <v>MHG71</v>
      </c>
      <c r="H193" s="150">
        <f t="shared" si="5"/>
        <v>0</v>
      </c>
      <c r="I193" s="150">
        <f>IF(_xlfn.XLOOKUP(G193,Korrelation!$A$4:$A$723,Korrelation!$B$4:$B$723,0,0)=0,0,MATCH(_xlfn.XLOOKUP(G193,Korrelation!$A$4:$A$723,Korrelation!$B$4:$B$723,0,0),DMAV_Doku!$H$6:$H$483,0))</f>
        <v>0</v>
      </c>
      <c r="J193" s="158"/>
      <c r="K193" s="161"/>
      <c r="L193" s="161"/>
      <c r="M193" s="158"/>
      <c r="N193" s="51" t="s">
        <v>991</v>
      </c>
      <c r="O193" s="51" t="s">
        <v>919</v>
      </c>
      <c r="P193" s="51" t="s">
        <v>15</v>
      </c>
      <c r="Q193" s="51" t="s">
        <v>967</v>
      </c>
      <c r="R193" s="51" t="s">
        <v>1034</v>
      </c>
      <c r="U193" s="52" t="s">
        <v>974</v>
      </c>
      <c r="W193" s="52" t="s">
        <v>205</v>
      </c>
      <c r="X193" s="51" t="s">
        <v>975</v>
      </c>
      <c r="AB193" s="51" t="s">
        <v>4062</v>
      </c>
      <c r="AC193" s="51" t="s">
        <v>3895</v>
      </c>
      <c r="AD193" s="51" t="s">
        <v>704</v>
      </c>
      <c r="AE193" s="51" t="s">
        <v>967</v>
      </c>
      <c r="AF193" s="51" t="s">
        <v>4162</v>
      </c>
      <c r="AI193" s="52" t="s">
        <v>4074</v>
      </c>
      <c r="AK193" s="52" t="s">
        <v>771</v>
      </c>
      <c r="AL193" s="51" t="s">
        <v>975</v>
      </c>
      <c r="AP193" s="51" t="s">
        <v>4063</v>
      </c>
      <c r="AQ193" s="51" t="s">
        <v>3896</v>
      </c>
      <c r="AR193" s="51" t="s">
        <v>4064</v>
      </c>
      <c r="AS193" s="51" t="s">
        <v>967</v>
      </c>
      <c r="AT193" s="51" t="s">
        <v>4163</v>
      </c>
      <c r="AW193" s="52" t="s">
        <v>4076</v>
      </c>
      <c r="AY193" s="52" t="s">
        <v>4065</v>
      </c>
      <c r="AZ193" s="51" t="s">
        <v>975</v>
      </c>
    </row>
    <row r="194" spans="1:54" x14ac:dyDescent="0.25">
      <c r="A194" s="51" t="s">
        <v>3804</v>
      </c>
      <c r="B194" s="51">
        <v>72</v>
      </c>
      <c r="E194" s="54" t="str" cm="1">
        <f t="array" aca="1" ref="E194" ca="1">IF(H194=0,"",HYPERLINK("#"&amp;RIGHT(CELL("dateiname"),LEN(CELL("dateiname"))-FIND("]",CELL("dateiname")))&amp;"!"&amp;CELL("adresse",OFFSET($Q$6,H194-1,0)),"Definition"))</f>
        <v/>
      </c>
      <c r="F194" s="54" t="str" cm="1">
        <f t="array" aca="1" ref="F194" ca="1">IF(I194=0,"",HYPERLINK("#"&amp;RIGHT(CELL("adresse",OFFSET(DMAV_Doku!$B$6,I194-1,0)),LEN(CELL("adresse",OFFSET(DMAV_Doku!$B$6,I194-1,0)))-SEARCH("]",CELL("adresse",OFFSET(DMAV_Doku!$B$6,I194-1,0)))),"ModDoc"))</f>
        <v/>
      </c>
      <c r="G194" s="150" t="str">
        <f t="shared" si="4"/>
        <v>MHG72</v>
      </c>
      <c r="H194" s="150">
        <f t="shared" si="5"/>
        <v>0</v>
      </c>
      <c r="I194" s="150">
        <f>IF(_xlfn.XLOOKUP(G194,Korrelation!$A$4:$A$723,Korrelation!$B$4:$B$723,0,0)=0,0,MATCH(_xlfn.XLOOKUP(G194,Korrelation!$A$4:$A$723,Korrelation!$B$4:$B$723,0,0),DMAV_Doku!$H$6:$H$483,0))</f>
        <v>0</v>
      </c>
      <c r="J194" s="158"/>
      <c r="K194" s="161"/>
      <c r="L194" s="161"/>
      <c r="M194" s="158"/>
      <c r="N194" s="51" t="s">
        <v>991</v>
      </c>
      <c r="O194" s="51" t="s">
        <v>919</v>
      </c>
      <c r="P194" s="51" t="s">
        <v>15</v>
      </c>
      <c r="Q194" s="51" t="s">
        <v>967</v>
      </c>
      <c r="R194" s="51" t="s">
        <v>1034</v>
      </c>
      <c r="U194" s="52" t="s">
        <v>1035</v>
      </c>
      <c r="W194" s="52" t="s">
        <v>228</v>
      </c>
      <c r="X194" s="51" t="s">
        <v>972</v>
      </c>
      <c r="AB194" s="51" t="s">
        <v>4062</v>
      </c>
      <c r="AC194" s="51" t="s">
        <v>3895</v>
      </c>
      <c r="AD194" s="51" t="s">
        <v>704</v>
      </c>
      <c r="AE194" s="51" t="s">
        <v>967</v>
      </c>
      <c r="AF194" s="51" t="s">
        <v>4162</v>
      </c>
      <c r="AI194" s="52" t="s">
        <v>4164</v>
      </c>
      <c r="AK194" s="52" t="s">
        <v>779</v>
      </c>
      <c r="AL194" s="51" t="s">
        <v>972</v>
      </c>
      <c r="AP194" s="51" t="s">
        <v>4063</v>
      </c>
      <c r="AQ194" s="51" t="s">
        <v>3896</v>
      </c>
      <c r="AR194" s="51" t="s">
        <v>4064</v>
      </c>
      <c r="AS194" s="51" t="s">
        <v>967</v>
      </c>
      <c r="AT194" s="51" t="s">
        <v>4163</v>
      </c>
      <c r="AW194" s="52" t="s">
        <v>4165</v>
      </c>
      <c r="AY194" s="52" t="s">
        <v>4157</v>
      </c>
      <c r="AZ194" s="51" t="s">
        <v>972</v>
      </c>
    </row>
    <row r="195" spans="1:54" x14ac:dyDescent="0.25">
      <c r="A195" s="51" t="s">
        <v>3804</v>
      </c>
      <c r="B195" s="51">
        <v>73</v>
      </c>
      <c r="E195" s="54" t="str" cm="1">
        <f t="array" aca="1" ref="E195" ca="1">IF(H195=0,"",HYPERLINK("#"&amp;RIGHT(CELL("dateiname"),LEN(CELL("dateiname"))-FIND("]",CELL("dateiname")))&amp;"!"&amp;CELL("adresse",OFFSET($Q$6,H195-1,0)),"Definition"))</f>
        <v/>
      </c>
      <c r="F195" s="54" t="str" cm="1">
        <f t="array" aca="1" ref="F195" ca="1">IF(I195=0,"",HYPERLINK("#"&amp;RIGHT(CELL("adresse",OFFSET(DMAV_Doku!$B$6,I195-1,0)),LEN(CELL("adresse",OFFSET(DMAV_Doku!$B$6,I195-1,0)))-SEARCH("]",CELL("adresse",OFFSET(DMAV_Doku!$B$6,I195-1,0)))),"ModDoc"))</f>
        <v/>
      </c>
      <c r="G195" s="150" t="str">
        <f t="shared" si="4"/>
        <v>MHG73</v>
      </c>
      <c r="H195" s="150">
        <f t="shared" si="5"/>
        <v>0</v>
      </c>
      <c r="I195" s="150">
        <f>IF(_xlfn.XLOOKUP(G195,Korrelation!$A$4:$A$723,Korrelation!$B$4:$B$723,0,0)=0,0,MATCH(_xlfn.XLOOKUP(G195,Korrelation!$A$4:$A$723,Korrelation!$B$4:$B$723,0,0),DMAV_Doku!$H$6:$H$483,0))</f>
        <v>0</v>
      </c>
      <c r="J195" s="158"/>
      <c r="K195" s="161"/>
      <c r="L195" s="161"/>
      <c r="M195" s="158"/>
      <c r="N195" s="51" t="s">
        <v>991</v>
      </c>
      <c r="O195" s="51" t="s">
        <v>919</v>
      </c>
      <c r="P195" s="51" t="s">
        <v>15</v>
      </c>
      <c r="Q195" s="51" t="s">
        <v>967</v>
      </c>
      <c r="R195" s="51" t="s">
        <v>1036</v>
      </c>
      <c r="U195" s="52" t="s">
        <v>999</v>
      </c>
      <c r="W195" s="52" t="s">
        <v>228</v>
      </c>
      <c r="X195" s="51" t="s">
        <v>975</v>
      </c>
      <c r="AB195" s="51" t="s">
        <v>4062</v>
      </c>
      <c r="AC195" s="51" t="s">
        <v>3895</v>
      </c>
      <c r="AD195" s="51" t="s">
        <v>704</v>
      </c>
      <c r="AE195" s="51" t="s">
        <v>967</v>
      </c>
      <c r="AF195" s="51" t="s">
        <v>4166</v>
      </c>
      <c r="AI195" s="52" t="s">
        <v>4080</v>
      </c>
      <c r="AK195" s="52" t="s">
        <v>779</v>
      </c>
      <c r="AL195" s="51" t="s">
        <v>975</v>
      </c>
      <c r="AP195" s="51" t="s">
        <v>4063</v>
      </c>
      <c r="AQ195" s="51" t="s">
        <v>3896</v>
      </c>
      <c r="AR195" s="51" t="s">
        <v>4064</v>
      </c>
      <c r="AS195" s="51" t="s">
        <v>967</v>
      </c>
      <c r="AT195" s="51" t="s">
        <v>4167</v>
      </c>
      <c r="AW195" s="52" t="s">
        <v>4082</v>
      </c>
      <c r="AY195" s="52" t="s">
        <v>4157</v>
      </c>
      <c r="AZ195" s="51" t="s">
        <v>975</v>
      </c>
    </row>
    <row r="196" spans="1:54" x14ac:dyDescent="0.25">
      <c r="A196" s="51" t="s">
        <v>3804</v>
      </c>
      <c r="B196" s="51">
        <v>74</v>
      </c>
      <c r="E196" s="54" t="str" cm="1">
        <f t="array" aca="1" ref="E196" ca="1">IF(H196=0,"",HYPERLINK("#"&amp;RIGHT(CELL("dateiname"),LEN(CELL("dateiname"))-FIND("]",CELL("dateiname")))&amp;"!"&amp;CELL("adresse",OFFSET($Q$6,H196-1,0)),"Definition"))</f>
        <v/>
      </c>
      <c r="F196" s="54" t="str" cm="1">
        <f t="array" aca="1" ref="F196" ca="1">IF(I196=0,"",HYPERLINK("#"&amp;RIGHT(CELL("adresse",OFFSET(DMAV_Doku!$B$6,I196-1,0)),LEN(CELL("adresse",OFFSET(DMAV_Doku!$B$6,I196-1,0)))-SEARCH("]",CELL("adresse",OFFSET(DMAV_Doku!$B$6,I196-1,0)))),"ModDoc"))</f>
        <v/>
      </c>
      <c r="G196" s="150" t="str">
        <f t="shared" si="4"/>
        <v>MHG74</v>
      </c>
      <c r="H196" s="150">
        <f t="shared" si="5"/>
        <v>0</v>
      </c>
      <c r="I196" s="150">
        <f>IF(_xlfn.XLOOKUP(G196,Korrelation!$A$4:$A$723,Korrelation!$B$4:$B$723,0,0)=0,0,MATCH(_xlfn.XLOOKUP(G196,Korrelation!$A$4:$A$723,Korrelation!$B$4:$B$723,0,0),DMAV_Doku!$H$6:$H$483,0))</f>
        <v>0</v>
      </c>
      <c r="J196" s="158"/>
      <c r="K196" s="161"/>
      <c r="L196" s="161"/>
      <c r="M196" s="158"/>
      <c r="N196" s="51" t="s">
        <v>991</v>
      </c>
      <c r="O196" s="51" t="s">
        <v>919</v>
      </c>
      <c r="P196" s="51" t="s">
        <v>15</v>
      </c>
      <c r="Q196" s="51" t="s">
        <v>967</v>
      </c>
      <c r="R196" s="51" t="s">
        <v>1036</v>
      </c>
      <c r="U196" s="52" t="s">
        <v>1000</v>
      </c>
      <c r="W196" s="52" t="s">
        <v>228</v>
      </c>
      <c r="X196" s="51" t="s">
        <v>972</v>
      </c>
      <c r="AB196" s="51" t="s">
        <v>4062</v>
      </c>
      <c r="AC196" s="51" t="s">
        <v>3895</v>
      </c>
      <c r="AD196" s="51" t="s">
        <v>704</v>
      </c>
      <c r="AE196" s="51" t="s">
        <v>967</v>
      </c>
      <c r="AF196" s="51" t="s">
        <v>4166</v>
      </c>
      <c r="AI196" s="52" t="s">
        <v>4083</v>
      </c>
      <c r="AK196" s="52" t="s">
        <v>779</v>
      </c>
      <c r="AL196" s="51" t="s">
        <v>972</v>
      </c>
      <c r="AP196" s="51" t="s">
        <v>4063</v>
      </c>
      <c r="AQ196" s="51" t="s">
        <v>3896</v>
      </c>
      <c r="AR196" s="51" t="s">
        <v>4064</v>
      </c>
      <c r="AS196" s="51" t="s">
        <v>967</v>
      </c>
      <c r="AT196" s="51" t="s">
        <v>4167</v>
      </c>
      <c r="AW196" s="52" t="s">
        <v>4084</v>
      </c>
      <c r="AY196" s="52" t="s">
        <v>4157</v>
      </c>
      <c r="AZ196" s="51" t="s">
        <v>972</v>
      </c>
    </row>
    <row r="197" spans="1:54" x14ac:dyDescent="0.25">
      <c r="A197" s="51" t="s">
        <v>3804</v>
      </c>
      <c r="B197" s="51">
        <v>75</v>
      </c>
      <c r="E197" s="54" t="str" cm="1">
        <f t="array" aca="1" ref="E197" ca="1">IF(H197=0,"",HYPERLINK("#"&amp;RIGHT(CELL("dateiname"),LEN(CELL("dateiname"))-FIND("]",CELL("dateiname")))&amp;"!"&amp;CELL("adresse",OFFSET($Q$6,H197-1,0)),"Definition"))</f>
        <v/>
      </c>
      <c r="F197" s="54" t="str" cm="1">
        <f t="array" aca="1" ref="F197" ca="1">IF(I197=0,"",HYPERLINK("#"&amp;RIGHT(CELL("adresse",OFFSET(DMAV_Doku!$B$6,I197-1,0)),LEN(CELL("adresse",OFFSET(DMAV_Doku!$B$6,I197-1,0)))-SEARCH("]",CELL("adresse",OFFSET(DMAV_Doku!$B$6,I197-1,0)))),"ModDoc"))</f>
        <v/>
      </c>
      <c r="G197" s="150" t="str">
        <f t="shared" si="4"/>
        <v>MHG75</v>
      </c>
      <c r="H197" s="150">
        <f t="shared" si="5"/>
        <v>0</v>
      </c>
      <c r="I197" s="150">
        <f>IF(_xlfn.XLOOKUP(G197,Korrelation!$A$4:$A$723,Korrelation!$B$4:$B$723,0,0)=0,0,MATCH(_xlfn.XLOOKUP(G197,Korrelation!$A$4:$A$723,Korrelation!$B$4:$B$723,0,0),DMAV_Doku!$H$6:$H$483,0))</f>
        <v>0</v>
      </c>
      <c r="J197" s="158"/>
      <c r="K197" s="161"/>
      <c r="L197" s="161"/>
      <c r="M197" s="158"/>
      <c r="N197" s="51" t="s">
        <v>991</v>
      </c>
      <c r="O197" s="51" t="s">
        <v>919</v>
      </c>
      <c r="P197" s="51" t="s">
        <v>15</v>
      </c>
      <c r="Q197" s="51" t="s">
        <v>977</v>
      </c>
      <c r="R197" s="51" t="s">
        <v>1037</v>
      </c>
      <c r="U197" s="52" t="s">
        <v>979</v>
      </c>
      <c r="W197" s="52" t="s">
        <v>228</v>
      </c>
      <c r="AB197" s="51" t="s">
        <v>4062</v>
      </c>
      <c r="AC197" s="51" t="s">
        <v>3895</v>
      </c>
      <c r="AD197" s="51" t="s">
        <v>704</v>
      </c>
      <c r="AE197" s="51" t="s">
        <v>977</v>
      </c>
      <c r="AF197" s="51" t="s">
        <v>4168</v>
      </c>
      <c r="AI197" s="52" t="s">
        <v>979</v>
      </c>
      <c r="AK197" s="52" t="s">
        <v>779</v>
      </c>
      <c r="AP197" s="51" t="s">
        <v>4063</v>
      </c>
      <c r="AQ197" s="51" t="s">
        <v>3896</v>
      </c>
      <c r="AR197" s="51" t="s">
        <v>4064</v>
      </c>
      <c r="AS197" s="51" t="s">
        <v>977</v>
      </c>
      <c r="AT197" s="51" t="s">
        <v>4169</v>
      </c>
      <c r="AW197" s="52" t="s">
        <v>979</v>
      </c>
      <c r="AY197" s="52" t="s">
        <v>4157</v>
      </c>
    </row>
    <row r="198" spans="1:54" ht="76.5" x14ac:dyDescent="0.25">
      <c r="A198" s="51" t="s">
        <v>3804</v>
      </c>
      <c r="B198" s="51">
        <v>76</v>
      </c>
      <c r="E198" s="54" t="str" cm="1">
        <f t="array" aca="1" ref="E198" ca="1">IF(H198=0,"",HYPERLINK("#"&amp;RIGHT(CELL("dateiname"),LEN(CELL("dateiname"))-FIND("]",CELL("dateiname")))&amp;"!"&amp;CELL("adresse",OFFSET($Q$6,H198-1,0)),"Definition"))</f>
        <v/>
      </c>
      <c r="F198" s="54" t="str" cm="1">
        <f t="array" aca="1" ref="F198" ca="1">IF(I198=0,"",HYPERLINK("#"&amp;RIGHT(CELL("adresse",OFFSET(DMAV_Doku!$B$6,I198-1,0)),LEN(CELL("adresse",OFFSET(DMAV_Doku!$B$6,I198-1,0)))-SEARCH("]",CELL("adresse",OFFSET(DMAV_Doku!$B$6,I198-1,0)))),"ModDoc"))</f>
        <v/>
      </c>
      <c r="G198" s="150" t="str">
        <f t="shared" si="4"/>
        <v>MHG76</v>
      </c>
      <c r="H198" s="150">
        <f t="shared" si="5"/>
        <v>0</v>
      </c>
      <c r="I198" s="150">
        <f>IF(_xlfn.XLOOKUP(G198,Korrelation!$A$4:$A$723,Korrelation!$B$4:$B$723,0,0)=0,0,MATCH(_xlfn.XLOOKUP(G198,Korrelation!$A$4:$A$723,Korrelation!$B$4:$B$723,0,0),DMAV_Doku!$H$6:$H$483,0))</f>
        <v>0</v>
      </c>
      <c r="J198" s="158"/>
      <c r="K198" s="161"/>
      <c r="L198" s="161"/>
      <c r="M198" s="158"/>
      <c r="N198" s="51" t="s">
        <v>991</v>
      </c>
      <c r="O198" s="51" t="s">
        <v>919</v>
      </c>
      <c r="P198" s="51" t="s">
        <v>15</v>
      </c>
      <c r="Q198" s="51" t="s">
        <v>977</v>
      </c>
      <c r="R198" s="51" t="s">
        <v>1037</v>
      </c>
      <c r="U198" s="52" t="s">
        <v>1002</v>
      </c>
      <c r="W198" s="52" t="s">
        <v>1038</v>
      </c>
      <c r="Z198" s="198" t="s">
        <v>2768</v>
      </c>
      <c r="AB198" s="51" t="s">
        <v>4062</v>
      </c>
      <c r="AC198" s="51" t="s">
        <v>3895</v>
      </c>
      <c r="AD198" s="51" t="s">
        <v>704</v>
      </c>
      <c r="AE198" s="51" t="s">
        <v>977</v>
      </c>
      <c r="AF198" s="51" t="s">
        <v>4168</v>
      </c>
      <c r="AI198" s="52" t="s">
        <v>4087</v>
      </c>
      <c r="AK198" s="52" t="s">
        <v>4170</v>
      </c>
      <c r="AN198" s="259" t="s">
        <v>7264</v>
      </c>
      <c r="AP198" s="51" t="s">
        <v>4063</v>
      </c>
      <c r="AQ198" s="51" t="s">
        <v>3896</v>
      </c>
      <c r="AR198" s="51" t="s">
        <v>4064</v>
      </c>
      <c r="AS198" s="51" t="s">
        <v>977</v>
      </c>
      <c r="AT198" s="51" t="s">
        <v>4169</v>
      </c>
      <c r="AW198" s="52" t="s">
        <v>4087</v>
      </c>
      <c r="AY198" s="52" t="s">
        <v>4171</v>
      </c>
      <c r="BB198" s="199" t="s">
        <v>5984</v>
      </c>
    </row>
    <row r="199" spans="1:54" x14ac:dyDescent="0.25">
      <c r="A199" s="51" t="s">
        <v>3804</v>
      </c>
      <c r="B199" s="51">
        <v>77</v>
      </c>
      <c r="E199" s="54" t="str" cm="1">
        <f t="array" aca="1" ref="E199" ca="1">IF(H199=0,"",HYPERLINK("#"&amp;RIGHT(CELL("dateiname"),LEN(CELL("dateiname"))-FIND("]",CELL("dateiname")))&amp;"!"&amp;CELL("adresse",OFFSET($Q$6,H199-1,0)),"Definition"))</f>
        <v/>
      </c>
      <c r="F199" s="54" t="str" cm="1">
        <f t="array" aca="1" ref="F199" ca="1">IF(I199=0,"",HYPERLINK("#"&amp;RIGHT(CELL("adresse",OFFSET(DMAV_Doku!$B$6,I199-1,0)),LEN(CELL("adresse",OFFSET(DMAV_Doku!$B$6,I199-1,0)))-SEARCH("]",CELL("adresse",OFFSET(DMAV_Doku!$B$6,I199-1,0)))),"ModDoc"))</f>
        <v/>
      </c>
      <c r="G199" s="150" t="str">
        <f t="shared" ref="G199:G262" si="6">A199&amp;B199</f>
        <v>MHG77</v>
      </c>
      <c r="H199" s="150">
        <f t="shared" ref="H199:H262" si="7">IF(C199="",0,MATCH(C199,$G$6:$G$677,0))</f>
        <v>0</v>
      </c>
      <c r="I199" s="150">
        <f>IF(_xlfn.XLOOKUP(G199,Korrelation!$A$4:$A$723,Korrelation!$B$4:$B$723,0,0)=0,0,MATCH(_xlfn.XLOOKUP(G199,Korrelation!$A$4:$A$723,Korrelation!$B$4:$B$723,0,0),DMAV_Doku!$H$6:$H$483,0))</f>
        <v>0</v>
      </c>
      <c r="J199" s="158"/>
      <c r="K199" s="161"/>
      <c r="L199" s="161"/>
      <c r="M199" s="158"/>
      <c r="N199" s="51" t="s">
        <v>991</v>
      </c>
      <c r="O199" s="51" t="s">
        <v>919</v>
      </c>
      <c r="P199" s="51" t="s">
        <v>15</v>
      </c>
      <c r="Q199" s="51" t="s">
        <v>977</v>
      </c>
      <c r="R199" s="51" t="s">
        <v>1037</v>
      </c>
      <c r="U199" s="52" t="s">
        <v>982</v>
      </c>
      <c r="V199" s="55"/>
      <c r="W199" s="52" t="s">
        <v>228</v>
      </c>
      <c r="AB199" s="51" t="s">
        <v>4062</v>
      </c>
      <c r="AC199" s="51" t="s">
        <v>3895</v>
      </c>
      <c r="AD199" s="51" t="s">
        <v>704</v>
      </c>
      <c r="AE199" s="51" t="s">
        <v>977</v>
      </c>
      <c r="AF199" s="51" t="s">
        <v>4168</v>
      </c>
      <c r="AI199" s="52" t="s">
        <v>982</v>
      </c>
      <c r="AK199" s="52" t="s">
        <v>779</v>
      </c>
      <c r="AP199" s="51" t="s">
        <v>4063</v>
      </c>
      <c r="AQ199" s="51" t="s">
        <v>3896</v>
      </c>
      <c r="AR199" s="51" t="s">
        <v>4064</v>
      </c>
      <c r="AS199" s="51" t="s">
        <v>977</v>
      </c>
      <c r="AT199" s="51" t="s">
        <v>4169</v>
      </c>
      <c r="AW199" s="52" t="s">
        <v>982</v>
      </c>
      <c r="AY199" s="52" t="s">
        <v>4157</v>
      </c>
    </row>
    <row r="200" spans="1:54" x14ac:dyDescent="0.25">
      <c r="A200" s="51" t="s">
        <v>3805</v>
      </c>
      <c r="B200" s="51">
        <v>1</v>
      </c>
      <c r="E200" s="54" t="str" cm="1">
        <f t="array" aca="1" ref="E200" ca="1">IF(H200=0,"",HYPERLINK("#"&amp;RIGHT(CELL("dateiname"),LEN(CELL("dateiname"))-FIND("]",CELL("dateiname")))&amp;"!"&amp;CELL("adresse",OFFSET($Q$6,H200-1,0)),"Definition"))</f>
        <v/>
      </c>
      <c r="F200" s="54" t="str" cm="1">
        <f t="array" aca="1" ref="F200" ca="1">IF(I200=0,"",HYPERLINK("#"&amp;RIGHT(CELL("adresse",OFFSET(DMAV_Doku!$B$6,I200-1,0)),LEN(CELL("adresse",OFFSET(DMAV_Doku!$B$6,I200-1,0)))-SEARCH("]",CELL("adresse",OFFSET(DMAV_Doku!$B$6,I200-1,0)))),"ModDoc"))</f>
        <v/>
      </c>
      <c r="G200" s="150" t="str">
        <f t="shared" si="6"/>
        <v>MGS1</v>
      </c>
      <c r="H200" s="150">
        <f t="shared" si="7"/>
        <v>0</v>
      </c>
      <c r="I200" s="150">
        <f>IF(_xlfn.XLOOKUP(G200,Korrelation!$A$4:$A$723,Korrelation!$B$4:$B$723,0,0)=0,0,MATCH(_xlfn.XLOOKUP(G200,Korrelation!$A$4:$A$723,Korrelation!$B$4:$B$723,0,0),DMAV_Doku!$H$6:$H$483,0))</f>
        <v>0</v>
      </c>
      <c r="J200" s="158"/>
      <c r="K200" s="161"/>
      <c r="L200" s="161"/>
      <c r="M200" s="158"/>
      <c r="N200" s="51" t="s">
        <v>4172</v>
      </c>
      <c r="O200" s="51" t="s">
        <v>3892</v>
      </c>
      <c r="Q200" s="51" t="s">
        <v>910</v>
      </c>
      <c r="R200" s="51" t="s">
        <v>931</v>
      </c>
      <c r="W200" s="52"/>
      <c r="AB200" s="51" t="s">
        <v>4173</v>
      </c>
      <c r="AC200" s="51" t="s">
        <v>3893</v>
      </c>
      <c r="AE200" s="51" t="s">
        <v>910</v>
      </c>
      <c r="AF200" s="51" t="s">
        <v>931</v>
      </c>
      <c r="AP200" s="51" t="s">
        <v>4174</v>
      </c>
      <c r="AQ200" s="51" t="s">
        <v>3894</v>
      </c>
      <c r="AS200" s="51" t="s">
        <v>910</v>
      </c>
      <c r="AT200" s="51" t="s">
        <v>931</v>
      </c>
    </row>
    <row r="201" spans="1:54" x14ac:dyDescent="0.25">
      <c r="A201" s="51" t="s">
        <v>3805</v>
      </c>
      <c r="B201" s="51">
        <v>2</v>
      </c>
      <c r="E201" s="54" t="str" cm="1">
        <f t="array" aca="1" ref="E201" ca="1">IF(H201=0,"",HYPERLINK("#"&amp;RIGHT(CELL("dateiname"),LEN(CELL("dateiname"))-FIND("]",CELL("dateiname")))&amp;"!"&amp;CELL("adresse",OFFSET($Q$6,H201-1,0)),"Definition"))</f>
        <v/>
      </c>
      <c r="F201" s="54" t="str" cm="1">
        <f t="array" aca="1" ref="F201" ca="1">IF(I201=0,"",HYPERLINK("#"&amp;RIGHT(CELL("adresse",OFFSET(DMAV_Doku!$B$6,I201-1,0)),LEN(CELL("adresse",OFFSET(DMAV_Doku!$B$6,I201-1,0)))-SEARCH("]",CELL("adresse",OFFSET(DMAV_Doku!$B$6,I201-1,0)))),"ModDoc"))</f>
        <v/>
      </c>
      <c r="G201" s="150" t="str">
        <f t="shared" si="6"/>
        <v>MGS2</v>
      </c>
      <c r="H201" s="150">
        <f t="shared" si="7"/>
        <v>0</v>
      </c>
      <c r="I201" s="150">
        <f>IF(_xlfn.XLOOKUP(G201,Korrelation!$A$4:$A$723,Korrelation!$B$4:$B$723,0,0)=0,0,MATCH(_xlfn.XLOOKUP(G201,Korrelation!$A$4:$A$723,Korrelation!$B$4:$B$723,0,0),DMAV_Doku!$H$6:$H$483,0))</f>
        <v>0</v>
      </c>
      <c r="J201" s="158"/>
      <c r="K201" s="161"/>
      <c r="L201" s="161"/>
      <c r="M201" s="158"/>
      <c r="N201" s="51" t="s">
        <v>4172</v>
      </c>
      <c r="O201" s="51" t="s">
        <v>3892</v>
      </c>
      <c r="Q201" s="51" t="s">
        <v>910</v>
      </c>
      <c r="R201" s="51" t="s">
        <v>932</v>
      </c>
      <c r="W201" s="52"/>
      <c r="AB201" s="51" t="s">
        <v>4173</v>
      </c>
      <c r="AC201" s="51" t="s">
        <v>3893</v>
      </c>
      <c r="AE201" s="51" t="s">
        <v>910</v>
      </c>
      <c r="AF201" s="51" t="s">
        <v>932</v>
      </c>
      <c r="AP201" s="51" t="s">
        <v>4174</v>
      </c>
      <c r="AQ201" s="51" t="s">
        <v>3894</v>
      </c>
      <c r="AS201" s="51" t="s">
        <v>910</v>
      </c>
      <c r="AT201" s="51" t="s">
        <v>932</v>
      </c>
    </row>
    <row r="202" spans="1:54" x14ac:dyDescent="0.25">
      <c r="A202" s="51" t="s">
        <v>3805</v>
      </c>
      <c r="B202" s="51">
        <v>3</v>
      </c>
      <c r="C202" s="51" t="s">
        <v>3829</v>
      </c>
      <c r="E202" s="54" t="str" cm="1">
        <f t="array" aca="1" ref="E202" ca="1">IF(H202=0,"",HYPERLINK("#"&amp;RIGHT(CELL("dateiname"),LEN(CELL("dateiname"))-FIND("]",CELL("dateiname")))&amp;"!"&amp;CELL("adresse",OFFSET($Q$6,H202-1,0)),"Definition"))</f>
        <v>Definition</v>
      </c>
      <c r="F202" s="54" t="str" cm="1">
        <f t="array" aca="1" ref="F202" ca="1">IF(I202=0,"",HYPERLINK("#"&amp;RIGHT(CELL("adresse",OFFSET(DMAV_Doku!$B$6,I202-1,0)),LEN(CELL("adresse",OFFSET(DMAV_Doku!$B$6,I202-1,0)))-SEARCH("]",CELL("adresse",OFFSET(DMAV_Doku!$B$6,I202-1,0)))),"ModDoc"))</f>
        <v/>
      </c>
      <c r="G202" s="150" t="str">
        <f t="shared" si="6"/>
        <v>MGS3</v>
      </c>
      <c r="H202" s="150">
        <f t="shared" si="7"/>
        <v>17</v>
      </c>
      <c r="I202" s="150">
        <f>IF(_xlfn.XLOOKUP(G202,Korrelation!$A$4:$A$723,Korrelation!$B$4:$B$723,0,0)=0,0,MATCH(_xlfn.XLOOKUP(G202,Korrelation!$A$4:$A$723,Korrelation!$B$4:$B$723,0,0),DMAV_Doku!$H$6:$H$483,0))</f>
        <v>0</v>
      </c>
      <c r="J202" s="158"/>
      <c r="K202" s="161"/>
      <c r="L202" s="161"/>
      <c r="M202" s="158"/>
      <c r="N202" s="51" t="s">
        <v>4172</v>
      </c>
      <c r="O202" s="51" t="s">
        <v>3892</v>
      </c>
      <c r="Q202" s="51" t="s">
        <v>910</v>
      </c>
      <c r="R202" s="51" t="s">
        <v>926</v>
      </c>
      <c r="W202" s="52"/>
      <c r="AB202" s="51" t="s">
        <v>4173</v>
      </c>
      <c r="AC202" s="51" t="s">
        <v>3893</v>
      </c>
      <c r="AE202" s="51" t="s">
        <v>910</v>
      </c>
      <c r="AF202" s="51" t="s">
        <v>3921</v>
      </c>
      <c r="AP202" s="51" t="s">
        <v>4174</v>
      </c>
      <c r="AQ202" s="51" t="s">
        <v>3894</v>
      </c>
      <c r="AS202" s="51" t="s">
        <v>910</v>
      </c>
      <c r="AT202" s="51" t="s">
        <v>3923</v>
      </c>
    </row>
    <row r="203" spans="1:54" x14ac:dyDescent="0.25">
      <c r="A203" s="51" t="s">
        <v>3805</v>
      </c>
      <c r="B203" s="51">
        <v>4</v>
      </c>
      <c r="C203" s="51" t="s">
        <v>3839</v>
      </c>
      <c r="E203" s="54" t="str" cm="1">
        <f t="array" aca="1" ref="E203" ca="1">IF(H203=0,"",HYPERLINK("#"&amp;RIGHT(CELL("dateiname"),LEN(CELL("dateiname"))-FIND("]",CELL("dateiname")))&amp;"!"&amp;CELL("adresse",OFFSET($Q$6,H203-1,0)),"Definition"))</f>
        <v>Definition</v>
      </c>
      <c r="F203" s="54" t="str" cm="1">
        <f t="array" aca="1" ref="F203" ca="1">IF(I203=0,"",HYPERLINK("#"&amp;RIGHT(CELL("adresse",OFFSET(DMAV_Doku!$B$6,I203-1,0)),LEN(CELL("adresse",OFFSET(DMAV_Doku!$B$6,I203-1,0)))-SEARCH("]",CELL("adresse",OFFSET(DMAV_Doku!$B$6,I203-1,0)))),"ModDoc"))</f>
        <v/>
      </c>
      <c r="G203" s="150" t="str">
        <f t="shared" si="6"/>
        <v>MGS4</v>
      </c>
      <c r="H203" s="150">
        <f t="shared" si="7"/>
        <v>44</v>
      </c>
      <c r="I203" s="150">
        <f>IF(_xlfn.XLOOKUP(G203,Korrelation!$A$4:$A$723,Korrelation!$B$4:$B$723,0,0)=0,0,MATCH(_xlfn.XLOOKUP(G203,Korrelation!$A$4:$A$723,Korrelation!$B$4:$B$723,0,0),DMAV_Doku!$H$6:$H$483,0))</f>
        <v>0</v>
      </c>
      <c r="J203" s="158"/>
      <c r="K203" s="161"/>
      <c r="L203" s="161"/>
      <c r="M203" s="158"/>
      <c r="N203" s="51" t="s">
        <v>4172</v>
      </c>
      <c r="O203" s="51" t="s">
        <v>3892</v>
      </c>
      <c r="Q203" s="51" t="s">
        <v>910</v>
      </c>
      <c r="R203" s="51" t="s">
        <v>943</v>
      </c>
      <c r="W203" s="52"/>
      <c r="AB203" s="51" t="s">
        <v>4173</v>
      </c>
      <c r="AC203" s="51" t="s">
        <v>3893</v>
      </c>
      <c r="AE203" s="51" t="s">
        <v>910</v>
      </c>
      <c r="AF203" s="51" t="s">
        <v>3953</v>
      </c>
      <c r="AP203" s="51" t="s">
        <v>4174</v>
      </c>
      <c r="AQ203" s="51" t="s">
        <v>3894</v>
      </c>
      <c r="AS203" s="51" t="s">
        <v>910</v>
      </c>
      <c r="AT203" s="51" t="s">
        <v>3955</v>
      </c>
    </row>
    <row r="204" spans="1:54" x14ac:dyDescent="0.25">
      <c r="A204" s="51" t="s">
        <v>3805</v>
      </c>
      <c r="B204" s="51">
        <v>5</v>
      </c>
      <c r="C204" s="51" t="s">
        <v>3830</v>
      </c>
      <c r="E204" s="54" t="str" cm="1">
        <f t="array" aca="1" ref="E204" ca="1">IF(H204=0,"",HYPERLINK("#"&amp;RIGHT(CELL("dateiname"),LEN(CELL("dateiname"))-FIND("]",CELL("dateiname")))&amp;"!"&amp;CELL("adresse",OFFSET($Q$6,H204-1,0)),"Definition"))</f>
        <v>Definition</v>
      </c>
      <c r="F204" s="54" t="str" cm="1">
        <f t="array" aca="1" ref="F204" ca="1">IF(I204=0,"",HYPERLINK("#"&amp;RIGHT(CELL("adresse",OFFSET(DMAV_Doku!$B$6,I204-1,0)),LEN(CELL("adresse",OFFSET(DMAV_Doku!$B$6,I204-1,0)))-SEARCH("]",CELL("adresse",OFFSET(DMAV_Doku!$B$6,I204-1,0)))),"ModDoc"))</f>
        <v/>
      </c>
      <c r="G204" s="150" t="str">
        <f t="shared" si="6"/>
        <v>MGS5</v>
      </c>
      <c r="H204" s="150">
        <f t="shared" si="7"/>
        <v>45</v>
      </c>
      <c r="I204" s="150">
        <f>IF(_xlfn.XLOOKUP(G204,Korrelation!$A$4:$A$723,Korrelation!$B$4:$B$723,0,0)=0,0,MATCH(_xlfn.XLOOKUP(G204,Korrelation!$A$4:$A$723,Korrelation!$B$4:$B$723,0,0),DMAV_Doku!$H$6:$H$483,0))</f>
        <v>0</v>
      </c>
      <c r="J204" s="158"/>
      <c r="K204" s="161"/>
      <c r="L204" s="161"/>
      <c r="M204" s="158"/>
      <c r="N204" s="51" t="s">
        <v>4172</v>
      </c>
      <c r="O204" s="51" t="s">
        <v>3892</v>
      </c>
      <c r="Q204" s="51" t="s">
        <v>910</v>
      </c>
      <c r="R204" s="51" t="s">
        <v>947</v>
      </c>
      <c r="W204" s="52"/>
      <c r="AB204" s="51" t="s">
        <v>4173</v>
      </c>
      <c r="AC204" s="51" t="s">
        <v>3893</v>
      </c>
      <c r="AE204" s="51" t="s">
        <v>910</v>
      </c>
      <c r="AF204" s="51" t="s">
        <v>3957</v>
      </c>
      <c r="AP204" s="51" t="s">
        <v>4174</v>
      </c>
      <c r="AQ204" s="51" t="s">
        <v>3894</v>
      </c>
      <c r="AS204" s="51" t="s">
        <v>910</v>
      </c>
      <c r="AT204" s="51" t="s">
        <v>3959</v>
      </c>
    </row>
    <row r="205" spans="1:54" x14ac:dyDescent="0.25">
      <c r="A205" s="51" t="s">
        <v>3805</v>
      </c>
      <c r="B205" s="51">
        <v>6</v>
      </c>
      <c r="C205" s="51" t="s">
        <v>3831</v>
      </c>
      <c r="E205" s="54" t="str" cm="1">
        <f t="array" aca="1" ref="E205" ca="1">IF(H205=0,"",HYPERLINK("#"&amp;RIGHT(CELL("dateiname"),LEN(CELL("dateiname"))-FIND("]",CELL("dateiname")))&amp;"!"&amp;CELL("adresse",OFFSET($Q$6,H205-1,0)),"Definition"))</f>
        <v>Definition</v>
      </c>
      <c r="F205" s="54" t="str" cm="1">
        <f t="array" aca="1" ref="F205" ca="1">IF(I205=0,"",HYPERLINK("#"&amp;RIGHT(CELL("adresse",OFFSET(DMAV_Doku!$B$6,I205-1,0)),LEN(CELL("adresse",OFFSET(DMAV_Doku!$B$6,I205-1,0)))-SEARCH("]",CELL("adresse",OFFSET(DMAV_Doku!$B$6,I205-1,0)))),"ModDoc"))</f>
        <v/>
      </c>
      <c r="G205" s="150" t="str">
        <f t="shared" si="6"/>
        <v>MGS6</v>
      </c>
      <c r="H205" s="150">
        <f t="shared" si="7"/>
        <v>39</v>
      </c>
      <c r="I205" s="150">
        <f>IF(_xlfn.XLOOKUP(G205,Korrelation!$A$4:$A$723,Korrelation!$B$4:$B$723,0,0)=0,0,MATCH(_xlfn.XLOOKUP(G205,Korrelation!$A$4:$A$723,Korrelation!$B$4:$B$723,0,0),DMAV_Doku!$H$6:$H$483,0))</f>
        <v>0</v>
      </c>
      <c r="J205" s="158"/>
      <c r="K205" s="161"/>
      <c r="L205" s="161"/>
      <c r="M205" s="158"/>
      <c r="N205" s="51" t="s">
        <v>4172</v>
      </c>
      <c r="O205" s="51" t="s">
        <v>3892</v>
      </c>
      <c r="Q205" s="51" t="s">
        <v>910</v>
      </c>
      <c r="R205" s="51" t="s">
        <v>938</v>
      </c>
      <c r="W205" s="52"/>
      <c r="AB205" s="51" t="s">
        <v>4173</v>
      </c>
      <c r="AC205" s="51" t="s">
        <v>3893</v>
      </c>
      <c r="AE205" s="51" t="s">
        <v>910</v>
      </c>
      <c r="AF205" s="51" t="s">
        <v>3948</v>
      </c>
      <c r="AP205" s="51" t="s">
        <v>4174</v>
      </c>
      <c r="AQ205" s="51" t="s">
        <v>3894</v>
      </c>
      <c r="AS205" s="51" t="s">
        <v>910</v>
      </c>
      <c r="AT205" s="51" t="s">
        <v>3950</v>
      </c>
    </row>
    <row r="206" spans="1:54" x14ac:dyDescent="0.25">
      <c r="A206" s="51" t="s">
        <v>3805</v>
      </c>
      <c r="B206" s="51">
        <v>7</v>
      </c>
      <c r="C206" s="51" t="s">
        <v>3832</v>
      </c>
      <c r="E206" s="54" t="str" cm="1">
        <f t="array" aca="1" ref="E206" ca="1">IF(H206=0,"",HYPERLINK("#"&amp;RIGHT(CELL("dateiname"),LEN(CELL("dateiname"))-FIND("]",CELL("dateiname")))&amp;"!"&amp;CELL("adresse",OFFSET($Q$6,H206-1,0)),"Definition"))</f>
        <v>Definition</v>
      </c>
      <c r="F206" s="54" t="str" cm="1">
        <f t="array" aca="1" ref="F206" ca="1">IF(I206=0,"",HYPERLINK("#"&amp;RIGHT(CELL("adresse",OFFSET(DMAV_Doku!$B$6,I206-1,0)),LEN(CELL("adresse",OFFSET(DMAV_Doku!$B$6,I206-1,0)))-SEARCH("]",CELL("adresse",OFFSET(DMAV_Doku!$B$6,I206-1,0)))),"ModDoc"))</f>
        <v/>
      </c>
      <c r="G206" s="150" t="str">
        <f t="shared" si="6"/>
        <v>MGS7</v>
      </c>
      <c r="H206" s="150">
        <f t="shared" si="7"/>
        <v>18</v>
      </c>
      <c r="I206" s="150">
        <f>IF(_xlfn.XLOOKUP(G206,Korrelation!$A$4:$A$723,Korrelation!$B$4:$B$723,0,0)=0,0,MATCH(_xlfn.XLOOKUP(G206,Korrelation!$A$4:$A$723,Korrelation!$B$4:$B$723,0,0),DMAV_Doku!$H$6:$H$483,0))</f>
        <v>0</v>
      </c>
      <c r="J206" s="158"/>
      <c r="K206" s="161"/>
      <c r="L206" s="161"/>
      <c r="M206" s="158"/>
      <c r="N206" s="51" t="s">
        <v>4172</v>
      </c>
      <c r="O206" s="51" t="s">
        <v>3892</v>
      </c>
      <c r="Q206" s="51" t="s">
        <v>910</v>
      </c>
      <c r="R206" s="51" t="s">
        <v>930</v>
      </c>
      <c r="W206" s="52"/>
      <c r="AB206" s="51" t="s">
        <v>4173</v>
      </c>
      <c r="AC206" s="51" t="s">
        <v>3893</v>
      </c>
      <c r="AE206" s="51" t="s">
        <v>910</v>
      </c>
      <c r="AF206" s="51" t="s">
        <v>3925</v>
      </c>
      <c r="AP206" s="51" t="s">
        <v>4174</v>
      </c>
      <c r="AQ206" s="51" t="s">
        <v>3894</v>
      </c>
      <c r="AS206" s="51" t="s">
        <v>910</v>
      </c>
      <c r="AT206" s="51" t="s">
        <v>3927</v>
      </c>
    </row>
    <row r="207" spans="1:54" x14ac:dyDescent="0.25">
      <c r="A207" s="51" t="s">
        <v>3805</v>
      </c>
      <c r="B207" s="51">
        <v>8</v>
      </c>
      <c r="E207" s="54" t="str" cm="1">
        <f t="array" aca="1" ref="E207" ca="1">IF(H207=0,"",HYPERLINK("#"&amp;RIGHT(CELL("dateiname"),LEN(CELL("dateiname"))-FIND("]",CELL("dateiname")))&amp;"!"&amp;CELL("adresse",OFFSET($Q$6,H207-1,0)),"Definition"))</f>
        <v/>
      </c>
      <c r="F207" s="54" t="str" cm="1">
        <f t="array" aca="1" ref="F207" ca="1">IF(I207=0,"",HYPERLINK("#"&amp;RIGHT(CELL("adresse",OFFSET(DMAV_Doku!$B$6,I207-1,0)),LEN(CELL("adresse",OFFSET(DMAV_Doku!$B$6,I207-1,0)))-SEARCH("]",CELL("adresse",OFFSET(DMAV_Doku!$B$6,I207-1,0)))),"ModDoc"))</f>
        <v>ModDoc</v>
      </c>
      <c r="G207" s="150" t="str">
        <f t="shared" si="6"/>
        <v>MGS8</v>
      </c>
      <c r="H207" s="150">
        <f t="shared" si="7"/>
        <v>0</v>
      </c>
      <c r="I207" s="150">
        <f>IF(_xlfn.XLOOKUP(G207,Korrelation!$A$4:$A$723,Korrelation!$B$4:$B$723,0,0)=0,0,MATCH(_xlfn.XLOOKUP(G207,Korrelation!$A$4:$A$723,Korrelation!$B$4:$B$723,0,0),DMAV_Doku!$H$6:$H$483,0))</f>
        <v>127</v>
      </c>
      <c r="J207" s="158"/>
      <c r="K207" s="161"/>
      <c r="L207" s="161"/>
      <c r="M207" s="158"/>
      <c r="N207" s="51" t="s">
        <v>4172</v>
      </c>
      <c r="O207" s="51" t="s">
        <v>3892</v>
      </c>
      <c r="P207" s="51" t="s">
        <v>16</v>
      </c>
      <c r="Q207" s="51" t="s">
        <v>927</v>
      </c>
      <c r="R207" s="51" t="s">
        <v>230</v>
      </c>
      <c r="W207" s="52" t="s">
        <v>231</v>
      </c>
      <c r="AB207" s="51" t="s">
        <v>4173</v>
      </c>
      <c r="AC207" s="51" t="s">
        <v>3893</v>
      </c>
      <c r="AD207" s="51" t="s">
        <v>705</v>
      </c>
      <c r="AE207" s="51" t="s">
        <v>927</v>
      </c>
      <c r="AF207" s="51" t="s">
        <v>780</v>
      </c>
      <c r="AK207" s="52" t="s">
        <v>781</v>
      </c>
      <c r="AP207" s="51" t="s">
        <v>4174</v>
      </c>
      <c r="AQ207" s="51" t="s">
        <v>3894</v>
      </c>
      <c r="AR207" s="51" t="s">
        <v>4175</v>
      </c>
      <c r="AS207" s="51" t="s">
        <v>927</v>
      </c>
      <c r="AT207" s="51" t="s">
        <v>4176</v>
      </c>
      <c r="AY207" s="52" t="s">
        <v>2109</v>
      </c>
    </row>
    <row r="208" spans="1:54" x14ac:dyDescent="0.25">
      <c r="A208" s="51" t="s">
        <v>3805</v>
      </c>
      <c r="B208" s="51">
        <v>9</v>
      </c>
      <c r="E208" s="54" t="str" cm="1">
        <f t="array" aca="1" ref="E208" ca="1">IF(H208=0,"",HYPERLINK("#"&amp;RIGHT(CELL("dateiname"),LEN(CELL("dateiname"))-FIND("]",CELL("dateiname")))&amp;"!"&amp;CELL("adresse",OFFSET($Q$6,H208-1,0)),"Definition"))</f>
        <v/>
      </c>
      <c r="F208" s="54" t="str" cm="1">
        <f t="array" aca="1" ref="F208" ca="1">IF(I208=0,"",HYPERLINK("#"&amp;RIGHT(CELL("adresse",OFFSET(DMAV_Doku!$B$6,I208-1,0)),LEN(CELL("adresse",OFFSET(DMAV_Doku!$B$6,I208-1,0)))-SEARCH("]",CELL("adresse",OFFSET(DMAV_Doku!$B$6,I208-1,0)))),"ModDoc"))</f>
        <v>ModDoc</v>
      </c>
      <c r="G208" s="150" t="str">
        <f t="shared" si="6"/>
        <v>MGS9</v>
      </c>
      <c r="H208" s="150">
        <f t="shared" si="7"/>
        <v>0</v>
      </c>
      <c r="I208" s="150">
        <f>IF(_xlfn.XLOOKUP(G208,Korrelation!$A$4:$A$723,Korrelation!$B$4:$B$723,0,0)=0,0,MATCH(_xlfn.XLOOKUP(G208,Korrelation!$A$4:$A$723,Korrelation!$B$4:$B$723,0,0),DMAV_Doku!$H$6:$H$483,0))</f>
        <v>128</v>
      </c>
      <c r="J208" s="158"/>
      <c r="K208" s="161"/>
      <c r="L208" s="161"/>
      <c r="M208" s="158"/>
      <c r="N208" s="51" t="s">
        <v>4172</v>
      </c>
      <c r="O208" s="51" t="s">
        <v>3892</v>
      </c>
      <c r="P208" s="51" t="s">
        <v>16</v>
      </c>
      <c r="Q208" s="51" t="s">
        <v>927</v>
      </c>
      <c r="R208" s="51" t="s">
        <v>230</v>
      </c>
      <c r="W208" s="52" t="s">
        <v>233</v>
      </c>
      <c r="AB208" s="51" t="s">
        <v>4173</v>
      </c>
      <c r="AC208" s="51" t="s">
        <v>3893</v>
      </c>
      <c r="AD208" s="51" t="s">
        <v>705</v>
      </c>
      <c r="AE208" s="51" t="s">
        <v>927</v>
      </c>
      <c r="AF208" s="51" t="s">
        <v>780</v>
      </c>
      <c r="AK208" s="52" t="s">
        <v>782</v>
      </c>
      <c r="AP208" s="51" t="s">
        <v>4174</v>
      </c>
      <c r="AQ208" s="51" t="s">
        <v>3894</v>
      </c>
      <c r="AR208" s="51" t="s">
        <v>4175</v>
      </c>
      <c r="AS208" s="51" t="s">
        <v>927</v>
      </c>
      <c r="AT208" s="51" t="s">
        <v>4176</v>
      </c>
      <c r="AY208" s="52" t="s">
        <v>4177</v>
      </c>
    </row>
    <row r="209" spans="1:54" x14ac:dyDescent="0.25">
      <c r="A209" s="51" t="s">
        <v>3805</v>
      </c>
      <c r="B209" s="51">
        <v>10</v>
      </c>
      <c r="E209" s="54" t="str" cm="1">
        <f t="array" aca="1" ref="E209" ca="1">IF(H209=0,"",HYPERLINK("#"&amp;RIGHT(CELL("dateiname"),LEN(CELL("dateiname"))-FIND("]",CELL("dateiname")))&amp;"!"&amp;CELL("adresse",OFFSET($Q$6,H209-1,0)),"Definition"))</f>
        <v/>
      </c>
      <c r="F209" s="54" t="str" cm="1">
        <f t="array" aca="1" ref="F209" ca="1">IF(I209=0,"",HYPERLINK("#"&amp;RIGHT(CELL("adresse",OFFSET(DMAV_Doku!$B$6,I209-1,0)),LEN(CELL("adresse",OFFSET(DMAV_Doku!$B$6,I209-1,0)))-SEARCH("]",CELL("adresse",OFFSET(DMAV_Doku!$B$6,I209-1,0)))),"ModDoc"))</f>
        <v>ModDoc</v>
      </c>
      <c r="G209" s="150" t="str">
        <f t="shared" si="6"/>
        <v>MGS10</v>
      </c>
      <c r="H209" s="150">
        <f t="shared" si="7"/>
        <v>0</v>
      </c>
      <c r="I209" s="150">
        <f>IF(_xlfn.XLOOKUP(G209,Korrelation!$A$4:$A$723,Korrelation!$B$4:$B$723,0,0)=0,0,MATCH(_xlfn.XLOOKUP(G209,Korrelation!$A$4:$A$723,Korrelation!$B$4:$B$723,0,0),DMAV_Doku!$H$6:$H$483,0))</f>
        <v>129</v>
      </c>
      <c r="J209" s="158"/>
      <c r="K209" s="161"/>
      <c r="L209" s="161"/>
      <c r="M209" s="158"/>
      <c r="N209" s="51" t="s">
        <v>4172</v>
      </c>
      <c r="O209" s="51" t="s">
        <v>3892</v>
      </c>
      <c r="P209" s="51" t="s">
        <v>16</v>
      </c>
      <c r="Q209" s="51" t="s">
        <v>927</v>
      </c>
      <c r="R209" s="51" t="s">
        <v>230</v>
      </c>
      <c r="W209" s="52" t="s">
        <v>235</v>
      </c>
      <c r="AB209" s="51" t="s">
        <v>4173</v>
      </c>
      <c r="AC209" s="51" t="s">
        <v>3893</v>
      </c>
      <c r="AD209" s="51" t="s">
        <v>705</v>
      </c>
      <c r="AE209" s="51" t="s">
        <v>927</v>
      </c>
      <c r="AF209" s="51" t="s">
        <v>780</v>
      </c>
      <c r="AK209" s="52" t="s">
        <v>783</v>
      </c>
      <c r="AP209" s="51" t="s">
        <v>4174</v>
      </c>
      <c r="AQ209" s="51" t="s">
        <v>3894</v>
      </c>
      <c r="AR209" s="51" t="s">
        <v>4175</v>
      </c>
      <c r="AS209" s="51" t="s">
        <v>927</v>
      </c>
      <c r="AT209" s="51" t="s">
        <v>4176</v>
      </c>
      <c r="AY209" s="52" t="s">
        <v>2160</v>
      </c>
    </row>
    <row r="210" spans="1:54" x14ac:dyDescent="0.25">
      <c r="A210" s="51" t="s">
        <v>3805</v>
      </c>
      <c r="B210" s="51">
        <v>11</v>
      </c>
      <c r="E210" s="54" t="str" cm="1">
        <f t="array" aca="1" ref="E210" ca="1">IF(H210=0,"",HYPERLINK("#"&amp;RIGHT(CELL("dateiname"),LEN(CELL("dateiname"))-FIND("]",CELL("dateiname")))&amp;"!"&amp;CELL("adresse",OFFSET($Q$6,H210-1,0)),"Definition"))</f>
        <v/>
      </c>
      <c r="F210" s="54" t="str" cm="1">
        <f t="array" aca="1" ref="F210" ca="1">IF(I210=0,"",HYPERLINK("#"&amp;RIGHT(CELL("adresse",OFFSET(DMAV_Doku!$B$6,I210-1,0)),LEN(CELL("adresse",OFFSET(DMAV_Doku!$B$6,I210-1,0)))-SEARCH("]",CELL("adresse",OFFSET(DMAV_Doku!$B$6,I210-1,0)))),"ModDoc"))</f>
        <v/>
      </c>
      <c r="G210" s="150" t="str">
        <f t="shared" si="6"/>
        <v>MGS11</v>
      </c>
      <c r="H210" s="150">
        <f t="shared" si="7"/>
        <v>0</v>
      </c>
      <c r="I210" s="150">
        <f>IF(_xlfn.XLOOKUP(G210,Korrelation!$A$4:$A$723,Korrelation!$B$4:$B$723,0,0)=0,0,MATCH(_xlfn.XLOOKUP(G210,Korrelation!$A$4:$A$723,Korrelation!$B$4:$B$723,0,0),DMAV_Doku!$H$6:$H$483,0))</f>
        <v>0</v>
      </c>
      <c r="J210" s="158"/>
      <c r="K210" s="161"/>
      <c r="L210" s="161"/>
      <c r="M210" s="158"/>
      <c r="N210" s="51" t="s">
        <v>4172</v>
      </c>
      <c r="O210" s="51" t="s">
        <v>3892</v>
      </c>
      <c r="P210" s="51" t="s">
        <v>16</v>
      </c>
      <c r="Q210" s="51" t="s">
        <v>927</v>
      </c>
      <c r="R210" s="51" t="s">
        <v>110</v>
      </c>
      <c r="W210" s="52" t="s">
        <v>111</v>
      </c>
      <c r="AB210" s="51" t="s">
        <v>4173</v>
      </c>
      <c r="AC210" s="51" t="s">
        <v>3893</v>
      </c>
      <c r="AD210" s="51" t="s">
        <v>705</v>
      </c>
      <c r="AE210" s="51" t="s">
        <v>927</v>
      </c>
      <c r="AF210" s="51" t="s">
        <v>738</v>
      </c>
      <c r="AK210" s="52" t="s">
        <v>111</v>
      </c>
      <c r="AP210" s="51" t="s">
        <v>4174</v>
      </c>
      <c r="AQ210" s="51" t="s">
        <v>3894</v>
      </c>
      <c r="AR210" s="51" t="s">
        <v>4175</v>
      </c>
      <c r="AS210" s="51" t="s">
        <v>927</v>
      </c>
      <c r="AT210" s="51" t="s">
        <v>4178</v>
      </c>
      <c r="AY210" s="52" t="s">
        <v>4179</v>
      </c>
    </row>
    <row r="211" spans="1:54" x14ac:dyDescent="0.25">
      <c r="A211" s="51" t="s">
        <v>3805</v>
      </c>
      <c r="B211" s="51">
        <v>12</v>
      </c>
      <c r="E211" s="54" t="str" cm="1">
        <f t="array" aca="1" ref="E211" ca="1">IF(H211=0,"",HYPERLINK("#"&amp;RIGHT(CELL("dateiname"),LEN(CELL("dateiname"))-FIND("]",CELL("dateiname")))&amp;"!"&amp;CELL("adresse",OFFSET($Q$6,H211-1,0)),"Definition"))</f>
        <v/>
      </c>
      <c r="F211" s="54" t="str" cm="1">
        <f t="array" aca="1" ref="F211" ca="1">IF(I211=0,"",HYPERLINK("#"&amp;RIGHT(CELL("adresse",OFFSET(DMAV_Doku!$B$6,I211-1,0)),LEN(CELL("adresse",OFFSET(DMAV_Doku!$B$6,I211-1,0)))-SEARCH("]",CELL("adresse",OFFSET(DMAV_Doku!$B$6,I211-1,0)))),"ModDoc"))</f>
        <v/>
      </c>
      <c r="G211" s="150" t="str">
        <f t="shared" si="6"/>
        <v>MGS12</v>
      </c>
      <c r="H211" s="150">
        <f t="shared" si="7"/>
        <v>0</v>
      </c>
      <c r="I211" s="150">
        <f>IF(_xlfn.XLOOKUP(G211,Korrelation!$A$4:$A$723,Korrelation!$B$4:$B$723,0,0)=0,0,MATCH(_xlfn.XLOOKUP(G211,Korrelation!$A$4:$A$723,Korrelation!$B$4:$B$723,0,0),DMAV_Doku!$H$6:$H$483,0))</f>
        <v>0</v>
      </c>
      <c r="J211" s="158"/>
      <c r="K211" s="161"/>
      <c r="L211" s="161"/>
      <c r="M211" s="158"/>
      <c r="N211" s="51" t="s">
        <v>4172</v>
      </c>
      <c r="O211" s="51" t="s">
        <v>3892</v>
      </c>
      <c r="P211" s="51" t="s">
        <v>16</v>
      </c>
      <c r="Q211" s="51" t="s">
        <v>927</v>
      </c>
      <c r="R211" s="51" t="s">
        <v>110</v>
      </c>
      <c r="W211" s="52" t="s">
        <v>113</v>
      </c>
      <c r="AB211" s="51" t="s">
        <v>4173</v>
      </c>
      <c r="AC211" s="51" t="s">
        <v>3893</v>
      </c>
      <c r="AD211" s="51" t="s">
        <v>705</v>
      </c>
      <c r="AE211" s="51" t="s">
        <v>927</v>
      </c>
      <c r="AF211" s="51" t="s">
        <v>738</v>
      </c>
      <c r="AK211" s="52" t="s">
        <v>739</v>
      </c>
      <c r="AP211" s="51" t="s">
        <v>4174</v>
      </c>
      <c r="AQ211" s="51" t="s">
        <v>3894</v>
      </c>
      <c r="AR211" s="51" t="s">
        <v>4175</v>
      </c>
      <c r="AS211" s="51" t="s">
        <v>927</v>
      </c>
      <c r="AT211" s="51" t="s">
        <v>4178</v>
      </c>
      <c r="AY211" s="52" t="s">
        <v>4180</v>
      </c>
    </row>
    <row r="212" spans="1:54" x14ac:dyDescent="0.25">
      <c r="A212" s="51" t="s">
        <v>3805</v>
      </c>
      <c r="B212" s="51">
        <v>13</v>
      </c>
      <c r="E212" s="54" t="str" cm="1">
        <f t="array" aca="1" ref="E212" ca="1">IF(H212=0,"",HYPERLINK("#"&amp;RIGHT(CELL("dateiname"),LEN(CELL("dateiname"))-FIND("]",CELL("dateiname")))&amp;"!"&amp;CELL("adresse",OFFSET($Q$6,H212-1,0)),"Definition"))</f>
        <v/>
      </c>
      <c r="F212" s="54" t="str" cm="1">
        <f t="array" aca="1" ref="F212" ca="1">IF(I212=0,"",HYPERLINK("#"&amp;RIGHT(CELL("adresse",OFFSET(DMAV_Doku!$B$6,I212-1,0)),LEN(CELL("adresse",OFFSET(DMAV_Doku!$B$6,I212-1,0)))-SEARCH("]",CELL("adresse",OFFSET(DMAV_Doku!$B$6,I212-1,0)))),"ModDoc"))</f>
        <v/>
      </c>
      <c r="G212" s="150" t="str">
        <f t="shared" si="6"/>
        <v>MGS13</v>
      </c>
      <c r="H212" s="150">
        <f t="shared" si="7"/>
        <v>0</v>
      </c>
      <c r="I212" s="150">
        <f>IF(_xlfn.XLOOKUP(G212,Korrelation!$A$4:$A$723,Korrelation!$B$4:$B$723,0,0)=0,0,MATCH(_xlfn.XLOOKUP(G212,Korrelation!$A$4:$A$723,Korrelation!$B$4:$B$723,0,0),DMAV_Doku!$H$6:$H$483,0))</f>
        <v>0</v>
      </c>
      <c r="J212" s="158"/>
      <c r="K212" s="161"/>
      <c r="L212" s="161"/>
      <c r="M212" s="158"/>
      <c r="N212" s="51" t="s">
        <v>4172</v>
      </c>
      <c r="O212" s="51" t="s">
        <v>3892</v>
      </c>
      <c r="P212" s="51" t="s">
        <v>16</v>
      </c>
      <c r="Q212" s="51" t="s">
        <v>927</v>
      </c>
      <c r="R212" s="51" t="s">
        <v>110</v>
      </c>
      <c r="W212" s="52" t="s">
        <v>115</v>
      </c>
      <c r="AB212" s="51" t="s">
        <v>4173</v>
      </c>
      <c r="AC212" s="51" t="s">
        <v>3893</v>
      </c>
      <c r="AD212" s="51" t="s">
        <v>705</v>
      </c>
      <c r="AE212" s="51" t="s">
        <v>927</v>
      </c>
      <c r="AF212" s="51" t="s">
        <v>738</v>
      </c>
      <c r="AK212" s="52" t="s">
        <v>740</v>
      </c>
      <c r="AP212" s="51" t="s">
        <v>4174</v>
      </c>
      <c r="AQ212" s="51" t="s">
        <v>3894</v>
      </c>
      <c r="AR212" s="51" t="s">
        <v>4175</v>
      </c>
      <c r="AS212" s="51" t="s">
        <v>927</v>
      </c>
      <c r="AT212" s="51" t="s">
        <v>4178</v>
      </c>
      <c r="AY212" s="52" t="s">
        <v>4181</v>
      </c>
    </row>
    <row r="213" spans="1:54" x14ac:dyDescent="0.25">
      <c r="A213" s="51" t="s">
        <v>3805</v>
      </c>
      <c r="B213" s="51">
        <v>14</v>
      </c>
      <c r="D213" s="51" t="s">
        <v>3560</v>
      </c>
      <c r="E213" s="54" t="str" cm="1">
        <f t="array" aca="1" ref="E213" ca="1">IF(H213=0,"",HYPERLINK("#"&amp;RIGHT(CELL("dateiname"),LEN(CELL("dateiname"))-FIND("]",CELL("dateiname")))&amp;"!"&amp;CELL("adresse",OFFSET($Q$6,H213-1,0)),"Definition"))</f>
        <v/>
      </c>
      <c r="F213" s="54" t="str" cm="1">
        <f t="array" aca="1" ref="F213" ca="1">IF(I213=0,"",HYPERLINK("#"&amp;RIGHT(CELL("adresse",OFFSET(DMAV_Doku!$B$6,I213-1,0)),LEN(CELL("adresse",OFFSET(DMAV_Doku!$B$6,I213-1,0)))-SEARCH("]",CELL("adresse",OFFSET(DMAV_Doku!$B$6,I213-1,0)))),"ModDoc"))</f>
        <v>ModDoc</v>
      </c>
      <c r="G213" s="150" t="str">
        <f t="shared" si="6"/>
        <v>MGS14</v>
      </c>
      <c r="H213" s="150">
        <f t="shared" si="7"/>
        <v>0</v>
      </c>
      <c r="I213" s="150">
        <f>IF(_xlfn.XLOOKUP(G213,Korrelation!$A$4:$A$723,Korrelation!$B$4:$B$723,0,0)=0,0,MATCH(_xlfn.XLOOKUP(G213,Korrelation!$A$4:$A$723,Korrelation!$B$4:$B$723,0,0),DMAV_Doku!$H$6:$H$483,0))</f>
        <v>130</v>
      </c>
      <c r="J213" s="158"/>
      <c r="K213" s="161"/>
      <c r="L213" s="161"/>
      <c r="M213" s="158"/>
      <c r="N213" s="51" t="s">
        <v>4172</v>
      </c>
      <c r="O213" s="51" t="s">
        <v>3892</v>
      </c>
      <c r="P213" s="51" t="s">
        <v>16</v>
      </c>
      <c r="Q213" s="51" t="s">
        <v>949</v>
      </c>
      <c r="R213" s="51" t="s">
        <v>237</v>
      </c>
      <c r="S213" s="50" t="s">
        <v>950</v>
      </c>
      <c r="T213" s="51" t="s">
        <v>959</v>
      </c>
      <c r="U213" s="52" t="s">
        <v>96</v>
      </c>
      <c r="W213" s="52" t="s">
        <v>951</v>
      </c>
      <c r="Z213" s="200" t="s">
        <v>6006</v>
      </c>
      <c r="AB213" s="51" t="s">
        <v>4173</v>
      </c>
      <c r="AC213" s="51" t="s">
        <v>3893</v>
      </c>
      <c r="AD213" s="51" t="s">
        <v>705</v>
      </c>
      <c r="AE213" s="51" t="s">
        <v>949</v>
      </c>
      <c r="AF213" s="51" t="s">
        <v>784</v>
      </c>
      <c r="AG213" s="50" t="s">
        <v>950</v>
      </c>
      <c r="AH213" s="51" t="s">
        <v>959</v>
      </c>
      <c r="AI213" s="52" t="s">
        <v>733</v>
      </c>
      <c r="AK213" s="52" t="s">
        <v>951</v>
      </c>
      <c r="AN213" s="52" t="s">
        <v>6008</v>
      </c>
      <c r="AP213" s="51" t="s">
        <v>4174</v>
      </c>
      <c r="AQ213" s="51" t="s">
        <v>3894</v>
      </c>
      <c r="AR213" s="51" t="s">
        <v>4175</v>
      </c>
      <c r="AS213" s="51" t="s">
        <v>949</v>
      </c>
      <c r="AT213" s="51" t="s">
        <v>4182</v>
      </c>
      <c r="AU213" s="50" t="s">
        <v>950</v>
      </c>
      <c r="AV213" s="51" t="s">
        <v>959</v>
      </c>
      <c r="AW213" s="52" t="s">
        <v>1378</v>
      </c>
      <c r="AY213" s="52" t="s">
        <v>951</v>
      </c>
      <c r="BB213" s="52" t="s">
        <v>6009</v>
      </c>
    </row>
    <row r="214" spans="1:54" x14ac:dyDescent="0.25">
      <c r="A214" s="51" t="s">
        <v>3805</v>
      </c>
      <c r="B214" s="51">
        <v>15</v>
      </c>
      <c r="D214" s="51" t="s">
        <v>3560</v>
      </c>
      <c r="E214" s="54" t="str" cm="1">
        <f t="array" aca="1" ref="E214" ca="1">IF(H214=0,"",HYPERLINK("#"&amp;RIGHT(CELL("dateiname"),LEN(CELL("dateiname"))-FIND("]",CELL("dateiname")))&amp;"!"&amp;CELL("adresse",OFFSET($Q$6,H214-1,0)),"Definition"))</f>
        <v/>
      </c>
      <c r="F214" s="54" t="str" cm="1">
        <f t="array" aca="1" ref="F214" ca="1">IF(I214=0,"",HYPERLINK("#"&amp;RIGHT(CELL("adresse",OFFSET(DMAV_Doku!$B$6,I214-1,0)),LEN(CELL("adresse",OFFSET(DMAV_Doku!$B$6,I214-1,0)))-SEARCH("]",CELL("adresse",OFFSET(DMAV_Doku!$B$6,I214-1,0)))),"ModDoc"))</f>
        <v>ModDoc</v>
      </c>
      <c r="G214" s="150" t="str">
        <f t="shared" si="6"/>
        <v>MGS15</v>
      </c>
      <c r="H214" s="150">
        <f t="shared" si="7"/>
        <v>0</v>
      </c>
      <c r="I214" s="150">
        <f>IF(_xlfn.XLOOKUP(G214,Korrelation!$A$4:$A$723,Korrelation!$B$4:$B$723,0,0)=0,0,MATCH(_xlfn.XLOOKUP(G214,Korrelation!$A$4:$A$723,Korrelation!$B$4:$B$723,0,0),DMAV_Doku!$H$6:$H$483,0))</f>
        <v>131</v>
      </c>
      <c r="J214" s="158"/>
      <c r="K214" s="161"/>
      <c r="L214" s="161"/>
      <c r="M214" s="158"/>
      <c r="N214" s="51" t="s">
        <v>4172</v>
      </c>
      <c r="O214" s="51" t="s">
        <v>3892</v>
      </c>
      <c r="P214" s="51" t="s">
        <v>16</v>
      </c>
      <c r="Q214" s="51" t="s">
        <v>949</v>
      </c>
      <c r="R214" s="51" t="s">
        <v>237</v>
      </c>
      <c r="S214" s="50" t="s">
        <v>950</v>
      </c>
      <c r="T214" s="51" t="s">
        <v>959</v>
      </c>
      <c r="U214" s="52" t="s">
        <v>99</v>
      </c>
      <c r="W214" s="52" t="s">
        <v>951</v>
      </c>
      <c r="Y214" s="52" t="s">
        <v>1599</v>
      </c>
      <c r="Z214" s="200" t="s">
        <v>6006</v>
      </c>
      <c r="AB214" s="51" t="s">
        <v>4173</v>
      </c>
      <c r="AC214" s="51" t="s">
        <v>3893</v>
      </c>
      <c r="AD214" s="51" t="s">
        <v>705</v>
      </c>
      <c r="AE214" s="51" t="s">
        <v>949</v>
      </c>
      <c r="AF214" s="51" t="s">
        <v>784</v>
      </c>
      <c r="AG214" s="50" t="s">
        <v>950</v>
      </c>
      <c r="AH214" s="51" t="s">
        <v>959</v>
      </c>
      <c r="AI214" s="52" t="s">
        <v>734</v>
      </c>
      <c r="AK214" s="52" t="s">
        <v>951</v>
      </c>
      <c r="AN214" s="52" t="s">
        <v>6008</v>
      </c>
      <c r="AP214" s="51" t="s">
        <v>4174</v>
      </c>
      <c r="AQ214" s="51" t="s">
        <v>3894</v>
      </c>
      <c r="AR214" s="51" t="s">
        <v>4175</v>
      </c>
      <c r="AS214" s="51" t="s">
        <v>949</v>
      </c>
      <c r="AT214" s="51" t="s">
        <v>4182</v>
      </c>
      <c r="AU214" s="50" t="s">
        <v>950</v>
      </c>
      <c r="AV214" s="51" t="s">
        <v>959</v>
      </c>
      <c r="AW214" s="52" t="s">
        <v>1376</v>
      </c>
      <c r="AY214" s="52" t="s">
        <v>951</v>
      </c>
      <c r="BB214" s="52" t="s">
        <v>6009</v>
      </c>
    </row>
    <row r="215" spans="1:54" x14ac:dyDescent="0.25">
      <c r="A215" s="51" t="s">
        <v>3805</v>
      </c>
      <c r="B215" s="51">
        <v>16</v>
      </c>
      <c r="E215" s="54" t="str" cm="1">
        <f t="array" aca="1" ref="E215" ca="1">IF(H215=0,"",HYPERLINK("#"&amp;RIGHT(CELL("dateiname"),LEN(CELL("dateiname"))-FIND("]",CELL("dateiname")))&amp;"!"&amp;CELL("adresse",OFFSET($Q$6,H215-1,0)),"Definition"))</f>
        <v/>
      </c>
      <c r="F215" s="54" t="str" cm="1">
        <f t="array" aca="1" ref="F215" ca="1">IF(I215=0,"",HYPERLINK("#"&amp;RIGHT(CELL("adresse",OFFSET(DMAV_Doku!$B$6,I215-1,0)),LEN(CELL("adresse",OFFSET(DMAV_Doku!$B$6,I215-1,0)))-SEARCH("]",CELL("adresse",OFFSET(DMAV_Doku!$B$6,I215-1,0)))),"ModDoc"))</f>
        <v>ModDoc</v>
      </c>
      <c r="G215" s="150" t="str">
        <f t="shared" si="6"/>
        <v>MGS16</v>
      </c>
      <c r="H215" s="150">
        <f t="shared" si="7"/>
        <v>0</v>
      </c>
      <c r="I215" s="150">
        <f>IF(_xlfn.XLOOKUP(G215,Korrelation!$A$4:$A$723,Korrelation!$B$4:$B$723,0,0)=0,0,MATCH(_xlfn.XLOOKUP(G215,Korrelation!$A$4:$A$723,Korrelation!$B$4:$B$723,0,0),DMAV_Doku!$H$6:$H$483,0))</f>
        <v>132</v>
      </c>
      <c r="J215" s="158"/>
      <c r="K215" s="161"/>
      <c r="L215" s="161"/>
      <c r="M215" s="158"/>
      <c r="N215" s="51" t="s">
        <v>4172</v>
      </c>
      <c r="O215" s="51" t="s">
        <v>3892</v>
      </c>
      <c r="P215" s="51" t="s">
        <v>16</v>
      </c>
      <c r="Q215" s="51" t="s">
        <v>949</v>
      </c>
      <c r="R215" s="51" t="s">
        <v>237</v>
      </c>
      <c r="S215" s="50" t="s">
        <v>950</v>
      </c>
      <c r="U215" s="52" t="s">
        <v>101</v>
      </c>
      <c r="W215" s="52" t="s">
        <v>964</v>
      </c>
      <c r="AB215" s="51" t="s">
        <v>4173</v>
      </c>
      <c r="AC215" s="51" t="s">
        <v>3893</v>
      </c>
      <c r="AD215" s="51" t="s">
        <v>705</v>
      </c>
      <c r="AE215" s="51" t="s">
        <v>949</v>
      </c>
      <c r="AF215" s="51" t="s">
        <v>784</v>
      </c>
      <c r="AG215" s="50" t="s">
        <v>950</v>
      </c>
      <c r="AI215" s="52" t="s">
        <v>735</v>
      </c>
      <c r="AK215" s="52" t="s">
        <v>964</v>
      </c>
      <c r="AP215" s="51" t="s">
        <v>4174</v>
      </c>
      <c r="AQ215" s="51" t="s">
        <v>3894</v>
      </c>
      <c r="AR215" s="51" t="s">
        <v>4175</v>
      </c>
      <c r="AS215" s="51" t="s">
        <v>949</v>
      </c>
      <c r="AT215" s="51" t="s">
        <v>4182</v>
      </c>
      <c r="AU215" s="50" t="s">
        <v>950</v>
      </c>
      <c r="AW215" s="52" t="s">
        <v>1294</v>
      </c>
      <c r="AY215" s="52" t="s">
        <v>964</v>
      </c>
    </row>
    <row r="216" spans="1:54" ht="38.25" x14ac:dyDescent="0.25">
      <c r="A216" s="51" t="s">
        <v>3805</v>
      </c>
      <c r="B216" s="51">
        <v>17</v>
      </c>
      <c r="E216" s="54" t="str" cm="1">
        <f t="array" aca="1" ref="E216" ca="1">IF(H216=0,"",HYPERLINK("#"&amp;RIGHT(CELL("dateiname"),LEN(CELL("dateiname"))-FIND("]",CELL("dateiname")))&amp;"!"&amp;CELL("adresse",OFFSET($Q$6,H216-1,0)),"Definition"))</f>
        <v/>
      </c>
      <c r="F216" s="54" t="str" cm="1">
        <f t="array" aca="1" ref="F216" ca="1">IF(I216=0,"",HYPERLINK("#"&amp;RIGHT(CELL("adresse",OFFSET(DMAV_Doku!$B$6,I216-1,0)),LEN(CELL("adresse",OFFSET(DMAV_Doku!$B$6,I216-1,0)))-SEARCH("]",CELL("adresse",OFFSET(DMAV_Doku!$B$6,I216-1,0)))),"ModDoc"))</f>
        <v>ModDoc</v>
      </c>
      <c r="G216" s="150" t="str">
        <f t="shared" si="6"/>
        <v>MGS17</v>
      </c>
      <c r="H216" s="150">
        <f t="shared" si="7"/>
        <v>0</v>
      </c>
      <c r="I216" s="150">
        <f>IF(_xlfn.XLOOKUP(G216,Korrelation!$A$4:$A$723,Korrelation!$B$4:$B$723,0,0)=0,0,MATCH(_xlfn.XLOOKUP(G216,Korrelation!$A$4:$A$723,Korrelation!$B$4:$B$723,0,0),DMAV_Doku!$H$6:$H$483,0))</f>
        <v>134</v>
      </c>
      <c r="J216" s="158"/>
      <c r="K216" s="161"/>
      <c r="L216" s="161"/>
      <c r="M216" s="158"/>
      <c r="N216" s="51" t="s">
        <v>4172</v>
      </c>
      <c r="O216" s="51" t="s">
        <v>3892</v>
      </c>
      <c r="P216" s="51" t="s">
        <v>16</v>
      </c>
      <c r="Q216" s="51" t="s">
        <v>949</v>
      </c>
      <c r="R216" s="51" t="s">
        <v>237</v>
      </c>
      <c r="U216" s="52" t="s">
        <v>104</v>
      </c>
      <c r="W216" s="52" t="s">
        <v>965</v>
      </c>
      <c r="AB216" s="51" t="s">
        <v>4173</v>
      </c>
      <c r="AC216" s="51" t="s">
        <v>3893</v>
      </c>
      <c r="AD216" s="51" t="s">
        <v>705</v>
      </c>
      <c r="AE216" s="51" t="s">
        <v>949</v>
      </c>
      <c r="AF216" s="51" t="s">
        <v>784</v>
      </c>
      <c r="AI216" s="52" t="s">
        <v>736</v>
      </c>
      <c r="AK216" s="52" t="s">
        <v>965</v>
      </c>
      <c r="AP216" s="51" t="s">
        <v>4174</v>
      </c>
      <c r="AQ216" s="51" t="s">
        <v>3894</v>
      </c>
      <c r="AR216" s="51" t="s">
        <v>4175</v>
      </c>
      <c r="AS216" s="51" t="s">
        <v>949</v>
      </c>
      <c r="AT216" s="51" t="s">
        <v>4182</v>
      </c>
      <c r="AW216" s="52" t="s">
        <v>1595</v>
      </c>
      <c r="AY216" s="52" t="s">
        <v>965</v>
      </c>
    </row>
    <row r="217" spans="1:54" x14ac:dyDescent="0.25">
      <c r="A217" s="51" t="s">
        <v>3805</v>
      </c>
      <c r="B217" s="51">
        <v>18</v>
      </c>
      <c r="C217" s="51" t="s">
        <v>3840</v>
      </c>
      <c r="E217" s="54" t="str" cm="1">
        <f t="array" aca="1" ref="E217" ca="1">IF(H217=0,"",HYPERLINK("#"&amp;RIGHT(CELL("dateiname"),LEN(CELL("dateiname"))-FIND("]",CELL("dateiname")))&amp;"!"&amp;CELL("adresse",OFFSET($Q$6,H217-1,0)),"Definition"))</f>
        <v>Definition</v>
      </c>
      <c r="F217" s="54" t="str" cm="1">
        <f t="array" aca="1" ref="F217" ca="1">IF(I217=0,"",HYPERLINK("#"&amp;RIGHT(CELL("adresse",OFFSET(DMAV_Doku!$B$6,I217-1,0)),LEN(CELL("adresse",OFFSET(DMAV_Doku!$B$6,I217-1,0)))-SEARCH("]",CELL("adresse",OFFSET(DMAV_Doku!$B$6,I217-1,0)))),"ModDoc"))</f>
        <v>ModDoc</v>
      </c>
      <c r="G217" s="150" t="str">
        <f t="shared" si="6"/>
        <v>MGS18</v>
      </c>
      <c r="H217" s="150">
        <f t="shared" si="7"/>
        <v>205</v>
      </c>
      <c r="I217" s="150">
        <f>IF(_xlfn.XLOOKUP(G217,Korrelation!$A$4:$A$723,Korrelation!$B$4:$B$723,0,0)=0,0,MATCH(_xlfn.XLOOKUP(G217,Korrelation!$A$4:$A$723,Korrelation!$B$4:$B$723,0,0),DMAV_Doku!$H$6:$H$483,0))</f>
        <v>133</v>
      </c>
      <c r="J217" s="158"/>
      <c r="K217" s="161"/>
      <c r="L217" s="161"/>
      <c r="M217" s="158"/>
      <c r="N217" s="51" t="s">
        <v>4172</v>
      </c>
      <c r="O217" s="51" t="s">
        <v>3892</v>
      </c>
      <c r="P217" s="51" t="s">
        <v>16</v>
      </c>
      <c r="Q217" s="51" t="s">
        <v>949</v>
      </c>
      <c r="R217" s="51" t="s">
        <v>237</v>
      </c>
      <c r="S217" s="50" t="s">
        <v>950</v>
      </c>
      <c r="U217" s="52" t="s">
        <v>110</v>
      </c>
      <c r="W217" s="52" t="s">
        <v>110</v>
      </c>
      <c r="AB217" s="51" t="s">
        <v>4173</v>
      </c>
      <c r="AC217" s="51" t="s">
        <v>3893</v>
      </c>
      <c r="AD217" s="51" t="s">
        <v>705</v>
      </c>
      <c r="AE217" s="51" t="s">
        <v>949</v>
      </c>
      <c r="AF217" s="51" t="s">
        <v>784</v>
      </c>
      <c r="AG217" s="50" t="s">
        <v>950</v>
      </c>
      <c r="AI217" s="52" t="s">
        <v>738</v>
      </c>
      <c r="AK217" s="52" t="s">
        <v>738</v>
      </c>
      <c r="AP217" s="51" t="s">
        <v>4174</v>
      </c>
      <c r="AQ217" s="51" t="s">
        <v>3894</v>
      </c>
      <c r="AR217" s="51" t="s">
        <v>4175</v>
      </c>
      <c r="AS217" s="51" t="s">
        <v>949</v>
      </c>
      <c r="AT217" s="51" t="s">
        <v>4182</v>
      </c>
      <c r="AU217" s="50" t="s">
        <v>950</v>
      </c>
      <c r="AW217" s="52" t="s">
        <v>4178</v>
      </c>
      <c r="AY217" s="52" t="s">
        <v>4178</v>
      </c>
    </row>
    <row r="218" spans="1:54" x14ac:dyDescent="0.25">
      <c r="A218" s="51" t="s">
        <v>3805</v>
      </c>
      <c r="B218" s="51">
        <v>19</v>
      </c>
      <c r="E218" s="54" t="str" cm="1">
        <f t="array" aca="1" ref="E218" ca="1">IF(H218=0,"",HYPERLINK("#"&amp;RIGHT(CELL("dateiname"),LEN(CELL("dateiname"))-FIND("]",CELL("dateiname")))&amp;"!"&amp;CELL("adresse",OFFSET($Q$6,H218-1,0)),"Definition"))</f>
        <v/>
      </c>
      <c r="F218" s="54" t="str" cm="1">
        <f t="array" aca="1" ref="F218" ca="1">IF(I218=0,"",HYPERLINK("#"&amp;RIGHT(CELL("adresse",OFFSET(DMAV_Doku!$B$6,I218-1,0)),LEN(CELL("adresse",OFFSET(DMAV_Doku!$B$6,I218-1,0)))-SEARCH("]",CELL("adresse",OFFSET(DMAV_Doku!$B$6,I218-1,0)))),"ModDoc"))</f>
        <v>ModDoc</v>
      </c>
      <c r="G218" s="150" t="str">
        <f t="shared" si="6"/>
        <v>MGS19</v>
      </c>
      <c r="H218" s="150">
        <f t="shared" si="7"/>
        <v>0</v>
      </c>
      <c r="I218" s="150">
        <f>IF(_xlfn.XLOOKUP(G218,Korrelation!$A$4:$A$723,Korrelation!$B$4:$B$723,0,0)=0,0,MATCH(_xlfn.XLOOKUP(G218,Korrelation!$A$4:$A$723,Korrelation!$B$4:$B$723,0,0),DMAV_Doku!$H$6:$H$483,0))</f>
        <v>135</v>
      </c>
      <c r="J218" s="158"/>
      <c r="K218" s="161"/>
      <c r="L218" s="161"/>
      <c r="M218" s="158"/>
      <c r="N218" s="51" t="s">
        <v>4172</v>
      </c>
      <c r="O218" s="51" t="s">
        <v>3892</v>
      </c>
      <c r="P218" s="51" t="s">
        <v>16</v>
      </c>
      <c r="Q218" s="51" t="s">
        <v>949</v>
      </c>
      <c r="R218" s="51" t="s">
        <v>237</v>
      </c>
      <c r="S218" s="50" t="s">
        <v>950</v>
      </c>
      <c r="U218" s="52" t="s">
        <v>107</v>
      </c>
      <c r="W218" s="52" t="s">
        <v>966</v>
      </c>
      <c r="Y218" s="52" t="s">
        <v>3462</v>
      </c>
      <c r="AB218" s="51" t="s">
        <v>4173</v>
      </c>
      <c r="AC218" s="51" t="s">
        <v>3893</v>
      </c>
      <c r="AD218" s="51" t="s">
        <v>705</v>
      </c>
      <c r="AE218" s="51" t="s">
        <v>949</v>
      </c>
      <c r="AF218" s="51" t="s">
        <v>784</v>
      </c>
      <c r="AG218" s="50" t="s">
        <v>950</v>
      </c>
      <c r="AI218" s="52" t="s">
        <v>737</v>
      </c>
      <c r="AK218" s="52" t="s">
        <v>4013</v>
      </c>
      <c r="AP218" s="51" t="s">
        <v>4174</v>
      </c>
      <c r="AQ218" s="51" t="s">
        <v>3894</v>
      </c>
      <c r="AR218" s="51" t="s">
        <v>4175</v>
      </c>
      <c r="AS218" s="51" t="s">
        <v>949</v>
      </c>
      <c r="AT218" s="51" t="s">
        <v>4182</v>
      </c>
      <c r="AU218" s="50" t="s">
        <v>950</v>
      </c>
      <c r="AW218" s="52" t="s">
        <v>4014</v>
      </c>
      <c r="AY218" s="52" t="s">
        <v>4013</v>
      </c>
    </row>
    <row r="219" spans="1:54" x14ac:dyDescent="0.25">
      <c r="A219" s="51" t="s">
        <v>3805</v>
      </c>
      <c r="B219" s="51">
        <v>20</v>
      </c>
      <c r="E219" s="54" t="str" cm="1">
        <f t="array" aca="1" ref="E219" ca="1">IF(H219=0,"",HYPERLINK("#"&amp;RIGHT(CELL("dateiname"),LEN(CELL("dateiname"))-FIND("]",CELL("dateiname")))&amp;"!"&amp;CELL("adresse",OFFSET($Q$6,H219-1,0)),"Definition"))</f>
        <v/>
      </c>
      <c r="F219" s="54" t="str" cm="1">
        <f t="array" aca="1" ref="F219" ca="1">IF(I219=0,"",HYPERLINK("#"&amp;RIGHT(CELL("adresse",OFFSET(DMAV_Doku!$B$6,I219-1,0)),LEN(CELL("adresse",OFFSET(DMAV_Doku!$B$6,I219-1,0)))-SEARCH("]",CELL("adresse",OFFSET(DMAV_Doku!$B$6,I219-1,0)))),"ModDoc"))</f>
        <v>ModDoc</v>
      </c>
      <c r="G219" s="150" t="str">
        <f t="shared" si="6"/>
        <v>MGS20</v>
      </c>
      <c r="H219" s="150">
        <f t="shared" si="7"/>
        <v>0</v>
      </c>
      <c r="I219" s="150">
        <f>IF(_xlfn.XLOOKUP(G219,Korrelation!$A$4:$A$723,Korrelation!$B$4:$B$723,0,0)=0,0,MATCH(_xlfn.XLOOKUP(G219,Korrelation!$A$4:$A$723,Korrelation!$B$4:$B$723,0,0),DMAV_Doku!$H$6:$H$483,0))</f>
        <v>136</v>
      </c>
      <c r="J219" s="158"/>
      <c r="K219" s="161"/>
      <c r="L219" s="161"/>
      <c r="M219" s="158"/>
      <c r="N219" s="51" t="s">
        <v>4172</v>
      </c>
      <c r="O219" s="51" t="s">
        <v>3892</v>
      </c>
      <c r="P219" s="51" t="s">
        <v>16</v>
      </c>
      <c r="Q219" s="51" t="s">
        <v>949</v>
      </c>
      <c r="R219" s="51" t="s">
        <v>237</v>
      </c>
      <c r="U219" s="52" t="s">
        <v>238</v>
      </c>
      <c r="W219" s="52" t="s">
        <v>966</v>
      </c>
      <c r="AB219" s="51" t="s">
        <v>4173</v>
      </c>
      <c r="AC219" s="51" t="s">
        <v>3893</v>
      </c>
      <c r="AD219" s="51" t="s">
        <v>705</v>
      </c>
      <c r="AE219" s="51" t="s">
        <v>949</v>
      </c>
      <c r="AF219" s="51" t="s">
        <v>784</v>
      </c>
      <c r="AI219" s="52" t="s">
        <v>785</v>
      </c>
      <c r="AK219" s="52" t="s">
        <v>4013</v>
      </c>
      <c r="AP219" s="51" t="s">
        <v>4174</v>
      </c>
      <c r="AQ219" s="51" t="s">
        <v>3894</v>
      </c>
      <c r="AR219" s="51" t="s">
        <v>4175</v>
      </c>
      <c r="AS219" s="51" t="s">
        <v>949</v>
      </c>
      <c r="AT219" s="51" t="s">
        <v>4182</v>
      </c>
      <c r="AW219" s="52" t="s">
        <v>4183</v>
      </c>
      <c r="AY219" s="52" t="s">
        <v>4013</v>
      </c>
    </row>
    <row r="220" spans="1:54" ht="25.5" x14ac:dyDescent="0.25">
      <c r="A220" s="51" t="s">
        <v>3805</v>
      </c>
      <c r="B220" s="51">
        <v>21</v>
      </c>
      <c r="E220" s="54" t="str" cm="1">
        <f t="array" aca="1" ref="E220" ca="1">IF(H220=0,"",HYPERLINK("#"&amp;RIGHT(CELL("dateiname"),LEN(CELL("dateiname"))-FIND("]",CELL("dateiname")))&amp;"!"&amp;CELL("adresse",OFFSET($Q$6,H220-1,0)),"Definition"))</f>
        <v/>
      </c>
      <c r="F220" s="54" t="str" cm="1">
        <f t="array" aca="1" ref="F220" ca="1">IF(I220=0,"",HYPERLINK("#"&amp;RIGHT(CELL("adresse",OFFSET(DMAV_Doku!$B$6,I220-1,0)),LEN(CELL("adresse",OFFSET(DMAV_Doku!$B$6,I220-1,0)))-SEARCH("]",CELL("adresse",OFFSET(DMAV_Doku!$B$6,I220-1,0)))),"ModDoc"))</f>
        <v>ModDoc</v>
      </c>
      <c r="G220" s="150" t="str">
        <f t="shared" si="6"/>
        <v>MGS21</v>
      </c>
      <c r="H220" s="150">
        <f t="shared" si="7"/>
        <v>0</v>
      </c>
      <c r="I220" s="150">
        <f>IF(_xlfn.XLOOKUP(G220,Korrelation!$A$4:$A$723,Korrelation!$B$4:$B$723,0,0)=0,0,MATCH(_xlfn.XLOOKUP(G220,Korrelation!$A$4:$A$723,Korrelation!$B$4:$B$723,0,0),DMAV_Doku!$H$6:$H$483,0))</f>
        <v>161</v>
      </c>
      <c r="J220" s="158"/>
      <c r="K220" s="161"/>
      <c r="L220" s="161"/>
      <c r="M220" s="158"/>
      <c r="N220" s="51" t="s">
        <v>4172</v>
      </c>
      <c r="O220" s="51" t="s">
        <v>3892</v>
      </c>
      <c r="P220" s="51" t="s">
        <v>16</v>
      </c>
      <c r="Q220" s="51" t="s">
        <v>949</v>
      </c>
      <c r="R220" s="51" t="s">
        <v>160</v>
      </c>
      <c r="U220" s="52" t="s">
        <v>96</v>
      </c>
      <c r="W220" s="52" t="s">
        <v>951</v>
      </c>
      <c r="Y220" s="52" t="s">
        <v>4184</v>
      </c>
      <c r="AB220" s="51" t="s">
        <v>4173</v>
      </c>
      <c r="AC220" s="51" t="s">
        <v>3893</v>
      </c>
      <c r="AD220" s="51" t="s">
        <v>705</v>
      </c>
      <c r="AE220" s="51" t="s">
        <v>949</v>
      </c>
      <c r="AF220" s="51" t="s">
        <v>795</v>
      </c>
      <c r="AI220" s="52" t="s">
        <v>733</v>
      </c>
      <c r="AK220" s="52" t="s">
        <v>951</v>
      </c>
      <c r="AP220" s="51" t="s">
        <v>4174</v>
      </c>
      <c r="AQ220" s="51" t="s">
        <v>3894</v>
      </c>
      <c r="AR220" s="51" t="s">
        <v>4175</v>
      </c>
      <c r="AS220" s="51" t="s">
        <v>949</v>
      </c>
      <c r="AT220" s="51" t="s">
        <v>4185</v>
      </c>
      <c r="AW220" s="52" t="s">
        <v>1378</v>
      </c>
      <c r="AY220" s="52" t="s">
        <v>951</v>
      </c>
    </row>
    <row r="221" spans="1:54" ht="25.5" x14ac:dyDescent="0.25">
      <c r="A221" s="51" t="s">
        <v>3805</v>
      </c>
      <c r="B221" s="51">
        <v>22</v>
      </c>
      <c r="E221" s="54" t="str" cm="1">
        <f t="array" aca="1" ref="E221" ca="1">IF(H221=0,"",HYPERLINK("#"&amp;RIGHT(CELL("dateiname"),LEN(CELL("dateiname"))-FIND("]",CELL("dateiname")))&amp;"!"&amp;CELL("adresse",OFFSET($Q$6,H221-1,0)),"Definition"))</f>
        <v/>
      </c>
      <c r="F221" s="54" t="str" cm="1">
        <f t="array" aca="1" ref="F221" ca="1">IF(I221=0,"",HYPERLINK("#"&amp;RIGHT(CELL("adresse",OFFSET(DMAV_Doku!$B$6,I221-1,0)),LEN(CELL("adresse",OFFSET(DMAV_Doku!$B$6,I221-1,0)))-SEARCH("]",CELL("adresse",OFFSET(DMAV_Doku!$B$6,I221-1,0)))),"ModDoc"))</f>
        <v>ModDoc</v>
      </c>
      <c r="G221" s="150" t="str">
        <f t="shared" si="6"/>
        <v>MGS22</v>
      </c>
      <c r="H221" s="150">
        <f t="shared" si="7"/>
        <v>0</v>
      </c>
      <c r="I221" s="150">
        <f>IF(_xlfn.XLOOKUP(G221,Korrelation!$A$4:$A$723,Korrelation!$B$4:$B$723,0,0)=0,0,MATCH(_xlfn.XLOOKUP(G221,Korrelation!$A$4:$A$723,Korrelation!$B$4:$B$723,0,0),DMAV_Doku!$H$6:$H$483,0))</f>
        <v>162</v>
      </c>
      <c r="J221" s="158"/>
      <c r="K221" s="161"/>
      <c r="L221" s="161"/>
      <c r="M221" s="158"/>
      <c r="N221" s="51" t="s">
        <v>4172</v>
      </c>
      <c r="O221" s="51" t="s">
        <v>3892</v>
      </c>
      <c r="P221" s="51" t="s">
        <v>16</v>
      </c>
      <c r="Q221" s="51" t="s">
        <v>949</v>
      </c>
      <c r="R221" s="51" t="s">
        <v>160</v>
      </c>
      <c r="U221" s="52" t="s">
        <v>121</v>
      </c>
      <c r="W221" s="52" t="s">
        <v>951</v>
      </c>
      <c r="Y221" s="52" t="s">
        <v>4184</v>
      </c>
      <c r="AB221" s="51" t="s">
        <v>4173</v>
      </c>
      <c r="AC221" s="51" t="s">
        <v>3893</v>
      </c>
      <c r="AD221" s="51" t="s">
        <v>705</v>
      </c>
      <c r="AE221" s="51" t="s">
        <v>949</v>
      </c>
      <c r="AF221" s="51" t="s">
        <v>795</v>
      </c>
      <c r="AI221" s="52" t="s">
        <v>742</v>
      </c>
      <c r="AK221" s="52" t="s">
        <v>951</v>
      </c>
      <c r="AP221" s="51" t="s">
        <v>4174</v>
      </c>
      <c r="AQ221" s="51" t="s">
        <v>3894</v>
      </c>
      <c r="AR221" s="51" t="s">
        <v>4175</v>
      </c>
      <c r="AS221" s="51" t="s">
        <v>949</v>
      </c>
      <c r="AT221" s="51" t="s">
        <v>4185</v>
      </c>
      <c r="AW221" s="52" t="s">
        <v>742</v>
      </c>
      <c r="AY221" s="52" t="s">
        <v>951</v>
      </c>
    </row>
    <row r="222" spans="1:54" ht="25.5" x14ac:dyDescent="0.25">
      <c r="A222" s="51" t="s">
        <v>3805</v>
      </c>
      <c r="B222" s="51">
        <v>23</v>
      </c>
      <c r="E222" s="54" t="str" cm="1">
        <f t="array" aca="1" ref="E222" ca="1">IF(H222=0,"",HYPERLINK("#"&amp;RIGHT(CELL("dateiname"),LEN(CELL("dateiname"))-FIND("]",CELL("dateiname")))&amp;"!"&amp;CELL("adresse",OFFSET($Q$6,H222-1,0)),"Definition"))</f>
        <v/>
      </c>
      <c r="F222" s="54" t="str" cm="1">
        <f t="array" aca="1" ref="F222" ca="1">IF(I222=0,"",HYPERLINK("#"&amp;RIGHT(CELL("adresse",OFFSET(DMAV_Doku!$B$6,I222-1,0)),LEN(CELL("adresse",OFFSET(DMAV_Doku!$B$6,I222-1,0)))-SEARCH("]",CELL("adresse",OFFSET(DMAV_Doku!$B$6,I222-1,0)))),"ModDoc"))</f>
        <v>ModDoc</v>
      </c>
      <c r="G222" s="150" t="str">
        <f t="shared" si="6"/>
        <v>MGS23</v>
      </c>
      <c r="H222" s="150">
        <f t="shared" si="7"/>
        <v>0</v>
      </c>
      <c r="I222" s="150">
        <f>IF(_xlfn.XLOOKUP(G222,Korrelation!$A$4:$A$723,Korrelation!$B$4:$B$723,0,0)=0,0,MATCH(_xlfn.XLOOKUP(G222,Korrelation!$A$4:$A$723,Korrelation!$B$4:$B$723,0,0),DMAV_Doku!$H$6:$H$483,0))</f>
        <v>163</v>
      </c>
      <c r="J222" s="158"/>
      <c r="K222" s="161"/>
      <c r="L222" s="161"/>
      <c r="M222" s="158"/>
      <c r="N222" s="51" t="s">
        <v>4172</v>
      </c>
      <c r="O222" s="51" t="s">
        <v>3892</v>
      </c>
      <c r="P222" s="51" t="s">
        <v>16</v>
      </c>
      <c r="Q222" s="51" t="s">
        <v>949</v>
      </c>
      <c r="R222" s="51" t="s">
        <v>160</v>
      </c>
      <c r="S222" s="50" t="s">
        <v>950</v>
      </c>
      <c r="U222" s="52" t="s">
        <v>123</v>
      </c>
      <c r="W222" s="52" t="s">
        <v>952</v>
      </c>
      <c r="Y222" s="52" t="s">
        <v>4184</v>
      </c>
      <c r="AB222" s="51" t="s">
        <v>4173</v>
      </c>
      <c r="AC222" s="51" t="s">
        <v>3893</v>
      </c>
      <c r="AD222" s="51" t="s">
        <v>705</v>
      </c>
      <c r="AE222" s="51" t="s">
        <v>949</v>
      </c>
      <c r="AF222" s="51" t="s">
        <v>795</v>
      </c>
      <c r="AG222" s="50" t="s">
        <v>950</v>
      </c>
      <c r="AI222" s="52" t="s">
        <v>123</v>
      </c>
      <c r="AK222" s="52" t="s">
        <v>952</v>
      </c>
      <c r="AP222" s="51" t="s">
        <v>4174</v>
      </c>
      <c r="AQ222" s="51" t="s">
        <v>3894</v>
      </c>
      <c r="AR222" s="51" t="s">
        <v>4175</v>
      </c>
      <c r="AS222" s="51" t="s">
        <v>949</v>
      </c>
      <c r="AT222" s="51" t="s">
        <v>4185</v>
      </c>
      <c r="AU222" s="50" t="s">
        <v>950</v>
      </c>
      <c r="AW222" s="52" t="s">
        <v>1247</v>
      </c>
      <c r="AY222" s="52" t="s">
        <v>952</v>
      </c>
    </row>
    <row r="223" spans="1:54" ht="25.5" x14ac:dyDescent="0.25">
      <c r="A223" s="51" t="s">
        <v>3805</v>
      </c>
      <c r="B223" s="51">
        <v>24</v>
      </c>
      <c r="C223" s="51" t="s">
        <v>3829</v>
      </c>
      <c r="E223" s="54" t="str" cm="1">
        <f t="array" aca="1" ref="E223" ca="1">IF(H223=0,"",HYPERLINK("#"&amp;RIGHT(CELL("dateiname"),LEN(CELL("dateiname"))-FIND("]",CELL("dateiname")))&amp;"!"&amp;CELL("adresse",OFFSET($Q$6,H223-1,0)),"Definition"))</f>
        <v>Definition</v>
      </c>
      <c r="F223" s="54" t="str" cm="1">
        <f t="array" aca="1" ref="F223" ca="1">IF(I223=0,"",HYPERLINK("#"&amp;RIGHT(CELL("adresse",OFFSET(DMAV_Doku!$B$6,I223-1,0)),LEN(CELL("adresse",OFFSET(DMAV_Doku!$B$6,I223-1,0)))-SEARCH("]",CELL("adresse",OFFSET(DMAV_Doku!$B$6,I223-1,0)))),"ModDoc"))</f>
        <v>ModDoc</v>
      </c>
      <c r="G223" s="150" t="str">
        <f t="shared" si="6"/>
        <v>MGS24</v>
      </c>
      <c r="H223" s="150">
        <f t="shared" si="7"/>
        <v>17</v>
      </c>
      <c r="I223" s="150">
        <f>IF(_xlfn.XLOOKUP(G223,Korrelation!$A$4:$A$723,Korrelation!$B$4:$B$723,0,0)=0,0,MATCH(_xlfn.XLOOKUP(G223,Korrelation!$A$4:$A$723,Korrelation!$B$4:$B$723,0,0),DMAV_Doku!$H$6:$H$483,0))</f>
        <v>164</v>
      </c>
      <c r="J223" s="158"/>
      <c r="K223" s="161"/>
      <c r="L223" s="161"/>
      <c r="M223" s="158"/>
      <c r="N223" s="51" t="s">
        <v>4172</v>
      </c>
      <c r="O223" s="51" t="s">
        <v>3892</v>
      </c>
      <c r="P223" s="51" t="s">
        <v>16</v>
      </c>
      <c r="Q223" s="51" t="s">
        <v>949</v>
      </c>
      <c r="R223" s="51" t="s">
        <v>160</v>
      </c>
      <c r="U223" s="52" t="s">
        <v>125</v>
      </c>
      <c r="W223" s="52" t="s">
        <v>953</v>
      </c>
      <c r="Y223" s="52" t="s">
        <v>4184</v>
      </c>
      <c r="AB223" s="51" t="s">
        <v>4173</v>
      </c>
      <c r="AC223" s="51" t="s">
        <v>3893</v>
      </c>
      <c r="AD223" s="51" t="s">
        <v>705</v>
      </c>
      <c r="AE223" s="51" t="s">
        <v>949</v>
      </c>
      <c r="AF223" s="51" t="s">
        <v>795</v>
      </c>
      <c r="AI223" s="52" t="s">
        <v>743</v>
      </c>
      <c r="AK223" s="52" t="s">
        <v>4017</v>
      </c>
      <c r="AP223" s="51" t="s">
        <v>4174</v>
      </c>
      <c r="AQ223" s="51" t="s">
        <v>3894</v>
      </c>
      <c r="AR223" s="51" t="s">
        <v>4175</v>
      </c>
      <c r="AS223" s="51" t="s">
        <v>949</v>
      </c>
      <c r="AT223" s="51" t="s">
        <v>4185</v>
      </c>
      <c r="AW223" s="52" t="s">
        <v>4018</v>
      </c>
      <c r="AY223" s="52" t="s">
        <v>4019</v>
      </c>
    </row>
    <row r="224" spans="1:54" ht="25.5" x14ac:dyDescent="0.25">
      <c r="A224" s="51" t="s">
        <v>3805</v>
      </c>
      <c r="B224" s="51">
        <v>25</v>
      </c>
      <c r="C224" s="51" t="s">
        <v>3834</v>
      </c>
      <c r="E224" s="54" t="str" cm="1">
        <f t="array" aca="1" ref="E224" ca="1">IF(H224=0,"",HYPERLINK("#"&amp;RIGHT(CELL("dateiname"),LEN(CELL("dateiname"))-FIND("]",CELL("dateiname")))&amp;"!"&amp;CELL("adresse",OFFSET($Q$6,H224-1,0)),"Definition"))</f>
        <v>Definition</v>
      </c>
      <c r="F224" s="54" t="str" cm="1">
        <f t="array" aca="1" ref="F224" ca="1">IF(I224=0,"",HYPERLINK("#"&amp;RIGHT(CELL("adresse",OFFSET(DMAV_Doku!$B$6,I224-1,0)),LEN(CELL("adresse",OFFSET(DMAV_Doku!$B$6,I224-1,0)))-SEARCH("]",CELL("adresse",OFFSET(DMAV_Doku!$B$6,I224-1,0)))),"ModDoc"))</f>
        <v>ModDoc</v>
      </c>
      <c r="G224" s="150" t="str">
        <f t="shared" si="6"/>
        <v>MGS25</v>
      </c>
      <c r="H224" s="150">
        <f t="shared" si="7"/>
        <v>40</v>
      </c>
      <c r="I224" s="150">
        <f>IF(_xlfn.XLOOKUP(G224,Korrelation!$A$4:$A$723,Korrelation!$B$4:$B$723,0,0)=0,0,MATCH(_xlfn.XLOOKUP(G224,Korrelation!$A$4:$A$723,Korrelation!$B$4:$B$723,0,0),DMAV_Doku!$H$6:$H$483,0))</f>
        <v>165</v>
      </c>
      <c r="J224" s="158"/>
      <c r="K224" s="161"/>
      <c r="L224" s="161"/>
      <c r="M224" s="158"/>
      <c r="N224" s="51" t="s">
        <v>4172</v>
      </c>
      <c r="O224" s="51" t="s">
        <v>3892</v>
      </c>
      <c r="P224" s="51" t="s">
        <v>16</v>
      </c>
      <c r="Q224" s="51" t="s">
        <v>949</v>
      </c>
      <c r="R224" s="51" t="s">
        <v>160</v>
      </c>
      <c r="S224" s="50" t="s">
        <v>950</v>
      </c>
      <c r="U224" s="52" t="s">
        <v>128</v>
      </c>
      <c r="W224" s="52" t="s">
        <v>954</v>
      </c>
      <c r="Y224" s="52" t="s">
        <v>4184</v>
      </c>
      <c r="AB224" s="51" t="s">
        <v>4173</v>
      </c>
      <c r="AC224" s="51" t="s">
        <v>3893</v>
      </c>
      <c r="AD224" s="51" t="s">
        <v>705</v>
      </c>
      <c r="AE224" s="51" t="s">
        <v>949</v>
      </c>
      <c r="AF224" s="51" t="s">
        <v>795</v>
      </c>
      <c r="AG224" s="50" t="s">
        <v>950</v>
      </c>
      <c r="AI224" s="52" t="s">
        <v>744</v>
      </c>
      <c r="AK224" s="52" t="s">
        <v>4020</v>
      </c>
      <c r="AP224" s="51" t="s">
        <v>4174</v>
      </c>
      <c r="AQ224" s="51" t="s">
        <v>3894</v>
      </c>
      <c r="AR224" s="51" t="s">
        <v>4175</v>
      </c>
      <c r="AS224" s="51" t="s">
        <v>949</v>
      </c>
      <c r="AT224" s="51" t="s">
        <v>4185</v>
      </c>
      <c r="AU224" s="50" t="s">
        <v>950</v>
      </c>
      <c r="AW224" s="52" t="s">
        <v>4021</v>
      </c>
      <c r="AY224" s="52" t="s">
        <v>4022</v>
      </c>
    </row>
    <row r="225" spans="1:54" ht="25.5" x14ac:dyDescent="0.25">
      <c r="A225" s="51" t="s">
        <v>3805</v>
      </c>
      <c r="B225" s="51">
        <v>26</v>
      </c>
      <c r="C225" s="51" t="s">
        <v>3835</v>
      </c>
      <c r="E225" s="54" t="str" cm="1">
        <f t="array" aca="1" ref="E225" ca="1">IF(H225=0,"",HYPERLINK("#"&amp;RIGHT(CELL("dateiname"),LEN(CELL("dateiname"))-FIND("]",CELL("dateiname")))&amp;"!"&amp;CELL("adresse",OFFSET($Q$6,H225-1,0)),"Definition"))</f>
        <v>Definition</v>
      </c>
      <c r="F225" s="54" t="str" cm="1">
        <f t="array" aca="1" ref="F225" ca="1">IF(I225=0,"",HYPERLINK("#"&amp;RIGHT(CELL("adresse",OFFSET(DMAV_Doku!$B$6,I225-1,0)),LEN(CELL("adresse",OFFSET(DMAV_Doku!$B$6,I225-1,0)))-SEARCH("]",CELL("adresse",OFFSET(DMAV_Doku!$B$6,I225-1,0)))),"ModDoc"))</f>
        <v>ModDoc</v>
      </c>
      <c r="G225" s="150" t="str">
        <f t="shared" si="6"/>
        <v>MGS26</v>
      </c>
      <c r="H225" s="150">
        <f t="shared" si="7"/>
        <v>41</v>
      </c>
      <c r="I225" s="150">
        <f>IF(_xlfn.XLOOKUP(G225,Korrelation!$A$4:$A$723,Korrelation!$B$4:$B$723,0,0)=0,0,MATCH(_xlfn.XLOOKUP(G225,Korrelation!$A$4:$A$723,Korrelation!$B$4:$B$723,0,0),DMAV_Doku!$H$6:$H$483,0))</f>
        <v>166</v>
      </c>
      <c r="J225" s="158"/>
      <c r="K225" s="161"/>
      <c r="L225" s="161"/>
      <c r="M225" s="158"/>
      <c r="N225" s="51" t="s">
        <v>4172</v>
      </c>
      <c r="O225" s="51" t="s">
        <v>3892</v>
      </c>
      <c r="P225" s="51" t="s">
        <v>16</v>
      </c>
      <c r="Q225" s="51" t="s">
        <v>949</v>
      </c>
      <c r="R225" s="51" t="s">
        <v>160</v>
      </c>
      <c r="S225" s="50" t="s">
        <v>950</v>
      </c>
      <c r="U225" s="52" t="s">
        <v>130</v>
      </c>
      <c r="W225" s="52" t="s">
        <v>955</v>
      </c>
      <c r="Y225" s="52" t="s">
        <v>4184</v>
      </c>
      <c r="AB225" s="51" t="s">
        <v>4173</v>
      </c>
      <c r="AC225" s="51" t="s">
        <v>3893</v>
      </c>
      <c r="AD225" s="51" t="s">
        <v>705</v>
      </c>
      <c r="AE225" s="51" t="s">
        <v>949</v>
      </c>
      <c r="AF225" s="51" t="s">
        <v>795</v>
      </c>
      <c r="AG225" s="50" t="s">
        <v>950</v>
      </c>
      <c r="AI225" s="52" t="s">
        <v>745</v>
      </c>
      <c r="AK225" s="52" t="s">
        <v>4023</v>
      </c>
      <c r="AP225" s="51" t="s">
        <v>4174</v>
      </c>
      <c r="AQ225" s="51" t="s">
        <v>3894</v>
      </c>
      <c r="AR225" s="51" t="s">
        <v>4175</v>
      </c>
      <c r="AS225" s="51" t="s">
        <v>949</v>
      </c>
      <c r="AT225" s="51" t="s">
        <v>4185</v>
      </c>
      <c r="AU225" s="50" t="s">
        <v>950</v>
      </c>
      <c r="AW225" s="52" t="s">
        <v>4024</v>
      </c>
      <c r="AY225" s="52" t="s">
        <v>4025</v>
      </c>
    </row>
    <row r="226" spans="1:54" ht="25.5" x14ac:dyDescent="0.25">
      <c r="A226" s="51" t="s">
        <v>3805</v>
      </c>
      <c r="B226" s="51">
        <v>27</v>
      </c>
      <c r="C226" s="51" t="s">
        <v>3834</v>
      </c>
      <c r="E226" s="54" t="str" cm="1">
        <f t="array" aca="1" ref="E226" ca="1">IF(H226=0,"",HYPERLINK("#"&amp;RIGHT(CELL("dateiname"),LEN(CELL("dateiname"))-FIND("]",CELL("dateiname")))&amp;"!"&amp;CELL("adresse",OFFSET($Q$6,H226-1,0)),"Definition"))</f>
        <v>Definition</v>
      </c>
      <c r="F226" s="54" t="str" cm="1">
        <f t="array" aca="1" ref="F226" ca="1">IF(I226=0,"",HYPERLINK("#"&amp;RIGHT(CELL("adresse",OFFSET(DMAV_Doku!$B$6,I226-1,0)),LEN(CELL("adresse",OFFSET(DMAV_Doku!$B$6,I226-1,0)))-SEARCH("]",CELL("adresse",OFFSET(DMAV_Doku!$B$6,I226-1,0)))),"ModDoc"))</f>
        <v>ModDoc</v>
      </c>
      <c r="G226" s="150" t="str">
        <f t="shared" si="6"/>
        <v>MGS27</v>
      </c>
      <c r="H226" s="150">
        <f t="shared" si="7"/>
        <v>40</v>
      </c>
      <c r="I226" s="150">
        <f>IF(_xlfn.XLOOKUP(G226,Korrelation!$A$4:$A$723,Korrelation!$B$4:$B$723,0,0)=0,0,MATCH(_xlfn.XLOOKUP(G226,Korrelation!$A$4:$A$723,Korrelation!$B$4:$B$723,0,0),DMAV_Doku!$H$6:$H$483,0))</f>
        <v>167</v>
      </c>
      <c r="J226" s="158"/>
      <c r="K226" s="161"/>
      <c r="L226" s="161"/>
      <c r="M226" s="158"/>
      <c r="N226" s="51" t="s">
        <v>4172</v>
      </c>
      <c r="O226" s="51" t="s">
        <v>3892</v>
      </c>
      <c r="P226" s="51" t="s">
        <v>16</v>
      </c>
      <c r="Q226" s="51" t="s">
        <v>949</v>
      </c>
      <c r="R226" s="51" t="s">
        <v>160</v>
      </c>
      <c r="U226" s="52" t="s">
        <v>132</v>
      </c>
      <c r="W226" s="52" t="s">
        <v>954</v>
      </c>
      <c r="Y226" s="52" t="s">
        <v>4184</v>
      </c>
      <c r="AB226" s="51" t="s">
        <v>4173</v>
      </c>
      <c r="AC226" s="51" t="s">
        <v>3893</v>
      </c>
      <c r="AD226" s="51" t="s">
        <v>705</v>
      </c>
      <c r="AE226" s="51" t="s">
        <v>949</v>
      </c>
      <c r="AF226" s="51" t="s">
        <v>795</v>
      </c>
      <c r="AI226" s="52" t="s">
        <v>746</v>
      </c>
      <c r="AK226" s="52" t="s">
        <v>4020</v>
      </c>
      <c r="AP226" s="51" t="s">
        <v>4174</v>
      </c>
      <c r="AQ226" s="51" t="s">
        <v>3894</v>
      </c>
      <c r="AR226" s="51" t="s">
        <v>4175</v>
      </c>
      <c r="AS226" s="51" t="s">
        <v>949</v>
      </c>
      <c r="AT226" s="51" t="s">
        <v>4185</v>
      </c>
      <c r="AW226" s="52" t="s">
        <v>4026</v>
      </c>
      <c r="AY226" s="52" t="s">
        <v>4022</v>
      </c>
    </row>
    <row r="227" spans="1:54" ht="25.5" x14ac:dyDescent="0.25">
      <c r="A227" s="51" t="s">
        <v>3805</v>
      </c>
      <c r="B227" s="51">
        <v>28</v>
      </c>
      <c r="C227" s="51" t="s">
        <v>3835</v>
      </c>
      <c r="E227" s="54" t="str" cm="1">
        <f t="array" aca="1" ref="E227" ca="1">IF(H227=0,"",HYPERLINK("#"&amp;RIGHT(CELL("dateiname"),LEN(CELL("dateiname"))-FIND("]",CELL("dateiname")))&amp;"!"&amp;CELL("adresse",OFFSET($Q$6,H227-1,0)),"Definition"))</f>
        <v>Definition</v>
      </c>
      <c r="F227" s="54" t="str" cm="1">
        <f t="array" aca="1" ref="F227" ca="1">IF(I227=0,"",HYPERLINK("#"&amp;RIGHT(CELL("adresse",OFFSET(DMAV_Doku!$B$6,I227-1,0)),LEN(CELL("adresse",OFFSET(DMAV_Doku!$B$6,I227-1,0)))-SEARCH("]",CELL("adresse",OFFSET(DMAV_Doku!$B$6,I227-1,0)))),"ModDoc"))</f>
        <v>ModDoc</v>
      </c>
      <c r="G227" s="150" t="str">
        <f t="shared" si="6"/>
        <v>MGS28</v>
      </c>
      <c r="H227" s="150">
        <f t="shared" si="7"/>
        <v>41</v>
      </c>
      <c r="I227" s="150">
        <f>IF(_xlfn.XLOOKUP(G227,Korrelation!$A$4:$A$723,Korrelation!$B$4:$B$723,0,0)=0,0,MATCH(_xlfn.XLOOKUP(G227,Korrelation!$A$4:$A$723,Korrelation!$B$4:$B$723,0,0),DMAV_Doku!$H$6:$H$483,0))</f>
        <v>168</v>
      </c>
      <c r="J227" s="158"/>
      <c r="K227" s="161"/>
      <c r="L227" s="161"/>
      <c r="M227" s="158"/>
      <c r="N227" s="51" t="s">
        <v>4172</v>
      </c>
      <c r="O227" s="51" t="s">
        <v>3892</v>
      </c>
      <c r="P227" s="51" t="s">
        <v>16</v>
      </c>
      <c r="Q227" s="51" t="s">
        <v>949</v>
      </c>
      <c r="R227" s="51" t="s">
        <v>160</v>
      </c>
      <c r="U227" s="52" t="s">
        <v>133</v>
      </c>
      <c r="W227" s="52" t="s">
        <v>955</v>
      </c>
      <c r="Y227" s="52" t="s">
        <v>4184</v>
      </c>
      <c r="AB227" s="51" t="s">
        <v>4173</v>
      </c>
      <c r="AC227" s="51" t="s">
        <v>3893</v>
      </c>
      <c r="AD227" s="51" t="s">
        <v>705</v>
      </c>
      <c r="AE227" s="51" t="s">
        <v>949</v>
      </c>
      <c r="AF227" s="51" t="s">
        <v>795</v>
      </c>
      <c r="AI227" s="52" t="s">
        <v>747</v>
      </c>
      <c r="AK227" s="52" t="s">
        <v>4023</v>
      </c>
      <c r="AP227" s="51" t="s">
        <v>4174</v>
      </c>
      <c r="AQ227" s="51" t="s">
        <v>3894</v>
      </c>
      <c r="AR227" s="51" t="s">
        <v>4175</v>
      </c>
      <c r="AS227" s="51" t="s">
        <v>949</v>
      </c>
      <c r="AT227" s="51" t="s">
        <v>4185</v>
      </c>
      <c r="AW227" s="52" t="s">
        <v>4027</v>
      </c>
      <c r="AY227" s="52" t="s">
        <v>4025</v>
      </c>
    </row>
    <row r="228" spans="1:54" ht="25.5" x14ac:dyDescent="0.25">
      <c r="A228" s="51" t="s">
        <v>3805</v>
      </c>
      <c r="B228" s="51">
        <v>29</v>
      </c>
      <c r="C228" s="51" t="s">
        <v>3830</v>
      </c>
      <c r="E228" s="54" t="str" cm="1">
        <f t="array" aca="1" ref="E228" ca="1">IF(H228=0,"",HYPERLINK("#"&amp;RIGHT(CELL("dateiname"),LEN(CELL("dateiname"))-FIND("]",CELL("dateiname")))&amp;"!"&amp;CELL("adresse",OFFSET($Q$6,H228-1,0)),"Definition"))</f>
        <v>Definition</v>
      </c>
      <c r="F228" s="54" t="str" cm="1">
        <f t="array" aca="1" ref="F228" ca="1">IF(I228=0,"",HYPERLINK("#"&amp;RIGHT(CELL("adresse",OFFSET(DMAV_Doku!$B$6,I228-1,0)),LEN(CELL("adresse",OFFSET(DMAV_Doku!$B$6,I228-1,0)))-SEARCH("]",CELL("adresse",OFFSET(DMAV_Doku!$B$6,I228-1,0)))),"ModDoc"))</f>
        <v>ModDoc</v>
      </c>
      <c r="G228" s="150" t="str">
        <f t="shared" si="6"/>
        <v>MGS29</v>
      </c>
      <c r="H228" s="150">
        <f t="shared" si="7"/>
        <v>45</v>
      </c>
      <c r="I228" s="150">
        <f>IF(_xlfn.XLOOKUP(G228,Korrelation!$A$4:$A$723,Korrelation!$B$4:$B$723,0,0)=0,0,MATCH(_xlfn.XLOOKUP(G228,Korrelation!$A$4:$A$723,Korrelation!$B$4:$B$723,0,0),DMAV_Doku!$H$6:$H$483,0))</f>
        <v>169</v>
      </c>
      <c r="J228" s="158"/>
      <c r="K228" s="161"/>
      <c r="L228" s="161"/>
      <c r="M228" s="158"/>
      <c r="N228" s="51" t="s">
        <v>4172</v>
      </c>
      <c r="O228" s="51" t="s">
        <v>3892</v>
      </c>
      <c r="P228" s="51" t="s">
        <v>16</v>
      </c>
      <c r="Q228" s="51" t="s">
        <v>949</v>
      </c>
      <c r="R228" s="51" t="s">
        <v>160</v>
      </c>
      <c r="S228" s="50" t="s">
        <v>950</v>
      </c>
      <c r="U228" s="52" t="s">
        <v>134</v>
      </c>
      <c r="W228" s="52" t="s">
        <v>960</v>
      </c>
      <c r="Y228" s="52" t="s">
        <v>4184</v>
      </c>
      <c r="AB228" s="51" t="s">
        <v>4173</v>
      </c>
      <c r="AC228" s="51" t="s">
        <v>3893</v>
      </c>
      <c r="AD228" s="51" t="s">
        <v>705</v>
      </c>
      <c r="AE228" s="51" t="s">
        <v>949</v>
      </c>
      <c r="AF228" s="51" t="s">
        <v>795</v>
      </c>
      <c r="AG228" s="50" t="s">
        <v>950</v>
      </c>
      <c r="AI228" s="52" t="s">
        <v>748</v>
      </c>
      <c r="AK228" s="52" t="s">
        <v>4028</v>
      </c>
      <c r="AP228" s="51" t="s">
        <v>4174</v>
      </c>
      <c r="AQ228" s="51" t="s">
        <v>3894</v>
      </c>
      <c r="AR228" s="51" t="s">
        <v>4175</v>
      </c>
      <c r="AS228" s="51" t="s">
        <v>949</v>
      </c>
      <c r="AT228" s="51" t="s">
        <v>4185</v>
      </c>
      <c r="AU228" s="50" t="s">
        <v>950</v>
      </c>
      <c r="AW228" s="52" t="s">
        <v>1845</v>
      </c>
      <c r="AY228" s="52" t="s">
        <v>4029</v>
      </c>
    </row>
    <row r="229" spans="1:54" ht="25.5" x14ac:dyDescent="0.25">
      <c r="A229" s="51" t="s">
        <v>3805</v>
      </c>
      <c r="B229" s="51">
        <v>30</v>
      </c>
      <c r="E229" s="54" t="str" cm="1">
        <f t="array" aca="1" ref="E229" ca="1">IF(H229=0,"",HYPERLINK("#"&amp;RIGHT(CELL("dateiname"),LEN(CELL("dateiname"))-FIND("]",CELL("dateiname")))&amp;"!"&amp;CELL("adresse",OFFSET($Q$6,H229-1,0)),"Definition"))</f>
        <v/>
      </c>
      <c r="F229" s="54" t="str" cm="1">
        <f t="array" aca="1" ref="F229" ca="1">IF(I229=0,"",HYPERLINK("#"&amp;RIGHT(CELL("adresse",OFFSET(DMAV_Doku!$B$6,I229-1,0)),LEN(CELL("adresse",OFFSET(DMAV_Doku!$B$6,I229-1,0)))-SEARCH("]",CELL("adresse",OFFSET(DMAV_Doku!$B$6,I229-1,0)))),"ModDoc"))</f>
        <v>ModDoc</v>
      </c>
      <c r="G229" s="150" t="str">
        <f t="shared" si="6"/>
        <v>MGS30</v>
      </c>
      <c r="H229" s="150">
        <f t="shared" si="7"/>
        <v>0</v>
      </c>
      <c r="I229" s="150">
        <f>IF(_xlfn.XLOOKUP(G229,Korrelation!$A$4:$A$723,Korrelation!$B$4:$B$723,0,0)=0,0,MATCH(_xlfn.XLOOKUP(G229,Korrelation!$A$4:$A$723,Korrelation!$B$4:$B$723,0,0),DMAV_Doku!$H$6:$H$483,0))</f>
        <v>170</v>
      </c>
      <c r="J229" s="158"/>
      <c r="K229" s="161"/>
      <c r="L229" s="161"/>
      <c r="M229" s="158"/>
      <c r="N229" s="51" t="s">
        <v>4172</v>
      </c>
      <c r="O229" s="51" t="s">
        <v>3892</v>
      </c>
      <c r="P229" s="51" t="s">
        <v>16</v>
      </c>
      <c r="Q229" s="51" t="s">
        <v>949</v>
      </c>
      <c r="R229" s="51" t="s">
        <v>160</v>
      </c>
      <c r="S229" s="50" t="s">
        <v>950</v>
      </c>
      <c r="U229" s="52" t="s">
        <v>291</v>
      </c>
      <c r="W229" s="52" t="s">
        <v>131</v>
      </c>
      <c r="Y229" s="52" t="s">
        <v>4184</v>
      </c>
      <c r="AB229" s="51" t="s">
        <v>4173</v>
      </c>
      <c r="AC229" s="51" t="s">
        <v>3893</v>
      </c>
      <c r="AD229" s="51" t="s">
        <v>705</v>
      </c>
      <c r="AE229" s="51" t="s">
        <v>949</v>
      </c>
      <c r="AF229" s="51" t="s">
        <v>795</v>
      </c>
      <c r="AG229" s="50" t="s">
        <v>950</v>
      </c>
      <c r="AI229" s="52" t="s">
        <v>4186</v>
      </c>
      <c r="AK229" s="52" t="s">
        <v>131</v>
      </c>
      <c r="AP229" s="51" t="s">
        <v>4174</v>
      </c>
      <c r="AQ229" s="51" t="s">
        <v>3894</v>
      </c>
      <c r="AR229" s="51" t="s">
        <v>4175</v>
      </c>
      <c r="AS229" s="51" t="s">
        <v>949</v>
      </c>
      <c r="AT229" s="51" t="s">
        <v>4185</v>
      </c>
      <c r="AU229" s="50" t="s">
        <v>950</v>
      </c>
      <c r="AW229" s="52" t="s">
        <v>4187</v>
      </c>
      <c r="AY229" s="52" t="s">
        <v>131</v>
      </c>
    </row>
    <row r="230" spans="1:54" ht="25.5" x14ac:dyDescent="0.25">
      <c r="A230" s="51" t="s">
        <v>3805</v>
      </c>
      <c r="B230" s="51">
        <v>31</v>
      </c>
      <c r="E230" s="54" t="str" cm="1">
        <f t="array" aca="1" ref="E230" ca="1">IF(H230=0,"",HYPERLINK("#"&amp;RIGHT(CELL("dateiname"),LEN(CELL("dateiname"))-FIND("]",CELL("dateiname")))&amp;"!"&amp;CELL("adresse",OFFSET($Q$6,H230-1,0)),"Definition"))</f>
        <v/>
      </c>
      <c r="F230" s="54" t="str" cm="1">
        <f t="array" aca="1" ref="F230" ca="1">IF(I230=0,"",HYPERLINK("#"&amp;RIGHT(CELL("adresse",OFFSET(DMAV_Doku!$B$6,I230-1,0)),LEN(CELL("adresse",OFFSET(DMAV_Doku!$B$6,I230-1,0)))-SEARCH("]",CELL("adresse",OFFSET(DMAV_Doku!$B$6,I230-1,0)))),"ModDoc"))</f>
        <v>ModDoc</v>
      </c>
      <c r="G230" s="150" t="str">
        <f t="shared" si="6"/>
        <v>MGS31</v>
      </c>
      <c r="H230" s="150">
        <f t="shared" si="7"/>
        <v>0</v>
      </c>
      <c r="I230" s="150">
        <f>IF(_xlfn.XLOOKUP(G230,Korrelation!$A$4:$A$723,Korrelation!$B$4:$B$723,0,0)=0,0,MATCH(_xlfn.XLOOKUP(G230,Korrelation!$A$4:$A$723,Korrelation!$B$4:$B$723,0,0),DMAV_Doku!$H$6:$H$483,0))</f>
        <v>171</v>
      </c>
      <c r="J230" s="158"/>
      <c r="K230" s="161"/>
      <c r="L230" s="161"/>
      <c r="M230" s="158"/>
      <c r="N230" s="51" t="s">
        <v>4172</v>
      </c>
      <c r="O230" s="51" t="s">
        <v>3892</v>
      </c>
      <c r="P230" s="51" t="s">
        <v>16</v>
      </c>
      <c r="Q230" s="51" t="s">
        <v>949</v>
      </c>
      <c r="R230" s="51" t="s">
        <v>160</v>
      </c>
      <c r="S230" s="50" t="s">
        <v>950</v>
      </c>
      <c r="U230" s="52" t="s">
        <v>294</v>
      </c>
      <c r="W230" s="52" t="s">
        <v>131</v>
      </c>
      <c r="Y230" s="52" t="s">
        <v>4184</v>
      </c>
      <c r="AB230" s="51" t="s">
        <v>4173</v>
      </c>
      <c r="AC230" s="51" t="s">
        <v>3893</v>
      </c>
      <c r="AD230" s="51" t="s">
        <v>705</v>
      </c>
      <c r="AE230" s="51" t="s">
        <v>949</v>
      </c>
      <c r="AF230" s="51" t="s">
        <v>795</v>
      </c>
      <c r="AG230" s="50" t="s">
        <v>950</v>
      </c>
      <c r="AI230" s="52" t="s">
        <v>796</v>
      </c>
      <c r="AK230" s="52" t="s">
        <v>131</v>
      </c>
      <c r="AP230" s="51" t="s">
        <v>4174</v>
      </c>
      <c r="AQ230" s="51" t="s">
        <v>3894</v>
      </c>
      <c r="AR230" s="51" t="s">
        <v>4175</v>
      </c>
      <c r="AS230" s="51" t="s">
        <v>949</v>
      </c>
      <c r="AT230" s="51" t="s">
        <v>4185</v>
      </c>
      <c r="AU230" s="50" t="s">
        <v>950</v>
      </c>
      <c r="AW230" s="52" t="s">
        <v>4030</v>
      </c>
      <c r="AY230" s="52" t="s">
        <v>131</v>
      </c>
    </row>
    <row r="231" spans="1:54" ht="25.5" x14ac:dyDescent="0.25">
      <c r="A231" s="51" t="s">
        <v>3805</v>
      </c>
      <c r="B231" s="51">
        <v>32</v>
      </c>
      <c r="E231" s="54" t="str" cm="1">
        <f t="array" aca="1" ref="E231" ca="1">IF(H231=0,"",HYPERLINK("#"&amp;RIGHT(CELL("dateiname"),LEN(CELL("dateiname"))-FIND("]",CELL("dateiname")))&amp;"!"&amp;CELL("adresse",OFFSET($Q$6,H231-1,0)),"Definition"))</f>
        <v/>
      </c>
      <c r="F231" s="54" t="str" cm="1">
        <f t="array" aca="1" ref="F231" ca="1">IF(I231=0,"",HYPERLINK("#"&amp;RIGHT(CELL("adresse",OFFSET(DMAV_Doku!$B$6,I231-1,0)),LEN(CELL("adresse",OFFSET(DMAV_Doku!$B$6,I231-1,0)))-SEARCH("]",CELL("adresse",OFFSET(DMAV_Doku!$B$6,I231-1,0)))),"ModDoc"))</f>
        <v>ModDoc</v>
      </c>
      <c r="G231" s="150" t="str">
        <f t="shared" si="6"/>
        <v>MGS32</v>
      </c>
      <c r="H231" s="150">
        <f t="shared" si="7"/>
        <v>0</v>
      </c>
      <c r="I231" s="150">
        <f>IF(_xlfn.XLOOKUP(G231,Korrelation!$A$4:$A$723,Korrelation!$B$4:$B$723,0,0)=0,0,MATCH(_xlfn.XLOOKUP(G231,Korrelation!$A$4:$A$723,Korrelation!$B$4:$B$723,0,0),DMAV_Doku!$H$6:$H$483,0))</f>
        <v>172</v>
      </c>
      <c r="J231" s="158"/>
      <c r="K231" s="161"/>
      <c r="L231" s="161"/>
      <c r="M231" s="158"/>
      <c r="N231" s="51" t="s">
        <v>4172</v>
      </c>
      <c r="O231" s="51" t="s">
        <v>3892</v>
      </c>
      <c r="P231" s="51" t="s">
        <v>16</v>
      </c>
      <c r="Q231" s="51" t="s">
        <v>949</v>
      </c>
      <c r="R231" s="51" t="s">
        <v>160</v>
      </c>
      <c r="S231" s="50" t="s">
        <v>950</v>
      </c>
      <c r="U231" s="52" t="s">
        <v>297</v>
      </c>
      <c r="W231" s="52" t="s">
        <v>131</v>
      </c>
      <c r="Y231" s="52" t="s">
        <v>4184</v>
      </c>
      <c r="AB231" s="51" t="s">
        <v>4173</v>
      </c>
      <c r="AC231" s="51" t="s">
        <v>3893</v>
      </c>
      <c r="AD231" s="51" t="s">
        <v>705</v>
      </c>
      <c r="AE231" s="51" t="s">
        <v>949</v>
      </c>
      <c r="AF231" s="51" t="s">
        <v>795</v>
      </c>
      <c r="AG231" s="50" t="s">
        <v>950</v>
      </c>
      <c r="AI231" s="52" t="s">
        <v>797</v>
      </c>
      <c r="AK231" s="52" t="s">
        <v>131</v>
      </c>
      <c r="AP231" s="51" t="s">
        <v>4174</v>
      </c>
      <c r="AQ231" s="51" t="s">
        <v>3894</v>
      </c>
      <c r="AR231" s="51" t="s">
        <v>4175</v>
      </c>
      <c r="AS231" s="51" t="s">
        <v>949</v>
      </c>
      <c r="AT231" s="51" t="s">
        <v>4185</v>
      </c>
      <c r="AU231" s="50" t="s">
        <v>950</v>
      </c>
      <c r="AW231" s="52" t="s">
        <v>4188</v>
      </c>
      <c r="AY231" s="52" t="s">
        <v>131</v>
      </c>
    </row>
    <row r="232" spans="1:54" ht="38.25" x14ac:dyDescent="0.25">
      <c r="A232" s="51" t="s">
        <v>3805</v>
      </c>
      <c r="B232" s="51">
        <v>33</v>
      </c>
      <c r="C232" s="51" t="s">
        <v>3826</v>
      </c>
      <c r="E232" s="54" t="str" cm="1">
        <f t="array" aca="1" ref="E232" ca="1">IF(H232=0,"",HYPERLINK("#"&amp;RIGHT(CELL("dateiname"),LEN(CELL("dateiname"))-FIND("]",CELL("dateiname")))&amp;"!"&amp;CELL("adresse",OFFSET($Q$6,H232-1,0)),"Definition"))</f>
        <v>Definition</v>
      </c>
      <c r="F232" s="54" t="str" cm="1">
        <f t="array" aca="1" ref="F232" ca="1">IF(I232=0,"",HYPERLINK("#"&amp;RIGHT(CELL("adresse",OFFSET(DMAV_Doku!$B$6,I232-1,0)),LEN(CELL("adresse",OFFSET(DMAV_Doku!$B$6,I232-1,0)))-SEARCH("]",CELL("adresse",OFFSET(DMAV_Doku!$B$6,I232-1,0)))),"ModDoc"))</f>
        <v>ModDoc</v>
      </c>
      <c r="G232" s="150" t="str">
        <f t="shared" si="6"/>
        <v>MGS33</v>
      </c>
      <c r="H232" s="150">
        <f t="shared" si="7"/>
        <v>20</v>
      </c>
      <c r="I232" s="150">
        <f>IF(_xlfn.XLOOKUP(G232,Korrelation!$A$4:$A$723,Korrelation!$B$4:$B$723,0,0)=0,0,MATCH(_xlfn.XLOOKUP(G232,Korrelation!$A$4:$A$723,Korrelation!$B$4:$B$723,0,0),DMAV_Doku!$H$6:$H$483,0))</f>
        <v>173</v>
      </c>
      <c r="J232" s="158"/>
      <c r="K232" s="161"/>
      <c r="L232" s="161"/>
      <c r="M232" s="158"/>
      <c r="N232" s="51" t="s">
        <v>4172</v>
      </c>
      <c r="O232" s="51" t="s">
        <v>3892</v>
      </c>
      <c r="P232" s="51" t="s">
        <v>16</v>
      </c>
      <c r="Q232" s="51" t="s">
        <v>949</v>
      </c>
      <c r="R232" s="51" t="s">
        <v>160</v>
      </c>
      <c r="U232" s="52" t="s">
        <v>149</v>
      </c>
      <c r="W232" s="52" t="s">
        <v>961</v>
      </c>
      <c r="Y232" s="52" t="s">
        <v>4189</v>
      </c>
      <c r="AB232" s="51" t="s">
        <v>4173</v>
      </c>
      <c r="AC232" s="51" t="s">
        <v>3893</v>
      </c>
      <c r="AD232" s="51" t="s">
        <v>705</v>
      </c>
      <c r="AE232" s="51" t="s">
        <v>949</v>
      </c>
      <c r="AF232" s="51" t="s">
        <v>795</v>
      </c>
      <c r="AI232" s="52" t="s">
        <v>756</v>
      </c>
      <c r="AK232" s="52" t="s">
        <v>4033</v>
      </c>
      <c r="AP232" s="51" t="s">
        <v>4174</v>
      </c>
      <c r="AQ232" s="51" t="s">
        <v>3894</v>
      </c>
      <c r="AR232" s="51" t="s">
        <v>4175</v>
      </c>
      <c r="AS232" s="51" t="s">
        <v>949</v>
      </c>
      <c r="AT232" s="51" t="s">
        <v>4185</v>
      </c>
      <c r="AW232" s="52" t="s">
        <v>4034</v>
      </c>
      <c r="AY232" s="52" t="s">
        <v>4035</v>
      </c>
    </row>
    <row r="233" spans="1:54" ht="51" x14ac:dyDescent="0.25">
      <c r="A233" s="51" t="s">
        <v>3805</v>
      </c>
      <c r="B233" s="51">
        <v>34</v>
      </c>
      <c r="D233" s="51" t="s">
        <v>3461</v>
      </c>
      <c r="E233" s="54" t="str" cm="1">
        <f t="array" aca="1" ref="E233" ca="1">IF(H233=0,"",HYPERLINK("#"&amp;RIGHT(CELL("dateiname"),LEN(CELL("dateiname"))-FIND("]",CELL("dateiname")))&amp;"!"&amp;CELL("adresse",OFFSET($Q$6,H233-1,0)),"Definition"))</f>
        <v/>
      </c>
      <c r="F233" s="54" t="str" cm="1">
        <f t="array" aca="1" ref="F233" ca="1">IF(I233=0,"",HYPERLINK("#"&amp;RIGHT(CELL("adresse",OFFSET(DMAV_Doku!$B$6,I233-1,0)),LEN(CELL("adresse",OFFSET(DMAV_Doku!$B$6,I233-1,0)))-SEARCH("]",CELL("adresse",OFFSET(DMAV_Doku!$B$6,I233-1,0)))),"ModDoc"))</f>
        <v/>
      </c>
      <c r="G233" s="150" t="str">
        <f t="shared" si="6"/>
        <v>MGS34</v>
      </c>
      <c r="H233" s="150">
        <f t="shared" si="7"/>
        <v>0</v>
      </c>
      <c r="I233" s="150">
        <f>IF(_xlfn.XLOOKUP(G233,Korrelation!$A$4:$A$723,Korrelation!$B$4:$B$723,0,0)=0,0,MATCH(_xlfn.XLOOKUP(G233,Korrelation!$A$4:$A$723,Korrelation!$B$4:$B$723,0,0),DMAV_Doku!$H$6:$H$483,0))</f>
        <v>0</v>
      </c>
      <c r="J233" s="158"/>
      <c r="K233" s="161"/>
      <c r="L233" s="161"/>
      <c r="M233" s="158"/>
      <c r="N233" s="51" t="s">
        <v>4172</v>
      </c>
      <c r="O233" s="51" t="s">
        <v>3892</v>
      </c>
      <c r="P233" s="51" t="s">
        <v>16</v>
      </c>
      <c r="Q233" s="51" t="s">
        <v>957</v>
      </c>
      <c r="R233" s="51" t="s">
        <v>160</v>
      </c>
      <c r="S233" s="50" t="s">
        <v>950</v>
      </c>
      <c r="U233" s="52" t="s">
        <v>2751</v>
      </c>
      <c r="W233" s="131" t="s">
        <v>3420</v>
      </c>
      <c r="Y233" s="52" t="s">
        <v>4184</v>
      </c>
      <c r="Z233" s="200" t="s">
        <v>3658</v>
      </c>
      <c r="AB233" s="51" t="s">
        <v>4173</v>
      </c>
      <c r="AC233" s="51" t="s">
        <v>3893</v>
      </c>
      <c r="AD233" s="51" t="s">
        <v>705</v>
      </c>
      <c r="AE233" s="51" t="s">
        <v>957</v>
      </c>
      <c r="AF233" s="51" t="s">
        <v>795</v>
      </c>
      <c r="AG233" s="50" t="s">
        <v>950</v>
      </c>
      <c r="AI233" s="52" t="s">
        <v>4038</v>
      </c>
      <c r="AK233" s="52" t="s">
        <v>4039</v>
      </c>
      <c r="AN233" s="200" t="s">
        <v>7219</v>
      </c>
      <c r="AP233" s="51" t="s">
        <v>4174</v>
      </c>
      <c r="AQ233" s="51" t="s">
        <v>3894</v>
      </c>
      <c r="AR233" s="51" t="s">
        <v>4175</v>
      </c>
      <c r="AS233" s="51" t="s">
        <v>957</v>
      </c>
      <c r="AT233" s="51" t="s">
        <v>4185</v>
      </c>
      <c r="AU233" s="50" t="s">
        <v>950</v>
      </c>
      <c r="AW233" s="52" t="s">
        <v>4038</v>
      </c>
      <c r="AY233" s="52" t="s">
        <v>4040</v>
      </c>
      <c r="BB233" s="200" t="s">
        <v>6011</v>
      </c>
    </row>
    <row r="234" spans="1:54" ht="51" x14ac:dyDescent="0.25">
      <c r="A234" s="51" t="s">
        <v>3805</v>
      </c>
      <c r="B234" s="51">
        <v>35</v>
      </c>
      <c r="D234" s="51" t="s">
        <v>3463</v>
      </c>
      <c r="E234" s="54" t="str" cm="1">
        <f t="array" aca="1" ref="E234" ca="1">IF(H234=0,"",HYPERLINK("#"&amp;RIGHT(CELL("dateiname"),LEN(CELL("dateiname"))-FIND("]",CELL("dateiname")))&amp;"!"&amp;CELL("adresse",OFFSET($Q$6,H234-1,0)),"Definition"))</f>
        <v/>
      </c>
      <c r="F234" s="54" t="str" cm="1">
        <f t="array" aca="1" ref="F234" ca="1">IF(I234=0,"",HYPERLINK("#"&amp;RIGHT(CELL("adresse",OFFSET(DMAV_Doku!$B$6,I234-1,0)),LEN(CELL("adresse",OFFSET(DMAV_Doku!$B$6,I234-1,0)))-SEARCH("]",CELL("adresse",OFFSET(DMAV_Doku!$B$6,I234-1,0)))),"ModDoc"))</f>
        <v/>
      </c>
      <c r="G234" s="150" t="str">
        <f t="shared" si="6"/>
        <v>MGS35</v>
      </c>
      <c r="H234" s="150">
        <f t="shared" si="7"/>
        <v>0</v>
      </c>
      <c r="I234" s="150">
        <f>IF(_xlfn.XLOOKUP(G234,Korrelation!$A$4:$A$723,Korrelation!$B$4:$B$723,0,0)=0,0,MATCH(_xlfn.XLOOKUP(G234,Korrelation!$A$4:$A$723,Korrelation!$B$4:$B$723,0,0),DMAV_Doku!$H$6:$H$483,0))</f>
        <v>0</v>
      </c>
      <c r="J234" s="158"/>
      <c r="K234" s="161"/>
      <c r="L234" s="161"/>
      <c r="M234" s="158"/>
      <c r="N234" s="51" t="s">
        <v>4172</v>
      </c>
      <c r="O234" s="51" t="s">
        <v>3892</v>
      </c>
      <c r="P234" s="51" t="s">
        <v>16</v>
      </c>
      <c r="Q234" s="51" t="s">
        <v>957</v>
      </c>
      <c r="R234" s="51" t="s">
        <v>160</v>
      </c>
      <c r="S234" s="50" t="s">
        <v>950</v>
      </c>
      <c r="U234" s="52" t="s">
        <v>2751</v>
      </c>
      <c r="V234" s="55"/>
      <c r="W234" s="52" t="s">
        <v>3422</v>
      </c>
      <c r="Y234" s="52" t="s">
        <v>4184</v>
      </c>
      <c r="Z234" s="200" t="s">
        <v>3659</v>
      </c>
      <c r="AB234" s="51" t="s">
        <v>4173</v>
      </c>
      <c r="AC234" s="51" t="s">
        <v>3893</v>
      </c>
      <c r="AD234" s="51" t="s">
        <v>705</v>
      </c>
      <c r="AE234" s="51" t="s">
        <v>957</v>
      </c>
      <c r="AF234" s="51" t="s">
        <v>795</v>
      </c>
      <c r="AG234" s="50" t="s">
        <v>950</v>
      </c>
      <c r="AI234" s="52" t="s">
        <v>4038</v>
      </c>
      <c r="AK234" s="52" t="s">
        <v>4041</v>
      </c>
      <c r="AN234" s="200" t="s">
        <v>7220</v>
      </c>
      <c r="AP234" s="51" t="s">
        <v>4174</v>
      </c>
      <c r="AQ234" s="51" t="s">
        <v>3894</v>
      </c>
      <c r="AR234" s="51" t="s">
        <v>4175</v>
      </c>
      <c r="AS234" s="51" t="s">
        <v>957</v>
      </c>
      <c r="AT234" s="51" t="s">
        <v>4185</v>
      </c>
      <c r="AU234" s="50" t="s">
        <v>950</v>
      </c>
      <c r="AW234" s="52" t="s">
        <v>4038</v>
      </c>
      <c r="AY234" s="52" t="s">
        <v>4042</v>
      </c>
      <c r="BB234" s="200" t="s">
        <v>6012</v>
      </c>
    </row>
    <row r="235" spans="1:54" ht="38.25" customHeight="1" x14ac:dyDescent="0.25">
      <c r="A235" s="51" t="s">
        <v>3805</v>
      </c>
      <c r="B235" s="51">
        <v>36</v>
      </c>
      <c r="D235" s="51" t="s">
        <v>3466</v>
      </c>
      <c r="E235" s="54" t="str" cm="1">
        <f t="array" aca="1" ref="E235" ca="1">IF(H235=0,"",HYPERLINK("#"&amp;RIGHT(CELL("dateiname"),LEN(CELL("dateiname"))-FIND("]",CELL("dateiname")))&amp;"!"&amp;CELL("adresse",OFFSET($Q$6,H235-1,0)),"Definition"))</f>
        <v/>
      </c>
      <c r="F235" s="54" t="str" cm="1">
        <f t="array" aca="1" ref="F235" ca="1">IF(I235=0,"",HYPERLINK("#"&amp;RIGHT(CELL("adresse",OFFSET(DMAV_Doku!$B$6,I235-1,0)),LEN(CELL("adresse",OFFSET(DMAV_Doku!$B$6,I235-1,0)))-SEARCH("]",CELL("adresse",OFFSET(DMAV_Doku!$B$6,I235-1,0)))),"ModDoc"))</f>
        <v/>
      </c>
      <c r="G235" s="150" t="str">
        <f t="shared" si="6"/>
        <v>MGS36</v>
      </c>
      <c r="H235" s="150">
        <f t="shared" si="7"/>
        <v>0</v>
      </c>
      <c r="I235" s="150">
        <f>IF(_xlfn.XLOOKUP(G235,Korrelation!$A$4:$A$723,Korrelation!$B$4:$B$723,0,0)=0,0,MATCH(_xlfn.XLOOKUP(G235,Korrelation!$A$4:$A$723,Korrelation!$B$4:$B$723,0,0),DMAV_Doku!$H$6:$H$483,0))</f>
        <v>0</v>
      </c>
      <c r="J235" s="158"/>
      <c r="K235" s="161"/>
      <c r="L235" s="161"/>
      <c r="M235" s="158"/>
      <c r="N235" s="51" t="s">
        <v>4172</v>
      </c>
      <c r="O235" s="51" t="s">
        <v>3892</v>
      </c>
      <c r="P235" s="51" t="s">
        <v>16</v>
      </c>
      <c r="Q235" s="51" t="s">
        <v>957</v>
      </c>
      <c r="R235" s="51" t="s">
        <v>160</v>
      </c>
      <c r="S235" s="50" t="s">
        <v>950</v>
      </c>
      <c r="U235" s="52" t="s">
        <v>3464</v>
      </c>
      <c r="V235" s="55"/>
      <c r="W235" s="52" t="s">
        <v>3465</v>
      </c>
      <c r="Y235" s="52" t="s">
        <v>4184</v>
      </c>
      <c r="Z235" s="199" t="s">
        <v>2750</v>
      </c>
      <c r="AB235" s="51" t="s">
        <v>4173</v>
      </c>
      <c r="AC235" s="51" t="s">
        <v>3893</v>
      </c>
      <c r="AD235" s="51" t="s">
        <v>705</v>
      </c>
      <c r="AE235" s="51" t="s">
        <v>957</v>
      </c>
      <c r="AF235" s="51" t="s">
        <v>795</v>
      </c>
      <c r="AG235" s="50" t="s">
        <v>950</v>
      </c>
      <c r="AI235" s="52" t="s">
        <v>4190</v>
      </c>
      <c r="AK235" s="52" t="s">
        <v>4191</v>
      </c>
      <c r="AN235" s="200" t="s">
        <v>7221</v>
      </c>
      <c r="AP235" s="51" t="s">
        <v>4174</v>
      </c>
      <c r="AQ235" s="51" t="s">
        <v>3894</v>
      </c>
      <c r="AR235" s="51" t="s">
        <v>4175</v>
      </c>
      <c r="AS235" s="51" t="s">
        <v>957</v>
      </c>
      <c r="AT235" s="51" t="s">
        <v>4185</v>
      </c>
      <c r="AU235" s="50" t="s">
        <v>950</v>
      </c>
      <c r="AW235" s="52" t="s">
        <v>4192</v>
      </c>
      <c r="AY235" s="52" t="s">
        <v>4193</v>
      </c>
      <c r="BB235" s="236" t="s">
        <v>7259</v>
      </c>
    </row>
    <row r="236" spans="1:54" x14ac:dyDescent="0.25">
      <c r="A236" s="51" t="s">
        <v>3805</v>
      </c>
      <c r="B236" s="51">
        <v>37</v>
      </c>
      <c r="E236" s="54" t="str" cm="1">
        <f t="array" aca="1" ref="E236" ca="1">IF(H236=0,"",HYPERLINK("#"&amp;RIGHT(CELL("dateiname"),LEN(CELL("dateiname"))-FIND("]",CELL("dateiname")))&amp;"!"&amp;CELL("adresse",OFFSET($Q$6,H236-1,0)),"Definition"))</f>
        <v/>
      </c>
      <c r="F236" s="54" t="str" cm="1">
        <f t="array" aca="1" ref="F236" ca="1">IF(I236=0,"",HYPERLINK("#"&amp;RIGHT(CELL("adresse",OFFSET(DMAV_Doku!$B$6,I236-1,0)),LEN(CELL("adresse",OFFSET(DMAV_Doku!$B$6,I236-1,0)))-SEARCH("]",CELL("adresse",OFFSET(DMAV_Doku!$B$6,I236-1,0)))),"ModDoc"))</f>
        <v/>
      </c>
      <c r="G236" s="150" t="str">
        <f t="shared" si="6"/>
        <v>MGS37</v>
      </c>
      <c r="H236" s="150">
        <f t="shared" si="7"/>
        <v>0</v>
      </c>
      <c r="I236" s="150">
        <f>IF(_xlfn.XLOOKUP(G236,Korrelation!$A$4:$A$723,Korrelation!$B$4:$B$723,0,0)=0,0,MATCH(_xlfn.XLOOKUP(G236,Korrelation!$A$4:$A$723,Korrelation!$B$4:$B$723,0,0),DMAV_Doku!$H$6:$H$483,0))</f>
        <v>0</v>
      </c>
      <c r="J236" s="158"/>
      <c r="K236" s="161"/>
      <c r="L236" s="161"/>
      <c r="M236" s="158"/>
      <c r="N236" s="51" t="s">
        <v>4172</v>
      </c>
      <c r="O236" s="51" t="s">
        <v>3892</v>
      </c>
      <c r="P236" s="51" t="s">
        <v>16</v>
      </c>
      <c r="Q236" s="51" t="s">
        <v>967</v>
      </c>
      <c r="R236" s="51" t="s">
        <v>1040</v>
      </c>
      <c r="U236" s="55" t="s">
        <v>969</v>
      </c>
      <c r="V236" s="55"/>
      <c r="W236" s="52" t="s">
        <v>237</v>
      </c>
      <c r="X236" s="51" t="s">
        <v>970</v>
      </c>
      <c r="AB236" s="51" t="s">
        <v>4173</v>
      </c>
      <c r="AC236" s="51" t="s">
        <v>3893</v>
      </c>
      <c r="AD236" s="51" t="s">
        <v>705</v>
      </c>
      <c r="AE236" s="51" t="s">
        <v>967</v>
      </c>
      <c r="AF236" s="51" t="s">
        <v>4194</v>
      </c>
      <c r="AI236" s="52" t="s">
        <v>1319</v>
      </c>
      <c r="AK236" s="52" t="s">
        <v>784</v>
      </c>
      <c r="AL236" s="51" t="s">
        <v>970</v>
      </c>
      <c r="AP236" s="51" t="s">
        <v>4174</v>
      </c>
      <c r="AQ236" s="51" t="s">
        <v>3894</v>
      </c>
      <c r="AR236" s="51" t="s">
        <v>4175</v>
      </c>
      <c r="AS236" s="51" t="s">
        <v>967</v>
      </c>
      <c r="AT236" s="51" t="s">
        <v>4195</v>
      </c>
      <c r="AW236" s="52" t="s">
        <v>1319</v>
      </c>
      <c r="AY236" s="52" t="s">
        <v>4182</v>
      </c>
      <c r="AZ236" s="51" t="s">
        <v>970</v>
      </c>
    </row>
    <row r="237" spans="1:54" x14ac:dyDescent="0.25">
      <c r="A237" s="51" t="s">
        <v>3805</v>
      </c>
      <c r="B237" s="51">
        <v>38</v>
      </c>
      <c r="E237" s="54" t="str" cm="1">
        <f t="array" aca="1" ref="E237" ca="1">IF(H237=0,"",HYPERLINK("#"&amp;RIGHT(CELL("dateiname"),LEN(CELL("dateiname"))-FIND("]",CELL("dateiname")))&amp;"!"&amp;CELL("adresse",OFFSET($Q$6,H237-1,0)),"Definition"))</f>
        <v/>
      </c>
      <c r="F237" s="54" t="str" cm="1">
        <f t="array" aca="1" ref="F237" ca="1">IF(I237=0,"",HYPERLINK("#"&amp;RIGHT(CELL("adresse",OFFSET(DMAV_Doku!$B$6,I237-1,0)),LEN(CELL("adresse",OFFSET(DMAV_Doku!$B$6,I237-1,0)))-SEARCH("]",CELL("adresse",OFFSET(DMAV_Doku!$B$6,I237-1,0)))),"ModDoc"))</f>
        <v/>
      </c>
      <c r="G237" s="150" t="str">
        <f t="shared" si="6"/>
        <v>MGS38</v>
      </c>
      <c r="H237" s="150">
        <f t="shared" si="7"/>
        <v>0</v>
      </c>
      <c r="I237" s="150">
        <f>IF(_xlfn.XLOOKUP(G237,Korrelation!$A$4:$A$723,Korrelation!$B$4:$B$723,0,0)=0,0,MATCH(_xlfn.XLOOKUP(G237,Korrelation!$A$4:$A$723,Korrelation!$B$4:$B$723,0,0),DMAV_Doku!$H$6:$H$483,0))</f>
        <v>0</v>
      </c>
      <c r="J237" s="158"/>
      <c r="K237" s="161"/>
      <c r="L237" s="161"/>
      <c r="M237" s="158"/>
      <c r="N237" s="51" t="s">
        <v>4172</v>
      </c>
      <c r="O237" s="51" t="s">
        <v>3892</v>
      </c>
      <c r="P237" s="51" t="s">
        <v>16</v>
      </c>
      <c r="Q237" s="51" t="s">
        <v>967</v>
      </c>
      <c r="R237" s="51" t="s">
        <v>1040</v>
      </c>
      <c r="U237" s="52" t="s">
        <v>1041</v>
      </c>
      <c r="W237" s="52" t="s">
        <v>160</v>
      </c>
      <c r="X237" s="51" t="s">
        <v>972</v>
      </c>
      <c r="AB237" s="51" t="s">
        <v>4173</v>
      </c>
      <c r="AC237" s="51" t="s">
        <v>3893</v>
      </c>
      <c r="AD237" s="51" t="s">
        <v>705</v>
      </c>
      <c r="AE237" s="51" t="s">
        <v>967</v>
      </c>
      <c r="AF237" s="51" t="s">
        <v>4194</v>
      </c>
      <c r="AI237" s="52" t="s">
        <v>4196</v>
      </c>
      <c r="AK237" s="52" t="s">
        <v>795</v>
      </c>
      <c r="AL237" s="51" t="s">
        <v>972</v>
      </c>
      <c r="AP237" s="51" t="s">
        <v>4174</v>
      </c>
      <c r="AQ237" s="51" t="s">
        <v>3894</v>
      </c>
      <c r="AR237" s="51" t="s">
        <v>4175</v>
      </c>
      <c r="AS237" s="51" t="s">
        <v>967</v>
      </c>
      <c r="AT237" s="51" t="s">
        <v>4195</v>
      </c>
      <c r="AW237" s="52" t="s">
        <v>4197</v>
      </c>
      <c r="AY237" s="52" t="s">
        <v>4185</v>
      </c>
      <c r="AZ237" s="51" t="s">
        <v>972</v>
      </c>
    </row>
    <row r="238" spans="1:54" x14ac:dyDescent="0.25">
      <c r="A238" s="51" t="s">
        <v>3805</v>
      </c>
      <c r="B238" s="51">
        <v>39</v>
      </c>
      <c r="E238" s="54" t="str" cm="1">
        <f t="array" aca="1" ref="E238" ca="1">IF(H238=0,"",HYPERLINK("#"&amp;RIGHT(CELL("dateiname"),LEN(CELL("dateiname"))-FIND("]",CELL("dateiname")))&amp;"!"&amp;CELL("adresse",OFFSET($Q$6,H238-1,0)),"Definition"))</f>
        <v/>
      </c>
      <c r="F238" s="54" t="str" cm="1">
        <f t="array" aca="1" ref="F238" ca="1">IF(I238=0,"",HYPERLINK("#"&amp;RIGHT(CELL("adresse",OFFSET(DMAV_Doku!$B$6,I238-1,0)),LEN(CELL("adresse",OFFSET(DMAV_Doku!$B$6,I238-1,0)))-SEARCH("]",CELL("adresse",OFFSET(DMAV_Doku!$B$6,I238-1,0)))),"ModDoc"))</f>
        <v/>
      </c>
      <c r="G238" s="150" t="str">
        <f t="shared" si="6"/>
        <v>MGS39</v>
      </c>
      <c r="H238" s="150">
        <f t="shared" si="7"/>
        <v>0</v>
      </c>
      <c r="I238" s="150">
        <f>IF(_xlfn.XLOOKUP(G238,Korrelation!$A$4:$A$723,Korrelation!$B$4:$B$723,0,0)=0,0,MATCH(_xlfn.XLOOKUP(G238,Korrelation!$A$4:$A$723,Korrelation!$B$4:$B$723,0,0),DMAV_Doku!$H$6:$H$483,0))</f>
        <v>0</v>
      </c>
      <c r="J238" s="158"/>
      <c r="K238" s="161"/>
      <c r="L238" s="161"/>
      <c r="M238" s="158"/>
      <c r="N238" s="51" t="s">
        <v>4172</v>
      </c>
      <c r="O238" s="51" t="s">
        <v>3892</v>
      </c>
      <c r="P238" s="51" t="s">
        <v>16</v>
      </c>
      <c r="Q238" s="51" t="s">
        <v>967</v>
      </c>
      <c r="R238" s="51" t="s">
        <v>1042</v>
      </c>
      <c r="U238" s="52" t="s">
        <v>974</v>
      </c>
      <c r="W238" s="52" t="s">
        <v>237</v>
      </c>
      <c r="X238" s="51" t="s">
        <v>975</v>
      </c>
      <c r="AB238" s="51" t="s">
        <v>4173</v>
      </c>
      <c r="AC238" s="51" t="s">
        <v>3893</v>
      </c>
      <c r="AD238" s="51" t="s">
        <v>705</v>
      </c>
      <c r="AE238" s="51" t="s">
        <v>967</v>
      </c>
      <c r="AF238" s="51" t="s">
        <v>4198</v>
      </c>
      <c r="AI238" s="52" t="s">
        <v>4074</v>
      </c>
      <c r="AK238" s="52" t="s">
        <v>784</v>
      </c>
      <c r="AL238" s="51" t="s">
        <v>975</v>
      </c>
      <c r="AP238" s="51" t="s">
        <v>4174</v>
      </c>
      <c r="AQ238" s="51" t="s">
        <v>3894</v>
      </c>
      <c r="AR238" s="51" t="s">
        <v>4175</v>
      </c>
      <c r="AS238" s="51" t="s">
        <v>967</v>
      </c>
      <c r="AT238" s="51" t="s">
        <v>4199</v>
      </c>
      <c r="AW238" s="52" t="s">
        <v>4076</v>
      </c>
      <c r="AY238" s="52" t="s">
        <v>4182</v>
      </c>
      <c r="AZ238" s="51" t="s">
        <v>975</v>
      </c>
    </row>
    <row r="239" spans="1:54" x14ac:dyDescent="0.25">
      <c r="A239" s="51" t="s">
        <v>3805</v>
      </c>
      <c r="B239" s="51">
        <v>40</v>
      </c>
      <c r="E239" s="54" t="str" cm="1">
        <f t="array" aca="1" ref="E239" ca="1">IF(H239=0,"",HYPERLINK("#"&amp;RIGHT(CELL("dateiname"),LEN(CELL("dateiname"))-FIND("]",CELL("dateiname")))&amp;"!"&amp;CELL("adresse",OFFSET($Q$6,H239-1,0)),"Definition"))</f>
        <v/>
      </c>
      <c r="F239" s="54" t="str" cm="1">
        <f t="array" aca="1" ref="F239" ca="1">IF(I239=0,"",HYPERLINK("#"&amp;RIGHT(CELL("adresse",OFFSET(DMAV_Doku!$B$6,I239-1,0)),LEN(CELL("adresse",OFFSET(DMAV_Doku!$B$6,I239-1,0)))-SEARCH("]",CELL("adresse",OFFSET(DMAV_Doku!$B$6,I239-1,0)))),"ModDoc"))</f>
        <v/>
      </c>
      <c r="G239" s="150" t="str">
        <f t="shared" si="6"/>
        <v>MGS40</v>
      </c>
      <c r="H239" s="150">
        <f t="shared" si="7"/>
        <v>0</v>
      </c>
      <c r="I239" s="150">
        <f>IF(_xlfn.XLOOKUP(G239,Korrelation!$A$4:$A$723,Korrelation!$B$4:$B$723,0,0)=0,0,MATCH(_xlfn.XLOOKUP(G239,Korrelation!$A$4:$A$723,Korrelation!$B$4:$B$723,0,0),DMAV_Doku!$H$6:$H$483,0))</f>
        <v>0</v>
      </c>
      <c r="J239" s="158"/>
      <c r="K239" s="161"/>
      <c r="L239" s="161"/>
      <c r="M239" s="158"/>
      <c r="N239" s="51" t="s">
        <v>4172</v>
      </c>
      <c r="O239" s="51" t="s">
        <v>3892</v>
      </c>
      <c r="P239" s="51" t="s">
        <v>16</v>
      </c>
      <c r="Q239" s="51" t="s">
        <v>967</v>
      </c>
      <c r="R239" s="51" t="s">
        <v>1042</v>
      </c>
      <c r="U239" s="52" t="s">
        <v>1043</v>
      </c>
      <c r="W239" s="52" t="s">
        <v>160</v>
      </c>
      <c r="X239" s="51" t="s">
        <v>972</v>
      </c>
      <c r="AB239" s="51" t="s">
        <v>4173</v>
      </c>
      <c r="AC239" s="51" t="s">
        <v>3893</v>
      </c>
      <c r="AD239" s="51" t="s">
        <v>705</v>
      </c>
      <c r="AE239" s="51" t="s">
        <v>967</v>
      </c>
      <c r="AF239" s="51" t="s">
        <v>4198</v>
      </c>
      <c r="AI239" s="52" t="s">
        <v>4200</v>
      </c>
      <c r="AK239" s="52" t="s">
        <v>795</v>
      </c>
      <c r="AL239" s="51" t="s">
        <v>972</v>
      </c>
      <c r="AP239" s="51" t="s">
        <v>4174</v>
      </c>
      <c r="AQ239" s="51" t="s">
        <v>3894</v>
      </c>
      <c r="AR239" s="51" t="s">
        <v>4175</v>
      </c>
      <c r="AS239" s="51" t="s">
        <v>967</v>
      </c>
      <c r="AT239" s="51" t="s">
        <v>4199</v>
      </c>
      <c r="AW239" s="52" t="s">
        <v>4201</v>
      </c>
      <c r="AY239" s="52" t="s">
        <v>4185</v>
      </c>
      <c r="AZ239" s="51" t="s">
        <v>972</v>
      </c>
    </row>
    <row r="240" spans="1:54" x14ac:dyDescent="0.25">
      <c r="A240" s="51" t="s">
        <v>3805</v>
      </c>
      <c r="B240" s="51">
        <v>41</v>
      </c>
      <c r="E240" s="54" t="str" cm="1">
        <f t="array" aca="1" ref="E240" ca="1">IF(H240=0,"",HYPERLINK("#"&amp;RIGHT(CELL("dateiname"),LEN(CELL("dateiname"))-FIND("]",CELL("dateiname")))&amp;"!"&amp;CELL("adresse",OFFSET($Q$6,H240-1,0)),"Definition"))</f>
        <v/>
      </c>
      <c r="F240" s="54" t="str" cm="1">
        <f t="array" aca="1" ref="F240" ca="1">IF(I240=0,"",HYPERLINK("#"&amp;RIGHT(CELL("adresse",OFFSET(DMAV_Doku!$B$6,I240-1,0)),LEN(CELL("adresse",OFFSET(DMAV_Doku!$B$6,I240-1,0)))-SEARCH("]",CELL("adresse",OFFSET(DMAV_Doku!$B$6,I240-1,0)))),"ModDoc"))</f>
        <v/>
      </c>
      <c r="G240" s="150" t="str">
        <f t="shared" si="6"/>
        <v>MGS41</v>
      </c>
      <c r="H240" s="150">
        <f t="shared" si="7"/>
        <v>0</v>
      </c>
      <c r="I240" s="150">
        <f>IF(_xlfn.XLOOKUP(G240,Korrelation!$A$4:$A$723,Korrelation!$B$4:$B$723,0,0)=0,0,MATCH(_xlfn.XLOOKUP(G240,Korrelation!$A$4:$A$723,Korrelation!$B$4:$B$723,0,0),DMAV_Doku!$H$6:$H$483,0))</f>
        <v>0</v>
      </c>
      <c r="J240" s="158"/>
      <c r="K240" s="161"/>
      <c r="L240" s="161"/>
      <c r="M240" s="158"/>
      <c r="N240" s="51" t="s">
        <v>4172</v>
      </c>
      <c r="O240" s="51" t="s">
        <v>3892</v>
      </c>
      <c r="P240" s="51" t="s">
        <v>16</v>
      </c>
      <c r="Q240" s="51" t="s">
        <v>977</v>
      </c>
      <c r="R240" s="51" t="s">
        <v>1045</v>
      </c>
      <c r="U240" s="52" t="s">
        <v>979</v>
      </c>
      <c r="W240" s="52" t="s">
        <v>160</v>
      </c>
      <c r="AB240" s="51" t="s">
        <v>4173</v>
      </c>
      <c r="AC240" s="51" t="s">
        <v>3893</v>
      </c>
      <c r="AD240" s="51" t="s">
        <v>705</v>
      </c>
      <c r="AE240" s="51" t="s">
        <v>977</v>
      </c>
      <c r="AF240" s="51" t="s">
        <v>4202</v>
      </c>
      <c r="AI240" s="52" t="s">
        <v>979</v>
      </c>
      <c r="AK240" s="52" t="s">
        <v>795</v>
      </c>
      <c r="AP240" s="51" t="s">
        <v>4174</v>
      </c>
      <c r="AQ240" s="51" t="s">
        <v>3894</v>
      </c>
      <c r="AR240" s="51" t="s">
        <v>4175</v>
      </c>
      <c r="AS240" s="51" t="s">
        <v>977</v>
      </c>
      <c r="AT240" s="51" t="s">
        <v>4203</v>
      </c>
      <c r="AW240" s="52" t="s">
        <v>979</v>
      </c>
      <c r="AY240" s="52" t="s">
        <v>4185</v>
      </c>
    </row>
    <row r="241" spans="1:54" ht="76.5" x14ac:dyDescent="0.25">
      <c r="A241" s="51" t="s">
        <v>3805</v>
      </c>
      <c r="B241" s="51">
        <v>42</v>
      </c>
      <c r="E241" s="54" t="str" cm="1">
        <f t="array" aca="1" ref="E241" ca="1">IF(H241=0,"",HYPERLINK("#"&amp;RIGHT(CELL("dateiname"),LEN(CELL("dateiname"))-FIND("]",CELL("dateiname")))&amp;"!"&amp;CELL("adresse",OFFSET($Q$6,H241-1,0)),"Definition"))</f>
        <v/>
      </c>
      <c r="F241" s="54" t="str" cm="1">
        <f t="array" aca="1" ref="F241" ca="1">IF(I241=0,"",HYPERLINK("#"&amp;RIGHT(CELL("adresse",OFFSET(DMAV_Doku!$B$6,I241-1,0)),LEN(CELL("adresse",OFFSET(DMAV_Doku!$B$6,I241-1,0)))-SEARCH("]",CELL("adresse",OFFSET(DMAV_Doku!$B$6,I241-1,0)))),"ModDoc"))</f>
        <v/>
      </c>
      <c r="G241" s="150" t="str">
        <f t="shared" si="6"/>
        <v>MGS42</v>
      </c>
      <c r="H241" s="150">
        <f t="shared" si="7"/>
        <v>0</v>
      </c>
      <c r="I241" s="150">
        <f>IF(_xlfn.XLOOKUP(G241,Korrelation!$A$4:$A$723,Korrelation!$B$4:$B$723,0,0)=0,0,MATCH(_xlfn.XLOOKUP(G241,Korrelation!$A$4:$A$723,Korrelation!$B$4:$B$723,0,0),DMAV_Doku!$H$6:$H$483,0))</f>
        <v>0</v>
      </c>
      <c r="J241" s="158"/>
      <c r="K241" s="161"/>
      <c r="L241" s="161"/>
      <c r="M241" s="158"/>
      <c r="N241" s="51" t="s">
        <v>4172</v>
      </c>
      <c r="O241" s="51" t="s">
        <v>3892</v>
      </c>
      <c r="P241" s="51" t="s">
        <v>16</v>
      </c>
      <c r="Q241" s="51" t="s">
        <v>977</v>
      </c>
      <c r="R241" s="51" t="s">
        <v>1045</v>
      </c>
      <c r="U241" s="52" t="s">
        <v>1002</v>
      </c>
      <c r="W241" s="52" t="s">
        <v>1046</v>
      </c>
      <c r="Z241" s="198" t="s">
        <v>2769</v>
      </c>
      <c r="AB241" s="51" t="s">
        <v>4173</v>
      </c>
      <c r="AC241" s="51" t="s">
        <v>3893</v>
      </c>
      <c r="AD241" s="51" t="s">
        <v>705</v>
      </c>
      <c r="AE241" s="51" t="s">
        <v>977</v>
      </c>
      <c r="AF241" s="51" t="s">
        <v>4202</v>
      </c>
      <c r="AI241" s="52" t="s">
        <v>4087</v>
      </c>
      <c r="AK241" s="52" t="s">
        <v>4204</v>
      </c>
      <c r="AN241" s="259" t="s">
        <v>7265</v>
      </c>
      <c r="AP241" s="51" t="s">
        <v>4174</v>
      </c>
      <c r="AQ241" s="51" t="s">
        <v>3894</v>
      </c>
      <c r="AR241" s="51" t="s">
        <v>4175</v>
      </c>
      <c r="AS241" s="51" t="s">
        <v>977</v>
      </c>
      <c r="AT241" s="51" t="s">
        <v>4203</v>
      </c>
      <c r="AW241" s="52" t="s">
        <v>4087</v>
      </c>
      <c r="AY241" s="52" t="s">
        <v>4205</v>
      </c>
      <c r="BB241" s="199" t="s">
        <v>6045</v>
      </c>
    </row>
    <row r="242" spans="1:54" x14ac:dyDescent="0.25">
      <c r="A242" s="51" t="s">
        <v>3805</v>
      </c>
      <c r="B242" s="51">
        <v>43</v>
      </c>
      <c r="E242" s="54" t="str" cm="1">
        <f t="array" aca="1" ref="E242" ca="1">IF(H242=0,"",HYPERLINK("#"&amp;RIGHT(CELL("dateiname"),LEN(CELL("dateiname"))-FIND("]",CELL("dateiname")))&amp;"!"&amp;CELL("adresse",OFFSET($Q$6,H242-1,0)),"Definition"))</f>
        <v/>
      </c>
      <c r="F242" s="54" t="str" cm="1">
        <f t="array" aca="1" ref="F242" ca="1">IF(I242=0,"",HYPERLINK("#"&amp;RIGHT(CELL("adresse",OFFSET(DMAV_Doku!$B$6,I242-1,0)),LEN(CELL("adresse",OFFSET(DMAV_Doku!$B$6,I242-1,0)))-SEARCH("]",CELL("adresse",OFFSET(DMAV_Doku!$B$6,I242-1,0)))),"ModDoc"))</f>
        <v/>
      </c>
      <c r="G242" s="150" t="str">
        <f t="shared" si="6"/>
        <v>MGS43</v>
      </c>
      <c r="H242" s="150">
        <f t="shared" si="7"/>
        <v>0</v>
      </c>
      <c r="I242" s="150">
        <f>IF(_xlfn.XLOOKUP(G242,Korrelation!$A$4:$A$723,Korrelation!$B$4:$B$723,0,0)=0,0,MATCH(_xlfn.XLOOKUP(G242,Korrelation!$A$4:$A$723,Korrelation!$B$4:$B$723,0,0),DMAV_Doku!$H$6:$H$483,0))</f>
        <v>0</v>
      </c>
      <c r="J242" s="158"/>
      <c r="K242" s="161"/>
      <c r="L242" s="161"/>
      <c r="M242" s="158"/>
      <c r="N242" s="51" t="s">
        <v>4172</v>
      </c>
      <c r="O242" s="51" t="s">
        <v>3892</v>
      </c>
      <c r="P242" s="51" t="s">
        <v>16</v>
      </c>
      <c r="Q242" s="51" t="s">
        <v>977</v>
      </c>
      <c r="R242" s="51" t="s">
        <v>1045</v>
      </c>
      <c r="U242" s="52" t="s">
        <v>982</v>
      </c>
      <c r="W242" s="52" t="s">
        <v>160</v>
      </c>
      <c r="AB242" s="51" t="s">
        <v>4173</v>
      </c>
      <c r="AC242" s="51" t="s">
        <v>3893</v>
      </c>
      <c r="AD242" s="51" t="s">
        <v>705</v>
      </c>
      <c r="AE242" s="51" t="s">
        <v>977</v>
      </c>
      <c r="AF242" s="51" t="s">
        <v>4202</v>
      </c>
      <c r="AI242" s="52" t="s">
        <v>982</v>
      </c>
      <c r="AK242" s="52" t="s">
        <v>795</v>
      </c>
      <c r="AP242" s="51" t="s">
        <v>4174</v>
      </c>
      <c r="AQ242" s="51" t="s">
        <v>3894</v>
      </c>
      <c r="AR242" s="51" t="s">
        <v>4175</v>
      </c>
      <c r="AS242" s="51" t="s">
        <v>977</v>
      </c>
      <c r="AT242" s="51" t="s">
        <v>4203</v>
      </c>
      <c r="AW242" s="52" t="s">
        <v>982</v>
      </c>
      <c r="AY242" s="52" t="s">
        <v>4185</v>
      </c>
    </row>
    <row r="243" spans="1:54" ht="25.5" x14ac:dyDescent="0.25">
      <c r="A243" s="51" t="s">
        <v>3805</v>
      </c>
      <c r="B243" s="51">
        <v>44</v>
      </c>
      <c r="D243" s="51" t="s">
        <v>3467</v>
      </c>
      <c r="E243" s="54" t="str" cm="1">
        <f t="array" aca="1" ref="E243" ca="1">IF(H243=0,"",HYPERLINK("#"&amp;RIGHT(CELL("dateiname"),LEN(CELL("dateiname"))-FIND("]",CELL("dateiname")))&amp;"!"&amp;CELL("adresse",OFFSET($Q$6,H243-1,0)),"Definition"))</f>
        <v/>
      </c>
      <c r="F243" s="54" t="str" cm="1">
        <f t="array" aca="1" ref="F243" ca="1">IF(I243=0,"",HYPERLINK("#"&amp;RIGHT(CELL("adresse",OFFSET(DMAV_Doku!$B$6,I243-1,0)),LEN(CELL("adresse",OFFSET(DMAV_Doku!$B$6,I243-1,0)))-SEARCH("]",CELL("adresse",OFFSET(DMAV_Doku!$B$6,I243-1,0)))),"ModDoc"))</f>
        <v/>
      </c>
      <c r="G243" s="150" t="str">
        <f t="shared" si="6"/>
        <v>MGS44</v>
      </c>
      <c r="H243" s="150">
        <f t="shared" si="7"/>
        <v>0</v>
      </c>
      <c r="I243" s="150">
        <f>IF(_xlfn.XLOOKUP(G243,Korrelation!$A$4:$A$723,Korrelation!$B$4:$B$723,0,0)=0,0,MATCH(_xlfn.XLOOKUP(G243,Korrelation!$A$4:$A$723,Korrelation!$B$4:$B$723,0,0),DMAV_Doku!$H$6:$H$483,0))</f>
        <v>0</v>
      </c>
      <c r="J243" s="158"/>
      <c r="K243" s="161"/>
      <c r="L243" s="161"/>
      <c r="M243" s="158"/>
      <c r="N243" s="51" t="s">
        <v>4172</v>
      </c>
      <c r="O243" s="51" t="s">
        <v>3892</v>
      </c>
      <c r="P243" s="51" t="s">
        <v>16</v>
      </c>
      <c r="Q243" s="51" t="s">
        <v>977</v>
      </c>
      <c r="R243" s="51" t="s">
        <v>1045</v>
      </c>
      <c r="T243" s="51" t="s">
        <v>6</v>
      </c>
      <c r="U243" s="52" t="s">
        <v>123</v>
      </c>
      <c r="W243" s="52"/>
      <c r="Z243" s="199" t="s">
        <v>2770</v>
      </c>
      <c r="AB243" s="51" t="s">
        <v>4173</v>
      </c>
      <c r="AC243" s="51" t="s">
        <v>3893</v>
      </c>
      <c r="AD243" s="51" t="s">
        <v>705</v>
      </c>
      <c r="AE243" s="51" t="s">
        <v>977</v>
      </c>
      <c r="AF243" s="51" t="s">
        <v>4202</v>
      </c>
      <c r="AH243" s="51" t="s">
        <v>6</v>
      </c>
      <c r="AI243" s="52" t="s">
        <v>123</v>
      </c>
      <c r="AN243" s="52" t="s">
        <v>7222</v>
      </c>
      <c r="AP243" s="51" t="s">
        <v>4174</v>
      </c>
      <c r="AQ243" s="51" t="s">
        <v>3894</v>
      </c>
      <c r="AR243" s="51" t="s">
        <v>4175</v>
      </c>
      <c r="AS243" s="51" t="s">
        <v>977</v>
      </c>
      <c r="AT243" s="51" t="s">
        <v>4203</v>
      </c>
      <c r="AV243" s="51" t="s">
        <v>6</v>
      </c>
      <c r="AW243" s="52" t="s">
        <v>1247</v>
      </c>
      <c r="BB243" s="199" t="s">
        <v>6000</v>
      </c>
    </row>
    <row r="244" spans="1:54" x14ac:dyDescent="0.25">
      <c r="A244" s="51" t="s">
        <v>3805</v>
      </c>
      <c r="B244" s="51">
        <v>45</v>
      </c>
      <c r="E244" s="54" t="str" cm="1">
        <f t="array" aca="1" ref="E244" ca="1">IF(H244=0,"",HYPERLINK("#"&amp;RIGHT(CELL("dateiname"),LEN(CELL("dateiname"))-FIND("]",CELL("dateiname")))&amp;"!"&amp;CELL("adresse",OFFSET($Q$6,H244-1,0)),"Definition"))</f>
        <v/>
      </c>
      <c r="F244" s="54" t="str" cm="1">
        <f t="array" aca="1" ref="F244" ca="1">IF(I244=0,"",HYPERLINK("#"&amp;RIGHT(CELL("adresse",OFFSET(DMAV_Doku!$B$6,I244-1,0)),LEN(CELL("adresse",OFFSET(DMAV_Doku!$B$6,I244-1,0)))-SEARCH("]",CELL("adresse",OFFSET(DMAV_Doku!$B$6,I244-1,0)))),"ModDoc"))</f>
        <v>ModDoc</v>
      </c>
      <c r="G244" s="150" t="str">
        <f t="shared" si="6"/>
        <v>MGS45</v>
      </c>
      <c r="H244" s="150">
        <f t="shared" si="7"/>
        <v>0</v>
      </c>
      <c r="I244" s="150">
        <f>IF(_xlfn.XLOOKUP(G244,Korrelation!$A$4:$A$723,Korrelation!$B$4:$B$723,0,0)=0,0,MATCH(_xlfn.XLOOKUP(G244,Korrelation!$A$4:$A$723,Korrelation!$B$4:$B$723,0,0),DMAV_Doku!$H$6:$H$483,0))</f>
        <v>138</v>
      </c>
      <c r="J244" s="158"/>
      <c r="K244" s="161"/>
      <c r="L244" s="161"/>
      <c r="M244" s="158"/>
      <c r="N244" s="51" t="s">
        <v>4172</v>
      </c>
      <c r="O244" s="51" t="s">
        <v>3892</v>
      </c>
      <c r="P244" s="51" t="s">
        <v>16</v>
      </c>
      <c r="Q244" s="51" t="s">
        <v>949</v>
      </c>
      <c r="R244" s="51" t="s">
        <v>239</v>
      </c>
      <c r="S244" s="50" t="s">
        <v>950</v>
      </c>
      <c r="U244" s="52" t="s">
        <v>96</v>
      </c>
      <c r="V244" s="55"/>
      <c r="W244" s="52" t="s">
        <v>951</v>
      </c>
      <c r="AB244" s="51" t="s">
        <v>4173</v>
      </c>
      <c r="AC244" s="51" t="s">
        <v>3893</v>
      </c>
      <c r="AD244" s="51" t="s">
        <v>705</v>
      </c>
      <c r="AE244" s="51" t="s">
        <v>949</v>
      </c>
      <c r="AF244" s="51" t="s">
        <v>786</v>
      </c>
      <c r="AG244" s="50" t="s">
        <v>950</v>
      </c>
      <c r="AI244" s="52" t="s">
        <v>733</v>
      </c>
      <c r="AK244" s="52" t="s">
        <v>951</v>
      </c>
      <c r="AP244" s="51" t="s">
        <v>4174</v>
      </c>
      <c r="AQ244" s="51" t="s">
        <v>3894</v>
      </c>
      <c r="AR244" s="51" t="s">
        <v>4175</v>
      </c>
      <c r="AS244" s="51" t="s">
        <v>949</v>
      </c>
      <c r="AT244" s="51" t="s">
        <v>2067</v>
      </c>
      <c r="AU244" s="50" t="s">
        <v>950</v>
      </c>
      <c r="AW244" s="52" t="s">
        <v>1378</v>
      </c>
      <c r="AY244" s="52" t="s">
        <v>951</v>
      </c>
    </row>
    <row r="245" spans="1:54" x14ac:dyDescent="0.25">
      <c r="A245" s="51" t="s">
        <v>3805</v>
      </c>
      <c r="B245" s="51">
        <v>46</v>
      </c>
      <c r="E245" s="54" t="str" cm="1">
        <f t="array" aca="1" ref="E245" ca="1">IF(H245=0,"",HYPERLINK("#"&amp;RIGHT(CELL("dateiname"),LEN(CELL("dateiname"))-FIND("]",CELL("dateiname")))&amp;"!"&amp;CELL("adresse",OFFSET($Q$6,H245-1,0)),"Definition"))</f>
        <v/>
      </c>
      <c r="F245" s="54" t="str" cm="1">
        <f t="array" aca="1" ref="F245" ca="1">IF(I245=0,"",HYPERLINK("#"&amp;RIGHT(CELL("adresse",OFFSET(DMAV_Doku!$B$6,I245-1,0)),LEN(CELL("adresse",OFFSET(DMAV_Doku!$B$6,I245-1,0)))-SEARCH("]",CELL("adresse",OFFSET(DMAV_Doku!$B$6,I245-1,0)))),"ModDoc"))</f>
        <v>ModDoc</v>
      </c>
      <c r="G245" s="150" t="str">
        <f t="shared" si="6"/>
        <v>MGS46</v>
      </c>
      <c r="H245" s="150">
        <f t="shared" si="7"/>
        <v>0</v>
      </c>
      <c r="I245" s="150">
        <f>IF(_xlfn.XLOOKUP(G245,Korrelation!$A$4:$A$723,Korrelation!$B$4:$B$723,0,0)=0,0,MATCH(_xlfn.XLOOKUP(G245,Korrelation!$A$4:$A$723,Korrelation!$B$4:$B$723,0,0),DMAV_Doku!$H$6:$H$483,0))</f>
        <v>139</v>
      </c>
      <c r="J245" s="158"/>
      <c r="K245" s="161"/>
      <c r="L245" s="161"/>
      <c r="M245" s="158"/>
      <c r="N245" s="51" t="s">
        <v>4172</v>
      </c>
      <c r="O245" s="51" t="s">
        <v>3892</v>
      </c>
      <c r="P245" s="51" t="s">
        <v>16</v>
      </c>
      <c r="Q245" s="51" t="s">
        <v>949</v>
      </c>
      <c r="R245" s="51" t="s">
        <v>239</v>
      </c>
      <c r="S245" s="50" t="s">
        <v>950</v>
      </c>
      <c r="U245" s="52" t="s">
        <v>121</v>
      </c>
      <c r="W245" s="52" t="s">
        <v>951</v>
      </c>
      <c r="AB245" s="51" t="s">
        <v>4173</v>
      </c>
      <c r="AC245" s="51" t="s">
        <v>3893</v>
      </c>
      <c r="AD245" s="51" t="s">
        <v>705</v>
      </c>
      <c r="AE245" s="51" t="s">
        <v>949</v>
      </c>
      <c r="AF245" s="51" t="s">
        <v>786</v>
      </c>
      <c r="AG245" s="50" t="s">
        <v>950</v>
      </c>
      <c r="AI245" s="52" t="s">
        <v>742</v>
      </c>
      <c r="AK245" s="52" t="s">
        <v>951</v>
      </c>
      <c r="AP245" s="51" t="s">
        <v>4174</v>
      </c>
      <c r="AQ245" s="51" t="s">
        <v>3894</v>
      </c>
      <c r="AR245" s="51" t="s">
        <v>4175</v>
      </c>
      <c r="AS245" s="51" t="s">
        <v>949</v>
      </c>
      <c r="AT245" s="51" t="s">
        <v>2067</v>
      </c>
      <c r="AU245" s="50" t="s">
        <v>950</v>
      </c>
      <c r="AW245" s="52" t="s">
        <v>742</v>
      </c>
      <c r="AY245" s="52" t="s">
        <v>951</v>
      </c>
    </row>
    <row r="246" spans="1:54" x14ac:dyDescent="0.25">
      <c r="A246" s="51" t="s">
        <v>3805</v>
      </c>
      <c r="B246" s="51">
        <v>47</v>
      </c>
      <c r="E246" s="54" t="str" cm="1">
        <f t="array" aca="1" ref="E246" ca="1">IF(H246=0,"",HYPERLINK("#"&amp;RIGHT(CELL("dateiname"),LEN(CELL("dateiname"))-FIND("]",CELL("dateiname")))&amp;"!"&amp;CELL("adresse",OFFSET($Q$6,H246-1,0)),"Definition"))</f>
        <v/>
      </c>
      <c r="F246" s="54" t="str" cm="1">
        <f t="array" aca="1" ref="F246" ca="1">IF(I246=0,"",HYPERLINK("#"&amp;RIGHT(CELL("adresse",OFFSET(DMAV_Doku!$B$6,I246-1,0)),LEN(CELL("adresse",OFFSET(DMAV_Doku!$B$6,I246-1,0)))-SEARCH("]",CELL("adresse",OFFSET(DMAV_Doku!$B$6,I246-1,0)))),"ModDoc"))</f>
        <v>ModDoc</v>
      </c>
      <c r="G246" s="150" t="str">
        <f t="shared" si="6"/>
        <v>MGS47</v>
      </c>
      <c r="H246" s="150">
        <f t="shared" si="7"/>
        <v>0</v>
      </c>
      <c r="I246" s="150">
        <f>IF(_xlfn.XLOOKUP(G246,Korrelation!$A$4:$A$723,Korrelation!$B$4:$B$723,0,0)=0,0,MATCH(_xlfn.XLOOKUP(G246,Korrelation!$A$4:$A$723,Korrelation!$B$4:$B$723,0,0),DMAV_Doku!$H$6:$H$483,0))</f>
        <v>137</v>
      </c>
      <c r="J246" s="158"/>
      <c r="K246" s="161"/>
      <c r="L246" s="161"/>
      <c r="M246" s="158"/>
      <c r="N246" s="51" t="s">
        <v>4172</v>
      </c>
      <c r="O246" s="51" t="s">
        <v>3892</v>
      </c>
      <c r="P246" s="51" t="s">
        <v>16</v>
      </c>
      <c r="Q246" s="51" t="s">
        <v>949</v>
      </c>
      <c r="R246" s="51" t="s">
        <v>239</v>
      </c>
      <c r="U246" s="52" t="s">
        <v>240</v>
      </c>
      <c r="W246" s="52" t="s">
        <v>1047</v>
      </c>
      <c r="Y246" s="52" t="s">
        <v>3468</v>
      </c>
      <c r="AB246" s="51" t="s">
        <v>4173</v>
      </c>
      <c r="AC246" s="51" t="s">
        <v>3893</v>
      </c>
      <c r="AD246" s="51" t="s">
        <v>705</v>
      </c>
      <c r="AE246" s="51" t="s">
        <v>949</v>
      </c>
      <c r="AF246" s="51" t="s">
        <v>786</v>
      </c>
      <c r="AI246" s="52" t="s">
        <v>240</v>
      </c>
      <c r="AK246" s="52" t="s">
        <v>1047</v>
      </c>
      <c r="AP246" s="51" t="s">
        <v>4174</v>
      </c>
      <c r="AQ246" s="51" t="s">
        <v>3894</v>
      </c>
      <c r="AR246" s="51" t="s">
        <v>4175</v>
      </c>
      <c r="AS246" s="51" t="s">
        <v>949</v>
      </c>
      <c r="AT246" s="51" t="s">
        <v>2067</v>
      </c>
      <c r="AW246" s="52" t="s">
        <v>240</v>
      </c>
      <c r="AY246" s="52" t="s">
        <v>1047</v>
      </c>
    </row>
    <row r="247" spans="1:54" ht="25.5" x14ac:dyDescent="0.25">
      <c r="A247" s="51" t="s">
        <v>3805</v>
      </c>
      <c r="B247" s="51">
        <v>48</v>
      </c>
      <c r="E247" s="54" t="str" cm="1">
        <f t="array" aca="1" ref="E247" ca="1">IF(H247=0,"",HYPERLINK("#"&amp;RIGHT(CELL("dateiname"),LEN(CELL("dateiname"))-FIND("]",CELL("dateiname")))&amp;"!"&amp;CELL("adresse",OFFSET($Q$6,H247-1,0)),"Definition"))</f>
        <v/>
      </c>
      <c r="F247" s="54" t="str" cm="1">
        <f t="array" aca="1" ref="F247" ca="1">IF(I247=0,"",HYPERLINK("#"&amp;RIGHT(CELL("adresse",OFFSET(DMAV_Doku!$B$6,I247-1,0)),LEN(CELL("adresse",OFFSET(DMAV_Doku!$B$6,I247-1,0)))-SEARCH("]",CELL("adresse",OFFSET(DMAV_Doku!$B$6,I247-1,0)))),"ModDoc"))</f>
        <v>ModDoc</v>
      </c>
      <c r="G247" s="150" t="str">
        <f t="shared" si="6"/>
        <v>MGS48</v>
      </c>
      <c r="H247" s="150">
        <f t="shared" si="7"/>
        <v>0</v>
      </c>
      <c r="I247" s="150">
        <f>IF(_xlfn.XLOOKUP(G247,Korrelation!$A$4:$A$723,Korrelation!$B$4:$B$723,0,0)=0,0,MATCH(_xlfn.XLOOKUP(G247,Korrelation!$A$4:$A$723,Korrelation!$B$4:$B$723,0,0),DMAV_Doku!$H$6:$H$483,0))</f>
        <v>141</v>
      </c>
      <c r="J247" s="158"/>
      <c r="K247" s="161"/>
      <c r="L247" s="161"/>
      <c r="M247" s="158"/>
      <c r="N247" s="51" t="s">
        <v>4172</v>
      </c>
      <c r="O247" s="51" t="s">
        <v>3892</v>
      </c>
      <c r="P247" s="51" t="s">
        <v>16</v>
      </c>
      <c r="Q247" s="51" t="s">
        <v>949</v>
      </c>
      <c r="R247" s="51" t="s">
        <v>239</v>
      </c>
      <c r="S247" s="50" t="s">
        <v>950</v>
      </c>
      <c r="U247" s="52" t="s">
        <v>245</v>
      </c>
      <c r="W247" s="52" t="s">
        <v>131</v>
      </c>
      <c r="Y247" s="52" t="s">
        <v>3469</v>
      </c>
      <c r="AB247" s="51" t="s">
        <v>4173</v>
      </c>
      <c r="AC247" s="51" t="s">
        <v>3893</v>
      </c>
      <c r="AD247" s="51" t="s">
        <v>705</v>
      </c>
      <c r="AE247" s="51" t="s">
        <v>949</v>
      </c>
      <c r="AF247" s="51" t="s">
        <v>786</v>
      </c>
      <c r="AG247" s="50" t="s">
        <v>950</v>
      </c>
      <c r="AI247" s="52" t="s">
        <v>787</v>
      </c>
      <c r="AK247" s="52" t="s">
        <v>131</v>
      </c>
      <c r="AP247" s="51" t="s">
        <v>4174</v>
      </c>
      <c r="AQ247" s="51" t="s">
        <v>3894</v>
      </c>
      <c r="AR247" s="51" t="s">
        <v>4175</v>
      </c>
      <c r="AS247" s="51" t="s">
        <v>949</v>
      </c>
      <c r="AT247" s="51" t="s">
        <v>2067</v>
      </c>
      <c r="AU247" s="50" t="s">
        <v>950</v>
      </c>
      <c r="AW247" s="52" t="s">
        <v>4206</v>
      </c>
      <c r="AY247" s="52" t="s">
        <v>131</v>
      </c>
    </row>
    <row r="248" spans="1:54" ht="25.5" x14ac:dyDescent="0.25">
      <c r="A248" s="51" t="s">
        <v>3805</v>
      </c>
      <c r="B248" s="51">
        <v>49</v>
      </c>
      <c r="E248" s="54" t="str" cm="1">
        <f t="array" aca="1" ref="E248" ca="1">IF(H248=0,"",HYPERLINK("#"&amp;RIGHT(CELL("dateiname"),LEN(CELL("dateiname"))-FIND("]",CELL("dateiname")))&amp;"!"&amp;CELL("adresse",OFFSET($Q$6,H248-1,0)),"Definition"))</f>
        <v/>
      </c>
      <c r="F248" s="54" t="str" cm="1">
        <f t="array" aca="1" ref="F248" ca="1">IF(I248=0,"",HYPERLINK("#"&amp;RIGHT(CELL("adresse",OFFSET(DMAV_Doku!$B$6,I248-1,0)),LEN(CELL("adresse",OFFSET(DMAV_Doku!$B$6,I248-1,0)))-SEARCH("]",CELL("adresse",OFFSET(DMAV_Doku!$B$6,I248-1,0)))),"ModDoc"))</f>
        <v>ModDoc</v>
      </c>
      <c r="G248" s="150" t="str">
        <f t="shared" si="6"/>
        <v>MGS49</v>
      </c>
      <c r="H248" s="150">
        <f t="shared" si="7"/>
        <v>0</v>
      </c>
      <c r="I248" s="150">
        <f>IF(_xlfn.XLOOKUP(G248,Korrelation!$A$4:$A$723,Korrelation!$B$4:$B$723,0,0)=0,0,MATCH(_xlfn.XLOOKUP(G248,Korrelation!$A$4:$A$723,Korrelation!$B$4:$B$723,0,0),DMAV_Doku!$H$6:$H$483,0))</f>
        <v>142</v>
      </c>
      <c r="J248" s="158"/>
      <c r="K248" s="161"/>
      <c r="L248" s="161"/>
      <c r="M248" s="158"/>
      <c r="N248" s="51" t="s">
        <v>4172</v>
      </c>
      <c r="O248" s="51" t="s">
        <v>3892</v>
      </c>
      <c r="P248" s="51" t="s">
        <v>16</v>
      </c>
      <c r="Q248" s="51" t="s">
        <v>949</v>
      </c>
      <c r="R248" s="51" t="s">
        <v>239</v>
      </c>
      <c r="S248" s="50" t="s">
        <v>950</v>
      </c>
      <c r="U248" s="52" t="s">
        <v>248</v>
      </c>
      <c r="V248" s="121"/>
      <c r="W248" s="52" t="s">
        <v>131</v>
      </c>
      <c r="Y248" s="52" t="s">
        <v>3470</v>
      </c>
      <c r="AB248" s="51" t="s">
        <v>4173</v>
      </c>
      <c r="AC248" s="51" t="s">
        <v>3893</v>
      </c>
      <c r="AD248" s="51" t="s">
        <v>705</v>
      </c>
      <c r="AE248" s="51" t="s">
        <v>949</v>
      </c>
      <c r="AF248" s="51" t="s">
        <v>786</v>
      </c>
      <c r="AG248" s="50" t="s">
        <v>950</v>
      </c>
      <c r="AI248" s="52" t="s">
        <v>804</v>
      </c>
      <c r="AK248" s="52" t="s">
        <v>131</v>
      </c>
      <c r="AP248" s="51" t="s">
        <v>4174</v>
      </c>
      <c r="AQ248" s="51" t="s">
        <v>3894</v>
      </c>
      <c r="AR248" s="51" t="s">
        <v>4175</v>
      </c>
      <c r="AS248" s="51" t="s">
        <v>949</v>
      </c>
      <c r="AT248" s="51" t="s">
        <v>2067</v>
      </c>
      <c r="AU248" s="50" t="s">
        <v>950</v>
      </c>
      <c r="AW248" s="52" t="s">
        <v>4207</v>
      </c>
      <c r="AY248" s="52" t="s">
        <v>131</v>
      </c>
    </row>
    <row r="249" spans="1:54" x14ac:dyDescent="0.25">
      <c r="A249" s="51" t="s">
        <v>3805</v>
      </c>
      <c r="B249" s="51">
        <v>50</v>
      </c>
      <c r="C249" s="51" t="s">
        <v>3841</v>
      </c>
      <c r="E249" s="54" t="str" cm="1">
        <f t="array" aca="1" ref="E249" ca="1">IF(H249=0,"",HYPERLINK("#"&amp;RIGHT(CELL("dateiname"),LEN(CELL("dateiname"))-FIND("]",CELL("dateiname")))&amp;"!"&amp;CELL("adresse",OFFSET($Q$6,H249-1,0)),"Definition"))</f>
        <v>Definition</v>
      </c>
      <c r="F249" s="54" t="str" cm="1">
        <f t="array" aca="1" ref="F249" ca="1">IF(I249=0,"",HYPERLINK("#"&amp;RIGHT(CELL("adresse",OFFSET(DMAV_Doku!$B$6,I249-1,0)),LEN(CELL("adresse",OFFSET(DMAV_Doku!$B$6,I249-1,0)))-SEARCH("]",CELL("adresse",OFFSET(DMAV_Doku!$B$6,I249-1,0)))),"ModDoc"))</f>
        <v>ModDoc</v>
      </c>
      <c r="G249" s="150" t="str">
        <f t="shared" si="6"/>
        <v>MGS50</v>
      </c>
      <c r="H249" s="150">
        <f t="shared" si="7"/>
        <v>202</v>
      </c>
      <c r="I249" s="150">
        <f>IF(_xlfn.XLOOKUP(G249,Korrelation!$A$4:$A$723,Korrelation!$B$4:$B$723,0,0)=0,0,MATCH(_xlfn.XLOOKUP(G249,Korrelation!$A$4:$A$723,Korrelation!$B$4:$B$723,0,0),DMAV_Doku!$H$6:$H$483,0))</f>
        <v>140</v>
      </c>
      <c r="J249" s="158"/>
      <c r="K249" s="161"/>
      <c r="L249" s="161"/>
      <c r="M249" s="158"/>
      <c r="N249" s="51" t="s">
        <v>4172</v>
      </c>
      <c r="O249" s="51" t="s">
        <v>3892</v>
      </c>
      <c r="P249" s="51" t="s">
        <v>16</v>
      </c>
      <c r="Q249" s="51" t="s">
        <v>949</v>
      </c>
      <c r="R249" s="51" t="s">
        <v>239</v>
      </c>
      <c r="S249" s="50" t="s">
        <v>950</v>
      </c>
      <c r="U249" s="121" t="s">
        <v>230</v>
      </c>
      <c r="W249" s="52" t="s">
        <v>230</v>
      </c>
      <c r="AB249" s="51" t="s">
        <v>4173</v>
      </c>
      <c r="AC249" s="51" t="s">
        <v>3893</v>
      </c>
      <c r="AD249" s="51" t="s">
        <v>705</v>
      </c>
      <c r="AE249" s="51" t="s">
        <v>949</v>
      </c>
      <c r="AF249" s="51" t="s">
        <v>786</v>
      </c>
      <c r="AG249" s="50" t="s">
        <v>950</v>
      </c>
      <c r="AI249" s="52" t="s">
        <v>780</v>
      </c>
      <c r="AK249" s="52" t="s">
        <v>780</v>
      </c>
      <c r="AP249" s="51" t="s">
        <v>4174</v>
      </c>
      <c r="AQ249" s="51" t="s">
        <v>3894</v>
      </c>
      <c r="AR249" s="51" t="s">
        <v>4175</v>
      </c>
      <c r="AS249" s="51" t="s">
        <v>949</v>
      </c>
      <c r="AT249" s="51" t="s">
        <v>2067</v>
      </c>
      <c r="AU249" s="50" t="s">
        <v>950</v>
      </c>
      <c r="AW249" s="52" t="s">
        <v>4176</v>
      </c>
      <c r="AY249" s="52" t="s">
        <v>4176</v>
      </c>
    </row>
    <row r="250" spans="1:54" x14ac:dyDescent="0.25">
      <c r="A250" s="51" t="s">
        <v>3805</v>
      </c>
      <c r="B250" s="51">
        <v>51</v>
      </c>
      <c r="C250" s="51" t="s">
        <v>3838</v>
      </c>
      <c r="E250" s="54" t="str" cm="1">
        <f t="array" aca="1" ref="E250" ca="1">IF(H250=0,"",HYPERLINK("#"&amp;RIGHT(CELL("dateiname"),LEN(CELL("dateiname"))-FIND("]",CELL("dateiname")))&amp;"!"&amp;CELL("adresse",OFFSET($Q$6,H250-1,0)),"Definition"))</f>
        <v>Definition</v>
      </c>
      <c r="F250" s="54" t="str" cm="1">
        <f t="array" aca="1" ref="F250" ca="1">IF(I250=0,"",HYPERLINK("#"&amp;RIGHT(CELL("adresse",OFFSET(DMAV_Doku!$B$6,I250-1,0)),LEN(CELL("adresse",OFFSET(DMAV_Doku!$B$6,I250-1,0)))-SEARCH("]",CELL("adresse",OFFSET(DMAV_Doku!$B$6,I250-1,0)))),"ModDoc"))</f>
        <v>ModDoc</v>
      </c>
      <c r="G250" s="150" t="str">
        <f t="shared" si="6"/>
        <v>MGS51</v>
      </c>
      <c r="H250" s="150">
        <f t="shared" si="7"/>
        <v>26</v>
      </c>
      <c r="I250" s="150">
        <f>IF(_xlfn.XLOOKUP(G250,Korrelation!$A$4:$A$723,Korrelation!$B$4:$B$723,0,0)=0,0,MATCH(_xlfn.XLOOKUP(G250,Korrelation!$A$4:$A$723,Korrelation!$B$4:$B$723,0,0),DMAV_Doku!$H$6:$H$483,0))</f>
        <v>143</v>
      </c>
      <c r="J250" s="158"/>
      <c r="K250" s="161"/>
      <c r="L250" s="161"/>
      <c r="M250" s="158"/>
      <c r="N250" s="51" t="s">
        <v>4172</v>
      </c>
      <c r="O250" s="51" t="s">
        <v>3892</v>
      </c>
      <c r="P250" s="51" t="s">
        <v>16</v>
      </c>
      <c r="Q250" s="51" t="s">
        <v>949</v>
      </c>
      <c r="R250" s="51" t="s">
        <v>239</v>
      </c>
      <c r="U250" s="52" t="s">
        <v>77</v>
      </c>
      <c r="V250" s="52" t="s">
        <v>3471</v>
      </c>
      <c r="W250" s="52" t="s">
        <v>3472</v>
      </c>
      <c r="AB250" s="51" t="s">
        <v>4173</v>
      </c>
      <c r="AC250" s="51" t="s">
        <v>3893</v>
      </c>
      <c r="AD250" s="51" t="s">
        <v>705</v>
      </c>
      <c r="AE250" s="51" t="s">
        <v>949</v>
      </c>
      <c r="AF250" s="51" t="s">
        <v>786</v>
      </c>
      <c r="AI250" s="52" t="s">
        <v>729</v>
      </c>
      <c r="AJ250" s="51" t="s">
        <v>3471</v>
      </c>
      <c r="AK250" s="52" t="s">
        <v>4036</v>
      </c>
      <c r="AP250" s="51" t="s">
        <v>4174</v>
      </c>
      <c r="AQ250" s="51" t="s">
        <v>3894</v>
      </c>
      <c r="AR250" s="51" t="s">
        <v>4175</v>
      </c>
      <c r="AS250" s="51" t="s">
        <v>949</v>
      </c>
      <c r="AT250" s="51" t="s">
        <v>2067</v>
      </c>
      <c r="AW250" s="52" t="s">
        <v>3933</v>
      </c>
      <c r="AX250" s="51" t="s">
        <v>3471</v>
      </c>
      <c r="AY250" s="52" t="s">
        <v>4037</v>
      </c>
    </row>
    <row r="251" spans="1:54" x14ac:dyDescent="0.25">
      <c r="A251" s="51" t="s">
        <v>3805</v>
      </c>
      <c r="B251" s="51">
        <v>52</v>
      </c>
      <c r="E251" s="54" t="str" cm="1">
        <f t="array" aca="1" ref="E251" ca="1">IF(H251=0,"",HYPERLINK("#"&amp;RIGHT(CELL("dateiname"),LEN(CELL("dateiname"))-FIND("]",CELL("dateiname")))&amp;"!"&amp;CELL("adresse",OFFSET($Q$6,H251-1,0)),"Definition"))</f>
        <v/>
      </c>
      <c r="F251" s="54" t="str" cm="1">
        <f t="array" aca="1" ref="F251" ca="1">IF(I251=0,"",HYPERLINK("#"&amp;RIGHT(CELL("adresse",OFFSET(DMAV_Doku!$B$6,I251-1,0)),LEN(CELL("adresse",OFFSET(DMAV_Doku!$B$6,I251-1,0)))-SEARCH("]",CELL("adresse",OFFSET(DMAV_Doku!$B$6,I251-1,0)))),"ModDoc"))</f>
        <v>ModDoc</v>
      </c>
      <c r="G251" s="150" t="str">
        <f t="shared" si="6"/>
        <v>MGS52</v>
      </c>
      <c r="H251" s="150">
        <f t="shared" si="7"/>
        <v>0</v>
      </c>
      <c r="I251" s="150">
        <f>IF(_xlfn.XLOOKUP(G251,Korrelation!$A$4:$A$723,Korrelation!$B$4:$B$723,0,0)=0,0,MATCH(_xlfn.XLOOKUP(G251,Korrelation!$A$4:$A$723,Korrelation!$B$4:$B$723,0,0),DMAV_Doku!$H$6:$H$483,0))</f>
        <v>144</v>
      </c>
      <c r="J251" s="158"/>
      <c r="K251" s="161"/>
      <c r="L251" s="161"/>
      <c r="M251" s="158"/>
      <c r="N251" s="51" t="s">
        <v>4172</v>
      </c>
      <c r="O251" s="51" t="s">
        <v>3892</v>
      </c>
      <c r="P251" s="51" t="s">
        <v>16</v>
      </c>
      <c r="Q251" s="51" t="s">
        <v>949</v>
      </c>
      <c r="R251" s="51" t="s">
        <v>239</v>
      </c>
      <c r="S251" s="50" t="s">
        <v>950</v>
      </c>
      <c r="U251" s="52" t="s">
        <v>213</v>
      </c>
      <c r="W251" s="52" t="s">
        <v>131</v>
      </c>
      <c r="AB251" s="51" t="s">
        <v>4173</v>
      </c>
      <c r="AC251" s="51" t="s">
        <v>3893</v>
      </c>
      <c r="AD251" s="51" t="s">
        <v>705</v>
      </c>
      <c r="AE251" s="51" t="s">
        <v>949</v>
      </c>
      <c r="AF251" s="51" t="s">
        <v>786</v>
      </c>
      <c r="AG251" s="50" t="s">
        <v>950</v>
      </c>
      <c r="AI251" s="52" t="s">
        <v>775</v>
      </c>
      <c r="AK251" s="52" t="s">
        <v>131</v>
      </c>
      <c r="AP251" s="51" t="s">
        <v>4174</v>
      </c>
      <c r="AQ251" s="51" t="s">
        <v>3894</v>
      </c>
      <c r="AR251" s="51" t="s">
        <v>4175</v>
      </c>
      <c r="AS251" s="51" t="s">
        <v>949</v>
      </c>
      <c r="AT251" s="51" t="s">
        <v>2067</v>
      </c>
      <c r="AU251" s="50" t="s">
        <v>950</v>
      </c>
      <c r="AW251" s="52" t="s">
        <v>4068</v>
      </c>
      <c r="AY251" s="52" t="s">
        <v>131</v>
      </c>
    </row>
    <row r="252" spans="1:54" ht="51" x14ac:dyDescent="0.25">
      <c r="A252" s="51" t="s">
        <v>3805</v>
      </c>
      <c r="B252" s="51">
        <v>53</v>
      </c>
      <c r="E252" s="54" t="str" cm="1">
        <f t="array" aca="1" ref="E252" ca="1">IF(H252=0,"",HYPERLINK("#"&amp;RIGHT(CELL("dateiname"),LEN(CELL("dateiname"))-FIND("]",CELL("dateiname")))&amp;"!"&amp;CELL("adresse",OFFSET($Q$6,H252-1,0)),"Definition"))</f>
        <v/>
      </c>
      <c r="F252" s="54" t="str" cm="1">
        <f t="array" aca="1" ref="F252" ca="1">IF(I252=0,"",HYPERLINK("#"&amp;RIGHT(CELL("adresse",OFFSET(DMAV_Doku!$B$6,I252-1,0)),LEN(CELL("adresse",OFFSET(DMAV_Doku!$B$6,I252-1,0)))-SEARCH("]",CELL("adresse",OFFSET(DMAV_Doku!$B$6,I252-1,0)))),"ModDoc"))</f>
        <v>ModDoc</v>
      </c>
      <c r="G252" s="150" t="str">
        <f t="shared" si="6"/>
        <v>MGS53</v>
      </c>
      <c r="H252" s="150">
        <f t="shared" si="7"/>
        <v>0</v>
      </c>
      <c r="I252" s="150">
        <f>IF(_xlfn.XLOOKUP(G252,Korrelation!$A$4:$A$723,Korrelation!$B$4:$B$723,0,0)=0,0,MATCH(_xlfn.XLOOKUP(G252,Korrelation!$A$4:$A$723,Korrelation!$B$4:$B$723,0,0),DMAV_Doku!$H$6:$H$483,0))</f>
        <v>145</v>
      </c>
      <c r="J252" s="158"/>
      <c r="K252" s="161"/>
      <c r="L252" s="161"/>
      <c r="M252" s="158"/>
      <c r="N252" s="51" t="s">
        <v>4172</v>
      </c>
      <c r="O252" s="51" t="s">
        <v>3892</v>
      </c>
      <c r="P252" s="51" t="s">
        <v>16</v>
      </c>
      <c r="Q252" s="51" t="s">
        <v>949</v>
      </c>
      <c r="R252" s="51" t="s">
        <v>239</v>
      </c>
      <c r="U252" s="52" t="s">
        <v>255</v>
      </c>
      <c r="W252" s="52" t="s">
        <v>1048</v>
      </c>
      <c r="Y252" s="52" t="s">
        <v>3473</v>
      </c>
      <c r="AB252" s="51" t="s">
        <v>4173</v>
      </c>
      <c r="AC252" s="51" t="s">
        <v>3893</v>
      </c>
      <c r="AD252" s="51" t="s">
        <v>705</v>
      </c>
      <c r="AE252" s="51" t="s">
        <v>949</v>
      </c>
      <c r="AF252" s="51" t="s">
        <v>786</v>
      </c>
      <c r="AI252" s="52" t="s">
        <v>788</v>
      </c>
      <c r="AK252" s="52" t="s">
        <v>1048</v>
      </c>
      <c r="AP252" s="51" t="s">
        <v>4174</v>
      </c>
      <c r="AQ252" s="51" t="s">
        <v>3894</v>
      </c>
      <c r="AR252" s="51" t="s">
        <v>4175</v>
      </c>
      <c r="AS252" s="51" t="s">
        <v>949</v>
      </c>
      <c r="AT252" s="51" t="s">
        <v>2067</v>
      </c>
      <c r="AW252" s="52" t="s">
        <v>788</v>
      </c>
      <c r="AY252" s="52" t="s">
        <v>1048</v>
      </c>
    </row>
    <row r="253" spans="1:54" ht="51" x14ac:dyDescent="0.25">
      <c r="A253" s="51" t="s">
        <v>3805</v>
      </c>
      <c r="B253" s="51">
        <v>54</v>
      </c>
      <c r="D253" s="51" t="s">
        <v>3476</v>
      </c>
      <c r="E253" s="54" t="str" cm="1">
        <f t="array" aca="1" ref="E253" ca="1">IF(H253=0,"",HYPERLINK("#"&amp;RIGHT(CELL("dateiname"),LEN(CELL("dateiname"))-FIND("]",CELL("dateiname")))&amp;"!"&amp;CELL("adresse",OFFSET($Q$6,H253-1,0)),"Definition"))</f>
        <v/>
      </c>
      <c r="F253" s="54" t="str" cm="1">
        <f t="array" aca="1" ref="F253" ca="1">IF(I253=0,"",HYPERLINK("#"&amp;RIGHT(CELL("adresse",OFFSET(DMAV_Doku!$B$6,I253-1,0)),LEN(CELL("adresse",OFFSET(DMAV_Doku!$B$6,I253-1,0)))-SEARCH("]",CELL("adresse",OFFSET(DMAV_Doku!$B$6,I253-1,0)))),"ModDoc"))</f>
        <v/>
      </c>
      <c r="G253" s="150" t="str">
        <f t="shared" si="6"/>
        <v>MGS54</v>
      </c>
      <c r="H253" s="150">
        <f t="shared" si="7"/>
        <v>0</v>
      </c>
      <c r="I253" s="150">
        <f>IF(_xlfn.XLOOKUP(G253,Korrelation!$A$4:$A$723,Korrelation!$B$4:$B$723,0,0)=0,0,MATCH(_xlfn.XLOOKUP(G253,Korrelation!$A$4:$A$723,Korrelation!$B$4:$B$723,0,0),DMAV_Doku!$H$6:$H$483,0))</f>
        <v>0</v>
      </c>
      <c r="J253" s="158"/>
      <c r="K253" s="161"/>
      <c r="L253" s="161"/>
      <c r="M253" s="158"/>
      <c r="N253" s="51" t="s">
        <v>4172</v>
      </c>
      <c r="O253" s="51" t="s">
        <v>3892</v>
      </c>
      <c r="P253" s="51" t="s">
        <v>16</v>
      </c>
      <c r="Q253" s="51" t="s">
        <v>957</v>
      </c>
      <c r="R253" s="51" t="s">
        <v>239</v>
      </c>
      <c r="S253" s="50" t="s">
        <v>950</v>
      </c>
      <c r="U253" s="52" t="s">
        <v>3474</v>
      </c>
      <c r="W253" s="52" t="s">
        <v>3475</v>
      </c>
      <c r="Z253" s="201" t="s">
        <v>2752</v>
      </c>
      <c r="AB253" s="51" t="s">
        <v>4173</v>
      </c>
      <c r="AC253" s="51" t="s">
        <v>3893</v>
      </c>
      <c r="AD253" s="51" t="s">
        <v>705</v>
      </c>
      <c r="AE253" s="51" t="s">
        <v>957</v>
      </c>
      <c r="AF253" s="51" t="s">
        <v>786</v>
      </c>
      <c r="AG253" s="50" t="s">
        <v>950</v>
      </c>
      <c r="AI253" s="52" t="s">
        <v>4208</v>
      </c>
      <c r="AK253" s="52" t="s">
        <v>4209</v>
      </c>
      <c r="AN253" s="201" t="s">
        <v>7223</v>
      </c>
      <c r="AP253" s="51" t="s">
        <v>4174</v>
      </c>
      <c r="AQ253" s="51" t="s">
        <v>3894</v>
      </c>
      <c r="AR253" s="51" t="s">
        <v>4175</v>
      </c>
      <c r="AS253" s="51" t="s">
        <v>957</v>
      </c>
      <c r="AT253" s="51" t="s">
        <v>2067</v>
      </c>
      <c r="AU253" s="50" t="s">
        <v>950</v>
      </c>
      <c r="AW253" s="52" t="s">
        <v>4208</v>
      </c>
      <c r="AY253" s="52" t="s">
        <v>4210</v>
      </c>
      <c r="BB253" s="201" t="s">
        <v>6018</v>
      </c>
    </row>
    <row r="254" spans="1:54" ht="12.75" customHeight="1" x14ac:dyDescent="0.25">
      <c r="A254" s="51" t="s">
        <v>3805</v>
      </c>
      <c r="B254" s="51">
        <v>55</v>
      </c>
      <c r="E254" s="54" t="str" cm="1">
        <f t="array" aca="1" ref="E254" ca="1">IF(H254=0,"",HYPERLINK("#"&amp;RIGHT(CELL("dateiname"),LEN(CELL("dateiname"))-FIND("]",CELL("dateiname")))&amp;"!"&amp;CELL("adresse",OFFSET($Q$6,H254-1,0)),"Definition"))</f>
        <v/>
      </c>
      <c r="F254" s="54" t="str" cm="1">
        <f t="array" aca="1" ref="F254" ca="1">IF(I254=0,"",HYPERLINK("#"&amp;RIGHT(CELL("adresse",OFFSET(DMAV_Doku!$B$6,I254-1,0)),LEN(CELL("adresse",OFFSET(DMAV_Doku!$B$6,I254-1,0)))-SEARCH("]",CELL("adresse",OFFSET(DMAV_Doku!$B$6,I254-1,0)))),"ModDoc"))</f>
        <v/>
      </c>
      <c r="G254" s="150" t="str">
        <f t="shared" si="6"/>
        <v>MGS55</v>
      </c>
      <c r="H254" s="150">
        <f t="shared" si="7"/>
        <v>0</v>
      </c>
      <c r="I254" s="150">
        <f>IF(_xlfn.XLOOKUP(G254,Korrelation!$A$4:$A$723,Korrelation!$B$4:$B$723,0,0)=0,0,MATCH(_xlfn.XLOOKUP(G254,Korrelation!$A$4:$A$723,Korrelation!$B$4:$B$723,0,0),DMAV_Doku!$H$6:$H$483,0))</f>
        <v>0</v>
      </c>
      <c r="J254" s="158"/>
      <c r="K254" s="161"/>
      <c r="L254" s="161"/>
      <c r="M254" s="158"/>
      <c r="N254" s="51" t="s">
        <v>4172</v>
      </c>
      <c r="O254" s="51" t="s">
        <v>3892</v>
      </c>
      <c r="P254" s="51" t="s">
        <v>16</v>
      </c>
      <c r="Q254" s="51" t="s">
        <v>967</v>
      </c>
      <c r="R254" s="51" t="s">
        <v>1049</v>
      </c>
      <c r="U254" s="52" t="s">
        <v>969</v>
      </c>
      <c r="W254" s="52" t="s">
        <v>237</v>
      </c>
      <c r="X254" s="51" t="s">
        <v>970</v>
      </c>
      <c r="AB254" s="51" t="s">
        <v>4173</v>
      </c>
      <c r="AC254" s="51" t="s">
        <v>3893</v>
      </c>
      <c r="AD254" s="51" t="s">
        <v>705</v>
      </c>
      <c r="AE254" s="51" t="s">
        <v>967</v>
      </c>
      <c r="AF254" s="51" t="s">
        <v>4211</v>
      </c>
      <c r="AI254" s="52" t="s">
        <v>1319</v>
      </c>
      <c r="AK254" s="52" t="s">
        <v>784</v>
      </c>
      <c r="AL254" s="51" t="s">
        <v>970</v>
      </c>
      <c r="AP254" s="51" t="s">
        <v>4174</v>
      </c>
      <c r="AQ254" s="51" t="s">
        <v>3894</v>
      </c>
      <c r="AR254" s="51" t="s">
        <v>4175</v>
      </c>
      <c r="AS254" s="51" t="s">
        <v>967</v>
      </c>
      <c r="AT254" s="51" t="s">
        <v>4212</v>
      </c>
      <c r="AW254" s="52" t="s">
        <v>1319</v>
      </c>
      <c r="AY254" s="52" t="s">
        <v>4182</v>
      </c>
      <c r="AZ254" s="51" t="s">
        <v>970</v>
      </c>
    </row>
    <row r="255" spans="1:54" x14ac:dyDescent="0.25">
      <c r="A255" s="51" t="s">
        <v>3805</v>
      </c>
      <c r="B255" s="51">
        <v>56</v>
      </c>
      <c r="E255" s="54" t="str" cm="1">
        <f t="array" aca="1" ref="E255" ca="1">IF(H255=0,"",HYPERLINK("#"&amp;RIGHT(CELL("dateiname"),LEN(CELL("dateiname"))-FIND("]",CELL("dateiname")))&amp;"!"&amp;CELL("adresse",OFFSET($Q$6,H255-1,0)),"Definition"))</f>
        <v/>
      </c>
      <c r="F255" s="54" t="str" cm="1">
        <f t="array" aca="1" ref="F255" ca="1">IF(I255=0,"",HYPERLINK("#"&amp;RIGHT(CELL("adresse",OFFSET(DMAV_Doku!$B$6,I255-1,0)),LEN(CELL("adresse",OFFSET(DMAV_Doku!$B$6,I255-1,0)))-SEARCH("]",CELL("adresse",OFFSET(DMAV_Doku!$B$6,I255-1,0)))),"ModDoc"))</f>
        <v/>
      </c>
      <c r="G255" s="150" t="str">
        <f t="shared" si="6"/>
        <v>MGS56</v>
      </c>
      <c r="H255" s="150">
        <f t="shared" si="7"/>
        <v>0</v>
      </c>
      <c r="I255" s="150">
        <f>IF(_xlfn.XLOOKUP(G255,Korrelation!$A$4:$A$723,Korrelation!$B$4:$B$723,0,0)=0,0,MATCH(_xlfn.XLOOKUP(G255,Korrelation!$A$4:$A$723,Korrelation!$B$4:$B$723,0,0),DMAV_Doku!$H$6:$H$483,0))</f>
        <v>0</v>
      </c>
      <c r="J255" s="158"/>
      <c r="K255" s="161"/>
      <c r="L255" s="161"/>
      <c r="M255" s="158"/>
      <c r="N255" s="51" t="s">
        <v>4172</v>
      </c>
      <c r="O255" s="51" t="s">
        <v>3892</v>
      </c>
      <c r="P255" s="51" t="s">
        <v>16</v>
      </c>
      <c r="Q255" s="51" t="s">
        <v>967</v>
      </c>
      <c r="R255" s="51" t="s">
        <v>1049</v>
      </c>
      <c r="U255" s="52" t="s">
        <v>1050</v>
      </c>
      <c r="W255" s="52" t="s">
        <v>239</v>
      </c>
      <c r="X255" s="51" t="s">
        <v>972</v>
      </c>
      <c r="AB255" s="51" t="s">
        <v>4173</v>
      </c>
      <c r="AC255" s="51" t="s">
        <v>3893</v>
      </c>
      <c r="AD255" s="51" t="s">
        <v>705</v>
      </c>
      <c r="AE255" s="51" t="s">
        <v>967</v>
      </c>
      <c r="AF255" s="51" t="s">
        <v>4211</v>
      </c>
      <c r="AI255" s="52" t="s">
        <v>4213</v>
      </c>
      <c r="AK255" s="52" t="s">
        <v>786</v>
      </c>
      <c r="AL255" s="51" t="s">
        <v>972</v>
      </c>
      <c r="AP255" s="51" t="s">
        <v>4174</v>
      </c>
      <c r="AQ255" s="51" t="s">
        <v>3894</v>
      </c>
      <c r="AR255" s="51" t="s">
        <v>4175</v>
      </c>
      <c r="AS255" s="51" t="s">
        <v>967</v>
      </c>
      <c r="AT255" s="51" t="s">
        <v>4212</v>
      </c>
      <c r="AW255" s="52" t="s">
        <v>4214</v>
      </c>
      <c r="AY255" s="52" t="s">
        <v>2067</v>
      </c>
      <c r="AZ255" s="51" t="s">
        <v>972</v>
      </c>
    </row>
    <row r="256" spans="1:54" x14ac:dyDescent="0.25">
      <c r="A256" s="51" t="s">
        <v>3805</v>
      </c>
      <c r="B256" s="51">
        <v>57</v>
      </c>
      <c r="E256" s="54" t="str" cm="1">
        <f t="array" aca="1" ref="E256" ca="1">IF(H256=0,"",HYPERLINK("#"&amp;RIGHT(CELL("dateiname"),LEN(CELL("dateiname"))-FIND("]",CELL("dateiname")))&amp;"!"&amp;CELL("adresse",OFFSET($Q$6,H256-1,0)),"Definition"))</f>
        <v/>
      </c>
      <c r="F256" s="54" t="str" cm="1">
        <f t="array" aca="1" ref="F256" ca="1">IF(I256=0,"",HYPERLINK("#"&amp;RIGHT(CELL("adresse",OFFSET(DMAV_Doku!$B$6,I256-1,0)),LEN(CELL("adresse",OFFSET(DMAV_Doku!$B$6,I256-1,0)))-SEARCH("]",CELL("adresse",OFFSET(DMAV_Doku!$B$6,I256-1,0)))),"ModDoc"))</f>
        <v/>
      </c>
      <c r="G256" s="150" t="str">
        <f t="shared" si="6"/>
        <v>MGS57</v>
      </c>
      <c r="H256" s="150">
        <f t="shared" si="7"/>
        <v>0</v>
      </c>
      <c r="I256" s="150">
        <f>IF(_xlfn.XLOOKUP(G256,Korrelation!$A$4:$A$723,Korrelation!$B$4:$B$723,0,0)=0,0,MATCH(_xlfn.XLOOKUP(G256,Korrelation!$A$4:$A$723,Korrelation!$B$4:$B$723,0,0),DMAV_Doku!$H$6:$H$483,0))</f>
        <v>0</v>
      </c>
      <c r="J256" s="158"/>
      <c r="K256" s="161"/>
      <c r="L256" s="161"/>
      <c r="M256" s="158"/>
      <c r="N256" s="51" t="s">
        <v>4172</v>
      </c>
      <c r="O256" s="51" t="s">
        <v>3892</v>
      </c>
      <c r="P256" s="51" t="s">
        <v>16</v>
      </c>
      <c r="Q256" s="51" t="s">
        <v>967</v>
      </c>
      <c r="R256" s="51" t="s">
        <v>1051</v>
      </c>
      <c r="U256" s="52" t="s">
        <v>974</v>
      </c>
      <c r="W256" s="52" t="s">
        <v>237</v>
      </c>
      <c r="X256" s="51" t="s">
        <v>975</v>
      </c>
      <c r="AB256" s="51" t="s">
        <v>4173</v>
      </c>
      <c r="AC256" s="51" t="s">
        <v>3893</v>
      </c>
      <c r="AD256" s="51" t="s">
        <v>705</v>
      </c>
      <c r="AE256" s="51" t="s">
        <v>967</v>
      </c>
      <c r="AF256" s="51" t="s">
        <v>4215</v>
      </c>
      <c r="AI256" s="52" t="s">
        <v>4074</v>
      </c>
      <c r="AK256" s="52" t="s">
        <v>784</v>
      </c>
      <c r="AL256" s="51" t="s">
        <v>975</v>
      </c>
      <c r="AP256" s="51" t="s">
        <v>4174</v>
      </c>
      <c r="AQ256" s="51" t="s">
        <v>3894</v>
      </c>
      <c r="AR256" s="51" t="s">
        <v>4175</v>
      </c>
      <c r="AS256" s="51" t="s">
        <v>967</v>
      </c>
      <c r="AT256" s="51" t="s">
        <v>4216</v>
      </c>
      <c r="AW256" s="52" t="s">
        <v>4076</v>
      </c>
      <c r="AY256" s="52" t="s">
        <v>4182</v>
      </c>
      <c r="AZ256" s="51" t="s">
        <v>975</v>
      </c>
    </row>
    <row r="257" spans="1:54" x14ac:dyDescent="0.25">
      <c r="A257" s="51" t="s">
        <v>3805</v>
      </c>
      <c r="B257" s="51">
        <v>58</v>
      </c>
      <c r="E257" s="54" t="str" cm="1">
        <f t="array" aca="1" ref="E257" ca="1">IF(H257=0,"",HYPERLINK("#"&amp;RIGHT(CELL("dateiname"),LEN(CELL("dateiname"))-FIND("]",CELL("dateiname")))&amp;"!"&amp;CELL("adresse",OFFSET($Q$6,H257-1,0)),"Definition"))</f>
        <v/>
      </c>
      <c r="F257" s="54" t="str" cm="1">
        <f t="array" aca="1" ref="F257" ca="1">IF(I257=0,"",HYPERLINK("#"&amp;RIGHT(CELL("adresse",OFFSET(DMAV_Doku!$B$6,I257-1,0)),LEN(CELL("adresse",OFFSET(DMAV_Doku!$B$6,I257-1,0)))-SEARCH("]",CELL("adresse",OFFSET(DMAV_Doku!$B$6,I257-1,0)))),"ModDoc"))</f>
        <v/>
      </c>
      <c r="G257" s="150" t="str">
        <f t="shared" si="6"/>
        <v>MGS58</v>
      </c>
      <c r="H257" s="150">
        <f t="shared" si="7"/>
        <v>0</v>
      </c>
      <c r="I257" s="150">
        <f>IF(_xlfn.XLOOKUP(G257,Korrelation!$A$4:$A$723,Korrelation!$B$4:$B$723,0,0)=0,0,MATCH(_xlfn.XLOOKUP(G257,Korrelation!$A$4:$A$723,Korrelation!$B$4:$B$723,0,0),DMAV_Doku!$H$6:$H$483,0))</f>
        <v>0</v>
      </c>
      <c r="J257" s="158"/>
      <c r="K257" s="161"/>
      <c r="L257" s="161"/>
      <c r="M257" s="158"/>
      <c r="N257" s="51" t="s">
        <v>4172</v>
      </c>
      <c r="O257" s="51" t="s">
        <v>3892</v>
      </c>
      <c r="P257" s="51" t="s">
        <v>16</v>
      </c>
      <c r="Q257" s="51" t="s">
        <v>967</v>
      </c>
      <c r="R257" s="51" t="s">
        <v>1051</v>
      </c>
      <c r="U257" s="55" t="s">
        <v>1052</v>
      </c>
      <c r="V257" s="55"/>
      <c r="W257" s="52" t="s">
        <v>239</v>
      </c>
      <c r="X257" s="51" t="s">
        <v>972</v>
      </c>
      <c r="AB257" s="51" t="s">
        <v>4173</v>
      </c>
      <c r="AC257" s="51" t="s">
        <v>3893</v>
      </c>
      <c r="AD257" s="51" t="s">
        <v>705</v>
      </c>
      <c r="AE257" s="51" t="s">
        <v>967</v>
      </c>
      <c r="AF257" s="51" t="s">
        <v>4215</v>
      </c>
      <c r="AI257" s="52" t="s">
        <v>4217</v>
      </c>
      <c r="AK257" s="52" t="s">
        <v>786</v>
      </c>
      <c r="AL257" s="51" t="s">
        <v>972</v>
      </c>
      <c r="AP257" s="51" t="s">
        <v>4174</v>
      </c>
      <c r="AQ257" s="51" t="s">
        <v>3894</v>
      </c>
      <c r="AR257" s="51" t="s">
        <v>4175</v>
      </c>
      <c r="AS257" s="51" t="s">
        <v>967</v>
      </c>
      <c r="AT257" s="51" t="s">
        <v>4216</v>
      </c>
      <c r="AW257" s="52" t="s">
        <v>4218</v>
      </c>
      <c r="AY257" s="52" t="s">
        <v>2067</v>
      </c>
      <c r="AZ257" s="51" t="s">
        <v>972</v>
      </c>
    </row>
    <row r="258" spans="1:54" x14ac:dyDescent="0.25">
      <c r="A258" s="51" t="s">
        <v>3805</v>
      </c>
      <c r="B258" s="51">
        <v>59</v>
      </c>
      <c r="E258" s="54" t="str" cm="1">
        <f t="array" aca="1" ref="E258" ca="1">IF(H258=0,"",HYPERLINK("#"&amp;RIGHT(CELL("dateiname"),LEN(CELL("dateiname"))-FIND("]",CELL("dateiname")))&amp;"!"&amp;CELL("adresse",OFFSET($Q$6,H258-1,0)),"Definition"))</f>
        <v/>
      </c>
      <c r="F258" s="54" t="str" cm="1">
        <f t="array" aca="1" ref="F258" ca="1">IF(I258=0,"",HYPERLINK("#"&amp;RIGHT(CELL("adresse",OFFSET(DMAV_Doku!$B$6,I258-1,0)),LEN(CELL("adresse",OFFSET(DMAV_Doku!$B$6,I258-1,0)))-SEARCH("]",CELL("adresse",OFFSET(DMAV_Doku!$B$6,I258-1,0)))),"ModDoc"))</f>
        <v/>
      </c>
      <c r="G258" s="150" t="str">
        <f t="shared" si="6"/>
        <v>MGS59</v>
      </c>
      <c r="H258" s="150">
        <f t="shared" si="7"/>
        <v>0</v>
      </c>
      <c r="I258" s="150">
        <f>IF(_xlfn.XLOOKUP(G258,Korrelation!$A$4:$A$723,Korrelation!$B$4:$B$723,0,0)=0,0,MATCH(_xlfn.XLOOKUP(G258,Korrelation!$A$4:$A$723,Korrelation!$B$4:$B$723,0,0),DMAV_Doku!$H$6:$H$483,0))</f>
        <v>0</v>
      </c>
      <c r="J258" s="158"/>
      <c r="K258" s="161"/>
      <c r="L258" s="161"/>
      <c r="M258" s="158"/>
      <c r="N258" s="51" t="s">
        <v>4172</v>
      </c>
      <c r="O258" s="51" t="s">
        <v>3892</v>
      </c>
      <c r="P258" s="51" t="s">
        <v>16</v>
      </c>
      <c r="Q258" s="51" t="s">
        <v>977</v>
      </c>
      <c r="R258" s="51" t="s">
        <v>1054</v>
      </c>
      <c r="U258" s="52" t="s">
        <v>979</v>
      </c>
      <c r="W258" s="52" t="s">
        <v>239</v>
      </c>
      <c r="AB258" s="51" t="s">
        <v>4173</v>
      </c>
      <c r="AC258" s="51" t="s">
        <v>3893</v>
      </c>
      <c r="AD258" s="51" t="s">
        <v>705</v>
      </c>
      <c r="AE258" s="51" t="s">
        <v>977</v>
      </c>
      <c r="AF258" s="51" t="s">
        <v>4219</v>
      </c>
      <c r="AI258" s="52" t="s">
        <v>979</v>
      </c>
      <c r="AK258" s="52" t="s">
        <v>786</v>
      </c>
      <c r="AP258" s="51" t="s">
        <v>4174</v>
      </c>
      <c r="AQ258" s="51" t="s">
        <v>3894</v>
      </c>
      <c r="AR258" s="51" t="s">
        <v>4175</v>
      </c>
      <c r="AS258" s="51" t="s">
        <v>977</v>
      </c>
      <c r="AT258" s="51" t="s">
        <v>4220</v>
      </c>
      <c r="AW258" s="52" t="s">
        <v>979</v>
      </c>
      <c r="AY258" s="52" t="s">
        <v>2067</v>
      </c>
    </row>
    <row r="259" spans="1:54" ht="63.75" x14ac:dyDescent="0.25">
      <c r="A259" s="51" t="s">
        <v>3805</v>
      </c>
      <c r="B259" s="51">
        <v>60</v>
      </c>
      <c r="E259" s="54" t="str" cm="1">
        <f t="array" aca="1" ref="E259" ca="1">IF(H259=0,"",HYPERLINK("#"&amp;RIGHT(CELL("dateiname"),LEN(CELL("dateiname"))-FIND("]",CELL("dateiname")))&amp;"!"&amp;CELL("adresse",OFFSET($Q$6,H259-1,0)),"Definition"))</f>
        <v/>
      </c>
      <c r="F259" s="54" t="str" cm="1">
        <f t="array" aca="1" ref="F259" ca="1">IF(I259=0,"",HYPERLINK("#"&amp;RIGHT(CELL("adresse",OFFSET(DMAV_Doku!$B$6,I259-1,0)),LEN(CELL("adresse",OFFSET(DMAV_Doku!$B$6,I259-1,0)))-SEARCH("]",CELL("adresse",OFFSET(DMAV_Doku!$B$6,I259-1,0)))),"ModDoc"))</f>
        <v/>
      </c>
      <c r="G259" s="150" t="str">
        <f t="shared" si="6"/>
        <v>MGS60</v>
      </c>
      <c r="H259" s="150">
        <f t="shared" si="7"/>
        <v>0</v>
      </c>
      <c r="I259" s="150">
        <f>IF(_xlfn.XLOOKUP(G259,Korrelation!$A$4:$A$723,Korrelation!$B$4:$B$723,0,0)=0,0,MATCH(_xlfn.XLOOKUP(G259,Korrelation!$A$4:$A$723,Korrelation!$B$4:$B$723,0,0),DMAV_Doku!$H$6:$H$483,0))</f>
        <v>0</v>
      </c>
      <c r="J259" s="158"/>
      <c r="K259" s="161"/>
      <c r="L259" s="161"/>
      <c r="M259" s="158"/>
      <c r="N259" s="51" t="s">
        <v>4172</v>
      </c>
      <c r="O259" s="51" t="s">
        <v>3892</v>
      </c>
      <c r="P259" s="51" t="s">
        <v>16</v>
      </c>
      <c r="Q259" s="51" t="s">
        <v>977</v>
      </c>
      <c r="R259" s="51" t="s">
        <v>1054</v>
      </c>
      <c r="U259" s="52" t="s">
        <v>1002</v>
      </c>
      <c r="W259" s="52" t="s">
        <v>1055</v>
      </c>
      <c r="Z259" s="199" t="s">
        <v>2771</v>
      </c>
      <c r="AB259" s="51" t="s">
        <v>4173</v>
      </c>
      <c r="AC259" s="51" t="s">
        <v>3893</v>
      </c>
      <c r="AD259" s="51" t="s">
        <v>705</v>
      </c>
      <c r="AE259" s="51" t="s">
        <v>977</v>
      </c>
      <c r="AF259" s="51" t="s">
        <v>4219</v>
      </c>
      <c r="AI259" s="52" t="s">
        <v>4087</v>
      </c>
      <c r="AK259" s="52" t="s">
        <v>4221</v>
      </c>
      <c r="AN259" s="259" t="s">
        <v>7266</v>
      </c>
      <c r="AP259" s="51" t="s">
        <v>4174</v>
      </c>
      <c r="AQ259" s="51" t="s">
        <v>3894</v>
      </c>
      <c r="AR259" s="51" t="s">
        <v>4175</v>
      </c>
      <c r="AS259" s="51" t="s">
        <v>977</v>
      </c>
      <c r="AT259" s="51" t="s">
        <v>4220</v>
      </c>
      <c r="AW259" s="52" t="s">
        <v>4087</v>
      </c>
      <c r="AY259" s="52" t="s">
        <v>4222</v>
      </c>
      <c r="BB259" s="199" t="s">
        <v>6046</v>
      </c>
    </row>
    <row r="260" spans="1:54" x14ac:dyDescent="0.25">
      <c r="A260" s="51" t="s">
        <v>3805</v>
      </c>
      <c r="B260" s="51">
        <v>61</v>
      </c>
      <c r="E260" s="54" t="str" cm="1">
        <f t="array" aca="1" ref="E260" ca="1">IF(H260=0,"",HYPERLINK("#"&amp;RIGHT(CELL("dateiname"),LEN(CELL("dateiname"))-FIND("]",CELL("dateiname")))&amp;"!"&amp;CELL("adresse",OFFSET($Q$6,H260-1,0)),"Definition"))</f>
        <v/>
      </c>
      <c r="F260" s="54" t="str" cm="1">
        <f t="array" aca="1" ref="F260" ca="1">IF(I260=0,"",HYPERLINK("#"&amp;RIGHT(CELL("adresse",OFFSET(DMAV_Doku!$B$6,I260-1,0)),LEN(CELL("adresse",OFFSET(DMAV_Doku!$B$6,I260-1,0)))-SEARCH("]",CELL("adresse",OFFSET(DMAV_Doku!$B$6,I260-1,0)))),"ModDoc"))</f>
        <v/>
      </c>
      <c r="G260" s="150" t="str">
        <f t="shared" si="6"/>
        <v>MGS61</v>
      </c>
      <c r="H260" s="150">
        <f t="shared" si="7"/>
        <v>0</v>
      </c>
      <c r="I260" s="150">
        <f>IF(_xlfn.XLOOKUP(G260,Korrelation!$A$4:$A$723,Korrelation!$B$4:$B$723,0,0)=0,0,MATCH(_xlfn.XLOOKUP(G260,Korrelation!$A$4:$A$723,Korrelation!$B$4:$B$723,0,0),DMAV_Doku!$H$6:$H$483,0))</f>
        <v>0</v>
      </c>
      <c r="J260" s="158"/>
      <c r="K260" s="161"/>
      <c r="L260" s="161"/>
      <c r="M260" s="158"/>
      <c r="N260" s="51" t="s">
        <v>4172</v>
      </c>
      <c r="O260" s="51" t="s">
        <v>3892</v>
      </c>
      <c r="P260" s="51" t="s">
        <v>16</v>
      </c>
      <c r="Q260" s="51" t="s">
        <v>977</v>
      </c>
      <c r="R260" s="51" t="s">
        <v>1054</v>
      </c>
      <c r="U260" s="52" t="s">
        <v>982</v>
      </c>
      <c r="W260" s="52" t="s">
        <v>239</v>
      </c>
      <c r="AB260" s="51" t="s">
        <v>4173</v>
      </c>
      <c r="AC260" s="51" t="s">
        <v>3893</v>
      </c>
      <c r="AD260" s="51" t="s">
        <v>705</v>
      </c>
      <c r="AE260" s="51" t="s">
        <v>977</v>
      </c>
      <c r="AF260" s="51" t="s">
        <v>4219</v>
      </c>
      <c r="AI260" s="52" t="s">
        <v>982</v>
      </c>
      <c r="AK260" s="52" t="s">
        <v>786</v>
      </c>
      <c r="AP260" s="51" t="s">
        <v>4174</v>
      </c>
      <c r="AQ260" s="51" t="s">
        <v>3894</v>
      </c>
      <c r="AR260" s="51" t="s">
        <v>4175</v>
      </c>
      <c r="AS260" s="51" t="s">
        <v>977</v>
      </c>
      <c r="AT260" s="51" t="s">
        <v>4220</v>
      </c>
      <c r="AW260" s="52" t="s">
        <v>982</v>
      </c>
      <c r="AY260" s="52" t="s">
        <v>2067</v>
      </c>
    </row>
    <row r="261" spans="1:54" ht="25.5" x14ac:dyDescent="0.25">
      <c r="A261" s="51" t="s">
        <v>3805</v>
      </c>
      <c r="B261" s="51">
        <v>62</v>
      </c>
      <c r="D261" s="51" t="s">
        <v>3477</v>
      </c>
      <c r="E261" s="54" t="str" cm="1">
        <f t="array" aca="1" ref="E261" ca="1">IF(H261=0,"",HYPERLINK("#"&amp;RIGHT(CELL("dateiname"),LEN(CELL("dateiname"))-FIND("]",CELL("dateiname")))&amp;"!"&amp;CELL("adresse",OFFSET($Q$6,H261-1,0)),"Definition"))</f>
        <v/>
      </c>
      <c r="F261" s="54" t="str" cm="1">
        <f t="array" aca="1" ref="F261" ca="1">IF(I261=0,"",HYPERLINK("#"&amp;RIGHT(CELL("adresse",OFFSET(DMAV_Doku!$B$6,I261-1,0)),LEN(CELL("adresse",OFFSET(DMAV_Doku!$B$6,I261-1,0)))-SEARCH("]",CELL("adresse",OFFSET(DMAV_Doku!$B$6,I261-1,0)))),"ModDoc"))</f>
        <v/>
      </c>
      <c r="G261" s="150" t="str">
        <f t="shared" si="6"/>
        <v>MGS62</v>
      </c>
      <c r="H261" s="150">
        <f t="shared" si="7"/>
        <v>0</v>
      </c>
      <c r="I261" s="150">
        <f>IF(_xlfn.XLOOKUP(G261,Korrelation!$A$4:$A$723,Korrelation!$B$4:$B$723,0,0)=0,0,MATCH(_xlfn.XLOOKUP(G261,Korrelation!$A$4:$A$723,Korrelation!$B$4:$B$723,0,0),DMAV_Doku!$H$6:$H$483,0))</f>
        <v>0</v>
      </c>
      <c r="J261" s="158"/>
      <c r="K261" s="161"/>
      <c r="L261" s="161"/>
      <c r="M261" s="158"/>
      <c r="N261" s="51" t="s">
        <v>4172</v>
      </c>
      <c r="O261" s="51" t="s">
        <v>3892</v>
      </c>
      <c r="P261" s="51" t="s">
        <v>16</v>
      </c>
      <c r="Q261" s="51" t="s">
        <v>977</v>
      </c>
      <c r="R261" s="51" t="s">
        <v>1054</v>
      </c>
      <c r="T261" s="51" t="s">
        <v>959</v>
      </c>
      <c r="U261" s="52" t="s">
        <v>96</v>
      </c>
      <c r="W261" s="52"/>
      <c r="Z261" s="199" t="s">
        <v>3387</v>
      </c>
      <c r="AB261" s="51" t="s">
        <v>4173</v>
      </c>
      <c r="AC261" s="51" t="s">
        <v>3893</v>
      </c>
      <c r="AD261" s="51" t="s">
        <v>705</v>
      </c>
      <c r="AE261" s="51" t="s">
        <v>977</v>
      </c>
      <c r="AF261" s="51" t="s">
        <v>4219</v>
      </c>
      <c r="AH261" s="51" t="s">
        <v>959</v>
      </c>
      <c r="AI261" s="52" t="s">
        <v>733</v>
      </c>
      <c r="AN261" s="199" t="s">
        <v>7224</v>
      </c>
      <c r="AP261" s="51" t="s">
        <v>4174</v>
      </c>
      <c r="AQ261" s="51" t="s">
        <v>3894</v>
      </c>
      <c r="AR261" s="51" t="s">
        <v>4175</v>
      </c>
      <c r="AS261" s="51" t="s">
        <v>977</v>
      </c>
      <c r="AT261" s="51" t="s">
        <v>4220</v>
      </c>
      <c r="AV261" s="51" t="s">
        <v>959</v>
      </c>
      <c r="AW261" s="52" t="s">
        <v>1378</v>
      </c>
      <c r="BB261" s="199" t="s">
        <v>5994</v>
      </c>
    </row>
    <row r="262" spans="1:54" ht="25.5" x14ac:dyDescent="0.25">
      <c r="A262" s="51" t="s">
        <v>3805</v>
      </c>
      <c r="B262" s="51">
        <v>63</v>
      </c>
      <c r="D262" s="51" t="s">
        <v>3477</v>
      </c>
      <c r="E262" s="54" t="str" cm="1">
        <f t="array" aca="1" ref="E262" ca="1">IF(H262=0,"",HYPERLINK("#"&amp;RIGHT(CELL("dateiname"),LEN(CELL("dateiname"))-FIND("]",CELL("dateiname")))&amp;"!"&amp;CELL("adresse",OFFSET($Q$6,H262-1,0)),"Definition"))</f>
        <v/>
      </c>
      <c r="F262" s="54" t="str" cm="1">
        <f t="array" aca="1" ref="F262" ca="1">IF(I262=0,"",HYPERLINK("#"&amp;RIGHT(CELL("adresse",OFFSET(DMAV_Doku!$B$6,I262-1,0)),LEN(CELL("adresse",OFFSET(DMAV_Doku!$B$6,I262-1,0)))-SEARCH("]",CELL("adresse",OFFSET(DMAV_Doku!$B$6,I262-1,0)))),"ModDoc"))</f>
        <v/>
      </c>
      <c r="G262" s="150" t="str">
        <f t="shared" si="6"/>
        <v>MGS63</v>
      </c>
      <c r="H262" s="150">
        <f t="shared" si="7"/>
        <v>0</v>
      </c>
      <c r="I262" s="150">
        <f>IF(_xlfn.XLOOKUP(G262,Korrelation!$A$4:$A$723,Korrelation!$B$4:$B$723,0,0)=0,0,MATCH(_xlfn.XLOOKUP(G262,Korrelation!$A$4:$A$723,Korrelation!$B$4:$B$723,0,0),DMAV_Doku!$H$6:$H$483,0))</f>
        <v>0</v>
      </c>
      <c r="J262" s="158"/>
      <c r="K262" s="161"/>
      <c r="L262" s="161"/>
      <c r="M262" s="158"/>
      <c r="N262" s="51" t="s">
        <v>4172</v>
      </c>
      <c r="O262" s="51" t="s">
        <v>3892</v>
      </c>
      <c r="P262" s="51" t="s">
        <v>16</v>
      </c>
      <c r="Q262" s="51" t="s">
        <v>977</v>
      </c>
      <c r="R262" s="51" t="s">
        <v>1054</v>
      </c>
      <c r="T262" s="51" t="s">
        <v>959</v>
      </c>
      <c r="U262" s="52" t="s">
        <v>121</v>
      </c>
      <c r="W262" s="52"/>
      <c r="Z262" s="52" t="s">
        <v>3387</v>
      </c>
      <c r="AB262" s="51" t="s">
        <v>4173</v>
      </c>
      <c r="AC262" s="51" t="s">
        <v>3893</v>
      </c>
      <c r="AD262" s="51" t="s">
        <v>705</v>
      </c>
      <c r="AE262" s="51" t="s">
        <v>977</v>
      </c>
      <c r="AF262" s="51" t="s">
        <v>4219</v>
      </c>
      <c r="AH262" s="51" t="s">
        <v>959</v>
      </c>
      <c r="AI262" s="52" t="s">
        <v>742</v>
      </c>
      <c r="AN262" s="52" t="s">
        <v>7224</v>
      </c>
      <c r="AP262" s="51" t="s">
        <v>4174</v>
      </c>
      <c r="AQ262" s="51" t="s">
        <v>3894</v>
      </c>
      <c r="AR262" s="51" t="s">
        <v>4175</v>
      </c>
      <c r="AS262" s="51" t="s">
        <v>977</v>
      </c>
      <c r="AT262" s="51" t="s">
        <v>4220</v>
      </c>
      <c r="AV262" s="51" t="s">
        <v>959</v>
      </c>
      <c r="AW262" s="52" t="s">
        <v>742</v>
      </c>
      <c r="BB262" s="52" t="s">
        <v>5994</v>
      </c>
    </row>
    <row r="263" spans="1:54" x14ac:dyDescent="0.25">
      <c r="A263" s="51" t="s">
        <v>3805</v>
      </c>
      <c r="B263" s="51">
        <v>64</v>
      </c>
      <c r="D263" s="51" t="s">
        <v>3478</v>
      </c>
      <c r="E263" s="54" t="str" cm="1">
        <f t="array" aca="1" ref="E263" ca="1">IF(H263=0,"",HYPERLINK("#"&amp;RIGHT(CELL("dateiname"),LEN(CELL("dateiname"))-FIND("]",CELL("dateiname")))&amp;"!"&amp;CELL("adresse",OFFSET($Q$6,H263-1,0)),"Definition"))</f>
        <v/>
      </c>
      <c r="F263" s="54" t="str" cm="1">
        <f t="array" aca="1" ref="F263" ca="1">IF(I263=0,"",HYPERLINK("#"&amp;RIGHT(CELL("adresse",OFFSET(DMAV_Doku!$B$6,I263-1,0)),LEN(CELL("adresse",OFFSET(DMAV_Doku!$B$6,I263-1,0)))-SEARCH("]",CELL("adresse",OFFSET(DMAV_Doku!$B$6,I263-1,0)))),"ModDoc"))</f>
        <v/>
      </c>
      <c r="G263" s="150" t="str">
        <f t="shared" ref="G263:G326" si="8">A263&amp;B263</f>
        <v>MGS64</v>
      </c>
      <c r="H263" s="150">
        <f t="shared" ref="H263:H326" si="9">IF(C263="",0,MATCH(C263,$G$6:$G$677,0))</f>
        <v>0</v>
      </c>
      <c r="I263" s="150">
        <f>IF(_xlfn.XLOOKUP(G263,Korrelation!$A$4:$A$723,Korrelation!$B$4:$B$723,0,0)=0,0,MATCH(_xlfn.XLOOKUP(G263,Korrelation!$A$4:$A$723,Korrelation!$B$4:$B$723,0,0),DMAV_Doku!$H$6:$H$483,0))</f>
        <v>0</v>
      </c>
      <c r="J263" s="158"/>
      <c r="K263" s="161"/>
      <c r="L263" s="161"/>
      <c r="M263" s="158"/>
      <c r="N263" s="51" t="s">
        <v>4172</v>
      </c>
      <c r="O263" s="51" t="s">
        <v>3892</v>
      </c>
      <c r="P263" s="51" t="s">
        <v>16</v>
      </c>
      <c r="Q263" s="51" t="s">
        <v>977</v>
      </c>
      <c r="R263" s="51" t="s">
        <v>1054</v>
      </c>
      <c r="T263" s="51" t="s">
        <v>6</v>
      </c>
      <c r="U263" s="52" t="s">
        <v>240</v>
      </c>
      <c r="W263" s="52"/>
      <c r="Z263" s="199" t="s">
        <v>2772</v>
      </c>
      <c r="AB263" s="51" t="s">
        <v>4173</v>
      </c>
      <c r="AC263" s="51" t="s">
        <v>3893</v>
      </c>
      <c r="AD263" s="51" t="s">
        <v>705</v>
      </c>
      <c r="AE263" s="51" t="s">
        <v>977</v>
      </c>
      <c r="AF263" s="51" t="s">
        <v>4219</v>
      </c>
      <c r="AH263" s="51" t="s">
        <v>6</v>
      </c>
      <c r="AI263" s="52" t="s">
        <v>240</v>
      </c>
      <c r="AN263" s="200" t="s">
        <v>7225</v>
      </c>
      <c r="AP263" s="51" t="s">
        <v>4174</v>
      </c>
      <c r="AQ263" s="51" t="s">
        <v>3894</v>
      </c>
      <c r="AR263" s="51" t="s">
        <v>4175</v>
      </c>
      <c r="AS263" s="51" t="s">
        <v>977</v>
      </c>
      <c r="AT263" s="51" t="s">
        <v>4220</v>
      </c>
      <c r="AV263" s="51" t="s">
        <v>6</v>
      </c>
      <c r="AW263" s="52" t="s">
        <v>240</v>
      </c>
      <c r="BB263" s="200" t="s">
        <v>6010</v>
      </c>
    </row>
    <row r="264" spans="1:54" x14ac:dyDescent="0.25">
      <c r="A264" s="51" t="s">
        <v>3805</v>
      </c>
      <c r="B264" s="51">
        <v>65</v>
      </c>
      <c r="E264" s="54" t="str" cm="1">
        <f t="array" aca="1" ref="E264" ca="1">IF(H264=0,"",HYPERLINK("#"&amp;RIGHT(CELL("dateiname"),LEN(CELL("dateiname"))-FIND("]",CELL("dateiname")))&amp;"!"&amp;CELL("adresse",OFFSET($Q$6,H264-1,0)),"Definition"))</f>
        <v/>
      </c>
      <c r="F264" s="54" t="str" cm="1">
        <f t="array" aca="1" ref="F264" ca="1">IF(I264=0,"",HYPERLINK("#"&amp;RIGHT(CELL("adresse",OFFSET(DMAV_Doku!$B$6,I264-1,0)),LEN(CELL("adresse",OFFSET(DMAV_Doku!$B$6,I264-1,0)))-SEARCH("]",CELL("adresse",OFFSET(DMAV_Doku!$B$6,I264-1,0)))),"ModDoc"))</f>
        <v>ModDoc</v>
      </c>
      <c r="G264" s="150" t="str">
        <f t="shared" si="8"/>
        <v>MGS65</v>
      </c>
      <c r="H264" s="150">
        <f t="shared" si="9"/>
        <v>0</v>
      </c>
      <c r="I264" s="150">
        <f>IF(_xlfn.XLOOKUP(G264,Korrelation!$A$4:$A$723,Korrelation!$B$4:$B$723,0,0)=0,0,MATCH(_xlfn.XLOOKUP(G264,Korrelation!$A$4:$A$723,Korrelation!$B$4:$B$723,0,0),DMAV_Doku!$H$6:$H$483,0))</f>
        <v>146</v>
      </c>
      <c r="J264" s="158"/>
      <c r="K264" s="161"/>
      <c r="L264" s="161"/>
      <c r="M264" s="158"/>
      <c r="N264" s="51" t="s">
        <v>4172</v>
      </c>
      <c r="O264" s="51" t="s">
        <v>3892</v>
      </c>
      <c r="P264" s="51" t="s">
        <v>16</v>
      </c>
      <c r="Q264" s="51" t="s">
        <v>949</v>
      </c>
      <c r="R264" s="51" t="s">
        <v>231</v>
      </c>
      <c r="U264" s="52" t="s">
        <v>259</v>
      </c>
      <c r="W264" s="52" t="s">
        <v>951</v>
      </c>
      <c r="Y264" s="52" t="s">
        <v>3479</v>
      </c>
      <c r="AB264" s="51" t="s">
        <v>4173</v>
      </c>
      <c r="AC264" s="51" t="s">
        <v>3893</v>
      </c>
      <c r="AD264" s="51" t="s">
        <v>705</v>
      </c>
      <c r="AE264" s="51" t="s">
        <v>949</v>
      </c>
      <c r="AF264" s="51" t="s">
        <v>789</v>
      </c>
      <c r="AI264" s="52" t="s">
        <v>790</v>
      </c>
      <c r="AK264" s="52" t="s">
        <v>951</v>
      </c>
      <c r="AP264" s="51" t="s">
        <v>4174</v>
      </c>
      <c r="AQ264" s="51" t="s">
        <v>3894</v>
      </c>
      <c r="AR264" s="51" t="s">
        <v>4175</v>
      </c>
      <c r="AS264" s="51" t="s">
        <v>949</v>
      </c>
      <c r="AT264" s="51" t="s">
        <v>4223</v>
      </c>
      <c r="AW264" s="52" t="s">
        <v>2022</v>
      </c>
      <c r="AY264" s="52" t="s">
        <v>951</v>
      </c>
    </row>
    <row r="265" spans="1:54" ht="38.25" x14ac:dyDescent="0.25">
      <c r="A265" s="51" t="s">
        <v>3805</v>
      </c>
      <c r="B265" s="51">
        <v>66</v>
      </c>
      <c r="E265" s="54" t="str" cm="1">
        <f t="array" aca="1" ref="E265" ca="1">IF(H265=0,"",HYPERLINK("#"&amp;RIGHT(CELL("dateiname"),LEN(CELL("dateiname"))-FIND("]",CELL("dateiname")))&amp;"!"&amp;CELL("adresse",OFFSET($Q$6,H265-1,0)),"Definition"))</f>
        <v/>
      </c>
      <c r="F265" s="54" t="str" cm="1">
        <f t="array" aca="1" ref="F265" ca="1">IF(I265=0,"",HYPERLINK("#"&amp;RIGHT(CELL("adresse",OFFSET(DMAV_Doku!$B$6,I265-1,0)),LEN(CELL("adresse",OFFSET(DMAV_Doku!$B$6,I265-1,0)))-SEARCH("]",CELL("adresse",OFFSET(DMAV_Doku!$B$6,I265-1,0)))),"ModDoc"))</f>
        <v>ModDoc</v>
      </c>
      <c r="G265" s="150" t="str">
        <f t="shared" si="8"/>
        <v>MGS66</v>
      </c>
      <c r="H265" s="150">
        <f t="shared" si="9"/>
        <v>0</v>
      </c>
      <c r="I265" s="150">
        <f>IF(_xlfn.XLOOKUP(G265,Korrelation!$A$4:$A$723,Korrelation!$B$4:$B$723,0,0)=0,0,MATCH(_xlfn.XLOOKUP(G265,Korrelation!$A$4:$A$723,Korrelation!$B$4:$B$723,0,0),DMAV_Doku!$H$6:$H$483,0))</f>
        <v>147</v>
      </c>
      <c r="J265" s="158"/>
      <c r="K265" s="161"/>
      <c r="L265" s="161"/>
      <c r="M265" s="158"/>
      <c r="N265" s="51" t="s">
        <v>4172</v>
      </c>
      <c r="O265" s="51" t="s">
        <v>3892</v>
      </c>
      <c r="P265" s="51" t="s">
        <v>16</v>
      </c>
      <c r="Q265" s="51" t="s">
        <v>949</v>
      </c>
      <c r="R265" s="51" t="s">
        <v>231</v>
      </c>
      <c r="S265" s="50" t="s">
        <v>950</v>
      </c>
      <c r="U265" s="52" t="s">
        <v>123</v>
      </c>
      <c r="V265" s="55"/>
      <c r="W265" s="52" t="s">
        <v>965</v>
      </c>
      <c r="Y265" s="52" t="s">
        <v>4224</v>
      </c>
      <c r="AB265" s="51" t="s">
        <v>4173</v>
      </c>
      <c r="AC265" s="51" t="s">
        <v>3893</v>
      </c>
      <c r="AD265" s="51" t="s">
        <v>705</v>
      </c>
      <c r="AE265" s="51" t="s">
        <v>949</v>
      </c>
      <c r="AF265" s="51" t="s">
        <v>789</v>
      </c>
      <c r="AG265" s="50" t="s">
        <v>950</v>
      </c>
      <c r="AI265" s="52" t="s">
        <v>123</v>
      </c>
      <c r="AK265" s="52" t="s">
        <v>965</v>
      </c>
      <c r="AP265" s="51" t="s">
        <v>4174</v>
      </c>
      <c r="AQ265" s="51" t="s">
        <v>3894</v>
      </c>
      <c r="AR265" s="51" t="s">
        <v>4175</v>
      </c>
      <c r="AS265" s="51" t="s">
        <v>949</v>
      </c>
      <c r="AT265" s="51" t="s">
        <v>4223</v>
      </c>
      <c r="AU265" s="50" t="s">
        <v>950</v>
      </c>
      <c r="AW265" s="52" t="s">
        <v>1247</v>
      </c>
      <c r="AY265" s="52" t="s">
        <v>965</v>
      </c>
    </row>
    <row r="266" spans="1:54" x14ac:dyDescent="0.25">
      <c r="A266" s="51" t="s">
        <v>3805</v>
      </c>
      <c r="B266" s="51">
        <v>67</v>
      </c>
      <c r="E266" s="54" t="str" cm="1">
        <f t="array" aca="1" ref="E266" ca="1">IF(H266=0,"",HYPERLINK("#"&amp;RIGHT(CELL("dateiname"),LEN(CELL("dateiname"))-FIND("]",CELL("dateiname")))&amp;"!"&amp;CELL("adresse",OFFSET($Q$6,H266-1,0)),"Definition"))</f>
        <v/>
      </c>
      <c r="F266" s="54" t="str" cm="1">
        <f t="array" aca="1" ref="F266" ca="1">IF(I266=0,"",HYPERLINK("#"&amp;RIGHT(CELL("adresse",OFFSET(DMAV_Doku!$B$6,I266-1,0)),LEN(CELL("adresse",OFFSET(DMAV_Doku!$B$6,I266-1,0)))-SEARCH("]",CELL("adresse",OFFSET(DMAV_Doku!$B$6,I266-1,0)))),"ModDoc"))</f>
        <v>ModDoc</v>
      </c>
      <c r="G266" s="150" t="str">
        <f t="shared" si="8"/>
        <v>MGS67</v>
      </c>
      <c r="H266" s="150">
        <f t="shared" si="9"/>
        <v>0</v>
      </c>
      <c r="I266" s="150">
        <f>IF(_xlfn.XLOOKUP(G266,Korrelation!$A$4:$A$723,Korrelation!$B$4:$B$723,0,0)=0,0,MATCH(_xlfn.XLOOKUP(G266,Korrelation!$A$4:$A$723,Korrelation!$B$4:$B$723,0,0),DMAV_Doku!$H$6:$H$483,0))</f>
        <v>150</v>
      </c>
      <c r="J266" s="158"/>
      <c r="K266" s="161"/>
      <c r="L266" s="161"/>
      <c r="M266" s="158"/>
      <c r="N266" s="51" t="s">
        <v>4172</v>
      </c>
      <c r="O266" s="51" t="s">
        <v>3892</v>
      </c>
      <c r="P266" s="51" t="s">
        <v>16</v>
      </c>
      <c r="Q266" s="51" t="s">
        <v>949</v>
      </c>
      <c r="R266" s="51" t="s">
        <v>231</v>
      </c>
      <c r="S266" s="50" t="s">
        <v>950</v>
      </c>
      <c r="U266" s="52" t="s">
        <v>213</v>
      </c>
      <c r="W266" s="52" t="s">
        <v>131</v>
      </c>
      <c r="AB266" s="51" t="s">
        <v>4173</v>
      </c>
      <c r="AC266" s="51" t="s">
        <v>3893</v>
      </c>
      <c r="AD266" s="51" t="s">
        <v>705</v>
      </c>
      <c r="AE266" s="51" t="s">
        <v>949</v>
      </c>
      <c r="AF266" s="51" t="s">
        <v>789</v>
      </c>
      <c r="AG266" s="50" t="s">
        <v>950</v>
      </c>
      <c r="AI266" s="52" t="s">
        <v>775</v>
      </c>
      <c r="AK266" s="52" t="s">
        <v>131</v>
      </c>
      <c r="AP266" s="51" t="s">
        <v>4174</v>
      </c>
      <c r="AQ266" s="51" t="s">
        <v>3894</v>
      </c>
      <c r="AR266" s="51" t="s">
        <v>4175</v>
      </c>
      <c r="AS266" s="51" t="s">
        <v>949</v>
      </c>
      <c r="AT266" s="51" t="s">
        <v>4223</v>
      </c>
      <c r="AU266" s="50" t="s">
        <v>950</v>
      </c>
      <c r="AW266" s="52" t="s">
        <v>4068</v>
      </c>
      <c r="AY266" s="52" t="s">
        <v>131</v>
      </c>
    </row>
    <row r="267" spans="1:54" x14ac:dyDescent="0.25">
      <c r="A267" s="51" t="s">
        <v>3805</v>
      </c>
      <c r="B267" s="51">
        <v>68</v>
      </c>
      <c r="E267" s="54" t="str" cm="1">
        <f t="array" aca="1" ref="E267" ca="1">IF(H267=0,"",HYPERLINK("#"&amp;RIGHT(CELL("dateiname"),LEN(CELL("dateiname"))-FIND("]",CELL("dateiname")))&amp;"!"&amp;CELL("adresse",OFFSET($Q$6,H267-1,0)),"Definition"))</f>
        <v/>
      </c>
      <c r="F267" s="54" t="str" cm="1">
        <f t="array" aca="1" ref="F267" ca="1">IF(I267=0,"",HYPERLINK("#"&amp;RIGHT(CELL("adresse",OFFSET(DMAV_Doku!$B$6,I267-1,0)),LEN(CELL("adresse",OFFSET(DMAV_Doku!$B$6,I267-1,0)))-SEARCH("]",CELL("adresse",OFFSET(DMAV_Doku!$B$6,I267-1,0)))),"ModDoc"))</f>
        <v>ModDoc</v>
      </c>
      <c r="G267" s="150" t="str">
        <f t="shared" si="8"/>
        <v>MGS68</v>
      </c>
      <c r="H267" s="150">
        <f t="shared" si="9"/>
        <v>0</v>
      </c>
      <c r="I267" s="150">
        <f>IF(_xlfn.XLOOKUP(G267,Korrelation!$A$4:$A$723,Korrelation!$B$4:$B$723,0,0)=0,0,MATCH(_xlfn.XLOOKUP(G267,Korrelation!$A$4:$A$723,Korrelation!$B$4:$B$723,0,0),DMAV_Doku!$H$6:$H$483,0))</f>
        <v>151</v>
      </c>
      <c r="J267" s="158"/>
      <c r="K267" s="161"/>
      <c r="L267" s="161"/>
      <c r="M267" s="158"/>
      <c r="N267" s="51" t="s">
        <v>4172</v>
      </c>
      <c r="O267" s="51" t="s">
        <v>3892</v>
      </c>
      <c r="P267" s="51" t="s">
        <v>16</v>
      </c>
      <c r="Q267" s="51" t="s">
        <v>949</v>
      </c>
      <c r="R267" s="51" t="s">
        <v>231</v>
      </c>
      <c r="S267" s="50" t="s">
        <v>950</v>
      </c>
      <c r="U267" s="52" t="s">
        <v>270</v>
      </c>
      <c r="W267" s="52" t="s">
        <v>1048</v>
      </c>
      <c r="AB267" s="51" t="s">
        <v>4173</v>
      </c>
      <c r="AC267" s="51" t="s">
        <v>3893</v>
      </c>
      <c r="AD267" s="51" t="s">
        <v>705</v>
      </c>
      <c r="AE267" s="51" t="s">
        <v>949</v>
      </c>
      <c r="AF267" s="51" t="s">
        <v>789</v>
      </c>
      <c r="AG267" s="50" t="s">
        <v>950</v>
      </c>
      <c r="AI267" s="52" t="s">
        <v>792</v>
      </c>
      <c r="AK267" s="52" t="s">
        <v>1048</v>
      </c>
      <c r="AP267" s="51" t="s">
        <v>4174</v>
      </c>
      <c r="AQ267" s="51" t="s">
        <v>3894</v>
      </c>
      <c r="AR267" s="51" t="s">
        <v>4175</v>
      </c>
      <c r="AS267" s="51" t="s">
        <v>949</v>
      </c>
      <c r="AT267" s="51" t="s">
        <v>4223</v>
      </c>
      <c r="AU267" s="50" t="s">
        <v>950</v>
      </c>
      <c r="AW267" s="52" t="s">
        <v>792</v>
      </c>
      <c r="AY267" s="52" t="s">
        <v>1048</v>
      </c>
    </row>
    <row r="268" spans="1:54" x14ac:dyDescent="0.25">
      <c r="A268" s="51" t="s">
        <v>3805</v>
      </c>
      <c r="B268" s="51">
        <v>69</v>
      </c>
      <c r="E268" s="54" t="str" cm="1">
        <f t="array" aca="1" ref="E268" ca="1">IF(H268=0,"",HYPERLINK("#"&amp;RIGHT(CELL("dateiname"),LEN(CELL("dateiname"))-FIND("]",CELL("dateiname")))&amp;"!"&amp;CELL("adresse",OFFSET($Q$6,H268-1,0)),"Definition"))</f>
        <v/>
      </c>
      <c r="F268" s="54" t="str" cm="1">
        <f t="array" aca="1" ref="F268" ca="1">IF(I268=0,"",HYPERLINK("#"&amp;RIGHT(CELL("adresse",OFFSET(DMAV_Doku!$B$6,I268-1,0)),LEN(CELL("adresse",OFFSET(DMAV_Doku!$B$6,I268-1,0)))-SEARCH("]",CELL("adresse",OFFSET(DMAV_Doku!$B$6,I268-1,0)))),"ModDoc"))</f>
        <v>ModDoc</v>
      </c>
      <c r="G268" s="150" t="str">
        <f t="shared" si="8"/>
        <v>MGS69</v>
      </c>
      <c r="H268" s="150">
        <f t="shared" si="9"/>
        <v>0</v>
      </c>
      <c r="I268" s="150">
        <f>IF(_xlfn.XLOOKUP(G268,Korrelation!$A$4:$A$723,Korrelation!$B$4:$B$723,0,0)=0,0,MATCH(_xlfn.XLOOKUP(G268,Korrelation!$A$4:$A$723,Korrelation!$B$4:$B$723,0,0),DMAV_Doku!$H$6:$H$483,0))</f>
        <v>148</v>
      </c>
      <c r="J268" s="158"/>
      <c r="K268" s="161"/>
      <c r="L268" s="161"/>
      <c r="M268" s="158"/>
      <c r="N268" s="51" t="s">
        <v>4172</v>
      </c>
      <c r="O268" s="51" t="s">
        <v>3892</v>
      </c>
      <c r="P268" s="51" t="s">
        <v>16</v>
      </c>
      <c r="Q268" s="51" t="s">
        <v>949</v>
      </c>
      <c r="R268" s="51" t="s">
        <v>231</v>
      </c>
      <c r="U268" s="52" t="s">
        <v>218</v>
      </c>
      <c r="W268" s="52" t="s">
        <v>1004</v>
      </c>
      <c r="AB268" s="51" t="s">
        <v>4173</v>
      </c>
      <c r="AC268" s="51" t="s">
        <v>3893</v>
      </c>
      <c r="AD268" s="51" t="s">
        <v>705</v>
      </c>
      <c r="AE268" s="51" t="s">
        <v>949</v>
      </c>
      <c r="AF268" s="51" t="s">
        <v>789</v>
      </c>
      <c r="AI268" s="52" t="s">
        <v>791</v>
      </c>
      <c r="AK268" s="52" t="s">
        <v>1004</v>
      </c>
      <c r="AP268" s="51" t="s">
        <v>4174</v>
      </c>
      <c r="AQ268" s="51" t="s">
        <v>3894</v>
      </c>
      <c r="AR268" s="51" t="s">
        <v>4175</v>
      </c>
      <c r="AS268" s="51" t="s">
        <v>949</v>
      </c>
      <c r="AT268" s="51" t="s">
        <v>4223</v>
      </c>
      <c r="AW268" s="52" t="s">
        <v>4091</v>
      </c>
      <c r="AY268" s="52" t="s">
        <v>1004</v>
      </c>
    </row>
    <row r="269" spans="1:54" x14ac:dyDescent="0.25">
      <c r="A269" s="51" t="s">
        <v>3805</v>
      </c>
      <c r="B269" s="51">
        <v>70</v>
      </c>
      <c r="C269" s="51" t="s">
        <v>3842</v>
      </c>
      <c r="E269" s="54" t="str" cm="1">
        <f t="array" aca="1" ref="E269" ca="1">IF(H269=0,"",HYPERLINK("#"&amp;RIGHT(CELL("dateiname"),LEN(CELL("dateiname"))-FIND("]",CELL("dateiname")))&amp;"!"&amp;CELL("adresse",OFFSET($Q$6,H269-1,0)),"Definition"))</f>
        <v>Definition</v>
      </c>
      <c r="F269" s="54" t="str" cm="1">
        <f t="array" aca="1" ref="F269" ca="1">IF(I269=0,"",HYPERLINK("#"&amp;RIGHT(CELL("adresse",OFFSET(DMAV_Doku!$B$6,I269-1,0)),LEN(CELL("adresse",OFFSET(DMAV_Doku!$B$6,I269-1,0)))-SEARCH("]",CELL("adresse",OFFSET(DMAV_Doku!$B$6,I269-1,0)))),"ModDoc"))</f>
        <v>ModDoc</v>
      </c>
      <c r="G269" s="150" t="str">
        <f t="shared" si="8"/>
        <v>MGS70</v>
      </c>
      <c r="H269" s="150">
        <f t="shared" si="9"/>
        <v>42</v>
      </c>
      <c r="I269" s="150">
        <f>IF(_xlfn.XLOOKUP(G269,Korrelation!$A$4:$A$723,Korrelation!$B$4:$B$723,0,0)=0,0,MATCH(_xlfn.XLOOKUP(G269,Korrelation!$A$4:$A$723,Korrelation!$B$4:$B$723,0,0),DMAV_Doku!$H$6:$H$483,0))</f>
        <v>149</v>
      </c>
      <c r="J269" s="158"/>
      <c r="K269" s="161"/>
      <c r="L269" s="161"/>
      <c r="M269" s="158"/>
      <c r="N269" s="51" t="s">
        <v>4172</v>
      </c>
      <c r="O269" s="51" t="s">
        <v>3892</v>
      </c>
      <c r="P269" s="51" t="s">
        <v>16</v>
      </c>
      <c r="Q269" s="51" t="s">
        <v>949</v>
      </c>
      <c r="R269" s="51" t="s">
        <v>231</v>
      </c>
      <c r="S269" s="50" t="s">
        <v>950</v>
      </c>
      <c r="U269" s="52" t="s">
        <v>265</v>
      </c>
      <c r="W269" s="52" t="s">
        <v>1056</v>
      </c>
      <c r="AB269" s="51" t="s">
        <v>4173</v>
      </c>
      <c r="AC269" s="51" t="s">
        <v>3893</v>
      </c>
      <c r="AD269" s="51" t="s">
        <v>705</v>
      </c>
      <c r="AE269" s="51" t="s">
        <v>949</v>
      </c>
      <c r="AF269" s="51" t="s">
        <v>789</v>
      </c>
      <c r="AG269" s="50" t="s">
        <v>950</v>
      </c>
      <c r="AI269" s="52" t="s">
        <v>711</v>
      </c>
      <c r="AK269" s="52" t="s">
        <v>4225</v>
      </c>
      <c r="AP269" s="51" t="s">
        <v>4174</v>
      </c>
      <c r="AQ269" s="51" t="s">
        <v>3894</v>
      </c>
      <c r="AR269" s="51" t="s">
        <v>4175</v>
      </c>
      <c r="AS269" s="51" t="s">
        <v>949</v>
      </c>
      <c r="AT269" s="51" t="s">
        <v>4223</v>
      </c>
      <c r="AU269" s="50" t="s">
        <v>950</v>
      </c>
      <c r="AW269" s="52" t="s">
        <v>1976</v>
      </c>
      <c r="AY269" s="52" t="s">
        <v>4226</v>
      </c>
    </row>
    <row r="270" spans="1:54" ht="38.25" x14ac:dyDescent="0.25">
      <c r="A270" s="51" t="s">
        <v>3805</v>
      </c>
      <c r="B270" s="51">
        <v>71</v>
      </c>
      <c r="D270" s="51" t="s">
        <v>3481</v>
      </c>
      <c r="E270" s="54" t="str" cm="1">
        <f t="array" aca="1" ref="E270" ca="1">IF(H270=0,"",HYPERLINK("#"&amp;RIGHT(CELL("dateiname"),LEN(CELL("dateiname"))-FIND("]",CELL("dateiname")))&amp;"!"&amp;CELL("adresse",OFFSET($Q$6,H270-1,0)),"Definition"))</f>
        <v/>
      </c>
      <c r="F270" s="54" t="str" cm="1">
        <f t="array" aca="1" ref="F270" ca="1">IF(I270=0,"",HYPERLINK("#"&amp;RIGHT(CELL("adresse",OFFSET(DMAV_Doku!$B$6,I270-1,0)),LEN(CELL("adresse",OFFSET(DMAV_Doku!$B$6,I270-1,0)))-SEARCH("]",CELL("adresse",OFFSET(DMAV_Doku!$B$6,I270-1,0)))),"ModDoc"))</f>
        <v/>
      </c>
      <c r="G270" s="150" t="str">
        <f t="shared" si="8"/>
        <v>MGS71</v>
      </c>
      <c r="H270" s="150">
        <f t="shared" si="9"/>
        <v>0</v>
      </c>
      <c r="I270" s="150">
        <f>IF(_xlfn.XLOOKUP(G270,Korrelation!$A$4:$A$723,Korrelation!$B$4:$B$723,0,0)=0,0,MATCH(_xlfn.XLOOKUP(G270,Korrelation!$A$4:$A$723,Korrelation!$B$4:$B$723,0,0),DMAV_Doku!$H$6:$H$483,0))</f>
        <v>0</v>
      </c>
      <c r="J270" s="158"/>
      <c r="K270" s="161"/>
      <c r="L270" s="161"/>
      <c r="M270" s="158"/>
      <c r="N270" s="51" t="s">
        <v>4172</v>
      </c>
      <c r="O270" s="51" t="s">
        <v>3892</v>
      </c>
      <c r="P270" s="51" t="s">
        <v>16</v>
      </c>
      <c r="Q270" s="51" t="s">
        <v>957</v>
      </c>
      <c r="R270" s="51" t="s">
        <v>231</v>
      </c>
      <c r="S270" s="50" t="s">
        <v>950</v>
      </c>
      <c r="U270" s="52" t="s">
        <v>3449</v>
      </c>
      <c r="W270" s="52" t="s">
        <v>4094</v>
      </c>
      <c r="Y270" s="52" t="s">
        <v>3480</v>
      </c>
      <c r="Z270" s="202" t="s">
        <v>2773</v>
      </c>
      <c r="AB270" s="51" t="s">
        <v>4173</v>
      </c>
      <c r="AC270" s="51" t="s">
        <v>3893</v>
      </c>
      <c r="AD270" s="51" t="s">
        <v>705</v>
      </c>
      <c r="AE270" s="51" t="s">
        <v>957</v>
      </c>
      <c r="AF270" s="51" t="s">
        <v>789</v>
      </c>
      <c r="AG270" s="50" t="s">
        <v>950</v>
      </c>
      <c r="AI270" s="52" t="s">
        <v>4095</v>
      </c>
      <c r="AK270" s="52" t="s">
        <v>4096</v>
      </c>
      <c r="AN270" s="202" t="s">
        <v>7226</v>
      </c>
      <c r="AP270" s="51" t="s">
        <v>4174</v>
      </c>
      <c r="AQ270" s="51" t="s">
        <v>3894</v>
      </c>
      <c r="AR270" s="51" t="s">
        <v>4175</v>
      </c>
      <c r="AS270" s="51" t="s">
        <v>957</v>
      </c>
      <c r="AT270" s="51" t="s">
        <v>4223</v>
      </c>
      <c r="AU270" s="50" t="s">
        <v>950</v>
      </c>
      <c r="AW270" s="52" t="s">
        <v>4095</v>
      </c>
      <c r="AY270" s="52" t="s">
        <v>4097</v>
      </c>
      <c r="BB270" s="202" t="s">
        <v>6028</v>
      </c>
    </row>
    <row r="271" spans="1:54" x14ac:dyDescent="0.25">
      <c r="A271" s="51" t="s">
        <v>3805</v>
      </c>
      <c r="B271" s="51">
        <v>72</v>
      </c>
      <c r="E271" s="54" t="str" cm="1">
        <f t="array" aca="1" ref="E271" ca="1">IF(H271=0,"",HYPERLINK("#"&amp;RIGHT(CELL("dateiname"),LEN(CELL("dateiname"))-FIND("]",CELL("dateiname")))&amp;"!"&amp;CELL("adresse",OFFSET($Q$6,H271-1,0)),"Definition"))</f>
        <v/>
      </c>
      <c r="F271" s="54" t="str" cm="1">
        <f t="array" aca="1" ref="F271" ca="1">IF(I271=0,"",HYPERLINK("#"&amp;RIGHT(CELL("adresse",OFFSET(DMAV_Doku!$B$6,I271-1,0)),LEN(CELL("adresse",OFFSET(DMAV_Doku!$B$6,I271-1,0)))-SEARCH("]",CELL("adresse",OFFSET(DMAV_Doku!$B$6,I271-1,0)))),"ModDoc"))</f>
        <v/>
      </c>
      <c r="G271" s="150" t="str">
        <f t="shared" si="8"/>
        <v>MGS72</v>
      </c>
      <c r="H271" s="150">
        <f t="shared" si="9"/>
        <v>0</v>
      </c>
      <c r="I271" s="150">
        <f>IF(_xlfn.XLOOKUP(G271,Korrelation!$A$4:$A$723,Korrelation!$B$4:$B$723,0,0)=0,0,MATCH(_xlfn.XLOOKUP(G271,Korrelation!$A$4:$A$723,Korrelation!$B$4:$B$723,0,0),DMAV_Doku!$H$6:$H$483,0))</f>
        <v>0</v>
      </c>
      <c r="J271" s="158"/>
      <c r="K271" s="161"/>
      <c r="L271" s="161"/>
      <c r="M271" s="158"/>
      <c r="N271" s="51" t="s">
        <v>4172</v>
      </c>
      <c r="O271" s="51" t="s">
        <v>3892</v>
      </c>
      <c r="P271" s="51" t="s">
        <v>16</v>
      </c>
      <c r="Q271" s="51" t="s">
        <v>967</v>
      </c>
      <c r="R271" s="51" t="s">
        <v>1057</v>
      </c>
      <c r="U271" s="52" t="s">
        <v>239</v>
      </c>
      <c r="W271" s="52" t="s">
        <v>239</v>
      </c>
      <c r="X271" s="51" t="s">
        <v>1058</v>
      </c>
      <c r="AB271" s="51" t="s">
        <v>4173</v>
      </c>
      <c r="AC271" s="51" t="s">
        <v>3893</v>
      </c>
      <c r="AD271" s="51" t="s">
        <v>705</v>
      </c>
      <c r="AE271" s="51" t="s">
        <v>967</v>
      </c>
      <c r="AF271" s="51" t="s">
        <v>4227</v>
      </c>
      <c r="AI271" s="52" t="s">
        <v>786</v>
      </c>
      <c r="AK271" s="52" t="s">
        <v>786</v>
      </c>
      <c r="AL271" s="51" t="s">
        <v>1058</v>
      </c>
      <c r="AP271" s="51" t="s">
        <v>4174</v>
      </c>
      <c r="AQ271" s="51" t="s">
        <v>3894</v>
      </c>
      <c r="AR271" s="51" t="s">
        <v>4175</v>
      </c>
      <c r="AS271" s="51" t="s">
        <v>967</v>
      </c>
      <c r="AT271" s="51" t="s">
        <v>4228</v>
      </c>
      <c r="AW271" s="52" t="s">
        <v>2067</v>
      </c>
      <c r="AY271" s="52" t="s">
        <v>2067</v>
      </c>
      <c r="AZ271" s="51" t="s">
        <v>1058</v>
      </c>
    </row>
    <row r="272" spans="1:54" x14ac:dyDescent="0.25">
      <c r="A272" s="51" t="s">
        <v>3805</v>
      </c>
      <c r="B272" s="51">
        <v>73</v>
      </c>
      <c r="E272" s="54" t="str" cm="1">
        <f t="array" aca="1" ref="E272" ca="1">IF(H272=0,"",HYPERLINK("#"&amp;RIGHT(CELL("dateiname"),LEN(CELL("dateiname"))-FIND("]",CELL("dateiname")))&amp;"!"&amp;CELL("adresse",OFFSET($Q$6,H272-1,0)),"Definition"))</f>
        <v/>
      </c>
      <c r="F272" s="54" t="str" cm="1">
        <f t="array" aca="1" ref="F272" ca="1">IF(I272=0,"",HYPERLINK("#"&amp;RIGHT(CELL("adresse",OFFSET(DMAV_Doku!$B$6,I272-1,0)),LEN(CELL("adresse",OFFSET(DMAV_Doku!$B$6,I272-1,0)))-SEARCH("]",CELL("adresse",OFFSET(DMAV_Doku!$B$6,I272-1,0)))),"ModDoc"))</f>
        <v/>
      </c>
      <c r="G272" s="150" t="str">
        <f t="shared" si="8"/>
        <v>MGS73</v>
      </c>
      <c r="H272" s="150">
        <f t="shared" si="9"/>
        <v>0</v>
      </c>
      <c r="I272" s="150">
        <f>IF(_xlfn.XLOOKUP(G272,Korrelation!$A$4:$A$723,Korrelation!$B$4:$B$723,0,0)=0,0,MATCH(_xlfn.XLOOKUP(G272,Korrelation!$A$4:$A$723,Korrelation!$B$4:$B$723,0,0),DMAV_Doku!$H$6:$H$483,0))</f>
        <v>0</v>
      </c>
      <c r="J272" s="158"/>
      <c r="K272" s="161"/>
      <c r="L272" s="161"/>
      <c r="M272" s="158"/>
      <c r="N272" s="51" t="s">
        <v>4172</v>
      </c>
      <c r="O272" s="51" t="s">
        <v>3892</v>
      </c>
      <c r="P272" s="51" t="s">
        <v>16</v>
      </c>
      <c r="Q272" s="51" t="s">
        <v>967</v>
      </c>
      <c r="R272" s="51" t="s">
        <v>1057</v>
      </c>
      <c r="U272" s="52" t="s">
        <v>231</v>
      </c>
      <c r="W272" s="52" t="s">
        <v>231</v>
      </c>
      <c r="X272" s="51" t="s">
        <v>972</v>
      </c>
      <c r="AB272" s="51" t="s">
        <v>4173</v>
      </c>
      <c r="AC272" s="51" t="s">
        <v>3893</v>
      </c>
      <c r="AD272" s="51" t="s">
        <v>705</v>
      </c>
      <c r="AE272" s="51" t="s">
        <v>967</v>
      </c>
      <c r="AF272" s="51" t="s">
        <v>4227</v>
      </c>
      <c r="AI272" s="52" t="s">
        <v>789</v>
      </c>
      <c r="AK272" s="52" t="s">
        <v>789</v>
      </c>
      <c r="AL272" s="51" t="s">
        <v>972</v>
      </c>
      <c r="AP272" s="51" t="s">
        <v>4174</v>
      </c>
      <c r="AQ272" s="51" t="s">
        <v>3894</v>
      </c>
      <c r="AR272" s="51" t="s">
        <v>4175</v>
      </c>
      <c r="AS272" s="51" t="s">
        <v>967</v>
      </c>
      <c r="AT272" s="51" t="s">
        <v>4228</v>
      </c>
      <c r="AW272" s="52" t="s">
        <v>4223</v>
      </c>
      <c r="AY272" s="52" t="s">
        <v>4223</v>
      </c>
      <c r="AZ272" s="51" t="s">
        <v>972</v>
      </c>
    </row>
    <row r="273" spans="1:54" ht="25.5" x14ac:dyDescent="0.25">
      <c r="A273" s="51" t="s">
        <v>3805</v>
      </c>
      <c r="B273" s="51">
        <v>74</v>
      </c>
      <c r="D273" s="51" t="s">
        <v>3483</v>
      </c>
      <c r="E273" s="54" t="str" cm="1">
        <f t="array" aca="1" ref="E273" ca="1">IF(H273=0,"",HYPERLINK("#"&amp;RIGHT(CELL("dateiname"),LEN(CELL("dateiname"))-FIND("]",CELL("dateiname")))&amp;"!"&amp;CELL("adresse",OFFSET($Q$6,H273-1,0)),"Definition"))</f>
        <v/>
      </c>
      <c r="F273" s="54" t="str" cm="1">
        <f t="array" aca="1" ref="F273" ca="1">IF(I273=0,"",HYPERLINK("#"&amp;RIGHT(CELL("adresse",OFFSET(DMAV_Doku!$B$6,I273-1,0)),LEN(CELL("adresse",OFFSET(DMAV_Doku!$B$6,I273-1,0)))-SEARCH("]",CELL("adresse",OFFSET(DMAV_Doku!$B$6,I273-1,0)))),"ModDoc"))</f>
        <v/>
      </c>
      <c r="G273" s="150" t="str">
        <f t="shared" si="8"/>
        <v>MGS74</v>
      </c>
      <c r="H273" s="150">
        <f t="shared" si="9"/>
        <v>0</v>
      </c>
      <c r="I273" s="150">
        <f>IF(_xlfn.XLOOKUP(G273,Korrelation!$A$4:$A$723,Korrelation!$B$4:$B$723,0,0)=0,0,MATCH(_xlfn.XLOOKUP(G273,Korrelation!$A$4:$A$723,Korrelation!$B$4:$B$723,0,0),DMAV_Doku!$H$6:$H$483,0))</f>
        <v>0</v>
      </c>
      <c r="J273" s="158"/>
      <c r="K273" s="161"/>
      <c r="L273" s="161"/>
      <c r="M273" s="158"/>
      <c r="N273" s="51" t="s">
        <v>4172</v>
      </c>
      <c r="O273" s="51" t="s">
        <v>3892</v>
      </c>
      <c r="P273" s="51" t="s">
        <v>16</v>
      </c>
      <c r="Q273" s="51" t="s">
        <v>1015</v>
      </c>
      <c r="R273" s="51" t="s">
        <v>1057</v>
      </c>
      <c r="S273" s="50" t="s">
        <v>950</v>
      </c>
      <c r="U273" s="52" t="s">
        <v>3457</v>
      </c>
      <c r="W273" s="52" t="s">
        <v>3482</v>
      </c>
      <c r="Z273" s="198" t="s">
        <v>2757</v>
      </c>
      <c r="AB273" s="51" t="s">
        <v>4173</v>
      </c>
      <c r="AC273" s="51" t="s">
        <v>3893</v>
      </c>
      <c r="AD273" s="51" t="s">
        <v>705</v>
      </c>
      <c r="AE273" s="51" t="s">
        <v>1015</v>
      </c>
      <c r="AF273" s="51" t="s">
        <v>4227</v>
      </c>
      <c r="AG273" s="50" t="s">
        <v>950</v>
      </c>
      <c r="AI273" s="52" t="s">
        <v>3457</v>
      </c>
      <c r="AK273" s="52" t="s">
        <v>4229</v>
      </c>
      <c r="AN273" s="198" t="s">
        <v>7227</v>
      </c>
      <c r="AP273" s="51" t="s">
        <v>4174</v>
      </c>
      <c r="AQ273" s="51" t="s">
        <v>3894</v>
      </c>
      <c r="AR273" s="51" t="s">
        <v>4175</v>
      </c>
      <c r="AS273" s="51" t="s">
        <v>1015</v>
      </c>
      <c r="AT273" s="51" t="s">
        <v>4228</v>
      </c>
      <c r="AU273" s="50" t="s">
        <v>950</v>
      </c>
      <c r="AW273" s="52" t="s">
        <v>3457</v>
      </c>
      <c r="AY273" s="52" t="s">
        <v>4230</v>
      </c>
      <c r="BB273" s="199" t="s">
        <v>6047</v>
      </c>
    </row>
    <row r="274" spans="1:54" ht="51" x14ac:dyDescent="0.25">
      <c r="A274" s="51" t="s">
        <v>3805</v>
      </c>
      <c r="B274" s="51">
        <v>75</v>
      </c>
      <c r="D274" s="51" t="s">
        <v>3486</v>
      </c>
      <c r="E274" s="54" t="str" cm="1">
        <f t="array" aca="1" ref="E274" ca="1">IF(H274=0,"",HYPERLINK("#"&amp;RIGHT(CELL("dateiname"),LEN(CELL("dateiname"))-FIND("]",CELL("dateiname")))&amp;"!"&amp;CELL("adresse",OFFSET($Q$6,H274-1,0)),"Definition"))</f>
        <v/>
      </c>
      <c r="F274" s="54" t="str" cm="1">
        <f t="array" aca="1" ref="F274" ca="1">IF(I274=0,"",HYPERLINK("#"&amp;RIGHT(CELL("adresse",OFFSET(DMAV_Doku!$B$6,I274-1,0)),LEN(CELL("adresse",OFFSET(DMAV_Doku!$B$6,I274-1,0)))-SEARCH("]",CELL("adresse",OFFSET(DMAV_Doku!$B$6,I274-1,0)))),"ModDoc"))</f>
        <v/>
      </c>
      <c r="G274" s="150" t="str">
        <f t="shared" si="8"/>
        <v>MGS75</v>
      </c>
      <c r="H274" s="150">
        <f t="shared" si="9"/>
        <v>0</v>
      </c>
      <c r="I274" s="150">
        <f>IF(_xlfn.XLOOKUP(G274,Korrelation!$A$4:$A$723,Korrelation!$B$4:$B$723,0,0)=0,0,MATCH(_xlfn.XLOOKUP(G274,Korrelation!$A$4:$A$723,Korrelation!$B$4:$B$723,0,0),DMAV_Doku!$H$6:$H$483,0))</f>
        <v>0</v>
      </c>
      <c r="J274" s="158"/>
      <c r="K274" s="161"/>
      <c r="L274" s="161"/>
      <c r="M274" s="158"/>
      <c r="N274" s="51" t="s">
        <v>4172</v>
      </c>
      <c r="O274" s="51" t="s">
        <v>3892</v>
      </c>
      <c r="P274" s="51" t="s">
        <v>16</v>
      </c>
      <c r="Q274" s="51" t="s">
        <v>1015</v>
      </c>
      <c r="R274" s="51" t="s">
        <v>1057</v>
      </c>
      <c r="S274" s="50" t="s">
        <v>950</v>
      </c>
      <c r="U274" s="52" t="s">
        <v>3484</v>
      </c>
      <c r="W274" s="52" t="s">
        <v>3485</v>
      </c>
      <c r="Z274" s="201" t="s">
        <v>2753</v>
      </c>
      <c r="AB274" s="51" t="s">
        <v>4173</v>
      </c>
      <c r="AC274" s="51" t="s">
        <v>3893</v>
      </c>
      <c r="AD274" s="51" t="s">
        <v>705</v>
      </c>
      <c r="AE274" s="51" t="s">
        <v>1015</v>
      </c>
      <c r="AF274" s="51" t="s">
        <v>4227</v>
      </c>
      <c r="AG274" s="50" t="s">
        <v>950</v>
      </c>
      <c r="AI274" s="52" t="s">
        <v>3457</v>
      </c>
      <c r="AK274" s="52" t="s">
        <v>4231</v>
      </c>
      <c r="AN274" s="201" t="s">
        <v>7228</v>
      </c>
      <c r="AP274" s="51" t="s">
        <v>4174</v>
      </c>
      <c r="AQ274" s="51" t="s">
        <v>3894</v>
      </c>
      <c r="AR274" s="51" t="s">
        <v>4175</v>
      </c>
      <c r="AS274" s="51" t="s">
        <v>1015</v>
      </c>
      <c r="AT274" s="51" t="s">
        <v>4228</v>
      </c>
      <c r="AU274" s="50" t="s">
        <v>950</v>
      </c>
      <c r="AW274" s="52" t="s">
        <v>3457</v>
      </c>
      <c r="AY274" s="52" t="s">
        <v>4232</v>
      </c>
      <c r="BB274" s="201" t="s">
        <v>6048</v>
      </c>
    </row>
    <row r="275" spans="1:54" ht="51" customHeight="1" x14ac:dyDescent="0.25">
      <c r="A275" s="51" t="s">
        <v>3805</v>
      </c>
      <c r="B275" s="51">
        <v>76</v>
      </c>
      <c r="D275" s="51" t="s">
        <v>3488</v>
      </c>
      <c r="E275" s="54" t="str" cm="1">
        <f t="array" aca="1" ref="E275" ca="1">IF(H275=0,"",HYPERLINK("#"&amp;RIGHT(CELL("dateiname"),LEN(CELL("dateiname"))-FIND("]",CELL("dateiname")))&amp;"!"&amp;CELL("adresse",OFFSET($Q$6,H275-1,0)),"Definition"))</f>
        <v/>
      </c>
      <c r="F275" s="54" t="str" cm="1">
        <f t="array" aca="1" ref="F275" ca="1">IF(I275=0,"",HYPERLINK("#"&amp;RIGHT(CELL("adresse",OFFSET(DMAV_Doku!$B$6,I275-1,0)),LEN(CELL("adresse",OFFSET(DMAV_Doku!$B$6,I275-1,0)))-SEARCH("]",CELL("adresse",OFFSET(DMAV_Doku!$B$6,I275-1,0)))),"ModDoc"))</f>
        <v/>
      </c>
      <c r="G275" s="150" t="str">
        <f t="shared" si="8"/>
        <v>MGS76</v>
      </c>
      <c r="H275" s="150">
        <f t="shared" si="9"/>
        <v>0</v>
      </c>
      <c r="I275" s="150">
        <f>IF(_xlfn.XLOOKUP(G275,Korrelation!$A$4:$A$723,Korrelation!$B$4:$B$723,0,0)=0,0,MATCH(_xlfn.XLOOKUP(G275,Korrelation!$A$4:$A$723,Korrelation!$B$4:$B$723,0,0),DMAV_Doku!$H$6:$H$483,0))</f>
        <v>0</v>
      </c>
      <c r="J275" s="158"/>
      <c r="K275" s="161"/>
      <c r="L275" s="161"/>
      <c r="M275" s="158"/>
      <c r="N275" s="51" t="s">
        <v>4172</v>
      </c>
      <c r="O275" s="51" t="s">
        <v>3892</v>
      </c>
      <c r="P275" s="51" t="s">
        <v>16</v>
      </c>
      <c r="Q275" s="51" t="s">
        <v>2790</v>
      </c>
      <c r="R275" s="51" t="s">
        <v>231</v>
      </c>
      <c r="S275" s="50" t="s">
        <v>950</v>
      </c>
      <c r="U275" s="52" t="s">
        <v>2791</v>
      </c>
      <c r="W275" s="52" t="s">
        <v>3487</v>
      </c>
      <c r="Z275" s="202" t="s">
        <v>2792</v>
      </c>
      <c r="AB275" s="51" t="s">
        <v>4173</v>
      </c>
      <c r="AC275" s="51" t="s">
        <v>3893</v>
      </c>
      <c r="AD275" s="51" t="s">
        <v>705</v>
      </c>
      <c r="AE275" s="51" t="s">
        <v>2790</v>
      </c>
      <c r="AF275" s="51" t="s">
        <v>789</v>
      </c>
      <c r="AG275" s="50" t="s">
        <v>950</v>
      </c>
      <c r="AI275" s="52" t="s">
        <v>4233</v>
      </c>
      <c r="AK275" s="52" t="s">
        <v>4234</v>
      </c>
      <c r="AN275" s="202" t="s">
        <v>7229</v>
      </c>
      <c r="AP275" s="51" t="s">
        <v>4174</v>
      </c>
      <c r="AQ275" s="51" t="s">
        <v>3894</v>
      </c>
      <c r="AR275" s="51" t="s">
        <v>4175</v>
      </c>
      <c r="AS275" s="51" t="s">
        <v>2790</v>
      </c>
      <c r="AT275" s="51" t="s">
        <v>4223</v>
      </c>
      <c r="AU275" s="50" t="s">
        <v>950</v>
      </c>
      <c r="AW275" s="52" t="s">
        <v>4233</v>
      </c>
      <c r="AY275" s="52" t="s">
        <v>4235</v>
      </c>
      <c r="BB275" s="202" t="s">
        <v>6029</v>
      </c>
    </row>
    <row r="276" spans="1:54" ht="51" x14ac:dyDescent="0.25">
      <c r="A276" s="51" t="s">
        <v>3805</v>
      </c>
      <c r="B276" s="51">
        <v>77</v>
      </c>
      <c r="D276" s="51" t="s">
        <v>3491</v>
      </c>
      <c r="E276" s="54" t="str" cm="1">
        <f t="array" aca="1" ref="E276" ca="1">IF(H276=0,"",HYPERLINK("#"&amp;RIGHT(CELL("dateiname"),LEN(CELL("dateiname"))-FIND("]",CELL("dateiname")))&amp;"!"&amp;CELL("adresse",OFFSET($Q$6,H276-1,0)),"Definition"))</f>
        <v/>
      </c>
      <c r="F276" s="54" t="str" cm="1">
        <f t="array" aca="1" ref="F276" ca="1">IF(I276=0,"",HYPERLINK("#"&amp;RIGHT(CELL("adresse",OFFSET(DMAV_Doku!$B$6,I276-1,0)),LEN(CELL("adresse",OFFSET(DMAV_Doku!$B$6,I276-1,0)))-SEARCH("]",CELL("adresse",OFFSET(DMAV_Doku!$B$6,I276-1,0)))),"ModDoc"))</f>
        <v/>
      </c>
      <c r="G276" s="150" t="str">
        <f t="shared" si="8"/>
        <v>MGS77</v>
      </c>
      <c r="H276" s="150">
        <f t="shared" si="9"/>
        <v>0</v>
      </c>
      <c r="I276" s="150">
        <f>IF(_xlfn.XLOOKUP(G276,Korrelation!$A$4:$A$723,Korrelation!$B$4:$B$723,0,0)=0,0,MATCH(_xlfn.XLOOKUP(G276,Korrelation!$A$4:$A$723,Korrelation!$B$4:$B$723,0,0),DMAV_Doku!$H$6:$H$483,0))</f>
        <v>0</v>
      </c>
      <c r="J276" s="158"/>
      <c r="K276" s="161"/>
      <c r="L276" s="161"/>
      <c r="M276" s="158"/>
      <c r="N276" s="51" t="s">
        <v>4172</v>
      </c>
      <c r="O276" s="51" t="s">
        <v>3892</v>
      </c>
      <c r="P276" s="51" t="s">
        <v>16</v>
      </c>
      <c r="Q276" s="51" t="s">
        <v>2790</v>
      </c>
      <c r="R276" s="51" t="s">
        <v>231</v>
      </c>
      <c r="S276" s="50" t="s">
        <v>950</v>
      </c>
      <c r="U276" s="52" t="s">
        <v>3489</v>
      </c>
      <c r="W276" s="52" t="s">
        <v>3490</v>
      </c>
      <c r="Z276" s="202" t="s">
        <v>2795</v>
      </c>
      <c r="AB276" s="51" t="s">
        <v>4173</v>
      </c>
      <c r="AC276" s="51" t="s">
        <v>3893</v>
      </c>
      <c r="AD276" s="51" t="s">
        <v>705</v>
      </c>
      <c r="AE276" s="51" t="s">
        <v>2790</v>
      </c>
      <c r="AF276" s="51" t="s">
        <v>789</v>
      </c>
      <c r="AG276" s="50" t="s">
        <v>950</v>
      </c>
      <c r="AI276" s="52" t="s">
        <v>4236</v>
      </c>
      <c r="AK276" s="52" t="s">
        <v>4237</v>
      </c>
      <c r="AN276" s="202" t="s">
        <v>7230</v>
      </c>
      <c r="AP276" s="51" t="s">
        <v>4174</v>
      </c>
      <c r="AQ276" s="51" t="s">
        <v>3894</v>
      </c>
      <c r="AR276" s="51" t="s">
        <v>4175</v>
      </c>
      <c r="AS276" s="51" t="s">
        <v>2790</v>
      </c>
      <c r="AT276" s="51" t="s">
        <v>4223</v>
      </c>
      <c r="AU276" s="50" t="s">
        <v>950</v>
      </c>
      <c r="AW276" s="52" t="s">
        <v>4236</v>
      </c>
      <c r="AY276" s="52" t="s">
        <v>4238</v>
      </c>
      <c r="BB276" s="202" t="s">
        <v>6030</v>
      </c>
    </row>
    <row r="277" spans="1:54" x14ac:dyDescent="0.25">
      <c r="A277" s="51" t="s">
        <v>3805</v>
      </c>
      <c r="B277" s="51">
        <v>78</v>
      </c>
      <c r="E277" s="54" t="str" cm="1">
        <f t="array" aca="1" ref="E277" ca="1">IF(H277=0,"",HYPERLINK("#"&amp;RIGHT(CELL("dateiname"),LEN(CELL("dateiname"))-FIND("]",CELL("dateiname")))&amp;"!"&amp;CELL("adresse",OFFSET($Q$6,H277-1,0)),"Definition"))</f>
        <v/>
      </c>
      <c r="F277" s="54" t="str" cm="1">
        <f t="array" aca="1" ref="F277" ca="1">IF(I277=0,"",HYPERLINK("#"&amp;RIGHT(CELL("adresse",OFFSET(DMAV_Doku!$B$6,I277-1,0)),LEN(CELL("adresse",OFFSET(DMAV_Doku!$B$6,I277-1,0)))-SEARCH("]",CELL("adresse",OFFSET(DMAV_Doku!$B$6,I277-1,0)))),"ModDoc"))</f>
        <v/>
      </c>
      <c r="G277" s="150" t="str">
        <f t="shared" si="8"/>
        <v>MGS78</v>
      </c>
      <c r="H277" s="150">
        <f t="shared" si="9"/>
        <v>0</v>
      </c>
      <c r="I277" s="150">
        <f>IF(_xlfn.XLOOKUP(G277,Korrelation!$A$4:$A$723,Korrelation!$B$4:$B$723,0,0)=0,0,MATCH(_xlfn.XLOOKUP(G277,Korrelation!$A$4:$A$723,Korrelation!$B$4:$B$723,0,0),DMAV_Doku!$H$6:$H$483,0))</f>
        <v>0</v>
      </c>
      <c r="J277" s="158"/>
      <c r="K277" s="161"/>
      <c r="L277" s="161"/>
      <c r="M277" s="158"/>
      <c r="N277" s="51" t="s">
        <v>4172</v>
      </c>
      <c r="O277" s="51" t="s">
        <v>3892</v>
      </c>
      <c r="P277" s="51" t="s">
        <v>16</v>
      </c>
      <c r="Q277" s="51" t="s">
        <v>977</v>
      </c>
      <c r="R277" s="51" t="s">
        <v>1059</v>
      </c>
      <c r="U277" s="52" t="s">
        <v>979</v>
      </c>
      <c r="V277" s="55"/>
      <c r="W277" s="52" t="s">
        <v>231</v>
      </c>
      <c r="AB277" s="51" t="s">
        <v>4173</v>
      </c>
      <c r="AC277" s="51" t="s">
        <v>3893</v>
      </c>
      <c r="AD277" s="51" t="s">
        <v>705</v>
      </c>
      <c r="AE277" s="51" t="s">
        <v>977</v>
      </c>
      <c r="AF277" s="51" t="s">
        <v>4239</v>
      </c>
      <c r="AI277" s="52" t="s">
        <v>979</v>
      </c>
      <c r="AK277" s="52" t="s">
        <v>789</v>
      </c>
      <c r="AP277" s="51" t="s">
        <v>4174</v>
      </c>
      <c r="AQ277" s="51" t="s">
        <v>3894</v>
      </c>
      <c r="AR277" s="51" t="s">
        <v>4175</v>
      </c>
      <c r="AS277" s="51" t="s">
        <v>977</v>
      </c>
      <c r="AT277" s="51" t="s">
        <v>4240</v>
      </c>
      <c r="AW277" s="52" t="s">
        <v>979</v>
      </c>
      <c r="AY277" s="52" t="s">
        <v>4223</v>
      </c>
    </row>
    <row r="278" spans="1:54" ht="76.5" x14ac:dyDescent="0.25">
      <c r="A278" s="51" t="s">
        <v>3805</v>
      </c>
      <c r="B278" s="51">
        <v>79</v>
      </c>
      <c r="E278" s="54" t="str" cm="1">
        <f t="array" aca="1" ref="E278" ca="1">IF(H278=0,"",HYPERLINK("#"&amp;RIGHT(CELL("dateiname"),LEN(CELL("dateiname"))-FIND("]",CELL("dateiname")))&amp;"!"&amp;CELL("adresse",OFFSET($Q$6,H278-1,0)),"Definition"))</f>
        <v/>
      </c>
      <c r="F278" s="54" t="str" cm="1">
        <f t="array" aca="1" ref="F278" ca="1">IF(I278=0,"",HYPERLINK("#"&amp;RIGHT(CELL("adresse",OFFSET(DMAV_Doku!$B$6,I278-1,0)),LEN(CELL("adresse",OFFSET(DMAV_Doku!$B$6,I278-1,0)))-SEARCH("]",CELL("adresse",OFFSET(DMAV_Doku!$B$6,I278-1,0)))),"ModDoc"))</f>
        <v/>
      </c>
      <c r="G278" s="150" t="str">
        <f t="shared" si="8"/>
        <v>MGS79</v>
      </c>
      <c r="H278" s="150">
        <f t="shared" si="9"/>
        <v>0</v>
      </c>
      <c r="I278" s="150">
        <f>IF(_xlfn.XLOOKUP(G278,Korrelation!$A$4:$A$723,Korrelation!$B$4:$B$723,0,0)=0,0,MATCH(_xlfn.XLOOKUP(G278,Korrelation!$A$4:$A$723,Korrelation!$B$4:$B$723,0,0),DMAV_Doku!$H$6:$H$483,0))</f>
        <v>0</v>
      </c>
      <c r="J278" s="158"/>
      <c r="K278" s="161"/>
      <c r="L278" s="161"/>
      <c r="M278" s="158"/>
      <c r="N278" s="51" t="s">
        <v>4172</v>
      </c>
      <c r="O278" s="51" t="s">
        <v>3892</v>
      </c>
      <c r="P278" s="51" t="s">
        <v>16</v>
      </c>
      <c r="Q278" s="51" t="s">
        <v>977</v>
      </c>
      <c r="R278" s="51" t="s">
        <v>1059</v>
      </c>
      <c r="U278" s="52" t="s">
        <v>1002</v>
      </c>
      <c r="W278" s="52" t="s">
        <v>1060</v>
      </c>
      <c r="Z278" s="198" t="s">
        <v>2777</v>
      </c>
      <c r="AB278" s="51" t="s">
        <v>4173</v>
      </c>
      <c r="AC278" s="51" t="s">
        <v>3893</v>
      </c>
      <c r="AD278" s="51" t="s">
        <v>705</v>
      </c>
      <c r="AE278" s="51" t="s">
        <v>977</v>
      </c>
      <c r="AF278" s="51" t="s">
        <v>4239</v>
      </c>
      <c r="AI278" s="52" t="s">
        <v>4087</v>
      </c>
      <c r="AK278" s="52" t="s">
        <v>4241</v>
      </c>
      <c r="AN278" s="259" t="s">
        <v>7267</v>
      </c>
      <c r="AP278" s="51" t="s">
        <v>4174</v>
      </c>
      <c r="AQ278" s="51" t="s">
        <v>3894</v>
      </c>
      <c r="AR278" s="51" t="s">
        <v>4175</v>
      </c>
      <c r="AS278" s="51" t="s">
        <v>977</v>
      </c>
      <c r="AT278" s="51" t="s">
        <v>4240</v>
      </c>
      <c r="AW278" s="52" t="s">
        <v>4087</v>
      </c>
      <c r="AY278" s="52" t="s">
        <v>4242</v>
      </c>
      <c r="BB278" s="199" t="s">
        <v>6049</v>
      </c>
    </row>
    <row r="279" spans="1:54" x14ac:dyDescent="0.25">
      <c r="A279" s="51" t="s">
        <v>3805</v>
      </c>
      <c r="B279" s="51">
        <v>80</v>
      </c>
      <c r="E279" s="54" t="str" cm="1">
        <f t="array" aca="1" ref="E279" ca="1">IF(H279=0,"",HYPERLINK("#"&amp;RIGHT(CELL("dateiname"),LEN(CELL("dateiname"))-FIND("]",CELL("dateiname")))&amp;"!"&amp;CELL("adresse",OFFSET($Q$6,H279-1,0)),"Definition"))</f>
        <v/>
      </c>
      <c r="F279" s="54" t="str" cm="1">
        <f t="array" aca="1" ref="F279" ca="1">IF(I279=0,"",HYPERLINK("#"&amp;RIGHT(CELL("adresse",OFFSET(DMAV_Doku!$B$6,I279-1,0)),LEN(CELL("adresse",OFFSET(DMAV_Doku!$B$6,I279-1,0)))-SEARCH("]",CELL("adresse",OFFSET(DMAV_Doku!$B$6,I279-1,0)))),"ModDoc"))</f>
        <v/>
      </c>
      <c r="G279" s="150" t="str">
        <f t="shared" si="8"/>
        <v>MGS80</v>
      </c>
      <c r="H279" s="150">
        <f t="shared" si="9"/>
        <v>0</v>
      </c>
      <c r="I279" s="150">
        <f>IF(_xlfn.XLOOKUP(G279,Korrelation!$A$4:$A$723,Korrelation!$B$4:$B$723,0,0)=0,0,MATCH(_xlfn.XLOOKUP(G279,Korrelation!$A$4:$A$723,Korrelation!$B$4:$B$723,0,0),DMAV_Doku!$H$6:$H$483,0))</f>
        <v>0</v>
      </c>
      <c r="J279" s="158"/>
      <c r="K279" s="161"/>
      <c r="L279" s="161"/>
      <c r="M279" s="158"/>
      <c r="N279" s="51" t="s">
        <v>4172</v>
      </c>
      <c r="O279" s="51" t="s">
        <v>3892</v>
      </c>
      <c r="P279" s="51" t="s">
        <v>16</v>
      </c>
      <c r="Q279" s="51" t="s">
        <v>977</v>
      </c>
      <c r="R279" s="51" t="s">
        <v>1059</v>
      </c>
      <c r="U279" s="52" t="s">
        <v>982</v>
      </c>
      <c r="W279" s="52" t="s">
        <v>231</v>
      </c>
      <c r="AB279" s="51" t="s">
        <v>4173</v>
      </c>
      <c r="AC279" s="51" t="s">
        <v>3893</v>
      </c>
      <c r="AD279" s="51" t="s">
        <v>705</v>
      </c>
      <c r="AE279" s="51" t="s">
        <v>977</v>
      </c>
      <c r="AF279" s="51" t="s">
        <v>4239</v>
      </c>
      <c r="AI279" s="52" t="s">
        <v>982</v>
      </c>
      <c r="AK279" s="52" t="s">
        <v>789</v>
      </c>
      <c r="AP279" s="51" t="s">
        <v>4174</v>
      </c>
      <c r="AQ279" s="51" t="s">
        <v>3894</v>
      </c>
      <c r="AR279" s="51" t="s">
        <v>4175</v>
      </c>
      <c r="AS279" s="51" t="s">
        <v>977</v>
      </c>
      <c r="AT279" s="51" t="s">
        <v>4240</v>
      </c>
      <c r="AW279" s="52" t="s">
        <v>982</v>
      </c>
      <c r="AY279" s="52" t="s">
        <v>4223</v>
      </c>
    </row>
    <row r="280" spans="1:54" ht="25.5" x14ac:dyDescent="0.25">
      <c r="A280" s="51" t="s">
        <v>3805</v>
      </c>
      <c r="B280" s="51">
        <v>81</v>
      </c>
      <c r="D280" s="51" t="s">
        <v>3492</v>
      </c>
      <c r="E280" s="54" t="str" cm="1">
        <f t="array" aca="1" ref="E280" ca="1">IF(H280=0,"",HYPERLINK("#"&amp;RIGHT(CELL("dateiname"),LEN(CELL("dateiname"))-FIND("]",CELL("dateiname")))&amp;"!"&amp;CELL("adresse",OFFSET($Q$6,H280-1,0)),"Definition"))</f>
        <v/>
      </c>
      <c r="F280" s="54" t="str" cm="1">
        <f t="array" aca="1" ref="F280" ca="1">IF(I280=0,"",HYPERLINK("#"&amp;RIGHT(CELL("adresse",OFFSET(DMAV_Doku!$B$6,I280-1,0)),LEN(CELL("adresse",OFFSET(DMAV_Doku!$B$6,I280-1,0)))-SEARCH("]",CELL("adresse",OFFSET(DMAV_Doku!$B$6,I280-1,0)))),"ModDoc"))</f>
        <v/>
      </c>
      <c r="G280" s="150" t="str">
        <f t="shared" si="8"/>
        <v>MGS81</v>
      </c>
      <c r="H280" s="150">
        <f t="shared" si="9"/>
        <v>0</v>
      </c>
      <c r="I280" s="150">
        <f>IF(_xlfn.XLOOKUP(G280,Korrelation!$A$4:$A$723,Korrelation!$B$4:$B$723,0,0)=0,0,MATCH(_xlfn.XLOOKUP(G280,Korrelation!$A$4:$A$723,Korrelation!$B$4:$B$723,0,0),DMAV_Doku!$H$6:$H$483,0))</f>
        <v>0</v>
      </c>
      <c r="J280" s="158"/>
      <c r="K280" s="161"/>
      <c r="L280" s="161"/>
      <c r="M280" s="158"/>
      <c r="N280" s="51" t="s">
        <v>4172</v>
      </c>
      <c r="O280" s="51" t="s">
        <v>3892</v>
      </c>
      <c r="P280" s="51" t="s">
        <v>16</v>
      </c>
      <c r="Q280" s="51" t="s">
        <v>1012</v>
      </c>
      <c r="R280" s="51" t="s">
        <v>1059</v>
      </c>
      <c r="U280" s="52" t="s">
        <v>3454</v>
      </c>
      <c r="V280" s="55"/>
      <c r="W280" s="52" t="s">
        <v>3455</v>
      </c>
      <c r="Z280" s="199" t="s">
        <v>2782</v>
      </c>
      <c r="AB280" s="51" t="s">
        <v>4173</v>
      </c>
      <c r="AC280" s="51" t="s">
        <v>3893</v>
      </c>
      <c r="AD280" s="51" t="s">
        <v>705</v>
      </c>
      <c r="AE280" s="51" t="s">
        <v>1012</v>
      </c>
      <c r="AF280" s="51" t="s">
        <v>4239</v>
      </c>
      <c r="AI280" s="52" t="s">
        <v>3454</v>
      </c>
      <c r="AK280" s="52" t="s">
        <v>4117</v>
      </c>
      <c r="AN280" s="52" t="s">
        <v>7217</v>
      </c>
      <c r="AP280" s="51" t="s">
        <v>4174</v>
      </c>
      <c r="AQ280" s="51" t="s">
        <v>3894</v>
      </c>
      <c r="AR280" s="51" t="s">
        <v>4175</v>
      </c>
      <c r="AS280" s="51" t="s">
        <v>1012</v>
      </c>
      <c r="AT280" s="51" t="s">
        <v>4240</v>
      </c>
      <c r="AW280" s="52" t="s">
        <v>3454</v>
      </c>
      <c r="AY280" s="52" t="s">
        <v>4118</v>
      </c>
      <c r="BB280" s="52" t="s">
        <v>6044</v>
      </c>
    </row>
    <row r="281" spans="1:54" ht="51" x14ac:dyDescent="0.25">
      <c r="A281" s="51" t="s">
        <v>3805</v>
      </c>
      <c r="B281" s="51">
        <v>82</v>
      </c>
      <c r="E281" s="54" t="str" cm="1">
        <f t="array" aca="1" ref="E281" ca="1">IF(H281=0,"",HYPERLINK("#"&amp;RIGHT(CELL("dateiname"),LEN(CELL("dateiname"))-FIND("]",CELL("dateiname")))&amp;"!"&amp;CELL("adresse",OFFSET($Q$6,H281-1,0)),"Definition"))</f>
        <v/>
      </c>
      <c r="F281" s="54" t="str" cm="1">
        <f t="array" aca="1" ref="F281" ca="1">IF(I281=0,"",HYPERLINK("#"&amp;RIGHT(CELL("adresse",OFFSET(DMAV_Doku!$B$6,I281-1,0)),LEN(CELL("adresse",OFFSET(DMAV_Doku!$B$6,I281-1,0)))-SEARCH("]",CELL("adresse",OFFSET(DMAV_Doku!$B$6,I281-1,0)))),"ModDoc"))</f>
        <v>ModDoc</v>
      </c>
      <c r="G281" s="150" t="str">
        <f t="shared" si="8"/>
        <v>MGS82</v>
      </c>
      <c r="H281" s="150">
        <f t="shared" si="9"/>
        <v>0</v>
      </c>
      <c r="I281" s="150">
        <f>IF(_xlfn.XLOOKUP(G281,Korrelation!$A$4:$A$723,Korrelation!$B$4:$B$723,0,0)=0,0,MATCH(_xlfn.XLOOKUP(G281,Korrelation!$A$4:$A$723,Korrelation!$B$4:$B$723,0,0),DMAV_Doku!$H$6:$H$483,0))</f>
        <v>152</v>
      </c>
      <c r="J281" s="158"/>
      <c r="K281" s="161"/>
      <c r="L281" s="161"/>
      <c r="M281" s="158"/>
      <c r="N281" s="51" t="s">
        <v>4172</v>
      </c>
      <c r="O281" s="51" t="s">
        <v>3892</v>
      </c>
      <c r="P281" s="51" t="s">
        <v>16</v>
      </c>
      <c r="Q281" s="51" t="s">
        <v>949</v>
      </c>
      <c r="R281" s="51" t="s">
        <v>233</v>
      </c>
      <c r="U281" s="55" t="s">
        <v>259</v>
      </c>
      <c r="V281" s="55"/>
      <c r="W281" s="52" t="s">
        <v>951</v>
      </c>
      <c r="Y281" s="52" t="s">
        <v>4243</v>
      </c>
      <c r="AB281" s="51" t="s">
        <v>4173</v>
      </c>
      <c r="AC281" s="51" t="s">
        <v>3893</v>
      </c>
      <c r="AD281" s="51" t="s">
        <v>705</v>
      </c>
      <c r="AE281" s="51" t="s">
        <v>949</v>
      </c>
      <c r="AF281" s="51" t="s">
        <v>793</v>
      </c>
      <c r="AI281" s="52" t="s">
        <v>790</v>
      </c>
      <c r="AK281" s="52" t="s">
        <v>951</v>
      </c>
      <c r="AP281" s="51" t="s">
        <v>4174</v>
      </c>
      <c r="AQ281" s="51" t="s">
        <v>3894</v>
      </c>
      <c r="AR281" s="51" t="s">
        <v>4175</v>
      </c>
      <c r="AS281" s="51" t="s">
        <v>949</v>
      </c>
      <c r="AT281" s="51" t="s">
        <v>4244</v>
      </c>
      <c r="AW281" s="52" t="s">
        <v>2022</v>
      </c>
      <c r="AY281" s="52" t="s">
        <v>951</v>
      </c>
    </row>
    <row r="282" spans="1:54" ht="38.25" x14ac:dyDescent="0.25">
      <c r="A282" s="51" t="s">
        <v>3805</v>
      </c>
      <c r="B282" s="51">
        <v>83</v>
      </c>
      <c r="E282" s="54" t="str" cm="1">
        <f t="array" aca="1" ref="E282" ca="1">IF(H282=0,"",HYPERLINK("#"&amp;RIGHT(CELL("dateiname"),LEN(CELL("dateiname"))-FIND("]",CELL("dateiname")))&amp;"!"&amp;CELL("adresse",OFFSET($Q$6,H282-1,0)),"Definition"))</f>
        <v/>
      </c>
      <c r="F282" s="54" t="str" cm="1">
        <f t="array" aca="1" ref="F282" ca="1">IF(I282=0,"",HYPERLINK("#"&amp;RIGHT(CELL("adresse",OFFSET(DMAV_Doku!$B$6,I282-1,0)),LEN(CELL("adresse",OFFSET(DMAV_Doku!$B$6,I282-1,0)))-SEARCH("]",CELL("adresse",OFFSET(DMAV_Doku!$B$6,I282-1,0)))),"ModDoc"))</f>
        <v>ModDoc</v>
      </c>
      <c r="G282" s="150" t="str">
        <f t="shared" si="8"/>
        <v>MGS83</v>
      </c>
      <c r="H282" s="150">
        <f t="shared" si="9"/>
        <v>0</v>
      </c>
      <c r="I282" s="150">
        <f>IF(_xlfn.XLOOKUP(G282,Korrelation!$A$4:$A$723,Korrelation!$B$4:$B$723,0,0)=0,0,MATCH(_xlfn.XLOOKUP(G282,Korrelation!$A$4:$A$723,Korrelation!$B$4:$B$723,0,0),DMAV_Doku!$H$6:$H$483,0))</f>
        <v>153</v>
      </c>
      <c r="J282" s="158"/>
      <c r="K282" s="161"/>
      <c r="L282" s="161"/>
      <c r="M282" s="158"/>
      <c r="N282" s="51" t="s">
        <v>4172</v>
      </c>
      <c r="O282" s="51" t="s">
        <v>3892</v>
      </c>
      <c r="P282" s="51" t="s">
        <v>16</v>
      </c>
      <c r="Q282" s="51" t="s">
        <v>949</v>
      </c>
      <c r="R282" s="51" t="s">
        <v>233</v>
      </c>
      <c r="S282" s="50" t="s">
        <v>950</v>
      </c>
      <c r="U282" s="55" t="s">
        <v>123</v>
      </c>
      <c r="V282" s="55"/>
      <c r="W282" s="52" t="s">
        <v>965</v>
      </c>
      <c r="Y282" s="52" t="s">
        <v>4245</v>
      </c>
      <c r="AB282" s="51" t="s">
        <v>4173</v>
      </c>
      <c r="AC282" s="51" t="s">
        <v>3893</v>
      </c>
      <c r="AD282" s="51" t="s">
        <v>705</v>
      </c>
      <c r="AE282" s="51" t="s">
        <v>949</v>
      </c>
      <c r="AF282" s="51" t="s">
        <v>793</v>
      </c>
      <c r="AG282" s="50" t="s">
        <v>950</v>
      </c>
      <c r="AI282" s="52" t="s">
        <v>123</v>
      </c>
      <c r="AK282" s="52" t="s">
        <v>965</v>
      </c>
      <c r="AP282" s="51" t="s">
        <v>4174</v>
      </c>
      <c r="AQ282" s="51" t="s">
        <v>3894</v>
      </c>
      <c r="AR282" s="51" t="s">
        <v>4175</v>
      </c>
      <c r="AS282" s="51" t="s">
        <v>949</v>
      </c>
      <c r="AT282" s="51" t="s">
        <v>4244</v>
      </c>
      <c r="AU282" s="50" t="s">
        <v>950</v>
      </c>
      <c r="AW282" s="52" t="s">
        <v>1247</v>
      </c>
      <c r="AY282" s="52" t="s">
        <v>965</v>
      </c>
    </row>
    <row r="283" spans="1:54" ht="25.5" x14ac:dyDescent="0.25">
      <c r="A283" s="51" t="s">
        <v>3805</v>
      </c>
      <c r="B283" s="51">
        <v>84</v>
      </c>
      <c r="E283" s="54" t="str" cm="1">
        <f t="array" aca="1" ref="E283" ca="1">IF(H283=0,"",HYPERLINK("#"&amp;RIGHT(CELL("dateiname"),LEN(CELL("dateiname"))-FIND("]",CELL("dateiname")))&amp;"!"&amp;CELL("adresse",OFFSET($Q$6,H283-1,0)),"Definition"))</f>
        <v/>
      </c>
      <c r="F283" s="54" t="str" cm="1">
        <f t="array" aca="1" ref="F283" ca="1">IF(I283=0,"",HYPERLINK("#"&amp;RIGHT(CELL("adresse",OFFSET(DMAV_Doku!$B$6,I283-1,0)),LEN(CELL("adresse",OFFSET(DMAV_Doku!$B$6,I283-1,0)))-SEARCH("]",CELL("adresse",OFFSET(DMAV_Doku!$B$6,I283-1,0)))),"ModDoc"))</f>
        <v>ModDoc</v>
      </c>
      <c r="G283" s="150" t="str">
        <f t="shared" si="8"/>
        <v>MGS84</v>
      </c>
      <c r="H283" s="150">
        <f t="shared" si="9"/>
        <v>0</v>
      </c>
      <c r="I283" s="150">
        <f>IF(_xlfn.XLOOKUP(G283,Korrelation!$A$4:$A$723,Korrelation!$B$4:$B$723,0,0)=0,0,MATCH(_xlfn.XLOOKUP(G283,Korrelation!$A$4:$A$723,Korrelation!$B$4:$B$723,0,0),DMAV_Doku!$H$6:$H$483,0))</f>
        <v>155</v>
      </c>
      <c r="J283" s="158"/>
      <c r="K283" s="161"/>
      <c r="L283" s="161"/>
      <c r="M283" s="158"/>
      <c r="N283" s="51" t="s">
        <v>4172</v>
      </c>
      <c r="O283" s="51" t="s">
        <v>3892</v>
      </c>
      <c r="P283" s="51" t="s">
        <v>16</v>
      </c>
      <c r="Q283" s="51" t="s">
        <v>949</v>
      </c>
      <c r="R283" s="51" t="s">
        <v>233</v>
      </c>
      <c r="S283" s="50" t="s">
        <v>950</v>
      </c>
      <c r="U283" s="55" t="s">
        <v>270</v>
      </c>
      <c r="V283" s="55"/>
      <c r="W283" s="52" t="s">
        <v>1048</v>
      </c>
      <c r="Y283" s="52" t="s">
        <v>3493</v>
      </c>
      <c r="AB283" s="51" t="s">
        <v>4173</v>
      </c>
      <c r="AC283" s="51" t="s">
        <v>3893</v>
      </c>
      <c r="AD283" s="51" t="s">
        <v>705</v>
      </c>
      <c r="AE283" s="51" t="s">
        <v>949</v>
      </c>
      <c r="AF283" s="51" t="s">
        <v>793</v>
      </c>
      <c r="AG283" s="50" t="s">
        <v>950</v>
      </c>
      <c r="AI283" s="52" t="s">
        <v>792</v>
      </c>
      <c r="AK283" s="52" t="s">
        <v>1048</v>
      </c>
      <c r="AP283" s="51" t="s">
        <v>4174</v>
      </c>
      <c r="AQ283" s="51" t="s">
        <v>3894</v>
      </c>
      <c r="AR283" s="51" t="s">
        <v>4175</v>
      </c>
      <c r="AS283" s="51" t="s">
        <v>949</v>
      </c>
      <c r="AT283" s="51" t="s">
        <v>4244</v>
      </c>
      <c r="AU283" s="50" t="s">
        <v>950</v>
      </c>
      <c r="AW283" s="52" t="s">
        <v>792</v>
      </c>
      <c r="AY283" s="52" t="s">
        <v>1048</v>
      </c>
    </row>
    <row r="284" spans="1:54" ht="25.5" x14ac:dyDescent="0.25">
      <c r="A284" s="51" t="s">
        <v>3805</v>
      </c>
      <c r="B284" s="51">
        <v>85</v>
      </c>
      <c r="E284" s="54" t="str" cm="1">
        <f t="array" aca="1" ref="E284" ca="1">IF(H284=0,"",HYPERLINK("#"&amp;RIGHT(CELL("dateiname"),LEN(CELL("dateiname"))-FIND("]",CELL("dateiname")))&amp;"!"&amp;CELL("adresse",OFFSET($Q$6,H284-1,0)),"Definition"))</f>
        <v/>
      </c>
      <c r="F284" s="54" t="str" cm="1">
        <f t="array" aca="1" ref="F284" ca="1">IF(I284=0,"",HYPERLINK("#"&amp;RIGHT(CELL("adresse",OFFSET(DMAV_Doku!$B$6,I284-1,0)),LEN(CELL("adresse",OFFSET(DMAV_Doku!$B$6,I284-1,0)))-SEARCH("]",CELL("adresse",OFFSET(DMAV_Doku!$B$6,I284-1,0)))),"ModDoc"))</f>
        <v>ModDoc</v>
      </c>
      <c r="G284" s="150" t="str">
        <f t="shared" si="8"/>
        <v>MGS85</v>
      </c>
      <c r="H284" s="150">
        <f t="shared" si="9"/>
        <v>0</v>
      </c>
      <c r="I284" s="150">
        <f>IF(_xlfn.XLOOKUP(G284,Korrelation!$A$4:$A$723,Korrelation!$B$4:$B$723,0,0)=0,0,MATCH(_xlfn.XLOOKUP(G284,Korrelation!$A$4:$A$723,Korrelation!$B$4:$B$723,0,0),DMAV_Doku!$H$6:$H$483,0))</f>
        <v>154</v>
      </c>
      <c r="J284" s="158"/>
      <c r="K284" s="161"/>
      <c r="L284" s="161"/>
      <c r="M284" s="158"/>
      <c r="N284" s="51" t="s">
        <v>4172</v>
      </c>
      <c r="O284" s="51" t="s">
        <v>3892</v>
      </c>
      <c r="P284" s="51" t="s">
        <v>16</v>
      </c>
      <c r="Q284" s="51" t="s">
        <v>949</v>
      </c>
      <c r="R284" s="51" t="s">
        <v>233</v>
      </c>
      <c r="U284" s="52" t="s">
        <v>218</v>
      </c>
      <c r="W284" s="52" t="s">
        <v>1004</v>
      </c>
      <c r="Y284" s="52" t="s">
        <v>3493</v>
      </c>
      <c r="AB284" s="51" t="s">
        <v>4173</v>
      </c>
      <c r="AC284" s="51" t="s">
        <v>3893</v>
      </c>
      <c r="AD284" s="51" t="s">
        <v>705</v>
      </c>
      <c r="AE284" s="51" t="s">
        <v>949</v>
      </c>
      <c r="AF284" s="51" t="s">
        <v>793</v>
      </c>
      <c r="AI284" s="52" t="s">
        <v>791</v>
      </c>
      <c r="AK284" s="52" t="s">
        <v>1004</v>
      </c>
      <c r="AP284" s="51" t="s">
        <v>4174</v>
      </c>
      <c r="AQ284" s="51" t="s">
        <v>3894</v>
      </c>
      <c r="AR284" s="51" t="s">
        <v>4175</v>
      </c>
      <c r="AS284" s="51" t="s">
        <v>949</v>
      </c>
      <c r="AT284" s="51" t="s">
        <v>4244</v>
      </c>
      <c r="AW284" s="52" t="s">
        <v>4091</v>
      </c>
      <c r="AY284" s="52" t="s">
        <v>1004</v>
      </c>
    </row>
    <row r="285" spans="1:54" ht="25.5" x14ac:dyDescent="0.25">
      <c r="A285" s="51" t="s">
        <v>3805</v>
      </c>
      <c r="B285" s="51">
        <v>86</v>
      </c>
      <c r="E285" s="54" t="str" cm="1">
        <f t="array" aca="1" ref="E285" ca="1">IF(H285=0,"",HYPERLINK("#"&amp;RIGHT(CELL("dateiname"),LEN(CELL("dateiname"))-FIND("]",CELL("dateiname")))&amp;"!"&amp;CELL("adresse",OFFSET($Q$6,H285-1,0)),"Definition"))</f>
        <v/>
      </c>
      <c r="F285" s="54" t="str" cm="1">
        <f t="array" aca="1" ref="F285" ca="1">IF(I285=0,"",HYPERLINK("#"&amp;RIGHT(CELL("adresse",OFFSET(DMAV_Doku!$B$6,I285-1,0)),LEN(CELL("adresse",OFFSET(DMAV_Doku!$B$6,I285-1,0)))-SEARCH("]",CELL("adresse",OFFSET(DMAV_Doku!$B$6,I285-1,0)))),"ModDoc"))</f>
        <v>ModDoc</v>
      </c>
      <c r="G285" s="150" t="str">
        <f t="shared" si="8"/>
        <v>MGS86</v>
      </c>
      <c r="H285" s="150">
        <f t="shared" si="9"/>
        <v>0</v>
      </c>
      <c r="I285" s="150">
        <f>IF(_xlfn.XLOOKUP(G285,Korrelation!$A$4:$A$723,Korrelation!$B$4:$B$723,0,0)=0,0,MATCH(_xlfn.XLOOKUP(G285,Korrelation!$A$4:$A$723,Korrelation!$B$4:$B$723,0,0),DMAV_Doku!$H$6:$H$483,0))</f>
        <v>156</v>
      </c>
      <c r="J285" s="158"/>
      <c r="K285" s="161">
        <v>46054</v>
      </c>
      <c r="L285" s="161"/>
      <c r="M285" s="158"/>
      <c r="N285" s="51" t="s">
        <v>4172</v>
      </c>
      <c r="O285" s="51" t="s">
        <v>3892</v>
      </c>
      <c r="P285" s="51" t="s">
        <v>16</v>
      </c>
      <c r="Q285" s="51" t="s">
        <v>949</v>
      </c>
      <c r="R285" s="51" t="s">
        <v>233</v>
      </c>
      <c r="U285" s="52" t="s">
        <v>3747</v>
      </c>
      <c r="V285" s="55"/>
      <c r="W285" s="52" t="s">
        <v>131</v>
      </c>
      <c r="Y285" s="52" t="s">
        <v>3493</v>
      </c>
      <c r="AB285" s="51" t="s">
        <v>4173</v>
      </c>
      <c r="AC285" s="51" t="s">
        <v>3893</v>
      </c>
      <c r="AD285" s="51" t="s">
        <v>705</v>
      </c>
      <c r="AE285" s="51" t="s">
        <v>949</v>
      </c>
      <c r="AF285" s="51" t="s">
        <v>793</v>
      </c>
      <c r="AI285" s="52" t="s">
        <v>4246</v>
      </c>
      <c r="AK285" s="52" t="s">
        <v>131</v>
      </c>
      <c r="AP285" s="51" t="s">
        <v>4174</v>
      </c>
      <c r="AQ285" s="51" t="s">
        <v>3894</v>
      </c>
      <c r="AR285" s="51" t="s">
        <v>4175</v>
      </c>
      <c r="AS285" s="51" t="s">
        <v>949</v>
      </c>
      <c r="AT285" s="51" t="s">
        <v>4244</v>
      </c>
      <c r="AW285" s="52" t="s">
        <v>4247</v>
      </c>
      <c r="AY285" s="52" t="s">
        <v>131</v>
      </c>
    </row>
    <row r="286" spans="1:54" ht="51" x14ac:dyDescent="0.25">
      <c r="A286" s="51" t="s">
        <v>3805</v>
      </c>
      <c r="B286" s="51">
        <v>87</v>
      </c>
      <c r="D286" s="51" t="s">
        <v>3494</v>
      </c>
      <c r="E286" s="54" t="str" cm="1">
        <f t="array" aca="1" ref="E286" ca="1">IF(H286=0,"",HYPERLINK("#"&amp;RIGHT(CELL("dateiname"),LEN(CELL("dateiname"))-FIND("]",CELL("dateiname")))&amp;"!"&amp;CELL("adresse",OFFSET($Q$6,H286-1,0)),"Definition"))</f>
        <v/>
      </c>
      <c r="F286" s="54" t="str" cm="1">
        <f t="array" aca="1" ref="F286" ca="1">IF(I286=0,"",HYPERLINK("#"&amp;RIGHT(CELL("adresse",OFFSET(DMAV_Doku!$B$6,I286-1,0)),LEN(CELL("adresse",OFFSET(DMAV_Doku!$B$6,I286-1,0)))-SEARCH("]",CELL("adresse",OFFSET(DMAV_Doku!$B$6,I286-1,0)))),"ModDoc"))</f>
        <v/>
      </c>
      <c r="G286" s="150" t="str">
        <f t="shared" si="8"/>
        <v>MGS87</v>
      </c>
      <c r="H286" s="150">
        <f t="shared" si="9"/>
        <v>0</v>
      </c>
      <c r="I286" s="150">
        <f>IF(_xlfn.XLOOKUP(G286,Korrelation!$A$4:$A$723,Korrelation!$B$4:$B$723,0,0)=0,0,MATCH(_xlfn.XLOOKUP(G286,Korrelation!$A$4:$A$723,Korrelation!$B$4:$B$723,0,0),DMAV_Doku!$H$6:$H$483,0))</f>
        <v>0</v>
      </c>
      <c r="J286" s="158"/>
      <c r="K286" s="161"/>
      <c r="L286" s="161"/>
      <c r="M286" s="158"/>
      <c r="N286" s="51" t="s">
        <v>4172</v>
      </c>
      <c r="O286" s="51" t="s">
        <v>3892</v>
      </c>
      <c r="P286" s="51" t="s">
        <v>16</v>
      </c>
      <c r="Q286" s="51" t="s">
        <v>957</v>
      </c>
      <c r="R286" s="51" t="s">
        <v>233</v>
      </c>
      <c r="S286" s="50" t="s">
        <v>950</v>
      </c>
      <c r="U286" s="52" t="s">
        <v>3449</v>
      </c>
      <c r="W286" s="52" t="s">
        <v>4094</v>
      </c>
      <c r="Y286" s="52" t="s">
        <v>4248</v>
      </c>
      <c r="Z286" s="202" t="s">
        <v>2774</v>
      </c>
      <c r="AB286" s="51" t="s">
        <v>4173</v>
      </c>
      <c r="AC286" s="51" t="s">
        <v>3893</v>
      </c>
      <c r="AD286" s="51" t="s">
        <v>705</v>
      </c>
      <c r="AE286" s="51" t="s">
        <v>957</v>
      </c>
      <c r="AF286" s="51" t="s">
        <v>793</v>
      </c>
      <c r="AG286" s="50" t="s">
        <v>950</v>
      </c>
      <c r="AI286" s="52" t="s">
        <v>4095</v>
      </c>
      <c r="AK286" s="52" t="s">
        <v>4096</v>
      </c>
      <c r="AN286" s="202" t="s">
        <v>7231</v>
      </c>
      <c r="AP286" s="51" t="s">
        <v>4174</v>
      </c>
      <c r="AQ286" s="51" t="s">
        <v>3894</v>
      </c>
      <c r="AR286" s="51" t="s">
        <v>4175</v>
      </c>
      <c r="AS286" s="51" t="s">
        <v>957</v>
      </c>
      <c r="AT286" s="51" t="s">
        <v>4244</v>
      </c>
      <c r="AU286" s="50" t="s">
        <v>950</v>
      </c>
      <c r="AW286" s="52" t="s">
        <v>4095</v>
      </c>
      <c r="AY286" s="52" t="s">
        <v>4097</v>
      </c>
      <c r="BB286" s="202" t="s">
        <v>6031</v>
      </c>
    </row>
    <row r="287" spans="1:54" x14ac:dyDescent="0.25">
      <c r="A287" s="51" t="s">
        <v>3805</v>
      </c>
      <c r="B287" s="51">
        <v>88</v>
      </c>
      <c r="E287" s="54" t="str" cm="1">
        <f t="array" aca="1" ref="E287" ca="1">IF(H287=0,"",HYPERLINK("#"&amp;RIGHT(CELL("dateiname"),LEN(CELL("dateiname"))-FIND("]",CELL("dateiname")))&amp;"!"&amp;CELL("adresse",OFFSET($Q$6,H287-1,0)),"Definition"))</f>
        <v/>
      </c>
      <c r="F287" s="54" t="str" cm="1">
        <f t="array" aca="1" ref="F287" ca="1">IF(I287=0,"",HYPERLINK("#"&amp;RIGHT(CELL("adresse",OFFSET(DMAV_Doku!$B$6,I287-1,0)),LEN(CELL("adresse",OFFSET(DMAV_Doku!$B$6,I287-1,0)))-SEARCH("]",CELL("adresse",OFFSET(DMAV_Doku!$B$6,I287-1,0)))),"ModDoc"))</f>
        <v/>
      </c>
      <c r="G287" s="150" t="str">
        <f t="shared" si="8"/>
        <v>MGS88</v>
      </c>
      <c r="H287" s="150">
        <f t="shared" si="9"/>
        <v>0</v>
      </c>
      <c r="I287" s="150">
        <f>IF(_xlfn.XLOOKUP(G287,Korrelation!$A$4:$A$723,Korrelation!$B$4:$B$723,0,0)=0,0,MATCH(_xlfn.XLOOKUP(G287,Korrelation!$A$4:$A$723,Korrelation!$B$4:$B$723,0,0),DMAV_Doku!$H$6:$H$483,0))</f>
        <v>0</v>
      </c>
      <c r="J287" s="158"/>
      <c r="K287" s="161"/>
      <c r="L287" s="161"/>
      <c r="M287" s="158"/>
      <c r="N287" s="51" t="s">
        <v>4172</v>
      </c>
      <c r="O287" s="51" t="s">
        <v>3892</v>
      </c>
      <c r="P287" s="51" t="s">
        <v>16</v>
      </c>
      <c r="Q287" s="51" t="s">
        <v>967</v>
      </c>
      <c r="R287" s="51" t="s">
        <v>1061</v>
      </c>
      <c r="U287" s="55" t="s">
        <v>239</v>
      </c>
      <c r="V287" s="55"/>
      <c r="W287" s="52" t="s">
        <v>239</v>
      </c>
      <c r="X287" s="51" t="s">
        <v>1058</v>
      </c>
      <c r="AB287" s="51" t="s">
        <v>4173</v>
      </c>
      <c r="AC287" s="51" t="s">
        <v>3893</v>
      </c>
      <c r="AD287" s="51" t="s">
        <v>705</v>
      </c>
      <c r="AE287" s="51" t="s">
        <v>967</v>
      </c>
      <c r="AF287" s="51" t="s">
        <v>4249</v>
      </c>
      <c r="AI287" s="52" t="s">
        <v>786</v>
      </c>
      <c r="AK287" s="52" t="s">
        <v>786</v>
      </c>
      <c r="AL287" s="51" t="s">
        <v>1058</v>
      </c>
      <c r="AP287" s="51" t="s">
        <v>4174</v>
      </c>
      <c r="AQ287" s="51" t="s">
        <v>3894</v>
      </c>
      <c r="AR287" s="51" t="s">
        <v>4175</v>
      </c>
      <c r="AS287" s="51" t="s">
        <v>967</v>
      </c>
      <c r="AT287" s="51" t="s">
        <v>4250</v>
      </c>
      <c r="AW287" s="52" t="s">
        <v>2067</v>
      </c>
      <c r="AY287" s="52" t="s">
        <v>2067</v>
      </c>
      <c r="AZ287" s="51" t="s">
        <v>1058</v>
      </c>
    </row>
    <row r="288" spans="1:54" x14ac:dyDescent="0.25">
      <c r="A288" s="51" t="s">
        <v>3805</v>
      </c>
      <c r="B288" s="51">
        <v>89</v>
      </c>
      <c r="E288" s="54" t="str" cm="1">
        <f t="array" aca="1" ref="E288" ca="1">IF(H288=0,"",HYPERLINK("#"&amp;RIGHT(CELL("dateiname"),LEN(CELL("dateiname"))-FIND("]",CELL("dateiname")))&amp;"!"&amp;CELL("adresse",OFFSET($Q$6,H288-1,0)),"Definition"))</f>
        <v/>
      </c>
      <c r="F288" s="54" t="str" cm="1">
        <f t="array" aca="1" ref="F288" ca="1">IF(I288=0,"",HYPERLINK("#"&amp;RIGHT(CELL("adresse",OFFSET(DMAV_Doku!$B$6,I288-1,0)),LEN(CELL("adresse",OFFSET(DMAV_Doku!$B$6,I288-1,0)))-SEARCH("]",CELL("adresse",OFFSET(DMAV_Doku!$B$6,I288-1,0)))),"ModDoc"))</f>
        <v/>
      </c>
      <c r="G288" s="150" t="str">
        <f t="shared" si="8"/>
        <v>MGS89</v>
      </c>
      <c r="H288" s="150">
        <f t="shared" si="9"/>
        <v>0</v>
      </c>
      <c r="I288" s="150">
        <f>IF(_xlfn.XLOOKUP(G288,Korrelation!$A$4:$A$723,Korrelation!$B$4:$B$723,0,0)=0,0,MATCH(_xlfn.XLOOKUP(G288,Korrelation!$A$4:$A$723,Korrelation!$B$4:$B$723,0,0),DMAV_Doku!$H$6:$H$483,0))</f>
        <v>0</v>
      </c>
      <c r="J288" s="158"/>
      <c r="K288" s="161"/>
      <c r="L288" s="161"/>
      <c r="M288" s="158"/>
      <c r="N288" s="51" t="s">
        <v>4172</v>
      </c>
      <c r="O288" s="51" t="s">
        <v>3892</v>
      </c>
      <c r="P288" s="51" t="s">
        <v>16</v>
      </c>
      <c r="Q288" s="51" t="s">
        <v>967</v>
      </c>
      <c r="R288" s="51" t="s">
        <v>1061</v>
      </c>
      <c r="U288" s="52" t="s">
        <v>233</v>
      </c>
      <c r="W288" s="52" t="s">
        <v>233</v>
      </c>
      <c r="X288" s="51" t="s">
        <v>972</v>
      </c>
      <c r="AB288" s="51" t="s">
        <v>4173</v>
      </c>
      <c r="AC288" s="51" t="s">
        <v>3893</v>
      </c>
      <c r="AD288" s="51" t="s">
        <v>705</v>
      </c>
      <c r="AE288" s="51" t="s">
        <v>967</v>
      </c>
      <c r="AF288" s="51" t="s">
        <v>4249</v>
      </c>
      <c r="AI288" s="52" t="s">
        <v>793</v>
      </c>
      <c r="AK288" s="52" t="s">
        <v>793</v>
      </c>
      <c r="AL288" s="51" t="s">
        <v>972</v>
      </c>
      <c r="AP288" s="51" t="s">
        <v>4174</v>
      </c>
      <c r="AQ288" s="51" t="s">
        <v>3894</v>
      </c>
      <c r="AR288" s="51" t="s">
        <v>4175</v>
      </c>
      <c r="AS288" s="51" t="s">
        <v>967</v>
      </c>
      <c r="AT288" s="51" t="s">
        <v>4250</v>
      </c>
      <c r="AW288" s="52" t="s">
        <v>4244</v>
      </c>
      <c r="AY288" s="52" t="s">
        <v>4244</v>
      </c>
      <c r="AZ288" s="51" t="s">
        <v>972</v>
      </c>
    </row>
    <row r="289" spans="1:54" ht="38.25" x14ac:dyDescent="0.25">
      <c r="A289" s="51" t="s">
        <v>3805</v>
      </c>
      <c r="B289" s="51">
        <v>90</v>
      </c>
      <c r="D289" s="51" t="s">
        <v>3496</v>
      </c>
      <c r="E289" s="54" t="str" cm="1">
        <f t="array" aca="1" ref="E289" ca="1">IF(H289=0,"",HYPERLINK("#"&amp;RIGHT(CELL("dateiname"),LEN(CELL("dateiname"))-FIND("]",CELL("dateiname")))&amp;"!"&amp;CELL("adresse",OFFSET($Q$6,H289-1,0)),"Definition"))</f>
        <v/>
      </c>
      <c r="F289" s="54" t="str" cm="1">
        <f t="array" aca="1" ref="F289" ca="1">IF(I289=0,"",HYPERLINK("#"&amp;RIGHT(CELL("adresse",OFFSET(DMAV_Doku!$B$6,I289-1,0)),LEN(CELL("adresse",OFFSET(DMAV_Doku!$B$6,I289-1,0)))-SEARCH("]",CELL("adresse",OFFSET(DMAV_Doku!$B$6,I289-1,0)))),"ModDoc"))</f>
        <v/>
      </c>
      <c r="G289" s="150" t="str">
        <f t="shared" si="8"/>
        <v>MGS90</v>
      </c>
      <c r="H289" s="150">
        <f t="shared" si="9"/>
        <v>0</v>
      </c>
      <c r="I289" s="150">
        <f>IF(_xlfn.XLOOKUP(G289,Korrelation!$A$4:$A$723,Korrelation!$B$4:$B$723,0,0)=0,0,MATCH(_xlfn.XLOOKUP(G289,Korrelation!$A$4:$A$723,Korrelation!$B$4:$B$723,0,0),DMAV_Doku!$H$6:$H$483,0))</f>
        <v>0</v>
      </c>
      <c r="J289" s="158"/>
      <c r="K289" s="161"/>
      <c r="L289" s="161"/>
      <c r="M289" s="158"/>
      <c r="N289" s="51" t="s">
        <v>4172</v>
      </c>
      <c r="O289" s="51" t="s">
        <v>3892</v>
      </c>
      <c r="P289" s="51" t="s">
        <v>16</v>
      </c>
      <c r="Q289" s="51" t="s">
        <v>1015</v>
      </c>
      <c r="R289" s="51" t="s">
        <v>1061</v>
      </c>
      <c r="S289" s="50" t="s">
        <v>950</v>
      </c>
      <c r="U289" s="52" t="s">
        <v>3457</v>
      </c>
      <c r="W289" s="52" t="s">
        <v>3495</v>
      </c>
      <c r="Z289" s="199" t="s">
        <v>2758</v>
      </c>
      <c r="AB289" s="51" t="s">
        <v>4173</v>
      </c>
      <c r="AC289" s="51" t="s">
        <v>3893</v>
      </c>
      <c r="AD289" s="51" t="s">
        <v>705</v>
      </c>
      <c r="AE289" s="51" t="s">
        <v>1015</v>
      </c>
      <c r="AF289" s="51" t="s">
        <v>4249</v>
      </c>
      <c r="AG289" s="50" t="s">
        <v>950</v>
      </c>
      <c r="AI289" s="52" t="s">
        <v>3457</v>
      </c>
      <c r="AK289" s="52" t="s">
        <v>4251</v>
      </c>
      <c r="AN289" s="199" t="s">
        <v>7232</v>
      </c>
      <c r="AP289" s="51" t="s">
        <v>4174</v>
      </c>
      <c r="AQ289" s="51" t="s">
        <v>3894</v>
      </c>
      <c r="AR289" s="51" t="s">
        <v>4175</v>
      </c>
      <c r="AS289" s="51" t="s">
        <v>1015</v>
      </c>
      <c r="AT289" s="51" t="s">
        <v>4250</v>
      </c>
      <c r="AU289" s="50" t="s">
        <v>950</v>
      </c>
      <c r="AW289" s="52" t="s">
        <v>3457</v>
      </c>
      <c r="AY289" s="52" t="s">
        <v>4252</v>
      </c>
      <c r="BB289" s="199" t="s">
        <v>5985</v>
      </c>
    </row>
    <row r="290" spans="1:54" ht="25.5" x14ac:dyDescent="0.25">
      <c r="A290" s="51" t="s">
        <v>3805</v>
      </c>
      <c r="B290" s="51">
        <v>91</v>
      </c>
      <c r="D290" s="51" t="s">
        <v>3499</v>
      </c>
      <c r="E290" s="54" t="str" cm="1">
        <f t="array" aca="1" ref="E290" ca="1">IF(H290=0,"",HYPERLINK("#"&amp;RIGHT(CELL("dateiname"),LEN(CELL("dateiname"))-FIND("]",CELL("dateiname")))&amp;"!"&amp;CELL("adresse",OFFSET($Q$6,H290-1,0)),"Definition"))</f>
        <v/>
      </c>
      <c r="F290" s="54" t="str" cm="1">
        <f t="array" aca="1" ref="F290" ca="1">IF(I290=0,"",HYPERLINK("#"&amp;RIGHT(CELL("adresse",OFFSET(DMAV_Doku!$B$6,I290-1,0)),LEN(CELL("adresse",OFFSET(DMAV_Doku!$B$6,I290-1,0)))-SEARCH("]",CELL("adresse",OFFSET(DMAV_Doku!$B$6,I290-1,0)))),"ModDoc"))</f>
        <v/>
      </c>
      <c r="G290" s="150" t="str">
        <f t="shared" si="8"/>
        <v>MGS91</v>
      </c>
      <c r="H290" s="150">
        <f t="shared" si="9"/>
        <v>0</v>
      </c>
      <c r="I290" s="150">
        <f>IF(_xlfn.XLOOKUP(G290,Korrelation!$A$4:$A$723,Korrelation!$B$4:$B$723,0,0)=0,0,MATCH(_xlfn.XLOOKUP(G290,Korrelation!$A$4:$A$723,Korrelation!$B$4:$B$723,0,0),DMAV_Doku!$H$6:$H$483,0))</f>
        <v>0</v>
      </c>
      <c r="J290" s="158"/>
      <c r="K290" s="161"/>
      <c r="L290" s="161"/>
      <c r="M290" s="158"/>
      <c r="N290" s="51" t="s">
        <v>4172</v>
      </c>
      <c r="O290" s="51" t="s">
        <v>3892</v>
      </c>
      <c r="P290" s="51" t="s">
        <v>16</v>
      </c>
      <c r="Q290" s="51" t="s">
        <v>1015</v>
      </c>
      <c r="R290" s="51" t="s">
        <v>1061</v>
      </c>
      <c r="S290" s="50" t="s">
        <v>950</v>
      </c>
      <c r="U290" s="52" t="s">
        <v>3497</v>
      </c>
      <c r="W290" s="52" t="s">
        <v>3498</v>
      </c>
      <c r="Z290" s="200" t="s">
        <v>2754</v>
      </c>
      <c r="AB290" s="51" t="s">
        <v>4173</v>
      </c>
      <c r="AC290" s="51" t="s">
        <v>3893</v>
      </c>
      <c r="AD290" s="51" t="s">
        <v>705</v>
      </c>
      <c r="AE290" s="51" t="s">
        <v>1015</v>
      </c>
      <c r="AF290" s="51" t="s">
        <v>4249</v>
      </c>
      <c r="AG290" s="50" t="s">
        <v>950</v>
      </c>
      <c r="AI290" s="52" t="s">
        <v>4253</v>
      </c>
      <c r="AK290" s="52" t="s">
        <v>4254</v>
      </c>
      <c r="AN290" s="200" t="s">
        <v>7233</v>
      </c>
      <c r="AP290" s="51" t="s">
        <v>4174</v>
      </c>
      <c r="AQ290" s="51" t="s">
        <v>3894</v>
      </c>
      <c r="AR290" s="51" t="s">
        <v>4175</v>
      </c>
      <c r="AS290" s="51" t="s">
        <v>1015</v>
      </c>
      <c r="AT290" s="51" t="s">
        <v>4250</v>
      </c>
      <c r="AU290" s="50" t="s">
        <v>950</v>
      </c>
      <c r="AW290" s="52" t="s">
        <v>4253</v>
      </c>
      <c r="AY290" s="52" t="s">
        <v>4255</v>
      </c>
      <c r="BB290" s="200" t="s">
        <v>6014</v>
      </c>
    </row>
    <row r="291" spans="1:54" ht="63.75" x14ac:dyDescent="0.25">
      <c r="A291" s="51" t="s">
        <v>3805</v>
      </c>
      <c r="B291" s="51">
        <v>92</v>
      </c>
      <c r="D291" s="51" t="s">
        <v>3500</v>
      </c>
      <c r="E291" s="54" t="str" cm="1">
        <f t="array" aca="1" ref="E291" ca="1">IF(H291=0,"",HYPERLINK("#"&amp;RIGHT(CELL("dateiname"),LEN(CELL("dateiname"))-FIND("]",CELL("dateiname")))&amp;"!"&amp;CELL("adresse",OFFSET($Q$6,H291-1,0)),"Definition"))</f>
        <v/>
      </c>
      <c r="F291" s="54" t="str" cm="1">
        <f t="array" aca="1" ref="F291" ca="1">IF(I291=0,"",HYPERLINK("#"&amp;RIGHT(CELL("adresse",OFFSET(DMAV_Doku!$B$6,I291-1,0)),LEN(CELL("adresse",OFFSET(DMAV_Doku!$B$6,I291-1,0)))-SEARCH("]",CELL("adresse",OFFSET(DMAV_Doku!$B$6,I291-1,0)))),"ModDoc"))</f>
        <v/>
      </c>
      <c r="G291" s="150" t="str">
        <f t="shared" si="8"/>
        <v>MGS92</v>
      </c>
      <c r="H291" s="150">
        <f t="shared" si="9"/>
        <v>0</v>
      </c>
      <c r="I291" s="150">
        <f>IF(_xlfn.XLOOKUP(G291,Korrelation!$A$4:$A$723,Korrelation!$B$4:$B$723,0,0)=0,0,MATCH(_xlfn.XLOOKUP(G291,Korrelation!$A$4:$A$723,Korrelation!$B$4:$B$723,0,0),DMAV_Doku!$H$6:$H$483,0))</f>
        <v>0</v>
      </c>
      <c r="J291" s="158"/>
      <c r="K291" s="161"/>
      <c r="L291" s="161"/>
      <c r="M291" s="158"/>
      <c r="N291" s="51" t="s">
        <v>4172</v>
      </c>
      <c r="O291" s="51" t="s">
        <v>3892</v>
      </c>
      <c r="P291" s="51" t="s">
        <v>16</v>
      </c>
      <c r="Q291" s="51" t="s">
        <v>2790</v>
      </c>
      <c r="R291" s="51" t="s">
        <v>233</v>
      </c>
      <c r="S291" s="50" t="s">
        <v>950</v>
      </c>
      <c r="U291" s="52" t="s">
        <v>2791</v>
      </c>
      <c r="W291" s="52" t="s">
        <v>3487</v>
      </c>
      <c r="Z291" s="202" t="s">
        <v>2793</v>
      </c>
      <c r="AB291" s="51" t="s">
        <v>4173</v>
      </c>
      <c r="AC291" s="51" t="s">
        <v>3893</v>
      </c>
      <c r="AD291" s="51" t="s">
        <v>705</v>
      </c>
      <c r="AE291" s="51" t="s">
        <v>2790</v>
      </c>
      <c r="AF291" s="51" t="s">
        <v>793</v>
      </c>
      <c r="AG291" s="50" t="s">
        <v>950</v>
      </c>
      <c r="AI291" s="52" t="s">
        <v>4233</v>
      </c>
      <c r="AK291" s="52" t="s">
        <v>4234</v>
      </c>
      <c r="AN291" s="202" t="s">
        <v>7234</v>
      </c>
      <c r="AP291" s="51" t="s">
        <v>4174</v>
      </c>
      <c r="AQ291" s="51" t="s">
        <v>3894</v>
      </c>
      <c r="AR291" s="51" t="s">
        <v>4175</v>
      </c>
      <c r="AS291" s="51" t="s">
        <v>2790</v>
      </c>
      <c r="AT291" s="51" t="s">
        <v>4244</v>
      </c>
      <c r="AU291" s="50" t="s">
        <v>950</v>
      </c>
      <c r="AW291" s="52" t="s">
        <v>4233</v>
      </c>
      <c r="AY291" s="52" t="s">
        <v>4235</v>
      </c>
      <c r="BB291" s="202" t="s">
        <v>6032</v>
      </c>
    </row>
    <row r="292" spans="1:54" ht="76.5" x14ac:dyDescent="0.25">
      <c r="A292" s="51" t="s">
        <v>3805</v>
      </c>
      <c r="B292" s="51">
        <v>93</v>
      </c>
      <c r="D292" s="51" t="s">
        <v>3501</v>
      </c>
      <c r="E292" s="54" t="str" cm="1">
        <f t="array" aca="1" ref="E292" ca="1">IF(H292=0,"",HYPERLINK("#"&amp;RIGHT(CELL("dateiname"),LEN(CELL("dateiname"))-FIND("]",CELL("dateiname")))&amp;"!"&amp;CELL("adresse",OFFSET($Q$6,H292-1,0)),"Definition"))</f>
        <v/>
      </c>
      <c r="F292" s="54" t="str" cm="1">
        <f t="array" aca="1" ref="F292" ca="1">IF(I292=0,"",HYPERLINK("#"&amp;RIGHT(CELL("adresse",OFFSET(DMAV_Doku!$B$6,I292-1,0)),LEN(CELL("adresse",OFFSET(DMAV_Doku!$B$6,I292-1,0)))-SEARCH("]",CELL("adresse",OFFSET(DMAV_Doku!$B$6,I292-1,0)))),"ModDoc"))</f>
        <v/>
      </c>
      <c r="G292" s="150" t="str">
        <f t="shared" si="8"/>
        <v>MGS93</v>
      </c>
      <c r="H292" s="150">
        <f t="shared" si="9"/>
        <v>0</v>
      </c>
      <c r="I292" s="150">
        <f>IF(_xlfn.XLOOKUP(G292,Korrelation!$A$4:$A$723,Korrelation!$B$4:$B$723,0,0)=0,0,MATCH(_xlfn.XLOOKUP(G292,Korrelation!$A$4:$A$723,Korrelation!$B$4:$B$723,0,0),DMAV_Doku!$H$6:$H$483,0))</f>
        <v>0</v>
      </c>
      <c r="J292" s="158"/>
      <c r="K292" s="161"/>
      <c r="L292" s="161"/>
      <c r="M292" s="158"/>
      <c r="N292" s="51" t="s">
        <v>4172</v>
      </c>
      <c r="O292" s="51" t="s">
        <v>3892</v>
      </c>
      <c r="P292" s="51" t="s">
        <v>16</v>
      </c>
      <c r="Q292" s="51" t="s">
        <v>2790</v>
      </c>
      <c r="R292" s="51" t="s">
        <v>233</v>
      </c>
      <c r="S292" s="50" t="s">
        <v>950</v>
      </c>
      <c r="U292" s="52" t="s">
        <v>3489</v>
      </c>
      <c r="V292" s="55"/>
      <c r="W292" s="52" t="s">
        <v>3490</v>
      </c>
      <c r="Z292" s="202" t="s">
        <v>2796</v>
      </c>
      <c r="AB292" s="51" t="s">
        <v>4173</v>
      </c>
      <c r="AC292" s="51" t="s">
        <v>3893</v>
      </c>
      <c r="AD292" s="51" t="s">
        <v>705</v>
      </c>
      <c r="AE292" s="51" t="s">
        <v>2790</v>
      </c>
      <c r="AF292" s="51" t="s">
        <v>793</v>
      </c>
      <c r="AG292" s="50" t="s">
        <v>950</v>
      </c>
      <c r="AI292" s="52" t="s">
        <v>4236</v>
      </c>
      <c r="AK292" s="52" t="s">
        <v>4237</v>
      </c>
      <c r="AN292" s="202" t="s">
        <v>7235</v>
      </c>
      <c r="AP292" s="51" t="s">
        <v>4174</v>
      </c>
      <c r="AQ292" s="51" t="s">
        <v>3894</v>
      </c>
      <c r="AR292" s="51" t="s">
        <v>4175</v>
      </c>
      <c r="AS292" s="51" t="s">
        <v>2790</v>
      </c>
      <c r="AT292" s="51" t="s">
        <v>4244</v>
      </c>
      <c r="AU292" s="50" t="s">
        <v>950</v>
      </c>
      <c r="AW292" s="52" t="s">
        <v>4236</v>
      </c>
      <c r="AY292" s="52" t="s">
        <v>4238</v>
      </c>
      <c r="BB292" s="202" t="s">
        <v>6033</v>
      </c>
    </row>
    <row r="293" spans="1:54" ht="12.75" customHeight="1" x14ac:dyDescent="0.25">
      <c r="A293" s="51" t="s">
        <v>3805</v>
      </c>
      <c r="B293" s="51">
        <v>94</v>
      </c>
      <c r="E293" s="54" t="str" cm="1">
        <f t="array" aca="1" ref="E293" ca="1">IF(H293=0,"",HYPERLINK("#"&amp;RIGHT(CELL("dateiname"),LEN(CELL("dateiname"))-FIND("]",CELL("dateiname")))&amp;"!"&amp;CELL("adresse",OFFSET($Q$6,H293-1,0)),"Definition"))</f>
        <v/>
      </c>
      <c r="F293" s="54" t="str" cm="1">
        <f t="array" aca="1" ref="F293" ca="1">IF(I293=0,"",HYPERLINK("#"&amp;RIGHT(CELL("adresse",OFFSET(DMAV_Doku!$B$6,I293-1,0)),LEN(CELL("adresse",OFFSET(DMAV_Doku!$B$6,I293-1,0)))-SEARCH("]",CELL("adresse",OFFSET(DMAV_Doku!$B$6,I293-1,0)))),"ModDoc"))</f>
        <v/>
      </c>
      <c r="G293" s="150" t="str">
        <f t="shared" si="8"/>
        <v>MGS94</v>
      </c>
      <c r="H293" s="150">
        <f t="shared" si="9"/>
        <v>0</v>
      </c>
      <c r="I293" s="150">
        <f>IF(_xlfn.XLOOKUP(G293,Korrelation!$A$4:$A$723,Korrelation!$B$4:$B$723,0,0)=0,0,MATCH(_xlfn.XLOOKUP(G293,Korrelation!$A$4:$A$723,Korrelation!$B$4:$B$723,0,0),DMAV_Doku!$H$6:$H$483,0))</f>
        <v>0</v>
      </c>
      <c r="J293" s="158"/>
      <c r="K293" s="161"/>
      <c r="L293" s="161"/>
      <c r="M293" s="158"/>
      <c r="N293" s="51" t="s">
        <v>4172</v>
      </c>
      <c r="O293" s="51" t="s">
        <v>3892</v>
      </c>
      <c r="P293" s="51" t="s">
        <v>16</v>
      </c>
      <c r="Q293" s="51" t="s">
        <v>977</v>
      </c>
      <c r="R293" s="51" t="s">
        <v>1062</v>
      </c>
      <c r="U293" s="52" t="s">
        <v>979</v>
      </c>
      <c r="W293" s="52" t="s">
        <v>233</v>
      </c>
      <c r="AB293" s="51" t="s">
        <v>4173</v>
      </c>
      <c r="AC293" s="51" t="s">
        <v>3893</v>
      </c>
      <c r="AD293" s="51" t="s">
        <v>705</v>
      </c>
      <c r="AE293" s="51" t="s">
        <v>977</v>
      </c>
      <c r="AF293" s="51" t="s">
        <v>4256</v>
      </c>
      <c r="AI293" s="52" t="s">
        <v>979</v>
      </c>
      <c r="AK293" s="52" t="s">
        <v>793</v>
      </c>
      <c r="AP293" s="51" t="s">
        <v>4174</v>
      </c>
      <c r="AQ293" s="51" t="s">
        <v>3894</v>
      </c>
      <c r="AR293" s="51" t="s">
        <v>4175</v>
      </c>
      <c r="AS293" s="51" t="s">
        <v>977</v>
      </c>
      <c r="AT293" s="51" t="s">
        <v>4257</v>
      </c>
      <c r="AW293" s="52" t="s">
        <v>979</v>
      </c>
      <c r="AY293" s="52" t="s">
        <v>4244</v>
      </c>
    </row>
    <row r="294" spans="1:54" ht="102" x14ac:dyDescent="0.25">
      <c r="A294" s="51" t="s">
        <v>3805</v>
      </c>
      <c r="B294" s="51">
        <v>95</v>
      </c>
      <c r="E294" s="54" t="str" cm="1">
        <f t="array" aca="1" ref="E294" ca="1">IF(H294=0,"",HYPERLINK("#"&amp;RIGHT(CELL("dateiname"),LEN(CELL("dateiname"))-FIND("]",CELL("dateiname")))&amp;"!"&amp;CELL("adresse",OFFSET($Q$6,H294-1,0)),"Definition"))</f>
        <v/>
      </c>
      <c r="F294" s="54" t="str" cm="1">
        <f t="array" aca="1" ref="F294" ca="1">IF(I294=0,"",HYPERLINK("#"&amp;RIGHT(CELL("adresse",OFFSET(DMAV_Doku!$B$6,I294-1,0)),LEN(CELL("adresse",OFFSET(DMAV_Doku!$B$6,I294-1,0)))-SEARCH("]",CELL("adresse",OFFSET(DMAV_Doku!$B$6,I294-1,0)))),"ModDoc"))</f>
        <v/>
      </c>
      <c r="G294" s="150" t="str">
        <f t="shared" si="8"/>
        <v>MGS95</v>
      </c>
      <c r="H294" s="150">
        <f t="shared" si="9"/>
        <v>0</v>
      </c>
      <c r="I294" s="150">
        <f>IF(_xlfn.XLOOKUP(G294,Korrelation!$A$4:$A$723,Korrelation!$B$4:$B$723,0,0)=0,0,MATCH(_xlfn.XLOOKUP(G294,Korrelation!$A$4:$A$723,Korrelation!$B$4:$B$723,0,0),DMAV_Doku!$H$6:$H$483,0))</f>
        <v>0</v>
      </c>
      <c r="J294" s="158"/>
      <c r="K294" s="161"/>
      <c r="L294" s="161"/>
      <c r="M294" s="158"/>
      <c r="N294" s="51" t="s">
        <v>4172</v>
      </c>
      <c r="O294" s="51" t="s">
        <v>3892</v>
      </c>
      <c r="P294" s="51" t="s">
        <v>16</v>
      </c>
      <c r="Q294" s="51" t="s">
        <v>977</v>
      </c>
      <c r="R294" s="51" t="s">
        <v>1062</v>
      </c>
      <c r="U294" s="52" t="s">
        <v>1002</v>
      </c>
      <c r="W294" s="52" t="s">
        <v>1063</v>
      </c>
      <c r="Z294" s="199" t="s">
        <v>2778</v>
      </c>
      <c r="AB294" s="51" t="s">
        <v>4173</v>
      </c>
      <c r="AC294" s="51" t="s">
        <v>3893</v>
      </c>
      <c r="AD294" s="51" t="s">
        <v>705</v>
      </c>
      <c r="AE294" s="51" t="s">
        <v>977</v>
      </c>
      <c r="AF294" s="51" t="s">
        <v>4256</v>
      </c>
      <c r="AI294" s="52" t="s">
        <v>4087</v>
      </c>
      <c r="AK294" s="52" t="s">
        <v>4258</v>
      </c>
      <c r="AN294" s="259" t="s">
        <v>7268</v>
      </c>
      <c r="AP294" s="51" t="s">
        <v>4174</v>
      </c>
      <c r="AQ294" s="51" t="s">
        <v>3894</v>
      </c>
      <c r="AR294" s="51" t="s">
        <v>4175</v>
      </c>
      <c r="AS294" s="51" t="s">
        <v>977</v>
      </c>
      <c r="AT294" s="51" t="s">
        <v>4257</v>
      </c>
      <c r="AW294" s="52" t="s">
        <v>4087</v>
      </c>
      <c r="AY294" s="52" t="s">
        <v>4259</v>
      </c>
      <c r="BB294" s="199" t="s">
        <v>5986</v>
      </c>
    </row>
    <row r="295" spans="1:54" x14ac:dyDescent="0.25">
      <c r="A295" s="51" t="s">
        <v>3805</v>
      </c>
      <c r="B295" s="51">
        <v>96</v>
      </c>
      <c r="E295" s="54" t="str" cm="1">
        <f t="array" aca="1" ref="E295" ca="1">IF(H295=0,"",HYPERLINK("#"&amp;RIGHT(CELL("dateiname"),LEN(CELL("dateiname"))-FIND("]",CELL("dateiname")))&amp;"!"&amp;CELL("adresse",OFFSET($Q$6,H295-1,0)),"Definition"))</f>
        <v/>
      </c>
      <c r="F295" s="54" t="str" cm="1">
        <f t="array" aca="1" ref="F295" ca="1">IF(I295=0,"",HYPERLINK("#"&amp;RIGHT(CELL("adresse",OFFSET(DMAV_Doku!$B$6,I295-1,0)),LEN(CELL("adresse",OFFSET(DMAV_Doku!$B$6,I295-1,0)))-SEARCH("]",CELL("adresse",OFFSET(DMAV_Doku!$B$6,I295-1,0)))),"ModDoc"))</f>
        <v/>
      </c>
      <c r="G295" s="150" t="str">
        <f t="shared" si="8"/>
        <v>MGS96</v>
      </c>
      <c r="H295" s="150">
        <f t="shared" si="9"/>
        <v>0</v>
      </c>
      <c r="I295" s="150">
        <f>IF(_xlfn.XLOOKUP(G295,Korrelation!$A$4:$A$723,Korrelation!$B$4:$B$723,0,0)=0,0,MATCH(_xlfn.XLOOKUP(G295,Korrelation!$A$4:$A$723,Korrelation!$B$4:$B$723,0,0),DMAV_Doku!$H$6:$H$483,0))</f>
        <v>0</v>
      </c>
      <c r="J295" s="158"/>
      <c r="K295" s="161"/>
      <c r="L295" s="161"/>
      <c r="M295" s="158"/>
      <c r="N295" s="51" t="s">
        <v>4172</v>
      </c>
      <c r="O295" s="51" t="s">
        <v>3892</v>
      </c>
      <c r="P295" s="51" t="s">
        <v>16</v>
      </c>
      <c r="Q295" s="51" t="s">
        <v>977</v>
      </c>
      <c r="R295" s="51" t="s">
        <v>1062</v>
      </c>
      <c r="U295" s="55" t="s">
        <v>982</v>
      </c>
      <c r="V295" s="55"/>
      <c r="W295" s="52" t="s">
        <v>233</v>
      </c>
      <c r="AB295" s="51" t="s">
        <v>4173</v>
      </c>
      <c r="AC295" s="51" t="s">
        <v>3893</v>
      </c>
      <c r="AD295" s="51" t="s">
        <v>705</v>
      </c>
      <c r="AE295" s="51" t="s">
        <v>977</v>
      </c>
      <c r="AF295" s="51" t="s">
        <v>4256</v>
      </c>
      <c r="AI295" s="52" t="s">
        <v>982</v>
      </c>
      <c r="AK295" s="52" t="s">
        <v>793</v>
      </c>
      <c r="AP295" s="51" t="s">
        <v>4174</v>
      </c>
      <c r="AQ295" s="51" t="s">
        <v>3894</v>
      </c>
      <c r="AR295" s="51" t="s">
        <v>4175</v>
      </c>
      <c r="AS295" s="51" t="s">
        <v>977</v>
      </c>
      <c r="AT295" s="51" t="s">
        <v>4257</v>
      </c>
      <c r="AW295" s="52" t="s">
        <v>982</v>
      </c>
      <c r="AY295" s="52" t="s">
        <v>4244</v>
      </c>
    </row>
    <row r="296" spans="1:54" ht="51" x14ac:dyDescent="0.25">
      <c r="A296" s="51" t="s">
        <v>3805</v>
      </c>
      <c r="B296" s="51">
        <v>97</v>
      </c>
      <c r="E296" s="54" t="str" cm="1">
        <f t="array" aca="1" ref="E296" ca="1">IF(H296=0,"",HYPERLINK("#"&amp;RIGHT(CELL("dateiname"),LEN(CELL("dateiname"))-FIND("]",CELL("dateiname")))&amp;"!"&amp;CELL("adresse",OFFSET($Q$6,H296-1,0)),"Definition"))</f>
        <v/>
      </c>
      <c r="F296" s="54" t="str" cm="1">
        <f t="array" aca="1" ref="F296" ca="1">IF(I296=0,"",HYPERLINK("#"&amp;RIGHT(CELL("adresse",OFFSET(DMAV_Doku!$B$6,I296-1,0)),LEN(CELL("adresse",OFFSET(DMAV_Doku!$B$6,I296-1,0)))-SEARCH("]",CELL("adresse",OFFSET(DMAV_Doku!$B$6,I296-1,0)))),"ModDoc"))</f>
        <v>ModDoc</v>
      </c>
      <c r="G296" s="150" t="str">
        <f t="shared" si="8"/>
        <v>MGS97</v>
      </c>
      <c r="H296" s="150">
        <f t="shared" si="9"/>
        <v>0</v>
      </c>
      <c r="I296" s="150">
        <f>IF(_xlfn.XLOOKUP(G296,Korrelation!$A$4:$A$723,Korrelation!$B$4:$B$723,0,0)=0,0,MATCH(_xlfn.XLOOKUP(G296,Korrelation!$A$4:$A$723,Korrelation!$B$4:$B$723,0,0),DMAV_Doku!$H$6:$H$483,0))</f>
        <v>157</v>
      </c>
      <c r="J296" s="158"/>
      <c r="K296" s="161"/>
      <c r="L296" s="161"/>
      <c r="M296" s="158"/>
      <c r="N296" s="51" t="s">
        <v>4172</v>
      </c>
      <c r="O296" s="51" t="s">
        <v>3892</v>
      </c>
      <c r="P296" s="51" t="s">
        <v>16</v>
      </c>
      <c r="Q296" s="51" t="s">
        <v>949</v>
      </c>
      <c r="R296" s="51" t="s">
        <v>235</v>
      </c>
      <c r="U296" s="52" t="s">
        <v>259</v>
      </c>
      <c r="V296" s="55"/>
      <c r="W296" s="52" t="s">
        <v>951</v>
      </c>
      <c r="Y296" s="52" t="s">
        <v>4260</v>
      </c>
      <c r="AB296" s="51" t="s">
        <v>4173</v>
      </c>
      <c r="AC296" s="51" t="s">
        <v>3893</v>
      </c>
      <c r="AD296" s="51" t="s">
        <v>705</v>
      </c>
      <c r="AE296" s="51" t="s">
        <v>949</v>
      </c>
      <c r="AF296" s="51" t="s">
        <v>794</v>
      </c>
      <c r="AI296" s="52" t="s">
        <v>790</v>
      </c>
      <c r="AK296" s="52" t="s">
        <v>951</v>
      </c>
      <c r="AP296" s="51" t="s">
        <v>4174</v>
      </c>
      <c r="AQ296" s="51" t="s">
        <v>3894</v>
      </c>
      <c r="AR296" s="51" t="s">
        <v>4175</v>
      </c>
      <c r="AS296" s="51" t="s">
        <v>949</v>
      </c>
      <c r="AT296" s="51" t="s">
        <v>2015</v>
      </c>
      <c r="AW296" s="52" t="s">
        <v>2022</v>
      </c>
      <c r="AY296" s="52" t="s">
        <v>951</v>
      </c>
    </row>
    <row r="297" spans="1:54" ht="38.25" x14ac:dyDescent="0.25">
      <c r="A297" s="51" t="s">
        <v>3805</v>
      </c>
      <c r="B297" s="51">
        <v>98</v>
      </c>
      <c r="E297" s="54" t="str" cm="1">
        <f t="array" aca="1" ref="E297" ca="1">IF(H297=0,"",HYPERLINK("#"&amp;RIGHT(CELL("dateiname"),LEN(CELL("dateiname"))-FIND("]",CELL("dateiname")))&amp;"!"&amp;CELL("adresse",OFFSET($Q$6,H297-1,0)),"Definition"))</f>
        <v/>
      </c>
      <c r="F297" s="54" t="str" cm="1">
        <f t="array" aca="1" ref="F297" ca="1">IF(I297=0,"",HYPERLINK("#"&amp;RIGHT(CELL("adresse",OFFSET(DMAV_Doku!$B$6,I297-1,0)),LEN(CELL("adresse",OFFSET(DMAV_Doku!$B$6,I297-1,0)))-SEARCH("]",CELL("adresse",OFFSET(DMAV_Doku!$B$6,I297-1,0)))),"ModDoc"))</f>
        <v>ModDoc</v>
      </c>
      <c r="G297" s="150" t="str">
        <f t="shared" si="8"/>
        <v>MGS98</v>
      </c>
      <c r="H297" s="150">
        <f t="shared" si="9"/>
        <v>0</v>
      </c>
      <c r="I297" s="150">
        <f>IF(_xlfn.XLOOKUP(G297,Korrelation!$A$4:$A$723,Korrelation!$B$4:$B$723,0,0)=0,0,MATCH(_xlfn.XLOOKUP(G297,Korrelation!$A$4:$A$723,Korrelation!$B$4:$B$723,0,0),DMAV_Doku!$H$6:$H$483,0))</f>
        <v>158</v>
      </c>
      <c r="J297" s="158"/>
      <c r="K297" s="161"/>
      <c r="L297" s="161"/>
      <c r="M297" s="158"/>
      <c r="N297" s="51" t="s">
        <v>4172</v>
      </c>
      <c r="O297" s="51" t="s">
        <v>3892</v>
      </c>
      <c r="P297" s="51" t="s">
        <v>16</v>
      </c>
      <c r="Q297" s="51" t="s">
        <v>949</v>
      </c>
      <c r="R297" s="51" t="s">
        <v>235</v>
      </c>
      <c r="S297" s="50" t="s">
        <v>950</v>
      </c>
      <c r="U297" s="52" t="s">
        <v>123</v>
      </c>
      <c r="V297" s="55"/>
      <c r="W297" s="52" t="s">
        <v>965</v>
      </c>
      <c r="Y297" s="52" t="s">
        <v>4261</v>
      </c>
      <c r="AB297" s="51" t="s">
        <v>4173</v>
      </c>
      <c r="AC297" s="51" t="s">
        <v>3893</v>
      </c>
      <c r="AD297" s="51" t="s">
        <v>705</v>
      </c>
      <c r="AE297" s="51" t="s">
        <v>949</v>
      </c>
      <c r="AF297" s="51" t="s">
        <v>794</v>
      </c>
      <c r="AG297" s="50" t="s">
        <v>950</v>
      </c>
      <c r="AI297" s="52" t="s">
        <v>123</v>
      </c>
      <c r="AK297" s="52" t="s">
        <v>965</v>
      </c>
      <c r="AP297" s="51" t="s">
        <v>4174</v>
      </c>
      <c r="AQ297" s="51" t="s">
        <v>3894</v>
      </c>
      <c r="AR297" s="51" t="s">
        <v>4175</v>
      </c>
      <c r="AS297" s="51" t="s">
        <v>949</v>
      </c>
      <c r="AT297" s="51" t="s">
        <v>2015</v>
      </c>
      <c r="AU297" s="50" t="s">
        <v>950</v>
      </c>
      <c r="AW297" s="52" t="s">
        <v>1247</v>
      </c>
      <c r="AY297" s="52" t="s">
        <v>965</v>
      </c>
    </row>
    <row r="298" spans="1:54" ht="25.5" x14ac:dyDescent="0.25">
      <c r="A298" s="51" t="s">
        <v>3805</v>
      </c>
      <c r="B298" s="51">
        <v>99</v>
      </c>
      <c r="E298" s="54" t="str" cm="1">
        <f t="array" aca="1" ref="E298" ca="1">IF(H298=0,"",HYPERLINK("#"&amp;RIGHT(CELL("dateiname"),LEN(CELL("dateiname"))-FIND("]",CELL("dateiname")))&amp;"!"&amp;CELL("adresse",OFFSET($Q$6,H298-1,0)),"Definition"))</f>
        <v/>
      </c>
      <c r="F298" s="54" t="str" cm="1">
        <f t="array" aca="1" ref="F298" ca="1">IF(I298=0,"",HYPERLINK("#"&amp;RIGHT(CELL("adresse",OFFSET(DMAV_Doku!$B$6,I298-1,0)),LEN(CELL("adresse",OFFSET(DMAV_Doku!$B$6,I298-1,0)))-SEARCH("]",CELL("adresse",OFFSET(DMAV_Doku!$B$6,I298-1,0)))),"ModDoc"))</f>
        <v>ModDoc</v>
      </c>
      <c r="G298" s="150" t="str">
        <f t="shared" si="8"/>
        <v>MGS99</v>
      </c>
      <c r="H298" s="150">
        <f t="shared" si="9"/>
        <v>0</v>
      </c>
      <c r="I298" s="150">
        <f>IF(_xlfn.XLOOKUP(G298,Korrelation!$A$4:$A$723,Korrelation!$B$4:$B$723,0,0)=0,0,MATCH(_xlfn.XLOOKUP(G298,Korrelation!$A$4:$A$723,Korrelation!$B$4:$B$723,0,0),DMAV_Doku!$H$6:$H$483,0))</f>
        <v>160</v>
      </c>
      <c r="J298" s="158"/>
      <c r="K298" s="161"/>
      <c r="L298" s="161"/>
      <c r="M298" s="158"/>
      <c r="N298" s="51" t="s">
        <v>4172</v>
      </c>
      <c r="O298" s="51" t="s">
        <v>3892</v>
      </c>
      <c r="P298" s="51" t="s">
        <v>16</v>
      </c>
      <c r="Q298" s="51" t="s">
        <v>949</v>
      </c>
      <c r="R298" s="51" t="s">
        <v>235</v>
      </c>
      <c r="S298" s="50" t="s">
        <v>950</v>
      </c>
      <c r="U298" s="52" t="s">
        <v>270</v>
      </c>
      <c r="V298" s="55"/>
      <c r="W298" s="52" t="s">
        <v>1048</v>
      </c>
      <c r="Y298" s="52" t="s">
        <v>4262</v>
      </c>
      <c r="AB298" s="51" t="s">
        <v>4173</v>
      </c>
      <c r="AC298" s="51" t="s">
        <v>3893</v>
      </c>
      <c r="AD298" s="51" t="s">
        <v>705</v>
      </c>
      <c r="AE298" s="51" t="s">
        <v>949</v>
      </c>
      <c r="AF298" s="51" t="s">
        <v>794</v>
      </c>
      <c r="AG298" s="50" t="s">
        <v>950</v>
      </c>
      <c r="AI298" s="52" t="s">
        <v>792</v>
      </c>
      <c r="AK298" s="52" t="s">
        <v>1048</v>
      </c>
      <c r="AP298" s="51" t="s">
        <v>4174</v>
      </c>
      <c r="AQ298" s="51" t="s">
        <v>3894</v>
      </c>
      <c r="AR298" s="51" t="s">
        <v>4175</v>
      </c>
      <c r="AS298" s="51" t="s">
        <v>949</v>
      </c>
      <c r="AT298" s="51" t="s">
        <v>2015</v>
      </c>
      <c r="AU298" s="50" t="s">
        <v>950</v>
      </c>
      <c r="AW298" s="52" t="s">
        <v>792</v>
      </c>
      <c r="AY298" s="52" t="s">
        <v>1048</v>
      </c>
    </row>
    <row r="299" spans="1:54" ht="25.5" x14ac:dyDescent="0.25">
      <c r="A299" s="51" t="s">
        <v>3805</v>
      </c>
      <c r="B299" s="51">
        <v>100</v>
      </c>
      <c r="E299" s="54" t="str" cm="1">
        <f t="array" aca="1" ref="E299" ca="1">IF(H299=0,"",HYPERLINK("#"&amp;RIGHT(CELL("dateiname"),LEN(CELL("dateiname"))-FIND("]",CELL("dateiname")))&amp;"!"&amp;CELL("adresse",OFFSET($Q$6,H299-1,0)),"Definition"))</f>
        <v/>
      </c>
      <c r="F299" s="54" t="str" cm="1">
        <f t="array" aca="1" ref="F299" ca="1">IF(I299=0,"",HYPERLINK("#"&amp;RIGHT(CELL("adresse",OFFSET(DMAV_Doku!$B$6,I299-1,0)),LEN(CELL("adresse",OFFSET(DMAV_Doku!$B$6,I299-1,0)))-SEARCH("]",CELL("adresse",OFFSET(DMAV_Doku!$B$6,I299-1,0)))),"ModDoc"))</f>
        <v>ModDoc</v>
      </c>
      <c r="G299" s="150" t="str">
        <f t="shared" si="8"/>
        <v>MGS100</v>
      </c>
      <c r="H299" s="150">
        <f t="shared" si="9"/>
        <v>0</v>
      </c>
      <c r="I299" s="150">
        <f>IF(_xlfn.XLOOKUP(G299,Korrelation!$A$4:$A$723,Korrelation!$B$4:$B$723,0,0)=0,0,MATCH(_xlfn.XLOOKUP(G299,Korrelation!$A$4:$A$723,Korrelation!$B$4:$B$723,0,0),DMAV_Doku!$H$6:$H$483,0))</f>
        <v>159</v>
      </c>
      <c r="J299" s="158"/>
      <c r="K299" s="161"/>
      <c r="L299" s="161"/>
      <c r="M299" s="158"/>
      <c r="N299" s="51" t="s">
        <v>4172</v>
      </c>
      <c r="O299" s="51" t="s">
        <v>3892</v>
      </c>
      <c r="P299" s="51" t="s">
        <v>16</v>
      </c>
      <c r="Q299" s="51" t="s">
        <v>949</v>
      </c>
      <c r="R299" s="51" t="s">
        <v>235</v>
      </c>
      <c r="U299" s="52" t="s">
        <v>218</v>
      </c>
      <c r="W299" s="52" t="s">
        <v>1004</v>
      </c>
      <c r="Y299" s="52" t="s">
        <v>4262</v>
      </c>
      <c r="AB299" s="51" t="s">
        <v>4173</v>
      </c>
      <c r="AC299" s="51" t="s">
        <v>3893</v>
      </c>
      <c r="AD299" s="51" t="s">
        <v>705</v>
      </c>
      <c r="AE299" s="51" t="s">
        <v>949</v>
      </c>
      <c r="AF299" s="51" t="s">
        <v>794</v>
      </c>
      <c r="AI299" s="52" t="s">
        <v>791</v>
      </c>
      <c r="AK299" s="52" t="s">
        <v>1004</v>
      </c>
      <c r="AP299" s="51" t="s">
        <v>4174</v>
      </c>
      <c r="AQ299" s="51" t="s">
        <v>3894</v>
      </c>
      <c r="AR299" s="51" t="s">
        <v>4175</v>
      </c>
      <c r="AS299" s="51" t="s">
        <v>949</v>
      </c>
      <c r="AT299" s="51" t="s">
        <v>2015</v>
      </c>
      <c r="AW299" s="52" t="s">
        <v>4091</v>
      </c>
      <c r="AY299" s="52" t="s">
        <v>1004</v>
      </c>
    </row>
    <row r="300" spans="1:54" ht="51" x14ac:dyDescent="0.25">
      <c r="A300" s="51" t="s">
        <v>3805</v>
      </c>
      <c r="B300" s="51">
        <v>101</v>
      </c>
      <c r="D300" s="51" t="s">
        <v>3502</v>
      </c>
      <c r="E300" s="54" t="str" cm="1">
        <f t="array" aca="1" ref="E300" ca="1">IF(H300=0,"",HYPERLINK("#"&amp;RIGHT(CELL("dateiname"),LEN(CELL("dateiname"))-FIND("]",CELL("dateiname")))&amp;"!"&amp;CELL("adresse",OFFSET($Q$6,H300-1,0)),"Definition"))</f>
        <v/>
      </c>
      <c r="F300" s="54" t="str" cm="1">
        <f t="array" aca="1" ref="F300" ca="1">IF(I300=0,"",HYPERLINK("#"&amp;RIGHT(CELL("adresse",OFFSET(DMAV_Doku!$B$6,I300-1,0)),LEN(CELL("adresse",OFFSET(DMAV_Doku!$B$6,I300-1,0)))-SEARCH("]",CELL("adresse",OFFSET(DMAV_Doku!$B$6,I300-1,0)))),"ModDoc"))</f>
        <v/>
      </c>
      <c r="G300" s="150" t="str">
        <f t="shared" si="8"/>
        <v>MGS101</v>
      </c>
      <c r="H300" s="150">
        <f t="shared" si="9"/>
        <v>0</v>
      </c>
      <c r="I300" s="150">
        <f>IF(_xlfn.XLOOKUP(G300,Korrelation!$A$4:$A$723,Korrelation!$B$4:$B$723,0,0)=0,0,MATCH(_xlfn.XLOOKUP(G300,Korrelation!$A$4:$A$723,Korrelation!$B$4:$B$723,0,0),DMAV_Doku!$H$6:$H$483,0))</f>
        <v>0</v>
      </c>
      <c r="J300" s="158"/>
      <c r="K300" s="161"/>
      <c r="L300" s="161"/>
      <c r="M300" s="158"/>
      <c r="N300" s="51" t="s">
        <v>4172</v>
      </c>
      <c r="O300" s="51" t="s">
        <v>3892</v>
      </c>
      <c r="P300" s="51" t="s">
        <v>16</v>
      </c>
      <c r="Q300" s="51" t="s">
        <v>957</v>
      </c>
      <c r="R300" s="51" t="s">
        <v>235</v>
      </c>
      <c r="S300" s="50" t="s">
        <v>950</v>
      </c>
      <c r="U300" s="52" t="s">
        <v>3449</v>
      </c>
      <c r="V300" s="55"/>
      <c r="W300" s="52" t="s">
        <v>4094</v>
      </c>
      <c r="Y300" s="52" t="s">
        <v>4263</v>
      </c>
      <c r="Z300" s="202" t="s">
        <v>2775</v>
      </c>
      <c r="AB300" s="51" t="s">
        <v>4173</v>
      </c>
      <c r="AC300" s="51" t="s">
        <v>3893</v>
      </c>
      <c r="AD300" s="51" t="s">
        <v>705</v>
      </c>
      <c r="AE300" s="51" t="s">
        <v>957</v>
      </c>
      <c r="AF300" s="51" t="s">
        <v>794</v>
      </c>
      <c r="AG300" s="50" t="s">
        <v>950</v>
      </c>
      <c r="AI300" s="52" t="s">
        <v>4095</v>
      </c>
      <c r="AK300" s="52" t="s">
        <v>4096</v>
      </c>
      <c r="AN300" s="202" t="s">
        <v>7236</v>
      </c>
      <c r="AP300" s="51" t="s">
        <v>4174</v>
      </c>
      <c r="AQ300" s="51" t="s">
        <v>3894</v>
      </c>
      <c r="AR300" s="51" t="s">
        <v>4175</v>
      </c>
      <c r="AS300" s="51" t="s">
        <v>957</v>
      </c>
      <c r="AT300" s="51" t="s">
        <v>2015</v>
      </c>
      <c r="AU300" s="50" t="s">
        <v>950</v>
      </c>
      <c r="AW300" s="52" t="s">
        <v>4095</v>
      </c>
      <c r="AY300" s="52" t="s">
        <v>4097</v>
      </c>
      <c r="BB300" s="202" t="s">
        <v>6034</v>
      </c>
    </row>
    <row r="301" spans="1:54" x14ac:dyDescent="0.25">
      <c r="A301" s="51" t="s">
        <v>3805</v>
      </c>
      <c r="B301" s="51">
        <v>102</v>
      </c>
      <c r="E301" s="54" t="str" cm="1">
        <f t="array" aca="1" ref="E301" ca="1">IF(H301=0,"",HYPERLINK("#"&amp;RIGHT(CELL("dateiname"),LEN(CELL("dateiname"))-FIND("]",CELL("dateiname")))&amp;"!"&amp;CELL("adresse",OFFSET($Q$6,H301-1,0)),"Definition"))</f>
        <v/>
      </c>
      <c r="F301" s="54" t="str" cm="1">
        <f t="array" aca="1" ref="F301" ca="1">IF(I301=0,"",HYPERLINK("#"&amp;RIGHT(CELL("adresse",OFFSET(DMAV_Doku!$B$6,I301-1,0)),LEN(CELL("adresse",OFFSET(DMAV_Doku!$B$6,I301-1,0)))-SEARCH("]",CELL("adresse",OFFSET(DMAV_Doku!$B$6,I301-1,0)))),"ModDoc"))</f>
        <v/>
      </c>
      <c r="G301" s="150" t="str">
        <f t="shared" si="8"/>
        <v>MGS102</v>
      </c>
      <c r="H301" s="150">
        <f t="shared" si="9"/>
        <v>0</v>
      </c>
      <c r="I301" s="150">
        <f>IF(_xlfn.XLOOKUP(G301,Korrelation!$A$4:$A$723,Korrelation!$B$4:$B$723,0,0)=0,0,MATCH(_xlfn.XLOOKUP(G301,Korrelation!$A$4:$A$723,Korrelation!$B$4:$B$723,0,0),DMAV_Doku!$H$6:$H$483,0))</f>
        <v>0</v>
      </c>
      <c r="J301" s="158"/>
      <c r="K301" s="161"/>
      <c r="L301" s="161"/>
      <c r="M301" s="158"/>
      <c r="N301" s="51" t="s">
        <v>4172</v>
      </c>
      <c r="O301" s="51" t="s">
        <v>3892</v>
      </c>
      <c r="P301" s="51" t="s">
        <v>16</v>
      </c>
      <c r="Q301" s="51" t="s">
        <v>967</v>
      </c>
      <c r="R301" s="51" t="s">
        <v>1064</v>
      </c>
      <c r="U301" s="52" t="s">
        <v>239</v>
      </c>
      <c r="W301" s="52" t="s">
        <v>239</v>
      </c>
      <c r="X301" s="51" t="s">
        <v>1058</v>
      </c>
      <c r="AB301" s="51" t="s">
        <v>4173</v>
      </c>
      <c r="AC301" s="51" t="s">
        <v>3893</v>
      </c>
      <c r="AD301" s="51" t="s">
        <v>705</v>
      </c>
      <c r="AE301" s="51" t="s">
        <v>967</v>
      </c>
      <c r="AF301" s="51" t="s">
        <v>4264</v>
      </c>
      <c r="AI301" s="52" t="s">
        <v>786</v>
      </c>
      <c r="AK301" s="52" t="s">
        <v>786</v>
      </c>
      <c r="AL301" s="51" t="s">
        <v>1058</v>
      </c>
      <c r="AP301" s="51" t="s">
        <v>4174</v>
      </c>
      <c r="AQ301" s="51" t="s">
        <v>3894</v>
      </c>
      <c r="AR301" s="51" t="s">
        <v>4175</v>
      </c>
      <c r="AS301" s="51" t="s">
        <v>967</v>
      </c>
      <c r="AT301" s="51" t="s">
        <v>4265</v>
      </c>
      <c r="AW301" s="52" t="s">
        <v>2067</v>
      </c>
      <c r="AY301" s="52" t="s">
        <v>2067</v>
      </c>
      <c r="AZ301" s="51" t="s">
        <v>1058</v>
      </c>
    </row>
    <row r="302" spans="1:54" x14ac:dyDescent="0.25">
      <c r="A302" s="51" t="s">
        <v>3805</v>
      </c>
      <c r="B302" s="51">
        <v>103</v>
      </c>
      <c r="E302" s="54" t="str" cm="1">
        <f t="array" aca="1" ref="E302" ca="1">IF(H302=0,"",HYPERLINK("#"&amp;RIGHT(CELL("dateiname"),LEN(CELL("dateiname"))-FIND("]",CELL("dateiname")))&amp;"!"&amp;CELL("adresse",OFFSET($Q$6,H302-1,0)),"Definition"))</f>
        <v/>
      </c>
      <c r="F302" s="54" t="str" cm="1">
        <f t="array" aca="1" ref="F302" ca="1">IF(I302=0,"",HYPERLINK("#"&amp;RIGHT(CELL("adresse",OFFSET(DMAV_Doku!$B$6,I302-1,0)),LEN(CELL("adresse",OFFSET(DMAV_Doku!$B$6,I302-1,0)))-SEARCH("]",CELL("adresse",OFFSET(DMAV_Doku!$B$6,I302-1,0)))),"ModDoc"))</f>
        <v/>
      </c>
      <c r="G302" s="150" t="str">
        <f t="shared" si="8"/>
        <v>MGS103</v>
      </c>
      <c r="H302" s="150">
        <f t="shared" si="9"/>
        <v>0</v>
      </c>
      <c r="I302" s="150">
        <f>IF(_xlfn.XLOOKUP(G302,Korrelation!$A$4:$A$723,Korrelation!$B$4:$B$723,0,0)=0,0,MATCH(_xlfn.XLOOKUP(G302,Korrelation!$A$4:$A$723,Korrelation!$B$4:$B$723,0,0),DMAV_Doku!$H$6:$H$483,0))</f>
        <v>0</v>
      </c>
      <c r="J302" s="158"/>
      <c r="K302" s="161"/>
      <c r="L302" s="161"/>
      <c r="M302" s="158"/>
      <c r="N302" s="51" t="s">
        <v>4172</v>
      </c>
      <c r="O302" s="51" t="s">
        <v>3892</v>
      </c>
      <c r="P302" s="51" t="s">
        <v>16</v>
      </c>
      <c r="Q302" s="51" t="s">
        <v>967</v>
      </c>
      <c r="R302" s="51" t="s">
        <v>1064</v>
      </c>
      <c r="U302" s="52" t="s">
        <v>235</v>
      </c>
      <c r="W302" s="52" t="s">
        <v>235</v>
      </c>
      <c r="X302" s="51" t="s">
        <v>972</v>
      </c>
      <c r="AB302" s="51" t="s">
        <v>4173</v>
      </c>
      <c r="AC302" s="51" t="s">
        <v>3893</v>
      </c>
      <c r="AD302" s="51" t="s">
        <v>705</v>
      </c>
      <c r="AE302" s="51" t="s">
        <v>967</v>
      </c>
      <c r="AF302" s="51" t="s">
        <v>4264</v>
      </c>
      <c r="AI302" s="52" t="s">
        <v>794</v>
      </c>
      <c r="AK302" s="52" t="s">
        <v>794</v>
      </c>
      <c r="AL302" s="51" t="s">
        <v>972</v>
      </c>
      <c r="AP302" s="51" t="s">
        <v>4174</v>
      </c>
      <c r="AQ302" s="51" t="s">
        <v>3894</v>
      </c>
      <c r="AR302" s="51" t="s">
        <v>4175</v>
      </c>
      <c r="AS302" s="51" t="s">
        <v>967</v>
      </c>
      <c r="AT302" s="51" t="s">
        <v>4265</v>
      </c>
      <c r="AW302" s="52" t="s">
        <v>2015</v>
      </c>
      <c r="AY302" s="52" t="s">
        <v>2015</v>
      </c>
      <c r="AZ302" s="51" t="s">
        <v>972</v>
      </c>
    </row>
    <row r="303" spans="1:54" ht="25.5" x14ac:dyDescent="0.25">
      <c r="A303" s="51" t="s">
        <v>3805</v>
      </c>
      <c r="B303" s="51">
        <v>104</v>
      </c>
      <c r="D303" s="51" t="s">
        <v>3504</v>
      </c>
      <c r="E303" s="54" t="str" cm="1">
        <f t="array" aca="1" ref="E303" ca="1">IF(H303=0,"",HYPERLINK("#"&amp;RIGHT(CELL("dateiname"),LEN(CELL("dateiname"))-FIND("]",CELL("dateiname")))&amp;"!"&amp;CELL("adresse",OFFSET($Q$6,H303-1,0)),"Definition"))</f>
        <v/>
      </c>
      <c r="F303" s="54" t="str" cm="1">
        <f t="array" aca="1" ref="F303" ca="1">IF(I303=0,"",HYPERLINK("#"&amp;RIGHT(CELL("adresse",OFFSET(DMAV_Doku!$B$6,I303-1,0)),LEN(CELL("adresse",OFFSET(DMAV_Doku!$B$6,I303-1,0)))-SEARCH("]",CELL("adresse",OFFSET(DMAV_Doku!$B$6,I303-1,0)))),"ModDoc"))</f>
        <v/>
      </c>
      <c r="G303" s="150" t="str">
        <f t="shared" si="8"/>
        <v>MGS104</v>
      </c>
      <c r="H303" s="150">
        <f t="shared" si="9"/>
        <v>0</v>
      </c>
      <c r="I303" s="150">
        <f>IF(_xlfn.XLOOKUP(G303,Korrelation!$A$4:$A$723,Korrelation!$B$4:$B$723,0,0)=0,0,MATCH(_xlfn.XLOOKUP(G303,Korrelation!$A$4:$A$723,Korrelation!$B$4:$B$723,0,0),DMAV_Doku!$H$6:$H$483,0))</f>
        <v>0</v>
      </c>
      <c r="J303" s="158"/>
      <c r="K303" s="161"/>
      <c r="L303" s="161"/>
      <c r="M303" s="158"/>
      <c r="N303" s="51" t="s">
        <v>4172</v>
      </c>
      <c r="O303" s="51" t="s">
        <v>3892</v>
      </c>
      <c r="P303" s="51" t="s">
        <v>16</v>
      </c>
      <c r="Q303" s="51" t="s">
        <v>1015</v>
      </c>
      <c r="R303" s="51" t="s">
        <v>1064</v>
      </c>
      <c r="S303" s="50" t="s">
        <v>950</v>
      </c>
      <c r="U303" s="52" t="s">
        <v>3457</v>
      </c>
      <c r="W303" s="52" t="s">
        <v>3503</v>
      </c>
      <c r="Z303" s="199" t="s">
        <v>2759</v>
      </c>
      <c r="AB303" s="51" t="s">
        <v>4173</v>
      </c>
      <c r="AC303" s="51" t="s">
        <v>3893</v>
      </c>
      <c r="AD303" s="51" t="s">
        <v>705</v>
      </c>
      <c r="AE303" s="51" t="s">
        <v>1015</v>
      </c>
      <c r="AF303" s="51" t="s">
        <v>4264</v>
      </c>
      <c r="AG303" s="50" t="s">
        <v>950</v>
      </c>
      <c r="AI303" s="52" t="s">
        <v>4266</v>
      </c>
      <c r="AK303" s="52" t="s">
        <v>4267</v>
      </c>
      <c r="AN303" s="199" t="s">
        <v>7237</v>
      </c>
      <c r="AP303" s="51" t="s">
        <v>4174</v>
      </c>
      <c r="AQ303" s="51" t="s">
        <v>3894</v>
      </c>
      <c r="AR303" s="51" t="s">
        <v>4175</v>
      </c>
      <c r="AS303" s="51" t="s">
        <v>1015</v>
      </c>
      <c r="AT303" s="51" t="s">
        <v>4265</v>
      </c>
      <c r="AU303" s="50" t="s">
        <v>950</v>
      </c>
      <c r="AW303" s="52" t="s">
        <v>3457</v>
      </c>
      <c r="AY303" s="52" t="s">
        <v>4268</v>
      </c>
      <c r="BB303" s="199" t="s">
        <v>5987</v>
      </c>
    </row>
    <row r="304" spans="1:54" x14ac:dyDescent="0.25">
      <c r="A304" s="51" t="s">
        <v>3805</v>
      </c>
      <c r="B304" s="51">
        <v>105</v>
      </c>
      <c r="D304" s="51" t="s">
        <v>3505</v>
      </c>
      <c r="E304" s="54" t="str" cm="1">
        <f t="array" aca="1" ref="E304" ca="1">IF(H304=0,"",HYPERLINK("#"&amp;RIGHT(CELL("dateiname"),LEN(CELL("dateiname"))-FIND("]",CELL("dateiname")))&amp;"!"&amp;CELL("adresse",OFFSET($Q$6,H304-1,0)),"Definition"))</f>
        <v/>
      </c>
      <c r="F304" s="54" t="str" cm="1">
        <f t="array" aca="1" ref="F304" ca="1">IF(I304=0,"",HYPERLINK("#"&amp;RIGHT(CELL("adresse",OFFSET(DMAV_Doku!$B$6,I304-1,0)),LEN(CELL("adresse",OFFSET(DMAV_Doku!$B$6,I304-1,0)))-SEARCH("]",CELL("adresse",OFFSET(DMAV_Doku!$B$6,I304-1,0)))),"ModDoc"))</f>
        <v/>
      </c>
      <c r="G304" s="150" t="str">
        <f t="shared" si="8"/>
        <v>MGS105</v>
      </c>
      <c r="H304" s="150">
        <f t="shared" si="9"/>
        <v>0</v>
      </c>
      <c r="I304" s="150">
        <f>IF(_xlfn.XLOOKUP(G304,Korrelation!$A$4:$A$723,Korrelation!$B$4:$B$723,0,0)=0,0,MATCH(_xlfn.XLOOKUP(G304,Korrelation!$A$4:$A$723,Korrelation!$B$4:$B$723,0,0),DMAV_Doku!$H$6:$H$483,0))</f>
        <v>0</v>
      </c>
      <c r="J304" s="158"/>
      <c r="K304" s="161"/>
      <c r="L304" s="161"/>
      <c r="M304" s="158"/>
      <c r="N304" s="51" t="s">
        <v>4172</v>
      </c>
      <c r="O304" s="51" t="s">
        <v>3892</v>
      </c>
      <c r="P304" s="51" t="s">
        <v>16</v>
      </c>
      <c r="Q304" s="51" t="s">
        <v>1015</v>
      </c>
      <c r="R304" s="51" t="s">
        <v>1064</v>
      </c>
      <c r="S304" s="50" t="s">
        <v>950</v>
      </c>
      <c r="U304" s="52" t="s">
        <v>3497</v>
      </c>
      <c r="W304" s="52" t="s">
        <v>3498</v>
      </c>
      <c r="Z304" s="200" t="s">
        <v>2755</v>
      </c>
      <c r="AB304" s="51" t="s">
        <v>4173</v>
      </c>
      <c r="AC304" s="51" t="s">
        <v>3893</v>
      </c>
      <c r="AD304" s="51" t="s">
        <v>705</v>
      </c>
      <c r="AE304" s="51" t="s">
        <v>1015</v>
      </c>
      <c r="AF304" s="51" t="s">
        <v>4264</v>
      </c>
      <c r="AG304" s="50" t="s">
        <v>950</v>
      </c>
      <c r="AI304" s="52" t="s">
        <v>4253</v>
      </c>
      <c r="AK304" s="52" t="s">
        <v>4254</v>
      </c>
      <c r="AN304" s="200" t="s">
        <v>7238</v>
      </c>
      <c r="AP304" s="51" t="s">
        <v>4174</v>
      </c>
      <c r="AQ304" s="51" t="s">
        <v>3894</v>
      </c>
      <c r="AR304" s="51" t="s">
        <v>4175</v>
      </c>
      <c r="AS304" s="51" t="s">
        <v>1015</v>
      </c>
      <c r="AT304" s="51" t="s">
        <v>4265</v>
      </c>
      <c r="AU304" s="50" t="s">
        <v>950</v>
      </c>
      <c r="AW304" s="52" t="s">
        <v>4253</v>
      </c>
      <c r="AY304" s="52" t="s">
        <v>4255</v>
      </c>
      <c r="BB304" s="200" t="s">
        <v>6013</v>
      </c>
    </row>
    <row r="305" spans="1:54" ht="51" x14ac:dyDescent="0.25">
      <c r="A305" s="51" t="s">
        <v>3805</v>
      </c>
      <c r="B305" s="51">
        <v>106</v>
      </c>
      <c r="D305" s="51" t="s">
        <v>3506</v>
      </c>
      <c r="E305" s="54" t="str" cm="1">
        <f t="array" aca="1" ref="E305" ca="1">IF(H305=0,"",HYPERLINK("#"&amp;RIGHT(CELL("dateiname"),LEN(CELL("dateiname"))-FIND("]",CELL("dateiname")))&amp;"!"&amp;CELL("adresse",OFFSET($Q$6,H305-1,0)),"Definition"))</f>
        <v/>
      </c>
      <c r="F305" s="54" t="str" cm="1">
        <f t="array" aca="1" ref="F305" ca="1">IF(I305=0,"",HYPERLINK("#"&amp;RIGHT(CELL("adresse",OFFSET(DMAV_Doku!$B$6,I305-1,0)),LEN(CELL("adresse",OFFSET(DMAV_Doku!$B$6,I305-1,0)))-SEARCH("]",CELL("adresse",OFFSET(DMAV_Doku!$B$6,I305-1,0)))),"ModDoc"))</f>
        <v/>
      </c>
      <c r="G305" s="150" t="str">
        <f t="shared" si="8"/>
        <v>MGS106</v>
      </c>
      <c r="H305" s="150">
        <f t="shared" si="9"/>
        <v>0</v>
      </c>
      <c r="I305" s="150">
        <f>IF(_xlfn.XLOOKUP(G305,Korrelation!$A$4:$A$723,Korrelation!$B$4:$B$723,0,0)=0,0,MATCH(_xlfn.XLOOKUP(G305,Korrelation!$A$4:$A$723,Korrelation!$B$4:$B$723,0,0),DMAV_Doku!$H$6:$H$483,0))</f>
        <v>0</v>
      </c>
      <c r="J305" s="158"/>
      <c r="K305" s="161"/>
      <c r="L305" s="161"/>
      <c r="M305" s="158"/>
      <c r="N305" s="51" t="s">
        <v>4172</v>
      </c>
      <c r="O305" s="51" t="s">
        <v>3892</v>
      </c>
      <c r="P305" s="51" t="s">
        <v>16</v>
      </c>
      <c r="Q305" s="51" t="s">
        <v>2790</v>
      </c>
      <c r="R305" s="51" t="s">
        <v>235</v>
      </c>
      <c r="S305" s="50" t="s">
        <v>950</v>
      </c>
      <c r="U305" s="52" t="s">
        <v>2791</v>
      </c>
      <c r="W305" s="52" t="s">
        <v>3487</v>
      </c>
      <c r="Z305" s="202" t="s">
        <v>2794</v>
      </c>
      <c r="AB305" s="51" t="s">
        <v>4173</v>
      </c>
      <c r="AC305" s="51" t="s">
        <v>3893</v>
      </c>
      <c r="AD305" s="51" t="s">
        <v>705</v>
      </c>
      <c r="AE305" s="51" t="s">
        <v>2790</v>
      </c>
      <c r="AF305" s="51" t="s">
        <v>794</v>
      </c>
      <c r="AG305" s="50" t="s">
        <v>950</v>
      </c>
      <c r="AI305" s="52" t="s">
        <v>4233</v>
      </c>
      <c r="AK305" s="52" t="s">
        <v>4234</v>
      </c>
      <c r="AN305" s="202" t="s">
        <v>7239</v>
      </c>
      <c r="AP305" s="51" t="s">
        <v>4174</v>
      </c>
      <c r="AQ305" s="51" t="s">
        <v>3894</v>
      </c>
      <c r="AR305" s="51" t="s">
        <v>4175</v>
      </c>
      <c r="AS305" s="51" t="s">
        <v>2790</v>
      </c>
      <c r="AT305" s="51" t="s">
        <v>2015</v>
      </c>
      <c r="AU305" s="50" t="s">
        <v>950</v>
      </c>
      <c r="AW305" s="52" t="s">
        <v>4233</v>
      </c>
      <c r="AY305" s="52" t="s">
        <v>4235</v>
      </c>
      <c r="BB305" s="202" t="s">
        <v>6035</v>
      </c>
    </row>
    <row r="306" spans="1:54" ht="51" x14ac:dyDescent="0.25">
      <c r="A306" s="51" t="s">
        <v>3805</v>
      </c>
      <c r="B306" s="51">
        <v>107</v>
      </c>
      <c r="D306" s="51" t="s">
        <v>3507</v>
      </c>
      <c r="E306" s="54" t="str" cm="1">
        <f t="array" aca="1" ref="E306" ca="1">IF(H306=0,"",HYPERLINK("#"&amp;RIGHT(CELL("dateiname"),LEN(CELL("dateiname"))-FIND("]",CELL("dateiname")))&amp;"!"&amp;CELL("adresse",OFFSET($Q$6,H306-1,0)),"Definition"))</f>
        <v/>
      </c>
      <c r="F306" s="54" t="str" cm="1">
        <f t="array" aca="1" ref="F306" ca="1">IF(I306=0,"",HYPERLINK("#"&amp;RIGHT(CELL("adresse",OFFSET(DMAV_Doku!$B$6,I306-1,0)),LEN(CELL("adresse",OFFSET(DMAV_Doku!$B$6,I306-1,0)))-SEARCH("]",CELL("adresse",OFFSET(DMAV_Doku!$B$6,I306-1,0)))),"ModDoc"))</f>
        <v/>
      </c>
      <c r="G306" s="150" t="str">
        <f t="shared" si="8"/>
        <v>MGS107</v>
      </c>
      <c r="H306" s="150">
        <f t="shared" si="9"/>
        <v>0</v>
      </c>
      <c r="I306" s="150">
        <f>IF(_xlfn.XLOOKUP(G306,Korrelation!$A$4:$A$723,Korrelation!$B$4:$B$723,0,0)=0,0,MATCH(_xlfn.XLOOKUP(G306,Korrelation!$A$4:$A$723,Korrelation!$B$4:$B$723,0,0),DMAV_Doku!$H$6:$H$483,0))</f>
        <v>0</v>
      </c>
      <c r="J306" s="158"/>
      <c r="K306" s="161"/>
      <c r="L306" s="161"/>
      <c r="M306" s="158"/>
      <c r="N306" s="51" t="s">
        <v>4172</v>
      </c>
      <c r="O306" s="51" t="s">
        <v>3892</v>
      </c>
      <c r="P306" s="51" t="s">
        <v>16</v>
      </c>
      <c r="Q306" s="51" t="s">
        <v>2790</v>
      </c>
      <c r="R306" s="51" t="s">
        <v>235</v>
      </c>
      <c r="S306" s="50" t="s">
        <v>950</v>
      </c>
      <c r="U306" s="52" t="s">
        <v>3489</v>
      </c>
      <c r="V306" s="55"/>
      <c r="W306" s="52" t="s">
        <v>3490</v>
      </c>
      <c r="Z306" s="202" t="s">
        <v>2797</v>
      </c>
      <c r="AB306" s="51" t="s">
        <v>4173</v>
      </c>
      <c r="AC306" s="51" t="s">
        <v>3893</v>
      </c>
      <c r="AD306" s="51" t="s">
        <v>705</v>
      </c>
      <c r="AE306" s="51" t="s">
        <v>2790</v>
      </c>
      <c r="AF306" s="51" t="s">
        <v>794</v>
      </c>
      <c r="AG306" s="50" t="s">
        <v>950</v>
      </c>
      <c r="AI306" s="52" t="s">
        <v>4236</v>
      </c>
      <c r="AK306" s="52" t="s">
        <v>4237</v>
      </c>
      <c r="AN306" s="202" t="s">
        <v>7240</v>
      </c>
      <c r="AP306" s="51" t="s">
        <v>4174</v>
      </c>
      <c r="AQ306" s="51" t="s">
        <v>3894</v>
      </c>
      <c r="AR306" s="51" t="s">
        <v>4175</v>
      </c>
      <c r="AS306" s="51" t="s">
        <v>2790</v>
      </c>
      <c r="AT306" s="51" t="s">
        <v>2015</v>
      </c>
      <c r="AU306" s="50" t="s">
        <v>950</v>
      </c>
      <c r="AW306" s="52" t="s">
        <v>4236</v>
      </c>
      <c r="AY306" s="52" t="s">
        <v>4238</v>
      </c>
      <c r="BB306" s="202" t="s">
        <v>6036</v>
      </c>
    </row>
    <row r="307" spans="1:54" x14ac:dyDescent="0.25">
      <c r="A307" s="51" t="s">
        <v>3805</v>
      </c>
      <c r="B307" s="51">
        <v>108</v>
      </c>
      <c r="E307" s="54" t="str" cm="1">
        <f t="array" aca="1" ref="E307" ca="1">IF(H307=0,"",HYPERLINK("#"&amp;RIGHT(CELL("dateiname"),LEN(CELL("dateiname"))-FIND("]",CELL("dateiname")))&amp;"!"&amp;CELL("adresse",OFFSET($Q$6,H307-1,0)),"Definition"))</f>
        <v/>
      </c>
      <c r="F307" s="54" t="str" cm="1">
        <f t="array" aca="1" ref="F307" ca="1">IF(I307=0,"",HYPERLINK("#"&amp;RIGHT(CELL("adresse",OFFSET(DMAV_Doku!$B$6,I307-1,0)),LEN(CELL("adresse",OFFSET(DMAV_Doku!$B$6,I307-1,0)))-SEARCH("]",CELL("adresse",OFFSET(DMAV_Doku!$B$6,I307-1,0)))),"ModDoc"))</f>
        <v/>
      </c>
      <c r="G307" s="150" t="str">
        <f t="shared" si="8"/>
        <v>MGS108</v>
      </c>
      <c r="H307" s="150">
        <f t="shared" si="9"/>
        <v>0</v>
      </c>
      <c r="I307" s="150">
        <f>IF(_xlfn.XLOOKUP(G307,Korrelation!$A$4:$A$723,Korrelation!$B$4:$B$723,0,0)=0,0,MATCH(_xlfn.XLOOKUP(G307,Korrelation!$A$4:$A$723,Korrelation!$B$4:$B$723,0,0),DMAV_Doku!$H$6:$H$483,0))</f>
        <v>0</v>
      </c>
      <c r="J307" s="158"/>
      <c r="K307" s="161"/>
      <c r="L307" s="161"/>
      <c r="M307" s="158"/>
      <c r="N307" s="51" t="s">
        <v>4172</v>
      </c>
      <c r="O307" s="51" t="s">
        <v>3892</v>
      </c>
      <c r="P307" s="51" t="s">
        <v>16</v>
      </c>
      <c r="Q307" s="51" t="s">
        <v>977</v>
      </c>
      <c r="R307" s="51" t="s">
        <v>1065</v>
      </c>
      <c r="U307" s="52" t="s">
        <v>979</v>
      </c>
      <c r="W307" s="52" t="s">
        <v>235</v>
      </c>
      <c r="AB307" s="51" t="s">
        <v>4173</v>
      </c>
      <c r="AC307" s="51" t="s">
        <v>3893</v>
      </c>
      <c r="AD307" s="51" t="s">
        <v>705</v>
      </c>
      <c r="AE307" s="51" t="s">
        <v>977</v>
      </c>
      <c r="AF307" s="51" t="s">
        <v>4269</v>
      </c>
      <c r="AI307" s="52" t="s">
        <v>979</v>
      </c>
      <c r="AK307" s="52" t="s">
        <v>794</v>
      </c>
      <c r="AP307" s="51" t="s">
        <v>4174</v>
      </c>
      <c r="AQ307" s="51" t="s">
        <v>3894</v>
      </c>
      <c r="AR307" s="51" t="s">
        <v>4175</v>
      </c>
      <c r="AS307" s="51" t="s">
        <v>977</v>
      </c>
      <c r="AT307" s="51" t="s">
        <v>4270</v>
      </c>
      <c r="AW307" s="52" t="s">
        <v>979</v>
      </c>
      <c r="AY307" s="52" t="s">
        <v>2015</v>
      </c>
    </row>
    <row r="308" spans="1:54" ht="76.5" x14ac:dyDescent="0.25">
      <c r="A308" s="51" t="s">
        <v>3805</v>
      </c>
      <c r="B308" s="51">
        <v>109</v>
      </c>
      <c r="E308" s="54" t="str" cm="1">
        <f t="array" aca="1" ref="E308" ca="1">IF(H308=0,"",HYPERLINK("#"&amp;RIGHT(CELL("dateiname"),LEN(CELL("dateiname"))-FIND("]",CELL("dateiname")))&amp;"!"&amp;CELL("adresse",OFFSET($Q$6,H308-1,0)),"Definition"))</f>
        <v/>
      </c>
      <c r="F308" s="54" t="str" cm="1">
        <f t="array" aca="1" ref="F308" ca="1">IF(I308=0,"",HYPERLINK("#"&amp;RIGHT(CELL("adresse",OFFSET(DMAV_Doku!$B$6,I308-1,0)),LEN(CELL("adresse",OFFSET(DMAV_Doku!$B$6,I308-1,0)))-SEARCH("]",CELL("adresse",OFFSET(DMAV_Doku!$B$6,I308-1,0)))),"ModDoc"))</f>
        <v/>
      </c>
      <c r="G308" s="150" t="str">
        <f t="shared" si="8"/>
        <v>MGS109</v>
      </c>
      <c r="H308" s="150">
        <f t="shared" si="9"/>
        <v>0</v>
      </c>
      <c r="I308" s="150">
        <f>IF(_xlfn.XLOOKUP(G308,Korrelation!$A$4:$A$723,Korrelation!$B$4:$B$723,0,0)=0,0,MATCH(_xlfn.XLOOKUP(G308,Korrelation!$A$4:$A$723,Korrelation!$B$4:$B$723,0,0),DMAV_Doku!$H$6:$H$483,0))</f>
        <v>0</v>
      </c>
      <c r="J308" s="158"/>
      <c r="K308" s="161"/>
      <c r="L308" s="161"/>
      <c r="M308" s="158"/>
      <c r="N308" s="51" t="s">
        <v>4172</v>
      </c>
      <c r="O308" s="51" t="s">
        <v>3892</v>
      </c>
      <c r="P308" s="51" t="s">
        <v>16</v>
      </c>
      <c r="Q308" s="51" t="s">
        <v>977</v>
      </c>
      <c r="R308" s="51" t="s">
        <v>1065</v>
      </c>
      <c r="U308" s="52" t="s">
        <v>1002</v>
      </c>
      <c r="W308" s="52" t="s">
        <v>1066</v>
      </c>
      <c r="Z308" s="198" t="s">
        <v>2779</v>
      </c>
      <c r="AB308" s="51" t="s">
        <v>4173</v>
      </c>
      <c r="AC308" s="51" t="s">
        <v>3893</v>
      </c>
      <c r="AD308" s="51" t="s">
        <v>705</v>
      </c>
      <c r="AE308" s="51" t="s">
        <v>977</v>
      </c>
      <c r="AF308" s="51" t="s">
        <v>4269</v>
      </c>
      <c r="AI308" s="52" t="s">
        <v>4087</v>
      </c>
      <c r="AK308" s="52" t="s">
        <v>4271</v>
      </c>
      <c r="AN308" s="259" t="s">
        <v>7269</v>
      </c>
      <c r="AP308" s="51" t="s">
        <v>4174</v>
      </c>
      <c r="AQ308" s="51" t="s">
        <v>3894</v>
      </c>
      <c r="AR308" s="51" t="s">
        <v>4175</v>
      </c>
      <c r="AS308" s="51" t="s">
        <v>977</v>
      </c>
      <c r="AT308" s="51" t="s">
        <v>4270</v>
      </c>
      <c r="AW308" s="52" t="s">
        <v>4087</v>
      </c>
      <c r="AY308" s="52" t="s">
        <v>4272</v>
      </c>
      <c r="BB308" s="199" t="s">
        <v>6050</v>
      </c>
    </row>
    <row r="309" spans="1:54" x14ac:dyDescent="0.25">
      <c r="A309" s="51" t="s">
        <v>3805</v>
      </c>
      <c r="B309" s="51">
        <v>110</v>
      </c>
      <c r="E309" s="54" t="str" cm="1">
        <f t="array" aca="1" ref="E309" ca="1">IF(H309=0,"",HYPERLINK("#"&amp;RIGHT(CELL("dateiname"),LEN(CELL("dateiname"))-FIND("]",CELL("dateiname")))&amp;"!"&amp;CELL("adresse",OFFSET($Q$6,H309-1,0)),"Definition"))</f>
        <v/>
      </c>
      <c r="F309" s="54" t="str" cm="1">
        <f t="array" aca="1" ref="F309" ca="1">IF(I309=0,"",HYPERLINK("#"&amp;RIGHT(CELL("adresse",OFFSET(DMAV_Doku!$B$6,I309-1,0)),LEN(CELL("adresse",OFFSET(DMAV_Doku!$B$6,I309-1,0)))-SEARCH("]",CELL("adresse",OFFSET(DMAV_Doku!$B$6,I309-1,0)))),"ModDoc"))</f>
        <v/>
      </c>
      <c r="G309" s="150" t="str">
        <f t="shared" si="8"/>
        <v>MGS110</v>
      </c>
      <c r="H309" s="150">
        <f t="shared" si="9"/>
        <v>0</v>
      </c>
      <c r="I309" s="150">
        <f>IF(_xlfn.XLOOKUP(G309,Korrelation!$A$4:$A$723,Korrelation!$B$4:$B$723,0,0)=0,0,MATCH(_xlfn.XLOOKUP(G309,Korrelation!$A$4:$A$723,Korrelation!$B$4:$B$723,0,0),DMAV_Doku!$H$6:$H$483,0))</f>
        <v>0</v>
      </c>
      <c r="J309" s="158"/>
      <c r="K309" s="161"/>
      <c r="L309" s="161"/>
      <c r="M309" s="158"/>
      <c r="N309" s="51" t="s">
        <v>4172</v>
      </c>
      <c r="O309" s="51" t="s">
        <v>3892</v>
      </c>
      <c r="P309" s="51" t="s">
        <v>16</v>
      </c>
      <c r="Q309" s="51" t="s">
        <v>977</v>
      </c>
      <c r="R309" s="51" t="s">
        <v>1065</v>
      </c>
      <c r="U309" s="55" t="s">
        <v>982</v>
      </c>
      <c r="V309" s="55"/>
      <c r="W309" s="52" t="s">
        <v>235</v>
      </c>
      <c r="AB309" s="51" t="s">
        <v>4173</v>
      </c>
      <c r="AC309" s="51" t="s">
        <v>3893</v>
      </c>
      <c r="AD309" s="51" t="s">
        <v>705</v>
      </c>
      <c r="AE309" s="51" t="s">
        <v>977</v>
      </c>
      <c r="AF309" s="51" t="s">
        <v>4269</v>
      </c>
      <c r="AI309" s="52" t="s">
        <v>982</v>
      </c>
      <c r="AK309" s="52" t="s">
        <v>794</v>
      </c>
      <c r="AP309" s="51" t="s">
        <v>4174</v>
      </c>
      <c r="AQ309" s="51" t="s">
        <v>3894</v>
      </c>
      <c r="AR309" s="51" t="s">
        <v>4175</v>
      </c>
      <c r="AS309" s="51" t="s">
        <v>977</v>
      </c>
      <c r="AT309" s="51" t="s">
        <v>4270</v>
      </c>
      <c r="AW309" s="52" t="s">
        <v>982</v>
      </c>
      <c r="AY309" s="52" t="s">
        <v>2015</v>
      </c>
    </row>
    <row r="310" spans="1:54" ht="76.5" x14ac:dyDescent="0.25">
      <c r="A310" s="51" t="s">
        <v>3805</v>
      </c>
      <c r="B310" s="51">
        <v>111</v>
      </c>
      <c r="D310" s="51" t="s">
        <v>3510</v>
      </c>
      <c r="E310" s="54" t="str" cm="1">
        <f t="array" aca="1" ref="E310" ca="1">IF(H310=0,"",HYPERLINK("#"&amp;RIGHT(CELL("dateiname"),LEN(CELL("dateiname"))-FIND("]",CELL("dateiname")))&amp;"!"&amp;CELL("adresse",OFFSET($Q$6,H310-1,0)),"Definition"))</f>
        <v/>
      </c>
      <c r="F310" s="54" t="str" cm="1">
        <f t="array" aca="1" ref="F310" ca="1">IF(I310=0,"",HYPERLINK("#"&amp;RIGHT(CELL("adresse",OFFSET(DMAV_Doku!$B$6,I310-1,0)),LEN(CELL("adresse",OFFSET(DMAV_Doku!$B$6,I310-1,0)))-SEARCH("]",CELL("adresse",OFFSET(DMAV_Doku!$B$6,I310-1,0)))),"ModDoc"))</f>
        <v/>
      </c>
      <c r="G310" s="150" t="str">
        <f t="shared" si="8"/>
        <v>MGS111</v>
      </c>
      <c r="H310" s="150">
        <f t="shared" si="9"/>
        <v>0</v>
      </c>
      <c r="I310" s="150">
        <f>IF(_xlfn.XLOOKUP(G310,Korrelation!$A$4:$A$723,Korrelation!$B$4:$B$723,0,0)=0,0,MATCH(_xlfn.XLOOKUP(G310,Korrelation!$A$4:$A$723,Korrelation!$B$4:$B$723,0,0),DMAV_Doku!$H$6:$H$483,0))</f>
        <v>0</v>
      </c>
      <c r="J310" s="158"/>
      <c r="K310" s="161"/>
      <c r="L310" s="161"/>
      <c r="M310" s="158"/>
      <c r="N310" s="51" t="s">
        <v>4172</v>
      </c>
      <c r="O310" s="51" t="s">
        <v>3892</v>
      </c>
      <c r="P310" s="51" t="s">
        <v>16</v>
      </c>
      <c r="Q310" s="51" t="s">
        <v>2790</v>
      </c>
      <c r="R310" s="51" t="s">
        <v>239</v>
      </c>
      <c r="S310" s="50" t="s">
        <v>950</v>
      </c>
      <c r="U310" s="52" t="s">
        <v>3508</v>
      </c>
      <c r="V310" s="55"/>
      <c r="W310" s="52" t="s">
        <v>3509</v>
      </c>
      <c r="Z310" s="202" t="s">
        <v>2798</v>
      </c>
      <c r="AB310" s="51" t="s">
        <v>4173</v>
      </c>
      <c r="AC310" s="51" t="s">
        <v>3893</v>
      </c>
      <c r="AD310" s="51" t="s">
        <v>705</v>
      </c>
      <c r="AE310" s="51" t="s">
        <v>2790</v>
      </c>
      <c r="AF310" s="51" t="s">
        <v>786</v>
      </c>
      <c r="AG310" s="50" t="s">
        <v>950</v>
      </c>
      <c r="AI310" s="52" t="s">
        <v>4273</v>
      </c>
      <c r="AK310" s="52" t="s">
        <v>4274</v>
      </c>
      <c r="AN310" s="202" t="s">
        <v>7241</v>
      </c>
      <c r="AP310" s="51" t="s">
        <v>4174</v>
      </c>
      <c r="AQ310" s="51" t="s">
        <v>3894</v>
      </c>
      <c r="AR310" s="51" t="s">
        <v>4175</v>
      </c>
      <c r="AS310" s="51" t="s">
        <v>2790</v>
      </c>
      <c r="AT310" s="51" t="s">
        <v>2067</v>
      </c>
      <c r="AU310" s="50" t="s">
        <v>950</v>
      </c>
      <c r="AW310" s="52" t="s">
        <v>4275</v>
      </c>
      <c r="AY310" s="52" t="s">
        <v>4276</v>
      </c>
      <c r="BB310" s="202" t="s">
        <v>6037</v>
      </c>
    </row>
    <row r="311" spans="1:54" ht="114.75" x14ac:dyDescent="0.25">
      <c r="A311" s="51" t="s">
        <v>3805</v>
      </c>
      <c r="B311" s="51">
        <v>112</v>
      </c>
      <c r="D311" s="51" t="s">
        <v>3513</v>
      </c>
      <c r="E311" s="54" t="str" cm="1">
        <f t="array" aca="1" ref="E311" ca="1">IF(H311=0,"",HYPERLINK("#"&amp;RIGHT(CELL("dateiname"),LEN(CELL("dateiname"))-FIND("]",CELL("dateiname")))&amp;"!"&amp;CELL("adresse",OFFSET($Q$6,H311-1,0)),"Definition"))</f>
        <v/>
      </c>
      <c r="F311" s="54" t="str" cm="1">
        <f t="array" aca="1" ref="F311" ca="1">IF(I311=0,"",HYPERLINK("#"&amp;RIGHT(CELL("adresse",OFFSET(DMAV_Doku!$B$6,I311-1,0)),LEN(CELL("adresse",OFFSET(DMAV_Doku!$B$6,I311-1,0)))-SEARCH("]",CELL("adresse",OFFSET(DMAV_Doku!$B$6,I311-1,0)))),"ModDoc"))</f>
        <v/>
      </c>
      <c r="G311" s="150" t="str">
        <f t="shared" si="8"/>
        <v>MGS112</v>
      </c>
      <c r="H311" s="150">
        <f t="shared" si="9"/>
        <v>0</v>
      </c>
      <c r="I311" s="150">
        <f>IF(_xlfn.XLOOKUP(G311,Korrelation!$A$4:$A$723,Korrelation!$B$4:$B$723,0,0)=0,0,MATCH(_xlfn.XLOOKUP(G311,Korrelation!$A$4:$A$723,Korrelation!$B$4:$B$723,0,0),DMAV_Doku!$H$6:$H$483,0))</f>
        <v>0</v>
      </c>
      <c r="J311" s="158"/>
      <c r="K311" s="161"/>
      <c r="L311" s="161"/>
      <c r="M311" s="158"/>
      <c r="N311" s="51" t="s">
        <v>4172</v>
      </c>
      <c r="O311" s="51" t="s">
        <v>3892</v>
      </c>
      <c r="P311" s="51" t="s">
        <v>16</v>
      </c>
      <c r="Q311" s="51" t="s">
        <v>2790</v>
      </c>
      <c r="R311" s="51" t="s">
        <v>239</v>
      </c>
      <c r="S311" s="50" t="s">
        <v>950</v>
      </c>
      <c r="U311" s="52" t="s">
        <v>3511</v>
      </c>
      <c r="V311" s="55"/>
      <c r="W311" s="52" t="s">
        <v>3512</v>
      </c>
      <c r="Z311" s="199" t="s">
        <v>2799</v>
      </c>
      <c r="AB311" s="51" t="s">
        <v>4173</v>
      </c>
      <c r="AC311" s="51" t="s">
        <v>3893</v>
      </c>
      <c r="AD311" s="51" t="s">
        <v>705</v>
      </c>
      <c r="AE311" s="51" t="s">
        <v>2790</v>
      </c>
      <c r="AF311" s="51" t="s">
        <v>786</v>
      </c>
      <c r="AG311" s="50" t="s">
        <v>950</v>
      </c>
      <c r="AI311" s="52" t="s">
        <v>4277</v>
      </c>
      <c r="AK311" s="52" t="s">
        <v>4278</v>
      </c>
      <c r="AN311" s="199" t="s">
        <v>7242</v>
      </c>
      <c r="AP311" s="51" t="s">
        <v>4174</v>
      </c>
      <c r="AQ311" s="51" t="s">
        <v>3894</v>
      </c>
      <c r="AR311" s="51" t="s">
        <v>4175</v>
      </c>
      <c r="AS311" s="51" t="s">
        <v>2790</v>
      </c>
      <c r="AT311" s="51" t="s">
        <v>2067</v>
      </c>
      <c r="AU311" s="50" t="s">
        <v>950</v>
      </c>
      <c r="AW311" s="52" t="s">
        <v>4279</v>
      </c>
      <c r="AY311" s="52" t="s">
        <v>4280</v>
      </c>
      <c r="BB311" s="199" t="s">
        <v>6051</v>
      </c>
    </row>
    <row r="312" spans="1:54" x14ac:dyDescent="0.25">
      <c r="A312" s="51" t="s">
        <v>3806</v>
      </c>
      <c r="B312" s="51">
        <v>1</v>
      </c>
      <c r="E312" s="54" t="str" cm="1">
        <f t="array" aca="1" ref="E312" ca="1">IF(H312=0,"",HYPERLINK("#"&amp;RIGHT(CELL("dateiname"),LEN(CELL("dateiname"))-FIND("]",CELL("dateiname")))&amp;"!"&amp;CELL("adresse",OFFSET($Q$6,H312-1,0)),"Definition"))</f>
        <v/>
      </c>
      <c r="F312" s="54" t="str" cm="1">
        <f t="array" aca="1" ref="F312" ca="1">IF(I312=0,"",HYPERLINK("#"&amp;RIGHT(CELL("adresse",OFFSET(DMAV_Doku!$B$6,I312-1,0)),LEN(CELL("adresse",OFFSET(DMAV_Doku!$B$6,I312-1,0)))-SEARCH("]",CELL("adresse",OFFSET(DMAV_Doku!$B$6,I312-1,0)))),"ModDoc"))</f>
        <v/>
      </c>
      <c r="G312" s="150" t="str">
        <f t="shared" si="8"/>
        <v>MDG1</v>
      </c>
      <c r="H312" s="150">
        <f t="shared" si="9"/>
        <v>0</v>
      </c>
      <c r="I312" s="150">
        <f>IF(_xlfn.XLOOKUP(G312,Korrelation!$A$4:$A$723,Korrelation!$B$4:$B$723,0,0)=0,0,MATCH(_xlfn.XLOOKUP(G312,Korrelation!$A$4:$A$723,Korrelation!$B$4:$B$723,0,0),DMAV_Doku!$H$6:$H$483,0))</f>
        <v>0</v>
      </c>
      <c r="J312" s="158"/>
      <c r="K312" s="161"/>
      <c r="L312" s="161"/>
      <c r="M312" s="158"/>
      <c r="N312" s="51" t="s">
        <v>4281</v>
      </c>
      <c r="O312" s="51" t="s">
        <v>3880</v>
      </c>
      <c r="Q312" s="51" t="s">
        <v>910</v>
      </c>
      <c r="R312" s="51" t="s">
        <v>932</v>
      </c>
      <c r="V312" s="55"/>
      <c r="W312" s="52"/>
      <c r="AB312" s="51" t="s">
        <v>4282</v>
      </c>
      <c r="AC312" s="51" t="s">
        <v>3881</v>
      </c>
      <c r="AE312" s="51" t="s">
        <v>910</v>
      </c>
      <c r="AF312" s="51" t="s">
        <v>932</v>
      </c>
      <c r="AP312" s="51" t="s">
        <v>4283</v>
      </c>
      <c r="AQ312" s="51" t="s">
        <v>3882</v>
      </c>
      <c r="AS312" s="51" t="s">
        <v>910</v>
      </c>
      <c r="AT312" s="51" t="s">
        <v>932</v>
      </c>
    </row>
    <row r="313" spans="1:54" x14ac:dyDescent="0.25">
      <c r="A313" s="51" t="s">
        <v>3806</v>
      </c>
      <c r="B313" s="51">
        <v>2</v>
      </c>
      <c r="C313" s="51" t="s">
        <v>3829</v>
      </c>
      <c r="E313" s="54" t="str" cm="1">
        <f t="array" aca="1" ref="E313" ca="1">IF(H313=0,"",HYPERLINK("#"&amp;RIGHT(CELL("dateiname"),LEN(CELL("dateiname"))-FIND("]",CELL("dateiname")))&amp;"!"&amp;CELL("adresse",OFFSET($Q$6,H313-1,0)),"Definition"))</f>
        <v>Definition</v>
      </c>
      <c r="F313" s="54" t="str" cm="1">
        <f t="array" aca="1" ref="F313" ca="1">IF(I313=0,"",HYPERLINK("#"&amp;RIGHT(CELL("adresse",OFFSET(DMAV_Doku!$B$6,I313-1,0)),LEN(CELL("adresse",OFFSET(DMAV_Doku!$B$6,I313-1,0)))-SEARCH("]",CELL("adresse",OFFSET(DMAV_Doku!$B$6,I313-1,0)))),"ModDoc"))</f>
        <v/>
      </c>
      <c r="G313" s="150" t="str">
        <f t="shared" si="8"/>
        <v>MDG2</v>
      </c>
      <c r="H313" s="150">
        <f t="shared" si="9"/>
        <v>17</v>
      </c>
      <c r="I313" s="150">
        <f>IF(_xlfn.XLOOKUP(G313,Korrelation!$A$4:$A$723,Korrelation!$B$4:$B$723,0,0)=0,0,MATCH(_xlfn.XLOOKUP(G313,Korrelation!$A$4:$A$723,Korrelation!$B$4:$B$723,0,0),DMAV_Doku!$H$6:$H$483,0))</f>
        <v>0</v>
      </c>
      <c r="J313" s="158"/>
      <c r="K313" s="161"/>
      <c r="L313" s="161"/>
      <c r="M313" s="158"/>
      <c r="N313" s="51" t="s">
        <v>4281</v>
      </c>
      <c r="O313" s="51" t="s">
        <v>3880</v>
      </c>
      <c r="Q313" s="51" t="s">
        <v>910</v>
      </c>
      <c r="R313" s="51" t="s">
        <v>926</v>
      </c>
      <c r="W313" s="52"/>
      <c r="AB313" s="51" t="s">
        <v>4282</v>
      </c>
      <c r="AC313" s="51" t="s">
        <v>3881</v>
      </c>
      <c r="AE313" s="51" t="s">
        <v>910</v>
      </c>
      <c r="AF313" s="51" t="s">
        <v>3921</v>
      </c>
      <c r="AP313" s="51" t="s">
        <v>4283</v>
      </c>
      <c r="AQ313" s="51" t="s">
        <v>3882</v>
      </c>
      <c r="AS313" s="51" t="s">
        <v>910</v>
      </c>
      <c r="AT313" s="51" t="s">
        <v>3923</v>
      </c>
    </row>
    <row r="314" spans="1:54" x14ac:dyDescent="0.25">
      <c r="A314" s="51" t="s">
        <v>3806</v>
      </c>
      <c r="B314" s="51">
        <v>3</v>
      </c>
      <c r="C314" s="51" t="s">
        <v>3832</v>
      </c>
      <c r="E314" s="54" t="str" cm="1">
        <f t="array" aca="1" ref="E314" ca="1">IF(H314=0,"",HYPERLINK("#"&amp;RIGHT(CELL("dateiname"),LEN(CELL("dateiname"))-FIND("]",CELL("dateiname")))&amp;"!"&amp;CELL("adresse",OFFSET($Q$6,H314-1,0)),"Definition"))</f>
        <v>Definition</v>
      </c>
      <c r="F314" s="54" t="str" cm="1">
        <f t="array" aca="1" ref="F314" ca="1">IF(I314=0,"",HYPERLINK("#"&amp;RIGHT(CELL("adresse",OFFSET(DMAV_Doku!$B$6,I314-1,0)),LEN(CELL("adresse",OFFSET(DMAV_Doku!$B$6,I314-1,0)))-SEARCH("]",CELL("adresse",OFFSET(DMAV_Doku!$B$6,I314-1,0)))),"ModDoc"))</f>
        <v/>
      </c>
      <c r="G314" s="150" t="str">
        <f t="shared" si="8"/>
        <v>MDG3</v>
      </c>
      <c r="H314" s="150">
        <f t="shared" si="9"/>
        <v>18</v>
      </c>
      <c r="I314" s="150">
        <f>IF(_xlfn.XLOOKUP(G314,Korrelation!$A$4:$A$723,Korrelation!$B$4:$B$723,0,0)=0,0,MATCH(_xlfn.XLOOKUP(G314,Korrelation!$A$4:$A$723,Korrelation!$B$4:$B$723,0,0),DMAV_Doku!$H$6:$H$483,0))</f>
        <v>0</v>
      </c>
      <c r="J314" s="158"/>
      <c r="K314" s="161"/>
      <c r="L314" s="161"/>
      <c r="M314" s="158"/>
      <c r="N314" s="51" t="s">
        <v>4281</v>
      </c>
      <c r="O314" s="51" t="s">
        <v>3880</v>
      </c>
      <c r="Q314" s="51" t="s">
        <v>910</v>
      </c>
      <c r="R314" s="51" t="s">
        <v>930</v>
      </c>
      <c r="V314" s="55"/>
      <c r="W314" s="52"/>
      <c r="AB314" s="51" t="s">
        <v>4282</v>
      </c>
      <c r="AC314" s="51" t="s">
        <v>3881</v>
      </c>
      <c r="AE314" s="51" t="s">
        <v>910</v>
      </c>
      <c r="AF314" s="51" t="s">
        <v>3925</v>
      </c>
      <c r="AP314" s="51" t="s">
        <v>4283</v>
      </c>
      <c r="AQ314" s="51" t="s">
        <v>3882</v>
      </c>
      <c r="AS314" s="51" t="s">
        <v>910</v>
      </c>
      <c r="AT314" s="51" t="s">
        <v>3927</v>
      </c>
    </row>
    <row r="315" spans="1:54" x14ac:dyDescent="0.25">
      <c r="A315" s="51" t="s">
        <v>3806</v>
      </c>
      <c r="B315" s="51">
        <v>4</v>
      </c>
      <c r="E315" s="54" t="str" cm="1">
        <f t="array" aca="1" ref="E315" ca="1">IF(H315=0,"",HYPERLINK("#"&amp;RIGHT(CELL("dateiname"),LEN(CELL("dateiname"))-FIND("]",CELL("dateiname")))&amp;"!"&amp;CELL("adresse",OFFSET($Q$6,H315-1,0)),"Definition"))</f>
        <v/>
      </c>
      <c r="F315" s="54" t="str" cm="1">
        <f t="array" aca="1" ref="F315" ca="1">IF(I315=0,"",HYPERLINK("#"&amp;RIGHT(CELL("adresse",OFFSET(DMAV_Doku!$B$6,I315-1,0)),LEN(CELL("adresse",OFFSET(DMAV_Doku!$B$6,I315-1,0)))-SEARCH("]",CELL("adresse",OFFSET(DMAV_Doku!$B$6,I315-1,0)))),"ModDoc"))</f>
        <v>ModDoc</v>
      </c>
      <c r="G315" s="150" t="str">
        <f t="shared" si="8"/>
        <v>MDG4</v>
      </c>
      <c r="H315" s="150">
        <f t="shared" si="9"/>
        <v>0</v>
      </c>
      <c r="I315" s="150">
        <f>IF(_xlfn.XLOOKUP(G315,Korrelation!$A$4:$A$723,Korrelation!$B$4:$B$723,0,0)=0,0,MATCH(_xlfn.XLOOKUP(G315,Korrelation!$A$4:$A$723,Korrelation!$B$4:$B$723,0,0),DMAV_Doku!$H$6:$H$483,0))</f>
        <v>174</v>
      </c>
      <c r="J315" s="158"/>
      <c r="K315" s="161"/>
      <c r="L315" s="161"/>
      <c r="M315" s="158"/>
      <c r="N315" s="51" t="s">
        <v>4281</v>
      </c>
      <c r="O315" s="51" t="s">
        <v>3880</v>
      </c>
      <c r="P315" s="51" t="s">
        <v>3356</v>
      </c>
      <c r="Q315" s="51" t="s">
        <v>927</v>
      </c>
      <c r="R315" s="51" t="s">
        <v>3359</v>
      </c>
      <c r="W315" s="52" t="s">
        <v>3365</v>
      </c>
      <c r="AB315" s="51" t="s">
        <v>4282</v>
      </c>
      <c r="AC315" s="51" t="s">
        <v>3881</v>
      </c>
      <c r="AD315" s="51" t="s">
        <v>3357</v>
      </c>
      <c r="AE315" s="51" t="s">
        <v>927</v>
      </c>
      <c r="AF315" s="51" t="s">
        <v>3374</v>
      </c>
      <c r="AK315" s="52" t="s">
        <v>3375</v>
      </c>
      <c r="AP315" s="51" t="s">
        <v>4283</v>
      </c>
      <c r="AQ315" s="51" t="s">
        <v>3882</v>
      </c>
      <c r="AR315" s="51" t="s">
        <v>4284</v>
      </c>
      <c r="AS315" s="51" t="s">
        <v>927</v>
      </c>
      <c r="AT315" s="51" t="s">
        <v>4285</v>
      </c>
      <c r="AY315" s="52" t="s">
        <v>4286</v>
      </c>
    </row>
    <row r="316" spans="1:54" x14ac:dyDescent="0.25">
      <c r="A316" s="51" t="s">
        <v>3806</v>
      </c>
      <c r="B316" s="51">
        <v>5</v>
      </c>
      <c r="E316" s="54" t="str" cm="1">
        <f t="array" aca="1" ref="E316" ca="1">IF(H316=0,"",HYPERLINK("#"&amp;RIGHT(CELL("dateiname"),LEN(CELL("dateiname"))-FIND("]",CELL("dateiname")))&amp;"!"&amp;CELL("adresse",OFFSET($Q$6,H316-1,0)),"Definition"))</f>
        <v/>
      </c>
      <c r="F316" s="54" t="str" cm="1">
        <f t="array" aca="1" ref="F316" ca="1">IF(I316=0,"",HYPERLINK("#"&amp;RIGHT(CELL("adresse",OFFSET(DMAV_Doku!$B$6,I316-1,0)),LEN(CELL("adresse",OFFSET(DMAV_Doku!$B$6,I316-1,0)))-SEARCH("]",CELL("adresse",OFFSET(DMAV_Doku!$B$6,I316-1,0)))),"ModDoc"))</f>
        <v>ModDoc</v>
      </c>
      <c r="G316" s="150" t="str">
        <f t="shared" si="8"/>
        <v>MDG5</v>
      </c>
      <c r="H316" s="150">
        <f t="shared" si="9"/>
        <v>0</v>
      </c>
      <c r="I316" s="150">
        <f>IF(_xlfn.XLOOKUP(G316,Korrelation!$A$4:$A$723,Korrelation!$B$4:$B$723,0,0)=0,0,MATCH(_xlfn.XLOOKUP(G316,Korrelation!$A$4:$A$723,Korrelation!$B$4:$B$723,0,0),DMAV_Doku!$H$6:$H$483,0))</f>
        <v>175</v>
      </c>
      <c r="J316" s="158"/>
      <c r="K316" s="161"/>
      <c r="L316" s="161"/>
      <c r="M316" s="158"/>
      <c r="N316" s="51" t="s">
        <v>4281</v>
      </c>
      <c r="O316" s="51" t="s">
        <v>3880</v>
      </c>
      <c r="P316" s="51" t="s">
        <v>3356</v>
      </c>
      <c r="Q316" s="51" t="s">
        <v>927</v>
      </c>
      <c r="R316" s="51" t="s">
        <v>3359</v>
      </c>
      <c r="V316" s="55"/>
      <c r="W316" s="52" t="s">
        <v>3366</v>
      </c>
      <c r="AB316" s="51" t="s">
        <v>4282</v>
      </c>
      <c r="AC316" s="51" t="s">
        <v>3881</v>
      </c>
      <c r="AD316" s="51" t="s">
        <v>3357</v>
      </c>
      <c r="AE316" s="51" t="s">
        <v>927</v>
      </c>
      <c r="AF316" s="51" t="s">
        <v>3374</v>
      </c>
      <c r="AK316" s="52" t="s">
        <v>3376</v>
      </c>
      <c r="AP316" s="51" t="s">
        <v>4283</v>
      </c>
      <c r="AQ316" s="51" t="s">
        <v>3882</v>
      </c>
      <c r="AR316" s="51" t="s">
        <v>4284</v>
      </c>
      <c r="AS316" s="51" t="s">
        <v>927</v>
      </c>
      <c r="AT316" s="51" t="s">
        <v>4285</v>
      </c>
      <c r="AY316" s="52" t="s">
        <v>4287</v>
      </c>
    </row>
    <row r="317" spans="1:54" x14ac:dyDescent="0.25">
      <c r="A317" s="51" t="s">
        <v>3806</v>
      </c>
      <c r="B317" s="51">
        <v>6</v>
      </c>
      <c r="E317" s="54" t="str" cm="1">
        <f t="array" aca="1" ref="E317" ca="1">IF(H317=0,"",HYPERLINK("#"&amp;RIGHT(CELL("dateiname"),LEN(CELL("dateiname"))-FIND("]",CELL("dateiname")))&amp;"!"&amp;CELL("adresse",OFFSET($Q$6,H317-1,0)),"Definition"))</f>
        <v/>
      </c>
      <c r="F317" s="54" t="str" cm="1">
        <f t="array" aca="1" ref="F317" ca="1">IF(I317=0,"",HYPERLINK("#"&amp;RIGHT(CELL("adresse",OFFSET(DMAV_Doku!$B$6,I317-1,0)),LEN(CELL("adresse",OFFSET(DMAV_Doku!$B$6,I317-1,0)))-SEARCH("]",CELL("adresse",OFFSET(DMAV_Doku!$B$6,I317-1,0)))),"ModDoc"))</f>
        <v>ModDoc</v>
      </c>
      <c r="G317" s="150" t="str">
        <f t="shared" si="8"/>
        <v>MDG6</v>
      </c>
      <c r="H317" s="150">
        <f t="shared" si="9"/>
        <v>0</v>
      </c>
      <c r="I317" s="150">
        <f>IF(_xlfn.XLOOKUP(G317,Korrelation!$A$4:$A$723,Korrelation!$B$4:$B$723,0,0)=0,0,MATCH(_xlfn.XLOOKUP(G317,Korrelation!$A$4:$A$723,Korrelation!$B$4:$B$723,0,0),DMAV_Doku!$H$6:$H$483,0))</f>
        <v>176</v>
      </c>
      <c r="J317" s="158"/>
      <c r="K317" s="161"/>
      <c r="L317" s="161"/>
      <c r="M317" s="158"/>
      <c r="N317" s="51" t="s">
        <v>4281</v>
      </c>
      <c r="O317" s="51" t="s">
        <v>3880</v>
      </c>
      <c r="P317" s="51" t="s">
        <v>3356</v>
      </c>
      <c r="Q317" s="51" t="s">
        <v>927</v>
      </c>
      <c r="R317" s="51" t="s">
        <v>3359</v>
      </c>
      <c r="W317" s="52" t="s">
        <v>3367</v>
      </c>
      <c r="AB317" s="51" t="s">
        <v>4282</v>
      </c>
      <c r="AC317" s="51" t="s">
        <v>3881</v>
      </c>
      <c r="AD317" s="51" t="s">
        <v>3357</v>
      </c>
      <c r="AE317" s="51" t="s">
        <v>927</v>
      </c>
      <c r="AF317" s="51" t="s">
        <v>3374</v>
      </c>
      <c r="AK317" s="52" t="s">
        <v>3377</v>
      </c>
      <c r="AP317" s="51" t="s">
        <v>4283</v>
      </c>
      <c r="AQ317" s="51" t="s">
        <v>3882</v>
      </c>
      <c r="AR317" s="51" t="s">
        <v>4284</v>
      </c>
      <c r="AS317" s="51" t="s">
        <v>927</v>
      </c>
      <c r="AT317" s="51" t="s">
        <v>4285</v>
      </c>
      <c r="AY317" s="52" t="s">
        <v>4288</v>
      </c>
    </row>
    <row r="318" spans="1:54" x14ac:dyDescent="0.25">
      <c r="A318" s="51" t="s">
        <v>3806</v>
      </c>
      <c r="B318" s="51">
        <v>7</v>
      </c>
      <c r="D318" s="51" t="s">
        <v>3514</v>
      </c>
      <c r="E318" s="54" t="str" cm="1">
        <f t="array" aca="1" ref="E318" ca="1">IF(H318=0,"",HYPERLINK("#"&amp;RIGHT(CELL("dateiname"),LEN(CELL("dateiname"))-FIND("]",CELL("dateiname")))&amp;"!"&amp;CELL("adresse",OFFSET($Q$6,H318-1,0)),"Definition"))</f>
        <v/>
      </c>
      <c r="F318" s="54" t="str" cm="1">
        <f t="array" aca="1" ref="F318" ca="1">IF(I318=0,"",HYPERLINK("#"&amp;RIGHT(CELL("adresse",OFFSET(DMAV_Doku!$B$6,I318-1,0)),LEN(CELL("adresse",OFFSET(DMAV_Doku!$B$6,I318-1,0)))-SEARCH("]",CELL("adresse",OFFSET(DMAV_Doku!$B$6,I318-1,0)))),"ModDoc"))</f>
        <v>ModDoc</v>
      </c>
      <c r="G318" s="150" t="str">
        <f t="shared" si="8"/>
        <v>MDG7</v>
      </c>
      <c r="H318" s="150">
        <f t="shared" si="9"/>
        <v>0</v>
      </c>
      <c r="I318" s="150">
        <f>IF(_xlfn.XLOOKUP(G318,Korrelation!$A$4:$A$723,Korrelation!$B$4:$B$723,0,0)=0,0,MATCH(_xlfn.XLOOKUP(G318,Korrelation!$A$4:$A$723,Korrelation!$B$4:$B$723,0,0),DMAV_Doku!$H$6:$H$483,0))</f>
        <v>181</v>
      </c>
      <c r="J318" s="158"/>
      <c r="K318" s="161"/>
      <c r="L318" s="161"/>
      <c r="M318" s="158"/>
      <c r="N318" s="51" t="s">
        <v>4281</v>
      </c>
      <c r="O318" s="51" t="s">
        <v>3880</v>
      </c>
      <c r="P318" s="51" t="s">
        <v>3356</v>
      </c>
      <c r="Q318" s="51" t="s">
        <v>949</v>
      </c>
      <c r="R318" s="51" t="s">
        <v>307</v>
      </c>
      <c r="S318" s="50" t="s">
        <v>950</v>
      </c>
      <c r="T318" s="51" t="s">
        <v>959</v>
      </c>
      <c r="U318" s="52" t="s">
        <v>96</v>
      </c>
      <c r="W318" s="52" t="s">
        <v>951</v>
      </c>
      <c r="Z318" s="200" t="s">
        <v>6006</v>
      </c>
      <c r="AB318" s="51" t="s">
        <v>4282</v>
      </c>
      <c r="AC318" s="51" t="s">
        <v>3881</v>
      </c>
      <c r="AD318" s="51" t="s">
        <v>3357</v>
      </c>
      <c r="AE318" s="51" t="s">
        <v>949</v>
      </c>
      <c r="AF318" s="51" t="s">
        <v>4289</v>
      </c>
      <c r="AG318" s="50" t="s">
        <v>950</v>
      </c>
      <c r="AH318" s="51" t="s">
        <v>959</v>
      </c>
      <c r="AI318" s="52" t="s">
        <v>733</v>
      </c>
      <c r="AK318" s="52" t="s">
        <v>951</v>
      </c>
      <c r="AN318" s="52" t="s">
        <v>6008</v>
      </c>
      <c r="AP318" s="51" t="s">
        <v>4283</v>
      </c>
      <c r="AQ318" s="51" t="s">
        <v>3882</v>
      </c>
      <c r="AR318" s="51" t="s">
        <v>4284</v>
      </c>
      <c r="AS318" s="51" t="s">
        <v>949</v>
      </c>
      <c r="AT318" s="51" t="s">
        <v>4290</v>
      </c>
      <c r="AU318" s="50" t="s">
        <v>950</v>
      </c>
      <c r="AV318" s="51" t="s">
        <v>959</v>
      </c>
      <c r="AW318" s="52" t="s">
        <v>1378</v>
      </c>
      <c r="AY318" s="52" t="s">
        <v>951</v>
      </c>
      <c r="BB318" s="52" t="s">
        <v>6009</v>
      </c>
    </row>
    <row r="319" spans="1:54" x14ac:dyDescent="0.25">
      <c r="A319" s="51" t="s">
        <v>3806</v>
      </c>
      <c r="B319" s="51">
        <v>8</v>
      </c>
      <c r="D319" s="51" t="s">
        <v>3514</v>
      </c>
      <c r="E319" s="54" t="str" cm="1">
        <f t="array" aca="1" ref="E319" ca="1">IF(H319=0,"",HYPERLINK("#"&amp;RIGHT(CELL("dateiname"),LEN(CELL("dateiname"))-FIND("]",CELL("dateiname")))&amp;"!"&amp;CELL("adresse",OFFSET($Q$6,H319-1,0)),"Definition"))</f>
        <v/>
      </c>
      <c r="F319" s="54" t="str" cm="1">
        <f t="array" aca="1" ref="F319" ca="1">IF(I319=0,"",HYPERLINK("#"&amp;RIGHT(CELL("adresse",OFFSET(DMAV_Doku!$B$6,I319-1,0)),LEN(CELL("adresse",OFFSET(DMAV_Doku!$B$6,I319-1,0)))-SEARCH("]",CELL("adresse",OFFSET(DMAV_Doku!$B$6,I319-1,0)))),"ModDoc"))</f>
        <v>ModDoc</v>
      </c>
      <c r="G319" s="150" t="str">
        <f t="shared" si="8"/>
        <v>MDG8</v>
      </c>
      <c r="H319" s="150">
        <f t="shared" si="9"/>
        <v>0</v>
      </c>
      <c r="I319" s="150">
        <f>IF(_xlfn.XLOOKUP(G319,Korrelation!$A$4:$A$723,Korrelation!$B$4:$B$723,0,0)=0,0,MATCH(_xlfn.XLOOKUP(G319,Korrelation!$A$4:$A$723,Korrelation!$B$4:$B$723,0,0),DMAV_Doku!$H$6:$H$483,0))</f>
        <v>182</v>
      </c>
      <c r="J319" s="158"/>
      <c r="K319" s="161"/>
      <c r="L319" s="161"/>
      <c r="M319" s="158"/>
      <c r="N319" s="51" t="s">
        <v>4281</v>
      </c>
      <c r="O319" s="51" t="s">
        <v>3880</v>
      </c>
      <c r="P319" s="51" t="s">
        <v>3356</v>
      </c>
      <c r="Q319" s="51" t="s">
        <v>949</v>
      </c>
      <c r="R319" s="51" t="s">
        <v>307</v>
      </c>
      <c r="S319" s="50" t="s">
        <v>950</v>
      </c>
      <c r="T319" s="51" t="s">
        <v>959</v>
      </c>
      <c r="U319" s="52" t="s">
        <v>99</v>
      </c>
      <c r="W319" s="52" t="s">
        <v>951</v>
      </c>
      <c r="Z319" s="200" t="s">
        <v>6006</v>
      </c>
      <c r="AB319" s="51" t="s">
        <v>4282</v>
      </c>
      <c r="AC319" s="51" t="s">
        <v>3881</v>
      </c>
      <c r="AD319" s="51" t="s">
        <v>3357</v>
      </c>
      <c r="AE319" s="51" t="s">
        <v>949</v>
      </c>
      <c r="AF319" s="51" t="s">
        <v>4289</v>
      </c>
      <c r="AG319" s="50" t="s">
        <v>950</v>
      </c>
      <c r="AH319" s="51" t="s">
        <v>959</v>
      </c>
      <c r="AI319" s="52" t="s">
        <v>734</v>
      </c>
      <c r="AK319" s="52" t="s">
        <v>951</v>
      </c>
      <c r="AN319" s="52" t="s">
        <v>6008</v>
      </c>
      <c r="AP319" s="51" t="s">
        <v>4283</v>
      </c>
      <c r="AQ319" s="51" t="s">
        <v>3882</v>
      </c>
      <c r="AR319" s="51" t="s">
        <v>4284</v>
      </c>
      <c r="AS319" s="51" t="s">
        <v>949</v>
      </c>
      <c r="AT319" s="51" t="s">
        <v>4290</v>
      </c>
      <c r="AU319" s="50" t="s">
        <v>950</v>
      </c>
      <c r="AV319" s="51" t="s">
        <v>959</v>
      </c>
      <c r="AW319" s="52" t="s">
        <v>1376</v>
      </c>
      <c r="AY319" s="52" t="s">
        <v>951</v>
      </c>
      <c r="BB319" s="52" t="s">
        <v>6009</v>
      </c>
    </row>
    <row r="320" spans="1:54" x14ac:dyDescent="0.25">
      <c r="A320" s="51" t="s">
        <v>3806</v>
      </c>
      <c r="B320" s="51">
        <v>9</v>
      </c>
      <c r="E320" s="54" t="str" cm="1">
        <f t="array" aca="1" ref="E320" ca="1">IF(H320=0,"",HYPERLINK("#"&amp;RIGHT(CELL("dateiname"),LEN(CELL("dateiname"))-FIND("]",CELL("dateiname")))&amp;"!"&amp;CELL("adresse",OFFSET($Q$6,H320-1,0)),"Definition"))</f>
        <v/>
      </c>
      <c r="F320" s="54" t="str" cm="1">
        <f t="array" aca="1" ref="F320" ca="1">IF(I320=0,"",HYPERLINK("#"&amp;RIGHT(CELL("adresse",OFFSET(DMAV_Doku!$B$6,I320-1,0)),LEN(CELL("adresse",OFFSET(DMAV_Doku!$B$6,I320-1,0)))-SEARCH("]",CELL("adresse",OFFSET(DMAV_Doku!$B$6,I320-1,0)))),"ModDoc"))</f>
        <v>ModDoc</v>
      </c>
      <c r="G320" s="150" t="str">
        <f t="shared" si="8"/>
        <v>MDG9</v>
      </c>
      <c r="H320" s="150">
        <f t="shared" si="9"/>
        <v>0</v>
      </c>
      <c r="I320" s="150">
        <f>IF(_xlfn.XLOOKUP(G320,Korrelation!$A$4:$A$723,Korrelation!$B$4:$B$723,0,0)=0,0,MATCH(_xlfn.XLOOKUP(G320,Korrelation!$A$4:$A$723,Korrelation!$B$4:$B$723,0,0),DMAV_Doku!$H$6:$H$483,0))</f>
        <v>183</v>
      </c>
      <c r="J320" s="158"/>
      <c r="K320" s="161"/>
      <c r="L320" s="161"/>
      <c r="M320" s="158"/>
      <c r="N320" s="51" t="s">
        <v>4281</v>
      </c>
      <c r="O320" s="51" t="s">
        <v>3880</v>
      </c>
      <c r="P320" s="51" t="s">
        <v>3356</v>
      </c>
      <c r="Q320" s="51" t="s">
        <v>949</v>
      </c>
      <c r="R320" s="51" t="s">
        <v>307</v>
      </c>
      <c r="S320" s="50" t="s">
        <v>950</v>
      </c>
      <c r="U320" s="52" t="s">
        <v>101</v>
      </c>
      <c r="W320" s="52" t="s">
        <v>964</v>
      </c>
      <c r="AB320" s="51" t="s">
        <v>4282</v>
      </c>
      <c r="AC320" s="51" t="s">
        <v>3881</v>
      </c>
      <c r="AD320" s="51" t="s">
        <v>3357</v>
      </c>
      <c r="AE320" s="51" t="s">
        <v>949</v>
      </c>
      <c r="AF320" s="51" t="s">
        <v>4289</v>
      </c>
      <c r="AG320" s="50" t="s">
        <v>950</v>
      </c>
      <c r="AI320" s="52" t="s">
        <v>735</v>
      </c>
      <c r="AK320" s="52" t="s">
        <v>964</v>
      </c>
      <c r="AP320" s="51" t="s">
        <v>4283</v>
      </c>
      <c r="AQ320" s="51" t="s">
        <v>3882</v>
      </c>
      <c r="AR320" s="51" t="s">
        <v>4284</v>
      </c>
      <c r="AS320" s="51" t="s">
        <v>949</v>
      </c>
      <c r="AT320" s="51" t="s">
        <v>4290</v>
      </c>
      <c r="AU320" s="50" t="s">
        <v>950</v>
      </c>
      <c r="AW320" s="52" t="s">
        <v>1294</v>
      </c>
      <c r="AY320" s="52" t="s">
        <v>964</v>
      </c>
    </row>
    <row r="321" spans="1:51" ht="38.25" x14ac:dyDescent="0.25">
      <c r="A321" s="51" t="s">
        <v>3806</v>
      </c>
      <c r="B321" s="51">
        <v>10</v>
      </c>
      <c r="E321" s="54" t="str" cm="1">
        <f t="array" aca="1" ref="E321" ca="1">IF(H321=0,"",HYPERLINK("#"&amp;RIGHT(CELL("dateiname"),LEN(CELL("dateiname"))-FIND("]",CELL("dateiname")))&amp;"!"&amp;CELL("adresse",OFFSET($Q$6,H321-1,0)),"Definition"))</f>
        <v/>
      </c>
      <c r="F321" s="54" t="str" cm="1">
        <f t="array" aca="1" ref="F321" ca="1">IF(I321=0,"",HYPERLINK("#"&amp;RIGHT(CELL("adresse",OFFSET(DMAV_Doku!$B$6,I321-1,0)),LEN(CELL("adresse",OFFSET(DMAV_Doku!$B$6,I321-1,0)))-SEARCH("]",CELL("adresse",OFFSET(DMAV_Doku!$B$6,I321-1,0)))),"ModDoc"))</f>
        <v>ModDoc</v>
      </c>
      <c r="G321" s="150" t="str">
        <f t="shared" si="8"/>
        <v>MDG10</v>
      </c>
      <c r="H321" s="150">
        <f t="shared" si="9"/>
        <v>0</v>
      </c>
      <c r="I321" s="150">
        <f>IF(_xlfn.XLOOKUP(G321,Korrelation!$A$4:$A$723,Korrelation!$B$4:$B$723,0,0)=0,0,MATCH(_xlfn.XLOOKUP(G321,Korrelation!$A$4:$A$723,Korrelation!$B$4:$B$723,0,0),DMAV_Doku!$H$6:$H$483,0))</f>
        <v>184</v>
      </c>
      <c r="J321" s="158"/>
      <c r="K321" s="161"/>
      <c r="L321" s="161"/>
      <c r="M321" s="158"/>
      <c r="N321" s="51" t="s">
        <v>4281</v>
      </c>
      <c r="O321" s="51" t="s">
        <v>3880</v>
      </c>
      <c r="P321" s="51" t="s">
        <v>3356</v>
      </c>
      <c r="Q321" s="51" t="s">
        <v>949</v>
      </c>
      <c r="R321" s="51" t="s">
        <v>307</v>
      </c>
      <c r="U321" s="52" t="s">
        <v>104</v>
      </c>
      <c r="W321" s="52" t="s">
        <v>965</v>
      </c>
      <c r="AB321" s="51" t="s">
        <v>4282</v>
      </c>
      <c r="AC321" s="51" t="s">
        <v>3881</v>
      </c>
      <c r="AD321" s="51" t="s">
        <v>3357</v>
      </c>
      <c r="AE321" s="51" t="s">
        <v>949</v>
      </c>
      <c r="AF321" s="51" t="s">
        <v>4289</v>
      </c>
      <c r="AI321" s="52" t="s">
        <v>736</v>
      </c>
      <c r="AK321" s="52" t="s">
        <v>965</v>
      </c>
      <c r="AP321" s="51" t="s">
        <v>4283</v>
      </c>
      <c r="AQ321" s="51" t="s">
        <v>3882</v>
      </c>
      <c r="AR321" s="51" t="s">
        <v>4284</v>
      </c>
      <c r="AS321" s="51" t="s">
        <v>949</v>
      </c>
      <c r="AT321" s="51" t="s">
        <v>4290</v>
      </c>
      <c r="AW321" s="52" t="s">
        <v>1595</v>
      </c>
      <c r="AY321" s="52" t="s">
        <v>965</v>
      </c>
    </row>
    <row r="322" spans="1:51" x14ac:dyDescent="0.25">
      <c r="A322" s="51" t="s">
        <v>3806</v>
      </c>
      <c r="B322" s="51">
        <v>11</v>
      </c>
      <c r="E322" s="54" t="str" cm="1">
        <f t="array" aca="1" ref="E322" ca="1">IF(H322=0,"",HYPERLINK("#"&amp;RIGHT(CELL("dateiname"),LEN(CELL("dateiname"))-FIND("]",CELL("dateiname")))&amp;"!"&amp;CELL("adresse",OFFSET($Q$6,H322-1,0)),"Definition"))</f>
        <v/>
      </c>
      <c r="F322" s="54" t="str" cm="1">
        <f t="array" aca="1" ref="F322" ca="1">IF(I322=0,"",HYPERLINK("#"&amp;RIGHT(CELL("adresse",OFFSET(DMAV_Doku!$B$6,I322-1,0)),LEN(CELL("adresse",OFFSET(DMAV_Doku!$B$6,I322-1,0)))-SEARCH("]",CELL("adresse",OFFSET(DMAV_Doku!$B$6,I322-1,0)))),"ModDoc"))</f>
        <v>ModDoc</v>
      </c>
      <c r="G322" s="150" t="str">
        <f t="shared" si="8"/>
        <v>MDG11</v>
      </c>
      <c r="H322" s="150">
        <f t="shared" si="9"/>
        <v>0</v>
      </c>
      <c r="I322" s="150">
        <f>IF(_xlfn.XLOOKUP(G322,Korrelation!$A$4:$A$723,Korrelation!$B$4:$B$723,0,0)=0,0,MATCH(_xlfn.XLOOKUP(G322,Korrelation!$A$4:$A$723,Korrelation!$B$4:$B$723,0,0),DMAV_Doku!$H$6:$H$483,0))</f>
        <v>185</v>
      </c>
      <c r="J322" s="158"/>
      <c r="K322" s="161"/>
      <c r="L322" s="161"/>
      <c r="M322" s="158"/>
      <c r="N322" s="51" t="s">
        <v>4281</v>
      </c>
      <c r="O322" s="51" t="s">
        <v>3880</v>
      </c>
      <c r="P322" s="51" t="s">
        <v>3356</v>
      </c>
      <c r="Q322" s="51" t="s">
        <v>949</v>
      </c>
      <c r="R322" s="51" t="s">
        <v>307</v>
      </c>
      <c r="S322" s="50" t="s">
        <v>950</v>
      </c>
      <c r="U322" s="52" t="s">
        <v>107</v>
      </c>
      <c r="W322" s="52" t="s">
        <v>966</v>
      </c>
      <c r="AB322" s="51" t="s">
        <v>4282</v>
      </c>
      <c r="AC322" s="51" t="s">
        <v>3881</v>
      </c>
      <c r="AD322" s="51" t="s">
        <v>3357</v>
      </c>
      <c r="AE322" s="51" t="s">
        <v>949</v>
      </c>
      <c r="AF322" s="51" t="s">
        <v>4289</v>
      </c>
      <c r="AG322" s="50" t="s">
        <v>950</v>
      </c>
      <c r="AI322" s="52" t="s">
        <v>737</v>
      </c>
      <c r="AK322" s="52" t="s">
        <v>4013</v>
      </c>
      <c r="AP322" s="51" t="s">
        <v>4283</v>
      </c>
      <c r="AQ322" s="51" t="s">
        <v>3882</v>
      </c>
      <c r="AR322" s="51" t="s">
        <v>4284</v>
      </c>
      <c r="AS322" s="51" t="s">
        <v>949</v>
      </c>
      <c r="AT322" s="51" t="s">
        <v>4290</v>
      </c>
      <c r="AU322" s="50" t="s">
        <v>950</v>
      </c>
      <c r="AW322" s="52" t="s">
        <v>4014</v>
      </c>
      <c r="AY322" s="52" t="s">
        <v>4013</v>
      </c>
    </row>
    <row r="323" spans="1:51" x14ac:dyDescent="0.25">
      <c r="A323" s="51" t="s">
        <v>3806</v>
      </c>
      <c r="B323" s="51">
        <v>12</v>
      </c>
      <c r="E323" s="54" t="str" cm="1">
        <f t="array" aca="1" ref="E323" ca="1">IF(H323=0,"",HYPERLINK("#"&amp;RIGHT(CELL("dateiname"),LEN(CELL("dateiname"))-FIND("]",CELL("dateiname")))&amp;"!"&amp;CELL("adresse",OFFSET($Q$6,H323-1,0)),"Definition"))</f>
        <v/>
      </c>
      <c r="F323" s="54" t="str" cm="1">
        <f t="array" aca="1" ref="F323" ca="1">IF(I323=0,"",HYPERLINK("#"&amp;RIGHT(CELL("adresse",OFFSET(DMAV_Doku!$B$6,I323-1,0)),LEN(CELL("adresse",OFFSET(DMAV_Doku!$B$6,I323-1,0)))-SEARCH("]",CELL("adresse",OFFSET(DMAV_Doku!$B$6,I323-1,0)))),"ModDoc"))</f>
        <v>ModDoc</v>
      </c>
      <c r="G323" s="150" t="str">
        <f t="shared" si="8"/>
        <v>MDG12</v>
      </c>
      <c r="H323" s="150">
        <f t="shared" si="9"/>
        <v>0</v>
      </c>
      <c r="I323" s="150">
        <f>IF(_xlfn.XLOOKUP(G323,Korrelation!$A$4:$A$723,Korrelation!$B$4:$B$723,0,0)=0,0,MATCH(_xlfn.XLOOKUP(G323,Korrelation!$A$4:$A$723,Korrelation!$B$4:$B$723,0,0),DMAV_Doku!$H$6:$H$483,0))</f>
        <v>186</v>
      </c>
      <c r="J323" s="158"/>
      <c r="K323" s="161"/>
      <c r="L323" s="161"/>
      <c r="M323" s="158"/>
      <c r="N323" s="51" t="s">
        <v>4281</v>
      </c>
      <c r="O323" s="51" t="s">
        <v>3880</v>
      </c>
      <c r="P323" s="51" t="s">
        <v>3356</v>
      </c>
      <c r="Q323" s="51" t="s">
        <v>949</v>
      </c>
      <c r="R323" s="51" t="s">
        <v>307</v>
      </c>
      <c r="U323" s="52" t="s">
        <v>238</v>
      </c>
      <c r="W323" s="52" t="s">
        <v>966</v>
      </c>
      <c r="AB323" s="51" t="s">
        <v>4282</v>
      </c>
      <c r="AC323" s="51" t="s">
        <v>3881</v>
      </c>
      <c r="AD323" s="51" t="s">
        <v>3357</v>
      </c>
      <c r="AE323" s="51" t="s">
        <v>949</v>
      </c>
      <c r="AF323" s="51" t="s">
        <v>4289</v>
      </c>
      <c r="AI323" s="52" t="s">
        <v>785</v>
      </c>
      <c r="AK323" s="52" t="s">
        <v>4013</v>
      </c>
      <c r="AP323" s="51" t="s">
        <v>4283</v>
      </c>
      <c r="AQ323" s="51" t="s">
        <v>3882</v>
      </c>
      <c r="AR323" s="51" t="s">
        <v>4284</v>
      </c>
      <c r="AS323" s="51" t="s">
        <v>949</v>
      </c>
      <c r="AT323" s="51" t="s">
        <v>4290</v>
      </c>
      <c r="AW323" s="52" t="s">
        <v>4183</v>
      </c>
      <c r="AY323" s="52" t="s">
        <v>4013</v>
      </c>
    </row>
    <row r="324" spans="1:51" ht="38.25" x14ac:dyDescent="0.25">
      <c r="A324" s="51" t="s">
        <v>3806</v>
      </c>
      <c r="B324" s="51">
        <v>13</v>
      </c>
      <c r="E324" s="54" t="str" cm="1">
        <f t="array" aca="1" ref="E324" ca="1">IF(H324=0,"",HYPERLINK("#"&amp;RIGHT(CELL("dateiname"),LEN(CELL("dateiname"))-FIND("]",CELL("dateiname")))&amp;"!"&amp;CELL("adresse",OFFSET($Q$6,H324-1,0)),"Definition"))</f>
        <v/>
      </c>
      <c r="F324" s="54" t="str" cm="1">
        <f t="array" aca="1" ref="F324" ca="1">IF(I324=0,"",HYPERLINK("#"&amp;RIGHT(CELL("adresse",OFFSET(DMAV_Doku!$B$6,I324-1,0)),LEN(CELL("adresse",OFFSET(DMAV_Doku!$B$6,I324-1,0)))-SEARCH("]",CELL("adresse",OFFSET(DMAV_Doku!$B$6,I324-1,0)))),"ModDoc"))</f>
        <v>ModDoc</v>
      </c>
      <c r="G324" s="150" t="str">
        <f t="shared" si="8"/>
        <v>MDG13</v>
      </c>
      <c r="H324" s="150">
        <f t="shared" si="9"/>
        <v>0</v>
      </c>
      <c r="I324" s="150">
        <f>IF(_xlfn.XLOOKUP(G324,Korrelation!$A$4:$A$723,Korrelation!$B$4:$B$723,0,0)=0,0,MATCH(_xlfn.XLOOKUP(G324,Korrelation!$A$4:$A$723,Korrelation!$B$4:$B$723,0,0),DMAV_Doku!$H$6:$H$483,0))</f>
        <v>177</v>
      </c>
      <c r="J324" s="158"/>
      <c r="K324" s="161"/>
      <c r="L324" s="161"/>
      <c r="M324" s="158"/>
      <c r="N324" s="51" t="s">
        <v>4281</v>
      </c>
      <c r="O324" s="51" t="s">
        <v>3880</v>
      </c>
      <c r="P324" s="51" t="s">
        <v>3356</v>
      </c>
      <c r="Q324" s="51" t="s">
        <v>1067</v>
      </c>
      <c r="R324" s="51" t="s">
        <v>317</v>
      </c>
      <c r="S324" s="50" t="s">
        <v>950</v>
      </c>
      <c r="U324" s="52" t="s">
        <v>123</v>
      </c>
      <c r="W324" s="52" t="s">
        <v>965</v>
      </c>
      <c r="AB324" s="51" t="s">
        <v>4282</v>
      </c>
      <c r="AC324" s="51" t="s">
        <v>3881</v>
      </c>
      <c r="AD324" s="51" t="s">
        <v>3357</v>
      </c>
      <c r="AE324" s="51" t="s">
        <v>1067</v>
      </c>
      <c r="AF324" s="51" t="s">
        <v>798</v>
      </c>
      <c r="AG324" s="50" t="s">
        <v>950</v>
      </c>
      <c r="AI324" s="52" t="s">
        <v>123</v>
      </c>
      <c r="AK324" s="52" t="s">
        <v>965</v>
      </c>
      <c r="AP324" s="51" t="s">
        <v>4283</v>
      </c>
      <c r="AQ324" s="51" t="s">
        <v>3882</v>
      </c>
      <c r="AR324" s="51" t="s">
        <v>4284</v>
      </c>
      <c r="AS324" s="51" t="s">
        <v>1067</v>
      </c>
      <c r="AT324" s="51" t="s">
        <v>4291</v>
      </c>
      <c r="AU324" s="50" t="s">
        <v>950</v>
      </c>
      <c r="AW324" s="52" t="s">
        <v>1247</v>
      </c>
      <c r="AY324" s="52" t="s">
        <v>965</v>
      </c>
    </row>
    <row r="325" spans="1:51" x14ac:dyDescent="0.25">
      <c r="A325" s="51" t="s">
        <v>3806</v>
      </c>
      <c r="B325" s="51">
        <v>14</v>
      </c>
      <c r="E325" s="54" t="str" cm="1">
        <f t="array" aca="1" ref="E325" ca="1">IF(H325=0,"",HYPERLINK("#"&amp;RIGHT(CELL("dateiname"),LEN(CELL("dateiname"))-FIND("]",CELL("dateiname")))&amp;"!"&amp;CELL("adresse",OFFSET($Q$6,H325-1,0)),"Definition"))</f>
        <v/>
      </c>
      <c r="F325" s="54" t="str" cm="1">
        <f t="array" aca="1" ref="F325" ca="1">IF(I325=0,"",HYPERLINK("#"&amp;RIGHT(CELL("adresse",OFFSET(DMAV_Doku!$B$6,I325-1,0)),LEN(CELL("adresse",OFFSET(DMAV_Doku!$B$6,I325-1,0)))-SEARCH("]",CELL("adresse",OFFSET(DMAV_Doku!$B$6,I325-1,0)))),"ModDoc"))</f>
        <v>ModDoc</v>
      </c>
      <c r="G325" s="150" t="str">
        <f t="shared" si="8"/>
        <v>MDG14</v>
      </c>
      <c r="H325" s="150">
        <f t="shared" si="9"/>
        <v>0</v>
      </c>
      <c r="I325" s="150">
        <f>IF(_xlfn.XLOOKUP(G325,Korrelation!$A$4:$A$723,Korrelation!$B$4:$B$723,0,0)=0,0,MATCH(_xlfn.XLOOKUP(G325,Korrelation!$A$4:$A$723,Korrelation!$B$4:$B$723,0,0),DMAV_Doku!$H$6:$H$483,0))</f>
        <v>178</v>
      </c>
      <c r="J325" s="158"/>
      <c r="K325" s="161"/>
      <c r="L325" s="161"/>
      <c r="M325" s="158"/>
      <c r="N325" s="51" t="s">
        <v>4281</v>
      </c>
      <c r="O325" s="51" t="s">
        <v>3880</v>
      </c>
      <c r="P325" s="51" t="s">
        <v>3356</v>
      </c>
      <c r="Q325" s="51" t="s">
        <v>1067</v>
      </c>
      <c r="R325" s="51" t="s">
        <v>302</v>
      </c>
      <c r="S325" s="50" t="s">
        <v>950</v>
      </c>
      <c r="U325" s="52" t="s">
        <v>123</v>
      </c>
      <c r="W325" s="52" t="s">
        <v>990</v>
      </c>
      <c r="AB325" s="51" t="s">
        <v>4282</v>
      </c>
      <c r="AC325" s="51" t="s">
        <v>3881</v>
      </c>
      <c r="AD325" s="51" t="s">
        <v>3357</v>
      </c>
      <c r="AE325" s="51" t="s">
        <v>1067</v>
      </c>
      <c r="AF325" s="51" t="s">
        <v>799</v>
      </c>
      <c r="AG325" s="50" t="s">
        <v>950</v>
      </c>
      <c r="AI325" s="52" t="s">
        <v>123</v>
      </c>
      <c r="AK325" s="52" t="s">
        <v>990</v>
      </c>
      <c r="AP325" s="51" t="s">
        <v>4283</v>
      </c>
      <c r="AQ325" s="51" t="s">
        <v>3882</v>
      </c>
      <c r="AR325" s="51" t="s">
        <v>4284</v>
      </c>
      <c r="AS325" s="51" t="s">
        <v>1067</v>
      </c>
      <c r="AT325" s="51" t="s">
        <v>4292</v>
      </c>
      <c r="AU325" s="50" t="s">
        <v>950</v>
      </c>
      <c r="AW325" s="52" t="s">
        <v>1247</v>
      </c>
      <c r="AY325" s="52" t="s">
        <v>990</v>
      </c>
    </row>
    <row r="326" spans="1:51" x14ac:dyDescent="0.25">
      <c r="A326" s="51" t="s">
        <v>3806</v>
      </c>
      <c r="B326" s="51">
        <v>15</v>
      </c>
      <c r="E326" s="54" t="str" cm="1">
        <f t="array" aca="1" ref="E326" ca="1">IF(H326=0,"",HYPERLINK("#"&amp;RIGHT(CELL("dateiname"),LEN(CELL("dateiname"))-FIND("]",CELL("dateiname")))&amp;"!"&amp;CELL("adresse",OFFSET($Q$6,H326-1,0)),"Definition"))</f>
        <v/>
      </c>
      <c r="F326" s="54" t="str" cm="1">
        <f t="array" aca="1" ref="F326" ca="1">IF(I326=0,"",HYPERLINK("#"&amp;RIGHT(CELL("adresse",OFFSET(DMAV_Doku!$B$6,I326-1,0)),LEN(CELL("adresse",OFFSET(DMAV_Doku!$B$6,I326-1,0)))-SEARCH("]",CELL("adresse",OFFSET(DMAV_Doku!$B$6,I326-1,0)))),"ModDoc"))</f>
        <v>ModDoc</v>
      </c>
      <c r="G326" s="150" t="str">
        <f t="shared" si="8"/>
        <v>MDG15</v>
      </c>
      <c r="H326" s="150">
        <f t="shared" si="9"/>
        <v>0</v>
      </c>
      <c r="I326" s="150">
        <f>IF(_xlfn.XLOOKUP(G326,Korrelation!$A$4:$A$723,Korrelation!$B$4:$B$723,0,0)=0,0,MATCH(_xlfn.XLOOKUP(G326,Korrelation!$A$4:$A$723,Korrelation!$B$4:$B$723,0,0),DMAV_Doku!$H$6:$H$483,0))</f>
        <v>179</v>
      </c>
      <c r="J326" s="158"/>
      <c r="K326" s="161"/>
      <c r="L326" s="161"/>
      <c r="M326" s="158"/>
      <c r="N326" s="51" t="s">
        <v>4281</v>
      </c>
      <c r="O326" s="51" t="s">
        <v>3880</v>
      </c>
      <c r="P326" s="51" t="s">
        <v>3356</v>
      </c>
      <c r="Q326" s="51" t="s">
        <v>1067</v>
      </c>
      <c r="R326" s="51" t="s">
        <v>304</v>
      </c>
      <c r="S326" s="50" t="s">
        <v>950</v>
      </c>
      <c r="U326" s="52" t="s">
        <v>123</v>
      </c>
      <c r="W326" s="52" t="s">
        <v>952</v>
      </c>
      <c r="Z326" s="116"/>
      <c r="AB326" s="51" t="s">
        <v>4282</v>
      </c>
      <c r="AC326" s="51" t="s">
        <v>3881</v>
      </c>
      <c r="AD326" s="51" t="s">
        <v>3357</v>
      </c>
      <c r="AE326" s="51" t="s">
        <v>1067</v>
      </c>
      <c r="AF326" s="51" t="s">
        <v>800</v>
      </c>
      <c r="AG326" s="50" t="s">
        <v>950</v>
      </c>
      <c r="AI326" s="52" t="s">
        <v>123</v>
      </c>
      <c r="AK326" s="52" t="s">
        <v>952</v>
      </c>
      <c r="AP326" s="51" t="s">
        <v>4283</v>
      </c>
      <c r="AQ326" s="51" t="s">
        <v>3882</v>
      </c>
      <c r="AR326" s="51" t="s">
        <v>4284</v>
      </c>
      <c r="AS326" s="51" t="s">
        <v>1067</v>
      </c>
      <c r="AT326" s="51" t="s">
        <v>4293</v>
      </c>
      <c r="AU326" s="50" t="s">
        <v>950</v>
      </c>
      <c r="AW326" s="52" t="s">
        <v>1247</v>
      </c>
      <c r="AY326" s="52" t="s">
        <v>952</v>
      </c>
    </row>
    <row r="327" spans="1:51" x14ac:dyDescent="0.25">
      <c r="A327" s="51" t="s">
        <v>3806</v>
      </c>
      <c r="B327" s="51">
        <v>16</v>
      </c>
      <c r="C327" s="51" t="s">
        <v>3826</v>
      </c>
      <c r="E327" s="54" t="str" cm="1">
        <f t="array" aca="1" ref="E327" ca="1">IF(H327=0,"",HYPERLINK("#"&amp;RIGHT(CELL("dateiname"),LEN(CELL("dateiname"))-FIND("]",CELL("dateiname")))&amp;"!"&amp;CELL("adresse",OFFSET($Q$6,H327-1,0)),"Definition"))</f>
        <v>Definition</v>
      </c>
      <c r="F327" s="54" t="str" cm="1">
        <f t="array" aca="1" ref="F327" ca="1">IF(I327=0,"",HYPERLINK("#"&amp;RIGHT(CELL("adresse",OFFSET(DMAV_Doku!$B$6,I327-1,0)),LEN(CELL("adresse",OFFSET(DMAV_Doku!$B$6,I327-1,0)))-SEARCH("]",CELL("adresse",OFFSET(DMAV_Doku!$B$6,I327-1,0)))),"ModDoc"))</f>
        <v>ModDoc</v>
      </c>
      <c r="G327" s="150" t="str">
        <f t="shared" ref="G327:G390" si="10">A327&amp;B327</f>
        <v>MDG16</v>
      </c>
      <c r="H327" s="150">
        <f t="shared" ref="H327:H390" si="11">IF(C327="",0,MATCH(C327,$G$6:$G$677,0))</f>
        <v>20</v>
      </c>
      <c r="I327" s="150">
        <f>IF(_xlfn.XLOOKUP(G327,Korrelation!$A$4:$A$723,Korrelation!$B$4:$B$723,0,0)=0,0,MATCH(_xlfn.XLOOKUP(G327,Korrelation!$A$4:$A$723,Korrelation!$B$4:$B$723,0,0),DMAV_Doku!$H$6:$H$483,0))</f>
        <v>180</v>
      </c>
      <c r="J327" s="158"/>
      <c r="K327" s="161"/>
      <c r="L327" s="161"/>
      <c r="M327" s="158"/>
      <c r="N327" s="51" t="s">
        <v>4281</v>
      </c>
      <c r="O327" s="51" t="s">
        <v>3880</v>
      </c>
      <c r="P327" s="51" t="s">
        <v>3356</v>
      </c>
      <c r="Q327" s="51" t="s">
        <v>1067</v>
      </c>
      <c r="R327" s="51" t="s">
        <v>304</v>
      </c>
      <c r="U327" s="52" t="s">
        <v>149</v>
      </c>
      <c r="W327" s="52" t="s">
        <v>961</v>
      </c>
      <c r="AB327" s="51" t="s">
        <v>4282</v>
      </c>
      <c r="AC327" s="51" t="s">
        <v>3881</v>
      </c>
      <c r="AD327" s="51" t="s">
        <v>3357</v>
      </c>
      <c r="AE327" s="51" t="s">
        <v>1067</v>
      </c>
      <c r="AF327" s="51" t="s">
        <v>800</v>
      </c>
      <c r="AI327" s="52" t="s">
        <v>756</v>
      </c>
      <c r="AK327" s="52" t="s">
        <v>4033</v>
      </c>
      <c r="AP327" s="51" t="s">
        <v>4283</v>
      </c>
      <c r="AQ327" s="51" t="s">
        <v>3882</v>
      </c>
      <c r="AR327" s="51" t="s">
        <v>4284</v>
      </c>
      <c r="AS327" s="51" t="s">
        <v>1067</v>
      </c>
      <c r="AT327" s="51" t="s">
        <v>4293</v>
      </c>
      <c r="AW327" s="52" t="s">
        <v>4034</v>
      </c>
      <c r="AY327" s="52" t="s">
        <v>4035</v>
      </c>
    </row>
    <row r="328" spans="1:51" x14ac:dyDescent="0.25">
      <c r="A328" s="51" t="s">
        <v>3806</v>
      </c>
      <c r="B328" s="51">
        <v>17</v>
      </c>
      <c r="E328" s="54" t="str" cm="1">
        <f t="array" aca="1" ref="E328" ca="1">IF(H328=0,"",HYPERLINK("#"&amp;RIGHT(CELL("dateiname"),LEN(CELL("dateiname"))-FIND("]",CELL("dateiname")))&amp;"!"&amp;CELL("adresse",OFFSET($Q$6,H328-1,0)),"Definition"))</f>
        <v/>
      </c>
      <c r="F328" s="54" t="str" cm="1">
        <f t="array" aca="1" ref="F328" ca="1">IF(I328=0,"",HYPERLINK("#"&amp;RIGHT(CELL("adresse",OFFSET(DMAV_Doku!$B$6,I328-1,0)),LEN(CELL("adresse",OFFSET(DMAV_Doku!$B$6,I328-1,0)))-SEARCH("]",CELL("adresse",OFFSET(DMAV_Doku!$B$6,I328-1,0)))),"ModDoc"))</f>
        <v>ModDoc</v>
      </c>
      <c r="G328" s="150" t="str">
        <f t="shared" si="10"/>
        <v>MDG17</v>
      </c>
      <c r="H328" s="150">
        <f t="shared" si="11"/>
        <v>0</v>
      </c>
      <c r="I328" s="150">
        <f>IF(_xlfn.XLOOKUP(G328,Korrelation!$A$4:$A$723,Korrelation!$B$4:$B$723,0,0)=0,0,MATCH(_xlfn.XLOOKUP(G328,Korrelation!$A$4:$A$723,Korrelation!$B$4:$B$723,0,0),DMAV_Doku!$H$6:$H$483,0))</f>
        <v>187</v>
      </c>
      <c r="J328" s="158"/>
      <c r="K328" s="161"/>
      <c r="L328" s="161"/>
      <c r="M328" s="158"/>
      <c r="N328" s="51" t="s">
        <v>4281</v>
      </c>
      <c r="O328" s="51" t="s">
        <v>3880</v>
      </c>
      <c r="P328" s="51" t="s">
        <v>3356</v>
      </c>
      <c r="Q328" s="51" t="s">
        <v>949</v>
      </c>
      <c r="R328" s="51" t="s">
        <v>3360</v>
      </c>
      <c r="U328" s="52" t="s">
        <v>308</v>
      </c>
      <c r="W328" s="52" t="s">
        <v>1069</v>
      </c>
      <c r="AB328" s="51" t="s">
        <v>4282</v>
      </c>
      <c r="AC328" s="51" t="s">
        <v>3881</v>
      </c>
      <c r="AD328" s="51" t="s">
        <v>3357</v>
      </c>
      <c r="AE328" s="51" t="s">
        <v>949</v>
      </c>
      <c r="AF328" s="51" t="s">
        <v>3379</v>
      </c>
      <c r="AI328" s="52" t="s">
        <v>308</v>
      </c>
      <c r="AK328" s="52" t="s">
        <v>1069</v>
      </c>
      <c r="AP328" s="51" t="s">
        <v>4283</v>
      </c>
      <c r="AQ328" s="51" t="s">
        <v>3882</v>
      </c>
      <c r="AR328" s="51" t="s">
        <v>4284</v>
      </c>
      <c r="AS328" s="51" t="s">
        <v>949</v>
      </c>
      <c r="AT328" s="51" t="s">
        <v>4294</v>
      </c>
      <c r="AW328" s="52" t="s">
        <v>308</v>
      </c>
      <c r="AY328" s="52" t="s">
        <v>1069</v>
      </c>
    </row>
    <row r="329" spans="1:51" x14ac:dyDescent="0.25">
      <c r="A329" s="51" t="s">
        <v>3806</v>
      </c>
      <c r="B329" s="51">
        <v>18</v>
      </c>
      <c r="E329" s="54" t="str" cm="1">
        <f t="array" aca="1" ref="E329" ca="1">IF(H329=0,"",HYPERLINK("#"&amp;RIGHT(CELL("dateiname"),LEN(CELL("dateiname"))-FIND("]",CELL("dateiname")))&amp;"!"&amp;CELL("adresse",OFFSET($Q$6,H329-1,0)),"Definition"))</f>
        <v/>
      </c>
      <c r="F329" s="54" t="str" cm="1">
        <f t="array" aca="1" ref="F329" ca="1">IF(I329=0,"",HYPERLINK("#"&amp;RIGHT(CELL("adresse",OFFSET(DMAV_Doku!$B$6,I329-1,0)),LEN(CELL("adresse",OFFSET(DMAV_Doku!$B$6,I329-1,0)))-SEARCH("]",CELL("adresse",OFFSET(DMAV_Doku!$B$6,I329-1,0)))),"ModDoc"))</f>
        <v>ModDoc</v>
      </c>
      <c r="G329" s="150" t="str">
        <f t="shared" si="10"/>
        <v>MDG18</v>
      </c>
      <c r="H329" s="150">
        <f t="shared" si="11"/>
        <v>0</v>
      </c>
      <c r="I329" s="150">
        <f>IF(_xlfn.XLOOKUP(G329,Korrelation!$A$4:$A$723,Korrelation!$B$4:$B$723,0,0)=0,0,MATCH(_xlfn.XLOOKUP(G329,Korrelation!$A$4:$A$723,Korrelation!$B$4:$B$723,0,0),DMAV_Doku!$H$6:$H$483,0))</f>
        <v>188</v>
      </c>
      <c r="J329" s="158"/>
      <c r="K329" s="161"/>
      <c r="L329" s="161"/>
      <c r="M329" s="158"/>
      <c r="N329" s="51" t="s">
        <v>4281</v>
      </c>
      <c r="O329" s="51" t="s">
        <v>3880</v>
      </c>
      <c r="P329" s="51" t="s">
        <v>3356</v>
      </c>
      <c r="Q329" s="51" t="s">
        <v>949</v>
      </c>
      <c r="R329" s="51" t="s">
        <v>3360</v>
      </c>
      <c r="S329" s="50" t="s">
        <v>950</v>
      </c>
      <c r="U329" s="52" t="s">
        <v>96</v>
      </c>
      <c r="V329" s="55"/>
      <c r="W329" s="52" t="s">
        <v>951</v>
      </c>
      <c r="AB329" s="51" t="s">
        <v>4282</v>
      </c>
      <c r="AC329" s="51" t="s">
        <v>3881</v>
      </c>
      <c r="AD329" s="51" t="s">
        <v>3357</v>
      </c>
      <c r="AE329" s="51" t="s">
        <v>949</v>
      </c>
      <c r="AF329" s="51" t="s">
        <v>3379</v>
      </c>
      <c r="AG329" s="50" t="s">
        <v>950</v>
      </c>
      <c r="AI329" s="52" t="s">
        <v>733</v>
      </c>
      <c r="AK329" s="52" t="s">
        <v>951</v>
      </c>
      <c r="AP329" s="51" t="s">
        <v>4283</v>
      </c>
      <c r="AQ329" s="51" t="s">
        <v>3882</v>
      </c>
      <c r="AR329" s="51" t="s">
        <v>4284</v>
      </c>
      <c r="AS329" s="51" t="s">
        <v>949</v>
      </c>
      <c r="AT329" s="51" t="s">
        <v>4294</v>
      </c>
      <c r="AU329" s="50" t="s">
        <v>950</v>
      </c>
      <c r="AW329" s="52" t="s">
        <v>1378</v>
      </c>
      <c r="AY329" s="52" t="s">
        <v>951</v>
      </c>
    </row>
    <row r="330" spans="1:51" x14ac:dyDescent="0.25">
      <c r="A330" s="51" t="s">
        <v>3806</v>
      </c>
      <c r="B330" s="51">
        <v>19</v>
      </c>
      <c r="E330" s="54" t="str" cm="1">
        <f t="array" aca="1" ref="E330" ca="1">IF(H330=0,"",HYPERLINK("#"&amp;RIGHT(CELL("dateiname"),LEN(CELL("dateiname"))-FIND("]",CELL("dateiname")))&amp;"!"&amp;CELL("adresse",OFFSET($Q$6,H330-1,0)),"Definition"))</f>
        <v/>
      </c>
      <c r="F330" s="54" t="str" cm="1">
        <f t="array" aca="1" ref="F330" ca="1">IF(I330=0,"",HYPERLINK("#"&amp;RIGHT(CELL("adresse",OFFSET(DMAV_Doku!$B$6,I330-1,0)),LEN(CELL("adresse",OFFSET(DMAV_Doku!$B$6,I330-1,0)))-SEARCH("]",CELL("adresse",OFFSET(DMAV_Doku!$B$6,I330-1,0)))),"ModDoc"))</f>
        <v>ModDoc</v>
      </c>
      <c r="G330" s="150" t="str">
        <f t="shared" si="10"/>
        <v>MDG19</v>
      </c>
      <c r="H330" s="150">
        <f t="shared" si="11"/>
        <v>0</v>
      </c>
      <c r="I330" s="150">
        <f>IF(_xlfn.XLOOKUP(G330,Korrelation!$A$4:$A$723,Korrelation!$B$4:$B$723,0,0)=0,0,MATCH(_xlfn.XLOOKUP(G330,Korrelation!$A$4:$A$723,Korrelation!$B$4:$B$723,0,0),DMAV_Doku!$H$6:$H$483,0))</f>
        <v>189</v>
      </c>
      <c r="J330" s="158"/>
      <c r="K330" s="161"/>
      <c r="L330" s="161"/>
      <c r="M330" s="158"/>
      <c r="N330" s="51" t="s">
        <v>4281</v>
      </c>
      <c r="O330" s="51" t="s">
        <v>3880</v>
      </c>
      <c r="P330" s="51" t="s">
        <v>3356</v>
      </c>
      <c r="Q330" s="51" t="s">
        <v>949</v>
      </c>
      <c r="R330" s="51" t="s">
        <v>3360</v>
      </c>
      <c r="U330" s="52" t="s">
        <v>310</v>
      </c>
      <c r="W330" s="52" t="s">
        <v>951</v>
      </c>
      <c r="AB330" s="51" t="s">
        <v>4282</v>
      </c>
      <c r="AC330" s="51" t="s">
        <v>3881</v>
      </c>
      <c r="AD330" s="51" t="s">
        <v>3357</v>
      </c>
      <c r="AE330" s="51" t="s">
        <v>949</v>
      </c>
      <c r="AF330" s="51" t="s">
        <v>3379</v>
      </c>
      <c r="AI330" s="52" t="s">
        <v>801</v>
      </c>
      <c r="AK330" s="52" t="s">
        <v>951</v>
      </c>
      <c r="AP330" s="51" t="s">
        <v>4283</v>
      </c>
      <c r="AQ330" s="51" t="s">
        <v>3882</v>
      </c>
      <c r="AR330" s="51" t="s">
        <v>4284</v>
      </c>
      <c r="AS330" s="51" t="s">
        <v>949</v>
      </c>
      <c r="AT330" s="51" t="s">
        <v>4294</v>
      </c>
      <c r="AW330" s="52" t="s">
        <v>4295</v>
      </c>
      <c r="AY330" s="52" t="s">
        <v>951</v>
      </c>
    </row>
    <row r="331" spans="1:51" x14ac:dyDescent="0.25">
      <c r="A331" s="51" t="s">
        <v>3806</v>
      </c>
      <c r="B331" s="51">
        <v>20</v>
      </c>
      <c r="E331" s="54" t="str" cm="1">
        <f t="array" aca="1" ref="E331" ca="1">IF(H331=0,"",HYPERLINK("#"&amp;RIGHT(CELL("dateiname"),LEN(CELL("dateiname"))-FIND("]",CELL("dateiname")))&amp;"!"&amp;CELL("adresse",OFFSET($Q$6,H331-1,0)),"Definition"))</f>
        <v/>
      </c>
      <c r="F331" s="54" t="str" cm="1">
        <f t="array" aca="1" ref="F331" ca="1">IF(I331=0,"",HYPERLINK("#"&amp;RIGHT(CELL("adresse",OFFSET(DMAV_Doku!$B$6,I331-1,0)),LEN(CELL("adresse",OFFSET(DMAV_Doku!$B$6,I331-1,0)))-SEARCH("]",CELL("adresse",OFFSET(DMAV_Doku!$B$6,I331-1,0)))),"ModDoc"))</f>
        <v>ModDoc</v>
      </c>
      <c r="G331" s="150" t="str">
        <f t="shared" si="10"/>
        <v>MDG20</v>
      </c>
      <c r="H331" s="150">
        <f t="shared" si="11"/>
        <v>0</v>
      </c>
      <c r="I331" s="150">
        <f>IF(_xlfn.XLOOKUP(G331,Korrelation!$A$4:$A$723,Korrelation!$B$4:$B$723,0,0)=0,0,MATCH(_xlfn.XLOOKUP(G331,Korrelation!$A$4:$A$723,Korrelation!$B$4:$B$723,0,0),DMAV_Doku!$H$6:$H$483,0))</f>
        <v>190</v>
      </c>
      <c r="J331" s="158"/>
      <c r="K331" s="161"/>
      <c r="L331" s="161"/>
      <c r="M331" s="158"/>
      <c r="N331" s="51" t="s">
        <v>4281</v>
      </c>
      <c r="O331" s="51" t="s">
        <v>3880</v>
      </c>
      <c r="P331" s="51" t="s">
        <v>3356</v>
      </c>
      <c r="Q331" s="51" t="s">
        <v>949</v>
      </c>
      <c r="R331" s="51" t="s">
        <v>3360</v>
      </c>
      <c r="U331" s="52" t="s">
        <v>312</v>
      </c>
      <c r="W331" s="131" t="s">
        <v>964</v>
      </c>
      <c r="AB331" s="51" t="s">
        <v>4282</v>
      </c>
      <c r="AC331" s="51" t="s">
        <v>3881</v>
      </c>
      <c r="AD331" s="51" t="s">
        <v>3357</v>
      </c>
      <c r="AE331" s="51" t="s">
        <v>949</v>
      </c>
      <c r="AF331" s="51" t="s">
        <v>3379</v>
      </c>
      <c r="AI331" s="52" t="s">
        <v>802</v>
      </c>
      <c r="AK331" s="52" t="s">
        <v>964</v>
      </c>
      <c r="AP331" s="51" t="s">
        <v>4283</v>
      </c>
      <c r="AQ331" s="51" t="s">
        <v>3882</v>
      </c>
      <c r="AR331" s="51" t="s">
        <v>4284</v>
      </c>
      <c r="AS331" s="51" t="s">
        <v>949</v>
      </c>
      <c r="AT331" s="51" t="s">
        <v>4294</v>
      </c>
      <c r="AW331" s="52" t="s">
        <v>4296</v>
      </c>
      <c r="AY331" s="52" t="s">
        <v>964</v>
      </c>
    </row>
    <row r="332" spans="1:51" x14ac:dyDescent="0.25">
      <c r="A332" s="51" t="s">
        <v>3806</v>
      </c>
      <c r="B332" s="51">
        <v>21</v>
      </c>
      <c r="C332" s="51" t="s">
        <v>3829</v>
      </c>
      <c r="E332" s="54" t="str" cm="1">
        <f t="array" aca="1" ref="E332" ca="1">IF(H332=0,"",HYPERLINK("#"&amp;RIGHT(CELL("dateiname"),LEN(CELL("dateiname"))-FIND("]",CELL("dateiname")))&amp;"!"&amp;CELL("adresse",OFFSET($Q$6,H332-1,0)),"Definition"))</f>
        <v>Definition</v>
      </c>
      <c r="F332" s="54" t="str" cm="1">
        <f t="array" aca="1" ref="F332" ca="1">IF(I332=0,"",HYPERLINK("#"&amp;RIGHT(CELL("adresse",OFFSET(DMAV_Doku!$B$6,I332-1,0)),LEN(CELL("adresse",OFFSET(DMAV_Doku!$B$6,I332-1,0)))-SEARCH("]",CELL("adresse",OFFSET(DMAV_Doku!$B$6,I332-1,0)))),"ModDoc"))</f>
        <v>ModDoc</v>
      </c>
      <c r="G332" s="150" t="str">
        <f t="shared" si="10"/>
        <v>MDG21</v>
      </c>
      <c r="H332" s="150">
        <f t="shared" si="11"/>
        <v>17</v>
      </c>
      <c r="I332" s="150">
        <f>IF(_xlfn.XLOOKUP(G332,Korrelation!$A$4:$A$723,Korrelation!$B$4:$B$723,0,0)=0,0,MATCH(_xlfn.XLOOKUP(G332,Korrelation!$A$4:$A$723,Korrelation!$B$4:$B$723,0,0),DMAV_Doku!$H$6:$H$483,0))</f>
        <v>191</v>
      </c>
      <c r="J332" s="158"/>
      <c r="K332" s="161"/>
      <c r="L332" s="161"/>
      <c r="M332" s="158"/>
      <c r="N332" s="51" t="s">
        <v>4281</v>
      </c>
      <c r="O332" s="51" t="s">
        <v>3880</v>
      </c>
      <c r="P332" s="51" t="s">
        <v>3356</v>
      </c>
      <c r="Q332" s="51" t="s">
        <v>949</v>
      </c>
      <c r="R332" s="51" t="s">
        <v>3360</v>
      </c>
      <c r="U332" s="52" t="s">
        <v>314</v>
      </c>
      <c r="W332" s="52" t="s">
        <v>953</v>
      </c>
      <c r="AB332" s="51" t="s">
        <v>4282</v>
      </c>
      <c r="AC332" s="51" t="s">
        <v>3881</v>
      </c>
      <c r="AD332" s="51" t="s">
        <v>3357</v>
      </c>
      <c r="AE332" s="51" t="s">
        <v>949</v>
      </c>
      <c r="AF332" s="51" t="s">
        <v>3379</v>
      </c>
      <c r="AI332" s="52" t="s">
        <v>803</v>
      </c>
      <c r="AK332" s="52" t="s">
        <v>4017</v>
      </c>
      <c r="AP332" s="51" t="s">
        <v>4283</v>
      </c>
      <c r="AQ332" s="51" t="s">
        <v>3882</v>
      </c>
      <c r="AR332" s="51" t="s">
        <v>4284</v>
      </c>
      <c r="AS332" s="51" t="s">
        <v>949</v>
      </c>
      <c r="AT332" s="51" t="s">
        <v>4294</v>
      </c>
      <c r="AW332" s="52" t="s">
        <v>1497</v>
      </c>
      <c r="AY332" s="52" t="s">
        <v>4019</v>
      </c>
    </row>
    <row r="333" spans="1:51" x14ac:dyDescent="0.25">
      <c r="A333" s="51" t="s">
        <v>3806</v>
      </c>
      <c r="B333" s="51">
        <v>22</v>
      </c>
      <c r="E333" s="54" t="str" cm="1">
        <f t="array" aca="1" ref="E333" ca="1">IF(H333=0,"",HYPERLINK("#"&amp;RIGHT(CELL("dateiname"),LEN(CELL("dateiname"))-FIND("]",CELL("dateiname")))&amp;"!"&amp;CELL("adresse",OFFSET($Q$6,H333-1,0)),"Definition"))</f>
        <v/>
      </c>
      <c r="F333" s="54" t="str" cm="1">
        <f t="array" aca="1" ref="F333" ca="1">IF(I333=0,"",HYPERLINK("#"&amp;RIGHT(CELL("adresse",OFFSET(DMAV_Doku!$B$6,I333-1,0)),LEN(CELL("adresse",OFFSET(DMAV_Doku!$B$6,I333-1,0)))-SEARCH("]",CELL("adresse",OFFSET(DMAV_Doku!$B$6,I333-1,0)))),"ModDoc"))</f>
        <v>ModDoc</v>
      </c>
      <c r="G333" s="150" t="str">
        <f t="shared" si="10"/>
        <v>MDG22</v>
      </c>
      <c r="H333" s="150">
        <f t="shared" si="11"/>
        <v>0</v>
      </c>
      <c r="I333" s="150">
        <f>IF(_xlfn.XLOOKUP(G333,Korrelation!$A$4:$A$723,Korrelation!$B$4:$B$723,0,0)=0,0,MATCH(_xlfn.XLOOKUP(G333,Korrelation!$A$4:$A$723,Korrelation!$B$4:$B$723,0,0),DMAV_Doku!$H$6:$H$483,0))</f>
        <v>192</v>
      </c>
      <c r="J333" s="158"/>
      <c r="K333" s="161"/>
      <c r="L333" s="161"/>
      <c r="M333" s="158"/>
      <c r="N333" s="51" t="s">
        <v>4281</v>
      </c>
      <c r="O333" s="51" t="s">
        <v>3880</v>
      </c>
      <c r="P333" s="51" t="s">
        <v>3356</v>
      </c>
      <c r="Q333" s="51" t="s">
        <v>949</v>
      </c>
      <c r="R333" s="51" t="s">
        <v>3360</v>
      </c>
      <c r="S333" s="50" t="s">
        <v>950</v>
      </c>
      <c r="U333" s="52" t="s">
        <v>248</v>
      </c>
      <c r="W333" s="52" t="s">
        <v>131</v>
      </c>
      <c r="AB333" s="51" t="s">
        <v>4282</v>
      </c>
      <c r="AC333" s="51" t="s">
        <v>3881</v>
      </c>
      <c r="AD333" s="51" t="s">
        <v>3357</v>
      </c>
      <c r="AE333" s="51" t="s">
        <v>949</v>
      </c>
      <c r="AF333" s="51" t="s">
        <v>3379</v>
      </c>
      <c r="AG333" s="50" t="s">
        <v>950</v>
      </c>
      <c r="AI333" s="52" t="s">
        <v>804</v>
      </c>
      <c r="AK333" s="52" t="s">
        <v>131</v>
      </c>
      <c r="AP333" s="51" t="s">
        <v>4283</v>
      </c>
      <c r="AQ333" s="51" t="s">
        <v>3882</v>
      </c>
      <c r="AR333" s="51" t="s">
        <v>4284</v>
      </c>
      <c r="AS333" s="51" t="s">
        <v>949</v>
      </c>
      <c r="AT333" s="51" t="s">
        <v>4294</v>
      </c>
      <c r="AU333" s="50" t="s">
        <v>950</v>
      </c>
      <c r="AW333" s="52" t="s">
        <v>4207</v>
      </c>
      <c r="AY333" s="52" t="s">
        <v>131</v>
      </c>
    </row>
    <row r="334" spans="1:51" x14ac:dyDescent="0.25">
      <c r="A334" s="51" t="s">
        <v>3806</v>
      </c>
      <c r="B334" s="51">
        <v>23</v>
      </c>
      <c r="C334" s="51" t="s">
        <v>3843</v>
      </c>
      <c r="E334" s="54" t="str" cm="1">
        <f t="array" aca="1" ref="E334" ca="1">IF(H334=0,"",HYPERLINK("#"&amp;RIGHT(CELL("dateiname"),LEN(CELL("dateiname"))-FIND("]",CELL("dateiname")))&amp;"!"&amp;CELL("adresse",OFFSET($Q$6,H334-1,0)),"Definition"))</f>
        <v>Definition</v>
      </c>
      <c r="F334" s="54" t="str" cm="1">
        <f t="array" aca="1" ref="F334" ca="1">IF(I334=0,"",HYPERLINK("#"&amp;RIGHT(CELL("adresse",OFFSET(DMAV_Doku!$B$6,I334-1,0)),LEN(CELL("adresse",OFFSET(DMAV_Doku!$B$6,I334-1,0)))-SEARCH("]",CELL("adresse",OFFSET(DMAV_Doku!$B$6,I334-1,0)))),"ModDoc"))</f>
        <v>ModDoc</v>
      </c>
      <c r="G334" s="150" t="str">
        <f t="shared" si="10"/>
        <v>MDG23</v>
      </c>
      <c r="H334" s="150">
        <f t="shared" si="11"/>
        <v>310</v>
      </c>
      <c r="I334" s="150">
        <f>IF(_xlfn.XLOOKUP(G334,Korrelation!$A$4:$A$723,Korrelation!$B$4:$B$723,0,0)=0,0,MATCH(_xlfn.XLOOKUP(G334,Korrelation!$A$4:$A$723,Korrelation!$B$4:$B$723,0,0),DMAV_Doku!$H$6:$H$483,0))</f>
        <v>193</v>
      </c>
      <c r="J334" s="158"/>
      <c r="K334" s="161"/>
      <c r="L334" s="161"/>
      <c r="M334" s="158"/>
      <c r="N334" s="51" t="s">
        <v>4281</v>
      </c>
      <c r="O334" s="51" t="s">
        <v>3880</v>
      </c>
      <c r="P334" s="51" t="s">
        <v>3356</v>
      </c>
      <c r="Q334" s="51" t="s">
        <v>949</v>
      </c>
      <c r="R334" s="51" t="s">
        <v>3360</v>
      </c>
      <c r="U334" s="52" t="s">
        <v>3359</v>
      </c>
      <c r="W334" s="52" t="s">
        <v>3359</v>
      </c>
      <c r="Z334" s="116"/>
      <c r="AB334" s="51" t="s">
        <v>4282</v>
      </c>
      <c r="AC334" s="51" t="s">
        <v>3881</v>
      </c>
      <c r="AD334" s="51" t="s">
        <v>3357</v>
      </c>
      <c r="AE334" s="51" t="s">
        <v>949</v>
      </c>
      <c r="AF334" s="51" t="s">
        <v>3379</v>
      </c>
      <c r="AI334" s="52" t="s">
        <v>3374</v>
      </c>
      <c r="AK334" s="52" t="s">
        <v>3374</v>
      </c>
      <c r="AP334" s="51" t="s">
        <v>4283</v>
      </c>
      <c r="AQ334" s="51" t="s">
        <v>3882</v>
      </c>
      <c r="AR334" s="51" t="s">
        <v>4284</v>
      </c>
      <c r="AS334" s="51" t="s">
        <v>949</v>
      </c>
      <c r="AT334" s="51" t="s">
        <v>4294</v>
      </c>
      <c r="AW334" s="52" t="s">
        <v>4285</v>
      </c>
      <c r="AY334" s="52" t="s">
        <v>4285</v>
      </c>
    </row>
    <row r="335" spans="1:51" x14ac:dyDescent="0.25">
      <c r="A335" s="51" t="s">
        <v>3806</v>
      </c>
      <c r="B335" s="51">
        <v>24</v>
      </c>
      <c r="C335" s="51" t="s">
        <v>3844</v>
      </c>
      <c r="E335" s="54" t="str" cm="1">
        <f t="array" aca="1" ref="E335" ca="1">IF(H335=0,"",HYPERLINK("#"&amp;RIGHT(CELL("dateiname"),LEN(CELL("dateiname"))-FIND("]",CELL("dateiname")))&amp;"!"&amp;CELL("adresse",OFFSET($Q$6,H335-1,0)),"Definition"))</f>
        <v>Definition</v>
      </c>
      <c r="F335" s="54" t="str" cm="1">
        <f t="array" aca="1" ref="F335" ca="1">IF(I335=0,"",HYPERLINK("#"&amp;RIGHT(CELL("adresse",OFFSET(DMAV_Doku!$B$6,I335-1,0)),LEN(CELL("adresse",OFFSET(DMAV_Doku!$B$6,I335-1,0)))-SEARCH("]",CELL("adresse",OFFSET(DMAV_Doku!$B$6,I335-1,0)))),"ModDoc"))</f>
        <v>ModDoc</v>
      </c>
      <c r="G335" s="150" t="str">
        <f t="shared" si="10"/>
        <v>MDG24</v>
      </c>
      <c r="H335" s="150">
        <f t="shared" si="11"/>
        <v>319</v>
      </c>
      <c r="I335" s="150">
        <f>IF(_xlfn.XLOOKUP(G335,Korrelation!$A$4:$A$723,Korrelation!$B$4:$B$723,0,0)=0,0,MATCH(_xlfn.XLOOKUP(G335,Korrelation!$A$4:$A$723,Korrelation!$B$4:$B$723,0,0),DMAV_Doku!$H$6:$H$483,0))</f>
        <v>194</v>
      </c>
      <c r="J335" s="158"/>
      <c r="K335" s="161"/>
      <c r="L335" s="161"/>
      <c r="M335" s="158"/>
      <c r="N335" s="51" t="s">
        <v>4281</v>
      </c>
      <c r="O335" s="51" t="s">
        <v>3880</v>
      </c>
      <c r="P335" s="51" t="s">
        <v>3356</v>
      </c>
      <c r="Q335" s="51" t="s">
        <v>949</v>
      </c>
      <c r="R335" s="51" t="s">
        <v>3360</v>
      </c>
      <c r="U335" s="52" t="s">
        <v>317</v>
      </c>
      <c r="V335" s="52" t="s">
        <v>3471</v>
      </c>
      <c r="W335" s="52" t="s">
        <v>317</v>
      </c>
      <c r="AB335" s="51" t="s">
        <v>4282</v>
      </c>
      <c r="AC335" s="51" t="s">
        <v>3881</v>
      </c>
      <c r="AD335" s="51" t="s">
        <v>3357</v>
      </c>
      <c r="AE335" s="51" t="s">
        <v>949</v>
      </c>
      <c r="AF335" s="51" t="s">
        <v>3379</v>
      </c>
      <c r="AI335" s="52" t="s">
        <v>798</v>
      </c>
      <c r="AJ335" s="51" t="s">
        <v>3471</v>
      </c>
      <c r="AK335" s="52" t="s">
        <v>798</v>
      </c>
      <c r="AP335" s="51" t="s">
        <v>4283</v>
      </c>
      <c r="AQ335" s="51" t="s">
        <v>3882</v>
      </c>
      <c r="AR335" s="51" t="s">
        <v>4284</v>
      </c>
      <c r="AS335" s="51" t="s">
        <v>949</v>
      </c>
      <c r="AT335" s="51" t="s">
        <v>4294</v>
      </c>
      <c r="AW335" s="52" t="s">
        <v>4291</v>
      </c>
      <c r="AX335" s="51" t="s">
        <v>3471</v>
      </c>
      <c r="AY335" s="52" t="s">
        <v>4291</v>
      </c>
    </row>
    <row r="336" spans="1:51" x14ac:dyDescent="0.25">
      <c r="A336" s="51" t="s">
        <v>3806</v>
      </c>
      <c r="B336" s="51">
        <v>25</v>
      </c>
      <c r="C336" s="51" t="s">
        <v>3845</v>
      </c>
      <c r="E336" s="54" t="str" cm="1">
        <f t="array" aca="1" ref="E336" ca="1">IF(H336=0,"",HYPERLINK("#"&amp;RIGHT(CELL("dateiname"),LEN(CELL("dateiname"))-FIND("]",CELL("dateiname")))&amp;"!"&amp;CELL("adresse",OFFSET($Q$6,H336-1,0)),"Definition"))</f>
        <v>Definition</v>
      </c>
      <c r="F336" s="54" t="str" cm="1">
        <f t="array" aca="1" ref="F336" ca="1">IF(I336=0,"",HYPERLINK("#"&amp;RIGHT(CELL("adresse",OFFSET(DMAV_Doku!$B$6,I336-1,0)),LEN(CELL("adresse",OFFSET(DMAV_Doku!$B$6,I336-1,0)))-SEARCH("]",CELL("adresse",OFFSET(DMAV_Doku!$B$6,I336-1,0)))),"ModDoc"))</f>
        <v>ModDoc</v>
      </c>
      <c r="G336" s="150" t="str">
        <f t="shared" si="10"/>
        <v>MDG25</v>
      </c>
      <c r="H336" s="150">
        <f t="shared" si="11"/>
        <v>320</v>
      </c>
      <c r="I336" s="150">
        <f>IF(_xlfn.XLOOKUP(G336,Korrelation!$A$4:$A$723,Korrelation!$B$4:$B$723,0,0)=0,0,MATCH(_xlfn.XLOOKUP(G336,Korrelation!$A$4:$A$723,Korrelation!$B$4:$B$723,0,0),DMAV_Doku!$H$6:$H$483,0))</f>
        <v>195</v>
      </c>
      <c r="J336" s="158"/>
      <c r="K336" s="161"/>
      <c r="L336" s="161"/>
      <c r="M336" s="158"/>
      <c r="N336" s="51" t="s">
        <v>4281</v>
      </c>
      <c r="O336" s="51" t="s">
        <v>3880</v>
      </c>
      <c r="P336" s="51" t="s">
        <v>3356</v>
      </c>
      <c r="Q336" s="51" t="s">
        <v>949</v>
      </c>
      <c r="R336" s="51" t="s">
        <v>3360</v>
      </c>
      <c r="U336" s="52" t="s">
        <v>302</v>
      </c>
      <c r="V336" s="52" t="s">
        <v>3471</v>
      </c>
      <c r="W336" s="52" t="s">
        <v>302</v>
      </c>
      <c r="AB336" s="51" t="s">
        <v>4282</v>
      </c>
      <c r="AC336" s="51" t="s">
        <v>3881</v>
      </c>
      <c r="AD336" s="51" t="s">
        <v>3357</v>
      </c>
      <c r="AE336" s="51" t="s">
        <v>949</v>
      </c>
      <c r="AF336" s="51" t="s">
        <v>3379</v>
      </c>
      <c r="AI336" s="52" t="s">
        <v>799</v>
      </c>
      <c r="AJ336" s="51" t="s">
        <v>3471</v>
      </c>
      <c r="AK336" s="52" t="s">
        <v>799</v>
      </c>
      <c r="AP336" s="51" t="s">
        <v>4283</v>
      </c>
      <c r="AQ336" s="51" t="s">
        <v>3882</v>
      </c>
      <c r="AR336" s="51" t="s">
        <v>4284</v>
      </c>
      <c r="AS336" s="51" t="s">
        <v>949</v>
      </c>
      <c r="AT336" s="51" t="s">
        <v>4294</v>
      </c>
      <c r="AW336" s="52" t="s">
        <v>4292</v>
      </c>
      <c r="AX336" s="51" t="s">
        <v>3471</v>
      </c>
      <c r="AY336" s="52" t="s">
        <v>4292</v>
      </c>
    </row>
    <row r="337" spans="1:54" x14ac:dyDescent="0.25">
      <c r="A337" s="51" t="s">
        <v>3806</v>
      </c>
      <c r="B337" s="51">
        <v>26</v>
      </c>
      <c r="C337" s="51" t="s">
        <v>3846</v>
      </c>
      <c r="E337" s="54" t="str" cm="1">
        <f t="array" aca="1" ref="E337" ca="1">IF(H337=0,"",HYPERLINK("#"&amp;RIGHT(CELL("dateiname"),LEN(CELL("dateiname"))-FIND("]",CELL("dateiname")))&amp;"!"&amp;CELL("adresse",OFFSET($Q$6,H337-1,0)),"Definition"))</f>
        <v>Definition</v>
      </c>
      <c r="F337" s="54" t="str" cm="1">
        <f t="array" aca="1" ref="F337" ca="1">IF(I337=0,"",HYPERLINK("#"&amp;RIGHT(CELL("adresse",OFFSET(DMAV_Doku!$B$6,I337-1,0)),LEN(CELL("adresse",OFFSET(DMAV_Doku!$B$6,I337-1,0)))-SEARCH("]",CELL("adresse",OFFSET(DMAV_Doku!$B$6,I337-1,0)))),"ModDoc"))</f>
        <v>ModDoc</v>
      </c>
      <c r="G337" s="150" t="str">
        <f t="shared" si="10"/>
        <v>MDG26</v>
      </c>
      <c r="H337" s="150">
        <f t="shared" si="11"/>
        <v>321</v>
      </c>
      <c r="I337" s="150">
        <f>IF(_xlfn.XLOOKUP(G337,Korrelation!$A$4:$A$723,Korrelation!$B$4:$B$723,0,0)=0,0,MATCH(_xlfn.XLOOKUP(G337,Korrelation!$A$4:$A$723,Korrelation!$B$4:$B$723,0,0),DMAV_Doku!$H$6:$H$483,0))</f>
        <v>196</v>
      </c>
      <c r="J337" s="158"/>
      <c r="K337" s="161"/>
      <c r="L337" s="161"/>
      <c r="M337" s="158"/>
      <c r="N337" s="51" t="s">
        <v>4281</v>
      </c>
      <c r="O337" s="51" t="s">
        <v>3880</v>
      </c>
      <c r="P337" s="51" t="s">
        <v>3356</v>
      </c>
      <c r="Q337" s="51" t="s">
        <v>949</v>
      </c>
      <c r="R337" s="51" t="s">
        <v>3360</v>
      </c>
      <c r="U337" s="52" t="s">
        <v>304</v>
      </c>
      <c r="V337" s="52" t="s">
        <v>3471</v>
      </c>
      <c r="W337" s="52" t="s">
        <v>304</v>
      </c>
      <c r="AB337" s="51" t="s">
        <v>4282</v>
      </c>
      <c r="AC337" s="51" t="s">
        <v>3881</v>
      </c>
      <c r="AD337" s="51" t="s">
        <v>3357</v>
      </c>
      <c r="AE337" s="51" t="s">
        <v>949</v>
      </c>
      <c r="AF337" s="51" t="s">
        <v>3379</v>
      </c>
      <c r="AI337" s="52" t="s">
        <v>800</v>
      </c>
      <c r="AJ337" s="51" t="s">
        <v>3471</v>
      </c>
      <c r="AK337" s="52" t="s">
        <v>800</v>
      </c>
      <c r="AP337" s="51" t="s">
        <v>4283</v>
      </c>
      <c r="AQ337" s="51" t="s">
        <v>3882</v>
      </c>
      <c r="AR337" s="51" t="s">
        <v>4284</v>
      </c>
      <c r="AS337" s="51" t="s">
        <v>949</v>
      </c>
      <c r="AT337" s="51" t="s">
        <v>4294</v>
      </c>
      <c r="AW337" s="52" t="s">
        <v>4293</v>
      </c>
      <c r="AX337" s="51" t="s">
        <v>3471</v>
      </c>
      <c r="AY337" s="52" t="s">
        <v>4293</v>
      </c>
    </row>
    <row r="338" spans="1:54" x14ac:dyDescent="0.25">
      <c r="A338" s="51" t="s">
        <v>3806</v>
      </c>
      <c r="B338" s="51">
        <v>27</v>
      </c>
      <c r="C338" s="51" t="s">
        <v>3838</v>
      </c>
      <c r="E338" s="54" t="str" cm="1">
        <f t="array" aca="1" ref="E338" ca="1">IF(H338=0,"",HYPERLINK("#"&amp;RIGHT(CELL("dateiname"),LEN(CELL("dateiname"))-FIND("]",CELL("dateiname")))&amp;"!"&amp;CELL("adresse",OFFSET($Q$6,H338-1,0)),"Definition"))</f>
        <v>Definition</v>
      </c>
      <c r="F338" s="54" t="str" cm="1">
        <f t="array" aca="1" ref="F338" ca="1">IF(I338=0,"",HYPERLINK("#"&amp;RIGHT(CELL("adresse",OFFSET(DMAV_Doku!$B$6,I338-1,0)),LEN(CELL("adresse",OFFSET(DMAV_Doku!$B$6,I338-1,0)))-SEARCH("]",CELL("adresse",OFFSET(DMAV_Doku!$B$6,I338-1,0)))),"ModDoc"))</f>
        <v>ModDoc</v>
      </c>
      <c r="G338" s="150" t="str">
        <f t="shared" si="10"/>
        <v>MDG27</v>
      </c>
      <c r="H338" s="150">
        <f t="shared" si="11"/>
        <v>26</v>
      </c>
      <c r="I338" s="150">
        <f>IF(_xlfn.XLOOKUP(G338,Korrelation!$A$4:$A$723,Korrelation!$B$4:$B$723,0,0)=0,0,MATCH(_xlfn.XLOOKUP(G338,Korrelation!$A$4:$A$723,Korrelation!$B$4:$B$723,0,0),DMAV_Doku!$H$6:$H$483,0))</f>
        <v>197</v>
      </c>
      <c r="J338" s="158"/>
      <c r="K338" s="161"/>
      <c r="L338" s="161"/>
      <c r="M338" s="158"/>
      <c r="N338" s="51" t="s">
        <v>4281</v>
      </c>
      <c r="O338" s="51" t="s">
        <v>3880</v>
      </c>
      <c r="P338" s="51" t="s">
        <v>3356</v>
      </c>
      <c r="Q338" s="51" t="s">
        <v>949</v>
      </c>
      <c r="R338" s="51" t="s">
        <v>3360</v>
      </c>
      <c r="U338" s="52" t="s">
        <v>77</v>
      </c>
      <c r="V338" s="52" t="s">
        <v>3471</v>
      </c>
      <c r="W338" s="52" t="s">
        <v>3472</v>
      </c>
      <c r="AB338" s="51" t="s">
        <v>4282</v>
      </c>
      <c r="AC338" s="51" t="s">
        <v>3881</v>
      </c>
      <c r="AD338" s="51" t="s">
        <v>3357</v>
      </c>
      <c r="AE338" s="51" t="s">
        <v>949</v>
      </c>
      <c r="AF338" s="51" t="s">
        <v>3379</v>
      </c>
      <c r="AI338" s="52" t="s">
        <v>729</v>
      </c>
      <c r="AJ338" s="51" t="s">
        <v>3471</v>
      </c>
      <c r="AK338" s="52" t="s">
        <v>4036</v>
      </c>
      <c r="AP338" s="51" t="s">
        <v>4283</v>
      </c>
      <c r="AQ338" s="51" t="s">
        <v>3882</v>
      </c>
      <c r="AR338" s="51" t="s">
        <v>4284</v>
      </c>
      <c r="AS338" s="51" t="s">
        <v>949</v>
      </c>
      <c r="AT338" s="51" t="s">
        <v>4294</v>
      </c>
      <c r="AW338" s="52" t="s">
        <v>3933</v>
      </c>
      <c r="AX338" s="51" t="s">
        <v>3471</v>
      </c>
      <c r="AY338" s="52" t="s">
        <v>4037</v>
      </c>
    </row>
    <row r="339" spans="1:54" ht="38.25" x14ac:dyDescent="0.25">
      <c r="A339" s="51" t="s">
        <v>3806</v>
      </c>
      <c r="B339" s="51">
        <v>28</v>
      </c>
      <c r="D339" s="51" t="s">
        <v>3517</v>
      </c>
      <c r="E339" s="54" t="str" cm="1">
        <f t="array" aca="1" ref="E339" ca="1">IF(H339=0,"",HYPERLINK("#"&amp;RIGHT(CELL("dateiname"),LEN(CELL("dateiname"))-FIND("]",CELL("dateiname")))&amp;"!"&amp;CELL("adresse",OFFSET($Q$6,H339-1,0)),"Definition"))</f>
        <v/>
      </c>
      <c r="F339" s="54" t="str" cm="1">
        <f t="array" aca="1" ref="F339" ca="1">IF(I339=0,"",HYPERLINK("#"&amp;RIGHT(CELL("adresse",OFFSET(DMAV_Doku!$B$6,I339-1,0)),LEN(CELL("adresse",OFFSET(DMAV_Doku!$B$6,I339-1,0)))-SEARCH("]",CELL("adresse",OFFSET(DMAV_Doku!$B$6,I339-1,0)))),"ModDoc"))</f>
        <v/>
      </c>
      <c r="G339" s="150" t="str">
        <f t="shared" si="10"/>
        <v>MDG28</v>
      </c>
      <c r="H339" s="150">
        <f t="shared" si="11"/>
        <v>0</v>
      </c>
      <c r="I339" s="150">
        <f>IF(_xlfn.XLOOKUP(G339,Korrelation!$A$4:$A$723,Korrelation!$B$4:$B$723,0,0)=0,0,MATCH(_xlfn.XLOOKUP(G339,Korrelation!$A$4:$A$723,Korrelation!$B$4:$B$723,0,0),DMAV_Doku!$H$6:$H$483,0))</f>
        <v>0</v>
      </c>
      <c r="J339" s="158"/>
      <c r="K339" s="161"/>
      <c r="L339" s="161"/>
      <c r="M339" s="158"/>
      <c r="N339" s="51" t="s">
        <v>4281</v>
      </c>
      <c r="O339" s="51" t="s">
        <v>3880</v>
      </c>
      <c r="P339" s="51" t="s">
        <v>3356</v>
      </c>
      <c r="Q339" s="51" t="s">
        <v>957</v>
      </c>
      <c r="R339" s="51" t="s">
        <v>3360</v>
      </c>
      <c r="S339" s="50" t="s">
        <v>950</v>
      </c>
      <c r="U339" s="52" t="s">
        <v>3515</v>
      </c>
      <c r="W339" s="52" t="s">
        <v>3516</v>
      </c>
      <c r="Z339" s="199" t="s">
        <v>3369</v>
      </c>
      <c r="AB339" s="51" t="s">
        <v>4282</v>
      </c>
      <c r="AC339" s="51" t="s">
        <v>3881</v>
      </c>
      <c r="AD339" s="51" t="s">
        <v>3357</v>
      </c>
      <c r="AE339" s="51" t="s">
        <v>957</v>
      </c>
      <c r="AF339" s="51" t="s">
        <v>3379</v>
      </c>
      <c r="AG339" s="50" t="s">
        <v>950</v>
      </c>
      <c r="AI339" s="52" t="s">
        <v>4297</v>
      </c>
      <c r="AK339" s="52" t="s">
        <v>4298</v>
      </c>
      <c r="AN339" s="200" t="s">
        <v>7243</v>
      </c>
      <c r="AP339" s="51" t="s">
        <v>4283</v>
      </c>
      <c r="AQ339" s="51" t="s">
        <v>3882</v>
      </c>
      <c r="AR339" s="51" t="s">
        <v>4284</v>
      </c>
      <c r="AS339" s="51" t="s">
        <v>957</v>
      </c>
      <c r="AT339" s="51" t="s">
        <v>4294</v>
      </c>
      <c r="AU339" s="50" t="s">
        <v>950</v>
      </c>
      <c r="AW339" s="52" t="s">
        <v>4297</v>
      </c>
      <c r="AY339" s="52" t="s">
        <v>4299</v>
      </c>
      <c r="BB339" s="200" t="s">
        <v>6001</v>
      </c>
    </row>
    <row r="340" spans="1:54" x14ac:dyDescent="0.25">
      <c r="A340" s="51" t="s">
        <v>3806</v>
      </c>
      <c r="B340" s="51">
        <v>29</v>
      </c>
      <c r="E340" s="54" t="str" cm="1">
        <f t="array" aca="1" ref="E340" ca="1">IF(H340=0,"",HYPERLINK("#"&amp;RIGHT(CELL("dateiname"),LEN(CELL("dateiname"))-FIND("]",CELL("dateiname")))&amp;"!"&amp;CELL("adresse",OFFSET($Q$6,H340-1,0)),"Definition"))</f>
        <v/>
      </c>
      <c r="F340" s="54" t="str" cm="1">
        <f t="array" aca="1" ref="F340" ca="1">IF(I340=0,"",HYPERLINK("#"&amp;RIGHT(CELL("adresse",OFFSET(DMAV_Doku!$B$6,I340-1,0)),LEN(CELL("adresse",OFFSET(DMAV_Doku!$B$6,I340-1,0)))-SEARCH("]",CELL("adresse",OFFSET(DMAV_Doku!$B$6,I340-1,0)))),"ModDoc"))</f>
        <v/>
      </c>
      <c r="G340" s="150" t="str">
        <f t="shared" si="10"/>
        <v>MDG29</v>
      </c>
      <c r="H340" s="150">
        <f t="shared" si="11"/>
        <v>0</v>
      </c>
      <c r="I340" s="150">
        <f>IF(_xlfn.XLOOKUP(G340,Korrelation!$A$4:$A$723,Korrelation!$B$4:$B$723,0,0)=0,0,MATCH(_xlfn.XLOOKUP(G340,Korrelation!$A$4:$A$723,Korrelation!$B$4:$B$723,0,0),DMAV_Doku!$H$6:$H$483,0))</f>
        <v>0</v>
      </c>
      <c r="J340" s="158"/>
      <c r="K340" s="161"/>
      <c r="L340" s="161"/>
      <c r="M340" s="158"/>
      <c r="N340" s="51" t="s">
        <v>4281</v>
      </c>
      <c r="O340" s="51" t="s">
        <v>3880</v>
      </c>
      <c r="P340" s="51" t="s">
        <v>3356</v>
      </c>
      <c r="Q340" s="51" t="s">
        <v>967</v>
      </c>
      <c r="R340" s="51" t="s">
        <v>3361</v>
      </c>
      <c r="U340" s="52" t="s">
        <v>969</v>
      </c>
      <c r="W340" s="52" t="s">
        <v>307</v>
      </c>
      <c r="X340" s="51" t="s">
        <v>970</v>
      </c>
      <c r="AB340" s="51" t="s">
        <v>4282</v>
      </c>
      <c r="AC340" s="51" t="s">
        <v>3881</v>
      </c>
      <c r="AD340" s="51" t="s">
        <v>3357</v>
      </c>
      <c r="AE340" s="51" t="s">
        <v>967</v>
      </c>
      <c r="AF340" s="51" t="s">
        <v>4300</v>
      </c>
      <c r="AI340" s="52" t="s">
        <v>1319</v>
      </c>
      <c r="AK340" s="52" t="s">
        <v>4289</v>
      </c>
      <c r="AL340" s="51" t="s">
        <v>970</v>
      </c>
      <c r="AP340" s="51" t="s">
        <v>4283</v>
      </c>
      <c r="AQ340" s="51" t="s">
        <v>3882</v>
      </c>
      <c r="AR340" s="51" t="s">
        <v>4284</v>
      </c>
      <c r="AS340" s="51" t="s">
        <v>967</v>
      </c>
      <c r="AT340" s="51" t="s">
        <v>4301</v>
      </c>
      <c r="AW340" s="52" t="s">
        <v>1319</v>
      </c>
      <c r="AY340" s="52" t="s">
        <v>4290</v>
      </c>
      <c r="AZ340" s="51" t="s">
        <v>970</v>
      </c>
    </row>
    <row r="341" spans="1:54" x14ac:dyDescent="0.25">
      <c r="A341" s="51" t="s">
        <v>3806</v>
      </c>
      <c r="B341" s="51">
        <v>30</v>
      </c>
      <c r="E341" s="54" t="str" cm="1">
        <f t="array" aca="1" ref="E341" ca="1">IF(H341=0,"",HYPERLINK("#"&amp;RIGHT(CELL("dateiname"),LEN(CELL("dateiname"))-FIND("]",CELL("dateiname")))&amp;"!"&amp;CELL("adresse",OFFSET($Q$6,H341-1,0)),"Definition"))</f>
        <v/>
      </c>
      <c r="F341" s="54" t="str" cm="1">
        <f t="array" aca="1" ref="F341" ca="1">IF(I341=0,"",HYPERLINK("#"&amp;RIGHT(CELL("adresse",OFFSET(DMAV_Doku!$B$6,I341-1,0)),LEN(CELL("adresse",OFFSET(DMAV_Doku!$B$6,I341-1,0)))-SEARCH("]",CELL("adresse",OFFSET(DMAV_Doku!$B$6,I341-1,0)))),"ModDoc"))</f>
        <v/>
      </c>
      <c r="G341" s="150" t="str">
        <f t="shared" si="10"/>
        <v>MDG30</v>
      </c>
      <c r="H341" s="150">
        <f t="shared" si="11"/>
        <v>0</v>
      </c>
      <c r="I341" s="150">
        <f>IF(_xlfn.XLOOKUP(G341,Korrelation!$A$4:$A$723,Korrelation!$B$4:$B$723,0,0)=0,0,MATCH(_xlfn.XLOOKUP(G341,Korrelation!$A$4:$A$723,Korrelation!$B$4:$B$723,0,0),DMAV_Doku!$H$6:$H$483,0))</f>
        <v>0</v>
      </c>
      <c r="J341" s="158"/>
      <c r="K341" s="161"/>
      <c r="L341" s="161"/>
      <c r="M341" s="158"/>
      <c r="N341" s="51" t="s">
        <v>4281</v>
      </c>
      <c r="O341" s="51" t="s">
        <v>3880</v>
      </c>
      <c r="P341" s="51" t="s">
        <v>3356</v>
      </c>
      <c r="Q341" s="51" t="s">
        <v>967</v>
      </c>
      <c r="R341" s="51" t="s">
        <v>3361</v>
      </c>
      <c r="U341" s="52" t="s">
        <v>3384</v>
      </c>
      <c r="W341" s="52" t="s">
        <v>3360</v>
      </c>
      <c r="X341" s="51" t="s">
        <v>972</v>
      </c>
      <c r="AB341" s="51" t="s">
        <v>4282</v>
      </c>
      <c r="AC341" s="51" t="s">
        <v>3881</v>
      </c>
      <c r="AD341" s="51" t="s">
        <v>3357</v>
      </c>
      <c r="AE341" s="51" t="s">
        <v>967</v>
      </c>
      <c r="AF341" s="51" t="s">
        <v>4300</v>
      </c>
      <c r="AI341" s="52" t="s">
        <v>4302</v>
      </c>
      <c r="AK341" s="52" t="s">
        <v>3379</v>
      </c>
      <c r="AL341" s="51" t="s">
        <v>972</v>
      </c>
      <c r="AP341" s="51" t="s">
        <v>4283</v>
      </c>
      <c r="AQ341" s="51" t="s">
        <v>3882</v>
      </c>
      <c r="AR341" s="51" t="s">
        <v>4284</v>
      </c>
      <c r="AS341" s="51" t="s">
        <v>967</v>
      </c>
      <c r="AT341" s="51" t="s">
        <v>4301</v>
      </c>
      <c r="AW341" s="52" t="s">
        <v>4303</v>
      </c>
      <c r="AY341" s="52" t="s">
        <v>4294</v>
      </c>
      <c r="AZ341" s="51" t="s">
        <v>972</v>
      </c>
    </row>
    <row r="342" spans="1:54" x14ac:dyDescent="0.25">
      <c r="A342" s="51" t="s">
        <v>3806</v>
      </c>
      <c r="B342" s="51">
        <v>31</v>
      </c>
      <c r="E342" s="54" t="str" cm="1">
        <f t="array" aca="1" ref="E342" ca="1">IF(H342=0,"",HYPERLINK("#"&amp;RIGHT(CELL("dateiname"),LEN(CELL("dateiname"))-FIND("]",CELL("dateiname")))&amp;"!"&amp;CELL("adresse",OFFSET($Q$6,H342-1,0)),"Definition"))</f>
        <v/>
      </c>
      <c r="F342" s="54" t="str" cm="1">
        <f t="array" aca="1" ref="F342" ca="1">IF(I342=0,"",HYPERLINK("#"&amp;RIGHT(CELL("adresse",OFFSET(DMAV_Doku!$B$6,I342-1,0)),LEN(CELL("adresse",OFFSET(DMAV_Doku!$B$6,I342-1,0)))-SEARCH("]",CELL("adresse",OFFSET(DMAV_Doku!$B$6,I342-1,0)))),"ModDoc"))</f>
        <v/>
      </c>
      <c r="G342" s="150" t="str">
        <f t="shared" si="10"/>
        <v>MDG31</v>
      </c>
      <c r="H342" s="150">
        <f t="shared" si="11"/>
        <v>0</v>
      </c>
      <c r="I342" s="150">
        <f>IF(_xlfn.XLOOKUP(G342,Korrelation!$A$4:$A$723,Korrelation!$B$4:$B$723,0,0)=0,0,MATCH(_xlfn.XLOOKUP(G342,Korrelation!$A$4:$A$723,Korrelation!$B$4:$B$723,0,0),DMAV_Doku!$H$6:$H$483,0))</f>
        <v>0</v>
      </c>
      <c r="J342" s="158"/>
      <c r="K342" s="161"/>
      <c r="L342" s="161"/>
      <c r="M342" s="158"/>
      <c r="N342" s="51" t="s">
        <v>4281</v>
      </c>
      <c r="O342" s="51" t="s">
        <v>3880</v>
      </c>
      <c r="P342" s="51" t="s">
        <v>3356</v>
      </c>
      <c r="Q342" s="51" t="s">
        <v>967</v>
      </c>
      <c r="R342" s="51" t="s">
        <v>3362</v>
      </c>
      <c r="U342" s="52" t="s">
        <v>974</v>
      </c>
      <c r="W342" s="52" t="s">
        <v>307</v>
      </c>
      <c r="X342" s="51" t="s">
        <v>975</v>
      </c>
      <c r="AB342" s="51" t="s">
        <v>4282</v>
      </c>
      <c r="AC342" s="51" t="s">
        <v>3881</v>
      </c>
      <c r="AD342" s="51" t="s">
        <v>3357</v>
      </c>
      <c r="AE342" s="51" t="s">
        <v>967</v>
      </c>
      <c r="AF342" s="51" t="s">
        <v>4304</v>
      </c>
      <c r="AI342" s="52" t="s">
        <v>4074</v>
      </c>
      <c r="AK342" s="52" t="s">
        <v>4289</v>
      </c>
      <c r="AL342" s="51" t="s">
        <v>975</v>
      </c>
      <c r="AP342" s="51" t="s">
        <v>4283</v>
      </c>
      <c r="AQ342" s="51" t="s">
        <v>3882</v>
      </c>
      <c r="AR342" s="51" t="s">
        <v>4284</v>
      </c>
      <c r="AS342" s="51" t="s">
        <v>967</v>
      </c>
      <c r="AT342" s="51" t="s">
        <v>4305</v>
      </c>
      <c r="AW342" s="52" t="s">
        <v>4076</v>
      </c>
      <c r="AY342" s="52" t="s">
        <v>4290</v>
      </c>
      <c r="AZ342" s="51" t="s">
        <v>975</v>
      </c>
    </row>
    <row r="343" spans="1:54" x14ac:dyDescent="0.25">
      <c r="A343" s="51" t="s">
        <v>3806</v>
      </c>
      <c r="B343" s="51">
        <v>32</v>
      </c>
      <c r="E343" s="54" t="str" cm="1">
        <f t="array" aca="1" ref="E343" ca="1">IF(H343=0,"",HYPERLINK("#"&amp;RIGHT(CELL("dateiname"),LEN(CELL("dateiname"))-FIND("]",CELL("dateiname")))&amp;"!"&amp;CELL("adresse",OFFSET($Q$6,H343-1,0)),"Definition"))</f>
        <v/>
      </c>
      <c r="F343" s="54" t="str" cm="1">
        <f t="array" aca="1" ref="F343" ca="1">IF(I343=0,"",HYPERLINK("#"&amp;RIGHT(CELL("adresse",OFFSET(DMAV_Doku!$B$6,I343-1,0)),LEN(CELL("adresse",OFFSET(DMAV_Doku!$B$6,I343-1,0)))-SEARCH("]",CELL("adresse",OFFSET(DMAV_Doku!$B$6,I343-1,0)))),"ModDoc"))</f>
        <v/>
      </c>
      <c r="G343" s="150" t="str">
        <f t="shared" si="10"/>
        <v>MDG32</v>
      </c>
      <c r="H343" s="150">
        <f t="shared" si="11"/>
        <v>0</v>
      </c>
      <c r="I343" s="150">
        <f>IF(_xlfn.XLOOKUP(G343,Korrelation!$A$4:$A$723,Korrelation!$B$4:$B$723,0,0)=0,0,MATCH(_xlfn.XLOOKUP(G343,Korrelation!$A$4:$A$723,Korrelation!$B$4:$B$723,0,0),DMAV_Doku!$H$6:$H$483,0))</f>
        <v>0</v>
      </c>
      <c r="J343" s="158"/>
      <c r="K343" s="161"/>
      <c r="L343" s="161"/>
      <c r="M343" s="158"/>
      <c r="N343" s="51" t="s">
        <v>4281</v>
      </c>
      <c r="O343" s="51" t="s">
        <v>3880</v>
      </c>
      <c r="P343" s="51" t="s">
        <v>3356</v>
      </c>
      <c r="Q343" s="51" t="s">
        <v>967</v>
      </c>
      <c r="R343" s="51" t="s">
        <v>3362</v>
      </c>
      <c r="U343" s="55" t="s">
        <v>3385</v>
      </c>
      <c r="V343" s="55"/>
      <c r="W343" s="52" t="s">
        <v>3360</v>
      </c>
      <c r="X343" s="51" t="s">
        <v>972</v>
      </c>
      <c r="AB343" s="51" t="s">
        <v>4282</v>
      </c>
      <c r="AC343" s="51" t="s">
        <v>3881</v>
      </c>
      <c r="AD343" s="51" t="s">
        <v>3357</v>
      </c>
      <c r="AE343" s="51" t="s">
        <v>967</v>
      </c>
      <c r="AF343" s="51" t="s">
        <v>4304</v>
      </c>
      <c r="AI343" s="52" t="s">
        <v>4306</v>
      </c>
      <c r="AK343" s="52" t="s">
        <v>3379</v>
      </c>
      <c r="AL343" s="51" t="s">
        <v>972</v>
      </c>
      <c r="AP343" s="51" t="s">
        <v>4283</v>
      </c>
      <c r="AQ343" s="51" t="s">
        <v>3882</v>
      </c>
      <c r="AR343" s="51" t="s">
        <v>4284</v>
      </c>
      <c r="AS343" s="51" t="s">
        <v>967</v>
      </c>
      <c r="AT343" s="51" t="s">
        <v>4305</v>
      </c>
      <c r="AW343" s="52" t="s">
        <v>4307</v>
      </c>
      <c r="AY343" s="52" t="s">
        <v>4294</v>
      </c>
      <c r="AZ343" s="51" t="s">
        <v>972</v>
      </c>
    </row>
    <row r="344" spans="1:54" x14ac:dyDescent="0.25">
      <c r="A344" s="51" t="s">
        <v>3806</v>
      </c>
      <c r="B344" s="51">
        <v>33</v>
      </c>
      <c r="E344" s="54" t="str" cm="1">
        <f t="array" aca="1" ref="E344" ca="1">IF(H344=0,"",HYPERLINK("#"&amp;RIGHT(CELL("dateiname"),LEN(CELL("dateiname"))-FIND("]",CELL("dateiname")))&amp;"!"&amp;CELL("adresse",OFFSET($Q$6,H344-1,0)),"Definition"))</f>
        <v/>
      </c>
      <c r="F344" s="54" t="str" cm="1">
        <f t="array" aca="1" ref="F344" ca="1">IF(I344=0,"",HYPERLINK("#"&amp;RIGHT(CELL("adresse",OFFSET(DMAV_Doku!$B$6,I344-1,0)),LEN(CELL("adresse",OFFSET(DMAV_Doku!$B$6,I344-1,0)))-SEARCH("]",CELL("adresse",OFFSET(DMAV_Doku!$B$6,I344-1,0)))),"ModDoc"))</f>
        <v/>
      </c>
      <c r="G344" s="150" t="str">
        <f t="shared" si="10"/>
        <v>MDG33</v>
      </c>
      <c r="H344" s="150">
        <f t="shared" si="11"/>
        <v>0</v>
      </c>
      <c r="I344" s="150">
        <f>IF(_xlfn.XLOOKUP(G344,Korrelation!$A$4:$A$723,Korrelation!$B$4:$B$723,0,0)=0,0,MATCH(_xlfn.XLOOKUP(G344,Korrelation!$A$4:$A$723,Korrelation!$B$4:$B$723,0,0),DMAV_Doku!$H$6:$H$483,0))</f>
        <v>0</v>
      </c>
      <c r="J344" s="158"/>
      <c r="K344" s="161"/>
      <c r="L344" s="161"/>
      <c r="M344" s="158"/>
      <c r="N344" s="51" t="s">
        <v>4281</v>
      </c>
      <c r="O344" s="51" t="s">
        <v>3880</v>
      </c>
      <c r="P344" s="51" t="s">
        <v>3356</v>
      </c>
      <c r="Q344" s="51" t="s">
        <v>977</v>
      </c>
      <c r="R344" s="51" t="s">
        <v>3364</v>
      </c>
      <c r="U344" s="52" t="s">
        <v>979</v>
      </c>
      <c r="W344" s="52" t="s">
        <v>3360</v>
      </c>
      <c r="AB344" s="51" t="s">
        <v>4282</v>
      </c>
      <c r="AC344" s="51" t="s">
        <v>3881</v>
      </c>
      <c r="AD344" s="51" t="s">
        <v>3357</v>
      </c>
      <c r="AE344" s="51" t="s">
        <v>977</v>
      </c>
      <c r="AF344" s="51" t="s">
        <v>4308</v>
      </c>
      <c r="AI344" s="52" t="s">
        <v>979</v>
      </c>
      <c r="AK344" s="52" t="s">
        <v>3379</v>
      </c>
      <c r="AP344" s="51" t="s">
        <v>4283</v>
      </c>
      <c r="AQ344" s="51" t="s">
        <v>3882</v>
      </c>
      <c r="AR344" s="51" t="s">
        <v>4284</v>
      </c>
      <c r="AS344" s="51" t="s">
        <v>977</v>
      </c>
      <c r="AT344" s="51" t="s">
        <v>4309</v>
      </c>
      <c r="AW344" s="52" t="s">
        <v>979</v>
      </c>
      <c r="AY344" s="52" t="s">
        <v>4294</v>
      </c>
    </row>
    <row r="345" spans="1:54" ht="89.25" x14ac:dyDescent="0.25">
      <c r="A345" s="51" t="s">
        <v>3806</v>
      </c>
      <c r="B345" s="51">
        <v>34</v>
      </c>
      <c r="E345" s="54" t="str" cm="1">
        <f t="array" aca="1" ref="E345" ca="1">IF(H345=0,"",HYPERLINK("#"&amp;RIGHT(CELL("dateiname"),LEN(CELL("dateiname"))-FIND("]",CELL("dateiname")))&amp;"!"&amp;CELL("adresse",OFFSET($Q$6,H345-1,0)),"Definition"))</f>
        <v/>
      </c>
      <c r="F345" s="54" t="str" cm="1">
        <f t="array" aca="1" ref="F345" ca="1">IF(I345=0,"",HYPERLINK("#"&amp;RIGHT(CELL("adresse",OFFSET(DMAV_Doku!$B$6,I345-1,0)),LEN(CELL("adresse",OFFSET(DMAV_Doku!$B$6,I345-1,0)))-SEARCH("]",CELL("adresse",OFFSET(DMAV_Doku!$B$6,I345-1,0)))),"ModDoc"))</f>
        <v/>
      </c>
      <c r="G345" s="150" t="str">
        <f t="shared" si="10"/>
        <v>MDG34</v>
      </c>
      <c r="H345" s="150">
        <f t="shared" si="11"/>
        <v>0</v>
      </c>
      <c r="I345" s="150">
        <f>IF(_xlfn.XLOOKUP(G345,Korrelation!$A$4:$A$723,Korrelation!$B$4:$B$723,0,0)=0,0,MATCH(_xlfn.XLOOKUP(G345,Korrelation!$A$4:$A$723,Korrelation!$B$4:$B$723,0,0),DMAV_Doku!$H$6:$H$483,0))</f>
        <v>0</v>
      </c>
      <c r="J345" s="158"/>
      <c r="K345" s="161"/>
      <c r="L345" s="161"/>
      <c r="M345" s="158"/>
      <c r="N345" s="51" t="s">
        <v>4281</v>
      </c>
      <c r="O345" s="51" t="s">
        <v>3880</v>
      </c>
      <c r="P345" s="51" t="s">
        <v>3356</v>
      </c>
      <c r="Q345" s="51" t="s">
        <v>977</v>
      </c>
      <c r="R345" s="51" t="s">
        <v>3364</v>
      </c>
      <c r="U345" s="119" t="s">
        <v>1002</v>
      </c>
      <c r="W345" s="52" t="s">
        <v>3368</v>
      </c>
      <c r="Z345" s="199" t="s">
        <v>3370</v>
      </c>
      <c r="AB345" s="51" t="s">
        <v>4282</v>
      </c>
      <c r="AC345" s="51" t="s">
        <v>3881</v>
      </c>
      <c r="AD345" s="51" t="s">
        <v>3357</v>
      </c>
      <c r="AE345" s="51" t="s">
        <v>977</v>
      </c>
      <c r="AF345" s="51" t="s">
        <v>4308</v>
      </c>
      <c r="AI345" s="52" t="s">
        <v>4310</v>
      </c>
      <c r="AK345" s="52" t="s">
        <v>4311</v>
      </c>
      <c r="AN345" s="259" t="s">
        <v>7270</v>
      </c>
      <c r="AP345" s="51" t="s">
        <v>4283</v>
      </c>
      <c r="AQ345" s="51" t="s">
        <v>3882</v>
      </c>
      <c r="AR345" s="51" t="s">
        <v>4284</v>
      </c>
      <c r="AS345" s="51" t="s">
        <v>977</v>
      </c>
      <c r="AT345" s="51" t="s">
        <v>4309</v>
      </c>
      <c r="AW345" s="52" t="s">
        <v>4312</v>
      </c>
      <c r="AY345" s="52" t="s">
        <v>4313</v>
      </c>
      <c r="BB345" s="199" t="s">
        <v>5988</v>
      </c>
    </row>
    <row r="346" spans="1:54" x14ac:dyDescent="0.25">
      <c r="A346" s="51" t="s">
        <v>3806</v>
      </c>
      <c r="B346" s="51">
        <v>35</v>
      </c>
      <c r="E346" s="54" t="str" cm="1">
        <f t="array" aca="1" ref="E346" ca="1">IF(H346=0,"",HYPERLINK("#"&amp;RIGHT(CELL("dateiname"),LEN(CELL("dateiname"))-FIND("]",CELL("dateiname")))&amp;"!"&amp;CELL("adresse",OFFSET($Q$6,H346-1,0)),"Definition"))</f>
        <v/>
      </c>
      <c r="F346" s="54" t="str" cm="1">
        <f t="array" aca="1" ref="F346" ca="1">IF(I346=0,"",HYPERLINK("#"&amp;RIGHT(CELL("adresse",OFFSET(DMAV_Doku!$B$6,I346-1,0)),LEN(CELL("adresse",OFFSET(DMAV_Doku!$B$6,I346-1,0)))-SEARCH("]",CELL("adresse",OFFSET(DMAV_Doku!$B$6,I346-1,0)))),"ModDoc"))</f>
        <v/>
      </c>
      <c r="G346" s="150" t="str">
        <f t="shared" si="10"/>
        <v>MDG35</v>
      </c>
      <c r="H346" s="150">
        <f t="shared" si="11"/>
        <v>0</v>
      </c>
      <c r="I346" s="150">
        <f>IF(_xlfn.XLOOKUP(G346,Korrelation!$A$4:$A$723,Korrelation!$B$4:$B$723,0,0)=0,0,MATCH(_xlfn.XLOOKUP(G346,Korrelation!$A$4:$A$723,Korrelation!$B$4:$B$723,0,0),DMAV_Doku!$H$6:$H$483,0))</f>
        <v>0</v>
      </c>
      <c r="J346" s="158"/>
      <c r="K346" s="161"/>
      <c r="L346" s="161"/>
      <c r="M346" s="158"/>
      <c r="N346" s="51" t="s">
        <v>4281</v>
      </c>
      <c r="O346" s="51" t="s">
        <v>3880</v>
      </c>
      <c r="P346" s="51" t="s">
        <v>3356</v>
      </c>
      <c r="Q346" s="51" t="s">
        <v>977</v>
      </c>
      <c r="R346" s="51" t="s">
        <v>3364</v>
      </c>
      <c r="U346" s="52" t="s">
        <v>982</v>
      </c>
      <c r="W346" s="52" t="s">
        <v>3360</v>
      </c>
      <c r="AB346" s="51" t="s">
        <v>4282</v>
      </c>
      <c r="AC346" s="51" t="s">
        <v>3881</v>
      </c>
      <c r="AD346" s="51" t="s">
        <v>3357</v>
      </c>
      <c r="AE346" s="51" t="s">
        <v>977</v>
      </c>
      <c r="AF346" s="51" t="s">
        <v>4308</v>
      </c>
      <c r="AI346" s="52" t="s">
        <v>982</v>
      </c>
      <c r="AK346" s="52" t="s">
        <v>3379</v>
      </c>
      <c r="AP346" s="51" t="s">
        <v>4283</v>
      </c>
      <c r="AQ346" s="51" t="s">
        <v>3882</v>
      </c>
      <c r="AR346" s="51" t="s">
        <v>4284</v>
      </c>
      <c r="AS346" s="51" t="s">
        <v>977</v>
      </c>
      <c r="AT346" s="51" t="s">
        <v>4309</v>
      </c>
      <c r="AW346" s="52" t="s">
        <v>982</v>
      </c>
      <c r="AY346" s="52" t="s">
        <v>4294</v>
      </c>
    </row>
    <row r="347" spans="1:54" x14ac:dyDescent="0.25">
      <c r="A347" s="51" t="s">
        <v>3806</v>
      </c>
      <c r="B347" s="51">
        <v>36</v>
      </c>
      <c r="D347" s="51" t="s">
        <v>3518</v>
      </c>
      <c r="E347" s="54" t="str" cm="1">
        <f t="array" aca="1" ref="E347" ca="1">IF(H347=0,"",HYPERLINK("#"&amp;RIGHT(CELL("dateiname"),LEN(CELL("dateiname"))-FIND("]",CELL("dateiname")))&amp;"!"&amp;CELL("adresse",OFFSET($Q$6,H347-1,0)),"Definition"))</f>
        <v/>
      </c>
      <c r="F347" s="54" t="str" cm="1">
        <f t="array" aca="1" ref="F347" ca="1">IF(I347=0,"",HYPERLINK("#"&amp;RIGHT(CELL("adresse",OFFSET(DMAV_Doku!$B$6,I347-1,0)),LEN(CELL("adresse",OFFSET(DMAV_Doku!$B$6,I347-1,0)))-SEARCH("]",CELL("adresse",OFFSET(DMAV_Doku!$B$6,I347-1,0)))),"ModDoc"))</f>
        <v/>
      </c>
      <c r="G347" s="150" t="str">
        <f t="shared" si="10"/>
        <v>MDG36</v>
      </c>
      <c r="H347" s="150">
        <f t="shared" si="11"/>
        <v>0</v>
      </c>
      <c r="I347" s="150">
        <f>IF(_xlfn.XLOOKUP(G347,Korrelation!$A$4:$A$723,Korrelation!$B$4:$B$723,0,0)=0,0,MATCH(_xlfn.XLOOKUP(G347,Korrelation!$A$4:$A$723,Korrelation!$B$4:$B$723,0,0),DMAV_Doku!$H$6:$H$483,0))</f>
        <v>0</v>
      </c>
      <c r="J347" s="158"/>
      <c r="K347" s="161"/>
      <c r="L347" s="161"/>
      <c r="M347" s="158"/>
      <c r="N347" s="51" t="s">
        <v>4281</v>
      </c>
      <c r="O347" s="51" t="s">
        <v>3880</v>
      </c>
      <c r="P347" s="51" t="s">
        <v>3356</v>
      </c>
      <c r="Q347" s="51" t="s">
        <v>977</v>
      </c>
      <c r="R347" s="51" t="s">
        <v>3364</v>
      </c>
      <c r="T347" s="51" t="s">
        <v>6</v>
      </c>
      <c r="U347" s="119" t="s">
        <v>308</v>
      </c>
      <c r="W347" s="52"/>
      <c r="Z347" s="200" t="s">
        <v>6003</v>
      </c>
      <c r="AB347" s="51" t="s">
        <v>4282</v>
      </c>
      <c r="AC347" s="51" t="s">
        <v>3881</v>
      </c>
      <c r="AD347" s="51" t="s">
        <v>3357</v>
      </c>
      <c r="AE347" s="51" t="s">
        <v>977</v>
      </c>
      <c r="AF347" s="51" t="s">
        <v>4308</v>
      </c>
      <c r="AH347" s="51" t="s">
        <v>6</v>
      </c>
      <c r="AI347" s="52" t="s">
        <v>308</v>
      </c>
      <c r="AN347" s="200" t="s">
        <v>7244</v>
      </c>
      <c r="AP347" s="51" t="s">
        <v>4283</v>
      </c>
      <c r="AQ347" s="51" t="s">
        <v>3882</v>
      </c>
      <c r="AR347" s="51" t="s">
        <v>4284</v>
      </c>
      <c r="AS347" s="51" t="s">
        <v>977</v>
      </c>
      <c r="AT347" s="51" t="s">
        <v>4309</v>
      </c>
      <c r="AV347" s="51" t="s">
        <v>6</v>
      </c>
      <c r="AW347" s="52" t="s">
        <v>308</v>
      </c>
      <c r="BB347" s="200" t="s">
        <v>6002</v>
      </c>
    </row>
    <row r="348" spans="1:54" x14ac:dyDescent="0.25">
      <c r="A348" s="51" t="s">
        <v>3807</v>
      </c>
      <c r="B348" s="51">
        <v>1</v>
      </c>
      <c r="E348" s="54" t="str" cm="1">
        <f t="array" aca="1" ref="E348" ca="1">IF(H348=0,"",HYPERLINK("#"&amp;RIGHT(CELL("dateiname"),LEN(CELL("dateiname"))-FIND("]",CELL("dateiname")))&amp;"!"&amp;CELL("adresse",OFFSET($Q$6,H348-1,0)),"Definition"))</f>
        <v/>
      </c>
      <c r="F348" s="54" t="str" cm="1">
        <f t="array" aca="1" ref="F348" ca="1">IF(I348=0,"",HYPERLINK("#"&amp;RIGHT(CELL("adresse",OFFSET(DMAV_Doku!$B$6,I348-1,0)),LEN(CELL("adresse",OFFSET(DMAV_Doku!$B$6,I348-1,0)))-SEARCH("]",CELL("adresse",OFFSET(DMAV_Doku!$B$6,I348-1,0)))),"ModDoc"))</f>
        <v/>
      </c>
      <c r="G348" s="150" t="str">
        <f t="shared" si="10"/>
        <v>MDB1</v>
      </c>
      <c r="H348" s="150">
        <f t="shared" si="11"/>
        <v>0</v>
      </c>
      <c r="I348" s="150">
        <f>IF(_xlfn.XLOOKUP(G348,Korrelation!$A$4:$A$723,Korrelation!$B$4:$B$723,0,0)=0,0,MATCH(_xlfn.XLOOKUP(G348,Korrelation!$A$4:$A$723,Korrelation!$B$4:$B$723,0,0),DMAV_Doku!$H$6:$H$483,0))</f>
        <v>0</v>
      </c>
      <c r="J348" s="158"/>
      <c r="K348" s="161"/>
      <c r="L348" s="161"/>
      <c r="M348" s="158"/>
      <c r="N348" s="51" t="s">
        <v>4314</v>
      </c>
      <c r="O348" s="51" t="s">
        <v>3877</v>
      </c>
      <c r="Q348" s="51" t="s">
        <v>910</v>
      </c>
      <c r="R348" s="51" t="s">
        <v>932</v>
      </c>
      <c r="W348" s="52"/>
      <c r="AB348" s="51" t="s">
        <v>4315</v>
      </c>
      <c r="AC348" s="51" t="s">
        <v>3878</v>
      </c>
      <c r="AE348" s="51" t="s">
        <v>910</v>
      </c>
      <c r="AF348" s="51" t="s">
        <v>932</v>
      </c>
      <c r="AP348" s="51" t="s">
        <v>4316</v>
      </c>
      <c r="AQ348" s="51" t="s">
        <v>3879</v>
      </c>
      <c r="AS348" s="51" t="s">
        <v>910</v>
      </c>
      <c r="AT348" s="51" t="s">
        <v>932</v>
      </c>
    </row>
    <row r="349" spans="1:54" x14ac:dyDescent="0.25">
      <c r="A349" s="51" t="s">
        <v>3807</v>
      </c>
      <c r="B349" s="51">
        <v>2</v>
      </c>
      <c r="C349" s="51" t="s">
        <v>3832</v>
      </c>
      <c r="E349" s="54" t="str" cm="1">
        <f t="array" aca="1" ref="E349" ca="1">IF(H349=0,"",HYPERLINK("#"&amp;RIGHT(CELL("dateiname"),LEN(CELL("dateiname"))-FIND("]",CELL("dateiname")))&amp;"!"&amp;CELL("adresse",OFFSET($Q$6,H349-1,0)),"Definition"))</f>
        <v>Definition</v>
      </c>
      <c r="F349" s="54" t="str" cm="1">
        <f t="array" aca="1" ref="F349" ca="1">IF(I349=0,"",HYPERLINK("#"&amp;RIGHT(CELL("adresse",OFFSET(DMAV_Doku!$B$6,I349-1,0)),LEN(CELL("adresse",OFFSET(DMAV_Doku!$B$6,I349-1,0)))-SEARCH("]",CELL("adresse",OFFSET(DMAV_Doku!$B$6,I349-1,0)))),"ModDoc"))</f>
        <v/>
      </c>
      <c r="G349" s="150" t="str">
        <f t="shared" si="10"/>
        <v>MDB2</v>
      </c>
      <c r="H349" s="150">
        <f t="shared" si="11"/>
        <v>18</v>
      </c>
      <c r="I349" s="150">
        <f>IF(_xlfn.XLOOKUP(G349,Korrelation!$A$4:$A$723,Korrelation!$B$4:$B$723,0,0)=0,0,MATCH(_xlfn.XLOOKUP(G349,Korrelation!$A$4:$A$723,Korrelation!$B$4:$B$723,0,0),DMAV_Doku!$H$6:$H$483,0))</f>
        <v>0</v>
      </c>
      <c r="J349" s="158"/>
      <c r="K349" s="161"/>
      <c r="L349" s="161"/>
      <c r="M349" s="158"/>
      <c r="N349" s="51" t="s">
        <v>4314</v>
      </c>
      <c r="O349" s="51" t="s">
        <v>3877</v>
      </c>
      <c r="Q349" s="51" t="s">
        <v>910</v>
      </c>
      <c r="R349" s="51" t="s">
        <v>930</v>
      </c>
      <c r="W349" s="52"/>
      <c r="AB349" s="51" t="s">
        <v>4315</v>
      </c>
      <c r="AC349" s="51" t="s">
        <v>3878</v>
      </c>
      <c r="AE349" s="51" t="s">
        <v>910</v>
      </c>
      <c r="AF349" s="51" t="s">
        <v>3925</v>
      </c>
      <c r="AP349" s="51" t="s">
        <v>4316</v>
      </c>
      <c r="AQ349" s="51" t="s">
        <v>3879</v>
      </c>
      <c r="AS349" s="51" t="s">
        <v>910</v>
      </c>
      <c r="AT349" s="51" t="s">
        <v>3927</v>
      </c>
    </row>
    <row r="350" spans="1:54" x14ac:dyDescent="0.25">
      <c r="A350" s="51" t="s">
        <v>3807</v>
      </c>
      <c r="B350" s="51">
        <v>3</v>
      </c>
      <c r="D350" s="51" t="s">
        <v>3519</v>
      </c>
      <c r="E350" s="54" t="str" cm="1">
        <f t="array" aca="1" ref="E350" ca="1">IF(H350=0,"",HYPERLINK("#"&amp;RIGHT(CELL("dateiname"),LEN(CELL("dateiname"))-FIND("]",CELL("dateiname")))&amp;"!"&amp;CELL("adresse",OFFSET($Q$6,H350-1,0)),"Definition"))</f>
        <v/>
      </c>
      <c r="F350" s="54" t="str" cm="1">
        <f t="array" aca="1" ref="F350" ca="1">IF(I350=0,"",HYPERLINK("#"&amp;RIGHT(CELL("adresse",OFFSET(DMAV_Doku!$B$6,I350-1,0)),LEN(CELL("adresse",OFFSET(DMAV_Doku!$B$6,I350-1,0)))-SEARCH("]",CELL("adresse",OFFSET(DMAV_Doku!$B$6,I350-1,0)))),"ModDoc"))</f>
        <v>ModDoc</v>
      </c>
      <c r="G350" s="150" t="str">
        <f t="shared" si="10"/>
        <v>MDB3</v>
      </c>
      <c r="H350" s="150">
        <f t="shared" si="11"/>
        <v>0</v>
      </c>
      <c r="I350" s="150">
        <f>IF(_xlfn.XLOOKUP(G350,Korrelation!$A$4:$A$723,Korrelation!$B$4:$B$723,0,0)=0,0,MATCH(_xlfn.XLOOKUP(G350,Korrelation!$A$4:$A$723,Korrelation!$B$4:$B$723,0,0),DMAV_Doku!$H$6:$H$483,0))</f>
        <v>198</v>
      </c>
      <c r="J350" s="158"/>
      <c r="K350" s="161"/>
      <c r="L350" s="161"/>
      <c r="M350" s="158"/>
      <c r="N350" s="51" t="s">
        <v>4314</v>
      </c>
      <c r="O350" s="51" t="s">
        <v>3877</v>
      </c>
      <c r="P350" s="51" t="s">
        <v>17</v>
      </c>
      <c r="Q350" s="51" t="s">
        <v>949</v>
      </c>
      <c r="R350" s="51" t="s">
        <v>328</v>
      </c>
      <c r="S350" s="50" t="s">
        <v>950</v>
      </c>
      <c r="T350" s="51" t="s">
        <v>959</v>
      </c>
      <c r="U350" s="52" t="s">
        <v>96</v>
      </c>
      <c r="W350" s="52" t="s">
        <v>951</v>
      </c>
      <c r="Z350" s="200" t="s">
        <v>6006</v>
      </c>
      <c r="AB350" s="51" t="s">
        <v>4315</v>
      </c>
      <c r="AC350" s="51" t="s">
        <v>3878</v>
      </c>
      <c r="AD350" s="51" t="s">
        <v>4317</v>
      </c>
      <c r="AE350" s="51" t="s">
        <v>949</v>
      </c>
      <c r="AF350" s="51" t="s">
        <v>805</v>
      </c>
      <c r="AG350" s="50" t="s">
        <v>950</v>
      </c>
      <c r="AH350" s="51" t="s">
        <v>959</v>
      </c>
      <c r="AI350" s="52" t="s">
        <v>733</v>
      </c>
      <c r="AK350" s="52" t="s">
        <v>951</v>
      </c>
      <c r="AN350" s="52" t="s">
        <v>6008</v>
      </c>
      <c r="AP350" s="51" t="s">
        <v>4316</v>
      </c>
      <c r="AQ350" s="51" t="s">
        <v>3879</v>
      </c>
      <c r="AR350" s="51" t="s">
        <v>4318</v>
      </c>
      <c r="AS350" s="51" t="s">
        <v>949</v>
      </c>
      <c r="AT350" s="51" t="s">
        <v>4319</v>
      </c>
      <c r="AU350" s="50" t="s">
        <v>950</v>
      </c>
      <c r="AV350" s="51" t="s">
        <v>959</v>
      </c>
      <c r="AW350" s="52" t="s">
        <v>1378</v>
      </c>
      <c r="AY350" s="52" t="s">
        <v>951</v>
      </c>
      <c r="BB350" s="52" t="s">
        <v>6009</v>
      </c>
    </row>
    <row r="351" spans="1:54" x14ac:dyDescent="0.25">
      <c r="A351" s="51" t="s">
        <v>3807</v>
      </c>
      <c r="B351" s="51">
        <v>4</v>
      </c>
      <c r="D351" s="51" t="s">
        <v>3519</v>
      </c>
      <c r="E351" s="54" t="str" cm="1">
        <f t="array" aca="1" ref="E351" ca="1">IF(H351=0,"",HYPERLINK("#"&amp;RIGHT(CELL("dateiname"),LEN(CELL("dateiname"))-FIND("]",CELL("dateiname")))&amp;"!"&amp;CELL("adresse",OFFSET($Q$6,H351-1,0)),"Definition"))</f>
        <v/>
      </c>
      <c r="F351" s="54" t="str" cm="1">
        <f t="array" aca="1" ref="F351" ca="1">IF(I351=0,"",HYPERLINK("#"&amp;RIGHT(CELL("adresse",OFFSET(DMAV_Doku!$B$6,I351-1,0)),LEN(CELL("adresse",OFFSET(DMAV_Doku!$B$6,I351-1,0)))-SEARCH("]",CELL("adresse",OFFSET(DMAV_Doku!$B$6,I351-1,0)))),"ModDoc"))</f>
        <v>ModDoc</v>
      </c>
      <c r="G351" s="150" t="str">
        <f t="shared" si="10"/>
        <v>MDB4</v>
      </c>
      <c r="H351" s="150">
        <f t="shared" si="11"/>
        <v>0</v>
      </c>
      <c r="I351" s="150">
        <f>IF(_xlfn.XLOOKUP(G351,Korrelation!$A$4:$A$723,Korrelation!$B$4:$B$723,0,0)=0,0,MATCH(_xlfn.XLOOKUP(G351,Korrelation!$A$4:$A$723,Korrelation!$B$4:$B$723,0,0),DMAV_Doku!$H$6:$H$483,0))</f>
        <v>199</v>
      </c>
      <c r="J351" s="158"/>
      <c r="K351" s="161"/>
      <c r="L351" s="161"/>
      <c r="M351" s="158"/>
      <c r="N351" s="51" t="s">
        <v>4314</v>
      </c>
      <c r="O351" s="51" t="s">
        <v>3877</v>
      </c>
      <c r="P351" s="51" t="s">
        <v>17</v>
      </c>
      <c r="Q351" s="51" t="s">
        <v>949</v>
      </c>
      <c r="R351" s="51" t="s">
        <v>328</v>
      </c>
      <c r="S351" s="50" t="s">
        <v>950</v>
      </c>
      <c r="T351" s="51" t="s">
        <v>959</v>
      </c>
      <c r="U351" s="52" t="s">
        <v>99</v>
      </c>
      <c r="V351" s="55"/>
      <c r="W351" s="52" t="s">
        <v>951</v>
      </c>
      <c r="Z351" s="200" t="s">
        <v>6006</v>
      </c>
      <c r="AB351" s="51" t="s">
        <v>4315</v>
      </c>
      <c r="AC351" s="51" t="s">
        <v>3878</v>
      </c>
      <c r="AD351" s="51" t="s">
        <v>4317</v>
      </c>
      <c r="AE351" s="51" t="s">
        <v>949</v>
      </c>
      <c r="AF351" s="51" t="s">
        <v>805</v>
      </c>
      <c r="AG351" s="50" t="s">
        <v>950</v>
      </c>
      <c r="AH351" s="51" t="s">
        <v>959</v>
      </c>
      <c r="AI351" s="52" t="s">
        <v>734</v>
      </c>
      <c r="AK351" s="52" t="s">
        <v>951</v>
      </c>
      <c r="AN351" s="52" t="s">
        <v>6008</v>
      </c>
      <c r="AP351" s="51" t="s">
        <v>4316</v>
      </c>
      <c r="AQ351" s="51" t="s">
        <v>3879</v>
      </c>
      <c r="AR351" s="51" t="s">
        <v>4318</v>
      </c>
      <c r="AS351" s="51" t="s">
        <v>949</v>
      </c>
      <c r="AT351" s="51" t="s">
        <v>4319</v>
      </c>
      <c r="AU351" s="50" t="s">
        <v>950</v>
      </c>
      <c r="AV351" s="51" t="s">
        <v>959</v>
      </c>
      <c r="AW351" s="52" t="s">
        <v>1376</v>
      </c>
      <c r="AY351" s="52" t="s">
        <v>951</v>
      </c>
      <c r="BB351" s="52" t="s">
        <v>6009</v>
      </c>
    </row>
    <row r="352" spans="1:54" x14ac:dyDescent="0.25">
      <c r="A352" s="51" t="s">
        <v>3807</v>
      </c>
      <c r="B352" s="51">
        <v>5</v>
      </c>
      <c r="E352" s="54" t="str" cm="1">
        <f t="array" aca="1" ref="E352" ca="1">IF(H352=0,"",HYPERLINK("#"&amp;RIGHT(CELL("dateiname"),LEN(CELL("dateiname"))-FIND("]",CELL("dateiname")))&amp;"!"&amp;CELL("adresse",OFFSET($Q$6,H352-1,0)),"Definition"))</f>
        <v/>
      </c>
      <c r="F352" s="54" t="str" cm="1">
        <f t="array" aca="1" ref="F352" ca="1">IF(I352=0,"",HYPERLINK("#"&amp;RIGHT(CELL("adresse",OFFSET(DMAV_Doku!$B$6,I352-1,0)),LEN(CELL("adresse",OFFSET(DMAV_Doku!$B$6,I352-1,0)))-SEARCH("]",CELL("adresse",OFFSET(DMAV_Doku!$B$6,I352-1,0)))),"ModDoc"))</f>
        <v>ModDoc</v>
      </c>
      <c r="G352" s="150" t="str">
        <f t="shared" si="10"/>
        <v>MDB5</v>
      </c>
      <c r="H352" s="150">
        <f t="shared" si="11"/>
        <v>0</v>
      </c>
      <c r="I352" s="150">
        <f>IF(_xlfn.XLOOKUP(G352,Korrelation!$A$4:$A$723,Korrelation!$B$4:$B$723,0,0)=0,0,MATCH(_xlfn.XLOOKUP(G352,Korrelation!$A$4:$A$723,Korrelation!$B$4:$B$723,0,0),DMAV_Doku!$H$6:$H$483,0))</f>
        <v>200</v>
      </c>
      <c r="J352" s="158"/>
      <c r="K352" s="161"/>
      <c r="L352" s="161"/>
      <c r="M352" s="158"/>
      <c r="N352" s="51" t="s">
        <v>4314</v>
      </c>
      <c r="O352" s="51" t="s">
        <v>3877</v>
      </c>
      <c r="P352" s="51" t="s">
        <v>17</v>
      </c>
      <c r="Q352" s="51" t="s">
        <v>949</v>
      </c>
      <c r="R352" s="51" t="s">
        <v>328</v>
      </c>
      <c r="S352" s="50" t="s">
        <v>950</v>
      </c>
      <c r="U352" s="117" t="s">
        <v>101</v>
      </c>
      <c r="W352" s="52" t="s">
        <v>964</v>
      </c>
      <c r="AB352" s="51" t="s">
        <v>4315</v>
      </c>
      <c r="AC352" s="51" t="s">
        <v>3878</v>
      </c>
      <c r="AD352" s="51" t="s">
        <v>4317</v>
      </c>
      <c r="AE352" s="51" t="s">
        <v>949</v>
      </c>
      <c r="AF352" s="51" t="s">
        <v>805</v>
      </c>
      <c r="AG352" s="50" t="s">
        <v>950</v>
      </c>
      <c r="AI352" s="52" t="s">
        <v>735</v>
      </c>
      <c r="AK352" s="52" t="s">
        <v>964</v>
      </c>
      <c r="AP352" s="51" t="s">
        <v>4316</v>
      </c>
      <c r="AQ352" s="51" t="s">
        <v>3879</v>
      </c>
      <c r="AR352" s="51" t="s">
        <v>4318</v>
      </c>
      <c r="AS352" s="51" t="s">
        <v>949</v>
      </c>
      <c r="AT352" s="51" t="s">
        <v>4319</v>
      </c>
      <c r="AU352" s="50" t="s">
        <v>950</v>
      </c>
      <c r="AW352" s="52" t="s">
        <v>1294</v>
      </c>
      <c r="AY352" s="52" t="s">
        <v>964</v>
      </c>
    </row>
    <row r="353" spans="1:54" ht="38.25" x14ac:dyDescent="0.25">
      <c r="A353" s="51" t="s">
        <v>3807</v>
      </c>
      <c r="B353" s="51">
        <v>6</v>
      </c>
      <c r="E353" s="54" t="str" cm="1">
        <f t="array" aca="1" ref="E353" ca="1">IF(H353=0,"",HYPERLINK("#"&amp;RIGHT(CELL("dateiname"),LEN(CELL("dateiname"))-FIND("]",CELL("dateiname")))&amp;"!"&amp;CELL("adresse",OFFSET($Q$6,H353-1,0)),"Definition"))</f>
        <v/>
      </c>
      <c r="F353" s="54" t="str" cm="1">
        <f t="array" aca="1" ref="F353" ca="1">IF(I353=0,"",HYPERLINK("#"&amp;RIGHT(CELL("adresse",OFFSET(DMAV_Doku!$B$6,I353-1,0)),LEN(CELL("adresse",OFFSET(DMAV_Doku!$B$6,I353-1,0)))-SEARCH("]",CELL("adresse",OFFSET(DMAV_Doku!$B$6,I353-1,0)))),"ModDoc"))</f>
        <v>ModDoc</v>
      </c>
      <c r="G353" s="150" t="str">
        <f t="shared" si="10"/>
        <v>MDB6</v>
      </c>
      <c r="H353" s="150">
        <f t="shared" si="11"/>
        <v>0</v>
      </c>
      <c r="I353" s="150">
        <f>IF(_xlfn.XLOOKUP(G353,Korrelation!$A$4:$A$723,Korrelation!$B$4:$B$723,0,0)=0,0,MATCH(_xlfn.XLOOKUP(G353,Korrelation!$A$4:$A$723,Korrelation!$B$4:$B$723,0,0),DMAV_Doku!$H$6:$H$483,0))</f>
        <v>201</v>
      </c>
      <c r="J353" s="158"/>
      <c r="K353" s="161"/>
      <c r="L353" s="161"/>
      <c r="M353" s="158"/>
      <c r="N353" s="51" t="s">
        <v>4314</v>
      </c>
      <c r="O353" s="51" t="s">
        <v>3877</v>
      </c>
      <c r="P353" s="51" t="s">
        <v>17</v>
      </c>
      <c r="Q353" s="51" t="s">
        <v>949</v>
      </c>
      <c r="R353" s="51" t="s">
        <v>328</v>
      </c>
      <c r="U353" s="52" t="s">
        <v>104</v>
      </c>
      <c r="W353" s="52" t="s">
        <v>965</v>
      </c>
      <c r="AB353" s="51" t="s">
        <v>4315</v>
      </c>
      <c r="AC353" s="51" t="s">
        <v>3878</v>
      </c>
      <c r="AD353" s="51" t="s">
        <v>4317</v>
      </c>
      <c r="AE353" s="51" t="s">
        <v>949</v>
      </c>
      <c r="AF353" s="51" t="s">
        <v>805</v>
      </c>
      <c r="AI353" s="52" t="s">
        <v>736</v>
      </c>
      <c r="AK353" s="52" t="s">
        <v>965</v>
      </c>
      <c r="AP353" s="51" t="s">
        <v>4316</v>
      </c>
      <c r="AQ353" s="51" t="s">
        <v>3879</v>
      </c>
      <c r="AR353" s="51" t="s">
        <v>4318</v>
      </c>
      <c r="AS353" s="51" t="s">
        <v>949</v>
      </c>
      <c r="AT353" s="51" t="s">
        <v>4319</v>
      </c>
      <c r="AW353" s="52" t="s">
        <v>1595</v>
      </c>
      <c r="AY353" s="52" t="s">
        <v>965</v>
      </c>
    </row>
    <row r="354" spans="1:54" x14ac:dyDescent="0.25">
      <c r="A354" s="51" t="s">
        <v>3807</v>
      </c>
      <c r="B354" s="51">
        <v>7</v>
      </c>
      <c r="E354" s="54" t="str" cm="1">
        <f t="array" aca="1" ref="E354" ca="1">IF(H354=0,"",HYPERLINK("#"&amp;RIGHT(CELL("dateiname"),LEN(CELL("dateiname"))-FIND("]",CELL("dateiname")))&amp;"!"&amp;CELL("adresse",OFFSET($Q$6,H354-1,0)),"Definition"))</f>
        <v/>
      </c>
      <c r="F354" s="54" t="str" cm="1">
        <f t="array" aca="1" ref="F354" ca="1">IF(I354=0,"",HYPERLINK("#"&amp;RIGHT(CELL("adresse",OFFSET(DMAV_Doku!$B$6,I354-1,0)),LEN(CELL("adresse",OFFSET(DMAV_Doku!$B$6,I354-1,0)))-SEARCH("]",CELL("adresse",OFFSET(DMAV_Doku!$B$6,I354-1,0)))),"ModDoc"))</f>
        <v>ModDoc</v>
      </c>
      <c r="G354" s="150" t="str">
        <f t="shared" si="10"/>
        <v>MDB7</v>
      </c>
      <c r="H354" s="150">
        <f t="shared" si="11"/>
        <v>0</v>
      </c>
      <c r="I354" s="150">
        <f>IF(_xlfn.XLOOKUP(G354,Korrelation!$A$4:$A$723,Korrelation!$B$4:$B$723,0,0)=0,0,MATCH(_xlfn.XLOOKUP(G354,Korrelation!$A$4:$A$723,Korrelation!$B$4:$B$723,0,0),DMAV_Doku!$H$6:$H$483,0))</f>
        <v>202</v>
      </c>
      <c r="J354" s="158"/>
      <c r="K354" s="161"/>
      <c r="L354" s="161"/>
      <c r="M354" s="158"/>
      <c r="N354" s="51" t="s">
        <v>4314</v>
      </c>
      <c r="O354" s="51" t="s">
        <v>3877</v>
      </c>
      <c r="P354" s="51" t="s">
        <v>17</v>
      </c>
      <c r="Q354" s="51" t="s">
        <v>949</v>
      </c>
      <c r="R354" s="51" t="s">
        <v>328</v>
      </c>
      <c r="S354" s="50" t="s">
        <v>950</v>
      </c>
      <c r="U354" s="52" t="s">
        <v>107</v>
      </c>
      <c r="W354" s="52" t="s">
        <v>966</v>
      </c>
      <c r="AB354" s="51" t="s">
        <v>4315</v>
      </c>
      <c r="AC354" s="51" t="s">
        <v>3878</v>
      </c>
      <c r="AD354" s="51" t="s">
        <v>4317</v>
      </c>
      <c r="AE354" s="51" t="s">
        <v>949</v>
      </c>
      <c r="AF354" s="51" t="s">
        <v>805</v>
      </c>
      <c r="AG354" s="50" t="s">
        <v>950</v>
      </c>
      <c r="AI354" s="52" t="s">
        <v>737</v>
      </c>
      <c r="AK354" s="52" t="s">
        <v>4013</v>
      </c>
      <c r="AP354" s="51" t="s">
        <v>4316</v>
      </c>
      <c r="AQ354" s="51" t="s">
        <v>3879</v>
      </c>
      <c r="AR354" s="51" t="s">
        <v>4318</v>
      </c>
      <c r="AS354" s="51" t="s">
        <v>949</v>
      </c>
      <c r="AT354" s="51" t="s">
        <v>4319</v>
      </c>
      <c r="AU354" s="50" t="s">
        <v>950</v>
      </c>
      <c r="AW354" s="52" t="s">
        <v>4014</v>
      </c>
      <c r="AY354" s="52" t="s">
        <v>4013</v>
      </c>
    </row>
    <row r="355" spans="1:54" x14ac:dyDescent="0.25">
      <c r="A355" s="51" t="s">
        <v>3807</v>
      </c>
      <c r="B355" s="51">
        <v>8</v>
      </c>
      <c r="E355" s="54" t="str" cm="1">
        <f t="array" aca="1" ref="E355" ca="1">IF(H355=0,"",HYPERLINK("#"&amp;RIGHT(CELL("dateiname"),LEN(CELL("dateiname"))-FIND("]",CELL("dateiname")))&amp;"!"&amp;CELL("adresse",OFFSET($Q$6,H355-1,0)),"Definition"))</f>
        <v/>
      </c>
      <c r="F355" s="54" t="str" cm="1">
        <f t="array" aca="1" ref="F355" ca="1">IF(I355=0,"",HYPERLINK("#"&amp;RIGHT(CELL("adresse",OFFSET(DMAV_Doku!$B$6,I355-1,0)),LEN(CELL("adresse",OFFSET(DMAV_Doku!$B$6,I355-1,0)))-SEARCH("]",CELL("adresse",OFFSET(DMAV_Doku!$B$6,I355-1,0)))),"ModDoc"))</f>
        <v>ModDoc</v>
      </c>
      <c r="G355" s="150" t="str">
        <f t="shared" si="10"/>
        <v>MDB8</v>
      </c>
      <c r="H355" s="150">
        <f t="shared" si="11"/>
        <v>0</v>
      </c>
      <c r="I355" s="150">
        <f>IF(_xlfn.XLOOKUP(G355,Korrelation!$A$4:$A$723,Korrelation!$B$4:$B$723,0,0)=0,0,MATCH(_xlfn.XLOOKUP(G355,Korrelation!$A$4:$A$723,Korrelation!$B$4:$B$723,0,0),DMAV_Doku!$H$6:$H$483,0))</f>
        <v>203</v>
      </c>
      <c r="J355" s="158"/>
      <c r="K355" s="161"/>
      <c r="L355" s="161"/>
      <c r="M355" s="158"/>
      <c r="N355" s="51" t="s">
        <v>4314</v>
      </c>
      <c r="O355" s="51" t="s">
        <v>3877</v>
      </c>
      <c r="P355" s="51" t="s">
        <v>17</v>
      </c>
      <c r="Q355" s="51" t="s">
        <v>949</v>
      </c>
      <c r="R355" s="51" t="s">
        <v>328</v>
      </c>
      <c r="U355" s="52" t="s">
        <v>206</v>
      </c>
      <c r="W355" s="52" t="s">
        <v>966</v>
      </c>
      <c r="AB355" s="51" t="s">
        <v>4315</v>
      </c>
      <c r="AC355" s="51" t="s">
        <v>3878</v>
      </c>
      <c r="AD355" s="51" t="s">
        <v>4317</v>
      </c>
      <c r="AE355" s="51" t="s">
        <v>949</v>
      </c>
      <c r="AF355" s="51" t="s">
        <v>805</v>
      </c>
      <c r="AI355" s="52" t="s">
        <v>772</v>
      </c>
      <c r="AK355" s="52" t="s">
        <v>4013</v>
      </c>
      <c r="AP355" s="51" t="s">
        <v>4316</v>
      </c>
      <c r="AQ355" s="51" t="s">
        <v>3879</v>
      </c>
      <c r="AR355" s="51" t="s">
        <v>4318</v>
      </c>
      <c r="AS355" s="51" t="s">
        <v>949</v>
      </c>
      <c r="AT355" s="51" t="s">
        <v>4319</v>
      </c>
      <c r="AW355" s="52" t="s">
        <v>4066</v>
      </c>
      <c r="AY355" s="52" t="s">
        <v>4013</v>
      </c>
    </row>
    <row r="356" spans="1:54" x14ac:dyDescent="0.25">
      <c r="A356" s="51" t="s">
        <v>3807</v>
      </c>
      <c r="B356" s="51">
        <v>9</v>
      </c>
      <c r="E356" s="54" t="str" cm="1">
        <f t="array" aca="1" ref="E356" ca="1">IF(H356=0,"",HYPERLINK("#"&amp;RIGHT(CELL("dateiname"),LEN(CELL("dateiname"))-FIND("]",CELL("dateiname")))&amp;"!"&amp;CELL("adresse",OFFSET($Q$6,H356-1,0)),"Definition"))</f>
        <v/>
      </c>
      <c r="F356" s="54" t="str" cm="1">
        <f t="array" aca="1" ref="F356" ca="1">IF(I356=0,"",HYPERLINK("#"&amp;RIGHT(CELL("adresse",OFFSET(DMAV_Doku!$B$6,I356-1,0)),LEN(CELL("adresse",OFFSET(DMAV_Doku!$B$6,I356-1,0)))-SEARCH("]",CELL("adresse",OFFSET(DMAV_Doku!$B$6,I356-1,0)))),"ModDoc"))</f>
        <v>ModDoc</v>
      </c>
      <c r="G356" s="150" t="str">
        <f t="shared" si="10"/>
        <v>MDB9</v>
      </c>
      <c r="H356" s="150">
        <f t="shared" si="11"/>
        <v>0</v>
      </c>
      <c r="I356" s="150">
        <f>IF(_xlfn.XLOOKUP(G356,Korrelation!$A$4:$A$723,Korrelation!$B$4:$B$723,0,0)=0,0,MATCH(_xlfn.XLOOKUP(G356,Korrelation!$A$4:$A$723,Korrelation!$B$4:$B$723,0,0),DMAV_Doku!$H$6:$H$483,0))</f>
        <v>204</v>
      </c>
      <c r="J356" s="158"/>
      <c r="K356" s="161"/>
      <c r="L356" s="161"/>
      <c r="M356" s="158"/>
      <c r="N356" s="51" t="s">
        <v>4314</v>
      </c>
      <c r="O356" s="51" t="s">
        <v>3877</v>
      </c>
      <c r="P356" s="51" t="s">
        <v>17</v>
      </c>
      <c r="Q356" s="51" t="s">
        <v>949</v>
      </c>
      <c r="R356" s="51" t="s">
        <v>329</v>
      </c>
      <c r="S356" s="50" t="s">
        <v>950</v>
      </c>
      <c r="U356" s="52" t="s">
        <v>96</v>
      </c>
      <c r="W356" s="52" t="s">
        <v>951</v>
      </c>
      <c r="AB356" s="51" t="s">
        <v>4315</v>
      </c>
      <c r="AC356" s="51" t="s">
        <v>3878</v>
      </c>
      <c r="AD356" s="51" t="s">
        <v>4317</v>
      </c>
      <c r="AE356" s="51" t="s">
        <v>949</v>
      </c>
      <c r="AF356" s="51" t="s">
        <v>806</v>
      </c>
      <c r="AG356" s="50" t="s">
        <v>950</v>
      </c>
      <c r="AI356" s="52" t="s">
        <v>733</v>
      </c>
      <c r="AK356" s="52" t="s">
        <v>951</v>
      </c>
      <c r="AP356" s="51" t="s">
        <v>4316</v>
      </c>
      <c r="AQ356" s="51" t="s">
        <v>3879</v>
      </c>
      <c r="AR356" s="51" t="s">
        <v>4318</v>
      </c>
      <c r="AS356" s="51" t="s">
        <v>949</v>
      </c>
      <c r="AT356" s="51" t="s">
        <v>4320</v>
      </c>
      <c r="AU356" s="50" t="s">
        <v>950</v>
      </c>
      <c r="AW356" s="52" t="s">
        <v>1378</v>
      </c>
      <c r="AY356" s="52" t="s">
        <v>951</v>
      </c>
    </row>
    <row r="357" spans="1:54" x14ac:dyDescent="0.25">
      <c r="A357" s="51" t="s">
        <v>3807</v>
      </c>
      <c r="B357" s="51">
        <v>10</v>
      </c>
      <c r="E357" s="54" t="str" cm="1">
        <f t="array" aca="1" ref="E357" ca="1">IF(H357=0,"",HYPERLINK("#"&amp;RIGHT(CELL("dateiname"),LEN(CELL("dateiname"))-FIND("]",CELL("dateiname")))&amp;"!"&amp;CELL("adresse",OFFSET($Q$6,H357-1,0)),"Definition"))</f>
        <v/>
      </c>
      <c r="F357" s="54" t="str" cm="1">
        <f t="array" aca="1" ref="F357" ca="1">IF(I357=0,"",HYPERLINK("#"&amp;RIGHT(CELL("adresse",OFFSET(DMAV_Doku!$B$6,I357-1,0)),LEN(CELL("adresse",OFFSET(DMAV_Doku!$B$6,I357-1,0)))-SEARCH("]",CELL("adresse",OFFSET(DMAV_Doku!$B$6,I357-1,0)))),"ModDoc"))</f>
        <v>ModDoc</v>
      </c>
      <c r="G357" s="150" t="str">
        <f t="shared" si="10"/>
        <v>MDB10</v>
      </c>
      <c r="H357" s="150">
        <f t="shared" si="11"/>
        <v>0</v>
      </c>
      <c r="I357" s="150">
        <f>IF(_xlfn.XLOOKUP(G357,Korrelation!$A$4:$A$723,Korrelation!$B$4:$B$723,0,0)=0,0,MATCH(_xlfn.XLOOKUP(G357,Korrelation!$A$4:$A$723,Korrelation!$B$4:$B$723,0,0),DMAV_Doku!$H$6:$H$483,0))</f>
        <v>205</v>
      </c>
      <c r="J357" s="158"/>
      <c r="K357" s="161"/>
      <c r="L357" s="161"/>
      <c r="M357" s="158"/>
      <c r="N357" s="51" t="s">
        <v>4314</v>
      </c>
      <c r="O357" s="51" t="s">
        <v>3877</v>
      </c>
      <c r="P357" s="51" t="s">
        <v>17</v>
      </c>
      <c r="Q357" s="51" t="s">
        <v>949</v>
      </c>
      <c r="R357" s="51" t="s">
        <v>329</v>
      </c>
      <c r="S357" s="50" t="s">
        <v>950</v>
      </c>
      <c r="U357" s="52" t="s">
        <v>99</v>
      </c>
      <c r="W357" s="52" t="s">
        <v>951</v>
      </c>
      <c r="Y357" s="52" t="s">
        <v>1599</v>
      </c>
      <c r="AB357" s="51" t="s">
        <v>4315</v>
      </c>
      <c r="AC357" s="51" t="s">
        <v>3878</v>
      </c>
      <c r="AD357" s="51" t="s">
        <v>4317</v>
      </c>
      <c r="AE357" s="51" t="s">
        <v>949</v>
      </c>
      <c r="AF357" s="51" t="s">
        <v>806</v>
      </c>
      <c r="AG357" s="50" t="s">
        <v>950</v>
      </c>
      <c r="AI357" s="52" t="s">
        <v>734</v>
      </c>
      <c r="AK357" s="52" t="s">
        <v>951</v>
      </c>
      <c r="AP357" s="51" t="s">
        <v>4316</v>
      </c>
      <c r="AQ357" s="51" t="s">
        <v>3879</v>
      </c>
      <c r="AR357" s="51" t="s">
        <v>4318</v>
      </c>
      <c r="AS357" s="51" t="s">
        <v>949</v>
      </c>
      <c r="AT357" s="51" t="s">
        <v>4320</v>
      </c>
      <c r="AU357" s="50" t="s">
        <v>950</v>
      </c>
      <c r="AW357" s="52" t="s">
        <v>1376</v>
      </c>
      <c r="AY357" s="52" t="s">
        <v>951</v>
      </c>
    </row>
    <row r="358" spans="1:54" x14ac:dyDescent="0.25">
      <c r="A358" s="51" t="s">
        <v>3807</v>
      </c>
      <c r="B358" s="51">
        <v>11</v>
      </c>
      <c r="E358" s="54" t="str" cm="1">
        <f t="array" aca="1" ref="E358" ca="1">IF(H358=0,"",HYPERLINK("#"&amp;RIGHT(CELL("dateiname"),LEN(CELL("dateiname"))-FIND("]",CELL("dateiname")))&amp;"!"&amp;CELL("adresse",OFFSET($Q$6,H358-1,0)),"Definition"))</f>
        <v/>
      </c>
      <c r="F358" s="54" t="str" cm="1">
        <f t="array" aca="1" ref="F358" ca="1">IF(I358=0,"",HYPERLINK("#"&amp;RIGHT(CELL("adresse",OFFSET(DMAV_Doku!$B$6,I358-1,0)),LEN(CELL("adresse",OFFSET(DMAV_Doku!$B$6,I358-1,0)))-SEARCH("]",CELL("adresse",OFFSET(DMAV_Doku!$B$6,I358-1,0)))),"ModDoc"))</f>
        <v>ModDoc</v>
      </c>
      <c r="G358" s="150" t="str">
        <f t="shared" si="10"/>
        <v>MDB11</v>
      </c>
      <c r="H358" s="150">
        <f t="shared" si="11"/>
        <v>0</v>
      </c>
      <c r="I358" s="150">
        <f>IF(_xlfn.XLOOKUP(G358,Korrelation!$A$4:$A$723,Korrelation!$B$4:$B$723,0,0)=0,0,MATCH(_xlfn.XLOOKUP(G358,Korrelation!$A$4:$A$723,Korrelation!$B$4:$B$723,0,0),DMAV_Doku!$H$6:$H$483,0))</f>
        <v>206</v>
      </c>
      <c r="J358" s="158"/>
      <c r="K358" s="161"/>
      <c r="L358" s="161"/>
      <c r="M358" s="158"/>
      <c r="N358" s="51" t="s">
        <v>4314</v>
      </c>
      <c r="O358" s="51" t="s">
        <v>3877</v>
      </c>
      <c r="P358" s="51" t="s">
        <v>17</v>
      </c>
      <c r="Q358" s="51" t="s">
        <v>949</v>
      </c>
      <c r="R358" s="51" t="s">
        <v>329</v>
      </c>
      <c r="U358" s="52" t="s">
        <v>101</v>
      </c>
      <c r="W358" s="52" t="s">
        <v>964</v>
      </c>
      <c r="AB358" s="51" t="s">
        <v>4315</v>
      </c>
      <c r="AC358" s="51" t="s">
        <v>3878</v>
      </c>
      <c r="AD358" s="51" t="s">
        <v>4317</v>
      </c>
      <c r="AE358" s="51" t="s">
        <v>949</v>
      </c>
      <c r="AF358" s="51" t="s">
        <v>806</v>
      </c>
      <c r="AI358" s="52" t="s">
        <v>735</v>
      </c>
      <c r="AK358" s="52" t="s">
        <v>964</v>
      </c>
      <c r="AP358" s="51" t="s">
        <v>4316</v>
      </c>
      <c r="AQ358" s="51" t="s">
        <v>3879</v>
      </c>
      <c r="AR358" s="51" t="s">
        <v>4318</v>
      </c>
      <c r="AS358" s="51" t="s">
        <v>949</v>
      </c>
      <c r="AT358" s="51" t="s">
        <v>4320</v>
      </c>
      <c r="AW358" s="52" t="s">
        <v>1294</v>
      </c>
      <c r="AY358" s="52" t="s">
        <v>964</v>
      </c>
    </row>
    <row r="359" spans="1:54" ht="38.25" x14ac:dyDescent="0.25">
      <c r="A359" s="51" t="s">
        <v>3807</v>
      </c>
      <c r="B359" s="51">
        <v>12</v>
      </c>
      <c r="E359" s="54" t="str" cm="1">
        <f t="array" aca="1" ref="E359" ca="1">IF(H359=0,"",HYPERLINK("#"&amp;RIGHT(CELL("dateiname"),LEN(CELL("dateiname"))-FIND("]",CELL("dateiname")))&amp;"!"&amp;CELL("adresse",OFFSET($Q$6,H359-1,0)),"Definition"))</f>
        <v/>
      </c>
      <c r="F359" s="54" t="str" cm="1">
        <f t="array" aca="1" ref="F359" ca="1">IF(I359=0,"",HYPERLINK("#"&amp;RIGHT(CELL("adresse",OFFSET(DMAV_Doku!$B$6,I359-1,0)),LEN(CELL("adresse",OFFSET(DMAV_Doku!$B$6,I359-1,0)))-SEARCH("]",CELL("adresse",OFFSET(DMAV_Doku!$B$6,I359-1,0)))),"ModDoc"))</f>
        <v>ModDoc</v>
      </c>
      <c r="G359" s="150" t="str">
        <f t="shared" si="10"/>
        <v>MDB12</v>
      </c>
      <c r="H359" s="150">
        <f t="shared" si="11"/>
        <v>0</v>
      </c>
      <c r="I359" s="150">
        <f>IF(_xlfn.XLOOKUP(G359,Korrelation!$A$4:$A$723,Korrelation!$B$4:$B$723,0,0)=0,0,MATCH(_xlfn.XLOOKUP(G359,Korrelation!$A$4:$A$723,Korrelation!$B$4:$B$723,0,0),DMAV_Doku!$H$6:$H$483,0))</f>
        <v>207</v>
      </c>
      <c r="J359" s="158"/>
      <c r="K359" s="161"/>
      <c r="L359" s="161"/>
      <c r="M359" s="158"/>
      <c r="N359" s="51" t="s">
        <v>4314</v>
      </c>
      <c r="O359" s="51" t="s">
        <v>3877</v>
      </c>
      <c r="P359" s="51" t="s">
        <v>17</v>
      </c>
      <c r="Q359" s="51" t="s">
        <v>949</v>
      </c>
      <c r="R359" s="51" t="s">
        <v>329</v>
      </c>
      <c r="S359" s="50" t="s">
        <v>950</v>
      </c>
      <c r="U359" s="52" t="s">
        <v>123</v>
      </c>
      <c r="W359" s="52" t="s">
        <v>965</v>
      </c>
      <c r="AB359" s="51" t="s">
        <v>4315</v>
      </c>
      <c r="AC359" s="51" t="s">
        <v>3878</v>
      </c>
      <c r="AD359" s="51" t="s">
        <v>4317</v>
      </c>
      <c r="AE359" s="51" t="s">
        <v>949</v>
      </c>
      <c r="AF359" s="51" t="s">
        <v>806</v>
      </c>
      <c r="AG359" s="50" t="s">
        <v>950</v>
      </c>
      <c r="AI359" s="52" t="s">
        <v>123</v>
      </c>
      <c r="AK359" s="52" t="s">
        <v>965</v>
      </c>
      <c r="AP359" s="51" t="s">
        <v>4316</v>
      </c>
      <c r="AQ359" s="51" t="s">
        <v>3879</v>
      </c>
      <c r="AR359" s="51" t="s">
        <v>4318</v>
      </c>
      <c r="AS359" s="51" t="s">
        <v>949</v>
      </c>
      <c r="AT359" s="51" t="s">
        <v>4320</v>
      </c>
      <c r="AU359" s="50" t="s">
        <v>950</v>
      </c>
      <c r="AW359" s="52" t="s">
        <v>1247</v>
      </c>
      <c r="AY359" s="52" t="s">
        <v>965</v>
      </c>
    </row>
    <row r="360" spans="1:54" x14ac:dyDescent="0.25">
      <c r="A360" s="51" t="s">
        <v>3807</v>
      </c>
      <c r="B360" s="51">
        <v>13</v>
      </c>
      <c r="C360" s="51" t="s">
        <v>3838</v>
      </c>
      <c r="E360" s="54" t="str" cm="1">
        <f t="array" aca="1" ref="E360" ca="1">IF(H360=0,"",HYPERLINK("#"&amp;RIGHT(CELL("dateiname"),LEN(CELL("dateiname"))-FIND("]",CELL("dateiname")))&amp;"!"&amp;CELL("adresse",OFFSET($Q$6,H360-1,0)),"Definition"))</f>
        <v>Definition</v>
      </c>
      <c r="F360" s="54" t="str" cm="1">
        <f t="array" aca="1" ref="F360" ca="1">IF(I360=0,"",HYPERLINK("#"&amp;RIGHT(CELL("adresse",OFFSET(DMAV_Doku!$B$6,I360-1,0)),LEN(CELL("adresse",OFFSET(DMAV_Doku!$B$6,I360-1,0)))-SEARCH("]",CELL("adresse",OFFSET(DMAV_Doku!$B$6,I360-1,0)))),"ModDoc"))</f>
        <v>ModDoc</v>
      </c>
      <c r="G360" s="150" t="str">
        <f t="shared" si="10"/>
        <v>MDB13</v>
      </c>
      <c r="H360" s="150">
        <f t="shared" si="11"/>
        <v>26</v>
      </c>
      <c r="I360" s="150">
        <f>IF(_xlfn.XLOOKUP(G360,Korrelation!$A$4:$A$723,Korrelation!$B$4:$B$723,0,0)=0,0,MATCH(_xlfn.XLOOKUP(G360,Korrelation!$A$4:$A$723,Korrelation!$B$4:$B$723,0,0),DMAV_Doku!$H$6:$H$483,0))</f>
        <v>208</v>
      </c>
      <c r="J360" s="158"/>
      <c r="K360" s="161"/>
      <c r="L360" s="161"/>
      <c r="M360" s="158"/>
      <c r="N360" s="51" t="s">
        <v>4314</v>
      </c>
      <c r="O360" s="51" t="s">
        <v>3877</v>
      </c>
      <c r="P360" s="51" t="s">
        <v>17</v>
      </c>
      <c r="Q360" s="51" t="s">
        <v>949</v>
      </c>
      <c r="R360" s="51" t="s">
        <v>329</v>
      </c>
      <c r="U360" s="52" t="s">
        <v>77</v>
      </c>
      <c r="V360" s="52" t="s">
        <v>3471</v>
      </c>
      <c r="W360" s="52" t="s">
        <v>3472</v>
      </c>
      <c r="AB360" s="51" t="s">
        <v>4315</v>
      </c>
      <c r="AC360" s="51" t="s">
        <v>3878</v>
      </c>
      <c r="AD360" s="51" t="s">
        <v>4317</v>
      </c>
      <c r="AE360" s="51" t="s">
        <v>949</v>
      </c>
      <c r="AF360" s="51" t="s">
        <v>806</v>
      </c>
      <c r="AI360" s="52" t="s">
        <v>729</v>
      </c>
      <c r="AJ360" s="51" t="s">
        <v>3471</v>
      </c>
      <c r="AK360" s="52" t="s">
        <v>4036</v>
      </c>
      <c r="AP360" s="51" t="s">
        <v>4316</v>
      </c>
      <c r="AQ360" s="51" t="s">
        <v>3879</v>
      </c>
      <c r="AR360" s="51" t="s">
        <v>4318</v>
      </c>
      <c r="AS360" s="51" t="s">
        <v>949</v>
      </c>
      <c r="AT360" s="51" t="s">
        <v>4320</v>
      </c>
      <c r="AW360" s="52" t="s">
        <v>3933</v>
      </c>
      <c r="AX360" s="51" t="s">
        <v>3471</v>
      </c>
      <c r="AY360" s="52" t="s">
        <v>4037</v>
      </c>
    </row>
    <row r="361" spans="1:54" x14ac:dyDescent="0.25">
      <c r="A361" s="51" t="s">
        <v>3807</v>
      </c>
      <c r="B361" s="51">
        <v>14</v>
      </c>
      <c r="E361" s="54" t="str" cm="1">
        <f t="array" aca="1" ref="E361" ca="1">IF(H361=0,"",HYPERLINK("#"&amp;RIGHT(CELL("dateiname"),LEN(CELL("dateiname"))-FIND("]",CELL("dateiname")))&amp;"!"&amp;CELL("adresse",OFFSET($Q$6,H361-1,0)),"Definition"))</f>
        <v/>
      </c>
      <c r="F361" s="54" t="str" cm="1">
        <f t="array" aca="1" ref="F361" ca="1">IF(I361=0,"",HYPERLINK("#"&amp;RIGHT(CELL("adresse",OFFSET(DMAV_Doku!$B$6,I361-1,0)),LEN(CELL("adresse",OFFSET(DMAV_Doku!$B$6,I361-1,0)))-SEARCH("]",CELL("adresse",OFFSET(DMAV_Doku!$B$6,I361-1,0)))),"ModDoc"))</f>
        <v/>
      </c>
      <c r="G361" s="150" t="str">
        <f t="shared" si="10"/>
        <v>MDB14</v>
      </c>
      <c r="H361" s="150">
        <f t="shared" si="11"/>
        <v>0</v>
      </c>
      <c r="I361" s="150">
        <f>IF(_xlfn.XLOOKUP(G361,Korrelation!$A$4:$A$723,Korrelation!$B$4:$B$723,0,0)=0,0,MATCH(_xlfn.XLOOKUP(G361,Korrelation!$A$4:$A$723,Korrelation!$B$4:$B$723,0,0),DMAV_Doku!$H$6:$H$483,0))</f>
        <v>0</v>
      </c>
      <c r="J361" s="158"/>
      <c r="K361" s="161"/>
      <c r="L361" s="161"/>
      <c r="M361" s="158"/>
      <c r="N361" s="51" t="s">
        <v>4314</v>
      </c>
      <c r="O361" s="51" t="s">
        <v>3877</v>
      </c>
      <c r="P361" s="51" t="s">
        <v>17</v>
      </c>
      <c r="Q361" s="51" t="s">
        <v>967</v>
      </c>
      <c r="R361" s="51" t="s">
        <v>1071</v>
      </c>
      <c r="U361" s="52" t="s">
        <v>969</v>
      </c>
      <c r="W361" s="52" t="s">
        <v>328</v>
      </c>
      <c r="X361" s="51" t="s">
        <v>970</v>
      </c>
      <c r="AB361" s="51" t="s">
        <v>4315</v>
      </c>
      <c r="AC361" s="51" t="s">
        <v>3878</v>
      </c>
      <c r="AD361" s="51" t="s">
        <v>4317</v>
      </c>
      <c r="AE361" s="51" t="s">
        <v>967</v>
      </c>
      <c r="AF361" s="51" t="s">
        <v>4321</v>
      </c>
      <c r="AI361" s="52" t="s">
        <v>1319</v>
      </c>
      <c r="AK361" s="52" t="s">
        <v>805</v>
      </c>
      <c r="AL361" s="51" t="s">
        <v>970</v>
      </c>
      <c r="AP361" s="51" t="s">
        <v>4316</v>
      </c>
      <c r="AQ361" s="51" t="s">
        <v>3879</v>
      </c>
      <c r="AR361" s="51" t="s">
        <v>4318</v>
      </c>
      <c r="AS361" s="51" t="s">
        <v>967</v>
      </c>
      <c r="AT361" s="51" t="s">
        <v>4322</v>
      </c>
      <c r="AW361" s="52" t="s">
        <v>1319</v>
      </c>
      <c r="AY361" s="52" t="s">
        <v>4319</v>
      </c>
      <c r="AZ361" s="51" t="s">
        <v>970</v>
      </c>
    </row>
    <row r="362" spans="1:54" ht="25.5" x14ac:dyDescent="0.25">
      <c r="A362" s="51" t="s">
        <v>3807</v>
      </c>
      <c r="B362" s="51">
        <v>15</v>
      </c>
      <c r="E362" s="54" t="str" cm="1">
        <f t="array" aca="1" ref="E362" ca="1">IF(H362=0,"",HYPERLINK("#"&amp;RIGHT(CELL("dateiname"),LEN(CELL("dateiname"))-FIND("]",CELL("dateiname")))&amp;"!"&amp;CELL("adresse",OFFSET($Q$6,H362-1,0)),"Definition"))</f>
        <v/>
      </c>
      <c r="F362" s="54" t="str" cm="1">
        <f t="array" aca="1" ref="F362" ca="1">IF(I362=0,"",HYPERLINK("#"&amp;RIGHT(CELL("adresse",OFFSET(DMAV_Doku!$B$6,I362-1,0)),LEN(CELL("adresse",OFFSET(DMAV_Doku!$B$6,I362-1,0)))-SEARCH("]",CELL("adresse",OFFSET(DMAV_Doku!$B$6,I362-1,0)))),"ModDoc"))</f>
        <v/>
      </c>
      <c r="G362" s="150" t="str">
        <f t="shared" si="10"/>
        <v>MDB15</v>
      </c>
      <c r="H362" s="150">
        <f t="shared" si="11"/>
        <v>0</v>
      </c>
      <c r="I362" s="150">
        <f>IF(_xlfn.XLOOKUP(G362,Korrelation!$A$4:$A$723,Korrelation!$B$4:$B$723,0,0)=0,0,MATCH(_xlfn.XLOOKUP(G362,Korrelation!$A$4:$A$723,Korrelation!$B$4:$B$723,0,0),DMAV_Doku!$H$6:$H$483,0))</f>
        <v>0</v>
      </c>
      <c r="J362" s="158"/>
      <c r="K362" s="161"/>
      <c r="L362" s="161"/>
      <c r="M362" s="158"/>
      <c r="N362" s="51" t="s">
        <v>4314</v>
      </c>
      <c r="O362" s="51" t="s">
        <v>3877</v>
      </c>
      <c r="P362" s="51" t="s">
        <v>17</v>
      </c>
      <c r="Q362" s="51" t="s">
        <v>967</v>
      </c>
      <c r="R362" s="51" t="s">
        <v>1071</v>
      </c>
      <c r="U362" s="52" t="s">
        <v>1072</v>
      </c>
      <c r="W362" s="52" t="s">
        <v>329</v>
      </c>
      <c r="X362" s="51" t="s">
        <v>972</v>
      </c>
      <c r="AB362" s="51" t="s">
        <v>4315</v>
      </c>
      <c r="AC362" s="51" t="s">
        <v>3878</v>
      </c>
      <c r="AD362" s="51" t="s">
        <v>4317</v>
      </c>
      <c r="AE362" s="51" t="s">
        <v>967</v>
      </c>
      <c r="AF362" s="51" t="s">
        <v>4321</v>
      </c>
      <c r="AI362" s="52" t="s">
        <v>4323</v>
      </c>
      <c r="AK362" s="52" t="s">
        <v>806</v>
      </c>
      <c r="AL362" s="51" t="s">
        <v>972</v>
      </c>
      <c r="AP362" s="51" t="s">
        <v>4316</v>
      </c>
      <c r="AQ362" s="51" t="s">
        <v>3879</v>
      </c>
      <c r="AR362" s="51" t="s">
        <v>4318</v>
      </c>
      <c r="AS362" s="51" t="s">
        <v>967</v>
      </c>
      <c r="AT362" s="51" t="s">
        <v>4322</v>
      </c>
      <c r="AW362" s="52" t="s">
        <v>4324</v>
      </c>
      <c r="AY362" s="52" t="s">
        <v>4320</v>
      </c>
      <c r="AZ362" s="51" t="s">
        <v>972</v>
      </c>
    </row>
    <row r="363" spans="1:54" x14ac:dyDescent="0.25">
      <c r="A363" s="51" t="s">
        <v>3807</v>
      </c>
      <c r="B363" s="51">
        <v>16</v>
      </c>
      <c r="E363" s="54" t="str" cm="1">
        <f t="array" aca="1" ref="E363" ca="1">IF(H363=0,"",HYPERLINK("#"&amp;RIGHT(CELL("dateiname"),LEN(CELL("dateiname"))-FIND("]",CELL("dateiname")))&amp;"!"&amp;CELL("adresse",OFFSET($Q$6,H363-1,0)),"Definition"))</f>
        <v/>
      </c>
      <c r="F363" s="54" t="str" cm="1">
        <f t="array" aca="1" ref="F363" ca="1">IF(I363=0,"",HYPERLINK("#"&amp;RIGHT(CELL("adresse",OFFSET(DMAV_Doku!$B$6,I363-1,0)),LEN(CELL("adresse",OFFSET(DMAV_Doku!$B$6,I363-1,0)))-SEARCH("]",CELL("adresse",OFFSET(DMAV_Doku!$B$6,I363-1,0)))),"ModDoc"))</f>
        <v/>
      </c>
      <c r="G363" s="150" t="str">
        <f t="shared" si="10"/>
        <v>MDB16</v>
      </c>
      <c r="H363" s="150">
        <f t="shared" si="11"/>
        <v>0</v>
      </c>
      <c r="I363" s="150">
        <f>IF(_xlfn.XLOOKUP(G363,Korrelation!$A$4:$A$723,Korrelation!$B$4:$B$723,0,0)=0,0,MATCH(_xlfn.XLOOKUP(G363,Korrelation!$A$4:$A$723,Korrelation!$B$4:$B$723,0,0),DMAV_Doku!$H$6:$H$483,0))</f>
        <v>0</v>
      </c>
      <c r="J363" s="158"/>
      <c r="K363" s="161"/>
      <c r="L363" s="161"/>
      <c r="M363" s="158"/>
      <c r="N363" s="51" t="s">
        <v>4314</v>
      </c>
      <c r="O363" s="51" t="s">
        <v>3877</v>
      </c>
      <c r="P363" s="51" t="s">
        <v>17</v>
      </c>
      <c r="Q363" s="51" t="s">
        <v>967</v>
      </c>
      <c r="R363" s="51" t="s">
        <v>1073</v>
      </c>
      <c r="U363" s="52" t="s">
        <v>974</v>
      </c>
      <c r="W363" s="52" t="s">
        <v>328</v>
      </c>
      <c r="X363" s="51" t="s">
        <v>975</v>
      </c>
      <c r="AB363" s="51" t="s">
        <v>4315</v>
      </c>
      <c r="AC363" s="51" t="s">
        <v>3878</v>
      </c>
      <c r="AD363" s="51" t="s">
        <v>4317</v>
      </c>
      <c r="AE363" s="51" t="s">
        <v>967</v>
      </c>
      <c r="AF363" s="51" t="s">
        <v>4325</v>
      </c>
      <c r="AI363" s="52" t="s">
        <v>4074</v>
      </c>
      <c r="AK363" s="52" t="s">
        <v>805</v>
      </c>
      <c r="AL363" s="51" t="s">
        <v>975</v>
      </c>
      <c r="AP363" s="51" t="s">
        <v>4316</v>
      </c>
      <c r="AQ363" s="51" t="s">
        <v>3879</v>
      </c>
      <c r="AR363" s="51" t="s">
        <v>4318</v>
      </c>
      <c r="AS363" s="51" t="s">
        <v>967</v>
      </c>
      <c r="AT363" s="51" t="s">
        <v>4326</v>
      </c>
      <c r="AW363" s="52" t="s">
        <v>4076</v>
      </c>
      <c r="AY363" s="52" t="s">
        <v>4319</v>
      </c>
      <c r="AZ363" s="51" t="s">
        <v>975</v>
      </c>
    </row>
    <row r="364" spans="1:54" ht="25.5" x14ac:dyDescent="0.25">
      <c r="A364" s="51" t="s">
        <v>3807</v>
      </c>
      <c r="B364" s="51">
        <v>17</v>
      </c>
      <c r="E364" s="54" t="str" cm="1">
        <f t="array" aca="1" ref="E364" ca="1">IF(H364=0,"",HYPERLINK("#"&amp;RIGHT(CELL("dateiname"),LEN(CELL("dateiname"))-FIND("]",CELL("dateiname")))&amp;"!"&amp;CELL("adresse",OFFSET($Q$6,H364-1,0)),"Definition"))</f>
        <v/>
      </c>
      <c r="F364" s="54" t="str" cm="1">
        <f t="array" aca="1" ref="F364" ca="1">IF(I364=0,"",HYPERLINK("#"&amp;RIGHT(CELL("adresse",OFFSET(DMAV_Doku!$B$6,I364-1,0)),LEN(CELL("adresse",OFFSET(DMAV_Doku!$B$6,I364-1,0)))-SEARCH("]",CELL("adresse",OFFSET(DMAV_Doku!$B$6,I364-1,0)))),"ModDoc"))</f>
        <v/>
      </c>
      <c r="G364" s="150" t="str">
        <f t="shared" si="10"/>
        <v>MDB17</v>
      </c>
      <c r="H364" s="150">
        <f t="shared" si="11"/>
        <v>0</v>
      </c>
      <c r="I364" s="150">
        <f>IF(_xlfn.XLOOKUP(G364,Korrelation!$A$4:$A$723,Korrelation!$B$4:$B$723,0,0)=0,0,MATCH(_xlfn.XLOOKUP(G364,Korrelation!$A$4:$A$723,Korrelation!$B$4:$B$723,0,0),DMAV_Doku!$H$6:$H$483,0))</f>
        <v>0</v>
      </c>
      <c r="J364" s="158"/>
      <c r="K364" s="161"/>
      <c r="L364" s="161"/>
      <c r="M364" s="158"/>
      <c r="N364" s="51" t="s">
        <v>4314</v>
      </c>
      <c r="O364" s="51" t="s">
        <v>3877</v>
      </c>
      <c r="P364" s="51" t="s">
        <v>17</v>
      </c>
      <c r="Q364" s="51" t="s">
        <v>967</v>
      </c>
      <c r="R364" s="51" t="s">
        <v>1073</v>
      </c>
      <c r="U364" s="52" t="s">
        <v>1074</v>
      </c>
      <c r="W364" s="52" t="s">
        <v>329</v>
      </c>
      <c r="X364" s="51" t="s">
        <v>972</v>
      </c>
      <c r="AB364" s="51" t="s">
        <v>4315</v>
      </c>
      <c r="AC364" s="51" t="s">
        <v>3878</v>
      </c>
      <c r="AD364" s="51" t="s">
        <v>4317</v>
      </c>
      <c r="AE364" s="51" t="s">
        <v>967</v>
      </c>
      <c r="AF364" s="51" t="s">
        <v>4325</v>
      </c>
      <c r="AI364" s="52" t="s">
        <v>4327</v>
      </c>
      <c r="AK364" s="52" t="s">
        <v>806</v>
      </c>
      <c r="AL364" s="51" t="s">
        <v>972</v>
      </c>
      <c r="AP364" s="51" t="s">
        <v>4316</v>
      </c>
      <c r="AQ364" s="51" t="s">
        <v>3879</v>
      </c>
      <c r="AR364" s="51" t="s">
        <v>4318</v>
      </c>
      <c r="AS364" s="51" t="s">
        <v>967</v>
      </c>
      <c r="AT364" s="51" t="s">
        <v>4326</v>
      </c>
      <c r="AW364" s="52" t="s">
        <v>4328</v>
      </c>
      <c r="AY364" s="52" t="s">
        <v>4320</v>
      </c>
      <c r="AZ364" s="51" t="s">
        <v>972</v>
      </c>
    </row>
    <row r="365" spans="1:54" x14ac:dyDescent="0.25">
      <c r="A365" s="51" t="s">
        <v>3807</v>
      </c>
      <c r="B365" s="51">
        <v>18</v>
      </c>
      <c r="E365" s="54" t="str" cm="1">
        <f t="array" aca="1" ref="E365" ca="1">IF(H365=0,"",HYPERLINK("#"&amp;RIGHT(CELL("dateiname"),LEN(CELL("dateiname"))-FIND("]",CELL("dateiname")))&amp;"!"&amp;CELL("adresse",OFFSET($Q$6,H365-1,0)),"Definition"))</f>
        <v/>
      </c>
      <c r="F365" s="54" t="str" cm="1">
        <f t="array" aca="1" ref="F365" ca="1">IF(I365=0,"",HYPERLINK("#"&amp;RIGHT(CELL("adresse",OFFSET(DMAV_Doku!$B$6,I365-1,0)),LEN(CELL("adresse",OFFSET(DMAV_Doku!$B$6,I365-1,0)))-SEARCH("]",CELL("adresse",OFFSET(DMAV_Doku!$B$6,I365-1,0)))),"ModDoc"))</f>
        <v/>
      </c>
      <c r="G365" s="150" t="str">
        <f t="shared" si="10"/>
        <v>MDB18</v>
      </c>
      <c r="H365" s="150">
        <f t="shared" si="11"/>
        <v>0</v>
      </c>
      <c r="I365" s="150">
        <f>IF(_xlfn.XLOOKUP(G365,Korrelation!$A$4:$A$723,Korrelation!$B$4:$B$723,0,0)=0,0,MATCH(_xlfn.XLOOKUP(G365,Korrelation!$A$4:$A$723,Korrelation!$B$4:$B$723,0,0),DMAV_Doku!$H$6:$H$483,0))</f>
        <v>0</v>
      </c>
      <c r="J365" s="158"/>
      <c r="K365" s="161"/>
      <c r="L365" s="161"/>
      <c r="M365" s="158"/>
      <c r="N365" s="51" t="s">
        <v>4314</v>
      </c>
      <c r="O365" s="51" t="s">
        <v>3877</v>
      </c>
      <c r="P365" s="51" t="s">
        <v>17</v>
      </c>
      <c r="Q365" s="51" t="s">
        <v>977</v>
      </c>
      <c r="R365" s="51" t="s">
        <v>1076</v>
      </c>
      <c r="U365" s="52" t="s">
        <v>979</v>
      </c>
      <c r="W365" s="52" t="s">
        <v>329</v>
      </c>
      <c r="AB365" s="51" t="s">
        <v>4315</v>
      </c>
      <c r="AC365" s="51" t="s">
        <v>3878</v>
      </c>
      <c r="AD365" s="51" t="s">
        <v>4317</v>
      </c>
      <c r="AE365" s="51" t="s">
        <v>977</v>
      </c>
      <c r="AF365" s="51" t="s">
        <v>4329</v>
      </c>
      <c r="AI365" s="52" t="s">
        <v>979</v>
      </c>
      <c r="AK365" s="52" t="s">
        <v>806</v>
      </c>
      <c r="AP365" s="51" t="s">
        <v>4316</v>
      </c>
      <c r="AQ365" s="51" t="s">
        <v>3879</v>
      </c>
      <c r="AR365" s="51" t="s">
        <v>4318</v>
      </c>
      <c r="AS365" s="51" t="s">
        <v>977</v>
      </c>
      <c r="AT365" s="51" t="s">
        <v>4330</v>
      </c>
      <c r="AW365" s="52" t="s">
        <v>979</v>
      </c>
      <c r="AY365" s="52" t="s">
        <v>4320</v>
      </c>
    </row>
    <row r="366" spans="1:54" ht="89.25" x14ac:dyDescent="0.25">
      <c r="A366" s="51" t="s">
        <v>3807</v>
      </c>
      <c r="B366" s="51">
        <v>19</v>
      </c>
      <c r="E366" s="54" t="str" cm="1">
        <f t="array" aca="1" ref="E366" ca="1">IF(H366=0,"",HYPERLINK("#"&amp;RIGHT(CELL("dateiname"),LEN(CELL("dateiname"))-FIND("]",CELL("dateiname")))&amp;"!"&amp;CELL("adresse",OFFSET($Q$6,H366-1,0)),"Definition"))</f>
        <v/>
      </c>
      <c r="F366" s="54" t="str" cm="1">
        <f t="array" aca="1" ref="F366" ca="1">IF(I366=0,"",HYPERLINK("#"&amp;RIGHT(CELL("adresse",OFFSET(DMAV_Doku!$B$6,I366-1,0)),LEN(CELL("adresse",OFFSET(DMAV_Doku!$B$6,I366-1,0)))-SEARCH("]",CELL("adresse",OFFSET(DMAV_Doku!$B$6,I366-1,0)))),"ModDoc"))</f>
        <v/>
      </c>
      <c r="G366" s="150" t="str">
        <f t="shared" si="10"/>
        <v>MDB19</v>
      </c>
      <c r="H366" s="150">
        <f t="shared" si="11"/>
        <v>0</v>
      </c>
      <c r="I366" s="150">
        <f>IF(_xlfn.XLOOKUP(G366,Korrelation!$A$4:$A$723,Korrelation!$B$4:$B$723,0,0)=0,0,MATCH(_xlfn.XLOOKUP(G366,Korrelation!$A$4:$A$723,Korrelation!$B$4:$B$723,0,0),DMAV_Doku!$H$6:$H$483,0))</f>
        <v>0</v>
      </c>
      <c r="J366" s="158"/>
      <c r="K366" s="161"/>
      <c r="L366" s="161"/>
      <c r="M366" s="158"/>
      <c r="N366" s="51" t="s">
        <v>4314</v>
      </c>
      <c r="O366" s="51" t="s">
        <v>3877</v>
      </c>
      <c r="P366" s="51" t="s">
        <v>17</v>
      </c>
      <c r="Q366" s="51" t="s">
        <v>977</v>
      </c>
      <c r="R366" s="51" t="s">
        <v>1076</v>
      </c>
      <c r="U366" s="52" t="s">
        <v>1002</v>
      </c>
      <c r="W366" s="52" t="s">
        <v>1077</v>
      </c>
      <c r="Z366" s="198" t="s">
        <v>2780</v>
      </c>
      <c r="AB366" s="51" t="s">
        <v>4315</v>
      </c>
      <c r="AC366" s="51" t="s">
        <v>3878</v>
      </c>
      <c r="AD366" s="51" t="s">
        <v>4317</v>
      </c>
      <c r="AE366" s="51" t="s">
        <v>977</v>
      </c>
      <c r="AF366" s="51" t="s">
        <v>4329</v>
      </c>
      <c r="AI366" s="52" t="s">
        <v>4087</v>
      </c>
      <c r="AK366" s="52" t="s">
        <v>4331</v>
      </c>
      <c r="AN366" s="259" t="s">
        <v>7271</v>
      </c>
      <c r="AP366" s="51" t="s">
        <v>4316</v>
      </c>
      <c r="AQ366" s="51" t="s">
        <v>3879</v>
      </c>
      <c r="AR366" s="51" t="s">
        <v>4318</v>
      </c>
      <c r="AS366" s="51" t="s">
        <v>977</v>
      </c>
      <c r="AT366" s="51" t="s">
        <v>4330</v>
      </c>
      <c r="AW366" s="52" t="s">
        <v>4332</v>
      </c>
      <c r="AY366" s="52" t="s">
        <v>4333</v>
      </c>
      <c r="BB366" s="199" t="s">
        <v>5989</v>
      </c>
    </row>
    <row r="367" spans="1:54" x14ac:dyDescent="0.25">
      <c r="A367" s="51" t="s">
        <v>3807</v>
      </c>
      <c r="B367" s="51">
        <v>20</v>
      </c>
      <c r="E367" s="54" t="str" cm="1">
        <f t="array" aca="1" ref="E367" ca="1">IF(H367=0,"",HYPERLINK("#"&amp;RIGHT(CELL("dateiname"),LEN(CELL("dateiname"))-FIND("]",CELL("dateiname")))&amp;"!"&amp;CELL("adresse",OFFSET($Q$6,H367-1,0)),"Definition"))</f>
        <v/>
      </c>
      <c r="F367" s="54" t="str" cm="1">
        <f t="array" aca="1" ref="F367" ca="1">IF(I367=0,"",HYPERLINK("#"&amp;RIGHT(CELL("adresse",OFFSET(DMAV_Doku!$B$6,I367-1,0)),LEN(CELL("adresse",OFFSET(DMAV_Doku!$B$6,I367-1,0)))-SEARCH("]",CELL("adresse",OFFSET(DMAV_Doku!$B$6,I367-1,0)))),"ModDoc"))</f>
        <v/>
      </c>
      <c r="G367" s="150" t="str">
        <f t="shared" si="10"/>
        <v>MDB20</v>
      </c>
      <c r="H367" s="150">
        <f t="shared" si="11"/>
        <v>0</v>
      </c>
      <c r="I367" s="150">
        <f>IF(_xlfn.XLOOKUP(G367,Korrelation!$A$4:$A$723,Korrelation!$B$4:$B$723,0,0)=0,0,MATCH(_xlfn.XLOOKUP(G367,Korrelation!$A$4:$A$723,Korrelation!$B$4:$B$723,0,0),DMAV_Doku!$H$6:$H$483,0))</f>
        <v>0</v>
      </c>
      <c r="J367" s="158"/>
      <c r="K367" s="161"/>
      <c r="L367" s="161"/>
      <c r="M367" s="158"/>
      <c r="N367" s="51" t="s">
        <v>4314</v>
      </c>
      <c r="O367" s="51" t="s">
        <v>3877</v>
      </c>
      <c r="P367" s="51" t="s">
        <v>17</v>
      </c>
      <c r="Q367" s="51" t="s">
        <v>977</v>
      </c>
      <c r="R367" s="51" t="s">
        <v>1076</v>
      </c>
      <c r="U367" s="52" t="s">
        <v>982</v>
      </c>
      <c r="W367" s="52" t="s">
        <v>329</v>
      </c>
      <c r="AB367" s="51" t="s">
        <v>4315</v>
      </c>
      <c r="AC367" s="51" t="s">
        <v>3878</v>
      </c>
      <c r="AD367" s="51" t="s">
        <v>4317</v>
      </c>
      <c r="AE367" s="51" t="s">
        <v>977</v>
      </c>
      <c r="AF367" s="51" t="s">
        <v>4329</v>
      </c>
      <c r="AI367" s="52" t="s">
        <v>982</v>
      </c>
      <c r="AK367" s="52" t="s">
        <v>806</v>
      </c>
      <c r="AP367" s="51" t="s">
        <v>4316</v>
      </c>
      <c r="AQ367" s="51" t="s">
        <v>3879</v>
      </c>
      <c r="AR367" s="51" t="s">
        <v>4318</v>
      </c>
      <c r="AS367" s="51" t="s">
        <v>977</v>
      </c>
      <c r="AT367" s="51" t="s">
        <v>4330</v>
      </c>
      <c r="AW367" s="52" t="s">
        <v>982</v>
      </c>
      <c r="AY367" s="52" t="s">
        <v>4320</v>
      </c>
    </row>
    <row r="368" spans="1:54" ht="25.5" x14ac:dyDescent="0.25">
      <c r="A368" s="51" t="s">
        <v>3807</v>
      </c>
      <c r="B368" s="51">
        <v>21</v>
      </c>
      <c r="D368" s="51" t="s">
        <v>3520</v>
      </c>
      <c r="E368" s="54" t="str" cm="1">
        <f t="array" aca="1" ref="E368" ca="1">IF(H368=0,"",HYPERLINK("#"&amp;RIGHT(CELL("dateiname"),LEN(CELL("dateiname"))-FIND("]",CELL("dateiname")))&amp;"!"&amp;CELL("adresse",OFFSET($Q$6,H368-1,0)),"Definition"))</f>
        <v/>
      </c>
      <c r="F368" s="54" t="str" cm="1">
        <f t="array" aca="1" ref="F368" ca="1">IF(I368=0,"",HYPERLINK("#"&amp;RIGHT(CELL("adresse",OFFSET(DMAV_Doku!$B$6,I368-1,0)),LEN(CELL("adresse",OFFSET(DMAV_Doku!$B$6,I368-1,0)))-SEARCH("]",CELL("adresse",OFFSET(DMAV_Doku!$B$6,I368-1,0)))),"ModDoc"))</f>
        <v/>
      </c>
      <c r="G368" s="150" t="str">
        <f t="shared" si="10"/>
        <v>MDB21</v>
      </c>
      <c r="H368" s="150">
        <f t="shared" si="11"/>
        <v>0</v>
      </c>
      <c r="I368" s="150">
        <f>IF(_xlfn.XLOOKUP(G368,Korrelation!$A$4:$A$723,Korrelation!$B$4:$B$723,0,0)=0,0,MATCH(_xlfn.XLOOKUP(G368,Korrelation!$A$4:$A$723,Korrelation!$B$4:$B$723,0,0),DMAV_Doku!$H$6:$H$483,0))</f>
        <v>0</v>
      </c>
      <c r="J368" s="158"/>
      <c r="K368" s="161"/>
      <c r="L368" s="161"/>
      <c r="M368" s="158"/>
      <c r="N368" s="51" t="s">
        <v>4314</v>
      </c>
      <c r="O368" s="51" t="s">
        <v>3877</v>
      </c>
      <c r="P368" s="51" t="s">
        <v>17</v>
      </c>
      <c r="Q368" s="51" t="s">
        <v>977</v>
      </c>
      <c r="R368" s="51" t="s">
        <v>1076</v>
      </c>
      <c r="T368" s="51" t="s">
        <v>959</v>
      </c>
      <c r="U368" s="52" t="s">
        <v>96</v>
      </c>
      <c r="W368" s="52"/>
      <c r="Z368" s="199" t="s">
        <v>2781</v>
      </c>
      <c r="AB368" s="51" t="s">
        <v>4315</v>
      </c>
      <c r="AC368" s="51" t="s">
        <v>3878</v>
      </c>
      <c r="AD368" s="51" t="s">
        <v>4317</v>
      </c>
      <c r="AE368" s="51" t="s">
        <v>977</v>
      </c>
      <c r="AF368" s="51" t="s">
        <v>4329</v>
      </c>
      <c r="AH368" s="51" t="s">
        <v>959</v>
      </c>
      <c r="AI368" s="52" t="s">
        <v>733</v>
      </c>
      <c r="AN368" s="199" t="s">
        <v>7245</v>
      </c>
      <c r="AP368" s="51" t="s">
        <v>4316</v>
      </c>
      <c r="AQ368" s="51" t="s">
        <v>3879</v>
      </c>
      <c r="AR368" s="51" t="s">
        <v>4318</v>
      </c>
      <c r="AS368" s="51" t="s">
        <v>977</v>
      </c>
      <c r="AT368" s="51" t="s">
        <v>4330</v>
      </c>
      <c r="AV368" s="51" t="s">
        <v>959</v>
      </c>
      <c r="AW368" s="52" t="s">
        <v>1378</v>
      </c>
      <c r="BB368" s="199" t="s">
        <v>5995</v>
      </c>
    </row>
    <row r="369" spans="1:54" ht="25.5" x14ac:dyDescent="0.25">
      <c r="A369" s="51" t="s">
        <v>3807</v>
      </c>
      <c r="B369" s="51">
        <v>22</v>
      </c>
      <c r="D369" s="51" t="s">
        <v>3520</v>
      </c>
      <c r="E369" s="54" t="str" cm="1">
        <f t="array" aca="1" ref="E369" ca="1">IF(H369=0,"",HYPERLINK("#"&amp;RIGHT(CELL("dateiname"),LEN(CELL("dateiname"))-FIND("]",CELL("dateiname")))&amp;"!"&amp;CELL("adresse",OFFSET($Q$6,H369-1,0)),"Definition"))</f>
        <v/>
      </c>
      <c r="F369" s="54" t="str" cm="1">
        <f t="array" aca="1" ref="F369" ca="1">IF(I369=0,"",HYPERLINK("#"&amp;RIGHT(CELL("adresse",OFFSET(DMAV_Doku!$B$6,I369-1,0)),LEN(CELL("adresse",OFFSET(DMAV_Doku!$B$6,I369-1,0)))-SEARCH("]",CELL("adresse",OFFSET(DMAV_Doku!$B$6,I369-1,0)))),"ModDoc"))</f>
        <v/>
      </c>
      <c r="G369" s="150" t="str">
        <f t="shared" si="10"/>
        <v>MDB22</v>
      </c>
      <c r="H369" s="150">
        <f t="shared" si="11"/>
        <v>0</v>
      </c>
      <c r="I369" s="150">
        <f>IF(_xlfn.XLOOKUP(G369,Korrelation!$A$4:$A$723,Korrelation!$B$4:$B$723,0,0)=0,0,MATCH(_xlfn.XLOOKUP(G369,Korrelation!$A$4:$A$723,Korrelation!$B$4:$B$723,0,0),DMAV_Doku!$H$6:$H$483,0))</f>
        <v>0</v>
      </c>
      <c r="J369" s="158"/>
      <c r="K369" s="161"/>
      <c r="L369" s="161"/>
      <c r="M369" s="158"/>
      <c r="N369" s="51" t="s">
        <v>4314</v>
      </c>
      <c r="O369" s="51" t="s">
        <v>3877</v>
      </c>
      <c r="P369" s="51" t="s">
        <v>17</v>
      </c>
      <c r="Q369" s="51" t="s">
        <v>977</v>
      </c>
      <c r="R369" s="51" t="s">
        <v>1076</v>
      </c>
      <c r="T369" s="51" t="s">
        <v>959</v>
      </c>
      <c r="U369" s="52" t="s">
        <v>99</v>
      </c>
      <c r="W369" s="52"/>
      <c r="Z369" s="52" t="s">
        <v>2781</v>
      </c>
      <c r="AB369" s="51" t="s">
        <v>4315</v>
      </c>
      <c r="AC369" s="51" t="s">
        <v>3878</v>
      </c>
      <c r="AD369" s="51" t="s">
        <v>4317</v>
      </c>
      <c r="AE369" s="51" t="s">
        <v>977</v>
      </c>
      <c r="AF369" s="51" t="s">
        <v>4329</v>
      </c>
      <c r="AH369" s="51" t="s">
        <v>959</v>
      </c>
      <c r="AI369" s="52" t="s">
        <v>734</v>
      </c>
      <c r="AN369" s="52" t="s">
        <v>7245</v>
      </c>
      <c r="AP369" s="51" t="s">
        <v>4316</v>
      </c>
      <c r="AQ369" s="51" t="s">
        <v>3879</v>
      </c>
      <c r="AR369" s="51" t="s">
        <v>4318</v>
      </c>
      <c r="AS369" s="51" t="s">
        <v>977</v>
      </c>
      <c r="AT369" s="51" t="s">
        <v>4330</v>
      </c>
      <c r="AV369" s="51" t="s">
        <v>959</v>
      </c>
      <c r="AW369" s="52" t="s">
        <v>1376</v>
      </c>
      <c r="BB369" s="52" t="s">
        <v>5995</v>
      </c>
    </row>
    <row r="370" spans="1:54" x14ac:dyDescent="0.25">
      <c r="A370" s="51" t="s">
        <v>3808</v>
      </c>
      <c r="B370" s="51">
        <v>1</v>
      </c>
      <c r="E370" s="54" t="str" cm="1">
        <f t="array" aca="1" ref="E370" ca="1">IF(H370=0,"",HYPERLINK("#"&amp;RIGHT(CELL("dateiname"),LEN(CELL("dateiname"))-FIND("]",CELL("dateiname")))&amp;"!"&amp;CELL("adresse",OFFSET($Q$6,H370-1,0)),"Definition"))</f>
        <v/>
      </c>
      <c r="F370" s="54" t="str" cm="1">
        <f t="array" aca="1" ref="F370" ca="1">IF(I370=0,"",HYPERLINK("#"&amp;RIGHT(CELL("adresse",OFFSET(DMAV_Doku!$B$6,I370-1,0)),LEN(CELL("adresse",OFFSET(DMAV_Doku!$B$6,I370-1,0)))-SEARCH("]",CELL("adresse",OFFSET(DMAV_Doku!$B$6,I370-1,0)))),"ModDoc"))</f>
        <v/>
      </c>
      <c r="G370" s="150" t="str">
        <f t="shared" si="10"/>
        <v>MNK1</v>
      </c>
      <c r="H370" s="150">
        <f t="shared" si="11"/>
        <v>0</v>
      </c>
      <c r="I370" s="150">
        <f>IF(_xlfn.XLOOKUP(G370,Korrelation!$A$4:$A$723,Korrelation!$B$4:$B$723,0,0)=0,0,MATCH(_xlfn.XLOOKUP(G370,Korrelation!$A$4:$A$723,Korrelation!$B$4:$B$723,0,0),DMAV_Doku!$H$6:$H$483,0))</f>
        <v>0</v>
      </c>
      <c r="J370" s="158"/>
      <c r="K370" s="161"/>
      <c r="L370" s="161"/>
      <c r="M370" s="158"/>
      <c r="N370" s="51" t="s">
        <v>4334</v>
      </c>
      <c r="O370" s="51" t="s">
        <v>3897</v>
      </c>
      <c r="Q370" s="51" t="s">
        <v>910</v>
      </c>
      <c r="R370" s="51" t="s">
        <v>932</v>
      </c>
      <c r="W370" s="52"/>
      <c r="AB370" s="51" t="s">
        <v>4335</v>
      </c>
      <c r="AC370" s="51" t="s">
        <v>3898</v>
      </c>
      <c r="AE370" s="51" t="s">
        <v>910</v>
      </c>
      <c r="AF370" s="51" t="s">
        <v>932</v>
      </c>
      <c r="AP370" s="51" t="s">
        <v>4336</v>
      </c>
      <c r="AQ370" s="51" t="s">
        <v>3899</v>
      </c>
      <c r="AS370" s="51" t="s">
        <v>910</v>
      </c>
      <c r="AT370" s="51" t="s">
        <v>932</v>
      </c>
    </row>
    <row r="371" spans="1:54" x14ac:dyDescent="0.25">
      <c r="A371" s="51" t="s">
        <v>3808</v>
      </c>
      <c r="B371" s="51">
        <v>2</v>
      </c>
      <c r="C371" s="51" t="s">
        <v>3832</v>
      </c>
      <c r="E371" s="54" t="str" cm="1">
        <f t="array" aca="1" ref="E371" ca="1">IF(H371=0,"",HYPERLINK("#"&amp;RIGHT(CELL("dateiname"),LEN(CELL("dateiname"))-FIND("]",CELL("dateiname")))&amp;"!"&amp;CELL("adresse",OFFSET($Q$6,H371-1,0)),"Definition"))</f>
        <v>Definition</v>
      </c>
      <c r="F371" s="54" t="str" cm="1">
        <f t="array" aca="1" ref="F371" ca="1">IF(I371=0,"",HYPERLINK("#"&amp;RIGHT(CELL("adresse",OFFSET(DMAV_Doku!$B$6,I371-1,0)),LEN(CELL("adresse",OFFSET(DMAV_Doku!$B$6,I371-1,0)))-SEARCH("]",CELL("adresse",OFFSET(DMAV_Doku!$B$6,I371-1,0)))),"ModDoc"))</f>
        <v/>
      </c>
      <c r="G371" s="150" t="str">
        <f t="shared" si="10"/>
        <v>MNK2</v>
      </c>
      <c r="H371" s="150">
        <f t="shared" si="11"/>
        <v>18</v>
      </c>
      <c r="I371" s="150">
        <f>IF(_xlfn.XLOOKUP(G371,Korrelation!$A$4:$A$723,Korrelation!$B$4:$B$723,0,0)=0,0,MATCH(_xlfn.XLOOKUP(G371,Korrelation!$A$4:$A$723,Korrelation!$B$4:$B$723,0,0),DMAV_Doku!$H$6:$H$483,0))</f>
        <v>0</v>
      </c>
      <c r="J371" s="158"/>
      <c r="K371" s="161"/>
      <c r="L371" s="161"/>
      <c r="M371" s="158"/>
      <c r="N371" s="51" t="s">
        <v>4334</v>
      </c>
      <c r="O371" s="51" t="s">
        <v>3897</v>
      </c>
      <c r="Q371" s="51" t="s">
        <v>910</v>
      </c>
      <c r="R371" s="51" t="s">
        <v>930</v>
      </c>
      <c r="W371" s="52"/>
      <c r="AB371" s="51" t="s">
        <v>4335</v>
      </c>
      <c r="AC371" s="51" t="s">
        <v>3898</v>
      </c>
      <c r="AE371" s="51" t="s">
        <v>910</v>
      </c>
      <c r="AF371" s="51" t="s">
        <v>3925</v>
      </c>
      <c r="AP371" s="51" t="s">
        <v>4336</v>
      </c>
      <c r="AQ371" s="51" t="s">
        <v>3899</v>
      </c>
      <c r="AS371" s="51" t="s">
        <v>910</v>
      </c>
      <c r="AT371" s="51" t="s">
        <v>3927</v>
      </c>
    </row>
    <row r="372" spans="1:54" x14ac:dyDescent="0.25">
      <c r="A372" s="51" t="s">
        <v>3808</v>
      </c>
      <c r="B372" s="51">
        <v>3</v>
      </c>
      <c r="D372" s="51" t="s">
        <v>3521</v>
      </c>
      <c r="E372" s="54" t="str" cm="1">
        <f t="array" aca="1" ref="E372" ca="1">IF(H372=0,"",HYPERLINK("#"&amp;RIGHT(CELL("dateiname"),LEN(CELL("dateiname"))-FIND("]",CELL("dateiname")))&amp;"!"&amp;CELL("adresse",OFFSET($Q$6,H372-1,0)),"Definition"))</f>
        <v/>
      </c>
      <c r="F372" s="54" t="str" cm="1">
        <f t="array" aca="1" ref="F372" ca="1">IF(I372=0,"",HYPERLINK("#"&amp;RIGHT(CELL("adresse",OFFSET(DMAV_Doku!$B$6,I372-1,0)),LEN(CELL("adresse",OFFSET(DMAV_Doku!$B$6,I372-1,0)))-SEARCH("]",CELL("adresse",OFFSET(DMAV_Doku!$B$6,I372-1,0)))),"ModDoc"))</f>
        <v>ModDoc</v>
      </c>
      <c r="G372" s="150" t="str">
        <f t="shared" si="10"/>
        <v>MNK3</v>
      </c>
      <c r="H372" s="150">
        <f t="shared" si="11"/>
        <v>0</v>
      </c>
      <c r="I372" s="150">
        <f>IF(_xlfn.XLOOKUP(G372,Korrelation!$A$4:$A$723,Korrelation!$B$4:$B$723,0,0)=0,0,MATCH(_xlfn.XLOOKUP(G372,Korrelation!$A$4:$A$723,Korrelation!$B$4:$B$723,0,0),DMAV_Doku!$H$6:$H$483,0))</f>
        <v>209</v>
      </c>
      <c r="J372" s="158"/>
      <c r="K372" s="161"/>
      <c r="L372" s="161"/>
      <c r="M372" s="158"/>
      <c r="N372" s="51" t="s">
        <v>4334</v>
      </c>
      <c r="O372" s="51" t="s">
        <v>3897</v>
      </c>
      <c r="P372" s="51" t="s">
        <v>18</v>
      </c>
      <c r="Q372" s="51" t="s">
        <v>949</v>
      </c>
      <c r="R372" s="51" t="s">
        <v>333</v>
      </c>
      <c r="S372" s="50" t="s">
        <v>950</v>
      </c>
      <c r="T372" s="51" t="s">
        <v>959</v>
      </c>
      <c r="U372" s="52" t="s">
        <v>96</v>
      </c>
      <c r="W372" s="52" t="s">
        <v>951</v>
      </c>
      <c r="Z372" s="200" t="s">
        <v>6006</v>
      </c>
      <c r="AB372" s="51" t="s">
        <v>4335</v>
      </c>
      <c r="AC372" s="51" t="s">
        <v>3898</v>
      </c>
      <c r="AD372" s="51" t="s">
        <v>706</v>
      </c>
      <c r="AE372" s="51" t="s">
        <v>949</v>
      </c>
      <c r="AF372" s="51" t="s">
        <v>807</v>
      </c>
      <c r="AG372" s="50" t="s">
        <v>950</v>
      </c>
      <c r="AH372" s="51" t="s">
        <v>959</v>
      </c>
      <c r="AI372" s="52" t="s">
        <v>733</v>
      </c>
      <c r="AK372" s="52" t="s">
        <v>951</v>
      </c>
      <c r="AN372" s="52" t="s">
        <v>6008</v>
      </c>
      <c r="AP372" s="51" t="s">
        <v>4336</v>
      </c>
      <c r="AQ372" s="51" t="s">
        <v>3899</v>
      </c>
      <c r="AR372" s="51" t="s">
        <v>2177</v>
      </c>
      <c r="AS372" s="51" t="s">
        <v>949</v>
      </c>
      <c r="AT372" s="51" t="s">
        <v>4337</v>
      </c>
      <c r="AU372" s="50" t="s">
        <v>950</v>
      </c>
      <c r="AV372" s="51" t="s">
        <v>959</v>
      </c>
      <c r="AW372" s="52" t="s">
        <v>1378</v>
      </c>
      <c r="AY372" s="52" t="s">
        <v>951</v>
      </c>
      <c r="BB372" s="52" t="s">
        <v>6009</v>
      </c>
    </row>
    <row r="373" spans="1:54" x14ac:dyDescent="0.25">
      <c r="A373" s="51" t="s">
        <v>3808</v>
      </c>
      <c r="B373" s="51">
        <v>4</v>
      </c>
      <c r="D373" s="51" t="s">
        <v>3521</v>
      </c>
      <c r="E373" s="54" t="str" cm="1">
        <f t="array" aca="1" ref="E373" ca="1">IF(H373=0,"",HYPERLINK("#"&amp;RIGHT(CELL("dateiname"),LEN(CELL("dateiname"))-FIND("]",CELL("dateiname")))&amp;"!"&amp;CELL("adresse",OFFSET($Q$6,H373-1,0)),"Definition"))</f>
        <v/>
      </c>
      <c r="F373" s="54" t="str" cm="1">
        <f t="array" aca="1" ref="F373" ca="1">IF(I373=0,"",HYPERLINK("#"&amp;RIGHT(CELL("adresse",OFFSET(DMAV_Doku!$B$6,I373-1,0)),LEN(CELL("adresse",OFFSET(DMAV_Doku!$B$6,I373-1,0)))-SEARCH("]",CELL("adresse",OFFSET(DMAV_Doku!$B$6,I373-1,0)))),"ModDoc"))</f>
        <v>ModDoc</v>
      </c>
      <c r="G373" s="150" t="str">
        <f t="shared" si="10"/>
        <v>MNK4</v>
      </c>
      <c r="H373" s="150">
        <f t="shared" si="11"/>
        <v>0</v>
      </c>
      <c r="I373" s="150">
        <f>IF(_xlfn.XLOOKUP(G373,Korrelation!$A$4:$A$723,Korrelation!$B$4:$B$723,0,0)=0,0,MATCH(_xlfn.XLOOKUP(G373,Korrelation!$A$4:$A$723,Korrelation!$B$4:$B$723,0,0),DMAV_Doku!$H$6:$H$483,0))</f>
        <v>210</v>
      </c>
      <c r="J373" s="158"/>
      <c r="K373" s="161"/>
      <c r="L373" s="161"/>
      <c r="M373" s="158"/>
      <c r="N373" s="51" t="s">
        <v>4334</v>
      </c>
      <c r="O373" s="51" t="s">
        <v>3897</v>
      </c>
      <c r="P373" s="51" t="s">
        <v>18</v>
      </c>
      <c r="Q373" s="51" t="s">
        <v>949</v>
      </c>
      <c r="R373" s="51" t="s">
        <v>333</v>
      </c>
      <c r="S373" s="50" t="s">
        <v>950</v>
      </c>
      <c r="T373" s="51" t="s">
        <v>959</v>
      </c>
      <c r="U373" s="52" t="s">
        <v>99</v>
      </c>
      <c r="W373" s="52" t="s">
        <v>951</v>
      </c>
      <c r="Y373" s="52" t="s">
        <v>1599</v>
      </c>
      <c r="Z373" s="200" t="s">
        <v>6006</v>
      </c>
      <c r="AB373" s="51" t="s">
        <v>4335</v>
      </c>
      <c r="AC373" s="51" t="s">
        <v>3898</v>
      </c>
      <c r="AD373" s="51" t="s">
        <v>706</v>
      </c>
      <c r="AE373" s="51" t="s">
        <v>949</v>
      </c>
      <c r="AF373" s="51" t="s">
        <v>807</v>
      </c>
      <c r="AG373" s="50" t="s">
        <v>950</v>
      </c>
      <c r="AH373" s="51" t="s">
        <v>959</v>
      </c>
      <c r="AI373" s="52" t="s">
        <v>734</v>
      </c>
      <c r="AK373" s="52" t="s">
        <v>951</v>
      </c>
      <c r="AN373" s="52" t="s">
        <v>6008</v>
      </c>
      <c r="AP373" s="51" t="s">
        <v>4336</v>
      </c>
      <c r="AQ373" s="51" t="s">
        <v>3899</v>
      </c>
      <c r="AR373" s="51" t="s">
        <v>2177</v>
      </c>
      <c r="AS373" s="51" t="s">
        <v>949</v>
      </c>
      <c r="AT373" s="51" t="s">
        <v>4337</v>
      </c>
      <c r="AU373" s="50" t="s">
        <v>950</v>
      </c>
      <c r="AV373" s="51" t="s">
        <v>959</v>
      </c>
      <c r="AW373" s="52" t="s">
        <v>1376</v>
      </c>
      <c r="AY373" s="52" t="s">
        <v>951</v>
      </c>
      <c r="BB373" s="52" t="s">
        <v>6009</v>
      </c>
    </row>
    <row r="374" spans="1:54" x14ac:dyDescent="0.25">
      <c r="A374" s="51" t="s">
        <v>3808</v>
      </c>
      <c r="B374" s="51">
        <v>5</v>
      </c>
      <c r="E374" s="54" t="str" cm="1">
        <f t="array" aca="1" ref="E374" ca="1">IF(H374=0,"",HYPERLINK("#"&amp;RIGHT(CELL("dateiname"),LEN(CELL("dateiname"))-FIND("]",CELL("dateiname")))&amp;"!"&amp;CELL("adresse",OFFSET($Q$6,H374-1,0)),"Definition"))</f>
        <v/>
      </c>
      <c r="F374" s="54" t="str" cm="1">
        <f t="array" aca="1" ref="F374" ca="1">IF(I374=0,"",HYPERLINK("#"&amp;RIGHT(CELL("adresse",OFFSET(DMAV_Doku!$B$6,I374-1,0)),LEN(CELL("adresse",OFFSET(DMAV_Doku!$B$6,I374-1,0)))-SEARCH("]",CELL("adresse",OFFSET(DMAV_Doku!$B$6,I374-1,0)))),"ModDoc"))</f>
        <v>ModDoc</v>
      </c>
      <c r="G374" s="150" t="str">
        <f t="shared" si="10"/>
        <v>MNK5</v>
      </c>
      <c r="H374" s="150">
        <f t="shared" si="11"/>
        <v>0</v>
      </c>
      <c r="I374" s="150">
        <f>IF(_xlfn.XLOOKUP(G374,Korrelation!$A$4:$A$723,Korrelation!$B$4:$B$723,0,0)=0,0,MATCH(_xlfn.XLOOKUP(G374,Korrelation!$A$4:$A$723,Korrelation!$B$4:$B$723,0,0),DMAV_Doku!$H$6:$H$483,0))</f>
        <v>211</v>
      </c>
      <c r="J374" s="158"/>
      <c r="K374" s="161"/>
      <c r="L374" s="161"/>
      <c r="M374" s="158"/>
      <c r="N374" s="51" t="s">
        <v>4334</v>
      </c>
      <c r="O374" s="51" t="s">
        <v>3897</v>
      </c>
      <c r="P374" s="51" t="s">
        <v>18</v>
      </c>
      <c r="Q374" s="51" t="s">
        <v>949</v>
      </c>
      <c r="R374" s="51" t="s">
        <v>333</v>
      </c>
      <c r="S374" s="50" t="s">
        <v>950</v>
      </c>
      <c r="U374" s="52" t="s">
        <v>101</v>
      </c>
      <c r="V374" s="55"/>
      <c r="W374" s="52" t="s">
        <v>964</v>
      </c>
      <c r="AB374" s="51" t="s">
        <v>4335</v>
      </c>
      <c r="AC374" s="51" t="s">
        <v>3898</v>
      </c>
      <c r="AD374" s="51" t="s">
        <v>706</v>
      </c>
      <c r="AE374" s="51" t="s">
        <v>949</v>
      </c>
      <c r="AF374" s="51" t="s">
        <v>807</v>
      </c>
      <c r="AG374" s="50" t="s">
        <v>950</v>
      </c>
      <c r="AI374" s="52" t="s">
        <v>735</v>
      </c>
      <c r="AK374" s="52" t="s">
        <v>964</v>
      </c>
      <c r="AP374" s="51" t="s">
        <v>4336</v>
      </c>
      <c r="AQ374" s="51" t="s">
        <v>3899</v>
      </c>
      <c r="AR374" s="51" t="s">
        <v>2177</v>
      </c>
      <c r="AS374" s="51" t="s">
        <v>949</v>
      </c>
      <c r="AT374" s="51" t="s">
        <v>4337</v>
      </c>
      <c r="AU374" s="50" t="s">
        <v>950</v>
      </c>
      <c r="AW374" s="52" t="s">
        <v>1294</v>
      </c>
      <c r="AY374" s="52" t="s">
        <v>964</v>
      </c>
    </row>
    <row r="375" spans="1:54" ht="38.25" x14ac:dyDescent="0.25">
      <c r="A375" s="51" t="s">
        <v>3808</v>
      </c>
      <c r="B375" s="51">
        <v>6</v>
      </c>
      <c r="E375" s="54" t="str" cm="1">
        <f t="array" aca="1" ref="E375" ca="1">IF(H375=0,"",HYPERLINK("#"&amp;RIGHT(CELL("dateiname"),LEN(CELL("dateiname"))-FIND("]",CELL("dateiname")))&amp;"!"&amp;CELL("adresse",OFFSET($Q$6,H375-1,0)),"Definition"))</f>
        <v/>
      </c>
      <c r="F375" s="54" t="str" cm="1">
        <f t="array" aca="1" ref="F375" ca="1">IF(I375=0,"",HYPERLINK("#"&amp;RIGHT(CELL("adresse",OFFSET(DMAV_Doku!$B$6,I375-1,0)),LEN(CELL("adresse",OFFSET(DMAV_Doku!$B$6,I375-1,0)))-SEARCH("]",CELL("adresse",OFFSET(DMAV_Doku!$B$6,I375-1,0)))),"ModDoc"))</f>
        <v>ModDoc</v>
      </c>
      <c r="G375" s="150" t="str">
        <f t="shared" si="10"/>
        <v>MNK6</v>
      </c>
      <c r="H375" s="150">
        <f t="shared" si="11"/>
        <v>0</v>
      </c>
      <c r="I375" s="150">
        <f>IF(_xlfn.XLOOKUP(G375,Korrelation!$A$4:$A$723,Korrelation!$B$4:$B$723,0,0)=0,0,MATCH(_xlfn.XLOOKUP(G375,Korrelation!$A$4:$A$723,Korrelation!$B$4:$B$723,0,0),DMAV_Doku!$H$6:$H$483,0))</f>
        <v>212</v>
      </c>
      <c r="J375" s="158"/>
      <c r="K375" s="161"/>
      <c r="L375" s="161"/>
      <c r="M375" s="158"/>
      <c r="N375" s="51" t="s">
        <v>4334</v>
      </c>
      <c r="O375" s="51" t="s">
        <v>3897</v>
      </c>
      <c r="P375" s="51" t="s">
        <v>18</v>
      </c>
      <c r="Q375" s="51" t="s">
        <v>949</v>
      </c>
      <c r="R375" s="51" t="s">
        <v>333</v>
      </c>
      <c r="U375" s="52" t="s">
        <v>104</v>
      </c>
      <c r="W375" s="52" t="s">
        <v>965</v>
      </c>
      <c r="AB375" s="51" t="s">
        <v>4335</v>
      </c>
      <c r="AC375" s="51" t="s">
        <v>3898</v>
      </c>
      <c r="AD375" s="51" t="s">
        <v>706</v>
      </c>
      <c r="AE375" s="51" t="s">
        <v>949</v>
      </c>
      <c r="AF375" s="51" t="s">
        <v>807</v>
      </c>
      <c r="AI375" s="52" t="s">
        <v>736</v>
      </c>
      <c r="AK375" s="52" t="s">
        <v>965</v>
      </c>
      <c r="AP375" s="51" t="s">
        <v>4336</v>
      </c>
      <c r="AQ375" s="51" t="s">
        <v>3899</v>
      </c>
      <c r="AR375" s="51" t="s">
        <v>2177</v>
      </c>
      <c r="AS375" s="51" t="s">
        <v>949</v>
      </c>
      <c r="AT375" s="51" t="s">
        <v>4337</v>
      </c>
      <c r="AW375" s="52" t="s">
        <v>1595</v>
      </c>
      <c r="AY375" s="52" t="s">
        <v>965</v>
      </c>
    </row>
    <row r="376" spans="1:54" x14ac:dyDescent="0.25">
      <c r="A376" s="51" t="s">
        <v>3808</v>
      </c>
      <c r="B376" s="51">
        <v>7</v>
      </c>
      <c r="E376" s="54" t="str" cm="1">
        <f t="array" aca="1" ref="E376" ca="1">IF(H376=0,"",HYPERLINK("#"&amp;RIGHT(CELL("dateiname"),LEN(CELL("dateiname"))-FIND("]",CELL("dateiname")))&amp;"!"&amp;CELL("adresse",OFFSET($Q$6,H376-1,0)),"Definition"))</f>
        <v/>
      </c>
      <c r="F376" s="54" t="str" cm="1">
        <f t="array" aca="1" ref="F376" ca="1">IF(I376=0,"",HYPERLINK("#"&amp;RIGHT(CELL("adresse",OFFSET(DMAV_Doku!$B$6,I376-1,0)),LEN(CELL("adresse",OFFSET(DMAV_Doku!$B$6,I376-1,0)))-SEARCH("]",CELL("adresse",OFFSET(DMAV_Doku!$B$6,I376-1,0)))),"ModDoc"))</f>
        <v>ModDoc</v>
      </c>
      <c r="G376" s="150" t="str">
        <f t="shared" si="10"/>
        <v>MNK7</v>
      </c>
      <c r="H376" s="150">
        <f t="shared" si="11"/>
        <v>0</v>
      </c>
      <c r="I376" s="150">
        <f>IF(_xlfn.XLOOKUP(G376,Korrelation!$A$4:$A$723,Korrelation!$B$4:$B$723,0,0)=0,0,MATCH(_xlfn.XLOOKUP(G376,Korrelation!$A$4:$A$723,Korrelation!$B$4:$B$723,0,0),DMAV_Doku!$H$6:$H$483,0))</f>
        <v>213</v>
      </c>
      <c r="J376" s="158"/>
      <c r="K376" s="161"/>
      <c r="L376" s="161"/>
      <c r="M376" s="158"/>
      <c r="N376" s="51" t="s">
        <v>4334</v>
      </c>
      <c r="O376" s="51" t="s">
        <v>3897</v>
      </c>
      <c r="P376" s="51" t="s">
        <v>18</v>
      </c>
      <c r="Q376" s="51" t="s">
        <v>949</v>
      </c>
      <c r="R376" s="51" t="s">
        <v>333</v>
      </c>
      <c r="S376" s="50" t="s">
        <v>950</v>
      </c>
      <c r="U376" s="52" t="s">
        <v>107</v>
      </c>
      <c r="W376" s="52" t="s">
        <v>966</v>
      </c>
      <c r="AB376" s="51" t="s">
        <v>4335</v>
      </c>
      <c r="AC376" s="51" t="s">
        <v>3898</v>
      </c>
      <c r="AD376" s="51" t="s">
        <v>706</v>
      </c>
      <c r="AE376" s="51" t="s">
        <v>949</v>
      </c>
      <c r="AF376" s="51" t="s">
        <v>807</v>
      </c>
      <c r="AG376" s="50" t="s">
        <v>950</v>
      </c>
      <c r="AI376" s="52" t="s">
        <v>737</v>
      </c>
      <c r="AK376" s="52" t="s">
        <v>4013</v>
      </c>
      <c r="AP376" s="51" t="s">
        <v>4336</v>
      </c>
      <c r="AQ376" s="51" t="s">
        <v>3899</v>
      </c>
      <c r="AR376" s="51" t="s">
        <v>2177</v>
      </c>
      <c r="AS376" s="51" t="s">
        <v>949</v>
      </c>
      <c r="AT376" s="51" t="s">
        <v>4337</v>
      </c>
      <c r="AU376" s="50" t="s">
        <v>950</v>
      </c>
      <c r="AW376" s="52" t="s">
        <v>4014</v>
      </c>
      <c r="AY376" s="52" t="s">
        <v>4013</v>
      </c>
    </row>
    <row r="377" spans="1:54" x14ac:dyDescent="0.25">
      <c r="A377" s="51" t="s">
        <v>3808</v>
      </c>
      <c r="B377" s="51">
        <v>8</v>
      </c>
      <c r="E377" s="54" t="str" cm="1">
        <f t="array" aca="1" ref="E377" ca="1">IF(H377=0,"",HYPERLINK("#"&amp;RIGHT(CELL("dateiname"),LEN(CELL("dateiname"))-FIND("]",CELL("dateiname")))&amp;"!"&amp;CELL("adresse",OFFSET($Q$6,H377-1,0)),"Definition"))</f>
        <v/>
      </c>
      <c r="F377" s="54" t="str" cm="1">
        <f t="array" aca="1" ref="F377" ca="1">IF(I377=0,"",HYPERLINK("#"&amp;RIGHT(CELL("adresse",OFFSET(DMAV_Doku!$B$6,I377-1,0)),LEN(CELL("adresse",OFFSET(DMAV_Doku!$B$6,I377-1,0)))-SEARCH("]",CELL("adresse",OFFSET(DMAV_Doku!$B$6,I377-1,0)))),"ModDoc"))</f>
        <v>ModDoc</v>
      </c>
      <c r="G377" s="150" t="str">
        <f t="shared" si="10"/>
        <v>MNK8</v>
      </c>
      <c r="H377" s="150">
        <f t="shared" si="11"/>
        <v>0</v>
      </c>
      <c r="I377" s="150">
        <f>IF(_xlfn.XLOOKUP(G377,Korrelation!$A$4:$A$723,Korrelation!$B$4:$B$723,0,0)=0,0,MATCH(_xlfn.XLOOKUP(G377,Korrelation!$A$4:$A$723,Korrelation!$B$4:$B$723,0,0),DMAV_Doku!$H$6:$H$483,0))</f>
        <v>218</v>
      </c>
      <c r="J377" s="158"/>
      <c r="K377" s="161"/>
      <c r="L377" s="161"/>
      <c r="M377" s="158"/>
      <c r="N377" s="51" t="s">
        <v>4334</v>
      </c>
      <c r="O377" s="51" t="s">
        <v>3897</v>
      </c>
      <c r="P377" s="51" t="s">
        <v>18</v>
      </c>
      <c r="Q377" s="51" t="s">
        <v>949</v>
      </c>
      <c r="R377" s="51" t="s">
        <v>338</v>
      </c>
      <c r="S377" s="50" t="s">
        <v>950</v>
      </c>
      <c r="U377" s="52" t="s">
        <v>5</v>
      </c>
      <c r="W377" s="52" t="s">
        <v>964</v>
      </c>
      <c r="AB377" s="51" t="s">
        <v>4335</v>
      </c>
      <c r="AC377" s="51" t="s">
        <v>3898</v>
      </c>
      <c r="AD377" s="51" t="s">
        <v>706</v>
      </c>
      <c r="AE377" s="51" t="s">
        <v>949</v>
      </c>
      <c r="AF377" s="51" t="s">
        <v>810</v>
      </c>
      <c r="AG377" s="50" t="s">
        <v>950</v>
      </c>
      <c r="AI377" s="52" t="s">
        <v>702</v>
      </c>
      <c r="AK377" s="52" t="s">
        <v>964</v>
      </c>
      <c r="AP377" s="51" t="s">
        <v>4336</v>
      </c>
      <c r="AQ377" s="51" t="s">
        <v>3899</v>
      </c>
      <c r="AR377" s="51" t="s">
        <v>2177</v>
      </c>
      <c r="AS377" s="51" t="s">
        <v>949</v>
      </c>
      <c r="AT377" s="51" t="s">
        <v>4338</v>
      </c>
      <c r="AU377" s="50" t="s">
        <v>950</v>
      </c>
      <c r="AW377" s="52" t="s">
        <v>1700</v>
      </c>
      <c r="AY377" s="52" t="s">
        <v>964</v>
      </c>
    </row>
    <row r="378" spans="1:54" ht="38.25" x14ac:dyDescent="0.25">
      <c r="A378" s="51" t="s">
        <v>3808</v>
      </c>
      <c r="B378" s="51">
        <v>9</v>
      </c>
      <c r="E378" s="54" t="str" cm="1">
        <f t="array" aca="1" ref="E378" ca="1">IF(H378=0,"",HYPERLINK("#"&amp;RIGHT(CELL("dateiname"),LEN(CELL("dateiname"))-FIND("]",CELL("dateiname")))&amp;"!"&amp;CELL("adresse",OFFSET($Q$6,H378-1,0)),"Definition"))</f>
        <v/>
      </c>
      <c r="F378" s="54" t="str" cm="1">
        <f t="array" aca="1" ref="F378" ca="1">IF(I378=0,"",HYPERLINK("#"&amp;RIGHT(CELL("adresse",OFFSET(DMAV_Doku!$B$6,I378-1,0)),LEN(CELL("adresse",OFFSET(DMAV_Doku!$B$6,I378-1,0)))-SEARCH("]",CELL("adresse",OFFSET(DMAV_Doku!$B$6,I378-1,0)))),"ModDoc"))</f>
        <v>ModDoc</v>
      </c>
      <c r="G378" s="150" t="str">
        <f t="shared" si="10"/>
        <v>MNK9</v>
      </c>
      <c r="H378" s="150">
        <f t="shared" si="11"/>
        <v>0</v>
      </c>
      <c r="I378" s="150">
        <f>IF(_xlfn.XLOOKUP(G378,Korrelation!$A$4:$A$723,Korrelation!$B$4:$B$723,0,0)=0,0,MATCH(_xlfn.XLOOKUP(G378,Korrelation!$A$4:$A$723,Korrelation!$B$4:$B$723,0,0),DMAV_Doku!$H$6:$H$483,0))</f>
        <v>220</v>
      </c>
      <c r="J378" s="158"/>
      <c r="K378" s="161">
        <v>46054</v>
      </c>
      <c r="L378" s="161"/>
      <c r="M378" s="158"/>
      <c r="N378" s="51" t="s">
        <v>4334</v>
      </c>
      <c r="O378" s="51" t="s">
        <v>3897</v>
      </c>
      <c r="P378" s="51" t="s">
        <v>18</v>
      </c>
      <c r="Q378" s="51" t="s">
        <v>949</v>
      </c>
      <c r="R378" s="51" t="s">
        <v>338</v>
      </c>
      <c r="S378" s="50" t="s">
        <v>950</v>
      </c>
      <c r="U378" s="52" t="s">
        <v>123</v>
      </c>
      <c r="W378" s="52" t="s">
        <v>4339</v>
      </c>
      <c r="AB378" s="51" t="s">
        <v>4335</v>
      </c>
      <c r="AC378" s="51" t="s">
        <v>3898</v>
      </c>
      <c r="AD378" s="51" t="s">
        <v>706</v>
      </c>
      <c r="AE378" s="51" t="s">
        <v>949</v>
      </c>
      <c r="AF378" s="51" t="s">
        <v>810</v>
      </c>
      <c r="AG378" s="50" t="s">
        <v>950</v>
      </c>
      <c r="AI378" s="52" t="s">
        <v>123</v>
      </c>
      <c r="AK378" s="52" t="s">
        <v>4339</v>
      </c>
      <c r="AP378" s="51" t="s">
        <v>4336</v>
      </c>
      <c r="AQ378" s="51" t="s">
        <v>3899</v>
      </c>
      <c r="AR378" s="51" t="s">
        <v>2177</v>
      </c>
      <c r="AS378" s="51" t="s">
        <v>949</v>
      </c>
      <c r="AT378" s="51" t="s">
        <v>4338</v>
      </c>
      <c r="AU378" s="50" t="s">
        <v>950</v>
      </c>
      <c r="AW378" s="52" t="s">
        <v>1247</v>
      </c>
      <c r="AY378" s="52" t="s">
        <v>4339</v>
      </c>
    </row>
    <row r="379" spans="1:54" x14ac:dyDescent="0.25">
      <c r="A379" s="51" t="s">
        <v>3808</v>
      </c>
      <c r="B379" s="51">
        <v>10</v>
      </c>
      <c r="E379" s="54" t="str" cm="1">
        <f t="array" aca="1" ref="E379" ca="1">IF(H379=0,"",HYPERLINK("#"&amp;RIGHT(CELL("dateiname"),LEN(CELL("dateiname"))-FIND("]",CELL("dateiname")))&amp;"!"&amp;CELL("adresse",OFFSET($Q$6,H379-1,0)),"Definition"))</f>
        <v/>
      </c>
      <c r="F379" s="54" t="str" cm="1">
        <f t="array" aca="1" ref="F379" ca="1">IF(I379=0,"",HYPERLINK("#"&amp;RIGHT(CELL("adresse",OFFSET(DMAV_Doku!$B$6,I379-1,0)),LEN(CELL("adresse",OFFSET(DMAV_Doku!$B$6,I379-1,0)))-SEARCH("]",CELL("adresse",OFFSET(DMAV_Doku!$B$6,I379-1,0)))),"ModDoc"))</f>
        <v>ModDoc</v>
      </c>
      <c r="G379" s="150" t="str">
        <f t="shared" si="10"/>
        <v>MNK10</v>
      </c>
      <c r="H379" s="150">
        <f t="shared" si="11"/>
        <v>0</v>
      </c>
      <c r="I379" s="150">
        <f>IF(_xlfn.XLOOKUP(G379,Korrelation!$A$4:$A$723,Korrelation!$B$4:$B$723,0,0)=0,0,MATCH(_xlfn.XLOOKUP(G379,Korrelation!$A$4:$A$723,Korrelation!$B$4:$B$723,0,0),DMAV_Doku!$H$6:$H$483,0))</f>
        <v>219</v>
      </c>
      <c r="J379" s="158"/>
      <c r="K379" s="161"/>
      <c r="L379" s="161"/>
      <c r="M379" s="158"/>
      <c r="N379" s="51" t="s">
        <v>4334</v>
      </c>
      <c r="O379" s="51" t="s">
        <v>3897</v>
      </c>
      <c r="P379" s="51" t="s">
        <v>18</v>
      </c>
      <c r="Q379" s="51" t="s">
        <v>949</v>
      </c>
      <c r="R379" s="51" t="s">
        <v>338</v>
      </c>
      <c r="S379" s="50" t="s">
        <v>950</v>
      </c>
      <c r="U379" s="52" t="s">
        <v>213</v>
      </c>
      <c r="W379" s="52" t="s">
        <v>131</v>
      </c>
      <c r="AB379" s="51" t="s">
        <v>4335</v>
      </c>
      <c r="AC379" s="51" t="s">
        <v>3898</v>
      </c>
      <c r="AD379" s="51" t="s">
        <v>706</v>
      </c>
      <c r="AE379" s="51" t="s">
        <v>949</v>
      </c>
      <c r="AF379" s="51" t="s">
        <v>810</v>
      </c>
      <c r="AG379" s="50" t="s">
        <v>950</v>
      </c>
      <c r="AI379" s="52" t="s">
        <v>775</v>
      </c>
      <c r="AK379" s="52" t="s">
        <v>131</v>
      </c>
      <c r="AP379" s="51" t="s">
        <v>4336</v>
      </c>
      <c r="AQ379" s="51" t="s">
        <v>3899</v>
      </c>
      <c r="AR379" s="51" t="s">
        <v>2177</v>
      </c>
      <c r="AS379" s="51" t="s">
        <v>949</v>
      </c>
      <c r="AT379" s="51" t="s">
        <v>4338</v>
      </c>
      <c r="AU379" s="50" t="s">
        <v>950</v>
      </c>
      <c r="AW379" s="52" t="s">
        <v>4068</v>
      </c>
      <c r="AY379" s="52" t="s">
        <v>131</v>
      </c>
    </row>
    <row r="380" spans="1:54" x14ac:dyDescent="0.25">
      <c r="A380" s="51" t="s">
        <v>3808</v>
      </c>
      <c r="B380" s="51">
        <v>11</v>
      </c>
      <c r="C380" s="51" t="s">
        <v>3838</v>
      </c>
      <c r="E380" s="54" t="str" cm="1">
        <f t="array" aca="1" ref="E380" ca="1">IF(H380=0,"",HYPERLINK("#"&amp;RIGHT(CELL("dateiname"),LEN(CELL("dateiname"))-FIND("]",CELL("dateiname")))&amp;"!"&amp;CELL("adresse",OFFSET($Q$6,H380-1,0)),"Definition"))</f>
        <v>Definition</v>
      </c>
      <c r="F380" s="54" t="str" cm="1">
        <f t="array" aca="1" ref="F380" ca="1">IF(I380=0,"",HYPERLINK("#"&amp;RIGHT(CELL("adresse",OFFSET(DMAV_Doku!$B$6,I380-1,0)),LEN(CELL("adresse",OFFSET(DMAV_Doku!$B$6,I380-1,0)))-SEARCH("]",CELL("adresse",OFFSET(DMAV_Doku!$B$6,I380-1,0)))),"ModDoc"))</f>
        <v>ModDoc</v>
      </c>
      <c r="G380" s="150" t="str">
        <f t="shared" si="10"/>
        <v>MNK11</v>
      </c>
      <c r="H380" s="150">
        <f t="shared" si="11"/>
        <v>26</v>
      </c>
      <c r="I380" s="150">
        <f>IF(_xlfn.XLOOKUP(G380,Korrelation!$A$4:$A$723,Korrelation!$B$4:$B$723,0,0)=0,0,MATCH(_xlfn.XLOOKUP(G380,Korrelation!$A$4:$A$723,Korrelation!$B$4:$B$723,0,0),DMAV_Doku!$H$6:$H$483,0))</f>
        <v>221</v>
      </c>
      <c r="J380" s="158"/>
      <c r="K380" s="161"/>
      <c r="L380" s="161"/>
      <c r="M380" s="158"/>
      <c r="N380" s="51" t="s">
        <v>4334</v>
      </c>
      <c r="O380" s="51" t="s">
        <v>3897</v>
      </c>
      <c r="P380" s="51" t="s">
        <v>18</v>
      </c>
      <c r="Q380" s="51" t="s">
        <v>949</v>
      </c>
      <c r="R380" s="51" t="s">
        <v>338</v>
      </c>
      <c r="U380" s="52" t="s">
        <v>77</v>
      </c>
      <c r="V380" s="52" t="s">
        <v>3471</v>
      </c>
      <c r="W380" s="52" t="s">
        <v>3472</v>
      </c>
      <c r="AB380" s="51" t="s">
        <v>4335</v>
      </c>
      <c r="AC380" s="51" t="s">
        <v>3898</v>
      </c>
      <c r="AD380" s="51" t="s">
        <v>706</v>
      </c>
      <c r="AE380" s="51" t="s">
        <v>949</v>
      </c>
      <c r="AF380" s="51" t="s">
        <v>810</v>
      </c>
      <c r="AI380" s="52" t="s">
        <v>729</v>
      </c>
      <c r="AJ380" s="51" t="s">
        <v>3471</v>
      </c>
      <c r="AK380" s="52" t="s">
        <v>4036</v>
      </c>
      <c r="AP380" s="51" t="s">
        <v>4336</v>
      </c>
      <c r="AQ380" s="51" t="s">
        <v>3899</v>
      </c>
      <c r="AR380" s="51" t="s">
        <v>2177</v>
      </c>
      <c r="AS380" s="51" t="s">
        <v>949</v>
      </c>
      <c r="AT380" s="51" t="s">
        <v>4338</v>
      </c>
      <c r="AW380" s="52" t="s">
        <v>3933</v>
      </c>
      <c r="AX380" s="51" t="s">
        <v>3471</v>
      </c>
      <c r="AY380" s="52" t="s">
        <v>4037</v>
      </c>
    </row>
    <row r="381" spans="1:54" x14ac:dyDescent="0.25">
      <c r="A381" s="51" t="s">
        <v>3808</v>
      </c>
      <c r="B381" s="51">
        <v>12</v>
      </c>
      <c r="E381" s="54" t="str" cm="1">
        <f t="array" aca="1" ref="E381" ca="1">IF(H381=0,"",HYPERLINK("#"&amp;RIGHT(CELL("dateiname"),LEN(CELL("dateiname"))-FIND("]",CELL("dateiname")))&amp;"!"&amp;CELL("adresse",OFFSET($Q$6,H381-1,0)),"Definition"))</f>
        <v/>
      </c>
      <c r="F381" s="54" t="str" cm="1">
        <f t="array" aca="1" ref="F381" ca="1">IF(I381=0,"",HYPERLINK("#"&amp;RIGHT(CELL("adresse",OFFSET(DMAV_Doku!$B$6,I381-1,0)),LEN(CELL("adresse",OFFSET(DMAV_Doku!$B$6,I381-1,0)))-SEARCH("]",CELL("adresse",OFFSET(DMAV_Doku!$B$6,I381-1,0)))),"ModDoc"))</f>
        <v/>
      </c>
      <c r="G381" s="150" t="str">
        <f t="shared" si="10"/>
        <v>MNK12</v>
      </c>
      <c r="H381" s="150">
        <f t="shared" si="11"/>
        <v>0</v>
      </c>
      <c r="I381" s="150">
        <f>IF(_xlfn.XLOOKUP(G381,Korrelation!$A$4:$A$723,Korrelation!$B$4:$B$723,0,0)=0,0,MATCH(_xlfn.XLOOKUP(G381,Korrelation!$A$4:$A$723,Korrelation!$B$4:$B$723,0,0),DMAV_Doku!$H$6:$H$483,0))</f>
        <v>0</v>
      </c>
      <c r="J381" s="158"/>
      <c r="K381" s="161"/>
      <c r="L381" s="161"/>
      <c r="M381" s="158"/>
      <c r="N381" s="51" t="s">
        <v>4334</v>
      </c>
      <c r="O381" s="51" t="s">
        <v>3897</v>
      </c>
      <c r="P381" s="51" t="s">
        <v>18</v>
      </c>
      <c r="Q381" s="51" t="s">
        <v>967</v>
      </c>
      <c r="R381" s="51" t="s">
        <v>1079</v>
      </c>
      <c r="U381" s="52" t="s">
        <v>969</v>
      </c>
      <c r="W381" s="52" t="s">
        <v>333</v>
      </c>
      <c r="X381" s="51" t="s">
        <v>970</v>
      </c>
      <c r="AB381" s="51" t="s">
        <v>4335</v>
      </c>
      <c r="AC381" s="51" t="s">
        <v>3898</v>
      </c>
      <c r="AD381" s="51" t="s">
        <v>706</v>
      </c>
      <c r="AE381" s="51" t="s">
        <v>967</v>
      </c>
      <c r="AF381" s="51" t="s">
        <v>4340</v>
      </c>
      <c r="AI381" s="52" t="s">
        <v>1319</v>
      </c>
      <c r="AK381" s="52" t="s">
        <v>807</v>
      </c>
      <c r="AL381" s="51" t="s">
        <v>970</v>
      </c>
      <c r="AP381" s="51" t="s">
        <v>4336</v>
      </c>
      <c r="AQ381" s="51" t="s">
        <v>3899</v>
      </c>
      <c r="AR381" s="51" t="s">
        <v>2177</v>
      </c>
      <c r="AS381" s="51" t="s">
        <v>967</v>
      </c>
      <c r="AT381" s="51" t="s">
        <v>4341</v>
      </c>
      <c r="AW381" s="52" t="s">
        <v>1319</v>
      </c>
      <c r="AY381" s="52" t="s">
        <v>4337</v>
      </c>
      <c r="AZ381" s="51" t="s">
        <v>970</v>
      </c>
    </row>
    <row r="382" spans="1:54" x14ac:dyDescent="0.25">
      <c r="A382" s="51" t="s">
        <v>3808</v>
      </c>
      <c r="B382" s="51">
        <v>13</v>
      </c>
      <c r="E382" s="54" t="str" cm="1">
        <f t="array" aca="1" ref="E382" ca="1">IF(H382=0,"",HYPERLINK("#"&amp;RIGHT(CELL("dateiname"),LEN(CELL("dateiname"))-FIND("]",CELL("dateiname")))&amp;"!"&amp;CELL("adresse",OFFSET($Q$6,H382-1,0)),"Definition"))</f>
        <v/>
      </c>
      <c r="F382" s="54" t="str" cm="1">
        <f t="array" aca="1" ref="F382" ca="1">IF(I382=0,"",HYPERLINK("#"&amp;RIGHT(CELL("adresse",OFFSET(DMAV_Doku!$B$6,I382-1,0)),LEN(CELL("adresse",OFFSET(DMAV_Doku!$B$6,I382-1,0)))-SEARCH("]",CELL("adresse",OFFSET(DMAV_Doku!$B$6,I382-1,0)))),"ModDoc"))</f>
        <v/>
      </c>
      <c r="G382" s="150" t="str">
        <f t="shared" si="10"/>
        <v>MNK13</v>
      </c>
      <c r="H382" s="150">
        <f t="shared" si="11"/>
        <v>0</v>
      </c>
      <c r="I382" s="150">
        <f>IF(_xlfn.XLOOKUP(G382,Korrelation!$A$4:$A$723,Korrelation!$B$4:$B$723,0,0)=0,0,MATCH(_xlfn.XLOOKUP(G382,Korrelation!$A$4:$A$723,Korrelation!$B$4:$B$723,0,0),DMAV_Doku!$H$6:$H$483,0))</f>
        <v>0</v>
      </c>
      <c r="J382" s="158"/>
      <c r="K382" s="161"/>
      <c r="L382" s="161"/>
      <c r="M382" s="158"/>
      <c r="N382" s="51" t="s">
        <v>4334</v>
      </c>
      <c r="O382" s="51" t="s">
        <v>3897</v>
      </c>
      <c r="P382" s="51" t="s">
        <v>18</v>
      </c>
      <c r="Q382" s="51" t="s">
        <v>967</v>
      </c>
      <c r="R382" s="51" t="s">
        <v>1079</v>
      </c>
      <c r="U382" s="52" t="s">
        <v>1080</v>
      </c>
      <c r="W382" s="52" t="s">
        <v>338</v>
      </c>
      <c r="X382" s="51" t="s">
        <v>972</v>
      </c>
      <c r="AB382" s="51" t="s">
        <v>4335</v>
      </c>
      <c r="AC382" s="51" t="s">
        <v>3898</v>
      </c>
      <c r="AD382" s="51" t="s">
        <v>706</v>
      </c>
      <c r="AE382" s="51" t="s">
        <v>967</v>
      </c>
      <c r="AF382" s="51" t="s">
        <v>4340</v>
      </c>
      <c r="AI382" s="52" t="s">
        <v>4342</v>
      </c>
      <c r="AK382" s="52" t="s">
        <v>810</v>
      </c>
      <c r="AL382" s="51" t="s">
        <v>972</v>
      </c>
      <c r="AP382" s="51" t="s">
        <v>4336</v>
      </c>
      <c r="AQ382" s="51" t="s">
        <v>3899</v>
      </c>
      <c r="AR382" s="51" t="s">
        <v>2177</v>
      </c>
      <c r="AS382" s="51" t="s">
        <v>967</v>
      </c>
      <c r="AT382" s="51" t="s">
        <v>4341</v>
      </c>
      <c r="AW382" s="52" t="s">
        <v>4343</v>
      </c>
      <c r="AY382" s="52" t="s">
        <v>4338</v>
      </c>
      <c r="AZ382" s="51" t="s">
        <v>972</v>
      </c>
    </row>
    <row r="383" spans="1:54" x14ac:dyDescent="0.25">
      <c r="A383" s="51" t="s">
        <v>3808</v>
      </c>
      <c r="B383" s="51">
        <v>14</v>
      </c>
      <c r="E383" s="54" t="str" cm="1">
        <f t="array" aca="1" ref="E383" ca="1">IF(H383=0,"",HYPERLINK("#"&amp;RIGHT(CELL("dateiname"),LEN(CELL("dateiname"))-FIND("]",CELL("dateiname")))&amp;"!"&amp;CELL("adresse",OFFSET($Q$6,H383-1,0)),"Definition"))</f>
        <v/>
      </c>
      <c r="F383" s="54" t="str" cm="1">
        <f t="array" aca="1" ref="F383" ca="1">IF(I383=0,"",HYPERLINK("#"&amp;RIGHT(CELL("adresse",OFFSET(DMAV_Doku!$B$6,I383-1,0)),LEN(CELL("adresse",OFFSET(DMAV_Doku!$B$6,I383-1,0)))-SEARCH("]",CELL("adresse",OFFSET(DMAV_Doku!$B$6,I383-1,0)))),"ModDoc"))</f>
        <v>ModDoc</v>
      </c>
      <c r="G383" s="150" t="str">
        <f t="shared" si="10"/>
        <v>MNK14</v>
      </c>
      <c r="H383" s="150">
        <f t="shared" si="11"/>
        <v>0</v>
      </c>
      <c r="I383" s="150">
        <f>IF(_xlfn.XLOOKUP(G383,Korrelation!$A$4:$A$723,Korrelation!$B$4:$B$723,0,0)=0,0,MATCH(_xlfn.XLOOKUP(G383,Korrelation!$A$4:$A$723,Korrelation!$B$4:$B$723,0,0),DMAV_Doku!$H$6:$H$483,0))</f>
        <v>214</v>
      </c>
      <c r="J383" s="158"/>
      <c r="K383" s="161"/>
      <c r="L383" s="161"/>
      <c r="M383" s="158"/>
      <c r="N383" s="51" t="s">
        <v>4334</v>
      </c>
      <c r="O383" s="51" t="s">
        <v>3897</v>
      </c>
      <c r="P383" s="51" t="s">
        <v>18</v>
      </c>
      <c r="Q383" s="51" t="s">
        <v>949</v>
      </c>
      <c r="R383" s="51" t="s">
        <v>334</v>
      </c>
      <c r="S383" s="50" t="s">
        <v>950</v>
      </c>
      <c r="U383" s="52" t="s">
        <v>5</v>
      </c>
      <c r="W383" s="52" t="s">
        <v>964</v>
      </c>
      <c r="AB383" s="51" t="s">
        <v>4335</v>
      </c>
      <c r="AC383" s="51" t="s">
        <v>3898</v>
      </c>
      <c r="AD383" s="51" t="s">
        <v>706</v>
      </c>
      <c r="AE383" s="51" t="s">
        <v>949</v>
      </c>
      <c r="AF383" s="51" t="s">
        <v>808</v>
      </c>
      <c r="AG383" s="50" t="s">
        <v>950</v>
      </c>
      <c r="AI383" s="52" t="s">
        <v>702</v>
      </c>
      <c r="AK383" s="52" t="s">
        <v>964</v>
      </c>
      <c r="AP383" s="51" t="s">
        <v>4336</v>
      </c>
      <c r="AQ383" s="51" t="s">
        <v>3899</v>
      </c>
      <c r="AR383" s="51" t="s">
        <v>2177</v>
      </c>
      <c r="AS383" s="51" t="s">
        <v>949</v>
      </c>
      <c r="AT383" s="51" t="s">
        <v>4344</v>
      </c>
      <c r="AU383" s="50" t="s">
        <v>950</v>
      </c>
      <c r="AW383" s="52" t="s">
        <v>1700</v>
      </c>
      <c r="AY383" s="52" t="s">
        <v>964</v>
      </c>
    </row>
    <row r="384" spans="1:54" ht="38.25" x14ac:dyDescent="0.25">
      <c r="A384" s="51" t="s">
        <v>3808</v>
      </c>
      <c r="B384" s="51">
        <v>15</v>
      </c>
      <c r="E384" s="54" t="str" cm="1">
        <f t="array" aca="1" ref="E384" ca="1">IF(H384=0,"",HYPERLINK("#"&amp;RIGHT(CELL("dateiname"),LEN(CELL("dateiname"))-FIND("]",CELL("dateiname")))&amp;"!"&amp;CELL("adresse",OFFSET($Q$6,H384-1,0)),"Definition"))</f>
        <v/>
      </c>
      <c r="F384" s="54" t="str" cm="1">
        <f t="array" aca="1" ref="F384" ca="1">IF(I384=0,"",HYPERLINK("#"&amp;RIGHT(CELL("adresse",OFFSET(DMAV_Doku!$B$6,I384-1,0)),LEN(CELL("adresse",OFFSET(DMAV_Doku!$B$6,I384-1,0)))-SEARCH("]",CELL("adresse",OFFSET(DMAV_Doku!$B$6,I384-1,0)))),"ModDoc"))</f>
        <v>ModDoc</v>
      </c>
      <c r="G384" s="150" t="str">
        <f t="shared" si="10"/>
        <v>MNK15</v>
      </c>
      <c r="H384" s="150">
        <f t="shared" si="11"/>
        <v>0</v>
      </c>
      <c r="I384" s="150">
        <f>IF(_xlfn.XLOOKUP(G384,Korrelation!$A$4:$A$723,Korrelation!$B$4:$B$723,0,0)=0,0,MATCH(_xlfn.XLOOKUP(G384,Korrelation!$A$4:$A$723,Korrelation!$B$4:$B$723,0,0),DMAV_Doku!$H$6:$H$483,0))</f>
        <v>216</v>
      </c>
      <c r="J384" s="158"/>
      <c r="K384" s="161"/>
      <c r="L384" s="161"/>
      <c r="M384" s="158"/>
      <c r="N384" s="51" t="s">
        <v>4334</v>
      </c>
      <c r="O384" s="51" t="s">
        <v>3897</v>
      </c>
      <c r="P384" s="51" t="s">
        <v>18</v>
      </c>
      <c r="Q384" s="51" t="s">
        <v>949</v>
      </c>
      <c r="R384" s="51" t="s">
        <v>334</v>
      </c>
      <c r="S384" s="50" t="s">
        <v>950</v>
      </c>
      <c r="U384" s="52" t="s">
        <v>123</v>
      </c>
      <c r="W384" s="52" t="s">
        <v>965</v>
      </c>
      <c r="AB384" s="51" t="s">
        <v>4335</v>
      </c>
      <c r="AC384" s="51" t="s">
        <v>3898</v>
      </c>
      <c r="AD384" s="51" t="s">
        <v>706</v>
      </c>
      <c r="AE384" s="51" t="s">
        <v>949</v>
      </c>
      <c r="AF384" s="51" t="s">
        <v>808</v>
      </c>
      <c r="AG384" s="50" t="s">
        <v>950</v>
      </c>
      <c r="AI384" s="52" t="s">
        <v>123</v>
      </c>
      <c r="AK384" s="52" t="s">
        <v>965</v>
      </c>
      <c r="AP384" s="51" t="s">
        <v>4336</v>
      </c>
      <c r="AQ384" s="51" t="s">
        <v>3899</v>
      </c>
      <c r="AR384" s="51" t="s">
        <v>2177</v>
      </c>
      <c r="AS384" s="51" t="s">
        <v>949</v>
      </c>
      <c r="AT384" s="51" t="s">
        <v>4344</v>
      </c>
      <c r="AU384" s="50" t="s">
        <v>950</v>
      </c>
      <c r="AW384" s="52" t="s">
        <v>1247</v>
      </c>
      <c r="AY384" s="52" t="s">
        <v>965</v>
      </c>
    </row>
    <row r="385" spans="1:52" x14ac:dyDescent="0.25">
      <c r="A385" s="51" t="s">
        <v>3808</v>
      </c>
      <c r="B385" s="51">
        <v>16</v>
      </c>
      <c r="E385" s="54" t="str" cm="1">
        <f t="array" aca="1" ref="E385" ca="1">IF(H385=0,"",HYPERLINK("#"&amp;RIGHT(CELL("dateiname"),LEN(CELL("dateiname"))-FIND("]",CELL("dateiname")))&amp;"!"&amp;CELL("adresse",OFFSET($Q$6,H385-1,0)),"Definition"))</f>
        <v/>
      </c>
      <c r="F385" s="54" t="str" cm="1">
        <f t="array" aca="1" ref="F385" ca="1">IF(I385=0,"",HYPERLINK("#"&amp;RIGHT(CELL("adresse",OFFSET(DMAV_Doku!$B$6,I385-1,0)),LEN(CELL("adresse",OFFSET(DMAV_Doku!$B$6,I385-1,0)))-SEARCH("]",CELL("adresse",OFFSET(DMAV_Doku!$B$6,I385-1,0)))),"ModDoc"))</f>
        <v>ModDoc</v>
      </c>
      <c r="G385" s="150" t="str">
        <f t="shared" si="10"/>
        <v>MNK16</v>
      </c>
      <c r="H385" s="150">
        <f t="shared" si="11"/>
        <v>0</v>
      </c>
      <c r="I385" s="150">
        <f>IF(_xlfn.XLOOKUP(G385,Korrelation!$A$4:$A$723,Korrelation!$B$4:$B$723,0,0)=0,0,MATCH(_xlfn.XLOOKUP(G385,Korrelation!$A$4:$A$723,Korrelation!$B$4:$B$723,0,0),DMAV_Doku!$H$6:$H$483,0))</f>
        <v>215</v>
      </c>
      <c r="J385" s="158"/>
      <c r="K385" s="161"/>
      <c r="L385" s="161"/>
      <c r="M385" s="158"/>
      <c r="N385" s="51" t="s">
        <v>4334</v>
      </c>
      <c r="O385" s="51" t="s">
        <v>3897</v>
      </c>
      <c r="P385" s="51" t="s">
        <v>18</v>
      </c>
      <c r="Q385" s="51" t="s">
        <v>949</v>
      </c>
      <c r="R385" s="51" t="s">
        <v>334</v>
      </c>
      <c r="U385" s="52" t="s">
        <v>4</v>
      </c>
      <c r="W385" s="52" t="s">
        <v>956</v>
      </c>
      <c r="Y385" s="52" t="s">
        <v>2211</v>
      </c>
      <c r="AB385" s="51" t="s">
        <v>4335</v>
      </c>
      <c r="AC385" s="51" t="s">
        <v>3898</v>
      </c>
      <c r="AD385" s="51" t="s">
        <v>706</v>
      </c>
      <c r="AE385" s="51" t="s">
        <v>949</v>
      </c>
      <c r="AF385" s="51" t="s">
        <v>808</v>
      </c>
      <c r="AI385" s="52" t="s">
        <v>809</v>
      </c>
      <c r="AK385" s="52" t="s">
        <v>956</v>
      </c>
      <c r="AP385" s="51" t="s">
        <v>4336</v>
      </c>
      <c r="AQ385" s="51" t="s">
        <v>3899</v>
      </c>
      <c r="AR385" s="51" t="s">
        <v>2177</v>
      </c>
      <c r="AS385" s="51" t="s">
        <v>949</v>
      </c>
      <c r="AT385" s="51" t="s">
        <v>4344</v>
      </c>
      <c r="AW385" s="52" t="s">
        <v>2208</v>
      </c>
      <c r="AY385" s="52" t="s">
        <v>956</v>
      </c>
    </row>
    <row r="386" spans="1:52" x14ac:dyDescent="0.25">
      <c r="A386" s="51" t="s">
        <v>3808</v>
      </c>
      <c r="B386" s="51">
        <v>17</v>
      </c>
      <c r="C386" s="51" t="s">
        <v>3838</v>
      </c>
      <c r="E386" s="54" t="str" cm="1">
        <f t="array" aca="1" ref="E386" ca="1">IF(H386=0,"",HYPERLINK("#"&amp;RIGHT(CELL("dateiname"),LEN(CELL("dateiname"))-FIND("]",CELL("dateiname")))&amp;"!"&amp;CELL("adresse",OFFSET($Q$6,H386-1,0)),"Definition"))</f>
        <v>Definition</v>
      </c>
      <c r="F386" s="54" t="str" cm="1">
        <f t="array" aca="1" ref="F386" ca="1">IF(I386=0,"",HYPERLINK("#"&amp;RIGHT(CELL("adresse",OFFSET(DMAV_Doku!$B$6,I386-1,0)),LEN(CELL("adresse",OFFSET(DMAV_Doku!$B$6,I386-1,0)))-SEARCH("]",CELL("adresse",OFFSET(DMAV_Doku!$B$6,I386-1,0)))),"ModDoc"))</f>
        <v>ModDoc</v>
      </c>
      <c r="G386" s="150" t="str">
        <f t="shared" si="10"/>
        <v>MNK17</v>
      </c>
      <c r="H386" s="150">
        <f t="shared" si="11"/>
        <v>26</v>
      </c>
      <c r="I386" s="150">
        <f>IF(_xlfn.XLOOKUP(G386,Korrelation!$A$4:$A$723,Korrelation!$B$4:$B$723,0,0)=0,0,MATCH(_xlfn.XLOOKUP(G386,Korrelation!$A$4:$A$723,Korrelation!$B$4:$B$723,0,0),DMAV_Doku!$H$6:$H$483,0))</f>
        <v>217</v>
      </c>
      <c r="J386" s="158"/>
      <c r="K386" s="161"/>
      <c r="L386" s="161"/>
      <c r="M386" s="158"/>
      <c r="N386" s="51" t="s">
        <v>4334</v>
      </c>
      <c r="O386" s="51" t="s">
        <v>3897</v>
      </c>
      <c r="P386" s="51" t="s">
        <v>18</v>
      </c>
      <c r="Q386" s="51" t="s">
        <v>949</v>
      </c>
      <c r="R386" s="51" t="s">
        <v>334</v>
      </c>
      <c r="U386" s="52" t="s">
        <v>77</v>
      </c>
      <c r="V386" s="52" t="s">
        <v>3471</v>
      </c>
      <c r="W386" s="52" t="s">
        <v>3472</v>
      </c>
      <c r="AB386" s="51" t="s">
        <v>4335</v>
      </c>
      <c r="AC386" s="51" t="s">
        <v>3898</v>
      </c>
      <c r="AD386" s="51" t="s">
        <v>706</v>
      </c>
      <c r="AE386" s="51" t="s">
        <v>949</v>
      </c>
      <c r="AF386" s="51" t="s">
        <v>808</v>
      </c>
      <c r="AI386" s="52" t="s">
        <v>729</v>
      </c>
      <c r="AJ386" s="51" t="s">
        <v>3471</v>
      </c>
      <c r="AK386" s="52" t="s">
        <v>4036</v>
      </c>
      <c r="AP386" s="51" t="s">
        <v>4336</v>
      </c>
      <c r="AQ386" s="51" t="s">
        <v>3899</v>
      </c>
      <c r="AR386" s="51" t="s">
        <v>2177</v>
      </c>
      <c r="AS386" s="51" t="s">
        <v>949</v>
      </c>
      <c r="AT386" s="51" t="s">
        <v>4344</v>
      </c>
      <c r="AW386" s="52" t="s">
        <v>3933</v>
      </c>
      <c r="AX386" s="51" t="s">
        <v>3471</v>
      </c>
      <c r="AY386" s="52" t="s">
        <v>4037</v>
      </c>
    </row>
    <row r="387" spans="1:52" x14ac:dyDescent="0.25">
      <c r="A387" s="51" t="s">
        <v>3808</v>
      </c>
      <c r="B387" s="51">
        <v>18</v>
      </c>
      <c r="E387" s="54" t="str" cm="1">
        <f t="array" aca="1" ref="E387" ca="1">IF(H387=0,"",HYPERLINK("#"&amp;RIGHT(CELL("dateiname"),LEN(CELL("dateiname"))-FIND("]",CELL("dateiname")))&amp;"!"&amp;CELL("adresse",OFFSET($Q$6,H387-1,0)),"Definition"))</f>
        <v/>
      </c>
      <c r="F387" s="54" t="str" cm="1">
        <f t="array" aca="1" ref="F387" ca="1">IF(I387=0,"",HYPERLINK("#"&amp;RIGHT(CELL("adresse",OFFSET(DMAV_Doku!$B$6,I387-1,0)),LEN(CELL("adresse",OFFSET(DMAV_Doku!$B$6,I387-1,0)))-SEARCH("]",CELL("adresse",OFFSET(DMAV_Doku!$B$6,I387-1,0)))),"ModDoc"))</f>
        <v/>
      </c>
      <c r="G387" s="150" t="str">
        <f t="shared" si="10"/>
        <v>MNK18</v>
      </c>
      <c r="H387" s="150">
        <f t="shared" si="11"/>
        <v>0</v>
      </c>
      <c r="I387" s="150">
        <f>IF(_xlfn.XLOOKUP(G387,Korrelation!$A$4:$A$723,Korrelation!$B$4:$B$723,0,0)=0,0,MATCH(_xlfn.XLOOKUP(G387,Korrelation!$A$4:$A$723,Korrelation!$B$4:$B$723,0,0),DMAV_Doku!$H$6:$H$483,0))</f>
        <v>0</v>
      </c>
      <c r="J387" s="158"/>
      <c r="K387" s="161"/>
      <c r="L387" s="161"/>
      <c r="M387" s="158"/>
      <c r="N387" s="51" t="s">
        <v>4334</v>
      </c>
      <c r="O387" s="51" t="s">
        <v>3897</v>
      </c>
      <c r="P387" s="51" t="s">
        <v>18</v>
      </c>
      <c r="Q387" s="51" t="s">
        <v>967</v>
      </c>
      <c r="R387" s="51" t="s">
        <v>1085</v>
      </c>
      <c r="U387" s="52" t="s">
        <v>969</v>
      </c>
      <c r="W387" s="52" t="s">
        <v>333</v>
      </c>
      <c r="X387" s="51" t="s">
        <v>970</v>
      </c>
      <c r="AB387" s="51" t="s">
        <v>4335</v>
      </c>
      <c r="AC387" s="51" t="s">
        <v>3898</v>
      </c>
      <c r="AD387" s="51" t="s">
        <v>706</v>
      </c>
      <c r="AE387" s="51" t="s">
        <v>967</v>
      </c>
      <c r="AF387" s="51" t="s">
        <v>4345</v>
      </c>
      <c r="AI387" s="52" t="s">
        <v>1319</v>
      </c>
      <c r="AK387" s="52" t="s">
        <v>807</v>
      </c>
      <c r="AL387" s="51" t="s">
        <v>970</v>
      </c>
      <c r="AP387" s="51" t="s">
        <v>4336</v>
      </c>
      <c r="AQ387" s="51" t="s">
        <v>3899</v>
      </c>
      <c r="AR387" s="51" t="s">
        <v>2177</v>
      </c>
      <c r="AS387" s="51" t="s">
        <v>967</v>
      </c>
      <c r="AT387" s="51" t="s">
        <v>4346</v>
      </c>
      <c r="AW387" s="52" t="s">
        <v>1319</v>
      </c>
      <c r="AY387" s="52" t="s">
        <v>4337</v>
      </c>
      <c r="AZ387" s="51" t="s">
        <v>970</v>
      </c>
    </row>
    <row r="388" spans="1:52" x14ac:dyDescent="0.25">
      <c r="A388" s="51" t="s">
        <v>3808</v>
      </c>
      <c r="B388" s="51">
        <v>19</v>
      </c>
      <c r="E388" s="54" t="str" cm="1">
        <f t="array" aca="1" ref="E388" ca="1">IF(H388=0,"",HYPERLINK("#"&amp;RIGHT(CELL("dateiname"),LEN(CELL("dateiname"))-FIND("]",CELL("dateiname")))&amp;"!"&amp;CELL("adresse",OFFSET($Q$6,H388-1,0)),"Definition"))</f>
        <v/>
      </c>
      <c r="F388" s="54" t="str" cm="1">
        <f t="array" aca="1" ref="F388" ca="1">IF(I388=0,"",HYPERLINK("#"&amp;RIGHT(CELL("adresse",OFFSET(DMAV_Doku!$B$6,I388-1,0)),LEN(CELL("adresse",OFFSET(DMAV_Doku!$B$6,I388-1,0)))-SEARCH("]",CELL("adresse",OFFSET(DMAV_Doku!$B$6,I388-1,0)))),"ModDoc"))</f>
        <v/>
      </c>
      <c r="G388" s="150" t="str">
        <f t="shared" si="10"/>
        <v>MNK19</v>
      </c>
      <c r="H388" s="150">
        <f t="shared" si="11"/>
        <v>0</v>
      </c>
      <c r="I388" s="150">
        <f>IF(_xlfn.XLOOKUP(G388,Korrelation!$A$4:$A$723,Korrelation!$B$4:$B$723,0,0)=0,0,MATCH(_xlfn.XLOOKUP(G388,Korrelation!$A$4:$A$723,Korrelation!$B$4:$B$723,0,0),DMAV_Doku!$H$6:$H$483,0))</f>
        <v>0</v>
      </c>
      <c r="J388" s="158"/>
      <c r="K388" s="161"/>
      <c r="L388" s="161"/>
      <c r="M388" s="158"/>
      <c r="N388" s="51" t="s">
        <v>4334</v>
      </c>
      <c r="O388" s="51" t="s">
        <v>3897</v>
      </c>
      <c r="P388" s="51" t="s">
        <v>18</v>
      </c>
      <c r="Q388" s="51" t="s">
        <v>967</v>
      </c>
      <c r="R388" s="51" t="s">
        <v>1085</v>
      </c>
      <c r="U388" s="52" t="s">
        <v>1086</v>
      </c>
      <c r="W388" s="52" t="s">
        <v>334</v>
      </c>
      <c r="X388" s="51" t="s">
        <v>972</v>
      </c>
      <c r="AB388" s="51" t="s">
        <v>4335</v>
      </c>
      <c r="AC388" s="51" t="s">
        <v>3898</v>
      </c>
      <c r="AD388" s="51" t="s">
        <v>706</v>
      </c>
      <c r="AE388" s="51" t="s">
        <v>967</v>
      </c>
      <c r="AF388" s="51" t="s">
        <v>4345</v>
      </c>
      <c r="AI388" s="52" t="s">
        <v>4347</v>
      </c>
      <c r="AK388" s="52" t="s">
        <v>808</v>
      </c>
      <c r="AL388" s="51" t="s">
        <v>972</v>
      </c>
      <c r="AP388" s="51" t="s">
        <v>4336</v>
      </c>
      <c r="AQ388" s="51" t="s">
        <v>3899</v>
      </c>
      <c r="AR388" s="51" t="s">
        <v>2177</v>
      </c>
      <c r="AS388" s="51" t="s">
        <v>967</v>
      </c>
      <c r="AT388" s="51" t="s">
        <v>4346</v>
      </c>
      <c r="AW388" s="52" t="s">
        <v>4348</v>
      </c>
      <c r="AY388" s="52" t="s">
        <v>4344</v>
      </c>
      <c r="AZ388" s="51" t="s">
        <v>972</v>
      </c>
    </row>
    <row r="389" spans="1:52" x14ac:dyDescent="0.25">
      <c r="A389" s="51" t="s">
        <v>3808</v>
      </c>
      <c r="B389" s="51">
        <v>20</v>
      </c>
      <c r="E389" s="54" t="str" cm="1">
        <f t="array" aca="1" ref="E389" ca="1">IF(H389=0,"",HYPERLINK("#"&amp;RIGHT(CELL("dateiname"),LEN(CELL("dateiname"))-FIND("]",CELL("dateiname")))&amp;"!"&amp;CELL("adresse",OFFSET($Q$6,H389-1,0)),"Definition"))</f>
        <v/>
      </c>
      <c r="F389" s="54" t="str" cm="1">
        <f t="array" aca="1" ref="F389" ca="1">IF(I389=0,"",HYPERLINK("#"&amp;RIGHT(CELL("adresse",OFFSET(DMAV_Doku!$B$6,I389-1,0)),LEN(CELL("adresse",OFFSET(DMAV_Doku!$B$6,I389-1,0)))-SEARCH("]",CELL("adresse",OFFSET(DMAV_Doku!$B$6,I389-1,0)))),"ModDoc"))</f>
        <v>ModDoc</v>
      </c>
      <c r="G389" s="150" t="str">
        <f t="shared" si="10"/>
        <v>MNK20</v>
      </c>
      <c r="H389" s="150">
        <f t="shared" si="11"/>
        <v>0</v>
      </c>
      <c r="I389" s="150">
        <f>IF(_xlfn.XLOOKUP(G389,Korrelation!$A$4:$A$723,Korrelation!$B$4:$B$723,0,0)=0,0,MATCH(_xlfn.XLOOKUP(G389,Korrelation!$A$4:$A$723,Korrelation!$B$4:$B$723,0,0),DMAV_Doku!$H$6:$H$483,0))</f>
        <v>222</v>
      </c>
      <c r="J389" s="158"/>
      <c r="K389" s="161"/>
      <c r="L389" s="161"/>
      <c r="M389" s="158"/>
      <c r="N389" s="51" t="s">
        <v>4334</v>
      </c>
      <c r="O389" s="51" t="s">
        <v>3897</v>
      </c>
      <c r="P389" s="51" t="s">
        <v>18</v>
      </c>
      <c r="Q389" s="51" t="s">
        <v>949</v>
      </c>
      <c r="R389" s="51" t="s">
        <v>342</v>
      </c>
      <c r="S389" s="50" t="s">
        <v>950</v>
      </c>
      <c r="U389" s="52" t="s">
        <v>5</v>
      </c>
      <c r="W389" s="52" t="s">
        <v>964</v>
      </c>
      <c r="AB389" s="51" t="s">
        <v>4335</v>
      </c>
      <c r="AC389" s="51" t="s">
        <v>3898</v>
      </c>
      <c r="AD389" s="51" t="s">
        <v>706</v>
      </c>
      <c r="AE389" s="51" t="s">
        <v>949</v>
      </c>
      <c r="AF389" s="51" t="s">
        <v>811</v>
      </c>
      <c r="AG389" s="50" t="s">
        <v>950</v>
      </c>
      <c r="AI389" s="52" t="s">
        <v>702</v>
      </c>
      <c r="AK389" s="52" t="s">
        <v>964</v>
      </c>
      <c r="AP389" s="51" t="s">
        <v>4336</v>
      </c>
      <c r="AQ389" s="51" t="s">
        <v>3899</v>
      </c>
      <c r="AR389" s="51" t="s">
        <v>2177</v>
      </c>
      <c r="AS389" s="51" t="s">
        <v>949</v>
      </c>
      <c r="AT389" s="51" t="s">
        <v>4349</v>
      </c>
      <c r="AU389" s="50" t="s">
        <v>950</v>
      </c>
      <c r="AW389" s="52" t="s">
        <v>1700</v>
      </c>
      <c r="AY389" s="52" t="s">
        <v>964</v>
      </c>
    </row>
    <row r="390" spans="1:52" x14ac:dyDescent="0.25">
      <c r="A390" s="51" t="s">
        <v>3808</v>
      </c>
      <c r="B390" s="51">
        <v>21</v>
      </c>
      <c r="E390" s="54" t="str" cm="1">
        <f t="array" aca="1" ref="E390" ca="1">IF(H390=0,"",HYPERLINK("#"&amp;RIGHT(CELL("dateiname"),LEN(CELL("dateiname"))-FIND("]",CELL("dateiname")))&amp;"!"&amp;CELL("adresse",OFFSET($Q$6,H390-1,0)),"Definition"))</f>
        <v/>
      </c>
      <c r="F390" s="54" t="str" cm="1">
        <f t="array" aca="1" ref="F390" ca="1">IF(I390=0,"",HYPERLINK("#"&amp;RIGHT(CELL("adresse",OFFSET(DMAV_Doku!$B$6,I390-1,0)),LEN(CELL("adresse",OFFSET(DMAV_Doku!$B$6,I390-1,0)))-SEARCH("]",CELL("adresse",OFFSET(DMAV_Doku!$B$6,I390-1,0)))),"ModDoc"))</f>
        <v>ModDoc</v>
      </c>
      <c r="G390" s="150" t="str">
        <f t="shared" si="10"/>
        <v>MNK21</v>
      </c>
      <c r="H390" s="150">
        <f t="shared" si="11"/>
        <v>0</v>
      </c>
      <c r="I390" s="150">
        <f>IF(_xlfn.XLOOKUP(G390,Korrelation!$A$4:$A$723,Korrelation!$B$4:$B$723,0,0)=0,0,MATCH(_xlfn.XLOOKUP(G390,Korrelation!$A$4:$A$723,Korrelation!$B$4:$B$723,0,0),DMAV_Doku!$H$6:$H$483,0))</f>
        <v>223</v>
      </c>
      <c r="J390" s="158"/>
      <c r="K390" s="161"/>
      <c r="L390" s="161"/>
      <c r="M390" s="158"/>
      <c r="N390" s="51" t="s">
        <v>4334</v>
      </c>
      <c r="O390" s="51" t="s">
        <v>3897</v>
      </c>
      <c r="P390" s="51" t="s">
        <v>18</v>
      </c>
      <c r="Q390" s="51" t="s">
        <v>949</v>
      </c>
      <c r="R390" s="51" t="s">
        <v>342</v>
      </c>
      <c r="S390" s="50" t="s">
        <v>950</v>
      </c>
      <c r="U390" s="52" t="s">
        <v>123</v>
      </c>
      <c r="W390" s="52" t="s">
        <v>952</v>
      </c>
      <c r="AB390" s="51" t="s">
        <v>4335</v>
      </c>
      <c r="AC390" s="51" t="s">
        <v>3898</v>
      </c>
      <c r="AD390" s="51" t="s">
        <v>706</v>
      </c>
      <c r="AE390" s="51" t="s">
        <v>949</v>
      </c>
      <c r="AF390" s="51" t="s">
        <v>811</v>
      </c>
      <c r="AG390" s="50" t="s">
        <v>950</v>
      </c>
      <c r="AI390" s="52" t="s">
        <v>123</v>
      </c>
      <c r="AK390" s="52" t="s">
        <v>952</v>
      </c>
      <c r="AP390" s="51" t="s">
        <v>4336</v>
      </c>
      <c r="AQ390" s="51" t="s">
        <v>3899</v>
      </c>
      <c r="AR390" s="51" t="s">
        <v>2177</v>
      </c>
      <c r="AS390" s="51" t="s">
        <v>949</v>
      </c>
      <c r="AT390" s="51" t="s">
        <v>4349</v>
      </c>
      <c r="AU390" s="50" t="s">
        <v>950</v>
      </c>
      <c r="AW390" s="52" t="s">
        <v>1247</v>
      </c>
      <c r="AY390" s="52" t="s">
        <v>952</v>
      </c>
    </row>
    <row r="391" spans="1:52" x14ac:dyDescent="0.25">
      <c r="A391" s="51" t="s">
        <v>3808</v>
      </c>
      <c r="B391" s="51">
        <v>22</v>
      </c>
      <c r="C391" s="51" t="s">
        <v>3838</v>
      </c>
      <c r="E391" s="54" t="str" cm="1">
        <f t="array" aca="1" ref="E391" ca="1">IF(H391=0,"",HYPERLINK("#"&amp;RIGHT(CELL("dateiname"),LEN(CELL("dateiname"))-FIND("]",CELL("dateiname")))&amp;"!"&amp;CELL("adresse",OFFSET($Q$6,H391-1,0)),"Definition"))</f>
        <v>Definition</v>
      </c>
      <c r="F391" s="54" t="str" cm="1">
        <f t="array" aca="1" ref="F391" ca="1">IF(I391=0,"",HYPERLINK("#"&amp;RIGHT(CELL("adresse",OFFSET(DMAV_Doku!$B$6,I391-1,0)),LEN(CELL("adresse",OFFSET(DMAV_Doku!$B$6,I391-1,0)))-SEARCH("]",CELL("adresse",OFFSET(DMAV_Doku!$B$6,I391-1,0)))),"ModDoc"))</f>
        <v>ModDoc</v>
      </c>
      <c r="G391" s="150" t="str">
        <f t="shared" ref="G391:G454" si="12">A391&amp;B391</f>
        <v>MNK22</v>
      </c>
      <c r="H391" s="150">
        <f t="shared" ref="H391:H454" si="13">IF(C391="",0,MATCH(C391,$G$6:$G$677,0))</f>
        <v>26</v>
      </c>
      <c r="I391" s="150">
        <f>IF(_xlfn.XLOOKUP(G391,Korrelation!$A$4:$A$723,Korrelation!$B$4:$B$723,0,0)=0,0,MATCH(_xlfn.XLOOKUP(G391,Korrelation!$A$4:$A$723,Korrelation!$B$4:$B$723,0,0),DMAV_Doku!$H$6:$H$483,0))</f>
        <v>224</v>
      </c>
      <c r="J391" s="158"/>
      <c r="K391" s="161"/>
      <c r="L391" s="161"/>
      <c r="M391" s="158"/>
      <c r="N391" s="51" t="s">
        <v>4334</v>
      </c>
      <c r="O391" s="51" t="s">
        <v>3897</v>
      </c>
      <c r="P391" s="51" t="s">
        <v>18</v>
      </c>
      <c r="Q391" s="51" t="s">
        <v>949</v>
      </c>
      <c r="R391" s="51" t="s">
        <v>342</v>
      </c>
      <c r="U391" s="52" t="s">
        <v>77</v>
      </c>
      <c r="V391" s="52" t="s">
        <v>3471</v>
      </c>
      <c r="W391" s="52" t="s">
        <v>3472</v>
      </c>
      <c r="AB391" s="51" t="s">
        <v>4335</v>
      </c>
      <c r="AC391" s="51" t="s">
        <v>3898</v>
      </c>
      <c r="AD391" s="51" t="s">
        <v>706</v>
      </c>
      <c r="AE391" s="51" t="s">
        <v>949</v>
      </c>
      <c r="AF391" s="51" t="s">
        <v>811</v>
      </c>
      <c r="AI391" s="52" t="s">
        <v>729</v>
      </c>
      <c r="AJ391" s="51" t="s">
        <v>3471</v>
      </c>
      <c r="AK391" s="52" t="s">
        <v>4036</v>
      </c>
      <c r="AP391" s="51" t="s">
        <v>4336</v>
      </c>
      <c r="AQ391" s="51" t="s">
        <v>3899</v>
      </c>
      <c r="AR391" s="51" t="s">
        <v>2177</v>
      </c>
      <c r="AS391" s="51" t="s">
        <v>949</v>
      </c>
      <c r="AT391" s="51" t="s">
        <v>4349</v>
      </c>
      <c r="AW391" s="52" t="s">
        <v>3933</v>
      </c>
      <c r="AX391" s="51" t="s">
        <v>3471</v>
      </c>
      <c r="AY391" s="52" t="s">
        <v>4037</v>
      </c>
    </row>
    <row r="392" spans="1:52" x14ac:dyDescent="0.25">
      <c r="A392" s="51" t="s">
        <v>3808</v>
      </c>
      <c r="B392" s="51">
        <v>23</v>
      </c>
      <c r="E392" s="54" t="str" cm="1">
        <f t="array" aca="1" ref="E392" ca="1">IF(H392=0,"",HYPERLINK("#"&amp;RIGHT(CELL("dateiname"),LEN(CELL("dateiname"))-FIND("]",CELL("dateiname")))&amp;"!"&amp;CELL("adresse",OFFSET($Q$6,H392-1,0)),"Definition"))</f>
        <v/>
      </c>
      <c r="F392" s="54" t="str" cm="1">
        <f t="array" aca="1" ref="F392" ca="1">IF(I392=0,"",HYPERLINK("#"&amp;RIGHT(CELL("adresse",OFFSET(DMAV_Doku!$B$6,I392-1,0)),LEN(CELL("adresse",OFFSET(DMAV_Doku!$B$6,I392-1,0)))-SEARCH("]",CELL("adresse",OFFSET(DMAV_Doku!$B$6,I392-1,0)))),"ModDoc"))</f>
        <v/>
      </c>
      <c r="G392" s="150" t="str">
        <f t="shared" si="12"/>
        <v>MNK23</v>
      </c>
      <c r="H392" s="150">
        <f t="shared" si="13"/>
        <v>0</v>
      </c>
      <c r="I392" s="150">
        <f>IF(_xlfn.XLOOKUP(G392,Korrelation!$A$4:$A$723,Korrelation!$B$4:$B$723,0,0)=0,0,MATCH(_xlfn.XLOOKUP(G392,Korrelation!$A$4:$A$723,Korrelation!$B$4:$B$723,0,0),DMAV_Doku!$H$6:$H$483,0))</f>
        <v>0</v>
      </c>
      <c r="J392" s="158"/>
      <c r="K392" s="161"/>
      <c r="L392" s="161"/>
      <c r="M392" s="158"/>
      <c r="N392" s="51" t="s">
        <v>4334</v>
      </c>
      <c r="O392" s="51" t="s">
        <v>3897</v>
      </c>
      <c r="P392" s="51" t="s">
        <v>18</v>
      </c>
      <c r="Q392" s="51" t="s">
        <v>967</v>
      </c>
      <c r="R392" s="51" t="s">
        <v>1091</v>
      </c>
      <c r="U392" s="52" t="s">
        <v>969</v>
      </c>
      <c r="W392" s="52" t="s">
        <v>333</v>
      </c>
      <c r="X392" s="51" t="s">
        <v>970</v>
      </c>
      <c r="AB392" s="51" t="s">
        <v>4335</v>
      </c>
      <c r="AC392" s="51" t="s">
        <v>3898</v>
      </c>
      <c r="AD392" s="51" t="s">
        <v>706</v>
      </c>
      <c r="AE392" s="51" t="s">
        <v>967</v>
      </c>
      <c r="AF392" s="51" t="s">
        <v>4350</v>
      </c>
      <c r="AI392" s="52" t="s">
        <v>1319</v>
      </c>
      <c r="AK392" s="52" t="s">
        <v>807</v>
      </c>
      <c r="AL392" s="51" t="s">
        <v>970</v>
      </c>
      <c r="AP392" s="51" t="s">
        <v>4336</v>
      </c>
      <c r="AQ392" s="51" t="s">
        <v>3899</v>
      </c>
      <c r="AR392" s="51" t="s">
        <v>2177</v>
      </c>
      <c r="AS392" s="51" t="s">
        <v>967</v>
      </c>
      <c r="AT392" s="51" t="s">
        <v>4351</v>
      </c>
      <c r="AW392" s="52" t="s">
        <v>1319</v>
      </c>
      <c r="AY392" s="52" t="s">
        <v>4337</v>
      </c>
      <c r="AZ392" s="51" t="s">
        <v>970</v>
      </c>
    </row>
    <row r="393" spans="1:52" x14ac:dyDescent="0.25">
      <c r="A393" s="51" t="s">
        <v>3808</v>
      </c>
      <c r="B393" s="51">
        <v>24</v>
      </c>
      <c r="E393" s="54" t="str" cm="1">
        <f t="array" aca="1" ref="E393" ca="1">IF(H393=0,"",HYPERLINK("#"&amp;RIGHT(CELL("dateiname"),LEN(CELL("dateiname"))-FIND("]",CELL("dateiname")))&amp;"!"&amp;CELL("adresse",OFFSET($Q$6,H393-1,0)),"Definition"))</f>
        <v/>
      </c>
      <c r="F393" s="54" t="str" cm="1">
        <f t="array" aca="1" ref="F393" ca="1">IF(I393=0,"",HYPERLINK("#"&amp;RIGHT(CELL("adresse",OFFSET(DMAV_Doku!$B$6,I393-1,0)),LEN(CELL("adresse",OFFSET(DMAV_Doku!$B$6,I393-1,0)))-SEARCH("]",CELL("adresse",OFFSET(DMAV_Doku!$B$6,I393-1,0)))),"ModDoc"))</f>
        <v/>
      </c>
      <c r="G393" s="150" t="str">
        <f t="shared" si="12"/>
        <v>MNK24</v>
      </c>
      <c r="H393" s="150">
        <f t="shared" si="13"/>
        <v>0</v>
      </c>
      <c r="I393" s="150">
        <f>IF(_xlfn.XLOOKUP(G393,Korrelation!$A$4:$A$723,Korrelation!$B$4:$B$723,0,0)=0,0,MATCH(_xlfn.XLOOKUP(G393,Korrelation!$A$4:$A$723,Korrelation!$B$4:$B$723,0,0),DMAV_Doku!$H$6:$H$483,0))</f>
        <v>0</v>
      </c>
      <c r="J393" s="158"/>
      <c r="K393" s="161"/>
      <c r="L393" s="161"/>
      <c r="M393" s="158"/>
      <c r="N393" s="51" t="s">
        <v>4334</v>
      </c>
      <c r="O393" s="51" t="s">
        <v>3897</v>
      </c>
      <c r="P393" s="51" t="s">
        <v>18</v>
      </c>
      <c r="Q393" s="51" t="s">
        <v>967</v>
      </c>
      <c r="R393" s="51" t="s">
        <v>1091</v>
      </c>
      <c r="U393" s="52" t="s">
        <v>1092</v>
      </c>
      <c r="W393" s="52" t="s">
        <v>342</v>
      </c>
      <c r="X393" s="51" t="s">
        <v>972</v>
      </c>
      <c r="AB393" s="51" t="s">
        <v>4335</v>
      </c>
      <c r="AC393" s="51" t="s">
        <v>3898</v>
      </c>
      <c r="AD393" s="51" t="s">
        <v>706</v>
      </c>
      <c r="AE393" s="51" t="s">
        <v>967</v>
      </c>
      <c r="AF393" s="51" t="s">
        <v>4350</v>
      </c>
      <c r="AI393" s="52" t="s">
        <v>4352</v>
      </c>
      <c r="AK393" s="52" t="s">
        <v>811</v>
      </c>
      <c r="AL393" s="51" t="s">
        <v>972</v>
      </c>
      <c r="AP393" s="51" t="s">
        <v>4336</v>
      </c>
      <c r="AQ393" s="51" t="s">
        <v>3899</v>
      </c>
      <c r="AR393" s="51" t="s">
        <v>2177</v>
      </c>
      <c r="AS393" s="51" t="s">
        <v>967</v>
      </c>
      <c r="AT393" s="51" t="s">
        <v>4351</v>
      </c>
      <c r="AW393" s="52" t="s">
        <v>4353</v>
      </c>
      <c r="AY393" s="52" t="s">
        <v>4349</v>
      </c>
      <c r="AZ393" s="51" t="s">
        <v>972</v>
      </c>
    </row>
    <row r="394" spans="1:52" x14ac:dyDescent="0.25">
      <c r="A394" s="51" t="s">
        <v>3809</v>
      </c>
      <c r="B394" s="51">
        <v>1</v>
      </c>
      <c r="E394" s="54" t="str" cm="1">
        <f t="array" aca="1" ref="E394" ca="1">IF(H394=0,"",HYPERLINK("#"&amp;RIGHT(CELL("dateiname"),LEN(CELL("dateiname"))-FIND("]",CELL("dateiname")))&amp;"!"&amp;CELL("adresse",OFFSET($Q$6,H394-1,0)),"Definition"))</f>
        <v/>
      </c>
      <c r="F394" s="54" t="str" cm="1">
        <f t="array" aca="1" ref="F394" ca="1">IF(I394=0,"",HYPERLINK("#"&amp;RIGHT(CELL("adresse",OFFSET(DMAV_Doku!$B$6,I394-1,0)),LEN(CELL("adresse",OFFSET(DMAV_Doku!$B$6,I394-1,0)))-SEARCH("]",CELL("adresse",OFFSET(DMAV_Doku!$B$6,I394-1,0)))),"ModDoc"))</f>
        <v/>
      </c>
      <c r="G394" s="150" t="str">
        <f t="shared" si="12"/>
        <v>MBB1</v>
      </c>
      <c r="H394" s="150">
        <f t="shared" si="13"/>
        <v>0</v>
      </c>
      <c r="I394" s="150">
        <f>IF(_xlfn.XLOOKUP(G394,Korrelation!$A$4:$A$723,Korrelation!$B$4:$B$723,0,0)=0,0,MATCH(_xlfn.XLOOKUP(G394,Korrelation!$A$4:$A$723,Korrelation!$B$4:$B$723,0,0),DMAV_Doku!$H$6:$H$483,0))</f>
        <v>0</v>
      </c>
      <c r="J394" s="158"/>
      <c r="K394" s="161"/>
      <c r="L394" s="161"/>
      <c r="M394" s="158"/>
      <c r="N394" s="51" t="s">
        <v>4354</v>
      </c>
      <c r="O394" s="51" t="s">
        <v>3870</v>
      </c>
      <c r="Q394" s="51" t="s">
        <v>910</v>
      </c>
      <c r="R394" s="51" t="s">
        <v>932</v>
      </c>
      <c r="V394" s="55"/>
      <c r="W394" s="52"/>
      <c r="AB394" s="51" t="s">
        <v>4355</v>
      </c>
      <c r="AC394" s="51" t="s">
        <v>3873</v>
      </c>
      <c r="AE394" s="51" t="s">
        <v>910</v>
      </c>
      <c r="AF394" s="51" t="s">
        <v>932</v>
      </c>
      <c r="AP394" s="51" t="s">
        <v>4356</v>
      </c>
      <c r="AQ394" s="51" t="s">
        <v>3876</v>
      </c>
      <c r="AS394" s="51" t="s">
        <v>910</v>
      </c>
      <c r="AT394" s="51" t="s">
        <v>932</v>
      </c>
    </row>
    <row r="395" spans="1:52" x14ac:dyDescent="0.25">
      <c r="A395" s="51" t="s">
        <v>3809</v>
      </c>
      <c r="B395" s="51">
        <v>2</v>
      </c>
      <c r="C395" s="51" t="s">
        <v>3829</v>
      </c>
      <c r="E395" s="54" t="str" cm="1">
        <f t="array" aca="1" ref="E395" ca="1">IF(H395=0,"",HYPERLINK("#"&amp;RIGHT(CELL("dateiname"),LEN(CELL("dateiname"))-FIND("]",CELL("dateiname")))&amp;"!"&amp;CELL("adresse",OFFSET($Q$6,H395-1,0)),"Definition"))</f>
        <v>Definition</v>
      </c>
      <c r="F395" s="54" t="str" cm="1">
        <f t="array" aca="1" ref="F395" ca="1">IF(I395=0,"",HYPERLINK("#"&amp;RIGHT(CELL("adresse",OFFSET(DMAV_Doku!$B$6,I395-1,0)),LEN(CELL("adresse",OFFSET(DMAV_Doku!$B$6,I395-1,0)))-SEARCH("]",CELL("adresse",OFFSET(DMAV_Doku!$B$6,I395-1,0)))),"ModDoc"))</f>
        <v/>
      </c>
      <c r="G395" s="150" t="str">
        <f t="shared" si="12"/>
        <v>MBB2</v>
      </c>
      <c r="H395" s="150">
        <f t="shared" si="13"/>
        <v>17</v>
      </c>
      <c r="I395" s="150">
        <f>IF(_xlfn.XLOOKUP(G395,Korrelation!$A$4:$A$723,Korrelation!$B$4:$B$723,0,0)=0,0,MATCH(_xlfn.XLOOKUP(G395,Korrelation!$A$4:$A$723,Korrelation!$B$4:$B$723,0,0),DMAV_Doku!$H$6:$H$483,0))</f>
        <v>0</v>
      </c>
      <c r="J395" s="158"/>
      <c r="K395" s="161"/>
      <c r="L395" s="161"/>
      <c r="M395" s="158"/>
      <c r="N395" s="51" t="s">
        <v>4354</v>
      </c>
      <c r="O395" s="51" t="s">
        <v>3870</v>
      </c>
      <c r="Q395" s="51" t="s">
        <v>910</v>
      </c>
      <c r="R395" s="51" t="s">
        <v>926</v>
      </c>
      <c r="W395" s="52"/>
      <c r="AB395" s="51" t="s">
        <v>4355</v>
      </c>
      <c r="AC395" s="51" t="s">
        <v>3873</v>
      </c>
      <c r="AE395" s="51" t="s">
        <v>910</v>
      </c>
      <c r="AF395" s="51" t="s">
        <v>3921</v>
      </c>
      <c r="AP395" s="51" t="s">
        <v>4356</v>
      </c>
      <c r="AQ395" s="51" t="s">
        <v>3876</v>
      </c>
      <c r="AS395" s="51" t="s">
        <v>910</v>
      </c>
      <c r="AT395" s="51" t="s">
        <v>3923</v>
      </c>
    </row>
    <row r="396" spans="1:52" x14ac:dyDescent="0.25">
      <c r="A396" s="51" t="s">
        <v>3809</v>
      </c>
      <c r="B396" s="51">
        <v>3</v>
      </c>
      <c r="C396" s="51" t="s">
        <v>3847</v>
      </c>
      <c r="E396" s="54" t="str" cm="1">
        <f t="array" aca="1" ref="E396" ca="1">IF(H396=0,"",HYPERLINK("#"&amp;RIGHT(CELL("dateiname"),LEN(CELL("dateiname"))-FIND("]",CELL("dateiname")))&amp;"!"&amp;CELL("adresse",OFFSET($Q$6,H396-1,0)),"Definition"))</f>
        <v>Definition</v>
      </c>
      <c r="F396" s="54" t="str" cm="1">
        <f t="array" aca="1" ref="F396" ca="1">IF(I396=0,"",HYPERLINK("#"&amp;RIGHT(CELL("adresse",OFFSET(DMAV_Doku!$B$6,I396-1,0)),LEN(CELL("adresse",OFFSET(DMAV_Doku!$B$6,I396-1,0)))-SEARCH("]",CELL("adresse",OFFSET(DMAV_Doku!$B$6,I396-1,0)))),"ModDoc"))</f>
        <v/>
      </c>
      <c r="G396" s="150" t="str">
        <f t="shared" si="12"/>
        <v>MBB3</v>
      </c>
      <c r="H396" s="150">
        <f t="shared" si="13"/>
        <v>36</v>
      </c>
      <c r="I396" s="150">
        <f>IF(_xlfn.XLOOKUP(G396,Korrelation!$A$4:$A$723,Korrelation!$B$4:$B$723,0,0)=0,0,MATCH(_xlfn.XLOOKUP(G396,Korrelation!$A$4:$A$723,Korrelation!$B$4:$B$723,0,0),DMAV_Doku!$H$6:$H$483,0))</f>
        <v>0</v>
      </c>
      <c r="J396" s="158"/>
      <c r="K396" s="161"/>
      <c r="L396" s="161"/>
      <c r="M396" s="158"/>
      <c r="N396" s="51" t="s">
        <v>4354</v>
      </c>
      <c r="O396" s="51" t="s">
        <v>3870</v>
      </c>
      <c r="Q396" s="51" t="s">
        <v>910</v>
      </c>
      <c r="R396" s="51" t="s">
        <v>936</v>
      </c>
      <c r="U396" s="55"/>
      <c r="V396" s="55"/>
      <c r="W396" s="52"/>
      <c r="AB396" s="51" t="s">
        <v>4355</v>
      </c>
      <c r="AC396" s="51" t="s">
        <v>3873</v>
      </c>
      <c r="AE396" s="51" t="s">
        <v>910</v>
      </c>
      <c r="AF396" s="51" t="s">
        <v>3943</v>
      </c>
      <c r="AP396" s="51" t="s">
        <v>4356</v>
      </c>
      <c r="AQ396" s="51" t="s">
        <v>3876</v>
      </c>
      <c r="AS396" s="51" t="s">
        <v>910</v>
      </c>
      <c r="AT396" s="51" t="s">
        <v>3945</v>
      </c>
    </row>
    <row r="397" spans="1:52" x14ac:dyDescent="0.25">
      <c r="A397" s="51" t="s">
        <v>3809</v>
      </c>
      <c r="B397" s="51">
        <v>4</v>
      </c>
      <c r="C397" s="51" t="s">
        <v>3831</v>
      </c>
      <c r="E397" s="54" t="str" cm="1">
        <f t="array" aca="1" ref="E397" ca="1">IF(H397=0,"",HYPERLINK("#"&amp;RIGHT(CELL("dateiname"),LEN(CELL("dateiname"))-FIND("]",CELL("dateiname")))&amp;"!"&amp;CELL("adresse",OFFSET($Q$6,H397-1,0)),"Definition"))</f>
        <v>Definition</v>
      </c>
      <c r="F397" s="54" t="str" cm="1">
        <f t="array" aca="1" ref="F397" ca="1">IF(I397=0,"",HYPERLINK("#"&amp;RIGHT(CELL("adresse",OFFSET(DMAV_Doku!$B$6,I397-1,0)),LEN(CELL("adresse",OFFSET(DMAV_Doku!$B$6,I397-1,0)))-SEARCH("]",CELL("adresse",OFFSET(DMAV_Doku!$B$6,I397-1,0)))),"ModDoc"))</f>
        <v/>
      </c>
      <c r="G397" s="150" t="str">
        <f t="shared" si="12"/>
        <v>MBB4</v>
      </c>
      <c r="H397" s="150">
        <f t="shared" si="13"/>
        <v>39</v>
      </c>
      <c r="I397" s="150">
        <f>IF(_xlfn.XLOOKUP(G397,Korrelation!$A$4:$A$723,Korrelation!$B$4:$B$723,0,0)=0,0,MATCH(_xlfn.XLOOKUP(G397,Korrelation!$A$4:$A$723,Korrelation!$B$4:$B$723,0,0),DMAV_Doku!$H$6:$H$483,0))</f>
        <v>0</v>
      </c>
      <c r="J397" s="158"/>
      <c r="K397" s="161"/>
      <c r="L397" s="161"/>
      <c r="M397" s="158"/>
      <c r="N397" s="51" t="s">
        <v>4354</v>
      </c>
      <c r="O397" s="51" t="s">
        <v>3870</v>
      </c>
      <c r="Q397" s="51" t="s">
        <v>910</v>
      </c>
      <c r="R397" s="51" t="s">
        <v>938</v>
      </c>
      <c r="W397" s="52"/>
      <c r="AB397" s="51" t="s">
        <v>4355</v>
      </c>
      <c r="AC397" s="51" t="s">
        <v>3873</v>
      </c>
      <c r="AE397" s="51" t="s">
        <v>910</v>
      </c>
      <c r="AF397" s="51" t="s">
        <v>3948</v>
      </c>
      <c r="AP397" s="51" t="s">
        <v>4356</v>
      </c>
      <c r="AQ397" s="51" t="s">
        <v>3876</v>
      </c>
      <c r="AS397" s="51" t="s">
        <v>910</v>
      </c>
      <c r="AT397" s="51" t="s">
        <v>3950</v>
      </c>
    </row>
    <row r="398" spans="1:52" x14ac:dyDescent="0.25">
      <c r="A398" s="51" t="s">
        <v>3809</v>
      </c>
      <c r="B398" s="51">
        <v>5</v>
      </c>
      <c r="C398" s="51" t="s">
        <v>3832</v>
      </c>
      <c r="E398" s="54" t="str" cm="1">
        <f t="array" aca="1" ref="E398" ca="1">IF(H398=0,"",HYPERLINK("#"&amp;RIGHT(CELL("dateiname"),LEN(CELL("dateiname"))-FIND("]",CELL("dateiname")))&amp;"!"&amp;CELL("adresse",OFFSET($Q$6,H398-1,0)),"Definition"))</f>
        <v>Definition</v>
      </c>
      <c r="F398" s="54" t="str" cm="1">
        <f t="array" aca="1" ref="F398" ca="1">IF(I398=0,"",HYPERLINK("#"&amp;RIGHT(CELL("adresse",OFFSET(DMAV_Doku!$B$6,I398-1,0)),LEN(CELL("adresse",OFFSET(DMAV_Doku!$B$6,I398-1,0)))-SEARCH("]",CELL("adresse",OFFSET(DMAV_Doku!$B$6,I398-1,0)))),"ModDoc"))</f>
        <v/>
      </c>
      <c r="G398" s="150" t="str">
        <f t="shared" si="12"/>
        <v>MBB5</v>
      </c>
      <c r="H398" s="150">
        <f t="shared" si="13"/>
        <v>18</v>
      </c>
      <c r="I398" s="150">
        <f>IF(_xlfn.XLOOKUP(G398,Korrelation!$A$4:$A$723,Korrelation!$B$4:$B$723,0,0)=0,0,MATCH(_xlfn.XLOOKUP(G398,Korrelation!$A$4:$A$723,Korrelation!$B$4:$B$723,0,0),DMAV_Doku!$H$6:$H$483,0))</f>
        <v>0</v>
      </c>
      <c r="J398" s="158"/>
      <c r="K398" s="161"/>
      <c r="L398" s="161"/>
      <c r="M398" s="158"/>
      <c r="N398" s="51" t="s">
        <v>4354</v>
      </c>
      <c r="O398" s="51" t="s">
        <v>3870</v>
      </c>
      <c r="Q398" s="51" t="s">
        <v>910</v>
      </c>
      <c r="R398" s="51" t="s">
        <v>930</v>
      </c>
      <c r="W398" s="52"/>
      <c r="AB398" s="51" t="s">
        <v>4355</v>
      </c>
      <c r="AC398" s="51" t="s">
        <v>3873</v>
      </c>
      <c r="AE398" s="51" t="s">
        <v>910</v>
      </c>
      <c r="AF398" s="51" t="s">
        <v>3925</v>
      </c>
      <c r="AP398" s="51" t="s">
        <v>4356</v>
      </c>
      <c r="AQ398" s="51" t="s">
        <v>3876</v>
      </c>
      <c r="AS398" s="51" t="s">
        <v>910</v>
      </c>
      <c r="AT398" s="51" t="s">
        <v>3927</v>
      </c>
    </row>
    <row r="399" spans="1:52" x14ac:dyDescent="0.25">
      <c r="A399" s="51" t="s">
        <v>3809</v>
      </c>
      <c r="B399" s="51">
        <v>6</v>
      </c>
      <c r="E399" s="54" t="str" cm="1">
        <f t="array" aca="1" ref="E399" ca="1">IF(H399=0,"",HYPERLINK("#"&amp;RIGHT(CELL("dateiname"),LEN(CELL("dateiname"))-FIND("]",CELL("dateiname")))&amp;"!"&amp;CELL("adresse",OFFSET($Q$6,H399-1,0)),"Definition"))</f>
        <v/>
      </c>
      <c r="F399" s="54" t="str" cm="1">
        <f t="array" aca="1" ref="F399" ca="1">IF(I399=0,"",HYPERLINK("#"&amp;RIGHT(CELL("adresse",OFFSET(DMAV_Doku!$B$6,I399-1,0)),LEN(CELL("adresse",OFFSET(DMAV_Doku!$B$6,I399-1,0)))-SEARCH("]",CELL("adresse",OFFSET(DMAV_Doku!$B$6,I399-1,0)))),"ModDoc"))</f>
        <v>ModDoc</v>
      </c>
      <c r="G399" s="150" t="str">
        <f t="shared" si="12"/>
        <v>MBB6</v>
      </c>
      <c r="H399" s="150">
        <f t="shared" si="13"/>
        <v>0</v>
      </c>
      <c r="I399" s="150">
        <f>IF(_xlfn.XLOOKUP(G399,Korrelation!$A$4:$A$723,Korrelation!$B$4:$B$723,0,0)=0,0,MATCH(_xlfn.XLOOKUP(G399,Korrelation!$A$4:$A$723,Korrelation!$B$4:$B$723,0,0),DMAV_Doku!$H$6:$H$483,0))</f>
        <v>225</v>
      </c>
      <c r="J399" s="158"/>
      <c r="K399" s="161"/>
      <c r="L399" s="161"/>
      <c r="M399" s="158"/>
      <c r="N399" s="51" t="s">
        <v>4354</v>
      </c>
      <c r="O399" s="51" t="s">
        <v>3870</v>
      </c>
      <c r="P399" s="51" t="s">
        <v>19</v>
      </c>
      <c r="Q399" s="51" t="s">
        <v>927</v>
      </c>
      <c r="R399" s="51" t="s">
        <v>344</v>
      </c>
      <c r="W399" s="52" t="s">
        <v>1098</v>
      </c>
      <c r="AB399" s="51" t="s">
        <v>4355</v>
      </c>
      <c r="AC399" s="51" t="s">
        <v>3873</v>
      </c>
      <c r="AD399" s="51" t="s">
        <v>821</v>
      </c>
      <c r="AE399" s="51" t="s">
        <v>927</v>
      </c>
      <c r="AF399" s="51" t="s">
        <v>812</v>
      </c>
      <c r="AK399" s="52" t="s">
        <v>813</v>
      </c>
      <c r="AP399" s="51" t="s">
        <v>4356</v>
      </c>
      <c r="AQ399" s="51" t="s">
        <v>3876</v>
      </c>
      <c r="AR399" s="51" t="s">
        <v>4357</v>
      </c>
      <c r="AS399" s="51" t="s">
        <v>927</v>
      </c>
      <c r="AT399" s="51" t="s">
        <v>4358</v>
      </c>
      <c r="AY399" s="52" t="s">
        <v>2403</v>
      </c>
    </row>
    <row r="400" spans="1:52" x14ac:dyDescent="0.25">
      <c r="A400" s="51" t="s">
        <v>3809</v>
      </c>
      <c r="B400" s="51">
        <v>7</v>
      </c>
      <c r="E400" s="54" t="str" cm="1">
        <f t="array" aca="1" ref="E400" ca="1">IF(H400=0,"",HYPERLINK("#"&amp;RIGHT(CELL("dateiname"),LEN(CELL("dateiname"))-FIND("]",CELL("dateiname")))&amp;"!"&amp;CELL("adresse",OFFSET($Q$6,H400-1,0)),"Definition"))</f>
        <v/>
      </c>
      <c r="F400" s="54" t="str" cm="1">
        <f t="array" aca="1" ref="F400" ca="1">IF(I400=0,"",HYPERLINK("#"&amp;RIGHT(CELL("adresse",OFFSET(DMAV_Doku!$B$6,I400-1,0)),LEN(CELL("adresse",OFFSET(DMAV_Doku!$B$6,I400-1,0)))-SEARCH("]",CELL("adresse",OFFSET(DMAV_Doku!$B$6,I400-1,0)))),"ModDoc"))</f>
        <v>ModDoc</v>
      </c>
      <c r="G400" s="150" t="str">
        <f t="shared" si="12"/>
        <v>MBB7</v>
      </c>
      <c r="H400" s="150">
        <f t="shared" si="13"/>
        <v>0</v>
      </c>
      <c r="I400" s="150">
        <f>IF(_xlfn.XLOOKUP(G400,Korrelation!$A$4:$A$723,Korrelation!$B$4:$B$723,0,0)=0,0,MATCH(_xlfn.XLOOKUP(G400,Korrelation!$A$4:$A$723,Korrelation!$B$4:$B$723,0,0),DMAV_Doku!$H$6:$H$483,0))</f>
        <v>226</v>
      </c>
      <c r="J400" s="158"/>
      <c r="K400" s="161"/>
      <c r="L400" s="161"/>
      <c r="M400" s="158"/>
      <c r="N400" s="51" t="s">
        <v>4354</v>
      </c>
      <c r="O400" s="51" t="s">
        <v>3870</v>
      </c>
      <c r="P400" s="51" t="s">
        <v>19</v>
      </c>
      <c r="Q400" s="51" t="s">
        <v>927</v>
      </c>
      <c r="R400" s="51" t="s">
        <v>344</v>
      </c>
      <c r="W400" s="52" t="s">
        <v>1099</v>
      </c>
      <c r="AB400" s="51" t="s">
        <v>4355</v>
      </c>
      <c r="AC400" s="51" t="s">
        <v>3873</v>
      </c>
      <c r="AD400" s="51" t="s">
        <v>821</v>
      </c>
      <c r="AE400" s="51" t="s">
        <v>927</v>
      </c>
      <c r="AF400" s="51" t="s">
        <v>812</v>
      </c>
      <c r="AK400" s="52" t="s">
        <v>2520</v>
      </c>
      <c r="AP400" s="51" t="s">
        <v>4356</v>
      </c>
      <c r="AQ400" s="51" t="s">
        <v>3876</v>
      </c>
      <c r="AR400" s="51" t="s">
        <v>4357</v>
      </c>
      <c r="AS400" s="51" t="s">
        <v>927</v>
      </c>
      <c r="AT400" s="51" t="s">
        <v>4358</v>
      </c>
      <c r="AY400" s="52" t="s">
        <v>2519</v>
      </c>
    </row>
    <row r="401" spans="1:51" x14ac:dyDescent="0.25">
      <c r="A401" s="51" t="s">
        <v>3809</v>
      </c>
      <c r="B401" s="51">
        <v>8</v>
      </c>
      <c r="E401" s="54" t="str" cm="1">
        <f t="array" aca="1" ref="E401" ca="1">IF(H401=0,"",HYPERLINK("#"&amp;RIGHT(CELL("dateiname"),LEN(CELL("dateiname"))-FIND("]",CELL("dateiname")))&amp;"!"&amp;CELL("adresse",OFFSET($Q$6,H401-1,0)),"Definition"))</f>
        <v/>
      </c>
      <c r="F401" s="54" t="str" cm="1">
        <f t="array" aca="1" ref="F401" ca="1">IF(I401=0,"",HYPERLINK("#"&amp;RIGHT(CELL("adresse",OFFSET(DMAV_Doku!$B$6,I401-1,0)),LEN(CELL("adresse",OFFSET(DMAV_Doku!$B$6,I401-1,0)))-SEARCH("]",CELL("adresse",OFFSET(DMAV_Doku!$B$6,I401-1,0)))),"ModDoc"))</f>
        <v>ModDoc</v>
      </c>
      <c r="G401" s="150" t="str">
        <f t="shared" si="12"/>
        <v>MBB8</v>
      </c>
      <c r="H401" s="150">
        <f t="shared" si="13"/>
        <v>0</v>
      </c>
      <c r="I401" s="150">
        <f>IF(_xlfn.XLOOKUP(G401,Korrelation!$A$4:$A$723,Korrelation!$B$4:$B$723,0,0)=0,0,MATCH(_xlfn.XLOOKUP(G401,Korrelation!$A$4:$A$723,Korrelation!$B$4:$B$723,0,0),DMAV_Doku!$H$6:$H$483,0))</f>
        <v>227</v>
      </c>
      <c r="J401" s="158"/>
      <c r="K401" s="161"/>
      <c r="L401" s="161"/>
      <c r="M401" s="158"/>
      <c r="N401" s="51" t="s">
        <v>4354</v>
      </c>
      <c r="O401" s="51" t="s">
        <v>3870</v>
      </c>
      <c r="P401" s="51" t="s">
        <v>19</v>
      </c>
      <c r="Q401" s="51" t="s">
        <v>927</v>
      </c>
      <c r="R401" s="51" t="s">
        <v>344</v>
      </c>
      <c r="W401" s="52" t="s">
        <v>1100</v>
      </c>
      <c r="AB401" s="51" t="s">
        <v>4355</v>
      </c>
      <c r="AC401" s="51" t="s">
        <v>3873</v>
      </c>
      <c r="AD401" s="51" t="s">
        <v>821</v>
      </c>
      <c r="AE401" s="51" t="s">
        <v>927</v>
      </c>
      <c r="AF401" s="51" t="s">
        <v>812</v>
      </c>
      <c r="AK401" s="52" t="s">
        <v>2518</v>
      </c>
      <c r="AP401" s="51" t="s">
        <v>4356</v>
      </c>
      <c r="AQ401" s="51" t="s">
        <v>3876</v>
      </c>
      <c r="AR401" s="51" t="s">
        <v>4357</v>
      </c>
      <c r="AS401" s="51" t="s">
        <v>927</v>
      </c>
      <c r="AT401" s="51" t="s">
        <v>4358</v>
      </c>
      <c r="AY401" s="52" t="s">
        <v>2517</v>
      </c>
    </row>
    <row r="402" spans="1:51" x14ac:dyDescent="0.25">
      <c r="A402" s="51" t="s">
        <v>3809</v>
      </c>
      <c r="B402" s="51">
        <v>9</v>
      </c>
      <c r="E402" s="54" t="str" cm="1">
        <f t="array" aca="1" ref="E402" ca="1">IF(H402=0,"",HYPERLINK("#"&amp;RIGHT(CELL("dateiname"),LEN(CELL("dateiname"))-FIND("]",CELL("dateiname")))&amp;"!"&amp;CELL("adresse",OFFSET($Q$6,H402-1,0)),"Definition"))</f>
        <v/>
      </c>
      <c r="F402" s="54" t="str" cm="1">
        <f t="array" aca="1" ref="F402" ca="1">IF(I402=0,"",HYPERLINK("#"&amp;RIGHT(CELL("adresse",OFFSET(DMAV_Doku!$B$6,I402-1,0)),LEN(CELL("adresse",OFFSET(DMAV_Doku!$B$6,I402-1,0)))-SEARCH("]",CELL("adresse",OFFSET(DMAV_Doku!$B$6,I402-1,0)))),"ModDoc"))</f>
        <v>ModDoc</v>
      </c>
      <c r="G402" s="150" t="str">
        <f t="shared" si="12"/>
        <v>MBB9</v>
      </c>
      <c r="H402" s="150">
        <f t="shared" si="13"/>
        <v>0</v>
      </c>
      <c r="I402" s="150">
        <f>IF(_xlfn.XLOOKUP(G402,Korrelation!$A$4:$A$723,Korrelation!$B$4:$B$723,0,0)=0,0,MATCH(_xlfn.XLOOKUP(G402,Korrelation!$A$4:$A$723,Korrelation!$B$4:$B$723,0,0),DMAV_Doku!$H$6:$H$483,0))</f>
        <v>228</v>
      </c>
      <c r="J402" s="158"/>
      <c r="K402" s="161"/>
      <c r="L402" s="161"/>
      <c r="M402" s="158"/>
      <c r="N402" s="51" t="s">
        <v>4354</v>
      </c>
      <c r="O402" s="51" t="s">
        <v>3870</v>
      </c>
      <c r="P402" s="51" t="s">
        <v>19</v>
      </c>
      <c r="Q402" s="51" t="s">
        <v>927</v>
      </c>
      <c r="R402" s="51" t="s">
        <v>344</v>
      </c>
      <c r="W402" s="52" t="s">
        <v>1101</v>
      </c>
      <c r="AB402" s="51" t="s">
        <v>4355</v>
      </c>
      <c r="AC402" s="51" t="s">
        <v>3873</v>
      </c>
      <c r="AD402" s="51" t="s">
        <v>821</v>
      </c>
      <c r="AE402" s="51" t="s">
        <v>927</v>
      </c>
      <c r="AF402" s="51" t="s">
        <v>812</v>
      </c>
      <c r="AK402" s="52" t="s">
        <v>2516</v>
      </c>
      <c r="AP402" s="51" t="s">
        <v>4356</v>
      </c>
      <c r="AQ402" s="51" t="s">
        <v>3876</v>
      </c>
      <c r="AR402" s="51" t="s">
        <v>4357</v>
      </c>
      <c r="AS402" s="51" t="s">
        <v>927</v>
      </c>
      <c r="AT402" s="51" t="s">
        <v>4358</v>
      </c>
      <c r="AY402" s="52" t="s">
        <v>2515</v>
      </c>
    </row>
    <row r="403" spans="1:51" x14ac:dyDescent="0.25">
      <c r="A403" s="51" t="s">
        <v>3809</v>
      </c>
      <c r="B403" s="51">
        <v>10</v>
      </c>
      <c r="E403" s="54" t="str" cm="1">
        <f t="array" aca="1" ref="E403" ca="1">IF(H403=0,"",HYPERLINK("#"&amp;RIGHT(CELL("dateiname"),LEN(CELL("dateiname"))-FIND("]",CELL("dateiname")))&amp;"!"&amp;CELL("adresse",OFFSET($Q$6,H403-1,0)),"Definition"))</f>
        <v/>
      </c>
      <c r="F403" s="54" t="str" cm="1">
        <f t="array" aca="1" ref="F403" ca="1">IF(I403=0,"",HYPERLINK("#"&amp;RIGHT(CELL("adresse",OFFSET(DMAV_Doku!$B$6,I403-1,0)),LEN(CELL("adresse",OFFSET(DMAV_Doku!$B$6,I403-1,0)))-SEARCH("]",CELL("adresse",OFFSET(DMAV_Doku!$B$6,I403-1,0)))),"ModDoc"))</f>
        <v>ModDoc</v>
      </c>
      <c r="G403" s="150" t="str">
        <f t="shared" si="12"/>
        <v>MBB10</v>
      </c>
      <c r="H403" s="150">
        <f t="shared" si="13"/>
        <v>0</v>
      </c>
      <c r="I403" s="150">
        <f>IF(_xlfn.XLOOKUP(G403,Korrelation!$A$4:$A$723,Korrelation!$B$4:$B$723,0,0)=0,0,MATCH(_xlfn.XLOOKUP(G403,Korrelation!$A$4:$A$723,Korrelation!$B$4:$B$723,0,0),DMAV_Doku!$H$6:$H$483,0))</f>
        <v>229</v>
      </c>
      <c r="J403" s="158"/>
      <c r="K403" s="161"/>
      <c r="L403" s="161"/>
      <c r="M403" s="158"/>
      <c r="N403" s="51" t="s">
        <v>4354</v>
      </c>
      <c r="O403" s="51" t="s">
        <v>3870</v>
      </c>
      <c r="P403" s="51" t="s">
        <v>19</v>
      </c>
      <c r="Q403" s="51" t="s">
        <v>927</v>
      </c>
      <c r="R403" s="51" t="s">
        <v>344</v>
      </c>
      <c r="W403" s="52" t="s">
        <v>1102</v>
      </c>
      <c r="AB403" s="51" t="s">
        <v>4355</v>
      </c>
      <c r="AC403" s="51" t="s">
        <v>3873</v>
      </c>
      <c r="AD403" s="51" t="s">
        <v>821</v>
      </c>
      <c r="AE403" s="51" t="s">
        <v>927</v>
      </c>
      <c r="AF403" s="51" t="s">
        <v>812</v>
      </c>
      <c r="AK403" s="52" t="s">
        <v>2514</v>
      </c>
      <c r="AP403" s="51" t="s">
        <v>4356</v>
      </c>
      <c r="AQ403" s="51" t="s">
        <v>3876</v>
      </c>
      <c r="AR403" s="51" t="s">
        <v>4357</v>
      </c>
      <c r="AS403" s="51" t="s">
        <v>927</v>
      </c>
      <c r="AT403" s="51" t="s">
        <v>4358</v>
      </c>
      <c r="AY403" s="52" t="s">
        <v>2513</v>
      </c>
    </row>
    <row r="404" spans="1:51" x14ac:dyDescent="0.25">
      <c r="A404" s="51" t="s">
        <v>3809</v>
      </c>
      <c r="B404" s="51">
        <v>11</v>
      </c>
      <c r="E404" s="54" t="str" cm="1">
        <f t="array" aca="1" ref="E404" ca="1">IF(H404=0,"",HYPERLINK("#"&amp;RIGHT(CELL("dateiname"),LEN(CELL("dateiname"))-FIND("]",CELL("dateiname")))&amp;"!"&amp;CELL("adresse",OFFSET($Q$6,H404-1,0)),"Definition"))</f>
        <v/>
      </c>
      <c r="F404" s="54" t="str" cm="1">
        <f t="array" aca="1" ref="F404" ca="1">IF(I404=0,"",HYPERLINK("#"&amp;RIGHT(CELL("adresse",OFFSET(DMAV_Doku!$B$6,I404-1,0)),LEN(CELL("adresse",OFFSET(DMAV_Doku!$B$6,I404-1,0)))-SEARCH("]",CELL("adresse",OFFSET(DMAV_Doku!$B$6,I404-1,0)))),"ModDoc"))</f>
        <v>ModDoc</v>
      </c>
      <c r="G404" s="150" t="str">
        <f t="shared" si="12"/>
        <v>MBB11</v>
      </c>
      <c r="H404" s="150">
        <f t="shared" si="13"/>
        <v>0</v>
      </c>
      <c r="I404" s="150">
        <f>IF(_xlfn.XLOOKUP(G404,Korrelation!$A$4:$A$723,Korrelation!$B$4:$B$723,0,0)=0,0,MATCH(_xlfn.XLOOKUP(G404,Korrelation!$A$4:$A$723,Korrelation!$B$4:$B$723,0,0),DMAV_Doku!$H$6:$H$483,0))</f>
        <v>230</v>
      </c>
      <c r="J404" s="158"/>
      <c r="K404" s="161"/>
      <c r="L404" s="161"/>
      <c r="M404" s="158"/>
      <c r="N404" s="51" t="s">
        <v>4354</v>
      </c>
      <c r="O404" s="51" t="s">
        <v>3870</v>
      </c>
      <c r="P404" s="51" t="s">
        <v>19</v>
      </c>
      <c r="Q404" s="51" t="s">
        <v>927</v>
      </c>
      <c r="R404" s="51" t="s">
        <v>344</v>
      </c>
      <c r="W404" s="52" t="s">
        <v>1103</v>
      </c>
      <c r="AB404" s="51" t="s">
        <v>4355</v>
      </c>
      <c r="AC404" s="51" t="s">
        <v>3873</v>
      </c>
      <c r="AD404" s="51" t="s">
        <v>821</v>
      </c>
      <c r="AE404" s="51" t="s">
        <v>927</v>
      </c>
      <c r="AF404" s="51" t="s">
        <v>812</v>
      </c>
      <c r="AK404" s="52" t="s">
        <v>2512</v>
      </c>
      <c r="AP404" s="51" t="s">
        <v>4356</v>
      </c>
      <c r="AQ404" s="51" t="s">
        <v>3876</v>
      </c>
      <c r="AR404" s="51" t="s">
        <v>4357</v>
      </c>
      <c r="AS404" s="51" t="s">
        <v>927</v>
      </c>
      <c r="AT404" s="51" t="s">
        <v>4358</v>
      </c>
      <c r="AY404" s="52" t="s">
        <v>2511</v>
      </c>
    </row>
    <row r="405" spans="1:51" x14ac:dyDescent="0.25">
      <c r="A405" s="51" t="s">
        <v>3809</v>
      </c>
      <c r="B405" s="51">
        <v>12</v>
      </c>
      <c r="E405" s="54" t="str" cm="1">
        <f t="array" aca="1" ref="E405" ca="1">IF(H405=0,"",HYPERLINK("#"&amp;RIGHT(CELL("dateiname"),LEN(CELL("dateiname"))-FIND("]",CELL("dateiname")))&amp;"!"&amp;CELL("adresse",OFFSET($Q$6,H405-1,0)),"Definition"))</f>
        <v/>
      </c>
      <c r="F405" s="54" t="str" cm="1">
        <f t="array" aca="1" ref="F405" ca="1">IF(I405=0,"",HYPERLINK("#"&amp;RIGHT(CELL("adresse",OFFSET(DMAV_Doku!$B$6,I405-1,0)),LEN(CELL("adresse",OFFSET(DMAV_Doku!$B$6,I405-1,0)))-SEARCH("]",CELL("adresse",OFFSET(DMAV_Doku!$B$6,I405-1,0)))),"ModDoc"))</f>
        <v>ModDoc</v>
      </c>
      <c r="G405" s="150" t="str">
        <f t="shared" si="12"/>
        <v>MBB12</v>
      </c>
      <c r="H405" s="150">
        <f t="shared" si="13"/>
        <v>0</v>
      </c>
      <c r="I405" s="150">
        <f>IF(_xlfn.XLOOKUP(G405,Korrelation!$A$4:$A$723,Korrelation!$B$4:$B$723,0,0)=0,0,MATCH(_xlfn.XLOOKUP(G405,Korrelation!$A$4:$A$723,Korrelation!$B$4:$B$723,0,0),DMAV_Doku!$H$6:$H$483,0))</f>
        <v>231</v>
      </c>
      <c r="J405" s="158"/>
      <c r="K405" s="161"/>
      <c r="L405" s="161"/>
      <c r="M405" s="158"/>
      <c r="N405" s="51" t="s">
        <v>4354</v>
      </c>
      <c r="O405" s="51" t="s">
        <v>3870</v>
      </c>
      <c r="P405" s="51" t="s">
        <v>19</v>
      </c>
      <c r="Q405" s="51" t="s">
        <v>927</v>
      </c>
      <c r="R405" s="51" t="s">
        <v>344</v>
      </c>
      <c r="W405" s="52" t="s">
        <v>1104</v>
      </c>
      <c r="AB405" s="51" t="s">
        <v>4355</v>
      </c>
      <c r="AC405" s="51" t="s">
        <v>3873</v>
      </c>
      <c r="AD405" s="51" t="s">
        <v>821</v>
      </c>
      <c r="AE405" s="51" t="s">
        <v>927</v>
      </c>
      <c r="AF405" s="51" t="s">
        <v>812</v>
      </c>
      <c r="AK405" s="52" t="s">
        <v>2510</v>
      </c>
      <c r="AP405" s="51" t="s">
        <v>4356</v>
      </c>
      <c r="AQ405" s="51" t="s">
        <v>3876</v>
      </c>
      <c r="AR405" s="51" t="s">
        <v>4357</v>
      </c>
      <c r="AS405" s="51" t="s">
        <v>927</v>
      </c>
      <c r="AT405" s="51" t="s">
        <v>4358</v>
      </c>
      <c r="AY405" s="52" t="s">
        <v>2509</v>
      </c>
    </row>
    <row r="406" spans="1:51" x14ac:dyDescent="0.25">
      <c r="A406" s="51" t="s">
        <v>3809</v>
      </c>
      <c r="B406" s="51">
        <v>13</v>
      </c>
      <c r="E406" s="54" t="str" cm="1">
        <f t="array" aca="1" ref="E406" ca="1">IF(H406=0,"",HYPERLINK("#"&amp;RIGHT(CELL("dateiname"),LEN(CELL("dateiname"))-FIND("]",CELL("dateiname")))&amp;"!"&amp;CELL("adresse",OFFSET($Q$6,H406-1,0)),"Definition"))</f>
        <v/>
      </c>
      <c r="F406" s="54" t="str" cm="1">
        <f t="array" aca="1" ref="F406" ca="1">IF(I406=0,"",HYPERLINK("#"&amp;RIGHT(CELL("adresse",OFFSET(DMAV_Doku!$B$6,I406-1,0)),LEN(CELL("adresse",OFFSET(DMAV_Doku!$B$6,I406-1,0)))-SEARCH("]",CELL("adresse",OFFSET(DMAV_Doku!$B$6,I406-1,0)))),"ModDoc"))</f>
        <v>ModDoc</v>
      </c>
      <c r="G406" s="150" t="str">
        <f t="shared" si="12"/>
        <v>MBB13</v>
      </c>
      <c r="H406" s="150">
        <f t="shared" si="13"/>
        <v>0</v>
      </c>
      <c r="I406" s="150">
        <f>IF(_xlfn.XLOOKUP(G406,Korrelation!$A$4:$A$723,Korrelation!$B$4:$B$723,0,0)=0,0,MATCH(_xlfn.XLOOKUP(G406,Korrelation!$A$4:$A$723,Korrelation!$B$4:$B$723,0,0),DMAV_Doku!$H$6:$H$483,0))</f>
        <v>232</v>
      </c>
      <c r="J406" s="158"/>
      <c r="K406" s="161"/>
      <c r="L406" s="161"/>
      <c r="M406" s="158"/>
      <c r="N406" s="51" t="s">
        <v>4354</v>
      </c>
      <c r="O406" s="51" t="s">
        <v>3870</v>
      </c>
      <c r="P406" s="51" t="s">
        <v>19</v>
      </c>
      <c r="Q406" s="51" t="s">
        <v>927</v>
      </c>
      <c r="R406" s="51" t="s">
        <v>344</v>
      </c>
      <c r="V406" s="55"/>
      <c r="W406" s="52" t="s">
        <v>1105</v>
      </c>
      <c r="AB406" s="51" t="s">
        <v>4355</v>
      </c>
      <c r="AC406" s="51" t="s">
        <v>3873</v>
      </c>
      <c r="AD406" s="51" t="s">
        <v>821</v>
      </c>
      <c r="AE406" s="51" t="s">
        <v>927</v>
      </c>
      <c r="AF406" s="51" t="s">
        <v>812</v>
      </c>
      <c r="AK406" s="52" t="s">
        <v>2508</v>
      </c>
      <c r="AP406" s="51" t="s">
        <v>4356</v>
      </c>
      <c r="AQ406" s="51" t="s">
        <v>3876</v>
      </c>
      <c r="AR406" s="51" t="s">
        <v>4357</v>
      </c>
      <c r="AS406" s="51" t="s">
        <v>927</v>
      </c>
      <c r="AT406" s="51" t="s">
        <v>4358</v>
      </c>
      <c r="AY406" s="52" t="s">
        <v>2507</v>
      </c>
    </row>
    <row r="407" spans="1:51" x14ac:dyDescent="0.25">
      <c r="A407" s="51" t="s">
        <v>3809</v>
      </c>
      <c r="B407" s="51">
        <v>14</v>
      </c>
      <c r="E407" s="54" t="str" cm="1">
        <f t="array" aca="1" ref="E407" ca="1">IF(H407=0,"",HYPERLINK("#"&amp;RIGHT(CELL("dateiname"),LEN(CELL("dateiname"))-FIND("]",CELL("dateiname")))&amp;"!"&amp;CELL("adresse",OFFSET($Q$6,H407-1,0)),"Definition"))</f>
        <v/>
      </c>
      <c r="F407" s="54" t="str" cm="1">
        <f t="array" aca="1" ref="F407" ca="1">IF(I407=0,"",HYPERLINK("#"&amp;RIGHT(CELL("adresse",OFFSET(DMAV_Doku!$B$6,I407-1,0)),LEN(CELL("adresse",OFFSET(DMAV_Doku!$B$6,I407-1,0)))-SEARCH("]",CELL("adresse",OFFSET(DMAV_Doku!$B$6,I407-1,0)))),"ModDoc"))</f>
        <v>ModDoc</v>
      </c>
      <c r="G407" s="150" t="str">
        <f t="shared" si="12"/>
        <v>MBB14</v>
      </c>
      <c r="H407" s="150">
        <f t="shared" si="13"/>
        <v>0</v>
      </c>
      <c r="I407" s="150">
        <f>IF(_xlfn.XLOOKUP(G407,Korrelation!$A$4:$A$723,Korrelation!$B$4:$B$723,0,0)=0,0,MATCH(_xlfn.XLOOKUP(G407,Korrelation!$A$4:$A$723,Korrelation!$B$4:$B$723,0,0),DMAV_Doku!$H$6:$H$483,0))</f>
        <v>233</v>
      </c>
      <c r="J407" s="158"/>
      <c r="K407" s="161"/>
      <c r="L407" s="161"/>
      <c r="M407" s="158"/>
      <c r="N407" s="51" t="s">
        <v>4354</v>
      </c>
      <c r="O407" s="51" t="s">
        <v>3870</v>
      </c>
      <c r="P407" s="51" t="s">
        <v>19</v>
      </c>
      <c r="Q407" s="51" t="s">
        <v>927</v>
      </c>
      <c r="R407" s="51" t="s">
        <v>344</v>
      </c>
      <c r="W407" s="52" t="s">
        <v>1106</v>
      </c>
      <c r="AB407" s="51" t="s">
        <v>4355</v>
      </c>
      <c r="AC407" s="51" t="s">
        <v>3873</v>
      </c>
      <c r="AD407" s="51" t="s">
        <v>821</v>
      </c>
      <c r="AE407" s="51" t="s">
        <v>927</v>
      </c>
      <c r="AF407" s="51" t="s">
        <v>812</v>
      </c>
      <c r="AK407" s="52" t="s">
        <v>2506</v>
      </c>
      <c r="AP407" s="51" t="s">
        <v>4356</v>
      </c>
      <c r="AQ407" s="51" t="s">
        <v>3876</v>
      </c>
      <c r="AR407" s="51" t="s">
        <v>4357</v>
      </c>
      <c r="AS407" s="51" t="s">
        <v>927</v>
      </c>
      <c r="AT407" s="51" t="s">
        <v>4358</v>
      </c>
      <c r="AY407" s="52" t="s">
        <v>2505</v>
      </c>
    </row>
    <row r="408" spans="1:51" x14ac:dyDescent="0.25">
      <c r="A408" s="51" t="s">
        <v>3809</v>
      </c>
      <c r="B408" s="51">
        <v>15</v>
      </c>
      <c r="E408" s="54" t="str" cm="1">
        <f t="array" aca="1" ref="E408" ca="1">IF(H408=0,"",HYPERLINK("#"&amp;RIGHT(CELL("dateiname"),LEN(CELL("dateiname"))-FIND("]",CELL("dateiname")))&amp;"!"&amp;CELL("adresse",OFFSET($Q$6,H408-1,0)),"Definition"))</f>
        <v/>
      </c>
      <c r="F408" s="54" t="str" cm="1">
        <f t="array" aca="1" ref="F408" ca="1">IF(I408=0,"",HYPERLINK("#"&amp;RIGHT(CELL("adresse",OFFSET(DMAV_Doku!$B$6,I408-1,0)),LEN(CELL("adresse",OFFSET(DMAV_Doku!$B$6,I408-1,0)))-SEARCH("]",CELL("adresse",OFFSET(DMAV_Doku!$B$6,I408-1,0)))),"ModDoc"))</f>
        <v>ModDoc</v>
      </c>
      <c r="G408" s="150" t="str">
        <f t="shared" si="12"/>
        <v>MBB15</v>
      </c>
      <c r="H408" s="150">
        <f t="shared" si="13"/>
        <v>0</v>
      </c>
      <c r="I408" s="150">
        <f>IF(_xlfn.XLOOKUP(G408,Korrelation!$A$4:$A$723,Korrelation!$B$4:$B$723,0,0)=0,0,MATCH(_xlfn.XLOOKUP(G408,Korrelation!$A$4:$A$723,Korrelation!$B$4:$B$723,0,0),DMAV_Doku!$H$6:$H$483,0))</f>
        <v>234</v>
      </c>
      <c r="J408" s="158"/>
      <c r="K408" s="161"/>
      <c r="L408" s="161"/>
      <c r="M408" s="158"/>
      <c r="N408" s="51" t="s">
        <v>4354</v>
      </c>
      <c r="O408" s="51" t="s">
        <v>3870</v>
      </c>
      <c r="P408" s="51" t="s">
        <v>19</v>
      </c>
      <c r="Q408" s="51" t="s">
        <v>927</v>
      </c>
      <c r="R408" s="51" t="s">
        <v>344</v>
      </c>
      <c r="W408" s="52" t="s">
        <v>1107</v>
      </c>
      <c r="AB408" s="51" t="s">
        <v>4355</v>
      </c>
      <c r="AC408" s="51" t="s">
        <v>3873</v>
      </c>
      <c r="AD408" s="51" t="s">
        <v>821</v>
      </c>
      <c r="AE408" s="51" t="s">
        <v>927</v>
      </c>
      <c r="AF408" s="51" t="s">
        <v>812</v>
      </c>
      <c r="AK408" s="52" t="s">
        <v>2504</v>
      </c>
      <c r="AP408" s="51" t="s">
        <v>4356</v>
      </c>
      <c r="AQ408" s="51" t="s">
        <v>3876</v>
      </c>
      <c r="AR408" s="51" t="s">
        <v>4357</v>
      </c>
      <c r="AS408" s="51" t="s">
        <v>927</v>
      </c>
      <c r="AT408" s="51" t="s">
        <v>4358</v>
      </c>
      <c r="AY408" s="52" t="s">
        <v>2503</v>
      </c>
    </row>
    <row r="409" spans="1:51" x14ac:dyDescent="0.25">
      <c r="A409" s="51" t="s">
        <v>3809</v>
      </c>
      <c r="B409" s="51">
        <v>16</v>
      </c>
      <c r="E409" s="54" t="str" cm="1">
        <f t="array" aca="1" ref="E409" ca="1">IF(H409=0,"",HYPERLINK("#"&amp;RIGHT(CELL("dateiname"),LEN(CELL("dateiname"))-FIND("]",CELL("dateiname")))&amp;"!"&amp;CELL("adresse",OFFSET($Q$6,H409-1,0)),"Definition"))</f>
        <v/>
      </c>
      <c r="F409" s="54" t="str" cm="1">
        <f t="array" aca="1" ref="F409" ca="1">IF(I409=0,"",HYPERLINK("#"&amp;RIGHT(CELL("adresse",OFFSET(DMAV_Doku!$B$6,I409-1,0)),LEN(CELL("adresse",OFFSET(DMAV_Doku!$B$6,I409-1,0)))-SEARCH("]",CELL("adresse",OFFSET(DMAV_Doku!$B$6,I409-1,0)))),"ModDoc"))</f>
        <v>ModDoc</v>
      </c>
      <c r="G409" s="150" t="str">
        <f t="shared" si="12"/>
        <v>MBB16</v>
      </c>
      <c r="H409" s="150">
        <f t="shared" si="13"/>
        <v>0</v>
      </c>
      <c r="I409" s="150">
        <f>IF(_xlfn.XLOOKUP(G409,Korrelation!$A$4:$A$723,Korrelation!$B$4:$B$723,0,0)=0,0,MATCH(_xlfn.XLOOKUP(G409,Korrelation!$A$4:$A$723,Korrelation!$B$4:$B$723,0,0),DMAV_Doku!$H$6:$H$483,0))</f>
        <v>235</v>
      </c>
      <c r="J409" s="158"/>
      <c r="K409" s="161"/>
      <c r="L409" s="161"/>
      <c r="M409" s="158"/>
      <c r="N409" s="51" t="s">
        <v>4354</v>
      </c>
      <c r="O409" s="51" t="s">
        <v>3870</v>
      </c>
      <c r="P409" s="51" t="s">
        <v>19</v>
      </c>
      <c r="Q409" s="51" t="s">
        <v>927</v>
      </c>
      <c r="R409" s="51" t="s">
        <v>344</v>
      </c>
      <c r="W409" s="52" t="s">
        <v>1108</v>
      </c>
      <c r="AB409" s="51" t="s">
        <v>4355</v>
      </c>
      <c r="AC409" s="51" t="s">
        <v>3873</v>
      </c>
      <c r="AD409" s="51" t="s">
        <v>821</v>
      </c>
      <c r="AE409" s="51" t="s">
        <v>927</v>
      </c>
      <c r="AF409" s="51" t="s">
        <v>812</v>
      </c>
      <c r="AK409" s="52" t="s">
        <v>2502</v>
      </c>
      <c r="AP409" s="51" t="s">
        <v>4356</v>
      </c>
      <c r="AQ409" s="51" t="s">
        <v>3876</v>
      </c>
      <c r="AR409" s="51" t="s">
        <v>4357</v>
      </c>
      <c r="AS409" s="51" t="s">
        <v>927</v>
      </c>
      <c r="AT409" s="51" t="s">
        <v>4358</v>
      </c>
      <c r="AY409" s="52" t="s">
        <v>2501</v>
      </c>
    </row>
    <row r="410" spans="1:51" x14ac:dyDescent="0.25">
      <c r="A410" s="51" t="s">
        <v>3809</v>
      </c>
      <c r="B410" s="51">
        <v>17</v>
      </c>
      <c r="E410" s="54" t="str" cm="1">
        <f t="array" aca="1" ref="E410" ca="1">IF(H410=0,"",HYPERLINK("#"&amp;RIGHT(CELL("dateiname"),LEN(CELL("dateiname"))-FIND("]",CELL("dateiname")))&amp;"!"&amp;CELL("adresse",OFFSET($Q$6,H410-1,0)),"Definition"))</f>
        <v/>
      </c>
      <c r="F410" s="54" t="str" cm="1">
        <f t="array" aca="1" ref="F410" ca="1">IF(I410=0,"",HYPERLINK("#"&amp;RIGHT(CELL("adresse",OFFSET(DMAV_Doku!$B$6,I410-1,0)),LEN(CELL("adresse",OFFSET(DMAV_Doku!$B$6,I410-1,0)))-SEARCH("]",CELL("adresse",OFFSET(DMAV_Doku!$B$6,I410-1,0)))),"ModDoc"))</f>
        <v>ModDoc</v>
      </c>
      <c r="G410" s="150" t="str">
        <f t="shared" si="12"/>
        <v>MBB17</v>
      </c>
      <c r="H410" s="150">
        <f t="shared" si="13"/>
        <v>0</v>
      </c>
      <c r="I410" s="150">
        <f>IF(_xlfn.XLOOKUP(G410,Korrelation!$A$4:$A$723,Korrelation!$B$4:$B$723,0,0)=0,0,MATCH(_xlfn.XLOOKUP(G410,Korrelation!$A$4:$A$723,Korrelation!$B$4:$B$723,0,0),DMAV_Doku!$H$6:$H$483,0))</f>
        <v>236</v>
      </c>
      <c r="J410" s="158"/>
      <c r="K410" s="161"/>
      <c r="L410" s="161"/>
      <c r="M410" s="158"/>
      <c r="N410" s="51" t="s">
        <v>4354</v>
      </c>
      <c r="O410" s="51" t="s">
        <v>3870</v>
      </c>
      <c r="P410" s="51" t="s">
        <v>19</v>
      </c>
      <c r="Q410" s="51" t="s">
        <v>927</v>
      </c>
      <c r="R410" s="51" t="s">
        <v>344</v>
      </c>
      <c r="W410" s="52" t="s">
        <v>1109</v>
      </c>
      <c r="AB410" s="51" t="s">
        <v>4355</v>
      </c>
      <c r="AC410" s="51" t="s">
        <v>3873</v>
      </c>
      <c r="AD410" s="51" t="s">
        <v>821</v>
      </c>
      <c r="AE410" s="51" t="s">
        <v>927</v>
      </c>
      <c r="AF410" s="51" t="s">
        <v>812</v>
      </c>
      <c r="AK410" s="52" t="s">
        <v>2500</v>
      </c>
      <c r="AP410" s="51" t="s">
        <v>4356</v>
      </c>
      <c r="AQ410" s="51" t="s">
        <v>3876</v>
      </c>
      <c r="AR410" s="51" t="s">
        <v>4357</v>
      </c>
      <c r="AS410" s="51" t="s">
        <v>927</v>
      </c>
      <c r="AT410" s="51" t="s">
        <v>4358</v>
      </c>
      <c r="AY410" s="52" t="s">
        <v>2499</v>
      </c>
    </row>
    <row r="411" spans="1:51" x14ac:dyDescent="0.25">
      <c r="A411" s="51" t="s">
        <v>3809</v>
      </c>
      <c r="B411" s="51">
        <v>18</v>
      </c>
      <c r="E411" s="54" t="str" cm="1">
        <f t="array" aca="1" ref="E411" ca="1">IF(H411=0,"",HYPERLINK("#"&amp;RIGHT(CELL("dateiname"),LEN(CELL("dateiname"))-FIND("]",CELL("dateiname")))&amp;"!"&amp;CELL("adresse",OFFSET($Q$6,H411-1,0)),"Definition"))</f>
        <v/>
      </c>
      <c r="F411" s="54" t="str" cm="1">
        <f t="array" aca="1" ref="F411" ca="1">IF(I411=0,"",HYPERLINK("#"&amp;RIGHT(CELL("adresse",OFFSET(DMAV_Doku!$B$6,I411-1,0)),LEN(CELL("adresse",OFFSET(DMAV_Doku!$B$6,I411-1,0)))-SEARCH("]",CELL("adresse",OFFSET(DMAV_Doku!$B$6,I411-1,0)))),"ModDoc"))</f>
        <v>ModDoc</v>
      </c>
      <c r="G411" s="150" t="str">
        <f t="shared" si="12"/>
        <v>MBB18</v>
      </c>
      <c r="H411" s="150">
        <f t="shared" si="13"/>
        <v>0</v>
      </c>
      <c r="I411" s="150">
        <f>IF(_xlfn.XLOOKUP(G411,Korrelation!$A$4:$A$723,Korrelation!$B$4:$B$723,0,0)=0,0,MATCH(_xlfn.XLOOKUP(G411,Korrelation!$A$4:$A$723,Korrelation!$B$4:$B$723,0,0),DMAV_Doku!$H$6:$H$483,0))</f>
        <v>237</v>
      </c>
      <c r="J411" s="158"/>
      <c r="K411" s="161"/>
      <c r="L411" s="161"/>
      <c r="M411" s="158"/>
      <c r="N411" s="51" t="s">
        <v>4354</v>
      </c>
      <c r="O411" s="51" t="s">
        <v>3870</v>
      </c>
      <c r="P411" s="51" t="s">
        <v>19</v>
      </c>
      <c r="Q411" s="51" t="s">
        <v>927</v>
      </c>
      <c r="R411" s="51" t="s">
        <v>344</v>
      </c>
      <c r="W411" s="52" t="s">
        <v>1110</v>
      </c>
      <c r="AB411" s="51" t="s">
        <v>4355</v>
      </c>
      <c r="AC411" s="51" t="s">
        <v>3873</v>
      </c>
      <c r="AD411" s="51" t="s">
        <v>821</v>
      </c>
      <c r="AE411" s="51" t="s">
        <v>927</v>
      </c>
      <c r="AF411" s="51" t="s">
        <v>812</v>
      </c>
      <c r="AK411" s="52" t="s">
        <v>2498</v>
      </c>
      <c r="AP411" s="51" t="s">
        <v>4356</v>
      </c>
      <c r="AQ411" s="51" t="s">
        <v>3876</v>
      </c>
      <c r="AR411" s="51" t="s">
        <v>4357</v>
      </c>
      <c r="AS411" s="51" t="s">
        <v>927</v>
      </c>
      <c r="AT411" s="51" t="s">
        <v>4358</v>
      </c>
      <c r="AY411" s="52" t="s">
        <v>2497</v>
      </c>
    </row>
    <row r="412" spans="1:51" x14ac:dyDescent="0.25">
      <c r="A412" s="51" t="s">
        <v>3809</v>
      </c>
      <c r="B412" s="51">
        <v>19</v>
      </c>
      <c r="E412" s="54" t="str" cm="1">
        <f t="array" aca="1" ref="E412" ca="1">IF(H412=0,"",HYPERLINK("#"&amp;RIGHT(CELL("dateiname"),LEN(CELL("dateiname"))-FIND("]",CELL("dateiname")))&amp;"!"&amp;CELL("adresse",OFFSET($Q$6,H412-1,0)),"Definition"))</f>
        <v/>
      </c>
      <c r="F412" s="54" t="str" cm="1">
        <f t="array" aca="1" ref="F412" ca="1">IF(I412=0,"",HYPERLINK("#"&amp;RIGHT(CELL("adresse",OFFSET(DMAV_Doku!$B$6,I412-1,0)),LEN(CELL("adresse",OFFSET(DMAV_Doku!$B$6,I412-1,0)))-SEARCH("]",CELL("adresse",OFFSET(DMAV_Doku!$B$6,I412-1,0)))),"ModDoc"))</f>
        <v>ModDoc</v>
      </c>
      <c r="G412" s="150" t="str">
        <f t="shared" si="12"/>
        <v>MBB19</v>
      </c>
      <c r="H412" s="150">
        <f t="shared" si="13"/>
        <v>0</v>
      </c>
      <c r="I412" s="150">
        <f>IF(_xlfn.XLOOKUP(G412,Korrelation!$A$4:$A$723,Korrelation!$B$4:$B$723,0,0)=0,0,MATCH(_xlfn.XLOOKUP(G412,Korrelation!$A$4:$A$723,Korrelation!$B$4:$B$723,0,0),DMAV_Doku!$H$6:$H$483,0))</f>
        <v>238</v>
      </c>
      <c r="J412" s="158"/>
      <c r="K412" s="161"/>
      <c r="L412" s="161"/>
      <c r="M412" s="158"/>
      <c r="N412" s="51" t="s">
        <v>4354</v>
      </c>
      <c r="O412" s="51" t="s">
        <v>3870</v>
      </c>
      <c r="P412" s="51" t="s">
        <v>19</v>
      </c>
      <c r="Q412" s="51" t="s">
        <v>927</v>
      </c>
      <c r="R412" s="51" t="s">
        <v>344</v>
      </c>
      <c r="W412" s="52" t="s">
        <v>1111</v>
      </c>
      <c r="AB412" s="51" t="s">
        <v>4355</v>
      </c>
      <c r="AC412" s="51" t="s">
        <v>3873</v>
      </c>
      <c r="AD412" s="51" t="s">
        <v>821</v>
      </c>
      <c r="AE412" s="51" t="s">
        <v>927</v>
      </c>
      <c r="AF412" s="51" t="s">
        <v>812</v>
      </c>
      <c r="AK412" s="52" t="s">
        <v>2496</v>
      </c>
      <c r="AP412" s="51" t="s">
        <v>4356</v>
      </c>
      <c r="AQ412" s="51" t="s">
        <v>3876</v>
      </c>
      <c r="AR412" s="51" t="s">
        <v>4357</v>
      </c>
      <c r="AS412" s="51" t="s">
        <v>927</v>
      </c>
      <c r="AT412" s="51" t="s">
        <v>4358</v>
      </c>
      <c r="AY412" s="52" t="s">
        <v>2495</v>
      </c>
    </row>
    <row r="413" spans="1:51" x14ac:dyDescent="0.25">
      <c r="A413" s="51" t="s">
        <v>3809</v>
      </c>
      <c r="B413" s="51">
        <v>20</v>
      </c>
      <c r="E413" s="54" t="str" cm="1">
        <f t="array" aca="1" ref="E413" ca="1">IF(H413=0,"",HYPERLINK("#"&amp;RIGHT(CELL("dateiname"),LEN(CELL("dateiname"))-FIND("]",CELL("dateiname")))&amp;"!"&amp;CELL("adresse",OFFSET($Q$6,H413-1,0)),"Definition"))</f>
        <v/>
      </c>
      <c r="F413" s="54" t="str" cm="1">
        <f t="array" aca="1" ref="F413" ca="1">IF(I413=0,"",HYPERLINK("#"&amp;RIGHT(CELL("adresse",OFFSET(DMAV_Doku!$B$6,I413-1,0)),LEN(CELL("adresse",OFFSET(DMAV_Doku!$B$6,I413-1,0)))-SEARCH("]",CELL("adresse",OFFSET(DMAV_Doku!$B$6,I413-1,0)))),"ModDoc"))</f>
        <v>ModDoc</v>
      </c>
      <c r="G413" s="150" t="str">
        <f t="shared" si="12"/>
        <v>MBB20</v>
      </c>
      <c r="H413" s="150">
        <f t="shared" si="13"/>
        <v>0</v>
      </c>
      <c r="I413" s="150">
        <f>IF(_xlfn.XLOOKUP(G413,Korrelation!$A$4:$A$723,Korrelation!$B$4:$B$723,0,0)=0,0,MATCH(_xlfn.XLOOKUP(G413,Korrelation!$A$4:$A$723,Korrelation!$B$4:$B$723,0,0),DMAV_Doku!$H$6:$H$483,0))</f>
        <v>239</v>
      </c>
      <c r="J413" s="158"/>
      <c r="K413" s="161"/>
      <c r="L413" s="161"/>
      <c r="M413" s="158"/>
      <c r="N413" s="51" t="s">
        <v>4354</v>
      </c>
      <c r="O413" s="51" t="s">
        <v>3870</v>
      </c>
      <c r="P413" s="51" t="s">
        <v>19</v>
      </c>
      <c r="Q413" s="51" t="s">
        <v>927</v>
      </c>
      <c r="R413" s="51" t="s">
        <v>344</v>
      </c>
      <c r="W413" s="52" t="s">
        <v>1112</v>
      </c>
      <c r="AB413" s="51" t="s">
        <v>4355</v>
      </c>
      <c r="AC413" s="51" t="s">
        <v>3873</v>
      </c>
      <c r="AD413" s="51" t="s">
        <v>821</v>
      </c>
      <c r="AE413" s="51" t="s">
        <v>927</v>
      </c>
      <c r="AF413" s="51" t="s">
        <v>812</v>
      </c>
      <c r="AK413" s="52" t="s">
        <v>2493</v>
      </c>
      <c r="AP413" s="51" t="s">
        <v>4356</v>
      </c>
      <c r="AQ413" s="51" t="s">
        <v>3876</v>
      </c>
      <c r="AR413" s="51" t="s">
        <v>4357</v>
      </c>
      <c r="AS413" s="51" t="s">
        <v>927</v>
      </c>
      <c r="AT413" s="51" t="s">
        <v>4358</v>
      </c>
      <c r="AY413" s="52" t="s">
        <v>2492</v>
      </c>
    </row>
    <row r="414" spans="1:51" x14ac:dyDescent="0.25">
      <c r="A414" s="51" t="s">
        <v>3809</v>
      </c>
      <c r="B414" s="51">
        <v>21</v>
      </c>
      <c r="E414" s="54" t="str" cm="1">
        <f t="array" aca="1" ref="E414" ca="1">IF(H414=0,"",HYPERLINK("#"&amp;RIGHT(CELL("dateiname"),LEN(CELL("dateiname"))-FIND("]",CELL("dateiname")))&amp;"!"&amp;CELL("adresse",OFFSET($Q$6,H414-1,0)),"Definition"))</f>
        <v/>
      </c>
      <c r="F414" s="54" t="str" cm="1">
        <f t="array" aca="1" ref="F414" ca="1">IF(I414=0,"",HYPERLINK("#"&amp;RIGHT(CELL("adresse",OFFSET(DMAV_Doku!$B$6,I414-1,0)),LEN(CELL("adresse",OFFSET(DMAV_Doku!$B$6,I414-1,0)))-SEARCH("]",CELL("adresse",OFFSET(DMAV_Doku!$B$6,I414-1,0)))),"ModDoc"))</f>
        <v>ModDoc</v>
      </c>
      <c r="G414" s="150" t="str">
        <f t="shared" si="12"/>
        <v>MBB21</v>
      </c>
      <c r="H414" s="150">
        <f t="shared" si="13"/>
        <v>0</v>
      </c>
      <c r="I414" s="150">
        <f>IF(_xlfn.XLOOKUP(G414,Korrelation!$A$4:$A$723,Korrelation!$B$4:$B$723,0,0)=0,0,MATCH(_xlfn.XLOOKUP(G414,Korrelation!$A$4:$A$723,Korrelation!$B$4:$B$723,0,0),DMAV_Doku!$H$6:$H$483,0))</f>
        <v>240</v>
      </c>
      <c r="J414" s="158"/>
      <c r="K414" s="161"/>
      <c r="L414" s="161"/>
      <c r="M414" s="158"/>
      <c r="N414" s="51" t="s">
        <v>4354</v>
      </c>
      <c r="O414" s="51" t="s">
        <v>3870</v>
      </c>
      <c r="P414" s="51" t="s">
        <v>19</v>
      </c>
      <c r="Q414" s="51" t="s">
        <v>927</v>
      </c>
      <c r="R414" s="51" t="s">
        <v>344</v>
      </c>
      <c r="W414" s="52" t="s">
        <v>1113</v>
      </c>
      <c r="AB414" s="51" t="s">
        <v>4355</v>
      </c>
      <c r="AC414" s="51" t="s">
        <v>3873</v>
      </c>
      <c r="AD414" s="51" t="s">
        <v>821</v>
      </c>
      <c r="AE414" s="51" t="s">
        <v>927</v>
      </c>
      <c r="AF414" s="51" t="s">
        <v>812</v>
      </c>
      <c r="AK414" s="52" t="s">
        <v>2490</v>
      </c>
      <c r="AP414" s="51" t="s">
        <v>4356</v>
      </c>
      <c r="AQ414" s="51" t="s">
        <v>3876</v>
      </c>
      <c r="AR414" s="51" t="s">
        <v>4357</v>
      </c>
      <c r="AS414" s="51" t="s">
        <v>927</v>
      </c>
      <c r="AT414" s="51" t="s">
        <v>4358</v>
      </c>
      <c r="AY414" s="52" t="s">
        <v>2489</v>
      </c>
    </row>
    <row r="415" spans="1:51" x14ac:dyDescent="0.25">
      <c r="A415" s="51" t="s">
        <v>3809</v>
      </c>
      <c r="B415" s="51">
        <v>22</v>
      </c>
      <c r="E415" s="54" t="str" cm="1">
        <f t="array" aca="1" ref="E415" ca="1">IF(H415=0,"",HYPERLINK("#"&amp;RIGHT(CELL("dateiname"),LEN(CELL("dateiname"))-FIND("]",CELL("dateiname")))&amp;"!"&amp;CELL("adresse",OFFSET($Q$6,H415-1,0)),"Definition"))</f>
        <v/>
      </c>
      <c r="F415" s="54" t="str" cm="1">
        <f t="array" aca="1" ref="F415" ca="1">IF(I415=0,"",HYPERLINK("#"&amp;RIGHT(CELL("adresse",OFFSET(DMAV_Doku!$B$6,I415-1,0)),LEN(CELL("adresse",OFFSET(DMAV_Doku!$B$6,I415-1,0)))-SEARCH("]",CELL("adresse",OFFSET(DMAV_Doku!$B$6,I415-1,0)))),"ModDoc"))</f>
        <v>ModDoc</v>
      </c>
      <c r="G415" s="150" t="str">
        <f t="shared" si="12"/>
        <v>MBB22</v>
      </c>
      <c r="H415" s="150">
        <f t="shared" si="13"/>
        <v>0</v>
      </c>
      <c r="I415" s="150">
        <f>IF(_xlfn.XLOOKUP(G415,Korrelation!$A$4:$A$723,Korrelation!$B$4:$B$723,0,0)=0,0,MATCH(_xlfn.XLOOKUP(G415,Korrelation!$A$4:$A$723,Korrelation!$B$4:$B$723,0,0),DMAV_Doku!$H$6:$H$483,0))</f>
        <v>241</v>
      </c>
      <c r="J415" s="158"/>
      <c r="K415" s="161"/>
      <c r="L415" s="161"/>
      <c r="M415" s="158"/>
      <c r="N415" s="51" t="s">
        <v>4354</v>
      </c>
      <c r="O415" s="51" t="s">
        <v>3870</v>
      </c>
      <c r="P415" s="51" t="s">
        <v>19</v>
      </c>
      <c r="Q415" s="51" t="s">
        <v>927</v>
      </c>
      <c r="R415" s="51" t="s">
        <v>344</v>
      </c>
      <c r="W415" s="52" t="s">
        <v>1114</v>
      </c>
      <c r="AB415" s="51" t="s">
        <v>4355</v>
      </c>
      <c r="AC415" s="51" t="s">
        <v>3873</v>
      </c>
      <c r="AD415" s="51" t="s">
        <v>821</v>
      </c>
      <c r="AE415" s="51" t="s">
        <v>927</v>
      </c>
      <c r="AF415" s="51" t="s">
        <v>812</v>
      </c>
      <c r="AK415" s="52" t="s">
        <v>2488</v>
      </c>
      <c r="AP415" s="51" t="s">
        <v>4356</v>
      </c>
      <c r="AQ415" s="51" t="s">
        <v>3876</v>
      </c>
      <c r="AR415" s="51" t="s">
        <v>4357</v>
      </c>
      <c r="AS415" s="51" t="s">
        <v>927</v>
      </c>
      <c r="AT415" s="51" t="s">
        <v>4358</v>
      </c>
      <c r="AY415" s="52" t="s">
        <v>2487</v>
      </c>
    </row>
    <row r="416" spans="1:51" x14ac:dyDescent="0.25">
      <c r="A416" s="51" t="s">
        <v>3809</v>
      </c>
      <c r="B416" s="51">
        <v>23</v>
      </c>
      <c r="E416" s="54" t="str" cm="1">
        <f t="array" aca="1" ref="E416" ca="1">IF(H416=0,"",HYPERLINK("#"&amp;RIGHT(CELL("dateiname"),LEN(CELL("dateiname"))-FIND("]",CELL("dateiname")))&amp;"!"&amp;CELL("adresse",OFFSET($Q$6,H416-1,0)),"Definition"))</f>
        <v/>
      </c>
      <c r="F416" s="54" t="str" cm="1">
        <f t="array" aca="1" ref="F416" ca="1">IF(I416=0,"",HYPERLINK("#"&amp;RIGHT(CELL("adresse",OFFSET(DMAV_Doku!$B$6,I416-1,0)),LEN(CELL("adresse",OFFSET(DMAV_Doku!$B$6,I416-1,0)))-SEARCH("]",CELL("adresse",OFFSET(DMAV_Doku!$B$6,I416-1,0)))),"ModDoc"))</f>
        <v>ModDoc</v>
      </c>
      <c r="G416" s="150" t="str">
        <f t="shared" si="12"/>
        <v>MBB23</v>
      </c>
      <c r="H416" s="150">
        <f t="shared" si="13"/>
        <v>0</v>
      </c>
      <c r="I416" s="150">
        <f>IF(_xlfn.XLOOKUP(G416,Korrelation!$A$4:$A$723,Korrelation!$B$4:$B$723,0,0)=0,0,MATCH(_xlfn.XLOOKUP(G416,Korrelation!$A$4:$A$723,Korrelation!$B$4:$B$723,0,0),DMAV_Doku!$H$6:$H$483,0))</f>
        <v>242</v>
      </c>
      <c r="J416" s="158"/>
      <c r="K416" s="161"/>
      <c r="L416" s="161"/>
      <c r="M416" s="158"/>
      <c r="N416" s="51" t="s">
        <v>4354</v>
      </c>
      <c r="O416" s="51" t="s">
        <v>3870</v>
      </c>
      <c r="P416" s="51" t="s">
        <v>19</v>
      </c>
      <c r="Q416" s="51" t="s">
        <v>927</v>
      </c>
      <c r="R416" s="51" t="s">
        <v>344</v>
      </c>
      <c r="V416" s="55"/>
      <c r="W416" s="52" t="s">
        <v>1115</v>
      </c>
      <c r="AB416" s="51" t="s">
        <v>4355</v>
      </c>
      <c r="AC416" s="51" t="s">
        <v>3873</v>
      </c>
      <c r="AD416" s="51" t="s">
        <v>821</v>
      </c>
      <c r="AE416" s="51" t="s">
        <v>927</v>
      </c>
      <c r="AF416" s="51" t="s">
        <v>812</v>
      </c>
      <c r="AK416" s="52" t="s">
        <v>2486</v>
      </c>
      <c r="AP416" s="51" t="s">
        <v>4356</v>
      </c>
      <c r="AQ416" s="51" t="s">
        <v>3876</v>
      </c>
      <c r="AR416" s="51" t="s">
        <v>4357</v>
      </c>
      <c r="AS416" s="51" t="s">
        <v>927</v>
      </c>
      <c r="AT416" s="51" t="s">
        <v>4358</v>
      </c>
      <c r="AY416" s="52" t="s">
        <v>2485</v>
      </c>
    </row>
    <row r="417" spans="1:54" x14ac:dyDescent="0.25">
      <c r="A417" s="51" t="s">
        <v>3809</v>
      </c>
      <c r="B417" s="51">
        <v>24</v>
      </c>
      <c r="E417" s="54" t="str" cm="1">
        <f t="array" aca="1" ref="E417" ca="1">IF(H417=0,"",HYPERLINK("#"&amp;RIGHT(CELL("dateiname"),LEN(CELL("dateiname"))-FIND("]",CELL("dateiname")))&amp;"!"&amp;CELL("adresse",OFFSET($Q$6,H417-1,0)),"Definition"))</f>
        <v/>
      </c>
      <c r="F417" s="54" t="str" cm="1">
        <f t="array" aca="1" ref="F417" ca="1">IF(I417=0,"",HYPERLINK("#"&amp;RIGHT(CELL("adresse",OFFSET(DMAV_Doku!$B$6,I417-1,0)),LEN(CELL("adresse",OFFSET(DMAV_Doku!$B$6,I417-1,0)))-SEARCH("]",CELL("adresse",OFFSET(DMAV_Doku!$B$6,I417-1,0)))),"ModDoc"))</f>
        <v>ModDoc</v>
      </c>
      <c r="G417" s="150" t="str">
        <f t="shared" si="12"/>
        <v>MBB24</v>
      </c>
      <c r="H417" s="150">
        <f t="shared" si="13"/>
        <v>0</v>
      </c>
      <c r="I417" s="150">
        <f>IF(_xlfn.XLOOKUP(G417,Korrelation!$A$4:$A$723,Korrelation!$B$4:$B$723,0,0)=0,0,MATCH(_xlfn.XLOOKUP(G417,Korrelation!$A$4:$A$723,Korrelation!$B$4:$B$723,0,0),DMAV_Doku!$H$6:$H$483,0))</f>
        <v>243</v>
      </c>
      <c r="J417" s="158"/>
      <c r="K417" s="161"/>
      <c r="L417" s="161"/>
      <c r="M417" s="158"/>
      <c r="N417" s="51" t="s">
        <v>4354</v>
      </c>
      <c r="O417" s="51" t="s">
        <v>3870</v>
      </c>
      <c r="P417" s="51" t="s">
        <v>19</v>
      </c>
      <c r="Q417" s="51" t="s">
        <v>927</v>
      </c>
      <c r="R417" s="51" t="s">
        <v>344</v>
      </c>
      <c r="W417" s="52" t="s">
        <v>1116</v>
      </c>
      <c r="AB417" s="51" t="s">
        <v>4355</v>
      </c>
      <c r="AC417" s="51" t="s">
        <v>3873</v>
      </c>
      <c r="AD417" s="51" t="s">
        <v>821</v>
      </c>
      <c r="AE417" s="51" t="s">
        <v>927</v>
      </c>
      <c r="AF417" s="51" t="s">
        <v>812</v>
      </c>
      <c r="AK417" s="52" t="s">
        <v>2484</v>
      </c>
      <c r="AP417" s="51" t="s">
        <v>4356</v>
      </c>
      <c r="AQ417" s="51" t="s">
        <v>3876</v>
      </c>
      <c r="AR417" s="51" t="s">
        <v>4357</v>
      </c>
      <c r="AS417" s="51" t="s">
        <v>927</v>
      </c>
      <c r="AT417" s="51" t="s">
        <v>4358</v>
      </c>
      <c r="AY417" s="52" t="s">
        <v>2483</v>
      </c>
    </row>
    <row r="418" spans="1:54" x14ac:dyDescent="0.25">
      <c r="A418" s="51" t="s">
        <v>3809</v>
      </c>
      <c r="B418" s="51">
        <v>25</v>
      </c>
      <c r="E418" s="54" t="str" cm="1">
        <f t="array" aca="1" ref="E418" ca="1">IF(H418=0,"",HYPERLINK("#"&amp;RIGHT(CELL("dateiname"),LEN(CELL("dateiname"))-FIND("]",CELL("dateiname")))&amp;"!"&amp;CELL("adresse",OFFSET($Q$6,H418-1,0)),"Definition"))</f>
        <v/>
      </c>
      <c r="F418" s="54" t="str" cm="1">
        <f t="array" aca="1" ref="F418" ca="1">IF(I418=0,"",HYPERLINK("#"&amp;RIGHT(CELL("adresse",OFFSET(DMAV_Doku!$B$6,I418-1,0)),LEN(CELL("adresse",OFFSET(DMAV_Doku!$B$6,I418-1,0)))-SEARCH("]",CELL("adresse",OFFSET(DMAV_Doku!$B$6,I418-1,0)))),"ModDoc"))</f>
        <v>ModDoc</v>
      </c>
      <c r="G418" s="150" t="str">
        <f t="shared" si="12"/>
        <v>MBB25</v>
      </c>
      <c r="H418" s="150">
        <f t="shared" si="13"/>
        <v>0</v>
      </c>
      <c r="I418" s="150">
        <f>IF(_xlfn.XLOOKUP(G418,Korrelation!$A$4:$A$723,Korrelation!$B$4:$B$723,0,0)=0,0,MATCH(_xlfn.XLOOKUP(G418,Korrelation!$A$4:$A$723,Korrelation!$B$4:$B$723,0,0),DMAV_Doku!$H$6:$H$483,0))</f>
        <v>244</v>
      </c>
      <c r="J418" s="158"/>
      <c r="K418" s="161"/>
      <c r="L418" s="161"/>
      <c r="M418" s="158"/>
      <c r="N418" s="51" t="s">
        <v>4354</v>
      </c>
      <c r="O418" s="51" t="s">
        <v>3870</v>
      </c>
      <c r="P418" s="51" t="s">
        <v>19</v>
      </c>
      <c r="Q418" s="51" t="s">
        <v>927</v>
      </c>
      <c r="R418" s="51" t="s">
        <v>344</v>
      </c>
      <c r="W418" s="52" t="s">
        <v>1117</v>
      </c>
      <c r="AB418" s="51" t="s">
        <v>4355</v>
      </c>
      <c r="AC418" s="51" t="s">
        <v>3873</v>
      </c>
      <c r="AD418" s="51" t="s">
        <v>821</v>
      </c>
      <c r="AE418" s="51" t="s">
        <v>927</v>
      </c>
      <c r="AF418" s="51" t="s">
        <v>812</v>
      </c>
      <c r="AK418" s="52" t="s">
        <v>2481</v>
      </c>
      <c r="AP418" s="51" t="s">
        <v>4356</v>
      </c>
      <c r="AQ418" s="51" t="s">
        <v>3876</v>
      </c>
      <c r="AR418" s="51" t="s">
        <v>4357</v>
      </c>
      <c r="AS418" s="51" t="s">
        <v>927</v>
      </c>
      <c r="AT418" s="51" t="s">
        <v>4358</v>
      </c>
      <c r="AY418" s="52" t="s">
        <v>2479</v>
      </c>
    </row>
    <row r="419" spans="1:54" x14ac:dyDescent="0.25">
      <c r="A419" s="51" t="s">
        <v>3809</v>
      </c>
      <c r="B419" s="51">
        <v>26</v>
      </c>
      <c r="E419" s="54" t="str" cm="1">
        <f t="array" aca="1" ref="E419" ca="1">IF(H419=0,"",HYPERLINK("#"&amp;RIGHT(CELL("dateiname"),LEN(CELL("dateiname"))-FIND("]",CELL("dateiname")))&amp;"!"&amp;CELL("adresse",OFFSET($Q$6,H419-1,0)),"Definition"))</f>
        <v/>
      </c>
      <c r="F419" s="54" t="str" cm="1">
        <f t="array" aca="1" ref="F419" ca="1">IF(I419=0,"",HYPERLINK("#"&amp;RIGHT(CELL("adresse",OFFSET(DMAV_Doku!$B$6,I419-1,0)),LEN(CELL("adresse",OFFSET(DMAV_Doku!$B$6,I419-1,0)))-SEARCH("]",CELL("adresse",OFFSET(DMAV_Doku!$B$6,I419-1,0)))),"ModDoc"))</f>
        <v>ModDoc</v>
      </c>
      <c r="G419" s="150" t="str">
        <f t="shared" si="12"/>
        <v>MBB26</v>
      </c>
      <c r="H419" s="150">
        <f t="shared" si="13"/>
        <v>0</v>
      </c>
      <c r="I419" s="150">
        <f>IF(_xlfn.XLOOKUP(G419,Korrelation!$A$4:$A$723,Korrelation!$B$4:$B$723,0,0)=0,0,MATCH(_xlfn.XLOOKUP(G419,Korrelation!$A$4:$A$723,Korrelation!$B$4:$B$723,0,0),DMAV_Doku!$H$6:$H$483,0))</f>
        <v>245</v>
      </c>
      <c r="J419" s="158"/>
      <c r="K419" s="161"/>
      <c r="L419" s="161"/>
      <c r="M419" s="158"/>
      <c r="N419" s="51" t="s">
        <v>4354</v>
      </c>
      <c r="O419" s="51" t="s">
        <v>3870</v>
      </c>
      <c r="P419" s="51" t="s">
        <v>19</v>
      </c>
      <c r="Q419" s="51" t="s">
        <v>927</v>
      </c>
      <c r="R419" s="51" t="s">
        <v>344</v>
      </c>
      <c r="W419" s="52" t="s">
        <v>1118</v>
      </c>
      <c r="AB419" s="51" t="s">
        <v>4355</v>
      </c>
      <c r="AC419" s="51" t="s">
        <v>3873</v>
      </c>
      <c r="AD419" s="51" t="s">
        <v>821</v>
      </c>
      <c r="AE419" s="51" t="s">
        <v>927</v>
      </c>
      <c r="AF419" s="51" t="s">
        <v>812</v>
      </c>
      <c r="AK419" s="52" t="s">
        <v>2477</v>
      </c>
      <c r="AP419" s="51" t="s">
        <v>4356</v>
      </c>
      <c r="AQ419" s="51" t="s">
        <v>3876</v>
      </c>
      <c r="AR419" s="51" t="s">
        <v>4357</v>
      </c>
      <c r="AS419" s="51" t="s">
        <v>927</v>
      </c>
      <c r="AT419" s="51" t="s">
        <v>4358</v>
      </c>
      <c r="AY419" s="52" t="s">
        <v>2476</v>
      </c>
    </row>
    <row r="420" spans="1:54" x14ac:dyDescent="0.25">
      <c r="A420" s="51" t="s">
        <v>3809</v>
      </c>
      <c r="B420" s="51">
        <v>27</v>
      </c>
      <c r="E420" s="54" t="str" cm="1">
        <f t="array" aca="1" ref="E420" ca="1">IF(H420=0,"",HYPERLINK("#"&amp;RIGHT(CELL("dateiname"),LEN(CELL("dateiname"))-FIND("]",CELL("dateiname")))&amp;"!"&amp;CELL("adresse",OFFSET($Q$6,H420-1,0)),"Definition"))</f>
        <v/>
      </c>
      <c r="F420" s="54" t="str" cm="1">
        <f t="array" aca="1" ref="F420" ca="1">IF(I420=0,"",HYPERLINK("#"&amp;RIGHT(CELL("adresse",OFFSET(DMAV_Doku!$B$6,I420-1,0)),LEN(CELL("adresse",OFFSET(DMAV_Doku!$B$6,I420-1,0)))-SEARCH("]",CELL("adresse",OFFSET(DMAV_Doku!$B$6,I420-1,0)))),"ModDoc"))</f>
        <v>ModDoc</v>
      </c>
      <c r="G420" s="150" t="str">
        <f t="shared" si="12"/>
        <v>MBB27</v>
      </c>
      <c r="H420" s="150">
        <f t="shared" si="13"/>
        <v>0</v>
      </c>
      <c r="I420" s="150">
        <f>IF(_xlfn.XLOOKUP(G420,Korrelation!$A$4:$A$723,Korrelation!$B$4:$B$723,0,0)=0,0,MATCH(_xlfn.XLOOKUP(G420,Korrelation!$A$4:$A$723,Korrelation!$B$4:$B$723,0,0),DMAV_Doku!$H$6:$H$483,0))</f>
        <v>246</v>
      </c>
      <c r="J420" s="158"/>
      <c r="K420" s="161"/>
      <c r="L420" s="161"/>
      <c r="M420" s="158"/>
      <c r="N420" s="51" t="s">
        <v>4354</v>
      </c>
      <c r="O420" s="51" t="s">
        <v>3870</v>
      </c>
      <c r="P420" s="51" t="s">
        <v>19</v>
      </c>
      <c r="Q420" s="51" t="s">
        <v>927</v>
      </c>
      <c r="R420" s="51" t="s">
        <v>344</v>
      </c>
      <c r="W420" s="52" t="s">
        <v>1119</v>
      </c>
      <c r="AB420" s="51" t="s">
        <v>4355</v>
      </c>
      <c r="AC420" s="51" t="s">
        <v>3873</v>
      </c>
      <c r="AD420" s="51" t="s">
        <v>821</v>
      </c>
      <c r="AE420" s="51" t="s">
        <v>927</v>
      </c>
      <c r="AF420" s="51" t="s">
        <v>812</v>
      </c>
      <c r="AK420" s="52" t="s">
        <v>2475</v>
      </c>
      <c r="AP420" s="51" t="s">
        <v>4356</v>
      </c>
      <c r="AQ420" s="51" t="s">
        <v>3876</v>
      </c>
      <c r="AR420" s="51" t="s">
        <v>4357</v>
      </c>
      <c r="AS420" s="51" t="s">
        <v>927</v>
      </c>
      <c r="AT420" s="51" t="s">
        <v>4358</v>
      </c>
      <c r="AY420" s="52" t="s">
        <v>2474</v>
      </c>
    </row>
    <row r="421" spans="1:54" x14ac:dyDescent="0.25">
      <c r="A421" s="51" t="s">
        <v>3809</v>
      </c>
      <c r="B421" s="51">
        <v>28</v>
      </c>
      <c r="E421" s="54" t="str" cm="1">
        <f t="array" aca="1" ref="E421" ca="1">IF(H421=0,"",HYPERLINK("#"&amp;RIGHT(CELL("dateiname"),LEN(CELL("dateiname"))-FIND("]",CELL("dateiname")))&amp;"!"&amp;CELL("adresse",OFFSET($Q$6,H421-1,0)),"Definition"))</f>
        <v/>
      </c>
      <c r="F421" s="54" t="str" cm="1">
        <f t="array" aca="1" ref="F421" ca="1">IF(I421=0,"",HYPERLINK("#"&amp;RIGHT(CELL("adresse",OFFSET(DMAV_Doku!$B$6,I421-1,0)),LEN(CELL("adresse",OFFSET(DMAV_Doku!$B$6,I421-1,0)))-SEARCH("]",CELL("adresse",OFFSET(DMAV_Doku!$B$6,I421-1,0)))),"ModDoc"))</f>
        <v>ModDoc</v>
      </c>
      <c r="G421" s="150" t="str">
        <f t="shared" si="12"/>
        <v>MBB28</v>
      </c>
      <c r="H421" s="150">
        <f t="shared" si="13"/>
        <v>0</v>
      </c>
      <c r="I421" s="150">
        <f>IF(_xlfn.XLOOKUP(G421,Korrelation!$A$4:$A$723,Korrelation!$B$4:$B$723,0,0)=0,0,MATCH(_xlfn.XLOOKUP(G421,Korrelation!$A$4:$A$723,Korrelation!$B$4:$B$723,0,0),DMAV_Doku!$H$6:$H$483,0))</f>
        <v>247</v>
      </c>
      <c r="J421" s="158"/>
      <c r="K421" s="161"/>
      <c r="L421" s="161"/>
      <c r="M421" s="158"/>
      <c r="N421" s="51" t="s">
        <v>4354</v>
      </c>
      <c r="O421" s="51" t="s">
        <v>3870</v>
      </c>
      <c r="P421" s="51" t="s">
        <v>19</v>
      </c>
      <c r="Q421" s="51" t="s">
        <v>927</v>
      </c>
      <c r="R421" s="51" t="s">
        <v>344</v>
      </c>
      <c r="W421" s="52" t="s">
        <v>1120</v>
      </c>
      <c r="AB421" s="51" t="s">
        <v>4355</v>
      </c>
      <c r="AC421" s="51" t="s">
        <v>3873</v>
      </c>
      <c r="AD421" s="51" t="s">
        <v>821</v>
      </c>
      <c r="AE421" s="51" t="s">
        <v>927</v>
      </c>
      <c r="AF421" s="51" t="s">
        <v>812</v>
      </c>
      <c r="AK421" s="52" t="s">
        <v>2473</v>
      </c>
      <c r="AP421" s="51" t="s">
        <v>4356</v>
      </c>
      <c r="AQ421" s="51" t="s">
        <v>3876</v>
      </c>
      <c r="AR421" s="51" t="s">
        <v>4357</v>
      </c>
      <c r="AS421" s="51" t="s">
        <v>927</v>
      </c>
      <c r="AT421" s="51" t="s">
        <v>4358</v>
      </c>
      <c r="AY421" s="52" t="s">
        <v>2472</v>
      </c>
    </row>
    <row r="422" spans="1:54" x14ac:dyDescent="0.25">
      <c r="A422" s="51" t="s">
        <v>3809</v>
      </c>
      <c r="B422" s="51">
        <v>29</v>
      </c>
      <c r="E422" s="54" t="str" cm="1">
        <f t="array" aca="1" ref="E422" ca="1">IF(H422=0,"",HYPERLINK("#"&amp;RIGHT(CELL("dateiname"),LEN(CELL("dateiname"))-FIND("]",CELL("dateiname")))&amp;"!"&amp;CELL("adresse",OFFSET($Q$6,H422-1,0)),"Definition"))</f>
        <v/>
      </c>
      <c r="F422" s="54" t="str" cm="1">
        <f t="array" aca="1" ref="F422" ca="1">IF(I422=0,"",HYPERLINK("#"&amp;RIGHT(CELL("adresse",OFFSET(DMAV_Doku!$B$6,I422-1,0)),LEN(CELL("adresse",OFFSET(DMAV_Doku!$B$6,I422-1,0)))-SEARCH("]",CELL("adresse",OFFSET(DMAV_Doku!$B$6,I422-1,0)))),"ModDoc"))</f>
        <v>ModDoc</v>
      </c>
      <c r="G422" s="150" t="str">
        <f t="shared" si="12"/>
        <v>MBB29</v>
      </c>
      <c r="H422" s="150">
        <f t="shared" si="13"/>
        <v>0</v>
      </c>
      <c r="I422" s="150">
        <f>IF(_xlfn.XLOOKUP(G422,Korrelation!$A$4:$A$723,Korrelation!$B$4:$B$723,0,0)=0,0,MATCH(_xlfn.XLOOKUP(G422,Korrelation!$A$4:$A$723,Korrelation!$B$4:$B$723,0,0),DMAV_Doku!$H$6:$H$483,0))</f>
        <v>248</v>
      </c>
      <c r="J422" s="158"/>
      <c r="K422" s="161"/>
      <c r="L422" s="161"/>
      <c r="M422" s="158"/>
      <c r="N422" s="51" t="s">
        <v>4354</v>
      </c>
      <c r="O422" s="51" t="s">
        <v>3870</v>
      </c>
      <c r="P422" s="51" t="s">
        <v>19</v>
      </c>
      <c r="Q422" s="51" t="s">
        <v>927</v>
      </c>
      <c r="R422" s="51" t="s">
        <v>344</v>
      </c>
      <c r="W422" s="52" t="s">
        <v>1121</v>
      </c>
      <c r="AB422" s="51" t="s">
        <v>4355</v>
      </c>
      <c r="AC422" s="51" t="s">
        <v>3873</v>
      </c>
      <c r="AD422" s="51" t="s">
        <v>821</v>
      </c>
      <c r="AE422" s="51" t="s">
        <v>927</v>
      </c>
      <c r="AF422" s="51" t="s">
        <v>812</v>
      </c>
      <c r="AK422" s="52" t="s">
        <v>2471</v>
      </c>
      <c r="AP422" s="51" t="s">
        <v>4356</v>
      </c>
      <c r="AQ422" s="51" t="s">
        <v>3876</v>
      </c>
      <c r="AR422" s="51" t="s">
        <v>4357</v>
      </c>
      <c r="AS422" s="51" t="s">
        <v>927</v>
      </c>
      <c r="AT422" s="51" t="s">
        <v>4358</v>
      </c>
      <c r="AY422" s="52" t="s">
        <v>2470</v>
      </c>
    </row>
    <row r="423" spans="1:54" x14ac:dyDescent="0.25">
      <c r="A423" s="51" t="s">
        <v>3809</v>
      </c>
      <c r="B423" s="51">
        <v>30</v>
      </c>
      <c r="E423" s="54" t="str" cm="1">
        <f t="array" aca="1" ref="E423" ca="1">IF(H423=0,"",HYPERLINK("#"&amp;RIGHT(CELL("dateiname"),LEN(CELL("dateiname"))-FIND("]",CELL("dateiname")))&amp;"!"&amp;CELL("adresse",OFFSET($Q$6,H423-1,0)),"Definition"))</f>
        <v/>
      </c>
      <c r="F423" s="54" t="str" cm="1">
        <f t="array" aca="1" ref="F423" ca="1">IF(I423=0,"",HYPERLINK("#"&amp;RIGHT(CELL("adresse",OFFSET(DMAV_Doku!$B$6,I423-1,0)),LEN(CELL("adresse",OFFSET(DMAV_Doku!$B$6,I423-1,0)))-SEARCH("]",CELL("adresse",OFFSET(DMAV_Doku!$B$6,I423-1,0)))),"ModDoc"))</f>
        <v>ModDoc</v>
      </c>
      <c r="G423" s="150" t="str">
        <f t="shared" si="12"/>
        <v>MBB30</v>
      </c>
      <c r="H423" s="150">
        <f t="shared" si="13"/>
        <v>0</v>
      </c>
      <c r="I423" s="150">
        <f>IF(_xlfn.XLOOKUP(G423,Korrelation!$A$4:$A$723,Korrelation!$B$4:$B$723,0,0)=0,0,MATCH(_xlfn.XLOOKUP(G423,Korrelation!$A$4:$A$723,Korrelation!$B$4:$B$723,0,0),DMAV_Doku!$H$6:$H$483,0))</f>
        <v>249</v>
      </c>
      <c r="J423" s="158"/>
      <c r="K423" s="161"/>
      <c r="L423" s="161"/>
      <c r="M423" s="158"/>
      <c r="N423" s="51" t="s">
        <v>4354</v>
      </c>
      <c r="O423" s="51" t="s">
        <v>3870</v>
      </c>
      <c r="P423" s="51" t="s">
        <v>19</v>
      </c>
      <c r="Q423" s="51" t="s">
        <v>927</v>
      </c>
      <c r="R423" s="51" t="s">
        <v>344</v>
      </c>
      <c r="W423" s="52" t="s">
        <v>1122</v>
      </c>
      <c r="AB423" s="51" t="s">
        <v>4355</v>
      </c>
      <c r="AC423" s="51" t="s">
        <v>3873</v>
      </c>
      <c r="AD423" s="51" t="s">
        <v>821</v>
      </c>
      <c r="AE423" s="51" t="s">
        <v>927</v>
      </c>
      <c r="AF423" s="51" t="s">
        <v>812</v>
      </c>
      <c r="AK423" s="52" t="s">
        <v>2469</v>
      </c>
      <c r="AP423" s="51" t="s">
        <v>4356</v>
      </c>
      <c r="AQ423" s="51" t="s">
        <v>3876</v>
      </c>
      <c r="AR423" s="51" t="s">
        <v>4357</v>
      </c>
      <c r="AS423" s="51" t="s">
        <v>927</v>
      </c>
      <c r="AT423" s="51" t="s">
        <v>4358</v>
      </c>
      <c r="AY423" s="52" t="s">
        <v>2468</v>
      </c>
    </row>
    <row r="424" spans="1:54" x14ac:dyDescent="0.25">
      <c r="A424" s="51" t="s">
        <v>3809</v>
      </c>
      <c r="B424" s="51">
        <v>31</v>
      </c>
      <c r="E424" s="54" t="str" cm="1">
        <f t="array" aca="1" ref="E424" ca="1">IF(H424=0,"",HYPERLINK("#"&amp;RIGHT(CELL("dateiname"),LEN(CELL("dateiname"))-FIND("]",CELL("dateiname")))&amp;"!"&amp;CELL("adresse",OFFSET($Q$6,H424-1,0)),"Definition"))</f>
        <v/>
      </c>
      <c r="F424" s="54" t="str" cm="1">
        <f t="array" aca="1" ref="F424" ca="1">IF(I424=0,"",HYPERLINK("#"&amp;RIGHT(CELL("adresse",OFFSET(DMAV_Doku!$B$6,I424-1,0)),LEN(CELL("adresse",OFFSET(DMAV_Doku!$B$6,I424-1,0)))-SEARCH("]",CELL("adresse",OFFSET(DMAV_Doku!$B$6,I424-1,0)))),"ModDoc"))</f>
        <v>ModDoc</v>
      </c>
      <c r="G424" s="150" t="str">
        <f t="shared" si="12"/>
        <v>MBB31</v>
      </c>
      <c r="H424" s="150">
        <f t="shared" si="13"/>
        <v>0</v>
      </c>
      <c r="I424" s="150">
        <f>IF(_xlfn.XLOOKUP(G424,Korrelation!$A$4:$A$723,Korrelation!$B$4:$B$723,0,0)=0,0,MATCH(_xlfn.XLOOKUP(G424,Korrelation!$A$4:$A$723,Korrelation!$B$4:$B$723,0,0),DMAV_Doku!$H$6:$H$483,0))</f>
        <v>250</v>
      </c>
      <c r="J424" s="158"/>
      <c r="K424" s="161"/>
      <c r="L424" s="161"/>
      <c r="M424" s="158"/>
      <c r="N424" s="51" t="s">
        <v>4354</v>
      </c>
      <c r="O424" s="51" t="s">
        <v>3870</v>
      </c>
      <c r="P424" s="51" t="s">
        <v>19</v>
      </c>
      <c r="Q424" s="51" t="s">
        <v>927</v>
      </c>
      <c r="R424" s="51" t="s">
        <v>344</v>
      </c>
      <c r="W424" s="52" t="s">
        <v>1123</v>
      </c>
      <c r="AB424" s="51" t="s">
        <v>4355</v>
      </c>
      <c r="AC424" s="51" t="s">
        <v>3873</v>
      </c>
      <c r="AD424" s="51" t="s">
        <v>821</v>
      </c>
      <c r="AE424" s="51" t="s">
        <v>927</v>
      </c>
      <c r="AF424" s="51" t="s">
        <v>812</v>
      </c>
      <c r="AK424" s="52" t="s">
        <v>2467</v>
      </c>
      <c r="AP424" s="51" t="s">
        <v>4356</v>
      </c>
      <c r="AQ424" s="51" t="s">
        <v>3876</v>
      </c>
      <c r="AR424" s="51" t="s">
        <v>4357</v>
      </c>
      <c r="AS424" s="51" t="s">
        <v>927</v>
      </c>
      <c r="AT424" s="51" t="s">
        <v>4358</v>
      </c>
      <c r="AY424" s="52" t="s">
        <v>2466</v>
      </c>
    </row>
    <row r="425" spans="1:54" x14ac:dyDescent="0.25">
      <c r="A425" s="51" t="s">
        <v>3809</v>
      </c>
      <c r="B425" s="51">
        <v>32</v>
      </c>
      <c r="D425" s="51" t="s">
        <v>3524</v>
      </c>
      <c r="E425" s="54" t="str" cm="1">
        <f t="array" aca="1" ref="E425" ca="1">IF(H425=0,"",HYPERLINK("#"&amp;RIGHT(CELL("dateiname"),LEN(CELL("dateiname"))-FIND("]",CELL("dateiname")))&amp;"!"&amp;CELL("adresse",OFFSET($Q$6,H425-1,0)),"Definition"))</f>
        <v/>
      </c>
      <c r="F425" s="54" t="str" cm="1">
        <f t="array" aca="1" ref="F425" ca="1">IF(I425=0,"",HYPERLINK("#"&amp;RIGHT(CELL("adresse",OFFSET(DMAV_Doku!$B$6,I425-1,0)),LEN(CELL("adresse",OFFSET(DMAV_Doku!$B$6,I425-1,0)))-SEARCH("]",CELL("adresse",OFFSET(DMAV_Doku!$B$6,I425-1,0)))),"ModDoc"))</f>
        <v>ModDoc</v>
      </c>
      <c r="G425" s="150" t="str">
        <f t="shared" si="12"/>
        <v>MBB32</v>
      </c>
      <c r="H425" s="150">
        <f t="shared" si="13"/>
        <v>0</v>
      </c>
      <c r="I425" s="150">
        <f>IF(_xlfn.XLOOKUP(G425,Korrelation!$A$4:$A$723,Korrelation!$B$4:$B$723,0,0)=0,0,MATCH(_xlfn.XLOOKUP(G425,Korrelation!$A$4:$A$723,Korrelation!$B$4:$B$723,0,0),DMAV_Doku!$H$6:$H$483,0))</f>
        <v>258</v>
      </c>
      <c r="J425" s="158"/>
      <c r="K425" s="161"/>
      <c r="L425" s="161"/>
      <c r="M425" s="158"/>
      <c r="N425" s="51" t="s">
        <v>4354</v>
      </c>
      <c r="O425" s="51" t="s">
        <v>3870</v>
      </c>
      <c r="P425" s="51" t="s">
        <v>19</v>
      </c>
      <c r="Q425" s="51" t="s">
        <v>949</v>
      </c>
      <c r="R425" s="51" t="s">
        <v>406</v>
      </c>
      <c r="S425" s="50" t="s">
        <v>950</v>
      </c>
      <c r="T425" s="51" t="s">
        <v>959</v>
      </c>
      <c r="U425" s="52" t="s">
        <v>96</v>
      </c>
      <c r="W425" s="52" t="s">
        <v>951</v>
      </c>
      <c r="Z425" s="200" t="s">
        <v>6006</v>
      </c>
      <c r="AB425" s="51" t="s">
        <v>4355</v>
      </c>
      <c r="AC425" s="51" t="s">
        <v>3873</v>
      </c>
      <c r="AD425" s="51" t="s">
        <v>821</v>
      </c>
      <c r="AE425" s="51" t="s">
        <v>949</v>
      </c>
      <c r="AF425" s="51" t="s">
        <v>820</v>
      </c>
      <c r="AG425" s="50" t="s">
        <v>950</v>
      </c>
      <c r="AH425" s="51" t="s">
        <v>959</v>
      </c>
      <c r="AI425" s="52" t="s">
        <v>733</v>
      </c>
      <c r="AK425" s="52" t="s">
        <v>951</v>
      </c>
      <c r="AN425" s="52" t="s">
        <v>6008</v>
      </c>
      <c r="AP425" s="51" t="s">
        <v>4356</v>
      </c>
      <c r="AQ425" s="51" t="s">
        <v>3876</v>
      </c>
      <c r="AR425" s="51" t="s">
        <v>4357</v>
      </c>
      <c r="AS425" s="51" t="s">
        <v>949</v>
      </c>
      <c r="AT425" s="51" t="s">
        <v>4359</v>
      </c>
      <c r="AU425" s="50" t="s">
        <v>950</v>
      </c>
      <c r="AV425" s="51" t="s">
        <v>959</v>
      </c>
      <c r="AW425" s="52" t="s">
        <v>1378</v>
      </c>
      <c r="AY425" s="52" t="s">
        <v>951</v>
      </c>
      <c r="BB425" s="52" t="s">
        <v>6009</v>
      </c>
    </row>
    <row r="426" spans="1:54" x14ac:dyDescent="0.25">
      <c r="A426" s="51" t="s">
        <v>3809</v>
      </c>
      <c r="B426" s="51">
        <v>33</v>
      </c>
      <c r="D426" s="51" t="s">
        <v>3524</v>
      </c>
      <c r="E426" s="54" t="str" cm="1">
        <f t="array" aca="1" ref="E426" ca="1">IF(H426=0,"",HYPERLINK("#"&amp;RIGHT(CELL("dateiname"),LEN(CELL("dateiname"))-FIND("]",CELL("dateiname")))&amp;"!"&amp;CELL("adresse",OFFSET($Q$6,H426-1,0)),"Definition"))</f>
        <v/>
      </c>
      <c r="F426" s="54" t="str" cm="1">
        <f t="array" aca="1" ref="F426" ca="1">IF(I426=0,"",HYPERLINK("#"&amp;RIGHT(CELL("adresse",OFFSET(DMAV_Doku!$B$6,I426-1,0)),LEN(CELL("adresse",OFFSET(DMAV_Doku!$B$6,I426-1,0)))-SEARCH("]",CELL("adresse",OFFSET(DMAV_Doku!$B$6,I426-1,0)))),"ModDoc"))</f>
        <v>ModDoc</v>
      </c>
      <c r="G426" s="150" t="str">
        <f t="shared" si="12"/>
        <v>MBB33</v>
      </c>
      <c r="H426" s="150">
        <f t="shared" si="13"/>
        <v>0</v>
      </c>
      <c r="I426" s="150">
        <f>IF(_xlfn.XLOOKUP(G426,Korrelation!$A$4:$A$723,Korrelation!$B$4:$B$723,0,0)=0,0,MATCH(_xlfn.XLOOKUP(G426,Korrelation!$A$4:$A$723,Korrelation!$B$4:$B$723,0,0),DMAV_Doku!$H$6:$H$483,0))</f>
        <v>259</v>
      </c>
      <c r="J426" s="158"/>
      <c r="K426" s="161"/>
      <c r="L426" s="161"/>
      <c r="M426" s="158"/>
      <c r="N426" s="51" t="s">
        <v>4354</v>
      </c>
      <c r="O426" s="51" t="s">
        <v>3870</v>
      </c>
      <c r="P426" s="51" t="s">
        <v>19</v>
      </c>
      <c r="Q426" s="51" t="s">
        <v>949</v>
      </c>
      <c r="R426" s="51" t="s">
        <v>406</v>
      </c>
      <c r="S426" s="50" t="s">
        <v>950</v>
      </c>
      <c r="T426" s="51" t="s">
        <v>959</v>
      </c>
      <c r="U426" s="52" t="s">
        <v>99</v>
      </c>
      <c r="W426" s="52" t="s">
        <v>951</v>
      </c>
      <c r="Y426" s="52" t="s">
        <v>1599</v>
      </c>
      <c r="Z426" s="200" t="s">
        <v>6006</v>
      </c>
      <c r="AB426" s="51" t="s">
        <v>4355</v>
      </c>
      <c r="AC426" s="51" t="s">
        <v>3873</v>
      </c>
      <c r="AD426" s="51" t="s">
        <v>821</v>
      </c>
      <c r="AE426" s="51" t="s">
        <v>949</v>
      </c>
      <c r="AF426" s="51" t="s">
        <v>820</v>
      </c>
      <c r="AG426" s="50" t="s">
        <v>950</v>
      </c>
      <c r="AH426" s="51" t="s">
        <v>959</v>
      </c>
      <c r="AI426" s="52" t="s">
        <v>734</v>
      </c>
      <c r="AK426" s="52" t="s">
        <v>951</v>
      </c>
      <c r="AN426" s="52" t="s">
        <v>6008</v>
      </c>
      <c r="AP426" s="51" t="s">
        <v>4356</v>
      </c>
      <c r="AQ426" s="51" t="s">
        <v>3876</v>
      </c>
      <c r="AR426" s="51" t="s">
        <v>4357</v>
      </c>
      <c r="AS426" s="51" t="s">
        <v>949</v>
      </c>
      <c r="AT426" s="51" t="s">
        <v>4359</v>
      </c>
      <c r="AU426" s="50" t="s">
        <v>950</v>
      </c>
      <c r="AV426" s="51" t="s">
        <v>959</v>
      </c>
      <c r="AW426" s="52" t="s">
        <v>1376</v>
      </c>
      <c r="AY426" s="52" t="s">
        <v>951</v>
      </c>
      <c r="BB426" s="52" t="s">
        <v>6009</v>
      </c>
    </row>
    <row r="427" spans="1:54" x14ac:dyDescent="0.25">
      <c r="A427" s="51" t="s">
        <v>3809</v>
      </c>
      <c r="B427" s="51">
        <v>34</v>
      </c>
      <c r="E427" s="54" t="str" cm="1">
        <f t="array" aca="1" ref="E427" ca="1">IF(H427=0,"",HYPERLINK("#"&amp;RIGHT(CELL("dateiname"),LEN(CELL("dateiname"))-FIND("]",CELL("dateiname")))&amp;"!"&amp;CELL("adresse",OFFSET($Q$6,H427-1,0)),"Definition"))</f>
        <v/>
      </c>
      <c r="F427" s="54" t="str" cm="1">
        <f t="array" aca="1" ref="F427" ca="1">IF(I427=0,"",HYPERLINK("#"&amp;RIGHT(CELL("adresse",OFFSET(DMAV_Doku!$B$6,I427-1,0)),LEN(CELL("adresse",OFFSET(DMAV_Doku!$B$6,I427-1,0)))-SEARCH("]",CELL("adresse",OFFSET(DMAV_Doku!$B$6,I427-1,0)))),"ModDoc"))</f>
        <v>ModDoc</v>
      </c>
      <c r="G427" s="150" t="str">
        <f t="shared" si="12"/>
        <v>MBB34</v>
      </c>
      <c r="H427" s="150">
        <f t="shared" si="13"/>
        <v>0</v>
      </c>
      <c r="I427" s="150">
        <f>IF(_xlfn.XLOOKUP(G427,Korrelation!$A$4:$A$723,Korrelation!$B$4:$B$723,0,0)=0,0,MATCH(_xlfn.XLOOKUP(G427,Korrelation!$A$4:$A$723,Korrelation!$B$4:$B$723,0,0),DMAV_Doku!$H$6:$H$483,0))</f>
        <v>260</v>
      </c>
      <c r="J427" s="158"/>
      <c r="K427" s="161"/>
      <c r="L427" s="161"/>
      <c r="M427" s="158"/>
      <c r="N427" s="51" t="s">
        <v>4354</v>
      </c>
      <c r="O427" s="51" t="s">
        <v>3870</v>
      </c>
      <c r="P427" s="51" t="s">
        <v>19</v>
      </c>
      <c r="Q427" s="51" t="s">
        <v>949</v>
      </c>
      <c r="R427" s="51" t="s">
        <v>406</v>
      </c>
      <c r="S427" s="50" t="s">
        <v>950</v>
      </c>
      <c r="U427" s="52" t="s">
        <v>101</v>
      </c>
      <c r="W427" s="52" t="s">
        <v>964</v>
      </c>
      <c r="AB427" s="51" t="s">
        <v>4355</v>
      </c>
      <c r="AC427" s="51" t="s">
        <v>3873</v>
      </c>
      <c r="AD427" s="51" t="s">
        <v>821</v>
      </c>
      <c r="AE427" s="51" t="s">
        <v>949</v>
      </c>
      <c r="AF427" s="51" t="s">
        <v>820</v>
      </c>
      <c r="AG427" s="50" t="s">
        <v>950</v>
      </c>
      <c r="AI427" s="52" t="s">
        <v>735</v>
      </c>
      <c r="AK427" s="52" t="s">
        <v>964</v>
      </c>
      <c r="AP427" s="51" t="s">
        <v>4356</v>
      </c>
      <c r="AQ427" s="51" t="s">
        <v>3876</v>
      </c>
      <c r="AR427" s="51" t="s">
        <v>4357</v>
      </c>
      <c r="AS427" s="51" t="s">
        <v>949</v>
      </c>
      <c r="AT427" s="51" t="s">
        <v>4359</v>
      </c>
      <c r="AU427" s="50" t="s">
        <v>950</v>
      </c>
      <c r="AW427" s="52" t="s">
        <v>1294</v>
      </c>
      <c r="AY427" s="52" t="s">
        <v>964</v>
      </c>
    </row>
    <row r="428" spans="1:54" ht="38.25" x14ac:dyDescent="0.25">
      <c r="A428" s="51" t="s">
        <v>3809</v>
      </c>
      <c r="B428" s="51">
        <v>35</v>
      </c>
      <c r="E428" s="54" t="str" cm="1">
        <f t="array" aca="1" ref="E428" ca="1">IF(H428=0,"",HYPERLINK("#"&amp;RIGHT(CELL("dateiname"),LEN(CELL("dateiname"))-FIND("]",CELL("dateiname")))&amp;"!"&amp;CELL("adresse",OFFSET($Q$6,H428-1,0)),"Definition"))</f>
        <v/>
      </c>
      <c r="F428" s="54" t="str" cm="1">
        <f t="array" aca="1" ref="F428" ca="1">IF(I428=0,"",HYPERLINK("#"&amp;RIGHT(CELL("adresse",OFFSET(DMAV_Doku!$B$6,I428-1,0)),LEN(CELL("adresse",OFFSET(DMAV_Doku!$B$6,I428-1,0)))-SEARCH("]",CELL("adresse",OFFSET(DMAV_Doku!$B$6,I428-1,0)))),"ModDoc"))</f>
        <v>ModDoc</v>
      </c>
      <c r="G428" s="150" t="str">
        <f t="shared" si="12"/>
        <v>MBB35</v>
      </c>
      <c r="H428" s="150">
        <f t="shared" si="13"/>
        <v>0</v>
      </c>
      <c r="I428" s="150">
        <f>IF(_xlfn.XLOOKUP(G428,Korrelation!$A$4:$A$723,Korrelation!$B$4:$B$723,0,0)=0,0,MATCH(_xlfn.XLOOKUP(G428,Korrelation!$A$4:$A$723,Korrelation!$B$4:$B$723,0,0),DMAV_Doku!$H$6:$H$483,0))</f>
        <v>261</v>
      </c>
      <c r="J428" s="158"/>
      <c r="K428" s="161"/>
      <c r="L428" s="161"/>
      <c r="M428" s="158"/>
      <c r="N428" s="51" t="s">
        <v>4354</v>
      </c>
      <c r="O428" s="51" t="s">
        <v>3870</v>
      </c>
      <c r="P428" s="51" t="s">
        <v>19</v>
      </c>
      <c r="Q428" s="51" t="s">
        <v>949</v>
      </c>
      <c r="R428" s="51" t="s">
        <v>406</v>
      </c>
      <c r="U428" s="52" t="s">
        <v>104</v>
      </c>
      <c r="W428" s="52" t="s">
        <v>965</v>
      </c>
      <c r="AB428" s="51" t="s">
        <v>4355</v>
      </c>
      <c r="AC428" s="51" t="s">
        <v>3873</v>
      </c>
      <c r="AD428" s="51" t="s">
        <v>821</v>
      </c>
      <c r="AE428" s="51" t="s">
        <v>949</v>
      </c>
      <c r="AF428" s="51" t="s">
        <v>820</v>
      </c>
      <c r="AI428" s="52" t="s">
        <v>736</v>
      </c>
      <c r="AK428" s="52" t="s">
        <v>965</v>
      </c>
      <c r="AP428" s="51" t="s">
        <v>4356</v>
      </c>
      <c r="AQ428" s="51" t="s">
        <v>3876</v>
      </c>
      <c r="AR428" s="51" t="s">
        <v>4357</v>
      </c>
      <c r="AS428" s="51" t="s">
        <v>949</v>
      </c>
      <c r="AT428" s="51" t="s">
        <v>4359</v>
      </c>
      <c r="AW428" s="52" t="s">
        <v>1595</v>
      </c>
      <c r="AY428" s="52" t="s">
        <v>965</v>
      </c>
    </row>
    <row r="429" spans="1:54" x14ac:dyDescent="0.25">
      <c r="A429" s="51" t="s">
        <v>3809</v>
      </c>
      <c r="B429" s="51">
        <v>36</v>
      </c>
      <c r="E429" s="54" t="str" cm="1">
        <f t="array" aca="1" ref="E429" ca="1">IF(H429=0,"",HYPERLINK("#"&amp;RIGHT(CELL("dateiname"),LEN(CELL("dateiname"))-FIND("]",CELL("dateiname")))&amp;"!"&amp;CELL("adresse",OFFSET($Q$6,H429-1,0)),"Definition"))</f>
        <v/>
      </c>
      <c r="F429" s="54" t="str" cm="1">
        <f t="array" aca="1" ref="F429" ca="1">IF(I429=0,"",HYPERLINK("#"&amp;RIGHT(CELL("adresse",OFFSET(DMAV_Doku!$B$6,I429-1,0)),LEN(CELL("adresse",OFFSET(DMAV_Doku!$B$6,I429-1,0)))-SEARCH("]",CELL("adresse",OFFSET(DMAV_Doku!$B$6,I429-1,0)))),"ModDoc"))</f>
        <v>ModDoc</v>
      </c>
      <c r="G429" s="150" t="str">
        <f t="shared" si="12"/>
        <v>MBB36</v>
      </c>
      <c r="H429" s="150">
        <f t="shared" si="13"/>
        <v>0</v>
      </c>
      <c r="I429" s="150">
        <f>IF(_xlfn.XLOOKUP(G429,Korrelation!$A$4:$A$723,Korrelation!$B$4:$B$723,0,0)=0,0,MATCH(_xlfn.XLOOKUP(G429,Korrelation!$A$4:$A$723,Korrelation!$B$4:$B$723,0,0),DMAV_Doku!$H$6:$H$483,0))</f>
        <v>262</v>
      </c>
      <c r="J429" s="158"/>
      <c r="K429" s="161"/>
      <c r="L429" s="161"/>
      <c r="M429" s="158"/>
      <c r="N429" s="51" t="s">
        <v>4354</v>
      </c>
      <c r="O429" s="51" t="s">
        <v>3870</v>
      </c>
      <c r="P429" s="51" t="s">
        <v>19</v>
      </c>
      <c r="Q429" s="51" t="s">
        <v>949</v>
      </c>
      <c r="R429" s="51" t="s">
        <v>406</v>
      </c>
      <c r="S429" s="50" t="s">
        <v>950</v>
      </c>
      <c r="U429" s="52" t="s">
        <v>107</v>
      </c>
      <c r="W429" s="52" t="s">
        <v>966</v>
      </c>
      <c r="AB429" s="51" t="s">
        <v>4355</v>
      </c>
      <c r="AC429" s="51" t="s">
        <v>3873</v>
      </c>
      <c r="AD429" s="51" t="s">
        <v>821</v>
      </c>
      <c r="AE429" s="51" t="s">
        <v>949</v>
      </c>
      <c r="AF429" s="51" t="s">
        <v>820</v>
      </c>
      <c r="AG429" s="50" t="s">
        <v>950</v>
      </c>
      <c r="AI429" s="52" t="s">
        <v>737</v>
      </c>
      <c r="AK429" s="52" t="s">
        <v>4013</v>
      </c>
      <c r="AP429" s="51" t="s">
        <v>4356</v>
      </c>
      <c r="AQ429" s="51" t="s">
        <v>3876</v>
      </c>
      <c r="AR429" s="51" t="s">
        <v>4357</v>
      </c>
      <c r="AS429" s="51" t="s">
        <v>949</v>
      </c>
      <c r="AT429" s="51" t="s">
        <v>4359</v>
      </c>
      <c r="AU429" s="50" t="s">
        <v>950</v>
      </c>
      <c r="AW429" s="52" t="s">
        <v>4014</v>
      </c>
      <c r="AY429" s="52" t="s">
        <v>4013</v>
      </c>
    </row>
    <row r="430" spans="1:54" x14ac:dyDescent="0.25">
      <c r="A430" s="51" t="s">
        <v>3809</v>
      </c>
      <c r="B430" s="51">
        <v>37</v>
      </c>
      <c r="E430" s="54" t="str" cm="1">
        <f t="array" aca="1" ref="E430" ca="1">IF(H430=0,"",HYPERLINK("#"&amp;RIGHT(CELL("dateiname"),LEN(CELL("dateiname"))-FIND("]",CELL("dateiname")))&amp;"!"&amp;CELL("adresse",OFFSET($Q$6,H430-1,0)),"Definition"))</f>
        <v/>
      </c>
      <c r="F430" s="54" t="str" cm="1">
        <f t="array" aca="1" ref="F430" ca="1">IF(I430=0,"",HYPERLINK("#"&amp;RIGHT(CELL("adresse",OFFSET(DMAV_Doku!$B$6,I430-1,0)),LEN(CELL("adresse",OFFSET(DMAV_Doku!$B$6,I430-1,0)))-SEARCH("]",CELL("adresse",OFFSET(DMAV_Doku!$B$6,I430-1,0)))),"ModDoc"))</f>
        <v>ModDoc</v>
      </c>
      <c r="G430" s="150" t="str">
        <f t="shared" si="12"/>
        <v>MBB37</v>
      </c>
      <c r="H430" s="150">
        <f t="shared" si="13"/>
        <v>0</v>
      </c>
      <c r="I430" s="150">
        <f>IF(_xlfn.XLOOKUP(G430,Korrelation!$A$4:$A$723,Korrelation!$B$4:$B$723,0,0)=0,0,MATCH(_xlfn.XLOOKUP(G430,Korrelation!$A$4:$A$723,Korrelation!$B$4:$B$723,0,0),DMAV_Doku!$H$6:$H$483,0))</f>
        <v>254</v>
      </c>
      <c r="J430" s="158"/>
      <c r="K430" s="161"/>
      <c r="L430" s="161"/>
      <c r="M430" s="158"/>
      <c r="N430" s="51" t="s">
        <v>4354</v>
      </c>
      <c r="O430" s="51" t="s">
        <v>3870</v>
      </c>
      <c r="P430" s="51" t="s">
        <v>19</v>
      </c>
      <c r="Q430" s="51" t="s">
        <v>1067</v>
      </c>
      <c r="R430" s="51" t="s">
        <v>400</v>
      </c>
      <c r="S430" s="50" t="s">
        <v>950</v>
      </c>
      <c r="U430" s="52" t="s">
        <v>121</v>
      </c>
      <c r="W430" s="52" t="s">
        <v>951</v>
      </c>
      <c r="AB430" s="51" t="s">
        <v>4355</v>
      </c>
      <c r="AC430" s="51" t="s">
        <v>3873</v>
      </c>
      <c r="AD430" s="51" t="s">
        <v>821</v>
      </c>
      <c r="AE430" s="51" t="s">
        <v>1067</v>
      </c>
      <c r="AF430" s="51" t="s">
        <v>818</v>
      </c>
      <c r="AG430" s="50" t="s">
        <v>950</v>
      </c>
      <c r="AI430" s="52" t="s">
        <v>742</v>
      </c>
      <c r="AK430" s="52" t="s">
        <v>951</v>
      </c>
      <c r="AP430" s="51" t="s">
        <v>4356</v>
      </c>
      <c r="AQ430" s="51" t="s">
        <v>3876</v>
      </c>
      <c r="AR430" s="51" t="s">
        <v>4357</v>
      </c>
      <c r="AS430" s="51" t="s">
        <v>1067</v>
      </c>
      <c r="AT430" s="51" t="s">
        <v>4360</v>
      </c>
      <c r="AU430" s="50" t="s">
        <v>950</v>
      </c>
      <c r="AW430" s="52" t="s">
        <v>742</v>
      </c>
      <c r="AY430" s="52" t="s">
        <v>951</v>
      </c>
    </row>
    <row r="431" spans="1:54" x14ac:dyDescent="0.25">
      <c r="A431" s="51" t="s">
        <v>3809</v>
      </c>
      <c r="B431" s="51">
        <v>38</v>
      </c>
      <c r="C431" s="51" t="s">
        <v>3838</v>
      </c>
      <c r="E431" s="54" t="str" cm="1">
        <f t="array" aca="1" ref="E431" ca="1">IF(H431=0,"",HYPERLINK("#"&amp;RIGHT(CELL("dateiname"),LEN(CELL("dateiname"))-FIND("]",CELL("dateiname")))&amp;"!"&amp;CELL("adresse",OFFSET($Q$6,H431-1,0)),"Definition"))</f>
        <v>Definition</v>
      </c>
      <c r="F431" s="54" t="str" cm="1">
        <f t="array" aca="1" ref="F431" ca="1">IF(I431=0,"",HYPERLINK("#"&amp;RIGHT(CELL("adresse",OFFSET(DMAV_Doku!$B$6,I431-1,0)),LEN(CELL("adresse",OFFSET(DMAV_Doku!$B$6,I431-1,0)))-SEARCH("]",CELL("adresse",OFFSET(DMAV_Doku!$B$6,I431-1,0)))),"ModDoc"))</f>
        <v>ModDoc</v>
      </c>
      <c r="G431" s="150" t="str">
        <f t="shared" si="12"/>
        <v>MBB38</v>
      </c>
      <c r="H431" s="150">
        <f t="shared" si="13"/>
        <v>26</v>
      </c>
      <c r="I431" s="150">
        <f>IF(_xlfn.XLOOKUP(G431,Korrelation!$A$4:$A$723,Korrelation!$B$4:$B$723,0,0)=0,0,MATCH(_xlfn.XLOOKUP(G431,Korrelation!$A$4:$A$723,Korrelation!$B$4:$B$723,0,0),DMAV_Doku!$H$6:$H$483,0))</f>
        <v>255</v>
      </c>
      <c r="J431" s="158"/>
      <c r="K431" s="161"/>
      <c r="L431" s="161"/>
      <c r="M431" s="158"/>
      <c r="N431" s="51" t="s">
        <v>4354</v>
      </c>
      <c r="O431" s="51" t="s">
        <v>3870</v>
      </c>
      <c r="P431" s="51" t="s">
        <v>19</v>
      </c>
      <c r="Q431" s="51" t="s">
        <v>1067</v>
      </c>
      <c r="R431" s="51" t="s">
        <v>400</v>
      </c>
      <c r="U431" s="52" t="s">
        <v>77</v>
      </c>
      <c r="V431" s="52" t="s">
        <v>3471</v>
      </c>
      <c r="W431" s="52" t="s">
        <v>3472</v>
      </c>
      <c r="AB431" s="51" t="s">
        <v>4355</v>
      </c>
      <c r="AC431" s="51" t="s">
        <v>3873</v>
      </c>
      <c r="AD431" s="51" t="s">
        <v>821</v>
      </c>
      <c r="AE431" s="51" t="s">
        <v>1067</v>
      </c>
      <c r="AF431" s="51" t="s">
        <v>818</v>
      </c>
      <c r="AI431" s="52" t="s">
        <v>729</v>
      </c>
      <c r="AJ431" s="51" t="s">
        <v>3471</v>
      </c>
      <c r="AK431" s="52" t="s">
        <v>4036</v>
      </c>
      <c r="AP431" s="51" t="s">
        <v>4356</v>
      </c>
      <c r="AQ431" s="51" t="s">
        <v>3876</v>
      </c>
      <c r="AR431" s="51" t="s">
        <v>4357</v>
      </c>
      <c r="AS431" s="51" t="s">
        <v>1067</v>
      </c>
      <c r="AT431" s="51" t="s">
        <v>4360</v>
      </c>
      <c r="AW431" s="52" t="s">
        <v>3933</v>
      </c>
      <c r="AX431" s="51" t="s">
        <v>3471</v>
      </c>
      <c r="AY431" s="52" t="s">
        <v>4037</v>
      </c>
    </row>
    <row r="432" spans="1:54" x14ac:dyDescent="0.25">
      <c r="A432" s="51" t="s">
        <v>3809</v>
      </c>
      <c r="B432" s="51">
        <v>39</v>
      </c>
      <c r="E432" s="54" t="str" cm="1">
        <f t="array" aca="1" ref="E432" ca="1">IF(H432=0,"",HYPERLINK("#"&amp;RIGHT(CELL("dateiname"),LEN(CELL("dateiname"))-FIND("]",CELL("dateiname")))&amp;"!"&amp;CELL("adresse",OFFSET($Q$6,H432-1,0)),"Definition"))</f>
        <v/>
      </c>
      <c r="F432" s="54" t="str" cm="1">
        <f t="array" aca="1" ref="F432" ca="1">IF(I432=0,"",HYPERLINK("#"&amp;RIGHT(CELL("adresse",OFFSET(DMAV_Doku!$B$6,I432-1,0)),LEN(CELL("adresse",OFFSET(DMAV_Doku!$B$6,I432-1,0)))-SEARCH("]",CELL("adresse",OFFSET(DMAV_Doku!$B$6,I432-1,0)))),"ModDoc"))</f>
        <v>ModDoc</v>
      </c>
      <c r="G432" s="150" t="str">
        <f t="shared" si="12"/>
        <v>MBB39</v>
      </c>
      <c r="H432" s="150">
        <f t="shared" si="13"/>
        <v>0</v>
      </c>
      <c r="I432" s="150">
        <f>IF(_xlfn.XLOOKUP(G432,Korrelation!$A$4:$A$723,Korrelation!$B$4:$B$723,0,0)=0,0,MATCH(_xlfn.XLOOKUP(G432,Korrelation!$A$4:$A$723,Korrelation!$B$4:$B$723,0,0),DMAV_Doku!$H$6:$H$483,0))</f>
        <v>256</v>
      </c>
      <c r="J432" s="158"/>
      <c r="K432" s="161"/>
      <c r="L432" s="161"/>
      <c r="M432" s="158"/>
      <c r="N432" s="51" t="s">
        <v>4354</v>
      </c>
      <c r="O432" s="51" t="s">
        <v>3870</v>
      </c>
      <c r="P432" s="51" t="s">
        <v>19</v>
      </c>
      <c r="Q432" s="51" t="s">
        <v>1067</v>
      </c>
      <c r="R432" s="51" t="s">
        <v>403</v>
      </c>
      <c r="S432" s="50" t="s">
        <v>950</v>
      </c>
      <c r="U432" s="52" t="s">
        <v>5</v>
      </c>
      <c r="W432" s="52" t="s">
        <v>964</v>
      </c>
      <c r="AB432" s="51" t="s">
        <v>4355</v>
      </c>
      <c r="AC432" s="51" t="s">
        <v>3873</v>
      </c>
      <c r="AD432" s="51" t="s">
        <v>821</v>
      </c>
      <c r="AE432" s="51" t="s">
        <v>1067</v>
      </c>
      <c r="AF432" s="51" t="s">
        <v>819</v>
      </c>
      <c r="AG432" s="50" t="s">
        <v>950</v>
      </c>
      <c r="AI432" s="52" t="s">
        <v>702</v>
      </c>
      <c r="AK432" s="52" t="s">
        <v>964</v>
      </c>
      <c r="AP432" s="51" t="s">
        <v>4356</v>
      </c>
      <c r="AQ432" s="51" t="s">
        <v>3876</v>
      </c>
      <c r="AR432" s="51" t="s">
        <v>4357</v>
      </c>
      <c r="AS432" s="51" t="s">
        <v>1067</v>
      </c>
      <c r="AT432" s="51" t="s">
        <v>4361</v>
      </c>
      <c r="AU432" s="50" t="s">
        <v>950</v>
      </c>
      <c r="AW432" s="52" t="s">
        <v>1700</v>
      </c>
      <c r="AY432" s="52" t="s">
        <v>964</v>
      </c>
    </row>
    <row r="433" spans="1:54" x14ac:dyDescent="0.25">
      <c r="A433" s="51" t="s">
        <v>3809</v>
      </c>
      <c r="B433" s="51">
        <v>40</v>
      </c>
      <c r="C433" s="51" t="s">
        <v>3838</v>
      </c>
      <c r="E433" s="54" t="str" cm="1">
        <f t="array" aca="1" ref="E433" ca="1">IF(H433=0,"",HYPERLINK("#"&amp;RIGHT(CELL("dateiname"),LEN(CELL("dateiname"))-FIND("]",CELL("dateiname")))&amp;"!"&amp;CELL("adresse",OFFSET($Q$6,H433-1,0)),"Definition"))</f>
        <v>Definition</v>
      </c>
      <c r="F433" s="54" t="str" cm="1">
        <f t="array" aca="1" ref="F433" ca="1">IF(I433=0,"",HYPERLINK("#"&amp;RIGHT(CELL("adresse",OFFSET(DMAV_Doku!$B$6,I433-1,0)),LEN(CELL("adresse",OFFSET(DMAV_Doku!$B$6,I433-1,0)))-SEARCH("]",CELL("adresse",OFFSET(DMAV_Doku!$B$6,I433-1,0)))),"ModDoc"))</f>
        <v>ModDoc</v>
      </c>
      <c r="G433" s="150" t="str">
        <f t="shared" si="12"/>
        <v>MBB40</v>
      </c>
      <c r="H433" s="150">
        <f t="shared" si="13"/>
        <v>26</v>
      </c>
      <c r="I433" s="150">
        <f>IF(_xlfn.XLOOKUP(G433,Korrelation!$A$4:$A$723,Korrelation!$B$4:$B$723,0,0)=0,0,MATCH(_xlfn.XLOOKUP(G433,Korrelation!$A$4:$A$723,Korrelation!$B$4:$B$723,0,0),DMAV_Doku!$H$6:$H$483,0))</f>
        <v>257</v>
      </c>
      <c r="J433" s="158"/>
      <c r="K433" s="161"/>
      <c r="L433" s="161"/>
      <c r="M433" s="158"/>
      <c r="N433" s="51" t="s">
        <v>4354</v>
      </c>
      <c r="O433" s="51" t="s">
        <v>3870</v>
      </c>
      <c r="P433" s="51" t="s">
        <v>19</v>
      </c>
      <c r="Q433" s="51" t="s">
        <v>1067</v>
      </c>
      <c r="R433" s="51" t="s">
        <v>403</v>
      </c>
      <c r="U433" s="52" t="s">
        <v>77</v>
      </c>
      <c r="V433" s="52" t="s">
        <v>3471</v>
      </c>
      <c r="W433" s="52" t="s">
        <v>3472</v>
      </c>
      <c r="AB433" s="51" t="s">
        <v>4355</v>
      </c>
      <c r="AC433" s="51" t="s">
        <v>3873</v>
      </c>
      <c r="AD433" s="51" t="s">
        <v>821</v>
      </c>
      <c r="AE433" s="51" t="s">
        <v>1067</v>
      </c>
      <c r="AF433" s="51" t="s">
        <v>819</v>
      </c>
      <c r="AI433" s="52" t="s">
        <v>729</v>
      </c>
      <c r="AJ433" s="51" t="s">
        <v>3471</v>
      </c>
      <c r="AK433" s="52" t="s">
        <v>4036</v>
      </c>
      <c r="AP433" s="51" t="s">
        <v>4356</v>
      </c>
      <c r="AQ433" s="51" t="s">
        <v>3876</v>
      </c>
      <c r="AR433" s="51" t="s">
        <v>4357</v>
      </c>
      <c r="AS433" s="51" t="s">
        <v>1067</v>
      </c>
      <c r="AT433" s="51" t="s">
        <v>4361</v>
      </c>
      <c r="AW433" s="52" t="s">
        <v>3933</v>
      </c>
      <c r="AX433" s="51" t="s">
        <v>3471</v>
      </c>
      <c r="AY433" s="52" t="s">
        <v>4037</v>
      </c>
    </row>
    <row r="434" spans="1:54" ht="38.25" x14ac:dyDescent="0.25">
      <c r="A434" s="51" t="s">
        <v>3809</v>
      </c>
      <c r="B434" s="51">
        <v>41</v>
      </c>
      <c r="E434" s="54" t="str" cm="1">
        <f t="array" aca="1" ref="E434" ca="1">IF(H434=0,"",HYPERLINK("#"&amp;RIGHT(CELL("dateiname"),LEN(CELL("dateiname"))-FIND("]",CELL("dateiname")))&amp;"!"&amp;CELL("adresse",OFFSET($Q$6,H434-1,0)),"Definition"))</f>
        <v/>
      </c>
      <c r="F434" s="54" t="str" cm="1">
        <f t="array" aca="1" ref="F434" ca="1">IF(I434=0,"",HYPERLINK("#"&amp;RIGHT(CELL("adresse",OFFSET(DMAV_Doku!$B$6,I434-1,0)),LEN(CELL("adresse",OFFSET(DMAV_Doku!$B$6,I434-1,0)))-SEARCH("]",CELL("adresse",OFFSET(DMAV_Doku!$B$6,I434-1,0)))),"ModDoc"))</f>
        <v>ModDoc</v>
      </c>
      <c r="G434" s="150" t="str">
        <f t="shared" si="12"/>
        <v>MBB41</v>
      </c>
      <c r="H434" s="150">
        <f t="shared" si="13"/>
        <v>0</v>
      </c>
      <c r="I434" s="150">
        <f>IF(_xlfn.XLOOKUP(G434,Korrelation!$A$4:$A$723,Korrelation!$B$4:$B$723,0,0)=0,0,MATCH(_xlfn.XLOOKUP(G434,Korrelation!$A$4:$A$723,Korrelation!$B$4:$B$723,0,0),DMAV_Doku!$H$6:$H$483,0))</f>
        <v>266</v>
      </c>
      <c r="J434" s="158"/>
      <c r="K434" s="161"/>
      <c r="L434" s="161"/>
      <c r="M434" s="158"/>
      <c r="N434" s="51" t="s">
        <v>4354</v>
      </c>
      <c r="O434" s="51" t="s">
        <v>3870</v>
      </c>
      <c r="P434" s="51" t="s">
        <v>19</v>
      </c>
      <c r="Q434" s="51" t="s">
        <v>949</v>
      </c>
      <c r="R434" s="51" t="s">
        <v>19</v>
      </c>
      <c r="S434" s="50" t="s">
        <v>950</v>
      </c>
      <c r="U434" s="52" t="s">
        <v>123</v>
      </c>
      <c r="W434" s="52" t="s">
        <v>965</v>
      </c>
      <c r="AB434" s="51" t="s">
        <v>4355</v>
      </c>
      <c r="AC434" s="51" t="s">
        <v>3873</v>
      </c>
      <c r="AD434" s="51" t="s">
        <v>821</v>
      </c>
      <c r="AE434" s="51" t="s">
        <v>949</v>
      </c>
      <c r="AF434" s="51" t="s">
        <v>821</v>
      </c>
      <c r="AG434" s="50" t="s">
        <v>950</v>
      </c>
      <c r="AI434" s="52" t="s">
        <v>123</v>
      </c>
      <c r="AK434" s="52" t="s">
        <v>965</v>
      </c>
      <c r="AP434" s="51" t="s">
        <v>4356</v>
      </c>
      <c r="AQ434" s="51" t="s">
        <v>3876</v>
      </c>
      <c r="AR434" s="51" t="s">
        <v>4357</v>
      </c>
      <c r="AS434" s="51" t="s">
        <v>949</v>
      </c>
      <c r="AT434" s="51" t="s">
        <v>4357</v>
      </c>
      <c r="AU434" s="50" t="s">
        <v>950</v>
      </c>
      <c r="AW434" s="52" t="s">
        <v>1247</v>
      </c>
      <c r="AY434" s="52" t="s">
        <v>965</v>
      </c>
    </row>
    <row r="435" spans="1:54" x14ac:dyDescent="0.25">
      <c r="A435" s="51" t="s">
        <v>3809</v>
      </c>
      <c r="B435" s="51">
        <v>42</v>
      </c>
      <c r="C435" s="51" t="s">
        <v>3842</v>
      </c>
      <c r="E435" s="54" t="str" cm="1">
        <f t="array" aca="1" ref="E435" ca="1">IF(H435=0,"",HYPERLINK("#"&amp;RIGHT(CELL("dateiname"),LEN(CELL("dateiname"))-FIND("]",CELL("dateiname")))&amp;"!"&amp;CELL("adresse",OFFSET($Q$6,H435-1,0)),"Definition"))</f>
        <v>Definition</v>
      </c>
      <c r="F435" s="54" t="str" cm="1">
        <f t="array" aca="1" ref="F435" ca="1">IF(I435=0,"",HYPERLINK("#"&amp;RIGHT(CELL("adresse",OFFSET(DMAV_Doku!$B$6,I435-1,0)),LEN(CELL("adresse",OFFSET(DMAV_Doku!$B$6,I435-1,0)))-SEARCH("]",CELL("adresse",OFFSET(DMAV_Doku!$B$6,I435-1,0)))),"ModDoc"))</f>
        <v>ModDoc</v>
      </c>
      <c r="G435" s="150" t="str">
        <f t="shared" si="12"/>
        <v>MBB42</v>
      </c>
      <c r="H435" s="150">
        <f t="shared" si="13"/>
        <v>42</v>
      </c>
      <c r="I435" s="150">
        <f>IF(_xlfn.XLOOKUP(G435,Korrelation!$A$4:$A$723,Korrelation!$B$4:$B$723,0,0)=0,0,MATCH(_xlfn.XLOOKUP(G435,Korrelation!$A$4:$A$723,Korrelation!$B$4:$B$723,0,0),DMAV_Doku!$H$6:$H$483,0))</f>
        <v>265</v>
      </c>
      <c r="J435" s="158"/>
      <c r="K435" s="161"/>
      <c r="L435" s="161"/>
      <c r="M435" s="158"/>
      <c r="N435" s="51" t="s">
        <v>4354</v>
      </c>
      <c r="O435" s="51" t="s">
        <v>3870</v>
      </c>
      <c r="P435" s="51" t="s">
        <v>19</v>
      </c>
      <c r="Q435" s="51" t="s">
        <v>949</v>
      </c>
      <c r="R435" s="51" t="s">
        <v>19</v>
      </c>
      <c r="S435" s="50" t="s">
        <v>950</v>
      </c>
      <c r="U435" s="52" t="s">
        <v>265</v>
      </c>
      <c r="W435" s="52" t="s">
        <v>1056</v>
      </c>
      <c r="AB435" s="51" t="s">
        <v>4355</v>
      </c>
      <c r="AC435" s="51" t="s">
        <v>3873</v>
      </c>
      <c r="AD435" s="51" t="s">
        <v>821</v>
      </c>
      <c r="AE435" s="51" t="s">
        <v>949</v>
      </c>
      <c r="AF435" s="51" t="s">
        <v>821</v>
      </c>
      <c r="AG435" s="50" t="s">
        <v>950</v>
      </c>
      <c r="AI435" s="52" t="s">
        <v>711</v>
      </c>
      <c r="AK435" s="52" t="s">
        <v>4225</v>
      </c>
      <c r="AP435" s="51" t="s">
        <v>4356</v>
      </c>
      <c r="AQ435" s="51" t="s">
        <v>3876</v>
      </c>
      <c r="AR435" s="51" t="s">
        <v>4357</v>
      </c>
      <c r="AS435" s="51" t="s">
        <v>949</v>
      </c>
      <c r="AT435" s="51" t="s">
        <v>4357</v>
      </c>
      <c r="AU435" s="50" t="s">
        <v>950</v>
      </c>
      <c r="AW435" s="52" t="s">
        <v>1976</v>
      </c>
      <c r="AY435" s="52" t="s">
        <v>4226</v>
      </c>
    </row>
    <row r="436" spans="1:54" x14ac:dyDescent="0.25">
      <c r="A436" s="51" t="s">
        <v>3809</v>
      </c>
      <c r="B436" s="51">
        <v>43</v>
      </c>
      <c r="C436" s="51" t="s">
        <v>3848</v>
      </c>
      <c r="E436" s="54" t="str" cm="1">
        <f t="array" aca="1" ref="E436" ca="1">IF(H436=0,"",HYPERLINK("#"&amp;RIGHT(CELL("dateiname"),LEN(CELL("dateiname"))-FIND("]",CELL("dateiname")))&amp;"!"&amp;CELL("adresse",OFFSET($Q$6,H436-1,0)),"Definition"))</f>
        <v>Definition</v>
      </c>
      <c r="F436" s="54" t="str" cm="1">
        <f t="array" aca="1" ref="F436" ca="1">IF(I436=0,"",HYPERLINK("#"&amp;RIGHT(CELL("adresse",OFFSET(DMAV_Doku!$B$6,I436-1,0)),LEN(CELL("adresse",OFFSET(DMAV_Doku!$B$6,I436-1,0)))-SEARCH("]",CELL("adresse",OFFSET(DMAV_Doku!$B$6,I436-1,0)))),"ModDoc"))</f>
        <v>ModDoc</v>
      </c>
      <c r="G436" s="150" t="str">
        <f t="shared" si="12"/>
        <v>MBB43</v>
      </c>
      <c r="H436" s="150">
        <f t="shared" si="13"/>
        <v>394</v>
      </c>
      <c r="I436" s="150">
        <f>IF(_xlfn.XLOOKUP(G436,Korrelation!$A$4:$A$723,Korrelation!$B$4:$B$723,0,0)=0,0,MATCH(_xlfn.XLOOKUP(G436,Korrelation!$A$4:$A$723,Korrelation!$B$4:$B$723,0,0),DMAV_Doku!$H$6:$H$483,0))</f>
        <v>263</v>
      </c>
      <c r="J436" s="158"/>
      <c r="K436" s="161"/>
      <c r="L436" s="161"/>
      <c r="M436" s="158"/>
      <c r="N436" s="51" t="s">
        <v>4354</v>
      </c>
      <c r="O436" s="51" t="s">
        <v>3870</v>
      </c>
      <c r="P436" s="51" t="s">
        <v>19</v>
      </c>
      <c r="Q436" s="51" t="s">
        <v>949</v>
      </c>
      <c r="R436" s="51" t="s">
        <v>19</v>
      </c>
      <c r="U436" s="52" t="s">
        <v>344</v>
      </c>
      <c r="W436" s="52" t="s">
        <v>344</v>
      </c>
      <c r="AB436" s="51" t="s">
        <v>4355</v>
      </c>
      <c r="AC436" s="51" t="s">
        <v>3873</v>
      </c>
      <c r="AD436" s="51" t="s">
        <v>821</v>
      </c>
      <c r="AE436" s="51" t="s">
        <v>949</v>
      </c>
      <c r="AF436" s="51" t="s">
        <v>821</v>
      </c>
      <c r="AI436" s="52" t="s">
        <v>812</v>
      </c>
      <c r="AK436" s="52" t="s">
        <v>812</v>
      </c>
      <c r="AP436" s="51" t="s">
        <v>4356</v>
      </c>
      <c r="AQ436" s="51" t="s">
        <v>3876</v>
      </c>
      <c r="AR436" s="51" t="s">
        <v>4357</v>
      </c>
      <c r="AS436" s="51" t="s">
        <v>949</v>
      </c>
      <c r="AT436" s="51" t="s">
        <v>4357</v>
      </c>
      <c r="AW436" s="52" t="s">
        <v>4358</v>
      </c>
      <c r="AY436" s="52" t="s">
        <v>4358</v>
      </c>
    </row>
    <row r="437" spans="1:54" x14ac:dyDescent="0.25">
      <c r="A437" s="51" t="s">
        <v>3809</v>
      </c>
      <c r="B437" s="51">
        <v>44</v>
      </c>
      <c r="E437" s="54" t="str" cm="1">
        <f t="array" aca="1" ref="E437" ca="1">IF(H437=0,"",HYPERLINK("#"&amp;RIGHT(CELL("dateiname"),LEN(CELL("dateiname"))-FIND("]",CELL("dateiname")))&amp;"!"&amp;CELL("adresse",OFFSET($Q$6,H437-1,0)),"Definition"))</f>
        <v/>
      </c>
      <c r="F437" s="54" t="str" cm="1">
        <f t="array" aca="1" ref="F437" ca="1">IF(I437=0,"",HYPERLINK("#"&amp;RIGHT(CELL("adresse",OFFSET(DMAV_Doku!$B$6,I437-1,0)),LEN(CELL("adresse",OFFSET(DMAV_Doku!$B$6,I437-1,0)))-SEARCH("]",CELL("adresse",OFFSET(DMAV_Doku!$B$6,I437-1,0)))),"ModDoc"))</f>
        <v>ModDoc</v>
      </c>
      <c r="G437" s="150" t="str">
        <f t="shared" si="12"/>
        <v>MBB44</v>
      </c>
      <c r="H437" s="150">
        <f t="shared" si="13"/>
        <v>0</v>
      </c>
      <c r="I437" s="150">
        <f>IF(_xlfn.XLOOKUP(G437,Korrelation!$A$4:$A$723,Korrelation!$B$4:$B$723,0,0)=0,0,MATCH(_xlfn.XLOOKUP(G437,Korrelation!$A$4:$A$723,Korrelation!$B$4:$B$723,0,0),DMAV_Doku!$H$6:$H$483,0))</f>
        <v>264</v>
      </c>
      <c r="J437" s="158"/>
      <c r="K437" s="161"/>
      <c r="L437" s="161"/>
      <c r="M437" s="158"/>
      <c r="N437" s="51" t="s">
        <v>4354</v>
      </c>
      <c r="O437" s="51" t="s">
        <v>3870</v>
      </c>
      <c r="P437" s="51" t="s">
        <v>19</v>
      </c>
      <c r="Q437" s="51" t="s">
        <v>949</v>
      </c>
      <c r="R437" s="51" t="s">
        <v>19</v>
      </c>
      <c r="S437" s="50" t="s">
        <v>950</v>
      </c>
      <c r="U437" s="52" t="s">
        <v>213</v>
      </c>
      <c r="W437" s="52" t="s">
        <v>131</v>
      </c>
      <c r="AB437" s="51" t="s">
        <v>4355</v>
      </c>
      <c r="AC437" s="51" t="s">
        <v>3873</v>
      </c>
      <c r="AD437" s="51" t="s">
        <v>821</v>
      </c>
      <c r="AE437" s="51" t="s">
        <v>949</v>
      </c>
      <c r="AF437" s="51" t="s">
        <v>821</v>
      </c>
      <c r="AG437" s="50" t="s">
        <v>950</v>
      </c>
      <c r="AI437" s="52" t="s">
        <v>775</v>
      </c>
      <c r="AK437" s="52" t="s">
        <v>131</v>
      </c>
      <c r="AP437" s="51" t="s">
        <v>4356</v>
      </c>
      <c r="AQ437" s="51" t="s">
        <v>3876</v>
      </c>
      <c r="AR437" s="51" t="s">
        <v>4357</v>
      </c>
      <c r="AS437" s="51" t="s">
        <v>949</v>
      </c>
      <c r="AT437" s="51" t="s">
        <v>4357</v>
      </c>
      <c r="AU437" s="50" t="s">
        <v>950</v>
      </c>
      <c r="AW437" s="52" t="s">
        <v>4068</v>
      </c>
      <c r="AY437" s="52" t="s">
        <v>131</v>
      </c>
    </row>
    <row r="438" spans="1:54" x14ac:dyDescent="0.25">
      <c r="A438" s="51" t="s">
        <v>3809</v>
      </c>
      <c r="B438" s="51">
        <v>45</v>
      </c>
      <c r="C438" s="51" t="s">
        <v>3847</v>
      </c>
      <c r="E438" s="54" t="str" cm="1">
        <f t="array" aca="1" ref="E438" ca="1">IF(H438=0,"",HYPERLINK("#"&amp;RIGHT(CELL("dateiname"),LEN(CELL("dateiname"))-FIND("]",CELL("dateiname")))&amp;"!"&amp;CELL("adresse",OFFSET($Q$6,H438-1,0)),"Definition"))</f>
        <v>Definition</v>
      </c>
      <c r="F438" s="54" t="str" cm="1">
        <f t="array" aca="1" ref="F438" ca="1">IF(I438=0,"",HYPERLINK("#"&amp;RIGHT(CELL("adresse",OFFSET(DMAV_Doku!$B$6,I438-1,0)),LEN(CELL("adresse",OFFSET(DMAV_Doku!$B$6,I438-1,0)))-SEARCH("]",CELL("adresse",OFFSET(DMAV_Doku!$B$6,I438-1,0)))),"ModDoc"))</f>
        <v>ModDoc</v>
      </c>
      <c r="G438" s="150" t="str">
        <f t="shared" si="12"/>
        <v>MBB45</v>
      </c>
      <c r="H438" s="150">
        <f t="shared" si="13"/>
        <v>36</v>
      </c>
      <c r="I438" s="150">
        <f>IF(_xlfn.XLOOKUP(G438,Korrelation!$A$4:$A$723,Korrelation!$B$4:$B$723,0,0)=0,0,MATCH(_xlfn.XLOOKUP(G438,Korrelation!$A$4:$A$723,Korrelation!$B$4:$B$723,0,0),DMAV_Doku!$H$6:$H$483,0))</f>
        <v>267</v>
      </c>
      <c r="J438" s="158"/>
      <c r="K438" s="161"/>
      <c r="L438" s="161"/>
      <c r="M438" s="158"/>
      <c r="N438" s="51" t="s">
        <v>4354</v>
      </c>
      <c r="O438" s="51" t="s">
        <v>3870</v>
      </c>
      <c r="P438" s="51" t="s">
        <v>19</v>
      </c>
      <c r="Q438" s="51" t="s">
        <v>949</v>
      </c>
      <c r="R438" s="51" t="s">
        <v>19</v>
      </c>
      <c r="S438" s="50" t="s">
        <v>950</v>
      </c>
      <c r="U438" s="52" t="s">
        <v>393</v>
      </c>
      <c r="W438" s="52" t="s">
        <v>1124</v>
      </c>
      <c r="AB438" s="51" t="s">
        <v>4355</v>
      </c>
      <c r="AC438" s="51" t="s">
        <v>3873</v>
      </c>
      <c r="AD438" s="51" t="s">
        <v>821</v>
      </c>
      <c r="AE438" s="51" t="s">
        <v>949</v>
      </c>
      <c r="AF438" s="51" t="s">
        <v>821</v>
      </c>
      <c r="AG438" s="50" t="s">
        <v>950</v>
      </c>
      <c r="AI438" s="52" t="s">
        <v>814</v>
      </c>
      <c r="AK438" s="52" t="s">
        <v>4362</v>
      </c>
      <c r="AP438" s="51" t="s">
        <v>4356</v>
      </c>
      <c r="AQ438" s="51" t="s">
        <v>3876</v>
      </c>
      <c r="AR438" s="51" t="s">
        <v>4357</v>
      </c>
      <c r="AS438" s="51" t="s">
        <v>949</v>
      </c>
      <c r="AT438" s="51" t="s">
        <v>4357</v>
      </c>
      <c r="AU438" s="50" t="s">
        <v>950</v>
      </c>
      <c r="AW438" s="52" t="s">
        <v>3946</v>
      </c>
      <c r="AY438" s="52" t="s">
        <v>4363</v>
      </c>
    </row>
    <row r="439" spans="1:54" x14ac:dyDescent="0.25">
      <c r="A439" s="51" t="s">
        <v>3809</v>
      </c>
      <c r="B439" s="51">
        <v>46</v>
      </c>
      <c r="C439" s="51" t="s">
        <v>3849</v>
      </c>
      <c r="E439" s="54" t="str" cm="1">
        <f t="array" aca="1" ref="E439" ca="1">IF(H439=0,"",HYPERLINK("#"&amp;RIGHT(CELL("dateiname"),LEN(CELL("dateiname"))-FIND("]",CELL("dateiname")))&amp;"!"&amp;CELL("adresse",OFFSET($Q$6,H439-1,0)),"Definition"))</f>
        <v>Definition</v>
      </c>
      <c r="F439" s="54" t="str" cm="1">
        <f t="array" aca="1" ref="F439" ca="1">IF(I439=0,"",HYPERLINK("#"&amp;RIGHT(CELL("adresse",OFFSET(DMAV_Doku!$B$6,I439-1,0)),LEN(CELL("adresse",OFFSET(DMAV_Doku!$B$6,I439-1,0)))-SEARCH("]",CELL("adresse",OFFSET(DMAV_Doku!$B$6,I439-1,0)))),"ModDoc"))</f>
        <v>ModDoc</v>
      </c>
      <c r="G439" s="150" t="str">
        <f t="shared" si="12"/>
        <v>MBB46</v>
      </c>
      <c r="H439" s="150">
        <f t="shared" si="13"/>
        <v>425</v>
      </c>
      <c r="I439" s="150">
        <f>IF(_xlfn.XLOOKUP(G439,Korrelation!$A$4:$A$723,Korrelation!$B$4:$B$723,0,0)=0,0,MATCH(_xlfn.XLOOKUP(G439,Korrelation!$A$4:$A$723,Korrelation!$B$4:$B$723,0,0),DMAV_Doku!$H$6:$H$483,0))</f>
        <v>268</v>
      </c>
      <c r="J439" s="158"/>
      <c r="K439" s="161"/>
      <c r="L439" s="161"/>
      <c r="M439" s="158"/>
      <c r="N439" s="51" t="s">
        <v>4354</v>
      </c>
      <c r="O439" s="51" t="s">
        <v>3870</v>
      </c>
      <c r="P439" s="51" t="s">
        <v>19</v>
      </c>
      <c r="Q439" s="51" t="s">
        <v>949</v>
      </c>
      <c r="R439" s="51" t="s">
        <v>19</v>
      </c>
      <c r="U439" s="52" t="s">
        <v>400</v>
      </c>
      <c r="V439" s="52" t="s">
        <v>3471</v>
      </c>
      <c r="W439" s="52" t="s">
        <v>400</v>
      </c>
      <c r="AB439" s="51" t="s">
        <v>4355</v>
      </c>
      <c r="AC439" s="51" t="s">
        <v>3873</v>
      </c>
      <c r="AD439" s="51" t="s">
        <v>821</v>
      </c>
      <c r="AE439" s="51" t="s">
        <v>949</v>
      </c>
      <c r="AF439" s="51" t="s">
        <v>821</v>
      </c>
      <c r="AI439" s="52" t="s">
        <v>818</v>
      </c>
      <c r="AJ439" s="51" t="s">
        <v>3471</v>
      </c>
      <c r="AK439" s="52" t="s">
        <v>818</v>
      </c>
      <c r="AP439" s="51" t="s">
        <v>4356</v>
      </c>
      <c r="AQ439" s="51" t="s">
        <v>3876</v>
      </c>
      <c r="AR439" s="51" t="s">
        <v>4357</v>
      </c>
      <c r="AS439" s="51" t="s">
        <v>949</v>
      </c>
      <c r="AT439" s="51" t="s">
        <v>4357</v>
      </c>
      <c r="AW439" s="52" t="s">
        <v>4360</v>
      </c>
      <c r="AX439" s="51" t="s">
        <v>3471</v>
      </c>
      <c r="AY439" s="52" t="s">
        <v>4360</v>
      </c>
    </row>
    <row r="440" spans="1:54" x14ac:dyDescent="0.25">
      <c r="A440" s="51" t="s">
        <v>3809</v>
      </c>
      <c r="B440" s="51">
        <v>47</v>
      </c>
      <c r="C440" s="51" t="s">
        <v>3850</v>
      </c>
      <c r="E440" s="54" t="str" cm="1">
        <f t="array" aca="1" ref="E440" ca="1">IF(H440=0,"",HYPERLINK("#"&amp;RIGHT(CELL("dateiname"),LEN(CELL("dateiname"))-FIND("]",CELL("dateiname")))&amp;"!"&amp;CELL("adresse",OFFSET($Q$6,H440-1,0)),"Definition"))</f>
        <v>Definition</v>
      </c>
      <c r="F440" s="54" t="str" cm="1">
        <f t="array" aca="1" ref="F440" ca="1">IF(I440=0,"",HYPERLINK("#"&amp;RIGHT(CELL("adresse",OFFSET(DMAV_Doku!$B$6,I440-1,0)),LEN(CELL("adresse",OFFSET(DMAV_Doku!$B$6,I440-1,0)))-SEARCH("]",CELL("adresse",OFFSET(DMAV_Doku!$B$6,I440-1,0)))),"ModDoc"))</f>
        <v>ModDoc</v>
      </c>
      <c r="G440" s="150" t="str">
        <f t="shared" si="12"/>
        <v>MBB47</v>
      </c>
      <c r="H440" s="150">
        <f t="shared" si="13"/>
        <v>427</v>
      </c>
      <c r="I440" s="150">
        <f>IF(_xlfn.XLOOKUP(G440,Korrelation!$A$4:$A$723,Korrelation!$B$4:$B$723,0,0)=0,0,MATCH(_xlfn.XLOOKUP(G440,Korrelation!$A$4:$A$723,Korrelation!$B$4:$B$723,0,0),DMAV_Doku!$H$6:$H$483,0))</f>
        <v>270</v>
      </c>
      <c r="J440" s="158"/>
      <c r="K440" s="161"/>
      <c r="L440" s="161"/>
      <c r="M440" s="158"/>
      <c r="N440" s="51" t="s">
        <v>4354</v>
      </c>
      <c r="O440" s="51" t="s">
        <v>3870</v>
      </c>
      <c r="P440" s="51" t="s">
        <v>19</v>
      </c>
      <c r="Q440" s="51" t="s">
        <v>949</v>
      </c>
      <c r="R440" s="51" t="s">
        <v>19</v>
      </c>
      <c r="U440" s="52" t="s">
        <v>403</v>
      </c>
      <c r="V440" s="52" t="s">
        <v>3471</v>
      </c>
      <c r="W440" s="52" t="s">
        <v>403</v>
      </c>
      <c r="AB440" s="51" t="s">
        <v>4355</v>
      </c>
      <c r="AC440" s="51" t="s">
        <v>3873</v>
      </c>
      <c r="AD440" s="51" t="s">
        <v>821</v>
      </c>
      <c r="AE440" s="51" t="s">
        <v>949</v>
      </c>
      <c r="AF440" s="51" t="s">
        <v>821</v>
      </c>
      <c r="AI440" s="52" t="s">
        <v>819</v>
      </c>
      <c r="AJ440" s="51" t="s">
        <v>3471</v>
      </c>
      <c r="AK440" s="52" t="s">
        <v>819</v>
      </c>
      <c r="AP440" s="51" t="s">
        <v>4356</v>
      </c>
      <c r="AQ440" s="51" t="s">
        <v>3876</v>
      </c>
      <c r="AR440" s="51" t="s">
        <v>4357</v>
      </c>
      <c r="AS440" s="51" t="s">
        <v>949</v>
      </c>
      <c r="AT440" s="51" t="s">
        <v>4357</v>
      </c>
      <c r="AW440" s="52" t="s">
        <v>4361</v>
      </c>
      <c r="AX440" s="51" t="s">
        <v>3471</v>
      </c>
      <c r="AY440" s="52" t="s">
        <v>4361</v>
      </c>
    </row>
    <row r="441" spans="1:54" x14ac:dyDescent="0.25">
      <c r="A441" s="51" t="s">
        <v>3809</v>
      </c>
      <c r="B441" s="51">
        <v>48</v>
      </c>
      <c r="E441" s="54" t="str" cm="1">
        <f t="array" aca="1" ref="E441" ca="1">IF(H441=0,"",HYPERLINK("#"&amp;RIGHT(CELL("dateiname"),LEN(CELL("dateiname"))-FIND("]",CELL("dateiname")))&amp;"!"&amp;CELL("adresse",OFFSET($Q$6,H441-1,0)),"Definition"))</f>
        <v/>
      </c>
      <c r="F441" s="54" t="str" cm="1">
        <f t="array" aca="1" ref="F441" ca="1">IF(I441=0,"",HYPERLINK("#"&amp;RIGHT(CELL("adresse",OFFSET(DMAV_Doku!$B$6,I441-1,0)),LEN(CELL("adresse",OFFSET(DMAV_Doku!$B$6,I441-1,0)))-SEARCH("]",CELL("adresse",OFFSET(DMAV_Doku!$B$6,I441-1,0)))),"ModDoc"))</f>
        <v>ModDoc</v>
      </c>
      <c r="G441" s="150" t="str">
        <f t="shared" si="12"/>
        <v>MBB48</v>
      </c>
      <c r="H441" s="150">
        <f t="shared" si="13"/>
        <v>0</v>
      </c>
      <c r="I441" s="150">
        <f>IF(_xlfn.XLOOKUP(G441,Korrelation!$A$4:$A$723,Korrelation!$B$4:$B$723,0,0)=0,0,MATCH(_xlfn.XLOOKUP(G441,Korrelation!$A$4:$A$723,Korrelation!$B$4:$B$723,0,0),DMAV_Doku!$H$6:$H$483,0))</f>
        <v>269</v>
      </c>
      <c r="J441" s="158"/>
      <c r="K441" s="161"/>
      <c r="L441" s="161"/>
      <c r="M441" s="158"/>
      <c r="N441" s="51" t="s">
        <v>4354</v>
      </c>
      <c r="O441" s="51" t="s">
        <v>3870</v>
      </c>
      <c r="P441" s="51" t="s">
        <v>19</v>
      </c>
      <c r="Q441" s="51" t="s">
        <v>949</v>
      </c>
      <c r="R441" s="51" t="s">
        <v>19</v>
      </c>
      <c r="U441" s="52" t="s">
        <v>416</v>
      </c>
      <c r="W441" s="52" t="s">
        <v>417</v>
      </c>
      <c r="AB441" s="51" t="s">
        <v>4355</v>
      </c>
      <c r="AC441" s="51" t="s">
        <v>3873</v>
      </c>
      <c r="AD441" s="51" t="s">
        <v>821</v>
      </c>
      <c r="AE441" s="51" t="s">
        <v>949</v>
      </c>
      <c r="AF441" s="51" t="s">
        <v>821</v>
      </c>
      <c r="AI441" s="52" t="s">
        <v>416</v>
      </c>
      <c r="AK441" s="52" t="s">
        <v>417</v>
      </c>
      <c r="AP441" s="51" t="s">
        <v>4356</v>
      </c>
      <c r="AQ441" s="51" t="s">
        <v>3876</v>
      </c>
      <c r="AR441" s="51" t="s">
        <v>4357</v>
      </c>
      <c r="AS441" s="51" t="s">
        <v>949</v>
      </c>
      <c r="AT441" s="51" t="s">
        <v>4357</v>
      </c>
      <c r="AW441" s="52" t="s">
        <v>416</v>
      </c>
      <c r="AY441" s="52" t="s">
        <v>417</v>
      </c>
    </row>
    <row r="442" spans="1:54" x14ac:dyDescent="0.25">
      <c r="A442" s="51" t="s">
        <v>3809</v>
      </c>
      <c r="B442" s="51">
        <v>49</v>
      </c>
      <c r="C442" s="51" t="s">
        <v>3851</v>
      </c>
      <c r="E442" s="54" t="str" cm="1">
        <f t="array" aca="1" ref="E442" ca="1">IF(H442=0,"",HYPERLINK("#"&amp;RIGHT(CELL("dateiname"),LEN(CELL("dateiname"))-FIND("]",CELL("dateiname")))&amp;"!"&amp;CELL("adresse",OFFSET($Q$6,H442-1,0)),"Definition"))</f>
        <v>Definition</v>
      </c>
      <c r="F442" s="54" t="str" cm="1">
        <f t="array" aca="1" ref="F442" ca="1">IF(I442=0,"",HYPERLINK("#"&amp;RIGHT(CELL("adresse",OFFSET(DMAV_Doku!$B$6,I442-1,0)),LEN(CELL("adresse",OFFSET(DMAV_Doku!$B$6,I442-1,0)))-SEARCH("]",CELL("adresse",OFFSET(DMAV_Doku!$B$6,I442-1,0)))),"ModDoc"))</f>
        <v>ModDoc</v>
      </c>
      <c r="G442" s="150" t="str">
        <f t="shared" si="12"/>
        <v>MBB49</v>
      </c>
      <c r="H442" s="150">
        <f t="shared" si="13"/>
        <v>33</v>
      </c>
      <c r="I442" s="150">
        <f>IF(_xlfn.XLOOKUP(G442,Korrelation!$A$4:$A$723,Korrelation!$B$4:$B$723,0,0)=0,0,MATCH(_xlfn.XLOOKUP(G442,Korrelation!$A$4:$A$723,Korrelation!$B$4:$B$723,0,0),DMAV_Doku!$H$6:$H$483,0))</f>
        <v>271</v>
      </c>
      <c r="J442" s="158"/>
      <c r="K442" s="161"/>
      <c r="L442" s="161"/>
      <c r="M442" s="158"/>
      <c r="N442" s="51" t="s">
        <v>4354</v>
      </c>
      <c r="O442" s="51" t="s">
        <v>3870</v>
      </c>
      <c r="P442" s="51" t="s">
        <v>19</v>
      </c>
      <c r="Q442" s="51" t="s">
        <v>949</v>
      </c>
      <c r="R442" s="51" t="s">
        <v>19</v>
      </c>
      <c r="U442" s="52" t="s">
        <v>67</v>
      </c>
      <c r="V442" s="52" t="s">
        <v>3471</v>
      </c>
      <c r="W442" s="52" t="s">
        <v>3525</v>
      </c>
      <c r="AB442" s="51" t="s">
        <v>4355</v>
      </c>
      <c r="AC442" s="51" t="s">
        <v>3873</v>
      </c>
      <c r="AD442" s="51" t="s">
        <v>821</v>
      </c>
      <c r="AE442" s="51" t="s">
        <v>949</v>
      </c>
      <c r="AF442" s="51" t="s">
        <v>821</v>
      </c>
      <c r="AI442" s="52" t="s">
        <v>727</v>
      </c>
      <c r="AJ442" s="51" t="s">
        <v>3471</v>
      </c>
      <c r="AK442" s="52" t="s">
        <v>4364</v>
      </c>
      <c r="AP442" s="51" t="s">
        <v>4356</v>
      </c>
      <c r="AQ442" s="51" t="s">
        <v>3876</v>
      </c>
      <c r="AR442" s="51" t="s">
        <v>4357</v>
      </c>
      <c r="AS442" s="51" t="s">
        <v>949</v>
      </c>
      <c r="AT442" s="51" t="s">
        <v>4357</v>
      </c>
      <c r="AW442" s="52" t="s">
        <v>3941</v>
      </c>
      <c r="AX442" s="51" t="s">
        <v>3471</v>
      </c>
      <c r="AY442" s="52" t="s">
        <v>4365</v>
      </c>
    </row>
    <row r="443" spans="1:54" ht="51" x14ac:dyDescent="0.25">
      <c r="A443" s="51" t="s">
        <v>3809</v>
      </c>
      <c r="B443" s="51">
        <v>50</v>
      </c>
      <c r="D443" s="51" t="s">
        <v>3526</v>
      </c>
      <c r="E443" s="54" t="str" cm="1">
        <f t="array" aca="1" ref="E443" ca="1">IF(H443=0,"",HYPERLINK("#"&amp;RIGHT(CELL("dateiname"),LEN(CELL("dateiname"))-FIND("]",CELL("dateiname")))&amp;"!"&amp;CELL("adresse",OFFSET($Q$6,H443-1,0)),"Definition"))</f>
        <v/>
      </c>
      <c r="F443" s="54" t="str" cm="1">
        <f t="array" aca="1" ref="F443" ca="1">IF(I443=0,"",HYPERLINK("#"&amp;RIGHT(CELL("adresse",OFFSET(DMAV_Doku!$B$6,I443-1,0)),LEN(CELL("adresse",OFFSET(DMAV_Doku!$B$6,I443-1,0)))-SEARCH("]",CELL("adresse",OFFSET(DMAV_Doku!$B$6,I443-1,0)))),"ModDoc"))</f>
        <v/>
      </c>
      <c r="G443" s="150" t="str">
        <f t="shared" si="12"/>
        <v>MBB50</v>
      </c>
      <c r="H443" s="150">
        <f t="shared" si="13"/>
        <v>0</v>
      </c>
      <c r="I443" s="150">
        <f>IF(_xlfn.XLOOKUP(G443,Korrelation!$A$4:$A$723,Korrelation!$B$4:$B$723,0,0)=0,0,MATCH(_xlfn.XLOOKUP(G443,Korrelation!$A$4:$A$723,Korrelation!$B$4:$B$723,0,0),DMAV_Doku!$H$6:$H$483,0))</f>
        <v>0</v>
      </c>
      <c r="J443" s="158"/>
      <c r="K443" s="192" t="s">
        <v>5557</v>
      </c>
      <c r="L443" s="161"/>
      <c r="M443" s="158"/>
      <c r="N443" s="51" t="s">
        <v>4354</v>
      </c>
      <c r="O443" s="51" t="s">
        <v>3870</v>
      </c>
      <c r="P443" s="51" t="s">
        <v>19</v>
      </c>
      <c r="Q443" s="51" t="s">
        <v>957</v>
      </c>
      <c r="R443" s="51" t="s">
        <v>19</v>
      </c>
      <c r="S443" s="50" t="s">
        <v>950</v>
      </c>
      <c r="U443" s="52" t="s">
        <v>4366</v>
      </c>
      <c r="W443" s="52" t="s">
        <v>4367</v>
      </c>
      <c r="Z443" s="200" t="s">
        <v>5653</v>
      </c>
      <c r="AB443" s="51" t="s">
        <v>4355</v>
      </c>
      <c r="AC443" s="51" t="s">
        <v>3873</v>
      </c>
      <c r="AD443" s="51" t="s">
        <v>821</v>
      </c>
      <c r="AE443" s="51" t="s">
        <v>957</v>
      </c>
      <c r="AF443" s="51" t="s">
        <v>821</v>
      </c>
      <c r="AG443" s="50" t="s">
        <v>950</v>
      </c>
      <c r="AI443" s="52" t="s">
        <v>4368</v>
      </c>
      <c r="AK443" s="52" t="s">
        <v>4369</v>
      </c>
      <c r="AN443" s="200" t="s">
        <v>7246</v>
      </c>
      <c r="AP443" s="51" t="s">
        <v>4356</v>
      </c>
      <c r="AQ443" s="51" t="s">
        <v>3876</v>
      </c>
      <c r="AR443" s="51" t="s">
        <v>4357</v>
      </c>
      <c r="AS443" s="51" t="s">
        <v>957</v>
      </c>
      <c r="AT443" s="51" t="s">
        <v>4357</v>
      </c>
      <c r="AU443" s="50" t="s">
        <v>950</v>
      </c>
      <c r="AW443" s="52" t="s">
        <v>4368</v>
      </c>
      <c r="AY443" s="52" t="s">
        <v>4370</v>
      </c>
      <c r="BB443" s="200" t="s">
        <v>6015</v>
      </c>
    </row>
    <row r="444" spans="1:54" ht="51" x14ac:dyDescent="0.25">
      <c r="A444" s="51" t="s">
        <v>3809</v>
      </c>
      <c r="B444" s="51">
        <v>51</v>
      </c>
      <c r="D444" s="51" t="s">
        <v>3527</v>
      </c>
      <c r="E444" s="54" t="str" cm="1">
        <f t="array" aca="1" ref="E444" ca="1">IF(H444=0,"",HYPERLINK("#"&amp;RIGHT(CELL("dateiname"),LEN(CELL("dateiname"))-FIND("]",CELL("dateiname")))&amp;"!"&amp;CELL("adresse",OFFSET($Q$6,H444-1,0)),"Definition"))</f>
        <v/>
      </c>
      <c r="F444" s="54" t="str" cm="1">
        <f t="array" aca="1" ref="F444" ca="1">IF(I444=0,"",HYPERLINK("#"&amp;RIGHT(CELL("adresse",OFFSET(DMAV_Doku!$B$6,I444-1,0)),LEN(CELL("adresse",OFFSET(DMAV_Doku!$B$6,I444-1,0)))-SEARCH("]",CELL("adresse",OFFSET(DMAV_Doku!$B$6,I444-1,0)))),"ModDoc"))</f>
        <v/>
      </c>
      <c r="G444" s="150" t="str">
        <f t="shared" si="12"/>
        <v>MBB51</v>
      </c>
      <c r="H444" s="150">
        <f t="shared" si="13"/>
        <v>0</v>
      </c>
      <c r="I444" s="150">
        <f>IF(_xlfn.XLOOKUP(G444,Korrelation!$A$4:$A$723,Korrelation!$B$4:$B$723,0,0)=0,0,MATCH(_xlfn.XLOOKUP(G444,Korrelation!$A$4:$A$723,Korrelation!$B$4:$B$723,0,0),DMAV_Doku!$H$6:$H$483,0))</f>
        <v>0</v>
      </c>
      <c r="J444" s="158"/>
      <c r="K444" s="192" t="s">
        <v>3653</v>
      </c>
      <c r="L444" s="161"/>
      <c r="M444" s="158"/>
      <c r="N444" s="51" t="s">
        <v>4354</v>
      </c>
      <c r="O444" s="51" t="s">
        <v>3870</v>
      </c>
      <c r="P444" s="51" t="s">
        <v>19</v>
      </c>
      <c r="Q444" s="51" t="s">
        <v>957</v>
      </c>
      <c r="R444" s="51" t="s">
        <v>19</v>
      </c>
      <c r="S444" s="50" t="s">
        <v>950</v>
      </c>
      <c r="U444" s="52" t="s">
        <v>3528</v>
      </c>
      <c r="W444" s="52" t="s">
        <v>3529</v>
      </c>
      <c r="Z444" s="201" t="s">
        <v>2760</v>
      </c>
      <c r="AB444" s="51" t="s">
        <v>4355</v>
      </c>
      <c r="AC444" s="51" t="s">
        <v>3873</v>
      </c>
      <c r="AD444" s="51" t="s">
        <v>821</v>
      </c>
      <c r="AE444" s="51" t="s">
        <v>957</v>
      </c>
      <c r="AF444" s="51" t="s">
        <v>821</v>
      </c>
      <c r="AG444" s="50" t="s">
        <v>950</v>
      </c>
      <c r="AI444" s="52" t="s">
        <v>4371</v>
      </c>
      <c r="AK444" s="52" t="s">
        <v>4372</v>
      </c>
      <c r="AN444" s="201" t="s">
        <v>7247</v>
      </c>
      <c r="AP444" s="51" t="s">
        <v>4356</v>
      </c>
      <c r="AQ444" s="51" t="s">
        <v>3876</v>
      </c>
      <c r="AR444" s="51" t="s">
        <v>4357</v>
      </c>
      <c r="AS444" s="51" t="s">
        <v>957</v>
      </c>
      <c r="AT444" s="51" t="s">
        <v>4357</v>
      </c>
      <c r="AU444" s="50" t="s">
        <v>950</v>
      </c>
      <c r="AW444" s="52" t="s">
        <v>4371</v>
      </c>
      <c r="AY444" s="52" t="s">
        <v>4373</v>
      </c>
      <c r="BB444" s="201" t="s">
        <v>6019</v>
      </c>
    </row>
    <row r="445" spans="1:54" ht="12.75" customHeight="1" x14ac:dyDescent="0.25">
      <c r="A445" s="51" t="s">
        <v>3809</v>
      </c>
      <c r="B445" s="51">
        <v>52</v>
      </c>
      <c r="E445" s="54" t="str" cm="1">
        <f t="array" aca="1" ref="E445" ca="1">IF(H445=0,"",HYPERLINK("#"&amp;RIGHT(CELL("dateiname"),LEN(CELL("dateiname"))-FIND("]",CELL("dateiname")))&amp;"!"&amp;CELL("adresse",OFFSET($Q$6,H445-1,0)),"Definition"))</f>
        <v/>
      </c>
      <c r="F445" s="54" t="str" cm="1">
        <f t="array" aca="1" ref="F445" ca="1">IF(I445=0,"",HYPERLINK("#"&amp;RIGHT(CELL("adresse",OFFSET(DMAV_Doku!$B$6,I445-1,0)),LEN(CELL("adresse",OFFSET(DMAV_Doku!$B$6,I445-1,0)))-SEARCH("]",CELL("adresse",OFFSET(DMAV_Doku!$B$6,I445-1,0)))),"ModDoc"))</f>
        <v/>
      </c>
      <c r="G445" s="150" t="str">
        <f t="shared" si="12"/>
        <v>MBB52</v>
      </c>
      <c r="H445" s="150">
        <f t="shared" si="13"/>
        <v>0</v>
      </c>
      <c r="I445" s="150">
        <f>IF(_xlfn.XLOOKUP(G445,Korrelation!$A$4:$A$723,Korrelation!$B$4:$B$723,0,0)=0,0,MATCH(_xlfn.XLOOKUP(G445,Korrelation!$A$4:$A$723,Korrelation!$B$4:$B$723,0,0),DMAV_Doku!$H$6:$H$483,0))</f>
        <v>0</v>
      </c>
      <c r="J445" s="158"/>
      <c r="K445" s="161"/>
      <c r="L445" s="161"/>
      <c r="M445" s="158"/>
      <c r="N445" s="51" t="s">
        <v>4354</v>
      </c>
      <c r="O445" s="51" t="s">
        <v>3870</v>
      </c>
      <c r="P445" s="51" t="s">
        <v>19</v>
      </c>
      <c r="Q445" s="51" t="s">
        <v>967</v>
      </c>
      <c r="R445" s="51" t="s">
        <v>1125</v>
      </c>
      <c r="U445" s="52" t="s">
        <v>969</v>
      </c>
      <c r="W445" s="52" t="s">
        <v>406</v>
      </c>
      <c r="X445" s="51" t="s">
        <v>970</v>
      </c>
      <c r="AB445" s="51" t="s">
        <v>4355</v>
      </c>
      <c r="AC445" s="51" t="s">
        <v>3873</v>
      </c>
      <c r="AD445" s="51" t="s">
        <v>821</v>
      </c>
      <c r="AE445" s="51" t="s">
        <v>967</v>
      </c>
      <c r="AF445" s="51" t="s">
        <v>4374</v>
      </c>
      <c r="AI445" s="52" t="s">
        <v>1319</v>
      </c>
      <c r="AK445" s="52" t="s">
        <v>820</v>
      </c>
      <c r="AL445" s="51" t="s">
        <v>970</v>
      </c>
      <c r="AP445" s="51" t="s">
        <v>4356</v>
      </c>
      <c r="AQ445" s="51" t="s">
        <v>3876</v>
      </c>
      <c r="AR445" s="51" t="s">
        <v>4357</v>
      </c>
      <c r="AS445" s="51" t="s">
        <v>967</v>
      </c>
      <c r="AT445" s="51" t="s">
        <v>4375</v>
      </c>
      <c r="AW445" s="52" t="s">
        <v>1319</v>
      </c>
      <c r="AY445" s="52" t="s">
        <v>4359</v>
      </c>
      <c r="AZ445" s="51" t="s">
        <v>970</v>
      </c>
    </row>
    <row r="446" spans="1:54" x14ac:dyDescent="0.25">
      <c r="A446" s="51" t="s">
        <v>3809</v>
      </c>
      <c r="B446" s="51">
        <v>53</v>
      </c>
      <c r="E446" s="54" t="str" cm="1">
        <f t="array" aca="1" ref="E446" ca="1">IF(H446=0,"",HYPERLINK("#"&amp;RIGHT(CELL("dateiname"),LEN(CELL("dateiname"))-FIND("]",CELL("dateiname")))&amp;"!"&amp;CELL("adresse",OFFSET($Q$6,H446-1,0)),"Definition"))</f>
        <v/>
      </c>
      <c r="F446" s="54" t="str" cm="1">
        <f t="array" aca="1" ref="F446" ca="1">IF(I446=0,"",HYPERLINK("#"&amp;RIGHT(CELL("adresse",OFFSET(DMAV_Doku!$B$6,I446-1,0)),LEN(CELL("adresse",OFFSET(DMAV_Doku!$B$6,I446-1,0)))-SEARCH("]",CELL("adresse",OFFSET(DMAV_Doku!$B$6,I446-1,0)))),"ModDoc"))</f>
        <v/>
      </c>
      <c r="G446" s="150" t="str">
        <f t="shared" si="12"/>
        <v>MBB53</v>
      </c>
      <c r="H446" s="150">
        <f t="shared" si="13"/>
        <v>0</v>
      </c>
      <c r="I446" s="150">
        <f>IF(_xlfn.XLOOKUP(G446,Korrelation!$A$4:$A$723,Korrelation!$B$4:$B$723,0,0)=0,0,MATCH(_xlfn.XLOOKUP(G446,Korrelation!$A$4:$A$723,Korrelation!$B$4:$B$723,0,0),DMAV_Doku!$H$6:$H$483,0))</f>
        <v>0</v>
      </c>
      <c r="J446" s="158"/>
      <c r="K446" s="161"/>
      <c r="L446" s="161"/>
      <c r="M446" s="158"/>
      <c r="N446" s="51" t="s">
        <v>4354</v>
      </c>
      <c r="O446" s="51" t="s">
        <v>3870</v>
      </c>
      <c r="P446" s="51" t="s">
        <v>19</v>
      </c>
      <c r="Q446" s="51" t="s">
        <v>967</v>
      </c>
      <c r="R446" s="51" t="s">
        <v>1125</v>
      </c>
      <c r="U446" s="52" t="s">
        <v>1126</v>
      </c>
      <c r="W446" s="52" t="s">
        <v>19</v>
      </c>
      <c r="X446" s="51" t="s">
        <v>972</v>
      </c>
      <c r="AB446" s="51" t="s">
        <v>4355</v>
      </c>
      <c r="AC446" s="51" t="s">
        <v>3873</v>
      </c>
      <c r="AD446" s="51" t="s">
        <v>821</v>
      </c>
      <c r="AE446" s="51" t="s">
        <v>967</v>
      </c>
      <c r="AF446" s="51" t="s">
        <v>4374</v>
      </c>
      <c r="AI446" s="52" t="s">
        <v>4376</v>
      </c>
      <c r="AK446" s="52" t="s">
        <v>821</v>
      </c>
      <c r="AL446" s="51" t="s">
        <v>972</v>
      </c>
      <c r="AP446" s="51" t="s">
        <v>4356</v>
      </c>
      <c r="AQ446" s="51" t="s">
        <v>3876</v>
      </c>
      <c r="AR446" s="51" t="s">
        <v>4357</v>
      </c>
      <c r="AS446" s="51" t="s">
        <v>967</v>
      </c>
      <c r="AT446" s="51" t="s">
        <v>4375</v>
      </c>
      <c r="AW446" s="52" t="s">
        <v>4377</v>
      </c>
      <c r="AY446" s="52" t="s">
        <v>4357</v>
      </c>
      <c r="AZ446" s="51" t="s">
        <v>972</v>
      </c>
    </row>
    <row r="447" spans="1:54" x14ac:dyDescent="0.25">
      <c r="A447" s="51" t="s">
        <v>3809</v>
      </c>
      <c r="B447" s="51">
        <v>54</v>
      </c>
      <c r="E447" s="54" t="str" cm="1">
        <f t="array" aca="1" ref="E447" ca="1">IF(H447=0,"",HYPERLINK("#"&amp;RIGHT(CELL("dateiname"),LEN(CELL("dateiname"))-FIND("]",CELL("dateiname")))&amp;"!"&amp;CELL("adresse",OFFSET($Q$6,H447-1,0)),"Definition"))</f>
        <v/>
      </c>
      <c r="F447" s="54" t="str" cm="1">
        <f t="array" aca="1" ref="F447" ca="1">IF(I447=0,"",HYPERLINK("#"&amp;RIGHT(CELL("adresse",OFFSET(DMAV_Doku!$B$6,I447-1,0)),LEN(CELL("adresse",OFFSET(DMAV_Doku!$B$6,I447-1,0)))-SEARCH("]",CELL("adresse",OFFSET(DMAV_Doku!$B$6,I447-1,0)))),"ModDoc"))</f>
        <v/>
      </c>
      <c r="G447" s="150" t="str">
        <f t="shared" si="12"/>
        <v>MBB54</v>
      </c>
      <c r="H447" s="150">
        <f t="shared" si="13"/>
        <v>0</v>
      </c>
      <c r="I447" s="150">
        <f>IF(_xlfn.XLOOKUP(G447,Korrelation!$A$4:$A$723,Korrelation!$B$4:$B$723,0,0)=0,0,MATCH(_xlfn.XLOOKUP(G447,Korrelation!$A$4:$A$723,Korrelation!$B$4:$B$723,0,0),DMAV_Doku!$H$6:$H$483,0))</f>
        <v>0</v>
      </c>
      <c r="J447" s="158"/>
      <c r="K447" s="161"/>
      <c r="L447" s="161"/>
      <c r="M447" s="158"/>
      <c r="N447" s="51" t="s">
        <v>4354</v>
      </c>
      <c r="O447" s="51" t="s">
        <v>3870</v>
      </c>
      <c r="P447" s="51" t="s">
        <v>19</v>
      </c>
      <c r="Q447" s="51" t="s">
        <v>977</v>
      </c>
      <c r="R447" s="51" t="s">
        <v>1130</v>
      </c>
      <c r="U447" s="52" t="s">
        <v>979</v>
      </c>
      <c r="W447" s="52" t="s">
        <v>19</v>
      </c>
      <c r="AB447" s="51" t="s">
        <v>4355</v>
      </c>
      <c r="AC447" s="51" t="s">
        <v>3873</v>
      </c>
      <c r="AD447" s="51" t="s">
        <v>821</v>
      </c>
      <c r="AE447" s="51" t="s">
        <v>977</v>
      </c>
      <c r="AF447" s="51" t="s">
        <v>4378</v>
      </c>
      <c r="AI447" s="52" t="s">
        <v>979</v>
      </c>
      <c r="AK447" s="52" t="s">
        <v>821</v>
      </c>
      <c r="AP447" s="51" t="s">
        <v>4356</v>
      </c>
      <c r="AQ447" s="51" t="s">
        <v>3876</v>
      </c>
      <c r="AR447" s="51" t="s">
        <v>4357</v>
      </c>
      <c r="AS447" s="51" t="s">
        <v>977</v>
      </c>
      <c r="AT447" s="51" t="s">
        <v>4379</v>
      </c>
      <c r="AW447" s="52" t="s">
        <v>979</v>
      </c>
      <c r="AY447" s="52" t="s">
        <v>4357</v>
      </c>
    </row>
    <row r="448" spans="1:54" ht="25.5" x14ac:dyDescent="0.25">
      <c r="A448" s="51" t="s">
        <v>3809</v>
      </c>
      <c r="B448" s="51">
        <v>55</v>
      </c>
      <c r="E448" s="54" t="str" cm="1">
        <f t="array" aca="1" ref="E448" ca="1">IF(H448=0,"",HYPERLINK("#"&amp;RIGHT(CELL("dateiname"),LEN(CELL("dateiname"))-FIND("]",CELL("dateiname")))&amp;"!"&amp;CELL("adresse",OFFSET($Q$6,H448-1,0)),"Definition"))</f>
        <v/>
      </c>
      <c r="F448" s="54" t="str" cm="1">
        <f t="array" aca="1" ref="F448" ca="1">IF(I448=0,"",HYPERLINK("#"&amp;RIGHT(CELL("adresse",OFFSET(DMAV_Doku!$B$6,I448-1,0)),LEN(CELL("adresse",OFFSET(DMAV_Doku!$B$6,I448-1,0)))-SEARCH("]",CELL("adresse",OFFSET(DMAV_Doku!$B$6,I448-1,0)))),"ModDoc"))</f>
        <v/>
      </c>
      <c r="G448" s="150" t="str">
        <f t="shared" si="12"/>
        <v>MBB55</v>
      </c>
      <c r="H448" s="150">
        <f t="shared" si="13"/>
        <v>0</v>
      </c>
      <c r="I448" s="150">
        <f>IF(_xlfn.XLOOKUP(G448,Korrelation!$A$4:$A$723,Korrelation!$B$4:$B$723,0,0)=0,0,MATCH(_xlfn.XLOOKUP(G448,Korrelation!$A$4:$A$723,Korrelation!$B$4:$B$723,0,0),DMAV_Doku!$H$6:$H$483,0))</f>
        <v>0</v>
      </c>
      <c r="J448" s="158"/>
      <c r="K448" s="161">
        <v>46054</v>
      </c>
      <c r="L448" s="161"/>
      <c r="M448" s="158"/>
      <c r="N448" s="51" t="s">
        <v>4354</v>
      </c>
      <c r="O448" s="51" t="s">
        <v>3870</v>
      </c>
      <c r="P448" s="51" t="s">
        <v>19</v>
      </c>
      <c r="Q448" s="51" t="s">
        <v>977</v>
      </c>
      <c r="R448" s="51" t="s">
        <v>1130</v>
      </c>
      <c r="U448" s="52" t="s">
        <v>4380</v>
      </c>
      <c r="W448" s="52" t="s">
        <v>4381</v>
      </c>
      <c r="Z448" s="198" t="s">
        <v>5654</v>
      </c>
      <c r="AB448" s="51" t="s">
        <v>4355</v>
      </c>
      <c r="AC448" s="51" t="s">
        <v>3873</v>
      </c>
      <c r="AD448" s="51" t="s">
        <v>821</v>
      </c>
      <c r="AE448" s="51" t="s">
        <v>977</v>
      </c>
      <c r="AF448" s="51" t="s">
        <v>4378</v>
      </c>
      <c r="AI448" s="52" t="s">
        <v>4380</v>
      </c>
      <c r="AK448" s="52" t="s">
        <v>4382</v>
      </c>
      <c r="AN448" s="259" t="s">
        <v>7272</v>
      </c>
      <c r="AP448" s="51" t="s">
        <v>4356</v>
      </c>
      <c r="AQ448" s="51" t="s">
        <v>3876</v>
      </c>
      <c r="AR448" s="51" t="s">
        <v>4357</v>
      </c>
      <c r="AS448" s="51" t="s">
        <v>977</v>
      </c>
      <c r="AT448" s="51" t="s">
        <v>4379</v>
      </c>
      <c r="AW448" s="52" t="s">
        <v>4380</v>
      </c>
      <c r="AY448" s="52" t="s">
        <v>4383</v>
      </c>
      <c r="BB448" s="200" t="s">
        <v>6052</v>
      </c>
    </row>
    <row r="449" spans="1:54" x14ac:dyDescent="0.25">
      <c r="A449" s="51" t="s">
        <v>3809</v>
      </c>
      <c r="B449" s="51">
        <v>56</v>
      </c>
      <c r="E449" s="54" t="str" cm="1">
        <f t="array" aca="1" ref="E449" ca="1">IF(H449=0,"",HYPERLINK("#"&amp;RIGHT(CELL("dateiname"),LEN(CELL("dateiname"))-FIND("]",CELL("dateiname")))&amp;"!"&amp;CELL("adresse",OFFSET($Q$6,H449-1,0)),"Definition"))</f>
        <v/>
      </c>
      <c r="F449" s="54" t="str" cm="1">
        <f t="array" aca="1" ref="F449" ca="1">IF(I449=0,"",HYPERLINK("#"&amp;RIGHT(CELL("adresse",OFFSET(DMAV_Doku!$B$6,I449-1,0)),LEN(CELL("adresse",OFFSET(DMAV_Doku!$B$6,I449-1,0)))-SEARCH("]",CELL("adresse",OFFSET(DMAV_Doku!$B$6,I449-1,0)))),"ModDoc"))</f>
        <v/>
      </c>
      <c r="G449" s="150" t="str">
        <f t="shared" si="12"/>
        <v>MBB56</v>
      </c>
      <c r="H449" s="150">
        <f t="shared" si="13"/>
        <v>0</v>
      </c>
      <c r="I449" s="150">
        <f>IF(_xlfn.XLOOKUP(G449,Korrelation!$A$4:$A$723,Korrelation!$B$4:$B$723,0,0)=0,0,MATCH(_xlfn.XLOOKUP(G449,Korrelation!$A$4:$A$723,Korrelation!$B$4:$B$723,0,0),DMAV_Doku!$H$6:$H$483,0))</f>
        <v>0</v>
      </c>
      <c r="J449" s="158"/>
      <c r="K449" s="161"/>
      <c r="L449" s="161"/>
      <c r="M449" s="158"/>
      <c r="N449" s="51" t="s">
        <v>4354</v>
      </c>
      <c r="O449" s="51" t="s">
        <v>3870</v>
      </c>
      <c r="P449" s="51" t="s">
        <v>19</v>
      </c>
      <c r="Q449" s="51" t="s">
        <v>977</v>
      </c>
      <c r="R449" s="51" t="s">
        <v>1130</v>
      </c>
      <c r="U449" s="52" t="s">
        <v>982</v>
      </c>
      <c r="W449" s="52" t="s">
        <v>19</v>
      </c>
      <c r="AB449" s="51" t="s">
        <v>4355</v>
      </c>
      <c r="AC449" s="51" t="s">
        <v>3873</v>
      </c>
      <c r="AD449" s="51" t="s">
        <v>821</v>
      </c>
      <c r="AE449" s="51" t="s">
        <v>977</v>
      </c>
      <c r="AF449" s="51" t="s">
        <v>4378</v>
      </c>
      <c r="AI449" s="52" t="s">
        <v>982</v>
      </c>
      <c r="AK449" s="52" t="s">
        <v>821</v>
      </c>
      <c r="AP449" s="51" t="s">
        <v>4356</v>
      </c>
      <c r="AQ449" s="51" t="s">
        <v>3876</v>
      </c>
      <c r="AR449" s="51" t="s">
        <v>4357</v>
      </c>
      <c r="AS449" s="51" t="s">
        <v>977</v>
      </c>
      <c r="AT449" s="51" t="s">
        <v>4379</v>
      </c>
      <c r="AW449" s="52" t="s">
        <v>982</v>
      </c>
      <c r="AY449" s="52" t="s">
        <v>4357</v>
      </c>
    </row>
    <row r="450" spans="1:54" ht="51" x14ac:dyDescent="0.25">
      <c r="A450" s="51" t="s">
        <v>3809</v>
      </c>
      <c r="B450" s="51">
        <v>57</v>
      </c>
      <c r="D450" s="51" t="s">
        <v>3531</v>
      </c>
      <c r="E450" s="54" t="str" cm="1">
        <f t="array" aca="1" ref="E450" ca="1">IF(H450=0,"",HYPERLINK("#"&amp;RIGHT(CELL("dateiname"),LEN(CELL("dateiname"))-FIND("]",CELL("dateiname")))&amp;"!"&amp;CELL("adresse",OFFSET($Q$6,H450-1,0)),"Definition"))</f>
        <v/>
      </c>
      <c r="F450" s="54" t="str" cm="1">
        <f t="array" aca="1" ref="F450" ca="1">IF(I450=0,"",HYPERLINK("#"&amp;RIGHT(CELL("adresse",OFFSET(DMAV_Doku!$B$6,I450-1,0)),LEN(CELL("adresse",OFFSET(DMAV_Doku!$B$6,I450-1,0)))-SEARCH("]",CELL("adresse",OFFSET(DMAV_Doku!$B$6,I450-1,0)))),"ModDoc"))</f>
        <v/>
      </c>
      <c r="G450" s="150" t="str">
        <f t="shared" si="12"/>
        <v>MBB57</v>
      </c>
      <c r="H450" s="150">
        <f t="shared" si="13"/>
        <v>0</v>
      </c>
      <c r="I450" s="150">
        <f>IF(_xlfn.XLOOKUP(G450,Korrelation!$A$4:$A$723,Korrelation!$B$4:$B$723,0,0)=0,0,MATCH(_xlfn.XLOOKUP(G450,Korrelation!$A$4:$A$723,Korrelation!$B$4:$B$723,0,0),DMAV_Doku!$H$6:$H$483,0))</f>
        <v>0</v>
      </c>
      <c r="J450" s="158"/>
      <c r="K450" s="161"/>
      <c r="L450" s="161"/>
      <c r="M450" s="158"/>
      <c r="N450" s="51" t="s">
        <v>4354</v>
      </c>
      <c r="O450" s="51" t="s">
        <v>3870</v>
      </c>
      <c r="P450" s="51" t="s">
        <v>19</v>
      </c>
      <c r="Q450" s="51" t="s">
        <v>1012</v>
      </c>
      <c r="R450" s="51" t="s">
        <v>1130</v>
      </c>
      <c r="U450" s="156" t="s">
        <v>5556</v>
      </c>
      <c r="W450" s="52" t="s">
        <v>3530</v>
      </c>
      <c r="Z450" s="199" t="s">
        <v>2783</v>
      </c>
      <c r="AB450" s="51" t="s">
        <v>4355</v>
      </c>
      <c r="AC450" s="51" t="s">
        <v>3873</v>
      </c>
      <c r="AD450" s="51" t="s">
        <v>821</v>
      </c>
      <c r="AE450" s="51" t="s">
        <v>1012</v>
      </c>
      <c r="AF450" s="51" t="s">
        <v>4378</v>
      </c>
      <c r="AI450" s="52" t="s">
        <v>4384</v>
      </c>
      <c r="AK450" s="52" t="s">
        <v>4385</v>
      </c>
      <c r="AN450" s="199" t="s">
        <v>7248</v>
      </c>
      <c r="AP450" s="51" t="s">
        <v>4356</v>
      </c>
      <c r="AQ450" s="51" t="s">
        <v>3876</v>
      </c>
      <c r="AR450" s="51" t="s">
        <v>4357</v>
      </c>
      <c r="AS450" s="51" t="s">
        <v>1012</v>
      </c>
      <c r="AT450" s="51" t="s">
        <v>4379</v>
      </c>
      <c r="AW450" s="52" t="s">
        <v>4386</v>
      </c>
      <c r="AY450" s="52" t="s">
        <v>4387</v>
      </c>
      <c r="BB450" s="199" t="s">
        <v>6053</v>
      </c>
    </row>
    <row r="451" spans="1:54" x14ac:dyDescent="0.25">
      <c r="A451" s="51" t="s">
        <v>3809</v>
      </c>
      <c r="B451" s="51">
        <v>58</v>
      </c>
      <c r="E451" s="54" t="str" cm="1">
        <f t="array" aca="1" ref="E451" ca="1">IF(H451=0,"",HYPERLINK("#"&amp;RIGHT(CELL("dateiname"),LEN(CELL("dateiname"))-FIND("]",CELL("dateiname")))&amp;"!"&amp;CELL("adresse",OFFSET($Q$6,H451-1,0)),"Definition"))</f>
        <v/>
      </c>
      <c r="F451" s="54" t="str" cm="1">
        <f t="array" aca="1" ref="F451" ca="1">IF(I451=0,"",HYPERLINK("#"&amp;RIGHT(CELL("adresse",OFFSET(DMAV_Doku!$B$6,I451-1,0)),LEN(CELL("adresse",OFFSET(DMAV_Doku!$B$6,I451-1,0)))-SEARCH("]",CELL("adresse",OFFSET(DMAV_Doku!$B$6,I451-1,0)))),"ModDoc"))</f>
        <v>ModDoc</v>
      </c>
      <c r="G451" s="150" t="str">
        <f t="shared" si="12"/>
        <v>MBB58</v>
      </c>
      <c r="H451" s="150">
        <f t="shared" si="13"/>
        <v>0</v>
      </c>
      <c r="I451" s="150">
        <f>IF(_xlfn.XLOOKUP(G451,Korrelation!$A$4:$A$723,Korrelation!$B$4:$B$723,0,0)=0,0,MATCH(_xlfn.XLOOKUP(G451,Korrelation!$A$4:$A$723,Korrelation!$B$4:$B$723,0,0),DMAV_Doku!$H$6:$H$483,0))</f>
        <v>272</v>
      </c>
      <c r="J451" s="158"/>
      <c r="K451" s="161"/>
      <c r="L451" s="161"/>
      <c r="M451" s="158"/>
      <c r="N451" s="51" t="s">
        <v>4354</v>
      </c>
      <c r="O451" s="51" t="s">
        <v>3870</v>
      </c>
      <c r="P451" s="51" t="s">
        <v>19</v>
      </c>
      <c r="Q451" s="51" t="s">
        <v>949</v>
      </c>
      <c r="R451" s="51" t="s">
        <v>422</v>
      </c>
      <c r="U451" s="52" t="s">
        <v>121</v>
      </c>
      <c r="W451" s="52" t="s">
        <v>951</v>
      </c>
      <c r="AB451" s="51" t="s">
        <v>4355</v>
      </c>
      <c r="AC451" s="51" t="s">
        <v>3873</v>
      </c>
      <c r="AD451" s="51" t="s">
        <v>821</v>
      </c>
      <c r="AE451" s="51" t="s">
        <v>949</v>
      </c>
      <c r="AF451" s="51" t="s">
        <v>822</v>
      </c>
      <c r="AI451" s="52" t="s">
        <v>742</v>
      </c>
      <c r="AK451" s="52" t="s">
        <v>951</v>
      </c>
      <c r="AP451" s="51" t="s">
        <v>4356</v>
      </c>
      <c r="AQ451" s="51" t="s">
        <v>3876</v>
      </c>
      <c r="AR451" s="51" t="s">
        <v>4357</v>
      </c>
      <c r="AS451" s="51" t="s">
        <v>949</v>
      </c>
      <c r="AT451" s="51" t="s">
        <v>4388</v>
      </c>
      <c r="AW451" s="52" t="s">
        <v>742</v>
      </c>
      <c r="AY451" s="52" t="s">
        <v>951</v>
      </c>
    </row>
    <row r="452" spans="1:54" x14ac:dyDescent="0.25">
      <c r="A452" s="51" t="s">
        <v>3809</v>
      </c>
      <c r="B452" s="51">
        <v>59</v>
      </c>
      <c r="E452" s="54" t="str" cm="1">
        <f t="array" aca="1" ref="E452" ca="1">IF(H452=0,"",HYPERLINK("#"&amp;RIGHT(CELL("dateiname"),LEN(CELL("dateiname"))-FIND("]",CELL("dateiname")))&amp;"!"&amp;CELL("adresse",OFFSET($Q$6,H452-1,0)),"Definition"))</f>
        <v/>
      </c>
      <c r="F452" s="54" t="str" cm="1">
        <f t="array" aca="1" ref="F452" ca="1">IF(I452=0,"",HYPERLINK("#"&amp;RIGHT(CELL("adresse",OFFSET(DMAV_Doku!$B$6,I452-1,0)),LEN(CELL("adresse",OFFSET(DMAV_Doku!$B$6,I452-1,0)))-SEARCH("]",CELL("adresse",OFFSET(DMAV_Doku!$B$6,I452-1,0)))),"ModDoc"))</f>
        <v>ModDoc</v>
      </c>
      <c r="G452" s="150" t="str">
        <f t="shared" si="12"/>
        <v>MBB59</v>
      </c>
      <c r="H452" s="150">
        <f t="shared" si="13"/>
        <v>0</v>
      </c>
      <c r="I452" s="150">
        <f>IF(_xlfn.XLOOKUP(G452,Korrelation!$A$4:$A$723,Korrelation!$B$4:$B$723,0,0)=0,0,MATCH(_xlfn.XLOOKUP(G452,Korrelation!$A$4:$A$723,Korrelation!$B$4:$B$723,0,0),DMAV_Doku!$H$6:$H$483,0))</f>
        <v>273</v>
      </c>
      <c r="J452" s="158"/>
      <c r="K452" s="161"/>
      <c r="L452" s="161"/>
      <c r="M452" s="158"/>
      <c r="N452" s="51" t="s">
        <v>4354</v>
      </c>
      <c r="O452" s="51" t="s">
        <v>3870</v>
      </c>
      <c r="P452" s="51" t="s">
        <v>19</v>
      </c>
      <c r="Q452" s="51" t="s">
        <v>949</v>
      </c>
      <c r="R452" s="51" t="s">
        <v>422</v>
      </c>
      <c r="S452" s="50" t="s">
        <v>950</v>
      </c>
      <c r="U452" s="52" t="s">
        <v>123</v>
      </c>
      <c r="W452" s="52" t="s">
        <v>952</v>
      </c>
      <c r="AB452" s="51" t="s">
        <v>4355</v>
      </c>
      <c r="AC452" s="51" t="s">
        <v>3873</v>
      </c>
      <c r="AD452" s="51" t="s">
        <v>821</v>
      </c>
      <c r="AE452" s="51" t="s">
        <v>949</v>
      </c>
      <c r="AF452" s="51" t="s">
        <v>822</v>
      </c>
      <c r="AG452" s="50" t="s">
        <v>950</v>
      </c>
      <c r="AI452" s="52" t="s">
        <v>123</v>
      </c>
      <c r="AK452" s="52" t="s">
        <v>952</v>
      </c>
      <c r="AP452" s="51" t="s">
        <v>4356</v>
      </c>
      <c r="AQ452" s="51" t="s">
        <v>3876</v>
      </c>
      <c r="AR452" s="51" t="s">
        <v>4357</v>
      </c>
      <c r="AS452" s="51" t="s">
        <v>949</v>
      </c>
      <c r="AT452" s="51" t="s">
        <v>4388</v>
      </c>
      <c r="AU452" s="50" t="s">
        <v>950</v>
      </c>
      <c r="AW452" s="52" t="s">
        <v>1247</v>
      </c>
      <c r="AY452" s="52" t="s">
        <v>952</v>
      </c>
    </row>
    <row r="453" spans="1:54" x14ac:dyDescent="0.25">
      <c r="A453" s="51" t="s">
        <v>3809</v>
      </c>
      <c r="B453" s="51">
        <v>60</v>
      </c>
      <c r="C453" s="51" t="s">
        <v>3829</v>
      </c>
      <c r="E453" s="54" t="str" cm="1">
        <f t="array" aca="1" ref="E453" ca="1">IF(H453=0,"",HYPERLINK("#"&amp;RIGHT(CELL("dateiname"),LEN(CELL("dateiname"))-FIND("]",CELL("dateiname")))&amp;"!"&amp;CELL("adresse",OFFSET($Q$6,H453-1,0)),"Definition"))</f>
        <v>Definition</v>
      </c>
      <c r="F453" s="54" t="str" cm="1">
        <f t="array" aca="1" ref="F453" ca="1">IF(I453=0,"",HYPERLINK("#"&amp;RIGHT(CELL("adresse",OFFSET(DMAV_Doku!$B$6,I453-1,0)),LEN(CELL("adresse",OFFSET(DMAV_Doku!$B$6,I453-1,0)))-SEARCH("]",CELL("adresse",OFFSET(DMAV_Doku!$B$6,I453-1,0)))),"ModDoc"))</f>
        <v>ModDoc</v>
      </c>
      <c r="G453" s="150" t="str">
        <f t="shared" si="12"/>
        <v>MBB60</v>
      </c>
      <c r="H453" s="150">
        <f t="shared" si="13"/>
        <v>17</v>
      </c>
      <c r="I453" s="150">
        <f>IF(_xlfn.XLOOKUP(G453,Korrelation!$A$4:$A$723,Korrelation!$B$4:$B$723,0,0)=0,0,MATCH(_xlfn.XLOOKUP(G453,Korrelation!$A$4:$A$723,Korrelation!$B$4:$B$723,0,0),DMAV_Doku!$H$6:$H$483,0))</f>
        <v>274</v>
      </c>
      <c r="J453" s="158"/>
      <c r="K453" s="161"/>
      <c r="L453" s="161"/>
      <c r="M453" s="158"/>
      <c r="N453" s="51" t="s">
        <v>4354</v>
      </c>
      <c r="O453" s="51" t="s">
        <v>3870</v>
      </c>
      <c r="P453" s="51" t="s">
        <v>19</v>
      </c>
      <c r="Q453" s="51" t="s">
        <v>949</v>
      </c>
      <c r="R453" s="51" t="s">
        <v>422</v>
      </c>
      <c r="U453" s="52" t="s">
        <v>125</v>
      </c>
      <c r="W453" s="52" t="s">
        <v>953</v>
      </c>
      <c r="AB453" s="51" t="s">
        <v>4355</v>
      </c>
      <c r="AC453" s="51" t="s">
        <v>3873</v>
      </c>
      <c r="AD453" s="51" t="s">
        <v>821</v>
      </c>
      <c r="AE453" s="51" t="s">
        <v>949</v>
      </c>
      <c r="AF453" s="51" t="s">
        <v>822</v>
      </c>
      <c r="AI453" s="52" t="s">
        <v>743</v>
      </c>
      <c r="AK453" s="52" t="s">
        <v>4017</v>
      </c>
      <c r="AP453" s="51" t="s">
        <v>4356</v>
      </c>
      <c r="AQ453" s="51" t="s">
        <v>3876</v>
      </c>
      <c r="AR453" s="51" t="s">
        <v>4357</v>
      </c>
      <c r="AS453" s="51" t="s">
        <v>949</v>
      </c>
      <c r="AT453" s="51" t="s">
        <v>4388</v>
      </c>
      <c r="AW453" s="52" t="s">
        <v>4018</v>
      </c>
      <c r="AY453" s="52" t="s">
        <v>4019</v>
      </c>
    </row>
    <row r="454" spans="1:54" x14ac:dyDescent="0.25">
      <c r="A454" s="51" t="s">
        <v>3809</v>
      </c>
      <c r="B454" s="51">
        <v>61</v>
      </c>
      <c r="C454" s="51" t="s">
        <v>3834</v>
      </c>
      <c r="E454" s="54" t="str" cm="1">
        <f t="array" aca="1" ref="E454" ca="1">IF(H454=0,"",HYPERLINK("#"&amp;RIGHT(CELL("dateiname"),LEN(CELL("dateiname"))-FIND("]",CELL("dateiname")))&amp;"!"&amp;CELL("adresse",OFFSET($Q$6,H454-1,0)),"Definition"))</f>
        <v>Definition</v>
      </c>
      <c r="F454" s="54" t="str" cm="1">
        <f t="array" aca="1" ref="F454" ca="1">IF(I454=0,"",HYPERLINK("#"&amp;RIGHT(CELL("adresse",OFFSET(DMAV_Doku!$B$6,I454-1,0)),LEN(CELL("adresse",OFFSET(DMAV_Doku!$B$6,I454-1,0)))-SEARCH("]",CELL("adresse",OFFSET(DMAV_Doku!$B$6,I454-1,0)))),"ModDoc"))</f>
        <v>ModDoc</v>
      </c>
      <c r="G454" s="150" t="str">
        <f t="shared" si="12"/>
        <v>MBB61</v>
      </c>
      <c r="H454" s="150">
        <f t="shared" si="13"/>
        <v>40</v>
      </c>
      <c r="I454" s="150">
        <f>IF(_xlfn.XLOOKUP(G454,Korrelation!$A$4:$A$723,Korrelation!$B$4:$B$723,0,0)=0,0,MATCH(_xlfn.XLOOKUP(G454,Korrelation!$A$4:$A$723,Korrelation!$B$4:$B$723,0,0),DMAV_Doku!$H$6:$H$483,0))</f>
        <v>275</v>
      </c>
      <c r="J454" s="158"/>
      <c r="K454" s="161"/>
      <c r="L454" s="161"/>
      <c r="M454" s="158"/>
      <c r="N454" s="51" t="s">
        <v>4354</v>
      </c>
      <c r="O454" s="51" t="s">
        <v>3870</v>
      </c>
      <c r="P454" s="51" t="s">
        <v>19</v>
      </c>
      <c r="Q454" s="51" t="s">
        <v>949</v>
      </c>
      <c r="R454" s="51" t="s">
        <v>422</v>
      </c>
      <c r="S454" s="50" t="s">
        <v>950</v>
      </c>
      <c r="U454" s="52" t="s">
        <v>128</v>
      </c>
      <c r="W454" s="52" t="s">
        <v>954</v>
      </c>
      <c r="AB454" s="51" t="s">
        <v>4355</v>
      </c>
      <c r="AC454" s="51" t="s">
        <v>3873</v>
      </c>
      <c r="AD454" s="51" t="s">
        <v>821</v>
      </c>
      <c r="AE454" s="51" t="s">
        <v>949</v>
      </c>
      <c r="AF454" s="51" t="s">
        <v>822</v>
      </c>
      <c r="AG454" s="50" t="s">
        <v>950</v>
      </c>
      <c r="AI454" s="52" t="s">
        <v>744</v>
      </c>
      <c r="AK454" s="52" t="s">
        <v>4020</v>
      </c>
      <c r="AP454" s="51" t="s">
        <v>4356</v>
      </c>
      <c r="AQ454" s="51" t="s">
        <v>3876</v>
      </c>
      <c r="AR454" s="51" t="s">
        <v>4357</v>
      </c>
      <c r="AS454" s="51" t="s">
        <v>949</v>
      </c>
      <c r="AT454" s="51" t="s">
        <v>4388</v>
      </c>
      <c r="AU454" s="50" t="s">
        <v>950</v>
      </c>
      <c r="AW454" s="52" t="s">
        <v>4021</v>
      </c>
      <c r="AY454" s="52" t="s">
        <v>4022</v>
      </c>
    </row>
    <row r="455" spans="1:54" x14ac:dyDescent="0.25">
      <c r="A455" s="51" t="s">
        <v>3809</v>
      </c>
      <c r="B455" s="51">
        <v>62</v>
      </c>
      <c r="C455" s="51" t="s">
        <v>3835</v>
      </c>
      <c r="E455" s="54" t="str" cm="1">
        <f t="array" aca="1" ref="E455" ca="1">IF(H455=0,"",HYPERLINK("#"&amp;RIGHT(CELL("dateiname"),LEN(CELL("dateiname"))-FIND("]",CELL("dateiname")))&amp;"!"&amp;CELL("adresse",OFFSET($Q$6,H455-1,0)),"Definition"))</f>
        <v>Definition</v>
      </c>
      <c r="F455" s="54" t="str" cm="1">
        <f t="array" aca="1" ref="F455" ca="1">IF(I455=0,"",HYPERLINK("#"&amp;RIGHT(CELL("adresse",OFFSET(DMAV_Doku!$B$6,I455-1,0)),LEN(CELL("adresse",OFFSET(DMAV_Doku!$B$6,I455-1,0)))-SEARCH("]",CELL("adresse",OFFSET(DMAV_Doku!$B$6,I455-1,0)))),"ModDoc"))</f>
        <v>ModDoc</v>
      </c>
      <c r="G455" s="150" t="str">
        <f t="shared" ref="G455:G518" si="14">A455&amp;B455</f>
        <v>MBB62</v>
      </c>
      <c r="H455" s="150">
        <f t="shared" ref="H455:H518" si="15">IF(C455="",0,MATCH(C455,$G$6:$G$677,0))</f>
        <v>41</v>
      </c>
      <c r="I455" s="150">
        <f>IF(_xlfn.XLOOKUP(G455,Korrelation!$A$4:$A$723,Korrelation!$B$4:$B$723,0,0)=0,0,MATCH(_xlfn.XLOOKUP(G455,Korrelation!$A$4:$A$723,Korrelation!$B$4:$B$723,0,0),DMAV_Doku!$H$6:$H$483,0))</f>
        <v>276</v>
      </c>
      <c r="J455" s="158"/>
      <c r="K455" s="161"/>
      <c r="L455" s="161"/>
      <c r="M455" s="158"/>
      <c r="N455" s="51" t="s">
        <v>4354</v>
      </c>
      <c r="O455" s="51" t="s">
        <v>3870</v>
      </c>
      <c r="P455" s="51" t="s">
        <v>19</v>
      </c>
      <c r="Q455" s="51" t="s">
        <v>949</v>
      </c>
      <c r="R455" s="51" t="s">
        <v>422</v>
      </c>
      <c r="S455" s="50" t="s">
        <v>950</v>
      </c>
      <c r="U455" s="52" t="s">
        <v>130</v>
      </c>
      <c r="W455" s="52" t="s">
        <v>955</v>
      </c>
      <c r="AB455" s="51" t="s">
        <v>4355</v>
      </c>
      <c r="AC455" s="51" t="s">
        <v>3873</v>
      </c>
      <c r="AD455" s="51" t="s">
        <v>821</v>
      </c>
      <c r="AE455" s="51" t="s">
        <v>949</v>
      </c>
      <c r="AF455" s="51" t="s">
        <v>822</v>
      </c>
      <c r="AG455" s="50" t="s">
        <v>950</v>
      </c>
      <c r="AI455" s="52" t="s">
        <v>745</v>
      </c>
      <c r="AK455" s="52" t="s">
        <v>4023</v>
      </c>
      <c r="AP455" s="51" t="s">
        <v>4356</v>
      </c>
      <c r="AQ455" s="51" t="s">
        <v>3876</v>
      </c>
      <c r="AR455" s="51" t="s">
        <v>4357</v>
      </c>
      <c r="AS455" s="51" t="s">
        <v>949</v>
      </c>
      <c r="AT455" s="51" t="s">
        <v>4388</v>
      </c>
      <c r="AU455" s="50" t="s">
        <v>950</v>
      </c>
      <c r="AW455" s="52" t="s">
        <v>4024</v>
      </c>
      <c r="AY455" s="52" t="s">
        <v>4025</v>
      </c>
    </row>
    <row r="456" spans="1:54" x14ac:dyDescent="0.25">
      <c r="A456" s="51" t="s">
        <v>3809</v>
      </c>
      <c r="B456" s="51">
        <v>63</v>
      </c>
      <c r="C456" s="51" t="s">
        <v>3834</v>
      </c>
      <c r="E456" s="54" t="str" cm="1">
        <f t="array" aca="1" ref="E456" ca="1">IF(H456=0,"",HYPERLINK("#"&amp;RIGHT(CELL("dateiname"),LEN(CELL("dateiname"))-FIND("]",CELL("dateiname")))&amp;"!"&amp;CELL("adresse",OFFSET($Q$6,H456-1,0)),"Definition"))</f>
        <v>Definition</v>
      </c>
      <c r="F456" s="54" t="str" cm="1">
        <f t="array" aca="1" ref="F456" ca="1">IF(I456=0,"",HYPERLINK("#"&amp;RIGHT(CELL("adresse",OFFSET(DMAV_Doku!$B$6,I456-1,0)),LEN(CELL("adresse",OFFSET(DMAV_Doku!$B$6,I456-1,0)))-SEARCH("]",CELL("adresse",OFFSET(DMAV_Doku!$B$6,I456-1,0)))),"ModDoc"))</f>
        <v>ModDoc</v>
      </c>
      <c r="G456" s="150" t="str">
        <f t="shared" si="14"/>
        <v>MBB63</v>
      </c>
      <c r="H456" s="150">
        <f t="shared" si="15"/>
        <v>40</v>
      </c>
      <c r="I456" s="150">
        <f>IF(_xlfn.XLOOKUP(G456,Korrelation!$A$4:$A$723,Korrelation!$B$4:$B$723,0,0)=0,0,MATCH(_xlfn.XLOOKUP(G456,Korrelation!$A$4:$A$723,Korrelation!$B$4:$B$723,0,0),DMAV_Doku!$H$6:$H$483,0))</f>
        <v>277</v>
      </c>
      <c r="J456" s="158"/>
      <c r="K456" s="161"/>
      <c r="L456" s="161"/>
      <c r="M456" s="158"/>
      <c r="N456" s="51" t="s">
        <v>4354</v>
      </c>
      <c r="O456" s="51" t="s">
        <v>3870</v>
      </c>
      <c r="P456" s="51" t="s">
        <v>19</v>
      </c>
      <c r="Q456" s="51" t="s">
        <v>949</v>
      </c>
      <c r="R456" s="51" t="s">
        <v>422</v>
      </c>
      <c r="U456" s="52" t="s">
        <v>132</v>
      </c>
      <c r="W456" s="52" t="s">
        <v>954</v>
      </c>
      <c r="AB456" s="51" t="s">
        <v>4355</v>
      </c>
      <c r="AC456" s="51" t="s">
        <v>3873</v>
      </c>
      <c r="AD456" s="51" t="s">
        <v>821</v>
      </c>
      <c r="AE456" s="51" t="s">
        <v>949</v>
      </c>
      <c r="AF456" s="51" t="s">
        <v>822</v>
      </c>
      <c r="AI456" s="52" t="s">
        <v>746</v>
      </c>
      <c r="AK456" s="52" t="s">
        <v>4020</v>
      </c>
      <c r="AP456" s="51" t="s">
        <v>4356</v>
      </c>
      <c r="AQ456" s="51" t="s">
        <v>3876</v>
      </c>
      <c r="AR456" s="51" t="s">
        <v>4357</v>
      </c>
      <c r="AS456" s="51" t="s">
        <v>949</v>
      </c>
      <c r="AT456" s="51" t="s">
        <v>4388</v>
      </c>
      <c r="AW456" s="52" t="s">
        <v>4026</v>
      </c>
      <c r="AY456" s="52" t="s">
        <v>4022</v>
      </c>
    </row>
    <row r="457" spans="1:54" x14ac:dyDescent="0.25">
      <c r="A457" s="51" t="s">
        <v>3809</v>
      </c>
      <c r="B457" s="51">
        <v>64</v>
      </c>
      <c r="C457" s="51" t="s">
        <v>3835</v>
      </c>
      <c r="E457" s="54" t="str" cm="1">
        <f t="array" aca="1" ref="E457" ca="1">IF(H457=0,"",HYPERLINK("#"&amp;RIGHT(CELL("dateiname"),LEN(CELL("dateiname"))-FIND("]",CELL("dateiname")))&amp;"!"&amp;CELL("adresse",OFFSET($Q$6,H457-1,0)),"Definition"))</f>
        <v>Definition</v>
      </c>
      <c r="F457" s="54" t="str" cm="1">
        <f t="array" aca="1" ref="F457" ca="1">IF(I457=0,"",HYPERLINK("#"&amp;RIGHT(CELL("adresse",OFFSET(DMAV_Doku!$B$6,I457-1,0)),LEN(CELL("adresse",OFFSET(DMAV_Doku!$B$6,I457-1,0)))-SEARCH("]",CELL("adresse",OFFSET(DMAV_Doku!$B$6,I457-1,0)))),"ModDoc"))</f>
        <v>ModDoc</v>
      </c>
      <c r="G457" s="150" t="str">
        <f t="shared" si="14"/>
        <v>MBB64</v>
      </c>
      <c r="H457" s="150">
        <f t="shared" si="15"/>
        <v>41</v>
      </c>
      <c r="I457" s="150">
        <f>IF(_xlfn.XLOOKUP(G457,Korrelation!$A$4:$A$723,Korrelation!$B$4:$B$723,0,0)=0,0,MATCH(_xlfn.XLOOKUP(G457,Korrelation!$A$4:$A$723,Korrelation!$B$4:$B$723,0,0),DMAV_Doku!$H$6:$H$483,0))</f>
        <v>278</v>
      </c>
      <c r="J457" s="158"/>
      <c r="K457" s="161"/>
      <c r="L457" s="161"/>
      <c r="M457" s="158"/>
      <c r="N457" s="51" t="s">
        <v>4354</v>
      </c>
      <c r="O457" s="51" t="s">
        <v>3870</v>
      </c>
      <c r="P457" s="51" t="s">
        <v>19</v>
      </c>
      <c r="Q457" s="51" t="s">
        <v>949</v>
      </c>
      <c r="R457" s="51" t="s">
        <v>422</v>
      </c>
      <c r="U457" s="52" t="s">
        <v>133</v>
      </c>
      <c r="W457" s="52" t="s">
        <v>955</v>
      </c>
      <c r="AB457" s="51" t="s">
        <v>4355</v>
      </c>
      <c r="AC457" s="51" t="s">
        <v>3873</v>
      </c>
      <c r="AD457" s="51" t="s">
        <v>821</v>
      </c>
      <c r="AE457" s="51" t="s">
        <v>949</v>
      </c>
      <c r="AF457" s="51" t="s">
        <v>822</v>
      </c>
      <c r="AI457" s="52" t="s">
        <v>747</v>
      </c>
      <c r="AK457" s="52" t="s">
        <v>4023</v>
      </c>
      <c r="AP457" s="51" t="s">
        <v>4356</v>
      </c>
      <c r="AQ457" s="51" t="s">
        <v>3876</v>
      </c>
      <c r="AR457" s="51" t="s">
        <v>4357</v>
      </c>
      <c r="AS457" s="51" t="s">
        <v>949</v>
      </c>
      <c r="AT457" s="51" t="s">
        <v>4388</v>
      </c>
      <c r="AW457" s="52" t="s">
        <v>4027</v>
      </c>
      <c r="AY457" s="52" t="s">
        <v>4025</v>
      </c>
    </row>
    <row r="458" spans="1:54" x14ac:dyDescent="0.25">
      <c r="A458" s="51" t="s">
        <v>3809</v>
      </c>
      <c r="B458" s="51">
        <v>65</v>
      </c>
      <c r="E458" s="54" t="str" cm="1">
        <f t="array" aca="1" ref="E458" ca="1">IF(H458=0,"",HYPERLINK("#"&amp;RIGHT(CELL("dateiname"),LEN(CELL("dateiname"))-FIND("]",CELL("dateiname")))&amp;"!"&amp;CELL("adresse",OFFSET($Q$6,H458-1,0)),"Definition"))</f>
        <v/>
      </c>
      <c r="F458" s="54" t="str" cm="1">
        <f t="array" aca="1" ref="F458" ca="1">IF(I458=0,"",HYPERLINK("#"&amp;RIGHT(CELL("adresse",OFFSET(DMAV_Doku!$B$6,I458-1,0)),LEN(CELL("adresse",OFFSET(DMAV_Doku!$B$6,I458-1,0)))-SEARCH("]",CELL("adresse",OFFSET(DMAV_Doku!$B$6,I458-1,0)))),"ModDoc"))</f>
        <v>ModDoc</v>
      </c>
      <c r="G458" s="150" t="str">
        <f t="shared" si="14"/>
        <v>MBB65</v>
      </c>
      <c r="H458" s="150">
        <f t="shared" si="15"/>
        <v>0</v>
      </c>
      <c r="I458" s="150">
        <f>IF(_xlfn.XLOOKUP(G458,Korrelation!$A$4:$A$723,Korrelation!$B$4:$B$723,0,0)=0,0,MATCH(_xlfn.XLOOKUP(G458,Korrelation!$A$4:$A$723,Korrelation!$B$4:$B$723,0,0),DMAV_Doku!$H$6:$H$483,0))</f>
        <v>279</v>
      </c>
      <c r="J458" s="158"/>
      <c r="K458" s="161"/>
      <c r="L458" s="161"/>
      <c r="M458" s="158"/>
      <c r="N458" s="51" t="s">
        <v>4354</v>
      </c>
      <c r="O458" s="51" t="s">
        <v>3870</v>
      </c>
      <c r="P458" s="51" t="s">
        <v>19</v>
      </c>
      <c r="Q458" s="51" t="s">
        <v>949</v>
      </c>
      <c r="R458" s="51" t="s">
        <v>422</v>
      </c>
      <c r="S458" s="50" t="s">
        <v>950</v>
      </c>
      <c r="U458" s="52" t="s">
        <v>297</v>
      </c>
      <c r="W458" s="52" t="s">
        <v>131</v>
      </c>
      <c r="AB458" s="51" t="s">
        <v>4355</v>
      </c>
      <c r="AC458" s="51" t="s">
        <v>3873</v>
      </c>
      <c r="AD458" s="51" t="s">
        <v>821</v>
      </c>
      <c r="AE458" s="51" t="s">
        <v>949</v>
      </c>
      <c r="AF458" s="51" t="s">
        <v>822</v>
      </c>
      <c r="AG458" s="50" t="s">
        <v>950</v>
      </c>
      <c r="AI458" s="52" t="s">
        <v>797</v>
      </c>
      <c r="AK458" s="52" t="s">
        <v>131</v>
      </c>
      <c r="AP458" s="51" t="s">
        <v>4356</v>
      </c>
      <c r="AQ458" s="51" t="s">
        <v>3876</v>
      </c>
      <c r="AR458" s="51" t="s">
        <v>4357</v>
      </c>
      <c r="AS458" s="51" t="s">
        <v>949</v>
      </c>
      <c r="AT458" s="51" t="s">
        <v>4388</v>
      </c>
      <c r="AU458" s="50" t="s">
        <v>950</v>
      </c>
      <c r="AW458" s="52" t="s">
        <v>4188</v>
      </c>
      <c r="AY458" s="52" t="s">
        <v>131</v>
      </c>
    </row>
    <row r="459" spans="1:54" ht="51" x14ac:dyDescent="0.25">
      <c r="A459" s="51" t="s">
        <v>3809</v>
      </c>
      <c r="B459" s="51">
        <v>66</v>
      </c>
      <c r="D459" s="51" t="s">
        <v>3532</v>
      </c>
      <c r="E459" s="54" t="str" cm="1">
        <f t="array" aca="1" ref="E459" ca="1">IF(H459=0,"",HYPERLINK("#"&amp;RIGHT(CELL("dateiname"),LEN(CELL("dateiname"))-FIND("]",CELL("dateiname")))&amp;"!"&amp;CELL("adresse",OFFSET($Q$6,H459-1,0)),"Definition"))</f>
        <v/>
      </c>
      <c r="F459" s="54" t="str" cm="1">
        <f t="array" aca="1" ref="F459" ca="1">IF(I459=0,"",HYPERLINK("#"&amp;RIGHT(CELL("adresse",OFFSET(DMAV_Doku!$B$6,I459-1,0)),LEN(CELL("adresse",OFFSET(DMAV_Doku!$B$6,I459-1,0)))-SEARCH("]",CELL("adresse",OFFSET(DMAV_Doku!$B$6,I459-1,0)))),"ModDoc"))</f>
        <v/>
      </c>
      <c r="G459" s="150" t="str">
        <f t="shared" si="14"/>
        <v>MBB66</v>
      </c>
      <c r="H459" s="150">
        <f t="shared" si="15"/>
        <v>0</v>
      </c>
      <c r="I459" s="150">
        <f>IF(_xlfn.XLOOKUP(G459,Korrelation!$A$4:$A$723,Korrelation!$B$4:$B$723,0,0)=0,0,MATCH(_xlfn.XLOOKUP(G459,Korrelation!$A$4:$A$723,Korrelation!$B$4:$B$723,0,0),DMAV_Doku!$H$6:$H$483,0))</f>
        <v>0</v>
      </c>
      <c r="J459" s="158"/>
      <c r="K459" s="161"/>
      <c r="L459" s="161"/>
      <c r="M459" s="158"/>
      <c r="N459" s="51" t="s">
        <v>4354</v>
      </c>
      <c r="O459" s="51" t="s">
        <v>3870</v>
      </c>
      <c r="P459" s="51" t="s">
        <v>19</v>
      </c>
      <c r="Q459" s="51" t="s">
        <v>957</v>
      </c>
      <c r="R459" s="51" t="s">
        <v>422</v>
      </c>
      <c r="S459" s="50" t="s">
        <v>950</v>
      </c>
      <c r="U459" s="52" t="s">
        <v>2751</v>
      </c>
      <c r="W459" s="52" t="s">
        <v>3420</v>
      </c>
      <c r="Z459" s="201" t="s">
        <v>3660</v>
      </c>
      <c r="AB459" s="51" t="s">
        <v>4355</v>
      </c>
      <c r="AC459" s="51" t="s">
        <v>3873</v>
      </c>
      <c r="AD459" s="51" t="s">
        <v>821</v>
      </c>
      <c r="AE459" s="51" t="s">
        <v>957</v>
      </c>
      <c r="AF459" s="51" t="s">
        <v>822</v>
      </c>
      <c r="AG459" s="50" t="s">
        <v>950</v>
      </c>
      <c r="AI459" s="52" t="s">
        <v>4038</v>
      </c>
      <c r="AK459" s="52" t="s">
        <v>4039</v>
      </c>
      <c r="AN459" s="201" t="s">
        <v>7249</v>
      </c>
      <c r="AP459" s="51" t="s">
        <v>4356</v>
      </c>
      <c r="AQ459" s="51" t="s">
        <v>3876</v>
      </c>
      <c r="AR459" s="51" t="s">
        <v>4357</v>
      </c>
      <c r="AS459" s="51" t="s">
        <v>957</v>
      </c>
      <c r="AT459" s="51" t="s">
        <v>4388</v>
      </c>
      <c r="AU459" s="50" t="s">
        <v>950</v>
      </c>
      <c r="AW459" s="52" t="s">
        <v>4038</v>
      </c>
      <c r="AY459" s="52" t="s">
        <v>4040</v>
      </c>
      <c r="BB459" s="201" t="s">
        <v>6020</v>
      </c>
    </row>
    <row r="460" spans="1:54" ht="51" x14ac:dyDescent="0.25">
      <c r="A460" s="51" t="s">
        <v>3809</v>
      </c>
      <c r="B460" s="51">
        <v>67</v>
      </c>
      <c r="D460" s="51" t="s">
        <v>3533</v>
      </c>
      <c r="E460" s="54" t="str" cm="1">
        <f t="array" aca="1" ref="E460" ca="1">IF(H460=0,"",HYPERLINK("#"&amp;RIGHT(CELL("dateiname"),LEN(CELL("dateiname"))-FIND("]",CELL("dateiname")))&amp;"!"&amp;CELL("adresse",OFFSET($Q$6,H460-1,0)),"Definition"))</f>
        <v/>
      </c>
      <c r="F460" s="54" t="str" cm="1">
        <f t="array" aca="1" ref="F460" ca="1">IF(I460=0,"",HYPERLINK("#"&amp;RIGHT(CELL("adresse",OFFSET(DMAV_Doku!$B$6,I460-1,0)),LEN(CELL("adresse",OFFSET(DMAV_Doku!$B$6,I460-1,0)))-SEARCH("]",CELL("adresse",OFFSET(DMAV_Doku!$B$6,I460-1,0)))),"ModDoc"))</f>
        <v/>
      </c>
      <c r="G460" s="150" t="str">
        <f t="shared" si="14"/>
        <v>MBB67</v>
      </c>
      <c r="H460" s="150">
        <f t="shared" si="15"/>
        <v>0</v>
      </c>
      <c r="I460" s="150">
        <f>IF(_xlfn.XLOOKUP(G460,Korrelation!$A$4:$A$723,Korrelation!$B$4:$B$723,0,0)=0,0,MATCH(_xlfn.XLOOKUP(G460,Korrelation!$A$4:$A$723,Korrelation!$B$4:$B$723,0,0),DMAV_Doku!$H$6:$H$483,0))</f>
        <v>0</v>
      </c>
      <c r="J460" s="158"/>
      <c r="K460" s="161"/>
      <c r="L460" s="161"/>
      <c r="M460" s="158"/>
      <c r="N460" s="51" t="s">
        <v>4354</v>
      </c>
      <c r="O460" s="51" t="s">
        <v>3870</v>
      </c>
      <c r="P460" s="51" t="s">
        <v>19</v>
      </c>
      <c r="Q460" s="51" t="s">
        <v>957</v>
      </c>
      <c r="R460" s="51" t="s">
        <v>422</v>
      </c>
      <c r="S460" s="50" t="s">
        <v>950</v>
      </c>
      <c r="U460" s="52" t="s">
        <v>2751</v>
      </c>
      <c r="W460" s="52" t="s">
        <v>3422</v>
      </c>
      <c r="Z460" s="201" t="s">
        <v>3661</v>
      </c>
      <c r="AB460" s="51" t="s">
        <v>4355</v>
      </c>
      <c r="AC460" s="51" t="s">
        <v>3873</v>
      </c>
      <c r="AD460" s="51" t="s">
        <v>821</v>
      </c>
      <c r="AE460" s="51" t="s">
        <v>957</v>
      </c>
      <c r="AF460" s="51" t="s">
        <v>822</v>
      </c>
      <c r="AG460" s="50" t="s">
        <v>950</v>
      </c>
      <c r="AI460" s="52" t="s">
        <v>4038</v>
      </c>
      <c r="AK460" s="52" t="s">
        <v>4041</v>
      </c>
      <c r="AN460" s="201" t="s">
        <v>7250</v>
      </c>
      <c r="AP460" s="51" t="s">
        <v>4356</v>
      </c>
      <c r="AQ460" s="51" t="s">
        <v>3876</v>
      </c>
      <c r="AR460" s="51" t="s">
        <v>4357</v>
      </c>
      <c r="AS460" s="51" t="s">
        <v>957</v>
      </c>
      <c r="AT460" s="51" t="s">
        <v>4388</v>
      </c>
      <c r="AU460" s="50" t="s">
        <v>950</v>
      </c>
      <c r="AW460" s="52" t="s">
        <v>4038</v>
      </c>
      <c r="AY460" s="52" t="s">
        <v>4042</v>
      </c>
      <c r="BB460" s="201" t="s">
        <v>6021</v>
      </c>
    </row>
    <row r="461" spans="1:54" ht="12.75" customHeight="1" x14ac:dyDescent="0.25">
      <c r="A461" s="51" t="s">
        <v>3809</v>
      </c>
      <c r="B461" s="51">
        <v>68</v>
      </c>
      <c r="E461" s="54" t="str" cm="1">
        <f t="array" aca="1" ref="E461" ca="1">IF(H461=0,"",HYPERLINK("#"&amp;RIGHT(CELL("dateiname"),LEN(CELL("dateiname"))-FIND("]",CELL("dateiname")))&amp;"!"&amp;CELL("adresse",OFFSET($Q$6,H461-1,0)),"Definition"))</f>
        <v/>
      </c>
      <c r="F461" s="54" t="str" cm="1">
        <f t="array" aca="1" ref="F461" ca="1">IF(I461=0,"",HYPERLINK("#"&amp;RIGHT(CELL("adresse",OFFSET(DMAV_Doku!$B$6,I461-1,0)),LEN(CELL("adresse",OFFSET(DMAV_Doku!$B$6,I461-1,0)))-SEARCH("]",CELL("adresse",OFFSET(DMAV_Doku!$B$6,I461-1,0)))),"ModDoc"))</f>
        <v/>
      </c>
      <c r="G461" s="150" t="str">
        <f t="shared" si="14"/>
        <v>MBB68</v>
      </c>
      <c r="H461" s="150">
        <f t="shared" si="15"/>
        <v>0</v>
      </c>
      <c r="I461" s="150">
        <f>IF(_xlfn.XLOOKUP(G461,Korrelation!$A$4:$A$723,Korrelation!$B$4:$B$723,0,0)=0,0,MATCH(_xlfn.XLOOKUP(G461,Korrelation!$A$4:$A$723,Korrelation!$B$4:$B$723,0,0),DMAV_Doku!$H$6:$H$483,0))</f>
        <v>0</v>
      </c>
      <c r="J461" s="158"/>
      <c r="K461" s="161"/>
      <c r="L461" s="161"/>
      <c r="M461" s="158"/>
      <c r="N461" s="51" t="s">
        <v>4354</v>
      </c>
      <c r="O461" s="51" t="s">
        <v>3870</v>
      </c>
      <c r="P461" s="51" t="s">
        <v>19</v>
      </c>
      <c r="Q461" s="51" t="s">
        <v>967</v>
      </c>
      <c r="R461" s="51" t="s">
        <v>1131</v>
      </c>
      <c r="U461" s="52" t="s">
        <v>969</v>
      </c>
      <c r="W461" s="52" t="s">
        <v>406</v>
      </c>
      <c r="X461" s="51" t="s">
        <v>975</v>
      </c>
      <c r="AB461" s="51" t="s">
        <v>4355</v>
      </c>
      <c r="AC461" s="51" t="s">
        <v>3873</v>
      </c>
      <c r="AD461" s="51" t="s">
        <v>821</v>
      </c>
      <c r="AE461" s="51" t="s">
        <v>967</v>
      </c>
      <c r="AF461" s="51" t="s">
        <v>4389</v>
      </c>
      <c r="AI461" s="52" t="s">
        <v>1319</v>
      </c>
      <c r="AK461" s="52" t="s">
        <v>820</v>
      </c>
      <c r="AL461" s="51" t="s">
        <v>975</v>
      </c>
      <c r="AP461" s="51" t="s">
        <v>4356</v>
      </c>
      <c r="AQ461" s="51" t="s">
        <v>3876</v>
      </c>
      <c r="AR461" s="51" t="s">
        <v>4357</v>
      </c>
      <c r="AS461" s="51" t="s">
        <v>967</v>
      </c>
      <c r="AT461" s="51" t="s">
        <v>4390</v>
      </c>
      <c r="AW461" s="52" t="s">
        <v>1319</v>
      </c>
      <c r="AY461" s="52" t="s">
        <v>4359</v>
      </c>
      <c r="AZ461" s="51" t="s">
        <v>975</v>
      </c>
    </row>
    <row r="462" spans="1:54" x14ac:dyDescent="0.25">
      <c r="A462" s="51" t="s">
        <v>3809</v>
      </c>
      <c r="B462" s="51">
        <v>69</v>
      </c>
      <c r="E462" s="54" t="str" cm="1">
        <f t="array" aca="1" ref="E462" ca="1">IF(H462=0,"",HYPERLINK("#"&amp;RIGHT(CELL("dateiname"),LEN(CELL("dateiname"))-FIND("]",CELL("dateiname")))&amp;"!"&amp;CELL("adresse",OFFSET($Q$6,H462-1,0)),"Definition"))</f>
        <v/>
      </c>
      <c r="F462" s="54" t="str" cm="1">
        <f t="array" aca="1" ref="F462" ca="1">IF(I462=0,"",HYPERLINK("#"&amp;RIGHT(CELL("adresse",OFFSET(DMAV_Doku!$B$6,I462-1,0)),LEN(CELL("adresse",OFFSET(DMAV_Doku!$B$6,I462-1,0)))-SEARCH("]",CELL("adresse",OFFSET(DMAV_Doku!$B$6,I462-1,0)))),"ModDoc"))</f>
        <v/>
      </c>
      <c r="G462" s="150" t="str">
        <f t="shared" si="14"/>
        <v>MBB69</v>
      </c>
      <c r="H462" s="150">
        <f t="shared" si="15"/>
        <v>0</v>
      </c>
      <c r="I462" s="150">
        <f>IF(_xlfn.XLOOKUP(G462,Korrelation!$A$4:$A$723,Korrelation!$B$4:$B$723,0,0)=0,0,MATCH(_xlfn.XLOOKUP(G462,Korrelation!$A$4:$A$723,Korrelation!$B$4:$B$723,0,0),DMAV_Doku!$H$6:$H$483,0))</f>
        <v>0</v>
      </c>
      <c r="J462" s="158"/>
      <c r="K462" s="161"/>
      <c r="L462" s="161"/>
      <c r="M462" s="158"/>
      <c r="N462" s="51" t="s">
        <v>4354</v>
      </c>
      <c r="O462" s="51" t="s">
        <v>3870</v>
      </c>
      <c r="P462" s="51" t="s">
        <v>19</v>
      </c>
      <c r="Q462" s="51" t="s">
        <v>967</v>
      </c>
      <c r="R462" s="51" t="s">
        <v>1131</v>
      </c>
      <c r="U462" s="52" t="s">
        <v>1132</v>
      </c>
      <c r="W462" s="52" t="s">
        <v>422</v>
      </c>
      <c r="X462" s="51" t="s">
        <v>972</v>
      </c>
      <c r="AB462" s="51" t="s">
        <v>4355</v>
      </c>
      <c r="AC462" s="51" t="s">
        <v>3873</v>
      </c>
      <c r="AD462" s="51" t="s">
        <v>821</v>
      </c>
      <c r="AE462" s="51" t="s">
        <v>967</v>
      </c>
      <c r="AF462" s="51" t="s">
        <v>4389</v>
      </c>
      <c r="AI462" s="52" t="s">
        <v>4391</v>
      </c>
      <c r="AK462" s="52" t="s">
        <v>822</v>
      </c>
      <c r="AL462" s="51" t="s">
        <v>972</v>
      </c>
      <c r="AP462" s="51" t="s">
        <v>4356</v>
      </c>
      <c r="AQ462" s="51" t="s">
        <v>3876</v>
      </c>
      <c r="AR462" s="51" t="s">
        <v>4357</v>
      </c>
      <c r="AS462" s="51" t="s">
        <v>967</v>
      </c>
      <c r="AT462" s="51" t="s">
        <v>4390</v>
      </c>
      <c r="AW462" s="52" t="s">
        <v>4392</v>
      </c>
      <c r="AY462" s="52" t="s">
        <v>4388</v>
      </c>
      <c r="AZ462" s="51" t="s">
        <v>972</v>
      </c>
    </row>
    <row r="463" spans="1:54" x14ac:dyDescent="0.25">
      <c r="A463" s="51" t="s">
        <v>3810</v>
      </c>
      <c r="B463" s="51">
        <v>1</v>
      </c>
      <c r="E463" s="54" t="str" cm="1">
        <f t="array" aca="1" ref="E463" ca="1">IF(H463=0,"",HYPERLINK("#"&amp;RIGHT(CELL("dateiname"),LEN(CELL("dateiname"))-FIND("]",CELL("dateiname")))&amp;"!"&amp;CELL("adresse",OFFSET($Q$6,H463-1,0)),"Definition"))</f>
        <v/>
      </c>
      <c r="F463" s="54" t="str" cm="1">
        <f t="array" aca="1" ref="F463" ca="1">IF(I463=0,"",HYPERLINK("#"&amp;RIGHT(CELL("adresse",OFFSET(DMAV_Doku!$B$6,I463-1,0)),LEN(CELL("adresse",OFFSET(DMAV_Doku!$B$6,I463-1,0)))-SEARCH("]",CELL("adresse",OFFSET(DMAV_Doku!$B$6,I463-1,0)))),"ModDoc"))</f>
        <v/>
      </c>
      <c r="G463" s="150" t="str">
        <f t="shared" si="14"/>
        <v>MEO1</v>
      </c>
      <c r="H463" s="150">
        <f t="shared" si="15"/>
        <v>0</v>
      </c>
      <c r="I463" s="150">
        <f>IF(_xlfn.XLOOKUP(G463,Korrelation!$A$4:$A$723,Korrelation!$B$4:$B$723,0,0)=0,0,MATCH(_xlfn.XLOOKUP(G463,Korrelation!$A$4:$A$723,Korrelation!$B$4:$B$723,0,0),DMAV_Doku!$H$6:$H$483,0))</f>
        <v>0</v>
      </c>
      <c r="J463" s="158"/>
      <c r="K463" s="161"/>
      <c r="L463" s="161"/>
      <c r="M463" s="158"/>
      <c r="N463" s="51" t="s">
        <v>4393</v>
      </c>
      <c r="O463" s="51" t="s">
        <v>3883</v>
      </c>
      <c r="Q463" s="51" t="s">
        <v>910</v>
      </c>
      <c r="R463" s="51" t="s">
        <v>932</v>
      </c>
      <c r="W463" s="52"/>
      <c r="AB463" s="51" t="s">
        <v>4394</v>
      </c>
      <c r="AC463" s="51" t="s">
        <v>3884</v>
      </c>
      <c r="AE463" s="51" t="s">
        <v>910</v>
      </c>
      <c r="AF463" s="51" t="s">
        <v>932</v>
      </c>
      <c r="AP463" s="51" t="s">
        <v>4395</v>
      </c>
      <c r="AQ463" s="51" t="s">
        <v>3885</v>
      </c>
      <c r="AS463" s="51" t="s">
        <v>910</v>
      </c>
      <c r="AT463" s="51" t="s">
        <v>932</v>
      </c>
    </row>
    <row r="464" spans="1:54" x14ac:dyDescent="0.25">
      <c r="A464" s="51" t="s">
        <v>3810</v>
      </c>
      <c r="B464" s="51">
        <v>2</v>
      </c>
      <c r="C464" s="51" t="s">
        <v>3829</v>
      </c>
      <c r="E464" s="54" t="str" cm="1">
        <f t="array" aca="1" ref="E464" ca="1">IF(H464=0,"",HYPERLINK("#"&amp;RIGHT(CELL("dateiname"),LEN(CELL("dateiname"))-FIND("]",CELL("dateiname")))&amp;"!"&amp;CELL("adresse",OFFSET($Q$6,H464-1,0)),"Definition"))</f>
        <v>Definition</v>
      </c>
      <c r="F464" s="54" t="str" cm="1">
        <f t="array" aca="1" ref="F464" ca="1">IF(I464=0,"",HYPERLINK("#"&amp;RIGHT(CELL("adresse",OFFSET(DMAV_Doku!$B$6,I464-1,0)),LEN(CELL("adresse",OFFSET(DMAV_Doku!$B$6,I464-1,0)))-SEARCH("]",CELL("adresse",OFFSET(DMAV_Doku!$B$6,I464-1,0)))),"ModDoc"))</f>
        <v/>
      </c>
      <c r="G464" s="150" t="str">
        <f t="shared" si="14"/>
        <v>MEO2</v>
      </c>
      <c r="H464" s="150">
        <f t="shared" si="15"/>
        <v>17</v>
      </c>
      <c r="I464" s="150">
        <f>IF(_xlfn.XLOOKUP(G464,Korrelation!$A$4:$A$723,Korrelation!$B$4:$B$723,0,0)=0,0,MATCH(_xlfn.XLOOKUP(G464,Korrelation!$A$4:$A$723,Korrelation!$B$4:$B$723,0,0),DMAV_Doku!$H$6:$H$483,0))</f>
        <v>0</v>
      </c>
      <c r="J464" s="158"/>
      <c r="K464" s="161"/>
      <c r="L464" s="161"/>
      <c r="M464" s="158"/>
      <c r="N464" s="51" t="s">
        <v>4393</v>
      </c>
      <c r="O464" s="51" t="s">
        <v>3883</v>
      </c>
      <c r="Q464" s="51" t="s">
        <v>910</v>
      </c>
      <c r="R464" s="51" t="s">
        <v>926</v>
      </c>
      <c r="W464" s="52"/>
      <c r="AB464" s="51" t="s">
        <v>4394</v>
      </c>
      <c r="AC464" s="51" t="s">
        <v>3884</v>
      </c>
      <c r="AE464" s="51" t="s">
        <v>910</v>
      </c>
      <c r="AF464" s="51" t="s">
        <v>3921</v>
      </c>
      <c r="AP464" s="51" t="s">
        <v>4395</v>
      </c>
      <c r="AQ464" s="51" t="s">
        <v>3885</v>
      </c>
      <c r="AS464" s="51" t="s">
        <v>910</v>
      </c>
      <c r="AT464" s="51" t="s">
        <v>3923</v>
      </c>
    </row>
    <row r="465" spans="1:51" x14ac:dyDescent="0.25">
      <c r="A465" s="51" t="s">
        <v>3810</v>
      </c>
      <c r="B465" s="51">
        <v>3</v>
      </c>
      <c r="C465" s="51" t="s">
        <v>3847</v>
      </c>
      <c r="E465" s="54" t="str" cm="1">
        <f t="array" aca="1" ref="E465" ca="1">IF(H465=0,"",HYPERLINK("#"&amp;RIGHT(CELL("dateiname"),LEN(CELL("dateiname"))-FIND("]",CELL("dateiname")))&amp;"!"&amp;CELL("adresse",OFFSET($Q$6,H465-1,0)),"Definition"))</f>
        <v>Definition</v>
      </c>
      <c r="F465" s="54" t="str" cm="1">
        <f t="array" aca="1" ref="F465" ca="1">IF(I465=0,"",HYPERLINK("#"&amp;RIGHT(CELL("adresse",OFFSET(DMAV_Doku!$B$6,I465-1,0)),LEN(CELL("adresse",OFFSET(DMAV_Doku!$B$6,I465-1,0)))-SEARCH("]",CELL("adresse",OFFSET(DMAV_Doku!$B$6,I465-1,0)))),"ModDoc"))</f>
        <v/>
      </c>
      <c r="G465" s="150" t="str">
        <f t="shared" si="14"/>
        <v>MEO3</v>
      </c>
      <c r="H465" s="150">
        <f t="shared" si="15"/>
        <v>36</v>
      </c>
      <c r="I465" s="150">
        <f>IF(_xlfn.XLOOKUP(G465,Korrelation!$A$4:$A$723,Korrelation!$B$4:$B$723,0,0)=0,0,MATCH(_xlfn.XLOOKUP(G465,Korrelation!$A$4:$A$723,Korrelation!$B$4:$B$723,0,0),DMAV_Doku!$H$6:$H$483,0))</f>
        <v>0</v>
      </c>
      <c r="J465" s="158"/>
      <c r="K465" s="161"/>
      <c r="L465" s="161"/>
      <c r="M465" s="158"/>
      <c r="N465" s="51" t="s">
        <v>4393</v>
      </c>
      <c r="O465" s="51" t="s">
        <v>3883</v>
      </c>
      <c r="Q465" s="51" t="s">
        <v>910</v>
      </c>
      <c r="R465" s="51" t="s">
        <v>936</v>
      </c>
      <c r="W465" s="52"/>
      <c r="AB465" s="51" t="s">
        <v>4394</v>
      </c>
      <c r="AC465" s="51" t="s">
        <v>3884</v>
      </c>
      <c r="AE465" s="51" t="s">
        <v>910</v>
      </c>
      <c r="AF465" s="51" t="s">
        <v>3943</v>
      </c>
      <c r="AP465" s="51" t="s">
        <v>4395</v>
      </c>
      <c r="AQ465" s="51" t="s">
        <v>3885</v>
      </c>
      <c r="AS465" s="51" t="s">
        <v>910</v>
      </c>
      <c r="AT465" s="51" t="s">
        <v>3945</v>
      </c>
    </row>
    <row r="466" spans="1:51" x14ac:dyDescent="0.25">
      <c r="A466" s="51" t="s">
        <v>3810</v>
      </c>
      <c r="B466" s="51">
        <v>4</v>
      </c>
      <c r="C466" s="51" t="s">
        <v>3831</v>
      </c>
      <c r="E466" s="54" t="str" cm="1">
        <f t="array" aca="1" ref="E466" ca="1">IF(H466=0,"",HYPERLINK("#"&amp;RIGHT(CELL("dateiname"),LEN(CELL("dateiname"))-FIND("]",CELL("dateiname")))&amp;"!"&amp;CELL("adresse",OFFSET($Q$6,H466-1,0)),"Definition"))</f>
        <v>Definition</v>
      </c>
      <c r="F466" s="54" t="str" cm="1">
        <f t="array" aca="1" ref="F466" ca="1">IF(I466=0,"",HYPERLINK("#"&amp;RIGHT(CELL("adresse",OFFSET(DMAV_Doku!$B$6,I466-1,0)),LEN(CELL("adresse",OFFSET(DMAV_Doku!$B$6,I466-1,0)))-SEARCH("]",CELL("adresse",OFFSET(DMAV_Doku!$B$6,I466-1,0)))),"ModDoc"))</f>
        <v/>
      </c>
      <c r="G466" s="150" t="str">
        <f t="shared" si="14"/>
        <v>MEO4</v>
      </c>
      <c r="H466" s="150">
        <f t="shared" si="15"/>
        <v>39</v>
      </c>
      <c r="I466" s="150">
        <f>IF(_xlfn.XLOOKUP(G466,Korrelation!$A$4:$A$723,Korrelation!$B$4:$B$723,0,0)=0,0,MATCH(_xlfn.XLOOKUP(G466,Korrelation!$A$4:$A$723,Korrelation!$B$4:$B$723,0,0),DMAV_Doku!$H$6:$H$483,0))</f>
        <v>0</v>
      </c>
      <c r="J466" s="158"/>
      <c r="K466" s="161"/>
      <c r="L466" s="161"/>
      <c r="M466" s="158"/>
      <c r="N466" s="51" t="s">
        <v>4393</v>
      </c>
      <c r="O466" s="51" t="s">
        <v>3883</v>
      </c>
      <c r="Q466" s="51" t="s">
        <v>910</v>
      </c>
      <c r="R466" s="51" t="s">
        <v>938</v>
      </c>
      <c r="W466" s="52"/>
      <c r="AB466" s="51" t="s">
        <v>4394</v>
      </c>
      <c r="AC466" s="51" t="s">
        <v>3884</v>
      </c>
      <c r="AE466" s="51" t="s">
        <v>910</v>
      </c>
      <c r="AF466" s="51" t="s">
        <v>3948</v>
      </c>
      <c r="AP466" s="51" t="s">
        <v>4395</v>
      </c>
      <c r="AQ466" s="51" t="s">
        <v>3885</v>
      </c>
      <c r="AS466" s="51" t="s">
        <v>910</v>
      </c>
      <c r="AT466" s="51" t="s">
        <v>3950</v>
      </c>
    </row>
    <row r="467" spans="1:51" x14ac:dyDescent="0.25">
      <c r="A467" s="51" t="s">
        <v>3810</v>
      </c>
      <c r="B467" s="51">
        <v>5</v>
      </c>
      <c r="C467" s="51" t="s">
        <v>3832</v>
      </c>
      <c r="E467" s="54" t="str" cm="1">
        <f t="array" aca="1" ref="E467" ca="1">IF(H467=0,"",HYPERLINK("#"&amp;RIGHT(CELL("dateiname"),LEN(CELL("dateiname"))-FIND("]",CELL("dateiname")))&amp;"!"&amp;CELL("adresse",OFFSET($Q$6,H467-1,0)),"Definition"))</f>
        <v>Definition</v>
      </c>
      <c r="F467" s="54" t="str" cm="1">
        <f t="array" aca="1" ref="F467" ca="1">IF(I467=0,"",HYPERLINK("#"&amp;RIGHT(CELL("adresse",OFFSET(DMAV_Doku!$B$6,I467-1,0)),LEN(CELL("adresse",OFFSET(DMAV_Doku!$B$6,I467-1,0)))-SEARCH("]",CELL("adresse",OFFSET(DMAV_Doku!$B$6,I467-1,0)))),"ModDoc"))</f>
        <v/>
      </c>
      <c r="G467" s="150" t="str">
        <f t="shared" si="14"/>
        <v>MEO5</v>
      </c>
      <c r="H467" s="150">
        <f t="shared" si="15"/>
        <v>18</v>
      </c>
      <c r="I467" s="150">
        <f>IF(_xlfn.XLOOKUP(G467,Korrelation!$A$4:$A$723,Korrelation!$B$4:$B$723,0,0)=0,0,MATCH(_xlfn.XLOOKUP(G467,Korrelation!$A$4:$A$723,Korrelation!$B$4:$B$723,0,0),DMAV_Doku!$H$6:$H$483,0))</f>
        <v>0</v>
      </c>
      <c r="J467" s="158"/>
      <c r="K467" s="161"/>
      <c r="L467" s="161"/>
      <c r="M467" s="158"/>
      <c r="N467" s="51" t="s">
        <v>4393</v>
      </c>
      <c r="O467" s="51" t="s">
        <v>3883</v>
      </c>
      <c r="Q467" s="51" t="s">
        <v>910</v>
      </c>
      <c r="R467" s="51" t="s">
        <v>930</v>
      </c>
      <c r="U467" s="55"/>
      <c r="V467" s="55"/>
      <c r="W467" s="52"/>
      <c r="AB467" s="51" t="s">
        <v>4394</v>
      </c>
      <c r="AC467" s="51" t="s">
        <v>3884</v>
      </c>
      <c r="AE467" s="51" t="s">
        <v>910</v>
      </c>
      <c r="AF467" s="51" t="s">
        <v>3925</v>
      </c>
      <c r="AP467" s="51" t="s">
        <v>4395</v>
      </c>
      <c r="AQ467" s="51" t="s">
        <v>3885</v>
      </c>
      <c r="AS467" s="51" t="s">
        <v>910</v>
      </c>
      <c r="AT467" s="51" t="s">
        <v>3927</v>
      </c>
    </row>
    <row r="468" spans="1:51" x14ac:dyDescent="0.25">
      <c r="A468" s="51" t="s">
        <v>3810</v>
      </c>
      <c r="B468" s="51">
        <v>6</v>
      </c>
      <c r="E468" s="54" t="str" cm="1">
        <f t="array" aca="1" ref="E468" ca="1">IF(H468=0,"",HYPERLINK("#"&amp;RIGHT(CELL("dateiname"),LEN(CELL("dateiname"))-FIND("]",CELL("dateiname")))&amp;"!"&amp;CELL("adresse",OFFSET($Q$6,H468-1,0)),"Definition"))</f>
        <v/>
      </c>
      <c r="F468" s="54" t="str" cm="1">
        <f t="array" aca="1" ref="F468" ca="1">IF(I468=0,"",HYPERLINK("#"&amp;RIGHT(CELL("adresse",OFFSET(DMAV_Doku!$B$6,I468-1,0)),LEN(CELL("adresse",OFFSET(DMAV_Doku!$B$6,I468-1,0)))-SEARCH("]",CELL("adresse",OFFSET(DMAV_Doku!$B$6,I468-1,0)))),"ModDoc"))</f>
        <v>ModDoc</v>
      </c>
      <c r="G468" s="150" t="str">
        <f t="shared" si="14"/>
        <v>MEO6</v>
      </c>
      <c r="H468" s="150">
        <f t="shared" si="15"/>
        <v>0</v>
      </c>
      <c r="I468" s="150">
        <f>IF(_xlfn.XLOOKUP(G468,Korrelation!$A$4:$A$723,Korrelation!$B$4:$B$723,0,0)=0,0,MATCH(_xlfn.XLOOKUP(G468,Korrelation!$A$4:$A$723,Korrelation!$B$4:$B$723,0,0),DMAV_Doku!$H$6:$H$483,0))</f>
        <v>280</v>
      </c>
      <c r="J468" s="158"/>
      <c r="K468" s="161"/>
      <c r="L468" s="161"/>
      <c r="M468" s="158"/>
      <c r="N468" s="51" t="s">
        <v>4393</v>
      </c>
      <c r="O468" s="51" t="s">
        <v>3883</v>
      </c>
      <c r="P468" s="51" t="s">
        <v>20</v>
      </c>
      <c r="Q468" s="51" t="s">
        <v>927</v>
      </c>
      <c r="R468" s="51" t="s">
        <v>434</v>
      </c>
      <c r="U468" s="55"/>
      <c r="V468" s="55"/>
      <c r="W468" s="52" t="s">
        <v>435</v>
      </c>
      <c r="AB468" s="51" t="s">
        <v>4394</v>
      </c>
      <c r="AC468" s="51" t="s">
        <v>3884</v>
      </c>
      <c r="AD468" s="51" t="s">
        <v>707</v>
      </c>
      <c r="AE468" s="51" t="s">
        <v>927</v>
      </c>
      <c r="AF468" s="51" t="s">
        <v>823</v>
      </c>
      <c r="AK468" s="52" t="s">
        <v>824</v>
      </c>
      <c r="AP468" s="51" t="s">
        <v>4395</v>
      </c>
      <c r="AQ468" s="51" t="s">
        <v>3885</v>
      </c>
      <c r="AR468" s="51" t="s">
        <v>4396</v>
      </c>
      <c r="AS468" s="51" t="s">
        <v>927</v>
      </c>
      <c r="AT468" s="51" t="s">
        <v>4397</v>
      </c>
      <c r="AY468" s="52" t="s">
        <v>2368</v>
      </c>
    </row>
    <row r="469" spans="1:51" x14ac:dyDescent="0.25">
      <c r="A469" s="51" t="s">
        <v>3810</v>
      </c>
      <c r="B469" s="51">
        <v>7</v>
      </c>
      <c r="E469" s="54" t="str" cm="1">
        <f t="array" aca="1" ref="E469" ca="1">IF(H469=0,"",HYPERLINK("#"&amp;RIGHT(CELL("dateiname"),LEN(CELL("dateiname"))-FIND("]",CELL("dateiname")))&amp;"!"&amp;CELL("adresse",OFFSET($Q$6,H469-1,0)),"Definition"))</f>
        <v/>
      </c>
      <c r="F469" s="54" t="str" cm="1">
        <f t="array" aca="1" ref="F469" ca="1">IF(I469=0,"",HYPERLINK("#"&amp;RIGHT(CELL("adresse",OFFSET(DMAV_Doku!$B$6,I469-1,0)),LEN(CELL("adresse",OFFSET(DMAV_Doku!$B$6,I469-1,0)))-SEARCH("]",CELL("adresse",OFFSET(DMAV_Doku!$B$6,I469-1,0)))),"ModDoc"))</f>
        <v>ModDoc</v>
      </c>
      <c r="G469" s="150" t="str">
        <f t="shared" si="14"/>
        <v>MEO7</v>
      </c>
      <c r="H469" s="150">
        <f t="shared" si="15"/>
        <v>0</v>
      </c>
      <c r="I469" s="150">
        <f>IF(_xlfn.XLOOKUP(G469,Korrelation!$A$4:$A$723,Korrelation!$B$4:$B$723,0,0)=0,0,MATCH(_xlfn.XLOOKUP(G469,Korrelation!$A$4:$A$723,Korrelation!$B$4:$B$723,0,0),DMAV_Doku!$H$6:$H$483,0))</f>
        <v>281</v>
      </c>
      <c r="J469" s="158"/>
      <c r="K469" s="161"/>
      <c r="L469" s="161"/>
      <c r="M469" s="158"/>
      <c r="N469" s="51" t="s">
        <v>4393</v>
      </c>
      <c r="O469" s="51" t="s">
        <v>3883</v>
      </c>
      <c r="P469" s="51" t="s">
        <v>20</v>
      </c>
      <c r="Q469" s="51" t="s">
        <v>927</v>
      </c>
      <c r="R469" s="51" t="s">
        <v>434</v>
      </c>
      <c r="V469" s="55"/>
      <c r="W469" s="52" t="s">
        <v>436</v>
      </c>
      <c r="AB469" s="51" t="s">
        <v>4394</v>
      </c>
      <c r="AC469" s="51" t="s">
        <v>3884</v>
      </c>
      <c r="AD469" s="51" t="s">
        <v>707</v>
      </c>
      <c r="AE469" s="51" t="s">
        <v>927</v>
      </c>
      <c r="AF469" s="51" t="s">
        <v>823</v>
      </c>
      <c r="AK469" s="52" t="s">
        <v>825</v>
      </c>
      <c r="AP469" s="51" t="s">
        <v>4395</v>
      </c>
      <c r="AQ469" s="51" t="s">
        <v>3885</v>
      </c>
      <c r="AR469" s="51" t="s">
        <v>4396</v>
      </c>
      <c r="AS469" s="51" t="s">
        <v>927</v>
      </c>
      <c r="AT469" s="51" t="s">
        <v>4397</v>
      </c>
      <c r="AY469" s="52" t="s">
        <v>2367</v>
      </c>
    </row>
    <row r="470" spans="1:51" x14ac:dyDescent="0.25">
      <c r="A470" s="51" t="s">
        <v>3810</v>
      </c>
      <c r="B470" s="51">
        <v>8</v>
      </c>
      <c r="E470" s="54" t="str" cm="1">
        <f t="array" aca="1" ref="E470" ca="1">IF(H470=0,"",HYPERLINK("#"&amp;RIGHT(CELL("dateiname"),LEN(CELL("dateiname"))-FIND("]",CELL("dateiname")))&amp;"!"&amp;CELL("adresse",OFFSET($Q$6,H470-1,0)),"Definition"))</f>
        <v/>
      </c>
      <c r="F470" s="54" t="str" cm="1">
        <f t="array" aca="1" ref="F470" ca="1">IF(I470=0,"",HYPERLINK("#"&amp;RIGHT(CELL("adresse",OFFSET(DMAV_Doku!$B$6,I470-1,0)),LEN(CELL("adresse",OFFSET(DMAV_Doku!$B$6,I470-1,0)))-SEARCH("]",CELL("adresse",OFFSET(DMAV_Doku!$B$6,I470-1,0)))),"ModDoc"))</f>
        <v>ModDoc</v>
      </c>
      <c r="G470" s="150" t="str">
        <f t="shared" si="14"/>
        <v>MEO8</v>
      </c>
      <c r="H470" s="150">
        <f t="shared" si="15"/>
        <v>0</v>
      </c>
      <c r="I470" s="150">
        <f>IF(_xlfn.XLOOKUP(G470,Korrelation!$A$4:$A$723,Korrelation!$B$4:$B$723,0,0)=0,0,MATCH(_xlfn.XLOOKUP(G470,Korrelation!$A$4:$A$723,Korrelation!$B$4:$B$723,0,0),DMAV_Doku!$H$6:$H$483,0))</f>
        <v>282</v>
      </c>
      <c r="J470" s="158"/>
      <c r="K470" s="161"/>
      <c r="L470" s="161"/>
      <c r="M470" s="158"/>
      <c r="N470" s="51" t="s">
        <v>4393</v>
      </c>
      <c r="O470" s="51" t="s">
        <v>3883</v>
      </c>
      <c r="P470" s="51" t="s">
        <v>20</v>
      </c>
      <c r="Q470" s="51" t="s">
        <v>927</v>
      </c>
      <c r="R470" s="51" t="s">
        <v>434</v>
      </c>
      <c r="U470" s="55"/>
      <c r="V470" s="55"/>
      <c r="W470" s="52" t="s">
        <v>437</v>
      </c>
      <c r="AB470" s="51" t="s">
        <v>4394</v>
      </c>
      <c r="AC470" s="51" t="s">
        <v>3884</v>
      </c>
      <c r="AD470" s="51" t="s">
        <v>707</v>
      </c>
      <c r="AE470" s="51" t="s">
        <v>927</v>
      </c>
      <c r="AF470" s="51" t="s">
        <v>823</v>
      </c>
      <c r="AK470" s="52" t="s">
        <v>826</v>
      </c>
      <c r="AP470" s="51" t="s">
        <v>4395</v>
      </c>
      <c r="AQ470" s="51" t="s">
        <v>3885</v>
      </c>
      <c r="AR470" s="51" t="s">
        <v>4396</v>
      </c>
      <c r="AS470" s="51" t="s">
        <v>927</v>
      </c>
      <c r="AT470" s="51" t="s">
        <v>4397</v>
      </c>
      <c r="AY470" s="52" t="s">
        <v>2366</v>
      </c>
    </row>
    <row r="471" spans="1:51" x14ac:dyDescent="0.25">
      <c r="A471" s="51" t="s">
        <v>3810</v>
      </c>
      <c r="B471" s="51">
        <v>9</v>
      </c>
      <c r="E471" s="54" t="str" cm="1">
        <f t="array" aca="1" ref="E471" ca="1">IF(H471=0,"",HYPERLINK("#"&amp;RIGHT(CELL("dateiname"),LEN(CELL("dateiname"))-FIND("]",CELL("dateiname")))&amp;"!"&amp;CELL("adresse",OFFSET($Q$6,H471-1,0)),"Definition"))</f>
        <v/>
      </c>
      <c r="F471" s="54" t="str" cm="1">
        <f t="array" aca="1" ref="F471" ca="1">IF(I471=0,"",HYPERLINK("#"&amp;RIGHT(CELL("adresse",OFFSET(DMAV_Doku!$B$6,I471-1,0)),LEN(CELL("adresse",OFFSET(DMAV_Doku!$B$6,I471-1,0)))-SEARCH("]",CELL("adresse",OFFSET(DMAV_Doku!$B$6,I471-1,0)))),"ModDoc"))</f>
        <v>ModDoc</v>
      </c>
      <c r="G471" s="150" t="str">
        <f t="shared" si="14"/>
        <v>MEO9</v>
      </c>
      <c r="H471" s="150">
        <f t="shared" si="15"/>
        <v>0</v>
      </c>
      <c r="I471" s="150">
        <f>IF(_xlfn.XLOOKUP(G471,Korrelation!$A$4:$A$723,Korrelation!$B$4:$B$723,0,0)=0,0,MATCH(_xlfn.XLOOKUP(G471,Korrelation!$A$4:$A$723,Korrelation!$B$4:$B$723,0,0),DMAV_Doku!$H$6:$H$483,0))</f>
        <v>283</v>
      </c>
      <c r="J471" s="158"/>
      <c r="K471" s="161"/>
      <c r="L471" s="161"/>
      <c r="M471" s="158"/>
      <c r="N471" s="51" t="s">
        <v>4393</v>
      </c>
      <c r="O471" s="51" t="s">
        <v>3883</v>
      </c>
      <c r="P471" s="51" t="s">
        <v>20</v>
      </c>
      <c r="Q471" s="51" t="s">
        <v>927</v>
      </c>
      <c r="R471" s="51" t="s">
        <v>434</v>
      </c>
      <c r="W471" s="52" t="s">
        <v>438</v>
      </c>
      <c r="AB471" s="51" t="s">
        <v>4394</v>
      </c>
      <c r="AC471" s="51" t="s">
        <v>3884</v>
      </c>
      <c r="AD471" s="51" t="s">
        <v>707</v>
      </c>
      <c r="AE471" s="51" t="s">
        <v>927</v>
      </c>
      <c r="AF471" s="51" t="s">
        <v>823</v>
      </c>
      <c r="AK471" s="52" t="s">
        <v>827</v>
      </c>
      <c r="AP471" s="51" t="s">
        <v>4395</v>
      </c>
      <c r="AQ471" s="51" t="s">
        <v>3885</v>
      </c>
      <c r="AR471" s="51" t="s">
        <v>4396</v>
      </c>
      <c r="AS471" s="51" t="s">
        <v>927</v>
      </c>
      <c r="AT471" s="51" t="s">
        <v>4397</v>
      </c>
      <c r="AY471" s="52" t="s">
        <v>2365</v>
      </c>
    </row>
    <row r="472" spans="1:51" x14ac:dyDescent="0.25">
      <c r="A472" s="51" t="s">
        <v>3810</v>
      </c>
      <c r="B472" s="51">
        <v>10</v>
      </c>
      <c r="E472" s="54" t="str" cm="1">
        <f t="array" aca="1" ref="E472" ca="1">IF(H472=0,"",HYPERLINK("#"&amp;RIGHT(CELL("dateiname"),LEN(CELL("dateiname"))-FIND("]",CELL("dateiname")))&amp;"!"&amp;CELL("adresse",OFFSET($Q$6,H472-1,0)),"Definition"))</f>
        <v/>
      </c>
      <c r="F472" s="54" t="str" cm="1">
        <f t="array" aca="1" ref="F472" ca="1">IF(I472=0,"",HYPERLINK("#"&amp;RIGHT(CELL("adresse",OFFSET(DMAV_Doku!$B$6,I472-1,0)),LEN(CELL("adresse",OFFSET(DMAV_Doku!$B$6,I472-1,0)))-SEARCH("]",CELL("adresse",OFFSET(DMAV_Doku!$B$6,I472-1,0)))),"ModDoc"))</f>
        <v>ModDoc</v>
      </c>
      <c r="G472" s="150" t="str">
        <f t="shared" si="14"/>
        <v>MEO10</v>
      </c>
      <c r="H472" s="150">
        <f t="shared" si="15"/>
        <v>0</v>
      </c>
      <c r="I472" s="150">
        <f>IF(_xlfn.XLOOKUP(G472,Korrelation!$A$4:$A$723,Korrelation!$B$4:$B$723,0,0)=0,0,MATCH(_xlfn.XLOOKUP(G472,Korrelation!$A$4:$A$723,Korrelation!$B$4:$B$723,0,0),DMAV_Doku!$H$6:$H$483,0))</f>
        <v>284</v>
      </c>
      <c r="J472" s="158"/>
      <c r="K472" s="161"/>
      <c r="L472" s="161"/>
      <c r="M472" s="158"/>
      <c r="N472" s="51" t="s">
        <v>4393</v>
      </c>
      <c r="O472" s="51" t="s">
        <v>3883</v>
      </c>
      <c r="P472" s="51" t="s">
        <v>20</v>
      </c>
      <c r="Q472" s="51" t="s">
        <v>927</v>
      </c>
      <c r="R472" s="51" t="s">
        <v>434</v>
      </c>
      <c r="W472" s="52" t="s">
        <v>439</v>
      </c>
      <c r="AB472" s="51" t="s">
        <v>4394</v>
      </c>
      <c r="AC472" s="51" t="s">
        <v>3884</v>
      </c>
      <c r="AD472" s="51" t="s">
        <v>707</v>
      </c>
      <c r="AE472" s="51" t="s">
        <v>927</v>
      </c>
      <c r="AF472" s="51" t="s">
        <v>823</v>
      </c>
      <c r="AK472" s="52" t="s">
        <v>828</v>
      </c>
      <c r="AP472" s="51" t="s">
        <v>4395</v>
      </c>
      <c r="AQ472" s="51" t="s">
        <v>3885</v>
      </c>
      <c r="AR472" s="51" t="s">
        <v>4396</v>
      </c>
      <c r="AS472" s="51" t="s">
        <v>927</v>
      </c>
      <c r="AT472" s="51" t="s">
        <v>4397</v>
      </c>
      <c r="AY472" s="52" t="s">
        <v>2364</v>
      </c>
    </row>
    <row r="473" spans="1:51" x14ac:dyDescent="0.25">
      <c r="A473" s="51" t="s">
        <v>3810</v>
      </c>
      <c r="B473" s="51">
        <v>11</v>
      </c>
      <c r="E473" s="54" t="str" cm="1">
        <f t="array" aca="1" ref="E473" ca="1">IF(H473=0,"",HYPERLINK("#"&amp;RIGHT(CELL("dateiname"),LEN(CELL("dateiname"))-FIND("]",CELL("dateiname")))&amp;"!"&amp;CELL("adresse",OFFSET($Q$6,H473-1,0)),"Definition"))</f>
        <v/>
      </c>
      <c r="F473" s="54" t="str" cm="1">
        <f t="array" aca="1" ref="F473" ca="1">IF(I473=0,"",HYPERLINK("#"&amp;RIGHT(CELL("adresse",OFFSET(DMAV_Doku!$B$6,I473-1,0)),LEN(CELL("adresse",OFFSET(DMAV_Doku!$B$6,I473-1,0)))-SEARCH("]",CELL("adresse",OFFSET(DMAV_Doku!$B$6,I473-1,0)))),"ModDoc"))</f>
        <v>ModDoc</v>
      </c>
      <c r="G473" s="150" t="str">
        <f t="shared" si="14"/>
        <v>MEO11</v>
      </c>
      <c r="H473" s="150">
        <f t="shared" si="15"/>
        <v>0</v>
      </c>
      <c r="I473" s="150">
        <f>IF(_xlfn.XLOOKUP(G473,Korrelation!$A$4:$A$723,Korrelation!$B$4:$B$723,0,0)=0,0,MATCH(_xlfn.XLOOKUP(G473,Korrelation!$A$4:$A$723,Korrelation!$B$4:$B$723,0,0),DMAV_Doku!$H$6:$H$483,0))</f>
        <v>285</v>
      </c>
      <c r="J473" s="158"/>
      <c r="K473" s="161"/>
      <c r="L473" s="161"/>
      <c r="M473" s="158"/>
      <c r="N473" s="51" t="s">
        <v>4393</v>
      </c>
      <c r="O473" s="51" t="s">
        <v>3883</v>
      </c>
      <c r="P473" s="51" t="s">
        <v>20</v>
      </c>
      <c r="Q473" s="51" t="s">
        <v>927</v>
      </c>
      <c r="R473" s="51" t="s">
        <v>434</v>
      </c>
      <c r="W473" s="52" t="s">
        <v>441</v>
      </c>
      <c r="AB473" s="51" t="s">
        <v>4394</v>
      </c>
      <c r="AC473" s="51" t="s">
        <v>3884</v>
      </c>
      <c r="AD473" s="51" t="s">
        <v>707</v>
      </c>
      <c r="AE473" s="51" t="s">
        <v>927</v>
      </c>
      <c r="AF473" s="51" t="s">
        <v>823</v>
      </c>
      <c r="AK473" s="52" t="s">
        <v>829</v>
      </c>
      <c r="AP473" s="51" t="s">
        <v>4395</v>
      </c>
      <c r="AQ473" s="51" t="s">
        <v>3885</v>
      </c>
      <c r="AR473" s="51" t="s">
        <v>4396</v>
      </c>
      <c r="AS473" s="51" t="s">
        <v>927</v>
      </c>
      <c r="AT473" s="51" t="s">
        <v>4397</v>
      </c>
      <c r="AY473" s="52" t="s">
        <v>2363</v>
      </c>
    </row>
    <row r="474" spans="1:51" x14ac:dyDescent="0.25">
      <c r="A474" s="51" t="s">
        <v>3810</v>
      </c>
      <c r="B474" s="51">
        <v>12</v>
      </c>
      <c r="E474" s="54" t="str" cm="1">
        <f t="array" aca="1" ref="E474" ca="1">IF(H474=0,"",HYPERLINK("#"&amp;RIGHT(CELL("dateiname"),LEN(CELL("dateiname"))-FIND("]",CELL("dateiname")))&amp;"!"&amp;CELL("adresse",OFFSET($Q$6,H474-1,0)),"Definition"))</f>
        <v/>
      </c>
      <c r="F474" s="54" t="str" cm="1">
        <f t="array" aca="1" ref="F474" ca="1">IF(I474=0,"",HYPERLINK("#"&amp;RIGHT(CELL("adresse",OFFSET(DMAV_Doku!$B$6,I474-1,0)),LEN(CELL("adresse",OFFSET(DMAV_Doku!$B$6,I474-1,0)))-SEARCH("]",CELL("adresse",OFFSET(DMAV_Doku!$B$6,I474-1,0)))),"ModDoc"))</f>
        <v>ModDoc</v>
      </c>
      <c r="G474" s="150" t="str">
        <f t="shared" si="14"/>
        <v>MEO12</v>
      </c>
      <c r="H474" s="150">
        <f t="shared" si="15"/>
        <v>0</v>
      </c>
      <c r="I474" s="150">
        <f>IF(_xlfn.XLOOKUP(G474,Korrelation!$A$4:$A$723,Korrelation!$B$4:$B$723,0,0)=0,0,MATCH(_xlfn.XLOOKUP(G474,Korrelation!$A$4:$A$723,Korrelation!$B$4:$B$723,0,0),DMAV_Doku!$H$6:$H$483,0))</f>
        <v>286</v>
      </c>
      <c r="J474" s="158"/>
      <c r="K474" s="161"/>
      <c r="L474" s="161"/>
      <c r="M474" s="158"/>
      <c r="N474" s="51" t="s">
        <v>4393</v>
      </c>
      <c r="O474" s="51" t="s">
        <v>3883</v>
      </c>
      <c r="P474" s="51" t="s">
        <v>20</v>
      </c>
      <c r="Q474" s="51" t="s">
        <v>927</v>
      </c>
      <c r="R474" s="51" t="s">
        <v>434</v>
      </c>
      <c r="W474" s="52" t="s">
        <v>442</v>
      </c>
      <c r="AB474" s="51" t="s">
        <v>4394</v>
      </c>
      <c r="AC474" s="51" t="s">
        <v>3884</v>
      </c>
      <c r="AD474" s="51" t="s">
        <v>707</v>
      </c>
      <c r="AE474" s="51" t="s">
        <v>927</v>
      </c>
      <c r="AF474" s="51" t="s">
        <v>823</v>
      </c>
      <c r="AK474" s="52" t="s">
        <v>830</v>
      </c>
      <c r="AP474" s="51" t="s">
        <v>4395</v>
      </c>
      <c r="AQ474" s="51" t="s">
        <v>3885</v>
      </c>
      <c r="AR474" s="51" t="s">
        <v>4396</v>
      </c>
      <c r="AS474" s="51" t="s">
        <v>927</v>
      </c>
      <c r="AT474" s="51" t="s">
        <v>4397</v>
      </c>
      <c r="AY474" s="52" t="s">
        <v>2362</v>
      </c>
    </row>
    <row r="475" spans="1:51" x14ac:dyDescent="0.25">
      <c r="A475" s="51" t="s">
        <v>3810</v>
      </c>
      <c r="B475" s="51">
        <v>13</v>
      </c>
      <c r="E475" s="54" t="str" cm="1">
        <f t="array" aca="1" ref="E475" ca="1">IF(H475=0,"",HYPERLINK("#"&amp;RIGHT(CELL("dateiname"),LEN(CELL("dateiname"))-FIND("]",CELL("dateiname")))&amp;"!"&amp;CELL("adresse",OFFSET($Q$6,H475-1,0)),"Definition"))</f>
        <v/>
      </c>
      <c r="F475" s="54" t="str" cm="1">
        <f t="array" aca="1" ref="F475" ca="1">IF(I475=0,"",HYPERLINK("#"&amp;RIGHT(CELL("adresse",OFFSET(DMAV_Doku!$B$6,I475-1,0)),LEN(CELL("adresse",OFFSET(DMAV_Doku!$B$6,I475-1,0)))-SEARCH("]",CELL("adresse",OFFSET(DMAV_Doku!$B$6,I475-1,0)))),"ModDoc"))</f>
        <v>ModDoc</v>
      </c>
      <c r="G475" s="150" t="str">
        <f t="shared" si="14"/>
        <v>MEO13</v>
      </c>
      <c r="H475" s="150">
        <f t="shared" si="15"/>
        <v>0</v>
      </c>
      <c r="I475" s="150">
        <f>IF(_xlfn.XLOOKUP(G475,Korrelation!$A$4:$A$723,Korrelation!$B$4:$B$723,0,0)=0,0,MATCH(_xlfn.XLOOKUP(G475,Korrelation!$A$4:$A$723,Korrelation!$B$4:$B$723,0,0),DMAV_Doku!$H$6:$H$483,0))</f>
        <v>287</v>
      </c>
      <c r="J475" s="158"/>
      <c r="K475" s="161"/>
      <c r="L475" s="161"/>
      <c r="M475" s="158"/>
      <c r="N475" s="51" t="s">
        <v>4393</v>
      </c>
      <c r="O475" s="51" t="s">
        <v>3883</v>
      </c>
      <c r="P475" s="51" t="s">
        <v>20</v>
      </c>
      <c r="Q475" s="51" t="s">
        <v>927</v>
      </c>
      <c r="R475" s="51" t="s">
        <v>434</v>
      </c>
      <c r="W475" s="52" t="s">
        <v>444</v>
      </c>
      <c r="AB475" s="51" t="s">
        <v>4394</v>
      </c>
      <c r="AC475" s="51" t="s">
        <v>3884</v>
      </c>
      <c r="AD475" s="51" t="s">
        <v>707</v>
      </c>
      <c r="AE475" s="51" t="s">
        <v>927</v>
      </c>
      <c r="AF475" s="51" t="s">
        <v>823</v>
      </c>
      <c r="AK475" s="52" t="s">
        <v>831</v>
      </c>
      <c r="AP475" s="51" t="s">
        <v>4395</v>
      </c>
      <c r="AQ475" s="51" t="s">
        <v>3885</v>
      </c>
      <c r="AR475" s="51" t="s">
        <v>4396</v>
      </c>
      <c r="AS475" s="51" t="s">
        <v>927</v>
      </c>
      <c r="AT475" s="51" t="s">
        <v>4397</v>
      </c>
      <c r="AY475" s="52" t="s">
        <v>2360</v>
      </c>
    </row>
    <row r="476" spans="1:51" x14ac:dyDescent="0.25">
      <c r="A476" s="51" t="s">
        <v>3810</v>
      </c>
      <c r="B476" s="51">
        <v>14</v>
      </c>
      <c r="E476" s="54" t="str" cm="1">
        <f t="array" aca="1" ref="E476" ca="1">IF(H476=0,"",HYPERLINK("#"&amp;RIGHT(CELL("dateiname"),LEN(CELL("dateiname"))-FIND("]",CELL("dateiname")))&amp;"!"&amp;CELL("adresse",OFFSET($Q$6,H476-1,0)),"Definition"))</f>
        <v/>
      </c>
      <c r="F476" s="54" t="str" cm="1">
        <f t="array" aca="1" ref="F476" ca="1">IF(I476=0,"",HYPERLINK("#"&amp;RIGHT(CELL("adresse",OFFSET(DMAV_Doku!$B$6,I476-1,0)),LEN(CELL("adresse",OFFSET(DMAV_Doku!$B$6,I476-1,0)))-SEARCH("]",CELL("adresse",OFFSET(DMAV_Doku!$B$6,I476-1,0)))),"ModDoc"))</f>
        <v>ModDoc</v>
      </c>
      <c r="G476" s="150" t="str">
        <f t="shared" si="14"/>
        <v>MEO14</v>
      </c>
      <c r="H476" s="150">
        <f t="shared" si="15"/>
        <v>0</v>
      </c>
      <c r="I476" s="150">
        <f>IF(_xlfn.XLOOKUP(G476,Korrelation!$A$4:$A$723,Korrelation!$B$4:$B$723,0,0)=0,0,MATCH(_xlfn.XLOOKUP(G476,Korrelation!$A$4:$A$723,Korrelation!$B$4:$B$723,0,0),DMAV_Doku!$H$6:$H$483,0))</f>
        <v>288</v>
      </c>
      <c r="J476" s="158"/>
      <c r="K476" s="161"/>
      <c r="L476" s="161"/>
      <c r="M476" s="158"/>
      <c r="N476" s="51" t="s">
        <v>4393</v>
      </c>
      <c r="O476" s="51" t="s">
        <v>3883</v>
      </c>
      <c r="P476" s="51" t="s">
        <v>20</v>
      </c>
      <c r="Q476" s="51" t="s">
        <v>927</v>
      </c>
      <c r="R476" s="51" t="s">
        <v>434</v>
      </c>
      <c r="W476" s="52" t="s">
        <v>445</v>
      </c>
      <c r="AB476" s="51" t="s">
        <v>4394</v>
      </c>
      <c r="AC476" s="51" t="s">
        <v>3884</v>
      </c>
      <c r="AD476" s="51" t="s">
        <v>707</v>
      </c>
      <c r="AE476" s="51" t="s">
        <v>927</v>
      </c>
      <c r="AF476" s="51" t="s">
        <v>823</v>
      </c>
      <c r="AK476" s="52" t="s">
        <v>832</v>
      </c>
      <c r="AP476" s="51" t="s">
        <v>4395</v>
      </c>
      <c r="AQ476" s="51" t="s">
        <v>3885</v>
      </c>
      <c r="AR476" s="51" t="s">
        <v>4396</v>
      </c>
      <c r="AS476" s="51" t="s">
        <v>927</v>
      </c>
      <c r="AT476" s="51" t="s">
        <v>4397</v>
      </c>
      <c r="AY476" s="52" t="s">
        <v>2358</v>
      </c>
    </row>
    <row r="477" spans="1:51" x14ac:dyDescent="0.25">
      <c r="A477" s="51" t="s">
        <v>3810</v>
      </c>
      <c r="B477" s="51">
        <v>15</v>
      </c>
      <c r="E477" s="54" t="str" cm="1">
        <f t="array" aca="1" ref="E477" ca="1">IF(H477=0,"",HYPERLINK("#"&amp;RIGHT(CELL("dateiname"),LEN(CELL("dateiname"))-FIND("]",CELL("dateiname")))&amp;"!"&amp;CELL("adresse",OFFSET($Q$6,H477-1,0)),"Definition"))</f>
        <v/>
      </c>
      <c r="F477" s="54" t="str" cm="1">
        <f t="array" aca="1" ref="F477" ca="1">IF(I477=0,"",HYPERLINK("#"&amp;RIGHT(CELL("adresse",OFFSET(DMAV_Doku!$B$6,I477-1,0)),LEN(CELL("adresse",OFFSET(DMAV_Doku!$B$6,I477-1,0)))-SEARCH("]",CELL("adresse",OFFSET(DMAV_Doku!$B$6,I477-1,0)))),"ModDoc"))</f>
        <v>ModDoc</v>
      </c>
      <c r="G477" s="150" t="str">
        <f t="shared" si="14"/>
        <v>MEO15</v>
      </c>
      <c r="H477" s="150">
        <f t="shared" si="15"/>
        <v>0</v>
      </c>
      <c r="I477" s="150">
        <f>IF(_xlfn.XLOOKUP(G477,Korrelation!$A$4:$A$723,Korrelation!$B$4:$B$723,0,0)=0,0,MATCH(_xlfn.XLOOKUP(G477,Korrelation!$A$4:$A$723,Korrelation!$B$4:$B$723,0,0),DMAV_Doku!$H$6:$H$483,0))</f>
        <v>289</v>
      </c>
      <c r="J477" s="158"/>
      <c r="K477" s="161"/>
      <c r="L477" s="161"/>
      <c r="M477" s="158"/>
      <c r="N477" s="51" t="s">
        <v>4393</v>
      </c>
      <c r="O477" s="51" t="s">
        <v>3883</v>
      </c>
      <c r="P477" s="51" t="s">
        <v>20</v>
      </c>
      <c r="Q477" s="51" t="s">
        <v>927</v>
      </c>
      <c r="R477" s="51" t="s">
        <v>434</v>
      </c>
      <c r="W477" s="52" t="s">
        <v>447</v>
      </c>
      <c r="AB477" s="51" t="s">
        <v>4394</v>
      </c>
      <c r="AC477" s="51" t="s">
        <v>3884</v>
      </c>
      <c r="AD477" s="51" t="s">
        <v>707</v>
      </c>
      <c r="AE477" s="51" t="s">
        <v>927</v>
      </c>
      <c r="AF477" s="51" t="s">
        <v>823</v>
      </c>
      <c r="AK477" s="52" t="s">
        <v>833</v>
      </c>
      <c r="AP477" s="51" t="s">
        <v>4395</v>
      </c>
      <c r="AQ477" s="51" t="s">
        <v>3885</v>
      </c>
      <c r="AR477" s="51" t="s">
        <v>4396</v>
      </c>
      <c r="AS477" s="51" t="s">
        <v>927</v>
      </c>
      <c r="AT477" s="51" t="s">
        <v>4397</v>
      </c>
      <c r="AY477" s="52" t="s">
        <v>2357</v>
      </c>
    </row>
    <row r="478" spans="1:51" x14ac:dyDescent="0.25">
      <c r="A478" s="51" t="s">
        <v>3810</v>
      </c>
      <c r="B478" s="51">
        <v>16</v>
      </c>
      <c r="E478" s="54" t="str" cm="1">
        <f t="array" aca="1" ref="E478" ca="1">IF(H478=0,"",HYPERLINK("#"&amp;RIGHT(CELL("dateiname"),LEN(CELL("dateiname"))-FIND("]",CELL("dateiname")))&amp;"!"&amp;CELL("adresse",OFFSET($Q$6,H478-1,0)),"Definition"))</f>
        <v/>
      </c>
      <c r="F478" s="54" t="str" cm="1">
        <f t="array" aca="1" ref="F478" ca="1">IF(I478=0,"",HYPERLINK("#"&amp;RIGHT(CELL("adresse",OFFSET(DMAV_Doku!$B$6,I478-1,0)),LEN(CELL("adresse",OFFSET(DMAV_Doku!$B$6,I478-1,0)))-SEARCH("]",CELL("adresse",OFFSET(DMAV_Doku!$B$6,I478-1,0)))),"ModDoc"))</f>
        <v>ModDoc</v>
      </c>
      <c r="G478" s="150" t="str">
        <f t="shared" si="14"/>
        <v>MEO16</v>
      </c>
      <c r="H478" s="150">
        <f t="shared" si="15"/>
        <v>0</v>
      </c>
      <c r="I478" s="150">
        <f>IF(_xlfn.XLOOKUP(G478,Korrelation!$A$4:$A$723,Korrelation!$B$4:$B$723,0,0)=0,0,MATCH(_xlfn.XLOOKUP(G478,Korrelation!$A$4:$A$723,Korrelation!$B$4:$B$723,0,0),DMAV_Doku!$H$6:$H$483,0))</f>
        <v>290</v>
      </c>
      <c r="J478" s="158"/>
      <c r="K478" s="161"/>
      <c r="L478" s="161"/>
      <c r="M478" s="158"/>
      <c r="N478" s="51" t="s">
        <v>4393</v>
      </c>
      <c r="O478" s="51" t="s">
        <v>3883</v>
      </c>
      <c r="P478" s="51" t="s">
        <v>20</v>
      </c>
      <c r="Q478" s="51" t="s">
        <v>927</v>
      </c>
      <c r="R478" s="51" t="s">
        <v>434</v>
      </c>
      <c r="V478" s="55"/>
      <c r="W478" s="52" t="s">
        <v>449</v>
      </c>
      <c r="AB478" s="51" t="s">
        <v>4394</v>
      </c>
      <c r="AC478" s="51" t="s">
        <v>3884</v>
      </c>
      <c r="AD478" s="51" t="s">
        <v>707</v>
      </c>
      <c r="AE478" s="51" t="s">
        <v>927</v>
      </c>
      <c r="AF478" s="51" t="s">
        <v>823</v>
      </c>
      <c r="AK478" s="52" t="s">
        <v>834</v>
      </c>
      <c r="AP478" s="51" t="s">
        <v>4395</v>
      </c>
      <c r="AQ478" s="51" t="s">
        <v>3885</v>
      </c>
      <c r="AR478" s="51" t="s">
        <v>4396</v>
      </c>
      <c r="AS478" s="51" t="s">
        <v>927</v>
      </c>
      <c r="AT478" s="51" t="s">
        <v>4397</v>
      </c>
      <c r="AY478" s="52" t="s">
        <v>2356</v>
      </c>
    </row>
    <row r="479" spans="1:51" x14ac:dyDescent="0.25">
      <c r="A479" s="51" t="s">
        <v>3810</v>
      </c>
      <c r="B479" s="51">
        <v>17</v>
      </c>
      <c r="E479" s="54" t="str" cm="1">
        <f t="array" aca="1" ref="E479" ca="1">IF(H479=0,"",HYPERLINK("#"&amp;RIGHT(CELL("dateiname"),LEN(CELL("dateiname"))-FIND("]",CELL("dateiname")))&amp;"!"&amp;CELL("adresse",OFFSET($Q$6,H479-1,0)),"Definition"))</f>
        <v/>
      </c>
      <c r="F479" s="54" t="str" cm="1">
        <f t="array" aca="1" ref="F479" ca="1">IF(I479=0,"",HYPERLINK("#"&amp;RIGHT(CELL("adresse",OFFSET(DMAV_Doku!$B$6,I479-1,0)),LEN(CELL("adresse",OFFSET(DMAV_Doku!$B$6,I479-1,0)))-SEARCH("]",CELL("adresse",OFFSET(DMAV_Doku!$B$6,I479-1,0)))),"ModDoc"))</f>
        <v>ModDoc</v>
      </c>
      <c r="G479" s="150" t="str">
        <f t="shared" si="14"/>
        <v>MEO17</v>
      </c>
      <c r="H479" s="150">
        <f t="shared" si="15"/>
        <v>0</v>
      </c>
      <c r="I479" s="150">
        <f>IF(_xlfn.XLOOKUP(G479,Korrelation!$A$4:$A$723,Korrelation!$B$4:$B$723,0,0)=0,0,MATCH(_xlfn.XLOOKUP(G479,Korrelation!$A$4:$A$723,Korrelation!$B$4:$B$723,0,0),DMAV_Doku!$H$6:$H$483,0))</f>
        <v>291</v>
      </c>
      <c r="J479" s="158"/>
      <c r="K479" s="161"/>
      <c r="L479" s="161"/>
      <c r="M479" s="158"/>
      <c r="N479" s="51" t="s">
        <v>4393</v>
      </c>
      <c r="O479" s="51" t="s">
        <v>3883</v>
      </c>
      <c r="P479" s="51" t="s">
        <v>20</v>
      </c>
      <c r="Q479" s="51" t="s">
        <v>927</v>
      </c>
      <c r="R479" s="51" t="s">
        <v>434</v>
      </c>
      <c r="W479" s="52" t="s">
        <v>451</v>
      </c>
      <c r="AB479" s="51" t="s">
        <v>4394</v>
      </c>
      <c r="AC479" s="51" t="s">
        <v>3884</v>
      </c>
      <c r="AD479" s="51" t="s">
        <v>707</v>
      </c>
      <c r="AE479" s="51" t="s">
        <v>927</v>
      </c>
      <c r="AF479" s="51" t="s">
        <v>823</v>
      </c>
      <c r="AK479" s="52" t="s">
        <v>835</v>
      </c>
      <c r="AP479" s="51" t="s">
        <v>4395</v>
      </c>
      <c r="AQ479" s="51" t="s">
        <v>3885</v>
      </c>
      <c r="AR479" s="51" t="s">
        <v>4396</v>
      </c>
      <c r="AS479" s="51" t="s">
        <v>927</v>
      </c>
      <c r="AT479" s="51" t="s">
        <v>4397</v>
      </c>
      <c r="AY479" s="52" t="s">
        <v>2355</v>
      </c>
    </row>
    <row r="480" spans="1:51" x14ac:dyDescent="0.25">
      <c r="A480" s="51" t="s">
        <v>3810</v>
      </c>
      <c r="B480" s="51">
        <v>18</v>
      </c>
      <c r="E480" s="54" t="str" cm="1">
        <f t="array" aca="1" ref="E480" ca="1">IF(H480=0,"",HYPERLINK("#"&amp;RIGHT(CELL("dateiname"),LEN(CELL("dateiname"))-FIND("]",CELL("dateiname")))&amp;"!"&amp;CELL("adresse",OFFSET($Q$6,H480-1,0)),"Definition"))</f>
        <v/>
      </c>
      <c r="F480" s="54" t="str" cm="1">
        <f t="array" aca="1" ref="F480" ca="1">IF(I480=0,"",HYPERLINK("#"&amp;RIGHT(CELL("adresse",OFFSET(DMAV_Doku!$B$6,I480-1,0)),LEN(CELL("adresse",OFFSET(DMAV_Doku!$B$6,I480-1,0)))-SEARCH("]",CELL("adresse",OFFSET(DMAV_Doku!$B$6,I480-1,0)))),"ModDoc"))</f>
        <v>ModDoc</v>
      </c>
      <c r="G480" s="150" t="str">
        <f t="shared" si="14"/>
        <v>MEO18</v>
      </c>
      <c r="H480" s="150">
        <f t="shared" si="15"/>
        <v>0</v>
      </c>
      <c r="I480" s="150">
        <f>IF(_xlfn.XLOOKUP(G480,Korrelation!$A$4:$A$723,Korrelation!$B$4:$B$723,0,0)=0,0,MATCH(_xlfn.XLOOKUP(G480,Korrelation!$A$4:$A$723,Korrelation!$B$4:$B$723,0,0),DMAV_Doku!$H$6:$H$483,0))</f>
        <v>292</v>
      </c>
      <c r="J480" s="158"/>
      <c r="K480" s="161"/>
      <c r="L480" s="161"/>
      <c r="M480" s="158"/>
      <c r="N480" s="51" t="s">
        <v>4393</v>
      </c>
      <c r="O480" s="51" t="s">
        <v>3883</v>
      </c>
      <c r="P480" s="51" t="s">
        <v>20</v>
      </c>
      <c r="Q480" s="51" t="s">
        <v>927</v>
      </c>
      <c r="R480" s="51" t="s">
        <v>434</v>
      </c>
      <c r="U480" s="138"/>
      <c r="V480" s="55"/>
      <c r="W480" s="138" t="s">
        <v>452</v>
      </c>
      <c r="AB480" s="51" t="s">
        <v>4394</v>
      </c>
      <c r="AC480" s="51" t="s">
        <v>3884</v>
      </c>
      <c r="AD480" s="51" t="s">
        <v>707</v>
      </c>
      <c r="AE480" s="51" t="s">
        <v>927</v>
      </c>
      <c r="AF480" s="51" t="s">
        <v>823</v>
      </c>
      <c r="AK480" s="52" t="s">
        <v>836</v>
      </c>
      <c r="AP480" s="51" t="s">
        <v>4395</v>
      </c>
      <c r="AQ480" s="51" t="s">
        <v>3885</v>
      </c>
      <c r="AR480" s="51" t="s">
        <v>4396</v>
      </c>
      <c r="AS480" s="51" t="s">
        <v>927</v>
      </c>
      <c r="AT480" s="51" t="s">
        <v>4397</v>
      </c>
      <c r="AY480" s="52" t="s">
        <v>2354</v>
      </c>
    </row>
    <row r="481" spans="1:51" x14ac:dyDescent="0.25">
      <c r="A481" s="51" t="s">
        <v>3810</v>
      </c>
      <c r="B481" s="51">
        <v>19</v>
      </c>
      <c r="E481" s="54" t="str" cm="1">
        <f t="array" aca="1" ref="E481" ca="1">IF(H481=0,"",HYPERLINK("#"&amp;RIGHT(CELL("dateiname"),LEN(CELL("dateiname"))-FIND("]",CELL("dateiname")))&amp;"!"&amp;CELL("adresse",OFFSET($Q$6,H481-1,0)),"Definition"))</f>
        <v/>
      </c>
      <c r="F481" s="54" t="str" cm="1">
        <f t="array" aca="1" ref="F481" ca="1">IF(I481=0,"",HYPERLINK("#"&amp;RIGHT(CELL("adresse",OFFSET(DMAV_Doku!$B$6,I481-1,0)),LEN(CELL("adresse",OFFSET(DMAV_Doku!$B$6,I481-1,0)))-SEARCH("]",CELL("adresse",OFFSET(DMAV_Doku!$B$6,I481-1,0)))),"ModDoc"))</f>
        <v>ModDoc</v>
      </c>
      <c r="G481" s="150" t="str">
        <f t="shared" si="14"/>
        <v>MEO19</v>
      </c>
      <c r="H481" s="150">
        <f t="shared" si="15"/>
        <v>0</v>
      </c>
      <c r="I481" s="150">
        <f>IF(_xlfn.XLOOKUP(G481,Korrelation!$A$4:$A$723,Korrelation!$B$4:$B$723,0,0)=0,0,MATCH(_xlfn.XLOOKUP(G481,Korrelation!$A$4:$A$723,Korrelation!$B$4:$B$723,0,0),DMAV_Doku!$H$6:$H$483,0))</f>
        <v>293</v>
      </c>
      <c r="J481" s="158"/>
      <c r="K481" s="161"/>
      <c r="L481" s="161"/>
      <c r="M481" s="158"/>
      <c r="N481" s="51" t="s">
        <v>4393</v>
      </c>
      <c r="O481" s="51" t="s">
        <v>3883</v>
      </c>
      <c r="P481" s="51" t="s">
        <v>20</v>
      </c>
      <c r="Q481" s="51" t="s">
        <v>927</v>
      </c>
      <c r="R481" s="51" t="s">
        <v>434</v>
      </c>
      <c r="U481" s="136"/>
      <c r="W481" s="135" t="s">
        <v>454</v>
      </c>
      <c r="AB481" s="51" t="s">
        <v>4394</v>
      </c>
      <c r="AC481" s="51" t="s">
        <v>3884</v>
      </c>
      <c r="AD481" s="51" t="s">
        <v>707</v>
      </c>
      <c r="AE481" s="51" t="s">
        <v>927</v>
      </c>
      <c r="AF481" s="51" t="s">
        <v>823</v>
      </c>
      <c r="AK481" s="52" t="s">
        <v>837</v>
      </c>
      <c r="AP481" s="51" t="s">
        <v>4395</v>
      </c>
      <c r="AQ481" s="51" t="s">
        <v>3885</v>
      </c>
      <c r="AR481" s="51" t="s">
        <v>4396</v>
      </c>
      <c r="AS481" s="51" t="s">
        <v>927</v>
      </c>
      <c r="AT481" s="51" t="s">
        <v>4397</v>
      </c>
      <c r="AY481" s="52" t="s">
        <v>2353</v>
      </c>
    </row>
    <row r="482" spans="1:51" x14ac:dyDescent="0.25">
      <c r="A482" s="51" t="s">
        <v>3810</v>
      </c>
      <c r="B482" s="51">
        <v>20</v>
      </c>
      <c r="E482" s="54" t="str" cm="1">
        <f t="array" aca="1" ref="E482" ca="1">IF(H482=0,"",HYPERLINK("#"&amp;RIGHT(CELL("dateiname"),LEN(CELL("dateiname"))-FIND("]",CELL("dateiname")))&amp;"!"&amp;CELL("adresse",OFFSET($Q$6,H482-1,0)),"Definition"))</f>
        <v/>
      </c>
      <c r="F482" s="54" t="str" cm="1">
        <f t="array" aca="1" ref="F482" ca="1">IF(I482=0,"",HYPERLINK("#"&amp;RIGHT(CELL("adresse",OFFSET(DMAV_Doku!$B$6,I482-1,0)),LEN(CELL("adresse",OFFSET(DMAV_Doku!$B$6,I482-1,0)))-SEARCH("]",CELL("adresse",OFFSET(DMAV_Doku!$B$6,I482-1,0)))),"ModDoc"))</f>
        <v>ModDoc</v>
      </c>
      <c r="G482" s="150" t="str">
        <f t="shared" si="14"/>
        <v>MEO20</v>
      </c>
      <c r="H482" s="150">
        <f t="shared" si="15"/>
        <v>0</v>
      </c>
      <c r="I482" s="150">
        <f>IF(_xlfn.XLOOKUP(G482,Korrelation!$A$4:$A$723,Korrelation!$B$4:$B$723,0,0)=0,0,MATCH(_xlfn.XLOOKUP(G482,Korrelation!$A$4:$A$723,Korrelation!$B$4:$B$723,0,0),DMAV_Doku!$H$6:$H$483,0))</f>
        <v>294</v>
      </c>
      <c r="J482" s="158"/>
      <c r="K482" s="161"/>
      <c r="L482" s="161"/>
      <c r="M482" s="158"/>
      <c r="N482" s="51" t="s">
        <v>4393</v>
      </c>
      <c r="O482" s="51" t="s">
        <v>3883</v>
      </c>
      <c r="P482" s="51" t="s">
        <v>20</v>
      </c>
      <c r="Q482" s="51" t="s">
        <v>927</v>
      </c>
      <c r="R482" s="51" t="s">
        <v>434</v>
      </c>
      <c r="W482" s="52" t="s">
        <v>456</v>
      </c>
      <c r="AB482" s="51" t="s">
        <v>4394</v>
      </c>
      <c r="AC482" s="51" t="s">
        <v>3884</v>
      </c>
      <c r="AD482" s="51" t="s">
        <v>707</v>
      </c>
      <c r="AE482" s="51" t="s">
        <v>927</v>
      </c>
      <c r="AF482" s="51" t="s">
        <v>823</v>
      </c>
      <c r="AK482" s="52" t="s">
        <v>838</v>
      </c>
      <c r="AP482" s="51" t="s">
        <v>4395</v>
      </c>
      <c r="AQ482" s="51" t="s">
        <v>3885</v>
      </c>
      <c r="AR482" s="51" t="s">
        <v>4396</v>
      </c>
      <c r="AS482" s="51" t="s">
        <v>927</v>
      </c>
      <c r="AT482" s="51" t="s">
        <v>4397</v>
      </c>
      <c r="AY482" s="52" t="s">
        <v>2352</v>
      </c>
    </row>
    <row r="483" spans="1:51" x14ac:dyDescent="0.25">
      <c r="A483" s="51" t="s">
        <v>3810</v>
      </c>
      <c r="B483" s="51">
        <v>21</v>
      </c>
      <c r="E483" s="54" t="str" cm="1">
        <f t="array" aca="1" ref="E483" ca="1">IF(H483=0,"",HYPERLINK("#"&amp;RIGHT(CELL("dateiname"),LEN(CELL("dateiname"))-FIND("]",CELL("dateiname")))&amp;"!"&amp;CELL("adresse",OFFSET($Q$6,H483-1,0)),"Definition"))</f>
        <v/>
      </c>
      <c r="F483" s="54" t="str" cm="1">
        <f t="array" aca="1" ref="F483" ca="1">IF(I483=0,"",HYPERLINK("#"&amp;RIGHT(CELL("adresse",OFFSET(DMAV_Doku!$B$6,I483-1,0)),LEN(CELL("adresse",OFFSET(DMAV_Doku!$B$6,I483-1,0)))-SEARCH("]",CELL("adresse",OFFSET(DMAV_Doku!$B$6,I483-1,0)))),"ModDoc"))</f>
        <v>ModDoc</v>
      </c>
      <c r="G483" s="150" t="str">
        <f t="shared" si="14"/>
        <v>MEO21</v>
      </c>
      <c r="H483" s="150">
        <f t="shared" si="15"/>
        <v>0</v>
      </c>
      <c r="I483" s="150">
        <f>IF(_xlfn.XLOOKUP(G483,Korrelation!$A$4:$A$723,Korrelation!$B$4:$B$723,0,0)=0,0,MATCH(_xlfn.XLOOKUP(G483,Korrelation!$A$4:$A$723,Korrelation!$B$4:$B$723,0,0),DMAV_Doku!$H$6:$H$483,0))</f>
        <v>295</v>
      </c>
      <c r="J483" s="158"/>
      <c r="K483" s="161"/>
      <c r="L483" s="161"/>
      <c r="M483" s="158"/>
      <c r="N483" s="51" t="s">
        <v>4393</v>
      </c>
      <c r="O483" s="51" t="s">
        <v>3883</v>
      </c>
      <c r="P483" s="51" t="s">
        <v>20</v>
      </c>
      <c r="Q483" s="51" t="s">
        <v>927</v>
      </c>
      <c r="R483" s="51" t="s">
        <v>434</v>
      </c>
      <c r="W483" s="52" t="s">
        <v>457</v>
      </c>
      <c r="AB483" s="51" t="s">
        <v>4394</v>
      </c>
      <c r="AC483" s="51" t="s">
        <v>3884</v>
      </c>
      <c r="AD483" s="51" t="s">
        <v>707</v>
      </c>
      <c r="AE483" s="51" t="s">
        <v>927</v>
      </c>
      <c r="AF483" s="51" t="s">
        <v>823</v>
      </c>
      <c r="AK483" s="52" t="s">
        <v>839</v>
      </c>
      <c r="AP483" s="51" t="s">
        <v>4395</v>
      </c>
      <c r="AQ483" s="51" t="s">
        <v>3885</v>
      </c>
      <c r="AR483" s="51" t="s">
        <v>4396</v>
      </c>
      <c r="AS483" s="51" t="s">
        <v>927</v>
      </c>
      <c r="AT483" s="51" t="s">
        <v>4397</v>
      </c>
      <c r="AY483" s="52" t="s">
        <v>2351</v>
      </c>
    </row>
    <row r="484" spans="1:51" x14ac:dyDescent="0.25">
      <c r="A484" s="51" t="s">
        <v>3810</v>
      </c>
      <c r="B484" s="51">
        <v>22</v>
      </c>
      <c r="E484" s="54" t="str" cm="1">
        <f t="array" aca="1" ref="E484" ca="1">IF(H484=0,"",HYPERLINK("#"&amp;RIGHT(CELL("dateiname"),LEN(CELL("dateiname"))-FIND("]",CELL("dateiname")))&amp;"!"&amp;CELL("adresse",OFFSET($Q$6,H484-1,0)),"Definition"))</f>
        <v/>
      </c>
      <c r="F484" s="54" t="str" cm="1">
        <f t="array" aca="1" ref="F484" ca="1">IF(I484=0,"",HYPERLINK("#"&amp;RIGHT(CELL("adresse",OFFSET(DMAV_Doku!$B$6,I484-1,0)),LEN(CELL("adresse",OFFSET(DMAV_Doku!$B$6,I484-1,0)))-SEARCH("]",CELL("adresse",OFFSET(DMAV_Doku!$B$6,I484-1,0)))),"ModDoc"))</f>
        <v>ModDoc</v>
      </c>
      <c r="G484" s="150" t="str">
        <f t="shared" si="14"/>
        <v>MEO22</v>
      </c>
      <c r="H484" s="150">
        <f t="shared" si="15"/>
        <v>0</v>
      </c>
      <c r="I484" s="150">
        <f>IF(_xlfn.XLOOKUP(G484,Korrelation!$A$4:$A$723,Korrelation!$B$4:$B$723,0,0)=0,0,MATCH(_xlfn.XLOOKUP(G484,Korrelation!$A$4:$A$723,Korrelation!$B$4:$B$723,0,0),DMAV_Doku!$H$6:$H$483,0))</f>
        <v>296</v>
      </c>
      <c r="J484" s="158"/>
      <c r="K484" s="161"/>
      <c r="L484" s="161"/>
      <c r="M484" s="158"/>
      <c r="N484" s="51" t="s">
        <v>4393</v>
      </c>
      <c r="O484" s="51" t="s">
        <v>3883</v>
      </c>
      <c r="P484" s="51" t="s">
        <v>20</v>
      </c>
      <c r="Q484" s="51" t="s">
        <v>927</v>
      </c>
      <c r="R484" s="51" t="s">
        <v>434</v>
      </c>
      <c r="W484" s="52" t="s">
        <v>458</v>
      </c>
      <c r="AB484" s="51" t="s">
        <v>4394</v>
      </c>
      <c r="AC484" s="51" t="s">
        <v>3884</v>
      </c>
      <c r="AD484" s="51" t="s">
        <v>707</v>
      </c>
      <c r="AE484" s="51" t="s">
        <v>927</v>
      </c>
      <c r="AF484" s="51" t="s">
        <v>823</v>
      </c>
      <c r="AK484" s="52" t="s">
        <v>840</v>
      </c>
      <c r="AP484" s="51" t="s">
        <v>4395</v>
      </c>
      <c r="AQ484" s="51" t="s">
        <v>3885</v>
      </c>
      <c r="AR484" s="51" t="s">
        <v>4396</v>
      </c>
      <c r="AS484" s="51" t="s">
        <v>927</v>
      </c>
      <c r="AT484" s="51" t="s">
        <v>4397</v>
      </c>
      <c r="AY484" s="52" t="s">
        <v>2350</v>
      </c>
    </row>
    <row r="485" spans="1:51" x14ac:dyDescent="0.25">
      <c r="A485" s="51" t="s">
        <v>3810</v>
      </c>
      <c r="B485" s="51">
        <v>23</v>
      </c>
      <c r="E485" s="54" t="str" cm="1">
        <f t="array" aca="1" ref="E485" ca="1">IF(H485=0,"",HYPERLINK("#"&amp;RIGHT(CELL("dateiname"),LEN(CELL("dateiname"))-FIND("]",CELL("dateiname")))&amp;"!"&amp;CELL("adresse",OFFSET($Q$6,H485-1,0)),"Definition"))</f>
        <v/>
      </c>
      <c r="F485" s="54" t="str" cm="1">
        <f t="array" aca="1" ref="F485" ca="1">IF(I485=0,"",HYPERLINK("#"&amp;RIGHT(CELL("adresse",OFFSET(DMAV_Doku!$B$6,I485-1,0)),LEN(CELL("adresse",OFFSET(DMAV_Doku!$B$6,I485-1,0)))-SEARCH("]",CELL("adresse",OFFSET(DMAV_Doku!$B$6,I485-1,0)))),"ModDoc"))</f>
        <v>ModDoc</v>
      </c>
      <c r="G485" s="150" t="str">
        <f t="shared" si="14"/>
        <v>MEO23</v>
      </c>
      <c r="H485" s="150">
        <f t="shared" si="15"/>
        <v>0</v>
      </c>
      <c r="I485" s="150">
        <f>IF(_xlfn.XLOOKUP(G485,Korrelation!$A$4:$A$723,Korrelation!$B$4:$B$723,0,0)=0,0,MATCH(_xlfn.XLOOKUP(G485,Korrelation!$A$4:$A$723,Korrelation!$B$4:$B$723,0,0),DMAV_Doku!$H$6:$H$483,0))</f>
        <v>297</v>
      </c>
      <c r="J485" s="158"/>
      <c r="K485" s="161"/>
      <c r="L485" s="161"/>
      <c r="M485" s="158"/>
      <c r="N485" s="51" t="s">
        <v>4393</v>
      </c>
      <c r="O485" s="51" t="s">
        <v>3883</v>
      </c>
      <c r="P485" s="51" t="s">
        <v>20</v>
      </c>
      <c r="Q485" s="51" t="s">
        <v>927</v>
      </c>
      <c r="R485" s="51" t="s">
        <v>434</v>
      </c>
      <c r="W485" s="52" t="s">
        <v>460</v>
      </c>
      <c r="AB485" s="51" t="s">
        <v>4394</v>
      </c>
      <c r="AC485" s="51" t="s">
        <v>3884</v>
      </c>
      <c r="AD485" s="51" t="s">
        <v>707</v>
      </c>
      <c r="AE485" s="51" t="s">
        <v>927</v>
      </c>
      <c r="AF485" s="51" t="s">
        <v>823</v>
      </c>
      <c r="AK485" s="52" t="s">
        <v>841</v>
      </c>
      <c r="AP485" s="51" t="s">
        <v>4395</v>
      </c>
      <c r="AQ485" s="51" t="s">
        <v>3885</v>
      </c>
      <c r="AR485" s="51" t="s">
        <v>4396</v>
      </c>
      <c r="AS485" s="51" t="s">
        <v>927</v>
      </c>
      <c r="AT485" s="51" t="s">
        <v>4397</v>
      </c>
      <c r="AY485" s="52" t="s">
        <v>2349</v>
      </c>
    </row>
    <row r="486" spans="1:51" x14ac:dyDescent="0.25">
      <c r="A486" s="51" t="s">
        <v>3810</v>
      </c>
      <c r="B486" s="51">
        <v>24</v>
      </c>
      <c r="E486" s="54" t="str" cm="1">
        <f t="array" aca="1" ref="E486" ca="1">IF(H486=0,"",HYPERLINK("#"&amp;RIGHT(CELL("dateiname"),LEN(CELL("dateiname"))-FIND("]",CELL("dateiname")))&amp;"!"&amp;CELL("adresse",OFFSET($Q$6,H486-1,0)),"Definition"))</f>
        <v/>
      </c>
      <c r="F486" s="54" t="str" cm="1">
        <f t="array" aca="1" ref="F486" ca="1">IF(I486=0,"",HYPERLINK("#"&amp;RIGHT(CELL("adresse",OFFSET(DMAV_Doku!$B$6,I486-1,0)),LEN(CELL("adresse",OFFSET(DMAV_Doku!$B$6,I486-1,0)))-SEARCH("]",CELL("adresse",OFFSET(DMAV_Doku!$B$6,I486-1,0)))),"ModDoc"))</f>
        <v>ModDoc</v>
      </c>
      <c r="G486" s="150" t="str">
        <f t="shared" si="14"/>
        <v>MEO24</v>
      </c>
      <c r="H486" s="150">
        <f t="shared" si="15"/>
        <v>0</v>
      </c>
      <c r="I486" s="150">
        <f>IF(_xlfn.XLOOKUP(G486,Korrelation!$A$4:$A$723,Korrelation!$B$4:$B$723,0,0)=0,0,MATCH(_xlfn.XLOOKUP(G486,Korrelation!$A$4:$A$723,Korrelation!$B$4:$B$723,0,0),DMAV_Doku!$H$6:$H$483,0))</f>
        <v>298</v>
      </c>
      <c r="J486" s="158"/>
      <c r="K486" s="161"/>
      <c r="L486" s="161"/>
      <c r="M486" s="158"/>
      <c r="N486" s="51" t="s">
        <v>4393</v>
      </c>
      <c r="O486" s="51" t="s">
        <v>3883</v>
      </c>
      <c r="P486" s="51" t="s">
        <v>20</v>
      </c>
      <c r="Q486" s="51" t="s">
        <v>927</v>
      </c>
      <c r="R486" s="51" t="s">
        <v>434</v>
      </c>
      <c r="W486" s="52" t="s">
        <v>462</v>
      </c>
      <c r="AB486" s="51" t="s">
        <v>4394</v>
      </c>
      <c r="AC486" s="51" t="s">
        <v>3884</v>
      </c>
      <c r="AD486" s="51" t="s">
        <v>707</v>
      </c>
      <c r="AE486" s="51" t="s">
        <v>927</v>
      </c>
      <c r="AF486" s="51" t="s">
        <v>823</v>
      </c>
      <c r="AK486" s="52" t="s">
        <v>842</v>
      </c>
      <c r="AP486" s="51" t="s">
        <v>4395</v>
      </c>
      <c r="AQ486" s="51" t="s">
        <v>3885</v>
      </c>
      <c r="AR486" s="51" t="s">
        <v>4396</v>
      </c>
      <c r="AS486" s="51" t="s">
        <v>927</v>
      </c>
      <c r="AT486" s="51" t="s">
        <v>4397</v>
      </c>
      <c r="AY486" s="52" t="s">
        <v>2348</v>
      </c>
    </row>
    <row r="487" spans="1:51" x14ac:dyDescent="0.25">
      <c r="A487" s="51" t="s">
        <v>3810</v>
      </c>
      <c r="B487" s="51">
        <v>25</v>
      </c>
      <c r="E487" s="54" t="str" cm="1">
        <f t="array" aca="1" ref="E487" ca="1">IF(H487=0,"",HYPERLINK("#"&amp;RIGHT(CELL("dateiname"),LEN(CELL("dateiname"))-FIND("]",CELL("dateiname")))&amp;"!"&amp;CELL("adresse",OFFSET($Q$6,H487-1,0)),"Definition"))</f>
        <v/>
      </c>
      <c r="F487" s="54" t="str" cm="1">
        <f t="array" aca="1" ref="F487" ca="1">IF(I487=0,"",HYPERLINK("#"&amp;RIGHT(CELL("adresse",OFFSET(DMAV_Doku!$B$6,I487-1,0)),LEN(CELL("adresse",OFFSET(DMAV_Doku!$B$6,I487-1,0)))-SEARCH("]",CELL("adresse",OFFSET(DMAV_Doku!$B$6,I487-1,0)))),"ModDoc"))</f>
        <v>ModDoc</v>
      </c>
      <c r="G487" s="150" t="str">
        <f t="shared" si="14"/>
        <v>MEO25</v>
      </c>
      <c r="H487" s="150">
        <f t="shared" si="15"/>
        <v>0</v>
      </c>
      <c r="I487" s="150">
        <f>IF(_xlfn.XLOOKUP(G487,Korrelation!$A$4:$A$723,Korrelation!$B$4:$B$723,0,0)=0,0,MATCH(_xlfn.XLOOKUP(G487,Korrelation!$A$4:$A$723,Korrelation!$B$4:$B$723,0,0),DMAV_Doku!$H$6:$H$483,0))</f>
        <v>299</v>
      </c>
      <c r="J487" s="158"/>
      <c r="K487" s="161"/>
      <c r="L487" s="161"/>
      <c r="M487" s="158"/>
      <c r="N487" s="51" t="s">
        <v>4393</v>
      </c>
      <c r="O487" s="51" t="s">
        <v>3883</v>
      </c>
      <c r="P487" s="51" t="s">
        <v>20</v>
      </c>
      <c r="Q487" s="51" t="s">
        <v>927</v>
      </c>
      <c r="R487" s="51" t="s">
        <v>434</v>
      </c>
      <c r="W487" s="52" t="s">
        <v>464</v>
      </c>
      <c r="AB487" s="51" t="s">
        <v>4394</v>
      </c>
      <c r="AC487" s="51" t="s">
        <v>3884</v>
      </c>
      <c r="AD487" s="51" t="s">
        <v>707</v>
      </c>
      <c r="AE487" s="51" t="s">
        <v>927</v>
      </c>
      <c r="AF487" s="51" t="s">
        <v>823</v>
      </c>
      <c r="AK487" s="52" t="s">
        <v>843</v>
      </c>
      <c r="AP487" s="51" t="s">
        <v>4395</v>
      </c>
      <c r="AQ487" s="51" t="s">
        <v>3885</v>
      </c>
      <c r="AR487" s="51" t="s">
        <v>4396</v>
      </c>
      <c r="AS487" s="51" t="s">
        <v>927</v>
      </c>
      <c r="AT487" s="51" t="s">
        <v>4397</v>
      </c>
      <c r="AY487" s="52" t="s">
        <v>2347</v>
      </c>
    </row>
    <row r="488" spans="1:51" x14ac:dyDescent="0.25">
      <c r="A488" s="51" t="s">
        <v>3810</v>
      </c>
      <c r="B488" s="51">
        <v>26</v>
      </c>
      <c r="E488" s="54" t="str" cm="1">
        <f t="array" aca="1" ref="E488" ca="1">IF(H488=0,"",HYPERLINK("#"&amp;RIGHT(CELL("dateiname"),LEN(CELL("dateiname"))-FIND("]",CELL("dateiname")))&amp;"!"&amp;CELL("adresse",OFFSET($Q$6,H488-1,0)),"Definition"))</f>
        <v/>
      </c>
      <c r="F488" s="54" t="str" cm="1">
        <f t="array" aca="1" ref="F488" ca="1">IF(I488=0,"",HYPERLINK("#"&amp;RIGHT(CELL("adresse",OFFSET(DMAV_Doku!$B$6,I488-1,0)),LEN(CELL("adresse",OFFSET(DMAV_Doku!$B$6,I488-1,0)))-SEARCH("]",CELL("adresse",OFFSET(DMAV_Doku!$B$6,I488-1,0)))),"ModDoc"))</f>
        <v>ModDoc</v>
      </c>
      <c r="G488" s="150" t="str">
        <f t="shared" si="14"/>
        <v>MEO26</v>
      </c>
      <c r="H488" s="150">
        <f t="shared" si="15"/>
        <v>0</v>
      </c>
      <c r="I488" s="150">
        <f>IF(_xlfn.XLOOKUP(G488,Korrelation!$A$4:$A$723,Korrelation!$B$4:$B$723,0,0)=0,0,MATCH(_xlfn.XLOOKUP(G488,Korrelation!$A$4:$A$723,Korrelation!$B$4:$B$723,0,0),DMAV_Doku!$H$6:$H$483,0))</f>
        <v>300</v>
      </c>
      <c r="J488" s="158"/>
      <c r="K488" s="161"/>
      <c r="L488" s="161"/>
      <c r="M488" s="158"/>
      <c r="N488" s="51" t="s">
        <v>4393</v>
      </c>
      <c r="O488" s="51" t="s">
        <v>3883</v>
      </c>
      <c r="P488" s="51" t="s">
        <v>20</v>
      </c>
      <c r="Q488" s="51" t="s">
        <v>927</v>
      </c>
      <c r="R488" s="51" t="s">
        <v>434</v>
      </c>
      <c r="V488" s="55"/>
      <c r="W488" s="52" t="s">
        <v>466</v>
      </c>
      <c r="AB488" s="51" t="s">
        <v>4394</v>
      </c>
      <c r="AC488" s="51" t="s">
        <v>3884</v>
      </c>
      <c r="AD488" s="51" t="s">
        <v>707</v>
      </c>
      <c r="AE488" s="51" t="s">
        <v>927</v>
      </c>
      <c r="AF488" s="51" t="s">
        <v>823</v>
      </c>
      <c r="AK488" s="52" t="s">
        <v>844</v>
      </c>
      <c r="AP488" s="51" t="s">
        <v>4395</v>
      </c>
      <c r="AQ488" s="51" t="s">
        <v>3885</v>
      </c>
      <c r="AR488" s="51" t="s">
        <v>4396</v>
      </c>
      <c r="AS488" s="51" t="s">
        <v>927</v>
      </c>
      <c r="AT488" s="51" t="s">
        <v>4397</v>
      </c>
      <c r="AY488" s="52" t="s">
        <v>2346</v>
      </c>
    </row>
    <row r="489" spans="1:51" x14ac:dyDescent="0.25">
      <c r="A489" s="51" t="s">
        <v>3810</v>
      </c>
      <c r="B489" s="51">
        <v>27</v>
      </c>
      <c r="E489" s="54" t="str" cm="1">
        <f t="array" aca="1" ref="E489" ca="1">IF(H489=0,"",HYPERLINK("#"&amp;RIGHT(CELL("dateiname"),LEN(CELL("dateiname"))-FIND("]",CELL("dateiname")))&amp;"!"&amp;CELL("adresse",OFFSET($Q$6,H489-1,0)),"Definition"))</f>
        <v/>
      </c>
      <c r="F489" s="54" t="str" cm="1">
        <f t="array" aca="1" ref="F489" ca="1">IF(I489=0,"",HYPERLINK("#"&amp;RIGHT(CELL("adresse",OFFSET(DMAV_Doku!$B$6,I489-1,0)),LEN(CELL("adresse",OFFSET(DMAV_Doku!$B$6,I489-1,0)))-SEARCH("]",CELL("adresse",OFFSET(DMAV_Doku!$B$6,I489-1,0)))),"ModDoc"))</f>
        <v>ModDoc</v>
      </c>
      <c r="G489" s="150" t="str">
        <f t="shared" si="14"/>
        <v>MEO27</v>
      </c>
      <c r="H489" s="150">
        <f t="shared" si="15"/>
        <v>0</v>
      </c>
      <c r="I489" s="150">
        <f>IF(_xlfn.XLOOKUP(G489,Korrelation!$A$4:$A$723,Korrelation!$B$4:$B$723,0,0)=0,0,MATCH(_xlfn.XLOOKUP(G489,Korrelation!$A$4:$A$723,Korrelation!$B$4:$B$723,0,0),DMAV_Doku!$H$6:$H$483,0))</f>
        <v>301</v>
      </c>
      <c r="J489" s="158"/>
      <c r="K489" s="161"/>
      <c r="L489" s="161"/>
      <c r="M489" s="158"/>
      <c r="N489" s="51" t="s">
        <v>4393</v>
      </c>
      <c r="O489" s="51" t="s">
        <v>3883</v>
      </c>
      <c r="P489" s="51" t="s">
        <v>20</v>
      </c>
      <c r="Q489" s="51" t="s">
        <v>927</v>
      </c>
      <c r="R489" s="51" t="s">
        <v>434</v>
      </c>
      <c r="V489" s="55"/>
      <c r="W489" s="52" t="s">
        <v>468</v>
      </c>
      <c r="AB489" s="51" t="s">
        <v>4394</v>
      </c>
      <c r="AC489" s="51" t="s">
        <v>3884</v>
      </c>
      <c r="AD489" s="51" t="s">
        <v>707</v>
      </c>
      <c r="AE489" s="51" t="s">
        <v>927</v>
      </c>
      <c r="AF489" s="51" t="s">
        <v>823</v>
      </c>
      <c r="AK489" s="52" t="s">
        <v>845</v>
      </c>
      <c r="AP489" s="51" t="s">
        <v>4395</v>
      </c>
      <c r="AQ489" s="51" t="s">
        <v>3885</v>
      </c>
      <c r="AR489" s="51" t="s">
        <v>4396</v>
      </c>
      <c r="AS489" s="51" t="s">
        <v>927</v>
      </c>
      <c r="AT489" s="51" t="s">
        <v>4397</v>
      </c>
      <c r="AY489" s="52" t="s">
        <v>2345</v>
      </c>
    </row>
    <row r="490" spans="1:51" x14ac:dyDescent="0.25">
      <c r="A490" s="51" t="s">
        <v>3810</v>
      </c>
      <c r="B490" s="51">
        <v>28</v>
      </c>
      <c r="E490" s="54" t="str" cm="1">
        <f t="array" aca="1" ref="E490" ca="1">IF(H490=0,"",HYPERLINK("#"&amp;RIGHT(CELL("dateiname"),LEN(CELL("dateiname"))-FIND("]",CELL("dateiname")))&amp;"!"&amp;CELL("adresse",OFFSET($Q$6,H490-1,0)),"Definition"))</f>
        <v/>
      </c>
      <c r="F490" s="54" t="str" cm="1">
        <f t="array" aca="1" ref="F490" ca="1">IF(I490=0,"",HYPERLINK("#"&amp;RIGHT(CELL("adresse",OFFSET(DMAV_Doku!$B$6,I490-1,0)),LEN(CELL("adresse",OFFSET(DMAV_Doku!$B$6,I490-1,0)))-SEARCH("]",CELL("adresse",OFFSET(DMAV_Doku!$B$6,I490-1,0)))),"ModDoc"))</f>
        <v>ModDoc</v>
      </c>
      <c r="G490" s="150" t="str">
        <f t="shared" si="14"/>
        <v>MEO28</v>
      </c>
      <c r="H490" s="150">
        <f t="shared" si="15"/>
        <v>0</v>
      </c>
      <c r="I490" s="150">
        <f>IF(_xlfn.XLOOKUP(G490,Korrelation!$A$4:$A$723,Korrelation!$B$4:$B$723,0,0)=0,0,MATCH(_xlfn.XLOOKUP(G490,Korrelation!$A$4:$A$723,Korrelation!$B$4:$B$723,0,0),DMAV_Doku!$H$6:$H$483,0))</f>
        <v>302</v>
      </c>
      <c r="J490" s="158"/>
      <c r="K490" s="161"/>
      <c r="L490" s="161"/>
      <c r="M490" s="158"/>
      <c r="N490" s="51" t="s">
        <v>4393</v>
      </c>
      <c r="O490" s="51" t="s">
        <v>3883</v>
      </c>
      <c r="P490" s="51" t="s">
        <v>20</v>
      </c>
      <c r="Q490" s="51" t="s">
        <v>927</v>
      </c>
      <c r="R490" s="51" t="s">
        <v>434</v>
      </c>
      <c r="W490" s="52" t="s">
        <v>469</v>
      </c>
      <c r="AB490" s="51" t="s">
        <v>4394</v>
      </c>
      <c r="AC490" s="51" t="s">
        <v>3884</v>
      </c>
      <c r="AD490" s="51" t="s">
        <v>707</v>
      </c>
      <c r="AE490" s="51" t="s">
        <v>927</v>
      </c>
      <c r="AF490" s="51" t="s">
        <v>823</v>
      </c>
      <c r="AK490" s="52" t="s">
        <v>846</v>
      </c>
      <c r="AP490" s="51" t="s">
        <v>4395</v>
      </c>
      <c r="AQ490" s="51" t="s">
        <v>3885</v>
      </c>
      <c r="AR490" s="51" t="s">
        <v>4396</v>
      </c>
      <c r="AS490" s="51" t="s">
        <v>927</v>
      </c>
      <c r="AT490" s="51" t="s">
        <v>4397</v>
      </c>
      <c r="AY490" s="52" t="s">
        <v>2344</v>
      </c>
    </row>
    <row r="491" spans="1:51" x14ac:dyDescent="0.25">
      <c r="A491" s="51" t="s">
        <v>3810</v>
      </c>
      <c r="B491" s="51">
        <v>29</v>
      </c>
      <c r="E491" s="54" t="str" cm="1">
        <f t="array" aca="1" ref="E491" ca="1">IF(H491=0,"",HYPERLINK("#"&amp;RIGHT(CELL("dateiname"),LEN(CELL("dateiname"))-FIND("]",CELL("dateiname")))&amp;"!"&amp;CELL("adresse",OFFSET($Q$6,H491-1,0)),"Definition"))</f>
        <v/>
      </c>
      <c r="F491" s="54" t="str" cm="1">
        <f t="array" aca="1" ref="F491" ca="1">IF(I491=0,"",HYPERLINK("#"&amp;RIGHT(CELL("adresse",OFFSET(DMAV_Doku!$B$6,I491-1,0)),LEN(CELL("adresse",OFFSET(DMAV_Doku!$B$6,I491-1,0)))-SEARCH("]",CELL("adresse",OFFSET(DMAV_Doku!$B$6,I491-1,0)))),"ModDoc"))</f>
        <v>ModDoc</v>
      </c>
      <c r="G491" s="150" t="str">
        <f t="shared" si="14"/>
        <v>MEO29</v>
      </c>
      <c r="H491" s="150">
        <f t="shared" si="15"/>
        <v>0</v>
      </c>
      <c r="I491" s="150">
        <f>IF(_xlfn.XLOOKUP(G491,Korrelation!$A$4:$A$723,Korrelation!$B$4:$B$723,0,0)=0,0,MATCH(_xlfn.XLOOKUP(G491,Korrelation!$A$4:$A$723,Korrelation!$B$4:$B$723,0,0),DMAV_Doku!$H$6:$H$483,0))</f>
        <v>303</v>
      </c>
      <c r="J491" s="158"/>
      <c r="K491" s="161"/>
      <c r="L491" s="161"/>
      <c r="M491" s="158"/>
      <c r="N491" s="51" t="s">
        <v>4393</v>
      </c>
      <c r="O491" s="51" t="s">
        <v>3883</v>
      </c>
      <c r="P491" s="51" t="s">
        <v>20</v>
      </c>
      <c r="Q491" s="51" t="s">
        <v>927</v>
      </c>
      <c r="R491" s="51" t="s">
        <v>434</v>
      </c>
      <c r="W491" s="52" t="s">
        <v>470</v>
      </c>
      <c r="AB491" s="51" t="s">
        <v>4394</v>
      </c>
      <c r="AC491" s="51" t="s">
        <v>3884</v>
      </c>
      <c r="AD491" s="51" t="s">
        <v>707</v>
      </c>
      <c r="AE491" s="51" t="s">
        <v>927</v>
      </c>
      <c r="AF491" s="51" t="s">
        <v>823</v>
      </c>
      <c r="AK491" s="52" t="s">
        <v>847</v>
      </c>
      <c r="AP491" s="51" t="s">
        <v>4395</v>
      </c>
      <c r="AQ491" s="51" t="s">
        <v>3885</v>
      </c>
      <c r="AR491" s="51" t="s">
        <v>4396</v>
      </c>
      <c r="AS491" s="51" t="s">
        <v>927</v>
      </c>
      <c r="AT491" s="51" t="s">
        <v>4397</v>
      </c>
      <c r="AY491" s="52" t="s">
        <v>2343</v>
      </c>
    </row>
    <row r="492" spans="1:51" x14ac:dyDescent="0.25">
      <c r="A492" s="51" t="s">
        <v>3810</v>
      </c>
      <c r="B492" s="51">
        <v>30</v>
      </c>
      <c r="E492" s="54" t="str" cm="1">
        <f t="array" aca="1" ref="E492" ca="1">IF(H492=0,"",HYPERLINK("#"&amp;RIGHT(CELL("dateiname"),LEN(CELL("dateiname"))-FIND("]",CELL("dateiname")))&amp;"!"&amp;CELL("adresse",OFFSET($Q$6,H492-1,0)),"Definition"))</f>
        <v/>
      </c>
      <c r="F492" s="54" t="str" cm="1">
        <f t="array" aca="1" ref="F492" ca="1">IF(I492=0,"",HYPERLINK("#"&amp;RIGHT(CELL("adresse",OFFSET(DMAV_Doku!$B$6,I492-1,0)),LEN(CELL("adresse",OFFSET(DMAV_Doku!$B$6,I492-1,0)))-SEARCH("]",CELL("adresse",OFFSET(DMAV_Doku!$B$6,I492-1,0)))),"ModDoc"))</f>
        <v>ModDoc</v>
      </c>
      <c r="G492" s="150" t="str">
        <f t="shared" si="14"/>
        <v>MEO30</v>
      </c>
      <c r="H492" s="150">
        <f t="shared" si="15"/>
        <v>0</v>
      </c>
      <c r="I492" s="150">
        <f>IF(_xlfn.XLOOKUP(G492,Korrelation!$A$4:$A$723,Korrelation!$B$4:$B$723,0,0)=0,0,MATCH(_xlfn.XLOOKUP(G492,Korrelation!$A$4:$A$723,Korrelation!$B$4:$B$723,0,0),DMAV_Doku!$H$6:$H$483,0))</f>
        <v>304</v>
      </c>
      <c r="J492" s="158"/>
      <c r="K492" s="161"/>
      <c r="L492" s="161"/>
      <c r="M492" s="158"/>
      <c r="N492" s="51" t="s">
        <v>4393</v>
      </c>
      <c r="O492" s="51" t="s">
        <v>3883</v>
      </c>
      <c r="P492" s="51" t="s">
        <v>20</v>
      </c>
      <c r="Q492" s="51" t="s">
        <v>927</v>
      </c>
      <c r="R492" s="51" t="s">
        <v>434</v>
      </c>
      <c r="W492" s="52" t="s">
        <v>471</v>
      </c>
      <c r="AB492" s="51" t="s">
        <v>4394</v>
      </c>
      <c r="AC492" s="51" t="s">
        <v>3884</v>
      </c>
      <c r="AD492" s="51" t="s">
        <v>707</v>
      </c>
      <c r="AE492" s="51" t="s">
        <v>927</v>
      </c>
      <c r="AF492" s="51" t="s">
        <v>823</v>
      </c>
      <c r="AK492" s="52" t="s">
        <v>848</v>
      </c>
      <c r="AP492" s="51" t="s">
        <v>4395</v>
      </c>
      <c r="AQ492" s="51" t="s">
        <v>3885</v>
      </c>
      <c r="AR492" s="51" t="s">
        <v>4396</v>
      </c>
      <c r="AS492" s="51" t="s">
        <v>927</v>
      </c>
      <c r="AT492" s="51" t="s">
        <v>4397</v>
      </c>
      <c r="AY492" s="52" t="s">
        <v>2342</v>
      </c>
    </row>
    <row r="493" spans="1:51" x14ac:dyDescent="0.25">
      <c r="A493" s="51" t="s">
        <v>3810</v>
      </c>
      <c r="B493" s="51">
        <v>31</v>
      </c>
      <c r="E493" s="54" t="str" cm="1">
        <f t="array" aca="1" ref="E493" ca="1">IF(H493=0,"",HYPERLINK("#"&amp;RIGHT(CELL("dateiname"),LEN(CELL("dateiname"))-FIND("]",CELL("dateiname")))&amp;"!"&amp;CELL("adresse",OFFSET($Q$6,H493-1,0)),"Definition"))</f>
        <v/>
      </c>
      <c r="F493" s="54" t="str" cm="1">
        <f t="array" aca="1" ref="F493" ca="1">IF(I493=0,"",HYPERLINK("#"&amp;RIGHT(CELL("adresse",OFFSET(DMAV_Doku!$B$6,I493-1,0)),LEN(CELL("adresse",OFFSET(DMAV_Doku!$B$6,I493-1,0)))-SEARCH("]",CELL("adresse",OFFSET(DMAV_Doku!$B$6,I493-1,0)))),"ModDoc"))</f>
        <v>ModDoc</v>
      </c>
      <c r="G493" s="150" t="str">
        <f t="shared" si="14"/>
        <v>MEO31</v>
      </c>
      <c r="H493" s="150">
        <f t="shared" si="15"/>
        <v>0</v>
      </c>
      <c r="I493" s="150">
        <f>IF(_xlfn.XLOOKUP(G493,Korrelation!$A$4:$A$723,Korrelation!$B$4:$B$723,0,0)=0,0,MATCH(_xlfn.XLOOKUP(G493,Korrelation!$A$4:$A$723,Korrelation!$B$4:$B$723,0,0),DMAV_Doku!$H$6:$H$483,0))</f>
        <v>305</v>
      </c>
      <c r="J493" s="158"/>
      <c r="K493" s="161"/>
      <c r="L493" s="161"/>
      <c r="M493" s="158"/>
      <c r="N493" s="51" t="s">
        <v>4393</v>
      </c>
      <c r="O493" s="51" t="s">
        <v>3883</v>
      </c>
      <c r="P493" s="51" t="s">
        <v>20</v>
      </c>
      <c r="Q493" s="51" t="s">
        <v>927</v>
      </c>
      <c r="R493" s="51" t="s">
        <v>434</v>
      </c>
      <c r="W493" s="52" t="s">
        <v>473</v>
      </c>
      <c r="AB493" s="51" t="s">
        <v>4394</v>
      </c>
      <c r="AC493" s="51" t="s">
        <v>3884</v>
      </c>
      <c r="AD493" s="51" t="s">
        <v>707</v>
      </c>
      <c r="AE493" s="51" t="s">
        <v>927</v>
      </c>
      <c r="AF493" s="51" t="s">
        <v>823</v>
      </c>
      <c r="AK493" s="52" t="s">
        <v>849</v>
      </c>
      <c r="AP493" s="51" t="s">
        <v>4395</v>
      </c>
      <c r="AQ493" s="51" t="s">
        <v>3885</v>
      </c>
      <c r="AR493" s="51" t="s">
        <v>4396</v>
      </c>
      <c r="AS493" s="51" t="s">
        <v>927</v>
      </c>
      <c r="AT493" s="51" t="s">
        <v>4397</v>
      </c>
      <c r="AY493" s="52" t="s">
        <v>2341</v>
      </c>
    </row>
    <row r="494" spans="1:51" x14ac:dyDescent="0.25">
      <c r="A494" s="51" t="s">
        <v>3810</v>
      </c>
      <c r="B494" s="51">
        <v>32</v>
      </c>
      <c r="E494" s="54" t="str" cm="1">
        <f t="array" aca="1" ref="E494" ca="1">IF(H494=0,"",HYPERLINK("#"&amp;RIGHT(CELL("dateiname"),LEN(CELL("dateiname"))-FIND("]",CELL("dateiname")))&amp;"!"&amp;CELL("adresse",OFFSET($Q$6,H494-1,0)),"Definition"))</f>
        <v/>
      </c>
      <c r="F494" s="54" t="str" cm="1">
        <f t="array" aca="1" ref="F494" ca="1">IF(I494=0,"",HYPERLINK("#"&amp;RIGHT(CELL("adresse",OFFSET(DMAV_Doku!$B$6,I494-1,0)),LEN(CELL("adresse",OFFSET(DMAV_Doku!$B$6,I494-1,0)))-SEARCH("]",CELL("adresse",OFFSET(DMAV_Doku!$B$6,I494-1,0)))),"ModDoc"))</f>
        <v>ModDoc</v>
      </c>
      <c r="G494" s="150" t="str">
        <f t="shared" si="14"/>
        <v>MEO32</v>
      </c>
      <c r="H494" s="150">
        <f t="shared" si="15"/>
        <v>0</v>
      </c>
      <c r="I494" s="150">
        <f>IF(_xlfn.XLOOKUP(G494,Korrelation!$A$4:$A$723,Korrelation!$B$4:$B$723,0,0)=0,0,MATCH(_xlfn.XLOOKUP(G494,Korrelation!$A$4:$A$723,Korrelation!$B$4:$B$723,0,0),DMAV_Doku!$H$6:$H$483,0))</f>
        <v>306</v>
      </c>
      <c r="J494" s="158"/>
      <c r="K494" s="161"/>
      <c r="L494" s="161"/>
      <c r="M494" s="158"/>
      <c r="N494" s="51" t="s">
        <v>4393</v>
      </c>
      <c r="O494" s="51" t="s">
        <v>3883</v>
      </c>
      <c r="P494" s="51" t="s">
        <v>20</v>
      </c>
      <c r="Q494" s="51" t="s">
        <v>927</v>
      </c>
      <c r="R494" s="51" t="s">
        <v>434</v>
      </c>
      <c r="W494" s="52" t="s">
        <v>475</v>
      </c>
      <c r="AB494" s="51" t="s">
        <v>4394</v>
      </c>
      <c r="AC494" s="51" t="s">
        <v>3884</v>
      </c>
      <c r="AD494" s="51" t="s">
        <v>707</v>
      </c>
      <c r="AE494" s="51" t="s">
        <v>927</v>
      </c>
      <c r="AF494" s="51" t="s">
        <v>823</v>
      </c>
      <c r="AK494" s="52" t="s">
        <v>850</v>
      </c>
      <c r="AP494" s="51" t="s">
        <v>4395</v>
      </c>
      <c r="AQ494" s="51" t="s">
        <v>3885</v>
      </c>
      <c r="AR494" s="51" t="s">
        <v>4396</v>
      </c>
      <c r="AS494" s="51" t="s">
        <v>927</v>
      </c>
      <c r="AT494" s="51" t="s">
        <v>4397</v>
      </c>
      <c r="AY494" s="52" t="s">
        <v>2340</v>
      </c>
    </row>
    <row r="495" spans="1:51" x14ac:dyDescent="0.25">
      <c r="A495" s="51" t="s">
        <v>3810</v>
      </c>
      <c r="B495" s="51">
        <v>33</v>
      </c>
      <c r="E495" s="54" t="str" cm="1">
        <f t="array" aca="1" ref="E495" ca="1">IF(H495=0,"",HYPERLINK("#"&amp;RIGHT(CELL("dateiname"),LEN(CELL("dateiname"))-FIND("]",CELL("dateiname")))&amp;"!"&amp;CELL("adresse",OFFSET($Q$6,H495-1,0)),"Definition"))</f>
        <v/>
      </c>
      <c r="F495" s="54" t="str" cm="1">
        <f t="array" aca="1" ref="F495" ca="1">IF(I495=0,"",HYPERLINK("#"&amp;RIGHT(CELL("adresse",OFFSET(DMAV_Doku!$B$6,I495-1,0)),LEN(CELL("adresse",OFFSET(DMAV_Doku!$B$6,I495-1,0)))-SEARCH("]",CELL("adresse",OFFSET(DMAV_Doku!$B$6,I495-1,0)))),"ModDoc"))</f>
        <v>ModDoc</v>
      </c>
      <c r="G495" s="150" t="str">
        <f t="shared" si="14"/>
        <v>MEO33</v>
      </c>
      <c r="H495" s="150">
        <f t="shared" si="15"/>
        <v>0</v>
      </c>
      <c r="I495" s="150">
        <f>IF(_xlfn.XLOOKUP(G495,Korrelation!$A$4:$A$723,Korrelation!$B$4:$B$723,0,0)=0,0,MATCH(_xlfn.XLOOKUP(G495,Korrelation!$A$4:$A$723,Korrelation!$B$4:$B$723,0,0),DMAV_Doku!$H$6:$H$483,0))</f>
        <v>307</v>
      </c>
      <c r="J495" s="158"/>
      <c r="K495" s="161"/>
      <c r="L495" s="161"/>
      <c r="M495" s="158"/>
      <c r="N495" s="51" t="s">
        <v>4393</v>
      </c>
      <c r="O495" s="51" t="s">
        <v>3883</v>
      </c>
      <c r="P495" s="51" t="s">
        <v>20</v>
      </c>
      <c r="Q495" s="51" t="s">
        <v>927</v>
      </c>
      <c r="R495" s="51" t="s">
        <v>434</v>
      </c>
      <c r="W495" s="52" t="s">
        <v>476</v>
      </c>
      <c r="AB495" s="51" t="s">
        <v>4394</v>
      </c>
      <c r="AC495" s="51" t="s">
        <v>3884</v>
      </c>
      <c r="AD495" s="51" t="s">
        <v>707</v>
      </c>
      <c r="AE495" s="51" t="s">
        <v>927</v>
      </c>
      <c r="AF495" s="51" t="s">
        <v>823</v>
      </c>
      <c r="AK495" s="52" t="s">
        <v>851</v>
      </c>
      <c r="AP495" s="51" t="s">
        <v>4395</v>
      </c>
      <c r="AQ495" s="51" t="s">
        <v>3885</v>
      </c>
      <c r="AR495" s="51" t="s">
        <v>4396</v>
      </c>
      <c r="AS495" s="51" t="s">
        <v>927</v>
      </c>
      <c r="AT495" s="51" t="s">
        <v>4397</v>
      </c>
      <c r="AY495" s="52" t="s">
        <v>2339</v>
      </c>
    </row>
    <row r="496" spans="1:51" x14ac:dyDescent="0.25">
      <c r="A496" s="51" t="s">
        <v>3810</v>
      </c>
      <c r="B496" s="51">
        <v>34</v>
      </c>
      <c r="E496" s="54" t="str" cm="1">
        <f t="array" aca="1" ref="E496" ca="1">IF(H496=0,"",HYPERLINK("#"&amp;RIGHT(CELL("dateiname"),LEN(CELL("dateiname"))-FIND("]",CELL("dateiname")))&amp;"!"&amp;CELL("adresse",OFFSET($Q$6,H496-1,0)),"Definition"))</f>
        <v/>
      </c>
      <c r="F496" s="54" t="str" cm="1">
        <f t="array" aca="1" ref="F496" ca="1">IF(I496=0,"",HYPERLINK("#"&amp;RIGHT(CELL("adresse",OFFSET(DMAV_Doku!$B$6,I496-1,0)),LEN(CELL("adresse",OFFSET(DMAV_Doku!$B$6,I496-1,0)))-SEARCH("]",CELL("adresse",OFFSET(DMAV_Doku!$B$6,I496-1,0)))),"ModDoc"))</f>
        <v>ModDoc</v>
      </c>
      <c r="G496" s="150" t="str">
        <f t="shared" si="14"/>
        <v>MEO34</v>
      </c>
      <c r="H496" s="150">
        <f t="shared" si="15"/>
        <v>0</v>
      </c>
      <c r="I496" s="150">
        <f>IF(_xlfn.XLOOKUP(G496,Korrelation!$A$4:$A$723,Korrelation!$B$4:$B$723,0,0)=0,0,MATCH(_xlfn.XLOOKUP(G496,Korrelation!$A$4:$A$723,Korrelation!$B$4:$B$723,0,0),DMAV_Doku!$H$6:$H$483,0))</f>
        <v>308</v>
      </c>
      <c r="J496" s="158"/>
      <c r="K496" s="161"/>
      <c r="L496" s="161"/>
      <c r="M496" s="158"/>
      <c r="N496" s="51" t="s">
        <v>4393</v>
      </c>
      <c r="O496" s="51" t="s">
        <v>3883</v>
      </c>
      <c r="P496" s="51" t="s">
        <v>20</v>
      </c>
      <c r="Q496" s="51" t="s">
        <v>927</v>
      </c>
      <c r="R496" s="51" t="s">
        <v>434</v>
      </c>
      <c r="W496" s="52" t="s">
        <v>477</v>
      </c>
      <c r="AB496" s="51" t="s">
        <v>4394</v>
      </c>
      <c r="AC496" s="51" t="s">
        <v>3884</v>
      </c>
      <c r="AD496" s="51" t="s">
        <v>707</v>
      </c>
      <c r="AE496" s="51" t="s">
        <v>927</v>
      </c>
      <c r="AF496" s="51" t="s">
        <v>823</v>
      </c>
      <c r="AK496" s="52" t="s">
        <v>852</v>
      </c>
      <c r="AP496" s="51" t="s">
        <v>4395</v>
      </c>
      <c r="AQ496" s="51" t="s">
        <v>3885</v>
      </c>
      <c r="AR496" s="51" t="s">
        <v>4396</v>
      </c>
      <c r="AS496" s="51" t="s">
        <v>927</v>
      </c>
      <c r="AT496" s="51" t="s">
        <v>4397</v>
      </c>
      <c r="AY496" s="52" t="s">
        <v>2338</v>
      </c>
    </row>
    <row r="497" spans="1:54" x14ac:dyDescent="0.25">
      <c r="A497" s="51" t="s">
        <v>3810</v>
      </c>
      <c r="B497" s="51">
        <v>35</v>
      </c>
      <c r="E497" s="54" t="str" cm="1">
        <f t="array" aca="1" ref="E497" ca="1">IF(H497=0,"",HYPERLINK("#"&amp;RIGHT(CELL("dateiname"),LEN(CELL("dateiname"))-FIND("]",CELL("dateiname")))&amp;"!"&amp;CELL("adresse",OFFSET($Q$6,H497-1,0)),"Definition"))</f>
        <v/>
      </c>
      <c r="F497" s="54" t="str" cm="1">
        <f t="array" aca="1" ref="F497" ca="1">IF(I497=0,"",HYPERLINK("#"&amp;RIGHT(CELL("adresse",OFFSET(DMAV_Doku!$B$6,I497-1,0)),LEN(CELL("adresse",OFFSET(DMAV_Doku!$B$6,I497-1,0)))-SEARCH("]",CELL("adresse",OFFSET(DMAV_Doku!$B$6,I497-1,0)))),"ModDoc"))</f>
        <v>ModDoc</v>
      </c>
      <c r="G497" s="150" t="str">
        <f t="shared" si="14"/>
        <v>MEO35</v>
      </c>
      <c r="H497" s="150">
        <f t="shared" si="15"/>
        <v>0</v>
      </c>
      <c r="I497" s="150">
        <f>IF(_xlfn.XLOOKUP(G497,Korrelation!$A$4:$A$723,Korrelation!$B$4:$B$723,0,0)=0,0,MATCH(_xlfn.XLOOKUP(G497,Korrelation!$A$4:$A$723,Korrelation!$B$4:$B$723,0,0),DMAV_Doku!$H$6:$H$483,0))</f>
        <v>309</v>
      </c>
      <c r="J497" s="158"/>
      <c r="K497" s="161"/>
      <c r="L497" s="161"/>
      <c r="M497" s="158"/>
      <c r="N497" s="51" t="s">
        <v>4393</v>
      </c>
      <c r="O497" s="51" t="s">
        <v>3883</v>
      </c>
      <c r="P497" s="51" t="s">
        <v>20</v>
      </c>
      <c r="Q497" s="51" t="s">
        <v>927</v>
      </c>
      <c r="R497" s="51" t="s">
        <v>434</v>
      </c>
      <c r="W497" s="52" t="s">
        <v>479</v>
      </c>
      <c r="AB497" s="51" t="s">
        <v>4394</v>
      </c>
      <c r="AC497" s="51" t="s">
        <v>3884</v>
      </c>
      <c r="AD497" s="51" t="s">
        <v>707</v>
      </c>
      <c r="AE497" s="51" t="s">
        <v>927</v>
      </c>
      <c r="AF497" s="51" t="s">
        <v>823</v>
      </c>
      <c r="AK497" s="52" t="s">
        <v>853</v>
      </c>
      <c r="AP497" s="51" t="s">
        <v>4395</v>
      </c>
      <c r="AQ497" s="51" t="s">
        <v>3885</v>
      </c>
      <c r="AR497" s="51" t="s">
        <v>4396</v>
      </c>
      <c r="AS497" s="51" t="s">
        <v>927</v>
      </c>
      <c r="AT497" s="51" t="s">
        <v>4397</v>
      </c>
      <c r="AY497" s="52" t="s">
        <v>2337</v>
      </c>
    </row>
    <row r="498" spans="1:54" x14ac:dyDescent="0.25">
      <c r="A498" s="51" t="s">
        <v>3810</v>
      </c>
      <c r="B498" s="51">
        <v>36</v>
      </c>
      <c r="E498" s="54" t="str" cm="1">
        <f t="array" aca="1" ref="E498" ca="1">IF(H498=0,"",HYPERLINK("#"&amp;RIGHT(CELL("dateiname"),LEN(CELL("dateiname"))-FIND("]",CELL("dateiname")))&amp;"!"&amp;CELL("adresse",OFFSET($Q$6,H498-1,0)),"Definition"))</f>
        <v/>
      </c>
      <c r="F498" s="54" t="str" cm="1">
        <f t="array" aca="1" ref="F498" ca="1">IF(I498=0,"",HYPERLINK("#"&amp;RIGHT(CELL("adresse",OFFSET(DMAV_Doku!$B$6,I498-1,0)),LEN(CELL("adresse",OFFSET(DMAV_Doku!$B$6,I498-1,0)))-SEARCH("]",CELL("adresse",OFFSET(DMAV_Doku!$B$6,I498-1,0)))),"ModDoc"))</f>
        <v>ModDoc</v>
      </c>
      <c r="G498" s="150" t="str">
        <f t="shared" si="14"/>
        <v>MEO36</v>
      </c>
      <c r="H498" s="150">
        <f t="shared" si="15"/>
        <v>0</v>
      </c>
      <c r="I498" s="150">
        <f>IF(_xlfn.XLOOKUP(G498,Korrelation!$A$4:$A$723,Korrelation!$B$4:$B$723,0,0)=0,0,MATCH(_xlfn.XLOOKUP(G498,Korrelation!$A$4:$A$723,Korrelation!$B$4:$B$723,0,0),DMAV_Doku!$H$6:$H$483,0))</f>
        <v>310</v>
      </c>
      <c r="J498" s="158"/>
      <c r="K498" s="161"/>
      <c r="L498" s="161"/>
      <c r="M498" s="158"/>
      <c r="N498" s="51" t="s">
        <v>4393</v>
      </c>
      <c r="O498" s="51" t="s">
        <v>3883</v>
      </c>
      <c r="P498" s="51" t="s">
        <v>20</v>
      </c>
      <c r="Q498" s="51" t="s">
        <v>927</v>
      </c>
      <c r="R498" s="51" t="s">
        <v>434</v>
      </c>
      <c r="W498" s="52" t="s">
        <v>481</v>
      </c>
      <c r="AB498" s="51" t="s">
        <v>4394</v>
      </c>
      <c r="AC498" s="51" t="s">
        <v>3884</v>
      </c>
      <c r="AD498" s="51" t="s">
        <v>707</v>
      </c>
      <c r="AE498" s="51" t="s">
        <v>927</v>
      </c>
      <c r="AF498" s="51" t="s">
        <v>823</v>
      </c>
      <c r="AK498" s="52" t="s">
        <v>854</v>
      </c>
      <c r="AP498" s="51" t="s">
        <v>4395</v>
      </c>
      <c r="AQ498" s="51" t="s">
        <v>3885</v>
      </c>
      <c r="AR498" s="51" t="s">
        <v>4396</v>
      </c>
      <c r="AS498" s="51" t="s">
        <v>927</v>
      </c>
      <c r="AT498" s="51" t="s">
        <v>4397</v>
      </c>
      <c r="AY498" s="52" t="s">
        <v>2336</v>
      </c>
    </row>
    <row r="499" spans="1:54" x14ac:dyDescent="0.25">
      <c r="A499" s="51" t="s">
        <v>3810</v>
      </c>
      <c r="B499" s="51">
        <v>37</v>
      </c>
      <c r="E499" s="54" t="str" cm="1">
        <f t="array" aca="1" ref="E499" ca="1">IF(H499=0,"",HYPERLINK("#"&amp;RIGHT(CELL("dateiname"),LEN(CELL("dateiname"))-FIND("]",CELL("dateiname")))&amp;"!"&amp;CELL("adresse",OFFSET($Q$6,H499-1,0)),"Definition"))</f>
        <v/>
      </c>
      <c r="F499" s="54" t="str" cm="1">
        <f t="array" aca="1" ref="F499" ca="1">IF(I499=0,"",HYPERLINK("#"&amp;RIGHT(CELL("adresse",OFFSET(DMAV_Doku!$B$6,I499-1,0)),LEN(CELL("adresse",OFFSET(DMAV_Doku!$B$6,I499-1,0)))-SEARCH("]",CELL("adresse",OFFSET(DMAV_Doku!$B$6,I499-1,0)))),"ModDoc"))</f>
        <v>ModDoc</v>
      </c>
      <c r="G499" s="150" t="str">
        <f t="shared" si="14"/>
        <v>MEO37</v>
      </c>
      <c r="H499" s="150">
        <f t="shared" si="15"/>
        <v>0</v>
      </c>
      <c r="I499" s="150">
        <f>IF(_xlfn.XLOOKUP(G499,Korrelation!$A$4:$A$723,Korrelation!$B$4:$B$723,0,0)=0,0,MATCH(_xlfn.XLOOKUP(G499,Korrelation!$A$4:$A$723,Korrelation!$B$4:$B$723,0,0),DMAV_Doku!$H$6:$H$483,0))</f>
        <v>311</v>
      </c>
      <c r="J499" s="158"/>
      <c r="K499" s="161"/>
      <c r="L499" s="161"/>
      <c r="M499" s="158"/>
      <c r="N499" s="51" t="s">
        <v>4393</v>
      </c>
      <c r="O499" s="51" t="s">
        <v>3883</v>
      </c>
      <c r="P499" s="51" t="s">
        <v>20</v>
      </c>
      <c r="Q499" s="51" t="s">
        <v>927</v>
      </c>
      <c r="R499" s="51" t="s">
        <v>434</v>
      </c>
      <c r="W499" s="52" t="s">
        <v>483</v>
      </c>
      <c r="AB499" s="51" t="s">
        <v>4394</v>
      </c>
      <c r="AC499" s="51" t="s">
        <v>3884</v>
      </c>
      <c r="AD499" s="51" t="s">
        <v>707</v>
      </c>
      <c r="AE499" s="51" t="s">
        <v>927</v>
      </c>
      <c r="AF499" s="51" t="s">
        <v>823</v>
      </c>
      <c r="AK499" s="52" t="s">
        <v>855</v>
      </c>
      <c r="AP499" s="51" t="s">
        <v>4395</v>
      </c>
      <c r="AQ499" s="51" t="s">
        <v>3885</v>
      </c>
      <c r="AR499" s="51" t="s">
        <v>4396</v>
      </c>
      <c r="AS499" s="51" t="s">
        <v>927</v>
      </c>
      <c r="AT499" s="51" t="s">
        <v>4397</v>
      </c>
      <c r="AY499" s="52" t="s">
        <v>2335</v>
      </c>
    </row>
    <row r="500" spans="1:54" x14ac:dyDescent="0.25">
      <c r="A500" s="51" t="s">
        <v>3810</v>
      </c>
      <c r="B500" s="51">
        <v>38</v>
      </c>
      <c r="E500" s="54" t="str" cm="1">
        <f t="array" aca="1" ref="E500" ca="1">IF(H500=0,"",HYPERLINK("#"&amp;RIGHT(CELL("dateiname"),LEN(CELL("dateiname"))-FIND("]",CELL("dateiname")))&amp;"!"&amp;CELL("adresse",OFFSET($Q$6,H500-1,0)),"Definition"))</f>
        <v/>
      </c>
      <c r="F500" s="54" t="str" cm="1">
        <f t="array" aca="1" ref="F500" ca="1">IF(I500=0,"",HYPERLINK("#"&amp;RIGHT(CELL("adresse",OFFSET(DMAV_Doku!$B$6,I500-1,0)),LEN(CELL("adresse",OFFSET(DMAV_Doku!$B$6,I500-1,0)))-SEARCH("]",CELL("adresse",OFFSET(DMAV_Doku!$B$6,I500-1,0)))),"ModDoc"))</f>
        <v>ModDoc</v>
      </c>
      <c r="G500" s="150" t="str">
        <f t="shared" si="14"/>
        <v>MEO38</v>
      </c>
      <c r="H500" s="150">
        <f t="shared" si="15"/>
        <v>0</v>
      </c>
      <c r="I500" s="150">
        <f>IF(_xlfn.XLOOKUP(G500,Korrelation!$A$4:$A$723,Korrelation!$B$4:$B$723,0,0)=0,0,MATCH(_xlfn.XLOOKUP(G500,Korrelation!$A$4:$A$723,Korrelation!$B$4:$B$723,0,0),DMAV_Doku!$H$6:$H$483,0))</f>
        <v>312</v>
      </c>
      <c r="J500" s="158"/>
      <c r="K500" s="161"/>
      <c r="L500" s="161"/>
      <c r="M500" s="158"/>
      <c r="N500" s="51" t="s">
        <v>4393</v>
      </c>
      <c r="O500" s="51" t="s">
        <v>3883</v>
      </c>
      <c r="P500" s="51" t="s">
        <v>20</v>
      </c>
      <c r="Q500" s="51" t="s">
        <v>927</v>
      </c>
      <c r="R500" s="51" t="s">
        <v>434</v>
      </c>
      <c r="W500" s="52" t="s">
        <v>485</v>
      </c>
      <c r="AB500" s="51" t="s">
        <v>4394</v>
      </c>
      <c r="AC500" s="51" t="s">
        <v>3884</v>
      </c>
      <c r="AD500" s="51" t="s">
        <v>707</v>
      </c>
      <c r="AE500" s="51" t="s">
        <v>927</v>
      </c>
      <c r="AF500" s="51" t="s">
        <v>823</v>
      </c>
      <c r="AK500" s="52" t="s">
        <v>856</v>
      </c>
      <c r="AP500" s="51" t="s">
        <v>4395</v>
      </c>
      <c r="AQ500" s="51" t="s">
        <v>3885</v>
      </c>
      <c r="AR500" s="51" t="s">
        <v>4396</v>
      </c>
      <c r="AS500" s="51" t="s">
        <v>927</v>
      </c>
      <c r="AT500" s="51" t="s">
        <v>4397</v>
      </c>
      <c r="AY500" s="52" t="s">
        <v>2334</v>
      </c>
    </row>
    <row r="501" spans="1:54" x14ac:dyDescent="0.25">
      <c r="A501" s="51" t="s">
        <v>3810</v>
      </c>
      <c r="B501" s="51">
        <v>39</v>
      </c>
      <c r="E501" s="54" t="str" cm="1">
        <f t="array" aca="1" ref="E501" ca="1">IF(H501=0,"",HYPERLINK("#"&amp;RIGHT(CELL("dateiname"),LEN(CELL("dateiname"))-FIND("]",CELL("dateiname")))&amp;"!"&amp;CELL("adresse",OFFSET($Q$6,H501-1,0)),"Definition"))</f>
        <v/>
      </c>
      <c r="F501" s="54" t="str" cm="1">
        <f t="array" aca="1" ref="F501" ca="1">IF(I501=0,"",HYPERLINK("#"&amp;RIGHT(CELL("adresse",OFFSET(DMAV_Doku!$B$6,I501-1,0)),LEN(CELL("adresse",OFFSET(DMAV_Doku!$B$6,I501-1,0)))-SEARCH("]",CELL("adresse",OFFSET(DMAV_Doku!$B$6,I501-1,0)))),"ModDoc"))</f>
        <v>ModDoc</v>
      </c>
      <c r="G501" s="150" t="str">
        <f t="shared" si="14"/>
        <v>MEO39</v>
      </c>
      <c r="H501" s="150">
        <f t="shared" si="15"/>
        <v>0</v>
      </c>
      <c r="I501" s="150">
        <f>IF(_xlfn.XLOOKUP(G501,Korrelation!$A$4:$A$723,Korrelation!$B$4:$B$723,0,0)=0,0,MATCH(_xlfn.XLOOKUP(G501,Korrelation!$A$4:$A$723,Korrelation!$B$4:$B$723,0,0),DMAV_Doku!$H$6:$H$483,0))</f>
        <v>313</v>
      </c>
      <c r="J501" s="158"/>
      <c r="K501" s="161"/>
      <c r="L501" s="161"/>
      <c r="M501" s="158"/>
      <c r="N501" s="51" t="s">
        <v>4393</v>
      </c>
      <c r="O501" s="51" t="s">
        <v>3883</v>
      </c>
      <c r="P501" s="51" t="s">
        <v>20</v>
      </c>
      <c r="Q501" s="51" t="s">
        <v>927</v>
      </c>
      <c r="R501" s="51" t="s">
        <v>434</v>
      </c>
      <c r="W501" s="52" t="s">
        <v>487</v>
      </c>
      <c r="AB501" s="51" t="s">
        <v>4394</v>
      </c>
      <c r="AC501" s="51" t="s">
        <v>3884</v>
      </c>
      <c r="AD501" s="51" t="s">
        <v>707</v>
      </c>
      <c r="AE501" s="51" t="s">
        <v>927</v>
      </c>
      <c r="AF501" s="51" t="s">
        <v>823</v>
      </c>
      <c r="AK501" s="52" t="s">
        <v>857</v>
      </c>
      <c r="AP501" s="51" t="s">
        <v>4395</v>
      </c>
      <c r="AQ501" s="51" t="s">
        <v>3885</v>
      </c>
      <c r="AR501" s="51" t="s">
        <v>4396</v>
      </c>
      <c r="AS501" s="51" t="s">
        <v>927</v>
      </c>
      <c r="AT501" s="51" t="s">
        <v>4397</v>
      </c>
      <c r="AY501" s="52" t="s">
        <v>2333</v>
      </c>
    </row>
    <row r="502" spans="1:54" x14ac:dyDescent="0.25">
      <c r="A502" s="51" t="s">
        <v>3810</v>
      </c>
      <c r="B502" s="51">
        <v>40</v>
      </c>
      <c r="E502" s="54" t="str" cm="1">
        <f t="array" aca="1" ref="E502" ca="1">IF(H502=0,"",HYPERLINK("#"&amp;RIGHT(CELL("dateiname"),LEN(CELL("dateiname"))-FIND("]",CELL("dateiname")))&amp;"!"&amp;CELL("adresse",OFFSET($Q$6,H502-1,0)),"Definition"))</f>
        <v/>
      </c>
      <c r="F502" s="54" t="str" cm="1">
        <f t="array" aca="1" ref="F502" ca="1">IF(I502=0,"",HYPERLINK("#"&amp;RIGHT(CELL("adresse",OFFSET(DMAV_Doku!$B$6,I502-1,0)),LEN(CELL("adresse",OFFSET(DMAV_Doku!$B$6,I502-1,0)))-SEARCH("]",CELL("adresse",OFFSET(DMAV_Doku!$B$6,I502-1,0)))),"ModDoc"))</f>
        <v>ModDoc</v>
      </c>
      <c r="G502" s="150" t="str">
        <f t="shared" si="14"/>
        <v>MEO40</v>
      </c>
      <c r="H502" s="150">
        <f t="shared" si="15"/>
        <v>0</v>
      </c>
      <c r="I502" s="150">
        <f>IF(_xlfn.XLOOKUP(G502,Korrelation!$A$4:$A$723,Korrelation!$B$4:$B$723,0,0)=0,0,MATCH(_xlfn.XLOOKUP(G502,Korrelation!$A$4:$A$723,Korrelation!$B$4:$B$723,0,0),DMAV_Doku!$H$6:$H$483,0))</f>
        <v>314</v>
      </c>
      <c r="J502" s="158"/>
      <c r="K502" s="161"/>
      <c r="L502" s="161"/>
      <c r="M502" s="158"/>
      <c r="N502" s="51" t="s">
        <v>4393</v>
      </c>
      <c r="O502" s="51" t="s">
        <v>3883</v>
      </c>
      <c r="P502" s="51" t="s">
        <v>20</v>
      </c>
      <c r="Q502" s="51" t="s">
        <v>927</v>
      </c>
      <c r="R502" s="51" t="s">
        <v>434</v>
      </c>
      <c r="W502" s="52" t="s">
        <v>489</v>
      </c>
      <c r="AB502" s="51" t="s">
        <v>4394</v>
      </c>
      <c r="AC502" s="51" t="s">
        <v>3884</v>
      </c>
      <c r="AD502" s="51" t="s">
        <v>707</v>
      </c>
      <c r="AE502" s="51" t="s">
        <v>927</v>
      </c>
      <c r="AF502" s="51" t="s">
        <v>823</v>
      </c>
      <c r="AK502" s="52" t="s">
        <v>858</v>
      </c>
      <c r="AP502" s="51" t="s">
        <v>4395</v>
      </c>
      <c r="AQ502" s="51" t="s">
        <v>3885</v>
      </c>
      <c r="AR502" s="51" t="s">
        <v>4396</v>
      </c>
      <c r="AS502" s="51" t="s">
        <v>927</v>
      </c>
      <c r="AT502" s="51" t="s">
        <v>4397</v>
      </c>
      <c r="AY502" s="52" t="s">
        <v>2332</v>
      </c>
    </row>
    <row r="503" spans="1:54" x14ac:dyDescent="0.25">
      <c r="A503" s="51" t="s">
        <v>3810</v>
      </c>
      <c r="B503" s="51">
        <v>41</v>
      </c>
      <c r="E503" s="54" t="str" cm="1">
        <f t="array" aca="1" ref="E503" ca="1">IF(H503=0,"",HYPERLINK("#"&amp;RIGHT(CELL("dateiname"),LEN(CELL("dateiname"))-FIND("]",CELL("dateiname")))&amp;"!"&amp;CELL("adresse",OFFSET($Q$6,H503-1,0)),"Definition"))</f>
        <v/>
      </c>
      <c r="F503" s="54" t="str" cm="1">
        <f t="array" aca="1" ref="F503" ca="1">IF(I503=0,"",HYPERLINK("#"&amp;RIGHT(CELL("adresse",OFFSET(DMAV_Doku!$B$6,I503-1,0)),LEN(CELL("adresse",OFFSET(DMAV_Doku!$B$6,I503-1,0)))-SEARCH("]",CELL("adresse",OFFSET(DMAV_Doku!$B$6,I503-1,0)))),"ModDoc"))</f>
        <v>ModDoc</v>
      </c>
      <c r="G503" s="150" t="str">
        <f t="shared" si="14"/>
        <v>MEO41</v>
      </c>
      <c r="H503" s="150">
        <f t="shared" si="15"/>
        <v>0</v>
      </c>
      <c r="I503" s="150">
        <f>IF(_xlfn.XLOOKUP(G503,Korrelation!$A$4:$A$723,Korrelation!$B$4:$B$723,0,0)=0,0,MATCH(_xlfn.XLOOKUP(G503,Korrelation!$A$4:$A$723,Korrelation!$B$4:$B$723,0,0),DMAV_Doku!$H$6:$H$483,0))</f>
        <v>315</v>
      </c>
      <c r="J503" s="158"/>
      <c r="K503" s="161"/>
      <c r="L503" s="161"/>
      <c r="M503" s="158"/>
      <c r="N503" s="51" t="s">
        <v>4393</v>
      </c>
      <c r="O503" s="51" t="s">
        <v>3883</v>
      </c>
      <c r="P503" s="51" t="s">
        <v>20</v>
      </c>
      <c r="Q503" s="51" t="s">
        <v>927</v>
      </c>
      <c r="R503" s="51" t="s">
        <v>434</v>
      </c>
      <c r="W503" s="52" t="s">
        <v>491</v>
      </c>
      <c r="AB503" s="51" t="s">
        <v>4394</v>
      </c>
      <c r="AC503" s="51" t="s">
        <v>3884</v>
      </c>
      <c r="AD503" s="51" t="s">
        <v>707</v>
      </c>
      <c r="AE503" s="51" t="s">
        <v>927</v>
      </c>
      <c r="AF503" s="51" t="s">
        <v>823</v>
      </c>
      <c r="AK503" s="52" t="s">
        <v>859</v>
      </c>
      <c r="AP503" s="51" t="s">
        <v>4395</v>
      </c>
      <c r="AQ503" s="51" t="s">
        <v>3885</v>
      </c>
      <c r="AR503" s="51" t="s">
        <v>4396</v>
      </c>
      <c r="AS503" s="51" t="s">
        <v>927</v>
      </c>
      <c r="AT503" s="51" t="s">
        <v>4397</v>
      </c>
      <c r="AY503" s="52" t="s">
        <v>2331</v>
      </c>
    </row>
    <row r="504" spans="1:54" x14ac:dyDescent="0.25">
      <c r="A504" s="51" t="s">
        <v>3810</v>
      </c>
      <c r="B504" s="51">
        <v>42</v>
      </c>
      <c r="E504" s="54" t="str" cm="1">
        <f t="array" aca="1" ref="E504" ca="1">IF(H504=0,"",HYPERLINK("#"&amp;RIGHT(CELL("dateiname"),LEN(CELL("dateiname"))-FIND("]",CELL("dateiname")))&amp;"!"&amp;CELL("adresse",OFFSET($Q$6,H504-1,0)),"Definition"))</f>
        <v/>
      </c>
      <c r="F504" s="54" t="str" cm="1">
        <f t="array" aca="1" ref="F504" ca="1">IF(I504=0,"",HYPERLINK("#"&amp;RIGHT(CELL("adresse",OFFSET(DMAV_Doku!$B$6,I504-1,0)),LEN(CELL("adresse",OFFSET(DMAV_Doku!$B$6,I504-1,0)))-SEARCH("]",CELL("adresse",OFFSET(DMAV_Doku!$B$6,I504-1,0)))),"ModDoc"))</f>
        <v>ModDoc</v>
      </c>
      <c r="G504" s="150" t="str">
        <f t="shared" si="14"/>
        <v>MEO42</v>
      </c>
      <c r="H504" s="150">
        <f t="shared" si="15"/>
        <v>0</v>
      </c>
      <c r="I504" s="150">
        <f>IF(_xlfn.XLOOKUP(G504,Korrelation!$A$4:$A$723,Korrelation!$B$4:$B$723,0,0)=0,0,MATCH(_xlfn.XLOOKUP(G504,Korrelation!$A$4:$A$723,Korrelation!$B$4:$B$723,0,0),DMAV_Doku!$H$6:$H$483,0))</f>
        <v>316</v>
      </c>
      <c r="J504" s="158"/>
      <c r="K504" s="161"/>
      <c r="L504" s="161"/>
      <c r="M504" s="158"/>
      <c r="N504" s="51" t="s">
        <v>4393</v>
      </c>
      <c r="O504" s="51" t="s">
        <v>3883</v>
      </c>
      <c r="P504" s="51" t="s">
        <v>20</v>
      </c>
      <c r="Q504" s="51" t="s">
        <v>927</v>
      </c>
      <c r="R504" s="51" t="s">
        <v>434</v>
      </c>
      <c r="W504" s="52" t="s">
        <v>493</v>
      </c>
      <c r="AB504" s="51" t="s">
        <v>4394</v>
      </c>
      <c r="AC504" s="51" t="s">
        <v>3884</v>
      </c>
      <c r="AD504" s="51" t="s">
        <v>707</v>
      </c>
      <c r="AE504" s="51" t="s">
        <v>927</v>
      </c>
      <c r="AF504" s="51" t="s">
        <v>823</v>
      </c>
      <c r="AK504" s="52" t="s">
        <v>860</v>
      </c>
      <c r="AP504" s="51" t="s">
        <v>4395</v>
      </c>
      <c r="AQ504" s="51" t="s">
        <v>3885</v>
      </c>
      <c r="AR504" s="51" t="s">
        <v>4396</v>
      </c>
      <c r="AS504" s="51" t="s">
        <v>927</v>
      </c>
      <c r="AT504" s="51" t="s">
        <v>4397</v>
      </c>
      <c r="AY504" s="52" t="s">
        <v>2330</v>
      </c>
    </row>
    <row r="505" spans="1:54" x14ac:dyDescent="0.25">
      <c r="A505" s="51" t="s">
        <v>3810</v>
      </c>
      <c r="B505" s="51">
        <v>43</v>
      </c>
      <c r="E505" s="54" t="str" cm="1">
        <f t="array" aca="1" ref="E505" ca="1">IF(H505=0,"",HYPERLINK("#"&amp;RIGHT(CELL("dateiname"),LEN(CELL("dateiname"))-FIND("]",CELL("dateiname")))&amp;"!"&amp;CELL("adresse",OFFSET($Q$6,H505-1,0)),"Definition"))</f>
        <v/>
      </c>
      <c r="F505" s="54" t="str" cm="1">
        <f t="array" aca="1" ref="F505" ca="1">IF(I505=0,"",HYPERLINK("#"&amp;RIGHT(CELL("adresse",OFFSET(DMAV_Doku!$B$6,I505-1,0)),LEN(CELL("adresse",OFFSET(DMAV_Doku!$B$6,I505-1,0)))-SEARCH("]",CELL("adresse",OFFSET(DMAV_Doku!$B$6,I505-1,0)))),"ModDoc"))</f>
        <v>ModDoc</v>
      </c>
      <c r="G505" s="150" t="str">
        <f t="shared" si="14"/>
        <v>MEO43</v>
      </c>
      <c r="H505" s="150">
        <f t="shared" si="15"/>
        <v>0</v>
      </c>
      <c r="I505" s="150">
        <f>IF(_xlfn.XLOOKUP(G505,Korrelation!$A$4:$A$723,Korrelation!$B$4:$B$723,0,0)=0,0,MATCH(_xlfn.XLOOKUP(G505,Korrelation!$A$4:$A$723,Korrelation!$B$4:$B$723,0,0),DMAV_Doku!$H$6:$H$483,0))</f>
        <v>317</v>
      </c>
      <c r="J505" s="158"/>
      <c r="K505" s="161"/>
      <c r="L505" s="161"/>
      <c r="M505" s="158"/>
      <c r="N505" s="51" t="s">
        <v>4393</v>
      </c>
      <c r="O505" s="51" t="s">
        <v>3883</v>
      </c>
      <c r="P505" s="51" t="s">
        <v>20</v>
      </c>
      <c r="Q505" s="51" t="s">
        <v>927</v>
      </c>
      <c r="R505" s="51" t="s">
        <v>434</v>
      </c>
      <c r="W505" s="52" t="s">
        <v>495</v>
      </c>
      <c r="AB505" s="51" t="s">
        <v>4394</v>
      </c>
      <c r="AC505" s="51" t="s">
        <v>3884</v>
      </c>
      <c r="AD505" s="51" t="s">
        <v>707</v>
      </c>
      <c r="AE505" s="51" t="s">
        <v>927</v>
      </c>
      <c r="AF505" s="51" t="s">
        <v>823</v>
      </c>
      <c r="AK505" s="52" t="s">
        <v>861</v>
      </c>
      <c r="AP505" s="51" t="s">
        <v>4395</v>
      </c>
      <c r="AQ505" s="51" t="s">
        <v>3885</v>
      </c>
      <c r="AR505" s="51" t="s">
        <v>4396</v>
      </c>
      <c r="AS505" s="51" t="s">
        <v>927</v>
      </c>
      <c r="AT505" s="51" t="s">
        <v>4397</v>
      </c>
      <c r="AY505" s="52" t="s">
        <v>2329</v>
      </c>
    </row>
    <row r="506" spans="1:54" x14ac:dyDescent="0.25">
      <c r="A506" s="51" t="s">
        <v>3810</v>
      </c>
      <c r="B506" s="51">
        <v>44</v>
      </c>
      <c r="E506" s="54" t="str" cm="1">
        <f t="array" aca="1" ref="E506" ca="1">IF(H506=0,"",HYPERLINK("#"&amp;RIGHT(CELL("dateiname"),LEN(CELL("dateiname"))-FIND("]",CELL("dateiname")))&amp;"!"&amp;CELL("adresse",OFFSET($Q$6,H506-1,0)),"Definition"))</f>
        <v/>
      </c>
      <c r="F506" s="54" t="str" cm="1">
        <f t="array" aca="1" ref="F506" ca="1">IF(I506=0,"",HYPERLINK("#"&amp;RIGHT(CELL("adresse",OFFSET(DMAV_Doku!$B$6,I506-1,0)),LEN(CELL("adresse",OFFSET(DMAV_Doku!$B$6,I506-1,0)))-SEARCH("]",CELL("adresse",OFFSET(DMAV_Doku!$B$6,I506-1,0)))),"ModDoc"))</f>
        <v>ModDoc</v>
      </c>
      <c r="G506" s="150" t="str">
        <f t="shared" si="14"/>
        <v>MEO44</v>
      </c>
      <c r="H506" s="150">
        <f t="shared" si="15"/>
        <v>0</v>
      </c>
      <c r="I506" s="150">
        <f>IF(_xlfn.XLOOKUP(G506,Korrelation!$A$4:$A$723,Korrelation!$B$4:$B$723,0,0)=0,0,MATCH(_xlfn.XLOOKUP(G506,Korrelation!$A$4:$A$723,Korrelation!$B$4:$B$723,0,0),DMAV_Doku!$H$6:$H$483,0))</f>
        <v>318</v>
      </c>
      <c r="J506" s="158"/>
      <c r="K506" s="161"/>
      <c r="L506" s="161"/>
      <c r="M506" s="158"/>
      <c r="N506" s="51" t="s">
        <v>4393</v>
      </c>
      <c r="O506" s="51" t="s">
        <v>3883</v>
      </c>
      <c r="P506" s="51" t="s">
        <v>20</v>
      </c>
      <c r="Q506" s="51" t="s">
        <v>927</v>
      </c>
      <c r="R506" s="51" t="s">
        <v>434</v>
      </c>
      <c r="W506" s="52" t="s">
        <v>497</v>
      </c>
      <c r="AB506" s="51" t="s">
        <v>4394</v>
      </c>
      <c r="AC506" s="51" t="s">
        <v>3884</v>
      </c>
      <c r="AD506" s="51" t="s">
        <v>707</v>
      </c>
      <c r="AE506" s="51" t="s">
        <v>927</v>
      </c>
      <c r="AF506" s="51" t="s">
        <v>823</v>
      </c>
      <c r="AK506" s="52" t="s">
        <v>862</v>
      </c>
      <c r="AP506" s="51" t="s">
        <v>4395</v>
      </c>
      <c r="AQ506" s="51" t="s">
        <v>3885</v>
      </c>
      <c r="AR506" s="51" t="s">
        <v>4396</v>
      </c>
      <c r="AS506" s="51" t="s">
        <v>927</v>
      </c>
      <c r="AT506" s="51" t="s">
        <v>4397</v>
      </c>
      <c r="AY506" s="52" t="s">
        <v>2328</v>
      </c>
    </row>
    <row r="507" spans="1:54" x14ac:dyDescent="0.25">
      <c r="A507" s="51" t="s">
        <v>3810</v>
      </c>
      <c r="B507" s="51">
        <v>45</v>
      </c>
      <c r="E507" s="54" t="str" cm="1">
        <f t="array" aca="1" ref="E507" ca="1">IF(H507=0,"",HYPERLINK("#"&amp;RIGHT(CELL("dateiname"),LEN(CELL("dateiname"))-FIND("]",CELL("dateiname")))&amp;"!"&amp;CELL("adresse",OFFSET($Q$6,H507-1,0)),"Definition"))</f>
        <v/>
      </c>
      <c r="F507" s="54" t="str" cm="1">
        <f t="array" aca="1" ref="F507" ca="1">IF(I507=0,"",HYPERLINK("#"&amp;RIGHT(CELL("adresse",OFFSET(DMAV_Doku!$B$6,I507-1,0)),LEN(CELL("adresse",OFFSET(DMAV_Doku!$B$6,I507-1,0)))-SEARCH("]",CELL("adresse",OFFSET(DMAV_Doku!$B$6,I507-1,0)))),"ModDoc"))</f>
        <v>ModDoc</v>
      </c>
      <c r="G507" s="150" t="str">
        <f t="shared" si="14"/>
        <v>MEO45</v>
      </c>
      <c r="H507" s="150">
        <f t="shared" si="15"/>
        <v>0</v>
      </c>
      <c r="I507" s="150">
        <f>IF(_xlfn.XLOOKUP(G507,Korrelation!$A$4:$A$723,Korrelation!$B$4:$B$723,0,0)=0,0,MATCH(_xlfn.XLOOKUP(G507,Korrelation!$A$4:$A$723,Korrelation!$B$4:$B$723,0,0),DMAV_Doku!$H$6:$H$483,0))</f>
        <v>319</v>
      </c>
      <c r="J507" s="158"/>
      <c r="K507" s="161"/>
      <c r="L507" s="161"/>
      <c r="M507" s="158"/>
      <c r="N507" s="51" t="s">
        <v>4393</v>
      </c>
      <c r="O507" s="51" t="s">
        <v>3883</v>
      </c>
      <c r="P507" s="51" t="s">
        <v>20</v>
      </c>
      <c r="Q507" s="51" t="s">
        <v>927</v>
      </c>
      <c r="R507" s="51" t="s">
        <v>434</v>
      </c>
      <c r="W507" s="52" t="s">
        <v>499</v>
      </c>
      <c r="AB507" s="51" t="s">
        <v>4394</v>
      </c>
      <c r="AC507" s="51" t="s">
        <v>3884</v>
      </c>
      <c r="AD507" s="51" t="s">
        <v>707</v>
      </c>
      <c r="AE507" s="51" t="s">
        <v>927</v>
      </c>
      <c r="AF507" s="51" t="s">
        <v>823</v>
      </c>
      <c r="AK507" s="52" t="s">
        <v>863</v>
      </c>
      <c r="AP507" s="51" t="s">
        <v>4395</v>
      </c>
      <c r="AQ507" s="51" t="s">
        <v>3885</v>
      </c>
      <c r="AR507" s="51" t="s">
        <v>4396</v>
      </c>
      <c r="AS507" s="51" t="s">
        <v>927</v>
      </c>
      <c r="AT507" s="51" t="s">
        <v>4397</v>
      </c>
      <c r="AY507" s="52" t="s">
        <v>2327</v>
      </c>
    </row>
    <row r="508" spans="1:54" x14ac:dyDescent="0.25">
      <c r="A508" s="51" t="s">
        <v>3810</v>
      </c>
      <c r="B508" s="51">
        <v>46</v>
      </c>
      <c r="E508" s="54" t="str" cm="1">
        <f t="array" aca="1" ref="E508" ca="1">IF(H508=0,"",HYPERLINK("#"&amp;RIGHT(CELL("dateiname"),LEN(CELL("dateiname"))-FIND("]",CELL("dateiname")))&amp;"!"&amp;CELL("adresse",OFFSET($Q$6,H508-1,0)),"Definition"))</f>
        <v/>
      </c>
      <c r="F508" s="54" t="str" cm="1">
        <f t="array" aca="1" ref="F508" ca="1">IF(I508=0,"",HYPERLINK("#"&amp;RIGHT(CELL("adresse",OFFSET(DMAV_Doku!$B$6,I508-1,0)),LEN(CELL("adresse",OFFSET(DMAV_Doku!$B$6,I508-1,0)))-SEARCH("]",CELL("adresse",OFFSET(DMAV_Doku!$B$6,I508-1,0)))),"ModDoc"))</f>
        <v>ModDoc</v>
      </c>
      <c r="G508" s="150" t="str">
        <f t="shared" si="14"/>
        <v>MEO46</v>
      </c>
      <c r="H508" s="150">
        <f t="shared" si="15"/>
        <v>0</v>
      </c>
      <c r="I508" s="150">
        <f>IF(_xlfn.XLOOKUP(G508,Korrelation!$A$4:$A$723,Korrelation!$B$4:$B$723,0,0)=0,0,MATCH(_xlfn.XLOOKUP(G508,Korrelation!$A$4:$A$723,Korrelation!$B$4:$B$723,0,0),DMAV_Doku!$H$6:$H$483,0))</f>
        <v>320</v>
      </c>
      <c r="J508" s="158"/>
      <c r="K508" s="161"/>
      <c r="L508" s="161"/>
      <c r="M508" s="158"/>
      <c r="N508" s="51" t="s">
        <v>4393</v>
      </c>
      <c r="O508" s="51" t="s">
        <v>3883</v>
      </c>
      <c r="P508" s="51" t="s">
        <v>20</v>
      </c>
      <c r="Q508" s="51" t="s">
        <v>927</v>
      </c>
      <c r="R508" s="51" t="s">
        <v>434</v>
      </c>
      <c r="W508" s="52" t="s">
        <v>501</v>
      </c>
      <c r="AB508" s="51" t="s">
        <v>4394</v>
      </c>
      <c r="AC508" s="51" t="s">
        <v>3884</v>
      </c>
      <c r="AD508" s="51" t="s">
        <v>707</v>
      </c>
      <c r="AE508" s="51" t="s">
        <v>927</v>
      </c>
      <c r="AF508" s="51" t="s">
        <v>823</v>
      </c>
      <c r="AK508" s="52" t="s">
        <v>864</v>
      </c>
      <c r="AP508" s="51" t="s">
        <v>4395</v>
      </c>
      <c r="AQ508" s="51" t="s">
        <v>3885</v>
      </c>
      <c r="AR508" s="51" t="s">
        <v>4396</v>
      </c>
      <c r="AS508" s="51" t="s">
        <v>927</v>
      </c>
      <c r="AT508" s="51" t="s">
        <v>4397</v>
      </c>
      <c r="AY508" s="52" t="s">
        <v>2326</v>
      </c>
    </row>
    <row r="509" spans="1:54" x14ac:dyDescent="0.25">
      <c r="A509" s="51" t="s">
        <v>3810</v>
      </c>
      <c r="B509" s="51">
        <v>47</v>
      </c>
      <c r="E509" s="54" t="str" cm="1">
        <f t="array" aca="1" ref="E509" ca="1">IF(H509=0,"",HYPERLINK("#"&amp;RIGHT(CELL("dateiname"),LEN(CELL("dateiname"))-FIND("]",CELL("dateiname")))&amp;"!"&amp;CELL("adresse",OFFSET($Q$6,H509-1,0)),"Definition"))</f>
        <v/>
      </c>
      <c r="F509" s="54" t="str" cm="1">
        <f t="array" aca="1" ref="F509" ca="1">IF(I509=0,"",HYPERLINK("#"&amp;RIGHT(CELL("adresse",OFFSET(DMAV_Doku!$B$6,I509-1,0)),LEN(CELL("adresse",OFFSET(DMAV_Doku!$B$6,I509-1,0)))-SEARCH("]",CELL("adresse",OFFSET(DMAV_Doku!$B$6,I509-1,0)))),"ModDoc"))</f>
        <v>ModDoc</v>
      </c>
      <c r="G509" s="150" t="str">
        <f t="shared" si="14"/>
        <v>MEO47</v>
      </c>
      <c r="H509" s="150">
        <f t="shared" si="15"/>
        <v>0</v>
      </c>
      <c r="I509" s="150">
        <f>IF(_xlfn.XLOOKUP(G509,Korrelation!$A$4:$A$723,Korrelation!$B$4:$B$723,0,0)=0,0,MATCH(_xlfn.XLOOKUP(G509,Korrelation!$A$4:$A$723,Korrelation!$B$4:$B$723,0,0),DMAV_Doku!$H$6:$H$483,0))</f>
        <v>321</v>
      </c>
      <c r="J509" s="158"/>
      <c r="K509" s="161"/>
      <c r="L509" s="161"/>
      <c r="M509" s="158"/>
      <c r="N509" s="51" t="s">
        <v>4393</v>
      </c>
      <c r="O509" s="51" t="s">
        <v>3883</v>
      </c>
      <c r="P509" s="51" t="s">
        <v>20</v>
      </c>
      <c r="Q509" s="51" t="s">
        <v>927</v>
      </c>
      <c r="R509" s="51" t="s">
        <v>434</v>
      </c>
      <c r="W509" s="52" t="s">
        <v>503</v>
      </c>
      <c r="AB509" s="51" t="s">
        <v>4394</v>
      </c>
      <c r="AC509" s="51" t="s">
        <v>3884</v>
      </c>
      <c r="AD509" s="51" t="s">
        <v>707</v>
      </c>
      <c r="AE509" s="51" t="s">
        <v>927</v>
      </c>
      <c r="AF509" s="51" t="s">
        <v>823</v>
      </c>
      <c r="AK509" s="52" t="s">
        <v>865</v>
      </c>
      <c r="AP509" s="51" t="s">
        <v>4395</v>
      </c>
      <c r="AQ509" s="51" t="s">
        <v>3885</v>
      </c>
      <c r="AR509" s="51" t="s">
        <v>4396</v>
      </c>
      <c r="AS509" s="51" t="s">
        <v>927</v>
      </c>
      <c r="AT509" s="51" t="s">
        <v>4397</v>
      </c>
      <c r="AY509" s="52" t="s">
        <v>4398</v>
      </c>
    </row>
    <row r="510" spans="1:54" x14ac:dyDescent="0.25">
      <c r="A510" s="51" t="s">
        <v>3810</v>
      </c>
      <c r="B510" s="51">
        <v>48</v>
      </c>
      <c r="D510" s="51" t="s">
        <v>3561</v>
      </c>
      <c r="E510" s="54" t="str" cm="1">
        <f t="array" aca="1" ref="E510" ca="1">IF(H510=0,"",HYPERLINK("#"&amp;RIGHT(CELL("dateiname"),LEN(CELL("dateiname"))-FIND("]",CELL("dateiname")))&amp;"!"&amp;CELL("adresse",OFFSET($Q$6,H510-1,0)),"Definition"))</f>
        <v/>
      </c>
      <c r="F510" s="54" t="str" cm="1">
        <f t="array" aca="1" ref="F510" ca="1">IF(I510=0,"",HYPERLINK("#"&amp;RIGHT(CELL("adresse",OFFSET(DMAV_Doku!$B$6,I510-1,0)),LEN(CELL("adresse",OFFSET(DMAV_Doku!$B$6,I510-1,0)))-SEARCH("]",CELL("adresse",OFFSET(DMAV_Doku!$B$6,I510-1,0)))),"ModDoc"))</f>
        <v>ModDoc</v>
      </c>
      <c r="G510" s="150" t="str">
        <f t="shared" si="14"/>
        <v>MEO48</v>
      </c>
      <c r="H510" s="150">
        <f t="shared" si="15"/>
        <v>0</v>
      </c>
      <c r="I510" s="150">
        <f>IF(_xlfn.XLOOKUP(G510,Korrelation!$A$4:$A$723,Korrelation!$B$4:$B$723,0,0)=0,0,MATCH(_xlfn.XLOOKUP(G510,Korrelation!$A$4:$A$723,Korrelation!$B$4:$B$723,0,0),DMAV_Doku!$H$6:$H$483,0))</f>
        <v>335</v>
      </c>
      <c r="J510" s="158"/>
      <c r="K510" s="161"/>
      <c r="L510" s="161"/>
      <c r="M510" s="158"/>
      <c r="N510" s="51" t="s">
        <v>4393</v>
      </c>
      <c r="O510" s="51" t="s">
        <v>3883</v>
      </c>
      <c r="P510" s="51" t="s">
        <v>20</v>
      </c>
      <c r="Q510" s="51" t="s">
        <v>949</v>
      </c>
      <c r="R510" s="51" t="s">
        <v>507</v>
      </c>
      <c r="S510" s="50" t="s">
        <v>950</v>
      </c>
      <c r="T510" s="51" t="s">
        <v>959</v>
      </c>
      <c r="U510" s="52" t="s">
        <v>96</v>
      </c>
      <c r="W510" s="52" t="s">
        <v>951</v>
      </c>
      <c r="Z510" s="200" t="s">
        <v>6006</v>
      </c>
      <c r="AB510" s="51" t="s">
        <v>4394</v>
      </c>
      <c r="AC510" s="51" t="s">
        <v>3884</v>
      </c>
      <c r="AD510" s="51" t="s">
        <v>707</v>
      </c>
      <c r="AE510" s="51" t="s">
        <v>949</v>
      </c>
      <c r="AF510" s="51" t="s">
        <v>866</v>
      </c>
      <c r="AG510" s="50" t="s">
        <v>950</v>
      </c>
      <c r="AH510" s="51" t="s">
        <v>959</v>
      </c>
      <c r="AI510" s="52" t="s">
        <v>733</v>
      </c>
      <c r="AK510" s="52" t="s">
        <v>951</v>
      </c>
      <c r="AN510" s="52" t="s">
        <v>6008</v>
      </c>
      <c r="AP510" s="51" t="s">
        <v>4395</v>
      </c>
      <c r="AQ510" s="51" t="s">
        <v>3885</v>
      </c>
      <c r="AR510" s="51" t="s">
        <v>4396</v>
      </c>
      <c r="AS510" s="51" t="s">
        <v>949</v>
      </c>
      <c r="AT510" s="51" t="s">
        <v>4399</v>
      </c>
      <c r="AU510" s="50" t="s">
        <v>950</v>
      </c>
      <c r="AV510" s="51" t="s">
        <v>959</v>
      </c>
      <c r="AW510" s="52" t="s">
        <v>1378</v>
      </c>
      <c r="AY510" s="52" t="s">
        <v>951</v>
      </c>
      <c r="BB510" s="52" t="s">
        <v>6009</v>
      </c>
    </row>
    <row r="511" spans="1:54" x14ac:dyDescent="0.25">
      <c r="A511" s="51" t="s">
        <v>3810</v>
      </c>
      <c r="B511" s="51">
        <v>49</v>
      </c>
      <c r="D511" s="51" t="s">
        <v>3561</v>
      </c>
      <c r="E511" s="54" t="str" cm="1">
        <f t="array" aca="1" ref="E511" ca="1">IF(H511=0,"",HYPERLINK("#"&amp;RIGHT(CELL("dateiname"),LEN(CELL("dateiname"))-FIND("]",CELL("dateiname")))&amp;"!"&amp;CELL("adresse",OFFSET($Q$6,H511-1,0)),"Definition"))</f>
        <v/>
      </c>
      <c r="F511" s="54" t="str" cm="1">
        <f t="array" aca="1" ref="F511" ca="1">IF(I511=0,"",HYPERLINK("#"&amp;RIGHT(CELL("adresse",OFFSET(DMAV_Doku!$B$6,I511-1,0)),LEN(CELL("adresse",OFFSET(DMAV_Doku!$B$6,I511-1,0)))-SEARCH("]",CELL("adresse",OFFSET(DMAV_Doku!$B$6,I511-1,0)))),"ModDoc"))</f>
        <v>ModDoc</v>
      </c>
      <c r="G511" s="150" t="str">
        <f t="shared" si="14"/>
        <v>MEO49</v>
      </c>
      <c r="H511" s="150">
        <f t="shared" si="15"/>
        <v>0</v>
      </c>
      <c r="I511" s="150">
        <f>IF(_xlfn.XLOOKUP(G511,Korrelation!$A$4:$A$723,Korrelation!$B$4:$B$723,0,0)=0,0,MATCH(_xlfn.XLOOKUP(G511,Korrelation!$A$4:$A$723,Korrelation!$B$4:$B$723,0,0),DMAV_Doku!$H$6:$H$483,0))</f>
        <v>336</v>
      </c>
      <c r="J511" s="158"/>
      <c r="K511" s="161"/>
      <c r="L511" s="161"/>
      <c r="M511" s="158"/>
      <c r="N511" s="51" t="s">
        <v>4393</v>
      </c>
      <c r="O511" s="51" t="s">
        <v>3883</v>
      </c>
      <c r="P511" s="51" t="s">
        <v>20</v>
      </c>
      <c r="Q511" s="51" t="s">
        <v>949</v>
      </c>
      <c r="R511" s="51" t="s">
        <v>507</v>
      </c>
      <c r="S511" s="50" t="s">
        <v>950</v>
      </c>
      <c r="T511" s="51" t="s">
        <v>959</v>
      </c>
      <c r="U511" s="52" t="s">
        <v>99</v>
      </c>
      <c r="W511" s="52" t="s">
        <v>951</v>
      </c>
      <c r="Y511" s="52" t="s">
        <v>1599</v>
      </c>
      <c r="Z511" s="200" t="s">
        <v>6006</v>
      </c>
      <c r="AB511" s="51" t="s">
        <v>4394</v>
      </c>
      <c r="AC511" s="51" t="s">
        <v>3884</v>
      </c>
      <c r="AD511" s="51" t="s">
        <v>707</v>
      </c>
      <c r="AE511" s="51" t="s">
        <v>949</v>
      </c>
      <c r="AF511" s="51" t="s">
        <v>866</v>
      </c>
      <c r="AG511" s="50" t="s">
        <v>950</v>
      </c>
      <c r="AH511" s="51" t="s">
        <v>959</v>
      </c>
      <c r="AI511" s="52" t="s">
        <v>734</v>
      </c>
      <c r="AK511" s="52" t="s">
        <v>951</v>
      </c>
      <c r="AN511" s="52" t="s">
        <v>6008</v>
      </c>
      <c r="AP511" s="51" t="s">
        <v>4395</v>
      </c>
      <c r="AQ511" s="51" t="s">
        <v>3885</v>
      </c>
      <c r="AR511" s="51" t="s">
        <v>4396</v>
      </c>
      <c r="AS511" s="51" t="s">
        <v>949</v>
      </c>
      <c r="AT511" s="51" t="s">
        <v>4399</v>
      </c>
      <c r="AU511" s="50" t="s">
        <v>950</v>
      </c>
      <c r="AV511" s="51" t="s">
        <v>959</v>
      </c>
      <c r="AW511" s="52" t="s">
        <v>1376</v>
      </c>
      <c r="AY511" s="52" t="s">
        <v>951</v>
      </c>
      <c r="BB511" s="52" t="s">
        <v>6009</v>
      </c>
    </row>
    <row r="512" spans="1:54" x14ac:dyDescent="0.25">
      <c r="A512" s="51" t="s">
        <v>3810</v>
      </c>
      <c r="B512" s="51">
        <v>50</v>
      </c>
      <c r="E512" s="54" t="str" cm="1">
        <f t="array" aca="1" ref="E512" ca="1">IF(H512=0,"",HYPERLINK("#"&amp;RIGHT(CELL("dateiname"),LEN(CELL("dateiname"))-FIND("]",CELL("dateiname")))&amp;"!"&amp;CELL("adresse",OFFSET($Q$6,H512-1,0)),"Definition"))</f>
        <v/>
      </c>
      <c r="F512" s="54" t="str" cm="1">
        <f t="array" aca="1" ref="F512" ca="1">IF(I512=0,"",HYPERLINK("#"&amp;RIGHT(CELL("adresse",OFFSET(DMAV_Doku!$B$6,I512-1,0)),LEN(CELL("adresse",OFFSET(DMAV_Doku!$B$6,I512-1,0)))-SEARCH("]",CELL("adresse",OFFSET(DMAV_Doku!$B$6,I512-1,0)))),"ModDoc"))</f>
        <v>ModDoc</v>
      </c>
      <c r="G512" s="150" t="str">
        <f t="shared" si="14"/>
        <v>MEO50</v>
      </c>
      <c r="H512" s="150">
        <f t="shared" si="15"/>
        <v>0</v>
      </c>
      <c r="I512" s="150">
        <f>IF(_xlfn.XLOOKUP(G512,Korrelation!$A$4:$A$723,Korrelation!$B$4:$B$723,0,0)=0,0,MATCH(_xlfn.XLOOKUP(G512,Korrelation!$A$4:$A$723,Korrelation!$B$4:$B$723,0,0),DMAV_Doku!$H$6:$H$483,0))</f>
        <v>337</v>
      </c>
      <c r="J512" s="158"/>
      <c r="K512" s="161"/>
      <c r="L512" s="161"/>
      <c r="M512" s="158"/>
      <c r="N512" s="51" t="s">
        <v>4393</v>
      </c>
      <c r="O512" s="51" t="s">
        <v>3883</v>
      </c>
      <c r="P512" s="51" t="s">
        <v>20</v>
      </c>
      <c r="Q512" s="51" t="s">
        <v>949</v>
      </c>
      <c r="R512" s="51" t="s">
        <v>507</v>
      </c>
      <c r="S512" s="50" t="s">
        <v>950</v>
      </c>
      <c r="U512" s="52" t="s">
        <v>101</v>
      </c>
      <c r="W512" s="52" t="s">
        <v>964</v>
      </c>
      <c r="AB512" s="51" t="s">
        <v>4394</v>
      </c>
      <c r="AC512" s="51" t="s">
        <v>3884</v>
      </c>
      <c r="AD512" s="51" t="s">
        <v>707</v>
      </c>
      <c r="AE512" s="51" t="s">
        <v>949</v>
      </c>
      <c r="AF512" s="51" t="s">
        <v>866</v>
      </c>
      <c r="AG512" s="50" t="s">
        <v>950</v>
      </c>
      <c r="AI512" s="52" t="s">
        <v>735</v>
      </c>
      <c r="AK512" s="52" t="s">
        <v>964</v>
      </c>
      <c r="AP512" s="51" t="s">
        <v>4395</v>
      </c>
      <c r="AQ512" s="51" t="s">
        <v>3885</v>
      </c>
      <c r="AR512" s="51" t="s">
        <v>4396</v>
      </c>
      <c r="AS512" s="51" t="s">
        <v>949</v>
      </c>
      <c r="AT512" s="51" t="s">
        <v>4399</v>
      </c>
      <c r="AU512" s="50" t="s">
        <v>950</v>
      </c>
      <c r="AW512" s="52" t="s">
        <v>1294</v>
      </c>
      <c r="AY512" s="52" t="s">
        <v>964</v>
      </c>
    </row>
    <row r="513" spans="1:51" ht="38.25" x14ac:dyDescent="0.25">
      <c r="A513" s="51" t="s">
        <v>3810</v>
      </c>
      <c r="B513" s="51">
        <v>51</v>
      </c>
      <c r="E513" s="54" t="str" cm="1">
        <f t="array" aca="1" ref="E513" ca="1">IF(H513=0,"",HYPERLINK("#"&amp;RIGHT(CELL("dateiname"),LEN(CELL("dateiname"))-FIND("]",CELL("dateiname")))&amp;"!"&amp;CELL("adresse",OFFSET($Q$6,H513-1,0)),"Definition"))</f>
        <v/>
      </c>
      <c r="F513" s="54" t="str" cm="1">
        <f t="array" aca="1" ref="F513" ca="1">IF(I513=0,"",HYPERLINK("#"&amp;RIGHT(CELL("adresse",OFFSET(DMAV_Doku!$B$6,I513-1,0)),LEN(CELL("adresse",OFFSET(DMAV_Doku!$B$6,I513-1,0)))-SEARCH("]",CELL("adresse",OFFSET(DMAV_Doku!$B$6,I513-1,0)))),"ModDoc"))</f>
        <v>ModDoc</v>
      </c>
      <c r="G513" s="150" t="str">
        <f t="shared" si="14"/>
        <v>MEO51</v>
      </c>
      <c r="H513" s="150">
        <f t="shared" si="15"/>
        <v>0</v>
      </c>
      <c r="I513" s="150">
        <f>IF(_xlfn.XLOOKUP(G513,Korrelation!$A$4:$A$723,Korrelation!$B$4:$B$723,0,0)=0,0,MATCH(_xlfn.XLOOKUP(G513,Korrelation!$A$4:$A$723,Korrelation!$B$4:$B$723,0,0),DMAV_Doku!$H$6:$H$483,0))</f>
        <v>338</v>
      </c>
      <c r="J513" s="158"/>
      <c r="K513" s="161"/>
      <c r="L513" s="161"/>
      <c r="M513" s="158"/>
      <c r="N513" s="51" t="s">
        <v>4393</v>
      </c>
      <c r="O513" s="51" t="s">
        <v>3883</v>
      </c>
      <c r="P513" s="51" t="s">
        <v>20</v>
      </c>
      <c r="Q513" s="51" t="s">
        <v>949</v>
      </c>
      <c r="R513" s="51" t="s">
        <v>507</v>
      </c>
      <c r="U513" s="52" t="s">
        <v>104</v>
      </c>
      <c r="W513" s="52" t="s">
        <v>965</v>
      </c>
      <c r="AB513" s="51" t="s">
        <v>4394</v>
      </c>
      <c r="AC513" s="51" t="s">
        <v>3884</v>
      </c>
      <c r="AD513" s="51" t="s">
        <v>707</v>
      </c>
      <c r="AE513" s="51" t="s">
        <v>949</v>
      </c>
      <c r="AF513" s="51" t="s">
        <v>866</v>
      </c>
      <c r="AI513" s="52" t="s">
        <v>736</v>
      </c>
      <c r="AK513" s="52" t="s">
        <v>965</v>
      </c>
      <c r="AP513" s="51" t="s">
        <v>4395</v>
      </c>
      <c r="AQ513" s="51" t="s">
        <v>3885</v>
      </c>
      <c r="AR513" s="51" t="s">
        <v>4396</v>
      </c>
      <c r="AS513" s="51" t="s">
        <v>949</v>
      </c>
      <c r="AT513" s="51" t="s">
        <v>4399</v>
      </c>
      <c r="AW513" s="52" t="s">
        <v>1595</v>
      </c>
      <c r="AY513" s="52" t="s">
        <v>965</v>
      </c>
    </row>
    <row r="514" spans="1:51" x14ac:dyDescent="0.25">
      <c r="A514" s="51" t="s">
        <v>3810</v>
      </c>
      <c r="B514" s="51">
        <v>52</v>
      </c>
      <c r="E514" s="54" t="str" cm="1">
        <f t="array" aca="1" ref="E514" ca="1">IF(H514=0,"",HYPERLINK("#"&amp;RIGHT(CELL("dateiname"),LEN(CELL("dateiname"))-FIND("]",CELL("dateiname")))&amp;"!"&amp;CELL("adresse",OFFSET($Q$6,H514-1,0)),"Definition"))</f>
        <v/>
      </c>
      <c r="F514" s="54" t="str" cm="1">
        <f t="array" aca="1" ref="F514" ca="1">IF(I514=0,"",HYPERLINK("#"&amp;RIGHT(CELL("adresse",OFFSET(DMAV_Doku!$B$6,I514-1,0)),LEN(CELL("adresse",OFFSET(DMAV_Doku!$B$6,I514-1,0)))-SEARCH("]",CELL("adresse",OFFSET(DMAV_Doku!$B$6,I514-1,0)))),"ModDoc"))</f>
        <v>ModDoc</v>
      </c>
      <c r="G514" s="150" t="str">
        <f t="shared" si="14"/>
        <v>MEO52</v>
      </c>
      <c r="H514" s="150">
        <f t="shared" si="15"/>
        <v>0</v>
      </c>
      <c r="I514" s="150">
        <f>IF(_xlfn.XLOOKUP(G514,Korrelation!$A$4:$A$723,Korrelation!$B$4:$B$723,0,0)=0,0,MATCH(_xlfn.XLOOKUP(G514,Korrelation!$A$4:$A$723,Korrelation!$B$4:$B$723,0,0),DMAV_Doku!$H$6:$H$483,0))</f>
        <v>339</v>
      </c>
      <c r="J514" s="158"/>
      <c r="K514" s="161"/>
      <c r="L514" s="161"/>
      <c r="M514" s="158"/>
      <c r="N514" s="51" t="s">
        <v>4393</v>
      </c>
      <c r="O514" s="51" t="s">
        <v>3883</v>
      </c>
      <c r="P514" s="51" t="s">
        <v>20</v>
      </c>
      <c r="Q514" s="51" t="s">
        <v>949</v>
      </c>
      <c r="R514" s="51" t="s">
        <v>507</v>
      </c>
      <c r="S514" s="50" t="s">
        <v>950</v>
      </c>
      <c r="U514" s="52" t="s">
        <v>107</v>
      </c>
      <c r="W514" s="52" t="s">
        <v>966</v>
      </c>
      <c r="AB514" s="51" t="s">
        <v>4394</v>
      </c>
      <c r="AC514" s="51" t="s">
        <v>3884</v>
      </c>
      <c r="AD514" s="51" t="s">
        <v>707</v>
      </c>
      <c r="AE514" s="51" t="s">
        <v>949</v>
      </c>
      <c r="AF514" s="51" t="s">
        <v>866</v>
      </c>
      <c r="AG514" s="50" t="s">
        <v>950</v>
      </c>
      <c r="AI514" s="52" t="s">
        <v>737</v>
      </c>
      <c r="AK514" s="52" t="s">
        <v>4013</v>
      </c>
      <c r="AP514" s="51" t="s">
        <v>4395</v>
      </c>
      <c r="AQ514" s="51" t="s">
        <v>3885</v>
      </c>
      <c r="AR514" s="51" t="s">
        <v>4396</v>
      </c>
      <c r="AS514" s="51" t="s">
        <v>949</v>
      </c>
      <c r="AT514" s="51" t="s">
        <v>4399</v>
      </c>
      <c r="AU514" s="50" t="s">
        <v>950</v>
      </c>
      <c r="AW514" s="52" t="s">
        <v>4014</v>
      </c>
      <c r="AY514" s="52" t="s">
        <v>4013</v>
      </c>
    </row>
    <row r="515" spans="1:51" ht="38.25" x14ac:dyDescent="0.25">
      <c r="A515" s="51" t="s">
        <v>3810</v>
      </c>
      <c r="B515" s="51">
        <v>53</v>
      </c>
      <c r="E515" s="54" t="str" cm="1">
        <f t="array" aca="1" ref="E515" ca="1">IF(H515=0,"",HYPERLINK("#"&amp;RIGHT(CELL("dateiname"),LEN(CELL("dateiname"))-FIND("]",CELL("dateiname")))&amp;"!"&amp;CELL("adresse",OFFSET($Q$6,H515-1,0)),"Definition"))</f>
        <v/>
      </c>
      <c r="F515" s="54" t="str" cm="1">
        <f t="array" aca="1" ref="F515" ca="1">IF(I515=0,"",HYPERLINK("#"&amp;RIGHT(CELL("adresse",OFFSET(DMAV_Doku!$B$6,I515-1,0)),LEN(CELL("adresse",OFFSET(DMAV_Doku!$B$6,I515-1,0)))-SEARCH("]",CELL("adresse",OFFSET(DMAV_Doku!$B$6,I515-1,0)))),"ModDoc"))</f>
        <v>ModDoc</v>
      </c>
      <c r="G515" s="150" t="str">
        <f t="shared" si="14"/>
        <v>MEO53</v>
      </c>
      <c r="H515" s="150">
        <f t="shared" si="15"/>
        <v>0</v>
      </c>
      <c r="I515" s="150">
        <f>IF(_xlfn.XLOOKUP(G515,Korrelation!$A$4:$A$723,Korrelation!$B$4:$B$723,0,0)=0,0,MATCH(_xlfn.XLOOKUP(G515,Korrelation!$A$4:$A$723,Korrelation!$B$4:$B$723,0,0),DMAV_Doku!$H$6:$H$483,0))</f>
        <v>325</v>
      </c>
      <c r="J515" s="158"/>
      <c r="K515" s="161"/>
      <c r="L515" s="161"/>
      <c r="M515" s="158"/>
      <c r="N515" s="51" t="s">
        <v>4393</v>
      </c>
      <c r="O515" s="51" t="s">
        <v>3883</v>
      </c>
      <c r="P515" s="51" t="s">
        <v>20</v>
      </c>
      <c r="Q515" s="51" t="s">
        <v>1067</v>
      </c>
      <c r="R515" s="51" t="s">
        <v>317</v>
      </c>
      <c r="S515" s="50" t="s">
        <v>950</v>
      </c>
      <c r="U515" s="52" t="s">
        <v>123</v>
      </c>
      <c r="W515" s="52" t="s">
        <v>965</v>
      </c>
      <c r="AB515" s="51" t="s">
        <v>4394</v>
      </c>
      <c r="AC515" s="51" t="s">
        <v>3884</v>
      </c>
      <c r="AD515" s="51" t="s">
        <v>707</v>
      </c>
      <c r="AE515" s="51" t="s">
        <v>1067</v>
      </c>
      <c r="AF515" s="51" t="s">
        <v>798</v>
      </c>
      <c r="AG515" s="50" t="s">
        <v>950</v>
      </c>
      <c r="AI515" s="52" t="s">
        <v>123</v>
      </c>
      <c r="AK515" s="52" t="s">
        <v>965</v>
      </c>
      <c r="AP515" s="51" t="s">
        <v>4395</v>
      </c>
      <c r="AQ515" s="51" t="s">
        <v>3885</v>
      </c>
      <c r="AR515" s="51" t="s">
        <v>4396</v>
      </c>
      <c r="AS515" s="51" t="s">
        <v>1067</v>
      </c>
      <c r="AT515" s="51" t="s">
        <v>4291</v>
      </c>
      <c r="AU515" s="50" t="s">
        <v>950</v>
      </c>
      <c r="AW515" s="52" t="s">
        <v>1247</v>
      </c>
      <c r="AY515" s="52" t="s">
        <v>965</v>
      </c>
    </row>
    <row r="516" spans="1:51" x14ac:dyDescent="0.25">
      <c r="A516" s="51" t="s">
        <v>3810</v>
      </c>
      <c r="B516" s="51">
        <v>54</v>
      </c>
      <c r="C516" s="51" t="s">
        <v>3851</v>
      </c>
      <c r="E516" s="54" t="str" cm="1">
        <f t="array" aca="1" ref="E516" ca="1">IF(H516=0,"",HYPERLINK("#"&amp;RIGHT(CELL("dateiname"),LEN(CELL("dateiname"))-FIND("]",CELL("dateiname")))&amp;"!"&amp;CELL("adresse",OFFSET($Q$6,H516-1,0)),"Definition"))</f>
        <v>Definition</v>
      </c>
      <c r="F516" s="54" t="str" cm="1">
        <f t="array" aca="1" ref="F516" ca="1">IF(I516=0,"",HYPERLINK("#"&amp;RIGHT(CELL("adresse",OFFSET(DMAV_Doku!$B$6,I516-1,0)),LEN(CELL("adresse",OFFSET(DMAV_Doku!$B$6,I516-1,0)))-SEARCH("]",CELL("adresse",OFFSET(DMAV_Doku!$B$6,I516-1,0)))),"ModDoc"))</f>
        <v>ModDoc</v>
      </c>
      <c r="G516" s="150" t="str">
        <f t="shared" si="14"/>
        <v>MEO54</v>
      </c>
      <c r="H516" s="150">
        <f t="shared" si="15"/>
        <v>33</v>
      </c>
      <c r="I516" s="150">
        <f>IF(_xlfn.XLOOKUP(G516,Korrelation!$A$4:$A$723,Korrelation!$B$4:$B$723,0,0)=0,0,MATCH(_xlfn.XLOOKUP(G516,Korrelation!$A$4:$A$723,Korrelation!$B$4:$B$723,0,0),DMAV_Doku!$H$6:$H$483,0))</f>
        <v>326</v>
      </c>
      <c r="J516" s="158"/>
      <c r="K516" s="161"/>
      <c r="L516" s="161"/>
      <c r="M516" s="158"/>
      <c r="N516" s="51" t="s">
        <v>4393</v>
      </c>
      <c r="O516" s="51" t="s">
        <v>3883</v>
      </c>
      <c r="P516" s="51" t="s">
        <v>20</v>
      </c>
      <c r="Q516" s="51" t="s">
        <v>1067</v>
      </c>
      <c r="R516" s="51" t="s">
        <v>317</v>
      </c>
      <c r="U516" s="52" t="s">
        <v>67</v>
      </c>
      <c r="V516" s="52" t="s">
        <v>3471</v>
      </c>
      <c r="W516" s="52" t="s">
        <v>3525</v>
      </c>
      <c r="AB516" s="51" t="s">
        <v>4394</v>
      </c>
      <c r="AC516" s="51" t="s">
        <v>3884</v>
      </c>
      <c r="AD516" s="51" t="s">
        <v>707</v>
      </c>
      <c r="AE516" s="51" t="s">
        <v>1067</v>
      </c>
      <c r="AF516" s="51" t="s">
        <v>798</v>
      </c>
      <c r="AI516" s="52" t="s">
        <v>727</v>
      </c>
      <c r="AJ516" s="51" t="s">
        <v>3471</v>
      </c>
      <c r="AK516" s="52" t="s">
        <v>4364</v>
      </c>
      <c r="AP516" s="51" t="s">
        <v>4395</v>
      </c>
      <c r="AQ516" s="51" t="s">
        <v>3885</v>
      </c>
      <c r="AR516" s="51" t="s">
        <v>4396</v>
      </c>
      <c r="AS516" s="51" t="s">
        <v>1067</v>
      </c>
      <c r="AT516" s="51" t="s">
        <v>4291</v>
      </c>
      <c r="AW516" s="52" t="s">
        <v>3941</v>
      </c>
      <c r="AX516" s="51" t="s">
        <v>3471</v>
      </c>
      <c r="AY516" s="52" t="s">
        <v>4365</v>
      </c>
    </row>
    <row r="517" spans="1:51" x14ac:dyDescent="0.25">
      <c r="A517" s="51" t="s">
        <v>3810</v>
      </c>
      <c r="B517" s="51">
        <v>55</v>
      </c>
      <c r="E517" s="54" t="str" cm="1">
        <f t="array" aca="1" ref="E517" ca="1">IF(H517=0,"",HYPERLINK("#"&amp;RIGHT(CELL("dateiname"),LEN(CELL("dateiname"))-FIND("]",CELL("dateiname")))&amp;"!"&amp;CELL("adresse",OFFSET($Q$6,H517-1,0)),"Definition"))</f>
        <v/>
      </c>
      <c r="F517" s="54" t="str" cm="1">
        <f t="array" aca="1" ref="F517" ca="1">IF(I517=0,"",HYPERLINK("#"&amp;RIGHT(CELL("adresse",OFFSET(DMAV_Doku!$B$6,I517-1,0)),LEN(CELL("adresse",OFFSET(DMAV_Doku!$B$6,I517-1,0)))-SEARCH("]",CELL("adresse",OFFSET(DMAV_Doku!$B$6,I517-1,0)))),"ModDoc"))</f>
        <v>ModDoc</v>
      </c>
      <c r="G517" s="150" t="str">
        <f t="shared" si="14"/>
        <v>MEO55</v>
      </c>
      <c r="H517" s="150">
        <f t="shared" si="15"/>
        <v>0</v>
      </c>
      <c r="I517" s="150">
        <f>IF(_xlfn.XLOOKUP(G517,Korrelation!$A$4:$A$723,Korrelation!$B$4:$B$723,0,0)=0,0,MATCH(_xlfn.XLOOKUP(G517,Korrelation!$A$4:$A$723,Korrelation!$B$4:$B$723,0,0),DMAV_Doku!$H$6:$H$483,0))</f>
        <v>327</v>
      </c>
      <c r="J517" s="158"/>
      <c r="K517" s="161"/>
      <c r="L517" s="161"/>
      <c r="M517" s="158"/>
      <c r="N517" s="51" t="s">
        <v>4393</v>
      </c>
      <c r="O517" s="51" t="s">
        <v>3883</v>
      </c>
      <c r="P517" s="51" t="s">
        <v>20</v>
      </c>
      <c r="Q517" s="51" t="s">
        <v>1067</v>
      </c>
      <c r="R517" s="51" t="s">
        <v>302</v>
      </c>
      <c r="S517" s="50" t="s">
        <v>950</v>
      </c>
      <c r="U517" s="52" t="s">
        <v>123</v>
      </c>
      <c r="W517" s="52" t="s">
        <v>990</v>
      </c>
      <c r="AB517" s="51" t="s">
        <v>4394</v>
      </c>
      <c r="AC517" s="51" t="s">
        <v>3884</v>
      </c>
      <c r="AD517" s="51" t="s">
        <v>707</v>
      </c>
      <c r="AE517" s="51" t="s">
        <v>1067</v>
      </c>
      <c r="AF517" s="51" t="s">
        <v>799</v>
      </c>
      <c r="AG517" s="50" t="s">
        <v>950</v>
      </c>
      <c r="AI517" s="52" t="s">
        <v>123</v>
      </c>
      <c r="AK517" s="52" t="s">
        <v>990</v>
      </c>
      <c r="AP517" s="51" t="s">
        <v>4395</v>
      </c>
      <c r="AQ517" s="51" t="s">
        <v>3885</v>
      </c>
      <c r="AR517" s="51" t="s">
        <v>4396</v>
      </c>
      <c r="AS517" s="51" t="s">
        <v>1067</v>
      </c>
      <c r="AT517" s="51" t="s">
        <v>4292</v>
      </c>
      <c r="AU517" s="50" t="s">
        <v>950</v>
      </c>
      <c r="AW517" s="52" t="s">
        <v>1247</v>
      </c>
      <c r="AY517" s="52" t="s">
        <v>990</v>
      </c>
    </row>
    <row r="518" spans="1:51" x14ac:dyDescent="0.25">
      <c r="A518" s="51" t="s">
        <v>3810</v>
      </c>
      <c r="B518" s="51">
        <v>56</v>
      </c>
      <c r="C518" s="51" t="s">
        <v>3851</v>
      </c>
      <c r="E518" s="54" t="str" cm="1">
        <f t="array" aca="1" ref="E518" ca="1">IF(H518=0,"",HYPERLINK("#"&amp;RIGHT(CELL("dateiname"),LEN(CELL("dateiname"))-FIND("]",CELL("dateiname")))&amp;"!"&amp;CELL("adresse",OFFSET($Q$6,H518-1,0)),"Definition"))</f>
        <v>Definition</v>
      </c>
      <c r="F518" s="54" t="str" cm="1">
        <f t="array" aca="1" ref="F518" ca="1">IF(I518=0,"",HYPERLINK("#"&amp;RIGHT(CELL("adresse",OFFSET(DMAV_Doku!$B$6,I518-1,0)),LEN(CELL("adresse",OFFSET(DMAV_Doku!$B$6,I518-1,0)))-SEARCH("]",CELL("adresse",OFFSET(DMAV_Doku!$B$6,I518-1,0)))),"ModDoc"))</f>
        <v>ModDoc</v>
      </c>
      <c r="G518" s="150" t="str">
        <f t="shared" si="14"/>
        <v>MEO56</v>
      </c>
      <c r="H518" s="150">
        <f t="shared" si="15"/>
        <v>33</v>
      </c>
      <c r="I518" s="150">
        <f>IF(_xlfn.XLOOKUP(G518,Korrelation!$A$4:$A$723,Korrelation!$B$4:$B$723,0,0)=0,0,MATCH(_xlfn.XLOOKUP(G518,Korrelation!$A$4:$A$723,Korrelation!$B$4:$B$723,0,0),DMAV_Doku!$H$6:$H$483,0))</f>
        <v>328</v>
      </c>
      <c r="J518" s="158"/>
      <c r="K518" s="161"/>
      <c r="L518" s="161"/>
      <c r="M518" s="158"/>
      <c r="N518" s="51" t="s">
        <v>4393</v>
      </c>
      <c r="O518" s="51" t="s">
        <v>3883</v>
      </c>
      <c r="P518" s="51" t="s">
        <v>20</v>
      </c>
      <c r="Q518" s="51" t="s">
        <v>1067</v>
      </c>
      <c r="R518" s="51" t="s">
        <v>302</v>
      </c>
      <c r="U518" s="52" t="s">
        <v>67</v>
      </c>
      <c r="V518" s="52" t="s">
        <v>3471</v>
      </c>
      <c r="W518" s="52" t="s">
        <v>3525</v>
      </c>
      <c r="AB518" s="51" t="s">
        <v>4394</v>
      </c>
      <c r="AC518" s="51" t="s">
        <v>3884</v>
      </c>
      <c r="AD518" s="51" t="s">
        <v>707</v>
      </c>
      <c r="AE518" s="51" t="s">
        <v>1067</v>
      </c>
      <c r="AF518" s="51" t="s">
        <v>799</v>
      </c>
      <c r="AI518" s="52" t="s">
        <v>727</v>
      </c>
      <c r="AJ518" s="51" t="s">
        <v>3471</v>
      </c>
      <c r="AK518" s="52" t="s">
        <v>4364</v>
      </c>
      <c r="AP518" s="51" t="s">
        <v>4395</v>
      </c>
      <c r="AQ518" s="51" t="s">
        <v>3885</v>
      </c>
      <c r="AR518" s="51" t="s">
        <v>4396</v>
      </c>
      <c r="AS518" s="51" t="s">
        <v>1067</v>
      </c>
      <c r="AT518" s="51" t="s">
        <v>4292</v>
      </c>
      <c r="AW518" s="52" t="s">
        <v>3941</v>
      </c>
      <c r="AX518" s="51" t="s">
        <v>3471</v>
      </c>
      <c r="AY518" s="52" t="s">
        <v>4365</v>
      </c>
    </row>
    <row r="519" spans="1:51" x14ac:dyDescent="0.25">
      <c r="A519" s="51" t="s">
        <v>3810</v>
      </c>
      <c r="B519" s="51">
        <v>57</v>
      </c>
      <c r="E519" s="54" t="str" cm="1">
        <f t="array" aca="1" ref="E519" ca="1">IF(H519=0,"",HYPERLINK("#"&amp;RIGHT(CELL("dateiname"),LEN(CELL("dateiname"))-FIND("]",CELL("dateiname")))&amp;"!"&amp;CELL("adresse",OFFSET($Q$6,H519-1,0)),"Definition"))</f>
        <v/>
      </c>
      <c r="F519" s="54" t="str" cm="1">
        <f t="array" aca="1" ref="F519" ca="1">IF(I519=0,"",HYPERLINK("#"&amp;RIGHT(CELL("adresse",OFFSET(DMAV_Doku!$B$6,I519-1,0)),LEN(CELL("adresse",OFFSET(DMAV_Doku!$B$6,I519-1,0)))-SEARCH("]",CELL("adresse",OFFSET(DMAV_Doku!$B$6,I519-1,0)))),"ModDoc"))</f>
        <v>ModDoc</v>
      </c>
      <c r="G519" s="150" t="str">
        <f t="shared" ref="G519:G582" si="16">A519&amp;B519</f>
        <v>MEO57</v>
      </c>
      <c r="H519" s="150">
        <f t="shared" ref="H519:H582" si="17">IF(C519="",0,MATCH(C519,$G$6:$G$677,0))</f>
        <v>0</v>
      </c>
      <c r="I519" s="150">
        <f>IF(_xlfn.XLOOKUP(G519,Korrelation!$A$4:$A$723,Korrelation!$B$4:$B$723,0,0)=0,0,MATCH(_xlfn.XLOOKUP(G519,Korrelation!$A$4:$A$723,Korrelation!$B$4:$B$723,0,0),DMAV_Doku!$H$6:$H$483,0))</f>
        <v>329</v>
      </c>
      <c r="J519" s="158"/>
      <c r="K519" s="161"/>
      <c r="L519" s="161"/>
      <c r="M519" s="158"/>
      <c r="N519" s="51" t="s">
        <v>4393</v>
      </c>
      <c r="O519" s="51" t="s">
        <v>3883</v>
      </c>
      <c r="P519" s="51" t="s">
        <v>20</v>
      </c>
      <c r="Q519" s="51" t="s">
        <v>1067</v>
      </c>
      <c r="R519" s="51" t="s">
        <v>304</v>
      </c>
      <c r="S519" s="50" t="s">
        <v>950</v>
      </c>
      <c r="U519" s="52" t="s">
        <v>123</v>
      </c>
      <c r="W519" s="52" t="s">
        <v>952</v>
      </c>
      <c r="AB519" s="51" t="s">
        <v>4394</v>
      </c>
      <c r="AC519" s="51" t="s">
        <v>3884</v>
      </c>
      <c r="AD519" s="51" t="s">
        <v>707</v>
      </c>
      <c r="AE519" s="51" t="s">
        <v>1067</v>
      </c>
      <c r="AF519" s="51" t="s">
        <v>800</v>
      </c>
      <c r="AG519" s="50" t="s">
        <v>950</v>
      </c>
      <c r="AI519" s="52" t="s">
        <v>123</v>
      </c>
      <c r="AK519" s="52" t="s">
        <v>952</v>
      </c>
      <c r="AP519" s="51" t="s">
        <v>4395</v>
      </c>
      <c r="AQ519" s="51" t="s">
        <v>3885</v>
      </c>
      <c r="AR519" s="51" t="s">
        <v>4396</v>
      </c>
      <c r="AS519" s="51" t="s">
        <v>1067</v>
      </c>
      <c r="AT519" s="51" t="s">
        <v>4293</v>
      </c>
      <c r="AU519" s="50" t="s">
        <v>950</v>
      </c>
      <c r="AW519" s="52" t="s">
        <v>1247</v>
      </c>
      <c r="AY519" s="52" t="s">
        <v>952</v>
      </c>
    </row>
    <row r="520" spans="1:51" x14ac:dyDescent="0.25">
      <c r="A520" s="51" t="s">
        <v>3810</v>
      </c>
      <c r="B520" s="51">
        <v>58</v>
      </c>
      <c r="C520" s="51" t="s">
        <v>3826</v>
      </c>
      <c r="E520" s="54" t="str" cm="1">
        <f t="array" aca="1" ref="E520" ca="1">IF(H520=0,"",HYPERLINK("#"&amp;RIGHT(CELL("dateiname"),LEN(CELL("dateiname"))-FIND("]",CELL("dateiname")))&amp;"!"&amp;CELL("adresse",OFFSET($Q$6,H520-1,0)),"Definition"))</f>
        <v>Definition</v>
      </c>
      <c r="F520" s="54" t="str" cm="1">
        <f t="array" aca="1" ref="F520" ca="1">IF(I520=0,"",HYPERLINK("#"&amp;RIGHT(CELL("adresse",OFFSET(DMAV_Doku!$B$6,I520-1,0)),LEN(CELL("adresse",OFFSET(DMAV_Doku!$B$6,I520-1,0)))-SEARCH("]",CELL("adresse",OFFSET(DMAV_Doku!$B$6,I520-1,0)))),"ModDoc"))</f>
        <v>ModDoc</v>
      </c>
      <c r="G520" s="150" t="str">
        <f t="shared" si="16"/>
        <v>MEO58</v>
      </c>
      <c r="H520" s="150">
        <f t="shared" si="17"/>
        <v>20</v>
      </c>
      <c r="I520" s="150">
        <f>IF(_xlfn.XLOOKUP(G520,Korrelation!$A$4:$A$723,Korrelation!$B$4:$B$723,0,0)=0,0,MATCH(_xlfn.XLOOKUP(G520,Korrelation!$A$4:$A$723,Korrelation!$B$4:$B$723,0,0),DMAV_Doku!$H$6:$H$483,0))</f>
        <v>330</v>
      </c>
      <c r="J520" s="158"/>
      <c r="K520" s="161"/>
      <c r="L520" s="161"/>
      <c r="M520" s="158"/>
      <c r="N520" s="51" t="s">
        <v>4393</v>
      </c>
      <c r="O520" s="51" t="s">
        <v>3883</v>
      </c>
      <c r="P520" s="51" t="s">
        <v>20</v>
      </c>
      <c r="Q520" s="51" t="s">
        <v>1067</v>
      </c>
      <c r="R520" s="51" t="s">
        <v>304</v>
      </c>
      <c r="U520" s="52" t="s">
        <v>149</v>
      </c>
      <c r="W520" s="52" t="s">
        <v>961</v>
      </c>
      <c r="AB520" s="51" t="s">
        <v>4394</v>
      </c>
      <c r="AC520" s="51" t="s">
        <v>3884</v>
      </c>
      <c r="AD520" s="51" t="s">
        <v>707</v>
      </c>
      <c r="AE520" s="51" t="s">
        <v>1067</v>
      </c>
      <c r="AF520" s="51" t="s">
        <v>800</v>
      </c>
      <c r="AI520" s="52" t="s">
        <v>756</v>
      </c>
      <c r="AK520" s="52" t="s">
        <v>4033</v>
      </c>
      <c r="AP520" s="51" t="s">
        <v>4395</v>
      </c>
      <c r="AQ520" s="51" t="s">
        <v>3885</v>
      </c>
      <c r="AR520" s="51" t="s">
        <v>4396</v>
      </c>
      <c r="AS520" s="51" t="s">
        <v>1067</v>
      </c>
      <c r="AT520" s="51" t="s">
        <v>4293</v>
      </c>
      <c r="AW520" s="52" t="s">
        <v>4034</v>
      </c>
      <c r="AY520" s="52" t="s">
        <v>4035</v>
      </c>
    </row>
    <row r="521" spans="1:51" x14ac:dyDescent="0.25">
      <c r="A521" s="51" t="s">
        <v>3810</v>
      </c>
      <c r="B521" s="51">
        <v>59</v>
      </c>
      <c r="E521" s="54" t="str" cm="1">
        <f t="array" aca="1" ref="E521" ca="1">IF(H521=0,"",HYPERLINK("#"&amp;RIGHT(CELL("dateiname"),LEN(CELL("dateiname"))-FIND("]",CELL("dateiname")))&amp;"!"&amp;CELL("adresse",OFFSET($Q$6,H521-1,0)),"Definition"))</f>
        <v/>
      </c>
      <c r="F521" s="54" t="str" cm="1">
        <f t="array" aca="1" ref="F521" ca="1">IF(I521=0,"",HYPERLINK("#"&amp;RIGHT(CELL("adresse",OFFSET(DMAV_Doku!$B$6,I521-1,0)),LEN(CELL("adresse",OFFSET(DMAV_Doku!$B$6,I521-1,0)))-SEARCH("]",CELL("adresse",OFFSET(DMAV_Doku!$B$6,I521-1,0)))),"ModDoc"))</f>
        <v>ModDoc</v>
      </c>
      <c r="G521" s="150" t="str">
        <f t="shared" si="16"/>
        <v>MEO59</v>
      </c>
      <c r="H521" s="150">
        <f t="shared" si="17"/>
        <v>0</v>
      </c>
      <c r="I521" s="150">
        <f>IF(_xlfn.XLOOKUP(G521,Korrelation!$A$4:$A$723,Korrelation!$B$4:$B$723,0,0)=0,0,MATCH(_xlfn.XLOOKUP(G521,Korrelation!$A$4:$A$723,Korrelation!$B$4:$B$723,0,0),DMAV_Doku!$H$6:$H$483,0))</f>
        <v>333</v>
      </c>
      <c r="J521" s="158"/>
      <c r="K521" s="161"/>
      <c r="L521" s="161"/>
      <c r="M521" s="158"/>
      <c r="N521" s="51" t="s">
        <v>4393</v>
      </c>
      <c r="O521" s="51" t="s">
        <v>3883</v>
      </c>
      <c r="P521" s="51" t="s">
        <v>20</v>
      </c>
      <c r="Q521" s="51" t="s">
        <v>1067</v>
      </c>
      <c r="R521" s="51" t="s">
        <v>403</v>
      </c>
      <c r="S521" s="50" t="s">
        <v>950</v>
      </c>
      <c r="U521" s="52" t="s">
        <v>5</v>
      </c>
      <c r="W521" s="52" t="s">
        <v>964</v>
      </c>
      <c r="AB521" s="51" t="s">
        <v>4394</v>
      </c>
      <c r="AC521" s="51" t="s">
        <v>3884</v>
      </c>
      <c r="AD521" s="51" t="s">
        <v>707</v>
      </c>
      <c r="AE521" s="51" t="s">
        <v>1067</v>
      </c>
      <c r="AF521" s="51" t="s">
        <v>819</v>
      </c>
      <c r="AG521" s="50" t="s">
        <v>950</v>
      </c>
      <c r="AI521" s="52" t="s">
        <v>702</v>
      </c>
      <c r="AK521" s="52" t="s">
        <v>964</v>
      </c>
      <c r="AP521" s="51" t="s">
        <v>4395</v>
      </c>
      <c r="AQ521" s="51" t="s">
        <v>3885</v>
      </c>
      <c r="AR521" s="51" t="s">
        <v>4396</v>
      </c>
      <c r="AS521" s="51" t="s">
        <v>1067</v>
      </c>
      <c r="AT521" s="51" t="s">
        <v>4361</v>
      </c>
      <c r="AU521" s="50" t="s">
        <v>950</v>
      </c>
      <c r="AW521" s="52" t="s">
        <v>1700</v>
      </c>
      <c r="AY521" s="52" t="s">
        <v>964</v>
      </c>
    </row>
    <row r="522" spans="1:51" x14ac:dyDescent="0.25">
      <c r="A522" s="51" t="s">
        <v>3810</v>
      </c>
      <c r="B522" s="51">
        <v>60</v>
      </c>
      <c r="C522" s="51" t="s">
        <v>3838</v>
      </c>
      <c r="E522" s="54" t="str" cm="1">
        <f t="array" aca="1" ref="E522" ca="1">IF(H522=0,"",HYPERLINK("#"&amp;RIGHT(CELL("dateiname"),LEN(CELL("dateiname"))-FIND("]",CELL("dateiname")))&amp;"!"&amp;CELL("adresse",OFFSET($Q$6,H522-1,0)),"Definition"))</f>
        <v>Definition</v>
      </c>
      <c r="F522" s="54" t="str" cm="1">
        <f t="array" aca="1" ref="F522" ca="1">IF(I522=0,"",HYPERLINK("#"&amp;RIGHT(CELL("adresse",OFFSET(DMAV_Doku!$B$6,I522-1,0)),LEN(CELL("adresse",OFFSET(DMAV_Doku!$B$6,I522-1,0)))-SEARCH("]",CELL("adresse",OFFSET(DMAV_Doku!$B$6,I522-1,0)))),"ModDoc"))</f>
        <v>ModDoc</v>
      </c>
      <c r="G522" s="150" t="str">
        <f t="shared" si="16"/>
        <v>MEO60</v>
      </c>
      <c r="H522" s="150">
        <f t="shared" si="17"/>
        <v>26</v>
      </c>
      <c r="I522" s="150">
        <f>IF(_xlfn.XLOOKUP(G522,Korrelation!$A$4:$A$723,Korrelation!$B$4:$B$723,0,0)=0,0,MATCH(_xlfn.XLOOKUP(G522,Korrelation!$A$4:$A$723,Korrelation!$B$4:$B$723,0,0),DMAV_Doku!$H$6:$H$483,0))</f>
        <v>334</v>
      </c>
      <c r="J522" s="158"/>
      <c r="K522" s="161"/>
      <c r="L522" s="161"/>
      <c r="M522" s="158"/>
      <c r="N522" s="51" t="s">
        <v>4393</v>
      </c>
      <c r="O522" s="51" t="s">
        <v>3883</v>
      </c>
      <c r="P522" s="51" t="s">
        <v>20</v>
      </c>
      <c r="Q522" s="51" t="s">
        <v>1067</v>
      </c>
      <c r="R522" s="51" t="s">
        <v>403</v>
      </c>
      <c r="U522" s="52" t="s">
        <v>77</v>
      </c>
      <c r="V522" s="52" t="s">
        <v>3471</v>
      </c>
      <c r="W522" s="52" t="s">
        <v>3472</v>
      </c>
      <c r="AB522" s="51" t="s">
        <v>4394</v>
      </c>
      <c r="AC522" s="51" t="s">
        <v>3884</v>
      </c>
      <c r="AD522" s="51" t="s">
        <v>707</v>
      </c>
      <c r="AE522" s="51" t="s">
        <v>1067</v>
      </c>
      <c r="AF522" s="51" t="s">
        <v>819</v>
      </c>
      <c r="AI522" s="52" t="s">
        <v>729</v>
      </c>
      <c r="AJ522" s="51" t="s">
        <v>3471</v>
      </c>
      <c r="AK522" s="52" t="s">
        <v>4036</v>
      </c>
      <c r="AP522" s="51" t="s">
        <v>4395</v>
      </c>
      <c r="AQ522" s="51" t="s">
        <v>3885</v>
      </c>
      <c r="AR522" s="51" t="s">
        <v>4396</v>
      </c>
      <c r="AS522" s="51" t="s">
        <v>1067</v>
      </c>
      <c r="AT522" s="51" t="s">
        <v>4361</v>
      </c>
      <c r="AW522" s="52" t="s">
        <v>3933</v>
      </c>
      <c r="AX522" s="51" t="s">
        <v>3471</v>
      </c>
      <c r="AY522" s="52" t="s">
        <v>4037</v>
      </c>
    </row>
    <row r="523" spans="1:51" x14ac:dyDescent="0.25">
      <c r="A523" s="51" t="s">
        <v>3810</v>
      </c>
      <c r="B523" s="51">
        <v>61</v>
      </c>
      <c r="E523" s="54" t="str" cm="1">
        <f t="array" aca="1" ref="E523" ca="1">IF(H523=0,"",HYPERLINK("#"&amp;RIGHT(CELL("dateiname"),LEN(CELL("dateiname"))-FIND("]",CELL("dateiname")))&amp;"!"&amp;CELL("adresse",OFFSET($Q$6,H523-1,0)),"Definition"))</f>
        <v/>
      </c>
      <c r="F523" s="54" t="str" cm="1">
        <f t="array" aca="1" ref="F523" ca="1">IF(I523=0,"",HYPERLINK("#"&amp;RIGHT(CELL("adresse",OFFSET(DMAV_Doku!$B$6,I523-1,0)),LEN(CELL("adresse",OFFSET(DMAV_Doku!$B$6,I523-1,0)))-SEARCH("]",CELL("adresse",OFFSET(DMAV_Doku!$B$6,I523-1,0)))),"ModDoc"))</f>
        <v>ModDoc</v>
      </c>
      <c r="G523" s="150" t="str">
        <f t="shared" si="16"/>
        <v>MEO61</v>
      </c>
      <c r="H523" s="150">
        <f t="shared" si="17"/>
        <v>0</v>
      </c>
      <c r="I523" s="150">
        <f>IF(_xlfn.XLOOKUP(G523,Korrelation!$A$4:$A$723,Korrelation!$B$4:$B$723,0,0)=0,0,MATCH(_xlfn.XLOOKUP(G523,Korrelation!$A$4:$A$723,Korrelation!$B$4:$B$723,0,0),DMAV_Doku!$H$6:$H$483,0))</f>
        <v>331</v>
      </c>
      <c r="J523" s="158"/>
      <c r="K523" s="161"/>
      <c r="L523" s="161"/>
      <c r="M523" s="158"/>
      <c r="N523" s="51" t="s">
        <v>4393</v>
      </c>
      <c r="O523" s="51" t="s">
        <v>3883</v>
      </c>
      <c r="P523" s="51" t="s">
        <v>20</v>
      </c>
      <c r="Q523" s="51" t="s">
        <v>1067</v>
      </c>
      <c r="R523" s="51" t="s">
        <v>400</v>
      </c>
      <c r="S523" s="50" t="s">
        <v>950</v>
      </c>
      <c r="U523" s="52" t="s">
        <v>121</v>
      </c>
      <c r="W523" s="52" t="s">
        <v>951</v>
      </c>
      <c r="AB523" s="51" t="s">
        <v>4394</v>
      </c>
      <c r="AC523" s="51" t="s">
        <v>3884</v>
      </c>
      <c r="AD523" s="51" t="s">
        <v>707</v>
      </c>
      <c r="AE523" s="51" t="s">
        <v>1067</v>
      </c>
      <c r="AF523" s="51" t="s">
        <v>818</v>
      </c>
      <c r="AG523" s="50" t="s">
        <v>950</v>
      </c>
      <c r="AI523" s="52" t="s">
        <v>742</v>
      </c>
      <c r="AK523" s="52" t="s">
        <v>951</v>
      </c>
      <c r="AP523" s="51" t="s">
        <v>4395</v>
      </c>
      <c r="AQ523" s="51" t="s">
        <v>3885</v>
      </c>
      <c r="AR523" s="51" t="s">
        <v>4396</v>
      </c>
      <c r="AS523" s="51" t="s">
        <v>1067</v>
      </c>
      <c r="AT523" s="51" t="s">
        <v>4360</v>
      </c>
      <c r="AU523" s="50" t="s">
        <v>950</v>
      </c>
      <c r="AW523" s="52" t="s">
        <v>742</v>
      </c>
      <c r="AY523" s="52" t="s">
        <v>951</v>
      </c>
    </row>
    <row r="524" spans="1:51" x14ac:dyDescent="0.25">
      <c r="A524" s="51" t="s">
        <v>3810</v>
      </c>
      <c r="B524" s="51">
        <v>62</v>
      </c>
      <c r="C524" s="51" t="s">
        <v>3838</v>
      </c>
      <c r="E524" s="54" t="str" cm="1">
        <f t="array" aca="1" ref="E524" ca="1">IF(H524=0,"",HYPERLINK("#"&amp;RIGHT(CELL("dateiname"),LEN(CELL("dateiname"))-FIND("]",CELL("dateiname")))&amp;"!"&amp;CELL("adresse",OFFSET($Q$6,H524-1,0)),"Definition"))</f>
        <v>Definition</v>
      </c>
      <c r="F524" s="54" t="str" cm="1">
        <f t="array" aca="1" ref="F524" ca="1">IF(I524=0,"",HYPERLINK("#"&amp;RIGHT(CELL("adresse",OFFSET(DMAV_Doku!$B$6,I524-1,0)),LEN(CELL("adresse",OFFSET(DMAV_Doku!$B$6,I524-1,0)))-SEARCH("]",CELL("adresse",OFFSET(DMAV_Doku!$B$6,I524-1,0)))),"ModDoc"))</f>
        <v>ModDoc</v>
      </c>
      <c r="G524" s="150" t="str">
        <f t="shared" si="16"/>
        <v>MEO62</v>
      </c>
      <c r="H524" s="150">
        <f t="shared" si="17"/>
        <v>26</v>
      </c>
      <c r="I524" s="150">
        <f>IF(_xlfn.XLOOKUP(G524,Korrelation!$A$4:$A$723,Korrelation!$B$4:$B$723,0,0)=0,0,MATCH(_xlfn.XLOOKUP(G524,Korrelation!$A$4:$A$723,Korrelation!$B$4:$B$723,0,0),DMAV_Doku!$H$6:$H$483,0))</f>
        <v>332</v>
      </c>
      <c r="J524" s="158"/>
      <c r="K524" s="161"/>
      <c r="L524" s="161"/>
      <c r="M524" s="158"/>
      <c r="N524" s="51" t="s">
        <v>4393</v>
      </c>
      <c r="O524" s="51" t="s">
        <v>3883</v>
      </c>
      <c r="P524" s="51" t="s">
        <v>20</v>
      </c>
      <c r="Q524" s="51" t="s">
        <v>1067</v>
      </c>
      <c r="R524" s="51" t="s">
        <v>400</v>
      </c>
      <c r="U524" s="52" t="s">
        <v>77</v>
      </c>
      <c r="V524" s="52" t="s">
        <v>3471</v>
      </c>
      <c r="W524" s="52" t="s">
        <v>3472</v>
      </c>
      <c r="AB524" s="51" t="s">
        <v>4394</v>
      </c>
      <c r="AC524" s="51" t="s">
        <v>3884</v>
      </c>
      <c r="AD524" s="51" t="s">
        <v>707</v>
      </c>
      <c r="AE524" s="51" t="s">
        <v>1067</v>
      </c>
      <c r="AF524" s="51" t="s">
        <v>818</v>
      </c>
      <c r="AI524" s="52" t="s">
        <v>729</v>
      </c>
      <c r="AJ524" s="51" t="s">
        <v>3471</v>
      </c>
      <c r="AK524" s="52" t="s">
        <v>4036</v>
      </c>
      <c r="AP524" s="51" t="s">
        <v>4395</v>
      </c>
      <c r="AQ524" s="51" t="s">
        <v>3885</v>
      </c>
      <c r="AR524" s="51" t="s">
        <v>4396</v>
      </c>
      <c r="AS524" s="51" t="s">
        <v>1067</v>
      </c>
      <c r="AT524" s="51" t="s">
        <v>4360</v>
      </c>
      <c r="AW524" s="52" t="s">
        <v>3933</v>
      </c>
      <c r="AX524" s="51" t="s">
        <v>3471</v>
      </c>
      <c r="AY524" s="52" t="s">
        <v>4037</v>
      </c>
    </row>
    <row r="525" spans="1:51" x14ac:dyDescent="0.25">
      <c r="A525" s="51" t="s">
        <v>3810</v>
      </c>
      <c r="B525" s="51">
        <v>63</v>
      </c>
      <c r="C525" s="51" t="s">
        <v>3842</v>
      </c>
      <c r="E525" s="54" t="str" cm="1">
        <f t="array" aca="1" ref="E525" ca="1">IF(H525=0,"",HYPERLINK("#"&amp;RIGHT(CELL("dateiname"),LEN(CELL("dateiname"))-FIND("]",CELL("dateiname")))&amp;"!"&amp;CELL("adresse",OFFSET($Q$6,H525-1,0)),"Definition"))</f>
        <v>Definition</v>
      </c>
      <c r="F525" s="54" t="str" cm="1">
        <f t="array" aca="1" ref="F525" ca="1">IF(I525=0,"",HYPERLINK("#"&amp;RIGHT(CELL("adresse",OFFSET(DMAV_Doku!$B$6,I525-1,0)),LEN(CELL("adresse",OFFSET(DMAV_Doku!$B$6,I525-1,0)))-SEARCH("]",CELL("adresse",OFFSET(DMAV_Doku!$B$6,I525-1,0)))),"ModDoc"))</f>
        <v>ModDoc</v>
      </c>
      <c r="G525" s="150" t="str">
        <f t="shared" si="16"/>
        <v>MEO63</v>
      </c>
      <c r="H525" s="150">
        <f t="shared" si="17"/>
        <v>42</v>
      </c>
      <c r="I525" s="150">
        <f>IF(_xlfn.XLOOKUP(G525,Korrelation!$A$4:$A$723,Korrelation!$B$4:$B$723,0,0)=0,0,MATCH(_xlfn.XLOOKUP(G525,Korrelation!$A$4:$A$723,Korrelation!$B$4:$B$723,0,0),DMAV_Doku!$H$6:$H$483,0))</f>
        <v>341</v>
      </c>
      <c r="J525" s="158"/>
      <c r="K525" s="161"/>
      <c r="L525" s="161"/>
      <c r="M525" s="158"/>
      <c r="N525" s="51" t="s">
        <v>4393</v>
      </c>
      <c r="O525" s="51" t="s">
        <v>3883</v>
      </c>
      <c r="P525" s="51" t="s">
        <v>20</v>
      </c>
      <c r="Q525" s="51" t="s">
        <v>949</v>
      </c>
      <c r="R525" s="51" t="s">
        <v>508</v>
      </c>
      <c r="S525" s="50" t="s">
        <v>950</v>
      </c>
      <c r="U525" s="52" t="s">
        <v>265</v>
      </c>
      <c r="W525" s="52" t="s">
        <v>1056</v>
      </c>
      <c r="AB525" s="51" t="s">
        <v>4394</v>
      </c>
      <c r="AC525" s="51" t="s">
        <v>3884</v>
      </c>
      <c r="AD525" s="51" t="s">
        <v>707</v>
      </c>
      <c r="AE525" s="51" t="s">
        <v>949</v>
      </c>
      <c r="AF525" s="51" t="s">
        <v>867</v>
      </c>
      <c r="AG525" s="50" t="s">
        <v>950</v>
      </c>
      <c r="AI525" s="52" t="s">
        <v>711</v>
      </c>
      <c r="AK525" s="52" t="s">
        <v>4225</v>
      </c>
      <c r="AP525" s="51" t="s">
        <v>4395</v>
      </c>
      <c r="AQ525" s="51" t="s">
        <v>3885</v>
      </c>
      <c r="AR525" s="51" t="s">
        <v>4396</v>
      </c>
      <c r="AS525" s="51" t="s">
        <v>949</v>
      </c>
      <c r="AT525" s="51" t="s">
        <v>4400</v>
      </c>
      <c r="AU525" s="50" t="s">
        <v>950</v>
      </c>
      <c r="AW525" s="52" t="s">
        <v>1976</v>
      </c>
      <c r="AY525" s="52" t="s">
        <v>4226</v>
      </c>
    </row>
    <row r="526" spans="1:51" x14ac:dyDescent="0.25">
      <c r="A526" s="51" t="s">
        <v>3810</v>
      </c>
      <c r="B526" s="51">
        <v>64</v>
      </c>
      <c r="C526" s="51" t="s">
        <v>3852</v>
      </c>
      <c r="E526" s="54" t="str" cm="1">
        <f t="array" aca="1" ref="E526" ca="1">IF(H526=0,"",HYPERLINK("#"&amp;RIGHT(CELL("dateiname"),LEN(CELL("dateiname"))-FIND("]",CELL("dateiname")))&amp;"!"&amp;CELL("adresse",OFFSET($Q$6,H526-1,0)),"Definition"))</f>
        <v>Definition</v>
      </c>
      <c r="F526" s="54" t="str" cm="1">
        <f t="array" aca="1" ref="F526" ca="1">IF(I526=0,"",HYPERLINK("#"&amp;RIGHT(CELL("adresse",OFFSET(DMAV_Doku!$B$6,I526-1,0)),LEN(CELL("adresse",OFFSET(DMAV_Doku!$B$6,I526-1,0)))-SEARCH("]",CELL("adresse",OFFSET(DMAV_Doku!$B$6,I526-1,0)))),"ModDoc"))</f>
        <v>ModDoc</v>
      </c>
      <c r="G526" s="150" t="str">
        <f t="shared" si="16"/>
        <v>MEO64</v>
      </c>
      <c r="H526" s="150">
        <f t="shared" si="17"/>
        <v>463</v>
      </c>
      <c r="I526" s="150">
        <f>IF(_xlfn.XLOOKUP(G526,Korrelation!$A$4:$A$723,Korrelation!$B$4:$B$723,0,0)=0,0,MATCH(_xlfn.XLOOKUP(G526,Korrelation!$A$4:$A$723,Korrelation!$B$4:$B$723,0,0),DMAV_Doku!$H$6:$H$483,0))</f>
        <v>340</v>
      </c>
      <c r="J526" s="158"/>
      <c r="K526" s="161"/>
      <c r="L526" s="161"/>
      <c r="M526" s="158"/>
      <c r="N526" s="51" t="s">
        <v>4393</v>
      </c>
      <c r="O526" s="51" t="s">
        <v>3883</v>
      </c>
      <c r="P526" s="51" t="s">
        <v>20</v>
      </c>
      <c r="Q526" s="51" t="s">
        <v>949</v>
      </c>
      <c r="R526" s="51" t="s">
        <v>508</v>
      </c>
      <c r="S526" s="50" t="s">
        <v>950</v>
      </c>
      <c r="U526" s="52" t="s">
        <v>434</v>
      </c>
      <c r="W526" s="52" t="s">
        <v>434</v>
      </c>
      <c r="AB526" s="51" t="s">
        <v>4394</v>
      </c>
      <c r="AC526" s="51" t="s">
        <v>3884</v>
      </c>
      <c r="AD526" s="51" t="s">
        <v>707</v>
      </c>
      <c r="AE526" s="51" t="s">
        <v>949</v>
      </c>
      <c r="AF526" s="51" t="s">
        <v>867</v>
      </c>
      <c r="AG526" s="50" t="s">
        <v>950</v>
      </c>
      <c r="AI526" s="52" t="s">
        <v>823</v>
      </c>
      <c r="AK526" s="52" t="s">
        <v>823</v>
      </c>
      <c r="AP526" s="51" t="s">
        <v>4395</v>
      </c>
      <c r="AQ526" s="51" t="s">
        <v>3885</v>
      </c>
      <c r="AR526" s="51" t="s">
        <v>4396</v>
      </c>
      <c r="AS526" s="51" t="s">
        <v>949</v>
      </c>
      <c r="AT526" s="51" t="s">
        <v>4400</v>
      </c>
      <c r="AU526" s="50" t="s">
        <v>950</v>
      </c>
      <c r="AW526" s="52" t="s">
        <v>4397</v>
      </c>
      <c r="AY526" s="52" t="s">
        <v>4397</v>
      </c>
    </row>
    <row r="527" spans="1:51" x14ac:dyDescent="0.25">
      <c r="A527" s="51" t="s">
        <v>3810</v>
      </c>
      <c r="B527" s="51">
        <v>65</v>
      </c>
      <c r="C527" s="51" t="s">
        <v>3853</v>
      </c>
      <c r="E527" s="54" t="str" cm="1">
        <f t="array" aca="1" ref="E527" ca="1">IF(H527=0,"",HYPERLINK("#"&amp;RIGHT(CELL("dateiname"),LEN(CELL("dateiname"))-FIND("]",CELL("dateiname")))&amp;"!"&amp;CELL("adresse",OFFSET($Q$6,H527-1,0)),"Definition"))</f>
        <v>Definition</v>
      </c>
      <c r="F527" s="54" t="str" cm="1">
        <f t="array" aca="1" ref="F527" ca="1">IF(I527=0,"",HYPERLINK("#"&amp;RIGHT(CELL("adresse",OFFSET(DMAV_Doku!$B$6,I527-1,0)),LEN(CELL("adresse",OFFSET(DMAV_Doku!$B$6,I527-1,0)))-SEARCH("]",CELL("adresse",OFFSET(DMAV_Doku!$B$6,I527-1,0)))),"ModDoc"))</f>
        <v>ModDoc</v>
      </c>
      <c r="G527" s="150" t="str">
        <f t="shared" si="16"/>
        <v>MEO65</v>
      </c>
      <c r="H527" s="150">
        <f t="shared" si="17"/>
        <v>510</v>
      </c>
      <c r="I527" s="150">
        <f>IF(_xlfn.XLOOKUP(G527,Korrelation!$A$4:$A$723,Korrelation!$B$4:$B$723,0,0)=0,0,MATCH(_xlfn.XLOOKUP(G527,Korrelation!$A$4:$A$723,Korrelation!$B$4:$B$723,0,0),DMAV_Doku!$H$6:$H$483,0))</f>
        <v>342</v>
      </c>
      <c r="J527" s="158"/>
      <c r="K527" s="161"/>
      <c r="L527" s="161"/>
      <c r="M527" s="158"/>
      <c r="N527" s="51" t="s">
        <v>4393</v>
      </c>
      <c r="O527" s="51" t="s">
        <v>3883</v>
      </c>
      <c r="P527" s="51" t="s">
        <v>20</v>
      </c>
      <c r="Q527" s="51" t="s">
        <v>949</v>
      </c>
      <c r="R527" s="51" t="s">
        <v>508</v>
      </c>
      <c r="U527" s="52" t="s">
        <v>317</v>
      </c>
      <c r="V527" s="52" t="s">
        <v>3471</v>
      </c>
      <c r="W527" s="52" t="s">
        <v>317</v>
      </c>
      <c r="AB527" s="51" t="s">
        <v>4394</v>
      </c>
      <c r="AC527" s="51" t="s">
        <v>3884</v>
      </c>
      <c r="AD527" s="51" t="s">
        <v>707</v>
      </c>
      <c r="AE527" s="51" t="s">
        <v>949</v>
      </c>
      <c r="AF527" s="51" t="s">
        <v>867</v>
      </c>
      <c r="AI527" s="52" t="s">
        <v>798</v>
      </c>
      <c r="AJ527" s="51" t="s">
        <v>3471</v>
      </c>
      <c r="AK527" s="52" t="s">
        <v>798</v>
      </c>
      <c r="AP527" s="51" t="s">
        <v>4395</v>
      </c>
      <c r="AQ527" s="51" t="s">
        <v>3885</v>
      </c>
      <c r="AR527" s="51" t="s">
        <v>4396</v>
      </c>
      <c r="AS527" s="51" t="s">
        <v>949</v>
      </c>
      <c r="AT527" s="51" t="s">
        <v>4400</v>
      </c>
      <c r="AW527" s="52" t="s">
        <v>4291</v>
      </c>
      <c r="AX527" s="51" t="s">
        <v>3471</v>
      </c>
      <c r="AY527" s="52" t="s">
        <v>4291</v>
      </c>
    </row>
    <row r="528" spans="1:51" x14ac:dyDescent="0.25">
      <c r="A528" s="51" t="s">
        <v>3810</v>
      </c>
      <c r="B528" s="51">
        <v>66</v>
      </c>
      <c r="C528" s="51" t="s">
        <v>3854</v>
      </c>
      <c r="E528" s="54" t="str" cm="1">
        <f t="array" aca="1" ref="E528" ca="1">IF(H528=0,"",HYPERLINK("#"&amp;RIGHT(CELL("dateiname"),LEN(CELL("dateiname"))-FIND("]",CELL("dateiname")))&amp;"!"&amp;CELL("adresse",OFFSET($Q$6,H528-1,0)),"Definition"))</f>
        <v>Definition</v>
      </c>
      <c r="F528" s="54" t="str" cm="1">
        <f t="array" aca="1" ref="F528" ca="1">IF(I528=0,"",HYPERLINK("#"&amp;RIGHT(CELL("adresse",OFFSET(DMAV_Doku!$B$6,I528-1,0)),LEN(CELL("adresse",OFFSET(DMAV_Doku!$B$6,I528-1,0)))-SEARCH("]",CELL("adresse",OFFSET(DMAV_Doku!$B$6,I528-1,0)))),"ModDoc"))</f>
        <v>ModDoc</v>
      </c>
      <c r="G528" s="150" t="str">
        <f t="shared" si="16"/>
        <v>MEO66</v>
      </c>
      <c r="H528" s="150">
        <f t="shared" si="17"/>
        <v>512</v>
      </c>
      <c r="I528" s="150">
        <f>IF(_xlfn.XLOOKUP(G528,Korrelation!$A$4:$A$723,Korrelation!$B$4:$B$723,0,0)=0,0,MATCH(_xlfn.XLOOKUP(G528,Korrelation!$A$4:$A$723,Korrelation!$B$4:$B$723,0,0),DMAV_Doku!$H$6:$H$483,0))</f>
        <v>343</v>
      </c>
      <c r="J528" s="158"/>
      <c r="K528" s="161"/>
      <c r="L528" s="161"/>
      <c r="M528" s="158"/>
      <c r="N528" s="51" t="s">
        <v>4393</v>
      </c>
      <c r="O528" s="51" t="s">
        <v>3883</v>
      </c>
      <c r="P528" s="51" t="s">
        <v>20</v>
      </c>
      <c r="Q528" s="51" t="s">
        <v>949</v>
      </c>
      <c r="R528" s="51" t="s">
        <v>508</v>
      </c>
      <c r="U528" s="52" t="s">
        <v>302</v>
      </c>
      <c r="V528" s="52" t="s">
        <v>3471</v>
      </c>
      <c r="W528" s="52" t="s">
        <v>302</v>
      </c>
      <c r="AB528" s="51" t="s">
        <v>4394</v>
      </c>
      <c r="AC528" s="51" t="s">
        <v>3884</v>
      </c>
      <c r="AD528" s="51" t="s">
        <v>707</v>
      </c>
      <c r="AE528" s="51" t="s">
        <v>949</v>
      </c>
      <c r="AF528" s="51" t="s">
        <v>867</v>
      </c>
      <c r="AI528" s="52" t="s">
        <v>799</v>
      </c>
      <c r="AJ528" s="51" t="s">
        <v>3471</v>
      </c>
      <c r="AK528" s="52" t="s">
        <v>799</v>
      </c>
      <c r="AP528" s="51" t="s">
        <v>4395</v>
      </c>
      <c r="AQ528" s="51" t="s">
        <v>3885</v>
      </c>
      <c r="AR528" s="51" t="s">
        <v>4396</v>
      </c>
      <c r="AS528" s="51" t="s">
        <v>949</v>
      </c>
      <c r="AT528" s="51" t="s">
        <v>4400</v>
      </c>
      <c r="AW528" s="52" t="s">
        <v>4292</v>
      </c>
      <c r="AX528" s="51" t="s">
        <v>3471</v>
      </c>
      <c r="AY528" s="52" t="s">
        <v>4292</v>
      </c>
    </row>
    <row r="529" spans="1:54" x14ac:dyDescent="0.25">
      <c r="A529" s="51" t="s">
        <v>3810</v>
      </c>
      <c r="B529" s="51">
        <v>67</v>
      </c>
      <c r="C529" s="51" t="s">
        <v>3855</v>
      </c>
      <c r="E529" s="54" t="str" cm="1">
        <f t="array" aca="1" ref="E529" ca="1">IF(H529=0,"",HYPERLINK("#"&amp;RIGHT(CELL("dateiname"),LEN(CELL("dateiname"))-FIND("]",CELL("dateiname")))&amp;"!"&amp;CELL("adresse",OFFSET($Q$6,H529-1,0)),"Definition"))</f>
        <v>Definition</v>
      </c>
      <c r="F529" s="54" t="str" cm="1">
        <f t="array" aca="1" ref="F529" ca="1">IF(I529=0,"",HYPERLINK("#"&amp;RIGHT(CELL("adresse",OFFSET(DMAV_Doku!$B$6,I529-1,0)),LEN(CELL("adresse",OFFSET(DMAV_Doku!$B$6,I529-1,0)))-SEARCH("]",CELL("adresse",OFFSET(DMAV_Doku!$B$6,I529-1,0)))),"ModDoc"))</f>
        <v>ModDoc</v>
      </c>
      <c r="G529" s="150" t="str">
        <f t="shared" si="16"/>
        <v>MEO67</v>
      </c>
      <c r="H529" s="150">
        <f t="shared" si="17"/>
        <v>514</v>
      </c>
      <c r="I529" s="150">
        <f>IF(_xlfn.XLOOKUP(G529,Korrelation!$A$4:$A$723,Korrelation!$B$4:$B$723,0,0)=0,0,MATCH(_xlfn.XLOOKUP(G529,Korrelation!$A$4:$A$723,Korrelation!$B$4:$B$723,0,0),DMAV_Doku!$H$6:$H$483,0))</f>
        <v>344</v>
      </c>
      <c r="J529" s="158"/>
      <c r="K529" s="161"/>
      <c r="L529" s="161"/>
      <c r="M529" s="158"/>
      <c r="N529" s="51" t="s">
        <v>4393</v>
      </c>
      <c r="O529" s="51" t="s">
        <v>3883</v>
      </c>
      <c r="P529" s="51" t="s">
        <v>20</v>
      </c>
      <c r="Q529" s="51" t="s">
        <v>949</v>
      </c>
      <c r="R529" s="51" t="s">
        <v>508</v>
      </c>
      <c r="U529" s="52" t="s">
        <v>304</v>
      </c>
      <c r="V529" s="52" t="s">
        <v>3471</v>
      </c>
      <c r="W529" s="52" t="s">
        <v>304</v>
      </c>
      <c r="AB529" s="51" t="s">
        <v>4394</v>
      </c>
      <c r="AC529" s="51" t="s">
        <v>3884</v>
      </c>
      <c r="AD529" s="51" t="s">
        <v>707</v>
      </c>
      <c r="AE529" s="51" t="s">
        <v>949</v>
      </c>
      <c r="AF529" s="51" t="s">
        <v>867</v>
      </c>
      <c r="AI529" s="52" t="s">
        <v>800</v>
      </c>
      <c r="AJ529" s="51" t="s">
        <v>3471</v>
      </c>
      <c r="AK529" s="52" t="s">
        <v>800</v>
      </c>
      <c r="AP529" s="51" t="s">
        <v>4395</v>
      </c>
      <c r="AQ529" s="51" t="s">
        <v>3885</v>
      </c>
      <c r="AR529" s="51" t="s">
        <v>4396</v>
      </c>
      <c r="AS529" s="51" t="s">
        <v>949</v>
      </c>
      <c r="AT529" s="51" t="s">
        <v>4400</v>
      </c>
      <c r="AW529" s="52" t="s">
        <v>4293</v>
      </c>
      <c r="AX529" s="51" t="s">
        <v>3471</v>
      </c>
      <c r="AY529" s="52" t="s">
        <v>4293</v>
      </c>
    </row>
    <row r="530" spans="1:54" x14ac:dyDescent="0.25">
      <c r="A530" s="51" t="s">
        <v>3810</v>
      </c>
      <c r="B530" s="51">
        <v>68</v>
      </c>
      <c r="C530" s="51" t="s">
        <v>3856</v>
      </c>
      <c r="E530" s="54" t="str" cm="1">
        <f t="array" aca="1" ref="E530" ca="1">IF(H530=0,"",HYPERLINK("#"&amp;RIGHT(CELL("dateiname"),LEN(CELL("dateiname"))-FIND("]",CELL("dateiname")))&amp;"!"&amp;CELL("adresse",OFFSET($Q$6,H530-1,0)),"Definition"))</f>
        <v>Definition</v>
      </c>
      <c r="F530" s="54" t="str" cm="1">
        <f t="array" aca="1" ref="F530" ca="1">IF(I530=0,"",HYPERLINK("#"&amp;RIGHT(CELL("adresse",OFFSET(DMAV_Doku!$B$6,I530-1,0)),LEN(CELL("adresse",OFFSET(DMAV_Doku!$B$6,I530-1,0)))-SEARCH("]",CELL("adresse",OFFSET(DMAV_Doku!$B$6,I530-1,0)))),"ModDoc"))</f>
        <v>ModDoc</v>
      </c>
      <c r="G530" s="150" t="str">
        <f t="shared" si="16"/>
        <v>MEO68</v>
      </c>
      <c r="H530" s="150">
        <f t="shared" si="17"/>
        <v>518</v>
      </c>
      <c r="I530" s="150">
        <f>IF(_xlfn.XLOOKUP(G530,Korrelation!$A$4:$A$723,Korrelation!$B$4:$B$723,0,0)=0,0,MATCH(_xlfn.XLOOKUP(G530,Korrelation!$A$4:$A$723,Korrelation!$B$4:$B$723,0,0),DMAV_Doku!$H$6:$H$483,0))</f>
        <v>346</v>
      </c>
      <c r="J530" s="158"/>
      <c r="K530" s="161"/>
      <c r="L530" s="161"/>
      <c r="M530" s="158"/>
      <c r="N530" s="51" t="s">
        <v>4393</v>
      </c>
      <c r="O530" s="51" t="s">
        <v>3883</v>
      </c>
      <c r="P530" s="51" t="s">
        <v>20</v>
      </c>
      <c r="Q530" s="51" t="s">
        <v>949</v>
      </c>
      <c r="R530" s="51" t="s">
        <v>508</v>
      </c>
      <c r="U530" s="52" t="s">
        <v>400</v>
      </c>
      <c r="V530" s="52" t="s">
        <v>3471</v>
      </c>
      <c r="W530" s="52" t="s">
        <v>400</v>
      </c>
      <c r="AB530" s="51" t="s">
        <v>4394</v>
      </c>
      <c r="AC530" s="51" t="s">
        <v>3884</v>
      </c>
      <c r="AD530" s="51" t="s">
        <v>707</v>
      </c>
      <c r="AE530" s="51" t="s">
        <v>949</v>
      </c>
      <c r="AF530" s="51" t="s">
        <v>867</v>
      </c>
      <c r="AI530" s="52" t="s">
        <v>818</v>
      </c>
      <c r="AJ530" s="51" t="s">
        <v>3471</v>
      </c>
      <c r="AK530" s="52" t="s">
        <v>818</v>
      </c>
      <c r="AP530" s="51" t="s">
        <v>4395</v>
      </c>
      <c r="AQ530" s="51" t="s">
        <v>3885</v>
      </c>
      <c r="AR530" s="51" t="s">
        <v>4396</v>
      </c>
      <c r="AS530" s="51" t="s">
        <v>949</v>
      </c>
      <c r="AT530" s="51" t="s">
        <v>4400</v>
      </c>
      <c r="AW530" s="52" t="s">
        <v>4360</v>
      </c>
      <c r="AX530" s="51" t="s">
        <v>3471</v>
      </c>
      <c r="AY530" s="52" t="s">
        <v>4360</v>
      </c>
    </row>
    <row r="531" spans="1:54" x14ac:dyDescent="0.25">
      <c r="A531" s="51" t="s">
        <v>3810</v>
      </c>
      <c r="B531" s="51">
        <v>69</v>
      </c>
      <c r="C531" s="51" t="s">
        <v>3857</v>
      </c>
      <c r="E531" s="54" t="str" cm="1">
        <f t="array" aca="1" ref="E531" ca="1">IF(H531=0,"",HYPERLINK("#"&amp;RIGHT(CELL("dateiname"),LEN(CELL("dateiname"))-FIND("]",CELL("dateiname")))&amp;"!"&amp;CELL("adresse",OFFSET($Q$6,H531-1,0)),"Definition"))</f>
        <v>Definition</v>
      </c>
      <c r="F531" s="54" t="str" cm="1">
        <f t="array" aca="1" ref="F531" ca="1">IF(I531=0,"",HYPERLINK("#"&amp;RIGHT(CELL("adresse",OFFSET(DMAV_Doku!$B$6,I531-1,0)),LEN(CELL("adresse",OFFSET(DMAV_Doku!$B$6,I531-1,0)))-SEARCH("]",CELL("adresse",OFFSET(DMAV_Doku!$B$6,I531-1,0)))),"ModDoc"))</f>
        <v>ModDoc</v>
      </c>
      <c r="G531" s="150" t="str">
        <f t="shared" si="16"/>
        <v>MEO69</v>
      </c>
      <c r="H531" s="150">
        <f t="shared" si="17"/>
        <v>516</v>
      </c>
      <c r="I531" s="150">
        <f>IF(_xlfn.XLOOKUP(G531,Korrelation!$A$4:$A$723,Korrelation!$B$4:$B$723,0,0)=0,0,MATCH(_xlfn.XLOOKUP(G531,Korrelation!$A$4:$A$723,Korrelation!$B$4:$B$723,0,0),DMAV_Doku!$H$6:$H$483,0))</f>
        <v>345</v>
      </c>
      <c r="J531" s="158"/>
      <c r="K531" s="161"/>
      <c r="L531" s="161"/>
      <c r="M531" s="158"/>
      <c r="N531" s="51" t="s">
        <v>4393</v>
      </c>
      <c r="O531" s="51" t="s">
        <v>3883</v>
      </c>
      <c r="P531" s="51" t="s">
        <v>20</v>
      </c>
      <c r="Q531" s="51" t="s">
        <v>949</v>
      </c>
      <c r="R531" s="51" t="s">
        <v>508</v>
      </c>
      <c r="U531" s="52" t="s">
        <v>403</v>
      </c>
      <c r="V531" s="52" t="s">
        <v>3471</v>
      </c>
      <c r="W531" s="52" t="s">
        <v>403</v>
      </c>
      <c r="AB531" s="51" t="s">
        <v>4394</v>
      </c>
      <c r="AC531" s="51" t="s">
        <v>3884</v>
      </c>
      <c r="AD531" s="51" t="s">
        <v>707</v>
      </c>
      <c r="AE531" s="51" t="s">
        <v>949</v>
      </c>
      <c r="AF531" s="51" t="s">
        <v>867</v>
      </c>
      <c r="AI531" s="52" t="s">
        <v>819</v>
      </c>
      <c r="AJ531" s="51" t="s">
        <v>3471</v>
      </c>
      <c r="AK531" s="52" t="s">
        <v>819</v>
      </c>
      <c r="AP531" s="51" t="s">
        <v>4395</v>
      </c>
      <c r="AQ531" s="51" t="s">
        <v>3885</v>
      </c>
      <c r="AR531" s="51" t="s">
        <v>4396</v>
      </c>
      <c r="AS531" s="51" t="s">
        <v>949</v>
      </c>
      <c r="AT531" s="51" t="s">
        <v>4400</v>
      </c>
      <c r="AW531" s="52" t="s">
        <v>4361</v>
      </c>
      <c r="AX531" s="51" t="s">
        <v>3471</v>
      </c>
      <c r="AY531" s="52" t="s">
        <v>4361</v>
      </c>
    </row>
    <row r="532" spans="1:54" x14ac:dyDescent="0.25">
      <c r="A532" s="51" t="s">
        <v>3810</v>
      </c>
      <c r="B532" s="51">
        <v>70</v>
      </c>
      <c r="E532" s="54" t="str" cm="1">
        <f t="array" aca="1" ref="E532" ca="1">IF(H532=0,"",HYPERLINK("#"&amp;RIGHT(CELL("dateiname"),LEN(CELL("dateiname"))-FIND("]",CELL("dateiname")))&amp;"!"&amp;CELL("adresse",OFFSET($Q$6,H532-1,0)),"Definition"))</f>
        <v/>
      </c>
      <c r="F532" s="54" t="str" cm="1">
        <f t="array" aca="1" ref="F532" ca="1">IF(I532=0,"",HYPERLINK("#"&amp;RIGHT(CELL("adresse",OFFSET(DMAV_Doku!$B$6,I532-1,0)),LEN(CELL("adresse",OFFSET(DMAV_Doku!$B$6,I532-1,0)))-SEARCH("]",CELL("adresse",OFFSET(DMAV_Doku!$B$6,I532-1,0)))),"ModDoc"))</f>
        <v>ModDoc</v>
      </c>
      <c r="G532" s="150" t="str">
        <f t="shared" si="16"/>
        <v>MEO70</v>
      </c>
      <c r="H532" s="150">
        <f t="shared" si="17"/>
        <v>0</v>
      </c>
      <c r="I532" s="150">
        <f>IF(_xlfn.XLOOKUP(G532,Korrelation!$A$4:$A$723,Korrelation!$B$4:$B$723,0,0)=0,0,MATCH(_xlfn.XLOOKUP(G532,Korrelation!$A$4:$A$723,Korrelation!$B$4:$B$723,0,0),DMAV_Doku!$H$6:$H$483,0))</f>
        <v>347</v>
      </c>
      <c r="J532" s="158"/>
      <c r="K532" s="161"/>
      <c r="L532" s="161"/>
      <c r="M532" s="158"/>
      <c r="N532" s="51" t="s">
        <v>4393</v>
      </c>
      <c r="O532" s="51" t="s">
        <v>3883</v>
      </c>
      <c r="P532" s="51" t="s">
        <v>20</v>
      </c>
      <c r="Q532" s="51" t="s">
        <v>949</v>
      </c>
      <c r="R532" s="51" t="s">
        <v>508</v>
      </c>
      <c r="U532" s="52" t="s">
        <v>416</v>
      </c>
      <c r="W532" s="52" t="s">
        <v>417</v>
      </c>
      <c r="AB532" s="51" t="s">
        <v>4394</v>
      </c>
      <c r="AC532" s="51" t="s">
        <v>3884</v>
      </c>
      <c r="AD532" s="51" t="s">
        <v>707</v>
      </c>
      <c r="AE532" s="51" t="s">
        <v>949</v>
      </c>
      <c r="AF532" s="51" t="s">
        <v>867</v>
      </c>
      <c r="AI532" s="52" t="s">
        <v>416</v>
      </c>
      <c r="AK532" s="52" t="s">
        <v>417</v>
      </c>
      <c r="AP532" s="51" t="s">
        <v>4395</v>
      </c>
      <c r="AQ532" s="51" t="s">
        <v>3885</v>
      </c>
      <c r="AR532" s="51" t="s">
        <v>4396</v>
      </c>
      <c r="AS532" s="51" t="s">
        <v>949</v>
      </c>
      <c r="AT532" s="51" t="s">
        <v>4400</v>
      </c>
      <c r="AW532" s="52" t="s">
        <v>416</v>
      </c>
      <c r="AY532" s="52" t="s">
        <v>417</v>
      </c>
    </row>
    <row r="533" spans="1:54" x14ac:dyDescent="0.25">
      <c r="A533" s="51" t="s">
        <v>3810</v>
      </c>
      <c r="B533" s="51">
        <v>71</v>
      </c>
      <c r="C533" s="51" t="s">
        <v>3847</v>
      </c>
      <c r="E533" s="54" t="str" cm="1">
        <f t="array" aca="1" ref="E533" ca="1">IF(H533=0,"",HYPERLINK("#"&amp;RIGHT(CELL("dateiname"),LEN(CELL("dateiname"))-FIND("]",CELL("dateiname")))&amp;"!"&amp;CELL("adresse",OFFSET($Q$6,H533-1,0)),"Definition"))</f>
        <v>Definition</v>
      </c>
      <c r="F533" s="54" t="str" cm="1">
        <f t="array" aca="1" ref="F533" ca="1">IF(I533=0,"",HYPERLINK("#"&amp;RIGHT(CELL("adresse",OFFSET(DMAV_Doku!$B$6,I533-1,0)),LEN(CELL("adresse",OFFSET(DMAV_Doku!$B$6,I533-1,0)))-SEARCH("]",CELL("adresse",OFFSET(DMAV_Doku!$B$6,I533-1,0)))),"ModDoc"))</f>
        <v>ModDoc</v>
      </c>
      <c r="G533" s="150" t="str">
        <f t="shared" si="16"/>
        <v>MEO71</v>
      </c>
      <c r="H533" s="150">
        <f t="shared" si="17"/>
        <v>36</v>
      </c>
      <c r="I533" s="150">
        <f>IF(_xlfn.XLOOKUP(G533,Korrelation!$A$4:$A$723,Korrelation!$B$4:$B$723,0,0)=0,0,MATCH(_xlfn.XLOOKUP(G533,Korrelation!$A$4:$A$723,Korrelation!$B$4:$B$723,0,0),DMAV_Doku!$H$6:$H$483,0))</f>
        <v>348</v>
      </c>
      <c r="J533" s="158"/>
      <c r="K533" s="161"/>
      <c r="L533" s="161"/>
      <c r="M533" s="158"/>
      <c r="N533" s="51" t="s">
        <v>4393</v>
      </c>
      <c r="O533" s="51" t="s">
        <v>3883</v>
      </c>
      <c r="P533" s="51" t="s">
        <v>20</v>
      </c>
      <c r="Q533" s="51" t="s">
        <v>949</v>
      </c>
      <c r="R533" s="51" t="s">
        <v>508</v>
      </c>
      <c r="S533" s="50" t="s">
        <v>950</v>
      </c>
      <c r="U533" s="52" t="s">
        <v>393</v>
      </c>
      <c r="W533" s="52" t="s">
        <v>1124</v>
      </c>
      <c r="AB533" s="51" t="s">
        <v>4394</v>
      </c>
      <c r="AC533" s="51" t="s">
        <v>3884</v>
      </c>
      <c r="AD533" s="51" t="s">
        <v>707</v>
      </c>
      <c r="AE533" s="51" t="s">
        <v>949</v>
      </c>
      <c r="AF533" s="51" t="s">
        <v>867</v>
      </c>
      <c r="AG533" s="50" t="s">
        <v>950</v>
      </c>
      <c r="AI533" s="52" t="s">
        <v>814</v>
      </c>
      <c r="AK533" s="52" t="s">
        <v>4362</v>
      </c>
      <c r="AP533" s="51" t="s">
        <v>4395</v>
      </c>
      <c r="AQ533" s="51" t="s">
        <v>3885</v>
      </c>
      <c r="AR533" s="51" t="s">
        <v>4396</v>
      </c>
      <c r="AS533" s="51" t="s">
        <v>949</v>
      </c>
      <c r="AT533" s="51" t="s">
        <v>4400</v>
      </c>
      <c r="AU533" s="50" t="s">
        <v>950</v>
      </c>
      <c r="AW533" s="52" t="s">
        <v>3946</v>
      </c>
      <c r="AY533" s="52" t="s">
        <v>4363</v>
      </c>
    </row>
    <row r="534" spans="1:54" ht="38.25" x14ac:dyDescent="0.25">
      <c r="A534" s="51" t="s">
        <v>3810</v>
      </c>
      <c r="B534" s="51">
        <v>72</v>
      </c>
      <c r="D534" s="51" t="s">
        <v>3534</v>
      </c>
      <c r="E534" s="54" t="str" cm="1">
        <f t="array" aca="1" ref="E534" ca="1">IF(H534=0,"",HYPERLINK("#"&amp;RIGHT(CELL("dateiname"),LEN(CELL("dateiname"))-FIND("]",CELL("dateiname")))&amp;"!"&amp;CELL("adresse",OFFSET($Q$6,H534-1,0)),"Definition"))</f>
        <v/>
      </c>
      <c r="F534" s="54" t="str" cm="1">
        <f t="array" aca="1" ref="F534" ca="1">IF(I534=0,"",HYPERLINK("#"&amp;RIGHT(CELL("adresse",OFFSET(DMAV_Doku!$B$6,I534-1,0)),LEN(CELL("adresse",OFFSET(DMAV_Doku!$B$6,I534-1,0)))-SEARCH("]",CELL("adresse",OFFSET(DMAV_Doku!$B$6,I534-1,0)))),"ModDoc"))</f>
        <v/>
      </c>
      <c r="G534" s="150" t="str">
        <f t="shared" si="16"/>
        <v>MEO72</v>
      </c>
      <c r="H534" s="150">
        <f t="shared" si="17"/>
        <v>0</v>
      </c>
      <c r="I534" s="150">
        <f>IF(_xlfn.XLOOKUP(G534,Korrelation!$A$4:$A$723,Korrelation!$B$4:$B$723,0,0)=0,0,MATCH(_xlfn.XLOOKUP(G534,Korrelation!$A$4:$A$723,Korrelation!$B$4:$B$723,0,0),DMAV_Doku!$H$6:$H$483,0))</f>
        <v>0</v>
      </c>
      <c r="J534" s="158"/>
      <c r="K534" s="161"/>
      <c r="L534" s="161"/>
      <c r="M534" s="158"/>
      <c r="N534" s="51" t="s">
        <v>4393</v>
      </c>
      <c r="O534" s="51" t="s">
        <v>3883</v>
      </c>
      <c r="P534" s="51" t="s">
        <v>20</v>
      </c>
      <c r="Q534" s="51" t="s">
        <v>957</v>
      </c>
      <c r="R534" s="51" t="s">
        <v>508</v>
      </c>
      <c r="S534" s="50" t="s">
        <v>950</v>
      </c>
      <c r="U534" s="52" t="s">
        <v>3515</v>
      </c>
      <c r="W534" s="52" t="s">
        <v>3516</v>
      </c>
      <c r="Z534" s="200" t="s">
        <v>2761</v>
      </c>
      <c r="AB534" s="51" t="s">
        <v>4394</v>
      </c>
      <c r="AC534" s="51" t="s">
        <v>3884</v>
      </c>
      <c r="AD534" s="51" t="s">
        <v>707</v>
      </c>
      <c r="AE534" s="51" t="s">
        <v>957</v>
      </c>
      <c r="AF534" s="51" t="s">
        <v>867</v>
      </c>
      <c r="AG534" s="50" t="s">
        <v>950</v>
      </c>
      <c r="AI534" s="52" t="s">
        <v>4297</v>
      </c>
      <c r="AK534" s="52" t="s">
        <v>4298</v>
      </c>
      <c r="AN534" s="200" t="s">
        <v>7251</v>
      </c>
      <c r="AP534" s="51" t="s">
        <v>4395</v>
      </c>
      <c r="AQ534" s="51" t="s">
        <v>3885</v>
      </c>
      <c r="AR534" s="51" t="s">
        <v>4396</v>
      </c>
      <c r="AS534" s="51" t="s">
        <v>957</v>
      </c>
      <c r="AT534" s="51" t="s">
        <v>4400</v>
      </c>
      <c r="AU534" s="50" t="s">
        <v>950</v>
      </c>
      <c r="AW534" s="52" t="s">
        <v>4297</v>
      </c>
      <c r="AY534" s="52" t="s">
        <v>4299</v>
      </c>
      <c r="BB534" s="200" t="s">
        <v>6004</v>
      </c>
    </row>
    <row r="535" spans="1:54" x14ac:dyDescent="0.25">
      <c r="A535" s="51" t="s">
        <v>3810</v>
      </c>
      <c r="B535" s="51">
        <v>73</v>
      </c>
      <c r="E535" s="54" t="str" cm="1">
        <f t="array" aca="1" ref="E535" ca="1">IF(H535=0,"",HYPERLINK("#"&amp;RIGHT(CELL("dateiname"),LEN(CELL("dateiname"))-FIND("]",CELL("dateiname")))&amp;"!"&amp;CELL("adresse",OFFSET($Q$6,H535-1,0)),"Definition"))</f>
        <v/>
      </c>
      <c r="F535" s="54" t="str" cm="1">
        <f t="array" aca="1" ref="F535" ca="1">IF(I535=0,"",HYPERLINK("#"&amp;RIGHT(CELL("adresse",OFFSET(DMAV_Doku!$B$6,I535-1,0)),LEN(CELL("adresse",OFFSET(DMAV_Doku!$B$6,I535-1,0)))-SEARCH("]",CELL("adresse",OFFSET(DMAV_Doku!$B$6,I535-1,0)))),"ModDoc"))</f>
        <v/>
      </c>
      <c r="G535" s="150" t="str">
        <f t="shared" si="16"/>
        <v>MEO73</v>
      </c>
      <c r="H535" s="150">
        <f t="shared" si="17"/>
        <v>0</v>
      </c>
      <c r="I535" s="150">
        <f>IF(_xlfn.XLOOKUP(G535,Korrelation!$A$4:$A$723,Korrelation!$B$4:$B$723,0,0)=0,0,MATCH(_xlfn.XLOOKUP(G535,Korrelation!$A$4:$A$723,Korrelation!$B$4:$B$723,0,0),DMAV_Doku!$H$6:$H$483,0))</f>
        <v>0</v>
      </c>
      <c r="J535" s="158"/>
      <c r="K535" s="161"/>
      <c r="L535" s="161"/>
      <c r="M535" s="158"/>
      <c r="N535" s="51" t="s">
        <v>4393</v>
      </c>
      <c r="O535" s="51" t="s">
        <v>3883</v>
      </c>
      <c r="P535" s="51" t="s">
        <v>20</v>
      </c>
      <c r="Q535" s="51" t="s">
        <v>967</v>
      </c>
      <c r="R535" s="51" t="s">
        <v>1134</v>
      </c>
      <c r="U535" s="52" t="s">
        <v>969</v>
      </c>
      <c r="W535" s="52" t="s">
        <v>507</v>
      </c>
      <c r="X535" s="51" t="s">
        <v>970</v>
      </c>
      <c r="AB535" s="51" t="s">
        <v>4394</v>
      </c>
      <c r="AC535" s="51" t="s">
        <v>3884</v>
      </c>
      <c r="AD535" s="51" t="s">
        <v>707</v>
      </c>
      <c r="AE535" s="51" t="s">
        <v>967</v>
      </c>
      <c r="AF535" s="51" t="s">
        <v>4401</v>
      </c>
      <c r="AI535" s="52" t="s">
        <v>1319</v>
      </c>
      <c r="AK535" s="52" t="s">
        <v>866</v>
      </c>
      <c r="AL535" s="51" t="s">
        <v>970</v>
      </c>
      <c r="AP535" s="51" t="s">
        <v>4395</v>
      </c>
      <c r="AQ535" s="51" t="s">
        <v>3885</v>
      </c>
      <c r="AR535" s="51" t="s">
        <v>4396</v>
      </c>
      <c r="AS535" s="51" t="s">
        <v>967</v>
      </c>
      <c r="AT535" s="51" t="s">
        <v>4402</v>
      </c>
      <c r="AW535" s="52" t="s">
        <v>1319</v>
      </c>
      <c r="AY535" s="52" t="s">
        <v>4399</v>
      </c>
      <c r="AZ535" s="51" t="s">
        <v>970</v>
      </c>
    </row>
    <row r="536" spans="1:54" x14ac:dyDescent="0.25">
      <c r="A536" s="51" t="s">
        <v>3810</v>
      </c>
      <c r="B536" s="51">
        <v>74</v>
      </c>
      <c r="E536" s="54" t="str" cm="1">
        <f t="array" aca="1" ref="E536" ca="1">IF(H536=0,"",HYPERLINK("#"&amp;RIGHT(CELL("dateiname"),LEN(CELL("dateiname"))-FIND("]",CELL("dateiname")))&amp;"!"&amp;CELL("adresse",OFFSET($Q$6,H536-1,0)),"Definition"))</f>
        <v/>
      </c>
      <c r="F536" s="54" t="str" cm="1">
        <f t="array" aca="1" ref="F536" ca="1">IF(I536=0,"",HYPERLINK("#"&amp;RIGHT(CELL("adresse",OFFSET(DMAV_Doku!$B$6,I536-1,0)),LEN(CELL("adresse",OFFSET(DMAV_Doku!$B$6,I536-1,0)))-SEARCH("]",CELL("adresse",OFFSET(DMAV_Doku!$B$6,I536-1,0)))),"ModDoc"))</f>
        <v/>
      </c>
      <c r="G536" s="150" t="str">
        <f t="shared" si="16"/>
        <v>MEO74</v>
      </c>
      <c r="H536" s="150">
        <f t="shared" si="17"/>
        <v>0</v>
      </c>
      <c r="I536" s="150">
        <f>IF(_xlfn.XLOOKUP(G536,Korrelation!$A$4:$A$723,Korrelation!$B$4:$B$723,0,0)=0,0,MATCH(_xlfn.XLOOKUP(G536,Korrelation!$A$4:$A$723,Korrelation!$B$4:$B$723,0,0),DMAV_Doku!$H$6:$H$483,0))</f>
        <v>0</v>
      </c>
      <c r="J536" s="158"/>
      <c r="K536" s="161"/>
      <c r="L536" s="161"/>
      <c r="M536" s="158"/>
      <c r="N536" s="51" t="s">
        <v>4393</v>
      </c>
      <c r="O536" s="51" t="s">
        <v>3883</v>
      </c>
      <c r="P536" s="51" t="s">
        <v>20</v>
      </c>
      <c r="Q536" s="51" t="s">
        <v>967</v>
      </c>
      <c r="R536" s="51" t="s">
        <v>1134</v>
      </c>
      <c r="U536" s="52" t="s">
        <v>1135</v>
      </c>
      <c r="W536" s="52" t="s">
        <v>508</v>
      </c>
      <c r="X536" s="51" t="s">
        <v>972</v>
      </c>
      <c r="AB536" s="51" t="s">
        <v>4394</v>
      </c>
      <c r="AC536" s="51" t="s">
        <v>3884</v>
      </c>
      <c r="AD536" s="51" t="s">
        <v>707</v>
      </c>
      <c r="AE536" s="51" t="s">
        <v>967</v>
      </c>
      <c r="AF536" s="51" t="s">
        <v>4401</v>
      </c>
      <c r="AI536" s="52" t="s">
        <v>4403</v>
      </c>
      <c r="AK536" s="52" t="s">
        <v>867</v>
      </c>
      <c r="AL536" s="51" t="s">
        <v>972</v>
      </c>
      <c r="AP536" s="51" t="s">
        <v>4395</v>
      </c>
      <c r="AQ536" s="51" t="s">
        <v>3885</v>
      </c>
      <c r="AR536" s="51" t="s">
        <v>4396</v>
      </c>
      <c r="AS536" s="51" t="s">
        <v>967</v>
      </c>
      <c r="AT536" s="51" t="s">
        <v>4402</v>
      </c>
      <c r="AW536" s="52" t="s">
        <v>4404</v>
      </c>
      <c r="AY536" s="52" t="s">
        <v>4400</v>
      </c>
      <c r="AZ536" s="51" t="s">
        <v>972</v>
      </c>
    </row>
    <row r="537" spans="1:54" x14ac:dyDescent="0.25">
      <c r="A537" s="51" t="s">
        <v>3810</v>
      </c>
      <c r="B537" s="51">
        <v>75</v>
      </c>
      <c r="E537" s="54" t="str" cm="1">
        <f t="array" aca="1" ref="E537" ca="1">IF(H537=0,"",HYPERLINK("#"&amp;RIGHT(CELL("dateiname"),LEN(CELL("dateiname"))-FIND("]",CELL("dateiname")))&amp;"!"&amp;CELL("adresse",OFFSET($Q$6,H537-1,0)),"Definition"))</f>
        <v/>
      </c>
      <c r="F537" s="54" t="str" cm="1">
        <f t="array" aca="1" ref="F537" ca="1">IF(I537=0,"",HYPERLINK("#"&amp;RIGHT(CELL("adresse",OFFSET(DMAV_Doku!$B$6,I537-1,0)),LEN(CELL("adresse",OFFSET(DMAV_Doku!$B$6,I537-1,0)))-SEARCH("]",CELL("adresse",OFFSET(DMAV_Doku!$B$6,I537-1,0)))),"ModDoc"))</f>
        <v>ModDoc</v>
      </c>
      <c r="G537" s="150" t="str">
        <f t="shared" si="16"/>
        <v>MEO75</v>
      </c>
      <c r="H537" s="150">
        <f t="shared" si="17"/>
        <v>0</v>
      </c>
      <c r="I537" s="150">
        <f>IF(_xlfn.XLOOKUP(G537,Korrelation!$A$4:$A$723,Korrelation!$B$4:$B$723,0,0)=0,0,MATCH(_xlfn.XLOOKUP(G537,Korrelation!$A$4:$A$723,Korrelation!$B$4:$B$723,0,0),DMAV_Doku!$H$6:$H$483,0))</f>
        <v>349</v>
      </c>
      <c r="J537" s="158"/>
      <c r="K537" s="161"/>
      <c r="L537" s="161"/>
      <c r="M537" s="158"/>
      <c r="N537" s="51" t="s">
        <v>4393</v>
      </c>
      <c r="O537" s="51" t="s">
        <v>3883</v>
      </c>
      <c r="P537" s="51" t="s">
        <v>20</v>
      </c>
      <c r="Q537" s="51" t="s">
        <v>949</v>
      </c>
      <c r="R537" s="51" t="s">
        <v>422</v>
      </c>
      <c r="U537" s="52" t="s">
        <v>121</v>
      </c>
      <c r="W537" s="52" t="s">
        <v>951</v>
      </c>
      <c r="AB537" s="51" t="s">
        <v>4394</v>
      </c>
      <c r="AC537" s="51" t="s">
        <v>3884</v>
      </c>
      <c r="AD537" s="51" t="s">
        <v>707</v>
      </c>
      <c r="AE537" s="51" t="s">
        <v>949</v>
      </c>
      <c r="AF537" s="51" t="s">
        <v>822</v>
      </c>
      <c r="AI537" s="52" t="s">
        <v>742</v>
      </c>
      <c r="AK537" s="52" t="s">
        <v>951</v>
      </c>
      <c r="AP537" s="51" t="s">
        <v>4395</v>
      </c>
      <c r="AQ537" s="51" t="s">
        <v>3885</v>
      </c>
      <c r="AR537" s="51" t="s">
        <v>4396</v>
      </c>
      <c r="AS537" s="51" t="s">
        <v>949</v>
      </c>
      <c r="AT537" s="51" t="s">
        <v>4388</v>
      </c>
      <c r="AW537" s="52" t="s">
        <v>742</v>
      </c>
      <c r="AY537" s="52" t="s">
        <v>951</v>
      </c>
    </row>
    <row r="538" spans="1:54" x14ac:dyDescent="0.25">
      <c r="A538" s="51" t="s">
        <v>3810</v>
      </c>
      <c r="B538" s="51">
        <v>76</v>
      </c>
      <c r="E538" s="54" t="str" cm="1">
        <f t="array" aca="1" ref="E538" ca="1">IF(H538=0,"",HYPERLINK("#"&amp;RIGHT(CELL("dateiname"),LEN(CELL("dateiname"))-FIND("]",CELL("dateiname")))&amp;"!"&amp;CELL("adresse",OFFSET($Q$6,H538-1,0)),"Definition"))</f>
        <v/>
      </c>
      <c r="F538" s="54" t="str" cm="1">
        <f t="array" aca="1" ref="F538" ca="1">IF(I538=0,"",HYPERLINK("#"&amp;RIGHT(CELL("adresse",OFFSET(DMAV_Doku!$B$6,I538-1,0)),LEN(CELL("adresse",OFFSET(DMAV_Doku!$B$6,I538-1,0)))-SEARCH("]",CELL("adresse",OFFSET(DMAV_Doku!$B$6,I538-1,0)))),"ModDoc"))</f>
        <v>ModDoc</v>
      </c>
      <c r="G538" s="150" t="str">
        <f t="shared" si="16"/>
        <v>MEO76</v>
      </c>
      <c r="H538" s="150">
        <f t="shared" si="17"/>
        <v>0</v>
      </c>
      <c r="I538" s="150">
        <f>IF(_xlfn.XLOOKUP(G538,Korrelation!$A$4:$A$723,Korrelation!$B$4:$B$723,0,0)=0,0,MATCH(_xlfn.XLOOKUP(G538,Korrelation!$A$4:$A$723,Korrelation!$B$4:$B$723,0,0),DMAV_Doku!$H$6:$H$483,0))</f>
        <v>350</v>
      </c>
      <c r="J538" s="158"/>
      <c r="K538" s="161"/>
      <c r="L538" s="161"/>
      <c r="M538" s="158"/>
      <c r="N538" s="51" t="s">
        <v>4393</v>
      </c>
      <c r="O538" s="51" t="s">
        <v>3883</v>
      </c>
      <c r="P538" s="51" t="s">
        <v>20</v>
      </c>
      <c r="Q538" s="51" t="s">
        <v>949</v>
      </c>
      <c r="R538" s="51" t="s">
        <v>422</v>
      </c>
      <c r="S538" s="50" t="s">
        <v>950</v>
      </c>
      <c r="U538" s="52" t="s">
        <v>123</v>
      </c>
      <c r="W538" s="52" t="s">
        <v>952</v>
      </c>
      <c r="AB538" s="51" t="s">
        <v>4394</v>
      </c>
      <c r="AC538" s="51" t="s">
        <v>3884</v>
      </c>
      <c r="AD538" s="51" t="s">
        <v>707</v>
      </c>
      <c r="AE538" s="51" t="s">
        <v>949</v>
      </c>
      <c r="AF538" s="51" t="s">
        <v>822</v>
      </c>
      <c r="AG538" s="50" t="s">
        <v>950</v>
      </c>
      <c r="AI538" s="52" t="s">
        <v>123</v>
      </c>
      <c r="AK538" s="52" t="s">
        <v>952</v>
      </c>
      <c r="AP538" s="51" t="s">
        <v>4395</v>
      </c>
      <c r="AQ538" s="51" t="s">
        <v>3885</v>
      </c>
      <c r="AR538" s="51" t="s">
        <v>4396</v>
      </c>
      <c r="AS538" s="51" t="s">
        <v>949</v>
      </c>
      <c r="AT538" s="51" t="s">
        <v>4388</v>
      </c>
      <c r="AU538" s="50" t="s">
        <v>950</v>
      </c>
      <c r="AW538" s="52" t="s">
        <v>1247</v>
      </c>
      <c r="AY538" s="52" t="s">
        <v>952</v>
      </c>
    </row>
    <row r="539" spans="1:54" x14ac:dyDescent="0.25">
      <c r="A539" s="51" t="s">
        <v>3810</v>
      </c>
      <c r="B539" s="51">
        <v>77</v>
      </c>
      <c r="C539" s="51" t="s">
        <v>3829</v>
      </c>
      <c r="E539" s="54" t="str" cm="1">
        <f t="array" aca="1" ref="E539" ca="1">IF(H539=0,"",HYPERLINK("#"&amp;RIGHT(CELL("dateiname"),LEN(CELL("dateiname"))-FIND("]",CELL("dateiname")))&amp;"!"&amp;CELL("adresse",OFFSET($Q$6,H539-1,0)),"Definition"))</f>
        <v>Definition</v>
      </c>
      <c r="F539" s="54" t="str" cm="1">
        <f t="array" aca="1" ref="F539" ca="1">IF(I539=0,"",HYPERLINK("#"&amp;RIGHT(CELL("adresse",OFFSET(DMAV_Doku!$B$6,I539-1,0)),LEN(CELL("adresse",OFFSET(DMAV_Doku!$B$6,I539-1,0)))-SEARCH("]",CELL("adresse",OFFSET(DMAV_Doku!$B$6,I539-1,0)))),"ModDoc"))</f>
        <v>ModDoc</v>
      </c>
      <c r="G539" s="150" t="str">
        <f t="shared" si="16"/>
        <v>MEO77</v>
      </c>
      <c r="H539" s="150">
        <f t="shared" si="17"/>
        <v>17</v>
      </c>
      <c r="I539" s="150">
        <f>IF(_xlfn.XLOOKUP(G539,Korrelation!$A$4:$A$723,Korrelation!$B$4:$B$723,0,0)=0,0,MATCH(_xlfn.XLOOKUP(G539,Korrelation!$A$4:$A$723,Korrelation!$B$4:$B$723,0,0),DMAV_Doku!$H$6:$H$483,0))</f>
        <v>351</v>
      </c>
      <c r="J539" s="158"/>
      <c r="K539" s="161"/>
      <c r="L539" s="161"/>
      <c r="M539" s="158"/>
      <c r="N539" s="51" t="s">
        <v>4393</v>
      </c>
      <c r="O539" s="51" t="s">
        <v>3883</v>
      </c>
      <c r="P539" s="51" t="s">
        <v>20</v>
      </c>
      <c r="Q539" s="51" t="s">
        <v>949</v>
      </c>
      <c r="R539" s="51" t="s">
        <v>422</v>
      </c>
      <c r="U539" s="52" t="s">
        <v>125</v>
      </c>
      <c r="W539" s="52" t="s">
        <v>953</v>
      </c>
      <c r="AB539" s="51" t="s">
        <v>4394</v>
      </c>
      <c r="AC539" s="51" t="s">
        <v>3884</v>
      </c>
      <c r="AD539" s="51" t="s">
        <v>707</v>
      </c>
      <c r="AE539" s="51" t="s">
        <v>949</v>
      </c>
      <c r="AF539" s="51" t="s">
        <v>822</v>
      </c>
      <c r="AI539" s="52" t="s">
        <v>743</v>
      </c>
      <c r="AK539" s="52" t="s">
        <v>4017</v>
      </c>
      <c r="AP539" s="51" t="s">
        <v>4395</v>
      </c>
      <c r="AQ539" s="51" t="s">
        <v>3885</v>
      </c>
      <c r="AR539" s="51" t="s">
        <v>4396</v>
      </c>
      <c r="AS539" s="51" t="s">
        <v>949</v>
      </c>
      <c r="AT539" s="51" t="s">
        <v>4388</v>
      </c>
      <c r="AW539" s="52" t="s">
        <v>4018</v>
      </c>
      <c r="AY539" s="52" t="s">
        <v>4019</v>
      </c>
    </row>
    <row r="540" spans="1:54" x14ac:dyDescent="0.25">
      <c r="A540" s="51" t="s">
        <v>3810</v>
      </c>
      <c r="B540" s="51">
        <v>78</v>
      </c>
      <c r="C540" s="51" t="s">
        <v>3834</v>
      </c>
      <c r="E540" s="54" t="str" cm="1">
        <f t="array" aca="1" ref="E540" ca="1">IF(H540=0,"",HYPERLINK("#"&amp;RIGHT(CELL("dateiname"),LEN(CELL("dateiname"))-FIND("]",CELL("dateiname")))&amp;"!"&amp;CELL("adresse",OFFSET($Q$6,H540-1,0)),"Definition"))</f>
        <v>Definition</v>
      </c>
      <c r="F540" s="54" t="str" cm="1">
        <f t="array" aca="1" ref="F540" ca="1">IF(I540=0,"",HYPERLINK("#"&amp;RIGHT(CELL("adresse",OFFSET(DMAV_Doku!$B$6,I540-1,0)),LEN(CELL("adresse",OFFSET(DMAV_Doku!$B$6,I540-1,0)))-SEARCH("]",CELL("adresse",OFFSET(DMAV_Doku!$B$6,I540-1,0)))),"ModDoc"))</f>
        <v>ModDoc</v>
      </c>
      <c r="G540" s="150" t="str">
        <f t="shared" si="16"/>
        <v>MEO78</v>
      </c>
      <c r="H540" s="150">
        <f t="shared" si="17"/>
        <v>40</v>
      </c>
      <c r="I540" s="150">
        <f>IF(_xlfn.XLOOKUP(G540,Korrelation!$A$4:$A$723,Korrelation!$B$4:$B$723,0,0)=0,0,MATCH(_xlfn.XLOOKUP(G540,Korrelation!$A$4:$A$723,Korrelation!$B$4:$B$723,0,0),DMAV_Doku!$H$6:$H$483,0))</f>
        <v>352</v>
      </c>
      <c r="J540" s="158"/>
      <c r="K540" s="161"/>
      <c r="L540" s="161"/>
      <c r="M540" s="158"/>
      <c r="N540" s="51" t="s">
        <v>4393</v>
      </c>
      <c r="O540" s="51" t="s">
        <v>3883</v>
      </c>
      <c r="P540" s="51" t="s">
        <v>20</v>
      </c>
      <c r="Q540" s="51" t="s">
        <v>949</v>
      </c>
      <c r="R540" s="51" t="s">
        <v>422</v>
      </c>
      <c r="S540" s="50" t="s">
        <v>950</v>
      </c>
      <c r="U540" s="52" t="s">
        <v>128</v>
      </c>
      <c r="W540" s="52" t="s">
        <v>954</v>
      </c>
      <c r="AB540" s="51" t="s">
        <v>4394</v>
      </c>
      <c r="AC540" s="51" t="s">
        <v>3884</v>
      </c>
      <c r="AD540" s="51" t="s">
        <v>707</v>
      </c>
      <c r="AE540" s="51" t="s">
        <v>949</v>
      </c>
      <c r="AF540" s="51" t="s">
        <v>822</v>
      </c>
      <c r="AG540" s="50" t="s">
        <v>950</v>
      </c>
      <c r="AI540" s="52" t="s">
        <v>744</v>
      </c>
      <c r="AK540" s="52" t="s">
        <v>4020</v>
      </c>
      <c r="AP540" s="51" t="s">
        <v>4395</v>
      </c>
      <c r="AQ540" s="51" t="s">
        <v>3885</v>
      </c>
      <c r="AR540" s="51" t="s">
        <v>4396</v>
      </c>
      <c r="AS540" s="51" t="s">
        <v>949</v>
      </c>
      <c r="AT540" s="51" t="s">
        <v>4388</v>
      </c>
      <c r="AU540" s="50" t="s">
        <v>950</v>
      </c>
      <c r="AW540" s="52" t="s">
        <v>4021</v>
      </c>
      <c r="AY540" s="52" t="s">
        <v>4022</v>
      </c>
    </row>
    <row r="541" spans="1:54" x14ac:dyDescent="0.25">
      <c r="A541" s="51" t="s">
        <v>3810</v>
      </c>
      <c r="B541" s="51">
        <v>79</v>
      </c>
      <c r="C541" s="51" t="s">
        <v>3835</v>
      </c>
      <c r="E541" s="54" t="str" cm="1">
        <f t="array" aca="1" ref="E541" ca="1">IF(H541=0,"",HYPERLINK("#"&amp;RIGHT(CELL("dateiname"),LEN(CELL("dateiname"))-FIND("]",CELL("dateiname")))&amp;"!"&amp;CELL("adresse",OFFSET($Q$6,H541-1,0)),"Definition"))</f>
        <v>Definition</v>
      </c>
      <c r="F541" s="54" t="str" cm="1">
        <f t="array" aca="1" ref="F541" ca="1">IF(I541=0,"",HYPERLINK("#"&amp;RIGHT(CELL("adresse",OFFSET(DMAV_Doku!$B$6,I541-1,0)),LEN(CELL("adresse",OFFSET(DMAV_Doku!$B$6,I541-1,0)))-SEARCH("]",CELL("adresse",OFFSET(DMAV_Doku!$B$6,I541-1,0)))),"ModDoc"))</f>
        <v>ModDoc</v>
      </c>
      <c r="G541" s="150" t="str">
        <f t="shared" si="16"/>
        <v>MEO79</v>
      </c>
      <c r="H541" s="150">
        <f t="shared" si="17"/>
        <v>41</v>
      </c>
      <c r="I541" s="150">
        <f>IF(_xlfn.XLOOKUP(G541,Korrelation!$A$4:$A$723,Korrelation!$B$4:$B$723,0,0)=0,0,MATCH(_xlfn.XLOOKUP(G541,Korrelation!$A$4:$A$723,Korrelation!$B$4:$B$723,0,0),DMAV_Doku!$H$6:$H$483,0))</f>
        <v>353</v>
      </c>
      <c r="J541" s="158"/>
      <c r="K541" s="161"/>
      <c r="L541" s="161"/>
      <c r="M541" s="158"/>
      <c r="N541" s="51" t="s">
        <v>4393</v>
      </c>
      <c r="O541" s="51" t="s">
        <v>3883</v>
      </c>
      <c r="P541" s="51" t="s">
        <v>20</v>
      </c>
      <c r="Q541" s="51" t="s">
        <v>949</v>
      </c>
      <c r="R541" s="51" t="s">
        <v>422</v>
      </c>
      <c r="S541" s="50" t="s">
        <v>950</v>
      </c>
      <c r="U541" s="52" t="s">
        <v>130</v>
      </c>
      <c r="W541" s="52" t="s">
        <v>955</v>
      </c>
      <c r="AB541" s="51" t="s">
        <v>4394</v>
      </c>
      <c r="AC541" s="51" t="s">
        <v>3884</v>
      </c>
      <c r="AD541" s="51" t="s">
        <v>707</v>
      </c>
      <c r="AE541" s="51" t="s">
        <v>949</v>
      </c>
      <c r="AF541" s="51" t="s">
        <v>822</v>
      </c>
      <c r="AG541" s="50" t="s">
        <v>950</v>
      </c>
      <c r="AI541" s="52" t="s">
        <v>745</v>
      </c>
      <c r="AK541" s="52" t="s">
        <v>4023</v>
      </c>
      <c r="AP541" s="51" t="s">
        <v>4395</v>
      </c>
      <c r="AQ541" s="51" t="s">
        <v>3885</v>
      </c>
      <c r="AR541" s="51" t="s">
        <v>4396</v>
      </c>
      <c r="AS541" s="51" t="s">
        <v>949</v>
      </c>
      <c r="AT541" s="51" t="s">
        <v>4388</v>
      </c>
      <c r="AU541" s="50" t="s">
        <v>950</v>
      </c>
      <c r="AW541" s="52" t="s">
        <v>4024</v>
      </c>
      <c r="AY541" s="52" t="s">
        <v>4025</v>
      </c>
    </row>
    <row r="542" spans="1:54" x14ac:dyDescent="0.25">
      <c r="A542" s="51" t="s">
        <v>3810</v>
      </c>
      <c r="B542" s="51">
        <v>80</v>
      </c>
      <c r="C542" s="51" t="s">
        <v>3834</v>
      </c>
      <c r="E542" s="54" t="str" cm="1">
        <f t="array" aca="1" ref="E542" ca="1">IF(H542=0,"",HYPERLINK("#"&amp;RIGHT(CELL("dateiname"),LEN(CELL("dateiname"))-FIND("]",CELL("dateiname")))&amp;"!"&amp;CELL("adresse",OFFSET($Q$6,H542-1,0)),"Definition"))</f>
        <v>Definition</v>
      </c>
      <c r="F542" s="54" t="str" cm="1">
        <f t="array" aca="1" ref="F542" ca="1">IF(I542=0,"",HYPERLINK("#"&amp;RIGHT(CELL("adresse",OFFSET(DMAV_Doku!$B$6,I542-1,0)),LEN(CELL("adresse",OFFSET(DMAV_Doku!$B$6,I542-1,0)))-SEARCH("]",CELL("adresse",OFFSET(DMAV_Doku!$B$6,I542-1,0)))),"ModDoc"))</f>
        <v>ModDoc</v>
      </c>
      <c r="G542" s="150" t="str">
        <f t="shared" si="16"/>
        <v>MEO80</v>
      </c>
      <c r="H542" s="150">
        <f t="shared" si="17"/>
        <v>40</v>
      </c>
      <c r="I542" s="150">
        <f>IF(_xlfn.XLOOKUP(G542,Korrelation!$A$4:$A$723,Korrelation!$B$4:$B$723,0,0)=0,0,MATCH(_xlfn.XLOOKUP(G542,Korrelation!$A$4:$A$723,Korrelation!$B$4:$B$723,0,0),DMAV_Doku!$H$6:$H$483,0))</f>
        <v>354</v>
      </c>
      <c r="J542" s="158"/>
      <c r="K542" s="161"/>
      <c r="L542" s="161"/>
      <c r="M542" s="158"/>
      <c r="N542" s="51" t="s">
        <v>4393</v>
      </c>
      <c r="O542" s="51" t="s">
        <v>3883</v>
      </c>
      <c r="P542" s="51" t="s">
        <v>20</v>
      </c>
      <c r="Q542" s="51" t="s">
        <v>949</v>
      </c>
      <c r="R542" s="51" t="s">
        <v>422</v>
      </c>
      <c r="U542" s="52" t="s">
        <v>132</v>
      </c>
      <c r="W542" s="52" t="s">
        <v>954</v>
      </c>
      <c r="AB542" s="51" t="s">
        <v>4394</v>
      </c>
      <c r="AC542" s="51" t="s">
        <v>3884</v>
      </c>
      <c r="AD542" s="51" t="s">
        <v>707</v>
      </c>
      <c r="AE542" s="51" t="s">
        <v>949</v>
      </c>
      <c r="AF542" s="51" t="s">
        <v>822</v>
      </c>
      <c r="AI542" s="52" t="s">
        <v>746</v>
      </c>
      <c r="AK542" s="52" t="s">
        <v>4020</v>
      </c>
      <c r="AP542" s="51" t="s">
        <v>4395</v>
      </c>
      <c r="AQ542" s="51" t="s">
        <v>3885</v>
      </c>
      <c r="AR542" s="51" t="s">
        <v>4396</v>
      </c>
      <c r="AS542" s="51" t="s">
        <v>949</v>
      </c>
      <c r="AT542" s="51" t="s">
        <v>4388</v>
      </c>
      <c r="AW542" s="52" t="s">
        <v>4026</v>
      </c>
      <c r="AY542" s="52" t="s">
        <v>4022</v>
      </c>
    </row>
    <row r="543" spans="1:54" x14ac:dyDescent="0.25">
      <c r="A543" s="51" t="s">
        <v>3810</v>
      </c>
      <c r="B543" s="51">
        <v>81</v>
      </c>
      <c r="C543" s="51" t="s">
        <v>3835</v>
      </c>
      <c r="E543" s="54" t="str" cm="1">
        <f t="array" aca="1" ref="E543" ca="1">IF(H543=0,"",HYPERLINK("#"&amp;RIGHT(CELL("dateiname"),LEN(CELL("dateiname"))-FIND("]",CELL("dateiname")))&amp;"!"&amp;CELL("adresse",OFFSET($Q$6,H543-1,0)),"Definition"))</f>
        <v>Definition</v>
      </c>
      <c r="F543" s="54" t="str" cm="1">
        <f t="array" aca="1" ref="F543" ca="1">IF(I543=0,"",HYPERLINK("#"&amp;RIGHT(CELL("adresse",OFFSET(DMAV_Doku!$B$6,I543-1,0)),LEN(CELL("adresse",OFFSET(DMAV_Doku!$B$6,I543-1,0)))-SEARCH("]",CELL("adresse",OFFSET(DMAV_Doku!$B$6,I543-1,0)))),"ModDoc"))</f>
        <v>ModDoc</v>
      </c>
      <c r="G543" s="150" t="str">
        <f t="shared" si="16"/>
        <v>MEO81</v>
      </c>
      <c r="H543" s="150">
        <f t="shared" si="17"/>
        <v>41</v>
      </c>
      <c r="I543" s="150">
        <f>IF(_xlfn.XLOOKUP(G543,Korrelation!$A$4:$A$723,Korrelation!$B$4:$B$723,0,0)=0,0,MATCH(_xlfn.XLOOKUP(G543,Korrelation!$A$4:$A$723,Korrelation!$B$4:$B$723,0,0),DMAV_Doku!$H$6:$H$483,0))</f>
        <v>355</v>
      </c>
      <c r="J543" s="158"/>
      <c r="K543" s="161"/>
      <c r="L543" s="161"/>
      <c r="M543" s="158"/>
      <c r="N543" s="51" t="s">
        <v>4393</v>
      </c>
      <c r="O543" s="51" t="s">
        <v>3883</v>
      </c>
      <c r="P543" s="51" t="s">
        <v>20</v>
      </c>
      <c r="Q543" s="51" t="s">
        <v>949</v>
      </c>
      <c r="R543" s="51" t="s">
        <v>422</v>
      </c>
      <c r="U543" s="52" t="s">
        <v>133</v>
      </c>
      <c r="W543" s="52" t="s">
        <v>955</v>
      </c>
      <c r="AB543" s="51" t="s">
        <v>4394</v>
      </c>
      <c r="AC543" s="51" t="s">
        <v>3884</v>
      </c>
      <c r="AD543" s="51" t="s">
        <v>707</v>
      </c>
      <c r="AE543" s="51" t="s">
        <v>949</v>
      </c>
      <c r="AF543" s="51" t="s">
        <v>822</v>
      </c>
      <c r="AI543" s="52" t="s">
        <v>747</v>
      </c>
      <c r="AK543" s="52" t="s">
        <v>4023</v>
      </c>
      <c r="AP543" s="51" t="s">
        <v>4395</v>
      </c>
      <c r="AQ543" s="51" t="s">
        <v>3885</v>
      </c>
      <c r="AR543" s="51" t="s">
        <v>4396</v>
      </c>
      <c r="AS543" s="51" t="s">
        <v>949</v>
      </c>
      <c r="AT543" s="51" t="s">
        <v>4388</v>
      </c>
      <c r="AW543" s="52" t="s">
        <v>4027</v>
      </c>
      <c r="AY543" s="52" t="s">
        <v>4025</v>
      </c>
    </row>
    <row r="544" spans="1:54" x14ac:dyDescent="0.25">
      <c r="A544" s="51" t="s">
        <v>3810</v>
      </c>
      <c r="B544" s="51">
        <v>82</v>
      </c>
      <c r="E544" s="54" t="str" cm="1">
        <f t="array" aca="1" ref="E544" ca="1">IF(H544=0,"",HYPERLINK("#"&amp;RIGHT(CELL("dateiname"),LEN(CELL("dateiname"))-FIND("]",CELL("dateiname")))&amp;"!"&amp;CELL("adresse",OFFSET($Q$6,H544-1,0)),"Definition"))</f>
        <v/>
      </c>
      <c r="F544" s="54" t="str" cm="1">
        <f t="array" aca="1" ref="F544" ca="1">IF(I544=0,"",HYPERLINK("#"&amp;RIGHT(CELL("adresse",OFFSET(DMAV_Doku!$B$6,I544-1,0)),LEN(CELL("adresse",OFFSET(DMAV_Doku!$B$6,I544-1,0)))-SEARCH("]",CELL("adresse",OFFSET(DMAV_Doku!$B$6,I544-1,0)))),"ModDoc"))</f>
        <v>ModDoc</v>
      </c>
      <c r="G544" s="150" t="str">
        <f t="shared" si="16"/>
        <v>MEO82</v>
      </c>
      <c r="H544" s="150">
        <f t="shared" si="17"/>
        <v>0</v>
      </c>
      <c r="I544" s="150">
        <f>IF(_xlfn.XLOOKUP(G544,Korrelation!$A$4:$A$723,Korrelation!$B$4:$B$723,0,0)=0,0,MATCH(_xlfn.XLOOKUP(G544,Korrelation!$A$4:$A$723,Korrelation!$B$4:$B$723,0,0),DMAV_Doku!$H$6:$H$483,0))</f>
        <v>356</v>
      </c>
      <c r="J544" s="158"/>
      <c r="K544" s="161"/>
      <c r="L544" s="161"/>
      <c r="M544" s="158"/>
      <c r="N544" s="51" t="s">
        <v>4393</v>
      </c>
      <c r="O544" s="51" t="s">
        <v>3883</v>
      </c>
      <c r="P544" s="51" t="s">
        <v>20</v>
      </c>
      <c r="Q544" s="51" t="s">
        <v>949</v>
      </c>
      <c r="R544" s="51" t="s">
        <v>422</v>
      </c>
      <c r="S544" s="50" t="s">
        <v>950</v>
      </c>
      <c r="U544" s="52" t="s">
        <v>297</v>
      </c>
      <c r="W544" s="52" t="s">
        <v>131</v>
      </c>
      <c r="AB544" s="51" t="s">
        <v>4394</v>
      </c>
      <c r="AC544" s="51" t="s">
        <v>3884</v>
      </c>
      <c r="AD544" s="51" t="s">
        <v>707</v>
      </c>
      <c r="AE544" s="51" t="s">
        <v>949</v>
      </c>
      <c r="AF544" s="51" t="s">
        <v>822</v>
      </c>
      <c r="AG544" s="50" t="s">
        <v>950</v>
      </c>
      <c r="AI544" s="52" t="s">
        <v>797</v>
      </c>
      <c r="AK544" s="52" t="s">
        <v>131</v>
      </c>
      <c r="AP544" s="51" t="s">
        <v>4395</v>
      </c>
      <c r="AQ544" s="51" t="s">
        <v>3885</v>
      </c>
      <c r="AR544" s="51" t="s">
        <v>4396</v>
      </c>
      <c r="AS544" s="51" t="s">
        <v>949</v>
      </c>
      <c r="AT544" s="51" t="s">
        <v>4388</v>
      </c>
      <c r="AU544" s="50" t="s">
        <v>950</v>
      </c>
      <c r="AW544" s="52" t="s">
        <v>4188</v>
      </c>
      <c r="AY544" s="52" t="s">
        <v>131</v>
      </c>
    </row>
    <row r="545" spans="1:54" ht="51" x14ac:dyDescent="0.25">
      <c r="A545" s="51" t="s">
        <v>3810</v>
      </c>
      <c r="B545" s="51">
        <v>83</v>
      </c>
      <c r="D545" s="51" t="s">
        <v>3535</v>
      </c>
      <c r="E545" s="54" t="str" cm="1">
        <f t="array" aca="1" ref="E545" ca="1">IF(H545=0,"",HYPERLINK("#"&amp;RIGHT(CELL("dateiname"),LEN(CELL("dateiname"))-FIND("]",CELL("dateiname")))&amp;"!"&amp;CELL("adresse",OFFSET($Q$6,H545-1,0)),"Definition"))</f>
        <v/>
      </c>
      <c r="F545" s="54" t="str" cm="1">
        <f t="array" aca="1" ref="F545" ca="1">IF(I545=0,"",HYPERLINK("#"&amp;RIGHT(CELL("adresse",OFFSET(DMAV_Doku!$B$6,I545-1,0)),LEN(CELL("adresse",OFFSET(DMAV_Doku!$B$6,I545-1,0)))-SEARCH("]",CELL("adresse",OFFSET(DMAV_Doku!$B$6,I545-1,0)))),"ModDoc"))</f>
        <v/>
      </c>
      <c r="G545" s="150" t="str">
        <f t="shared" si="16"/>
        <v>MEO83</v>
      </c>
      <c r="H545" s="150">
        <f t="shared" si="17"/>
        <v>0</v>
      </c>
      <c r="I545" s="150">
        <f>IF(_xlfn.XLOOKUP(G545,Korrelation!$A$4:$A$723,Korrelation!$B$4:$B$723,0,0)=0,0,MATCH(_xlfn.XLOOKUP(G545,Korrelation!$A$4:$A$723,Korrelation!$B$4:$B$723,0,0),DMAV_Doku!$H$6:$H$483,0))</f>
        <v>0</v>
      </c>
      <c r="J545" s="158"/>
      <c r="K545" s="161"/>
      <c r="L545" s="161"/>
      <c r="M545" s="158"/>
      <c r="N545" s="51" t="s">
        <v>4393</v>
      </c>
      <c r="O545" s="51" t="s">
        <v>3883</v>
      </c>
      <c r="P545" s="51" t="s">
        <v>20</v>
      </c>
      <c r="Q545" s="51" t="s">
        <v>957</v>
      </c>
      <c r="R545" s="51" t="s">
        <v>422</v>
      </c>
      <c r="S545" s="50" t="s">
        <v>950</v>
      </c>
      <c r="U545" s="52" t="s">
        <v>2751</v>
      </c>
      <c r="W545" s="52" t="s">
        <v>3420</v>
      </c>
      <c r="Z545" s="52" t="s">
        <v>3660</v>
      </c>
      <c r="AB545" s="51" t="s">
        <v>4394</v>
      </c>
      <c r="AC545" s="51" t="s">
        <v>3884</v>
      </c>
      <c r="AD545" s="51" t="s">
        <v>707</v>
      </c>
      <c r="AE545" s="51" t="s">
        <v>957</v>
      </c>
      <c r="AF545" s="51" t="s">
        <v>822</v>
      </c>
      <c r="AG545" s="50" t="s">
        <v>950</v>
      </c>
      <c r="AI545" s="52" t="s">
        <v>4038</v>
      </c>
      <c r="AK545" s="52" t="s">
        <v>4039</v>
      </c>
      <c r="AN545" s="52" t="s">
        <v>7251</v>
      </c>
      <c r="AP545" s="51" t="s">
        <v>4395</v>
      </c>
      <c r="AQ545" s="51" t="s">
        <v>3885</v>
      </c>
      <c r="AR545" s="51" t="s">
        <v>4396</v>
      </c>
      <c r="AS545" s="51" t="s">
        <v>957</v>
      </c>
      <c r="AT545" s="51" t="s">
        <v>4388</v>
      </c>
      <c r="AU545" s="50" t="s">
        <v>950</v>
      </c>
      <c r="AW545" s="52" t="s">
        <v>4038</v>
      </c>
      <c r="AY545" s="52" t="s">
        <v>4040</v>
      </c>
      <c r="BB545" s="52" t="s">
        <v>6020</v>
      </c>
    </row>
    <row r="546" spans="1:54" ht="51" x14ac:dyDescent="0.25">
      <c r="A546" s="51" t="s">
        <v>3810</v>
      </c>
      <c r="B546" s="51">
        <v>84</v>
      </c>
      <c r="D546" s="51" t="s">
        <v>3536</v>
      </c>
      <c r="E546" s="54" t="str" cm="1">
        <f t="array" aca="1" ref="E546" ca="1">IF(H546=0,"",HYPERLINK("#"&amp;RIGHT(CELL("dateiname"),LEN(CELL("dateiname"))-FIND("]",CELL("dateiname")))&amp;"!"&amp;CELL("adresse",OFFSET($Q$6,H546-1,0)),"Definition"))</f>
        <v/>
      </c>
      <c r="F546" s="54" t="str" cm="1">
        <f t="array" aca="1" ref="F546" ca="1">IF(I546=0,"",HYPERLINK("#"&amp;RIGHT(CELL("adresse",OFFSET(DMAV_Doku!$B$6,I546-1,0)),LEN(CELL("adresse",OFFSET(DMAV_Doku!$B$6,I546-1,0)))-SEARCH("]",CELL("adresse",OFFSET(DMAV_Doku!$B$6,I546-1,0)))),"ModDoc"))</f>
        <v/>
      </c>
      <c r="G546" s="150" t="str">
        <f t="shared" si="16"/>
        <v>MEO84</v>
      </c>
      <c r="H546" s="150">
        <f t="shared" si="17"/>
        <v>0</v>
      </c>
      <c r="I546" s="150">
        <f>IF(_xlfn.XLOOKUP(G546,Korrelation!$A$4:$A$723,Korrelation!$B$4:$B$723,0,0)=0,0,MATCH(_xlfn.XLOOKUP(G546,Korrelation!$A$4:$A$723,Korrelation!$B$4:$B$723,0,0),DMAV_Doku!$H$6:$H$483,0))</f>
        <v>0</v>
      </c>
      <c r="J546" s="158"/>
      <c r="K546" s="161"/>
      <c r="L546" s="161"/>
      <c r="M546" s="158"/>
      <c r="N546" s="51" t="s">
        <v>4393</v>
      </c>
      <c r="O546" s="51" t="s">
        <v>3883</v>
      </c>
      <c r="P546" s="51" t="s">
        <v>20</v>
      </c>
      <c r="Q546" s="51" t="s">
        <v>957</v>
      </c>
      <c r="R546" s="51" t="s">
        <v>422</v>
      </c>
      <c r="S546" s="50" t="s">
        <v>950</v>
      </c>
      <c r="U546" s="52" t="s">
        <v>2751</v>
      </c>
      <c r="W546" s="52" t="s">
        <v>3422</v>
      </c>
      <c r="Z546" s="52" t="s">
        <v>3661</v>
      </c>
      <c r="AB546" s="51" t="s">
        <v>4394</v>
      </c>
      <c r="AC546" s="51" t="s">
        <v>3884</v>
      </c>
      <c r="AD546" s="51" t="s">
        <v>707</v>
      </c>
      <c r="AE546" s="51" t="s">
        <v>957</v>
      </c>
      <c r="AF546" s="51" t="s">
        <v>822</v>
      </c>
      <c r="AG546" s="50" t="s">
        <v>950</v>
      </c>
      <c r="AI546" s="52" t="s">
        <v>4038</v>
      </c>
      <c r="AK546" s="52" t="s">
        <v>4041</v>
      </c>
      <c r="AN546" s="52" t="s">
        <v>7251</v>
      </c>
      <c r="AP546" s="51" t="s">
        <v>4395</v>
      </c>
      <c r="AQ546" s="51" t="s">
        <v>3885</v>
      </c>
      <c r="AR546" s="51" t="s">
        <v>4396</v>
      </c>
      <c r="AS546" s="51" t="s">
        <v>957</v>
      </c>
      <c r="AT546" s="51" t="s">
        <v>4388</v>
      </c>
      <c r="AU546" s="50" t="s">
        <v>950</v>
      </c>
      <c r="AW546" s="52" t="s">
        <v>4038</v>
      </c>
      <c r="AY546" s="52" t="s">
        <v>4042</v>
      </c>
      <c r="BB546" s="52" t="s">
        <v>6021</v>
      </c>
    </row>
    <row r="547" spans="1:54" x14ac:dyDescent="0.25">
      <c r="A547" s="51" t="s">
        <v>3810</v>
      </c>
      <c r="B547" s="51">
        <v>85</v>
      </c>
      <c r="E547" s="54" t="str" cm="1">
        <f t="array" aca="1" ref="E547" ca="1">IF(H547=0,"",HYPERLINK("#"&amp;RIGHT(CELL("dateiname"),LEN(CELL("dateiname"))-FIND("]",CELL("dateiname")))&amp;"!"&amp;CELL("adresse",OFFSET($Q$6,H547-1,0)),"Definition"))</f>
        <v/>
      </c>
      <c r="F547" s="54" t="str" cm="1">
        <f t="array" aca="1" ref="F547" ca="1">IF(I547=0,"",HYPERLINK("#"&amp;RIGHT(CELL("adresse",OFFSET(DMAV_Doku!$B$6,I547-1,0)),LEN(CELL("adresse",OFFSET(DMAV_Doku!$B$6,I547-1,0)))-SEARCH("]",CELL("adresse",OFFSET(DMAV_Doku!$B$6,I547-1,0)))),"ModDoc"))</f>
        <v/>
      </c>
      <c r="G547" s="150" t="str">
        <f t="shared" si="16"/>
        <v>MEO85</v>
      </c>
      <c r="H547" s="150">
        <f t="shared" si="17"/>
        <v>0</v>
      </c>
      <c r="I547" s="150">
        <f>IF(_xlfn.XLOOKUP(G547,Korrelation!$A$4:$A$723,Korrelation!$B$4:$B$723,0,0)=0,0,MATCH(_xlfn.XLOOKUP(G547,Korrelation!$A$4:$A$723,Korrelation!$B$4:$B$723,0,0),DMAV_Doku!$H$6:$H$483,0))</f>
        <v>0</v>
      </c>
      <c r="J547" s="158"/>
      <c r="K547" s="161"/>
      <c r="L547" s="161"/>
      <c r="M547" s="158"/>
      <c r="N547" s="51" t="s">
        <v>4393</v>
      </c>
      <c r="O547" s="51" t="s">
        <v>3883</v>
      </c>
      <c r="P547" s="51" t="s">
        <v>20</v>
      </c>
      <c r="Q547" s="51" t="s">
        <v>967</v>
      </c>
      <c r="R547" s="51" t="s">
        <v>1131</v>
      </c>
      <c r="U547" s="52" t="s">
        <v>969</v>
      </c>
      <c r="W547" s="52" t="s">
        <v>507</v>
      </c>
      <c r="X547" s="51" t="s">
        <v>975</v>
      </c>
      <c r="AB547" s="51" t="s">
        <v>4394</v>
      </c>
      <c r="AC547" s="51" t="s">
        <v>3884</v>
      </c>
      <c r="AD547" s="51" t="s">
        <v>707</v>
      </c>
      <c r="AE547" s="51" t="s">
        <v>967</v>
      </c>
      <c r="AF547" s="51" t="s">
        <v>4389</v>
      </c>
      <c r="AI547" s="52" t="s">
        <v>1319</v>
      </c>
      <c r="AK547" s="52" t="s">
        <v>866</v>
      </c>
      <c r="AL547" s="51" t="s">
        <v>975</v>
      </c>
      <c r="AP547" s="51" t="s">
        <v>4395</v>
      </c>
      <c r="AQ547" s="51" t="s">
        <v>3885</v>
      </c>
      <c r="AR547" s="51" t="s">
        <v>4396</v>
      </c>
      <c r="AS547" s="51" t="s">
        <v>967</v>
      </c>
      <c r="AT547" s="51" t="s">
        <v>4390</v>
      </c>
      <c r="AW547" s="52" t="s">
        <v>1319</v>
      </c>
      <c r="AY547" s="52" t="s">
        <v>4399</v>
      </c>
      <c r="AZ547" s="51" t="s">
        <v>975</v>
      </c>
    </row>
    <row r="548" spans="1:54" x14ac:dyDescent="0.25">
      <c r="A548" s="51" t="s">
        <v>3810</v>
      </c>
      <c r="B548" s="51">
        <v>86</v>
      </c>
      <c r="E548" s="54" t="str" cm="1">
        <f t="array" aca="1" ref="E548" ca="1">IF(H548=0,"",HYPERLINK("#"&amp;RIGHT(CELL("dateiname"),LEN(CELL("dateiname"))-FIND("]",CELL("dateiname")))&amp;"!"&amp;CELL("adresse",OFFSET($Q$6,H548-1,0)),"Definition"))</f>
        <v/>
      </c>
      <c r="F548" s="54" t="str" cm="1">
        <f t="array" aca="1" ref="F548" ca="1">IF(I548=0,"",HYPERLINK("#"&amp;RIGHT(CELL("adresse",OFFSET(DMAV_Doku!$B$6,I548-1,0)),LEN(CELL("adresse",OFFSET(DMAV_Doku!$B$6,I548-1,0)))-SEARCH("]",CELL("adresse",OFFSET(DMAV_Doku!$B$6,I548-1,0)))),"ModDoc"))</f>
        <v/>
      </c>
      <c r="G548" s="150" t="str">
        <f t="shared" si="16"/>
        <v>MEO86</v>
      </c>
      <c r="H548" s="150">
        <f t="shared" si="17"/>
        <v>0</v>
      </c>
      <c r="I548" s="150">
        <f>IF(_xlfn.XLOOKUP(G548,Korrelation!$A$4:$A$723,Korrelation!$B$4:$B$723,0,0)=0,0,MATCH(_xlfn.XLOOKUP(G548,Korrelation!$A$4:$A$723,Korrelation!$B$4:$B$723,0,0),DMAV_Doku!$H$6:$H$483,0))</f>
        <v>0</v>
      </c>
      <c r="J548" s="158"/>
      <c r="K548" s="161"/>
      <c r="L548" s="161"/>
      <c r="M548" s="158"/>
      <c r="N548" s="51" t="s">
        <v>4393</v>
      </c>
      <c r="O548" s="51" t="s">
        <v>3883</v>
      </c>
      <c r="P548" s="51" t="s">
        <v>20</v>
      </c>
      <c r="Q548" s="51" t="s">
        <v>967</v>
      </c>
      <c r="R548" s="51" t="s">
        <v>1131</v>
      </c>
      <c r="U548" s="52" t="s">
        <v>1132</v>
      </c>
      <c r="W548" s="52" t="s">
        <v>422</v>
      </c>
      <c r="X548" s="51" t="s">
        <v>972</v>
      </c>
      <c r="AB548" s="51" t="s">
        <v>4394</v>
      </c>
      <c r="AC548" s="51" t="s">
        <v>3884</v>
      </c>
      <c r="AD548" s="51" t="s">
        <v>707</v>
      </c>
      <c r="AE548" s="51" t="s">
        <v>967</v>
      </c>
      <c r="AF548" s="51" t="s">
        <v>4389</v>
      </c>
      <c r="AI548" s="52" t="s">
        <v>4391</v>
      </c>
      <c r="AK548" s="52" t="s">
        <v>822</v>
      </c>
      <c r="AL548" s="51" t="s">
        <v>972</v>
      </c>
      <c r="AP548" s="51" t="s">
        <v>4395</v>
      </c>
      <c r="AQ548" s="51" t="s">
        <v>3885</v>
      </c>
      <c r="AR548" s="51" t="s">
        <v>4396</v>
      </c>
      <c r="AS548" s="51" t="s">
        <v>967</v>
      </c>
      <c r="AT548" s="51" t="s">
        <v>4390</v>
      </c>
      <c r="AW548" s="52" t="s">
        <v>4392</v>
      </c>
      <c r="AY548" s="52" t="s">
        <v>4388</v>
      </c>
      <c r="AZ548" s="51" t="s">
        <v>972</v>
      </c>
    </row>
    <row r="549" spans="1:54" x14ac:dyDescent="0.25">
      <c r="A549" s="51" t="s">
        <v>3811</v>
      </c>
      <c r="B549" s="51">
        <v>1</v>
      </c>
      <c r="E549" s="54" t="str" cm="1">
        <f t="array" aca="1" ref="E549" ca="1">IF(H549=0,"",HYPERLINK("#"&amp;RIGHT(CELL("dateiname"),LEN(CELL("dateiname"))-FIND("]",CELL("dateiname")))&amp;"!"&amp;CELL("adresse",OFFSET($Q$6,H549-1,0)),"Definition"))</f>
        <v/>
      </c>
      <c r="F549" s="54" t="str" cm="1">
        <f t="array" aca="1" ref="F549" ca="1">IF(I549=0,"",HYPERLINK("#"&amp;RIGHT(CELL("adresse",OFFSET(DMAV_Doku!$B$6,I549-1,0)),LEN(CELL("adresse",OFFSET(DMAV_Doku!$B$6,I549-1,0)))-SEARCH("]",CELL("adresse",OFFSET(DMAV_Doku!$B$6,I549-1,0)))),"ModDoc"))</f>
        <v/>
      </c>
      <c r="G549" s="150" t="str">
        <f t="shared" si="16"/>
        <v>MRL1</v>
      </c>
      <c r="H549" s="150">
        <f t="shared" si="17"/>
        <v>0</v>
      </c>
      <c r="I549" s="150">
        <f>IF(_xlfn.XLOOKUP(G549,Korrelation!$A$4:$A$723,Korrelation!$B$4:$B$723,0,0)=0,0,MATCH(_xlfn.XLOOKUP(G549,Korrelation!$A$4:$A$723,Korrelation!$B$4:$B$723,0,0),DMAV_Doku!$H$6:$H$483,0))</f>
        <v>0</v>
      </c>
      <c r="J549" s="158"/>
      <c r="K549" s="161"/>
      <c r="L549" s="161"/>
      <c r="M549" s="158"/>
      <c r="N549" s="51" t="s">
        <v>4405</v>
      </c>
      <c r="O549" s="51" t="s">
        <v>3900</v>
      </c>
      <c r="Q549" s="51" t="s">
        <v>910</v>
      </c>
      <c r="R549" s="51" t="s">
        <v>932</v>
      </c>
      <c r="AB549" s="51" t="s">
        <v>4406</v>
      </c>
      <c r="AC549" s="51" t="s">
        <v>3901</v>
      </c>
      <c r="AE549" s="51" t="s">
        <v>910</v>
      </c>
      <c r="AF549" s="51" t="s">
        <v>932</v>
      </c>
      <c r="AP549" s="51" t="s">
        <v>4407</v>
      </c>
      <c r="AQ549" s="51" t="s">
        <v>3902</v>
      </c>
      <c r="AS549" s="51" t="s">
        <v>910</v>
      </c>
      <c r="AT549" s="51" t="s">
        <v>932</v>
      </c>
    </row>
    <row r="550" spans="1:54" x14ac:dyDescent="0.25">
      <c r="A550" s="51" t="s">
        <v>3811</v>
      </c>
      <c r="B550" s="51">
        <v>2</v>
      </c>
      <c r="C550" s="51" t="s">
        <v>3829</v>
      </c>
      <c r="E550" s="54" t="str" cm="1">
        <f t="array" aca="1" ref="E550" ca="1">IF(H550=0,"",HYPERLINK("#"&amp;RIGHT(CELL("dateiname"),LEN(CELL("dateiname"))-FIND("]",CELL("dateiname")))&amp;"!"&amp;CELL("adresse",OFFSET($Q$6,H550-1,0)),"Definition"))</f>
        <v>Definition</v>
      </c>
      <c r="F550" s="54" t="str" cm="1">
        <f t="array" aca="1" ref="F550" ca="1">IF(I550=0,"",HYPERLINK("#"&amp;RIGHT(CELL("adresse",OFFSET(DMAV_Doku!$B$6,I550-1,0)),LEN(CELL("adresse",OFFSET(DMAV_Doku!$B$6,I550-1,0)))-SEARCH("]",CELL("adresse",OFFSET(DMAV_Doku!$B$6,I550-1,0)))),"ModDoc"))</f>
        <v/>
      </c>
      <c r="G550" s="150" t="str">
        <f t="shared" si="16"/>
        <v>MRL2</v>
      </c>
      <c r="H550" s="150">
        <f t="shared" si="17"/>
        <v>17</v>
      </c>
      <c r="I550" s="150">
        <f>IF(_xlfn.XLOOKUP(G550,Korrelation!$A$4:$A$723,Korrelation!$B$4:$B$723,0,0)=0,0,MATCH(_xlfn.XLOOKUP(G550,Korrelation!$A$4:$A$723,Korrelation!$B$4:$B$723,0,0),DMAV_Doku!$H$6:$H$483,0))</f>
        <v>0</v>
      </c>
      <c r="J550" s="158"/>
      <c r="K550" s="161"/>
      <c r="L550" s="161"/>
      <c r="M550" s="158"/>
      <c r="N550" s="51" t="s">
        <v>4405</v>
      </c>
      <c r="O550" s="51" t="s">
        <v>3900</v>
      </c>
      <c r="Q550" s="51" t="s">
        <v>910</v>
      </c>
      <c r="R550" s="51" t="s">
        <v>926</v>
      </c>
      <c r="W550" s="52"/>
      <c r="AB550" s="51" t="s">
        <v>4406</v>
      </c>
      <c r="AC550" s="51" t="s">
        <v>3901</v>
      </c>
      <c r="AE550" s="51" t="s">
        <v>910</v>
      </c>
      <c r="AF550" s="51" t="s">
        <v>3921</v>
      </c>
      <c r="AP550" s="51" t="s">
        <v>4407</v>
      </c>
      <c r="AQ550" s="51" t="s">
        <v>3902</v>
      </c>
      <c r="AS550" s="51" t="s">
        <v>910</v>
      </c>
      <c r="AT550" s="51" t="s">
        <v>3923</v>
      </c>
    </row>
    <row r="551" spans="1:54" x14ac:dyDescent="0.25">
      <c r="A551" s="51" t="s">
        <v>3811</v>
      </c>
      <c r="B551" s="51">
        <v>3</v>
      </c>
      <c r="C551" s="51" t="s">
        <v>3847</v>
      </c>
      <c r="E551" s="54" t="str" cm="1">
        <f t="array" aca="1" ref="E551" ca="1">IF(H551=0,"",HYPERLINK("#"&amp;RIGHT(CELL("dateiname"),LEN(CELL("dateiname"))-FIND("]",CELL("dateiname")))&amp;"!"&amp;CELL("adresse",OFFSET($Q$6,H551-1,0)),"Definition"))</f>
        <v>Definition</v>
      </c>
      <c r="F551" s="54" t="str" cm="1">
        <f t="array" aca="1" ref="F551" ca="1">IF(I551=0,"",HYPERLINK("#"&amp;RIGHT(CELL("adresse",OFFSET(DMAV_Doku!$B$6,I551-1,0)),LEN(CELL("adresse",OFFSET(DMAV_Doku!$B$6,I551-1,0)))-SEARCH("]",CELL("adresse",OFFSET(DMAV_Doku!$B$6,I551-1,0)))),"ModDoc"))</f>
        <v/>
      </c>
      <c r="G551" s="150" t="str">
        <f t="shared" si="16"/>
        <v>MRL3</v>
      </c>
      <c r="H551" s="150">
        <f t="shared" si="17"/>
        <v>36</v>
      </c>
      <c r="I551" s="150">
        <f>IF(_xlfn.XLOOKUP(G551,Korrelation!$A$4:$A$723,Korrelation!$B$4:$B$723,0,0)=0,0,MATCH(_xlfn.XLOOKUP(G551,Korrelation!$A$4:$A$723,Korrelation!$B$4:$B$723,0,0),DMAV_Doku!$H$6:$H$483,0))</f>
        <v>0</v>
      </c>
      <c r="J551" s="158"/>
      <c r="K551" s="161"/>
      <c r="L551" s="161"/>
      <c r="M551" s="158"/>
      <c r="N551" s="51" t="s">
        <v>4405</v>
      </c>
      <c r="O551" s="51" t="s">
        <v>3900</v>
      </c>
      <c r="Q551" s="51" t="s">
        <v>910</v>
      </c>
      <c r="R551" s="51" t="s">
        <v>936</v>
      </c>
      <c r="W551" s="52"/>
      <c r="AB551" s="51" t="s">
        <v>4406</v>
      </c>
      <c r="AC551" s="51" t="s">
        <v>3901</v>
      </c>
      <c r="AE551" s="51" t="s">
        <v>910</v>
      </c>
      <c r="AF551" s="51" t="s">
        <v>3943</v>
      </c>
      <c r="AP551" s="51" t="s">
        <v>4407</v>
      </c>
      <c r="AQ551" s="51" t="s">
        <v>3902</v>
      </c>
      <c r="AS551" s="51" t="s">
        <v>910</v>
      </c>
      <c r="AT551" s="51" t="s">
        <v>3945</v>
      </c>
    </row>
    <row r="552" spans="1:54" x14ac:dyDescent="0.25">
      <c r="A552" s="51" t="s">
        <v>3811</v>
      </c>
      <c r="B552" s="51">
        <v>4</v>
      </c>
      <c r="C552" s="51" t="s">
        <v>3831</v>
      </c>
      <c r="E552" s="54" t="str" cm="1">
        <f t="array" aca="1" ref="E552" ca="1">IF(H552=0,"",HYPERLINK("#"&amp;RIGHT(CELL("dateiname"),LEN(CELL("dateiname"))-FIND("]",CELL("dateiname")))&amp;"!"&amp;CELL("adresse",OFFSET($Q$6,H552-1,0)),"Definition"))</f>
        <v>Definition</v>
      </c>
      <c r="F552" s="54" t="str" cm="1">
        <f t="array" aca="1" ref="F552" ca="1">IF(I552=0,"",HYPERLINK("#"&amp;RIGHT(CELL("adresse",OFFSET(DMAV_Doku!$B$6,I552-1,0)),LEN(CELL("adresse",OFFSET(DMAV_Doku!$B$6,I552-1,0)))-SEARCH("]",CELL("adresse",OFFSET(DMAV_Doku!$B$6,I552-1,0)))),"ModDoc"))</f>
        <v/>
      </c>
      <c r="G552" s="150" t="str">
        <f t="shared" si="16"/>
        <v>MRL4</v>
      </c>
      <c r="H552" s="150">
        <f t="shared" si="17"/>
        <v>39</v>
      </c>
      <c r="I552" s="150">
        <f>IF(_xlfn.XLOOKUP(G552,Korrelation!$A$4:$A$723,Korrelation!$B$4:$B$723,0,0)=0,0,MATCH(_xlfn.XLOOKUP(G552,Korrelation!$A$4:$A$723,Korrelation!$B$4:$B$723,0,0),DMAV_Doku!$H$6:$H$483,0))</f>
        <v>0</v>
      </c>
      <c r="J552" s="158"/>
      <c r="K552" s="161"/>
      <c r="L552" s="161"/>
      <c r="M552" s="158"/>
      <c r="N552" s="51" t="s">
        <v>4405</v>
      </c>
      <c r="O552" s="51" t="s">
        <v>3900</v>
      </c>
      <c r="Q552" s="51" t="s">
        <v>910</v>
      </c>
      <c r="R552" s="51" t="s">
        <v>938</v>
      </c>
      <c r="W552" s="52"/>
      <c r="AB552" s="51" t="s">
        <v>4406</v>
      </c>
      <c r="AC552" s="51" t="s">
        <v>3901</v>
      </c>
      <c r="AE552" s="51" t="s">
        <v>910</v>
      </c>
      <c r="AF552" s="51" t="s">
        <v>3948</v>
      </c>
      <c r="AP552" s="51" t="s">
        <v>4407</v>
      </c>
      <c r="AQ552" s="51" t="s">
        <v>3902</v>
      </c>
      <c r="AS552" s="51" t="s">
        <v>910</v>
      </c>
      <c r="AT552" s="51" t="s">
        <v>3950</v>
      </c>
    </row>
    <row r="553" spans="1:54" x14ac:dyDescent="0.25">
      <c r="A553" s="51" t="s">
        <v>3811</v>
      </c>
      <c r="B553" s="51">
        <v>5</v>
      </c>
      <c r="C553" s="51" t="s">
        <v>3839</v>
      </c>
      <c r="E553" s="54" t="str" cm="1">
        <f t="array" aca="1" ref="E553" ca="1">IF(H553=0,"",HYPERLINK("#"&amp;RIGHT(CELL("dateiname"),LEN(CELL("dateiname"))-FIND("]",CELL("dateiname")))&amp;"!"&amp;CELL("adresse",OFFSET($Q$6,H553-1,0)),"Definition"))</f>
        <v>Definition</v>
      </c>
      <c r="F553" s="54" t="str" cm="1">
        <f t="array" aca="1" ref="F553" ca="1">IF(I553=0,"",HYPERLINK("#"&amp;RIGHT(CELL("adresse",OFFSET(DMAV_Doku!$B$6,I553-1,0)),LEN(CELL("adresse",OFFSET(DMAV_Doku!$B$6,I553-1,0)))-SEARCH("]",CELL("adresse",OFFSET(DMAV_Doku!$B$6,I553-1,0)))),"ModDoc"))</f>
        <v/>
      </c>
      <c r="G553" s="150" t="str">
        <f t="shared" si="16"/>
        <v>MRL5</v>
      </c>
      <c r="H553" s="150">
        <f t="shared" si="17"/>
        <v>44</v>
      </c>
      <c r="I553" s="150">
        <f>IF(_xlfn.XLOOKUP(G553,Korrelation!$A$4:$A$723,Korrelation!$B$4:$B$723,0,0)=0,0,MATCH(_xlfn.XLOOKUP(G553,Korrelation!$A$4:$A$723,Korrelation!$B$4:$B$723,0,0),DMAV_Doku!$H$6:$H$483,0))</f>
        <v>0</v>
      </c>
      <c r="J553" s="158"/>
      <c r="K553" s="161"/>
      <c r="L553" s="161"/>
      <c r="M553" s="158"/>
      <c r="N553" s="51" t="s">
        <v>4405</v>
      </c>
      <c r="O553" s="51" t="s">
        <v>3900</v>
      </c>
      <c r="Q553" s="51" t="s">
        <v>910</v>
      </c>
      <c r="R553" s="51" t="s">
        <v>943</v>
      </c>
      <c r="W553" s="52"/>
      <c r="AB553" s="51" t="s">
        <v>4406</v>
      </c>
      <c r="AC553" s="51" t="s">
        <v>3901</v>
      </c>
      <c r="AE553" s="51" t="s">
        <v>910</v>
      </c>
      <c r="AF553" s="51" t="s">
        <v>3953</v>
      </c>
      <c r="AP553" s="51" t="s">
        <v>4407</v>
      </c>
      <c r="AQ553" s="51" t="s">
        <v>3902</v>
      </c>
      <c r="AS553" s="51" t="s">
        <v>910</v>
      </c>
      <c r="AT553" s="51" t="s">
        <v>3955</v>
      </c>
    </row>
    <row r="554" spans="1:54" x14ac:dyDescent="0.25">
      <c r="A554" s="51" t="s">
        <v>3811</v>
      </c>
      <c r="B554" s="51">
        <v>6</v>
      </c>
      <c r="C554" s="51" t="s">
        <v>3832</v>
      </c>
      <c r="E554" s="54" t="str" cm="1">
        <f t="array" aca="1" ref="E554" ca="1">IF(H554=0,"",HYPERLINK("#"&amp;RIGHT(CELL("dateiname"),LEN(CELL("dateiname"))-FIND("]",CELL("dateiname")))&amp;"!"&amp;CELL("adresse",OFFSET($Q$6,H554-1,0)),"Definition"))</f>
        <v>Definition</v>
      </c>
      <c r="F554" s="54" t="str" cm="1">
        <f t="array" aca="1" ref="F554" ca="1">IF(I554=0,"",HYPERLINK("#"&amp;RIGHT(CELL("adresse",OFFSET(DMAV_Doku!$B$6,I554-1,0)),LEN(CELL("adresse",OFFSET(DMAV_Doku!$B$6,I554-1,0)))-SEARCH("]",CELL("adresse",OFFSET(DMAV_Doku!$B$6,I554-1,0)))),"ModDoc"))</f>
        <v/>
      </c>
      <c r="G554" s="150" t="str">
        <f t="shared" si="16"/>
        <v>MRL6</v>
      </c>
      <c r="H554" s="150">
        <f t="shared" si="17"/>
        <v>18</v>
      </c>
      <c r="I554" s="150">
        <f>IF(_xlfn.XLOOKUP(G554,Korrelation!$A$4:$A$723,Korrelation!$B$4:$B$723,0,0)=0,0,MATCH(_xlfn.XLOOKUP(G554,Korrelation!$A$4:$A$723,Korrelation!$B$4:$B$723,0,0),DMAV_Doku!$H$6:$H$483,0))</f>
        <v>0</v>
      </c>
      <c r="J554" s="158"/>
      <c r="K554" s="161"/>
      <c r="L554" s="161"/>
      <c r="M554" s="158"/>
      <c r="N554" s="51" t="s">
        <v>4405</v>
      </c>
      <c r="O554" s="51" t="s">
        <v>3900</v>
      </c>
      <c r="Q554" s="51" t="s">
        <v>910</v>
      </c>
      <c r="R554" s="51" t="s">
        <v>930</v>
      </c>
      <c r="W554" s="52"/>
      <c r="AB554" s="51" t="s">
        <v>4406</v>
      </c>
      <c r="AC554" s="51" t="s">
        <v>3901</v>
      </c>
      <c r="AE554" s="51" t="s">
        <v>910</v>
      </c>
      <c r="AF554" s="51" t="s">
        <v>3925</v>
      </c>
      <c r="AP554" s="51" t="s">
        <v>4407</v>
      </c>
      <c r="AQ554" s="51" t="s">
        <v>3902</v>
      </c>
      <c r="AS554" s="51" t="s">
        <v>910</v>
      </c>
      <c r="AT554" s="51" t="s">
        <v>3927</v>
      </c>
    </row>
    <row r="555" spans="1:54" ht="38.25" x14ac:dyDescent="0.25">
      <c r="A555" s="51" t="s">
        <v>3811</v>
      </c>
      <c r="B555" s="51">
        <v>7</v>
      </c>
      <c r="E555" s="54" t="str" cm="1">
        <f t="array" aca="1" ref="E555" ca="1">IF(H555=0,"",HYPERLINK("#"&amp;RIGHT(CELL("dateiname"),LEN(CELL("dateiname"))-FIND("]",CELL("dateiname")))&amp;"!"&amp;CELL("adresse",OFFSET($Q$6,H555-1,0)),"Definition"))</f>
        <v/>
      </c>
      <c r="F555" s="54" t="str" cm="1">
        <f t="array" aca="1" ref="F555" ca="1">IF(I555=0,"",HYPERLINK("#"&amp;RIGHT(CELL("adresse",OFFSET(DMAV_Doku!$B$6,I555-1,0)),LEN(CELL("adresse",OFFSET(DMAV_Doku!$B$6,I555-1,0)))-SEARCH("]",CELL("adresse",OFFSET(DMAV_Doku!$B$6,I555-1,0)))),"ModDoc"))</f>
        <v>ModDoc</v>
      </c>
      <c r="G555" s="150" t="str">
        <f t="shared" si="16"/>
        <v>MRL7</v>
      </c>
      <c r="H555" s="150">
        <f t="shared" si="17"/>
        <v>0</v>
      </c>
      <c r="I555" s="150">
        <f>IF(_xlfn.XLOOKUP(G555,Korrelation!$A$4:$A$723,Korrelation!$B$4:$B$723,0,0)=0,0,MATCH(_xlfn.XLOOKUP(G555,Korrelation!$A$4:$A$723,Korrelation!$B$4:$B$723,0,0),DMAV_Doku!$H$6:$H$483,0))</f>
        <v>358</v>
      </c>
      <c r="J555" s="158"/>
      <c r="K555" s="161"/>
      <c r="L555" s="161"/>
      <c r="M555" s="158"/>
      <c r="N555" s="51" t="s">
        <v>4405</v>
      </c>
      <c r="O555" s="51" t="s">
        <v>3900</v>
      </c>
      <c r="P555" s="51" t="s">
        <v>21</v>
      </c>
      <c r="Q555" s="51" t="s">
        <v>927</v>
      </c>
      <c r="R555" s="51" t="s">
        <v>521</v>
      </c>
      <c r="W555" s="52" t="s">
        <v>524</v>
      </c>
      <c r="Y555" s="52" t="s">
        <v>4408</v>
      </c>
      <c r="AB555" s="51" t="s">
        <v>4406</v>
      </c>
      <c r="AC555" s="51" t="s">
        <v>3901</v>
      </c>
      <c r="AD555" s="51" t="s">
        <v>708</v>
      </c>
      <c r="AE555" s="51" t="s">
        <v>927</v>
      </c>
      <c r="AF555" s="51" t="s">
        <v>868</v>
      </c>
      <c r="AK555" s="52" t="s">
        <v>870</v>
      </c>
      <c r="AP555" s="51" t="s">
        <v>4407</v>
      </c>
      <c r="AQ555" s="51" t="s">
        <v>3902</v>
      </c>
      <c r="AR555" s="51" t="s">
        <v>1937</v>
      </c>
      <c r="AS555" s="51" t="s">
        <v>927</v>
      </c>
      <c r="AT555" s="51" t="s">
        <v>1975</v>
      </c>
      <c r="AY555" s="52" t="s">
        <v>2013</v>
      </c>
    </row>
    <row r="556" spans="1:54" ht="38.25" x14ac:dyDescent="0.25">
      <c r="A556" s="51" t="s">
        <v>3811</v>
      </c>
      <c r="B556" s="51">
        <v>8</v>
      </c>
      <c r="E556" s="54" t="str" cm="1">
        <f t="array" aca="1" ref="E556" ca="1">IF(H556=0,"",HYPERLINK("#"&amp;RIGHT(CELL("dateiname"),LEN(CELL("dateiname"))-FIND("]",CELL("dateiname")))&amp;"!"&amp;CELL("adresse",OFFSET($Q$6,H556-1,0)),"Definition"))</f>
        <v/>
      </c>
      <c r="F556" s="54" t="str" cm="1">
        <f t="array" aca="1" ref="F556" ca="1">IF(I556=0,"",HYPERLINK("#"&amp;RIGHT(CELL("adresse",OFFSET(DMAV_Doku!$B$6,I556-1,0)),LEN(CELL("adresse",OFFSET(DMAV_Doku!$B$6,I556-1,0)))-SEARCH("]",CELL("adresse",OFFSET(DMAV_Doku!$B$6,I556-1,0)))),"ModDoc"))</f>
        <v>ModDoc</v>
      </c>
      <c r="G556" s="150" t="str">
        <f t="shared" si="16"/>
        <v>MRL8</v>
      </c>
      <c r="H556" s="150">
        <f t="shared" si="17"/>
        <v>0</v>
      </c>
      <c r="I556" s="150">
        <f>IF(_xlfn.XLOOKUP(G556,Korrelation!$A$4:$A$723,Korrelation!$B$4:$B$723,0,0)=0,0,MATCH(_xlfn.XLOOKUP(G556,Korrelation!$A$4:$A$723,Korrelation!$B$4:$B$723,0,0),DMAV_Doku!$H$6:$H$483,0))</f>
        <v>357</v>
      </c>
      <c r="J556" s="158"/>
      <c r="K556" s="161"/>
      <c r="L556" s="161"/>
      <c r="M556" s="158"/>
      <c r="N556" s="51" t="s">
        <v>4405</v>
      </c>
      <c r="O556" s="51" t="s">
        <v>3900</v>
      </c>
      <c r="P556" s="51" t="s">
        <v>21</v>
      </c>
      <c r="Q556" s="51" t="s">
        <v>927</v>
      </c>
      <c r="R556" s="51" t="s">
        <v>521</v>
      </c>
      <c r="W556" s="52" t="s">
        <v>522</v>
      </c>
      <c r="Y556" s="52" t="s">
        <v>4408</v>
      </c>
      <c r="AB556" s="51" t="s">
        <v>4406</v>
      </c>
      <c r="AC556" s="51" t="s">
        <v>3901</v>
      </c>
      <c r="AD556" s="51" t="s">
        <v>708</v>
      </c>
      <c r="AE556" s="51" t="s">
        <v>927</v>
      </c>
      <c r="AF556" s="51" t="s">
        <v>868</v>
      </c>
      <c r="AK556" s="52" t="s">
        <v>869</v>
      </c>
      <c r="AP556" s="51" t="s">
        <v>4407</v>
      </c>
      <c r="AQ556" s="51" t="s">
        <v>3902</v>
      </c>
      <c r="AR556" s="51" t="s">
        <v>1937</v>
      </c>
      <c r="AS556" s="51" t="s">
        <v>927</v>
      </c>
      <c r="AT556" s="51" t="s">
        <v>1975</v>
      </c>
      <c r="AY556" s="52" t="s">
        <v>2012</v>
      </c>
    </row>
    <row r="557" spans="1:54" ht="38.25" x14ac:dyDescent="0.25">
      <c r="A557" s="51" t="s">
        <v>3811</v>
      </c>
      <c r="B557" s="51">
        <v>9</v>
      </c>
      <c r="E557" s="54" t="str" cm="1">
        <f t="array" aca="1" ref="E557" ca="1">IF(H557=0,"",HYPERLINK("#"&amp;RIGHT(CELL("dateiname"),LEN(CELL("dateiname"))-FIND("]",CELL("dateiname")))&amp;"!"&amp;CELL("adresse",OFFSET($Q$6,H557-1,0)),"Definition"))</f>
        <v/>
      </c>
      <c r="F557" s="54" t="str" cm="1">
        <f t="array" aca="1" ref="F557" ca="1">IF(I557=0,"",HYPERLINK("#"&amp;RIGHT(CELL("adresse",OFFSET(DMAV_Doku!$B$6,I557-1,0)),LEN(CELL("adresse",OFFSET(DMAV_Doku!$B$6,I557-1,0)))-SEARCH("]",CELL("adresse",OFFSET(DMAV_Doku!$B$6,I557-1,0)))),"ModDoc"))</f>
        <v>ModDoc</v>
      </c>
      <c r="G557" s="150" t="str">
        <f t="shared" si="16"/>
        <v>MRL9</v>
      </c>
      <c r="H557" s="150">
        <f t="shared" si="17"/>
        <v>0</v>
      </c>
      <c r="I557" s="150">
        <f>IF(_xlfn.XLOOKUP(G557,Korrelation!$A$4:$A$723,Korrelation!$B$4:$B$723,0,0)=0,0,MATCH(_xlfn.XLOOKUP(G557,Korrelation!$A$4:$A$723,Korrelation!$B$4:$B$723,0,0),DMAV_Doku!$H$6:$H$483,0))</f>
        <v>359</v>
      </c>
      <c r="J557" s="158"/>
      <c r="K557" s="161"/>
      <c r="L557" s="161"/>
      <c r="M557" s="158"/>
      <c r="N557" s="51" t="s">
        <v>4405</v>
      </c>
      <c r="O557" s="51" t="s">
        <v>3900</v>
      </c>
      <c r="P557" s="51" t="s">
        <v>21</v>
      </c>
      <c r="Q557" s="51" t="s">
        <v>927</v>
      </c>
      <c r="R557" s="51" t="s">
        <v>521</v>
      </c>
      <c r="W557" s="52" t="s">
        <v>54</v>
      </c>
      <c r="Y557" s="52" t="s">
        <v>4408</v>
      </c>
      <c r="AB557" s="51" t="s">
        <v>4406</v>
      </c>
      <c r="AC557" s="51" t="s">
        <v>3901</v>
      </c>
      <c r="AD557" s="51" t="s">
        <v>708</v>
      </c>
      <c r="AE557" s="51" t="s">
        <v>927</v>
      </c>
      <c r="AF557" s="51" t="s">
        <v>868</v>
      </c>
      <c r="AK557" s="52" t="s">
        <v>871</v>
      </c>
      <c r="AP557" s="51" t="s">
        <v>4407</v>
      </c>
      <c r="AQ557" s="51" t="s">
        <v>3902</v>
      </c>
      <c r="AR557" s="51" t="s">
        <v>1937</v>
      </c>
      <c r="AS557" s="51" t="s">
        <v>927</v>
      </c>
      <c r="AT557" s="51" t="s">
        <v>1975</v>
      </c>
      <c r="AY557" s="52" t="s">
        <v>1382</v>
      </c>
    </row>
    <row r="558" spans="1:54" ht="38.25" x14ac:dyDescent="0.25">
      <c r="A558" s="51" t="s">
        <v>3811</v>
      </c>
      <c r="B558" s="51">
        <v>10</v>
      </c>
      <c r="D558" s="51" t="s">
        <v>3537</v>
      </c>
      <c r="E558" s="54" t="str" cm="1">
        <f t="array" aca="1" ref="E558" ca="1">IF(H558=0,"",HYPERLINK("#"&amp;RIGHT(CELL("dateiname"),LEN(CELL("dateiname"))-FIND("]",CELL("dateiname")))&amp;"!"&amp;CELL("adresse",OFFSET($Q$6,H558-1,0)),"Definition"))</f>
        <v/>
      </c>
      <c r="F558" s="54" t="str" cm="1">
        <f t="array" aca="1" ref="F558" ca="1">IF(I558=0,"",HYPERLINK("#"&amp;RIGHT(CELL("adresse",OFFSET(DMAV_Doku!$B$6,I558-1,0)),LEN(CELL("adresse",OFFSET(DMAV_Doku!$B$6,I558-1,0)))-SEARCH("]",CELL("adresse",OFFSET(DMAV_Doku!$B$6,I558-1,0)))),"ModDoc"))</f>
        <v>ModDoc</v>
      </c>
      <c r="G558" s="150" t="str">
        <f t="shared" si="16"/>
        <v>MRL10</v>
      </c>
      <c r="H558" s="150">
        <f t="shared" si="17"/>
        <v>0</v>
      </c>
      <c r="I558" s="150">
        <f>IF(_xlfn.XLOOKUP(G558,Korrelation!$A$4:$A$723,Korrelation!$B$4:$B$723,0,0)=0,0,MATCH(_xlfn.XLOOKUP(G558,Korrelation!$A$4:$A$723,Korrelation!$B$4:$B$723,0,0),DMAV_Doku!$H$6:$H$483,0))</f>
        <v>373</v>
      </c>
      <c r="J558" s="158"/>
      <c r="K558" s="161"/>
      <c r="L558" s="161"/>
      <c r="M558" s="158"/>
      <c r="N558" s="51" t="s">
        <v>4405</v>
      </c>
      <c r="O558" s="51" t="s">
        <v>3900</v>
      </c>
      <c r="P558" s="51" t="s">
        <v>21</v>
      </c>
      <c r="Q558" s="51" t="s">
        <v>949</v>
      </c>
      <c r="R558" s="51" t="s">
        <v>545</v>
      </c>
      <c r="S558" s="50" t="s">
        <v>950</v>
      </c>
      <c r="T558" s="51" t="s">
        <v>959</v>
      </c>
      <c r="U558" s="52" t="s">
        <v>96</v>
      </c>
      <c r="W558" s="52" t="s">
        <v>951</v>
      </c>
      <c r="Y558" s="52" t="s">
        <v>4408</v>
      </c>
      <c r="Z558" s="200" t="s">
        <v>6006</v>
      </c>
      <c r="AB558" s="51" t="s">
        <v>4406</v>
      </c>
      <c r="AC558" s="51" t="s">
        <v>3901</v>
      </c>
      <c r="AD558" s="51" t="s">
        <v>708</v>
      </c>
      <c r="AE558" s="51" t="s">
        <v>949</v>
      </c>
      <c r="AF558" s="51" t="s">
        <v>876</v>
      </c>
      <c r="AG558" s="50" t="s">
        <v>950</v>
      </c>
      <c r="AH558" s="51" t="s">
        <v>959</v>
      </c>
      <c r="AI558" s="52" t="s">
        <v>733</v>
      </c>
      <c r="AK558" s="52" t="s">
        <v>951</v>
      </c>
      <c r="AN558" s="52" t="s">
        <v>6008</v>
      </c>
      <c r="AP558" s="51" t="s">
        <v>4407</v>
      </c>
      <c r="AQ558" s="51" t="s">
        <v>3902</v>
      </c>
      <c r="AR558" s="51" t="s">
        <v>1937</v>
      </c>
      <c r="AS558" s="51" t="s">
        <v>949</v>
      </c>
      <c r="AT558" s="51" t="s">
        <v>4409</v>
      </c>
      <c r="AU558" s="50" t="s">
        <v>950</v>
      </c>
      <c r="AV558" s="51" t="s">
        <v>959</v>
      </c>
      <c r="AW558" s="52" t="s">
        <v>1378</v>
      </c>
      <c r="AY558" s="52" t="s">
        <v>951</v>
      </c>
      <c r="BB558" s="52" t="s">
        <v>6009</v>
      </c>
    </row>
    <row r="559" spans="1:54" ht="51" x14ac:dyDescent="0.25">
      <c r="A559" s="51" t="s">
        <v>3811</v>
      </c>
      <c r="B559" s="51">
        <v>11</v>
      </c>
      <c r="D559" s="51" t="s">
        <v>3537</v>
      </c>
      <c r="E559" s="54" t="str" cm="1">
        <f t="array" aca="1" ref="E559" ca="1">IF(H559=0,"",HYPERLINK("#"&amp;RIGHT(CELL("dateiname"),LEN(CELL("dateiname"))-FIND("]",CELL("dateiname")))&amp;"!"&amp;CELL("adresse",OFFSET($Q$6,H559-1,0)),"Definition"))</f>
        <v/>
      </c>
      <c r="F559" s="54" t="str" cm="1">
        <f t="array" aca="1" ref="F559" ca="1">IF(I559=0,"",HYPERLINK("#"&amp;RIGHT(CELL("adresse",OFFSET(DMAV_Doku!$B$6,I559-1,0)),LEN(CELL("adresse",OFFSET(DMAV_Doku!$B$6,I559-1,0)))-SEARCH("]",CELL("adresse",OFFSET(DMAV_Doku!$B$6,I559-1,0)))),"ModDoc"))</f>
        <v>ModDoc</v>
      </c>
      <c r="G559" s="150" t="str">
        <f t="shared" si="16"/>
        <v>MRL11</v>
      </c>
      <c r="H559" s="150">
        <f t="shared" si="17"/>
        <v>0</v>
      </c>
      <c r="I559" s="150">
        <f>IF(_xlfn.XLOOKUP(G559,Korrelation!$A$4:$A$723,Korrelation!$B$4:$B$723,0,0)=0,0,MATCH(_xlfn.XLOOKUP(G559,Korrelation!$A$4:$A$723,Korrelation!$B$4:$B$723,0,0),DMAV_Doku!$H$6:$H$483,0))</f>
        <v>374</v>
      </c>
      <c r="J559" s="158"/>
      <c r="K559" s="161"/>
      <c r="L559" s="161"/>
      <c r="M559" s="158"/>
      <c r="N559" s="51" t="s">
        <v>4405</v>
      </c>
      <c r="O559" s="51" t="s">
        <v>3900</v>
      </c>
      <c r="P559" s="51" t="s">
        <v>21</v>
      </c>
      <c r="Q559" s="51" t="s">
        <v>949</v>
      </c>
      <c r="R559" s="51" t="s">
        <v>545</v>
      </c>
      <c r="S559" s="50" t="s">
        <v>950</v>
      </c>
      <c r="T559" s="51" t="s">
        <v>959</v>
      </c>
      <c r="U559" s="52" t="s">
        <v>99</v>
      </c>
      <c r="W559" s="52" t="s">
        <v>951</v>
      </c>
      <c r="Y559" s="52" t="s">
        <v>4410</v>
      </c>
      <c r="Z559" s="200" t="s">
        <v>6006</v>
      </c>
      <c r="AB559" s="51" t="s">
        <v>4406</v>
      </c>
      <c r="AC559" s="51" t="s">
        <v>3901</v>
      </c>
      <c r="AD559" s="51" t="s">
        <v>708</v>
      </c>
      <c r="AE559" s="51" t="s">
        <v>949</v>
      </c>
      <c r="AF559" s="51" t="s">
        <v>876</v>
      </c>
      <c r="AG559" s="50" t="s">
        <v>950</v>
      </c>
      <c r="AH559" s="51" t="s">
        <v>959</v>
      </c>
      <c r="AI559" s="52" t="s">
        <v>734</v>
      </c>
      <c r="AK559" s="52" t="s">
        <v>951</v>
      </c>
      <c r="AN559" s="52" t="s">
        <v>6008</v>
      </c>
      <c r="AP559" s="51" t="s">
        <v>4407</v>
      </c>
      <c r="AQ559" s="51" t="s">
        <v>3902</v>
      </c>
      <c r="AR559" s="51" t="s">
        <v>1937</v>
      </c>
      <c r="AS559" s="51" t="s">
        <v>949</v>
      </c>
      <c r="AT559" s="51" t="s">
        <v>4409</v>
      </c>
      <c r="AU559" s="50" t="s">
        <v>950</v>
      </c>
      <c r="AV559" s="51" t="s">
        <v>959</v>
      </c>
      <c r="AW559" s="52" t="s">
        <v>1376</v>
      </c>
      <c r="AY559" s="52" t="s">
        <v>951</v>
      </c>
      <c r="BB559" s="52" t="s">
        <v>6009</v>
      </c>
    </row>
    <row r="560" spans="1:54" ht="38.25" x14ac:dyDescent="0.25">
      <c r="A560" s="51" t="s">
        <v>3811</v>
      </c>
      <c r="B560" s="51">
        <v>12</v>
      </c>
      <c r="E560" s="54" t="str" cm="1">
        <f t="array" aca="1" ref="E560" ca="1">IF(H560=0,"",HYPERLINK("#"&amp;RIGHT(CELL("dateiname"),LEN(CELL("dateiname"))-FIND("]",CELL("dateiname")))&amp;"!"&amp;CELL("adresse",OFFSET($Q$6,H560-1,0)),"Definition"))</f>
        <v/>
      </c>
      <c r="F560" s="54" t="str" cm="1">
        <f t="array" aca="1" ref="F560" ca="1">IF(I560=0,"",HYPERLINK("#"&amp;RIGHT(CELL("adresse",OFFSET(DMAV_Doku!$B$6,I560-1,0)),LEN(CELL("adresse",OFFSET(DMAV_Doku!$B$6,I560-1,0)))-SEARCH("]",CELL("adresse",OFFSET(DMAV_Doku!$B$6,I560-1,0)))),"ModDoc"))</f>
        <v>ModDoc</v>
      </c>
      <c r="G560" s="150" t="str">
        <f t="shared" si="16"/>
        <v>MRL12</v>
      </c>
      <c r="H560" s="150">
        <f t="shared" si="17"/>
        <v>0</v>
      </c>
      <c r="I560" s="150">
        <f>IF(_xlfn.XLOOKUP(G560,Korrelation!$A$4:$A$723,Korrelation!$B$4:$B$723,0,0)=0,0,MATCH(_xlfn.XLOOKUP(G560,Korrelation!$A$4:$A$723,Korrelation!$B$4:$B$723,0,0),DMAV_Doku!$H$6:$H$483,0))</f>
        <v>375</v>
      </c>
      <c r="J560" s="158"/>
      <c r="K560" s="161"/>
      <c r="L560" s="161"/>
      <c r="M560" s="158"/>
      <c r="N560" s="51" t="s">
        <v>4405</v>
      </c>
      <c r="O560" s="51" t="s">
        <v>3900</v>
      </c>
      <c r="P560" s="51" t="s">
        <v>21</v>
      </c>
      <c r="Q560" s="51" t="s">
        <v>949</v>
      </c>
      <c r="R560" s="51" t="s">
        <v>545</v>
      </c>
      <c r="S560" s="50" t="s">
        <v>950</v>
      </c>
      <c r="U560" s="52" t="s">
        <v>101</v>
      </c>
      <c r="W560" s="52" t="s">
        <v>964</v>
      </c>
      <c r="Y560" s="52" t="s">
        <v>4408</v>
      </c>
      <c r="AB560" s="51" t="s">
        <v>4406</v>
      </c>
      <c r="AC560" s="51" t="s">
        <v>3901</v>
      </c>
      <c r="AD560" s="51" t="s">
        <v>708</v>
      </c>
      <c r="AE560" s="51" t="s">
        <v>949</v>
      </c>
      <c r="AF560" s="51" t="s">
        <v>876</v>
      </c>
      <c r="AG560" s="50" t="s">
        <v>950</v>
      </c>
      <c r="AI560" s="52" t="s">
        <v>735</v>
      </c>
      <c r="AK560" s="52" t="s">
        <v>964</v>
      </c>
      <c r="AP560" s="51" t="s">
        <v>4407</v>
      </c>
      <c r="AQ560" s="51" t="s">
        <v>3902</v>
      </c>
      <c r="AR560" s="51" t="s">
        <v>1937</v>
      </c>
      <c r="AS560" s="51" t="s">
        <v>949</v>
      </c>
      <c r="AT560" s="51" t="s">
        <v>4409</v>
      </c>
      <c r="AU560" s="50" t="s">
        <v>950</v>
      </c>
      <c r="AW560" s="52" t="s">
        <v>1294</v>
      </c>
      <c r="AY560" s="52" t="s">
        <v>964</v>
      </c>
    </row>
    <row r="561" spans="1:54" ht="38.25" x14ac:dyDescent="0.25">
      <c r="A561" s="51" t="s">
        <v>3811</v>
      </c>
      <c r="B561" s="51">
        <v>13</v>
      </c>
      <c r="E561" s="54" t="str" cm="1">
        <f t="array" aca="1" ref="E561" ca="1">IF(H561=0,"",HYPERLINK("#"&amp;RIGHT(CELL("dateiname"),LEN(CELL("dateiname"))-FIND("]",CELL("dateiname")))&amp;"!"&amp;CELL("adresse",OFFSET($Q$6,H561-1,0)),"Definition"))</f>
        <v/>
      </c>
      <c r="F561" s="54" t="str" cm="1">
        <f t="array" aca="1" ref="F561" ca="1">IF(I561=0,"",HYPERLINK("#"&amp;RIGHT(CELL("adresse",OFFSET(DMAV_Doku!$B$6,I561-1,0)),LEN(CELL("adresse",OFFSET(DMAV_Doku!$B$6,I561-1,0)))-SEARCH("]",CELL("adresse",OFFSET(DMAV_Doku!$B$6,I561-1,0)))),"ModDoc"))</f>
        <v>ModDoc</v>
      </c>
      <c r="G561" s="150" t="str">
        <f t="shared" si="16"/>
        <v>MRL13</v>
      </c>
      <c r="H561" s="150">
        <f t="shared" si="17"/>
        <v>0</v>
      </c>
      <c r="I561" s="150">
        <f>IF(_xlfn.XLOOKUP(G561,Korrelation!$A$4:$A$723,Korrelation!$B$4:$B$723,0,0)=0,0,MATCH(_xlfn.XLOOKUP(G561,Korrelation!$A$4:$A$723,Korrelation!$B$4:$B$723,0,0),DMAV_Doku!$H$6:$H$483,0))</f>
        <v>376</v>
      </c>
      <c r="J561" s="158"/>
      <c r="K561" s="161"/>
      <c r="L561" s="161"/>
      <c r="M561" s="158"/>
      <c r="N561" s="51" t="s">
        <v>4405</v>
      </c>
      <c r="O561" s="51" t="s">
        <v>3900</v>
      </c>
      <c r="P561" s="51" t="s">
        <v>21</v>
      </c>
      <c r="Q561" s="51" t="s">
        <v>949</v>
      </c>
      <c r="R561" s="51" t="s">
        <v>545</v>
      </c>
      <c r="U561" s="52" t="s">
        <v>104</v>
      </c>
      <c r="W561" s="52" t="s">
        <v>965</v>
      </c>
      <c r="Y561" s="52" t="s">
        <v>4408</v>
      </c>
      <c r="AB561" s="51" t="s">
        <v>4406</v>
      </c>
      <c r="AC561" s="51" t="s">
        <v>3901</v>
      </c>
      <c r="AD561" s="51" t="s">
        <v>708</v>
      </c>
      <c r="AE561" s="51" t="s">
        <v>949</v>
      </c>
      <c r="AF561" s="51" t="s">
        <v>876</v>
      </c>
      <c r="AI561" s="52" t="s">
        <v>736</v>
      </c>
      <c r="AK561" s="52" t="s">
        <v>965</v>
      </c>
      <c r="AP561" s="51" t="s">
        <v>4407</v>
      </c>
      <c r="AQ561" s="51" t="s">
        <v>3902</v>
      </c>
      <c r="AR561" s="51" t="s">
        <v>1937</v>
      </c>
      <c r="AS561" s="51" t="s">
        <v>949</v>
      </c>
      <c r="AT561" s="51" t="s">
        <v>4409</v>
      </c>
      <c r="AW561" s="52" t="s">
        <v>1595</v>
      </c>
      <c r="AY561" s="52" t="s">
        <v>965</v>
      </c>
    </row>
    <row r="562" spans="1:54" ht="38.25" x14ac:dyDescent="0.25">
      <c r="A562" s="51" t="s">
        <v>3811</v>
      </c>
      <c r="B562" s="51">
        <v>14</v>
      </c>
      <c r="E562" s="54" t="str" cm="1">
        <f t="array" aca="1" ref="E562" ca="1">IF(H562=0,"",HYPERLINK("#"&amp;RIGHT(CELL("dateiname"),LEN(CELL("dateiname"))-FIND("]",CELL("dateiname")))&amp;"!"&amp;CELL("adresse",OFFSET($Q$6,H562-1,0)),"Definition"))</f>
        <v/>
      </c>
      <c r="F562" s="54" t="str" cm="1">
        <f t="array" aca="1" ref="F562" ca="1">IF(I562=0,"",HYPERLINK("#"&amp;RIGHT(CELL("adresse",OFFSET(DMAV_Doku!$B$6,I562-1,0)),LEN(CELL("adresse",OFFSET(DMAV_Doku!$B$6,I562-1,0)))-SEARCH("]",CELL("adresse",OFFSET(DMAV_Doku!$B$6,I562-1,0)))),"ModDoc"))</f>
        <v>ModDoc</v>
      </c>
      <c r="G562" s="150" t="str">
        <f t="shared" si="16"/>
        <v>MRL14</v>
      </c>
      <c r="H562" s="150">
        <f t="shared" si="17"/>
        <v>0</v>
      </c>
      <c r="I562" s="150">
        <f>IF(_xlfn.XLOOKUP(G562,Korrelation!$A$4:$A$723,Korrelation!$B$4:$B$723,0,0)=0,0,MATCH(_xlfn.XLOOKUP(G562,Korrelation!$A$4:$A$723,Korrelation!$B$4:$B$723,0,0),DMAV_Doku!$H$6:$H$483,0))</f>
        <v>377</v>
      </c>
      <c r="J562" s="158"/>
      <c r="K562" s="161"/>
      <c r="L562" s="161"/>
      <c r="M562" s="158"/>
      <c r="N562" s="51" t="s">
        <v>4405</v>
      </c>
      <c r="O562" s="51" t="s">
        <v>3900</v>
      </c>
      <c r="P562" s="51" t="s">
        <v>21</v>
      </c>
      <c r="Q562" s="51" t="s">
        <v>949</v>
      </c>
      <c r="R562" s="51" t="s">
        <v>545</v>
      </c>
      <c r="S562" s="50" t="s">
        <v>950</v>
      </c>
      <c r="U562" s="52" t="s">
        <v>107</v>
      </c>
      <c r="W562" s="52" t="s">
        <v>966</v>
      </c>
      <c r="Y562" s="52" t="s">
        <v>4408</v>
      </c>
      <c r="AB562" s="51" t="s">
        <v>4406</v>
      </c>
      <c r="AC562" s="51" t="s">
        <v>3901</v>
      </c>
      <c r="AD562" s="51" t="s">
        <v>708</v>
      </c>
      <c r="AE562" s="51" t="s">
        <v>949</v>
      </c>
      <c r="AF562" s="51" t="s">
        <v>876</v>
      </c>
      <c r="AG562" s="50" t="s">
        <v>950</v>
      </c>
      <c r="AI562" s="52" t="s">
        <v>737</v>
      </c>
      <c r="AK562" s="52" t="s">
        <v>4013</v>
      </c>
      <c r="AP562" s="51" t="s">
        <v>4407</v>
      </c>
      <c r="AQ562" s="51" t="s">
        <v>3902</v>
      </c>
      <c r="AR562" s="51" t="s">
        <v>1937</v>
      </c>
      <c r="AS562" s="51" t="s">
        <v>949</v>
      </c>
      <c r="AT562" s="51" t="s">
        <v>4409</v>
      </c>
      <c r="AU562" s="50" t="s">
        <v>950</v>
      </c>
      <c r="AW562" s="52" t="s">
        <v>4014</v>
      </c>
      <c r="AY562" s="52" t="s">
        <v>4013</v>
      </c>
    </row>
    <row r="563" spans="1:54" ht="38.25" x14ac:dyDescent="0.25">
      <c r="A563" s="51" t="s">
        <v>3811</v>
      </c>
      <c r="B563" s="51">
        <v>15</v>
      </c>
      <c r="E563" s="54" t="str" cm="1">
        <f t="array" aca="1" ref="E563" ca="1">IF(H563=0,"",HYPERLINK("#"&amp;RIGHT(CELL("dateiname"),LEN(CELL("dateiname"))-FIND("]",CELL("dateiname")))&amp;"!"&amp;CELL("adresse",OFFSET($Q$6,H563-1,0)),"Definition"))</f>
        <v/>
      </c>
      <c r="F563" s="54" t="str" cm="1">
        <f t="array" aca="1" ref="F563" ca="1">IF(I563=0,"",HYPERLINK("#"&amp;RIGHT(CELL("adresse",OFFSET(DMAV_Doku!$B$6,I563-1,0)),LEN(CELL("adresse",OFFSET(DMAV_Doku!$B$6,I563-1,0)))-SEARCH("]",CELL("adresse",OFFSET(DMAV_Doku!$B$6,I563-1,0)))),"ModDoc"))</f>
        <v>ModDoc</v>
      </c>
      <c r="G563" s="150" t="str">
        <f t="shared" si="16"/>
        <v>MRL15</v>
      </c>
      <c r="H563" s="150">
        <f t="shared" si="17"/>
        <v>0</v>
      </c>
      <c r="I563" s="150">
        <f>IF(_xlfn.XLOOKUP(G563,Korrelation!$A$4:$A$723,Korrelation!$B$4:$B$723,0,0)=0,0,MATCH(_xlfn.XLOOKUP(G563,Korrelation!$A$4:$A$723,Korrelation!$B$4:$B$723,0,0),DMAV_Doku!$H$6:$H$483,0))</f>
        <v>366</v>
      </c>
      <c r="J563" s="158"/>
      <c r="K563" s="161"/>
      <c r="L563" s="161"/>
      <c r="M563" s="158"/>
      <c r="N563" s="51" t="s">
        <v>4405</v>
      </c>
      <c r="O563" s="51" t="s">
        <v>3900</v>
      </c>
      <c r="P563" s="51" t="s">
        <v>21</v>
      </c>
      <c r="Q563" s="51" t="s">
        <v>1067</v>
      </c>
      <c r="R563" s="51" t="s">
        <v>317</v>
      </c>
      <c r="S563" s="50" t="s">
        <v>950</v>
      </c>
      <c r="U563" s="55" t="s">
        <v>123</v>
      </c>
      <c r="V563" s="55"/>
      <c r="W563" s="52" t="s">
        <v>965</v>
      </c>
      <c r="Y563" s="52" t="s">
        <v>4408</v>
      </c>
      <c r="AB563" s="51" t="s">
        <v>4406</v>
      </c>
      <c r="AC563" s="51" t="s">
        <v>3901</v>
      </c>
      <c r="AD563" s="51" t="s">
        <v>708</v>
      </c>
      <c r="AE563" s="51" t="s">
        <v>1067</v>
      </c>
      <c r="AF563" s="51" t="s">
        <v>798</v>
      </c>
      <c r="AG563" s="50" t="s">
        <v>950</v>
      </c>
      <c r="AI563" s="52" t="s">
        <v>123</v>
      </c>
      <c r="AK563" s="52" t="s">
        <v>965</v>
      </c>
      <c r="AP563" s="51" t="s">
        <v>4407</v>
      </c>
      <c r="AQ563" s="51" t="s">
        <v>3902</v>
      </c>
      <c r="AR563" s="51" t="s">
        <v>1937</v>
      </c>
      <c r="AS563" s="51" t="s">
        <v>1067</v>
      </c>
      <c r="AT563" s="51" t="s">
        <v>4291</v>
      </c>
      <c r="AU563" s="50" t="s">
        <v>950</v>
      </c>
      <c r="AW563" s="52" t="s">
        <v>1247</v>
      </c>
      <c r="AY563" s="52" t="s">
        <v>965</v>
      </c>
    </row>
    <row r="564" spans="1:54" ht="38.25" x14ac:dyDescent="0.25">
      <c r="A564" s="51" t="s">
        <v>3811</v>
      </c>
      <c r="B564" s="51">
        <v>16</v>
      </c>
      <c r="E564" s="54" t="str" cm="1">
        <f t="array" aca="1" ref="E564" ca="1">IF(H564=0,"",HYPERLINK("#"&amp;RIGHT(CELL("dateiname"),LEN(CELL("dateiname"))-FIND("]",CELL("dateiname")))&amp;"!"&amp;CELL("adresse",OFFSET($Q$6,H564-1,0)),"Definition"))</f>
        <v/>
      </c>
      <c r="F564" s="54" t="str" cm="1">
        <f t="array" aca="1" ref="F564" ca="1">IF(I564=0,"",HYPERLINK("#"&amp;RIGHT(CELL("adresse",OFFSET(DMAV_Doku!$B$6,I564-1,0)),LEN(CELL("adresse",OFFSET(DMAV_Doku!$B$6,I564-1,0)))-SEARCH("]",CELL("adresse",OFFSET(DMAV_Doku!$B$6,I564-1,0)))),"ModDoc"))</f>
        <v>ModDoc</v>
      </c>
      <c r="G564" s="150" t="str">
        <f t="shared" si="16"/>
        <v>MRL16</v>
      </c>
      <c r="H564" s="150">
        <f t="shared" si="17"/>
        <v>0</v>
      </c>
      <c r="I564" s="150">
        <f>IF(_xlfn.XLOOKUP(G564,Korrelation!$A$4:$A$723,Korrelation!$B$4:$B$723,0,0)=0,0,MATCH(_xlfn.XLOOKUP(G564,Korrelation!$A$4:$A$723,Korrelation!$B$4:$B$723,0,0),DMAV_Doku!$H$6:$H$483,0))</f>
        <v>367</v>
      </c>
      <c r="J564" s="158"/>
      <c r="K564" s="161"/>
      <c r="L564" s="161"/>
      <c r="M564" s="158"/>
      <c r="N564" s="51" t="s">
        <v>4405</v>
      </c>
      <c r="O564" s="51" t="s">
        <v>3900</v>
      </c>
      <c r="P564" s="51" t="s">
        <v>21</v>
      </c>
      <c r="Q564" s="51" t="s">
        <v>1067</v>
      </c>
      <c r="R564" s="51" t="s">
        <v>317</v>
      </c>
      <c r="U564" s="52" t="s">
        <v>536</v>
      </c>
      <c r="W564" s="52" t="s">
        <v>1004</v>
      </c>
      <c r="Y564" s="52" t="s">
        <v>4408</v>
      </c>
      <c r="AB564" s="51" t="s">
        <v>4406</v>
      </c>
      <c r="AC564" s="51" t="s">
        <v>3901</v>
      </c>
      <c r="AD564" s="51" t="s">
        <v>708</v>
      </c>
      <c r="AE564" s="51" t="s">
        <v>1067</v>
      </c>
      <c r="AF564" s="51" t="s">
        <v>798</v>
      </c>
      <c r="AI564" s="52" t="s">
        <v>873</v>
      </c>
      <c r="AK564" s="52" t="s">
        <v>1004</v>
      </c>
      <c r="AP564" s="51" t="s">
        <v>4407</v>
      </c>
      <c r="AQ564" s="51" t="s">
        <v>3902</v>
      </c>
      <c r="AR564" s="51" t="s">
        <v>1937</v>
      </c>
      <c r="AS564" s="51" t="s">
        <v>1067</v>
      </c>
      <c r="AT564" s="51" t="s">
        <v>4291</v>
      </c>
      <c r="AW564" s="52" t="s">
        <v>4411</v>
      </c>
      <c r="AY564" s="52" t="s">
        <v>1004</v>
      </c>
    </row>
    <row r="565" spans="1:54" ht="38.25" x14ac:dyDescent="0.25">
      <c r="A565" s="51" t="s">
        <v>3811</v>
      </c>
      <c r="B565" s="51">
        <v>17</v>
      </c>
      <c r="D565" s="51" t="s">
        <v>3538</v>
      </c>
      <c r="E565" s="54" t="str" cm="1">
        <f t="array" aca="1" ref="E565" ca="1">IF(H565=0,"",HYPERLINK("#"&amp;RIGHT(CELL("dateiname"),LEN(CELL("dateiname"))-FIND("]",CELL("dateiname")))&amp;"!"&amp;CELL("adresse",OFFSET($Q$6,H565-1,0)),"Definition"))</f>
        <v/>
      </c>
      <c r="F565" s="54" t="str" cm="1">
        <f t="array" aca="1" ref="F565" ca="1">IF(I565=0,"",HYPERLINK("#"&amp;RIGHT(CELL("adresse",OFFSET(DMAV_Doku!$B$6,I565-1,0)),LEN(CELL("adresse",OFFSET(DMAV_Doku!$B$6,I565-1,0)))-SEARCH("]",CELL("adresse",OFFSET(DMAV_Doku!$B$6,I565-1,0)))),"ModDoc"))</f>
        <v/>
      </c>
      <c r="G565" s="150" t="str">
        <f t="shared" si="16"/>
        <v>MRL17</v>
      </c>
      <c r="H565" s="150">
        <f t="shared" si="17"/>
        <v>0</v>
      </c>
      <c r="I565" s="150">
        <f>IF(_xlfn.XLOOKUP(G565,Korrelation!$A$4:$A$723,Korrelation!$B$4:$B$723,0,0)=0,0,MATCH(_xlfn.XLOOKUP(G565,Korrelation!$A$4:$A$723,Korrelation!$B$4:$B$723,0,0),DMAV_Doku!$H$6:$H$483,0))</f>
        <v>0</v>
      </c>
      <c r="J565" s="158"/>
      <c r="K565" s="161"/>
      <c r="L565" s="161"/>
      <c r="M565" s="158"/>
      <c r="N565" s="51" t="s">
        <v>4405</v>
      </c>
      <c r="O565" s="51" t="s">
        <v>3900</v>
      </c>
      <c r="P565" s="51" t="s">
        <v>21</v>
      </c>
      <c r="Q565" s="51" t="s">
        <v>1068</v>
      </c>
      <c r="R565" s="51" t="s">
        <v>317</v>
      </c>
      <c r="S565" s="50" t="s">
        <v>950</v>
      </c>
      <c r="U565" s="52" t="s">
        <v>3449</v>
      </c>
      <c r="W565" s="52" t="s">
        <v>4412</v>
      </c>
      <c r="Y565" s="52" t="s">
        <v>4408</v>
      </c>
      <c r="Z565" s="202" t="s">
        <v>2776</v>
      </c>
      <c r="AB565" s="51" t="s">
        <v>4406</v>
      </c>
      <c r="AC565" s="51" t="s">
        <v>3901</v>
      </c>
      <c r="AD565" s="51" t="s">
        <v>708</v>
      </c>
      <c r="AE565" s="51" t="s">
        <v>1068</v>
      </c>
      <c r="AF565" s="51" t="s">
        <v>798</v>
      </c>
      <c r="AG565" s="50" t="s">
        <v>950</v>
      </c>
      <c r="AI565" s="52" t="s">
        <v>4095</v>
      </c>
      <c r="AK565" s="52" t="s">
        <v>4413</v>
      </c>
      <c r="AN565" s="202" t="s">
        <v>7252</v>
      </c>
      <c r="AP565" s="51" t="s">
        <v>4407</v>
      </c>
      <c r="AQ565" s="51" t="s">
        <v>3902</v>
      </c>
      <c r="AR565" s="51" t="s">
        <v>1937</v>
      </c>
      <c r="AS565" s="51" t="s">
        <v>1068</v>
      </c>
      <c r="AT565" s="51" t="s">
        <v>4291</v>
      </c>
      <c r="AU565" s="50" t="s">
        <v>950</v>
      </c>
      <c r="AW565" s="52" t="s">
        <v>4095</v>
      </c>
      <c r="AY565" s="52" t="s">
        <v>4414</v>
      </c>
      <c r="BB565" s="202" t="s">
        <v>6038</v>
      </c>
    </row>
    <row r="566" spans="1:54" ht="38.25" x14ac:dyDescent="0.25">
      <c r="A566" s="51" t="s">
        <v>3811</v>
      </c>
      <c r="B566" s="51">
        <v>18</v>
      </c>
      <c r="E566" s="54" t="str" cm="1">
        <f t="array" aca="1" ref="E566" ca="1">IF(H566=0,"",HYPERLINK("#"&amp;RIGHT(CELL("dateiname"),LEN(CELL("dateiname"))-FIND("]",CELL("dateiname")))&amp;"!"&amp;CELL("adresse",OFFSET($Q$6,H566-1,0)),"Definition"))</f>
        <v/>
      </c>
      <c r="F566" s="54" t="str" cm="1">
        <f t="array" aca="1" ref="F566" ca="1">IF(I566=0,"",HYPERLINK("#"&amp;RIGHT(CELL("adresse",OFFSET(DMAV_Doku!$B$6,I566-1,0)),LEN(CELL("adresse",OFFSET(DMAV_Doku!$B$6,I566-1,0)))-SEARCH("]",CELL("adresse",OFFSET(DMAV_Doku!$B$6,I566-1,0)))),"ModDoc"))</f>
        <v>ModDoc</v>
      </c>
      <c r="G566" s="150" t="str">
        <f t="shared" si="16"/>
        <v>MRL18</v>
      </c>
      <c r="H566" s="150">
        <f t="shared" si="17"/>
        <v>0</v>
      </c>
      <c r="I566" s="150">
        <f>IF(_xlfn.XLOOKUP(G566,Korrelation!$A$4:$A$723,Korrelation!$B$4:$B$723,0,0)=0,0,MATCH(_xlfn.XLOOKUP(G566,Korrelation!$A$4:$A$723,Korrelation!$B$4:$B$723,0,0),DMAV_Doku!$H$6:$H$483,0))</f>
        <v>368</v>
      </c>
      <c r="J566" s="158"/>
      <c r="K566" s="161"/>
      <c r="L566" s="161"/>
      <c r="M566" s="158"/>
      <c r="N566" s="51" t="s">
        <v>4405</v>
      </c>
      <c r="O566" s="51" t="s">
        <v>3900</v>
      </c>
      <c r="P566" s="51" t="s">
        <v>21</v>
      </c>
      <c r="Q566" s="51" t="s">
        <v>1067</v>
      </c>
      <c r="R566" s="51" t="s">
        <v>302</v>
      </c>
      <c r="S566" s="50" t="s">
        <v>950</v>
      </c>
      <c r="U566" s="52" t="s">
        <v>123</v>
      </c>
      <c r="W566" s="52" t="s">
        <v>990</v>
      </c>
      <c r="Y566" s="52" t="s">
        <v>4408</v>
      </c>
      <c r="AB566" s="51" t="s">
        <v>4406</v>
      </c>
      <c r="AC566" s="51" t="s">
        <v>3901</v>
      </c>
      <c r="AD566" s="51" t="s">
        <v>708</v>
      </c>
      <c r="AE566" s="51" t="s">
        <v>1067</v>
      </c>
      <c r="AF566" s="51" t="s">
        <v>799</v>
      </c>
      <c r="AG566" s="50" t="s">
        <v>950</v>
      </c>
      <c r="AI566" s="52" t="s">
        <v>123</v>
      </c>
      <c r="AK566" s="52" t="s">
        <v>990</v>
      </c>
      <c r="AP566" s="51" t="s">
        <v>4407</v>
      </c>
      <c r="AQ566" s="51" t="s">
        <v>3902</v>
      </c>
      <c r="AR566" s="51" t="s">
        <v>1937</v>
      </c>
      <c r="AS566" s="51" t="s">
        <v>1067</v>
      </c>
      <c r="AT566" s="51" t="s">
        <v>4292</v>
      </c>
      <c r="AU566" s="50" t="s">
        <v>950</v>
      </c>
      <c r="AW566" s="52" t="s">
        <v>1247</v>
      </c>
      <c r="AY566" s="52" t="s">
        <v>990</v>
      </c>
    </row>
    <row r="567" spans="1:54" ht="38.25" x14ac:dyDescent="0.25">
      <c r="A567" s="51" t="s">
        <v>3811</v>
      </c>
      <c r="B567" s="51">
        <v>19</v>
      </c>
      <c r="E567" s="54" t="str" cm="1">
        <f t="array" aca="1" ref="E567" ca="1">IF(H567=0,"",HYPERLINK("#"&amp;RIGHT(CELL("dateiname"),LEN(CELL("dateiname"))-FIND("]",CELL("dateiname")))&amp;"!"&amp;CELL("adresse",OFFSET($Q$6,H567-1,0)),"Definition"))</f>
        <v/>
      </c>
      <c r="F567" s="54" t="str" cm="1">
        <f t="array" aca="1" ref="F567" ca="1">IF(I567=0,"",HYPERLINK("#"&amp;RIGHT(CELL("adresse",OFFSET(DMAV_Doku!$B$6,I567-1,0)),LEN(CELL("adresse",OFFSET(DMAV_Doku!$B$6,I567-1,0)))-SEARCH("]",CELL("adresse",OFFSET(DMAV_Doku!$B$6,I567-1,0)))),"ModDoc"))</f>
        <v>ModDoc</v>
      </c>
      <c r="G567" s="150" t="str">
        <f t="shared" si="16"/>
        <v>MRL19</v>
      </c>
      <c r="H567" s="150">
        <f t="shared" si="17"/>
        <v>0</v>
      </c>
      <c r="I567" s="150">
        <f>IF(_xlfn.XLOOKUP(G567,Korrelation!$A$4:$A$723,Korrelation!$B$4:$B$723,0,0)=0,0,MATCH(_xlfn.XLOOKUP(G567,Korrelation!$A$4:$A$723,Korrelation!$B$4:$B$723,0,0),DMAV_Doku!$H$6:$H$483,0))</f>
        <v>369</v>
      </c>
      <c r="J567" s="158"/>
      <c r="K567" s="161"/>
      <c r="L567" s="161"/>
      <c r="M567" s="158"/>
      <c r="N567" s="51" t="s">
        <v>4405</v>
      </c>
      <c r="O567" s="51" t="s">
        <v>3900</v>
      </c>
      <c r="P567" s="51" t="s">
        <v>21</v>
      </c>
      <c r="Q567" s="51" t="s">
        <v>1067</v>
      </c>
      <c r="R567" s="51" t="s">
        <v>302</v>
      </c>
      <c r="S567" s="50" t="s">
        <v>950</v>
      </c>
      <c r="U567" s="52" t="s">
        <v>538</v>
      </c>
      <c r="W567" s="52" t="s">
        <v>131</v>
      </c>
      <c r="Y567" s="52" t="s">
        <v>4408</v>
      </c>
      <c r="AB567" s="51" t="s">
        <v>4406</v>
      </c>
      <c r="AC567" s="51" t="s">
        <v>3901</v>
      </c>
      <c r="AD567" s="51" t="s">
        <v>708</v>
      </c>
      <c r="AE567" s="51" t="s">
        <v>1067</v>
      </c>
      <c r="AF567" s="51" t="s">
        <v>799</v>
      </c>
      <c r="AG567" s="50" t="s">
        <v>950</v>
      </c>
      <c r="AI567" s="52" t="s">
        <v>874</v>
      </c>
      <c r="AK567" s="52" t="s">
        <v>131</v>
      </c>
      <c r="AP567" s="51" t="s">
        <v>4407</v>
      </c>
      <c r="AQ567" s="51" t="s">
        <v>3902</v>
      </c>
      <c r="AR567" s="51" t="s">
        <v>1937</v>
      </c>
      <c r="AS567" s="51" t="s">
        <v>1067</v>
      </c>
      <c r="AT567" s="51" t="s">
        <v>4292</v>
      </c>
      <c r="AU567" s="50" t="s">
        <v>950</v>
      </c>
      <c r="AW567" s="52" t="s">
        <v>4415</v>
      </c>
      <c r="AY567" s="52" t="s">
        <v>131</v>
      </c>
    </row>
    <row r="568" spans="1:54" ht="38.25" x14ac:dyDescent="0.25">
      <c r="A568" s="51" t="s">
        <v>3811</v>
      </c>
      <c r="B568" s="51">
        <v>20</v>
      </c>
      <c r="E568" s="54" t="str" cm="1">
        <f t="array" aca="1" ref="E568" ca="1">IF(H568=0,"",HYPERLINK("#"&amp;RIGHT(CELL("dateiname"),LEN(CELL("dateiname"))-FIND("]",CELL("dateiname")))&amp;"!"&amp;CELL("adresse",OFFSET($Q$6,H568-1,0)),"Definition"))</f>
        <v/>
      </c>
      <c r="F568" s="54" t="str" cm="1">
        <f t="array" aca="1" ref="F568" ca="1">IF(I568=0,"",HYPERLINK("#"&amp;RIGHT(CELL("adresse",OFFSET(DMAV_Doku!$B$6,I568-1,0)),LEN(CELL("adresse",OFFSET(DMAV_Doku!$B$6,I568-1,0)))-SEARCH("]",CELL("adresse",OFFSET(DMAV_Doku!$B$6,I568-1,0)))),"ModDoc"))</f>
        <v>ModDoc</v>
      </c>
      <c r="G568" s="150" t="str">
        <f t="shared" si="16"/>
        <v>MRL20</v>
      </c>
      <c r="H568" s="150">
        <f t="shared" si="17"/>
        <v>0</v>
      </c>
      <c r="I568" s="150">
        <f>IF(_xlfn.XLOOKUP(G568,Korrelation!$A$4:$A$723,Korrelation!$B$4:$B$723,0,0)=0,0,MATCH(_xlfn.XLOOKUP(G568,Korrelation!$A$4:$A$723,Korrelation!$B$4:$B$723,0,0),DMAV_Doku!$H$6:$H$483,0))</f>
        <v>370</v>
      </c>
      <c r="J568" s="158"/>
      <c r="K568" s="161"/>
      <c r="L568" s="161"/>
      <c r="M568" s="158"/>
      <c r="N568" s="51" t="s">
        <v>4405</v>
      </c>
      <c r="O568" s="51" t="s">
        <v>3900</v>
      </c>
      <c r="P568" s="51" t="s">
        <v>21</v>
      </c>
      <c r="Q568" s="51" t="s">
        <v>1067</v>
      </c>
      <c r="R568" s="51" t="s">
        <v>304</v>
      </c>
      <c r="S568" s="50" t="s">
        <v>950</v>
      </c>
      <c r="U568" s="52" t="s">
        <v>123</v>
      </c>
      <c r="W568" s="52" t="s">
        <v>952</v>
      </c>
      <c r="Y568" s="52" t="s">
        <v>4408</v>
      </c>
      <c r="AB568" s="51" t="s">
        <v>4406</v>
      </c>
      <c r="AC568" s="51" t="s">
        <v>3901</v>
      </c>
      <c r="AD568" s="51" t="s">
        <v>708</v>
      </c>
      <c r="AE568" s="51" t="s">
        <v>1067</v>
      </c>
      <c r="AF568" s="51" t="s">
        <v>800</v>
      </c>
      <c r="AG568" s="50" t="s">
        <v>950</v>
      </c>
      <c r="AI568" s="52" t="s">
        <v>123</v>
      </c>
      <c r="AK568" s="52" t="s">
        <v>952</v>
      </c>
      <c r="AP568" s="51" t="s">
        <v>4407</v>
      </c>
      <c r="AQ568" s="51" t="s">
        <v>3902</v>
      </c>
      <c r="AR568" s="51" t="s">
        <v>1937</v>
      </c>
      <c r="AS568" s="51" t="s">
        <v>1067</v>
      </c>
      <c r="AT568" s="51" t="s">
        <v>4293</v>
      </c>
      <c r="AU568" s="50" t="s">
        <v>950</v>
      </c>
      <c r="AW568" s="52" t="s">
        <v>1247</v>
      </c>
      <c r="AY568" s="52" t="s">
        <v>952</v>
      </c>
    </row>
    <row r="569" spans="1:54" ht="38.25" x14ac:dyDescent="0.25">
      <c r="A569" s="51" t="s">
        <v>3811</v>
      </c>
      <c r="B569" s="51">
        <v>21</v>
      </c>
      <c r="C569" s="51" t="s">
        <v>3829</v>
      </c>
      <c r="E569" s="54" t="str" cm="1">
        <f t="array" aca="1" ref="E569" ca="1">IF(H569=0,"",HYPERLINK("#"&amp;RIGHT(CELL("dateiname"),LEN(CELL("dateiname"))-FIND("]",CELL("dateiname")))&amp;"!"&amp;CELL("adresse",OFFSET($Q$6,H569-1,0)),"Definition"))</f>
        <v>Definition</v>
      </c>
      <c r="F569" s="54" t="str" cm="1">
        <f t="array" aca="1" ref="F569" ca="1">IF(I569=0,"",HYPERLINK("#"&amp;RIGHT(CELL("adresse",OFFSET(DMAV_Doku!$B$6,I569-1,0)),LEN(CELL("adresse",OFFSET(DMAV_Doku!$B$6,I569-1,0)))-SEARCH("]",CELL("adresse",OFFSET(DMAV_Doku!$B$6,I569-1,0)))),"ModDoc"))</f>
        <v>ModDoc</v>
      </c>
      <c r="G569" s="150" t="str">
        <f t="shared" si="16"/>
        <v>MRL21</v>
      </c>
      <c r="H569" s="150">
        <f t="shared" si="17"/>
        <v>17</v>
      </c>
      <c r="I569" s="150">
        <f>IF(_xlfn.XLOOKUP(G569,Korrelation!$A$4:$A$723,Korrelation!$B$4:$B$723,0,0)=0,0,MATCH(_xlfn.XLOOKUP(G569,Korrelation!$A$4:$A$723,Korrelation!$B$4:$B$723,0,0),DMAV_Doku!$H$6:$H$483,0))</f>
        <v>371</v>
      </c>
      <c r="J569" s="158"/>
      <c r="K569" s="161">
        <v>45444</v>
      </c>
      <c r="L569" s="161"/>
      <c r="M569" s="158"/>
      <c r="N569" s="51" t="s">
        <v>4405</v>
      </c>
      <c r="O569" s="51" t="s">
        <v>3900</v>
      </c>
      <c r="P569" s="51" t="s">
        <v>21</v>
      </c>
      <c r="Q569" s="51" t="s">
        <v>1067</v>
      </c>
      <c r="R569" s="51" t="s">
        <v>304</v>
      </c>
      <c r="U569" s="52" t="s">
        <v>125</v>
      </c>
      <c r="W569" s="52" t="s">
        <v>953</v>
      </c>
      <c r="Y569" s="52" t="s">
        <v>4408</v>
      </c>
      <c r="AB569" s="51" t="s">
        <v>4406</v>
      </c>
      <c r="AC569" s="51" t="s">
        <v>3901</v>
      </c>
      <c r="AD569" s="51" t="s">
        <v>708</v>
      </c>
      <c r="AE569" s="51" t="s">
        <v>1067</v>
      </c>
      <c r="AF569" s="51" t="s">
        <v>800</v>
      </c>
      <c r="AI569" s="52" t="s">
        <v>743</v>
      </c>
      <c r="AK569" s="52" t="s">
        <v>4017</v>
      </c>
      <c r="AP569" s="51" t="s">
        <v>4407</v>
      </c>
      <c r="AQ569" s="51" t="s">
        <v>3902</v>
      </c>
      <c r="AR569" s="51" t="s">
        <v>1937</v>
      </c>
      <c r="AS569" s="51" t="s">
        <v>1067</v>
      </c>
      <c r="AT569" s="51" t="s">
        <v>4293</v>
      </c>
      <c r="AW569" s="52" t="s">
        <v>4018</v>
      </c>
      <c r="AY569" s="52" t="s">
        <v>4019</v>
      </c>
    </row>
    <row r="570" spans="1:54" ht="38.25" x14ac:dyDescent="0.25">
      <c r="A570" s="51" t="s">
        <v>3811</v>
      </c>
      <c r="B570" s="51">
        <v>22</v>
      </c>
      <c r="C570" s="51" t="s">
        <v>3826</v>
      </c>
      <c r="E570" s="54" t="str" cm="1">
        <f t="array" aca="1" ref="E570" ca="1">IF(H570=0,"",HYPERLINK("#"&amp;RIGHT(CELL("dateiname"),LEN(CELL("dateiname"))-FIND("]",CELL("dateiname")))&amp;"!"&amp;CELL("adresse",OFFSET($Q$6,H570-1,0)),"Definition"))</f>
        <v>Definition</v>
      </c>
      <c r="F570" s="54" t="str" cm="1">
        <f t="array" aca="1" ref="F570" ca="1">IF(I570=0,"",HYPERLINK("#"&amp;RIGHT(CELL("adresse",OFFSET(DMAV_Doku!$B$6,I570-1,0)),LEN(CELL("adresse",OFFSET(DMAV_Doku!$B$6,I570-1,0)))-SEARCH("]",CELL("adresse",OFFSET(DMAV_Doku!$B$6,I570-1,0)))),"ModDoc"))</f>
        <v>ModDoc</v>
      </c>
      <c r="G570" s="150" t="str">
        <f t="shared" si="16"/>
        <v>MRL22</v>
      </c>
      <c r="H570" s="150">
        <f t="shared" si="17"/>
        <v>20</v>
      </c>
      <c r="I570" s="150">
        <f>IF(_xlfn.XLOOKUP(G570,Korrelation!$A$4:$A$723,Korrelation!$B$4:$B$723,0,0)=0,0,MATCH(_xlfn.XLOOKUP(G570,Korrelation!$A$4:$A$723,Korrelation!$B$4:$B$723,0,0),DMAV_Doku!$H$6:$H$483,0))</f>
        <v>372</v>
      </c>
      <c r="J570" s="158"/>
      <c r="K570" s="161"/>
      <c r="L570" s="161"/>
      <c r="M570" s="158"/>
      <c r="N570" s="51" t="s">
        <v>4405</v>
      </c>
      <c r="O570" s="51" t="s">
        <v>3900</v>
      </c>
      <c r="P570" s="51" t="s">
        <v>21</v>
      </c>
      <c r="Q570" s="51" t="s">
        <v>1067</v>
      </c>
      <c r="R570" s="51" t="s">
        <v>304</v>
      </c>
      <c r="S570" s="50" t="s">
        <v>950</v>
      </c>
      <c r="U570" s="52" t="s">
        <v>149</v>
      </c>
      <c r="W570" s="52" t="s">
        <v>961</v>
      </c>
      <c r="Y570" s="52" t="s">
        <v>4408</v>
      </c>
      <c r="AB570" s="51" t="s">
        <v>4406</v>
      </c>
      <c r="AC570" s="51" t="s">
        <v>3901</v>
      </c>
      <c r="AD570" s="51" t="s">
        <v>708</v>
      </c>
      <c r="AE570" s="51" t="s">
        <v>1067</v>
      </c>
      <c r="AF570" s="51" t="s">
        <v>800</v>
      </c>
      <c r="AG570" s="50" t="s">
        <v>950</v>
      </c>
      <c r="AI570" s="52" t="s">
        <v>756</v>
      </c>
      <c r="AK570" s="52" t="s">
        <v>4033</v>
      </c>
      <c r="AP570" s="51" t="s">
        <v>4407</v>
      </c>
      <c r="AQ570" s="51" t="s">
        <v>3902</v>
      </c>
      <c r="AR570" s="51" t="s">
        <v>1937</v>
      </c>
      <c r="AS570" s="51" t="s">
        <v>1067</v>
      </c>
      <c r="AT570" s="51" t="s">
        <v>4293</v>
      </c>
      <c r="AU570" s="50" t="s">
        <v>950</v>
      </c>
      <c r="AW570" s="52" t="s">
        <v>4034</v>
      </c>
      <c r="AY570" s="52" t="s">
        <v>4035</v>
      </c>
    </row>
    <row r="571" spans="1:54" ht="38.25" x14ac:dyDescent="0.25">
      <c r="A571" s="51" t="s">
        <v>3811</v>
      </c>
      <c r="B571" s="51">
        <v>23</v>
      </c>
      <c r="E571" s="54" t="str" cm="1">
        <f t="array" aca="1" ref="E571" ca="1">IF(H571=0,"",HYPERLINK("#"&amp;RIGHT(CELL("dateiname"),LEN(CELL("dateiname"))-FIND("]",CELL("dateiname")))&amp;"!"&amp;CELL("adresse",OFFSET($Q$6,H571-1,0)),"Definition"))</f>
        <v/>
      </c>
      <c r="F571" s="54" t="str" cm="1">
        <f t="array" aca="1" ref="F571" ca="1">IF(I571=0,"",HYPERLINK("#"&amp;RIGHT(CELL("adresse",OFFSET(DMAV_Doku!$B$6,I571-1,0)),LEN(CELL("adresse",OFFSET(DMAV_Doku!$B$6,I571-1,0)))-SEARCH("]",CELL("adresse",OFFSET(DMAV_Doku!$B$6,I571-1,0)))),"ModDoc"))</f>
        <v>ModDoc</v>
      </c>
      <c r="G571" s="150" t="str">
        <f t="shared" si="16"/>
        <v>MRL23</v>
      </c>
      <c r="H571" s="150">
        <f t="shared" si="17"/>
        <v>0</v>
      </c>
      <c r="I571" s="150">
        <f>IF(_xlfn.XLOOKUP(G571,Korrelation!$A$4:$A$723,Korrelation!$B$4:$B$723,0,0)=0,0,MATCH(_xlfn.XLOOKUP(G571,Korrelation!$A$4:$A$723,Korrelation!$B$4:$B$723,0,0),DMAV_Doku!$H$6:$H$483,0))</f>
        <v>379</v>
      </c>
      <c r="J571" s="158"/>
      <c r="K571" s="161"/>
      <c r="L571" s="161"/>
      <c r="M571" s="158"/>
      <c r="N571" s="51" t="s">
        <v>4405</v>
      </c>
      <c r="O571" s="51" t="s">
        <v>3900</v>
      </c>
      <c r="P571" s="51" t="s">
        <v>21</v>
      </c>
      <c r="Q571" s="51" t="s">
        <v>949</v>
      </c>
      <c r="R571" s="51" t="s">
        <v>546</v>
      </c>
      <c r="S571" s="50" t="s">
        <v>950</v>
      </c>
      <c r="U571" s="52" t="s">
        <v>549</v>
      </c>
      <c r="V571" s="55"/>
      <c r="W571" s="52" t="s">
        <v>956</v>
      </c>
      <c r="Y571" s="52" t="s">
        <v>4408</v>
      </c>
      <c r="AB571" s="51" t="s">
        <v>4406</v>
      </c>
      <c r="AC571" s="51" t="s">
        <v>3901</v>
      </c>
      <c r="AD571" s="51" t="s">
        <v>708</v>
      </c>
      <c r="AE571" s="51" t="s">
        <v>949</v>
      </c>
      <c r="AF571" s="51" t="s">
        <v>877</v>
      </c>
      <c r="AG571" s="50" t="s">
        <v>950</v>
      </c>
      <c r="AI571" s="52" t="s">
        <v>878</v>
      </c>
      <c r="AK571" s="52" t="s">
        <v>956</v>
      </c>
      <c r="AP571" s="51" t="s">
        <v>4407</v>
      </c>
      <c r="AQ571" s="51" t="s">
        <v>3902</v>
      </c>
      <c r="AR571" s="51" t="s">
        <v>1937</v>
      </c>
      <c r="AS571" s="51" t="s">
        <v>949</v>
      </c>
      <c r="AT571" s="51" t="s">
        <v>4416</v>
      </c>
      <c r="AU571" s="50" t="s">
        <v>950</v>
      </c>
      <c r="AW571" s="52" t="s">
        <v>1980</v>
      </c>
      <c r="AY571" s="52" t="s">
        <v>956</v>
      </c>
    </row>
    <row r="572" spans="1:54" ht="38.25" x14ac:dyDescent="0.25">
      <c r="A572" s="51" t="s">
        <v>3811</v>
      </c>
      <c r="B572" s="51">
        <v>24</v>
      </c>
      <c r="C572" s="51" t="s">
        <v>3842</v>
      </c>
      <c r="E572" s="54" t="str" cm="1">
        <f t="array" aca="1" ref="E572" ca="1">IF(H572=0,"",HYPERLINK("#"&amp;RIGHT(CELL("dateiname"),LEN(CELL("dateiname"))-FIND("]",CELL("dateiname")))&amp;"!"&amp;CELL("adresse",OFFSET($Q$6,H572-1,0)),"Definition"))</f>
        <v>Definition</v>
      </c>
      <c r="F572" s="54" t="str" cm="1">
        <f t="array" aca="1" ref="F572" ca="1">IF(I572=0,"",HYPERLINK("#"&amp;RIGHT(CELL("adresse",OFFSET(DMAV_Doku!$B$6,I572-1,0)),LEN(CELL("adresse",OFFSET(DMAV_Doku!$B$6,I572-1,0)))-SEARCH("]",CELL("adresse",OFFSET(DMAV_Doku!$B$6,I572-1,0)))),"ModDoc"))</f>
        <v>ModDoc</v>
      </c>
      <c r="G572" s="150" t="str">
        <f t="shared" si="16"/>
        <v>MRL24</v>
      </c>
      <c r="H572" s="150">
        <f t="shared" si="17"/>
        <v>42</v>
      </c>
      <c r="I572" s="150">
        <f>IF(_xlfn.XLOOKUP(G572,Korrelation!$A$4:$A$723,Korrelation!$B$4:$B$723,0,0)=0,0,MATCH(_xlfn.XLOOKUP(G572,Korrelation!$A$4:$A$723,Korrelation!$B$4:$B$723,0,0),DMAV_Doku!$H$6:$H$483,0))</f>
        <v>380</v>
      </c>
      <c r="J572" s="158"/>
      <c r="K572" s="161"/>
      <c r="L572" s="161"/>
      <c r="M572" s="158"/>
      <c r="N572" s="51" t="s">
        <v>4405</v>
      </c>
      <c r="O572" s="51" t="s">
        <v>3900</v>
      </c>
      <c r="P572" s="51" t="s">
        <v>21</v>
      </c>
      <c r="Q572" s="51" t="s">
        <v>949</v>
      </c>
      <c r="R572" s="51" t="s">
        <v>546</v>
      </c>
      <c r="S572" s="50" t="s">
        <v>950</v>
      </c>
      <c r="U572" s="52" t="s">
        <v>265</v>
      </c>
      <c r="W572" s="52" t="s">
        <v>1056</v>
      </c>
      <c r="Y572" s="52" t="s">
        <v>4408</v>
      </c>
      <c r="AB572" s="51" t="s">
        <v>4406</v>
      </c>
      <c r="AC572" s="51" t="s">
        <v>3901</v>
      </c>
      <c r="AD572" s="51" t="s">
        <v>708</v>
      </c>
      <c r="AE572" s="51" t="s">
        <v>949</v>
      </c>
      <c r="AF572" s="51" t="s">
        <v>877</v>
      </c>
      <c r="AG572" s="50" t="s">
        <v>950</v>
      </c>
      <c r="AI572" s="52" t="s">
        <v>711</v>
      </c>
      <c r="AK572" s="52" t="s">
        <v>4225</v>
      </c>
      <c r="AP572" s="51" t="s">
        <v>4407</v>
      </c>
      <c r="AQ572" s="51" t="s">
        <v>3902</v>
      </c>
      <c r="AR572" s="51" t="s">
        <v>1937</v>
      </c>
      <c r="AS572" s="51" t="s">
        <v>949</v>
      </c>
      <c r="AT572" s="51" t="s">
        <v>4416</v>
      </c>
      <c r="AU572" s="50" t="s">
        <v>950</v>
      </c>
      <c r="AW572" s="52" t="s">
        <v>1976</v>
      </c>
      <c r="AY572" s="52" t="s">
        <v>4226</v>
      </c>
    </row>
    <row r="573" spans="1:54" ht="38.25" x14ac:dyDescent="0.25">
      <c r="A573" s="51" t="s">
        <v>3811</v>
      </c>
      <c r="B573" s="51">
        <v>25</v>
      </c>
      <c r="C573" s="51" t="s">
        <v>3858</v>
      </c>
      <c r="E573" s="54" t="str" cm="1">
        <f t="array" aca="1" ref="E573" ca="1">IF(H573=0,"",HYPERLINK("#"&amp;RIGHT(CELL("dateiname"),LEN(CELL("dateiname"))-FIND("]",CELL("dateiname")))&amp;"!"&amp;CELL("adresse",OFFSET($Q$6,H573-1,0)),"Definition"))</f>
        <v>Definition</v>
      </c>
      <c r="F573" s="54" t="str" cm="1">
        <f t="array" aca="1" ref="F573" ca="1">IF(I573=0,"",HYPERLINK("#"&amp;RIGHT(CELL("adresse",OFFSET(DMAV_Doku!$B$6,I573-1,0)),LEN(CELL("adresse",OFFSET(DMAV_Doku!$B$6,I573-1,0)))-SEARCH("]",CELL("adresse",OFFSET(DMAV_Doku!$B$6,I573-1,0)))),"ModDoc"))</f>
        <v>ModDoc</v>
      </c>
      <c r="G573" s="150" t="str">
        <f t="shared" si="16"/>
        <v>MRL25</v>
      </c>
      <c r="H573" s="150">
        <f t="shared" si="17"/>
        <v>550</v>
      </c>
      <c r="I573" s="150">
        <f>IF(_xlfn.XLOOKUP(G573,Korrelation!$A$4:$A$723,Korrelation!$B$4:$B$723,0,0)=0,0,MATCH(_xlfn.XLOOKUP(G573,Korrelation!$A$4:$A$723,Korrelation!$B$4:$B$723,0,0),DMAV_Doku!$H$6:$H$483,0))</f>
        <v>378</v>
      </c>
      <c r="J573" s="158"/>
      <c r="K573" s="161"/>
      <c r="L573" s="161"/>
      <c r="M573" s="158"/>
      <c r="N573" s="51" t="s">
        <v>4405</v>
      </c>
      <c r="O573" s="51" t="s">
        <v>3900</v>
      </c>
      <c r="P573" s="51" t="s">
        <v>21</v>
      </c>
      <c r="Q573" s="51" t="s">
        <v>949</v>
      </c>
      <c r="R573" s="51" t="s">
        <v>546</v>
      </c>
      <c r="S573" s="50" t="s">
        <v>950</v>
      </c>
      <c r="U573" s="52" t="s">
        <v>521</v>
      </c>
      <c r="W573" s="52" t="s">
        <v>521</v>
      </c>
      <c r="Y573" s="52" t="s">
        <v>4408</v>
      </c>
      <c r="AB573" s="51" t="s">
        <v>4406</v>
      </c>
      <c r="AC573" s="51" t="s">
        <v>3901</v>
      </c>
      <c r="AD573" s="51" t="s">
        <v>708</v>
      </c>
      <c r="AE573" s="51" t="s">
        <v>949</v>
      </c>
      <c r="AF573" s="51" t="s">
        <v>877</v>
      </c>
      <c r="AG573" s="50" t="s">
        <v>950</v>
      </c>
      <c r="AI573" s="52" t="s">
        <v>868</v>
      </c>
      <c r="AK573" s="52" t="s">
        <v>868</v>
      </c>
      <c r="AP573" s="51" t="s">
        <v>4407</v>
      </c>
      <c r="AQ573" s="51" t="s">
        <v>3902</v>
      </c>
      <c r="AR573" s="51" t="s">
        <v>1937</v>
      </c>
      <c r="AS573" s="51" t="s">
        <v>949</v>
      </c>
      <c r="AT573" s="51" t="s">
        <v>4416</v>
      </c>
      <c r="AU573" s="50" t="s">
        <v>950</v>
      </c>
      <c r="AW573" s="52" t="s">
        <v>1975</v>
      </c>
      <c r="AY573" s="52" t="s">
        <v>1975</v>
      </c>
    </row>
    <row r="574" spans="1:54" ht="38.25" x14ac:dyDescent="0.25">
      <c r="A574" s="51" t="s">
        <v>3811</v>
      </c>
      <c r="B574" s="51">
        <v>26</v>
      </c>
      <c r="C574" s="51" t="s">
        <v>3847</v>
      </c>
      <c r="E574" s="54" t="str" cm="1">
        <f t="array" aca="1" ref="E574" ca="1">IF(H574=0,"",HYPERLINK("#"&amp;RIGHT(CELL("dateiname"),LEN(CELL("dateiname"))-FIND("]",CELL("dateiname")))&amp;"!"&amp;CELL("adresse",OFFSET($Q$6,H574-1,0)),"Definition"))</f>
        <v>Definition</v>
      </c>
      <c r="F574" s="54" t="str" cm="1">
        <f t="array" aca="1" ref="F574" ca="1">IF(I574=0,"",HYPERLINK("#"&amp;RIGHT(CELL("adresse",OFFSET(DMAV_Doku!$B$6,I574-1,0)),LEN(CELL("adresse",OFFSET(DMAV_Doku!$B$6,I574-1,0)))-SEARCH("]",CELL("adresse",OFFSET(DMAV_Doku!$B$6,I574-1,0)))),"ModDoc"))</f>
        <v>ModDoc</v>
      </c>
      <c r="G574" s="150" t="str">
        <f t="shared" si="16"/>
        <v>MRL26</v>
      </c>
      <c r="H574" s="150">
        <f t="shared" si="17"/>
        <v>36</v>
      </c>
      <c r="I574" s="150">
        <f>IF(_xlfn.XLOOKUP(G574,Korrelation!$A$4:$A$723,Korrelation!$B$4:$B$723,0,0)=0,0,MATCH(_xlfn.XLOOKUP(G574,Korrelation!$A$4:$A$723,Korrelation!$B$4:$B$723,0,0),DMAV_Doku!$H$6:$H$483,0))</f>
        <v>384</v>
      </c>
      <c r="J574" s="158"/>
      <c r="K574" s="161"/>
      <c r="L574" s="161"/>
      <c r="M574" s="158"/>
      <c r="N574" s="51" t="s">
        <v>4405</v>
      </c>
      <c r="O574" s="51" t="s">
        <v>3900</v>
      </c>
      <c r="P574" s="51" t="s">
        <v>21</v>
      </c>
      <c r="Q574" s="51" t="s">
        <v>949</v>
      </c>
      <c r="R574" s="51" t="s">
        <v>546</v>
      </c>
      <c r="S574" s="50" t="s">
        <v>950</v>
      </c>
      <c r="U574" s="52" t="s">
        <v>393</v>
      </c>
      <c r="W574" s="52" t="s">
        <v>1124</v>
      </c>
      <c r="Y574" s="52" t="s">
        <v>4408</v>
      </c>
      <c r="AB574" s="51" t="s">
        <v>4406</v>
      </c>
      <c r="AC574" s="51" t="s">
        <v>3901</v>
      </c>
      <c r="AD574" s="51" t="s">
        <v>708</v>
      </c>
      <c r="AE574" s="51" t="s">
        <v>949</v>
      </c>
      <c r="AF574" s="51" t="s">
        <v>877</v>
      </c>
      <c r="AG574" s="50" t="s">
        <v>950</v>
      </c>
      <c r="AI574" s="52" t="s">
        <v>814</v>
      </c>
      <c r="AK574" s="52" t="s">
        <v>4362</v>
      </c>
      <c r="AP574" s="51" t="s">
        <v>4407</v>
      </c>
      <c r="AQ574" s="51" t="s">
        <v>3902</v>
      </c>
      <c r="AR574" s="51" t="s">
        <v>1937</v>
      </c>
      <c r="AS574" s="51" t="s">
        <v>949</v>
      </c>
      <c r="AT574" s="51" t="s">
        <v>4416</v>
      </c>
      <c r="AU574" s="50" t="s">
        <v>950</v>
      </c>
      <c r="AW574" s="52" t="s">
        <v>3946</v>
      </c>
      <c r="AY574" s="52" t="s">
        <v>4363</v>
      </c>
    </row>
    <row r="575" spans="1:54" ht="38.25" x14ac:dyDescent="0.25">
      <c r="A575" s="51" t="s">
        <v>3811</v>
      </c>
      <c r="B575" s="51">
        <v>27</v>
      </c>
      <c r="C575" s="51" t="s">
        <v>3859</v>
      </c>
      <c r="E575" s="54" t="str" cm="1">
        <f t="array" aca="1" ref="E575" ca="1">IF(H575=0,"",HYPERLINK("#"&amp;RIGHT(CELL("dateiname"),LEN(CELL("dateiname"))-FIND("]",CELL("dateiname")))&amp;"!"&amp;CELL("adresse",OFFSET($Q$6,H575-1,0)),"Definition"))</f>
        <v>Definition</v>
      </c>
      <c r="F575" s="54" t="str" cm="1">
        <f t="array" aca="1" ref="F575" ca="1">IF(I575=0,"",HYPERLINK("#"&amp;RIGHT(CELL("adresse",OFFSET(DMAV_Doku!$B$6,I575-1,0)),LEN(CELL("adresse",OFFSET(DMAV_Doku!$B$6,I575-1,0)))-SEARCH("]",CELL("adresse",OFFSET(DMAV_Doku!$B$6,I575-1,0)))),"ModDoc"))</f>
        <v>ModDoc</v>
      </c>
      <c r="G575" s="150" t="str">
        <f t="shared" si="16"/>
        <v>MRL27</v>
      </c>
      <c r="H575" s="150">
        <f t="shared" si="17"/>
        <v>558</v>
      </c>
      <c r="I575" s="150">
        <f>IF(_xlfn.XLOOKUP(G575,Korrelation!$A$4:$A$723,Korrelation!$B$4:$B$723,0,0)=0,0,MATCH(_xlfn.XLOOKUP(G575,Korrelation!$A$4:$A$723,Korrelation!$B$4:$B$723,0,0),DMAV_Doku!$H$6:$H$483,0))</f>
        <v>381</v>
      </c>
      <c r="J575" s="158"/>
      <c r="K575" s="161"/>
      <c r="L575" s="161"/>
      <c r="M575" s="158"/>
      <c r="N575" s="51" t="s">
        <v>4405</v>
      </c>
      <c r="O575" s="51" t="s">
        <v>3900</v>
      </c>
      <c r="P575" s="51" t="s">
        <v>21</v>
      </c>
      <c r="Q575" s="51" t="s">
        <v>949</v>
      </c>
      <c r="R575" s="51" t="s">
        <v>546</v>
      </c>
      <c r="U575" s="52" t="s">
        <v>317</v>
      </c>
      <c r="V575" s="52" t="s">
        <v>3471</v>
      </c>
      <c r="W575" s="52" t="s">
        <v>317</v>
      </c>
      <c r="Y575" s="52" t="s">
        <v>4408</v>
      </c>
      <c r="AB575" s="51" t="s">
        <v>4406</v>
      </c>
      <c r="AC575" s="51" t="s">
        <v>3901</v>
      </c>
      <c r="AD575" s="51" t="s">
        <v>708</v>
      </c>
      <c r="AE575" s="51" t="s">
        <v>949</v>
      </c>
      <c r="AF575" s="51" t="s">
        <v>877</v>
      </c>
      <c r="AI575" s="52" t="s">
        <v>798</v>
      </c>
      <c r="AJ575" s="51" t="s">
        <v>3471</v>
      </c>
      <c r="AK575" s="52" t="s">
        <v>798</v>
      </c>
      <c r="AP575" s="51" t="s">
        <v>4407</v>
      </c>
      <c r="AQ575" s="51" t="s">
        <v>3902</v>
      </c>
      <c r="AR575" s="51" t="s">
        <v>1937</v>
      </c>
      <c r="AS575" s="51" t="s">
        <v>949</v>
      </c>
      <c r="AT575" s="51" t="s">
        <v>4416</v>
      </c>
      <c r="AW575" s="52" t="s">
        <v>4291</v>
      </c>
      <c r="AX575" s="51" t="s">
        <v>3471</v>
      </c>
      <c r="AY575" s="52" t="s">
        <v>4291</v>
      </c>
    </row>
    <row r="576" spans="1:54" ht="38.25" x14ac:dyDescent="0.25">
      <c r="A576" s="51" t="s">
        <v>3811</v>
      </c>
      <c r="B576" s="51">
        <v>28</v>
      </c>
      <c r="C576" s="51" t="s">
        <v>3860</v>
      </c>
      <c r="E576" s="54" t="str" cm="1">
        <f t="array" aca="1" ref="E576" ca="1">IF(H576=0,"",HYPERLINK("#"&amp;RIGHT(CELL("dateiname"),LEN(CELL("dateiname"))-FIND("]",CELL("dateiname")))&amp;"!"&amp;CELL("adresse",OFFSET($Q$6,H576-1,0)),"Definition"))</f>
        <v>Definition</v>
      </c>
      <c r="F576" s="54" t="str" cm="1">
        <f t="array" aca="1" ref="F576" ca="1">IF(I576=0,"",HYPERLINK("#"&amp;RIGHT(CELL("adresse",OFFSET(DMAV_Doku!$B$6,I576-1,0)),LEN(CELL("adresse",OFFSET(DMAV_Doku!$B$6,I576-1,0)))-SEARCH("]",CELL("adresse",OFFSET(DMAV_Doku!$B$6,I576-1,0)))),"ModDoc"))</f>
        <v>ModDoc</v>
      </c>
      <c r="G576" s="150" t="str">
        <f t="shared" si="16"/>
        <v>MRL28</v>
      </c>
      <c r="H576" s="150">
        <f t="shared" si="17"/>
        <v>561</v>
      </c>
      <c r="I576" s="150">
        <f>IF(_xlfn.XLOOKUP(G576,Korrelation!$A$4:$A$723,Korrelation!$B$4:$B$723,0,0)=0,0,MATCH(_xlfn.XLOOKUP(G576,Korrelation!$A$4:$A$723,Korrelation!$B$4:$B$723,0,0),DMAV_Doku!$H$6:$H$483,0))</f>
        <v>382</v>
      </c>
      <c r="J576" s="158"/>
      <c r="K576" s="161"/>
      <c r="L576" s="161"/>
      <c r="M576" s="158"/>
      <c r="N576" s="51" t="s">
        <v>4405</v>
      </c>
      <c r="O576" s="51" t="s">
        <v>3900</v>
      </c>
      <c r="P576" s="51" t="s">
        <v>21</v>
      </c>
      <c r="Q576" s="51" t="s">
        <v>949</v>
      </c>
      <c r="R576" s="51" t="s">
        <v>546</v>
      </c>
      <c r="U576" s="52" t="s">
        <v>302</v>
      </c>
      <c r="V576" s="52" t="s">
        <v>3471</v>
      </c>
      <c r="W576" s="52" t="s">
        <v>302</v>
      </c>
      <c r="Y576" s="52" t="s">
        <v>4408</v>
      </c>
      <c r="AB576" s="51" t="s">
        <v>4406</v>
      </c>
      <c r="AC576" s="51" t="s">
        <v>3901</v>
      </c>
      <c r="AD576" s="51" t="s">
        <v>708</v>
      </c>
      <c r="AE576" s="51" t="s">
        <v>949</v>
      </c>
      <c r="AF576" s="51" t="s">
        <v>877</v>
      </c>
      <c r="AI576" s="52" t="s">
        <v>799</v>
      </c>
      <c r="AJ576" s="51" t="s">
        <v>3471</v>
      </c>
      <c r="AK576" s="52" t="s">
        <v>799</v>
      </c>
      <c r="AP576" s="51" t="s">
        <v>4407</v>
      </c>
      <c r="AQ576" s="51" t="s">
        <v>3902</v>
      </c>
      <c r="AR576" s="51" t="s">
        <v>1937</v>
      </c>
      <c r="AS576" s="51" t="s">
        <v>949</v>
      </c>
      <c r="AT576" s="51" t="s">
        <v>4416</v>
      </c>
      <c r="AW576" s="52" t="s">
        <v>4292</v>
      </c>
      <c r="AX576" s="51" t="s">
        <v>3471</v>
      </c>
      <c r="AY576" s="52" t="s">
        <v>4292</v>
      </c>
    </row>
    <row r="577" spans="1:54" ht="38.25" x14ac:dyDescent="0.25">
      <c r="A577" s="51" t="s">
        <v>3811</v>
      </c>
      <c r="B577" s="51">
        <v>29</v>
      </c>
      <c r="C577" s="51" t="s">
        <v>3861</v>
      </c>
      <c r="E577" s="54" t="str" cm="1">
        <f t="array" aca="1" ref="E577" ca="1">IF(H577=0,"",HYPERLINK("#"&amp;RIGHT(CELL("dateiname"),LEN(CELL("dateiname"))-FIND("]",CELL("dateiname")))&amp;"!"&amp;CELL("adresse",OFFSET($Q$6,H577-1,0)),"Definition"))</f>
        <v>Definition</v>
      </c>
      <c r="F577" s="54" t="str" cm="1">
        <f t="array" aca="1" ref="F577" ca="1">IF(I577=0,"",HYPERLINK("#"&amp;RIGHT(CELL("adresse",OFFSET(DMAV_Doku!$B$6,I577-1,0)),LEN(CELL("adresse",OFFSET(DMAV_Doku!$B$6,I577-1,0)))-SEARCH("]",CELL("adresse",OFFSET(DMAV_Doku!$B$6,I577-1,0)))),"ModDoc"))</f>
        <v>ModDoc</v>
      </c>
      <c r="G577" s="150" t="str">
        <f t="shared" si="16"/>
        <v>MRL29</v>
      </c>
      <c r="H577" s="150">
        <f t="shared" si="17"/>
        <v>563</v>
      </c>
      <c r="I577" s="150">
        <f>IF(_xlfn.XLOOKUP(G577,Korrelation!$A$4:$A$723,Korrelation!$B$4:$B$723,0,0)=0,0,MATCH(_xlfn.XLOOKUP(G577,Korrelation!$A$4:$A$723,Korrelation!$B$4:$B$723,0,0),DMAV_Doku!$H$6:$H$483,0))</f>
        <v>383</v>
      </c>
      <c r="J577" s="158"/>
      <c r="K577" s="161"/>
      <c r="L577" s="161"/>
      <c r="M577" s="158"/>
      <c r="N577" s="51" t="s">
        <v>4405</v>
      </c>
      <c r="O577" s="51" t="s">
        <v>3900</v>
      </c>
      <c r="P577" s="51" t="s">
        <v>21</v>
      </c>
      <c r="Q577" s="51" t="s">
        <v>949</v>
      </c>
      <c r="R577" s="51" t="s">
        <v>546</v>
      </c>
      <c r="U577" s="52" t="s">
        <v>304</v>
      </c>
      <c r="V577" s="52" t="s">
        <v>3471</v>
      </c>
      <c r="W577" s="52" t="s">
        <v>304</v>
      </c>
      <c r="Y577" s="52" t="s">
        <v>4408</v>
      </c>
      <c r="AB577" s="51" t="s">
        <v>4406</v>
      </c>
      <c r="AC577" s="51" t="s">
        <v>3901</v>
      </c>
      <c r="AD577" s="51" t="s">
        <v>708</v>
      </c>
      <c r="AE577" s="51" t="s">
        <v>949</v>
      </c>
      <c r="AF577" s="51" t="s">
        <v>877</v>
      </c>
      <c r="AI577" s="52" t="s">
        <v>800</v>
      </c>
      <c r="AJ577" s="51" t="s">
        <v>3471</v>
      </c>
      <c r="AK577" s="52" t="s">
        <v>800</v>
      </c>
      <c r="AP577" s="51" t="s">
        <v>4407</v>
      </c>
      <c r="AQ577" s="51" t="s">
        <v>3902</v>
      </c>
      <c r="AR577" s="51" t="s">
        <v>1937</v>
      </c>
      <c r="AS577" s="51" t="s">
        <v>949</v>
      </c>
      <c r="AT577" s="51" t="s">
        <v>4416</v>
      </c>
      <c r="AW577" s="52" t="s">
        <v>4293</v>
      </c>
      <c r="AX577" s="51" t="s">
        <v>3471</v>
      </c>
      <c r="AY577" s="52" t="s">
        <v>4293</v>
      </c>
    </row>
    <row r="578" spans="1:54" ht="38.25" x14ac:dyDescent="0.25">
      <c r="A578" s="51" t="s">
        <v>3811</v>
      </c>
      <c r="B578" s="51">
        <v>30</v>
      </c>
      <c r="C578" s="51" t="s">
        <v>3838</v>
      </c>
      <c r="E578" s="54" t="str" cm="1">
        <f t="array" aca="1" ref="E578" ca="1">IF(H578=0,"",HYPERLINK("#"&amp;RIGHT(CELL("dateiname"),LEN(CELL("dateiname"))-FIND("]",CELL("dateiname")))&amp;"!"&amp;CELL("adresse",OFFSET($Q$6,H578-1,0)),"Definition"))</f>
        <v>Definition</v>
      </c>
      <c r="F578" s="54" t="str" cm="1">
        <f t="array" aca="1" ref="F578" ca="1">IF(I578=0,"",HYPERLINK("#"&amp;RIGHT(CELL("adresse",OFFSET(DMAV_Doku!$B$6,I578-1,0)),LEN(CELL("adresse",OFFSET(DMAV_Doku!$B$6,I578-1,0)))-SEARCH("]",CELL("adresse",OFFSET(DMAV_Doku!$B$6,I578-1,0)))),"ModDoc"))</f>
        <v>ModDoc</v>
      </c>
      <c r="G578" s="150" t="str">
        <f t="shared" si="16"/>
        <v>MRL30</v>
      </c>
      <c r="H578" s="150">
        <f t="shared" si="17"/>
        <v>26</v>
      </c>
      <c r="I578" s="150">
        <f>IF(_xlfn.XLOOKUP(G578,Korrelation!$A$4:$A$723,Korrelation!$B$4:$B$723,0,0)=0,0,MATCH(_xlfn.XLOOKUP(G578,Korrelation!$A$4:$A$723,Korrelation!$B$4:$B$723,0,0),DMAV_Doku!$H$6:$H$483,0))</f>
        <v>385</v>
      </c>
      <c r="J578" s="158"/>
      <c r="K578" s="161"/>
      <c r="L578" s="161"/>
      <c r="M578" s="158"/>
      <c r="N578" s="51" t="s">
        <v>4405</v>
      </c>
      <c r="O578" s="51" t="s">
        <v>3900</v>
      </c>
      <c r="P578" s="51" t="s">
        <v>21</v>
      </c>
      <c r="Q578" s="51" t="s">
        <v>949</v>
      </c>
      <c r="R578" s="51" t="s">
        <v>546</v>
      </c>
      <c r="U578" s="52" t="s">
        <v>77</v>
      </c>
      <c r="V578" s="52" t="s">
        <v>3471</v>
      </c>
      <c r="W578" s="52" t="s">
        <v>3472</v>
      </c>
      <c r="Y578" s="52" t="s">
        <v>4408</v>
      </c>
      <c r="AB578" s="51" t="s">
        <v>4406</v>
      </c>
      <c r="AC578" s="51" t="s">
        <v>3901</v>
      </c>
      <c r="AD578" s="51" t="s">
        <v>708</v>
      </c>
      <c r="AE578" s="51" t="s">
        <v>949</v>
      </c>
      <c r="AF578" s="51" t="s">
        <v>877</v>
      </c>
      <c r="AI578" s="52" t="s">
        <v>729</v>
      </c>
      <c r="AJ578" s="51" t="s">
        <v>3471</v>
      </c>
      <c r="AK578" s="52" t="s">
        <v>4036</v>
      </c>
      <c r="AP578" s="51" t="s">
        <v>4407</v>
      </c>
      <c r="AQ578" s="51" t="s">
        <v>3902</v>
      </c>
      <c r="AR578" s="51" t="s">
        <v>1937</v>
      </c>
      <c r="AS578" s="51" t="s">
        <v>949</v>
      </c>
      <c r="AT578" s="51" t="s">
        <v>4416</v>
      </c>
      <c r="AW578" s="52" t="s">
        <v>3933</v>
      </c>
      <c r="AX578" s="51" t="s">
        <v>3471</v>
      </c>
      <c r="AY578" s="52" t="s">
        <v>4037</v>
      </c>
    </row>
    <row r="579" spans="1:54" ht="38.25" x14ac:dyDescent="0.25">
      <c r="A579" s="51" t="s">
        <v>3811</v>
      </c>
      <c r="B579" s="51">
        <v>31</v>
      </c>
      <c r="D579" s="51" t="s">
        <v>3539</v>
      </c>
      <c r="E579" s="54" t="str" cm="1">
        <f t="array" aca="1" ref="E579" ca="1">IF(H579=0,"",HYPERLINK("#"&amp;RIGHT(CELL("dateiname"),LEN(CELL("dateiname"))-FIND("]",CELL("dateiname")))&amp;"!"&amp;CELL("adresse",OFFSET($Q$6,H579-1,0)),"Definition"))</f>
        <v/>
      </c>
      <c r="F579" s="54" t="str" cm="1">
        <f t="array" aca="1" ref="F579" ca="1">IF(I579=0,"",HYPERLINK("#"&amp;RIGHT(CELL("adresse",OFFSET(DMAV_Doku!$B$6,I579-1,0)),LEN(CELL("adresse",OFFSET(DMAV_Doku!$B$6,I579-1,0)))-SEARCH("]",CELL("adresse",OFFSET(DMAV_Doku!$B$6,I579-1,0)))),"ModDoc"))</f>
        <v/>
      </c>
      <c r="G579" s="150" t="str">
        <f t="shared" si="16"/>
        <v>MRL31</v>
      </c>
      <c r="H579" s="150">
        <f t="shared" si="17"/>
        <v>0</v>
      </c>
      <c r="I579" s="150">
        <f>IF(_xlfn.XLOOKUP(G579,Korrelation!$A$4:$A$723,Korrelation!$B$4:$B$723,0,0)=0,0,MATCH(_xlfn.XLOOKUP(G579,Korrelation!$A$4:$A$723,Korrelation!$B$4:$B$723,0,0),DMAV_Doku!$H$6:$H$483,0))</f>
        <v>0</v>
      </c>
      <c r="J579" s="158"/>
      <c r="K579" s="161"/>
      <c r="L579" s="161"/>
      <c r="M579" s="158"/>
      <c r="N579" s="51" t="s">
        <v>4405</v>
      </c>
      <c r="O579" s="51" t="s">
        <v>3900</v>
      </c>
      <c r="P579" s="51" t="s">
        <v>21</v>
      </c>
      <c r="Q579" s="51" t="s">
        <v>957</v>
      </c>
      <c r="R579" s="51" t="s">
        <v>546</v>
      </c>
      <c r="S579" s="50" t="s">
        <v>950</v>
      </c>
      <c r="U579" s="52" t="s">
        <v>3515</v>
      </c>
      <c r="W579" s="52" t="s">
        <v>3516</v>
      </c>
      <c r="Y579" s="52" t="s">
        <v>4408</v>
      </c>
      <c r="Z579" s="200" t="s">
        <v>2762</v>
      </c>
      <c r="AB579" s="51" t="s">
        <v>4406</v>
      </c>
      <c r="AC579" s="51" t="s">
        <v>3901</v>
      </c>
      <c r="AD579" s="51" t="s">
        <v>708</v>
      </c>
      <c r="AE579" s="51" t="s">
        <v>957</v>
      </c>
      <c r="AF579" s="51" t="s">
        <v>877</v>
      </c>
      <c r="AG579" s="50" t="s">
        <v>950</v>
      </c>
      <c r="AI579" s="52" t="s">
        <v>4297</v>
      </c>
      <c r="AK579" s="52" t="s">
        <v>4298</v>
      </c>
      <c r="AN579" s="200" t="s">
        <v>7253</v>
      </c>
      <c r="AP579" s="51" t="s">
        <v>4407</v>
      </c>
      <c r="AQ579" s="51" t="s">
        <v>3902</v>
      </c>
      <c r="AR579" s="51" t="s">
        <v>1937</v>
      </c>
      <c r="AS579" s="51" t="s">
        <v>957</v>
      </c>
      <c r="AT579" s="51" t="s">
        <v>4416</v>
      </c>
      <c r="AU579" s="50" t="s">
        <v>950</v>
      </c>
      <c r="AW579" s="52" t="s">
        <v>4297</v>
      </c>
      <c r="AY579" s="52" t="s">
        <v>4299</v>
      </c>
      <c r="BB579" s="200" t="s">
        <v>6005</v>
      </c>
    </row>
    <row r="580" spans="1:54" ht="38.25" x14ac:dyDescent="0.25">
      <c r="A580" s="51" t="s">
        <v>3811</v>
      </c>
      <c r="B580" s="51">
        <v>32</v>
      </c>
      <c r="E580" s="54" t="str" cm="1">
        <f t="array" aca="1" ref="E580" ca="1">IF(H580=0,"",HYPERLINK("#"&amp;RIGHT(CELL("dateiname"),LEN(CELL("dateiname"))-FIND("]",CELL("dateiname")))&amp;"!"&amp;CELL("adresse",OFFSET($Q$6,H580-1,0)),"Definition"))</f>
        <v/>
      </c>
      <c r="F580" s="54" t="str" cm="1">
        <f t="array" aca="1" ref="F580" ca="1">IF(I580=0,"",HYPERLINK("#"&amp;RIGHT(CELL("adresse",OFFSET(DMAV_Doku!$B$6,I580-1,0)),LEN(CELL("adresse",OFFSET(DMAV_Doku!$B$6,I580-1,0)))-SEARCH("]",CELL("adresse",OFFSET(DMAV_Doku!$B$6,I580-1,0)))),"ModDoc"))</f>
        <v/>
      </c>
      <c r="G580" s="150" t="str">
        <f t="shared" si="16"/>
        <v>MRL32</v>
      </c>
      <c r="H580" s="150">
        <f t="shared" si="17"/>
        <v>0</v>
      </c>
      <c r="I580" s="150">
        <f>IF(_xlfn.XLOOKUP(G580,Korrelation!$A$4:$A$723,Korrelation!$B$4:$B$723,0,0)=0,0,MATCH(_xlfn.XLOOKUP(G580,Korrelation!$A$4:$A$723,Korrelation!$B$4:$B$723,0,0),DMAV_Doku!$H$6:$H$483,0))</f>
        <v>0</v>
      </c>
      <c r="J580" s="158"/>
      <c r="K580" s="161"/>
      <c r="L580" s="161"/>
      <c r="M580" s="158"/>
      <c r="N580" s="51" t="s">
        <v>4405</v>
      </c>
      <c r="O580" s="51" t="s">
        <v>3900</v>
      </c>
      <c r="P580" s="51" t="s">
        <v>21</v>
      </c>
      <c r="Q580" s="51" t="s">
        <v>967</v>
      </c>
      <c r="R580" s="51" t="s">
        <v>1142</v>
      </c>
      <c r="U580" s="52" t="s">
        <v>969</v>
      </c>
      <c r="W580" s="52" t="s">
        <v>545</v>
      </c>
      <c r="X580" s="51" t="s">
        <v>970</v>
      </c>
      <c r="Y580" s="52" t="s">
        <v>4408</v>
      </c>
      <c r="AB580" s="51" t="s">
        <v>4406</v>
      </c>
      <c r="AC580" s="51" t="s">
        <v>3901</v>
      </c>
      <c r="AD580" s="51" t="s">
        <v>708</v>
      </c>
      <c r="AE580" s="51" t="s">
        <v>967</v>
      </c>
      <c r="AF580" s="51" t="s">
        <v>4417</v>
      </c>
      <c r="AI580" s="52" t="s">
        <v>1319</v>
      </c>
      <c r="AK580" s="52" t="s">
        <v>876</v>
      </c>
      <c r="AL580" s="51" t="s">
        <v>970</v>
      </c>
      <c r="AP580" s="51" t="s">
        <v>4407</v>
      </c>
      <c r="AQ580" s="51" t="s">
        <v>3902</v>
      </c>
      <c r="AR580" s="51" t="s">
        <v>1937</v>
      </c>
      <c r="AS580" s="51" t="s">
        <v>967</v>
      </c>
      <c r="AT580" s="51" t="s">
        <v>4418</v>
      </c>
      <c r="AW580" s="52" t="s">
        <v>1319</v>
      </c>
      <c r="AY580" s="52" t="s">
        <v>4409</v>
      </c>
      <c r="AZ580" s="51" t="s">
        <v>970</v>
      </c>
    </row>
    <row r="581" spans="1:54" ht="38.25" x14ac:dyDescent="0.25">
      <c r="A581" s="51" t="s">
        <v>3811</v>
      </c>
      <c r="B581" s="51">
        <v>33</v>
      </c>
      <c r="E581" s="54" t="str" cm="1">
        <f t="array" aca="1" ref="E581" ca="1">IF(H581=0,"",HYPERLINK("#"&amp;RIGHT(CELL("dateiname"),LEN(CELL("dateiname"))-FIND("]",CELL("dateiname")))&amp;"!"&amp;CELL("adresse",OFFSET($Q$6,H581-1,0)),"Definition"))</f>
        <v/>
      </c>
      <c r="F581" s="54" t="str" cm="1">
        <f t="array" aca="1" ref="F581" ca="1">IF(I581=0,"",HYPERLINK("#"&amp;RIGHT(CELL("adresse",OFFSET(DMAV_Doku!$B$6,I581-1,0)),LEN(CELL("adresse",OFFSET(DMAV_Doku!$B$6,I581-1,0)))-SEARCH("]",CELL("adresse",OFFSET(DMAV_Doku!$B$6,I581-1,0)))),"ModDoc"))</f>
        <v/>
      </c>
      <c r="G581" s="150" t="str">
        <f t="shared" si="16"/>
        <v>MRL33</v>
      </c>
      <c r="H581" s="150">
        <f t="shared" si="17"/>
        <v>0</v>
      </c>
      <c r="I581" s="150">
        <f>IF(_xlfn.XLOOKUP(G581,Korrelation!$A$4:$A$723,Korrelation!$B$4:$B$723,0,0)=0,0,MATCH(_xlfn.XLOOKUP(G581,Korrelation!$A$4:$A$723,Korrelation!$B$4:$B$723,0,0),DMAV_Doku!$H$6:$H$483,0))</f>
        <v>0</v>
      </c>
      <c r="J581" s="158"/>
      <c r="K581" s="161"/>
      <c r="L581" s="161"/>
      <c r="M581" s="158"/>
      <c r="N581" s="51" t="s">
        <v>4405</v>
      </c>
      <c r="O581" s="51" t="s">
        <v>3900</v>
      </c>
      <c r="P581" s="51" t="s">
        <v>21</v>
      </c>
      <c r="Q581" s="51" t="s">
        <v>967</v>
      </c>
      <c r="R581" s="51" t="s">
        <v>1142</v>
      </c>
      <c r="U581" s="52" t="s">
        <v>1143</v>
      </c>
      <c r="V581" s="55"/>
      <c r="W581" s="52" t="s">
        <v>546</v>
      </c>
      <c r="X581" s="51" t="s">
        <v>972</v>
      </c>
      <c r="Y581" s="52" t="s">
        <v>4408</v>
      </c>
      <c r="AB581" s="51" t="s">
        <v>4406</v>
      </c>
      <c r="AC581" s="51" t="s">
        <v>3901</v>
      </c>
      <c r="AD581" s="51" t="s">
        <v>708</v>
      </c>
      <c r="AE581" s="51" t="s">
        <v>967</v>
      </c>
      <c r="AF581" s="51" t="s">
        <v>4417</v>
      </c>
      <c r="AI581" s="52" t="s">
        <v>4419</v>
      </c>
      <c r="AK581" s="52" t="s">
        <v>877</v>
      </c>
      <c r="AL581" s="51" t="s">
        <v>972</v>
      </c>
      <c r="AP581" s="51" t="s">
        <v>4407</v>
      </c>
      <c r="AQ581" s="51" t="s">
        <v>3902</v>
      </c>
      <c r="AR581" s="51" t="s">
        <v>1937</v>
      </c>
      <c r="AS581" s="51" t="s">
        <v>967</v>
      </c>
      <c r="AT581" s="51" t="s">
        <v>4418</v>
      </c>
      <c r="AW581" s="52" t="s">
        <v>4420</v>
      </c>
      <c r="AY581" s="52" t="s">
        <v>4416</v>
      </c>
      <c r="AZ581" s="51" t="s">
        <v>972</v>
      </c>
    </row>
    <row r="582" spans="1:54" ht="38.25" x14ac:dyDescent="0.25">
      <c r="A582" s="51" t="s">
        <v>3811</v>
      </c>
      <c r="B582" s="51">
        <v>34</v>
      </c>
      <c r="E582" s="54" t="str" cm="1">
        <f t="array" aca="1" ref="E582" ca="1">IF(H582=0,"",HYPERLINK("#"&amp;RIGHT(CELL("dateiname"),LEN(CELL("dateiname"))-FIND("]",CELL("dateiname")))&amp;"!"&amp;CELL("adresse",OFFSET($Q$6,H582-1,0)),"Definition"))</f>
        <v/>
      </c>
      <c r="F582" s="54" t="str" cm="1">
        <f t="array" aca="1" ref="F582" ca="1">IF(I582=0,"",HYPERLINK("#"&amp;RIGHT(CELL("adresse",OFFSET(DMAV_Doku!$B$6,I582-1,0)),LEN(CELL("adresse",OFFSET(DMAV_Doku!$B$6,I582-1,0)))-SEARCH("]",CELL("adresse",OFFSET(DMAV_Doku!$B$6,I582-1,0)))),"ModDoc"))</f>
        <v>ModDoc</v>
      </c>
      <c r="G582" s="150" t="str">
        <f t="shared" si="16"/>
        <v>MRL34</v>
      </c>
      <c r="H582" s="150">
        <f t="shared" si="17"/>
        <v>0</v>
      </c>
      <c r="I582" s="150">
        <f>IF(_xlfn.XLOOKUP(G582,Korrelation!$A$4:$A$723,Korrelation!$B$4:$B$723,0,0)=0,0,MATCH(_xlfn.XLOOKUP(G582,Korrelation!$A$4:$A$723,Korrelation!$B$4:$B$723,0,0),DMAV_Doku!$H$6:$H$483,0))</f>
        <v>386</v>
      </c>
      <c r="J582" s="158"/>
      <c r="K582" s="161"/>
      <c r="L582" s="161"/>
      <c r="M582" s="158"/>
      <c r="N582" s="51" t="s">
        <v>4405</v>
      </c>
      <c r="O582" s="51" t="s">
        <v>3900</v>
      </c>
      <c r="P582" s="51" t="s">
        <v>21</v>
      </c>
      <c r="Q582" s="51" t="s">
        <v>949</v>
      </c>
      <c r="R582" s="51" t="s">
        <v>528</v>
      </c>
      <c r="S582" s="50" t="s">
        <v>950</v>
      </c>
      <c r="U582" s="52" t="s">
        <v>121</v>
      </c>
      <c r="V582" s="55"/>
      <c r="W582" s="52" t="s">
        <v>951</v>
      </c>
      <c r="Y582" s="52" t="s">
        <v>4408</v>
      </c>
      <c r="AB582" s="51" t="s">
        <v>4406</v>
      </c>
      <c r="AC582" s="51" t="s">
        <v>3901</v>
      </c>
      <c r="AD582" s="51" t="s">
        <v>708</v>
      </c>
      <c r="AE582" s="51" t="s">
        <v>949</v>
      </c>
      <c r="AF582" s="51" t="s">
        <v>528</v>
      </c>
      <c r="AG582" s="50" t="s">
        <v>950</v>
      </c>
      <c r="AI582" s="52" t="s">
        <v>742</v>
      </c>
      <c r="AK582" s="52" t="s">
        <v>951</v>
      </c>
      <c r="AP582" s="51" t="s">
        <v>4407</v>
      </c>
      <c r="AQ582" s="51" t="s">
        <v>3902</v>
      </c>
      <c r="AR582" s="51" t="s">
        <v>1937</v>
      </c>
      <c r="AS582" s="51" t="s">
        <v>949</v>
      </c>
      <c r="AT582" s="51" t="s">
        <v>1969</v>
      </c>
      <c r="AU582" s="50" t="s">
        <v>950</v>
      </c>
      <c r="AW582" s="52" t="s">
        <v>742</v>
      </c>
      <c r="AY582" s="52" t="s">
        <v>951</v>
      </c>
    </row>
    <row r="583" spans="1:54" ht="38.25" x14ac:dyDescent="0.25">
      <c r="A583" s="51" t="s">
        <v>3811</v>
      </c>
      <c r="B583" s="51">
        <v>35</v>
      </c>
      <c r="E583" s="54" t="str" cm="1">
        <f t="array" aca="1" ref="E583" ca="1">IF(H583=0,"",HYPERLINK("#"&amp;RIGHT(CELL("dateiname"),LEN(CELL("dateiname"))-FIND("]",CELL("dateiname")))&amp;"!"&amp;CELL("adresse",OFFSET($Q$6,H583-1,0)),"Definition"))</f>
        <v/>
      </c>
      <c r="F583" s="54" t="str" cm="1">
        <f t="array" aca="1" ref="F583" ca="1">IF(I583=0,"",HYPERLINK("#"&amp;RIGHT(CELL("adresse",OFFSET(DMAV_Doku!$B$6,I583-1,0)),LEN(CELL("adresse",OFFSET(DMAV_Doku!$B$6,I583-1,0)))-SEARCH("]",CELL("adresse",OFFSET(DMAV_Doku!$B$6,I583-1,0)))),"ModDoc"))</f>
        <v>ModDoc</v>
      </c>
      <c r="G583" s="150" t="str">
        <f t="shared" ref="G583:G646" si="18">A583&amp;B583</f>
        <v>MRL35</v>
      </c>
      <c r="H583" s="150">
        <f t="shared" ref="H583:H646" si="19">IF(C583="",0,MATCH(C583,$G$6:$G$677,0))</f>
        <v>0</v>
      </c>
      <c r="I583" s="150">
        <f>IF(_xlfn.XLOOKUP(G583,Korrelation!$A$4:$A$723,Korrelation!$B$4:$B$723,0,0)=0,0,MATCH(_xlfn.XLOOKUP(G583,Korrelation!$A$4:$A$723,Korrelation!$B$4:$B$723,0,0),DMAV_Doku!$H$6:$H$483,0))</f>
        <v>389</v>
      </c>
      <c r="J583" s="158"/>
      <c r="K583" s="161"/>
      <c r="L583" s="161"/>
      <c r="M583" s="158"/>
      <c r="N583" s="51" t="s">
        <v>4405</v>
      </c>
      <c r="O583" s="51" t="s">
        <v>3900</v>
      </c>
      <c r="P583" s="51" t="s">
        <v>21</v>
      </c>
      <c r="Q583" s="51" t="s">
        <v>949</v>
      </c>
      <c r="R583" s="51" t="s">
        <v>528</v>
      </c>
      <c r="S583" s="50" t="s">
        <v>950</v>
      </c>
      <c r="U583" s="52" t="s">
        <v>549</v>
      </c>
      <c r="W583" s="52" t="s">
        <v>956</v>
      </c>
      <c r="Y583" s="52" t="s">
        <v>4408</v>
      </c>
      <c r="AB583" s="51" t="s">
        <v>4406</v>
      </c>
      <c r="AC583" s="51" t="s">
        <v>3901</v>
      </c>
      <c r="AD583" s="51" t="s">
        <v>708</v>
      </c>
      <c r="AE583" s="51" t="s">
        <v>949</v>
      </c>
      <c r="AF583" s="51" t="s">
        <v>528</v>
      </c>
      <c r="AG583" s="50" t="s">
        <v>950</v>
      </c>
      <c r="AI583" s="52" t="s">
        <v>878</v>
      </c>
      <c r="AK583" s="52" t="s">
        <v>956</v>
      </c>
      <c r="AP583" s="51" t="s">
        <v>4407</v>
      </c>
      <c r="AQ583" s="51" t="s">
        <v>3902</v>
      </c>
      <c r="AR583" s="51" t="s">
        <v>1937</v>
      </c>
      <c r="AS583" s="51" t="s">
        <v>949</v>
      </c>
      <c r="AT583" s="51" t="s">
        <v>1969</v>
      </c>
      <c r="AU583" s="50" t="s">
        <v>950</v>
      </c>
      <c r="AW583" s="52" t="s">
        <v>1980</v>
      </c>
      <c r="AY583" s="52" t="s">
        <v>956</v>
      </c>
    </row>
    <row r="584" spans="1:54" ht="38.25" x14ac:dyDescent="0.25">
      <c r="A584" s="51" t="s">
        <v>3811</v>
      </c>
      <c r="B584" s="51">
        <v>36</v>
      </c>
      <c r="E584" s="54" t="str" cm="1">
        <f t="array" aca="1" ref="E584" ca="1">IF(H584=0,"",HYPERLINK("#"&amp;RIGHT(CELL("dateiname"),LEN(CELL("dateiname"))-FIND("]",CELL("dateiname")))&amp;"!"&amp;CELL("adresse",OFFSET($Q$6,H584-1,0)),"Definition"))</f>
        <v/>
      </c>
      <c r="F584" s="54" t="str" cm="1">
        <f t="array" aca="1" ref="F584" ca="1">IF(I584=0,"",HYPERLINK("#"&amp;RIGHT(CELL("adresse",OFFSET(DMAV_Doku!$B$6,I584-1,0)),LEN(CELL("adresse",OFFSET(DMAV_Doku!$B$6,I584-1,0)))-SEARCH("]",CELL("adresse",OFFSET(DMAV_Doku!$B$6,I584-1,0)))),"ModDoc"))</f>
        <v>ModDoc</v>
      </c>
      <c r="G584" s="150" t="str">
        <f t="shared" si="18"/>
        <v>MRL36</v>
      </c>
      <c r="H584" s="150">
        <f t="shared" si="19"/>
        <v>0</v>
      </c>
      <c r="I584" s="150">
        <f>IF(_xlfn.XLOOKUP(G584,Korrelation!$A$4:$A$723,Korrelation!$B$4:$B$723,0,0)=0,0,MATCH(_xlfn.XLOOKUP(G584,Korrelation!$A$4:$A$723,Korrelation!$B$4:$B$723,0,0),DMAV_Doku!$H$6:$H$483,0))</f>
        <v>391</v>
      </c>
      <c r="J584" s="158"/>
      <c r="K584" s="161"/>
      <c r="L584" s="161"/>
      <c r="M584" s="158"/>
      <c r="N584" s="51" t="s">
        <v>4405</v>
      </c>
      <c r="O584" s="51" t="s">
        <v>3900</v>
      </c>
      <c r="P584" s="51" t="s">
        <v>21</v>
      </c>
      <c r="Q584" s="51" t="s">
        <v>949</v>
      </c>
      <c r="R584" s="51" t="s">
        <v>528</v>
      </c>
      <c r="S584" s="50" t="s">
        <v>950</v>
      </c>
      <c r="U584" s="52" t="s">
        <v>123</v>
      </c>
      <c r="W584" s="52" t="s">
        <v>952</v>
      </c>
      <c r="Y584" s="52" t="s">
        <v>4408</v>
      </c>
      <c r="AB584" s="51" t="s">
        <v>4406</v>
      </c>
      <c r="AC584" s="51" t="s">
        <v>3901</v>
      </c>
      <c r="AD584" s="51" t="s">
        <v>708</v>
      </c>
      <c r="AE584" s="51" t="s">
        <v>949</v>
      </c>
      <c r="AF584" s="51" t="s">
        <v>528</v>
      </c>
      <c r="AG584" s="50" t="s">
        <v>950</v>
      </c>
      <c r="AI584" s="52" t="s">
        <v>123</v>
      </c>
      <c r="AK584" s="52" t="s">
        <v>952</v>
      </c>
      <c r="AP584" s="51" t="s">
        <v>4407</v>
      </c>
      <c r="AQ584" s="51" t="s">
        <v>3902</v>
      </c>
      <c r="AR584" s="51" t="s">
        <v>1937</v>
      </c>
      <c r="AS584" s="51" t="s">
        <v>949</v>
      </c>
      <c r="AT584" s="51" t="s">
        <v>1969</v>
      </c>
      <c r="AU584" s="50" t="s">
        <v>950</v>
      </c>
      <c r="AW584" s="52" t="s">
        <v>1247</v>
      </c>
      <c r="AY584" s="52" t="s">
        <v>952</v>
      </c>
    </row>
    <row r="585" spans="1:54" ht="38.25" x14ac:dyDescent="0.25">
      <c r="A585" s="51" t="s">
        <v>3811</v>
      </c>
      <c r="B585" s="51">
        <v>37</v>
      </c>
      <c r="C585" s="51" t="s">
        <v>3842</v>
      </c>
      <c r="E585" s="54" t="str" cm="1">
        <f t="array" aca="1" ref="E585" ca="1">IF(H585=0,"",HYPERLINK("#"&amp;RIGHT(CELL("dateiname"),LEN(CELL("dateiname"))-FIND("]",CELL("dateiname")))&amp;"!"&amp;CELL("adresse",OFFSET($Q$6,H585-1,0)),"Definition"))</f>
        <v>Definition</v>
      </c>
      <c r="F585" s="54" t="str" cm="1">
        <f t="array" aca="1" ref="F585" ca="1">IF(I585=0,"",HYPERLINK("#"&amp;RIGHT(CELL("adresse",OFFSET(DMAV_Doku!$B$6,I585-1,0)),LEN(CELL("adresse",OFFSET(DMAV_Doku!$B$6,I585-1,0)))-SEARCH("]",CELL("adresse",OFFSET(DMAV_Doku!$B$6,I585-1,0)))),"ModDoc"))</f>
        <v>ModDoc</v>
      </c>
      <c r="G585" s="150" t="str">
        <f t="shared" si="18"/>
        <v>MRL37</v>
      </c>
      <c r="H585" s="150">
        <f t="shared" si="19"/>
        <v>42</v>
      </c>
      <c r="I585" s="150">
        <f>IF(_xlfn.XLOOKUP(G585,Korrelation!$A$4:$A$723,Korrelation!$B$4:$B$723,0,0)=0,0,MATCH(_xlfn.XLOOKUP(G585,Korrelation!$A$4:$A$723,Korrelation!$B$4:$B$723,0,0),DMAV_Doku!$H$6:$H$483,0))</f>
        <v>390</v>
      </c>
      <c r="J585" s="158"/>
      <c r="K585" s="161"/>
      <c r="L585" s="161"/>
      <c r="M585" s="158"/>
      <c r="N585" s="51" t="s">
        <v>4405</v>
      </c>
      <c r="O585" s="51" t="s">
        <v>3900</v>
      </c>
      <c r="P585" s="51" t="s">
        <v>21</v>
      </c>
      <c r="Q585" s="51" t="s">
        <v>949</v>
      </c>
      <c r="R585" s="51" t="s">
        <v>528</v>
      </c>
      <c r="S585" s="50" t="s">
        <v>950</v>
      </c>
      <c r="U585" s="52" t="s">
        <v>265</v>
      </c>
      <c r="W585" s="52" t="s">
        <v>1056</v>
      </c>
      <c r="Y585" s="52" t="s">
        <v>4408</v>
      </c>
      <c r="AB585" s="51" t="s">
        <v>4406</v>
      </c>
      <c r="AC585" s="51" t="s">
        <v>3901</v>
      </c>
      <c r="AD585" s="51" t="s">
        <v>708</v>
      </c>
      <c r="AE585" s="51" t="s">
        <v>949</v>
      </c>
      <c r="AF585" s="51" t="s">
        <v>528</v>
      </c>
      <c r="AG585" s="50" t="s">
        <v>950</v>
      </c>
      <c r="AI585" s="52" t="s">
        <v>711</v>
      </c>
      <c r="AK585" s="52" t="s">
        <v>4225</v>
      </c>
      <c r="AP585" s="51" t="s">
        <v>4407</v>
      </c>
      <c r="AQ585" s="51" t="s">
        <v>3902</v>
      </c>
      <c r="AR585" s="51" t="s">
        <v>1937</v>
      </c>
      <c r="AS585" s="51" t="s">
        <v>949</v>
      </c>
      <c r="AT585" s="51" t="s">
        <v>1969</v>
      </c>
      <c r="AU585" s="50" t="s">
        <v>950</v>
      </c>
      <c r="AW585" s="52" t="s">
        <v>1976</v>
      </c>
      <c r="AY585" s="52" t="s">
        <v>4226</v>
      </c>
    </row>
    <row r="586" spans="1:54" ht="38.25" x14ac:dyDescent="0.25">
      <c r="A586" s="51" t="s">
        <v>3811</v>
      </c>
      <c r="B586" s="51">
        <v>38</v>
      </c>
      <c r="C586" s="51" t="s">
        <v>3858</v>
      </c>
      <c r="E586" s="54" t="str" cm="1">
        <f t="array" aca="1" ref="E586" ca="1">IF(H586=0,"",HYPERLINK("#"&amp;RIGHT(CELL("dateiname"),LEN(CELL("dateiname"))-FIND("]",CELL("dateiname")))&amp;"!"&amp;CELL("adresse",OFFSET($Q$6,H586-1,0)),"Definition"))</f>
        <v>Definition</v>
      </c>
      <c r="F586" s="54" t="str" cm="1">
        <f t="array" aca="1" ref="F586" ca="1">IF(I586=0,"",HYPERLINK("#"&amp;RIGHT(CELL("adresse",OFFSET(DMAV_Doku!$B$6,I586-1,0)),LEN(CELL("adresse",OFFSET(DMAV_Doku!$B$6,I586-1,0)))-SEARCH("]",CELL("adresse",OFFSET(DMAV_Doku!$B$6,I586-1,0)))),"ModDoc"))</f>
        <v>ModDoc</v>
      </c>
      <c r="G586" s="150" t="str">
        <f t="shared" si="18"/>
        <v>MRL38</v>
      </c>
      <c r="H586" s="150">
        <f t="shared" si="19"/>
        <v>550</v>
      </c>
      <c r="I586" s="150">
        <f>IF(_xlfn.XLOOKUP(G586,Korrelation!$A$4:$A$723,Korrelation!$B$4:$B$723,0,0)=0,0,MATCH(_xlfn.XLOOKUP(G586,Korrelation!$A$4:$A$723,Korrelation!$B$4:$B$723,0,0),DMAV_Doku!$H$6:$H$483,0))</f>
        <v>388</v>
      </c>
      <c r="J586" s="158"/>
      <c r="K586" s="161"/>
      <c r="L586" s="161"/>
      <c r="M586" s="158"/>
      <c r="N586" s="51" t="s">
        <v>4405</v>
      </c>
      <c r="O586" s="51" t="s">
        <v>3900</v>
      </c>
      <c r="P586" s="51" t="s">
        <v>21</v>
      </c>
      <c r="Q586" s="51" t="s">
        <v>949</v>
      </c>
      <c r="R586" s="51" t="s">
        <v>528</v>
      </c>
      <c r="S586" s="50" t="s">
        <v>950</v>
      </c>
      <c r="U586" s="52" t="s">
        <v>521</v>
      </c>
      <c r="W586" s="52" t="s">
        <v>521</v>
      </c>
      <c r="Y586" s="52" t="s">
        <v>4408</v>
      </c>
      <c r="AB586" s="51" t="s">
        <v>4406</v>
      </c>
      <c r="AC586" s="51" t="s">
        <v>3901</v>
      </c>
      <c r="AD586" s="51" t="s">
        <v>708</v>
      </c>
      <c r="AE586" s="51" t="s">
        <v>949</v>
      </c>
      <c r="AF586" s="51" t="s">
        <v>528</v>
      </c>
      <c r="AG586" s="50" t="s">
        <v>950</v>
      </c>
      <c r="AI586" s="52" t="s">
        <v>868</v>
      </c>
      <c r="AK586" s="52" t="s">
        <v>868</v>
      </c>
      <c r="AP586" s="51" t="s">
        <v>4407</v>
      </c>
      <c r="AQ586" s="51" t="s">
        <v>3902</v>
      </c>
      <c r="AR586" s="51" t="s">
        <v>1937</v>
      </c>
      <c r="AS586" s="51" t="s">
        <v>949</v>
      </c>
      <c r="AT586" s="51" t="s">
        <v>1969</v>
      </c>
      <c r="AU586" s="50" t="s">
        <v>950</v>
      </c>
      <c r="AW586" s="52" t="s">
        <v>1975</v>
      </c>
      <c r="AY586" s="52" t="s">
        <v>1975</v>
      </c>
    </row>
    <row r="587" spans="1:54" ht="38.25" x14ac:dyDescent="0.25">
      <c r="A587" s="51" t="s">
        <v>3811</v>
      </c>
      <c r="B587" s="51">
        <v>39</v>
      </c>
      <c r="C587" s="51" t="s">
        <v>3847</v>
      </c>
      <c r="E587" s="54" t="str" cm="1">
        <f t="array" aca="1" ref="E587" ca="1">IF(H587=0,"",HYPERLINK("#"&amp;RIGHT(CELL("dateiname"),LEN(CELL("dateiname"))-FIND("]",CELL("dateiname")))&amp;"!"&amp;CELL("adresse",OFFSET($Q$6,H587-1,0)),"Definition"))</f>
        <v>Definition</v>
      </c>
      <c r="F587" s="54" t="str" cm="1">
        <f t="array" aca="1" ref="F587" ca="1">IF(I587=0,"",HYPERLINK("#"&amp;RIGHT(CELL("adresse",OFFSET(DMAV_Doku!$B$6,I587-1,0)),LEN(CELL("adresse",OFFSET(DMAV_Doku!$B$6,I587-1,0)))-SEARCH("]",CELL("adresse",OFFSET(DMAV_Doku!$B$6,I587-1,0)))),"ModDoc"))</f>
        <v>ModDoc</v>
      </c>
      <c r="G587" s="150" t="str">
        <f t="shared" si="18"/>
        <v>MRL39</v>
      </c>
      <c r="H587" s="150">
        <f t="shared" si="19"/>
        <v>36</v>
      </c>
      <c r="I587" s="150">
        <f>IF(_xlfn.XLOOKUP(G587,Korrelation!$A$4:$A$723,Korrelation!$B$4:$B$723,0,0)=0,0,MATCH(_xlfn.XLOOKUP(G587,Korrelation!$A$4:$A$723,Korrelation!$B$4:$B$723,0,0),DMAV_Doku!$H$6:$H$483,0))</f>
        <v>392</v>
      </c>
      <c r="J587" s="158"/>
      <c r="K587" s="161"/>
      <c r="L587" s="161"/>
      <c r="M587" s="158"/>
      <c r="N587" s="51" t="s">
        <v>4405</v>
      </c>
      <c r="O587" s="51" t="s">
        <v>3900</v>
      </c>
      <c r="P587" s="51" t="s">
        <v>21</v>
      </c>
      <c r="Q587" s="51" t="s">
        <v>949</v>
      </c>
      <c r="R587" s="51" t="s">
        <v>528</v>
      </c>
      <c r="S587" s="50" t="s">
        <v>950</v>
      </c>
      <c r="U587" s="52" t="s">
        <v>393</v>
      </c>
      <c r="W587" s="52" t="s">
        <v>1124</v>
      </c>
      <c r="Y587" s="52" t="s">
        <v>4408</v>
      </c>
      <c r="AB587" s="51" t="s">
        <v>4406</v>
      </c>
      <c r="AC587" s="51" t="s">
        <v>3901</v>
      </c>
      <c r="AD587" s="51" t="s">
        <v>708</v>
      </c>
      <c r="AE587" s="51" t="s">
        <v>949</v>
      </c>
      <c r="AF587" s="51" t="s">
        <v>528</v>
      </c>
      <c r="AG587" s="50" t="s">
        <v>950</v>
      </c>
      <c r="AI587" s="52" t="s">
        <v>814</v>
      </c>
      <c r="AK587" s="52" t="s">
        <v>4362</v>
      </c>
      <c r="AP587" s="51" t="s">
        <v>4407</v>
      </c>
      <c r="AQ587" s="51" t="s">
        <v>3902</v>
      </c>
      <c r="AR587" s="51" t="s">
        <v>1937</v>
      </c>
      <c r="AS587" s="51" t="s">
        <v>949</v>
      </c>
      <c r="AT587" s="51" t="s">
        <v>1969</v>
      </c>
      <c r="AU587" s="50" t="s">
        <v>950</v>
      </c>
      <c r="AW587" s="52" t="s">
        <v>3946</v>
      </c>
      <c r="AY587" s="52" t="s">
        <v>4363</v>
      </c>
    </row>
    <row r="588" spans="1:54" ht="38.25" x14ac:dyDescent="0.25">
      <c r="A588" s="51" t="s">
        <v>3811</v>
      </c>
      <c r="B588" s="51">
        <v>40</v>
      </c>
      <c r="E588" s="54" t="str" cm="1">
        <f t="array" aca="1" ref="E588" ca="1">IF(H588=0,"",HYPERLINK("#"&amp;RIGHT(CELL("dateiname"),LEN(CELL("dateiname"))-FIND("]",CELL("dateiname")))&amp;"!"&amp;CELL("adresse",OFFSET($Q$6,H588-1,0)),"Definition"))</f>
        <v/>
      </c>
      <c r="F588" s="54" t="str" cm="1">
        <f t="array" aca="1" ref="F588" ca="1">IF(I588=0,"",HYPERLINK("#"&amp;RIGHT(CELL("adresse",OFFSET(DMAV_Doku!$B$6,I588-1,0)),LEN(CELL("adresse",OFFSET(DMAV_Doku!$B$6,I588-1,0)))-SEARCH("]",CELL("adresse",OFFSET(DMAV_Doku!$B$6,I588-1,0)))),"ModDoc"))</f>
        <v>ModDoc</v>
      </c>
      <c r="G588" s="150" t="str">
        <f t="shared" si="18"/>
        <v>MRL40</v>
      </c>
      <c r="H588" s="150">
        <f t="shared" si="19"/>
        <v>0</v>
      </c>
      <c r="I588" s="150">
        <f>IF(_xlfn.XLOOKUP(G588,Korrelation!$A$4:$A$723,Korrelation!$B$4:$B$723,0,0)=0,0,MATCH(_xlfn.XLOOKUP(G588,Korrelation!$A$4:$A$723,Korrelation!$B$4:$B$723,0,0),DMAV_Doku!$H$6:$H$483,0))</f>
        <v>387</v>
      </c>
      <c r="J588" s="158"/>
      <c r="K588" s="161"/>
      <c r="L588" s="161"/>
      <c r="M588" s="158"/>
      <c r="N588" s="51" t="s">
        <v>4405</v>
      </c>
      <c r="O588" s="51" t="s">
        <v>3900</v>
      </c>
      <c r="P588" s="51" t="s">
        <v>21</v>
      </c>
      <c r="Q588" s="51" t="s">
        <v>949</v>
      </c>
      <c r="R588" s="51" t="s">
        <v>528</v>
      </c>
      <c r="S588" s="50" t="s">
        <v>950</v>
      </c>
      <c r="U588" s="52" t="s">
        <v>527</v>
      </c>
      <c r="W588" s="52" t="s">
        <v>2785</v>
      </c>
      <c r="Y588" s="52" t="s">
        <v>4408</v>
      </c>
      <c r="AB588" s="51" t="s">
        <v>4406</v>
      </c>
      <c r="AC588" s="51" t="s">
        <v>3901</v>
      </c>
      <c r="AD588" s="51" t="s">
        <v>708</v>
      </c>
      <c r="AE588" s="51" t="s">
        <v>949</v>
      </c>
      <c r="AF588" s="51" t="s">
        <v>528</v>
      </c>
      <c r="AG588" s="50" t="s">
        <v>950</v>
      </c>
      <c r="AI588" s="52" t="s">
        <v>872</v>
      </c>
      <c r="AK588" s="52" t="s">
        <v>4421</v>
      </c>
      <c r="AP588" s="51" t="s">
        <v>4407</v>
      </c>
      <c r="AQ588" s="51" t="s">
        <v>3902</v>
      </c>
      <c r="AR588" s="51" t="s">
        <v>1937</v>
      </c>
      <c r="AS588" s="51" t="s">
        <v>949</v>
      </c>
      <c r="AT588" s="51" t="s">
        <v>1969</v>
      </c>
      <c r="AU588" s="50" t="s">
        <v>950</v>
      </c>
      <c r="AW588" s="52" t="s">
        <v>4422</v>
      </c>
      <c r="AY588" s="52" t="s">
        <v>4423</v>
      </c>
    </row>
    <row r="589" spans="1:54" ht="38.25" x14ac:dyDescent="0.25">
      <c r="A589" s="51" t="s">
        <v>3811</v>
      </c>
      <c r="B589" s="51">
        <v>41</v>
      </c>
      <c r="C589" s="51" t="s">
        <v>3826</v>
      </c>
      <c r="E589" s="54" t="str" cm="1">
        <f t="array" aca="1" ref="E589" ca="1">IF(H589=0,"",HYPERLINK("#"&amp;RIGHT(CELL("dateiname"),LEN(CELL("dateiname"))-FIND("]",CELL("dateiname")))&amp;"!"&amp;CELL("adresse",OFFSET($Q$6,H589-1,0)),"Definition"))</f>
        <v>Definition</v>
      </c>
      <c r="F589" s="54" t="str" cm="1">
        <f t="array" aca="1" ref="F589" ca="1">IF(I589=0,"",HYPERLINK("#"&amp;RIGHT(CELL("adresse",OFFSET(DMAV_Doku!$B$6,I589-1,0)),LEN(CELL("adresse",OFFSET(DMAV_Doku!$B$6,I589-1,0)))-SEARCH("]",CELL("adresse",OFFSET(DMAV_Doku!$B$6,I589-1,0)))),"ModDoc"))</f>
        <v>ModDoc</v>
      </c>
      <c r="G589" s="150" t="str">
        <f t="shared" si="18"/>
        <v>MRL41</v>
      </c>
      <c r="H589" s="150">
        <f t="shared" si="19"/>
        <v>20</v>
      </c>
      <c r="I589" s="150">
        <f>IF(_xlfn.XLOOKUP(G589,Korrelation!$A$4:$A$723,Korrelation!$B$4:$B$723,0,0)=0,0,MATCH(_xlfn.XLOOKUP(G589,Korrelation!$A$4:$A$723,Korrelation!$B$4:$B$723,0,0),DMAV_Doku!$H$6:$H$483,0))</f>
        <v>393</v>
      </c>
      <c r="J589" s="158"/>
      <c r="K589" s="161"/>
      <c r="L589" s="161"/>
      <c r="M589" s="158"/>
      <c r="N589" s="51" t="s">
        <v>4405</v>
      </c>
      <c r="O589" s="51" t="s">
        <v>3900</v>
      </c>
      <c r="P589" s="51" t="s">
        <v>21</v>
      </c>
      <c r="Q589" s="51" t="s">
        <v>949</v>
      </c>
      <c r="R589" s="51" t="s">
        <v>528</v>
      </c>
      <c r="U589" s="52" t="s">
        <v>149</v>
      </c>
      <c r="W589" s="52" t="s">
        <v>961</v>
      </c>
      <c r="Y589" s="52" t="s">
        <v>4408</v>
      </c>
      <c r="AB589" s="51" t="s">
        <v>4406</v>
      </c>
      <c r="AC589" s="51" t="s">
        <v>3901</v>
      </c>
      <c r="AD589" s="51" t="s">
        <v>708</v>
      </c>
      <c r="AE589" s="51" t="s">
        <v>949</v>
      </c>
      <c r="AF589" s="51" t="s">
        <v>528</v>
      </c>
      <c r="AI589" s="52" t="s">
        <v>756</v>
      </c>
      <c r="AK589" s="52" t="s">
        <v>4033</v>
      </c>
      <c r="AP589" s="51" t="s">
        <v>4407</v>
      </c>
      <c r="AQ589" s="51" t="s">
        <v>3902</v>
      </c>
      <c r="AR589" s="51" t="s">
        <v>1937</v>
      </c>
      <c r="AS589" s="51" t="s">
        <v>949</v>
      </c>
      <c r="AT589" s="51" t="s">
        <v>1969</v>
      </c>
      <c r="AW589" s="52" t="s">
        <v>4034</v>
      </c>
      <c r="AY589" s="52" t="s">
        <v>4035</v>
      </c>
    </row>
    <row r="590" spans="1:54" ht="38.25" x14ac:dyDescent="0.25">
      <c r="A590" s="51" t="s">
        <v>3811</v>
      </c>
      <c r="B590" s="51">
        <v>42</v>
      </c>
      <c r="C590" s="51" t="s">
        <v>3838</v>
      </c>
      <c r="E590" s="54" t="str" cm="1">
        <f t="array" aca="1" ref="E590" ca="1">IF(H590=0,"",HYPERLINK("#"&amp;RIGHT(CELL("dateiname"),LEN(CELL("dateiname"))-FIND("]",CELL("dateiname")))&amp;"!"&amp;CELL("adresse",OFFSET($Q$6,H590-1,0)),"Definition"))</f>
        <v>Definition</v>
      </c>
      <c r="F590" s="54" t="str" cm="1">
        <f t="array" aca="1" ref="F590" ca="1">IF(I590=0,"",HYPERLINK("#"&amp;RIGHT(CELL("adresse",OFFSET(DMAV_Doku!$B$6,I590-1,0)),LEN(CELL("adresse",OFFSET(DMAV_Doku!$B$6,I590-1,0)))-SEARCH("]",CELL("adresse",OFFSET(DMAV_Doku!$B$6,I590-1,0)))),"ModDoc"))</f>
        <v>ModDoc</v>
      </c>
      <c r="G590" s="150" t="str">
        <f t="shared" si="18"/>
        <v>MRL42</v>
      </c>
      <c r="H590" s="150">
        <f t="shared" si="19"/>
        <v>26</v>
      </c>
      <c r="I590" s="150">
        <f>IF(_xlfn.XLOOKUP(G590,Korrelation!$A$4:$A$723,Korrelation!$B$4:$B$723,0,0)=0,0,MATCH(_xlfn.XLOOKUP(G590,Korrelation!$A$4:$A$723,Korrelation!$B$4:$B$723,0,0),DMAV_Doku!$H$6:$H$483,0))</f>
        <v>394</v>
      </c>
      <c r="J590" s="158"/>
      <c r="K590" s="161"/>
      <c r="L590" s="161"/>
      <c r="M590" s="158"/>
      <c r="N590" s="51" t="s">
        <v>4405</v>
      </c>
      <c r="O590" s="51" t="s">
        <v>3900</v>
      </c>
      <c r="P590" s="51" t="s">
        <v>21</v>
      </c>
      <c r="Q590" s="51" t="s">
        <v>949</v>
      </c>
      <c r="R590" s="51" t="s">
        <v>528</v>
      </c>
      <c r="U590" s="52" t="s">
        <v>77</v>
      </c>
      <c r="V590" s="52" t="s">
        <v>3471</v>
      </c>
      <c r="W590" s="52" t="s">
        <v>3472</v>
      </c>
      <c r="Y590" s="52" t="s">
        <v>4408</v>
      </c>
      <c r="AB590" s="51" t="s">
        <v>4406</v>
      </c>
      <c r="AC590" s="51" t="s">
        <v>3901</v>
      </c>
      <c r="AD590" s="51" t="s">
        <v>708</v>
      </c>
      <c r="AE590" s="51" t="s">
        <v>949</v>
      </c>
      <c r="AF590" s="51" t="s">
        <v>528</v>
      </c>
      <c r="AI590" s="52" t="s">
        <v>729</v>
      </c>
      <c r="AJ590" s="51" t="s">
        <v>3471</v>
      </c>
      <c r="AK590" s="52" t="s">
        <v>4036</v>
      </c>
      <c r="AP590" s="51" t="s">
        <v>4407</v>
      </c>
      <c r="AQ590" s="51" t="s">
        <v>3902</v>
      </c>
      <c r="AR590" s="51" t="s">
        <v>1937</v>
      </c>
      <c r="AS590" s="51" t="s">
        <v>949</v>
      </c>
      <c r="AT590" s="51" t="s">
        <v>1969</v>
      </c>
      <c r="AW590" s="52" t="s">
        <v>3933</v>
      </c>
      <c r="AX590" s="51" t="s">
        <v>3471</v>
      </c>
      <c r="AY590" s="52" t="s">
        <v>4037</v>
      </c>
    </row>
    <row r="591" spans="1:54" ht="38.25" x14ac:dyDescent="0.25">
      <c r="A591" s="51" t="s">
        <v>3811</v>
      </c>
      <c r="B591" s="51">
        <v>43</v>
      </c>
      <c r="E591" s="54" t="str" cm="1">
        <f t="array" aca="1" ref="E591" ca="1">IF(H591=0,"",HYPERLINK("#"&amp;RIGHT(CELL("dateiname"),LEN(CELL("dateiname"))-FIND("]",CELL("dateiname")))&amp;"!"&amp;CELL("adresse",OFFSET($Q$6,H591-1,0)),"Definition"))</f>
        <v/>
      </c>
      <c r="F591" s="54" t="str" cm="1">
        <f t="array" aca="1" ref="F591" ca="1">IF(I591=0,"",HYPERLINK("#"&amp;RIGHT(CELL("adresse",OFFSET(DMAV_Doku!$B$6,I591-1,0)),LEN(CELL("adresse",OFFSET(DMAV_Doku!$B$6,I591-1,0)))-SEARCH("]",CELL("adresse",OFFSET(DMAV_Doku!$B$6,I591-1,0)))),"ModDoc"))</f>
        <v/>
      </c>
      <c r="G591" s="150" t="str">
        <f t="shared" si="18"/>
        <v>MRL43</v>
      </c>
      <c r="H591" s="150">
        <f t="shared" si="19"/>
        <v>0</v>
      </c>
      <c r="I591" s="150">
        <f>IF(_xlfn.XLOOKUP(G591,Korrelation!$A$4:$A$723,Korrelation!$B$4:$B$723,0,0)=0,0,MATCH(_xlfn.XLOOKUP(G591,Korrelation!$A$4:$A$723,Korrelation!$B$4:$B$723,0,0),DMAV_Doku!$H$6:$H$483,0))</f>
        <v>0</v>
      </c>
      <c r="J591" s="158"/>
      <c r="K591" s="161"/>
      <c r="L591" s="161"/>
      <c r="M591" s="158"/>
      <c r="N591" s="51" t="s">
        <v>4405</v>
      </c>
      <c r="O591" s="51" t="s">
        <v>3900</v>
      </c>
      <c r="P591" s="51" t="s">
        <v>21</v>
      </c>
      <c r="Q591" s="51" t="s">
        <v>967</v>
      </c>
      <c r="R591" s="51" t="s">
        <v>1149</v>
      </c>
      <c r="U591" s="52" t="s">
        <v>969</v>
      </c>
      <c r="W591" s="52" t="s">
        <v>545</v>
      </c>
      <c r="X591" s="51" t="s">
        <v>970</v>
      </c>
      <c r="Y591" s="52" t="s">
        <v>4408</v>
      </c>
      <c r="AB591" s="51" t="s">
        <v>4406</v>
      </c>
      <c r="AC591" s="51" t="s">
        <v>3901</v>
      </c>
      <c r="AD591" s="51" t="s">
        <v>708</v>
      </c>
      <c r="AE591" s="51" t="s">
        <v>967</v>
      </c>
      <c r="AF591" s="51" t="s">
        <v>4424</v>
      </c>
      <c r="AI591" s="52" t="s">
        <v>1319</v>
      </c>
      <c r="AK591" s="52" t="s">
        <v>876</v>
      </c>
      <c r="AL591" s="51" t="s">
        <v>970</v>
      </c>
      <c r="AP591" s="51" t="s">
        <v>4407</v>
      </c>
      <c r="AQ591" s="51" t="s">
        <v>3902</v>
      </c>
      <c r="AR591" s="51" t="s">
        <v>1937</v>
      </c>
      <c r="AS591" s="51" t="s">
        <v>967</v>
      </c>
      <c r="AT591" s="51" t="s">
        <v>4425</v>
      </c>
      <c r="AW591" s="52" t="s">
        <v>1319</v>
      </c>
      <c r="AY591" s="52" t="s">
        <v>4409</v>
      </c>
      <c r="AZ591" s="51" t="s">
        <v>970</v>
      </c>
    </row>
    <row r="592" spans="1:54" ht="38.25" x14ac:dyDescent="0.25">
      <c r="A592" s="51" t="s">
        <v>3811</v>
      </c>
      <c r="B592" s="51">
        <v>44</v>
      </c>
      <c r="E592" s="54" t="str" cm="1">
        <f t="array" aca="1" ref="E592" ca="1">IF(H592=0,"",HYPERLINK("#"&amp;RIGHT(CELL("dateiname"),LEN(CELL("dateiname"))-FIND("]",CELL("dateiname")))&amp;"!"&amp;CELL("adresse",OFFSET($Q$6,H592-1,0)),"Definition"))</f>
        <v/>
      </c>
      <c r="F592" s="54" t="str" cm="1">
        <f t="array" aca="1" ref="F592" ca="1">IF(I592=0,"",HYPERLINK("#"&amp;RIGHT(CELL("adresse",OFFSET(DMAV_Doku!$B$6,I592-1,0)),LEN(CELL("adresse",OFFSET(DMAV_Doku!$B$6,I592-1,0)))-SEARCH("]",CELL("adresse",OFFSET(DMAV_Doku!$B$6,I592-1,0)))),"ModDoc"))</f>
        <v/>
      </c>
      <c r="G592" s="150" t="str">
        <f t="shared" si="18"/>
        <v>MRL44</v>
      </c>
      <c r="H592" s="150">
        <f t="shared" si="19"/>
        <v>0</v>
      </c>
      <c r="I592" s="150">
        <f>IF(_xlfn.XLOOKUP(G592,Korrelation!$A$4:$A$723,Korrelation!$B$4:$B$723,0,0)=0,0,MATCH(_xlfn.XLOOKUP(G592,Korrelation!$A$4:$A$723,Korrelation!$B$4:$B$723,0,0),DMAV_Doku!$H$6:$H$483,0))</f>
        <v>0</v>
      </c>
      <c r="J592" s="158"/>
      <c r="K592" s="161"/>
      <c r="L592" s="161"/>
      <c r="M592" s="158"/>
      <c r="N592" s="51" t="s">
        <v>4405</v>
      </c>
      <c r="O592" s="51" t="s">
        <v>3900</v>
      </c>
      <c r="P592" s="51" t="s">
        <v>21</v>
      </c>
      <c r="Q592" s="51" t="s">
        <v>967</v>
      </c>
      <c r="R592" s="51" t="s">
        <v>1149</v>
      </c>
      <c r="U592" s="52" t="s">
        <v>1150</v>
      </c>
      <c r="W592" s="52" t="s">
        <v>528</v>
      </c>
      <c r="X592" s="51" t="s">
        <v>972</v>
      </c>
      <c r="Y592" s="52" t="s">
        <v>4408</v>
      </c>
      <c r="AB592" s="51" t="s">
        <v>4406</v>
      </c>
      <c r="AC592" s="51" t="s">
        <v>3901</v>
      </c>
      <c r="AD592" s="51" t="s">
        <v>708</v>
      </c>
      <c r="AE592" s="51" t="s">
        <v>967</v>
      </c>
      <c r="AF592" s="51" t="s">
        <v>4424</v>
      </c>
      <c r="AI592" s="52" t="s">
        <v>4426</v>
      </c>
      <c r="AK592" s="52" t="s">
        <v>528</v>
      </c>
      <c r="AL592" s="51" t="s">
        <v>972</v>
      </c>
      <c r="AP592" s="51" t="s">
        <v>4407</v>
      </c>
      <c r="AQ592" s="51" t="s">
        <v>3902</v>
      </c>
      <c r="AR592" s="51" t="s">
        <v>1937</v>
      </c>
      <c r="AS592" s="51" t="s">
        <v>967</v>
      </c>
      <c r="AT592" s="51" t="s">
        <v>4425</v>
      </c>
      <c r="AW592" s="52" t="s">
        <v>4427</v>
      </c>
      <c r="AY592" s="52" t="s">
        <v>1969</v>
      </c>
      <c r="AZ592" s="51" t="s">
        <v>972</v>
      </c>
    </row>
    <row r="593" spans="1:54" ht="38.25" x14ac:dyDescent="0.25">
      <c r="A593" s="51" t="s">
        <v>3811</v>
      </c>
      <c r="B593" s="51">
        <v>45</v>
      </c>
      <c r="E593" s="54" t="str" cm="1">
        <f t="array" aca="1" ref="E593" ca="1">IF(H593=0,"",HYPERLINK("#"&amp;RIGHT(CELL("dateiname"),LEN(CELL("dateiname"))-FIND("]",CELL("dateiname")))&amp;"!"&amp;CELL("adresse",OFFSET($Q$6,H593-1,0)),"Definition"))</f>
        <v/>
      </c>
      <c r="F593" s="54" t="str" cm="1">
        <f t="array" aca="1" ref="F593" ca="1">IF(I593=0,"",HYPERLINK("#"&amp;RIGHT(CELL("adresse",OFFSET(DMAV_Doku!$B$6,I593-1,0)),LEN(CELL("adresse",OFFSET(DMAV_Doku!$B$6,I593-1,0)))-SEARCH("]",CELL("adresse",OFFSET(DMAV_Doku!$B$6,I593-1,0)))),"ModDoc"))</f>
        <v>ModDoc</v>
      </c>
      <c r="G593" s="150" t="str">
        <f t="shared" si="18"/>
        <v>MRL45</v>
      </c>
      <c r="H593" s="150">
        <f t="shared" si="19"/>
        <v>0</v>
      </c>
      <c r="I593" s="150">
        <f>IF(_xlfn.XLOOKUP(G593,Korrelation!$A$4:$A$723,Korrelation!$B$4:$B$723,0,0)=0,0,MATCH(_xlfn.XLOOKUP(G593,Korrelation!$A$4:$A$723,Korrelation!$B$4:$B$723,0,0),DMAV_Doku!$H$6:$H$483,0))</f>
        <v>395</v>
      </c>
      <c r="J593" s="158"/>
      <c r="K593" s="161"/>
      <c r="L593" s="161"/>
      <c r="M593" s="158"/>
      <c r="N593" s="51" t="s">
        <v>4405</v>
      </c>
      <c r="O593" s="51" t="s">
        <v>3900</v>
      </c>
      <c r="P593" s="51" t="s">
        <v>21</v>
      </c>
      <c r="Q593" s="51" t="s">
        <v>949</v>
      </c>
      <c r="R593" s="51" t="s">
        <v>422</v>
      </c>
      <c r="U593" s="52" t="s">
        <v>121</v>
      </c>
      <c r="W593" s="52" t="s">
        <v>951</v>
      </c>
      <c r="Y593" s="52" t="s">
        <v>4408</v>
      </c>
      <c r="AB593" s="51" t="s">
        <v>4406</v>
      </c>
      <c r="AC593" s="51" t="s">
        <v>3901</v>
      </c>
      <c r="AD593" s="51" t="s">
        <v>708</v>
      </c>
      <c r="AE593" s="51" t="s">
        <v>949</v>
      </c>
      <c r="AF593" s="51" t="s">
        <v>822</v>
      </c>
      <c r="AI593" s="52" t="s">
        <v>742</v>
      </c>
      <c r="AK593" s="52" t="s">
        <v>951</v>
      </c>
      <c r="AP593" s="51" t="s">
        <v>4407</v>
      </c>
      <c r="AQ593" s="51" t="s">
        <v>3902</v>
      </c>
      <c r="AR593" s="51" t="s">
        <v>1937</v>
      </c>
      <c r="AS593" s="51" t="s">
        <v>949</v>
      </c>
      <c r="AT593" s="51" t="s">
        <v>4388</v>
      </c>
      <c r="AW593" s="52" t="s">
        <v>742</v>
      </c>
      <c r="AY593" s="52" t="s">
        <v>951</v>
      </c>
    </row>
    <row r="594" spans="1:54" ht="38.25" x14ac:dyDescent="0.25">
      <c r="A594" s="51" t="s">
        <v>3811</v>
      </c>
      <c r="B594" s="51">
        <v>46</v>
      </c>
      <c r="E594" s="54" t="str" cm="1">
        <f t="array" aca="1" ref="E594" ca="1">IF(H594=0,"",HYPERLINK("#"&amp;RIGHT(CELL("dateiname"),LEN(CELL("dateiname"))-FIND("]",CELL("dateiname")))&amp;"!"&amp;CELL("adresse",OFFSET($Q$6,H594-1,0)),"Definition"))</f>
        <v/>
      </c>
      <c r="F594" s="54" t="str" cm="1">
        <f t="array" aca="1" ref="F594" ca="1">IF(I594=0,"",HYPERLINK("#"&amp;RIGHT(CELL("adresse",OFFSET(DMAV_Doku!$B$6,I594-1,0)),LEN(CELL("adresse",OFFSET(DMAV_Doku!$B$6,I594-1,0)))-SEARCH("]",CELL("adresse",OFFSET(DMAV_Doku!$B$6,I594-1,0)))),"ModDoc"))</f>
        <v>ModDoc</v>
      </c>
      <c r="G594" s="150" t="str">
        <f t="shared" si="18"/>
        <v>MRL46</v>
      </c>
      <c r="H594" s="150">
        <f t="shared" si="19"/>
        <v>0</v>
      </c>
      <c r="I594" s="150">
        <f>IF(_xlfn.XLOOKUP(G594,Korrelation!$A$4:$A$723,Korrelation!$B$4:$B$723,0,0)=0,0,MATCH(_xlfn.XLOOKUP(G594,Korrelation!$A$4:$A$723,Korrelation!$B$4:$B$723,0,0),DMAV_Doku!$H$6:$H$483,0))</f>
        <v>396</v>
      </c>
      <c r="J594" s="158"/>
      <c r="K594" s="161"/>
      <c r="L594" s="161"/>
      <c r="M594" s="158"/>
      <c r="N594" s="51" t="s">
        <v>4405</v>
      </c>
      <c r="O594" s="51" t="s">
        <v>3900</v>
      </c>
      <c r="P594" s="51" t="s">
        <v>21</v>
      </c>
      <c r="Q594" s="51" t="s">
        <v>949</v>
      </c>
      <c r="R594" s="51" t="s">
        <v>422</v>
      </c>
      <c r="S594" s="50" t="s">
        <v>950</v>
      </c>
      <c r="U594" s="52" t="s">
        <v>123</v>
      </c>
      <c r="W594" s="52" t="s">
        <v>952</v>
      </c>
      <c r="Y594" s="52" t="s">
        <v>4408</v>
      </c>
      <c r="AB594" s="51" t="s">
        <v>4406</v>
      </c>
      <c r="AC594" s="51" t="s">
        <v>3901</v>
      </c>
      <c r="AD594" s="51" t="s">
        <v>708</v>
      </c>
      <c r="AE594" s="51" t="s">
        <v>949</v>
      </c>
      <c r="AF594" s="51" t="s">
        <v>822</v>
      </c>
      <c r="AG594" s="50" t="s">
        <v>950</v>
      </c>
      <c r="AI594" s="52" t="s">
        <v>123</v>
      </c>
      <c r="AK594" s="52" t="s">
        <v>952</v>
      </c>
      <c r="AP594" s="51" t="s">
        <v>4407</v>
      </c>
      <c r="AQ594" s="51" t="s">
        <v>3902</v>
      </c>
      <c r="AR594" s="51" t="s">
        <v>1937</v>
      </c>
      <c r="AS594" s="51" t="s">
        <v>949</v>
      </c>
      <c r="AT594" s="51" t="s">
        <v>4388</v>
      </c>
      <c r="AU594" s="50" t="s">
        <v>950</v>
      </c>
      <c r="AW594" s="52" t="s">
        <v>1247</v>
      </c>
      <c r="AY594" s="52" t="s">
        <v>952</v>
      </c>
    </row>
    <row r="595" spans="1:54" ht="38.25" x14ac:dyDescent="0.25">
      <c r="A595" s="51" t="s">
        <v>3811</v>
      </c>
      <c r="B595" s="51">
        <v>47</v>
      </c>
      <c r="C595" s="51" t="s">
        <v>3829</v>
      </c>
      <c r="E595" s="54" t="str" cm="1">
        <f t="array" aca="1" ref="E595" ca="1">IF(H595=0,"",HYPERLINK("#"&amp;RIGHT(CELL("dateiname"),LEN(CELL("dateiname"))-FIND("]",CELL("dateiname")))&amp;"!"&amp;CELL("adresse",OFFSET($Q$6,H595-1,0)),"Definition"))</f>
        <v>Definition</v>
      </c>
      <c r="F595" s="54" t="str" cm="1">
        <f t="array" aca="1" ref="F595" ca="1">IF(I595=0,"",HYPERLINK("#"&amp;RIGHT(CELL("adresse",OFFSET(DMAV_Doku!$B$6,I595-1,0)),LEN(CELL("adresse",OFFSET(DMAV_Doku!$B$6,I595-1,0)))-SEARCH("]",CELL("adresse",OFFSET(DMAV_Doku!$B$6,I595-1,0)))),"ModDoc"))</f>
        <v>ModDoc</v>
      </c>
      <c r="G595" s="150" t="str">
        <f t="shared" si="18"/>
        <v>MRL47</v>
      </c>
      <c r="H595" s="150">
        <f t="shared" si="19"/>
        <v>17</v>
      </c>
      <c r="I595" s="150">
        <f>IF(_xlfn.XLOOKUP(G595,Korrelation!$A$4:$A$723,Korrelation!$B$4:$B$723,0,0)=0,0,MATCH(_xlfn.XLOOKUP(G595,Korrelation!$A$4:$A$723,Korrelation!$B$4:$B$723,0,0),DMAV_Doku!$H$6:$H$483,0))</f>
        <v>397</v>
      </c>
      <c r="J595" s="158"/>
      <c r="K595" s="161"/>
      <c r="L595" s="161"/>
      <c r="M595" s="158"/>
      <c r="N595" s="51" t="s">
        <v>4405</v>
      </c>
      <c r="O595" s="51" t="s">
        <v>3900</v>
      </c>
      <c r="P595" s="51" t="s">
        <v>21</v>
      </c>
      <c r="Q595" s="51" t="s">
        <v>949</v>
      </c>
      <c r="R595" s="51" t="s">
        <v>422</v>
      </c>
      <c r="U595" s="52" t="s">
        <v>125</v>
      </c>
      <c r="W595" s="52" t="s">
        <v>953</v>
      </c>
      <c r="Y595" s="52" t="s">
        <v>4408</v>
      </c>
      <c r="AB595" s="51" t="s">
        <v>4406</v>
      </c>
      <c r="AC595" s="51" t="s">
        <v>3901</v>
      </c>
      <c r="AD595" s="51" t="s">
        <v>708</v>
      </c>
      <c r="AE595" s="51" t="s">
        <v>949</v>
      </c>
      <c r="AF595" s="51" t="s">
        <v>822</v>
      </c>
      <c r="AI595" s="52" t="s">
        <v>743</v>
      </c>
      <c r="AK595" s="52" t="s">
        <v>4017</v>
      </c>
      <c r="AP595" s="51" t="s">
        <v>4407</v>
      </c>
      <c r="AQ595" s="51" t="s">
        <v>3902</v>
      </c>
      <c r="AR595" s="51" t="s">
        <v>1937</v>
      </c>
      <c r="AS595" s="51" t="s">
        <v>949</v>
      </c>
      <c r="AT595" s="51" t="s">
        <v>4388</v>
      </c>
      <c r="AW595" s="52" t="s">
        <v>4018</v>
      </c>
      <c r="AY595" s="52" t="s">
        <v>4019</v>
      </c>
    </row>
    <row r="596" spans="1:54" ht="38.25" x14ac:dyDescent="0.25">
      <c r="A596" s="51" t="s">
        <v>3811</v>
      </c>
      <c r="B596" s="51">
        <v>48</v>
      </c>
      <c r="C596" s="51" t="s">
        <v>3834</v>
      </c>
      <c r="E596" s="54" t="str" cm="1">
        <f t="array" aca="1" ref="E596" ca="1">IF(H596=0,"",HYPERLINK("#"&amp;RIGHT(CELL("dateiname"),LEN(CELL("dateiname"))-FIND("]",CELL("dateiname")))&amp;"!"&amp;CELL("adresse",OFFSET($Q$6,H596-1,0)),"Definition"))</f>
        <v>Definition</v>
      </c>
      <c r="F596" s="54" t="str" cm="1">
        <f t="array" aca="1" ref="F596" ca="1">IF(I596=0,"",HYPERLINK("#"&amp;RIGHT(CELL("adresse",OFFSET(DMAV_Doku!$B$6,I596-1,0)),LEN(CELL("adresse",OFFSET(DMAV_Doku!$B$6,I596-1,0)))-SEARCH("]",CELL("adresse",OFFSET(DMAV_Doku!$B$6,I596-1,0)))),"ModDoc"))</f>
        <v>ModDoc</v>
      </c>
      <c r="G596" s="150" t="str">
        <f t="shared" si="18"/>
        <v>MRL48</v>
      </c>
      <c r="H596" s="150">
        <f t="shared" si="19"/>
        <v>40</v>
      </c>
      <c r="I596" s="150">
        <f>IF(_xlfn.XLOOKUP(G596,Korrelation!$A$4:$A$723,Korrelation!$B$4:$B$723,0,0)=0,0,MATCH(_xlfn.XLOOKUP(G596,Korrelation!$A$4:$A$723,Korrelation!$B$4:$B$723,0,0),DMAV_Doku!$H$6:$H$483,0))</f>
        <v>398</v>
      </c>
      <c r="J596" s="158"/>
      <c r="K596" s="161"/>
      <c r="L596" s="161"/>
      <c r="M596" s="158"/>
      <c r="N596" s="51" t="s">
        <v>4405</v>
      </c>
      <c r="O596" s="51" t="s">
        <v>3900</v>
      </c>
      <c r="P596" s="51" t="s">
        <v>21</v>
      </c>
      <c r="Q596" s="51" t="s">
        <v>949</v>
      </c>
      <c r="R596" s="51" t="s">
        <v>422</v>
      </c>
      <c r="S596" s="50" t="s">
        <v>950</v>
      </c>
      <c r="U596" s="52" t="s">
        <v>128</v>
      </c>
      <c r="W596" s="52" t="s">
        <v>954</v>
      </c>
      <c r="Y596" s="52" t="s">
        <v>4408</v>
      </c>
      <c r="AB596" s="51" t="s">
        <v>4406</v>
      </c>
      <c r="AC596" s="51" t="s">
        <v>3901</v>
      </c>
      <c r="AD596" s="51" t="s">
        <v>708</v>
      </c>
      <c r="AE596" s="51" t="s">
        <v>949</v>
      </c>
      <c r="AF596" s="51" t="s">
        <v>822</v>
      </c>
      <c r="AG596" s="50" t="s">
        <v>950</v>
      </c>
      <c r="AI596" s="52" t="s">
        <v>744</v>
      </c>
      <c r="AK596" s="52" t="s">
        <v>4020</v>
      </c>
      <c r="AP596" s="51" t="s">
        <v>4407</v>
      </c>
      <c r="AQ596" s="51" t="s">
        <v>3902</v>
      </c>
      <c r="AR596" s="51" t="s">
        <v>1937</v>
      </c>
      <c r="AS596" s="51" t="s">
        <v>949</v>
      </c>
      <c r="AT596" s="51" t="s">
        <v>4388</v>
      </c>
      <c r="AU596" s="50" t="s">
        <v>950</v>
      </c>
      <c r="AW596" s="52" t="s">
        <v>4021</v>
      </c>
      <c r="AY596" s="52" t="s">
        <v>4022</v>
      </c>
    </row>
    <row r="597" spans="1:54" ht="38.25" x14ac:dyDescent="0.25">
      <c r="A597" s="51" t="s">
        <v>3811</v>
      </c>
      <c r="B597" s="51">
        <v>49</v>
      </c>
      <c r="C597" s="51" t="s">
        <v>3835</v>
      </c>
      <c r="E597" s="54" t="str" cm="1">
        <f t="array" aca="1" ref="E597" ca="1">IF(H597=0,"",HYPERLINK("#"&amp;RIGHT(CELL("dateiname"),LEN(CELL("dateiname"))-FIND("]",CELL("dateiname")))&amp;"!"&amp;CELL("adresse",OFFSET($Q$6,H597-1,0)),"Definition"))</f>
        <v>Definition</v>
      </c>
      <c r="F597" s="54" t="str" cm="1">
        <f t="array" aca="1" ref="F597" ca="1">IF(I597=0,"",HYPERLINK("#"&amp;RIGHT(CELL("adresse",OFFSET(DMAV_Doku!$B$6,I597-1,0)),LEN(CELL("adresse",OFFSET(DMAV_Doku!$B$6,I597-1,0)))-SEARCH("]",CELL("adresse",OFFSET(DMAV_Doku!$B$6,I597-1,0)))),"ModDoc"))</f>
        <v>ModDoc</v>
      </c>
      <c r="G597" s="150" t="str">
        <f t="shared" si="18"/>
        <v>MRL49</v>
      </c>
      <c r="H597" s="150">
        <f t="shared" si="19"/>
        <v>41</v>
      </c>
      <c r="I597" s="150">
        <f>IF(_xlfn.XLOOKUP(G597,Korrelation!$A$4:$A$723,Korrelation!$B$4:$B$723,0,0)=0,0,MATCH(_xlfn.XLOOKUP(G597,Korrelation!$A$4:$A$723,Korrelation!$B$4:$B$723,0,0),DMAV_Doku!$H$6:$H$483,0))</f>
        <v>399</v>
      </c>
      <c r="J597" s="158"/>
      <c r="K597" s="161"/>
      <c r="L597" s="161"/>
      <c r="M597" s="158"/>
      <c r="N597" s="51" t="s">
        <v>4405</v>
      </c>
      <c r="O597" s="51" t="s">
        <v>3900</v>
      </c>
      <c r="P597" s="51" t="s">
        <v>21</v>
      </c>
      <c r="Q597" s="51" t="s">
        <v>949</v>
      </c>
      <c r="R597" s="51" t="s">
        <v>422</v>
      </c>
      <c r="S597" s="50" t="s">
        <v>950</v>
      </c>
      <c r="U597" s="52" t="s">
        <v>130</v>
      </c>
      <c r="W597" s="52" t="s">
        <v>955</v>
      </c>
      <c r="Y597" s="52" t="s">
        <v>4408</v>
      </c>
      <c r="AB597" s="51" t="s">
        <v>4406</v>
      </c>
      <c r="AC597" s="51" t="s">
        <v>3901</v>
      </c>
      <c r="AD597" s="51" t="s">
        <v>708</v>
      </c>
      <c r="AE597" s="51" t="s">
        <v>949</v>
      </c>
      <c r="AF597" s="51" t="s">
        <v>822</v>
      </c>
      <c r="AG597" s="50" t="s">
        <v>950</v>
      </c>
      <c r="AI597" s="52" t="s">
        <v>745</v>
      </c>
      <c r="AK597" s="52" t="s">
        <v>4023</v>
      </c>
      <c r="AP597" s="51" t="s">
        <v>4407</v>
      </c>
      <c r="AQ597" s="51" t="s">
        <v>3902</v>
      </c>
      <c r="AR597" s="51" t="s">
        <v>1937</v>
      </c>
      <c r="AS597" s="51" t="s">
        <v>949</v>
      </c>
      <c r="AT597" s="51" t="s">
        <v>4388</v>
      </c>
      <c r="AU597" s="50" t="s">
        <v>950</v>
      </c>
      <c r="AW597" s="52" t="s">
        <v>4024</v>
      </c>
      <c r="AY597" s="52" t="s">
        <v>4025</v>
      </c>
    </row>
    <row r="598" spans="1:54" ht="38.25" x14ac:dyDescent="0.25">
      <c r="A598" s="51" t="s">
        <v>3811</v>
      </c>
      <c r="B598" s="51">
        <v>50</v>
      </c>
      <c r="C598" s="51" t="s">
        <v>3834</v>
      </c>
      <c r="E598" s="54" t="str" cm="1">
        <f t="array" aca="1" ref="E598" ca="1">IF(H598=0,"",HYPERLINK("#"&amp;RIGHT(CELL("dateiname"),LEN(CELL("dateiname"))-FIND("]",CELL("dateiname")))&amp;"!"&amp;CELL("adresse",OFFSET($Q$6,H598-1,0)),"Definition"))</f>
        <v>Definition</v>
      </c>
      <c r="F598" s="54" t="str" cm="1">
        <f t="array" aca="1" ref="F598" ca="1">IF(I598=0,"",HYPERLINK("#"&amp;RIGHT(CELL("adresse",OFFSET(DMAV_Doku!$B$6,I598-1,0)),LEN(CELL("adresse",OFFSET(DMAV_Doku!$B$6,I598-1,0)))-SEARCH("]",CELL("adresse",OFFSET(DMAV_Doku!$B$6,I598-1,0)))),"ModDoc"))</f>
        <v>ModDoc</v>
      </c>
      <c r="G598" s="150" t="str">
        <f t="shared" si="18"/>
        <v>MRL50</v>
      </c>
      <c r="H598" s="150">
        <f t="shared" si="19"/>
        <v>40</v>
      </c>
      <c r="I598" s="150">
        <f>IF(_xlfn.XLOOKUP(G598,Korrelation!$A$4:$A$723,Korrelation!$B$4:$B$723,0,0)=0,0,MATCH(_xlfn.XLOOKUP(G598,Korrelation!$A$4:$A$723,Korrelation!$B$4:$B$723,0,0),DMAV_Doku!$H$6:$H$483,0))</f>
        <v>400</v>
      </c>
      <c r="J598" s="158"/>
      <c r="K598" s="161"/>
      <c r="L598" s="161"/>
      <c r="M598" s="158"/>
      <c r="N598" s="51" t="s">
        <v>4405</v>
      </c>
      <c r="O598" s="51" t="s">
        <v>3900</v>
      </c>
      <c r="P598" s="51" t="s">
        <v>21</v>
      </c>
      <c r="Q598" s="51" t="s">
        <v>949</v>
      </c>
      <c r="R598" s="51" t="s">
        <v>422</v>
      </c>
      <c r="U598" s="52" t="s">
        <v>132</v>
      </c>
      <c r="W598" s="52" t="s">
        <v>954</v>
      </c>
      <c r="Y598" s="52" t="s">
        <v>4408</v>
      </c>
      <c r="AB598" s="51" t="s">
        <v>4406</v>
      </c>
      <c r="AC598" s="51" t="s">
        <v>3901</v>
      </c>
      <c r="AD598" s="51" t="s">
        <v>708</v>
      </c>
      <c r="AE598" s="51" t="s">
        <v>949</v>
      </c>
      <c r="AF598" s="51" t="s">
        <v>822</v>
      </c>
      <c r="AI598" s="52" t="s">
        <v>746</v>
      </c>
      <c r="AK598" s="52" t="s">
        <v>4020</v>
      </c>
      <c r="AP598" s="51" t="s">
        <v>4407</v>
      </c>
      <c r="AQ598" s="51" t="s">
        <v>3902</v>
      </c>
      <c r="AR598" s="51" t="s">
        <v>1937</v>
      </c>
      <c r="AS598" s="51" t="s">
        <v>949</v>
      </c>
      <c r="AT598" s="51" t="s">
        <v>4388</v>
      </c>
      <c r="AW598" s="52" t="s">
        <v>4026</v>
      </c>
      <c r="AY598" s="52" t="s">
        <v>4022</v>
      </c>
    </row>
    <row r="599" spans="1:54" ht="38.25" x14ac:dyDescent="0.25">
      <c r="A599" s="51" t="s">
        <v>3811</v>
      </c>
      <c r="B599" s="51">
        <v>51</v>
      </c>
      <c r="C599" s="51" t="s">
        <v>3835</v>
      </c>
      <c r="E599" s="54" t="str" cm="1">
        <f t="array" aca="1" ref="E599" ca="1">IF(H599=0,"",HYPERLINK("#"&amp;RIGHT(CELL("dateiname"),LEN(CELL("dateiname"))-FIND("]",CELL("dateiname")))&amp;"!"&amp;CELL("adresse",OFFSET($Q$6,H599-1,0)),"Definition"))</f>
        <v>Definition</v>
      </c>
      <c r="F599" s="54" t="str" cm="1">
        <f t="array" aca="1" ref="F599" ca="1">IF(I599=0,"",HYPERLINK("#"&amp;RIGHT(CELL("adresse",OFFSET(DMAV_Doku!$B$6,I599-1,0)),LEN(CELL("adresse",OFFSET(DMAV_Doku!$B$6,I599-1,0)))-SEARCH("]",CELL("adresse",OFFSET(DMAV_Doku!$B$6,I599-1,0)))),"ModDoc"))</f>
        <v>ModDoc</v>
      </c>
      <c r="G599" s="150" t="str">
        <f t="shared" si="18"/>
        <v>MRL51</v>
      </c>
      <c r="H599" s="150">
        <f t="shared" si="19"/>
        <v>41</v>
      </c>
      <c r="I599" s="150">
        <f>IF(_xlfn.XLOOKUP(G599,Korrelation!$A$4:$A$723,Korrelation!$B$4:$B$723,0,0)=0,0,MATCH(_xlfn.XLOOKUP(G599,Korrelation!$A$4:$A$723,Korrelation!$B$4:$B$723,0,0),DMAV_Doku!$H$6:$H$483,0))</f>
        <v>401</v>
      </c>
      <c r="J599" s="158"/>
      <c r="K599" s="161"/>
      <c r="L599" s="161"/>
      <c r="M599" s="158"/>
      <c r="N599" s="51" t="s">
        <v>4405</v>
      </c>
      <c r="O599" s="51" t="s">
        <v>3900</v>
      </c>
      <c r="P599" s="51" t="s">
        <v>21</v>
      </c>
      <c r="Q599" s="51" t="s">
        <v>949</v>
      </c>
      <c r="R599" s="51" t="s">
        <v>422</v>
      </c>
      <c r="U599" s="52" t="s">
        <v>133</v>
      </c>
      <c r="W599" s="52" t="s">
        <v>955</v>
      </c>
      <c r="Y599" s="52" t="s">
        <v>4408</v>
      </c>
      <c r="AB599" s="51" t="s">
        <v>4406</v>
      </c>
      <c r="AC599" s="51" t="s">
        <v>3901</v>
      </c>
      <c r="AD599" s="51" t="s">
        <v>708</v>
      </c>
      <c r="AE599" s="51" t="s">
        <v>949</v>
      </c>
      <c r="AF599" s="51" t="s">
        <v>822</v>
      </c>
      <c r="AI599" s="52" t="s">
        <v>747</v>
      </c>
      <c r="AK599" s="52" t="s">
        <v>4023</v>
      </c>
      <c r="AP599" s="51" t="s">
        <v>4407</v>
      </c>
      <c r="AQ599" s="51" t="s">
        <v>3902</v>
      </c>
      <c r="AR599" s="51" t="s">
        <v>1937</v>
      </c>
      <c r="AS599" s="51" t="s">
        <v>949</v>
      </c>
      <c r="AT599" s="51" t="s">
        <v>4388</v>
      </c>
      <c r="AW599" s="52" t="s">
        <v>4027</v>
      </c>
      <c r="AY599" s="52" t="s">
        <v>4025</v>
      </c>
    </row>
    <row r="600" spans="1:54" ht="38.25" x14ac:dyDescent="0.25">
      <c r="A600" s="51" t="s">
        <v>3811</v>
      </c>
      <c r="B600" s="51">
        <v>52</v>
      </c>
      <c r="E600" s="54" t="str" cm="1">
        <f t="array" aca="1" ref="E600" ca="1">IF(H600=0,"",HYPERLINK("#"&amp;RIGHT(CELL("dateiname"),LEN(CELL("dateiname"))-FIND("]",CELL("dateiname")))&amp;"!"&amp;CELL("adresse",OFFSET($Q$6,H600-1,0)),"Definition"))</f>
        <v/>
      </c>
      <c r="F600" s="54" t="str" cm="1">
        <f t="array" aca="1" ref="F600" ca="1">IF(I600=0,"",HYPERLINK("#"&amp;RIGHT(CELL("adresse",OFFSET(DMAV_Doku!$B$6,I600-1,0)),LEN(CELL("adresse",OFFSET(DMAV_Doku!$B$6,I600-1,0)))-SEARCH("]",CELL("adresse",OFFSET(DMAV_Doku!$B$6,I600-1,0)))),"ModDoc"))</f>
        <v>ModDoc</v>
      </c>
      <c r="G600" s="150" t="str">
        <f t="shared" si="18"/>
        <v>MRL52</v>
      </c>
      <c r="H600" s="150">
        <f t="shared" si="19"/>
        <v>0</v>
      </c>
      <c r="I600" s="150">
        <f>IF(_xlfn.XLOOKUP(G600,Korrelation!$A$4:$A$723,Korrelation!$B$4:$B$723,0,0)=0,0,MATCH(_xlfn.XLOOKUP(G600,Korrelation!$A$4:$A$723,Korrelation!$B$4:$B$723,0,0),DMAV_Doku!$H$6:$H$483,0))</f>
        <v>402</v>
      </c>
      <c r="J600" s="158"/>
      <c r="K600" s="161"/>
      <c r="L600" s="161"/>
      <c r="M600" s="158"/>
      <c r="N600" s="51" t="s">
        <v>4405</v>
      </c>
      <c r="O600" s="51" t="s">
        <v>3900</v>
      </c>
      <c r="P600" s="51" t="s">
        <v>21</v>
      </c>
      <c r="Q600" s="51" t="s">
        <v>949</v>
      </c>
      <c r="R600" s="51" t="s">
        <v>422</v>
      </c>
      <c r="S600" s="50" t="s">
        <v>950</v>
      </c>
      <c r="U600" s="52" t="s">
        <v>297</v>
      </c>
      <c r="W600" s="52" t="s">
        <v>131</v>
      </c>
      <c r="Y600" s="52" t="s">
        <v>4408</v>
      </c>
      <c r="AB600" s="51" t="s">
        <v>4406</v>
      </c>
      <c r="AC600" s="51" t="s">
        <v>3901</v>
      </c>
      <c r="AD600" s="51" t="s">
        <v>708</v>
      </c>
      <c r="AE600" s="51" t="s">
        <v>949</v>
      </c>
      <c r="AF600" s="51" t="s">
        <v>822</v>
      </c>
      <c r="AG600" s="50" t="s">
        <v>950</v>
      </c>
      <c r="AI600" s="52" t="s">
        <v>797</v>
      </c>
      <c r="AK600" s="52" t="s">
        <v>131</v>
      </c>
      <c r="AP600" s="51" t="s">
        <v>4407</v>
      </c>
      <c r="AQ600" s="51" t="s">
        <v>3902</v>
      </c>
      <c r="AR600" s="51" t="s">
        <v>1937</v>
      </c>
      <c r="AS600" s="51" t="s">
        <v>949</v>
      </c>
      <c r="AT600" s="51" t="s">
        <v>4388</v>
      </c>
      <c r="AU600" s="50" t="s">
        <v>950</v>
      </c>
      <c r="AW600" s="52" t="s">
        <v>4188</v>
      </c>
      <c r="AY600" s="52" t="s">
        <v>131</v>
      </c>
    </row>
    <row r="601" spans="1:54" ht="51" x14ac:dyDescent="0.25">
      <c r="A601" s="51" t="s">
        <v>3811</v>
      </c>
      <c r="B601" s="51">
        <v>53</v>
      </c>
      <c r="D601" s="51" t="s">
        <v>3540</v>
      </c>
      <c r="E601" s="54" t="str" cm="1">
        <f t="array" aca="1" ref="E601" ca="1">IF(H601=0,"",HYPERLINK("#"&amp;RIGHT(CELL("dateiname"),LEN(CELL("dateiname"))-FIND("]",CELL("dateiname")))&amp;"!"&amp;CELL("adresse",OFFSET($Q$6,H601-1,0)),"Definition"))</f>
        <v/>
      </c>
      <c r="F601" s="54" t="str" cm="1">
        <f t="array" aca="1" ref="F601" ca="1">IF(I601=0,"",HYPERLINK("#"&amp;RIGHT(CELL("adresse",OFFSET(DMAV_Doku!$B$6,I601-1,0)),LEN(CELL("adresse",OFFSET(DMAV_Doku!$B$6,I601-1,0)))-SEARCH("]",CELL("adresse",OFFSET(DMAV_Doku!$B$6,I601-1,0)))),"ModDoc"))</f>
        <v/>
      </c>
      <c r="G601" s="150" t="str">
        <f t="shared" si="18"/>
        <v>MRL53</v>
      </c>
      <c r="H601" s="150">
        <f t="shared" si="19"/>
        <v>0</v>
      </c>
      <c r="I601" s="150">
        <f>IF(_xlfn.XLOOKUP(G601,Korrelation!$A$4:$A$723,Korrelation!$B$4:$B$723,0,0)=0,0,MATCH(_xlfn.XLOOKUP(G601,Korrelation!$A$4:$A$723,Korrelation!$B$4:$B$723,0,0),DMAV_Doku!$H$6:$H$483,0))</f>
        <v>0</v>
      </c>
      <c r="J601" s="158"/>
      <c r="K601" s="161"/>
      <c r="L601" s="161"/>
      <c r="M601" s="158"/>
      <c r="N601" s="51" t="s">
        <v>4405</v>
      </c>
      <c r="O601" s="51" t="s">
        <v>3900</v>
      </c>
      <c r="P601" s="51" t="s">
        <v>21</v>
      </c>
      <c r="Q601" s="51" t="s">
        <v>957</v>
      </c>
      <c r="R601" s="51" t="s">
        <v>422</v>
      </c>
      <c r="S601" s="50" t="s">
        <v>950</v>
      </c>
      <c r="U601" s="52" t="s">
        <v>2751</v>
      </c>
      <c r="V601" s="55"/>
      <c r="W601" s="52" t="s">
        <v>3420</v>
      </c>
      <c r="Y601" s="52" t="s">
        <v>4408</v>
      </c>
      <c r="Z601" s="52" t="s">
        <v>3660</v>
      </c>
      <c r="AB601" s="51" t="s">
        <v>4406</v>
      </c>
      <c r="AC601" s="51" t="s">
        <v>3901</v>
      </c>
      <c r="AD601" s="51" t="s">
        <v>708</v>
      </c>
      <c r="AE601" s="51" t="s">
        <v>957</v>
      </c>
      <c r="AF601" s="51" t="s">
        <v>822</v>
      </c>
      <c r="AG601" s="50" t="s">
        <v>950</v>
      </c>
      <c r="AI601" s="52" t="s">
        <v>4038</v>
      </c>
      <c r="AK601" s="52" t="s">
        <v>4039</v>
      </c>
      <c r="AN601" s="52" t="s">
        <v>7253</v>
      </c>
      <c r="AP601" s="51" t="s">
        <v>4407</v>
      </c>
      <c r="AQ601" s="51" t="s">
        <v>3902</v>
      </c>
      <c r="AR601" s="51" t="s">
        <v>1937</v>
      </c>
      <c r="AS601" s="51" t="s">
        <v>957</v>
      </c>
      <c r="AT601" s="51" t="s">
        <v>4388</v>
      </c>
      <c r="AU601" s="50" t="s">
        <v>950</v>
      </c>
      <c r="AW601" s="52" t="s">
        <v>4038</v>
      </c>
      <c r="AY601" s="52" t="s">
        <v>4040</v>
      </c>
      <c r="BB601" s="52" t="s">
        <v>6020</v>
      </c>
    </row>
    <row r="602" spans="1:54" ht="51" x14ac:dyDescent="0.25">
      <c r="A602" s="51" t="s">
        <v>3811</v>
      </c>
      <c r="B602" s="51">
        <v>54</v>
      </c>
      <c r="D602" s="51" t="s">
        <v>3541</v>
      </c>
      <c r="E602" s="54" t="str" cm="1">
        <f t="array" aca="1" ref="E602" ca="1">IF(H602=0,"",HYPERLINK("#"&amp;RIGHT(CELL("dateiname"),LEN(CELL("dateiname"))-FIND("]",CELL("dateiname")))&amp;"!"&amp;CELL("adresse",OFFSET($Q$6,H602-1,0)),"Definition"))</f>
        <v/>
      </c>
      <c r="F602" s="54" t="str" cm="1">
        <f t="array" aca="1" ref="F602" ca="1">IF(I602=0,"",HYPERLINK("#"&amp;RIGHT(CELL("adresse",OFFSET(DMAV_Doku!$B$6,I602-1,0)),LEN(CELL("adresse",OFFSET(DMAV_Doku!$B$6,I602-1,0)))-SEARCH("]",CELL("adresse",OFFSET(DMAV_Doku!$B$6,I602-1,0)))),"ModDoc"))</f>
        <v/>
      </c>
      <c r="G602" s="150" t="str">
        <f t="shared" si="18"/>
        <v>MRL54</v>
      </c>
      <c r="H602" s="150">
        <f t="shared" si="19"/>
        <v>0</v>
      </c>
      <c r="I602" s="150">
        <f>IF(_xlfn.XLOOKUP(G602,Korrelation!$A$4:$A$723,Korrelation!$B$4:$B$723,0,0)=0,0,MATCH(_xlfn.XLOOKUP(G602,Korrelation!$A$4:$A$723,Korrelation!$B$4:$B$723,0,0),DMAV_Doku!$H$6:$H$483,0))</f>
        <v>0</v>
      </c>
      <c r="J602" s="158"/>
      <c r="K602" s="161"/>
      <c r="L602" s="161"/>
      <c r="M602" s="158"/>
      <c r="N602" s="51" t="s">
        <v>4405</v>
      </c>
      <c r="O602" s="51" t="s">
        <v>3900</v>
      </c>
      <c r="P602" s="51" t="s">
        <v>21</v>
      </c>
      <c r="Q602" s="51" t="s">
        <v>957</v>
      </c>
      <c r="R602" s="51" t="s">
        <v>422</v>
      </c>
      <c r="S602" s="50" t="s">
        <v>950</v>
      </c>
      <c r="U602" s="52" t="s">
        <v>2751</v>
      </c>
      <c r="W602" s="52" t="s">
        <v>3422</v>
      </c>
      <c r="Y602" s="52" t="s">
        <v>4408</v>
      </c>
      <c r="Z602" s="52" t="s">
        <v>3661</v>
      </c>
      <c r="AB602" s="51" t="s">
        <v>4406</v>
      </c>
      <c r="AC602" s="51" t="s">
        <v>3901</v>
      </c>
      <c r="AD602" s="51" t="s">
        <v>708</v>
      </c>
      <c r="AE602" s="51" t="s">
        <v>957</v>
      </c>
      <c r="AF602" s="51" t="s">
        <v>822</v>
      </c>
      <c r="AG602" s="50" t="s">
        <v>950</v>
      </c>
      <c r="AI602" s="52" t="s">
        <v>4038</v>
      </c>
      <c r="AK602" s="52" t="s">
        <v>4041</v>
      </c>
      <c r="AN602" s="52" t="s">
        <v>7253</v>
      </c>
      <c r="AP602" s="51" t="s">
        <v>4407</v>
      </c>
      <c r="AQ602" s="51" t="s">
        <v>3902</v>
      </c>
      <c r="AR602" s="51" t="s">
        <v>1937</v>
      </c>
      <c r="AS602" s="51" t="s">
        <v>957</v>
      </c>
      <c r="AT602" s="51" t="s">
        <v>4388</v>
      </c>
      <c r="AU602" s="50" t="s">
        <v>950</v>
      </c>
      <c r="AW602" s="52" t="s">
        <v>4038</v>
      </c>
      <c r="AY602" s="52" t="s">
        <v>4042</v>
      </c>
      <c r="BB602" s="52" t="s">
        <v>6021</v>
      </c>
    </row>
    <row r="603" spans="1:54" ht="38.25" x14ac:dyDescent="0.25">
      <c r="A603" s="51" t="s">
        <v>3811</v>
      </c>
      <c r="B603" s="51">
        <v>55</v>
      </c>
      <c r="E603" s="54" t="str" cm="1">
        <f t="array" aca="1" ref="E603" ca="1">IF(H603=0,"",HYPERLINK("#"&amp;RIGHT(CELL("dateiname"),LEN(CELL("dateiname"))-FIND("]",CELL("dateiname")))&amp;"!"&amp;CELL("adresse",OFFSET($Q$6,H603-1,0)),"Definition"))</f>
        <v/>
      </c>
      <c r="F603" s="54" t="str" cm="1">
        <f t="array" aca="1" ref="F603" ca="1">IF(I603=0,"",HYPERLINK("#"&amp;RIGHT(CELL("adresse",OFFSET(DMAV_Doku!$B$6,I603-1,0)),LEN(CELL("adresse",OFFSET(DMAV_Doku!$B$6,I603-1,0)))-SEARCH("]",CELL("adresse",OFFSET(DMAV_Doku!$B$6,I603-1,0)))),"ModDoc"))</f>
        <v/>
      </c>
      <c r="G603" s="150" t="str">
        <f t="shared" si="18"/>
        <v>MRL55</v>
      </c>
      <c r="H603" s="150">
        <f t="shared" si="19"/>
        <v>0</v>
      </c>
      <c r="I603" s="150">
        <f>IF(_xlfn.XLOOKUP(G603,Korrelation!$A$4:$A$723,Korrelation!$B$4:$B$723,0,0)=0,0,MATCH(_xlfn.XLOOKUP(G603,Korrelation!$A$4:$A$723,Korrelation!$B$4:$B$723,0,0),DMAV_Doku!$H$6:$H$483,0))</f>
        <v>0</v>
      </c>
      <c r="J603" s="158"/>
      <c r="K603" s="161"/>
      <c r="L603" s="161"/>
      <c r="M603" s="158"/>
      <c r="N603" s="51" t="s">
        <v>4405</v>
      </c>
      <c r="O603" s="51" t="s">
        <v>3900</v>
      </c>
      <c r="P603" s="51" t="s">
        <v>21</v>
      </c>
      <c r="Q603" s="51" t="s">
        <v>967</v>
      </c>
      <c r="R603" s="51" t="s">
        <v>1131</v>
      </c>
      <c r="U603" s="52" t="s">
        <v>969</v>
      </c>
      <c r="W603" s="52" t="s">
        <v>545</v>
      </c>
      <c r="X603" s="51" t="s">
        <v>975</v>
      </c>
      <c r="Y603" s="52" t="s">
        <v>4408</v>
      </c>
      <c r="AB603" s="51" t="s">
        <v>4406</v>
      </c>
      <c r="AC603" s="51" t="s">
        <v>3901</v>
      </c>
      <c r="AD603" s="51" t="s">
        <v>708</v>
      </c>
      <c r="AE603" s="51" t="s">
        <v>967</v>
      </c>
      <c r="AF603" s="51" t="s">
        <v>4389</v>
      </c>
      <c r="AI603" s="52" t="s">
        <v>1319</v>
      </c>
      <c r="AK603" s="52" t="s">
        <v>876</v>
      </c>
      <c r="AL603" s="51" t="s">
        <v>975</v>
      </c>
      <c r="AP603" s="51" t="s">
        <v>4407</v>
      </c>
      <c r="AQ603" s="51" t="s">
        <v>3902</v>
      </c>
      <c r="AR603" s="51" t="s">
        <v>1937</v>
      </c>
      <c r="AS603" s="51" t="s">
        <v>967</v>
      </c>
      <c r="AT603" s="51" t="s">
        <v>4390</v>
      </c>
      <c r="AW603" s="52" t="s">
        <v>1319</v>
      </c>
      <c r="AY603" s="52" t="s">
        <v>4409</v>
      </c>
      <c r="AZ603" s="51" t="s">
        <v>975</v>
      </c>
    </row>
    <row r="604" spans="1:54" ht="38.25" x14ac:dyDescent="0.25">
      <c r="A604" s="51" t="s">
        <v>3811</v>
      </c>
      <c r="B604" s="51">
        <v>56</v>
      </c>
      <c r="E604" s="54" t="str" cm="1">
        <f t="array" aca="1" ref="E604" ca="1">IF(H604=0,"",HYPERLINK("#"&amp;RIGHT(CELL("dateiname"),LEN(CELL("dateiname"))-FIND("]",CELL("dateiname")))&amp;"!"&amp;CELL("adresse",OFFSET($Q$6,H604-1,0)),"Definition"))</f>
        <v/>
      </c>
      <c r="F604" s="54" t="str" cm="1">
        <f t="array" aca="1" ref="F604" ca="1">IF(I604=0,"",HYPERLINK("#"&amp;RIGHT(CELL("adresse",OFFSET(DMAV_Doku!$B$6,I604-1,0)),LEN(CELL("adresse",OFFSET(DMAV_Doku!$B$6,I604-1,0)))-SEARCH("]",CELL("adresse",OFFSET(DMAV_Doku!$B$6,I604-1,0)))),"ModDoc"))</f>
        <v/>
      </c>
      <c r="G604" s="150" t="str">
        <f t="shared" si="18"/>
        <v>MRL56</v>
      </c>
      <c r="H604" s="150">
        <f t="shared" si="19"/>
        <v>0</v>
      </c>
      <c r="I604" s="150">
        <f>IF(_xlfn.XLOOKUP(G604,Korrelation!$A$4:$A$723,Korrelation!$B$4:$B$723,0,0)=0,0,MATCH(_xlfn.XLOOKUP(G604,Korrelation!$A$4:$A$723,Korrelation!$B$4:$B$723,0,0),DMAV_Doku!$H$6:$H$483,0))</f>
        <v>0</v>
      </c>
      <c r="J604" s="158"/>
      <c r="K604" s="161"/>
      <c r="L604" s="161"/>
      <c r="M604" s="158"/>
      <c r="N604" s="51" t="s">
        <v>4405</v>
      </c>
      <c r="O604" s="51" t="s">
        <v>3900</v>
      </c>
      <c r="P604" s="51" t="s">
        <v>21</v>
      </c>
      <c r="Q604" s="51" t="s">
        <v>967</v>
      </c>
      <c r="R604" s="51" t="s">
        <v>1131</v>
      </c>
      <c r="U604" s="52" t="s">
        <v>1132</v>
      </c>
      <c r="W604" s="52" t="s">
        <v>422</v>
      </c>
      <c r="X604" s="51" t="s">
        <v>972</v>
      </c>
      <c r="Y604" s="52" t="s">
        <v>4408</v>
      </c>
      <c r="AB604" s="51" t="s">
        <v>4406</v>
      </c>
      <c r="AC604" s="51" t="s">
        <v>3901</v>
      </c>
      <c r="AD604" s="51" t="s">
        <v>708</v>
      </c>
      <c r="AE604" s="51" t="s">
        <v>967</v>
      </c>
      <c r="AF604" s="51" t="s">
        <v>4389</v>
      </c>
      <c r="AI604" s="52" t="s">
        <v>4391</v>
      </c>
      <c r="AK604" s="52" t="s">
        <v>822</v>
      </c>
      <c r="AL604" s="51" t="s">
        <v>972</v>
      </c>
      <c r="AP604" s="51" t="s">
        <v>4407</v>
      </c>
      <c r="AQ604" s="51" t="s">
        <v>3902</v>
      </c>
      <c r="AR604" s="51" t="s">
        <v>1937</v>
      </c>
      <c r="AS604" s="51" t="s">
        <v>967</v>
      </c>
      <c r="AT604" s="51" t="s">
        <v>4390</v>
      </c>
      <c r="AW604" s="52" t="s">
        <v>4392</v>
      </c>
      <c r="AY604" s="52" t="s">
        <v>4388</v>
      </c>
      <c r="AZ604" s="51" t="s">
        <v>972</v>
      </c>
    </row>
    <row r="605" spans="1:54" x14ac:dyDescent="0.25">
      <c r="A605" s="51" t="s">
        <v>3812</v>
      </c>
      <c r="B605" s="51">
        <v>1</v>
      </c>
      <c r="E605" s="54" t="str" cm="1">
        <f t="array" aca="1" ref="E605" ca="1">IF(H605=0,"",HYPERLINK("#"&amp;RIGHT(CELL("dateiname"),LEN(CELL("dateiname"))-FIND("]",CELL("dateiname")))&amp;"!"&amp;CELL("adresse",OFFSET($Q$6,H605-1,0)),"Definition"))</f>
        <v/>
      </c>
      <c r="F605" s="54" t="str" cm="1">
        <f t="array" aca="1" ref="F605" ca="1">IF(I605=0,"",HYPERLINK("#"&amp;RIGHT(CELL("adresse",OFFSET(DMAV_Doku!$B$6,I605-1,0)),LEN(CELL("adresse",OFFSET(DMAV_Doku!$B$6,I605-1,0)))-SEARCH("]",CELL("adresse",OFFSET(DMAV_Doku!$B$6,I605-1,0)))),"ModDoc"))</f>
        <v/>
      </c>
      <c r="G605" s="150" t="str">
        <f t="shared" si="18"/>
        <v>MTS1</v>
      </c>
      <c r="H605" s="150">
        <f t="shared" si="19"/>
        <v>0</v>
      </c>
      <c r="I605" s="150">
        <f>IF(_xlfn.XLOOKUP(G605,Korrelation!$A$4:$A$723,Korrelation!$B$4:$B$723,0,0)=0,0,MATCH(_xlfn.XLOOKUP(G605,Korrelation!$A$4:$A$723,Korrelation!$B$4:$B$723,0,0),DMAV_Doku!$H$6:$H$483,0))</f>
        <v>0</v>
      </c>
      <c r="J605" s="158"/>
      <c r="K605" s="161"/>
      <c r="L605" s="161"/>
      <c r="M605" s="158"/>
      <c r="N605" s="51" t="s">
        <v>4428</v>
      </c>
      <c r="O605" s="51" t="s">
        <v>3903</v>
      </c>
      <c r="Q605" s="51" t="s">
        <v>910</v>
      </c>
      <c r="R605" s="51" t="s">
        <v>932</v>
      </c>
      <c r="U605" s="134"/>
      <c r="W605" s="52"/>
      <c r="AB605" s="51" t="s">
        <v>4429</v>
      </c>
      <c r="AC605" s="51" t="s">
        <v>3904</v>
      </c>
      <c r="AE605" s="51" t="s">
        <v>910</v>
      </c>
      <c r="AF605" s="51" t="s">
        <v>932</v>
      </c>
      <c r="AP605" s="51" t="s">
        <v>4430</v>
      </c>
      <c r="AQ605" s="51" t="s">
        <v>3905</v>
      </c>
      <c r="AS605" s="51" t="s">
        <v>910</v>
      </c>
      <c r="AT605" s="51" t="s">
        <v>932</v>
      </c>
    </row>
    <row r="606" spans="1:54" x14ac:dyDescent="0.25">
      <c r="A606" s="51" t="s">
        <v>3812</v>
      </c>
      <c r="B606" s="51">
        <v>2</v>
      </c>
      <c r="D606" s="51" t="s">
        <v>3542</v>
      </c>
      <c r="E606" s="54" t="str" cm="1">
        <f t="array" aca="1" ref="E606" ca="1">IF(H606=0,"",HYPERLINK("#"&amp;RIGHT(CELL("dateiname"),LEN(CELL("dateiname"))-FIND("]",CELL("dateiname")))&amp;"!"&amp;CELL("adresse",OFFSET($Q$6,H606-1,0)),"Definition"))</f>
        <v/>
      </c>
      <c r="F606" s="54" t="str" cm="1">
        <f t="array" aca="1" ref="F606" ca="1">IF(I606=0,"",HYPERLINK("#"&amp;RIGHT(CELL("adresse",OFFSET(DMAV_Doku!$B$6,I606-1,0)),LEN(CELL("adresse",OFFSET(DMAV_Doku!$B$6,I606-1,0)))-SEARCH("]",CELL("adresse",OFFSET(DMAV_Doku!$B$6,I606-1,0)))),"ModDoc"))</f>
        <v>ModDoc</v>
      </c>
      <c r="G606" s="150" t="str">
        <f t="shared" si="18"/>
        <v>MTS2</v>
      </c>
      <c r="H606" s="150">
        <f t="shared" si="19"/>
        <v>0</v>
      </c>
      <c r="I606" s="150">
        <f>IF(_xlfn.XLOOKUP(G606,Korrelation!$A$4:$A$723,Korrelation!$B$4:$B$723,0,0)=0,0,MATCH(_xlfn.XLOOKUP(G606,Korrelation!$A$4:$A$723,Korrelation!$B$4:$B$723,0,0),DMAV_Doku!$H$6:$H$483,0))</f>
        <v>408</v>
      </c>
      <c r="J606" s="158"/>
      <c r="K606" s="161"/>
      <c r="L606" s="161"/>
      <c r="M606" s="158"/>
      <c r="N606" s="51" t="s">
        <v>4428</v>
      </c>
      <c r="O606" s="51" t="s">
        <v>3903</v>
      </c>
      <c r="P606" s="51" t="s">
        <v>22</v>
      </c>
      <c r="Q606" s="51" t="s">
        <v>949</v>
      </c>
      <c r="R606" s="51" t="s">
        <v>578</v>
      </c>
      <c r="S606" s="50" t="s">
        <v>950</v>
      </c>
      <c r="T606" s="51" t="s">
        <v>959</v>
      </c>
      <c r="U606" s="52" t="s">
        <v>96</v>
      </c>
      <c r="W606" s="131" t="s">
        <v>951</v>
      </c>
      <c r="Z606" s="200" t="s">
        <v>6006</v>
      </c>
      <c r="AB606" s="51" t="s">
        <v>4429</v>
      </c>
      <c r="AC606" s="51" t="s">
        <v>3904</v>
      </c>
      <c r="AD606" s="51" t="s">
        <v>709</v>
      </c>
      <c r="AE606" s="51" t="s">
        <v>949</v>
      </c>
      <c r="AF606" s="51" t="s">
        <v>880</v>
      </c>
      <c r="AG606" s="50" t="s">
        <v>950</v>
      </c>
      <c r="AH606" s="51" t="s">
        <v>959</v>
      </c>
      <c r="AI606" s="52" t="s">
        <v>733</v>
      </c>
      <c r="AK606" s="52" t="s">
        <v>951</v>
      </c>
      <c r="AN606" s="52" t="s">
        <v>6008</v>
      </c>
      <c r="AP606" s="51" t="s">
        <v>4430</v>
      </c>
      <c r="AQ606" s="51" t="s">
        <v>3905</v>
      </c>
      <c r="AR606" s="51" t="s">
        <v>4431</v>
      </c>
      <c r="AS606" s="51" t="s">
        <v>949</v>
      </c>
      <c r="AT606" s="51" t="s">
        <v>4432</v>
      </c>
      <c r="AU606" s="50" t="s">
        <v>950</v>
      </c>
      <c r="AV606" s="51" t="s">
        <v>959</v>
      </c>
      <c r="AW606" s="52" t="s">
        <v>1378</v>
      </c>
      <c r="AY606" s="52" t="s">
        <v>951</v>
      </c>
      <c r="BB606" s="52" t="s">
        <v>6009</v>
      </c>
    </row>
    <row r="607" spans="1:54" x14ac:dyDescent="0.25">
      <c r="A607" s="51" t="s">
        <v>3812</v>
      </c>
      <c r="B607" s="51">
        <v>3</v>
      </c>
      <c r="D607" s="51" t="s">
        <v>3542</v>
      </c>
      <c r="E607" s="54" t="str" cm="1">
        <f t="array" aca="1" ref="E607" ca="1">IF(H607=0,"",HYPERLINK("#"&amp;RIGHT(CELL("dateiname"),LEN(CELL("dateiname"))-FIND("]",CELL("dateiname")))&amp;"!"&amp;CELL("adresse",OFFSET($Q$6,H607-1,0)),"Definition"))</f>
        <v/>
      </c>
      <c r="F607" s="54" t="str" cm="1">
        <f t="array" aca="1" ref="F607" ca="1">IF(I607=0,"",HYPERLINK("#"&amp;RIGHT(CELL("adresse",OFFSET(DMAV_Doku!$B$6,I607-1,0)),LEN(CELL("adresse",OFFSET(DMAV_Doku!$B$6,I607-1,0)))-SEARCH("]",CELL("adresse",OFFSET(DMAV_Doku!$B$6,I607-1,0)))),"ModDoc"))</f>
        <v>ModDoc</v>
      </c>
      <c r="G607" s="150" t="str">
        <f t="shared" si="18"/>
        <v>MTS3</v>
      </c>
      <c r="H607" s="150">
        <f t="shared" si="19"/>
        <v>0</v>
      </c>
      <c r="I607" s="150">
        <f>IF(_xlfn.XLOOKUP(G607,Korrelation!$A$4:$A$723,Korrelation!$B$4:$B$723,0,0)=0,0,MATCH(_xlfn.XLOOKUP(G607,Korrelation!$A$4:$A$723,Korrelation!$B$4:$B$723,0,0),DMAV_Doku!$H$6:$H$483,0))</f>
        <v>409</v>
      </c>
      <c r="J607" s="158"/>
      <c r="K607" s="161"/>
      <c r="L607" s="161"/>
      <c r="M607" s="158"/>
      <c r="N607" s="51" t="s">
        <v>4428</v>
      </c>
      <c r="O607" s="51" t="s">
        <v>3903</v>
      </c>
      <c r="P607" s="51" t="s">
        <v>22</v>
      </c>
      <c r="Q607" s="51" t="s">
        <v>949</v>
      </c>
      <c r="R607" s="51" t="s">
        <v>578</v>
      </c>
      <c r="S607" s="50" t="s">
        <v>950</v>
      </c>
      <c r="T607" s="51" t="s">
        <v>959</v>
      </c>
      <c r="U607" s="52" t="s">
        <v>99</v>
      </c>
      <c r="W607" s="52" t="s">
        <v>951</v>
      </c>
      <c r="Y607" s="52" t="s">
        <v>1599</v>
      </c>
      <c r="Z607" s="200" t="s">
        <v>6006</v>
      </c>
      <c r="AB607" s="51" t="s">
        <v>4429</v>
      </c>
      <c r="AC607" s="51" t="s">
        <v>3904</v>
      </c>
      <c r="AD607" s="51" t="s">
        <v>709</v>
      </c>
      <c r="AE607" s="51" t="s">
        <v>949</v>
      </c>
      <c r="AF607" s="51" t="s">
        <v>880</v>
      </c>
      <c r="AG607" s="50" t="s">
        <v>950</v>
      </c>
      <c r="AH607" s="51" t="s">
        <v>959</v>
      </c>
      <c r="AI607" s="52" t="s">
        <v>734</v>
      </c>
      <c r="AK607" s="52" t="s">
        <v>951</v>
      </c>
      <c r="AN607" s="52" t="s">
        <v>6008</v>
      </c>
      <c r="AP607" s="51" t="s">
        <v>4430</v>
      </c>
      <c r="AQ607" s="51" t="s">
        <v>3905</v>
      </c>
      <c r="AR607" s="51" t="s">
        <v>4431</v>
      </c>
      <c r="AS607" s="51" t="s">
        <v>949</v>
      </c>
      <c r="AT607" s="51" t="s">
        <v>4432</v>
      </c>
      <c r="AU607" s="50" t="s">
        <v>950</v>
      </c>
      <c r="AV607" s="51" t="s">
        <v>959</v>
      </c>
      <c r="AW607" s="52" t="s">
        <v>1376</v>
      </c>
      <c r="AY607" s="52" t="s">
        <v>951</v>
      </c>
      <c r="BB607" s="52" t="s">
        <v>6009</v>
      </c>
    </row>
    <row r="608" spans="1:54" x14ac:dyDescent="0.25">
      <c r="A608" s="51" t="s">
        <v>3812</v>
      </c>
      <c r="B608" s="51">
        <v>4</v>
      </c>
      <c r="E608" s="54" t="str" cm="1">
        <f t="array" aca="1" ref="E608" ca="1">IF(H608=0,"",HYPERLINK("#"&amp;RIGHT(CELL("dateiname"),LEN(CELL("dateiname"))-FIND("]",CELL("dateiname")))&amp;"!"&amp;CELL("adresse",OFFSET($Q$6,H608-1,0)),"Definition"))</f>
        <v/>
      </c>
      <c r="F608" s="54" t="str" cm="1">
        <f t="array" aca="1" ref="F608" ca="1">IF(I608=0,"",HYPERLINK("#"&amp;RIGHT(CELL("adresse",OFFSET(DMAV_Doku!$B$6,I608-1,0)),LEN(CELL("adresse",OFFSET(DMAV_Doku!$B$6,I608-1,0)))-SEARCH("]",CELL("adresse",OFFSET(DMAV_Doku!$B$6,I608-1,0)))),"ModDoc"))</f>
        <v>ModDoc</v>
      </c>
      <c r="G608" s="150" t="str">
        <f t="shared" si="18"/>
        <v>MTS4</v>
      </c>
      <c r="H608" s="150">
        <f t="shared" si="19"/>
        <v>0</v>
      </c>
      <c r="I608" s="150">
        <f>IF(_xlfn.XLOOKUP(G608,Korrelation!$A$4:$A$723,Korrelation!$B$4:$B$723,0,0)=0,0,MATCH(_xlfn.XLOOKUP(G608,Korrelation!$A$4:$A$723,Korrelation!$B$4:$B$723,0,0),DMAV_Doku!$H$6:$H$483,0))</f>
        <v>410</v>
      </c>
      <c r="J608" s="158"/>
      <c r="K608" s="161"/>
      <c r="L608" s="161"/>
      <c r="M608" s="158"/>
      <c r="N608" s="51" t="s">
        <v>4428</v>
      </c>
      <c r="O608" s="51" t="s">
        <v>3903</v>
      </c>
      <c r="P608" s="51" t="s">
        <v>22</v>
      </c>
      <c r="Q608" s="51" t="s">
        <v>949</v>
      </c>
      <c r="R608" s="51" t="s">
        <v>578</v>
      </c>
      <c r="S608" s="50" t="s">
        <v>950</v>
      </c>
      <c r="U608" s="52" t="s">
        <v>101</v>
      </c>
      <c r="W608" s="52" t="s">
        <v>964</v>
      </c>
      <c r="AB608" s="51" t="s">
        <v>4429</v>
      </c>
      <c r="AC608" s="51" t="s">
        <v>3904</v>
      </c>
      <c r="AD608" s="51" t="s">
        <v>709</v>
      </c>
      <c r="AE608" s="51" t="s">
        <v>949</v>
      </c>
      <c r="AF608" s="51" t="s">
        <v>880</v>
      </c>
      <c r="AG608" s="50" t="s">
        <v>950</v>
      </c>
      <c r="AI608" s="52" t="s">
        <v>735</v>
      </c>
      <c r="AK608" s="52" t="s">
        <v>964</v>
      </c>
      <c r="AP608" s="51" t="s">
        <v>4430</v>
      </c>
      <c r="AQ608" s="51" t="s">
        <v>3905</v>
      </c>
      <c r="AR608" s="51" t="s">
        <v>4431</v>
      </c>
      <c r="AS608" s="51" t="s">
        <v>949</v>
      </c>
      <c r="AT608" s="51" t="s">
        <v>4432</v>
      </c>
      <c r="AU608" s="50" t="s">
        <v>950</v>
      </c>
      <c r="AW608" s="52" t="s">
        <v>1294</v>
      </c>
      <c r="AY608" s="52" t="s">
        <v>964</v>
      </c>
    </row>
    <row r="609" spans="1:52" ht="38.25" x14ac:dyDescent="0.25">
      <c r="A609" s="51" t="s">
        <v>3812</v>
      </c>
      <c r="B609" s="51">
        <v>5</v>
      </c>
      <c r="E609" s="54" t="str" cm="1">
        <f t="array" aca="1" ref="E609" ca="1">IF(H609=0,"",HYPERLINK("#"&amp;RIGHT(CELL("dateiname"),LEN(CELL("dateiname"))-FIND("]",CELL("dateiname")))&amp;"!"&amp;CELL("adresse",OFFSET($Q$6,H609-1,0)),"Definition"))</f>
        <v/>
      </c>
      <c r="F609" s="54" t="str" cm="1">
        <f t="array" aca="1" ref="F609" ca="1">IF(I609=0,"",HYPERLINK("#"&amp;RIGHT(CELL("adresse",OFFSET(DMAV_Doku!$B$6,I609-1,0)),LEN(CELL("adresse",OFFSET(DMAV_Doku!$B$6,I609-1,0)))-SEARCH("]",CELL("adresse",OFFSET(DMAV_Doku!$B$6,I609-1,0)))),"ModDoc"))</f>
        <v>ModDoc</v>
      </c>
      <c r="G609" s="150" t="str">
        <f t="shared" si="18"/>
        <v>MTS5</v>
      </c>
      <c r="H609" s="150">
        <f t="shared" si="19"/>
        <v>0</v>
      </c>
      <c r="I609" s="150">
        <f>IF(_xlfn.XLOOKUP(G609,Korrelation!$A$4:$A$723,Korrelation!$B$4:$B$723,0,0)=0,0,MATCH(_xlfn.XLOOKUP(G609,Korrelation!$A$4:$A$723,Korrelation!$B$4:$B$723,0,0),DMAV_Doku!$H$6:$H$483,0))</f>
        <v>411</v>
      </c>
      <c r="J609" s="158"/>
      <c r="K609" s="161"/>
      <c r="L609" s="161"/>
      <c r="M609" s="158"/>
      <c r="N609" s="51" t="s">
        <v>4428</v>
      </c>
      <c r="O609" s="51" t="s">
        <v>3903</v>
      </c>
      <c r="P609" s="51" t="s">
        <v>22</v>
      </c>
      <c r="Q609" s="51" t="s">
        <v>949</v>
      </c>
      <c r="R609" s="51" t="s">
        <v>578</v>
      </c>
      <c r="U609" s="52" t="s">
        <v>104</v>
      </c>
      <c r="W609" s="52" t="s">
        <v>965</v>
      </c>
      <c r="AB609" s="51" t="s">
        <v>4429</v>
      </c>
      <c r="AC609" s="51" t="s">
        <v>3904</v>
      </c>
      <c r="AD609" s="51" t="s">
        <v>709</v>
      </c>
      <c r="AE609" s="51" t="s">
        <v>949</v>
      </c>
      <c r="AF609" s="51" t="s">
        <v>880</v>
      </c>
      <c r="AI609" s="52" t="s">
        <v>736</v>
      </c>
      <c r="AK609" s="52" t="s">
        <v>965</v>
      </c>
      <c r="AP609" s="51" t="s">
        <v>4430</v>
      </c>
      <c r="AQ609" s="51" t="s">
        <v>3905</v>
      </c>
      <c r="AR609" s="51" t="s">
        <v>4431</v>
      </c>
      <c r="AS609" s="51" t="s">
        <v>949</v>
      </c>
      <c r="AT609" s="51" t="s">
        <v>4432</v>
      </c>
      <c r="AW609" s="52" t="s">
        <v>1595</v>
      </c>
      <c r="AY609" s="52" t="s">
        <v>965</v>
      </c>
    </row>
    <row r="610" spans="1:52" x14ac:dyDescent="0.25">
      <c r="A610" s="51" t="s">
        <v>3812</v>
      </c>
      <c r="B610" s="51">
        <v>6</v>
      </c>
      <c r="E610" s="54" t="str" cm="1">
        <f t="array" aca="1" ref="E610" ca="1">IF(H610=0,"",HYPERLINK("#"&amp;RIGHT(CELL("dateiname"),LEN(CELL("dateiname"))-FIND("]",CELL("dateiname")))&amp;"!"&amp;CELL("adresse",OFFSET($Q$6,H610-1,0)),"Definition"))</f>
        <v/>
      </c>
      <c r="F610" s="54" t="str" cm="1">
        <f t="array" aca="1" ref="F610" ca="1">IF(I610=0,"",HYPERLINK("#"&amp;RIGHT(CELL("adresse",OFFSET(DMAV_Doku!$B$6,I610-1,0)),LEN(CELL("adresse",OFFSET(DMAV_Doku!$B$6,I610-1,0)))-SEARCH("]",CELL("adresse",OFFSET(DMAV_Doku!$B$6,I610-1,0)))),"ModDoc"))</f>
        <v>ModDoc</v>
      </c>
      <c r="G610" s="150" t="str">
        <f t="shared" si="18"/>
        <v>MTS6</v>
      </c>
      <c r="H610" s="150">
        <f t="shared" si="19"/>
        <v>0</v>
      </c>
      <c r="I610" s="150">
        <f>IF(_xlfn.XLOOKUP(G610,Korrelation!$A$4:$A$723,Korrelation!$B$4:$B$723,0,0)=0,0,MATCH(_xlfn.XLOOKUP(G610,Korrelation!$A$4:$A$723,Korrelation!$B$4:$B$723,0,0),DMAV_Doku!$H$6:$H$483,0))</f>
        <v>412</v>
      </c>
      <c r="J610" s="158"/>
      <c r="K610" s="161"/>
      <c r="L610" s="161"/>
      <c r="M610" s="158"/>
      <c r="N610" s="51" t="s">
        <v>4428</v>
      </c>
      <c r="O610" s="51" t="s">
        <v>3903</v>
      </c>
      <c r="P610" s="51" t="s">
        <v>22</v>
      </c>
      <c r="Q610" s="51" t="s">
        <v>949</v>
      </c>
      <c r="R610" s="51" t="s">
        <v>578</v>
      </c>
      <c r="S610" s="50" t="s">
        <v>950</v>
      </c>
      <c r="U610" s="52" t="s">
        <v>107</v>
      </c>
      <c r="W610" s="52" t="s">
        <v>966</v>
      </c>
      <c r="AB610" s="51" t="s">
        <v>4429</v>
      </c>
      <c r="AC610" s="51" t="s">
        <v>3904</v>
      </c>
      <c r="AD610" s="51" t="s">
        <v>709</v>
      </c>
      <c r="AE610" s="51" t="s">
        <v>949</v>
      </c>
      <c r="AF610" s="51" t="s">
        <v>880</v>
      </c>
      <c r="AG610" s="50" t="s">
        <v>950</v>
      </c>
      <c r="AI610" s="52" t="s">
        <v>737</v>
      </c>
      <c r="AK610" s="52" t="s">
        <v>4013</v>
      </c>
      <c r="AP610" s="51" t="s">
        <v>4430</v>
      </c>
      <c r="AQ610" s="51" t="s">
        <v>3905</v>
      </c>
      <c r="AR610" s="51" t="s">
        <v>4431</v>
      </c>
      <c r="AS610" s="51" t="s">
        <v>949</v>
      </c>
      <c r="AT610" s="51" t="s">
        <v>4432</v>
      </c>
      <c r="AU610" s="50" t="s">
        <v>950</v>
      </c>
      <c r="AW610" s="52" t="s">
        <v>4014</v>
      </c>
      <c r="AY610" s="52" t="s">
        <v>4013</v>
      </c>
    </row>
    <row r="611" spans="1:52" x14ac:dyDescent="0.25">
      <c r="A611" s="51" t="s">
        <v>3812</v>
      </c>
      <c r="B611" s="51">
        <v>7</v>
      </c>
      <c r="E611" s="54" t="str" cm="1">
        <f t="array" aca="1" ref="E611" ca="1">IF(H611=0,"",HYPERLINK("#"&amp;RIGHT(CELL("dateiname"),LEN(CELL("dateiname"))-FIND("]",CELL("dateiname")))&amp;"!"&amp;CELL("adresse",OFFSET($Q$6,H611-1,0)),"Definition"))</f>
        <v/>
      </c>
      <c r="F611" s="54" t="str" cm="1">
        <f t="array" aca="1" ref="F611" ca="1">IF(I611=0,"",HYPERLINK("#"&amp;RIGHT(CELL("adresse",OFFSET(DMAV_Doku!$B$6,I611-1,0)),LEN(CELL("adresse",OFFSET(DMAV_Doku!$B$6,I611-1,0)))-SEARCH("]",CELL("adresse",OFFSET(DMAV_Doku!$B$6,I611-1,0)))),"ModDoc"))</f>
        <v>ModDoc</v>
      </c>
      <c r="G611" s="150" t="str">
        <f t="shared" si="18"/>
        <v>MTS7</v>
      </c>
      <c r="H611" s="150">
        <f t="shared" si="19"/>
        <v>0</v>
      </c>
      <c r="I611" s="150">
        <f>IF(_xlfn.XLOOKUP(G611,Korrelation!$A$4:$A$723,Korrelation!$B$4:$B$723,0,0)=0,0,MATCH(_xlfn.XLOOKUP(G611,Korrelation!$A$4:$A$723,Korrelation!$B$4:$B$723,0,0),DMAV_Doku!$H$6:$H$483,0))</f>
        <v>413</v>
      </c>
      <c r="J611" s="158"/>
      <c r="K611" s="161"/>
      <c r="L611" s="161"/>
      <c r="M611" s="158"/>
      <c r="N611" s="51" t="s">
        <v>4428</v>
      </c>
      <c r="O611" s="51" t="s">
        <v>3903</v>
      </c>
      <c r="P611" s="51" t="s">
        <v>22</v>
      </c>
      <c r="Q611" s="51" t="s">
        <v>949</v>
      </c>
      <c r="R611" s="51" t="s">
        <v>567</v>
      </c>
      <c r="S611" s="50" t="s">
        <v>950</v>
      </c>
      <c r="U611" s="52" t="s">
        <v>96</v>
      </c>
      <c r="W611" s="52" t="s">
        <v>951</v>
      </c>
      <c r="AB611" s="51" t="s">
        <v>4429</v>
      </c>
      <c r="AC611" s="51" t="s">
        <v>3904</v>
      </c>
      <c r="AD611" s="51" t="s">
        <v>709</v>
      </c>
      <c r="AE611" s="51" t="s">
        <v>949</v>
      </c>
      <c r="AF611" s="51" t="s">
        <v>879</v>
      </c>
      <c r="AG611" s="50" t="s">
        <v>950</v>
      </c>
      <c r="AI611" s="52" t="s">
        <v>733</v>
      </c>
      <c r="AK611" s="52" t="s">
        <v>951</v>
      </c>
      <c r="AP611" s="51" t="s">
        <v>4430</v>
      </c>
      <c r="AQ611" s="51" t="s">
        <v>3905</v>
      </c>
      <c r="AR611" s="51" t="s">
        <v>4431</v>
      </c>
      <c r="AS611" s="51" t="s">
        <v>949</v>
      </c>
      <c r="AT611" s="51" t="s">
        <v>4433</v>
      </c>
      <c r="AU611" s="50" t="s">
        <v>950</v>
      </c>
      <c r="AW611" s="52" t="s">
        <v>1378</v>
      </c>
      <c r="AY611" s="52" t="s">
        <v>951</v>
      </c>
    </row>
    <row r="612" spans="1:52" x14ac:dyDescent="0.25">
      <c r="A612" s="51" t="s">
        <v>3812</v>
      </c>
      <c r="B612" s="51">
        <v>8</v>
      </c>
      <c r="E612" s="54" t="str" cm="1">
        <f t="array" aca="1" ref="E612" ca="1">IF(H612=0,"",HYPERLINK("#"&amp;RIGHT(CELL("dateiname"),LEN(CELL("dateiname"))-FIND("]",CELL("dateiname")))&amp;"!"&amp;CELL("adresse",OFFSET($Q$6,H612-1,0)),"Definition"))</f>
        <v/>
      </c>
      <c r="F612" s="54" t="str" cm="1">
        <f t="array" aca="1" ref="F612" ca="1">IF(I612=0,"",HYPERLINK("#"&amp;RIGHT(CELL("adresse",OFFSET(DMAV_Doku!$B$6,I612-1,0)),LEN(CELL("adresse",OFFSET(DMAV_Doku!$B$6,I612-1,0)))-SEARCH("]",CELL("adresse",OFFSET(DMAV_Doku!$B$6,I612-1,0)))),"ModDoc"))</f>
        <v>ModDoc</v>
      </c>
      <c r="G612" s="150" t="str">
        <f t="shared" si="18"/>
        <v>MTS8</v>
      </c>
      <c r="H612" s="150">
        <f t="shared" si="19"/>
        <v>0</v>
      </c>
      <c r="I612" s="150">
        <f>IF(_xlfn.XLOOKUP(G612,Korrelation!$A$4:$A$723,Korrelation!$B$4:$B$723,0,0)=0,0,MATCH(_xlfn.XLOOKUP(G612,Korrelation!$A$4:$A$723,Korrelation!$B$4:$B$723,0,0),DMAV_Doku!$H$6:$H$483,0))</f>
        <v>414</v>
      </c>
      <c r="J612" s="158"/>
      <c r="K612" s="161"/>
      <c r="L612" s="161"/>
      <c r="M612" s="158"/>
      <c r="N612" s="51" t="s">
        <v>4428</v>
      </c>
      <c r="O612" s="51" t="s">
        <v>3903</v>
      </c>
      <c r="P612" s="51" t="s">
        <v>22</v>
      </c>
      <c r="Q612" s="51" t="s">
        <v>949</v>
      </c>
      <c r="R612" s="51" t="s">
        <v>567</v>
      </c>
      <c r="U612" s="52" t="s">
        <v>99</v>
      </c>
      <c r="W612" s="52" t="s">
        <v>951</v>
      </c>
      <c r="Y612" s="52" t="s">
        <v>1599</v>
      </c>
      <c r="AB612" s="51" t="s">
        <v>4429</v>
      </c>
      <c r="AC612" s="51" t="s">
        <v>3904</v>
      </c>
      <c r="AD612" s="51" t="s">
        <v>709</v>
      </c>
      <c r="AE612" s="51" t="s">
        <v>949</v>
      </c>
      <c r="AF612" s="51" t="s">
        <v>879</v>
      </c>
      <c r="AI612" s="52" t="s">
        <v>734</v>
      </c>
      <c r="AK612" s="52" t="s">
        <v>951</v>
      </c>
      <c r="AP612" s="51" t="s">
        <v>4430</v>
      </c>
      <c r="AQ612" s="51" t="s">
        <v>3905</v>
      </c>
      <c r="AR612" s="51" t="s">
        <v>4431</v>
      </c>
      <c r="AS612" s="51" t="s">
        <v>949</v>
      </c>
      <c r="AT612" s="51" t="s">
        <v>4433</v>
      </c>
      <c r="AW612" s="52" t="s">
        <v>1376</v>
      </c>
      <c r="AY612" s="52" t="s">
        <v>951</v>
      </c>
    </row>
    <row r="613" spans="1:52" ht="38.25" x14ac:dyDescent="0.25">
      <c r="A613" s="51" t="s">
        <v>3812</v>
      </c>
      <c r="B613" s="51">
        <v>9</v>
      </c>
      <c r="E613" s="54" t="str" cm="1">
        <f t="array" aca="1" ref="E613" ca="1">IF(H613=0,"",HYPERLINK("#"&amp;RIGHT(CELL("dateiname"),LEN(CELL("dateiname"))-FIND("]",CELL("dateiname")))&amp;"!"&amp;CELL("adresse",OFFSET($Q$6,H613-1,0)),"Definition"))</f>
        <v/>
      </c>
      <c r="F613" s="54" t="str" cm="1">
        <f t="array" aca="1" ref="F613" ca="1">IF(I613=0,"",HYPERLINK("#"&amp;RIGHT(CELL("adresse",OFFSET(DMAV_Doku!$B$6,I613-1,0)),LEN(CELL("adresse",OFFSET(DMAV_Doku!$B$6,I613-1,0)))-SEARCH("]",CELL("adresse",OFFSET(DMAV_Doku!$B$6,I613-1,0)))),"ModDoc"))</f>
        <v>ModDoc</v>
      </c>
      <c r="G613" s="150" t="str">
        <f t="shared" si="18"/>
        <v>MTS9</v>
      </c>
      <c r="H613" s="150">
        <f t="shared" si="19"/>
        <v>0</v>
      </c>
      <c r="I613" s="150">
        <f>IF(_xlfn.XLOOKUP(G613,Korrelation!$A$4:$A$723,Korrelation!$B$4:$B$723,0,0)=0,0,MATCH(_xlfn.XLOOKUP(G613,Korrelation!$A$4:$A$723,Korrelation!$B$4:$B$723,0,0),DMAV_Doku!$H$6:$H$483,0))</f>
        <v>415</v>
      </c>
      <c r="J613" s="158"/>
      <c r="K613" s="161">
        <v>46054</v>
      </c>
      <c r="L613" s="161"/>
      <c r="M613" s="158"/>
      <c r="N613" s="51" t="s">
        <v>4428</v>
      </c>
      <c r="O613" s="51" t="s">
        <v>3903</v>
      </c>
      <c r="P613" s="51" t="s">
        <v>22</v>
      </c>
      <c r="Q613" s="51" t="s">
        <v>949</v>
      </c>
      <c r="R613" s="51" t="s">
        <v>567</v>
      </c>
      <c r="S613" s="50" t="s">
        <v>950</v>
      </c>
      <c r="U613" s="52" t="s">
        <v>123</v>
      </c>
      <c r="W613" s="52" t="s">
        <v>4339</v>
      </c>
      <c r="AB613" s="51" t="s">
        <v>4429</v>
      </c>
      <c r="AC613" s="51" t="s">
        <v>3904</v>
      </c>
      <c r="AD613" s="51" t="s">
        <v>709</v>
      </c>
      <c r="AE613" s="51" t="s">
        <v>949</v>
      </c>
      <c r="AF613" s="51" t="s">
        <v>879</v>
      </c>
      <c r="AG613" s="50" t="s">
        <v>950</v>
      </c>
      <c r="AI613" s="52" t="s">
        <v>123</v>
      </c>
      <c r="AK613" s="52" t="s">
        <v>4339</v>
      </c>
      <c r="AP613" s="51" t="s">
        <v>4430</v>
      </c>
      <c r="AQ613" s="51" t="s">
        <v>3905</v>
      </c>
      <c r="AR613" s="51" t="s">
        <v>4431</v>
      </c>
      <c r="AS613" s="51" t="s">
        <v>949</v>
      </c>
      <c r="AT613" s="51" t="s">
        <v>4433</v>
      </c>
      <c r="AU613" s="50" t="s">
        <v>950</v>
      </c>
      <c r="AW613" s="52" t="s">
        <v>1247</v>
      </c>
      <c r="AY613" s="52" t="s">
        <v>4339</v>
      </c>
    </row>
    <row r="614" spans="1:52" x14ac:dyDescent="0.25">
      <c r="A614" s="51" t="s">
        <v>3812</v>
      </c>
      <c r="B614" s="51">
        <v>10</v>
      </c>
      <c r="E614" s="54" t="str" cm="1">
        <f t="array" aca="1" ref="E614" ca="1">IF(H614=0,"",HYPERLINK("#"&amp;RIGHT(CELL("dateiname"),LEN(CELL("dateiname"))-FIND("]",CELL("dateiname")))&amp;"!"&amp;CELL("adresse",OFFSET($Q$6,H614-1,0)),"Definition"))</f>
        <v/>
      </c>
      <c r="F614" s="54" t="str" cm="1">
        <f t="array" aca="1" ref="F614" ca="1">IF(I614=0,"",HYPERLINK("#"&amp;RIGHT(CELL("adresse",OFFSET(DMAV_Doku!$B$6,I614-1,0)),LEN(CELL("adresse",OFFSET(DMAV_Doku!$B$6,I614-1,0)))-SEARCH("]",CELL("adresse",OFFSET(DMAV_Doku!$B$6,I614-1,0)))),"ModDoc"))</f>
        <v>ModDoc</v>
      </c>
      <c r="G614" s="150" t="str">
        <f t="shared" si="18"/>
        <v>MTS10</v>
      </c>
      <c r="H614" s="150">
        <f t="shared" si="19"/>
        <v>0</v>
      </c>
      <c r="I614" s="150">
        <f>IF(_xlfn.XLOOKUP(G614,Korrelation!$A$4:$A$723,Korrelation!$B$4:$B$723,0,0)=0,0,MATCH(_xlfn.XLOOKUP(G614,Korrelation!$A$4:$A$723,Korrelation!$B$4:$B$723,0,0),DMAV_Doku!$H$6:$H$483,0))</f>
        <v>416</v>
      </c>
      <c r="J614" s="158"/>
      <c r="K614" s="161"/>
      <c r="L614" s="161"/>
      <c r="M614" s="158"/>
      <c r="N614" s="51" t="s">
        <v>4428</v>
      </c>
      <c r="O614" s="51" t="s">
        <v>3903</v>
      </c>
      <c r="P614" s="51" t="s">
        <v>22</v>
      </c>
      <c r="Q614" s="51" t="s">
        <v>949</v>
      </c>
      <c r="R614" s="51" t="s">
        <v>567</v>
      </c>
      <c r="S614" s="50" t="s">
        <v>950</v>
      </c>
      <c r="U614" s="52" t="s">
        <v>567</v>
      </c>
      <c r="W614" s="52" t="s">
        <v>2786</v>
      </c>
      <c r="AB614" s="51" t="s">
        <v>4429</v>
      </c>
      <c r="AC614" s="51" t="s">
        <v>3904</v>
      </c>
      <c r="AD614" s="51" t="s">
        <v>709</v>
      </c>
      <c r="AE614" s="51" t="s">
        <v>949</v>
      </c>
      <c r="AF614" s="51" t="s">
        <v>879</v>
      </c>
      <c r="AG614" s="50" t="s">
        <v>950</v>
      </c>
      <c r="AI614" s="52" t="s">
        <v>879</v>
      </c>
      <c r="AK614" s="52" t="s">
        <v>4434</v>
      </c>
      <c r="AP614" s="51" t="s">
        <v>4430</v>
      </c>
      <c r="AQ614" s="51" t="s">
        <v>3905</v>
      </c>
      <c r="AR614" s="51" t="s">
        <v>4431</v>
      </c>
      <c r="AS614" s="51" t="s">
        <v>949</v>
      </c>
      <c r="AT614" s="51" t="s">
        <v>4433</v>
      </c>
      <c r="AU614" s="50" t="s">
        <v>950</v>
      </c>
      <c r="AW614" s="52" t="s">
        <v>4433</v>
      </c>
      <c r="AY614" s="52" t="s">
        <v>4435</v>
      </c>
    </row>
    <row r="615" spans="1:52" x14ac:dyDescent="0.25">
      <c r="A615" s="51" t="s">
        <v>3812</v>
      </c>
      <c r="B615" s="51">
        <v>11</v>
      </c>
      <c r="E615" s="54" t="str" cm="1">
        <f t="array" aca="1" ref="E615" ca="1">IF(H615=0,"",HYPERLINK("#"&amp;RIGHT(CELL("dateiname"),LEN(CELL("dateiname"))-FIND("]",CELL("dateiname")))&amp;"!"&amp;CELL("adresse",OFFSET($Q$6,H615-1,0)),"Definition"))</f>
        <v/>
      </c>
      <c r="F615" s="54" t="str" cm="1">
        <f t="array" aca="1" ref="F615" ca="1">IF(I615=0,"",HYPERLINK("#"&amp;RIGHT(CELL("adresse",OFFSET(DMAV_Doku!$B$6,I615-1,0)),LEN(CELL("adresse",OFFSET(DMAV_Doku!$B$6,I615-1,0)))-SEARCH("]",CELL("adresse",OFFSET(DMAV_Doku!$B$6,I615-1,0)))),"ModDoc"))</f>
        <v>ModDoc</v>
      </c>
      <c r="G615" s="150" t="str">
        <f t="shared" si="18"/>
        <v>MTS11</v>
      </c>
      <c r="H615" s="150">
        <f t="shared" si="19"/>
        <v>0</v>
      </c>
      <c r="I615" s="150">
        <f>IF(_xlfn.XLOOKUP(G615,Korrelation!$A$4:$A$723,Korrelation!$B$4:$B$723,0,0)=0,0,MATCH(_xlfn.XLOOKUP(G615,Korrelation!$A$4:$A$723,Korrelation!$B$4:$B$723,0,0),DMAV_Doku!$H$6:$H$483,0))</f>
        <v>417</v>
      </c>
      <c r="J615" s="158"/>
      <c r="K615" s="161"/>
      <c r="L615" s="161"/>
      <c r="M615" s="158"/>
      <c r="N615" s="51" t="s">
        <v>4428</v>
      </c>
      <c r="O615" s="51" t="s">
        <v>3903</v>
      </c>
      <c r="P615" s="51" t="s">
        <v>22</v>
      </c>
      <c r="Q615" s="51" t="s">
        <v>949</v>
      </c>
      <c r="R615" s="51" t="s">
        <v>567</v>
      </c>
      <c r="S615" s="50" t="s">
        <v>950</v>
      </c>
      <c r="U615" s="55" t="s">
        <v>213</v>
      </c>
      <c r="V615" s="55"/>
      <c r="W615" s="52" t="s">
        <v>131</v>
      </c>
      <c r="AB615" s="51" t="s">
        <v>4429</v>
      </c>
      <c r="AC615" s="51" t="s">
        <v>3904</v>
      </c>
      <c r="AD615" s="51" t="s">
        <v>709</v>
      </c>
      <c r="AE615" s="51" t="s">
        <v>949</v>
      </c>
      <c r="AF615" s="51" t="s">
        <v>879</v>
      </c>
      <c r="AG615" s="50" t="s">
        <v>950</v>
      </c>
      <c r="AI615" s="52" t="s">
        <v>775</v>
      </c>
      <c r="AK615" s="52" t="s">
        <v>131</v>
      </c>
      <c r="AP615" s="51" t="s">
        <v>4430</v>
      </c>
      <c r="AQ615" s="51" t="s">
        <v>3905</v>
      </c>
      <c r="AR615" s="51" t="s">
        <v>4431</v>
      </c>
      <c r="AS615" s="51" t="s">
        <v>949</v>
      </c>
      <c r="AT615" s="51" t="s">
        <v>4433</v>
      </c>
      <c r="AU615" s="50" t="s">
        <v>950</v>
      </c>
      <c r="AW615" s="52" t="s">
        <v>4068</v>
      </c>
      <c r="AY615" s="52" t="s">
        <v>131</v>
      </c>
    </row>
    <row r="616" spans="1:52" x14ac:dyDescent="0.25">
      <c r="A616" s="51" t="s">
        <v>3812</v>
      </c>
      <c r="B616" s="51">
        <v>12</v>
      </c>
      <c r="E616" s="54" t="str" cm="1">
        <f t="array" aca="1" ref="E616" ca="1">IF(H616=0,"",HYPERLINK("#"&amp;RIGHT(CELL("dateiname"),LEN(CELL("dateiname"))-FIND("]",CELL("dateiname")))&amp;"!"&amp;CELL("adresse",OFFSET($Q$6,H616-1,0)),"Definition"))</f>
        <v/>
      </c>
      <c r="F616" s="54" t="str" cm="1">
        <f t="array" aca="1" ref="F616" ca="1">IF(I616=0,"",HYPERLINK("#"&amp;RIGHT(CELL("adresse",OFFSET(DMAV_Doku!$B$6,I616-1,0)),LEN(CELL("adresse",OFFSET(DMAV_Doku!$B$6,I616-1,0)))-SEARCH("]",CELL("adresse",OFFSET(DMAV_Doku!$B$6,I616-1,0)))),"ModDoc"))</f>
        <v/>
      </c>
      <c r="G616" s="150" t="str">
        <f t="shared" si="18"/>
        <v>MTS12</v>
      </c>
      <c r="H616" s="150">
        <f t="shared" si="19"/>
        <v>0</v>
      </c>
      <c r="I616" s="150">
        <f>IF(_xlfn.XLOOKUP(G616,Korrelation!$A$4:$A$723,Korrelation!$B$4:$B$723,0,0)=0,0,MATCH(_xlfn.XLOOKUP(G616,Korrelation!$A$4:$A$723,Korrelation!$B$4:$B$723,0,0),DMAV_Doku!$H$6:$H$483,0))</f>
        <v>0</v>
      </c>
      <c r="J616" s="158"/>
      <c r="K616" s="161"/>
      <c r="L616" s="161"/>
      <c r="M616" s="158"/>
      <c r="N616" s="51" t="s">
        <v>4428</v>
      </c>
      <c r="O616" s="51" t="s">
        <v>3903</v>
      </c>
      <c r="P616" s="51" t="s">
        <v>22</v>
      </c>
      <c r="Q616" s="51" t="s">
        <v>967</v>
      </c>
      <c r="R616" s="51" t="s">
        <v>1157</v>
      </c>
      <c r="U616" s="52" t="s">
        <v>969</v>
      </c>
      <c r="W616" s="52" t="s">
        <v>578</v>
      </c>
      <c r="X616" s="51" t="s">
        <v>970</v>
      </c>
      <c r="AB616" s="51" t="s">
        <v>4429</v>
      </c>
      <c r="AC616" s="51" t="s">
        <v>3904</v>
      </c>
      <c r="AD616" s="51" t="s">
        <v>709</v>
      </c>
      <c r="AE616" s="51" t="s">
        <v>967</v>
      </c>
      <c r="AF616" s="51" t="s">
        <v>4436</v>
      </c>
      <c r="AI616" s="52" t="s">
        <v>1319</v>
      </c>
      <c r="AK616" s="52" t="s">
        <v>880</v>
      </c>
      <c r="AL616" s="51" t="s">
        <v>970</v>
      </c>
      <c r="AP616" s="51" t="s">
        <v>4430</v>
      </c>
      <c r="AQ616" s="51" t="s">
        <v>3905</v>
      </c>
      <c r="AR616" s="51" t="s">
        <v>4431</v>
      </c>
      <c r="AS616" s="51" t="s">
        <v>967</v>
      </c>
      <c r="AT616" s="51" t="s">
        <v>4437</v>
      </c>
      <c r="AW616" s="52" t="s">
        <v>1319</v>
      </c>
      <c r="AY616" s="52" t="s">
        <v>4432</v>
      </c>
      <c r="AZ616" s="51" t="s">
        <v>970</v>
      </c>
    </row>
    <row r="617" spans="1:52" x14ac:dyDescent="0.25">
      <c r="A617" s="51" t="s">
        <v>3812</v>
      </c>
      <c r="B617" s="51">
        <v>13</v>
      </c>
      <c r="E617" s="54" t="str" cm="1">
        <f t="array" aca="1" ref="E617" ca="1">IF(H617=0,"",HYPERLINK("#"&amp;RIGHT(CELL("dateiname"),LEN(CELL("dateiname"))-FIND("]",CELL("dateiname")))&amp;"!"&amp;CELL("adresse",OFFSET($Q$6,H617-1,0)),"Definition"))</f>
        <v/>
      </c>
      <c r="F617" s="54" t="str" cm="1">
        <f t="array" aca="1" ref="F617" ca="1">IF(I617=0,"",HYPERLINK("#"&amp;RIGHT(CELL("adresse",OFFSET(DMAV_Doku!$B$6,I617-1,0)),LEN(CELL("adresse",OFFSET(DMAV_Doku!$B$6,I617-1,0)))-SEARCH("]",CELL("adresse",OFFSET(DMAV_Doku!$B$6,I617-1,0)))),"ModDoc"))</f>
        <v/>
      </c>
      <c r="G617" s="150" t="str">
        <f t="shared" si="18"/>
        <v>MTS13</v>
      </c>
      <c r="H617" s="150">
        <f t="shared" si="19"/>
        <v>0</v>
      </c>
      <c r="I617" s="150">
        <f>IF(_xlfn.XLOOKUP(G617,Korrelation!$A$4:$A$723,Korrelation!$B$4:$B$723,0,0)=0,0,MATCH(_xlfn.XLOOKUP(G617,Korrelation!$A$4:$A$723,Korrelation!$B$4:$B$723,0,0),DMAV_Doku!$H$6:$H$483,0))</f>
        <v>0</v>
      </c>
      <c r="J617" s="158"/>
      <c r="K617" s="161"/>
      <c r="L617" s="161"/>
      <c r="M617" s="158"/>
      <c r="N617" s="51" t="s">
        <v>4428</v>
      </c>
      <c r="O617" s="51" t="s">
        <v>3903</v>
      </c>
      <c r="P617" s="51" t="s">
        <v>22</v>
      </c>
      <c r="Q617" s="51" t="s">
        <v>967</v>
      </c>
      <c r="R617" s="51" t="s">
        <v>1157</v>
      </c>
      <c r="U617" s="52" t="s">
        <v>1158</v>
      </c>
      <c r="W617" s="52" t="s">
        <v>567</v>
      </c>
      <c r="X617" s="51" t="s">
        <v>972</v>
      </c>
      <c r="AB617" s="51" t="s">
        <v>4429</v>
      </c>
      <c r="AC617" s="51" t="s">
        <v>3904</v>
      </c>
      <c r="AD617" s="51" t="s">
        <v>709</v>
      </c>
      <c r="AE617" s="51" t="s">
        <v>967</v>
      </c>
      <c r="AF617" s="51" t="s">
        <v>4436</v>
      </c>
      <c r="AI617" s="52" t="s">
        <v>4438</v>
      </c>
      <c r="AK617" s="52" t="s">
        <v>879</v>
      </c>
      <c r="AL617" s="51" t="s">
        <v>972</v>
      </c>
      <c r="AP617" s="51" t="s">
        <v>4430</v>
      </c>
      <c r="AQ617" s="51" t="s">
        <v>3905</v>
      </c>
      <c r="AR617" s="51" t="s">
        <v>4431</v>
      </c>
      <c r="AS617" s="51" t="s">
        <v>967</v>
      </c>
      <c r="AT617" s="51" t="s">
        <v>4437</v>
      </c>
      <c r="AW617" s="52" t="s">
        <v>4439</v>
      </c>
      <c r="AY617" s="52" t="s">
        <v>4433</v>
      </c>
      <c r="AZ617" s="51" t="s">
        <v>972</v>
      </c>
    </row>
    <row r="618" spans="1:52" x14ac:dyDescent="0.25">
      <c r="A618" s="51" t="s">
        <v>3813</v>
      </c>
      <c r="B618" s="51">
        <v>1</v>
      </c>
      <c r="E618" s="54" t="str" cm="1">
        <f t="array" aca="1" ref="E618" ca="1">IF(H618=0,"",HYPERLINK("#"&amp;RIGHT(CELL("dateiname"),LEN(CELL("dateiname"))-FIND("]",CELL("dateiname")))&amp;"!"&amp;CELL("adresse",OFFSET($Q$6,H618-1,0)),"Definition"))</f>
        <v/>
      </c>
      <c r="F618" s="54" t="str" cm="1">
        <f t="array" aca="1" ref="F618" ca="1">IF(I618=0,"",HYPERLINK("#"&amp;RIGHT(CELL("adresse",OFFSET(DMAV_Doku!$B$6,I618-1,0)),LEN(CELL("adresse",OFFSET(DMAV_Doku!$B$6,I618-1,0)))-SEARCH("]",CELL("adresse",OFFSET(DMAV_Doku!$B$6,I618-1,0)))),"ModDoc"))</f>
        <v/>
      </c>
      <c r="G618" s="150" t="str">
        <f t="shared" si="18"/>
        <v>MGA1</v>
      </c>
      <c r="H618" s="150">
        <f t="shared" si="19"/>
        <v>0</v>
      </c>
      <c r="I618" s="150">
        <f>IF(_xlfn.XLOOKUP(G618,Korrelation!$A$4:$A$723,Korrelation!$B$4:$B$723,0,0)=0,0,MATCH(_xlfn.XLOOKUP(G618,Korrelation!$A$4:$A$723,Korrelation!$B$4:$B$723,0,0),DMAV_Doku!$H$6:$H$483,0))</f>
        <v>0</v>
      </c>
      <c r="J618" s="158"/>
      <c r="K618" s="161"/>
      <c r="L618" s="161"/>
      <c r="M618" s="158"/>
      <c r="N618" s="51" t="s">
        <v>4440</v>
      </c>
      <c r="O618" s="51" t="s">
        <v>3889</v>
      </c>
      <c r="Q618" s="51" t="s">
        <v>910</v>
      </c>
      <c r="R618" s="51" t="s">
        <v>932</v>
      </c>
      <c r="W618" s="52"/>
      <c r="AB618" s="51" t="s">
        <v>4441</v>
      </c>
      <c r="AC618" s="51" t="s">
        <v>3890</v>
      </c>
      <c r="AE618" s="51" t="s">
        <v>910</v>
      </c>
      <c r="AF618" s="51" t="s">
        <v>932</v>
      </c>
      <c r="AP618" s="51" t="s">
        <v>4442</v>
      </c>
      <c r="AQ618" s="51" t="s">
        <v>3891</v>
      </c>
      <c r="AS618" s="51" t="s">
        <v>910</v>
      </c>
      <c r="AT618" s="51" t="s">
        <v>932</v>
      </c>
    </row>
    <row r="619" spans="1:52" x14ac:dyDescent="0.25">
      <c r="A619" s="51" t="s">
        <v>3813</v>
      </c>
      <c r="B619" s="51">
        <v>2</v>
      </c>
      <c r="C619" s="51" t="s">
        <v>3847</v>
      </c>
      <c r="E619" s="54" t="str" cm="1">
        <f t="array" aca="1" ref="E619" ca="1">IF(H619=0,"",HYPERLINK("#"&amp;RIGHT(CELL("dateiname"),LEN(CELL("dateiname"))-FIND("]",CELL("dateiname")))&amp;"!"&amp;CELL("adresse",OFFSET($Q$6,H619-1,0)),"Definition"))</f>
        <v>Definition</v>
      </c>
      <c r="F619" s="54" t="str" cm="1">
        <f t="array" aca="1" ref="F619" ca="1">IF(I619=0,"",HYPERLINK("#"&amp;RIGHT(CELL("adresse",OFFSET(DMAV_Doku!$B$6,I619-1,0)),LEN(CELL("adresse",OFFSET(DMAV_Doku!$B$6,I619-1,0)))-SEARCH("]",CELL("adresse",OFFSET(DMAV_Doku!$B$6,I619-1,0)))),"ModDoc"))</f>
        <v/>
      </c>
      <c r="G619" s="150" t="str">
        <f t="shared" si="18"/>
        <v>MGA2</v>
      </c>
      <c r="H619" s="150">
        <f t="shared" si="19"/>
        <v>36</v>
      </c>
      <c r="I619" s="150">
        <f>IF(_xlfn.XLOOKUP(G619,Korrelation!$A$4:$A$723,Korrelation!$B$4:$B$723,0,0)=0,0,MATCH(_xlfn.XLOOKUP(G619,Korrelation!$A$4:$A$723,Korrelation!$B$4:$B$723,0,0),DMAV_Doku!$H$6:$H$483,0))</f>
        <v>0</v>
      </c>
      <c r="J619" s="158"/>
      <c r="K619" s="161"/>
      <c r="L619" s="161"/>
      <c r="M619" s="158"/>
      <c r="N619" s="51" t="s">
        <v>4440</v>
      </c>
      <c r="O619" s="51" t="s">
        <v>3889</v>
      </c>
      <c r="Q619" s="51" t="s">
        <v>910</v>
      </c>
      <c r="R619" s="51" t="s">
        <v>936</v>
      </c>
      <c r="W619" s="52"/>
      <c r="AB619" s="51" t="s">
        <v>4441</v>
      </c>
      <c r="AC619" s="51" t="s">
        <v>3890</v>
      </c>
      <c r="AE619" s="51" t="s">
        <v>910</v>
      </c>
      <c r="AF619" s="51" t="s">
        <v>3943</v>
      </c>
      <c r="AP619" s="51" t="s">
        <v>4442</v>
      </c>
      <c r="AQ619" s="51" t="s">
        <v>3891</v>
      </c>
      <c r="AS619" s="51" t="s">
        <v>910</v>
      </c>
      <c r="AT619" s="51" t="s">
        <v>3945</v>
      </c>
    </row>
    <row r="620" spans="1:52" x14ac:dyDescent="0.25">
      <c r="A620" s="51" t="s">
        <v>3813</v>
      </c>
      <c r="B620" s="51">
        <v>3</v>
      </c>
      <c r="C620" s="51" t="s">
        <v>3832</v>
      </c>
      <c r="E620" s="54" t="str" cm="1">
        <f t="array" aca="1" ref="E620" ca="1">IF(H620=0,"",HYPERLINK("#"&amp;RIGHT(CELL("dateiname"),LEN(CELL("dateiname"))-FIND("]",CELL("dateiname")))&amp;"!"&amp;CELL("adresse",OFFSET($Q$6,H620-1,0)),"Definition"))</f>
        <v>Definition</v>
      </c>
      <c r="F620" s="54" t="str" cm="1">
        <f t="array" aca="1" ref="F620" ca="1">IF(I620=0,"",HYPERLINK("#"&amp;RIGHT(CELL("adresse",OFFSET(DMAV_Doku!$B$6,I620-1,0)),LEN(CELL("adresse",OFFSET(DMAV_Doku!$B$6,I620-1,0)))-SEARCH("]",CELL("adresse",OFFSET(DMAV_Doku!$B$6,I620-1,0)))),"ModDoc"))</f>
        <v/>
      </c>
      <c r="G620" s="150" t="str">
        <f t="shared" si="18"/>
        <v>MGA3</v>
      </c>
      <c r="H620" s="150">
        <f t="shared" si="19"/>
        <v>18</v>
      </c>
      <c r="I620" s="150">
        <f>IF(_xlfn.XLOOKUP(G620,Korrelation!$A$4:$A$723,Korrelation!$B$4:$B$723,0,0)=0,0,MATCH(_xlfn.XLOOKUP(G620,Korrelation!$A$4:$A$723,Korrelation!$B$4:$B$723,0,0),DMAV_Doku!$H$6:$H$483,0))</f>
        <v>0</v>
      </c>
      <c r="J620" s="158"/>
      <c r="K620" s="161"/>
      <c r="L620" s="161"/>
      <c r="M620" s="158"/>
      <c r="N620" s="51" t="s">
        <v>4440</v>
      </c>
      <c r="O620" s="51" t="s">
        <v>3889</v>
      </c>
      <c r="Q620" s="51" t="s">
        <v>910</v>
      </c>
      <c r="R620" s="51" t="s">
        <v>930</v>
      </c>
      <c r="W620" s="52"/>
      <c r="AB620" s="51" t="s">
        <v>4441</v>
      </c>
      <c r="AC620" s="51" t="s">
        <v>3890</v>
      </c>
      <c r="AE620" s="51" t="s">
        <v>910</v>
      </c>
      <c r="AF620" s="51" t="s">
        <v>3925</v>
      </c>
      <c r="AP620" s="51" t="s">
        <v>4442</v>
      </c>
      <c r="AQ620" s="51" t="s">
        <v>3891</v>
      </c>
      <c r="AS620" s="51" t="s">
        <v>910</v>
      </c>
      <c r="AT620" s="51" t="s">
        <v>3927</v>
      </c>
    </row>
    <row r="621" spans="1:52" ht="38.25" x14ac:dyDescent="0.25">
      <c r="A621" s="51" t="s">
        <v>3813</v>
      </c>
      <c r="B621" s="51">
        <v>4</v>
      </c>
      <c r="E621" s="54" t="str" cm="1">
        <f t="array" aca="1" ref="E621" ca="1">IF(H621=0,"",HYPERLINK("#"&amp;RIGHT(CELL("dateiname"),LEN(CELL("dateiname"))-FIND("]",CELL("dateiname")))&amp;"!"&amp;CELL("adresse",OFFSET($Q$6,H621-1,0)),"Definition"))</f>
        <v/>
      </c>
      <c r="F621" s="54" t="str" cm="1">
        <f t="array" aca="1" ref="F621" ca="1">IF(I621=0,"",HYPERLINK("#"&amp;RIGHT(CELL("adresse",OFFSET(DMAV_Doku!$B$6,I621-1,0)),LEN(CELL("adresse",OFFSET(DMAV_Doku!$B$6,I621-1,0)))-SEARCH("]",CELL("adresse",OFFSET(DMAV_Doku!$B$6,I621-1,0)))),"ModDoc"))</f>
        <v>ModDoc</v>
      </c>
      <c r="G621" s="150" t="str">
        <f t="shared" si="18"/>
        <v>MGA4</v>
      </c>
      <c r="H621" s="150">
        <f t="shared" si="19"/>
        <v>0</v>
      </c>
      <c r="I621" s="150">
        <f>IF(_xlfn.XLOOKUP(G621,Korrelation!$A$4:$A$723,Korrelation!$B$4:$B$723,0,0)=0,0,MATCH(_xlfn.XLOOKUP(G621,Korrelation!$A$4:$A$723,Korrelation!$B$4:$B$723,0,0),DMAV_Doku!$H$6:$H$483,0))</f>
        <v>428</v>
      </c>
      <c r="J621" s="158"/>
      <c r="K621" s="161"/>
      <c r="L621" s="161"/>
      <c r="M621" s="158"/>
      <c r="N621" s="51" t="s">
        <v>4440</v>
      </c>
      <c r="O621" s="51" t="s">
        <v>3889</v>
      </c>
      <c r="P621" s="51" t="s">
        <v>24</v>
      </c>
      <c r="Q621" s="51" t="s">
        <v>927</v>
      </c>
      <c r="R621" s="51" t="s">
        <v>611</v>
      </c>
      <c r="W621" s="52" t="s">
        <v>612</v>
      </c>
      <c r="Y621" s="52" t="s">
        <v>4443</v>
      </c>
      <c r="AB621" s="51" t="s">
        <v>4441</v>
      </c>
      <c r="AC621" s="51" t="s">
        <v>3890</v>
      </c>
      <c r="AD621" s="51" t="s">
        <v>710</v>
      </c>
      <c r="AE621" s="51" t="s">
        <v>927</v>
      </c>
      <c r="AF621" s="51" t="s">
        <v>886</v>
      </c>
      <c r="AK621" s="52" t="s">
        <v>612</v>
      </c>
      <c r="AP621" s="51" t="s">
        <v>4442</v>
      </c>
      <c r="AQ621" s="51" t="s">
        <v>3891</v>
      </c>
      <c r="AR621" s="51" t="s">
        <v>4444</v>
      </c>
      <c r="AS621" s="51" t="s">
        <v>927</v>
      </c>
      <c r="AT621" s="51" t="s">
        <v>1426</v>
      </c>
      <c r="AY621" s="52" t="s">
        <v>612</v>
      </c>
    </row>
    <row r="622" spans="1:52" ht="38.25" x14ac:dyDescent="0.25">
      <c r="A622" s="51" t="s">
        <v>3813</v>
      </c>
      <c r="B622" s="51">
        <v>5</v>
      </c>
      <c r="E622" s="54" t="str" cm="1">
        <f t="array" aca="1" ref="E622" ca="1">IF(H622=0,"",HYPERLINK("#"&amp;RIGHT(CELL("dateiname"),LEN(CELL("dateiname"))-FIND("]",CELL("dateiname")))&amp;"!"&amp;CELL("adresse",OFFSET($Q$6,H622-1,0)),"Definition"))</f>
        <v/>
      </c>
      <c r="F622" s="54" t="str" cm="1">
        <f t="array" aca="1" ref="F622" ca="1">IF(I622=0,"",HYPERLINK("#"&amp;RIGHT(CELL("adresse",OFFSET(DMAV_Doku!$B$6,I622-1,0)),LEN(CELL("adresse",OFFSET(DMAV_Doku!$B$6,I622-1,0)))-SEARCH("]",CELL("adresse",OFFSET(DMAV_Doku!$B$6,I622-1,0)))),"ModDoc"))</f>
        <v>ModDoc</v>
      </c>
      <c r="G622" s="150" t="str">
        <f t="shared" si="18"/>
        <v>MGA5</v>
      </c>
      <c r="H622" s="150">
        <f t="shared" si="19"/>
        <v>0</v>
      </c>
      <c r="I622" s="150">
        <f>IF(_xlfn.XLOOKUP(G622,Korrelation!$A$4:$A$723,Korrelation!$B$4:$B$723,0,0)=0,0,MATCH(_xlfn.XLOOKUP(G622,Korrelation!$A$4:$A$723,Korrelation!$B$4:$B$723,0,0),DMAV_Doku!$H$6:$H$483,0))</f>
        <v>429</v>
      </c>
      <c r="J622" s="158"/>
      <c r="K622" s="161"/>
      <c r="L622" s="161"/>
      <c r="M622" s="158"/>
      <c r="N622" s="51" t="s">
        <v>4440</v>
      </c>
      <c r="O622" s="51" t="s">
        <v>3889</v>
      </c>
      <c r="P622" s="51" t="s">
        <v>24</v>
      </c>
      <c r="Q622" s="51" t="s">
        <v>927</v>
      </c>
      <c r="R622" s="51" t="s">
        <v>611</v>
      </c>
      <c r="W622" s="52" t="s">
        <v>614</v>
      </c>
      <c r="Y622" s="52" t="s">
        <v>4445</v>
      </c>
      <c r="AB622" s="51" t="s">
        <v>4441</v>
      </c>
      <c r="AC622" s="51" t="s">
        <v>3890</v>
      </c>
      <c r="AD622" s="51" t="s">
        <v>710</v>
      </c>
      <c r="AE622" s="51" t="s">
        <v>927</v>
      </c>
      <c r="AF622" s="51" t="s">
        <v>886</v>
      </c>
      <c r="AK622" s="52" t="s">
        <v>614</v>
      </c>
      <c r="AP622" s="51" t="s">
        <v>4442</v>
      </c>
      <c r="AQ622" s="51" t="s">
        <v>3891</v>
      </c>
      <c r="AR622" s="51" t="s">
        <v>4444</v>
      </c>
      <c r="AS622" s="51" t="s">
        <v>927</v>
      </c>
      <c r="AT622" s="51" t="s">
        <v>1426</v>
      </c>
      <c r="AY622" s="52" t="s">
        <v>614</v>
      </c>
    </row>
    <row r="623" spans="1:52" ht="38.25" x14ac:dyDescent="0.25">
      <c r="A623" s="51" t="s">
        <v>3813</v>
      </c>
      <c r="B623" s="51">
        <v>6</v>
      </c>
      <c r="E623" s="54" t="str" cm="1">
        <f t="array" aca="1" ref="E623" ca="1">IF(H623=0,"",HYPERLINK("#"&amp;RIGHT(CELL("dateiname"),LEN(CELL("dateiname"))-FIND("]",CELL("dateiname")))&amp;"!"&amp;CELL("adresse",OFFSET($Q$6,H623-1,0)),"Definition"))</f>
        <v/>
      </c>
      <c r="F623" s="54" t="str" cm="1">
        <f t="array" aca="1" ref="F623" ca="1">IF(I623=0,"",HYPERLINK("#"&amp;RIGHT(CELL("adresse",OFFSET(DMAV_Doku!$B$6,I623-1,0)),LEN(CELL("adresse",OFFSET(DMAV_Doku!$B$6,I623-1,0)))-SEARCH("]",CELL("adresse",OFFSET(DMAV_Doku!$B$6,I623-1,0)))),"ModDoc"))</f>
        <v>ModDoc</v>
      </c>
      <c r="G623" s="150" t="str">
        <f t="shared" si="18"/>
        <v>MGA6</v>
      </c>
      <c r="H623" s="150">
        <f t="shared" si="19"/>
        <v>0</v>
      </c>
      <c r="I623" s="150">
        <f>IF(_xlfn.XLOOKUP(G623,Korrelation!$A$4:$A$723,Korrelation!$B$4:$B$723,0,0)=0,0,MATCH(_xlfn.XLOOKUP(G623,Korrelation!$A$4:$A$723,Korrelation!$B$4:$B$723,0,0),DMAV_Doku!$H$6:$H$483,0))</f>
        <v>430</v>
      </c>
      <c r="J623" s="158"/>
      <c r="K623" s="161"/>
      <c r="L623" s="161"/>
      <c r="M623" s="158"/>
      <c r="N623" s="51" t="s">
        <v>4440</v>
      </c>
      <c r="O623" s="51" t="s">
        <v>3889</v>
      </c>
      <c r="P623" s="51" t="s">
        <v>24</v>
      </c>
      <c r="Q623" s="51" t="s">
        <v>927</v>
      </c>
      <c r="R623" s="51" t="s">
        <v>611</v>
      </c>
      <c r="V623" s="55"/>
      <c r="W623" s="52" t="s">
        <v>616</v>
      </c>
      <c r="Y623" s="52" t="s">
        <v>4446</v>
      </c>
      <c r="AB623" s="51" t="s">
        <v>4441</v>
      </c>
      <c r="AC623" s="51" t="s">
        <v>3890</v>
      </c>
      <c r="AD623" s="51" t="s">
        <v>710</v>
      </c>
      <c r="AE623" s="51" t="s">
        <v>927</v>
      </c>
      <c r="AF623" s="51" t="s">
        <v>886</v>
      </c>
      <c r="AK623" s="52" t="s">
        <v>616</v>
      </c>
      <c r="AP623" s="51" t="s">
        <v>4442</v>
      </c>
      <c r="AQ623" s="51" t="s">
        <v>3891</v>
      </c>
      <c r="AR623" s="51" t="s">
        <v>4444</v>
      </c>
      <c r="AS623" s="51" t="s">
        <v>927</v>
      </c>
      <c r="AT623" s="51" t="s">
        <v>1426</v>
      </c>
      <c r="AY623" s="52" t="s">
        <v>616</v>
      </c>
    </row>
    <row r="624" spans="1:52" ht="38.25" x14ac:dyDescent="0.25">
      <c r="A624" s="51" t="s">
        <v>3813</v>
      </c>
      <c r="B624" s="51">
        <v>7</v>
      </c>
      <c r="E624" s="54" t="str" cm="1">
        <f t="array" aca="1" ref="E624" ca="1">IF(H624=0,"",HYPERLINK("#"&amp;RIGHT(CELL("dateiname"),LEN(CELL("dateiname"))-FIND("]",CELL("dateiname")))&amp;"!"&amp;CELL("adresse",OFFSET($Q$6,H624-1,0)),"Definition"))</f>
        <v/>
      </c>
      <c r="F624" s="54" t="str" cm="1">
        <f t="array" aca="1" ref="F624" ca="1">IF(I624=0,"",HYPERLINK("#"&amp;RIGHT(CELL("adresse",OFFSET(DMAV_Doku!$B$6,I624-1,0)),LEN(CELL("adresse",OFFSET(DMAV_Doku!$B$6,I624-1,0)))-SEARCH("]",CELL("adresse",OFFSET(DMAV_Doku!$B$6,I624-1,0)))),"ModDoc"))</f>
        <v>ModDoc</v>
      </c>
      <c r="G624" s="150" t="str">
        <f t="shared" si="18"/>
        <v>MGA7</v>
      </c>
      <c r="H624" s="150">
        <f t="shared" si="19"/>
        <v>0</v>
      </c>
      <c r="I624" s="150">
        <f>IF(_xlfn.XLOOKUP(G624,Korrelation!$A$4:$A$723,Korrelation!$B$4:$B$723,0,0)=0,0,MATCH(_xlfn.XLOOKUP(G624,Korrelation!$A$4:$A$723,Korrelation!$B$4:$B$723,0,0),DMAV_Doku!$H$6:$H$483,0))</f>
        <v>431</v>
      </c>
      <c r="J624" s="158"/>
      <c r="K624" s="161"/>
      <c r="L624" s="161"/>
      <c r="M624" s="158"/>
      <c r="N624" s="51" t="s">
        <v>4440</v>
      </c>
      <c r="O624" s="51" t="s">
        <v>3889</v>
      </c>
      <c r="P624" s="51" t="s">
        <v>24</v>
      </c>
      <c r="Q624" s="51" t="s">
        <v>927</v>
      </c>
      <c r="R624" s="51" t="s">
        <v>611</v>
      </c>
      <c r="W624" s="52" t="s">
        <v>618</v>
      </c>
      <c r="Y624" s="52" t="s">
        <v>4447</v>
      </c>
      <c r="AB624" s="51" t="s">
        <v>4441</v>
      </c>
      <c r="AC624" s="51" t="s">
        <v>3890</v>
      </c>
      <c r="AD624" s="51" t="s">
        <v>710</v>
      </c>
      <c r="AE624" s="51" t="s">
        <v>927</v>
      </c>
      <c r="AF624" s="51" t="s">
        <v>886</v>
      </c>
      <c r="AK624" s="52" t="s">
        <v>618</v>
      </c>
      <c r="AP624" s="51" t="s">
        <v>4442</v>
      </c>
      <c r="AQ624" s="51" t="s">
        <v>3891</v>
      </c>
      <c r="AR624" s="51" t="s">
        <v>4444</v>
      </c>
      <c r="AS624" s="51" t="s">
        <v>927</v>
      </c>
      <c r="AT624" s="51" t="s">
        <v>1426</v>
      </c>
      <c r="AY624" s="52" t="s">
        <v>618</v>
      </c>
    </row>
    <row r="625" spans="1:54" x14ac:dyDescent="0.25">
      <c r="A625" s="51" t="s">
        <v>3813</v>
      </c>
      <c r="B625" s="51">
        <v>8</v>
      </c>
      <c r="D625" s="51" t="s">
        <v>3545</v>
      </c>
      <c r="E625" s="54" t="str" cm="1">
        <f t="array" aca="1" ref="E625" ca="1">IF(H625=0,"",HYPERLINK("#"&amp;RIGHT(CELL("dateiname"),LEN(CELL("dateiname"))-FIND("]",CELL("dateiname")))&amp;"!"&amp;CELL("adresse",OFFSET($Q$6,H625-1,0)),"Definition"))</f>
        <v/>
      </c>
      <c r="F625" s="54" t="str" cm="1">
        <f t="array" aca="1" ref="F625" ca="1">IF(I625=0,"",HYPERLINK("#"&amp;RIGHT(CELL("adresse",OFFSET(DMAV_Doku!$B$6,I625-1,0)),LEN(CELL("adresse",OFFSET(DMAV_Doku!$B$6,I625-1,0)))-SEARCH("]",CELL("adresse",OFFSET(DMAV_Doku!$B$6,I625-1,0)))),"ModDoc"))</f>
        <v>ModDoc</v>
      </c>
      <c r="G625" s="150" t="str">
        <f t="shared" si="18"/>
        <v>MGA8</v>
      </c>
      <c r="H625" s="150">
        <f t="shared" si="19"/>
        <v>0</v>
      </c>
      <c r="I625" s="150">
        <f>IF(_xlfn.XLOOKUP(G625,Korrelation!$A$4:$A$723,Korrelation!$B$4:$B$723,0,0)=0,0,MATCH(_xlfn.XLOOKUP(G625,Korrelation!$A$4:$A$723,Korrelation!$B$4:$B$723,0,0),DMAV_Doku!$H$6:$H$483,0))</f>
        <v>450</v>
      </c>
      <c r="J625" s="158"/>
      <c r="K625" s="161"/>
      <c r="L625" s="161"/>
      <c r="M625" s="158"/>
      <c r="N625" s="51" t="s">
        <v>4440</v>
      </c>
      <c r="O625" s="51" t="s">
        <v>3889</v>
      </c>
      <c r="P625" s="51" t="s">
        <v>24</v>
      </c>
      <c r="Q625" s="51" t="s">
        <v>949</v>
      </c>
      <c r="R625" s="51" t="s">
        <v>648</v>
      </c>
      <c r="S625" s="50" t="s">
        <v>950</v>
      </c>
      <c r="T625" s="51" t="s">
        <v>959</v>
      </c>
      <c r="U625" s="52" t="s">
        <v>96</v>
      </c>
      <c r="W625" s="52" t="s">
        <v>951</v>
      </c>
      <c r="Y625" s="52" t="s">
        <v>4448</v>
      </c>
      <c r="Z625" s="200" t="s">
        <v>6006</v>
      </c>
      <c r="AB625" s="51" t="s">
        <v>4441</v>
      </c>
      <c r="AC625" s="51" t="s">
        <v>3890</v>
      </c>
      <c r="AD625" s="51" t="s">
        <v>710</v>
      </c>
      <c r="AE625" s="51" t="s">
        <v>949</v>
      </c>
      <c r="AF625" s="51" t="s">
        <v>895</v>
      </c>
      <c r="AG625" s="50" t="s">
        <v>950</v>
      </c>
      <c r="AH625" s="51" t="s">
        <v>959</v>
      </c>
      <c r="AI625" s="52" t="s">
        <v>733</v>
      </c>
      <c r="AK625" s="52" t="s">
        <v>951</v>
      </c>
      <c r="AN625" s="52" t="s">
        <v>6008</v>
      </c>
      <c r="AP625" s="51" t="s">
        <v>4442</v>
      </c>
      <c r="AQ625" s="51" t="s">
        <v>3891</v>
      </c>
      <c r="AR625" s="51" t="s">
        <v>4444</v>
      </c>
      <c r="AS625" s="51" t="s">
        <v>949</v>
      </c>
      <c r="AT625" s="51" t="s">
        <v>4449</v>
      </c>
      <c r="AU625" s="50" t="s">
        <v>950</v>
      </c>
      <c r="AV625" s="51" t="s">
        <v>959</v>
      </c>
      <c r="AW625" s="52" t="s">
        <v>1378</v>
      </c>
      <c r="AY625" s="52" t="s">
        <v>951</v>
      </c>
      <c r="BB625" s="52" t="s">
        <v>6009</v>
      </c>
    </row>
    <row r="626" spans="1:54" ht="25.5" x14ac:dyDescent="0.25">
      <c r="A626" s="51" t="s">
        <v>3813</v>
      </c>
      <c r="B626" s="51">
        <v>9</v>
      </c>
      <c r="D626" s="51" t="s">
        <v>3545</v>
      </c>
      <c r="E626" s="54" t="str" cm="1">
        <f t="array" aca="1" ref="E626" ca="1">IF(H626=0,"",HYPERLINK("#"&amp;RIGHT(CELL("dateiname"),LEN(CELL("dateiname"))-FIND("]",CELL("dateiname")))&amp;"!"&amp;CELL("adresse",OFFSET($Q$6,H626-1,0)),"Definition"))</f>
        <v/>
      </c>
      <c r="F626" s="54" t="str" cm="1">
        <f t="array" aca="1" ref="F626" ca="1">IF(I626=0,"",HYPERLINK("#"&amp;RIGHT(CELL("adresse",OFFSET(DMAV_Doku!$B$6,I626-1,0)),LEN(CELL("adresse",OFFSET(DMAV_Doku!$B$6,I626-1,0)))-SEARCH("]",CELL("adresse",OFFSET(DMAV_Doku!$B$6,I626-1,0)))),"ModDoc"))</f>
        <v>ModDoc</v>
      </c>
      <c r="G626" s="150" t="str">
        <f t="shared" si="18"/>
        <v>MGA9</v>
      </c>
      <c r="H626" s="150">
        <f t="shared" si="19"/>
        <v>0</v>
      </c>
      <c r="I626" s="150">
        <f>IF(_xlfn.XLOOKUP(G626,Korrelation!$A$4:$A$723,Korrelation!$B$4:$B$723,0,0)=0,0,MATCH(_xlfn.XLOOKUP(G626,Korrelation!$A$4:$A$723,Korrelation!$B$4:$B$723,0,0),DMAV_Doku!$H$6:$H$483,0))</f>
        <v>451</v>
      </c>
      <c r="J626" s="158"/>
      <c r="K626" s="161"/>
      <c r="L626" s="161"/>
      <c r="M626" s="158"/>
      <c r="N626" s="51" t="s">
        <v>4440</v>
      </c>
      <c r="O626" s="51" t="s">
        <v>3889</v>
      </c>
      <c r="P626" s="51" t="s">
        <v>24</v>
      </c>
      <c r="Q626" s="51" t="s">
        <v>949</v>
      </c>
      <c r="R626" s="51" t="s">
        <v>648</v>
      </c>
      <c r="S626" s="50" t="s">
        <v>950</v>
      </c>
      <c r="T626" s="51" t="s">
        <v>959</v>
      </c>
      <c r="U626" s="52" t="s">
        <v>99</v>
      </c>
      <c r="W626" s="52" t="s">
        <v>951</v>
      </c>
      <c r="Y626" s="52" t="s">
        <v>4450</v>
      </c>
      <c r="Z626" s="200" t="s">
        <v>6006</v>
      </c>
      <c r="AB626" s="51" t="s">
        <v>4441</v>
      </c>
      <c r="AC626" s="51" t="s">
        <v>3890</v>
      </c>
      <c r="AD626" s="51" t="s">
        <v>710</v>
      </c>
      <c r="AE626" s="51" t="s">
        <v>949</v>
      </c>
      <c r="AF626" s="51" t="s">
        <v>895</v>
      </c>
      <c r="AG626" s="50" t="s">
        <v>950</v>
      </c>
      <c r="AH626" s="51" t="s">
        <v>959</v>
      </c>
      <c r="AI626" s="52" t="s">
        <v>734</v>
      </c>
      <c r="AK626" s="52" t="s">
        <v>951</v>
      </c>
      <c r="AN626" s="52" t="s">
        <v>6008</v>
      </c>
      <c r="AP626" s="51" t="s">
        <v>4442</v>
      </c>
      <c r="AQ626" s="51" t="s">
        <v>3891</v>
      </c>
      <c r="AR626" s="51" t="s">
        <v>4444</v>
      </c>
      <c r="AS626" s="51" t="s">
        <v>949</v>
      </c>
      <c r="AT626" s="51" t="s">
        <v>4449</v>
      </c>
      <c r="AU626" s="50" t="s">
        <v>950</v>
      </c>
      <c r="AV626" s="51" t="s">
        <v>959</v>
      </c>
      <c r="AW626" s="52" t="s">
        <v>1376</v>
      </c>
      <c r="AY626" s="52" t="s">
        <v>951</v>
      </c>
      <c r="BB626" s="52" t="s">
        <v>6009</v>
      </c>
    </row>
    <row r="627" spans="1:54" x14ac:dyDescent="0.25">
      <c r="A627" s="51" t="s">
        <v>3813</v>
      </c>
      <c r="B627" s="51">
        <v>10</v>
      </c>
      <c r="E627" s="54" t="str" cm="1">
        <f t="array" aca="1" ref="E627" ca="1">IF(H627=0,"",HYPERLINK("#"&amp;RIGHT(CELL("dateiname"),LEN(CELL("dateiname"))-FIND("]",CELL("dateiname")))&amp;"!"&amp;CELL("adresse",OFFSET($Q$6,H627-1,0)),"Definition"))</f>
        <v/>
      </c>
      <c r="F627" s="54" t="str" cm="1">
        <f t="array" aca="1" ref="F627" ca="1">IF(I627=0,"",HYPERLINK("#"&amp;RIGHT(CELL("adresse",OFFSET(DMAV_Doku!$B$6,I627-1,0)),LEN(CELL("adresse",OFFSET(DMAV_Doku!$B$6,I627-1,0)))-SEARCH("]",CELL("adresse",OFFSET(DMAV_Doku!$B$6,I627-1,0)))),"ModDoc"))</f>
        <v>ModDoc</v>
      </c>
      <c r="G627" s="150" t="str">
        <f t="shared" si="18"/>
        <v>MGA10</v>
      </c>
      <c r="H627" s="150">
        <f t="shared" si="19"/>
        <v>0</v>
      </c>
      <c r="I627" s="150">
        <f>IF(_xlfn.XLOOKUP(G627,Korrelation!$A$4:$A$723,Korrelation!$B$4:$B$723,0,0)=0,0,MATCH(_xlfn.XLOOKUP(G627,Korrelation!$A$4:$A$723,Korrelation!$B$4:$B$723,0,0),DMAV_Doku!$H$6:$H$483,0))</f>
        <v>452</v>
      </c>
      <c r="J627" s="158"/>
      <c r="K627" s="161"/>
      <c r="L627" s="161"/>
      <c r="M627" s="158"/>
      <c r="N627" s="51" t="s">
        <v>4440</v>
      </c>
      <c r="O627" s="51" t="s">
        <v>3889</v>
      </c>
      <c r="P627" s="51" t="s">
        <v>24</v>
      </c>
      <c r="Q627" s="51" t="s">
        <v>949</v>
      </c>
      <c r="R627" s="51" t="s">
        <v>648</v>
      </c>
      <c r="S627" s="50" t="s">
        <v>950</v>
      </c>
      <c r="U627" s="52" t="s">
        <v>101</v>
      </c>
      <c r="W627" s="52" t="s">
        <v>964</v>
      </c>
      <c r="Y627" s="52" t="s">
        <v>4448</v>
      </c>
      <c r="AB627" s="51" t="s">
        <v>4441</v>
      </c>
      <c r="AC627" s="51" t="s">
        <v>3890</v>
      </c>
      <c r="AD627" s="51" t="s">
        <v>710</v>
      </c>
      <c r="AE627" s="51" t="s">
        <v>949</v>
      </c>
      <c r="AF627" s="51" t="s">
        <v>895</v>
      </c>
      <c r="AG627" s="50" t="s">
        <v>950</v>
      </c>
      <c r="AI627" s="52" t="s">
        <v>735</v>
      </c>
      <c r="AK627" s="52" t="s">
        <v>964</v>
      </c>
      <c r="AP627" s="51" t="s">
        <v>4442</v>
      </c>
      <c r="AQ627" s="51" t="s">
        <v>3891</v>
      </c>
      <c r="AR627" s="51" t="s">
        <v>4444</v>
      </c>
      <c r="AS627" s="51" t="s">
        <v>949</v>
      </c>
      <c r="AT627" s="51" t="s">
        <v>4449</v>
      </c>
      <c r="AU627" s="50" t="s">
        <v>950</v>
      </c>
      <c r="AW627" s="52" t="s">
        <v>1294</v>
      </c>
      <c r="AY627" s="52" t="s">
        <v>964</v>
      </c>
    </row>
    <row r="628" spans="1:54" ht="38.25" x14ac:dyDescent="0.25">
      <c r="A628" s="51" t="s">
        <v>3813</v>
      </c>
      <c r="B628" s="51">
        <v>11</v>
      </c>
      <c r="E628" s="54" t="str" cm="1">
        <f t="array" aca="1" ref="E628" ca="1">IF(H628=0,"",HYPERLINK("#"&amp;RIGHT(CELL("dateiname"),LEN(CELL("dateiname"))-FIND("]",CELL("dateiname")))&amp;"!"&amp;CELL("adresse",OFFSET($Q$6,H628-1,0)),"Definition"))</f>
        <v/>
      </c>
      <c r="F628" s="54" t="str" cm="1">
        <f t="array" aca="1" ref="F628" ca="1">IF(I628=0,"",HYPERLINK("#"&amp;RIGHT(CELL("adresse",OFFSET(DMAV_Doku!$B$6,I628-1,0)),LEN(CELL("adresse",OFFSET(DMAV_Doku!$B$6,I628-1,0)))-SEARCH("]",CELL("adresse",OFFSET(DMAV_Doku!$B$6,I628-1,0)))),"ModDoc"))</f>
        <v>ModDoc</v>
      </c>
      <c r="G628" s="150" t="str">
        <f t="shared" si="18"/>
        <v>MGA11</v>
      </c>
      <c r="H628" s="150">
        <f t="shared" si="19"/>
        <v>0</v>
      </c>
      <c r="I628" s="150">
        <f>IF(_xlfn.XLOOKUP(G628,Korrelation!$A$4:$A$723,Korrelation!$B$4:$B$723,0,0)=0,0,MATCH(_xlfn.XLOOKUP(G628,Korrelation!$A$4:$A$723,Korrelation!$B$4:$B$723,0,0),DMAV_Doku!$H$6:$H$483,0))</f>
        <v>453</v>
      </c>
      <c r="J628" s="158"/>
      <c r="K628" s="161"/>
      <c r="L628" s="161"/>
      <c r="M628" s="158"/>
      <c r="N628" s="51" t="s">
        <v>4440</v>
      </c>
      <c r="O628" s="51" t="s">
        <v>3889</v>
      </c>
      <c r="P628" s="51" t="s">
        <v>24</v>
      </c>
      <c r="Q628" s="51" t="s">
        <v>949</v>
      </c>
      <c r="R628" s="51" t="s">
        <v>648</v>
      </c>
      <c r="U628" s="52" t="s">
        <v>104</v>
      </c>
      <c r="W628" s="52" t="s">
        <v>965</v>
      </c>
      <c r="Y628" s="52" t="s">
        <v>4448</v>
      </c>
      <c r="AB628" s="51" t="s">
        <v>4441</v>
      </c>
      <c r="AC628" s="51" t="s">
        <v>3890</v>
      </c>
      <c r="AD628" s="51" t="s">
        <v>710</v>
      </c>
      <c r="AE628" s="51" t="s">
        <v>949</v>
      </c>
      <c r="AF628" s="51" t="s">
        <v>895</v>
      </c>
      <c r="AI628" s="52" t="s">
        <v>736</v>
      </c>
      <c r="AK628" s="52" t="s">
        <v>965</v>
      </c>
      <c r="AP628" s="51" t="s">
        <v>4442</v>
      </c>
      <c r="AQ628" s="51" t="s">
        <v>3891</v>
      </c>
      <c r="AR628" s="51" t="s">
        <v>4444</v>
      </c>
      <c r="AS628" s="51" t="s">
        <v>949</v>
      </c>
      <c r="AT628" s="51" t="s">
        <v>4449</v>
      </c>
      <c r="AW628" s="52" t="s">
        <v>1595</v>
      </c>
      <c r="AY628" s="52" t="s">
        <v>965</v>
      </c>
    </row>
    <row r="629" spans="1:54" x14ac:dyDescent="0.25">
      <c r="A629" s="51" t="s">
        <v>3813</v>
      </c>
      <c r="B629" s="51">
        <v>12</v>
      </c>
      <c r="E629" s="54" t="str" cm="1">
        <f t="array" aca="1" ref="E629" ca="1">IF(H629=0,"",HYPERLINK("#"&amp;RIGHT(CELL("dateiname"),LEN(CELL("dateiname"))-FIND("]",CELL("dateiname")))&amp;"!"&amp;CELL("adresse",OFFSET($Q$6,H629-1,0)),"Definition"))</f>
        <v/>
      </c>
      <c r="F629" s="54" t="str" cm="1">
        <f t="array" aca="1" ref="F629" ca="1">IF(I629=0,"",HYPERLINK("#"&amp;RIGHT(CELL("adresse",OFFSET(DMAV_Doku!$B$6,I629-1,0)),LEN(CELL("adresse",OFFSET(DMAV_Doku!$B$6,I629-1,0)))-SEARCH("]",CELL("adresse",OFFSET(DMAV_Doku!$B$6,I629-1,0)))),"ModDoc"))</f>
        <v>ModDoc</v>
      </c>
      <c r="G629" s="150" t="str">
        <f t="shared" si="18"/>
        <v>MGA12</v>
      </c>
      <c r="H629" s="150">
        <f t="shared" si="19"/>
        <v>0</v>
      </c>
      <c r="I629" s="150">
        <f>IF(_xlfn.XLOOKUP(G629,Korrelation!$A$4:$A$723,Korrelation!$B$4:$B$723,0,0)=0,0,MATCH(_xlfn.XLOOKUP(G629,Korrelation!$A$4:$A$723,Korrelation!$B$4:$B$723,0,0),DMAV_Doku!$H$6:$H$483,0))</f>
        <v>454</v>
      </c>
      <c r="J629" s="158"/>
      <c r="K629" s="161"/>
      <c r="L629" s="161"/>
      <c r="M629" s="158"/>
      <c r="N629" s="51" t="s">
        <v>4440</v>
      </c>
      <c r="O629" s="51" t="s">
        <v>3889</v>
      </c>
      <c r="P629" s="51" t="s">
        <v>24</v>
      </c>
      <c r="Q629" s="51" t="s">
        <v>949</v>
      </c>
      <c r="R629" s="51" t="s">
        <v>648</v>
      </c>
      <c r="S629" s="50" t="s">
        <v>950</v>
      </c>
      <c r="U629" s="52" t="s">
        <v>107</v>
      </c>
      <c r="W629" s="52" t="s">
        <v>966</v>
      </c>
      <c r="Y629" s="52" t="s">
        <v>4448</v>
      </c>
      <c r="Z629" s="200" t="s">
        <v>6007</v>
      </c>
      <c r="AB629" s="51" t="s">
        <v>4441</v>
      </c>
      <c r="AC629" s="51" t="s">
        <v>3890</v>
      </c>
      <c r="AD629" s="51" t="s">
        <v>710</v>
      </c>
      <c r="AE629" s="51" t="s">
        <v>949</v>
      </c>
      <c r="AF629" s="51" t="s">
        <v>895</v>
      </c>
      <c r="AG629" s="50" t="s">
        <v>950</v>
      </c>
      <c r="AI629" s="52" t="s">
        <v>737</v>
      </c>
      <c r="AK629" s="52" t="s">
        <v>4013</v>
      </c>
      <c r="AN629" s="201" t="s">
        <v>6007</v>
      </c>
      <c r="AP629" s="51" t="s">
        <v>4442</v>
      </c>
      <c r="AQ629" s="51" t="s">
        <v>3891</v>
      </c>
      <c r="AR629" s="51" t="s">
        <v>4444</v>
      </c>
      <c r="AS629" s="51" t="s">
        <v>949</v>
      </c>
      <c r="AT629" s="51" t="s">
        <v>4449</v>
      </c>
      <c r="AU629" s="50" t="s">
        <v>950</v>
      </c>
      <c r="AW629" s="52" t="s">
        <v>4014</v>
      </c>
      <c r="AY629" s="52" t="s">
        <v>4013</v>
      </c>
      <c r="BB629" s="201" t="s">
        <v>6016</v>
      </c>
    </row>
    <row r="630" spans="1:54" x14ac:dyDescent="0.25">
      <c r="A630" s="51" t="s">
        <v>3813</v>
      </c>
      <c r="B630" s="51">
        <v>13</v>
      </c>
      <c r="E630" s="54" t="str" cm="1">
        <f t="array" aca="1" ref="E630" ca="1">IF(H630=0,"",HYPERLINK("#"&amp;RIGHT(CELL("dateiname"),LEN(CELL("dateiname"))-FIND("]",CELL("dateiname")))&amp;"!"&amp;CELL("adresse",OFFSET($Q$6,H630-1,0)),"Definition"))</f>
        <v/>
      </c>
      <c r="F630" s="54" t="str" cm="1">
        <f t="array" aca="1" ref="F630" ca="1">IF(I630=0,"",HYPERLINK("#"&amp;RIGHT(CELL("adresse",OFFSET(DMAV_Doku!$B$6,I630-1,0)),LEN(CELL("adresse",OFFSET(DMAV_Doku!$B$6,I630-1,0)))-SEARCH("]",CELL("adresse",OFFSET(DMAV_Doku!$B$6,I630-1,0)))),"ModDoc"))</f>
        <v>ModDoc</v>
      </c>
      <c r="G630" s="150" t="str">
        <f t="shared" si="18"/>
        <v>MGA13</v>
      </c>
      <c r="H630" s="150">
        <f t="shared" si="19"/>
        <v>0</v>
      </c>
      <c r="I630" s="150">
        <f>IF(_xlfn.XLOOKUP(G630,Korrelation!$A$4:$A$723,Korrelation!$B$4:$B$723,0,0)=0,0,MATCH(_xlfn.XLOOKUP(G630,Korrelation!$A$4:$A$723,Korrelation!$B$4:$B$723,0,0),DMAV_Doku!$H$6:$H$483,0))</f>
        <v>443</v>
      </c>
      <c r="J630" s="158"/>
      <c r="K630" s="161"/>
      <c r="L630" s="161"/>
      <c r="M630" s="158"/>
      <c r="N630" s="51" t="s">
        <v>4440</v>
      </c>
      <c r="O630" s="51" t="s">
        <v>3889</v>
      </c>
      <c r="P630" s="51" t="s">
        <v>24</v>
      </c>
      <c r="Q630" s="51" t="s">
        <v>1067</v>
      </c>
      <c r="R630" s="51" t="s">
        <v>1171</v>
      </c>
      <c r="S630" s="50" t="s">
        <v>950</v>
      </c>
      <c r="U630" s="52" t="s">
        <v>5</v>
      </c>
      <c r="W630" s="52" t="s">
        <v>964</v>
      </c>
      <c r="Y630" s="52" t="s">
        <v>4448</v>
      </c>
      <c r="Z630" s="200" t="s">
        <v>6007</v>
      </c>
      <c r="AB630" s="51" t="s">
        <v>4441</v>
      </c>
      <c r="AC630" s="51" t="s">
        <v>3890</v>
      </c>
      <c r="AD630" s="51" t="s">
        <v>710</v>
      </c>
      <c r="AE630" s="51" t="s">
        <v>1067</v>
      </c>
      <c r="AF630" s="51" t="s">
        <v>892</v>
      </c>
      <c r="AG630" s="50" t="s">
        <v>950</v>
      </c>
      <c r="AI630" s="52" t="s">
        <v>702</v>
      </c>
      <c r="AK630" s="52" t="s">
        <v>964</v>
      </c>
      <c r="AN630" s="52" t="s">
        <v>6007</v>
      </c>
      <c r="AP630" s="51" t="s">
        <v>4442</v>
      </c>
      <c r="AQ630" s="51" t="s">
        <v>3891</v>
      </c>
      <c r="AR630" s="51" t="s">
        <v>4444</v>
      </c>
      <c r="AS630" s="51" t="s">
        <v>1067</v>
      </c>
      <c r="AT630" s="51" t="s">
        <v>4451</v>
      </c>
      <c r="AU630" s="50" t="s">
        <v>950</v>
      </c>
      <c r="AW630" s="52" t="s">
        <v>1700</v>
      </c>
      <c r="AY630" s="52" t="s">
        <v>964</v>
      </c>
      <c r="BB630" s="52" t="s">
        <v>6016</v>
      </c>
    </row>
    <row r="631" spans="1:54" x14ac:dyDescent="0.25">
      <c r="A631" s="51" t="s">
        <v>3813</v>
      </c>
      <c r="B631" s="51">
        <v>14</v>
      </c>
      <c r="E631" s="54" t="str" cm="1">
        <f t="array" aca="1" ref="E631" ca="1">IF(H631=0,"",HYPERLINK("#"&amp;RIGHT(CELL("dateiname"),LEN(CELL("dateiname"))-FIND("]",CELL("dateiname")))&amp;"!"&amp;CELL("adresse",OFFSET($Q$6,H631-1,0)),"Definition"))</f>
        <v/>
      </c>
      <c r="F631" s="54" t="str" cm="1">
        <f t="array" aca="1" ref="F631" ca="1">IF(I631=0,"",HYPERLINK("#"&amp;RIGHT(CELL("adresse",OFFSET(DMAV_Doku!$B$6,I631-1,0)),LEN(CELL("adresse",OFFSET(DMAV_Doku!$B$6,I631-1,0)))-SEARCH("]",CELL("adresse",OFFSET(DMAV_Doku!$B$6,I631-1,0)))),"ModDoc"))</f>
        <v>ModDoc</v>
      </c>
      <c r="G631" s="150" t="str">
        <f t="shared" si="18"/>
        <v>MGA14</v>
      </c>
      <c r="H631" s="150">
        <f t="shared" si="19"/>
        <v>0</v>
      </c>
      <c r="I631" s="150">
        <f>IF(_xlfn.XLOOKUP(G631,Korrelation!$A$4:$A$723,Korrelation!$B$4:$B$723,0,0)=0,0,MATCH(_xlfn.XLOOKUP(G631,Korrelation!$A$4:$A$723,Korrelation!$B$4:$B$723,0,0),DMAV_Doku!$H$6:$H$483,0))</f>
        <v>444</v>
      </c>
      <c r="J631" s="158"/>
      <c r="K631" s="161"/>
      <c r="L631" s="161"/>
      <c r="M631" s="158"/>
      <c r="N631" s="51" t="s">
        <v>4440</v>
      </c>
      <c r="O631" s="51" t="s">
        <v>3889</v>
      </c>
      <c r="P631" s="51" t="s">
        <v>24</v>
      </c>
      <c r="Q631" s="51" t="s">
        <v>1067</v>
      </c>
      <c r="R631" s="51" t="s">
        <v>1171</v>
      </c>
      <c r="U631" s="52" t="s">
        <v>628</v>
      </c>
      <c r="W631" s="52" t="s">
        <v>1172</v>
      </c>
      <c r="Y631" s="52" t="s">
        <v>4448</v>
      </c>
      <c r="AB631" s="51" t="s">
        <v>4441</v>
      </c>
      <c r="AC631" s="51" t="s">
        <v>3890</v>
      </c>
      <c r="AD631" s="51" t="s">
        <v>710</v>
      </c>
      <c r="AE631" s="51" t="s">
        <v>1067</v>
      </c>
      <c r="AF631" s="51" t="s">
        <v>892</v>
      </c>
      <c r="AI631" s="52" t="s">
        <v>890</v>
      </c>
      <c r="AK631" s="52" t="s">
        <v>1172</v>
      </c>
      <c r="AP631" s="51" t="s">
        <v>4442</v>
      </c>
      <c r="AQ631" s="51" t="s">
        <v>3891</v>
      </c>
      <c r="AR631" s="51" t="s">
        <v>4444</v>
      </c>
      <c r="AS631" s="51" t="s">
        <v>1067</v>
      </c>
      <c r="AT631" s="51" t="s">
        <v>4451</v>
      </c>
      <c r="AW631" s="52" t="s">
        <v>4452</v>
      </c>
      <c r="AY631" s="52" t="s">
        <v>1172</v>
      </c>
    </row>
    <row r="632" spans="1:54" x14ac:dyDescent="0.25">
      <c r="A632" s="51" t="s">
        <v>3813</v>
      </c>
      <c r="B632" s="51">
        <v>15</v>
      </c>
      <c r="E632" s="54" t="str" cm="1">
        <f t="array" aca="1" ref="E632" ca="1">IF(H632=0,"",HYPERLINK("#"&amp;RIGHT(CELL("dateiname"),LEN(CELL("dateiname"))-FIND("]",CELL("dateiname")))&amp;"!"&amp;CELL("adresse",OFFSET($Q$6,H632-1,0)),"Definition"))</f>
        <v/>
      </c>
      <c r="F632" s="54" t="str" cm="1">
        <f t="array" aca="1" ref="F632" ca="1">IF(I632=0,"",HYPERLINK("#"&amp;RIGHT(CELL("adresse",OFFSET(DMAV_Doku!$B$6,I632-1,0)),LEN(CELL("adresse",OFFSET(DMAV_Doku!$B$6,I632-1,0)))-SEARCH("]",CELL("adresse",OFFSET(DMAV_Doku!$B$6,I632-1,0)))),"ModDoc"))</f>
        <v>ModDoc</v>
      </c>
      <c r="G632" s="150" t="str">
        <f t="shared" si="18"/>
        <v>MGA15</v>
      </c>
      <c r="H632" s="150">
        <f t="shared" si="19"/>
        <v>0</v>
      </c>
      <c r="I632" s="150">
        <f>IF(_xlfn.XLOOKUP(G632,Korrelation!$A$4:$A$723,Korrelation!$B$4:$B$723,0,0)=0,0,MATCH(_xlfn.XLOOKUP(G632,Korrelation!$A$4:$A$723,Korrelation!$B$4:$B$723,0,0),DMAV_Doku!$H$6:$H$483,0))</f>
        <v>445</v>
      </c>
      <c r="J632" s="158"/>
      <c r="K632" s="161"/>
      <c r="L632" s="161"/>
      <c r="M632" s="158"/>
      <c r="N632" s="51" t="s">
        <v>4440</v>
      </c>
      <c r="O632" s="51" t="s">
        <v>3889</v>
      </c>
      <c r="P632" s="51" t="s">
        <v>24</v>
      </c>
      <c r="Q632" s="51" t="s">
        <v>1067</v>
      </c>
      <c r="R632" s="51" t="s">
        <v>1171</v>
      </c>
      <c r="U632" s="52" t="s">
        <v>631</v>
      </c>
      <c r="W632" s="131" t="s">
        <v>1173</v>
      </c>
      <c r="Y632" s="52" t="s">
        <v>4448</v>
      </c>
      <c r="AB632" s="51" t="s">
        <v>4441</v>
      </c>
      <c r="AC632" s="51" t="s">
        <v>3890</v>
      </c>
      <c r="AD632" s="51" t="s">
        <v>710</v>
      </c>
      <c r="AE632" s="51" t="s">
        <v>1067</v>
      </c>
      <c r="AF632" s="51" t="s">
        <v>892</v>
      </c>
      <c r="AI632" s="52" t="s">
        <v>891</v>
      </c>
      <c r="AK632" s="52" t="s">
        <v>1173</v>
      </c>
      <c r="AP632" s="51" t="s">
        <v>4442</v>
      </c>
      <c r="AQ632" s="51" t="s">
        <v>3891</v>
      </c>
      <c r="AR632" s="51" t="s">
        <v>4444</v>
      </c>
      <c r="AS632" s="51" t="s">
        <v>1067</v>
      </c>
      <c r="AT632" s="51" t="s">
        <v>4451</v>
      </c>
      <c r="AW632" s="52" t="s">
        <v>4453</v>
      </c>
      <c r="AY632" s="52" t="s">
        <v>1173</v>
      </c>
    </row>
    <row r="633" spans="1:54" x14ac:dyDescent="0.25">
      <c r="A633" s="51" t="s">
        <v>3813</v>
      </c>
      <c r="B633" s="51">
        <v>16</v>
      </c>
      <c r="C633" s="51" t="s">
        <v>3862</v>
      </c>
      <c r="E633" s="54" t="str" cm="1">
        <f t="array" aca="1" ref="E633" ca="1">IF(H633=0,"",HYPERLINK("#"&amp;RIGHT(CELL("dateiname"),LEN(CELL("dateiname"))-FIND("]",CELL("dateiname")))&amp;"!"&amp;CELL("adresse",OFFSET($Q$6,H633-1,0)),"Definition"))</f>
        <v>Definition</v>
      </c>
      <c r="F633" s="54" t="str" cm="1">
        <f t="array" aca="1" ref="F633" ca="1">IF(I633=0,"",HYPERLINK("#"&amp;RIGHT(CELL("adresse",OFFSET(DMAV_Doku!$B$6,I633-1,0)),LEN(CELL("adresse",OFFSET(DMAV_Doku!$B$6,I633-1,0)))-SEARCH("]",CELL("adresse",OFFSET(DMAV_Doku!$B$6,I633-1,0)))),"ModDoc"))</f>
        <v>ModDoc</v>
      </c>
      <c r="G633" s="150" t="str">
        <f t="shared" si="18"/>
        <v>MGA16</v>
      </c>
      <c r="H633" s="150">
        <f t="shared" si="19"/>
        <v>616</v>
      </c>
      <c r="I633" s="150">
        <f>IF(_xlfn.XLOOKUP(G633,Korrelation!$A$4:$A$723,Korrelation!$B$4:$B$723,0,0)=0,0,MATCH(_xlfn.XLOOKUP(G633,Korrelation!$A$4:$A$723,Korrelation!$B$4:$B$723,0,0),DMAV_Doku!$H$6:$H$483,0))</f>
        <v>446</v>
      </c>
      <c r="J633" s="158"/>
      <c r="K633" s="161"/>
      <c r="L633" s="161"/>
      <c r="M633" s="158"/>
      <c r="N633" s="51" t="s">
        <v>4440</v>
      </c>
      <c r="O633" s="51" t="s">
        <v>3889</v>
      </c>
      <c r="P633" s="51" t="s">
        <v>24</v>
      </c>
      <c r="Q633" s="51" t="s">
        <v>1067</v>
      </c>
      <c r="R633" s="51" t="s">
        <v>1171</v>
      </c>
      <c r="S633" s="50" t="s">
        <v>950</v>
      </c>
      <c r="U633" s="52" t="s">
        <v>611</v>
      </c>
      <c r="W633" s="52" t="s">
        <v>611</v>
      </c>
      <c r="Y633" s="52" t="s">
        <v>4448</v>
      </c>
      <c r="AB633" s="51" t="s">
        <v>4441</v>
      </c>
      <c r="AC633" s="51" t="s">
        <v>3890</v>
      </c>
      <c r="AD633" s="51" t="s">
        <v>710</v>
      </c>
      <c r="AE633" s="51" t="s">
        <v>1067</v>
      </c>
      <c r="AF633" s="51" t="s">
        <v>892</v>
      </c>
      <c r="AG633" s="50" t="s">
        <v>950</v>
      </c>
      <c r="AI633" s="52" t="s">
        <v>886</v>
      </c>
      <c r="AK633" s="52" t="s">
        <v>886</v>
      </c>
      <c r="AP633" s="51" t="s">
        <v>4442</v>
      </c>
      <c r="AQ633" s="51" t="s">
        <v>3891</v>
      </c>
      <c r="AR633" s="51" t="s">
        <v>4444</v>
      </c>
      <c r="AS633" s="51" t="s">
        <v>1067</v>
      </c>
      <c r="AT633" s="51" t="s">
        <v>4451</v>
      </c>
      <c r="AU633" s="50" t="s">
        <v>950</v>
      </c>
      <c r="AW633" s="52" t="s">
        <v>1426</v>
      </c>
      <c r="AY633" s="52" t="s">
        <v>1426</v>
      </c>
    </row>
    <row r="634" spans="1:54" x14ac:dyDescent="0.25">
      <c r="A634" s="51" t="s">
        <v>3813</v>
      </c>
      <c r="B634" s="51">
        <v>17</v>
      </c>
      <c r="C634" s="51" t="s">
        <v>3838</v>
      </c>
      <c r="E634" s="54" t="str" cm="1">
        <f t="array" aca="1" ref="E634" ca="1">IF(H634=0,"",HYPERLINK("#"&amp;RIGHT(CELL("dateiname"),LEN(CELL("dateiname"))-FIND("]",CELL("dateiname")))&amp;"!"&amp;CELL("adresse",OFFSET($Q$6,H634-1,0)),"Definition"))</f>
        <v>Definition</v>
      </c>
      <c r="F634" s="54" t="str" cm="1">
        <f t="array" aca="1" ref="F634" ca="1">IF(I634=0,"",HYPERLINK("#"&amp;RIGHT(CELL("adresse",OFFSET(DMAV_Doku!$B$6,I634-1,0)),LEN(CELL("adresse",OFFSET(DMAV_Doku!$B$6,I634-1,0)))-SEARCH("]",CELL("adresse",OFFSET(DMAV_Doku!$B$6,I634-1,0)))),"ModDoc"))</f>
        <v>ModDoc</v>
      </c>
      <c r="G634" s="150" t="str">
        <f t="shared" si="18"/>
        <v>MGA17</v>
      </c>
      <c r="H634" s="150">
        <f t="shared" si="19"/>
        <v>26</v>
      </c>
      <c r="I634" s="150">
        <f>IF(_xlfn.XLOOKUP(G634,Korrelation!$A$4:$A$723,Korrelation!$B$4:$B$723,0,0)=0,0,MATCH(_xlfn.XLOOKUP(G634,Korrelation!$A$4:$A$723,Korrelation!$B$4:$B$723,0,0),DMAV_Doku!$H$6:$H$483,0))</f>
        <v>447</v>
      </c>
      <c r="J634" s="158"/>
      <c r="K634" s="161"/>
      <c r="L634" s="161"/>
      <c r="M634" s="158"/>
      <c r="N634" s="51" t="s">
        <v>4440</v>
      </c>
      <c r="O634" s="51" t="s">
        <v>3889</v>
      </c>
      <c r="P634" s="51" t="s">
        <v>24</v>
      </c>
      <c r="Q634" s="51" t="s">
        <v>1067</v>
      </c>
      <c r="R634" s="51" t="s">
        <v>1171</v>
      </c>
      <c r="U634" s="52" t="s">
        <v>77</v>
      </c>
      <c r="V634" s="52" t="s">
        <v>3471</v>
      </c>
      <c r="W634" s="52" t="s">
        <v>3472</v>
      </c>
      <c r="Y634" s="52" t="s">
        <v>4448</v>
      </c>
      <c r="AB634" s="51" t="s">
        <v>4441</v>
      </c>
      <c r="AC634" s="51" t="s">
        <v>3890</v>
      </c>
      <c r="AD634" s="51" t="s">
        <v>710</v>
      </c>
      <c r="AE634" s="51" t="s">
        <v>1067</v>
      </c>
      <c r="AF634" s="51" t="s">
        <v>892</v>
      </c>
      <c r="AI634" s="52" t="s">
        <v>729</v>
      </c>
      <c r="AJ634" s="51" t="s">
        <v>3471</v>
      </c>
      <c r="AK634" s="52" t="s">
        <v>4036</v>
      </c>
      <c r="AP634" s="51" t="s">
        <v>4442</v>
      </c>
      <c r="AQ634" s="51" t="s">
        <v>3891</v>
      </c>
      <c r="AR634" s="51" t="s">
        <v>4444</v>
      </c>
      <c r="AS634" s="51" t="s">
        <v>1067</v>
      </c>
      <c r="AT634" s="51" t="s">
        <v>4451</v>
      </c>
      <c r="AW634" s="52" t="s">
        <v>3933</v>
      </c>
      <c r="AX634" s="51" t="s">
        <v>3471</v>
      </c>
      <c r="AY634" s="52" t="s">
        <v>4037</v>
      </c>
    </row>
    <row r="635" spans="1:54" ht="38.25" x14ac:dyDescent="0.25">
      <c r="A635" s="51" t="s">
        <v>3813</v>
      </c>
      <c r="B635" s="51">
        <v>18</v>
      </c>
      <c r="E635" s="54" t="str" cm="1">
        <f t="array" aca="1" ref="E635" ca="1">IF(H635=0,"",HYPERLINK("#"&amp;RIGHT(CELL("dateiname"),LEN(CELL("dateiname"))-FIND("]",CELL("dateiname")))&amp;"!"&amp;CELL("adresse",OFFSET($Q$6,H635-1,0)),"Definition"))</f>
        <v/>
      </c>
      <c r="F635" s="54" t="str" cm="1">
        <f t="array" aca="1" ref="F635" ca="1">IF(I635=0,"",HYPERLINK("#"&amp;RIGHT(CELL("adresse",OFFSET(DMAV_Doku!$B$6,I635-1,0)),LEN(CELL("adresse",OFFSET(DMAV_Doku!$B$6,I635-1,0)))-SEARCH("]",CELL("adresse",OFFSET(DMAV_Doku!$B$6,I635-1,0)))),"ModDoc"))</f>
        <v>ModDoc</v>
      </c>
      <c r="G635" s="150" t="str">
        <f t="shared" si="18"/>
        <v>MGA18</v>
      </c>
      <c r="H635" s="150">
        <f t="shared" si="19"/>
        <v>0</v>
      </c>
      <c r="I635" s="150">
        <f>IF(_xlfn.XLOOKUP(G635,Korrelation!$A$4:$A$723,Korrelation!$B$4:$B$723,0,0)=0,0,MATCH(_xlfn.XLOOKUP(G635,Korrelation!$A$4:$A$723,Korrelation!$B$4:$B$723,0,0),DMAV_Doku!$H$6:$H$483,0))</f>
        <v>435</v>
      </c>
      <c r="J635" s="158"/>
      <c r="K635" s="161"/>
      <c r="L635" s="161"/>
      <c r="M635" s="158"/>
      <c r="N635" s="51" t="s">
        <v>4440</v>
      </c>
      <c r="O635" s="51" t="s">
        <v>3889</v>
      </c>
      <c r="P635" s="51" t="s">
        <v>24</v>
      </c>
      <c r="Q635" s="51" t="s">
        <v>1067</v>
      </c>
      <c r="R635" s="51" t="s">
        <v>598</v>
      </c>
      <c r="S635" s="50" t="s">
        <v>950</v>
      </c>
      <c r="U635" s="52" t="s">
        <v>123</v>
      </c>
      <c r="W635" s="52" t="s">
        <v>965</v>
      </c>
      <c r="Y635" s="52" t="s">
        <v>4448</v>
      </c>
      <c r="AB635" s="51" t="s">
        <v>4441</v>
      </c>
      <c r="AC635" s="51" t="s">
        <v>3890</v>
      </c>
      <c r="AD635" s="51" t="s">
        <v>710</v>
      </c>
      <c r="AE635" s="51" t="s">
        <v>1067</v>
      </c>
      <c r="AF635" s="51" t="s">
        <v>887</v>
      </c>
      <c r="AG635" s="50" t="s">
        <v>950</v>
      </c>
      <c r="AI635" s="52" t="s">
        <v>123</v>
      </c>
      <c r="AK635" s="52" t="s">
        <v>965</v>
      </c>
      <c r="AP635" s="51" t="s">
        <v>4442</v>
      </c>
      <c r="AQ635" s="51" t="s">
        <v>3891</v>
      </c>
      <c r="AR635" s="51" t="s">
        <v>4444</v>
      </c>
      <c r="AS635" s="51" t="s">
        <v>1067</v>
      </c>
      <c r="AT635" s="51" t="s">
        <v>4454</v>
      </c>
      <c r="AU635" s="50" t="s">
        <v>950</v>
      </c>
      <c r="AW635" s="52" t="s">
        <v>1247</v>
      </c>
      <c r="AY635" s="52" t="s">
        <v>965</v>
      </c>
    </row>
    <row r="636" spans="1:54" x14ac:dyDescent="0.25">
      <c r="A636" s="51" t="s">
        <v>3813</v>
      </c>
      <c r="B636" s="51">
        <v>19</v>
      </c>
      <c r="E636" s="54" t="str" cm="1">
        <f t="array" aca="1" ref="E636" ca="1">IF(H636=0,"",HYPERLINK("#"&amp;RIGHT(CELL("dateiname"),LEN(CELL("dateiname"))-FIND("]",CELL("dateiname")))&amp;"!"&amp;CELL("adresse",OFFSET($Q$6,H636-1,0)),"Definition"))</f>
        <v/>
      </c>
      <c r="F636" s="54" t="str" cm="1">
        <f t="array" aca="1" ref="F636" ca="1">IF(I636=0,"",HYPERLINK("#"&amp;RIGHT(CELL("adresse",OFFSET(DMAV_Doku!$B$6,I636-1,0)),LEN(CELL("adresse",OFFSET(DMAV_Doku!$B$6,I636-1,0)))-SEARCH("]",CELL("adresse",OFFSET(DMAV_Doku!$B$6,I636-1,0)))),"ModDoc"))</f>
        <v>ModDoc</v>
      </c>
      <c r="G636" s="150" t="str">
        <f t="shared" si="18"/>
        <v>MGA19</v>
      </c>
      <c r="H636" s="150">
        <f t="shared" si="19"/>
        <v>0</v>
      </c>
      <c r="I636" s="150">
        <f>IF(_xlfn.XLOOKUP(G636,Korrelation!$A$4:$A$723,Korrelation!$B$4:$B$723,0,0)=0,0,MATCH(_xlfn.XLOOKUP(G636,Korrelation!$A$4:$A$723,Korrelation!$B$4:$B$723,0,0),DMAV_Doku!$H$6:$H$483,0))</f>
        <v>449</v>
      </c>
      <c r="J636" s="158"/>
      <c r="K636" s="161"/>
      <c r="L636" s="161"/>
      <c r="M636" s="158"/>
      <c r="N636" s="51" t="s">
        <v>4440</v>
      </c>
      <c r="O636" s="51" t="s">
        <v>3889</v>
      </c>
      <c r="P636" s="51" t="s">
        <v>24</v>
      </c>
      <c r="Q636" s="51" t="s">
        <v>1067</v>
      </c>
      <c r="R636" s="51" t="s">
        <v>642</v>
      </c>
      <c r="S636" s="50" t="s">
        <v>950</v>
      </c>
      <c r="U636" s="52" t="s">
        <v>123</v>
      </c>
      <c r="W636" s="52" t="s">
        <v>1174</v>
      </c>
      <c r="Y636" s="52" t="s">
        <v>4448</v>
      </c>
      <c r="AB636" s="51" t="s">
        <v>4441</v>
      </c>
      <c r="AC636" s="51" t="s">
        <v>3890</v>
      </c>
      <c r="AD636" s="51" t="s">
        <v>710</v>
      </c>
      <c r="AE636" s="51" t="s">
        <v>1067</v>
      </c>
      <c r="AF636" s="51" t="s">
        <v>894</v>
      </c>
      <c r="AG636" s="50" t="s">
        <v>950</v>
      </c>
      <c r="AI636" s="52" t="s">
        <v>123</v>
      </c>
      <c r="AK636" s="52" t="s">
        <v>1174</v>
      </c>
      <c r="AP636" s="51" t="s">
        <v>4442</v>
      </c>
      <c r="AQ636" s="51" t="s">
        <v>3891</v>
      </c>
      <c r="AR636" s="51" t="s">
        <v>4444</v>
      </c>
      <c r="AS636" s="51" t="s">
        <v>1067</v>
      </c>
      <c r="AT636" s="51" t="s">
        <v>4455</v>
      </c>
      <c r="AU636" s="50" t="s">
        <v>950</v>
      </c>
      <c r="AW636" s="52" t="s">
        <v>1247</v>
      </c>
      <c r="AY636" s="52" t="s">
        <v>1174</v>
      </c>
    </row>
    <row r="637" spans="1:54" x14ac:dyDescent="0.25">
      <c r="A637" s="51" t="s">
        <v>3813</v>
      </c>
      <c r="B637" s="51">
        <v>20</v>
      </c>
      <c r="E637" s="54" t="str" cm="1">
        <f t="array" aca="1" ref="E637" ca="1">IF(H637=0,"",HYPERLINK("#"&amp;RIGHT(CELL("dateiname"),LEN(CELL("dateiname"))-FIND("]",CELL("dateiname")))&amp;"!"&amp;CELL("adresse",OFFSET($Q$6,H637-1,0)),"Definition"))</f>
        <v/>
      </c>
      <c r="F637" s="54" t="str" cm="1">
        <f t="array" aca="1" ref="F637" ca="1">IF(I637=0,"",HYPERLINK("#"&amp;RIGHT(CELL("adresse",OFFSET(DMAV_Doku!$B$6,I637-1,0)),LEN(CELL("adresse",OFFSET(DMAV_Doku!$B$6,I637-1,0)))-SEARCH("]",CELL("adresse",OFFSET(DMAV_Doku!$B$6,I637-1,0)))),"ModDoc"))</f>
        <v>ModDoc</v>
      </c>
      <c r="G637" s="150" t="str">
        <f t="shared" si="18"/>
        <v>MGA20</v>
      </c>
      <c r="H637" s="150">
        <f t="shared" si="19"/>
        <v>0</v>
      </c>
      <c r="I637" s="150">
        <f>IF(_xlfn.XLOOKUP(G637,Korrelation!$A$4:$A$723,Korrelation!$B$4:$B$723,0,0)=0,0,MATCH(_xlfn.XLOOKUP(G637,Korrelation!$A$4:$A$723,Korrelation!$B$4:$B$723,0,0),DMAV_Doku!$H$6:$H$483,0))</f>
        <v>448</v>
      </c>
      <c r="J637" s="158"/>
      <c r="K637" s="161"/>
      <c r="L637" s="161"/>
      <c r="M637" s="158"/>
      <c r="N637" s="51" t="s">
        <v>4440</v>
      </c>
      <c r="O637" s="51" t="s">
        <v>3889</v>
      </c>
      <c r="P637" s="51" t="s">
        <v>24</v>
      </c>
      <c r="Q637" s="51" t="s">
        <v>1067</v>
      </c>
      <c r="R637" s="51" t="s">
        <v>642</v>
      </c>
      <c r="S637" s="50" t="s">
        <v>950</v>
      </c>
      <c r="U637" s="52" t="s">
        <v>643</v>
      </c>
      <c r="W637" s="52" t="s">
        <v>131</v>
      </c>
      <c r="Y637" s="52" t="s">
        <v>4448</v>
      </c>
      <c r="AB637" s="51" t="s">
        <v>4441</v>
      </c>
      <c r="AC637" s="51" t="s">
        <v>3890</v>
      </c>
      <c r="AD637" s="51" t="s">
        <v>710</v>
      </c>
      <c r="AE637" s="51" t="s">
        <v>1067</v>
      </c>
      <c r="AF637" s="51" t="s">
        <v>894</v>
      </c>
      <c r="AG637" s="50" t="s">
        <v>950</v>
      </c>
      <c r="AI637" s="52" t="s">
        <v>893</v>
      </c>
      <c r="AK637" s="52" t="s">
        <v>131</v>
      </c>
      <c r="AP637" s="51" t="s">
        <v>4442</v>
      </c>
      <c r="AQ637" s="51" t="s">
        <v>3891</v>
      </c>
      <c r="AR637" s="51" t="s">
        <v>4444</v>
      </c>
      <c r="AS637" s="51" t="s">
        <v>1067</v>
      </c>
      <c r="AT637" s="51" t="s">
        <v>4455</v>
      </c>
      <c r="AU637" s="50" t="s">
        <v>950</v>
      </c>
      <c r="AW637" s="52" t="s">
        <v>4456</v>
      </c>
      <c r="AY637" s="52" t="s">
        <v>131</v>
      </c>
    </row>
    <row r="638" spans="1:54" x14ac:dyDescent="0.25">
      <c r="A638" s="51" t="s">
        <v>3813</v>
      </c>
      <c r="B638" s="51">
        <v>21</v>
      </c>
      <c r="E638" s="54" t="str" cm="1">
        <f t="array" aca="1" ref="E638" ca="1">IF(H638=0,"",HYPERLINK("#"&amp;RIGHT(CELL("dateiname"),LEN(CELL("dateiname"))-FIND("]",CELL("dateiname")))&amp;"!"&amp;CELL("adresse",OFFSET($Q$6,H638-1,0)),"Definition"))</f>
        <v/>
      </c>
      <c r="F638" s="54" t="str" cm="1">
        <f t="array" aca="1" ref="F638" ca="1">IF(I638=0,"",HYPERLINK("#"&amp;RIGHT(CELL("adresse",OFFSET(DMAV_Doku!$B$6,I638-1,0)),LEN(CELL("adresse",OFFSET(DMAV_Doku!$B$6,I638-1,0)))-SEARCH("]",CELL("adresse",OFFSET(DMAV_Doku!$B$6,I638-1,0)))),"ModDoc"))</f>
        <v>ModDoc</v>
      </c>
      <c r="G638" s="150" t="str">
        <f t="shared" si="18"/>
        <v>MGA21</v>
      </c>
      <c r="H638" s="150">
        <f t="shared" si="19"/>
        <v>0</v>
      </c>
      <c r="I638" s="150">
        <f>IF(_xlfn.XLOOKUP(G638,Korrelation!$A$4:$A$723,Korrelation!$B$4:$B$723,0,0)=0,0,MATCH(_xlfn.XLOOKUP(G638,Korrelation!$A$4:$A$723,Korrelation!$B$4:$B$723,0,0),DMAV_Doku!$H$6:$H$483,0))</f>
        <v>455</v>
      </c>
      <c r="J638" s="158"/>
      <c r="K638" s="161"/>
      <c r="L638" s="161"/>
      <c r="M638" s="158"/>
      <c r="N638" s="51" t="s">
        <v>4440</v>
      </c>
      <c r="O638" s="51" t="s">
        <v>3889</v>
      </c>
      <c r="P638" s="51" t="s">
        <v>24</v>
      </c>
      <c r="Q638" s="51" t="s">
        <v>949</v>
      </c>
      <c r="R638" s="51" t="s">
        <v>649</v>
      </c>
      <c r="U638" s="52" t="s">
        <v>650</v>
      </c>
      <c r="W638" s="52" t="s">
        <v>951</v>
      </c>
      <c r="Y638" s="52" t="s">
        <v>4448</v>
      </c>
      <c r="AB638" s="51" t="s">
        <v>4441</v>
      </c>
      <c r="AC638" s="51" t="s">
        <v>3890</v>
      </c>
      <c r="AD638" s="51" t="s">
        <v>710</v>
      </c>
      <c r="AE638" s="51" t="s">
        <v>949</v>
      </c>
      <c r="AF638" s="51" t="s">
        <v>896</v>
      </c>
      <c r="AI638" s="52" t="s">
        <v>897</v>
      </c>
      <c r="AK638" s="52" t="s">
        <v>951</v>
      </c>
      <c r="AP638" s="51" t="s">
        <v>4442</v>
      </c>
      <c r="AQ638" s="51" t="s">
        <v>3891</v>
      </c>
      <c r="AR638" s="51" t="s">
        <v>4444</v>
      </c>
      <c r="AS638" s="51" t="s">
        <v>949</v>
      </c>
      <c r="AT638" s="51" t="s">
        <v>1580</v>
      </c>
      <c r="AW638" s="52" t="s">
        <v>4457</v>
      </c>
      <c r="AY638" s="52" t="s">
        <v>951</v>
      </c>
    </row>
    <row r="639" spans="1:54" x14ac:dyDescent="0.25">
      <c r="A639" s="51" t="s">
        <v>3813</v>
      </c>
      <c r="B639" s="51">
        <v>22</v>
      </c>
      <c r="E639" s="54" t="str" cm="1">
        <f t="array" aca="1" ref="E639" ca="1">IF(H639=0,"",HYPERLINK("#"&amp;RIGHT(CELL("dateiname"),LEN(CELL("dateiname"))-FIND("]",CELL("dateiname")))&amp;"!"&amp;CELL("adresse",OFFSET($Q$6,H639-1,0)),"Definition"))</f>
        <v/>
      </c>
      <c r="F639" s="54" t="str" cm="1">
        <f t="array" aca="1" ref="F639" ca="1">IF(I639=0,"",HYPERLINK("#"&amp;RIGHT(CELL("adresse",OFFSET(DMAV_Doku!$B$6,I639-1,0)),LEN(CELL("adresse",OFFSET(DMAV_Doku!$B$6,I639-1,0)))-SEARCH("]",CELL("adresse",OFFSET(DMAV_Doku!$B$6,I639-1,0)))),"ModDoc"))</f>
        <v>ModDoc</v>
      </c>
      <c r="G639" s="150" t="str">
        <f t="shared" si="18"/>
        <v>MGA22</v>
      </c>
      <c r="H639" s="150">
        <f t="shared" si="19"/>
        <v>0</v>
      </c>
      <c r="I639" s="150">
        <f>IF(_xlfn.XLOOKUP(G639,Korrelation!$A$4:$A$723,Korrelation!$B$4:$B$723,0,0)=0,0,MATCH(_xlfn.XLOOKUP(G639,Korrelation!$A$4:$A$723,Korrelation!$B$4:$B$723,0,0),DMAV_Doku!$H$6:$H$483,0))</f>
        <v>463</v>
      </c>
      <c r="J639" s="158"/>
      <c r="K639" s="161"/>
      <c r="L639" s="161"/>
      <c r="M639" s="158"/>
      <c r="N639" s="51" t="s">
        <v>4440</v>
      </c>
      <c r="O639" s="51" t="s">
        <v>3889</v>
      </c>
      <c r="P639" s="51" t="s">
        <v>24</v>
      </c>
      <c r="Q639" s="51" t="s">
        <v>949</v>
      </c>
      <c r="R639" s="51" t="s">
        <v>649</v>
      </c>
      <c r="S639" s="50" t="s">
        <v>950</v>
      </c>
      <c r="U639" s="52" t="s">
        <v>669</v>
      </c>
      <c r="W639" s="52" t="s">
        <v>131</v>
      </c>
      <c r="Y639" s="52" t="s">
        <v>4448</v>
      </c>
      <c r="AB639" s="51" t="s">
        <v>4441</v>
      </c>
      <c r="AC639" s="51" t="s">
        <v>3890</v>
      </c>
      <c r="AD639" s="51" t="s">
        <v>710</v>
      </c>
      <c r="AE639" s="51" t="s">
        <v>949</v>
      </c>
      <c r="AF639" s="51" t="s">
        <v>896</v>
      </c>
      <c r="AG639" s="50" t="s">
        <v>950</v>
      </c>
      <c r="AI639" s="52" t="s">
        <v>900</v>
      </c>
      <c r="AK639" s="52" t="s">
        <v>131</v>
      </c>
      <c r="AP639" s="51" t="s">
        <v>4442</v>
      </c>
      <c r="AQ639" s="51" t="s">
        <v>3891</v>
      </c>
      <c r="AR639" s="51" t="s">
        <v>4444</v>
      </c>
      <c r="AS639" s="51" t="s">
        <v>949</v>
      </c>
      <c r="AT639" s="51" t="s">
        <v>1580</v>
      </c>
      <c r="AU639" s="50" t="s">
        <v>950</v>
      </c>
      <c r="AW639" s="52" t="s">
        <v>4458</v>
      </c>
      <c r="AY639" s="52" t="s">
        <v>131</v>
      </c>
    </row>
    <row r="640" spans="1:54" x14ac:dyDescent="0.25">
      <c r="A640" s="51" t="s">
        <v>3813</v>
      </c>
      <c r="B640" s="51">
        <v>23</v>
      </c>
      <c r="E640" s="54" t="str" cm="1">
        <f t="array" aca="1" ref="E640" ca="1">IF(H640=0,"",HYPERLINK("#"&amp;RIGHT(CELL("dateiname"),LEN(CELL("dateiname"))-FIND("]",CELL("dateiname")))&amp;"!"&amp;CELL("adresse",OFFSET($Q$6,H640-1,0)),"Definition"))</f>
        <v/>
      </c>
      <c r="F640" s="54" t="str" cm="1">
        <f t="array" aca="1" ref="F640" ca="1">IF(I640=0,"",HYPERLINK("#"&amp;RIGHT(CELL("adresse",OFFSET(DMAV_Doku!$B$6,I640-1,0)),LEN(CELL("adresse",OFFSET(DMAV_Doku!$B$6,I640-1,0)))-SEARCH("]",CELL("adresse",OFFSET(DMAV_Doku!$B$6,I640-1,0)))),"ModDoc"))</f>
        <v>ModDoc</v>
      </c>
      <c r="G640" s="150" t="str">
        <f t="shared" si="18"/>
        <v>MGA23</v>
      </c>
      <c r="H640" s="150">
        <f t="shared" si="19"/>
        <v>0</v>
      </c>
      <c r="I640" s="150">
        <f>IF(_xlfn.XLOOKUP(G640,Korrelation!$A$4:$A$723,Korrelation!$B$4:$B$723,0,0)=0,0,MATCH(_xlfn.XLOOKUP(G640,Korrelation!$A$4:$A$723,Korrelation!$B$4:$B$723,0,0),DMAV_Doku!$H$6:$H$483,0))</f>
        <v>461</v>
      </c>
      <c r="J640" s="158"/>
      <c r="K640" s="161"/>
      <c r="L640" s="161"/>
      <c r="M640" s="158"/>
      <c r="N640" s="51" t="s">
        <v>4440</v>
      </c>
      <c r="O640" s="51" t="s">
        <v>3889</v>
      </c>
      <c r="P640" s="51" t="s">
        <v>24</v>
      </c>
      <c r="Q640" s="51" t="s">
        <v>949</v>
      </c>
      <c r="R640" s="51" t="s">
        <v>649</v>
      </c>
      <c r="S640" s="50" t="s">
        <v>950</v>
      </c>
      <c r="U640" s="52" t="s">
        <v>663</v>
      </c>
      <c r="W640" s="52" t="s">
        <v>131</v>
      </c>
      <c r="Y640" s="52" t="s">
        <v>4448</v>
      </c>
      <c r="AB640" s="51" t="s">
        <v>4441</v>
      </c>
      <c r="AC640" s="51" t="s">
        <v>3890</v>
      </c>
      <c r="AD640" s="51" t="s">
        <v>710</v>
      </c>
      <c r="AE640" s="51" t="s">
        <v>949</v>
      </c>
      <c r="AF640" s="51" t="s">
        <v>896</v>
      </c>
      <c r="AG640" s="50" t="s">
        <v>950</v>
      </c>
      <c r="AI640" s="52" t="s">
        <v>898</v>
      </c>
      <c r="AK640" s="52" t="s">
        <v>131</v>
      </c>
      <c r="AP640" s="51" t="s">
        <v>4442</v>
      </c>
      <c r="AQ640" s="51" t="s">
        <v>3891</v>
      </c>
      <c r="AR640" s="51" t="s">
        <v>4444</v>
      </c>
      <c r="AS640" s="51" t="s">
        <v>949</v>
      </c>
      <c r="AT640" s="51" t="s">
        <v>1580</v>
      </c>
      <c r="AU640" s="50" t="s">
        <v>950</v>
      </c>
      <c r="AW640" s="52" t="s">
        <v>4459</v>
      </c>
      <c r="AY640" s="52" t="s">
        <v>131</v>
      </c>
    </row>
    <row r="641" spans="1:54" x14ac:dyDescent="0.25">
      <c r="A641" s="51" t="s">
        <v>3813</v>
      </c>
      <c r="B641" s="51">
        <v>24</v>
      </c>
      <c r="C641" s="51" t="s">
        <v>3847</v>
      </c>
      <c r="E641" s="54" t="str" cm="1">
        <f t="array" aca="1" ref="E641" ca="1">IF(H641=0,"",HYPERLINK("#"&amp;RIGHT(CELL("dateiname"),LEN(CELL("dateiname"))-FIND("]",CELL("dateiname")))&amp;"!"&amp;CELL("adresse",OFFSET($Q$6,H641-1,0)),"Definition"))</f>
        <v>Definition</v>
      </c>
      <c r="F641" s="54" t="str" cm="1">
        <f t="array" aca="1" ref="F641" ca="1">IF(I641=0,"",HYPERLINK("#"&amp;RIGHT(CELL("adresse",OFFSET(DMAV_Doku!$B$6,I641-1,0)),LEN(CELL("adresse",OFFSET(DMAV_Doku!$B$6,I641-1,0)))-SEARCH("]",CELL("adresse",OFFSET(DMAV_Doku!$B$6,I641-1,0)))),"ModDoc"))</f>
        <v>ModDoc</v>
      </c>
      <c r="G641" s="150" t="str">
        <f t="shared" si="18"/>
        <v>MGA24</v>
      </c>
      <c r="H641" s="150">
        <f t="shared" si="19"/>
        <v>36</v>
      </c>
      <c r="I641" s="150">
        <f>IF(_xlfn.XLOOKUP(G641,Korrelation!$A$4:$A$723,Korrelation!$B$4:$B$723,0,0)=0,0,MATCH(_xlfn.XLOOKUP(G641,Korrelation!$A$4:$A$723,Korrelation!$B$4:$B$723,0,0),DMAV_Doku!$H$6:$H$483,0))</f>
        <v>464</v>
      </c>
      <c r="J641" s="158"/>
      <c r="K641" s="161"/>
      <c r="L641" s="161"/>
      <c r="M641" s="158"/>
      <c r="N641" s="51" t="s">
        <v>4440</v>
      </c>
      <c r="O641" s="51" t="s">
        <v>3889</v>
      </c>
      <c r="P641" s="51" t="s">
        <v>24</v>
      </c>
      <c r="Q641" s="51" t="s">
        <v>949</v>
      </c>
      <c r="R641" s="51" t="s">
        <v>649</v>
      </c>
      <c r="S641" s="50" t="s">
        <v>950</v>
      </c>
      <c r="U641" s="52" t="s">
        <v>671</v>
      </c>
      <c r="V641" s="55"/>
      <c r="W641" s="52" t="s">
        <v>1124</v>
      </c>
      <c r="Y641" s="52" t="s">
        <v>4448</v>
      </c>
      <c r="AB641" s="51" t="s">
        <v>4441</v>
      </c>
      <c r="AC641" s="51" t="s">
        <v>3890</v>
      </c>
      <c r="AD641" s="51" t="s">
        <v>710</v>
      </c>
      <c r="AE641" s="51" t="s">
        <v>949</v>
      </c>
      <c r="AF641" s="51" t="s">
        <v>896</v>
      </c>
      <c r="AG641" s="50" t="s">
        <v>950</v>
      </c>
      <c r="AI641" s="52" t="s">
        <v>901</v>
      </c>
      <c r="AK641" s="52" t="s">
        <v>4362</v>
      </c>
      <c r="AP641" s="51" t="s">
        <v>4442</v>
      </c>
      <c r="AQ641" s="51" t="s">
        <v>3891</v>
      </c>
      <c r="AR641" s="51" t="s">
        <v>4444</v>
      </c>
      <c r="AS641" s="51" t="s">
        <v>949</v>
      </c>
      <c r="AT641" s="51" t="s">
        <v>1580</v>
      </c>
      <c r="AU641" s="50" t="s">
        <v>950</v>
      </c>
      <c r="AW641" s="52" t="s">
        <v>4460</v>
      </c>
      <c r="AY641" s="52" t="s">
        <v>4363</v>
      </c>
    </row>
    <row r="642" spans="1:54" x14ac:dyDescent="0.25">
      <c r="A642" s="51" t="s">
        <v>3813</v>
      </c>
      <c r="B642" s="51">
        <v>25</v>
      </c>
      <c r="E642" s="54" t="str" cm="1">
        <f t="array" aca="1" ref="E642" ca="1">IF(H642=0,"",HYPERLINK("#"&amp;RIGHT(CELL("dateiname"),LEN(CELL("dateiname"))-FIND("]",CELL("dateiname")))&amp;"!"&amp;CELL("adresse",OFFSET($Q$6,H642-1,0)),"Definition"))</f>
        <v/>
      </c>
      <c r="F642" s="54" t="str" cm="1">
        <f t="array" aca="1" ref="F642" ca="1">IF(I642=0,"",HYPERLINK("#"&amp;RIGHT(CELL("adresse",OFFSET(DMAV_Doku!$B$6,I642-1,0)),LEN(CELL("adresse",OFFSET(DMAV_Doku!$B$6,I642-1,0)))-SEARCH("]",CELL("adresse",OFFSET(DMAV_Doku!$B$6,I642-1,0)))),"ModDoc"))</f>
        <v>ModDoc</v>
      </c>
      <c r="G642" s="150" t="str">
        <f t="shared" si="18"/>
        <v>MGA25</v>
      </c>
      <c r="H642" s="150">
        <f t="shared" si="19"/>
        <v>0</v>
      </c>
      <c r="I642" s="150">
        <f>IF(_xlfn.XLOOKUP(G642,Korrelation!$A$4:$A$723,Korrelation!$B$4:$B$723,0,0)=0,0,MATCH(_xlfn.XLOOKUP(G642,Korrelation!$A$4:$A$723,Korrelation!$B$4:$B$723,0,0),DMAV_Doku!$H$6:$H$483,0))</f>
        <v>462</v>
      </c>
      <c r="J642" s="158"/>
      <c r="K642" s="161"/>
      <c r="L642" s="161"/>
      <c r="M642" s="158"/>
      <c r="N642" s="51" t="s">
        <v>4440</v>
      </c>
      <c r="O642" s="51" t="s">
        <v>3889</v>
      </c>
      <c r="P642" s="51" t="s">
        <v>24</v>
      </c>
      <c r="Q642" s="51" t="s">
        <v>949</v>
      </c>
      <c r="R642" s="51" t="s">
        <v>649</v>
      </c>
      <c r="S642" s="50" t="s">
        <v>950</v>
      </c>
      <c r="U642" s="52" t="s">
        <v>666</v>
      </c>
      <c r="W642" s="52" t="s">
        <v>131</v>
      </c>
      <c r="Y642" s="52" t="s">
        <v>4448</v>
      </c>
      <c r="AB642" s="51" t="s">
        <v>4441</v>
      </c>
      <c r="AC642" s="51" t="s">
        <v>3890</v>
      </c>
      <c r="AD642" s="51" t="s">
        <v>710</v>
      </c>
      <c r="AE642" s="51" t="s">
        <v>949</v>
      </c>
      <c r="AF642" s="51" t="s">
        <v>896</v>
      </c>
      <c r="AG642" s="50" t="s">
        <v>950</v>
      </c>
      <c r="AI642" s="52" t="s">
        <v>899</v>
      </c>
      <c r="AK642" s="52" t="s">
        <v>131</v>
      </c>
      <c r="AP642" s="51" t="s">
        <v>4442</v>
      </c>
      <c r="AQ642" s="51" t="s">
        <v>3891</v>
      </c>
      <c r="AR642" s="51" t="s">
        <v>4444</v>
      </c>
      <c r="AS642" s="51" t="s">
        <v>949</v>
      </c>
      <c r="AT642" s="51" t="s">
        <v>1580</v>
      </c>
      <c r="AU642" s="50" t="s">
        <v>950</v>
      </c>
      <c r="AW642" s="52" t="s">
        <v>4461</v>
      </c>
      <c r="AY642" s="52" t="s">
        <v>131</v>
      </c>
    </row>
    <row r="643" spans="1:54" x14ac:dyDescent="0.25">
      <c r="A643" s="51" t="s">
        <v>3813</v>
      </c>
      <c r="B643" s="51">
        <v>26</v>
      </c>
      <c r="E643" s="54" t="str" cm="1">
        <f t="array" aca="1" ref="E643" ca="1">IF(H643=0,"",HYPERLINK("#"&amp;RIGHT(CELL("dateiname"),LEN(CELL("dateiname"))-FIND("]",CELL("dateiname")))&amp;"!"&amp;CELL("adresse",OFFSET($Q$6,H643-1,0)),"Definition"))</f>
        <v/>
      </c>
      <c r="F643" s="54" t="str" cm="1">
        <f t="array" aca="1" ref="F643" ca="1">IF(I643=0,"",HYPERLINK("#"&amp;RIGHT(CELL("adresse",OFFSET(DMAV_Doku!$B$6,I643-1,0)),LEN(CELL("adresse",OFFSET(DMAV_Doku!$B$6,I643-1,0)))-SEARCH("]",CELL("adresse",OFFSET(DMAV_Doku!$B$6,I643-1,0)))),"ModDoc"))</f>
        <v>ModDoc</v>
      </c>
      <c r="G643" s="150" t="str">
        <f t="shared" si="18"/>
        <v>MGA26</v>
      </c>
      <c r="H643" s="150">
        <f t="shared" si="19"/>
        <v>0</v>
      </c>
      <c r="I643" s="150">
        <f>IF(_xlfn.XLOOKUP(G643,Korrelation!$A$4:$A$723,Korrelation!$B$4:$B$723,0,0)=0,0,MATCH(_xlfn.XLOOKUP(G643,Korrelation!$A$4:$A$723,Korrelation!$B$4:$B$723,0,0),DMAV_Doku!$H$6:$H$483,0))</f>
        <v>457</v>
      </c>
      <c r="J643" s="158"/>
      <c r="K643" s="161"/>
      <c r="L643" s="161"/>
      <c r="M643" s="158"/>
      <c r="N643" s="51" t="s">
        <v>4440</v>
      </c>
      <c r="O643" s="51" t="s">
        <v>3889</v>
      </c>
      <c r="P643" s="51" t="s">
        <v>24</v>
      </c>
      <c r="Q643" s="51" t="s">
        <v>949</v>
      </c>
      <c r="R643" s="51" t="s">
        <v>649</v>
      </c>
      <c r="S643" s="50" t="s">
        <v>950</v>
      </c>
      <c r="U643" s="52" t="s">
        <v>593</v>
      </c>
      <c r="W643" s="52" t="s">
        <v>2787</v>
      </c>
      <c r="Y643" s="52" t="s">
        <v>4448</v>
      </c>
      <c r="AB643" s="51" t="s">
        <v>4441</v>
      </c>
      <c r="AC643" s="51" t="s">
        <v>3890</v>
      </c>
      <c r="AD643" s="51" t="s">
        <v>710</v>
      </c>
      <c r="AE643" s="51" t="s">
        <v>949</v>
      </c>
      <c r="AF643" s="51" t="s">
        <v>896</v>
      </c>
      <c r="AG643" s="50" t="s">
        <v>950</v>
      </c>
      <c r="AI643" s="52" t="s">
        <v>884</v>
      </c>
      <c r="AK643" s="52" t="s">
        <v>4462</v>
      </c>
      <c r="AP643" s="51" t="s">
        <v>4442</v>
      </c>
      <c r="AQ643" s="51" t="s">
        <v>3891</v>
      </c>
      <c r="AR643" s="51" t="s">
        <v>4444</v>
      </c>
      <c r="AS643" s="51" t="s">
        <v>949</v>
      </c>
      <c r="AT643" s="51" t="s">
        <v>1580</v>
      </c>
      <c r="AU643" s="50" t="s">
        <v>950</v>
      </c>
      <c r="AW643" s="52" t="s">
        <v>4463</v>
      </c>
      <c r="AY643" s="52" t="s">
        <v>4464</v>
      </c>
    </row>
    <row r="644" spans="1:54" ht="25.5" x14ac:dyDescent="0.25">
      <c r="A644" s="51" t="s">
        <v>3813</v>
      </c>
      <c r="B644" s="51">
        <v>27</v>
      </c>
      <c r="E644" s="54" t="str" cm="1">
        <f t="array" aca="1" ref="E644" ca="1">IF(H644=0,"",HYPERLINK("#"&amp;RIGHT(CELL("dateiname"),LEN(CELL("dateiname"))-FIND("]",CELL("dateiname")))&amp;"!"&amp;CELL("adresse",OFFSET($Q$6,H644-1,0)),"Definition"))</f>
        <v/>
      </c>
      <c r="F644" s="54" t="str" cm="1">
        <f t="array" aca="1" ref="F644" ca="1">IF(I644=0,"",HYPERLINK("#"&amp;RIGHT(CELL("adresse",OFFSET(DMAV_Doku!$B$6,I644-1,0)),LEN(CELL("adresse",OFFSET(DMAV_Doku!$B$6,I644-1,0)))-SEARCH("]",CELL("adresse",OFFSET(DMAV_Doku!$B$6,I644-1,0)))),"ModDoc"))</f>
        <v>ModDoc</v>
      </c>
      <c r="G644" s="150" t="str">
        <f t="shared" si="18"/>
        <v>MGA27</v>
      </c>
      <c r="H644" s="150">
        <f t="shared" si="19"/>
        <v>0</v>
      </c>
      <c r="I644" s="150">
        <f>IF(_xlfn.XLOOKUP(G644,Korrelation!$A$4:$A$723,Korrelation!$B$4:$B$723,0,0)=0,0,MATCH(_xlfn.XLOOKUP(G644,Korrelation!$A$4:$A$723,Korrelation!$B$4:$B$723,0,0),DMAV_Doku!$H$6:$H$483,0))</f>
        <v>458</v>
      </c>
      <c r="J644" s="158"/>
      <c r="K644" s="161"/>
      <c r="L644" s="161"/>
      <c r="M644" s="158"/>
      <c r="N644" s="51" t="s">
        <v>4440</v>
      </c>
      <c r="O644" s="51" t="s">
        <v>3889</v>
      </c>
      <c r="P644" s="51" t="s">
        <v>24</v>
      </c>
      <c r="Q644" s="51" t="s">
        <v>949</v>
      </c>
      <c r="R644" s="51" t="s">
        <v>649</v>
      </c>
      <c r="S644" s="50" t="s">
        <v>950</v>
      </c>
      <c r="U644" s="52" t="s">
        <v>600</v>
      </c>
      <c r="W644" s="52" t="s">
        <v>2788</v>
      </c>
      <c r="Y644" s="52" t="s">
        <v>4448</v>
      </c>
      <c r="AB644" s="51" t="s">
        <v>4441</v>
      </c>
      <c r="AC644" s="51" t="s">
        <v>3890</v>
      </c>
      <c r="AD644" s="51" t="s">
        <v>710</v>
      </c>
      <c r="AE644" s="51" t="s">
        <v>949</v>
      </c>
      <c r="AF644" s="51" t="s">
        <v>896</v>
      </c>
      <c r="AG644" s="50" t="s">
        <v>950</v>
      </c>
      <c r="AI644" s="52" t="s">
        <v>885</v>
      </c>
      <c r="AK644" s="52" t="s">
        <v>4465</v>
      </c>
      <c r="AP644" s="51" t="s">
        <v>4442</v>
      </c>
      <c r="AQ644" s="51" t="s">
        <v>3891</v>
      </c>
      <c r="AR644" s="51" t="s">
        <v>4444</v>
      </c>
      <c r="AS644" s="51" t="s">
        <v>949</v>
      </c>
      <c r="AT644" s="51" t="s">
        <v>1580</v>
      </c>
      <c r="AU644" s="50" t="s">
        <v>950</v>
      </c>
      <c r="AW644" s="52" t="s">
        <v>4466</v>
      </c>
      <c r="AY644" s="52" t="s">
        <v>4467</v>
      </c>
    </row>
    <row r="645" spans="1:54" ht="25.5" x14ac:dyDescent="0.25">
      <c r="A645" s="51" t="s">
        <v>3813</v>
      </c>
      <c r="B645" s="51">
        <v>28</v>
      </c>
      <c r="E645" s="54" t="str" cm="1">
        <f t="array" aca="1" ref="E645" ca="1">IF(H645=0,"",HYPERLINK("#"&amp;RIGHT(CELL("dateiname"),LEN(CELL("dateiname"))-FIND("]",CELL("dateiname")))&amp;"!"&amp;CELL("adresse",OFFSET($Q$6,H645-1,0)),"Definition"))</f>
        <v/>
      </c>
      <c r="F645" s="54" t="str" cm="1">
        <f t="array" aca="1" ref="F645" ca="1">IF(I645=0,"",HYPERLINK("#"&amp;RIGHT(CELL("adresse",OFFSET(DMAV_Doku!$B$6,I645-1,0)),LEN(CELL("adresse",OFFSET(DMAV_Doku!$B$6,I645-1,0)))-SEARCH("]",CELL("adresse",OFFSET(DMAV_Doku!$B$6,I645-1,0)))),"ModDoc"))</f>
        <v>ModDoc</v>
      </c>
      <c r="G645" s="150" t="str">
        <f t="shared" si="18"/>
        <v>MGA28</v>
      </c>
      <c r="H645" s="150">
        <f t="shared" si="19"/>
        <v>0</v>
      </c>
      <c r="I645" s="150">
        <f>IF(_xlfn.XLOOKUP(G645,Korrelation!$A$4:$A$723,Korrelation!$B$4:$B$723,0,0)=0,0,MATCH(_xlfn.XLOOKUP(G645,Korrelation!$A$4:$A$723,Korrelation!$B$4:$B$723,0,0),DMAV_Doku!$H$6:$H$483,0))</f>
        <v>465</v>
      </c>
      <c r="J645" s="158"/>
      <c r="K645" s="161"/>
      <c r="L645" s="161"/>
      <c r="M645" s="158"/>
      <c r="N645" s="51" t="s">
        <v>4440</v>
      </c>
      <c r="O645" s="51" t="s">
        <v>3889</v>
      </c>
      <c r="P645" s="51" t="s">
        <v>24</v>
      </c>
      <c r="Q645" s="51" t="s">
        <v>949</v>
      </c>
      <c r="R645" s="51" t="s">
        <v>649</v>
      </c>
      <c r="U645" s="52" t="s">
        <v>674</v>
      </c>
      <c r="W645" s="52" t="s">
        <v>675</v>
      </c>
      <c r="Y645" s="52" t="s">
        <v>4468</v>
      </c>
      <c r="AB645" s="51" t="s">
        <v>4441</v>
      </c>
      <c r="AC645" s="51" t="s">
        <v>3890</v>
      </c>
      <c r="AD645" s="51" t="s">
        <v>710</v>
      </c>
      <c r="AE645" s="51" t="s">
        <v>949</v>
      </c>
      <c r="AF645" s="51" t="s">
        <v>896</v>
      </c>
      <c r="AI645" s="52" t="s">
        <v>674</v>
      </c>
      <c r="AK645" s="52" t="s">
        <v>675</v>
      </c>
      <c r="AP645" s="51" t="s">
        <v>4442</v>
      </c>
      <c r="AQ645" s="51" t="s">
        <v>3891</v>
      </c>
      <c r="AR645" s="51" t="s">
        <v>4444</v>
      </c>
      <c r="AS645" s="51" t="s">
        <v>949</v>
      </c>
      <c r="AT645" s="51" t="s">
        <v>1580</v>
      </c>
      <c r="AW645" s="52" t="s">
        <v>674</v>
      </c>
      <c r="AY645" s="52" t="s">
        <v>675</v>
      </c>
    </row>
    <row r="646" spans="1:54" x14ac:dyDescent="0.25">
      <c r="A646" s="51" t="s">
        <v>3813</v>
      </c>
      <c r="B646" s="51">
        <v>29</v>
      </c>
      <c r="C646" s="51" t="s">
        <v>3863</v>
      </c>
      <c r="E646" s="54" t="str" cm="1">
        <f t="array" aca="1" ref="E646" ca="1">IF(H646=0,"",HYPERLINK("#"&amp;RIGHT(CELL("dateiname"),LEN(CELL("dateiname"))-FIND("]",CELL("dateiname")))&amp;"!"&amp;CELL("adresse",OFFSET($Q$6,H646-1,0)),"Definition"))</f>
        <v>Definition</v>
      </c>
      <c r="F646" s="54" t="str" cm="1">
        <f t="array" aca="1" ref="F646" ca="1">IF(I646=0,"",HYPERLINK("#"&amp;RIGHT(CELL("adresse",OFFSET(DMAV_Doku!$B$6,I646-1,0)),LEN(CELL("adresse",OFFSET(DMAV_Doku!$B$6,I646-1,0)))-SEARCH("]",CELL("adresse",OFFSET(DMAV_Doku!$B$6,I646-1,0)))),"ModDoc"))</f>
        <v>ModDoc</v>
      </c>
      <c r="G646" s="150" t="str">
        <f t="shared" si="18"/>
        <v>MGA29</v>
      </c>
      <c r="H646" s="150">
        <f t="shared" si="19"/>
        <v>625</v>
      </c>
      <c r="I646" s="150">
        <f>IF(_xlfn.XLOOKUP(G646,Korrelation!$A$4:$A$723,Korrelation!$B$4:$B$723,0,0)=0,0,MATCH(_xlfn.XLOOKUP(G646,Korrelation!$A$4:$A$723,Korrelation!$B$4:$B$723,0,0),DMAV_Doku!$H$6:$H$483,0))</f>
        <v>456</v>
      </c>
      <c r="J646" s="158"/>
      <c r="K646" s="161"/>
      <c r="L646" s="161"/>
      <c r="M646" s="158"/>
      <c r="N646" s="51" t="s">
        <v>4440</v>
      </c>
      <c r="O646" s="51" t="s">
        <v>3889</v>
      </c>
      <c r="P646" s="51" t="s">
        <v>24</v>
      </c>
      <c r="Q646" s="51" t="s">
        <v>949</v>
      </c>
      <c r="R646" s="51" t="s">
        <v>649</v>
      </c>
      <c r="U646" s="52" t="s">
        <v>636</v>
      </c>
      <c r="V646" s="52" t="s">
        <v>3546</v>
      </c>
      <c r="W646" s="52" t="s">
        <v>1171</v>
      </c>
      <c r="Y646" s="52" t="s">
        <v>4448</v>
      </c>
      <c r="AB646" s="51" t="s">
        <v>4441</v>
      </c>
      <c r="AC646" s="51" t="s">
        <v>3890</v>
      </c>
      <c r="AD646" s="51" t="s">
        <v>710</v>
      </c>
      <c r="AE646" s="51" t="s">
        <v>949</v>
      </c>
      <c r="AF646" s="51" t="s">
        <v>896</v>
      </c>
      <c r="AI646" s="52" t="s">
        <v>892</v>
      </c>
      <c r="AJ646" s="51" t="s">
        <v>3546</v>
      </c>
      <c r="AK646" s="52" t="s">
        <v>892</v>
      </c>
      <c r="AP646" s="51" t="s">
        <v>4442</v>
      </c>
      <c r="AQ646" s="51" t="s">
        <v>3891</v>
      </c>
      <c r="AR646" s="51" t="s">
        <v>4444</v>
      </c>
      <c r="AS646" s="51" t="s">
        <v>949</v>
      </c>
      <c r="AT646" s="51" t="s">
        <v>1580</v>
      </c>
      <c r="AW646" s="52" t="s">
        <v>4451</v>
      </c>
      <c r="AX646" s="51" t="s">
        <v>3546</v>
      </c>
      <c r="AY646" s="52" t="s">
        <v>4451</v>
      </c>
    </row>
    <row r="647" spans="1:54" x14ac:dyDescent="0.25">
      <c r="A647" s="51" t="s">
        <v>3813</v>
      </c>
      <c r="B647" s="51">
        <v>30</v>
      </c>
      <c r="C647" s="51" t="s">
        <v>3864</v>
      </c>
      <c r="E647" s="54" t="str" cm="1">
        <f t="array" aca="1" ref="E647" ca="1">IF(H647=0,"",HYPERLINK("#"&amp;RIGHT(CELL("dateiname"),LEN(CELL("dateiname"))-FIND("]",CELL("dateiname")))&amp;"!"&amp;CELL("adresse",OFFSET($Q$6,H647-1,0)),"Definition"))</f>
        <v>Definition</v>
      </c>
      <c r="F647" s="54" t="str" cm="1">
        <f t="array" aca="1" ref="F647" ca="1">IF(I647=0,"",HYPERLINK("#"&amp;RIGHT(CELL("adresse",OFFSET(DMAV_Doku!$B$6,I647-1,0)),LEN(CELL("adresse",OFFSET(DMAV_Doku!$B$6,I647-1,0)))-SEARCH("]",CELL("adresse",OFFSET(DMAV_Doku!$B$6,I647-1,0)))),"ModDoc"))</f>
        <v>ModDoc</v>
      </c>
      <c r="G647" s="150" t="str">
        <f t="shared" ref="G647:G677" si="20">A647&amp;B647</f>
        <v>MGA30</v>
      </c>
      <c r="H647" s="150">
        <f t="shared" ref="H647:H677" si="21">IF(C647="",0,MATCH(C647,$G$6:$G$677,0))</f>
        <v>630</v>
      </c>
      <c r="I647" s="150">
        <f>IF(_xlfn.XLOOKUP(G647,Korrelation!$A$4:$A$723,Korrelation!$B$4:$B$723,0,0)=0,0,MATCH(_xlfn.XLOOKUP(G647,Korrelation!$A$4:$A$723,Korrelation!$B$4:$B$723,0,0),DMAV_Doku!$H$6:$H$483,0))</f>
        <v>460</v>
      </c>
      <c r="J647" s="158"/>
      <c r="K647" s="161"/>
      <c r="L647" s="161"/>
      <c r="M647" s="158"/>
      <c r="N647" s="51" t="s">
        <v>4440</v>
      </c>
      <c r="O647" s="51" t="s">
        <v>3889</v>
      </c>
      <c r="P647" s="51" t="s">
        <v>24</v>
      </c>
      <c r="Q647" s="51" t="s">
        <v>949</v>
      </c>
      <c r="R647" s="51" t="s">
        <v>649</v>
      </c>
      <c r="U647" s="52" t="s">
        <v>598</v>
      </c>
      <c r="V647" s="52" t="s">
        <v>3471</v>
      </c>
      <c r="W647" s="52" t="s">
        <v>598</v>
      </c>
      <c r="Y647" s="52" t="s">
        <v>4448</v>
      </c>
      <c r="AB647" s="51" t="s">
        <v>4441</v>
      </c>
      <c r="AC647" s="51" t="s">
        <v>3890</v>
      </c>
      <c r="AD647" s="51" t="s">
        <v>710</v>
      </c>
      <c r="AE647" s="51" t="s">
        <v>949</v>
      </c>
      <c r="AF647" s="51" t="s">
        <v>896</v>
      </c>
      <c r="AI647" s="52" t="s">
        <v>887</v>
      </c>
      <c r="AJ647" s="51" t="s">
        <v>3471</v>
      </c>
      <c r="AK647" s="52" t="s">
        <v>887</v>
      </c>
      <c r="AP647" s="51" t="s">
        <v>4442</v>
      </c>
      <c r="AQ647" s="51" t="s">
        <v>3891</v>
      </c>
      <c r="AR647" s="51" t="s">
        <v>4444</v>
      </c>
      <c r="AS647" s="51" t="s">
        <v>949</v>
      </c>
      <c r="AT647" s="51" t="s">
        <v>1580</v>
      </c>
      <c r="AW647" s="52" t="s">
        <v>4454</v>
      </c>
      <c r="AX647" s="51" t="s">
        <v>3471</v>
      </c>
      <c r="AY647" s="52" t="s">
        <v>4454</v>
      </c>
    </row>
    <row r="648" spans="1:54" x14ac:dyDescent="0.25">
      <c r="A648" s="51" t="s">
        <v>3813</v>
      </c>
      <c r="B648" s="51">
        <v>31</v>
      </c>
      <c r="C648" s="51" t="s">
        <v>3865</v>
      </c>
      <c r="E648" s="54" t="str" cm="1">
        <f t="array" aca="1" ref="E648" ca="1">IF(H648=0,"",HYPERLINK("#"&amp;RIGHT(CELL("dateiname"),LEN(CELL("dateiname"))-FIND("]",CELL("dateiname")))&amp;"!"&amp;CELL("adresse",OFFSET($Q$6,H648-1,0)),"Definition"))</f>
        <v>Definition</v>
      </c>
      <c r="F648" s="54" t="str" cm="1">
        <f t="array" aca="1" ref="F648" ca="1">IF(I648=0,"",HYPERLINK("#"&amp;RIGHT(CELL("adresse",OFFSET(DMAV_Doku!$B$6,I648-1,0)),LEN(CELL("adresse",OFFSET(DMAV_Doku!$B$6,I648-1,0)))-SEARCH("]",CELL("adresse",OFFSET(DMAV_Doku!$B$6,I648-1,0)))),"ModDoc"))</f>
        <v>ModDoc</v>
      </c>
      <c r="G648" s="150" t="str">
        <f t="shared" si="20"/>
        <v>MGA31</v>
      </c>
      <c r="H648" s="150">
        <f t="shared" si="21"/>
        <v>631</v>
      </c>
      <c r="I648" s="150">
        <f>IF(_xlfn.XLOOKUP(G648,Korrelation!$A$4:$A$723,Korrelation!$B$4:$B$723,0,0)=0,0,MATCH(_xlfn.XLOOKUP(G648,Korrelation!$A$4:$A$723,Korrelation!$B$4:$B$723,0,0),DMAV_Doku!$H$6:$H$483,0))</f>
        <v>459</v>
      </c>
      <c r="J648" s="158"/>
      <c r="K648" s="161"/>
      <c r="L648" s="161"/>
      <c r="M648" s="158"/>
      <c r="N648" s="51" t="s">
        <v>4440</v>
      </c>
      <c r="O648" s="51" t="s">
        <v>3889</v>
      </c>
      <c r="P648" s="51" t="s">
        <v>24</v>
      </c>
      <c r="Q648" s="51" t="s">
        <v>949</v>
      </c>
      <c r="R648" s="51" t="s">
        <v>649</v>
      </c>
      <c r="U648" s="52" t="s">
        <v>642</v>
      </c>
      <c r="W648" s="52" t="s">
        <v>642</v>
      </c>
      <c r="Y648" s="52" t="s">
        <v>4448</v>
      </c>
      <c r="AB648" s="51" t="s">
        <v>4441</v>
      </c>
      <c r="AC648" s="51" t="s">
        <v>3890</v>
      </c>
      <c r="AD648" s="51" t="s">
        <v>710</v>
      </c>
      <c r="AE648" s="51" t="s">
        <v>949</v>
      </c>
      <c r="AF648" s="51" t="s">
        <v>896</v>
      </c>
      <c r="AI648" s="52" t="s">
        <v>894</v>
      </c>
      <c r="AK648" s="52" t="s">
        <v>894</v>
      </c>
      <c r="AP648" s="51" t="s">
        <v>4442</v>
      </c>
      <c r="AQ648" s="51" t="s">
        <v>3891</v>
      </c>
      <c r="AR648" s="51" t="s">
        <v>4444</v>
      </c>
      <c r="AS648" s="51" t="s">
        <v>949</v>
      </c>
      <c r="AT648" s="51" t="s">
        <v>1580</v>
      </c>
      <c r="AW648" s="52" t="s">
        <v>4455</v>
      </c>
      <c r="AY648" s="52" t="s">
        <v>4455</v>
      </c>
    </row>
    <row r="649" spans="1:54" ht="51" x14ac:dyDescent="0.25">
      <c r="A649" s="51" t="s">
        <v>3813</v>
      </c>
      <c r="B649" s="51">
        <v>32</v>
      </c>
      <c r="D649" s="51" t="s">
        <v>3549</v>
      </c>
      <c r="E649" s="54" t="str" cm="1">
        <f t="array" aca="1" ref="E649" ca="1">IF(H649=0,"",HYPERLINK("#"&amp;RIGHT(CELL("dateiname"),LEN(CELL("dateiname"))-FIND("]",CELL("dateiname")))&amp;"!"&amp;CELL("adresse",OFFSET($Q$6,H649-1,0)),"Definition"))</f>
        <v/>
      </c>
      <c r="F649" s="54" t="str" cm="1">
        <f t="array" aca="1" ref="F649" ca="1">IF(I649=0,"",HYPERLINK("#"&amp;RIGHT(CELL("adresse",OFFSET(DMAV_Doku!$B$6,I649-1,0)),LEN(CELL("adresse",OFFSET(DMAV_Doku!$B$6,I649-1,0)))-SEARCH("]",CELL("adresse",OFFSET(DMAV_Doku!$B$6,I649-1,0)))),"ModDoc"))</f>
        <v/>
      </c>
      <c r="G649" s="150" t="str">
        <f t="shared" si="20"/>
        <v>MGA32</v>
      </c>
      <c r="H649" s="150">
        <f t="shared" si="21"/>
        <v>0</v>
      </c>
      <c r="I649" s="150">
        <f>IF(_xlfn.XLOOKUP(G649,Korrelation!$A$4:$A$723,Korrelation!$B$4:$B$723,0,0)=0,0,MATCH(_xlfn.XLOOKUP(G649,Korrelation!$A$4:$A$723,Korrelation!$B$4:$B$723,0,0),DMAV_Doku!$H$6:$H$483,0))</f>
        <v>0</v>
      </c>
      <c r="J649" s="158"/>
      <c r="K649" s="161"/>
      <c r="L649" s="161"/>
      <c r="M649" s="158"/>
      <c r="N649" s="51" t="s">
        <v>4440</v>
      </c>
      <c r="O649" s="51" t="s">
        <v>3889</v>
      </c>
      <c r="P649" s="51" t="s">
        <v>24</v>
      </c>
      <c r="Q649" s="51" t="s">
        <v>957</v>
      </c>
      <c r="R649" s="51" t="s">
        <v>649</v>
      </c>
      <c r="S649" s="50" t="s">
        <v>950</v>
      </c>
      <c r="U649" s="52" t="s">
        <v>3547</v>
      </c>
      <c r="W649" s="52" t="s">
        <v>3548</v>
      </c>
      <c r="Y649" s="52" t="s">
        <v>4448</v>
      </c>
      <c r="Z649" s="202" t="s">
        <v>5656</v>
      </c>
      <c r="AB649" s="51" t="s">
        <v>4441</v>
      </c>
      <c r="AC649" s="51" t="s">
        <v>3890</v>
      </c>
      <c r="AD649" s="51" t="s">
        <v>710</v>
      </c>
      <c r="AE649" s="51" t="s">
        <v>957</v>
      </c>
      <c r="AF649" s="51" t="s">
        <v>896</v>
      </c>
      <c r="AG649" s="50" t="s">
        <v>950</v>
      </c>
      <c r="AI649" s="52" t="s">
        <v>4469</v>
      </c>
      <c r="AK649" s="52" t="s">
        <v>4470</v>
      </c>
      <c r="AN649" s="202" t="s">
        <v>7254</v>
      </c>
      <c r="AP649" s="51" t="s">
        <v>4442</v>
      </c>
      <c r="AQ649" s="51" t="s">
        <v>3891</v>
      </c>
      <c r="AR649" s="51" t="s">
        <v>4444</v>
      </c>
      <c r="AS649" s="51" t="s">
        <v>957</v>
      </c>
      <c r="AT649" s="51" t="s">
        <v>1580</v>
      </c>
      <c r="AU649" s="50" t="s">
        <v>950</v>
      </c>
      <c r="AW649" s="52" t="s">
        <v>4471</v>
      </c>
      <c r="AY649" s="52" t="s">
        <v>4472</v>
      </c>
      <c r="BB649" s="202" t="s">
        <v>6039</v>
      </c>
    </row>
    <row r="650" spans="1:54" ht="38.25" x14ac:dyDescent="0.25">
      <c r="A650" s="51" t="s">
        <v>3813</v>
      </c>
      <c r="B650" s="51">
        <v>33</v>
      </c>
      <c r="D650" s="51" t="s">
        <v>3552</v>
      </c>
      <c r="E650" s="54" t="str" cm="1">
        <f t="array" aca="1" ref="E650" ca="1">IF(H650=0,"",HYPERLINK("#"&amp;RIGHT(CELL("dateiname"),LEN(CELL("dateiname"))-FIND("]",CELL("dateiname")))&amp;"!"&amp;CELL("adresse",OFFSET($Q$6,H650-1,0)),"Definition"))</f>
        <v/>
      </c>
      <c r="F650" s="54" t="str" cm="1">
        <f t="array" aca="1" ref="F650" ca="1">IF(I650=0,"",HYPERLINK("#"&amp;RIGHT(CELL("adresse",OFFSET(DMAV_Doku!$B$6,I650-1,0)),LEN(CELL("adresse",OFFSET(DMAV_Doku!$B$6,I650-1,0)))-SEARCH("]",CELL("adresse",OFFSET(DMAV_Doku!$B$6,I650-1,0)))),"ModDoc"))</f>
        <v/>
      </c>
      <c r="G650" s="150" t="str">
        <f t="shared" si="20"/>
        <v>MGA33</v>
      </c>
      <c r="H650" s="150">
        <f t="shared" si="21"/>
        <v>0</v>
      </c>
      <c r="I650" s="150">
        <f>IF(_xlfn.XLOOKUP(G650,Korrelation!$A$4:$A$723,Korrelation!$B$4:$B$723,0,0)=0,0,MATCH(_xlfn.XLOOKUP(G650,Korrelation!$A$4:$A$723,Korrelation!$B$4:$B$723,0,0),DMAV_Doku!$H$6:$H$483,0))</f>
        <v>0</v>
      </c>
      <c r="J650" s="158"/>
      <c r="K650" s="161"/>
      <c r="L650" s="161"/>
      <c r="M650" s="158"/>
      <c r="N650" s="51" t="s">
        <v>4440</v>
      </c>
      <c r="O650" s="51" t="s">
        <v>3889</v>
      </c>
      <c r="P650" s="51" t="s">
        <v>24</v>
      </c>
      <c r="Q650" s="51" t="s">
        <v>957</v>
      </c>
      <c r="R650" s="51" t="s">
        <v>649</v>
      </c>
      <c r="S650" s="50" t="s">
        <v>950</v>
      </c>
      <c r="U650" s="52" t="s">
        <v>3550</v>
      </c>
      <c r="W650" s="52" t="s">
        <v>3551</v>
      </c>
      <c r="Y650" s="52" t="s">
        <v>4448</v>
      </c>
      <c r="Z650" s="202" t="s">
        <v>5655</v>
      </c>
      <c r="AB650" s="51" t="s">
        <v>4441</v>
      </c>
      <c r="AC650" s="51" t="s">
        <v>3890</v>
      </c>
      <c r="AD650" s="51" t="s">
        <v>710</v>
      </c>
      <c r="AE650" s="51" t="s">
        <v>957</v>
      </c>
      <c r="AF650" s="51" t="s">
        <v>896</v>
      </c>
      <c r="AG650" s="50" t="s">
        <v>950</v>
      </c>
      <c r="AI650" s="52" t="s">
        <v>4473</v>
      </c>
      <c r="AK650" s="52" t="s">
        <v>4474</v>
      </c>
      <c r="AN650" s="202" t="s">
        <v>7255</v>
      </c>
      <c r="AP650" s="51" t="s">
        <v>4442</v>
      </c>
      <c r="AQ650" s="51" t="s">
        <v>3891</v>
      </c>
      <c r="AR650" s="51" t="s">
        <v>4444</v>
      </c>
      <c r="AS650" s="51" t="s">
        <v>957</v>
      </c>
      <c r="AT650" s="51" t="s">
        <v>1580</v>
      </c>
      <c r="AU650" s="50" t="s">
        <v>950</v>
      </c>
      <c r="AW650" s="52" t="s">
        <v>4473</v>
      </c>
      <c r="AY650" s="52" t="s">
        <v>4475</v>
      </c>
      <c r="BB650" s="202" t="s">
        <v>6040</v>
      </c>
    </row>
    <row r="651" spans="1:54" x14ac:dyDescent="0.25">
      <c r="A651" s="51" t="s">
        <v>3813</v>
      </c>
      <c r="B651" s="51">
        <v>34</v>
      </c>
      <c r="E651" s="54" t="str" cm="1">
        <f t="array" aca="1" ref="E651" ca="1">IF(H651=0,"",HYPERLINK("#"&amp;RIGHT(CELL("dateiname"),LEN(CELL("dateiname"))-FIND("]",CELL("dateiname")))&amp;"!"&amp;CELL("adresse",OFFSET($Q$6,H651-1,0)),"Definition"))</f>
        <v/>
      </c>
      <c r="F651" s="54" t="str" cm="1">
        <f t="array" aca="1" ref="F651" ca="1">IF(I651=0,"",HYPERLINK("#"&amp;RIGHT(CELL("adresse",OFFSET(DMAV_Doku!$B$6,I651-1,0)),LEN(CELL("adresse",OFFSET(DMAV_Doku!$B$6,I651-1,0)))-SEARCH("]",CELL("adresse",OFFSET(DMAV_Doku!$B$6,I651-1,0)))),"ModDoc"))</f>
        <v/>
      </c>
      <c r="G651" s="150" t="str">
        <f t="shared" si="20"/>
        <v>MGA34</v>
      </c>
      <c r="H651" s="150">
        <f t="shared" si="21"/>
        <v>0</v>
      </c>
      <c r="I651" s="150">
        <f>IF(_xlfn.XLOOKUP(G651,Korrelation!$A$4:$A$723,Korrelation!$B$4:$B$723,0,0)=0,0,MATCH(_xlfn.XLOOKUP(G651,Korrelation!$A$4:$A$723,Korrelation!$B$4:$B$723,0,0),DMAV_Doku!$H$6:$H$483,0))</f>
        <v>0</v>
      </c>
      <c r="J651" s="158"/>
      <c r="K651" s="161"/>
      <c r="L651" s="161"/>
      <c r="M651" s="158"/>
      <c r="N651" s="51" t="s">
        <v>4440</v>
      </c>
      <c r="O651" s="51" t="s">
        <v>3889</v>
      </c>
      <c r="P651" s="51" t="s">
        <v>24</v>
      </c>
      <c r="Q651" s="51" t="s">
        <v>967</v>
      </c>
      <c r="R651" s="51" t="s">
        <v>1175</v>
      </c>
      <c r="U651" s="52" t="s">
        <v>969</v>
      </c>
      <c r="V651" s="55"/>
      <c r="W651" s="52" t="s">
        <v>648</v>
      </c>
      <c r="X651" s="51" t="s">
        <v>970</v>
      </c>
      <c r="Y651" s="52" t="s">
        <v>4448</v>
      </c>
      <c r="AB651" s="51" t="s">
        <v>4441</v>
      </c>
      <c r="AC651" s="51" t="s">
        <v>3890</v>
      </c>
      <c r="AD651" s="51" t="s">
        <v>710</v>
      </c>
      <c r="AE651" s="51" t="s">
        <v>967</v>
      </c>
      <c r="AF651" s="51" t="s">
        <v>4476</v>
      </c>
      <c r="AI651" s="52" t="s">
        <v>1319</v>
      </c>
      <c r="AK651" s="52" t="s">
        <v>895</v>
      </c>
      <c r="AL651" s="51" t="s">
        <v>970</v>
      </c>
      <c r="AP651" s="51" t="s">
        <v>4442</v>
      </c>
      <c r="AQ651" s="51" t="s">
        <v>3891</v>
      </c>
      <c r="AR651" s="51" t="s">
        <v>4444</v>
      </c>
      <c r="AS651" s="51" t="s">
        <v>967</v>
      </c>
      <c r="AT651" s="51" t="s">
        <v>4477</v>
      </c>
      <c r="AW651" s="52" t="s">
        <v>1319</v>
      </c>
      <c r="AY651" s="52" t="s">
        <v>4449</v>
      </c>
      <c r="AZ651" s="51" t="s">
        <v>970</v>
      </c>
    </row>
    <row r="652" spans="1:54" x14ac:dyDescent="0.25">
      <c r="A652" s="51" t="s">
        <v>3813</v>
      </c>
      <c r="B652" s="51">
        <v>35</v>
      </c>
      <c r="E652" s="54" t="str" cm="1">
        <f t="array" aca="1" ref="E652" ca="1">IF(H652=0,"",HYPERLINK("#"&amp;RIGHT(CELL("dateiname"),LEN(CELL("dateiname"))-FIND("]",CELL("dateiname")))&amp;"!"&amp;CELL("adresse",OFFSET($Q$6,H652-1,0)),"Definition"))</f>
        <v/>
      </c>
      <c r="F652" s="54" t="str" cm="1">
        <f t="array" aca="1" ref="F652" ca="1">IF(I652=0,"",HYPERLINK("#"&amp;RIGHT(CELL("adresse",OFFSET(DMAV_Doku!$B$6,I652-1,0)),LEN(CELL("adresse",OFFSET(DMAV_Doku!$B$6,I652-1,0)))-SEARCH("]",CELL("adresse",OFFSET(DMAV_Doku!$B$6,I652-1,0)))),"ModDoc"))</f>
        <v/>
      </c>
      <c r="G652" s="150" t="str">
        <f t="shared" si="20"/>
        <v>MGA35</v>
      </c>
      <c r="H652" s="150">
        <f t="shared" si="21"/>
        <v>0</v>
      </c>
      <c r="I652" s="150">
        <f>IF(_xlfn.XLOOKUP(G652,Korrelation!$A$4:$A$723,Korrelation!$B$4:$B$723,0,0)=0,0,MATCH(_xlfn.XLOOKUP(G652,Korrelation!$A$4:$A$723,Korrelation!$B$4:$B$723,0,0),DMAV_Doku!$H$6:$H$483,0))</f>
        <v>0</v>
      </c>
      <c r="J652" s="158"/>
      <c r="K652" s="161"/>
      <c r="L652" s="161"/>
      <c r="M652" s="158"/>
      <c r="N652" s="51" t="s">
        <v>4440</v>
      </c>
      <c r="O652" s="51" t="s">
        <v>3889</v>
      </c>
      <c r="P652" s="51" t="s">
        <v>24</v>
      </c>
      <c r="Q652" s="51" t="s">
        <v>967</v>
      </c>
      <c r="R652" s="51" t="s">
        <v>1175</v>
      </c>
      <c r="U652" s="52" t="s">
        <v>1176</v>
      </c>
      <c r="V652" s="55"/>
      <c r="W652" s="52" t="s">
        <v>649</v>
      </c>
      <c r="X652" s="51" t="s">
        <v>972</v>
      </c>
      <c r="Y652" s="52" t="s">
        <v>4448</v>
      </c>
      <c r="AB652" s="51" t="s">
        <v>4441</v>
      </c>
      <c r="AC652" s="51" t="s">
        <v>3890</v>
      </c>
      <c r="AD652" s="51" t="s">
        <v>710</v>
      </c>
      <c r="AE652" s="51" t="s">
        <v>967</v>
      </c>
      <c r="AF652" s="51" t="s">
        <v>4476</v>
      </c>
      <c r="AI652" s="52" t="s">
        <v>4478</v>
      </c>
      <c r="AK652" s="52" t="s">
        <v>896</v>
      </c>
      <c r="AL652" s="51" t="s">
        <v>972</v>
      </c>
      <c r="AP652" s="51" t="s">
        <v>4442</v>
      </c>
      <c r="AQ652" s="51" t="s">
        <v>3891</v>
      </c>
      <c r="AR652" s="51" t="s">
        <v>4444</v>
      </c>
      <c r="AS652" s="51" t="s">
        <v>967</v>
      </c>
      <c r="AT652" s="51" t="s">
        <v>4477</v>
      </c>
      <c r="AW652" s="52" t="s">
        <v>4479</v>
      </c>
      <c r="AY652" s="52" t="s">
        <v>1580</v>
      </c>
      <c r="AZ652" s="51" t="s">
        <v>972</v>
      </c>
    </row>
    <row r="653" spans="1:54" x14ac:dyDescent="0.25">
      <c r="A653" s="51" t="s">
        <v>3813</v>
      </c>
      <c r="B653" s="51">
        <v>36</v>
      </c>
      <c r="E653" s="54" t="str" cm="1">
        <f t="array" aca="1" ref="E653" ca="1">IF(H653=0,"",HYPERLINK("#"&amp;RIGHT(CELL("dateiname"),LEN(CELL("dateiname"))-FIND("]",CELL("dateiname")))&amp;"!"&amp;CELL("adresse",OFFSET($Q$6,H653-1,0)),"Definition"))</f>
        <v/>
      </c>
      <c r="F653" s="54" t="str" cm="1">
        <f t="array" aca="1" ref="F653" ca="1">IF(I653=0,"",HYPERLINK("#"&amp;RIGHT(CELL("adresse",OFFSET(DMAV_Doku!$B$6,I653-1,0)),LEN(CELL("adresse",OFFSET(DMAV_Doku!$B$6,I653-1,0)))-SEARCH("]",CELL("adresse",OFFSET(DMAV_Doku!$B$6,I653-1,0)))),"ModDoc"))</f>
        <v>ModDoc</v>
      </c>
      <c r="G653" s="150" t="str">
        <f t="shared" si="20"/>
        <v>MGA36</v>
      </c>
      <c r="H653" s="150">
        <f t="shared" si="21"/>
        <v>0</v>
      </c>
      <c r="I653" s="150">
        <f>IF(_xlfn.XLOOKUP(G653,Korrelation!$A$4:$A$723,Korrelation!$B$4:$B$723,0,0)=0,0,MATCH(_xlfn.XLOOKUP(G653,Korrelation!$A$4:$A$723,Korrelation!$B$4:$B$723,0,0),DMAV_Doku!$H$6:$H$483,0))</f>
        <v>438</v>
      </c>
      <c r="J653" s="158"/>
      <c r="K653" s="161"/>
      <c r="L653" s="161"/>
      <c r="M653" s="158"/>
      <c r="N653" s="51" t="s">
        <v>4440</v>
      </c>
      <c r="O653" s="51" t="s">
        <v>3889</v>
      </c>
      <c r="P653" s="51" t="s">
        <v>24</v>
      </c>
      <c r="Q653" s="51" t="s">
        <v>1067</v>
      </c>
      <c r="R653" s="51" t="s">
        <v>1182</v>
      </c>
      <c r="S653" s="50" t="s">
        <v>950</v>
      </c>
      <c r="U653" s="52" t="s">
        <v>5</v>
      </c>
      <c r="W653" s="52" t="s">
        <v>964</v>
      </c>
      <c r="Y653" s="52" t="s">
        <v>4448</v>
      </c>
      <c r="AB653" s="51" t="s">
        <v>4441</v>
      </c>
      <c r="AC653" s="51" t="s">
        <v>3890</v>
      </c>
      <c r="AD653" s="51" t="s">
        <v>710</v>
      </c>
      <c r="AE653" s="51" t="s">
        <v>1067</v>
      </c>
      <c r="AF653" s="51" t="s">
        <v>889</v>
      </c>
      <c r="AG653" s="50" t="s">
        <v>950</v>
      </c>
      <c r="AI653" s="52" t="s">
        <v>702</v>
      </c>
      <c r="AK653" s="52" t="s">
        <v>964</v>
      </c>
      <c r="AP653" s="51" t="s">
        <v>4442</v>
      </c>
      <c r="AQ653" s="51" t="s">
        <v>3891</v>
      </c>
      <c r="AR653" s="51" t="s">
        <v>4444</v>
      </c>
      <c r="AS653" s="51" t="s">
        <v>1067</v>
      </c>
      <c r="AT653" s="51" t="s">
        <v>4480</v>
      </c>
      <c r="AU653" s="50" t="s">
        <v>950</v>
      </c>
      <c r="AW653" s="52" t="s">
        <v>1700</v>
      </c>
      <c r="AY653" s="52" t="s">
        <v>964</v>
      </c>
    </row>
    <row r="654" spans="1:54" x14ac:dyDescent="0.25">
      <c r="A654" s="51" t="s">
        <v>3813</v>
      </c>
      <c r="B654" s="51">
        <v>37</v>
      </c>
      <c r="E654" s="54" t="str" cm="1">
        <f t="array" aca="1" ref="E654" ca="1">IF(H654=0,"",HYPERLINK("#"&amp;RIGHT(CELL("dateiname"),LEN(CELL("dateiname"))-FIND("]",CELL("dateiname")))&amp;"!"&amp;CELL("adresse",OFFSET($Q$6,H654-1,0)),"Definition"))</f>
        <v/>
      </c>
      <c r="F654" s="54" t="str" cm="1">
        <f t="array" aca="1" ref="F654" ca="1">IF(I654=0,"",HYPERLINK("#"&amp;RIGHT(CELL("adresse",OFFSET(DMAV_Doku!$B$6,I654-1,0)),LEN(CELL("adresse",OFFSET(DMAV_Doku!$B$6,I654-1,0)))-SEARCH("]",CELL("adresse",OFFSET(DMAV_Doku!$B$6,I654-1,0)))),"ModDoc"))</f>
        <v>ModDoc</v>
      </c>
      <c r="G654" s="150" t="str">
        <f t="shared" si="20"/>
        <v>MGA37</v>
      </c>
      <c r="H654" s="150">
        <f t="shared" si="21"/>
        <v>0</v>
      </c>
      <c r="I654" s="150">
        <f>IF(_xlfn.XLOOKUP(G654,Korrelation!$A$4:$A$723,Korrelation!$B$4:$B$723,0,0)=0,0,MATCH(_xlfn.XLOOKUP(G654,Korrelation!$A$4:$A$723,Korrelation!$B$4:$B$723,0,0),DMAV_Doku!$H$6:$H$483,0))</f>
        <v>439</v>
      </c>
      <c r="J654" s="158"/>
      <c r="K654" s="161"/>
      <c r="L654" s="161"/>
      <c r="M654" s="158"/>
      <c r="N654" s="51" t="s">
        <v>4440</v>
      </c>
      <c r="O654" s="51" t="s">
        <v>3889</v>
      </c>
      <c r="P654" s="51" t="s">
        <v>24</v>
      </c>
      <c r="Q654" s="51" t="s">
        <v>1067</v>
      </c>
      <c r="R654" s="51" t="s">
        <v>1182</v>
      </c>
      <c r="U654" s="52" t="s">
        <v>628</v>
      </c>
      <c r="W654" s="52" t="s">
        <v>1172</v>
      </c>
      <c r="Y654" s="52" t="s">
        <v>4448</v>
      </c>
      <c r="AB654" s="51" t="s">
        <v>4441</v>
      </c>
      <c r="AC654" s="51" t="s">
        <v>3890</v>
      </c>
      <c r="AD654" s="51" t="s">
        <v>710</v>
      </c>
      <c r="AE654" s="51" t="s">
        <v>1067</v>
      </c>
      <c r="AF654" s="51" t="s">
        <v>889</v>
      </c>
      <c r="AI654" s="52" t="s">
        <v>890</v>
      </c>
      <c r="AK654" s="52" t="s">
        <v>1172</v>
      </c>
      <c r="AP654" s="51" t="s">
        <v>4442</v>
      </c>
      <c r="AQ654" s="51" t="s">
        <v>3891</v>
      </c>
      <c r="AR654" s="51" t="s">
        <v>4444</v>
      </c>
      <c r="AS654" s="51" t="s">
        <v>1067</v>
      </c>
      <c r="AT654" s="51" t="s">
        <v>4480</v>
      </c>
      <c r="AW654" s="52" t="s">
        <v>4452</v>
      </c>
      <c r="AY654" s="52" t="s">
        <v>1172</v>
      </c>
    </row>
    <row r="655" spans="1:54" x14ac:dyDescent="0.25">
      <c r="A655" s="51" t="s">
        <v>3813</v>
      </c>
      <c r="B655" s="51">
        <v>38</v>
      </c>
      <c r="E655" s="54" t="str" cm="1">
        <f t="array" aca="1" ref="E655" ca="1">IF(H655=0,"",HYPERLINK("#"&amp;RIGHT(CELL("dateiname"),LEN(CELL("dateiname"))-FIND("]",CELL("dateiname")))&amp;"!"&amp;CELL("adresse",OFFSET($Q$6,H655-1,0)),"Definition"))</f>
        <v/>
      </c>
      <c r="F655" s="54" t="str" cm="1">
        <f t="array" aca="1" ref="F655" ca="1">IF(I655=0,"",HYPERLINK("#"&amp;RIGHT(CELL("adresse",OFFSET(DMAV_Doku!$B$6,I655-1,0)),LEN(CELL("adresse",OFFSET(DMAV_Doku!$B$6,I655-1,0)))-SEARCH("]",CELL("adresse",OFFSET(DMAV_Doku!$B$6,I655-1,0)))),"ModDoc"))</f>
        <v>ModDoc</v>
      </c>
      <c r="G655" s="150" t="str">
        <f t="shared" si="20"/>
        <v>MGA38</v>
      </c>
      <c r="H655" s="150">
        <f t="shared" si="21"/>
        <v>0</v>
      </c>
      <c r="I655" s="150">
        <f>IF(_xlfn.XLOOKUP(G655,Korrelation!$A$4:$A$723,Korrelation!$B$4:$B$723,0,0)=0,0,MATCH(_xlfn.XLOOKUP(G655,Korrelation!$A$4:$A$723,Korrelation!$B$4:$B$723,0,0),DMAV_Doku!$H$6:$H$483,0))</f>
        <v>440</v>
      </c>
      <c r="J655" s="158"/>
      <c r="K655" s="161"/>
      <c r="L655" s="161"/>
      <c r="M655" s="158"/>
      <c r="N655" s="51" t="s">
        <v>4440</v>
      </c>
      <c r="O655" s="51" t="s">
        <v>3889</v>
      </c>
      <c r="P655" s="51" t="s">
        <v>24</v>
      </c>
      <c r="Q655" s="51" t="s">
        <v>1067</v>
      </c>
      <c r="R655" s="51" t="s">
        <v>1182</v>
      </c>
      <c r="U655" s="52" t="s">
        <v>631</v>
      </c>
      <c r="W655" s="52" t="s">
        <v>1173</v>
      </c>
      <c r="Y655" s="52" t="s">
        <v>4448</v>
      </c>
      <c r="AB655" s="51" t="s">
        <v>4441</v>
      </c>
      <c r="AC655" s="51" t="s">
        <v>3890</v>
      </c>
      <c r="AD655" s="51" t="s">
        <v>710</v>
      </c>
      <c r="AE655" s="51" t="s">
        <v>1067</v>
      </c>
      <c r="AF655" s="51" t="s">
        <v>889</v>
      </c>
      <c r="AI655" s="52" t="s">
        <v>891</v>
      </c>
      <c r="AK655" s="52" t="s">
        <v>1173</v>
      </c>
      <c r="AP655" s="51" t="s">
        <v>4442</v>
      </c>
      <c r="AQ655" s="51" t="s">
        <v>3891</v>
      </c>
      <c r="AR655" s="51" t="s">
        <v>4444</v>
      </c>
      <c r="AS655" s="51" t="s">
        <v>1067</v>
      </c>
      <c r="AT655" s="51" t="s">
        <v>4480</v>
      </c>
      <c r="AW655" s="52" t="s">
        <v>4453</v>
      </c>
      <c r="AY655" s="52" t="s">
        <v>1173</v>
      </c>
    </row>
    <row r="656" spans="1:54" x14ac:dyDescent="0.25">
      <c r="A656" s="51" t="s">
        <v>3813</v>
      </c>
      <c r="B656" s="51">
        <v>39</v>
      </c>
      <c r="C656" s="51" t="s">
        <v>3862</v>
      </c>
      <c r="E656" s="54" t="str" cm="1">
        <f t="array" aca="1" ref="E656" ca="1">IF(H656=0,"",HYPERLINK("#"&amp;RIGHT(CELL("dateiname"),LEN(CELL("dateiname"))-FIND("]",CELL("dateiname")))&amp;"!"&amp;CELL("adresse",OFFSET($Q$6,H656-1,0)),"Definition"))</f>
        <v>Definition</v>
      </c>
      <c r="F656" s="54" t="str" cm="1">
        <f t="array" aca="1" ref="F656" ca="1">IF(I656=0,"",HYPERLINK("#"&amp;RIGHT(CELL("adresse",OFFSET(DMAV_Doku!$B$6,I656-1,0)),LEN(CELL("adresse",OFFSET(DMAV_Doku!$B$6,I656-1,0)))-SEARCH("]",CELL("adresse",OFFSET(DMAV_Doku!$B$6,I656-1,0)))),"ModDoc"))</f>
        <v>ModDoc</v>
      </c>
      <c r="G656" s="150" t="str">
        <f t="shared" si="20"/>
        <v>MGA39</v>
      </c>
      <c r="H656" s="150">
        <f t="shared" si="21"/>
        <v>616</v>
      </c>
      <c r="I656" s="150">
        <f>IF(_xlfn.XLOOKUP(G656,Korrelation!$A$4:$A$723,Korrelation!$B$4:$B$723,0,0)=0,0,MATCH(_xlfn.XLOOKUP(G656,Korrelation!$A$4:$A$723,Korrelation!$B$4:$B$723,0,0),DMAV_Doku!$H$6:$H$483,0))</f>
        <v>441</v>
      </c>
      <c r="J656" s="158"/>
      <c r="K656" s="161"/>
      <c r="L656" s="161"/>
      <c r="M656" s="158"/>
      <c r="N656" s="51" t="s">
        <v>4440</v>
      </c>
      <c r="O656" s="51" t="s">
        <v>3889</v>
      </c>
      <c r="P656" s="51" t="s">
        <v>24</v>
      </c>
      <c r="Q656" s="51" t="s">
        <v>1067</v>
      </c>
      <c r="R656" s="51" t="s">
        <v>1182</v>
      </c>
      <c r="S656" s="50" t="s">
        <v>950</v>
      </c>
      <c r="U656" s="52" t="s">
        <v>611</v>
      </c>
      <c r="W656" s="52" t="s">
        <v>611</v>
      </c>
      <c r="Y656" s="52" t="s">
        <v>4448</v>
      </c>
      <c r="AB656" s="51" t="s">
        <v>4441</v>
      </c>
      <c r="AC656" s="51" t="s">
        <v>3890</v>
      </c>
      <c r="AD656" s="51" t="s">
        <v>710</v>
      </c>
      <c r="AE656" s="51" t="s">
        <v>1067</v>
      </c>
      <c r="AF656" s="51" t="s">
        <v>889</v>
      </c>
      <c r="AG656" s="50" t="s">
        <v>950</v>
      </c>
      <c r="AI656" s="52" t="s">
        <v>886</v>
      </c>
      <c r="AK656" s="52" t="s">
        <v>886</v>
      </c>
      <c r="AP656" s="51" t="s">
        <v>4442</v>
      </c>
      <c r="AQ656" s="51" t="s">
        <v>3891</v>
      </c>
      <c r="AR656" s="51" t="s">
        <v>4444</v>
      </c>
      <c r="AS656" s="51" t="s">
        <v>1067</v>
      </c>
      <c r="AT656" s="51" t="s">
        <v>4480</v>
      </c>
      <c r="AU656" s="50" t="s">
        <v>950</v>
      </c>
      <c r="AW656" s="52" t="s">
        <v>1426</v>
      </c>
      <c r="AY656" s="52" t="s">
        <v>1426</v>
      </c>
    </row>
    <row r="657" spans="1:51" x14ac:dyDescent="0.25">
      <c r="A657" s="51" t="s">
        <v>3813</v>
      </c>
      <c r="B657" s="51">
        <v>40</v>
      </c>
      <c r="C657" s="51" t="s">
        <v>3838</v>
      </c>
      <c r="E657" s="54" t="str" cm="1">
        <f t="array" aca="1" ref="E657" ca="1">IF(H657=0,"",HYPERLINK("#"&amp;RIGHT(CELL("dateiname"),LEN(CELL("dateiname"))-FIND("]",CELL("dateiname")))&amp;"!"&amp;CELL("adresse",OFFSET($Q$6,H657-1,0)),"Definition"))</f>
        <v>Definition</v>
      </c>
      <c r="F657" s="54" t="str" cm="1">
        <f t="array" aca="1" ref="F657" ca="1">IF(I657=0,"",HYPERLINK("#"&amp;RIGHT(CELL("adresse",OFFSET(DMAV_Doku!$B$6,I657-1,0)),LEN(CELL("adresse",OFFSET(DMAV_Doku!$B$6,I657-1,0)))-SEARCH("]",CELL("adresse",OFFSET(DMAV_Doku!$B$6,I657-1,0)))),"ModDoc"))</f>
        <v>ModDoc</v>
      </c>
      <c r="G657" s="150" t="str">
        <f t="shared" si="20"/>
        <v>MGA40</v>
      </c>
      <c r="H657" s="150">
        <f t="shared" si="21"/>
        <v>26</v>
      </c>
      <c r="I657" s="150">
        <f>IF(_xlfn.XLOOKUP(G657,Korrelation!$A$4:$A$723,Korrelation!$B$4:$B$723,0,0)=0,0,MATCH(_xlfn.XLOOKUP(G657,Korrelation!$A$4:$A$723,Korrelation!$B$4:$B$723,0,0),DMAV_Doku!$H$6:$H$483,0))</f>
        <v>442</v>
      </c>
      <c r="J657" s="158"/>
      <c r="K657" s="161"/>
      <c r="L657" s="161"/>
      <c r="M657" s="158"/>
      <c r="N657" s="51" t="s">
        <v>4440</v>
      </c>
      <c r="O657" s="51" t="s">
        <v>3889</v>
      </c>
      <c r="P657" s="51" t="s">
        <v>24</v>
      </c>
      <c r="Q657" s="51" t="s">
        <v>1067</v>
      </c>
      <c r="R657" s="51" t="s">
        <v>1182</v>
      </c>
      <c r="U657" s="52" t="s">
        <v>77</v>
      </c>
      <c r="V657" s="52" t="s">
        <v>3471</v>
      </c>
      <c r="W657" s="52" t="s">
        <v>3472</v>
      </c>
      <c r="Y657" s="52" t="s">
        <v>4448</v>
      </c>
      <c r="AB657" s="51" t="s">
        <v>4441</v>
      </c>
      <c r="AC657" s="51" t="s">
        <v>3890</v>
      </c>
      <c r="AD657" s="51" t="s">
        <v>710</v>
      </c>
      <c r="AE657" s="51" t="s">
        <v>1067</v>
      </c>
      <c r="AF657" s="51" t="s">
        <v>889</v>
      </c>
      <c r="AI657" s="52" t="s">
        <v>729</v>
      </c>
      <c r="AJ657" s="51" t="s">
        <v>3471</v>
      </c>
      <c r="AK657" s="52" t="s">
        <v>4036</v>
      </c>
      <c r="AP657" s="51" t="s">
        <v>4442</v>
      </c>
      <c r="AQ657" s="51" t="s">
        <v>3891</v>
      </c>
      <c r="AR657" s="51" t="s">
        <v>4444</v>
      </c>
      <c r="AS657" s="51" t="s">
        <v>1067</v>
      </c>
      <c r="AT657" s="51" t="s">
        <v>4480</v>
      </c>
      <c r="AW657" s="52" t="s">
        <v>3933</v>
      </c>
      <c r="AX657" s="51" t="s">
        <v>3471</v>
      </c>
      <c r="AY657" s="52" t="s">
        <v>4037</v>
      </c>
    </row>
    <row r="658" spans="1:51" x14ac:dyDescent="0.25">
      <c r="A658" s="51" t="s">
        <v>3813</v>
      </c>
      <c r="B658" s="51">
        <v>41</v>
      </c>
      <c r="E658" s="54" t="str" cm="1">
        <f t="array" aca="1" ref="E658" ca="1">IF(H658=0,"",HYPERLINK("#"&amp;RIGHT(CELL("dateiname"),LEN(CELL("dateiname"))-FIND("]",CELL("dateiname")))&amp;"!"&amp;CELL("adresse",OFFSET($Q$6,H658-1,0)),"Definition"))</f>
        <v/>
      </c>
      <c r="F658" s="54" t="str" cm="1">
        <f t="array" aca="1" ref="F658" ca="1">IF(I658=0,"",HYPERLINK("#"&amp;RIGHT(CELL("adresse",OFFSET(DMAV_Doku!$B$6,I658-1,0)),LEN(CELL("adresse",OFFSET(DMAV_Doku!$B$6,I658-1,0)))-SEARCH("]",CELL("adresse",OFFSET(DMAV_Doku!$B$6,I658-1,0)))),"ModDoc"))</f>
        <v>ModDoc</v>
      </c>
      <c r="G658" s="150" t="str">
        <f t="shared" si="20"/>
        <v>MGA41</v>
      </c>
      <c r="H658" s="150">
        <f t="shared" si="21"/>
        <v>0</v>
      </c>
      <c r="I658" s="150">
        <f>IF(_xlfn.XLOOKUP(G658,Korrelation!$A$4:$A$723,Korrelation!$B$4:$B$723,0,0)=0,0,MATCH(_xlfn.XLOOKUP(G658,Korrelation!$A$4:$A$723,Korrelation!$B$4:$B$723,0,0),DMAV_Doku!$H$6:$H$483,0))</f>
        <v>436</v>
      </c>
      <c r="J658" s="158"/>
      <c r="K658" s="161"/>
      <c r="L658" s="161"/>
      <c r="M658" s="158"/>
      <c r="N658" s="51" t="s">
        <v>4440</v>
      </c>
      <c r="O658" s="51" t="s">
        <v>3889</v>
      </c>
      <c r="P658" s="51" t="s">
        <v>24</v>
      </c>
      <c r="Q658" s="51" t="s">
        <v>1067</v>
      </c>
      <c r="R658" s="51" t="s">
        <v>1183</v>
      </c>
      <c r="S658" s="50" t="s">
        <v>950</v>
      </c>
      <c r="U658" s="52" t="s">
        <v>101</v>
      </c>
      <c r="W658" s="52" t="s">
        <v>1184</v>
      </c>
      <c r="Y658" s="52" t="s">
        <v>4448</v>
      </c>
      <c r="AB658" s="51" t="s">
        <v>4441</v>
      </c>
      <c r="AC658" s="51" t="s">
        <v>3890</v>
      </c>
      <c r="AD658" s="51" t="s">
        <v>710</v>
      </c>
      <c r="AE658" s="51" t="s">
        <v>1067</v>
      </c>
      <c r="AF658" s="51" t="s">
        <v>888</v>
      </c>
      <c r="AG658" s="50" t="s">
        <v>950</v>
      </c>
      <c r="AI658" s="52" t="s">
        <v>735</v>
      </c>
      <c r="AK658" s="52" t="s">
        <v>1184</v>
      </c>
      <c r="AP658" s="51" t="s">
        <v>4442</v>
      </c>
      <c r="AQ658" s="51" t="s">
        <v>3891</v>
      </c>
      <c r="AR658" s="51" t="s">
        <v>4444</v>
      </c>
      <c r="AS658" s="51" t="s">
        <v>1067</v>
      </c>
      <c r="AT658" s="51" t="s">
        <v>4481</v>
      </c>
      <c r="AU658" s="50" t="s">
        <v>950</v>
      </c>
      <c r="AW658" s="52" t="s">
        <v>1294</v>
      </c>
      <c r="AY658" s="52" t="s">
        <v>1184</v>
      </c>
    </row>
    <row r="659" spans="1:51" x14ac:dyDescent="0.25">
      <c r="A659" s="51" t="s">
        <v>3813</v>
      </c>
      <c r="B659" s="51">
        <v>42</v>
      </c>
      <c r="C659" s="51" t="s">
        <v>3862</v>
      </c>
      <c r="E659" s="54" t="str" cm="1">
        <f t="array" aca="1" ref="E659" ca="1">IF(H659=0,"",HYPERLINK("#"&amp;RIGHT(CELL("dateiname"),LEN(CELL("dateiname"))-FIND("]",CELL("dateiname")))&amp;"!"&amp;CELL("adresse",OFFSET($Q$6,H659-1,0)),"Definition"))</f>
        <v>Definition</v>
      </c>
      <c r="F659" s="54" t="str" cm="1">
        <f t="array" aca="1" ref="F659" ca="1">IF(I659=0,"",HYPERLINK("#"&amp;RIGHT(CELL("adresse",OFFSET(DMAV_Doku!$B$6,I659-1,0)),LEN(CELL("adresse",OFFSET(DMAV_Doku!$B$6,I659-1,0)))-SEARCH("]",CELL("adresse",OFFSET(DMAV_Doku!$B$6,I659-1,0)))),"ModDoc"))</f>
        <v>ModDoc</v>
      </c>
      <c r="G659" s="150" t="str">
        <f t="shared" si="20"/>
        <v>MGA42</v>
      </c>
      <c r="H659" s="150">
        <f t="shared" si="21"/>
        <v>616</v>
      </c>
      <c r="I659" s="150">
        <f>IF(_xlfn.XLOOKUP(G659,Korrelation!$A$4:$A$723,Korrelation!$B$4:$B$723,0,0)=0,0,MATCH(_xlfn.XLOOKUP(G659,Korrelation!$A$4:$A$723,Korrelation!$B$4:$B$723,0,0),DMAV_Doku!$H$6:$H$483,0))</f>
        <v>437</v>
      </c>
      <c r="J659" s="158"/>
      <c r="K659" s="161"/>
      <c r="L659" s="161"/>
      <c r="M659" s="158"/>
      <c r="N659" s="51" t="s">
        <v>4440</v>
      </c>
      <c r="O659" s="51" t="s">
        <v>3889</v>
      </c>
      <c r="P659" s="51" t="s">
        <v>24</v>
      </c>
      <c r="Q659" s="51" t="s">
        <v>1067</v>
      </c>
      <c r="R659" s="51" t="s">
        <v>1183</v>
      </c>
      <c r="S659" s="50" t="s">
        <v>950</v>
      </c>
      <c r="U659" s="52" t="s">
        <v>611</v>
      </c>
      <c r="W659" s="52" t="s">
        <v>611</v>
      </c>
      <c r="Y659" s="52" t="s">
        <v>4448</v>
      </c>
      <c r="AB659" s="51" t="s">
        <v>4441</v>
      </c>
      <c r="AC659" s="51" t="s">
        <v>3890</v>
      </c>
      <c r="AD659" s="51" t="s">
        <v>710</v>
      </c>
      <c r="AE659" s="51" t="s">
        <v>1067</v>
      </c>
      <c r="AF659" s="51" t="s">
        <v>888</v>
      </c>
      <c r="AG659" s="50" t="s">
        <v>950</v>
      </c>
      <c r="AI659" s="52" t="s">
        <v>886</v>
      </c>
      <c r="AK659" s="52" t="s">
        <v>886</v>
      </c>
      <c r="AP659" s="51" t="s">
        <v>4442</v>
      </c>
      <c r="AQ659" s="51" t="s">
        <v>3891</v>
      </c>
      <c r="AR659" s="51" t="s">
        <v>4444</v>
      </c>
      <c r="AS659" s="51" t="s">
        <v>1067</v>
      </c>
      <c r="AT659" s="51" t="s">
        <v>4481</v>
      </c>
      <c r="AU659" s="50" t="s">
        <v>950</v>
      </c>
      <c r="AW659" s="52" t="s">
        <v>1426</v>
      </c>
      <c r="AY659" s="52" t="s">
        <v>1426</v>
      </c>
    </row>
    <row r="660" spans="1:51" x14ac:dyDescent="0.25">
      <c r="A660" s="51" t="s">
        <v>3813</v>
      </c>
      <c r="B660" s="51">
        <v>43</v>
      </c>
      <c r="C660" s="51" t="s">
        <v>3847</v>
      </c>
      <c r="E660" s="54" t="str" cm="1">
        <f t="array" aca="1" ref="E660" ca="1">IF(H660=0,"",HYPERLINK("#"&amp;RIGHT(CELL("dateiname"),LEN(CELL("dateiname"))-FIND("]",CELL("dateiname")))&amp;"!"&amp;CELL("adresse",OFFSET($Q$6,H660-1,0)),"Definition"))</f>
        <v>Definition</v>
      </c>
      <c r="F660" s="54" t="str" cm="1">
        <f t="array" aca="1" ref="F660" ca="1">IF(I660=0,"",HYPERLINK("#"&amp;RIGHT(CELL("adresse",OFFSET(DMAV_Doku!$B$6,I660-1,0)),LEN(CELL("adresse",OFFSET(DMAV_Doku!$B$6,I660-1,0)))-SEARCH("]",CELL("adresse",OFFSET(DMAV_Doku!$B$6,I660-1,0)))),"ModDoc"))</f>
        <v>ModDoc</v>
      </c>
      <c r="G660" s="150" t="str">
        <f t="shared" si="20"/>
        <v>MGA43</v>
      </c>
      <c r="H660" s="150">
        <f t="shared" si="21"/>
        <v>36</v>
      </c>
      <c r="I660" s="150">
        <f>IF(_xlfn.XLOOKUP(G660,Korrelation!$A$4:$A$723,Korrelation!$B$4:$B$723,0,0)=0,0,MATCH(_xlfn.XLOOKUP(G660,Korrelation!$A$4:$A$723,Korrelation!$B$4:$B$723,0,0),DMAV_Doku!$H$6:$H$483,0))</f>
        <v>469</v>
      </c>
      <c r="J660" s="158"/>
      <c r="K660" s="161"/>
      <c r="L660" s="161"/>
      <c r="M660" s="158"/>
      <c r="N660" s="51" t="s">
        <v>4440</v>
      </c>
      <c r="O660" s="51" t="s">
        <v>3889</v>
      </c>
      <c r="P660" s="51" t="s">
        <v>24</v>
      </c>
      <c r="Q660" s="51" t="s">
        <v>949</v>
      </c>
      <c r="R660" s="51" t="s">
        <v>677</v>
      </c>
      <c r="S660" s="50" t="s">
        <v>950</v>
      </c>
      <c r="U660" s="52" t="s">
        <v>683</v>
      </c>
      <c r="W660" s="52" t="s">
        <v>1124</v>
      </c>
      <c r="Y660" s="52" t="s">
        <v>4448</v>
      </c>
      <c r="AB660" s="51" t="s">
        <v>4441</v>
      </c>
      <c r="AC660" s="51" t="s">
        <v>3890</v>
      </c>
      <c r="AD660" s="51" t="s">
        <v>710</v>
      </c>
      <c r="AE660" s="51" t="s">
        <v>949</v>
      </c>
      <c r="AF660" s="51" t="s">
        <v>902</v>
      </c>
      <c r="AG660" s="50" t="s">
        <v>950</v>
      </c>
      <c r="AI660" s="52" t="s">
        <v>904</v>
      </c>
      <c r="AK660" s="52" t="s">
        <v>4362</v>
      </c>
      <c r="AP660" s="51" t="s">
        <v>4442</v>
      </c>
      <c r="AQ660" s="51" t="s">
        <v>3891</v>
      </c>
      <c r="AR660" s="51" t="s">
        <v>4444</v>
      </c>
      <c r="AS660" s="51" t="s">
        <v>949</v>
      </c>
      <c r="AT660" s="51" t="s">
        <v>4482</v>
      </c>
      <c r="AU660" s="50" t="s">
        <v>950</v>
      </c>
      <c r="AW660" s="52" t="s">
        <v>4483</v>
      </c>
      <c r="AY660" s="52" t="s">
        <v>4363</v>
      </c>
    </row>
    <row r="661" spans="1:51" x14ac:dyDescent="0.25">
      <c r="A661" s="51" t="s">
        <v>3813</v>
      </c>
      <c r="B661" s="51">
        <v>44</v>
      </c>
      <c r="E661" s="54" t="str" cm="1">
        <f t="array" aca="1" ref="E661" ca="1">IF(H661=0,"",HYPERLINK("#"&amp;RIGHT(CELL("dateiname"),LEN(CELL("dateiname"))-FIND("]",CELL("dateiname")))&amp;"!"&amp;CELL("adresse",OFFSET($Q$6,H661-1,0)),"Definition"))</f>
        <v/>
      </c>
      <c r="F661" s="54" t="str" cm="1">
        <f t="array" aca="1" ref="F661" ca="1">IF(I661=0,"",HYPERLINK("#"&amp;RIGHT(CELL("adresse",OFFSET(DMAV_Doku!$B$6,I661-1,0)),LEN(CELL("adresse",OFFSET(DMAV_Doku!$B$6,I661-1,0)))-SEARCH("]",CELL("adresse",OFFSET(DMAV_Doku!$B$6,I661-1,0)))),"ModDoc"))</f>
        <v>ModDoc</v>
      </c>
      <c r="G661" s="150" t="str">
        <f t="shared" si="20"/>
        <v>MGA44</v>
      </c>
      <c r="H661" s="150">
        <f t="shared" si="21"/>
        <v>0</v>
      </c>
      <c r="I661" s="150">
        <f>IF(_xlfn.XLOOKUP(G661,Korrelation!$A$4:$A$723,Korrelation!$B$4:$B$723,0,0)=0,0,MATCH(_xlfn.XLOOKUP(G661,Korrelation!$A$4:$A$723,Korrelation!$B$4:$B$723,0,0),DMAV_Doku!$H$6:$H$483,0))</f>
        <v>474</v>
      </c>
      <c r="J661" s="158"/>
      <c r="K661" s="161"/>
      <c r="L661" s="161"/>
      <c r="M661" s="158"/>
      <c r="N661" s="51" t="s">
        <v>4440</v>
      </c>
      <c r="O661" s="51" t="s">
        <v>3889</v>
      </c>
      <c r="P661" s="51" t="s">
        <v>24</v>
      </c>
      <c r="Q661" s="51" t="s">
        <v>949</v>
      </c>
      <c r="R661" s="51" t="s">
        <v>677</v>
      </c>
      <c r="S661" s="50" t="s">
        <v>950</v>
      </c>
      <c r="U661" s="52" t="s">
        <v>666</v>
      </c>
      <c r="W661" s="52" t="s">
        <v>131</v>
      </c>
      <c r="Y661" s="52" t="s">
        <v>4448</v>
      </c>
      <c r="AB661" s="51" t="s">
        <v>4441</v>
      </c>
      <c r="AC661" s="51" t="s">
        <v>3890</v>
      </c>
      <c r="AD661" s="51" t="s">
        <v>710</v>
      </c>
      <c r="AE661" s="51" t="s">
        <v>949</v>
      </c>
      <c r="AF661" s="51" t="s">
        <v>902</v>
      </c>
      <c r="AG661" s="50" t="s">
        <v>950</v>
      </c>
      <c r="AI661" s="52" t="s">
        <v>899</v>
      </c>
      <c r="AK661" s="52" t="s">
        <v>131</v>
      </c>
      <c r="AP661" s="51" t="s">
        <v>4442</v>
      </c>
      <c r="AQ661" s="51" t="s">
        <v>3891</v>
      </c>
      <c r="AR661" s="51" t="s">
        <v>4444</v>
      </c>
      <c r="AS661" s="51" t="s">
        <v>949</v>
      </c>
      <c r="AT661" s="51" t="s">
        <v>4482</v>
      </c>
      <c r="AU661" s="50" t="s">
        <v>950</v>
      </c>
      <c r="AW661" s="52" t="s">
        <v>4461</v>
      </c>
      <c r="AY661" s="52" t="s">
        <v>131</v>
      </c>
    </row>
    <row r="662" spans="1:51" x14ac:dyDescent="0.25">
      <c r="A662" s="51" t="s">
        <v>3813</v>
      </c>
      <c r="B662" s="51">
        <v>45</v>
      </c>
      <c r="E662" s="54" t="str" cm="1">
        <f t="array" aca="1" ref="E662" ca="1">IF(H662=0,"",HYPERLINK("#"&amp;RIGHT(CELL("dateiname"),LEN(CELL("dateiname"))-FIND("]",CELL("dateiname")))&amp;"!"&amp;CELL("adresse",OFFSET($Q$6,H662-1,0)),"Definition"))</f>
        <v/>
      </c>
      <c r="F662" s="54" t="str" cm="1">
        <f t="array" aca="1" ref="F662" ca="1">IF(I662=0,"",HYPERLINK("#"&amp;RIGHT(CELL("adresse",OFFSET(DMAV_Doku!$B$6,I662-1,0)),LEN(CELL("adresse",OFFSET(DMAV_Doku!$B$6,I662-1,0)))-SEARCH("]",CELL("adresse",OFFSET(DMAV_Doku!$B$6,I662-1,0)))),"ModDoc"))</f>
        <v>ModDoc</v>
      </c>
      <c r="G662" s="150" t="str">
        <f t="shared" si="20"/>
        <v>MGA45</v>
      </c>
      <c r="H662" s="150">
        <f t="shared" si="21"/>
        <v>0</v>
      </c>
      <c r="I662" s="150">
        <f>IF(_xlfn.XLOOKUP(G662,Korrelation!$A$4:$A$723,Korrelation!$B$4:$B$723,0,0)=0,0,MATCH(_xlfn.XLOOKUP(G662,Korrelation!$A$4:$A$723,Korrelation!$B$4:$B$723,0,0),DMAV_Doku!$H$6:$H$483,0))</f>
        <v>475</v>
      </c>
      <c r="J662" s="158"/>
      <c r="K662" s="161"/>
      <c r="L662" s="161"/>
      <c r="M662" s="158"/>
      <c r="N662" s="51" t="s">
        <v>4440</v>
      </c>
      <c r="O662" s="51" t="s">
        <v>3889</v>
      </c>
      <c r="P662" s="51" t="s">
        <v>24</v>
      </c>
      <c r="Q662" s="51" t="s">
        <v>949</v>
      </c>
      <c r="R662" s="51" t="s">
        <v>677</v>
      </c>
      <c r="S662" s="50" t="s">
        <v>950</v>
      </c>
      <c r="U662" s="52" t="s">
        <v>669</v>
      </c>
      <c r="W662" s="52" t="s">
        <v>131</v>
      </c>
      <c r="Y662" s="52" t="s">
        <v>4448</v>
      </c>
      <c r="AB662" s="51" t="s">
        <v>4441</v>
      </c>
      <c r="AC662" s="51" t="s">
        <v>3890</v>
      </c>
      <c r="AD662" s="51" t="s">
        <v>710</v>
      </c>
      <c r="AE662" s="51" t="s">
        <v>949</v>
      </c>
      <c r="AF662" s="51" t="s">
        <v>902</v>
      </c>
      <c r="AG662" s="50" t="s">
        <v>950</v>
      </c>
      <c r="AI662" s="52" t="s">
        <v>900</v>
      </c>
      <c r="AK662" s="52" t="s">
        <v>131</v>
      </c>
      <c r="AP662" s="51" t="s">
        <v>4442</v>
      </c>
      <c r="AQ662" s="51" t="s">
        <v>3891</v>
      </c>
      <c r="AR662" s="51" t="s">
        <v>4444</v>
      </c>
      <c r="AS662" s="51" t="s">
        <v>949</v>
      </c>
      <c r="AT662" s="51" t="s">
        <v>4482</v>
      </c>
      <c r="AU662" s="50" t="s">
        <v>950</v>
      </c>
      <c r="AW662" s="52" t="s">
        <v>4458</v>
      </c>
      <c r="AY662" s="52" t="s">
        <v>131</v>
      </c>
    </row>
    <row r="663" spans="1:51" x14ac:dyDescent="0.25">
      <c r="A663" s="51" t="s">
        <v>3813</v>
      </c>
      <c r="B663" s="51">
        <v>46</v>
      </c>
      <c r="E663" s="54" t="str" cm="1">
        <f t="array" aca="1" ref="E663" ca="1">IF(H663=0,"",HYPERLINK("#"&amp;RIGHT(CELL("dateiname"),LEN(CELL("dateiname"))-FIND("]",CELL("dateiname")))&amp;"!"&amp;CELL("adresse",OFFSET($Q$6,H663-1,0)),"Definition"))</f>
        <v/>
      </c>
      <c r="F663" s="54" t="str" cm="1">
        <f t="array" aca="1" ref="F663" ca="1">IF(I663=0,"",HYPERLINK("#"&amp;RIGHT(CELL("adresse",OFFSET(DMAV_Doku!$B$6,I663-1,0)),LEN(CELL("adresse",OFFSET(DMAV_Doku!$B$6,I663-1,0)))-SEARCH("]",CELL("adresse",OFFSET(DMAV_Doku!$B$6,I663-1,0)))),"ModDoc"))</f>
        <v>ModDoc</v>
      </c>
      <c r="G663" s="150" t="str">
        <f t="shared" si="20"/>
        <v>MGA46</v>
      </c>
      <c r="H663" s="150">
        <f t="shared" si="21"/>
        <v>0</v>
      </c>
      <c r="I663" s="150">
        <f>IF(_xlfn.XLOOKUP(G663,Korrelation!$A$4:$A$723,Korrelation!$B$4:$B$723,0,0)=0,0,MATCH(_xlfn.XLOOKUP(G663,Korrelation!$A$4:$A$723,Korrelation!$B$4:$B$723,0,0),DMAV_Doku!$H$6:$H$483,0))</f>
        <v>473</v>
      </c>
      <c r="J663" s="158"/>
      <c r="K663" s="161"/>
      <c r="L663" s="161"/>
      <c r="M663" s="158"/>
      <c r="N663" s="51" t="s">
        <v>4440</v>
      </c>
      <c r="O663" s="51" t="s">
        <v>3889</v>
      </c>
      <c r="P663" s="51" t="s">
        <v>24</v>
      </c>
      <c r="Q663" s="51" t="s">
        <v>949</v>
      </c>
      <c r="R663" s="51" t="s">
        <v>677</v>
      </c>
      <c r="S663" s="50" t="s">
        <v>950</v>
      </c>
      <c r="U663" s="52" t="s">
        <v>1185</v>
      </c>
      <c r="W663" s="52" t="s">
        <v>131</v>
      </c>
      <c r="Y663" s="52" t="s">
        <v>4448</v>
      </c>
      <c r="AB663" s="51" t="s">
        <v>4441</v>
      </c>
      <c r="AC663" s="51" t="s">
        <v>3890</v>
      </c>
      <c r="AD663" s="51" t="s">
        <v>710</v>
      </c>
      <c r="AE663" s="51" t="s">
        <v>949</v>
      </c>
      <c r="AF663" s="51" t="s">
        <v>902</v>
      </c>
      <c r="AG663" s="50" t="s">
        <v>950</v>
      </c>
      <c r="AI663" s="52" t="s">
        <v>906</v>
      </c>
      <c r="AK663" s="52" t="s">
        <v>131</v>
      </c>
      <c r="AP663" s="51" t="s">
        <v>4442</v>
      </c>
      <c r="AQ663" s="51" t="s">
        <v>3891</v>
      </c>
      <c r="AR663" s="51" t="s">
        <v>4444</v>
      </c>
      <c r="AS663" s="51" t="s">
        <v>949</v>
      </c>
      <c r="AT663" s="51" t="s">
        <v>4482</v>
      </c>
      <c r="AU663" s="50" t="s">
        <v>950</v>
      </c>
      <c r="AW663" s="52" t="s">
        <v>4484</v>
      </c>
      <c r="AY663" s="52" t="s">
        <v>131</v>
      </c>
    </row>
    <row r="664" spans="1:51" x14ac:dyDescent="0.25">
      <c r="A664" s="51" t="s">
        <v>3813</v>
      </c>
      <c r="B664" s="51">
        <v>47</v>
      </c>
      <c r="E664" s="54" t="str" cm="1">
        <f t="array" aca="1" ref="E664" ca="1">IF(H664=0,"",HYPERLINK("#"&amp;RIGHT(CELL("dateiname"),LEN(CELL("dateiname"))-FIND("]",CELL("dateiname")))&amp;"!"&amp;CELL("adresse",OFFSET($Q$6,H664-1,0)),"Definition"))</f>
        <v/>
      </c>
      <c r="F664" s="54" t="str" cm="1">
        <f t="array" aca="1" ref="F664" ca="1">IF(I664=0,"",HYPERLINK("#"&amp;RIGHT(CELL("adresse",OFFSET(DMAV_Doku!$B$6,I664-1,0)),LEN(CELL("adresse",OFFSET(DMAV_Doku!$B$6,I664-1,0)))-SEARCH("]",CELL("adresse",OFFSET(DMAV_Doku!$B$6,I664-1,0)))),"ModDoc"))</f>
        <v>ModDoc</v>
      </c>
      <c r="G664" s="150" t="str">
        <f t="shared" si="20"/>
        <v>MGA47</v>
      </c>
      <c r="H664" s="150">
        <f t="shared" si="21"/>
        <v>0</v>
      </c>
      <c r="I664" s="150">
        <f>IF(_xlfn.XLOOKUP(G664,Korrelation!$A$4:$A$723,Korrelation!$B$4:$B$723,0,0)=0,0,MATCH(_xlfn.XLOOKUP(G664,Korrelation!$A$4:$A$723,Korrelation!$B$4:$B$723,0,0),DMAV_Doku!$H$6:$H$483,0))</f>
        <v>471</v>
      </c>
      <c r="J664" s="158"/>
      <c r="K664" s="161"/>
      <c r="L664" s="161"/>
      <c r="M664" s="158"/>
      <c r="N664" s="51" t="s">
        <v>4440</v>
      </c>
      <c r="O664" s="51" t="s">
        <v>3889</v>
      </c>
      <c r="P664" s="51" t="s">
        <v>24</v>
      </c>
      <c r="Q664" s="51" t="s">
        <v>949</v>
      </c>
      <c r="R664" s="51" t="s">
        <v>677</v>
      </c>
      <c r="S664" s="50" t="s">
        <v>950</v>
      </c>
      <c r="U664" s="52" t="s">
        <v>123</v>
      </c>
      <c r="W664" s="52" t="s">
        <v>952</v>
      </c>
      <c r="Y664" s="52" t="s">
        <v>4448</v>
      </c>
      <c r="AB664" s="51" t="s">
        <v>4441</v>
      </c>
      <c r="AC664" s="51" t="s">
        <v>3890</v>
      </c>
      <c r="AD664" s="51" t="s">
        <v>710</v>
      </c>
      <c r="AE664" s="51" t="s">
        <v>949</v>
      </c>
      <c r="AF664" s="51" t="s">
        <v>902</v>
      </c>
      <c r="AG664" s="50" t="s">
        <v>950</v>
      </c>
      <c r="AI664" s="52" t="s">
        <v>123</v>
      </c>
      <c r="AK664" s="52" t="s">
        <v>952</v>
      </c>
      <c r="AP664" s="51" t="s">
        <v>4442</v>
      </c>
      <c r="AQ664" s="51" t="s">
        <v>3891</v>
      </c>
      <c r="AR664" s="51" t="s">
        <v>4444</v>
      </c>
      <c r="AS664" s="51" t="s">
        <v>949</v>
      </c>
      <c r="AT664" s="51" t="s">
        <v>4482</v>
      </c>
      <c r="AU664" s="50" t="s">
        <v>950</v>
      </c>
      <c r="AW664" s="52" t="s">
        <v>1247</v>
      </c>
      <c r="AY664" s="52" t="s">
        <v>952</v>
      </c>
    </row>
    <row r="665" spans="1:51" x14ac:dyDescent="0.25">
      <c r="A665" s="51" t="s">
        <v>3813</v>
      </c>
      <c r="B665" s="51">
        <v>48</v>
      </c>
      <c r="E665" s="54" t="str" cm="1">
        <f t="array" aca="1" ref="E665" ca="1">IF(H665=0,"",HYPERLINK("#"&amp;RIGHT(CELL("dateiname"),LEN(CELL("dateiname"))-FIND("]",CELL("dateiname")))&amp;"!"&amp;CELL("adresse",OFFSET($Q$6,H665-1,0)),"Definition"))</f>
        <v/>
      </c>
      <c r="F665" s="54" t="str" cm="1">
        <f t="array" aca="1" ref="F665" ca="1">IF(I665=0,"",HYPERLINK("#"&amp;RIGHT(CELL("adresse",OFFSET(DMAV_Doku!$B$6,I665-1,0)),LEN(CELL("adresse",OFFSET(DMAV_Doku!$B$6,I665-1,0)))-SEARCH("]",CELL("adresse",OFFSET(DMAV_Doku!$B$6,I665-1,0)))),"ModDoc"))</f>
        <v>ModDoc</v>
      </c>
      <c r="G665" s="150" t="str">
        <f t="shared" si="20"/>
        <v>MGA48</v>
      </c>
      <c r="H665" s="150">
        <f t="shared" si="21"/>
        <v>0</v>
      </c>
      <c r="I665" s="150">
        <f>IF(_xlfn.XLOOKUP(G665,Korrelation!$A$4:$A$723,Korrelation!$B$4:$B$723,0,0)=0,0,MATCH(_xlfn.XLOOKUP(G665,Korrelation!$A$4:$A$723,Korrelation!$B$4:$B$723,0,0),DMAV_Doku!$H$6:$H$483,0))</f>
        <v>472</v>
      </c>
      <c r="J665" s="158"/>
      <c r="K665" s="161"/>
      <c r="L665" s="161"/>
      <c r="M665" s="158"/>
      <c r="N665" s="51" t="s">
        <v>4440</v>
      </c>
      <c r="O665" s="51" t="s">
        <v>3889</v>
      </c>
      <c r="P665" s="51" t="s">
        <v>24</v>
      </c>
      <c r="Q665" s="51" t="s">
        <v>949</v>
      </c>
      <c r="R665" s="51" t="s">
        <v>677</v>
      </c>
      <c r="U665" s="52" t="s">
        <v>688</v>
      </c>
      <c r="W665" s="52" t="s">
        <v>1186</v>
      </c>
      <c r="Y665" s="52" t="s">
        <v>4448</v>
      </c>
      <c r="AB665" s="51" t="s">
        <v>4441</v>
      </c>
      <c r="AC665" s="51" t="s">
        <v>3890</v>
      </c>
      <c r="AD665" s="51" t="s">
        <v>710</v>
      </c>
      <c r="AE665" s="51" t="s">
        <v>949</v>
      </c>
      <c r="AF665" s="51" t="s">
        <v>902</v>
      </c>
      <c r="AI665" s="52" t="s">
        <v>905</v>
      </c>
      <c r="AK665" s="52" t="s">
        <v>1186</v>
      </c>
      <c r="AP665" s="51" t="s">
        <v>4442</v>
      </c>
      <c r="AQ665" s="51" t="s">
        <v>3891</v>
      </c>
      <c r="AR665" s="51" t="s">
        <v>4444</v>
      </c>
      <c r="AS665" s="51" t="s">
        <v>949</v>
      </c>
      <c r="AT665" s="51" t="s">
        <v>4482</v>
      </c>
      <c r="AW665" s="52" t="s">
        <v>4485</v>
      </c>
      <c r="AY665" s="52" t="s">
        <v>1186</v>
      </c>
    </row>
    <row r="666" spans="1:51" ht="25.5" x14ac:dyDescent="0.25">
      <c r="A666" s="51" t="s">
        <v>3813</v>
      </c>
      <c r="B666" s="51">
        <v>49</v>
      </c>
      <c r="E666" s="54" t="str" cm="1">
        <f t="array" aca="1" ref="E666" ca="1">IF(H666=0,"",HYPERLINK("#"&amp;RIGHT(CELL("dateiname"),LEN(CELL("dateiname"))-FIND("]",CELL("dateiname")))&amp;"!"&amp;CELL("adresse",OFFSET($Q$6,H666-1,0)),"Definition"))</f>
        <v/>
      </c>
      <c r="F666" s="54" t="str" cm="1">
        <f t="array" aca="1" ref="F666" ca="1">IF(I666=0,"",HYPERLINK("#"&amp;RIGHT(CELL("adresse",OFFSET(DMAV_Doku!$B$6,I666-1,0)),LEN(CELL("adresse",OFFSET(DMAV_Doku!$B$6,I666-1,0)))-SEARCH("]",CELL("adresse",OFFSET(DMAV_Doku!$B$6,I666-1,0)))),"ModDoc"))</f>
        <v>ModDoc</v>
      </c>
      <c r="G666" s="150" t="str">
        <f t="shared" si="20"/>
        <v>MGA49</v>
      </c>
      <c r="H666" s="150">
        <f t="shared" si="21"/>
        <v>0</v>
      </c>
      <c r="I666" s="150">
        <f>IF(_xlfn.XLOOKUP(G666,Korrelation!$A$4:$A$723,Korrelation!$B$4:$B$723,0,0)=0,0,MATCH(_xlfn.XLOOKUP(G666,Korrelation!$A$4:$A$723,Korrelation!$B$4:$B$723,0,0),DMAV_Doku!$H$6:$H$483,0))</f>
        <v>466</v>
      </c>
      <c r="J666" s="158"/>
      <c r="K666" s="161"/>
      <c r="L666" s="161"/>
      <c r="M666" s="158"/>
      <c r="N666" s="51" t="s">
        <v>4440</v>
      </c>
      <c r="O666" s="51" t="s">
        <v>3889</v>
      </c>
      <c r="P666" s="51" t="s">
        <v>24</v>
      </c>
      <c r="Q666" s="51" t="s">
        <v>949</v>
      </c>
      <c r="R666" s="51" t="s">
        <v>677</v>
      </c>
      <c r="U666" s="52" t="s">
        <v>678</v>
      </c>
      <c r="W666" s="52" t="s">
        <v>951</v>
      </c>
      <c r="Y666" s="52" t="s">
        <v>4486</v>
      </c>
      <c r="AB666" s="51" t="s">
        <v>4441</v>
      </c>
      <c r="AC666" s="51" t="s">
        <v>3890</v>
      </c>
      <c r="AD666" s="51" t="s">
        <v>710</v>
      </c>
      <c r="AE666" s="51" t="s">
        <v>949</v>
      </c>
      <c r="AF666" s="51" t="s">
        <v>902</v>
      </c>
      <c r="AI666" s="52" t="s">
        <v>903</v>
      </c>
      <c r="AK666" s="52" t="s">
        <v>951</v>
      </c>
      <c r="AP666" s="51" t="s">
        <v>4442</v>
      </c>
      <c r="AQ666" s="51" t="s">
        <v>3891</v>
      </c>
      <c r="AR666" s="51" t="s">
        <v>4444</v>
      </c>
      <c r="AS666" s="51" t="s">
        <v>949</v>
      </c>
      <c r="AT666" s="51" t="s">
        <v>4482</v>
      </c>
      <c r="AW666" s="52" t="s">
        <v>4487</v>
      </c>
      <c r="AY666" s="52" t="s">
        <v>951</v>
      </c>
    </row>
    <row r="667" spans="1:51" x14ac:dyDescent="0.25">
      <c r="A667" s="51" t="s">
        <v>3813</v>
      </c>
      <c r="B667" s="51">
        <v>50</v>
      </c>
      <c r="E667" s="54" t="str" cm="1">
        <f t="array" aca="1" ref="E667" ca="1">IF(H667=0,"",HYPERLINK("#"&amp;RIGHT(CELL("dateiname"),LEN(CELL("dateiname"))-FIND("]",CELL("dateiname")))&amp;"!"&amp;CELL("adresse",OFFSET($Q$6,H667-1,0)),"Definition"))</f>
        <v/>
      </c>
      <c r="F667" s="54" t="str" cm="1">
        <f t="array" aca="1" ref="F667" ca="1">IF(I667=0,"",HYPERLINK("#"&amp;RIGHT(CELL("adresse",OFFSET(DMAV_Doku!$B$6,I667-1,0)),LEN(CELL("adresse",OFFSET(DMAV_Doku!$B$6,I667-1,0)))-SEARCH("]",CELL("adresse",OFFSET(DMAV_Doku!$B$6,I667-1,0)))),"ModDoc"))</f>
        <v>ModDoc</v>
      </c>
      <c r="G667" s="150" t="str">
        <f t="shared" si="20"/>
        <v>MGA50</v>
      </c>
      <c r="H667" s="150">
        <f t="shared" si="21"/>
        <v>0</v>
      </c>
      <c r="I667" s="150">
        <f>IF(_xlfn.XLOOKUP(G667,Korrelation!$A$4:$A$723,Korrelation!$B$4:$B$723,0,0)=0,0,MATCH(_xlfn.XLOOKUP(G667,Korrelation!$A$4:$A$723,Korrelation!$B$4:$B$723,0,0),DMAV_Doku!$H$6:$H$483,0))</f>
        <v>470</v>
      </c>
      <c r="J667" s="158"/>
      <c r="K667" s="161"/>
      <c r="L667" s="161"/>
      <c r="M667" s="158"/>
      <c r="N667" s="51" t="s">
        <v>4440</v>
      </c>
      <c r="O667" s="51" t="s">
        <v>3889</v>
      </c>
      <c r="P667" s="51" t="s">
        <v>24</v>
      </c>
      <c r="Q667" s="51" t="s">
        <v>949</v>
      </c>
      <c r="R667" s="51" t="s">
        <v>677</v>
      </c>
      <c r="S667" s="50" t="s">
        <v>950</v>
      </c>
      <c r="U667" s="52" t="s">
        <v>590</v>
      </c>
      <c r="W667" s="52" t="s">
        <v>1187</v>
      </c>
      <c r="Y667" s="52" t="s">
        <v>4448</v>
      </c>
      <c r="AB667" s="51" t="s">
        <v>4441</v>
      </c>
      <c r="AC667" s="51" t="s">
        <v>3890</v>
      </c>
      <c r="AD667" s="51" t="s">
        <v>710</v>
      </c>
      <c r="AE667" s="51" t="s">
        <v>949</v>
      </c>
      <c r="AF667" s="51" t="s">
        <v>902</v>
      </c>
      <c r="AG667" s="50" t="s">
        <v>950</v>
      </c>
      <c r="AI667" s="52" t="s">
        <v>883</v>
      </c>
      <c r="AK667" s="52" t="s">
        <v>4488</v>
      </c>
      <c r="AP667" s="51" t="s">
        <v>4442</v>
      </c>
      <c r="AQ667" s="51" t="s">
        <v>3891</v>
      </c>
      <c r="AR667" s="51" t="s">
        <v>4444</v>
      </c>
      <c r="AS667" s="51" t="s">
        <v>949</v>
      </c>
      <c r="AT667" s="51" t="s">
        <v>4482</v>
      </c>
      <c r="AU667" s="50" t="s">
        <v>950</v>
      </c>
      <c r="AW667" s="52" t="s">
        <v>4489</v>
      </c>
      <c r="AY667" s="52" t="s">
        <v>4490</v>
      </c>
    </row>
    <row r="668" spans="1:51" x14ac:dyDescent="0.25">
      <c r="A668" s="51" t="s">
        <v>3813</v>
      </c>
      <c r="B668" s="51">
        <v>51</v>
      </c>
      <c r="E668" s="54" t="str" cm="1">
        <f t="array" aca="1" ref="E668" ca="1">IF(H668=0,"",HYPERLINK("#"&amp;RIGHT(CELL("dateiname"),LEN(CELL("dateiname"))-FIND("]",CELL("dateiname")))&amp;"!"&amp;CELL("adresse",OFFSET($Q$6,H668-1,0)),"Definition"))</f>
        <v/>
      </c>
      <c r="F668" s="54" t="str" cm="1">
        <f t="array" aca="1" ref="F668" ca="1">IF(I668=0,"",HYPERLINK("#"&amp;RIGHT(CELL("adresse",OFFSET(DMAV_Doku!$B$6,I668-1,0)),LEN(CELL("adresse",OFFSET(DMAV_Doku!$B$6,I668-1,0)))-SEARCH("]",CELL("adresse",OFFSET(DMAV_Doku!$B$6,I668-1,0)))),"ModDoc"))</f>
        <v>ModDoc</v>
      </c>
      <c r="G668" s="150" t="str">
        <f t="shared" si="20"/>
        <v>MGA51</v>
      </c>
      <c r="H668" s="150">
        <f t="shared" si="21"/>
        <v>0</v>
      </c>
      <c r="I668" s="150">
        <f>IF(_xlfn.XLOOKUP(G668,Korrelation!$A$4:$A$723,Korrelation!$B$4:$B$723,0,0)=0,0,MATCH(_xlfn.XLOOKUP(G668,Korrelation!$A$4:$A$723,Korrelation!$B$4:$B$723,0,0),DMAV_Doku!$H$6:$H$483,0))</f>
        <v>476</v>
      </c>
      <c r="J668" s="158"/>
      <c r="K668" s="161"/>
      <c r="L668" s="161"/>
      <c r="M668" s="158"/>
      <c r="N668" s="51" t="s">
        <v>4440</v>
      </c>
      <c r="O668" s="51" t="s">
        <v>3889</v>
      </c>
      <c r="P668" s="51" t="s">
        <v>24</v>
      </c>
      <c r="Q668" s="51" t="s">
        <v>949</v>
      </c>
      <c r="R668" s="51" t="s">
        <v>677</v>
      </c>
      <c r="U668" s="52" t="s">
        <v>416</v>
      </c>
      <c r="W668" s="52" t="s">
        <v>417</v>
      </c>
      <c r="Y668" s="52" t="s">
        <v>4448</v>
      </c>
      <c r="AB668" s="51" t="s">
        <v>4441</v>
      </c>
      <c r="AC668" s="51" t="s">
        <v>3890</v>
      </c>
      <c r="AD668" s="51" t="s">
        <v>710</v>
      </c>
      <c r="AE668" s="51" t="s">
        <v>949</v>
      </c>
      <c r="AF668" s="51" t="s">
        <v>902</v>
      </c>
      <c r="AI668" s="52" t="s">
        <v>416</v>
      </c>
      <c r="AK668" s="52" t="s">
        <v>417</v>
      </c>
      <c r="AP668" s="51" t="s">
        <v>4442</v>
      </c>
      <c r="AQ668" s="51" t="s">
        <v>3891</v>
      </c>
      <c r="AR668" s="51" t="s">
        <v>4444</v>
      </c>
      <c r="AS668" s="51" t="s">
        <v>949</v>
      </c>
      <c r="AT668" s="51" t="s">
        <v>4482</v>
      </c>
      <c r="AW668" s="52" t="s">
        <v>416</v>
      </c>
      <c r="AY668" s="52" t="s">
        <v>417</v>
      </c>
    </row>
    <row r="669" spans="1:51" x14ac:dyDescent="0.25">
      <c r="A669" s="51" t="s">
        <v>3813</v>
      </c>
      <c r="B669" s="51">
        <v>52</v>
      </c>
      <c r="E669" s="54" t="str" cm="1">
        <f t="array" aca="1" ref="E669" ca="1">IF(H669=0,"",HYPERLINK("#"&amp;RIGHT(CELL("dateiname"),LEN(CELL("dateiname"))-FIND("]",CELL("dateiname")))&amp;"!"&amp;CELL("adresse",OFFSET($Q$6,H669-1,0)),"Definition"))</f>
        <v/>
      </c>
      <c r="F669" s="54" t="str" cm="1">
        <f t="array" aca="1" ref="F669" ca="1">IF(I669=0,"",HYPERLINK("#"&amp;RIGHT(CELL("adresse",OFFSET(DMAV_Doku!$B$6,I669-1,0)),LEN(CELL("adresse",OFFSET(DMAV_Doku!$B$6,I669-1,0)))-SEARCH("]",CELL("adresse",OFFSET(DMAV_Doku!$B$6,I669-1,0)))),"ModDoc"))</f>
        <v>ModDoc</v>
      </c>
      <c r="G669" s="150" t="str">
        <f t="shared" si="20"/>
        <v>MGA52</v>
      </c>
      <c r="H669" s="150">
        <f t="shared" si="21"/>
        <v>0</v>
      </c>
      <c r="I669" s="150">
        <f>IF(_xlfn.XLOOKUP(G669,Korrelation!$A$4:$A$723,Korrelation!$B$4:$B$723,0,0)=0,0,MATCH(_xlfn.XLOOKUP(G669,Korrelation!$A$4:$A$723,Korrelation!$B$4:$B$723,0,0),DMAV_Doku!$H$6:$H$483,0))</f>
        <v>477</v>
      </c>
      <c r="J669" s="158"/>
      <c r="K669" s="161"/>
      <c r="L669" s="161"/>
      <c r="M669" s="158"/>
      <c r="N669" s="51" t="s">
        <v>4440</v>
      </c>
      <c r="O669" s="51" t="s">
        <v>3889</v>
      </c>
      <c r="P669" s="51" t="s">
        <v>24</v>
      </c>
      <c r="Q669" s="51" t="s">
        <v>949</v>
      </c>
      <c r="R669" s="51" t="s">
        <v>677</v>
      </c>
      <c r="U669" s="52" t="s">
        <v>694</v>
      </c>
      <c r="W669" s="52" t="s">
        <v>695</v>
      </c>
      <c r="Y669" s="52" t="s">
        <v>4448</v>
      </c>
      <c r="AB669" s="51" t="s">
        <v>4441</v>
      </c>
      <c r="AC669" s="51" t="s">
        <v>3890</v>
      </c>
      <c r="AD669" s="51" t="s">
        <v>710</v>
      </c>
      <c r="AE669" s="51" t="s">
        <v>949</v>
      </c>
      <c r="AF669" s="51" t="s">
        <v>902</v>
      </c>
      <c r="AI669" s="52" t="s">
        <v>694</v>
      </c>
      <c r="AK669" s="52" t="s">
        <v>695</v>
      </c>
      <c r="AP669" s="51" t="s">
        <v>4442</v>
      </c>
      <c r="AQ669" s="51" t="s">
        <v>3891</v>
      </c>
      <c r="AR669" s="51" t="s">
        <v>4444</v>
      </c>
      <c r="AS669" s="51" t="s">
        <v>949</v>
      </c>
      <c r="AT669" s="51" t="s">
        <v>4482</v>
      </c>
      <c r="AW669" s="52" t="s">
        <v>694</v>
      </c>
      <c r="AY669" s="52" t="s">
        <v>695</v>
      </c>
    </row>
    <row r="670" spans="1:51" x14ac:dyDescent="0.25">
      <c r="A670" s="51" t="s">
        <v>3813</v>
      </c>
      <c r="B670" s="51">
        <v>53</v>
      </c>
      <c r="C670" s="51" t="s">
        <v>3866</v>
      </c>
      <c r="E670" s="54" t="str" cm="1">
        <f t="array" aca="1" ref="E670" ca="1">IF(H670=0,"",HYPERLINK("#"&amp;RIGHT(CELL("dateiname"),LEN(CELL("dateiname"))-FIND("]",CELL("dateiname")))&amp;"!"&amp;CELL("adresse",OFFSET($Q$6,H670-1,0)),"Definition"))</f>
        <v>Definition</v>
      </c>
      <c r="F670" s="54" t="str" cm="1">
        <f t="array" aca="1" ref="F670" ca="1">IF(I670=0,"",HYPERLINK("#"&amp;RIGHT(CELL("adresse",OFFSET(DMAV_Doku!$B$6,I670-1,0)),LEN(CELL("adresse",OFFSET(DMAV_Doku!$B$6,I670-1,0)))-SEARCH("]",CELL("adresse",OFFSET(DMAV_Doku!$B$6,I670-1,0)))),"ModDoc"))</f>
        <v>ModDoc</v>
      </c>
      <c r="G670" s="150" t="str">
        <f t="shared" si="20"/>
        <v>MGA53</v>
      </c>
      <c r="H670" s="150">
        <f t="shared" si="21"/>
        <v>648</v>
      </c>
      <c r="I670" s="150">
        <f>IF(_xlfn.XLOOKUP(G670,Korrelation!$A$4:$A$723,Korrelation!$B$4:$B$723,0,0)=0,0,MATCH(_xlfn.XLOOKUP(G670,Korrelation!$A$4:$A$723,Korrelation!$B$4:$B$723,0,0),DMAV_Doku!$H$6:$H$483,0))</f>
        <v>467</v>
      </c>
      <c r="J670" s="158"/>
      <c r="K670" s="161"/>
      <c r="L670" s="161"/>
      <c r="M670" s="158"/>
      <c r="N670" s="51" t="s">
        <v>4440</v>
      </c>
      <c r="O670" s="51" t="s">
        <v>3889</v>
      </c>
      <c r="P670" s="51" t="s">
        <v>24</v>
      </c>
      <c r="Q670" s="51" t="s">
        <v>949</v>
      </c>
      <c r="R670" s="51" t="s">
        <v>677</v>
      </c>
      <c r="U670" s="52" t="s">
        <v>679</v>
      </c>
      <c r="V670" s="52" t="s">
        <v>3471</v>
      </c>
      <c r="W670" s="52" t="s">
        <v>1182</v>
      </c>
      <c r="Y670" s="52" t="s">
        <v>4448</v>
      </c>
      <c r="AB670" s="51" t="s">
        <v>4441</v>
      </c>
      <c r="AC670" s="51" t="s">
        <v>3890</v>
      </c>
      <c r="AD670" s="51" t="s">
        <v>710</v>
      </c>
      <c r="AE670" s="51" t="s">
        <v>949</v>
      </c>
      <c r="AF670" s="51" t="s">
        <v>902</v>
      </c>
      <c r="AI670" s="52" t="s">
        <v>889</v>
      </c>
      <c r="AJ670" s="51" t="s">
        <v>3471</v>
      </c>
      <c r="AK670" s="52" t="s">
        <v>889</v>
      </c>
      <c r="AP670" s="51" t="s">
        <v>4442</v>
      </c>
      <c r="AQ670" s="51" t="s">
        <v>3891</v>
      </c>
      <c r="AR670" s="51" t="s">
        <v>4444</v>
      </c>
      <c r="AS670" s="51" t="s">
        <v>949</v>
      </c>
      <c r="AT670" s="51" t="s">
        <v>4482</v>
      </c>
      <c r="AW670" s="52" t="s">
        <v>4480</v>
      </c>
      <c r="AX670" s="51" t="s">
        <v>3471</v>
      </c>
      <c r="AY670" s="52" t="s">
        <v>4480</v>
      </c>
    </row>
    <row r="671" spans="1:51" x14ac:dyDescent="0.25">
      <c r="A671" s="51" t="s">
        <v>3813</v>
      </c>
      <c r="B671" s="51">
        <v>54</v>
      </c>
      <c r="C671" s="51" t="s">
        <v>3867</v>
      </c>
      <c r="E671" s="54" t="str" cm="1">
        <f t="array" aca="1" ref="E671" ca="1">IF(H671=0,"",HYPERLINK("#"&amp;RIGHT(CELL("dateiname"),LEN(CELL("dateiname"))-FIND("]",CELL("dateiname")))&amp;"!"&amp;CELL("adresse",OFFSET($Q$6,H671-1,0)),"Definition"))</f>
        <v>Definition</v>
      </c>
      <c r="F671" s="54" t="str" cm="1">
        <f t="array" aca="1" ref="F671" ca="1">IF(I671=0,"",HYPERLINK("#"&amp;RIGHT(CELL("adresse",OFFSET(DMAV_Doku!$B$6,I671-1,0)),LEN(CELL("adresse",OFFSET(DMAV_Doku!$B$6,I671-1,0)))-SEARCH("]",CELL("adresse",OFFSET(DMAV_Doku!$B$6,I671-1,0)))),"ModDoc"))</f>
        <v>ModDoc</v>
      </c>
      <c r="G671" s="150" t="str">
        <f t="shared" si="20"/>
        <v>MGA54</v>
      </c>
      <c r="H671" s="150">
        <f t="shared" si="21"/>
        <v>653</v>
      </c>
      <c r="I671" s="150">
        <f>IF(_xlfn.XLOOKUP(G671,Korrelation!$A$4:$A$723,Korrelation!$B$4:$B$723,0,0)=0,0,MATCH(_xlfn.XLOOKUP(G671,Korrelation!$A$4:$A$723,Korrelation!$B$4:$B$723,0,0),DMAV_Doku!$H$6:$H$483,0))</f>
        <v>468</v>
      </c>
      <c r="J671" s="158"/>
      <c r="K671" s="161"/>
      <c r="L671" s="161"/>
      <c r="M671" s="158"/>
      <c r="N671" s="51" t="s">
        <v>4440</v>
      </c>
      <c r="O671" s="51" t="s">
        <v>3889</v>
      </c>
      <c r="P671" s="51" t="s">
        <v>24</v>
      </c>
      <c r="Q671" s="51" t="s">
        <v>949</v>
      </c>
      <c r="R671" s="51" t="s">
        <v>677</v>
      </c>
      <c r="U671" s="52" t="s">
        <v>681</v>
      </c>
      <c r="V671" s="55" t="s">
        <v>3471</v>
      </c>
      <c r="W671" s="52" t="s">
        <v>1183</v>
      </c>
      <c r="Y671" s="52" t="s">
        <v>4448</v>
      </c>
      <c r="AB671" s="51" t="s">
        <v>4441</v>
      </c>
      <c r="AC671" s="51" t="s">
        <v>3890</v>
      </c>
      <c r="AD671" s="51" t="s">
        <v>710</v>
      </c>
      <c r="AE671" s="51" t="s">
        <v>949</v>
      </c>
      <c r="AF671" s="51" t="s">
        <v>902</v>
      </c>
      <c r="AI671" s="52" t="s">
        <v>888</v>
      </c>
      <c r="AJ671" s="51" t="s">
        <v>3471</v>
      </c>
      <c r="AK671" s="52" t="s">
        <v>888</v>
      </c>
      <c r="AP671" s="51" t="s">
        <v>4442</v>
      </c>
      <c r="AQ671" s="51" t="s">
        <v>3891</v>
      </c>
      <c r="AR671" s="51" t="s">
        <v>4444</v>
      </c>
      <c r="AS671" s="51" t="s">
        <v>949</v>
      </c>
      <c r="AT671" s="51" t="s">
        <v>4482</v>
      </c>
      <c r="AW671" s="52" t="s">
        <v>4481</v>
      </c>
      <c r="AX671" s="51" t="s">
        <v>3471</v>
      </c>
      <c r="AY671" s="52" t="s">
        <v>4481</v>
      </c>
    </row>
    <row r="672" spans="1:51" x14ac:dyDescent="0.25">
      <c r="A672" s="51" t="s">
        <v>3813</v>
      </c>
      <c r="B672" s="51">
        <v>55</v>
      </c>
      <c r="C672" s="51" t="s">
        <v>3838</v>
      </c>
      <c r="E672" s="54" t="str" cm="1">
        <f t="array" aca="1" ref="E672" ca="1">IF(H672=0,"",HYPERLINK("#"&amp;RIGHT(CELL("dateiname"),LEN(CELL("dateiname"))-FIND("]",CELL("dateiname")))&amp;"!"&amp;CELL("adresse",OFFSET($Q$6,H672-1,0)),"Definition"))</f>
        <v>Definition</v>
      </c>
      <c r="F672" s="54" t="str" cm="1">
        <f t="array" aca="1" ref="F672" ca="1">IF(I672=0,"",HYPERLINK("#"&amp;RIGHT(CELL("adresse",OFFSET(DMAV_Doku!$B$6,I672-1,0)),LEN(CELL("adresse",OFFSET(DMAV_Doku!$B$6,I672-1,0)))-SEARCH("]",CELL("adresse",OFFSET(DMAV_Doku!$B$6,I672-1,0)))),"ModDoc"))</f>
        <v>ModDoc</v>
      </c>
      <c r="G672" s="150" t="str">
        <f t="shared" si="20"/>
        <v>MGA55</v>
      </c>
      <c r="H672" s="150">
        <f t="shared" si="21"/>
        <v>26</v>
      </c>
      <c r="I672" s="150">
        <f>IF(_xlfn.XLOOKUP(G672,Korrelation!$A$4:$A$723,Korrelation!$B$4:$B$723,0,0)=0,0,MATCH(_xlfn.XLOOKUP(G672,Korrelation!$A$4:$A$723,Korrelation!$B$4:$B$723,0,0),DMAV_Doku!$H$6:$H$483,0))</f>
        <v>478</v>
      </c>
      <c r="J672" s="158"/>
      <c r="K672" s="161"/>
      <c r="L672" s="161"/>
      <c r="M672" s="158"/>
      <c r="N672" s="51" t="s">
        <v>4440</v>
      </c>
      <c r="O672" s="51" t="s">
        <v>3889</v>
      </c>
      <c r="P672" s="51" t="s">
        <v>24</v>
      </c>
      <c r="Q672" s="51" t="s">
        <v>949</v>
      </c>
      <c r="R672" s="51" t="s">
        <v>677</v>
      </c>
      <c r="U672" s="52" t="s">
        <v>77</v>
      </c>
      <c r="V672" s="52" t="s">
        <v>3471</v>
      </c>
      <c r="W672" s="52" t="s">
        <v>3472</v>
      </c>
      <c r="Y672" s="52" t="s">
        <v>4448</v>
      </c>
      <c r="AB672" s="51" t="s">
        <v>4441</v>
      </c>
      <c r="AC672" s="51" t="s">
        <v>3890</v>
      </c>
      <c r="AD672" s="51" t="s">
        <v>710</v>
      </c>
      <c r="AE672" s="51" t="s">
        <v>949</v>
      </c>
      <c r="AF672" s="51" t="s">
        <v>902</v>
      </c>
      <c r="AI672" s="52" t="s">
        <v>729</v>
      </c>
      <c r="AJ672" s="51" t="s">
        <v>3471</v>
      </c>
      <c r="AK672" s="52" t="s">
        <v>4036</v>
      </c>
      <c r="AP672" s="51" t="s">
        <v>4442</v>
      </c>
      <c r="AQ672" s="51" t="s">
        <v>3891</v>
      </c>
      <c r="AR672" s="51" t="s">
        <v>4444</v>
      </c>
      <c r="AS672" s="51" t="s">
        <v>949</v>
      </c>
      <c r="AT672" s="51" t="s">
        <v>4482</v>
      </c>
      <c r="AW672" s="52" t="s">
        <v>3933</v>
      </c>
      <c r="AX672" s="51" t="s">
        <v>3471</v>
      </c>
      <c r="AY672" s="52" t="s">
        <v>4037</v>
      </c>
    </row>
    <row r="673" spans="1:54" x14ac:dyDescent="0.25">
      <c r="A673" s="51" t="s">
        <v>3813</v>
      </c>
      <c r="B673" s="51">
        <v>56</v>
      </c>
      <c r="E673" s="54" t="str" cm="1">
        <f t="array" aca="1" ref="E673" ca="1">IF(H673=0,"",HYPERLINK("#"&amp;RIGHT(CELL("dateiname"),LEN(CELL("dateiname"))-FIND("]",CELL("dateiname")))&amp;"!"&amp;CELL("adresse",OFFSET($Q$6,H673-1,0)),"Definition"))</f>
        <v/>
      </c>
      <c r="F673" s="54" t="str" cm="1">
        <f t="array" aca="1" ref="F673" ca="1">IF(I673=0,"",HYPERLINK("#"&amp;RIGHT(CELL("adresse",OFFSET(DMAV_Doku!$B$6,I673-1,0)),LEN(CELL("adresse",OFFSET(DMAV_Doku!$B$6,I673-1,0)))-SEARCH("]",CELL("adresse",OFFSET(DMAV_Doku!$B$6,I673-1,0)))),"ModDoc"))</f>
        <v/>
      </c>
      <c r="G673" s="150" t="str">
        <f t="shared" si="20"/>
        <v>MGA56</v>
      </c>
      <c r="H673" s="150">
        <f t="shared" si="21"/>
        <v>0</v>
      </c>
      <c r="I673" s="150">
        <f>IF(_xlfn.XLOOKUP(G673,Korrelation!$A$4:$A$723,Korrelation!$B$4:$B$723,0,0)=0,0,MATCH(_xlfn.XLOOKUP(G673,Korrelation!$A$4:$A$723,Korrelation!$B$4:$B$723,0,0),DMAV_Doku!$H$6:$H$483,0))</f>
        <v>0</v>
      </c>
      <c r="J673" s="158"/>
      <c r="K673" s="161"/>
      <c r="L673" s="161"/>
      <c r="M673" s="158"/>
      <c r="N673" s="51" t="s">
        <v>4440</v>
      </c>
      <c r="O673" s="51" t="s">
        <v>3889</v>
      </c>
      <c r="P673" s="51" t="s">
        <v>24</v>
      </c>
      <c r="Q673" s="51" t="s">
        <v>967</v>
      </c>
      <c r="R673" s="51" t="s">
        <v>1188</v>
      </c>
      <c r="U673" s="55" t="s">
        <v>969</v>
      </c>
      <c r="V673" s="55"/>
      <c r="W673" s="52" t="s">
        <v>648</v>
      </c>
      <c r="X673" s="51" t="s">
        <v>970</v>
      </c>
      <c r="Y673" s="52" t="s">
        <v>4448</v>
      </c>
      <c r="AB673" s="51" t="s">
        <v>4441</v>
      </c>
      <c r="AC673" s="51" t="s">
        <v>3890</v>
      </c>
      <c r="AD673" s="51" t="s">
        <v>710</v>
      </c>
      <c r="AE673" s="51" t="s">
        <v>967</v>
      </c>
      <c r="AF673" s="51" t="s">
        <v>4491</v>
      </c>
      <c r="AI673" s="52" t="s">
        <v>1319</v>
      </c>
      <c r="AK673" s="52" t="s">
        <v>895</v>
      </c>
      <c r="AL673" s="51" t="s">
        <v>970</v>
      </c>
      <c r="AP673" s="51" t="s">
        <v>4442</v>
      </c>
      <c r="AQ673" s="51" t="s">
        <v>3891</v>
      </c>
      <c r="AR673" s="51" t="s">
        <v>4444</v>
      </c>
      <c r="AS673" s="51" t="s">
        <v>967</v>
      </c>
      <c r="AT673" s="51" t="s">
        <v>4492</v>
      </c>
      <c r="AW673" s="52" t="s">
        <v>1319</v>
      </c>
      <c r="AY673" s="52" t="s">
        <v>4449</v>
      </c>
      <c r="AZ673" s="51" t="s">
        <v>970</v>
      </c>
    </row>
    <row r="674" spans="1:54" x14ac:dyDescent="0.25">
      <c r="A674" s="51" t="s">
        <v>3813</v>
      </c>
      <c r="B674" s="51">
        <v>57</v>
      </c>
      <c r="E674" s="54" t="str" cm="1">
        <f t="array" aca="1" ref="E674" ca="1">IF(H674=0,"",HYPERLINK("#"&amp;RIGHT(CELL("dateiname"),LEN(CELL("dateiname"))-FIND("]",CELL("dateiname")))&amp;"!"&amp;CELL("adresse",OFFSET($Q$6,H674-1,0)),"Definition"))</f>
        <v/>
      </c>
      <c r="F674" s="54" t="str" cm="1">
        <f t="array" aca="1" ref="F674" ca="1">IF(I674=0,"",HYPERLINK("#"&amp;RIGHT(CELL("adresse",OFFSET(DMAV_Doku!$B$6,I674-1,0)),LEN(CELL("adresse",OFFSET(DMAV_Doku!$B$6,I674-1,0)))-SEARCH("]",CELL("adresse",OFFSET(DMAV_Doku!$B$6,I674-1,0)))),"ModDoc"))</f>
        <v/>
      </c>
      <c r="G674" s="150" t="str">
        <f t="shared" si="20"/>
        <v>MGA57</v>
      </c>
      <c r="H674" s="150">
        <f t="shared" si="21"/>
        <v>0</v>
      </c>
      <c r="I674" s="150">
        <f>IF(_xlfn.XLOOKUP(G674,Korrelation!$A$4:$A$723,Korrelation!$B$4:$B$723,0,0)=0,0,MATCH(_xlfn.XLOOKUP(G674,Korrelation!$A$4:$A$723,Korrelation!$B$4:$B$723,0,0),DMAV_Doku!$H$6:$H$483,0))</f>
        <v>0</v>
      </c>
      <c r="J674" s="158"/>
      <c r="K674" s="161"/>
      <c r="L674" s="161"/>
      <c r="M674" s="158"/>
      <c r="N674" s="51" t="s">
        <v>4440</v>
      </c>
      <c r="O674" s="51" t="s">
        <v>3889</v>
      </c>
      <c r="P674" s="51" t="s">
        <v>24</v>
      </c>
      <c r="Q674" s="51" t="s">
        <v>967</v>
      </c>
      <c r="R674" s="51" t="s">
        <v>1188</v>
      </c>
      <c r="U674" s="52" t="s">
        <v>1189</v>
      </c>
      <c r="W674" s="52" t="s">
        <v>677</v>
      </c>
      <c r="X674" s="51" t="s">
        <v>972</v>
      </c>
      <c r="Y674" s="52" t="s">
        <v>4448</v>
      </c>
      <c r="AB674" s="51" t="s">
        <v>4441</v>
      </c>
      <c r="AC674" s="51" t="s">
        <v>3890</v>
      </c>
      <c r="AD674" s="51" t="s">
        <v>710</v>
      </c>
      <c r="AE674" s="51" t="s">
        <v>967</v>
      </c>
      <c r="AF674" s="51" t="s">
        <v>4491</v>
      </c>
      <c r="AI674" s="52" t="s">
        <v>4493</v>
      </c>
      <c r="AK674" s="52" t="s">
        <v>902</v>
      </c>
      <c r="AL674" s="51" t="s">
        <v>972</v>
      </c>
      <c r="AP674" s="51" t="s">
        <v>4442</v>
      </c>
      <c r="AQ674" s="51" t="s">
        <v>3891</v>
      </c>
      <c r="AR674" s="51" t="s">
        <v>4444</v>
      </c>
      <c r="AS674" s="51" t="s">
        <v>967</v>
      </c>
      <c r="AT674" s="51" t="s">
        <v>4492</v>
      </c>
      <c r="AW674" s="52" t="s">
        <v>4494</v>
      </c>
      <c r="AY674" s="52" t="s">
        <v>4482</v>
      </c>
      <c r="AZ674" s="51" t="s">
        <v>972</v>
      </c>
    </row>
    <row r="675" spans="1:54" x14ac:dyDescent="0.25">
      <c r="A675" s="51" t="s">
        <v>3813</v>
      </c>
      <c r="B675" s="51">
        <v>58</v>
      </c>
      <c r="E675" s="54" t="str" cm="1">
        <f t="array" aca="1" ref="E675" ca="1">IF(H675=0,"",HYPERLINK("#"&amp;RIGHT(CELL("dateiname"),LEN(CELL("dateiname"))-FIND("]",CELL("dateiname")))&amp;"!"&amp;CELL("adresse",OFFSET($Q$6,H675-1,0)),"Definition"))</f>
        <v/>
      </c>
      <c r="F675" s="54" t="str" cm="1">
        <f t="array" aca="1" ref="F675" ca="1">IF(I675=0,"",HYPERLINK("#"&amp;RIGHT(CELL("adresse",OFFSET(DMAV_Doku!$B$6,I675-1,0)),LEN(CELL("adresse",OFFSET(DMAV_Doku!$B$6,I675-1,0)))-SEARCH("]",CELL("adresse",OFFSET(DMAV_Doku!$B$6,I675-1,0)))),"ModDoc"))</f>
        <v/>
      </c>
      <c r="G675" s="150" t="str">
        <f t="shared" si="20"/>
        <v>MGA58</v>
      </c>
      <c r="H675" s="150">
        <f t="shared" si="21"/>
        <v>0</v>
      </c>
      <c r="I675" s="150">
        <f>IF(_xlfn.XLOOKUP(G675,Korrelation!$A$4:$A$723,Korrelation!$B$4:$B$723,0,0)=0,0,MATCH(_xlfn.XLOOKUP(G675,Korrelation!$A$4:$A$723,Korrelation!$B$4:$B$723,0,0),DMAV_Doku!$H$6:$H$483,0))</f>
        <v>0</v>
      </c>
      <c r="J675" s="158"/>
      <c r="K675" s="161"/>
      <c r="L675" s="161"/>
      <c r="M675" s="158"/>
      <c r="N675" s="51" t="s">
        <v>4440</v>
      </c>
      <c r="O675" s="51" t="s">
        <v>3889</v>
      </c>
      <c r="P675" s="51" t="s">
        <v>24</v>
      </c>
      <c r="Q675" s="51" t="s">
        <v>967</v>
      </c>
      <c r="R675" s="51" t="s">
        <v>1195</v>
      </c>
      <c r="U675" s="52" t="s">
        <v>649</v>
      </c>
      <c r="W675" s="52" t="s">
        <v>649</v>
      </c>
      <c r="X675" s="51" t="s">
        <v>1196</v>
      </c>
      <c r="Y675" s="52" t="s">
        <v>4448</v>
      </c>
      <c r="AB675" s="51" t="s">
        <v>4441</v>
      </c>
      <c r="AC675" s="51" t="s">
        <v>3890</v>
      </c>
      <c r="AD675" s="51" t="s">
        <v>710</v>
      </c>
      <c r="AE675" s="51" t="s">
        <v>967</v>
      </c>
      <c r="AF675" s="51" t="s">
        <v>4495</v>
      </c>
      <c r="AI675" s="52" t="s">
        <v>896</v>
      </c>
      <c r="AK675" s="52" t="s">
        <v>896</v>
      </c>
      <c r="AL675" s="51" t="s">
        <v>1196</v>
      </c>
      <c r="AP675" s="51" t="s">
        <v>4442</v>
      </c>
      <c r="AQ675" s="51" t="s">
        <v>3891</v>
      </c>
      <c r="AR675" s="51" t="s">
        <v>4444</v>
      </c>
      <c r="AS675" s="51" t="s">
        <v>967</v>
      </c>
      <c r="AT675" s="51" t="s">
        <v>4496</v>
      </c>
      <c r="AW675" s="52" t="s">
        <v>1580</v>
      </c>
      <c r="AY675" s="52" t="s">
        <v>1580</v>
      </c>
      <c r="AZ675" s="51" t="s">
        <v>1196</v>
      </c>
    </row>
    <row r="676" spans="1:54" x14ac:dyDescent="0.25">
      <c r="A676" s="51" t="s">
        <v>3813</v>
      </c>
      <c r="B676" s="51">
        <v>59</v>
      </c>
      <c r="E676" s="54" t="str" cm="1">
        <f t="array" aca="1" ref="E676" ca="1">IF(H676=0,"",HYPERLINK("#"&amp;RIGHT(CELL("dateiname"),LEN(CELL("dateiname"))-FIND("]",CELL("dateiname")))&amp;"!"&amp;CELL("adresse",OFFSET($Q$6,H676-1,0)),"Definition"))</f>
        <v/>
      </c>
      <c r="F676" s="54" t="str" cm="1">
        <f t="array" aca="1" ref="F676" ca="1">IF(I676=0,"",HYPERLINK("#"&amp;RIGHT(CELL("adresse",OFFSET(DMAV_Doku!$B$6,I676-1,0)),LEN(CELL("adresse",OFFSET(DMAV_Doku!$B$6,I676-1,0)))-SEARCH("]",CELL("adresse",OFFSET(DMAV_Doku!$B$6,I676-1,0)))),"ModDoc"))</f>
        <v/>
      </c>
      <c r="G676" s="150" t="str">
        <f t="shared" si="20"/>
        <v>MGA59</v>
      </c>
      <c r="H676" s="150">
        <f t="shared" si="21"/>
        <v>0</v>
      </c>
      <c r="I676" s="150">
        <f>IF(_xlfn.XLOOKUP(G676,Korrelation!$A$4:$A$723,Korrelation!$B$4:$B$723,0,0)=0,0,MATCH(_xlfn.XLOOKUP(G676,Korrelation!$A$4:$A$723,Korrelation!$B$4:$B$723,0,0),DMAV_Doku!$H$6:$H$483,0))</f>
        <v>0</v>
      </c>
      <c r="J676" s="158"/>
      <c r="K676" s="161"/>
      <c r="L676" s="161"/>
      <c r="M676" s="158"/>
      <c r="N676" s="51" t="s">
        <v>4440</v>
      </c>
      <c r="O676" s="51" t="s">
        <v>3889</v>
      </c>
      <c r="P676" s="51" t="s">
        <v>24</v>
      </c>
      <c r="Q676" s="51" t="s">
        <v>967</v>
      </c>
      <c r="R676" s="51" t="s">
        <v>1195</v>
      </c>
      <c r="U676" s="52" t="s">
        <v>677</v>
      </c>
      <c r="W676" s="52" t="s">
        <v>677</v>
      </c>
      <c r="X676" s="51" t="s">
        <v>972</v>
      </c>
      <c r="Y676" s="52" t="s">
        <v>4448</v>
      </c>
      <c r="AB676" s="51" t="s">
        <v>4441</v>
      </c>
      <c r="AC676" s="51" t="s">
        <v>3890</v>
      </c>
      <c r="AD676" s="51" t="s">
        <v>710</v>
      </c>
      <c r="AE676" s="51" t="s">
        <v>967</v>
      </c>
      <c r="AF676" s="51" t="s">
        <v>4495</v>
      </c>
      <c r="AI676" s="52" t="s">
        <v>902</v>
      </c>
      <c r="AK676" s="52" t="s">
        <v>902</v>
      </c>
      <c r="AL676" s="51" t="s">
        <v>972</v>
      </c>
      <c r="AP676" s="51" t="s">
        <v>4442</v>
      </c>
      <c r="AQ676" s="51" t="s">
        <v>3891</v>
      </c>
      <c r="AR676" s="51" t="s">
        <v>4444</v>
      </c>
      <c r="AS676" s="51" t="s">
        <v>967</v>
      </c>
      <c r="AT676" s="51" t="s">
        <v>4496</v>
      </c>
      <c r="AW676" s="52" t="s">
        <v>4482</v>
      </c>
      <c r="AY676" s="52" t="s">
        <v>4482</v>
      </c>
      <c r="AZ676" s="51" t="s">
        <v>972</v>
      </c>
    </row>
    <row r="677" spans="1:54" ht="38.25" x14ac:dyDescent="0.25">
      <c r="A677" s="51" t="s">
        <v>3813</v>
      </c>
      <c r="B677" s="51">
        <v>60</v>
      </c>
      <c r="D677" s="51" t="s">
        <v>3554</v>
      </c>
      <c r="E677" s="54" t="str" cm="1">
        <f t="array" aca="1" ref="E677" ca="1">IF(H677=0,"",HYPERLINK("#"&amp;RIGHT(CELL("dateiname"),LEN(CELL("dateiname"))-FIND("]",CELL("dateiname")))&amp;"!"&amp;CELL("adresse",OFFSET($Q$6,H677-1,0)),"Definition"))</f>
        <v/>
      </c>
      <c r="F677" s="54" t="str" cm="1">
        <f t="array" aca="1" ref="F677" ca="1">IF(I677=0,"",HYPERLINK("#"&amp;RIGHT(CELL("adresse",OFFSET(DMAV_Doku!$B$6,I677-1,0)),LEN(CELL("adresse",OFFSET(DMAV_Doku!$B$6,I677-1,0)))-SEARCH("]",CELL("adresse",OFFSET(DMAV_Doku!$B$6,I677-1,0)))),"ModDoc"))</f>
        <v/>
      </c>
      <c r="G677" s="150" t="str">
        <f t="shared" si="20"/>
        <v>MGA60</v>
      </c>
      <c r="H677" s="150">
        <f t="shared" si="21"/>
        <v>0</v>
      </c>
      <c r="I677" s="150">
        <f>IF(_xlfn.XLOOKUP(G677,Korrelation!$A$4:$A$723,Korrelation!$B$4:$B$723,0,0)=0,0,MATCH(_xlfn.XLOOKUP(G677,Korrelation!$A$4:$A$723,Korrelation!$B$4:$B$723,0,0),DMAV_Doku!$H$6:$H$483,0))</f>
        <v>0</v>
      </c>
      <c r="J677" s="158"/>
      <c r="K677" s="161"/>
      <c r="L677" s="161"/>
      <c r="M677" s="158"/>
      <c r="N677" s="51" t="s">
        <v>4440</v>
      </c>
      <c r="O677" s="51" t="s">
        <v>3889</v>
      </c>
      <c r="P677" s="51" t="s">
        <v>24</v>
      </c>
      <c r="Q677" s="51" t="s">
        <v>1015</v>
      </c>
      <c r="R677" s="51" t="s">
        <v>1195</v>
      </c>
      <c r="S677" s="50" t="s">
        <v>950</v>
      </c>
      <c r="U677" s="52" t="s">
        <v>4497</v>
      </c>
      <c r="W677" s="52" t="s">
        <v>3553</v>
      </c>
      <c r="Y677" s="52" t="s">
        <v>4448</v>
      </c>
      <c r="Z677" s="202" t="s">
        <v>5657</v>
      </c>
      <c r="AB677" s="51" t="s">
        <v>4441</v>
      </c>
      <c r="AC677" s="51" t="s">
        <v>3890</v>
      </c>
      <c r="AD677" s="51" t="s">
        <v>710</v>
      </c>
      <c r="AE677" s="51" t="s">
        <v>1015</v>
      </c>
      <c r="AF677" s="51" t="s">
        <v>4495</v>
      </c>
      <c r="AG677" s="50" t="s">
        <v>950</v>
      </c>
      <c r="AI677" s="52" t="s">
        <v>4498</v>
      </c>
      <c r="AK677" s="52" t="s">
        <v>4499</v>
      </c>
      <c r="AN677" s="202" t="s">
        <v>7256</v>
      </c>
      <c r="AP677" s="51" t="s">
        <v>4442</v>
      </c>
      <c r="AQ677" s="51" t="s">
        <v>3891</v>
      </c>
      <c r="AR677" s="51" t="s">
        <v>4444</v>
      </c>
      <c r="AS677" s="51" t="s">
        <v>1015</v>
      </c>
      <c r="AT677" s="51" t="s">
        <v>4496</v>
      </c>
      <c r="AU677" s="50" t="s">
        <v>950</v>
      </c>
      <c r="AW677" s="52" t="s">
        <v>4498</v>
      </c>
      <c r="AY677" s="52" t="s">
        <v>4500</v>
      </c>
      <c r="BB677" s="202" t="s">
        <v>6041</v>
      </c>
    </row>
    <row r="678" spans="1:54" x14ac:dyDescent="0.25">
      <c r="L678" s="160">
        <v>45689</v>
      </c>
      <c r="N678" s="51" t="s">
        <v>908</v>
      </c>
      <c r="O678" s="51" t="s">
        <v>909</v>
      </c>
      <c r="Q678" s="51" t="s">
        <v>910</v>
      </c>
      <c r="R678" s="51" t="s">
        <v>916</v>
      </c>
    </row>
    <row r="679" spans="1:54" x14ac:dyDescent="0.25">
      <c r="L679" s="160">
        <v>45689</v>
      </c>
      <c r="N679" s="51" t="s">
        <v>908</v>
      </c>
      <c r="O679" s="51" t="s">
        <v>909</v>
      </c>
      <c r="Q679" s="51" t="s">
        <v>910</v>
      </c>
      <c r="R679" s="51" t="s">
        <v>914</v>
      </c>
    </row>
    <row r="680" spans="1:54" x14ac:dyDescent="0.25">
      <c r="L680" s="160">
        <v>45689</v>
      </c>
      <c r="N680" s="51" t="s">
        <v>908</v>
      </c>
      <c r="O680" s="51" t="s">
        <v>909</v>
      </c>
      <c r="Q680" s="51" t="s">
        <v>910</v>
      </c>
      <c r="R680" s="51" t="s">
        <v>920</v>
      </c>
    </row>
    <row r="681" spans="1:54" x14ac:dyDescent="0.25">
      <c r="L681" s="160">
        <v>45689</v>
      </c>
      <c r="N681" s="51" t="s">
        <v>908</v>
      </c>
      <c r="O681" s="51" t="s">
        <v>909</v>
      </c>
      <c r="Q681" s="51" t="s">
        <v>910</v>
      </c>
      <c r="R681" s="51" t="s">
        <v>922</v>
      </c>
    </row>
    <row r="682" spans="1:54" x14ac:dyDescent="0.25">
      <c r="L682" s="160">
        <v>45444</v>
      </c>
      <c r="N682" s="51" t="s">
        <v>3358</v>
      </c>
      <c r="O682" s="51" t="s">
        <v>3355</v>
      </c>
      <c r="Q682" s="51" t="s">
        <v>910</v>
      </c>
      <c r="R682" s="51" t="s">
        <v>936</v>
      </c>
    </row>
    <row r="683" spans="1:54" x14ac:dyDescent="0.25">
      <c r="L683" s="160">
        <v>45444</v>
      </c>
      <c r="N683" s="51" t="s">
        <v>3358</v>
      </c>
      <c r="O683" s="51" t="s">
        <v>3355</v>
      </c>
      <c r="Q683" s="51" t="s">
        <v>910</v>
      </c>
      <c r="R683" s="51" t="s">
        <v>943</v>
      </c>
    </row>
    <row r="684" spans="1:54" x14ac:dyDescent="0.25">
      <c r="L684" s="160">
        <v>45555</v>
      </c>
      <c r="N684" s="51" t="s">
        <v>3358</v>
      </c>
      <c r="O684" s="51" t="s">
        <v>3355</v>
      </c>
      <c r="Q684" s="51" t="s">
        <v>910</v>
      </c>
      <c r="R684" s="51" t="s">
        <v>931</v>
      </c>
    </row>
    <row r="685" spans="1:54" x14ac:dyDescent="0.25">
      <c r="L685" s="160">
        <v>45689</v>
      </c>
      <c r="N685" s="51" t="s">
        <v>958</v>
      </c>
      <c r="O685" s="51" t="s">
        <v>914</v>
      </c>
      <c r="Q685" s="51" t="s">
        <v>910</v>
      </c>
      <c r="R685" s="51" t="s">
        <v>932</v>
      </c>
    </row>
    <row r="686" spans="1:54" x14ac:dyDescent="0.25">
      <c r="L686" s="160">
        <v>45689</v>
      </c>
      <c r="N686" s="51" t="s">
        <v>958</v>
      </c>
      <c r="O686" s="51" t="s">
        <v>914</v>
      </c>
      <c r="Q686" s="51" t="s">
        <v>910</v>
      </c>
      <c r="R686" s="51" t="s">
        <v>926</v>
      </c>
    </row>
    <row r="687" spans="1:54" x14ac:dyDescent="0.25">
      <c r="L687" s="160">
        <v>45689</v>
      </c>
      <c r="N687" s="51" t="s">
        <v>958</v>
      </c>
      <c r="O687" s="51" t="s">
        <v>914</v>
      </c>
      <c r="Q687" s="51" t="s">
        <v>910</v>
      </c>
      <c r="R687" s="51" t="s">
        <v>947</v>
      </c>
    </row>
    <row r="688" spans="1:54" x14ac:dyDescent="0.25">
      <c r="L688" s="160">
        <v>45689</v>
      </c>
      <c r="N688" s="51" t="s">
        <v>958</v>
      </c>
      <c r="O688" s="51" t="s">
        <v>914</v>
      </c>
      <c r="Q688" s="51" t="s">
        <v>910</v>
      </c>
      <c r="R688" s="51" t="s">
        <v>938</v>
      </c>
    </row>
    <row r="689" spans="4:23" x14ac:dyDescent="0.25">
      <c r="L689" s="160">
        <v>45689</v>
      </c>
      <c r="N689" s="51" t="s">
        <v>958</v>
      </c>
      <c r="O689" s="51" t="s">
        <v>914</v>
      </c>
      <c r="Q689" s="51" t="s">
        <v>910</v>
      </c>
      <c r="R689" s="51" t="s">
        <v>930</v>
      </c>
    </row>
    <row r="690" spans="4:23" x14ac:dyDescent="0.25">
      <c r="K690" s="160">
        <v>45444</v>
      </c>
      <c r="L690" s="160">
        <v>45689</v>
      </c>
      <c r="N690" s="51" t="s">
        <v>958</v>
      </c>
      <c r="O690" s="51" t="s">
        <v>914</v>
      </c>
      <c r="P690" s="51" t="s">
        <v>12</v>
      </c>
      <c r="Q690" s="51" t="s">
        <v>927</v>
      </c>
      <c r="R690" s="51" t="s">
        <v>138</v>
      </c>
      <c r="W690" s="131" t="s">
        <v>139</v>
      </c>
    </row>
    <row r="691" spans="4:23" x14ac:dyDescent="0.25">
      <c r="K691" s="160">
        <v>45444</v>
      </c>
      <c r="L691" s="160">
        <v>45689</v>
      </c>
      <c r="N691" s="51" t="s">
        <v>958</v>
      </c>
      <c r="O691" s="51" t="s">
        <v>914</v>
      </c>
      <c r="P691" s="51" t="s">
        <v>12</v>
      </c>
      <c r="Q691" s="51" t="s">
        <v>927</v>
      </c>
      <c r="R691" s="51" t="s">
        <v>138</v>
      </c>
      <c r="W691" s="131" t="s">
        <v>141</v>
      </c>
    </row>
    <row r="692" spans="4:23" x14ac:dyDescent="0.25">
      <c r="K692" s="160">
        <v>45444</v>
      </c>
      <c r="L692" s="160">
        <v>45689</v>
      </c>
      <c r="N692" s="51" t="s">
        <v>958</v>
      </c>
      <c r="O692" s="51" t="s">
        <v>914</v>
      </c>
      <c r="P692" s="51" t="s">
        <v>12</v>
      </c>
      <c r="Q692" s="51" t="s">
        <v>927</v>
      </c>
      <c r="R692" s="51" t="s">
        <v>138</v>
      </c>
      <c r="W692" s="131" t="s">
        <v>143</v>
      </c>
    </row>
    <row r="693" spans="4:23" x14ac:dyDescent="0.25">
      <c r="D693" s="51" t="s">
        <v>3424</v>
      </c>
      <c r="L693" s="160">
        <v>45689</v>
      </c>
      <c r="N693" s="51" t="s">
        <v>958</v>
      </c>
      <c r="O693" s="51" t="s">
        <v>914</v>
      </c>
      <c r="P693" s="51" t="s">
        <v>12</v>
      </c>
      <c r="Q693" s="51" t="s">
        <v>949</v>
      </c>
      <c r="R693" s="51" t="s">
        <v>145</v>
      </c>
      <c r="S693" s="50" t="s">
        <v>950</v>
      </c>
      <c r="T693" s="51" t="s">
        <v>959</v>
      </c>
      <c r="U693" s="52" t="s">
        <v>96</v>
      </c>
      <c r="W693" s="131" t="s">
        <v>951</v>
      </c>
    </row>
    <row r="694" spans="4:23" x14ac:dyDescent="0.25">
      <c r="D694" s="51" t="s">
        <v>3424</v>
      </c>
      <c r="L694" s="160">
        <v>45689</v>
      </c>
      <c r="N694" s="51" t="s">
        <v>958</v>
      </c>
      <c r="O694" s="51" t="s">
        <v>914</v>
      </c>
      <c r="P694" s="51" t="s">
        <v>12</v>
      </c>
      <c r="Q694" s="51" t="s">
        <v>949</v>
      </c>
      <c r="R694" s="51" t="s">
        <v>145</v>
      </c>
      <c r="S694" s="50" t="s">
        <v>950</v>
      </c>
      <c r="T694" s="51" t="s">
        <v>959</v>
      </c>
      <c r="U694" s="52" t="s">
        <v>121</v>
      </c>
      <c r="W694" s="131" t="s">
        <v>951</v>
      </c>
    </row>
    <row r="695" spans="4:23" x14ac:dyDescent="0.25">
      <c r="L695" s="160">
        <v>45689</v>
      </c>
      <c r="N695" s="51" t="s">
        <v>958</v>
      </c>
      <c r="O695" s="51" t="s">
        <v>914</v>
      </c>
      <c r="P695" s="51" t="s">
        <v>12</v>
      </c>
      <c r="Q695" s="51" t="s">
        <v>949</v>
      </c>
      <c r="R695" s="51" t="s">
        <v>145</v>
      </c>
      <c r="S695" s="50" t="s">
        <v>950</v>
      </c>
      <c r="U695" s="52" t="s">
        <v>123</v>
      </c>
      <c r="W695" s="131" t="s">
        <v>952</v>
      </c>
    </row>
    <row r="696" spans="4:23" x14ac:dyDescent="0.25">
      <c r="L696" s="160">
        <v>45689</v>
      </c>
      <c r="N696" s="51" t="s">
        <v>958</v>
      </c>
      <c r="O696" s="51" t="s">
        <v>914</v>
      </c>
      <c r="P696" s="51" t="s">
        <v>12</v>
      </c>
      <c r="Q696" s="51" t="s">
        <v>949</v>
      </c>
      <c r="R696" s="51" t="s">
        <v>145</v>
      </c>
      <c r="U696" s="52" t="s">
        <v>125</v>
      </c>
      <c r="W696" s="131" t="s">
        <v>953</v>
      </c>
    </row>
    <row r="697" spans="4:23" x14ac:dyDescent="0.25">
      <c r="L697" s="160">
        <v>45689</v>
      </c>
      <c r="N697" s="51" t="s">
        <v>958</v>
      </c>
      <c r="O697" s="51" t="s">
        <v>914</v>
      </c>
      <c r="P697" s="51" t="s">
        <v>12</v>
      </c>
      <c r="Q697" s="51" t="s">
        <v>949</v>
      </c>
      <c r="R697" s="51" t="s">
        <v>145</v>
      </c>
      <c r="S697" s="50" t="s">
        <v>950</v>
      </c>
      <c r="U697" s="52" t="s">
        <v>128</v>
      </c>
      <c r="W697" s="131" t="s">
        <v>954</v>
      </c>
    </row>
    <row r="698" spans="4:23" x14ac:dyDescent="0.25">
      <c r="L698" s="160">
        <v>45689</v>
      </c>
      <c r="N698" s="51" t="s">
        <v>958</v>
      </c>
      <c r="O698" s="51" t="s">
        <v>914</v>
      </c>
      <c r="P698" s="51" t="s">
        <v>12</v>
      </c>
      <c r="Q698" s="51" t="s">
        <v>949</v>
      </c>
      <c r="R698" s="51" t="s">
        <v>145</v>
      </c>
      <c r="S698" s="50" t="s">
        <v>950</v>
      </c>
      <c r="U698" s="52" t="s">
        <v>130</v>
      </c>
      <c r="W698" s="131" t="s">
        <v>955</v>
      </c>
    </row>
    <row r="699" spans="4:23" x14ac:dyDescent="0.25">
      <c r="L699" s="160">
        <v>45689</v>
      </c>
      <c r="N699" s="51" t="s">
        <v>958</v>
      </c>
      <c r="O699" s="51" t="s">
        <v>914</v>
      </c>
      <c r="P699" s="51" t="s">
        <v>12</v>
      </c>
      <c r="Q699" s="51" t="s">
        <v>949</v>
      </c>
      <c r="R699" s="51" t="s">
        <v>145</v>
      </c>
      <c r="U699" s="52" t="s">
        <v>132</v>
      </c>
      <c r="W699" s="131" t="s">
        <v>954</v>
      </c>
    </row>
    <row r="700" spans="4:23" x14ac:dyDescent="0.25">
      <c r="L700" s="160">
        <v>45689</v>
      </c>
      <c r="N700" s="51" t="s">
        <v>958</v>
      </c>
      <c r="O700" s="51" t="s">
        <v>914</v>
      </c>
      <c r="P700" s="51" t="s">
        <v>12</v>
      </c>
      <c r="Q700" s="51" t="s">
        <v>949</v>
      </c>
      <c r="R700" s="51" t="s">
        <v>145</v>
      </c>
      <c r="U700" s="52" t="s">
        <v>133</v>
      </c>
      <c r="W700" s="131" t="s">
        <v>955</v>
      </c>
    </row>
    <row r="701" spans="4:23" x14ac:dyDescent="0.25">
      <c r="L701" s="160">
        <v>45689</v>
      </c>
      <c r="N701" s="51" t="s">
        <v>958</v>
      </c>
      <c r="O701" s="51" t="s">
        <v>914</v>
      </c>
      <c r="P701" s="51" t="s">
        <v>12</v>
      </c>
      <c r="Q701" s="51" t="s">
        <v>949</v>
      </c>
      <c r="R701" s="51" t="s">
        <v>145</v>
      </c>
      <c r="S701" s="50" t="s">
        <v>950</v>
      </c>
      <c r="U701" s="52" t="s">
        <v>136</v>
      </c>
      <c r="W701" s="131" t="s">
        <v>131</v>
      </c>
    </row>
    <row r="702" spans="4:23" x14ac:dyDescent="0.25">
      <c r="L702" s="160">
        <v>45689</v>
      </c>
      <c r="N702" s="51" t="s">
        <v>958</v>
      </c>
      <c r="O702" s="51" t="s">
        <v>914</v>
      </c>
      <c r="P702" s="51" t="s">
        <v>12</v>
      </c>
      <c r="Q702" s="51" t="s">
        <v>949</v>
      </c>
      <c r="R702" s="51" t="s">
        <v>145</v>
      </c>
      <c r="U702" s="52" t="s">
        <v>134</v>
      </c>
      <c r="W702" s="131" t="s">
        <v>960</v>
      </c>
    </row>
    <row r="703" spans="4:23" x14ac:dyDescent="0.25">
      <c r="L703" s="160">
        <v>45689</v>
      </c>
      <c r="N703" s="51" t="s">
        <v>958</v>
      </c>
      <c r="O703" s="51" t="s">
        <v>914</v>
      </c>
      <c r="P703" s="51" t="s">
        <v>12</v>
      </c>
      <c r="Q703" s="51" t="s">
        <v>949</v>
      </c>
      <c r="R703" s="51" t="s">
        <v>145</v>
      </c>
      <c r="U703" s="52" t="s">
        <v>138</v>
      </c>
      <c r="W703" s="131" t="s">
        <v>138</v>
      </c>
    </row>
    <row r="704" spans="4:23" x14ac:dyDescent="0.25">
      <c r="L704" s="160">
        <v>45689</v>
      </c>
      <c r="N704" s="51" t="s">
        <v>958</v>
      </c>
      <c r="O704" s="51" t="s">
        <v>914</v>
      </c>
      <c r="P704" s="51" t="s">
        <v>12</v>
      </c>
      <c r="Q704" s="51" t="s">
        <v>949</v>
      </c>
      <c r="R704" s="51" t="s">
        <v>145</v>
      </c>
      <c r="S704" s="50" t="s">
        <v>950</v>
      </c>
      <c r="U704" s="52" t="s">
        <v>148</v>
      </c>
      <c r="W704" s="131" t="s">
        <v>131</v>
      </c>
    </row>
    <row r="705" spans="4:24" x14ac:dyDescent="0.25">
      <c r="L705" s="160">
        <v>45689</v>
      </c>
      <c r="N705" s="51" t="s">
        <v>958</v>
      </c>
      <c r="O705" s="51" t="s">
        <v>914</v>
      </c>
      <c r="P705" s="51" t="s">
        <v>12</v>
      </c>
      <c r="Q705" s="51" t="s">
        <v>949</v>
      </c>
      <c r="R705" s="51" t="s">
        <v>145</v>
      </c>
      <c r="U705" s="52" t="s">
        <v>149</v>
      </c>
      <c r="W705" s="131" t="s">
        <v>961</v>
      </c>
      <c r="X705" s="51">
        <v>0</v>
      </c>
    </row>
    <row r="706" spans="4:24" ht="25.5" x14ac:dyDescent="0.25">
      <c r="D706" s="51" t="s">
        <v>3425</v>
      </c>
      <c r="L706" s="160">
        <v>45689</v>
      </c>
      <c r="N706" s="51" t="s">
        <v>958</v>
      </c>
      <c r="O706" s="51" t="s">
        <v>914</v>
      </c>
      <c r="P706" s="51" t="s">
        <v>12</v>
      </c>
      <c r="Q706" s="51" t="s">
        <v>957</v>
      </c>
      <c r="R706" s="51" t="s">
        <v>145</v>
      </c>
      <c r="S706" s="50" t="s">
        <v>950</v>
      </c>
      <c r="U706" s="52" t="s">
        <v>2751</v>
      </c>
      <c r="W706" s="131" t="s">
        <v>3420</v>
      </c>
    </row>
    <row r="707" spans="4:24" ht="25.5" x14ac:dyDescent="0.25">
      <c r="D707" s="51" t="s">
        <v>3426</v>
      </c>
      <c r="L707" s="160">
        <v>45689</v>
      </c>
      <c r="N707" s="51" t="s">
        <v>958</v>
      </c>
      <c r="O707" s="51" t="s">
        <v>914</v>
      </c>
      <c r="P707" s="51" t="s">
        <v>12</v>
      </c>
      <c r="Q707" s="51" t="s">
        <v>957</v>
      </c>
      <c r="R707" s="51" t="s">
        <v>145</v>
      </c>
      <c r="S707" s="50" t="s">
        <v>950</v>
      </c>
      <c r="U707" s="52" t="s">
        <v>2751</v>
      </c>
      <c r="W707" s="131" t="s">
        <v>3422</v>
      </c>
    </row>
    <row r="708" spans="4:24" ht="25.5" x14ac:dyDescent="0.25">
      <c r="D708" s="51" t="s">
        <v>3429</v>
      </c>
      <c r="L708" s="160">
        <v>45689</v>
      </c>
      <c r="N708" s="51" t="s">
        <v>958</v>
      </c>
      <c r="O708" s="51" t="s">
        <v>914</v>
      </c>
      <c r="P708" s="51" t="s">
        <v>12</v>
      </c>
      <c r="Q708" s="51" t="s">
        <v>957</v>
      </c>
      <c r="R708" s="51" t="s">
        <v>145</v>
      </c>
      <c r="S708" s="50" t="s">
        <v>950</v>
      </c>
      <c r="U708" s="52" t="s">
        <v>3427</v>
      </c>
      <c r="W708" s="131" t="s">
        <v>3428</v>
      </c>
    </row>
    <row r="709" spans="4:24" x14ac:dyDescent="0.25">
      <c r="D709" s="51" t="s">
        <v>3430</v>
      </c>
      <c r="L709" s="160">
        <v>45689</v>
      </c>
      <c r="N709" s="51" t="s">
        <v>958</v>
      </c>
      <c r="O709" s="51" t="s">
        <v>914</v>
      </c>
      <c r="P709" s="51" t="s">
        <v>12</v>
      </c>
      <c r="Q709" s="51" t="s">
        <v>949</v>
      </c>
      <c r="R709" s="51" t="s">
        <v>150</v>
      </c>
      <c r="S709" s="50" t="s">
        <v>950</v>
      </c>
      <c r="T709" s="51" t="s">
        <v>959</v>
      </c>
      <c r="U709" s="52" t="s">
        <v>96</v>
      </c>
      <c r="W709" s="131" t="s">
        <v>951</v>
      </c>
    </row>
    <row r="710" spans="4:24" x14ac:dyDescent="0.25">
      <c r="D710" s="51" t="s">
        <v>3430</v>
      </c>
      <c r="L710" s="160">
        <v>45689</v>
      </c>
      <c r="N710" s="51" t="s">
        <v>958</v>
      </c>
      <c r="O710" s="51" t="s">
        <v>914</v>
      </c>
      <c r="P710" s="51" t="s">
        <v>12</v>
      </c>
      <c r="Q710" s="51" t="s">
        <v>949</v>
      </c>
      <c r="R710" s="51" t="s">
        <v>150</v>
      </c>
      <c r="S710" s="50" t="s">
        <v>950</v>
      </c>
      <c r="T710" s="51" t="s">
        <v>959</v>
      </c>
      <c r="U710" s="52" t="s">
        <v>121</v>
      </c>
      <c r="W710" s="131" t="s">
        <v>951</v>
      </c>
    </row>
    <row r="711" spans="4:24" x14ac:dyDescent="0.25">
      <c r="D711" s="51" t="s">
        <v>3431</v>
      </c>
      <c r="L711" s="160">
        <v>45689</v>
      </c>
      <c r="N711" s="51" t="s">
        <v>958</v>
      </c>
      <c r="O711" s="51" t="s">
        <v>914</v>
      </c>
      <c r="P711" s="51" t="s">
        <v>12</v>
      </c>
      <c r="Q711" s="51" t="s">
        <v>949</v>
      </c>
      <c r="R711" s="51" t="s">
        <v>150</v>
      </c>
      <c r="S711" s="50" t="s">
        <v>950</v>
      </c>
      <c r="T711" s="51" t="s">
        <v>6</v>
      </c>
      <c r="U711" s="52" t="s">
        <v>123</v>
      </c>
      <c r="W711" s="131" t="s">
        <v>952</v>
      </c>
    </row>
    <row r="712" spans="4:24" x14ac:dyDescent="0.25">
      <c r="L712" s="160">
        <v>45689</v>
      </c>
      <c r="N712" s="51" t="s">
        <v>958</v>
      </c>
      <c r="O712" s="51" t="s">
        <v>914</v>
      </c>
      <c r="P712" s="51" t="s">
        <v>12</v>
      </c>
      <c r="Q712" s="51" t="s">
        <v>949</v>
      </c>
      <c r="R712" s="51" t="s">
        <v>150</v>
      </c>
      <c r="S712" s="50" t="s">
        <v>950</v>
      </c>
      <c r="U712" s="52" t="s">
        <v>125</v>
      </c>
      <c r="W712" s="131" t="s">
        <v>953</v>
      </c>
    </row>
    <row r="713" spans="4:24" x14ac:dyDescent="0.25">
      <c r="L713" s="160">
        <v>45689</v>
      </c>
      <c r="N713" s="51" t="s">
        <v>958</v>
      </c>
      <c r="O713" s="51" t="s">
        <v>914</v>
      </c>
      <c r="P713" s="51" t="s">
        <v>12</v>
      </c>
      <c r="Q713" s="51" t="s">
        <v>949</v>
      </c>
      <c r="R713" s="51" t="s">
        <v>150</v>
      </c>
      <c r="S713" s="50" t="s">
        <v>950</v>
      </c>
      <c r="U713" s="52" t="s">
        <v>128</v>
      </c>
      <c r="W713" s="131" t="s">
        <v>954</v>
      </c>
    </row>
    <row r="714" spans="4:24" x14ac:dyDescent="0.25">
      <c r="L714" s="160">
        <v>45689</v>
      </c>
      <c r="N714" s="51" t="s">
        <v>958</v>
      </c>
      <c r="O714" s="51" t="s">
        <v>914</v>
      </c>
      <c r="P714" s="51" t="s">
        <v>12</v>
      </c>
      <c r="Q714" s="51" t="s">
        <v>949</v>
      </c>
      <c r="R714" s="51" t="s">
        <v>150</v>
      </c>
      <c r="S714" s="50" t="s">
        <v>950</v>
      </c>
      <c r="U714" s="52" t="s">
        <v>130</v>
      </c>
      <c r="W714" s="131" t="s">
        <v>955</v>
      </c>
    </row>
    <row r="715" spans="4:24" x14ac:dyDescent="0.25">
      <c r="L715" s="160">
        <v>45689</v>
      </c>
      <c r="N715" s="51" t="s">
        <v>958</v>
      </c>
      <c r="O715" s="51" t="s">
        <v>914</v>
      </c>
      <c r="P715" s="51" t="s">
        <v>12</v>
      </c>
      <c r="Q715" s="51" t="s">
        <v>949</v>
      </c>
      <c r="R715" s="51" t="s">
        <v>150</v>
      </c>
      <c r="S715" s="50" t="s">
        <v>950</v>
      </c>
      <c r="U715" s="52" t="s">
        <v>132</v>
      </c>
      <c r="W715" s="131" t="s">
        <v>954</v>
      </c>
    </row>
    <row r="716" spans="4:24" x14ac:dyDescent="0.25">
      <c r="L716" s="160">
        <v>45689</v>
      </c>
      <c r="N716" s="51" t="s">
        <v>958</v>
      </c>
      <c r="O716" s="51" t="s">
        <v>914</v>
      </c>
      <c r="P716" s="51" t="s">
        <v>12</v>
      </c>
      <c r="Q716" s="51" t="s">
        <v>949</v>
      </c>
      <c r="R716" s="51" t="s">
        <v>150</v>
      </c>
      <c r="S716" s="50" t="s">
        <v>950</v>
      </c>
      <c r="U716" s="52" t="s">
        <v>133</v>
      </c>
      <c r="W716" s="131" t="s">
        <v>955</v>
      </c>
    </row>
    <row r="717" spans="4:24" x14ac:dyDescent="0.25">
      <c r="L717" s="160">
        <v>45444</v>
      </c>
      <c r="N717" s="51" t="s">
        <v>948</v>
      </c>
      <c r="O717" s="51" t="s">
        <v>916</v>
      </c>
      <c r="Q717" s="51" t="s">
        <v>910</v>
      </c>
      <c r="R717" s="51" t="s">
        <v>947</v>
      </c>
    </row>
    <row r="718" spans="4:24" x14ac:dyDescent="0.25">
      <c r="L718" s="160">
        <v>45689</v>
      </c>
      <c r="N718" s="51" t="s">
        <v>948</v>
      </c>
      <c r="O718" s="51" t="s">
        <v>916</v>
      </c>
      <c r="Q718" s="51" t="s">
        <v>910</v>
      </c>
      <c r="R718" s="51" t="s">
        <v>932</v>
      </c>
    </row>
    <row r="719" spans="4:24" x14ac:dyDescent="0.25">
      <c r="L719" s="160">
        <v>45689</v>
      </c>
      <c r="N719" s="51" t="s">
        <v>948</v>
      </c>
      <c r="O719" s="51" t="s">
        <v>916</v>
      </c>
      <c r="Q719" s="51" t="s">
        <v>910</v>
      </c>
      <c r="R719" s="51" t="s">
        <v>926</v>
      </c>
    </row>
    <row r="720" spans="4:24" x14ac:dyDescent="0.25">
      <c r="L720" s="160">
        <v>45689</v>
      </c>
      <c r="N720" s="51" t="s">
        <v>948</v>
      </c>
      <c r="O720" s="51" t="s">
        <v>916</v>
      </c>
      <c r="Q720" s="51" t="s">
        <v>910</v>
      </c>
      <c r="R720" s="51" t="s">
        <v>938</v>
      </c>
    </row>
    <row r="721" spans="4:23" x14ac:dyDescent="0.25">
      <c r="L721" s="160">
        <v>45689</v>
      </c>
      <c r="N721" s="51" t="s">
        <v>948</v>
      </c>
      <c r="O721" s="51" t="s">
        <v>916</v>
      </c>
      <c r="P721" s="51" t="s">
        <v>11</v>
      </c>
      <c r="Q721" s="51" t="s">
        <v>949</v>
      </c>
      <c r="R721" s="51" t="s">
        <v>120</v>
      </c>
      <c r="S721" s="50" t="s">
        <v>950</v>
      </c>
      <c r="U721" s="52" t="s">
        <v>121</v>
      </c>
      <c r="W721" s="131" t="s">
        <v>951</v>
      </c>
    </row>
    <row r="722" spans="4:23" x14ac:dyDescent="0.25">
      <c r="L722" s="160">
        <v>45689</v>
      </c>
      <c r="N722" s="51" t="s">
        <v>948</v>
      </c>
      <c r="O722" s="51" t="s">
        <v>916</v>
      </c>
      <c r="P722" s="51" t="s">
        <v>11</v>
      </c>
      <c r="Q722" s="51" t="s">
        <v>949</v>
      </c>
      <c r="R722" s="51" t="s">
        <v>120</v>
      </c>
      <c r="S722" s="50" t="s">
        <v>950</v>
      </c>
      <c r="U722" s="52" t="s">
        <v>123</v>
      </c>
      <c r="W722" s="131" t="s">
        <v>952</v>
      </c>
    </row>
    <row r="723" spans="4:23" x14ac:dyDescent="0.25">
      <c r="L723" s="160">
        <v>45689</v>
      </c>
      <c r="N723" s="51" t="s">
        <v>948</v>
      </c>
      <c r="O723" s="51" t="s">
        <v>916</v>
      </c>
      <c r="P723" s="51" t="s">
        <v>11</v>
      </c>
      <c r="Q723" s="51" t="s">
        <v>949</v>
      </c>
      <c r="R723" s="51" t="s">
        <v>120</v>
      </c>
      <c r="U723" s="52" t="s">
        <v>125</v>
      </c>
      <c r="W723" s="131" t="s">
        <v>953</v>
      </c>
    </row>
    <row r="724" spans="4:23" x14ac:dyDescent="0.25">
      <c r="L724" s="160">
        <v>45689</v>
      </c>
      <c r="N724" s="51" t="s">
        <v>948</v>
      </c>
      <c r="O724" s="51" t="s">
        <v>916</v>
      </c>
      <c r="P724" s="51" t="s">
        <v>11</v>
      </c>
      <c r="Q724" s="51" t="s">
        <v>949</v>
      </c>
      <c r="R724" s="51" t="s">
        <v>120</v>
      </c>
      <c r="S724" s="50" t="s">
        <v>950</v>
      </c>
      <c r="U724" s="52" t="s">
        <v>128</v>
      </c>
      <c r="W724" s="131" t="s">
        <v>954</v>
      </c>
    </row>
    <row r="725" spans="4:23" x14ac:dyDescent="0.25">
      <c r="L725" s="160">
        <v>45689</v>
      </c>
      <c r="N725" s="51" t="s">
        <v>948</v>
      </c>
      <c r="O725" s="51" t="s">
        <v>916</v>
      </c>
      <c r="P725" s="51" t="s">
        <v>11</v>
      </c>
      <c r="Q725" s="51" t="s">
        <v>949</v>
      </c>
      <c r="R725" s="51" t="s">
        <v>120</v>
      </c>
      <c r="S725" s="50" t="s">
        <v>950</v>
      </c>
      <c r="U725" s="52" t="s">
        <v>130</v>
      </c>
      <c r="W725" s="131" t="s">
        <v>955</v>
      </c>
    </row>
    <row r="726" spans="4:23" x14ac:dyDescent="0.25">
      <c r="L726" s="160">
        <v>45689</v>
      </c>
      <c r="N726" s="51" t="s">
        <v>948</v>
      </c>
      <c r="O726" s="51" t="s">
        <v>916</v>
      </c>
      <c r="P726" s="51" t="s">
        <v>11</v>
      </c>
      <c r="Q726" s="51" t="s">
        <v>949</v>
      </c>
      <c r="R726" s="51" t="s">
        <v>120</v>
      </c>
      <c r="U726" s="52" t="s">
        <v>132</v>
      </c>
      <c r="W726" s="131" t="s">
        <v>954</v>
      </c>
    </row>
    <row r="727" spans="4:23" x14ac:dyDescent="0.25">
      <c r="L727" s="160">
        <v>45689</v>
      </c>
      <c r="N727" s="51" t="s">
        <v>948</v>
      </c>
      <c r="O727" s="51" t="s">
        <v>916</v>
      </c>
      <c r="P727" s="51" t="s">
        <v>11</v>
      </c>
      <c r="Q727" s="51" t="s">
        <v>949</v>
      </c>
      <c r="R727" s="51" t="s">
        <v>120</v>
      </c>
      <c r="U727" s="52" t="s">
        <v>133</v>
      </c>
      <c r="W727" s="131" t="s">
        <v>955</v>
      </c>
    </row>
    <row r="728" spans="4:23" x14ac:dyDescent="0.25">
      <c r="L728" s="160">
        <v>45689</v>
      </c>
      <c r="N728" s="51" t="s">
        <v>948</v>
      </c>
      <c r="O728" s="51" t="s">
        <v>916</v>
      </c>
      <c r="P728" s="51" t="s">
        <v>11</v>
      </c>
      <c r="Q728" s="51" t="s">
        <v>949</v>
      </c>
      <c r="R728" s="51" t="s">
        <v>120</v>
      </c>
      <c r="S728" s="50" t="s">
        <v>950</v>
      </c>
      <c r="U728" s="52" t="s">
        <v>136</v>
      </c>
      <c r="W728" s="131" t="s">
        <v>131</v>
      </c>
    </row>
    <row r="729" spans="4:23" x14ac:dyDescent="0.25">
      <c r="L729" s="160">
        <v>45689</v>
      </c>
      <c r="N729" s="51" t="s">
        <v>948</v>
      </c>
      <c r="O729" s="51" t="s">
        <v>916</v>
      </c>
      <c r="P729" s="51" t="s">
        <v>11</v>
      </c>
      <c r="Q729" s="51" t="s">
        <v>949</v>
      </c>
      <c r="R729" s="51" t="s">
        <v>120</v>
      </c>
      <c r="U729" s="52" t="s">
        <v>134</v>
      </c>
      <c r="W729" s="131" t="s">
        <v>956</v>
      </c>
    </row>
    <row r="730" spans="4:23" ht="25.5" x14ac:dyDescent="0.25">
      <c r="D730" s="51" t="s">
        <v>3421</v>
      </c>
      <c r="L730" s="160">
        <v>45689</v>
      </c>
      <c r="N730" s="51" t="s">
        <v>948</v>
      </c>
      <c r="O730" s="51" t="s">
        <v>916</v>
      </c>
      <c r="P730" s="51" t="s">
        <v>11</v>
      </c>
      <c r="Q730" s="51" t="s">
        <v>957</v>
      </c>
      <c r="R730" s="51" t="s">
        <v>120</v>
      </c>
      <c r="S730" s="50" t="s">
        <v>950</v>
      </c>
      <c r="U730" s="52" t="s">
        <v>2751</v>
      </c>
      <c r="W730" s="131" t="s">
        <v>3420</v>
      </c>
    </row>
    <row r="731" spans="4:23" ht="25.5" x14ac:dyDescent="0.25">
      <c r="D731" s="51" t="s">
        <v>3423</v>
      </c>
      <c r="L731" s="160">
        <v>45689</v>
      </c>
      <c r="N731" s="51" t="s">
        <v>948</v>
      </c>
      <c r="O731" s="51" t="s">
        <v>916</v>
      </c>
      <c r="P731" s="51" t="s">
        <v>11</v>
      </c>
      <c r="Q731" s="51" t="s">
        <v>957</v>
      </c>
      <c r="R731" s="51" t="s">
        <v>120</v>
      </c>
      <c r="S731" s="50" t="s">
        <v>950</v>
      </c>
      <c r="U731" s="52" t="s">
        <v>2751</v>
      </c>
      <c r="W731" s="131" t="s">
        <v>3422</v>
      </c>
    </row>
    <row r="732" spans="4:23" x14ac:dyDescent="0.25">
      <c r="L732" s="160">
        <v>45689</v>
      </c>
      <c r="N732" s="51" t="s">
        <v>948</v>
      </c>
      <c r="O732" s="51" t="s">
        <v>916</v>
      </c>
      <c r="P732" s="51" t="s">
        <v>11</v>
      </c>
      <c r="Q732" s="51" t="s">
        <v>949</v>
      </c>
      <c r="R732" s="51" t="s">
        <v>137</v>
      </c>
      <c r="S732" s="50" t="s">
        <v>950</v>
      </c>
      <c r="U732" s="52" t="s">
        <v>121</v>
      </c>
      <c r="W732" s="131" t="s">
        <v>951</v>
      </c>
    </row>
    <row r="733" spans="4:23" x14ac:dyDescent="0.25">
      <c r="L733" s="160">
        <v>45689</v>
      </c>
      <c r="N733" s="51" t="s">
        <v>948</v>
      </c>
      <c r="O733" s="51" t="s">
        <v>916</v>
      </c>
      <c r="P733" s="51" t="s">
        <v>11</v>
      </c>
      <c r="Q733" s="51" t="s">
        <v>949</v>
      </c>
      <c r="R733" s="51" t="s">
        <v>137</v>
      </c>
      <c r="S733" s="50" t="s">
        <v>950</v>
      </c>
      <c r="U733" s="52" t="s">
        <v>123</v>
      </c>
      <c r="W733" s="131" t="s">
        <v>952</v>
      </c>
    </row>
    <row r="734" spans="4:23" x14ac:dyDescent="0.25">
      <c r="L734" s="160">
        <v>45689</v>
      </c>
      <c r="N734" s="51" t="s">
        <v>948</v>
      </c>
      <c r="O734" s="51" t="s">
        <v>916</v>
      </c>
      <c r="P734" s="51" t="s">
        <v>11</v>
      </c>
      <c r="Q734" s="51" t="s">
        <v>949</v>
      </c>
      <c r="R734" s="51" t="s">
        <v>137</v>
      </c>
      <c r="S734" s="50" t="s">
        <v>950</v>
      </c>
      <c r="U734" s="52" t="s">
        <v>125</v>
      </c>
      <c r="W734" s="131" t="s">
        <v>953</v>
      </c>
    </row>
    <row r="735" spans="4:23" x14ac:dyDescent="0.25">
      <c r="L735" s="160">
        <v>45689</v>
      </c>
      <c r="N735" s="51" t="s">
        <v>948</v>
      </c>
      <c r="O735" s="51" t="s">
        <v>916</v>
      </c>
      <c r="P735" s="51" t="s">
        <v>11</v>
      </c>
      <c r="Q735" s="51" t="s">
        <v>949</v>
      </c>
      <c r="R735" s="51" t="s">
        <v>137</v>
      </c>
      <c r="S735" s="50" t="s">
        <v>950</v>
      </c>
      <c r="U735" s="52" t="s">
        <v>128</v>
      </c>
      <c r="W735" s="131" t="s">
        <v>954</v>
      </c>
    </row>
    <row r="736" spans="4:23" x14ac:dyDescent="0.25">
      <c r="L736" s="160">
        <v>45689</v>
      </c>
      <c r="N736" s="51" t="s">
        <v>948</v>
      </c>
      <c r="O736" s="51" t="s">
        <v>916</v>
      </c>
      <c r="P736" s="51" t="s">
        <v>11</v>
      </c>
      <c r="Q736" s="51" t="s">
        <v>949</v>
      </c>
      <c r="R736" s="51" t="s">
        <v>137</v>
      </c>
      <c r="S736" s="50" t="s">
        <v>950</v>
      </c>
      <c r="U736" s="52" t="s">
        <v>130</v>
      </c>
      <c r="W736" s="131" t="s">
        <v>955</v>
      </c>
    </row>
    <row r="737" spans="4:25" x14ac:dyDescent="0.25">
      <c r="L737" s="160">
        <v>45689</v>
      </c>
      <c r="N737" s="51" t="s">
        <v>948</v>
      </c>
      <c r="O737" s="51" t="s">
        <v>916</v>
      </c>
      <c r="P737" s="51" t="s">
        <v>11</v>
      </c>
      <c r="Q737" s="51" t="s">
        <v>949</v>
      </c>
      <c r="R737" s="51" t="s">
        <v>137</v>
      </c>
      <c r="S737" s="50" t="s">
        <v>950</v>
      </c>
      <c r="U737" s="52" t="s">
        <v>132</v>
      </c>
      <c r="W737" s="131" t="s">
        <v>954</v>
      </c>
    </row>
    <row r="738" spans="4:25" x14ac:dyDescent="0.25">
      <c r="L738" s="160">
        <v>45689</v>
      </c>
      <c r="N738" s="51" t="s">
        <v>948</v>
      </c>
      <c r="O738" s="51" t="s">
        <v>916</v>
      </c>
      <c r="P738" s="51" t="s">
        <v>11</v>
      </c>
      <c r="Q738" s="51" t="s">
        <v>949</v>
      </c>
      <c r="R738" s="51" t="s">
        <v>137</v>
      </c>
      <c r="S738" s="50" t="s">
        <v>950</v>
      </c>
      <c r="U738" s="52" t="s">
        <v>133</v>
      </c>
      <c r="W738" s="131" t="s">
        <v>955</v>
      </c>
    </row>
    <row r="739" spans="4:25" x14ac:dyDescent="0.25">
      <c r="L739" s="160">
        <v>45555</v>
      </c>
      <c r="N739" s="51" t="s">
        <v>991</v>
      </c>
      <c r="O739" s="51" t="s">
        <v>919</v>
      </c>
      <c r="Q739" s="51" t="s">
        <v>910</v>
      </c>
      <c r="R739" s="51" t="s">
        <v>936</v>
      </c>
    </row>
    <row r="740" spans="4:25" x14ac:dyDescent="0.25">
      <c r="L740" s="160">
        <v>45689</v>
      </c>
      <c r="N740" s="51" t="s">
        <v>989</v>
      </c>
      <c r="O740" s="51" t="s">
        <v>920</v>
      </c>
      <c r="Q740" s="51" t="s">
        <v>910</v>
      </c>
      <c r="R740" s="51" t="s">
        <v>932</v>
      </c>
    </row>
    <row r="741" spans="4:25" x14ac:dyDescent="0.25">
      <c r="L741" s="160">
        <v>45689</v>
      </c>
      <c r="N741" s="51" t="s">
        <v>989</v>
      </c>
      <c r="O741" s="51" t="s">
        <v>920</v>
      </c>
      <c r="P741" s="51" t="s">
        <v>14</v>
      </c>
      <c r="Q741" s="51" t="s">
        <v>949</v>
      </c>
      <c r="R741" s="51" t="s">
        <v>197</v>
      </c>
      <c r="S741" s="50" t="s">
        <v>950</v>
      </c>
      <c r="U741" s="52" t="s">
        <v>123</v>
      </c>
      <c r="W741" s="131" t="s">
        <v>990</v>
      </c>
      <c r="Y741" s="52" t="s">
        <v>3443</v>
      </c>
    </row>
    <row r="742" spans="4:25" x14ac:dyDescent="0.25">
      <c r="L742" s="160">
        <v>45689</v>
      </c>
      <c r="N742" s="51" t="s">
        <v>989</v>
      </c>
      <c r="O742" s="51" t="s">
        <v>920</v>
      </c>
      <c r="P742" s="51" t="s">
        <v>14</v>
      </c>
      <c r="Q742" s="51" t="s">
        <v>949</v>
      </c>
      <c r="R742" s="51" t="s">
        <v>197</v>
      </c>
      <c r="S742" s="50" t="s">
        <v>950</v>
      </c>
      <c r="U742" s="52" t="s">
        <v>193</v>
      </c>
      <c r="W742" s="131" t="s">
        <v>2789</v>
      </c>
    </row>
    <row r="743" spans="4:25" ht="51" x14ac:dyDescent="0.25">
      <c r="D743" s="51" t="s">
        <v>3527</v>
      </c>
      <c r="K743" s="160">
        <v>45555</v>
      </c>
      <c r="L743" s="160">
        <v>45686</v>
      </c>
      <c r="N743" s="51" t="s">
        <v>1097</v>
      </c>
      <c r="O743" s="51" t="s">
        <v>911</v>
      </c>
      <c r="P743" s="51" t="s">
        <v>19</v>
      </c>
      <c r="Q743" s="51" t="s">
        <v>957</v>
      </c>
      <c r="R743" s="51" t="s">
        <v>19</v>
      </c>
      <c r="S743" s="50" t="s">
        <v>950</v>
      </c>
      <c r="U743" s="52" t="s">
        <v>3571</v>
      </c>
      <c r="W743" s="131" t="s">
        <v>3573</v>
      </c>
    </row>
    <row r="744" spans="4:25" x14ac:dyDescent="0.25">
      <c r="L744" s="160">
        <v>45689</v>
      </c>
      <c r="N744" s="51" t="s">
        <v>1165</v>
      </c>
      <c r="O744" s="51" t="s">
        <v>922</v>
      </c>
      <c r="Q744" s="51" t="s">
        <v>910</v>
      </c>
      <c r="R744" s="51" t="s">
        <v>932</v>
      </c>
    </row>
    <row r="745" spans="4:25" x14ac:dyDescent="0.25">
      <c r="L745" s="160">
        <v>45689</v>
      </c>
      <c r="N745" s="51" t="s">
        <v>1165</v>
      </c>
      <c r="O745" s="51" t="s">
        <v>922</v>
      </c>
      <c r="P745" s="51" t="s">
        <v>1166</v>
      </c>
      <c r="Q745" s="51" t="s">
        <v>949</v>
      </c>
      <c r="R745" s="51" t="s">
        <v>583</v>
      </c>
      <c r="S745" s="50" t="s">
        <v>950</v>
      </c>
      <c r="U745" s="52" t="s">
        <v>123</v>
      </c>
      <c r="W745" s="131" t="s">
        <v>1167</v>
      </c>
    </row>
    <row r="746" spans="4:25" x14ac:dyDescent="0.25">
      <c r="L746" s="160">
        <v>45689</v>
      </c>
      <c r="N746" s="51" t="s">
        <v>1165</v>
      </c>
      <c r="O746" s="51" t="s">
        <v>922</v>
      </c>
      <c r="P746" s="51" t="s">
        <v>1166</v>
      </c>
      <c r="Q746" s="51" t="s">
        <v>949</v>
      </c>
      <c r="R746" s="51" t="s">
        <v>583</v>
      </c>
      <c r="S746" s="50" t="s">
        <v>950</v>
      </c>
      <c r="U746" s="52" t="s">
        <v>584</v>
      </c>
      <c r="W746" s="131" t="s">
        <v>1168</v>
      </c>
    </row>
    <row r="747" spans="4:25" x14ac:dyDescent="0.25">
      <c r="L747" s="160">
        <v>45689</v>
      </c>
      <c r="N747" s="51" t="s">
        <v>1165</v>
      </c>
      <c r="O747" s="51" t="s">
        <v>922</v>
      </c>
      <c r="P747" s="51" t="s">
        <v>1166</v>
      </c>
      <c r="Q747" s="51" t="s">
        <v>949</v>
      </c>
      <c r="R747" s="51" t="s">
        <v>585</v>
      </c>
      <c r="S747" s="50" t="s">
        <v>950</v>
      </c>
      <c r="U747" s="52" t="s">
        <v>123</v>
      </c>
      <c r="W747" s="131" t="s">
        <v>1167</v>
      </c>
    </row>
    <row r="748" spans="4:25" x14ac:dyDescent="0.25">
      <c r="L748" s="160">
        <v>45689</v>
      </c>
      <c r="N748" s="51" t="s">
        <v>1165</v>
      </c>
      <c r="O748" s="51" t="s">
        <v>922</v>
      </c>
      <c r="P748" s="51" t="s">
        <v>1166</v>
      </c>
      <c r="Q748" s="51" t="s">
        <v>949</v>
      </c>
      <c r="R748" s="51" t="s">
        <v>585</v>
      </c>
      <c r="U748" s="52" t="s">
        <v>586</v>
      </c>
      <c r="W748" s="131" t="s">
        <v>587</v>
      </c>
    </row>
    <row r="749" spans="4:25" x14ac:dyDescent="0.25">
      <c r="L749" s="160">
        <v>45689</v>
      </c>
      <c r="N749" s="51" t="s">
        <v>1165</v>
      </c>
      <c r="O749" s="51" t="s">
        <v>922</v>
      </c>
      <c r="P749" s="51" t="s">
        <v>1166</v>
      </c>
      <c r="Q749" s="51" t="s">
        <v>949</v>
      </c>
      <c r="R749" s="51" t="s">
        <v>585</v>
      </c>
      <c r="U749" s="52" t="s">
        <v>588</v>
      </c>
      <c r="W749" s="131" t="s">
        <v>589</v>
      </c>
    </row>
    <row r="750" spans="4:25" x14ac:dyDescent="0.25">
      <c r="L750" s="160">
        <v>45689</v>
      </c>
      <c r="N750" s="51" t="s">
        <v>1165</v>
      </c>
      <c r="O750" s="51" t="s">
        <v>922</v>
      </c>
      <c r="P750" s="51" t="s">
        <v>1166</v>
      </c>
      <c r="Q750" s="51" t="s">
        <v>967</v>
      </c>
      <c r="R750" s="51" t="s">
        <v>1169</v>
      </c>
      <c r="U750" s="52" t="s">
        <v>583</v>
      </c>
      <c r="W750" s="131" t="s">
        <v>583</v>
      </c>
      <c r="X750" s="51" t="s">
        <v>1058</v>
      </c>
    </row>
    <row r="751" spans="4:25" x14ac:dyDescent="0.25">
      <c r="L751" s="160">
        <v>45689</v>
      </c>
      <c r="N751" s="51" t="s">
        <v>1165</v>
      </c>
      <c r="O751" s="51" t="s">
        <v>922</v>
      </c>
      <c r="P751" s="51" t="s">
        <v>1166</v>
      </c>
      <c r="Q751" s="51" t="s">
        <v>967</v>
      </c>
      <c r="R751" s="51" t="s">
        <v>1169</v>
      </c>
      <c r="U751" s="52" t="s">
        <v>585</v>
      </c>
      <c r="W751" s="131" t="s">
        <v>585</v>
      </c>
      <c r="X751" s="51" t="s">
        <v>1014</v>
      </c>
    </row>
    <row r="752" spans="4:25" x14ac:dyDescent="0.25">
      <c r="L752" s="160">
        <v>45689</v>
      </c>
      <c r="N752" s="51" t="s">
        <v>1156</v>
      </c>
      <c r="O752" s="51" t="s">
        <v>924</v>
      </c>
      <c r="Q752" s="51" t="s">
        <v>910</v>
      </c>
      <c r="R752" s="51" t="s">
        <v>936</v>
      </c>
    </row>
    <row r="753" spans="4:24" x14ac:dyDescent="0.25">
      <c r="L753" s="160">
        <v>46054</v>
      </c>
      <c r="N753" s="51" t="s">
        <v>963</v>
      </c>
      <c r="O753" s="51" t="s">
        <v>915</v>
      </c>
      <c r="P753" s="51" t="s">
        <v>13</v>
      </c>
      <c r="Q753" s="51" t="s">
        <v>967</v>
      </c>
      <c r="R753" s="51" t="s">
        <v>973</v>
      </c>
      <c r="U753" s="52" t="s">
        <v>974</v>
      </c>
      <c r="W753" s="131" t="s">
        <v>164</v>
      </c>
      <c r="X753" s="51" t="s">
        <v>975</v>
      </c>
    </row>
    <row r="754" spans="4:24" x14ac:dyDescent="0.25">
      <c r="L754" s="160">
        <v>46055</v>
      </c>
      <c r="N754" s="51" t="s">
        <v>963</v>
      </c>
      <c r="O754" s="51" t="s">
        <v>915</v>
      </c>
      <c r="P754" s="51" t="s">
        <v>13</v>
      </c>
      <c r="Q754" s="51" t="s">
        <v>967</v>
      </c>
      <c r="R754" s="51" t="s">
        <v>973</v>
      </c>
      <c r="U754" s="52" t="s">
        <v>976</v>
      </c>
      <c r="W754" s="131" t="s">
        <v>153</v>
      </c>
      <c r="X754" s="51" t="s">
        <v>972</v>
      </c>
    </row>
    <row r="755" spans="4:24" x14ac:dyDescent="0.25">
      <c r="L755" s="160">
        <v>46056</v>
      </c>
      <c r="N755" s="51" t="s">
        <v>963</v>
      </c>
      <c r="O755" s="51" t="s">
        <v>915</v>
      </c>
      <c r="P755" s="51" t="s">
        <v>13</v>
      </c>
      <c r="Q755" s="51" t="s">
        <v>977</v>
      </c>
      <c r="R755" s="51" t="s">
        <v>978</v>
      </c>
      <c r="U755" s="52" t="s">
        <v>979</v>
      </c>
      <c r="W755" s="131" t="s">
        <v>153</v>
      </c>
    </row>
    <row r="756" spans="4:24" ht="25.5" x14ac:dyDescent="0.25">
      <c r="L756" s="160">
        <v>46057</v>
      </c>
      <c r="N756" s="51" t="s">
        <v>963</v>
      </c>
      <c r="O756" s="51" t="s">
        <v>915</v>
      </c>
      <c r="P756" s="51" t="s">
        <v>13</v>
      </c>
      <c r="Q756" s="51" t="s">
        <v>977</v>
      </c>
      <c r="R756" s="51" t="s">
        <v>978</v>
      </c>
      <c r="U756" s="52" t="s">
        <v>980</v>
      </c>
      <c r="W756" s="131" t="s">
        <v>981</v>
      </c>
    </row>
    <row r="757" spans="4:24" x14ac:dyDescent="0.25">
      <c r="L757" s="160">
        <v>46058</v>
      </c>
      <c r="N757" s="51" t="s">
        <v>963</v>
      </c>
      <c r="O757" s="51" t="s">
        <v>915</v>
      </c>
      <c r="P757" s="51" t="s">
        <v>13</v>
      </c>
      <c r="Q757" s="51" t="s">
        <v>977</v>
      </c>
      <c r="R757" s="51" t="s">
        <v>978</v>
      </c>
      <c r="U757" s="52" t="s">
        <v>982</v>
      </c>
      <c r="W757" s="131" t="s">
        <v>153</v>
      </c>
    </row>
    <row r="758" spans="4:24" x14ac:dyDescent="0.25">
      <c r="D758" s="51" t="s">
        <v>3438</v>
      </c>
      <c r="L758" s="160">
        <v>46059</v>
      </c>
      <c r="N758" s="51" t="s">
        <v>963</v>
      </c>
      <c r="O758" s="51" t="s">
        <v>915</v>
      </c>
      <c r="P758" s="51" t="s">
        <v>13</v>
      </c>
      <c r="Q758" s="51" t="s">
        <v>977</v>
      </c>
      <c r="R758" s="51" t="s">
        <v>978</v>
      </c>
      <c r="T758" s="51" t="s">
        <v>6</v>
      </c>
      <c r="U758" s="52" t="s">
        <v>123</v>
      </c>
    </row>
    <row r="759" spans="4:24" x14ac:dyDescent="0.25">
      <c r="D759" s="51" t="s">
        <v>3439</v>
      </c>
      <c r="L759" s="160">
        <v>46060</v>
      </c>
      <c r="N759" s="51" t="s">
        <v>963</v>
      </c>
      <c r="O759" s="51" t="s">
        <v>915</v>
      </c>
      <c r="P759" s="51" t="s">
        <v>13</v>
      </c>
      <c r="Q759" s="51" t="s">
        <v>977</v>
      </c>
      <c r="R759" s="51" t="s">
        <v>978</v>
      </c>
      <c r="T759" s="51" t="s">
        <v>962</v>
      </c>
      <c r="U759" s="52" t="s">
        <v>96</v>
      </c>
    </row>
    <row r="760" spans="4:24" x14ac:dyDescent="0.25">
      <c r="D760" s="51" t="s">
        <v>3439</v>
      </c>
      <c r="L760" s="160">
        <v>46061</v>
      </c>
      <c r="N760" s="51" t="s">
        <v>963</v>
      </c>
      <c r="O760" s="51" t="s">
        <v>915</v>
      </c>
      <c r="P760" s="51" t="s">
        <v>13</v>
      </c>
      <c r="Q760" s="51" t="s">
        <v>977</v>
      </c>
      <c r="R760" s="51" t="s">
        <v>978</v>
      </c>
      <c r="T760" s="51" t="s">
        <v>962</v>
      </c>
      <c r="U760" s="52" t="s">
        <v>121</v>
      </c>
    </row>
    <row r="761" spans="4:24" x14ac:dyDescent="0.25">
      <c r="L761" s="160">
        <v>46054</v>
      </c>
      <c r="N761" s="51" t="s">
        <v>963</v>
      </c>
      <c r="O761" s="51" t="s">
        <v>915</v>
      </c>
      <c r="P761" s="51" t="s">
        <v>13</v>
      </c>
      <c r="Q761" s="51" t="s">
        <v>967</v>
      </c>
      <c r="R761" s="51" t="s">
        <v>985</v>
      </c>
      <c r="U761" s="52" t="s">
        <v>974</v>
      </c>
      <c r="W761" s="131" t="s">
        <v>184</v>
      </c>
      <c r="X761" s="51" t="s">
        <v>975</v>
      </c>
    </row>
    <row r="762" spans="4:24" x14ac:dyDescent="0.25">
      <c r="L762" s="160">
        <v>46054</v>
      </c>
      <c r="N762" s="51" t="s">
        <v>963</v>
      </c>
      <c r="O762" s="51" t="s">
        <v>915</v>
      </c>
      <c r="P762" s="51" t="s">
        <v>13</v>
      </c>
      <c r="Q762" s="51" t="s">
        <v>967</v>
      </c>
      <c r="R762" s="51" t="s">
        <v>985</v>
      </c>
      <c r="U762" s="52" t="s">
        <v>986</v>
      </c>
      <c r="W762" s="131" t="s">
        <v>185</v>
      </c>
      <c r="X762" s="51" t="s">
        <v>972</v>
      </c>
    </row>
    <row r="763" spans="4:24" x14ac:dyDescent="0.25">
      <c r="L763" s="160">
        <v>46054</v>
      </c>
      <c r="N763" s="51" t="s">
        <v>963</v>
      </c>
      <c r="O763" s="51" t="s">
        <v>915</v>
      </c>
      <c r="P763" s="51" t="s">
        <v>13</v>
      </c>
      <c r="Q763" s="51" t="s">
        <v>977</v>
      </c>
      <c r="R763" s="51" t="s">
        <v>987</v>
      </c>
      <c r="U763" s="52" t="s">
        <v>979</v>
      </c>
      <c r="W763" s="131" t="s">
        <v>185</v>
      </c>
    </row>
    <row r="764" spans="4:24" ht="25.5" x14ac:dyDescent="0.25">
      <c r="L764" s="160">
        <v>46054</v>
      </c>
      <c r="N764" s="51" t="s">
        <v>963</v>
      </c>
      <c r="O764" s="51" t="s">
        <v>915</v>
      </c>
      <c r="P764" s="51" t="s">
        <v>13</v>
      </c>
      <c r="Q764" s="51" t="s">
        <v>977</v>
      </c>
      <c r="R764" s="51" t="s">
        <v>987</v>
      </c>
      <c r="U764" s="52" t="s">
        <v>980</v>
      </c>
      <c r="W764" s="131" t="s">
        <v>988</v>
      </c>
    </row>
    <row r="765" spans="4:24" x14ac:dyDescent="0.25">
      <c r="L765" s="160">
        <v>46054</v>
      </c>
      <c r="N765" s="51" t="s">
        <v>963</v>
      </c>
      <c r="O765" s="51" t="s">
        <v>915</v>
      </c>
      <c r="P765" s="51" t="s">
        <v>13</v>
      </c>
      <c r="Q765" s="51" t="s">
        <v>977</v>
      </c>
      <c r="R765" s="51" t="s">
        <v>987</v>
      </c>
      <c r="U765" s="52" t="s">
        <v>982</v>
      </c>
      <c r="W765" s="131" t="s">
        <v>185</v>
      </c>
    </row>
    <row r="766" spans="4:24" x14ac:dyDescent="0.25">
      <c r="D766" s="51" t="s">
        <v>3441</v>
      </c>
      <c r="L766" s="160">
        <v>46054</v>
      </c>
      <c r="N766" s="51" t="s">
        <v>963</v>
      </c>
      <c r="O766" s="51" t="s">
        <v>915</v>
      </c>
      <c r="P766" s="51" t="s">
        <v>13</v>
      </c>
      <c r="Q766" s="51" t="s">
        <v>977</v>
      </c>
      <c r="R766" s="51" t="s">
        <v>987</v>
      </c>
      <c r="T766" s="51" t="s">
        <v>959</v>
      </c>
      <c r="U766" s="52" t="s">
        <v>96</v>
      </c>
    </row>
    <row r="767" spans="4:24" x14ac:dyDescent="0.25">
      <c r="D767" s="51" t="s">
        <v>3441</v>
      </c>
      <c r="L767" s="160">
        <v>46054</v>
      </c>
      <c r="N767" s="51" t="s">
        <v>963</v>
      </c>
      <c r="O767" s="51" t="s">
        <v>915</v>
      </c>
      <c r="P767" s="51" t="s">
        <v>13</v>
      </c>
      <c r="Q767" s="51" t="s">
        <v>977</v>
      </c>
      <c r="R767" s="51" t="s">
        <v>987</v>
      </c>
      <c r="T767" s="51" t="s">
        <v>959</v>
      </c>
      <c r="U767" s="52" t="s">
        <v>121</v>
      </c>
    </row>
    <row r="768" spans="4:24" x14ac:dyDescent="0.25">
      <c r="D768" s="51" t="s">
        <v>3442</v>
      </c>
      <c r="L768" s="160">
        <v>46054</v>
      </c>
      <c r="N768" s="51" t="s">
        <v>963</v>
      </c>
      <c r="O768" s="51" t="s">
        <v>915</v>
      </c>
      <c r="P768" s="51" t="s">
        <v>13</v>
      </c>
      <c r="Q768" s="51" t="s">
        <v>977</v>
      </c>
      <c r="R768" s="51" t="s">
        <v>987</v>
      </c>
      <c r="T768" s="51" t="s">
        <v>6</v>
      </c>
      <c r="U768" s="52" t="s">
        <v>123</v>
      </c>
    </row>
    <row r="769" spans="4:24" x14ac:dyDescent="0.25">
      <c r="L769" s="160">
        <v>46054</v>
      </c>
      <c r="N769" s="51" t="s">
        <v>1039</v>
      </c>
      <c r="O769" s="51" t="s">
        <v>918</v>
      </c>
      <c r="P769" s="51" t="s">
        <v>16</v>
      </c>
      <c r="Q769" s="51" t="s">
        <v>967</v>
      </c>
      <c r="R769" s="51" t="s">
        <v>1044</v>
      </c>
      <c r="U769" s="52" t="s">
        <v>999</v>
      </c>
      <c r="W769" s="131" t="s">
        <v>160</v>
      </c>
      <c r="X769" s="51" t="s">
        <v>975</v>
      </c>
    </row>
    <row r="770" spans="4:24" x14ac:dyDescent="0.25">
      <c r="L770" s="160">
        <v>46054</v>
      </c>
      <c r="N770" s="51" t="s">
        <v>1039</v>
      </c>
      <c r="O770" s="51" t="s">
        <v>918</v>
      </c>
      <c r="P770" s="51" t="s">
        <v>16</v>
      </c>
      <c r="Q770" s="51" t="s">
        <v>967</v>
      </c>
      <c r="R770" s="51" t="s">
        <v>1044</v>
      </c>
      <c r="U770" s="52" t="s">
        <v>1000</v>
      </c>
      <c r="W770" s="131" t="s">
        <v>160</v>
      </c>
      <c r="X770" s="51" t="s">
        <v>972</v>
      </c>
    </row>
    <row r="771" spans="4:24" x14ac:dyDescent="0.25">
      <c r="L771" s="160">
        <v>46054</v>
      </c>
      <c r="N771" s="51" t="s">
        <v>1039</v>
      </c>
      <c r="O771" s="51" t="s">
        <v>918</v>
      </c>
      <c r="P771" s="51" t="s">
        <v>16</v>
      </c>
      <c r="Q771" s="51" t="s">
        <v>967</v>
      </c>
      <c r="R771" s="51" t="s">
        <v>1053</v>
      </c>
      <c r="U771" s="52" t="s">
        <v>999</v>
      </c>
      <c r="W771" s="131" t="s">
        <v>239</v>
      </c>
      <c r="X771" s="51" t="s">
        <v>975</v>
      </c>
    </row>
    <row r="772" spans="4:24" x14ac:dyDescent="0.25">
      <c r="L772" s="160">
        <v>46054</v>
      </c>
      <c r="N772" s="51" t="s">
        <v>1039</v>
      </c>
      <c r="O772" s="51" t="s">
        <v>918</v>
      </c>
      <c r="P772" s="51" t="s">
        <v>16</v>
      </c>
      <c r="Q772" s="51" t="s">
        <v>967</v>
      </c>
      <c r="R772" s="51" t="s">
        <v>1053</v>
      </c>
      <c r="U772" s="52" t="s">
        <v>1000</v>
      </c>
      <c r="W772" s="131" t="s">
        <v>239</v>
      </c>
      <c r="X772" s="51" t="s">
        <v>972</v>
      </c>
    </row>
    <row r="773" spans="4:24" x14ac:dyDescent="0.25">
      <c r="L773" s="160">
        <v>46054</v>
      </c>
      <c r="N773" s="51" t="s">
        <v>3358</v>
      </c>
      <c r="O773" s="51" t="s">
        <v>3355</v>
      </c>
      <c r="P773" s="51" t="s">
        <v>3356</v>
      </c>
      <c r="Q773" s="51" t="s">
        <v>967</v>
      </c>
      <c r="R773" s="51" t="s">
        <v>3363</v>
      </c>
      <c r="U773" s="52" t="s">
        <v>999</v>
      </c>
      <c r="W773" s="131" t="s">
        <v>3360</v>
      </c>
      <c r="X773" s="51" t="s">
        <v>975</v>
      </c>
    </row>
    <row r="774" spans="4:24" x14ac:dyDescent="0.25">
      <c r="L774" s="160">
        <v>46054</v>
      </c>
      <c r="N774" s="51" t="s">
        <v>3358</v>
      </c>
      <c r="O774" s="51" t="s">
        <v>3355</v>
      </c>
      <c r="P774" s="51" t="s">
        <v>3356</v>
      </c>
      <c r="Q774" s="51" t="s">
        <v>967</v>
      </c>
      <c r="R774" s="51" t="s">
        <v>3363</v>
      </c>
      <c r="U774" s="52" t="s">
        <v>1000</v>
      </c>
      <c r="W774" s="131" t="s">
        <v>3360</v>
      </c>
      <c r="X774" s="51" t="s">
        <v>972</v>
      </c>
    </row>
    <row r="775" spans="4:24" x14ac:dyDescent="0.25">
      <c r="L775" s="160">
        <v>46054</v>
      </c>
      <c r="N775" s="51" t="s">
        <v>1070</v>
      </c>
      <c r="O775" s="51" t="s">
        <v>912</v>
      </c>
      <c r="P775" s="51" t="s">
        <v>17</v>
      </c>
      <c r="Q775" s="51" t="s">
        <v>967</v>
      </c>
      <c r="R775" s="51" t="s">
        <v>1075</v>
      </c>
      <c r="U775" s="52" t="s">
        <v>999</v>
      </c>
      <c r="W775" s="131" t="s">
        <v>329</v>
      </c>
      <c r="X775" s="51" t="s">
        <v>975</v>
      </c>
    </row>
    <row r="776" spans="4:24" x14ac:dyDescent="0.25">
      <c r="L776" s="160">
        <v>46054</v>
      </c>
      <c r="N776" s="51" t="s">
        <v>1070</v>
      </c>
      <c r="O776" s="51" t="s">
        <v>912</v>
      </c>
      <c r="P776" s="51" t="s">
        <v>17</v>
      </c>
      <c r="Q776" s="51" t="s">
        <v>967</v>
      </c>
      <c r="R776" s="51" t="s">
        <v>1075</v>
      </c>
      <c r="U776" s="52" t="s">
        <v>1000</v>
      </c>
      <c r="W776" s="131" t="s">
        <v>329</v>
      </c>
      <c r="X776" s="51" t="s">
        <v>972</v>
      </c>
    </row>
    <row r="777" spans="4:24" x14ac:dyDescent="0.25">
      <c r="L777" s="160">
        <v>46054</v>
      </c>
      <c r="N777" s="51" t="s">
        <v>1078</v>
      </c>
      <c r="O777" s="51" t="s">
        <v>921</v>
      </c>
      <c r="P777" s="51" t="s">
        <v>18</v>
      </c>
      <c r="Q777" s="51" t="s">
        <v>967</v>
      </c>
      <c r="R777" s="51" t="s">
        <v>1081</v>
      </c>
      <c r="U777" s="52" t="s">
        <v>974</v>
      </c>
      <c r="W777" s="131" t="s">
        <v>333</v>
      </c>
      <c r="X777" s="51" t="s">
        <v>975</v>
      </c>
    </row>
    <row r="778" spans="4:24" x14ac:dyDescent="0.25">
      <c r="L778" s="160">
        <v>46054</v>
      </c>
      <c r="N778" s="51" t="s">
        <v>1078</v>
      </c>
      <c r="O778" s="51" t="s">
        <v>921</v>
      </c>
      <c r="P778" s="51" t="s">
        <v>18</v>
      </c>
      <c r="Q778" s="51" t="s">
        <v>967</v>
      </c>
      <c r="R778" s="51" t="s">
        <v>1081</v>
      </c>
      <c r="U778" s="52" t="s">
        <v>1082</v>
      </c>
      <c r="W778" s="131" t="s">
        <v>338</v>
      </c>
      <c r="X778" s="51" t="s">
        <v>972</v>
      </c>
    </row>
    <row r="779" spans="4:24" x14ac:dyDescent="0.25">
      <c r="L779" s="160">
        <v>46054</v>
      </c>
      <c r="N779" s="51" t="s">
        <v>1078</v>
      </c>
      <c r="O779" s="51" t="s">
        <v>921</v>
      </c>
      <c r="P779" s="51" t="s">
        <v>18</v>
      </c>
      <c r="Q779" s="51" t="s">
        <v>977</v>
      </c>
      <c r="R779" s="51" t="s">
        <v>1083</v>
      </c>
      <c r="U779" s="52" t="s">
        <v>979</v>
      </c>
      <c r="W779" s="131" t="s">
        <v>338</v>
      </c>
    </row>
    <row r="780" spans="4:24" ht="25.5" x14ac:dyDescent="0.25">
      <c r="L780" s="160">
        <v>46054</v>
      </c>
      <c r="N780" s="51" t="s">
        <v>1078</v>
      </c>
      <c r="O780" s="51" t="s">
        <v>921</v>
      </c>
      <c r="P780" s="51" t="s">
        <v>18</v>
      </c>
      <c r="Q780" s="51" t="s">
        <v>977</v>
      </c>
      <c r="R780" s="51" t="s">
        <v>1083</v>
      </c>
      <c r="U780" s="52" t="s">
        <v>3522</v>
      </c>
      <c r="W780" s="131" t="s">
        <v>1084</v>
      </c>
    </row>
    <row r="781" spans="4:24" x14ac:dyDescent="0.25">
      <c r="L781" s="160">
        <v>46054</v>
      </c>
      <c r="N781" s="51" t="s">
        <v>1078</v>
      </c>
      <c r="O781" s="51" t="s">
        <v>921</v>
      </c>
      <c r="P781" s="51" t="s">
        <v>18</v>
      </c>
      <c r="Q781" s="51" t="s">
        <v>977</v>
      </c>
      <c r="R781" s="51" t="s">
        <v>1083</v>
      </c>
      <c r="U781" s="52" t="s">
        <v>982</v>
      </c>
      <c r="W781" s="131" t="s">
        <v>338</v>
      </c>
    </row>
    <row r="782" spans="4:24" ht="25.5" x14ac:dyDescent="0.25">
      <c r="D782" s="51" t="s">
        <v>3523</v>
      </c>
      <c r="L782" s="160">
        <v>46054</v>
      </c>
      <c r="N782" s="51" t="s">
        <v>1078</v>
      </c>
      <c r="O782" s="51" t="s">
        <v>921</v>
      </c>
      <c r="P782" s="51" t="s">
        <v>18</v>
      </c>
      <c r="Q782" s="51" t="s">
        <v>1012</v>
      </c>
      <c r="R782" s="51" t="s">
        <v>1083</v>
      </c>
      <c r="U782" s="52" t="s">
        <v>3454</v>
      </c>
      <c r="W782" s="131" t="s">
        <v>3455</v>
      </c>
    </row>
    <row r="783" spans="4:24" x14ac:dyDescent="0.25">
      <c r="L783" s="160">
        <v>46054</v>
      </c>
      <c r="N783" s="51" t="s">
        <v>1078</v>
      </c>
      <c r="O783" s="51" t="s">
        <v>921</v>
      </c>
      <c r="P783" s="51" t="s">
        <v>18</v>
      </c>
      <c r="Q783" s="51" t="s">
        <v>967</v>
      </c>
      <c r="R783" s="51" t="s">
        <v>1087</v>
      </c>
      <c r="U783" s="52" t="s">
        <v>974</v>
      </c>
      <c r="W783" s="131" t="s">
        <v>333</v>
      </c>
      <c r="X783" s="51" t="s">
        <v>975</v>
      </c>
    </row>
    <row r="784" spans="4:24" x14ac:dyDescent="0.25">
      <c r="L784" s="160">
        <v>46054</v>
      </c>
      <c r="N784" s="51" t="s">
        <v>1078</v>
      </c>
      <c r="O784" s="51" t="s">
        <v>921</v>
      </c>
      <c r="P784" s="51" t="s">
        <v>18</v>
      </c>
      <c r="Q784" s="51" t="s">
        <v>967</v>
      </c>
      <c r="R784" s="51" t="s">
        <v>1087</v>
      </c>
      <c r="U784" s="52" t="s">
        <v>1088</v>
      </c>
      <c r="W784" s="131" t="s">
        <v>334</v>
      </c>
      <c r="X784" s="51" t="s">
        <v>972</v>
      </c>
    </row>
    <row r="785" spans="4:24" x14ac:dyDescent="0.25">
      <c r="L785" s="160">
        <v>46054</v>
      </c>
      <c r="N785" s="51" t="s">
        <v>1078</v>
      </c>
      <c r="O785" s="51" t="s">
        <v>921</v>
      </c>
      <c r="P785" s="51" t="s">
        <v>18</v>
      </c>
      <c r="Q785" s="51" t="s">
        <v>977</v>
      </c>
      <c r="R785" s="51" t="s">
        <v>1089</v>
      </c>
      <c r="U785" s="52" t="s">
        <v>979</v>
      </c>
      <c r="W785" s="131" t="s">
        <v>334</v>
      </c>
    </row>
    <row r="786" spans="4:24" ht="25.5" x14ac:dyDescent="0.25">
      <c r="L786" s="160">
        <v>46054</v>
      </c>
      <c r="N786" s="51" t="s">
        <v>1078</v>
      </c>
      <c r="O786" s="51" t="s">
        <v>921</v>
      </c>
      <c r="P786" s="51" t="s">
        <v>18</v>
      </c>
      <c r="Q786" s="51" t="s">
        <v>977</v>
      </c>
      <c r="R786" s="51" t="s">
        <v>1089</v>
      </c>
      <c r="U786" s="52" t="s">
        <v>3522</v>
      </c>
      <c r="W786" s="131" t="s">
        <v>1090</v>
      </c>
    </row>
    <row r="787" spans="4:24" x14ac:dyDescent="0.25">
      <c r="L787" s="160">
        <v>46054</v>
      </c>
      <c r="N787" s="51" t="s">
        <v>1078</v>
      </c>
      <c r="O787" s="51" t="s">
        <v>921</v>
      </c>
      <c r="P787" s="51" t="s">
        <v>18</v>
      </c>
      <c r="Q787" s="51" t="s">
        <v>977</v>
      </c>
      <c r="R787" s="51" t="s">
        <v>1089</v>
      </c>
      <c r="U787" s="52" t="s">
        <v>982</v>
      </c>
      <c r="W787" s="131" t="s">
        <v>334</v>
      </c>
    </row>
    <row r="788" spans="4:24" x14ac:dyDescent="0.25">
      <c r="L788" s="160">
        <v>46054</v>
      </c>
      <c r="N788" s="51" t="s">
        <v>1078</v>
      </c>
      <c r="O788" s="51" t="s">
        <v>921</v>
      </c>
      <c r="P788" s="51" t="s">
        <v>18</v>
      </c>
      <c r="Q788" s="51" t="s">
        <v>967</v>
      </c>
      <c r="R788" s="51" t="s">
        <v>1093</v>
      </c>
      <c r="U788" s="52" t="s">
        <v>974</v>
      </c>
      <c r="W788" s="131" t="s">
        <v>333</v>
      </c>
      <c r="X788" s="51" t="s">
        <v>975</v>
      </c>
    </row>
    <row r="789" spans="4:24" x14ac:dyDescent="0.25">
      <c r="L789" s="160">
        <v>46054</v>
      </c>
      <c r="N789" s="51" t="s">
        <v>1078</v>
      </c>
      <c r="O789" s="51" t="s">
        <v>921</v>
      </c>
      <c r="P789" s="51" t="s">
        <v>18</v>
      </c>
      <c r="Q789" s="51" t="s">
        <v>967</v>
      </c>
      <c r="R789" s="51" t="s">
        <v>1093</v>
      </c>
      <c r="U789" s="52" t="s">
        <v>1094</v>
      </c>
      <c r="W789" s="131" t="s">
        <v>342</v>
      </c>
      <c r="X789" s="51" t="s">
        <v>972</v>
      </c>
    </row>
    <row r="790" spans="4:24" x14ac:dyDescent="0.25">
      <c r="L790" s="160">
        <v>46054</v>
      </c>
      <c r="N790" s="51" t="s">
        <v>1078</v>
      </c>
      <c r="O790" s="51" t="s">
        <v>921</v>
      </c>
      <c r="P790" s="51" t="s">
        <v>18</v>
      </c>
      <c r="Q790" s="51" t="s">
        <v>977</v>
      </c>
      <c r="R790" s="51" t="s">
        <v>1095</v>
      </c>
      <c r="U790" s="52" t="s">
        <v>979</v>
      </c>
      <c r="W790" s="131" t="s">
        <v>342</v>
      </c>
    </row>
    <row r="791" spans="4:24" ht="25.5" x14ac:dyDescent="0.25">
      <c r="L791" s="160">
        <v>46054</v>
      </c>
      <c r="N791" s="51" t="s">
        <v>1078</v>
      </c>
      <c r="O791" s="51" t="s">
        <v>921</v>
      </c>
      <c r="P791" s="51" t="s">
        <v>18</v>
      </c>
      <c r="Q791" s="51" t="s">
        <v>977</v>
      </c>
      <c r="R791" s="51" t="s">
        <v>1095</v>
      </c>
      <c r="U791" s="52" t="s">
        <v>3522</v>
      </c>
      <c r="W791" s="131" t="s">
        <v>1096</v>
      </c>
    </row>
    <row r="792" spans="4:24" x14ac:dyDescent="0.25">
      <c r="L792" s="160">
        <v>46054</v>
      </c>
      <c r="N792" s="51" t="s">
        <v>1078</v>
      </c>
      <c r="O792" s="51" t="s">
        <v>921</v>
      </c>
      <c r="P792" s="51" t="s">
        <v>18</v>
      </c>
      <c r="Q792" s="51" t="s">
        <v>977</v>
      </c>
      <c r="R792" s="51" t="s">
        <v>1095</v>
      </c>
      <c r="U792" s="52" t="s">
        <v>982</v>
      </c>
      <c r="W792" s="131" t="s">
        <v>342</v>
      </c>
    </row>
    <row r="793" spans="4:24" ht="63.75" x14ac:dyDescent="0.25">
      <c r="D793" s="51" t="s">
        <v>3526</v>
      </c>
      <c r="K793" s="160" t="s">
        <v>3652</v>
      </c>
      <c r="L793" s="160">
        <v>46054</v>
      </c>
      <c r="N793" s="51" t="s">
        <v>1097</v>
      </c>
      <c r="O793" s="51" t="s">
        <v>911</v>
      </c>
      <c r="P793" s="51" t="s">
        <v>19</v>
      </c>
      <c r="Q793" s="51" t="s">
        <v>957</v>
      </c>
      <c r="R793" s="51" t="s">
        <v>19</v>
      </c>
      <c r="S793" s="50" t="s">
        <v>950</v>
      </c>
      <c r="U793" s="52" t="s">
        <v>3570</v>
      </c>
      <c r="W793" s="131" t="s">
        <v>3572</v>
      </c>
    </row>
    <row r="794" spans="4:24" x14ac:dyDescent="0.25">
      <c r="L794" s="160">
        <v>46054</v>
      </c>
      <c r="N794" s="51" t="s">
        <v>1097</v>
      </c>
      <c r="O794" s="51" t="s">
        <v>911</v>
      </c>
      <c r="P794" s="51" t="s">
        <v>19</v>
      </c>
      <c r="Q794" s="51" t="s">
        <v>967</v>
      </c>
      <c r="R794" s="51" t="s">
        <v>1127</v>
      </c>
      <c r="U794" s="52" t="s">
        <v>974</v>
      </c>
      <c r="W794" s="131" t="s">
        <v>406</v>
      </c>
      <c r="X794" s="51" t="s">
        <v>975</v>
      </c>
    </row>
    <row r="795" spans="4:24" x14ac:dyDescent="0.25">
      <c r="L795" s="160">
        <v>46054</v>
      </c>
      <c r="N795" s="51" t="s">
        <v>1097</v>
      </c>
      <c r="O795" s="51" t="s">
        <v>911</v>
      </c>
      <c r="P795" s="51" t="s">
        <v>19</v>
      </c>
      <c r="Q795" s="51" t="s">
        <v>967</v>
      </c>
      <c r="R795" s="51" t="s">
        <v>1127</v>
      </c>
      <c r="U795" s="52" t="s">
        <v>1128</v>
      </c>
      <c r="W795" s="131" t="s">
        <v>19</v>
      </c>
      <c r="X795" s="51" t="s">
        <v>972</v>
      </c>
    </row>
    <row r="796" spans="4:24" x14ac:dyDescent="0.25">
      <c r="L796" s="160">
        <v>46054</v>
      </c>
      <c r="N796" s="51" t="s">
        <v>1097</v>
      </c>
      <c r="O796" s="51" t="s">
        <v>911</v>
      </c>
      <c r="P796" s="51" t="s">
        <v>19</v>
      </c>
      <c r="Q796" s="51" t="s">
        <v>967</v>
      </c>
      <c r="R796" s="51" t="s">
        <v>1129</v>
      </c>
      <c r="U796" s="52" t="s">
        <v>999</v>
      </c>
      <c r="W796" s="131" t="s">
        <v>19</v>
      </c>
      <c r="X796" s="51" t="s">
        <v>975</v>
      </c>
    </row>
    <row r="797" spans="4:24" x14ac:dyDescent="0.25">
      <c r="L797" s="160">
        <v>46054</v>
      </c>
      <c r="N797" s="51" t="s">
        <v>1097</v>
      </c>
      <c r="O797" s="51" t="s">
        <v>911</v>
      </c>
      <c r="P797" s="51" t="s">
        <v>19</v>
      </c>
      <c r="Q797" s="51" t="s">
        <v>967</v>
      </c>
      <c r="R797" s="51" t="s">
        <v>1129</v>
      </c>
      <c r="U797" s="52" t="s">
        <v>1000</v>
      </c>
      <c r="W797" s="131" t="s">
        <v>19</v>
      </c>
      <c r="X797" s="51" t="s">
        <v>972</v>
      </c>
    </row>
    <row r="798" spans="4:24" x14ac:dyDescent="0.25">
      <c r="L798" s="160">
        <v>46054</v>
      </c>
      <c r="N798" s="51" t="s">
        <v>1133</v>
      </c>
      <c r="O798" s="51" t="s">
        <v>913</v>
      </c>
      <c r="P798" s="51" t="s">
        <v>20</v>
      </c>
      <c r="Q798" s="51" t="s">
        <v>967</v>
      </c>
      <c r="R798" s="51" t="s">
        <v>1136</v>
      </c>
      <c r="U798" s="52" t="s">
        <v>974</v>
      </c>
      <c r="W798" s="131" t="s">
        <v>507</v>
      </c>
      <c r="X798" s="51" t="s">
        <v>975</v>
      </c>
    </row>
    <row r="799" spans="4:24" x14ac:dyDescent="0.25">
      <c r="L799" s="160">
        <v>46054</v>
      </c>
      <c r="N799" s="51" t="s">
        <v>1133</v>
      </c>
      <c r="O799" s="51" t="s">
        <v>913</v>
      </c>
      <c r="P799" s="51" t="s">
        <v>20</v>
      </c>
      <c r="Q799" s="51" t="s">
        <v>967</v>
      </c>
      <c r="R799" s="51" t="s">
        <v>1136</v>
      </c>
      <c r="U799" s="52" t="s">
        <v>1137</v>
      </c>
      <c r="W799" s="131" t="s">
        <v>508</v>
      </c>
      <c r="X799" s="51" t="s">
        <v>972</v>
      </c>
    </row>
    <row r="800" spans="4:24" x14ac:dyDescent="0.25">
      <c r="L800" s="160">
        <v>46054</v>
      </c>
      <c r="N800" s="51" t="s">
        <v>1133</v>
      </c>
      <c r="O800" s="51" t="s">
        <v>913</v>
      </c>
      <c r="P800" s="51" t="s">
        <v>20</v>
      </c>
      <c r="Q800" s="51" t="s">
        <v>967</v>
      </c>
      <c r="R800" s="51" t="s">
        <v>1138</v>
      </c>
      <c r="U800" s="52" t="s">
        <v>999</v>
      </c>
      <c r="W800" s="131" t="s">
        <v>508</v>
      </c>
      <c r="X800" s="51" t="s">
        <v>975</v>
      </c>
    </row>
    <row r="801" spans="12:24" x14ac:dyDescent="0.25">
      <c r="L801" s="160">
        <v>46054</v>
      </c>
      <c r="N801" s="51" t="s">
        <v>1133</v>
      </c>
      <c r="O801" s="51" t="s">
        <v>913</v>
      </c>
      <c r="P801" s="51" t="s">
        <v>20</v>
      </c>
      <c r="Q801" s="51" t="s">
        <v>967</v>
      </c>
      <c r="R801" s="51" t="s">
        <v>1138</v>
      </c>
      <c r="U801" s="52" t="s">
        <v>1000</v>
      </c>
      <c r="W801" s="131" t="s">
        <v>508</v>
      </c>
      <c r="X801" s="51" t="s">
        <v>972</v>
      </c>
    </row>
    <row r="802" spans="12:24" x14ac:dyDescent="0.25">
      <c r="L802" s="160">
        <v>46054</v>
      </c>
      <c r="N802" s="51" t="s">
        <v>1133</v>
      </c>
      <c r="O802" s="51" t="s">
        <v>913</v>
      </c>
      <c r="P802" s="51" t="s">
        <v>20</v>
      </c>
      <c r="Q802" s="51" t="s">
        <v>977</v>
      </c>
      <c r="R802" s="51" t="s">
        <v>1139</v>
      </c>
      <c r="U802" s="52" t="s">
        <v>979</v>
      </c>
      <c r="W802" s="131" t="s">
        <v>508</v>
      </c>
    </row>
    <row r="803" spans="12:24" ht="25.5" x14ac:dyDescent="0.25">
      <c r="L803" s="160">
        <v>46054</v>
      </c>
      <c r="N803" s="51" t="s">
        <v>1133</v>
      </c>
      <c r="O803" s="51" t="s">
        <v>913</v>
      </c>
      <c r="P803" s="51" t="s">
        <v>20</v>
      </c>
      <c r="Q803" s="51" t="s">
        <v>977</v>
      </c>
      <c r="R803" s="51" t="s">
        <v>1139</v>
      </c>
      <c r="U803" s="52" t="s">
        <v>980</v>
      </c>
      <c r="W803" s="131" t="s">
        <v>1140</v>
      </c>
    </row>
    <row r="804" spans="12:24" x14ac:dyDescent="0.25">
      <c r="L804" s="160">
        <v>46054</v>
      </c>
      <c r="N804" s="51" t="s">
        <v>1133</v>
      </c>
      <c r="O804" s="51" t="s">
        <v>913</v>
      </c>
      <c r="P804" s="51" t="s">
        <v>20</v>
      </c>
      <c r="Q804" s="51" t="s">
        <v>977</v>
      </c>
      <c r="R804" s="51" t="s">
        <v>1139</v>
      </c>
      <c r="U804" s="52" t="s">
        <v>982</v>
      </c>
      <c r="W804" s="131" t="s">
        <v>508</v>
      </c>
    </row>
    <row r="805" spans="12:24" x14ac:dyDescent="0.25">
      <c r="L805" s="160">
        <v>46054</v>
      </c>
      <c r="N805" s="51" t="s">
        <v>1141</v>
      </c>
      <c r="O805" s="51" t="s">
        <v>923</v>
      </c>
      <c r="P805" s="51" t="s">
        <v>21</v>
      </c>
      <c r="Q805" s="51" t="s">
        <v>967</v>
      </c>
      <c r="R805" s="51" t="s">
        <v>1144</v>
      </c>
      <c r="U805" s="52" t="s">
        <v>974</v>
      </c>
      <c r="W805" s="131" t="s">
        <v>545</v>
      </c>
      <c r="X805" s="51" t="s">
        <v>975</v>
      </c>
    </row>
    <row r="806" spans="12:24" x14ac:dyDescent="0.25">
      <c r="L806" s="160">
        <v>46054</v>
      </c>
      <c r="N806" s="51" t="s">
        <v>1141</v>
      </c>
      <c r="O806" s="51" t="s">
        <v>923</v>
      </c>
      <c r="P806" s="51" t="s">
        <v>21</v>
      </c>
      <c r="Q806" s="51" t="s">
        <v>967</v>
      </c>
      <c r="R806" s="51" t="s">
        <v>1144</v>
      </c>
      <c r="U806" s="52" t="s">
        <v>1145</v>
      </c>
      <c r="W806" s="131" t="s">
        <v>546</v>
      </c>
      <c r="X806" s="51" t="s">
        <v>972</v>
      </c>
    </row>
    <row r="807" spans="12:24" x14ac:dyDescent="0.25">
      <c r="L807" s="160">
        <v>46054</v>
      </c>
      <c r="N807" s="51" t="s">
        <v>1141</v>
      </c>
      <c r="O807" s="51" t="s">
        <v>923</v>
      </c>
      <c r="P807" s="51" t="s">
        <v>21</v>
      </c>
      <c r="Q807" s="51" t="s">
        <v>967</v>
      </c>
      <c r="R807" s="51" t="s">
        <v>1146</v>
      </c>
      <c r="U807" s="52" t="s">
        <v>999</v>
      </c>
      <c r="W807" s="131" t="s">
        <v>546</v>
      </c>
      <c r="X807" s="51" t="s">
        <v>975</v>
      </c>
    </row>
    <row r="808" spans="12:24" x14ac:dyDescent="0.25">
      <c r="L808" s="160">
        <v>46054</v>
      </c>
      <c r="N808" s="51" t="s">
        <v>1141</v>
      </c>
      <c r="O808" s="51" t="s">
        <v>923</v>
      </c>
      <c r="P808" s="51" t="s">
        <v>21</v>
      </c>
      <c r="Q808" s="51" t="s">
        <v>967</v>
      </c>
      <c r="R808" s="51" t="s">
        <v>1146</v>
      </c>
      <c r="U808" s="52" t="s">
        <v>1000</v>
      </c>
      <c r="W808" s="131" t="s">
        <v>546</v>
      </c>
      <c r="X808" s="51" t="s">
        <v>972</v>
      </c>
    </row>
    <row r="809" spans="12:24" x14ac:dyDescent="0.25">
      <c r="L809" s="160">
        <v>46054</v>
      </c>
      <c r="N809" s="51" t="s">
        <v>1141</v>
      </c>
      <c r="O809" s="51" t="s">
        <v>923</v>
      </c>
      <c r="P809" s="51" t="s">
        <v>21</v>
      </c>
      <c r="Q809" s="51" t="s">
        <v>977</v>
      </c>
      <c r="R809" s="51" t="s">
        <v>1147</v>
      </c>
      <c r="U809" s="52" t="s">
        <v>979</v>
      </c>
      <c r="W809" s="131" t="s">
        <v>546</v>
      </c>
    </row>
    <row r="810" spans="12:24" ht="25.5" x14ac:dyDescent="0.25">
      <c r="L810" s="160">
        <v>46054</v>
      </c>
      <c r="N810" s="51" t="s">
        <v>1141</v>
      </c>
      <c r="O810" s="51" t="s">
        <v>923</v>
      </c>
      <c r="P810" s="51" t="s">
        <v>21</v>
      </c>
      <c r="Q810" s="51" t="s">
        <v>977</v>
      </c>
      <c r="R810" s="51" t="s">
        <v>1147</v>
      </c>
      <c r="U810" s="52" t="s">
        <v>980</v>
      </c>
      <c r="W810" s="131" t="s">
        <v>1148</v>
      </c>
    </row>
    <row r="811" spans="12:24" x14ac:dyDescent="0.25">
      <c r="L811" s="160">
        <v>46054</v>
      </c>
      <c r="N811" s="51" t="s">
        <v>1141</v>
      </c>
      <c r="O811" s="51" t="s">
        <v>923</v>
      </c>
      <c r="P811" s="51" t="s">
        <v>21</v>
      </c>
      <c r="Q811" s="51" t="s">
        <v>977</v>
      </c>
      <c r="R811" s="51" t="s">
        <v>1147</v>
      </c>
      <c r="U811" s="52" t="s">
        <v>982</v>
      </c>
      <c r="W811" s="131" t="s">
        <v>546</v>
      </c>
    </row>
    <row r="812" spans="12:24" x14ac:dyDescent="0.25">
      <c r="L812" s="160">
        <v>46054</v>
      </c>
      <c r="N812" s="51" t="s">
        <v>1141</v>
      </c>
      <c r="O812" s="51" t="s">
        <v>923</v>
      </c>
      <c r="P812" s="51" t="s">
        <v>21</v>
      </c>
      <c r="Q812" s="51" t="s">
        <v>967</v>
      </c>
      <c r="R812" s="51" t="s">
        <v>1151</v>
      </c>
      <c r="U812" s="52" t="s">
        <v>974</v>
      </c>
      <c r="W812" s="131" t="s">
        <v>545</v>
      </c>
      <c r="X812" s="51" t="s">
        <v>975</v>
      </c>
    </row>
    <row r="813" spans="12:24" x14ac:dyDescent="0.25">
      <c r="L813" s="160">
        <v>46054</v>
      </c>
      <c r="N813" s="51" t="s">
        <v>1141</v>
      </c>
      <c r="O813" s="51" t="s">
        <v>923</v>
      </c>
      <c r="P813" s="51" t="s">
        <v>21</v>
      </c>
      <c r="Q813" s="51" t="s">
        <v>967</v>
      </c>
      <c r="R813" s="51" t="s">
        <v>1151</v>
      </c>
      <c r="U813" s="52" t="s">
        <v>1152</v>
      </c>
      <c r="W813" s="131" t="s">
        <v>528</v>
      </c>
      <c r="X813" s="51" t="s">
        <v>972</v>
      </c>
    </row>
    <row r="814" spans="12:24" x14ac:dyDescent="0.25">
      <c r="L814" s="160">
        <v>46054</v>
      </c>
      <c r="N814" s="51" t="s">
        <v>1141</v>
      </c>
      <c r="O814" s="51" t="s">
        <v>923</v>
      </c>
      <c r="P814" s="51" t="s">
        <v>21</v>
      </c>
      <c r="Q814" s="51" t="s">
        <v>967</v>
      </c>
      <c r="R814" s="51" t="s">
        <v>1153</v>
      </c>
      <c r="U814" s="52" t="s">
        <v>999</v>
      </c>
      <c r="W814" s="131" t="s">
        <v>528</v>
      </c>
      <c r="X814" s="51" t="s">
        <v>975</v>
      </c>
    </row>
    <row r="815" spans="12:24" x14ac:dyDescent="0.25">
      <c r="L815" s="160">
        <v>46054</v>
      </c>
      <c r="N815" s="51" t="s">
        <v>1141</v>
      </c>
      <c r="O815" s="51" t="s">
        <v>923</v>
      </c>
      <c r="P815" s="51" t="s">
        <v>21</v>
      </c>
      <c r="Q815" s="51" t="s">
        <v>967</v>
      </c>
      <c r="R815" s="51" t="s">
        <v>1153</v>
      </c>
      <c r="U815" s="52" t="s">
        <v>1000</v>
      </c>
      <c r="W815" s="131" t="s">
        <v>528</v>
      </c>
      <c r="X815" s="51" t="s">
        <v>972</v>
      </c>
    </row>
    <row r="816" spans="12:24" x14ac:dyDescent="0.25">
      <c r="L816" s="160">
        <v>46054</v>
      </c>
      <c r="N816" s="51" t="s">
        <v>1141</v>
      </c>
      <c r="O816" s="51" t="s">
        <v>923</v>
      </c>
      <c r="P816" s="51" t="s">
        <v>21</v>
      </c>
      <c r="Q816" s="51" t="s">
        <v>977</v>
      </c>
      <c r="R816" s="51" t="s">
        <v>1154</v>
      </c>
      <c r="U816" s="52" t="s">
        <v>979</v>
      </c>
      <c r="W816" s="131" t="s">
        <v>528</v>
      </c>
    </row>
    <row r="817" spans="4:25" ht="25.5" x14ac:dyDescent="0.25">
      <c r="L817" s="160">
        <v>46054</v>
      </c>
      <c r="N817" s="51" t="s">
        <v>1141</v>
      </c>
      <c r="O817" s="51" t="s">
        <v>923</v>
      </c>
      <c r="P817" s="51" t="s">
        <v>21</v>
      </c>
      <c r="Q817" s="51" t="s">
        <v>977</v>
      </c>
      <c r="R817" s="51" t="s">
        <v>1154</v>
      </c>
      <c r="U817" s="52" t="s">
        <v>980</v>
      </c>
      <c r="W817" s="131" t="s">
        <v>1155</v>
      </c>
    </row>
    <row r="818" spans="4:25" x14ac:dyDescent="0.25">
      <c r="L818" s="160">
        <v>46054</v>
      </c>
      <c r="N818" s="51" t="s">
        <v>1141</v>
      </c>
      <c r="O818" s="51" t="s">
        <v>923</v>
      </c>
      <c r="P818" s="51" t="s">
        <v>21</v>
      </c>
      <c r="Q818" s="51" t="s">
        <v>977</v>
      </c>
      <c r="R818" s="51" t="s">
        <v>1154</v>
      </c>
      <c r="U818" s="52" t="s">
        <v>982</v>
      </c>
      <c r="W818" s="131" t="s">
        <v>528</v>
      </c>
    </row>
    <row r="819" spans="4:25" x14ac:dyDescent="0.25">
      <c r="L819" s="160">
        <v>46054</v>
      </c>
      <c r="N819" s="51" t="s">
        <v>1156</v>
      </c>
      <c r="O819" s="51" t="s">
        <v>924</v>
      </c>
      <c r="P819" s="51" t="s">
        <v>22</v>
      </c>
      <c r="Q819" s="51" t="s">
        <v>967</v>
      </c>
      <c r="R819" s="51" t="s">
        <v>1159</v>
      </c>
      <c r="U819" s="52" t="s">
        <v>974</v>
      </c>
      <c r="W819" s="131" t="s">
        <v>578</v>
      </c>
      <c r="X819" s="51" t="s">
        <v>975</v>
      </c>
    </row>
    <row r="820" spans="4:25" x14ac:dyDescent="0.25">
      <c r="L820" s="160">
        <v>46054</v>
      </c>
      <c r="N820" s="51" t="s">
        <v>1156</v>
      </c>
      <c r="O820" s="51" t="s">
        <v>924</v>
      </c>
      <c r="P820" s="51" t="s">
        <v>22</v>
      </c>
      <c r="Q820" s="51" t="s">
        <v>967</v>
      </c>
      <c r="R820" s="51" t="s">
        <v>1159</v>
      </c>
      <c r="U820" s="52" t="s">
        <v>1160</v>
      </c>
      <c r="W820" s="131" t="s">
        <v>567</v>
      </c>
      <c r="X820" s="51" t="s">
        <v>972</v>
      </c>
    </row>
    <row r="821" spans="4:25" x14ac:dyDescent="0.25">
      <c r="L821" s="160">
        <v>46054</v>
      </c>
      <c r="N821" s="51" t="s">
        <v>1156</v>
      </c>
      <c r="O821" s="51" t="s">
        <v>924</v>
      </c>
      <c r="P821" s="51" t="s">
        <v>22</v>
      </c>
      <c r="Q821" s="51" t="s">
        <v>977</v>
      </c>
      <c r="R821" s="51" t="s">
        <v>1161</v>
      </c>
      <c r="U821" s="52" t="s">
        <v>979</v>
      </c>
      <c r="W821" s="131" t="s">
        <v>1162</v>
      </c>
    </row>
    <row r="822" spans="4:25" ht="25.5" x14ac:dyDescent="0.25">
      <c r="L822" s="160">
        <v>46054</v>
      </c>
      <c r="N822" s="51" t="s">
        <v>1156</v>
      </c>
      <c r="O822" s="51" t="s">
        <v>924</v>
      </c>
      <c r="P822" s="51" t="s">
        <v>22</v>
      </c>
      <c r="Q822" s="51" t="s">
        <v>977</v>
      </c>
      <c r="R822" s="51" t="s">
        <v>1161</v>
      </c>
      <c r="U822" s="52" t="s">
        <v>3522</v>
      </c>
      <c r="W822" s="131" t="s">
        <v>1163</v>
      </c>
    </row>
    <row r="823" spans="4:25" x14ac:dyDescent="0.25">
      <c r="L823" s="160">
        <v>46054</v>
      </c>
      <c r="N823" s="51" t="s">
        <v>1156</v>
      </c>
      <c r="O823" s="51" t="s">
        <v>924</v>
      </c>
      <c r="P823" s="51" t="s">
        <v>22</v>
      </c>
      <c r="Q823" s="51" t="s">
        <v>977</v>
      </c>
      <c r="R823" s="51" t="s">
        <v>1161</v>
      </c>
      <c r="U823" s="52" t="s">
        <v>982</v>
      </c>
      <c r="W823" s="131" t="s">
        <v>1164</v>
      </c>
    </row>
    <row r="824" spans="4:25" ht="25.5" x14ac:dyDescent="0.25">
      <c r="D824" s="51" t="s">
        <v>3543</v>
      </c>
      <c r="L824" s="160">
        <v>46054</v>
      </c>
      <c r="N824" s="51" t="s">
        <v>1156</v>
      </c>
      <c r="O824" s="51" t="s">
        <v>924</v>
      </c>
      <c r="P824" s="51" t="s">
        <v>22</v>
      </c>
      <c r="Q824" s="51" t="s">
        <v>1012</v>
      </c>
      <c r="R824" s="51" t="s">
        <v>1161</v>
      </c>
      <c r="U824" s="52" t="s">
        <v>3454</v>
      </c>
      <c r="W824" s="131" t="s">
        <v>3455</v>
      </c>
    </row>
    <row r="825" spans="4:25" x14ac:dyDescent="0.25">
      <c r="L825" s="160">
        <v>46054</v>
      </c>
      <c r="N825" s="51" t="s">
        <v>1170</v>
      </c>
      <c r="O825" s="51" t="s">
        <v>917</v>
      </c>
      <c r="P825" s="51" t="s">
        <v>24</v>
      </c>
      <c r="Q825" s="51" t="s">
        <v>967</v>
      </c>
      <c r="R825" s="51" t="s">
        <v>1177</v>
      </c>
      <c r="U825" s="52" t="s">
        <v>974</v>
      </c>
      <c r="W825" s="131" t="s">
        <v>648</v>
      </c>
      <c r="X825" s="51" t="s">
        <v>975</v>
      </c>
      <c r="Y825" s="52" t="s">
        <v>3544</v>
      </c>
    </row>
    <row r="826" spans="4:25" x14ac:dyDescent="0.25">
      <c r="L826" s="160">
        <v>46054</v>
      </c>
      <c r="N826" s="51" t="s">
        <v>1170</v>
      </c>
      <c r="O826" s="51" t="s">
        <v>917</v>
      </c>
      <c r="P826" s="51" t="s">
        <v>24</v>
      </c>
      <c r="Q826" s="51" t="s">
        <v>967</v>
      </c>
      <c r="R826" s="51" t="s">
        <v>1177</v>
      </c>
      <c r="U826" s="52" t="s">
        <v>1178</v>
      </c>
      <c r="W826" s="131" t="s">
        <v>649</v>
      </c>
      <c r="X826" s="51" t="s">
        <v>972</v>
      </c>
      <c r="Y826" s="52" t="s">
        <v>3544</v>
      </c>
    </row>
    <row r="827" spans="4:25" x14ac:dyDescent="0.25">
      <c r="L827" s="160">
        <v>46054</v>
      </c>
      <c r="N827" s="51" t="s">
        <v>1170</v>
      </c>
      <c r="O827" s="51" t="s">
        <v>917</v>
      </c>
      <c r="P827" s="51" t="s">
        <v>24</v>
      </c>
      <c r="Q827" s="51" t="s">
        <v>967</v>
      </c>
      <c r="R827" s="51" t="s">
        <v>1179</v>
      </c>
      <c r="U827" s="52" t="s">
        <v>999</v>
      </c>
      <c r="W827" s="131" t="s">
        <v>649</v>
      </c>
      <c r="X827" s="51" t="s">
        <v>975</v>
      </c>
      <c r="Y827" s="52" t="s">
        <v>3544</v>
      </c>
    </row>
    <row r="828" spans="4:25" x14ac:dyDescent="0.25">
      <c r="L828" s="160">
        <v>46054</v>
      </c>
      <c r="N828" s="51" t="s">
        <v>1170</v>
      </c>
      <c r="O828" s="51" t="s">
        <v>917</v>
      </c>
      <c r="P828" s="51" t="s">
        <v>24</v>
      </c>
      <c r="Q828" s="51" t="s">
        <v>967</v>
      </c>
      <c r="R828" s="51" t="s">
        <v>1179</v>
      </c>
      <c r="U828" s="52" t="s">
        <v>1000</v>
      </c>
      <c r="W828" s="131" t="s">
        <v>649</v>
      </c>
      <c r="X828" s="51" t="s">
        <v>972</v>
      </c>
      <c r="Y828" s="52" t="s">
        <v>3544</v>
      </c>
    </row>
    <row r="829" spans="4:25" x14ac:dyDescent="0.25">
      <c r="L829" s="160">
        <v>46054</v>
      </c>
      <c r="N829" s="51" t="s">
        <v>1170</v>
      </c>
      <c r="O829" s="51" t="s">
        <v>917</v>
      </c>
      <c r="P829" s="51" t="s">
        <v>24</v>
      </c>
      <c r="Q829" s="51" t="s">
        <v>977</v>
      </c>
      <c r="R829" s="51" t="s">
        <v>1180</v>
      </c>
      <c r="U829" s="52" t="s">
        <v>979</v>
      </c>
      <c r="W829" s="131" t="s">
        <v>649</v>
      </c>
      <c r="Y829" s="52" t="s">
        <v>3544</v>
      </c>
    </row>
    <row r="830" spans="4:25" ht="25.5" x14ac:dyDescent="0.25">
      <c r="L830" s="160">
        <v>46054</v>
      </c>
      <c r="N830" s="51" t="s">
        <v>1170</v>
      </c>
      <c r="O830" s="51" t="s">
        <v>917</v>
      </c>
      <c r="P830" s="51" t="s">
        <v>24</v>
      </c>
      <c r="Q830" s="51" t="s">
        <v>977</v>
      </c>
      <c r="R830" s="51" t="s">
        <v>1180</v>
      </c>
      <c r="U830" s="52" t="s">
        <v>980</v>
      </c>
      <c r="W830" s="131" t="s">
        <v>1181</v>
      </c>
      <c r="Y830" s="52" t="s">
        <v>3544</v>
      </c>
    </row>
    <row r="831" spans="4:25" x14ac:dyDescent="0.25">
      <c r="L831" s="160">
        <v>46054</v>
      </c>
      <c r="N831" s="51" t="s">
        <v>1170</v>
      </c>
      <c r="O831" s="51" t="s">
        <v>917</v>
      </c>
      <c r="P831" s="51" t="s">
        <v>24</v>
      </c>
      <c r="Q831" s="51" t="s">
        <v>977</v>
      </c>
      <c r="R831" s="51" t="s">
        <v>1180</v>
      </c>
      <c r="U831" s="52" t="s">
        <v>982</v>
      </c>
      <c r="W831" s="131" t="s">
        <v>649</v>
      </c>
      <c r="Y831" s="52" t="s">
        <v>3544</v>
      </c>
    </row>
    <row r="832" spans="4:25" x14ac:dyDescent="0.25">
      <c r="L832" s="160">
        <v>46054</v>
      </c>
      <c r="N832" s="51" t="s">
        <v>1170</v>
      </c>
      <c r="O832" s="51" t="s">
        <v>917</v>
      </c>
      <c r="P832" s="51" t="s">
        <v>24</v>
      </c>
      <c r="Q832" s="51" t="s">
        <v>967</v>
      </c>
      <c r="R832" s="51" t="s">
        <v>1190</v>
      </c>
      <c r="U832" s="52" t="s">
        <v>974</v>
      </c>
      <c r="W832" s="131" t="s">
        <v>648</v>
      </c>
      <c r="X832" s="51" t="s">
        <v>975</v>
      </c>
      <c r="Y832" s="52" t="s">
        <v>3544</v>
      </c>
    </row>
    <row r="833" spans="12:25" x14ac:dyDescent="0.25">
      <c r="L833" s="160">
        <v>46054</v>
      </c>
      <c r="N833" s="51" t="s">
        <v>1170</v>
      </c>
      <c r="O833" s="51" t="s">
        <v>917</v>
      </c>
      <c r="P833" s="51" t="s">
        <v>24</v>
      </c>
      <c r="Q833" s="51" t="s">
        <v>967</v>
      </c>
      <c r="R833" s="51" t="s">
        <v>1190</v>
      </c>
      <c r="U833" s="52" t="s">
        <v>1191</v>
      </c>
      <c r="W833" s="131" t="s">
        <v>677</v>
      </c>
      <c r="X833" s="51" t="s">
        <v>972</v>
      </c>
      <c r="Y833" s="52" t="s">
        <v>3544</v>
      </c>
    </row>
    <row r="834" spans="12:25" x14ac:dyDescent="0.25">
      <c r="L834" s="160">
        <v>46054</v>
      </c>
      <c r="N834" s="51" t="s">
        <v>1170</v>
      </c>
      <c r="O834" s="51" t="s">
        <v>917</v>
      </c>
      <c r="P834" s="51" t="s">
        <v>24</v>
      </c>
      <c r="Q834" s="51" t="s">
        <v>967</v>
      </c>
      <c r="R834" s="51" t="s">
        <v>1192</v>
      </c>
      <c r="U834" s="52" t="s">
        <v>999</v>
      </c>
      <c r="W834" s="131" t="s">
        <v>677</v>
      </c>
      <c r="X834" s="51" t="s">
        <v>975</v>
      </c>
      <c r="Y834" s="52" t="s">
        <v>3544</v>
      </c>
    </row>
    <row r="835" spans="12:25" x14ac:dyDescent="0.25">
      <c r="L835" s="160">
        <v>46054</v>
      </c>
      <c r="N835" s="51" t="s">
        <v>1170</v>
      </c>
      <c r="O835" s="51" t="s">
        <v>917</v>
      </c>
      <c r="P835" s="51" t="s">
        <v>24</v>
      </c>
      <c r="Q835" s="51" t="s">
        <v>967</v>
      </c>
      <c r="R835" s="51" t="s">
        <v>1192</v>
      </c>
      <c r="U835" s="52" t="s">
        <v>1000</v>
      </c>
      <c r="W835" s="131" t="s">
        <v>677</v>
      </c>
      <c r="X835" s="51" t="s">
        <v>972</v>
      </c>
      <c r="Y835" s="52" t="s">
        <v>3544</v>
      </c>
    </row>
    <row r="836" spans="12:25" x14ac:dyDescent="0.25">
      <c r="L836" s="160">
        <v>46054</v>
      </c>
      <c r="N836" s="51" t="s">
        <v>1170</v>
      </c>
      <c r="O836" s="51" t="s">
        <v>917</v>
      </c>
      <c r="P836" s="51" t="s">
        <v>24</v>
      </c>
      <c r="Q836" s="51" t="s">
        <v>977</v>
      </c>
      <c r="R836" s="51" t="s">
        <v>1193</v>
      </c>
      <c r="U836" s="52" t="s">
        <v>979</v>
      </c>
      <c r="W836" s="131" t="s">
        <v>677</v>
      </c>
      <c r="Y836" s="52" t="s">
        <v>3544</v>
      </c>
    </row>
    <row r="837" spans="12:25" ht="25.5" x14ac:dyDescent="0.25">
      <c r="L837" s="160">
        <v>46054</v>
      </c>
      <c r="N837" s="51" t="s">
        <v>1170</v>
      </c>
      <c r="O837" s="51" t="s">
        <v>917</v>
      </c>
      <c r="P837" s="51" t="s">
        <v>24</v>
      </c>
      <c r="Q837" s="51" t="s">
        <v>977</v>
      </c>
      <c r="R837" s="51" t="s">
        <v>1193</v>
      </c>
      <c r="U837" s="52" t="s">
        <v>980</v>
      </c>
      <c r="W837" s="131" t="s">
        <v>1194</v>
      </c>
      <c r="Y837" s="52" t="s">
        <v>3544</v>
      </c>
    </row>
    <row r="838" spans="12:25" x14ac:dyDescent="0.25">
      <c r="L838" s="160">
        <v>46054</v>
      </c>
      <c r="N838" s="51" t="s">
        <v>1170</v>
      </c>
      <c r="O838" s="51" t="s">
        <v>917</v>
      </c>
      <c r="P838" s="51" t="s">
        <v>24</v>
      </c>
      <c r="Q838" s="51" t="s">
        <v>977</v>
      </c>
      <c r="R838" s="51" t="s">
        <v>1193</v>
      </c>
      <c r="U838" s="52" t="s">
        <v>982</v>
      </c>
      <c r="W838" s="131" t="s">
        <v>677</v>
      </c>
      <c r="Y838" s="52" t="s">
        <v>3544</v>
      </c>
    </row>
  </sheetData>
  <autoFilter ref="A5:BB838" xr:uid="{1019C62A-C36D-4198-9B8A-6507B4402C87}"/>
  <mergeCells count="4">
    <mergeCell ref="G4:I4"/>
    <mergeCell ref="K4:L4"/>
    <mergeCell ref="A4:F4"/>
    <mergeCell ref="N4:Y4"/>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597D-C7EA-4FF6-BD7D-C21F920DB6FB}">
  <sheetPr codeName="Tabelle9">
    <tabColor theme="9" tint="0.39997558519241921"/>
  </sheetPr>
  <dimension ref="A1:BA140"/>
  <sheetViews>
    <sheetView zoomScale="70" zoomScaleNormal="70" workbookViewId="0">
      <pane ySplit="5" topLeftCell="A6" activePane="bottomLeft" state="frozen"/>
      <selection pane="bottomLeft" activeCell="M6" sqref="M6"/>
    </sheetView>
  </sheetViews>
  <sheetFormatPr baseColWidth="10" defaultColWidth="11.42578125" defaultRowHeight="12.75" x14ac:dyDescent="0.25"/>
  <cols>
    <col min="1" max="1" width="10.5703125" style="51" customWidth="1"/>
    <col min="2" max="2" width="5.5703125" style="51" customWidth="1"/>
    <col min="3" max="3" width="10.5703125" style="51" hidden="1" customWidth="1"/>
    <col min="4" max="5" width="10.5703125" style="51" customWidth="1"/>
    <col min="6" max="8" width="10.5703125" style="149" hidden="1" customWidth="1"/>
    <col min="9" max="9" width="5.5703125" style="51" customWidth="1"/>
    <col min="10" max="11" width="10.5703125" style="160" customWidth="1"/>
    <col min="12" max="12" width="5.5703125" style="51" customWidth="1"/>
    <col min="13" max="15" width="30.5703125" style="51" customWidth="1"/>
    <col min="16" max="16" width="20.5703125" style="51" customWidth="1"/>
    <col min="17" max="17" width="30.5703125" style="51" customWidth="1"/>
    <col min="18" max="18" width="5.5703125" style="50" customWidth="1"/>
    <col min="19" max="19" width="5.5703125" style="51" customWidth="1"/>
    <col min="20" max="20" width="40.5703125" style="52" customWidth="1"/>
    <col min="21" max="21" width="10.5703125" style="52" customWidth="1"/>
    <col min="22" max="22" width="50.5703125" style="131" customWidth="1"/>
    <col min="23" max="23" width="10.5703125" style="51" customWidth="1"/>
    <col min="24" max="24" width="50.5703125" style="52" customWidth="1"/>
    <col min="25" max="25" width="70.5703125" style="52" customWidth="1"/>
    <col min="26" max="26" width="5.5703125" style="51" customWidth="1"/>
    <col min="27" max="29" width="30.5703125" style="51" customWidth="1"/>
    <col min="30" max="30" width="20.5703125" style="51" customWidth="1"/>
    <col min="31" max="31" width="30.5703125" style="51" customWidth="1"/>
    <col min="32" max="32" width="5.5703125" style="50" customWidth="1"/>
    <col min="33" max="33" width="5.5703125" style="51" customWidth="1"/>
    <col min="34" max="34" width="40.5703125" style="51" customWidth="1"/>
    <col min="35" max="35" width="10.5703125" style="51" customWidth="1"/>
    <col min="36" max="36" width="50.5703125" style="52" customWidth="1"/>
    <col min="37" max="37" width="10.5703125" style="51" customWidth="1"/>
    <col min="38" max="38" width="50.5703125" style="52" customWidth="1"/>
    <col min="39" max="39" width="70.5703125" style="52" customWidth="1"/>
    <col min="40" max="40" width="5.5703125" style="51" customWidth="1"/>
    <col min="41" max="43" width="30.5703125" style="51" customWidth="1"/>
    <col min="44" max="44" width="20.5703125" style="51" customWidth="1"/>
    <col min="45" max="45" width="30.5703125" style="51" customWidth="1"/>
    <col min="46" max="46" width="5.5703125" style="180" customWidth="1"/>
    <col min="47" max="47" width="5.5703125" style="51" customWidth="1"/>
    <col min="48" max="48" width="40.5703125" style="51" customWidth="1"/>
    <col min="49" max="49" width="10.5703125" style="51" customWidth="1"/>
    <col min="50" max="50" width="50.5703125" style="52" customWidth="1"/>
    <col min="51" max="51" width="10.5703125" style="51" customWidth="1"/>
    <col min="52" max="52" width="50.5703125" style="52" customWidth="1"/>
    <col min="53" max="53" width="70.5703125" style="52" customWidth="1"/>
    <col min="54" max="16384" width="11.42578125" style="51"/>
  </cols>
  <sheetData>
    <row r="1" spans="1:53" s="21" customFormat="1" ht="20.25" x14ac:dyDescent="0.25">
      <c r="A1" s="20" t="s">
        <v>3638</v>
      </c>
      <c r="B1" s="20"/>
      <c r="C1" s="20"/>
      <c r="D1" s="20"/>
      <c r="E1" s="20"/>
      <c r="F1" s="163"/>
      <c r="G1" s="163"/>
      <c r="H1" s="163"/>
      <c r="I1" s="20"/>
      <c r="J1" s="159"/>
      <c r="K1" s="159"/>
      <c r="P1" s="22"/>
      <c r="R1" s="23"/>
      <c r="S1" s="23"/>
      <c r="U1" s="130"/>
      <c r="W1" s="23"/>
      <c r="X1" s="23"/>
      <c r="Z1" s="124"/>
      <c r="AF1" s="22"/>
      <c r="AJ1" s="23"/>
      <c r="AL1" s="23"/>
      <c r="AM1" s="23"/>
      <c r="AT1" s="179"/>
      <c r="AX1" s="23"/>
      <c r="AZ1" s="23"/>
      <c r="BA1" s="23"/>
    </row>
    <row r="2" spans="1:53" x14ac:dyDescent="0.25">
      <c r="A2" s="185" t="s">
        <v>5731</v>
      </c>
      <c r="P2" s="50"/>
      <c r="R2" s="52"/>
      <c r="S2" s="52"/>
      <c r="T2" s="51"/>
      <c r="U2" s="131"/>
      <c r="V2" s="51"/>
      <c r="W2" s="52"/>
      <c r="Y2" s="51"/>
      <c r="Z2" s="125"/>
    </row>
    <row r="3" spans="1:53" x14ac:dyDescent="0.25">
      <c r="C3" s="141"/>
      <c r="D3" s="141"/>
      <c r="Q3" s="50"/>
      <c r="R3" s="51"/>
      <c r="S3" s="52"/>
      <c r="U3" s="51"/>
    </row>
    <row r="4" spans="1:53" x14ac:dyDescent="0.25">
      <c r="A4" s="250" t="s">
        <v>3720</v>
      </c>
      <c r="B4" s="250"/>
      <c r="C4" s="250"/>
      <c r="D4" s="250"/>
      <c r="E4" s="250"/>
      <c r="F4" s="251" t="s">
        <v>3721</v>
      </c>
      <c r="G4" s="251"/>
      <c r="H4" s="251"/>
      <c r="J4" s="253" t="s">
        <v>5555</v>
      </c>
      <c r="K4" s="253"/>
      <c r="M4" s="247" t="s">
        <v>613</v>
      </c>
      <c r="N4" s="247"/>
      <c r="O4" s="247"/>
      <c r="P4" s="247"/>
      <c r="Q4" s="247"/>
      <c r="R4" s="247"/>
      <c r="S4" s="247"/>
      <c r="T4" s="247"/>
      <c r="U4" s="247"/>
      <c r="V4" s="247"/>
      <c r="W4" s="247"/>
      <c r="X4" s="247"/>
      <c r="Y4" s="53"/>
      <c r="AA4" s="165" t="s">
        <v>2809</v>
      </c>
      <c r="AB4" s="165"/>
      <c r="AC4" s="165"/>
      <c r="AD4" s="165"/>
      <c r="AE4" s="165"/>
      <c r="AF4" s="165"/>
      <c r="AG4" s="165"/>
      <c r="AH4" s="165"/>
      <c r="AI4" s="165"/>
      <c r="AJ4" s="182"/>
      <c r="AK4" s="165"/>
      <c r="AL4" s="165"/>
      <c r="AM4" s="169"/>
      <c r="AO4" s="172" t="s">
        <v>3790</v>
      </c>
      <c r="AP4" s="172"/>
      <c r="AQ4" s="172"/>
      <c r="AR4" s="172"/>
      <c r="AS4" s="172"/>
      <c r="AT4" s="172"/>
      <c r="AU4" s="172"/>
      <c r="AV4" s="172"/>
      <c r="AW4" s="172"/>
      <c r="AX4" s="183"/>
      <c r="AY4" s="172"/>
      <c r="AZ4" s="172"/>
      <c r="BA4" s="175"/>
    </row>
    <row r="5" spans="1:53" s="27" customFormat="1" x14ac:dyDescent="0.25">
      <c r="A5" s="30" t="s">
        <v>2</v>
      </c>
      <c r="B5" s="30" t="s">
        <v>1202</v>
      </c>
      <c r="C5" s="30" t="s">
        <v>3720</v>
      </c>
      <c r="D5" s="30" t="s">
        <v>4502</v>
      </c>
      <c r="E5" s="30" t="s">
        <v>34</v>
      </c>
      <c r="F5" s="147" t="s">
        <v>6</v>
      </c>
      <c r="G5" s="147" t="s">
        <v>5732</v>
      </c>
      <c r="H5" s="147" t="s">
        <v>3722</v>
      </c>
      <c r="I5" s="49"/>
      <c r="J5" s="178" t="s">
        <v>5573</v>
      </c>
      <c r="K5" s="178" t="s">
        <v>5574</v>
      </c>
      <c r="L5" s="49"/>
      <c r="M5" s="24" t="s">
        <v>1</v>
      </c>
      <c r="N5" s="24" t="s">
        <v>2</v>
      </c>
      <c r="O5" s="24" t="s">
        <v>3</v>
      </c>
      <c r="P5" s="24" t="s">
        <v>4</v>
      </c>
      <c r="Q5" s="24" t="s">
        <v>5</v>
      </c>
      <c r="R5" s="25" t="s">
        <v>698</v>
      </c>
      <c r="S5" s="24" t="s">
        <v>6</v>
      </c>
      <c r="T5" s="26" t="s">
        <v>7</v>
      </c>
      <c r="U5" s="26" t="s">
        <v>3555</v>
      </c>
      <c r="V5" s="132" t="s">
        <v>1198</v>
      </c>
      <c r="W5" s="24" t="s">
        <v>8</v>
      </c>
      <c r="X5" s="26" t="s">
        <v>9</v>
      </c>
      <c r="Y5" s="28" t="s">
        <v>2967</v>
      </c>
      <c r="AA5" s="33" t="s">
        <v>5639</v>
      </c>
      <c r="AB5" s="33" t="s">
        <v>5640</v>
      </c>
      <c r="AC5" s="33" t="s">
        <v>3</v>
      </c>
      <c r="AD5" s="33" t="s">
        <v>809</v>
      </c>
      <c r="AE5" s="33" t="s">
        <v>702</v>
      </c>
      <c r="AF5" s="167" t="s">
        <v>698</v>
      </c>
      <c r="AG5" s="33" t="s">
        <v>6</v>
      </c>
      <c r="AH5" s="34" t="s">
        <v>7</v>
      </c>
      <c r="AI5" s="34" t="s">
        <v>3555</v>
      </c>
      <c r="AJ5" s="168" t="s">
        <v>5641</v>
      </c>
      <c r="AK5" s="33" t="s">
        <v>8</v>
      </c>
      <c r="AL5" s="34" t="s">
        <v>5646</v>
      </c>
      <c r="AM5" s="170" t="s">
        <v>5642</v>
      </c>
      <c r="AO5" s="152" t="s">
        <v>5643</v>
      </c>
      <c r="AP5" s="152" t="s">
        <v>5644</v>
      </c>
      <c r="AQ5" s="152" t="s">
        <v>3</v>
      </c>
      <c r="AR5" s="152" t="s">
        <v>2208</v>
      </c>
      <c r="AS5" s="152" t="s">
        <v>1700</v>
      </c>
      <c r="AT5" s="181" t="s">
        <v>698</v>
      </c>
      <c r="AU5" s="152" t="s">
        <v>6</v>
      </c>
      <c r="AV5" s="173" t="s">
        <v>2732</v>
      </c>
      <c r="AW5" s="173" t="s">
        <v>3555</v>
      </c>
      <c r="AX5" s="174" t="s">
        <v>5645</v>
      </c>
      <c r="AY5" s="152" t="s">
        <v>8</v>
      </c>
      <c r="AZ5" s="173" t="s">
        <v>3794</v>
      </c>
      <c r="BA5" s="176" t="s">
        <v>5647</v>
      </c>
    </row>
    <row r="6" spans="1:53" x14ac:dyDescent="0.25">
      <c r="A6" s="162" t="s">
        <v>5559</v>
      </c>
      <c r="B6" s="51">
        <v>1</v>
      </c>
      <c r="E6" s="54" t="str" cm="1">
        <f t="array" aca="1" ref="E6" ca="1">IF(G6=0,IF(H6=0,"",HYPERLINK("#"&amp;RIGHT(CELL("adresse",OFFSET($P$6,H6-1,0)),LEN(CELL("adresse",OFFSET($P$6,H6-1,0)))),"Definition")),HYPERLINK("#"&amp;RIGHT(CELL("adresse",OFFSET(DMAV_Modell!$Q$6,G6-1,0)),LEN(CELL("adresse",OFFSET(DMAV_Modell!$Q$6,G6-1,0)))-SEARCH("]",CELL("adresse",OFFSET(DMAV_Modell!$Q$6,G6-1,0)))),"Definition"))</f>
        <v/>
      </c>
      <c r="F6" s="150" t="str">
        <f>A6&amp;B6</f>
        <v>MFPL1</v>
      </c>
      <c r="G6" s="150">
        <f>IF(C6="",0,IF(ISNA(MATCH(C6,$F$6:$F$140,0)),MATCH(C6,DMAV_Modell!$G$6:$G$677,0),0))</f>
        <v>0</v>
      </c>
      <c r="H6" s="150">
        <f>IF(C6="",0,IF(ISNA(MATCH(C6,$F$6:$F$140,0)),0,MATCH(C6,$F$6:$F$140,0)))</f>
        <v>0</v>
      </c>
      <c r="I6" s="54"/>
      <c r="J6" s="161"/>
      <c r="K6" s="161"/>
      <c r="M6" s="141" t="s">
        <v>3574</v>
      </c>
      <c r="N6" s="141" t="s">
        <v>3575</v>
      </c>
      <c r="O6" s="141"/>
      <c r="P6" s="141" t="s">
        <v>910</v>
      </c>
      <c r="Q6" s="141" t="s">
        <v>932</v>
      </c>
      <c r="R6" s="142"/>
      <c r="T6" s="143"/>
      <c r="V6" s="143"/>
      <c r="X6" s="143"/>
      <c r="AA6" s="51" t="s">
        <v>5577</v>
      </c>
      <c r="AB6" s="51" t="s">
        <v>5578</v>
      </c>
      <c r="AD6" s="51" t="s">
        <v>910</v>
      </c>
      <c r="AE6" s="51" t="s">
        <v>932</v>
      </c>
      <c r="AO6" s="51" t="s">
        <v>5602</v>
      </c>
      <c r="AP6" s="51" t="s">
        <v>5603</v>
      </c>
      <c r="AR6" s="51" t="s">
        <v>910</v>
      </c>
      <c r="AS6" s="51" t="s">
        <v>932</v>
      </c>
    </row>
    <row r="7" spans="1:53" x14ac:dyDescent="0.25">
      <c r="A7" s="51" t="s">
        <v>5559</v>
      </c>
      <c r="B7" s="51">
        <v>2</v>
      </c>
      <c r="E7" s="54" t="str" cm="1">
        <f t="array" aca="1" ref="E7" ca="1">IF(G7=0,IF(H7=0,"",HYPERLINK("#"&amp;RIGHT(CELL("adresse",OFFSET($P$6,H7-1,0)),LEN(CELL("adresse",OFFSET($P$6,H7-1,0)))),"Definition")),HYPERLINK("#"&amp;RIGHT(CELL("adresse",OFFSET(DMAV_Modell!$Q$6,G7-1,0)),LEN(CELL("adresse",OFFSET(DMAV_Modell!$Q$6,G7-1,0)))-SEARCH("]",CELL("adresse",OFFSET(DMAV_Modell!$Q$6,G7-1,0)))),"Definition"))</f>
        <v/>
      </c>
      <c r="F7" s="150" t="str">
        <f t="shared" ref="F7:F70" si="0">A7&amp;B7</f>
        <v>MFPL2</v>
      </c>
      <c r="G7" s="150">
        <f>IF(C7="",0,IF(ISNA(MATCH(C7,$F$6:$F$140,0)),MATCH(C7,DMAV_Modell!$G$6:$G$677,0),0))</f>
        <v>0</v>
      </c>
      <c r="H7" s="150">
        <f t="shared" ref="H7:H70" si="1">IF(C7="",0,IF(ISNA(MATCH(C7,$F$6:$F$140,0)),0,MATCH(C7,$F$6:$F$140,0)))</f>
        <v>0</v>
      </c>
      <c r="I7" s="54"/>
      <c r="J7" s="161"/>
      <c r="K7" s="161"/>
      <c r="M7" s="141" t="s">
        <v>3574</v>
      </c>
      <c r="N7" s="141" t="s">
        <v>3575</v>
      </c>
      <c r="O7" s="141"/>
      <c r="P7" s="141" t="s">
        <v>910</v>
      </c>
      <c r="Q7" s="141" t="s">
        <v>926</v>
      </c>
      <c r="R7" s="142"/>
      <c r="T7" s="143"/>
      <c r="V7" s="143"/>
      <c r="AA7" s="51" t="s">
        <v>5577</v>
      </c>
      <c r="AB7" s="51" t="s">
        <v>5578</v>
      </c>
      <c r="AD7" s="51" t="s">
        <v>910</v>
      </c>
      <c r="AE7" s="51" t="s">
        <v>3921</v>
      </c>
      <c r="AO7" s="51" t="s">
        <v>5602</v>
      </c>
      <c r="AP7" s="51" t="s">
        <v>5603</v>
      </c>
      <c r="AR7" s="51" t="s">
        <v>910</v>
      </c>
      <c r="AS7" s="51" t="s">
        <v>3923</v>
      </c>
    </row>
    <row r="8" spans="1:53" x14ac:dyDescent="0.25">
      <c r="A8" s="51" t="s">
        <v>5559</v>
      </c>
      <c r="B8" s="51">
        <v>3</v>
      </c>
      <c r="E8" s="54" t="str" cm="1">
        <f t="array" aca="1" ref="E8" ca="1">IF(G8=0,IF(H8=0,"",HYPERLINK("#"&amp;RIGHT(CELL("adresse",OFFSET($P$6,H8-1,0)),LEN(CELL("adresse",OFFSET($P$6,H8-1,0)))),"Definition")),HYPERLINK("#"&amp;RIGHT(CELL("adresse",OFFSET(DMAV_Modell!$Q$6,G8-1,0)),LEN(CELL("adresse",OFFSET(DMAV_Modell!$Q$6,G8-1,0)))-SEARCH("]",CELL("adresse",OFFSET(DMAV_Modell!$Q$6,G8-1,0)))),"Definition"))</f>
        <v/>
      </c>
      <c r="F8" s="150" t="str">
        <f t="shared" si="0"/>
        <v>MFPL3</v>
      </c>
      <c r="G8" s="150">
        <f>IF(C8="",0,IF(ISNA(MATCH(C8,$F$6:$F$140,0)),MATCH(C8,DMAV_Modell!$G$6:$G$677,0),0))</f>
        <v>0</v>
      </c>
      <c r="H8" s="150">
        <f t="shared" si="1"/>
        <v>0</v>
      </c>
      <c r="I8" s="54"/>
      <c r="J8" s="161"/>
      <c r="K8" s="161"/>
      <c r="M8" s="122" t="s">
        <v>3574</v>
      </c>
      <c r="N8" s="51" t="s">
        <v>3575</v>
      </c>
      <c r="P8" s="51" t="s">
        <v>910</v>
      </c>
      <c r="Q8" s="51" t="s">
        <v>938</v>
      </c>
      <c r="V8" s="52"/>
      <c r="AA8" s="51" t="s">
        <v>5577</v>
      </c>
      <c r="AB8" s="51" t="s">
        <v>5578</v>
      </c>
      <c r="AD8" s="51" t="s">
        <v>910</v>
      </c>
      <c r="AE8" s="51" t="s">
        <v>3948</v>
      </c>
      <c r="AO8" s="51" t="s">
        <v>5602</v>
      </c>
      <c r="AP8" s="51" t="s">
        <v>5603</v>
      </c>
      <c r="AR8" s="51" t="s">
        <v>910</v>
      </c>
      <c r="AS8" s="51" t="s">
        <v>3950</v>
      </c>
    </row>
    <row r="9" spans="1:53" x14ac:dyDescent="0.25">
      <c r="A9" s="51" t="s">
        <v>5559</v>
      </c>
      <c r="B9" s="51">
        <v>4</v>
      </c>
      <c r="E9" s="54" t="str" cm="1">
        <f t="array" aca="1" ref="E9" ca="1">IF(G9=0,IF(H9=0,"",HYPERLINK("#"&amp;RIGHT(CELL("adresse",OFFSET($P$6,H9-1,0)),LEN(CELL("adresse",OFFSET($P$6,H9-1,0)))),"Definition")),HYPERLINK("#"&amp;RIGHT(CELL("adresse",OFFSET(DMAV_Modell!$Q$6,G9-1,0)),LEN(CELL("adresse",OFFSET(DMAV_Modell!$Q$6,G9-1,0)))-SEARCH("]",CELL("adresse",OFFSET(DMAV_Modell!$Q$6,G9-1,0)))),"Definition"))</f>
        <v/>
      </c>
      <c r="F9" s="150" t="str">
        <f t="shared" si="0"/>
        <v>MFPL4</v>
      </c>
      <c r="G9" s="150">
        <f>IF(C9="",0,IF(ISNA(MATCH(C9,$F$6:$F$140,0)),MATCH(C9,DMAV_Modell!$G$6:$G$677,0),0))</f>
        <v>0</v>
      </c>
      <c r="H9" s="150">
        <f t="shared" si="1"/>
        <v>0</v>
      </c>
      <c r="I9" s="54"/>
      <c r="J9" s="161"/>
      <c r="K9" s="161"/>
      <c r="M9" s="51" t="s">
        <v>3574</v>
      </c>
      <c r="N9" s="51" t="s">
        <v>3575</v>
      </c>
      <c r="O9" s="51" t="s">
        <v>11</v>
      </c>
      <c r="P9" s="51" t="s">
        <v>949</v>
      </c>
      <c r="Q9" s="51" t="s">
        <v>120</v>
      </c>
      <c r="R9" s="50" t="s">
        <v>950</v>
      </c>
      <c r="T9" s="52" t="s">
        <v>3564</v>
      </c>
      <c r="V9" s="52" t="s">
        <v>951</v>
      </c>
      <c r="AA9" s="51" t="s">
        <v>5577</v>
      </c>
      <c r="AB9" s="51" t="s">
        <v>5578</v>
      </c>
      <c r="AC9" s="51" t="s">
        <v>5579</v>
      </c>
      <c r="AD9" s="51" t="s">
        <v>949</v>
      </c>
      <c r="AE9" s="51" t="s">
        <v>741</v>
      </c>
      <c r="AF9" s="50" t="s">
        <v>950</v>
      </c>
      <c r="AH9" s="51" t="s">
        <v>733</v>
      </c>
      <c r="AJ9" s="52" t="s">
        <v>951</v>
      </c>
      <c r="AO9" s="51" t="s">
        <v>5602</v>
      </c>
      <c r="AP9" s="51" t="s">
        <v>5603</v>
      </c>
      <c r="AQ9" s="51" t="s">
        <v>5604</v>
      </c>
      <c r="AR9" s="51" t="s">
        <v>949</v>
      </c>
      <c r="AS9" s="51" t="s">
        <v>741</v>
      </c>
      <c r="AT9" s="180" t="s">
        <v>950</v>
      </c>
      <c r="AV9" s="51" t="s">
        <v>1378</v>
      </c>
      <c r="AX9" s="52" t="s">
        <v>951</v>
      </c>
    </row>
    <row r="10" spans="1:53" x14ac:dyDescent="0.25">
      <c r="A10" s="51" t="s">
        <v>5559</v>
      </c>
      <c r="B10" s="51">
        <v>5</v>
      </c>
      <c r="E10" s="54" t="str" cm="1">
        <f t="array" aca="1" ref="E10" ca="1">IF(G10=0,IF(H10=0,"",HYPERLINK("#"&amp;RIGHT(CELL("adresse",OFFSET($P$6,H10-1,0)),LEN(CELL("adresse",OFFSET($P$6,H10-1,0)))),"Definition")),HYPERLINK("#"&amp;RIGHT(CELL("adresse",OFFSET(DMAV_Modell!$Q$6,G10-1,0)),LEN(CELL("adresse",OFFSET(DMAV_Modell!$Q$6,G10-1,0)))-SEARCH("]",CELL("adresse",OFFSET(DMAV_Modell!$Q$6,G10-1,0)))),"Definition"))</f>
        <v/>
      </c>
      <c r="F10" s="150" t="str">
        <f t="shared" si="0"/>
        <v>MFPL5</v>
      </c>
      <c r="G10" s="150">
        <f>IF(C10="",0,IF(ISNA(MATCH(C10,$F$6:$F$140,0)),MATCH(C10,DMAV_Modell!$G$6:$G$677,0),0))</f>
        <v>0</v>
      </c>
      <c r="H10" s="150">
        <f t="shared" si="1"/>
        <v>0</v>
      </c>
      <c r="I10" s="54"/>
      <c r="J10" s="161"/>
      <c r="K10" s="161"/>
      <c r="M10" s="51" t="s">
        <v>3574</v>
      </c>
      <c r="N10" s="51" t="s">
        <v>3575</v>
      </c>
      <c r="O10" s="51" t="s">
        <v>11</v>
      </c>
      <c r="P10" s="51" t="s">
        <v>949</v>
      </c>
      <c r="Q10" s="51" t="s">
        <v>120</v>
      </c>
      <c r="R10" s="50" t="s">
        <v>950</v>
      </c>
      <c r="T10" s="52" t="s">
        <v>121</v>
      </c>
      <c r="V10" s="52" t="s">
        <v>951</v>
      </c>
      <c r="AA10" s="51" t="s">
        <v>5577</v>
      </c>
      <c r="AB10" s="51" t="s">
        <v>5578</v>
      </c>
      <c r="AC10" s="51" t="s">
        <v>5579</v>
      </c>
      <c r="AD10" s="51" t="s">
        <v>949</v>
      </c>
      <c r="AE10" s="51" t="s">
        <v>741</v>
      </c>
      <c r="AF10" s="50" t="s">
        <v>950</v>
      </c>
      <c r="AH10" s="51" t="s">
        <v>742</v>
      </c>
      <c r="AJ10" s="52" t="s">
        <v>951</v>
      </c>
      <c r="AO10" s="51" t="s">
        <v>5602</v>
      </c>
      <c r="AP10" s="51" t="s">
        <v>5603</v>
      </c>
      <c r="AQ10" s="51" t="s">
        <v>5604</v>
      </c>
      <c r="AR10" s="51" t="s">
        <v>949</v>
      </c>
      <c r="AS10" s="51" t="s">
        <v>741</v>
      </c>
      <c r="AT10" s="180" t="s">
        <v>950</v>
      </c>
      <c r="AV10" s="51" t="s">
        <v>742</v>
      </c>
      <c r="AX10" s="52" t="s">
        <v>951</v>
      </c>
    </row>
    <row r="11" spans="1:53" x14ac:dyDescent="0.25">
      <c r="A11" s="51" t="s">
        <v>5559</v>
      </c>
      <c r="B11" s="51">
        <v>6</v>
      </c>
      <c r="E11" s="54" t="str" cm="1">
        <f t="array" aca="1" ref="E11" ca="1">IF(G11=0,IF(H11=0,"",HYPERLINK("#"&amp;RIGHT(CELL("adresse",OFFSET($P$6,H11-1,0)),LEN(CELL("adresse",OFFSET($P$6,H11-1,0)))),"Definition")),HYPERLINK("#"&amp;RIGHT(CELL("adresse",OFFSET(DMAV_Modell!$Q$6,G11-1,0)),LEN(CELL("adresse",OFFSET(DMAV_Modell!$Q$6,G11-1,0)))-SEARCH("]",CELL("adresse",OFFSET(DMAV_Modell!$Q$6,G11-1,0)))),"Definition"))</f>
        <v/>
      </c>
      <c r="F11" s="150" t="str">
        <f t="shared" si="0"/>
        <v>MFPL6</v>
      </c>
      <c r="G11" s="150">
        <f>IF(C11="",0,IF(ISNA(MATCH(C11,$F$6:$F$140,0)),MATCH(C11,DMAV_Modell!$G$6:$G$677,0),0))</f>
        <v>0</v>
      </c>
      <c r="H11" s="150">
        <f t="shared" si="1"/>
        <v>0</v>
      </c>
      <c r="I11" s="54"/>
      <c r="J11" s="161"/>
      <c r="K11" s="161"/>
      <c r="M11" s="51" t="s">
        <v>3574</v>
      </c>
      <c r="N11" s="51" t="s">
        <v>3575</v>
      </c>
      <c r="O11" s="51" t="s">
        <v>11</v>
      </c>
      <c r="P11" s="51" t="s">
        <v>949</v>
      </c>
      <c r="Q11" s="51" t="s">
        <v>120</v>
      </c>
      <c r="R11" s="50" t="s">
        <v>950</v>
      </c>
      <c r="T11" s="52" t="s">
        <v>123</v>
      </c>
      <c r="V11" s="52" t="s">
        <v>952</v>
      </c>
      <c r="AA11" s="51" t="s">
        <v>5577</v>
      </c>
      <c r="AB11" s="51" t="s">
        <v>5578</v>
      </c>
      <c r="AC11" s="51" t="s">
        <v>5579</v>
      </c>
      <c r="AD11" s="51" t="s">
        <v>949</v>
      </c>
      <c r="AE11" s="51" t="s">
        <v>741</v>
      </c>
      <c r="AF11" s="50" t="s">
        <v>950</v>
      </c>
      <c r="AH11" s="51" t="s">
        <v>123</v>
      </c>
      <c r="AJ11" s="52" t="s">
        <v>952</v>
      </c>
      <c r="AO11" s="51" t="s">
        <v>5602</v>
      </c>
      <c r="AP11" s="51" t="s">
        <v>5603</v>
      </c>
      <c r="AQ11" s="51" t="s">
        <v>5604</v>
      </c>
      <c r="AR11" s="51" t="s">
        <v>949</v>
      </c>
      <c r="AS11" s="51" t="s">
        <v>741</v>
      </c>
      <c r="AT11" s="180" t="s">
        <v>950</v>
      </c>
      <c r="AV11" s="51" t="s">
        <v>1247</v>
      </c>
      <c r="AX11" s="52" t="s">
        <v>952</v>
      </c>
    </row>
    <row r="12" spans="1:53" x14ac:dyDescent="0.25">
      <c r="A12" s="51" t="s">
        <v>5559</v>
      </c>
      <c r="B12" s="51">
        <v>7</v>
      </c>
      <c r="C12" s="51" t="s">
        <v>3829</v>
      </c>
      <c r="E12" s="54" t="str" cm="1">
        <f t="array" aca="1" ref="E12" ca="1">IF(G12=0,IF(H12=0,"",HYPERLINK("#"&amp;RIGHT(CELL("adresse",OFFSET($P$6,H12-1,0)),LEN(CELL("adresse",OFFSET($P$6,H12-1,0)))),"Definition")),HYPERLINK("#"&amp;RIGHT(CELL("adresse",OFFSET(DMAV_Modell!$Q$6,G12-1,0)),LEN(CELL("adresse",OFFSET(DMAV_Modell!$Q$6,G12-1,0)))-SEARCH("]",CELL("adresse",OFFSET(DMAV_Modell!$Q$6,G12-1,0)))),"Definition"))</f>
        <v>Definition</v>
      </c>
      <c r="F12" s="150" t="str">
        <f t="shared" si="0"/>
        <v>MFPL7</v>
      </c>
      <c r="G12" s="150">
        <f>IF(C12="",0,IF(ISNA(MATCH(C12,$F$6:$F$140,0)),MATCH(C12,DMAV_Modell!$G$6:$G$677,0),0))</f>
        <v>17</v>
      </c>
      <c r="H12" s="150">
        <f t="shared" si="1"/>
        <v>0</v>
      </c>
      <c r="I12" s="54"/>
      <c r="J12" s="161"/>
      <c r="K12" s="161"/>
      <c r="M12" s="51" t="s">
        <v>3574</v>
      </c>
      <c r="N12" s="51" t="s">
        <v>3575</v>
      </c>
      <c r="O12" s="51" t="s">
        <v>11</v>
      </c>
      <c r="P12" s="51" t="s">
        <v>949</v>
      </c>
      <c r="Q12" s="51" t="s">
        <v>120</v>
      </c>
      <c r="T12" s="52" t="s">
        <v>125</v>
      </c>
      <c r="V12" s="52" t="s">
        <v>953</v>
      </c>
      <c r="AA12" s="51" t="s">
        <v>5577</v>
      </c>
      <c r="AB12" s="51" t="s">
        <v>5578</v>
      </c>
      <c r="AC12" s="51" t="s">
        <v>5579</v>
      </c>
      <c r="AD12" s="51" t="s">
        <v>949</v>
      </c>
      <c r="AE12" s="51" t="s">
        <v>741</v>
      </c>
      <c r="AH12" s="51" t="s">
        <v>743</v>
      </c>
      <c r="AJ12" s="52" t="s">
        <v>4017</v>
      </c>
      <c r="AO12" s="51" t="s">
        <v>5602</v>
      </c>
      <c r="AP12" s="51" t="s">
        <v>5603</v>
      </c>
      <c r="AQ12" s="51" t="s">
        <v>5604</v>
      </c>
      <c r="AR12" s="51" t="s">
        <v>949</v>
      </c>
      <c r="AS12" s="51" t="s">
        <v>741</v>
      </c>
      <c r="AV12" s="51" t="s">
        <v>4018</v>
      </c>
      <c r="AX12" s="52" t="s">
        <v>4019</v>
      </c>
    </row>
    <row r="13" spans="1:53" x14ac:dyDescent="0.25">
      <c r="A13" s="51" t="s">
        <v>5559</v>
      </c>
      <c r="B13" s="51">
        <v>8</v>
      </c>
      <c r="C13" s="185" t="s">
        <v>3834</v>
      </c>
      <c r="E13" s="54" t="str" cm="1">
        <f t="array" aca="1" ref="E13" ca="1">IF(G13=0,IF(H13=0,"",HYPERLINK("#"&amp;RIGHT(CELL("adresse",OFFSET($P$6,H13-1,0)),LEN(CELL("adresse",OFFSET($P$6,H13-1,0)))),"Definition")),HYPERLINK("#"&amp;RIGHT(CELL("adresse",OFFSET(DMAV_Modell!$Q$6,G13-1,0)),LEN(CELL("adresse",OFFSET(DMAV_Modell!$Q$6,G13-1,0)))-SEARCH("]",CELL("adresse",OFFSET(DMAV_Modell!$Q$6,G13-1,0)))),"Definition"))</f>
        <v>Definition</v>
      </c>
      <c r="F13" s="150" t="str">
        <f t="shared" si="0"/>
        <v>MFPL8</v>
      </c>
      <c r="G13" s="150">
        <f>IF(C13="",0,IF(ISNA(MATCH(C13,$F$6:$F$140,0)),MATCH(C13,DMAV_Modell!$G$6:$G$677,0),0))</f>
        <v>40</v>
      </c>
      <c r="H13" s="150">
        <f t="shared" si="1"/>
        <v>0</v>
      </c>
      <c r="I13" s="54"/>
      <c r="J13" s="161"/>
      <c r="K13" s="161"/>
      <c r="M13" s="51" t="s">
        <v>3574</v>
      </c>
      <c r="N13" s="51" t="s">
        <v>3575</v>
      </c>
      <c r="O13" s="51" t="s">
        <v>11</v>
      </c>
      <c r="P13" s="51" t="s">
        <v>949</v>
      </c>
      <c r="Q13" s="51" t="s">
        <v>120</v>
      </c>
      <c r="R13" s="50" t="s">
        <v>950</v>
      </c>
      <c r="T13" s="52" t="s">
        <v>128</v>
      </c>
      <c r="V13" s="52" t="s">
        <v>954</v>
      </c>
      <c r="AA13" s="51" t="s">
        <v>5577</v>
      </c>
      <c r="AB13" s="51" t="s">
        <v>5578</v>
      </c>
      <c r="AC13" s="51" t="s">
        <v>5579</v>
      </c>
      <c r="AD13" s="51" t="s">
        <v>949</v>
      </c>
      <c r="AE13" s="51" t="s">
        <v>741</v>
      </c>
      <c r="AF13" s="50" t="s">
        <v>950</v>
      </c>
      <c r="AH13" s="51" t="s">
        <v>744</v>
      </c>
      <c r="AJ13" s="52" t="s">
        <v>4020</v>
      </c>
      <c r="AO13" s="51" t="s">
        <v>5602</v>
      </c>
      <c r="AP13" s="51" t="s">
        <v>5603</v>
      </c>
      <c r="AQ13" s="51" t="s">
        <v>5604</v>
      </c>
      <c r="AR13" s="51" t="s">
        <v>949</v>
      </c>
      <c r="AS13" s="51" t="s">
        <v>741</v>
      </c>
      <c r="AT13" s="180" t="s">
        <v>950</v>
      </c>
      <c r="AV13" s="51" t="s">
        <v>4021</v>
      </c>
      <c r="AX13" s="52" t="s">
        <v>4022</v>
      </c>
    </row>
    <row r="14" spans="1:53" x14ac:dyDescent="0.25">
      <c r="A14" s="51" t="s">
        <v>5559</v>
      </c>
      <c r="B14" s="51">
        <v>9</v>
      </c>
      <c r="C14" s="51" t="s">
        <v>3835</v>
      </c>
      <c r="E14" s="54" t="str" cm="1">
        <f t="array" aca="1" ref="E14" ca="1">IF(G14=0,IF(H14=0,"",HYPERLINK("#"&amp;RIGHT(CELL("adresse",OFFSET($P$6,H14-1,0)),LEN(CELL("adresse",OFFSET($P$6,H14-1,0)))),"Definition")),HYPERLINK("#"&amp;RIGHT(CELL("adresse",OFFSET(DMAV_Modell!$Q$6,G14-1,0)),LEN(CELL("adresse",OFFSET(DMAV_Modell!$Q$6,G14-1,0)))-SEARCH("]",CELL("adresse",OFFSET(DMAV_Modell!$Q$6,G14-1,0)))),"Definition"))</f>
        <v>Definition</v>
      </c>
      <c r="F14" s="150" t="str">
        <f t="shared" si="0"/>
        <v>MFPL9</v>
      </c>
      <c r="G14" s="150">
        <f>IF(C14="",0,IF(ISNA(MATCH(C14,$F$6:$F$140,0)),MATCH(C14,DMAV_Modell!$G$6:$G$677,0),0))</f>
        <v>41</v>
      </c>
      <c r="H14" s="150">
        <f t="shared" si="1"/>
        <v>0</v>
      </c>
      <c r="I14" s="54"/>
      <c r="J14" s="161"/>
      <c r="K14" s="161"/>
      <c r="M14" s="51" t="s">
        <v>3574</v>
      </c>
      <c r="N14" s="51" t="s">
        <v>3575</v>
      </c>
      <c r="O14" s="51" t="s">
        <v>11</v>
      </c>
      <c r="P14" s="51" t="s">
        <v>949</v>
      </c>
      <c r="Q14" s="51" t="s">
        <v>120</v>
      </c>
      <c r="R14" s="50" t="s">
        <v>950</v>
      </c>
      <c r="T14" s="52" t="s">
        <v>130</v>
      </c>
      <c r="V14" s="52" t="s">
        <v>955</v>
      </c>
      <c r="AA14" s="51" t="s">
        <v>5577</v>
      </c>
      <c r="AB14" s="51" t="s">
        <v>5578</v>
      </c>
      <c r="AC14" s="51" t="s">
        <v>5579</v>
      </c>
      <c r="AD14" s="51" t="s">
        <v>949</v>
      </c>
      <c r="AE14" s="51" t="s">
        <v>741</v>
      </c>
      <c r="AF14" s="50" t="s">
        <v>950</v>
      </c>
      <c r="AH14" s="51" t="s">
        <v>745</v>
      </c>
      <c r="AJ14" s="52" t="s">
        <v>4023</v>
      </c>
      <c r="AO14" s="51" t="s">
        <v>5602</v>
      </c>
      <c r="AP14" s="51" t="s">
        <v>5603</v>
      </c>
      <c r="AQ14" s="51" t="s">
        <v>5604</v>
      </c>
      <c r="AR14" s="51" t="s">
        <v>949</v>
      </c>
      <c r="AS14" s="51" t="s">
        <v>741</v>
      </c>
      <c r="AT14" s="180" t="s">
        <v>950</v>
      </c>
      <c r="AV14" s="51" t="s">
        <v>4024</v>
      </c>
      <c r="AX14" s="52" t="s">
        <v>4025</v>
      </c>
    </row>
    <row r="15" spans="1:53" x14ac:dyDescent="0.25">
      <c r="A15" s="51" t="s">
        <v>5559</v>
      </c>
      <c r="B15" s="51">
        <v>10</v>
      </c>
      <c r="C15" s="51" t="s">
        <v>3834</v>
      </c>
      <c r="E15" s="54" t="str" cm="1">
        <f t="array" aca="1" ref="E15" ca="1">IF(G15=0,IF(H15=0,"",HYPERLINK("#"&amp;RIGHT(CELL("adresse",OFFSET($P$6,H15-1,0)),LEN(CELL("adresse",OFFSET($P$6,H15-1,0)))),"Definition")),HYPERLINK("#"&amp;RIGHT(CELL("adresse",OFFSET(DMAV_Modell!$Q$6,G15-1,0)),LEN(CELL("adresse",OFFSET(DMAV_Modell!$Q$6,G15-1,0)))-SEARCH("]",CELL("adresse",OFFSET(DMAV_Modell!$Q$6,G15-1,0)))),"Definition"))</f>
        <v>Definition</v>
      </c>
      <c r="F15" s="150" t="str">
        <f t="shared" si="0"/>
        <v>MFPL10</v>
      </c>
      <c r="G15" s="150">
        <f>IF(C15="",0,IF(ISNA(MATCH(C15,$F$6:$F$140,0)),MATCH(C15,DMAV_Modell!$G$6:$G$677,0),0))</f>
        <v>40</v>
      </c>
      <c r="H15" s="150">
        <f t="shared" si="1"/>
        <v>0</v>
      </c>
      <c r="I15" s="54"/>
      <c r="J15" s="161"/>
      <c r="K15" s="161"/>
      <c r="M15" s="51" t="s">
        <v>3574</v>
      </c>
      <c r="N15" s="51" t="s">
        <v>3575</v>
      </c>
      <c r="O15" s="51" t="s">
        <v>11</v>
      </c>
      <c r="P15" s="51" t="s">
        <v>949</v>
      </c>
      <c r="Q15" s="51" t="s">
        <v>120</v>
      </c>
      <c r="T15" s="52" t="s">
        <v>132</v>
      </c>
      <c r="V15" s="52" t="s">
        <v>954</v>
      </c>
      <c r="AA15" s="51" t="s">
        <v>5577</v>
      </c>
      <c r="AB15" s="51" t="s">
        <v>5578</v>
      </c>
      <c r="AC15" s="51" t="s">
        <v>5579</v>
      </c>
      <c r="AD15" s="51" t="s">
        <v>949</v>
      </c>
      <c r="AE15" s="51" t="s">
        <v>741</v>
      </c>
      <c r="AH15" s="51" t="s">
        <v>746</v>
      </c>
      <c r="AJ15" s="52" t="s">
        <v>4020</v>
      </c>
      <c r="AO15" s="51" t="s">
        <v>5602</v>
      </c>
      <c r="AP15" s="51" t="s">
        <v>5603</v>
      </c>
      <c r="AQ15" s="51" t="s">
        <v>5604</v>
      </c>
      <c r="AR15" s="51" t="s">
        <v>949</v>
      </c>
      <c r="AS15" s="51" t="s">
        <v>741</v>
      </c>
      <c r="AV15" s="51" t="s">
        <v>4026</v>
      </c>
      <c r="AX15" s="52" t="s">
        <v>4022</v>
      </c>
    </row>
    <row r="16" spans="1:53" x14ac:dyDescent="0.25">
      <c r="A16" s="51" t="s">
        <v>5559</v>
      </c>
      <c r="B16" s="51">
        <v>11</v>
      </c>
      <c r="C16" s="51" t="s">
        <v>3835</v>
      </c>
      <c r="E16" s="54" t="str" cm="1">
        <f t="array" aca="1" ref="E16" ca="1">IF(G16=0,IF(H16=0,"",HYPERLINK("#"&amp;RIGHT(CELL("adresse",OFFSET($P$6,H16-1,0)),LEN(CELL("adresse",OFFSET($P$6,H16-1,0)))),"Definition")),HYPERLINK("#"&amp;RIGHT(CELL("adresse",OFFSET(DMAV_Modell!$Q$6,G16-1,0)),LEN(CELL("adresse",OFFSET(DMAV_Modell!$Q$6,G16-1,0)))-SEARCH("]",CELL("adresse",OFFSET(DMAV_Modell!$Q$6,G16-1,0)))),"Definition"))</f>
        <v>Definition</v>
      </c>
      <c r="F16" s="150" t="str">
        <f t="shared" si="0"/>
        <v>MFPL11</v>
      </c>
      <c r="G16" s="150">
        <f>IF(C16="",0,IF(ISNA(MATCH(C16,$F$6:$F$140,0)),MATCH(C16,DMAV_Modell!$G$6:$G$677,0),0))</f>
        <v>41</v>
      </c>
      <c r="H16" s="150">
        <f t="shared" si="1"/>
        <v>0</v>
      </c>
      <c r="I16" s="54"/>
      <c r="J16" s="161"/>
      <c r="K16" s="161"/>
      <c r="M16" s="51" t="s">
        <v>3574</v>
      </c>
      <c r="N16" s="51" t="s">
        <v>3575</v>
      </c>
      <c r="O16" s="51" t="s">
        <v>11</v>
      </c>
      <c r="P16" s="51" t="s">
        <v>949</v>
      </c>
      <c r="Q16" s="51" t="s">
        <v>120</v>
      </c>
      <c r="T16" s="52" t="s">
        <v>133</v>
      </c>
      <c r="V16" s="52" t="s">
        <v>955</v>
      </c>
      <c r="AA16" s="51" t="s">
        <v>5577</v>
      </c>
      <c r="AB16" s="51" t="s">
        <v>5578</v>
      </c>
      <c r="AC16" s="51" t="s">
        <v>5579</v>
      </c>
      <c r="AD16" s="51" t="s">
        <v>949</v>
      </c>
      <c r="AE16" s="51" t="s">
        <v>741</v>
      </c>
      <c r="AH16" s="51" t="s">
        <v>747</v>
      </c>
      <c r="AJ16" s="52" t="s">
        <v>4023</v>
      </c>
      <c r="AO16" s="51" t="s">
        <v>5602</v>
      </c>
      <c r="AP16" s="51" t="s">
        <v>5603</v>
      </c>
      <c r="AQ16" s="51" t="s">
        <v>5604</v>
      </c>
      <c r="AR16" s="51" t="s">
        <v>949</v>
      </c>
      <c r="AS16" s="51" t="s">
        <v>741</v>
      </c>
      <c r="AV16" s="51" t="s">
        <v>4027</v>
      </c>
      <c r="AX16" s="52" t="s">
        <v>4025</v>
      </c>
    </row>
    <row r="17" spans="1:53" x14ac:dyDescent="0.25">
      <c r="A17" s="51" t="s">
        <v>5559</v>
      </c>
      <c r="B17" s="51">
        <v>12</v>
      </c>
      <c r="E17" s="54" t="str" cm="1">
        <f t="array" aca="1" ref="E17" ca="1">IF(G17=0,IF(H17=0,"",HYPERLINK("#"&amp;RIGHT(CELL("adresse",OFFSET($P$6,H17-1,0)),LEN(CELL("adresse",OFFSET($P$6,H17-1,0)))),"Definition")),HYPERLINK("#"&amp;RIGHT(CELL("adresse",OFFSET(DMAV_Modell!$Q$6,G17-1,0)),LEN(CELL("adresse",OFFSET(DMAV_Modell!$Q$6,G17-1,0)))-SEARCH("]",CELL("adresse",OFFSET(DMAV_Modell!$Q$6,G17-1,0)))),"Definition"))</f>
        <v/>
      </c>
      <c r="F17" s="150" t="str">
        <f t="shared" si="0"/>
        <v>MFPL12</v>
      </c>
      <c r="G17" s="150">
        <f>IF(C17="",0,IF(ISNA(MATCH(C17,$F$6:$F$140,0)),MATCH(C17,DMAV_Modell!$G$6:$G$677,0),0))</f>
        <v>0</v>
      </c>
      <c r="H17" s="150">
        <f t="shared" si="1"/>
        <v>0</v>
      </c>
      <c r="I17" s="54"/>
      <c r="J17" s="161"/>
      <c r="K17" s="161"/>
      <c r="M17" s="51" t="s">
        <v>3574</v>
      </c>
      <c r="N17" s="51" t="s">
        <v>3575</v>
      </c>
      <c r="O17" s="51" t="s">
        <v>11</v>
      </c>
      <c r="P17" s="51" t="s">
        <v>949</v>
      </c>
      <c r="Q17" s="51" t="s">
        <v>120</v>
      </c>
      <c r="R17" s="50" t="s">
        <v>950</v>
      </c>
      <c r="T17" s="52" t="s">
        <v>136</v>
      </c>
      <c r="V17" s="52" t="s">
        <v>131</v>
      </c>
      <c r="AA17" s="51" t="s">
        <v>5577</v>
      </c>
      <c r="AB17" s="51" t="s">
        <v>5578</v>
      </c>
      <c r="AC17" s="51" t="s">
        <v>5579</v>
      </c>
      <c r="AD17" s="51" t="s">
        <v>949</v>
      </c>
      <c r="AE17" s="51" t="s">
        <v>741</v>
      </c>
      <c r="AF17" s="50" t="s">
        <v>950</v>
      </c>
      <c r="AH17" s="51" t="s">
        <v>5580</v>
      </c>
      <c r="AJ17" s="52" t="s">
        <v>131</v>
      </c>
      <c r="AO17" s="51" t="s">
        <v>5602</v>
      </c>
      <c r="AP17" s="51" t="s">
        <v>5603</v>
      </c>
      <c r="AQ17" s="51" t="s">
        <v>5604</v>
      </c>
      <c r="AR17" s="51" t="s">
        <v>949</v>
      </c>
      <c r="AS17" s="51" t="s">
        <v>741</v>
      </c>
      <c r="AT17" s="180" t="s">
        <v>950</v>
      </c>
      <c r="AV17" s="51" t="s">
        <v>5605</v>
      </c>
      <c r="AX17" s="52" t="s">
        <v>131</v>
      </c>
    </row>
    <row r="18" spans="1:53" x14ac:dyDescent="0.25">
      <c r="A18" s="51" t="s">
        <v>5559</v>
      </c>
      <c r="B18" s="51">
        <v>13</v>
      </c>
      <c r="E18" s="54" t="str" cm="1">
        <f t="array" aca="1" ref="E18" ca="1">IF(G18=0,IF(H18=0,"",HYPERLINK("#"&amp;RIGHT(CELL("adresse",OFFSET($P$6,H18-1,0)),LEN(CELL("adresse",OFFSET($P$6,H18-1,0)))),"Definition")),HYPERLINK("#"&amp;RIGHT(CELL("adresse",OFFSET(DMAV_Modell!$Q$6,G18-1,0)),LEN(CELL("adresse",OFFSET(DMAV_Modell!$Q$6,G18-1,0)))-SEARCH("]",CELL("adresse",OFFSET(DMAV_Modell!$Q$6,G18-1,0)))),"Definition"))</f>
        <v/>
      </c>
      <c r="F18" s="150" t="str">
        <f t="shared" si="0"/>
        <v>MFPL13</v>
      </c>
      <c r="G18" s="150">
        <f>IF(C18="",0,IF(ISNA(MATCH(C18,$F$6:$F$140,0)),MATCH(C18,DMAV_Modell!$G$6:$G$677,0),0))</f>
        <v>0</v>
      </c>
      <c r="H18" s="150">
        <f t="shared" si="1"/>
        <v>0</v>
      </c>
      <c r="I18" s="54"/>
      <c r="J18" s="161" t="str" cm="1">
        <f t="array" aca="1" ref="J18" ca="1">IF(G18=0,IF(H18=0,"",HYPERLINK("#"&amp;RIGHT(CELL("adresse",OFFSET(DMAV_Dienste!$P$6,H18-1,0)),LEN(CELL("adresse",OFFSET(DMAV_Dienste!$P$6,H18-1,0)))-SEARCH("]",CELL("adresse",OFFSET(DMAV_Dienste!$P$6,H18-1,0)))),"Definition")),HYPERLINK("#"&amp;RIGHT(CELL("adresse",OFFSET(DMAV_Modell!$Q$6,G18-1,0)),LEN(CELL("adresse",OFFSET(DMAV_Modell!$Q$6,G18-1,0)))-SEARCH("]",CELL("adresse",OFFSET(DMAV_Modell!$Q$6,G18-1,0)))),"Definition"))</f>
        <v/>
      </c>
      <c r="K18" s="161"/>
      <c r="M18" s="51" t="s">
        <v>3574</v>
      </c>
      <c r="N18" s="51" t="s">
        <v>3575</v>
      </c>
      <c r="O18" s="51" t="s">
        <v>11</v>
      </c>
      <c r="P18" s="51" t="s">
        <v>949</v>
      </c>
      <c r="Q18" s="51" t="s">
        <v>120</v>
      </c>
      <c r="T18" s="52" t="s">
        <v>134</v>
      </c>
      <c r="V18" s="52" t="s">
        <v>3576</v>
      </c>
      <c r="AA18" s="51" t="s">
        <v>5577</v>
      </c>
      <c r="AB18" s="51" t="s">
        <v>5578</v>
      </c>
      <c r="AC18" s="51" t="s">
        <v>5579</v>
      </c>
      <c r="AD18" s="51" t="s">
        <v>949</v>
      </c>
      <c r="AE18" s="51" t="s">
        <v>741</v>
      </c>
      <c r="AH18" s="51" t="s">
        <v>748</v>
      </c>
      <c r="AJ18" s="52" t="s">
        <v>3576</v>
      </c>
      <c r="AO18" s="51" t="s">
        <v>5602</v>
      </c>
      <c r="AP18" s="51" t="s">
        <v>5603</v>
      </c>
      <c r="AQ18" s="51" t="s">
        <v>5604</v>
      </c>
      <c r="AR18" s="51" t="s">
        <v>949</v>
      </c>
      <c r="AS18" s="51" t="s">
        <v>741</v>
      </c>
      <c r="AV18" s="51" t="s">
        <v>1845</v>
      </c>
      <c r="AX18" s="52" t="s">
        <v>3576</v>
      </c>
    </row>
    <row r="19" spans="1:53" x14ac:dyDescent="0.25">
      <c r="A19" s="51" t="s">
        <v>5559</v>
      </c>
      <c r="B19" s="51">
        <v>14</v>
      </c>
      <c r="E19" s="54" t="str" cm="1">
        <f t="array" aca="1" ref="E19" ca="1">IF(G19=0,IF(H19=0,"",HYPERLINK("#"&amp;RIGHT(CELL("adresse",OFFSET($P$6,H19-1,0)),LEN(CELL("adresse",OFFSET($P$6,H19-1,0)))),"Definition")),HYPERLINK("#"&amp;RIGHT(CELL("adresse",OFFSET(DMAV_Modell!$Q$6,G19-1,0)),LEN(CELL("adresse",OFFSET(DMAV_Modell!$Q$6,G19-1,0)))-SEARCH("]",CELL("adresse",OFFSET(DMAV_Modell!$Q$6,G19-1,0)))),"Definition"))</f>
        <v/>
      </c>
      <c r="F19" s="150" t="str">
        <f t="shared" si="0"/>
        <v>MFPL14</v>
      </c>
      <c r="G19" s="150">
        <f>IF(C19="",0,IF(ISNA(MATCH(C19,$F$6:$F$140,0)),MATCH(C19,DMAV_Modell!$G$6:$G$677,0),0))</f>
        <v>0</v>
      </c>
      <c r="H19" s="150">
        <f t="shared" si="1"/>
        <v>0</v>
      </c>
      <c r="I19" s="54"/>
      <c r="J19" s="161"/>
      <c r="K19" s="161"/>
      <c r="M19" s="51" t="s">
        <v>3574</v>
      </c>
      <c r="N19" s="51" t="s">
        <v>3575</v>
      </c>
      <c r="O19" s="51" t="s">
        <v>11</v>
      </c>
      <c r="P19" s="51" t="s">
        <v>949</v>
      </c>
      <c r="Q19" s="51" t="s">
        <v>120</v>
      </c>
      <c r="T19" s="52" t="s">
        <v>3563</v>
      </c>
      <c r="V19" s="52" t="s">
        <v>956</v>
      </c>
      <c r="AA19" s="51" t="s">
        <v>5577</v>
      </c>
      <c r="AB19" s="51" t="s">
        <v>5578</v>
      </c>
      <c r="AC19" s="51" t="s">
        <v>5579</v>
      </c>
      <c r="AD19" s="51" t="s">
        <v>949</v>
      </c>
      <c r="AE19" s="51" t="s">
        <v>741</v>
      </c>
      <c r="AH19" s="51" t="s">
        <v>5581</v>
      </c>
      <c r="AJ19" s="52" t="s">
        <v>956</v>
      </c>
      <c r="AO19" s="51" t="s">
        <v>5602</v>
      </c>
      <c r="AP19" s="51" t="s">
        <v>5603</v>
      </c>
      <c r="AQ19" s="51" t="s">
        <v>5604</v>
      </c>
      <c r="AR19" s="51" t="s">
        <v>949</v>
      </c>
      <c r="AS19" s="51" t="s">
        <v>741</v>
      </c>
      <c r="AV19" s="51" t="s">
        <v>5606</v>
      </c>
      <c r="AX19" s="52" t="s">
        <v>956</v>
      </c>
    </row>
    <row r="20" spans="1:53" x14ac:dyDescent="0.25">
      <c r="A20" s="51" t="s">
        <v>5559</v>
      </c>
      <c r="B20" s="51">
        <v>15</v>
      </c>
      <c r="E20" s="54" t="str" cm="1">
        <f t="array" aca="1" ref="E20" ca="1">IF(G20=0,IF(H20=0,"",HYPERLINK("#"&amp;RIGHT(CELL("adresse",OFFSET($P$6,H20-1,0)),LEN(CELL("adresse",OFFSET($P$6,H20-1,0)))),"Definition")),HYPERLINK("#"&amp;RIGHT(CELL("adresse",OFFSET(DMAV_Modell!$Q$6,G20-1,0)),LEN(CELL("adresse",OFFSET(DMAV_Modell!$Q$6,G20-1,0)))-SEARCH("]",CELL("adresse",OFFSET(DMAV_Modell!$Q$6,G20-1,0)))),"Definition"))</f>
        <v/>
      </c>
      <c r="F20" s="150" t="str">
        <f t="shared" si="0"/>
        <v>MFPL15</v>
      </c>
      <c r="G20" s="150">
        <f>IF(C20="",0,IF(ISNA(MATCH(C20,$F$6:$F$140,0)),MATCH(C20,DMAV_Modell!$G$6:$G$677,0),0))</f>
        <v>0</v>
      </c>
      <c r="H20" s="150">
        <f t="shared" si="1"/>
        <v>0</v>
      </c>
      <c r="I20" s="54"/>
      <c r="J20" s="161"/>
      <c r="K20" s="161"/>
      <c r="M20" s="51" t="s">
        <v>3574</v>
      </c>
      <c r="N20" s="51" t="s">
        <v>3575</v>
      </c>
      <c r="O20" s="51" t="s">
        <v>11</v>
      </c>
      <c r="P20" s="51" t="s">
        <v>949</v>
      </c>
      <c r="Q20" s="51" t="s">
        <v>120</v>
      </c>
      <c r="T20" s="52" t="s">
        <v>1518</v>
      </c>
      <c r="V20" s="52" t="s">
        <v>3577</v>
      </c>
      <c r="AA20" s="51" t="s">
        <v>5577</v>
      </c>
      <c r="AB20" s="51" t="s">
        <v>5578</v>
      </c>
      <c r="AC20" s="51" t="s">
        <v>5579</v>
      </c>
      <c r="AD20" s="51" t="s">
        <v>949</v>
      </c>
      <c r="AE20" s="51" t="s">
        <v>741</v>
      </c>
      <c r="AH20" s="51" t="s">
        <v>1593</v>
      </c>
      <c r="AJ20" s="164" t="s">
        <v>5626</v>
      </c>
      <c r="AO20" s="51" t="s">
        <v>5602</v>
      </c>
      <c r="AP20" s="51" t="s">
        <v>5603</v>
      </c>
      <c r="AQ20" s="51" t="s">
        <v>5604</v>
      </c>
      <c r="AR20" s="51" t="s">
        <v>949</v>
      </c>
      <c r="AS20" s="51" t="s">
        <v>741</v>
      </c>
      <c r="AV20" s="51" t="s">
        <v>1592</v>
      </c>
      <c r="AX20" s="164" t="s">
        <v>5638</v>
      </c>
    </row>
    <row r="21" spans="1:53" x14ac:dyDescent="0.25">
      <c r="A21" s="51" t="s">
        <v>5559</v>
      </c>
      <c r="B21" s="51">
        <v>16</v>
      </c>
      <c r="E21" s="54" t="str" cm="1">
        <f t="array" aca="1" ref="E21" ca="1">IF(G21=0,IF(H21=0,"",HYPERLINK("#"&amp;RIGHT(CELL("adresse",OFFSET($P$6,H21-1,0)),LEN(CELL("adresse",OFFSET($P$6,H21-1,0)))),"Definition")),HYPERLINK("#"&amp;RIGHT(CELL("adresse",OFFSET(DMAV_Modell!$Q$6,G21-1,0)),LEN(CELL("adresse",OFFSET(DMAV_Modell!$Q$6,G21-1,0)))-SEARCH("]",CELL("adresse",OFFSET(DMAV_Modell!$Q$6,G21-1,0)))),"Definition"))</f>
        <v/>
      </c>
      <c r="F21" s="150" t="str">
        <f t="shared" si="0"/>
        <v>MFPL16</v>
      </c>
      <c r="G21" s="150">
        <f>IF(C21="",0,IF(ISNA(MATCH(C21,$F$6:$F$140,0)),MATCH(C21,DMAV_Modell!$G$6:$G$677,0),0))</f>
        <v>0</v>
      </c>
      <c r="H21" s="150">
        <f t="shared" si="1"/>
        <v>0</v>
      </c>
      <c r="I21" s="54"/>
      <c r="J21" s="161"/>
      <c r="K21" s="161"/>
      <c r="M21" s="51" t="s">
        <v>3574</v>
      </c>
      <c r="N21" s="51" t="s">
        <v>3575</v>
      </c>
      <c r="O21" s="51" t="s">
        <v>11</v>
      </c>
      <c r="P21" s="51" t="s">
        <v>949</v>
      </c>
      <c r="Q21" s="51" t="s">
        <v>120</v>
      </c>
      <c r="T21" s="52" t="s">
        <v>3565</v>
      </c>
      <c r="V21" s="52" t="s">
        <v>3578</v>
      </c>
      <c r="AA21" s="51" t="s">
        <v>5577</v>
      </c>
      <c r="AB21" s="51" t="s">
        <v>5578</v>
      </c>
      <c r="AC21" s="51" t="s">
        <v>5579</v>
      </c>
      <c r="AD21" s="51" t="s">
        <v>949</v>
      </c>
      <c r="AE21" s="51" t="s">
        <v>741</v>
      </c>
      <c r="AH21" s="51" t="s">
        <v>5582</v>
      </c>
      <c r="AJ21" s="52" t="s">
        <v>3578</v>
      </c>
      <c r="AO21" s="51" t="s">
        <v>5602</v>
      </c>
      <c r="AP21" s="51" t="s">
        <v>5603</v>
      </c>
      <c r="AQ21" s="51" t="s">
        <v>5604</v>
      </c>
      <c r="AR21" s="51" t="s">
        <v>949</v>
      </c>
      <c r="AS21" s="51" t="s">
        <v>741</v>
      </c>
      <c r="AV21" s="51" t="s">
        <v>5607</v>
      </c>
      <c r="AX21" s="52" t="s">
        <v>3578</v>
      </c>
    </row>
    <row r="22" spans="1:53" ht="25.5" x14ac:dyDescent="0.25">
      <c r="A22" s="51" t="s">
        <v>5559</v>
      </c>
      <c r="B22" s="51">
        <v>17</v>
      </c>
      <c r="E22" s="54" t="str" cm="1">
        <f t="array" aca="1" ref="E22" ca="1">IF(G22=0,IF(H22=0,"",HYPERLINK("#"&amp;RIGHT(CELL("adresse",OFFSET($P$6,H22-1,0)),LEN(CELL("adresse",OFFSET($P$6,H22-1,0)))),"Definition")),HYPERLINK("#"&amp;RIGHT(CELL("adresse",OFFSET(DMAV_Modell!$Q$6,G22-1,0)),LEN(CELL("adresse",OFFSET(DMAV_Modell!$Q$6,G22-1,0)))-SEARCH("]",CELL("adresse",OFFSET(DMAV_Modell!$Q$6,G22-1,0)))),"Definition"))</f>
        <v/>
      </c>
      <c r="F22" s="150" t="str">
        <f t="shared" si="0"/>
        <v>MFPL17</v>
      </c>
      <c r="G22" s="150">
        <f>IF(C22="",0,IF(ISNA(MATCH(C22,$F$6:$F$140,0)),MATCH(C22,DMAV_Modell!$G$6:$G$677,0),0))</f>
        <v>0</v>
      </c>
      <c r="H22" s="150">
        <f t="shared" si="1"/>
        <v>0</v>
      </c>
      <c r="I22" s="54"/>
      <c r="J22" s="161"/>
      <c r="K22" s="161"/>
      <c r="M22" s="51" t="s">
        <v>3574</v>
      </c>
      <c r="N22" s="51" t="s">
        <v>3575</v>
      </c>
      <c r="O22" s="51" t="s">
        <v>11</v>
      </c>
      <c r="P22" s="51" t="s">
        <v>949</v>
      </c>
      <c r="Q22" s="51" t="s">
        <v>120</v>
      </c>
      <c r="T22" s="52" t="s">
        <v>1539</v>
      </c>
      <c r="V22" s="52" t="s">
        <v>3579</v>
      </c>
      <c r="AA22" s="51" t="s">
        <v>5577</v>
      </c>
      <c r="AB22" s="51" t="s">
        <v>5578</v>
      </c>
      <c r="AC22" s="51" t="s">
        <v>5579</v>
      </c>
      <c r="AD22" s="51" t="s">
        <v>949</v>
      </c>
      <c r="AE22" s="51" t="s">
        <v>741</v>
      </c>
      <c r="AH22" s="51" t="s">
        <v>1538</v>
      </c>
      <c r="AJ22" s="164" t="s">
        <v>5627</v>
      </c>
      <c r="AO22" s="51" t="s">
        <v>5602</v>
      </c>
      <c r="AP22" s="51" t="s">
        <v>5603</v>
      </c>
      <c r="AQ22" s="51" t="s">
        <v>5604</v>
      </c>
      <c r="AR22" s="51" t="s">
        <v>949</v>
      </c>
      <c r="AS22" s="51" t="s">
        <v>741</v>
      </c>
      <c r="AV22" s="51" t="s">
        <v>1536</v>
      </c>
      <c r="AX22" s="164" t="s">
        <v>5637</v>
      </c>
    </row>
    <row r="23" spans="1:53" ht="51" x14ac:dyDescent="0.25">
      <c r="A23" s="51" t="s">
        <v>5559</v>
      </c>
      <c r="B23" s="51">
        <v>18</v>
      </c>
      <c r="E23" s="54" t="str" cm="1">
        <f t="array" aca="1" ref="E23" ca="1">IF(G23=0,IF(H23=0,"",HYPERLINK("#"&amp;RIGHT(CELL("adresse",OFFSET($P$6,H23-1,0)),LEN(CELL("adresse",OFFSET($P$6,H23-1,0)))),"Definition")),HYPERLINK("#"&amp;RIGHT(CELL("adresse",OFFSET(DMAV_Modell!$Q$6,G23-1,0)),LEN(CELL("adresse",OFFSET(DMAV_Modell!$Q$6,G23-1,0)))-SEARCH("]",CELL("adresse",OFFSET(DMAV_Modell!$Q$6,G23-1,0)))),"Definition"))</f>
        <v/>
      </c>
      <c r="F23" s="150" t="str">
        <f t="shared" si="0"/>
        <v>MFPL18</v>
      </c>
      <c r="G23" s="150">
        <f>IF(C23="",0,IF(ISNA(MATCH(C23,$F$6:$F$140,0)),MATCH(C23,DMAV_Modell!$G$6:$G$677,0),0))</f>
        <v>0</v>
      </c>
      <c r="H23" s="150">
        <f t="shared" si="1"/>
        <v>0</v>
      </c>
      <c r="I23" s="54"/>
      <c r="J23" s="161"/>
      <c r="K23" s="161"/>
      <c r="M23" s="51" t="s">
        <v>3574</v>
      </c>
      <c r="N23" s="51" t="s">
        <v>3575</v>
      </c>
      <c r="O23" s="51" t="s">
        <v>11</v>
      </c>
      <c r="P23" s="51" t="s">
        <v>957</v>
      </c>
      <c r="Q23" s="51" t="s">
        <v>120</v>
      </c>
      <c r="R23" s="50" t="s">
        <v>950</v>
      </c>
      <c r="T23" s="52" t="s">
        <v>2751</v>
      </c>
      <c r="V23" s="52" t="s">
        <v>3420</v>
      </c>
      <c r="Y23" s="52" t="s">
        <v>2747</v>
      </c>
      <c r="AA23" s="51" t="s">
        <v>5577</v>
      </c>
      <c r="AB23" s="51" t="s">
        <v>5578</v>
      </c>
      <c r="AC23" s="51" t="s">
        <v>5579</v>
      </c>
      <c r="AD23" s="51" t="s">
        <v>957</v>
      </c>
      <c r="AE23" s="51" t="s">
        <v>741</v>
      </c>
      <c r="AF23" s="50" t="s">
        <v>950</v>
      </c>
      <c r="AH23" s="51" t="s">
        <v>4038</v>
      </c>
      <c r="AJ23" s="52" t="s">
        <v>4039</v>
      </c>
      <c r="AM23" s="234" t="s">
        <v>7257</v>
      </c>
      <c r="AO23" s="51" t="s">
        <v>5602</v>
      </c>
      <c r="AP23" s="51" t="s">
        <v>5603</v>
      </c>
      <c r="AQ23" s="51" t="s">
        <v>5604</v>
      </c>
      <c r="AR23" s="51" t="s">
        <v>957</v>
      </c>
      <c r="AS23" s="51" t="s">
        <v>741</v>
      </c>
      <c r="AT23" s="180" t="s">
        <v>950</v>
      </c>
      <c r="AV23" s="51" t="s">
        <v>4038</v>
      </c>
      <c r="AX23" s="52" t="s">
        <v>4040</v>
      </c>
      <c r="BA23" s="203" t="s">
        <v>6054</v>
      </c>
    </row>
    <row r="24" spans="1:53" ht="51" x14ac:dyDescent="0.25">
      <c r="A24" s="51" t="s">
        <v>5559</v>
      </c>
      <c r="B24" s="51">
        <v>19</v>
      </c>
      <c r="E24" s="54" t="str" cm="1">
        <f t="array" aca="1" ref="E24" ca="1">IF(G24=0,IF(H24=0,"",HYPERLINK("#"&amp;RIGHT(CELL("adresse",OFFSET($P$6,H24-1,0)),LEN(CELL("adresse",OFFSET($P$6,H24-1,0)))),"Definition")),HYPERLINK("#"&amp;RIGHT(CELL("adresse",OFFSET(DMAV_Modell!$Q$6,G24-1,0)),LEN(CELL("adresse",OFFSET(DMAV_Modell!$Q$6,G24-1,0)))-SEARCH("]",CELL("adresse",OFFSET(DMAV_Modell!$Q$6,G24-1,0)))),"Definition"))</f>
        <v/>
      </c>
      <c r="F24" s="150" t="str">
        <f t="shared" si="0"/>
        <v>MFPL19</v>
      </c>
      <c r="G24" s="150">
        <f>IF(C24="",0,IF(ISNA(MATCH(C24,$F$6:$F$140,0)),MATCH(C24,DMAV_Modell!$G$6:$G$677,0),0))</f>
        <v>0</v>
      </c>
      <c r="H24" s="150">
        <f t="shared" si="1"/>
        <v>0</v>
      </c>
      <c r="I24" s="54"/>
      <c r="J24" s="161"/>
      <c r="K24" s="161"/>
      <c r="M24" s="51" t="s">
        <v>3574</v>
      </c>
      <c r="N24" s="51" t="s">
        <v>3575</v>
      </c>
      <c r="O24" s="51" t="s">
        <v>11</v>
      </c>
      <c r="P24" s="51" t="s">
        <v>957</v>
      </c>
      <c r="Q24" s="51" t="s">
        <v>120</v>
      </c>
      <c r="R24" s="50" t="s">
        <v>950</v>
      </c>
      <c r="T24" s="52" t="s">
        <v>2751</v>
      </c>
      <c r="V24" s="52" t="s">
        <v>3422</v>
      </c>
      <c r="Y24" s="52" t="s">
        <v>2748</v>
      </c>
      <c r="AA24" s="51" t="s">
        <v>5577</v>
      </c>
      <c r="AB24" s="51" t="s">
        <v>5578</v>
      </c>
      <c r="AC24" s="51" t="s">
        <v>5579</v>
      </c>
      <c r="AD24" s="51" t="s">
        <v>957</v>
      </c>
      <c r="AE24" s="51" t="s">
        <v>741</v>
      </c>
      <c r="AF24" s="50" t="s">
        <v>950</v>
      </c>
      <c r="AH24" s="51" t="s">
        <v>4038</v>
      </c>
      <c r="AJ24" s="52" t="s">
        <v>4041</v>
      </c>
      <c r="AM24" s="234" t="s">
        <v>7258</v>
      </c>
      <c r="AO24" s="51" t="s">
        <v>5602</v>
      </c>
      <c r="AP24" s="51" t="s">
        <v>5603</v>
      </c>
      <c r="AQ24" s="51" t="s">
        <v>5604</v>
      </c>
      <c r="AR24" s="51" t="s">
        <v>957</v>
      </c>
      <c r="AS24" s="51" t="s">
        <v>741</v>
      </c>
      <c r="AT24" s="180" t="s">
        <v>950</v>
      </c>
      <c r="AV24" s="51" t="s">
        <v>4038</v>
      </c>
      <c r="AX24" s="52" t="s">
        <v>4042</v>
      </c>
      <c r="BA24" s="203" t="s">
        <v>6055</v>
      </c>
    </row>
    <row r="25" spans="1:53" x14ac:dyDescent="0.25">
      <c r="A25" s="51" t="s">
        <v>5559</v>
      </c>
      <c r="B25" s="51">
        <v>20</v>
      </c>
      <c r="E25" s="54" t="str" cm="1">
        <f t="array" aca="1" ref="E25" ca="1">IF(G25=0,IF(H25=0,"",HYPERLINK("#"&amp;RIGHT(CELL("adresse",OFFSET($P$6,H25-1,0)),LEN(CELL("adresse",OFFSET($P$6,H25-1,0)))),"Definition")),HYPERLINK("#"&amp;RIGHT(CELL("adresse",OFFSET(DMAV_Modell!$Q$6,G25-1,0)),LEN(CELL("adresse",OFFSET(DMAV_Modell!$Q$6,G25-1,0)))-SEARCH("]",CELL("adresse",OFFSET(DMAV_Modell!$Q$6,G25-1,0)))),"Definition"))</f>
        <v/>
      </c>
      <c r="F25" s="150" t="str">
        <f t="shared" si="0"/>
        <v>MFPL20</v>
      </c>
      <c r="G25" s="150">
        <f>IF(C25="",0,IF(ISNA(MATCH(C25,$F$6:$F$140,0)),MATCH(C25,DMAV_Modell!$G$6:$G$677,0),0))</f>
        <v>0</v>
      </c>
      <c r="H25" s="150">
        <f t="shared" si="1"/>
        <v>0</v>
      </c>
      <c r="I25" s="54"/>
      <c r="J25" s="161"/>
      <c r="K25" s="161"/>
      <c r="M25" s="51" t="s">
        <v>3574</v>
      </c>
      <c r="N25" s="51" t="s">
        <v>3575</v>
      </c>
      <c r="O25" s="51" t="s">
        <v>11</v>
      </c>
      <c r="P25" s="51" t="s">
        <v>949</v>
      </c>
      <c r="Q25" s="51" t="s">
        <v>137</v>
      </c>
      <c r="R25" s="50" t="s">
        <v>950</v>
      </c>
      <c r="T25" s="52" t="s">
        <v>3564</v>
      </c>
      <c r="V25" s="52" t="s">
        <v>951</v>
      </c>
      <c r="AA25" s="51" t="s">
        <v>5577</v>
      </c>
      <c r="AB25" s="51" t="s">
        <v>5578</v>
      </c>
      <c r="AC25" s="51" t="s">
        <v>5579</v>
      </c>
      <c r="AD25" s="51" t="s">
        <v>949</v>
      </c>
      <c r="AE25" s="51" t="s">
        <v>749</v>
      </c>
      <c r="AF25" s="50" t="s">
        <v>950</v>
      </c>
      <c r="AH25" s="51" t="s">
        <v>733</v>
      </c>
      <c r="AJ25" s="52" t="s">
        <v>951</v>
      </c>
      <c r="AO25" s="51" t="s">
        <v>5602</v>
      </c>
      <c r="AP25" s="51" t="s">
        <v>5603</v>
      </c>
      <c r="AQ25" s="51" t="s">
        <v>5604</v>
      </c>
      <c r="AR25" s="51" t="s">
        <v>949</v>
      </c>
      <c r="AS25" s="51" t="s">
        <v>749</v>
      </c>
      <c r="AT25" s="180" t="s">
        <v>950</v>
      </c>
      <c r="AV25" s="51" t="s">
        <v>1378</v>
      </c>
      <c r="AX25" s="52" t="s">
        <v>951</v>
      </c>
    </row>
    <row r="26" spans="1:53" x14ac:dyDescent="0.25">
      <c r="A26" s="51" t="s">
        <v>5559</v>
      </c>
      <c r="B26" s="51">
        <v>21</v>
      </c>
      <c r="E26" s="54" t="str" cm="1">
        <f t="array" aca="1" ref="E26" ca="1">IF(G26=0,IF(H26=0,"",HYPERLINK("#"&amp;RIGHT(CELL("adresse",OFFSET($P$6,H26-1,0)),LEN(CELL("adresse",OFFSET($P$6,H26-1,0)))),"Definition")),HYPERLINK("#"&amp;RIGHT(CELL("adresse",OFFSET(DMAV_Modell!$Q$6,G26-1,0)),LEN(CELL("adresse",OFFSET(DMAV_Modell!$Q$6,G26-1,0)))-SEARCH("]",CELL("adresse",OFFSET(DMAV_Modell!$Q$6,G26-1,0)))),"Definition"))</f>
        <v/>
      </c>
      <c r="F26" s="150" t="str">
        <f t="shared" si="0"/>
        <v>MFPL21</v>
      </c>
      <c r="G26" s="150">
        <f>IF(C26="",0,IF(ISNA(MATCH(C26,$F$6:$F$140,0)),MATCH(C26,DMAV_Modell!$G$6:$G$677,0),0))</f>
        <v>0</v>
      </c>
      <c r="H26" s="150">
        <f t="shared" si="1"/>
        <v>0</v>
      </c>
      <c r="I26" s="54"/>
      <c r="J26" s="161"/>
      <c r="K26" s="161"/>
      <c r="M26" s="51" t="s">
        <v>3574</v>
      </c>
      <c r="N26" s="51" t="s">
        <v>3575</v>
      </c>
      <c r="O26" s="51" t="s">
        <v>11</v>
      </c>
      <c r="P26" s="51" t="s">
        <v>949</v>
      </c>
      <c r="Q26" s="51" t="s">
        <v>137</v>
      </c>
      <c r="R26" s="50" t="s">
        <v>950</v>
      </c>
      <c r="T26" s="52" t="s">
        <v>121</v>
      </c>
      <c r="V26" s="52" t="s">
        <v>951</v>
      </c>
      <c r="AA26" s="51" t="s">
        <v>5577</v>
      </c>
      <c r="AB26" s="51" t="s">
        <v>5578</v>
      </c>
      <c r="AC26" s="51" t="s">
        <v>5579</v>
      </c>
      <c r="AD26" s="51" t="s">
        <v>949</v>
      </c>
      <c r="AE26" s="51" t="s">
        <v>749</v>
      </c>
      <c r="AF26" s="50" t="s">
        <v>950</v>
      </c>
      <c r="AH26" s="51" t="s">
        <v>742</v>
      </c>
      <c r="AJ26" s="52" t="s">
        <v>951</v>
      </c>
      <c r="AO26" s="51" t="s">
        <v>5602</v>
      </c>
      <c r="AP26" s="51" t="s">
        <v>5603</v>
      </c>
      <c r="AQ26" s="51" t="s">
        <v>5604</v>
      </c>
      <c r="AR26" s="51" t="s">
        <v>949</v>
      </c>
      <c r="AS26" s="51" t="s">
        <v>749</v>
      </c>
      <c r="AT26" s="180" t="s">
        <v>950</v>
      </c>
      <c r="AV26" s="51" t="s">
        <v>742</v>
      </c>
      <c r="AX26" s="52" t="s">
        <v>951</v>
      </c>
    </row>
    <row r="27" spans="1:53" x14ac:dyDescent="0.25">
      <c r="A27" s="51" t="s">
        <v>5559</v>
      </c>
      <c r="B27" s="51">
        <v>22</v>
      </c>
      <c r="E27" s="54" t="str" cm="1">
        <f t="array" aca="1" ref="E27" ca="1">IF(G27=0,IF(H27=0,"",HYPERLINK("#"&amp;RIGHT(CELL("adresse",OFFSET($P$6,H27-1,0)),LEN(CELL("adresse",OFFSET($P$6,H27-1,0)))),"Definition")),HYPERLINK("#"&amp;RIGHT(CELL("adresse",OFFSET(DMAV_Modell!$Q$6,G27-1,0)),LEN(CELL("adresse",OFFSET(DMAV_Modell!$Q$6,G27-1,0)))-SEARCH("]",CELL("adresse",OFFSET(DMAV_Modell!$Q$6,G27-1,0)))),"Definition"))</f>
        <v/>
      </c>
      <c r="F27" s="150" t="str">
        <f t="shared" si="0"/>
        <v>MFPL22</v>
      </c>
      <c r="G27" s="150">
        <f>IF(C27="",0,IF(ISNA(MATCH(C27,$F$6:$F$140,0)),MATCH(C27,DMAV_Modell!$G$6:$G$677,0),0))</f>
        <v>0</v>
      </c>
      <c r="H27" s="150">
        <f t="shared" si="1"/>
        <v>0</v>
      </c>
      <c r="I27" s="54"/>
      <c r="J27" s="161"/>
      <c r="K27" s="161"/>
      <c r="M27" s="51" t="s">
        <v>3574</v>
      </c>
      <c r="N27" s="51" t="s">
        <v>3575</v>
      </c>
      <c r="O27" s="51" t="s">
        <v>11</v>
      </c>
      <c r="P27" s="51" t="s">
        <v>949</v>
      </c>
      <c r="Q27" s="51" t="s">
        <v>137</v>
      </c>
      <c r="R27" s="50" t="s">
        <v>950</v>
      </c>
      <c r="T27" s="52" t="s">
        <v>123</v>
      </c>
      <c r="V27" s="52" t="s">
        <v>952</v>
      </c>
      <c r="AA27" s="51" t="s">
        <v>5577</v>
      </c>
      <c r="AB27" s="51" t="s">
        <v>5578</v>
      </c>
      <c r="AC27" s="51" t="s">
        <v>5579</v>
      </c>
      <c r="AD27" s="51" t="s">
        <v>949</v>
      </c>
      <c r="AE27" s="51" t="s">
        <v>749</v>
      </c>
      <c r="AF27" s="50" t="s">
        <v>950</v>
      </c>
      <c r="AH27" s="51" t="s">
        <v>123</v>
      </c>
      <c r="AJ27" s="52" t="s">
        <v>952</v>
      </c>
      <c r="AO27" s="51" t="s">
        <v>5602</v>
      </c>
      <c r="AP27" s="51" t="s">
        <v>5603</v>
      </c>
      <c r="AQ27" s="51" t="s">
        <v>5604</v>
      </c>
      <c r="AR27" s="51" t="s">
        <v>949</v>
      </c>
      <c r="AS27" s="51" t="s">
        <v>749</v>
      </c>
      <c r="AT27" s="180" t="s">
        <v>950</v>
      </c>
      <c r="AV27" s="51" t="s">
        <v>1247</v>
      </c>
      <c r="AX27" s="52" t="s">
        <v>952</v>
      </c>
    </row>
    <row r="28" spans="1:53" x14ac:dyDescent="0.25">
      <c r="A28" s="51" t="s">
        <v>5559</v>
      </c>
      <c r="B28" s="51">
        <v>23</v>
      </c>
      <c r="C28" s="51" t="s">
        <v>3829</v>
      </c>
      <c r="E28" s="54" t="str" cm="1">
        <f t="array" aca="1" ref="E28" ca="1">IF(G28=0,IF(H28=0,"",HYPERLINK("#"&amp;RIGHT(CELL("adresse",OFFSET($P$6,H28-1,0)),LEN(CELL("adresse",OFFSET($P$6,H28-1,0)))),"Definition")),HYPERLINK("#"&amp;RIGHT(CELL("adresse",OFFSET(DMAV_Modell!$Q$6,G28-1,0)),LEN(CELL("adresse",OFFSET(DMAV_Modell!$Q$6,G28-1,0)))-SEARCH("]",CELL("adresse",OFFSET(DMAV_Modell!$Q$6,G28-1,0)))),"Definition"))</f>
        <v>Definition</v>
      </c>
      <c r="F28" s="150" t="str">
        <f t="shared" si="0"/>
        <v>MFPL23</v>
      </c>
      <c r="G28" s="150">
        <f>IF(C28="",0,IF(ISNA(MATCH(C28,$F$6:$F$140,0)),MATCH(C28,DMAV_Modell!$G$6:$G$677,0),0))</f>
        <v>17</v>
      </c>
      <c r="H28" s="150">
        <f t="shared" si="1"/>
        <v>0</v>
      </c>
      <c r="I28" s="54"/>
      <c r="J28" s="161"/>
      <c r="K28" s="161"/>
      <c r="M28" s="51" t="s">
        <v>3574</v>
      </c>
      <c r="N28" s="51" t="s">
        <v>3575</v>
      </c>
      <c r="O28" s="51" t="s">
        <v>11</v>
      </c>
      <c r="P28" s="51" t="s">
        <v>949</v>
      </c>
      <c r="Q28" s="51" t="s">
        <v>137</v>
      </c>
      <c r="R28" s="50" t="s">
        <v>950</v>
      </c>
      <c r="T28" s="52" t="s">
        <v>125</v>
      </c>
      <c r="V28" s="52" t="s">
        <v>953</v>
      </c>
      <c r="AA28" s="51" t="s">
        <v>5577</v>
      </c>
      <c r="AB28" s="51" t="s">
        <v>5578</v>
      </c>
      <c r="AC28" s="51" t="s">
        <v>5579</v>
      </c>
      <c r="AD28" s="51" t="s">
        <v>949</v>
      </c>
      <c r="AE28" s="51" t="s">
        <v>749</v>
      </c>
      <c r="AF28" s="50" t="s">
        <v>950</v>
      </c>
      <c r="AH28" s="51" t="s">
        <v>743</v>
      </c>
      <c r="AJ28" s="52" t="s">
        <v>4017</v>
      </c>
      <c r="AO28" s="51" t="s">
        <v>5602</v>
      </c>
      <c r="AP28" s="51" t="s">
        <v>5603</v>
      </c>
      <c r="AQ28" s="51" t="s">
        <v>5604</v>
      </c>
      <c r="AR28" s="51" t="s">
        <v>949</v>
      </c>
      <c r="AS28" s="51" t="s">
        <v>749</v>
      </c>
      <c r="AT28" s="180" t="s">
        <v>950</v>
      </c>
      <c r="AV28" s="51" t="s">
        <v>4018</v>
      </c>
      <c r="AX28" s="52" t="s">
        <v>4019</v>
      </c>
    </row>
    <row r="29" spans="1:53" x14ac:dyDescent="0.25">
      <c r="A29" s="51" t="s">
        <v>5559</v>
      </c>
      <c r="B29" s="51">
        <v>24</v>
      </c>
      <c r="C29" s="51" t="s">
        <v>3834</v>
      </c>
      <c r="E29" s="54" t="str" cm="1">
        <f t="array" aca="1" ref="E29" ca="1">IF(G29=0,IF(H29=0,"",HYPERLINK("#"&amp;RIGHT(CELL("adresse",OFFSET($P$6,H29-1,0)),LEN(CELL("adresse",OFFSET($P$6,H29-1,0)))),"Definition")),HYPERLINK("#"&amp;RIGHT(CELL("adresse",OFFSET(DMAV_Modell!$Q$6,G29-1,0)),LEN(CELL("adresse",OFFSET(DMAV_Modell!$Q$6,G29-1,0)))-SEARCH("]",CELL("adresse",OFFSET(DMAV_Modell!$Q$6,G29-1,0)))),"Definition"))</f>
        <v>Definition</v>
      </c>
      <c r="F29" s="150" t="str">
        <f t="shared" si="0"/>
        <v>MFPL24</v>
      </c>
      <c r="G29" s="150">
        <f>IF(C29="",0,IF(ISNA(MATCH(C29,$F$6:$F$140,0)),MATCH(C29,DMAV_Modell!$G$6:$G$677,0),0))</f>
        <v>40</v>
      </c>
      <c r="H29" s="150">
        <f t="shared" si="1"/>
        <v>0</v>
      </c>
      <c r="I29" s="54"/>
      <c r="J29" s="161"/>
      <c r="K29" s="161"/>
      <c r="M29" s="51" t="s">
        <v>3574</v>
      </c>
      <c r="N29" s="51" t="s">
        <v>3575</v>
      </c>
      <c r="O29" s="51" t="s">
        <v>11</v>
      </c>
      <c r="P29" s="51" t="s">
        <v>949</v>
      </c>
      <c r="Q29" s="51" t="s">
        <v>137</v>
      </c>
      <c r="R29" s="50" t="s">
        <v>950</v>
      </c>
      <c r="T29" s="52" t="s">
        <v>128</v>
      </c>
      <c r="V29" s="52" t="s">
        <v>954</v>
      </c>
      <c r="AA29" s="51" t="s">
        <v>5577</v>
      </c>
      <c r="AB29" s="51" t="s">
        <v>5578</v>
      </c>
      <c r="AC29" s="51" t="s">
        <v>5579</v>
      </c>
      <c r="AD29" s="51" t="s">
        <v>949</v>
      </c>
      <c r="AE29" s="51" t="s">
        <v>749</v>
      </c>
      <c r="AF29" s="50" t="s">
        <v>950</v>
      </c>
      <c r="AH29" s="51" t="s">
        <v>744</v>
      </c>
      <c r="AJ29" s="52" t="s">
        <v>4020</v>
      </c>
      <c r="AO29" s="51" t="s">
        <v>5602</v>
      </c>
      <c r="AP29" s="51" t="s">
        <v>5603</v>
      </c>
      <c r="AQ29" s="51" t="s">
        <v>5604</v>
      </c>
      <c r="AR29" s="51" t="s">
        <v>949</v>
      </c>
      <c r="AS29" s="51" t="s">
        <v>749</v>
      </c>
      <c r="AT29" s="180" t="s">
        <v>950</v>
      </c>
      <c r="AV29" s="51" t="s">
        <v>4021</v>
      </c>
      <c r="AX29" s="52" t="s">
        <v>4022</v>
      </c>
    </row>
    <row r="30" spans="1:53" x14ac:dyDescent="0.25">
      <c r="A30" s="51" t="s">
        <v>5559</v>
      </c>
      <c r="B30" s="51">
        <v>25</v>
      </c>
      <c r="C30" s="51" t="s">
        <v>3835</v>
      </c>
      <c r="E30" s="54" t="str" cm="1">
        <f t="array" aca="1" ref="E30" ca="1">IF(G30=0,IF(H30=0,"",HYPERLINK("#"&amp;RIGHT(CELL("adresse",OFFSET($P$6,H30-1,0)),LEN(CELL("adresse",OFFSET($P$6,H30-1,0)))),"Definition")),HYPERLINK("#"&amp;RIGHT(CELL("adresse",OFFSET(DMAV_Modell!$Q$6,G30-1,0)),LEN(CELL("adresse",OFFSET(DMAV_Modell!$Q$6,G30-1,0)))-SEARCH("]",CELL("adresse",OFFSET(DMAV_Modell!$Q$6,G30-1,0)))),"Definition"))</f>
        <v>Definition</v>
      </c>
      <c r="F30" s="150" t="str">
        <f t="shared" si="0"/>
        <v>MFPL25</v>
      </c>
      <c r="G30" s="150">
        <f>IF(C30="",0,IF(ISNA(MATCH(C30,$F$6:$F$140,0)),MATCH(C30,DMAV_Modell!$G$6:$G$677,0),0))</f>
        <v>41</v>
      </c>
      <c r="H30" s="150">
        <f t="shared" si="1"/>
        <v>0</v>
      </c>
      <c r="I30" s="54"/>
      <c r="J30" s="161"/>
      <c r="K30" s="161"/>
      <c r="M30" s="51" t="s">
        <v>3574</v>
      </c>
      <c r="N30" s="51" t="s">
        <v>3575</v>
      </c>
      <c r="O30" s="51" t="s">
        <v>11</v>
      </c>
      <c r="P30" s="51" t="s">
        <v>949</v>
      </c>
      <c r="Q30" s="51" t="s">
        <v>137</v>
      </c>
      <c r="R30" s="50" t="s">
        <v>950</v>
      </c>
      <c r="T30" s="52" t="s">
        <v>130</v>
      </c>
      <c r="V30" s="52" t="s">
        <v>955</v>
      </c>
      <c r="AA30" s="51" t="s">
        <v>5577</v>
      </c>
      <c r="AB30" s="51" t="s">
        <v>5578</v>
      </c>
      <c r="AC30" s="51" t="s">
        <v>5579</v>
      </c>
      <c r="AD30" s="51" t="s">
        <v>949</v>
      </c>
      <c r="AE30" s="51" t="s">
        <v>749</v>
      </c>
      <c r="AF30" s="50" t="s">
        <v>950</v>
      </c>
      <c r="AH30" s="51" t="s">
        <v>745</v>
      </c>
      <c r="AJ30" s="52" t="s">
        <v>4023</v>
      </c>
      <c r="AO30" s="51" t="s">
        <v>5602</v>
      </c>
      <c r="AP30" s="51" t="s">
        <v>5603</v>
      </c>
      <c r="AQ30" s="51" t="s">
        <v>5604</v>
      </c>
      <c r="AR30" s="51" t="s">
        <v>949</v>
      </c>
      <c r="AS30" s="51" t="s">
        <v>749</v>
      </c>
      <c r="AT30" s="180" t="s">
        <v>950</v>
      </c>
      <c r="AV30" s="51" t="s">
        <v>4024</v>
      </c>
      <c r="AX30" s="52" t="s">
        <v>4025</v>
      </c>
    </row>
    <row r="31" spans="1:53" x14ac:dyDescent="0.25">
      <c r="A31" s="51" t="s">
        <v>5559</v>
      </c>
      <c r="B31" s="51">
        <v>26</v>
      </c>
      <c r="C31" s="51" t="s">
        <v>3834</v>
      </c>
      <c r="E31" s="54" t="str" cm="1">
        <f t="array" aca="1" ref="E31" ca="1">IF(G31=0,IF(H31=0,"",HYPERLINK("#"&amp;RIGHT(CELL("adresse",OFFSET($P$6,H31-1,0)),LEN(CELL("adresse",OFFSET($P$6,H31-1,0)))),"Definition")),HYPERLINK("#"&amp;RIGHT(CELL("adresse",OFFSET(DMAV_Modell!$Q$6,G31-1,0)),LEN(CELL("adresse",OFFSET(DMAV_Modell!$Q$6,G31-1,0)))-SEARCH("]",CELL("adresse",OFFSET(DMAV_Modell!$Q$6,G31-1,0)))),"Definition"))</f>
        <v>Definition</v>
      </c>
      <c r="F31" s="150" t="str">
        <f t="shared" si="0"/>
        <v>MFPL26</v>
      </c>
      <c r="G31" s="150">
        <f>IF(C31="",0,IF(ISNA(MATCH(C31,$F$6:$F$140,0)),MATCH(C31,DMAV_Modell!$G$6:$G$677,0),0))</f>
        <v>40</v>
      </c>
      <c r="H31" s="150">
        <f t="shared" si="1"/>
        <v>0</v>
      </c>
      <c r="I31" s="54"/>
      <c r="J31" s="161"/>
      <c r="K31" s="161"/>
      <c r="M31" s="51" t="s">
        <v>3574</v>
      </c>
      <c r="N31" s="51" t="s">
        <v>3575</v>
      </c>
      <c r="O31" s="51" t="s">
        <v>11</v>
      </c>
      <c r="P31" s="51" t="s">
        <v>949</v>
      </c>
      <c r="Q31" s="51" t="s">
        <v>137</v>
      </c>
      <c r="R31" s="50" t="s">
        <v>950</v>
      </c>
      <c r="T31" s="52" t="s">
        <v>132</v>
      </c>
      <c r="V31" s="52" t="s">
        <v>954</v>
      </c>
      <c r="AA31" s="51" t="s">
        <v>5577</v>
      </c>
      <c r="AB31" s="51" t="s">
        <v>5578</v>
      </c>
      <c r="AC31" s="51" t="s">
        <v>5579</v>
      </c>
      <c r="AD31" s="51" t="s">
        <v>949</v>
      </c>
      <c r="AE31" s="51" t="s">
        <v>749</v>
      </c>
      <c r="AF31" s="50" t="s">
        <v>950</v>
      </c>
      <c r="AH31" s="51" t="s">
        <v>746</v>
      </c>
      <c r="AJ31" s="52" t="s">
        <v>4020</v>
      </c>
      <c r="AO31" s="51" t="s">
        <v>5602</v>
      </c>
      <c r="AP31" s="51" t="s">
        <v>5603</v>
      </c>
      <c r="AQ31" s="51" t="s">
        <v>5604</v>
      </c>
      <c r="AR31" s="51" t="s">
        <v>949</v>
      </c>
      <c r="AS31" s="51" t="s">
        <v>749</v>
      </c>
      <c r="AT31" s="180" t="s">
        <v>950</v>
      </c>
      <c r="AV31" s="51" t="s">
        <v>4026</v>
      </c>
      <c r="AX31" s="52" t="s">
        <v>4022</v>
      </c>
    </row>
    <row r="32" spans="1:53" x14ac:dyDescent="0.25">
      <c r="A32" s="51" t="s">
        <v>5559</v>
      </c>
      <c r="B32" s="51">
        <v>27</v>
      </c>
      <c r="C32" s="51" t="s">
        <v>3835</v>
      </c>
      <c r="E32" s="54" t="str" cm="1">
        <f t="array" aca="1" ref="E32" ca="1">IF(G32=0,IF(H32=0,"",HYPERLINK("#"&amp;RIGHT(CELL("adresse",OFFSET($P$6,H32-1,0)),LEN(CELL("adresse",OFFSET($P$6,H32-1,0)))),"Definition")),HYPERLINK("#"&amp;RIGHT(CELL("adresse",OFFSET(DMAV_Modell!$Q$6,G32-1,0)),LEN(CELL("adresse",OFFSET(DMAV_Modell!$Q$6,G32-1,0)))-SEARCH("]",CELL("adresse",OFFSET(DMAV_Modell!$Q$6,G32-1,0)))),"Definition"))</f>
        <v>Definition</v>
      </c>
      <c r="F32" s="150" t="str">
        <f t="shared" si="0"/>
        <v>MFPL27</v>
      </c>
      <c r="G32" s="150">
        <f>IF(C32="",0,IF(ISNA(MATCH(C32,$F$6:$F$140,0)),MATCH(C32,DMAV_Modell!$G$6:$G$677,0),0))</f>
        <v>41</v>
      </c>
      <c r="H32" s="150">
        <f t="shared" si="1"/>
        <v>0</v>
      </c>
      <c r="I32" s="54"/>
      <c r="J32" s="161"/>
      <c r="K32" s="161"/>
      <c r="M32" s="51" t="s">
        <v>3574</v>
      </c>
      <c r="N32" s="51" t="s">
        <v>3575</v>
      </c>
      <c r="O32" s="51" t="s">
        <v>11</v>
      </c>
      <c r="P32" s="51" t="s">
        <v>949</v>
      </c>
      <c r="Q32" s="51" t="s">
        <v>137</v>
      </c>
      <c r="R32" s="50" t="s">
        <v>950</v>
      </c>
      <c r="T32" s="52" t="s">
        <v>133</v>
      </c>
      <c r="V32" s="52" t="s">
        <v>955</v>
      </c>
      <c r="AA32" s="51" t="s">
        <v>5577</v>
      </c>
      <c r="AB32" s="51" t="s">
        <v>5578</v>
      </c>
      <c r="AC32" s="51" t="s">
        <v>5579</v>
      </c>
      <c r="AD32" s="51" t="s">
        <v>949</v>
      </c>
      <c r="AE32" s="51" t="s">
        <v>749</v>
      </c>
      <c r="AF32" s="50" t="s">
        <v>950</v>
      </c>
      <c r="AH32" s="51" t="s">
        <v>747</v>
      </c>
      <c r="AJ32" s="52" t="s">
        <v>4023</v>
      </c>
      <c r="AO32" s="51" t="s">
        <v>5602</v>
      </c>
      <c r="AP32" s="51" t="s">
        <v>5603</v>
      </c>
      <c r="AQ32" s="51" t="s">
        <v>5604</v>
      </c>
      <c r="AR32" s="51" t="s">
        <v>949</v>
      </c>
      <c r="AS32" s="51" t="s">
        <v>749</v>
      </c>
      <c r="AT32" s="180" t="s">
        <v>950</v>
      </c>
      <c r="AV32" s="51" t="s">
        <v>4027</v>
      </c>
      <c r="AX32" s="52" t="s">
        <v>4025</v>
      </c>
    </row>
    <row r="33" spans="1:50" x14ac:dyDescent="0.25">
      <c r="A33" s="51" t="s">
        <v>5559</v>
      </c>
      <c r="B33" s="51">
        <v>28</v>
      </c>
      <c r="E33" s="54" t="str" cm="1">
        <f t="array" aca="1" ref="E33" ca="1">IF(G33=0,IF(H33=0,"",HYPERLINK("#"&amp;RIGHT(CELL("adresse",OFFSET($P$6,H33-1,0)),LEN(CELL("adresse",OFFSET($P$6,H33-1,0)))),"Definition")),HYPERLINK("#"&amp;RIGHT(CELL("adresse",OFFSET(DMAV_Modell!$Q$6,G33-1,0)),LEN(CELL("adresse",OFFSET(DMAV_Modell!$Q$6,G33-1,0)))-SEARCH("]",CELL("adresse",OFFSET(DMAV_Modell!$Q$6,G33-1,0)))),"Definition"))</f>
        <v/>
      </c>
      <c r="F33" s="150" t="str">
        <f t="shared" si="0"/>
        <v>MFPL28</v>
      </c>
      <c r="G33" s="150">
        <f>IF(C33="",0,IF(ISNA(MATCH(C33,$F$6:$F$140,0)),MATCH(C33,DMAV_Modell!$G$6:$G$677,0),0))</f>
        <v>0</v>
      </c>
      <c r="H33" s="150">
        <f t="shared" si="1"/>
        <v>0</v>
      </c>
      <c r="I33" s="54"/>
      <c r="J33" s="161"/>
      <c r="K33" s="161"/>
      <c r="M33" s="51" t="s">
        <v>3574</v>
      </c>
      <c r="N33" s="51" t="s">
        <v>3575</v>
      </c>
      <c r="O33" s="51" t="s">
        <v>11</v>
      </c>
      <c r="P33" s="51" t="s">
        <v>949</v>
      </c>
      <c r="Q33" s="51" t="s">
        <v>137</v>
      </c>
      <c r="T33" s="52" t="s">
        <v>3565</v>
      </c>
      <c r="V33" s="52" t="s">
        <v>3578</v>
      </c>
      <c r="AA33" s="51" t="s">
        <v>5577</v>
      </c>
      <c r="AB33" s="51" t="s">
        <v>5578</v>
      </c>
      <c r="AC33" s="51" t="s">
        <v>5579</v>
      </c>
      <c r="AD33" s="51" t="s">
        <v>949</v>
      </c>
      <c r="AE33" s="51" t="s">
        <v>749</v>
      </c>
      <c r="AH33" s="51" t="s">
        <v>5582</v>
      </c>
      <c r="AJ33" s="52" t="s">
        <v>3578</v>
      </c>
      <c r="AO33" s="51" t="s">
        <v>5602</v>
      </c>
      <c r="AP33" s="51" t="s">
        <v>5603</v>
      </c>
      <c r="AQ33" s="51" t="s">
        <v>5604</v>
      </c>
      <c r="AR33" s="51" t="s">
        <v>949</v>
      </c>
      <c r="AS33" s="51" t="s">
        <v>749</v>
      </c>
      <c r="AV33" s="51" t="s">
        <v>5607</v>
      </c>
      <c r="AX33" s="52" t="s">
        <v>3578</v>
      </c>
    </row>
    <row r="34" spans="1:50" x14ac:dyDescent="0.25">
      <c r="A34" s="51" t="s">
        <v>5559</v>
      </c>
      <c r="B34" s="51">
        <v>29</v>
      </c>
      <c r="E34" s="54" t="str" cm="1">
        <f t="array" aca="1" ref="E34" ca="1">IF(G34=0,IF(H34=0,"",HYPERLINK("#"&amp;RIGHT(CELL("adresse",OFFSET($P$6,H34-1,0)),LEN(CELL("adresse",OFFSET($P$6,H34-1,0)))),"Definition")),HYPERLINK("#"&amp;RIGHT(CELL("adresse",OFFSET(DMAV_Modell!$Q$6,G34-1,0)),LEN(CELL("adresse",OFFSET(DMAV_Modell!$Q$6,G34-1,0)))-SEARCH("]",CELL("adresse",OFFSET(DMAV_Modell!$Q$6,G34-1,0)))),"Definition"))</f>
        <v/>
      </c>
      <c r="F34" s="150" t="str">
        <f t="shared" si="0"/>
        <v>MFPL29</v>
      </c>
      <c r="G34" s="150">
        <f>IF(C34="",0,IF(ISNA(MATCH(C34,$F$6:$F$140,0)),MATCH(C34,DMAV_Modell!$G$6:$G$677,0),0))</f>
        <v>0</v>
      </c>
      <c r="H34" s="150">
        <f t="shared" si="1"/>
        <v>0</v>
      </c>
      <c r="I34" s="54"/>
      <c r="J34" s="161"/>
      <c r="K34" s="161"/>
      <c r="M34" s="51" t="s">
        <v>3574</v>
      </c>
      <c r="N34" s="51" t="s">
        <v>3575</v>
      </c>
      <c r="O34" s="51" t="s">
        <v>11</v>
      </c>
      <c r="P34" s="51" t="s">
        <v>949</v>
      </c>
      <c r="Q34" s="51" t="s">
        <v>137</v>
      </c>
      <c r="T34" s="52" t="s">
        <v>1539</v>
      </c>
      <c r="V34" s="52" t="s">
        <v>3580</v>
      </c>
      <c r="AA34" s="51" t="s">
        <v>5577</v>
      </c>
      <c r="AB34" s="51" t="s">
        <v>5578</v>
      </c>
      <c r="AC34" s="51" t="s">
        <v>5579</v>
      </c>
      <c r="AD34" s="51" t="s">
        <v>949</v>
      </c>
      <c r="AE34" s="51" t="s">
        <v>749</v>
      </c>
      <c r="AH34" s="51" t="s">
        <v>1538</v>
      </c>
      <c r="AJ34" s="164" t="s">
        <v>5628</v>
      </c>
      <c r="AO34" s="51" t="s">
        <v>5602</v>
      </c>
      <c r="AP34" s="51" t="s">
        <v>5603</v>
      </c>
      <c r="AQ34" s="51" t="s">
        <v>5604</v>
      </c>
      <c r="AR34" s="51" t="s">
        <v>949</v>
      </c>
      <c r="AS34" s="51" t="s">
        <v>749</v>
      </c>
      <c r="AV34" s="51" t="s">
        <v>1536</v>
      </c>
      <c r="AX34" s="164" t="s">
        <v>5628</v>
      </c>
    </row>
    <row r="35" spans="1:50" x14ac:dyDescent="0.25">
      <c r="A35" s="51" t="s">
        <v>5559</v>
      </c>
      <c r="B35" s="51">
        <v>30</v>
      </c>
      <c r="E35" s="54" t="str" cm="1">
        <f t="array" aca="1" ref="E35" ca="1">IF(G35=0,IF(H35=0,"",HYPERLINK("#"&amp;RIGHT(CELL("adresse",OFFSET($P$6,H35-1,0)),LEN(CELL("adresse",OFFSET($P$6,H35-1,0)))),"Definition")),HYPERLINK("#"&amp;RIGHT(CELL("adresse",OFFSET(DMAV_Modell!$Q$6,G35-1,0)),LEN(CELL("adresse",OFFSET(DMAV_Modell!$Q$6,G35-1,0)))-SEARCH("]",CELL("adresse",OFFSET(DMAV_Modell!$Q$6,G35-1,0)))),"Definition"))</f>
        <v/>
      </c>
      <c r="F35" s="150" t="str">
        <f t="shared" si="0"/>
        <v>MFPL30</v>
      </c>
      <c r="G35" s="150">
        <f>IF(C35="",0,IF(ISNA(MATCH(C35,$F$6:$F$140,0)),MATCH(C35,DMAV_Modell!$G$6:$G$677,0),0))</f>
        <v>0</v>
      </c>
      <c r="H35" s="150">
        <f t="shared" si="1"/>
        <v>0</v>
      </c>
      <c r="I35" s="54"/>
      <c r="J35" s="161"/>
      <c r="K35" s="161"/>
      <c r="M35" s="51" t="s">
        <v>3574</v>
      </c>
      <c r="N35" s="51" t="s">
        <v>3575</v>
      </c>
      <c r="O35" s="51" t="s">
        <v>11</v>
      </c>
      <c r="P35" s="51" t="s">
        <v>949</v>
      </c>
      <c r="Q35" s="51" t="s">
        <v>137</v>
      </c>
      <c r="T35" s="52" t="s">
        <v>3563</v>
      </c>
      <c r="V35" s="52" t="s">
        <v>956</v>
      </c>
      <c r="AA35" s="51" t="s">
        <v>5577</v>
      </c>
      <c r="AB35" s="51" t="s">
        <v>5578</v>
      </c>
      <c r="AC35" s="51" t="s">
        <v>5579</v>
      </c>
      <c r="AD35" s="51" t="s">
        <v>949</v>
      </c>
      <c r="AE35" s="51" t="s">
        <v>749</v>
      </c>
      <c r="AH35" s="51" t="s">
        <v>5581</v>
      </c>
      <c r="AJ35" s="52" t="s">
        <v>956</v>
      </c>
      <c r="AO35" s="51" t="s">
        <v>5602</v>
      </c>
      <c r="AP35" s="51" t="s">
        <v>5603</v>
      </c>
      <c r="AQ35" s="51" t="s">
        <v>5604</v>
      </c>
      <c r="AR35" s="51" t="s">
        <v>949</v>
      </c>
      <c r="AS35" s="51" t="s">
        <v>749</v>
      </c>
      <c r="AV35" s="51" t="s">
        <v>5606</v>
      </c>
      <c r="AX35" s="52" t="s">
        <v>956</v>
      </c>
    </row>
    <row r="36" spans="1:50" x14ac:dyDescent="0.25">
      <c r="A36" s="51" t="s">
        <v>5559</v>
      </c>
      <c r="B36" s="51">
        <v>31</v>
      </c>
      <c r="C36" s="51" t="s">
        <v>3829</v>
      </c>
      <c r="E36" s="54" t="str" cm="1">
        <f t="array" aca="1" ref="E36" ca="1">IF(G36=0,IF(H36=0,"",HYPERLINK("#"&amp;RIGHT(CELL("adresse",OFFSET($P$6,H36-1,0)),LEN(CELL("adresse",OFFSET($P$6,H36-1,0)))),"Definition")),HYPERLINK("#"&amp;RIGHT(CELL("adresse",OFFSET(DMAV_Modell!$Q$6,G36-1,0)),LEN(CELL("adresse",OFFSET(DMAV_Modell!$Q$6,G36-1,0)))-SEARCH("]",CELL("adresse",OFFSET(DMAV_Modell!$Q$6,G36-1,0)))),"Definition"))</f>
        <v>Definition</v>
      </c>
      <c r="F36" s="150" t="str">
        <f t="shared" si="0"/>
        <v>MFPL31</v>
      </c>
      <c r="G36" s="150">
        <f>IF(C36="",0,IF(ISNA(MATCH(C36,$F$6:$F$140,0)),MATCH(C36,DMAV_Modell!$G$6:$G$677,0),0))</f>
        <v>17</v>
      </c>
      <c r="H36" s="150">
        <f t="shared" si="1"/>
        <v>0</v>
      </c>
      <c r="I36" s="54"/>
      <c r="J36" s="161"/>
      <c r="K36" s="161"/>
      <c r="M36" s="51" t="s">
        <v>3574</v>
      </c>
      <c r="N36" s="51" t="s">
        <v>3575</v>
      </c>
      <c r="O36" s="51" t="s">
        <v>11</v>
      </c>
      <c r="P36" s="51" t="s">
        <v>949</v>
      </c>
      <c r="Q36" s="51" t="s">
        <v>137</v>
      </c>
      <c r="T36" s="52" t="s">
        <v>3581</v>
      </c>
      <c r="V36" s="52" t="s">
        <v>953</v>
      </c>
      <c r="AA36" s="51" t="s">
        <v>5577</v>
      </c>
      <c r="AB36" s="51" t="s">
        <v>5578</v>
      </c>
      <c r="AC36" s="51" t="s">
        <v>5579</v>
      </c>
      <c r="AD36" s="51" t="s">
        <v>949</v>
      </c>
      <c r="AE36" s="51" t="s">
        <v>749</v>
      </c>
      <c r="AH36" s="51" t="s">
        <v>3581</v>
      </c>
      <c r="AJ36" s="52" t="s">
        <v>4017</v>
      </c>
      <c r="AO36" s="51" t="s">
        <v>5602</v>
      </c>
      <c r="AP36" s="51" t="s">
        <v>5603</v>
      </c>
      <c r="AQ36" s="51" t="s">
        <v>5604</v>
      </c>
      <c r="AR36" s="51" t="s">
        <v>949</v>
      </c>
      <c r="AS36" s="51" t="s">
        <v>749</v>
      </c>
      <c r="AV36" s="51" t="s">
        <v>3581</v>
      </c>
      <c r="AX36" s="52" t="s">
        <v>4019</v>
      </c>
    </row>
    <row r="37" spans="1:50" x14ac:dyDescent="0.25">
      <c r="A37" s="51" t="s">
        <v>5559</v>
      </c>
      <c r="B37" s="51">
        <v>32</v>
      </c>
      <c r="E37" s="54" t="str" cm="1">
        <f t="array" aca="1" ref="E37" ca="1">IF(G37=0,IF(H37=0,"",HYPERLINK("#"&amp;RIGHT(CELL("adresse",OFFSET($P$6,H37-1,0)),LEN(CELL("adresse",OFFSET($P$6,H37-1,0)))),"Definition")),HYPERLINK("#"&amp;RIGHT(CELL("adresse",OFFSET(DMAV_Modell!$Q$6,G37-1,0)),LEN(CELL("adresse",OFFSET(DMAV_Modell!$Q$6,G37-1,0)))-SEARCH("]",CELL("adresse",OFFSET(DMAV_Modell!$Q$6,G37-1,0)))),"Definition"))</f>
        <v/>
      </c>
      <c r="F37" s="150" t="str">
        <f t="shared" si="0"/>
        <v>MFPL32</v>
      </c>
      <c r="G37" s="150">
        <f>IF(C37="",0,IF(ISNA(MATCH(C37,$F$6:$F$140,0)),MATCH(C37,DMAV_Modell!$G$6:$G$677,0),0))</f>
        <v>0</v>
      </c>
      <c r="H37" s="150">
        <f t="shared" si="1"/>
        <v>0</v>
      </c>
      <c r="I37" s="54"/>
      <c r="J37" s="161"/>
      <c r="K37" s="161"/>
      <c r="M37" s="51" t="s">
        <v>3574</v>
      </c>
      <c r="N37" s="51" t="s">
        <v>3575</v>
      </c>
      <c r="O37" s="51" t="s">
        <v>11</v>
      </c>
      <c r="P37" s="51" t="s">
        <v>949</v>
      </c>
      <c r="Q37" s="51" t="s">
        <v>137</v>
      </c>
      <c r="T37" s="52" t="s">
        <v>3566</v>
      </c>
      <c r="V37" s="52" t="s">
        <v>3582</v>
      </c>
      <c r="AA37" s="51" t="s">
        <v>5577</v>
      </c>
      <c r="AB37" s="51" t="s">
        <v>5578</v>
      </c>
      <c r="AC37" s="51" t="s">
        <v>5579</v>
      </c>
      <c r="AD37" s="51" t="s">
        <v>949</v>
      </c>
      <c r="AE37" s="51" t="s">
        <v>749</v>
      </c>
      <c r="AH37" s="51" t="s">
        <v>5583</v>
      </c>
      <c r="AJ37" s="164" t="s">
        <v>3582</v>
      </c>
      <c r="AO37" s="51" t="s">
        <v>5602</v>
      </c>
      <c r="AP37" s="51" t="s">
        <v>5603</v>
      </c>
      <c r="AQ37" s="51" t="s">
        <v>5604</v>
      </c>
      <c r="AR37" s="51" t="s">
        <v>949</v>
      </c>
      <c r="AS37" s="51" t="s">
        <v>749</v>
      </c>
      <c r="AV37" s="51" t="s">
        <v>5608</v>
      </c>
      <c r="AX37" s="164" t="s">
        <v>3582</v>
      </c>
    </row>
    <row r="38" spans="1:50" x14ac:dyDescent="0.25">
      <c r="A38" s="51" t="s">
        <v>5559</v>
      </c>
      <c r="B38" s="51">
        <v>33</v>
      </c>
      <c r="E38" s="54" t="str" cm="1">
        <f t="array" aca="1" ref="E38" ca="1">IF(G38=0,IF(H38=0,"",HYPERLINK("#"&amp;RIGHT(CELL("adresse",OFFSET($P$6,H38-1,0)),LEN(CELL("adresse",OFFSET($P$6,H38-1,0)))),"Definition")),HYPERLINK("#"&amp;RIGHT(CELL("adresse",OFFSET(DMAV_Modell!$Q$6,G38-1,0)),LEN(CELL("adresse",OFFSET(DMAV_Modell!$Q$6,G38-1,0)))-SEARCH("]",CELL("adresse",OFFSET(DMAV_Modell!$Q$6,G38-1,0)))),"Definition"))</f>
        <v/>
      </c>
      <c r="F38" s="150" t="str">
        <f t="shared" si="0"/>
        <v>MFPL33</v>
      </c>
      <c r="G38" s="150">
        <f>IF(C38="",0,IF(ISNA(MATCH(C38,$F$6:$F$140,0)),MATCH(C38,DMAV_Modell!$G$6:$G$677,0),0))</f>
        <v>0</v>
      </c>
      <c r="H38" s="150">
        <f t="shared" si="1"/>
        <v>0</v>
      </c>
      <c r="I38" s="54"/>
      <c r="J38" s="161"/>
      <c r="K38" s="161"/>
      <c r="M38" s="51" t="s">
        <v>3574</v>
      </c>
      <c r="N38" s="51" t="s">
        <v>3575</v>
      </c>
      <c r="O38" s="51" t="s">
        <v>11</v>
      </c>
      <c r="P38" s="51" t="s">
        <v>949</v>
      </c>
      <c r="Q38" s="51" t="s">
        <v>137</v>
      </c>
      <c r="T38" s="52" t="s">
        <v>3567</v>
      </c>
      <c r="V38" s="52" t="s">
        <v>3582</v>
      </c>
      <c r="AA38" s="51" t="s">
        <v>5577</v>
      </c>
      <c r="AB38" s="51" t="s">
        <v>5578</v>
      </c>
      <c r="AC38" s="51" t="s">
        <v>5579</v>
      </c>
      <c r="AD38" s="51" t="s">
        <v>949</v>
      </c>
      <c r="AE38" s="51" t="s">
        <v>749</v>
      </c>
      <c r="AH38" s="51" t="s">
        <v>5584</v>
      </c>
      <c r="AJ38" s="164" t="s">
        <v>3582</v>
      </c>
      <c r="AO38" s="51" t="s">
        <v>5602</v>
      </c>
      <c r="AP38" s="51" t="s">
        <v>5603</v>
      </c>
      <c r="AQ38" s="51" t="s">
        <v>5604</v>
      </c>
      <c r="AR38" s="51" t="s">
        <v>949</v>
      </c>
      <c r="AS38" s="51" t="s">
        <v>749</v>
      </c>
      <c r="AV38" s="51" t="s">
        <v>5609</v>
      </c>
      <c r="AX38" s="164" t="s">
        <v>3582</v>
      </c>
    </row>
    <row r="39" spans="1:50" x14ac:dyDescent="0.25">
      <c r="A39" s="51" t="s">
        <v>5559</v>
      </c>
      <c r="B39" s="51">
        <v>34</v>
      </c>
      <c r="E39" s="54" t="str" cm="1">
        <f t="array" aca="1" ref="E39" ca="1">IF(G39=0,IF(H39=0,"",HYPERLINK("#"&amp;RIGHT(CELL("adresse",OFFSET($P$6,H39-1,0)),LEN(CELL("adresse",OFFSET($P$6,H39-1,0)))),"Definition")),HYPERLINK("#"&amp;RIGHT(CELL("adresse",OFFSET(DMAV_Modell!$Q$6,G39-1,0)),LEN(CELL("adresse",OFFSET(DMAV_Modell!$Q$6,G39-1,0)))-SEARCH("]",CELL("adresse",OFFSET(DMAV_Modell!$Q$6,G39-1,0)))),"Definition"))</f>
        <v/>
      </c>
      <c r="F39" s="150" t="str">
        <f t="shared" si="0"/>
        <v>MFPL34</v>
      </c>
      <c r="G39" s="150">
        <f>IF(C39="",0,IF(ISNA(MATCH(C39,$F$6:$F$140,0)),MATCH(C39,DMAV_Modell!$G$6:$G$677,0),0))</f>
        <v>0</v>
      </c>
      <c r="H39" s="150">
        <f t="shared" si="1"/>
        <v>0</v>
      </c>
      <c r="I39" s="54"/>
      <c r="J39" s="161"/>
      <c r="K39" s="161"/>
      <c r="M39" s="51" t="s">
        <v>3574</v>
      </c>
      <c r="N39" s="51" t="s">
        <v>3575</v>
      </c>
      <c r="O39" s="51" t="s">
        <v>11</v>
      </c>
      <c r="P39" s="51" t="s">
        <v>949</v>
      </c>
      <c r="Q39" s="51" t="s">
        <v>137</v>
      </c>
      <c r="T39" s="52" t="s">
        <v>134</v>
      </c>
      <c r="V39" s="52" t="s">
        <v>3576</v>
      </c>
      <c r="AA39" s="51" t="s">
        <v>5577</v>
      </c>
      <c r="AB39" s="51" t="s">
        <v>5578</v>
      </c>
      <c r="AC39" s="51" t="s">
        <v>5579</v>
      </c>
      <c r="AD39" s="51" t="s">
        <v>949</v>
      </c>
      <c r="AE39" s="51" t="s">
        <v>749</v>
      </c>
      <c r="AH39" s="51" t="s">
        <v>748</v>
      </c>
      <c r="AJ39" s="52" t="s">
        <v>3576</v>
      </c>
      <c r="AO39" s="51" t="s">
        <v>5602</v>
      </c>
      <c r="AP39" s="51" t="s">
        <v>5603</v>
      </c>
      <c r="AQ39" s="51" t="s">
        <v>5604</v>
      </c>
      <c r="AR39" s="51" t="s">
        <v>949</v>
      </c>
      <c r="AS39" s="51" t="s">
        <v>749</v>
      </c>
      <c r="AV39" s="51" t="s">
        <v>1845</v>
      </c>
      <c r="AX39" s="52" t="s">
        <v>3576</v>
      </c>
    </row>
    <row r="40" spans="1:50" x14ac:dyDescent="0.25">
      <c r="A40" s="51" t="s">
        <v>5559</v>
      </c>
      <c r="B40" s="51">
        <v>35</v>
      </c>
      <c r="E40" s="54" t="str" cm="1">
        <f t="array" aca="1" ref="E40" ca="1">IF(G40=0,IF(H40=0,"",HYPERLINK("#"&amp;RIGHT(CELL("adresse",OFFSET($P$6,H40-1,0)),LEN(CELL("adresse",OFFSET($P$6,H40-1,0)))),"Definition")),HYPERLINK("#"&amp;RIGHT(CELL("adresse",OFFSET(DMAV_Modell!$Q$6,G40-1,0)),LEN(CELL("adresse",OFFSET(DMAV_Modell!$Q$6,G40-1,0)))-SEARCH("]",CELL("adresse",OFFSET(DMAV_Modell!$Q$6,G40-1,0)))),"Definition"))</f>
        <v/>
      </c>
      <c r="F40" s="150" t="str">
        <f t="shared" si="0"/>
        <v>MFPL35</v>
      </c>
      <c r="G40" s="150">
        <f>IF(C40="",0,IF(ISNA(MATCH(C40,$F$6:$F$140,0)),MATCH(C40,DMAV_Modell!$G$6:$G$677,0),0))</f>
        <v>0</v>
      </c>
      <c r="H40" s="150">
        <f t="shared" si="1"/>
        <v>0</v>
      </c>
      <c r="I40" s="54"/>
      <c r="J40" s="161"/>
      <c r="K40" s="161"/>
      <c r="M40" s="51" t="s">
        <v>3574</v>
      </c>
      <c r="N40" s="51" t="s">
        <v>3575</v>
      </c>
      <c r="O40" s="51" t="s">
        <v>11</v>
      </c>
      <c r="P40" s="51" t="s">
        <v>949</v>
      </c>
      <c r="Q40" s="51" t="s">
        <v>137</v>
      </c>
      <c r="T40" s="52" t="s">
        <v>136</v>
      </c>
      <c r="V40" s="52" t="s">
        <v>131</v>
      </c>
      <c r="AA40" s="51" t="s">
        <v>5577</v>
      </c>
      <c r="AB40" s="51" t="s">
        <v>5578</v>
      </c>
      <c r="AC40" s="51" t="s">
        <v>5579</v>
      </c>
      <c r="AD40" s="51" t="s">
        <v>949</v>
      </c>
      <c r="AE40" s="51" t="s">
        <v>749</v>
      </c>
      <c r="AH40" s="51" t="s">
        <v>5580</v>
      </c>
      <c r="AJ40" s="52" t="s">
        <v>131</v>
      </c>
      <c r="AO40" s="51" t="s">
        <v>5602</v>
      </c>
      <c r="AP40" s="51" t="s">
        <v>5603</v>
      </c>
      <c r="AQ40" s="51" t="s">
        <v>5604</v>
      </c>
      <c r="AR40" s="51" t="s">
        <v>949</v>
      </c>
      <c r="AS40" s="51" t="s">
        <v>749</v>
      </c>
      <c r="AV40" s="51" t="s">
        <v>5605</v>
      </c>
      <c r="AX40" s="52" t="s">
        <v>131</v>
      </c>
    </row>
    <row r="41" spans="1:50" x14ac:dyDescent="0.25">
      <c r="A41" s="51" t="s">
        <v>5559</v>
      </c>
      <c r="B41" s="51">
        <v>36</v>
      </c>
      <c r="E41" s="54" t="str" cm="1">
        <f t="array" aca="1" ref="E41" ca="1">IF(G41=0,IF(H41=0,"",HYPERLINK("#"&amp;RIGHT(CELL("adresse",OFFSET($P$6,H41-1,0)),LEN(CELL("adresse",OFFSET($P$6,H41-1,0)))),"Definition")),HYPERLINK("#"&amp;RIGHT(CELL("adresse",OFFSET(DMAV_Modell!$Q$6,G41-1,0)),LEN(CELL("adresse",OFFSET(DMAV_Modell!$Q$6,G41-1,0)))-SEARCH("]",CELL("adresse",OFFSET(DMAV_Modell!$Q$6,G41-1,0)))),"Definition"))</f>
        <v/>
      </c>
      <c r="F41" s="150" t="str">
        <f t="shared" si="0"/>
        <v>MFPL36</v>
      </c>
      <c r="G41" s="150">
        <f>IF(C41="",0,IF(ISNA(MATCH(C41,$F$6:$F$140,0)),MATCH(C41,DMAV_Modell!$G$6:$G$677,0),0))</f>
        <v>0</v>
      </c>
      <c r="H41" s="150">
        <f t="shared" si="1"/>
        <v>0</v>
      </c>
      <c r="I41" s="54"/>
      <c r="J41" s="161"/>
      <c r="K41" s="161"/>
      <c r="M41" s="51" t="s">
        <v>3574</v>
      </c>
      <c r="N41" s="51" t="s">
        <v>3575</v>
      </c>
      <c r="O41" s="51" t="s">
        <v>11</v>
      </c>
      <c r="P41" s="51" t="s">
        <v>949</v>
      </c>
      <c r="Q41" s="51" t="s">
        <v>3583</v>
      </c>
      <c r="R41" s="50" t="s">
        <v>950</v>
      </c>
      <c r="T41" s="52" t="s">
        <v>121</v>
      </c>
      <c r="V41" s="52" t="s">
        <v>951</v>
      </c>
      <c r="AA41" s="51" t="s">
        <v>5577</v>
      </c>
      <c r="AB41" s="51" t="s">
        <v>5578</v>
      </c>
      <c r="AC41" s="51" t="s">
        <v>5579</v>
      </c>
      <c r="AD41" s="51" t="s">
        <v>949</v>
      </c>
      <c r="AE41" s="51" t="s">
        <v>3583</v>
      </c>
      <c r="AF41" s="50" t="s">
        <v>950</v>
      </c>
      <c r="AH41" s="51" t="s">
        <v>742</v>
      </c>
      <c r="AJ41" s="52" t="s">
        <v>951</v>
      </c>
      <c r="AO41" s="51" t="s">
        <v>5602</v>
      </c>
      <c r="AP41" s="51" t="s">
        <v>5603</v>
      </c>
      <c r="AQ41" s="51" t="s">
        <v>5604</v>
      </c>
      <c r="AR41" s="51" t="s">
        <v>949</v>
      </c>
      <c r="AS41" s="51" t="s">
        <v>3583</v>
      </c>
      <c r="AT41" s="180" t="s">
        <v>950</v>
      </c>
      <c r="AV41" s="51" t="s">
        <v>742</v>
      </c>
      <c r="AX41" s="52" t="s">
        <v>951</v>
      </c>
    </row>
    <row r="42" spans="1:50" x14ac:dyDescent="0.25">
      <c r="A42" s="51" t="s">
        <v>5559</v>
      </c>
      <c r="B42" s="51">
        <v>37</v>
      </c>
      <c r="E42" s="54" t="str" cm="1">
        <f t="array" aca="1" ref="E42" ca="1">IF(G42=0,IF(H42=0,"",HYPERLINK("#"&amp;RIGHT(CELL("adresse",OFFSET($P$6,H42-1,0)),LEN(CELL("adresse",OFFSET($P$6,H42-1,0)))),"Definition")),HYPERLINK("#"&amp;RIGHT(CELL("adresse",OFFSET(DMAV_Modell!$Q$6,G42-1,0)),LEN(CELL("adresse",OFFSET(DMAV_Modell!$Q$6,G42-1,0)))-SEARCH("]",CELL("adresse",OFFSET(DMAV_Modell!$Q$6,G42-1,0)))),"Definition"))</f>
        <v/>
      </c>
      <c r="F42" s="150" t="str">
        <f t="shared" si="0"/>
        <v>MFPL37</v>
      </c>
      <c r="G42" s="150">
        <f>IF(C42="",0,IF(ISNA(MATCH(C42,$F$6:$F$140,0)),MATCH(C42,DMAV_Modell!$G$6:$G$677,0),0))</f>
        <v>0</v>
      </c>
      <c r="H42" s="150">
        <f t="shared" si="1"/>
        <v>0</v>
      </c>
      <c r="I42" s="54"/>
      <c r="J42" s="161"/>
      <c r="K42" s="161"/>
      <c r="M42" s="51" t="s">
        <v>3574</v>
      </c>
      <c r="N42" s="51" t="s">
        <v>3575</v>
      </c>
      <c r="O42" s="51" t="s">
        <v>11</v>
      </c>
      <c r="P42" s="51" t="s">
        <v>949</v>
      </c>
      <c r="Q42" s="51" t="s">
        <v>3583</v>
      </c>
      <c r="R42" s="50" t="s">
        <v>950</v>
      </c>
      <c r="T42" s="52" t="s">
        <v>123</v>
      </c>
      <c r="V42" s="52" t="s">
        <v>952</v>
      </c>
      <c r="AA42" s="51" t="s">
        <v>5577</v>
      </c>
      <c r="AB42" s="51" t="s">
        <v>5578</v>
      </c>
      <c r="AC42" s="51" t="s">
        <v>5579</v>
      </c>
      <c r="AD42" s="51" t="s">
        <v>949</v>
      </c>
      <c r="AE42" s="51" t="s">
        <v>3583</v>
      </c>
      <c r="AF42" s="50" t="s">
        <v>950</v>
      </c>
      <c r="AH42" s="51" t="s">
        <v>123</v>
      </c>
      <c r="AJ42" s="52" t="s">
        <v>952</v>
      </c>
      <c r="AO42" s="51" t="s">
        <v>5602</v>
      </c>
      <c r="AP42" s="51" t="s">
        <v>5603</v>
      </c>
      <c r="AQ42" s="51" t="s">
        <v>5604</v>
      </c>
      <c r="AR42" s="51" t="s">
        <v>949</v>
      </c>
      <c r="AS42" s="51" t="s">
        <v>3583</v>
      </c>
      <c r="AT42" s="180" t="s">
        <v>950</v>
      </c>
      <c r="AV42" s="51" t="s">
        <v>1247</v>
      </c>
      <c r="AX42" s="52" t="s">
        <v>952</v>
      </c>
    </row>
    <row r="43" spans="1:50" x14ac:dyDescent="0.25">
      <c r="A43" s="51" t="s">
        <v>5559</v>
      </c>
      <c r="B43" s="51">
        <v>38</v>
      </c>
      <c r="C43" s="51" t="s">
        <v>3829</v>
      </c>
      <c r="E43" s="54" t="str" cm="1">
        <f t="array" aca="1" ref="E43" ca="1">IF(G43=0,IF(H43=0,"",HYPERLINK("#"&amp;RIGHT(CELL("adresse",OFFSET($P$6,H43-1,0)),LEN(CELL("adresse",OFFSET($P$6,H43-1,0)))),"Definition")),HYPERLINK("#"&amp;RIGHT(CELL("adresse",OFFSET(DMAV_Modell!$Q$6,G43-1,0)),LEN(CELL("adresse",OFFSET(DMAV_Modell!$Q$6,G43-1,0)))-SEARCH("]",CELL("adresse",OFFSET(DMAV_Modell!$Q$6,G43-1,0)))),"Definition"))</f>
        <v>Definition</v>
      </c>
      <c r="F43" s="150" t="str">
        <f t="shared" si="0"/>
        <v>MFPL38</v>
      </c>
      <c r="G43" s="150">
        <f>IF(C43="",0,IF(ISNA(MATCH(C43,$F$6:$F$140,0)),MATCH(C43,DMAV_Modell!$G$6:$G$677,0),0))</f>
        <v>17</v>
      </c>
      <c r="H43" s="150">
        <f t="shared" si="1"/>
        <v>0</v>
      </c>
      <c r="I43" s="54"/>
      <c r="J43" s="161"/>
      <c r="K43" s="161"/>
      <c r="M43" s="51" t="s">
        <v>3574</v>
      </c>
      <c r="N43" s="51" t="s">
        <v>3575</v>
      </c>
      <c r="O43" s="51" t="s">
        <v>11</v>
      </c>
      <c r="P43" s="51" t="s">
        <v>949</v>
      </c>
      <c r="Q43" s="51" t="s">
        <v>3583</v>
      </c>
      <c r="R43" s="50" t="s">
        <v>950</v>
      </c>
      <c r="T43" s="52" t="s">
        <v>125</v>
      </c>
      <c r="V43" s="52" t="s">
        <v>953</v>
      </c>
      <c r="AA43" s="51" t="s">
        <v>5577</v>
      </c>
      <c r="AB43" s="51" t="s">
        <v>5578</v>
      </c>
      <c r="AC43" s="51" t="s">
        <v>5579</v>
      </c>
      <c r="AD43" s="51" t="s">
        <v>949</v>
      </c>
      <c r="AE43" s="51" t="s">
        <v>3583</v>
      </c>
      <c r="AF43" s="50" t="s">
        <v>950</v>
      </c>
      <c r="AH43" s="51" t="s">
        <v>743</v>
      </c>
      <c r="AJ43" s="52" t="s">
        <v>4017</v>
      </c>
      <c r="AO43" s="51" t="s">
        <v>5602</v>
      </c>
      <c r="AP43" s="51" t="s">
        <v>5603</v>
      </c>
      <c r="AQ43" s="51" t="s">
        <v>5604</v>
      </c>
      <c r="AR43" s="51" t="s">
        <v>949</v>
      </c>
      <c r="AS43" s="51" t="s">
        <v>3583</v>
      </c>
      <c r="AT43" s="180" t="s">
        <v>950</v>
      </c>
      <c r="AV43" s="51" t="s">
        <v>4018</v>
      </c>
      <c r="AX43" s="52" t="s">
        <v>4019</v>
      </c>
    </row>
    <row r="44" spans="1:50" x14ac:dyDescent="0.25">
      <c r="A44" s="51" t="s">
        <v>5559</v>
      </c>
      <c r="B44" s="51">
        <v>39</v>
      </c>
      <c r="E44" s="54" t="str" cm="1">
        <f t="array" aca="1" ref="E44" ca="1">IF(G44=0,IF(H44=0,"",HYPERLINK("#"&amp;RIGHT(CELL("adresse",OFFSET($P$6,H44-1,0)),LEN(CELL("adresse",OFFSET($P$6,H44-1,0)))),"Definition")),HYPERLINK("#"&amp;RIGHT(CELL("adresse",OFFSET(DMAV_Modell!$Q$6,G44-1,0)),LEN(CELL("adresse",OFFSET(DMAV_Modell!$Q$6,G44-1,0)))-SEARCH("]",CELL("adresse",OFFSET(DMAV_Modell!$Q$6,G44-1,0)))),"Definition"))</f>
        <v/>
      </c>
      <c r="F44" s="150" t="str">
        <f t="shared" si="0"/>
        <v>MFPL39</v>
      </c>
      <c r="G44" s="150">
        <f>IF(C44="",0,IF(ISNA(MATCH(C44,$F$6:$F$140,0)),MATCH(C44,DMAV_Modell!$G$6:$G$677,0),0))</f>
        <v>0</v>
      </c>
      <c r="H44" s="150">
        <f t="shared" si="1"/>
        <v>0</v>
      </c>
      <c r="I44" s="54"/>
      <c r="J44" s="161"/>
      <c r="K44" s="161"/>
      <c r="M44" s="51" t="s">
        <v>3574</v>
      </c>
      <c r="N44" s="51" t="s">
        <v>3575</v>
      </c>
      <c r="O44" s="51" t="s">
        <v>11</v>
      </c>
      <c r="P44" s="51" t="s">
        <v>949</v>
      </c>
      <c r="Q44" s="51" t="s">
        <v>3583</v>
      </c>
      <c r="T44" s="52" t="s">
        <v>3584</v>
      </c>
      <c r="V44" s="52" t="s">
        <v>3585</v>
      </c>
      <c r="AA44" s="51" t="s">
        <v>5577</v>
      </c>
      <c r="AB44" s="51" t="s">
        <v>5578</v>
      </c>
      <c r="AC44" s="51" t="s">
        <v>5579</v>
      </c>
      <c r="AD44" s="51" t="s">
        <v>949</v>
      </c>
      <c r="AE44" s="51" t="s">
        <v>3583</v>
      </c>
      <c r="AH44" s="51" t="s">
        <v>3584</v>
      </c>
      <c r="AJ44" s="52" t="s">
        <v>3585</v>
      </c>
      <c r="AO44" s="51" t="s">
        <v>5602</v>
      </c>
      <c r="AP44" s="51" t="s">
        <v>5603</v>
      </c>
      <c r="AQ44" s="51" t="s">
        <v>5604</v>
      </c>
      <c r="AR44" s="51" t="s">
        <v>949</v>
      </c>
      <c r="AS44" s="51" t="s">
        <v>3583</v>
      </c>
      <c r="AV44" s="51" t="s">
        <v>3584</v>
      </c>
      <c r="AX44" s="52" t="s">
        <v>3585</v>
      </c>
    </row>
    <row r="45" spans="1:50" x14ac:dyDescent="0.25">
      <c r="A45" s="51" t="s">
        <v>5559</v>
      </c>
      <c r="B45" s="51">
        <v>40</v>
      </c>
      <c r="E45" s="54" t="str" cm="1">
        <f t="array" aca="1" ref="E45" ca="1">IF(G45=0,IF(H45=0,"",HYPERLINK("#"&amp;RIGHT(CELL("adresse",OFFSET($P$6,H45-1,0)),LEN(CELL("adresse",OFFSET($P$6,H45-1,0)))),"Definition")),HYPERLINK("#"&amp;RIGHT(CELL("adresse",OFFSET(DMAV_Modell!$Q$6,G45-1,0)),LEN(CELL("adresse",OFFSET(DMAV_Modell!$Q$6,G45-1,0)))-SEARCH("]",CELL("adresse",OFFSET(DMAV_Modell!$Q$6,G45-1,0)))),"Definition"))</f>
        <v/>
      </c>
      <c r="F45" s="150" t="str">
        <f t="shared" si="0"/>
        <v>MFPL40</v>
      </c>
      <c r="G45" s="150">
        <f>IF(C45="",0,IF(ISNA(MATCH(C45,$F$6:$F$140,0)),MATCH(C45,DMAV_Modell!$G$6:$G$677,0),0))</f>
        <v>0</v>
      </c>
      <c r="H45" s="150">
        <f t="shared" si="1"/>
        <v>0</v>
      </c>
      <c r="I45" s="54"/>
      <c r="J45" s="161"/>
      <c r="K45" s="161"/>
      <c r="M45" s="51" t="s">
        <v>3574</v>
      </c>
      <c r="N45" s="51" t="s">
        <v>3575</v>
      </c>
      <c r="O45" s="51" t="s">
        <v>11</v>
      </c>
      <c r="P45" s="51" t="s">
        <v>949</v>
      </c>
      <c r="Q45" s="51" t="s">
        <v>3583</v>
      </c>
      <c r="T45" s="52" t="s">
        <v>3586</v>
      </c>
      <c r="V45" s="52" t="s">
        <v>3587</v>
      </c>
      <c r="AA45" s="51" t="s">
        <v>5577</v>
      </c>
      <c r="AB45" s="51" t="s">
        <v>5578</v>
      </c>
      <c r="AC45" s="51" t="s">
        <v>5579</v>
      </c>
      <c r="AD45" s="51" t="s">
        <v>949</v>
      </c>
      <c r="AE45" s="51" t="s">
        <v>3583</v>
      </c>
      <c r="AH45" s="51" t="s">
        <v>3586</v>
      </c>
      <c r="AJ45" s="52" t="s">
        <v>3587</v>
      </c>
      <c r="AO45" s="51" t="s">
        <v>5602</v>
      </c>
      <c r="AP45" s="51" t="s">
        <v>5603</v>
      </c>
      <c r="AQ45" s="51" t="s">
        <v>5604</v>
      </c>
      <c r="AR45" s="51" t="s">
        <v>949</v>
      </c>
      <c r="AS45" s="51" t="s">
        <v>3583</v>
      </c>
      <c r="AV45" s="51" t="s">
        <v>3586</v>
      </c>
      <c r="AX45" s="52" t="s">
        <v>3587</v>
      </c>
    </row>
    <row r="46" spans="1:50" x14ac:dyDescent="0.25">
      <c r="A46" s="51" t="s">
        <v>5559</v>
      </c>
      <c r="B46" s="51">
        <v>41</v>
      </c>
      <c r="E46" s="54" t="str" cm="1">
        <f t="array" aca="1" ref="E46" ca="1">IF(G46=0,IF(H46=0,"",HYPERLINK("#"&amp;RIGHT(CELL("adresse",OFFSET($P$6,H46-1,0)),LEN(CELL("adresse",OFFSET($P$6,H46-1,0)))),"Definition")),HYPERLINK("#"&amp;RIGHT(CELL("adresse",OFFSET(DMAV_Modell!$Q$6,G46-1,0)),LEN(CELL("adresse",OFFSET(DMAV_Modell!$Q$6,G46-1,0)))-SEARCH("]",CELL("adresse",OFFSET(DMAV_Modell!$Q$6,G46-1,0)))),"Definition"))</f>
        <v/>
      </c>
      <c r="F46" s="150" t="str">
        <f t="shared" si="0"/>
        <v>MFPL41</v>
      </c>
      <c r="G46" s="150">
        <f>IF(C46="",0,IF(ISNA(MATCH(C46,$F$6:$F$140,0)),MATCH(C46,DMAV_Modell!$G$6:$G$677,0),0))</f>
        <v>0</v>
      </c>
      <c r="H46" s="150">
        <f t="shared" si="1"/>
        <v>0</v>
      </c>
      <c r="I46" s="54"/>
      <c r="J46" s="161"/>
      <c r="K46" s="161"/>
      <c r="M46" s="51" t="s">
        <v>3574</v>
      </c>
      <c r="N46" s="51" t="s">
        <v>3575</v>
      </c>
      <c r="O46" s="51" t="s">
        <v>11</v>
      </c>
      <c r="P46" s="51" t="s">
        <v>949</v>
      </c>
      <c r="Q46" s="51" t="s">
        <v>3583</v>
      </c>
      <c r="T46" s="52" t="s">
        <v>3588</v>
      </c>
      <c r="V46" s="52" t="s">
        <v>3589</v>
      </c>
      <c r="AA46" s="51" t="s">
        <v>5577</v>
      </c>
      <c r="AB46" s="51" t="s">
        <v>5578</v>
      </c>
      <c r="AC46" s="51" t="s">
        <v>5579</v>
      </c>
      <c r="AD46" s="51" t="s">
        <v>949</v>
      </c>
      <c r="AE46" s="51" t="s">
        <v>3583</v>
      </c>
      <c r="AH46" s="51" t="s">
        <v>3588</v>
      </c>
      <c r="AJ46" s="52" t="s">
        <v>3589</v>
      </c>
      <c r="AO46" s="51" t="s">
        <v>5602</v>
      </c>
      <c r="AP46" s="51" t="s">
        <v>5603</v>
      </c>
      <c r="AQ46" s="51" t="s">
        <v>5604</v>
      </c>
      <c r="AR46" s="51" t="s">
        <v>949</v>
      </c>
      <c r="AS46" s="51" t="s">
        <v>3583</v>
      </c>
      <c r="AV46" s="51" t="s">
        <v>3588</v>
      </c>
      <c r="AX46" s="52" t="s">
        <v>3589</v>
      </c>
    </row>
    <row r="47" spans="1:50" x14ac:dyDescent="0.25">
      <c r="A47" s="51" t="s">
        <v>5559</v>
      </c>
      <c r="B47" s="51">
        <v>42</v>
      </c>
      <c r="E47" s="54" t="str" cm="1">
        <f t="array" aca="1" ref="E47" ca="1">IF(G47=0,IF(H47=0,"",HYPERLINK("#"&amp;RIGHT(CELL("adresse",OFFSET($P$6,H47-1,0)),LEN(CELL("adresse",OFFSET($P$6,H47-1,0)))),"Definition")),HYPERLINK("#"&amp;RIGHT(CELL("adresse",OFFSET(DMAV_Modell!$Q$6,G47-1,0)),LEN(CELL("adresse",OFFSET(DMAV_Modell!$Q$6,G47-1,0)))-SEARCH("]",CELL("adresse",OFFSET(DMAV_Modell!$Q$6,G47-1,0)))),"Definition"))</f>
        <v/>
      </c>
      <c r="F47" s="150" t="str">
        <f t="shared" si="0"/>
        <v>MFPL42</v>
      </c>
      <c r="G47" s="150">
        <f>IF(C47="",0,IF(ISNA(MATCH(C47,$F$6:$F$140,0)),MATCH(C47,DMAV_Modell!$G$6:$G$677,0),0))</f>
        <v>0</v>
      </c>
      <c r="H47" s="150">
        <f t="shared" si="1"/>
        <v>0</v>
      </c>
      <c r="I47" s="54"/>
      <c r="J47" s="161"/>
      <c r="K47" s="161"/>
      <c r="M47" s="51" t="s">
        <v>3574</v>
      </c>
      <c r="N47" s="51" t="s">
        <v>3575</v>
      </c>
      <c r="O47" s="51" t="s">
        <v>11</v>
      </c>
      <c r="P47" s="51" t="s">
        <v>949</v>
      </c>
      <c r="Q47" s="51" t="s">
        <v>3583</v>
      </c>
      <c r="T47" s="52" t="s">
        <v>3590</v>
      </c>
      <c r="V47" s="52" t="s">
        <v>3591</v>
      </c>
      <c r="AA47" s="51" t="s">
        <v>5577</v>
      </c>
      <c r="AB47" s="51" t="s">
        <v>5578</v>
      </c>
      <c r="AC47" s="51" t="s">
        <v>5579</v>
      </c>
      <c r="AD47" s="51" t="s">
        <v>949</v>
      </c>
      <c r="AE47" s="51" t="s">
        <v>3583</v>
      </c>
      <c r="AH47" s="51" t="s">
        <v>3590</v>
      </c>
      <c r="AJ47" s="52" t="s">
        <v>3591</v>
      </c>
      <c r="AO47" s="51" t="s">
        <v>5602</v>
      </c>
      <c r="AP47" s="51" t="s">
        <v>5603</v>
      </c>
      <c r="AQ47" s="51" t="s">
        <v>5604</v>
      </c>
      <c r="AR47" s="51" t="s">
        <v>949</v>
      </c>
      <c r="AS47" s="51" t="s">
        <v>3583</v>
      </c>
      <c r="AV47" s="51" t="s">
        <v>3590</v>
      </c>
      <c r="AX47" s="52" t="s">
        <v>3591</v>
      </c>
    </row>
    <row r="48" spans="1:50" x14ac:dyDescent="0.25">
      <c r="A48" s="51" t="s">
        <v>5559</v>
      </c>
      <c r="B48" s="51">
        <v>43</v>
      </c>
      <c r="E48" s="54" t="str" cm="1">
        <f t="array" aca="1" ref="E48" ca="1">IF(G48=0,IF(H48=0,"",HYPERLINK("#"&amp;RIGHT(CELL("adresse",OFFSET($P$6,H48-1,0)),LEN(CELL("adresse",OFFSET($P$6,H48-1,0)))),"Definition")),HYPERLINK("#"&amp;RIGHT(CELL("adresse",OFFSET(DMAV_Modell!$Q$6,G48-1,0)),LEN(CELL("adresse",OFFSET(DMAV_Modell!$Q$6,G48-1,0)))-SEARCH("]",CELL("adresse",OFFSET(DMAV_Modell!$Q$6,G48-1,0)))),"Definition"))</f>
        <v/>
      </c>
      <c r="F48" s="150" t="str">
        <f t="shared" si="0"/>
        <v>MFPL43</v>
      </c>
      <c r="G48" s="150">
        <f>IF(C48="",0,IF(ISNA(MATCH(C48,$F$6:$F$140,0)),MATCH(C48,DMAV_Modell!$G$6:$G$677,0),0))</f>
        <v>0</v>
      </c>
      <c r="H48" s="150">
        <f t="shared" si="1"/>
        <v>0</v>
      </c>
      <c r="I48" s="54"/>
      <c r="J48" s="161"/>
      <c r="K48" s="161"/>
      <c r="M48" s="51" t="s">
        <v>3574</v>
      </c>
      <c r="N48" s="51" t="s">
        <v>3575</v>
      </c>
      <c r="O48" s="51" t="s">
        <v>11</v>
      </c>
      <c r="P48" s="51" t="s">
        <v>949</v>
      </c>
      <c r="Q48" s="51" t="s">
        <v>3583</v>
      </c>
      <c r="T48" s="52" t="s">
        <v>3592</v>
      </c>
      <c r="V48" s="52" t="s">
        <v>3593</v>
      </c>
      <c r="AA48" s="51" t="s">
        <v>5577</v>
      </c>
      <c r="AB48" s="51" t="s">
        <v>5578</v>
      </c>
      <c r="AC48" s="51" t="s">
        <v>5579</v>
      </c>
      <c r="AD48" s="51" t="s">
        <v>949</v>
      </c>
      <c r="AE48" s="51" t="s">
        <v>3583</v>
      </c>
      <c r="AH48" s="51" t="s">
        <v>3592</v>
      </c>
      <c r="AJ48" s="52" t="s">
        <v>3593</v>
      </c>
      <c r="AO48" s="51" t="s">
        <v>5602</v>
      </c>
      <c r="AP48" s="51" t="s">
        <v>5603</v>
      </c>
      <c r="AQ48" s="51" t="s">
        <v>5604</v>
      </c>
      <c r="AR48" s="51" t="s">
        <v>949</v>
      </c>
      <c r="AS48" s="51" t="s">
        <v>3583</v>
      </c>
      <c r="AV48" s="51" t="s">
        <v>3592</v>
      </c>
      <c r="AX48" s="52" t="s">
        <v>3593</v>
      </c>
    </row>
    <row r="49" spans="1:50" x14ac:dyDescent="0.25">
      <c r="A49" s="51" t="s">
        <v>5559</v>
      </c>
      <c r="B49" s="51">
        <v>44</v>
      </c>
      <c r="E49" s="54" t="str" cm="1">
        <f t="array" aca="1" ref="E49" ca="1">IF(G49=0,IF(H49=0,"",HYPERLINK("#"&amp;RIGHT(CELL("adresse",OFFSET($P$6,H49-1,0)),LEN(CELL("adresse",OFFSET($P$6,H49-1,0)))),"Definition")),HYPERLINK("#"&amp;RIGHT(CELL("adresse",OFFSET(DMAV_Modell!$Q$6,G49-1,0)),LEN(CELL("adresse",OFFSET(DMAV_Modell!$Q$6,G49-1,0)))-SEARCH("]",CELL("adresse",OFFSET(DMAV_Modell!$Q$6,G49-1,0)))),"Definition"))</f>
        <v/>
      </c>
      <c r="F49" s="150" t="str">
        <f t="shared" si="0"/>
        <v>MFPL44</v>
      </c>
      <c r="G49" s="150">
        <f>IF(C49="",0,IF(ISNA(MATCH(C49,$F$6:$F$140,0)),MATCH(C49,DMAV_Modell!$G$6:$G$677,0),0))</f>
        <v>0</v>
      </c>
      <c r="H49" s="150">
        <f t="shared" si="1"/>
        <v>0</v>
      </c>
      <c r="I49" s="54"/>
      <c r="J49" s="161"/>
      <c r="K49" s="161"/>
      <c r="M49" s="51" t="s">
        <v>3574</v>
      </c>
      <c r="N49" s="51" t="s">
        <v>3575</v>
      </c>
      <c r="O49" s="51" t="s">
        <v>11</v>
      </c>
      <c r="P49" s="51" t="s">
        <v>949</v>
      </c>
      <c r="Q49" s="51" t="s">
        <v>3583</v>
      </c>
      <c r="T49" s="52" t="s">
        <v>3563</v>
      </c>
      <c r="V49" s="52" t="s">
        <v>956</v>
      </c>
      <c r="AA49" s="51" t="s">
        <v>5577</v>
      </c>
      <c r="AB49" s="51" t="s">
        <v>5578</v>
      </c>
      <c r="AC49" s="51" t="s">
        <v>5579</v>
      </c>
      <c r="AD49" s="51" t="s">
        <v>949</v>
      </c>
      <c r="AE49" s="51" t="s">
        <v>3583</v>
      </c>
      <c r="AH49" s="51" t="s">
        <v>5581</v>
      </c>
      <c r="AJ49" s="52" t="s">
        <v>956</v>
      </c>
      <c r="AO49" s="51" t="s">
        <v>5602</v>
      </c>
      <c r="AP49" s="51" t="s">
        <v>5603</v>
      </c>
      <c r="AQ49" s="51" t="s">
        <v>5604</v>
      </c>
      <c r="AR49" s="51" t="s">
        <v>949</v>
      </c>
      <c r="AS49" s="51" t="s">
        <v>3583</v>
      </c>
      <c r="AV49" s="51" t="s">
        <v>5606</v>
      </c>
      <c r="AX49" s="52" t="s">
        <v>956</v>
      </c>
    </row>
    <row r="50" spans="1:50" ht="38.25" x14ac:dyDescent="0.25">
      <c r="A50" s="51" t="s">
        <v>5559</v>
      </c>
      <c r="B50" s="51">
        <v>45</v>
      </c>
      <c r="E50" s="54" t="str" cm="1">
        <f t="array" aca="1" ref="E50" ca="1">IF(G50=0,IF(H50=0,"",HYPERLINK("#"&amp;RIGHT(CELL("adresse",OFFSET($P$6,H50-1,0)),LEN(CELL("adresse",OFFSET($P$6,H50-1,0)))),"Definition")),HYPERLINK("#"&amp;RIGHT(CELL("adresse",OFFSET(DMAV_Modell!$Q$6,G50-1,0)),LEN(CELL("adresse",OFFSET(DMAV_Modell!$Q$6,G50-1,0)))-SEARCH("]",CELL("adresse",OFFSET(DMAV_Modell!$Q$6,G50-1,0)))),"Definition"))</f>
        <v/>
      </c>
      <c r="F50" s="150" t="str">
        <f t="shared" si="0"/>
        <v>MFPL45</v>
      </c>
      <c r="G50" s="150">
        <f>IF(C50="",0,IF(ISNA(MATCH(C50,$F$6:$F$140,0)),MATCH(C50,DMAV_Modell!$G$6:$G$677,0),0))</f>
        <v>0</v>
      </c>
      <c r="H50" s="150">
        <f t="shared" si="1"/>
        <v>0</v>
      </c>
      <c r="I50" s="54"/>
      <c r="J50" s="161"/>
      <c r="K50" s="161"/>
      <c r="M50" s="51" t="s">
        <v>3574</v>
      </c>
      <c r="N50" s="51" t="s">
        <v>3575</v>
      </c>
      <c r="O50" s="51" t="s">
        <v>11</v>
      </c>
      <c r="P50" s="51" t="s">
        <v>949</v>
      </c>
      <c r="Q50" s="51" t="s">
        <v>3583</v>
      </c>
      <c r="T50" s="52" t="s">
        <v>1539</v>
      </c>
      <c r="V50" s="52" t="s">
        <v>3594</v>
      </c>
      <c r="AA50" s="51" t="s">
        <v>5577</v>
      </c>
      <c r="AB50" s="51" t="s">
        <v>5578</v>
      </c>
      <c r="AC50" s="51" t="s">
        <v>5579</v>
      </c>
      <c r="AD50" s="51" t="s">
        <v>949</v>
      </c>
      <c r="AE50" s="51" t="s">
        <v>3583</v>
      </c>
      <c r="AH50" s="51" t="s">
        <v>1538</v>
      </c>
      <c r="AJ50" s="164" t="s">
        <v>5629</v>
      </c>
      <c r="AO50" s="51" t="s">
        <v>5602</v>
      </c>
      <c r="AP50" s="51" t="s">
        <v>5603</v>
      </c>
      <c r="AQ50" s="51" t="s">
        <v>5604</v>
      </c>
      <c r="AR50" s="51" t="s">
        <v>949</v>
      </c>
      <c r="AS50" s="51" t="s">
        <v>3583</v>
      </c>
      <c r="AV50" s="51" t="s">
        <v>1536</v>
      </c>
      <c r="AX50" s="164" t="s">
        <v>5636</v>
      </c>
    </row>
    <row r="51" spans="1:50" x14ac:dyDescent="0.25">
      <c r="A51" s="185" t="s">
        <v>5704</v>
      </c>
      <c r="B51" s="51">
        <v>1</v>
      </c>
      <c r="E51" s="54" t="str" cm="1">
        <f t="array" aca="1" ref="E51" ca="1">IF(G51=0,IF(H51=0,"",HYPERLINK("#"&amp;RIGHT(CELL("adresse",OFFSET($P$6,H51-1,0)),LEN(CELL("adresse",OFFSET($P$6,H51-1,0)))),"Definition")),HYPERLINK("#"&amp;RIGHT(CELL("adresse",OFFSET(DMAV_Modell!$Q$6,G51-1,0)),LEN(CELL("adresse",OFFSET(DMAV_Modell!$Q$6,G51-1,0)))-SEARCH("]",CELL("adresse",OFFSET(DMAV_Modell!$Q$6,G51-1,0)))),"Definition"))</f>
        <v/>
      </c>
      <c r="F51" s="150" t="str">
        <f t="shared" si="0"/>
        <v>MHHL1</v>
      </c>
      <c r="G51" s="150">
        <f>IF(C51="",0,IF(ISNA(MATCH(C51,$F$6:$F$140,0)),MATCH(C51,DMAV_Modell!$G$6:$G$677,0),0))</f>
        <v>0</v>
      </c>
      <c r="H51" s="150">
        <f t="shared" si="1"/>
        <v>0</v>
      </c>
      <c r="I51" s="54"/>
      <c r="J51" s="161"/>
      <c r="K51" s="161"/>
      <c r="M51" s="51" t="s">
        <v>3601</v>
      </c>
      <c r="N51" s="51" t="s">
        <v>3602</v>
      </c>
      <c r="P51" s="51" t="s">
        <v>910</v>
      </c>
      <c r="Q51" s="51" t="s">
        <v>932</v>
      </c>
      <c r="V51" s="52"/>
      <c r="AA51" s="51" t="s">
        <v>5585</v>
      </c>
      <c r="AB51" s="51" t="s">
        <v>5586</v>
      </c>
      <c r="AD51" s="51" t="s">
        <v>910</v>
      </c>
      <c r="AE51" s="51" t="s">
        <v>932</v>
      </c>
      <c r="AO51" s="51" t="s">
        <v>5610</v>
      </c>
      <c r="AP51" s="51" t="s">
        <v>5611</v>
      </c>
      <c r="AR51" s="51" t="s">
        <v>910</v>
      </c>
      <c r="AS51" s="51" t="s">
        <v>932</v>
      </c>
    </row>
    <row r="52" spans="1:50" x14ac:dyDescent="0.25">
      <c r="A52" s="185" t="s">
        <v>5704</v>
      </c>
      <c r="B52" s="51">
        <v>2</v>
      </c>
      <c r="E52" s="54" t="str" cm="1">
        <f t="array" aca="1" ref="E52" ca="1">IF(G52=0,IF(H52=0,"",HYPERLINK("#"&amp;RIGHT(CELL("adresse",OFFSET($P$6,H52-1,0)),LEN(CELL("adresse",OFFSET($P$6,H52-1,0)))),"Definition")),HYPERLINK("#"&amp;RIGHT(CELL("adresse",OFFSET(DMAV_Modell!$Q$6,G52-1,0)),LEN(CELL("adresse",OFFSET(DMAV_Modell!$Q$6,G52-1,0)))-SEARCH("]",CELL("adresse",OFFSET(DMAV_Modell!$Q$6,G52-1,0)))),"Definition"))</f>
        <v/>
      </c>
      <c r="F52" s="150" t="str">
        <f t="shared" si="0"/>
        <v>MHHL2</v>
      </c>
      <c r="G52" s="150">
        <f>IF(C52="",0,IF(ISNA(MATCH(C52,$F$6:$F$140,0)),MATCH(C52,DMAV_Modell!$G$6:$G$677,0),0))</f>
        <v>0</v>
      </c>
      <c r="H52" s="150">
        <f t="shared" si="1"/>
        <v>0</v>
      </c>
      <c r="I52" s="54"/>
      <c r="J52" s="161"/>
      <c r="K52" s="161"/>
      <c r="M52" s="51" t="s">
        <v>3601</v>
      </c>
      <c r="N52" s="51" t="s">
        <v>3602</v>
      </c>
      <c r="O52" s="51" t="s">
        <v>14</v>
      </c>
      <c r="P52" s="51" t="s">
        <v>949</v>
      </c>
      <c r="Q52" s="51" t="s">
        <v>197</v>
      </c>
      <c r="R52" s="50" t="s">
        <v>950</v>
      </c>
      <c r="T52" s="52" t="s">
        <v>123</v>
      </c>
      <c r="V52" s="52" t="s">
        <v>990</v>
      </c>
      <c r="X52" s="164" t="s">
        <v>1764</v>
      </c>
      <c r="AA52" s="51" t="s">
        <v>5585</v>
      </c>
      <c r="AB52" s="51" t="s">
        <v>5586</v>
      </c>
      <c r="AC52" s="51" t="s">
        <v>5587</v>
      </c>
      <c r="AD52" s="51" t="s">
        <v>949</v>
      </c>
      <c r="AE52" s="51" t="s">
        <v>5588</v>
      </c>
      <c r="AF52" s="50" t="s">
        <v>950</v>
      </c>
      <c r="AH52" s="51" t="s">
        <v>123</v>
      </c>
      <c r="AJ52" s="52" t="s">
        <v>990</v>
      </c>
      <c r="AO52" s="51" t="s">
        <v>5610</v>
      </c>
      <c r="AP52" s="51" t="s">
        <v>5611</v>
      </c>
      <c r="AQ52" s="51" t="s">
        <v>5612</v>
      </c>
      <c r="AR52" s="51" t="s">
        <v>949</v>
      </c>
      <c r="AS52" s="51" t="s">
        <v>5613</v>
      </c>
      <c r="AT52" s="180" t="s">
        <v>950</v>
      </c>
      <c r="AV52" s="51" t="s">
        <v>1247</v>
      </c>
      <c r="AX52" s="52" t="s">
        <v>990</v>
      </c>
    </row>
    <row r="53" spans="1:50" x14ac:dyDescent="0.25">
      <c r="A53" s="185" t="s">
        <v>5704</v>
      </c>
      <c r="B53" s="51">
        <v>3</v>
      </c>
      <c r="E53" s="54" t="str" cm="1">
        <f t="array" aca="1" ref="E53" ca="1">IF(G53=0,IF(H53=0,"",HYPERLINK("#"&amp;RIGHT(CELL("adresse",OFFSET($P$6,H53-1,0)),LEN(CELL("adresse",OFFSET($P$6,H53-1,0)))),"Definition")),HYPERLINK("#"&amp;RIGHT(CELL("adresse",OFFSET(DMAV_Modell!$Q$6,G53-1,0)),LEN(CELL("adresse",OFFSET(DMAV_Modell!$Q$6,G53-1,0)))-SEARCH("]",CELL("adresse",OFFSET(DMAV_Modell!$Q$6,G53-1,0)))),"Definition"))</f>
        <v/>
      </c>
      <c r="F53" s="150" t="str">
        <f t="shared" si="0"/>
        <v>MHHL3</v>
      </c>
      <c r="G53" s="150">
        <f>IF(C53="",0,IF(ISNA(MATCH(C53,$F$6:$F$140,0)),MATCH(C53,DMAV_Modell!$G$6:$G$677,0),0))</f>
        <v>0</v>
      </c>
      <c r="H53" s="150">
        <f t="shared" si="1"/>
        <v>0</v>
      </c>
      <c r="I53" s="54"/>
      <c r="J53" s="161"/>
      <c r="K53" s="161"/>
      <c r="M53" s="51" t="s">
        <v>3601</v>
      </c>
      <c r="N53" s="51" t="s">
        <v>3602</v>
      </c>
      <c r="O53" s="51" t="s">
        <v>14</v>
      </c>
      <c r="P53" s="51" t="s">
        <v>949</v>
      </c>
      <c r="Q53" s="51" t="s">
        <v>197</v>
      </c>
      <c r="R53" s="50" t="s">
        <v>950</v>
      </c>
      <c r="T53" s="52" t="s">
        <v>193</v>
      </c>
      <c r="V53" s="164" t="s">
        <v>2789</v>
      </c>
      <c r="AA53" s="51" t="s">
        <v>5585</v>
      </c>
      <c r="AB53" s="51" t="s">
        <v>5586</v>
      </c>
      <c r="AC53" s="51" t="s">
        <v>5587</v>
      </c>
      <c r="AD53" s="51" t="s">
        <v>949</v>
      </c>
      <c r="AE53" s="51" t="s">
        <v>5588</v>
      </c>
      <c r="AF53" s="50" t="s">
        <v>950</v>
      </c>
      <c r="AH53" s="51" t="s">
        <v>769</v>
      </c>
      <c r="AJ53" s="164" t="s">
        <v>5630</v>
      </c>
      <c r="AO53" s="51" t="s">
        <v>5610</v>
      </c>
      <c r="AP53" s="51" t="s">
        <v>5611</v>
      </c>
      <c r="AQ53" s="51" t="s">
        <v>5612</v>
      </c>
      <c r="AR53" s="51" t="s">
        <v>949</v>
      </c>
      <c r="AS53" s="51" t="s">
        <v>5613</v>
      </c>
      <c r="AT53" s="180" t="s">
        <v>950</v>
      </c>
      <c r="AV53" s="51" t="s">
        <v>1515</v>
      </c>
      <c r="AX53" s="164" t="s">
        <v>5635</v>
      </c>
    </row>
    <row r="54" spans="1:50" x14ac:dyDescent="0.25">
      <c r="A54" s="51" t="s">
        <v>5560</v>
      </c>
      <c r="B54" s="51">
        <v>1</v>
      </c>
      <c r="E54" s="54" t="str" cm="1">
        <f t="array" aca="1" ref="E54" ca="1">IF(G54=0,IF(H54=0,"",HYPERLINK("#"&amp;RIGHT(CELL("adresse",OFFSET($P$6,H54-1,0)),LEN(CELL("adresse",OFFSET($P$6,H54-1,0)))),"Definition")),HYPERLINK("#"&amp;RIGHT(CELL("adresse",OFFSET(DMAV_Modell!$Q$6,G54-1,0)),LEN(CELL("adresse",OFFSET(DMAV_Modell!$Q$6,G54-1,0)))-SEARCH("]",CELL("adresse",OFFSET(DMAV_Modell!$Q$6,G54-1,0)))),"Definition"))</f>
        <v/>
      </c>
      <c r="F54" s="150" t="str">
        <f t="shared" si="0"/>
        <v>MAOV1</v>
      </c>
      <c r="G54" s="150">
        <f>IF(C54="",0,IF(ISNA(MATCH(C54,$F$6:$F$140,0)),MATCH(C54,DMAV_Modell!$G$6:$G$677,0),0))</f>
        <v>0</v>
      </c>
      <c r="H54" s="150">
        <f t="shared" si="1"/>
        <v>0</v>
      </c>
      <c r="I54" s="54"/>
      <c r="J54" s="161"/>
      <c r="K54" s="161"/>
      <c r="M54" s="51" t="s">
        <v>5561</v>
      </c>
      <c r="N54" s="51" t="s">
        <v>5562</v>
      </c>
      <c r="P54" s="51" t="s">
        <v>910</v>
      </c>
      <c r="Q54" s="51" t="s">
        <v>932</v>
      </c>
      <c r="V54" s="52"/>
      <c r="AA54" s="51" t="s">
        <v>5589</v>
      </c>
      <c r="AB54" s="51" t="s">
        <v>5590</v>
      </c>
      <c r="AD54" s="51" t="s">
        <v>910</v>
      </c>
      <c r="AE54" s="51" t="s">
        <v>932</v>
      </c>
      <c r="AO54" s="51" t="s">
        <v>5614</v>
      </c>
      <c r="AP54" s="51" t="s">
        <v>5615</v>
      </c>
      <c r="AR54" s="51" t="s">
        <v>910</v>
      </c>
      <c r="AS54" s="51" t="s">
        <v>932</v>
      </c>
    </row>
    <row r="55" spans="1:50" x14ac:dyDescent="0.25">
      <c r="A55" s="51" t="s">
        <v>5560</v>
      </c>
      <c r="B55" s="51">
        <v>2</v>
      </c>
      <c r="E55" s="54" t="str" cm="1">
        <f t="array" aca="1" ref="E55" ca="1">IF(G55=0,IF(H55=0,"",HYPERLINK("#"&amp;RIGHT(CELL("adresse",OFFSET($P$6,H55-1,0)),LEN(CELL("adresse",OFFSET($P$6,H55-1,0)))),"Definition")),HYPERLINK("#"&amp;RIGHT(CELL("adresse",OFFSET(DMAV_Modell!$Q$6,G55-1,0)),LEN(CELL("adresse",OFFSET(DMAV_Modell!$Q$6,G55-1,0)))-SEARCH("]",CELL("adresse",OFFSET(DMAV_Modell!$Q$6,G55-1,0)))),"Definition"))</f>
        <v/>
      </c>
      <c r="F55" s="150" t="str">
        <f t="shared" si="0"/>
        <v>MAOV2</v>
      </c>
      <c r="G55" s="150">
        <f>IF(C55="",0,IF(ISNA(MATCH(C55,$F$6:$F$140,0)),MATCH(C55,DMAV_Modell!$G$6:$G$677,0),0))</f>
        <v>0</v>
      </c>
      <c r="H55" s="150">
        <f t="shared" si="1"/>
        <v>0</v>
      </c>
      <c r="I55" s="54"/>
      <c r="J55" s="161"/>
      <c r="K55" s="161"/>
      <c r="M55" s="51" t="s">
        <v>5561</v>
      </c>
      <c r="N55" s="51" t="s">
        <v>5562</v>
      </c>
      <c r="P55" s="51" t="s">
        <v>910</v>
      </c>
      <c r="Q55" s="51" t="s">
        <v>5563</v>
      </c>
      <c r="V55" s="52"/>
      <c r="AA55" s="51" t="s">
        <v>5589</v>
      </c>
      <c r="AB55" s="51" t="s">
        <v>5590</v>
      </c>
      <c r="AD55" s="51" t="s">
        <v>910</v>
      </c>
      <c r="AE55" s="51" t="s">
        <v>5563</v>
      </c>
      <c r="AO55" s="51" t="s">
        <v>5614</v>
      </c>
      <c r="AP55" s="51" t="s">
        <v>5615</v>
      </c>
      <c r="AR55" s="51" t="s">
        <v>910</v>
      </c>
      <c r="AS55" s="51" t="s">
        <v>5563</v>
      </c>
    </row>
    <row r="56" spans="1:50" x14ac:dyDescent="0.25">
      <c r="A56" s="51" t="s">
        <v>5560</v>
      </c>
      <c r="B56" s="51">
        <v>3</v>
      </c>
      <c r="E56" s="54" t="str" cm="1">
        <f t="array" aca="1" ref="E56" ca="1">IF(G56=0,IF(H56=0,"",HYPERLINK("#"&amp;RIGHT(CELL("adresse",OFFSET($P$6,H56-1,0)),LEN(CELL("adresse",OFFSET($P$6,H56-1,0)))),"Definition")),HYPERLINK("#"&amp;RIGHT(CELL("adresse",OFFSET(DMAV_Modell!$Q$6,G56-1,0)),LEN(CELL("adresse",OFFSET(DMAV_Modell!$Q$6,G56-1,0)))-SEARCH("]",CELL("adresse",OFFSET(DMAV_Modell!$Q$6,G56-1,0)))),"Definition"))</f>
        <v/>
      </c>
      <c r="F56" s="150" t="str">
        <f t="shared" si="0"/>
        <v>MAOV3</v>
      </c>
      <c r="G56" s="150">
        <f>IF(C56="",0,IF(ISNA(MATCH(C56,$F$6:$F$140,0)),MATCH(C56,DMAV_Modell!$G$6:$G$677,0),0))</f>
        <v>0</v>
      </c>
      <c r="H56" s="150">
        <f t="shared" si="1"/>
        <v>0</v>
      </c>
      <c r="I56" s="54"/>
      <c r="J56" s="161"/>
      <c r="K56" s="161"/>
      <c r="M56" s="51" t="s">
        <v>5561</v>
      </c>
      <c r="N56" s="51" t="s">
        <v>5562</v>
      </c>
      <c r="O56" s="51" t="s">
        <v>5564</v>
      </c>
      <c r="P56" s="51" t="s">
        <v>949</v>
      </c>
      <c r="Q56" s="51" t="s">
        <v>583</v>
      </c>
      <c r="S56" s="51" t="s">
        <v>6</v>
      </c>
      <c r="T56" s="52" t="s">
        <v>5565</v>
      </c>
      <c r="V56" s="52" t="s">
        <v>3596</v>
      </c>
      <c r="AA56" s="51" t="s">
        <v>5589</v>
      </c>
      <c r="AB56" s="51" t="s">
        <v>5590</v>
      </c>
      <c r="AC56" s="51" t="s">
        <v>5591</v>
      </c>
      <c r="AD56" s="51" t="s">
        <v>949</v>
      </c>
      <c r="AE56" s="51" t="s">
        <v>881</v>
      </c>
      <c r="AG56" s="51" t="s">
        <v>6</v>
      </c>
      <c r="AH56" s="51" t="s">
        <v>5592</v>
      </c>
      <c r="AJ56" s="52" t="s">
        <v>3596</v>
      </c>
      <c r="AO56" s="51" t="s">
        <v>5614</v>
      </c>
      <c r="AP56" s="51" t="s">
        <v>5615</v>
      </c>
      <c r="AQ56" s="51" t="s">
        <v>5616</v>
      </c>
      <c r="AR56" s="51" t="s">
        <v>949</v>
      </c>
      <c r="AS56" s="51" t="s">
        <v>1643</v>
      </c>
      <c r="AU56" s="51" t="s">
        <v>6</v>
      </c>
      <c r="AV56" s="51" t="s">
        <v>5617</v>
      </c>
      <c r="AX56" s="52" t="s">
        <v>3596</v>
      </c>
    </row>
    <row r="57" spans="1:50" x14ac:dyDescent="0.25">
      <c r="A57" s="51" t="s">
        <v>5560</v>
      </c>
      <c r="B57" s="51">
        <v>4</v>
      </c>
      <c r="E57" s="54" t="str" cm="1">
        <f t="array" aca="1" ref="E57" ca="1">IF(G57=0,IF(H57=0,"",HYPERLINK("#"&amp;RIGHT(CELL("adresse",OFFSET($P$6,H57-1,0)),LEN(CELL("adresse",OFFSET($P$6,H57-1,0)))),"Definition")),HYPERLINK("#"&amp;RIGHT(CELL("adresse",OFFSET(DMAV_Modell!$Q$6,G57-1,0)),LEN(CELL("adresse",OFFSET(DMAV_Modell!$Q$6,G57-1,0)))-SEARCH("]",CELL("adresse",OFFSET(DMAV_Modell!$Q$6,G57-1,0)))),"Definition"))</f>
        <v/>
      </c>
      <c r="F57" s="150" t="str">
        <f t="shared" si="0"/>
        <v>MAOV4</v>
      </c>
      <c r="G57" s="150">
        <f>IF(C57="",0,IF(ISNA(MATCH(C57,$F$6:$F$140,0)),MATCH(C57,DMAV_Modell!$G$6:$G$677,0),0))</f>
        <v>0</v>
      </c>
      <c r="H57" s="150">
        <f t="shared" si="1"/>
        <v>0</v>
      </c>
      <c r="I57" s="54"/>
      <c r="J57" s="161"/>
      <c r="K57" s="161"/>
      <c r="M57" s="51" t="s">
        <v>5561</v>
      </c>
      <c r="N57" s="51" t="s">
        <v>5562</v>
      </c>
      <c r="O57" s="51" t="s">
        <v>5564</v>
      </c>
      <c r="P57" s="51" t="s">
        <v>949</v>
      </c>
      <c r="Q57" s="51" t="s">
        <v>583</v>
      </c>
      <c r="R57" s="50" t="s">
        <v>950</v>
      </c>
      <c r="T57" s="52" t="s">
        <v>5566</v>
      </c>
      <c r="V57" s="52" t="s">
        <v>1168</v>
      </c>
      <c r="AA57" s="51" t="s">
        <v>5589</v>
      </c>
      <c r="AB57" s="51" t="s">
        <v>5590</v>
      </c>
      <c r="AC57" s="51" t="s">
        <v>5591</v>
      </c>
      <c r="AD57" s="51" t="s">
        <v>949</v>
      </c>
      <c r="AE57" s="51" t="s">
        <v>881</v>
      </c>
      <c r="AF57" s="50" t="s">
        <v>950</v>
      </c>
      <c r="AH57" s="51" t="s">
        <v>5593</v>
      </c>
      <c r="AJ57" s="52" t="s">
        <v>1168</v>
      </c>
      <c r="AO57" s="51" t="s">
        <v>5614</v>
      </c>
      <c r="AP57" s="51" t="s">
        <v>5615</v>
      </c>
      <c r="AQ57" s="51" t="s">
        <v>5616</v>
      </c>
      <c r="AR57" s="51" t="s">
        <v>949</v>
      </c>
      <c r="AS57" s="51" t="s">
        <v>1643</v>
      </c>
      <c r="AT57" s="180" t="s">
        <v>950</v>
      </c>
      <c r="AV57" s="51" t="s">
        <v>4344</v>
      </c>
      <c r="AX57" s="52" t="s">
        <v>1168</v>
      </c>
    </row>
    <row r="58" spans="1:50" x14ac:dyDescent="0.25">
      <c r="A58" s="51" t="s">
        <v>5560</v>
      </c>
      <c r="B58" s="51">
        <v>5</v>
      </c>
      <c r="E58" s="54" t="str" cm="1">
        <f t="array" aca="1" ref="E58" ca="1">IF(G58=0,IF(H58=0,"",HYPERLINK("#"&amp;RIGHT(CELL("adresse",OFFSET($P$6,H58-1,0)),LEN(CELL("adresse",OFFSET($P$6,H58-1,0)))),"Definition")),HYPERLINK("#"&amp;RIGHT(CELL("adresse",OFFSET(DMAV_Modell!$Q$6,G58-1,0)),LEN(CELL("adresse",OFFSET(DMAV_Modell!$Q$6,G58-1,0)))-SEARCH("]",CELL("adresse",OFFSET(DMAV_Modell!$Q$6,G58-1,0)))),"Definition"))</f>
        <v/>
      </c>
      <c r="F58" s="150" t="str">
        <f t="shared" si="0"/>
        <v>MAOV5</v>
      </c>
      <c r="G58" s="150">
        <f>IF(C58="",0,IF(ISNA(MATCH(C58,$F$6:$F$140,0)),MATCH(C58,DMAV_Modell!$G$6:$G$677,0),0))</f>
        <v>0</v>
      </c>
      <c r="H58" s="150">
        <f t="shared" si="1"/>
        <v>0</v>
      </c>
      <c r="I58" s="54"/>
      <c r="J58" s="161"/>
      <c r="K58" s="161"/>
      <c r="M58" s="51" t="s">
        <v>5561</v>
      </c>
      <c r="N58" s="51" t="s">
        <v>5562</v>
      </c>
      <c r="O58" s="51" t="s">
        <v>5564</v>
      </c>
      <c r="P58" s="51" t="s">
        <v>949</v>
      </c>
      <c r="Q58" s="51" t="s">
        <v>583</v>
      </c>
      <c r="T58" s="52" t="s">
        <v>5567</v>
      </c>
      <c r="V58" s="52" t="s">
        <v>1369</v>
      </c>
      <c r="AA58" s="51" t="s">
        <v>5589</v>
      </c>
      <c r="AB58" s="51" t="s">
        <v>5590</v>
      </c>
      <c r="AC58" s="51" t="s">
        <v>5591</v>
      </c>
      <c r="AD58" s="51" t="s">
        <v>949</v>
      </c>
      <c r="AE58" s="51" t="s">
        <v>881</v>
      </c>
      <c r="AH58" s="51" t="s">
        <v>5594</v>
      </c>
      <c r="AJ58" s="52" t="s">
        <v>1369</v>
      </c>
      <c r="AO58" s="51" t="s">
        <v>5614</v>
      </c>
      <c r="AP58" s="51" t="s">
        <v>5615</v>
      </c>
      <c r="AQ58" s="51" t="s">
        <v>5616</v>
      </c>
      <c r="AR58" s="51" t="s">
        <v>949</v>
      </c>
      <c r="AS58" s="51" t="s">
        <v>1643</v>
      </c>
      <c r="AV58" s="51" t="s">
        <v>5618</v>
      </c>
      <c r="AX58" s="52" t="s">
        <v>1369</v>
      </c>
    </row>
    <row r="59" spans="1:50" x14ac:dyDescent="0.25">
      <c r="A59" s="51" t="s">
        <v>5560</v>
      </c>
      <c r="B59" s="51">
        <v>6</v>
      </c>
      <c r="E59" s="54" t="str" cm="1">
        <f t="array" aca="1" ref="E59" ca="1">IF(G59=0,IF(H59=0,"",HYPERLINK("#"&amp;RIGHT(CELL("adresse",OFFSET($P$6,H59-1,0)),LEN(CELL("adresse",OFFSET($P$6,H59-1,0)))),"Definition")),HYPERLINK("#"&amp;RIGHT(CELL("adresse",OFFSET(DMAV_Modell!$Q$6,G59-1,0)),LEN(CELL("adresse",OFFSET(DMAV_Modell!$Q$6,G59-1,0)))-SEARCH("]",CELL("adresse",OFFSET(DMAV_Modell!$Q$6,G59-1,0)))),"Definition"))</f>
        <v/>
      </c>
      <c r="F59" s="150" t="str">
        <f t="shared" si="0"/>
        <v>MAOV6</v>
      </c>
      <c r="G59" s="150">
        <f>IF(C59="",0,IF(ISNA(MATCH(C59,$F$6:$F$140,0)),MATCH(C59,DMAV_Modell!$G$6:$G$677,0),0))</f>
        <v>0</v>
      </c>
      <c r="H59" s="150">
        <f t="shared" si="1"/>
        <v>0</v>
      </c>
      <c r="I59" s="54"/>
      <c r="J59" s="161"/>
      <c r="K59" s="161"/>
      <c r="M59" s="51" t="s">
        <v>5561</v>
      </c>
      <c r="N59" s="51" t="s">
        <v>5562</v>
      </c>
      <c r="O59" s="51" t="s">
        <v>5564</v>
      </c>
      <c r="P59" s="51" t="s">
        <v>949</v>
      </c>
      <c r="Q59" s="51" t="s">
        <v>583</v>
      </c>
      <c r="T59" s="52" t="s">
        <v>5568</v>
      </c>
      <c r="V59" s="52" t="s">
        <v>1369</v>
      </c>
      <c r="AA59" s="51" t="s">
        <v>5589</v>
      </c>
      <c r="AB59" s="51" t="s">
        <v>5590</v>
      </c>
      <c r="AC59" s="51" t="s">
        <v>5591</v>
      </c>
      <c r="AD59" s="51" t="s">
        <v>949</v>
      </c>
      <c r="AE59" s="51" t="s">
        <v>881</v>
      </c>
      <c r="AH59" s="51" t="s">
        <v>5595</v>
      </c>
      <c r="AJ59" s="52" t="s">
        <v>1369</v>
      </c>
      <c r="AO59" s="51" t="s">
        <v>5614</v>
      </c>
      <c r="AP59" s="51" t="s">
        <v>5615</v>
      </c>
      <c r="AQ59" s="51" t="s">
        <v>5616</v>
      </c>
      <c r="AR59" s="51" t="s">
        <v>949</v>
      </c>
      <c r="AS59" s="51" t="s">
        <v>1643</v>
      </c>
      <c r="AV59" s="51" t="s">
        <v>5619</v>
      </c>
      <c r="AX59" s="52" t="s">
        <v>1369</v>
      </c>
    </row>
    <row r="60" spans="1:50" x14ac:dyDescent="0.25">
      <c r="A60" s="51" t="s">
        <v>5560</v>
      </c>
      <c r="B60" s="51">
        <v>7</v>
      </c>
      <c r="E60" s="54" t="str" cm="1">
        <f t="array" aca="1" ref="E60" ca="1">IF(G60=0,IF(H60=0,"",HYPERLINK("#"&amp;RIGHT(CELL("adresse",OFFSET($P$6,H60-1,0)),LEN(CELL("adresse",OFFSET($P$6,H60-1,0)))),"Definition")),HYPERLINK("#"&amp;RIGHT(CELL("adresse",OFFSET(DMAV_Modell!$Q$6,G60-1,0)),LEN(CELL("adresse",OFFSET(DMAV_Modell!$Q$6,G60-1,0)))-SEARCH("]",CELL("adresse",OFFSET(DMAV_Modell!$Q$6,G60-1,0)))),"Definition"))</f>
        <v/>
      </c>
      <c r="F60" s="150" t="str">
        <f t="shared" si="0"/>
        <v>MAOV7</v>
      </c>
      <c r="G60" s="150">
        <f>IF(C60="",0,IF(ISNA(MATCH(C60,$F$6:$F$140,0)),MATCH(C60,DMAV_Modell!$G$6:$G$677,0),0))</f>
        <v>0</v>
      </c>
      <c r="H60" s="150">
        <f t="shared" si="1"/>
        <v>0</v>
      </c>
      <c r="I60" s="54"/>
      <c r="J60" s="161"/>
      <c r="K60" s="161"/>
      <c r="M60" s="51" t="s">
        <v>5561</v>
      </c>
      <c r="N60" s="51" t="s">
        <v>5562</v>
      </c>
      <c r="O60" s="51" t="s">
        <v>5564</v>
      </c>
      <c r="P60" s="51" t="s">
        <v>949</v>
      </c>
      <c r="Q60" s="51" t="s">
        <v>583</v>
      </c>
      <c r="R60" s="50" t="s">
        <v>950</v>
      </c>
      <c r="T60" s="52" t="s">
        <v>611</v>
      </c>
      <c r="V60" s="164" t="s">
        <v>5575</v>
      </c>
      <c r="AA60" s="51" t="s">
        <v>5589</v>
      </c>
      <c r="AB60" s="51" t="s">
        <v>5590</v>
      </c>
      <c r="AC60" s="51" t="s">
        <v>5591</v>
      </c>
      <c r="AD60" s="51" t="s">
        <v>949</v>
      </c>
      <c r="AE60" s="51" t="s">
        <v>881</v>
      </c>
      <c r="AF60" s="50" t="s">
        <v>950</v>
      </c>
      <c r="AH60" s="51" t="s">
        <v>886</v>
      </c>
      <c r="AJ60" s="164" t="s">
        <v>5631</v>
      </c>
      <c r="AO60" s="51" t="s">
        <v>5614</v>
      </c>
      <c r="AP60" s="51" t="s">
        <v>5615</v>
      </c>
      <c r="AQ60" s="51" t="s">
        <v>5616</v>
      </c>
      <c r="AR60" s="51" t="s">
        <v>949</v>
      </c>
      <c r="AS60" s="51" t="s">
        <v>1643</v>
      </c>
      <c r="AT60" s="180" t="s">
        <v>950</v>
      </c>
      <c r="AV60" s="51" t="s">
        <v>1426</v>
      </c>
      <c r="AX60" s="164" t="s">
        <v>5634</v>
      </c>
    </row>
    <row r="61" spans="1:50" x14ac:dyDescent="0.25">
      <c r="A61" s="51" t="s">
        <v>5560</v>
      </c>
      <c r="B61" s="51">
        <v>8</v>
      </c>
      <c r="E61" s="54" t="str" cm="1">
        <f t="array" aca="1" ref="E61" ca="1">IF(G61=0,IF(H61=0,"",HYPERLINK("#"&amp;RIGHT(CELL("adresse",OFFSET($P$6,H61-1,0)),LEN(CELL("adresse",OFFSET($P$6,H61-1,0)))),"Definition")),HYPERLINK("#"&amp;RIGHT(CELL("adresse",OFFSET(DMAV_Modell!$Q$6,G61-1,0)),LEN(CELL("adresse",OFFSET(DMAV_Modell!$Q$6,G61-1,0)))-SEARCH("]",CELL("adresse",OFFSET(DMAV_Modell!$Q$6,G61-1,0)))),"Definition"))</f>
        <v/>
      </c>
      <c r="F61" s="150" t="str">
        <f t="shared" si="0"/>
        <v>MAOV8</v>
      </c>
      <c r="G61" s="150">
        <f>IF(C61="",0,IF(ISNA(MATCH(C61,$F$6:$F$140,0)),MATCH(C61,DMAV_Modell!$G$6:$G$677,0),0))</f>
        <v>0</v>
      </c>
      <c r="H61" s="150">
        <f t="shared" si="1"/>
        <v>0</v>
      </c>
      <c r="I61" s="54"/>
      <c r="J61" s="161"/>
      <c r="K61" s="161"/>
      <c r="M61" s="51" t="s">
        <v>5561</v>
      </c>
      <c r="N61" s="51" t="s">
        <v>5562</v>
      </c>
      <c r="O61" s="51" t="s">
        <v>5564</v>
      </c>
      <c r="P61" s="51" t="s">
        <v>949</v>
      </c>
      <c r="Q61" s="51" t="s">
        <v>583</v>
      </c>
      <c r="R61" s="50" t="s">
        <v>950</v>
      </c>
      <c r="T61" s="52" t="s">
        <v>1518</v>
      </c>
      <c r="V61" s="164" t="s">
        <v>5576</v>
      </c>
      <c r="AA61" s="51" t="s">
        <v>5589</v>
      </c>
      <c r="AB61" s="51" t="s">
        <v>5590</v>
      </c>
      <c r="AC61" s="51" t="s">
        <v>5591</v>
      </c>
      <c r="AD61" s="51" t="s">
        <v>949</v>
      </c>
      <c r="AE61" s="51" t="s">
        <v>881</v>
      </c>
      <c r="AF61" s="50" t="s">
        <v>950</v>
      </c>
      <c r="AH61" s="51" t="s">
        <v>1593</v>
      </c>
      <c r="AJ61" s="164" t="s">
        <v>5632</v>
      </c>
      <c r="AO61" s="51" t="s">
        <v>5614</v>
      </c>
      <c r="AP61" s="51" t="s">
        <v>5615</v>
      </c>
      <c r="AQ61" s="51" t="s">
        <v>5616</v>
      </c>
      <c r="AR61" s="51" t="s">
        <v>949</v>
      </c>
      <c r="AS61" s="51" t="s">
        <v>1643</v>
      </c>
      <c r="AT61" s="180" t="s">
        <v>950</v>
      </c>
      <c r="AV61" s="51" t="s">
        <v>1592</v>
      </c>
      <c r="AX61" s="164" t="s">
        <v>5633</v>
      </c>
    </row>
    <row r="62" spans="1:50" x14ac:dyDescent="0.25">
      <c r="A62" s="51" t="s">
        <v>5560</v>
      </c>
      <c r="B62" s="51">
        <v>9</v>
      </c>
      <c r="E62" s="54" t="str" cm="1">
        <f t="array" aca="1" ref="E62" ca="1">IF(G62=0,IF(H62=0,"",HYPERLINK("#"&amp;RIGHT(CELL("adresse",OFFSET($P$6,H62-1,0)),LEN(CELL("adresse",OFFSET($P$6,H62-1,0)))),"Definition")),HYPERLINK("#"&amp;RIGHT(CELL("adresse",OFFSET(DMAV_Modell!$Q$6,G62-1,0)),LEN(CELL("adresse",OFFSET(DMAV_Modell!$Q$6,G62-1,0)))-SEARCH("]",CELL("adresse",OFFSET(DMAV_Modell!$Q$6,G62-1,0)))),"Definition"))</f>
        <v/>
      </c>
      <c r="F62" s="150" t="str">
        <f t="shared" si="0"/>
        <v>MAOV9</v>
      </c>
      <c r="G62" s="150">
        <f>IF(C62="",0,IF(ISNA(MATCH(C62,$F$6:$F$140,0)),MATCH(C62,DMAV_Modell!$G$6:$G$677,0),0))</f>
        <v>0</v>
      </c>
      <c r="H62" s="150">
        <f t="shared" si="1"/>
        <v>0</v>
      </c>
      <c r="I62" s="54"/>
      <c r="J62" s="161"/>
      <c r="K62" s="161"/>
      <c r="M62" s="51" t="s">
        <v>5561</v>
      </c>
      <c r="N62" s="51" t="s">
        <v>5562</v>
      </c>
      <c r="O62" s="51" t="s">
        <v>5564</v>
      </c>
      <c r="P62" s="51" t="s">
        <v>949</v>
      </c>
      <c r="Q62" s="51" t="s">
        <v>583</v>
      </c>
      <c r="R62" s="50" t="s">
        <v>950</v>
      </c>
      <c r="T62" s="52" t="s">
        <v>666</v>
      </c>
      <c r="V62" s="52" t="s">
        <v>131</v>
      </c>
      <c r="AA62" s="51" t="s">
        <v>5589</v>
      </c>
      <c r="AB62" s="51" t="s">
        <v>5590</v>
      </c>
      <c r="AC62" s="51" t="s">
        <v>5591</v>
      </c>
      <c r="AD62" s="51" t="s">
        <v>949</v>
      </c>
      <c r="AE62" s="51" t="s">
        <v>881</v>
      </c>
      <c r="AF62" s="50" t="s">
        <v>950</v>
      </c>
      <c r="AH62" s="51" t="s">
        <v>899</v>
      </c>
      <c r="AJ62" s="52" t="s">
        <v>131</v>
      </c>
      <c r="AO62" s="51" t="s">
        <v>5614</v>
      </c>
      <c r="AP62" s="51" t="s">
        <v>5615</v>
      </c>
      <c r="AQ62" s="51" t="s">
        <v>5616</v>
      </c>
      <c r="AR62" s="51" t="s">
        <v>949</v>
      </c>
      <c r="AS62" s="51" t="s">
        <v>1643</v>
      </c>
      <c r="AT62" s="180" t="s">
        <v>950</v>
      </c>
      <c r="AV62" s="51" t="s">
        <v>4461</v>
      </c>
      <c r="AX62" s="52" t="s">
        <v>131</v>
      </c>
    </row>
    <row r="63" spans="1:50" x14ac:dyDescent="0.25">
      <c r="A63" s="51" t="s">
        <v>5560</v>
      </c>
      <c r="B63" s="51">
        <v>10</v>
      </c>
      <c r="E63" s="54" t="str" cm="1">
        <f t="array" aca="1" ref="E63" ca="1">IF(G63=0,IF(H63=0,"",HYPERLINK("#"&amp;RIGHT(CELL("adresse",OFFSET($P$6,H63-1,0)),LEN(CELL("adresse",OFFSET($P$6,H63-1,0)))),"Definition")),HYPERLINK("#"&amp;RIGHT(CELL("adresse",OFFSET(DMAV_Modell!$Q$6,G63-1,0)),LEN(CELL("adresse",OFFSET(DMAV_Modell!$Q$6,G63-1,0)))-SEARCH("]",CELL("adresse",OFFSET(DMAV_Modell!$Q$6,G63-1,0)))),"Definition"))</f>
        <v/>
      </c>
      <c r="F63" s="150" t="str">
        <f t="shared" si="0"/>
        <v>MAOV10</v>
      </c>
      <c r="G63" s="150">
        <f>IF(C63="",0,IF(ISNA(MATCH(C63,$F$6:$F$140,0)),MATCH(C63,DMAV_Modell!$G$6:$G$677,0),0))</f>
        <v>0</v>
      </c>
      <c r="H63" s="150">
        <f t="shared" si="1"/>
        <v>0</v>
      </c>
      <c r="I63" s="54"/>
      <c r="J63" s="161"/>
      <c r="K63" s="161"/>
      <c r="M63" s="51" t="s">
        <v>5561</v>
      </c>
      <c r="N63" s="51" t="s">
        <v>5562</v>
      </c>
      <c r="O63" s="51" t="s">
        <v>5564</v>
      </c>
      <c r="P63" s="51" t="s">
        <v>949</v>
      </c>
      <c r="Q63" s="51" t="s">
        <v>583</v>
      </c>
      <c r="R63" s="50" t="s">
        <v>950</v>
      </c>
      <c r="T63" s="52" t="s">
        <v>193</v>
      </c>
      <c r="V63" s="52" t="s">
        <v>3597</v>
      </c>
      <c r="AA63" s="51" t="s">
        <v>5589</v>
      </c>
      <c r="AB63" s="51" t="s">
        <v>5590</v>
      </c>
      <c r="AC63" s="51" t="s">
        <v>5591</v>
      </c>
      <c r="AD63" s="51" t="s">
        <v>949</v>
      </c>
      <c r="AE63" s="51" t="s">
        <v>881</v>
      </c>
      <c r="AF63" s="50" t="s">
        <v>950</v>
      </c>
      <c r="AH63" s="51" t="s">
        <v>769</v>
      </c>
      <c r="AJ63" s="52" t="s">
        <v>3597</v>
      </c>
      <c r="AO63" s="51" t="s">
        <v>5614</v>
      </c>
      <c r="AP63" s="51" t="s">
        <v>5615</v>
      </c>
      <c r="AQ63" s="51" t="s">
        <v>5616</v>
      </c>
      <c r="AR63" s="51" t="s">
        <v>949</v>
      </c>
      <c r="AS63" s="51" t="s">
        <v>1643</v>
      </c>
      <c r="AT63" s="180" t="s">
        <v>950</v>
      </c>
      <c r="AV63" s="51" t="s">
        <v>1515</v>
      </c>
      <c r="AX63" s="52" t="s">
        <v>3597</v>
      </c>
    </row>
    <row r="64" spans="1:50" x14ac:dyDescent="0.25">
      <c r="A64" s="51" t="s">
        <v>5560</v>
      </c>
      <c r="B64" s="51">
        <v>11</v>
      </c>
      <c r="E64" s="54" t="str" cm="1">
        <f t="array" aca="1" ref="E64" ca="1">IF(G64=0,IF(H64=0,"",HYPERLINK("#"&amp;RIGHT(CELL("adresse",OFFSET($P$6,H64-1,0)),LEN(CELL("adresse",OFFSET($P$6,H64-1,0)))),"Definition")),HYPERLINK("#"&amp;RIGHT(CELL("adresse",OFFSET(DMAV_Modell!$Q$6,G64-1,0)),LEN(CELL("adresse",OFFSET(DMAV_Modell!$Q$6,G64-1,0)))-SEARCH("]",CELL("adresse",OFFSET(DMAV_Modell!$Q$6,G64-1,0)))),"Definition"))</f>
        <v/>
      </c>
      <c r="F64" s="150" t="str">
        <f t="shared" si="0"/>
        <v>MAOV11</v>
      </c>
      <c r="G64" s="150">
        <f>IF(C64="",0,IF(ISNA(MATCH(C64,$F$6:$F$140,0)),MATCH(C64,DMAV_Modell!$G$6:$G$677,0),0))</f>
        <v>0</v>
      </c>
      <c r="H64" s="150">
        <f t="shared" si="1"/>
        <v>0</v>
      </c>
      <c r="I64" s="54"/>
      <c r="J64" s="161"/>
      <c r="K64" s="161"/>
      <c r="M64" s="51" t="s">
        <v>5561</v>
      </c>
      <c r="N64" s="51" t="s">
        <v>5562</v>
      </c>
      <c r="O64" s="51" t="s">
        <v>5564</v>
      </c>
      <c r="P64" s="51" t="s">
        <v>949</v>
      </c>
      <c r="Q64" s="51" t="s">
        <v>583</v>
      </c>
      <c r="R64" s="50" t="s">
        <v>950</v>
      </c>
      <c r="T64" s="52" t="s">
        <v>5569</v>
      </c>
      <c r="V64" s="52" t="s">
        <v>3598</v>
      </c>
      <c r="AA64" s="51" t="s">
        <v>5589</v>
      </c>
      <c r="AB64" s="51" t="s">
        <v>5590</v>
      </c>
      <c r="AC64" s="51" t="s">
        <v>5591</v>
      </c>
      <c r="AD64" s="51" t="s">
        <v>949</v>
      </c>
      <c r="AE64" s="51" t="s">
        <v>881</v>
      </c>
      <c r="AF64" s="50" t="s">
        <v>950</v>
      </c>
      <c r="AH64" s="51" t="s">
        <v>5596</v>
      </c>
      <c r="AJ64" s="52" t="s">
        <v>3598</v>
      </c>
      <c r="AO64" s="51" t="s">
        <v>5614</v>
      </c>
      <c r="AP64" s="51" t="s">
        <v>5615</v>
      </c>
      <c r="AQ64" s="51" t="s">
        <v>5616</v>
      </c>
      <c r="AR64" s="51" t="s">
        <v>949</v>
      </c>
      <c r="AS64" s="51" t="s">
        <v>1643</v>
      </c>
      <c r="AT64" s="180" t="s">
        <v>950</v>
      </c>
      <c r="AV64" s="51" t="s">
        <v>5620</v>
      </c>
      <c r="AX64" s="52" t="s">
        <v>3598</v>
      </c>
    </row>
    <row r="65" spans="1:53" x14ac:dyDescent="0.25">
      <c r="A65" s="51" t="s">
        <v>5560</v>
      </c>
      <c r="B65" s="51">
        <v>12</v>
      </c>
      <c r="E65" s="54" t="str" cm="1">
        <f t="array" aca="1" ref="E65" ca="1">IF(G65=0,IF(H65=0,"",HYPERLINK("#"&amp;RIGHT(CELL("adresse",OFFSET($P$6,H65-1,0)),LEN(CELL("adresse",OFFSET($P$6,H65-1,0)))),"Definition")),HYPERLINK("#"&amp;RIGHT(CELL("adresse",OFFSET(DMAV_Modell!$Q$6,G65-1,0)),LEN(CELL("adresse",OFFSET(DMAV_Modell!$Q$6,G65-1,0)))-SEARCH("]",CELL("adresse",OFFSET(DMAV_Modell!$Q$6,G65-1,0)))),"Definition"))</f>
        <v/>
      </c>
      <c r="F65" s="150" t="str">
        <f t="shared" si="0"/>
        <v>MAOV12</v>
      </c>
      <c r="G65" s="150">
        <f>IF(C65="",0,IF(ISNA(MATCH(C65,$F$6:$F$140,0)),MATCH(C65,DMAV_Modell!$G$6:$G$677,0),0))</f>
        <v>0</v>
      </c>
      <c r="H65" s="150">
        <f t="shared" si="1"/>
        <v>0</v>
      </c>
      <c r="I65" s="54"/>
      <c r="J65" s="161"/>
      <c r="K65" s="161"/>
      <c r="M65" s="51" t="s">
        <v>5561</v>
      </c>
      <c r="N65" s="51" t="s">
        <v>5562</v>
      </c>
      <c r="O65" s="51" t="s">
        <v>5564</v>
      </c>
      <c r="P65" s="51" t="s">
        <v>949</v>
      </c>
      <c r="Q65" s="51" t="s">
        <v>583</v>
      </c>
      <c r="R65" s="50" t="s">
        <v>950</v>
      </c>
      <c r="T65" s="52" t="s">
        <v>123</v>
      </c>
      <c r="V65" s="52" t="s">
        <v>1167</v>
      </c>
      <c r="AA65" s="51" t="s">
        <v>5589</v>
      </c>
      <c r="AB65" s="51" t="s">
        <v>5590</v>
      </c>
      <c r="AC65" s="51" t="s">
        <v>5591</v>
      </c>
      <c r="AD65" s="51" t="s">
        <v>949</v>
      </c>
      <c r="AE65" s="51" t="s">
        <v>881</v>
      </c>
      <c r="AF65" s="50" t="s">
        <v>950</v>
      </c>
      <c r="AH65" s="51" t="s">
        <v>123</v>
      </c>
      <c r="AJ65" s="52" t="s">
        <v>1167</v>
      </c>
      <c r="AO65" s="51" t="s">
        <v>5614</v>
      </c>
      <c r="AP65" s="51" t="s">
        <v>5615</v>
      </c>
      <c r="AQ65" s="51" t="s">
        <v>5616</v>
      </c>
      <c r="AR65" s="51" t="s">
        <v>949</v>
      </c>
      <c r="AS65" s="51" t="s">
        <v>1643</v>
      </c>
      <c r="AT65" s="180" t="s">
        <v>950</v>
      </c>
      <c r="AV65" s="51" t="s">
        <v>1247</v>
      </c>
      <c r="AX65" s="52" t="s">
        <v>1167</v>
      </c>
    </row>
    <row r="66" spans="1:53" x14ac:dyDescent="0.25">
      <c r="A66" s="51" t="s">
        <v>5560</v>
      </c>
      <c r="B66" s="51">
        <v>13</v>
      </c>
      <c r="E66" s="54" t="str" cm="1">
        <f t="array" aca="1" ref="E66" ca="1">IF(G66=0,IF(H66=0,"",HYPERLINK("#"&amp;RIGHT(CELL("adresse",OFFSET($P$6,H66-1,0)),LEN(CELL("adresse",OFFSET($P$6,H66-1,0)))),"Definition")),HYPERLINK("#"&amp;RIGHT(CELL("adresse",OFFSET(DMAV_Modell!$Q$6,G66-1,0)),LEN(CELL("adresse",OFFSET(DMAV_Modell!$Q$6,G66-1,0)))-SEARCH("]",CELL("adresse",OFFSET(DMAV_Modell!$Q$6,G66-1,0)))),"Definition"))</f>
        <v/>
      </c>
      <c r="F66" s="150" t="str">
        <f t="shared" si="0"/>
        <v>MAOV13</v>
      </c>
      <c r="G66" s="150">
        <f>IF(C66="",0,IF(ISNA(MATCH(C66,$F$6:$F$140,0)),MATCH(C66,DMAV_Modell!$G$6:$G$677,0),0))</f>
        <v>0</v>
      </c>
      <c r="H66" s="150">
        <f t="shared" si="1"/>
        <v>0</v>
      </c>
      <c r="I66" s="54"/>
      <c r="J66" s="161"/>
      <c r="K66" s="161"/>
      <c r="M66" s="51" t="s">
        <v>5561</v>
      </c>
      <c r="N66" s="51" t="s">
        <v>5562</v>
      </c>
      <c r="O66" s="51" t="s">
        <v>5564</v>
      </c>
      <c r="P66" s="51" t="s">
        <v>949</v>
      </c>
      <c r="Q66" s="51" t="s">
        <v>585</v>
      </c>
      <c r="S66" s="51" t="s">
        <v>6</v>
      </c>
      <c r="T66" s="52" t="s">
        <v>5570</v>
      </c>
      <c r="V66" s="52" t="s">
        <v>3599</v>
      </c>
      <c r="AA66" s="51" t="s">
        <v>5589</v>
      </c>
      <c r="AB66" s="51" t="s">
        <v>5590</v>
      </c>
      <c r="AC66" s="51" t="s">
        <v>5591</v>
      </c>
      <c r="AD66" s="51" t="s">
        <v>949</v>
      </c>
      <c r="AE66" s="51" t="s">
        <v>882</v>
      </c>
      <c r="AG66" s="51" t="s">
        <v>6</v>
      </c>
      <c r="AH66" s="51" t="s">
        <v>5597</v>
      </c>
      <c r="AJ66" s="52" t="s">
        <v>3599</v>
      </c>
      <c r="AO66" s="51" t="s">
        <v>5614</v>
      </c>
      <c r="AP66" s="51" t="s">
        <v>5615</v>
      </c>
      <c r="AQ66" s="51" t="s">
        <v>5616</v>
      </c>
      <c r="AR66" s="51" t="s">
        <v>949</v>
      </c>
      <c r="AS66" s="51" t="s">
        <v>1610</v>
      </c>
      <c r="AU66" s="51" t="s">
        <v>6</v>
      </c>
      <c r="AV66" s="51" t="s">
        <v>5621</v>
      </c>
      <c r="AX66" s="52" t="s">
        <v>3599</v>
      </c>
    </row>
    <row r="67" spans="1:53" x14ac:dyDescent="0.25">
      <c r="A67" s="51" t="s">
        <v>5560</v>
      </c>
      <c r="B67" s="51">
        <v>14</v>
      </c>
      <c r="E67" s="54" t="str" cm="1">
        <f t="array" aca="1" ref="E67" ca="1">IF(G67=0,IF(H67=0,"",HYPERLINK("#"&amp;RIGHT(CELL("adresse",OFFSET($P$6,H67-1,0)),LEN(CELL("adresse",OFFSET($P$6,H67-1,0)))),"Definition")),HYPERLINK("#"&amp;RIGHT(CELL("adresse",OFFSET(DMAV_Modell!$Q$6,G67-1,0)),LEN(CELL("adresse",OFFSET(DMAV_Modell!$Q$6,G67-1,0)))-SEARCH("]",CELL("adresse",OFFSET(DMAV_Modell!$Q$6,G67-1,0)))),"Definition"))</f>
        <v/>
      </c>
      <c r="F67" s="150" t="str">
        <f t="shared" si="0"/>
        <v>MAOV14</v>
      </c>
      <c r="G67" s="150">
        <f>IF(C67="",0,IF(ISNA(MATCH(C67,$F$6:$F$140,0)),MATCH(C67,DMAV_Modell!$G$6:$G$677,0),0))</f>
        <v>0</v>
      </c>
      <c r="H67" s="150">
        <f t="shared" si="1"/>
        <v>0</v>
      </c>
      <c r="I67" s="54"/>
      <c r="J67" s="161"/>
      <c r="K67" s="161"/>
      <c r="M67" s="51" t="s">
        <v>5561</v>
      </c>
      <c r="N67" s="51" t="s">
        <v>5562</v>
      </c>
      <c r="O67" s="51" t="s">
        <v>5564</v>
      </c>
      <c r="P67" s="51" t="s">
        <v>949</v>
      </c>
      <c r="Q67" s="51" t="s">
        <v>585</v>
      </c>
      <c r="T67" s="52" t="s">
        <v>586</v>
      </c>
      <c r="V67" s="52" t="s">
        <v>587</v>
      </c>
      <c r="AA67" s="51" t="s">
        <v>5589</v>
      </c>
      <c r="AB67" s="51" t="s">
        <v>5590</v>
      </c>
      <c r="AC67" s="51" t="s">
        <v>5591</v>
      </c>
      <c r="AD67" s="51" t="s">
        <v>949</v>
      </c>
      <c r="AE67" s="51" t="s">
        <v>882</v>
      </c>
      <c r="AH67" s="51" t="s">
        <v>5598</v>
      </c>
      <c r="AJ67" s="52" t="s">
        <v>587</v>
      </c>
      <c r="AO67" s="51" t="s">
        <v>5614</v>
      </c>
      <c r="AP67" s="51" t="s">
        <v>5615</v>
      </c>
      <c r="AQ67" s="51" t="s">
        <v>5616</v>
      </c>
      <c r="AR67" s="51" t="s">
        <v>949</v>
      </c>
      <c r="AS67" s="51" t="s">
        <v>1610</v>
      </c>
      <c r="AV67" s="51" t="s">
        <v>5622</v>
      </c>
      <c r="AX67" s="52" t="s">
        <v>587</v>
      </c>
    </row>
    <row r="68" spans="1:53" x14ac:dyDescent="0.25">
      <c r="A68" s="51" t="s">
        <v>5560</v>
      </c>
      <c r="B68" s="51">
        <v>15</v>
      </c>
      <c r="E68" s="54" t="str" cm="1">
        <f t="array" aca="1" ref="E68" ca="1">IF(G68=0,IF(H68=0,"",HYPERLINK("#"&amp;RIGHT(CELL("adresse",OFFSET($P$6,H68-1,0)),LEN(CELL("adresse",OFFSET($P$6,H68-1,0)))),"Definition")),HYPERLINK("#"&amp;RIGHT(CELL("adresse",OFFSET(DMAV_Modell!$Q$6,G68-1,0)),LEN(CELL("adresse",OFFSET(DMAV_Modell!$Q$6,G68-1,0)))-SEARCH("]",CELL("adresse",OFFSET(DMAV_Modell!$Q$6,G68-1,0)))),"Definition"))</f>
        <v/>
      </c>
      <c r="F68" s="150" t="str">
        <f t="shared" si="0"/>
        <v>MAOV15</v>
      </c>
      <c r="G68" s="150">
        <f>IF(C68="",0,IF(ISNA(MATCH(C68,$F$6:$F$140,0)),MATCH(C68,DMAV_Modell!$G$6:$G$677,0),0))</f>
        <v>0</v>
      </c>
      <c r="H68" s="150">
        <f t="shared" si="1"/>
        <v>0</v>
      </c>
      <c r="I68" s="54"/>
      <c r="J68" s="161"/>
      <c r="K68" s="161"/>
      <c r="M68" s="122" t="s">
        <v>5561</v>
      </c>
      <c r="N68" s="51" t="s">
        <v>5562</v>
      </c>
      <c r="O68" s="51" t="s">
        <v>5564</v>
      </c>
      <c r="P68" s="51" t="s">
        <v>949</v>
      </c>
      <c r="Q68" s="51" t="s">
        <v>585</v>
      </c>
      <c r="T68" s="52" t="s">
        <v>588</v>
      </c>
      <c r="V68" s="52" t="s">
        <v>3600</v>
      </c>
      <c r="AA68" s="51" t="s">
        <v>5589</v>
      </c>
      <c r="AB68" s="51" t="s">
        <v>5590</v>
      </c>
      <c r="AC68" s="51" t="s">
        <v>5591</v>
      </c>
      <c r="AD68" s="51" t="s">
        <v>949</v>
      </c>
      <c r="AE68" s="51" t="s">
        <v>882</v>
      </c>
      <c r="AH68" s="51" t="s">
        <v>5599</v>
      </c>
      <c r="AJ68" s="52" t="s">
        <v>3600</v>
      </c>
      <c r="AO68" s="51" t="s">
        <v>5614</v>
      </c>
      <c r="AP68" s="51" t="s">
        <v>5615</v>
      </c>
      <c r="AQ68" s="51" t="s">
        <v>5616</v>
      </c>
      <c r="AR68" s="51" t="s">
        <v>949</v>
      </c>
      <c r="AS68" s="51" t="s">
        <v>1610</v>
      </c>
      <c r="AV68" s="204" t="s">
        <v>5623</v>
      </c>
      <c r="AX68" s="52" t="s">
        <v>3600</v>
      </c>
    </row>
    <row r="69" spans="1:53" x14ac:dyDescent="0.25">
      <c r="A69" s="51" t="s">
        <v>5560</v>
      </c>
      <c r="B69" s="51">
        <v>16</v>
      </c>
      <c r="E69" s="54" t="str" cm="1">
        <f t="array" aca="1" ref="E69" ca="1">IF(G69=0,IF(H69=0,"",HYPERLINK("#"&amp;RIGHT(CELL("adresse",OFFSET($P$6,H69-1,0)),LEN(CELL("adresse",OFFSET($P$6,H69-1,0)))),"Definition")),HYPERLINK("#"&amp;RIGHT(CELL("adresse",OFFSET(DMAV_Modell!$Q$6,G69-1,0)),LEN(CELL("adresse",OFFSET(DMAV_Modell!$Q$6,G69-1,0)))-SEARCH("]",CELL("adresse",OFFSET(DMAV_Modell!$Q$6,G69-1,0)))),"Definition"))</f>
        <v/>
      </c>
      <c r="F69" s="150" t="str">
        <f t="shared" si="0"/>
        <v>MAOV16</v>
      </c>
      <c r="G69" s="150">
        <f>IF(C69="",0,IF(ISNA(MATCH(C69,$F$6:$F$140,0)),MATCH(C69,DMAV_Modell!$G$6:$G$677,0),0))</f>
        <v>0</v>
      </c>
      <c r="H69" s="150">
        <f t="shared" si="1"/>
        <v>0</v>
      </c>
      <c r="I69" s="54"/>
      <c r="J69" s="161"/>
      <c r="K69" s="161"/>
      <c r="M69" s="51" t="s">
        <v>5561</v>
      </c>
      <c r="N69" s="51" t="s">
        <v>5562</v>
      </c>
      <c r="O69" s="51" t="s">
        <v>5564</v>
      </c>
      <c r="P69" s="51" t="s">
        <v>949</v>
      </c>
      <c r="Q69" s="51" t="s">
        <v>585</v>
      </c>
      <c r="R69" s="50" t="s">
        <v>950</v>
      </c>
      <c r="T69" s="52" t="s">
        <v>1518</v>
      </c>
      <c r="V69" s="164" t="s">
        <v>5576</v>
      </c>
      <c r="AA69" s="51" t="s">
        <v>5589</v>
      </c>
      <c r="AB69" s="51" t="s">
        <v>5590</v>
      </c>
      <c r="AC69" s="51" t="s">
        <v>5591</v>
      </c>
      <c r="AD69" s="51" t="s">
        <v>949</v>
      </c>
      <c r="AE69" s="51" t="s">
        <v>882</v>
      </c>
      <c r="AF69" s="50" t="s">
        <v>950</v>
      </c>
      <c r="AH69" s="51" t="s">
        <v>1593</v>
      </c>
      <c r="AJ69" s="164" t="s">
        <v>5632</v>
      </c>
      <c r="AO69" s="51" t="s">
        <v>5614</v>
      </c>
      <c r="AP69" s="51" t="s">
        <v>5615</v>
      </c>
      <c r="AQ69" s="51" t="s">
        <v>5616</v>
      </c>
      <c r="AR69" s="51" t="s">
        <v>949</v>
      </c>
      <c r="AS69" s="51" t="s">
        <v>1610</v>
      </c>
      <c r="AT69" s="180" t="s">
        <v>950</v>
      </c>
      <c r="AV69" s="51" t="s">
        <v>1592</v>
      </c>
      <c r="AX69" s="164" t="s">
        <v>5633</v>
      </c>
    </row>
    <row r="70" spans="1:53" x14ac:dyDescent="0.25">
      <c r="A70" s="51" t="s">
        <v>5560</v>
      </c>
      <c r="B70" s="51">
        <v>17</v>
      </c>
      <c r="E70" s="54" t="str" cm="1">
        <f t="array" aca="1" ref="E70" ca="1">IF(G70=0,IF(H70=0,"",HYPERLINK("#"&amp;RIGHT(CELL("adresse",OFFSET($P$6,H70-1,0)),LEN(CELL("adresse",OFFSET($P$6,H70-1,0)))),"Definition")),HYPERLINK("#"&amp;RIGHT(CELL("adresse",OFFSET(DMAV_Modell!$Q$6,G70-1,0)),LEN(CELL("adresse",OFFSET(DMAV_Modell!$Q$6,G70-1,0)))-SEARCH("]",CELL("adresse",OFFSET(DMAV_Modell!$Q$6,G70-1,0)))),"Definition"))</f>
        <v/>
      </c>
      <c r="F70" s="150" t="str">
        <f t="shared" si="0"/>
        <v>MAOV17</v>
      </c>
      <c r="G70" s="150">
        <f>IF(C70="",0,IF(ISNA(MATCH(C70,$F$6:$F$140,0)),MATCH(C70,DMAV_Modell!$G$6:$G$677,0),0))</f>
        <v>0</v>
      </c>
      <c r="H70" s="150">
        <f t="shared" si="1"/>
        <v>0</v>
      </c>
      <c r="I70" s="54"/>
      <c r="J70" s="161"/>
      <c r="K70" s="161"/>
      <c r="M70" s="51" t="s">
        <v>5561</v>
      </c>
      <c r="N70" s="51" t="s">
        <v>5562</v>
      </c>
      <c r="O70" s="51" t="s">
        <v>5564</v>
      </c>
      <c r="P70" s="51" t="s">
        <v>949</v>
      </c>
      <c r="Q70" s="51" t="s">
        <v>585</v>
      </c>
      <c r="R70" s="50" t="s">
        <v>950</v>
      </c>
      <c r="T70" s="52" t="s">
        <v>666</v>
      </c>
      <c r="U70" s="55"/>
      <c r="V70" s="52" t="s">
        <v>131</v>
      </c>
      <c r="AA70" s="51" t="s">
        <v>5589</v>
      </c>
      <c r="AB70" s="51" t="s">
        <v>5590</v>
      </c>
      <c r="AC70" s="51" t="s">
        <v>5591</v>
      </c>
      <c r="AD70" s="51" t="s">
        <v>949</v>
      </c>
      <c r="AE70" s="51" t="s">
        <v>882</v>
      </c>
      <c r="AF70" s="50" t="s">
        <v>950</v>
      </c>
      <c r="AH70" s="51" t="s">
        <v>899</v>
      </c>
      <c r="AJ70" s="52" t="s">
        <v>131</v>
      </c>
      <c r="AO70" s="51" t="s">
        <v>5614</v>
      </c>
      <c r="AP70" s="51" t="s">
        <v>5615</v>
      </c>
      <c r="AQ70" s="51" t="s">
        <v>5616</v>
      </c>
      <c r="AR70" s="51" t="s">
        <v>949</v>
      </c>
      <c r="AS70" s="51" t="s">
        <v>1610</v>
      </c>
      <c r="AT70" s="180" t="s">
        <v>950</v>
      </c>
      <c r="AV70" s="51" t="s">
        <v>4461</v>
      </c>
      <c r="AX70" s="52" t="s">
        <v>131</v>
      </c>
    </row>
    <row r="71" spans="1:53" x14ac:dyDescent="0.25">
      <c r="A71" s="51" t="s">
        <v>5560</v>
      </c>
      <c r="B71" s="51">
        <v>18</v>
      </c>
      <c r="E71" s="54" t="str" cm="1">
        <f t="array" aca="1" ref="E71" ca="1">IF(G71=0,IF(H71=0,"",HYPERLINK("#"&amp;RIGHT(CELL("adresse",OFFSET($P$6,H71-1,0)),LEN(CELL("adresse",OFFSET($P$6,H71-1,0)))),"Definition")),HYPERLINK("#"&amp;RIGHT(CELL("adresse",OFFSET(DMAV_Modell!$Q$6,G71-1,0)),LEN(CELL("adresse",OFFSET(DMAV_Modell!$Q$6,G71-1,0)))-SEARCH("]",CELL("adresse",OFFSET(DMAV_Modell!$Q$6,G71-1,0)))),"Definition"))</f>
        <v/>
      </c>
      <c r="F71" s="150" t="str">
        <f t="shared" ref="F71:F76" si="2">A71&amp;B71</f>
        <v>MAOV18</v>
      </c>
      <c r="G71" s="150">
        <f>IF(C71="",0,IF(ISNA(MATCH(C71,$F$6:$F$140,0)),MATCH(C71,DMAV_Modell!$G$6:$G$677,0),0))</f>
        <v>0</v>
      </c>
      <c r="H71" s="150">
        <f t="shared" ref="H71:H134" si="3">IF(C71="",0,IF(ISNA(MATCH(C71,$F$6:$F$140,0)),0,MATCH(C71,$F$6:$F$140,0)))</f>
        <v>0</v>
      </c>
      <c r="I71" s="54"/>
      <c r="J71" s="161"/>
      <c r="K71" s="161"/>
      <c r="M71" s="51" t="s">
        <v>5561</v>
      </c>
      <c r="N71" s="51" t="s">
        <v>5562</v>
      </c>
      <c r="O71" s="51" t="s">
        <v>5564</v>
      </c>
      <c r="P71" s="51" t="s">
        <v>949</v>
      </c>
      <c r="Q71" s="51" t="s">
        <v>585</v>
      </c>
      <c r="R71" s="50" t="s">
        <v>950</v>
      </c>
      <c r="T71" s="139" t="s">
        <v>5569</v>
      </c>
      <c r="U71" s="55"/>
      <c r="V71" s="140" t="s">
        <v>3598</v>
      </c>
      <c r="AA71" s="51" t="s">
        <v>5589</v>
      </c>
      <c r="AB71" s="51" t="s">
        <v>5590</v>
      </c>
      <c r="AC71" s="51" t="s">
        <v>5591</v>
      </c>
      <c r="AD71" s="51" t="s">
        <v>949</v>
      </c>
      <c r="AE71" s="51" t="s">
        <v>882</v>
      </c>
      <c r="AF71" s="50" t="s">
        <v>950</v>
      </c>
      <c r="AH71" s="51" t="s">
        <v>5596</v>
      </c>
      <c r="AJ71" s="52" t="s">
        <v>3598</v>
      </c>
      <c r="AO71" s="51" t="s">
        <v>5614</v>
      </c>
      <c r="AP71" s="51" t="s">
        <v>5615</v>
      </c>
      <c r="AQ71" s="51" t="s">
        <v>5616</v>
      </c>
      <c r="AR71" s="51" t="s">
        <v>949</v>
      </c>
      <c r="AS71" s="51" t="s">
        <v>1610</v>
      </c>
      <c r="AT71" s="180" t="s">
        <v>950</v>
      </c>
      <c r="AV71" s="51" t="s">
        <v>5620</v>
      </c>
      <c r="AX71" s="52" t="s">
        <v>3598</v>
      </c>
    </row>
    <row r="72" spans="1:53" x14ac:dyDescent="0.25">
      <c r="A72" s="51" t="s">
        <v>5560</v>
      </c>
      <c r="B72" s="51">
        <v>19</v>
      </c>
      <c r="E72" s="54" t="str" cm="1">
        <f t="array" aca="1" ref="E72" ca="1">IF(G72=0,IF(H72=0,"",HYPERLINK("#"&amp;RIGHT(CELL("adresse",OFFSET($P$6,H72-1,0)),LEN(CELL("adresse",OFFSET($P$6,H72-1,0)))),"Definition")),HYPERLINK("#"&amp;RIGHT(CELL("adresse",OFFSET(DMAV_Modell!$Q$6,G72-1,0)),LEN(CELL("adresse",OFFSET(DMAV_Modell!$Q$6,G72-1,0)))-SEARCH("]",CELL("adresse",OFFSET(DMAV_Modell!$Q$6,G72-1,0)))),"Definition"))</f>
        <v/>
      </c>
      <c r="F72" s="150" t="str">
        <f t="shared" si="2"/>
        <v>MAOV19</v>
      </c>
      <c r="G72" s="150">
        <f>IF(C72="",0,IF(ISNA(MATCH(C72,$F$6:$F$140,0)),MATCH(C72,DMAV_Modell!$G$6:$G$677,0),0))</f>
        <v>0</v>
      </c>
      <c r="H72" s="150">
        <f t="shared" si="3"/>
        <v>0</v>
      </c>
      <c r="I72" s="54"/>
      <c r="J72" s="161"/>
      <c r="K72" s="161"/>
      <c r="M72" s="51" t="s">
        <v>5561</v>
      </c>
      <c r="N72" s="51" t="s">
        <v>5562</v>
      </c>
      <c r="O72" s="51" t="s">
        <v>5564</v>
      </c>
      <c r="P72" s="51" t="s">
        <v>949</v>
      </c>
      <c r="Q72" s="51" t="s">
        <v>585</v>
      </c>
      <c r="R72" s="50" t="s">
        <v>950</v>
      </c>
      <c r="T72" s="52" t="s">
        <v>123</v>
      </c>
      <c r="V72" s="52" t="s">
        <v>1167</v>
      </c>
      <c r="AA72" s="51" t="s">
        <v>5589</v>
      </c>
      <c r="AB72" s="51" t="s">
        <v>5590</v>
      </c>
      <c r="AC72" s="51" t="s">
        <v>5591</v>
      </c>
      <c r="AD72" s="51" t="s">
        <v>949</v>
      </c>
      <c r="AE72" s="51" t="s">
        <v>882</v>
      </c>
      <c r="AF72" s="50" t="s">
        <v>950</v>
      </c>
      <c r="AH72" s="51" t="s">
        <v>123</v>
      </c>
      <c r="AJ72" s="52" t="s">
        <v>1167</v>
      </c>
      <c r="AO72" s="51" t="s">
        <v>5614</v>
      </c>
      <c r="AP72" s="51" t="s">
        <v>5615</v>
      </c>
      <c r="AQ72" s="51" t="s">
        <v>5616</v>
      </c>
      <c r="AR72" s="51" t="s">
        <v>949</v>
      </c>
      <c r="AS72" s="51" t="s">
        <v>1610</v>
      </c>
      <c r="AT72" s="180" t="s">
        <v>950</v>
      </c>
      <c r="AV72" s="51" t="s">
        <v>1247</v>
      </c>
      <c r="AX72" s="52" t="s">
        <v>1167</v>
      </c>
    </row>
    <row r="73" spans="1:53" ht="25.5" x14ac:dyDescent="0.25">
      <c r="A73" s="51" t="s">
        <v>5560</v>
      </c>
      <c r="B73" s="51">
        <v>20</v>
      </c>
      <c r="E73" s="54" t="str" cm="1">
        <f t="array" aca="1" ref="E73" ca="1">IF(G73=0,IF(H73=0,"",HYPERLINK("#"&amp;RIGHT(CELL("adresse",OFFSET($P$6,H73-1,0)),LEN(CELL("adresse",OFFSET($P$6,H73-1,0)))),"Definition")),HYPERLINK("#"&amp;RIGHT(CELL("adresse",OFFSET(DMAV_Modell!$Q$6,G73-1,0)),LEN(CELL("adresse",OFFSET(DMAV_Modell!$Q$6,G73-1,0)))-SEARCH("]",CELL("adresse",OFFSET(DMAV_Modell!$Q$6,G73-1,0)))),"Definition"))</f>
        <v/>
      </c>
      <c r="F73" s="150" t="str">
        <f t="shared" si="2"/>
        <v>MAOV20</v>
      </c>
      <c r="G73" s="150">
        <f>IF(C73="",0,IF(ISNA(MATCH(C73,$F$6:$F$140,0)),MATCH(C73,DMAV_Modell!$G$6:$G$677,0),0))</f>
        <v>0</v>
      </c>
      <c r="H73" s="150">
        <f t="shared" si="3"/>
        <v>0</v>
      </c>
      <c r="I73" s="54"/>
      <c r="J73" s="161"/>
      <c r="K73" s="161"/>
      <c r="M73" s="51" t="s">
        <v>5561</v>
      </c>
      <c r="N73" s="51" t="s">
        <v>5562</v>
      </c>
      <c r="O73" s="51" t="s">
        <v>5564</v>
      </c>
      <c r="P73" s="51" t="s">
        <v>957</v>
      </c>
      <c r="Q73" s="51" t="s">
        <v>585</v>
      </c>
      <c r="R73" s="50" t="s">
        <v>950</v>
      </c>
      <c r="T73" s="52" t="s">
        <v>5571</v>
      </c>
      <c r="V73" s="129" t="s">
        <v>5572</v>
      </c>
      <c r="Y73" s="203" t="s">
        <v>6116</v>
      </c>
      <c r="AA73" s="51" t="s">
        <v>5589</v>
      </c>
      <c r="AB73" s="51" t="s">
        <v>5590</v>
      </c>
      <c r="AC73" s="51" t="s">
        <v>5591</v>
      </c>
      <c r="AD73" s="51" t="s">
        <v>957</v>
      </c>
      <c r="AE73" s="51" t="s">
        <v>882</v>
      </c>
      <c r="AF73" s="50" t="s">
        <v>950</v>
      </c>
      <c r="AH73" s="51" t="s">
        <v>5571</v>
      </c>
      <c r="AJ73" s="52" t="s">
        <v>5600</v>
      </c>
      <c r="AM73" s="260" t="s">
        <v>7273</v>
      </c>
      <c r="AO73" s="51" t="s">
        <v>5614</v>
      </c>
      <c r="AP73" s="51" t="s">
        <v>5615</v>
      </c>
      <c r="AQ73" s="51" t="s">
        <v>5616</v>
      </c>
      <c r="AR73" s="51" t="s">
        <v>957</v>
      </c>
      <c r="AS73" s="51" t="s">
        <v>1610</v>
      </c>
      <c r="AT73" s="180" t="s">
        <v>950</v>
      </c>
      <c r="AV73" s="51" t="s">
        <v>5571</v>
      </c>
      <c r="AX73" s="52" t="s">
        <v>5624</v>
      </c>
      <c r="BA73" s="205" t="s">
        <v>6117</v>
      </c>
    </row>
    <row r="74" spans="1:53" x14ac:dyDescent="0.25">
      <c r="A74" s="51" t="s">
        <v>5560</v>
      </c>
      <c r="B74" s="51">
        <v>21</v>
      </c>
      <c r="E74" s="54" t="str" cm="1">
        <f t="array" aca="1" ref="E74" ca="1">IF(G74=0,IF(H74=0,"",HYPERLINK("#"&amp;RIGHT(CELL("adresse",OFFSET($P$6,H74-1,0)),LEN(CELL("adresse",OFFSET($P$6,H74-1,0)))),"Definition")),HYPERLINK("#"&amp;RIGHT(CELL("adresse",OFFSET(DMAV_Modell!$Q$6,G74-1,0)),LEN(CELL("adresse",OFFSET(DMAV_Modell!$Q$6,G74-1,0)))-SEARCH("]",CELL("adresse",OFFSET(DMAV_Modell!$Q$6,G74-1,0)))),"Definition"))</f>
        <v/>
      </c>
      <c r="F74" s="150" t="str">
        <f t="shared" si="2"/>
        <v>MAOV21</v>
      </c>
      <c r="G74" s="150">
        <f>IF(C74="",0,IF(ISNA(MATCH(C74,$F$6:$F$140,0)),MATCH(C74,DMAV_Modell!$G$6:$G$677,0),0))</f>
        <v>0</v>
      </c>
      <c r="H74" s="150">
        <f t="shared" si="3"/>
        <v>0</v>
      </c>
      <c r="I74" s="54"/>
      <c r="J74" s="161"/>
      <c r="K74" s="161"/>
      <c r="M74" s="51" t="s">
        <v>5561</v>
      </c>
      <c r="N74" s="51" t="s">
        <v>5562</v>
      </c>
      <c r="O74" s="51" t="s">
        <v>5564</v>
      </c>
      <c r="P74" s="51" t="s">
        <v>967</v>
      </c>
      <c r="Q74" s="51" t="s">
        <v>1169</v>
      </c>
      <c r="T74" s="52" t="s">
        <v>583</v>
      </c>
      <c r="V74" s="52" t="s">
        <v>583</v>
      </c>
      <c r="W74" s="51" t="s">
        <v>1058</v>
      </c>
      <c r="AA74" s="51" t="s">
        <v>5589</v>
      </c>
      <c r="AB74" s="51" t="s">
        <v>5590</v>
      </c>
      <c r="AC74" s="51" t="s">
        <v>5591</v>
      </c>
      <c r="AD74" s="51" t="s">
        <v>967</v>
      </c>
      <c r="AE74" s="51" t="s">
        <v>5601</v>
      </c>
      <c r="AH74" s="51" t="s">
        <v>881</v>
      </c>
      <c r="AJ74" s="52" t="s">
        <v>881</v>
      </c>
      <c r="AK74" s="51" t="s">
        <v>1058</v>
      </c>
      <c r="AO74" s="51" t="s">
        <v>5614</v>
      </c>
      <c r="AP74" s="51" t="s">
        <v>5615</v>
      </c>
      <c r="AQ74" s="51" t="s">
        <v>5616</v>
      </c>
      <c r="AR74" s="51" t="s">
        <v>967</v>
      </c>
      <c r="AS74" s="51" t="s">
        <v>5625</v>
      </c>
      <c r="AV74" s="51" t="s">
        <v>1643</v>
      </c>
      <c r="AX74" s="52" t="s">
        <v>1643</v>
      </c>
      <c r="AY74" s="51" t="s">
        <v>1058</v>
      </c>
    </row>
    <row r="75" spans="1:53" x14ac:dyDescent="0.25">
      <c r="A75" s="51" t="s">
        <v>5560</v>
      </c>
      <c r="B75" s="51">
        <v>22</v>
      </c>
      <c r="E75" s="54" t="str" cm="1">
        <f t="array" aca="1" ref="E75" ca="1">IF(G75=0,IF(H75=0,"",HYPERLINK("#"&amp;RIGHT(CELL("adresse",OFFSET($P$6,H75-1,0)),LEN(CELL("adresse",OFFSET($P$6,H75-1,0)))),"Definition")),HYPERLINK("#"&amp;RIGHT(CELL("adresse",OFFSET(DMAV_Modell!$Q$6,G75-1,0)),LEN(CELL("adresse",OFFSET(DMAV_Modell!$Q$6,G75-1,0)))-SEARCH("]",CELL("adresse",OFFSET(DMAV_Modell!$Q$6,G75-1,0)))),"Definition"))</f>
        <v/>
      </c>
      <c r="F75" s="150" t="str">
        <f t="shared" si="2"/>
        <v>MAOV22</v>
      </c>
      <c r="G75" s="150">
        <f>IF(C75="",0,IF(ISNA(MATCH(C75,$F$6:$F$140,0)),MATCH(C75,DMAV_Modell!$G$6:$G$677,0),0))</f>
        <v>0</v>
      </c>
      <c r="H75" s="150">
        <f t="shared" si="3"/>
        <v>0</v>
      </c>
      <c r="I75" s="54"/>
      <c r="J75" s="161"/>
      <c r="K75" s="161"/>
      <c r="M75" s="51" t="s">
        <v>5561</v>
      </c>
      <c r="N75" s="51" t="s">
        <v>5562</v>
      </c>
      <c r="O75" s="51" t="s">
        <v>5564</v>
      </c>
      <c r="P75" s="51" t="s">
        <v>967</v>
      </c>
      <c r="Q75" s="51" t="s">
        <v>1169</v>
      </c>
      <c r="T75" s="52" t="s">
        <v>585</v>
      </c>
      <c r="V75" s="52" t="s">
        <v>585</v>
      </c>
      <c r="W75" s="51" t="s">
        <v>1014</v>
      </c>
      <c r="AA75" s="51" t="s">
        <v>5589</v>
      </c>
      <c r="AB75" s="51" t="s">
        <v>5590</v>
      </c>
      <c r="AC75" s="51" t="s">
        <v>5591</v>
      </c>
      <c r="AD75" s="51" t="s">
        <v>967</v>
      </c>
      <c r="AE75" s="51" t="s">
        <v>5601</v>
      </c>
      <c r="AH75" s="51" t="s">
        <v>882</v>
      </c>
      <c r="AJ75" s="52" t="s">
        <v>882</v>
      </c>
      <c r="AK75" s="51" t="s">
        <v>1014</v>
      </c>
      <c r="AO75" s="51" t="s">
        <v>5614</v>
      </c>
      <c r="AP75" s="51" t="s">
        <v>5615</v>
      </c>
      <c r="AQ75" s="51" t="s">
        <v>5616</v>
      </c>
      <c r="AR75" s="51" t="s">
        <v>967</v>
      </c>
      <c r="AS75" s="51" t="s">
        <v>5625</v>
      </c>
      <c r="AV75" s="51" t="s">
        <v>1610</v>
      </c>
      <c r="AX75" s="52" t="s">
        <v>1610</v>
      </c>
      <c r="AY75" s="51" t="s">
        <v>1014</v>
      </c>
    </row>
    <row r="76" spans="1:53" x14ac:dyDescent="0.25">
      <c r="A76" s="193" t="s">
        <v>5798</v>
      </c>
      <c r="B76" s="51">
        <v>1</v>
      </c>
      <c r="E76" s="54" t="str" cm="1">
        <f t="array" aca="1" ref="E76" ca="1">IF(G76=0,IF(H76=0,"",HYPERLINK("#"&amp;RIGHT(CELL("adresse",OFFSET($P$6,H76-1,0)),LEN(CELL("adresse",OFFSET($P$6,H76-1,0)))),"Definition")),HYPERLINK("#"&amp;RIGHT(CELL("adresse",OFFSET(DMAV_Modell!$Q$6,G76-1,0)),LEN(CELL("adresse",OFFSET(DMAV_Modell!$Q$6,G76-1,0)))-SEARCH("]",CELL("adresse",OFFSET(DMAV_Modell!$Q$6,G76-1,0)))),"Definition"))</f>
        <v/>
      </c>
      <c r="F76" s="150" t="str">
        <f t="shared" si="2"/>
        <v>MFPK1</v>
      </c>
      <c r="G76" s="150">
        <f>IF(C76="",0,IF(ISNA(MATCH(C76,$F$6:$F$140,0)),MATCH(C76,DMAV_Modell!$G$6:$G$677,0),0))</f>
        <v>0</v>
      </c>
      <c r="H76" s="150">
        <f t="shared" si="3"/>
        <v>0</v>
      </c>
      <c r="M76" s="51" t="s">
        <v>5739</v>
      </c>
      <c r="N76" s="51" t="s">
        <v>3603</v>
      </c>
      <c r="P76" s="51" t="s">
        <v>910</v>
      </c>
      <c r="Q76" s="51" t="s">
        <v>992</v>
      </c>
      <c r="AA76" s="51" t="s">
        <v>5878</v>
      </c>
      <c r="AB76" s="51" t="s">
        <v>3912</v>
      </c>
      <c r="AD76" s="51" t="s">
        <v>910</v>
      </c>
      <c r="AE76" s="51" t="s">
        <v>992</v>
      </c>
      <c r="AO76" s="51" t="s">
        <v>6056</v>
      </c>
      <c r="AP76" s="51" t="s">
        <v>3914</v>
      </c>
      <c r="AR76" s="51" t="s">
        <v>910</v>
      </c>
      <c r="AS76" s="51" t="s">
        <v>6057</v>
      </c>
    </row>
    <row r="77" spans="1:53" x14ac:dyDescent="0.25">
      <c r="A77" s="193" t="s">
        <v>5798</v>
      </c>
      <c r="B77" s="51">
        <v>2</v>
      </c>
      <c r="E77" s="54" t="str" cm="1">
        <f t="array" aca="1" ref="E77" ca="1">IF(G77=0,IF(H77=0,"",HYPERLINK("#"&amp;RIGHT(CELL("adresse",OFFSET($P$6,H77-1,0)),LEN(CELL("adresse",OFFSET($P$6,H77-1,0)))),"Definition")),HYPERLINK("#"&amp;RIGHT(CELL("adresse",OFFSET(DMAV_Modell!$Q$6,G77-1,0)),LEN(CELL("adresse",OFFSET(DMAV_Modell!$Q$6,G77-1,0)))-SEARCH("]",CELL("adresse",OFFSET(DMAV_Modell!$Q$6,G77-1,0)))),"Definition"))</f>
        <v/>
      </c>
      <c r="F77" s="150" t="str">
        <f>A77&amp;B77</f>
        <v>MFPK2</v>
      </c>
      <c r="G77" s="150">
        <f>IF(C77="",0,IF(ISNA(MATCH(C77,$F$6:$F$140,0)),MATCH(C77,DMAV_Modell!$G$6:$G$677,0),0))</f>
        <v>0</v>
      </c>
      <c r="H77" s="150">
        <f t="shared" si="3"/>
        <v>0</v>
      </c>
      <c r="M77" s="51" t="s">
        <v>5739</v>
      </c>
      <c r="N77" s="51" t="s">
        <v>3603</v>
      </c>
      <c r="P77" s="51" t="s">
        <v>910</v>
      </c>
      <c r="Q77" s="51" t="s">
        <v>932</v>
      </c>
      <c r="AA77" s="51" t="s">
        <v>5878</v>
      </c>
      <c r="AB77" s="51" t="s">
        <v>3912</v>
      </c>
      <c r="AD77" s="51" t="s">
        <v>910</v>
      </c>
      <c r="AE77" s="51" t="s">
        <v>932</v>
      </c>
      <c r="AO77" s="51" t="s">
        <v>6056</v>
      </c>
      <c r="AP77" s="51" t="s">
        <v>3914</v>
      </c>
      <c r="AR77" s="51" t="s">
        <v>910</v>
      </c>
      <c r="AS77" s="51" t="s">
        <v>6058</v>
      </c>
    </row>
    <row r="78" spans="1:53" x14ac:dyDescent="0.25">
      <c r="A78" s="193" t="s">
        <v>5798</v>
      </c>
      <c r="B78" s="51">
        <v>3</v>
      </c>
      <c r="E78" s="54" t="str" cm="1">
        <f t="array" aca="1" ref="E78" ca="1">IF(G78=0,IF(H78=0,"",HYPERLINK("#"&amp;RIGHT(CELL("adresse",OFFSET($P$6,H78-1,0)),LEN(CELL("adresse",OFFSET($P$6,H78-1,0)))),"Definition")),HYPERLINK("#"&amp;RIGHT(CELL("adresse",OFFSET(DMAV_Modell!$Q$6,G78-1,0)),LEN(CELL("adresse",OFFSET(DMAV_Modell!$Q$6,G78-1,0)))-SEARCH("]",CELL("adresse",OFFSET(DMAV_Modell!$Q$6,G78-1,0)))),"Definition"))</f>
        <v/>
      </c>
      <c r="F78" s="150" t="str">
        <f t="shared" ref="F78:F140" si="4">A78&amp;B78</f>
        <v>MFPK3</v>
      </c>
      <c r="G78" s="150">
        <f>IF(C78="",0,IF(ISNA(MATCH(C78,$F$6:$F$140,0)),MATCH(C78,DMAV_Modell!$G$6:$G$677,0),0))</f>
        <v>0</v>
      </c>
      <c r="H78" s="150">
        <f t="shared" si="3"/>
        <v>0</v>
      </c>
      <c r="M78" s="51" t="s">
        <v>5739</v>
      </c>
      <c r="N78" s="51" t="s">
        <v>3603</v>
      </c>
      <c r="P78" s="51" t="s">
        <v>927</v>
      </c>
      <c r="Q78" s="51" t="s">
        <v>939</v>
      </c>
      <c r="V78" s="131" t="s">
        <v>5740</v>
      </c>
      <c r="AA78" s="51" t="s">
        <v>5878</v>
      </c>
      <c r="AB78" s="51" t="s">
        <v>3912</v>
      </c>
      <c r="AD78" s="51" t="s">
        <v>927</v>
      </c>
      <c r="AE78" s="51" t="s">
        <v>1854</v>
      </c>
      <c r="AJ78" s="52" t="s">
        <v>5740</v>
      </c>
      <c r="AO78" s="51" t="s">
        <v>6056</v>
      </c>
      <c r="AP78" s="51" t="s">
        <v>3914</v>
      </c>
      <c r="AR78" s="51" t="s">
        <v>927</v>
      </c>
      <c r="AS78" s="51" t="s">
        <v>1852</v>
      </c>
      <c r="AX78" s="52" t="s">
        <v>5740</v>
      </c>
    </row>
    <row r="79" spans="1:53" x14ac:dyDescent="0.25">
      <c r="A79" s="193" t="s">
        <v>5798</v>
      </c>
      <c r="B79" s="51">
        <v>4</v>
      </c>
      <c r="E79" s="54" t="str" cm="1">
        <f t="array" aca="1" ref="E79" ca="1">IF(G79=0,IF(H79=0,"",HYPERLINK("#"&amp;RIGHT(CELL("adresse",OFFSET($P$6,H79-1,0)),LEN(CELL("adresse",OFFSET($P$6,H79-1,0)))),"Definition")),HYPERLINK("#"&amp;RIGHT(CELL("adresse",OFFSET(DMAV_Modell!$Q$6,G79-1,0)),LEN(CELL("adresse",OFFSET(DMAV_Modell!$Q$6,G79-1,0)))-SEARCH("]",CELL("adresse",OFFSET(DMAV_Modell!$Q$6,G79-1,0)))),"Definition"))</f>
        <v/>
      </c>
      <c r="F79" s="150" t="str">
        <f t="shared" si="4"/>
        <v>MFPK4</v>
      </c>
      <c r="G79" s="150">
        <f>IF(C79="",0,IF(ISNA(MATCH(C79,$F$6:$F$140,0)),MATCH(C79,DMAV_Modell!$G$6:$G$677,0),0))</f>
        <v>0</v>
      </c>
      <c r="H79" s="150">
        <f t="shared" si="3"/>
        <v>0</v>
      </c>
      <c r="M79" s="51" t="s">
        <v>5739</v>
      </c>
      <c r="N79" s="51" t="s">
        <v>3603</v>
      </c>
      <c r="P79" s="51" t="s">
        <v>927</v>
      </c>
      <c r="Q79" s="51" t="s">
        <v>96</v>
      </c>
      <c r="V79" s="131" t="s">
        <v>951</v>
      </c>
      <c r="AA79" s="51" t="s">
        <v>5878</v>
      </c>
      <c r="AB79" s="51" t="s">
        <v>3912</v>
      </c>
      <c r="AD79" s="51" t="s">
        <v>927</v>
      </c>
      <c r="AE79" s="51" t="s">
        <v>733</v>
      </c>
      <c r="AJ79" s="52" t="s">
        <v>951</v>
      </c>
      <c r="AO79" s="51" t="s">
        <v>6056</v>
      </c>
      <c r="AP79" s="51" t="s">
        <v>3914</v>
      </c>
      <c r="AR79" s="51" t="s">
        <v>927</v>
      </c>
      <c r="AS79" s="51" t="s">
        <v>1378</v>
      </c>
      <c r="AX79" s="52" t="s">
        <v>951</v>
      </c>
    </row>
    <row r="80" spans="1:53" x14ac:dyDescent="0.25">
      <c r="A80" s="193" t="s">
        <v>5798</v>
      </c>
      <c r="B80" s="51">
        <v>5</v>
      </c>
      <c r="E80" s="54" t="str" cm="1">
        <f t="array" aca="1" ref="E80" ca="1">IF(G80=0,IF(H80=0,"",HYPERLINK("#"&amp;RIGHT(CELL("adresse",OFFSET($P$6,H80-1,0)),LEN(CELL("adresse",OFFSET($P$6,H80-1,0)))),"Definition")),HYPERLINK("#"&amp;RIGHT(CELL("adresse",OFFSET(DMAV_Modell!$Q$6,G80-1,0)),LEN(CELL("adresse",OFFSET(DMAV_Modell!$Q$6,G80-1,0)))-SEARCH("]",CELL("adresse",OFFSET(DMAV_Modell!$Q$6,G80-1,0)))),"Definition"))</f>
        <v/>
      </c>
      <c r="F80" s="150" t="str">
        <f t="shared" si="4"/>
        <v>MFPK5</v>
      </c>
      <c r="G80" s="150">
        <f>IF(C80="",0,IF(ISNA(MATCH(C80,$F$6:$F$140,0)),MATCH(C80,DMAV_Modell!$G$6:$G$677,0),0))</f>
        <v>0</v>
      </c>
      <c r="H80" s="150">
        <f t="shared" si="3"/>
        <v>0</v>
      </c>
      <c r="M80" s="51" t="s">
        <v>5739</v>
      </c>
      <c r="N80" s="51" t="s">
        <v>3603</v>
      </c>
      <c r="P80" s="51" t="s">
        <v>927</v>
      </c>
      <c r="Q80" s="51" t="s">
        <v>941</v>
      </c>
      <c r="V80" s="131" t="s">
        <v>2723</v>
      </c>
      <c r="AA80" s="51" t="s">
        <v>5878</v>
      </c>
      <c r="AB80" s="51" t="s">
        <v>3912</v>
      </c>
      <c r="AD80" s="51" t="s">
        <v>927</v>
      </c>
      <c r="AE80" s="51" t="s">
        <v>1849</v>
      </c>
      <c r="AJ80" s="52" t="s">
        <v>2721</v>
      </c>
      <c r="AO80" s="51" t="s">
        <v>6056</v>
      </c>
      <c r="AP80" s="51" t="s">
        <v>3914</v>
      </c>
      <c r="AR80" s="51" t="s">
        <v>927</v>
      </c>
      <c r="AS80" s="51" t="s">
        <v>1847</v>
      </c>
      <c r="AX80" s="52" t="s">
        <v>2719</v>
      </c>
    </row>
    <row r="81" spans="1:50" x14ac:dyDescent="0.25">
      <c r="A81" s="193" t="s">
        <v>5798</v>
      </c>
      <c r="B81" s="51">
        <v>6</v>
      </c>
      <c r="E81" s="54" t="str" cm="1">
        <f t="array" aca="1" ref="E81" ca="1">IF(G81=0,IF(H81=0,"",HYPERLINK("#"&amp;RIGHT(CELL("adresse",OFFSET($P$6,H81-1,0)),LEN(CELL("adresse",OFFSET($P$6,H81-1,0)))),"Definition")),HYPERLINK("#"&amp;RIGHT(CELL("adresse",OFFSET(DMAV_Modell!$Q$6,G81-1,0)),LEN(CELL("adresse",OFFSET(DMAV_Modell!$Q$6,G81-1,0)))-SEARCH("]",CELL("adresse",OFFSET(DMAV_Modell!$Q$6,G81-1,0)))),"Definition"))</f>
        <v/>
      </c>
      <c r="F81" s="150" t="str">
        <f t="shared" si="4"/>
        <v>MFPK6</v>
      </c>
      <c r="G81" s="150">
        <f>IF(C81="",0,IF(ISNA(MATCH(C81,$F$6:$F$140,0)),MATCH(C81,DMAV_Modell!$G$6:$G$677,0),0))</f>
        <v>0</v>
      </c>
      <c r="H81" s="150">
        <f t="shared" si="3"/>
        <v>0</v>
      </c>
      <c r="M81" s="51" t="s">
        <v>5739</v>
      </c>
      <c r="N81" s="51" t="s">
        <v>3603</v>
      </c>
      <c r="P81" s="51" t="s">
        <v>927</v>
      </c>
      <c r="Q81" s="51" t="s">
        <v>941</v>
      </c>
      <c r="V81" s="131" t="s">
        <v>2717</v>
      </c>
      <c r="AA81" s="51" t="s">
        <v>5878</v>
      </c>
      <c r="AB81" s="51" t="s">
        <v>3912</v>
      </c>
      <c r="AD81" s="51" t="s">
        <v>927</v>
      </c>
      <c r="AE81" s="51" t="s">
        <v>1849</v>
      </c>
      <c r="AJ81" s="52" t="s">
        <v>2715</v>
      </c>
      <c r="AO81" s="51" t="s">
        <v>6056</v>
      </c>
      <c r="AP81" s="51" t="s">
        <v>3914</v>
      </c>
      <c r="AR81" s="51" t="s">
        <v>927</v>
      </c>
      <c r="AS81" s="51" t="s">
        <v>1847</v>
      </c>
      <c r="AX81" s="52" t="s">
        <v>2713</v>
      </c>
    </row>
    <row r="82" spans="1:50" x14ac:dyDescent="0.25">
      <c r="A82" s="193" t="s">
        <v>5798</v>
      </c>
      <c r="B82" s="51">
        <v>7</v>
      </c>
      <c r="E82" s="54" t="str" cm="1">
        <f t="array" aca="1" ref="E82" ca="1">IF(G82=0,IF(H82=0,"",HYPERLINK("#"&amp;RIGHT(CELL("adresse",OFFSET($P$6,H82-1,0)),LEN(CELL("adresse",OFFSET($P$6,H82-1,0)))),"Definition")),HYPERLINK("#"&amp;RIGHT(CELL("adresse",OFFSET(DMAV_Modell!$Q$6,G82-1,0)),LEN(CELL("adresse",OFFSET(DMAV_Modell!$Q$6,G82-1,0)))-SEARCH("]",CELL("adresse",OFFSET(DMAV_Modell!$Q$6,G82-1,0)))),"Definition"))</f>
        <v/>
      </c>
      <c r="F82" s="150" t="str">
        <f t="shared" si="4"/>
        <v>MFPK7</v>
      </c>
      <c r="G82" s="150">
        <f>IF(C82="",0,IF(ISNA(MATCH(C82,$F$6:$F$140,0)),MATCH(C82,DMAV_Modell!$G$6:$G$677,0),0))</f>
        <v>0</v>
      </c>
      <c r="H82" s="150">
        <f t="shared" si="3"/>
        <v>0</v>
      </c>
      <c r="M82" s="51" t="s">
        <v>5739</v>
      </c>
      <c r="N82" s="51" t="s">
        <v>3603</v>
      </c>
      <c r="O82" s="51" t="s">
        <v>5741</v>
      </c>
      <c r="P82" s="51" t="s">
        <v>949</v>
      </c>
      <c r="Q82" s="51" t="s">
        <v>5742</v>
      </c>
      <c r="R82" s="50" t="s">
        <v>950</v>
      </c>
      <c r="T82" s="52" t="s">
        <v>5743</v>
      </c>
      <c r="V82" s="131" t="s">
        <v>956</v>
      </c>
      <c r="AA82" s="51" t="s">
        <v>5878</v>
      </c>
      <c r="AB82" s="51" t="s">
        <v>3912</v>
      </c>
      <c r="AC82" s="51" t="s">
        <v>5741</v>
      </c>
      <c r="AD82" s="51" t="s">
        <v>949</v>
      </c>
      <c r="AE82" s="51" t="s">
        <v>5879</v>
      </c>
      <c r="AF82" s="50" t="s">
        <v>950</v>
      </c>
      <c r="AH82" s="51" t="s">
        <v>5880</v>
      </c>
      <c r="AJ82" s="52" t="s">
        <v>956</v>
      </c>
      <c r="AO82" s="51" t="s">
        <v>6056</v>
      </c>
      <c r="AP82" s="51" t="s">
        <v>3914</v>
      </c>
      <c r="AQ82" s="51" t="s">
        <v>5741</v>
      </c>
      <c r="AR82" s="51" t="s">
        <v>949</v>
      </c>
      <c r="AS82" s="51" t="s">
        <v>6059</v>
      </c>
      <c r="AT82" s="180" t="s">
        <v>950</v>
      </c>
      <c r="AV82" s="51" t="s">
        <v>6060</v>
      </c>
      <c r="AX82" s="52" t="s">
        <v>956</v>
      </c>
    </row>
    <row r="83" spans="1:50" x14ac:dyDescent="0.25">
      <c r="A83" s="193" t="s">
        <v>5798</v>
      </c>
      <c r="B83" s="51">
        <v>8</v>
      </c>
      <c r="E83" s="54" t="str" cm="1">
        <f t="array" aca="1" ref="E83" ca="1">IF(G83=0,IF(H83=0,"",HYPERLINK("#"&amp;RIGHT(CELL("adresse",OFFSET($P$6,H83-1,0)),LEN(CELL("adresse",OFFSET($P$6,H83-1,0)))),"Definition")),HYPERLINK("#"&amp;RIGHT(CELL("adresse",OFFSET(DMAV_Modell!$Q$6,G83-1,0)),LEN(CELL("adresse",OFFSET(DMAV_Modell!$Q$6,G83-1,0)))-SEARCH("]",CELL("adresse",OFFSET(DMAV_Modell!$Q$6,G83-1,0)))),"Definition"))</f>
        <v/>
      </c>
      <c r="F83" s="150" t="str">
        <f t="shared" si="4"/>
        <v>MFPK8</v>
      </c>
      <c r="G83" s="150">
        <f>IF(C83="",0,IF(ISNA(MATCH(C83,$F$6:$F$140,0)),MATCH(C83,DMAV_Modell!$G$6:$G$677,0),0))</f>
        <v>0</v>
      </c>
      <c r="H83" s="150">
        <f t="shared" si="3"/>
        <v>0</v>
      </c>
      <c r="M83" s="51" t="s">
        <v>5739</v>
      </c>
      <c r="N83" s="51" t="s">
        <v>3603</v>
      </c>
      <c r="O83" s="51" t="s">
        <v>5741</v>
      </c>
      <c r="P83" s="51" t="s">
        <v>949</v>
      </c>
      <c r="Q83" s="51" t="s">
        <v>5742</v>
      </c>
      <c r="R83" s="50" t="s">
        <v>950</v>
      </c>
      <c r="T83" s="52" t="s">
        <v>5744</v>
      </c>
      <c r="V83" s="131" t="s">
        <v>5745</v>
      </c>
      <c r="AA83" s="51" t="s">
        <v>5878</v>
      </c>
      <c r="AB83" s="51" t="s">
        <v>3912</v>
      </c>
      <c r="AC83" s="51" t="s">
        <v>5741</v>
      </c>
      <c r="AD83" s="51" t="s">
        <v>949</v>
      </c>
      <c r="AE83" s="51" t="s">
        <v>5879</v>
      </c>
      <c r="AF83" s="50" t="s">
        <v>950</v>
      </c>
      <c r="AH83" s="51" t="s">
        <v>5744</v>
      </c>
      <c r="AJ83" s="52" t="s">
        <v>5745</v>
      </c>
      <c r="AO83" s="51" t="s">
        <v>6056</v>
      </c>
      <c r="AP83" s="51" t="s">
        <v>3914</v>
      </c>
      <c r="AQ83" s="51" t="s">
        <v>5741</v>
      </c>
      <c r="AR83" s="51" t="s">
        <v>949</v>
      </c>
      <c r="AS83" s="51" t="s">
        <v>6059</v>
      </c>
      <c r="AT83" s="180" t="s">
        <v>950</v>
      </c>
      <c r="AV83" s="51" t="s">
        <v>5744</v>
      </c>
      <c r="AX83" s="52" t="s">
        <v>5745</v>
      </c>
    </row>
    <row r="84" spans="1:50" x14ac:dyDescent="0.25">
      <c r="A84" s="193" t="s">
        <v>5798</v>
      </c>
      <c r="B84" s="51">
        <v>9</v>
      </c>
      <c r="E84" s="54" t="str" cm="1">
        <f t="array" aca="1" ref="E84" ca="1">IF(G84=0,IF(H84=0,"",HYPERLINK("#"&amp;RIGHT(CELL("adresse",OFFSET($P$6,H84-1,0)),LEN(CELL("adresse",OFFSET($P$6,H84-1,0)))),"Definition")),HYPERLINK("#"&amp;RIGHT(CELL("adresse",OFFSET(DMAV_Modell!$Q$6,G84-1,0)),LEN(CELL("adresse",OFFSET(DMAV_Modell!$Q$6,G84-1,0)))-SEARCH("]",CELL("adresse",OFFSET(DMAV_Modell!$Q$6,G84-1,0)))),"Definition"))</f>
        <v/>
      </c>
      <c r="F84" s="150" t="str">
        <f t="shared" si="4"/>
        <v>MFPK9</v>
      </c>
      <c r="G84" s="150">
        <f>IF(C84="",0,IF(ISNA(MATCH(C84,$F$6:$F$140,0)),MATCH(C84,DMAV_Modell!$G$6:$G$677,0),0))</f>
        <v>0</v>
      </c>
      <c r="H84" s="150">
        <f t="shared" si="3"/>
        <v>0</v>
      </c>
      <c r="M84" s="51" t="s">
        <v>5739</v>
      </c>
      <c r="N84" s="51" t="s">
        <v>3603</v>
      </c>
      <c r="O84" s="51" t="s">
        <v>5741</v>
      </c>
      <c r="P84" s="51" t="s">
        <v>949</v>
      </c>
      <c r="Q84" s="51" t="s">
        <v>5746</v>
      </c>
      <c r="R84" s="50" t="s">
        <v>950</v>
      </c>
      <c r="T84" s="52" t="s">
        <v>1348</v>
      </c>
      <c r="V84" s="131" t="s">
        <v>5747</v>
      </c>
      <c r="AA84" s="51" t="s">
        <v>5878</v>
      </c>
      <c r="AB84" s="51" t="s">
        <v>3912</v>
      </c>
      <c r="AC84" s="51" t="s">
        <v>5741</v>
      </c>
      <c r="AD84" s="51" t="s">
        <v>949</v>
      </c>
      <c r="AE84" s="51" t="s">
        <v>5881</v>
      </c>
      <c r="AF84" s="50" t="s">
        <v>950</v>
      </c>
      <c r="AH84" s="51" t="s">
        <v>5882</v>
      </c>
      <c r="AJ84" s="52" t="s">
        <v>5747</v>
      </c>
      <c r="AO84" s="51" t="s">
        <v>6056</v>
      </c>
      <c r="AP84" s="51" t="s">
        <v>3914</v>
      </c>
      <c r="AQ84" s="51" t="s">
        <v>5741</v>
      </c>
      <c r="AR84" s="51" t="s">
        <v>949</v>
      </c>
      <c r="AS84" s="51" t="s">
        <v>6061</v>
      </c>
      <c r="AT84" s="180" t="s">
        <v>950</v>
      </c>
      <c r="AV84" s="51" t="s">
        <v>1346</v>
      </c>
      <c r="AX84" s="52" t="s">
        <v>5747</v>
      </c>
    </row>
    <row r="85" spans="1:50" x14ac:dyDescent="0.25">
      <c r="A85" s="193" t="s">
        <v>5798</v>
      </c>
      <c r="B85" s="51">
        <v>10</v>
      </c>
      <c r="E85" s="54" t="str" cm="1">
        <f t="array" aca="1" ref="E85" ca="1">IF(G85=0,IF(H85=0,"",HYPERLINK("#"&amp;RIGHT(CELL("adresse",OFFSET($P$6,H85-1,0)),LEN(CELL("adresse",OFFSET($P$6,H85-1,0)))),"Definition")),HYPERLINK("#"&amp;RIGHT(CELL("adresse",OFFSET(DMAV_Modell!$Q$6,G85-1,0)),LEN(CELL("adresse",OFFSET(DMAV_Modell!$Q$6,G85-1,0)))-SEARCH("]",CELL("adresse",OFFSET(DMAV_Modell!$Q$6,G85-1,0)))),"Definition"))</f>
        <v/>
      </c>
      <c r="F85" s="150" t="str">
        <f t="shared" si="4"/>
        <v>MFPK10</v>
      </c>
      <c r="G85" s="150">
        <f>IF(C85="",0,IF(ISNA(MATCH(C85,$F$6:$F$140,0)),MATCH(C85,DMAV_Modell!$G$6:$G$677,0),0))</f>
        <v>0</v>
      </c>
      <c r="H85" s="150">
        <f t="shared" si="3"/>
        <v>0</v>
      </c>
      <c r="M85" s="51" t="s">
        <v>5739</v>
      </c>
      <c r="N85" s="51" t="s">
        <v>3603</v>
      </c>
      <c r="O85" s="51" t="s">
        <v>5741</v>
      </c>
      <c r="P85" s="51" t="s">
        <v>949</v>
      </c>
      <c r="Q85" s="51" t="s">
        <v>5748</v>
      </c>
      <c r="R85" s="50" t="s">
        <v>950</v>
      </c>
      <c r="T85" s="52" t="s">
        <v>3407</v>
      </c>
      <c r="V85" s="131" t="s">
        <v>3418</v>
      </c>
      <c r="AA85" s="51" t="s">
        <v>5878</v>
      </c>
      <c r="AB85" s="51" t="s">
        <v>3912</v>
      </c>
      <c r="AC85" s="51" t="s">
        <v>5741</v>
      </c>
      <c r="AD85" s="51" t="s">
        <v>949</v>
      </c>
      <c r="AE85" s="51" t="s">
        <v>5883</v>
      </c>
      <c r="AF85" s="50" t="s">
        <v>950</v>
      </c>
      <c r="AH85" s="51" t="s">
        <v>3557</v>
      </c>
      <c r="AJ85" s="52" t="s">
        <v>3418</v>
      </c>
      <c r="AO85" s="51" t="s">
        <v>6056</v>
      </c>
      <c r="AP85" s="51" t="s">
        <v>3914</v>
      </c>
      <c r="AQ85" s="51" t="s">
        <v>5741</v>
      </c>
      <c r="AR85" s="51" t="s">
        <v>949</v>
      </c>
      <c r="AS85" s="51" t="s">
        <v>6062</v>
      </c>
      <c r="AT85" s="180" t="s">
        <v>950</v>
      </c>
      <c r="AV85" s="51" t="s">
        <v>3975</v>
      </c>
      <c r="AX85" s="52" t="s">
        <v>3418</v>
      </c>
    </row>
    <row r="86" spans="1:50" x14ac:dyDescent="0.25">
      <c r="A86" s="193" t="s">
        <v>5798</v>
      </c>
      <c r="B86" s="51">
        <v>11</v>
      </c>
      <c r="E86" s="54" t="str" cm="1">
        <f t="array" aca="1" ref="E86" ca="1">IF(G86=0,IF(H86=0,"",HYPERLINK("#"&amp;RIGHT(CELL("adresse",OFFSET($P$6,H86-1,0)),LEN(CELL("adresse",OFFSET($P$6,H86-1,0)))),"Definition")),HYPERLINK("#"&amp;RIGHT(CELL("adresse",OFFSET(DMAV_Modell!$Q$6,G86-1,0)),LEN(CELL("adresse",OFFSET(DMAV_Modell!$Q$6,G86-1,0)))-SEARCH("]",CELL("adresse",OFFSET(DMAV_Modell!$Q$6,G86-1,0)))),"Definition"))</f>
        <v/>
      </c>
      <c r="F86" s="150" t="str">
        <f t="shared" si="4"/>
        <v>MFPK11</v>
      </c>
      <c r="G86" s="150">
        <f>IF(C86="",0,IF(ISNA(MATCH(C86,$F$6:$F$140,0)),MATCH(C86,DMAV_Modell!$G$6:$G$677,0),0))</f>
        <v>0</v>
      </c>
      <c r="H86" s="150">
        <f t="shared" si="3"/>
        <v>0</v>
      </c>
      <c r="M86" s="51" t="s">
        <v>5739</v>
      </c>
      <c r="N86" s="51" t="s">
        <v>3603</v>
      </c>
      <c r="O86" s="51" t="s">
        <v>5741</v>
      </c>
      <c r="P86" s="51" t="s">
        <v>949</v>
      </c>
      <c r="Q86" s="51" t="s">
        <v>5748</v>
      </c>
      <c r="R86" s="50" t="s">
        <v>950</v>
      </c>
      <c r="T86" s="52" t="s">
        <v>5</v>
      </c>
      <c r="V86" s="131" t="s">
        <v>5749</v>
      </c>
      <c r="AA86" s="51" t="s">
        <v>5878</v>
      </c>
      <c r="AB86" s="51" t="s">
        <v>3912</v>
      </c>
      <c r="AC86" s="51" t="s">
        <v>5741</v>
      </c>
      <c r="AD86" s="51" t="s">
        <v>949</v>
      </c>
      <c r="AE86" s="51" t="s">
        <v>5883</v>
      </c>
      <c r="AF86" s="50" t="s">
        <v>950</v>
      </c>
      <c r="AH86" s="51" t="s">
        <v>702</v>
      </c>
      <c r="AJ86" s="52" t="s">
        <v>5749</v>
      </c>
      <c r="AO86" s="51" t="s">
        <v>6056</v>
      </c>
      <c r="AP86" s="51" t="s">
        <v>3914</v>
      </c>
      <c r="AQ86" s="51" t="s">
        <v>5741</v>
      </c>
      <c r="AR86" s="51" t="s">
        <v>949</v>
      </c>
      <c r="AS86" s="51" t="s">
        <v>6062</v>
      </c>
      <c r="AT86" s="180" t="s">
        <v>950</v>
      </c>
      <c r="AV86" s="51" t="s">
        <v>1700</v>
      </c>
      <c r="AX86" s="52" t="s">
        <v>5749</v>
      </c>
    </row>
    <row r="87" spans="1:50" x14ac:dyDescent="0.25">
      <c r="A87" s="193" t="s">
        <v>5798</v>
      </c>
      <c r="B87" s="51">
        <v>12</v>
      </c>
      <c r="E87" s="54" t="str" cm="1">
        <f t="array" aca="1" ref="E87" ca="1">IF(G87=0,IF(H87=0,"",HYPERLINK("#"&amp;RIGHT(CELL("adresse",OFFSET($P$6,H87-1,0)),LEN(CELL("adresse",OFFSET($P$6,H87-1,0)))),"Definition")),HYPERLINK("#"&amp;RIGHT(CELL("adresse",OFFSET(DMAV_Modell!$Q$6,G87-1,0)),LEN(CELL("adresse",OFFSET(DMAV_Modell!$Q$6,G87-1,0)))-SEARCH("]",CELL("adresse",OFFSET(DMAV_Modell!$Q$6,G87-1,0)))),"Definition"))</f>
        <v/>
      </c>
      <c r="F87" s="150" t="str">
        <f t="shared" si="4"/>
        <v>MFPK12</v>
      </c>
      <c r="G87" s="150">
        <f>IF(C87="",0,IF(ISNA(MATCH(C87,$F$6:$F$140,0)),MATCH(C87,DMAV_Modell!$G$6:$G$677,0),0))</f>
        <v>0</v>
      </c>
      <c r="H87" s="150">
        <f t="shared" si="3"/>
        <v>0</v>
      </c>
      <c r="M87" s="51" t="s">
        <v>5739</v>
      </c>
      <c r="N87" s="51" t="s">
        <v>3603</v>
      </c>
      <c r="O87" s="51" t="s">
        <v>5741</v>
      </c>
      <c r="P87" s="51" t="s">
        <v>949</v>
      </c>
      <c r="Q87" s="51" t="s">
        <v>5748</v>
      </c>
      <c r="T87" s="52" t="s">
        <v>5750</v>
      </c>
      <c r="V87" s="131" t="s">
        <v>5751</v>
      </c>
      <c r="AA87" s="51" t="s">
        <v>5878</v>
      </c>
      <c r="AB87" s="51" t="s">
        <v>3912</v>
      </c>
      <c r="AC87" s="51" t="s">
        <v>5741</v>
      </c>
      <c r="AD87" s="51" t="s">
        <v>949</v>
      </c>
      <c r="AE87" s="51" t="s">
        <v>5883</v>
      </c>
      <c r="AH87" s="51" t="s">
        <v>5750</v>
      </c>
      <c r="AJ87" s="52" t="s">
        <v>5751</v>
      </c>
      <c r="AO87" s="51" t="s">
        <v>6056</v>
      </c>
      <c r="AP87" s="51" t="s">
        <v>3914</v>
      </c>
      <c r="AQ87" s="51" t="s">
        <v>5741</v>
      </c>
      <c r="AR87" s="51" t="s">
        <v>949</v>
      </c>
      <c r="AS87" s="51" t="s">
        <v>6062</v>
      </c>
      <c r="AV87" s="51" t="s">
        <v>6063</v>
      </c>
      <c r="AX87" s="52" t="s">
        <v>5751</v>
      </c>
    </row>
    <row r="88" spans="1:50" x14ac:dyDescent="0.25">
      <c r="A88" s="193" t="s">
        <v>5798</v>
      </c>
      <c r="B88" s="51">
        <v>13</v>
      </c>
      <c r="E88" s="54" t="str" cm="1">
        <f t="array" aca="1" ref="E88" ca="1">IF(G88=0,IF(H88=0,"",HYPERLINK("#"&amp;RIGHT(CELL("adresse",OFFSET($P$6,H88-1,0)),LEN(CELL("adresse",OFFSET($P$6,H88-1,0)))),"Definition")),HYPERLINK("#"&amp;RIGHT(CELL("adresse",OFFSET(DMAV_Modell!$Q$6,G88-1,0)),LEN(CELL("adresse",OFFSET(DMAV_Modell!$Q$6,G88-1,0)))-SEARCH("]",CELL("adresse",OFFSET(DMAV_Modell!$Q$6,G88-1,0)))),"Definition"))</f>
        <v/>
      </c>
      <c r="F88" s="150" t="str">
        <f t="shared" si="4"/>
        <v>MFPK13</v>
      </c>
      <c r="G88" s="150">
        <f>IF(C88="",0,IF(ISNA(MATCH(C88,$F$6:$F$140,0)),MATCH(C88,DMAV_Modell!$G$6:$G$677,0),0))</f>
        <v>0</v>
      </c>
      <c r="H88" s="150">
        <f t="shared" si="3"/>
        <v>0</v>
      </c>
      <c r="M88" s="51" t="s">
        <v>5739</v>
      </c>
      <c r="N88" s="51" t="s">
        <v>3603</v>
      </c>
      <c r="O88" s="51" t="s">
        <v>5741</v>
      </c>
      <c r="P88" s="51" t="s">
        <v>949</v>
      </c>
      <c r="Q88" s="51" t="s">
        <v>5752</v>
      </c>
      <c r="R88" s="50" t="s">
        <v>950</v>
      </c>
      <c r="T88" s="52" t="s">
        <v>1212</v>
      </c>
      <c r="V88" s="194" t="s">
        <v>5800</v>
      </c>
      <c r="AA88" s="51" t="s">
        <v>5878</v>
      </c>
      <c r="AB88" s="51" t="s">
        <v>3912</v>
      </c>
      <c r="AC88" s="51" t="s">
        <v>5741</v>
      </c>
      <c r="AD88" s="51" t="s">
        <v>949</v>
      </c>
      <c r="AE88" s="51" t="s">
        <v>5884</v>
      </c>
      <c r="AF88" s="50" t="s">
        <v>950</v>
      </c>
      <c r="AH88" s="51" t="s">
        <v>1208</v>
      </c>
      <c r="AJ88" s="52" t="s">
        <v>5885</v>
      </c>
      <c r="AO88" s="51" t="s">
        <v>6056</v>
      </c>
      <c r="AP88" s="51" t="s">
        <v>3914</v>
      </c>
      <c r="AQ88" s="51" t="s">
        <v>5741</v>
      </c>
      <c r="AR88" s="51" t="s">
        <v>949</v>
      </c>
      <c r="AS88" s="51" t="s">
        <v>6064</v>
      </c>
      <c r="AT88" s="180" t="s">
        <v>950</v>
      </c>
      <c r="AV88" s="51" t="s">
        <v>1204</v>
      </c>
      <c r="AX88" s="52" t="s">
        <v>6065</v>
      </c>
    </row>
    <row r="89" spans="1:50" x14ac:dyDescent="0.25">
      <c r="A89" s="193" t="s">
        <v>5798</v>
      </c>
      <c r="B89" s="51">
        <v>14</v>
      </c>
      <c r="E89" s="54" t="str" cm="1">
        <f t="array" aca="1" ref="E89" ca="1">IF(G89=0,IF(H89=0,"",HYPERLINK("#"&amp;RIGHT(CELL("adresse",OFFSET($P$6,H89-1,0)),LEN(CELL("adresse",OFFSET($P$6,H89-1,0)))),"Definition")),HYPERLINK("#"&amp;RIGHT(CELL("adresse",OFFSET(DMAV_Modell!$Q$6,G89-1,0)),LEN(CELL("adresse",OFFSET(DMAV_Modell!$Q$6,G89-1,0)))-SEARCH("]",CELL("adresse",OFFSET(DMAV_Modell!$Q$6,G89-1,0)))),"Definition"))</f>
        <v/>
      </c>
      <c r="F89" s="150" t="str">
        <f t="shared" si="4"/>
        <v>MFPK14</v>
      </c>
      <c r="G89" s="150">
        <f>IF(C89="",0,IF(ISNA(MATCH(C89,$F$6:$F$140,0)),MATCH(C89,DMAV_Modell!$G$6:$G$677,0),0))</f>
        <v>0</v>
      </c>
      <c r="H89" s="150">
        <f t="shared" si="3"/>
        <v>0</v>
      </c>
      <c r="M89" s="51" t="s">
        <v>5739</v>
      </c>
      <c r="N89" s="51" t="s">
        <v>3603</v>
      </c>
      <c r="O89" s="51" t="s">
        <v>5741</v>
      </c>
      <c r="P89" s="51" t="s">
        <v>949</v>
      </c>
      <c r="Q89" s="51" t="s">
        <v>5752</v>
      </c>
      <c r="R89" s="50" t="s">
        <v>950</v>
      </c>
      <c r="T89" s="52" t="s">
        <v>2600</v>
      </c>
      <c r="V89" s="194" t="s">
        <v>2922</v>
      </c>
      <c r="AA89" s="51" t="s">
        <v>5878</v>
      </c>
      <c r="AB89" s="51" t="s">
        <v>3912</v>
      </c>
      <c r="AC89" s="51" t="s">
        <v>5741</v>
      </c>
      <c r="AD89" s="51" t="s">
        <v>949</v>
      </c>
      <c r="AE89" s="51" t="s">
        <v>5884</v>
      </c>
      <c r="AF89" s="50" t="s">
        <v>950</v>
      </c>
      <c r="AH89" s="51" t="s">
        <v>2599</v>
      </c>
      <c r="AJ89" s="52" t="s">
        <v>5886</v>
      </c>
      <c r="AO89" s="51" t="s">
        <v>6056</v>
      </c>
      <c r="AP89" s="51" t="s">
        <v>3914</v>
      </c>
      <c r="AQ89" s="51" t="s">
        <v>5741</v>
      </c>
      <c r="AR89" s="51" t="s">
        <v>949</v>
      </c>
      <c r="AS89" s="51" t="s">
        <v>6064</v>
      </c>
      <c r="AT89" s="180" t="s">
        <v>950</v>
      </c>
      <c r="AV89" s="51" t="s">
        <v>2598</v>
      </c>
      <c r="AX89" s="52" t="s">
        <v>2924</v>
      </c>
    </row>
    <row r="90" spans="1:50" x14ac:dyDescent="0.25">
      <c r="A90" s="193" t="s">
        <v>5798</v>
      </c>
      <c r="B90" s="51">
        <v>15</v>
      </c>
      <c r="E90" s="54" t="str" cm="1">
        <f t="array" aca="1" ref="E90" ca="1">IF(G90=0,IF(H90=0,"",HYPERLINK("#"&amp;RIGHT(CELL("adresse",OFFSET($P$6,H90-1,0)),LEN(CELL("adresse",OFFSET($P$6,H90-1,0)))),"Definition")),HYPERLINK("#"&amp;RIGHT(CELL("adresse",OFFSET(DMAV_Modell!$Q$6,G90-1,0)),LEN(CELL("adresse",OFFSET(DMAV_Modell!$Q$6,G90-1,0)))-SEARCH("]",CELL("adresse",OFFSET(DMAV_Modell!$Q$6,G90-1,0)))),"Definition"))</f>
        <v/>
      </c>
      <c r="F90" s="150" t="str">
        <f t="shared" si="4"/>
        <v>MFPK15</v>
      </c>
      <c r="G90" s="150">
        <f>IF(C90="",0,IF(ISNA(MATCH(C90,$F$6:$F$140,0)),MATCH(C90,DMAV_Modell!$G$6:$G$677,0),0))</f>
        <v>0</v>
      </c>
      <c r="H90" s="150">
        <f t="shared" si="3"/>
        <v>0</v>
      </c>
      <c r="M90" s="51" t="s">
        <v>5739</v>
      </c>
      <c r="N90" s="51" t="s">
        <v>3603</v>
      </c>
      <c r="O90" s="51" t="s">
        <v>5741</v>
      </c>
      <c r="P90" s="51" t="s">
        <v>949</v>
      </c>
      <c r="Q90" s="51" t="s">
        <v>5752</v>
      </c>
      <c r="T90" s="52" t="s">
        <v>2737</v>
      </c>
      <c r="V90" s="131" t="s">
        <v>5753</v>
      </c>
      <c r="AA90" s="51" t="s">
        <v>5878</v>
      </c>
      <c r="AB90" s="51" t="s">
        <v>3912</v>
      </c>
      <c r="AC90" s="51" t="s">
        <v>5741</v>
      </c>
      <c r="AD90" s="51" t="s">
        <v>949</v>
      </c>
      <c r="AE90" s="51" t="s">
        <v>5884</v>
      </c>
      <c r="AH90" s="51" t="s">
        <v>5887</v>
      </c>
      <c r="AJ90" s="52" t="s">
        <v>5753</v>
      </c>
      <c r="AO90" s="51" t="s">
        <v>6056</v>
      </c>
      <c r="AP90" s="51" t="s">
        <v>3914</v>
      </c>
      <c r="AQ90" s="51" t="s">
        <v>5741</v>
      </c>
      <c r="AR90" s="51" t="s">
        <v>949</v>
      </c>
      <c r="AS90" s="51" t="s">
        <v>6064</v>
      </c>
      <c r="AV90" s="51" t="s">
        <v>6066</v>
      </c>
      <c r="AX90" s="52" t="s">
        <v>5753</v>
      </c>
    </row>
    <row r="91" spans="1:50" x14ac:dyDescent="0.25">
      <c r="A91" s="193" t="s">
        <v>5798</v>
      </c>
      <c r="B91" s="51">
        <v>16</v>
      </c>
      <c r="E91" s="54" t="str" cm="1">
        <f t="array" aca="1" ref="E91" ca="1">IF(G91=0,IF(H91=0,"",HYPERLINK("#"&amp;RIGHT(CELL("adresse",OFFSET($P$6,H91-1,0)),LEN(CELL("adresse",OFFSET($P$6,H91-1,0)))),"Definition")),HYPERLINK("#"&amp;RIGHT(CELL("adresse",OFFSET(DMAV_Modell!$Q$6,G91-1,0)),LEN(CELL("adresse",OFFSET(DMAV_Modell!$Q$6,G91-1,0)))-SEARCH("]",CELL("adresse",OFFSET(DMAV_Modell!$Q$6,G91-1,0)))),"Definition"))</f>
        <v/>
      </c>
      <c r="F91" s="150" t="str">
        <f t="shared" si="4"/>
        <v>MFPK16</v>
      </c>
      <c r="G91" s="150">
        <f>IF(C91="",0,IF(ISNA(MATCH(C91,$F$6:$F$140,0)),MATCH(C91,DMAV_Modell!$G$6:$G$677,0),0))</f>
        <v>0</v>
      </c>
      <c r="H91" s="150">
        <f t="shared" si="3"/>
        <v>0</v>
      </c>
      <c r="M91" s="51" t="s">
        <v>5739</v>
      </c>
      <c r="N91" s="51" t="s">
        <v>3603</v>
      </c>
      <c r="O91" s="51" t="s">
        <v>5741</v>
      </c>
      <c r="P91" s="51" t="s">
        <v>949</v>
      </c>
      <c r="Q91" s="51" t="s">
        <v>5752</v>
      </c>
      <c r="T91" s="52" t="s">
        <v>5754</v>
      </c>
      <c r="V91" s="131" t="s">
        <v>5745</v>
      </c>
      <c r="AA91" s="51" t="s">
        <v>5878</v>
      </c>
      <c r="AB91" s="51" t="s">
        <v>3912</v>
      </c>
      <c r="AC91" s="51" t="s">
        <v>5741</v>
      </c>
      <c r="AD91" s="51" t="s">
        <v>949</v>
      </c>
      <c r="AE91" s="51" t="s">
        <v>5884</v>
      </c>
      <c r="AH91" s="51" t="s">
        <v>5888</v>
      </c>
      <c r="AJ91" s="52" t="s">
        <v>5745</v>
      </c>
      <c r="AO91" s="51" t="s">
        <v>6056</v>
      </c>
      <c r="AP91" s="51" t="s">
        <v>3914</v>
      </c>
      <c r="AQ91" s="51" t="s">
        <v>5741</v>
      </c>
      <c r="AR91" s="51" t="s">
        <v>949</v>
      </c>
      <c r="AS91" s="51" t="s">
        <v>6064</v>
      </c>
      <c r="AV91" s="51" t="s">
        <v>6067</v>
      </c>
      <c r="AX91" s="52" t="s">
        <v>5745</v>
      </c>
    </row>
    <row r="92" spans="1:50" x14ac:dyDescent="0.25">
      <c r="A92" s="193" t="s">
        <v>5798</v>
      </c>
      <c r="B92" s="51">
        <v>17</v>
      </c>
      <c r="E92" s="54" t="str" cm="1">
        <f t="array" aca="1" ref="E92" ca="1">IF(G92=0,IF(H92=0,"",HYPERLINK("#"&amp;RIGHT(CELL("adresse",OFFSET($P$6,H92-1,0)),LEN(CELL("adresse",OFFSET($P$6,H92-1,0)))),"Definition")),HYPERLINK("#"&amp;RIGHT(CELL("adresse",OFFSET(DMAV_Modell!$Q$6,G92-1,0)),LEN(CELL("adresse",OFFSET(DMAV_Modell!$Q$6,G92-1,0)))-SEARCH("]",CELL("adresse",OFFSET(DMAV_Modell!$Q$6,G92-1,0)))),"Definition"))</f>
        <v/>
      </c>
      <c r="F92" s="150" t="str">
        <f t="shared" si="4"/>
        <v>MFPK17</v>
      </c>
      <c r="G92" s="150">
        <f>IF(C92="",0,IF(ISNA(MATCH(C92,$F$6:$F$140,0)),MATCH(C92,DMAV_Modell!$G$6:$G$677,0),0))</f>
        <v>0</v>
      </c>
      <c r="H92" s="150">
        <f t="shared" si="3"/>
        <v>0</v>
      </c>
      <c r="M92" s="51" t="s">
        <v>5739</v>
      </c>
      <c r="N92" s="51" t="s">
        <v>3603</v>
      </c>
      <c r="O92" s="51" t="s">
        <v>5741</v>
      </c>
      <c r="P92" s="51" t="s">
        <v>949</v>
      </c>
      <c r="Q92" s="51" t="s">
        <v>5752</v>
      </c>
      <c r="T92" s="52" t="s">
        <v>5755</v>
      </c>
      <c r="V92" s="131" t="s">
        <v>5745</v>
      </c>
      <c r="AA92" s="51" t="s">
        <v>5878</v>
      </c>
      <c r="AB92" s="51" t="s">
        <v>3912</v>
      </c>
      <c r="AC92" s="51" t="s">
        <v>5741</v>
      </c>
      <c r="AD92" s="51" t="s">
        <v>949</v>
      </c>
      <c r="AE92" s="51" t="s">
        <v>5884</v>
      </c>
      <c r="AH92" s="51" t="s">
        <v>5889</v>
      </c>
      <c r="AJ92" s="52" t="s">
        <v>5745</v>
      </c>
      <c r="AO92" s="51" t="s">
        <v>6056</v>
      </c>
      <c r="AP92" s="51" t="s">
        <v>3914</v>
      </c>
      <c r="AQ92" s="51" t="s">
        <v>5741</v>
      </c>
      <c r="AR92" s="51" t="s">
        <v>949</v>
      </c>
      <c r="AS92" s="51" t="s">
        <v>6064</v>
      </c>
      <c r="AV92" s="51" t="s">
        <v>6068</v>
      </c>
      <c r="AX92" s="52" t="s">
        <v>5745</v>
      </c>
    </row>
    <row r="93" spans="1:50" x14ac:dyDescent="0.25">
      <c r="A93" s="193" t="s">
        <v>5798</v>
      </c>
      <c r="B93" s="51">
        <v>18</v>
      </c>
      <c r="E93" s="54" t="str" cm="1">
        <f t="array" aca="1" ref="E93" ca="1">IF(G93=0,IF(H93=0,"",HYPERLINK("#"&amp;RIGHT(CELL("adresse",OFFSET($P$6,H93-1,0)),LEN(CELL("adresse",OFFSET($P$6,H93-1,0)))),"Definition")),HYPERLINK("#"&amp;RIGHT(CELL("adresse",OFFSET(DMAV_Modell!$Q$6,G93-1,0)),LEN(CELL("adresse",OFFSET(DMAV_Modell!$Q$6,G93-1,0)))-SEARCH("]",CELL("adresse",OFFSET(DMAV_Modell!$Q$6,G93-1,0)))),"Definition"))</f>
        <v/>
      </c>
      <c r="F93" s="150" t="str">
        <f t="shared" si="4"/>
        <v>MFPK18</v>
      </c>
      <c r="G93" s="150">
        <f>IF(C93="",0,IF(ISNA(MATCH(C93,$F$6:$F$140,0)),MATCH(C93,DMAV_Modell!$G$6:$G$677,0),0))</f>
        <v>0</v>
      </c>
      <c r="H93" s="150">
        <f t="shared" si="3"/>
        <v>0</v>
      </c>
      <c r="M93" s="51" t="s">
        <v>5739</v>
      </c>
      <c r="N93" s="51" t="s">
        <v>3603</v>
      </c>
      <c r="O93" s="51" t="s">
        <v>5741</v>
      </c>
      <c r="P93" s="51" t="s">
        <v>949</v>
      </c>
      <c r="Q93" s="51" t="s">
        <v>5752</v>
      </c>
      <c r="R93" s="50" t="s">
        <v>950</v>
      </c>
      <c r="T93" s="52" t="s">
        <v>5756</v>
      </c>
      <c r="V93" s="194" t="s">
        <v>5799</v>
      </c>
      <c r="AA93" s="51" t="s">
        <v>5878</v>
      </c>
      <c r="AB93" s="51" t="s">
        <v>3912</v>
      </c>
      <c r="AC93" s="51" t="s">
        <v>5741</v>
      </c>
      <c r="AD93" s="51" t="s">
        <v>949</v>
      </c>
      <c r="AE93" s="51" t="s">
        <v>5884</v>
      </c>
      <c r="AF93" s="50" t="s">
        <v>950</v>
      </c>
      <c r="AH93" s="51" t="s">
        <v>5890</v>
      </c>
      <c r="AJ93" s="52" t="s">
        <v>5891</v>
      </c>
      <c r="AO93" s="51" t="s">
        <v>6056</v>
      </c>
      <c r="AP93" s="51" t="s">
        <v>3914</v>
      </c>
      <c r="AQ93" s="51" t="s">
        <v>5741</v>
      </c>
      <c r="AR93" s="51" t="s">
        <v>949</v>
      </c>
      <c r="AS93" s="51" t="s">
        <v>6064</v>
      </c>
      <c r="AT93" s="180" t="s">
        <v>950</v>
      </c>
      <c r="AV93" s="51" t="s">
        <v>6069</v>
      </c>
      <c r="AX93" s="52" t="s">
        <v>6070</v>
      </c>
    </row>
    <row r="94" spans="1:50" x14ac:dyDescent="0.25">
      <c r="A94" s="193" t="s">
        <v>5798</v>
      </c>
      <c r="B94" s="51">
        <v>19</v>
      </c>
      <c r="E94" s="54" t="str" cm="1">
        <f t="array" aca="1" ref="E94" ca="1">IF(G94=0,IF(H94=0,"",HYPERLINK("#"&amp;RIGHT(CELL("adresse",OFFSET($P$6,H94-1,0)),LEN(CELL("adresse",OFFSET($P$6,H94-1,0)))),"Definition")),HYPERLINK("#"&amp;RIGHT(CELL("adresse",OFFSET(DMAV_Modell!$Q$6,G94-1,0)),LEN(CELL("adresse",OFFSET(DMAV_Modell!$Q$6,G94-1,0)))-SEARCH("]",CELL("adresse",OFFSET(DMAV_Modell!$Q$6,G94-1,0)))),"Definition"))</f>
        <v/>
      </c>
      <c r="F94" s="150" t="str">
        <f t="shared" si="4"/>
        <v>MFPK19</v>
      </c>
      <c r="G94" s="150">
        <f>IF(C94="",0,IF(ISNA(MATCH(C94,$F$6:$F$140,0)),MATCH(C94,DMAV_Modell!$G$6:$G$677,0),0))</f>
        <v>0</v>
      </c>
      <c r="H94" s="150">
        <f t="shared" si="3"/>
        <v>0</v>
      </c>
      <c r="M94" s="51" t="s">
        <v>5739</v>
      </c>
      <c r="N94" s="51" t="s">
        <v>3603</v>
      </c>
      <c r="O94" s="51" t="s">
        <v>5741</v>
      </c>
      <c r="P94" s="51" t="s">
        <v>949</v>
      </c>
      <c r="Q94" s="51" t="s">
        <v>5752</v>
      </c>
      <c r="T94" s="52" t="s">
        <v>5757</v>
      </c>
      <c r="V94" s="131" t="s">
        <v>5758</v>
      </c>
      <c r="AA94" s="51" t="s">
        <v>5878</v>
      </c>
      <c r="AB94" s="51" t="s">
        <v>3912</v>
      </c>
      <c r="AC94" s="51" t="s">
        <v>5741</v>
      </c>
      <c r="AD94" s="51" t="s">
        <v>949</v>
      </c>
      <c r="AE94" s="51" t="s">
        <v>5884</v>
      </c>
      <c r="AH94" s="51" t="s">
        <v>5892</v>
      </c>
      <c r="AJ94" s="52" t="s">
        <v>5758</v>
      </c>
      <c r="AO94" s="51" t="s">
        <v>6056</v>
      </c>
      <c r="AP94" s="51" t="s">
        <v>3914</v>
      </c>
      <c r="AQ94" s="51" t="s">
        <v>5741</v>
      </c>
      <c r="AR94" s="51" t="s">
        <v>949</v>
      </c>
      <c r="AS94" s="51" t="s">
        <v>6064</v>
      </c>
      <c r="AV94" s="51" t="s">
        <v>6071</v>
      </c>
      <c r="AX94" s="52" t="s">
        <v>5758</v>
      </c>
    </row>
    <row r="95" spans="1:50" x14ac:dyDescent="0.25">
      <c r="A95" s="193" t="s">
        <v>5798</v>
      </c>
      <c r="B95" s="51">
        <v>20</v>
      </c>
      <c r="C95" s="193" t="s">
        <v>5807</v>
      </c>
      <c r="E95" s="54" t="str" cm="1">
        <f t="array" aca="1" ref="E95" ca="1">IF(G95=0,IF(H95=0,"",HYPERLINK("#"&amp;RIGHT(CELL("adresse",OFFSET($P$6,H95-1,0)),LEN(CELL("adresse",OFFSET($P$6,H95-1,0)))),"Definition")),HYPERLINK("#"&amp;RIGHT(CELL("adresse",OFFSET(DMAV_Modell!$Q$6,G95-1,0)),LEN(CELL("adresse",OFFSET(DMAV_Modell!$Q$6,G95-1,0)))-SEARCH("]",CELL("adresse",OFFSET(DMAV_Modell!$Q$6,G95-1,0)))),"Definition"))</f>
        <v>Definition</v>
      </c>
      <c r="F95" s="150" t="str">
        <f t="shared" si="4"/>
        <v>MFPK20</v>
      </c>
      <c r="G95" s="150">
        <f>IF(C95="",0,IF(ISNA(MATCH(C95,$F$6:$F$140,0)),MATCH(C95,DMAV_Modell!$G$6:$G$677,0),0))</f>
        <v>0</v>
      </c>
      <c r="H95" s="150">
        <f t="shared" si="3"/>
        <v>74</v>
      </c>
      <c r="M95" s="51" t="s">
        <v>5739</v>
      </c>
      <c r="N95" s="51" t="s">
        <v>3603</v>
      </c>
      <c r="O95" s="51" t="s">
        <v>5741</v>
      </c>
      <c r="P95" s="51" t="s">
        <v>949</v>
      </c>
      <c r="Q95" s="51" t="s">
        <v>5752</v>
      </c>
      <c r="R95" s="50" t="s">
        <v>950</v>
      </c>
      <c r="S95" s="51" t="s">
        <v>959</v>
      </c>
      <c r="T95" s="52" t="s">
        <v>96</v>
      </c>
      <c r="V95" s="131" t="s">
        <v>5759</v>
      </c>
      <c r="AA95" s="51" t="s">
        <v>5878</v>
      </c>
      <c r="AB95" s="51" t="s">
        <v>3912</v>
      </c>
      <c r="AC95" s="51" t="s">
        <v>5741</v>
      </c>
      <c r="AD95" s="51" t="s">
        <v>949</v>
      </c>
      <c r="AE95" s="51" t="s">
        <v>5884</v>
      </c>
      <c r="AF95" s="50" t="s">
        <v>950</v>
      </c>
      <c r="AG95" s="51" t="s">
        <v>959</v>
      </c>
      <c r="AH95" s="51" t="s">
        <v>733</v>
      </c>
      <c r="AJ95" s="52" t="s">
        <v>5893</v>
      </c>
      <c r="AO95" s="51" t="s">
        <v>6056</v>
      </c>
      <c r="AP95" s="51" t="s">
        <v>3914</v>
      </c>
      <c r="AQ95" s="51" t="s">
        <v>5741</v>
      </c>
      <c r="AR95" s="51" t="s">
        <v>949</v>
      </c>
      <c r="AS95" s="51" t="s">
        <v>6064</v>
      </c>
      <c r="AT95" s="180" t="s">
        <v>950</v>
      </c>
      <c r="AU95" s="51" t="s">
        <v>959</v>
      </c>
      <c r="AV95" s="51" t="s">
        <v>1378</v>
      </c>
      <c r="AX95" s="52" t="s">
        <v>6072</v>
      </c>
    </row>
    <row r="96" spans="1:50" x14ac:dyDescent="0.25">
      <c r="A96" s="193" t="s">
        <v>5798</v>
      </c>
      <c r="B96" s="51">
        <v>21</v>
      </c>
      <c r="E96" s="54" t="str" cm="1">
        <f t="array" aca="1" ref="E96" ca="1">IF(G96=0,IF(H96=0,"",HYPERLINK("#"&amp;RIGHT(CELL("adresse",OFFSET($P$6,H96-1,0)),LEN(CELL("adresse",OFFSET($P$6,H96-1,0)))),"Definition")),HYPERLINK("#"&amp;RIGHT(CELL("adresse",OFFSET(DMAV_Modell!$Q$6,G96-1,0)),LEN(CELL("adresse",OFFSET(DMAV_Modell!$Q$6,G96-1,0)))-SEARCH("]",CELL("adresse",OFFSET(DMAV_Modell!$Q$6,G96-1,0)))),"Definition"))</f>
        <v/>
      </c>
      <c r="F96" s="150" t="str">
        <f t="shared" si="4"/>
        <v>MFPK21</v>
      </c>
      <c r="G96" s="150">
        <f>IF(C96="",0,IF(ISNA(MATCH(C96,$F$6:$F$140,0)),MATCH(C96,DMAV_Modell!$G$6:$G$677,0),0))</f>
        <v>0</v>
      </c>
      <c r="H96" s="150">
        <f t="shared" si="3"/>
        <v>0</v>
      </c>
      <c r="M96" s="51" t="s">
        <v>5739</v>
      </c>
      <c r="N96" s="51" t="s">
        <v>3603</v>
      </c>
      <c r="O96" s="51" t="s">
        <v>5741</v>
      </c>
      <c r="P96" s="51" t="s">
        <v>949</v>
      </c>
      <c r="Q96" s="51" t="s">
        <v>5752</v>
      </c>
      <c r="R96" s="50" t="s">
        <v>950</v>
      </c>
      <c r="S96" s="51" t="s">
        <v>959</v>
      </c>
      <c r="T96" s="52" t="s">
        <v>121</v>
      </c>
      <c r="V96" s="131" t="s">
        <v>951</v>
      </c>
      <c r="AA96" s="51" t="s">
        <v>5878</v>
      </c>
      <c r="AB96" s="51" t="s">
        <v>3912</v>
      </c>
      <c r="AC96" s="51" t="s">
        <v>5741</v>
      </c>
      <c r="AD96" s="51" t="s">
        <v>949</v>
      </c>
      <c r="AE96" s="51" t="s">
        <v>5884</v>
      </c>
      <c r="AF96" s="50" t="s">
        <v>950</v>
      </c>
      <c r="AG96" s="51" t="s">
        <v>959</v>
      </c>
      <c r="AH96" s="51" t="s">
        <v>742</v>
      </c>
      <c r="AJ96" s="52" t="s">
        <v>951</v>
      </c>
      <c r="AO96" s="51" t="s">
        <v>6056</v>
      </c>
      <c r="AP96" s="51" t="s">
        <v>3914</v>
      </c>
      <c r="AQ96" s="51" t="s">
        <v>5741</v>
      </c>
      <c r="AR96" s="51" t="s">
        <v>949</v>
      </c>
      <c r="AS96" s="51" t="s">
        <v>6064</v>
      </c>
      <c r="AT96" s="180" t="s">
        <v>950</v>
      </c>
      <c r="AU96" s="51" t="s">
        <v>959</v>
      </c>
      <c r="AV96" s="51" t="s">
        <v>742</v>
      </c>
      <c r="AX96" s="52" t="s">
        <v>951</v>
      </c>
    </row>
    <row r="97" spans="1:50" x14ac:dyDescent="0.25">
      <c r="A97" s="193" t="s">
        <v>5798</v>
      </c>
      <c r="B97" s="51">
        <v>22</v>
      </c>
      <c r="E97" s="54" t="str" cm="1">
        <f t="array" aca="1" ref="E97" ca="1">IF(G97=0,IF(H97=0,"",HYPERLINK("#"&amp;RIGHT(CELL("adresse",OFFSET($P$6,H97-1,0)),LEN(CELL("adresse",OFFSET($P$6,H97-1,0)))),"Definition")),HYPERLINK("#"&amp;RIGHT(CELL("adresse",OFFSET(DMAV_Modell!$Q$6,G97-1,0)),LEN(CELL("adresse",OFFSET(DMAV_Modell!$Q$6,G97-1,0)))-SEARCH("]",CELL("adresse",OFFSET(DMAV_Modell!$Q$6,G97-1,0)))),"Definition"))</f>
        <v/>
      </c>
      <c r="F97" s="150" t="str">
        <f t="shared" si="4"/>
        <v>MFPK22</v>
      </c>
      <c r="G97" s="150">
        <f>IF(C97="",0,IF(ISNA(MATCH(C97,$F$6:$F$140,0)),MATCH(C97,DMAV_Modell!$G$6:$G$677,0),0))</f>
        <v>0</v>
      </c>
      <c r="H97" s="150">
        <f t="shared" si="3"/>
        <v>0</v>
      </c>
      <c r="M97" s="51" t="s">
        <v>5739</v>
      </c>
      <c r="N97" s="51" t="s">
        <v>3603</v>
      </c>
      <c r="O97" s="51" t="s">
        <v>5741</v>
      </c>
      <c r="P97" s="51" t="s">
        <v>949</v>
      </c>
      <c r="Q97" s="51" t="s">
        <v>5752</v>
      </c>
      <c r="R97" s="50" t="s">
        <v>950</v>
      </c>
      <c r="T97" s="52" t="s">
        <v>5760</v>
      </c>
      <c r="V97" s="194" t="s">
        <v>5801</v>
      </c>
      <c r="AA97" s="51" t="s">
        <v>5878</v>
      </c>
      <c r="AB97" s="51" t="s">
        <v>3912</v>
      </c>
      <c r="AC97" s="51" t="s">
        <v>5741</v>
      </c>
      <c r="AD97" s="51" t="s">
        <v>949</v>
      </c>
      <c r="AE97" s="51" t="s">
        <v>5884</v>
      </c>
      <c r="AF97" s="50" t="s">
        <v>950</v>
      </c>
      <c r="AH97" s="51" t="s">
        <v>5894</v>
      </c>
      <c r="AJ97" s="52" t="s">
        <v>5895</v>
      </c>
      <c r="AO97" s="51" t="s">
        <v>6056</v>
      </c>
      <c r="AP97" s="51" t="s">
        <v>3914</v>
      </c>
      <c r="AQ97" s="51" t="s">
        <v>5741</v>
      </c>
      <c r="AR97" s="51" t="s">
        <v>949</v>
      </c>
      <c r="AS97" s="51" t="s">
        <v>6064</v>
      </c>
      <c r="AT97" s="180" t="s">
        <v>950</v>
      </c>
      <c r="AV97" s="51" t="s">
        <v>6073</v>
      </c>
      <c r="AX97" s="52" t="s">
        <v>6074</v>
      </c>
    </row>
    <row r="98" spans="1:50" x14ac:dyDescent="0.25">
      <c r="A98" s="193" t="s">
        <v>5798</v>
      </c>
      <c r="B98" s="51">
        <v>23</v>
      </c>
      <c r="E98" s="54" t="str" cm="1">
        <f t="array" aca="1" ref="E98" ca="1">IF(G98=0,IF(H98=0,"",HYPERLINK("#"&amp;RIGHT(CELL("adresse",OFFSET($P$6,H98-1,0)),LEN(CELL("adresse",OFFSET($P$6,H98-1,0)))),"Definition")),HYPERLINK("#"&amp;RIGHT(CELL("adresse",OFFSET(DMAV_Modell!$Q$6,G98-1,0)),LEN(CELL("adresse",OFFSET(DMAV_Modell!$Q$6,G98-1,0)))-SEARCH("]",CELL("adresse",OFFSET(DMAV_Modell!$Q$6,G98-1,0)))),"Definition"))</f>
        <v/>
      </c>
      <c r="F98" s="150" t="str">
        <f t="shared" si="4"/>
        <v>MFPK23</v>
      </c>
      <c r="G98" s="150">
        <f>IF(C98="",0,IF(ISNA(MATCH(C98,$F$6:$F$140,0)),MATCH(C98,DMAV_Modell!$G$6:$G$677,0),0))</f>
        <v>0</v>
      </c>
      <c r="H98" s="150">
        <f t="shared" si="3"/>
        <v>0</v>
      </c>
      <c r="M98" s="51" t="s">
        <v>5739</v>
      </c>
      <c r="N98" s="51" t="s">
        <v>3603</v>
      </c>
      <c r="O98" s="51" t="s">
        <v>5741</v>
      </c>
      <c r="P98" s="51" t="s">
        <v>949</v>
      </c>
      <c r="Q98" s="51" t="s">
        <v>5752</v>
      </c>
      <c r="T98" s="52" t="s">
        <v>149</v>
      </c>
      <c r="V98" s="131" t="s">
        <v>5761</v>
      </c>
      <c r="AA98" s="51" t="s">
        <v>5878</v>
      </c>
      <c r="AB98" s="51" t="s">
        <v>3912</v>
      </c>
      <c r="AC98" s="51" t="s">
        <v>5741</v>
      </c>
      <c r="AD98" s="51" t="s">
        <v>949</v>
      </c>
      <c r="AE98" s="51" t="s">
        <v>5884</v>
      </c>
      <c r="AH98" s="51" t="s">
        <v>149</v>
      </c>
      <c r="AJ98" s="52" t="s">
        <v>5761</v>
      </c>
      <c r="AO98" s="51" t="s">
        <v>6056</v>
      </c>
      <c r="AP98" s="51" t="s">
        <v>3914</v>
      </c>
      <c r="AQ98" s="51" t="s">
        <v>5741</v>
      </c>
      <c r="AR98" s="51" t="s">
        <v>949</v>
      </c>
      <c r="AS98" s="51" t="s">
        <v>6064</v>
      </c>
      <c r="AV98" s="51" t="s">
        <v>149</v>
      </c>
      <c r="AX98" s="52" t="s">
        <v>5761</v>
      </c>
    </row>
    <row r="99" spans="1:50" x14ac:dyDescent="0.25">
      <c r="A99" s="193" t="s">
        <v>5798</v>
      </c>
      <c r="B99" s="51">
        <v>24</v>
      </c>
      <c r="E99" s="54" t="str" cm="1">
        <f t="array" aca="1" ref="E99" ca="1">IF(G99=0,IF(H99=0,"",HYPERLINK("#"&amp;RIGHT(CELL("adresse",OFFSET($P$6,H99-1,0)),LEN(CELL("adresse",OFFSET($P$6,H99-1,0)))),"Definition")),HYPERLINK("#"&amp;RIGHT(CELL("adresse",OFFSET(DMAV_Modell!$Q$6,G99-1,0)),LEN(CELL("adresse",OFFSET(DMAV_Modell!$Q$6,G99-1,0)))-SEARCH("]",CELL("adresse",OFFSET(DMAV_Modell!$Q$6,G99-1,0)))),"Definition"))</f>
        <v/>
      </c>
      <c r="F99" s="150" t="str">
        <f t="shared" si="4"/>
        <v>MFPK24</v>
      </c>
      <c r="G99" s="150">
        <f>IF(C99="",0,IF(ISNA(MATCH(C99,$F$6:$F$140,0)),MATCH(C99,DMAV_Modell!$G$6:$G$677,0),0))</f>
        <v>0</v>
      </c>
      <c r="H99" s="150">
        <f t="shared" si="3"/>
        <v>0</v>
      </c>
      <c r="M99" s="51" t="s">
        <v>5739</v>
      </c>
      <c r="N99" s="51" t="s">
        <v>3603</v>
      </c>
      <c r="O99" s="51" t="s">
        <v>5741</v>
      </c>
      <c r="P99" s="51" t="s">
        <v>949</v>
      </c>
      <c r="Q99" s="51" t="s">
        <v>5752</v>
      </c>
      <c r="R99" s="50" t="s">
        <v>950</v>
      </c>
      <c r="T99" s="52" t="s">
        <v>5762</v>
      </c>
      <c r="V99" s="131" t="s">
        <v>131</v>
      </c>
      <c r="AA99" s="51" t="s">
        <v>5878</v>
      </c>
      <c r="AB99" s="51" t="s">
        <v>3912</v>
      </c>
      <c r="AC99" s="51" t="s">
        <v>5741</v>
      </c>
      <c r="AD99" s="51" t="s">
        <v>949</v>
      </c>
      <c r="AE99" s="51" t="s">
        <v>5884</v>
      </c>
      <c r="AF99" s="50" t="s">
        <v>950</v>
      </c>
      <c r="AH99" s="51" t="s">
        <v>5896</v>
      </c>
      <c r="AJ99" s="52" t="s">
        <v>131</v>
      </c>
      <c r="AO99" s="51" t="s">
        <v>6056</v>
      </c>
      <c r="AP99" s="51" t="s">
        <v>3914</v>
      </c>
      <c r="AQ99" s="51" t="s">
        <v>5741</v>
      </c>
      <c r="AR99" s="51" t="s">
        <v>949</v>
      </c>
      <c r="AS99" s="51" t="s">
        <v>6064</v>
      </c>
      <c r="AT99" s="180" t="s">
        <v>950</v>
      </c>
      <c r="AV99" s="51" t="s">
        <v>5896</v>
      </c>
      <c r="AX99" s="52" t="s">
        <v>131</v>
      </c>
    </row>
    <row r="100" spans="1:50" x14ac:dyDescent="0.25">
      <c r="A100" s="193" t="s">
        <v>5798</v>
      </c>
      <c r="B100" s="51">
        <v>25</v>
      </c>
      <c r="E100" s="54" t="str" cm="1">
        <f t="array" aca="1" ref="E100" ca="1">IF(G100=0,IF(H100=0,"",HYPERLINK("#"&amp;RIGHT(CELL("adresse",OFFSET($P$6,H100-1,0)),LEN(CELL("adresse",OFFSET($P$6,H100-1,0)))),"Definition")),HYPERLINK("#"&amp;RIGHT(CELL("adresse",OFFSET(DMAV_Modell!$Q$6,G100-1,0)),LEN(CELL("adresse",OFFSET(DMAV_Modell!$Q$6,G100-1,0)))-SEARCH("]",CELL("adresse",OFFSET(DMAV_Modell!$Q$6,G100-1,0)))),"Definition"))</f>
        <v/>
      </c>
      <c r="F100" s="150" t="str">
        <f t="shared" si="4"/>
        <v>MFPK25</v>
      </c>
      <c r="G100" s="150">
        <f>IF(C100="",0,IF(ISNA(MATCH(C100,$F$6:$F$140,0)),MATCH(C100,DMAV_Modell!$G$6:$G$677,0),0))</f>
        <v>0</v>
      </c>
      <c r="H100" s="150">
        <f t="shared" si="3"/>
        <v>0</v>
      </c>
      <c r="M100" s="51" t="s">
        <v>5739</v>
      </c>
      <c r="N100" s="51" t="s">
        <v>3603</v>
      </c>
      <c r="O100" s="51" t="s">
        <v>5741</v>
      </c>
      <c r="P100" s="51" t="s">
        <v>949</v>
      </c>
      <c r="Q100" s="51" t="s">
        <v>5752</v>
      </c>
      <c r="R100" s="50" t="s">
        <v>950</v>
      </c>
      <c r="T100" s="52" t="s">
        <v>5763</v>
      </c>
      <c r="V100" s="194" t="s">
        <v>5802</v>
      </c>
      <c r="AA100" s="51" t="s">
        <v>5878</v>
      </c>
      <c r="AB100" s="51" t="s">
        <v>3912</v>
      </c>
      <c r="AC100" s="51" t="s">
        <v>5741</v>
      </c>
      <c r="AD100" s="51" t="s">
        <v>949</v>
      </c>
      <c r="AE100" s="51" t="s">
        <v>5884</v>
      </c>
      <c r="AF100" s="50" t="s">
        <v>950</v>
      </c>
      <c r="AH100" s="51" t="s">
        <v>5897</v>
      </c>
      <c r="AJ100" s="52" t="s">
        <v>5898</v>
      </c>
      <c r="AO100" s="51" t="s">
        <v>6056</v>
      </c>
      <c r="AP100" s="51" t="s">
        <v>3914</v>
      </c>
      <c r="AQ100" s="51" t="s">
        <v>5741</v>
      </c>
      <c r="AR100" s="51" t="s">
        <v>949</v>
      </c>
      <c r="AS100" s="51" t="s">
        <v>6064</v>
      </c>
      <c r="AT100" s="180" t="s">
        <v>950</v>
      </c>
      <c r="AV100" s="51" t="s">
        <v>6075</v>
      </c>
      <c r="AX100" s="52" t="s">
        <v>6076</v>
      </c>
    </row>
    <row r="101" spans="1:50" x14ac:dyDescent="0.25">
      <c r="A101" s="193" t="s">
        <v>5798</v>
      </c>
      <c r="B101" s="51">
        <v>26</v>
      </c>
      <c r="E101" s="54" t="str" cm="1">
        <f t="array" aca="1" ref="E101" ca="1">IF(G101=0,IF(H101=0,"",HYPERLINK("#"&amp;RIGHT(CELL("adresse",OFFSET($P$6,H101-1,0)),LEN(CELL("adresse",OFFSET($P$6,H101-1,0)))),"Definition")),HYPERLINK("#"&amp;RIGHT(CELL("adresse",OFFSET(DMAV_Modell!$Q$6,G101-1,0)),LEN(CELL("adresse",OFFSET(DMAV_Modell!$Q$6,G101-1,0)))-SEARCH("]",CELL("adresse",OFFSET(DMAV_Modell!$Q$6,G101-1,0)))),"Definition"))</f>
        <v/>
      </c>
      <c r="F101" s="150" t="str">
        <f t="shared" si="4"/>
        <v>MFPK26</v>
      </c>
      <c r="G101" s="150">
        <f>IF(C101="",0,IF(ISNA(MATCH(C101,$F$6:$F$140,0)),MATCH(C101,DMAV_Modell!$G$6:$G$677,0),0))</f>
        <v>0</v>
      </c>
      <c r="H101" s="150">
        <f t="shared" si="3"/>
        <v>0</v>
      </c>
      <c r="M101" s="51" t="s">
        <v>5739</v>
      </c>
      <c r="N101" s="51" t="s">
        <v>3603</v>
      </c>
      <c r="O101" s="51" t="s">
        <v>5741</v>
      </c>
      <c r="P101" s="51" t="s">
        <v>2790</v>
      </c>
      <c r="Q101" s="51" t="s">
        <v>5752</v>
      </c>
      <c r="R101" s="50" t="s">
        <v>950</v>
      </c>
      <c r="T101" s="52" t="s">
        <v>5764</v>
      </c>
      <c r="V101" s="131" t="s">
        <v>5765</v>
      </c>
      <c r="AA101" s="51" t="s">
        <v>5878</v>
      </c>
      <c r="AB101" s="51" t="s">
        <v>3912</v>
      </c>
      <c r="AC101" s="51" t="s">
        <v>5741</v>
      </c>
      <c r="AD101" s="51" t="s">
        <v>2790</v>
      </c>
      <c r="AE101" s="51" t="s">
        <v>5884</v>
      </c>
      <c r="AF101" s="50" t="s">
        <v>950</v>
      </c>
      <c r="AH101" s="51" t="s">
        <v>5899</v>
      </c>
      <c r="AJ101" s="52" t="s">
        <v>5765</v>
      </c>
      <c r="AO101" s="51" t="s">
        <v>6056</v>
      </c>
      <c r="AP101" s="51" t="s">
        <v>3914</v>
      </c>
      <c r="AQ101" s="51" t="s">
        <v>5741</v>
      </c>
      <c r="AR101" s="51" t="s">
        <v>2790</v>
      </c>
      <c r="AS101" s="51" t="s">
        <v>6064</v>
      </c>
      <c r="AT101" s="180" t="s">
        <v>950</v>
      </c>
      <c r="AV101" s="51" t="s">
        <v>6077</v>
      </c>
      <c r="AX101" s="52" t="s">
        <v>5765</v>
      </c>
    </row>
    <row r="102" spans="1:50" x14ac:dyDescent="0.25">
      <c r="A102" s="193" t="s">
        <v>5798</v>
      </c>
      <c r="B102" s="51">
        <v>27</v>
      </c>
      <c r="E102" s="54" t="str" cm="1">
        <f t="array" aca="1" ref="E102" ca="1">IF(G102=0,IF(H102=0,"",HYPERLINK("#"&amp;RIGHT(CELL("adresse",OFFSET($P$6,H102-1,0)),LEN(CELL("adresse",OFFSET($P$6,H102-1,0)))),"Definition")),HYPERLINK("#"&amp;RIGHT(CELL("adresse",OFFSET(DMAV_Modell!$Q$6,G102-1,0)),LEN(CELL("adresse",OFFSET(DMAV_Modell!$Q$6,G102-1,0)))-SEARCH("]",CELL("adresse",OFFSET(DMAV_Modell!$Q$6,G102-1,0)))),"Definition"))</f>
        <v/>
      </c>
      <c r="F102" s="150" t="str">
        <f t="shared" si="4"/>
        <v>MFPK27</v>
      </c>
      <c r="G102" s="150">
        <f>IF(C102="",0,IF(ISNA(MATCH(C102,$F$6:$F$140,0)),MATCH(C102,DMAV_Modell!$G$6:$G$677,0),0))</f>
        <v>0</v>
      </c>
      <c r="H102" s="150">
        <f t="shared" si="3"/>
        <v>0</v>
      </c>
      <c r="M102" s="51" t="s">
        <v>5739</v>
      </c>
      <c r="N102" s="51" t="s">
        <v>3603</v>
      </c>
      <c r="O102" s="51" t="s">
        <v>5741</v>
      </c>
      <c r="P102" s="51" t="s">
        <v>949</v>
      </c>
      <c r="Q102" s="51" t="s">
        <v>5766</v>
      </c>
      <c r="T102" s="52" t="s">
        <v>123</v>
      </c>
      <c r="V102" s="131" t="s">
        <v>952</v>
      </c>
      <c r="AA102" s="51" t="s">
        <v>5878</v>
      </c>
      <c r="AB102" s="51" t="s">
        <v>3912</v>
      </c>
      <c r="AC102" s="51" t="s">
        <v>5741</v>
      </c>
      <c r="AD102" s="51" t="s">
        <v>949</v>
      </c>
      <c r="AE102" s="51" t="s">
        <v>5900</v>
      </c>
      <c r="AH102" s="51" t="s">
        <v>123</v>
      </c>
      <c r="AJ102" s="52" t="s">
        <v>952</v>
      </c>
      <c r="AO102" s="51" t="s">
        <v>6056</v>
      </c>
      <c r="AP102" s="51" t="s">
        <v>3914</v>
      </c>
      <c r="AQ102" s="51" t="s">
        <v>5741</v>
      </c>
      <c r="AR102" s="51" t="s">
        <v>949</v>
      </c>
      <c r="AS102" s="51" t="s">
        <v>6078</v>
      </c>
      <c r="AV102" s="51" t="s">
        <v>1247</v>
      </c>
      <c r="AX102" s="52" t="s">
        <v>6079</v>
      </c>
    </row>
    <row r="103" spans="1:50" x14ac:dyDescent="0.25">
      <c r="A103" s="193" t="s">
        <v>5798</v>
      </c>
      <c r="B103" s="51">
        <v>28</v>
      </c>
      <c r="E103" s="54" t="str" cm="1">
        <f t="array" aca="1" ref="E103" ca="1">IF(G103=0,IF(H103=0,"",HYPERLINK("#"&amp;RIGHT(CELL("adresse",OFFSET($P$6,H103-1,0)),LEN(CELL("adresse",OFFSET($P$6,H103-1,0)))),"Definition")),HYPERLINK("#"&amp;RIGHT(CELL("adresse",OFFSET(DMAV_Modell!$Q$6,G103-1,0)),LEN(CELL("adresse",OFFSET(DMAV_Modell!$Q$6,G103-1,0)))-SEARCH("]",CELL("adresse",OFFSET(DMAV_Modell!$Q$6,G103-1,0)))),"Definition"))</f>
        <v/>
      </c>
      <c r="F103" s="150" t="str">
        <f t="shared" si="4"/>
        <v>MFPK28</v>
      </c>
      <c r="G103" s="150">
        <f>IF(C103="",0,IF(ISNA(MATCH(C103,$F$6:$F$140,0)),MATCH(C103,DMAV_Modell!$G$6:$G$677,0),0))</f>
        <v>0</v>
      </c>
      <c r="H103" s="150">
        <f t="shared" si="3"/>
        <v>0</v>
      </c>
      <c r="M103" s="51" t="s">
        <v>5739</v>
      </c>
      <c r="N103" s="51" t="s">
        <v>3603</v>
      </c>
      <c r="O103" s="51" t="s">
        <v>5741</v>
      </c>
      <c r="P103" s="51" t="s">
        <v>949</v>
      </c>
      <c r="Q103" s="51" t="s">
        <v>5766</v>
      </c>
      <c r="T103" s="52" t="s">
        <v>5767</v>
      </c>
      <c r="V103" s="131" t="s">
        <v>5768</v>
      </c>
      <c r="AA103" s="51" t="s">
        <v>5878</v>
      </c>
      <c r="AB103" s="51" t="s">
        <v>3912</v>
      </c>
      <c r="AC103" s="51" t="s">
        <v>5741</v>
      </c>
      <c r="AD103" s="51" t="s">
        <v>949</v>
      </c>
      <c r="AE103" s="51" t="s">
        <v>5900</v>
      </c>
      <c r="AH103" s="51" t="s">
        <v>5901</v>
      </c>
      <c r="AJ103" s="52" t="s">
        <v>5768</v>
      </c>
      <c r="AO103" s="51" t="s">
        <v>6056</v>
      </c>
      <c r="AP103" s="51" t="s">
        <v>3914</v>
      </c>
      <c r="AQ103" s="51" t="s">
        <v>5741</v>
      </c>
      <c r="AR103" s="51" t="s">
        <v>949</v>
      </c>
      <c r="AS103" s="51" t="s">
        <v>6078</v>
      </c>
      <c r="AV103" s="51" t="s">
        <v>6080</v>
      </c>
      <c r="AX103" s="52" t="s">
        <v>6081</v>
      </c>
    </row>
    <row r="104" spans="1:50" x14ac:dyDescent="0.25">
      <c r="A104" s="193" t="s">
        <v>5798</v>
      </c>
      <c r="B104" s="51">
        <v>29</v>
      </c>
      <c r="C104" s="193" t="s">
        <v>5808</v>
      </c>
      <c r="E104" s="54" t="str" cm="1">
        <f t="array" aca="1" ref="E104" ca="1">IF(G104=0,IF(H104=0,"",HYPERLINK("#"&amp;RIGHT(CELL("adresse",OFFSET($P$6,H104-1,0)),LEN(CELL("adresse",OFFSET($P$6,H104-1,0)))),"Definition")),HYPERLINK("#"&amp;RIGHT(CELL("adresse",OFFSET(DMAV_Modell!$Q$6,G104-1,0)),LEN(CELL("adresse",OFFSET(DMAV_Modell!$Q$6,G104-1,0)))-SEARCH("]",CELL("adresse",OFFSET(DMAV_Modell!$Q$6,G104-1,0)))),"Definition"))</f>
        <v>Definition</v>
      </c>
      <c r="F104" s="150" t="str">
        <f t="shared" si="4"/>
        <v>MFPK29</v>
      </c>
      <c r="G104" s="150">
        <f>IF(C104="",0,IF(ISNA(MATCH(C104,$F$6:$F$140,0)),MATCH(C104,DMAV_Modell!$G$6:$G$677,0),0))</f>
        <v>0</v>
      </c>
      <c r="H104" s="150">
        <f t="shared" si="3"/>
        <v>73</v>
      </c>
      <c r="M104" s="51" t="s">
        <v>5739</v>
      </c>
      <c r="N104" s="51" t="s">
        <v>3603</v>
      </c>
      <c r="O104" s="51" t="s">
        <v>5741</v>
      </c>
      <c r="P104" s="51" t="s">
        <v>949</v>
      </c>
      <c r="Q104" s="51" t="s">
        <v>5766</v>
      </c>
      <c r="T104" s="52" t="s">
        <v>2538</v>
      </c>
      <c r="V104" s="131" t="s">
        <v>5769</v>
      </c>
      <c r="AA104" s="51" t="s">
        <v>5878</v>
      </c>
      <c r="AB104" s="51" t="s">
        <v>3912</v>
      </c>
      <c r="AC104" s="51" t="s">
        <v>5741</v>
      </c>
      <c r="AD104" s="51" t="s">
        <v>949</v>
      </c>
      <c r="AE104" s="51" t="s">
        <v>5900</v>
      </c>
      <c r="AH104" s="51" t="s">
        <v>2537</v>
      </c>
      <c r="AJ104" s="52" t="s">
        <v>5902</v>
      </c>
      <c r="AO104" s="51" t="s">
        <v>6056</v>
      </c>
      <c r="AP104" s="51" t="s">
        <v>3914</v>
      </c>
      <c r="AQ104" s="51" t="s">
        <v>5741</v>
      </c>
      <c r="AR104" s="51" t="s">
        <v>949</v>
      </c>
      <c r="AS104" s="51" t="s">
        <v>6078</v>
      </c>
      <c r="AV104" s="51" t="s">
        <v>2537</v>
      </c>
      <c r="AX104" s="52" t="s">
        <v>6082</v>
      </c>
    </row>
    <row r="105" spans="1:50" x14ac:dyDescent="0.25">
      <c r="A105" s="193" t="s">
        <v>5798</v>
      </c>
      <c r="B105" s="51">
        <v>30</v>
      </c>
      <c r="E105" s="54" t="str" cm="1">
        <f t="array" aca="1" ref="E105" ca="1">IF(G105=0,IF(H105=0,"",HYPERLINK("#"&amp;RIGHT(CELL("adresse",OFFSET($P$6,H105-1,0)),LEN(CELL("adresse",OFFSET($P$6,H105-1,0)))),"Definition")),HYPERLINK("#"&amp;RIGHT(CELL("adresse",OFFSET(DMAV_Modell!$Q$6,G105-1,0)),LEN(CELL("adresse",OFFSET(DMAV_Modell!$Q$6,G105-1,0)))-SEARCH("]",CELL("adresse",OFFSET(DMAV_Modell!$Q$6,G105-1,0)))),"Definition"))</f>
        <v/>
      </c>
      <c r="F105" s="150" t="str">
        <f t="shared" si="4"/>
        <v>MFPK30</v>
      </c>
      <c r="G105" s="150">
        <f>IF(C105="",0,IF(ISNA(MATCH(C105,$F$6:$F$140,0)),MATCH(C105,DMAV_Modell!$G$6:$G$677,0),0))</f>
        <v>0</v>
      </c>
      <c r="H105" s="150">
        <f t="shared" si="3"/>
        <v>0</v>
      </c>
      <c r="M105" s="51" t="s">
        <v>5739</v>
      </c>
      <c r="N105" s="51" t="s">
        <v>3603</v>
      </c>
      <c r="O105" s="51" t="s">
        <v>5741</v>
      </c>
      <c r="P105" s="51" t="s">
        <v>949</v>
      </c>
      <c r="Q105" s="51" t="s">
        <v>5766</v>
      </c>
      <c r="T105" s="52" t="s">
        <v>541</v>
      </c>
      <c r="V105" s="131" t="s">
        <v>5770</v>
      </c>
      <c r="AA105" s="51" t="s">
        <v>5878</v>
      </c>
      <c r="AB105" s="51" t="s">
        <v>3912</v>
      </c>
      <c r="AC105" s="51" t="s">
        <v>5741</v>
      </c>
      <c r="AD105" s="51" t="s">
        <v>949</v>
      </c>
      <c r="AE105" s="51" t="s">
        <v>5900</v>
      </c>
      <c r="AH105" s="51" t="s">
        <v>875</v>
      </c>
      <c r="AJ105" s="52" t="s">
        <v>5770</v>
      </c>
      <c r="AO105" s="51" t="s">
        <v>6056</v>
      </c>
      <c r="AP105" s="51" t="s">
        <v>3914</v>
      </c>
      <c r="AQ105" s="51" t="s">
        <v>5741</v>
      </c>
      <c r="AR105" s="51" t="s">
        <v>949</v>
      </c>
      <c r="AS105" s="51" t="s">
        <v>6078</v>
      </c>
      <c r="AV105" s="51" t="s">
        <v>875</v>
      </c>
      <c r="AX105" s="52" t="s">
        <v>5770</v>
      </c>
    </row>
    <row r="106" spans="1:50" x14ac:dyDescent="0.25">
      <c r="A106" s="193" t="s">
        <v>5798</v>
      </c>
      <c r="B106" s="51">
        <v>31</v>
      </c>
      <c r="C106" s="193" t="s">
        <v>5809</v>
      </c>
      <c r="E106" s="54" t="str" cm="1">
        <f t="array" aca="1" ref="E106" ca="1">IF(G106=0,IF(H106=0,"",HYPERLINK("#"&amp;RIGHT(CELL("adresse",OFFSET($P$6,H106-1,0)),LEN(CELL("adresse",OFFSET($P$6,H106-1,0)))),"Definition")),HYPERLINK("#"&amp;RIGHT(CELL("adresse",OFFSET(DMAV_Modell!$Q$6,G106-1,0)),LEN(CELL("adresse",OFFSET(DMAV_Modell!$Q$6,G106-1,0)))-SEARCH("]",CELL("adresse",OFFSET(DMAV_Modell!$Q$6,G106-1,0)))),"Definition"))</f>
        <v>Definition</v>
      </c>
      <c r="F106" s="150" t="str">
        <f t="shared" si="4"/>
        <v>MFPK31</v>
      </c>
      <c r="G106" s="150">
        <f>IF(C106="",0,IF(ISNA(MATCH(C106,$F$6:$F$140,0)),MATCH(C106,DMAV_Modell!$G$6:$G$677,0),0))</f>
        <v>0</v>
      </c>
      <c r="H106" s="150">
        <f t="shared" si="3"/>
        <v>75</v>
      </c>
      <c r="M106" s="51" t="s">
        <v>5739</v>
      </c>
      <c r="N106" s="51" t="s">
        <v>3603</v>
      </c>
      <c r="O106" s="51" t="s">
        <v>5741</v>
      </c>
      <c r="P106" s="51" t="s">
        <v>949</v>
      </c>
      <c r="Q106" s="51" t="s">
        <v>5766</v>
      </c>
      <c r="T106" s="52" t="s">
        <v>2536</v>
      </c>
      <c r="V106" s="131" t="s">
        <v>5771</v>
      </c>
      <c r="AA106" s="51" t="s">
        <v>5878</v>
      </c>
      <c r="AB106" s="51" t="s">
        <v>3912</v>
      </c>
      <c r="AC106" s="51" t="s">
        <v>5741</v>
      </c>
      <c r="AD106" s="51" t="s">
        <v>949</v>
      </c>
      <c r="AE106" s="51" t="s">
        <v>5900</v>
      </c>
      <c r="AH106" s="51" t="s">
        <v>2535</v>
      </c>
      <c r="AJ106" s="52" t="s">
        <v>5903</v>
      </c>
      <c r="AO106" s="51" t="s">
        <v>6056</v>
      </c>
      <c r="AP106" s="51" t="s">
        <v>3914</v>
      </c>
      <c r="AQ106" s="51" t="s">
        <v>5741</v>
      </c>
      <c r="AR106" s="51" t="s">
        <v>949</v>
      </c>
      <c r="AS106" s="51" t="s">
        <v>6078</v>
      </c>
      <c r="AV106" s="51" t="s">
        <v>2534</v>
      </c>
      <c r="AX106" s="52" t="s">
        <v>6083</v>
      </c>
    </row>
    <row r="107" spans="1:50" x14ac:dyDescent="0.25">
      <c r="A107" s="193" t="s">
        <v>5798</v>
      </c>
      <c r="B107" s="51">
        <v>32</v>
      </c>
      <c r="E107" s="54" t="str" cm="1">
        <f t="array" aca="1" ref="E107" ca="1">IF(G107=0,IF(H107=0,"",HYPERLINK("#"&amp;RIGHT(CELL("adresse",OFFSET($P$6,H107-1,0)),LEN(CELL("adresse",OFFSET($P$6,H107-1,0)))),"Definition")),HYPERLINK("#"&amp;RIGHT(CELL("adresse",OFFSET(DMAV_Modell!$Q$6,G107-1,0)),LEN(CELL("adresse",OFFSET(DMAV_Modell!$Q$6,G107-1,0)))-SEARCH("]",CELL("adresse",OFFSET(DMAV_Modell!$Q$6,G107-1,0)))),"Definition"))</f>
        <v/>
      </c>
      <c r="F107" s="150" t="str">
        <f t="shared" si="4"/>
        <v>MFPK32</v>
      </c>
      <c r="G107" s="150">
        <f>IF(C107="",0,IF(ISNA(MATCH(C107,$F$6:$F$140,0)),MATCH(C107,DMAV_Modell!$G$6:$G$677,0),0))</f>
        <v>0</v>
      </c>
      <c r="H107" s="150">
        <f t="shared" si="3"/>
        <v>0</v>
      </c>
      <c r="M107" s="51" t="s">
        <v>5739</v>
      </c>
      <c r="N107" s="51" t="s">
        <v>3603</v>
      </c>
      <c r="O107" s="51" t="s">
        <v>5741</v>
      </c>
      <c r="P107" s="51" t="s">
        <v>949</v>
      </c>
      <c r="Q107" s="51" t="s">
        <v>5766</v>
      </c>
      <c r="R107" s="50" t="s">
        <v>950</v>
      </c>
      <c r="T107" s="52" t="s">
        <v>5772</v>
      </c>
      <c r="V107" s="194" t="s">
        <v>5803</v>
      </c>
      <c r="AA107" s="51" t="s">
        <v>5878</v>
      </c>
      <c r="AB107" s="51" t="s">
        <v>3912</v>
      </c>
      <c r="AC107" s="51" t="s">
        <v>5741</v>
      </c>
      <c r="AD107" s="51" t="s">
        <v>949</v>
      </c>
      <c r="AE107" s="51" t="s">
        <v>5900</v>
      </c>
      <c r="AF107" s="50" t="s">
        <v>950</v>
      </c>
      <c r="AH107" s="51" t="s">
        <v>5904</v>
      </c>
      <c r="AJ107" s="52" t="s">
        <v>5905</v>
      </c>
      <c r="AO107" s="51" t="s">
        <v>6056</v>
      </c>
      <c r="AP107" s="51" t="s">
        <v>3914</v>
      </c>
      <c r="AQ107" s="51" t="s">
        <v>5741</v>
      </c>
      <c r="AR107" s="51" t="s">
        <v>949</v>
      </c>
      <c r="AS107" s="51" t="s">
        <v>6078</v>
      </c>
      <c r="AT107" s="180" t="s">
        <v>950</v>
      </c>
      <c r="AV107" s="51" t="s">
        <v>6084</v>
      </c>
      <c r="AX107" s="52" t="s">
        <v>6085</v>
      </c>
    </row>
    <row r="108" spans="1:50" x14ac:dyDescent="0.25">
      <c r="A108" s="193" t="s">
        <v>5798</v>
      </c>
      <c r="B108" s="51">
        <v>33</v>
      </c>
      <c r="C108" s="193" t="s">
        <v>5808</v>
      </c>
      <c r="E108" s="54" t="str" cm="1">
        <f t="array" aca="1" ref="E108" ca="1">IF(G108=0,IF(H108=0,"",HYPERLINK("#"&amp;RIGHT(CELL("adresse",OFFSET($P$6,H108-1,0)),LEN(CELL("adresse",OFFSET($P$6,H108-1,0)))),"Definition")),HYPERLINK("#"&amp;RIGHT(CELL("adresse",OFFSET(DMAV_Modell!$Q$6,G108-1,0)),LEN(CELL("adresse",OFFSET(DMAV_Modell!$Q$6,G108-1,0)))-SEARCH("]",CELL("adresse",OFFSET(DMAV_Modell!$Q$6,G108-1,0)))),"Definition"))</f>
        <v>Definition</v>
      </c>
      <c r="F108" s="150" t="str">
        <f t="shared" si="4"/>
        <v>MFPK33</v>
      </c>
      <c r="G108" s="150">
        <f>IF(C108="",0,IF(ISNA(MATCH(C108,$F$6:$F$140,0)),MATCH(C108,DMAV_Modell!$G$6:$G$677,0),0))</f>
        <v>0</v>
      </c>
      <c r="H108" s="150">
        <f t="shared" si="3"/>
        <v>73</v>
      </c>
      <c r="M108" s="51" t="s">
        <v>5739</v>
      </c>
      <c r="N108" s="51" t="s">
        <v>3603</v>
      </c>
      <c r="O108" s="51" t="s">
        <v>5741</v>
      </c>
      <c r="P108" s="51" t="s">
        <v>949</v>
      </c>
      <c r="Q108" s="51" t="s">
        <v>5766</v>
      </c>
      <c r="R108" s="50" t="s">
        <v>950</v>
      </c>
      <c r="T108" s="52" t="s">
        <v>1855</v>
      </c>
      <c r="V108" s="131" t="s">
        <v>5769</v>
      </c>
      <c r="AA108" s="51" t="s">
        <v>5878</v>
      </c>
      <c r="AB108" s="51" t="s">
        <v>3912</v>
      </c>
      <c r="AC108" s="51" t="s">
        <v>5741</v>
      </c>
      <c r="AD108" s="51" t="s">
        <v>949</v>
      </c>
      <c r="AE108" s="51" t="s">
        <v>5900</v>
      </c>
      <c r="AF108" s="50" t="s">
        <v>950</v>
      </c>
      <c r="AH108" s="51" t="s">
        <v>1853</v>
      </c>
      <c r="AJ108" s="52" t="s">
        <v>5902</v>
      </c>
      <c r="AO108" s="51" t="s">
        <v>6056</v>
      </c>
      <c r="AP108" s="51" t="s">
        <v>3914</v>
      </c>
      <c r="AQ108" s="51" t="s">
        <v>5741</v>
      </c>
      <c r="AR108" s="51" t="s">
        <v>949</v>
      </c>
      <c r="AS108" s="51" t="s">
        <v>6078</v>
      </c>
      <c r="AT108" s="180" t="s">
        <v>950</v>
      </c>
      <c r="AV108" s="51" t="s">
        <v>1853</v>
      </c>
      <c r="AX108" s="52" t="s">
        <v>6082</v>
      </c>
    </row>
    <row r="109" spans="1:50" x14ac:dyDescent="0.25">
      <c r="A109" s="193" t="s">
        <v>5798</v>
      </c>
      <c r="B109" s="51">
        <v>34</v>
      </c>
      <c r="C109" s="193" t="s">
        <v>5809</v>
      </c>
      <c r="E109" s="54" t="str" cm="1">
        <f t="array" aca="1" ref="E109" ca="1">IF(G109=0,IF(H109=0,"",HYPERLINK("#"&amp;RIGHT(CELL("adresse",OFFSET($P$6,H109-1,0)),LEN(CELL("adresse",OFFSET($P$6,H109-1,0)))),"Definition")),HYPERLINK("#"&amp;RIGHT(CELL("adresse",OFFSET(DMAV_Modell!$Q$6,G109-1,0)),LEN(CELL("adresse",OFFSET(DMAV_Modell!$Q$6,G109-1,0)))-SEARCH("]",CELL("adresse",OFFSET(DMAV_Modell!$Q$6,G109-1,0)))),"Definition"))</f>
        <v>Definition</v>
      </c>
      <c r="F109" s="150" t="str">
        <f t="shared" si="4"/>
        <v>MFPK34</v>
      </c>
      <c r="G109" s="150">
        <f>IF(C109="",0,IF(ISNA(MATCH(C109,$F$6:$F$140,0)),MATCH(C109,DMAV_Modell!$G$6:$G$677,0),0))</f>
        <v>0</v>
      </c>
      <c r="H109" s="150">
        <f t="shared" si="3"/>
        <v>75</v>
      </c>
      <c r="M109" s="51" t="s">
        <v>5739</v>
      </c>
      <c r="N109" s="51" t="s">
        <v>3603</v>
      </c>
      <c r="O109" s="51" t="s">
        <v>5741</v>
      </c>
      <c r="P109" s="51" t="s">
        <v>949</v>
      </c>
      <c r="Q109" s="51" t="s">
        <v>5766</v>
      </c>
      <c r="R109" s="50" t="s">
        <v>950</v>
      </c>
      <c r="T109" s="52" t="s">
        <v>1851</v>
      </c>
      <c r="V109" s="131" t="s">
        <v>5771</v>
      </c>
      <c r="AA109" s="51" t="s">
        <v>5878</v>
      </c>
      <c r="AB109" s="51" t="s">
        <v>3912</v>
      </c>
      <c r="AC109" s="51" t="s">
        <v>5741</v>
      </c>
      <c r="AD109" s="51" t="s">
        <v>949</v>
      </c>
      <c r="AE109" s="51" t="s">
        <v>5900</v>
      </c>
      <c r="AF109" s="50" t="s">
        <v>950</v>
      </c>
      <c r="AH109" s="51" t="s">
        <v>1850</v>
      </c>
      <c r="AJ109" s="52" t="s">
        <v>5903</v>
      </c>
      <c r="AO109" s="51" t="s">
        <v>6056</v>
      </c>
      <c r="AP109" s="51" t="s">
        <v>3914</v>
      </c>
      <c r="AQ109" s="51" t="s">
        <v>5741</v>
      </c>
      <c r="AR109" s="51" t="s">
        <v>949</v>
      </c>
      <c r="AS109" s="51" t="s">
        <v>6078</v>
      </c>
      <c r="AT109" s="180" t="s">
        <v>950</v>
      </c>
      <c r="AV109" s="51" t="s">
        <v>1848</v>
      </c>
      <c r="AX109" s="52" t="s">
        <v>6083</v>
      </c>
    </row>
    <row r="110" spans="1:50" ht="63.75" x14ac:dyDescent="0.25">
      <c r="A110" s="193" t="s">
        <v>5798</v>
      </c>
      <c r="B110" s="51">
        <v>35</v>
      </c>
      <c r="E110" s="54" t="str" cm="1">
        <f t="array" aca="1" ref="E110" ca="1">IF(G110=0,IF(H110=0,"",HYPERLINK("#"&amp;RIGHT(CELL("adresse",OFFSET($P$6,H110-1,0)),LEN(CELL("adresse",OFFSET($P$6,H110-1,0)))),"Definition")),HYPERLINK("#"&amp;RIGHT(CELL("adresse",OFFSET(DMAV_Modell!$Q$6,G110-1,0)),LEN(CELL("adresse",OFFSET(DMAV_Modell!$Q$6,G110-1,0)))-SEARCH("]",CELL("adresse",OFFSET(DMAV_Modell!$Q$6,G110-1,0)))),"Definition"))</f>
        <v/>
      </c>
      <c r="F110" s="150" t="str">
        <f t="shared" si="4"/>
        <v>MFPK35</v>
      </c>
      <c r="G110" s="150">
        <f>IF(C110="",0,IF(ISNA(MATCH(C110,$F$6:$F$140,0)),MATCH(C110,DMAV_Modell!$G$6:$G$677,0),0))</f>
        <v>0</v>
      </c>
      <c r="H110" s="150">
        <f t="shared" si="3"/>
        <v>0</v>
      </c>
      <c r="M110" s="51" t="s">
        <v>5739</v>
      </c>
      <c r="N110" s="51" t="s">
        <v>3603</v>
      </c>
      <c r="O110" s="51" t="s">
        <v>5741</v>
      </c>
      <c r="P110" s="51" t="s">
        <v>949</v>
      </c>
      <c r="Q110" s="51" t="s">
        <v>5766</v>
      </c>
      <c r="R110" s="50" t="s">
        <v>950</v>
      </c>
      <c r="T110" s="52" t="s">
        <v>134</v>
      </c>
      <c r="V110" s="194" t="s">
        <v>5804</v>
      </c>
      <c r="AA110" s="51" t="s">
        <v>5878</v>
      </c>
      <c r="AB110" s="51" t="s">
        <v>3912</v>
      </c>
      <c r="AC110" s="51" t="s">
        <v>5741</v>
      </c>
      <c r="AD110" s="51" t="s">
        <v>949</v>
      </c>
      <c r="AE110" s="51" t="s">
        <v>5900</v>
      </c>
      <c r="AF110" s="50" t="s">
        <v>950</v>
      </c>
      <c r="AH110" s="51" t="s">
        <v>748</v>
      </c>
      <c r="AJ110" s="52" t="s">
        <v>5906</v>
      </c>
      <c r="AO110" s="51" t="s">
        <v>6056</v>
      </c>
      <c r="AP110" s="51" t="s">
        <v>3914</v>
      </c>
      <c r="AQ110" s="51" t="s">
        <v>5741</v>
      </c>
      <c r="AR110" s="51" t="s">
        <v>949</v>
      </c>
      <c r="AS110" s="51" t="s">
        <v>6078</v>
      </c>
      <c r="AT110" s="180" t="s">
        <v>950</v>
      </c>
      <c r="AV110" s="51" t="s">
        <v>1845</v>
      </c>
      <c r="AX110" s="52" t="s">
        <v>6086</v>
      </c>
    </row>
    <row r="111" spans="1:50" x14ac:dyDescent="0.25">
      <c r="A111" s="193" t="s">
        <v>5798</v>
      </c>
      <c r="B111" s="51">
        <v>36</v>
      </c>
      <c r="E111" s="54" t="str" cm="1">
        <f t="array" aca="1" ref="E111" ca="1">IF(G111=0,IF(H111=0,"",HYPERLINK("#"&amp;RIGHT(CELL("adresse",OFFSET($P$6,H111-1,0)),LEN(CELL("adresse",OFFSET($P$6,H111-1,0)))),"Definition")),HYPERLINK("#"&amp;RIGHT(CELL("adresse",OFFSET(DMAV_Modell!$Q$6,G111-1,0)),LEN(CELL("adresse",OFFSET(DMAV_Modell!$Q$6,G111-1,0)))-SEARCH("]",CELL("adresse",OFFSET(DMAV_Modell!$Q$6,G111-1,0)))),"Definition"))</f>
        <v/>
      </c>
      <c r="F111" s="150" t="str">
        <f t="shared" si="4"/>
        <v>MFPK36</v>
      </c>
      <c r="G111" s="150">
        <f>IF(C111="",0,IF(ISNA(MATCH(C111,$F$6:$F$140,0)),MATCH(C111,DMAV_Modell!$G$6:$G$677,0),0))</f>
        <v>0</v>
      </c>
      <c r="H111" s="150">
        <f t="shared" si="3"/>
        <v>0</v>
      </c>
      <c r="M111" s="51" t="s">
        <v>5739</v>
      </c>
      <c r="N111" s="51" t="s">
        <v>3603</v>
      </c>
      <c r="O111" s="51" t="s">
        <v>5741</v>
      </c>
      <c r="P111" s="51" t="s">
        <v>949</v>
      </c>
      <c r="Q111" s="51" t="s">
        <v>5766</v>
      </c>
      <c r="T111" s="52" t="s">
        <v>5773</v>
      </c>
      <c r="V111" s="131" t="s">
        <v>5774</v>
      </c>
      <c r="AA111" s="51" t="s">
        <v>5878</v>
      </c>
      <c r="AB111" s="51" t="s">
        <v>3912</v>
      </c>
      <c r="AC111" s="51" t="s">
        <v>5741</v>
      </c>
      <c r="AD111" s="51" t="s">
        <v>949</v>
      </c>
      <c r="AE111" s="51" t="s">
        <v>5900</v>
      </c>
      <c r="AH111" s="51" t="s">
        <v>5907</v>
      </c>
      <c r="AJ111" s="52" t="s">
        <v>5774</v>
      </c>
      <c r="AO111" s="51" t="s">
        <v>6056</v>
      </c>
      <c r="AP111" s="51" t="s">
        <v>3914</v>
      </c>
      <c r="AQ111" s="51" t="s">
        <v>5741</v>
      </c>
      <c r="AR111" s="51" t="s">
        <v>949</v>
      </c>
      <c r="AS111" s="51" t="s">
        <v>6078</v>
      </c>
      <c r="AV111" s="51" t="s">
        <v>6087</v>
      </c>
      <c r="AX111" s="52" t="s">
        <v>5774</v>
      </c>
    </row>
    <row r="112" spans="1:50" x14ac:dyDescent="0.25">
      <c r="A112" s="193" t="s">
        <v>5798</v>
      </c>
      <c r="B112" s="51">
        <v>37</v>
      </c>
      <c r="E112" s="54" t="str" cm="1">
        <f t="array" aca="1" ref="E112" ca="1">IF(G112=0,IF(H112=0,"",HYPERLINK("#"&amp;RIGHT(CELL("adresse",OFFSET($P$6,H112-1,0)),LEN(CELL("adresse",OFFSET($P$6,H112-1,0)))),"Definition")),HYPERLINK("#"&amp;RIGHT(CELL("adresse",OFFSET(DMAV_Modell!$Q$6,G112-1,0)),LEN(CELL("adresse",OFFSET(DMAV_Modell!$Q$6,G112-1,0)))-SEARCH("]",CELL("adresse",OFFSET(DMAV_Modell!$Q$6,G112-1,0)))),"Definition"))</f>
        <v/>
      </c>
      <c r="F112" s="150" t="str">
        <f t="shared" si="4"/>
        <v>MFPK37</v>
      </c>
      <c r="G112" s="150">
        <f>IF(C112="",0,IF(ISNA(MATCH(C112,$F$6:$F$140,0)),MATCH(C112,DMAV_Modell!$G$6:$G$677,0),0))</f>
        <v>0</v>
      </c>
      <c r="H112" s="150">
        <f t="shared" si="3"/>
        <v>0</v>
      </c>
      <c r="M112" s="51" t="s">
        <v>5739</v>
      </c>
      <c r="N112" s="51" t="s">
        <v>3603</v>
      </c>
      <c r="O112" s="51" t="s">
        <v>5741</v>
      </c>
      <c r="P112" s="51" t="s">
        <v>949</v>
      </c>
      <c r="Q112" s="51" t="s">
        <v>5766</v>
      </c>
      <c r="T112" s="52" t="s">
        <v>138</v>
      </c>
      <c r="V112" s="194" t="s">
        <v>5805</v>
      </c>
      <c r="AA112" s="51" t="s">
        <v>5878</v>
      </c>
      <c r="AB112" s="51" t="s">
        <v>3912</v>
      </c>
      <c r="AC112" s="51" t="s">
        <v>5741</v>
      </c>
      <c r="AD112" s="51" t="s">
        <v>949</v>
      </c>
      <c r="AE112" s="51" t="s">
        <v>5900</v>
      </c>
      <c r="AH112" s="51" t="s">
        <v>5908</v>
      </c>
      <c r="AJ112" s="52" t="s">
        <v>5909</v>
      </c>
      <c r="AO112" s="51" t="s">
        <v>6056</v>
      </c>
      <c r="AP112" s="51" t="s">
        <v>3914</v>
      </c>
      <c r="AQ112" s="51" t="s">
        <v>5741</v>
      </c>
      <c r="AR112" s="51" t="s">
        <v>949</v>
      </c>
      <c r="AS112" s="51" t="s">
        <v>6078</v>
      </c>
      <c r="AV112" s="51" t="s">
        <v>4004</v>
      </c>
      <c r="AX112" s="52" t="s">
        <v>6088</v>
      </c>
    </row>
    <row r="113" spans="1:51" x14ac:dyDescent="0.25">
      <c r="A113" s="193" t="s">
        <v>5798</v>
      </c>
      <c r="B113" s="51">
        <v>38</v>
      </c>
      <c r="E113" s="54" t="str" cm="1">
        <f t="array" aca="1" ref="E113" ca="1">IF(G113=0,IF(H113=0,"",HYPERLINK("#"&amp;RIGHT(CELL("adresse",OFFSET($P$6,H113-1,0)),LEN(CELL("adresse",OFFSET($P$6,H113-1,0)))),"Definition")),HYPERLINK("#"&amp;RIGHT(CELL("adresse",OFFSET(DMAV_Modell!$Q$6,G113-1,0)),LEN(CELL("adresse",OFFSET(DMAV_Modell!$Q$6,G113-1,0)))-SEARCH("]",CELL("adresse",OFFSET(DMAV_Modell!$Q$6,G113-1,0)))),"Definition"))</f>
        <v/>
      </c>
      <c r="F113" s="150" t="str">
        <f t="shared" si="4"/>
        <v>MFPK38</v>
      </c>
      <c r="G113" s="150">
        <f>IF(C113="",0,IF(ISNA(MATCH(C113,$F$6:$F$140,0)),MATCH(C113,DMAV_Modell!$G$6:$G$677,0),0))</f>
        <v>0</v>
      </c>
      <c r="H113" s="150">
        <f t="shared" si="3"/>
        <v>0</v>
      </c>
      <c r="M113" s="51" t="s">
        <v>5739</v>
      </c>
      <c r="N113" s="51" t="s">
        <v>3603</v>
      </c>
      <c r="O113" s="51" t="s">
        <v>5741</v>
      </c>
      <c r="P113" s="51" t="s">
        <v>949</v>
      </c>
      <c r="Q113" s="51" t="s">
        <v>5766</v>
      </c>
      <c r="T113" s="52" t="s">
        <v>5775</v>
      </c>
      <c r="V113" s="131" t="s">
        <v>3576</v>
      </c>
      <c r="AA113" s="51" t="s">
        <v>5878</v>
      </c>
      <c r="AB113" s="51" t="s">
        <v>3912</v>
      </c>
      <c r="AC113" s="51" t="s">
        <v>5741</v>
      </c>
      <c r="AD113" s="51" t="s">
        <v>949</v>
      </c>
      <c r="AE113" s="51" t="s">
        <v>5900</v>
      </c>
      <c r="AH113" s="51" t="s">
        <v>5910</v>
      </c>
      <c r="AJ113" s="52" t="s">
        <v>3576</v>
      </c>
      <c r="AO113" s="51" t="s">
        <v>6056</v>
      </c>
      <c r="AP113" s="51" t="s">
        <v>3914</v>
      </c>
      <c r="AQ113" s="51" t="s">
        <v>5741</v>
      </c>
      <c r="AR113" s="51" t="s">
        <v>949</v>
      </c>
      <c r="AS113" s="51" t="s">
        <v>6078</v>
      </c>
      <c r="AV113" s="51" t="s">
        <v>6089</v>
      </c>
      <c r="AX113" s="52" t="s">
        <v>3576</v>
      </c>
    </row>
    <row r="114" spans="1:51" x14ac:dyDescent="0.25">
      <c r="A114" s="193" t="s">
        <v>5798</v>
      </c>
      <c r="B114" s="51">
        <v>39</v>
      </c>
      <c r="E114" s="54" t="str" cm="1">
        <f t="array" aca="1" ref="E114" ca="1">IF(G114=0,IF(H114=0,"",HYPERLINK("#"&amp;RIGHT(CELL("adresse",OFFSET($P$6,H114-1,0)),LEN(CELL("adresse",OFFSET($P$6,H114-1,0)))),"Definition")),HYPERLINK("#"&amp;RIGHT(CELL("adresse",OFFSET(DMAV_Modell!$Q$6,G114-1,0)),LEN(CELL("adresse",OFFSET(DMAV_Modell!$Q$6,G114-1,0)))-SEARCH("]",CELL("adresse",OFFSET(DMAV_Modell!$Q$6,G114-1,0)))),"Definition"))</f>
        <v/>
      </c>
      <c r="F114" s="150" t="str">
        <f t="shared" si="4"/>
        <v>MFPK39</v>
      </c>
      <c r="G114" s="150">
        <f>IF(C114="",0,IF(ISNA(MATCH(C114,$F$6:$F$140,0)),MATCH(C114,DMAV_Modell!$G$6:$G$677,0),0))</f>
        <v>0</v>
      </c>
      <c r="H114" s="150">
        <f t="shared" si="3"/>
        <v>0</v>
      </c>
      <c r="M114" s="51" t="s">
        <v>5739</v>
      </c>
      <c r="N114" s="51" t="s">
        <v>3603</v>
      </c>
      <c r="O114" s="51" t="s">
        <v>5741</v>
      </c>
      <c r="P114" s="51" t="s">
        <v>949</v>
      </c>
      <c r="Q114" s="51" t="s">
        <v>5766</v>
      </c>
      <c r="T114" s="52" t="s">
        <v>5776</v>
      </c>
      <c r="V114" s="131" t="s">
        <v>5749</v>
      </c>
      <c r="AA114" s="51" t="s">
        <v>5878</v>
      </c>
      <c r="AB114" s="51" t="s">
        <v>3912</v>
      </c>
      <c r="AC114" s="51" t="s">
        <v>5741</v>
      </c>
      <c r="AD114" s="51" t="s">
        <v>949</v>
      </c>
      <c r="AE114" s="51" t="s">
        <v>5900</v>
      </c>
      <c r="AH114" s="51" t="s">
        <v>5911</v>
      </c>
      <c r="AJ114" s="52" t="s">
        <v>5749</v>
      </c>
      <c r="AO114" s="51" t="s">
        <v>6056</v>
      </c>
      <c r="AP114" s="51" t="s">
        <v>3914</v>
      </c>
      <c r="AQ114" s="51" t="s">
        <v>5741</v>
      </c>
      <c r="AR114" s="51" t="s">
        <v>949</v>
      </c>
      <c r="AS114" s="51" t="s">
        <v>6078</v>
      </c>
      <c r="AV114" s="51" t="s">
        <v>6090</v>
      </c>
      <c r="AX114" s="52" t="s">
        <v>5749</v>
      </c>
    </row>
    <row r="115" spans="1:51" x14ac:dyDescent="0.25">
      <c r="A115" s="193" t="s">
        <v>5798</v>
      </c>
      <c r="B115" s="51">
        <v>40</v>
      </c>
      <c r="E115" s="54" t="str" cm="1">
        <f t="array" aca="1" ref="E115" ca="1">IF(G115=0,IF(H115=0,"",HYPERLINK("#"&amp;RIGHT(CELL("adresse",OFFSET($P$6,H115-1,0)),LEN(CELL("adresse",OFFSET($P$6,H115-1,0)))),"Definition")),HYPERLINK("#"&amp;RIGHT(CELL("adresse",OFFSET(DMAV_Modell!$Q$6,G115-1,0)),LEN(CELL("adresse",OFFSET(DMAV_Modell!$Q$6,G115-1,0)))-SEARCH("]",CELL("adresse",OFFSET(DMAV_Modell!$Q$6,G115-1,0)))),"Definition"))</f>
        <v/>
      </c>
      <c r="F115" s="150" t="str">
        <f t="shared" si="4"/>
        <v>MFPK40</v>
      </c>
      <c r="G115" s="150">
        <f>IF(C115="",0,IF(ISNA(MATCH(C115,$F$6:$F$140,0)),MATCH(C115,DMAV_Modell!$G$6:$G$677,0),0))</f>
        <v>0</v>
      </c>
      <c r="H115" s="150">
        <f t="shared" si="3"/>
        <v>0</v>
      </c>
      <c r="M115" s="51" t="s">
        <v>5739</v>
      </c>
      <c r="N115" s="51" t="s">
        <v>3603</v>
      </c>
      <c r="O115" s="51" t="s">
        <v>5741</v>
      </c>
      <c r="P115" s="51" t="s">
        <v>949</v>
      </c>
      <c r="Q115" s="51" t="s">
        <v>5777</v>
      </c>
      <c r="R115" s="50" t="s">
        <v>950</v>
      </c>
      <c r="T115" s="52" t="s">
        <v>101</v>
      </c>
      <c r="V115" s="131" t="s">
        <v>5778</v>
      </c>
      <c r="AA115" s="51" t="s">
        <v>5878</v>
      </c>
      <c r="AB115" s="51" t="s">
        <v>3912</v>
      </c>
      <c r="AC115" s="51" t="s">
        <v>5741</v>
      </c>
      <c r="AD115" s="51" t="s">
        <v>949</v>
      </c>
      <c r="AE115" s="51" t="s">
        <v>5912</v>
      </c>
      <c r="AF115" s="50" t="s">
        <v>950</v>
      </c>
      <c r="AH115" s="51" t="s">
        <v>735</v>
      </c>
      <c r="AJ115" s="52" t="s">
        <v>5778</v>
      </c>
      <c r="AO115" s="51" t="s">
        <v>6056</v>
      </c>
      <c r="AP115" s="51" t="s">
        <v>3914</v>
      </c>
      <c r="AQ115" s="51" t="s">
        <v>5741</v>
      </c>
      <c r="AR115" s="51" t="s">
        <v>949</v>
      </c>
      <c r="AS115" s="51" t="s">
        <v>6091</v>
      </c>
      <c r="AT115" s="180" t="s">
        <v>950</v>
      </c>
      <c r="AV115" s="51" t="s">
        <v>1294</v>
      </c>
      <c r="AX115" s="52" t="s">
        <v>5778</v>
      </c>
    </row>
    <row r="116" spans="1:51" x14ac:dyDescent="0.25">
      <c r="A116" s="193" t="s">
        <v>5798</v>
      </c>
      <c r="B116" s="51">
        <v>41</v>
      </c>
      <c r="E116" s="54" t="str" cm="1">
        <f t="array" aca="1" ref="E116" ca="1">IF(G116=0,IF(H116=0,"",HYPERLINK("#"&amp;RIGHT(CELL("adresse",OFFSET($P$6,H116-1,0)),LEN(CELL("adresse",OFFSET($P$6,H116-1,0)))),"Definition")),HYPERLINK("#"&amp;RIGHT(CELL("adresse",OFFSET(DMAV_Modell!$Q$6,G116-1,0)),LEN(CELL("adresse",OFFSET(DMAV_Modell!$Q$6,G116-1,0)))-SEARCH("]",CELL("adresse",OFFSET(DMAV_Modell!$Q$6,G116-1,0)))),"Definition"))</f>
        <v/>
      </c>
      <c r="F116" s="150" t="str">
        <f t="shared" si="4"/>
        <v>MFPK41</v>
      </c>
      <c r="G116" s="150">
        <f>IF(C116="",0,IF(ISNA(MATCH(C116,$F$6:$F$140,0)),MATCH(C116,DMAV_Modell!$G$6:$G$677,0),0))</f>
        <v>0</v>
      </c>
      <c r="H116" s="150">
        <f t="shared" si="3"/>
        <v>0</v>
      </c>
      <c r="M116" s="51" t="s">
        <v>5739</v>
      </c>
      <c r="N116" s="51" t="s">
        <v>3603</v>
      </c>
      <c r="O116" s="51" t="s">
        <v>5741</v>
      </c>
      <c r="P116" s="51" t="s">
        <v>949</v>
      </c>
      <c r="Q116" s="51" t="s">
        <v>5777</v>
      </c>
      <c r="R116" s="50" t="s">
        <v>950</v>
      </c>
      <c r="T116" s="52" t="s">
        <v>5779</v>
      </c>
      <c r="V116" s="131" t="s">
        <v>5768</v>
      </c>
      <c r="AA116" s="51" t="s">
        <v>5878</v>
      </c>
      <c r="AB116" s="51" t="s">
        <v>3912</v>
      </c>
      <c r="AC116" s="51" t="s">
        <v>5741</v>
      </c>
      <c r="AD116" s="51" t="s">
        <v>949</v>
      </c>
      <c r="AE116" s="51" t="s">
        <v>5912</v>
      </c>
      <c r="AF116" s="50" t="s">
        <v>950</v>
      </c>
      <c r="AH116" s="51" t="s">
        <v>5913</v>
      </c>
      <c r="AJ116" s="52" t="s">
        <v>5768</v>
      </c>
      <c r="AO116" s="51" t="s">
        <v>6056</v>
      </c>
      <c r="AP116" s="51" t="s">
        <v>3914</v>
      </c>
      <c r="AQ116" s="51" t="s">
        <v>5741</v>
      </c>
      <c r="AR116" s="51" t="s">
        <v>949</v>
      </c>
      <c r="AS116" s="51" t="s">
        <v>6091</v>
      </c>
      <c r="AT116" s="180" t="s">
        <v>950</v>
      </c>
      <c r="AV116" s="51" t="s">
        <v>6092</v>
      </c>
      <c r="AX116" s="52" t="s">
        <v>5768</v>
      </c>
    </row>
    <row r="117" spans="1:51" x14ac:dyDescent="0.25">
      <c r="A117" s="193" t="s">
        <v>5798</v>
      </c>
      <c r="B117" s="51">
        <v>42</v>
      </c>
      <c r="E117" s="54" t="str" cm="1">
        <f t="array" aca="1" ref="E117" ca="1">IF(G117=0,IF(H117=0,"",HYPERLINK("#"&amp;RIGHT(CELL("adresse",OFFSET($P$6,H117-1,0)),LEN(CELL("adresse",OFFSET($P$6,H117-1,0)))),"Definition")),HYPERLINK("#"&amp;RIGHT(CELL("adresse",OFFSET(DMAV_Modell!$Q$6,G117-1,0)),LEN(CELL("adresse",OFFSET(DMAV_Modell!$Q$6,G117-1,0)))-SEARCH("]",CELL("adresse",OFFSET(DMAV_Modell!$Q$6,G117-1,0)))),"Definition"))</f>
        <v/>
      </c>
      <c r="F117" s="150" t="str">
        <f t="shared" si="4"/>
        <v>MFPK42</v>
      </c>
      <c r="G117" s="150">
        <f>IF(C117="",0,IF(ISNA(MATCH(C117,$F$6:$F$140,0)),MATCH(C117,DMAV_Modell!$G$6:$G$677,0),0))</f>
        <v>0</v>
      </c>
      <c r="H117" s="150">
        <f t="shared" si="3"/>
        <v>0</v>
      </c>
      <c r="M117" s="51" t="s">
        <v>5739</v>
      </c>
      <c r="N117" s="51" t="s">
        <v>3603</v>
      </c>
      <c r="O117" s="51" t="s">
        <v>5741</v>
      </c>
      <c r="P117" s="51" t="s">
        <v>949</v>
      </c>
      <c r="Q117" s="51" t="s">
        <v>5780</v>
      </c>
      <c r="T117" s="52" t="s">
        <v>2737</v>
      </c>
      <c r="V117" s="131" t="s">
        <v>5781</v>
      </c>
      <c r="AA117" s="51" t="s">
        <v>5878</v>
      </c>
      <c r="AB117" s="51" t="s">
        <v>3912</v>
      </c>
      <c r="AC117" s="51" t="s">
        <v>5741</v>
      </c>
      <c r="AD117" s="51" t="s">
        <v>949</v>
      </c>
      <c r="AE117" s="51" t="s">
        <v>5914</v>
      </c>
      <c r="AH117" s="51" t="s">
        <v>5887</v>
      </c>
      <c r="AJ117" s="52" t="s">
        <v>5781</v>
      </c>
      <c r="AO117" s="51" t="s">
        <v>6056</v>
      </c>
      <c r="AP117" s="51" t="s">
        <v>3914</v>
      </c>
      <c r="AQ117" s="51" t="s">
        <v>5741</v>
      </c>
      <c r="AR117" s="51" t="s">
        <v>949</v>
      </c>
      <c r="AS117" s="51" t="s">
        <v>6093</v>
      </c>
      <c r="AV117" s="51" t="s">
        <v>6066</v>
      </c>
      <c r="AX117" s="52" t="s">
        <v>5781</v>
      </c>
    </row>
    <row r="118" spans="1:51" x14ac:dyDescent="0.25">
      <c r="A118" s="193" t="s">
        <v>5798</v>
      </c>
      <c r="B118" s="51">
        <v>43</v>
      </c>
      <c r="E118" s="54" t="str" cm="1">
        <f t="array" aca="1" ref="E118" ca="1">IF(G118=0,IF(H118=0,"",HYPERLINK("#"&amp;RIGHT(CELL("adresse",OFFSET($P$6,H118-1,0)),LEN(CELL("adresse",OFFSET($P$6,H118-1,0)))),"Definition")),HYPERLINK("#"&amp;RIGHT(CELL("adresse",OFFSET(DMAV_Modell!$Q$6,G118-1,0)),LEN(CELL("adresse",OFFSET(DMAV_Modell!$Q$6,G118-1,0)))-SEARCH("]",CELL("adresse",OFFSET(DMAV_Modell!$Q$6,G118-1,0)))),"Definition"))</f>
        <v/>
      </c>
      <c r="F118" s="150" t="str">
        <f t="shared" si="4"/>
        <v>MFPK43</v>
      </c>
      <c r="G118" s="150">
        <f>IF(C118="",0,IF(ISNA(MATCH(C118,$F$6:$F$140,0)),MATCH(C118,DMAV_Modell!$G$6:$G$677,0),0))</f>
        <v>0</v>
      </c>
      <c r="H118" s="150">
        <f t="shared" si="3"/>
        <v>0</v>
      </c>
      <c r="M118" s="51" t="s">
        <v>5739</v>
      </c>
      <c r="N118" s="51" t="s">
        <v>3603</v>
      </c>
      <c r="O118" s="51" t="s">
        <v>5741</v>
      </c>
      <c r="P118" s="51" t="s">
        <v>949</v>
      </c>
      <c r="Q118" s="51" t="s">
        <v>5780</v>
      </c>
      <c r="R118" s="50" t="s">
        <v>950</v>
      </c>
      <c r="T118" s="52" t="s">
        <v>101</v>
      </c>
      <c r="V118" s="131" t="s">
        <v>956</v>
      </c>
      <c r="AA118" s="51" t="s">
        <v>5878</v>
      </c>
      <c r="AB118" s="51" t="s">
        <v>3912</v>
      </c>
      <c r="AC118" s="51" t="s">
        <v>5741</v>
      </c>
      <c r="AD118" s="51" t="s">
        <v>949</v>
      </c>
      <c r="AE118" s="51" t="s">
        <v>5914</v>
      </c>
      <c r="AF118" s="50" t="s">
        <v>950</v>
      </c>
      <c r="AH118" s="51" t="s">
        <v>735</v>
      </c>
      <c r="AJ118" s="52" t="s">
        <v>956</v>
      </c>
      <c r="AO118" s="51" t="s">
        <v>6056</v>
      </c>
      <c r="AP118" s="51" t="s">
        <v>3914</v>
      </c>
      <c r="AQ118" s="51" t="s">
        <v>5741</v>
      </c>
      <c r="AR118" s="51" t="s">
        <v>949</v>
      </c>
      <c r="AS118" s="51" t="s">
        <v>6093</v>
      </c>
      <c r="AT118" s="180" t="s">
        <v>950</v>
      </c>
      <c r="AV118" s="51" t="s">
        <v>1294</v>
      </c>
      <c r="AX118" s="52" t="s">
        <v>956</v>
      </c>
    </row>
    <row r="119" spans="1:51" x14ac:dyDescent="0.25">
      <c r="A119" s="193" t="s">
        <v>5798</v>
      </c>
      <c r="B119" s="51">
        <v>44</v>
      </c>
      <c r="E119" s="54" t="str" cm="1">
        <f t="array" aca="1" ref="E119" ca="1">IF(G119=0,IF(H119=0,"",HYPERLINK("#"&amp;RIGHT(CELL("adresse",OFFSET($P$6,H119-1,0)),LEN(CELL("adresse",OFFSET($P$6,H119-1,0)))),"Definition")),HYPERLINK("#"&amp;RIGHT(CELL("adresse",OFFSET(DMAV_Modell!$Q$6,G119-1,0)),LEN(CELL("adresse",OFFSET(DMAV_Modell!$Q$6,G119-1,0)))-SEARCH("]",CELL("adresse",OFFSET(DMAV_Modell!$Q$6,G119-1,0)))),"Definition"))</f>
        <v/>
      </c>
      <c r="F119" s="150" t="str">
        <f t="shared" si="4"/>
        <v>MFPK44</v>
      </c>
      <c r="G119" s="150">
        <f>IF(C119="",0,IF(ISNA(MATCH(C119,$F$6:$F$140,0)),MATCH(C119,DMAV_Modell!$G$6:$G$677,0),0))</f>
        <v>0</v>
      </c>
      <c r="H119" s="150">
        <f t="shared" si="3"/>
        <v>0</v>
      </c>
      <c r="M119" s="51" t="s">
        <v>5739</v>
      </c>
      <c r="N119" s="51" t="s">
        <v>3603</v>
      </c>
      <c r="O119" s="51" t="s">
        <v>5741</v>
      </c>
      <c r="P119" s="51" t="s">
        <v>949</v>
      </c>
      <c r="Q119" s="51" t="s">
        <v>5780</v>
      </c>
      <c r="T119" s="52" t="s">
        <v>107</v>
      </c>
      <c r="V119" s="131" t="s">
        <v>5768</v>
      </c>
      <c r="AA119" s="51" t="s">
        <v>5878</v>
      </c>
      <c r="AB119" s="51" t="s">
        <v>3912</v>
      </c>
      <c r="AC119" s="51" t="s">
        <v>5741</v>
      </c>
      <c r="AD119" s="51" t="s">
        <v>949</v>
      </c>
      <c r="AE119" s="51" t="s">
        <v>5914</v>
      </c>
      <c r="AH119" s="51" t="s">
        <v>5915</v>
      </c>
      <c r="AJ119" s="52" t="s">
        <v>5768</v>
      </c>
      <c r="AO119" s="51" t="s">
        <v>6056</v>
      </c>
      <c r="AP119" s="51" t="s">
        <v>3914</v>
      </c>
      <c r="AQ119" s="51" t="s">
        <v>5741</v>
      </c>
      <c r="AR119" s="51" t="s">
        <v>949</v>
      </c>
      <c r="AS119" s="51" t="s">
        <v>6093</v>
      </c>
      <c r="AV119" s="51" t="s">
        <v>6094</v>
      </c>
      <c r="AX119" s="52" t="s">
        <v>5768</v>
      </c>
    </row>
    <row r="120" spans="1:51" x14ac:dyDescent="0.25">
      <c r="A120" s="193" t="s">
        <v>5798</v>
      </c>
      <c r="B120" s="51">
        <v>45</v>
      </c>
      <c r="E120" s="54" t="str" cm="1">
        <f t="array" aca="1" ref="E120" ca="1">IF(G120=0,IF(H120=0,"",HYPERLINK("#"&amp;RIGHT(CELL("adresse",OFFSET($P$6,H120-1,0)),LEN(CELL("adresse",OFFSET($P$6,H120-1,0)))),"Definition")),HYPERLINK("#"&amp;RIGHT(CELL("adresse",OFFSET(DMAV_Modell!$Q$6,G120-1,0)),LEN(CELL("adresse",OFFSET(DMAV_Modell!$Q$6,G120-1,0)))-SEARCH("]",CELL("adresse",OFFSET(DMAV_Modell!$Q$6,G120-1,0)))),"Definition"))</f>
        <v/>
      </c>
      <c r="F120" s="150" t="str">
        <f t="shared" si="4"/>
        <v>MFPK45</v>
      </c>
      <c r="G120" s="150">
        <f>IF(C120="",0,IF(ISNA(MATCH(C120,$F$6:$F$140,0)),MATCH(C120,DMAV_Modell!$G$6:$G$677,0),0))</f>
        <v>0</v>
      </c>
      <c r="H120" s="150">
        <f t="shared" si="3"/>
        <v>0</v>
      </c>
      <c r="M120" s="51" t="s">
        <v>5739</v>
      </c>
      <c r="N120" s="51" t="s">
        <v>3603</v>
      </c>
      <c r="O120" s="51" t="s">
        <v>5741</v>
      </c>
      <c r="P120" s="51" t="s">
        <v>949</v>
      </c>
      <c r="Q120" s="51" t="s">
        <v>5780</v>
      </c>
      <c r="R120" s="50" t="s">
        <v>950</v>
      </c>
      <c r="T120" s="52" t="s">
        <v>5782</v>
      </c>
      <c r="V120" s="131" t="s">
        <v>5768</v>
      </c>
      <c r="AA120" s="51" t="s">
        <v>5878</v>
      </c>
      <c r="AB120" s="51" t="s">
        <v>3912</v>
      </c>
      <c r="AC120" s="51" t="s">
        <v>5741</v>
      </c>
      <c r="AD120" s="51" t="s">
        <v>949</v>
      </c>
      <c r="AE120" s="51" t="s">
        <v>5914</v>
      </c>
      <c r="AF120" s="50" t="s">
        <v>950</v>
      </c>
      <c r="AH120" s="51" t="s">
        <v>5916</v>
      </c>
      <c r="AJ120" s="52" t="s">
        <v>5768</v>
      </c>
      <c r="AO120" s="51" t="s">
        <v>6056</v>
      </c>
      <c r="AP120" s="51" t="s">
        <v>3914</v>
      </c>
      <c r="AQ120" s="51" t="s">
        <v>5741</v>
      </c>
      <c r="AR120" s="51" t="s">
        <v>949</v>
      </c>
      <c r="AS120" s="51" t="s">
        <v>6093</v>
      </c>
      <c r="AT120" s="180" t="s">
        <v>950</v>
      </c>
      <c r="AV120" s="51" t="s">
        <v>6095</v>
      </c>
      <c r="AX120" s="52" t="s">
        <v>5768</v>
      </c>
    </row>
    <row r="121" spans="1:51" x14ac:dyDescent="0.25">
      <c r="A121" s="193" t="s">
        <v>5798</v>
      </c>
      <c r="B121" s="51">
        <v>46</v>
      </c>
      <c r="E121" s="54" t="str" cm="1">
        <f t="array" aca="1" ref="E121" ca="1">IF(G121=0,IF(H121=0,"",HYPERLINK("#"&amp;RIGHT(CELL("adresse",OFFSET($P$6,H121-1,0)),LEN(CELL("adresse",OFFSET($P$6,H121-1,0)))),"Definition")),HYPERLINK("#"&amp;RIGHT(CELL("adresse",OFFSET(DMAV_Modell!$Q$6,G121-1,0)),LEN(CELL("adresse",OFFSET(DMAV_Modell!$Q$6,G121-1,0)))-SEARCH("]",CELL("adresse",OFFSET(DMAV_Modell!$Q$6,G121-1,0)))),"Definition"))</f>
        <v/>
      </c>
      <c r="F121" s="150" t="str">
        <f t="shared" si="4"/>
        <v>MFPK46</v>
      </c>
      <c r="G121" s="150">
        <f>IF(C121="",0,IF(ISNA(MATCH(C121,$F$6:$F$140,0)),MATCH(C121,DMAV_Modell!$G$6:$G$677,0),0))</f>
        <v>0</v>
      </c>
      <c r="H121" s="150">
        <f t="shared" si="3"/>
        <v>0</v>
      </c>
      <c r="M121" s="51" t="s">
        <v>5739</v>
      </c>
      <c r="N121" s="51" t="s">
        <v>3603</v>
      </c>
      <c r="O121" s="51" t="s">
        <v>5741</v>
      </c>
      <c r="P121" s="51" t="s">
        <v>949</v>
      </c>
      <c r="Q121" s="51" t="s">
        <v>5780</v>
      </c>
      <c r="R121" s="50" t="s">
        <v>950</v>
      </c>
      <c r="S121" s="51" t="s">
        <v>959</v>
      </c>
      <c r="T121" s="52" t="s">
        <v>99</v>
      </c>
      <c r="V121" s="131" t="s">
        <v>951</v>
      </c>
      <c r="AA121" s="51" t="s">
        <v>5878</v>
      </c>
      <c r="AB121" s="51" t="s">
        <v>3912</v>
      </c>
      <c r="AC121" s="51" t="s">
        <v>5741</v>
      </c>
      <c r="AD121" s="51" t="s">
        <v>949</v>
      </c>
      <c r="AE121" s="51" t="s">
        <v>5914</v>
      </c>
      <c r="AF121" s="50" t="s">
        <v>950</v>
      </c>
      <c r="AG121" s="51" t="s">
        <v>959</v>
      </c>
      <c r="AH121" s="51" t="s">
        <v>734</v>
      </c>
      <c r="AJ121" s="52" t="s">
        <v>951</v>
      </c>
      <c r="AO121" s="51" t="s">
        <v>6056</v>
      </c>
      <c r="AP121" s="51" t="s">
        <v>3914</v>
      </c>
      <c r="AQ121" s="51" t="s">
        <v>5741</v>
      </c>
      <c r="AR121" s="51" t="s">
        <v>949</v>
      </c>
      <c r="AS121" s="51" t="s">
        <v>6093</v>
      </c>
      <c r="AT121" s="180" t="s">
        <v>950</v>
      </c>
      <c r="AU121" s="51" t="s">
        <v>959</v>
      </c>
      <c r="AV121" s="51" t="s">
        <v>1376</v>
      </c>
      <c r="AX121" s="52" t="s">
        <v>951</v>
      </c>
    </row>
    <row r="122" spans="1:51" x14ac:dyDescent="0.25">
      <c r="A122" s="193" t="s">
        <v>5798</v>
      </c>
      <c r="B122" s="51">
        <v>47</v>
      </c>
      <c r="C122" s="193" t="s">
        <v>5807</v>
      </c>
      <c r="E122" s="54" t="str" cm="1">
        <f t="array" aca="1" ref="E122" ca="1">IF(G122=0,IF(H122=0,"",HYPERLINK("#"&amp;RIGHT(CELL("adresse",OFFSET($P$6,H122-1,0)),LEN(CELL("adresse",OFFSET($P$6,H122-1,0)))),"Definition")),HYPERLINK("#"&amp;RIGHT(CELL("adresse",OFFSET(DMAV_Modell!$Q$6,G122-1,0)),LEN(CELL("adresse",OFFSET(DMAV_Modell!$Q$6,G122-1,0)))-SEARCH("]",CELL("adresse",OFFSET(DMAV_Modell!$Q$6,G122-1,0)))),"Definition"))</f>
        <v>Definition</v>
      </c>
      <c r="F122" s="150" t="str">
        <f t="shared" si="4"/>
        <v>MFPK47</v>
      </c>
      <c r="G122" s="150">
        <f>IF(C122="",0,IF(ISNA(MATCH(C122,$F$6:$F$140,0)),MATCH(C122,DMAV_Modell!$G$6:$G$677,0),0))</f>
        <v>0</v>
      </c>
      <c r="H122" s="150">
        <f t="shared" si="3"/>
        <v>74</v>
      </c>
      <c r="M122" s="51" t="s">
        <v>5739</v>
      </c>
      <c r="N122" s="51" t="s">
        <v>3603</v>
      </c>
      <c r="O122" s="51" t="s">
        <v>5741</v>
      </c>
      <c r="P122" s="51" t="s">
        <v>949</v>
      </c>
      <c r="Q122" s="51" t="s">
        <v>5780</v>
      </c>
      <c r="R122" s="50" t="s">
        <v>950</v>
      </c>
      <c r="S122" s="51" t="s">
        <v>959</v>
      </c>
      <c r="T122" s="52" t="s">
        <v>96</v>
      </c>
      <c r="V122" s="131" t="s">
        <v>5759</v>
      </c>
      <c r="AA122" s="51" t="s">
        <v>5878</v>
      </c>
      <c r="AB122" s="51" t="s">
        <v>3912</v>
      </c>
      <c r="AC122" s="51" t="s">
        <v>5741</v>
      </c>
      <c r="AD122" s="51" t="s">
        <v>949</v>
      </c>
      <c r="AE122" s="51" t="s">
        <v>5914</v>
      </c>
      <c r="AF122" s="50" t="s">
        <v>950</v>
      </c>
      <c r="AG122" s="51" t="s">
        <v>959</v>
      </c>
      <c r="AH122" s="51" t="s">
        <v>733</v>
      </c>
      <c r="AJ122" s="52" t="s">
        <v>5893</v>
      </c>
      <c r="AO122" s="51" t="s">
        <v>6056</v>
      </c>
      <c r="AP122" s="51" t="s">
        <v>3914</v>
      </c>
      <c r="AQ122" s="51" t="s">
        <v>5741</v>
      </c>
      <c r="AR122" s="51" t="s">
        <v>949</v>
      </c>
      <c r="AS122" s="51" t="s">
        <v>6093</v>
      </c>
      <c r="AT122" s="180" t="s">
        <v>950</v>
      </c>
      <c r="AU122" s="51" t="s">
        <v>959</v>
      </c>
      <c r="AV122" s="51" t="s">
        <v>1378</v>
      </c>
      <c r="AX122" s="52" t="s">
        <v>6072</v>
      </c>
    </row>
    <row r="123" spans="1:51" x14ac:dyDescent="0.25">
      <c r="A123" s="193" t="s">
        <v>5798</v>
      </c>
      <c r="B123" s="51">
        <v>48</v>
      </c>
      <c r="E123" s="54" t="str" cm="1">
        <f t="array" aca="1" ref="E123" ca="1">IF(G123=0,IF(H123=0,"",HYPERLINK("#"&amp;RIGHT(CELL("adresse",OFFSET($P$6,H123-1,0)),LEN(CELL("adresse",OFFSET($P$6,H123-1,0)))),"Definition")),HYPERLINK("#"&amp;RIGHT(CELL("adresse",OFFSET(DMAV_Modell!$Q$6,G123-1,0)),LEN(CELL("adresse",OFFSET(DMAV_Modell!$Q$6,G123-1,0)))-SEARCH("]",CELL("adresse",OFFSET(DMAV_Modell!$Q$6,G123-1,0)))),"Definition"))</f>
        <v/>
      </c>
      <c r="F123" s="150" t="str">
        <f t="shared" si="4"/>
        <v>MFPK48</v>
      </c>
      <c r="G123" s="150">
        <f>IF(C123="",0,IF(ISNA(MATCH(C123,$F$6:$F$140,0)),MATCH(C123,DMAV_Modell!$G$6:$G$677,0),0))</f>
        <v>0</v>
      </c>
      <c r="H123" s="150">
        <f t="shared" si="3"/>
        <v>0</v>
      </c>
      <c r="M123" s="51" t="s">
        <v>5739</v>
      </c>
      <c r="N123" s="51" t="s">
        <v>3603</v>
      </c>
      <c r="O123" s="51" t="s">
        <v>5741</v>
      </c>
      <c r="P123" s="51" t="s">
        <v>949</v>
      </c>
      <c r="Q123" s="51" t="s">
        <v>5780</v>
      </c>
      <c r="R123" s="50" t="s">
        <v>950</v>
      </c>
      <c r="T123" s="52" t="s">
        <v>1518</v>
      </c>
      <c r="V123" s="194" t="s">
        <v>5806</v>
      </c>
      <c r="AA123" s="51" t="s">
        <v>5878</v>
      </c>
      <c r="AB123" s="51" t="s">
        <v>3912</v>
      </c>
      <c r="AC123" s="51" t="s">
        <v>5741</v>
      </c>
      <c r="AD123" s="51" t="s">
        <v>949</v>
      </c>
      <c r="AE123" s="51" t="s">
        <v>5914</v>
      </c>
      <c r="AF123" s="50" t="s">
        <v>950</v>
      </c>
      <c r="AH123" s="51" t="s">
        <v>1593</v>
      </c>
      <c r="AJ123" s="52" t="s">
        <v>5917</v>
      </c>
      <c r="AO123" s="51" t="s">
        <v>6056</v>
      </c>
      <c r="AP123" s="51" t="s">
        <v>3914</v>
      </c>
      <c r="AQ123" s="51" t="s">
        <v>5741</v>
      </c>
      <c r="AR123" s="51" t="s">
        <v>949</v>
      </c>
      <c r="AS123" s="51" t="s">
        <v>6093</v>
      </c>
      <c r="AT123" s="180" t="s">
        <v>950</v>
      </c>
      <c r="AV123" s="51" t="s">
        <v>1592</v>
      </c>
      <c r="AX123" s="52" t="s">
        <v>6096</v>
      </c>
    </row>
    <row r="124" spans="1:51" x14ac:dyDescent="0.25">
      <c r="A124" s="193" t="s">
        <v>5798</v>
      </c>
      <c r="B124" s="51">
        <v>49</v>
      </c>
      <c r="E124" s="54" t="str" cm="1">
        <f t="array" aca="1" ref="E124" ca="1">IF(G124=0,IF(H124=0,"",HYPERLINK("#"&amp;RIGHT(CELL("adresse",OFFSET($P$6,H124-1,0)),LEN(CELL("adresse",OFFSET($P$6,H124-1,0)))),"Definition")),HYPERLINK("#"&amp;RIGHT(CELL("adresse",OFFSET(DMAV_Modell!$Q$6,G124-1,0)),LEN(CELL("adresse",OFFSET(DMAV_Modell!$Q$6,G124-1,0)))-SEARCH("]",CELL("adresse",OFFSET(DMAV_Modell!$Q$6,G124-1,0)))),"Definition"))</f>
        <v/>
      </c>
      <c r="F124" s="150" t="str">
        <f t="shared" si="4"/>
        <v>MFPK49</v>
      </c>
      <c r="G124" s="150">
        <f>IF(C124="",0,IF(ISNA(MATCH(C124,$F$6:$F$140,0)),MATCH(C124,DMAV_Modell!$G$6:$G$677,0),0))</f>
        <v>0</v>
      </c>
      <c r="H124" s="150">
        <f t="shared" si="3"/>
        <v>0</v>
      </c>
      <c r="M124" s="51" t="s">
        <v>5739</v>
      </c>
      <c r="N124" s="51" t="s">
        <v>3603</v>
      </c>
      <c r="O124" s="51" t="s">
        <v>5741</v>
      </c>
      <c r="P124" s="51" t="s">
        <v>967</v>
      </c>
      <c r="Q124" s="51" t="s">
        <v>5783</v>
      </c>
      <c r="T124" s="52" t="s">
        <v>5784</v>
      </c>
      <c r="V124" s="131" t="s">
        <v>5742</v>
      </c>
      <c r="W124" s="51" cm="1">
        <f t="array" ref="W124">-- {1}</f>
        <v>1</v>
      </c>
      <c r="AA124" s="51" t="s">
        <v>5878</v>
      </c>
      <c r="AB124" s="51" t="s">
        <v>3912</v>
      </c>
      <c r="AC124" s="51" t="s">
        <v>5741</v>
      </c>
      <c r="AD124" s="51" t="s">
        <v>967</v>
      </c>
      <c r="AE124" s="51" t="s">
        <v>5918</v>
      </c>
      <c r="AH124" s="51" t="s">
        <v>5919</v>
      </c>
      <c r="AJ124" s="52" t="s">
        <v>5879</v>
      </c>
      <c r="AK124" s="51" t="s">
        <v>970</v>
      </c>
      <c r="AO124" s="51" t="s">
        <v>6056</v>
      </c>
      <c r="AP124" s="51" t="s">
        <v>3914</v>
      </c>
      <c r="AQ124" s="51" t="s">
        <v>5741</v>
      </c>
      <c r="AR124" s="51" t="s">
        <v>967</v>
      </c>
      <c r="AS124" s="51" t="s">
        <v>6097</v>
      </c>
      <c r="AV124" s="51" t="s">
        <v>5919</v>
      </c>
      <c r="AX124" s="52" t="s">
        <v>6098</v>
      </c>
      <c r="AY124" s="51">
        <v>1</v>
      </c>
    </row>
    <row r="125" spans="1:51" x14ac:dyDescent="0.25">
      <c r="A125" s="193" t="s">
        <v>5798</v>
      </c>
      <c r="B125" s="51">
        <v>50</v>
      </c>
      <c r="E125" s="54" t="str" cm="1">
        <f t="array" aca="1" ref="E125" ca="1">IF(G125=0,IF(H125=0,"",HYPERLINK("#"&amp;RIGHT(CELL("adresse",OFFSET($P$6,H125-1,0)),LEN(CELL("adresse",OFFSET($P$6,H125-1,0)))),"Definition")),HYPERLINK("#"&amp;RIGHT(CELL("adresse",OFFSET(DMAV_Modell!$Q$6,G125-1,0)),LEN(CELL("adresse",OFFSET(DMAV_Modell!$Q$6,G125-1,0)))-SEARCH("]",CELL("adresse",OFFSET(DMAV_Modell!$Q$6,G125-1,0)))),"Definition"))</f>
        <v/>
      </c>
      <c r="F125" s="150" t="str">
        <f t="shared" si="4"/>
        <v>MFPK50</v>
      </c>
      <c r="G125" s="150">
        <f>IF(C125="",0,IF(ISNA(MATCH(C125,$F$6:$F$140,0)),MATCH(C125,DMAV_Modell!$G$6:$G$677,0),0))</f>
        <v>0</v>
      </c>
      <c r="H125" s="150">
        <f t="shared" si="3"/>
        <v>0</v>
      </c>
      <c r="M125" s="51" t="s">
        <v>5739</v>
      </c>
      <c r="N125" s="51" t="s">
        <v>3603</v>
      </c>
      <c r="O125" s="51" t="s">
        <v>5741</v>
      </c>
      <c r="P125" s="51" t="s">
        <v>967</v>
      </c>
      <c r="Q125" s="51" t="s">
        <v>5783</v>
      </c>
      <c r="T125" s="52" t="s">
        <v>5785</v>
      </c>
      <c r="V125" s="131" t="s">
        <v>5752</v>
      </c>
      <c r="W125" s="51" t="s">
        <v>972</v>
      </c>
      <c r="AA125" s="51" t="s">
        <v>5878</v>
      </c>
      <c r="AB125" s="51" t="s">
        <v>3912</v>
      </c>
      <c r="AC125" s="51" t="s">
        <v>5741</v>
      </c>
      <c r="AD125" s="51" t="s">
        <v>967</v>
      </c>
      <c r="AE125" s="51" t="s">
        <v>5918</v>
      </c>
      <c r="AH125" s="51" t="s">
        <v>5920</v>
      </c>
      <c r="AJ125" s="52" t="s">
        <v>5884</v>
      </c>
      <c r="AK125" s="51" t="s">
        <v>972</v>
      </c>
      <c r="AO125" s="51" t="s">
        <v>6056</v>
      </c>
      <c r="AP125" s="51" t="s">
        <v>3914</v>
      </c>
      <c r="AQ125" s="51" t="s">
        <v>5741</v>
      </c>
      <c r="AR125" s="51" t="s">
        <v>967</v>
      </c>
      <c r="AS125" s="51" t="s">
        <v>6097</v>
      </c>
      <c r="AV125" s="51" t="s">
        <v>5920</v>
      </c>
      <c r="AX125" s="52" t="s">
        <v>6099</v>
      </c>
      <c r="AY125" s="51" t="s">
        <v>972</v>
      </c>
    </row>
    <row r="126" spans="1:51" x14ac:dyDescent="0.25">
      <c r="A126" s="193" t="s">
        <v>5798</v>
      </c>
      <c r="B126" s="51">
        <v>51</v>
      </c>
      <c r="E126" s="54" t="str" cm="1">
        <f t="array" aca="1" ref="E126" ca="1">IF(G126=0,IF(H126=0,"",HYPERLINK("#"&amp;RIGHT(CELL("adresse",OFFSET($P$6,H126-1,0)),LEN(CELL("adresse",OFFSET($P$6,H126-1,0)))),"Definition")),HYPERLINK("#"&amp;RIGHT(CELL("adresse",OFFSET(DMAV_Modell!$Q$6,G126-1,0)),LEN(CELL("adresse",OFFSET(DMAV_Modell!$Q$6,G126-1,0)))-SEARCH("]",CELL("adresse",OFFSET(DMAV_Modell!$Q$6,G126-1,0)))),"Definition"))</f>
        <v/>
      </c>
      <c r="F126" s="150" t="str">
        <f t="shared" si="4"/>
        <v>MFPK51</v>
      </c>
      <c r="G126" s="150">
        <f>IF(C126="",0,IF(ISNA(MATCH(C126,$F$6:$F$140,0)),MATCH(C126,DMAV_Modell!$G$6:$G$677,0),0))</f>
        <v>0</v>
      </c>
      <c r="H126" s="150">
        <f t="shared" si="3"/>
        <v>0</v>
      </c>
      <c r="M126" s="51" t="s">
        <v>5739</v>
      </c>
      <c r="N126" s="51" t="s">
        <v>3603</v>
      </c>
      <c r="O126" s="51" t="s">
        <v>5741</v>
      </c>
      <c r="P126" s="51" t="s">
        <v>967</v>
      </c>
      <c r="Q126" s="51" t="s">
        <v>5786</v>
      </c>
      <c r="T126" s="52" t="s">
        <v>5787</v>
      </c>
      <c r="V126" s="131" t="s">
        <v>5746</v>
      </c>
      <c r="W126" s="51" cm="1">
        <f t="array" ref="W126">-- {1}</f>
        <v>1</v>
      </c>
      <c r="AA126" s="51" t="s">
        <v>5878</v>
      </c>
      <c r="AB126" s="51" t="s">
        <v>3912</v>
      </c>
      <c r="AC126" s="51" t="s">
        <v>5741</v>
      </c>
      <c r="AD126" s="51" t="s">
        <v>967</v>
      </c>
      <c r="AE126" s="51" t="s">
        <v>5921</v>
      </c>
      <c r="AH126" s="51" t="s">
        <v>5922</v>
      </c>
      <c r="AJ126" s="52" t="s">
        <v>5881</v>
      </c>
      <c r="AK126" s="51" t="s">
        <v>970</v>
      </c>
      <c r="AO126" s="51" t="s">
        <v>6056</v>
      </c>
      <c r="AP126" s="51" t="s">
        <v>3914</v>
      </c>
      <c r="AQ126" s="51" t="s">
        <v>5741</v>
      </c>
      <c r="AR126" s="51" t="s">
        <v>967</v>
      </c>
      <c r="AS126" s="51" t="s">
        <v>6100</v>
      </c>
      <c r="AV126" s="51" t="s">
        <v>1913</v>
      </c>
      <c r="AX126" s="52" t="s">
        <v>6101</v>
      </c>
      <c r="AY126" s="51">
        <v>1</v>
      </c>
    </row>
    <row r="127" spans="1:51" x14ac:dyDescent="0.25">
      <c r="A127" s="193" t="s">
        <v>5798</v>
      </c>
      <c r="B127" s="51">
        <v>52</v>
      </c>
      <c r="E127" s="54" t="str" cm="1">
        <f t="array" aca="1" ref="E127" ca="1">IF(G127=0,IF(H127=0,"",HYPERLINK("#"&amp;RIGHT(CELL("adresse",OFFSET($P$6,H127-1,0)),LEN(CELL("adresse",OFFSET($P$6,H127-1,0)))),"Definition")),HYPERLINK("#"&amp;RIGHT(CELL("adresse",OFFSET(DMAV_Modell!$Q$6,G127-1,0)),LEN(CELL("adresse",OFFSET(DMAV_Modell!$Q$6,G127-1,0)))-SEARCH("]",CELL("adresse",OFFSET(DMAV_Modell!$Q$6,G127-1,0)))),"Definition"))</f>
        <v/>
      </c>
      <c r="F127" s="150" t="str">
        <f t="shared" si="4"/>
        <v>MFPK52</v>
      </c>
      <c r="G127" s="150">
        <f>IF(C127="",0,IF(ISNA(MATCH(C127,$F$6:$F$140,0)),MATCH(C127,DMAV_Modell!$G$6:$G$677,0),0))</f>
        <v>0</v>
      </c>
      <c r="H127" s="150">
        <f t="shared" si="3"/>
        <v>0</v>
      </c>
      <c r="M127" s="51" t="s">
        <v>5739</v>
      </c>
      <c r="N127" s="51" t="s">
        <v>3603</v>
      </c>
      <c r="O127" s="51" t="s">
        <v>5741</v>
      </c>
      <c r="P127" s="51" t="s">
        <v>967</v>
      </c>
      <c r="Q127" s="51" t="s">
        <v>5786</v>
      </c>
      <c r="T127" s="52" t="s">
        <v>5785</v>
      </c>
      <c r="V127" s="131" t="s">
        <v>5752</v>
      </c>
      <c r="W127" s="51" t="s">
        <v>972</v>
      </c>
      <c r="AA127" s="51" t="s">
        <v>5878</v>
      </c>
      <c r="AB127" s="51" t="s">
        <v>3912</v>
      </c>
      <c r="AC127" s="51" t="s">
        <v>5741</v>
      </c>
      <c r="AD127" s="51" t="s">
        <v>967</v>
      </c>
      <c r="AE127" s="51" t="s">
        <v>5921</v>
      </c>
      <c r="AH127" s="51" t="s">
        <v>5920</v>
      </c>
      <c r="AJ127" s="52" t="s">
        <v>5884</v>
      </c>
      <c r="AK127" s="51" t="s">
        <v>972</v>
      </c>
      <c r="AO127" s="51" t="s">
        <v>6056</v>
      </c>
      <c r="AP127" s="51" t="s">
        <v>3914</v>
      </c>
      <c r="AQ127" s="51" t="s">
        <v>5741</v>
      </c>
      <c r="AR127" s="51" t="s">
        <v>967</v>
      </c>
      <c r="AS127" s="51" t="s">
        <v>6100</v>
      </c>
      <c r="AV127" s="51" t="s">
        <v>5920</v>
      </c>
      <c r="AX127" s="52" t="s">
        <v>6099</v>
      </c>
      <c r="AY127" s="51" t="s">
        <v>972</v>
      </c>
    </row>
    <row r="128" spans="1:51" x14ac:dyDescent="0.25">
      <c r="A128" s="193" t="s">
        <v>5798</v>
      </c>
      <c r="B128" s="51">
        <v>53</v>
      </c>
      <c r="E128" s="54" t="str" cm="1">
        <f t="array" aca="1" ref="E128" ca="1">IF(G128=0,IF(H128=0,"",HYPERLINK("#"&amp;RIGHT(CELL("adresse",OFFSET($P$6,H128-1,0)),LEN(CELL("adresse",OFFSET($P$6,H128-1,0)))),"Definition")),HYPERLINK("#"&amp;RIGHT(CELL("adresse",OFFSET(DMAV_Modell!$Q$6,G128-1,0)),LEN(CELL("adresse",OFFSET(DMAV_Modell!$Q$6,G128-1,0)))-SEARCH("]",CELL("adresse",OFFSET(DMAV_Modell!$Q$6,G128-1,0)))),"Definition"))</f>
        <v/>
      </c>
      <c r="F128" s="150" t="str">
        <f t="shared" si="4"/>
        <v>MFPK53</v>
      </c>
      <c r="G128" s="150">
        <f>IF(C128="",0,IF(ISNA(MATCH(C128,$F$6:$F$140,0)),MATCH(C128,DMAV_Modell!$G$6:$G$677,0),0))</f>
        <v>0</v>
      </c>
      <c r="H128" s="150">
        <f t="shared" si="3"/>
        <v>0</v>
      </c>
      <c r="M128" s="51" t="s">
        <v>5739</v>
      </c>
      <c r="N128" s="51" t="s">
        <v>3603</v>
      </c>
      <c r="O128" s="51" t="s">
        <v>5741</v>
      </c>
      <c r="P128" s="51" t="s">
        <v>967</v>
      </c>
      <c r="Q128" s="51" t="s">
        <v>5788</v>
      </c>
      <c r="T128" s="52" t="s">
        <v>5789</v>
      </c>
      <c r="V128" s="131" t="s">
        <v>5748</v>
      </c>
      <c r="W128" s="51" cm="1">
        <f t="array" ref="W128">-- {1}</f>
        <v>1</v>
      </c>
      <c r="AA128" s="51" t="s">
        <v>5878</v>
      </c>
      <c r="AB128" s="51" t="s">
        <v>3912</v>
      </c>
      <c r="AC128" s="51" t="s">
        <v>5741</v>
      </c>
      <c r="AD128" s="51" t="s">
        <v>967</v>
      </c>
      <c r="AE128" s="51" t="s">
        <v>5923</v>
      </c>
      <c r="AH128" s="51" t="s">
        <v>5924</v>
      </c>
      <c r="AJ128" s="52" t="s">
        <v>5883</v>
      </c>
      <c r="AK128" s="51" t="s">
        <v>970</v>
      </c>
      <c r="AO128" s="51" t="s">
        <v>6056</v>
      </c>
      <c r="AP128" s="51" t="s">
        <v>3914</v>
      </c>
      <c r="AQ128" s="51" t="s">
        <v>5741</v>
      </c>
      <c r="AR128" s="51" t="s">
        <v>967</v>
      </c>
      <c r="AS128" s="51" t="s">
        <v>6102</v>
      </c>
      <c r="AV128" s="51" t="s">
        <v>5924</v>
      </c>
      <c r="AX128" s="52" t="s">
        <v>6103</v>
      </c>
      <c r="AY128" s="51">
        <v>1</v>
      </c>
    </row>
    <row r="129" spans="1:51" x14ac:dyDescent="0.25">
      <c r="A129" s="193" t="s">
        <v>5798</v>
      </c>
      <c r="B129" s="51">
        <v>54</v>
      </c>
      <c r="E129" s="54" t="str" cm="1">
        <f t="array" aca="1" ref="E129" ca="1">IF(G129=0,IF(H129=0,"",HYPERLINK("#"&amp;RIGHT(CELL("adresse",OFFSET($P$6,H129-1,0)),LEN(CELL("adresse",OFFSET($P$6,H129-1,0)))),"Definition")),HYPERLINK("#"&amp;RIGHT(CELL("adresse",OFFSET(DMAV_Modell!$Q$6,G129-1,0)),LEN(CELL("adresse",OFFSET(DMAV_Modell!$Q$6,G129-1,0)))-SEARCH("]",CELL("adresse",OFFSET(DMAV_Modell!$Q$6,G129-1,0)))),"Definition"))</f>
        <v/>
      </c>
      <c r="F129" s="150" t="str">
        <f t="shared" si="4"/>
        <v>MFPK54</v>
      </c>
      <c r="G129" s="150">
        <f>IF(C129="",0,IF(ISNA(MATCH(C129,$F$6:$F$140,0)),MATCH(C129,DMAV_Modell!$G$6:$G$677,0),0))</f>
        <v>0</v>
      </c>
      <c r="H129" s="150">
        <f t="shared" si="3"/>
        <v>0</v>
      </c>
      <c r="M129" s="51" t="s">
        <v>5739</v>
      </c>
      <c r="N129" s="51" t="s">
        <v>3603</v>
      </c>
      <c r="O129" s="51" t="s">
        <v>5741</v>
      </c>
      <c r="P129" s="51" t="s">
        <v>967</v>
      </c>
      <c r="Q129" s="51" t="s">
        <v>5788</v>
      </c>
      <c r="T129" s="52" t="s">
        <v>5785</v>
      </c>
      <c r="V129" s="131" t="s">
        <v>5752</v>
      </c>
      <c r="W129" s="51" t="s">
        <v>972</v>
      </c>
      <c r="AA129" s="51" t="s">
        <v>5878</v>
      </c>
      <c r="AB129" s="51" t="s">
        <v>3912</v>
      </c>
      <c r="AC129" s="51" t="s">
        <v>5741</v>
      </c>
      <c r="AD129" s="51" t="s">
        <v>967</v>
      </c>
      <c r="AE129" s="51" t="s">
        <v>5923</v>
      </c>
      <c r="AH129" s="51" t="s">
        <v>5920</v>
      </c>
      <c r="AJ129" s="52" t="s">
        <v>5884</v>
      </c>
      <c r="AK129" s="51" t="s">
        <v>972</v>
      </c>
      <c r="AO129" s="51" t="s">
        <v>6056</v>
      </c>
      <c r="AP129" s="51" t="s">
        <v>3914</v>
      </c>
      <c r="AQ129" s="51" t="s">
        <v>5741</v>
      </c>
      <c r="AR129" s="51" t="s">
        <v>967</v>
      </c>
      <c r="AS129" s="51" t="s">
        <v>6102</v>
      </c>
      <c r="AV129" s="51" t="s">
        <v>5920</v>
      </c>
      <c r="AX129" s="52" t="s">
        <v>6099</v>
      </c>
      <c r="AY129" s="51" t="s">
        <v>972</v>
      </c>
    </row>
    <row r="130" spans="1:51" x14ac:dyDescent="0.25">
      <c r="A130" s="193" t="s">
        <v>5798</v>
      </c>
      <c r="B130" s="51">
        <v>55</v>
      </c>
      <c r="E130" s="54" t="str" cm="1">
        <f t="array" aca="1" ref="E130" ca="1">IF(G130=0,IF(H130=0,"",HYPERLINK("#"&amp;RIGHT(CELL("adresse",OFFSET($P$6,H130-1,0)),LEN(CELL("adresse",OFFSET($P$6,H130-1,0)))),"Definition")),HYPERLINK("#"&amp;RIGHT(CELL("adresse",OFFSET(DMAV_Modell!$Q$6,G130-1,0)),LEN(CELL("adresse",OFFSET(DMAV_Modell!$Q$6,G130-1,0)))-SEARCH("]",CELL("adresse",OFFSET(DMAV_Modell!$Q$6,G130-1,0)))),"Definition"))</f>
        <v/>
      </c>
      <c r="F130" s="150" t="str">
        <f t="shared" si="4"/>
        <v>MFPK55</v>
      </c>
      <c r="G130" s="150">
        <f>IF(C130="",0,IF(ISNA(MATCH(C130,$F$6:$F$140,0)),MATCH(C130,DMAV_Modell!$G$6:$G$677,0),0))</f>
        <v>0</v>
      </c>
      <c r="H130" s="150">
        <f t="shared" si="3"/>
        <v>0</v>
      </c>
      <c r="M130" s="51" t="s">
        <v>5739</v>
      </c>
      <c r="N130" s="51" t="s">
        <v>3603</v>
      </c>
      <c r="O130" s="51" t="s">
        <v>5741</v>
      </c>
      <c r="P130" s="51" t="s">
        <v>967</v>
      </c>
      <c r="Q130" s="51" t="s">
        <v>5790</v>
      </c>
      <c r="T130" s="52" t="s">
        <v>5791</v>
      </c>
      <c r="V130" s="131" t="s">
        <v>5780</v>
      </c>
      <c r="W130" s="51" cm="1">
        <f t="array" ref="W130">-- {1}</f>
        <v>1</v>
      </c>
      <c r="AA130" s="51" t="s">
        <v>5878</v>
      </c>
      <c r="AB130" s="51" t="s">
        <v>3912</v>
      </c>
      <c r="AC130" s="51" t="s">
        <v>5741</v>
      </c>
      <c r="AD130" s="51" t="s">
        <v>967</v>
      </c>
      <c r="AE130" s="51" t="s">
        <v>5925</v>
      </c>
      <c r="AH130" s="51" t="s">
        <v>5926</v>
      </c>
      <c r="AJ130" s="52" t="s">
        <v>5914</v>
      </c>
      <c r="AK130" s="51" t="s">
        <v>970</v>
      </c>
      <c r="AO130" s="51" t="s">
        <v>6056</v>
      </c>
      <c r="AP130" s="51" t="s">
        <v>3914</v>
      </c>
      <c r="AQ130" s="51" t="s">
        <v>5741</v>
      </c>
      <c r="AR130" s="51" t="s">
        <v>967</v>
      </c>
      <c r="AS130" s="51" t="s">
        <v>6104</v>
      </c>
      <c r="AV130" s="51" t="s">
        <v>6105</v>
      </c>
      <c r="AX130" s="52" t="s">
        <v>6106</v>
      </c>
      <c r="AY130" s="51">
        <v>1</v>
      </c>
    </row>
    <row r="131" spans="1:51" x14ac:dyDescent="0.25">
      <c r="A131" s="193" t="s">
        <v>5798</v>
      </c>
      <c r="B131" s="51">
        <v>56</v>
      </c>
      <c r="E131" s="54" t="str" cm="1">
        <f t="array" aca="1" ref="E131" ca="1">IF(G131=0,IF(H131=0,"",HYPERLINK("#"&amp;RIGHT(CELL("adresse",OFFSET($P$6,H131-1,0)),LEN(CELL("adresse",OFFSET($P$6,H131-1,0)))),"Definition")),HYPERLINK("#"&amp;RIGHT(CELL("adresse",OFFSET(DMAV_Modell!$Q$6,G131-1,0)),LEN(CELL("adresse",OFFSET(DMAV_Modell!$Q$6,G131-1,0)))-SEARCH("]",CELL("adresse",OFFSET(DMAV_Modell!$Q$6,G131-1,0)))),"Definition"))</f>
        <v/>
      </c>
      <c r="F131" s="150" t="str">
        <f t="shared" si="4"/>
        <v>MFPK56</v>
      </c>
      <c r="G131" s="150">
        <f>IF(C131="",0,IF(ISNA(MATCH(C131,$F$6:$F$140,0)),MATCH(C131,DMAV_Modell!$G$6:$G$677,0),0))</f>
        <v>0</v>
      </c>
      <c r="H131" s="150">
        <f t="shared" si="3"/>
        <v>0</v>
      </c>
      <c r="M131" s="51" t="s">
        <v>5739</v>
      </c>
      <c r="N131" s="51" t="s">
        <v>3603</v>
      </c>
      <c r="O131" s="51" t="s">
        <v>5741</v>
      </c>
      <c r="P131" s="51" t="s">
        <v>967</v>
      </c>
      <c r="Q131" s="51" t="s">
        <v>5790</v>
      </c>
      <c r="T131" s="52" t="s">
        <v>5792</v>
      </c>
      <c r="V131" s="131" t="s">
        <v>5766</v>
      </c>
      <c r="W131" s="51" t="s">
        <v>972</v>
      </c>
      <c r="AA131" s="51" t="s">
        <v>5878</v>
      </c>
      <c r="AB131" s="51" t="s">
        <v>3912</v>
      </c>
      <c r="AC131" s="51" t="s">
        <v>5741</v>
      </c>
      <c r="AD131" s="51" t="s">
        <v>967</v>
      </c>
      <c r="AE131" s="51" t="s">
        <v>5925</v>
      </c>
      <c r="AH131" s="51" t="s">
        <v>5927</v>
      </c>
      <c r="AJ131" s="52" t="s">
        <v>5900</v>
      </c>
      <c r="AK131" s="51" t="s">
        <v>972</v>
      </c>
      <c r="AO131" s="51" t="s">
        <v>6056</v>
      </c>
      <c r="AP131" s="51" t="s">
        <v>3914</v>
      </c>
      <c r="AQ131" s="51" t="s">
        <v>5741</v>
      </c>
      <c r="AR131" s="51" t="s">
        <v>967</v>
      </c>
      <c r="AS131" s="51" t="s">
        <v>6104</v>
      </c>
      <c r="AV131" s="51" t="s">
        <v>5927</v>
      </c>
      <c r="AX131" s="52" t="s">
        <v>6107</v>
      </c>
      <c r="AY131" s="51" t="s">
        <v>972</v>
      </c>
    </row>
    <row r="132" spans="1:51" x14ac:dyDescent="0.25">
      <c r="A132" s="193" t="s">
        <v>5798</v>
      </c>
      <c r="B132" s="51">
        <v>57</v>
      </c>
      <c r="E132" s="54" t="str" cm="1">
        <f t="array" aca="1" ref="E132" ca="1">IF(G132=0,IF(H132=0,"",HYPERLINK("#"&amp;RIGHT(CELL("adresse",OFFSET($P$6,H132-1,0)),LEN(CELL("adresse",OFFSET($P$6,H132-1,0)))),"Definition")),HYPERLINK("#"&amp;RIGHT(CELL("adresse",OFFSET(DMAV_Modell!$Q$6,G132-1,0)),LEN(CELL("adresse",OFFSET(DMAV_Modell!$Q$6,G132-1,0)))-SEARCH("]",CELL("adresse",OFFSET(DMAV_Modell!$Q$6,G132-1,0)))),"Definition"))</f>
        <v/>
      </c>
      <c r="F132" s="150" t="str">
        <f t="shared" si="4"/>
        <v>MFPK57</v>
      </c>
      <c r="G132" s="150">
        <f>IF(C132="",0,IF(ISNA(MATCH(C132,$F$6:$F$140,0)),MATCH(C132,DMAV_Modell!$G$6:$G$677,0),0))</f>
        <v>0</v>
      </c>
      <c r="H132" s="150">
        <f t="shared" si="3"/>
        <v>0</v>
      </c>
      <c r="M132" s="51" t="s">
        <v>5739</v>
      </c>
      <c r="N132" s="51" t="s">
        <v>3603</v>
      </c>
      <c r="O132" s="51" t="s">
        <v>5741</v>
      </c>
      <c r="P132" s="51" t="s">
        <v>967</v>
      </c>
      <c r="Q132" s="51" t="s">
        <v>5793</v>
      </c>
      <c r="T132" s="52" t="s">
        <v>5785</v>
      </c>
      <c r="V132" s="131" t="s">
        <v>5752</v>
      </c>
      <c r="W132" s="51" cm="1">
        <f t="array" ref="W132">-- {1}</f>
        <v>1</v>
      </c>
      <c r="AA132" s="51" t="s">
        <v>5878</v>
      </c>
      <c r="AB132" s="51" t="s">
        <v>3912</v>
      </c>
      <c r="AC132" s="51" t="s">
        <v>5741</v>
      </c>
      <c r="AD132" s="51" t="s">
        <v>967</v>
      </c>
      <c r="AE132" s="51" t="s">
        <v>5928</v>
      </c>
      <c r="AH132" s="51" t="s">
        <v>5920</v>
      </c>
      <c r="AJ132" s="52" t="s">
        <v>5884</v>
      </c>
      <c r="AK132" s="51" t="s">
        <v>970</v>
      </c>
      <c r="AO132" s="51" t="s">
        <v>6056</v>
      </c>
      <c r="AP132" s="51" t="s">
        <v>3914</v>
      </c>
      <c r="AQ132" s="51" t="s">
        <v>5741</v>
      </c>
      <c r="AR132" s="51" t="s">
        <v>967</v>
      </c>
      <c r="AS132" s="51" t="s">
        <v>6108</v>
      </c>
      <c r="AV132" s="51" t="s">
        <v>5920</v>
      </c>
      <c r="AX132" s="52" t="s">
        <v>6099</v>
      </c>
      <c r="AY132" s="51">
        <v>1</v>
      </c>
    </row>
    <row r="133" spans="1:51" x14ac:dyDescent="0.25">
      <c r="A133" s="193" t="s">
        <v>5798</v>
      </c>
      <c r="B133" s="51">
        <v>58</v>
      </c>
      <c r="E133" s="54" t="str" cm="1">
        <f t="array" aca="1" ref="E133" ca="1">IF(G133=0,IF(H133=0,"",HYPERLINK("#"&amp;RIGHT(CELL("adresse",OFFSET($P$6,H133-1,0)),LEN(CELL("adresse",OFFSET($P$6,H133-1,0)))),"Definition")),HYPERLINK("#"&amp;RIGHT(CELL("adresse",OFFSET(DMAV_Modell!$Q$6,G133-1,0)),LEN(CELL("adresse",OFFSET(DMAV_Modell!$Q$6,G133-1,0)))-SEARCH("]",CELL("adresse",OFFSET(DMAV_Modell!$Q$6,G133-1,0)))),"Definition"))</f>
        <v/>
      </c>
      <c r="F133" s="150" t="str">
        <f t="shared" si="4"/>
        <v>MFPK58</v>
      </c>
      <c r="G133" s="150">
        <f>IF(C133="",0,IF(ISNA(MATCH(C133,$F$6:$F$140,0)),MATCH(C133,DMAV_Modell!$G$6:$G$677,0),0))</f>
        <v>0</v>
      </c>
      <c r="H133" s="150">
        <f t="shared" si="3"/>
        <v>0</v>
      </c>
      <c r="M133" s="51" t="s">
        <v>5739</v>
      </c>
      <c r="N133" s="51" t="s">
        <v>3603</v>
      </c>
      <c r="O133" s="51" t="s">
        <v>5741</v>
      </c>
      <c r="P133" s="51" t="s">
        <v>967</v>
      </c>
      <c r="Q133" s="51" t="s">
        <v>5793</v>
      </c>
      <c r="T133" s="52" t="s">
        <v>5794</v>
      </c>
      <c r="V133" s="131" t="s">
        <v>5777</v>
      </c>
      <c r="W133" s="51" t="s">
        <v>972</v>
      </c>
      <c r="AA133" s="51" t="s">
        <v>5878</v>
      </c>
      <c r="AB133" s="51" t="s">
        <v>3912</v>
      </c>
      <c r="AC133" s="51" t="s">
        <v>5741</v>
      </c>
      <c r="AD133" s="51" t="s">
        <v>967</v>
      </c>
      <c r="AE133" s="51" t="s">
        <v>5928</v>
      </c>
      <c r="AH133" s="51" t="s">
        <v>5929</v>
      </c>
      <c r="AJ133" s="52" t="s">
        <v>5912</v>
      </c>
      <c r="AK133" s="51" t="s">
        <v>972</v>
      </c>
      <c r="AO133" s="51" t="s">
        <v>6056</v>
      </c>
      <c r="AP133" s="51" t="s">
        <v>3914</v>
      </c>
      <c r="AQ133" s="51" t="s">
        <v>5741</v>
      </c>
      <c r="AR133" s="51" t="s">
        <v>967</v>
      </c>
      <c r="AS133" s="51" t="s">
        <v>6108</v>
      </c>
      <c r="AV133" s="51" t="s">
        <v>5929</v>
      </c>
      <c r="AX133" s="52" t="s">
        <v>6109</v>
      </c>
      <c r="AY133" s="51" t="s">
        <v>972</v>
      </c>
    </row>
    <row r="134" spans="1:51" x14ac:dyDescent="0.25">
      <c r="A134" s="193" t="s">
        <v>5798</v>
      </c>
      <c r="B134" s="51">
        <v>59</v>
      </c>
      <c r="E134" s="54" t="str" cm="1">
        <f t="array" aca="1" ref="E134" ca="1">IF(G134=0,IF(H134=0,"",HYPERLINK("#"&amp;RIGHT(CELL("adresse",OFFSET($P$6,H134-1,0)),LEN(CELL("adresse",OFFSET($P$6,H134-1,0)))),"Definition")),HYPERLINK("#"&amp;RIGHT(CELL("adresse",OFFSET(DMAV_Modell!$Q$6,G134-1,0)),LEN(CELL("adresse",OFFSET(DMAV_Modell!$Q$6,G134-1,0)))-SEARCH("]",CELL("adresse",OFFSET(DMAV_Modell!$Q$6,G134-1,0)))),"Definition"))</f>
        <v/>
      </c>
      <c r="F134" s="150" t="str">
        <f t="shared" si="4"/>
        <v>MFPK59</v>
      </c>
      <c r="G134" s="150">
        <f>IF(C134="",0,IF(ISNA(MATCH(C134,$F$6:$F$140,0)),MATCH(C134,DMAV_Modell!$G$6:$G$677,0),0))</f>
        <v>0</v>
      </c>
      <c r="H134" s="150">
        <f t="shared" si="3"/>
        <v>0</v>
      </c>
      <c r="M134" s="51" t="s">
        <v>5739</v>
      </c>
      <c r="N134" s="51" t="s">
        <v>3603</v>
      </c>
      <c r="O134" s="51" t="s">
        <v>5741</v>
      </c>
      <c r="P134" s="51" t="s">
        <v>967</v>
      </c>
      <c r="Q134" s="51" t="s">
        <v>5795</v>
      </c>
      <c r="T134" s="52" t="s">
        <v>5792</v>
      </c>
      <c r="V134" s="131" t="s">
        <v>5766</v>
      </c>
      <c r="W134" s="51" t="s">
        <v>972</v>
      </c>
      <c r="AA134" s="51" t="s">
        <v>5878</v>
      </c>
      <c r="AB134" s="51" t="s">
        <v>3912</v>
      </c>
      <c r="AC134" s="51" t="s">
        <v>5741</v>
      </c>
      <c r="AD134" s="51" t="s">
        <v>967</v>
      </c>
      <c r="AE134" s="51" t="s">
        <v>5930</v>
      </c>
      <c r="AH134" s="51" t="s">
        <v>5927</v>
      </c>
      <c r="AJ134" s="52" t="s">
        <v>5900</v>
      </c>
      <c r="AK134" s="51" t="s">
        <v>972</v>
      </c>
      <c r="AO134" s="51" t="s">
        <v>6056</v>
      </c>
      <c r="AP134" s="51" t="s">
        <v>3914</v>
      </c>
      <c r="AQ134" s="51" t="s">
        <v>5741</v>
      </c>
      <c r="AR134" s="51" t="s">
        <v>967</v>
      </c>
      <c r="AS134" s="51" t="s">
        <v>6110</v>
      </c>
      <c r="AV134" s="51" t="s">
        <v>5927</v>
      </c>
      <c r="AX134" s="52" t="s">
        <v>6107</v>
      </c>
      <c r="AY134" s="51" t="s">
        <v>972</v>
      </c>
    </row>
    <row r="135" spans="1:51" x14ac:dyDescent="0.25">
      <c r="A135" s="193" t="s">
        <v>5798</v>
      </c>
      <c r="B135" s="51">
        <v>60</v>
      </c>
      <c r="E135" s="54" t="str" cm="1">
        <f t="array" aca="1" ref="E135" ca="1">IF(G135=0,IF(H135=0,"",HYPERLINK("#"&amp;RIGHT(CELL("adresse",OFFSET($P$6,H135-1,0)),LEN(CELL("adresse",OFFSET($P$6,H135-1,0)))),"Definition")),HYPERLINK("#"&amp;RIGHT(CELL("adresse",OFFSET(DMAV_Modell!$Q$6,G135-1,0)),LEN(CELL("adresse",OFFSET(DMAV_Modell!$Q$6,G135-1,0)))-SEARCH("]",CELL("adresse",OFFSET(DMAV_Modell!$Q$6,G135-1,0)))),"Definition"))</f>
        <v/>
      </c>
      <c r="F135" s="150" t="str">
        <f t="shared" si="4"/>
        <v>MFPK60</v>
      </c>
      <c r="G135" s="150">
        <f>IF(C135="",0,IF(ISNA(MATCH(C135,$F$6:$F$140,0)),MATCH(C135,DMAV_Modell!$G$6:$G$677,0),0))</f>
        <v>0</v>
      </c>
      <c r="H135" s="150">
        <f t="shared" ref="H135:H140" si="5">IF(C135="",0,IF(ISNA(MATCH(C135,$F$6:$F$140,0)),0,MATCH(C135,$F$6:$F$140,0)))</f>
        <v>0</v>
      </c>
      <c r="M135" s="51" t="s">
        <v>5739</v>
      </c>
      <c r="N135" s="51" t="s">
        <v>3603</v>
      </c>
      <c r="O135" s="51" t="s">
        <v>5741</v>
      </c>
      <c r="P135" s="51" t="s">
        <v>967</v>
      </c>
      <c r="Q135" s="51" t="s">
        <v>5795</v>
      </c>
      <c r="T135" s="52" t="s">
        <v>5785</v>
      </c>
      <c r="V135" s="131" t="s">
        <v>5752</v>
      </c>
      <c r="W135" s="51" cm="1">
        <f t="array" ref="W135">-- {1}</f>
        <v>1</v>
      </c>
      <c r="AA135" s="51" t="s">
        <v>5878</v>
      </c>
      <c r="AB135" s="51" t="s">
        <v>3912</v>
      </c>
      <c r="AC135" s="51" t="s">
        <v>5741</v>
      </c>
      <c r="AD135" s="51" t="s">
        <v>967</v>
      </c>
      <c r="AE135" s="51" t="s">
        <v>5930</v>
      </c>
      <c r="AH135" s="51" t="s">
        <v>5920</v>
      </c>
      <c r="AJ135" s="52" t="s">
        <v>5884</v>
      </c>
      <c r="AK135" s="51" t="s">
        <v>970</v>
      </c>
      <c r="AO135" s="51" t="s">
        <v>6056</v>
      </c>
      <c r="AP135" s="51" t="s">
        <v>3914</v>
      </c>
      <c r="AQ135" s="51" t="s">
        <v>5741</v>
      </c>
      <c r="AR135" s="51" t="s">
        <v>967</v>
      </c>
      <c r="AS135" s="51" t="s">
        <v>6110</v>
      </c>
      <c r="AV135" s="51" t="s">
        <v>5920</v>
      </c>
      <c r="AX135" s="52" t="s">
        <v>6099</v>
      </c>
      <c r="AY135" s="51">
        <v>1</v>
      </c>
    </row>
    <row r="136" spans="1:51" ht="25.5" x14ac:dyDescent="0.25">
      <c r="A136" s="193" t="s">
        <v>5798</v>
      </c>
      <c r="B136" s="51">
        <v>61</v>
      </c>
      <c r="E136" s="54" t="str" cm="1">
        <f t="array" aca="1" ref="E136" ca="1">IF(G136=0,IF(H136=0,"",HYPERLINK("#"&amp;RIGHT(CELL("adresse",OFFSET($P$6,H136-1,0)),LEN(CELL("adresse",OFFSET($P$6,H136-1,0)))),"Definition")),HYPERLINK("#"&amp;RIGHT(CELL("adresse",OFFSET(DMAV_Modell!$Q$6,G136-1,0)),LEN(CELL("adresse",OFFSET(DMAV_Modell!$Q$6,G136-1,0)))-SEARCH("]",CELL("adresse",OFFSET(DMAV_Modell!$Q$6,G136-1,0)))),"Definition"))</f>
        <v/>
      </c>
      <c r="F136" s="150" t="str">
        <f t="shared" si="4"/>
        <v>MFPK61</v>
      </c>
      <c r="G136" s="150">
        <f>IF(C136="",0,IF(ISNA(MATCH(C136,$F$6:$F$140,0)),MATCH(C136,DMAV_Modell!$G$6:$G$677,0),0))</f>
        <v>0</v>
      </c>
      <c r="H136" s="150">
        <f t="shared" si="5"/>
        <v>0</v>
      </c>
      <c r="M136" s="51" t="s">
        <v>5739</v>
      </c>
      <c r="N136" s="51" t="s">
        <v>3603</v>
      </c>
      <c r="O136" s="51" t="s">
        <v>5741</v>
      </c>
      <c r="P136" s="51" t="s">
        <v>2790</v>
      </c>
      <c r="Q136" s="51" t="s">
        <v>5766</v>
      </c>
      <c r="R136" s="50" t="s">
        <v>950</v>
      </c>
      <c r="T136" s="52" t="s">
        <v>5796</v>
      </c>
      <c r="V136" s="196" t="s">
        <v>5938</v>
      </c>
      <c r="AA136" s="51" t="s">
        <v>5878</v>
      </c>
      <c r="AB136" s="51" t="s">
        <v>3912</v>
      </c>
      <c r="AC136" s="51" t="s">
        <v>5741</v>
      </c>
      <c r="AD136" s="51" t="s">
        <v>2790</v>
      </c>
      <c r="AE136" s="51" t="s">
        <v>5900</v>
      </c>
      <c r="AF136" s="50" t="s">
        <v>950</v>
      </c>
      <c r="AH136" s="51" t="s">
        <v>5931</v>
      </c>
      <c r="AJ136" s="52" t="s">
        <v>5932</v>
      </c>
      <c r="AO136" s="51" t="s">
        <v>6056</v>
      </c>
      <c r="AP136" s="51" t="s">
        <v>3914</v>
      </c>
      <c r="AQ136" s="51" t="s">
        <v>5741</v>
      </c>
      <c r="AR136" s="51" t="s">
        <v>2790</v>
      </c>
      <c r="AS136" s="51" t="s">
        <v>6078</v>
      </c>
      <c r="AT136" s="180" t="s">
        <v>950</v>
      </c>
      <c r="AV136" s="51" t="s">
        <v>5931</v>
      </c>
      <c r="AX136" s="52" t="s">
        <v>6111</v>
      </c>
    </row>
    <row r="137" spans="1:51" ht="25.5" x14ac:dyDescent="0.25">
      <c r="A137" s="193" t="s">
        <v>5798</v>
      </c>
      <c r="B137" s="51">
        <v>62</v>
      </c>
      <c r="E137" s="54" t="str" cm="1">
        <f t="array" aca="1" ref="E137" ca="1">IF(G137=0,IF(H137=0,"",HYPERLINK("#"&amp;RIGHT(CELL("adresse",OFFSET($P$6,H137-1,0)),LEN(CELL("adresse",OFFSET($P$6,H137-1,0)))),"Definition")),HYPERLINK("#"&amp;RIGHT(CELL("adresse",OFFSET(DMAV_Modell!$Q$6,G137-1,0)),LEN(CELL("adresse",OFFSET(DMAV_Modell!$Q$6,G137-1,0)))-SEARCH("]",CELL("adresse",OFFSET(DMAV_Modell!$Q$6,G137-1,0)))),"Definition"))</f>
        <v/>
      </c>
      <c r="F137" s="150" t="str">
        <f t="shared" si="4"/>
        <v>MFPK62</v>
      </c>
      <c r="G137" s="150">
        <f>IF(C137="",0,IF(ISNA(MATCH(C137,$F$6:$F$140,0)),MATCH(C137,DMAV_Modell!$G$6:$G$677,0),0))</f>
        <v>0</v>
      </c>
      <c r="H137" s="150">
        <f t="shared" si="5"/>
        <v>0</v>
      </c>
      <c r="M137" s="51" t="s">
        <v>5739</v>
      </c>
      <c r="N137" s="51" t="s">
        <v>3603</v>
      </c>
      <c r="O137" s="51" t="s">
        <v>5741</v>
      </c>
      <c r="P137" s="51" t="s">
        <v>2790</v>
      </c>
      <c r="Q137" s="51" t="s">
        <v>5766</v>
      </c>
      <c r="R137" s="50" t="s">
        <v>950</v>
      </c>
      <c r="T137" s="52" t="s">
        <v>5796</v>
      </c>
      <c r="V137" s="196" t="s">
        <v>5939</v>
      </c>
      <c r="AA137" s="51" t="s">
        <v>5878</v>
      </c>
      <c r="AB137" s="51" t="s">
        <v>3912</v>
      </c>
      <c r="AC137" s="51" t="s">
        <v>5741</v>
      </c>
      <c r="AD137" s="51" t="s">
        <v>2790</v>
      </c>
      <c r="AE137" s="51" t="s">
        <v>5900</v>
      </c>
      <c r="AF137" s="50" t="s">
        <v>950</v>
      </c>
      <c r="AH137" s="51" t="s">
        <v>5931</v>
      </c>
      <c r="AJ137" s="52" t="s">
        <v>5933</v>
      </c>
      <c r="AO137" s="51" t="s">
        <v>6056</v>
      </c>
      <c r="AP137" s="51" t="s">
        <v>3914</v>
      </c>
      <c r="AQ137" s="51" t="s">
        <v>5741</v>
      </c>
      <c r="AR137" s="51" t="s">
        <v>2790</v>
      </c>
      <c r="AS137" s="51" t="s">
        <v>6078</v>
      </c>
      <c r="AT137" s="180" t="s">
        <v>950</v>
      </c>
      <c r="AV137" s="51" t="s">
        <v>5931</v>
      </c>
      <c r="AX137" s="52" t="s">
        <v>6112</v>
      </c>
    </row>
    <row r="138" spans="1:51" ht="25.5" x14ac:dyDescent="0.25">
      <c r="A138" s="193" t="s">
        <v>5798</v>
      </c>
      <c r="B138" s="51">
        <v>63</v>
      </c>
      <c r="E138" s="54" t="str" cm="1">
        <f t="array" aca="1" ref="E138" ca="1">IF(G138=0,IF(H138=0,"",HYPERLINK("#"&amp;RIGHT(CELL("adresse",OFFSET($P$6,H138-1,0)),LEN(CELL("adresse",OFFSET($P$6,H138-1,0)))),"Definition")),HYPERLINK("#"&amp;RIGHT(CELL("adresse",OFFSET(DMAV_Modell!$Q$6,G138-1,0)),LEN(CELL("adresse",OFFSET(DMAV_Modell!$Q$6,G138-1,0)))-SEARCH("]",CELL("adresse",OFFSET(DMAV_Modell!$Q$6,G138-1,0)))),"Definition"))</f>
        <v/>
      </c>
      <c r="F138" s="150" t="str">
        <f t="shared" si="4"/>
        <v>MFPK63</v>
      </c>
      <c r="G138" s="150">
        <f>IF(C138="",0,IF(ISNA(MATCH(C138,$F$6:$F$140,0)),MATCH(C138,DMAV_Modell!$G$6:$G$677,0),0))</f>
        <v>0</v>
      </c>
      <c r="H138" s="150">
        <f t="shared" si="5"/>
        <v>0</v>
      </c>
      <c r="M138" s="51" t="s">
        <v>5739</v>
      </c>
      <c r="N138" s="51" t="s">
        <v>3603</v>
      </c>
      <c r="O138" s="51" t="s">
        <v>5741</v>
      </c>
      <c r="P138" s="51" t="s">
        <v>2790</v>
      </c>
      <c r="Q138" s="51" t="s">
        <v>5766</v>
      </c>
      <c r="R138" s="50" t="s">
        <v>950</v>
      </c>
      <c r="T138" s="52" t="s">
        <v>5796</v>
      </c>
      <c r="V138" s="196" t="s">
        <v>5940</v>
      </c>
      <c r="AA138" s="51" t="s">
        <v>5878</v>
      </c>
      <c r="AB138" s="51" t="s">
        <v>3912</v>
      </c>
      <c r="AC138" s="51" t="s">
        <v>5741</v>
      </c>
      <c r="AD138" s="51" t="s">
        <v>2790</v>
      </c>
      <c r="AE138" s="51" t="s">
        <v>5900</v>
      </c>
      <c r="AF138" s="50" t="s">
        <v>950</v>
      </c>
      <c r="AH138" s="51" t="s">
        <v>5931</v>
      </c>
      <c r="AJ138" s="52" t="s">
        <v>5934</v>
      </c>
      <c r="AO138" s="51" t="s">
        <v>6056</v>
      </c>
      <c r="AP138" s="51" t="s">
        <v>3914</v>
      </c>
      <c r="AQ138" s="51" t="s">
        <v>5741</v>
      </c>
      <c r="AR138" s="51" t="s">
        <v>2790</v>
      </c>
      <c r="AS138" s="51" t="s">
        <v>6078</v>
      </c>
      <c r="AT138" s="180" t="s">
        <v>950</v>
      </c>
      <c r="AV138" s="51" t="s">
        <v>5931</v>
      </c>
      <c r="AX138" s="52" t="s">
        <v>6113</v>
      </c>
    </row>
    <row r="139" spans="1:51" ht="51" x14ac:dyDescent="0.25">
      <c r="A139" s="193" t="s">
        <v>5798</v>
      </c>
      <c r="B139" s="51">
        <v>64</v>
      </c>
      <c r="E139" s="54" t="str" cm="1">
        <f t="array" aca="1" ref="E139" ca="1">IF(G139=0,IF(H139=0,"",HYPERLINK("#"&amp;RIGHT(CELL("adresse",OFFSET($P$6,H139-1,0)),LEN(CELL("adresse",OFFSET($P$6,H139-1,0)))),"Definition")),HYPERLINK("#"&amp;RIGHT(CELL("adresse",OFFSET(DMAV_Modell!$Q$6,G139-1,0)),LEN(CELL("adresse",OFFSET(DMAV_Modell!$Q$6,G139-1,0)))-SEARCH("]",CELL("adresse",OFFSET(DMAV_Modell!$Q$6,G139-1,0)))),"Definition"))</f>
        <v/>
      </c>
      <c r="F139" s="150" t="str">
        <f t="shared" si="4"/>
        <v>MFPK64</v>
      </c>
      <c r="G139" s="150">
        <f>IF(C139="",0,IF(ISNA(MATCH(C139,$F$6:$F$140,0)),MATCH(C139,DMAV_Modell!$G$6:$G$677,0),0))</f>
        <v>0</v>
      </c>
      <c r="H139" s="150">
        <f t="shared" si="5"/>
        <v>0</v>
      </c>
      <c r="M139" s="51" t="s">
        <v>5739</v>
      </c>
      <c r="N139" s="51" t="s">
        <v>3603</v>
      </c>
      <c r="O139" s="51" t="s">
        <v>5741</v>
      </c>
      <c r="P139" s="51" t="s">
        <v>2790</v>
      </c>
      <c r="Q139" s="51" t="s">
        <v>5766</v>
      </c>
      <c r="R139" s="50" t="s">
        <v>950</v>
      </c>
      <c r="T139" s="52" t="s">
        <v>5797</v>
      </c>
      <c r="V139" s="196" t="s">
        <v>5941</v>
      </c>
      <c r="AA139" s="51" t="s">
        <v>5878</v>
      </c>
      <c r="AB139" s="51" t="s">
        <v>3912</v>
      </c>
      <c r="AC139" s="51" t="s">
        <v>5741</v>
      </c>
      <c r="AD139" s="51" t="s">
        <v>2790</v>
      </c>
      <c r="AE139" s="51" t="s">
        <v>5900</v>
      </c>
      <c r="AF139" s="50" t="s">
        <v>950</v>
      </c>
      <c r="AH139" s="51" t="s">
        <v>5935</v>
      </c>
      <c r="AJ139" s="52" t="s">
        <v>5936</v>
      </c>
      <c r="AO139" s="51" t="s">
        <v>6056</v>
      </c>
      <c r="AP139" s="51" t="s">
        <v>3914</v>
      </c>
      <c r="AQ139" s="51" t="s">
        <v>5741</v>
      </c>
      <c r="AR139" s="51" t="s">
        <v>2790</v>
      </c>
      <c r="AS139" s="51" t="s">
        <v>6078</v>
      </c>
      <c r="AT139" s="180" t="s">
        <v>950</v>
      </c>
      <c r="AV139" s="51" t="s">
        <v>5935</v>
      </c>
      <c r="AX139" s="52" t="s">
        <v>6114</v>
      </c>
    </row>
    <row r="140" spans="1:51" ht="51" x14ac:dyDescent="0.25">
      <c r="A140" s="193" t="s">
        <v>5798</v>
      </c>
      <c r="B140" s="51">
        <v>65</v>
      </c>
      <c r="E140" s="54" t="str" cm="1">
        <f t="array" aca="1" ref="E140" ca="1">IF(G140=0,IF(H140=0,"",HYPERLINK("#"&amp;RIGHT(CELL("adresse",OFFSET($P$6,H140-1,0)),LEN(CELL("adresse",OFFSET($P$6,H140-1,0)))),"Definition")),HYPERLINK("#"&amp;RIGHT(CELL("adresse",OFFSET(DMAV_Modell!$Q$6,G140-1,0)),LEN(CELL("adresse",OFFSET(DMAV_Modell!$Q$6,G140-1,0)))-SEARCH("]",CELL("adresse",OFFSET(DMAV_Modell!$Q$6,G140-1,0)))),"Definition"))</f>
        <v/>
      </c>
      <c r="F140" s="150" t="str">
        <f t="shared" si="4"/>
        <v>MFPK65</v>
      </c>
      <c r="G140" s="150">
        <f>IF(C140="",0,IF(ISNA(MATCH(C140,$F$6:$F$140,0)),MATCH(C140,DMAV_Modell!$G$6:$G$677,0),0))</f>
        <v>0</v>
      </c>
      <c r="H140" s="150">
        <f t="shared" si="5"/>
        <v>0</v>
      </c>
      <c r="M140" s="51" t="s">
        <v>5739</v>
      </c>
      <c r="N140" s="51" t="s">
        <v>3603</v>
      </c>
      <c r="O140" s="51" t="s">
        <v>5741</v>
      </c>
      <c r="P140" s="51" t="s">
        <v>2790</v>
      </c>
      <c r="Q140" s="51" t="s">
        <v>5766</v>
      </c>
      <c r="R140" s="50" t="s">
        <v>950</v>
      </c>
      <c r="T140" s="52" t="s">
        <v>5797</v>
      </c>
      <c r="V140" s="196" t="s">
        <v>5942</v>
      </c>
      <c r="AA140" s="51" t="s">
        <v>5878</v>
      </c>
      <c r="AB140" s="51" t="s">
        <v>3912</v>
      </c>
      <c r="AC140" s="51" t="s">
        <v>5741</v>
      </c>
      <c r="AD140" s="51" t="s">
        <v>2790</v>
      </c>
      <c r="AE140" s="51" t="s">
        <v>5900</v>
      </c>
      <c r="AF140" s="50" t="s">
        <v>950</v>
      </c>
      <c r="AH140" s="51" t="s">
        <v>5935</v>
      </c>
      <c r="AJ140" s="52" t="s">
        <v>5937</v>
      </c>
      <c r="AO140" s="51" t="s">
        <v>6056</v>
      </c>
      <c r="AP140" s="51" t="s">
        <v>3914</v>
      </c>
      <c r="AQ140" s="51" t="s">
        <v>5741</v>
      </c>
      <c r="AR140" s="51" t="s">
        <v>2790</v>
      </c>
      <c r="AS140" s="51" t="s">
        <v>6078</v>
      </c>
      <c r="AT140" s="180" t="s">
        <v>950</v>
      </c>
      <c r="AV140" s="51" t="s">
        <v>5935</v>
      </c>
      <c r="AX140" s="52" t="s">
        <v>6115</v>
      </c>
    </row>
  </sheetData>
  <autoFilter ref="B5:Z140" xr:uid="{1019C62A-C36D-4198-9B8A-6507B4402C87}">
    <sortState xmlns:xlrd2="http://schemas.microsoft.com/office/spreadsheetml/2017/richdata2" ref="B6:Z75">
      <sortCondition ref="E5:E75"/>
    </sortState>
  </autoFilter>
  <mergeCells count="4">
    <mergeCell ref="A4:E4"/>
    <mergeCell ref="F4:H4"/>
    <mergeCell ref="J4:K4"/>
    <mergeCell ref="M4:X4"/>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7A6B1-9CD6-4FC1-93B2-47A276417B32}">
  <sheetPr codeName="Tabelle3">
    <tabColor rgb="FF00B0F0"/>
  </sheetPr>
  <dimension ref="A1:Z834"/>
  <sheetViews>
    <sheetView zoomScale="70" zoomScaleNormal="70" workbookViewId="0">
      <pane xSplit="6" ySplit="5" topLeftCell="G6" activePane="bottomRight" state="frozen"/>
      <selection activeCell="B1" sqref="B1"/>
      <selection pane="topRight" activeCell="I1" sqref="I1"/>
      <selection pane="bottomLeft" activeCell="B3" sqref="B3"/>
      <selection pane="bottomRight" activeCell="G6" sqref="G6"/>
    </sheetView>
  </sheetViews>
  <sheetFormatPr baseColWidth="10" defaultColWidth="11.42578125" defaultRowHeight="12.75" x14ac:dyDescent="0.2"/>
  <cols>
    <col min="1" max="1" width="5.7109375" style="4" customWidth="1"/>
    <col min="2" max="5" width="5.7109375" style="6" customWidth="1"/>
    <col min="6" max="6" width="3.7109375" style="4" customWidth="1"/>
    <col min="7" max="8" width="20.7109375" style="4" customWidth="1"/>
    <col min="9" max="10" width="20.7109375" style="2" customWidth="1"/>
    <col min="11" max="11" width="10.7109375" style="3" customWidth="1"/>
    <col min="12" max="12" width="50.7109375" style="2" customWidth="1"/>
    <col min="13" max="13" width="3.7109375" style="1" customWidth="1"/>
    <col min="14" max="15" width="20.7109375" style="4" customWidth="1"/>
    <col min="16" max="17" width="20.7109375" style="2" customWidth="1"/>
    <col min="18" max="18" width="10.7109375" style="3" customWidth="1"/>
    <col min="19" max="19" width="50.7109375" style="2" customWidth="1"/>
    <col min="20" max="20" width="3.7109375" style="5" customWidth="1"/>
    <col min="21" max="22" width="20.7109375" style="4" customWidth="1"/>
    <col min="23" max="24" width="20.7109375" style="2" customWidth="1"/>
    <col min="25" max="25" width="10.7109375" style="3" customWidth="1"/>
    <col min="26" max="26" width="50.7109375" style="2" customWidth="1"/>
    <col min="27" max="16384" width="11.42578125" style="1"/>
  </cols>
  <sheetData>
    <row r="1" spans="1:26" s="35" customFormat="1" ht="20.25" x14ac:dyDescent="0.3">
      <c r="A1" s="35" t="s">
        <v>3028</v>
      </c>
      <c r="B1" s="37"/>
      <c r="C1" s="37"/>
      <c r="D1" s="37"/>
      <c r="E1" s="37"/>
      <c r="F1" s="36"/>
      <c r="G1" s="36"/>
      <c r="H1" s="36"/>
      <c r="I1" s="38"/>
      <c r="J1" s="38"/>
      <c r="K1" s="39"/>
      <c r="L1" s="38"/>
      <c r="N1" s="36"/>
      <c r="O1" s="36"/>
      <c r="P1" s="38"/>
      <c r="Q1" s="38"/>
      <c r="R1" s="39"/>
      <c r="S1" s="38"/>
      <c r="T1" s="40"/>
      <c r="U1" s="36"/>
      <c r="V1" s="36"/>
      <c r="W1" s="38"/>
      <c r="X1" s="38"/>
      <c r="Y1" s="39"/>
      <c r="Z1" s="38"/>
    </row>
    <row r="2" spans="1:26" s="41" customFormat="1" x14ac:dyDescent="0.2">
      <c r="A2" s="114" t="s">
        <v>3354</v>
      </c>
      <c r="B2" s="43"/>
      <c r="C2" s="43"/>
      <c r="D2" s="43"/>
      <c r="E2" s="43"/>
      <c r="F2" s="42"/>
      <c r="G2" s="42"/>
      <c r="H2" s="42"/>
      <c r="I2" s="44"/>
      <c r="J2" s="44"/>
      <c r="K2" s="45"/>
      <c r="L2" s="44"/>
      <c r="N2" s="42"/>
      <c r="O2" s="42"/>
      <c r="P2" s="44"/>
      <c r="Q2" s="44"/>
      <c r="R2" s="45"/>
      <c r="S2" s="44"/>
      <c r="T2" s="5"/>
      <c r="U2" s="42"/>
      <c r="V2" s="42"/>
      <c r="W2" s="44"/>
      <c r="X2" s="44"/>
      <c r="Y2" s="45"/>
      <c r="Z2" s="44"/>
    </row>
    <row r="4" spans="1:26" s="7" customFormat="1" ht="18" x14ac:dyDescent="0.2">
      <c r="A4" s="256" t="s">
        <v>2652</v>
      </c>
      <c r="B4" s="256"/>
      <c r="C4" s="256"/>
      <c r="D4" s="256"/>
      <c r="E4" s="256"/>
      <c r="F4" s="17"/>
      <c r="G4" s="256" t="s">
        <v>2745</v>
      </c>
      <c r="H4" s="256"/>
      <c r="I4" s="256"/>
      <c r="J4" s="256"/>
      <c r="K4" s="256"/>
      <c r="L4" s="256"/>
      <c r="M4" s="5"/>
      <c r="N4" s="254" t="s">
        <v>2744</v>
      </c>
      <c r="O4" s="254"/>
      <c r="P4" s="254"/>
      <c r="Q4" s="254"/>
      <c r="R4" s="254"/>
      <c r="S4" s="254"/>
      <c r="T4" s="5"/>
      <c r="U4" s="255" t="s">
        <v>2743</v>
      </c>
      <c r="V4" s="255"/>
      <c r="W4" s="255"/>
      <c r="X4" s="255"/>
      <c r="Y4" s="255"/>
      <c r="Z4" s="255"/>
    </row>
    <row r="5" spans="1:26" s="7" customFormat="1" x14ac:dyDescent="0.2">
      <c r="A5" s="15" t="s">
        <v>0</v>
      </c>
      <c r="B5" s="16" t="s">
        <v>6</v>
      </c>
      <c r="C5" s="16" t="s">
        <v>2742</v>
      </c>
      <c r="D5" s="16" t="s">
        <v>2741</v>
      </c>
      <c r="E5" s="16" t="s">
        <v>2740</v>
      </c>
      <c r="F5" s="14"/>
      <c r="G5" s="12" t="s">
        <v>3</v>
      </c>
      <c r="H5" s="12" t="s">
        <v>2739</v>
      </c>
      <c r="I5" s="12" t="s">
        <v>7</v>
      </c>
      <c r="J5" s="12" t="s">
        <v>2738</v>
      </c>
      <c r="K5" s="13" t="s">
        <v>8</v>
      </c>
      <c r="L5" s="12" t="s">
        <v>2737</v>
      </c>
      <c r="M5" s="5"/>
      <c r="N5" s="10" t="s">
        <v>3</v>
      </c>
      <c r="O5" s="10" t="s">
        <v>2736</v>
      </c>
      <c r="P5" s="10" t="s">
        <v>7</v>
      </c>
      <c r="Q5" s="10" t="s">
        <v>2735</v>
      </c>
      <c r="R5" s="11" t="s">
        <v>8</v>
      </c>
      <c r="S5" s="10" t="s">
        <v>2734</v>
      </c>
      <c r="T5" s="5"/>
      <c r="U5" s="8" t="s">
        <v>3</v>
      </c>
      <c r="V5" s="8" t="s">
        <v>2733</v>
      </c>
      <c r="W5" s="8" t="s">
        <v>2732</v>
      </c>
      <c r="X5" s="8" t="s">
        <v>2731</v>
      </c>
      <c r="Y5" s="9" t="s">
        <v>8</v>
      </c>
      <c r="Z5" s="8" t="s">
        <v>2730</v>
      </c>
    </row>
    <row r="6" spans="1:26" ht="38.25" x14ac:dyDescent="0.2">
      <c r="A6" s="4">
        <v>1</v>
      </c>
      <c r="E6" s="6" t="s">
        <v>1385</v>
      </c>
      <c r="G6" s="123" t="s">
        <v>2652</v>
      </c>
      <c r="H6" s="2"/>
      <c r="I6" s="2" t="s">
        <v>1220</v>
      </c>
      <c r="J6" s="2" t="s">
        <v>2729</v>
      </c>
      <c r="N6" s="2" t="s">
        <v>2650</v>
      </c>
      <c r="O6" s="2"/>
      <c r="P6" s="2" t="s">
        <v>1218</v>
      </c>
      <c r="Q6" s="2" t="s">
        <v>2729</v>
      </c>
      <c r="U6" s="2" t="s">
        <v>2648</v>
      </c>
      <c r="V6" s="2"/>
      <c r="W6" s="2" t="s">
        <v>1218</v>
      </c>
      <c r="X6" s="2" t="s">
        <v>2729</v>
      </c>
    </row>
    <row r="7" spans="1:26" ht="38.25" x14ac:dyDescent="0.2">
      <c r="A7" s="4">
        <v>2</v>
      </c>
      <c r="E7" s="6" t="s">
        <v>1385</v>
      </c>
      <c r="G7" s="2" t="s">
        <v>2652</v>
      </c>
      <c r="H7" s="2"/>
      <c r="I7" s="2" t="s">
        <v>2258</v>
      </c>
      <c r="J7" s="2" t="s">
        <v>2728</v>
      </c>
      <c r="N7" s="2" t="s">
        <v>2650</v>
      </c>
      <c r="O7" s="2"/>
      <c r="P7" s="2" t="s">
        <v>2257</v>
      </c>
      <c r="Q7" s="2" t="s">
        <v>2728</v>
      </c>
      <c r="U7" s="2" t="s">
        <v>2648</v>
      </c>
      <c r="V7" s="2"/>
      <c r="W7" s="2" t="s">
        <v>2257</v>
      </c>
      <c r="X7" s="2" t="s">
        <v>2728</v>
      </c>
    </row>
    <row r="8" spans="1:26" x14ac:dyDescent="0.2">
      <c r="A8" s="4">
        <v>3</v>
      </c>
      <c r="E8" s="6" t="s">
        <v>1385</v>
      </c>
      <c r="G8" s="2" t="s">
        <v>2652</v>
      </c>
      <c r="H8" s="2"/>
      <c r="I8" s="2" t="s">
        <v>314</v>
      </c>
      <c r="J8" s="2" t="s">
        <v>2727</v>
      </c>
      <c r="N8" s="2" t="s">
        <v>2650</v>
      </c>
      <c r="O8" s="2"/>
      <c r="P8" s="2" t="s">
        <v>803</v>
      </c>
      <c r="Q8" s="2" t="s">
        <v>2727</v>
      </c>
      <c r="U8" s="2" t="s">
        <v>2648</v>
      </c>
      <c r="V8" s="2"/>
      <c r="W8" s="2" t="s">
        <v>1497</v>
      </c>
      <c r="X8" s="2" t="s">
        <v>2727</v>
      </c>
    </row>
    <row r="9" spans="1:26" x14ac:dyDescent="0.2">
      <c r="A9" s="4">
        <v>4</v>
      </c>
      <c r="E9" s="6" t="s">
        <v>1385</v>
      </c>
      <c r="G9" s="2" t="s">
        <v>2652</v>
      </c>
      <c r="H9" s="2"/>
      <c r="I9" s="2" t="s">
        <v>939</v>
      </c>
      <c r="J9" s="2" t="s">
        <v>2725</v>
      </c>
      <c r="L9" s="2" t="s">
        <v>2724</v>
      </c>
      <c r="N9" s="2" t="s">
        <v>2650</v>
      </c>
      <c r="O9" s="2"/>
      <c r="P9" s="2" t="s">
        <v>1854</v>
      </c>
      <c r="Q9" s="2" t="s">
        <v>2725</v>
      </c>
      <c r="S9" s="2" t="s">
        <v>2726</v>
      </c>
      <c r="U9" s="2" t="s">
        <v>2648</v>
      </c>
      <c r="V9" s="2"/>
      <c r="W9" s="2" t="s">
        <v>1852</v>
      </c>
      <c r="X9" s="2" t="s">
        <v>2725</v>
      </c>
      <c r="Z9" s="2" t="s">
        <v>2724</v>
      </c>
    </row>
    <row r="10" spans="1:26" x14ac:dyDescent="0.2">
      <c r="A10" s="4">
        <v>5</v>
      </c>
      <c r="E10" s="6" t="s">
        <v>1385</v>
      </c>
      <c r="G10" s="2" t="s">
        <v>2652</v>
      </c>
      <c r="H10" s="2"/>
      <c r="I10" s="2" t="s">
        <v>941</v>
      </c>
      <c r="J10" s="2" t="s">
        <v>2723</v>
      </c>
      <c r="L10" s="2" t="s">
        <v>2722</v>
      </c>
      <c r="N10" s="2" t="s">
        <v>2650</v>
      </c>
      <c r="O10" s="2"/>
      <c r="P10" s="2" t="s">
        <v>1849</v>
      </c>
      <c r="Q10" s="2" t="s">
        <v>2721</v>
      </c>
      <c r="S10" s="2" t="s">
        <v>2720</v>
      </c>
      <c r="U10" s="2" t="s">
        <v>2648</v>
      </c>
      <c r="V10" s="2"/>
      <c r="W10" s="2" t="s">
        <v>1847</v>
      </c>
      <c r="X10" s="2" t="s">
        <v>2719</v>
      </c>
      <c r="Z10" s="2" t="s">
        <v>2718</v>
      </c>
    </row>
    <row r="11" spans="1:26" x14ac:dyDescent="0.2">
      <c r="A11" s="4">
        <v>6</v>
      </c>
      <c r="E11" s="6" t="s">
        <v>1385</v>
      </c>
      <c r="G11" s="2" t="s">
        <v>2652</v>
      </c>
      <c r="H11" s="2"/>
      <c r="I11" s="2" t="s">
        <v>941</v>
      </c>
      <c r="J11" s="2" t="s">
        <v>2717</v>
      </c>
      <c r="L11" s="2" t="s">
        <v>2716</v>
      </c>
      <c r="N11" s="2" t="s">
        <v>2650</v>
      </c>
      <c r="O11" s="2"/>
      <c r="P11" s="2" t="s">
        <v>1849</v>
      </c>
      <c r="Q11" s="2" t="s">
        <v>2715</v>
      </c>
      <c r="S11" s="2" t="s">
        <v>2714</v>
      </c>
      <c r="U11" s="2" t="s">
        <v>2648</v>
      </c>
      <c r="V11" s="2"/>
      <c r="W11" s="2" t="s">
        <v>1847</v>
      </c>
      <c r="X11" s="2" t="s">
        <v>2713</v>
      </c>
      <c r="Z11" s="2" t="s">
        <v>2712</v>
      </c>
    </row>
    <row r="12" spans="1:26" x14ac:dyDescent="0.2">
      <c r="A12" s="4">
        <v>7</v>
      </c>
      <c r="E12" s="6" t="s">
        <v>1385</v>
      </c>
      <c r="G12" s="2" t="s">
        <v>2652</v>
      </c>
      <c r="H12" s="2"/>
      <c r="I12" s="2" t="s">
        <v>1518</v>
      </c>
      <c r="J12" s="2" t="s">
        <v>394</v>
      </c>
      <c r="N12" s="2" t="s">
        <v>2650</v>
      </c>
      <c r="O12" s="2"/>
      <c r="P12" s="2" t="s">
        <v>1593</v>
      </c>
      <c r="Q12" s="2" t="s">
        <v>815</v>
      </c>
      <c r="U12" s="2" t="s">
        <v>2648</v>
      </c>
      <c r="V12" s="2"/>
      <c r="W12" s="2" t="s">
        <v>1592</v>
      </c>
      <c r="X12" s="2" t="s">
        <v>2674</v>
      </c>
    </row>
    <row r="13" spans="1:26" x14ac:dyDescent="0.2">
      <c r="A13" s="4">
        <v>8</v>
      </c>
      <c r="E13" s="6" t="s">
        <v>1385</v>
      </c>
      <c r="G13" s="2" t="s">
        <v>2652</v>
      </c>
      <c r="H13" s="2"/>
      <c r="I13" s="2" t="s">
        <v>1518</v>
      </c>
      <c r="J13" s="2" t="s">
        <v>2711</v>
      </c>
      <c r="N13" s="2" t="s">
        <v>2650</v>
      </c>
      <c r="O13" s="2"/>
      <c r="P13" s="2" t="s">
        <v>1593</v>
      </c>
      <c r="Q13" s="2" t="s">
        <v>2710</v>
      </c>
      <c r="U13" s="2" t="s">
        <v>2648</v>
      </c>
      <c r="V13" s="2"/>
      <c r="W13" s="2" t="s">
        <v>1592</v>
      </c>
      <c r="X13" s="2" t="s">
        <v>2709</v>
      </c>
    </row>
    <row r="14" spans="1:26" x14ac:dyDescent="0.2">
      <c r="A14" s="4">
        <v>9</v>
      </c>
      <c r="E14" s="6" t="s">
        <v>1385</v>
      </c>
      <c r="G14" s="2" t="s">
        <v>2652</v>
      </c>
      <c r="H14" s="2"/>
      <c r="I14" s="2" t="s">
        <v>265</v>
      </c>
      <c r="J14" s="2" t="s">
        <v>35</v>
      </c>
      <c r="N14" s="2" t="s">
        <v>2650</v>
      </c>
      <c r="O14" s="2"/>
      <c r="P14" s="2" t="s">
        <v>711</v>
      </c>
      <c r="Q14" s="2" t="s">
        <v>712</v>
      </c>
      <c r="U14" s="2" t="s">
        <v>2648</v>
      </c>
      <c r="V14" s="2"/>
      <c r="W14" s="2" t="s">
        <v>1976</v>
      </c>
      <c r="X14" s="2" t="s">
        <v>2708</v>
      </c>
    </row>
    <row r="15" spans="1:26" x14ac:dyDescent="0.2">
      <c r="A15" s="4">
        <v>10</v>
      </c>
      <c r="E15" s="6" t="s">
        <v>1385</v>
      </c>
      <c r="G15" s="2" t="s">
        <v>2652</v>
      </c>
      <c r="H15" s="2"/>
      <c r="I15" s="2" t="s">
        <v>265</v>
      </c>
      <c r="J15" s="2" t="s">
        <v>2707</v>
      </c>
      <c r="N15" s="2" t="s">
        <v>2650</v>
      </c>
      <c r="O15" s="2"/>
      <c r="P15" s="2" t="s">
        <v>711</v>
      </c>
      <c r="Q15" s="2" t="s">
        <v>2706</v>
      </c>
      <c r="U15" s="2" t="s">
        <v>2648</v>
      </c>
      <c r="V15" s="2"/>
      <c r="W15" s="2" t="s">
        <v>1976</v>
      </c>
      <c r="X15" s="2" t="s">
        <v>2706</v>
      </c>
    </row>
    <row r="16" spans="1:26" x14ac:dyDescent="0.2">
      <c r="A16" s="4">
        <v>11</v>
      </c>
      <c r="E16" s="6" t="s">
        <v>1385</v>
      </c>
      <c r="G16" s="2" t="s">
        <v>2652</v>
      </c>
      <c r="H16" s="2"/>
      <c r="I16" s="2" t="s">
        <v>265</v>
      </c>
      <c r="J16" s="2" t="s">
        <v>37</v>
      </c>
      <c r="N16" s="2" t="s">
        <v>2650</v>
      </c>
      <c r="O16" s="2"/>
      <c r="P16" s="2" t="s">
        <v>711</v>
      </c>
      <c r="Q16" s="2" t="s">
        <v>713</v>
      </c>
      <c r="U16" s="2" t="s">
        <v>2648</v>
      </c>
      <c r="V16" s="2"/>
      <c r="W16" s="2" t="s">
        <v>1976</v>
      </c>
      <c r="X16" s="2" t="s">
        <v>2705</v>
      </c>
    </row>
    <row r="17" spans="1:26" x14ac:dyDescent="0.2">
      <c r="A17" s="4">
        <v>12</v>
      </c>
      <c r="E17" s="6" t="s">
        <v>1385</v>
      </c>
      <c r="G17" s="2" t="s">
        <v>2652</v>
      </c>
      <c r="H17" s="2"/>
      <c r="I17" s="2" t="s">
        <v>265</v>
      </c>
      <c r="J17" s="2" t="s">
        <v>2704</v>
      </c>
      <c r="L17" s="2" t="s">
        <v>2703</v>
      </c>
      <c r="N17" s="2" t="s">
        <v>2650</v>
      </c>
      <c r="O17" s="2"/>
      <c r="P17" s="2" t="s">
        <v>711</v>
      </c>
      <c r="Q17" s="2" t="s">
        <v>2701</v>
      </c>
      <c r="S17" s="2" t="s">
        <v>2702</v>
      </c>
      <c r="U17" s="2" t="s">
        <v>2648</v>
      </c>
      <c r="V17" s="2"/>
      <c r="W17" s="2" t="s">
        <v>1976</v>
      </c>
      <c r="X17" s="2" t="s">
        <v>2701</v>
      </c>
      <c r="Z17" s="2" t="s">
        <v>2700</v>
      </c>
    </row>
    <row r="18" spans="1:26" ht="25.5" x14ac:dyDescent="0.2">
      <c r="A18" s="4">
        <v>13</v>
      </c>
      <c r="E18" s="6" t="s">
        <v>1385</v>
      </c>
      <c r="G18" s="2" t="s">
        <v>2652</v>
      </c>
      <c r="H18" s="2"/>
      <c r="I18" s="2" t="s">
        <v>265</v>
      </c>
      <c r="J18" s="2" t="s">
        <v>54</v>
      </c>
      <c r="L18" s="2" t="s">
        <v>1384</v>
      </c>
      <c r="N18" s="2" t="s">
        <v>2650</v>
      </c>
      <c r="O18" s="2"/>
      <c r="P18" s="2" t="s">
        <v>711</v>
      </c>
      <c r="Q18" s="2" t="s">
        <v>871</v>
      </c>
      <c r="S18" s="2" t="s">
        <v>1383</v>
      </c>
      <c r="U18" s="2" t="s">
        <v>2648</v>
      </c>
      <c r="V18" s="2"/>
      <c r="W18" s="2" t="s">
        <v>1976</v>
      </c>
      <c r="X18" s="2" t="s">
        <v>1382</v>
      </c>
      <c r="Z18" s="2" t="s">
        <v>1381</v>
      </c>
    </row>
    <row r="19" spans="1:26" x14ac:dyDescent="0.2">
      <c r="A19" s="4">
        <v>14</v>
      </c>
      <c r="E19" s="6" t="s">
        <v>1385</v>
      </c>
      <c r="G19" s="2" t="s">
        <v>2652</v>
      </c>
      <c r="H19" s="2"/>
      <c r="I19" s="2" t="s">
        <v>933</v>
      </c>
      <c r="J19" s="2" t="s">
        <v>2699</v>
      </c>
      <c r="N19" s="2" t="s">
        <v>2650</v>
      </c>
      <c r="O19" s="2"/>
      <c r="P19" s="2" t="s">
        <v>933</v>
      </c>
      <c r="Q19" s="2" t="s">
        <v>2699</v>
      </c>
      <c r="U19" s="2" t="s">
        <v>2648</v>
      </c>
      <c r="V19" s="2"/>
      <c r="W19" s="2" t="s">
        <v>1216</v>
      </c>
      <c r="X19" s="2" t="s">
        <v>2699</v>
      </c>
    </row>
    <row r="20" spans="1:26" x14ac:dyDescent="0.2">
      <c r="A20" s="4">
        <v>15</v>
      </c>
      <c r="E20" s="6" t="s">
        <v>1385</v>
      </c>
      <c r="G20" s="2" t="s">
        <v>2652</v>
      </c>
      <c r="H20" s="2"/>
      <c r="I20" s="2" t="s">
        <v>59</v>
      </c>
      <c r="J20" s="2" t="s">
        <v>2698</v>
      </c>
      <c r="N20" s="2" t="s">
        <v>2650</v>
      </c>
      <c r="O20" s="2"/>
      <c r="P20" s="2" t="s">
        <v>1276</v>
      </c>
      <c r="Q20" s="2" t="s">
        <v>2697</v>
      </c>
      <c r="U20" s="2" t="s">
        <v>2648</v>
      </c>
      <c r="V20" s="2"/>
      <c r="W20" s="2" t="s">
        <v>1272</v>
      </c>
      <c r="X20" s="2" t="s">
        <v>2696</v>
      </c>
    </row>
    <row r="21" spans="1:26" x14ac:dyDescent="0.2">
      <c r="A21" s="4">
        <v>16</v>
      </c>
      <c r="E21" s="6" t="s">
        <v>1385</v>
      </c>
      <c r="G21" s="2" t="s">
        <v>2652</v>
      </c>
      <c r="H21" s="2"/>
      <c r="I21" s="2" t="s">
        <v>59</v>
      </c>
      <c r="J21" s="2" t="s">
        <v>1279</v>
      </c>
      <c r="N21" s="2" t="s">
        <v>2650</v>
      </c>
      <c r="O21" s="2"/>
      <c r="P21" s="2" t="s">
        <v>1276</v>
      </c>
      <c r="Q21" s="2" t="s">
        <v>1275</v>
      </c>
      <c r="U21" s="2" t="s">
        <v>2648</v>
      </c>
      <c r="V21" s="2"/>
      <c r="W21" s="2" t="s">
        <v>1272</v>
      </c>
      <c r="X21" s="2" t="s">
        <v>1271</v>
      </c>
    </row>
    <row r="22" spans="1:26" x14ac:dyDescent="0.2">
      <c r="A22" s="4">
        <v>17</v>
      </c>
      <c r="E22" s="6" t="s">
        <v>1385</v>
      </c>
      <c r="G22" s="2" t="s">
        <v>2652</v>
      </c>
      <c r="H22" s="2"/>
      <c r="I22" s="2" t="s">
        <v>59</v>
      </c>
      <c r="J22" s="2" t="s">
        <v>2695</v>
      </c>
      <c r="N22" s="2" t="s">
        <v>2650</v>
      </c>
      <c r="O22" s="2"/>
      <c r="P22" s="2" t="s">
        <v>1276</v>
      </c>
      <c r="Q22" s="2" t="s">
        <v>2694</v>
      </c>
      <c r="U22" s="2" t="s">
        <v>2648</v>
      </c>
      <c r="V22" s="2"/>
      <c r="W22" s="2" t="s">
        <v>1272</v>
      </c>
      <c r="X22" s="2" t="s">
        <v>2694</v>
      </c>
    </row>
    <row r="23" spans="1:26" x14ac:dyDescent="0.2">
      <c r="A23" s="4">
        <v>18</v>
      </c>
      <c r="E23" s="6" t="s">
        <v>1385</v>
      </c>
      <c r="G23" s="2" t="s">
        <v>2652</v>
      </c>
      <c r="H23" s="2"/>
      <c r="I23" s="2" t="s">
        <v>2182</v>
      </c>
      <c r="J23" s="2" t="s">
        <v>2178</v>
      </c>
      <c r="N23" s="2" t="s">
        <v>2650</v>
      </c>
      <c r="O23" s="2"/>
      <c r="P23" s="2" t="s">
        <v>2179</v>
      </c>
      <c r="Q23" s="2" t="s">
        <v>2178</v>
      </c>
      <c r="U23" s="2" t="s">
        <v>2648</v>
      </c>
      <c r="V23" s="2"/>
      <c r="W23" s="2" t="s">
        <v>2174</v>
      </c>
      <c r="X23" s="2" t="s">
        <v>2173</v>
      </c>
    </row>
    <row r="24" spans="1:26" x14ac:dyDescent="0.2">
      <c r="A24" s="4">
        <v>19</v>
      </c>
      <c r="E24" s="6" t="s">
        <v>1385</v>
      </c>
      <c r="G24" s="2" t="s">
        <v>2652</v>
      </c>
      <c r="H24" s="2"/>
      <c r="I24" s="2" t="s">
        <v>2182</v>
      </c>
      <c r="J24" s="2" t="s">
        <v>2693</v>
      </c>
      <c r="N24" s="2" t="s">
        <v>2650</v>
      </c>
      <c r="O24" s="2"/>
      <c r="P24" s="2" t="s">
        <v>2179</v>
      </c>
      <c r="Q24" s="2" t="s">
        <v>2692</v>
      </c>
      <c r="U24" s="2" t="s">
        <v>2648</v>
      </c>
      <c r="V24" s="2"/>
      <c r="W24" s="2" t="s">
        <v>2174</v>
      </c>
      <c r="X24" s="2" t="s">
        <v>2691</v>
      </c>
    </row>
    <row r="25" spans="1:26" ht="25.5" x14ac:dyDescent="0.2">
      <c r="A25" s="4">
        <v>20</v>
      </c>
      <c r="E25" s="6" t="s">
        <v>1385</v>
      </c>
      <c r="G25" s="2" t="s">
        <v>2652</v>
      </c>
      <c r="H25" s="2"/>
      <c r="I25" s="2" t="s">
        <v>2182</v>
      </c>
      <c r="J25" s="2" t="s">
        <v>54</v>
      </c>
      <c r="L25" s="2" t="s">
        <v>1384</v>
      </c>
      <c r="N25" s="2" t="s">
        <v>2650</v>
      </c>
      <c r="O25" s="2"/>
      <c r="P25" s="2" t="s">
        <v>2179</v>
      </c>
      <c r="Q25" s="2" t="s">
        <v>871</v>
      </c>
      <c r="S25" s="2" t="s">
        <v>1383</v>
      </c>
      <c r="U25" s="2" t="s">
        <v>2648</v>
      </c>
      <c r="V25" s="2"/>
      <c r="W25" s="2" t="s">
        <v>2174</v>
      </c>
      <c r="X25" s="2" t="s">
        <v>1382</v>
      </c>
      <c r="Z25" s="2" t="s">
        <v>1381</v>
      </c>
    </row>
    <row r="26" spans="1:26" x14ac:dyDescent="0.2">
      <c r="A26" s="4">
        <v>21</v>
      </c>
      <c r="E26" s="6" t="s">
        <v>1385</v>
      </c>
      <c r="G26" s="2" t="s">
        <v>2652</v>
      </c>
      <c r="H26" s="2"/>
      <c r="I26" s="2" t="s">
        <v>39</v>
      </c>
      <c r="J26" s="2" t="s">
        <v>40</v>
      </c>
      <c r="N26" s="2" t="s">
        <v>2650</v>
      </c>
      <c r="O26" s="2"/>
      <c r="P26" s="2" t="s">
        <v>1846</v>
      </c>
      <c r="Q26" s="2" t="s">
        <v>2690</v>
      </c>
      <c r="U26" s="2" t="s">
        <v>2648</v>
      </c>
      <c r="V26" s="2"/>
      <c r="W26" s="2" t="s">
        <v>1844</v>
      </c>
      <c r="X26" s="2" t="s">
        <v>2689</v>
      </c>
    </row>
    <row r="27" spans="1:26" x14ac:dyDescent="0.2">
      <c r="A27" s="4">
        <v>22</v>
      </c>
      <c r="E27" s="6" t="s">
        <v>1385</v>
      </c>
      <c r="G27" s="2" t="s">
        <v>2652</v>
      </c>
      <c r="H27" s="2"/>
      <c r="I27" s="2" t="s">
        <v>39</v>
      </c>
      <c r="J27" s="2" t="s">
        <v>42</v>
      </c>
      <c r="N27" s="2" t="s">
        <v>2650</v>
      </c>
      <c r="O27" s="2"/>
      <c r="P27" s="2" t="s">
        <v>1846</v>
      </c>
      <c r="Q27" s="2" t="s">
        <v>2688</v>
      </c>
      <c r="U27" s="2" t="s">
        <v>2648</v>
      </c>
      <c r="V27" s="2"/>
      <c r="W27" s="2" t="s">
        <v>1844</v>
      </c>
      <c r="X27" s="2" t="s">
        <v>2687</v>
      </c>
    </row>
    <row r="28" spans="1:26" x14ac:dyDescent="0.2">
      <c r="A28" s="4">
        <v>23</v>
      </c>
      <c r="E28" s="6" t="s">
        <v>1385</v>
      </c>
      <c r="G28" s="2" t="s">
        <v>2652</v>
      </c>
      <c r="H28" s="2"/>
      <c r="I28" s="2" t="s">
        <v>39</v>
      </c>
      <c r="J28" s="2" t="s">
        <v>44</v>
      </c>
      <c r="N28" s="2" t="s">
        <v>2650</v>
      </c>
      <c r="O28" s="2"/>
      <c r="P28" s="2" t="s">
        <v>1846</v>
      </c>
      <c r="Q28" s="2" t="s">
        <v>2686</v>
      </c>
      <c r="U28" s="2" t="s">
        <v>2648</v>
      </c>
      <c r="V28" s="2"/>
      <c r="W28" s="2" t="s">
        <v>1844</v>
      </c>
      <c r="X28" s="2" t="s">
        <v>2685</v>
      </c>
    </row>
    <row r="29" spans="1:26" x14ac:dyDescent="0.2">
      <c r="A29" s="4">
        <v>24</v>
      </c>
      <c r="E29" s="6" t="s">
        <v>1385</v>
      </c>
      <c r="G29" s="2" t="s">
        <v>2652</v>
      </c>
      <c r="H29" s="2"/>
      <c r="I29" s="2" t="s">
        <v>39</v>
      </c>
      <c r="J29" s="2" t="s">
        <v>46</v>
      </c>
      <c r="N29" s="2" t="s">
        <v>2650</v>
      </c>
      <c r="O29" s="2"/>
      <c r="P29" s="2" t="s">
        <v>1846</v>
      </c>
      <c r="Q29" s="2" t="s">
        <v>2684</v>
      </c>
      <c r="U29" s="2" t="s">
        <v>2648</v>
      </c>
      <c r="V29" s="2"/>
      <c r="W29" s="2" t="s">
        <v>1844</v>
      </c>
      <c r="X29" s="2" t="s">
        <v>2683</v>
      </c>
    </row>
    <row r="30" spans="1:26" x14ac:dyDescent="0.2">
      <c r="A30" s="4">
        <v>25</v>
      </c>
      <c r="E30" s="6" t="s">
        <v>1385</v>
      </c>
      <c r="G30" s="2" t="s">
        <v>2652</v>
      </c>
      <c r="H30" s="2"/>
      <c r="I30" s="2" t="s">
        <v>39</v>
      </c>
      <c r="J30" s="2" t="s">
        <v>48</v>
      </c>
      <c r="N30" s="2" t="s">
        <v>2650</v>
      </c>
      <c r="O30" s="2"/>
      <c r="P30" s="2" t="s">
        <v>1846</v>
      </c>
      <c r="Q30" s="2" t="s">
        <v>2682</v>
      </c>
      <c r="U30" s="2" t="s">
        <v>2648</v>
      </c>
      <c r="V30" s="2"/>
      <c r="W30" s="2" t="s">
        <v>1844</v>
      </c>
      <c r="X30" s="2" t="s">
        <v>2681</v>
      </c>
    </row>
    <row r="31" spans="1:26" x14ac:dyDescent="0.2">
      <c r="A31" s="4">
        <v>26</v>
      </c>
      <c r="E31" s="6" t="s">
        <v>1385</v>
      </c>
      <c r="G31" s="2" t="s">
        <v>2652</v>
      </c>
      <c r="H31" s="2"/>
      <c r="I31" s="2" t="s">
        <v>39</v>
      </c>
      <c r="J31" s="2" t="s">
        <v>50</v>
      </c>
      <c r="N31" s="2" t="s">
        <v>2650</v>
      </c>
      <c r="O31" s="2"/>
      <c r="P31" s="2" t="s">
        <v>1846</v>
      </c>
      <c r="Q31" s="2" t="s">
        <v>2680</v>
      </c>
      <c r="U31" s="2" t="s">
        <v>2648</v>
      </c>
      <c r="V31" s="2"/>
      <c r="W31" s="2" t="s">
        <v>1844</v>
      </c>
      <c r="X31" s="2" t="s">
        <v>2679</v>
      </c>
    </row>
    <row r="32" spans="1:26" x14ac:dyDescent="0.2">
      <c r="A32" s="4">
        <v>27</v>
      </c>
      <c r="E32" s="6" t="s">
        <v>1385</v>
      </c>
      <c r="G32" s="2" t="s">
        <v>2652</v>
      </c>
      <c r="H32" s="2"/>
      <c r="I32" s="2" t="s">
        <v>39</v>
      </c>
      <c r="J32" s="2" t="s">
        <v>52</v>
      </c>
      <c r="N32" s="2" t="s">
        <v>2650</v>
      </c>
      <c r="O32" s="2"/>
      <c r="P32" s="2" t="s">
        <v>1846</v>
      </c>
      <c r="Q32" s="2" t="s">
        <v>2678</v>
      </c>
      <c r="U32" s="2" t="s">
        <v>2648</v>
      </c>
      <c r="V32" s="2"/>
      <c r="W32" s="2" t="s">
        <v>1844</v>
      </c>
      <c r="X32" s="2" t="s">
        <v>2677</v>
      </c>
    </row>
    <row r="33" spans="1:26" ht="25.5" x14ac:dyDescent="0.2">
      <c r="A33" s="4">
        <v>28</v>
      </c>
      <c r="E33" s="6" t="s">
        <v>1385</v>
      </c>
      <c r="G33" s="2" t="s">
        <v>2652</v>
      </c>
      <c r="H33" s="2"/>
      <c r="I33" s="2" t="s">
        <v>39</v>
      </c>
      <c r="J33" s="2" t="s">
        <v>54</v>
      </c>
      <c r="L33" s="2" t="s">
        <v>1384</v>
      </c>
      <c r="N33" s="2" t="s">
        <v>2650</v>
      </c>
      <c r="O33" s="2"/>
      <c r="P33" s="2" t="s">
        <v>1846</v>
      </c>
      <c r="Q33" s="2" t="s">
        <v>871</v>
      </c>
      <c r="S33" s="2" t="s">
        <v>1383</v>
      </c>
      <c r="U33" s="2" t="s">
        <v>2648</v>
      </c>
      <c r="V33" s="2"/>
      <c r="W33" s="2" t="s">
        <v>1844</v>
      </c>
      <c r="X33" s="2" t="s">
        <v>1382</v>
      </c>
      <c r="Z33" s="2" t="s">
        <v>1381</v>
      </c>
    </row>
    <row r="34" spans="1:26" ht="25.5" x14ac:dyDescent="0.2">
      <c r="A34" s="4">
        <v>29</v>
      </c>
      <c r="E34" s="6" t="s">
        <v>1385</v>
      </c>
      <c r="G34" s="2" t="s">
        <v>2652</v>
      </c>
      <c r="H34" s="2"/>
      <c r="I34" s="2" t="s">
        <v>1517</v>
      </c>
      <c r="J34" s="2" t="s">
        <v>394</v>
      </c>
      <c r="L34" s="2" t="s">
        <v>2676</v>
      </c>
      <c r="N34" s="2" t="s">
        <v>2650</v>
      </c>
      <c r="O34" s="2"/>
      <c r="P34" s="2" t="s">
        <v>1516</v>
      </c>
      <c r="Q34" s="2" t="s">
        <v>815</v>
      </c>
      <c r="S34" s="2" t="s">
        <v>2675</v>
      </c>
      <c r="U34" s="2" t="s">
        <v>2648</v>
      </c>
      <c r="V34" s="2"/>
      <c r="W34" s="2" t="s">
        <v>1514</v>
      </c>
      <c r="X34" s="2" t="s">
        <v>2674</v>
      </c>
      <c r="Z34" s="2" t="s">
        <v>2673</v>
      </c>
    </row>
    <row r="35" spans="1:26" ht="25.5" x14ac:dyDescent="0.2">
      <c r="A35" s="4">
        <v>30</v>
      </c>
      <c r="E35" s="6" t="s">
        <v>1385</v>
      </c>
      <c r="G35" s="2" t="s">
        <v>2652</v>
      </c>
      <c r="H35" s="2"/>
      <c r="I35" s="2" t="s">
        <v>1517</v>
      </c>
      <c r="J35" s="2" t="s">
        <v>396</v>
      </c>
      <c r="L35" s="2" t="s">
        <v>2672</v>
      </c>
      <c r="N35" s="2" t="s">
        <v>2650</v>
      </c>
      <c r="O35" s="2"/>
      <c r="P35" s="2" t="s">
        <v>1516</v>
      </c>
      <c r="Q35" s="2" t="s">
        <v>816</v>
      </c>
      <c r="S35" s="2" t="s">
        <v>2671</v>
      </c>
      <c r="U35" s="2" t="s">
        <v>2648</v>
      </c>
      <c r="V35" s="2"/>
      <c r="W35" s="2" t="s">
        <v>1514</v>
      </c>
      <c r="X35" s="2" t="s">
        <v>2670</v>
      </c>
      <c r="Z35" s="2" t="s">
        <v>2669</v>
      </c>
    </row>
    <row r="36" spans="1:26" ht="25.5" x14ac:dyDescent="0.2">
      <c r="A36" s="4">
        <v>31</v>
      </c>
      <c r="E36" s="6" t="s">
        <v>1385</v>
      </c>
      <c r="G36" s="2" t="s">
        <v>2652</v>
      </c>
      <c r="H36" s="2"/>
      <c r="I36" s="2" t="s">
        <v>1517</v>
      </c>
      <c r="J36" s="2" t="s">
        <v>398</v>
      </c>
      <c r="L36" s="2" t="s">
        <v>2668</v>
      </c>
      <c r="N36" s="2" t="s">
        <v>2650</v>
      </c>
      <c r="O36" s="2"/>
      <c r="P36" s="2" t="s">
        <v>1516</v>
      </c>
      <c r="Q36" s="2" t="s">
        <v>817</v>
      </c>
      <c r="S36" s="2" t="s">
        <v>2667</v>
      </c>
      <c r="U36" s="2" t="s">
        <v>2648</v>
      </c>
      <c r="V36" s="2"/>
      <c r="W36" s="2" t="s">
        <v>1514</v>
      </c>
      <c r="X36" s="2" t="s">
        <v>2666</v>
      </c>
      <c r="Z36" s="2" t="s">
        <v>2665</v>
      </c>
    </row>
    <row r="37" spans="1:26" x14ac:dyDescent="0.2">
      <c r="A37" s="4">
        <v>32</v>
      </c>
      <c r="E37" s="6" t="s">
        <v>1385</v>
      </c>
      <c r="G37" s="2" t="s">
        <v>2652</v>
      </c>
      <c r="H37" s="2"/>
      <c r="I37" s="2" t="s">
        <v>1432</v>
      </c>
      <c r="J37" s="2" t="s">
        <v>612</v>
      </c>
      <c r="L37" s="2" t="s">
        <v>2664</v>
      </c>
      <c r="N37" s="2" t="s">
        <v>2650</v>
      </c>
      <c r="O37" s="2"/>
      <c r="P37" s="2" t="s">
        <v>1429</v>
      </c>
      <c r="Q37" s="2" t="s">
        <v>612</v>
      </c>
      <c r="S37" s="2" t="s">
        <v>2663</v>
      </c>
      <c r="U37" s="2" t="s">
        <v>2648</v>
      </c>
      <c r="V37" s="2"/>
      <c r="W37" s="2" t="s">
        <v>1425</v>
      </c>
      <c r="X37" s="2" t="s">
        <v>612</v>
      </c>
      <c r="Z37" s="2" t="s">
        <v>2662</v>
      </c>
    </row>
    <row r="38" spans="1:26" x14ac:dyDescent="0.2">
      <c r="A38" s="4">
        <v>33</v>
      </c>
      <c r="E38" s="6" t="s">
        <v>1385</v>
      </c>
      <c r="G38" s="2" t="s">
        <v>2652</v>
      </c>
      <c r="H38" s="2"/>
      <c r="I38" s="2" t="s">
        <v>1432</v>
      </c>
      <c r="J38" s="2" t="s">
        <v>614</v>
      </c>
      <c r="L38" s="2" t="s">
        <v>2661</v>
      </c>
      <c r="N38" s="2" t="s">
        <v>2650</v>
      </c>
      <c r="O38" s="2"/>
      <c r="P38" s="2" t="s">
        <v>1429</v>
      </c>
      <c r="Q38" s="2" t="s">
        <v>614</v>
      </c>
      <c r="S38" s="2" t="s">
        <v>2660</v>
      </c>
      <c r="U38" s="2" t="s">
        <v>2648</v>
      </c>
      <c r="V38" s="2"/>
      <c r="W38" s="2" t="s">
        <v>1425</v>
      </c>
      <c r="X38" s="2" t="s">
        <v>614</v>
      </c>
      <c r="Z38" s="2" t="s">
        <v>2659</v>
      </c>
    </row>
    <row r="39" spans="1:26" x14ac:dyDescent="0.2">
      <c r="A39" s="4">
        <v>34</v>
      </c>
      <c r="E39" s="6" t="s">
        <v>1385</v>
      </c>
      <c r="G39" s="2" t="s">
        <v>2652</v>
      </c>
      <c r="H39" s="2"/>
      <c r="I39" s="2" t="s">
        <v>1432</v>
      </c>
      <c r="J39" s="2" t="s">
        <v>616</v>
      </c>
      <c r="L39" s="2" t="s">
        <v>2658</v>
      </c>
      <c r="N39" s="2" t="s">
        <v>2650</v>
      </c>
      <c r="O39" s="2"/>
      <c r="P39" s="2" t="s">
        <v>1429</v>
      </c>
      <c r="Q39" s="2" t="s">
        <v>616</v>
      </c>
      <c r="S39" s="2" t="s">
        <v>2657</v>
      </c>
      <c r="U39" s="2" t="s">
        <v>2648</v>
      </c>
      <c r="V39" s="2"/>
      <c r="W39" s="2" t="s">
        <v>1425</v>
      </c>
      <c r="X39" s="2" t="s">
        <v>616</v>
      </c>
      <c r="Z39" s="2" t="s">
        <v>2656</v>
      </c>
    </row>
    <row r="40" spans="1:26" ht="25.5" x14ac:dyDescent="0.2">
      <c r="A40" s="4">
        <v>35</v>
      </c>
      <c r="E40" s="6" t="s">
        <v>1385</v>
      </c>
      <c r="G40" s="2" t="s">
        <v>2652</v>
      </c>
      <c r="H40" s="2"/>
      <c r="I40" s="2" t="s">
        <v>1432</v>
      </c>
      <c r="J40" s="2" t="s">
        <v>618</v>
      </c>
      <c r="L40" s="2" t="s">
        <v>2655</v>
      </c>
      <c r="N40" s="2" t="s">
        <v>2650</v>
      </c>
      <c r="O40" s="2"/>
      <c r="P40" s="2" t="s">
        <v>1429</v>
      </c>
      <c r="Q40" s="2" t="s">
        <v>618</v>
      </c>
      <c r="S40" s="2" t="s">
        <v>2654</v>
      </c>
      <c r="U40" s="2" t="s">
        <v>2648</v>
      </c>
      <c r="V40" s="2"/>
      <c r="W40" s="2" t="s">
        <v>1425</v>
      </c>
      <c r="X40" s="2" t="s">
        <v>618</v>
      </c>
      <c r="Z40" s="2" t="s">
        <v>2653</v>
      </c>
    </row>
    <row r="41" spans="1:26" x14ac:dyDescent="0.2">
      <c r="A41" s="4">
        <v>36</v>
      </c>
      <c r="E41" s="6" t="s">
        <v>1385</v>
      </c>
      <c r="G41" s="2" t="s">
        <v>2652</v>
      </c>
      <c r="H41" s="2"/>
      <c r="I41" s="2" t="s">
        <v>1432</v>
      </c>
      <c r="J41" s="2" t="s">
        <v>2647</v>
      </c>
      <c r="L41" s="2" t="s">
        <v>2651</v>
      </c>
      <c r="N41" s="2" t="s">
        <v>2650</v>
      </c>
      <c r="O41" s="2"/>
      <c r="P41" s="2" t="s">
        <v>1429</v>
      </c>
      <c r="Q41" s="2" t="s">
        <v>2647</v>
      </c>
      <c r="S41" s="2" t="s">
        <v>2649</v>
      </c>
      <c r="U41" s="2" t="s">
        <v>2648</v>
      </c>
      <c r="V41" s="2"/>
      <c r="W41" s="2" t="s">
        <v>1425</v>
      </c>
      <c r="X41" s="2" t="s">
        <v>2647</v>
      </c>
      <c r="Z41" s="2" t="s">
        <v>2646</v>
      </c>
    </row>
    <row r="42" spans="1:26" x14ac:dyDescent="0.2">
      <c r="A42" s="4">
        <v>37</v>
      </c>
      <c r="B42" s="6" t="s">
        <v>1221</v>
      </c>
      <c r="E42" s="6" t="s">
        <v>1215</v>
      </c>
      <c r="G42" s="4" t="s">
        <v>2614</v>
      </c>
      <c r="H42" s="4" t="s">
        <v>2645</v>
      </c>
      <c r="I42" s="2" t="s">
        <v>96</v>
      </c>
      <c r="J42" s="2" t="s">
        <v>951</v>
      </c>
      <c r="L42" s="2" t="s">
        <v>1380</v>
      </c>
      <c r="N42" s="4" t="s">
        <v>2612</v>
      </c>
      <c r="O42" s="4" t="s">
        <v>2644</v>
      </c>
      <c r="P42" s="2" t="s">
        <v>733</v>
      </c>
      <c r="Q42" s="2" t="s">
        <v>951</v>
      </c>
      <c r="S42" s="2" t="s">
        <v>1379</v>
      </c>
      <c r="U42" s="4" t="s">
        <v>2611</v>
      </c>
      <c r="V42" s="4" t="s">
        <v>2643</v>
      </c>
      <c r="W42" s="2" t="s">
        <v>1378</v>
      </c>
      <c r="X42" s="2" t="s">
        <v>951</v>
      </c>
      <c r="Z42" s="2" t="s">
        <v>1377</v>
      </c>
    </row>
    <row r="43" spans="1:26" x14ac:dyDescent="0.2">
      <c r="A43" s="4">
        <v>38</v>
      </c>
      <c r="B43" s="6" t="s">
        <v>1221</v>
      </c>
      <c r="E43" s="6" t="s">
        <v>1215</v>
      </c>
      <c r="G43" s="4" t="s">
        <v>2614</v>
      </c>
      <c r="H43" s="4" t="s">
        <v>2645</v>
      </c>
      <c r="I43" s="2" t="s">
        <v>99</v>
      </c>
      <c r="J43" s="2" t="s">
        <v>951</v>
      </c>
      <c r="L43" s="2" t="s">
        <v>2603</v>
      </c>
      <c r="N43" s="4" t="s">
        <v>2612</v>
      </c>
      <c r="O43" s="4" t="s">
        <v>2644</v>
      </c>
      <c r="P43" s="2" t="s">
        <v>734</v>
      </c>
      <c r="Q43" s="2" t="s">
        <v>951</v>
      </c>
      <c r="S43" s="2" t="s">
        <v>2602</v>
      </c>
      <c r="U43" s="4" t="s">
        <v>2611</v>
      </c>
      <c r="V43" s="4" t="s">
        <v>2643</v>
      </c>
      <c r="W43" s="2" t="s">
        <v>1376</v>
      </c>
      <c r="X43" s="2" t="s">
        <v>951</v>
      </c>
      <c r="Z43" s="2" t="s">
        <v>2601</v>
      </c>
    </row>
    <row r="44" spans="1:26" x14ac:dyDescent="0.2">
      <c r="A44" s="4">
        <v>39</v>
      </c>
      <c r="E44" s="6" t="s">
        <v>1215</v>
      </c>
      <c r="G44" s="4" t="s">
        <v>2614</v>
      </c>
      <c r="H44" s="4" t="s">
        <v>2645</v>
      </c>
      <c r="I44" s="2" t="s">
        <v>101</v>
      </c>
      <c r="J44" s="2" t="s">
        <v>956</v>
      </c>
      <c r="N44" s="4" t="s">
        <v>2612</v>
      </c>
      <c r="O44" s="4" t="s">
        <v>2644</v>
      </c>
      <c r="P44" s="2" t="s">
        <v>735</v>
      </c>
      <c r="Q44" s="2" t="s">
        <v>956</v>
      </c>
      <c r="U44" s="4" t="s">
        <v>2611</v>
      </c>
      <c r="V44" s="4" t="s">
        <v>2643</v>
      </c>
      <c r="W44" s="2" t="s">
        <v>1294</v>
      </c>
      <c r="X44" s="2" t="s">
        <v>956</v>
      </c>
    </row>
    <row r="45" spans="1:26" ht="63.75" x14ac:dyDescent="0.2">
      <c r="A45" s="4">
        <v>40</v>
      </c>
      <c r="D45" s="6" t="s">
        <v>950</v>
      </c>
      <c r="E45" s="6" t="s">
        <v>1215</v>
      </c>
      <c r="G45" s="4" t="s">
        <v>2614</v>
      </c>
      <c r="H45" s="4" t="s">
        <v>2645</v>
      </c>
      <c r="I45" s="2" t="s">
        <v>104</v>
      </c>
      <c r="J45" s="2" t="s">
        <v>1698</v>
      </c>
      <c r="N45" s="4" t="s">
        <v>2612</v>
      </c>
      <c r="O45" s="4" t="s">
        <v>2644</v>
      </c>
      <c r="P45" s="2" t="s">
        <v>736</v>
      </c>
      <c r="Q45" s="2" t="s">
        <v>1697</v>
      </c>
      <c r="U45" s="4" t="s">
        <v>2611</v>
      </c>
      <c r="V45" s="4" t="s">
        <v>2643</v>
      </c>
      <c r="W45" s="2" t="s">
        <v>1595</v>
      </c>
      <c r="X45" s="2" t="s">
        <v>1697</v>
      </c>
    </row>
    <row r="46" spans="1:26" ht="76.5" x14ac:dyDescent="0.2">
      <c r="A46" s="4">
        <v>41</v>
      </c>
      <c r="D46" s="6" t="s">
        <v>950</v>
      </c>
      <c r="E46" s="6" t="s">
        <v>1215</v>
      </c>
      <c r="G46" s="4" t="s">
        <v>2614</v>
      </c>
      <c r="H46" s="4" t="s">
        <v>2645</v>
      </c>
      <c r="I46" s="2" t="s">
        <v>107</v>
      </c>
      <c r="J46" s="2" t="s">
        <v>1349</v>
      </c>
      <c r="L46" s="2" t="s">
        <v>1869</v>
      </c>
      <c r="N46" s="4" t="s">
        <v>2612</v>
      </c>
      <c r="O46" s="4" t="s">
        <v>2644</v>
      </c>
      <c r="P46" s="2" t="s">
        <v>1589</v>
      </c>
      <c r="Q46" s="2" t="s">
        <v>1349</v>
      </c>
      <c r="S46" s="2" t="s">
        <v>2810</v>
      </c>
      <c r="U46" s="4" t="s">
        <v>2611</v>
      </c>
      <c r="V46" s="4" t="s">
        <v>2643</v>
      </c>
      <c r="W46" s="2" t="s">
        <v>1587</v>
      </c>
      <c r="X46" s="2" t="s">
        <v>1349</v>
      </c>
      <c r="Z46" s="2" t="s">
        <v>2011</v>
      </c>
    </row>
    <row r="47" spans="1:26" x14ac:dyDescent="0.2">
      <c r="A47" s="4">
        <v>42</v>
      </c>
      <c r="D47" s="6" t="s">
        <v>950</v>
      </c>
      <c r="E47" s="6" t="s">
        <v>1215</v>
      </c>
      <c r="G47" s="4" t="s">
        <v>2614</v>
      </c>
      <c r="H47" s="4" t="s">
        <v>2645</v>
      </c>
      <c r="I47" s="2" t="s">
        <v>1866</v>
      </c>
      <c r="J47" s="2" t="s">
        <v>1349</v>
      </c>
      <c r="L47" s="2" t="s">
        <v>1865</v>
      </c>
      <c r="N47" s="4" t="s">
        <v>2612</v>
      </c>
      <c r="O47" s="4" t="s">
        <v>2644</v>
      </c>
      <c r="P47" s="2" t="s">
        <v>1863</v>
      </c>
      <c r="Q47" s="2" t="s">
        <v>1349</v>
      </c>
      <c r="S47" s="2" t="s">
        <v>1862</v>
      </c>
      <c r="U47" s="4" t="s">
        <v>2611</v>
      </c>
      <c r="V47" s="4" t="s">
        <v>2643</v>
      </c>
      <c r="W47" s="2" t="s">
        <v>1860</v>
      </c>
      <c r="X47" s="2" t="s">
        <v>1349</v>
      </c>
      <c r="Z47" s="2" t="s">
        <v>2223</v>
      </c>
    </row>
    <row r="48" spans="1:26" ht="25.5" x14ac:dyDescent="0.2">
      <c r="A48" s="4">
        <v>43</v>
      </c>
      <c r="C48" s="6" t="s">
        <v>950</v>
      </c>
      <c r="E48" s="6" t="s">
        <v>1215</v>
      </c>
      <c r="G48" s="4" t="s">
        <v>2614</v>
      </c>
      <c r="H48" s="4" t="s">
        <v>120</v>
      </c>
      <c r="I48" s="2" t="s">
        <v>969</v>
      </c>
      <c r="J48" s="2" t="s">
        <v>2642</v>
      </c>
      <c r="L48" s="2" t="s">
        <v>1228</v>
      </c>
      <c r="N48" s="4" t="s">
        <v>2612</v>
      </c>
      <c r="O48" s="4" t="s">
        <v>741</v>
      </c>
      <c r="P48" s="2" t="s">
        <v>1319</v>
      </c>
      <c r="Q48" s="2" t="s">
        <v>2641</v>
      </c>
      <c r="S48" s="2" t="s">
        <v>1225</v>
      </c>
      <c r="U48" s="4" t="s">
        <v>2611</v>
      </c>
      <c r="V48" s="4" t="s">
        <v>741</v>
      </c>
      <c r="W48" s="2" t="s">
        <v>1319</v>
      </c>
      <c r="X48" s="2" t="s">
        <v>2640</v>
      </c>
      <c r="Z48" s="2" t="s">
        <v>1222</v>
      </c>
    </row>
    <row r="49" spans="1:26" x14ac:dyDescent="0.2">
      <c r="A49" s="4">
        <v>44</v>
      </c>
      <c r="B49" s="6" t="s">
        <v>1221</v>
      </c>
      <c r="E49" s="6" t="s">
        <v>1215</v>
      </c>
      <c r="G49" s="4" t="s">
        <v>2614</v>
      </c>
      <c r="H49" s="4" t="s">
        <v>120</v>
      </c>
      <c r="I49" s="2" t="s">
        <v>96</v>
      </c>
      <c r="J49" s="2" t="s">
        <v>951</v>
      </c>
      <c r="L49" s="2" t="s">
        <v>1380</v>
      </c>
      <c r="N49" s="4" t="s">
        <v>2612</v>
      </c>
      <c r="O49" s="4" t="s">
        <v>741</v>
      </c>
      <c r="P49" s="2" t="s">
        <v>733</v>
      </c>
      <c r="Q49" s="2" t="s">
        <v>951</v>
      </c>
      <c r="S49" s="2" t="s">
        <v>1379</v>
      </c>
      <c r="U49" s="4" t="s">
        <v>2611</v>
      </c>
      <c r="V49" s="4" t="s">
        <v>741</v>
      </c>
      <c r="W49" s="2" t="s">
        <v>1378</v>
      </c>
      <c r="X49" s="2" t="s">
        <v>951</v>
      </c>
      <c r="Z49" s="2" t="s">
        <v>1377</v>
      </c>
    </row>
    <row r="50" spans="1:26" x14ac:dyDescent="0.2">
      <c r="A50" s="4">
        <v>45</v>
      </c>
      <c r="B50" s="6" t="s">
        <v>1221</v>
      </c>
      <c r="E50" s="6" t="s">
        <v>1215</v>
      </c>
      <c r="G50" s="4" t="s">
        <v>2614</v>
      </c>
      <c r="H50" s="4" t="s">
        <v>120</v>
      </c>
      <c r="I50" s="2" t="s">
        <v>121</v>
      </c>
      <c r="J50" s="2" t="s">
        <v>951</v>
      </c>
      <c r="L50" s="2" t="s">
        <v>2603</v>
      </c>
      <c r="N50" s="4" t="s">
        <v>2612</v>
      </c>
      <c r="O50" s="4" t="s">
        <v>741</v>
      </c>
      <c r="P50" s="2" t="s">
        <v>742</v>
      </c>
      <c r="Q50" s="2" t="s">
        <v>951</v>
      </c>
      <c r="S50" s="2" t="s">
        <v>2602</v>
      </c>
      <c r="U50" s="4" t="s">
        <v>2611</v>
      </c>
      <c r="V50" s="4" t="s">
        <v>741</v>
      </c>
      <c r="W50" s="2" t="s">
        <v>742</v>
      </c>
      <c r="X50" s="2" t="s">
        <v>951</v>
      </c>
      <c r="Z50" s="2" t="s">
        <v>2639</v>
      </c>
    </row>
    <row r="51" spans="1:26" x14ac:dyDescent="0.2">
      <c r="A51" s="4">
        <v>46</v>
      </c>
      <c r="E51" s="6" t="s">
        <v>1215</v>
      </c>
      <c r="G51" s="4" t="s">
        <v>2614</v>
      </c>
      <c r="H51" s="4" t="s">
        <v>120</v>
      </c>
      <c r="I51" s="2" t="s">
        <v>123</v>
      </c>
      <c r="J51" s="2" t="s">
        <v>1220</v>
      </c>
      <c r="N51" s="4" t="s">
        <v>2612</v>
      </c>
      <c r="O51" s="4" t="s">
        <v>741</v>
      </c>
      <c r="P51" s="2" t="s">
        <v>123</v>
      </c>
      <c r="Q51" s="2" t="s">
        <v>1218</v>
      </c>
      <c r="U51" s="4" t="s">
        <v>2611</v>
      </c>
      <c r="V51" s="4" t="s">
        <v>741</v>
      </c>
      <c r="W51" s="2" t="s">
        <v>1247</v>
      </c>
      <c r="X51" s="2" t="s">
        <v>1218</v>
      </c>
    </row>
    <row r="52" spans="1:26" x14ac:dyDescent="0.2">
      <c r="A52" s="4">
        <v>47</v>
      </c>
      <c r="D52" s="6" t="s">
        <v>950</v>
      </c>
      <c r="E52" s="6" t="s">
        <v>1215</v>
      </c>
      <c r="G52" s="4" t="s">
        <v>2614</v>
      </c>
      <c r="H52" s="4" t="s">
        <v>120</v>
      </c>
      <c r="I52" s="2" t="s">
        <v>541</v>
      </c>
      <c r="J52" s="2" t="s">
        <v>314</v>
      </c>
      <c r="N52" s="4" t="s">
        <v>2612</v>
      </c>
      <c r="O52" s="4" t="s">
        <v>741</v>
      </c>
      <c r="P52" s="2" t="s">
        <v>875</v>
      </c>
      <c r="Q52" s="2" t="s">
        <v>803</v>
      </c>
      <c r="U52" s="4" t="s">
        <v>2611</v>
      </c>
      <c r="V52" s="4" t="s">
        <v>741</v>
      </c>
      <c r="W52" s="2" t="s">
        <v>875</v>
      </c>
      <c r="X52" s="2" t="s">
        <v>1497</v>
      </c>
    </row>
    <row r="53" spans="1:26" x14ac:dyDescent="0.2">
      <c r="A53" s="4">
        <v>48</v>
      </c>
      <c r="E53" s="6" t="s">
        <v>1215</v>
      </c>
      <c r="G53" s="4" t="s">
        <v>2614</v>
      </c>
      <c r="H53" s="4" t="s">
        <v>120</v>
      </c>
      <c r="I53" s="2" t="s">
        <v>1855</v>
      </c>
      <c r="J53" s="2" t="s">
        <v>939</v>
      </c>
      <c r="N53" s="4" t="s">
        <v>2612</v>
      </c>
      <c r="O53" s="4" t="s">
        <v>741</v>
      </c>
      <c r="P53" s="2" t="s">
        <v>1853</v>
      </c>
      <c r="Q53" s="2" t="s">
        <v>1854</v>
      </c>
      <c r="U53" s="4" t="s">
        <v>2611</v>
      </c>
      <c r="V53" s="4" t="s">
        <v>741</v>
      </c>
      <c r="W53" s="2" t="s">
        <v>1853</v>
      </c>
      <c r="X53" s="2" t="s">
        <v>1852</v>
      </c>
    </row>
    <row r="54" spans="1:26" x14ac:dyDescent="0.2">
      <c r="A54" s="4">
        <v>49</v>
      </c>
      <c r="E54" s="6" t="s">
        <v>1215</v>
      </c>
      <c r="G54" s="4" t="s">
        <v>2614</v>
      </c>
      <c r="H54" s="4" t="s">
        <v>120</v>
      </c>
      <c r="I54" s="2" t="s">
        <v>1851</v>
      </c>
      <c r="J54" s="2" t="s">
        <v>941</v>
      </c>
      <c r="N54" s="4" t="s">
        <v>2612</v>
      </c>
      <c r="O54" s="4" t="s">
        <v>741</v>
      </c>
      <c r="P54" s="2" t="s">
        <v>1850</v>
      </c>
      <c r="Q54" s="2" t="s">
        <v>1849</v>
      </c>
      <c r="U54" s="4" t="s">
        <v>2611</v>
      </c>
      <c r="V54" s="4" t="s">
        <v>741</v>
      </c>
      <c r="W54" s="2" t="s">
        <v>1848</v>
      </c>
      <c r="X54" s="2" t="s">
        <v>1847</v>
      </c>
    </row>
    <row r="55" spans="1:26" x14ac:dyDescent="0.2">
      <c r="A55" s="4">
        <v>50</v>
      </c>
      <c r="D55" s="6" t="s">
        <v>950</v>
      </c>
      <c r="E55" s="6" t="s">
        <v>1215</v>
      </c>
      <c r="G55" s="4" t="s">
        <v>2614</v>
      </c>
      <c r="H55" s="4" t="s">
        <v>120</v>
      </c>
      <c r="I55" s="2" t="s">
        <v>2538</v>
      </c>
      <c r="J55" s="2" t="s">
        <v>939</v>
      </c>
      <c r="L55" s="2" t="s">
        <v>2563</v>
      </c>
      <c r="N55" s="4" t="s">
        <v>2612</v>
      </c>
      <c r="O55" s="4" t="s">
        <v>741</v>
      </c>
      <c r="P55" s="2" t="s">
        <v>2537</v>
      </c>
      <c r="Q55" s="2" t="s">
        <v>1854</v>
      </c>
      <c r="S55" s="2" t="s">
        <v>2562</v>
      </c>
      <c r="U55" s="4" t="s">
        <v>2611</v>
      </c>
      <c r="V55" s="4" t="s">
        <v>741</v>
      </c>
      <c r="W55" s="2" t="s">
        <v>2537</v>
      </c>
      <c r="X55" s="2" t="s">
        <v>1852</v>
      </c>
      <c r="Z55" s="2" t="s">
        <v>2561</v>
      </c>
    </row>
    <row r="56" spans="1:26" x14ac:dyDescent="0.2">
      <c r="A56" s="4">
        <v>51</v>
      </c>
      <c r="D56" s="6" t="s">
        <v>950</v>
      </c>
      <c r="E56" s="6" t="s">
        <v>1215</v>
      </c>
      <c r="G56" s="4" t="s">
        <v>2614</v>
      </c>
      <c r="H56" s="4" t="s">
        <v>120</v>
      </c>
      <c r="I56" s="2" t="s">
        <v>2536</v>
      </c>
      <c r="J56" s="2" t="s">
        <v>941</v>
      </c>
      <c r="L56" s="2" t="s">
        <v>2563</v>
      </c>
      <c r="N56" s="4" t="s">
        <v>2612</v>
      </c>
      <c r="O56" s="4" t="s">
        <v>741</v>
      </c>
      <c r="P56" s="2" t="s">
        <v>2535</v>
      </c>
      <c r="Q56" s="2" t="s">
        <v>1849</v>
      </c>
      <c r="S56" s="2" t="s">
        <v>2562</v>
      </c>
      <c r="U56" s="4" t="s">
        <v>2611</v>
      </c>
      <c r="V56" s="4" t="s">
        <v>741</v>
      </c>
      <c r="W56" s="2" t="s">
        <v>2534</v>
      </c>
      <c r="X56" s="2" t="s">
        <v>1847</v>
      </c>
      <c r="Z56" s="2" t="s">
        <v>2561</v>
      </c>
    </row>
    <row r="57" spans="1:26" ht="25.5" x14ac:dyDescent="0.2">
      <c r="A57" s="4">
        <v>52</v>
      </c>
      <c r="E57" s="6" t="s">
        <v>1215</v>
      </c>
      <c r="G57" s="4" t="s">
        <v>2614</v>
      </c>
      <c r="H57" s="4" t="s">
        <v>120</v>
      </c>
      <c r="I57" s="2" t="s">
        <v>2600</v>
      </c>
      <c r="J57" s="2" t="s">
        <v>2922</v>
      </c>
      <c r="N57" s="4" t="s">
        <v>2612</v>
      </c>
      <c r="O57" s="4" t="s">
        <v>741</v>
      </c>
      <c r="P57" s="2" t="s">
        <v>2599</v>
      </c>
      <c r="Q57" s="2" t="s">
        <v>2923</v>
      </c>
      <c r="U57" s="4" t="s">
        <v>2611</v>
      </c>
      <c r="V57" s="4" t="s">
        <v>741</v>
      </c>
      <c r="W57" s="2" t="s">
        <v>2598</v>
      </c>
      <c r="X57" s="2" t="s">
        <v>2924</v>
      </c>
    </row>
    <row r="58" spans="1:26" x14ac:dyDescent="0.2">
      <c r="A58" s="4">
        <v>53</v>
      </c>
      <c r="D58" s="6" t="s">
        <v>950</v>
      </c>
      <c r="E58" s="6" t="s">
        <v>1215</v>
      </c>
      <c r="G58" s="4" t="s">
        <v>2614</v>
      </c>
      <c r="H58" s="4" t="s">
        <v>120</v>
      </c>
      <c r="I58" s="2" t="s">
        <v>134</v>
      </c>
      <c r="J58" s="2" t="s">
        <v>39</v>
      </c>
      <c r="N58" s="4" t="s">
        <v>2612</v>
      </c>
      <c r="O58" s="4" t="s">
        <v>741</v>
      </c>
      <c r="P58" s="2" t="s">
        <v>748</v>
      </c>
      <c r="Q58" s="2" t="s">
        <v>1846</v>
      </c>
      <c r="U58" s="4" t="s">
        <v>2611</v>
      </c>
      <c r="V58" s="4" t="s">
        <v>741</v>
      </c>
      <c r="W58" s="2" t="s">
        <v>1845</v>
      </c>
      <c r="X58" s="2" t="s">
        <v>1844</v>
      </c>
    </row>
    <row r="59" spans="1:26" x14ac:dyDescent="0.2">
      <c r="A59" s="4">
        <v>54</v>
      </c>
      <c r="B59" s="6" t="s">
        <v>6</v>
      </c>
      <c r="C59" s="6" t="s">
        <v>950</v>
      </c>
      <c r="E59" s="6" t="s">
        <v>1215</v>
      </c>
      <c r="G59" s="4" t="s">
        <v>2614</v>
      </c>
      <c r="H59" s="4" t="s">
        <v>2635</v>
      </c>
      <c r="I59" s="2" t="s">
        <v>2638</v>
      </c>
      <c r="J59" s="2" t="s">
        <v>2632</v>
      </c>
      <c r="L59" s="2" t="s">
        <v>2531</v>
      </c>
      <c r="N59" s="4" t="s">
        <v>2612</v>
      </c>
      <c r="O59" s="4" t="s">
        <v>2634</v>
      </c>
      <c r="P59" s="2" t="s">
        <v>2637</v>
      </c>
      <c r="Q59" s="2" t="s">
        <v>2629</v>
      </c>
      <c r="S59" s="2" t="s">
        <v>2529</v>
      </c>
      <c r="U59" s="4" t="s">
        <v>2611</v>
      </c>
      <c r="V59" s="4" t="s">
        <v>2634</v>
      </c>
      <c r="W59" s="2" t="s">
        <v>2636</v>
      </c>
      <c r="X59" s="2" t="s">
        <v>2629</v>
      </c>
      <c r="Z59" s="2" t="s">
        <v>2526</v>
      </c>
    </row>
    <row r="60" spans="1:26" x14ac:dyDescent="0.2">
      <c r="A60" s="4">
        <v>55</v>
      </c>
      <c r="E60" s="6" t="s">
        <v>1215</v>
      </c>
      <c r="G60" s="4" t="s">
        <v>2614</v>
      </c>
      <c r="H60" s="4" t="s">
        <v>2635</v>
      </c>
      <c r="I60" s="2" t="s">
        <v>1219</v>
      </c>
      <c r="J60" s="2" t="s">
        <v>1220</v>
      </c>
      <c r="N60" s="4" t="s">
        <v>2612</v>
      </c>
      <c r="O60" s="4" t="s">
        <v>2634</v>
      </c>
      <c r="P60" s="2" t="s">
        <v>1219</v>
      </c>
      <c r="Q60" s="2" t="s">
        <v>1218</v>
      </c>
      <c r="U60" s="4" t="s">
        <v>2611</v>
      </c>
      <c r="V60" s="4" t="s">
        <v>2634</v>
      </c>
      <c r="W60" s="2" t="s">
        <v>1219</v>
      </c>
      <c r="X60" s="2" t="s">
        <v>1218</v>
      </c>
    </row>
    <row r="61" spans="1:26" x14ac:dyDescent="0.2">
      <c r="A61" s="4">
        <v>56</v>
      </c>
      <c r="D61" s="6" t="s">
        <v>950</v>
      </c>
      <c r="E61" s="6" t="s">
        <v>1215</v>
      </c>
      <c r="G61" s="4" t="s">
        <v>2614</v>
      </c>
      <c r="H61" s="4" t="s">
        <v>2635</v>
      </c>
      <c r="I61" s="2" t="s">
        <v>1217</v>
      </c>
      <c r="J61" s="2" t="s">
        <v>933</v>
      </c>
      <c r="K61" s="3">
        <v>100</v>
      </c>
      <c r="N61" s="4" t="s">
        <v>2612</v>
      </c>
      <c r="O61" s="4" t="s">
        <v>2634</v>
      </c>
      <c r="P61" s="2" t="s">
        <v>1217</v>
      </c>
      <c r="Q61" s="2" t="s">
        <v>933</v>
      </c>
      <c r="R61" s="3">
        <v>100</v>
      </c>
      <c r="U61" s="4" t="s">
        <v>2611</v>
      </c>
      <c r="V61" s="4" t="s">
        <v>2634</v>
      </c>
      <c r="W61" s="2" t="s">
        <v>1217</v>
      </c>
      <c r="X61" s="2" t="s">
        <v>1216</v>
      </c>
      <c r="Y61" s="3">
        <v>100</v>
      </c>
    </row>
    <row r="62" spans="1:26" x14ac:dyDescent="0.2">
      <c r="A62" s="4">
        <v>57</v>
      </c>
      <c r="D62" s="6" t="s">
        <v>950</v>
      </c>
      <c r="E62" s="6" t="s">
        <v>1215</v>
      </c>
      <c r="G62" s="4" t="s">
        <v>2614</v>
      </c>
      <c r="H62" s="4" t="s">
        <v>2635</v>
      </c>
      <c r="I62" s="2" t="s">
        <v>1285</v>
      </c>
      <c r="J62" s="2" t="s">
        <v>1199</v>
      </c>
      <c r="K62" s="3" t="s">
        <v>86</v>
      </c>
      <c r="N62" s="4" t="s">
        <v>2612</v>
      </c>
      <c r="O62" s="4" t="s">
        <v>2634</v>
      </c>
      <c r="P62" s="2" t="s">
        <v>1285</v>
      </c>
      <c r="Q62" s="2" t="s">
        <v>1199</v>
      </c>
      <c r="R62" s="3" t="s">
        <v>86</v>
      </c>
      <c r="U62" s="4" t="s">
        <v>2611</v>
      </c>
      <c r="V62" s="4" t="s">
        <v>2634</v>
      </c>
      <c r="W62" s="2" t="s">
        <v>1285</v>
      </c>
      <c r="X62" s="2" t="s">
        <v>1199</v>
      </c>
      <c r="Y62" s="3" t="s">
        <v>86</v>
      </c>
    </row>
    <row r="63" spans="1:26" x14ac:dyDescent="0.2">
      <c r="A63" s="4">
        <v>58</v>
      </c>
      <c r="D63" s="6" t="s">
        <v>950</v>
      </c>
      <c r="E63" s="6" t="s">
        <v>1215</v>
      </c>
      <c r="G63" s="4" t="s">
        <v>2614</v>
      </c>
      <c r="H63" s="4" t="s">
        <v>2635</v>
      </c>
      <c r="I63" s="2" t="s">
        <v>1283</v>
      </c>
      <c r="J63" s="2" t="s">
        <v>1200</v>
      </c>
      <c r="K63" s="3" t="s">
        <v>90</v>
      </c>
      <c r="N63" s="4" t="s">
        <v>2612</v>
      </c>
      <c r="O63" s="4" t="s">
        <v>2634</v>
      </c>
      <c r="P63" s="2" t="s">
        <v>1283</v>
      </c>
      <c r="Q63" s="2" t="s">
        <v>1200</v>
      </c>
      <c r="R63" s="3" t="s">
        <v>90</v>
      </c>
      <c r="U63" s="4" t="s">
        <v>2611</v>
      </c>
      <c r="V63" s="4" t="s">
        <v>2634</v>
      </c>
      <c r="W63" s="2" t="s">
        <v>1283</v>
      </c>
      <c r="X63" s="2" t="s">
        <v>1200</v>
      </c>
      <c r="Y63" s="3" t="s">
        <v>90</v>
      </c>
    </row>
    <row r="64" spans="1:26" x14ac:dyDescent="0.2">
      <c r="A64" s="4">
        <v>59</v>
      </c>
      <c r="B64" s="6" t="s">
        <v>6</v>
      </c>
      <c r="C64" s="6" t="s">
        <v>950</v>
      </c>
      <c r="E64" s="6" t="s">
        <v>1215</v>
      </c>
      <c r="G64" s="4" t="s">
        <v>2614</v>
      </c>
      <c r="H64" s="4" t="s">
        <v>2628</v>
      </c>
      <c r="I64" s="2" t="s">
        <v>2633</v>
      </c>
      <c r="J64" s="2" t="s">
        <v>2632</v>
      </c>
      <c r="L64" s="2" t="s">
        <v>1820</v>
      </c>
      <c r="N64" s="4" t="s">
        <v>2612</v>
      </c>
      <c r="O64" s="4" t="s">
        <v>2627</v>
      </c>
      <c r="P64" s="2" t="s">
        <v>2631</v>
      </c>
      <c r="Q64" s="2" t="s">
        <v>2629</v>
      </c>
      <c r="S64" s="2" t="s">
        <v>1817</v>
      </c>
      <c r="U64" s="4" t="s">
        <v>2611</v>
      </c>
      <c r="V64" s="4" t="s">
        <v>2626</v>
      </c>
      <c r="W64" s="2" t="s">
        <v>2630</v>
      </c>
      <c r="X64" s="2" t="s">
        <v>2629</v>
      </c>
      <c r="Z64" s="2" t="s">
        <v>1814</v>
      </c>
    </row>
    <row r="65" spans="1:26" x14ac:dyDescent="0.2">
      <c r="A65" s="4">
        <v>60</v>
      </c>
      <c r="D65" s="6" t="s">
        <v>950</v>
      </c>
      <c r="E65" s="6" t="s">
        <v>1215</v>
      </c>
      <c r="G65" s="4" t="s">
        <v>2614</v>
      </c>
      <c r="H65" s="4" t="s">
        <v>2628</v>
      </c>
      <c r="I65" s="2" t="s">
        <v>1217</v>
      </c>
      <c r="J65" s="2" t="s">
        <v>933</v>
      </c>
      <c r="K65" s="3">
        <v>0</v>
      </c>
      <c r="N65" s="4" t="s">
        <v>2612</v>
      </c>
      <c r="O65" s="4" t="s">
        <v>2627</v>
      </c>
      <c r="P65" s="2" t="s">
        <v>1217</v>
      </c>
      <c r="Q65" s="2" t="s">
        <v>933</v>
      </c>
      <c r="R65" s="3">
        <v>0</v>
      </c>
      <c r="U65" s="4" t="s">
        <v>2611</v>
      </c>
      <c r="V65" s="4" t="s">
        <v>2626</v>
      </c>
      <c r="W65" s="2" t="s">
        <v>1217</v>
      </c>
      <c r="X65" s="2" t="s">
        <v>1216</v>
      </c>
      <c r="Y65" s="3">
        <v>0</v>
      </c>
    </row>
    <row r="66" spans="1:26" x14ac:dyDescent="0.2">
      <c r="A66" s="4">
        <v>61</v>
      </c>
      <c r="B66" s="6" t="s">
        <v>1221</v>
      </c>
      <c r="E66" s="6" t="s">
        <v>1215</v>
      </c>
      <c r="G66" s="4" t="s">
        <v>2614</v>
      </c>
      <c r="H66" s="4" t="s">
        <v>2625</v>
      </c>
      <c r="I66" s="2" t="s">
        <v>96</v>
      </c>
      <c r="J66" s="2" t="s">
        <v>951</v>
      </c>
      <c r="L66" s="2" t="s">
        <v>1380</v>
      </c>
      <c r="N66" s="4" t="s">
        <v>2612</v>
      </c>
      <c r="O66" s="4" t="s">
        <v>2624</v>
      </c>
      <c r="P66" s="2" t="s">
        <v>733</v>
      </c>
      <c r="Q66" s="2" t="s">
        <v>951</v>
      </c>
      <c r="S66" s="2" t="s">
        <v>1379</v>
      </c>
      <c r="U66" s="4" t="s">
        <v>2611</v>
      </c>
      <c r="V66" s="4" t="s">
        <v>2623</v>
      </c>
      <c r="W66" s="2" t="s">
        <v>1378</v>
      </c>
      <c r="X66" s="2" t="s">
        <v>951</v>
      </c>
      <c r="Z66" s="2" t="s">
        <v>1377</v>
      </c>
    </row>
    <row r="67" spans="1:26" x14ac:dyDescent="0.2">
      <c r="A67" s="4">
        <v>62</v>
      </c>
      <c r="B67" s="6" t="s">
        <v>1221</v>
      </c>
      <c r="E67" s="6" t="s">
        <v>1215</v>
      </c>
      <c r="G67" s="4" t="s">
        <v>2614</v>
      </c>
      <c r="H67" s="4" t="s">
        <v>2625</v>
      </c>
      <c r="I67" s="2" t="s">
        <v>99</v>
      </c>
      <c r="J67" s="2" t="s">
        <v>951</v>
      </c>
      <c r="L67" s="2" t="s">
        <v>2603</v>
      </c>
      <c r="N67" s="4" t="s">
        <v>2612</v>
      </c>
      <c r="O67" s="4" t="s">
        <v>2624</v>
      </c>
      <c r="P67" s="2" t="s">
        <v>734</v>
      </c>
      <c r="Q67" s="2" t="s">
        <v>951</v>
      </c>
      <c r="S67" s="2" t="s">
        <v>2602</v>
      </c>
      <c r="U67" s="4" t="s">
        <v>2611</v>
      </c>
      <c r="V67" s="4" t="s">
        <v>2623</v>
      </c>
      <c r="W67" s="2" t="s">
        <v>1376</v>
      </c>
      <c r="X67" s="2" t="s">
        <v>951</v>
      </c>
      <c r="Z67" s="2" t="s">
        <v>2601</v>
      </c>
    </row>
    <row r="68" spans="1:26" x14ac:dyDescent="0.2">
      <c r="A68" s="4">
        <v>63</v>
      </c>
      <c r="E68" s="6" t="s">
        <v>1215</v>
      </c>
      <c r="G68" s="4" t="s">
        <v>2614</v>
      </c>
      <c r="H68" s="4" t="s">
        <v>2625</v>
      </c>
      <c r="I68" s="2" t="s">
        <v>101</v>
      </c>
      <c r="J68" s="2" t="s">
        <v>956</v>
      </c>
      <c r="N68" s="4" t="s">
        <v>2612</v>
      </c>
      <c r="O68" s="4" t="s">
        <v>2624</v>
      </c>
      <c r="P68" s="2" t="s">
        <v>735</v>
      </c>
      <c r="Q68" s="2" t="s">
        <v>956</v>
      </c>
      <c r="U68" s="4" t="s">
        <v>2611</v>
      </c>
      <c r="V68" s="4" t="s">
        <v>2623</v>
      </c>
      <c r="W68" s="2" t="s">
        <v>1294</v>
      </c>
      <c r="X68" s="2" t="s">
        <v>956</v>
      </c>
    </row>
    <row r="69" spans="1:26" ht="63.75" x14ac:dyDescent="0.2">
      <c r="A69" s="4">
        <v>64</v>
      </c>
      <c r="D69" s="6" t="s">
        <v>950</v>
      </c>
      <c r="E69" s="6" t="s">
        <v>1215</v>
      </c>
      <c r="G69" s="4" t="s">
        <v>2614</v>
      </c>
      <c r="H69" s="4" t="s">
        <v>2625</v>
      </c>
      <c r="I69" s="2" t="s">
        <v>104</v>
      </c>
      <c r="J69" s="2" t="s">
        <v>1698</v>
      </c>
      <c r="N69" s="4" t="s">
        <v>2612</v>
      </c>
      <c r="O69" s="4" t="s">
        <v>2624</v>
      </c>
      <c r="P69" s="2" t="s">
        <v>736</v>
      </c>
      <c r="Q69" s="2" t="s">
        <v>1697</v>
      </c>
      <c r="U69" s="4" t="s">
        <v>2611</v>
      </c>
      <c r="V69" s="4" t="s">
        <v>2623</v>
      </c>
      <c r="W69" s="2" t="s">
        <v>1595</v>
      </c>
      <c r="X69" s="2" t="s">
        <v>1697</v>
      </c>
    </row>
    <row r="70" spans="1:26" ht="76.5" x14ac:dyDescent="0.2">
      <c r="A70" s="4">
        <v>65</v>
      </c>
      <c r="D70" s="6" t="s">
        <v>950</v>
      </c>
      <c r="E70" s="6" t="s">
        <v>1215</v>
      </c>
      <c r="G70" s="4" t="s">
        <v>2614</v>
      </c>
      <c r="H70" s="4" t="s">
        <v>2625</v>
      </c>
      <c r="I70" s="2" t="s">
        <v>107</v>
      </c>
      <c r="J70" s="2" t="s">
        <v>1349</v>
      </c>
      <c r="L70" s="2" t="s">
        <v>1869</v>
      </c>
      <c r="N70" s="4" t="s">
        <v>2612</v>
      </c>
      <c r="O70" s="4" t="s">
        <v>2624</v>
      </c>
      <c r="P70" s="2" t="s">
        <v>1589</v>
      </c>
      <c r="Q70" s="2" t="s">
        <v>1349</v>
      </c>
      <c r="S70" s="2" t="s">
        <v>2810</v>
      </c>
      <c r="U70" s="4" t="s">
        <v>2611</v>
      </c>
      <c r="V70" s="4" t="s">
        <v>2623</v>
      </c>
      <c r="W70" s="2" t="s">
        <v>1587</v>
      </c>
      <c r="X70" s="2" t="s">
        <v>1349</v>
      </c>
      <c r="Z70" s="2" t="s">
        <v>2011</v>
      </c>
    </row>
    <row r="71" spans="1:26" x14ac:dyDescent="0.2">
      <c r="A71" s="4">
        <v>66</v>
      </c>
      <c r="D71" s="6" t="s">
        <v>950</v>
      </c>
      <c r="E71" s="6" t="s">
        <v>1215</v>
      </c>
      <c r="G71" s="4" t="s">
        <v>2614</v>
      </c>
      <c r="H71" s="4" t="s">
        <v>2625</v>
      </c>
      <c r="I71" s="2" t="s">
        <v>1866</v>
      </c>
      <c r="J71" s="2" t="s">
        <v>1349</v>
      </c>
      <c r="L71" s="2" t="s">
        <v>1865</v>
      </c>
      <c r="N71" s="4" t="s">
        <v>2612</v>
      </c>
      <c r="O71" s="4" t="s">
        <v>2624</v>
      </c>
      <c r="P71" s="2" t="s">
        <v>1863</v>
      </c>
      <c r="Q71" s="2" t="s">
        <v>1349</v>
      </c>
      <c r="S71" s="2" t="s">
        <v>1862</v>
      </c>
      <c r="U71" s="4" t="s">
        <v>2611</v>
      </c>
      <c r="V71" s="4" t="s">
        <v>2623</v>
      </c>
      <c r="W71" s="2" t="s">
        <v>1860</v>
      </c>
      <c r="X71" s="2" t="s">
        <v>1349</v>
      </c>
      <c r="Z71" s="2" t="s">
        <v>2223</v>
      </c>
    </row>
    <row r="72" spans="1:26" ht="25.5" x14ac:dyDescent="0.2">
      <c r="A72" s="4">
        <v>67</v>
      </c>
      <c r="C72" s="6" t="s">
        <v>950</v>
      </c>
      <c r="E72" s="6" t="s">
        <v>1215</v>
      </c>
      <c r="G72" s="4" t="s">
        <v>2614</v>
      </c>
      <c r="H72" s="4" t="s">
        <v>137</v>
      </c>
      <c r="I72" s="2" t="s">
        <v>969</v>
      </c>
      <c r="J72" s="2" t="s">
        <v>2622</v>
      </c>
      <c r="L72" s="2" t="s">
        <v>1228</v>
      </c>
      <c r="N72" s="4" t="s">
        <v>2612</v>
      </c>
      <c r="O72" s="4" t="s">
        <v>749</v>
      </c>
      <c r="P72" s="2" t="s">
        <v>1319</v>
      </c>
      <c r="Q72" s="2" t="s">
        <v>2621</v>
      </c>
      <c r="S72" s="2" t="s">
        <v>1225</v>
      </c>
      <c r="U72" s="4" t="s">
        <v>2611</v>
      </c>
      <c r="V72" s="4" t="s">
        <v>749</v>
      </c>
      <c r="W72" s="2" t="s">
        <v>1319</v>
      </c>
      <c r="X72" s="2" t="s">
        <v>2620</v>
      </c>
      <c r="Z72" s="2" t="s">
        <v>1222</v>
      </c>
    </row>
    <row r="73" spans="1:26" x14ac:dyDescent="0.2">
      <c r="A73" s="4">
        <v>68</v>
      </c>
      <c r="B73" s="6" t="s">
        <v>1221</v>
      </c>
      <c r="E73" s="6" t="s">
        <v>1215</v>
      </c>
      <c r="G73" s="4" t="s">
        <v>2614</v>
      </c>
      <c r="H73" s="4" t="s">
        <v>137</v>
      </c>
      <c r="I73" s="2" t="s">
        <v>96</v>
      </c>
      <c r="J73" s="2" t="s">
        <v>951</v>
      </c>
      <c r="L73" s="2" t="s">
        <v>1380</v>
      </c>
      <c r="N73" s="4" t="s">
        <v>2612</v>
      </c>
      <c r="O73" s="4" t="s">
        <v>749</v>
      </c>
      <c r="P73" s="2" t="s">
        <v>733</v>
      </c>
      <c r="Q73" s="2" t="s">
        <v>951</v>
      </c>
      <c r="S73" s="2" t="s">
        <v>1379</v>
      </c>
      <c r="U73" s="4" t="s">
        <v>2611</v>
      </c>
      <c r="V73" s="4" t="s">
        <v>749</v>
      </c>
      <c r="W73" s="2" t="s">
        <v>1378</v>
      </c>
      <c r="X73" s="2" t="s">
        <v>951</v>
      </c>
      <c r="Z73" s="2" t="s">
        <v>1377</v>
      </c>
    </row>
    <row r="74" spans="1:26" x14ac:dyDescent="0.2">
      <c r="A74" s="4">
        <v>69</v>
      </c>
      <c r="B74" s="6" t="s">
        <v>1221</v>
      </c>
      <c r="E74" s="6" t="s">
        <v>1215</v>
      </c>
      <c r="G74" s="4" t="s">
        <v>2614</v>
      </c>
      <c r="H74" s="4" t="s">
        <v>137</v>
      </c>
      <c r="I74" s="2" t="s">
        <v>121</v>
      </c>
      <c r="J74" s="2" t="s">
        <v>951</v>
      </c>
      <c r="L74" s="2" t="s">
        <v>2603</v>
      </c>
      <c r="N74" s="4" t="s">
        <v>2612</v>
      </c>
      <c r="O74" s="4" t="s">
        <v>749</v>
      </c>
      <c r="P74" s="2" t="s">
        <v>742</v>
      </c>
      <c r="Q74" s="2" t="s">
        <v>951</v>
      </c>
      <c r="S74" s="2" t="s">
        <v>2602</v>
      </c>
      <c r="U74" s="4" t="s">
        <v>2611</v>
      </c>
      <c r="V74" s="4" t="s">
        <v>749</v>
      </c>
      <c r="W74" s="2" t="s">
        <v>742</v>
      </c>
      <c r="X74" s="2" t="s">
        <v>951</v>
      </c>
      <c r="Z74" s="2" t="s">
        <v>2601</v>
      </c>
    </row>
    <row r="75" spans="1:26" x14ac:dyDescent="0.2">
      <c r="A75" s="4">
        <v>70</v>
      </c>
      <c r="B75" s="6" t="s">
        <v>6</v>
      </c>
      <c r="E75" s="6" t="s">
        <v>1215</v>
      </c>
      <c r="G75" s="4" t="s">
        <v>2614</v>
      </c>
      <c r="H75" s="4" t="s">
        <v>137</v>
      </c>
      <c r="I75" s="2" t="s">
        <v>123</v>
      </c>
      <c r="J75" s="2" t="s">
        <v>1220</v>
      </c>
      <c r="N75" s="4" t="s">
        <v>2612</v>
      </c>
      <c r="O75" s="4" t="s">
        <v>749</v>
      </c>
      <c r="P75" s="2" t="s">
        <v>123</v>
      </c>
      <c r="Q75" s="2" t="s">
        <v>1218</v>
      </c>
      <c r="U75" s="4" t="s">
        <v>2611</v>
      </c>
      <c r="V75" s="4" t="s">
        <v>749</v>
      </c>
      <c r="W75" s="2" t="s">
        <v>1247</v>
      </c>
      <c r="X75" s="2" t="s">
        <v>1218</v>
      </c>
    </row>
    <row r="76" spans="1:26" x14ac:dyDescent="0.2">
      <c r="A76" s="4">
        <v>71</v>
      </c>
      <c r="E76" s="6" t="s">
        <v>1215</v>
      </c>
      <c r="G76" s="4" t="s">
        <v>2614</v>
      </c>
      <c r="H76" s="4" t="s">
        <v>137</v>
      </c>
      <c r="I76" s="2" t="s">
        <v>541</v>
      </c>
      <c r="J76" s="2" t="s">
        <v>314</v>
      </c>
      <c r="N76" s="4" t="s">
        <v>2612</v>
      </c>
      <c r="O76" s="4" t="s">
        <v>749</v>
      </c>
      <c r="P76" s="2" t="s">
        <v>875</v>
      </c>
      <c r="Q76" s="2" t="s">
        <v>803</v>
      </c>
      <c r="U76" s="4" t="s">
        <v>2611</v>
      </c>
      <c r="V76" s="4" t="s">
        <v>749</v>
      </c>
      <c r="W76" s="2" t="s">
        <v>875</v>
      </c>
      <c r="X76" s="2" t="s">
        <v>1497</v>
      </c>
    </row>
    <row r="77" spans="1:26" x14ac:dyDescent="0.2">
      <c r="A77" s="4">
        <v>72</v>
      </c>
      <c r="D77" s="6" t="s">
        <v>950</v>
      </c>
      <c r="E77" s="6" t="s">
        <v>1215</v>
      </c>
      <c r="G77" s="4" t="s">
        <v>2614</v>
      </c>
      <c r="H77" s="4" t="s">
        <v>137</v>
      </c>
      <c r="I77" s="2" t="s">
        <v>1855</v>
      </c>
      <c r="J77" s="2" t="s">
        <v>939</v>
      </c>
      <c r="N77" s="4" t="s">
        <v>2612</v>
      </c>
      <c r="O77" s="4" t="s">
        <v>749</v>
      </c>
      <c r="P77" s="2" t="s">
        <v>1853</v>
      </c>
      <c r="Q77" s="2" t="s">
        <v>1854</v>
      </c>
      <c r="U77" s="4" t="s">
        <v>2611</v>
      </c>
      <c r="V77" s="4" t="s">
        <v>749</v>
      </c>
      <c r="W77" s="2" t="s">
        <v>1853</v>
      </c>
      <c r="X77" s="2" t="s">
        <v>1852</v>
      </c>
    </row>
    <row r="78" spans="1:26" x14ac:dyDescent="0.2">
      <c r="A78" s="4">
        <v>73</v>
      </c>
      <c r="D78" s="6" t="s">
        <v>950</v>
      </c>
      <c r="E78" s="6" t="s">
        <v>1215</v>
      </c>
      <c r="G78" s="4" t="s">
        <v>2614</v>
      </c>
      <c r="H78" s="4" t="s">
        <v>137</v>
      </c>
      <c r="I78" s="2" t="s">
        <v>1851</v>
      </c>
      <c r="J78" s="2" t="s">
        <v>941</v>
      </c>
      <c r="N78" s="4" t="s">
        <v>2612</v>
      </c>
      <c r="O78" s="4" t="s">
        <v>749</v>
      </c>
      <c r="P78" s="2" t="s">
        <v>1850</v>
      </c>
      <c r="Q78" s="2" t="s">
        <v>1849</v>
      </c>
      <c r="U78" s="4" t="s">
        <v>2611</v>
      </c>
      <c r="V78" s="4" t="s">
        <v>749</v>
      </c>
      <c r="W78" s="2" t="s">
        <v>1848</v>
      </c>
      <c r="X78" s="2" t="s">
        <v>1847</v>
      </c>
    </row>
    <row r="79" spans="1:26" x14ac:dyDescent="0.2">
      <c r="A79" s="4">
        <v>74</v>
      </c>
      <c r="E79" s="6" t="s">
        <v>1215</v>
      </c>
      <c r="G79" s="4" t="s">
        <v>2614</v>
      </c>
      <c r="H79" s="4" t="s">
        <v>137</v>
      </c>
      <c r="I79" s="2" t="s">
        <v>2538</v>
      </c>
      <c r="J79" s="2" t="s">
        <v>939</v>
      </c>
      <c r="N79" s="4" t="s">
        <v>2612</v>
      </c>
      <c r="O79" s="4" t="s">
        <v>749</v>
      </c>
      <c r="P79" s="2" t="s">
        <v>2537</v>
      </c>
      <c r="Q79" s="2" t="s">
        <v>1854</v>
      </c>
      <c r="U79" s="4" t="s">
        <v>2611</v>
      </c>
      <c r="V79" s="4" t="s">
        <v>749</v>
      </c>
      <c r="W79" s="2" t="s">
        <v>2537</v>
      </c>
      <c r="X79" s="2" t="s">
        <v>1852</v>
      </c>
    </row>
    <row r="80" spans="1:26" x14ac:dyDescent="0.2">
      <c r="A80" s="4">
        <v>75</v>
      </c>
      <c r="E80" s="6" t="s">
        <v>1215</v>
      </c>
      <c r="G80" s="4" t="s">
        <v>2614</v>
      </c>
      <c r="H80" s="4" t="s">
        <v>137</v>
      </c>
      <c r="I80" s="2" t="s">
        <v>2536</v>
      </c>
      <c r="J80" s="2" t="s">
        <v>941</v>
      </c>
      <c r="N80" s="4" t="s">
        <v>2612</v>
      </c>
      <c r="O80" s="4" t="s">
        <v>749</v>
      </c>
      <c r="P80" s="2" t="s">
        <v>2535</v>
      </c>
      <c r="Q80" s="2" t="s">
        <v>1849</v>
      </c>
      <c r="U80" s="4" t="s">
        <v>2611</v>
      </c>
      <c r="V80" s="4" t="s">
        <v>749</v>
      </c>
      <c r="W80" s="2" t="s">
        <v>2534</v>
      </c>
      <c r="X80" s="2" t="s">
        <v>1847</v>
      </c>
    </row>
    <row r="81" spans="1:26" x14ac:dyDescent="0.2">
      <c r="A81" s="4">
        <v>76</v>
      </c>
      <c r="B81" s="6" t="s">
        <v>6</v>
      </c>
      <c r="C81" s="6" t="s">
        <v>950</v>
      </c>
      <c r="E81" s="6" t="s">
        <v>1215</v>
      </c>
      <c r="G81" s="4" t="s">
        <v>2614</v>
      </c>
      <c r="H81" s="4" t="s">
        <v>2613</v>
      </c>
      <c r="I81" s="2" t="s">
        <v>2619</v>
      </c>
      <c r="J81" s="2" t="s">
        <v>2618</v>
      </c>
      <c r="L81" s="2" t="s">
        <v>2531</v>
      </c>
      <c r="N81" s="4" t="s">
        <v>2612</v>
      </c>
      <c r="O81" s="4" t="s">
        <v>2610</v>
      </c>
      <c r="P81" s="2" t="s">
        <v>2617</v>
      </c>
      <c r="Q81" s="2" t="s">
        <v>2615</v>
      </c>
      <c r="S81" s="2" t="s">
        <v>2529</v>
      </c>
      <c r="U81" s="4" t="s">
        <v>2611</v>
      </c>
      <c r="V81" s="4" t="s">
        <v>2610</v>
      </c>
      <c r="W81" s="2" t="s">
        <v>2616</v>
      </c>
      <c r="X81" s="2" t="s">
        <v>2615</v>
      </c>
      <c r="Z81" s="2" t="s">
        <v>2526</v>
      </c>
    </row>
    <row r="82" spans="1:26" x14ac:dyDescent="0.2">
      <c r="A82" s="4">
        <v>77</v>
      </c>
      <c r="E82" s="6" t="s">
        <v>1215</v>
      </c>
      <c r="G82" s="4" t="s">
        <v>2614</v>
      </c>
      <c r="H82" s="4" t="s">
        <v>2613</v>
      </c>
      <c r="I82" s="2" t="s">
        <v>1219</v>
      </c>
      <c r="J82" s="2" t="s">
        <v>1220</v>
      </c>
      <c r="N82" s="4" t="s">
        <v>2612</v>
      </c>
      <c r="O82" s="4" t="s">
        <v>2610</v>
      </c>
      <c r="P82" s="2" t="s">
        <v>1219</v>
      </c>
      <c r="Q82" s="2" t="s">
        <v>1218</v>
      </c>
      <c r="U82" s="4" t="s">
        <v>2611</v>
      </c>
      <c r="V82" s="4" t="s">
        <v>2610</v>
      </c>
      <c r="W82" s="2" t="s">
        <v>1219</v>
      </c>
      <c r="X82" s="2" t="s">
        <v>1218</v>
      </c>
    </row>
    <row r="83" spans="1:26" x14ac:dyDescent="0.2">
      <c r="A83" s="4">
        <v>78</v>
      </c>
      <c r="D83" s="6" t="s">
        <v>950</v>
      </c>
      <c r="E83" s="6" t="s">
        <v>1215</v>
      </c>
      <c r="G83" s="4" t="s">
        <v>2614</v>
      </c>
      <c r="H83" s="4" t="s">
        <v>2613</v>
      </c>
      <c r="I83" s="2" t="s">
        <v>1217</v>
      </c>
      <c r="J83" s="2" t="s">
        <v>933</v>
      </c>
      <c r="K83" s="3">
        <v>100</v>
      </c>
      <c r="N83" s="4" t="s">
        <v>2612</v>
      </c>
      <c r="O83" s="4" t="s">
        <v>2610</v>
      </c>
      <c r="P83" s="2" t="s">
        <v>1217</v>
      </c>
      <c r="Q83" s="2" t="s">
        <v>933</v>
      </c>
      <c r="R83" s="3">
        <v>100</v>
      </c>
      <c r="U83" s="4" t="s">
        <v>2611</v>
      </c>
      <c r="V83" s="4" t="s">
        <v>2610</v>
      </c>
      <c r="W83" s="2" t="s">
        <v>1217</v>
      </c>
      <c r="X83" s="2" t="s">
        <v>1216</v>
      </c>
      <c r="Y83" s="3">
        <v>100</v>
      </c>
    </row>
    <row r="84" spans="1:26" x14ac:dyDescent="0.2">
      <c r="A84" s="4">
        <v>79</v>
      </c>
      <c r="D84" s="6" t="s">
        <v>950</v>
      </c>
      <c r="E84" s="6" t="s">
        <v>1215</v>
      </c>
      <c r="G84" s="4" t="s">
        <v>2614</v>
      </c>
      <c r="H84" s="4" t="s">
        <v>2613</v>
      </c>
      <c r="I84" s="2" t="s">
        <v>1285</v>
      </c>
      <c r="J84" s="2" t="s">
        <v>1199</v>
      </c>
      <c r="K84" s="3" t="s">
        <v>86</v>
      </c>
      <c r="N84" s="4" t="s">
        <v>2612</v>
      </c>
      <c r="O84" s="4" t="s">
        <v>2610</v>
      </c>
      <c r="P84" s="2" t="s">
        <v>1285</v>
      </c>
      <c r="Q84" s="2" t="s">
        <v>1199</v>
      </c>
      <c r="R84" s="3" t="s">
        <v>86</v>
      </c>
      <c r="U84" s="4" t="s">
        <v>2611</v>
      </c>
      <c r="V84" s="4" t="s">
        <v>2610</v>
      </c>
      <c r="W84" s="2" t="s">
        <v>1285</v>
      </c>
      <c r="X84" s="2" t="s">
        <v>1199</v>
      </c>
      <c r="Y84" s="3" t="s">
        <v>86</v>
      </c>
    </row>
    <row r="85" spans="1:26" x14ac:dyDescent="0.2">
      <c r="A85" s="4">
        <v>80</v>
      </c>
      <c r="D85" s="6" t="s">
        <v>950</v>
      </c>
      <c r="E85" s="6" t="s">
        <v>1215</v>
      </c>
      <c r="G85" s="4" t="s">
        <v>2614</v>
      </c>
      <c r="H85" s="4" t="s">
        <v>2613</v>
      </c>
      <c r="I85" s="2" t="s">
        <v>1283</v>
      </c>
      <c r="J85" s="2" t="s">
        <v>1200</v>
      </c>
      <c r="K85" s="3" t="s">
        <v>90</v>
      </c>
      <c r="N85" s="4" t="s">
        <v>2612</v>
      </c>
      <c r="O85" s="4" t="s">
        <v>2610</v>
      </c>
      <c r="P85" s="2" t="s">
        <v>1283</v>
      </c>
      <c r="Q85" s="2" t="s">
        <v>1200</v>
      </c>
      <c r="R85" s="3" t="s">
        <v>90</v>
      </c>
      <c r="U85" s="4" t="s">
        <v>2611</v>
      </c>
      <c r="V85" s="4" t="s">
        <v>2610</v>
      </c>
      <c r="W85" s="2" t="s">
        <v>1283</v>
      </c>
      <c r="X85" s="2" t="s">
        <v>1200</v>
      </c>
      <c r="Y85" s="3" t="s">
        <v>90</v>
      </c>
    </row>
    <row r="86" spans="1:26" x14ac:dyDescent="0.2">
      <c r="A86" s="4">
        <v>81</v>
      </c>
      <c r="B86" s="6" t="s">
        <v>1221</v>
      </c>
      <c r="E86" s="6" t="s">
        <v>1215</v>
      </c>
      <c r="G86" s="4" t="s">
        <v>2573</v>
      </c>
      <c r="H86" s="4" t="s">
        <v>2609</v>
      </c>
      <c r="I86" s="2" t="s">
        <v>96</v>
      </c>
      <c r="J86" s="2" t="s">
        <v>951</v>
      </c>
      <c r="L86" s="2" t="s">
        <v>1380</v>
      </c>
      <c r="N86" s="4" t="s">
        <v>2571</v>
      </c>
      <c r="O86" s="4" t="s">
        <v>2608</v>
      </c>
      <c r="P86" s="2" t="s">
        <v>733</v>
      </c>
      <c r="Q86" s="2" t="s">
        <v>951</v>
      </c>
      <c r="S86" s="2" t="s">
        <v>1379</v>
      </c>
      <c r="U86" s="4" t="s">
        <v>2570</v>
      </c>
      <c r="V86" s="4" t="s">
        <v>2607</v>
      </c>
      <c r="W86" s="2" t="s">
        <v>1378</v>
      </c>
      <c r="X86" s="2" t="s">
        <v>951</v>
      </c>
      <c r="Z86" s="2" t="s">
        <v>1377</v>
      </c>
    </row>
    <row r="87" spans="1:26" x14ac:dyDescent="0.2">
      <c r="A87" s="4">
        <v>82</v>
      </c>
      <c r="B87" s="6" t="s">
        <v>1221</v>
      </c>
      <c r="E87" s="6" t="s">
        <v>1215</v>
      </c>
      <c r="G87" s="4" t="s">
        <v>2573</v>
      </c>
      <c r="H87" s="4" t="s">
        <v>2609</v>
      </c>
      <c r="I87" s="2" t="s">
        <v>99</v>
      </c>
      <c r="J87" s="2" t="s">
        <v>951</v>
      </c>
      <c r="L87" s="2" t="s">
        <v>1599</v>
      </c>
      <c r="N87" s="4" t="s">
        <v>2571</v>
      </c>
      <c r="O87" s="4" t="s">
        <v>2608</v>
      </c>
      <c r="P87" s="2" t="s">
        <v>734</v>
      </c>
      <c r="Q87" s="2" t="s">
        <v>951</v>
      </c>
      <c r="S87" s="2" t="s">
        <v>2811</v>
      </c>
      <c r="U87" s="4" t="s">
        <v>2570</v>
      </c>
      <c r="V87" s="4" t="s">
        <v>2607</v>
      </c>
      <c r="W87" s="2" t="s">
        <v>1376</v>
      </c>
      <c r="X87" s="2" t="s">
        <v>951</v>
      </c>
      <c r="Z87" s="2" t="s">
        <v>1598</v>
      </c>
    </row>
    <row r="88" spans="1:26" x14ac:dyDescent="0.2">
      <c r="A88" s="4">
        <v>83</v>
      </c>
      <c r="E88" s="6" t="s">
        <v>1215</v>
      </c>
      <c r="G88" s="4" t="s">
        <v>2573</v>
      </c>
      <c r="H88" s="4" t="s">
        <v>2609</v>
      </c>
      <c r="I88" s="2" t="s">
        <v>101</v>
      </c>
      <c r="J88" s="2" t="s">
        <v>956</v>
      </c>
      <c r="N88" s="4" t="s">
        <v>2571</v>
      </c>
      <c r="O88" s="4" t="s">
        <v>2608</v>
      </c>
      <c r="P88" s="2" t="s">
        <v>735</v>
      </c>
      <c r="Q88" s="2" t="s">
        <v>956</v>
      </c>
      <c r="U88" s="4" t="s">
        <v>2570</v>
      </c>
      <c r="V88" s="4" t="s">
        <v>2607</v>
      </c>
      <c r="W88" s="2" t="s">
        <v>1294</v>
      </c>
      <c r="X88" s="2" t="s">
        <v>956</v>
      </c>
    </row>
    <row r="89" spans="1:26" ht="63.75" x14ac:dyDescent="0.2">
      <c r="A89" s="4">
        <v>84</v>
      </c>
      <c r="D89" s="6" t="s">
        <v>950</v>
      </c>
      <c r="E89" s="6" t="s">
        <v>1215</v>
      </c>
      <c r="G89" s="4" t="s">
        <v>2573</v>
      </c>
      <c r="H89" s="4" t="s">
        <v>2609</v>
      </c>
      <c r="I89" s="2" t="s">
        <v>104</v>
      </c>
      <c r="J89" s="2" t="s">
        <v>1698</v>
      </c>
      <c r="N89" s="4" t="s">
        <v>2571</v>
      </c>
      <c r="O89" s="4" t="s">
        <v>2608</v>
      </c>
      <c r="P89" s="2" t="s">
        <v>736</v>
      </c>
      <c r="Q89" s="2" t="s">
        <v>1697</v>
      </c>
      <c r="U89" s="4" t="s">
        <v>2570</v>
      </c>
      <c r="V89" s="4" t="s">
        <v>2607</v>
      </c>
      <c r="W89" s="2" t="s">
        <v>1595</v>
      </c>
      <c r="X89" s="2" t="s">
        <v>1697</v>
      </c>
    </row>
    <row r="90" spans="1:26" ht="76.5" x14ac:dyDescent="0.2">
      <c r="A90" s="4">
        <v>85</v>
      </c>
      <c r="D90" s="6" t="s">
        <v>950</v>
      </c>
      <c r="E90" s="6" t="s">
        <v>1215</v>
      </c>
      <c r="G90" s="4" t="s">
        <v>2573</v>
      </c>
      <c r="H90" s="4" t="s">
        <v>2609</v>
      </c>
      <c r="I90" s="2" t="s">
        <v>107</v>
      </c>
      <c r="J90" s="2" t="s">
        <v>1349</v>
      </c>
      <c r="L90" s="2" t="s">
        <v>1869</v>
      </c>
      <c r="N90" s="4" t="s">
        <v>2571</v>
      </c>
      <c r="O90" s="4" t="s">
        <v>2608</v>
      </c>
      <c r="P90" s="2" t="s">
        <v>1589</v>
      </c>
      <c r="Q90" s="2" t="s">
        <v>1349</v>
      </c>
      <c r="S90" s="2" t="s">
        <v>2810</v>
      </c>
      <c r="U90" s="4" t="s">
        <v>2570</v>
      </c>
      <c r="V90" s="4" t="s">
        <v>2607</v>
      </c>
      <c r="W90" s="2" t="s">
        <v>1587</v>
      </c>
      <c r="X90" s="2" t="s">
        <v>1349</v>
      </c>
      <c r="Z90" s="2" t="s">
        <v>2011</v>
      </c>
    </row>
    <row r="91" spans="1:26" x14ac:dyDescent="0.2">
      <c r="A91" s="4">
        <v>86</v>
      </c>
      <c r="D91" s="6" t="s">
        <v>950</v>
      </c>
      <c r="E91" s="6" t="s">
        <v>1215</v>
      </c>
      <c r="G91" s="4" t="s">
        <v>2573</v>
      </c>
      <c r="H91" s="4" t="s">
        <v>2609</v>
      </c>
      <c r="I91" s="2" t="s">
        <v>1866</v>
      </c>
      <c r="J91" s="2" t="s">
        <v>1349</v>
      </c>
      <c r="L91" s="2" t="s">
        <v>1865</v>
      </c>
      <c r="N91" s="4" t="s">
        <v>2571</v>
      </c>
      <c r="O91" s="4" t="s">
        <v>2608</v>
      </c>
      <c r="P91" s="2" t="s">
        <v>1863</v>
      </c>
      <c r="Q91" s="2" t="s">
        <v>1349</v>
      </c>
      <c r="S91" s="2" t="s">
        <v>1862</v>
      </c>
      <c r="U91" s="4" t="s">
        <v>2570</v>
      </c>
      <c r="V91" s="4" t="s">
        <v>2607</v>
      </c>
      <c r="W91" s="2" t="s">
        <v>1860</v>
      </c>
      <c r="X91" s="2" t="s">
        <v>1349</v>
      </c>
      <c r="Z91" s="2" t="s">
        <v>2223</v>
      </c>
    </row>
    <row r="92" spans="1:26" ht="25.5" x14ac:dyDescent="0.2">
      <c r="A92" s="4">
        <v>87</v>
      </c>
      <c r="C92" s="6" t="s">
        <v>950</v>
      </c>
      <c r="E92" s="6" t="s">
        <v>1215</v>
      </c>
      <c r="G92" s="4" t="s">
        <v>2573</v>
      </c>
      <c r="H92" s="4" t="s">
        <v>145</v>
      </c>
      <c r="I92" s="2" t="s">
        <v>969</v>
      </c>
      <c r="J92" s="2" t="s">
        <v>2606</v>
      </c>
      <c r="L92" s="2" t="s">
        <v>1228</v>
      </c>
      <c r="N92" s="4" t="s">
        <v>2571</v>
      </c>
      <c r="O92" s="4" t="s">
        <v>754</v>
      </c>
      <c r="P92" s="2" t="s">
        <v>1319</v>
      </c>
      <c r="Q92" s="2" t="s">
        <v>2605</v>
      </c>
      <c r="S92" s="2" t="s">
        <v>1225</v>
      </c>
      <c r="U92" s="4" t="s">
        <v>2570</v>
      </c>
      <c r="V92" s="4" t="s">
        <v>754</v>
      </c>
      <c r="W92" s="2" t="s">
        <v>1319</v>
      </c>
      <c r="X92" s="2" t="s">
        <v>2604</v>
      </c>
      <c r="Z92" s="2" t="s">
        <v>1222</v>
      </c>
    </row>
    <row r="93" spans="1:26" x14ac:dyDescent="0.2">
      <c r="A93" s="4">
        <v>88</v>
      </c>
      <c r="B93" s="6" t="s">
        <v>1221</v>
      </c>
      <c r="E93" s="6" t="s">
        <v>1215</v>
      </c>
      <c r="G93" s="4" t="s">
        <v>2573</v>
      </c>
      <c r="H93" s="4" t="s">
        <v>145</v>
      </c>
      <c r="I93" s="2" t="s">
        <v>96</v>
      </c>
      <c r="J93" s="2" t="s">
        <v>951</v>
      </c>
      <c r="L93" s="2" t="s">
        <v>1380</v>
      </c>
      <c r="N93" s="4" t="s">
        <v>2571</v>
      </c>
      <c r="O93" s="4" t="s">
        <v>754</v>
      </c>
      <c r="P93" s="2" t="s">
        <v>733</v>
      </c>
      <c r="Q93" s="2" t="s">
        <v>951</v>
      </c>
      <c r="S93" s="2" t="s">
        <v>1379</v>
      </c>
      <c r="U93" s="4" t="s">
        <v>2570</v>
      </c>
      <c r="V93" s="4" t="s">
        <v>754</v>
      </c>
      <c r="W93" s="2" t="s">
        <v>1378</v>
      </c>
      <c r="X93" s="2" t="s">
        <v>951</v>
      </c>
      <c r="Z93" s="2" t="s">
        <v>1377</v>
      </c>
    </row>
    <row r="94" spans="1:26" x14ac:dyDescent="0.2">
      <c r="A94" s="4">
        <v>89</v>
      </c>
      <c r="B94" s="6" t="s">
        <v>1221</v>
      </c>
      <c r="E94" s="6" t="s">
        <v>1215</v>
      </c>
      <c r="G94" s="4" t="s">
        <v>2573</v>
      </c>
      <c r="H94" s="4" t="s">
        <v>145</v>
      </c>
      <c r="I94" s="2" t="s">
        <v>121</v>
      </c>
      <c r="J94" s="2" t="s">
        <v>951</v>
      </c>
      <c r="L94" s="2" t="s">
        <v>2603</v>
      </c>
      <c r="N94" s="4" t="s">
        <v>2571</v>
      </c>
      <c r="O94" s="4" t="s">
        <v>754</v>
      </c>
      <c r="P94" s="2" t="s">
        <v>742</v>
      </c>
      <c r="Q94" s="2" t="s">
        <v>951</v>
      </c>
      <c r="S94" s="2" t="s">
        <v>2602</v>
      </c>
      <c r="U94" s="4" t="s">
        <v>2570</v>
      </c>
      <c r="V94" s="4" t="s">
        <v>754</v>
      </c>
      <c r="W94" s="2" t="s">
        <v>742</v>
      </c>
      <c r="X94" s="2" t="s">
        <v>951</v>
      </c>
      <c r="Z94" s="2" t="s">
        <v>2601</v>
      </c>
    </row>
    <row r="95" spans="1:26" x14ac:dyDescent="0.2">
      <c r="A95" s="4">
        <v>90</v>
      </c>
      <c r="E95" s="6" t="s">
        <v>1215</v>
      </c>
      <c r="G95" s="4" t="s">
        <v>2573</v>
      </c>
      <c r="H95" s="4" t="s">
        <v>145</v>
      </c>
      <c r="I95" s="2" t="s">
        <v>123</v>
      </c>
      <c r="J95" s="2" t="s">
        <v>1220</v>
      </c>
      <c r="N95" s="4" t="s">
        <v>2571</v>
      </c>
      <c r="O95" s="4" t="s">
        <v>754</v>
      </c>
      <c r="P95" s="2" t="s">
        <v>123</v>
      </c>
      <c r="Q95" s="2" t="s">
        <v>1218</v>
      </c>
      <c r="U95" s="4" t="s">
        <v>2570</v>
      </c>
      <c r="V95" s="4" t="s">
        <v>754</v>
      </c>
      <c r="W95" s="2" t="s">
        <v>1247</v>
      </c>
      <c r="X95" s="2" t="s">
        <v>1218</v>
      </c>
    </row>
    <row r="96" spans="1:26" x14ac:dyDescent="0.2">
      <c r="A96" s="4">
        <v>91</v>
      </c>
      <c r="D96" s="6" t="s">
        <v>950</v>
      </c>
      <c r="E96" s="6" t="s">
        <v>1215</v>
      </c>
      <c r="G96" s="4" t="s">
        <v>2573</v>
      </c>
      <c r="H96" s="4" t="s">
        <v>145</v>
      </c>
      <c r="I96" s="2" t="s">
        <v>541</v>
      </c>
      <c r="J96" s="2" t="s">
        <v>314</v>
      </c>
      <c r="N96" s="4" t="s">
        <v>2571</v>
      </c>
      <c r="O96" s="4" t="s">
        <v>754</v>
      </c>
      <c r="P96" s="2" t="s">
        <v>875</v>
      </c>
      <c r="Q96" s="2" t="s">
        <v>803</v>
      </c>
      <c r="U96" s="4" t="s">
        <v>2570</v>
      </c>
      <c r="V96" s="4" t="s">
        <v>754</v>
      </c>
      <c r="W96" s="2" t="s">
        <v>875</v>
      </c>
      <c r="X96" s="2" t="s">
        <v>1497</v>
      </c>
    </row>
    <row r="97" spans="1:26" x14ac:dyDescent="0.2">
      <c r="A97" s="4">
        <v>92</v>
      </c>
      <c r="E97" s="6" t="s">
        <v>1215</v>
      </c>
      <c r="G97" s="4" t="s">
        <v>2573</v>
      </c>
      <c r="H97" s="4" t="s">
        <v>145</v>
      </c>
      <c r="I97" s="2" t="s">
        <v>1855</v>
      </c>
      <c r="J97" s="2" t="s">
        <v>939</v>
      </c>
      <c r="N97" s="4" t="s">
        <v>2571</v>
      </c>
      <c r="O97" s="4" t="s">
        <v>754</v>
      </c>
      <c r="P97" s="2" t="s">
        <v>1853</v>
      </c>
      <c r="Q97" s="2" t="s">
        <v>1854</v>
      </c>
      <c r="U97" s="4" t="s">
        <v>2570</v>
      </c>
      <c r="V97" s="4" t="s">
        <v>754</v>
      </c>
      <c r="W97" s="2" t="s">
        <v>1853</v>
      </c>
      <c r="X97" s="2" t="s">
        <v>1852</v>
      </c>
    </row>
    <row r="98" spans="1:26" x14ac:dyDescent="0.2">
      <c r="A98" s="4">
        <v>93</v>
      </c>
      <c r="E98" s="6" t="s">
        <v>1215</v>
      </c>
      <c r="G98" s="4" t="s">
        <v>2573</v>
      </c>
      <c r="H98" s="4" t="s">
        <v>145</v>
      </c>
      <c r="I98" s="2" t="s">
        <v>1851</v>
      </c>
      <c r="J98" s="2" t="s">
        <v>941</v>
      </c>
      <c r="N98" s="4" t="s">
        <v>2571</v>
      </c>
      <c r="O98" s="4" t="s">
        <v>754</v>
      </c>
      <c r="P98" s="2" t="s">
        <v>1850</v>
      </c>
      <c r="Q98" s="2" t="s">
        <v>1849</v>
      </c>
      <c r="U98" s="4" t="s">
        <v>2570</v>
      </c>
      <c r="V98" s="4" t="s">
        <v>754</v>
      </c>
      <c r="W98" s="2" t="s">
        <v>1848</v>
      </c>
      <c r="X98" s="2" t="s">
        <v>1847</v>
      </c>
    </row>
    <row r="99" spans="1:26" x14ac:dyDescent="0.2">
      <c r="A99" s="4">
        <v>94</v>
      </c>
      <c r="D99" s="6" t="s">
        <v>950</v>
      </c>
      <c r="E99" s="6" t="s">
        <v>1215</v>
      </c>
      <c r="G99" s="4" t="s">
        <v>2573</v>
      </c>
      <c r="H99" s="4" t="s">
        <v>145</v>
      </c>
      <c r="I99" s="2" t="s">
        <v>2538</v>
      </c>
      <c r="J99" s="2" t="s">
        <v>939</v>
      </c>
      <c r="L99" s="2" t="s">
        <v>2563</v>
      </c>
      <c r="N99" s="4" t="s">
        <v>2571</v>
      </c>
      <c r="O99" s="4" t="s">
        <v>754</v>
      </c>
      <c r="P99" s="2" t="s">
        <v>2537</v>
      </c>
      <c r="Q99" s="2" t="s">
        <v>1854</v>
      </c>
      <c r="S99" s="2" t="s">
        <v>2562</v>
      </c>
      <c r="U99" s="4" t="s">
        <v>2570</v>
      </c>
      <c r="V99" s="4" t="s">
        <v>754</v>
      </c>
      <c r="W99" s="2" t="s">
        <v>2537</v>
      </c>
      <c r="X99" s="2" t="s">
        <v>1852</v>
      </c>
      <c r="Z99" s="2" t="s">
        <v>2561</v>
      </c>
    </row>
    <row r="100" spans="1:26" x14ac:dyDescent="0.2">
      <c r="A100" s="4">
        <v>95</v>
      </c>
      <c r="D100" s="6" t="s">
        <v>950</v>
      </c>
      <c r="E100" s="6" t="s">
        <v>1215</v>
      </c>
      <c r="G100" s="4" t="s">
        <v>2573</v>
      </c>
      <c r="H100" s="4" t="s">
        <v>145</v>
      </c>
      <c r="I100" s="2" t="s">
        <v>2536</v>
      </c>
      <c r="J100" s="2" t="s">
        <v>941</v>
      </c>
      <c r="L100" s="2" t="s">
        <v>2563</v>
      </c>
      <c r="N100" s="4" t="s">
        <v>2571</v>
      </c>
      <c r="O100" s="4" t="s">
        <v>754</v>
      </c>
      <c r="P100" s="2" t="s">
        <v>2535</v>
      </c>
      <c r="Q100" s="2" t="s">
        <v>1849</v>
      </c>
      <c r="S100" s="2" t="s">
        <v>2562</v>
      </c>
      <c r="U100" s="4" t="s">
        <v>2570</v>
      </c>
      <c r="V100" s="4" t="s">
        <v>754</v>
      </c>
      <c r="W100" s="2" t="s">
        <v>2534</v>
      </c>
      <c r="X100" s="2" t="s">
        <v>1847</v>
      </c>
      <c r="Z100" s="2" t="s">
        <v>2561</v>
      </c>
    </row>
    <row r="101" spans="1:26" ht="25.5" x14ac:dyDescent="0.2">
      <c r="A101" s="4">
        <v>96</v>
      </c>
      <c r="E101" s="6" t="s">
        <v>1215</v>
      </c>
      <c r="G101" s="4" t="s">
        <v>2573</v>
      </c>
      <c r="H101" s="4" t="s">
        <v>145</v>
      </c>
      <c r="I101" s="2" t="s">
        <v>2600</v>
      </c>
      <c r="J101" s="2" t="s">
        <v>2922</v>
      </c>
      <c r="N101" s="4" t="s">
        <v>2571</v>
      </c>
      <c r="O101" s="4" t="s">
        <v>754</v>
      </c>
      <c r="P101" s="2" t="s">
        <v>2599</v>
      </c>
      <c r="Q101" s="2" t="s">
        <v>2923</v>
      </c>
      <c r="U101" s="4" t="s">
        <v>2570</v>
      </c>
      <c r="V101" s="4" t="s">
        <v>754</v>
      </c>
      <c r="W101" s="2" t="s">
        <v>2598</v>
      </c>
      <c r="X101" s="2" t="s">
        <v>2924</v>
      </c>
    </row>
    <row r="102" spans="1:26" x14ac:dyDescent="0.2">
      <c r="A102" s="4">
        <v>97</v>
      </c>
      <c r="D102" s="6" t="s">
        <v>950</v>
      </c>
      <c r="E102" s="6" t="s">
        <v>1215</v>
      </c>
      <c r="G102" s="4" t="s">
        <v>2573</v>
      </c>
      <c r="H102" s="4" t="s">
        <v>145</v>
      </c>
      <c r="I102" s="2" t="s">
        <v>134</v>
      </c>
      <c r="J102" s="2" t="s">
        <v>39</v>
      </c>
      <c r="N102" s="4" t="s">
        <v>2571</v>
      </c>
      <c r="O102" s="4" t="s">
        <v>754</v>
      </c>
      <c r="P102" s="2" t="s">
        <v>748</v>
      </c>
      <c r="Q102" s="2" t="s">
        <v>1846</v>
      </c>
      <c r="U102" s="4" t="s">
        <v>2570</v>
      </c>
      <c r="V102" s="4" t="s">
        <v>754</v>
      </c>
      <c r="W102" s="2" t="s">
        <v>1845</v>
      </c>
      <c r="X102" s="2" t="s">
        <v>1844</v>
      </c>
    </row>
    <row r="103" spans="1:26" x14ac:dyDescent="0.2">
      <c r="A103" s="4">
        <v>98</v>
      </c>
      <c r="B103" s="6" t="s">
        <v>6</v>
      </c>
      <c r="C103" s="6" t="s">
        <v>950</v>
      </c>
      <c r="E103" s="6" t="s">
        <v>1215</v>
      </c>
      <c r="G103" s="4" t="s">
        <v>2573</v>
      </c>
      <c r="H103" s="4" t="s">
        <v>2594</v>
      </c>
      <c r="I103" s="2" t="s">
        <v>2597</v>
      </c>
      <c r="J103" s="2" t="s">
        <v>2591</v>
      </c>
      <c r="L103" s="2" t="s">
        <v>2531</v>
      </c>
      <c r="N103" s="4" t="s">
        <v>2571</v>
      </c>
      <c r="O103" s="4" t="s">
        <v>2593</v>
      </c>
      <c r="P103" s="2" t="s">
        <v>2596</v>
      </c>
      <c r="Q103" s="2" t="s">
        <v>2588</v>
      </c>
      <c r="S103" s="2" t="s">
        <v>2529</v>
      </c>
      <c r="U103" s="4" t="s">
        <v>2570</v>
      </c>
      <c r="V103" s="4" t="s">
        <v>2593</v>
      </c>
      <c r="W103" s="2" t="s">
        <v>2595</v>
      </c>
      <c r="X103" s="2" t="s">
        <v>2588</v>
      </c>
      <c r="Z103" s="2" t="s">
        <v>2526</v>
      </c>
    </row>
    <row r="104" spans="1:26" x14ac:dyDescent="0.2">
      <c r="A104" s="4">
        <v>99</v>
      </c>
      <c r="E104" s="6" t="s">
        <v>1215</v>
      </c>
      <c r="G104" s="4" t="s">
        <v>2573</v>
      </c>
      <c r="H104" s="4" t="s">
        <v>2594</v>
      </c>
      <c r="I104" s="2" t="s">
        <v>1219</v>
      </c>
      <c r="J104" s="2" t="s">
        <v>1220</v>
      </c>
      <c r="N104" s="4" t="s">
        <v>2571</v>
      </c>
      <c r="O104" s="4" t="s">
        <v>2593</v>
      </c>
      <c r="P104" s="2" t="s">
        <v>1219</v>
      </c>
      <c r="Q104" s="2" t="s">
        <v>1218</v>
      </c>
      <c r="U104" s="4" t="s">
        <v>2570</v>
      </c>
      <c r="V104" s="4" t="s">
        <v>2593</v>
      </c>
      <c r="W104" s="2" t="s">
        <v>1219</v>
      </c>
      <c r="X104" s="2" t="s">
        <v>1218</v>
      </c>
    </row>
    <row r="105" spans="1:26" x14ac:dyDescent="0.2">
      <c r="A105" s="4">
        <v>100</v>
      </c>
      <c r="D105" s="6" t="s">
        <v>950</v>
      </c>
      <c r="E105" s="6" t="s">
        <v>1215</v>
      </c>
      <c r="G105" s="4" t="s">
        <v>2573</v>
      </c>
      <c r="H105" s="4" t="s">
        <v>2594</v>
      </c>
      <c r="I105" s="2" t="s">
        <v>1217</v>
      </c>
      <c r="J105" s="2" t="s">
        <v>933</v>
      </c>
      <c r="K105" s="3">
        <v>100</v>
      </c>
      <c r="N105" s="4" t="s">
        <v>2571</v>
      </c>
      <c r="O105" s="4" t="s">
        <v>2593</v>
      </c>
      <c r="P105" s="2" t="s">
        <v>1217</v>
      </c>
      <c r="Q105" s="2" t="s">
        <v>933</v>
      </c>
      <c r="R105" s="3">
        <v>100</v>
      </c>
      <c r="U105" s="4" t="s">
        <v>2570</v>
      </c>
      <c r="V105" s="4" t="s">
        <v>2593</v>
      </c>
      <c r="W105" s="2" t="s">
        <v>1217</v>
      </c>
      <c r="X105" s="2" t="s">
        <v>1216</v>
      </c>
      <c r="Y105" s="3">
        <v>100</v>
      </c>
    </row>
    <row r="106" spans="1:26" x14ac:dyDescent="0.2">
      <c r="A106" s="4">
        <v>101</v>
      </c>
      <c r="D106" s="6" t="s">
        <v>950</v>
      </c>
      <c r="E106" s="6" t="s">
        <v>1215</v>
      </c>
      <c r="G106" s="4" t="s">
        <v>2573</v>
      </c>
      <c r="H106" s="4" t="s">
        <v>2594</v>
      </c>
      <c r="I106" s="2" t="s">
        <v>1285</v>
      </c>
      <c r="J106" s="2" t="s">
        <v>1199</v>
      </c>
      <c r="K106" s="3" t="s">
        <v>86</v>
      </c>
      <c r="N106" s="4" t="s">
        <v>2571</v>
      </c>
      <c r="O106" s="4" t="s">
        <v>2593</v>
      </c>
      <c r="P106" s="2" t="s">
        <v>1285</v>
      </c>
      <c r="Q106" s="2" t="s">
        <v>1199</v>
      </c>
      <c r="R106" s="3" t="s">
        <v>86</v>
      </c>
      <c r="U106" s="4" t="s">
        <v>2570</v>
      </c>
      <c r="V106" s="4" t="s">
        <v>2593</v>
      </c>
      <c r="W106" s="2" t="s">
        <v>1285</v>
      </c>
      <c r="X106" s="2" t="s">
        <v>1199</v>
      </c>
      <c r="Y106" s="3" t="s">
        <v>86</v>
      </c>
    </row>
    <row r="107" spans="1:26" x14ac:dyDescent="0.2">
      <c r="A107" s="4">
        <v>102</v>
      </c>
      <c r="D107" s="6" t="s">
        <v>950</v>
      </c>
      <c r="E107" s="6" t="s">
        <v>1215</v>
      </c>
      <c r="G107" s="4" t="s">
        <v>2573</v>
      </c>
      <c r="H107" s="4" t="s">
        <v>2594</v>
      </c>
      <c r="I107" s="2" t="s">
        <v>1283</v>
      </c>
      <c r="J107" s="2" t="s">
        <v>1200</v>
      </c>
      <c r="K107" s="3" t="s">
        <v>90</v>
      </c>
      <c r="N107" s="4" t="s">
        <v>2571</v>
      </c>
      <c r="O107" s="4" t="s">
        <v>2593</v>
      </c>
      <c r="P107" s="2" t="s">
        <v>1283</v>
      </c>
      <c r="Q107" s="2" t="s">
        <v>1200</v>
      </c>
      <c r="R107" s="3" t="s">
        <v>90</v>
      </c>
      <c r="U107" s="4" t="s">
        <v>2570</v>
      </c>
      <c r="V107" s="4" t="s">
        <v>2593</v>
      </c>
      <c r="W107" s="2" t="s">
        <v>1283</v>
      </c>
      <c r="X107" s="2" t="s">
        <v>1200</v>
      </c>
      <c r="Y107" s="3" t="s">
        <v>90</v>
      </c>
    </row>
    <row r="108" spans="1:26" x14ac:dyDescent="0.2">
      <c r="A108" s="4">
        <v>103</v>
      </c>
      <c r="B108" s="6" t="s">
        <v>6</v>
      </c>
      <c r="C108" s="6" t="s">
        <v>950</v>
      </c>
      <c r="E108" s="6" t="s">
        <v>1215</v>
      </c>
      <c r="G108" s="4" t="s">
        <v>2573</v>
      </c>
      <c r="H108" s="4" t="s">
        <v>2587</v>
      </c>
      <c r="I108" s="2" t="s">
        <v>2592</v>
      </c>
      <c r="J108" s="2" t="s">
        <v>2591</v>
      </c>
      <c r="L108" s="2" t="s">
        <v>1820</v>
      </c>
      <c r="N108" s="4" t="s">
        <v>2571</v>
      </c>
      <c r="O108" s="4" t="s">
        <v>2586</v>
      </c>
      <c r="P108" s="2" t="s">
        <v>2590</v>
      </c>
      <c r="Q108" s="2" t="s">
        <v>2588</v>
      </c>
      <c r="S108" s="2" t="s">
        <v>1817</v>
      </c>
      <c r="U108" s="4" t="s">
        <v>2570</v>
      </c>
      <c r="V108" s="4" t="s">
        <v>2585</v>
      </c>
      <c r="W108" s="2" t="s">
        <v>2589</v>
      </c>
      <c r="X108" s="2" t="s">
        <v>2588</v>
      </c>
      <c r="Z108" s="2" t="s">
        <v>1814</v>
      </c>
    </row>
    <row r="109" spans="1:26" x14ac:dyDescent="0.2">
      <c r="A109" s="4">
        <v>104</v>
      </c>
      <c r="D109" s="6" t="s">
        <v>950</v>
      </c>
      <c r="E109" s="6" t="s">
        <v>1215</v>
      </c>
      <c r="G109" s="4" t="s">
        <v>2573</v>
      </c>
      <c r="H109" s="4" t="s">
        <v>2587</v>
      </c>
      <c r="I109" s="2" t="s">
        <v>1217</v>
      </c>
      <c r="J109" s="2" t="s">
        <v>933</v>
      </c>
      <c r="K109" s="3">
        <v>0</v>
      </c>
      <c r="N109" s="4" t="s">
        <v>2571</v>
      </c>
      <c r="O109" s="4" t="s">
        <v>2586</v>
      </c>
      <c r="P109" s="2" t="s">
        <v>1217</v>
      </c>
      <c r="Q109" s="2" t="s">
        <v>933</v>
      </c>
      <c r="R109" s="3">
        <v>0</v>
      </c>
      <c r="U109" s="4" t="s">
        <v>2570</v>
      </c>
      <c r="V109" s="4" t="s">
        <v>2585</v>
      </c>
      <c r="W109" s="2" t="s">
        <v>1217</v>
      </c>
      <c r="X109" s="2" t="s">
        <v>1216</v>
      </c>
      <c r="Y109" s="3">
        <v>0</v>
      </c>
    </row>
    <row r="110" spans="1:26" x14ac:dyDescent="0.2">
      <c r="A110" s="4">
        <v>105</v>
      </c>
      <c r="B110" s="6" t="s">
        <v>1221</v>
      </c>
      <c r="E110" s="6" t="s">
        <v>1215</v>
      </c>
      <c r="G110" s="4" t="s">
        <v>2573</v>
      </c>
      <c r="H110" s="4" t="s">
        <v>2584</v>
      </c>
      <c r="I110" s="2" t="s">
        <v>96</v>
      </c>
      <c r="J110" s="2" t="s">
        <v>951</v>
      </c>
      <c r="L110" s="2" t="s">
        <v>1380</v>
      </c>
      <c r="N110" s="4" t="s">
        <v>2571</v>
      </c>
      <c r="O110" s="4" t="s">
        <v>2583</v>
      </c>
      <c r="P110" s="2" t="s">
        <v>733</v>
      </c>
      <c r="Q110" s="2" t="s">
        <v>951</v>
      </c>
      <c r="S110" s="2" t="s">
        <v>1379</v>
      </c>
      <c r="U110" s="4" t="s">
        <v>2570</v>
      </c>
      <c r="V110" s="4" t="s">
        <v>2582</v>
      </c>
      <c r="W110" s="2" t="s">
        <v>1378</v>
      </c>
      <c r="X110" s="2" t="s">
        <v>951</v>
      </c>
      <c r="Z110" s="2" t="s">
        <v>1377</v>
      </c>
    </row>
    <row r="111" spans="1:26" x14ac:dyDescent="0.2">
      <c r="A111" s="4">
        <v>106</v>
      </c>
      <c r="B111" s="6" t="s">
        <v>1221</v>
      </c>
      <c r="E111" s="6" t="s">
        <v>1215</v>
      </c>
      <c r="G111" s="4" t="s">
        <v>2573</v>
      </c>
      <c r="H111" s="4" t="s">
        <v>2584</v>
      </c>
      <c r="I111" s="2" t="s">
        <v>99</v>
      </c>
      <c r="J111" s="2" t="s">
        <v>951</v>
      </c>
      <c r="L111" s="2" t="s">
        <v>1599</v>
      </c>
      <c r="N111" s="4" t="s">
        <v>2571</v>
      </c>
      <c r="O111" s="4" t="s">
        <v>2583</v>
      </c>
      <c r="P111" s="2" t="s">
        <v>734</v>
      </c>
      <c r="Q111" s="2" t="s">
        <v>951</v>
      </c>
      <c r="S111" s="2" t="s">
        <v>2811</v>
      </c>
      <c r="U111" s="4" t="s">
        <v>2570</v>
      </c>
      <c r="V111" s="4" t="s">
        <v>2582</v>
      </c>
      <c r="W111" s="2" t="s">
        <v>1376</v>
      </c>
      <c r="X111" s="2" t="s">
        <v>951</v>
      </c>
      <c r="Z111" s="2" t="s">
        <v>1598</v>
      </c>
    </row>
    <row r="112" spans="1:26" x14ac:dyDescent="0.2">
      <c r="A112" s="4">
        <v>107</v>
      </c>
      <c r="E112" s="6" t="s">
        <v>1215</v>
      </c>
      <c r="G112" s="4" t="s">
        <v>2573</v>
      </c>
      <c r="H112" s="4" t="s">
        <v>2584</v>
      </c>
      <c r="I112" s="2" t="s">
        <v>101</v>
      </c>
      <c r="J112" s="2" t="s">
        <v>956</v>
      </c>
      <c r="N112" s="4" t="s">
        <v>2571</v>
      </c>
      <c r="O112" s="4" t="s">
        <v>2583</v>
      </c>
      <c r="P112" s="2" t="s">
        <v>735</v>
      </c>
      <c r="Q112" s="2" t="s">
        <v>956</v>
      </c>
      <c r="U112" s="4" t="s">
        <v>2570</v>
      </c>
      <c r="V112" s="4" t="s">
        <v>2582</v>
      </c>
      <c r="W112" s="2" t="s">
        <v>1294</v>
      </c>
      <c r="X112" s="2" t="s">
        <v>956</v>
      </c>
    </row>
    <row r="113" spans="1:26" ht="63.75" x14ac:dyDescent="0.2">
      <c r="A113" s="4">
        <v>108</v>
      </c>
      <c r="D113" s="6" t="s">
        <v>950</v>
      </c>
      <c r="E113" s="6" t="s">
        <v>1215</v>
      </c>
      <c r="G113" s="4" t="s">
        <v>2573</v>
      </c>
      <c r="H113" s="4" t="s">
        <v>2584</v>
      </c>
      <c r="I113" s="2" t="s">
        <v>104</v>
      </c>
      <c r="J113" s="2" t="s">
        <v>1698</v>
      </c>
      <c r="N113" s="4" t="s">
        <v>2571</v>
      </c>
      <c r="O113" s="4" t="s">
        <v>2583</v>
      </c>
      <c r="P113" s="2" t="s">
        <v>736</v>
      </c>
      <c r="Q113" s="2" t="s">
        <v>1697</v>
      </c>
      <c r="U113" s="4" t="s">
        <v>2570</v>
      </c>
      <c r="V113" s="4" t="s">
        <v>2582</v>
      </c>
      <c r="W113" s="2" t="s">
        <v>1595</v>
      </c>
      <c r="X113" s="2" t="s">
        <v>1697</v>
      </c>
    </row>
    <row r="114" spans="1:26" ht="76.5" x14ac:dyDescent="0.2">
      <c r="A114" s="4">
        <v>109</v>
      </c>
      <c r="D114" s="6" t="s">
        <v>950</v>
      </c>
      <c r="E114" s="6" t="s">
        <v>1215</v>
      </c>
      <c r="G114" s="4" t="s">
        <v>2573</v>
      </c>
      <c r="H114" s="4" t="s">
        <v>2584</v>
      </c>
      <c r="I114" s="2" t="s">
        <v>107</v>
      </c>
      <c r="J114" s="2" t="s">
        <v>1349</v>
      </c>
      <c r="L114" s="2" t="s">
        <v>1869</v>
      </c>
      <c r="N114" s="4" t="s">
        <v>2571</v>
      </c>
      <c r="O114" s="4" t="s">
        <v>2583</v>
      </c>
      <c r="P114" s="2" t="s">
        <v>1589</v>
      </c>
      <c r="Q114" s="2" t="s">
        <v>1349</v>
      </c>
      <c r="S114" s="2" t="s">
        <v>2810</v>
      </c>
      <c r="U114" s="4" t="s">
        <v>2570</v>
      </c>
      <c r="V114" s="4" t="s">
        <v>2582</v>
      </c>
      <c r="W114" s="2" t="s">
        <v>1587</v>
      </c>
      <c r="X114" s="2" t="s">
        <v>1349</v>
      </c>
      <c r="Z114" s="2" t="s">
        <v>2011</v>
      </c>
    </row>
    <row r="115" spans="1:26" x14ac:dyDescent="0.2">
      <c r="A115" s="4">
        <v>110</v>
      </c>
      <c r="D115" s="6" t="s">
        <v>950</v>
      </c>
      <c r="E115" s="6" t="s">
        <v>1215</v>
      </c>
      <c r="G115" s="4" t="s">
        <v>2573</v>
      </c>
      <c r="H115" s="4" t="s">
        <v>2584</v>
      </c>
      <c r="I115" s="2" t="s">
        <v>1866</v>
      </c>
      <c r="J115" s="2" t="s">
        <v>1349</v>
      </c>
      <c r="L115" s="2" t="s">
        <v>1865</v>
      </c>
      <c r="N115" s="4" t="s">
        <v>2571</v>
      </c>
      <c r="O115" s="4" t="s">
        <v>2583</v>
      </c>
      <c r="P115" s="2" t="s">
        <v>1863</v>
      </c>
      <c r="Q115" s="2" t="s">
        <v>1349</v>
      </c>
      <c r="S115" s="2" t="s">
        <v>1862</v>
      </c>
      <c r="U115" s="4" t="s">
        <v>2570</v>
      </c>
      <c r="V115" s="4" t="s">
        <v>2582</v>
      </c>
      <c r="W115" s="2" t="s">
        <v>1860</v>
      </c>
      <c r="X115" s="2" t="s">
        <v>1349</v>
      </c>
      <c r="Z115" s="2" t="s">
        <v>2223</v>
      </c>
    </row>
    <row r="116" spans="1:26" ht="25.5" x14ac:dyDescent="0.2">
      <c r="A116" s="4">
        <v>111</v>
      </c>
      <c r="C116" s="6" t="s">
        <v>950</v>
      </c>
      <c r="E116" s="6" t="s">
        <v>1215</v>
      </c>
      <c r="G116" s="4" t="s">
        <v>2573</v>
      </c>
      <c r="H116" s="4" t="s">
        <v>150</v>
      </c>
      <c r="I116" s="2" t="s">
        <v>969</v>
      </c>
      <c r="J116" s="2" t="s">
        <v>2581</v>
      </c>
      <c r="L116" s="2" t="s">
        <v>1228</v>
      </c>
      <c r="N116" s="4" t="s">
        <v>2571</v>
      </c>
      <c r="O116" s="4" t="s">
        <v>757</v>
      </c>
      <c r="P116" s="2" t="s">
        <v>1319</v>
      </c>
      <c r="Q116" s="2" t="s">
        <v>2580</v>
      </c>
      <c r="S116" s="2" t="s">
        <v>1225</v>
      </c>
      <c r="U116" s="4" t="s">
        <v>2570</v>
      </c>
      <c r="V116" s="4" t="s">
        <v>757</v>
      </c>
      <c r="W116" s="2" t="s">
        <v>1319</v>
      </c>
      <c r="X116" s="2" t="s">
        <v>2579</v>
      </c>
      <c r="Z116" s="2" t="s">
        <v>1222</v>
      </c>
    </row>
    <row r="117" spans="1:26" x14ac:dyDescent="0.2">
      <c r="A117" s="4">
        <v>112</v>
      </c>
      <c r="B117" s="6" t="s">
        <v>1221</v>
      </c>
      <c r="E117" s="6" t="s">
        <v>1215</v>
      </c>
      <c r="G117" s="4" t="s">
        <v>2573</v>
      </c>
      <c r="H117" s="4" t="s">
        <v>150</v>
      </c>
      <c r="I117" s="2" t="s">
        <v>96</v>
      </c>
      <c r="J117" s="2" t="s">
        <v>951</v>
      </c>
      <c r="L117" s="2" t="s">
        <v>1380</v>
      </c>
      <c r="N117" s="4" t="s">
        <v>2571</v>
      </c>
      <c r="O117" s="4" t="s">
        <v>757</v>
      </c>
      <c r="P117" s="2" t="s">
        <v>733</v>
      </c>
      <c r="Q117" s="2" t="s">
        <v>951</v>
      </c>
      <c r="S117" s="2" t="s">
        <v>1379</v>
      </c>
      <c r="U117" s="4" t="s">
        <v>2570</v>
      </c>
      <c r="V117" s="4" t="s">
        <v>757</v>
      </c>
      <c r="W117" s="2" t="s">
        <v>1378</v>
      </c>
      <c r="X117" s="2" t="s">
        <v>951</v>
      </c>
      <c r="Z117" s="2" t="s">
        <v>1377</v>
      </c>
    </row>
    <row r="118" spans="1:26" x14ac:dyDescent="0.2">
      <c r="A118" s="4">
        <v>113</v>
      </c>
      <c r="B118" s="6" t="s">
        <v>1221</v>
      </c>
      <c r="E118" s="6" t="s">
        <v>1215</v>
      </c>
      <c r="G118" s="4" t="s">
        <v>2573</v>
      </c>
      <c r="H118" s="4" t="s">
        <v>150</v>
      </c>
      <c r="I118" s="2" t="s">
        <v>121</v>
      </c>
      <c r="J118" s="2" t="s">
        <v>951</v>
      </c>
      <c r="L118" s="2" t="s">
        <v>2211</v>
      </c>
      <c r="N118" s="4" t="s">
        <v>2571</v>
      </c>
      <c r="O118" s="4" t="s">
        <v>757</v>
      </c>
      <c r="P118" s="2" t="s">
        <v>742</v>
      </c>
      <c r="Q118" s="2" t="s">
        <v>951</v>
      </c>
      <c r="S118" s="2" t="s">
        <v>2151</v>
      </c>
      <c r="U118" s="4" t="s">
        <v>2570</v>
      </c>
      <c r="V118" s="4" t="s">
        <v>757</v>
      </c>
      <c r="W118" s="2" t="s">
        <v>742</v>
      </c>
      <c r="X118" s="2" t="s">
        <v>951</v>
      </c>
      <c r="Z118" s="2" t="s">
        <v>2207</v>
      </c>
    </row>
    <row r="119" spans="1:26" x14ac:dyDescent="0.2">
      <c r="A119" s="4">
        <v>114</v>
      </c>
      <c r="B119" s="6" t="s">
        <v>6</v>
      </c>
      <c r="E119" s="6" t="s">
        <v>1215</v>
      </c>
      <c r="G119" s="4" t="s">
        <v>2573</v>
      </c>
      <c r="H119" s="4" t="s">
        <v>150</v>
      </c>
      <c r="I119" s="2" t="s">
        <v>123</v>
      </c>
      <c r="J119" s="2" t="s">
        <v>1220</v>
      </c>
      <c r="N119" s="4" t="s">
        <v>2571</v>
      </c>
      <c r="O119" s="4" t="s">
        <v>757</v>
      </c>
      <c r="P119" s="2" t="s">
        <v>123</v>
      </c>
      <c r="Q119" s="2" t="s">
        <v>1218</v>
      </c>
      <c r="U119" s="4" t="s">
        <v>2570</v>
      </c>
      <c r="V119" s="4" t="s">
        <v>757</v>
      </c>
      <c r="W119" s="2" t="s">
        <v>1247</v>
      </c>
      <c r="X119" s="2" t="s">
        <v>1218</v>
      </c>
    </row>
    <row r="120" spans="1:26" x14ac:dyDescent="0.2">
      <c r="A120" s="4">
        <v>115</v>
      </c>
      <c r="E120" s="6" t="s">
        <v>1215</v>
      </c>
      <c r="G120" s="4" t="s">
        <v>2573</v>
      </c>
      <c r="H120" s="4" t="s">
        <v>150</v>
      </c>
      <c r="I120" s="2" t="s">
        <v>541</v>
      </c>
      <c r="J120" s="2" t="s">
        <v>314</v>
      </c>
      <c r="N120" s="4" t="s">
        <v>2571</v>
      </c>
      <c r="O120" s="4" t="s">
        <v>757</v>
      </c>
      <c r="P120" s="2" t="s">
        <v>875</v>
      </c>
      <c r="Q120" s="2" t="s">
        <v>803</v>
      </c>
      <c r="U120" s="4" t="s">
        <v>2570</v>
      </c>
      <c r="V120" s="4" t="s">
        <v>757</v>
      </c>
      <c r="W120" s="2" t="s">
        <v>875</v>
      </c>
      <c r="X120" s="2" t="s">
        <v>1497</v>
      </c>
    </row>
    <row r="121" spans="1:26" x14ac:dyDescent="0.2">
      <c r="A121" s="4">
        <v>116</v>
      </c>
      <c r="D121" s="6" t="s">
        <v>950</v>
      </c>
      <c r="E121" s="6" t="s">
        <v>1215</v>
      </c>
      <c r="G121" s="4" t="s">
        <v>2573</v>
      </c>
      <c r="H121" s="4" t="s">
        <v>150</v>
      </c>
      <c r="I121" s="2" t="s">
        <v>1855</v>
      </c>
      <c r="J121" s="2" t="s">
        <v>939</v>
      </c>
      <c r="N121" s="4" t="s">
        <v>2571</v>
      </c>
      <c r="O121" s="4" t="s">
        <v>757</v>
      </c>
      <c r="P121" s="2" t="s">
        <v>1853</v>
      </c>
      <c r="Q121" s="2" t="s">
        <v>1854</v>
      </c>
      <c r="U121" s="4" t="s">
        <v>2570</v>
      </c>
      <c r="V121" s="4" t="s">
        <v>757</v>
      </c>
      <c r="W121" s="2" t="s">
        <v>1853</v>
      </c>
      <c r="X121" s="2" t="s">
        <v>1852</v>
      </c>
    </row>
    <row r="122" spans="1:26" x14ac:dyDescent="0.2">
      <c r="A122" s="4">
        <v>117</v>
      </c>
      <c r="D122" s="6" t="s">
        <v>950</v>
      </c>
      <c r="E122" s="6" t="s">
        <v>1215</v>
      </c>
      <c r="G122" s="4" t="s">
        <v>2573</v>
      </c>
      <c r="H122" s="4" t="s">
        <v>150</v>
      </c>
      <c r="I122" s="2" t="s">
        <v>1851</v>
      </c>
      <c r="J122" s="2" t="s">
        <v>941</v>
      </c>
      <c r="N122" s="4" t="s">
        <v>2571</v>
      </c>
      <c r="O122" s="4" t="s">
        <v>757</v>
      </c>
      <c r="P122" s="2" t="s">
        <v>1850</v>
      </c>
      <c r="Q122" s="2" t="s">
        <v>1849</v>
      </c>
      <c r="U122" s="4" t="s">
        <v>2570</v>
      </c>
      <c r="V122" s="4" t="s">
        <v>757</v>
      </c>
      <c r="W122" s="2" t="s">
        <v>1848</v>
      </c>
      <c r="X122" s="2" t="s">
        <v>1847</v>
      </c>
    </row>
    <row r="123" spans="1:26" x14ac:dyDescent="0.2">
      <c r="A123" s="4">
        <v>118</v>
      </c>
      <c r="E123" s="6" t="s">
        <v>1215</v>
      </c>
      <c r="G123" s="4" t="s">
        <v>2573</v>
      </c>
      <c r="H123" s="4" t="s">
        <v>150</v>
      </c>
      <c r="I123" s="2" t="s">
        <v>2538</v>
      </c>
      <c r="J123" s="2" t="s">
        <v>939</v>
      </c>
      <c r="N123" s="4" t="s">
        <v>2571</v>
      </c>
      <c r="O123" s="4" t="s">
        <v>757</v>
      </c>
      <c r="P123" s="2" t="s">
        <v>2537</v>
      </c>
      <c r="Q123" s="2" t="s">
        <v>1854</v>
      </c>
      <c r="U123" s="4" t="s">
        <v>2570</v>
      </c>
      <c r="V123" s="4" t="s">
        <v>757</v>
      </c>
      <c r="W123" s="2" t="s">
        <v>2537</v>
      </c>
      <c r="X123" s="2" t="s">
        <v>1852</v>
      </c>
    </row>
    <row r="124" spans="1:26" x14ac:dyDescent="0.2">
      <c r="A124" s="4">
        <v>119</v>
      </c>
      <c r="E124" s="6" t="s">
        <v>1215</v>
      </c>
      <c r="G124" s="4" t="s">
        <v>2573</v>
      </c>
      <c r="H124" s="4" t="s">
        <v>150</v>
      </c>
      <c r="I124" s="2" t="s">
        <v>2536</v>
      </c>
      <c r="J124" s="2" t="s">
        <v>941</v>
      </c>
      <c r="N124" s="4" t="s">
        <v>2571</v>
      </c>
      <c r="O124" s="4" t="s">
        <v>757</v>
      </c>
      <c r="P124" s="2" t="s">
        <v>2535</v>
      </c>
      <c r="Q124" s="2" t="s">
        <v>1849</v>
      </c>
      <c r="U124" s="4" t="s">
        <v>2570</v>
      </c>
      <c r="V124" s="4" t="s">
        <v>757</v>
      </c>
      <c r="W124" s="2" t="s">
        <v>2534</v>
      </c>
      <c r="X124" s="2" t="s">
        <v>1847</v>
      </c>
    </row>
    <row r="125" spans="1:26" x14ac:dyDescent="0.2">
      <c r="A125" s="4">
        <v>120</v>
      </c>
      <c r="B125" s="6" t="s">
        <v>6</v>
      </c>
      <c r="C125" s="6" t="s">
        <v>950</v>
      </c>
      <c r="E125" s="6" t="s">
        <v>1215</v>
      </c>
      <c r="G125" s="4" t="s">
        <v>2573</v>
      </c>
      <c r="H125" s="4" t="s">
        <v>2572</v>
      </c>
      <c r="I125" s="2" t="s">
        <v>2578</v>
      </c>
      <c r="J125" s="2" t="s">
        <v>2577</v>
      </c>
      <c r="L125" s="2" t="s">
        <v>2531</v>
      </c>
      <c r="N125" s="4" t="s">
        <v>2571</v>
      </c>
      <c r="O125" s="4" t="s">
        <v>2569</v>
      </c>
      <c r="P125" s="2" t="s">
        <v>2576</v>
      </c>
      <c r="Q125" s="2" t="s">
        <v>2574</v>
      </c>
      <c r="S125" s="2" t="s">
        <v>2529</v>
      </c>
      <c r="U125" s="4" t="s">
        <v>2570</v>
      </c>
      <c r="V125" s="4" t="s">
        <v>2569</v>
      </c>
      <c r="W125" s="2" t="s">
        <v>2575</v>
      </c>
      <c r="X125" s="2" t="s">
        <v>2574</v>
      </c>
      <c r="Z125" s="2" t="s">
        <v>2526</v>
      </c>
    </row>
    <row r="126" spans="1:26" x14ac:dyDescent="0.2">
      <c r="A126" s="4">
        <v>121</v>
      </c>
      <c r="E126" s="6" t="s">
        <v>1215</v>
      </c>
      <c r="G126" s="4" t="s">
        <v>2573</v>
      </c>
      <c r="H126" s="4" t="s">
        <v>2572</v>
      </c>
      <c r="I126" s="2" t="s">
        <v>1219</v>
      </c>
      <c r="J126" s="2" t="s">
        <v>1220</v>
      </c>
      <c r="N126" s="4" t="s">
        <v>2571</v>
      </c>
      <c r="O126" s="4" t="s">
        <v>2569</v>
      </c>
      <c r="P126" s="2" t="s">
        <v>1219</v>
      </c>
      <c r="Q126" s="2" t="s">
        <v>1218</v>
      </c>
      <c r="U126" s="4" t="s">
        <v>2570</v>
      </c>
      <c r="V126" s="4" t="s">
        <v>2569</v>
      </c>
      <c r="W126" s="2" t="s">
        <v>1219</v>
      </c>
      <c r="X126" s="2" t="s">
        <v>1218</v>
      </c>
    </row>
    <row r="127" spans="1:26" x14ac:dyDescent="0.2">
      <c r="A127" s="4">
        <v>122</v>
      </c>
      <c r="D127" s="6" t="s">
        <v>950</v>
      </c>
      <c r="E127" s="6" t="s">
        <v>1215</v>
      </c>
      <c r="G127" s="4" t="s">
        <v>2573</v>
      </c>
      <c r="H127" s="4" t="s">
        <v>2572</v>
      </c>
      <c r="I127" s="2" t="s">
        <v>1217</v>
      </c>
      <c r="J127" s="2" t="s">
        <v>933</v>
      </c>
      <c r="K127" s="3">
        <v>100</v>
      </c>
      <c r="N127" s="4" t="s">
        <v>2571</v>
      </c>
      <c r="O127" s="4" t="s">
        <v>2569</v>
      </c>
      <c r="P127" s="2" t="s">
        <v>1217</v>
      </c>
      <c r="Q127" s="2" t="s">
        <v>933</v>
      </c>
      <c r="R127" s="3">
        <v>100</v>
      </c>
      <c r="U127" s="4" t="s">
        <v>2570</v>
      </c>
      <c r="V127" s="4" t="s">
        <v>2569</v>
      </c>
      <c r="W127" s="2" t="s">
        <v>1217</v>
      </c>
      <c r="X127" s="2" t="s">
        <v>1216</v>
      </c>
      <c r="Y127" s="3">
        <v>100</v>
      </c>
    </row>
    <row r="128" spans="1:26" x14ac:dyDescent="0.2">
      <c r="A128" s="4">
        <v>123</v>
      </c>
      <c r="D128" s="6" t="s">
        <v>950</v>
      </c>
      <c r="E128" s="6" t="s">
        <v>1215</v>
      </c>
      <c r="G128" s="4" t="s">
        <v>2573</v>
      </c>
      <c r="H128" s="4" t="s">
        <v>2572</v>
      </c>
      <c r="I128" s="2" t="s">
        <v>1285</v>
      </c>
      <c r="J128" s="2" t="s">
        <v>1199</v>
      </c>
      <c r="K128" s="3" t="s">
        <v>86</v>
      </c>
      <c r="N128" s="4" t="s">
        <v>2571</v>
      </c>
      <c r="O128" s="4" t="s">
        <v>2569</v>
      </c>
      <c r="P128" s="2" t="s">
        <v>1285</v>
      </c>
      <c r="Q128" s="2" t="s">
        <v>1199</v>
      </c>
      <c r="R128" s="3" t="s">
        <v>86</v>
      </c>
      <c r="U128" s="4" t="s">
        <v>2570</v>
      </c>
      <c r="V128" s="4" t="s">
        <v>2569</v>
      </c>
      <c r="W128" s="2" t="s">
        <v>1285</v>
      </c>
      <c r="X128" s="2" t="s">
        <v>1199</v>
      </c>
      <c r="Y128" s="3" t="s">
        <v>86</v>
      </c>
    </row>
    <row r="129" spans="1:26" x14ac:dyDescent="0.2">
      <c r="A129" s="4">
        <v>124</v>
      </c>
      <c r="D129" s="6" t="s">
        <v>950</v>
      </c>
      <c r="E129" s="6" t="s">
        <v>1215</v>
      </c>
      <c r="G129" s="4" t="s">
        <v>2573</v>
      </c>
      <c r="H129" s="4" t="s">
        <v>2572</v>
      </c>
      <c r="I129" s="2" t="s">
        <v>1283</v>
      </c>
      <c r="J129" s="2" t="s">
        <v>1200</v>
      </c>
      <c r="K129" s="3" t="s">
        <v>90</v>
      </c>
      <c r="N129" s="4" t="s">
        <v>2571</v>
      </c>
      <c r="O129" s="4" t="s">
        <v>2569</v>
      </c>
      <c r="P129" s="2" t="s">
        <v>1283</v>
      </c>
      <c r="Q129" s="2" t="s">
        <v>1200</v>
      </c>
      <c r="R129" s="3" t="s">
        <v>90</v>
      </c>
      <c r="U129" s="4" t="s">
        <v>2570</v>
      </c>
      <c r="V129" s="4" t="s">
        <v>2569</v>
      </c>
      <c r="W129" s="2" t="s">
        <v>1283</v>
      </c>
      <c r="X129" s="2" t="s">
        <v>1200</v>
      </c>
      <c r="Y129" s="3" t="s">
        <v>90</v>
      </c>
    </row>
    <row r="130" spans="1:26" x14ac:dyDescent="0.2">
      <c r="A130" s="4">
        <v>125</v>
      </c>
      <c r="B130" s="6" t="s">
        <v>1221</v>
      </c>
      <c r="E130" s="6" t="s">
        <v>1215</v>
      </c>
      <c r="G130" s="4" t="s">
        <v>2525</v>
      </c>
      <c r="H130" s="4" t="s">
        <v>164</v>
      </c>
      <c r="I130" s="2" t="s">
        <v>96</v>
      </c>
      <c r="J130" s="2" t="s">
        <v>951</v>
      </c>
      <c r="L130" s="2" t="s">
        <v>1380</v>
      </c>
      <c r="N130" s="4" t="s">
        <v>2523</v>
      </c>
      <c r="O130" s="4" t="s">
        <v>2568</v>
      </c>
      <c r="P130" s="2" t="s">
        <v>733</v>
      </c>
      <c r="Q130" s="2" t="s">
        <v>951</v>
      </c>
      <c r="S130" s="2" t="s">
        <v>1379</v>
      </c>
      <c r="U130" s="4" t="s">
        <v>2522</v>
      </c>
      <c r="V130" s="4" t="s">
        <v>2567</v>
      </c>
      <c r="W130" s="2" t="s">
        <v>1378</v>
      </c>
      <c r="X130" s="2" t="s">
        <v>951</v>
      </c>
      <c r="Z130" s="2" t="s">
        <v>1377</v>
      </c>
    </row>
    <row r="131" spans="1:26" x14ac:dyDescent="0.2">
      <c r="A131" s="4">
        <v>126</v>
      </c>
      <c r="B131" s="6" t="s">
        <v>1221</v>
      </c>
      <c r="E131" s="6" t="s">
        <v>1215</v>
      </c>
      <c r="G131" s="4" t="s">
        <v>2525</v>
      </c>
      <c r="H131" s="4" t="s">
        <v>164</v>
      </c>
      <c r="I131" s="2" t="s">
        <v>99</v>
      </c>
      <c r="J131" s="2" t="s">
        <v>951</v>
      </c>
      <c r="L131" s="2" t="s">
        <v>1599</v>
      </c>
      <c r="N131" s="4" t="s">
        <v>2523</v>
      </c>
      <c r="O131" s="4" t="s">
        <v>2568</v>
      </c>
      <c r="P131" s="2" t="s">
        <v>734</v>
      </c>
      <c r="Q131" s="2" t="s">
        <v>951</v>
      </c>
      <c r="S131" s="2" t="s">
        <v>2811</v>
      </c>
      <c r="U131" s="4" t="s">
        <v>2522</v>
      </c>
      <c r="V131" s="4" t="s">
        <v>2567</v>
      </c>
      <c r="W131" s="2" t="s">
        <v>1376</v>
      </c>
      <c r="X131" s="2" t="s">
        <v>951</v>
      </c>
      <c r="Z131" s="2" t="s">
        <v>1598</v>
      </c>
    </row>
    <row r="132" spans="1:26" x14ac:dyDescent="0.2">
      <c r="A132" s="4">
        <v>127</v>
      </c>
      <c r="E132" s="6" t="s">
        <v>1215</v>
      </c>
      <c r="G132" s="4" t="s">
        <v>2525</v>
      </c>
      <c r="H132" s="4" t="s">
        <v>164</v>
      </c>
      <c r="I132" s="2" t="s">
        <v>101</v>
      </c>
      <c r="J132" s="2" t="s">
        <v>956</v>
      </c>
      <c r="N132" s="4" t="s">
        <v>2523</v>
      </c>
      <c r="O132" s="4" t="s">
        <v>2568</v>
      </c>
      <c r="P132" s="2" t="s">
        <v>735</v>
      </c>
      <c r="Q132" s="2" t="s">
        <v>956</v>
      </c>
      <c r="U132" s="4" t="s">
        <v>2522</v>
      </c>
      <c r="V132" s="4" t="s">
        <v>2567</v>
      </c>
      <c r="W132" s="2" t="s">
        <v>1294</v>
      </c>
      <c r="X132" s="2" t="s">
        <v>956</v>
      </c>
    </row>
    <row r="133" spans="1:26" ht="63.75" x14ac:dyDescent="0.2">
      <c r="A133" s="4">
        <v>128</v>
      </c>
      <c r="D133" s="6" t="s">
        <v>950</v>
      </c>
      <c r="E133" s="6" t="s">
        <v>1215</v>
      </c>
      <c r="G133" s="4" t="s">
        <v>2525</v>
      </c>
      <c r="H133" s="4" t="s">
        <v>164</v>
      </c>
      <c r="I133" s="2" t="s">
        <v>104</v>
      </c>
      <c r="J133" s="2" t="s">
        <v>1698</v>
      </c>
      <c r="N133" s="4" t="s">
        <v>2523</v>
      </c>
      <c r="O133" s="4" t="s">
        <v>2568</v>
      </c>
      <c r="P133" s="2" t="s">
        <v>736</v>
      </c>
      <c r="Q133" s="2" t="s">
        <v>1697</v>
      </c>
      <c r="U133" s="4" t="s">
        <v>2522</v>
      </c>
      <c r="V133" s="4" t="s">
        <v>2567</v>
      </c>
      <c r="W133" s="2" t="s">
        <v>1595</v>
      </c>
      <c r="X133" s="2" t="s">
        <v>1697</v>
      </c>
    </row>
    <row r="134" spans="1:26" ht="76.5" x14ac:dyDescent="0.2">
      <c r="A134" s="4">
        <v>129</v>
      </c>
      <c r="D134" s="6" t="s">
        <v>950</v>
      </c>
      <c r="E134" s="6" t="s">
        <v>1215</v>
      </c>
      <c r="G134" s="4" t="s">
        <v>2525</v>
      </c>
      <c r="H134" s="4" t="s">
        <v>164</v>
      </c>
      <c r="I134" s="2" t="s">
        <v>107</v>
      </c>
      <c r="J134" s="2" t="s">
        <v>1349</v>
      </c>
      <c r="L134" s="2" t="s">
        <v>1869</v>
      </c>
      <c r="N134" s="4" t="s">
        <v>2523</v>
      </c>
      <c r="O134" s="4" t="s">
        <v>2568</v>
      </c>
      <c r="P134" s="2" t="s">
        <v>1589</v>
      </c>
      <c r="Q134" s="2" t="s">
        <v>1349</v>
      </c>
      <c r="S134" s="2" t="s">
        <v>2810</v>
      </c>
      <c r="U134" s="4" t="s">
        <v>2522</v>
      </c>
      <c r="V134" s="4" t="s">
        <v>2567</v>
      </c>
      <c r="W134" s="2" t="s">
        <v>1587</v>
      </c>
      <c r="X134" s="2" t="s">
        <v>1349</v>
      </c>
      <c r="Z134" s="2" t="s">
        <v>2011</v>
      </c>
    </row>
    <row r="135" spans="1:26" x14ac:dyDescent="0.2">
      <c r="A135" s="4">
        <v>130</v>
      </c>
      <c r="D135" s="6" t="s">
        <v>950</v>
      </c>
      <c r="E135" s="6" t="s">
        <v>1215</v>
      </c>
      <c r="G135" s="4" t="s">
        <v>2525</v>
      </c>
      <c r="H135" s="4" t="s">
        <v>164</v>
      </c>
      <c r="I135" s="2" t="s">
        <v>1866</v>
      </c>
      <c r="J135" s="2" t="s">
        <v>1349</v>
      </c>
      <c r="L135" s="2" t="s">
        <v>1865</v>
      </c>
      <c r="N135" s="4" t="s">
        <v>2523</v>
      </c>
      <c r="O135" s="4" t="s">
        <v>2568</v>
      </c>
      <c r="P135" s="2" t="s">
        <v>1863</v>
      </c>
      <c r="Q135" s="2" t="s">
        <v>1349</v>
      </c>
      <c r="S135" s="2" t="s">
        <v>1862</v>
      </c>
      <c r="U135" s="4" t="s">
        <v>2522</v>
      </c>
      <c r="V135" s="4" t="s">
        <v>2567</v>
      </c>
      <c r="W135" s="2" t="s">
        <v>1860</v>
      </c>
      <c r="X135" s="2" t="s">
        <v>1349</v>
      </c>
      <c r="Z135" s="2" t="s">
        <v>2223</v>
      </c>
    </row>
    <row r="136" spans="1:26" ht="25.5" x14ac:dyDescent="0.2">
      <c r="A136" s="4">
        <v>131</v>
      </c>
      <c r="C136" s="6" t="s">
        <v>950</v>
      </c>
      <c r="E136" s="6" t="s">
        <v>1215</v>
      </c>
      <c r="G136" s="4" t="s">
        <v>2525</v>
      </c>
      <c r="H136" s="4" t="s">
        <v>153</v>
      </c>
      <c r="I136" s="2" t="s">
        <v>969</v>
      </c>
      <c r="J136" s="2" t="s">
        <v>2566</v>
      </c>
      <c r="L136" s="2" t="s">
        <v>1228</v>
      </c>
      <c r="N136" s="4" t="s">
        <v>2523</v>
      </c>
      <c r="O136" s="4" t="s">
        <v>759</v>
      </c>
      <c r="P136" s="2" t="s">
        <v>1319</v>
      </c>
      <c r="Q136" s="2" t="s">
        <v>2565</v>
      </c>
      <c r="S136" s="2" t="s">
        <v>1225</v>
      </c>
      <c r="U136" s="4" t="s">
        <v>2522</v>
      </c>
      <c r="V136" s="4" t="s">
        <v>759</v>
      </c>
      <c r="W136" s="2" t="s">
        <v>1319</v>
      </c>
      <c r="X136" s="2" t="s">
        <v>2564</v>
      </c>
      <c r="Z136" s="2" t="s">
        <v>1222</v>
      </c>
    </row>
    <row r="137" spans="1:26" x14ac:dyDescent="0.2">
      <c r="A137" s="4">
        <v>132</v>
      </c>
      <c r="B137" s="6" t="s">
        <v>1221</v>
      </c>
      <c r="E137" s="6" t="s">
        <v>1215</v>
      </c>
      <c r="G137" s="4" t="s">
        <v>2525</v>
      </c>
      <c r="H137" s="4" t="s">
        <v>153</v>
      </c>
      <c r="I137" s="2" t="s">
        <v>96</v>
      </c>
      <c r="J137" s="2" t="s">
        <v>951</v>
      </c>
      <c r="L137" s="2" t="s">
        <v>1380</v>
      </c>
      <c r="N137" s="4" t="s">
        <v>2523</v>
      </c>
      <c r="O137" s="4" t="s">
        <v>759</v>
      </c>
      <c r="P137" s="2" t="s">
        <v>733</v>
      </c>
      <c r="Q137" s="2" t="s">
        <v>951</v>
      </c>
      <c r="S137" s="2" t="s">
        <v>1379</v>
      </c>
      <c r="U137" s="4" t="s">
        <v>2522</v>
      </c>
      <c r="V137" s="4" t="s">
        <v>759</v>
      </c>
      <c r="W137" s="2" t="s">
        <v>1378</v>
      </c>
      <c r="X137" s="2" t="s">
        <v>951</v>
      </c>
      <c r="Z137" s="2" t="s">
        <v>1377</v>
      </c>
    </row>
    <row r="138" spans="1:26" x14ac:dyDescent="0.2">
      <c r="A138" s="4">
        <v>133</v>
      </c>
      <c r="B138" s="6" t="s">
        <v>1221</v>
      </c>
      <c r="E138" s="6" t="s">
        <v>1215</v>
      </c>
      <c r="G138" s="4" t="s">
        <v>2525</v>
      </c>
      <c r="H138" s="4" t="s">
        <v>153</v>
      </c>
      <c r="I138" s="2" t="s">
        <v>121</v>
      </c>
      <c r="J138" s="2" t="s">
        <v>951</v>
      </c>
      <c r="L138" s="2" t="s">
        <v>2211</v>
      </c>
      <c r="N138" s="4" t="s">
        <v>2523</v>
      </c>
      <c r="O138" s="4" t="s">
        <v>759</v>
      </c>
      <c r="P138" s="2" t="s">
        <v>742</v>
      </c>
      <c r="Q138" s="2" t="s">
        <v>951</v>
      </c>
      <c r="S138" s="2" t="s">
        <v>2151</v>
      </c>
      <c r="U138" s="4" t="s">
        <v>2522</v>
      </c>
      <c r="V138" s="4" t="s">
        <v>759</v>
      </c>
      <c r="W138" s="2" t="s">
        <v>742</v>
      </c>
      <c r="X138" s="2" t="s">
        <v>951</v>
      </c>
      <c r="Z138" s="2" t="s">
        <v>2207</v>
      </c>
    </row>
    <row r="139" spans="1:26" x14ac:dyDescent="0.2">
      <c r="A139" s="4">
        <v>134</v>
      </c>
      <c r="B139" s="6" t="s">
        <v>6</v>
      </c>
      <c r="E139" s="6" t="s">
        <v>1215</v>
      </c>
      <c r="G139" s="4" t="s">
        <v>2525</v>
      </c>
      <c r="H139" s="4" t="s">
        <v>153</v>
      </c>
      <c r="I139" s="2" t="s">
        <v>123</v>
      </c>
      <c r="J139" s="2" t="s">
        <v>1220</v>
      </c>
      <c r="N139" s="4" t="s">
        <v>2523</v>
      </c>
      <c r="O139" s="4" t="s">
        <v>759</v>
      </c>
      <c r="P139" s="2" t="s">
        <v>123</v>
      </c>
      <c r="Q139" s="2" t="s">
        <v>1218</v>
      </c>
      <c r="U139" s="4" t="s">
        <v>2522</v>
      </c>
      <c r="V139" s="4" t="s">
        <v>759</v>
      </c>
      <c r="W139" s="2" t="s">
        <v>1247</v>
      </c>
      <c r="X139" s="2" t="s">
        <v>1218</v>
      </c>
    </row>
    <row r="140" spans="1:26" x14ac:dyDescent="0.2">
      <c r="A140" s="4">
        <v>135</v>
      </c>
      <c r="D140" s="6" t="s">
        <v>950</v>
      </c>
      <c r="E140" s="6" t="s">
        <v>1215</v>
      </c>
      <c r="G140" s="4" t="s">
        <v>2525</v>
      </c>
      <c r="H140" s="4" t="s">
        <v>153</v>
      </c>
      <c r="I140" s="2" t="s">
        <v>541</v>
      </c>
      <c r="J140" s="2" t="s">
        <v>314</v>
      </c>
      <c r="N140" s="4" t="s">
        <v>2523</v>
      </c>
      <c r="O140" s="4" t="s">
        <v>759</v>
      </c>
      <c r="P140" s="2" t="s">
        <v>875</v>
      </c>
      <c r="Q140" s="2" t="s">
        <v>803</v>
      </c>
      <c r="U140" s="4" t="s">
        <v>2522</v>
      </c>
      <c r="V140" s="4" t="s">
        <v>759</v>
      </c>
      <c r="W140" s="2" t="s">
        <v>875</v>
      </c>
      <c r="X140" s="2" t="s">
        <v>1497</v>
      </c>
    </row>
    <row r="141" spans="1:26" x14ac:dyDescent="0.2">
      <c r="A141" s="4">
        <v>136</v>
      </c>
      <c r="E141" s="6" t="s">
        <v>1215</v>
      </c>
      <c r="G141" s="4" t="s">
        <v>2525</v>
      </c>
      <c r="H141" s="4" t="s">
        <v>153</v>
      </c>
      <c r="I141" s="2" t="s">
        <v>1855</v>
      </c>
      <c r="J141" s="2" t="s">
        <v>939</v>
      </c>
      <c r="N141" s="4" t="s">
        <v>2523</v>
      </c>
      <c r="O141" s="4" t="s">
        <v>759</v>
      </c>
      <c r="P141" s="2" t="s">
        <v>1853</v>
      </c>
      <c r="Q141" s="2" t="s">
        <v>1854</v>
      </c>
      <c r="U141" s="4" t="s">
        <v>2522</v>
      </c>
      <c r="V141" s="4" t="s">
        <v>759</v>
      </c>
      <c r="W141" s="2" t="s">
        <v>1853</v>
      </c>
      <c r="X141" s="2" t="s">
        <v>1852</v>
      </c>
    </row>
    <row r="142" spans="1:26" x14ac:dyDescent="0.2">
      <c r="A142" s="4">
        <v>137</v>
      </c>
      <c r="E142" s="6" t="s">
        <v>1215</v>
      </c>
      <c r="G142" s="4" t="s">
        <v>2525</v>
      </c>
      <c r="H142" s="4" t="s">
        <v>153</v>
      </c>
      <c r="I142" s="2" t="s">
        <v>1851</v>
      </c>
      <c r="J142" s="2" t="s">
        <v>941</v>
      </c>
      <c r="N142" s="4" t="s">
        <v>2523</v>
      </c>
      <c r="O142" s="4" t="s">
        <v>759</v>
      </c>
      <c r="P142" s="2" t="s">
        <v>1850</v>
      </c>
      <c r="Q142" s="2" t="s">
        <v>1849</v>
      </c>
      <c r="U142" s="4" t="s">
        <v>2522</v>
      </c>
      <c r="V142" s="4" t="s">
        <v>759</v>
      </c>
      <c r="W142" s="2" t="s">
        <v>1848</v>
      </c>
      <c r="X142" s="2" t="s">
        <v>1847</v>
      </c>
    </row>
    <row r="143" spans="1:26" x14ac:dyDescent="0.2">
      <c r="A143" s="4">
        <v>138</v>
      </c>
      <c r="D143" s="6" t="s">
        <v>950</v>
      </c>
      <c r="E143" s="6" t="s">
        <v>1215</v>
      </c>
      <c r="G143" s="4" t="s">
        <v>2525</v>
      </c>
      <c r="H143" s="4" t="s">
        <v>153</v>
      </c>
      <c r="I143" s="2" t="s">
        <v>2538</v>
      </c>
      <c r="J143" s="2" t="s">
        <v>939</v>
      </c>
      <c r="L143" s="2" t="s">
        <v>2563</v>
      </c>
      <c r="N143" s="4" t="s">
        <v>2523</v>
      </c>
      <c r="O143" s="4" t="s">
        <v>759</v>
      </c>
      <c r="P143" s="2" t="s">
        <v>2537</v>
      </c>
      <c r="Q143" s="2" t="s">
        <v>1854</v>
      </c>
      <c r="S143" s="2" t="s">
        <v>2562</v>
      </c>
      <c r="U143" s="4" t="s">
        <v>2522</v>
      </c>
      <c r="V143" s="4" t="s">
        <v>759</v>
      </c>
      <c r="W143" s="2" t="s">
        <v>2537</v>
      </c>
      <c r="X143" s="2" t="s">
        <v>1852</v>
      </c>
      <c r="Z143" s="2" t="s">
        <v>2561</v>
      </c>
    </row>
    <row r="144" spans="1:26" x14ac:dyDescent="0.2">
      <c r="A144" s="4">
        <v>139</v>
      </c>
      <c r="D144" s="6" t="s">
        <v>950</v>
      </c>
      <c r="E144" s="6" t="s">
        <v>1215</v>
      </c>
      <c r="G144" s="4" t="s">
        <v>2525</v>
      </c>
      <c r="H144" s="4" t="s">
        <v>153</v>
      </c>
      <c r="I144" s="2" t="s">
        <v>2536</v>
      </c>
      <c r="J144" s="2" t="s">
        <v>941</v>
      </c>
      <c r="L144" s="2" t="s">
        <v>2563</v>
      </c>
      <c r="N144" s="4" t="s">
        <v>2523</v>
      </c>
      <c r="O144" s="4" t="s">
        <v>759</v>
      </c>
      <c r="P144" s="2" t="s">
        <v>2535</v>
      </c>
      <c r="Q144" s="2" t="s">
        <v>1849</v>
      </c>
      <c r="S144" s="2" t="s">
        <v>2562</v>
      </c>
      <c r="U144" s="4" t="s">
        <v>2522</v>
      </c>
      <c r="V144" s="4" t="s">
        <v>759</v>
      </c>
      <c r="W144" s="2" t="s">
        <v>2534</v>
      </c>
      <c r="X144" s="2" t="s">
        <v>1847</v>
      </c>
      <c r="Z144" s="2" t="s">
        <v>2561</v>
      </c>
    </row>
    <row r="145" spans="1:26" x14ac:dyDescent="0.2">
      <c r="A145" s="4">
        <v>140</v>
      </c>
      <c r="E145" s="6" t="s">
        <v>1215</v>
      </c>
      <c r="G145" s="4" t="s">
        <v>2525</v>
      </c>
      <c r="H145" s="4" t="s">
        <v>153</v>
      </c>
      <c r="I145" s="2" t="s">
        <v>134</v>
      </c>
      <c r="J145" s="2" t="s">
        <v>39</v>
      </c>
      <c r="L145" s="2" t="s">
        <v>2560</v>
      </c>
      <c r="N145" s="4" t="s">
        <v>2523</v>
      </c>
      <c r="O145" s="4" t="s">
        <v>759</v>
      </c>
      <c r="P145" s="2" t="s">
        <v>748</v>
      </c>
      <c r="Q145" s="2" t="s">
        <v>1846</v>
      </c>
      <c r="S145" s="2" t="s">
        <v>2559</v>
      </c>
      <c r="U145" s="4" t="s">
        <v>2522</v>
      </c>
      <c r="V145" s="4" t="s">
        <v>759</v>
      </c>
      <c r="W145" s="2" t="s">
        <v>1845</v>
      </c>
      <c r="X145" s="2" t="s">
        <v>1844</v>
      </c>
      <c r="Z145" s="2" t="s">
        <v>2558</v>
      </c>
    </row>
    <row r="146" spans="1:26" x14ac:dyDescent="0.2">
      <c r="A146" s="4">
        <v>141</v>
      </c>
      <c r="E146" s="6" t="s">
        <v>1215</v>
      </c>
      <c r="G146" s="4" t="s">
        <v>2525</v>
      </c>
      <c r="H146" s="4" t="s">
        <v>153</v>
      </c>
      <c r="I146" s="2" t="s">
        <v>148</v>
      </c>
      <c r="J146" s="2" t="s">
        <v>1509</v>
      </c>
      <c r="N146" s="4" t="s">
        <v>2523</v>
      </c>
      <c r="O146" s="4" t="s">
        <v>759</v>
      </c>
      <c r="P146" s="2" t="s">
        <v>755</v>
      </c>
      <c r="Q146" s="2" t="s">
        <v>1507</v>
      </c>
      <c r="U146" s="4" t="s">
        <v>2522</v>
      </c>
      <c r="V146" s="4" t="s">
        <v>759</v>
      </c>
      <c r="W146" s="2" t="s">
        <v>2557</v>
      </c>
      <c r="X146" s="2" t="s">
        <v>2925</v>
      </c>
    </row>
    <row r="147" spans="1:26" x14ac:dyDescent="0.2">
      <c r="A147" s="4">
        <v>142</v>
      </c>
      <c r="B147" s="6" t="s">
        <v>6</v>
      </c>
      <c r="C147" s="6" t="s">
        <v>950</v>
      </c>
      <c r="E147" s="6" t="s">
        <v>1215</v>
      </c>
      <c r="G147" s="4" t="s">
        <v>2525</v>
      </c>
      <c r="H147" s="4" t="s">
        <v>2553</v>
      </c>
      <c r="I147" s="2" t="s">
        <v>2556</v>
      </c>
      <c r="J147" s="2" t="s">
        <v>2550</v>
      </c>
      <c r="L147" s="2" t="s">
        <v>2531</v>
      </c>
      <c r="N147" s="4" t="s">
        <v>2523</v>
      </c>
      <c r="O147" s="4" t="s">
        <v>2552</v>
      </c>
      <c r="P147" s="2" t="s">
        <v>2555</v>
      </c>
      <c r="Q147" s="2" t="s">
        <v>2547</v>
      </c>
      <c r="S147" s="2" t="s">
        <v>2529</v>
      </c>
      <c r="U147" s="4" t="s">
        <v>2522</v>
      </c>
      <c r="V147" s="4" t="s">
        <v>2552</v>
      </c>
      <c r="W147" s="2" t="s">
        <v>2554</v>
      </c>
      <c r="X147" s="2" t="s">
        <v>2547</v>
      </c>
      <c r="Z147" s="2" t="s">
        <v>2526</v>
      </c>
    </row>
    <row r="148" spans="1:26" x14ac:dyDescent="0.2">
      <c r="A148" s="4">
        <v>143</v>
      </c>
      <c r="E148" s="6" t="s">
        <v>1215</v>
      </c>
      <c r="G148" s="4" t="s">
        <v>2525</v>
      </c>
      <c r="H148" s="4" t="s">
        <v>2553</v>
      </c>
      <c r="I148" s="2" t="s">
        <v>1219</v>
      </c>
      <c r="J148" s="2" t="s">
        <v>1220</v>
      </c>
      <c r="N148" s="4" t="s">
        <v>2523</v>
      </c>
      <c r="O148" s="4" t="s">
        <v>2552</v>
      </c>
      <c r="P148" s="2" t="s">
        <v>1219</v>
      </c>
      <c r="Q148" s="2" t="s">
        <v>1218</v>
      </c>
      <c r="U148" s="4" t="s">
        <v>2522</v>
      </c>
      <c r="V148" s="4" t="s">
        <v>2552</v>
      </c>
      <c r="W148" s="2" t="s">
        <v>1219</v>
      </c>
      <c r="X148" s="2" t="s">
        <v>1218</v>
      </c>
    </row>
    <row r="149" spans="1:26" x14ac:dyDescent="0.2">
      <c r="A149" s="4">
        <v>144</v>
      </c>
      <c r="D149" s="6" t="s">
        <v>950</v>
      </c>
      <c r="E149" s="6" t="s">
        <v>1215</v>
      </c>
      <c r="G149" s="4" t="s">
        <v>2525</v>
      </c>
      <c r="H149" s="4" t="s">
        <v>2553</v>
      </c>
      <c r="I149" s="2" t="s">
        <v>1217</v>
      </c>
      <c r="J149" s="2" t="s">
        <v>933</v>
      </c>
      <c r="K149" s="3">
        <v>100</v>
      </c>
      <c r="N149" s="4" t="s">
        <v>2523</v>
      </c>
      <c r="O149" s="4" t="s">
        <v>2552</v>
      </c>
      <c r="P149" s="2" t="s">
        <v>1217</v>
      </c>
      <c r="Q149" s="2" t="s">
        <v>933</v>
      </c>
      <c r="R149" s="3">
        <v>100</v>
      </c>
      <c r="U149" s="4" t="s">
        <v>2522</v>
      </c>
      <c r="V149" s="4" t="s">
        <v>2552</v>
      </c>
      <c r="W149" s="2" t="s">
        <v>1217</v>
      </c>
      <c r="X149" s="2" t="s">
        <v>1216</v>
      </c>
      <c r="Y149" s="3">
        <v>100</v>
      </c>
    </row>
    <row r="150" spans="1:26" x14ac:dyDescent="0.2">
      <c r="A150" s="4">
        <v>145</v>
      </c>
      <c r="D150" s="6" t="s">
        <v>950</v>
      </c>
      <c r="E150" s="6" t="s">
        <v>1215</v>
      </c>
      <c r="G150" s="4" t="s">
        <v>2525</v>
      </c>
      <c r="H150" s="4" t="s">
        <v>2553</v>
      </c>
      <c r="I150" s="2" t="s">
        <v>1285</v>
      </c>
      <c r="J150" s="2" t="s">
        <v>1199</v>
      </c>
      <c r="K150" s="3" t="s">
        <v>86</v>
      </c>
      <c r="N150" s="4" t="s">
        <v>2523</v>
      </c>
      <c r="O150" s="4" t="s">
        <v>2552</v>
      </c>
      <c r="P150" s="2" t="s">
        <v>1285</v>
      </c>
      <c r="Q150" s="2" t="s">
        <v>1199</v>
      </c>
      <c r="R150" s="3" t="s">
        <v>86</v>
      </c>
      <c r="U150" s="4" t="s">
        <v>2522</v>
      </c>
      <c r="V150" s="4" t="s">
        <v>2552</v>
      </c>
      <c r="W150" s="2" t="s">
        <v>1285</v>
      </c>
      <c r="X150" s="2" t="s">
        <v>1199</v>
      </c>
      <c r="Y150" s="3" t="s">
        <v>86</v>
      </c>
    </row>
    <row r="151" spans="1:26" x14ac:dyDescent="0.2">
      <c r="A151" s="4">
        <v>146</v>
      </c>
      <c r="D151" s="6" t="s">
        <v>950</v>
      </c>
      <c r="E151" s="6" t="s">
        <v>1215</v>
      </c>
      <c r="G151" s="4" t="s">
        <v>2525</v>
      </c>
      <c r="H151" s="4" t="s">
        <v>2553</v>
      </c>
      <c r="I151" s="2" t="s">
        <v>1283</v>
      </c>
      <c r="J151" s="2" t="s">
        <v>1200</v>
      </c>
      <c r="K151" s="3" t="s">
        <v>90</v>
      </c>
      <c r="N151" s="4" t="s">
        <v>2523</v>
      </c>
      <c r="O151" s="4" t="s">
        <v>2552</v>
      </c>
      <c r="P151" s="2" t="s">
        <v>1283</v>
      </c>
      <c r="Q151" s="2" t="s">
        <v>1200</v>
      </c>
      <c r="R151" s="3" t="s">
        <v>90</v>
      </c>
      <c r="U151" s="4" t="s">
        <v>2522</v>
      </c>
      <c r="V151" s="4" t="s">
        <v>2552</v>
      </c>
      <c r="W151" s="2" t="s">
        <v>1283</v>
      </c>
      <c r="X151" s="2" t="s">
        <v>1200</v>
      </c>
      <c r="Y151" s="3" t="s">
        <v>90</v>
      </c>
    </row>
    <row r="152" spans="1:26" x14ac:dyDescent="0.2">
      <c r="A152" s="4">
        <v>147</v>
      </c>
      <c r="B152" s="6" t="s">
        <v>6</v>
      </c>
      <c r="C152" s="6" t="s">
        <v>950</v>
      </c>
      <c r="E152" s="6" t="s">
        <v>1215</v>
      </c>
      <c r="G152" s="4" t="s">
        <v>2525</v>
      </c>
      <c r="H152" s="4" t="s">
        <v>2546</v>
      </c>
      <c r="I152" s="2" t="s">
        <v>2551</v>
      </c>
      <c r="J152" s="2" t="s">
        <v>2550</v>
      </c>
      <c r="L152" s="2" t="s">
        <v>1820</v>
      </c>
      <c r="N152" s="4" t="s">
        <v>2523</v>
      </c>
      <c r="O152" s="4" t="s">
        <v>2545</v>
      </c>
      <c r="P152" s="2" t="s">
        <v>2549</v>
      </c>
      <c r="Q152" s="2" t="s">
        <v>2547</v>
      </c>
      <c r="S152" s="2" t="s">
        <v>1817</v>
      </c>
      <c r="U152" s="4" t="s">
        <v>2522</v>
      </c>
      <c r="V152" s="4" t="s">
        <v>2544</v>
      </c>
      <c r="W152" s="2" t="s">
        <v>2548</v>
      </c>
      <c r="X152" s="2" t="s">
        <v>2547</v>
      </c>
      <c r="Z152" s="2" t="s">
        <v>1814</v>
      </c>
    </row>
    <row r="153" spans="1:26" x14ac:dyDescent="0.2">
      <c r="A153" s="4">
        <v>148</v>
      </c>
      <c r="D153" s="6" t="s">
        <v>950</v>
      </c>
      <c r="E153" s="6" t="s">
        <v>1215</v>
      </c>
      <c r="G153" s="4" t="s">
        <v>2525</v>
      </c>
      <c r="H153" s="4" t="s">
        <v>2546</v>
      </c>
      <c r="I153" s="2" t="s">
        <v>1217</v>
      </c>
      <c r="J153" s="2" t="s">
        <v>933</v>
      </c>
      <c r="K153" s="3">
        <v>0</v>
      </c>
      <c r="N153" s="4" t="s">
        <v>2523</v>
      </c>
      <c r="O153" s="4" t="s">
        <v>2545</v>
      </c>
      <c r="P153" s="2" t="s">
        <v>1217</v>
      </c>
      <c r="Q153" s="2" t="s">
        <v>933</v>
      </c>
      <c r="R153" s="3">
        <v>0</v>
      </c>
      <c r="U153" s="4" t="s">
        <v>2522</v>
      </c>
      <c r="V153" s="4" t="s">
        <v>2544</v>
      </c>
      <c r="W153" s="2" t="s">
        <v>1217</v>
      </c>
      <c r="X153" s="2" t="s">
        <v>1216</v>
      </c>
      <c r="Y153" s="3">
        <v>0</v>
      </c>
    </row>
    <row r="154" spans="1:26" x14ac:dyDescent="0.2">
      <c r="A154" s="4">
        <v>149</v>
      </c>
      <c r="B154" s="6" t="s">
        <v>1221</v>
      </c>
      <c r="E154" s="6" t="s">
        <v>1215</v>
      </c>
      <c r="G154" s="4" t="s">
        <v>2525</v>
      </c>
      <c r="H154" s="4" t="s">
        <v>184</v>
      </c>
      <c r="I154" s="2" t="s">
        <v>96</v>
      </c>
      <c r="J154" s="2" t="s">
        <v>951</v>
      </c>
      <c r="L154" s="2" t="s">
        <v>1380</v>
      </c>
      <c r="N154" s="4" t="s">
        <v>2523</v>
      </c>
      <c r="O154" s="4" t="s">
        <v>2543</v>
      </c>
      <c r="P154" s="2" t="s">
        <v>733</v>
      </c>
      <c r="Q154" s="2" t="s">
        <v>951</v>
      </c>
      <c r="S154" s="2" t="s">
        <v>1379</v>
      </c>
      <c r="U154" s="4" t="s">
        <v>2522</v>
      </c>
      <c r="V154" s="4" t="s">
        <v>2542</v>
      </c>
      <c r="W154" s="2" t="s">
        <v>1378</v>
      </c>
      <c r="X154" s="2" t="s">
        <v>951</v>
      </c>
      <c r="Z154" s="2" t="s">
        <v>1377</v>
      </c>
    </row>
    <row r="155" spans="1:26" x14ac:dyDescent="0.2">
      <c r="A155" s="4">
        <v>150</v>
      </c>
      <c r="B155" s="6" t="s">
        <v>1221</v>
      </c>
      <c r="E155" s="6" t="s">
        <v>1215</v>
      </c>
      <c r="G155" s="4" t="s">
        <v>2525</v>
      </c>
      <c r="H155" s="4" t="s">
        <v>184</v>
      </c>
      <c r="I155" s="2" t="s">
        <v>99</v>
      </c>
      <c r="J155" s="2" t="s">
        <v>951</v>
      </c>
      <c r="L155" s="2" t="s">
        <v>1599</v>
      </c>
      <c r="N155" s="4" t="s">
        <v>2523</v>
      </c>
      <c r="O155" s="4" t="s">
        <v>2543</v>
      </c>
      <c r="P155" s="2" t="s">
        <v>734</v>
      </c>
      <c r="Q155" s="2" t="s">
        <v>951</v>
      </c>
      <c r="S155" s="2" t="s">
        <v>2811</v>
      </c>
      <c r="U155" s="4" t="s">
        <v>2522</v>
      </c>
      <c r="V155" s="4" t="s">
        <v>2542</v>
      </c>
      <c r="W155" s="2" t="s">
        <v>1376</v>
      </c>
      <c r="X155" s="2" t="s">
        <v>951</v>
      </c>
      <c r="Z155" s="2" t="s">
        <v>1598</v>
      </c>
    </row>
    <row r="156" spans="1:26" x14ac:dyDescent="0.2">
      <c r="A156" s="4">
        <v>151</v>
      </c>
      <c r="E156" s="6" t="s">
        <v>1215</v>
      </c>
      <c r="G156" s="4" t="s">
        <v>2525</v>
      </c>
      <c r="H156" s="4" t="s">
        <v>184</v>
      </c>
      <c r="I156" s="2" t="s">
        <v>101</v>
      </c>
      <c r="J156" s="2" t="s">
        <v>956</v>
      </c>
      <c r="N156" s="4" t="s">
        <v>2523</v>
      </c>
      <c r="O156" s="4" t="s">
        <v>2543</v>
      </c>
      <c r="P156" s="2" t="s">
        <v>735</v>
      </c>
      <c r="Q156" s="2" t="s">
        <v>956</v>
      </c>
      <c r="U156" s="4" t="s">
        <v>2522</v>
      </c>
      <c r="V156" s="4" t="s">
        <v>2542</v>
      </c>
      <c r="W156" s="2" t="s">
        <v>1294</v>
      </c>
      <c r="X156" s="2" t="s">
        <v>956</v>
      </c>
    </row>
    <row r="157" spans="1:26" ht="63.75" x14ac:dyDescent="0.2">
      <c r="A157" s="4">
        <v>152</v>
      </c>
      <c r="D157" s="6" t="s">
        <v>950</v>
      </c>
      <c r="E157" s="6" t="s">
        <v>1215</v>
      </c>
      <c r="G157" s="4" t="s">
        <v>2525</v>
      </c>
      <c r="H157" s="4" t="s">
        <v>184</v>
      </c>
      <c r="I157" s="2" t="s">
        <v>104</v>
      </c>
      <c r="J157" s="2" t="s">
        <v>1698</v>
      </c>
      <c r="N157" s="4" t="s">
        <v>2523</v>
      </c>
      <c r="O157" s="4" t="s">
        <v>2543</v>
      </c>
      <c r="P157" s="2" t="s">
        <v>736</v>
      </c>
      <c r="Q157" s="2" t="s">
        <v>1697</v>
      </c>
      <c r="U157" s="4" t="s">
        <v>2522</v>
      </c>
      <c r="V157" s="4" t="s">
        <v>2542</v>
      </c>
      <c r="W157" s="2" t="s">
        <v>1595</v>
      </c>
      <c r="X157" s="2" t="s">
        <v>1697</v>
      </c>
    </row>
    <row r="158" spans="1:26" ht="76.5" x14ac:dyDescent="0.2">
      <c r="A158" s="4">
        <v>153</v>
      </c>
      <c r="D158" s="6" t="s">
        <v>950</v>
      </c>
      <c r="E158" s="6" t="s">
        <v>1215</v>
      </c>
      <c r="G158" s="4" t="s">
        <v>2525</v>
      </c>
      <c r="H158" s="4" t="s">
        <v>184</v>
      </c>
      <c r="I158" s="2" t="s">
        <v>107</v>
      </c>
      <c r="J158" s="2" t="s">
        <v>1349</v>
      </c>
      <c r="L158" s="2" t="s">
        <v>1869</v>
      </c>
      <c r="N158" s="4" t="s">
        <v>2523</v>
      </c>
      <c r="O158" s="4" t="s">
        <v>2543</v>
      </c>
      <c r="P158" s="2" t="s">
        <v>1589</v>
      </c>
      <c r="Q158" s="2" t="s">
        <v>1349</v>
      </c>
      <c r="S158" s="2" t="s">
        <v>2810</v>
      </c>
      <c r="U158" s="4" t="s">
        <v>2522</v>
      </c>
      <c r="V158" s="4" t="s">
        <v>2542</v>
      </c>
      <c r="W158" s="2" t="s">
        <v>1587</v>
      </c>
      <c r="X158" s="2" t="s">
        <v>1349</v>
      </c>
      <c r="Z158" s="2" t="s">
        <v>2011</v>
      </c>
    </row>
    <row r="159" spans="1:26" x14ac:dyDescent="0.2">
      <c r="A159" s="4">
        <v>154</v>
      </c>
      <c r="D159" s="6" t="s">
        <v>950</v>
      </c>
      <c r="E159" s="6" t="s">
        <v>1215</v>
      </c>
      <c r="G159" s="4" t="s">
        <v>2525</v>
      </c>
      <c r="H159" s="4" t="s">
        <v>184</v>
      </c>
      <c r="I159" s="2" t="s">
        <v>1866</v>
      </c>
      <c r="J159" s="2" t="s">
        <v>1349</v>
      </c>
      <c r="L159" s="2" t="s">
        <v>1865</v>
      </c>
      <c r="N159" s="4" t="s">
        <v>2523</v>
      </c>
      <c r="O159" s="4" t="s">
        <v>2543</v>
      </c>
      <c r="P159" s="2" t="s">
        <v>1863</v>
      </c>
      <c r="Q159" s="2" t="s">
        <v>1349</v>
      </c>
      <c r="S159" s="2" t="s">
        <v>1862</v>
      </c>
      <c r="U159" s="4" t="s">
        <v>2522</v>
      </c>
      <c r="V159" s="4" t="s">
        <v>2542</v>
      </c>
      <c r="W159" s="2" t="s">
        <v>1860</v>
      </c>
      <c r="X159" s="2" t="s">
        <v>1349</v>
      </c>
      <c r="Z159" s="2" t="s">
        <v>2223</v>
      </c>
    </row>
    <row r="160" spans="1:26" ht="25.5" x14ac:dyDescent="0.2">
      <c r="A160" s="4">
        <v>155</v>
      </c>
      <c r="C160" s="6" t="s">
        <v>950</v>
      </c>
      <c r="E160" s="6" t="s">
        <v>1215</v>
      </c>
      <c r="G160" s="4" t="s">
        <v>2525</v>
      </c>
      <c r="H160" s="4" t="s">
        <v>185</v>
      </c>
      <c r="I160" s="2" t="s">
        <v>969</v>
      </c>
      <c r="J160" s="2" t="s">
        <v>2541</v>
      </c>
      <c r="L160" s="2" t="s">
        <v>1228</v>
      </c>
      <c r="N160" s="4" t="s">
        <v>2523</v>
      </c>
      <c r="O160" s="4" t="s">
        <v>768</v>
      </c>
      <c r="P160" s="2" t="s">
        <v>1319</v>
      </c>
      <c r="Q160" s="2" t="s">
        <v>2540</v>
      </c>
      <c r="S160" s="2" t="s">
        <v>1225</v>
      </c>
      <c r="U160" s="4" t="s">
        <v>2522</v>
      </c>
      <c r="V160" s="4" t="s">
        <v>768</v>
      </c>
      <c r="W160" s="2" t="s">
        <v>1319</v>
      </c>
      <c r="X160" s="2" t="s">
        <v>2539</v>
      </c>
      <c r="Z160" s="2" t="s">
        <v>1222</v>
      </c>
    </row>
    <row r="161" spans="1:26" x14ac:dyDescent="0.2">
      <c r="A161" s="4">
        <v>156</v>
      </c>
      <c r="B161" s="6" t="s">
        <v>1221</v>
      </c>
      <c r="E161" s="6" t="s">
        <v>1215</v>
      </c>
      <c r="G161" s="4" t="s">
        <v>2525</v>
      </c>
      <c r="H161" s="4" t="s">
        <v>185</v>
      </c>
      <c r="I161" s="2" t="s">
        <v>96</v>
      </c>
      <c r="J161" s="2" t="s">
        <v>951</v>
      </c>
      <c r="L161" s="2" t="s">
        <v>1380</v>
      </c>
      <c r="N161" s="4" t="s">
        <v>2523</v>
      </c>
      <c r="O161" s="4" t="s">
        <v>768</v>
      </c>
      <c r="P161" s="2" t="s">
        <v>733</v>
      </c>
      <c r="Q161" s="2" t="s">
        <v>951</v>
      </c>
      <c r="S161" s="2" t="s">
        <v>1379</v>
      </c>
      <c r="U161" s="4" t="s">
        <v>2522</v>
      </c>
      <c r="V161" s="4" t="s">
        <v>768</v>
      </c>
      <c r="W161" s="2" t="s">
        <v>1378</v>
      </c>
      <c r="X161" s="2" t="s">
        <v>951</v>
      </c>
      <c r="Z161" s="2" t="s">
        <v>1377</v>
      </c>
    </row>
    <row r="162" spans="1:26" x14ac:dyDescent="0.2">
      <c r="A162" s="4">
        <v>157</v>
      </c>
      <c r="B162" s="6" t="s">
        <v>1221</v>
      </c>
      <c r="E162" s="6" t="s">
        <v>1215</v>
      </c>
      <c r="G162" s="4" t="s">
        <v>2525</v>
      </c>
      <c r="H162" s="4" t="s">
        <v>185</v>
      </c>
      <c r="I162" s="2" t="s">
        <v>121</v>
      </c>
      <c r="J162" s="2" t="s">
        <v>951</v>
      </c>
      <c r="L162" s="2" t="s">
        <v>2211</v>
      </c>
      <c r="N162" s="4" t="s">
        <v>2523</v>
      </c>
      <c r="O162" s="4" t="s">
        <v>768</v>
      </c>
      <c r="P162" s="2" t="s">
        <v>742</v>
      </c>
      <c r="Q162" s="2" t="s">
        <v>951</v>
      </c>
      <c r="S162" s="2" t="s">
        <v>2151</v>
      </c>
      <c r="U162" s="4" t="s">
        <v>2522</v>
      </c>
      <c r="V162" s="4" t="s">
        <v>768</v>
      </c>
      <c r="W162" s="2" t="s">
        <v>742</v>
      </c>
      <c r="X162" s="2" t="s">
        <v>951</v>
      </c>
      <c r="Z162" s="2" t="s">
        <v>2207</v>
      </c>
    </row>
    <row r="163" spans="1:26" x14ac:dyDescent="0.2">
      <c r="A163" s="4">
        <v>158</v>
      </c>
      <c r="B163" s="6" t="s">
        <v>6</v>
      </c>
      <c r="E163" s="6" t="s">
        <v>1215</v>
      </c>
      <c r="G163" s="4" t="s">
        <v>2525</v>
      </c>
      <c r="H163" s="4" t="s">
        <v>185</v>
      </c>
      <c r="I163" s="2" t="s">
        <v>123</v>
      </c>
      <c r="J163" s="2" t="s">
        <v>1220</v>
      </c>
      <c r="N163" s="4" t="s">
        <v>2523</v>
      </c>
      <c r="O163" s="4" t="s">
        <v>768</v>
      </c>
      <c r="P163" s="2" t="s">
        <v>123</v>
      </c>
      <c r="Q163" s="2" t="s">
        <v>1218</v>
      </c>
      <c r="U163" s="4" t="s">
        <v>2522</v>
      </c>
      <c r="V163" s="4" t="s">
        <v>768</v>
      </c>
      <c r="W163" s="2" t="s">
        <v>1247</v>
      </c>
      <c r="X163" s="2" t="s">
        <v>1218</v>
      </c>
    </row>
    <row r="164" spans="1:26" x14ac:dyDescent="0.2">
      <c r="A164" s="4">
        <v>159</v>
      </c>
      <c r="E164" s="6" t="s">
        <v>1215</v>
      </c>
      <c r="G164" s="4" t="s">
        <v>2525</v>
      </c>
      <c r="H164" s="4" t="s">
        <v>185</v>
      </c>
      <c r="I164" s="2" t="s">
        <v>541</v>
      </c>
      <c r="J164" s="2" t="s">
        <v>314</v>
      </c>
      <c r="N164" s="4" t="s">
        <v>2523</v>
      </c>
      <c r="O164" s="4" t="s">
        <v>768</v>
      </c>
      <c r="P164" s="2" t="s">
        <v>875</v>
      </c>
      <c r="Q164" s="2" t="s">
        <v>803</v>
      </c>
      <c r="U164" s="4" t="s">
        <v>2522</v>
      </c>
      <c r="V164" s="4" t="s">
        <v>768</v>
      </c>
      <c r="W164" s="2" t="s">
        <v>875</v>
      </c>
      <c r="X164" s="2" t="s">
        <v>1497</v>
      </c>
    </row>
    <row r="165" spans="1:26" x14ac:dyDescent="0.2">
      <c r="A165" s="4">
        <v>160</v>
      </c>
      <c r="D165" s="6" t="s">
        <v>950</v>
      </c>
      <c r="E165" s="6" t="s">
        <v>1215</v>
      </c>
      <c r="G165" s="4" t="s">
        <v>2525</v>
      </c>
      <c r="H165" s="4" t="s">
        <v>185</v>
      </c>
      <c r="I165" s="2" t="s">
        <v>1855</v>
      </c>
      <c r="J165" s="2" t="s">
        <v>939</v>
      </c>
      <c r="N165" s="4" t="s">
        <v>2523</v>
      </c>
      <c r="O165" s="4" t="s">
        <v>768</v>
      </c>
      <c r="P165" s="2" t="s">
        <v>1853</v>
      </c>
      <c r="Q165" s="2" t="s">
        <v>1854</v>
      </c>
      <c r="U165" s="4" t="s">
        <v>2522</v>
      </c>
      <c r="V165" s="4" t="s">
        <v>768</v>
      </c>
      <c r="W165" s="2" t="s">
        <v>1853</v>
      </c>
      <c r="X165" s="2" t="s">
        <v>1852</v>
      </c>
    </row>
    <row r="166" spans="1:26" x14ac:dyDescent="0.2">
      <c r="A166" s="4">
        <v>161</v>
      </c>
      <c r="D166" s="6" t="s">
        <v>950</v>
      </c>
      <c r="E166" s="6" t="s">
        <v>1215</v>
      </c>
      <c r="G166" s="4" t="s">
        <v>2525</v>
      </c>
      <c r="H166" s="4" t="s">
        <v>185</v>
      </c>
      <c r="I166" s="2" t="s">
        <v>1851</v>
      </c>
      <c r="J166" s="2" t="s">
        <v>941</v>
      </c>
      <c r="N166" s="4" t="s">
        <v>2523</v>
      </c>
      <c r="O166" s="4" t="s">
        <v>768</v>
      </c>
      <c r="P166" s="2" t="s">
        <v>1850</v>
      </c>
      <c r="Q166" s="2" t="s">
        <v>1849</v>
      </c>
      <c r="U166" s="4" t="s">
        <v>2522</v>
      </c>
      <c r="V166" s="4" t="s">
        <v>768</v>
      </c>
      <c r="W166" s="2" t="s">
        <v>1848</v>
      </c>
      <c r="X166" s="2" t="s">
        <v>1847</v>
      </c>
    </row>
    <row r="167" spans="1:26" x14ac:dyDescent="0.2">
      <c r="A167" s="4">
        <v>162</v>
      </c>
      <c r="E167" s="6" t="s">
        <v>1215</v>
      </c>
      <c r="G167" s="4" t="s">
        <v>2525</v>
      </c>
      <c r="H167" s="4" t="s">
        <v>185</v>
      </c>
      <c r="I167" s="2" t="s">
        <v>2538</v>
      </c>
      <c r="J167" s="2" t="s">
        <v>939</v>
      </c>
      <c r="N167" s="4" t="s">
        <v>2523</v>
      </c>
      <c r="O167" s="4" t="s">
        <v>768</v>
      </c>
      <c r="P167" s="2" t="s">
        <v>2537</v>
      </c>
      <c r="Q167" s="2" t="s">
        <v>1854</v>
      </c>
      <c r="U167" s="4" t="s">
        <v>2522</v>
      </c>
      <c r="V167" s="4" t="s">
        <v>768</v>
      </c>
      <c r="W167" s="2" t="s">
        <v>2537</v>
      </c>
      <c r="X167" s="2" t="s">
        <v>1852</v>
      </c>
    </row>
    <row r="168" spans="1:26" x14ac:dyDescent="0.2">
      <c r="A168" s="4">
        <v>163</v>
      </c>
      <c r="E168" s="6" t="s">
        <v>1215</v>
      </c>
      <c r="G168" s="4" t="s">
        <v>2525</v>
      </c>
      <c r="H168" s="4" t="s">
        <v>185</v>
      </c>
      <c r="I168" s="2" t="s">
        <v>2536</v>
      </c>
      <c r="J168" s="2" t="s">
        <v>941</v>
      </c>
      <c r="N168" s="4" t="s">
        <v>2523</v>
      </c>
      <c r="O168" s="4" t="s">
        <v>768</v>
      </c>
      <c r="P168" s="2" t="s">
        <v>2535</v>
      </c>
      <c r="Q168" s="2" t="s">
        <v>1849</v>
      </c>
      <c r="U168" s="4" t="s">
        <v>2522</v>
      </c>
      <c r="V168" s="4" t="s">
        <v>768</v>
      </c>
      <c r="W168" s="2" t="s">
        <v>2534</v>
      </c>
      <c r="X168" s="2" t="s">
        <v>1847</v>
      </c>
    </row>
    <row r="169" spans="1:26" x14ac:dyDescent="0.2">
      <c r="A169" s="4">
        <v>164</v>
      </c>
      <c r="B169" s="6" t="s">
        <v>6</v>
      </c>
      <c r="C169" s="6" t="s">
        <v>950</v>
      </c>
      <c r="E169" s="6" t="s">
        <v>1215</v>
      </c>
      <c r="G169" s="4" t="s">
        <v>2525</v>
      </c>
      <c r="H169" s="4" t="s">
        <v>2524</v>
      </c>
      <c r="I169" s="2" t="s">
        <v>2533</v>
      </c>
      <c r="J169" s="2" t="s">
        <v>2532</v>
      </c>
      <c r="L169" s="2" t="s">
        <v>2531</v>
      </c>
      <c r="N169" s="4" t="s">
        <v>2523</v>
      </c>
      <c r="O169" s="4" t="s">
        <v>2521</v>
      </c>
      <c r="P169" s="2" t="s">
        <v>2530</v>
      </c>
      <c r="Q169" s="2" t="s">
        <v>2527</v>
      </c>
      <c r="S169" s="2" t="s">
        <v>2529</v>
      </c>
      <c r="U169" s="4" t="s">
        <v>2522</v>
      </c>
      <c r="V169" s="4" t="s">
        <v>2521</v>
      </c>
      <c r="W169" s="2" t="s">
        <v>2528</v>
      </c>
      <c r="X169" s="2" t="s">
        <v>2527</v>
      </c>
      <c r="Z169" s="2" t="s">
        <v>2526</v>
      </c>
    </row>
    <row r="170" spans="1:26" x14ac:dyDescent="0.2">
      <c r="A170" s="4">
        <v>165</v>
      </c>
      <c r="E170" s="6" t="s">
        <v>1215</v>
      </c>
      <c r="G170" s="4" t="s">
        <v>2525</v>
      </c>
      <c r="H170" s="4" t="s">
        <v>2524</v>
      </c>
      <c r="I170" s="2" t="s">
        <v>1219</v>
      </c>
      <c r="J170" s="2" t="s">
        <v>1220</v>
      </c>
      <c r="N170" s="4" t="s">
        <v>2523</v>
      </c>
      <c r="O170" s="4" t="s">
        <v>2521</v>
      </c>
      <c r="P170" s="2" t="s">
        <v>1219</v>
      </c>
      <c r="Q170" s="2" t="s">
        <v>1218</v>
      </c>
      <c r="U170" s="4" t="s">
        <v>2522</v>
      </c>
      <c r="V170" s="4" t="s">
        <v>2521</v>
      </c>
      <c r="W170" s="2" t="s">
        <v>1219</v>
      </c>
      <c r="X170" s="2" t="s">
        <v>1218</v>
      </c>
    </row>
    <row r="171" spans="1:26" x14ac:dyDescent="0.2">
      <c r="A171" s="4">
        <v>166</v>
      </c>
      <c r="D171" s="6" t="s">
        <v>950</v>
      </c>
      <c r="E171" s="6" t="s">
        <v>1215</v>
      </c>
      <c r="G171" s="4" t="s">
        <v>2525</v>
      </c>
      <c r="H171" s="4" t="s">
        <v>2524</v>
      </c>
      <c r="I171" s="2" t="s">
        <v>1217</v>
      </c>
      <c r="J171" s="2" t="s">
        <v>933</v>
      </c>
      <c r="K171" s="3">
        <v>100</v>
      </c>
      <c r="N171" s="4" t="s">
        <v>2523</v>
      </c>
      <c r="O171" s="4" t="s">
        <v>2521</v>
      </c>
      <c r="P171" s="2" t="s">
        <v>1217</v>
      </c>
      <c r="Q171" s="2" t="s">
        <v>933</v>
      </c>
      <c r="R171" s="3">
        <v>100</v>
      </c>
      <c r="U171" s="4" t="s">
        <v>2522</v>
      </c>
      <c r="V171" s="4" t="s">
        <v>2521</v>
      </c>
      <c r="W171" s="2" t="s">
        <v>1217</v>
      </c>
      <c r="X171" s="2" t="s">
        <v>1216</v>
      </c>
      <c r="Y171" s="3">
        <v>100</v>
      </c>
    </row>
    <row r="172" spans="1:26" x14ac:dyDescent="0.2">
      <c r="A172" s="4">
        <v>167</v>
      </c>
      <c r="D172" s="6" t="s">
        <v>950</v>
      </c>
      <c r="E172" s="6" t="s">
        <v>1215</v>
      </c>
      <c r="G172" s="4" t="s">
        <v>2525</v>
      </c>
      <c r="H172" s="4" t="s">
        <v>2524</v>
      </c>
      <c r="I172" s="2" t="s">
        <v>1285</v>
      </c>
      <c r="J172" s="2" t="s">
        <v>1199</v>
      </c>
      <c r="K172" s="3" t="s">
        <v>86</v>
      </c>
      <c r="N172" s="4" t="s">
        <v>2523</v>
      </c>
      <c r="O172" s="4" t="s">
        <v>2521</v>
      </c>
      <c r="P172" s="2" t="s">
        <v>1285</v>
      </c>
      <c r="Q172" s="2" t="s">
        <v>1199</v>
      </c>
      <c r="R172" s="3" t="s">
        <v>86</v>
      </c>
      <c r="U172" s="4" t="s">
        <v>2522</v>
      </c>
      <c r="V172" s="4" t="s">
        <v>2521</v>
      </c>
      <c r="W172" s="2" t="s">
        <v>1285</v>
      </c>
      <c r="X172" s="2" t="s">
        <v>1199</v>
      </c>
      <c r="Y172" s="3" t="s">
        <v>86</v>
      </c>
    </row>
    <row r="173" spans="1:26" x14ac:dyDescent="0.2">
      <c r="A173" s="4">
        <v>168</v>
      </c>
      <c r="D173" s="6" t="s">
        <v>950</v>
      </c>
      <c r="E173" s="6" t="s">
        <v>1215</v>
      </c>
      <c r="G173" s="4" t="s">
        <v>2525</v>
      </c>
      <c r="H173" s="4" t="s">
        <v>2524</v>
      </c>
      <c r="I173" s="2" t="s">
        <v>1283</v>
      </c>
      <c r="J173" s="2" t="s">
        <v>1200</v>
      </c>
      <c r="K173" s="3" t="s">
        <v>90</v>
      </c>
      <c r="N173" s="4" t="s">
        <v>2523</v>
      </c>
      <c r="O173" s="4" t="s">
        <v>2521</v>
      </c>
      <c r="P173" s="2" t="s">
        <v>1283</v>
      </c>
      <c r="Q173" s="2" t="s">
        <v>1200</v>
      </c>
      <c r="R173" s="3" t="s">
        <v>90</v>
      </c>
      <c r="U173" s="4" t="s">
        <v>2522</v>
      </c>
      <c r="V173" s="4" t="s">
        <v>2521</v>
      </c>
      <c r="W173" s="2" t="s">
        <v>1283</v>
      </c>
      <c r="X173" s="2" t="s">
        <v>1200</v>
      </c>
      <c r="Y173" s="3" t="s">
        <v>90</v>
      </c>
    </row>
    <row r="174" spans="1:26" x14ac:dyDescent="0.2">
      <c r="A174" s="4">
        <v>169</v>
      </c>
      <c r="E174" s="6" t="s">
        <v>1385</v>
      </c>
      <c r="G174" s="4" t="s">
        <v>19</v>
      </c>
      <c r="I174" s="2" t="s">
        <v>2413</v>
      </c>
      <c r="J174" s="2" t="s">
        <v>1098</v>
      </c>
      <c r="N174" s="4" t="s">
        <v>2370</v>
      </c>
      <c r="P174" s="2" t="s">
        <v>2411</v>
      </c>
      <c r="Q174" s="2" t="s">
        <v>813</v>
      </c>
      <c r="U174" s="4" t="s">
        <v>2369</v>
      </c>
      <c r="W174" s="2" t="s">
        <v>2409</v>
      </c>
      <c r="X174" s="2" t="s">
        <v>2403</v>
      </c>
    </row>
    <row r="175" spans="1:26" ht="25.5" x14ac:dyDescent="0.2">
      <c r="A175" s="4">
        <v>170</v>
      </c>
      <c r="E175" s="6" t="s">
        <v>1385</v>
      </c>
      <c r="G175" s="4" t="s">
        <v>19</v>
      </c>
      <c r="I175" s="2" t="s">
        <v>2413</v>
      </c>
      <c r="J175" s="2" t="s">
        <v>1099</v>
      </c>
      <c r="N175" s="4" t="s">
        <v>2370</v>
      </c>
      <c r="P175" s="2" t="s">
        <v>2411</v>
      </c>
      <c r="Q175" s="2" t="s">
        <v>2520</v>
      </c>
      <c r="U175" s="4" t="s">
        <v>2369</v>
      </c>
      <c r="W175" s="2" t="s">
        <v>2409</v>
      </c>
      <c r="X175" s="2" t="s">
        <v>2519</v>
      </c>
    </row>
    <row r="176" spans="1:26" ht="25.5" x14ac:dyDescent="0.2">
      <c r="A176" s="4">
        <v>171</v>
      </c>
      <c r="E176" s="6" t="s">
        <v>1385</v>
      </c>
      <c r="G176" s="4" t="s">
        <v>19</v>
      </c>
      <c r="I176" s="2" t="s">
        <v>2413</v>
      </c>
      <c r="J176" s="2" t="s">
        <v>1100</v>
      </c>
      <c r="N176" s="4" t="s">
        <v>2370</v>
      </c>
      <c r="P176" s="2" t="s">
        <v>2411</v>
      </c>
      <c r="Q176" s="2" t="s">
        <v>2518</v>
      </c>
      <c r="U176" s="4" t="s">
        <v>2369</v>
      </c>
      <c r="W176" s="2" t="s">
        <v>2409</v>
      </c>
      <c r="X176" s="2" t="s">
        <v>2517</v>
      </c>
    </row>
    <row r="177" spans="1:26" ht="25.5" x14ac:dyDescent="0.2">
      <c r="A177" s="4">
        <v>172</v>
      </c>
      <c r="E177" s="6" t="s">
        <v>1385</v>
      </c>
      <c r="G177" s="4" t="s">
        <v>19</v>
      </c>
      <c r="I177" s="2" t="s">
        <v>2413</v>
      </c>
      <c r="J177" s="2" t="s">
        <v>1101</v>
      </c>
      <c r="N177" s="4" t="s">
        <v>2370</v>
      </c>
      <c r="P177" s="2" t="s">
        <v>2411</v>
      </c>
      <c r="Q177" s="2" t="s">
        <v>2516</v>
      </c>
      <c r="U177" s="4" t="s">
        <v>2369</v>
      </c>
      <c r="W177" s="2" t="s">
        <v>2409</v>
      </c>
      <c r="X177" s="2" t="s">
        <v>2515</v>
      </c>
    </row>
    <row r="178" spans="1:26" ht="25.5" x14ac:dyDescent="0.2">
      <c r="A178" s="4">
        <v>173</v>
      </c>
      <c r="E178" s="6" t="s">
        <v>1385</v>
      </c>
      <c r="G178" s="4" t="s">
        <v>19</v>
      </c>
      <c r="I178" s="2" t="s">
        <v>2413</v>
      </c>
      <c r="J178" s="2" t="s">
        <v>1102</v>
      </c>
      <c r="N178" s="4" t="s">
        <v>2370</v>
      </c>
      <c r="P178" s="2" t="s">
        <v>2411</v>
      </c>
      <c r="Q178" s="2" t="s">
        <v>2514</v>
      </c>
      <c r="U178" s="4" t="s">
        <v>2369</v>
      </c>
      <c r="W178" s="2" t="s">
        <v>2409</v>
      </c>
      <c r="X178" s="2" t="s">
        <v>2513</v>
      </c>
    </row>
    <row r="179" spans="1:26" ht="25.5" x14ac:dyDescent="0.2">
      <c r="A179" s="4">
        <v>174</v>
      </c>
      <c r="E179" s="6" t="s">
        <v>1385</v>
      </c>
      <c r="G179" s="4" t="s">
        <v>19</v>
      </c>
      <c r="I179" s="2" t="s">
        <v>2413</v>
      </c>
      <c r="J179" s="2" t="s">
        <v>1103</v>
      </c>
      <c r="N179" s="4" t="s">
        <v>2370</v>
      </c>
      <c r="P179" s="2" t="s">
        <v>2411</v>
      </c>
      <c r="Q179" s="2" t="s">
        <v>2512</v>
      </c>
      <c r="U179" s="4" t="s">
        <v>2369</v>
      </c>
      <c r="W179" s="2" t="s">
        <v>2409</v>
      </c>
      <c r="X179" s="2" t="s">
        <v>2511</v>
      </c>
    </row>
    <row r="180" spans="1:26" ht="25.5" x14ac:dyDescent="0.2">
      <c r="A180" s="4">
        <v>175</v>
      </c>
      <c r="E180" s="6" t="s">
        <v>1385</v>
      </c>
      <c r="G180" s="4" t="s">
        <v>19</v>
      </c>
      <c r="I180" s="2" t="s">
        <v>2413</v>
      </c>
      <c r="J180" s="2" t="s">
        <v>1104</v>
      </c>
      <c r="N180" s="4" t="s">
        <v>2370</v>
      </c>
      <c r="P180" s="2" t="s">
        <v>2411</v>
      </c>
      <c r="Q180" s="2" t="s">
        <v>2510</v>
      </c>
      <c r="U180" s="4" t="s">
        <v>2369</v>
      </c>
      <c r="W180" s="2" t="s">
        <v>2409</v>
      </c>
      <c r="X180" s="2" t="s">
        <v>2509</v>
      </c>
    </row>
    <row r="181" spans="1:26" ht="25.5" x14ac:dyDescent="0.2">
      <c r="A181" s="4">
        <v>176</v>
      </c>
      <c r="E181" s="6" t="s">
        <v>1385</v>
      </c>
      <c r="G181" s="4" t="s">
        <v>19</v>
      </c>
      <c r="I181" s="2" t="s">
        <v>2413</v>
      </c>
      <c r="J181" s="2" t="s">
        <v>1105</v>
      </c>
      <c r="N181" s="4" t="s">
        <v>2370</v>
      </c>
      <c r="P181" s="2" t="s">
        <v>2411</v>
      </c>
      <c r="Q181" s="2" t="s">
        <v>2508</v>
      </c>
      <c r="U181" s="4" t="s">
        <v>2369</v>
      </c>
      <c r="W181" s="2" t="s">
        <v>2409</v>
      </c>
      <c r="X181" s="2" t="s">
        <v>2507</v>
      </c>
    </row>
    <row r="182" spans="1:26" ht="25.5" x14ac:dyDescent="0.2">
      <c r="A182" s="4">
        <v>177</v>
      </c>
      <c r="E182" s="6" t="s">
        <v>1385</v>
      </c>
      <c r="G182" s="4" t="s">
        <v>19</v>
      </c>
      <c r="I182" s="2" t="s">
        <v>2413</v>
      </c>
      <c r="J182" s="2" t="s">
        <v>1106</v>
      </c>
      <c r="N182" s="4" t="s">
        <v>2370</v>
      </c>
      <c r="P182" s="2" t="s">
        <v>2411</v>
      </c>
      <c r="Q182" s="2" t="s">
        <v>2506</v>
      </c>
      <c r="U182" s="4" t="s">
        <v>2369</v>
      </c>
      <c r="W182" s="2" t="s">
        <v>2409</v>
      </c>
      <c r="X182" s="2" t="s">
        <v>2505</v>
      </c>
    </row>
    <row r="183" spans="1:26" ht="25.5" x14ac:dyDescent="0.2">
      <c r="A183" s="4">
        <v>178</v>
      </c>
      <c r="E183" s="6" t="s">
        <v>1385</v>
      </c>
      <c r="G183" s="4" t="s">
        <v>19</v>
      </c>
      <c r="I183" s="2" t="s">
        <v>2413</v>
      </c>
      <c r="J183" s="2" t="s">
        <v>1107</v>
      </c>
      <c r="N183" s="4" t="s">
        <v>2370</v>
      </c>
      <c r="P183" s="2" t="s">
        <v>2411</v>
      </c>
      <c r="Q183" s="2" t="s">
        <v>2504</v>
      </c>
      <c r="U183" s="4" t="s">
        <v>2369</v>
      </c>
      <c r="W183" s="2" t="s">
        <v>2409</v>
      </c>
      <c r="X183" s="2" t="s">
        <v>2503</v>
      </c>
    </row>
    <row r="184" spans="1:26" ht="38.25" x14ac:dyDescent="0.2">
      <c r="A184" s="4">
        <v>179</v>
      </c>
      <c r="E184" s="6" t="s">
        <v>1385</v>
      </c>
      <c r="G184" s="4" t="s">
        <v>19</v>
      </c>
      <c r="I184" s="2" t="s">
        <v>2413</v>
      </c>
      <c r="J184" s="2" t="s">
        <v>1108</v>
      </c>
      <c r="N184" s="4" t="s">
        <v>2370</v>
      </c>
      <c r="P184" s="2" t="s">
        <v>2411</v>
      </c>
      <c r="Q184" s="2" t="s">
        <v>2502</v>
      </c>
      <c r="U184" s="4" t="s">
        <v>2369</v>
      </c>
      <c r="W184" s="2" t="s">
        <v>2409</v>
      </c>
      <c r="X184" s="2" t="s">
        <v>2501</v>
      </c>
    </row>
    <row r="185" spans="1:26" ht="25.5" x14ac:dyDescent="0.2">
      <c r="A185" s="4">
        <v>180</v>
      </c>
      <c r="E185" s="6" t="s">
        <v>1385</v>
      </c>
      <c r="G185" s="4" t="s">
        <v>19</v>
      </c>
      <c r="I185" s="2" t="s">
        <v>2413</v>
      </c>
      <c r="J185" s="2" t="s">
        <v>1109</v>
      </c>
      <c r="N185" s="4" t="s">
        <v>2370</v>
      </c>
      <c r="P185" s="2" t="s">
        <v>2411</v>
      </c>
      <c r="Q185" s="2" t="s">
        <v>2500</v>
      </c>
      <c r="U185" s="4" t="s">
        <v>2369</v>
      </c>
      <c r="W185" s="2" t="s">
        <v>2409</v>
      </c>
      <c r="X185" s="2" t="s">
        <v>2499</v>
      </c>
    </row>
    <row r="186" spans="1:26" ht="25.5" x14ac:dyDescent="0.2">
      <c r="A186" s="4">
        <v>181</v>
      </c>
      <c r="E186" s="6" t="s">
        <v>1385</v>
      </c>
      <c r="G186" s="4" t="s">
        <v>19</v>
      </c>
      <c r="I186" s="2" t="s">
        <v>2413</v>
      </c>
      <c r="J186" s="2" t="s">
        <v>1110</v>
      </c>
      <c r="N186" s="4" t="s">
        <v>2370</v>
      </c>
      <c r="P186" s="2" t="s">
        <v>2411</v>
      </c>
      <c r="Q186" s="2" t="s">
        <v>2498</v>
      </c>
      <c r="U186" s="4" t="s">
        <v>2369</v>
      </c>
      <c r="W186" s="2" t="s">
        <v>2409</v>
      </c>
      <c r="X186" s="2" t="s">
        <v>2497</v>
      </c>
    </row>
    <row r="187" spans="1:26" ht="25.5" x14ac:dyDescent="0.2">
      <c r="A187" s="4">
        <v>182</v>
      </c>
      <c r="E187" s="6" t="s">
        <v>1385</v>
      </c>
      <c r="G187" s="4" t="s">
        <v>19</v>
      </c>
      <c r="I187" s="2" t="s">
        <v>2413</v>
      </c>
      <c r="J187" s="2" t="s">
        <v>1111</v>
      </c>
      <c r="N187" s="4" t="s">
        <v>2370</v>
      </c>
      <c r="P187" s="2" t="s">
        <v>2411</v>
      </c>
      <c r="Q187" s="2" t="s">
        <v>2496</v>
      </c>
      <c r="U187" s="4" t="s">
        <v>2369</v>
      </c>
      <c r="W187" s="2" t="s">
        <v>2409</v>
      </c>
      <c r="X187" s="2" t="s">
        <v>2495</v>
      </c>
    </row>
    <row r="188" spans="1:26" x14ac:dyDescent="0.2">
      <c r="A188" s="4">
        <v>183</v>
      </c>
      <c r="E188" s="6" t="s">
        <v>1385</v>
      </c>
      <c r="G188" s="4" t="s">
        <v>19</v>
      </c>
      <c r="I188" s="2" t="s">
        <v>2413</v>
      </c>
      <c r="J188" s="2" t="s">
        <v>2494</v>
      </c>
      <c r="N188" s="4" t="s">
        <v>2370</v>
      </c>
      <c r="P188" s="2" t="s">
        <v>2411</v>
      </c>
      <c r="Q188" s="2" t="s">
        <v>2493</v>
      </c>
      <c r="U188" s="4" t="s">
        <v>2369</v>
      </c>
      <c r="W188" s="2" t="s">
        <v>2409</v>
      </c>
      <c r="X188" s="2" t="s">
        <v>2492</v>
      </c>
    </row>
    <row r="189" spans="1:26" x14ac:dyDescent="0.2">
      <c r="A189" s="4">
        <v>184</v>
      </c>
      <c r="E189" s="6" t="s">
        <v>1385</v>
      </c>
      <c r="G189" s="4" t="s">
        <v>19</v>
      </c>
      <c r="I189" s="2" t="s">
        <v>2413</v>
      </c>
      <c r="J189" s="2" t="s">
        <v>2491</v>
      </c>
      <c r="N189" s="4" t="s">
        <v>2370</v>
      </c>
      <c r="P189" s="2" t="s">
        <v>2411</v>
      </c>
      <c r="Q189" s="2" t="s">
        <v>2490</v>
      </c>
      <c r="U189" s="4" t="s">
        <v>2369</v>
      </c>
      <c r="W189" s="2" t="s">
        <v>2409</v>
      </c>
      <c r="X189" s="2" t="s">
        <v>2489</v>
      </c>
    </row>
    <row r="190" spans="1:26" ht="25.5" x14ac:dyDescent="0.2">
      <c r="A190" s="4">
        <v>185</v>
      </c>
      <c r="E190" s="6" t="s">
        <v>1385</v>
      </c>
      <c r="G190" s="4" t="s">
        <v>19</v>
      </c>
      <c r="I190" s="2" t="s">
        <v>2413</v>
      </c>
      <c r="J190" s="2" t="s">
        <v>1114</v>
      </c>
      <c r="N190" s="4" t="s">
        <v>2370</v>
      </c>
      <c r="P190" s="2" t="s">
        <v>2411</v>
      </c>
      <c r="Q190" s="2" t="s">
        <v>2488</v>
      </c>
      <c r="U190" s="4" t="s">
        <v>2369</v>
      </c>
      <c r="W190" s="2" t="s">
        <v>2409</v>
      </c>
      <c r="X190" s="2" t="s">
        <v>2487</v>
      </c>
    </row>
    <row r="191" spans="1:26" ht="25.5" x14ac:dyDescent="0.2">
      <c r="A191" s="4">
        <v>186</v>
      </c>
      <c r="E191" s="6" t="s">
        <v>1385</v>
      </c>
      <c r="G191" s="4" t="s">
        <v>19</v>
      </c>
      <c r="I191" s="2" t="s">
        <v>2413</v>
      </c>
      <c r="J191" s="2" t="s">
        <v>1115</v>
      </c>
      <c r="N191" s="4" t="s">
        <v>2370</v>
      </c>
      <c r="P191" s="2" t="s">
        <v>2411</v>
      </c>
      <c r="Q191" s="2" t="s">
        <v>2486</v>
      </c>
      <c r="U191" s="4" t="s">
        <v>2369</v>
      </c>
      <c r="W191" s="2" t="s">
        <v>2409</v>
      </c>
      <c r="X191" s="2" t="s">
        <v>2485</v>
      </c>
    </row>
    <row r="192" spans="1:26" ht="38.25" x14ac:dyDescent="0.2">
      <c r="A192" s="4">
        <v>187</v>
      </c>
      <c r="E192" s="6" t="s">
        <v>1385</v>
      </c>
      <c r="G192" s="4" t="s">
        <v>19</v>
      </c>
      <c r="I192" s="2" t="s">
        <v>2413</v>
      </c>
      <c r="J192" s="2" t="s">
        <v>1116</v>
      </c>
      <c r="L192" s="2" t="s">
        <v>2482</v>
      </c>
      <c r="N192" s="4" t="s">
        <v>2370</v>
      </c>
      <c r="P192" s="2" t="s">
        <v>2411</v>
      </c>
      <c r="Q192" s="2" t="s">
        <v>2484</v>
      </c>
      <c r="S192" s="2" t="s">
        <v>2480</v>
      </c>
      <c r="U192" s="4" t="s">
        <v>2369</v>
      </c>
      <c r="W192" s="2" t="s">
        <v>2409</v>
      </c>
      <c r="X192" s="2" t="s">
        <v>2483</v>
      </c>
      <c r="Z192" s="2" t="s">
        <v>2478</v>
      </c>
    </row>
    <row r="193" spans="1:26" ht="38.25" x14ac:dyDescent="0.2">
      <c r="A193" s="4">
        <v>188</v>
      </c>
      <c r="E193" s="6" t="s">
        <v>1385</v>
      </c>
      <c r="G193" s="4" t="s">
        <v>19</v>
      </c>
      <c r="I193" s="2" t="s">
        <v>2413</v>
      </c>
      <c r="J193" s="2" t="s">
        <v>1117</v>
      </c>
      <c r="L193" s="2" t="s">
        <v>2482</v>
      </c>
      <c r="N193" s="4" t="s">
        <v>2370</v>
      </c>
      <c r="P193" s="2" t="s">
        <v>2411</v>
      </c>
      <c r="Q193" s="2" t="s">
        <v>2481</v>
      </c>
      <c r="S193" s="2" t="s">
        <v>2480</v>
      </c>
      <c r="U193" s="4" t="s">
        <v>2369</v>
      </c>
      <c r="W193" s="2" t="s">
        <v>2409</v>
      </c>
      <c r="X193" s="2" t="s">
        <v>2479</v>
      </c>
      <c r="Z193" s="2" t="s">
        <v>2478</v>
      </c>
    </row>
    <row r="194" spans="1:26" ht="25.5" x14ac:dyDescent="0.2">
      <c r="A194" s="4">
        <v>189</v>
      </c>
      <c r="E194" s="6" t="s">
        <v>1385</v>
      </c>
      <c r="G194" s="4" t="s">
        <v>19</v>
      </c>
      <c r="I194" s="2" t="s">
        <v>2413</v>
      </c>
      <c r="J194" s="2" t="s">
        <v>1118</v>
      </c>
      <c r="N194" s="4" t="s">
        <v>2370</v>
      </c>
      <c r="P194" s="2" t="s">
        <v>2411</v>
      </c>
      <c r="Q194" s="2" t="s">
        <v>2477</v>
      </c>
      <c r="U194" s="4" t="s">
        <v>2369</v>
      </c>
      <c r="W194" s="2" t="s">
        <v>2409</v>
      </c>
      <c r="X194" s="2" t="s">
        <v>2476</v>
      </c>
    </row>
    <row r="195" spans="1:26" ht="25.5" x14ac:dyDescent="0.2">
      <c r="A195" s="4">
        <v>190</v>
      </c>
      <c r="E195" s="6" t="s">
        <v>1385</v>
      </c>
      <c r="G195" s="4" t="s">
        <v>19</v>
      </c>
      <c r="I195" s="2" t="s">
        <v>2413</v>
      </c>
      <c r="J195" s="2" t="s">
        <v>1119</v>
      </c>
      <c r="N195" s="4" t="s">
        <v>2370</v>
      </c>
      <c r="P195" s="2" t="s">
        <v>2411</v>
      </c>
      <c r="Q195" s="2" t="s">
        <v>2475</v>
      </c>
      <c r="U195" s="4" t="s">
        <v>2369</v>
      </c>
      <c r="W195" s="2" t="s">
        <v>2409</v>
      </c>
      <c r="X195" s="2" t="s">
        <v>2474</v>
      </c>
    </row>
    <row r="196" spans="1:26" ht="25.5" x14ac:dyDescent="0.2">
      <c r="A196" s="4">
        <v>191</v>
      </c>
      <c r="E196" s="6" t="s">
        <v>1385</v>
      </c>
      <c r="G196" s="4" t="s">
        <v>19</v>
      </c>
      <c r="I196" s="2" t="s">
        <v>2413</v>
      </c>
      <c r="J196" s="2" t="s">
        <v>1120</v>
      </c>
      <c r="N196" s="4" t="s">
        <v>2370</v>
      </c>
      <c r="P196" s="2" t="s">
        <v>2411</v>
      </c>
      <c r="Q196" s="2" t="s">
        <v>2473</v>
      </c>
      <c r="U196" s="4" t="s">
        <v>2369</v>
      </c>
      <c r="W196" s="2" t="s">
        <v>2409</v>
      </c>
      <c r="X196" s="2" t="s">
        <v>2472</v>
      </c>
    </row>
    <row r="197" spans="1:26" ht="25.5" x14ac:dyDescent="0.2">
      <c r="A197" s="4">
        <v>192</v>
      </c>
      <c r="E197" s="6" t="s">
        <v>1385</v>
      </c>
      <c r="G197" s="4" t="s">
        <v>19</v>
      </c>
      <c r="I197" s="2" t="s">
        <v>2413</v>
      </c>
      <c r="J197" s="2" t="s">
        <v>1121</v>
      </c>
      <c r="N197" s="4" t="s">
        <v>2370</v>
      </c>
      <c r="P197" s="2" t="s">
        <v>2411</v>
      </c>
      <c r="Q197" s="2" t="s">
        <v>2471</v>
      </c>
      <c r="U197" s="4" t="s">
        <v>2369</v>
      </c>
      <c r="W197" s="2" t="s">
        <v>2409</v>
      </c>
      <c r="X197" s="2" t="s">
        <v>2470</v>
      </c>
    </row>
    <row r="198" spans="1:26" ht="25.5" x14ac:dyDescent="0.2">
      <c r="A198" s="4">
        <v>193</v>
      </c>
      <c r="E198" s="6" t="s">
        <v>1385</v>
      </c>
      <c r="G198" s="4" t="s">
        <v>19</v>
      </c>
      <c r="I198" s="2" t="s">
        <v>2413</v>
      </c>
      <c r="J198" s="2" t="s">
        <v>1122</v>
      </c>
      <c r="N198" s="4" t="s">
        <v>2370</v>
      </c>
      <c r="P198" s="2" t="s">
        <v>2411</v>
      </c>
      <c r="Q198" s="2" t="s">
        <v>2469</v>
      </c>
      <c r="U198" s="4" t="s">
        <v>2369</v>
      </c>
      <c r="W198" s="2" t="s">
        <v>2409</v>
      </c>
      <c r="X198" s="2" t="s">
        <v>2468</v>
      </c>
    </row>
    <row r="199" spans="1:26" ht="25.5" x14ac:dyDescent="0.2">
      <c r="A199" s="4">
        <v>194</v>
      </c>
      <c r="E199" s="6" t="s">
        <v>1385</v>
      </c>
      <c r="G199" s="4" t="s">
        <v>19</v>
      </c>
      <c r="I199" s="2" t="s">
        <v>2413</v>
      </c>
      <c r="J199" s="2" t="s">
        <v>1123</v>
      </c>
      <c r="N199" s="4" t="s">
        <v>2370</v>
      </c>
      <c r="P199" s="2" t="s">
        <v>2411</v>
      </c>
      <c r="Q199" s="2" t="s">
        <v>2467</v>
      </c>
      <c r="U199" s="4" t="s">
        <v>2369</v>
      </c>
      <c r="W199" s="2" t="s">
        <v>2409</v>
      </c>
      <c r="X199" s="2" t="s">
        <v>2466</v>
      </c>
    </row>
    <row r="200" spans="1:26" x14ac:dyDescent="0.2">
      <c r="A200" s="4">
        <v>195</v>
      </c>
      <c r="B200" s="6" t="s">
        <v>1221</v>
      </c>
      <c r="E200" s="6" t="s">
        <v>1215</v>
      </c>
      <c r="G200" s="4" t="s">
        <v>19</v>
      </c>
      <c r="H200" s="4" t="s">
        <v>406</v>
      </c>
      <c r="I200" s="2" t="s">
        <v>96</v>
      </c>
      <c r="J200" s="2" t="s">
        <v>951</v>
      </c>
      <c r="L200" s="2" t="s">
        <v>1380</v>
      </c>
      <c r="N200" s="4" t="s">
        <v>2370</v>
      </c>
      <c r="O200" s="4" t="s">
        <v>2465</v>
      </c>
      <c r="P200" s="2" t="s">
        <v>733</v>
      </c>
      <c r="Q200" s="2" t="s">
        <v>951</v>
      </c>
      <c r="S200" s="2" t="s">
        <v>1379</v>
      </c>
      <c r="U200" s="4" t="s">
        <v>2369</v>
      </c>
      <c r="V200" s="4" t="s">
        <v>2464</v>
      </c>
      <c r="W200" s="2" t="s">
        <v>1378</v>
      </c>
      <c r="X200" s="2" t="s">
        <v>951</v>
      </c>
      <c r="Z200" s="2" t="s">
        <v>1377</v>
      </c>
    </row>
    <row r="201" spans="1:26" x14ac:dyDescent="0.2">
      <c r="A201" s="4">
        <v>196</v>
      </c>
      <c r="B201" s="6" t="s">
        <v>1221</v>
      </c>
      <c r="E201" s="6" t="s">
        <v>1215</v>
      </c>
      <c r="G201" s="4" t="s">
        <v>19</v>
      </c>
      <c r="H201" s="4" t="s">
        <v>406</v>
      </c>
      <c r="I201" s="2" t="s">
        <v>99</v>
      </c>
      <c r="J201" s="2" t="s">
        <v>951</v>
      </c>
      <c r="L201" s="2" t="s">
        <v>1599</v>
      </c>
      <c r="N201" s="4" t="s">
        <v>2370</v>
      </c>
      <c r="O201" s="4" t="s">
        <v>2465</v>
      </c>
      <c r="P201" s="2" t="s">
        <v>734</v>
      </c>
      <c r="Q201" s="2" t="s">
        <v>951</v>
      </c>
      <c r="S201" s="2" t="s">
        <v>2811</v>
      </c>
      <c r="U201" s="4" t="s">
        <v>2369</v>
      </c>
      <c r="V201" s="4" t="s">
        <v>2464</v>
      </c>
      <c r="W201" s="2" t="s">
        <v>1376</v>
      </c>
      <c r="X201" s="2" t="s">
        <v>951</v>
      </c>
      <c r="Z201" s="2" t="s">
        <v>1598</v>
      </c>
    </row>
    <row r="202" spans="1:26" x14ac:dyDescent="0.2">
      <c r="A202" s="4">
        <v>197</v>
      </c>
      <c r="E202" s="6" t="s">
        <v>1215</v>
      </c>
      <c r="G202" s="4" t="s">
        <v>19</v>
      </c>
      <c r="H202" s="4" t="s">
        <v>406</v>
      </c>
      <c r="I202" s="2" t="s">
        <v>101</v>
      </c>
      <c r="J202" s="2" t="s">
        <v>956</v>
      </c>
      <c r="N202" s="4" t="s">
        <v>2370</v>
      </c>
      <c r="O202" s="4" t="s">
        <v>2465</v>
      </c>
      <c r="P202" s="2" t="s">
        <v>735</v>
      </c>
      <c r="Q202" s="2" t="s">
        <v>956</v>
      </c>
      <c r="U202" s="4" t="s">
        <v>2369</v>
      </c>
      <c r="V202" s="4" t="s">
        <v>2464</v>
      </c>
      <c r="W202" s="2" t="s">
        <v>1294</v>
      </c>
      <c r="X202" s="2" t="s">
        <v>956</v>
      </c>
    </row>
    <row r="203" spans="1:26" ht="63.75" x14ac:dyDescent="0.2">
      <c r="A203" s="4">
        <v>198</v>
      </c>
      <c r="D203" s="6" t="s">
        <v>950</v>
      </c>
      <c r="E203" s="6" t="s">
        <v>1215</v>
      </c>
      <c r="G203" s="4" t="s">
        <v>19</v>
      </c>
      <c r="H203" s="4" t="s">
        <v>406</v>
      </c>
      <c r="I203" s="2" t="s">
        <v>104</v>
      </c>
      <c r="J203" s="2" t="s">
        <v>1248</v>
      </c>
      <c r="N203" s="4" t="s">
        <v>2370</v>
      </c>
      <c r="O203" s="4" t="s">
        <v>2465</v>
      </c>
      <c r="P203" s="2" t="s">
        <v>736</v>
      </c>
      <c r="Q203" s="2" t="s">
        <v>1246</v>
      </c>
      <c r="U203" s="4" t="s">
        <v>2369</v>
      </c>
      <c r="V203" s="4" t="s">
        <v>2464</v>
      </c>
      <c r="W203" s="2" t="s">
        <v>1595</v>
      </c>
      <c r="X203" s="2" t="s">
        <v>1246</v>
      </c>
    </row>
    <row r="204" spans="1:26" x14ac:dyDescent="0.2">
      <c r="A204" s="4">
        <v>199</v>
      </c>
      <c r="E204" s="6" t="s">
        <v>1215</v>
      </c>
      <c r="G204" s="4" t="s">
        <v>19</v>
      </c>
      <c r="H204" s="4" t="s">
        <v>406</v>
      </c>
      <c r="I204" s="2" t="s">
        <v>193</v>
      </c>
      <c r="J204" s="2" t="s">
        <v>1518</v>
      </c>
      <c r="N204" s="4" t="s">
        <v>2370</v>
      </c>
      <c r="O204" s="4" t="s">
        <v>2465</v>
      </c>
      <c r="P204" s="2" t="s">
        <v>769</v>
      </c>
      <c r="Q204" s="2" t="s">
        <v>1593</v>
      </c>
      <c r="U204" s="4" t="s">
        <v>2369</v>
      </c>
      <c r="V204" s="4" t="s">
        <v>2464</v>
      </c>
      <c r="W204" s="2" t="s">
        <v>1515</v>
      </c>
      <c r="X204" s="2" t="s">
        <v>1592</v>
      </c>
    </row>
    <row r="205" spans="1:26" ht="76.5" x14ac:dyDescent="0.2">
      <c r="A205" s="4">
        <v>200</v>
      </c>
      <c r="D205" s="6" t="s">
        <v>950</v>
      </c>
      <c r="E205" s="6" t="s">
        <v>1215</v>
      </c>
      <c r="G205" s="4" t="s">
        <v>19</v>
      </c>
      <c r="H205" s="4" t="s">
        <v>406</v>
      </c>
      <c r="I205" s="2" t="s">
        <v>107</v>
      </c>
      <c r="J205" s="2" t="s">
        <v>1349</v>
      </c>
      <c r="L205" s="2" t="s">
        <v>1869</v>
      </c>
      <c r="N205" s="4" t="s">
        <v>2370</v>
      </c>
      <c r="O205" s="4" t="s">
        <v>2465</v>
      </c>
      <c r="P205" s="2" t="s">
        <v>1589</v>
      </c>
      <c r="Q205" s="2" t="s">
        <v>1349</v>
      </c>
      <c r="S205" s="2" t="s">
        <v>2810</v>
      </c>
      <c r="U205" s="4" t="s">
        <v>2369</v>
      </c>
      <c r="V205" s="4" t="s">
        <v>2464</v>
      </c>
      <c r="W205" s="2" t="s">
        <v>1587</v>
      </c>
      <c r="X205" s="2" t="s">
        <v>1349</v>
      </c>
      <c r="Z205" s="2" t="s">
        <v>2011</v>
      </c>
    </row>
    <row r="206" spans="1:26" x14ac:dyDescent="0.2">
      <c r="A206" s="4">
        <v>201</v>
      </c>
      <c r="D206" s="6" t="s">
        <v>950</v>
      </c>
      <c r="E206" s="6" t="s">
        <v>1215</v>
      </c>
      <c r="G206" s="4" t="s">
        <v>19</v>
      </c>
      <c r="H206" s="4" t="s">
        <v>406</v>
      </c>
      <c r="I206" s="2" t="s">
        <v>1866</v>
      </c>
      <c r="J206" s="2" t="s">
        <v>1349</v>
      </c>
      <c r="L206" s="2" t="s">
        <v>1865</v>
      </c>
      <c r="N206" s="4" t="s">
        <v>2370</v>
      </c>
      <c r="O206" s="4" t="s">
        <v>2465</v>
      </c>
      <c r="P206" s="2" t="s">
        <v>1863</v>
      </c>
      <c r="Q206" s="2" t="s">
        <v>1349</v>
      </c>
      <c r="S206" s="2" t="s">
        <v>1862</v>
      </c>
      <c r="U206" s="4" t="s">
        <v>2369</v>
      </c>
      <c r="V206" s="4" t="s">
        <v>2464</v>
      </c>
      <c r="W206" s="2" t="s">
        <v>1860</v>
      </c>
      <c r="X206" s="2" t="s">
        <v>1349</v>
      </c>
      <c r="Z206" s="2" t="s">
        <v>2223</v>
      </c>
    </row>
    <row r="207" spans="1:26" x14ac:dyDescent="0.2">
      <c r="A207" s="4">
        <v>202</v>
      </c>
      <c r="C207" s="6" t="s">
        <v>950</v>
      </c>
      <c r="E207" s="6" t="s">
        <v>1215</v>
      </c>
      <c r="G207" s="4" t="s">
        <v>19</v>
      </c>
      <c r="H207" s="4" t="s">
        <v>2463</v>
      </c>
      <c r="I207" s="2" t="s">
        <v>969</v>
      </c>
      <c r="J207" s="2" t="s">
        <v>2373</v>
      </c>
      <c r="L207" s="2" t="s">
        <v>1806</v>
      </c>
      <c r="N207" s="4" t="s">
        <v>2370</v>
      </c>
      <c r="O207" s="4" t="s">
        <v>2462</v>
      </c>
      <c r="P207" s="2" t="s">
        <v>1319</v>
      </c>
      <c r="Q207" s="2" t="s">
        <v>2372</v>
      </c>
      <c r="S207" s="2" t="s">
        <v>1805</v>
      </c>
      <c r="U207" s="4" t="s">
        <v>2369</v>
      </c>
      <c r="V207" s="4" t="s">
        <v>2461</v>
      </c>
      <c r="W207" s="2" t="s">
        <v>1319</v>
      </c>
      <c r="X207" s="2" t="s">
        <v>2371</v>
      </c>
      <c r="Z207" s="2" t="s">
        <v>1804</v>
      </c>
    </row>
    <row r="208" spans="1:26" ht="63.75" x14ac:dyDescent="0.2">
      <c r="A208" s="4">
        <v>203</v>
      </c>
      <c r="E208" s="6" t="s">
        <v>1215</v>
      </c>
      <c r="G208" s="4" t="s">
        <v>19</v>
      </c>
      <c r="H208" s="4" t="s">
        <v>2463</v>
      </c>
      <c r="I208" s="2" t="s">
        <v>123</v>
      </c>
      <c r="J208" s="2" t="s">
        <v>1248</v>
      </c>
      <c r="N208" s="4" t="s">
        <v>2370</v>
      </c>
      <c r="O208" s="4" t="s">
        <v>2462</v>
      </c>
      <c r="P208" s="2" t="s">
        <v>123</v>
      </c>
      <c r="Q208" s="2" t="s">
        <v>1246</v>
      </c>
      <c r="U208" s="4" t="s">
        <v>2369</v>
      </c>
      <c r="V208" s="4" t="s">
        <v>2461</v>
      </c>
      <c r="W208" s="2" t="s">
        <v>1247</v>
      </c>
      <c r="X208" s="2" t="s">
        <v>1246</v>
      </c>
    </row>
    <row r="209" spans="1:26" x14ac:dyDescent="0.2">
      <c r="A209" s="4">
        <v>204</v>
      </c>
      <c r="E209" s="6" t="s">
        <v>1215</v>
      </c>
      <c r="G209" s="4" t="s">
        <v>19</v>
      </c>
      <c r="H209" s="4" t="s">
        <v>2463</v>
      </c>
      <c r="I209" s="2" t="s">
        <v>1979</v>
      </c>
      <c r="J209" s="2" t="s">
        <v>265</v>
      </c>
      <c r="N209" s="4" t="s">
        <v>2370</v>
      </c>
      <c r="O209" s="4" t="s">
        <v>2462</v>
      </c>
      <c r="P209" s="2" t="s">
        <v>1978</v>
      </c>
      <c r="Q209" s="2" t="s">
        <v>711</v>
      </c>
      <c r="U209" s="4" t="s">
        <v>2369</v>
      </c>
      <c r="V209" s="4" t="s">
        <v>2461</v>
      </c>
      <c r="W209" s="2" t="s">
        <v>1977</v>
      </c>
      <c r="X209" s="2" t="s">
        <v>1976</v>
      </c>
    </row>
    <row r="210" spans="1:26" x14ac:dyDescent="0.2">
      <c r="A210" s="4">
        <v>205</v>
      </c>
      <c r="E210" s="6" t="s">
        <v>1215</v>
      </c>
      <c r="G210" s="4" t="s">
        <v>19</v>
      </c>
      <c r="H210" s="4" t="s">
        <v>2463</v>
      </c>
      <c r="I210" s="2" t="s">
        <v>1212</v>
      </c>
      <c r="J210" s="2" t="s">
        <v>2413</v>
      </c>
      <c r="N210" s="4" t="s">
        <v>2370</v>
      </c>
      <c r="O210" s="4" t="s">
        <v>2462</v>
      </c>
      <c r="P210" s="2" t="s">
        <v>1208</v>
      </c>
      <c r="Q210" s="2" t="s">
        <v>2411</v>
      </c>
      <c r="U210" s="4" t="s">
        <v>2369</v>
      </c>
      <c r="V210" s="4" t="s">
        <v>2461</v>
      </c>
      <c r="W210" s="2" t="s">
        <v>1204</v>
      </c>
      <c r="X210" s="2" t="s">
        <v>2409</v>
      </c>
    </row>
    <row r="211" spans="1:26" ht="25.5" x14ac:dyDescent="0.2">
      <c r="A211" s="4">
        <v>206</v>
      </c>
      <c r="C211" s="6" t="s">
        <v>950</v>
      </c>
      <c r="E211" s="6" t="s">
        <v>1215</v>
      </c>
      <c r="G211" s="4" t="s">
        <v>19</v>
      </c>
      <c r="H211" s="4" t="s">
        <v>2453</v>
      </c>
      <c r="I211" s="2" t="s">
        <v>2460</v>
      </c>
      <c r="J211" s="2" t="s">
        <v>2425</v>
      </c>
      <c r="L211" s="2" t="s">
        <v>2459</v>
      </c>
      <c r="N211" s="4" t="s">
        <v>2370</v>
      </c>
      <c r="O211" s="4" t="s">
        <v>2452</v>
      </c>
      <c r="P211" s="2" t="s">
        <v>2458</v>
      </c>
      <c r="Q211" s="2" t="s">
        <v>2423</v>
      </c>
      <c r="S211" s="18" t="s">
        <v>2405</v>
      </c>
      <c r="U211" s="4" t="s">
        <v>2369</v>
      </c>
      <c r="V211" s="4" t="s">
        <v>2451</v>
      </c>
      <c r="W211" s="2" t="s">
        <v>2457</v>
      </c>
      <c r="X211" s="2" t="s">
        <v>2421</v>
      </c>
      <c r="Z211" s="18" t="s">
        <v>2819</v>
      </c>
    </row>
    <row r="212" spans="1:26" x14ac:dyDescent="0.2">
      <c r="A212" s="4">
        <v>207</v>
      </c>
      <c r="E212" s="6" t="s">
        <v>1215</v>
      </c>
      <c r="G212" s="4" t="s">
        <v>19</v>
      </c>
      <c r="H212" s="4" t="s">
        <v>2453</v>
      </c>
      <c r="I212" s="2" t="s">
        <v>121</v>
      </c>
      <c r="J212" s="2" t="s">
        <v>951</v>
      </c>
      <c r="L212" s="2" t="s">
        <v>2456</v>
      </c>
      <c r="N212" s="4" t="s">
        <v>2370</v>
      </c>
      <c r="O212" s="4" t="s">
        <v>2452</v>
      </c>
      <c r="P212" s="2" t="s">
        <v>742</v>
      </c>
      <c r="Q212" s="2" t="s">
        <v>951</v>
      </c>
      <c r="S212" s="2" t="s">
        <v>2455</v>
      </c>
      <c r="U212" s="4" t="s">
        <v>2369</v>
      </c>
      <c r="V212" s="4" t="s">
        <v>2451</v>
      </c>
      <c r="W212" s="2" t="s">
        <v>742</v>
      </c>
      <c r="X212" s="2" t="s">
        <v>951</v>
      </c>
      <c r="Z212" s="2" t="s">
        <v>2454</v>
      </c>
    </row>
    <row r="213" spans="1:26" ht="25.5" x14ac:dyDescent="0.2">
      <c r="A213" s="4">
        <v>208</v>
      </c>
      <c r="D213" s="6" t="s">
        <v>950</v>
      </c>
      <c r="E213" s="6" t="s">
        <v>1215</v>
      </c>
      <c r="G213" s="4" t="s">
        <v>19</v>
      </c>
      <c r="H213" s="4" t="s">
        <v>2453</v>
      </c>
      <c r="I213" s="2" t="s">
        <v>1485</v>
      </c>
      <c r="J213" s="2" t="s">
        <v>1482</v>
      </c>
      <c r="L213" s="2" t="s">
        <v>2279</v>
      </c>
      <c r="N213" s="4" t="s">
        <v>2370</v>
      </c>
      <c r="O213" s="4" t="s">
        <v>2452</v>
      </c>
      <c r="P213" s="2" t="s">
        <v>1484</v>
      </c>
      <c r="Q213" s="2" t="s">
        <v>1482</v>
      </c>
      <c r="S213" s="2" t="s">
        <v>2278</v>
      </c>
      <c r="U213" s="4" t="s">
        <v>2369</v>
      </c>
      <c r="V213" s="4" t="s">
        <v>2451</v>
      </c>
      <c r="W213" s="2" t="s">
        <v>1483</v>
      </c>
      <c r="X213" s="2" t="s">
        <v>1482</v>
      </c>
      <c r="Z213" s="2" t="s">
        <v>2882</v>
      </c>
    </row>
    <row r="214" spans="1:26" ht="25.5" x14ac:dyDescent="0.2">
      <c r="A214" s="4">
        <v>209</v>
      </c>
      <c r="C214" s="6" t="s">
        <v>950</v>
      </c>
      <c r="E214" s="6" t="s">
        <v>1215</v>
      </c>
      <c r="G214" s="4" t="s">
        <v>19</v>
      </c>
      <c r="H214" s="4" t="s">
        <v>2444</v>
      </c>
      <c r="I214" s="2" t="s">
        <v>2450</v>
      </c>
      <c r="J214" s="2" t="s">
        <v>2449</v>
      </c>
      <c r="L214" s="18" t="s">
        <v>2820</v>
      </c>
      <c r="N214" s="4" t="s">
        <v>2370</v>
      </c>
      <c r="O214" s="4" t="s">
        <v>2443</v>
      </c>
      <c r="P214" s="2" t="s">
        <v>2448</v>
      </c>
      <c r="Q214" s="2" t="s">
        <v>2447</v>
      </c>
      <c r="S214" s="18" t="s">
        <v>2821</v>
      </c>
      <c r="U214" s="4" t="s">
        <v>2369</v>
      </c>
      <c r="V214" s="4" t="s">
        <v>2442</v>
      </c>
      <c r="W214" s="2" t="s">
        <v>2446</v>
      </c>
      <c r="X214" s="2" t="s">
        <v>2445</v>
      </c>
      <c r="Z214" s="18" t="s">
        <v>2822</v>
      </c>
    </row>
    <row r="215" spans="1:26" x14ac:dyDescent="0.2">
      <c r="A215" s="4">
        <v>210</v>
      </c>
      <c r="E215" s="6" t="s">
        <v>1215</v>
      </c>
      <c r="G215" s="4" t="s">
        <v>19</v>
      </c>
      <c r="H215" s="4" t="s">
        <v>2444</v>
      </c>
      <c r="I215" s="2" t="s">
        <v>1219</v>
      </c>
      <c r="J215" s="2" t="s">
        <v>1220</v>
      </c>
      <c r="N215" s="4" t="s">
        <v>2370</v>
      </c>
      <c r="O215" s="4" t="s">
        <v>2443</v>
      </c>
      <c r="P215" s="2" t="s">
        <v>1219</v>
      </c>
      <c r="Q215" s="2" t="s">
        <v>1218</v>
      </c>
      <c r="U215" s="4" t="s">
        <v>2369</v>
      </c>
      <c r="V215" s="4" t="s">
        <v>2442</v>
      </c>
      <c r="W215" s="2" t="s">
        <v>1219</v>
      </c>
      <c r="X215" s="2" t="s">
        <v>1218</v>
      </c>
    </row>
    <row r="216" spans="1:26" x14ac:dyDescent="0.2">
      <c r="A216" s="4">
        <v>211</v>
      </c>
      <c r="E216" s="6" t="s">
        <v>1215</v>
      </c>
      <c r="G216" s="4" t="s">
        <v>19</v>
      </c>
      <c r="H216" s="4" t="s">
        <v>2444</v>
      </c>
      <c r="I216" s="2" t="s">
        <v>1217</v>
      </c>
      <c r="J216" s="2" t="s">
        <v>933</v>
      </c>
      <c r="N216" s="4" t="s">
        <v>2370</v>
      </c>
      <c r="O216" s="4" t="s">
        <v>2443</v>
      </c>
      <c r="P216" s="2" t="s">
        <v>1217</v>
      </c>
      <c r="Q216" s="2" t="s">
        <v>933</v>
      </c>
      <c r="U216" s="4" t="s">
        <v>2369</v>
      </c>
      <c r="V216" s="4" t="s">
        <v>2442</v>
      </c>
      <c r="W216" s="2" t="s">
        <v>1217</v>
      </c>
      <c r="X216" s="2" t="s">
        <v>1216</v>
      </c>
    </row>
    <row r="217" spans="1:26" x14ac:dyDescent="0.2">
      <c r="A217" s="4">
        <v>212</v>
      </c>
      <c r="D217" s="6" t="s">
        <v>950</v>
      </c>
      <c r="E217" s="6" t="s">
        <v>1215</v>
      </c>
      <c r="G217" s="4" t="s">
        <v>19</v>
      </c>
      <c r="H217" s="4" t="s">
        <v>2444</v>
      </c>
      <c r="I217" s="2" t="s">
        <v>1285</v>
      </c>
      <c r="J217" s="2" t="s">
        <v>1199</v>
      </c>
      <c r="K217" s="3" t="s">
        <v>1284</v>
      </c>
      <c r="N217" s="4" t="s">
        <v>2370</v>
      </c>
      <c r="O217" s="4" t="s">
        <v>2443</v>
      </c>
      <c r="P217" s="2" t="s">
        <v>1285</v>
      </c>
      <c r="Q217" s="2" t="s">
        <v>1199</v>
      </c>
      <c r="R217" s="3" t="s">
        <v>1284</v>
      </c>
      <c r="U217" s="4" t="s">
        <v>2369</v>
      </c>
      <c r="V217" s="4" t="s">
        <v>2442</v>
      </c>
      <c r="W217" s="2" t="s">
        <v>1285</v>
      </c>
      <c r="X217" s="2" t="s">
        <v>1199</v>
      </c>
      <c r="Y217" s="3" t="s">
        <v>1284</v>
      </c>
    </row>
    <row r="218" spans="1:26" x14ac:dyDescent="0.2">
      <c r="A218" s="4">
        <v>213</v>
      </c>
      <c r="D218" s="6" t="s">
        <v>950</v>
      </c>
      <c r="E218" s="6" t="s">
        <v>1215</v>
      </c>
      <c r="G218" s="4" t="s">
        <v>19</v>
      </c>
      <c r="H218" s="4" t="s">
        <v>2444</v>
      </c>
      <c r="I218" s="2" t="s">
        <v>1283</v>
      </c>
      <c r="J218" s="2" t="s">
        <v>1200</v>
      </c>
      <c r="K218" s="3" t="s">
        <v>1282</v>
      </c>
      <c r="N218" s="4" t="s">
        <v>2370</v>
      </c>
      <c r="O218" s="4" t="s">
        <v>2443</v>
      </c>
      <c r="P218" s="2" t="s">
        <v>1283</v>
      </c>
      <c r="Q218" s="2" t="s">
        <v>1200</v>
      </c>
      <c r="R218" s="3" t="s">
        <v>1282</v>
      </c>
      <c r="U218" s="4" t="s">
        <v>2369</v>
      </c>
      <c r="V218" s="4" t="s">
        <v>2442</v>
      </c>
      <c r="W218" s="2" t="s">
        <v>1283</v>
      </c>
      <c r="X218" s="2" t="s">
        <v>1200</v>
      </c>
      <c r="Y218" s="3" t="s">
        <v>1282</v>
      </c>
    </row>
    <row r="219" spans="1:26" x14ac:dyDescent="0.2">
      <c r="A219" s="4">
        <v>214</v>
      </c>
      <c r="D219" s="6" t="s">
        <v>950</v>
      </c>
      <c r="E219" s="6" t="s">
        <v>1215</v>
      </c>
      <c r="G219" s="4" t="s">
        <v>19</v>
      </c>
      <c r="H219" s="4" t="s">
        <v>2444</v>
      </c>
      <c r="I219" s="2" t="s">
        <v>1280</v>
      </c>
      <c r="J219" s="2" t="s">
        <v>59</v>
      </c>
      <c r="K219" s="3" t="s">
        <v>1279</v>
      </c>
      <c r="N219" s="4" t="s">
        <v>2370</v>
      </c>
      <c r="O219" s="4" t="s">
        <v>2443</v>
      </c>
      <c r="P219" s="2" t="s">
        <v>1277</v>
      </c>
      <c r="Q219" s="2" t="s">
        <v>1276</v>
      </c>
      <c r="R219" s="3" t="s">
        <v>1275</v>
      </c>
      <c r="U219" s="4" t="s">
        <v>2369</v>
      </c>
      <c r="V219" s="4" t="s">
        <v>2442</v>
      </c>
      <c r="W219" s="2" t="s">
        <v>1273</v>
      </c>
      <c r="X219" s="2" t="s">
        <v>1272</v>
      </c>
      <c r="Y219" s="3" t="s">
        <v>1271</v>
      </c>
    </row>
    <row r="220" spans="1:26" x14ac:dyDescent="0.2">
      <c r="A220" s="4">
        <v>215</v>
      </c>
      <c r="C220" s="6" t="s">
        <v>950</v>
      </c>
      <c r="E220" s="6" t="s">
        <v>1215</v>
      </c>
      <c r="G220" s="4" t="s">
        <v>19</v>
      </c>
      <c r="H220" s="4" t="s">
        <v>2438</v>
      </c>
      <c r="I220" s="2" t="s">
        <v>2441</v>
      </c>
      <c r="J220" s="2" t="s">
        <v>2425</v>
      </c>
      <c r="L220" s="2" t="s">
        <v>1228</v>
      </c>
      <c r="N220" s="4" t="s">
        <v>2370</v>
      </c>
      <c r="O220" s="4" t="s">
        <v>2437</v>
      </c>
      <c r="P220" s="2" t="s">
        <v>2440</v>
      </c>
      <c r="Q220" s="2" t="s">
        <v>2423</v>
      </c>
      <c r="S220" s="2" t="s">
        <v>1225</v>
      </c>
      <c r="U220" s="4" t="s">
        <v>2369</v>
      </c>
      <c r="V220" s="4" t="s">
        <v>2436</v>
      </c>
      <c r="W220" s="2" t="s">
        <v>2439</v>
      </c>
      <c r="X220" s="2" t="s">
        <v>2421</v>
      </c>
      <c r="Z220" s="2" t="s">
        <v>1222</v>
      </c>
    </row>
    <row r="221" spans="1:26" x14ac:dyDescent="0.2">
      <c r="A221" s="4">
        <v>216</v>
      </c>
      <c r="E221" s="6" t="s">
        <v>1215</v>
      </c>
      <c r="G221" s="4" t="s">
        <v>19</v>
      </c>
      <c r="H221" s="4" t="s">
        <v>2438</v>
      </c>
      <c r="I221" s="2" t="s">
        <v>5</v>
      </c>
      <c r="J221" s="2" t="s">
        <v>956</v>
      </c>
      <c r="N221" s="4" t="s">
        <v>2370</v>
      </c>
      <c r="O221" s="4" t="s">
        <v>2437</v>
      </c>
      <c r="P221" s="2" t="s">
        <v>702</v>
      </c>
      <c r="Q221" s="2" t="s">
        <v>956</v>
      </c>
      <c r="U221" s="4" t="s">
        <v>2369</v>
      </c>
      <c r="V221" s="4" t="s">
        <v>2436</v>
      </c>
      <c r="W221" s="2" t="s">
        <v>1700</v>
      </c>
      <c r="X221" s="2" t="s">
        <v>956</v>
      </c>
    </row>
    <row r="222" spans="1:26" ht="25.5" x14ac:dyDescent="0.2">
      <c r="A222" s="4">
        <v>217</v>
      </c>
      <c r="C222" s="6" t="s">
        <v>950</v>
      </c>
      <c r="E222" s="6" t="s">
        <v>1215</v>
      </c>
      <c r="G222" s="4" t="s">
        <v>19</v>
      </c>
      <c r="H222" s="4" t="s">
        <v>2429</v>
      </c>
      <c r="I222" s="2" t="s">
        <v>2435</v>
      </c>
      <c r="J222" s="2" t="s">
        <v>2434</v>
      </c>
      <c r="L222" s="18" t="s">
        <v>2823</v>
      </c>
      <c r="N222" s="4" t="s">
        <v>2370</v>
      </c>
      <c r="O222" s="4" t="s">
        <v>2428</v>
      </c>
      <c r="P222" s="2" t="s">
        <v>2433</v>
      </c>
      <c r="Q222" s="2" t="s">
        <v>2432</v>
      </c>
      <c r="S222" s="18" t="s">
        <v>2824</v>
      </c>
      <c r="U222" s="4" t="s">
        <v>2369</v>
      </c>
      <c r="V222" s="4" t="s">
        <v>2427</v>
      </c>
      <c r="W222" s="2" t="s">
        <v>2431</v>
      </c>
      <c r="X222" s="2" t="s">
        <v>2430</v>
      </c>
      <c r="Z222" s="18" t="s">
        <v>2825</v>
      </c>
    </row>
    <row r="223" spans="1:26" x14ac:dyDescent="0.2">
      <c r="A223" s="4">
        <v>218</v>
      </c>
      <c r="E223" s="6" t="s">
        <v>1215</v>
      </c>
      <c r="G223" s="4" t="s">
        <v>19</v>
      </c>
      <c r="H223" s="4" t="s">
        <v>2429</v>
      </c>
      <c r="I223" s="2" t="s">
        <v>1219</v>
      </c>
      <c r="J223" s="2" t="s">
        <v>1220</v>
      </c>
      <c r="N223" s="4" t="s">
        <v>2370</v>
      </c>
      <c r="O223" s="4" t="s">
        <v>2428</v>
      </c>
      <c r="P223" s="2" t="s">
        <v>1219</v>
      </c>
      <c r="Q223" s="2" t="s">
        <v>1218</v>
      </c>
      <c r="U223" s="4" t="s">
        <v>2369</v>
      </c>
      <c r="V223" s="4" t="s">
        <v>2427</v>
      </c>
      <c r="W223" s="2" t="s">
        <v>1219</v>
      </c>
      <c r="X223" s="2" t="s">
        <v>1218</v>
      </c>
    </row>
    <row r="224" spans="1:26" x14ac:dyDescent="0.2">
      <c r="A224" s="4">
        <v>219</v>
      </c>
      <c r="E224" s="6" t="s">
        <v>1215</v>
      </c>
      <c r="G224" s="4" t="s">
        <v>19</v>
      </c>
      <c r="H224" s="4" t="s">
        <v>2429</v>
      </c>
      <c r="I224" s="2" t="s">
        <v>1217</v>
      </c>
      <c r="J224" s="2" t="s">
        <v>933</v>
      </c>
      <c r="N224" s="4" t="s">
        <v>2370</v>
      </c>
      <c r="O224" s="4" t="s">
        <v>2428</v>
      </c>
      <c r="P224" s="2" t="s">
        <v>1217</v>
      </c>
      <c r="Q224" s="2" t="s">
        <v>933</v>
      </c>
      <c r="U224" s="4" t="s">
        <v>2369</v>
      </c>
      <c r="V224" s="4" t="s">
        <v>2427</v>
      </c>
      <c r="W224" s="2" t="s">
        <v>1217</v>
      </c>
      <c r="X224" s="2" t="s">
        <v>1216</v>
      </c>
    </row>
    <row r="225" spans="1:26" x14ac:dyDescent="0.2">
      <c r="A225" s="4">
        <v>220</v>
      </c>
      <c r="D225" s="6" t="s">
        <v>950</v>
      </c>
      <c r="E225" s="6" t="s">
        <v>1215</v>
      </c>
      <c r="G225" s="4" t="s">
        <v>19</v>
      </c>
      <c r="H225" s="4" t="s">
        <v>2429</v>
      </c>
      <c r="I225" s="2" t="s">
        <v>1285</v>
      </c>
      <c r="J225" s="2" t="s">
        <v>1199</v>
      </c>
      <c r="K225" s="3" t="s">
        <v>1284</v>
      </c>
      <c r="N225" s="4" t="s">
        <v>2370</v>
      </c>
      <c r="O225" s="4" t="s">
        <v>2428</v>
      </c>
      <c r="P225" s="2" t="s">
        <v>1285</v>
      </c>
      <c r="Q225" s="2" t="s">
        <v>1199</v>
      </c>
      <c r="R225" s="3" t="s">
        <v>1284</v>
      </c>
      <c r="U225" s="4" t="s">
        <v>2369</v>
      </c>
      <c r="V225" s="4" t="s">
        <v>2427</v>
      </c>
      <c r="W225" s="2" t="s">
        <v>1285</v>
      </c>
      <c r="X225" s="2" t="s">
        <v>1199</v>
      </c>
      <c r="Y225" s="3" t="s">
        <v>1284</v>
      </c>
    </row>
    <row r="226" spans="1:26" x14ac:dyDescent="0.2">
      <c r="A226" s="4">
        <v>221</v>
      </c>
      <c r="D226" s="6" t="s">
        <v>950</v>
      </c>
      <c r="E226" s="6" t="s">
        <v>1215</v>
      </c>
      <c r="G226" s="4" t="s">
        <v>19</v>
      </c>
      <c r="H226" s="4" t="s">
        <v>2429</v>
      </c>
      <c r="I226" s="2" t="s">
        <v>1283</v>
      </c>
      <c r="J226" s="2" t="s">
        <v>1200</v>
      </c>
      <c r="K226" s="3" t="s">
        <v>1282</v>
      </c>
      <c r="N226" s="4" t="s">
        <v>2370</v>
      </c>
      <c r="O226" s="4" t="s">
        <v>2428</v>
      </c>
      <c r="P226" s="2" t="s">
        <v>1283</v>
      </c>
      <c r="Q226" s="2" t="s">
        <v>1200</v>
      </c>
      <c r="R226" s="3" t="s">
        <v>1282</v>
      </c>
      <c r="U226" s="4" t="s">
        <v>2369</v>
      </c>
      <c r="V226" s="4" t="s">
        <v>2427</v>
      </c>
      <c r="W226" s="2" t="s">
        <v>1283</v>
      </c>
      <c r="X226" s="2" t="s">
        <v>1200</v>
      </c>
      <c r="Y226" s="3" t="s">
        <v>1282</v>
      </c>
    </row>
    <row r="227" spans="1:26" x14ac:dyDescent="0.2">
      <c r="A227" s="4">
        <v>222</v>
      </c>
      <c r="D227" s="6" t="s">
        <v>950</v>
      </c>
      <c r="E227" s="6" t="s">
        <v>1215</v>
      </c>
      <c r="G227" s="4" t="s">
        <v>19</v>
      </c>
      <c r="H227" s="4" t="s">
        <v>2429</v>
      </c>
      <c r="I227" s="2" t="s">
        <v>1280</v>
      </c>
      <c r="J227" s="2" t="s">
        <v>59</v>
      </c>
      <c r="K227" s="3" t="s">
        <v>1279</v>
      </c>
      <c r="N227" s="4" t="s">
        <v>2370</v>
      </c>
      <c r="O227" s="4" t="s">
        <v>2428</v>
      </c>
      <c r="P227" s="2" t="s">
        <v>1277</v>
      </c>
      <c r="Q227" s="2" t="s">
        <v>1276</v>
      </c>
      <c r="R227" s="3" t="s">
        <v>1275</v>
      </c>
      <c r="U227" s="4" t="s">
        <v>2369</v>
      </c>
      <c r="V227" s="4" t="s">
        <v>2427</v>
      </c>
      <c r="W227" s="2" t="s">
        <v>1273</v>
      </c>
      <c r="X227" s="2" t="s">
        <v>1272</v>
      </c>
      <c r="Y227" s="3" t="s">
        <v>1271</v>
      </c>
    </row>
    <row r="228" spans="1:26" ht="38.25" x14ac:dyDescent="0.2">
      <c r="A228" s="4">
        <v>223</v>
      </c>
      <c r="C228" s="6" t="s">
        <v>950</v>
      </c>
      <c r="E228" s="6" t="s">
        <v>1215</v>
      </c>
      <c r="G228" s="4" t="s">
        <v>19</v>
      </c>
      <c r="H228" s="4" t="s">
        <v>2417</v>
      </c>
      <c r="I228" s="2" t="s">
        <v>2426</v>
      </c>
      <c r="J228" s="2" t="s">
        <v>2425</v>
      </c>
      <c r="L228" s="18" t="s">
        <v>2826</v>
      </c>
      <c r="N228" s="4" t="s">
        <v>2370</v>
      </c>
      <c r="O228" s="4" t="s">
        <v>2416</v>
      </c>
      <c r="P228" s="2" t="s">
        <v>2424</v>
      </c>
      <c r="Q228" s="2" t="s">
        <v>2423</v>
      </c>
      <c r="S228" s="18" t="s">
        <v>2827</v>
      </c>
      <c r="U228" s="4" t="s">
        <v>2369</v>
      </c>
      <c r="V228" s="4" t="s">
        <v>2415</v>
      </c>
      <c r="W228" s="2" t="s">
        <v>2422</v>
      </c>
      <c r="X228" s="2" t="s">
        <v>2421</v>
      </c>
      <c r="Z228" s="18" t="s">
        <v>2828</v>
      </c>
    </row>
    <row r="229" spans="1:26" x14ac:dyDescent="0.2">
      <c r="A229" s="4">
        <v>224</v>
      </c>
      <c r="E229" s="6" t="s">
        <v>1215</v>
      </c>
      <c r="G229" s="4" t="s">
        <v>19</v>
      </c>
      <c r="H229" s="4" t="s">
        <v>2417</v>
      </c>
      <c r="I229" s="2" t="s">
        <v>1219</v>
      </c>
      <c r="J229" s="2" t="s">
        <v>1220</v>
      </c>
      <c r="L229" s="2" t="s">
        <v>2420</v>
      </c>
      <c r="N229" s="4" t="s">
        <v>2370</v>
      </c>
      <c r="O229" s="4" t="s">
        <v>2416</v>
      </c>
      <c r="P229" s="2" t="s">
        <v>1219</v>
      </c>
      <c r="Q229" s="2" t="s">
        <v>1218</v>
      </c>
      <c r="S229" s="2" t="s">
        <v>2419</v>
      </c>
      <c r="U229" s="4" t="s">
        <v>2369</v>
      </c>
      <c r="V229" s="4" t="s">
        <v>2415</v>
      </c>
      <c r="W229" s="2" t="s">
        <v>1219</v>
      </c>
      <c r="X229" s="2" t="s">
        <v>1218</v>
      </c>
      <c r="Z229" s="2" t="s">
        <v>2418</v>
      </c>
    </row>
    <row r="230" spans="1:26" x14ac:dyDescent="0.2">
      <c r="A230" s="4">
        <v>225</v>
      </c>
      <c r="D230" s="6" t="s">
        <v>950</v>
      </c>
      <c r="E230" s="6" t="s">
        <v>1215</v>
      </c>
      <c r="G230" s="4" t="s">
        <v>19</v>
      </c>
      <c r="H230" s="4" t="s">
        <v>2417</v>
      </c>
      <c r="I230" s="2" t="s">
        <v>1217</v>
      </c>
      <c r="J230" s="2" t="s">
        <v>933</v>
      </c>
      <c r="K230" s="3">
        <v>0</v>
      </c>
      <c r="N230" s="4" t="s">
        <v>2370</v>
      </c>
      <c r="O230" s="4" t="s">
        <v>2416</v>
      </c>
      <c r="P230" s="2" t="s">
        <v>1217</v>
      </c>
      <c r="Q230" s="2" t="s">
        <v>933</v>
      </c>
      <c r="R230" s="3">
        <v>0</v>
      </c>
      <c r="U230" s="4" t="s">
        <v>2369</v>
      </c>
      <c r="V230" s="4" t="s">
        <v>2415</v>
      </c>
      <c r="W230" s="2" t="s">
        <v>1217</v>
      </c>
      <c r="X230" s="2" t="s">
        <v>1216</v>
      </c>
      <c r="Y230" s="3">
        <v>0</v>
      </c>
    </row>
    <row r="231" spans="1:26" x14ac:dyDescent="0.2">
      <c r="A231" s="4">
        <v>226</v>
      </c>
      <c r="C231" s="6" t="s">
        <v>950</v>
      </c>
      <c r="E231" s="6" t="s">
        <v>1215</v>
      </c>
      <c r="G231" s="4" t="s">
        <v>19</v>
      </c>
      <c r="H231" s="4" t="s">
        <v>2414</v>
      </c>
      <c r="I231" s="2" t="s">
        <v>969</v>
      </c>
      <c r="J231" s="2" t="s">
        <v>2373</v>
      </c>
      <c r="L231" s="2" t="s">
        <v>1794</v>
      </c>
      <c r="N231" s="4" t="s">
        <v>2370</v>
      </c>
      <c r="O231" s="4" t="s">
        <v>2412</v>
      </c>
      <c r="P231" s="2" t="s">
        <v>1319</v>
      </c>
      <c r="Q231" s="2" t="s">
        <v>2372</v>
      </c>
      <c r="S231" s="2" t="s">
        <v>1792</v>
      </c>
      <c r="U231" s="4" t="s">
        <v>2369</v>
      </c>
      <c r="V231" s="4" t="s">
        <v>2410</v>
      </c>
      <c r="W231" s="2" t="s">
        <v>1319</v>
      </c>
      <c r="X231" s="2" t="s">
        <v>2371</v>
      </c>
      <c r="Z231" s="2" t="s">
        <v>1790</v>
      </c>
    </row>
    <row r="232" spans="1:26" ht="63.75" x14ac:dyDescent="0.2">
      <c r="A232" s="4">
        <v>227</v>
      </c>
      <c r="E232" s="6" t="s">
        <v>1215</v>
      </c>
      <c r="G232" s="4" t="s">
        <v>19</v>
      </c>
      <c r="H232" s="4" t="s">
        <v>2414</v>
      </c>
      <c r="I232" s="2" t="s">
        <v>123</v>
      </c>
      <c r="J232" s="2" t="s">
        <v>1742</v>
      </c>
      <c r="N232" s="4" t="s">
        <v>2370</v>
      </c>
      <c r="O232" s="4" t="s">
        <v>2412</v>
      </c>
      <c r="P232" s="2" t="s">
        <v>123</v>
      </c>
      <c r="Q232" s="2" t="s">
        <v>1739</v>
      </c>
      <c r="U232" s="4" t="s">
        <v>2369</v>
      </c>
      <c r="V232" s="4" t="s">
        <v>2410</v>
      </c>
      <c r="W232" s="2" t="s">
        <v>1247</v>
      </c>
      <c r="X232" s="2" t="s">
        <v>1739</v>
      </c>
    </row>
    <row r="233" spans="1:26" x14ac:dyDescent="0.2">
      <c r="A233" s="4">
        <v>228</v>
      </c>
      <c r="E233" s="6" t="s">
        <v>1215</v>
      </c>
      <c r="G233" s="4" t="s">
        <v>19</v>
      </c>
      <c r="H233" s="4" t="s">
        <v>2414</v>
      </c>
      <c r="I233" s="2" t="s">
        <v>1979</v>
      </c>
      <c r="J233" s="2" t="s">
        <v>265</v>
      </c>
      <c r="N233" s="4" t="s">
        <v>2370</v>
      </c>
      <c r="O233" s="4" t="s">
        <v>2412</v>
      </c>
      <c r="P233" s="2" t="s">
        <v>1978</v>
      </c>
      <c r="Q233" s="2" t="s">
        <v>711</v>
      </c>
      <c r="U233" s="4" t="s">
        <v>2369</v>
      </c>
      <c r="V233" s="4" t="s">
        <v>2410</v>
      </c>
      <c r="W233" s="2" t="s">
        <v>1977</v>
      </c>
      <c r="X233" s="2" t="s">
        <v>1976</v>
      </c>
    </row>
    <row r="234" spans="1:26" x14ac:dyDescent="0.2">
      <c r="A234" s="4">
        <v>229</v>
      </c>
      <c r="E234" s="6" t="s">
        <v>1215</v>
      </c>
      <c r="G234" s="4" t="s">
        <v>19</v>
      </c>
      <c r="H234" s="4" t="s">
        <v>2414</v>
      </c>
      <c r="I234" s="2" t="s">
        <v>1212</v>
      </c>
      <c r="J234" s="2" t="s">
        <v>2413</v>
      </c>
      <c r="N234" s="4" t="s">
        <v>2370</v>
      </c>
      <c r="O234" s="4" t="s">
        <v>2412</v>
      </c>
      <c r="P234" s="2" t="s">
        <v>1208</v>
      </c>
      <c r="Q234" s="2" t="s">
        <v>2411</v>
      </c>
      <c r="U234" s="4" t="s">
        <v>2369</v>
      </c>
      <c r="V234" s="4" t="s">
        <v>2410</v>
      </c>
      <c r="W234" s="2" t="s">
        <v>1204</v>
      </c>
      <c r="X234" s="2" t="s">
        <v>2409</v>
      </c>
    </row>
    <row r="235" spans="1:26" ht="25.5" x14ac:dyDescent="0.2">
      <c r="A235" s="4">
        <v>230</v>
      </c>
      <c r="C235" s="6" t="s">
        <v>950</v>
      </c>
      <c r="E235" s="6" t="s">
        <v>1215</v>
      </c>
      <c r="G235" s="4" t="s">
        <v>19</v>
      </c>
      <c r="H235" s="4" t="s">
        <v>2402</v>
      </c>
      <c r="I235" s="2" t="s">
        <v>2408</v>
      </c>
      <c r="J235" s="2" t="s">
        <v>2384</v>
      </c>
      <c r="L235" s="2" t="s">
        <v>2407</v>
      </c>
      <c r="N235" s="4" t="s">
        <v>2370</v>
      </c>
      <c r="O235" s="4" t="s">
        <v>2401</v>
      </c>
      <c r="P235" s="2" t="s">
        <v>2406</v>
      </c>
      <c r="Q235" s="2" t="s">
        <v>2382</v>
      </c>
      <c r="S235" s="2" t="s">
        <v>2405</v>
      </c>
      <c r="U235" s="4" t="s">
        <v>2369</v>
      </c>
      <c r="V235" s="4" t="s">
        <v>2400</v>
      </c>
      <c r="W235" s="2" t="s">
        <v>2404</v>
      </c>
      <c r="X235" s="2" t="s">
        <v>2380</v>
      </c>
      <c r="Z235" s="18" t="s">
        <v>2819</v>
      </c>
    </row>
    <row r="236" spans="1:26" x14ac:dyDescent="0.2">
      <c r="A236" s="4">
        <v>231</v>
      </c>
      <c r="E236" s="6" t="s">
        <v>1215</v>
      </c>
      <c r="G236" s="4" t="s">
        <v>19</v>
      </c>
      <c r="H236" s="4" t="s">
        <v>2402</v>
      </c>
      <c r="I236" s="2" t="s">
        <v>121</v>
      </c>
      <c r="J236" s="2" t="s">
        <v>951</v>
      </c>
      <c r="N236" s="4" t="s">
        <v>2370</v>
      </c>
      <c r="O236" s="4" t="s">
        <v>2401</v>
      </c>
      <c r="P236" s="2" t="s">
        <v>742</v>
      </c>
      <c r="Q236" s="2" t="s">
        <v>951</v>
      </c>
      <c r="U236" s="4" t="s">
        <v>2369</v>
      </c>
      <c r="V236" s="4" t="s">
        <v>2400</v>
      </c>
      <c r="W236" s="2" t="s">
        <v>742</v>
      </c>
      <c r="X236" s="2" t="s">
        <v>951</v>
      </c>
    </row>
    <row r="237" spans="1:26" ht="25.5" x14ac:dyDescent="0.2">
      <c r="A237" s="4">
        <v>232</v>
      </c>
      <c r="D237" s="6" t="s">
        <v>950</v>
      </c>
      <c r="E237" s="6" t="s">
        <v>1215</v>
      </c>
      <c r="G237" s="4" t="s">
        <v>19</v>
      </c>
      <c r="H237" s="4" t="s">
        <v>2402</v>
      </c>
      <c r="I237" s="2" t="s">
        <v>1485</v>
      </c>
      <c r="J237" s="2" t="s">
        <v>1482</v>
      </c>
      <c r="L237" s="2" t="s">
        <v>2279</v>
      </c>
      <c r="N237" s="4" t="s">
        <v>2370</v>
      </c>
      <c r="O237" s="4" t="s">
        <v>2401</v>
      </c>
      <c r="P237" s="2" t="s">
        <v>1484</v>
      </c>
      <c r="Q237" s="2" t="s">
        <v>1482</v>
      </c>
      <c r="S237" s="2" t="s">
        <v>2278</v>
      </c>
      <c r="U237" s="4" t="s">
        <v>2369</v>
      </c>
      <c r="V237" s="4" t="s">
        <v>2400</v>
      </c>
      <c r="W237" s="2" t="s">
        <v>1483</v>
      </c>
      <c r="X237" s="2" t="s">
        <v>1482</v>
      </c>
      <c r="Z237" s="2" t="s">
        <v>2882</v>
      </c>
    </row>
    <row r="238" spans="1:26" ht="25.5" x14ac:dyDescent="0.2">
      <c r="A238" s="4">
        <v>233</v>
      </c>
      <c r="C238" s="6" t="s">
        <v>950</v>
      </c>
      <c r="E238" s="6" t="s">
        <v>1215</v>
      </c>
      <c r="G238" s="4" t="s">
        <v>19</v>
      </c>
      <c r="H238" s="4" t="s">
        <v>2393</v>
      </c>
      <c r="I238" s="2" t="s">
        <v>2399</v>
      </c>
      <c r="J238" s="2" t="s">
        <v>2398</v>
      </c>
      <c r="L238" s="18" t="s">
        <v>2820</v>
      </c>
      <c r="N238" s="4" t="s">
        <v>2370</v>
      </c>
      <c r="O238" s="4" t="s">
        <v>2392</v>
      </c>
      <c r="P238" s="2" t="s">
        <v>2397</v>
      </c>
      <c r="Q238" s="2" t="s">
        <v>2396</v>
      </c>
      <c r="S238" s="18" t="s">
        <v>2829</v>
      </c>
      <c r="U238" s="4" t="s">
        <v>2369</v>
      </c>
      <c r="V238" s="4" t="s">
        <v>2391</v>
      </c>
      <c r="W238" s="2" t="s">
        <v>2395</v>
      </c>
      <c r="X238" s="2" t="s">
        <v>2394</v>
      </c>
      <c r="Z238" s="18" t="s">
        <v>2822</v>
      </c>
    </row>
    <row r="239" spans="1:26" x14ac:dyDescent="0.2">
      <c r="A239" s="4">
        <v>234</v>
      </c>
      <c r="E239" s="6" t="s">
        <v>1215</v>
      </c>
      <c r="G239" s="4" t="s">
        <v>19</v>
      </c>
      <c r="H239" s="4" t="s">
        <v>2393</v>
      </c>
      <c r="I239" s="2" t="s">
        <v>1219</v>
      </c>
      <c r="J239" s="2" t="s">
        <v>1220</v>
      </c>
      <c r="N239" s="4" t="s">
        <v>2370</v>
      </c>
      <c r="O239" s="4" t="s">
        <v>2392</v>
      </c>
      <c r="P239" s="2" t="s">
        <v>1219</v>
      </c>
      <c r="Q239" s="2" t="s">
        <v>1218</v>
      </c>
      <c r="U239" s="4" t="s">
        <v>2369</v>
      </c>
      <c r="V239" s="4" t="s">
        <v>2391</v>
      </c>
      <c r="W239" s="2" t="s">
        <v>1219</v>
      </c>
      <c r="X239" s="2" t="s">
        <v>1218</v>
      </c>
    </row>
    <row r="240" spans="1:26" x14ac:dyDescent="0.2">
      <c r="A240" s="4">
        <v>235</v>
      </c>
      <c r="E240" s="6" t="s">
        <v>1215</v>
      </c>
      <c r="G240" s="4" t="s">
        <v>19</v>
      </c>
      <c r="H240" s="4" t="s">
        <v>2393</v>
      </c>
      <c r="I240" s="2" t="s">
        <v>1217</v>
      </c>
      <c r="J240" s="2" t="s">
        <v>933</v>
      </c>
      <c r="N240" s="4" t="s">
        <v>2370</v>
      </c>
      <c r="O240" s="4" t="s">
        <v>2392</v>
      </c>
      <c r="P240" s="2" t="s">
        <v>1217</v>
      </c>
      <c r="Q240" s="2" t="s">
        <v>933</v>
      </c>
      <c r="U240" s="4" t="s">
        <v>2369</v>
      </c>
      <c r="V240" s="4" t="s">
        <v>2391</v>
      </c>
      <c r="W240" s="2" t="s">
        <v>1217</v>
      </c>
      <c r="X240" s="2" t="s">
        <v>1216</v>
      </c>
    </row>
    <row r="241" spans="1:26" x14ac:dyDescent="0.2">
      <c r="A241" s="4">
        <v>236</v>
      </c>
      <c r="D241" s="6" t="s">
        <v>950</v>
      </c>
      <c r="E241" s="6" t="s">
        <v>1215</v>
      </c>
      <c r="G241" s="4" t="s">
        <v>19</v>
      </c>
      <c r="H241" s="4" t="s">
        <v>2393</v>
      </c>
      <c r="I241" s="2" t="s">
        <v>1285</v>
      </c>
      <c r="J241" s="2" t="s">
        <v>1199</v>
      </c>
      <c r="K241" s="3" t="s">
        <v>1284</v>
      </c>
      <c r="N241" s="4" t="s">
        <v>2370</v>
      </c>
      <c r="O241" s="4" t="s">
        <v>2392</v>
      </c>
      <c r="P241" s="2" t="s">
        <v>1285</v>
      </c>
      <c r="Q241" s="2" t="s">
        <v>1199</v>
      </c>
      <c r="R241" s="3" t="s">
        <v>1284</v>
      </c>
      <c r="U241" s="4" t="s">
        <v>2369</v>
      </c>
      <c r="V241" s="4" t="s">
        <v>2391</v>
      </c>
      <c r="W241" s="2" t="s">
        <v>1285</v>
      </c>
      <c r="X241" s="2" t="s">
        <v>1199</v>
      </c>
      <c r="Y241" s="3" t="s">
        <v>1284</v>
      </c>
    </row>
    <row r="242" spans="1:26" x14ac:dyDescent="0.2">
      <c r="A242" s="4">
        <v>237</v>
      </c>
      <c r="D242" s="6" t="s">
        <v>950</v>
      </c>
      <c r="E242" s="6" t="s">
        <v>1215</v>
      </c>
      <c r="G242" s="4" t="s">
        <v>19</v>
      </c>
      <c r="H242" s="4" t="s">
        <v>2393</v>
      </c>
      <c r="I242" s="2" t="s">
        <v>1283</v>
      </c>
      <c r="J242" s="2" t="s">
        <v>1200</v>
      </c>
      <c r="K242" s="3" t="s">
        <v>1282</v>
      </c>
      <c r="N242" s="4" t="s">
        <v>2370</v>
      </c>
      <c r="O242" s="4" t="s">
        <v>2392</v>
      </c>
      <c r="P242" s="2" t="s">
        <v>1283</v>
      </c>
      <c r="Q242" s="2" t="s">
        <v>1200</v>
      </c>
      <c r="R242" s="3" t="s">
        <v>1282</v>
      </c>
      <c r="U242" s="4" t="s">
        <v>2369</v>
      </c>
      <c r="V242" s="4" t="s">
        <v>2391</v>
      </c>
      <c r="W242" s="2" t="s">
        <v>1283</v>
      </c>
      <c r="X242" s="2" t="s">
        <v>1200</v>
      </c>
      <c r="Y242" s="3" t="s">
        <v>1282</v>
      </c>
    </row>
    <row r="243" spans="1:26" x14ac:dyDescent="0.2">
      <c r="A243" s="4">
        <v>238</v>
      </c>
      <c r="D243" s="6" t="s">
        <v>950</v>
      </c>
      <c r="E243" s="6" t="s">
        <v>1215</v>
      </c>
      <c r="G243" s="4" t="s">
        <v>19</v>
      </c>
      <c r="H243" s="4" t="s">
        <v>2393</v>
      </c>
      <c r="I243" s="2" t="s">
        <v>1280</v>
      </c>
      <c r="J243" s="2" t="s">
        <v>59</v>
      </c>
      <c r="K243" s="3" t="s">
        <v>1279</v>
      </c>
      <c r="N243" s="4" t="s">
        <v>2370</v>
      </c>
      <c r="O243" s="4" t="s">
        <v>2392</v>
      </c>
      <c r="P243" s="2" t="s">
        <v>1277</v>
      </c>
      <c r="Q243" s="2" t="s">
        <v>1276</v>
      </c>
      <c r="R243" s="3" t="s">
        <v>1275</v>
      </c>
      <c r="U243" s="4" t="s">
        <v>2369</v>
      </c>
      <c r="V243" s="4" t="s">
        <v>2391</v>
      </c>
      <c r="W243" s="2" t="s">
        <v>1273</v>
      </c>
      <c r="X243" s="2" t="s">
        <v>1272</v>
      </c>
      <c r="Y243" s="3" t="s">
        <v>1271</v>
      </c>
    </row>
    <row r="244" spans="1:26" x14ac:dyDescent="0.2">
      <c r="A244" s="4">
        <v>239</v>
      </c>
      <c r="C244" s="6" t="s">
        <v>950</v>
      </c>
      <c r="E244" s="6" t="s">
        <v>1215</v>
      </c>
      <c r="G244" s="4" t="s">
        <v>19</v>
      </c>
      <c r="H244" s="4" t="s">
        <v>403</v>
      </c>
      <c r="I244" s="2" t="s">
        <v>2299</v>
      </c>
      <c r="J244" s="2" t="s">
        <v>2384</v>
      </c>
      <c r="L244" s="2" t="s">
        <v>1228</v>
      </c>
      <c r="N244" s="4" t="s">
        <v>2370</v>
      </c>
      <c r="O244" s="4" t="s">
        <v>2389</v>
      </c>
      <c r="P244" s="2" t="s">
        <v>2390</v>
      </c>
      <c r="Q244" s="2" t="s">
        <v>2382</v>
      </c>
      <c r="S244" s="2" t="s">
        <v>1225</v>
      </c>
      <c r="U244" s="4" t="s">
        <v>2369</v>
      </c>
      <c r="V244" s="4" t="s">
        <v>2295</v>
      </c>
      <c r="W244" s="2" t="s">
        <v>2297</v>
      </c>
      <c r="X244" s="2" t="s">
        <v>2380</v>
      </c>
      <c r="Z244" s="2" t="s">
        <v>1222</v>
      </c>
    </row>
    <row r="245" spans="1:26" x14ac:dyDescent="0.2">
      <c r="A245" s="4">
        <v>240</v>
      </c>
      <c r="E245" s="6" t="s">
        <v>1215</v>
      </c>
      <c r="G245" s="4" t="s">
        <v>19</v>
      </c>
      <c r="H245" s="4" t="s">
        <v>403</v>
      </c>
      <c r="I245" s="2" t="s">
        <v>5</v>
      </c>
      <c r="J245" s="2" t="s">
        <v>956</v>
      </c>
      <c r="N245" s="4" t="s">
        <v>2370</v>
      </c>
      <c r="O245" s="4" t="s">
        <v>2389</v>
      </c>
      <c r="P245" s="2" t="s">
        <v>702</v>
      </c>
      <c r="Q245" s="2" t="s">
        <v>956</v>
      </c>
      <c r="U245" s="4" t="s">
        <v>2369</v>
      </c>
      <c r="V245" s="4" t="s">
        <v>2295</v>
      </c>
      <c r="W245" s="2" t="s">
        <v>1700</v>
      </c>
      <c r="X245" s="2" t="s">
        <v>956</v>
      </c>
    </row>
    <row r="246" spans="1:26" x14ac:dyDescent="0.2">
      <c r="A246" s="4">
        <v>241</v>
      </c>
      <c r="C246" s="6" t="s">
        <v>950</v>
      </c>
      <c r="E246" s="6" t="s">
        <v>1215</v>
      </c>
      <c r="G246" s="4" t="s">
        <v>19</v>
      </c>
      <c r="H246" s="4" t="s">
        <v>2288</v>
      </c>
      <c r="I246" s="2" t="s">
        <v>2294</v>
      </c>
      <c r="J246" s="2" t="s">
        <v>2293</v>
      </c>
      <c r="L246" s="2" t="s">
        <v>1691</v>
      </c>
      <c r="N246" s="4" t="s">
        <v>2370</v>
      </c>
      <c r="O246" s="4" t="s">
        <v>2386</v>
      </c>
      <c r="P246" s="2" t="s">
        <v>2388</v>
      </c>
      <c r="Q246" s="2" t="s">
        <v>2387</v>
      </c>
      <c r="S246" s="2" t="s">
        <v>1688</v>
      </c>
      <c r="U246" s="4" t="s">
        <v>2369</v>
      </c>
      <c r="V246" s="4" t="s">
        <v>2286</v>
      </c>
      <c r="W246" s="2" t="s">
        <v>2290</v>
      </c>
      <c r="X246" s="2" t="s">
        <v>2289</v>
      </c>
      <c r="Z246" s="2" t="s">
        <v>1685</v>
      </c>
    </row>
    <row r="247" spans="1:26" x14ac:dyDescent="0.2">
      <c r="A247" s="4">
        <v>242</v>
      </c>
      <c r="E247" s="6" t="s">
        <v>1215</v>
      </c>
      <c r="G247" s="4" t="s">
        <v>19</v>
      </c>
      <c r="H247" s="4" t="s">
        <v>2288</v>
      </c>
      <c r="I247" s="2" t="s">
        <v>1219</v>
      </c>
      <c r="J247" s="2" t="s">
        <v>1220</v>
      </c>
      <c r="N247" s="4" t="s">
        <v>2370</v>
      </c>
      <c r="O247" s="4" t="s">
        <v>2386</v>
      </c>
      <c r="P247" s="2" t="s">
        <v>1219</v>
      </c>
      <c r="Q247" s="2" t="s">
        <v>1218</v>
      </c>
      <c r="U247" s="4" t="s">
        <v>2369</v>
      </c>
      <c r="V247" s="4" t="s">
        <v>2286</v>
      </c>
      <c r="W247" s="2" t="s">
        <v>1219</v>
      </c>
      <c r="X247" s="2" t="s">
        <v>1218</v>
      </c>
    </row>
    <row r="248" spans="1:26" x14ac:dyDescent="0.2">
      <c r="A248" s="4">
        <v>243</v>
      </c>
      <c r="E248" s="6" t="s">
        <v>1215</v>
      </c>
      <c r="G248" s="4" t="s">
        <v>19</v>
      </c>
      <c r="H248" s="4" t="s">
        <v>2288</v>
      </c>
      <c r="I248" s="2" t="s">
        <v>1217</v>
      </c>
      <c r="J248" s="2" t="s">
        <v>933</v>
      </c>
      <c r="N248" s="4" t="s">
        <v>2370</v>
      </c>
      <c r="O248" s="4" t="s">
        <v>2386</v>
      </c>
      <c r="P248" s="2" t="s">
        <v>1217</v>
      </c>
      <c r="Q248" s="2" t="s">
        <v>933</v>
      </c>
      <c r="U248" s="4" t="s">
        <v>2369</v>
      </c>
      <c r="V248" s="4" t="s">
        <v>2286</v>
      </c>
      <c r="W248" s="2" t="s">
        <v>1217</v>
      </c>
      <c r="X248" s="2" t="s">
        <v>1216</v>
      </c>
    </row>
    <row r="249" spans="1:26" x14ac:dyDescent="0.2">
      <c r="A249" s="4">
        <v>244</v>
      </c>
      <c r="D249" s="6" t="s">
        <v>950</v>
      </c>
      <c r="E249" s="6" t="s">
        <v>1215</v>
      </c>
      <c r="G249" s="4" t="s">
        <v>19</v>
      </c>
      <c r="H249" s="4" t="s">
        <v>2288</v>
      </c>
      <c r="I249" s="2" t="s">
        <v>1285</v>
      </c>
      <c r="J249" s="2" t="s">
        <v>1199</v>
      </c>
      <c r="K249" s="3" t="s">
        <v>1284</v>
      </c>
      <c r="N249" s="4" t="s">
        <v>2370</v>
      </c>
      <c r="O249" s="4" t="s">
        <v>2386</v>
      </c>
      <c r="P249" s="2" t="s">
        <v>1285</v>
      </c>
      <c r="Q249" s="2" t="s">
        <v>1199</v>
      </c>
      <c r="R249" s="3" t="s">
        <v>1284</v>
      </c>
      <c r="U249" s="4" t="s">
        <v>2369</v>
      </c>
      <c r="V249" s="4" t="s">
        <v>2286</v>
      </c>
      <c r="W249" s="2" t="s">
        <v>1285</v>
      </c>
      <c r="X249" s="2" t="s">
        <v>1199</v>
      </c>
      <c r="Y249" s="3" t="s">
        <v>1284</v>
      </c>
    </row>
    <row r="250" spans="1:26" x14ac:dyDescent="0.2">
      <c r="A250" s="4">
        <v>245</v>
      </c>
      <c r="D250" s="6" t="s">
        <v>950</v>
      </c>
      <c r="E250" s="6" t="s">
        <v>1215</v>
      </c>
      <c r="G250" s="4" t="s">
        <v>19</v>
      </c>
      <c r="H250" s="4" t="s">
        <v>2288</v>
      </c>
      <c r="I250" s="2" t="s">
        <v>1283</v>
      </c>
      <c r="J250" s="2" t="s">
        <v>1200</v>
      </c>
      <c r="K250" s="3" t="s">
        <v>1282</v>
      </c>
      <c r="N250" s="4" t="s">
        <v>2370</v>
      </c>
      <c r="O250" s="4" t="s">
        <v>2386</v>
      </c>
      <c r="P250" s="2" t="s">
        <v>1283</v>
      </c>
      <c r="Q250" s="2" t="s">
        <v>1200</v>
      </c>
      <c r="R250" s="3" t="s">
        <v>1282</v>
      </c>
      <c r="U250" s="4" t="s">
        <v>2369</v>
      </c>
      <c r="V250" s="4" t="s">
        <v>2286</v>
      </c>
      <c r="W250" s="2" t="s">
        <v>1283</v>
      </c>
      <c r="X250" s="2" t="s">
        <v>1200</v>
      </c>
      <c r="Y250" s="3" t="s">
        <v>1282</v>
      </c>
    </row>
    <row r="251" spans="1:26" x14ac:dyDescent="0.2">
      <c r="A251" s="4">
        <v>246</v>
      </c>
      <c r="D251" s="6" t="s">
        <v>950</v>
      </c>
      <c r="E251" s="6" t="s">
        <v>1215</v>
      </c>
      <c r="G251" s="4" t="s">
        <v>19</v>
      </c>
      <c r="H251" s="4" t="s">
        <v>2288</v>
      </c>
      <c r="I251" s="2" t="s">
        <v>1280</v>
      </c>
      <c r="J251" s="2" t="s">
        <v>59</v>
      </c>
      <c r="K251" s="3" t="s">
        <v>1279</v>
      </c>
      <c r="N251" s="4" t="s">
        <v>2370</v>
      </c>
      <c r="O251" s="4" t="s">
        <v>2386</v>
      </c>
      <c r="P251" s="2" t="s">
        <v>1277</v>
      </c>
      <c r="Q251" s="2" t="s">
        <v>1276</v>
      </c>
      <c r="R251" s="3" t="s">
        <v>1275</v>
      </c>
      <c r="U251" s="4" t="s">
        <v>2369</v>
      </c>
      <c r="V251" s="4" t="s">
        <v>2286</v>
      </c>
      <c r="W251" s="2" t="s">
        <v>1273</v>
      </c>
      <c r="X251" s="2" t="s">
        <v>1272</v>
      </c>
      <c r="Y251" s="3" t="s">
        <v>1271</v>
      </c>
    </row>
    <row r="252" spans="1:26" ht="127.5" x14ac:dyDescent="0.2">
      <c r="A252" s="4">
        <v>247</v>
      </c>
      <c r="C252" s="6" t="s">
        <v>950</v>
      </c>
      <c r="E252" s="6" t="s">
        <v>1215</v>
      </c>
      <c r="G252" s="4" t="s">
        <v>19</v>
      </c>
      <c r="H252" s="4" t="s">
        <v>2376</v>
      </c>
      <c r="I252" s="2" t="s">
        <v>2385</v>
      </c>
      <c r="J252" s="2" t="s">
        <v>2384</v>
      </c>
      <c r="L252" s="18" t="s">
        <v>2830</v>
      </c>
      <c r="N252" s="4" t="s">
        <v>2370</v>
      </c>
      <c r="O252" s="4" t="s">
        <v>2375</v>
      </c>
      <c r="P252" s="2" t="s">
        <v>2383</v>
      </c>
      <c r="Q252" s="2" t="s">
        <v>2382</v>
      </c>
      <c r="S252" s="18" t="s">
        <v>2831</v>
      </c>
      <c r="U252" s="4" t="s">
        <v>2369</v>
      </c>
      <c r="V252" s="4" t="s">
        <v>2374</v>
      </c>
      <c r="W252" s="2" t="s">
        <v>2381</v>
      </c>
      <c r="X252" s="2" t="s">
        <v>2380</v>
      </c>
      <c r="Z252" s="18" t="s">
        <v>2883</v>
      </c>
    </row>
    <row r="253" spans="1:26" x14ac:dyDescent="0.2">
      <c r="A253" s="4">
        <v>248</v>
      </c>
      <c r="E253" s="6" t="s">
        <v>1215</v>
      </c>
      <c r="G253" s="4" t="s">
        <v>19</v>
      </c>
      <c r="H253" s="4" t="s">
        <v>2376</v>
      </c>
      <c r="I253" s="2" t="s">
        <v>1219</v>
      </c>
      <c r="J253" s="2" t="s">
        <v>1220</v>
      </c>
      <c r="L253" s="2" t="s">
        <v>2379</v>
      </c>
      <c r="N253" s="4" t="s">
        <v>2370</v>
      </c>
      <c r="O253" s="4" t="s">
        <v>2375</v>
      </c>
      <c r="P253" s="2" t="s">
        <v>1219</v>
      </c>
      <c r="Q253" s="2" t="s">
        <v>1218</v>
      </c>
      <c r="S253" s="2" t="s">
        <v>2378</v>
      </c>
      <c r="U253" s="4" t="s">
        <v>2369</v>
      </c>
      <c r="V253" s="4" t="s">
        <v>2374</v>
      </c>
      <c r="W253" s="2" t="s">
        <v>1219</v>
      </c>
      <c r="X253" s="2" t="s">
        <v>1218</v>
      </c>
      <c r="Z253" s="2" t="s">
        <v>2377</v>
      </c>
    </row>
    <row r="254" spans="1:26" x14ac:dyDescent="0.2">
      <c r="A254" s="4">
        <v>249</v>
      </c>
      <c r="D254" s="6" t="s">
        <v>950</v>
      </c>
      <c r="E254" s="6" t="s">
        <v>1215</v>
      </c>
      <c r="G254" s="4" t="s">
        <v>19</v>
      </c>
      <c r="H254" s="4" t="s">
        <v>2376</v>
      </c>
      <c r="I254" s="2" t="s">
        <v>1217</v>
      </c>
      <c r="J254" s="2" t="s">
        <v>933</v>
      </c>
      <c r="K254" s="3">
        <v>0</v>
      </c>
      <c r="N254" s="4" t="s">
        <v>2370</v>
      </c>
      <c r="O254" s="4" t="s">
        <v>2375</v>
      </c>
      <c r="P254" s="2" t="s">
        <v>1217</v>
      </c>
      <c r="Q254" s="2" t="s">
        <v>933</v>
      </c>
      <c r="R254" s="3">
        <v>0</v>
      </c>
      <c r="U254" s="4" t="s">
        <v>2369</v>
      </c>
      <c r="V254" s="4" t="s">
        <v>2374</v>
      </c>
      <c r="W254" s="2" t="s">
        <v>1217</v>
      </c>
      <c r="X254" s="2" t="s">
        <v>1216</v>
      </c>
      <c r="Y254" s="3">
        <v>0</v>
      </c>
    </row>
    <row r="255" spans="1:26" x14ac:dyDescent="0.2">
      <c r="A255" s="4">
        <v>250</v>
      </c>
      <c r="C255" s="6" t="s">
        <v>950</v>
      </c>
      <c r="D255" s="6" t="s">
        <v>950</v>
      </c>
      <c r="E255" s="6" t="s">
        <v>1215</v>
      </c>
      <c r="G255" s="4" t="s">
        <v>19</v>
      </c>
      <c r="H255" s="4" t="s">
        <v>1948</v>
      </c>
      <c r="I255" s="2" t="s">
        <v>969</v>
      </c>
      <c r="J255" s="2" t="s">
        <v>2373</v>
      </c>
      <c r="L255" s="2" t="s">
        <v>1521</v>
      </c>
      <c r="N255" s="4" t="s">
        <v>2370</v>
      </c>
      <c r="O255" s="4" t="s">
        <v>1947</v>
      </c>
      <c r="P255" s="2" t="s">
        <v>1319</v>
      </c>
      <c r="Q255" s="2" t="s">
        <v>2372</v>
      </c>
      <c r="S255" s="2" t="s">
        <v>1520</v>
      </c>
      <c r="U255" s="4" t="s">
        <v>2369</v>
      </c>
      <c r="V255" s="4" t="s">
        <v>1946</v>
      </c>
      <c r="W255" s="2" t="s">
        <v>1319</v>
      </c>
      <c r="X255" s="2" t="s">
        <v>2371</v>
      </c>
      <c r="Z255" s="2" t="s">
        <v>1519</v>
      </c>
    </row>
    <row r="256" spans="1:26" x14ac:dyDescent="0.2">
      <c r="A256" s="4">
        <v>251</v>
      </c>
      <c r="D256" s="6" t="s">
        <v>950</v>
      </c>
      <c r="E256" s="6" t="s">
        <v>1215</v>
      </c>
      <c r="G256" s="4" t="s">
        <v>19</v>
      </c>
      <c r="H256" s="4" t="s">
        <v>1948</v>
      </c>
      <c r="I256" s="2" t="s">
        <v>99</v>
      </c>
      <c r="J256" s="2" t="s">
        <v>951</v>
      </c>
      <c r="N256" s="4" t="s">
        <v>2370</v>
      </c>
      <c r="O256" s="4" t="s">
        <v>1947</v>
      </c>
      <c r="P256" s="2" t="s">
        <v>734</v>
      </c>
      <c r="Q256" s="2" t="s">
        <v>951</v>
      </c>
      <c r="U256" s="4" t="s">
        <v>2369</v>
      </c>
      <c r="V256" s="4" t="s">
        <v>1946</v>
      </c>
      <c r="W256" s="2" t="s">
        <v>1376</v>
      </c>
      <c r="X256" s="2" t="s">
        <v>951</v>
      </c>
    </row>
    <row r="257" spans="1:26" ht="25.5" x14ac:dyDescent="0.2">
      <c r="A257" s="4">
        <v>252</v>
      </c>
      <c r="B257" s="6" t="s">
        <v>6</v>
      </c>
      <c r="E257" s="6" t="s">
        <v>1215</v>
      </c>
      <c r="G257" s="4" t="s">
        <v>19</v>
      </c>
      <c r="H257" s="4" t="s">
        <v>1948</v>
      </c>
      <c r="I257" s="2" t="s">
        <v>123</v>
      </c>
      <c r="J257" s="2" t="s">
        <v>1220</v>
      </c>
      <c r="L257" s="2" t="s">
        <v>1951</v>
      </c>
      <c r="N257" s="4" t="s">
        <v>2370</v>
      </c>
      <c r="O257" s="4" t="s">
        <v>1947</v>
      </c>
      <c r="P257" s="2" t="s">
        <v>123</v>
      </c>
      <c r="Q257" s="2" t="s">
        <v>1218</v>
      </c>
      <c r="S257" s="2" t="s">
        <v>1950</v>
      </c>
      <c r="U257" s="4" t="s">
        <v>2369</v>
      </c>
      <c r="V257" s="4" t="s">
        <v>1946</v>
      </c>
      <c r="W257" s="2" t="s">
        <v>1247</v>
      </c>
      <c r="X257" s="2" t="s">
        <v>1218</v>
      </c>
      <c r="Z257" s="2" t="s">
        <v>1949</v>
      </c>
    </row>
    <row r="258" spans="1:26" x14ac:dyDescent="0.2">
      <c r="A258" s="4">
        <v>253</v>
      </c>
      <c r="E258" s="6" t="s">
        <v>1215</v>
      </c>
      <c r="G258" s="4" t="s">
        <v>19</v>
      </c>
      <c r="H258" s="4" t="s">
        <v>1948</v>
      </c>
      <c r="I258" s="2" t="s">
        <v>1855</v>
      </c>
      <c r="J258" s="2" t="s">
        <v>939</v>
      </c>
      <c r="N258" s="4" t="s">
        <v>2370</v>
      </c>
      <c r="O258" s="4" t="s">
        <v>1947</v>
      </c>
      <c r="P258" s="2" t="s">
        <v>1853</v>
      </c>
      <c r="Q258" s="2" t="s">
        <v>1854</v>
      </c>
      <c r="U258" s="4" t="s">
        <v>2369</v>
      </c>
      <c r="V258" s="4" t="s">
        <v>1946</v>
      </c>
      <c r="W258" s="2" t="s">
        <v>1853</v>
      </c>
      <c r="X258" s="2" t="s">
        <v>1852</v>
      </c>
    </row>
    <row r="259" spans="1:26" x14ac:dyDescent="0.2">
      <c r="A259" s="4">
        <v>254</v>
      </c>
      <c r="E259" s="6" t="s">
        <v>1215</v>
      </c>
      <c r="G259" s="4" t="s">
        <v>19</v>
      </c>
      <c r="H259" s="4" t="s">
        <v>1948</v>
      </c>
      <c r="I259" s="2" t="s">
        <v>1851</v>
      </c>
      <c r="J259" s="2" t="s">
        <v>941</v>
      </c>
      <c r="N259" s="4" t="s">
        <v>2370</v>
      </c>
      <c r="O259" s="4" t="s">
        <v>1947</v>
      </c>
      <c r="P259" s="2" t="s">
        <v>1850</v>
      </c>
      <c r="Q259" s="2" t="s">
        <v>1849</v>
      </c>
      <c r="U259" s="4" t="s">
        <v>2369</v>
      </c>
      <c r="V259" s="4" t="s">
        <v>1946</v>
      </c>
      <c r="W259" s="2" t="s">
        <v>1848</v>
      </c>
      <c r="X259" s="2" t="s">
        <v>1847</v>
      </c>
    </row>
    <row r="260" spans="1:26" x14ac:dyDescent="0.2">
      <c r="A260" s="4">
        <v>255</v>
      </c>
      <c r="E260" s="6" t="s">
        <v>1215</v>
      </c>
      <c r="G260" s="4" t="s">
        <v>19</v>
      </c>
      <c r="H260" s="4" t="s">
        <v>1948</v>
      </c>
      <c r="I260" s="2" t="s">
        <v>1837</v>
      </c>
      <c r="J260" s="2" t="s">
        <v>2926</v>
      </c>
      <c r="L260" s="2" t="s">
        <v>1836</v>
      </c>
      <c r="N260" s="4" t="s">
        <v>2370</v>
      </c>
      <c r="O260" s="4" t="s">
        <v>1947</v>
      </c>
      <c r="P260" s="2" t="s">
        <v>1834</v>
      </c>
      <c r="Q260" s="2" t="s">
        <v>1507</v>
      </c>
      <c r="S260" s="2" t="s">
        <v>1833</v>
      </c>
      <c r="U260" s="4" t="s">
        <v>2369</v>
      </c>
      <c r="V260" s="4" t="s">
        <v>1946</v>
      </c>
      <c r="W260" s="2" t="s">
        <v>1831</v>
      </c>
      <c r="X260" s="2" t="s">
        <v>2925</v>
      </c>
      <c r="Z260" s="2" t="s">
        <v>1830</v>
      </c>
    </row>
    <row r="261" spans="1:26" ht="25.5" x14ac:dyDescent="0.2">
      <c r="A261" s="4">
        <v>256</v>
      </c>
      <c r="B261" s="6" t="s">
        <v>6</v>
      </c>
      <c r="C261" s="6" t="s">
        <v>950</v>
      </c>
      <c r="E261" s="6" t="s">
        <v>1215</v>
      </c>
      <c r="G261" s="4" t="s">
        <v>19</v>
      </c>
      <c r="H261" s="4" t="s">
        <v>1939</v>
      </c>
      <c r="I261" s="2" t="s">
        <v>1945</v>
      </c>
      <c r="J261" s="2" t="s">
        <v>1944</v>
      </c>
      <c r="L261" s="18" t="s">
        <v>2832</v>
      </c>
      <c r="N261" s="4" t="s">
        <v>2370</v>
      </c>
      <c r="O261" s="4" t="s">
        <v>1938</v>
      </c>
      <c r="P261" s="2" t="s">
        <v>1943</v>
      </c>
      <c r="Q261" s="2" t="s">
        <v>1942</v>
      </c>
      <c r="S261" s="2" t="s">
        <v>1827</v>
      </c>
      <c r="U261" s="4" t="s">
        <v>2369</v>
      </c>
      <c r="V261" s="4" t="s">
        <v>1936</v>
      </c>
      <c r="W261" s="2" t="s">
        <v>1941</v>
      </c>
      <c r="X261" s="2" t="s">
        <v>1940</v>
      </c>
      <c r="Z261" s="18" t="s">
        <v>2833</v>
      </c>
    </row>
    <row r="262" spans="1:26" x14ac:dyDescent="0.2">
      <c r="A262" s="4">
        <v>257</v>
      </c>
      <c r="E262" s="6" t="s">
        <v>1215</v>
      </c>
      <c r="G262" s="4" t="s">
        <v>19</v>
      </c>
      <c r="H262" s="4" t="s">
        <v>1939</v>
      </c>
      <c r="I262" s="2" t="s">
        <v>1219</v>
      </c>
      <c r="J262" s="2" t="s">
        <v>1220</v>
      </c>
      <c r="N262" s="4" t="s">
        <v>2370</v>
      </c>
      <c r="O262" s="4" t="s">
        <v>1938</v>
      </c>
      <c r="P262" s="2" t="s">
        <v>1219</v>
      </c>
      <c r="Q262" s="2" t="s">
        <v>1218</v>
      </c>
      <c r="U262" s="4" t="s">
        <v>2369</v>
      </c>
      <c r="V262" s="4" t="s">
        <v>1936</v>
      </c>
      <c r="W262" s="2" t="s">
        <v>1219</v>
      </c>
      <c r="X262" s="2" t="s">
        <v>1218</v>
      </c>
    </row>
    <row r="263" spans="1:26" x14ac:dyDescent="0.2">
      <c r="A263" s="4">
        <v>258</v>
      </c>
      <c r="D263" s="6" t="s">
        <v>950</v>
      </c>
      <c r="E263" s="6" t="s">
        <v>1215</v>
      </c>
      <c r="G263" s="4" t="s">
        <v>19</v>
      </c>
      <c r="H263" s="4" t="s">
        <v>1939</v>
      </c>
      <c r="I263" s="2" t="s">
        <v>1217</v>
      </c>
      <c r="J263" s="2" t="s">
        <v>933</v>
      </c>
      <c r="K263" s="3">
        <v>100</v>
      </c>
      <c r="N263" s="4" t="s">
        <v>2370</v>
      </c>
      <c r="O263" s="4" t="s">
        <v>1938</v>
      </c>
      <c r="P263" s="2" t="s">
        <v>1217</v>
      </c>
      <c r="Q263" s="2" t="s">
        <v>933</v>
      </c>
      <c r="R263" s="3">
        <v>100</v>
      </c>
      <c r="U263" s="4" t="s">
        <v>2369</v>
      </c>
      <c r="V263" s="4" t="s">
        <v>1936</v>
      </c>
      <c r="W263" s="2" t="s">
        <v>1217</v>
      </c>
      <c r="X263" s="2" t="s">
        <v>1216</v>
      </c>
      <c r="Y263" s="3">
        <v>100</v>
      </c>
    </row>
    <row r="264" spans="1:26" x14ac:dyDescent="0.2">
      <c r="A264" s="4">
        <v>259</v>
      </c>
      <c r="D264" s="6" t="s">
        <v>950</v>
      </c>
      <c r="E264" s="6" t="s">
        <v>1215</v>
      </c>
      <c r="G264" s="4" t="s">
        <v>19</v>
      </c>
      <c r="H264" s="4" t="s">
        <v>1939</v>
      </c>
      <c r="I264" s="2" t="s">
        <v>1285</v>
      </c>
      <c r="J264" s="2" t="s">
        <v>1199</v>
      </c>
      <c r="K264" s="3" t="s">
        <v>86</v>
      </c>
      <c r="N264" s="4" t="s">
        <v>2370</v>
      </c>
      <c r="O264" s="4" t="s">
        <v>1938</v>
      </c>
      <c r="P264" s="2" t="s">
        <v>1285</v>
      </c>
      <c r="Q264" s="2" t="s">
        <v>1199</v>
      </c>
      <c r="R264" s="3" t="s">
        <v>86</v>
      </c>
      <c r="U264" s="4" t="s">
        <v>2369</v>
      </c>
      <c r="V264" s="4" t="s">
        <v>1936</v>
      </c>
      <c r="W264" s="2" t="s">
        <v>1285</v>
      </c>
      <c r="X264" s="2" t="s">
        <v>1199</v>
      </c>
      <c r="Y264" s="3" t="s">
        <v>86</v>
      </c>
    </row>
    <row r="265" spans="1:26" x14ac:dyDescent="0.2">
      <c r="A265" s="4">
        <v>260</v>
      </c>
      <c r="D265" s="6" t="s">
        <v>950</v>
      </c>
      <c r="E265" s="6" t="s">
        <v>1215</v>
      </c>
      <c r="G265" s="4" t="s">
        <v>19</v>
      </c>
      <c r="H265" s="4" t="s">
        <v>1939</v>
      </c>
      <c r="I265" s="2" t="s">
        <v>1283</v>
      </c>
      <c r="J265" s="2" t="s">
        <v>1200</v>
      </c>
      <c r="K265" s="3" t="s">
        <v>90</v>
      </c>
      <c r="N265" s="4" t="s">
        <v>2370</v>
      </c>
      <c r="O265" s="4" t="s">
        <v>1938</v>
      </c>
      <c r="P265" s="2" t="s">
        <v>1283</v>
      </c>
      <c r="Q265" s="2" t="s">
        <v>1200</v>
      </c>
      <c r="R265" s="3" t="s">
        <v>90</v>
      </c>
      <c r="U265" s="4" t="s">
        <v>2369</v>
      </c>
      <c r="V265" s="4" t="s">
        <v>1936</v>
      </c>
      <c r="W265" s="2" t="s">
        <v>1283</v>
      </c>
      <c r="X265" s="2" t="s">
        <v>1200</v>
      </c>
      <c r="Y265" s="3" t="s">
        <v>90</v>
      </c>
    </row>
    <row r="266" spans="1:26" x14ac:dyDescent="0.2">
      <c r="A266" s="4">
        <v>261</v>
      </c>
      <c r="E266" s="6" t="s">
        <v>1385</v>
      </c>
      <c r="G266" s="4" t="s">
        <v>20</v>
      </c>
      <c r="I266" s="2" t="s">
        <v>2323</v>
      </c>
      <c r="J266" s="2" t="s">
        <v>435</v>
      </c>
      <c r="N266" s="4" t="s">
        <v>2263</v>
      </c>
      <c r="P266" s="2" t="s">
        <v>2321</v>
      </c>
      <c r="Q266" s="2" t="s">
        <v>824</v>
      </c>
      <c r="U266" s="4" t="s">
        <v>2262</v>
      </c>
      <c r="W266" s="2" t="s">
        <v>2319</v>
      </c>
      <c r="X266" s="2" t="s">
        <v>2368</v>
      </c>
    </row>
    <row r="267" spans="1:26" ht="25.5" x14ac:dyDescent="0.2">
      <c r="A267" s="4">
        <v>262</v>
      </c>
      <c r="E267" s="6" t="s">
        <v>1385</v>
      </c>
      <c r="G267" s="4" t="s">
        <v>20</v>
      </c>
      <c r="I267" s="2" t="s">
        <v>2323</v>
      </c>
      <c r="J267" s="2" t="s">
        <v>436</v>
      </c>
      <c r="N267" s="4" t="s">
        <v>2263</v>
      </c>
      <c r="P267" s="2" t="s">
        <v>2321</v>
      </c>
      <c r="Q267" s="2" t="s">
        <v>825</v>
      </c>
      <c r="U267" s="4" t="s">
        <v>2262</v>
      </c>
      <c r="W267" s="2" t="s">
        <v>2319</v>
      </c>
      <c r="X267" s="2" t="s">
        <v>2367</v>
      </c>
    </row>
    <row r="268" spans="1:26" ht="25.5" x14ac:dyDescent="0.2">
      <c r="A268" s="4">
        <v>263</v>
      </c>
      <c r="E268" s="6" t="s">
        <v>1385</v>
      </c>
      <c r="G268" s="4" t="s">
        <v>20</v>
      </c>
      <c r="I268" s="2" t="s">
        <v>2323</v>
      </c>
      <c r="J268" s="2" t="s">
        <v>437</v>
      </c>
      <c r="N268" s="4" t="s">
        <v>2263</v>
      </c>
      <c r="P268" s="2" t="s">
        <v>2321</v>
      </c>
      <c r="Q268" s="2" t="s">
        <v>826</v>
      </c>
      <c r="U268" s="4" t="s">
        <v>2262</v>
      </c>
      <c r="W268" s="2" t="s">
        <v>2319</v>
      </c>
      <c r="X268" s="2" t="s">
        <v>2366</v>
      </c>
    </row>
    <row r="269" spans="1:26" ht="25.5" x14ac:dyDescent="0.2">
      <c r="A269" s="4">
        <v>264</v>
      </c>
      <c r="E269" s="6" t="s">
        <v>1385</v>
      </c>
      <c r="G269" s="4" t="s">
        <v>20</v>
      </c>
      <c r="I269" s="2" t="s">
        <v>2323</v>
      </c>
      <c r="J269" s="2" t="s">
        <v>438</v>
      </c>
      <c r="N269" s="4" t="s">
        <v>2263</v>
      </c>
      <c r="P269" s="2" t="s">
        <v>2321</v>
      </c>
      <c r="Q269" s="2" t="s">
        <v>827</v>
      </c>
      <c r="U269" s="4" t="s">
        <v>2262</v>
      </c>
      <c r="W269" s="2" t="s">
        <v>2319</v>
      </c>
      <c r="X269" s="2" t="s">
        <v>2365</v>
      </c>
    </row>
    <row r="270" spans="1:26" x14ac:dyDescent="0.2">
      <c r="A270" s="4">
        <v>265</v>
      </c>
      <c r="E270" s="6" t="s">
        <v>1385</v>
      </c>
      <c r="G270" s="4" t="s">
        <v>20</v>
      </c>
      <c r="I270" s="2" t="s">
        <v>2323</v>
      </c>
      <c r="J270" s="2" t="s">
        <v>439</v>
      </c>
      <c r="N270" s="4" t="s">
        <v>2263</v>
      </c>
      <c r="P270" s="2" t="s">
        <v>2321</v>
      </c>
      <c r="Q270" s="2" t="s">
        <v>828</v>
      </c>
      <c r="U270" s="4" t="s">
        <v>2262</v>
      </c>
      <c r="W270" s="2" t="s">
        <v>2319</v>
      </c>
      <c r="X270" s="2" t="s">
        <v>2364</v>
      </c>
    </row>
    <row r="271" spans="1:26" ht="25.5" x14ac:dyDescent="0.2">
      <c r="A271" s="4">
        <v>266</v>
      </c>
      <c r="E271" s="6" t="s">
        <v>1385</v>
      </c>
      <c r="G271" s="4" t="s">
        <v>20</v>
      </c>
      <c r="I271" s="2" t="s">
        <v>2323</v>
      </c>
      <c r="J271" s="2" t="s">
        <v>441</v>
      </c>
      <c r="N271" s="4" t="s">
        <v>2263</v>
      </c>
      <c r="P271" s="2" t="s">
        <v>2321</v>
      </c>
      <c r="Q271" s="2" t="s">
        <v>829</v>
      </c>
      <c r="U271" s="4" t="s">
        <v>2262</v>
      </c>
      <c r="W271" s="2" t="s">
        <v>2319</v>
      </c>
      <c r="X271" s="2" t="s">
        <v>2363</v>
      </c>
    </row>
    <row r="272" spans="1:26" x14ac:dyDescent="0.2">
      <c r="A272" s="4">
        <v>267</v>
      </c>
      <c r="E272" s="6" t="s">
        <v>1385</v>
      </c>
      <c r="G272" s="4" t="s">
        <v>20</v>
      </c>
      <c r="I272" s="2" t="s">
        <v>2323</v>
      </c>
      <c r="J272" s="2" t="s">
        <v>442</v>
      </c>
      <c r="N272" s="4" t="s">
        <v>2263</v>
      </c>
      <c r="P272" s="2" t="s">
        <v>2321</v>
      </c>
      <c r="Q272" s="2" t="s">
        <v>830</v>
      </c>
      <c r="U272" s="4" t="s">
        <v>2262</v>
      </c>
      <c r="W272" s="2" t="s">
        <v>2319</v>
      </c>
      <c r="X272" s="2" t="s">
        <v>2362</v>
      </c>
    </row>
    <row r="273" spans="1:26" x14ac:dyDescent="0.2">
      <c r="A273" s="4">
        <v>268</v>
      </c>
      <c r="E273" s="6" t="s">
        <v>1385</v>
      </c>
      <c r="G273" s="4" t="s">
        <v>20</v>
      </c>
      <c r="I273" s="2" t="s">
        <v>2323</v>
      </c>
      <c r="J273" s="2" t="s">
        <v>444</v>
      </c>
      <c r="N273" s="4" t="s">
        <v>2263</v>
      </c>
      <c r="P273" s="2" t="s">
        <v>2321</v>
      </c>
      <c r="Q273" s="2" t="s">
        <v>831</v>
      </c>
      <c r="S273" s="2" t="s">
        <v>2361</v>
      </c>
      <c r="U273" s="4" t="s">
        <v>2262</v>
      </c>
      <c r="W273" s="2" t="s">
        <v>2319</v>
      </c>
      <c r="X273" s="2" t="s">
        <v>2360</v>
      </c>
      <c r="Z273" s="2" t="s">
        <v>2359</v>
      </c>
    </row>
    <row r="274" spans="1:26" x14ac:dyDescent="0.2">
      <c r="A274" s="4">
        <v>269</v>
      </c>
      <c r="E274" s="6" t="s">
        <v>1385</v>
      </c>
      <c r="G274" s="4" t="s">
        <v>20</v>
      </c>
      <c r="I274" s="2" t="s">
        <v>2323</v>
      </c>
      <c r="J274" s="2" t="s">
        <v>445</v>
      </c>
      <c r="N274" s="4" t="s">
        <v>2263</v>
      </c>
      <c r="P274" s="2" t="s">
        <v>2321</v>
      </c>
      <c r="Q274" s="2" t="s">
        <v>832</v>
      </c>
      <c r="U274" s="4" t="s">
        <v>2262</v>
      </c>
      <c r="W274" s="2" t="s">
        <v>2319</v>
      </c>
      <c r="X274" s="2" t="s">
        <v>2358</v>
      </c>
    </row>
    <row r="275" spans="1:26" x14ac:dyDescent="0.2">
      <c r="A275" s="4">
        <v>270</v>
      </c>
      <c r="E275" s="6" t="s">
        <v>1385</v>
      </c>
      <c r="G275" s="4" t="s">
        <v>20</v>
      </c>
      <c r="I275" s="2" t="s">
        <v>2323</v>
      </c>
      <c r="J275" s="2" t="s">
        <v>447</v>
      </c>
      <c r="N275" s="4" t="s">
        <v>2263</v>
      </c>
      <c r="P275" s="2" t="s">
        <v>2321</v>
      </c>
      <c r="Q275" s="2" t="s">
        <v>833</v>
      </c>
      <c r="U275" s="4" t="s">
        <v>2262</v>
      </c>
      <c r="W275" s="2" t="s">
        <v>2319</v>
      </c>
      <c r="X275" s="2" t="s">
        <v>2357</v>
      </c>
    </row>
    <row r="276" spans="1:26" x14ac:dyDescent="0.2">
      <c r="A276" s="4">
        <v>271</v>
      </c>
      <c r="E276" s="6" t="s">
        <v>1385</v>
      </c>
      <c r="G276" s="4" t="s">
        <v>20</v>
      </c>
      <c r="I276" s="2" t="s">
        <v>2323</v>
      </c>
      <c r="J276" s="2" t="s">
        <v>449</v>
      </c>
      <c r="N276" s="4" t="s">
        <v>2263</v>
      </c>
      <c r="P276" s="2" t="s">
        <v>2321</v>
      </c>
      <c r="Q276" s="2" t="s">
        <v>834</v>
      </c>
      <c r="U276" s="4" t="s">
        <v>2262</v>
      </c>
      <c r="W276" s="2" t="s">
        <v>2319</v>
      </c>
      <c r="X276" s="2" t="s">
        <v>2356</v>
      </c>
    </row>
    <row r="277" spans="1:26" x14ac:dyDescent="0.2">
      <c r="A277" s="4">
        <v>272</v>
      </c>
      <c r="E277" s="6" t="s">
        <v>1385</v>
      </c>
      <c r="G277" s="4" t="s">
        <v>20</v>
      </c>
      <c r="I277" s="2" t="s">
        <v>2323</v>
      </c>
      <c r="J277" s="2" t="s">
        <v>451</v>
      </c>
      <c r="N277" s="4" t="s">
        <v>2263</v>
      </c>
      <c r="P277" s="2" t="s">
        <v>2321</v>
      </c>
      <c r="Q277" s="2" t="s">
        <v>835</v>
      </c>
      <c r="U277" s="4" t="s">
        <v>2262</v>
      </c>
      <c r="W277" s="2" t="s">
        <v>2319</v>
      </c>
      <c r="X277" s="2" t="s">
        <v>2355</v>
      </c>
    </row>
    <row r="278" spans="1:26" x14ac:dyDescent="0.2">
      <c r="A278" s="4">
        <v>273</v>
      </c>
      <c r="E278" s="6" t="s">
        <v>1385</v>
      </c>
      <c r="G278" s="4" t="s">
        <v>20</v>
      </c>
      <c r="I278" s="2" t="s">
        <v>2323</v>
      </c>
      <c r="J278" s="2" t="s">
        <v>452</v>
      </c>
      <c r="N278" s="4" t="s">
        <v>2263</v>
      </c>
      <c r="P278" s="2" t="s">
        <v>2321</v>
      </c>
      <c r="Q278" s="2" t="s">
        <v>836</v>
      </c>
      <c r="U278" s="4" t="s">
        <v>2262</v>
      </c>
      <c r="W278" s="2" t="s">
        <v>2319</v>
      </c>
      <c r="X278" s="2" t="s">
        <v>2354</v>
      </c>
    </row>
    <row r="279" spans="1:26" x14ac:dyDescent="0.2">
      <c r="A279" s="4">
        <v>274</v>
      </c>
      <c r="E279" s="6" t="s">
        <v>1385</v>
      </c>
      <c r="G279" s="4" t="s">
        <v>20</v>
      </c>
      <c r="I279" s="2" t="s">
        <v>2323</v>
      </c>
      <c r="J279" s="2" t="s">
        <v>454</v>
      </c>
      <c r="N279" s="4" t="s">
        <v>2263</v>
      </c>
      <c r="P279" s="2" t="s">
        <v>2321</v>
      </c>
      <c r="Q279" s="2" t="s">
        <v>837</v>
      </c>
      <c r="U279" s="4" t="s">
        <v>2262</v>
      </c>
      <c r="W279" s="2" t="s">
        <v>2319</v>
      </c>
      <c r="X279" s="2" t="s">
        <v>2353</v>
      </c>
    </row>
    <row r="280" spans="1:26" x14ac:dyDescent="0.2">
      <c r="A280" s="4">
        <v>275</v>
      </c>
      <c r="E280" s="6" t="s">
        <v>1385</v>
      </c>
      <c r="G280" s="4" t="s">
        <v>20</v>
      </c>
      <c r="I280" s="2" t="s">
        <v>2323</v>
      </c>
      <c r="J280" s="2" t="s">
        <v>456</v>
      </c>
      <c r="N280" s="4" t="s">
        <v>2263</v>
      </c>
      <c r="P280" s="2" t="s">
        <v>2321</v>
      </c>
      <c r="Q280" s="2" t="s">
        <v>838</v>
      </c>
      <c r="U280" s="4" t="s">
        <v>2262</v>
      </c>
      <c r="W280" s="2" t="s">
        <v>2319</v>
      </c>
      <c r="X280" s="2" t="s">
        <v>2352</v>
      </c>
    </row>
    <row r="281" spans="1:26" x14ac:dyDescent="0.2">
      <c r="A281" s="4">
        <v>276</v>
      </c>
      <c r="E281" s="6" t="s">
        <v>1385</v>
      </c>
      <c r="G281" s="4" t="s">
        <v>20</v>
      </c>
      <c r="I281" s="2" t="s">
        <v>2323</v>
      </c>
      <c r="J281" s="2" t="s">
        <v>457</v>
      </c>
      <c r="N281" s="4" t="s">
        <v>2263</v>
      </c>
      <c r="P281" s="2" t="s">
        <v>2321</v>
      </c>
      <c r="Q281" s="2" t="s">
        <v>839</v>
      </c>
      <c r="U281" s="4" t="s">
        <v>2262</v>
      </c>
      <c r="W281" s="2" t="s">
        <v>2319</v>
      </c>
      <c r="X281" s="2" t="s">
        <v>2351</v>
      </c>
    </row>
    <row r="282" spans="1:26" x14ac:dyDescent="0.2">
      <c r="A282" s="4">
        <v>277</v>
      </c>
      <c r="E282" s="6" t="s">
        <v>1385</v>
      </c>
      <c r="G282" s="4" t="s">
        <v>20</v>
      </c>
      <c r="I282" s="2" t="s">
        <v>2323</v>
      </c>
      <c r="J282" s="2" t="s">
        <v>458</v>
      </c>
      <c r="N282" s="4" t="s">
        <v>2263</v>
      </c>
      <c r="P282" s="2" t="s">
        <v>2321</v>
      </c>
      <c r="Q282" s="2" t="s">
        <v>840</v>
      </c>
      <c r="U282" s="4" t="s">
        <v>2262</v>
      </c>
      <c r="W282" s="2" t="s">
        <v>2319</v>
      </c>
      <c r="X282" s="2" t="s">
        <v>2350</v>
      </c>
    </row>
    <row r="283" spans="1:26" ht="25.5" x14ac:dyDescent="0.2">
      <c r="A283" s="4">
        <v>278</v>
      </c>
      <c r="E283" s="6" t="s">
        <v>1385</v>
      </c>
      <c r="G283" s="4" t="s">
        <v>20</v>
      </c>
      <c r="I283" s="2" t="s">
        <v>2323</v>
      </c>
      <c r="J283" s="2" t="s">
        <v>460</v>
      </c>
      <c r="N283" s="4" t="s">
        <v>2263</v>
      </c>
      <c r="P283" s="2" t="s">
        <v>2321</v>
      </c>
      <c r="Q283" s="2" t="s">
        <v>841</v>
      </c>
      <c r="U283" s="4" t="s">
        <v>2262</v>
      </c>
      <c r="W283" s="2" t="s">
        <v>2319</v>
      </c>
      <c r="X283" s="2" t="s">
        <v>2349</v>
      </c>
    </row>
    <row r="284" spans="1:26" x14ac:dyDescent="0.2">
      <c r="A284" s="4">
        <v>279</v>
      </c>
      <c r="E284" s="6" t="s">
        <v>1385</v>
      </c>
      <c r="G284" s="4" t="s">
        <v>20</v>
      </c>
      <c r="I284" s="2" t="s">
        <v>2323</v>
      </c>
      <c r="J284" s="2" t="s">
        <v>462</v>
      </c>
      <c r="N284" s="4" t="s">
        <v>2263</v>
      </c>
      <c r="P284" s="2" t="s">
        <v>2321</v>
      </c>
      <c r="Q284" s="2" t="s">
        <v>842</v>
      </c>
      <c r="U284" s="4" t="s">
        <v>2262</v>
      </c>
      <c r="W284" s="2" t="s">
        <v>2319</v>
      </c>
      <c r="X284" s="2" t="s">
        <v>2348</v>
      </c>
    </row>
    <row r="285" spans="1:26" x14ac:dyDescent="0.2">
      <c r="A285" s="4">
        <v>280</v>
      </c>
      <c r="E285" s="6" t="s">
        <v>1385</v>
      </c>
      <c r="G285" s="4" t="s">
        <v>20</v>
      </c>
      <c r="I285" s="2" t="s">
        <v>2323</v>
      </c>
      <c r="J285" s="2" t="s">
        <v>464</v>
      </c>
      <c r="N285" s="4" t="s">
        <v>2263</v>
      </c>
      <c r="P285" s="2" t="s">
        <v>2321</v>
      </c>
      <c r="Q285" s="2" t="s">
        <v>843</v>
      </c>
      <c r="U285" s="4" t="s">
        <v>2262</v>
      </c>
      <c r="W285" s="2" t="s">
        <v>2319</v>
      </c>
      <c r="X285" s="2" t="s">
        <v>2347</v>
      </c>
    </row>
    <row r="286" spans="1:26" x14ac:dyDescent="0.2">
      <c r="A286" s="4">
        <v>281</v>
      </c>
      <c r="E286" s="6" t="s">
        <v>1385</v>
      </c>
      <c r="G286" s="4" t="s">
        <v>20</v>
      </c>
      <c r="I286" s="2" t="s">
        <v>2323</v>
      </c>
      <c r="J286" s="2" t="s">
        <v>466</v>
      </c>
      <c r="N286" s="4" t="s">
        <v>2263</v>
      </c>
      <c r="P286" s="2" t="s">
        <v>2321</v>
      </c>
      <c r="Q286" s="2" t="s">
        <v>844</v>
      </c>
      <c r="U286" s="4" t="s">
        <v>2262</v>
      </c>
      <c r="W286" s="2" t="s">
        <v>2319</v>
      </c>
      <c r="X286" s="2" t="s">
        <v>2346</v>
      </c>
    </row>
    <row r="287" spans="1:26" ht="25.5" x14ac:dyDescent="0.2">
      <c r="A287" s="4">
        <v>282</v>
      </c>
      <c r="E287" s="6" t="s">
        <v>1385</v>
      </c>
      <c r="G287" s="4" t="s">
        <v>20</v>
      </c>
      <c r="I287" s="2" t="s">
        <v>2323</v>
      </c>
      <c r="J287" s="2" t="s">
        <v>468</v>
      </c>
      <c r="N287" s="4" t="s">
        <v>2263</v>
      </c>
      <c r="P287" s="2" t="s">
        <v>2321</v>
      </c>
      <c r="Q287" s="2" t="s">
        <v>845</v>
      </c>
      <c r="U287" s="4" t="s">
        <v>2262</v>
      </c>
      <c r="W287" s="2" t="s">
        <v>2319</v>
      </c>
      <c r="X287" s="2" t="s">
        <v>2345</v>
      </c>
    </row>
    <row r="288" spans="1:26" x14ac:dyDescent="0.2">
      <c r="A288" s="4">
        <v>283</v>
      </c>
      <c r="E288" s="6" t="s">
        <v>1385</v>
      </c>
      <c r="G288" s="4" t="s">
        <v>20</v>
      </c>
      <c r="I288" s="2" t="s">
        <v>2323</v>
      </c>
      <c r="J288" s="2" t="s">
        <v>469</v>
      </c>
      <c r="N288" s="4" t="s">
        <v>2263</v>
      </c>
      <c r="P288" s="2" t="s">
        <v>2321</v>
      </c>
      <c r="Q288" s="2" t="s">
        <v>846</v>
      </c>
      <c r="U288" s="4" t="s">
        <v>2262</v>
      </c>
      <c r="W288" s="2" t="s">
        <v>2319</v>
      </c>
      <c r="X288" s="2" t="s">
        <v>2344</v>
      </c>
    </row>
    <row r="289" spans="1:24" x14ac:dyDescent="0.2">
      <c r="A289" s="4">
        <v>284</v>
      </c>
      <c r="E289" s="6" t="s">
        <v>1385</v>
      </c>
      <c r="G289" s="4" t="s">
        <v>20</v>
      </c>
      <c r="I289" s="2" t="s">
        <v>2323</v>
      </c>
      <c r="J289" s="2" t="s">
        <v>470</v>
      </c>
      <c r="N289" s="4" t="s">
        <v>2263</v>
      </c>
      <c r="P289" s="2" t="s">
        <v>2321</v>
      </c>
      <c r="Q289" s="2" t="s">
        <v>847</v>
      </c>
      <c r="U289" s="4" t="s">
        <v>2262</v>
      </c>
      <c r="W289" s="2" t="s">
        <v>2319</v>
      </c>
      <c r="X289" s="2" t="s">
        <v>2343</v>
      </c>
    </row>
    <row r="290" spans="1:24" ht="25.5" x14ac:dyDescent="0.2">
      <c r="A290" s="4">
        <v>285</v>
      </c>
      <c r="E290" s="6" t="s">
        <v>1385</v>
      </c>
      <c r="G290" s="4" t="s">
        <v>20</v>
      </c>
      <c r="I290" s="2" t="s">
        <v>2323</v>
      </c>
      <c r="J290" s="2" t="s">
        <v>471</v>
      </c>
      <c r="N290" s="4" t="s">
        <v>2263</v>
      </c>
      <c r="P290" s="2" t="s">
        <v>2321</v>
      </c>
      <c r="Q290" s="2" t="s">
        <v>848</v>
      </c>
      <c r="U290" s="4" t="s">
        <v>2262</v>
      </c>
      <c r="W290" s="2" t="s">
        <v>2319</v>
      </c>
      <c r="X290" s="2" t="s">
        <v>2342</v>
      </c>
    </row>
    <row r="291" spans="1:24" x14ac:dyDescent="0.2">
      <c r="A291" s="4">
        <v>286</v>
      </c>
      <c r="E291" s="6" t="s">
        <v>1385</v>
      </c>
      <c r="G291" s="4" t="s">
        <v>20</v>
      </c>
      <c r="I291" s="2" t="s">
        <v>2323</v>
      </c>
      <c r="J291" s="2" t="s">
        <v>473</v>
      </c>
      <c r="N291" s="4" t="s">
        <v>2263</v>
      </c>
      <c r="P291" s="2" t="s">
        <v>2321</v>
      </c>
      <c r="Q291" s="2" t="s">
        <v>849</v>
      </c>
      <c r="U291" s="4" t="s">
        <v>2262</v>
      </c>
      <c r="W291" s="2" t="s">
        <v>2319</v>
      </c>
      <c r="X291" s="2" t="s">
        <v>2341</v>
      </c>
    </row>
    <row r="292" spans="1:24" x14ac:dyDescent="0.2">
      <c r="A292" s="4">
        <v>287</v>
      </c>
      <c r="E292" s="6" t="s">
        <v>1385</v>
      </c>
      <c r="G292" s="4" t="s">
        <v>20</v>
      </c>
      <c r="I292" s="2" t="s">
        <v>2323</v>
      </c>
      <c r="J292" s="2" t="s">
        <v>475</v>
      </c>
      <c r="N292" s="4" t="s">
        <v>2263</v>
      </c>
      <c r="P292" s="2" t="s">
        <v>2321</v>
      </c>
      <c r="Q292" s="2" t="s">
        <v>850</v>
      </c>
      <c r="U292" s="4" t="s">
        <v>2262</v>
      </c>
      <c r="W292" s="2" t="s">
        <v>2319</v>
      </c>
      <c r="X292" s="2" t="s">
        <v>2340</v>
      </c>
    </row>
    <row r="293" spans="1:24" ht="25.5" x14ac:dyDescent="0.2">
      <c r="A293" s="4">
        <v>288</v>
      </c>
      <c r="E293" s="6" t="s">
        <v>1385</v>
      </c>
      <c r="G293" s="4" t="s">
        <v>20</v>
      </c>
      <c r="I293" s="2" t="s">
        <v>2323</v>
      </c>
      <c r="J293" s="2" t="s">
        <v>476</v>
      </c>
      <c r="N293" s="4" t="s">
        <v>2263</v>
      </c>
      <c r="P293" s="2" t="s">
        <v>2321</v>
      </c>
      <c r="Q293" s="2" t="s">
        <v>851</v>
      </c>
      <c r="U293" s="4" t="s">
        <v>2262</v>
      </c>
      <c r="W293" s="2" t="s">
        <v>2319</v>
      </c>
      <c r="X293" s="2" t="s">
        <v>2339</v>
      </c>
    </row>
    <row r="294" spans="1:24" x14ac:dyDescent="0.2">
      <c r="A294" s="4">
        <v>289</v>
      </c>
      <c r="E294" s="6" t="s">
        <v>1385</v>
      </c>
      <c r="G294" s="4" t="s">
        <v>20</v>
      </c>
      <c r="I294" s="2" t="s">
        <v>2323</v>
      </c>
      <c r="J294" s="2" t="s">
        <v>477</v>
      </c>
      <c r="N294" s="4" t="s">
        <v>2263</v>
      </c>
      <c r="P294" s="2" t="s">
        <v>2321</v>
      </c>
      <c r="Q294" s="2" t="s">
        <v>852</v>
      </c>
      <c r="U294" s="4" t="s">
        <v>2262</v>
      </c>
      <c r="W294" s="2" t="s">
        <v>2319</v>
      </c>
      <c r="X294" s="2" t="s">
        <v>2338</v>
      </c>
    </row>
    <row r="295" spans="1:24" x14ac:dyDescent="0.2">
      <c r="A295" s="4">
        <v>290</v>
      </c>
      <c r="E295" s="6" t="s">
        <v>1385</v>
      </c>
      <c r="G295" s="4" t="s">
        <v>20</v>
      </c>
      <c r="I295" s="2" t="s">
        <v>2323</v>
      </c>
      <c r="J295" s="2" t="s">
        <v>479</v>
      </c>
      <c r="N295" s="4" t="s">
        <v>2263</v>
      </c>
      <c r="P295" s="2" t="s">
        <v>2321</v>
      </c>
      <c r="Q295" s="2" t="s">
        <v>853</v>
      </c>
      <c r="U295" s="4" t="s">
        <v>2262</v>
      </c>
      <c r="W295" s="2" t="s">
        <v>2319</v>
      </c>
      <c r="X295" s="2" t="s">
        <v>2337</v>
      </c>
    </row>
    <row r="296" spans="1:24" x14ac:dyDescent="0.2">
      <c r="A296" s="4">
        <v>291</v>
      </c>
      <c r="E296" s="6" t="s">
        <v>1385</v>
      </c>
      <c r="G296" s="4" t="s">
        <v>20</v>
      </c>
      <c r="I296" s="2" t="s">
        <v>2323</v>
      </c>
      <c r="J296" s="2" t="s">
        <v>481</v>
      </c>
      <c r="N296" s="4" t="s">
        <v>2263</v>
      </c>
      <c r="P296" s="2" t="s">
        <v>2321</v>
      </c>
      <c r="Q296" s="2" t="s">
        <v>854</v>
      </c>
      <c r="U296" s="4" t="s">
        <v>2262</v>
      </c>
      <c r="W296" s="2" t="s">
        <v>2319</v>
      </c>
      <c r="X296" s="2" t="s">
        <v>2336</v>
      </c>
    </row>
    <row r="297" spans="1:24" ht="25.5" x14ac:dyDescent="0.2">
      <c r="A297" s="4">
        <v>292</v>
      </c>
      <c r="E297" s="6" t="s">
        <v>1385</v>
      </c>
      <c r="G297" s="4" t="s">
        <v>20</v>
      </c>
      <c r="I297" s="2" t="s">
        <v>2323</v>
      </c>
      <c r="J297" s="2" t="s">
        <v>483</v>
      </c>
      <c r="N297" s="4" t="s">
        <v>2263</v>
      </c>
      <c r="P297" s="2" t="s">
        <v>2321</v>
      </c>
      <c r="Q297" s="2" t="s">
        <v>855</v>
      </c>
      <c r="U297" s="4" t="s">
        <v>2262</v>
      </c>
      <c r="W297" s="2" t="s">
        <v>2319</v>
      </c>
      <c r="X297" s="2" t="s">
        <v>2335</v>
      </c>
    </row>
    <row r="298" spans="1:24" ht="25.5" x14ac:dyDescent="0.2">
      <c r="A298" s="4">
        <v>293</v>
      </c>
      <c r="E298" s="6" t="s">
        <v>1385</v>
      </c>
      <c r="G298" s="4" t="s">
        <v>20</v>
      </c>
      <c r="I298" s="2" t="s">
        <v>2323</v>
      </c>
      <c r="J298" s="2" t="s">
        <v>485</v>
      </c>
      <c r="N298" s="4" t="s">
        <v>2263</v>
      </c>
      <c r="P298" s="2" t="s">
        <v>2321</v>
      </c>
      <c r="Q298" s="2" t="s">
        <v>856</v>
      </c>
      <c r="U298" s="4" t="s">
        <v>2262</v>
      </c>
      <c r="W298" s="2" t="s">
        <v>2319</v>
      </c>
      <c r="X298" s="2" t="s">
        <v>2334</v>
      </c>
    </row>
    <row r="299" spans="1:24" x14ac:dyDescent="0.2">
      <c r="A299" s="4">
        <v>294</v>
      </c>
      <c r="E299" s="6" t="s">
        <v>1385</v>
      </c>
      <c r="G299" s="4" t="s">
        <v>20</v>
      </c>
      <c r="I299" s="2" t="s">
        <v>2323</v>
      </c>
      <c r="J299" s="2" t="s">
        <v>487</v>
      </c>
      <c r="N299" s="4" t="s">
        <v>2263</v>
      </c>
      <c r="P299" s="2" t="s">
        <v>2321</v>
      </c>
      <c r="Q299" s="2" t="s">
        <v>857</v>
      </c>
      <c r="U299" s="4" t="s">
        <v>2262</v>
      </c>
      <c r="W299" s="2" t="s">
        <v>2319</v>
      </c>
      <c r="X299" s="2" t="s">
        <v>2333</v>
      </c>
    </row>
    <row r="300" spans="1:24" x14ac:dyDescent="0.2">
      <c r="A300" s="4">
        <v>295</v>
      </c>
      <c r="E300" s="6" t="s">
        <v>1385</v>
      </c>
      <c r="G300" s="4" t="s">
        <v>20</v>
      </c>
      <c r="I300" s="2" t="s">
        <v>2323</v>
      </c>
      <c r="J300" s="2" t="s">
        <v>489</v>
      </c>
      <c r="N300" s="4" t="s">
        <v>2263</v>
      </c>
      <c r="P300" s="2" t="s">
        <v>2321</v>
      </c>
      <c r="Q300" s="2" t="s">
        <v>858</v>
      </c>
      <c r="U300" s="4" t="s">
        <v>2262</v>
      </c>
      <c r="W300" s="2" t="s">
        <v>2319</v>
      </c>
      <c r="X300" s="2" t="s">
        <v>2332</v>
      </c>
    </row>
    <row r="301" spans="1:24" ht="25.5" x14ac:dyDescent="0.2">
      <c r="A301" s="4">
        <v>296</v>
      </c>
      <c r="E301" s="6" t="s">
        <v>1385</v>
      </c>
      <c r="G301" s="4" t="s">
        <v>20</v>
      </c>
      <c r="I301" s="2" t="s">
        <v>2323</v>
      </c>
      <c r="J301" s="2" t="s">
        <v>491</v>
      </c>
      <c r="N301" s="4" t="s">
        <v>2263</v>
      </c>
      <c r="P301" s="2" t="s">
        <v>2321</v>
      </c>
      <c r="Q301" s="2" t="s">
        <v>859</v>
      </c>
      <c r="U301" s="4" t="s">
        <v>2262</v>
      </c>
      <c r="W301" s="2" t="s">
        <v>2319</v>
      </c>
      <c r="X301" s="2" t="s">
        <v>2331</v>
      </c>
    </row>
    <row r="302" spans="1:24" x14ac:dyDescent="0.2">
      <c r="A302" s="4">
        <v>297</v>
      </c>
      <c r="E302" s="6" t="s">
        <v>1385</v>
      </c>
      <c r="G302" s="4" t="s">
        <v>20</v>
      </c>
      <c r="I302" s="2" t="s">
        <v>2323</v>
      </c>
      <c r="J302" s="2" t="s">
        <v>493</v>
      </c>
      <c r="N302" s="4" t="s">
        <v>2263</v>
      </c>
      <c r="P302" s="2" t="s">
        <v>2321</v>
      </c>
      <c r="Q302" s="2" t="s">
        <v>860</v>
      </c>
      <c r="U302" s="4" t="s">
        <v>2262</v>
      </c>
      <c r="W302" s="2" t="s">
        <v>2319</v>
      </c>
      <c r="X302" s="2" t="s">
        <v>2330</v>
      </c>
    </row>
    <row r="303" spans="1:24" x14ac:dyDescent="0.2">
      <c r="A303" s="4">
        <v>298</v>
      </c>
      <c r="E303" s="6" t="s">
        <v>1385</v>
      </c>
      <c r="G303" s="4" t="s">
        <v>20</v>
      </c>
      <c r="I303" s="2" t="s">
        <v>2323</v>
      </c>
      <c r="J303" s="2" t="s">
        <v>495</v>
      </c>
      <c r="N303" s="4" t="s">
        <v>2263</v>
      </c>
      <c r="P303" s="2" t="s">
        <v>2321</v>
      </c>
      <c r="Q303" s="2" t="s">
        <v>861</v>
      </c>
      <c r="U303" s="4" t="s">
        <v>2262</v>
      </c>
      <c r="W303" s="2" t="s">
        <v>2319</v>
      </c>
      <c r="X303" s="2" t="s">
        <v>2329</v>
      </c>
    </row>
    <row r="304" spans="1:24" ht="25.5" x14ac:dyDescent="0.2">
      <c r="A304" s="4">
        <v>299</v>
      </c>
      <c r="E304" s="6" t="s">
        <v>1385</v>
      </c>
      <c r="G304" s="4" t="s">
        <v>20</v>
      </c>
      <c r="I304" s="2" t="s">
        <v>2323</v>
      </c>
      <c r="J304" s="2" t="s">
        <v>497</v>
      </c>
      <c r="N304" s="4" t="s">
        <v>2263</v>
      </c>
      <c r="P304" s="2" t="s">
        <v>2321</v>
      </c>
      <c r="Q304" s="2" t="s">
        <v>862</v>
      </c>
      <c r="U304" s="4" t="s">
        <v>2262</v>
      </c>
      <c r="W304" s="2" t="s">
        <v>2319</v>
      </c>
      <c r="X304" s="2" t="s">
        <v>2328</v>
      </c>
    </row>
    <row r="305" spans="1:26" x14ac:dyDescent="0.2">
      <c r="A305" s="4">
        <v>300</v>
      </c>
      <c r="E305" s="6" t="s">
        <v>1385</v>
      </c>
      <c r="G305" s="4" t="s">
        <v>20</v>
      </c>
      <c r="I305" s="2" t="s">
        <v>2323</v>
      </c>
      <c r="J305" s="2" t="s">
        <v>499</v>
      </c>
      <c r="N305" s="4" t="s">
        <v>2263</v>
      </c>
      <c r="P305" s="2" t="s">
        <v>2321</v>
      </c>
      <c r="Q305" s="2" t="s">
        <v>863</v>
      </c>
      <c r="U305" s="4" t="s">
        <v>2262</v>
      </c>
      <c r="W305" s="2" t="s">
        <v>2319</v>
      </c>
      <c r="X305" s="2" t="s">
        <v>2327</v>
      </c>
    </row>
    <row r="306" spans="1:26" x14ac:dyDescent="0.2">
      <c r="A306" s="4">
        <v>301</v>
      </c>
      <c r="E306" s="6" t="s">
        <v>1385</v>
      </c>
      <c r="G306" s="4" t="s">
        <v>20</v>
      </c>
      <c r="I306" s="2" t="s">
        <v>2323</v>
      </c>
      <c r="J306" s="2" t="s">
        <v>501</v>
      </c>
      <c r="N306" s="4" t="s">
        <v>2263</v>
      </c>
      <c r="P306" s="2" t="s">
        <v>2321</v>
      </c>
      <c r="Q306" s="2" t="s">
        <v>864</v>
      </c>
      <c r="U306" s="4" t="s">
        <v>2262</v>
      </c>
      <c r="W306" s="2" t="s">
        <v>2319</v>
      </c>
      <c r="X306" s="2" t="s">
        <v>2326</v>
      </c>
    </row>
    <row r="307" spans="1:26" ht="25.5" x14ac:dyDescent="0.2">
      <c r="A307" s="4">
        <v>302</v>
      </c>
      <c r="E307" s="6" t="s">
        <v>1385</v>
      </c>
      <c r="G307" s="4" t="s">
        <v>20</v>
      </c>
      <c r="I307" s="2" t="s">
        <v>2323</v>
      </c>
      <c r="J307" s="2" t="s">
        <v>54</v>
      </c>
      <c r="L307" s="2" t="s">
        <v>1384</v>
      </c>
      <c r="N307" s="4" t="s">
        <v>2263</v>
      </c>
      <c r="P307" s="2" t="s">
        <v>2321</v>
      </c>
      <c r="Q307" s="2" t="s">
        <v>871</v>
      </c>
      <c r="S307" s="2" t="s">
        <v>1383</v>
      </c>
      <c r="U307" s="4" t="s">
        <v>2262</v>
      </c>
      <c r="W307" s="2" t="s">
        <v>2319</v>
      </c>
      <c r="X307" s="2" t="s">
        <v>1382</v>
      </c>
      <c r="Z307" s="2" t="s">
        <v>1381</v>
      </c>
    </row>
    <row r="308" spans="1:26" x14ac:dyDescent="0.2">
      <c r="A308" s="4">
        <v>303</v>
      </c>
      <c r="B308" s="6" t="s">
        <v>1221</v>
      </c>
      <c r="E308" s="6" t="s">
        <v>1215</v>
      </c>
      <c r="G308" s="4" t="s">
        <v>20</v>
      </c>
      <c r="H308" s="4" t="s">
        <v>507</v>
      </c>
      <c r="I308" s="2" t="s">
        <v>96</v>
      </c>
      <c r="J308" s="2" t="s">
        <v>951</v>
      </c>
      <c r="L308" s="2" t="s">
        <v>1380</v>
      </c>
      <c r="N308" s="4" t="s">
        <v>2263</v>
      </c>
      <c r="O308" s="4" t="s">
        <v>2325</v>
      </c>
      <c r="P308" s="2" t="s">
        <v>733</v>
      </c>
      <c r="Q308" s="2" t="s">
        <v>951</v>
      </c>
      <c r="S308" s="2" t="s">
        <v>1379</v>
      </c>
      <c r="U308" s="4" t="s">
        <v>2262</v>
      </c>
      <c r="V308" s="4" t="s">
        <v>2324</v>
      </c>
      <c r="W308" s="2" t="s">
        <v>1378</v>
      </c>
      <c r="X308" s="2" t="s">
        <v>951</v>
      </c>
      <c r="Z308" s="2" t="s">
        <v>1377</v>
      </c>
    </row>
    <row r="309" spans="1:26" x14ac:dyDescent="0.2">
      <c r="A309" s="4">
        <v>304</v>
      </c>
      <c r="B309" s="6" t="s">
        <v>1221</v>
      </c>
      <c r="E309" s="6" t="s">
        <v>1215</v>
      </c>
      <c r="G309" s="4" t="s">
        <v>20</v>
      </c>
      <c r="H309" s="4" t="s">
        <v>507</v>
      </c>
      <c r="I309" s="2" t="s">
        <v>99</v>
      </c>
      <c r="J309" s="2" t="s">
        <v>951</v>
      </c>
      <c r="L309" s="2" t="s">
        <v>1599</v>
      </c>
      <c r="N309" s="4" t="s">
        <v>2263</v>
      </c>
      <c r="O309" s="4" t="s">
        <v>2325</v>
      </c>
      <c r="P309" s="2" t="s">
        <v>734</v>
      </c>
      <c r="Q309" s="2" t="s">
        <v>951</v>
      </c>
      <c r="S309" s="2" t="s">
        <v>2811</v>
      </c>
      <c r="U309" s="4" t="s">
        <v>2262</v>
      </c>
      <c r="V309" s="4" t="s">
        <v>2324</v>
      </c>
      <c r="W309" s="2" t="s">
        <v>1376</v>
      </c>
      <c r="X309" s="2" t="s">
        <v>951</v>
      </c>
      <c r="Z309" s="2" t="s">
        <v>1598</v>
      </c>
    </row>
    <row r="310" spans="1:26" x14ac:dyDescent="0.2">
      <c r="A310" s="4">
        <v>305</v>
      </c>
      <c r="E310" s="6" t="s">
        <v>1215</v>
      </c>
      <c r="G310" s="4" t="s">
        <v>20</v>
      </c>
      <c r="H310" s="4" t="s">
        <v>507</v>
      </c>
      <c r="I310" s="2" t="s">
        <v>101</v>
      </c>
      <c r="J310" s="2" t="s">
        <v>956</v>
      </c>
      <c r="N310" s="4" t="s">
        <v>2263</v>
      </c>
      <c r="O310" s="4" t="s">
        <v>2325</v>
      </c>
      <c r="P310" s="2" t="s">
        <v>735</v>
      </c>
      <c r="Q310" s="2" t="s">
        <v>956</v>
      </c>
      <c r="U310" s="4" t="s">
        <v>2262</v>
      </c>
      <c r="V310" s="4" t="s">
        <v>2324</v>
      </c>
      <c r="W310" s="2" t="s">
        <v>1294</v>
      </c>
      <c r="X310" s="2" t="s">
        <v>956</v>
      </c>
    </row>
    <row r="311" spans="1:26" ht="63.75" x14ac:dyDescent="0.2">
      <c r="A311" s="4">
        <v>306</v>
      </c>
      <c r="D311" s="6" t="s">
        <v>950</v>
      </c>
      <c r="E311" s="6" t="s">
        <v>1215</v>
      </c>
      <c r="G311" s="4" t="s">
        <v>20</v>
      </c>
      <c r="H311" s="4" t="s">
        <v>507</v>
      </c>
      <c r="I311" s="2" t="s">
        <v>104</v>
      </c>
      <c r="J311" s="2" t="s">
        <v>1248</v>
      </c>
      <c r="N311" s="4" t="s">
        <v>2263</v>
      </c>
      <c r="O311" s="4" t="s">
        <v>2325</v>
      </c>
      <c r="P311" s="2" t="s">
        <v>736</v>
      </c>
      <c r="Q311" s="2" t="s">
        <v>1246</v>
      </c>
      <c r="U311" s="4" t="s">
        <v>2262</v>
      </c>
      <c r="V311" s="4" t="s">
        <v>2324</v>
      </c>
      <c r="W311" s="2" t="s">
        <v>1595</v>
      </c>
      <c r="X311" s="2" t="s">
        <v>1246</v>
      </c>
    </row>
    <row r="312" spans="1:26" x14ac:dyDescent="0.2">
      <c r="A312" s="4">
        <v>307</v>
      </c>
      <c r="E312" s="6" t="s">
        <v>1215</v>
      </c>
      <c r="G312" s="4" t="s">
        <v>20</v>
      </c>
      <c r="H312" s="4" t="s">
        <v>507</v>
      </c>
      <c r="I312" s="2" t="s">
        <v>193</v>
      </c>
      <c r="J312" s="2" t="s">
        <v>1518</v>
      </c>
      <c r="N312" s="4" t="s">
        <v>2263</v>
      </c>
      <c r="O312" s="4" t="s">
        <v>2325</v>
      </c>
      <c r="P312" s="2" t="s">
        <v>769</v>
      </c>
      <c r="Q312" s="2" t="s">
        <v>1593</v>
      </c>
      <c r="U312" s="4" t="s">
        <v>2262</v>
      </c>
      <c r="V312" s="4" t="s">
        <v>2324</v>
      </c>
      <c r="W312" s="2" t="s">
        <v>1515</v>
      </c>
      <c r="X312" s="2" t="s">
        <v>1592</v>
      </c>
    </row>
    <row r="313" spans="1:26" ht="76.5" x14ac:dyDescent="0.2">
      <c r="A313" s="4">
        <v>308</v>
      </c>
      <c r="D313" s="6" t="s">
        <v>950</v>
      </c>
      <c r="E313" s="6" t="s">
        <v>1215</v>
      </c>
      <c r="G313" s="4" t="s">
        <v>20</v>
      </c>
      <c r="H313" s="4" t="s">
        <v>507</v>
      </c>
      <c r="I313" s="2" t="s">
        <v>107</v>
      </c>
      <c r="J313" s="2" t="s">
        <v>1349</v>
      </c>
      <c r="L313" s="2" t="s">
        <v>1869</v>
      </c>
      <c r="N313" s="4" t="s">
        <v>2263</v>
      </c>
      <c r="O313" s="4" t="s">
        <v>2325</v>
      </c>
      <c r="P313" s="2" t="s">
        <v>1589</v>
      </c>
      <c r="Q313" s="2" t="s">
        <v>1349</v>
      </c>
      <c r="S313" s="2" t="s">
        <v>2810</v>
      </c>
      <c r="U313" s="4" t="s">
        <v>2262</v>
      </c>
      <c r="V313" s="4" t="s">
        <v>2324</v>
      </c>
      <c r="W313" s="2" t="s">
        <v>1587</v>
      </c>
      <c r="X313" s="2" t="s">
        <v>1349</v>
      </c>
      <c r="Z313" s="2" t="s">
        <v>2011</v>
      </c>
    </row>
    <row r="314" spans="1:26" x14ac:dyDescent="0.2">
      <c r="A314" s="4">
        <v>309</v>
      </c>
      <c r="D314" s="6" t="s">
        <v>950</v>
      </c>
      <c r="E314" s="6" t="s">
        <v>1215</v>
      </c>
      <c r="G314" s="4" t="s">
        <v>20</v>
      </c>
      <c r="H314" s="4" t="s">
        <v>507</v>
      </c>
      <c r="I314" s="2" t="s">
        <v>1866</v>
      </c>
      <c r="J314" s="2" t="s">
        <v>1349</v>
      </c>
      <c r="L314" s="2" t="s">
        <v>1865</v>
      </c>
      <c r="N314" s="4" t="s">
        <v>2263</v>
      </c>
      <c r="O314" s="4" t="s">
        <v>2325</v>
      </c>
      <c r="P314" s="2" t="s">
        <v>1863</v>
      </c>
      <c r="Q314" s="2" t="s">
        <v>1349</v>
      </c>
      <c r="S314" s="2" t="s">
        <v>1862</v>
      </c>
      <c r="U314" s="4" t="s">
        <v>2262</v>
      </c>
      <c r="V314" s="4" t="s">
        <v>2324</v>
      </c>
      <c r="W314" s="2" t="s">
        <v>1860</v>
      </c>
      <c r="X314" s="2" t="s">
        <v>1349</v>
      </c>
      <c r="Z314" s="2" t="s">
        <v>2223</v>
      </c>
    </row>
    <row r="315" spans="1:26" x14ac:dyDescent="0.2">
      <c r="A315" s="4">
        <v>310</v>
      </c>
      <c r="C315" s="6" t="s">
        <v>950</v>
      </c>
      <c r="E315" s="6" t="s">
        <v>1215</v>
      </c>
      <c r="G315" s="4" t="s">
        <v>20</v>
      </c>
      <c r="H315" s="4" t="s">
        <v>508</v>
      </c>
      <c r="I315" s="2" t="s">
        <v>969</v>
      </c>
      <c r="J315" s="2" t="s">
        <v>2266</v>
      </c>
      <c r="L315" s="2" t="s">
        <v>1228</v>
      </c>
      <c r="N315" s="4" t="s">
        <v>2263</v>
      </c>
      <c r="O315" s="4" t="s">
        <v>2322</v>
      </c>
      <c r="P315" s="2" t="s">
        <v>1319</v>
      </c>
      <c r="Q315" s="2" t="s">
        <v>2265</v>
      </c>
      <c r="S315" s="2" t="s">
        <v>1225</v>
      </c>
      <c r="U315" s="4" t="s">
        <v>2262</v>
      </c>
      <c r="V315" s="4" t="s">
        <v>2320</v>
      </c>
      <c r="W315" s="2" t="s">
        <v>1319</v>
      </c>
      <c r="X315" s="2" t="s">
        <v>2264</v>
      </c>
      <c r="Z315" s="2" t="s">
        <v>1222</v>
      </c>
    </row>
    <row r="316" spans="1:26" x14ac:dyDescent="0.2">
      <c r="A316" s="4">
        <v>311</v>
      </c>
      <c r="E316" s="6" t="s">
        <v>1215</v>
      </c>
      <c r="G316" s="4" t="s">
        <v>20</v>
      </c>
      <c r="H316" s="4" t="s">
        <v>508</v>
      </c>
      <c r="I316" s="2" t="s">
        <v>1979</v>
      </c>
      <c r="J316" s="2" t="s">
        <v>265</v>
      </c>
      <c r="N316" s="4" t="s">
        <v>2263</v>
      </c>
      <c r="O316" s="4" t="s">
        <v>2322</v>
      </c>
      <c r="P316" s="2" t="s">
        <v>1978</v>
      </c>
      <c r="Q316" s="2" t="s">
        <v>711</v>
      </c>
      <c r="U316" s="4" t="s">
        <v>2262</v>
      </c>
      <c r="V316" s="4" t="s">
        <v>2320</v>
      </c>
      <c r="W316" s="2" t="s">
        <v>1977</v>
      </c>
      <c r="X316" s="2" t="s">
        <v>1976</v>
      </c>
    </row>
    <row r="317" spans="1:26" x14ac:dyDescent="0.2">
      <c r="A317" s="4">
        <v>312</v>
      </c>
      <c r="E317" s="6" t="s">
        <v>1215</v>
      </c>
      <c r="G317" s="4" t="s">
        <v>20</v>
      </c>
      <c r="H317" s="4" t="s">
        <v>508</v>
      </c>
      <c r="I317" s="2" t="s">
        <v>1212</v>
      </c>
      <c r="J317" s="2" t="s">
        <v>2323</v>
      </c>
      <c r="N317" s="4" t="s">
        <v>2263</v>
      </c>
      <c r="O317" s="4" t="s">
        <v>2322</v>
      </c>
      <c r="P317" s="2" t="s">
        <v>1208</v>
      </c>
      <c r="Q317" s="2" t="s">
        <v>2321</v>
      </c>
      <c r="U317" s="4" t="s">
        <v>2262</v>
      </c>
      <c r="V317" s="4" t="s">
        <v>2320</v>
      </c>
      <c r="W317" s="2" t="s">
        <v>1204</v>
      </c>
      <c r="X317" s="2" t="s">
        <v>2319</v>
      </c>
    </row>
    <row r="318" spans="1:26" x14ac:dyDescent="0.2">
      <c r="A318" s="4">
        <v>313</v>
      </c>
      <c r="C318" s="6" t="s">
        <v>950</v>
      </c>
      <c r="E318" s="6" t="s">
        <v>1215</v>
      </c>
      <c r="G318" s="4" t="s">
        <v>20</v>
      </c>
      <c r="H318" s="4" t="s">
        <v>317</v>
      </c>
      <c r="I318" s="2" t="s">
        <v>2000</v>
      </c>
      <c r="J318" s="2" t="s">
        <v>2284</v>
      </c>
      <c r="L318" s="2" t="s">
        <v>1228</v>
      </c>
      <c r="N318" s="4" t="s">
        <v>2263</v>
      </c>
      <c r="O318" s="4" t="s">
        <v>1997</v>
      </c>
      <c r="P318" s="2" t="s">
        <v>1999</v>
      </c>
      <c r="Q318" s="2" t="s">
        <v>2282</v>
      </c>
      <c r="S318" s="2" t="s">
        <v>1225</v>
      </c>
      <c r="U318" s="4" t="s">
        <v>2262</v>
      </c>
      <c r="V318" s="4" t="s">
        <v>1996</v>
      </c>
      <c r="W318" s="2" t="s">
        <v>2318</v>
      </c>
      <c r="X318" s="2" t="s">
        <v>2280</v>
      </c>
      <c r="Z318" s="2" t="s">
        <v>1222</v>
      </c>
    </row>
    <row r="319" spans="1:26" ht="63.75" x14ac:dyDescent="0.2">
      <c r="A319" s="4">
        <v>314</v>
      </c>
      <c r="E319" s="6" t="s">
        <v>1215</v>
      </c>
      <c r="G319" s="4" t="s">
        <v>20</v>
      </c>
      <c r="H319" s="4" t="s">
        <v>317</v>
      </c>
      <c r="I319" s="2" t="s">
        <v>123</v>
      </c>
      <c r="J319" s="2" t="s">
        <v>1248</v>
      </c>
      <c r="N319" s="4" t="s">
        <v>2263</v>
      </c>
      <c r="O319" s="4" t="s">
        <v>1997</v>
      </c>
      <c r="P319" s="2" t="s">
        <v>123</v>
      </c>
      <c r="Q319" s="2" t="s">
        <v>1246</v>
      </c>
      <c r="U319" s="4" t="s">
        <v>2262</v>
      </c>
      <c r="V319" s="4" t="s">
        <v>1996</v>
      </c>
      <c r="W319" s="2" t="s">
        <v>1247</v>
      </c>
      <c r="X319" s="2" t="s">
        <v>1246</v>
      </c>
    </row>
    <row r="320" spans="1:26" ht="38.25" x14ac:dyDescent="0.2">
      <c r="A320" s="4">
        <v>315</v>
      </c>
      <c r="C320" s="6" t="s">
        <v>950</v>
      </c>
      <c r="E320" s="6" t="s">
        <v>1215</v>
      </c>
      <c r="G320" s="4" t="s">
        <v>20</v>
      </c>
      <c r="H320" s="4" t="s">
        <v>2311</v>
      </c>
      <c r="I320" s="2" t="s">
        <v>2317</v>
      </c>
      <c r="J320" s="2" t="s">
        <v>2316</v>
      </c>
      <c r="L320" s="2" t="s">
        <v>1228</v>
      </c>
      <c r="N320" s="4" t="s">
        <v>2263</v>
      </c>
      <c r="O320" s="4" t="s">
        <v>2310</v>
      </c>
      <c r="P320" s="2" t="s">
        <v>2315</v>
      </c>
      <c r="Q320" s="2" t="s">
        <v>2314</v>
      </c>
      <c r="S320" s="2" t="s">
        <v>1225</v>
      </c>
      <c r="U320" s="4" t="s">
        <v>2262</v>
      </c>
      <c r="V320" s="4" t="s">
        <v>2309</v>
      </c>
      <c r="W320" s="2" t="s">
        <v>2313</v>
      </c>
      <c r="X320" s="2" t="s">
        <v>2312</v>
      </c>
      <c r="Z320" s="18" t="s">
        <v>2834</v>
      </c>
    </row>
    <row r="321" spans="1:26" x14ac:dyDescent="0.2">
      <c r="A321" s="4">
        <v>316</v>
      </c>
      <c r="E321" s="6" t="s">
        <v>1215</v>
      </c>
      <c r="G321" s="4" t="s">
        <v>20</v>
      </c>
      <c r="H321" s="4" t="s">
        <v>2311</v>
      </c>
      <c r="I321" s="2" t="s">
        <v>1219</v>
      </c>
      <c r="J321" s="2" t="s">
        <v>1220</v>
      </c>
      <c r="N321" s="4" t="s">
        <v>2263</v>
      </c>
      <c r="O321" s="4" t="s">
        <v>2310</v>
      </c>
      <c r="P321" s="2" t="s">
        <v>1219</v>
      </c>
      <c r="Q321" s="2" t="s">
        <v>1218</v>
      </c>
      <c r="U321" s="4" t="s">
        <v>2262</v>
      </c>
      <c r="V321" s="4" t="s">
        <v>2309</v>
      </c>
      <c r="W321" s="2" t="s">
        <v>1219</v>
      </c>
      <c r="X321" s="2" t="s">
        <v>1218</v>
      </c>
    </row>
    <row r="322" spans="1:26" x14ac:dyDescent="0.2">
      <c r="A322" s="4">
        <v>317</v>
      </c>
      <c r="D322" s="6" t="s">
        <v>950</v>
      </c>
      <c r="E322" s="6" t="s">
        <v>1215</v>
      </c>
      <c r="G322" s="4" t="s">
        <v>20</v>
      </c>
      <c r="H322" s="4" t="s">
        <v>2311</v>
      </c>
      <c r="I322" s="2" t="s">
        <v>1217</v>
      </c>
      <c r="J322" s="2" t="s">
        <v>933</v>
      </c>
      <c r="K322" s="3">
        <v>0</v>
      </c>
      <c r="N322" s="4" t="s">
        <v>2263</v>
      </c>
      <c r="O322" s="4" t="s">
        <v>2310</v>
      </c>
      <c r="P322" s="2" t="s">
        <v>1217</v>
      </c>
      <c r="Q322" s="2" t="s">
        <v>933</v>
      </c>
      <c r="R322" s="3">
        <v>0</v>
      </c>
      <c r="U322" s="4" t="s">
        <v>2262</v>
      </c>
      <c r="V322" s="4" t="s">
        <v>2309</v>
      </c>
      <c r="W322" s="2" t="s">
        <v>1217</v>
      </c>
      <c r="X322" s="2" t="s">
        <v>1216</v>
      </c>
      <c r="Y322" s="3">
        <v>0</v>
      </c>
    </row>
    <row r="323" spans="1:26" x14ac:dyDescent="0.2">
      <c r="A323" s="4">
        <v>318</v>
      </c>
      <c r="C323" s="6" t="s">
        <v>950</v>
      </c>
      <c r="E323" s="6" t="s">
        <v>1215</v>
      </c>
      <c r="G323" s="4" t="s">
        <v>20</v>
      </c>
      <c r="H323" s="4" t="s">
        <v>302</v>
      </c>
      <c r="I323" s="2" t="s">
        <v>1995</v>
      </c>
      <c r="J323" s="2" t="s">
        <v>2284</v>
      </c>
      <c r="L323" s="2" t="s">
        <v>1228</v>
      </c>
      <c r="N323" s="4" t="s">
        <v>2263</v>
      </c>
      <c r="O323" s="4" t="s">
        <v>1263</v>
      </c>
      <c r="P323" s="2" t="s">
        <v>1269</v>
      </c>
      <c r="Q323" s="2" t="s">
        <v>2282</v>
      </c>
      <c r="S323" s="2" t="s">
        <v>1225</v>
      </c>
      <c r="U323" s="4" t="s">
        <v>2262</v>
      </c>
      <c r="V323" s="4" t="s">
        <v>1261</v>
      </c>
      <c r="W323" s="2" t="s">
        <v>1268</v>
      </c>
      <c r="X323" s="2" t="s">
        <v>2280</v>
      </c>
      <c r="Z323" s="2" t="s">
        <v>1222</v>
      </c>
    </row>
    <row r="324" spans="1:26" ht="38.25" x14ac:dyDescent="0.2">
      <c r="A324" s="4">
        <v>319</v>
      </c>
      <c r="E324" s="6" t="s">
        <v>1215</v>
      </c>
      <c r="G324" s="4" t="s">
        <v>20</v>
      </c>
      <c r="H324" s="4" t="s">
        <v>302</v>
      </c>
      <c r="I324" s="2" t="s">
        <v>123</v>
      </c>
      <c r="J324" s="2" t="s">
        <v>1267</v>
      </c>
      <c r="N324" s="4" t="s">
        <v>2263</v>
      </c>
      <c r="O324" s="4" t="s">
        <v>1263</v>
      </c>
      <c r="P324" s="2" t="s">
        <v>123</v>
      </c>
      <c r="Q324" s="2" t="s">
        <v>1266</v>
      </c>
      <c r="U324" s="4" t="s">
        <v>2262</v>
      </c>
      <c r="V324" s="4" t="s">
        <v>1261</v>
      </c>
      <c r="W324" s="2" t="s">
        <v>1247</v>
      </c>
      <c r="X324" s="2" t="s">
        <v>1266</v>
      </c>
    </row>
    <row r="325" spans="1:26" ht="25.5" x14ac:dyDescent="0.2">
      <c r="A325" s="4">
        <v>320</v>
      </c>
      <c r="C325" s="6" t="s">
        <v>950</v>
      </c>
      <c r="E325" s="6" t="s">
        <v>1215</v>
      </c>
      <c r="G325" s="4" t="s">
        <v>20</v>
      </c>
      <c r="H325" s="4" t="s">
        <v>2302</v>
      </c>
      <c r="I325" s="2" t="s">
        <v>2308</v>
      </c>
      <c r="J325" s="2" t="s">
        <v>2307</v>
      </c>
      <c r="L325" s="2" t="s">
        <v>1228</v>
      </c>
      <c r="N325" s="4" t="s">
        <v>2263</v>
      </c>
      <c r="O325" s="4" t="s">
        <v>2301</v>
      </c>
      <c r="P325" s="2" t="s">
        <v>2306</v>
      </c>
      <c r="Q325" s="2" t="s">
        <v>2305</v>
      </c>
      <c r="S325" s="2" t="s">
        <v>1225</v>
      </c>
      <c r="U325" s="4" t="s">
        <v>2262</v>
      </c>
      <c r="V325" s="4" t="s">
        <v>2300</v>
      </c>
      <c r="W325" s="2" t="s">
        <v>2304</v>
      </c>
      <c r="X325" s="2" t="s">
        <v>2303</v>
      </c>
      <c r="Z325" s="2" t="s">
        <v>1222</v>
      </c>
    </row>
    <row r="326" spans="1:26" x14ac:dyDescent="0.2">
      <c r="A326" s="4">
        <v>321</v>
      </c>
      <c r="E326" s="6" t="s">
        <v>1215</v>
      </c>
      <c r="G326" s="4" t="s">
        <v>20</v>
      </c>
      <c r="H326" s="4" t="s">
        <v>2302</v>
      </c>
      <c r="I326" s="2" t="s">
        <v>1219</v>
      </c>
      <c r="J326" s="2" t="s">
        <v>1220</v>
      </c>
      <c r="N326" s="4" t="s">
        <v>2263</v>
      </c>
      <c r="O326" s="4" t="s">
        <v>2301</v>
      </c>
      <c r="P326" s="2" t="s">
        <v>1219</v>
      </c>
      <c r="Q326" s="2" t="s">
        <v>1218</v>
      </c>
      <c r="U326" s="4" t="s">
        <v>2262</v>
      </c>
      <c r="V326" s="4" t="s">
        <v>2300</v>
      </c>
      <c r="W326" s="2" t="s">
        <v>1219</v>
      </c>
      <c r="X326" s="2" t="s">
        <v>1218</v>
      </c>
    </row>
    <row r="327" spans="1:26" x14ac:dyDescent="0.2">
      <c r="A327" s="4">
        <v>322</v>
      </c>
      <c r="E327" s="6" t="s">
        <v>1215</v>
      </c>
      <c r="G327" s="4" t="s">
        <v>20</v>
      </c>
      <c r="H327" s="4" t="s">
        <v>2302</v>
      </c>
      <c r="I327" s="2" t="s">
        <v>1217</v>
      </c>
      <c r="J327" s="2" t="s">
        <v>933</v>
      </c>
      <c r="N327" s="4" t="s">
        <v>2263</v>
      </c>
      <c r="O327" s="4" t="s">
        <v>2301</v>
      </c>
      <c r="P327" s="2" t="s">
        <v>1217</v>
      </c>
      <c r="Q327" s="2" t="s">
        <v>933</v>
      </c>
      <c r="U327" s="4" t="s">
        <v>2262</v>
      </c>
      <c r="V327" s="4" t="s">
        <v>2300</v>
      </c>
      <c r="W327" s="2" t="s">
        <v>1217</v>
      </c>
      <c r="X327" s="2" t="s">
        <v>1216</v>
      </c>
    </row>
    <row r="328" spans="1:26" ht="25.5" x14ac:dyDescent="0.2">
      <c r="A328" s="4">
        <v>323</v>
      </c>
      <c r="C328" s="6" t="s">
        <v>950</v>
      </c>
      <c r="E328" s="6" t="s">
        <v>1215</v>
      </c>
      <c r="G328" s="4" t="s">
        <v>20</v>
      </c>
      <c r="H328" s="4" t="s">
        <v>304</v>
      </c>
      <c r="I328" s="2" t="s">
        <v>1988</v>
      </c>
      <c r="J328" s="2" t="s">
        <v>2284</v>
      </c>
      <c r="L328" s="2" t="s">
        <v>1228</v>
      </c>
      <c r="N328" s="4" t="s">
        <v>2263</v>
      </c>
      <c r="O328" s="4" t="s">
        <v>1982</v>
      </c>
      <c r="P328" s="2" t="s">
        <v>1986</v>
      </c>
      <c r="Q328" s="2" t="s">
        <v>2282</v>
      </c>
      <c r="S328" s="2" t="s">
        <v>1225</v>
      </c>
      <c r="U328" s="4" t="s">
        <v>2262</v>
      </c>
      <c r="V328" s="4" t="s">
        <v>1981</v>
      </c>
      <c r="W328" s="2" t="s">
        <v>1984</v>
      </c>
      <c r="X328" s="2" t="s">
        <v>2280</v>
      </c>
      <c r="Z328" s="2" t="s">
        <v>1222</v>
      </c>
    </row>
    <row r="329" spans="1:26" x14ac:dyDescent="0.2">
      <c r="A329" s="4">
        <v>324</v>
      </c>
      <c r="E329" s="6" t="s">
        <v>1215</v>
      </c>
      <c r="G329" s="4" t="s">
        <v>20</v>
      </c>
      <c r="H329" s="4" t="s">
        <v>304</v>
      </c>
      <c r="I329" s="2" t="s">
        <v>123</v>
      </c>
      <c r="J329" s="2" t="s">
        <v>1220</v>
      </c>
      <c r="N329" s="4" t="s">
        <v>2263</v>
      </c>
      <c r="O329" s="4" t="s">
        <v>1982</v>
      </c>
      <c r="P329" s="2" t="s">
        <v>123</v>
      </c>
      <c r="Q329" s="2" t="s">
        <v>1218</v>
      </c>
      <c r="U329" s="4" t="s">
        <v>2262</v>
      </c>
      <c r="V329" s="4" t="s">
        <v>1981</v>
      </c>
      <c r="W329" s="2" t="s">
        <v>1247</v>
      </c>
      <c r="X329" s="2" t="s">
        <v>1218</v>
      </c>
    </row>
    <row r="330" spans="1:26" x14ac:dyDescent="0.2">
      <c r="A330" s="4">
        <v>325</v>
      </c>
      <c r="E330" s="6" t="s">
        <v>1215</v>
      </c>
      <c r="G330" s="4" t="s">
        <v>20</v>
      </c>
      <c r="H330" s="4" t="s">
        <v>304</v>
      </c>
      <c r="I330" s="2" t="s">
        <v>1217</v>
      </c>
      <c r="J330" s="2" t="s">
        <v>933</v>
      </c>
      <c r="N330" s="4" t="s">
        <v>2263</v>
      </c>
      <c r="O330" s="4" t="s">
        <v>1982</v>
      </c>
      <c r="P330" s="2" t="s">
        <v>1217</v>
      </c>
      <c r="Q330" s="2" t="s">
        <v>933</v>
      </c>
      <c r="U330" s="4" t="s">
        <v>2262</v>
      </c>
      <c r="V330" s="4" t="s">
        <v>1981</v>
      </c>
      <c r="W330" s="2" t="s">
        <v>1217</v>
      </c>
      <c r="X330" s="2" t="s">
        <v>1216</v>
      </c>
    </row>
    <row r="331" spans="1:26" x14ac:dyDescent="0.2">
      <c r="A331" s="4">
        <v>326</v>
      </c>
      <c r="C331" s="6" t="s">
        <v>950</v>
      </c>
      <c r="E331" s="6" t="s">
        <v>1215</v>
      </c>
      <c r="G331" s="4" t="s">
        <v>20</v>
      </c>
      <c r="H331" s="4" t="s">
        <v>403</v>
      </c>
      <c r="I331" s="2" t="s">
        <v>2299</v>
      </c>
      <c r="J331" s="2" t="s">
        <v>2284</v>
      </c>
      <c r="L331" s="2" t="s">
        <v>1228</v>
      </c>
      <c r="N331" s="4" t="s">
        <v>2263</v>
      </c>
      <c r="O331" s="4" t="s">
        <v>2296</v>
      </c>
      <c r="P331" s="2" t="s">
        <v>2298</v>
      </c>
      <c r="Q331" s="2" t="s">
        <v>2282</v>
      </c>
      <c r="S331" s="2" t="s">
        <v>1225</v>
      </c>
      <c r="U331" s="4" t="s">
        <v>2262</v>
      </c>
      <c r="V331" s="4" t="s">
        <v>2295</v>
      </c>
      <c r="W331" s="2" t="s">
        <v>2297</v>
      </c>
      <c r="X331" s="2" t="s">
        <v>2280</v>
      </c>
      <c r="Z331" s="2" t="s">
        <v>1222</v>
      </c>
    </row>
    <row r="332" spans="1:26" x14ac:dyDescent="0.2">
      <c r="A332" s="4">
        <v>327</v>
      </c>
      <c r="E332" s="6" t="s">
        <v>1215</v>
      </c>
      <c r="G332" s="4" t="s">
        <v>20</v>
      </c>
      <c r="H332" s="4" t="s">
        <v>403</v>
      </c>
      <c r="I332" s="2" t="s">
        <v>5</v>
      </c>
      <c r="J332" s="2" t="s">
        <v>956</v>
      </c>
      <c r="N332" s="4" t="s">
        <v>2263</v>
      </c>
      <c r="O332" s="4" t="s">
        <v>2296</v>
      </c>
      <c r="P332" s="2" t="s">
        <v>702</v>
      </c>
      <c r="Q332" s="2" t="s">
        <v>956</v>
      </c>
      <c r="U332" s="4" t="s">
        <v>2262</v>
      </c>
      <c r="V332" s="4" t="s">
        <v>2295</v>
      </c>
      <c r="W332" s="2" t="s">
        <v>1700</v>
      </c>
      <c r="X332" s="2" t="s">
        <v>956</v>
      </c>
    </row>
    <row r="333" spans="1:26" x14ac:dyDescent="0.2">
      <c r="A333" s="4">
        <v>328</v>
      </c>
      <c r="C333" s="6" t="s">
        <v>950</v>
      </c>
      <c r="E333" s="6" t="s">
        <v>1215</v>
      </c>
      <c r="G333" s="4" t="s">
        <v>20</v>
      </c>
      <c r="H333" s="4" t="s">
        <v>2288</v>
      </c>
      <c r="I333" s="2" t="s">
        <v>2294</v>
      </c>
      <c r="J333" s="2" t="s">
        <v>2293</v>
      </c>
      <c r="L333" s="2" t="s">
        <v>1691</v>
      </c>
      <c r="N333" s="4" t="s">
        <v>2263</v>
      </c>
      <c r="O333" s="4" t="s">
        <v>2287</v>
      </c>
      <c r="P333" s="2" t="s">
        <v>2292</v>
      </c>
      <c r="Q333" s="2" t="s">
        <v>2291</v>
      </c>
      <c r="S333" s="2" t="s">
        <v>1688</v>
      </c>
      <c r="U333" s="4" t="s">
        <v>2262</v>
      </c>
      <c r="V333" s="4" t="s">
        <v>2286</v>
      </c>
      <c r="W333" s="2" t="s">
        <v>2290</v>
      </c>
      <c r="X333" s="2" t="s">
        <v>2289</v>
      </c>
      <c r="Z333" s="2" t="s">
        <v>1685</v>
      </c>
    </row>
    <row r="334" spans="1:26" x14ac:dyDescent="0.2">
      <c r="A334" s="4">
        <v>329</v>
      </c>
      <c r="E334" s="6" t="s">
        <v>1215</v>
      </c>
      <c r="G334" s="4" t="s">
        <v>20</v>
      </c>
      <c r="H334" s="4" t="s">
        <v>2288</v>
      </c>
      <c r="I334" s="2" t="s">
        <v>1219</v>
      </c>
      <c r="J334" s="2" t="s">
        <v>1220</v>
      </c>
      <c r="N334" s="4" t="s">
        <v>2263</v>
      </c>
      <c r="O334" s="4" t="s">
        <v>2287</v>
      </c>
      <c r="P334" s="2" t="s">
        <v>1219</v>
      </c>
      <c r="Q334" s="2" t="s">
        <v>1218</v>
      </c>
      <c r="U334" s="4" t="s">
        <v>2262</v>
      </c>
      <c r="V334" s="4" t="s">
        <v>2286</v>
      </c>
      <c r="W334" s="2" t="s">
        <v>1219</v>
      </c>
      <c r="X334" s="2" t="s">
        <v>1218</v>
      </c>
    </row>
    <row r="335" spans="1:26" x14ac:dyDescent="0.2">
      <c r="A335" s="4">
        <v>330</v>
      </c>
      <c r="E335" s="6" t="s">
        <v>1215</v>
      </c>
      <c r="G335" s="4" t="s">
        <v>20</v>
      </c>
      <c r="H335" s="4" t="s">
        <v>2288</v>
      </c>
      <c r="I335" s="2" t="s">
        <v>1217</v>
      </c>
      <c r="J335" s="2" t="s">
        <v>933</v>
      </c>
      <c r="N335" s="4" t="s">
        <v>2263</v>
      </c>
      <c r="O335" s="4" t="s">
        <v>2287</v>
      </c>
      <c r="P335" s="2" t="s">
        <v>1217</v>
      </c>
      <c r="Q335" s="2" t="s">
        <v>933</v>
      </c>
      <c r="U335" s="4" t="s">
        <v>2262</v>
      </c>
      <c r="V335" s="4" t="s">
        <v>2286</v>
      </c>
      <c r="W335" s="2" t="s">
        <v>1217</v>
      </c>
      <c r="X335" s="2" t="s">
        <v>1216</v>
      </c>
    </row>
    <row r="336" spans="1:26" x14ac:dyDescent="0.2">
      <c r="A336" s="4">
        <v>331</v>
      </c>
      <c r="D336" s="6" t="s">
        <v>950</v>
      </c>
      <c r="E336" s="6" t="s">
        <v>1215</v>
      </c>
      <c r="G336" s="4" t="s">
        <v>20</v>
      </c>
      <c r="H336" s="4" t="s">
        <v>2288</v>
      </c>
      <c r="I336" s="2" t="s">
        <v>1285</v>
      </c>
      <c r="J336" s="2" t="s">
        <v>1199</v>
      </c>
      <c r="K336" s="3" t="s">
        <v>1284</v>
      </c>
      <c r="N336" s="4" t="s">
        <v>2263</v>
      </c>
      <c r="O336" s="4" t="s">
        <v>2287</v>
      </c>
      <c r="P336" s="2" t="s">
        <v>1285</v>
      </c>
      <c r="Q336" s="2" t="s">
        <v>1199</v>
      </c>
      <c r="R336" s="3" t="s">
        <v>1284</v>
      </c>
      <c r="U336" s="4" t="s">
        <v>2262</v>
      </c>
      <c r="V336" s="4" t="s">
        <v>2286</v>
      </c>
      <c r="W336" s="2" t="s">
        <v>1285</v>
      </c>
      <c r="X336" s="2" t="s">
        <v>1199</v>
      </c>
      <c r="Y336" s="3" t="s">
        <v>1284</v>
      </c>
    </row>
    <row r="337" spans="1:26" x14ac:dyDescent="0.2">
      <c r="A337" s="4">
        <v>332</v>
      </c>
      <c r="D337" s="6" t="s">
        <v>950</v>
      </c>
      <c r="E337" s="6" t="s">
        <v>1215</v>
      </c>
      <c r="G337" s="4" t="s">
        <v>20</v>
      </c>
      <c r="H337" s="4" t="s">
        <v>2288</v>
      </c>
      <c r="I337" s="2" t="s">
        <v>1283</v>
      </c>
      <c r="J337" s="2" t="s">
        <v>1200</v>
      </c>
      <c r="K337" s="3" t="s">
        <v>1282</v>
      </c>
      <c r="N337" s="4" t="s">
        <v>2263</v>
      </c>
      <c r="O337" s="4" t="s">
        <v>2287</v>
      </c>
      <c r="P337" s="2" t="s">
        <v>1283</v>
      </c>
      <c r="Q337" s="2" t="s">
        <v>1200</v>
      </c>
      <c r="R337" s="3" t="s">
        <v>1282</v>
      </c>
      <c r="U337" s="4" t="s">
        <v>2262</v>
      </c>
      <c r="V337" s="4" t="s">
        <v>2286</v>
      </c>
      <c r="W337" s="2" t="s">
        <v>1283</v>
      </c>
      <c r="X337" s="2" t="s">
        <v>1200</v>
      </c>
      <c r="Y337" s="3" t="s">
        <v>1282</v>
      </c>
    </row>
    <row r="338" spans="1:26" x14ac:dyDescent="0.2">
      <c r="A338" s="4">
        <v>333</v>
      </c>
      <c r="D338" s="6" t="s">
        <v>950</v>
      </c>
      <c r="E338" s="6" t="s">
        <v>1215</v>
      </c>
      <c r="G338" s="4" t="s">
        <v>20</v>
      </c>
      <c r="H338" s="4" t="s">
        <v>2288</v>
      </c>
      <c r="I338" s="2" t="s">
        <v>1280</v>
      </c>
      <c r="J338" s="2" t="s">
        <v>59</v>
      </c>
      <c r="K338" s="3" t="s">
        <v>1279</v>
      </c>
      <c r="N338" s="4" t="s">
        <v>2263</v>
      </c>
      <c r="O338" s="4" t="s">
        <v>2287</v>
      </c>
      <c r="P338" s="2" t="s">
        <v>1277</v>
      </c>
      <c r="Q338" s="2" t="s">
        <v>1276</v>
      </c>
      <c r="R338" s="3" t="s">
        <v>1275</v>
      </c>
      <c r="U338" s="4" t="s">
        <v>2262</v>
      </c>
      <c r="V338" s="4" t="s">
        <v>2286</v>
      </c>
      <c r="W338" s="2" t="s">
        <v>1273</v>
      </c>
      <c r="X338" s="2" t="s">
        <v>1272</v>
      </c>
      <c r="Y338" s="3" t="s">
        <v>1271</v>
      </c>
    </row>
    <row r="339" spans="1:26" x14ac:dyDescent="0.2">
      <c r="A339" s="4">
        <v>334</v>
      </c>
      <c r="C339" s="6" t="s">
        <v>950</v>
      </c>
      <c r="E339" s="6" t="s">
        <v>1215</v>
      </c>
      <c r="G339" s="4" t="s">
        <v>20</v>
      </c>
      <c r="H339" s="4" t="s">
        <v>400</v>
      </c>
      <c r="I339" s="2" t="s">
        <v>2285</v>
      </c>
      <c r="J339" s="2" t="s">
        <v>2284</v>
      </c>
      <c r="L339" s="2" t="s">
        <v>1228</v>
      </c>
      <c r="N339" s="4" t="s">
        <v>2263</v>
      </c>
      <c r="O339" s="4" t="s">
        <v>2277</v>
      </c>
      <c r="P339" s="2" t="s">
        <v>2283</v>
      </c>
      <c r="Q339" s="2" t="s">
        <v>2282</v>
      </c>
      <c r="S339" s="2" t="s">
        <v>1225</v>
      </c>
      <c r="U339" s="4" t="s">
        <v>2262</v>
      </c>
      <c r="V339" s="4" t="s">
        <v>2276</v>
      </c>
      <c r="W339" s="2" t="s">
        <v>2281</v>
      </c>
      <c r="X339" s="2" t="s">
        <v>2280</v>
      </c>
      <c r="Z339" s="2" t="s">
        <v>1222</v>
      </c>
    </row>
    <row r="340" spans="1:26" x14ac:dyDescent="0.2">
      <c r="A340" s="4">
        <v>335</v>
      </c>
      <c r="E340" s="6" t="s">
        <v>1215</v>
      </c>
      <c r="G340" s="4" t="s">
        <v>20</v>
      </c>
      <c r="H340" s="4" t="s">
        <v>400</v>
      </c>
      <c r="I340" s="2" t="s">
        <v>121</v>
      </c>
      <c r="J340" s="2" t="s">
        <v>951</v>
      </c>
      <c r="N340" s="4" t="s">
        <v>2263</v>
      </c>
      <c r="O340" s="4" t="s">
        <v>2277</v>
      </c>
      <c r="P340" s="2" t="s">
        <v>742</v>
      </c>
      <c r="Q340" s="2" t="s">
        <v>951</v>
      </c>
      <c r="U340" s="4" t="s">
        <v>2262</v>
      </c>
      <c r="V340" s="4" t="s">
        <v>2276</v>
      </c>
      <c r="W340" s="2" t="s">
        <v>742</v>
      </c>
      <c r="X340" s="2" t="s">
        <v>951</v>
      </c>
    </row>
    <row r="341" spans="1:26" ht="25.5" x14ac:dyDescent="0.2">
      <c r="A341" s="4">
        <v>336</v>
      </c>
      <c r="D341" s="6" t="s">
        <v>950</v>
      </c>
      <c r="E341" s="6" t="s">
        <v>1215</v>
      </c>
      <c r="G341" s="4" t="s">
        <v>20</v>
      </c>
      <c r="H341" s="4" t="s">
        <v>400</v>
      </c>
      <c r="I341" s="2" t="s">
        <v>1485</v>
      </c>
      <c r="J341" s="2" t="s">
        <v>1482</v>
      </c>
      <c r="L341" s="2" t="s">
        <v>2279</v>
      </c>
      <c r="N341" s="4" t="s">
        <v>2263</v>
      </c>
      <c r="O341" s="4" t="s">
        <v>2277</v>
      </c>
      <c r="P341" s="2" t="s">
        <v>1484</v>
      </c>
      <c r="Q341" s="2" t="s">
        <v>1482</v>
      </c>
      <c r="S341" s="2" t="s">
        <v>2278</v>
      </c>
      <c r="U341" s="4" t="s">
        <v>2262</v>
      </c>
      <c r="V341" s="4" t="s">
        <v>2276</v>
      </c>
      <c r="W341" s="2" t="s">
        <v>1483</v>
      </c>
      <c r="X341" s="2" t="s">
        <v>1482</v>
      </c>
      <c r="Z341" s="2" t="s">
        <v>2882</v>
      </c>
    </row>
    <row r="342" spans="1:26" ht="25.5" x14ac:dyDescent="0.2">
      <c r="A342" s="4">
        <v>337</v>
      </c>
      <c r="C342" s="6" t="s">
        <v>950</v>
      </c>
      <c r="E342" s="6" t="s">
        <v>1215</v>
      </c>
      <c r="G342" s="4" t="s">
        <v>20</v>
      </c>
      <c r="H342" s="4" t="s">
        <v>2269</v>
      </c>
      <c r="I342" s="2" t="s">
        <v>2275</v>
      </c>
      <c r="J342" s="2" t="s">
        <v>2274</v>
      </c>
      <c r="L342" s="18" t="s">
        <v>2820</v>
      </c>
      <c r="N342" s="4" t="s">
        <v>2263</v>
      </c>
      <c r="O342" s="4" t="s">
        <v>2268</v>
      </c>
      <c r="P342" s="2" t="s">
        <v>2273</v>
      </c>
      <c r="Q342" s="2" t="s">
        <v>2272</v>
      </c>
      <c r="S342" s="18" t="s">
        <v>2821</v>
      </c>
      <c r="U342" s="4" t="s">
        <v>2262</v>
      </c>
      <c r="V342" s="4" t="s">
        <v>2267</v>
      </c>
      <c r="W342" s="2" t="s">
        <v>2271</v>
      </c>
      <c r="X342" s="2" t="s">
        <v>2270</v>
      </c>
      <c r="Z342" s="18" t="s">
        <v>2822</v>
      </c>
    </row>
    <row r="343" spans="1:26" x14ac:dyDescent="0.2">
      <c r="A343" s="4">
        <v>338</v>
      </c>
      <c r="E343" s="6" t="s">
        <v>1215</v>
      </c>
      <c r="G343" s="4" t="s">
        <v>20</v>
      </c>
      <c r="H343" s="4" t="s">
        <v>2269</v>
      </c>
      <c r="I343" s="2" t="s">
        <v>1219</v>
      </c>
      <c r="J343" s="2" t="s">
        <v>1220</v>
      </c>
      <c r="N343" s="4" t="s">
        <v>2263</v>
      </c>
      <c r="O343" s="4" t="s">
        <v>2268</v>
      </c>
      <c r="P343" s="2" t="s">
        <v>1219</v>
      </c>
      <c r="Q343" s="2" t="s">
        <v>1218</v>
      </c>
      <c r="U343" s="4" t="s">
        <v>2262</v>
      </c>
      <c r="V343" s="4" t="s">
        <v>2267</v>
      </c>
      <c r="W343" s="2" t="s">
        <v>1219</v>
      </c>
      <c r="X343" s="2" t="s">
        <v>1218</v>
      </c>
    </row>
    <row r="344" spans="1:26" x14ac:dyDescent="0.2">
      <c r="A344" s="4">
        <v>339</v>
      </c>
      <c r="E344" s="6" t="s">
        <v>1215</v>
      </c>
      <c r="G344" s="4" t="s">
        <v>20</v>
      </c>
      <c r="H344" s="4" t="s">
        <v>2269</v>
      </c>
      <c r="I344" s="2" t="s">
        <v>1217</v>
      </c>
      <c r="J344" s="2" t="s">
        <v>933</v>
      </c>
      <c r="N344" s="4" t="s">
        <v>2263</v>
      </c>
      <c r="O344" s="4" t="s">
        <v>2268</v>
      </c>
      <c r="P344" s="2" t="s">
        <v>1217</v>
      </c>
      <c r="Q344" s="2" t="s">
        <v>933</v>
      </c>
      <c r="U344" s="4" t="s">
        <v>2262</v>
      </c>
      <c r="V344" s="4" t="s">
        <v>2267</v>
      </c>
      <c r="W344" s="2" t="s">
        <v>1217</v>
      </c>
      <c r="X344" s="2" t="s">
        <v>1216</v>
      </c>
    </row>
    <row r="345" spans="1:26" x14ac:dyDescent="0.2">
      <c r="A345" s="4">
        <v>340</v>
      </c>
      <c r="D345" s="6" t="s">
        <v>950</v>
      </c>
      <c r="E345" s="6" t="s">
        <v>1215</v>
      </c>
      <c r="G345" s="4" t="s">
        <v>20</v>
      </c>
      <c r="H345" s="4" t="s">
        <v>2269</v>
      </c>
      <c r="I345" s="2" t="s">
        <v>1285</v>
      </c>
      <c r="J345" s="2" t="s">
        <v>1199</v>
      </c>
      <c r="K345" s="3" t="s">
        <v>1284</v>
      </c>
      <c r="N345" s="4" t="s">
        <v>2263</v>
      </c>
      <c r="O345" s="4" t="s">
        <v>2268</v>
      </c>
      <c r="P345" s="2" t="s">
        <v>1285</v>
      </c>
      <c r="Q345" s="2" t="s">
        <v>1199</v>
      </c>
      <c r="R345" s="3" t="s">
        <v>1284</v>
      </c>
      <c r="U345" s="4" t="s">
        <v>2262</v>
      </c>
      <c r="V345" s="4" t="s">
        <v>2267</v>
      </c>
      <c r="W345" s="2" t="s">
        <v>1285</v>
      </c>
      <c r="X345" s="2" t="s">
        <v>1199</v>
      </c>
      <c r="Y345" s="3" t="s">
        <v>1284</v>
      </c>
    </row>
    <row r="346" spans="1:26" x14ac:dyDescent="0.2">
      <c r="A346" s="4">
        <v>341</v>
      </c>
      <c r="D346" s="6" t="s">
        <v>950</v>
      </c>
      <c r="E346" s="6" t="s">
        <v>1215</v>
      </c>
      <c r="G346" s="4" t="s">
        <v>20</v>
      </c>
      <c r="H346" s="4" t="s">
        <v>2269</v>
      </c>
      <c r="I346" s="2" t="s">
        <v>1283</v>
      </c>
      <c r="J346" s="2" t="s">
        <v>1200</v>
      </c>
      <c r="K346" s="3" t="s">
        <v>1282</v>
      </c>
      <c r="N346" s="4" t="s">
        <v>2263</v>
      </c>
      <c r="O346" s="4" t="s">
        <v>2268</v>
      </c>
      <c r="P346" s="2" t="s">
        <v>1283</v>
      </c>
      <c r="Q346" s="2" t="s">
        <v>1200</v>
      </c>
      <c r="R346" s="3" t="s">
        <v>1282</v>
      </c>
      <c r="U346" s="4" t="s">
        <v>2262</v>
      </c>
      <c r="V346" s="4" t="s">
        <v>2267</v>
      </c>
      <c r="W346" s="2" t="s">
        <v>1283</v>
      </c>
      <c r="X346" s="2" t="s">
        <v>1200</v>
      </c>
      <c r="Y346" s="3" t="s">
        <v>1282</v>
      </c>
    </row>
    <row r="347" spans="1:26" x14ac:dyDescent="0.2">
      <c r="A347" s="4">
        <v>342</v>
      </c>
      <c r="D347" s="6" t="s">
        <v>950</v>
      </c>
      <c r="E347" s="6" t="s">
        <v>1215</v>
      </c>
      <c r="G347" s="4" t="s">
        <v>20</v>
      </c>
      <c r="H347" s="4" t="s">
        <v>2269</v>
      </c>
      <c r="I347" s="2" t="s">
        <v>1280</v>
      </c>
      <c r="J347" s="2" t="s">
        <v>59</v>
      </c>
      <c r="K347" s="3" t="s">
        <v>1279</v>
      </c>
      <c r="N347" s="4" t="s">
        <v>2263</v>
      </c>
      <c r="O347" s="4" t="s">
        <v>2268</v>
      </c>
      <c r="P347" s="2" t="s">
        <v>1277</v>
      </c>
      <c r="Q347" s="2" t="s">
        <v>1276</v>
      </c>
      <c r="R347" s="3" t="s">
        <v>1275</v>
      </c>
      <c r="U347" s="4" t="s">
        <v>2262</v>
      </c>
      <c r="V347" s="4" t="s">
        <v>2267</v>
      </c>
      <c r="W347" s="2" t="s">
        <v>1273</v>
      </c>
      <c r="X347" s="2" t="s">
        <v>1272</v>
      </c>
      <c r="Y347" s="3" t="s">
        <v>1271</v>
      </c>
    </row>
    <row r="348" spans="1:26" x14ac:dyDescent="0.2">
      <c r="A348" s="4">
        <v>343</v>
      </c>
      <c r="C348" s="6" t="s">
        <v>950</v>
      </c>
      <c r="D348" s="6" t="s">
        <v>950</v>
      </c>
      <c r="E348" s="6" t="s">
        <v>1215</v>
      </c>
      <c r="G348" s="4" t="s">
        <v>20</v>
      </c>
      <c r="H348" s="4" t="s">
        <v>1948</v>
      </c>
      <c r="I348" s="2" t="s">
        <v>969</v>
      </c>
      <c r="J348" s="2" t="s">
        <v>2266</v>
      </c>
      <c r="L348" s="2" t="s">
        <v>1521</v>
      </c>
      <c r="N348" s="4" t="s">
        <v>2263</v>
      </c>
      <c r="O348" s="4" t="s">
        <v>1947</v>
      </c>
      <c r="P348" s="2" t="s">
        <v>1319</v>
      </c>
      <c r="Q348" s="2" t="s">
        <v>2265</v>
      </c>
      <c r="S348" s="2" t="s">
        <v>1520</v>
      </c>
      <c r="U348" s="4" t="s">
        <v>2262</v>
      </c>
      <c r="V348" s="4" t="s">
        <v>1946</v>
      </c>
      <c r="W348" s="2" t="s">
        <v>1319</v>
      </c>
      <c r="X348" s="2" t="s">
        <v>2264</v>
      </c>
      <c r="Z348" s="2" t="s">
        <v>1519</v>
      </c>
    </row>
    <row r="349" spans="1:26" x14ac:dyDescent="0.2">
      <c r="A349" s="4">
        <v>344</v>
      </c>
      <c r="D349" s="6" t="s">
        <v>950</v>
      </c>
      <c r="E349" s="6" t="s">
        <v>1215</v>
      </c>
      <c r="G349" s="4" t="s">
        <v>20</v>
      </c>
      <c r="H349" s="4" t="s">
        <v>1948</v>
      </c>
      <c r="I349" s="2" t="s">
        <v>99</v>
      </c>
      <c r="J349" s="2" t="s">
        <v>951</v>
      </c>
      <c r="N349" s="4" t="s">
        <v>2263</v>
      </c>
      <c r="O349" s="4" t="s">
        <v>1947</v>
      </c>
      <c r="P349" s="2" t="s">
        <v>734</v>
      </c>
      <c r="Q349" s="2" t="s">
        <v>951</v>
      </c>
      <c r="U349" s="4" t="s">
        <v>2262</v>
      </c>
      <c r="V349" s="4" t="s">
        <v>1946</v>
      </c>
      <c r="W349" s="2" t="s">
        <v>1376</v>
      </c>
      <c r="X349" s="2" t="s">
        <v>951</v>
      </c>
    </row>
    <row r="350" spans="1:26" ht="25.5" x14ac:dyDescent="0.2">
      <c r="A350" s="4">
        <v>345</v>
      </c>
      <c r="B350" s="6" t="s">
        <v>6</v>
      </c>
      <c r="E350" s="6" t="s">
        <v>1215</v>
      </c>
      <c r="G350" s="4" t="s">
        <v>20</v>
      </c>
      <c r="H350" s="4" t="s">
        <v>1948</v>
      </c>
      <c r="I350" s="2" t="s">
        <v>123</v>
      </c>
      <c r="J350" s="2" t="s">
        <v>1220</v>
      </c>
      <c r="L350" s="2" t="s">
        <v>1951</v>
      </c>
      <c r="N350" s="4" t="s">
        <v>2263</v>
      </c>
      <c r="O350" s="4" t="s">
        <v>1947</v>
      </c>
      <c r="P350" s="2" t="s">
        <v>123</v>
      </c>
      <c r="Q350" s="2" t="s">
        <v>1218</v>
      </c>
      <c r="S350" s="2" t="s">
        <v>1950</v>
      </c>
      <c r="U350" s="4" t="s">
        <v>2262</v>
      </c>
      <c r="V350" s="4" t="s">
        <v>1946</v>
      </c>
      <c r="W350" s="2" t="s">
        <v>1247</v>
      </c>
      <c r="X350" s="2" t="s">
        <v>1218</v>
      </c>
      <c r="Z350" s="2" t="s">
        <v>1949</v>
      </c>
    </row>
    <row r="351" spans="1:26" x14ac:dyDescent="0.2">
      <c r="A351" s="4">
        <v>346</v>
      </c>
      <c r="E351" s="6" t="s">
        <v>1215</v>
      </c>
      <c r="G351" s="4" t="s">
        <v>20</v>
      </c>
      <c r="H351" s="4" t="s">
        <v>1948</v>
      </c>
      <c r="I351" s="2" t="s">
        <v>1855</v>
      </c>
      <c r="J351" s="2" t="s">
        <v>939</v>
      </c>
      <c r="N351" s="4" t="s">
        <v>2263</v>
      </c>
      <c r="O351" s="4" t="s">
        <v>1947</v>
      </c>
      <c r="P351" s="2" t="s">
        <v>1853</v>
      </c>
      <c r="Q351" s="2" t="s">
        <v>1854</v>
      </c>
      <c r="U351" s="4" t="s">
        <v>2262</v>
      </c>
      <c r="V351" s="4" t="s">
        <v>1946</v>
      </c>
      <c r="W351" s="2" t="s">
        <v>1853</v>
      </c>
      <c r="X351" s="2" t="s">
        <v>1852</v>
      </c>
    </row>
    <row r="352" spans="1:26" x14ac:dyDescent="0.2">
      <c r="A352" s="4">
        <v>347</v>
      </c>
      <c r="E352" s="6" t="s">
        <v>1215</v>
      </c>
      <c r="G352" s="4" t="s">
        <v>20</v>
      </c>
      <c r="H352" s="4" t="s">
        <v>1948</v>
      </c>
      <c r="I352" s="2" t="s">
        <v>1851</v>
      </c>
      <c r="J352" s="2" t="s">
        <v>941</v>
      </c>
      <c r="N352" s="4" t="s">
        <v>2263</v>
      </c>
      <c r="O352" s="4" t="s">
        <v>1947</v>
      </c>
      <c r="P352" s="2" t="s">
        <v>1850</v>
      </c>
      <c r="Q352" s="2" t="s">
        <v>1849</v>
      </c>
      <c r="U352" s="4" t="s">
        <v>2262</v>
      </c>
      <c r="V352" s="4" t="s">
        <v>1946</v>
      </c>
      <c r="W352" s="2" t="s">
        <v>1848</v>
      </c>
      <c r="X352" s="2" t="s">
        <v>1847</v>
      </c>
    </row>
    <row r="353" spans="1:26" x14ac:dyDescent="0.2">
      <c r="A353" s="4">
        <v>348</v>
      </c>
      <c r="E353" s="6" t="s">
        <v>1215</v>
      </c>
      <c r="G353" s="4" t="s">
        <v>20</v>
      </c>
      <c r="H353" s="4" t="s">
        <v>1948</v>
      </c>
      <c r="I353" s="2" t="s">
        <v>1837</v>
      </c>
      <c r="J353" s="2" t="s">
        <v>2926</v>
      </c>
      <c r="L353" s="2" t="s">
        <v>1836</v>
      </c>
      <c r="N353" s="4" t="s">
        <v>2263</v>
      </c>
      <c r="O353" s="4" t="s">
        <v>1947</v>
      </c>
      <c r="P353" s="2" t="s">
        <v>1834</v>
      </c>
      <c r="Q353" s="2" t="s">
        <v>1507</v>
      </c>
      <c r="S353" s="2" t="s">
        <v>1833</v>
      </c>
      <c r="U353" s="4" t="s">
        <v>2262</v>
      </c>
      <c r="V353" s="4" t="s">
        <v>1946</v>
      </c>
      <c r="W353" s="2" t="s">
        <v>1831</v>
      </c>
      <c r="X353" s="2" t="s">
        <v>2925</v>
      </c>
      <c r="Z353" s="2" t="s">
        <v>1830</v>
      </c>
    </row>
    <row r="354" spans="1:26" ht="25.5" x14ac:dyDescent="0.2">
      <c r="A354" s="4">
        <v>349</v>
      </c>
      <c r="B354" s="6" t="s">
        <v>6</v>
      </c>
      <c r="C354" s="6" t="s">
        <v>950</v>
      </c>
      <c r="E354" s="6" t="s">
        <v>1215</v>
      </c>
      <c r="G354" s="4" t="s">
        <v>20</v>
      </c>
      <c r="H354" s="4" t="s">
        <v>1939</v>
      </c>
      <c r="I354" s="2" t="s">
        <v>1945</v>
      </c>
      <c r="J354" s="2" t="s">
        <v>1944</v>
      </c>
      <c r="L354" s="18" t="s">
        <v>2832</v>
      </c>
      <c r="N354" s="4" t="s">
        <v>2263</v>
      </c>
      <c r="O354" s="4" t="s">
        <v>1938</v>
      </c>
      <c r="P354" s="2" t="s">
        <v>1943</v>
      </c>
      <c r="Q354" s="2" t="s">
        <v>1942</v>
      </c>
      <c r="S354" s="18" t="s">
        <v>2835</v>
      </c>
      <c r="U354" s="4" t="s">
        <v>2262</v>
      </c>
      <c r="V354" s="4" t="s">
        <v>1936</v>
      </c>
      <c r="W354" s="2" t="s">
        <v>1941</v>
      </c>
      <c r="X354" s="2" t="s">
        <v>1940</v>
      </c>
      <c r="Z354" s="18" t="s">
        <v>2836</v>
      </c>
    </row>
    <row r="355" spans="1:26" x14ac:dyDescent="0.2">
      <c r="A355" s="4">
        <v>350</v>
      </c>
      <c r="E355" s="6" t="s">
        <v>1215</v>
      </c>
      <c r="G355" s="4" t="s">
        <v>20</v>
      </c>
      <c r="H355" s="4" t="s">
        <v>1939</v>
      </c>
      <c r="I355" s="2" t="s">
        <v>1219</v>
      </c>
      <c r="J355" s="2" t="s">
        <v>1220</v>
      </c>
      <c r="N355" s="4" t="s">
        <v>2263</v>
      </c>
      <c r="O355" s="4" t="s">
        <v>1938</v>
      </c>
      <c r="P355" s="2" t="s">
        <v>1219</v>
      </c>
      <c r="Q355" s="2" t="s">
        <v>1218</v>
      </c>
      <c r="U355" s="4" t="s">
        <v>2262</v>
      </c>
      <c r="V355" s="4" t="s">
        <v>1936</v>
      </c>
      <c r="W355" s="2" t="s">
        <v>1219</v>
      </c>
      <c r="X355" s="2" t="s">
        <v>1218</v>
      </c>
    </row>
    <row r="356" spans="1:26" x14ac:dyDescent="0.2">
      <c r="A356" s="4">
        <v>351</v>
      </c>
      <c r="D356" s="6" t="s">
        <v>950</v>
      </c>
      <c r="E356" s="6" t="s">
        <v>1215</v>
      </c>
      <c r="G356" s="4" t="s">
        <v>20</v>
      </c>
      <c r="H356" s="4" t="s">
        <v>1939</v>
      </c>
      <c r="I356" s="2" t="s">
        <v>1217</v>
      </c>
      <c r="J356" s="2" t="s">
        <v>933</v>
      </c>
      <c r="K356" s="3">
        <v>100</v>
      </c>
      <c r="N356" s="4" t="s">
        <v>2263</v>
      </c>
      <c r="O356" s="4" t="s">
        <v>1938</v>
      </c>
      <c r="P356" s="2" t="s">
        <v>1217</v>
      </c>
      <c r="Q356" s="2" t="s">
        <v>933</v>
      </c>
      <c r="R356" s="3">
        <v>100</v>
      </c>
      <c r="U356" s="4" t="s">
        <v>2262</v>
      </c>
      <c r="V356" s="4" t="s">
        <v>1936</v>
      </c>
      <c r="W356" s="2" t="s">
        <v>1217</v>
      </c>
      <c r="X356" s="2" t="s">
        <v>1216</v>
      </c>
      <c r="Y356" s="3">
        <v>100</v>
      </c>
    </row>
    <row r="357" spans="1:26" x14ac:dyDescent="0.2">
      <c r="A357" s="4">
        <v>352</v>
      </c>
      <c r="D357" s="6" t="s">
        <v>950</v>
      </c>
      <c r="E357" s="6" t="s">
        <v>1215</v>
      </c>
      <c r="G357" s="4" t="s">
        <v>20</v>
      </c>
      <c r="H357" s="4" t="s">
        <v>1939</v>
      </c>
      <c r="I357" s="2" t="s">
        <v>1285</v>
      </c>
      <c r="J357" s="2" t="s">
        <v>1199</v>
      </c>
      <c r="K357" s="3" t="s">
        <v>86</v>
      </c>
      <c r="N357" s="4" t="s">
        <v>2263</v>
      </c>
      <c r="O357" s="4" t="s">
        <v>1938</v>
      </c>
      <c r="P357" s="2" t="s">
        <v>1285</v>
      </c>
      <c r="Q357" s="2" t="s">
        <v>1199</v>
      </c>
      <c r="R357" s="3" t="s">
        <v>86</v>
      </c>
      <c r="U357" s="4" t="s">
        <v>2262</v>
      </c>
      <c r="V357" s="4" t="s">
        <v>1936</v>
      </c>
      <c r="W357" s="2" t="s">
        <v>1285</v>
      </c>
      <c r="X357" s="2" t="s">
        <v>1199</v>
      </c>
      <c r="Y357" s="3" t="s">
        <v>86</v>
      </c>
    </row>
    <row r="358" spans="1:26" x14ac:dyDescent="0.2">
      <c r="A358" s="4">
        <v>353</v>
      </c>
      <c r="D358" s="6" t="s">
        <v>950</v>
      </c>
      <c r="E358" s="6" t="s">
        <v>1215</v>
      </c>
      <c r="G358" s="4" t="s">
        <v>20</v>
      </c>
      <c r="H358" s="4" t="s">
        <v>1939</v>
      </c>
      <c r="I358" s="2" t="s">
        <v>1283</v>
      </c>
      <c r="J358" s="2" t="s">
        <v>1200</v>
      </c>
      <c r="K358" s="3" t="s">
        <v>90</v>
      </c>
      <c r="N358" s="4" t="s">
        <v>2263</v>
      </c>
      <c r="O358" s="4" t="s">
        <v>1938</v>
      </c>
      <c r="P358" s="2" t="s">
        <v>1283</v>
      </c>
      <c r="Q358" s="2" t="s">
        <v>1200</v>
      </c>
      <c r="R358" s="3" t="s">
        <v>90</v>
      </c>
      <c r="U358" s="4" t="s">
        <v>2262</v>
      </c>
      <c r="V358" s="4" t="s">
        <v>1936</v>
      </c>
      <c r="W358" s="2" t="s">
        <v>1283</v>
      </c>
      <c r="X358" s="2" t="s">
        <v>1200</v>
      </c>
      <c r="Y358" s="3" t="s">
        <v>90</v>
      </c>
    </row>
    <row r="359" spans="1:26" x14ac:dyDescent="0.2">
      <c r="A359" s="4">
        <v>354</v>
      </c>
      <c r="B359" s="6" t="s">
        <v>1221</v>
      </c>
      <c r="E359" s="6" t="s">
        <v>1215</v>
      </c>
      <c r="G359" s="4" t="s">
        <v>2231</v>
      </c>
      <c r="H359" s="4" t="s">
        <v>2261</v>
      </c>
      <c r="I359" s="2" t="s">
        <v>96</v>
      </c>
      <c r="J359" s="2" t="s">
        <v>951</v>
      </c>
      <c r="L359" s="2" t="s">
        <v>1380</v>
      </c>
      <c r="N359" s="4" t="s">
        <v>2229</v>
      </c>
      <c r="O359" s="4" t="s">
        <v>2260</v>
      </c>
      <c r="P359" s="2" t="s">
        <v>733</v>
      </c>
      <c r="Q359" s="2" t="s">
        <v>951</v>
      </c>
      <c r="S359" s="2" t="s">
        <v>1379</v>
      </c>
      <c r="U359" s="4" t="s">
        <v>2227</v>
      </c>
      <c r="V359" s="4" t="s">
        <v>2259</v>
      </c>
      <c r="W359" s="2" t="s">
        <v>1378</v>
      </c>
      <c r="X359" s="2" t="s">
        <v>951</v>
      </c>
      <c r="Z359" s="2" t="s">
        <v>1377</v>
      </c>
    </row>
    <row r="360" spans="1:26" x14ac:dyDescent="0.2">
      <c r="A360" s="4">
        <v>355</v>
      </c>
      <c r="B360" s="6" t="s">
        <v>1221</v>
      </c>
      <c r="E360" s="6" t="s">
        <v>1215</v>
      </c>
      <c r="G360" s="4" t="s">
        <v>2231</v>
      </c>
      <c r="H360" s="4" t="s">
        <v>2261</v>
      </c>
      <c r="I360" s="2" t="s">
        <v>99</v>
      </c>
      <c r="J360" s="2" t="s">
        <v>951</v>
      </c>
      <c r="L360" s="2" t="s">
        <v>1599</v>
      </c>
      <c r="N360" s="4" t="s">
        <v>2229</v>
      </c>
      <c r="O360" s="4" t="s">
        <v>2260</v>
      </c>
      <c r="P360" s="2" t="s">
        <v>734</v>
      </c>
      <c r="Q360" s="2" t="s">
        <v>951</v>
      </c>
      <c r="S360" s="2" t="s">
        <v>2811</v>
      </c>
      <c r="U360" s="4" t="s">
        <v>2227</v>
      </c>
      <c r="V360" s="4" t="s">
        <v>2259</v>
      </c>
      <c r="W360" s="2" t="s">
        <v>1376</v>
      </c>
      <c r="X360" s="2" t="s">
        <v>951</v>
      </c>
      <c r="Z360" s="2" t="s">
        <v>1598</v>
      </c>
    </row>
    <row r="361" spans="1:26" x14ac:dyDescent="0.2">
      <c r="A361" s="4">
        <v>356</v>
      </c>
      <c r="E361" s="6" t="s">
        <v>1215</v>
      </c>
      <c r="G361" s="4" t="s">
        <v>2231</v>
      </c>
      <c r="H361" s="4" t="s">
        <v>2261</v>
      </c>
      <c r="I361" s="2" t="s">
        <v>101</v>
      </c>
      <c r="J361" s="2" t="s">
        <v>956</v>
      </c>
      <c r="N361" s="4" t="s">
        <v>2229</v>
      </c>
      <c r="O361" s="4" t="s">
        <v>2260</v>
      </c>
      <c r="P361" s="2" t="s">
        <v>735</v>
      </c>
      <c r="Q361" s="2" t="s">
        <v>956</v>
      </c>
      <c r="U361" s="4" t="s">
        <v>2227</v>
      </c>
      <c r="V361" s="4" t="s">
        <v>2259</v>
      </c>
      <c r="W361" s="2" t="s">
        <v>1294</v>
      </c>
      <c r="X361" s="2" t="s">
        <v>956</v>
      </c>
    </row>
    <row r="362" spans="1:26" ht="63.75" x14ac:dyDescent="0.2">
      <c r="A362" s="4">
        <v>357</v>
      </c>
      <c r="D362" s="6" t="s">
        <v>950</v>
      </c>
      <c r="E362" s="6" t="s">
        <v>1215</v>
      </c>
      <c r="G362" s="4" t="s">
        <v>2231</v>
      </c>
      <c r="H362" s="4" t="s">
        <v>2261</v>
      </c>
      <c r="I362" s="2" t="s">
        <v>104</v>
      </c>
      <c r="J362" s="2" t="s">
        <v>1698</v>
      </c>
      <c r="N362" s="4" t="s">
        <v>2229</v>
      </c>
      <c r="O362" s="4" t="s">
        <v>2260</v>
      </c>
      <c r="P362" s="2" t="s">
        <v>736</v>
      </c>
      <c r="Q362" s="2" t="s">
        <v>1697</v>
      </c>
      <c r="U362" s="4" t="s">
        <v>2227</v>
      </c>
      <c r="V362" s="4" t="s">
        <v>2259</v>
      </c>
      <c r="W362" s="2" t="s">
        <v>1595</v>
      </c>
      <c r="X362" s="2" t="s">
        <v>1697</v>
      </c>
    </row>
    <row r="363" spans="1:26" x14ac:dyDescent="0.2">
      <c r="A363" s="4">
        <v>358</v>
      </c>
      <c r="E363" s="6" t="s">
        <v>1215</v>
      </c>
      <c r="G363" s="4" t="s">
        <v>2231</v>
      </c>
      <c r="H363" s="4" t="s">
        <v>2261</v>
      </c>
      <c r="I363" s="2" t="s">
        <v>193</v>
      </c>
      <c r="J363" s="2" t="s">
        <v>1518</v>
      </c>
      <c r="N363" s="4" t="s">
        <v>2229</v>
      </c>
      <c r="O363" s="4" t="s">
        <v>2260</v>
      </c>
      <c r="P363" s="2" t="s">
        <v>769</v>
      </c>
      <c r="Q363" s="2" t="s">
        <v>1593</v>
      </c>
      <c r="U363" s="4" t="s">
        <v>2227</v>
      </c>
      <c r="V363" s="4" t="s">
        <v>2259</v>
      </c>
      <c r="W363" s="2" t="s">
        <v>1515</v>
      </c>
      <c r="X363" s="2" t="s">
        <v>1592</v>
      </c>
    </row>
    <row r="364" spans="1:26" ht="76.5" x14ac:dyDescent="0.2">
      <c r="A364" s="4">
        <v>359</v>
      </c>
      <c r="D364" s="6" t="s">
        <v>950</v>
      </c>
      <c r="E364" s="6" t="s">
        <v>1215</v>
      </c>
      <c r="G364" s="4" t="s">
        <v>2231</v>
      </c>
      <c r="H364" s="4" t="s">
        <v>2261</v>
      </c>
      <c r="I364" s="2" t="s">
        <v>107</v>
      </c>
      <c r="J364" s="2" t="s">
        <v>1349</v>
      </c>
      <c r="L364" s="2" t="s">
        <v>1869</v>
      </c>
      <c r="N364" s="4" t="s">
        <v>2229</v>
      </c>
      <c r="O364" s="4" t="s">
        <v>2260</v>
      </c>
      <c r="P364" s="2" t="s">
        <v>1589</v>
      </c>
      <c r="Q364" s="2" t="s">
        <v>1349</v>
      </c>
      <c r="S364" s="2" t="s">
        <v>2810</v>
      </c>
      <c r="U364" s="4" t="s">
        <v>2227</v>
      </c>
      <c r="V364" s="4" t="s">
        <v>2259</v>
      </c>
      <c r="W364" s="2" t="s">
        <v>1587</v>
      </c>
      <c r="X364" s="2" t="s">
        <v>1349</v>
      </c>
      <c r="Z364" s="2" t="s">
        <v>2011</v>
      </c>
    </row>
    <row r="365" spans="1:26" x14ac:dyDescent="0.2">
      <c r="A365" s="4">
        <v>360</v>
      </c>
      <c r="D365" s="6" t="s">
        <v>950</v>
      </c>
      <c r="E365" s="6" t="s">
        <v>1215</v>
      </c>
      <c r="G365" s="4" t="s">
        <v>2231</v>
      </c>
      <c r="H365" s="4" t="s">
        <v>2261</v>
      </c>
      <c r="I365" s="2" t="s">
        <v>1866</v>
      </c>
      <c r="J365" s="2" t="s">
        <v>1349</v>
      </c>
      <c r="L365" s="2" t="s">
        <v>1865</v>
      </c>
      <c r="N365" s="4" t="s">
        <v>2229</v>
      </c>
      <c r="O365" s="4" t="s">
        <v>2260</v>
      </c>
      <c r="P365" s="2" t="s">
        <v>1863</v>
      </c>
      <c r="Q365" s="2" t="s">
        <v>1349</v>
      </c>
      <c r="S365" s="2" t="s">
        <v>1862</v>
      </c>
      <c r="U365" s="4" t="s">
        <v>2227</v>
      </c>
      <c r="V365" s="4" t="s">
        <v>2259</v>
      </c>
      <c r="W365" s="2" t="s">
        <v>1860</v>
      </c>
      <c r="X365" s="2" t="s">
        <v>1349</v>
      </c>
      <c r="Z365" s="2" t="s">
        <v>2223</v>
      </c>
    </row>
    <row r="366" spans="1:26" x14ac:dyDescent="0.2">
      <c r="A366" s="4">
        <v>361</v>
      </c>
      <c r="C366" s="6" t="s">
        <v>950</v>
      </c>
      <c r="E366" s="6" t="s">
        <v>1215</v>
      </c>
      <c r="G366" s="4" t="s">
        <v>2231</v>
      </c>
      <c r="H366" s="4" t="s">
        <v>2256</v>
      </c>
      <c r="I366" s="2" t="s">
        <v>969</v>
      </c>
      <c r="J366" s="2" t="s">
        <v>2236</v>
      </c>
      <c r="L366" s="2" t="s">
        <v>1228</v>
      </c>
      <c r="N366" s="4" t="s">
        <v>2229</v>
      </c>
      <c r="O366" s="4" t="s">
        <v>2255</v>
      </c>
      <c r="P366" s="2" t="s">
        <v>1319</v>
      </c>
      <c r="Q366" s="2" t="s">
        <v>2235</v>
      </c>
      <c r="S366" s="2" t="s">
        <v>1225</v>
      </c>
      <c r="U366" s="4" t="s">
        <v>2227</v>
      </c>
      <c r="V366" s="4" t="s">
        <v>2254</v>
      </c>
      <c r="W366" s="2" t="s">
        <v>1319</v>
      </c>
      <c r="X366" s="2" t="s">
        <v>2234</v>
      </c>
      <c r="Z366" s="2" t="s">
        <v>1222</v>
      </c>
    </row>
    <row r="367" spans="1:26" x14ac:dyDescent="0.2">
      <c r="A367" s="4">
        <v>362</v>
      </c>
      <c r="B367" s="6" t="s">
        <v>6</v>
      </c>
      <c r="E367" s="6" t="s">
        <v>1215</v>
      </c>
      <c r="G367" s="4" t="s">
        <v>2231</v>
      </c>
      <c r="H367" s="4" t="s">
        <v>2256</v>
      </c>
      <c r="I367" s="2" t="s">
        <v>123</v>
      </c>
      <c r="J367" s="2" t="s">
        <v>2258</v>
      </c>
      <c r="N367" s="4" t="s">
        <v>2229</v>
      </c>
      <c r="O367" s="4" t="s">
        <v>2255</v>
      </c>
      <c r="P367" s="2" t="s">
        <v>123</v>
      </c>
      <c r="Q367" s="2" t="s">
        <v>2257</v>
      </c>
      <c r="U367" s="4" t="s">
        <v>2227</v>
      </c>
      <c r="V367" s="4" t="s">
        <v>2254</v>
      </c>
      <c r="W367" s="2" t="s">
        <v>1247</v>
      </c>
      <c r="X367" s="2" t="s">
        <v>2257</v>
      </c>
    </row>
    <row r="368" spans="1:26" x14ac:dyDescent="0.2">
      <c r="A368" s="4">
        <v>363</v>
      </c>
      <c r="E368" s="6" t="s">
        <v>1215</v>
      </c>
      <c r="G368" s="4" t="s">
        <v>2231</v>
      </c>
      <c r="H368" s="4" t="s">
        <v>2256</v>
      </c>
      <c r="I368" s="2" t="s">
        <v>1979</v>
      </c>
      <c r="J368" s="2" t="s">
        <v>265</v>
      </c>
      <c r="N368" s="4" t="s">
        <v>2229</v>
      </c>
      <c r="O368" s="4" t="s">
        <v>2255</v>
      </c>
      <c r="P368" s="2" t="s">
        <v>1978</v>
      </c>
      <c r="Q368" s="2" t="s">
        <v>711</v>
      </c>
      <c r="U368" s="4" t="s">
        <v>2227</v>
      </c>
      <c r="V368" s="4" t="s">
        <v>2254</v>
      </c>
      <c r="W368" s="2" t="s">
        <v>1977</v>
      </c>
      <c r="X368" s="2" t="s">
        <v>1976</v>
      </c>
    </row>
    <row r="369" spans="1:26" ht="25.5" x14ac:dyDescent="0.2">
      <c r="A369" s="4">
        <v>364</v>
      </c>
      <c r="B369" s="6" t="s">
        <v>6</v>
      </c>
      <c r="C369" s="6" t="s">
        <v>950</v>
      </c>
      <c r="E369" s="6" t="s">
        <v>1215</v>
      </c>
      <c r="G369" s="4" t="s">
        <v>2231</v>
      </c>
      <c r="H369" s="4" t="s">
        <v>2247</v>
      </c>
      <c r="I369" s="2" t="s">
        <v>2253</v>
      </c>
      <c r="J369" s="2" t="s">
        <v>2252</v>
      </c>
      <c r="L369" s="18" t="s">
        <v>2837</v>
      </c>
      <c r="N369" s="4" t="s">
        <v>2229</v>
      </c>
      <c r="O369" s="4" t="s">
        <v>2246</v>
      </c>
      <c r="P369" s="2" t="s">
        <v>2251</v>
      </c>
      <c r="Q369" s="2" t="s">
        <v>2250</v>
      </c>
      <c r="S369" s="18" t="s">
        <v>2838</v>
      </c>
      <c r="U369" s="4" t="s">
        <v>2227</v>
      </c>
      <c r="V369" s="4" t="s">
        <v>2245</v>
      </c>
      <c r="W369" s="2" t="s">
        <v>2249</v>
      </c>
      <c r="X369" s="2" t="s">
        <v>2248</v>
      </c>
      <c r="Z369" s="18" t="s">
        <v>2839</v>
      </c>
    </row>
    <row r="370" spans="1:26" x14ac:dyDescent="0.2">
      <c r="A370" s="4">
        <v>365</v>
      </c>
      <c r="E370" s="6" t="s">
        <v>1215</v>
      </c>
      <c r="G370" s="4" t="s">
        <v>2231</v>
      </c>
      <c r="H370" s="4" t="s">
        <v>2247</v>
      </c>
      <c r="I370" s="2" t="s">
        <v>1219</v>
      </c>
      <c r="J370" s="2" t="s">
        <v>1220</v>
      </c>
      <c r="N370" s="4" t="s">
        <v>2229</v>
      </c>
      <c r="O370" s="4" t="s">
        <v>2246</v>
      </c>
      <c r="P370" s="2" t="s">
        <v>1219</v>
      </c>
      <c r="Q370" s="2" t="s">
        <v>1218</v>
      </c>
      <c r="U370" s="4" t="s">
        <v>2227</v>
      </c>
      <c r="V370" s="4" t="s">
        <v>2245</v>
      </c>
      <c r="W370" s="2" t="s">
        <v>1219</v>
      </c>
      <c r="X370" s="2" t="s">
        <v>1218</v>
      </c>
    </row>
    <row r="371" spans="1:26" x14ac:dyDescent="0.2">
      <c r="A371" s="4">
        <v>366</v>
      </c>
      <c r="D371" s="6" t="s">
        <v>950</v>
      </c>
      <c r="E371" s="6" t="s">
        <v>1215</v>
      </c>
      <c r="G371" s="4" t="s">
        <v>2231</v>
      </c>
      <c r="H371" s="4" t="s">
        <v>2247</v>
      </c>
      <c r="I371" s="2" t="s">
        <v>1217</v>
      </c>
      <c r="J371" s="2" t="s">
        <v>933</v>
      </c>
      <c r="K371" s="3">
        <v>100</v>
      </c>
      <c r="N371" s="4" t="s">
        <v>2229</v>
      </c>
      <c r="O371" s="4" t="s">
        <v>2246</v>
      </c>
      <c r="P371" s="2" t="s">
        <v>1217</v>
      </c>
      <c r="Q371" s="2" t="s">
        <v>933</v>
      </c>
      <c r="R371" s="3">
        <v>100</v>
      </c>
      <c r="U371" s="4" t="s">
        <v>2227</v>
      </c>
      <c r="V371" s="4" t="s">
        <v>2245</v>
      </c>
      <c r="W371" s="2" t="s">
        <v>1217</v>
      </c>
      <c r="X371" s="2" t="s">
        <v>1216</v>
      </c>
      <c r="Y371" s="3">
        <v>100</v>
      </c>
    </row>
    <row r="372" spans="1:26" x14ac:dyDescent="0.2">
      <c r="A372" s="4">
        <v>367</v>
      </c>
      <c r="D372" s="6" t="s">
        <v>950</v>
      </c>
      <c r="E372" s="6" t="s">
        <v>1215</v>
      </c>
      <c r="G372" s="4" t="s">
        <v>2231</v>
      </c>
      <c r="H372" s="4" t="s">
        <v>2247</v>
      </c>
      <c r="I372" s="2" t="s">
        <v>1285</v>
      </c>
      <c r="J372" s="2" t="s">
        <v>1199</v>
      </c>
      <c r="K372" s="3" t="s">
        <v>86</v>
      </c>
      <c r="N372" s="4" t="s">
        <v>2229</v>
      </c>
      <c r="O372" s="4" t="s">
        <v>2246</v>
      </c>
      <c r="P372" s="2" t="s">
        <v>1285</v>
      </c>
      <c r="Q372" s="2" t="s">
        <v>1199</v>
      </c>
      <c r="R372" s="3" t="s">
        <v>86</v>
      </c>
      <c r="U372" s="4" t="s">
        <v>2227</v>
      </c>
      <c r="V372" s="4" t="s">
        <v>2245</v>
      </c>
      <c r="W372" s="2" t="s">
        <v>1285</v>
      </c>
      <c r="X372" s="2" t="s">
        <v>1199</v>
      </c>
      <c r="Y372" s="3" t="s">
        <v>86</v>
      </c>
    </row>
    <row r="373" spans="1:26" x14ac:dyDescent="0.2">
      <c r="A373" s="4">
        <v>368</v>
      </c>
      <c r="D373" s="6" t="s">
        <v>950</v>
      </c>
      <c r="E373" s="6" t="s">
        <v>1215</v>
      </c>
      <c r="G373" s="4" t="s">
        <v>2231</v>
      </c>
      <c r="H373" s="4" t="s">
        <v>2247</v>
      </c>
      <c r="I373" s="2" t="s">
        <v>1283</v>
      </c>
      <c r="J373" s="2" t="s">
        <v>1200</v>
      </c>
      <c r="K373" s="3" t="s">
        <v>90</v>
      </c>
      <c r="N373" s="4" t="s">
        <v>2229</v>
      </c>
      <c r="O373" s="4" t="s">
        <v>2246</v>
      </c>
      <c r="P373" s="2" t="s">
        <v>1283</v>
      </c>
      <c r="Q373" s="2" t="s">
        <v>1200</v>
      </c>
      <c r="R373" s="3" t="s">
        <v>90</v>
      </c>
      <c r="U373" s="4" t="s">
        <v>2227</v>
      </c>
      <c r="V373" s="4" t="s">
        <v>2245</v>
      </c>
      <c r="W373" s="2" t="s">
        <v>1283</v>
      </c>
      <c r="X373" s="2" t="s">
        <v>1200</v>
      </c>
      <c r="Y373" s="3" t="s">
        <v>90</v>
      </c>
    </row>
    <row r="374" spans="1:26" x14ac:dyDescent="0.2">
      <c r="A374" s="4">
        <v>369</v>
      </c>
      <c r="C374" s="6" t="s">
        <v>950</v>
      </c>
      <c r="E374" s="6" t="s">
        <v>1215</v>
      </c>
      <c r="G374" s="4" t="s">
        <v>2231</v>
      </c>
      <c r="H374" s="4" t="s">
        <v>2239</v>
      </c>
      <c r="I374" s="2" t="s">
        <v>969</v>
      </c>
      <c r="J374" s="2" t="s">
        <v>2236</v>
      </c>
      <c r="L374" s="2" t="s">
        <v>1228</v>
      </c>
      <c r="N374" s="4" t="s">
        <v>2229</v>
      </c>
      <c r="O374" s="4" t="s">
        <v>2238</v>
      </c>
      <c r="P374" s="2" t="s">
        <v>1319</v>
      </c>
      <c r="Q374" s="2" t="s">
        <v>2235</v>
      </c>
      <c r="S374" s="2" t="s">
        <v>1225</v>
      </c>
      <c r="U374" s="4" t="s">
        <v>2227</v>
      </c>
      <c r="V374" s="4" t="s">
        <v>2237</v>
      </c>
      <c r="W374" s="2" t="s">
        <v>1319</v>
      </c>
      <c r="X374" s="2" t="s">
        <v>2234</v>
      </c>
      <c r="Z374" s="2" t="s">
        <v>1222</v>
      </c>
    </row>
    <row r="375" spans="1:26" ht="38.25" x14ac:dyDescent="0.2">
      <c r="A375" s="4">
        <v>370</v>
      </c>
      <c r="E375" s="6" t="s">
        <v>1215</v>
      </c>
      <c r="G375" s="4" t="s">
        <v>2231</v>
      </c>
      <c r="H375" s="4" t="s">
        <v>2239</v>
      </c>
      <c r="I375" s="2" t="s">
        <v>123</v>
      </c>
      <c r="J375" s="2" t="s">
        <v>2244</v>
      </c>
      <c r="L375" s="2" t="s">
        <v>2243</v>
      </c>
      <c r="N375" s="4" t="s">
        <v>2229</v>
      </c>
      <c r="O375" s="4" t="s">
        <v>2238</v>
      </c>
      <c r="P375" s="2" t="s">
        <v>123</v>
      </c>
      <c r="Q375" s="2" t="s">
        <v>2241</v>
      </c>
      <c r="S375" s="2" t="s">
        <v>2242</v>
      </c>
      <c r="U375" s="4" t="s">
        <v>2227</v>
      </c>
      <c r="V375" s="4" t="s">
        <v>2237</v>
      </c>
      <c r="W375" s="2" t="s">
        <v>1247</v>
      </c>
      <c r="X375" s="2" t="s">
        <v>2241</v>
      </c>
      <c r="Z375" s="2" t="s">
        <v>2240</v>
      </c>
    </row>
    <row r="376" spans="1:26" x14ac:dyDescent="0.2">
      <c r="A376" s="4">
        <v>371</v>
      </c>
      <c r="E376" s="6" t="s">
        <v>1215</v>
      </c>
      <c r="G376" s="4" t="s">
        <v>2231</v>
      </c>
      <c r="H376" s="4" t="s">
        <v>2239</v>
      </c>
      <c r="I376" s="2" t="s">
        <v>1979</v>
      </c>
      <c r="J376" s="2" t="s">
        <v>265</v>
      </c>
      <c r="N376" s="4" t="s">
        <v>2229</v>
      </c>
      <c r="O376" s="4" t="s">
        <v>2238</v>
      </c>
      <c r="P376" s="2" t="s">
        <v>1978</v>
      </c>
      <c r="Q376" s="2" t="s">
        <v>711</v>
      </c>
      <c r="U376" s="4" t="s">
        <v>2227</v>
      </c>
      <c r="V376" s="4" t="s">
        <v>2237</v>
      </c>
      <c r="W376" s="2" t="s">
        <v>1977</v>
      </c>
      <c r="X376" s="2" t="s">
        <v>1976</v>
      </c>
    </row>
    <row r="377" spans="1:26" ht="38.25" x14ac:dyDescent="0.2">
      <c r="A377" s="4">
        <v>372</v>
      </c>
      <c r="E377" s="6" t="s">
        <v>1215</v>
      </c>
      <c r="G377" s="4" t="s">
        <v>2231</v>
      </c>
      <c r="H377" s="4" t="s">
        <v>2239</v>
      </c>
      <c r="I377" s="2" t="s">
        <v>1212</v>
      </c>
      <c r="J377" s="2" t="s">
        <v>2927</v>
      </c>
      <c r="L377" s="2" t="s">
        <v>1972</v>
      </c>
      <c r="N377" s="4" t="s">
        <v>2229</v>
      </c>
      <c r="O377" s="4" t="s">
        <v>2238</v>
      </c>
      <c r="P377" s="2" t="s">
        <v>1208</v>
      </c>
      <c r="Q377" s="2" t="s">
        <v>2928</v>
      </c>
      <c r="S377" s="2" t="s">
        <v>1970</v>
      </c>
      <c r="U377" s="4" t="s">
        <v>2227</v>
      </c>
      <c r="V377" s="4" t="s">
        <v>2237</v>
      </c>
      <c r="W377" s="2" t="s">
        <v>1204</v>
      </c>
      <c r="X377" s="2" t="s">
        <v>2929</v>
      </c>
      <c r="Z377" s="2" t="s">
        <v>1967</v>
      </c>
    </row>
    <row r="378" spans="1:26" x14ac:dyDescent="0.2">
      <c r="A378" s="4">
        <v>373</v>
      </c>
      <c r="C378" s="6" t="s">
        <v>950</v>
      </c>
      <c r="E378" s="6" t="s">
        <v>1215</v>
      </c>
      <c r="G378" s="4" t="s">
        <v>2231</v>
      </c>
      <c r="H378" s="4" t="s">
        <v>2230</v>
      </c>
      <c r="I378" s="2" t="s">
        <v>969</v>
      </c>
      <c r="J378" s="2" t="s">
        <v>2236</v>
      </c>
      <c r="L378" s="2" t="s">
        <v>1228</v>
      </c>
      <c r="N378" s="4" t="s">
        <v>2229</v>
      </c>
      <c r="O378" s="4" t="s">
        <v>2228</v>
      </c>
      <c r="P378" s="2" t="s">
        <v>1319</v>
      </c>
      <c r="Q378" s="2" t="s">
        <v>2235</v>
      </c>
      <c r="S378" s="2" t="s">
        <v>1225</v>
      </c>
      <c r="U378" s="4" t="s">
        <v>2227</v>
      </c>
      <c r="V378" s="4" t="s">
        <v>2226</v>
      </c>
      <c r="W378" s="2" t="s">
        <v>1319</v>
      </c>
      <c r="X378" s="2" t="s">
        <v>2234</v>
      </c>
      <c r="Z378" s="2" t="s">
        <v>1222</v>
      </c>
    </row>
    <row r="379" spans="1:26" ht="38.25" x14ac:dyDescent="0.2">
      <c r="A379" s="4">
        <v>374</v>
      </c>
      <c r="E379" s="6" t="s">
        <v>1215</v>
      </c>
      <c r="G379" s="4" t="s">
        <v>2231</v>
      </c>
      <c r="H379" s="4" t="s">
        <v>2230</v>
      </c>
      <c r="I379" s="2" t="s">
        <v>123</v>
      </c>
      <c r="J379" s="2" t="s">
        <v>2233</v>
      </c>
      <c r="N379" s="4" t="s">
        <v>2229</v>
      </c>
      <c r="O379" s="4" t="s">
        <v>2228</v>
      </c>
      <c r="P379" s="2" t="s">
        <v>123</v>
      </c>
      <c r="Q379" s="2" t="s">
        <v>2232</v>
      </c>
      <c r="U379" s="4" t="s">
        <v>2227</v>
      </c>
      <c r="V379" s="4" t="s">
        <v>2226</v>
      </c>
      <c r="W379" s="2" t="s">
        <v>1247</v>
      </c>
      <c r="X379" s="2" t="s">
        <v>2232</v>
      </c>
    </row>
    <row r="380" spans="1:26" x14ac:dyDescent="0.2">
      <c r="A380" s="4">
        <v>375</v>
      </c>
      <c r="E380" s="6" t="s">
        <v>1215</v>
      </c>
      <c r="G380" s="4" t="s">
        <v>2231</v>
      </c>
      <c r="H380" s="4" t="s">
        <v>2230</v>
      </c>
      <c r="I380" s="2" t="s">
        <v>1979</v>
      </c>
      <c r="J380" s="2" t="s">
        <v>265</v>
      </c>
      <c r="N380" s="4" t="s">
        <v>2229</v>
      </c>
      <c r="O380" s="4" t="s">
        <v>2228</v>
      </c>
      <c r="P380" s="2" t="s">
        <v>1978</v>
      </c>
      <c r="Q380" s="2" t="s">
        <v>711</v>
      </c>
      <c r="U380" s="4" t="s">
        <v>2227</v>
      </c>
      <c r="V380" s="4" t="s">
        <v>2226</v>
      </c>
      <c r="W380" s="2" t="s">
        <v>1977</v>
      </c>
      <c r="X380" s="2" t="s">
        <v>1976</v>
      </c>
    </row>
    <row r="381" spans="1:26" ht="25.5" x14ac:dyDescent="0.2">
      <c r="A381" s="4">
        <v>376</v>
      </c>
      <c r="E381" s="6" t="s">
        <v>1215</v>
      </c>
      <c r="G381" s="4" t="s">
        <v>2231</v>
      </c>
      <c r="H381" s="4" t="s">
        <v>2230</v>
      </c>
      <c r="I381" s="2" t="s">
        <v>1212</v>
      </c>
      <c r="J381" s="2" t="s">
        <v>2930</v>
      </c>
      <c r="L381" s="2" t="s">
        <v>1972</v>
      </c>
      <c r="N381" s="4" t="s">
        <v>2229</v>
      </c>
      <c r="O381" s="4" t="s">
        <v>2228</v>
      </c>
      <c r="P381" s="2" t="s">
        <v>1208</v>
      </c>
      <c r="Q381" s="2" t="s">
        <v>2931</v>
      </c>
      <c r="S381" s="2" t="s">
        <v>1970</v>
      </c>
      <c r="U381" s="4" t="s">
        <v>2227</v>
      </c>
      <c r="V381" s="4" t="s">
        <v>2226</v>
      </c>
      <c r="W381" s="2" t="s">
        <v>1204</v>
      </c>
      <c r="X381" s="2" t="s">
        <v>2932</v>
      </c>
      <c r="Z381" s="2" t="s">
        <v>1967</v>
      </c>
    </row>
    <row r="382" spans="1:26" x14ac:dyDescent="0.2">
      <c r="A382" s="4">
        <v>377</v>
      </c>
      <c r="B382" s="6" t="s">
        <v>1221</v>
      </c>
      <c r="E382" s="6" t="s">
        <v>1215</v>
      </c>
      <c r="G382" s="4" t="s">
        <v>18</v>
      </c>
      <c r="H382" s="4" t="s">
        <v>333</v>
      </c>
      <c r="I382" s="2" t="s">
        <v>96</v>
      </c>
      <c r="J382" s="2" t="s">
        <v>951</v>
      </c>
      <c r="L382" s="2" t="s">
        <v>1380</v>
      </c>
      <c r="N382" s="4" t="s">
        <v>706</v>
      </c>
      <c r="O382" s="4" t="s">
        <v>2225</v>
      </c>
      <c r="P382" s="2" t="s">
        <v>733</v>
      </c>
      <c r="Q382" s="2" t="s">
        <v>951</v>
      </c>
      <c r="S382" s="2" t="s">
        <v>1379</v>
      </c>
      <c r="U382" s="4" t="s">
        <v>2177</v>
      </c>
      <c r="V382" s="4" t="s">
        <v>2224</v>
      </c>
      <c r="W382" s="2" t="s">
        <v>1378</v>
      </c>
      <c r="X382" s="2" t="s">
        <v>951</v>
      </c>
      <c r="Z382" s="2" t="s">
        <v>1377</v>
      </c>
    </row>
    <row r="383" spans="1:26" x14ac:dyDescent="0.2">
      <c r="A383" s="4">
        <v>378</v>
      </c>
      <c r="B383" s="6" t="s">
        <v>1221</v>
      </c>
      <c r="E383" s="6" t="s">
        <v>1215</v>
      </c>
      <c r="G383" s="4" t="s">
        <v>18</v>
      </c>
      <c r="H383" s="4" t="s">
        <v>333</v>
      </c>
      <c r="I383" s="2" t="s">
        <v>99</v>
      </c>
      <c r="J383" s="2" t="s">
        <v>951</v>
      </c>
      <c r="L383" s="2" t="s">
        <v>1599</v>
      </c>
      <c r="N383" s="4" t="s">
        <v>706</v>
      </c>
      <c r="O383" s="4" t="s">
        <v>2225</v>
      </c>
      <c r="P383" s="2" t="s">
        <v>734</v>
      </c>
      <c r="Q383" s="2" t="s">
        <v>951</v>
      </c>
      <c r="S383" s="2" t="s">
        <v>2811</v>
      </c>
      <c r="U383" s="4" t="s">
        <v>2177</v>
      </c>
      <c r="V383" s="4" t="s">
        <v>2224</v>
      </c>
      <c r="W383" s="2" t="s">
        <v>1376</v>
      </c>
      <c r="X383" s="2" t="s">
        <v>951</v>
      </c>
      <c r="Z383" s="2" t="s">
        <v>1598</v>
      </c>
    </row>
    <row r="384" spans="1:26" x14ac:dyDescent="0.2">
      <c r="A384" s="4">
        <v>379</v>
      </c>
      <c r="E384" s="6" t="s">
        <v>1215</v>
      </c>
      <c r="G384" s="4" t="s">
        <v>18</v>
      </c>
      <c r="H384" s="4" t="s">
        <v>333</v>
      </c>
      <c r="I384" s="2" t="s">
        <v>101</v>
      </c>
      <c r="J384" s="2" t="s">
        <v>956</v>
      </c>
      <c r="N384" s="4" t="s">
        <v>706</v>
      </c>
      <c r="O384" s="4" t="s">
        <v>2225</v>
      </c>
      <c r="P384" s="2" t="s">
        <v>735</v>
      </c>
      <c r="Q384" s="2" t="s">
        <v>956</v>
      </c>
      <c r="U384" s="4" t="s">
        <v>2177</v>
      </c>
      <c r="V384" s="4" t="s">
        <v>2224</v>
      </c>
      <c r="W384" s="2" t="s">
        <v>1294</v>
      </c>
      <c r="X384" s="2" t="s">
        <v>956</v>
      </c>
    </row>
    <row r="385" spans="1:26" ht="63.75" x14ac:dyDescent="0.2">
      <c r="A385" s="4">
        <v>380</v>
      </c>
      <c r="D385" s="6" t="s">
        <v>950</v>
      </c>
      <c r="E385" s="6" t="s">
        <v>1215</v>
      </c>
      <c r="G385" s="4" t="s">
        <v>18</v>
      </c>
      <c r="H385" s="4" t="s">
        <v>333</v>
      </c>
      <c r="I385" s="2" t="s">
        <v>104</v>
      </c>
      <c r="J385" s="2" t="s">
        <v>1698</v>
      </c>
      <c r="N385" s="4" t="s">
        <v>706</v>
      </c>
      <c r="O385" s="4" t="s">
        <v>2225</v>
      </c>
      <c r="P385" s="2" t="s">
        <v>736</v>
      </c>
      <c r="Q385" s="2" t="s">
        <v>1697</v>
      </c>
      <c r="U385" s="4" t="s">
        <v>2177</v>
      </c>
      <c r="V385" s="4" t="s">
        <v>2224</v>
      </c>
      <c r="W385" s="2" t="s">
        <v>1595</v>
      </c>
      <c r="X385" s="2" t="s">
        <v>1697</v>
      </c>
    </row>
    <row r="386" spans="1:26" ht="76.5" x14ac:dyDescent="0.2">
      <c r="A386" s="4">
        <v>381</v>
      </c>
      <c r="D386" s="6" t="s">
        <v>950</v>
      </c>
      <c r="E386" s="6" t="s">
        <v>1215</v>
      </c>
      <c r="G386" s="4" t="s">
        <v>18</v>
      </c>
      <c r="H386" s="4" t="s">
        <v>333</v>
      </c>
      <c r="I386" s="2" t="s">
        <v>107</v>
      </c>
      <c r="J386" s="2" t="s">
        <v>1349</v>
      </c>
      <c r="L386" s="2" t="s">
        <v>1869</v>
      </c>
      <c r="N386" s="4" t="s">
        <v>706</v>
      </c>
      <c r="O386" s="4" t="s">
        <v>2225</v>
      </c>
      <c r="P386" s="2" t="s">
        <v>1589</v>
      </c>
      <c r="Q386" s="2" t="s">
        <v>1349</v>
      </c>
      <c r="S386" s="2" t="s">
        <v>2810</v>
      </c>
      <c r="U386" s="4" t="s">
        <v>2177</v>
      </c>
      <c r="V386" s="4" t="s">
        <v>2224</v>
      </c>
      <c r="W386" s="2" t="s">
        <v>1587</v>
      </c>
      <c r="X386" s="2" t="s">
        <v>1349</v>
      </c>
      <c r="Z386" s="2" t="s">
        <v>2011</v>
      </c>
    </row>
    <row r="387" spans="1:26" x14ac:dyDescent="0.2">
      <c r="A387" s="4">
        <v>382</v>
      </c>
      <c r="D387" s="6" t="s">
        <v>950</v>
      </c>
      <c r="E387" s="6" t="s">
        <v>1215</v>
      </c>
      <c r="G387" s="4" t="s">
        <v>18</v>
      </c>
      <c r="H387" s="4" t="s">
        <v>333</v>
      </c>
      <c r="I387" s="2" t="s">
        <v>1866</v>
      </c>
      <c r="J387" s="2" t="s">
        <v>1349</v>
      </c>
      <c r="L387" s="2" t="s">
        <v>1865</v>
      </c>
      <c r="N387" s="4" t="s">
        <v>706</v>
      </c>
      <c r="O387" s="4" t="s">
        <v>2225</v>
      </c>
      <c r="P387" s="2" t="s">
        <v>1863</v>
      </c>
      <c r="Q387" s="2" t="s">
        <v>1349</v>
      </c>
      <c r="S387" s="2" t="s">
        <v>1862</v>
      </c>
      <c r="U387" s="4" t="s">
        <v>2177</v>
      </c>
      <c r="V387" s="4" t="s">
        <v>2224</v>
      </c>
      <c r="W387" s="2" t="s">
        <v>1860</v>
      </c>
      <c r="X387" s="2" t="s">
        <v>1349</v>
      </c>
      <c r="Z387" s="2" t="s">
        <v>2223</v>
      </c>
    </row>
    <row r="388" spans="1:26" x14ac:dyDescent="0.2">
      <c r="A388" s="4">
        <v>383</v>
      </c>
      <c r="C388" s="6" t="s">
        <v>950</v>
      </c>
      <c r="E388" s="6" t="s">
        <v>1215</v>
      </c>
      <c r="G388" s="4" t="s">
        <v>18</v>
      </c>
      <c r="H388" s="4" t="s">
        <v>338</v>
      </c>
      <c r="I388" s="2" t="s">
        <v>969</v>
      </c>
      <c r="J388" s="2" t="s">
        <v>2197</v>
      </c>
      <c r="L388" s="2" t="s">
        <v>1228</v>
      </c>
      <c r="N388" s="4" t="s">
        <v>706</v>
      </c>
      <c r="O388" s="4" t="s">
        <v>2222</v>
      </c>
      <c r="P388" s="2" t="s">
        <v>1319</v>
      </c>
      <c r="Q388" s="2" t="s">
        <v>2196</v>
      </c>
      <c r="S388" s="2" t="s">
        <v>1225</v>
      </c>
      <c r="U388" s="4" t="s">
        <v>2177</v>
      </c>
      <c r="V388" s="4" t="s">
        <v>2221</v>
      </c>
      <c r="W388" s="2" t="s">
        <v>1319</v>
      </c>
      <c r="X388" s="2" t="s">
        <v>2195</v>
      </c>
      <c r="Z388" s="2" t="s">
        <v>1222</v>
      </c>
    </row>
    <row r="389" spans="1:26" x14ac:dyDescent="0.2">
      <c r="A389" s="4">
        <v>384</v>
      </c>
      <c r="E389" s="6" t="s">
        <v>1215</v>
      </c>
      <c r="G389" s="4" t="s">
        <v>18</v>
      </c>
      <c r="H389" s="4" t="s">
        <v>338</v>
      </c>
      <c r="I389" s="2" t="s">
        <v>5</v>
      </c>
      <c r="J389" s="2" t="s">
        <v>1168</v>
      </c>
      <c r="N389" s="4" t="s">
        <v>706</v>
      </c>
      <c r="O389" s="4" t="s">
        <v>2222</v>
      </c>
      <c r="P389" s="2" t="s">
        <v>702</v>
      </c>
      <c r="Q389" s="2" t="s">
        <v>1168</v>
      </c>
      <c r="U389" s="4" t="s">
        <v>2177</v>
      </c>
      <c r="V389" s="4" t="s">
        <v>2221</v>
      </c>
      <c r="W389" s="2" t="s">
        <v>1700</v>
      </c>
      <c r="X389" s="2" t="s">
        <v>1168</v>
      </c>
    </row>
    <row r="390" spans="1:26" ht="63.75" x14ac:dyDescent="0.2">
      <c r="A390" s="4">
        <v>385</v>
      </c>
      <c r="E390" s="6" t="s">
        <v>1215</v>
      </c>
      <c r="G390" s="4" t="s">
        <v>18</v>
      </c>
      <c r="H390" s="4" t="s">
        <v>338</v>
      </c>
      <c r="I390" s="2" t="s">
        <v>123</v>
      </c>
      <c r="J390" s="2" t="s">
        <v>1721</v>
      </c>
      <c r="N390" s="4" t="s">
        <v>706</v>
      </c>
      <c r="O390" s="4" t="s">
        <v>2222</v>
      </c>
      <c r="P390" s="2" t="s">
        <v>123</v>
      </c>
      <c r="Q390" s="2" t="s">
        <v>1720</v>
      </c>
      <c r="U390" s="4" t="s">
        <v>2177</v>
      </c>
      <c r="V390" s="4" t="s">
        <v>2221</v>
      </c>
      <c r="W390" s="2" t="s">
        <v>1247</v>
      </c>
      <c r="X390" s="2" t="s">
        <v>1720</v>
      </c>
    </row>
    <row r="391" spans="1:26" x14ac:dyDescent="0.2">
      <c r="A391" s="4">
        <v>386</v>
      </c>
      <c r="C391" s="6" t="s">
        <v>950</v>
      </c>
      <c r="E391" s="6" t="s">
        <v>1215</v>
      </c>
      <c r="G391" s="4" t="s">
        <v>18</v>
      </c>
      <c r="H391" s="4" t="s">
        <v>2214</v>
      </c>
      <c r="I391" s="2" t="s">
        <v>2220</v>
      </c>
      <c r="J391" s="2" t="s">
        <v>2219</v>
      </c>
      <c r="L391" s="2" t="s">
        <v>1691</v>
      </c>
      <c r="N391" s="4" t="s">
        <v>706</v>
      </c>
      <c r="O391" s="4" t="s">
        <v>2213</v>
      </c>
      <c r="P391" s="2" t="s">
        <v>2218</v>
      </c>
      <c r="Q391" s="2" t="s">
        <v>2217</v>
      </c>
      <c r="S391" s="2" t="s">
        <v>1688</v>
      </c>
      <c r="U391" s="4" t="s">
        <v>2177</v>
      </c>
      <c r="V391" s="4" t="s">
        <v>2212</v>
      </c>
      <c r="W391" s="2" t="s">
        <v>2216</v>
      </c>
      <c r="X391" s="2" t="s">
        <v>2215</v>
      </c>
      <c r="Z391" s="2" t="s">
        <v>1685</v>
      </c>
    </row>
    <row r="392" spans="1:26" x14ac:dyDescent="0.2">
      <c r="A392" s="4">
        <v>387</v>
      </c>
      <c r="E392" s="6" t="s">
        <v>1215</v>
      </c>
      <c r="G392" s="4" t="s">
        <v>18</v>
      </c>
      <c r="H392" s="4" t="s">
        <v>2214</v>
      </c>
      <c r="I392" s="2" t="s">
        <v>1219</v>
      </c>
      <c r="J392" s="2" t="s">
        <v>1220</v>
      </c>
      <c r="N392" s="4" t="s">
        <v>706</v>
      </c>
      <c r="O392" s="4" t="s">
        <v>2213</v>
      </c>
      <c r="P392" s="2" t="s">
        <v>1219</v>
      </c>
      <c r="Q392" s="2" t="s">
        <v>1218</v>
      </c>
      <c r="U392" s="4" t="s">
        <v>2177</v>
      </c>
      <c r="V392" s="4" t="s">
        <v>2212</v>
      </c>
      <c r="W392" s="2" t="s">
        <v>1219</v>
      </c>
      <c r="X392" s="2" t="s">
        <v>1218</v>
      </c>
    </row>
    <row r="393" spans="1:26" x14ac:dyDescent="0.2">
      <c r="A393" s="4">
        <v>388</v>
      </c>
      <c r="D393" s="6" t="s">
        <v>950</v>
      </c>
      <c r="E393" s="6" t="s">
        <v>1215</v>
      </c>
      <c r="G393" s="4" t="s">
        <v>18</v>
      </c>
      <c r="H393" s="4" t="s">
        <v>2214</v>
      </c>
      <c r="I393" s="2" t="s">
        <v>1217</v>
      </c>
      <c r="J393" s="2" t="s">
        <v>933</v>
      </c>
      <c r="K393" s="3">
        <v>100</v>
      </c>
      <c r="N393" s="4" t="s">
        <v>706</v>
      </c>
      <c r="O393" s="4" t="s">
        <v>2213</v>
      </c>
      <c r="P393" s="2" t="s">
        <v>1217</v>
      </c>
      <c r="Q393" s="2" t="s">
        <v>933</v>
      </c>
      <c r="R393" s="3">
        <v>100</v>
      </c>
      <c r="U393" s="4" t="s">
        <v>2177</v>
      </c>
      <c r="V393" s="4" t="s">
        <v>2212</v>
      </c>
      <c r="W393" s="2" t="s">
        <v>1217</v>
      </c>
      <c r="X393" s="2" t="s">
        <v>1216</v>
      </c>
      <c r="Y393" s="3">
        <v>100</v>
      </c>
    </row>
    <row r="394" spans="1:26" x14ac:dyDescent="0.2">
      <c r="A394" s="4">
        <v>389</v>
      </c>
      <c r="D394" s="6" t="s">
        <v>950</v>
      </c>
      <c r="E394" s="6" t="s">
        <v>1215</v>
      </c>
      <c r="G394" s="4" t="s">
        <v>18</v>
      </c>
      <c r="H394" s="4" t="s">
        <v>2214</v>
      </c>
      <c r="I394" s="2" t="s">
        <v>1285</v>
      </c>
      <c r="J394" s="2" t="s">
        <v>1199</v>
      </c>
      <c r="K394" s="3" t="s">
        <v>1284</v>
      </c>
      <c r="N394" s="4" t="s">
        <v>706</v>
      </c>
      <c r="O394" s="4" t="s">
        <v>2213</v>
      </c>
      <c r="P394" s="2" t="s">
        <v>1285</v>
      </c>
      <c r="Q394" s="2" t="s">
        <v>1199</v>
      </c>
      <c r="R394" s="3" t="s">
        <v>1284</v>
      </c>
      <c r="U394" s="4" t="s">
        <v>2177</v>
      </c>
      <c r="V394" s="4" t="s">
        <v>2212</v>
      </c>
      <c r="W394" s="2" t="s">
        <v>1285</v>
      </c>
      <c r="X394" s="2" t="s">
        <v>1199</v>
      </c>
      <c r="Y394" s="3" t="s">
        <v>1284</v>
      </c>
    </row>
    <row r="395" spans="1:26" x14ac:dyDescent="0.2">
      <c r="A395" s="4">
        <v>390</v>
      </c>
      <c r="D395" s="6" t="s">
        <v>950</v>
      </c>
      <c r="E395" s="6" t="s">
        <v>1215</v>
      </c>
      <c r="G395" s="4" t="s">
        <v>18</v>
      </c>
      <c r="H395" s="4" t="s">
        <v>2214</v>
      </c>
      <c r="I395" s="2" t="s">
        <v>1283</v>
      </c>
      <c r="J395" s="2" t="s">
        <v>1200</v>
      </c>
      <c r="K395" s="3" t="s">
        <v>1282</v>
      </c>
      <c r="N395" s="4" t="s">
        <v>706</v>
      </c>
      <c r="O395" s="4" t="s">
        <v>2213</v>
      </c>
      <c r="P395" s="2" t="s">
        <v>1283</v>
      </c>
      <c r="Q395" s="2" t="s">
        <v>1200</v>
      </c>
      <c r="R395" s="3" t="s">
        <v>1282</v>
      </c>
      <c r="U395" s="4" t="s">
        <v>2177</v>
      </c>
      <c r="V395" s="4" t="s">
        <v>2212</v>
      </c>
      <c r="W395" s="2" t="s">
        <v>1283</v>
      </c>
      <c r="X395" s="2" t="s">
        <v>1200</v>
      </c>
      <c r="Y395" s="3" t="s">
        <v>1282</v>
      </c>
    </row>
    <row r="396" spans="1:26" x14ac:dyDescent="0.2">
      <c r="A396" s="4">
        <v>391</v>
      </c>
      <c r="D396" s="6" t="s">
        <v>950</v>
      </c>
      <c r="E396" s="6" t="s">
        <v>1215</v>
      </c>
      <c r="G396" s="4" t="s">
        <v>18</v>
      </c>
      <c r="H396" s="4" t="s">
        <v>2214</v>
      </c>
      <c r="I396" s="2" t="s">
        <v>1280</v>
      </c>
      <c r="J396" s="2" t="s">
        <v>59</v>
      </c>
      <c r="K396" s="3" t="s">
        <v>1279</v>
      </c>
      <c r="N396" s="4" t="s">
        <v>706</v>
      </c>
      <c r="O396" s="4" t="s">
        <v>2213</v>
      </c>
      <c r="P396" s="2" t="s">
        <v>1277</v>
      </c>
      <c r="Q396" s="2" t="s">
        <v>1276</v>
      </c>
      <c r="R396" s="3" t="s">
        <v>1275</v>
      </c>
      <c r="U396" s="4" t="s">
        <v>2177</v>
      </c>
      <c r="V396" s="4" t="s">
        <v>2212</v>
      </c>
      <c r="W396" s="2" t="s">
        <v>1273</v>
      </c>
      <c r="X396" s="2" t="s">
        <v>1272</v>
      </c>
      <c r="Y396" s="3" t="s">
        <v>1271</v>
      </c>
    </row>
    <row r="397" spans="1:26" x14ac:dyDescent="0.2">
      <c r="A397" s="4">
        <v>392</v>
      </c>
      <c r="D397" s="6" t="s">
        <v>950</v>
      </c>
      <c r="E397" s="6" t="s">
        <v>1215</v>
      </c>
      <c r="G397" s="4" t="s">
        <v>18</v>
      </c>
      <c r="H397" s="4" t="s">
        <v>2214</v>
      </c>
      <c r="I397" s="2" t="s">
        <v>2183</v>
      </c>
      <c r="J397" s="2" t="s">
        <v>2182</v>
      </c>
      <c r="K397" s="3" t="s">
        <v>2178</v>
      </c>
      <c r="N397" s="4" t="s">
        <v>706</v>
      </c>
      <c r="O397" s="4" t="s">
        <v>2213</v>
      </c>
      <c r="P397" s="2" t="s">
        <v>2180</v>
      </c>
      <c r="Q397" s="2" t="s">
        <v>2179</v>
      </c>
      <c r="R397" s="3" t="s">
        <v>2178</v>
      </c>
      <c r="U397" s="4" t="s">
        <v>2177</v>
      </c>
      <c r="V397" s="4" t="s">
        <v>2212</v>
      </c>
      <c r="W397" s="2" t="s">
        <v>2175</v>
      </c>
      <c r="X397" s="2" t="s">
        <v>2174</v>
      </c>
      <c r="Y397" s="3" t="s">
        <v>2173</v>
      </c>
    </row>
    <row r="398" spans="1:26" x14ac:dyDescent="0.2">
      <c r="A398" s="4">
        <v>393</v>
      </c>
      <c r="C398" s="6" t="s">
        <v>950</v>
      </c>
      <c r="E398" s="6" t="s">
        <v>1215</v>
      </c>
      <c r="G398" s="4" t="s">
        <v>18</v>
      </c>
      <c r="H398" s="4" t="s">
        <v>334</v>
      </c>
      <c r="I398" s="2" t="s">
        <v>969</v>
      </c>
      <c r="J398" s="2" t="s">
        <v>2197</v>
      </c>
      <c r="L398" s="2" t="s">
        <v>1228</v>
      </c>
      <c r="N398" s="4" t="s">
        <v>706</v>
      </c>
      <c r="O398" s="4" t="s">
        <v>2210</v>
      </c>
      <c r="P398" s="2" t="s">
        <v>1319</v>
      </c>
      <c r="Q398" s="2" t="s">
        <v>2196</v>
      </c>
      <c r="S398" s="2" t="s">
        <v>1225</v>
      </c>
      <c r="U398" s="4" t="s">
        <v>2177</v>
      </c>
      <c r="V398" s="4" t="s">
        <v>2209</v>
      </c>
      <c r="W398" s="2" t="s">
        <v>1319</v>
      </c>
      <c r="X398" s="2" t="s">
        <v>2195</v>
      </c>
      <c r="Z398" s="2" t="s">
        <v>1222</v>
      </c>
    </row>
    <row r="399" spans="1:26" x14ac:dyDescent="0.2">
      <c r="A399" s="4">
        <v>394</v>
      </c>
      <c r="E399" s="6" t="s">
        <v>1215</v>
      </c>
      <c r="G399" s="4" t="s">
        <v>18</v>
      </c>
      <c r="H399" s="4" t="s">
        <v>334</v>
      </c>
      <c r="I399" s="2" t="s">
        <v>5</v>
      </c>
      <c r="J399" s="2" t="s">
        <v>1168</v>
      </c>
      <c r="N399" s="4" t="s">
        <v>706</v>
      </c>
      <c r="O399" s="4" t="s">
        <v>2210</v>
      </c>
      <c r="P399" s="2" t="s">
        <v>702</v>
      </c>
      <c r="Q399" s="2" t="s">
        <v>1168</v>
      </c>
      <c r="U399" s="4" t="s">
        <v>2177</v>
      </c>
      <c r="V399" s="4" t="s">
        <v>2209</v>
      </c>
      <c r="W399" s="2" t="s">
        <v>1700</v>
      </c>
      <c r="X399" s="2" t="s">
        <v>1168</v>
      </c>
    </row>
    <row r="400" spans="1:26" ht="63.75" x14ac:dyDescent="0.2">
      <c r="A400" s="4">
        <v>395</v>
      </c>
      <c r="E400" s="6" t="s">
        <v>1215</v>
      </c>
      <c r="G400" s="4" t="s">
        <v>18</v>
      </c>
      <c r="H400" s="4" t="s">
        <v>334</v>
      </c>
      <c r="I400" s="2" t="s">
        <v>123</v>
      </c>
      <c r="J400" s="2" t="s">
        <v>1698</v>
      </c>
      <c r="N400" s="4" t="s">
        <v>706</v>
      </c>
      <c r="O400" s="4" t="s">
        <v>2210</v>
      </c>
      <c r="P400" s="2" t="s">
        <v>123</v>
      </c>
      <c r="Q400" s="2" t="s">
        <v>1697</v>
      </c>
      <c r="U400" s="4" t="s">
        <v>2177</v>
      </c>
      <c r="V400" s="4" t="s">
        <v>2209</v>
      </c>
      <c r="W400" s="2" t="s">
        <v>1247</v>
      </c>
      <c r="X400" s="2" t="s">
        <v>1697</v>
      </c>
    </row>
    <row r="401" spans="1:26" x14ac:dyDescent="0.2">
      <c r="A401" s="4">
        <v>396</v>
      </c>
      <c r="D401" s="6" t="s">
        <v>950</v>
      </c>
      <c r="E401" s="6" t="s">
        <v>1215</v>
      </c>
      <c r="G401" s="4" t="s">
        <v>18</v>
      </c>
      <c r="H401" s="4" t="s">
        <v>334</v>
      </c>
      <c r="I401" s="2" t="s">
        <v>4</v>
      </c>
      <c r="J401" s="2" t="s">
        <v>956</v>
      </c>
      <c r="L401" s="2" t="s">
        <v>2211</v>
      </c>
      <c r="N401" s="4" t="s">
        <v>706</v>
      </c>
      <c r="O401" s="4" t="s">
        <v>2210</v>
      </c>
      <c r="P401" s="2" t="s">
        <v>809</v>
      </c>
      <c r="Q401" s="2" t="s">
        <v>956</v>
      </c>
      <c r="S401" s="2" t="s">
        <v>2151</v>
      </c>
      <c r="U401" s="4" t="s">
        <v>2177</v>
      </c>
      <c r="V401" s="4" t="s">
        <v>2209</v>
      </c>
      <c r="W401" s="2" t="s">
        <v>2208</v>
      </c>
      <c r="X401" s="2" t="s">
        <v>956</v>
      </c>
      <c r="Z401" s="2" t="s">
        <v>2207</v>
      </c>
    </row>
    <row r="402" spans="1:26" ht="25.5" x14ac:dyDescent="0.2">
      <c r="A402" s="4">
        <v>397</v>
      </c>
      <c r="C402" s="6" t="s">
        <v>950</v>
      </c>
      <c r="E402" s="6" t="s">
        <v>1215</v>
      </c>
      <c r="G402" s="4" t="s">
        <v>18</v>
      </c>
      <c r="H402" s="4" t="s">
        <v>2200</v>
      </c>
      <c r="I402" s="2" t="s">
        <v>2206</v>
      </c>
      <c r="J402" s="2" t="s">
        <v>2205</v>
      </c>
      <c r="L402" s="18" t="s">
        <v>2823</v>
      </c>
      <c r="N402" s="4" t="s">
        <v>706</v>
      </c>
      <c r="O402" s="4" t="s">
        <v>2199</v>
      </c>
      <c r="P402" s="2" t="s">
        <v>2204</v>
      </c>
      <c r="Q402" s="2" t="s">
        <v>2203</v>
      </c>
      <c r="S402" s="18" t="s">
        <v>2824</v>
      </c>
      <c r="U402" s="4" t="s">
        <v>2177</v>
      </c>
      <c r="V402" s="4" t="s">
        <v>2198</v>
      </c>
      <c r="W402" s="2" t="s">
        <v>2202</v>
      </c>
      <c r="X402" s="2" t="s">
        <v>2201</v>
      </c>
      <c r="Z402" s="18" t="s">
        <v>2825</v>
      </c>
    </row>
    <row r="403" spans="1:26" x14ac:dyDescent="0.2">
      <c r="A403" s="4">
        <v>398</v>
      </c>
      <c r="E403" s="6" t="s">
        <v>1215</v>
      </c>
      <c r="G403" s="4" t="s">
        <v>18</v>
      </c>
      <c r="H403" s="4" t="s">
        <v>2200</v>
      </c>
      <c r="I403" s="2" t="s">
        <v>1219</v>
      </c>
      <c r="J403" s="2" t="s">
        <v>1220</v>
      </c>
      <c r="N403" s="4" t="s">
        <v>706</v>
      </c>
      <c r="O403" s="4" t="s">
        <v>2199</v>
      </c>
      <c r="P403" s="2" t="s">
        <v>1219</v>
      </c>
      <c r="Q403" s="2" t="s">
        <v>1218</v>
      </c>
      <c r="U403" s="4" t="s">
        <v>2177</v>
      </c>
      <c r="V403" s="4" t="s">
        <v>2198</v>
      </c>
      <c r="W403" s="2" t="s">
        <v>1219</v>
      </c>
      <c r="X403" s="2" t="s">
        <v>1218</v>
      </c>
    </row>
    <row r="404" spans="1:26" x14ac:dyDescent="0.2">
      <c r="A404" s="4">
        <v>399</v>
      </c>
      <c r="D404" s="6" t="s">
        <v>950</v>
      </c>
      <c r="E404" s="6" t="s">
        <v>1215</v>
      </c>
      <c r="G404" s="4" t="s">
        <v>18</v>
      </c>
      <c r="H404" s="4" t="s">
        <v>2200</v>
      </c>
      <c r="I404" s="2" t="s">
        <v>1217</v>
      </c>
      <c r="J404" s="2" t="s">
        <v>933</v>
      </c>
      <c r="K404" s="3">
        <v>100</v>
      </c>
      <c r="N404" s="4" t="s">
        <v>706</v>
      </c>
      <c r="O404" s="4" t="s">
        <v>2199</v>
      </c>
      <c r="P404" s="2" t="s">
        <v>1217</v>
      </c>
      <c r="Q404" s="2" t="s">
        <v>933</v>
      </c>
      <c r="R404" s="3">
        <v>100</v>
      </c>
      <c r="U404" s="4" t="s">
        <v>2177</v>
      </c>
      <c r="V404" s="4" t="s">
        <v>2198</v>
      </c>
      <c r="W404" s="2" t="s">
        <v>1217</v>
      </c>
      <c r="X404" s="2" t="s">
        <v>1216</v>
      </c>
      <c r="Y404" s="3">
        <v>100</v>
      </c>
    </row>
    <row r="405" spans="1:26" x14ac:dyDescent="0.2">
      <c r="A405" s="4">
        <v>400</v>
      </c>
      <c r="D405" s="6" t="s">
        <v>950</v>
      </c>
      <c r="E405" s="6" t="s">
        <v>1215</v>
      </c>
      <c r="G405" s="4" t="s">
        <v>18</v>
      </c>
      <c r="H405" s="4" t="s">
        <v>2200</v>
      </c>
      <c r="I405" s="2" t="s">
        <v>1285</v>
      </c>
      <c r="J405" s="2" t="s">
        <v>1199</v>
      </c>
      <c r="K405" s="3" t="s">
        <v>1284</v>
      </c>
      <c r="N405" s="4" t="s">
        <v>706</v>
      </c>
      <c r="O405" s="4" t="s">
        <v>2199</v>
      </c>
      <c r="P405" s="2" t="s">
        <v>1285</v>
      </c>
      <c r="Q405" s="2" t="s">
        <v>1199</v>
      </c>
      <c r="R405" s="3" t="s">
        <v>1284</v>
      </c>
      <c r="U405" s="4" t="s">
        <v>2177</v>
      </c>
      <c r="V405" s="4" t="s">
        <v>2198</v>
      </c>
      <c r="W405" s="2" t="s">
        <v>1285</v>
      </c>
      <c r="X405" s="2" t="s">
        <v>1199</v>
      </c>
      <c r="Y405" s="3" t="s">
        <v>1284</v>
      </c>
    </row>
    <row r="406" spans="1:26" x14ac:dyDescent="0.2">
      <c r="A406" s="4">
        <v>401</v>
      </c>
      <c r="D406" s="6" t="s">
        <v>950</v>
      </c>
      <c r="E406" s="6" t="s">
        <v>1215</v>
      </c>
      <c r="G406" s="4" t="s">
        <v>18</v>
      </c>
      <c r="H406" s="4" t="s">
        <v>2200</v>
      </c>
      <c r="I406" s="2" t="s">
        <v>1283</v>
      </c>
      <c r="J406" s="2" t="s">
        <v>1200</v>
      </c>
      <c r="K406" s="3" t="s">
        <v>1282</v>
      </c>
      <c r="N406" s="4" t="s">
        <v>706</v>
      </c>
      <c r="O406" s="4" t="s">
        <v>2199</v>
      </c>
      <c r="P406" s="2" t="s">
        <v>1283</v>
      </c>
      <c r="Q406" s="2" t="s">
        <v>1200</v>
      </c>
      <c r="R406" s="3" t="s">
        <v>1282</v>
      </c>
      <c r="U406" s="4" t="s">
        <v>2177</v>
      </c>
      <c r="V406" s="4" t="s">
        <v>2198</v>
      </c>
      <c r="W406" s="2" t="s">
        <v>1283</v>
      </c>
      <c r="X406" s="2" t="s">
        <v>1200</v>
      </c>
      <c r="Y406" s="3" t="s">
        <v>1282</v>
      </c>
    </row>
    <row r="407" spans="1:26" x14ac:dyDescent="0.2">
      <c r="A407" s="4">
        <v>402</v>
      </c>
      <c r="D407" s="6" t="s">
        <v>950</v>
      </c>
      <c r="E407" s="6" t="s">
        <v>1215</v>
      </c>
      <c r="G407" s="4" t="s">
        <v>18</v>
      </c>
      <c r="H407" s="4" t="s">
        <v>2200</v>
      </c>
      <c r="I407" s="2" t="s">
        <v>1280</v>
      </c>
      <c r="J407" s="2" t="s">
        <v>59</v>
      </c>
      <c r="K407" s="3" t="s">
        <v>1279</v>
      </c>
      <c r="N407" s="4" t="s">
        <v>706</v>
      </c>
      <c r="O407" s="4" t="s">
        <v>2199</v>
      </c>
      <c r="P407" s="2" t="s">
        <v>1277</v>
      </c>
      <c r="Q407" s="2" t="s">
        <v>1276</v>
      </c>
      <c r="R407" s="3" t="s">
        <v>1275</v>
      </c>
      <c r="U407" s="4" t="s">
        <v>2177</v>
      </c>
      <c r="V407" s="4" t="s">
        <v>2198</v>
      </c>
      <c r="W407" s="2" t="s">
        <v>1273</v>
      </c>
      <c r="X407" s="2" t="s">
        <v>1272</v>
      </c>
      <c r="Y407" s="3" t="s">
        <v>1271</v>
      </c>
    </row>
    <row r="408" spans="1:26" x14ac:dyDescent="0.2">
      <c r="A408" s="4">
        <v>403</v>
      </c>
      <c r="D408" s="6" t="s">
        <v>950</v>
      </c>
      <c r="E408" s="6" t="s">
        <v>1215</v>
      </c>
      <c r="G408" s="4" t="s">
        <v>18</v>
      </c>
      <c r="H408" s="4" t="s">
        <v>2200</v>
      </c>
      <c r="I408" s="2" t="s">
        <v>2183</v>
      </c>
      <c r="J408" s="2" t="s">
        <v>2182</v>
      </c>
      <c r="K408" s="3" t="s">
        <v>2178</v>
      </c>
      <c r="N408" s="4" t="s">
        <v>706</v>
      </c>
      <c r="O408" s="4" t="s">
        <v>2199</v>
      </c>
      <c r="P408" s="2" t="s">
        <v>2180</v>
      </c>
      <c r="Q408" s="2" t="s">
        <v>2179</v>
      </c>
      <c r="R408" s="3" t="s">
        <v>2178</v>
      </c>
      <c r="U408" s="4" t="s">
        <v>2177</v>
      </c>
      <c r="V408" s="4" t="s">
        <v>2198</v>
      </c>
      <c r="W408" s="2" t="s">
        <v>2175</v>
      </c>
      <c r="X408" s="2" t="s">
        <v>2174</v>
      </c>
      <c r="Y408" s="3" t="s">
        <v>2173</v>
      </c>
    </row>
    <row r="409" spans="1:26" x14ac:dyDescent="0.2">
      <c r="A409" s="4">
        <v>404</v>
      </c>
      <c r="C409" s="6" t="s">
        <v>950</v>
      </c>
      <c r="E409" s="6" t="s">
        <v>1215</v>
      </c>
      <c r="G409" s="4" t="s">
        <v>18</v>
      </c>
      <c r="H409" s="4" t="s">
        <v>342</v>
      </c>
      <c r="I409" s="2" t="s">
        <v>969</v>
      </c>
      <c r="J409" s="2" t="s">
        <v>2197</v>
      </c>
      <c r="L409" s="2" t="s">
        <v>1228</v>
      </c>
      <c r="N409" s="4" t="s">
        <v>706</v>
      </c>
      <c r="O409" s="4" t="s">
        <v>811</v>
      </c>
      <c r="P409" s="2" t="s">
        <v>1319</v>
      </c>
      <c r="Q409" s="2" t="s">
        <v>2196</v>
      </c>
      <c r="S409" s="2" t="s">
        <v>1225</v>
      </c>
      <c r="U409" s="4" t="s">
        <v>2177</v>
      </c>
      <c r="V409" s="4" t="s">
        <v>2194</v>
      </c>
      <c r="W409" s="2" t="s">
        <v>1319</v>
      </c>
      <c r="X409" s="2" t="s">
        <v>2195</v>
      </c>
      <c r="Z409" s="2" t="s">
        <v>1222</v>
      </c>
    </row>
    <row r="410" spans="1:26" x14ac:dyDescent="0.2">
      <c r="A410" s="4">
        <v>405</v>
      </c>
      <c r="E410" s="6" t="s">
        <v>1215</v>
      </c>
      <c r="G410" s="4" t="s">
        <v>18</v>
      </c>
      <c r="H410" s="4" t="s">
        <v>342</v>
      </c>
      <c r="I410" s="2" t="s">
        <v>5</v>
      </c>
      <c r="J410" s="2" t="s">
        <v>1168</v>
      </c>
      <c r="N410" s="4" t="s">
        <v>706</v>
      </c>
      <c r="O410" s="4" t="s">
        <v>811</v>
      </c>
      <c r="P410" s="2" t="s">
        <v>702</v>
      </c>
      <c r="Q410" s="2" t="s">
        <v>1168</v>
      </c>
      <c r="U410" s="4" t="s">
        <v>2177</v>
      </c>
      <c r="V410" s="4" t="s">
        <v>2194</v>
      </c>
      <c r="W410" s="2" t="s">
        <v>1700</v>
      </c>
      <c r="X410" s="2" t="s">
        <v>1168</v>
      </c>
    </row>
    <row r="411" spans="1:26" x14ac:dyDescent="0.2">
      <c r="A411" s="4">
        <v>406</v>
      </c>
      <c r="C411" s="6" t="s">
        <v>950</v>
      </c>
      <c r="E411" s="6" t="s">
        <v>1215</v>
      </c>
      <c r="G411" s="4" t="s">
        <v>18</v>
      </c>
      <c r="H411" s="4" t="s">
        <v>2184</v>
      </c>
      <c r="I411" s="2" t="s">
        <v>2193</v>
      </c>
      <c r="J411" s="2" t="s">
        <v>2192</v>
      </c>
      <c r="L411" s="2" t="s">
        <v>2191</v>
      </c>
      <c r="N411" s="4" t="s">
        <v>706</v>
      </c>
      <c r="O411" s="4" t="s">
        <v>2181</v>
      </c>
      <c r="P411" s="2" t="s">
        <v>2190</v>
      </c>
      <c r="Q411" s="2" t="s">
        <v>2189</v>
      </c>
      <c r="S411" s="2" t="s">
        <v>2188</v>
      </c>
      <c r="U411" s="4" t="s">
        <v>2177</v>
      </c>
      <c r="V411" s="4" t="s">
        <v>2176</v>
      </c>
      <c r="W411" s="2" t="s">
        <v>2187</v>
      </c>
      <c r="X411" s="2" t="s">
        <v>2186</v>
      </c>
      <c r="Z411" s="2" t="s">
        <v>2185</v>
      </c>
    </row>
    <row r="412" spans="1:26" x14ac:dyDescent="0.2">
      <c r="A412" s="4">
        <v>407</v>
      </c>
      <c r="E412" s="6" t="s">
        <v>1215</v>
      </c>
      <c r="G412" s="4" t="s">
        <v>18</v>
      </c>
      <c r="H412" s="4" t="s">
        <v>2184</v>
      </c>
      <c r="I412" s="2" t="s">
        <v>1219</v>
      </c>
      <c r="J412" s="2" t="s">
        <v>1220</v>
      </c>
      <c r="N412" s="4" t="s">
        <v>706</v>
      </c>
      <c r="O412" s="4" t="s">
        <v>2181</v>
      </c>
      <c r="P412" s="2" t="s">
        <v>1219</v>
      </c>
      <c r="Q412" s="2" t="s">
        <v>1218</v>
      </c>
      <c r="U412" s="4" t="s">
        <v>2177</v>
      </c>
      <c r="V412" s="4" t="s">
        <v>2176</v>
      </c>
      <c r="W412" s="2" t="s">
        <v>1219</v>
      </c>
      <c r="X412" s="2" t="s">
        <v>1218</v>
      </c>
    </row>
    <row r="413" spans="1:26" x14ac:dyDescent="0.2">
      <c r="A413" s="4">
        <v>408</v>
      </c>
      <c r="D413" s="6" t="s">
        <v>950</v>
      </c>
      <c r="E413" s="6" t="s">
        <v>1215</v>
      </c>
      <c r="G413" s="4" t="s">
        <v>18</v>
      </c>
      <c r="H413" s="4" t="s">
        <v>2184</v>
      </c>
      <c r="I413" s="2" t="s">
        <v>1217</v>
      </c>
      <c r="J413" s="2" t="s">
        <v>933</v>
      </c>
      <c r="K413" s="3">
        <v>100</v>
      </c>
      <c r="N413" s="4" t="s">
        <v>706</v>
      </c>
      <c r="O413" s="4" t="s">
        <v>2181</v>
      </c>
      <c r="P413" s="2" t="s">
        <v>1217</v>
      </c>
      <c r="Q413" s="2" t="s">
        <v>933</v>
      </c>
      <c r="R413" s="3">
        <v>100</v>
      </c>
      <c r="U413" s="4" t="s">
        <v>2177</v>
      </c>
      <c r="V413" s="4" t="s">
        <v>2176</v>
      </c>
      <c r="W413" s="2" t="s">
        <v>1217</v>
      </c>
      <c r="X413" s="2" t="s">
        <v>1216</v>
      </c>
      <c r="Y413" s="3">
        <v>100</v>
      </c>
    </row>
    <row r="414" spans="1:26" x14ac:dyDescent="0.2">
      <c r="A414" s="4">
        <v>409</v>
      </c>
      <c r="D414" s="6" t="s">
        <v>950</v>
      </c>
      <c r="E414" s="6" t="s">
        <v>1215</v>
      </c>
      <c r="G414" s="4" t="s">
        <v>18</v>
      </c>
      <c r="H414" s="4" t="s">
        <v>2184</v>
      </c>
      <c r="I414" s="2" t="s">
        <v>1285</v>
      </c>
      <c r="J414" s="2" t="s">
        <v>1199</v>
      </c>
      <c r="K414" s="3" t="s">
        <v>1284</v>
      </c>
      <c r="N414" s="4" t="s">
        <v>706</v>
      </c>
      <c r="O414" s="4" t="s">
        <v>2181</v>
      </c>
      <c r="P414" s="2" t="s">
        <v>1285</v>
      </c>
      <c r="Q414" s="2" t="s">
        <v>1199</v>
      </c>
      <c r="R414" s="3" t="s">
        <v>1284</v>
      </c>
      <c r="U414" s="4" t="s">
        <v>2177</v>
      </c>
      <c r="V414" s="4" t="s">
        <v>2176</v>
      </c>
      <c r="W414" s="2" t="s">
        <v>1285</v>
      </c>
      <c r="X414" s="2" t="s">
        <v>1199</v>
      </c>
      <c r="Y414" s="3" t="s">
        <v>1284</v>
      </c>
    </row>
    <row r="415" spans="1:26" x14ac:dyDescent="0.2">
      <c r="A415" s="4">
        <v>410</v>
      </c>
      <c r="D415" s="6" t="s">
        <v>950</v>
      </c>
      <c r="E415" s="6" t="s">
        <v>1215</v>
      </c>
      <c r="G415" s="4" t="s">
        <v>18</v>
      </c>
      <c r="H415" s="4" t="s">
        <v>2184</v>
      </c>
      <c r="I415" s="2" t="s">
        <v>1283</v>
      </c>
      <c r="J415" s="2" t="s">
        <v>1200</v>
      </c>
      <c r="K415" s="3" t="s">
        <v>1282</v>
      </c>
      <c r="N415" s="4" t="s">
        <v>706</v>
      </c>
      <c r="O415" s="4" t="s">
        <v>2181</v>
      </c>
      <c r="P415" s="2" t="s">
        <v>1283</v>
      </c>
      <c r="Q415" s="2" t="s">
        <v>1200</v>
      </c>
      <c r="R415" s="3" t="s">
        <v>1282</v>
      </c>
      <c r="U415" s="4" t="s">
        <v>2177</v>
      </c>
      <c r="V415" s="4" t="s">
        <v>2176</v>
      </c>
      <c r="W415" s="2" t="s">
        <v>1283</v>
      </c>
      <c r="X415" s="2" t="s">
        <v>1200</v>
      </c>
      <c r="Y415" s="3" t="s">
        <v>1282</v>
      </c>
    </row>
    <row r="416" spans="1:26" x14ac:dyDescent="0.2">
      <c r="A416" s="4">
        <v>411</v>
      </c>
      <c r="D416" s="6" t="s">
        <v>950</v>
      </c>
      <c r="E416" s="6" t="s">
        <v>1215</v>
      </c>
      <c r="G416" s="4" t="s">
        <v>18</v>
      </c>
      <c r="H416" s="4" t="s">
        <v>2184</v>
      </c>
      <c r="I416" s="2" t="s">
        <v>1280</v>
      </c>
      <c r="J416" s="2" t="s">
        <v>59</v>
      </c>
      <c r="K416" s="3" t="s">
        <v>1279</v>
      </c>
      <c r="N416" s="4" t="s">
        <v>706</v>
      </c>
      <c r="O416" s="4" t="s">
        <v>2181</v>
      </c>
      <c r="P416" s="2" t="s">
        <v>1277</v>
      </c>
      <c r="Q416" s="2" t="s">
        <v>1276</v>
      </c>
      <c r="R416" s="3" t="s">
        <v>1275</v>
      </c>
      <c r="U416" s="4" t="s">
        <v>2177</v>
      </c>
      <c r="V416" s="4" t="s">
        <v>2176</v>
      </c>
      <c r="W416" s="2" t="s">
        <v>1273</v>
      </c>
      <c r="X416" s="2" t="s">
        <v>1272</v>
      </c>
      <c r="Y416" s="3" t="s">
        <v>1271</v>
      </c>
    </row>
    <row r="417" spans="1:26" x14ac:dyDescent="0.2">
      <c r="A417" s="4">
        <v>412</v>
      </c>
      <c r="D417" s="6" t="s">
        <v>950</v>
      </c>
      <c r="E417" s="6" t="s">
        <v>1215</v>
      </c>
      <c r="G417" s="4" t="s">
        <v>18</v>
      </c>
      <c r="H417" s="4" t="s">
        <v>2184</v>
      </c>
      <c r="I417" s="2" t="s">
        <v>2183</v>
      </c>
      <c r="J417" s="2" t="s">
        <v>2182</v>
      </c>
      <c r="K417" s="3" t="s">
        <v>2178</v>
      </c>
      <c r="N417" s="4" t="s">
        <v>706</v>
      </c>
      <c r="O417" s="4" t="s">
        <v>2181</v>
      </c>
      <c r="P417" s="2" t="s">
        <v>2180</v>
      </c>
      <c r="Q417" s="2" t="s">
        <v>2179</v>
      </c>
      <c r="R417" s="3" t="s">
        <v>2178</v>
      </c>
      <c r="U417" s="4" t="s">
        <v>2177</v>
      </c>
      <c r="V417" s="4" t="s">
        <v>2176</v>
      </c>
      <c r="W417" s="2" t="s">
        <v>2175</v>
      </c>
      <c r="X417" s="2" t="s">
        <v>2174</v>
      </c>
      <c r="Y417" s="3" t="s">
        <v>2173</v>
      </c>
    </row>
    <row r="418" spans="1:26" x14ac:dyDescent="0.2">
      <c r="A418" s="4">
        <v>413</v>
      </c>
      <c r="E418" s="6" t="s">
        <v>1385</v>
      </c>
      <c r="G418" s="4" t="s">
        <v>2018</v>
      </c>
      <c r="I418" s="2" t="s">
        <v>230</v>
      </c>
      <c r="J418" s="2" t="s">
        <v>231</v>
      </c>
      <c r="N418" s="4" t="s">
        <v>2017</v>
      </c>
      <c r="P418" s="2" t="s">
        <v>2072</v>
      </c>
      <c r="Q418" s="2" t="s">
        <v>781</v>
      </c>
      <c r="U418" s="4" t="s">
        <v>2016</v>
      </c>
      <c r="W418" s="2" t="s">
        <v>2071</v>
      </c>
      <c r="X418" s="2" t="s">
        <v>2109</v>
      </c>
    </row>
    <row r="419" spans="1:26" ht="25.5" x14ac:dyDescent="0.2">
      <c r="A419" s="4">
        <v>414</v>
      </c>
      <c r="E419" s="6" t="s">
        <v>1385</v>
      </c>
      <c r="G419" s="4" t="s">
        <v>2018</v>
      </c>
      <c r="I419" s="2" t="s">
        <v>230</v>
      </c>
      <c r="J419" s="195" t="s">
        <v>2172</v>
      </c>
      <c r="N419" s="4" t="s">
        <v>2017</v>
      </c>
      <c r="P419" s="2" t="s">
        <v>2072</v>
      </c>
      <c r="Q419" s="2" t="s">
        <v>2171</v>
      </c>
      <c r="U419" s="4" t="s">
        <v>2016</v>
      </c>
      <c r="W419" s="2" t="s">
        <v>2071</v>
      </c>
      <c r="X419" s="2" t="s">
        <v>2170</v>
      </c>
    </row>
    <row r="420" spans="1:26" ht="25.5" x14ac:dyDescent="0.2">
      <c r="A420" s="4">
        <v>415</v>
      </c>
      <c r="E420" s="6" t="s">
        <v>1385</v>
      </c>
      <c r="G420" s="4" t="s">
        <v>2018</v>
      </c>
      <c r="I420" s="2" t="s">
        <v>230</v>
      </c>
      <c r="J420" s="2" t="s">
        <v>2169</v>
      </c>
      <c r="N420" s="4" t="s">
        <v>2017</v>
      </c>
      <c r="P420" s="2" t="s">
        <v>2072</v>
      </c>
      <c r="Q420" s="2" t="s">
        <v>2168</v>
      </c>
      <c r="U420" s="4" t="s">
        <v>2016</v>
      </c>
      <c r="W420" s="2" t="s">
        <v>2071</v>
      </c>
      <c r="X420" s="2" t="s">
        <v>2167</v>
      </c>
    </row>
    <row r="421" spans="1:26" ht="38.25" x14ac:dyDescent="0.2">
      <c r="A421" s="4">
        <v>416</v>
      </c>
      <c r="E421" s="6" t="s">
        <v>1385</v>
      </c>
      <c r="G421" s="4" t="s">
        <v>2018</v>
      </c>
      <c r="I421" s="2" t="s">
        <v>230</v>
      </c>
      <c r="J421" s="2" t="s">
        <v>2166</v>
      </c>
      <c r="N421" s="4" t="s">
        <v>2017</v>
      </c>
      <c r="P421" s="2" t="s">
        <v>2072</v>
      </c>
      <c r="Q421" s="2" t="s">
        <v>2165</v>
      </c>
      <c r="U421" s="4" t="s">
        <v>2016</v>
      </c>
      <c r="W421" s="2" t="s">
        <v>2071</v>
      </c>
      <c r="X421" s="2" t="s">
        <v>2164</v>
      </c>
    </row>
    <row r="422" spans="1:26" ht="25.5" x14ac:dyDescent="0.2">
      <c r="A422" s="4">
        <v>417</v>
      </c>
      <c r="E422" s="6" t="s">
        <v>1385</v>
      </c>
      <c r="G422" s="4" t="s">
        <v>2018</v>
      </c>
      <c r="I422" s="2" t="s">
        <v>230</v>
      </c>
      <c r="J422" s="2" t="s">
        <v>2163</v>
      </c>
      <c r="L422" s="2" t="s">
        <v>1384</v>
      </c>
      <c r="N422" s="4" t="s">
        <v>2017</v>
      </c>
      <c r="P422" s="2" t="s">
        <v>2072</v>
      </c>
      <c r="Q422" s="2" t="s">
        <v>2162</v>
      </c>
      <c r="S422" s="2" t="s">
        <v>1383</v>
      </c>
      <c r="U422" s="4" t="s">
        <v>2016</v>
      </c>
      <c r="W422" s="2" t="s">
        <v>2071</v>
      </c>
      <c r="X422" s="2" t="s">
        <v>2161</v>
      </c>
      <c r="Z422" s="2" t="s">
        <v>1381</v>
      </c>
    </row>
    <row r="423" spans="1:26" x14ac:dyDescent="0.2">
      <c r="A423" s="4">
        <v>418</v>
      </c>
      <c r="E423" s="6" t="s">
        <v>1385</v>
      </c>
      <c r="G423" s="4" t="s">
        <v>2018</v>
      </c>
      <c r="I423" s="2" t="s">
        <v>230</v>
      </c>
      <c r="J423" s="2" t="s">
        <v>235</v>
      </c>
      <c r="N423" s="4" t="s">
        <v>2017</v>
      </c>
      <c r="P423" s="2" t="s">
        <v>2072</v>
      </c>
      <c r="Q423" s="2" t="s">
        <v>783</v>
      </c>
      <c r="U423" s="4" t="s">
        <v>2016</v>
      </c>
      <c r="W423" s="2" t="s">
        <v>2071</v>
      </c>
      <c r="X423" s="2" t="s">
        <v>2160</v>
      </c>
    </row>
    <row r="424" spans="1:26" x14ac:dyDescent="0.2">
      <c r="A424" s="4">
        <v>419</v>
      </c>
      <c r="B424" s="6" t="s">
        <v>1221</v>
      </c>
      <c r="E424" s="6" t="s">
        <v>1215</v>
      </c>
      <c r="G424" s="4" t="s">
        <v>2018</v>
      </c>
      <c r="H424" s="4" t="s">
        <v>2154</v>
      </c>
      <c r="I424" s="2" t="s">
        <v>96</v>
      </c>
      <c r="J424" s="2" t="s">
        <v>951</v>
      </c>
      <c r="L424" s="2" t="s">
        <v>1380</v>
      </c>
      <c r="N424" s="4" t="s">
        <v>2017</v>
      </c>
      <c r="O424" s="4" t="s">
        <v>2149</v>
      </c>
      <c r="P424" s="2" t="s">
        <v>733</v>
      </c>
      <c r="Q424" s="2" t="s">
        <v>951</v>
      </c>
      <c r="S424" s="2" t="s">
        <v>1379</v>
      </c>
      <c r="U424" s="4" t="s">
        <v>2016</v>
      </c>
      <c r="V424" s="4" t="s">
        <v>2148</v>
      </c>
      <c r="W424" s="2" t="s">
        <v>1378</v>
      </c>
      <c r="X424" s="2" t="s">
        <v>951</v>
      </c>
      <c r="Z424" s="2" t="s">
        <v>1377</v>
      </c>
    </row>
    <row r="425" spans="1:26" x14ac:dyDescent="0.2">
      <c r="A425" s="4">
        <v>420</v>
      </c>
      <c r="B425" s="6" t="s">
        <v>1221</v>
      </c>
      <c r="E425" s="6" t="s">
        <v>1215</v>
      </c>
      <c r="G425" s="4" t="s">
        <v>2018</v>
      </c>
      <c r="H425" s="4" t="s">
        <v>2154</v>
      </c>
      <c r="I425" s="2" t="s">
        <v>99</v>
      </c>
      <c r="J425" s="2" t="s">
        <v>951</v>
      </c>
      <c r="L425" s="2" t="s">
        <v>1599</v>
      </c>
      <c r="N425" s="4" t="s">
        <v>2017</v>
      </c>
      <c r="O425" s="4" t="s">
        <v>2149</v>
      </c>
      <c r="P425" s="2" t="s">
        <v>734</v>
      </c>
      <c r="Q425" s="2" t="s">
        <v>951</v>
      </c>
      <c r="S425" s="2" t="s">
        <v>2811</v>
      </c>
      <c r="U425" s="4" t="s">
        <v>2016</v>
      </c>
      <c r="V425" s="4" t="s">
        <v>2148</v>
      </c>
      <c r="W425" s="2" t="s">
        <v>1376</v>
      </c>
      <c r="X425" s="2" t="s">
        <v>951</v>
      </c>
      <c r="Z425" s="2" t="s">
        <v>1598</v>
      </c>
    </row>
    <row r="426" spans="1:26" x14ac:dyDescent="0.2">
      <c r="A426" s="4">
        <v>421</v>
      </c>
      <c r="E426" s="6" t="s">
        <v>1215</v>
      </c>
      <c r="G426" s="4" t="s">
        <v>2018</v>
      </c>
      <c r="H426" s="4" t="s">
        <v>2154</v>
      </c>
      <c r="I426" s="2" t="s">
        <v>101</v>
      </c>
      <c r="J426" s="2" t="s">
        <v>956</v>
      </c>
      <c r="N426" s="4" t="s">
        <v>2017</v>
      </c>
      <c r="O426" s="4" t="s">
        <v>2149</v>
      </c>
      <c r="P426" s="2" t="s">
        <v>735</v>
      </c>
      <c r="Q426" s="2" t="s">
        <v>956</v>
      </c>
      <c r="U426" s="4" t="s">
        <v>2016</v>
      </c>
      <c r="V426" s="4" t="s">
        <v>2148</v>
      </c>
      <c r="W426" s="2" t="s">
        <v>1294</v>
      </c>
      <c r="X426" s="2" t="s">
        <v>956</v>
      </c>
    </row>
    <row r="427" spans="1:26" ht="63.75" x14ac:dyDescent="0.2">
      <c r="A427" s="4">
        <v>422</v>
      </c>
      <c r="D427" s="6" t="s">
        <v>950</v>
      </c>
      <c r="E427" s="6" t="s">
        <v>1215</v>
      </c>
      <c r="G427" s="4" t="s">
        <v>2018</v>
      </c>
      <c r="H427" s="4" t="s">
        <v>2154</v>
      </c>
      <c r="I427" s="2" t="s">
        <v>104</v>
      </c>
      <c r="J427" s="2" t="s">
        <v>1248</v>
      </c>
      <c r="N427" s="4" t="s">
        <v>2017</v>
      </c>
      <c r="O427" s="4" t="s">
        <v>2149</v>
      </c>
      <c r="P427" s="2" t="s">
        <v>736</v>
      </c>
      <c r="Q427" s="2" t="s">
        <v>1246</v>
      </c>
      <c r="U427" s="4" t="s">
        <v>2016</v>
      </c>
      <c r="V427" s="4" t="s">
        <v>2148</v>
      </c>
      <c r="W427" s="2" t="s">
        <v>1595</v>
      </c>
      <c r="X427" s="2" t="s">
        <v>1246</v>
      </c>
    </row>
    <row r="428" spans="1:26" x14ac:dyDescent="0.2">
      <c r="A428" s="4">
        <v>423</v>
      </c>
      <c r="E428" s="6" t="s">
        <v>1215</v>
      </c>
      <c r="G428" s="4" t="s">
        <v>2018</v>
      </c>
      <c r="H428" s="4" t="s">
        <v>2154</v>
      </c>
      <c r="I428" s="2" t="s">
        <v>193</v>
      </c>
      <c r="J428" s="2" t="s">
        <v>1518</v>
      </c>
      <c r="N428" s="4" t="s">
        <v>2017</v>
      </c>
      <c r="O428" s="4" t="s">
        <v>2149</v>
      </c>
      <c r="P428" s="2" t="s">
        <v>769</v>
      </c>
      <c r="Q428" s="2" t="s">
        <v>1593</v>
      </c>
      <c r="U428" s="4" t="s">
        <v>2016</v>
      </c>
      <c r="V428" s="4" t="s">
        <v>2148</v>
      </c>
      <c r="W428" s="2" t="s">
        <v>1515</v>
      </c>
      <c r="X428" s="2" t="s">
        <v>1592</v>
      </c>
    </row>
    <row r="429" spans="1:26" ht="102" x14ac:dyDescent="0.2">
      <c r="A429" s="4">
        <v>424</v>
      </c>
      <c r="D429" s="6" t="s">
        <v>950</v>
      </c>
      <c r="E429" s="6" t="s">
        <v>1215</v>
      </c>
      <c r="G429" s="4" t="s">
        <v>2018</v>
      </c>
      <c r="H429" s="4" t="s">
        <v>2154</v>
      </c>
      <c r="I429" s="2" t="s">
        <v>107</v>
      </c>
      <c r="J429" s="2" t="s">
        <v>1349</v>
      </c>
      <c r="L429" s="18" t="s">
        <v>2840</v>
      </c>
      <c r="N429" s="4" t="s">
        <v>2017</v>
      </c>
      <c r="O429" s="4" t="s">
        <v>2149</v>
      </c>
      <c r="P429" s="2" t="s">
        <v>1589</v>
      </c>
      <c r="Q429" s="2" t="s">
        <v>1349</v>
      </c>
      <c r="S429" s="18" t="s">
        <v>2843</v>
      </c>
      <c r="U429" s="4" t="s">
        <v>2016</v>
      </c>
      <c r="V429" s="4" t="s">
        <v>2148</v>
      </c>
      <c r="W429" s="2" t="s">
        <v>1587</v>
      </c>
      <c r="X429" s="2" t="s">
        <v>1349</v>
      </c>
      <c r="Z429" s="18" t="s">
        <v>2846</v>
      </c>
    </row>
    <row r="430" spans="1:26" ht="89.25" x14ac:dyDescent="0.2">
      <c r="A430" s="4">
        <v>425</v>
      </c>
      <c r="D430" s="6" t="s">
        <v>950</v>
      </c>
      <c r="E430" s="6" t="s">
        <v>1215</v>
      </c>
      <c r="G430" s="4" t="s">
        <v>2018</v>
      </c>
      <c r="H430" s="4" t="s">
        <v>2154</v>
      </c>
      <c r="I430" s="2" t="s">
        <v>2157</v>
      </c>
      <c r="J430" s="2" t="s">
        <v>1349</v>
      </c>
      <c r="L430" s="18" t="s">
        <v>2159</v>
      </c>
      <c r="N430" s="4" t="s">
        <v>2017</v>
      </c>
      <c r="O430" s="4" t="s">
        <v>2149</v>
      </c>
      <c r="P430" s="2" t="s">
        <v>2156</v>
      </c>
      <c r="Q430" s="2" t="s">
        <v>1349</v>
      </c>
      <c r="S430" s="18" t="s">
        <v>2812</v>
      </c>
      <c r="U430" s="4" t="s">
        <v>2016</v>
      </c>
      <c r="V430" s="4" t="s">
        <v>2148</v>
      </c>
      <c r="W430" s="2" t="s">
        <v>2155</v>
      </c>
      <c r="X430" s="2" t="s">
        <v>1349</v>
      </c>
      <c r="Z430" s="18" t="s">
        <v>2158</v>
      </c>
    </row>
    <row r="431" spans="1:26" ht="102" x14ac:dyDescent="0.2">
      <c r="A431" s="4">
        <v>426</v>
      </c>
      <c r="D431" s="6" t="s">
        <v>950</v>
      </c>
      <c r="E431" s="6" t="s">
        <v>1215</v>
      </c>
      <c r="G431" s="4" t="s">
        <v>2018</v>
      </c>
      <c r="H431" s="4" t="s">
        <v>2154</v>
      </c>
      <c r="I431" s="2" t="s">
        <v>1866</v>
      </c>
      <c r="J431" s="2" t="s">
        <v>1349</v>
      </c>
      <c r="L431" s="18" t="s">
        <v>2841</v>
      </c>
      <c r="N431" s="4" t="s">
        <v>2017</v>
      </c>
      <c r="O431" s="4" t="s">
        <v>2149</v>
      </c>
      <c r="P431" s="2" t="s">
        <v>1863</v>
      </c>
      <c r="Q431" s="2" t="s">
        <v>1349</v>
      </c>
      <c r="S431" s="18" t="s">
        <v>2844</v>
      </c>
      <c r="U431" s="4" t="s">
        <v>2016</v>
      </c>
      <c r="V431" s="4" t="s">
        <v>2148</v>
      </c>
      <c r="W431" s="2" t="s">
        <v>1860</v>
      </c>
      <c r="X431" s="2" t="s">
        <v>1349</v>
      </c>
      <c r="Z431" s="18" t="s">
        <v>2847</v>
      </c>
    </row>
    <row r="432" spans="1:26" ht="102" x14ac:dyDescent="0.2">
      <c r="A432" s="4">
        <v>427</v>
      </c>
      <c r="D432" s="6" t="s">
        <v>950</v>
      </c>
      <c r="E432" s="6" t="s">
        <v>1215</v>
      </c>
      <c r="G432" s="4" t="s">
        <v>2018</v>
      </c>
      <c r="H432" s="4" t="s">
        <v>2154</v>
      </c>
      <c r="I432" s="2" t="s">
        <v>2153</v>
      </c>
      <c r="J432" s="2" t="s">
        <v>1349</v>
      </c>
      <c r="L432" s="18" t="s">
        <v>2842</v>
      </c>
      <c r="N432" s="4" t="s">
        <v>2017</v>
      </c>
      <c r="O432" s="4" t="s">
        <v>2149</v>
      </c>
      <c r="P432" s="2" t="s">
        <v>2152</v>
      </c>
      <c r="Q432" s="2" t="s">
        <v>1349</v>
      </c>
      <c r="S432" s="18" t="s">
        <v>2845</v>
      </c>
      <c r="U432" s="4" t="s">
        <v>2016</v>
      </c>
      <c r="V432" s="4" t="s">
        <v>2148</v>
      </c>
      <c r="W432" s="2" t="s">
        <v>2150</v>
      </c>
      <c r="X432" s="2" t="s">
        <v>1349</v>
      </c>
      <c r="Z432" s="18" t="s">
        <v>2848</v>
      </c>
    </row>
    <row r="433" spans="1:26" x14ac:dyDescent="0.2">
      <c r="A433" s="4">
        <v>428</v>
      </c>
      <c r="C433" s="6" t="s">
        <v>950</v>
      </c>
      <c r="E433" s="6" t="s">
        <v>1215</v>
      </c>
      <c r="G433" s="4" t="s">
        <v>2018</v>
      </c>
      <c r="H433" s="4" t="s">
        <v>160</v>
      </c>
      <c r="I433" s="2" t="s">
        <v>969</v>
      </c>
      <c r="J433" s="2" t="s">
        <v>2086</v>
      </c>
      <c r="L433" s="2" t="s">
        <v>1228</v>
      </c>
      <c r="N433" s="4" t="s">
        <v>2017</v>
      </c>
      <c r="O433" s="4" t="s">
        <v>2144</v>
      </c>
      <c r="P433" s="2" t="s">
        <v>1319</v>
      </c>
      <c r="Q433" s="2" t="s">
        <v>2085</v>
      </c>
      <c r="S433" s="2" t="s">
        <v>1225</v>
      </c>
      <c r="U433" s="4" t="s">
        <v>2016</v>
      </c>
      <c r="V433" s="4" t="s">
        <v>2142</v>
      </c>
      <c r="W433" s="2" t="s">
        <v>1319</v>
      </c>
      <c r="X433" s="2" t="s">
        <v>2084</v>
      </c>
      <c r="Z433" s="2" t="s">
        <v>1222</v>
      </c>
    </row>
    <row r="434" spans="1:26" x14ac:dyDescent="0.2">
      <c r="A434" s="4">
        <v>429</v>
      </c>
      <c r="D434" s="6" t="s">
        <v>950</v>
      </c>
      <c r="E434" s="6" t="s">
        <v>1215</v>
      </c>
      <c r="G434" s="4" t="s">
        <v>2018</v>
      </c>
      <c r="H434" s="4" t="s">
        <v>160</v>
      </c>
      <c r="I434" s="2" t="s">
        <v>99</v>
      </c>
      <c r="J434" s="2" t="s">
        <v>951</v>
      </c>
      <c r="N434" s="4" t="s">
        <v>2017</v>
      </c>
      <c r="O434" s="4" t="s">
        <v>2144</v>
      </c>
      <c r="P434" s="2" t="s">
        <v>734</v>
      </c>
      <c r="Q434" s="2" t="s">
        <v>951</v>
      </c>
      <c r="U434" s="4" t="s">
        <v>2016</v>
      </c>
      <c r="V434" s="4" t="s">
        <v>2142</v>
      </c>
      <c r="W434" s="2" t="s">
        <v>1376</v>
      </c>
      <c r="X434" s="2" t="s">
        <v>951</v>
      </c>
    </row>
    <row r="435" spans="1:26" x14ac:dyDescent="0.2">
      <c r="A435" s="4">
        <v>430</v>
      </c>
      <c r="B435" s="6" t="s">
        <v>6</v>
      </c>
      <c r="E435" s="6" t="s">
        <v>1215</v>
      </c>
      <c r="G435" s="4" t="s">
        <v>2018</v>
      </c>
      <c r="H435" s="4" t="s">
        <v>160</v>
      </c>
      <c r="I435" s="2" t="s">
        <v>123</v>
      </c>
      <c r="J435" s="2" t="s">
        <v>1220</v>
      </c>
      <c r="N435" s="4" t="s">
        <v>2017</v>
      </c>
      <c r="O435" s="4" t="s">
        <v>2144</v>
      </c>
      <c r="P435" s="2" t="s">
        <v>123</v>
      </c>
      <c r="Q435" s="2" t="s">
        <v>1218</v>
      </c>
      <c r="U435" s="4" t="s">
        <v>2016</v>
      </c>
      <c r="V435" s="4" t="s">
        <v>2142</v>
      </c>
      <c r="W435" s="2" t="s">
        <v>1247</v>
      </c>
      <c r="X435" s="2" t="s">
        <v>1218</v>
      </c>
    </row>
    <row r="436" spans="1:26" x14ac:dyDescent="0.2">
      <c r="A436" s="4">
        <v>431</v>
      </c>
      <c r="E436" s="6" t="s">
        <v>1215</v>
      </c>
      <c r="G436" s="4" t="s">
        <v>2018</v>
      </c>
      <c r="H436" s="4" t="s">
        <v>160</v>
      </c>
      <c r="I436" s="2" t="s">
        <v>1855</v>
      </c>
      <c r="J436" s="2" t="s">
        <v>939</v>
      </c>
      <c r="N436" s="4" t="s">
        <v>2017</v>
      </c>
      <c r="O436" s="4" t="s">
        <v>2144</v>
      </c>
      <c r="P436" s="2" t="s">
        <v>1853</v>
      </c>
      <c r="Q436" s="2" t="s">
        <v>1854</v>
      </c>
      <c r="U436" s="4" t="s">
        <v>2016</v>
      </c>
      <c r="V436" s="4" t="s">
        <v>2142</v>
      </c>
      <c r="W436" s="2" t="s">
        <v>1853</v>
      </c>
      <c r="X436" s="2" t="s">
        <v>1852</v>
      </c>
    </row>
    <row r="437" spans="1:26" x14ac:dyDescent="0.2">
      <c r="A437" s="4">
        <v>432</v>
      </c>
      <c r="E437" s="6" t="s">
        <v>1215</v>
      </c>
      <c r="G437" s="4" t="s">
        <v>2018</v>
      </c>
      <c r="H437" s="4" t="s">
        <v>160</v>
      </c>
      <c r="I437" s="2" t="s">
        <v>1851</v>
      </c>
      <c r="J437" s="2" t="s">
        <v>941</v>
      </c>
      <c r="N437" s="4" t="s">
        <v>2017</v>
      </c>
      <c r="O437" s="4" t="s">
        <v>2144</v>
      </c>
      <c r="P437" s="2" t="s">
        <v>1850</v>
      </c>
      <c r="Q437" s="2" t="s">
        <v>1849</v>
      </c>
      <c r="U437" s="4" t="s">
        <v>2016</v>
      </c>
      <c r="V437" s="4" t="s">
        <v>2142</v>
      </c>
      <c r="W437" s="2" t="s">
        <v>1848</v>
      </c>
      <c r="X437" s="2" t="s">
        <v>1847</v>
      </c>
    </row>
    <row r="438" spans="1:26" x14ac:dyDescent="0.2">
      <c r="A438" s="4">
        <v>433</v>
      </c>
      <c r="E438" s="6" t="s">
        <v>1215</v>
      </c>
      <c r="G438" s="4" t="s">
        <v>2018</v>
      </c>
      <c r="H438" s="4" t="s">
        <v>160</v>
      </c>
      <c r="I438" s="2" t="s">
        <v>134</v>
      </c>
      <c r="J438" s="2" t="s">
        <v>39</v>
      </c>
      <c r="N438" s="4" t="s">
        <v>2017</v>
      </c>
      <c r="O438" s="4" t="s">
        <v>2144</v>
      </c>
      <c r="P438" s="2" t="s">
        <v>748</v>
      </c>
      <c r="Q438" s="2" t="s">
        <v>1846</v>
      </c>
      <c r="U438" s="4" t="s">
        <v>2016</v>
      </c>
      <c r="V438" s="4" t="s">
        <v>2142</v>
      </c>
      <c r="W438" s="2" t="s">
        <v>1845</v>
      </c>
      <c r="X438" s="2" t="s">
        <v>1844</v>
      </c>
    </row>
    <row r="439" spans="1:26" x14ac:dyDescent="0.2">
      <c r="A439" s="4">
        <v>434</v>
      </c>
      <c r="E439" s="6" t="s">
        <v>1215</v>
      </c>
      <c r="G439" s="4" t="s">
        <v>2018</v>
      </c>
      <c r="H439" s="4" t="s">
        <v>160</v>
      </c>
      <c r="I439" s="2" t="s">
        <v>1837</v>
      </c>
      <c r="J439" s="2" t="s">
        <v>2926</v>
      </c>
      <c r="L439" s="2" t="s">
        <v>1836</v>
      </c>
      <c r="N439" s="4" t="s">
        <v>2017</v>
      </c>
      <c r="O439" s="4" t="s">
        <v>2144</v>
      </c>
      <c r="P439" s="2" t="s">
        <v>1834</v>
      </c>
      <c r="Q439" s="2" t="s">
        <v>1507</v>
      </c>
      <c r="S439" s="2" t="s">
        <v>2147</v>
      </c>
      <c r="U439" s="4" t="s">
        <v>2016</v>
      </c>
      <c r="V439" s="4" t="s">
        <v>2142</v>
      </c>
      <c r="W439" s="2" t="s">
        <v>1831</v>
      </c>
      <c r="X439" s="2" t="s">
        <v>2925</v>
      </c>
      <c r="Z439" s="2" t="s">
        <v>1830</v>
      </c>
    </row>
    <row r="440" spans="1:26" ht="51" x14ac:dyDescent="0.2">
      <c r="A440" s="4">
        <v>435</v>
      </c>
      <c r="E440" s="6" t="s">
        <v>1215</v>
      </c>
      <c r="G440" s="4" t="s">
        <v>2018</v>
      </c>
      <c r="H440" s="4" t="s">
        <v>160</v>
      </c>
      <c r="I440" s="2" t="s">
        <v>2145</v>
      </c>
      <c r="J440" s="2" t="s">
        <v>1509</v>
      </c>
      <c r="L440" s="2" t="s">
        <v>2146</v>
      </c>
      <c r="N440" s="4" t="s">
        <v>2017</v>
      </c>
      <c r="O440" s="4" t="s">
        <v>2144</v>
      </c>
      <c r="P440" s="2" t="s">
        <v>2143</v>
      </c>
      <c r="Q440" s="2" t="s">
        <v>1507</v>
      </c>
      <c r="S440" s="18" t="s">
        <v>2849</v>
      </c>
      <c r="U440" s="4" t="s">
        <v>2016</v>
      </c>
      <c r="V440" s="4" t="s">
        <v>2142</v>
      </c>
      <c r="W440" s="2" t="s">
        <v>2141</v>
      </c>
      <c r="X440" s="2" t="s">
        <v>2925</v>
      </c>
      <c r="Z440" s="18" t="s">
        <v>2850</v>
      </c>
    </row>
    <row r="441" spans="1:26" ht="25.5" x14ac:dyDescent="0.2">
      <c r="A441" s="4">
        <v>436</v>
      </c>
      <c r="B441" s="6" t="s">
        <v>6</v>
      </c>
      <c r="C441" s="6" t="s">
        <v>950</v>
      </c>
      <c r="E441" s="6" t="s">
        <v>1215</v>
      </c>
      <c r="G441" s="4" t="s">
        <v>2018</v>
      </c>
      <c r="H441" s="4" t="s">
        <v>2137</v>
      </c>
      <c r="I441" s="2" t="s">
        <v>2140</v>
      </c>
      <c r="J441" s="2" t="s">
        <v>2133</v>
      </c>
      <c r="L441" s="18" t="s">
        <v>2832</v>
      </c>
      <c r="N441" s="4" t="s">
        <v>2017</v>
      </c>
      <c r="O441" s="4" t="s">
        <v>2136</v>
      </c>
      <c r="P441" s="2" t="s">
        <v>2139</v>
      </c>
      <c r="Q441" s="2" t="s">
        <v>2131</v>
      </c>
      <c r="S441" s="18" t="s">
        <v>2835</v>
      </c>
      <c r="U441" s="4" t="s">
        <v>2016</v>
      </c>
      <c r="V441" s="4" t="s">
        <v>2135</v>
      </c>
      <c r="W441" s="2" t="s">
        <v>2138</v>
      </c>
      <c r="X441" s="2" t="s">
        <v>2129</v>
      </c>
      <c r="Z441" s="18" t="s">
        <v>2833</v>
      </c>
    </row>
    <row r="442" spans="1:26" x14ac:dyDescent="0.2">
      <c r="A442" s="4">
        <v>437</v>
      </c>
      <c r="E442" s="6" t="s">
        <v>1215</v>
      </c>
      <c r="G442" s="4" t="s">
        <v>2018</v>
      </c>
      <c r="H442" s="4" t="s">
        <v>2137</v>
      </c>
      <c r="I442" s="2" t="s">
        <v>1219</v>
      </c>
      <c r="J442" s="2" t="s">
        <v>1220</v>
      </c>
      <c r="N442" s="4" t="s">
        <v>2017</v>
      </c>
      <c r="O442" s="4" t="s">
        <v>2136</v>
      </c>
      <c r="P442" s="2" t="s">
        <v>1219</v>
      </c>
      <c r="Q442" s="2" t="s">
        <v>1218</v>
      </c>
      <c r="U442" s="4" t="s">
        <v>2016</v>
      </c>
      <c r="V442" s="4" t="s">
        <v>2135</v>
      </c>
      <c r="W442" s="2" t="s">
        <v>1219</v>
      </c>
      <c r="X442" s="2" t="s">
        <v>1218</v>
      </c>
    </row>
    <row r="443" spans="1:26" x14ac:dyDescent="0.2">
      <c r="A443" s="4">
        <v>438</v>
      </c>
      <c r="D443" s="6" t="s">
        <v>950</v>
      </c>
      <c r="E443" s="6" t="s">
        <v>1215</v>
      </c>
      <c r="G443" s="4" t="s">
        <v>2018</v>
      </c>
      <c r="H443" s="4" t="s">
        <v>2137</v>
      </c>
      <c r="I443" s="2" t="s">
        <v>1217</v>
      </c>
      <c r="J443" s="2" t="s">
        <v>933</v>
      </c>
      <c r="K443" s="3">
        <v>100</v>
      </c>
      <c r="N443" s="4" t="s">
        <v>2017</v>
      </c>
      <c r="O443" s="4" t="s">
        <v>2136</v>
      </c>
      <c r="P443" s="2" t="s">
        <v>1217</v>
      </c>
      <c r="Q443" s="2" t="s">
        <v>933</v>
      </c>
      <c r="R443" s="3">
        <v>100</v>
      </c>
      <c r="U443" s="4" t="s">
        <v>2016</v>
      </c>
      <c r="V443" s="4" t="s">
        <v>2135</v>
      </c>
      <c r="W443" s="2" t="s">
        <v>1217</v>
      </c>
      <c r="X443" s="2" t="s">
        <v>1216</v>
      </c>
      <c r="Y443" s="3">
        <v>100</v>
      </c>
    </row>
    <row r="444" spans="1:26" x14ac:dyDescent="0.2">
      <c r="A444" s="4">
        <v>439</v>
      </c>
      <c r="D444" s="6" t="s">
        <v>950</v>
      </c>
      <c r="E444" s="6" t="s">
        <v>1215</v>
      </c>
      <c r="G444" s="4" t="s">
        <v>2018</v>
      </c>
      <c r="H444" s="4" t="s">
        <v>2137</v>
      </c>
      <c r="I444" s="2" t="s">
        <v>1285</v>
      </c>
      <c r="J444" s="2" t="s">
        <v>1199</v>
      </c>
      <c r="K444" s="3" t="s">
        <v>86</v>
      </c>
      <c r="N444" s="4" t="s">
        <v>2017</v>
      </c>
      <c r="O444" s="4" t="s">
        <v>2136</v>
      </c>
      <c r="P444" s="2" t="s">
        <v>1285</v>
      </c>
      <c r="Q444" s="2" t="s">
        <v>1199</v>
      </c>
      <c r="R444" s="3" t="s">
        <v>86</v>
      </c>
      <c r="U444" s="4" t="s">
        <v>2016</v>
      </c>
      <c r="V444" s="4" t="s">
        <v>2135</v>
      </c>
      <c r="W444" s="2" t="s">
        <v>1285</v>
      </c>
      <c r="X444" s="2" t="s">
        <v>1199</v>
      </c>
      <c r="Y444" s="3" t="s">
        <v>86</v>
      </c>
    </row>
    <row r="445" spans="1:26" x14ac:dyDescent="0.2">
      <c r="A445" s="4">
        <v>440</v>
      </c>
      <c r="D445" s="6" t="s">
        <v>950</v>
      </c>
      <c r="E445" s="6" t="s">
        <v>1215</v>
      </c>
      <c r="G445" s="4" t="s">
        <v>2018</v>
      </c>
      <c r="H445" s="4" t="s">
        <v>2137</v>
      </c>
      <c r="I445" s="2" t="s">
        <v>1283</v>
      </c>
      <c r="J445" s="2" t="s">
        <v>1200</v>
      </c>
      <c r="K445" s="3" t="s">
        <v>90</v>
      </c>
      <c r="N445" s="4" t="s">
        <v>2017</v>
      </c>
      <c r="O445" s="4" t="s">
        <v>2136</v>
      </c>
      <c r="P445" s="2" t="s">
        <v>1283</v>
      </c>
      <c r="Q445" s="2" t="s">
        <v>1200</v>
      </c>
      <c r="R445" s="3" t="s">
        <v>90</v>
      </c>
      <c r="U445" s="4" t="s">
        <v>2016</v>
      </c>
      <c r="V445" s="4" t="s">
        <v>2135</v>
      </c>
      <c r="W445" s="2" t="s">
        <v>1283</v>
      </c>
      <c r="X445" s="2" t="s">
        <v>1200</v>
      </c>
      <c r="Y445" s="3" t="s">
        <v>90</v>
      </c>
    </row>
    <row r="446" spans="1:26" ht="25.5" x14ac:dyDescent="0.2">
      <c r="A446" s="4">
        <v>441</v>
      </c>
      <c r="B446" s="6" t="s">
        <v>6</v>
      </c>
      <c r="C446" s="6" t="s">
        <v>950</v>
      </c>
      <c r="E446" s="6" t="s">
        <v>1215</v>
      </c>
      <c r="G446" s="4" t="s">
        <v>2018</v>
      </c>
      <c r="H446" s="4" t="s">
        <v>2128</v>
      </c>
      <c r="I446" s="2" t="s">
        <v>2134</v>
      </c>
      <c r="J446" s="2" t="s">
        <v>2133</v>
      </c>
      <c r="L446" s="2" t="s">
        <v>1820</v>
      </c>
      <c r="N446" s="4" t="s">
        <v>2017</v>
      </c>
      <c r="O446" s="4" t="s">
        <v>2127</v>
      </c>
      <c r="P446" s="2" t="s">
        <v>2132</v>
      </c>
      <c r="Q446" s="2" t="s">
        <v>2131</v>
      </c>
      <c r="S446" s="2" t="s">
        <v>1817</v>
      </c>
      <c r="U446" s="4" t="s">
        <v>2016</v>
      </c>
      <c r="V446" s="4" t="s">
        <v>2126</v>
      </c>
      <c r="W446" s="2" t="s">
        <v>2130</v>
      </c>
      <c r="X446" s="2" t="s">
        <v>2129</v>
      </c>
      <c r="Z446" s="2" t="s">
        <v>1814</v>
      </c>
    </row>
    <row r="447" spans="1:26" x14ac:dyDescent="0.2">
      <c r="A447" s="4">
        <v>442</v>
      </c>
      <c r="D447" s="6" t="s">
        <v>950</v>
      </c>
      <c r="E447" s="6" t="s">
        <v>1215</v>
      </c>
      <c r="G447" s="4" t="s">
        <v>2018</v>
      </c>
      <c r="H447" s="4" t="s">
        <v>2128</v>
      </c>
      <c r="I447" s="2" t="s">
        <v>1217</v>
      </c>
      <c r="J447" s="2" t="s">
        <v>933</v>
      </c>
      <c r="K447" s="3">
        <v>0</v>
      </c>
      <c r="N447" s="4" t="s">
        <v>2017</v>
      </c>
      <c r="O447" s="4" t="s">
        <v>2127</v>
      </c>
      <c r="P447" s="2" t="s">
        <v>1217</v>
      </c>
      <c r="Q447" s="2" t="s">
        <v>933</v>
      </c>
      <c r="R447" s="3">
        <v>0</v>
      </c>
      <c r="U447" s="4" t="s">
        <v>2016</v>
      </c>
      <c r="V447" s="4" t="s">
        <v>2126</v>
      </c>
      <c r="W447" s="2" t="s">
        <v>1217</v>
      </c>
      <c r="X447" s="2" t="s">
        <v>1216</v>
      </c>
      <c r="Y447" s="3">
        <v>0</v>
      </c>
    </row>
    <row r="448" spans="1:26" x14ac:dyDescent="0.2">
      <c r="A448" s="4">
        <v>443</v>
      </c>
      <c r="B448" s="6" t="s">
        <v>1221</v>
      </c>
      <c r="C448" s="6" t="s">
        <v>950</v>
      </c>
      <c r="E448" s="6" t="s">
        <v>1215</v>
      </c>
      <c r="G448" s="4" t="s">
        <v>2018</v>
      </c>
      <c r="H448" s="4" t="s">
        <v>2122</v>
      </c>
      <c r="I448" s="2" t="s">
        <v>969</v>
      </c>
      <c r="J448" s="2" t="s">
        <v>2086</v>
      </c>
      <c r="L448" s="2" t="s">
        <v>1806</v>
      </c>
      <c r="N448" s="4" t="s">
        <v>2017</v>
      </c>
      <c r="O448" s="4" t="s">
        <v>2121</v>
      </c>
      <c r="P448" s="2" t="s">
        <v>1319</v>
      </c>
      <c r="Q448" s="2" t="s">
        <v>2085</v>
      </c>
      <c r="S448" s="2" t="s">
        <v>1805</v>
      </c>
      <c r="U448" s="4" t="s">
        <v>2016</v>
      </c>
      <c r="V448" s="4" t="s">
        <v>2120</v>
      </c>
      <c r="W448" s="2" t="s">
        <v>1319</v>
      </c>
      <c r="X448" s="2" t="s">
        <v>2084</v>
      </c>
      <c r="Z448" s="2" t="s">
        <v>1804</v>
      </c>
    </row>
    <row r="449" spans="1:26" x14ac:dyDescent="0.2">
      <c r="A449" s="4">
        <v>444</v>
      </c>
      <c r="B449" s="6" t="s">
        <v>1221</v>
      </c>
      <c r="E449" s="6" t="s">
        <v>1215</v>
      </c>
      <c r="G449" s="4" t="s">
        <v>2018</v>
      </c>
      <c r="H449" s="4" t="s">
        <v>2122</v>
      </c>
      <c r="I449" s="2" t="s">
        <v>96</v>
      </c>
      <c r="J449" s="2" t="s">
        <v>951</v>
      </c>
      <c r="L449" s="2" t="s">
        <v>1380</v>
      </c>
      <c r="N449" s="4" t="s">
        <v>2017</v>
      </c>
      <c r="O449" s="4" t="s">
        <v>2121</v>
      </c>
      <c r="P449" s="2" t="s">
        <v>733</v>
      </c>
      <c r="Q449" s="2" t="s">
        <v>951</v>
      </c>
      <c r="S449" s="2" t="s">
        <v>1379</v>
      </c>
      <c r="U449" s="4" t="s">
        <v>2016</v>
      </c>
      <c r="V449" s="4" t="s">
        <v>2120</v>
      </c>
      <c r="W449" s="2" t="s">
        <v>1378</v>
      </c>
      <c r="X449" s="2" t="s">
        <v>951</v>
      </c>
      <c r="Z449" s="2" t="s">
        <v>1377</v>
      </c>
    </row>
    <row r="450" spans="1:26" x14ac:dyDescent="0.2">
      <c r="A450" s="4">
        <v>445</v>
      </c>
      <c r="B450" s="6" t="s">
        <v>1221</v>
      </c>
      <c r="E450" s="6" t="s">
        <v>1215</v>
      </c>
      <c r="G450" s="4" t="s">
        <v>2018</v>
      </c>
      <c r="H450" s="4" t="s">
        <v>2122</v>
      </c>
      <c r="I450" s="2" t="s">
        <v>121</v>
      </c>
      <c r="J450" s="2" t="s">
        <v>951</v>
      </c>
      <c r="N450" s="4" t="s">
        <v>2017</v>
      </c>
      <c r="O450" s="4" t="s">
        <v>2121</v>
      </c>
      <c r="P450" s="2" t="s">
        <v>742</v>
      </c>
      <c r="Q450" s="2" t="s">
        <v>951</v>
      </c>
      <c r="U450" s="4" t="s">
        <v>2016</v>
      </c>
      <c r="V450" s="4" t="s">
        <v>2120</v>
      </c>
      <c r="W450" s="2" t="s">
        <v>742</v>
      </c>
      <c r="X450" s="2" t="s">
        <v>951</v>
      </c>
    </row>
    <row r="451" spans="1:26" ht="25.5" x14ac:dyDescent="0.2">
      <c r="A451" s="4">
        <v>446</v>
      </c>
      <c r="D451" s="6" t="s">
        <v>950</v>
      </c>
      <c r="E451" s="6" t="s">
        <v>1215</v>
      </c>
      <c r="G451" s="4" t="s">
        <v>2018</v>
      </c>
      <c r="H451" s="4" t="s">
        <v>2122</v>
      </c>
      <c r="I451" s="2" t="s">
        <v>2081</v>
      </c>
      <c r="J451" s="2" t="s">
        <v>1047</v>
      </c>
      <c r="L451" s="2" t="s">
        <v>2083</v>
      </c>
      <c r="N451" s="4" t="s">
        <v>2017</v>
      </c>
      <c r="O451" s="4" t="s">
        <v>2121</v>
      </c>
      <c r="P451" s="2" t="s">
        <v>2081</v>
      </c>
      <c r="Q451" s="2" t="s">
        <v>1047</v>
      </c>
      <c r="S451" s="2" t="s">
        <v>2813</v>
      </c>
      <c r="U451" s="4" t="s">
        <v>2016</v>
      </c>
      <c r="V451" s="4" t="s">
        <v>2120</v>
      </c>
      <c r="W451" s="2" t="s">
        <v>2081</v>
      </c>
      <c r="X451" s="2" t="s">
        <v>1047</v>
      </c>
      <c r="Z451" s="2" t="s">
        <v>2082</v>
      </c>
    </row>
    <row r="452" spans="1:26" ht="51" x14ac:dyDescent="0.2">
      <c r="A452" s="4">
        <v>447</v>
      </c>
      <c r="E452" s="6" t="s">
        <v>1215</v>
      </c>
      <c r="G452" s="4" t="s">
        <v>2018</v>
      </c>
      <c r="H452" s="4" t="s">
        <v>2122</v>
      </c>
      <c r="I452" s="2" t="s">
        <v>193</v>
      </c>
      <c r="J452" s="2" t="s">
        <v>2933</v>
      </c>
      <c r="L452" s="18" t="s">
        <v>2851</v>
      </c>
      <c r="N452" s="4" t="s">
        <v>2017</v>
      </c>
      <c r="O452" s="4" t="s">
        <v>2121</v>
      </c>
      <c r="P452" s="2" t="s">
        <v>769</v>
      </c>
      <c r="Q452" s="2" t="s">
        <v>2934</v>
      </c>
      <c r="S452" s="18" t="s">
        <v>2852</v>
      </c>
      <c r="U452" s="4" t="s">
        <v>2016</v>
      </c>
      <c r="V452" s="4" t="s">
        <v>2120</v>
      </c>
      <c r="W452" s="2" t="s">
        <v>1515</v>
      </c>
      <c r="X452" s="2" t="s">
        <v>2935</v>
      </c>
      <c r="Z452" s="18" t="s">
        <v>2853</v>
      </c>
    </row>
    <row r="453" spans="1:26" ht="25.5" x14ac:dyDescent="0.2">
      <c r="A453" s="4">
        <v>448</v>
      </c>
      <c r="E453" s="6" t="s">
        <v>1215</v>
      </c>
      <c r="G453" s="4" t="s">
        <v>2018</v>
      </c>
      <c r="H453" s="4" t="s">
        <v>2122</v>
      </c>
      <c r="I453" s="2" t="s">
        <v>2075</v>
      </c>
      <c r="J453" s="2" t="s">
        <v>2936</v>
      </c>
      <c r="L453" s="2" t="s">
        <v>2125</v>
      </c>
      <c r="N453" s="4" t="s">
        <v>2017</v>
      </c>
      <c r="O453" s="4" t="s">
        <v>2121</v>
      </c>
      <c r="P453" s="2" t="s">
        <v>2074</v>
      </c>
      <c r="Q453" s="2" t="s">
        <v>2937</v>
      </c>
      <c r="S453" s="2" t="s">
        <v>2814</v>
      </c>
      <c r="U453" s="4" t="s">
        <v>2016</v>
      </c>
      <c r="V453" s="4" t="s">
        <v>2120</v>
      </c>
      <c r="W453" s="2" t="s">
        <v>2073</v>
      </c>
      <c r="X453" s="2" t="s">
        <v>2938</v>
      </c>
      <c r="Z453" s="2" t="s">
        <v>2076</v>
      </c>
    </row>
    <row r="454" spans="1:26" ht="51" x14ac:dyDescent="0.2">
      <c r="A454" s="4">
        <v>449</v>
      </c>
      <c r="E454" s="6" t="s">
        <v>1215</v>
      </c>
      <c r="G454" s="4" t="s">
        <v>2018</v>
      </c>
      <c r="H454" s="4" t="s">
        <v>2122</v>
      </c>
      <c r="I454" s="2" t="s">
        <v>1212</v>
      </c>
      <c r="J454" s="2" t="s">
        <v>230</v>
      </c>
      <c r="L454" s="2" t="s">
        <v>2124</v>
      </c>
      <c r="N454" s="4" t="s">
        <v>2017</v>
      </c>
      <c r="O454" s="4" t="s">
        <v>2121</v>
      </c>
      <c r="P454" s="2" t="s">
        <v>1208</v>
      </c>
      <c r="Q454" s="2" t="s">
        <v>2072</v>
      </c>
      <c r="S454" s="2" t="s">
        <v>2815</v>
      </c>
      <c r="U454" s="4" t="s">
        <v>2016</v>
      </c>
      <c r="V454" s="4" t="s">
        <v>2120</v>
      </c>
      <c r="W454" s="2" t="s">
        <v>1204</v>
      </c>
      <c r="X454" s="2" t="s">
        <v>2071</v>
      </c>
      <c r="Z454" s="2" t="s">
        <v>2123</v>
      </c>
    </row>
    <row r="455" spans="1:26" ht="25.5" x14ac:dyDescent="0.2">
      <c r="A455" s="4">
        <v>450</v>
      </c>
      <c r="D455" s="6" t="s">
        <v>950</v>
      </c>
      <c r="E455" s="6" t="s">
        <v>1215</v>
      </c>
      <c r="G455" s="4" t="s">
        <v>2018</v>
      </c>
      <c r="H455" s="4" t="s">
        <v>2122</v>
      </c>
      <c r="I455" s="2" t="s">
        <v>2068</v>
      </c>
      <c r="J455" s="2" t="s">
        <v>2014</v>
      </c>
      <c r="N455" s="4" t="s">
        <v>2017</v>
      </c>
      <c r="O455" s="4" t="s">
        <v>2121</v>
      </c>
      <c r="P455" s="2" t="s">
        <v>2066</v>
      </c>
      <c r="Q455" s="2" t="s">
        <v>2014</v>
      </c>
      <c r="U455" s="4" t="s">
        <v>2016</v>
      </c>
      <c r="V455" s="4" t="s">
        <v>2120</v>
      </c>
      <c r="W455" s="2" t="s">
        <v>2066</v>
      </c>
      <c r="X455" s="2" t="s">
        <v>2014</v>
      </c>
    </row>
    <row r="456" spans="1:26" ht="25.5" x14ac:dyDescent="0.2">
      <c r="A456" s="4">
        <v>451</v>
      </c>
      <c r="C456" s="6" t="s">
        <v>950</v>
      </c>
      <c r="E456" s="6" t="s">
        <v>1215</v>
      </c>
      <c r="G456" s="4" t="s">
        <v>2018</v>
      </c>
      <c r="H456" s="4" t="s">
        <v>2116</v>
      </c>
      <c r="I456" s="2" t="s">
        <v>2119</v>
      </c>
      <c r="J456" s="2" t="s">
        <v>2098</v>
      </c>
      <c r="L456" s="18" t="s">
        <v>2854</v>
      </c>
      <c r="N456" s="4" t="s">
        <v>2017</v>
      </c>
      <c r="O456" s="4" t="s">
        <v>2114</v>
      </c>
      <c r="P456" s="2" t="s">
        <v>2118</v>
      </c>
      <c r="Q456" s="2" t="s">
        <v>2096</v>
      </c>
      <c r="S456" s="18" t="s">
        <v>2855</v>
      </c>
      <c r="U456" s="4" t="s">
        <v>2016</v>
      </c>
      <c r="V456" s="4" t="s">
        <v>2113</v>
      </c>
      <c r="W456" s="2" t="s">
        <v>2117</v>
      </c>
      <c r="X456" s="2" t="s">
        <v>2094</v>
      </c>
      <c r="Z456" s="18" t="s">
        <v>2856</v>
      </c>
    </row>
    <row r="457" spans="1:26" x14ac:dyDescent="0.2">
      <c r="A457" s="4">
        <v>452</v>
      </c>
      <c r="E457" s="6" t="s">
        <v>1215</v>
      </c>
      <c r="G457" s="4" t="s">
        <v>2018</v>
      </c>
      <c r="H457" s="4" t="s">
        <v>2116</v>
      </c>
      <c r="I457" s="2" t="s">
        <v>1219</v>
      </c>
      <c r="J457" s="2" t="s">
        <v>1220</v>
      </c>
      <c r="N457" s="4" t="s">
        <v>2017</v>
      </c>
      <c r="O457" s="4" t="s">
        <v>2114</v>
      </c>
      <c r="P457" s="2" t="s">
        <v>1219</v>
      </c>
      <c r="Q457" s="2" t="s">
        <v>1218</v>
      </c>
      <c r="U457" s="4" t="s">
        <v>2016</v>
      </c>
      <c r="V457" s="4" t="s">
        <v>2113</v>
      </c>
      <c r="W457" s="2" t="s">
        <v>1219</v>
      </c>
      <c r="X457" s="2" t="s">
        <v>1218</v>
      </c>
    </row>
    <row r="458" spans="1:26" x14ac:dyDescent="0.2">
      <c r="A458" s="4">
        <v>453</v>
      </c>
      <c r="D458" s="6" t="s">
        <v>950</v>
      </c>
      <c r="E458" s="6" t="s">
        <v>1215</v>
      </c>
      <c r="G458" s="4" t="s">
        <v>2018</v>
      </c>
      <c r="H458" s="4" t="s">
        <v>2116</v>
      </c>
      <c r="I458" s="2" t="s">
        <v>1217</v>
      </c>
      <c r="J458" s="2" t="s">
        <v>933</v>
      </c>
      <c r="K458" s="3">
        <v>100</v>
      </c>
      <c r="N458" s="4" t="s">
        <v>2017</v>
      </c>
      <c r="O458" s="4" t="s">
        <v>2114</v>
      </c>
      <c r="P458" s="2" t="s">
        <v>1217</v>
      </c>
      <c r="Q458" s="2" t="s">
        <v>933</v>
      </c>
      <c r="R458" s="3">
        <v>100</v>
      </c>
      <c r="U458" s="4" t="s">
        <v>2016</v>
      </c>
      <c r="V458" s="4" t="s">
        <v>2113</v>
      </c>
      <c r="W458" s="2" t="s">
        <v>1217</v>
      </c>
      <c r="X458" s="2" t="s">
        <v>1216</v>
      </c>
      <c r="Y458" s="3">
        <v>100</v>
      </c>
    </row>
    <row r="459" spans="1:26" x14ac:dyDescent="0.2">
      <c r="A459" s="4">
        <v>454</v>
      </c>
      <c r="D459" s="6" t="s">
        <v>950</v>
      </c>
      <c r="E459" s="6" t="s">
        <v>1215</v>
      </c>
      <c r="G459" s="4" t="s">
        <v>2018</v>
      </c>
      <c r="H459" s="4" t="s">
        <v>2116</v>
      </c>
      <c r="I459" s="2" t="s">
        <v>1285</v>
      </c>
      <c r="J459" s="2" t="s">
        <v>1199</v>
      </c>
      <c r="K459" s="3" t="s">
        <v>1284</v>
      </c>
      <c r="N459" s="4" t="s">
        <v>2017</v>
      </c>
      <c r="O459" s="4" t="s">
        <v>2114</v>
      </c>
      <c r="P459" s="2" t="s">
        <v>1285</v>
      </c>
      <c r="Q459" s="2" t="s">
        <v>1199</v>
      </c>
      <c r="R459" s="3" t="s">
        <v>1284</v>
      </c>
      <c r="U459" s="4" t="s">
        <v>2016</v>
      </c>
      <c r="V459" s="4" t="s">
        <v>2113</v>
      </c>
      <c r="W459" s="2" t="s">
        <v>1285</v>
      </c>
      <c r="X459" s="2" t="s">
        <v>1199</v>
      </c>
      <c r="Y459" s="3" t="s">
        <v>1284</v>
      </c>
    </row>
    <row r="460" spans="1:26" x14ac:dyDescent="0.2">
      <c r="A460" s="4">
        <v>455</v>
      </c>
      <c r="D460" s="6" t="s">
        <v>950</v>
      </c>
      <c r="E460" s="6" t="s">
        <v>1215</v>
      </c>
      <c r="G460" s="4" t="s">
        <v>2018</v>
      </c>
      <c r="H460" s="4" t="s">
        <v>2116</v>
      </c>
      <c r="I460" s="2" t="s">
        <v>1283</v>
      </c>
      <c r="J460" s="2" t="s">
        <v>1200</v>
      </c>
      <c r="K460" s="3" t="s">
        <v>1282</v>
      </c>
      <c r="N460" s="4" t="s">
        <v>2017</v>
      </c>
      <c r="O460" s="4" t="s">
        <v>2114</v>
      </c>
      <c r="P460" s="2" t="s">
        <v>1283</v>
      </c>
      <c r="Q460" s="2" t="s">
        <v>1200</v>
      </c>
      <c r="R460" s="3" t="s">
        <v>1282</v>
      </c>
      <c r="U460" s="4" t="s">
        <v>2016</v>
      </c>
      <c r="V460" s="4" t="s">
        <v>2113</v>
      </c>
      <c r="W460" s="2" t="s">
        <v>1283</v>
      </c>
      <c r="X460" s="2" t="s">
        <v>1200</v>
      </c>
      <c r="Y460" s="3" t="s">
        <v>1282</v>
      </c>
    </row>
    <row r="461" spans="1:26" x14ac:dyDescent="0.2">
      <c r="A461" s="4">
        <v>456</v>
      </c>
      <c r="D461" s="6" t="s">
        <v>950</v>
      </c>
      <c r="E461" s="6" t="s">
        <v>1215</v>
      </c>
      <c r="G461" s="4" t="s">
        <v>2018</v>
      </c>
      <c r="H461" s="4" t="s">
        <v>2116</v>
      </c>
      <c r="I461" s="2" t="s">
        <v>1280</v>
      </c>
      <c r="J461" s="2" t="s">
        <v>59</v>
      </c>
      <c r="K461" s="3" t="s">
        <v>1279</v>
      </c>
      <c r="N461" s="4" t="s">
        <v>2017</v>
      </c>
      <c r="O461" s="4" t="s">
        <v>2114</v>
      </c>
      <c r="P461" s="2" t="s">
        <v>1277</v>
      </c>
      <c r="Q461" s="2" t="s">
        <v>1276</v>
      </c>
      <c r="R461" s="3" t="s">
        <v>1275</v>
      </c>
      <c r="U461" s="4" t="s">
        <v>2016</v>
      </c>
      <c r="V461" s="4" t="s">
        <v>2113</v>
      </c>
      <c r="W461" s="2" t="s">
        <v>1273</v>
      </c>
      <c r="X461" s="2" t="s">
        <v>1272</v>
      </c>
      <c r="Y461" s="3" t="s">
        <v>1271</v>
      </c>
    </row>
    <row r="462" spans="1:26" ht="38.25" x14ac:dyDescent="0.2">
      <c r="A462" s="4">
        <v>457</v>
      </c>
      <c r="D462" s="6" t="s">
        <v>950</v>
      </c>
      <c r="E462" s="6" t="s">
        <v>1215</v>
      </c>
      <c r="G462" s="4" t="s">
        <v>2018</v>
      </c>
      <c r="H462" s="4" t="s">
        <v>2116</v>
      </c>
      <c r="I462" s="2" t="s">
        <v>1445</v>
      </c>
      <c r="J462" s="2" t="s">
        <v>1255</v>
      </c>
      <c r="L462" s="2" t="s">
        <v>2115</v>
      </c>
      <c r="N462" s="4" t="s">
        <v>2017</v>
      </c>
      <c r="O462" s="4" t="s">
        <v>2114</v>
      </c>
      <c r="P462" s="2" t="s">
        <v>1443</v>
      </c>
      <c r="Q462" s="2" t="s">
        <v>1252</v>
      </c>
      <c r="S462" s="2" t="s">
        <v>2056</v>
      </c>
      <c r="U462" s="4" t="s">
        <v>2016</v>
      </c>
      <c r="V462" s="4" t="s">
        <v>2113</v>
      </c>
      <c r="W462" s="2" t="s">
        <v>1441</v>
      </c>
      <c r="X462" s="2" t="s">
        <v>1252</v>
      </c>
      <c r="Z462" s="2" t="s">
        <v>2054</v>
      </c>
    </row>
    <row r="463" spans="1:26" x14ac:dyDescent="0.2">
      <c r="A463" s="4">
        <v>458</v>
      </c>
      <c r="C463" s="6" t="s">
        <v>950</v>
      </c>
      <c r="E463" s="6" t="s">
        <v>1215</v>
      </c>
      <c r="G463" s="4" t="s">
        <v>2018</v>
      </c>
      <c r="H463" s="4" t="s">
        <v>2108</v>
      </c>
      <c r="I463" s="2" t="s">
        <v>2112</v>
      </c>
      <c r="J463" s="2" t="s">
        <v>2098</v>
      </c>
      <c r="L463" s="18" t="s">
        <v>2052</v>
      </c>
      <c r="N463" s="4" t="s">
        <v>2017</v>
      </c>
      <c r="O463" s="4" t="s">
        <v>2107</v>
      </c>
      <c r="P463" s="2" t="s">
        <v>2111</v>
      </c>
      <c r="Q463" s="2" t="s">
        <v>2096</v>
      </c>
      <c r="S463" s="2" t="s">
        <v>2050</v>
      </c>
      <c r="U463" s="4" t="s">
        <v>2016</v>
      </c>
      <c r="V463" s="4" t="s">
        <v>2106</v>
      </c>
      <c r="W463" s="2" t="s">
        <v>2110</v>
      </c>
      <c r="X463" s="2" t="s">
        <v>2094</v>
      </c>
      <c r="Z463" s="18" t="s">
        <v>2048</v>
      </c>
    </row>
    <row r="464" spans="1:26" ht="25.5" x14ac:dyDescent="0.2">
      <c r="A464" s="4">
        <v>459</v>
      </c>
      <c r="D464" s="6" t="s">
        <v>950</v>
      </c>
      <c r="E464" s="6" t="s">
        <v>1215</v>
      </c>
      <c r="G464" s="4" t="s">
        <v>2018</v>
      </c>
      <c r="H464" s="4" t="s">
        <v>2108</v>
      </c>
      <c r="I464" s="2" t="s">
        <v>2024</v>
      </c>
      <c r="J464" s="2" t="s">
        <v>951</v>
      </c>
      <c r="L464" s="2" t="s">
        <v>2093</v>
      </c>
      <c r="N464" s="4" t="s">
        <v>2017</v>
      </c>
      <c r="O464" s="4" t="s">
        <v>2107</v>
      </c>
      <c r="P464" s="2" t="s">
        <v>2023</v>
      </c>
      <c r="Q464" s="2" t="s">
        <v>951</v>
      </c>
      <c r="S464" s="2" t="s">
        <v>2092</v>
      </c>
      <c r="U464" s="4" t="s">
        <v>2016</v>
      </c>
      <c r="V464" s="4" t="s">
        <v>2106</v>
      </c>
      <c r="W464" s="2" t="s">
        <v>2022</v>
      </c>
      <c r="X464" s="2" t="s">
        <v>951</v>
      </c>
      <c r="Z464" s="2" t="s">
        <v>2091</v>
      </c>
    </row>
    <row r="465" spans="1:26" ht="102" x14ac:dyDescent="0.2">
      <c r="A465" s="4">
        <v>460</v>
      </c>
      <c r="D465" s="6" t="s">
        <v>950</v>
      </c>
      <c r="E465" s="6" t="s">
        <v>1215</v>
      </c>
      <c r="G465" s="4" t="s">
        <v>2018</v>
      </c>
      <c r="H465" s="4" t="s">
        <v>2108</v>
      </c>
      <c r="I465" s="2" t="s">
        <v>123</v>
      </c>
      <c r="J465" s="2" t="s">
        <v>2939</v>
      </c>
      <c r="L465" s="2" t="s">
        <v>2021</v>
      </c>
      <c r="N465" s="4" t="s">
        <v>2017</v>
      </c>
      <c r="O465" s="4" t="s">
        <v>2107</v>
      </c>
      <c r="P465" s="2" t="s">
        <v>123</v>
      </c>
      <c r="Q465" s="2" t="s">
        <v>2940</v>
      </c>
      <c r="S465" s="2" t="s">
        <v>2020</v>
      </c>
      <c r="U465" s="4" t="s">
        <v>2016</v>
      </c>
      <c r="V465" s="4" t="s">
        <v>2106</v>
      </c>
      <c r="W465" s="2" t="s">
        <v>1247</v>
      </c>
      <c r="X465" s="2" t="s">
        <v>2941</v>
      </c>
      <c r="Z465" s="2" t="s">
        <v>2040</v>
      </c>
    </row>
    <row r="466" spans="1:26" x14ac:dyDescent="0.2">
      <c r="A466" s="4">
        <v>461</v>
      </c>
      <c r="E466" s="6" t="s">
        <v>1215</v>
      </c>
      <c r="G466" s="4" t="s">
        <v>2018</v>
      </c>
      <c r="H466" s="4" t="s">
        <v>2108</v>
      </c>
      <c r="I466" s="2" t="s">
        <v>270</v>
      </c>
      <c r="J466" s="2" t="s">
        <v>2014</v>
      </c>
      <c r="N466" s="4" t="s">
        <v>2017</v>
      </c>
      <c r="O466" s="4" t="s">
        <v>2107</v>
      </c>
      <c r="P466" s="2" t="s">
        <v>792</v>
      </c>
      <c r="Q466" s="2" t="s">
        <v>2014</v>
      </c>
      <c r="U466" s="4" t="s">
        <v>2016</v>
      </c>
      <c r="V466" s="4" t="s">
        <v>2106</v>
      </c>
      <c r="W466" s="2" t="s">
        <v>792</v>
      </c>
      <c r="X466" s="2" t="s">
        <v>2014</v>
      </c>
    </row>
    <row r="467" spans="1:26" ht="25.5" x14ac:dyDescent="0.2">
      <c r="A467" s="4">
        <v>462</v>
      </c>
      <c r="C467" s="6" t="s">
        <v>950</v>
      </c>
      <c r="E467" s="6" t="s">
        <v>1215</v>
      </c>
      <c r="G467" s="4" t="s">
        <v>2018</v>
      </c>
      <c r="H467" s="4" t="s">
        <v>2102</v>
      </c>
      <c r="I467" s="2" t="s">
        <v>2105</v>
      </c>
      <c r="J467" s="2" t="s">
        <v>2098</v>
      </c>
      <c r="L467" s="18" t="s">
        <v>2857</v>
      </c>
      <c r="N467" s="4" t="s">
        <v>2017</v>
      </c>
      <c r="O467" s="4" t="s">
        <v>2101</v>
      </c>
      <c r="P467" s="2" t="s">
        <v>2104</v>
      </c>
      <c r="Q467" s="2" t="s">
        <v>2096</v>
      </c>
      <c r="S467" s="18" t="s">
        <v>2858</v>
      </c>
      <c r="U467" s="4" t="s">
        <v>2016</v>
      </c>
      <c r="V467" s="4" t="s">
        <v>2100</v>
      </c>
      <c r="W467" s="2" t="s">
        <v>2103</v>
      </c>
      <c r="X467" s="2" t="s">
        <v>2094</v>
      </c>
      <c r="Z467" s="18" t="s">
        <v>2859</v>
      </c>
    </row>
    <row r="468" spans="1:26" ht="25.5" x14ac:dyDescent="0.2">
      <c r="A468" s="4">
        <v>463</v>
      </c>
      <c r="D468" s="6" t="s">
        <v>950</v>
      </c>
      <c r="E468" s="6" t="s">
        <v>1215</v>
      </c>
      <c r="G468" s="4" t="s">
        <v>2018</v>
      </c>
      <c r="H468" s="4" t="s">
        <v>2102</v>
      </c>
      <c r="I468" s="2" t="s">
        <v>2024</v>
      </c>
      <c r="J468" s="2" t="s">
        <v>951</v>
      </c>
      <c r="L468" s="2" t="s">
        <v>2093</v>
      </c>
      <c r="N468" s="4" t="s">
        <v>2017</v>
      </c>
      <c r="O468" s="4" t="s">
        <v>2101</v>
      </c>
      <c r="P468" s="2" t="s">
        <v>2023</v>
      </c>
      <c r="Q468" s="2" t="s">
        <v>951</v>
      </c>
      <c r="S468" s="2" t="s">
        <v>2092</v>
      </c>
      <c r="U468" s="4" t="s">
        <v>2016</v>
      </c>
      <c r="V468" s="4" t="s">
        <v>2100</v>
      </c>
      <c r="W468" s="2" t="s">
        <v>2022</v>
      </c>
      <c r="X468" s="2" t="s">
        <v>951</v>
      </c>
      <c r="Z468" s="2" t="s">
        <v>2091</v>
      </c>
    </row>
    <row r="469" spans="1:26" ht="102" x14ac:dyDescent="0.2">
      <c r="A469" s="4">
        <v>464</v>
      </c>
      <c r="D469" s="6" t="s">
        <v>950</v>
      </c>
      <c r="E469" s="6" t="s">
        <v>1215</v>
      </c>
      <c r="G469" s="4" t="s">
        <v>2018</v>
      </c>
      <c r="H469" s="4" t="s">
        <v>2102</v>
      </c>
      <c r="I469" s="2" t="s">
        <v>123</v>
      </c>
      <c r="J469" s="2" t="s">
        <v>2939</v>
      </c>
      <c r="L469" s="2" t="s">
        <v>2021</v>
      </c>
      <c r="N469" s="4" t="s">
        <v>2017</v>
      </c>
      <c r="O469" s="4" t="s">
        <v>2101</v>
      </c>
      <c r="P469" s="2" t="s">
        <v>123</v>
      </c>
      <c r="Q469" s="2" t="s">
        <v>2940</v>
      </c>
      <c r="S469" s="2" t="s">
        <v>2020</v>
      </c>
      <c r="U469" s="4" t="s">
        <v>2016</v>
      </c>
      <c r="V469" s="4" t="s">
        <v>2100</v>
      </c>
      <c r="W469" s="2" t="s">
        <v>1247</v>
      </c>
      <c r="X469" s="2" t="s">
        <v>2941</v>
      </c>
      <c r="Z469" s="2" t="s">
        <v>2040</v>
      </c>
    </row>
    <row r="470" spans="1:26" x14ac:dyDescent="0.2">
      <c r="A470" s="4">
        <v>465</v>
      </c>
      <c r="E470" s="6" t="s">
        <v>1215</v>
      </c>
      <c r="G470" s="4" t="s">
        <v>2018</v>
      </c>
      <c r="H470" s="4" t="s">
        <v>2102</v>
      </c>
      <c r="I470" s="2" t="s">
        <v>270</v>
      </c>
      <c r="J470" s="2" t="s">
        <v>2014</v>
      </c>
      <c r="N470" s="4" t="s">
        <v>2017</v>
      </c>
      <c r="O470" s="4" t="s">
        <v>2101</v>
      </c>
      <c r="P470" s="2" t="s">
        <v>792</v>
      </c>
      <c r="Q470" s="2" t="s">
        <v>2014</v>
      </c>
      <c r="U470" s="4" t="s">
        <v>2016</v>
      </c>
      <c r="V470" s="4" t="s">
        <v>2100</v>
      </c>
      <c r="W470" s="2" t="s">
        <v>792</v>
      </c>
      <c r="X470" s="2" t="s">
        <v>2014</v>
      </c>
    </row>
    <row r="471" spans="1:26" x14ac:dyDescent="0.2">
      <c r="A471" s="4">
        <v>466</v>
      </c>
      <c r="C471" s="6" t="s">
        <v>950</v>
      </c>
      <c r="E471" s="6" t="s">
        <v>1215</v>
      </c>
      <c r="G471" s="4" t="s">
        <v>2018</v>
      </c>
      <c r="H471" s="4" t="s">
        <v>2089</v>
      </c>
      <c r="I471" s="2" t="s">
        <v>2099</v>
      </c>
      <c r="J471" s="2" t="s">
        <v>2098</v>
      </c>
      <c r="L471" s="2" t="s">
        <v>2034</v>
      </c>
      <c r="N471" s="4" t="s">
        <v>2017</v>
      </c>
      <c r="O471" s="4" t="s">
        <v>2088</v>
      </c>
      <c r="P471" s="2" t="s">
        <v>2097</v>
      </c>
      <c r="Q471" s="2" t="s">
        <v>2096</v>
      </c>
      <c r="S471" s="2" t="s">
        <v>2031</v>
      </c>
      <c r="U471" s="4" t="s">
        <v>2016</v>
      </c>
      <c r="V471" s="4" t="s">
        <v>2087</v>
      </c>
      <c r="W471" s="2" t="s">
        <v>2095</v>
      </c>
      <c r="X471" s="2" t="s">
        <v>2094</v>
      </c>
      <c r="Z471" s="2" t="s">
        <v>2028</v>
      </c>
    </row>
    <row r="472" spans="1:26" ht="25.5" x14ac:dyDescent="0.2">
      <c r="A472" s="4">
        <v>467</v>
      </c>
      <c r="D472" s="6" t="s">
        <v>950</v>
      </c>
      <c r="E472" s="6" t="s">
        <v>1215</v>
      </c>
      <c r="G472" s="4" t="s">
        <v>2018</v>
      </c>
      <c r="H472" s="4" t="s">
        <v>2089</v>
      </c>
      <c r="I472" s="2" t="s">
        <v>2024</v>
      </c>
      <c r="J472" s="2" t="s">
        <v>951</v>
      </c>
      <c r="L472" s="2" t="s">
        <v>2093</v>
      </c>
      <c r="N472" s="4" t="s">
        <v>2017</v>
      </c>
      <c r="O472" s="4" t="s">
        <v>2088</v>
      </c>
      <c r="P472" s="2" t="s">
        <v>2023</v>
      </c>
      <c r="Q472" s="2" t="s">
        <v>951</v>
      </c>
      <c r="S472" s="2" t="s">
        <v>2092</v>
      </c>
      <c r="U472" s="4" t="s">
        <v>2016</v>
      </c>
      <c r="V472" s="4" t="s">
        <v>2087</v>
      </c>
      <c r="W472" s="2" t="s">
        <v>2022</v>
      </c>
      <c r="X472" s="2" t="s">
        <v>951</v>
      </c>
      <c r="Z472" s="2" t="s">
        <v>2091</v>
      </c>
    </row>
    <row r="473" spans="1:26" ht="102" x14ac:dyDescent="0.2">
      <c r="A473" s="4">
        <v>468</v>
      </c>
      <c r="D473" s="6" t="s">
        <v>950</v>
      </c>
      <c r="E473" s="6" t="s">
        <v>1215</v>
      </c>
      <c r="G473" s="4" t="s">
        <v>2018</v>
      </c>
      <c r="H473" s="4" t="s">
        <v>2089</v>
      </c>
      <c r="I473" s="2" t="s">
        <v>123</v>
      </c>
      <c r="J473" s="2" t="s">
        <v>2939</v>
      </c>
      <c r="L473" s="2" t="s">
        <v>2090</v>
      </c>
      <c r="N473" s="4" t="s">
        <v>2017</v>
      </c>
      <c r="O473" s="4" t="s">
        <v>2088</v>
      </c>
      <c r="P473" s="2" t="s">
        <v>123</v>
      </c>
      <c r="Q473" s="2" t="s">
        <v>2940</v>
      </c>
      <c r="S473" s="2" t="s">
        <v>2020</v>
      </c>
      <c r="U473" s="4" t="s">
        <v>2016</v>
      </c>
      <c r="V473" s="4" t="s">
        <v>2087</v>
      </c>
      <c r="W473" s="2" t="s">
        <v>1247</v>
      </c>
      <c r="X473" s="2" t="s">
        <v>2941</v>
      </c>
      <c r="Z473" s="2" t="s">
        <v>2019</v>
      </c>
    </row>
    <row r="474" spans="1:26" x14ac:dyDescent="0.2">
      <c r="A474" s="4">
        <v>469</v>
      </c>
      <c r="E474" s="6" t="s">
        <v>1215</v>
      </c>
      <c r="G474" s="4" t="s">
        <v>2018</v>
      </c>
      <c r="H474" s="4" t="s">
        <v>2089</v>
      </c>
      <c r="I474" s="2" t="s">
        <v>270</v>
      </c>
      <c r="J474" s="2" t="s">
        <v>2014</v>
      </c>
      <c r="N474" s="4" t="s">
        <v>2017</v>
      </c>
      <c r="O474" s="4" t="s">
        <v>2088</v>
      </c>
      <c r="P474" s="2" t="s">
        <v>792</v>
      </c>
      <c r="Q474" s="2" t="s">
        <v>2014</v>
      </c>
      <c r="U474" s="4" t="s">
        <v>2016</v>
      </c>
      <c r="V474" s="4" t="s">
        <v>2087</v>
      </c>
      <c r="W474" s="2" t="s">
        <v>792</v>
      </c>
      <c r="X474" s="2" t="s">
        <v>2014</v>
      </c>
    </row>
    <row r="475" spans="1:26" x14ac:dyDescent="0.2">
      <c r="A475" s="4">
        <v>470</v>
      </c>
      <c r="C475" s="6" t="s">
        <v>950</v>
      </c>
      <c r="E475" s="6" t="s">
        <v>1215</v>
      </c>
      <c r="G475" s="4" t="s">
        <v>2018</v>
      </c>
      <c r="H475" s="4" t="s">
        <v>239</v>
      </c>
      <c r="I475" s="2" t="s">
        <v>969</v>
      </c>
      <c r="J475" s="2" t="s">
        <v>2086</v>
      </c>
      <c r="L475" s="2" t="s">
        <v>1794</v>
      </c>
      <c r="N475" s="4" t="s">
        <v>2017</v>
      </c>
      <c r="O475" s="4" t="s">
        <v>786</v>
      </c>
      <c r="P475" s="2" t="s">
        <v>1319</v>
      </c>
      <c r="Q475" s="2" t="s">
        <v>2085</v>
      </c>
      <c r="S475" s="2" t="s">
        <v>1792</v>
      </c>
      <c r="U475" s="4" t="s">
        <v>2016</v>
      </c>
      <c r="V475" s="4" t="s">
        <v>2067</v>
      </c>
      <c r="W475" s="2" t="s">
        <v>1319</v>
      </c>
      <c r="X475" s="2" t="s">
        <v>2084</v>
      </c>
      <c r="Z475" s="2" t="s">
        <v>1790</v>
      </c>
    </row>
    <row r="476" spans="1:26" x14ac:dyDescent="0.2">
      <c r="A476" s="4">
        <v>471</v>
      </c>
      <c r="B476" s="6" t="s">
        <v>1221</v>
      </c>
      <c r="E476" s="6" t="s">
        <v>1215</v>
      </c>
      <c r="G476" s="4" t="s">
        <v>2018</v>
      </c>
      <c r="H476" s="4" t="s">
        <v>239</v>
      </c>
      <c r="I476" s="2" t="s">
        <v>96</v>
      </c>
      <c r="J476" s="2" t="s">
        <v>951</v>
      </c>
      <c r="L476" s="2" t="s">
        <v>1380</v>
      </c>
      <c r="N476" s="4" t="s">
        <v>2017</v>
      </c>
      <c r="O476" s="4" t="s">
        <v>786</v>
      </c>
      <c r="P476" s="2" t="s">
        <v>733</v>
      </c>
      <c r="Q476" s="2" t="s">
        <v>951</v>
      </c>
      <c r="S476" s="2" t="s">
        <v>1379</v>
      </c>
      <c r="U476" s="4" t="s">
        <v>2016</v>
      </c>
      <c r="V476" s="4" t="s">
        <v>2067</v>
      </c>
      <c r="W476" s="2" t="s">
        <v>1378</v>
      </c>
      <c r="X476" s="2" t="s">
        <v>951</v>
      </c>
      <c r="Z476" s="2" t="s">
        <v>1377</v>
      </c>
    </row>
    <row r="477" spans="1:26" x14ac:dyDescent="0.2">
      <c r="A477" s="4">
        <v>472</v>
      </c>
      <c r="B477" s="6" t="s">
        <v>1221</v>
      </c>
      <c r="E477" s="6" t="s">
        <v>1215</v>
      </c>
      <c r="G477" s="4" t="s">
        <v>2018</v>
      </c>
      <c r="H477" s="4" t="s">
        <v>239</v>
      </c>
      <c r="I477" s="2" t="s">
        <v>121</v>
      </c>
      <c r="J477" s="2" t="s">
        <v>951</v>
      </c>
      <c r="N477" s="4" t="s">
        <v>2017</v>
      </c>
      <c r="O477" s="4" t="s">
        <v>786</v>
      </c>
      <c r="P477" s="2" t="s">
        <v>742</v>
      </c>
      <c r="Q477" s="2" t="s">
        <v>951</v>
      </c>
      <c r="U477" s="4" t="s">
        <v>2016</v>
      </c>
      <c r="V477" s="4" t="s">
        <v>2067</v>
      </c>
      <c r="W477" s="2" t="s">
        <v>742</v>
      </c>
      <c r="X477" s="2" t="s">
        <v>951</v>
      </c>
    </row>
    <row r="478" spans="1:26" ht="25.5" x14ac:dyDescent="0.2">
      <c r="A478" s="4">
        <v>473</v>
      </c>
      <c r="D478" s="6" t="s">
        <v>950</v>
      </c>
      <c r="E478" s="6" t="s">
        <v>1215</v>
      </c>
      <c r="G478" s="4" t="s">
        <v>2018</v>
      </c>
      <c r="H478" s="4" t="s">
        <v>239</v>
      </c>
      <c r="I478" s="2" t="s">
        <v>2081</v>
      </c>
      <c r="J478" s="2" t="s">
        <v>1047</v>
      </c>
      <c r="L478" s="2" t="s">
        <v>2083</v>
      </c>
      <c r="N478" s="4" t="s">
        <v>2017</v>
      </c>
      <c r="O478" s="4" t="s">
        <v>786</v>
      </c>
      <c r="P478" s="2" t="s">
        <v>2081</v>
      </c>
      <c r="Q478" s="2" t="s">
        <v>1047</v>
      </c>
      <c r="S478" s="2" t="s">
        <v>2813</v>
      </c>
      <c r="U478" s="4" t="s">
        <v>2016</v>
      </c>
      <c r="V478" s="4" t="s">
        <v>2067</v>
      </c>
      <c r="W478" s="2" t="s">
        <v>2081</v>
      </c>
      <c r="X478" s="2" t="s">
        <v>1047</v>
      </c>
      <c r="Z478" s="2" t="s">
        <v>2082</v>
      </c>
    </row>
    <row r="479" spans="1:26" ht="25.5" x14ac:dyDescent="0.2">
      <c r="A479" s="4">
        <v>474</v>
      </c>
      <c r="E479" s="6" t="s">
        <v>1215</v>
      </c>
      <c r="G479" s="4" t="s">
        <v>2018</v>
      </c>
      <c r="H479" s="4" t="s">
        <v>239</v>
      </c>
      <c r="I479" s="2" t="s">
        <v>193</v>
      </c>
      <c r="J479" s="2" t="s">
        <v>2933</v>
      </c>
      <c r="L479" s="2" t="s">
        <v>2080</v>
      </c>
      <c r="N479" s="4" t="s">
        <v>2017</v>
      </c>
      <c r="O479" s="4" t="s">
        <v>786</v>
      </c>
      <c r="P479" s="2" t="s">
        <v>769</v>
      </c>
      <c r="Q479" s="2" t="s">
        <v>2934</v>
      </c>
      <c r="S479" s="2" t="s">
        <v>2079</v>
      </c>
      <c r="U479" s="4" t="s">
        <v>2016</v>
      </c>
      <c r="V479" s="4" t="s">
        <v>2067</v>
      </c>
      <c r="W479" s="2" t="s">
        <v>1515</v>
      </c>
      <c r="X479" s="2" t="s">
        <v>2935</v>
      </c>
      <c r="Z479" s="2" t="s">
        <v>2078</v>
      </c>
    </row>
    <row r="480" spans="1:26" ht="25.5" x14ac:dyDescent="0.2">
      <c r="A480" s="4">
        <v>475</v>
      </c>
      <c r="E480" s="6" t="s">
        <v>1215</v>
      </c>
      <c r="G480" s="4" t="s">
        <v>2018</v>
      </c>
      <c r="H480" s="4" t="s">
        <v>239</v>
      </c>
      <c r="I480" s="2" t="s">
        <v>2075</v>
      </c>
      <c r="J480" s="2" t="s">
        <v>2936</v>
      </c>
      <c r="L480" s="2" t="s">
        <v>2077</v>
      </c>
      <c r="N480" s="4" t="s">
        <v>2017</v>
      </c>
      <c r="O480" s="4" t="s">
        <v>786</v>
      </c>
      <c r="P480" s="2" t="s">
        <v>2074</v>
      </c>
      <c r="Q480" s="2" t="s">
        <v>2937</v>
      </c>
      <c r="S480" s="2" t="s">
        <v>2814</v>
      </c>
      <c r="U480" s="4" t="s">
        <v>2016</v>
      </c>
      <c r="V480" s="4" t="s">
        <v>2067</v>
      </c>
      <c r="W480" s="2" t="s">
        <v>2073</v>
      </c>
      <c r="X480" s="2" t="s">
        <v>2938</v>
      </c>
      <c r="Z480" s="2" t="s">
        <v>2076</v>
      </c>
    </row>
    <row r="481" spans="1:26" x14ac:dyDescent="0.2">
      <c r="A481" s="4">
        <v>476</v>
      </c>
      <c r="E481" s="6" t="s">
        <v>1215</v>
      </c>
      <c r="G481" s="4" t="s">
        <v>2018</v>
      </c>
      <c r="H481" s="4" t="s">
        <v>239</v>
      </c>
      <c r="I481" s="2" t="s">
        <v>1212</v>
      </c>
      <c r="J481" s="2" t="s">
        <v>230</v>
      </c>
      <c r="N481" s="4" t="s">
        <v>2017</v>
      </c>
      <c r="O481" s="4" t="s">
        <v>786</v>
      </c>
      <c r="P481" s="2" t="s">
        <v>1208</v>
      </c>
      <c r="Q481" s="2" t="s">
        <v>2072</v>
      </c>
      <c r="U481" s="4" t="s">
        <v>2016</v>
      </c>
      <c r="V481" s="4" t="s">
        <v>2067</v>
      </c>
      <c r="W481" s="2" t="s">
        <v>1204</v>
      </c>
      <c r="X481" s="2" t="s">
        <v>2071</v>
      </c>
    </row>
    <row r="482" spans="1:26" ht="51" x14ac:dyDescent="0.2">
      <c r="A482" s="4">
        <v>477</v>
      </c>
      <c r="D482" s="6" t="s">
        <v>950</v>
      </c>
      <c r="E482" s="6" t="s">
        <v>1215</v>
      </c>
      <c r="G482" s="4" t="s">
        <v>2018</v>
      </c>
      <c r="H482" s="4" t="s">
        <v>239</v>
      </c>
      <c r="I482" s="2" t="s">
        <v>2068</v>
      </c>
      <c r="J482" s="2" t="s">
        <v>2014</v>
      </c>
      <c r="L482" s="2" t="s">
        <v>2070</v>
      </c>
      <c r="N482" s="4" t="s">
        <v>2017</v>
      </c>
      <c r="O482" s="4" t="s">
        <v>786</v>
      </c>
      <c r="P482" s="2" t="s">
        <v>2066</v>
      </c>
      <c r="Q482" s="2" t="s">
        <v>2014</v>
      </c>
      <c r="S482" s="2" t="s">
        <v>2816</v>
      </c>
      <c r="U482" s="4" t="s">
        <v>2016</v>
      </c>
      <c r="V482" s="4" t="s">
        <v>2067</v>
      </c>
      <c r="W482" s="2" t="s">
        <v>2066</v>
      </c>
      <c r="X482" s="2" t="s">
        <v>2014</v>
      </c>
      <c r="Z482" s="2" t="s">
        <v>2069</v>
      </c>
    </row>
    <row r="483" spans="1:26" x14ac:dyDescent="0.2">
      <c r="A483" s="4">
        <v>478</v>
      </c>
      <c r="C483" s="6" t="s">
        <v>950</v>
      </c>
      <c r="E483" s="6" t="s">
        <v>1215</v>
      </c>
      <c r="G483" s="4" t="s">
        <v>2018</v>
      </c>
      <c r="H483" s="4" t="s">
        <v>2059</v>
      </c>
      <c r="I483" s="2" t="s">
        <v>2065</v>
      </c>
      <c r="J483" s="2" t="s">
        <v>2035</v>
      </c>
      <c r="L483" s="2" t="s">
        <v>2064</v>
      </c>
      <c r="N483" s="4" t="s">
        <v>2017</v>
      </c>
      <c r="O483" s="4" t="s">
        <v>2057</v>
      </c>
      <c r="P483" s="2" t="s">
        <v>2063</v>
      </c>
      <c r="Q483" s="2" t="s">
        <v>2032</v>
      </c>
      <c r="S483" s="2" t="s">
        <v>2062</v>
      </c>
      <c r="U483" s="4" t="s">
        <v>2016</v>
      </c>
      <c r="V483" s="4" t="s">
        <v>2055</v>
      </c>
      <c r="W483" s="2" t="s">
        <v>2061</v>
      </c>
      <c r="X483" s="2" t="s">
        <v>2029</v>
      </c>
      <c r="Z483" s="2" t="s">
        <v>2060</v>
      </c>
    </row>
    <row r="484" spans="1:26" x14ac:dyDescent="0.2">
      <c r="A484" s="4">
        <v>479</v>
      </c>
      <c r="E484" s="6" t="s">
        <v>1215</v>
      </c>
      <c r="G484" s="4" t="s">
        <v>2018</v>
      </c>
      <c r="H484" s="4" t="s">
        <v>2059</v>
      </c>
      <c r="I484" s="2" t="s">
        <v>1219</v>
      </c>
      <c r="J484" s="2" t="s">
        <v>1220</v>
      </c>
      <c r="N484" s="4" t="s">
        <v>2017</v>
      </c>
      <c r="O484" s="4" t="s">
        <v>2057</v>
      </c>
      <c r="P484" s="2" t="s">
        <v>1219</v>
      </c>
      <c r="Q484" s="2" t="s">
        <v>1218</v>
      </c>
      <c r="U484" s="4" t="s">
        <v>2016</v>
      </c>
      <c r="V484" s="4" t="s">
        <v>2055</v>
      </c>
      <c r="W484" s="2" t="s">
        <v>1219</v>
      </c>
      <c r="X484" s="2" t="s">
        <v>1218</v>
      </c>
    </row>
    <row r="485" spans="1:26" x14ac:dyDescent="0.2">
      <c r="A485" s="4">
        <v>480</v>
      </c>
      <c r="D485" s="6" t="s">
        <v>950</v>
      </c>
      <c r="E485" s="6" t="s">
        <v>1215</v>
      </c>
      <c r="G485" s="4" t="s">
        <v>2018</v>
      </c>
      <c r="H485" s="4" t="s">
        <v>2059</v>
      </c>
      <c r="I485" s="2" t="s">
        <v>1217</v>
      </c>
      <c r="J485" s="2" t="s">
        <v>933</v>
      </c>
      <c r="K485" s="3">
        <v>100</v>
      </c>
      <c r="N485" s="4" t="s">
        <v>2017</v>
      </c>
      <c r="O485" s="4" t="s">
        <v>2057</v>
      </c>
      <c r="P485" s="2" t="s">
        <v>1217</v>
      </c>
      <c r="Q485" s="2" t="s">
        <v>933</v>
      </c>
      <c r="R485" s="3">
        <v>100</v>
      </c>
      <c r="U485" s="4" t="s">
        <v>2016</v>
      </c>
      <c r="V485" s="4" t="s">
        <v>2055</v>
      </c>
      <c r="W485" s="2" t="s">
        <v>1217</v>
      </c>
      <c r="X485" s="2" t="s">
        <v>1216</v>
      </c>
      <c r="Y485" s="3">
        <v>100</v>
      </c>
    </row>
    <row r="486" spans="1:26" x14ac:dyDescent="0.2">
      <c r="A486" s="4">
        <v>481</v>
      </c>
      <c r="D486" s="6" t="s">
        <v>950</v>
      </c>
      <c r="E486" s="6" t="s">
        <v>1215</v>
      </c>
      <c r="G486" s="4" t="s">
        <v>2018</v>
      </c>
      <c r="H486" s="4" t="s">
        <v>2059</v>
      </c>
      <c r="I486" s="2" t="s">
        <v>1285</v>
      </c>
      <c r="J486" s="2" t="s">
        <v>1199</v>
      </c>
      <c r="K486" s="3" t="s">
        <v>1284</v>
      </c>
      <c r="N486" s="4" t="s">
        <v>2017</v>
      </c>
      <c r="O486" s="4" t="s">
        <v>2057</v>
      </c>
      <c r="P486" s="2" t="s">
        <v>1285</v>
      </c>
      <c r="Q486" s="2" t="s">
        <v>1199</v>
      </c>
      <c r="R486" s="3" t="s">
        <v>1284</v>
      </c>
      <c r="U486" s="4" t="s">
        <v>2016</v>
      </c>
      <c r="V486" s="4" t="s">
        <v>2055</v>
      </c>
      <c r="W486" s="2" t="s">
        <v>1285</v>
      </c>
      <c r="X486" s="2" t="s">
        <v>1199</v>
      </c>
      <c r="Y486" s="3" t="s">
        <v>1284</v>
      </c>
    </row>
    <row r="487" spans="1:26" x14ac:dyDescent="0.2">
      <c r="A487" s="4">
        <v>482</v>
      </c>
      <c r="D487" s="6" t="s">
        <v>950</v>
      </c>
      <c r="E487" s="6" t="s">
        <v>1215</v>
      </c>
      <c r="G487" s="4" t="s">
        <v>2018</v>
      </c>
      <c r="H487" s="4" t="s">
        <v>2059</v>
      </c>
      <c r="I487" s="2" t="s">
        <v>1283</v>
      </c>
      <c r="J487" s="2" t="s">
        <v>1200</v>
      </c>
      <c r="K487" s="3" t="s">
        <v>1282</v>
      </c>
      <c r="N487" s="4" t="s">
        <v>2017</v>
      </c>
      <c r="O487" s="4" t="s">
        <v>2057</v>
      </c>
      <c r="P487" s="2" t="s">
        <v>1283</v>
      </c>
      <c r="Q487" s="2" t="s">
        <v>1200</v>
      </c>
      <c r="R487" s="3" t="s">
        <v>1282</v>
      </c>
      <c r="U487" s="4" t="s">
        <v>2016</v>
      </c>
      <c r="V487" s="4" t="s">
        <v>2055</v>
      </c>
      <c r="W487" s="2" t="s">
        <v>1283</v>
      </c>
      <c r="X487" s="2" t="s">
        <v>1200</v>
      </c>
      <c r="Y487" s="3" t="s">
        <v>1282</v>
      </c>
    </row>
    <row r="488" spans="1:26" x14ac:dyDescent="0.2">
      <c r="A488" s="4">
        <v>483</v>
      </c>
      <c r="D488" s="6" t="s">
        <v>950</v>
      </c>
      <c r="E488" s="6" t="s">
        <v>1215</v>
      </c>
      <c r="G488" s="4" t="s">
        <v>2018</v>
      </c>
      <c r="H488" s="4" t="s">
        <v>2059</v>
      </c>
      <c r="I488" s="2" t="s">
        <v>1280</v>
      </c>
      <c r="J488" s="2" t="s">
        <v>59</v>
      </c>
      <c r="K488" s="3" t="s">
        <v>1279</v>
      </c>
      <c r="N488" s="4" t="s">
        <v>2017</v>
      </c>
      <c r="O488" s="4" t="s">
        <v>2057</v>
      </c>
      <c r="P488" s="2" t="s">
        <v>1277</v>
      </c>
      <c r="Q488" s="2" t="s">
        <v>1276</v>
      </c>
      <c r="R488" s="3" t="s">
        <v>1275</v>
      </c>
      <c r="U488" s="4" t="s">
        <v>2016</v>
      </c>
      <c r="V488" s="4" t="s">
        <v>2055</v>
      </c>
      <c r="W488" s="2" t="s">
        <v>1273</v>
      </c>
      <c r="X488" s="2" t="s">
        <v>1272</v>
      </c>
      <c r="Y488" s="3" t="s">
        <v>1271</v>
      </c>
    </row>
    <row r="489" spans="1:26" ht="38.25" x14ac:dyDescent="0.2">
      <c r="A489" s="4">
        <v>484</v>
      </c>
      <c r="D489" s="6" t="s">
        <v>950</v>
      </c>
      <c r="E489" s="6" t="s">
        <v>1215</v>
      </c>
      <c r="G489" s="4" t="s">
        <v>2018</v>
      </c>
      <c r="H489" s="4" t="s">
        <v>2059</v>
      </c>
      <c r="I489" s="2" t="s">
        <v>1445</v>
      </c>
      <c r="J489" s="2" t="s">
        <v>1255</v>
      </c>
      <c r="L489" s="2" t="s">
        <v>2058</v>
      </c>
      <c r="N489" s="4" t="s">
        <v>2017</v>
      </c>
      <c r="O489" s="4" t="s">
        <v>2057</v>
      </c>
      <c r="P489" s="2" t="s">
        <v>1443</v>
      </c>
      <c r="Q489" s="2" t="s">
        <v>1252</v>
      </c>
      <c r="S489" s="2" t="s">
        <v>2056</v>
      </c>
      <c r="U489" s="4" t="s">
        <v>2016</v>
      </c>
      <c r="V489" s="4" t="s">
        <v>2055</v>
      </c>
      <c r="W489" s="2" t="s">
        <v>1441</v>
      </c>
      <c r="X489" s="2" t="s">
        <v>1252</v>
      </c>
      <c r="Z489" s="2" t="s">
        <v>2054</v>
      </c>
    </row>
    <row r="490" spans="1:26" x14ac:dyDescent="0.2">
      <c r="A490" s="4">
        <v>485</v>
      </c>
      <c r="C490" s="6" t="s">
        <v>950</v>
      </c>
      <c r="E490" s="6" t="s">
        <v>1215</v>
      </c>
      <c r="G490" s="4" t="s">
        <v>2018</v>
      </c>
      <c r="H490" s="4" t="s">
        <v>231</v>
      </c>
      <c r="I490" s="2" t="s">
        <v>2053</v>
      </c>
      <c r="J490" s="2" t="s">
        <v>2035</v>
      </c>
      <c r="L490" s="2" t="s">
        <v>2052</v>
      </c>
      <c r="N490" s="4" t="s">
        <v>2017</v>
      </c>
      <c r="O490" s="4" t="s">
        <v>2046</v>
      </c>
      <c r="P490" s="2" t="s">
        <v>2051</v>
      </c>
      <c r="Q490" s="2" t="s">
        <v>2032</v>
      </c>
      <c r="S490" s="2" t="s">
        <v>2050</v>
      </c>
      <c r="U490" s="4" t="s">
        <v>2016</v>
      </c>
      <c r="V490" s="4" t="s">
        <v>2044</v>
      </c>
      <c r="W490" s="2" t="s">
        <v>2049</v>
      </c>
      <c r="X490" s="2" t="s">
        <v>2029</v>
      </c>
      <c r="Z490" s="2" t="s">
        <v>2048</v>
      </c>
    </row>
    <row r="491" spans="1:26" ht="25.5" x14ac:dyDescent="0.2">
      <c r="A491" s="4">
        <v>486</v>
      </c>
      <c r="D491" s="6" t="s">
        <v>950</v>
      </c>
      <c r="E491" s="6" t="s">
        <v>1215</v>
      </c>
      <c r="G491" s="4" t="s">
        <v>2018</v>
      </c>
      <c r="H491" s="4" t="s">
        <v>231</v>
      </c>
      <c r="I491" s="2" t="s">
        <v>2024</v>
      </c>
      <c r="J491" s="2" t="s">
        <v>951</v>
      </c>
      <c r="L491" s="2" t="s">
        <v>2027</v>
      </c>
      <c r="N491" s="4" t="s">
        <v>2017</v>
      </c>
      <c r="O491" s="4" t="s">
        <v>2046</v>
      </c>
      <c r="P491" s="2" t="s">
        <v>2023</v>
      </c>
      <c r="Q491" s="2" t="s">
        <v>951</v>
      </c>
      <c r="S491" s="2" t="s">
        <v>2026</v>
      </c>
      <c r="U491" s="4" t="s">
        <v>2016</v>
      </c>
      <c r="V491" s="4" t="s">
        <v>2044</v>
      </c>
      <c r="W491" s="2" t="s">
        <v>2022</v>
      </c>
      <c r="X491" s="2" t="s">
        <v>951</v>
      </c>
      <c r="Z491" s="2" t="s">
        <v>2025</v>
      </c>
    </row>
    <row r="492" spans="1:26" ht="102" x14ac:dyDescent="0.2">
      <c r="A492" s="4">
        <v>487</v>
      </c>
      <c r="D492" s="6" t="s">
        <v>950</v>
      </c>
      <c r="E492" s="6" t="s">
        <v>1215</v>
      </c>
      <c r="G492" s="4" t="s">
        <v>2018</v>
      </c>
      <c r="H492" s="4" t="s">
        <v>231</v>
      </c>
      <c r="I492" s="2" t="s">
        <v>123</v>
      </c>
      <c r="J492" s="2" t="s">
        <v>2942</v>
      </c>
      <c r="L492" s="2" t="s">
        <v>2021</v>
      </c>
      <c r="N492" s="4" t="s">
        <v>2017</v>
      </c>
      <c r="O492" s="4" t="s">
        <v>2046</v>
      </c>
      <c r="P492" s="2" t="s">
        <v>123</v>
      </c>
      <c r="Q492" s="2" t="s">
        <v>2943</v>
      </c>
      <c r="S492" s="2" t="s">
        <v>2020</v>
      </c>
      <c r="U492" s="4" t="s">
        <v>2016</v>
      </c>
      <c r="V492" s="4" t="s">
        <v>2044</v>
      </c>
      <c r="W492" s="2" t="s">
        <v>1247</v>
      </c>
      <c r="X492" s="2" t="s">
        <v>2944</v>
      </c>
      <c r="Z492" s="2" t="s">
        <v>2040</v>
      </c>
    </row>
    <row r="493" spans="1:26" ht="38.25" x14ac:dyDescent="0.2">
      <c r="A493" s="4">
        <v>488</v>
      </c>
      <c r="E493" s="6" t="s">
        <v>1215</v>
      </c>
      <c r="G493" s="4" t="s">
        <v>2018</v>
      </c>
      <c r="H493" s="4" t="s">
        <v>231</v>
      </c>
      <c r="I493" s="2" t="s">
        <v>270</v>
      </c>
      <c r="J493" s="2" t="s">
        <v>2014</v>
      </c>
      <c r="L493" s="2" t="s">
        <v>2047</v>
      </c>
      <c r="N493" s="4" t="s">
        <v>2017</v>
      </c>
      <c r="O493" s="4" t="s">
        <v>2046</v>
      </c>
      <c r="P493" s="2" t="s">
        <v>792</v>
      </c>
      <c r="Q493" s="2" t="s">
        <v>2014</v>
      </c>
      <c r="S493" s="2" t="s">
        <v>2045</v>
      </c>
      <c r="U493" s="4" t="s">
        <v>2016</v>
      </c>
      <c r="V493" s="4" t="s">
        <v>2044</v>
      </c>
      <c r="W493" s="2" t="s">
        <v>792</v>
      </c>
      <c r="X493" s="2" t="s">
        <v>2014</v>
      </c>
      <c r="Z493" s="2" t="s">
        <v>2884</v>
      </c>
    </row>
    <row r="494" spans="1:26" ht="25.5" x14ac:dyDescent="0.2">
      <c r="A494" s="4">
        <v>489</v>
      </c>
      <c r="C494" s="6" t="s">
        <v>950</v>
      </c>
      <c r="E494" s="6" t="s">
        <v>1215</v>
      </c>
      <c r="G494" s="4" t="s">
        <v>2018</v>
      </c>
      <c r="H494" s="4" t="s">
        <v>2039</v>
      </c>
      <c r="I494" s="2" t="s">
        <v>2043</v>
      </c>
      <c r="J494" s="2" t="s">
        <v>2035</v>
      </c>
      <c r="L494" s="19" t="s">
        <v>2857</v>
      </c>
      <c r="N494" s="4" t="s">
        <v>2017</v>
      </c>
      <c r="O494" s="4" t="s">
        <v>2038</v>
      </c>
      <c r="P494" s="2" t="s">
        <v>2042</v>
      </c>
      <c r="Q494" s="2" t="s">
        <v>2032</v>
      </c>
      <c r="S494" s="19" t="s">
        <v>2858</v>
      </c>
      <c r="U494" s="4" t="s">
        <v>2016</v>
      </c>
      <c r="V494" s="4" t="s">
        <v>2037</v>
      </c>
      <c r="W494" s="2" t="s">
        <v>2041</v>
      </c>
      <c r="X494" s="2" t="s">
        <v>2029</v>
      </c>
      <c r="Z494" s="19" t="s">
        <v>2859</v>
      </c>
    </row>
    <row r="495" spans="1:26" ht="25.5" x14ac:dyDescent="0.2">
      <c r="A495" s="4">
        <v>490</v>
      </c>
      <c r="D495" s="6" t="s">
        <v>950</v>
      </c>
      <c r="E495" s="6" t="s">
        <v>1215</v>
      </c>
      <c r="G495" s="4" t="s">
        <v>2018</v>
      </c>
      <c r="H495" s="4" t="s">
        <v>2039</v>
      </c>
      <c r="I495" s="2" t="s">
        <v>2024</v>
      </c>
      <c r="J495" s="2" t="s">
        <v>951</v>
      </c>
      <c r="L495" s="2" t="s">
        <v>2027</v>
      </c>
      <c r="N495" s="4" t="s">
        <v>2017</v>
      </c>
      <c r="O495" s="4" t="s">
        <v>2038</v>
      </c>
      <c r="P495" s="2" t="s">
        <v>2023</v>
      </c>
      <c r="Q495" s="2" t="s">
        <v>951</v>
      </c>
      <c r="S495" s="2" t="s">
        <v>2026</v>
      </c>
      <c r="U495" s="4" t="s">
        <v>2016</v>
      </c>
      <c r="V495" s="4" t="s">
        <v>2037</v>
      </c>
      <c r="W495" s="2" t="s">
        <v>2022</v>
      </c>
      <c r="X495" s="2" t="s">
        <v>951</v>
      </c>
      <c r="Z495" s="2" t="s">
        <v>2025</v>
      </c>
    </row>
    <row r="496" spans="1:26" ht="102" x14ac:dyDescent="0.2">
      <c r="A496" s="4">
        <v>491</v>
      </c>
      <c r="D496" s="6" t="s">
        <v>950</v>
      </c>
      <c r="E496" s="6" t="s">
        <v>1215</v>
      </c>
      <c r="G496" s="4" t="s">
        <v>2018</v>
      </c>
      <c r="H496" s="4" t="s">
        <v>2039</v>
      </c>
      <c r="I496" s="2" t="s">
        <v>123</v>
      </c>
      <c r="J496" s="2" t="s">
        <v>2939</v>
      </c>
      <c r="L496" s="2" t="s">
        <v>2021</v>
      </c>
      <c r="N496" s="4" t="s">
        <v>2017</v>
      </c>
      <c r="O496" s="4" t="s">
        <v>2038</v>
      </c>
      <c r="P496" s="2" t="s">
        <v>123</v>
      </c>
      <c r="Q496" s="2" t="s">
        <v>2940</v>
      </c>
      <c r="S496" s="2" t="s">
        <v>2020</v>
      </c>
      <c r="U496" s="4" t="s">
        <v>2016</v>
      </c>
      <c r="V496" s="4" t="s">
        <v>2037</v>
      </c>
      <c r="W496" s="2" t="s">
        <v>1247</v>
      </c>
      <c r="X496" s="2" t="s">
        <v>2941</v>
      </c>
      <c r="Z496" s="2" t="s">
        <v>2040</v>
      </c>
    </row>
    <row r="497" spans="1:26" x14ac:dyDescent="0.2">
      <c r="A497" s="4">
        <v>492</v>
      </c>
      <c r="E497" s="6" t="s">
        <v>1215</v>
      </c>
      <c r="G497" s="4" t="s">
        <v>2018</v>
      </c>
      <c r="H497" s="4" t="s">
        <v>2039</v>
      </c>
      <c r="I497" s="2" t="s">
        <v>270</v>
      </c>
      <c r="J497" s="2" t="s">
        <v>2014</v>
      </c>
      <c r="N497" s="4" t="s">
        <v>2017</v>
      </c>
      <c r="O497" s="4" t="s">
        <v>2038</v>
      </c>
      <c r="P497" s="2" t="s">
        <v>792</v>
      </c>
      <c r="Q497" s="2" t="s">
        <v>2014</v>
      </c>
      <c r="U497" s="4" t="s">
        <v>2016</v>
      </c>
      <c r="V497" s="4" t="s">
        <v>2037</v>
      </c>
      <c r="W497" s="2" t="s">
        <v>792</v>
      </c>
      <c r="X497" s="2" t="s">
        <v>2014</v>
      </c>
    </row>
    <row r="498" spans="1:26" x14ac:dyDescent="0.2">
      <c r="A498" s="4">
        <v>493</v>
      </c>
      <c r="C498" s="6" t="s">
        <v>950</v>
      </c>
      <c r="E498" s="6" t="s">
        <v>1215</v>
      </c>
      <c r="G498" s="4" t="s">
        <v>2018</v>
      </c>
      <c r="H498" s="4" t="s">
        <v>235</v>
      </c>
      <c r="I498" s="2" t="s">
        <v>2036</v>
      </c>
      <c r="J498" s="2" t="s">
        <v>2035</v>
      </c>
      <c r="L498" s="2" t="s">
        <v>2034</v>
      </c>
      <c r="N498" s="4" t="s">
        <v>2017</v>
      </c>
      <c r="O498" s="4" t="s">
        <v>794</v>
      </c>
      <c r="P498" s="2" t="s">
        <v>2033</v>
      </c>
      <c r="Q498" s="2" t="s">
        <v>2032</v>
      </c>
      <c r="S498" s="2" t="s">
        <v>2031</v>
      </c>
      <c r="U498" s="4" t="s">
        <v>2016</v>
      </c>
      <c r="V498" s="4" t="s">
        <v>2015</v>
      </c>
      <c r="W498" s="2" t="s">
        <v>2030</v>
      </c>
      <c r="X498" s="2" t="s">
        <v>2029</v>
      </c>
      <c r="Z498" s="2" t="s">
        <v>2028</v>
      </c>
    </row>
    <row r="499" spans="1:26" ht="25.5" x14ac:dyDescent="0.2">
      <c r="A499" s="4">
        <v>494</v>
      </c>
      <c r="D499" s="6" t="s">
        <v>950</v>
      </c>
      <c r="E499" s="6" t="s">
        <v>1215</v>
      </c>
      <c r="G499" s="4" t="s">
        <v>2018</v>
      </c>
      <c r="H499" s="4" t="s">
        <v>235</v>
      </c>
      <c r="I499" s="2" t="s">
        <v>2024</v>
      </c>
      <c r="J499" s="2" t="s">
        <v>951</v>
      </c>
      <c r="L499" s="2" t="s">
        <v>2027</v>
      </c>
      <c r="N499" s="4" t="s">
        <v>2017</v>
      </c>
      <c r="O499" s="4" t="s">
        <v>794</v>
      </c>
      <c r="P499" s="2" t="s">
        <v>2023</v>
      </c>
      <c r="Q499" s="2" t="s">
        <v>951</v>
      </c>
      <c r="S499" s="2" t="s">
        <v>2026</v>
      </c>
      <c r="U499" s="4" t="s">
        <v>2016</v>
      </c>
      <c r="V499" s="4" t="s">
        <v>2015</v>
      </c>
      <c r="W499" s="2" t="s">
        <v>2022</v>
      </c>
      <c r="X499" s="2" t="s">
        <v>951</v>
      </c>
      <c r="Z499" s="2" t="s">
        <v>2025</v>
      </c>
    </row>
    <row r="500" spans="1:26" ht="102" x14ac:dyDescent="0.2">
      <c r="A500" s="4">
        <v>495</v>
      </c>
      <c r="D500" s="6" t="s">
        <v>950</v>
      </c>
      <c r="E500" s="6" t="s">
        <v>1215</v>
      </c>
      <c r="G500" s="4" t="s">
        <v>2018</v>
      </c>
      <c r="H500" s="4" t="s">
        <v>235</v>
      </c>
      <c r="I500" s="2" t="s">
        <v>123</v>
      </c>
      <c r="J500" s="2" t="s">
        <v>2939</v>
      </c>
      <c r="L500" s="2" t="s">
        <v>2021</v>
      </c>
      <c r="N500" s="4" t="s">
        <v>2017</v>
      </c>
      <c r="O500" s="4" t="s">
        <v>794</v>
      </c>
      <c r="P500" s="2" t="s">
        <v>123</v>
      </c>
      <c r="Q500" s="2" t="s">
        <v>2940</v>
      </c>
      <c r="S500" s="2" t="s">
        <v>2020</v>
      </c>
      <c r="U500" s="4" t="s">
        <v>2016</v>
      </c>
      <c r="V500" s="4" t="s">
        <v>2015</v>
      </c>
      <c r="W500" s="2" t="s">
        <v>1247</v>
      </c>
      <c r="X500" s="2" t="s">
        <v>2941</v>
      </c>
      <c r="Z500" s="2" t="s">
        <v>2019</v>
      </c>
    </row>
    <row r="501" spans="1:26" x14ac:dyDescent="0.2">
      <c r="A501" s="4">
        <v>496</v>
      </c>
      <c r="E501" s="6" t="s">
        <v>1215</v>
      </c>
      <c r="G501" s="4" t="s">
        <v>2018</v>
      </c>
      <c r="H501" s="4" t="s">
        <v>235</v>
      </c>
      <c r="I501" s="2" t="s">
        <v>270</v>
      </c>
      <c r="J501" s="2" t="s">
        <v>2014</v>
      </c>
      <c r="N501" s="4" t="s">
        <v>2017</v>
      </c>
      <c r="O501" s="4" t="s">
        <v>794</v>
      </c>
      <c r="P501" s="2" t="s">
        <v>792</v>
      </c>
      <c r="Q501" s="2" t="s">
        <v>2014</v>
      </c>
      <c r="U501" s="4" t="s">
        <v>2016</v>
      </c>
      <c r="V501" s="4" t="s">
        <v>2015</v>
      </c>
      <c r="W501" s="2" t="s">
        <v>792</v>
      </c>
      <c r="X501" s="2" t="s">
        <v>2014</v>
      </c>
    </row>
    <row r="502" spans="1:26" x14ac:dyDescent="0.2">
      <c r="A502" s="4">
        <v>497</v>
      </c>
      <c r="E502" s="6" t="s">
        <v>1385</v>
      </c>
      <c r="G502" s="4" t="s">
        <v>21</v>
      </c>
      <c r="I502" s="2" t="s">
        <v>521</v>
      </c>
      <c r="J502" s="2" t="s">
        <v>524</v>
      </c>
      <c r="N502" s="4" t="s">
        <v>708</v>
      </c>
      <c r="P502" s="2" t="s">
        <v>868</v>
      </c>
      <c r="Q502" s="2" t="s">
        <v>870</v>
      </c>
      <c r="U502" s="4" t="s">
        <v>1937</v>
      </c>
      <c r="W502" s="2" t="s">
        <v>1975</v>
      </c>
      <c r="X502" s="2" t="s">
        <v>2013</v>
      </c>
    </row>
    <row r="503" spans="1:26" x14ac:dyDescent="0.2">
      <c r="A503" s="4">
        <v>498</v>
      </c>
      <c r="E503" s="6" t="s">
        <v>1385</v>
      </c>
      <c r="G503" s="4" t="s">
        <v>21</v>
      </c>
      <c r="I503" s="2" t="s">
        <v>521</v>
      </c>
      <c r="J503" s="2" t="s">
        <v>522</v>
      </c>
      <c r="N503" s="4" t="s">
        <v>708</v>
      </c>
      <c r="P503" s="2" t="s">
        <v>868</v>
      </c>
      <c r="Q503" s="2" t="s">
        <v>869</v>
      </c>
      <c r="U503" s="4" t="s">
        <v>1937</v>
      </c>
      <c r="W503" s="2" t="s">
        <v>1975</v>
      </c>
      <c r="X503" s="2" t="s">
        <v>2012</v>
      </c>
    </row>
    <row r="504" spans="1:26" ht="25.5" x14ac:dyDescent="0.2">
      <c r="A504" s="4">
        <v>499</v>
      </c>
      <c r="E504" s="6" t="s">
        <v>1385</v>
      </c>
      <c r="G504" s="4" t="s">
        <v>21</v>
      </c>
      <c r="I504" s="2" t="s">
        <v>521</v>
      </c>
      <c r="J504" s="2" t="s">
        <v>54</v>
      </c>
      <c r="L504" s="2" t="s">
        <v>1384</v>
      </c>
      <c r="N504" s="4" t="s">
        <v>708</v>
      </c>
      <c r="P504" s="2" t="s">
        <v>868</v>
      </c>
      <c r="Q504" s="2" t="s">
        <v>871</v>
      </c>
      <c r="S504" s="2" t="s">
        <v>1383</v>
      </c>
      <c r="U504" s="4" t="s">
        <v>1937</v>
      </c>
      <c r="W504" s="2" t="s">
        <v>1975</v>
      </c>
      <c r="X504" s="2" t="s">
        <v>1382</v>
      </c>
      <c r="Z504" s="2" t="s">
        <v>1381</v>
      </c>
    </row>
    <row r="505" spans="1:26" x14ac:dyDescent="0.2">
      <c r="A505" s="4">
        <v>500</v>
      </c>
      <c r="B505" s="6" t="s">
        <v>1221</v>
      </c>
      <c r="E505" s="6" t="s">
        <v>1215</v>
      </c>
      <c r="G505" s="4" t="s">
        <v>21</v>
      </c>
      <c r="H505" s="4" t="s">
        <v>545</v>
      </c>
      <c r="I505" s="2" t="s">
        <v>96</v>
      </c>
      <c r="J505" s="2" t="s">
        <v>951</v>
      </c>
      <c r="L505" s="2" t="s">
        <v>1380</v>
      </c>
      <c r="N505" s="4" t="s">
        <v>708</v>
      </c>
      <c r="O505" s="4" t="s">
        <v>2010</v>
      </c>
      <c r="P505" s="2" t="s">
        <v>733</v>
      </c>
      <c r="Q505" s="2" t="s">
        <v>951</v>
      </c>
      <c r="S505" s="2" t="s">
        <v>1379</v>
      </c>
      <c r="U505" s="4" t="s">
        <v>1937</v>
      </c>
      <c r="V505" s="4" t="s">
        <v>2009</v>
      </c>
      <c r="W505" s="2" t="s">
        <v>1378</v>
      </c>
      <c r="X505" s="2" t="s">
        <v>951</v>
      </c>
      <c r="Z505" s="2" t="s">
        <v>1377</v>
      </c>
    </row>
    <row r="506" spans="1:26" x14ac:dyDescent="0.2">
      <c r="A506" s="4">
        <v>501</v>
      </c>
      <c r="B506" s="6" t="s">
        <v>1221</v>
      </c>
      <c r="E506" s="6" t="s">
        <v>1215</v>
      </c>
      <c r="G506" s="4" t="s">
        <v>21</v>
      </c>
      <c r="H506" s="4" t="s">
        <v>545</v>
      </c>
      <c r="I506" s="2" t="s">
        <v>99</v>
      </c>
      <c r="J506" s="2" t="s">
        <v>951</v>
      </c>
      <c r="L506" s="2" t="s">
        <v>1599</v>
      </c>
      <c r="N506" s="4" t="s">
        <v>708</v>
      </c>
      <c r="O506" s="4" t="s">
        <v>2010</v>
      </c>
      <c r="P506" s="2" t="s">
        <v>734</v>
      </c>
      <c r="Q506" s="2" t="s">
        <v>951</v>
      </c>
      <c r="S506" s="2" t="s">
        <v>2811</v>
      </c>
      <c r="U506" s="4" t="s">
        <v>1937</v>
      </c>
      <c r="V506" s="4" t="s">
        <v>2009</v>
      </c>
      <c r="W506" s="2" t="s">
        <v>1376</v>
      </c>
      <c r="X506" s="2" t="s">
        <v>951</v>
      </c>
      <c r="Z506" s="2" t="s">
        <v>1598</v>
      </c>
    </row>
    <row r="507" spans="1:26" x14ac:dyDescent="0.2">
      <c r="A507" s="4">
        <v>502</v>
      </c>
      <c r="E507" s="6" t="s">
        <v>1215</v>
      </c>
      <c r="G507" s="4" t="s">
        <v>21</v>
      </c>
      <c r="H507" s="4" t="s">
        <v>545</v>
      </c>
      <c r="I507" s="2" t="s">
        <v>101</v>
      </c>
      <c r="J507" s="2" t="s">
        <v>956</v>
      </c>
      <c r="N507" s="4" t="s">
        <v>708</v>
      </c>
      <c r="O507" s="4" t="s">
        <v>2010</v>
      </c>
      <c r="P507" s="2" t="s">
        <v>735</v>
      </c>
      <c r="Q507" s="2" t="s">
        <v>956</v>
      </c>
      <c r="U507" s="4" t="s">
        <v>1937</v>
      </c>
      <c r="V507" s="4" t="s">
        <v>2009</v>
      </c>
      <c r="W507" s="2" t="s">
        <v>1294</v>
      </c>
      <c r="X507" s="2" t="s">
        <v>956</v>
      </c>
    </row>
    <row r="508" spans="1:26" ht="63.75" x14ac:dyDescent="0.2">
      <c r="A508" s="4">
        <v>503</v>
      </c>
      <c r="D508" s="6" t="s">
        <v>950</v>
      </c>
      <c r="E508" s="6" t="s">
        <v>1215</v>
      </c>
      <c r="G508" s="4" t="s">
        <v>21</v>
      </c>
      <c r="H508" s="4" t="s">
        <v>545</v>
      </c>
      <c r="I508" s="2" t="s">
        <v>104</v>
      </c>
      <c r="J508" s="2" t="s">
        <v>1248</v>
      </c>
      <c r="N508" s="4" t="s">
        <v>708</v>
      </c>
      <c r="O508" s="4" t="s">
        <v>2010</v>
      </c>
      <c r="P508" s="2" t="s">
        <v>736</v>
      </c>
      <c r="Q508" s="2" t="s">
        <v>1246</v>
      </c>
      <c r="U508" s="4" t="s">
        <v>1937</v>
      </c>
      <c r="V508" s="4" t="s">
        <v>2009</v>
      </c>
      <c r="W508" s="2" t="s">
        <v>1595</v>
      </c>
      <c r="X508" s="2" t="s">
        <v>1246</v>
      </c>
    </row>
    <row r="509" spans="1:26" x14ac:dyDescent="0.2">
      <c r="A509" s="4">
        <v>504</v>
      </c>
      <c r="E509" s="6" t="s">
        <v>1215</v>
      </c>
      <c r="G509" s="4" t="s">
        <v>21</v>
      </c>
      <c r="H509" s="4" t="s">
        <v>545</v>
      </c>
      <c r="I509" s="2" t="s">
        <v>193</v>
      </c>
      <c r="J509" s="2" t="s">
        <v>1518</v>
      </c>
      <c r="N509" s="4" t="s">
        <v>708</v>
      </c>
      <c r="O509" s="4" t="s">
        <v>2010</v>
      </c>
      <c r="P509" s="2" t="s">
        <v>769</v>
      </c>
      <c r="Q509" s="2" t="s">
        <v>1593</v>
      </c>
      <c r="U509" s="4" t="s">
        <v>1937</v>
      </c>
      <c r="V509" s="4" t="s">
        <v>2009</v>
      </c>
      <c r="W509" s="2" t="s">
        <v>1515</v>
      </c>
      <c r="X509" s="2" t="s">
        <v>1592</v>
      </c>
    </row>
    <row r="510" spans="1:26" ht="76.5" x14ac:dyDescent="0.2">
      <c r="A510" s="4">
        <v>505</v>
      </c>
      <c r="D510" s="6" t="s">
        <v>950</v>
      </c>
      <c r="E510" s="6" t="s">
        <v>1215</v>
      </c>
      <c r="G510" s="4" t="s">
        <v>21</v>
      </c>
      <c r="H510" s="4" t="s">
        <v>545</v>
      </c>
      <c r="I510" s="2" t="s">
        <v>107</v>
      </c>
      <c r="J510" s="2" t="s">
        <v>1349</v>
      </c>
      <c r="L510" s="2" t="s">
        <v>1869</v>
      </c>
      <c r="N510" s="4" t="s">
        <v>708</v>
      </c>
      <c r="O510" s="4" t="s">
        <v>2010</v>
      </c>
      <c r="P510" s="2" t="s">
        <v>1589</v>
      </c>
      <c r="Q510" s="2" t="s">
        <v>1349</v>
      </c>
      <c r="S510" s="2" t="s">
        <v>2810</v>
      </c>
      <c r="U510" s="4" t="s">
        <v>1937</v>
      </c>
      <c r="V510" s="4" t="s">
        <v>2009</v>
      </c>
      <c r="W510" s="2" t="s">
        <v>1587</v>
      </c>
      <c r="X510" s="2" t="s">
        <v>1349</v>
      </c>
      <c r="Z510" s="2" t="s">
        <v>2011</v>
      </c>
    </row>
    <row r="511" spans="1:26" ht="89.25" x14ac:dyDescent="0.2">
      <c r="A511" s="4">
        <v>506</v>
      </c>
      <c r="D511" s="6" t="s">
        <v>950</v>
      </c>
      <c r="E511" s="6" t="s">
        <v>1215</v>
      </c>
      <c r="G511" s="4" t="s">
        <v>21</v>
      </c>
      <c r="H511" s="4" t="s">
        <v>545</v>
      </c>
      <c r="I511" s="2" t="s">
        <v>1866</v>
      </c>
      <c r="J511" s="2" t="s">
        <v>1349</v>
      </c>
      <c r="L511" s="19" t="s">
        <v>2860</v>
      </c>
      <c r="N511" s="4" t="s">
        <v>708</v>
      </c>
      <c r="O511" s="4" t="s">
        <v>2010</v>
      </c>
      <c r="P511" s="2" t="s">
        <v>1863</v>
      </c>
      <c r="Q511" s="2" t="s">
        <v>1349</v>
      </c>
      <c r="S511" s="19" t="s">
        <v>2861</v>
      </c>
      <c r="U511" s="4" t="s">
        <v>1937</v>
      </c>
      <c r="V511" s="4" t="s">
        <v>2009</v>
      </c>
      <c r="W511" s="2" t="s">
        <v>1860</v>
      </c>
      <c r="X511" s="2" t="s">
        <v>1349</v>
      </c>
      <c r="Z511" s="19" t="s">
        <v>2862</v>
      </c>
    </row>
    <row r="512" spans="1:26" x14ac:dyDescent="0.2">
      <c r="A512" s="4">
        <v>507</v>
      </c>
      <c r="C512" s="6" t="s">
        <v>950</v>
      </c>
      <c r="E512" s="6" t="s">
        <v>1215</v>
      </c>
      <c r="G512" s="4" t="s">
        <v>21</v>
      </c>
      <c r="H512" s="4" t="s">
        <v>546</v>
      </c>
      <c r="I512" s="2" t="s">
        <v>969</v>
      </c>
      <c r="J512" s="2" t="s">
        <v>1954</v>
      </c>
      <c r="L512" s="19" t="s">
        <v>1228</v>
      </c>
      <c r="N512" s="4" t="s">
        <v>708</v>
      </c>
      <c r="O512" s="4" t="s">
        <v>2008</v>
      </c>
      <c r="P512" s="2" t="s">
        <v>1319</v>
      </c>
      <c r="Q512" s="2" t="s">
        <v>1953</v>
      </c>
      <c r="S512" s="2" t="s">
        <v>1225</v>
      </c>
      <c r="U512" s="4" t="s">
        <v>1937</v>
      </c>
      <c r="V512" s="4" t="s">
        <v>2007</v>
      </c>
      <c r="W512" s="2" t="s">
        <v>1319</v>
      </c>
      <c r="X512" s="2" t="s">
        <v>1952</v>
      </c>
      <c r="Z512" s="2" t="s">
        <v>1222</v>
      </c>
    </row>
    <row r="513" spans="1:26" x14ac:dyDescent="0.2">
      <c r="A513" s="4">
        <v>508</v>
      </c>
      <c r="E513" s="6" t="s">
        <v>1215</v>
      </c>
      <c r="G513" s="4" t="s">
        <v>21</v>
      </c>
      <c r="H513" s="4" t="s">
        <v>546</v>
      </c>
      <c r="I513" s="2" t="s">
        <v>549</v>
      </c>
      <c r="J513" s="2" t="s">
        <v>956</v>
      </c>
      <c r="N513" s="4" t="s">
        <v>708</v>
      </c>
      <c r="O513" s="4" t="s">
        <v>2008</v>
      </c>
      <c r="P513" s="2" t="s">
        <v>878</v>
      </c>
      <c r="Q513" s="2" t="s">
        <v>956</v>
      </c>
      <c r="U513" s="4" t="s">
        <v>1937</v>
      </c>
      <c r="V513" s="4" t="s">
        <v>2007</v>
      </c>
      <c r="W513" s="2" t="s">
        <v>1980</v>
      </c>
      <c r="X513" s="2" t="s">
        <v>956</v>
      </c>
    </row>
    <row r="514" spans="1:26" x14ac:dyDescent="0.2">
      <c r="A514" s="4">
        <v>509</v>
      </c>
      <c r="E514" s="6" t="s">
        <v>1215</v>
      </c>
      <c r="G514" s="4" t="s">
        <v>21</v>
      </c>
      <c r="H514" s="4" t="s">
        <v>546</v>
      </c>
      <c r="I514" s="2" t="s">
        <v>1979</v>
      </c>
      <c r="J514" s="2" t="s">
        <v>265</v>
      </c>
      <c r="N514" s="4" t="s">
        <v>708</v>
      </c>
      <c r="O514" s="4" t="s">
        <v>2008</v>
      </c>
      <c r="P514" s="2" t="s">
        <v>1978</v>
      </c>
      <c r="Q514" s="2" t="s">
        <v>711</v>
      </c>
      <c r="U514" s="4" t="s">
        <v>1937</v>
      </c>
      <c r="V514" s="4" t="s">
        <v>2007</v>
      </c>
      <c r="W514" s="2" t="s">
        <v>1977</v>
      </c>
      <c r="X514" s="2" t="s">
        <v>1976</v>
      </c>
    </row>
    <row r="515" spans="1:26" x14ac:dyDescent="0.2">
      <c r="A515" s="4">
        <v>510</v>
      </c>
      <c r="E515" s="6" t="s">
        <v>1215</v>
      </c>
      <c r="G515" s="4" t="s">
        <v>21</v>
      </c>
      <c r="H515" s="4" t="s">
        <v>546</v>
      </c>
      <c r="I515" s="2" t="s">
        <v>1212</v>
      </c>
      <c r="J515" s="2" t="s">
        <v>521</v>
      </c>
      <c r="N515" s="4" t="s">
        <v>708</v>
      </c>
      <c r="O515" s="4" t="s">
        <v>2008</v>
      </c>
      <c r="P515" s="2" t="s">
        <v>1208</v>
      </c>
      <c r="Q515" s="2" t="s">
        <v>868</v>
      </c>
      <c r="U515" s="4" t="s">
        <v>1937</v>
      </c>
      <c r="V515" s="4" t="s">
        <v>2007</v>
      </c>
      <c r="W515" s="2" t="s">
        <v>1204</v>
      </c>
      <c r="X515" s="2" t="s">
        <v>1975</v>
      </c>
    </row>
    <row r="516" spans="1:26" ht="25.5" x14ac:dyDescent="0.2">
      <c r="A516" s="4">
        <v>511</v>
      </c>
      <c r="C516" s="6" t="s">
        <v>950</v>
      </c>
      <c r="E516" s="6" t="s">
        <v>1215</v>
      </c>
      <c r="G516" s="4" t="s">
        <v>21</v>
      </c>
      <c r="H516" s="4" t="s">
        <v>2003</v>
      </c>
      <c r="I516" s="2" t="s">
        <v>2006</v>
      </c>
      <c r="J516" s="2" t="s">
        <v>1987</v>
      </c>
      <c r="L516" s="19" t="s">
        <v>2863</v>
      </c>
      <c r="N516" s="4" t="s">
        <v>708</v>
      </c>
      <c r="O516" s="4" t="s">
        <v>2002</v>
      </c>
      <c r="P516" s="2" t="s">
        <v>2005</v>
      </c>
      <c r="Q516" s="2" t="s">
        <v>1985</v>
      </c>
      <c r="S516" s="19" t="s">
        <v>2864</v>
      </c>
      <c r="U516" s="4" t="s">
        <v>1937</v>
      </c>
      <c r="V516" s="4" t="s">
        <v>2001</v>
      </c>
      <c r="W516" s="2" t="s">
        <v>2004</v>
      </c>
      <c r="X516" s="2" t="s">
        <v>1983</v>
      </c>
      <c r="Z516" s="19" t="s">
        <v>2865</v>
      </c>
    </row>
    <row r="517" spans="1:26" x14ac:dyDescent="0.2">
      <c r="A517" s="4">
        <v>512</v>
      </c>
      <c r="E517" s="6" t="s">
        <v>1215</v>
      </c>
      <c r="G517" s="4" t="s">
        <v>21</v>
      </c>
      <c r="H517" s="4" t="s">
        <v>2003</v>
      </c>
      <c r="I517" s="2" t="s">
        <v>1219</v>
      </c>
      <c r="J517" s="2" t="s">
        <v>1220</v>
      </c>
      <c r="N517" s="4" t="s">
        <v>708</v>
      </c>
      <c r="O517" s="4" t="s">
        <v>2002</v>
      </c>
      <c r="P517" s="2" t="s">
        <v>1219</v>
      </c>
      <c r="Q517" s="2" t="s">
        <v>1218</v>
      </c>
      <c r="U517" s="4" t="s">
        <v>1937</v>
      </c>
      <c r="V517" s="4" t="s">
        <v>2001</v>
      </c>
      <c r="W517" s="2" t="s">
        <v>1219</v>
      </c>
      <c r="X517" s="2" t="s">
        <v>1218</v>
      </c>
    </row>
    <row r="518" spans="1:26" x14ac:dyDescent="0.2">
      <c r="A518" s="4">
        <v>513</v>
      </c>
      <c r="E518" s="6" t="s">
        <v>1215</v>
      </c>
      <c r="G518" s="4" t="s">
        <v>21</v>
      </c>
      <c r="H518" s="4" t="s">
        <v>2003</v>
      </c>
      <c r="I518" s="2" t="s">
        <v>1217</v>
      </c>
      <c r="J518" s="2" t="s">
        <v>933</v>
      </c>
      <c r="N518" s="4" t="s">
        <v>708</v>
      </c>
      <c r="O518" s="4" t="s">
        <v>2002</v>
      </c>
      <c r="P518" s="2" t="s">
        <v>1217</v>
      </c>
      <c r="Q518" s="2" t="s">
        <v>933</v>
      </c>
      <c r="U518" s="4" t="s">
        <v>1937</v>
      </c>
      <c r="V518" s="4" t="s">
        <v>2001</v>
      </c>
      <c r="W518" s="2" t="s">
        <v>1217</v>
      </c>
      <c r="X518" s="2" t="s">
        <v>1216</v>
      </c>
    </row>
    <row r="519" spans="1:26" x14ac:dyDescent="0.2">
      <c r="A519" s="4">
        <v>514</v>
      </c>
      <c r="E519" s="6" t="s">
        <v>1215</v>
      </c>
      <c r="G519" s="4" t="s">
        <v>21</v>
      </c>
      <c r="H519" s="4" t="s">
        <v>2003</v>
      </c>
      <c r="I519" s="2" t="s">
        <v>1285</v>
      </c>
      <c r="J519" s="2" t="s">
        <v>1199</v>
      </c>
      <c r="N519" s="4" t="s">
        <v>708</v>
      </c>
      <c r="O519" s="4" t="s">
        <v>2002</v>
      </c>
      <c r="P519" s="2" t="s">
        <v>1285</v>
      </c>
      <c r="Q519" s="2" t="s">
        <v>1199</v>
      </c>
      <c r="U519" s="4" t="s">
        <v>1937</v>
      </c>
      <c r="V519" s="4" t="s">
        <v>2001</v>
      </c>
      <c r="W519" s="2" t="s">
        <v>1285</v>
      </c>
      <c r="X519" s="2" t="s">
        <v>1199</v>
      </c>
    </row>
    <row r="520" spans="1:26" x14ac:dyDescent="0.2">
      <c r="A520" s="4">
        <v>515</v>
      </c>
      <c r="E520" s="6" t="s">
        <v>1215</v>
      </c>
      <c r="G520" s="4" t="s">
        <v>21</v>
      </c>
      <c r="H520" s="4" t="s">
        <v>2003</v>
      </c>
      <c r="I520" s="2" t="s">
        <v>1283</v>
      </c>
      <c r="J520" s="2" t="s">
        <v>1200</v>
      </c>
      <c r="N520" s="4" t="s">
        <v>708</v>
      </c>
      <c r="O520" s="4" t="s">
        <v>2002</v>
      </c>
      <c r="P520" s="2" t="s">
        <v>1283</v>
      </c>
      <c r="Q520" s="2" t="s">
        <v>1200</v>
      </c>
      <c r="U520" s="4" t="s">
        <v>1937</v>
      </c>
      <c r="V520" s="4" t="s">
        <v>2001</v>
      </c>
      <c r="W520" s="2" t="s">
        <v>1283</v>
      </c>
      <c r="X520" s="2" t="s">
        <v>1200</v>
      </c>
    </row>
    <row r="521" spans="1:26" x14ac:dyDescent="0.2">
      <c r="A521" s="4">
        <v>516</v>
      </c>
      <c r="D521" s="6" t="s">
        <v>950</v>
      </c>
      <c r="E521" s="6" t="s">
        <v>1215</v>
      </c>
      <c r="G521" s="4" t="s">
        <v>21</v>
      </c>
      <c r="H521" s="4" t="s">
        <v>2003</v>
      </c>
      <c r="I521" s="2" t="s">
        <v>1280</v>
      </c>
      <c r="J521" s="2" t="s">
        <v>59</v>
      </c>
      <c r="K521" s="3" t="s">
        <v>1279</v>
      </c>
      <c r="N521" s="4" t="s">
        <v>708</v>
      </c>
      <c r="O521" s="4" t="s">
        <v>2002</v>
      </c>
      <c r="P521" s="2" t="s">
        <v>1277</v>
      </c>
      <c r="Q521" s="2" t="s">
        <v>1276</v>
      </c>
      <c r="R521" s="3" t="s">
        <v>1275</v>
      </c>
      <c r="U521" s="4" t="s">
        <v>1937</v>
      </c>
      <c r="V521" s="4" t="s">
        <v>2001</v>
      </c>
      <c r="W521" s="2" t="s">
        <v>1273</v>
      </c>
      <c r="X521" s="2" t="s">
        <v>1272</v>
      </c>
      <c r="Y521" s="3" t="s">
        <v>1271</v>
      </c>
    </row>
    <row r="522" spans="1:26" x14ac:dyDescent="0.2">
      <c r="A522" s="4">
        <v>517</v>
      </c>
      <c r="C522" s="6" t="s">
        <v>950</v>
      </c>
      <c r="E522" s="6" t="s">
        <v>1215</v>
      </c>
      <c r="G522" s="4" t="s">
        <v>21</v>
      </c>
      <c r="H522" s="4" t="s">
        <v>317</v>
      </c>
      <c r="I522" s="2" t="s">
        <v>2000</v>
      </c>
      <c r="J522" s="2" t="s">
        <v>1987</v>
      </c>
      <c r="L522" s="2" t="s">
        <v>1228</v>
      </c>
      <c r="N522" s="4" t="s">
        <v>708</v>
      </c>
      <c r="O522" s="4" t="s">
        <v>1997</v>
      </c>
      <c r="P522" s="2" t="s">
        <v>1999</v>
      </c>
      <c r="Q522" s="2" t="s">
        <v>1985</v>
      </c>
      <c r="S522" s="2" t="s">
        <v>1225</v>
      </c>
      <c r="U522" s="4" t="s">
        <v>1937</v>
      </c>
      <c r="V522" s="4" t="s">
        <v>1996</v>
      </c>
      <c r="W522" s="2" t="s">
        <v>1998</v>
      </c>
      <c r="X522" s="2" t="s">
        <v>1983</v>
      </c>
      <c r="Z522" s="2" t="s">
        <v>1222</v>
      </c>
    </row>
    <row r="523" spans="1:26" ht="89.25" x14ac:dyDescent="0.2">
      <c r="A523" s="4">
        <v>518</v>
      </c>
      <c r="D523" s="6" t="s">
        <v>950</v>
      </c>
      <c r="E523" s="6" t="s">
        <v>1215</v>
      </c>
      <c r="G523" s="4" t="s">
        <v>21</v>
      </c>
      <c r="H523" s="4" t="s">
        <v>317</v>
      </c>
      <c r="I523" s="2" t="s">
        <v>123</v>
      </c>
      <c r="J523" s="2" t="s">
        <v>2945</v>
      </c>
      <c r="L523" s="2" t="s">
        <v>1991</v>
      </c>
      <c r="N523" s="4" t="s">
        <v>708</v>
      </c>
      <c r="O523" s="4" t="s">
        <v>1997</v>
      </c>
      <c r="P523" s="2" t="s">
        <v>123</v>
      </c>
      <c r="Q523" s="2" t="s">
        <v>2946</v>
      </c>
      <c r="S523" s="2" t="s">
        <v>1990</v>
      </c>
      <c r="U523" s="4" t="s">
        <v>1937</v>
      </c>
      <c r="V523" s="4" t="s">
        <v>1996</v>
      </c>
      <c r="W523" s="2" t="s">
        <v>1247</v>
      </c>
      <c r="X523" s="2" t="s">
        <v>2947</v>
      </c>
      <c r="Z523" s="2" t="s">
        <v>1989</v>
      </c>
    </row>
    <row r="524" spans="1:26" x14ac:dyDescent="0.2">
      <c r="A524" s="4">
        <v>519</v>
      </c>
      <c r="C524" s="6" t="s">
        <v>950</v>
      </c>
      <c r="E524" s="6" t="s">
        <v>1215</v>
      </c>
      <c r="G524" s="4" t="s">
        <v>21</v>
      </c>
      <c r="H524" s="4" t="s">
        <v>302</v>
      </c>
      <c r="I524" s="2" t="s">
        <v>1995</v>
      </c>
      <c r="J524" s="2" t="s">
        <v>1987</v>
      </c>
      <c r="L524" s="2" t="s">
        <v>1228</v>
      </c>
      <c r="N524" s="4" t="s">
        <v>708</v>
      </c>
      <c r="O524" s="4" t="s">
        <v>1263</v>
      </c>
      <c r="P524" s="2" t="s">
        <v>1269</v>
      </c>
      <c r="Q524" s="2" t="s">
        <v>1985</v>
      </c>
      <c r="S524" s="2" t="s">
        <v>1225</v>
      </c>
      <c r="U524" s="4" t="s">
        <v>1937</v>
      </c>
      <c r="V524" s="4" t="s">
        <v>1261</v>
      </c>
      <c r="W524" s="2" t="s">
        <v>1268</v>
      </c>
      <c r="X524" s="2" t="s">
        <v>1983</v>
      </c>
      <c r="Z524" s="2" t="s">
        <v>1222</v>
      </c>
    </row>
    <row r="525" spans="1:26" ht="38.25" x14ac:dyDescent="0.2">
      <c r="A525" s="4">
        <v>520</v>
      </c>
      <c r="E525" s="6" t="s">
        <v>1215</v>
      </c>
      <c r="G525" s="4" t="s">
        <v>21</v>
      </c>
      <c r="H525" s="4" t="s">
        <v>302</v>
      </c>
      <c r="I525" s="2" t="s">
        <v>123</v>
      </c>
      <c r="J525" s="2" t="s">
        <v>1267</v>
      </c>
      <c r="N525" s="4" t="s">
        <v>708</v>
      </c>
      <c r="O525" s="4" t="s">
        <v>1263</v>
      </c>
      <c r="P525" s="2" t="s">
        <v>123</v>
      </c>
      <c r="Q525" s="2" t="s">
        <v>1266</v>
      </c>
      <c r="U525" s="4" t="s">
        <v>1937</v>
      </c>
      <c r="V525" s="4" t="s">
        <v>1261</v>
      </c>
      <c r="W525" s="2" t="s">
        <v>1247</v>
      </c>
      <c r="X525" s="2" t="s">
        <v>1266</v>
      </c>
    </row>
    <row r="526" spans="1:26" ht="25.5" x14ac:dyDescent="0.2">
      <c r="A526" s="4">
        <v>521</v>
      </c>
      <c r="D526" s="6" t="s">
        <v>950</v>
      </c>
      <c r="E526" s="6" t="s">
        <v>1215</v>
      </c>
      <c r="G526" s="4" t="s">
        <v>21</v>
      </c>
      <c r="H526" s="4" t="s">
        <v>302</v>
      </c>
      <c r="I526" s="2" t="s">
        <v>1994</v>
      </c>
      <c r="J526" s="2" t="s">
        <v>2948</v>
      </c>
      <c r="L526" s="2" t="s">
        <v>1991</v>
      </c>
      <c r="N526" s="4" t="s">
        <v>708</v>
      </c>
      <c r="O526" s="4" t="s">
        <v>1263</v>
      </c>
      <c r="P526" s="2" t="s">
        <v>1993</v>
      </c>
      <c r="Q526" s="2" t="s">
        <v>2949</v>
      </c>
      <c r="S526" s="2" t="s">
        <v>1990</v>
      </c>
      <c r="U526" s="4" t="s">
        <v>1937</v>
      </c>
      <c r="V526" s="4" t="s">
        <v>1261</v>
      </c>
      <c r="W526" s="2" t="s">
        <v>1992</v>
      </c>
      <c r="X526" s="2" t="s">
        <v>2950</v>
      </c>
      <c r="Z526" s="2" t="s">
        <v>1989</v>
      </c>
    </row>
    <row r="527" spans="1:26" ht="25.5" x14ac:dyDescent="0.2">
      <c r="A527" s="4">
        <v>522</v>
      </c>
      <c r="C527" s="6" t="s">
        <v>950</v>
      </c>
      <c r="E527" s="6" t="s">
        <v>1215</v>
      </c>
      <c r="G527" s="4" t="s">
        <v>21</v>
      </c>
      <c r="H527" s="4" t="s">
        <v>304</v>
      </c>
      <c r="I527" s="2" t="s">
        <v>1988</v>
      </c>
      <c r="J527" s="2" t="s">
        <v>1987</v>
      </c>
      <c r="L527" s="2" t="s">
        <v>1228</v>
      </c>
      <c r="N527" s="4" t="s">
        <v>708</v>
      </c>
      <c r="O527" s="4" t="s">
        <v>1982</v>
      </c>
      <c r="P527" s="2" t="s">
        <v>1986</v>
      </c>
      <c r="Q527" s="2" t="s">
        <v>1985</v>
      </c>
      <c r="S527" s="2" t="s">
        <v>1225</v>
      </c>
      <c r="U527" s="4" t="s">
        <v>1937</v>
      </c>
      <c r="V527" s="4" t="s">
        <v>1981</v>
      </c>
      <c r="W527" s="2" t="s">
        <v>1984</v>
      </c>
      <c r="X527" s="2" t="s">
        <v>1983</v>
      </c>
      <c r="Z527" s="2" t="s">
        <v>1222</v>
      </c>
    </row>
    <row r="528" spans="1:26" x14ac:dyDescent="0.2">
      <c r="A528" s="4">
        <v>523</v>
      </c>
      <c r="E528" s="6" t="s">
        <v>1215</v>
      </c>
      <c r="G528" s="4" t="s">
        <v>21</v>
      </c>
      <c r="H528" s="4" t="s">
        <v>304</v>
      </c>
      <c r="I528" s="2" t="s">
        <v>123</v>
      </c>
      <c r="J528" s="2" t="s">
        <v>1220</v>
      </c>
      <c r="N528" s="4" t="s">
        <v>708</v>
      </c>
      <c r="O528" s="4" t="s">
        <v>1982</v>
      </c>
      <c r="P528" s="2" t="s">
        <v>123</v>
      </c>
      <c r="Q528" s="2" t="s">
        <v>1218</v>
      </c>
      <c r="U528" s="4" t="s">
        <v>1937</v>
      </c>
      <c r="V528" s="4" t="s">
        <v>1981</v>
      </c>
      <c r="W528" s="2" t="s">
        <v>1247</v>
      </c>
      <c r="X528" s="2" t="s">
        <v>1218</v>
      </c>
    </row>
    <row r="529" spans="1:26" x14ac:dyDescent="0.2">
      <c r="A529" s="4">
        <v>524</v>
      </c>
      <c r="D529" s="6" t="s">
        <v>950</v>
      </c>
      <c r="E529" s="6" t="s">
        <v>1215</v>
      </c>
      <c r="G529" s="4" t="s">
        <v>21</v>
      </c>
      <c r="H529" s="4" t="s">
        <v>304</v>
      </c>
      <c r="I529" s="2" t="s">
        <v>541</v>
      </c>
      <c r="J529" s="2" t="s">
        <v>314</v>
      </c>
      <c r="N529" s="4" t="s">
        <v>708</v>
      </c>
      <c r="O529" s="4" t="s">
        <v>1982</v>
      </c>
      <c r="P529" s="2" t="s">
        <v>875</v>
      </c>
      <c r="Q529" s="2" t="s">
        <v>803</v>
      </c>
      <c r="U529" s="4" t="s">
        <v>1937</v>
      </c>
      <c r="V529" s="4" t="s">
        <v>1981</v>
      </c>
      <c r="W529" s="2" t="s">
        <v>875</v>
      </c>
      <c r="X529" s="2" t="s">
        <v>1497</v>
      </c>
    </row>
    <row r="530" spans="1:26" x14ac:dyDescent="0.2">
      <c r="A530" s="4">
        <v>525</v>
      </c>
      <c r="E530" s="6" t="s">
        <v>1215</v>
      </c>
      <c r="G530" s="4" t="s">
        <v>21</v>
      </c>
      <c r="H530" s="4" t="s">
        <v>304</v>
      </c>
      <c r="I530" s="2" t="s">
        <v>1217</v>
      </c>
      <c r="J530" s="2" t="s">
        <v>933</v>
      </c>
      <c r="N530" s="4" t="s">
        <v>708</v>
      </c>
      <c r="O530" s="4" t="s">
        <v>1982</v>
      </c>
      <c r="P530" s="2" t="s">
        <v>1217</v>
      </c>
      <c r="Q530" s="2" t="s">
        <v>933</v>
      </c>
      <c r="U530" s="4" t="s">
        <v>1937</v>
      </c>
      <c r="V530" s="4" t="s">
        <v>1981</v>
      </c>
      <c r="W530" s="2" t="s">
        <v>1217</v>
      </c>
      <c r="X530" s="2" t="s">
        <v>1216</v>
      </c>
    </row>
    <row r="531" spans="1:26" x14ac:dyDescent="0.2">
      <c r="A531" s="4">
        <v>526</v>
      </c>
      <c r="C531" s="6" t="s">
        <v>950</v>
      </c>
      <c r="E531" s="6" t="s">
        <v>1215</v>
      </c>
      <c r="G531" s="4" t="s">
        <v>21</v>
      </c>
      <c r="H531" s="4" t="s">
        <v>1974</v>
      </c>
      <c r="I531" s="2" t="s">
        <v>969</v>
      </c>
      <c r="J531" s="2" t="s">
        <v>1954</v>
      </c>
      <c r="L531" s="2" t="s">
        <v>1228</v>
      </c>
      <c r="N531" s="4" t="s">
        <v>708</v>
      </c>
      <c r="O531" s="4" t="s">
        <v>528</v>
      </c>
      <c r="P531" s="2" t="s">
        <v>1319</v>
      </c>
      <c r="Q531" s="2" t="s">
        <v>1953</v>
      </c>
      <c r="S531" s="2" t="s">
        <v>1225</v>
      </c>
      <c r="U531" s="4" t="s">
        <v>1937</v>
      </c>
      <c r="V531" s="4" t="s">
        <v>1969</v>
      </c>
      <c r="W531" s="2" t="s">
        <v>1319</v>
      </c>
      <c r="X531" s="2" t="s">
        <v>1952</v>
      </c>
      <c r="Z531" s="2" t="s">
        <v>1222</v>
      </c>
    </row>
    <row r="532" spans="1:26" x14ac:dyDescent="0.2">
      <c r="A532" s="4">
        <v>527</v>
      </c>
      <c r="E532" s="6" t="s">
        <v>1215</v>
      </c>
      <c r="G532" s="4" t="s">
        <v>21</v>
      </c>
      <c r="H532" s="4" t="s">
        <v>1974</v>
      </c>
      <c r="I532" s="2" t="s">
        <v>121</v>
      </c>
      <c r="J532" s="2" t="s">
        <v>951</v>
      </c>
      <c r="N532" s="4" t="s">
        <v>708</v>
      </c>
      <c r="O532" s="4" t="s">
        <v>528</v>
      </c>
      <c r="P532" s="2" t="s">
        <v>742</v>
      </c>
      <c r="Q532" s="2" t="s">
        <v>951</v>
      </c>
      <c r="U532" s="4" t="s">
        <v>1937</v>
      </c>
      <c r="V532" s="4" t="s">
        <v>1969</v>
      </c>
      <c r="W532" s="2" t="s">
        <v>742</v>
      </c>
      <c r="X532" s="2" t="s">
        <v>951</v>
      </c>
    </row>
    <row r="533" spans="1:26" x14ac:dyDescent="0.2">
      <c r="A533" s="4">
        <v>528</v>
      </c>
      <c r="E533" s="6" t="s">
        <v>1215</v>
      </c>
      <c r="G533" s="4" t="s">
        <v>21</v>
      </c>
      <c r="H533" s="4" t="s">
        <v>1974</v>
      </c>
      <c r="I533" s="2" t="s">
        <v>549</v>
      </c>
      <c r="J533" s="2" t="s">
        <v>956</v>
      </c>
      <c r="N533" s="4" t="s">
        <v>708</v>
      </c>
      <c r="O533" s="4" t="s">
        <v>528</v>
      </c>
      <c r="P533" s="2" t="s">
        <v>878</v>
      </c>
      <c r="Q533" s="2" t="s">
        <v>956</v>
      </c>
      <c r="U533" s="4" t="s">
        <v>1937</v>
      </c>
      <c r="V533" s="4" t="s">
        <v>1969</v>
      </c>
      <c r="W533" s="2" t="s">
        <v>1980</v>
      </c>
      <c r="X533" s="2" t="s">
        <v>956</v>
      </c>
    </row>
    <row r="534" spans="1:26" x14ac:dyDescent="0.2">
      <c r="A534" s="4">
        <v>529</v>
      </c>
      <c r="E534" s="6" t="s">
        <v>1215</v>
      </c>
      <c r="G534" s="4" t="s">
        <v>21</v>
      </c>
      <c r="H534" s="4" t="s">
        <v>1974</v>
      </c>
      <c r="I534" s="2" t="s">
        <v>123</v>
      </c>
      <c r="J534" s="2" t="s">
        <v>1220</v>
      </c>
      <c r="N534" s="4" t="s">
        <v>708</v>
      </c>
      <c r="O534" s="4" t="s">
        <v>528</v>
      </c>
      <c r="P534" s="2" t="s">
        <v>123</v>
      </c>
      <c r="Q534" s="2" t="s">
        <v>1218</v>
      </c>
      <c r="U534" s="4" t="s">
        <v>1937</v>
      </c>
      <c r="V534" s="4" t="s">
        <v>1969</v>
      </c>
      <c r="W534" s="2" t="s">
        <v>1247</v>
      </c>
      <c r="X534" s="2" t="s">
        <v>1218</v>
      </c>
    </row>
    <row r="535" spans="1:26" x14ac:dyDescent="0.2">
      <c r="A535" s="4">
        <v>530</v>
      </c>
      <c r="E535" s="6" t="s">
        <v>1215</v>
      </c>
      <c r="G535" s="4" t="s">
        <v>21</v>
      </c>
      <c r="H535" s="4" t="s">
        <v>1974</v>
      </c>
      <c r="I535" s="2" t="s">
        <v>1979</v>
      </c>
      <c r="J535" s="2" t="s">
        <v>265</v>
      </c>
      <c r="N535" s="4" t="s">
        <v>708</v>
      </c>
      <c r="O535" s="4" t="s">
        <v>528</v>
      </c>
      <c r="P535" s="2" t="s">
        <v>1978</v>
      </c>
      <c r="Q535" s="2" t="s">
        <v>711</v>
      </c>
      <c r="U535" s="4" t="s">
        <v>1937</v>
      </c>
      <c r="V535" s="4" t="s">
        <v>1969</v>
      </c>
      <c r="W535" s="2" t="s">
        <v>1977</v>
      </c>
      <c r="X535" s="2" t="s">
        <v>1976</v>
      </c>
    </row>
    <row r="536" spans="1:26" x14ac:dyDescent="0.2">
      <c r="A536" s="4">
        <v>531</v>
      </c>
      <c r="E536" s="6" t="s">
        <v>1215</v>
      </c>
      <c r="G536" s="4" t="s">
        <v>21</v>
      </c>
      <c r="H536" s="4" t="s">
        <v>1974</v>
      </c>
      <c r="I536" s="2" t="s">
        <v>1212</v>
      </c>
      <c r="J536" s="2" t="s">
        <v>521</v>
      </c>
      <c r="N536" s="4" t="s">
        <v>708</v>
      </c>
      <c r="O536" s="4" t="s">
        <v>528</v>
      </c>
      <c r="P536" s="2" t="s">
        <v>1208</v>
      </c>
      <c r="Q536" s="2" t="s">
        <v>868</v>
      </c>
      <c r="U536" s="4" t="s">
        <v>1937</v>
      </c>
      <c r="V536" s="4" t="s">
        <v>1969</v>
      </c>
      <c r="W536" s="2" t="s">
        <v>1204</v>
      </c>
      <c r="X536" s="2" t="s">
        <v>1975</v>
      </c>
    </row>
    <row r="537" spans="1:26" ht="25.5" x14ac:dyDescent="0.2">
      <c r="A537" s="4">
        <v>532</v>
      </c>
      <c r="E537" s="6" t="s">
        <v>1215</v>
      </c>
      <c r="G537" s="4" t="s">
        <v>21</v>
      </c>
      <c r="H537" s="4" t="s">
        <v>1974</v>
      </c>
      <c r="I537" s="2" t="s">
        <v>1973</v>
      </c>
      <c r="J537" s="2" t="s">
        <v>2785</v>
      </c>
      <c r="L537" s="2" t="s">
        <v>1972</v>
      </c>
      <c r="N537" s="4" t="s">
        <v>708</v>
      </c>
      <c r="O537" s="4" t="s">
        <v>528</v>
      </c>
      <c r="P537" s="2" t="s">
        <v>1971</v>
      </c>
      <c r="Q537" s="2" t="s">
        <v>2951</v>
      </c>
      <c r="S537" s="2" t="s">
        <v>1970</v>
      </c>
      <c r="U537" s="4" t="s">
        <v>1937</v>
      </c>
      <c r="V537" s="4" t="s">
        <v>1969</v>
      </c>
      <c r="W537" s="2" t="s">
        <v>1968</v>
      </c>
      <c r="X537" s="2" t="s">
        <v>2952</v>
      </c>
      <c r="Z537" s="2" t="s">
        <v>1967</v>
      </c>
    </row>
    <row r="538" spans="1:26" x14ac:dyDescent="0.2">
      <c r="A538" s="4">
        <v>533</v>
      </c>
      <c r="B538" s="6" t="s">
        <v>6</v>
      </c>
      <c r="C538" s="6" t="s">
        <v>950</v>
      </c>
      <c r="E538" s="6" t="s">
        <v>1215</v>
      </c>
      <c r="G538" s="4" t="s">
        <v>21</v>
      </c>
      <c r="H538" s="4" t="s">
        <v>1957</v>
      </c>
      <c r="I538" s="2" t="s">
        <v>1966</v>
      </c>
      <c r="J538" s="2" t="s">
        <v>1965</v>
      </c>
      <c r="L538" s="2" t="s">
        <v>1964</v>
      </c>
      <c r="N538" s="4" t="s">
        <v>708</v>
      </c>
      <c r="O538" s="4" t="s">
        <v>1956</v>
      </c>
      <c r="P538" s="2" t="s">
        <v>1963</v>
      </c>
      <c r="Q538" s="2" t="s">
        <v>1962</v>
      </c>
      <c r="S538" s="2" t="s">
        <v>1961</v>
      </c>
      <c r="U538" s="4" t="s">
        <v>1937</v>
      </c>
      <c r="V538" s="4" t="s">
        <v>1955</v>
      </c>
      <c r="W538" s="2" t="s">
        <v>1960</v>
      </c>
      <c r="X538" s="2" t="s">
        <v>1959</v>
      </c>
      <c r="Z538" s="2" t="s">
        <v>1958</v>
      </c>
    </row>
    <row r="539" spans="1:26" x14ac:dyDescent="0.2">
      <c r="A539" s="4">
        <v>534</v>
      </c>
      <c r="E539" s="6" t="s">
        <v>1215</v>
      </c>
      <c r="G539" s="4" t="s">
        <v>21</v>
      </c>
      <c r="H539" s="4" t="s">
        <v>1957</v>
      </c>
      <c r="I539" s="2" t="s">
        <v>1219</v>
      </c>
      <c r="J539" s="2" t="s">
        <v>1220</v>
      </c>
      <c r="N539" s="4" t="s">
        <v>708</v>
      </c>
      <c r="O539" s="4" t="s">
        <v>1956</v>
      </c>
      <c r="P539" s="2" t="s">
        <v>1219</v>
      </c>
      <c r="Q539" s="2" t="s">
        <v>1218</v>
      </c>
      <c r="U539" s="4" t="s">
        <v>1937</v>
      </c>
      <c r="V539" s="4" t="s">
        <v>1955</v>
      </c>
      <c r="W539" s="2" t="s">
        <v>1219</v>
      </c>
      <c r="X539" s="2" t="s">
        <v>1218</v>
      </c>
    </row>
    <row r="540" spans="1:26" x14ac:dyDescent="0.2">
      <c r="A540" s="4">
        <v>535</v>
      </c>
      <c r="D540" s="6" t="s">
        <v>950</v>
      </c>
      <c r="E540" s="6" t="s">
        <v>1215</v>
      </c>
      <c r="G540" s="4" t="s">
        <v>21</v>
      </c>
      <c r="H540" s="4" t="s">
        <v>1957</v>
      </c>
      <c r="I540" s="2" t="s">
        <v>1217</v>
      </c>
      <c r="J540" s="2" t="s">
        <v>933</v>
      </c>
      <c r="K540" s="3">
        <v>100</v>
      </c>
      <c r="N540" s="4" t="s">
        <v>708</v>
      </c>
      <c r="O540" s="4" t="s">
        <v>1956</v>
      </c>
      <c r="P540" s="2" t="s">
        <v>1217</v>
      </c>
      <c r="Q540" s="2" t="s">
        <v>933</v>
      </c>
      <c r="R540" s="3">
        <v>100</v>
      </c>
      <c r="U540" s="4" t="s">
        <v>1937</v>
      </c>
      <c r="V540" s="4" t="s">
        <v>1955</v>
      </c>
      <c r="W540" s="2" t="s">
        <v>1217</v>
      </c>
      <c r="X540" s="2" t="s">
        <v>1216</v>
      </c>
      <c r="Y540" s="3">
        <v>100</v>
      </c>
    </row>
    <row r="541" spans="1:26" x14ac:dyDescent="0.2">
      <c r="A541" s="4">
        <v>536</v>
      </c>
      <c r="D541" s="6" t="s">
        <v>950</v>
      </c>
      <c r="E541" s="6" t="s">
        <v>1215</v>
      </c>
      <c r="G541" s="4" t="s">
        <v>21</v>
      </c>
      <c r="H541" s="4" t="s">
        <v>1957</v>
      </c>
      <c r="I541" s="2" t="s">
        <v>1285</v>
      </c>
      <c r="J541" s="2" t="s">
        <v>1199</v>
      </c>
      <c r="K541" s="3" t="s">
        <v>86</v>
      </c>
      <c r="N541" s="4" t="s">
        <v>708</v>
      </c>
      <c r="O541" s="4" t="s">
        <v>1956</v>
      </c>
      <c r="P541" s="2" t="s">
        <v>1285</v>
      </c>
      <c r="Q541" s="2" t="s">
        <v>1199</v>
      </c>
      <c r="R541" s="3" t="s">
        <v>86</v>
      </c>
      <c r="U541" s="4" t="s">
        <v>1937</v>
      </c>
      <c r="V541" s="4" t="s">
        <v>1955</v>
      </c>
      <c r="W541" s="2" t="s">
        <v>1285</v>
      </c>
      <c r="X541" s="2" t="s">
        <v>1199</v>
      </c>
      <c r="Y541" s="3" t="s">
        <v>86</v>
      </c>
    </row>
    <row r="542" spans="1:26" x14ac:dyDescent="0.2">
      <c r="A542" s="4">
        <v>537</v>
      </c>
      <c r="D542" s="6" t="s">
        <v>950</v>
      </c>
      <c r="E542" s="6" t="s">
        <v>1215</v>
      </c>
      <c r="G542" s="4" t="s">
        <v>21</v>
      </c>
      <c r="H542" s="4" t="s">
        <v>1957</v>
      </c>
      <c r="I542" s="2" t="s">
        <v>1283</v>
      </c>
      <c r="J542" s="2" t="s">
        <v>1200</v>
      </c>
      <c r="K542" s="3" t="s">
        <v>90</v>
      </c>
      <c r="N542" s="4" t="s">
        <v>708</v>
      </c>
      <c r="O542" s="4" t="s">
        <v>1956</v>
      </c>
      <c r="P542" s="2" t="s">
        <v>1283</v>
      </c>
      <c r="Q542" s="2" t="s">
        <v>1200</v>
      </c>
      <c r="R542" s="3" t="s">
        <v>90</v>
      </c>
      <c r="U542" s="4" t="s">
        <v>1937</v>
      </c>
      <c r="V542" s="4" t="s">
        <v>1955</v>
      </c>
      <c r="W542" s="2" t="s">
        <v>1283</v>
      </c>
      <c r="X542" s="2" t="s">
        <v>1200</v>
      </c>
      <c r="Y542" s="3" t="s">
        <v>90</v>
      </c>
    </row>
    <row r="543" spans="1:26" x14ac:dyDescent="0.2">
      <c r="A543" s="4">
        <v>538</v>
      </c>
      <c r="C543" s="6" t="s">
        <v>950</v>
      </c>
      <c r="D543" s="6" t="s">
        <v>950</v>
      </c>
      <c r="E543" s="6" t="s">
        <v>1215</v>
      </c>
      <c r="G543" s="4" t="s">
        <v>21</v>
      </c>
      <c r="H543" s="4" t="s">
        <v>1948</v>
      </c>
      <c r="I543" s="2" t="s">
        <v>969</v>
      </c>
      <c r="J543" s="2" t="s">
        <v>1954</v>
      </c>
      <c r="L543" s="2" t="s">
        <v>1521</v>
      </c>
      <c r="N543" s="4" t="s">
        <v>708</v>
      </c>
      <c r="O543" s="4" t="s">
        <v>1947</v>
      </c>
      <c r="P543" s="2" t="s">
        <v>1319</v>
      </c>
      <c r="Q543" s="2" t="s">
        <v>1953</v>
      </c>
      <c r="S543" s="2" t="s">
        <v>1520</v>
      </c>
      <c r="U543" s="4" t="s">
        <v>1937</v>
      </c>
      <c r="V543" s="4" t="s">
        <v>1946</v>
      </c>
      <c r="W543" s="2" t="s">
        <v>1319</v>
      </c>
      <c r="X543" s="2" t="s">
        <v>1952</v>
      </c>
      <c r="Z543" s="2" t="s">
        <v>1519</v>
      </c>
    </row>
    <row r="544" spans="1:26" x14ac:dyDescent="0.2">
      <c r="A544" s="4">
        <v>539</v>
      </c>
      <c r="D544" s="6" t="s">
        <v>950</v>
      </c>
      <c r="E544" s="6" t="s">
        <v>1215</v>
      </c>
      <c r="G544" s="4" t="s">
        <v>21</v>
      </c>
      <c r="H544" s="4" t="s">
        <v>1948</v>
      </c>
      <c r="I544" s="2" t="s">
        <v>99</v>
      </c>
      <c r="J544" s="2" t="s">
        <v>951</v>
      </c>
      <c r="N544" s="4" t="s">
        <v>708</v>
      </c>
      <c r="O544" s="4" t="s">
        <v>1947</v>
      </c>
      <c r="P544" s="2" t="s">
        <v>734</v>
      </c>
      <c r="Q544" s="2" t="s">
        <v>951</v>
      </c>
      <c r="U544" s="4" t="s">
        <v>1937</v>
      </c>
      <c r="V544" s="4" t="s">
        <v>1946</v>
      </c>
      <c r="W544" s="2" t="s">
        <v>1376</v>
      </c>
      <c r="X544" s="2" t="s">
        <v>951</v>
      </c>
    </row>
    <row r="545" spans="1:26" ht="25.5" x14ac:dyDescent="0.2">
      <c r="A545" s="4">
        <v>540</v>
      </c>
      <c r="B545" s="6" t="s">
        <v>6</v>
      </c>
      <c r="E545" s="6" t="s">
        <v>1215</v>
      </c>
      <c r="G545" s="4" t="s">
        <v>21</v>
      </c>
      <c r="H545" s="4" t="s">
        <v>1948</v>
      </c>
      <c r="I545" s="2" t="s">
        <v>123</v>
      </c>
      <c r="J545" s="2" t="s">
        <v>1220</v>
      </c>
      <c r="L545" s="2" t="s">
        <v>1951</v>
      </c>
      <c r="N545" s="4" t="s">
        <v>708</v>
      </c>
      <c r="O545" s="4" t="s">
        <v>1947</v>
      </c>
      <c r="P545" s="2" t="s">
        <v>123</v>
      </c>
      <c r="Q545" s="2" t="s">
        <v>1218</v>
      </c>
      <c r="S545" s="2" t="s">
        <v>1950</v>
      </c>
      <c r="U545" s="4" t="s">
        <v>1937</v>
      </c>
      <c r="V545" s="4" t="s">
        <v>1946</v>
      </c>
      <c r="W545" s="2" t="s">
        <v>1247</v>
      </c>
      <c r="X545" s="2" t="s">
        <v>1218</v>
      </c>
      <c r="Z545" s="2" t="s">
        <v>1949</v>
      </c>
    </row>
    <row r="546" spans="1:26" x14ac:dyDescent="0.2">
      <c r="A546" s="4">
        <v>541</v>
      </c>
      <c r="E546" s="6" t="s">
        <v>1215</v>
      </c>
      <c r="G546" s="4" t="s">
        <v>21</v>
      </c>
      <c r="H546" s="4" t="s">
        <v>1948</v>
      </c>
      <c r="I546" s="2" t="s">
        <v>1855</v>
      </c>
      <c r="J546" s="2" t="s">
        <v>939</v>
      </c>
      <c r="N546" s="4" t="s">
        <v>708</v>
      </c>
      <c r="O546" s="4" t="s">
        <v>1947</v>
      </c>
      <c r="P546" s="2" t="s">
        <v>1853</v>
      </c>
      <c r="Q546" s="2" t="s">
        <v>1854</v>
      </c>
      <c r="U546" s="4" t="s">
        <v>1937</v>
      </c>
      <c r="V546" s="4" t="s">
        <v>1946</v>
      </c>
      <c r="W546" s="2" t="s">
        <v>1853</v>
      </c>
      <c r="X546" s="2" t="s">
        <v>1852</v>
      </c>
    </row>
    <row r="547" spans="1:26" x14ac:dyDescent="0.2">
      <c r="A547" s="4">
        <v>542</v>
      </c>
      <c r="E547" s="6" t="s">
        <v>1215</v>
      </c>
      <c r="G547" s="4" t="s">
        <v>21</v>
      </c>
      <c r="H547" s="4" t="s">
        <v>1948</v>
      </c>
      <c r="I547" s="2" t="s">
        <v>1851</v>
      </c>
      <c r="J547" s="2" t="s">
        <v>941</v>
      </c>
      <c r="N547" s="4" t="s">
        <v>708</v>
      </c>
      <c r="O547" s="4" t="s">
        <v>1947</v>
      </c>
      <c r="P547" s="2" t="s">
        <v>1850</v>
      </c>
      <c r="Q547" s="2" t="s">
        <v>1849</v>
      </c>
      <c r="U547" s="4" t="s">
        <v>1937</v>
      </c>
      <c r="V547" s="4" t="s">
        <v>1946</v>
      </c>
      <c r="W547" s="2" t="s">
        <v>1848</v>
      </c>
      <c r="X547" s="2" t="s">
        <v>1847</v>
      </c>
    </row>
    <row r="548" spans="1:26" x14ac:dyDescent="0.2">
      <c r="A548" s="4">
        <v>543</v>
      </c>
      <c r="E548" s="6" t="s">
        <v>1215</v>
      </c>
      <c r="G548" s="4" t="s">
        <v>21</v>
      </c>
      <c r="H548" s="4" t="s">
        <v>1948</v>
      </c>
      <c r="I548" s="2" t="s">
        <v>1837</v>
      </c>
      <c r="J548" s="2" t="s">
        <v>2926</v>
      </c>
      <c r="L548" s="2" t="s">
        <v>1836</v>
      </c>
      <c r="N548" s="4" t="s">
        <v>708</v>
      </c>
      <c r="O548" s="4" t="s">
        <v>1947</v>
      </c>
      <c r="P548" s="2" t="s">
        <v>1834</v>
      </c>
      <c r="Q548" s="2" t="s">
        <v>1507</v>
      </c>
      <c r="S548" s="2" t="s">
        <v>1833</v>
      </c>
      <c r="U548" s="4" t="s">
        <v>1937</v>
      </c>
      <c r="V548" s="4" t="s">
        <v>1946</v>
      </c>
      <c r="W548" s="2" t="s">
        <v>1831</v>
      </c>
      <c r="X548" s="2" t="s">
        <v>2925</v>
      </c>
      <c r="Z548" s="2" t="s">
        <v>1830</v>
      </c>
    </row>
    <row r="549" spans="1:26" ht="25.5" x14ac:dyDescent="0.2">
      <c r="A549" s="4">
        <v>544</v>
      </c>
      <c r="B549" s="6" t="s">
        <v>6</v>
      </c>
      <c r="C549" s="6" t="s">
        <v>950</v>
      </c>
      <c r="E549" s="6" t="s">
        <v>1215</v>
      </c>
      <c r="G549" s="4" t="s">
        <v>21</v>
      </c>
      <c r="H549" s="4" t="s">
        <v>1939</v>
      </c>
      <c r="I549" s="2" t="s">
        <v>1945</v>
      </c>
      <c r="J549" s="2" t="s">
        <v>1944</v>
      </c>
      <c r="L549" s="19" t="s">
        <v>2832</v>
      </c>
      <c r="N549" s="4" t="s">
        <v>708</v>
      </c>
      <c r="O549" s="4" t="s">
        <v>1938</v>
      </c>
      <c r="P549" s="2" t="s">
        <v>1943</v>
      </c>
      <c r="Q549" s="2" t="s">
        <v>1942</v>
      </c>
      <c r="S549" s="19" t="s">
        <v>2835</v>
      </c>
      <c r="U549" s="4" t="s">
        <v>1937</v>
      </c>
      <c r="V549" s="4" t="s">
        <v>1936</v>
      </c>
      <c r="W549" s="2" t="s">
        <v>1941</v>
      </c>
      <c r="X549" s="2" t="s">
        <v>1940</v>
      </c>
      <c r="Z549" s="19" t="s">
        <v>2833</v>
      </c>
    </row>
    <row r="550" spans="1:26" x14ac:dyDescent="0.2">
      <c r="A550" s="4">
        <v>545</v>
      </c>
      <c r="E550" s="6" t="s">
        <v>1215</v>
      </c>
      <c r="G550" s="4" t="s">
        <v>21</v>
      </c>
      <c r="H550" s="4" t="s">
        <v>1939</v>
      </c>
      <c r="I550" s="2" t="s">
        <v>1219</v>
      </c>
      <c r="J550" s="2" t="s">
        <v>1220</v>
      </c>
      <c r="N550" s="4" t="s">
        <v>708</v>
      </c>
      <c r="O550" s="4" t="s">
        <v>1938</v>
      </c>
      <c r="P550" s="2" t="s">
        <v>1219</v>
      </c>
      <c r="Q550" s="2" t="s">
        <v>1218</v>
      </c>
      <c r="U550" s="4" t="s">
        <v>1937</v>
      </c>
      <c r="V550" s="4" t="s">
        <v>1936</v>
      </c>
      <c r="W550" s="2" t="s">
        <v>1219</v>
      </c>
      <c r="X550" s="2" t="s">
        <v>1218</v>
      </c>
    </row>
    <row r="551" spans="1:26" x14ac:dyDescent="0.2">
      <c r="A551" s="4">
        <v>546</v>
      </c>
      <c r="D551" s="6" t="s">
        <v>950</v>
      </c>
      <c r="E551" s="6" t="s">
        <v>1215</v>
      </c>
      <c r="G551" s="4" t="s">
        <v>21</v>
      </c>
      <c r="H551" s="4" t="s">
        <v>1939</v>
      </c>
      <c r="I551" s="2" t="s">
        <v>1217</v>
      </c>
      <c r="J551" s="2" t="s">
        <v>933</v>
      </c>
      <c r="K551" s="3">
        <v>100</v>
      </c>
      <c r="N551" s="4" t="s">
        <v>708</v>
      </c>
      <c r="O551" s="4" t="s">
        <v>1938</v>
      </c>
      <c r="P551" s="2" t="s">
        <v>1217</v>
      </c>
      <c r="Q551" s="2" t="s">
        <v>933</v>
      </c>
      <c r="R551" s="3">
        <v>100</v>
      </c>
      <c r="U551" s="4" t="s">
        <v>1937</v>
      </c>
      <c r="V551" s="4" t="s">
        <v>1936</v>
      </c>
      <c r="W551" s="2" t="s">
        <v>1217</v>
      </c>
      <c r="X551" s="2" t="s">
        <v>1216</v>
      </c>
      <c r="Y551" s="3">
        <v>100</v>
      </c>
    </row>
    <row r="552" spans="1:26" x14ac:dyDescent="0.2">
      <c r="A552" s="4">
        <v>547</v>
      </c>
      <c r="D552" s="6" t="s">
        <v>950</v>
      </c>
      <c r="E552" s="6" t="s">
        <v>1215</v>
      </c>
      <c r="G552" s="4" t="s">
        <v>21</v>
      </c>
      <c r="H552" s="4" t="s">
        <v>1939</v>
      </c>
      <c r="I552" s="2" t="s">
        <v>1285</v>
      </c>
      <c r="J552" s="2" t="s">
        <v>1199</v>
      </c>
      <c r="K552" s="3" t="s">
        <v>86</v>
      </c>
      <c r="N552" s="4" t="s">
        <v>708</v>
      </c>
      <c r="O552" s="4" t="s">
        <v>1938</v>
      </c>
      <c r="P552" s="2" t="s">
        <v>1285</v>
      </c>
      <c r="Q552" s="2" t="s">
        <v>1199</v>
      </c>
      <c r="R552" s="3" t="s">
        <v>86</v>
      </c>
      <c r="U552" s="4" t="s">
        <v>1937</v>
      </c>
      <c r="V552" s="4" t="s">
        <v>1936</v>
      </c>
      <c r="W552" s="2" t="s">
        <v>1285</v>
      </c>
      <c r="X552" s="2" t="s">
        <v>1199</v>
      </c>
      <c r="Y552" s="3" t="s">
        <v>86</v>
      </c>
    </row>
    <row r="553" spans="1:26" x14ac:dyDescent="0.2">
      <c r="A553" s="4">
        <v>548</v>
      </c>
      <c r="D553" s="6" t="s">
        <v>950</v>
      </c>
      <c r="E553" s="6" t="s">
        <v>1215</v>
      </c>
      <c r="G553" s="4" t="s">
        <v>21</v>
      </c>
      <c r="H553" s="4" t="s">
        <v>1939</v>
      </c>
      <c r="I553" s="2" t="s">
        <v>1283</v>
      </c>
      <c r="J553" s="2" t="s">
        <v>1200</v>
      </c>
      <c r="K553" s="3" t="s">
        <v>90</v>
      </c>
      <c r="N553" s="4" t="s">
        <v>708</v>
      </c>
      <c r="O553" s="4" t="s">
        <v>1938</v>
      </c>
      <c r="P553" s="2" t="s">
        <v>1283</v>
      </c>
      <c r="Q553" s="2" t="s">
        <v>1200</v>
      </c>
      <c r="R553" s="3" t="s">
        <v>90</v>
      </c>
      <c r="U553" s="4" t="s">
        <v>1937</v>
      </c>
      <c r="V553" s="4" t="s">
        <v>1936</v>
      </c>
      <c r="W553" s="2" t="s">
        <v>1283</v>
      </c>
      <c r="X553" s="2" t="s">
        <v>1200</v>
      </c>
      <c r="Y553" s="3" t="s">
        <v>90</v>
      </c>
    </row>
    <row r="554" spans="1:26" ht="25.5" x14ac:dyDescent="0.2">
      <c r="A554" s="4">
        <v>549</v>
      </c>
      <c r="E554" s="6" t="s">
        <v>1385</v>
      </c>
      <c r="G554" s="4" t="s">
        <v>1875</v>
      </c>
      <c r="I554" s="2" t="s">
        <v>1903</v>
      </c>
      <c r="J554" s="2" t="s">
        <v>1935</v>
      </c>
      <c r="L554" s="2" t="s">
        <v>1908</v>
      </c>
      <c r="N554" s="4" t="s">
        <v>1873</v>
      </c>
      <c r="P554" s="2" t="s">
        <v>1902</v>
      </c>
      <c r="Q554" s="2" t="s">
        <v>1935</v>
      </c>
      <c r="S554" s="2" t="s">
        <v>1907</v>
      </c>
      <c r="U554" s="4" t="s">
        <v>1871</v>
      </c>
      <c r="W554" s="2" t="s">
        <v>1900</v>
      </c>
      <c r="X554" s="2" t="s">
        <v>1935</v>
      </c>
      <c r="Z554" s="2" t="s">
        <v>1905</v>
      </c>
    </row>
    <row r="555" spans="1:26" ht="25.5" x14ac:dyDescent="0.2">
      <c r="A555" s="4">
        <v>550</v>
      </c>
      <c r="E555" s="6" t="s">
        <v>1385</v>
      </c>
      <c r="G555" s="4" t="s">
        <v>1875</v>
      </c>
      <c r="I555" s="2" t="s">
        <v>1903</v>
      </c>
      <c r="J555" s="2" t="s">
        <v>1934</v>
      </c>
      <c r="L555" s="2" t="s">
        <v>1908</v>
      </c>
      <c r="N555" s="4" t="s">
        <v>1873</v>
      </c>
      <c r="P555" s="2" t="s">
        <v>1902</v>
      </c>
      <c r="Q555" s="2" t="s">
        <v>1934</v>
      </c>
      <c r="S555" s="2" t="s">
        <v>1907</v>
      </c>
      <c r="U555" s="4" t="s">
        <v>1871</v>
      </c>
      <c r="W555" s="2" t="s">
        <v>1900</v>
      </c>
      <c r="X555" s="2" t="s">
        <v>1934</v>
      </c>
      <c r="Z555" s="2" t="s">
        <v>1905</v>
      </c>
    </row>
    <row r="556" spans="1:26" ht="25.5" x14ac:dyDescent="0.2">
      <c r="A556" s="4">
        <v>551</v>
      </c>
      <c r="E556" s="6" t="s">
        <v>1385</v>
      </c>
      <c r="G556" s="4" t="s">
        <v>1875</v>
      </c>
      <c r="I556" s="2" t="s">
        <v>1903</v>
      </c>
      <c r="J556" s="2" t="s">
        <v>1933</v>
      </c>
      <c r="L556" s="2" t="s">
        <v>1908</v>
      </c>
      <c r="N556" s="4" t="s">
        <v>1873</v>
      </c>
      <c r="P556" s="2" t="s">
        <v>1902</v>
      </c>
      <c r="Q556" s="2" t="s">
        <v>1933</v>
      </c>
      <c r="S556" s="2" t="s">
        <v>1907</v>
      </c>
      <c r="U556" s="4" t="s">
        <v>1871</v>
      </c>
      <c r="W556" s="2" t="s">
        <v>1900</v>
      </c>
      <c r="X556" s="2" t="s">
        <v>1933</v>
      </c>
      <c r="Z556" s="2" t="s">
        <v>1905</v>
      </c>
    </row>
    <row r="557" spans="1:26" ht="25.5" x14ac:dyDescent="0.2">
      <c r="A557" s="4">
        <v>552</v>
      </c>
      <c r="E557" s="6" t="s">
        <v>1385</v>
      </c>
      <c r="G557" s="4" t="s">
        <v>1875</v>
      </c>
      <c r="I557" s="2" t="s">
        <v>1903</v>
      </c>
      <c r="J557" s="2" t="s">
        <v>1932</v>
      </c>
      <c r="L557" s="2" t="s">
        <v>1908</v>
      </c>
      <c r="N557" s="4" t="s">
        <v>1873</v>
      </c>
      <c r="P557" s="2" t="s">
        <v>1902</v>
      </c>
      <c r="Q557" s="2" t="s">
        <v>1932</v>
      </c>
      <c r="S557" s="2" t="s">
        <v>1907</v>
      </c>
      <c r="U557" s="4" t="s">
        <v>1871</v>
      </c>
      <c r="W557" s="2" t="s">
        <v>1900</v>
      </c>
      <c r="X557" s="2" t="s">
        <v>1932</v>
      </c>
      <c r="Z557" s="2" t="s">
        <v>1905</v>
      </c>
    </row>
    <row r="558" spans="1:26" ht="25.5" x14ac:dyDescent="0.2">
      <c r="A558" s="4">
        <v>553</v>
      </c>
      <c r="E558" s="6" t="s">
        <v>1385</v>
      </c>
      <c r="G558" s="4" t="s">
        <v>1875</v>
      </c>
      <c r="I558" s="2" t="s">
        <v>1903</v>
      </c>
      <c r="J558" s="2" t="s">
        <v>1931</v>
      </c>
      <c r="L558" s="2" t="s">
        <v>1908</v>
      </c>
      <c r="N558" s="4" t="s">
        <v>1873</v>
      </c>
      <c r="P558" s="2" t="s">
        <v>1902</v>
      </c>
      <c r="Q558" s="2" t="s">
        <v>1931</v>
      </c>
      <c r="S558" s="2" t="s">
        <v>1907</v>
      </c>
      <c r="U558" s="4" t="s">
        <v>1871</v>
      </c>
      <c r="W558" s="2" t="s">
        <v>1900</v>
      </c>
      <c r="X558" s="2" t="s">
        <v>1931</v>
      </c>
      <c r="Z558" s="2" t="s">
        <v>1905</v>
      </c>
    </row>
    <row r="559" spans="1:26" ht="25.5" x14ac:dyDescent="0.2">
      <c r="A559" s="4">
        <v>554</v>
      </c>
      <c r="E559" s="6" t="s">
        <v>1385</v>
      </c>
      <c r="G559" s="4" t="s">
        <v>1875</v>
      </c>
      <c r="I559" s="2" t="s">
        <v>1903</v>
      </c>
      <c r="J559" s="2" t="s">
        <v>1930</v>
      </c>
      <c r="L559" s="2" t="s">
        <v>1908</v>
      </c>
      <c r="N559" s="4" t="s">
        <v>1873</v>
      </c>
      <c r="P559" s="2" t="s">
        <v>1902</v>
      </c>
      <c r="Q559" s="2" t="s">
        <v>1930</v>
      </c>
      <c r="S559" s="2" t="s">
        <v>1907</v>
      </c>
      <c r="U559" s="4" t="s">
        <v>1871</v>
      </c>
      <c r="W559" s="2" t="s">
        <v>1900</v>
      </c>
      <c r="X559" s="2" t="s">
        <v>1930</v>
      </c>
      <c r="Z559" s="2" t="s">
        <v>1905</v>
      </c>
    </row>
    <row r="560" spans="1:26" ht="25.5" x14ac:dyDescent="0.2">
      <c r="A560" s="4">
        <v>555</v>
      </c>
      <c r="E560" s="6" t="s">
        <v>1385</v>
      </c>
      <c r="G560" s="4" t="s">
        <v>1875</v>
      </c>
      <c r="I560" s="2" t="s">
        <v>1903</v>
      </c>
      <c r="J560" s="2" t="s">
        <v>1929</v>
      </c>
      <c r="L560" s="2" t="s">
        <v>1908</v>
      </c>
      <c r="N560" s="4" t="s">
        <v>1873</v>
      </c>
      <c r="P560" s="2" t="s">
        <v>1902</v>
      </c>
      <c r="Q560" s="2" t="s">
        <v>1929</v>
      </c>
      <c r="S560" s="2" t="s">
        <v>1907</v>
      </c>
      <c r="U560" s="4" t="s">
        <v>1871</v>
      </c>
      <c r="W560" s="2" t="s">
        <v>1900</v>
      </c>
      <c r="X560" s="2" t="s">
        <v>1929</v>
      </c>
      <c r="Z560" s="2" t="s">
        <v>1905</v>
      </c>
    </row>
    <row r="561" spans="1:26" ht="25.5" x14ac:dyDescent="0.2">
      <c r="A561" s="4">
        <v>556</v>
      </c>
      <c r="E561" s="6" t="s">
        <v>1385</v>
      </c>
      <c r="G561" s="4" t="s">
        <v>1875</v>
      </c>
      <c r="I561" s="2" t="s">
        <v>1903</v>
      </c>
      <c r="J561" s="2" t="s">
        <v>1928</v>
      </c>
      <c r="L561" s="2" t="s">
        <v>1908</v>
      </c>
      <c r="N561" s="4" t="s">
        <v>1873</v>
      </c>
      <c r="P561" s="2" t="s">
        <v>1902</v>
      </c>
      <c r="Q561" s="2" t="s">
        <v>1928</v>
      </c>
      <c r="S561" s="2" t="s">
        <v>1907</v>
      </c>
      <c r="U561" s="4" t="s">
        <v>1871</v>
      </c>
      <c r="W561" s="2" t="s">
        <v>1900</v>
      </c>
      <c r="X561" s="2" t="s">
        <v>1928</v>
      </c>
      <c r="Z561" s="2" t="s">
        <v>1905</v>
      </c>
    </row>
    <row r="562" spans="1:26" ht="25.5" x14ac:dyDescent="0.2">
      <c r="A562" s="4">
        <v>557</v>
      </c>
      <c r="E562" s="6" t="s">
        <v>1385</v>
      </c>
      <c r="G562" s="4" t="s">
        <v>1875</v>
      </c>
      <c r="I562" s="2" t="s">
        <v>1903</v>
      </c>
      <c r="J562" s="2" t="s">
        <v>1927</v>
      </c>
      <c r="L562" s="2" t="s">
        <v>1908</v>
      </c>
      <c r="N562" s="4" t="s">
        <v>1873</v>
      </c>
      <c r="P562" s="2" t="s">
        <v>1902</v>
      </c>
      <c r="Q562" s="2" t="s">
        <v>1927</v>
      </c>
      <c r="S562" s="2" t="s">
        <v>1907</v>
      </c>
      <c r="U562" s="4" t="s">
        <v>1871</v>
      </c>
      <c r="W562" s="2" t="s">
        <v>1900</v>
      </c>
      <c r="X562" s="2" t="s">
        <v>1927</v>
      </c>
      <c r="Z562" s="2" t="s">
        <v>1905</v>
      </c>
    </row>
    <row r="563" spans="1:26" ht="25.5" x14ac:dyDescent="0.2">
      <c r="A563" s="4">
        <v>558</v>
      </c>
      <c r="E563" s="6" t="s">
        <v>1385</v>
      </c>
      <c r="G563" s="4" t="s">
        <v>1875</v>
      </c>
      <c r="I563" s="2" t="s">
        <v>1903</v>
      </c>
      <c r="J563" s="2" t="s">
        <v>1926</v>
      </c>
      <c r="L563" s="2" t="s">
        <v>1908</v>
      </c>
      <c r="N563" s="4" t="s">
        <v>1873</v>
      </c>
      <c r="P563" s="2" t="s">
        <v>1902</v>
      </c>
      <c r="Q563" s="2" t="s">
        <v>1926</v>
      </c>
      <c r="S563" s="2" t="s">
        <v>1907</v>
      </c>
      <c r="U563" s="4" t="s">
        <v>1871</v>
      </c>
      <c r="W563" s="2" t="s">
        <v>1900</v>
      </c>
      <c r="X563" s="2" t="s">
        <v>1926</v>
      </c>
      <c r="Z563" s="2" t="s">
        <v>1905</v>
      </c>
    </row>
    <row r="564" spans="1:26" ht="25.5" x14ac:dyDescent="0.2">
      <c r="A564" s="4">
        <v>559</v>
      </c>
      <c r="E564" s="6" t="s">
        <v>1385</v>
      </c>
      <c r="G564" s="4" t="s">
        <v>1875</v>
      </c>
      <c r="I564" s="2" t="s">
        <v>1903</v>
      </c>
      <c r="J564" s="2" t="s">
        <v>1925</v>
      </c>
      <c r="L564" s="2" t="s">
        <v>1908</v>
      </c>
      <c r="N564" s="4" t="s">
        <v>1873</v>
      </c>
      <c r="P564" s="2" t="s">
        <v>1902</v>
      </c>
      <c r="Q564" s="2" t="s">
        <v>1925</v>
      </c>
      <c r="S564" s="2" t="s">
        <v>1907</v>
      </c>
      <c r="U564" s="4" t="s">
        <v>1871</v>
      </c>
      <c r="W564" s="2" t="s">
        <v>1900</v>
      </c>
      <c r="X564" s="2" t="s">
        <v>1925</v>
      </c>
      <c r="Z564" s="2" t="s">
        <v>1905</v>
      </c>
    </row>
    <row r="565" spans="1:26" ht="25.5" x14ac:dyDescent="0.2">
      <c r="A565" s="4">
        <v>560</v>
      </c>
      <c r="E565" s="6" t="s">
        <v>1385</v>
      </c>
      <c r="G565" s="4" t="s">
        <v>1875</v>
      </c>
      <c r="I565" s="2" t="s">
        <v>1903</v>
      </c>
      <c r="J565" s="2" t="s">
        <v>1924</v>
      </c>
      <c r="L565" s="2" t="s">
        <v>1908</v>
      </c>
      <c r="N565" s="4" t="s">
        <v>1873</v>
      </c>
      <c r="P565" s="2" t="s">
        <v>1902</v>
      </c>
      <c r="Q565" s="2" t="s">
        <v>1924</v>
      </c>
      <c r="S565" s="2" t="s">
        <v>1907</v>
      </c>
      <c r="U565" s="4" t="s">
        <v>1871</v>
      </c>
      <c r="W565" s="2" t="s">
        <v>1900</v>
      </c>
      <c r="X565" s="2" t="s">
        <v>1924</v>
      </c>
      <c r="Z565" s="2" t="s">
        <v>1905</v>
      </c>
    </row>
    <row r="566" spans="1:26" ht="25.5" x14ac:dyDescent="0.2">
      <c r="A566" s="4">
        <v>561</v>
      </c>
      <c r="E566" s="6" t="s">
        <v>1385</v>
      </c>
      <c r="G566" s="4" t="s">
        <v>1875</v>
      </c>
      <c r="I566" s="2" t="s">
        <v>1903</v>
      </c>
      <c r="J566" s="2" t="s">
        <v>1923</v>
      </c>
      <c r="L566" s="2" t="s">
        <v>1908</v>
      </c>
      <c r="N566" s="4" t="s">
        <v>1873</v>
      </c>
      <c r="P566" s="2" t="s">
        <v>1902</v>
      </c>
      <c r="Q566" s="2" t="s">
        <v>1923</v>
      </c>
      <c r="S566" s="2" t="s">
        <v>1907</v>
      </c>
      <c r="U566" s="4" t="s">
        <v>1871</v>
      </c>
      <c r="W566" s="2" t="s">
        <v>1900</v>
      </c>
      <c r="X566" s="2" t="s">
        <v>1923</v>
      </c>
      <c r="Z566" s="2" t="s">
        <v>1905</v>
      </c>
    </row>
    <row r="567" spans="1:26" ht="25.5" x14ac:dyDescent="0.2">
      <c r="A567" s="4">
        <v>562</v>
      </c>
      <c r="E567" s="6" t="s">
        <v>1385</v>
      </c>
      <c r="G567" s="4" t="s">
        <v>1875</v>
      </c>
      <c r="I567" s="2" t="s">
        <v>1903</v>
      </c>
      <c r="J567" s="2" t="s">
        <v>1922</v>
      </c>
      <c r="L567" s="2" t="s">
        <v>1908</v>
      </c>
      <c r="N567" s="4" t="s">
        <v>1873</v>
      </c>
      <c r="P567" s="2" t="s">
        <v>1902</v>
      </c>
      <c r="Q567" s="2" t="s">
        <v>1922</v>
      </c>
      <c r="S567" s="2" t="s">
        <v>1907</v>
      </c>
      <c r="U567" s="4" t="s">
        <v>1871</v>
      </c>
      <c r="W567" s="2" t="s">
        <v>1900</v>
      </c>
      <c r="X567" s="2" t="s">
        <v>1922</v>
      </c>
      <c r="Z567" s="2" t="s">
        <v>1905</v>
      </c>
    </row>
    <row r="568" spans="1:26" ht="25.5" x14ac:dyDescent="0.2">
      <c r="A568" s="4">
        <v>563</v>
      </c>
      <c r="E568" s="6" t="s">
        <v>1385</v>
      </c>
      <c r="G568" s="4" t="s">
        <v>1875</v>
      </c>
      <c r="I568" s="2" t="s">
        <v>1903</v>
      </c>
      <c r="J568" s="2" t="s">
        <v>1921</v>
      </c>
      <c r="L568" s="2" t="s">
        <v>1908</v>
      </c>
      <c r="N568" s="4" t="s">
        <v>1873</v>
      </c>
      <c r="P568" s="2" t="s">
        <v>1902</v>
      </c>
      <c r="Q568" s="2" t="s">
        <v>1921</v>
      </c>
      <c r="S568" s="2" t="s">
        <v>1907</v>
      </c>
      <c r="U568" s="4" t="s">
        <v>1871</v>
      </c>
      <c r="W568" s="2" t="s">
        <v>1900</v>
      </c>
      <c r="X568" s="2" t="s">
        <v>1921</v>
      </c>
      <c r="Z568" s="2" t="s">
        <v>1905</v>
      </c>
    </row>
    <row r="569" spans="1:26" ht="25.5" x14ac:dyDescent="0.2">
      <c r="A569" s="4">
        <v>564</v>
      </c>
      <c r="E569" s="6" t="s">
        <v>1385</v>
      </c>
      <c r="G569" s="4" t="s">
        <v>1875</v>
      </c>
      <c r="I569" s="2" t="s">
        <v>1903</v>
      </c>
      <c r="J569" s="2" t="s">
        <v>1920</v>
      </c>
      <c r="L569" s="2" t="s">
        <v>1908</v>
      </c>
      <c r="N569" s="4" t="s">
        <v>1873</v>
      </c>
      <c r="P569" s="2" t="s">
        <v>1902</v>
      </c>
      <c r="Q569" s="2" t="s">
        <v>1920</v>
      </c>
      <c r="S569" s="2" t="s">
        <v>1907</v>
      </c>
      <c r="U569" s="4" t="s">
        <v>1871</v>
      </c>
      <c r="W569" s="2" t="s">
        <v>1900</v>
      </c>
      <c r="X569" s="2" t="s">
        <v>1920</v>
      </c>
      <c r="Z569" s="2" t="s">
        <v>1905</v>
      </c>
    </row>
    <row r="570" spans="1:26" ht="25.5" x14ac:dyDescent="0.2">
      <c r="A570" s="4">
        <v>565</v>
      </c>
      <c r="E570" s="6" t="s">
        <v>1385</v>
      </c>
      <c r="G570" s="4" t="s">
        <v>1875</v>
      </c>
      <c r="I570" s="2" t="s">
        <v>1903</v>
      </c>
      <c r="J570" s="2" t="s">
        <v>1919</v>
      </c>
      <c r="L570" s="2" t="s">
        <v>1908</v>
      </c>
      <c r="N570" s="4" t="s">
        <v>1873</v>
      </c>
      <c r="P570" s="2" t="s">
        <v>1902</v>
      </c>
      <c r="Q570" s="2" t="s">
        <v>1919</v>
      </c>
      <c r="S570" s="2" t="s">
        <v>1907</v>
      </c>
      <c r="U570" s="4" t="s">
        <v>1871</v>
      </c>
      <c r="W570" s="2" t="s">
        <v>1900</v>
      </c>
      <c r="X570" s="2" t="s">
        <v>1919</v>
      </c>
      <c r="Z570" s="2" t="s">
        <v>1905</v>
      </c>
    </row>
    <row r="571" spans="1:26" ht="25.5" x14ac:dyDescent="0.2">
      <c r="A571" s="4">
        <v>566</v>
      </c>
      <c r="E571" s="6" t="s">
        <v>1385</v>
      </c>
      <c r="G571" s="4" t="s">
        <v>1875</v>
      </c>
      <c r="I571" s="2" t="s">
        <v>1903</v>
      </c>
      <c r="J571" s="2" t="s">
        <v>1918</v>
      </c>
      <c r="L571" s="2" t="s">
        <v>1908</v>
      </c>
      <c r="N571" s="4" t="s">
        <v>1873</v>
      </c>
      <c r="P571" s="2" t="s">
        <v>1902</v>
      </c>
      <c r="Q571" s="2" t="s">
        <v>1918</v>
      </c>
      <c r="S571" s="2" t="s">
        <v>1907</v>
      </c>
      <c r="U571" s="4" t="s">
        <v>1871</v>
      </c>
      <c r="W571" s="2" t="s">
        <v>1900</v>
      </c>
      <c r="X571" s="2" t="s">
        <v>1918</v>
      </c>
      <c r="Z571" s="2" t="s">
        <v>1905</v>
      </c>
    </row>
    <row r="572" spans="1:26" ht="25.5" x14ac:dyDescent="0.2">
      <c r="A572" s="4">
        <v>567</v>
      </c>
      <c r="E572" s="6" t="s">
        <v>1385</v>
      </c>
      <c r="G572" s="4" t="s">
        <v>1875</v>
      </c>
      <c r="I572" s="2" t="s">
        <v>1903</v>
      </c>
      <c r="J572" s="2" t="s">
        <v>1917</v>
      </c>
      <c r="L572" s="2" t="s">
        <v>1908</v>
      </c>
      <c r="N572" s="4" t="s">
        <v>1873</v>
      </c>
      <c r="P572" s="2" t="s">
        <v>1902</v>
      </c>
      <c r="Q572" s="2" t="s">
        <v>1917</v>
      </c>
      <c r="S572" s="2" t="s">
        <v>1907</v>
      </c>
      <c r="U572" s="4" t="s">
        <v>1871</v>
      </c>
      <c r="W572" s="2" t="s">
        <v>1900</v>
      </c>
      <c r="X572" s="2" t="s">
        <v>1917</v>
      </c>
      <c r="Z572" s="2" t="s">
        <v>1905</v>
      </c>
    </row>
    <row r="573" spans="1:26" ht="25.5" x14ac:dyDescent="0.2">
      <c r="A573" s="4">
        <v>568</v>
      </c>
      <c r="E573" s="6" t="s">
        <v>1385</v>
      </c>
      <c r="G573" s="4" t="s">
        <v>1875</v>
      </c>
      <c r="I573" s="2" t="s">
        <v>1903</v>
      </c>
      <c r="J573" s="2" t="s">
        <v>1916</v>
      </c>
      <c r="L573" s="2" t="s">
        <v>1908</v>
      </c>
      <c r="N573" s="4" t="s">
        <v>1873</v>
      </c>
      <c r="P573" s="2" t="s">
        <v>1902</v>
      </c>
      <c r="Q573" s="2" t="s">
        <v>1916</v>
      </c>
      <c r="S573" s="2" t="s">
        <v>1907</v>
      </c>
      <c r="U573" s="4" t="s">
        <v>1871</v>
      </c>
      <c r="W573" s="2" t="s">
        <v>1900</v>
      </c>
      <c r="X573" s="2" t="s">
        <v>1916</v>
      </c>
      <c r="Z573" s="2" t="s">
        <v>1905</v>
      </c>
    </row>
    <row r="574" spans="1:26" ht="25.5" x14ac:dyDescent="0.2">
      <c r="A574" s="4">
        <v>569</v>
      </c>
      <c r="E574" s="6" t="s">
        <v>1385</v>
      </c>
      <c r="G574" s="4" t="s">
        <v>1875</v>
      </c>
      <c r="I574" s="2" t="s">
        <v>1903</v>
      </c>
      <c r="J574" s="2" t="s">
        <v>1915</v>
      </c>
      <c r="L574" s="2" t="s">
        <v>1908</v>
      </c>
      <c r="N574" s="4" t="s">
        <v>1873</v>
      </c>
      <c r="P574" s="2" t="s">
        <v>1902</v>
      </c>
      <c r="Q574" s="2" t="s">
        <v>1915</v>
      </c>
      <c r="S574" s="2" t="s">
        <v>1907</v>
      </c>
      <c r="U574" s="4" t="s">
        <v>1871</v>
      </c>
      <c r="W574" s="2" t="s">
        <v>1900</v>
      </c>
      <c r="X574" s="2" t="s">
        <v>1915</v>
      </c>
      <c r="Z574" s="2" t="s">
        <v>1905</v>
      </c>
    </row>
    <row r="575" spans="1:26" ht="25.5" x14ac:dyDescent="0.2">
      <c r="A575" s="4">
        <v>570</v>
      </c>
      <c r="E575" s="6" t="s">
        <v>1385</v>
      </c>
      <c r="G575" s="4" t="s">
        <v>1875</v>
      </c>
      <c r="I575" s="2" t="s">
        <v>1903</v>
      </c>
      <c r="J575" s="2" t="s">
        <v>1914</v>
      </c>
      <c r="L575" s="2" t="s">
        <v>1908</v>
      </c>
      <c r="N575" s="4" t="s">
        <v>1873</v>
      </c>
      <c r="P575" s="2" t="s">
        <v>1902</v>
      </c>
      <c r="Q575" s="2" t="s">
        <v>1914</v>
      </c>
      <c r="S575" s="2" t="s">
        <v>1907</v>
      </c>
      <c r="U575" s="4" t="s">
        <v>1871</v>
      </c>
      <c r="W575" s="2" t="s">
        <v>1900</v>
      </c>
      <c r="X575" s="2" t="s">
        <v>1914</v>
      </c>
      <c r="Z575" s="2" t="s">
        <v>1905</v>
      </c>
    </row>
    <row r="576" spans="1:26" ht="25.5" x14ac:dyDescent="0.2">
      <c r="A576" s="4">
        <v>571</v>
      </c>
      <c r="E576" s="6" t="s">
        <v>1385</v>
      </c>
      <c r="G576" s="4" t="s">
        <v>1875</v>
      </c>
      <c r="I576" s="2" t="s">
        <v>1903</v>
      </c>
      <c r="J576" s="2" t="s">
        <v>1913</v>
      </c>
      <c r="L576" s="2" t="s">
        <v>1908</v>
      </c>
      <c r="N576" s="4" t="s">
        <v>1873</v>
      </c>
      <c r="P576" s="2" t="s">
        <v>1902</v>
      </c>
      <c r="Q576" s="2" t="s">
        <v>1913</v>
      </c>
      <c r="S576" s="2" t="s">
        <v>1907</v>
      </c>
      <c r="U576" s="4" t="s">
        <v>1871</v>
      </c>
      <c r="W576" s="2" t="s">
        <v>1900</v>
      </c>
      <c r="X576" s="2" t="s">
        <v>1913</v>
      </c>
      <c r="Z576" s="2" t="s">
        <v>1905</v>
      </c>
    </row>
    <row r="577" spans="1:26" ht="25.5" x14ac:dyDescent="0.2">
      <c r="A577" s="4">
        <v>572</v>
      </c>
      <c r="E577" s="6" t="s">
        <v>1385</v>
      </c>
      <c r="G577" s="4" t="s">
        <v>1875</v>
      </c>
      <c r="I577" s="2" t="s">
        <v>1903</v>
      </c>
      <c r="J577" s="2" t="s">
        <v>1912</v>
      </c>
      <c r="L577" s="2" t="s">
        <v>1908</v>
      </c>
      <c r="N577" s="4" t="s">
        <v>1873</v>
      </c>
      <c r="P577" s="2" t="s">
        <v>1902</v>
      </c>
      <c r="Q577" s="2" t="s">
        <v>1912</v>
      </c>
      <c r="S577" s="2" t="s">
        <v>1907</v>
      </c>
      <c r="U577" s="4" t="s">
        <v>1871</v>
      </c>
      <c r="W577" s="2" t="s">
        <v>1900</v>
      </c>
      <c r="X577" s="2" t="s">
        <v>1912</v>
      </c>
      <c r="Z577" s="2" t="s">
        <v>1905</v>
      </c>
    </row>
    <row r="578" spans="1:26" ht="25.5" x14ac:dyDescent="0.2">
      <c r="A578" s="4">
        <v>573</v>
      </c>
      <c r="E578" s="6" t="s">
        <v>1385</v>
      </c>
      <c r="G578" s="4" t="s">
        <v>1875</v>
      </c>
      <c r="I578" s="2" t="s">
        <v>1903</v>
      </c>
      <c r="J578" s="2" t="s">
        <v>1911</v>
      </c>
      <c r="L578" s="2" t="s">
        <v>1908</v>
      </c>
      <c r="N578" s="4" t="s">
        <v>1873</v>
      </c>
      <c r="P578" s="2" t="s">
        <v>1902</v>
      </c>
      <c r="Q578" s="2" t="s">
        <v>1911</v>
      </c>
      <c r="S578" s="2" t="s">
        <v>1907</v>
      </c>
      <c r="U578" s="4" t="s">
        <v>1871</v>
      </c>
      <c r="W578" s="2" t="s">
        <v>1900</v>
      </c>
      <c r="X578" s="2" t="s">
        <v>1911</v>
      </c>
      <c r="Z578" s="2" t="s">
        <v>1905</v>
      </c>
    </row>
    <row r="579" spans="1:26" ht="25.5" x14ac:dyDescent="0.2">
      <c r="A579" s="4">
        <v>574</v>
      </c>
      <c r="E579" s="6" t="s">
        <v>1385</v>
      </c>
      <c r="G579" s="4" t="s">
        <v>1875</v>
      </c>
      <c r="I579" s="2" t="s">
        <v>1903</v>
      </c>
      <c r="J579" s="2" t="s">
        <v>1910</v>
      </c>
      <c r="L579" s="2" t="s">
        <v>1908</v>
      </c>
      <c r="N579" s="4" t="s">
        <v>1873</v>
      </c>
      <c r="P579" s="2" t="s">
        <v>1902</v>
      </c>
      <c r="Q579" s="2" t="s">
        <v>1910</v>
      </c>
      <c r="S579" s="2" t="s">
        <v>1907</v>
      </c>
      <c r="U579" s="4" t="s">
        <v>1871</v>
      </c>
      <c r="W579" s="2" t="s">
        <v>1900</v>
      </c>
      <c r="X579" s="2" t="s">
        <v>1910</v>
      </c>
      <c r="Z579" s="2" t="s">
        <v>1905</v>
      </c>
    </row>
    <row r="580" spans="1:26" ht="25.5" x14ac:dyDescent="0.2">
      <c r="A580" s="4">
        <v>575</v>
      </c>
      <c r="E580" s="6" t="s">
        <v>1385</v>
      </c>
      <c r="G580" s="4" t="s">
        <v>1875</v>
      </c>
      <c r="I580" s="2" t="s">
        <v>1903</v>
      </c>
      <c r="J580" s="2" t="s">
        <v>1909</v>
      </c>
      <c r="L580" s="2" t="s">
        <v>1908</v>
      </c>
      <c r="N580" s="4" t="s">
        <v>1873</v>
      </c>
      <c r="P580" s="2" t="s">
        <v>1902</v>
      </c>
      <c r="Q580" s="2" t="s">
        <v>1909</v>
      </c>
      <c r="S580" s="2" t="s">
        <v>1907</v>
      </c>
      <c r="U580" s="4" t="s">
        <v>1871</v>
      </c>
      <c r="W580" s="2" t="s">
        <v>1900</v>
      </c>
      <c r="X580" s="2" t="s">
        <v>1909</v>
      </c>
      <c r="Z580" s="2" t="s">
        <v>1905</v>
      </c>
    </row>
    <row r="581" spans="1:26" ht="25.5" x14ac:dyDescent="0.2">
      <c r="A581" s="4">
        <v>576</v>
      </c>
      <c r="E581" s="6" t="s">
        <v>1385</v>
      </c>
      <c r="G581" s="4" t="s">
        <v>1875</v>
      </c>
      <c r="I581" s="2" t="s">
        <v>1903</v>
      </c>
      <c r="J581" s="2" t="s">
        <v>1906</v>
      </c>
      <c r="L581" s="2" t="s">
        <v>1908</v>
      </c>
      <c r="N581" s="4" t="s">
        <v>1873</v>
      </c>
      <c r="P581" s="2" t="s">
        <v>1902</v>
      </c>
      <c r="Q581" s="2" t="s">
        <v>1906</v>
      </c>
      <c r="S581" s="2" t="s">
        <v>1907</v>
      </c>
      <c r="U581" s="4" t="s">
        <v>1871</v>
      </c>
      <c r="W581" s="2" t="s">
        <v>1900</v>
      </c>
      <c r="X581" s="2" t="s">
        <v>1906</v>
      </c>
      <c r="Z581" s="2" t="s">
        <v>1905</v>
      </c>
    </row>
    <row r="582" spans="1:26" ht="25.5" x14ac:dyDescent="0.2">
      <c r="A582" s="4">
        <v>577</v>
      </c>
      <c r="B582" s="6" t="s">
        <v>1221</v>
      </c>
      <c r="E582" s="6" t="s">
        <v>1215</v>
      </c>
      <c r="G582" s="4" t="s">
        <v>1875</v>
      </c>
      <c r="H582" s="4" t="s">
        <v>1895</v>
      </c>
      <c r="I582" s="2" t="s">
        <v>1904</v>
      </c>
      <c r="J582" s="2" t="s">
        <v>1903</v>
      </c>
      <c r="L582" s="19" t="s">
        <v>2866</v>
      </c>
      <c r="N582" s="4" t="s">
        <v>1873</v>
      </c>
      <c r="O582" s="4" t="s">
        <v>1893</v>
      </c>
      <c r="P582" s="2" t="s">
        <v>1901</v>
      </c>
      <c r="Q582" s="2" t="s">
        <v>1902</v>
      </c>
      <c r="S582" s="19" t="s">
        <v>2867</v>
      </c>
      <c r="U582" s="4" t="s">
        <v>1871</v>
      </c>
      <c r="V582" s="4" t="s">
        <v>1892</v>
      </c>
      <c r="W582" s="2" t="s">
        <v>1901</v>
      </c>
      <c r="X582" s="2" t="s">
        <v>1900</v>
      </c>
      <c r="Z582" s="19" t="s">
        <v>2868</v>
      </c>
    </row>
    <row r="583" spans="1:26" x14ac:dyDescent="0.2">
      <c r="A583" s="4">
        <v>578</v>
      </c>
      <c r="B583" s="6" t="s">
        <v>1221</v>
      </c>
      <c r="E583" s="6" t="s">
        <v>1215</v>
      </c>
      <c r="G583" s="4" t="s">
        <v>1875</v>
      </c>
      <c r="H583" s="4" t="s">
        <v>1895</v>
      </c>
      <c r="I583" s="2" t="s">
        <v>1899</v>
      </c>
      <c r="J583" s="2" t="s">
        <v>1896</v>
      </c>
      <c r="L583" s="2" t="s">
        <v>1894</v>
      </c>
      <c r="N583" s="4" t="s">
        <v>1873</v>
      </c>
      <c r="O583" s="4" t="s">
        <v>1893</v>
      </c>
      <c r="P583" s="2" t="s">
        <v>1898</v>
      </c>
      <c r="Q583" s="2" t="s">
        <v>1896</v>
      </c>
      <c r="S583" s="2" t="s">
        <v>2817</v>
      </c>
      <c r="U583" s="4" t="s">
        <v>1871</v>
      </c>
      <c r="V583" s="4" t="s">
        <v>1892</v>
      </c>
      <c r="W583" s="2" t="s">
        <v>1897</v>
      </c>
      <c r="X583" s="2" t="s">
        <v>1896</v>
      </c>
      <c r="Z583" s="2" t="s">
        <v>1891</v>
      </c>
    </row>
    <row r="584" spans="1:26" x14ac:dyDescent="0.2">
      <c r="A584" s="4">
        <v>579</v>
      </c>
      <c r="E584" s="6" t="s">
        <v>1215</v>
      </c>
      <c r="G584" s="4" t="s">
        <v>1875</v>
      </c>
      <c r="H584" s="4" t="s">
        <v>1895</v>
      </c>
      <c r="I584" s="2" t="s">
        <v>1751</v>
      </c>
      <c r="J584" s="2" t="s">
        <v>951</v>
      </c>
      <c r="N584" s="4" t="s">
        <v>1873</v>
      </c>
      <c r="O584" s="4" t="s">
        <v>1893</v>
      </c>
      <c r="P584" s="2" t="s">
        <v>1750</v>
      </c>
      <c r="Q584" s="2" t="s">
        <v>951</v>
      </c>
      <c r="U584" s="4" t="s">
        <v>1871</v>
      </c>
      <c r="V584" s="4" t="s">
        <v>1892</v>
      </c>
      <c r="W584" s="2" t="s">
        <v>1749</v>
      </c>
      <c r="X584" s="2" t="s">
        <v>951</v>
      </c>
    </row>
    <row r="585" spans="1:26" x14ac:dyDescent="0.2">
      <c r="A585" s="4">
        <v>580</v>
      </c>
      <c r="D585" s="6" t="s">
        <v>950</v>
      </c>
      <c r="E585" s="6" t="s">
        <v>1215</v>
      </c>
      <c r="G585" s="4" t="s">
        <v>1875</v>
      </c>
      <c r="H585" s="4" t="s">
        <v>1895</v>
      </c>
      <c r="I585" s="2" t="s">
        <v>107</v>
      </c>
      <c r="J585" s="2" t="s">
        <v>1349</v>
      </c>
      <c r="N585" s="4" t="s">
        <v>1873</v>
      </c>
      <c r="O585" s="4" t="s">
        <v>1893</v>
      </c>
      <c r="P585" s="2" t="s">
        <v>1589</v>
      </c>
      <c r="Q585" s="2" t="s">
        <v>1349</v>
      </c>
      <c r="U585" s="4" t="s">
        <v>1871</v>
      </c>
      <c r="V585" s="4" t="s">
        <v>1892</v>
      </c>
      <c r="W585" s="2" t="s">
        <v>1587</v>
      </c>
      <c r="X585" s="2" t="s">
        <v>1349</v>
      </c>
    </row>
    <row r="586" spans="1:26" ht="25.5" x14ac:dyDescent="0.2">
      <c r="A586" s="4">
        <v>581</v>
      </c>
      <c r="C586" s="6" t="s">
        <v>950</v>
      </c>
      <c r="E586" s="6" t="s">
        <v>1215</v>
      </c>
      <c r="G586" s="4" t="s">
        <v>1875</v>
      </c>
      <c r="H586" s="4" t="s">
        <v>1887</v>
      </c>
      <c r="I586" s="2" t="s">
        <v>1890</v>
      </c>
      <c r="J586" s="2" t="s">
        <v>1883</v>
      </c>
      <c r="L586" s="2" t="s">
        <v>1454</v>
      </c>
      <c r="N586" s="4" t="s">
        <v>1873</v>
      </c>
      <c r="O586" s="4" t="s">
        <v>1886</v>
      </c>
      <c r="P586" s="2" t="s">
        <v>1889</v>
      </c>
      <c r="Q586" s="2" t="s">
        <v>1881</v>
      </c>
      <c r="S586" s="2" t="s">
        <v>1451</v>
      </c>
      <c r="U586" s="4" t="s">
        <v>1871</v>
      </c>
      <c r="V586" s="4" t="s">
        <v>1885</v>
      </c>
      <c r="W586" s="2" t="s">
        <v>1888</v>
      </c>
      <c r="X586" s="2" t="s">
        <v>1879</v>
      </c>
      <c r="Z586" s="2" t="s">
        <v>1287</v>
      </c>
    </row>
    <row r="587" spans="1:26" ht="63.75" x14ac:dyDescent="0.2">
      <c r="A587" s="4">
        <v>582</v>
      </c>
      <c r="E587" s="6" t="s">
        <v>1215</v>
      </c>
      <c r="G587" s="4" t="s">
        <v>1875</v>
      </c>
      <c r="H587" s="4" t="s">
        <v>1887</v>
      </c>
      <c r="I587" s="2" t="s">
        <v>123</v>
      </c>
      <c r="J587" s="2" t="s">
        <v>1248</v>
      </c>
      <c r="N587" s="4" t="s">
        <v>1873</v>
      </c>
      <c r="O587" s="4" t="s">
        <v>1886</v>
      </c>
      <c r="P587" s="2" t="s">
        <v>123</v>
      </c>
      <c r="Q587" s="2" t="s">
        <v>1246</v>
      </c>
      <c r="U587" s="4" t="s">
        <v>1871</v>
      </c>
      <c r="V587" s="4" t="s">
        <v>1885</v>
      </c>
      <c r="W587" s="2" t="s">
        <v>1247</v>
      </c>
      <c r="X587" s="2" t="s">
        <v>1246</v>
      </c>
    </row>
    <row r="588" spans="1:26" ht="25.5" x14ac:dyDescent="0.2">
      <c r="A588" s="4">
        <v>583</v>
      </c>
      <c r="C588" s="6" t="s">
        <v>950</v>
      </c>
      <c r="E588" s="6" t="s">
        <v>1215</v>
      </c>
      <c r="G588" s="4" t="s">
        <v>1875</v>
      </c>
      <c r="H588" s="4" t="s">
        <v>1874</v>
      </c>
      <c r="I588" s="2" t="s">
        <v>1884</v>
      </c>
      <c r="J588" s="2" t="s">
        <v>1883</v>
      </c>
      <c r="L588" s="19" t="s">
        <v>2869</v>
      </c>
      <c r="N588" s="4" t="s">
        <v>1873</v>
      </c>
      <c r="O588" s="4" t="s">
        <v>1872</v>
      </c>
      <c r="P588" s="2" t="s">
        <v>1882</v>
      </c>
      <c r="Q588" s="2" t="s">
        <v>1881</v>
      </c>
      <c r="S588" s="19" t="s">
        <v>2870</v>
      </c>
      <c r="U588" s="4" t="s">
        <v>1871</v>
      </c>
      <c r="V588" s="4" t="s">
        <v>1870</v>
      </c>
      <c r="W588" s="2" t="s">
        <v>1880</v>
      </c>
      <c r="X588" s="2" t="s">
        <v>1879</v>
      </c>
      <c r="Z588" s="19" t="s">
        <v>2871</v>
      </c>
    </row>
    <row r="589" spans="1:26" x14ac:dyDescent="0.2">
      <c r="A589" s="4">
        <v>584</v>
      </c>
      <c r="E589" s="6" t="s">
        <v>1215</v>
      </c>
      <c r="G589" s="4" t="s">
        <v>1875</v>
      </c>
      <c r="H589" s="4" t="s">
        <v>1874</v>
      </c>
      <c r="I589" s="2" t="s">
        <v>1219</v>
      </c>
      <c r="J589" s="2" t="s">
        <v>1220</v>
      </c>
      <c r="L589" s="2" t="s">
        <v>1878</v>
      </c>
      <c r="N589" s="4" t="s">
        <v>1873</v>
      </c>
      <c r="O589" s="4" t="s">
        <v>1872</v>
      </c>
      <c r="P589" s="2" t="s">
        <v>1219</v>
      </c>
      <c r="Q589" s="2" t="s">
        <v>1218</v>
      </c>
      <c r="S589" s="2" t="s">
        <v>1877</v>
      </c>
      <c r="U589" s="4" t="s">
        <v>1871</v>
      </c>
      <c r="V589" s="4" t="s">
        <v>1870</v>
      </c>
      <c r="W589" s="2" t="s">
        <v>1219</v>
      </c>
      <c r="X589" s="2" t="s">
        <v>1218</v>
      </c>
      <c r="Z589" s="2" t="s">
        <v>1876</v>
      </c>
    </row>
    <row r="590" spans="1:26" x14ac:dyDescent="0.2">
      <c r="A590" s="4">
        <v>585</v>
      </c>
      <c r="D590" s="6" t="s">
        <v>950</v>
      </c>
      <c r="E590" s="6" t="s">
        <v>1215</v>
      </c>
      <c r="G590" s="4" t="s">
        <v>1875</v>
      </c>
      <c r="H590" s="4" t="s">
        <v>1874</v>
      </c>
      <c r="I590" s="2" t="s">
        <v>1217</v>
      </c>
      <c r="J590" s="2" t="s">
        <v>933</v>
      </c>
      <c r="K590" s="3">
        <v>100</v>
      </c>
      <c r="N590" s="4" t="s">
        <v>1873</v>
      </c>
      <c r="O590" s="4" t="s">
        <v>1872</v>
      </c>
      <c r="P590" s="2" t="s">
        <v>1217</v>
      </c>
      <c r="Q590" s="2" t="s">
        <v>933</v>
      </c>
      <c r="R590" s="3">
        <v>100</v>
      </c>
      <c r="U590" s="4" t="s">
        <v>1871</v>
      </c>
      <c r="V590" s="4" t="s">
        <v>1870</v>
      </c>
      <c r="W590" s="2" t="s">
        <v>1217</v>
      </c>
      <c r="X590" s="2" t="s">
        <v>1216</v>
      </c>
      <c r="Y590" s="3">
        <v>100</v>
      </c>
    </row>
    <row r="591" spans="1:26" x14ac:dyDescent="0.2">
      <c r="A591" s="4">
        <v>586</v>
      </c>
      <c r="D591" s="6" t="s">
        <v>950</v>
      </c>
      <c r="E591" s="6" t="s">
        <v>1215</v>
      </c>
      <c r="G591" s="4" t="s">
        <v>1875</v>
      </c>
      <c r="H591" s="4" t="s">
        <v>1874</v>
      </c>
      <c r="I591" s="2" t="s">
        <v>1285</v>
      </c>
      <c r="J591" s="2" t="s">
        <v>1199</v>
      </c>
      <c r="K591" s="3" t="s">
        <v>1284</v>
      </c>
      <c r="N591" s="4" t="s">
        <v>1873</v>
      </c>
      <c r="O591" s="4" t="s">
        <v>1872</v>
      </c>
      <c r="P591" s="2" t="s">
        <v>1285</v>
      </c>
      <c r="Q591" s="2" t="s">
        <v>1199</v>
      </c>
      <c r="R591" s="3" t="s">
        <v>1284</v>
      </c>
      <c r="U591" s="4" t="s">
        <v>1871</v>
      </c>
      <c r="V591" s="4" t="s">
        <v>1870</v>
      </c>
      <c r="W591" s="2" t="s">
        <v>1285</v>
      </c>
      <c r="X591" s="2" t="s">
        <v>1199</v>
      </c>
      <c r="Y591" s="3" t="s">
        <v>1284</v>
      </c>
    </row>
    <row r="592" spans="1:26" x14ac:dyDescent="0.2">
      <c r="A592" s="4">
        <v>587</v>
      </c>
      <c r="D592" s="6" t="s">
        <v>950</v>
      </c>
      <c r="E592" s="6" t="s">
        <v>1215</v>
      </c>
      <c r="G592" s="4" t="s">
        <v>1875</v>
      </c>
      <c r="H592" s="4" t="s">
        <v>1874</v>
      </c>
      <c r="I592" s="2" t="s">
        <v>1283</v>
      </c>
      <c r="J592" s="2" t="s">
        <v>1200</v>
      </c>
      <c r="K592" s="3" t="s">
        <v>1282</v>
      </c>
      <c r="N592" s="4" t="s">
        <v>1873</v>
      </c>
      <c r="O592" s="4" t="s">
        <v>1872</v>
      </c>
      <c r="P592" s="2" t="s">
        <v>1283</v>
      </c>
      <c r="Q592" s="2" t="s">
        <v>1200</v>
      </c>
      <c r="R592" s="3" t="s">
        <v>1282</v>
      </c>
      <c r="U592" s="4" t="s">
        <v>1871</v>
      </c>
      <c r="V592" s="4" t="s">
        <v>1870</v>
      </c>
      <c r="W592" s="2" t="s">
        <v>1283</v>
      </c>
      <c r="X592" s="2" t="s">
        <v>1200</v>
      </c>
      <c r="Y592" s="3" t="s">
        <v>1282</v>
      </c>
    </row>
    <row r="593" spans="1:26" x14ac:dyDescent="0.2">
      <c r="A593" s="4">
        <v>588</v>
      </c>
      <c r="D593" s="6" t="s">
        <v>950</v>
      </c>
      <c r="E593" s="6" t="s">
        <v>1215</v>
      </c>
      <c r="G593" s="4" t="s">
        <v>1875</v>
      </c>
      <c r="H593" s="4" t="s">
        <v>1874</v>
      </c>
      <c r="I593" s="2" t="s">
        <v>1280</v>
      </c>
      <c r="J593" s="2" t="s">
        <v>59</v>
      </c>
      <c r="K593" s="3" t="s">
        <v>1279</v>
      </c>
      <c r="N593" s="4" t="s">
        <v>1873</v>
      </c>
      <c r="O593" s="4" t="s">
        <v>1872</v>
      </c>
      <c r="P593" s="2" t="s">
        <v>1277</v>
      </c>
      <c r="Q593" s="2" t="s">
        <v>1276</v>
      </c>
      <c r="R593" s="3" t="s">
        <v>1275</v>
      </c>
      <c r="U593" s="4" t="s">
        <v>1871</v>
      </c>
      <c r="V593" s="4" t="s">
        <v>1870</v>
      </c>
      <c r="W593" s="2" t="s">
        <v>1273</v>
      </c>
      <c r="X593" s="2" t="s">
        <v>1272</v>
      </c>
      <c r="Y593" s="3" t="s">
        <v>1271</v>
      </c>
    </row>
    <row r="594" spans="1:26" x14ac:dyDescent="0.2">
      <c r="A594" s="4">
        <v>589</v>
      </c>
      <c r="B594" s="6" t="s">
        <v>1221</v>
      </c>
      <c r="E594" s="6" t="s">
        <v>1215</v>
      </c>
      <c r="G594" s="4" t="s">
        <v>1783</v>
      </c>
      <c r="H594" s="4" t="s">
        <v>1867</v>
      </c>
      <c r="I594" s="2" t="s">
        <v>96</v>
      </c>
      <c r="J594" s="2" t="s">
        <v>951</v>
      </c>
      <c r="L594" s="2" t="s">
        <v>1380</v>
      </c>
      <c r="N594" s="4" t="s">
        <v>1781</v>
      </c>
      <c r="O594" s="4" t="s">
        <v>1864</v>
      </c>
      <c r="P594" s="2" t="s">
        <v>733</v>
      </c>
      <c r="Q594" s="2" t="s">
        <v>951</v>
      </c>
      <c r="S594" s="2" t="s">
        <v>1379</v>
      </c>
      <c r="U594" s="4" t="s">
        <v>1778</v>
      </c>
      <c r="V594" s="4" t="s">
        <v>1861</v>
      </c>
      <c r="W594" s="2" t="s">
        <v>1378</v>
      </c>
      <c r="X594" s="2" t="s">
        <v>951</v>
      </c>
      <c r="Z594" s="2" t="s">
        <v>1377</v>
      </c>
    </row>
    <row r="595" spans="1:26" x14ac:dyDescent="0.2">
      <c r="A595" s="4">
        <v>590</v>
      </c>
      <c r="B595" s="6" t="s">
        <v>1221</v>
      </c>
      <c r="E595" s="6" t="s">
        <v>1215</v>
      </c>
      <c r="G595" s="4" t="s">
        <v>1783</v>
      </c>
      <c r="H595" s="4" t="s">
        <v>1867</v>
      </c>
      <c r="I595" s="2" t="s">
        <v>99</v>
      </c>
      <c r="J595" s="2" t="s">
        <v>951</v>
      </c>
      <c r="L595" s="2" t="s">
        <v>1599</v>
      </c>
      <c r="N595" s="4" t="s">
        <v>1781</v>
      </c>
      <c r="O595" s="4" t="s">
        <v>1864</v>
      </c>
      <c r="P595" s="2" t="s">
        <v>734</v>
      </c>
      <c r="Q595" s="2" t="s">
        <v>951</v>
      </c>
      <c r="S595" s="2" t="s">
        <v>2811</v>
      </c>
      <c r="U595" s="4" t="s">
        <v>1778</v>
      </c>
      <c r="V595" s="4" t="s">
        <v>1861</v>
      </c>
      <c r="W595" s="2" t="s">
        <v>1376</v>
      </c>
      <c r="X595" s="2" t="s">
        <v>951</v>
      </c>
      <c r="Z595" s="2" t="s">
        <v>1598</v>
      </c>
    </row>
    <row r="596" spans="1:26" x14ac:dyDescent="0.2">
      <c r="A596" s="4">
        <v>591</v>
      </c>
      <c r="E596" s="6" t="s">
        <v>1215</v>
      </c>
      <c r="G596" s="4" t="s">
        <v>1783</v>
      </c>
      <c r="H596" s="4" t="s">
        <v>1867</v>
      </c>
      <c r="I596" s="2" t="s">
        <v>101</v>
      </c>
      <c r="J596" s="2" t="s">
        <v>956</v>
      </c>
      <c r="N596" s="4" t="s">
        <v>1781</v>
      </c>
      <c r="O596" s="4" t="s">
        <v>1864</v>
      </c>
      <c r="P596" s="2" t="s">
        <v>735</v>
      </c>
      <c r="Q596" s="2" t="s">
        <v>956</v>
      </c>
      <c r="U596" s="4" t="s">
        <v>1778</v>
      </c>
      <c r="V596" s="4" t="s">
        <v>1861</v>
      </c>
      <c r="W596" s="2" t="s">
        <v>1294</v>
      </c>
      <c r="X596" s="2" t="s">
        <v>956</v>
      </c>
    </row>
    <row r="597" spans="1:26" ht="63.75" x14ac:dyDescent="0.2">
      <c r="A597" s="4">
        <v>592</v>
      </c>
      <c r="D597" s="6" t="s">
        <v>950</v>
      </c>
      <c r="E597" s="6" t="s">
        <v>1215</v>
      </c>
      <c r="G597" s="4" t="s">
        <v>1783</v>
      </c>
      <c r="H597" s="4" t="s">
        <v>1867</v>
      </c>
      <c r="I597" s="2" t="s">
        <v>104</v>
      </c>
      <c r="J597" s="2" t="s">
        <v>1248</v>
      </c>
      <c r="N597" s="4" t="s">
        <v>1781</v>
      </c>
      <c r="O597" s="4" t="s">
        <v>1864</v>
      </c>
      <c r="P597" s="2" t="s">
        <v>736</v>
      </c>
      <c r="Q597" s="2" t="s">
        <v>1246</v>
      </c>
      <c r="U597" s="4" t="s">
        <v>1778</v>
      </c>
      <c r="V597" s="4" t="s">
        <v>1861</v>
      </c>
      <c r="W597" s="2" t="s">
        <v>1595</v>
      </c>
      <c r="X597" s="2" t="s">
        <v>1246</v>
      </c>
    </row>
    <row r="598" spans="1:26" x14ac:dyDescent="0.2">
      <c r="A598" s="4">
        <v>593</v>
      </c>
      <c r="E598" s="6" t="s">
        <v>1215</v>
      </c>
      <c r="G598" s="4" t="s">
        <v>1783</v>
      </c>
      <c r="H598" s="4" t="s">
        <v>1867</v>
      </c>
      <c r="I598" s="2" t="s">
        <v>193</v>
      </c>
      <c r="J598" s="2" t="s">
        <v>1518</v>
      </c>
      <c r="N598" s="4" t="s">
        <v>1781</v>
      </c>
      <c r="O598" s="4" t="s">
        <v>1864</v>
      </c>
      <c r="P598" s="2" t="s">
        <v>769</v>
      </c>
      <c r="Q598" s="2" t="s">
        <v>1593</v>
      </c>
      <c r="U598" s="4" t="s">
        <v>1778</v>
      </c>
      <c r="V598" s="4" t="s">
        <v>1861</v>
      </c>
      <c r="W598" s="2" t="s">
        <v>1515</v>
      </c>
      <c r="X598" s="2" t="s">
        <v>1592</v>
      </c>
    </row>
    <row r="599" spans="1:26" ht="76.5" x14ac:dyDescent="0.2">
      <c r="A599" s="4">
        <v>594</v>
      </c>
      <c r="D599" s="6" t="s">
        <v>950</v>
      </c>
      <c r="E599" s="6" t="s">
        <v>1215</v>
      </c>
      <c r="G599" s="4" t="s">
        <v>1783</v>
      </c>
      <c r="H599" s="4" t="s">
        <v>1867</v>
      </c>
      <c r="I599" s="2" t="s">
        <v>107</v>
      </c>
      <c r="J599" s="2" t="s">
        <v>1349</v>
      </c>
      <c r="L599" s="2" t="s">
        <v>1869</v>
      </c>
      <c r="N599" s="4" t="s">
        <v>1781</v>
      </c>
      <c r="O599" s="4" t="s">
        <v>1864</v>
      </c>
      <c r="P599" s="2" t="s">
        <v>1589</v>
      </c>
      <c r="Q599" s="2" t="s">
        <v>1349</v>
      </c>
      <c r="S599" s="2" t="s">
        <v>2810</v>
      </c>
      <c r="U599" s="4" t="s">
        <v>1778</v>
      </c>
      <c r="V599" s="4" t="s">
        <v>1861</v>
      </c>
      <c r="W599" s="2" t="s">
        <v>1587</v>
      </c>
      <c r="X599" s="2" t="s">
        <v>1349</v>
      </c>
      <c r="Z599" s="2" t="s">
        <v>1868</v>
      </c>
    </row>
    <row r="600" spans="1:26" x14ac:dyDescent="0.2">
      <c r="A600" s="4">
        <v>595</v>
      </c>
      <c r="D600" s="6" t="s">
        <v>950</v>
      </c>
      <c r="E600" s="6" t="s">
        <v>1215</v>
      </c>
      <c r="G600" s="4" t="s">
        <v>1783</v>
      </c>
      <c r="H600" s="4" t="s">
        <v>1867</v>
      </c>
      <c r="I600" s="2" t="s">
        <v>1866</v>
      </c>
      <c r="J600" s="2" t="s">
        <v>1349</v>
      </c>
      <c r="L600" s="2" t="s">
        <v>1865</v>
      </c>
      <c r="N600" s="4" t="s">
        <v>1781</v>
      </c>
      <c r="O600" s="4" t="s">
        <v>1864</v>
      </c>
      <c r="P600" s="2" t="s">
        <v>1863</v>
      </c>
      <c r="Q600" s="2" t="s">
        <v>1349</v>
      </c>
      <c r="S600" s="2" t="s">
        <v>1862</v>
      </c>
      <c r="U600" s="4" t="s">
        <v>1778</v>
      </c>
      <c r="V600" s="4" t="s">
        <v>1861</v>
      </c>
      <c r="W600" s="2" t="s">
        <v>1860</v>
      </c>
      <c r="X600" s="2" t="s">
        <v>1349</v>
      </c>
      <c r="Z600" s="2" t="s">
        <v>1859</v>
      </c>
    </row>
    <row r="601" spans="1:26" ht="38.25" x14ac:dyDescent="0.2">
      <c r="A601" s="4">
        <v>596</v>
      </c>
      <c r="C601" s="6" t="s">
        <v>950</v>
      </c>
      <c r="E601" s="6" t="s">
        <v>1215</v>
      </c>
      <c r="G601" s="4" t="s">
        <v>1783</v>
      </c>
      <c r="H601" s="4" t="s">
        <v>162</v>
      </c>
      <c r="I601" s="2" t="s">
        <v>969</v>
      </c>
      <c r="J601" s="2" t="s">
        <v>1795</v>
      </c>
      <c r="L601" s="2" t="s">
        <v>1228</v>
      </c>
      <c r="N601" s="4" t="s">
        <v>1781</v>
      </c>
      <c r="O601" s="4" t="s">
        <v>1835</v>
      </c>
      <c r="P601" s="2" t="s">
        <v>1319</v>
      </c>
      <c r="Q601" s="2" t="s">
        <v>1793</v>
      </c>
      <c r="S601" s="2" t="s">
        <v>1225</v>
      </c>
      <c r="U601" s="4" t="s">
        <v>1778</v>
      </c>
      <c r="V601" s="4" t="s">
        <v>1832</v>
      </c>
      <c r="W601" s="2" t="s">
        <v>1319</v>
      </c>
      <c r="X601" s="2" t="s">
        <v>1791</v>
      </c>
      <c r="Z601" s="2" t="s">
        <v>1222</v>
      </c>
    </row>
    <row r="602" spans="1:26" x14ac:dyDescent="0.2">
      <c r="A602" s="4">
        <v>597</v>
      </c>
      <c r="D602" s="6" t="s">
        <v>950</v>
      </c>
      <c r="E602" s="6" t="s">
        <v>1215</v>
      </c>
      <c r="G602" s="4" t="s">
        <v>1783</v>
      </c>
      <c r="H602" s="4" t="s">
        <v>162</v>
      </c>
      <c r="I602" s="2" t="s">
        <v>99</v>
      </c>
      <c r="J602" s="2" t="s">
        <v>951</v>
      </c>
      <c r="L602" s="2" t="s">
        <v>1858</v>
      </c>
      <c r="N602" s="4" t="s">
        <v>1781</v>
      </c>
      <c r="O602" s="4" t="s">
        <v>1835</v>
      </c>
      <c r="P602" s="2" t="s">
        <v>734</v>
      </c>
      <c r="Q602" s="2" t="s">
        <v>951</v>
      </c>
      <c r="S602" s="2" t="s">
        <v>1857</v>
      </c>
      <c r="U602" s="4" t="s">
        <v>1778</v>
      </c>
      <c r="V602" s="4" t="s">
        <v>1832</v>
      </c>
      <c r="W602" s="2" t="s">
        <v>1376</v>
      </c>
      <c r="X602" s="2" t="s">
        <v>951</v>
      </c>
      <c r="Z602" s="2" t="s">
        <v>1856</v>
      </c>
    </row>
    <row r="603" spans="1:26" x14ac:dyDescent="0.2">
      <c r="A603" s="4">
        <v>598</v>
      </c>
      <c r="B603" s="6" t="s">
        <v>6</v>
      </c>
      <c r="E603" s="6" t="s">
        <v>1215</v>
      </c>
      <c r="G603" s="4" t="s">
        <v>1783</v>
      </c>
      <c r="H603" s="4" t="s">
        <v>162</v>
      </c>
      <c r="I603" s="2" t="s">
        <v>123</v>
      </c>
      <c r="J603" s="2" t="s">
        <v>1220</v>
      </c>
      <c r="N603" s="4" t="s">
        <v>1781</v>
      </c>
      <c r="O603" s="4" t="s">
        <v>1835</v>
      </c>
      <c r="P603" s="2" t="s">
        <v>123</v>
      </c>
      <c r="Q603" s="2" t="s">
        <v>1218</v>
      </c>
      <c r="U603" s="4" t="s">
        <v>1778</v>
      </c>
      <c r="V603" s="4" t="s">
        <v>1832</v>
      </c>
      <c r="W603" s="2" t="s">
        <v>1247</v>
      </c>
      <c r="X603" s="2" t="s">
        <v>1218</v>
      </c>
    </row>
    <row r="604" spans="1:26" x14ac:dyDescent="0.2">
      <c r="A604" s="4">
        <v>599</v>
      </c>
      <c r="E604" s="6" t="s">
        <v>1215</v>
      </c>
      <c r="G604" s="4" t="s">
        <v>1783</v>
      </c>
      <c r="H604" s="4" t="s">
        <v>162</v>
      </c>
      <c r="I604" s="2" t="s">
        <v>1855</v>
      </c>
      <c r="J604" s="2" t="s">
        <v>939</v>
      </c>
      <c r="N604" s="4" t="s">
        <v>1781</v>
      </c>
      <c r="O604" s="4" t="s">
        <v>1835</v>
      </c>
      <c r="P604" s="2" t="s">
        <v>1853</v>
      </c>
      <c r="Q604" s="2" t="s">
        <v>1854</v>
      </c>
      <c r="U604" s="4" t="s">
        <v>1778</v>
      </c>
      <c r="V604" s="4" t="s">
        <v>1832</v>
      </c>
      <c r="W604" s="2" t="s">
        <v>1853</v>
      </c>
      <c r="X604" s="2" t="s">
        <v>1852</v>
      </c>
    </row>
    <row r="605" spans="1:26" x14ac:dyDescent="0.2">
      <c r="A605" s="4">
        <v>600</v>
      </c>
      <c r="E605" s="6" t="s">
        <v>1215</v>
      </c>
      <c r="G605" s="4" t="s">
        <v>1783</v>
      </c>
      <c r="H605" s="4" t="s">
        <v>162</v>
      </c>
      <c r="I605" s="2" t="s">
        <v>1851</v>
      </c>
      <c r="J605" s="2" t="s">
        <v>941</v>
      </c>
      <c r="N605" s="4" t="s">
        <v>1781</v>
      </c>
      <c r="O605" s="4" t="s">
        <v>1835</v>
      </c>
      <c r="P605" s="2" t="s">
        <v>1850</v>
      </c>
      <c r="Q605" s="2" t="s">
        <v>1849</v>
      </c>
      <c r="U605" s="4" t="s">
        <v>1778</v>
      </c>
      <c r="V605" s="4" t="s">
        <v>1832</v>
      </c>
      <c r="W605" s="2" t="s">
        <v>1848</v>
      </c>
      <c r="X605" s="2" t="s">
        <v>1847</v>
      </c>
    </row>
    <row r="606" spans="1:26" x14ac:dyDescent="0.2">
      <c r="A606" s="4">
        <v>601</v>
      </c>
      <c r="E606" s="6" t="s">
        <v>1215</v>
      </c>
      <c r="G606" s="4" t="s">
        <v>1783</v>
      </c>
      <c r="H606" s="4" t="s">
        <v>162</v>
      </c>
      <c r="I606" s="2" t="s">
        <v>134</v>
      </c>
      <c r="J606" s="2" t="s">
        <v>39</v>
      </c>
      <c r="N606" s="4" t="s">
        <v>1781</v>
      </c>
      <c r="O606" s="4" t="s">
        <v>1835</v>
      </c>
      <c r="P606" s="2" t="s">
        <v>748</v>
      </c>
      <c r="Q606" s="2" t="s">
        <v>1846</v>
      </c>
      <c r="U606" s="4" t="s">
        <v>1778</v>
      </c>
      <c r="V606" s="4" t="s">
        <v>1832</v>
      </c>
      <c r="W606" s="2" t="s">
        <v>1845</v>
      </c>
      <c r="X606" s="2" t="s">
        <v>1844</v>
      </c>
    </row>
    <row r="607" spans="1:26" x14ac:dyDescent="0.2">
      <c r="A607" s="4">
        <v>602</v>
      </c>
      <c r="E607" s="6" t="s">
        <v>1215</v>
      </c>
      <c r="G607" s="4" t="s">
        <v>1783</v>
      </c>
      <c r="H607" s="4" t="s">
        <v>162</v>
      </c>
      <c r="I607" s="2" t="s">
        <v>1843</v>
      </c>
      <c r="J607" s="2" t="s">
        <v>1509</v>
      </c>
      <c r="L607" s="2" t="s">
        <v>1842</v>
      </c>
      <c r="N607" s="4" t="s">
        <v>1781</v>
      </c>
      <c r="O607" s="4" t="s">
        <v>1835</v>
      </c>
      <c r="P607" s="2" t="s">
        <v>1841</v>
      </c>
      <c r="Q607" s="2" t="s">
        <v>1507</v>
      </c>
      <c r="S607" s="2" t="s">
        <v>1840</v>
      </c>
      <c r="U607" s="4" t="s">
        <v>1778</v>
      </c>
      <c r="V607" s="4" t="s">
        <v>1832</v>
      </c>
      <c r="W607" s="2" t="s">
        <v>1839</v>
      </c>
      <c r="X607" s="2" t="s">
        <v>2925</v>
      </c>
      <c r="Z607" s="2" t="s">
        <v>1838</v>
      </c>
    </row>
    <row r="608" spans="1:26" x14ac:dyDescent="0.2">
      <c r="A608" s="4">
        <v>603</v>
      </c>
      <c r="E608" s="6" t="s">
        <v>1215</v>
      </c>
      <c r="G608" s="4" t="s">
        <v>1783</v>
      </c>
      <c r="H608" s="4" t="s">
        <v>162</v>
      </c>
      <c r="I608" s="2" t="s">
        <v>1837</v>
      </c>
      <c r="J608" s="2" t="s">
        <v>2926</v>
      </c>
      <c r="L608" s="2" t="s">
        <v>1836</v>
      </c>
      <c r="N608" s="4" t="s">
        <v>1781</v>
      </c>
      <c r="O608" s="4" t="s">
        <v>1835</v>
      </c>
      <c r="P608" s="2" t="s">
        <v>1834</v>
      </c>
      <c r="Q608" s="2" t="s">
        <v>1507</v>
      </c>
      <c r="S608" s="2" t="s">
        <v>1833</v>
      </c>
      <c r="U608" s="4" t="s">
        <v>1778</v>
      </c>
      <c r="V608" s="4" t="s">
        <v>1832</v>
      </c>
      <c r="W608" s="2" t="s">
        <v>1831</v>
      </c>
      <c r="X608" s="2" t="s">
        <v>2925</v>
      </c>
      <c r="Z608" s="2" t="s">
        <v>1830</v>
      </c>
    </row>
    <row r="609" spans="1:26" ht="25.5" x14ac:dyDescent="0.2">
      <c r="A609" s="4">
        <v>604</v>
      </c>
      <c r="B609" s="6" t="s">
        <v>6</v>
      </c>
      <c r="C609" s="6" t="s">
        <v>950</v>
      </c>
      <c r="E609" s="6" t="s">
        <v>1215</v>
      </c>
      <c r="G609" s="4" t="s">
        <v>1783</v>
      </c>
      <c r="H609" s="4" t="s">
        <v>1825</v>
      </c>
      <c r="I609" s="2" t="s">
        <v>1829</v>
      </c>
      <c r="J609" s="2" t="s">
        <v>1821</v>
      </c>
      <c r="L609" s="19" t="s">
        <v>2832</v>
      </c>
      <c r="N609" s="4" t="s">
        <v>1781</v>
      </c>
      <c r="O609" s="4" t="s">
        <v>1824</v>
      </c>
      <c r="P609" s="2" t="s">
        <v>1828</v>
      </c>
      <c r="Q609" s="2" t="s">
        <v>1818</v>
      </c>
      <c r="S609" s="19" t="s">
        <v>2835</v>
      </c>
      <c r="U609" s="4" t="s">
        <v>1778</v>
      </c>
      <c r="V609" s="4" t="s">
        <v>1823</v>
      </c>
      <c r="W609" s="2" t="s">
        <v>1826</v>
      </c>
      <c r="X609" s="2" t="s">
        <v>1815</v>
      </c>
      <c r="Z609" s="19" t="s">
        <v>2833</v>
      </c>
    </row>
    <row r="610" spans="1:26" x14ac:dyDescent="0.2">
      <c r="A610" s="4">
        <v>605</v>
      </c>
      <c r="E610" s="6" t="s">
        <v>1215</v>
      </c>
      <c r="G610" s="4" t="s">
        <v>1783</v>
      </c>
      <c r="H610" s="4" t="s">
        <v>1825</v>
      </c>
      <c r="I610" s="2" t="s">
        <v>1219</v>
      </c>
      <c r="J610" s="2" t="s">
        <v>1220</v>
      </c>
      <c r="N610" s="4" t="s">
        <v>1781</v>
      </c>
      <c r="O610" s="4" t="s">
        <v>1824</v>
      </c>
      <c r="P610" s="2" t="s">
        <v>1219</v>
      </c>
      <c r="Q610" s="2" t="s">
        <v>1218</v>
      </c>
      <c r="U610" s="4" t="s">
        <v>1778</v>
      </c>
      <c r="V610" s="4" t="s">
        <v>1823</v>
      </c>
      <c r="W610" s="2" t="s">
        <v>1219</v>
      </c>
      <c r="X610" s="2" t="s">
        <v>1218</v>
      </c>
    </row>
    <row r="611" spans="1:26" x14ac:dyDescent="0.2">
      <c r="A611" s="4">
        <v>606</v>
      </c>
      <c r="D611" s="6" t="s">
        <v>950</v>
      </c>
      <c r="E611" s="6" t="s">
        <v>1215</v>
      </c>
      <c r="G611" s="4" t="s">
        <v>1783</v>
      </c>
      <c r="H611" s="4" t="s">
        <v>1825</v>
      </c>
      <c r="I611" s="2" t="s">
        <v>1217</v>
      </c>
      <c r="J611" s="2" t="s">
        <v>933</v>
      </c>
      <c r="K611" s="3">
        <v>100</v>
      </c>
      <c r="N611" s="4" t="s">
        <v>1781</v>
      </c>
      <c r="O611" s="4" t="s">
        <v>1824</v>
      </c>
      <c r="P611" s="2" t="s">
        <v>1217</v>
      </c>
      <c r="Q611" s="2" t="s">
        <v>933</v>
      </c>
      <c r="R611" s="3">
        <v>100</v>
      </c>
      <c r="U611" s="4" t="s">
        <v>1778</v>
      </c>
      <c r="V611" s="4" t="s">
        <v>1823</v>
      </c>
      <c r="W611" s="2" t="s">
        <v>1217</v>
      </c>
      <c r="X611" s="2" t="s">
        <v>1216</v>
      </c>
      <c r="Y611" s="3">
        <v>100</v>
      </c>
    </row>
    <row r="612" spans="1:26" x14ac:dyDescent="0.2">
      <c r="A612" s="4">
        <v>607</v>
      </c>
      <c r="D612" s="6" t="s">
        <v>950</v>
      </c>
      <c r="E612" s="6" t="s">
        <v>1215</v>
      </c>
      <c r="G612" s="4" t="s">
        <v>1783</v>
      </c>
      <c r="H612" s="4" t="s">
        <v>1825</v>
      </c>
      <c r="I612" s="2" t="s">
        <v>1285</v>
      </c>
      <c r="J612" s="2" t="s">
        <v>1199</v>
      </c>
      <c r="K612" s="3" t="s">
        <v>86</v>
      </c>
      <c r="N612" s="4" t="s">
        <v>1781</v>
      </c>
      <c r="O612" s="4" t="s">
        <v>1824</v>
      </c>
      <c r="P612" s="2" t="s">
        <v>1285</v>
      </c>
      <c r="Q612" s="2" t="s">
        <v>1199</v>
      </c>
      <c r="R612" s="3" t="s">
        <v>86</v>
      </c>
      <c r="U612" s="4" t="s">
        <v>1778</v>
      </c>
      <c r="V612" s="4" t="s">
        <v>1823</v>
      </c>
      <c r="W612" s="2" t="s">
        <v>1285</v>
      </c>
      <c r="X612" s="2" t="s">
        <v>1199</v>
      </c>
      <c r="Y612" s="3" t="s">
        <v>86</v>
      </c>
    </row>
    <row r="613" spans="1:26" x14ac:dyDescent="0.2">
      <c r="A613" s="4">
        <v>608</v>
      </c>
      <c r="D613" s="6" t="s">
        <v>950</v>
      </c>
      <c r="E613" s="6" t="s">
        <v>1215</v>
      </c>
      <c r="G613" s="4" t="s">
        <v>1783</v>
      </c>
      <c r="H613" s="4" t="s">
        <v>1825</v>
      </c>
      <c r="I613" s="2" t="s">
        <v>1283</v>
      </c>
      <c r="J613" s="2" t="s">
        <v>1200</v>
      </c>
      <c r="K613" s="3" t="s">
        <v>90</v>
      </c>
      <c r="N613" s="4" t="s">
        <v>1781</v>
      </c>
      <c r="O613" s="4" t="s">
        <v>1824</v>
      </c>
      <c r="P613" s="2" t="s">
        <v>1283</v>
      </c>
      <c r="Q613" s="2" t="s">
        <v>1200</v>
      </c>
      <c r="R613" s="3" t="s">
        <v>90</v>
      </c>
      <c r="U613" s="4" t="s">
        <v>1778</v>
      </c>
      <c r="V613" s="4" t="s">
        <v>1823</v>
      </c>
      <c r="W613" s="2" t="s">
        <v>1283</v>
      </c>
      <c r="X613" s="2" t="s">
        <v>1200</v>
      </c>
      <c r="Y613" s="3" t="s">
        <v>90</v>
      </c>
    </row>
    <row r="614" spans="1:26" ht="25.5" x14ac:dyDescent="0.2">
      <c r="A614" s="4">
        <v>609</v>
      </c>
      <c r="B614" s="6" t="s">
        <v>6</v>
      </c>
      <c r="C614" s="6" t="s">
        <v>950</v>
      </c>
      <c r="E614" s="6" t="s">
        <v>1215</v>
      </c>
      <c r="G614" s="4" t="s">
        <v>1783</v>
      </c>
      <c r="H614" s="4" t="s">
        <v>1813</v>
      </c>
      <c r="I614" s="2" t="s">
        <v>1822</v>
      </c>
      <c r="J614" s="2" t="s">
        <v>1821</v>
      </c>
      <c r="L614" s="2" t="s">
        <v>1820</v>
      </c>
      <c r="N614" s="4" t="s">
        <v>1781</v>
      </c>
      <c r="O614" s="4" t="s">
        <v>1812</v>
      </c>
      <c r="P614" s="2" t="s">
        <v>1819</v>
      </c>
      <c r="Q614" s="2" t="s">
        <v>1818</v>
      </c>
      <c r="S614" s="2" t="s">
        <v>1817</v>
      </c>
      <c r="U614" s="4" t="s">
        <v>1778</v>
      </c>
      <c r="V614" s="4" t="s">
        <v>1811</v>
      </c>
      <c r="W614" s="2" t="s">
        <v>1816</v>
      </c>
      <c r="X614" s="2" t="s">
        <v>1815</v>
      </c>
      <c r="Z614" s="2" t="s">
        <v>1814</v>
      </c>
    </row>
    <row r="615" spans="1:26" x14ac:dyDescent="0.2">
      <c r="A615" s="4">
        <v>610</v>
      </c>
      <c r="D615" s="6" t="s">
        <v>950</v>
      </c>
      <c r="E615" s="6" t="s">
        <v>1215</v>
      </c>
      <c r="G615" s="4" t="s">
        <v>1783</v>
      </c>
      <c r="H615" s="46" t="s">
        <v>1813</v>
      </c>
      <c r="I615" s="2" t="s">
        <v>1217</v>
      </c>
      <c r="J615" s="2" t="s">
        <v>933</v>
      </c>
      <c r="K615" s="3">
        <v>0</v>
      </c>
      <c r="N615" s="4" t="s">
        <v>1781</v>
      </c>
      <c r="O615" s="4" t="s">
        <v>1812</v>
      </c>
      <c r="P615" s="2" t="s">
        <v>1217</v>
      </c>
      <c r="Q615" s="2" t="s">
        <v>933</v>
      </c>
      <c r="R615" s="3">
        <v>0</v>
      </c>
      <c r="U615" s="4" t="s">
        <v>1778</v>
      </c>
      <c r="V615" s="4" t="s">
        <v>1811</v>
      </c>
      <c r="W615" s="2" t="s">
        <v>1217</v>
      </c>
      <c r="X615" s="2" t="s">
        <v>1216</v>
      </c>
      <c r="Y615" s="3">
        <v>0</v>
      </c>
    </row>
    <row r="616" spans="1:26" x14ac:dyDescent="0.2">
      <c r="A616" s="4">
        <v>611</v>
      </c>
      <c r="E616" s="6" t="s">
        <v>1215</v>
      </c>
      <c r="G616" s="4" t="s">
        <v>1783</v>
      </c>
      <c r="H616" s="4" t="s">
        <v>207</v>
      </c>
      <c r="I616" s="2" t="s">
        <v>5</v>
      </c>
      <c r="J616" s="2" t="s">
        <v>956</v>
      </c>
      <c r="N616" s="4" t="s">
        <v>1781</v>
      </c>
      <c r="O616" s="4" t="s">
        <v>773</v>
      </c>
      <c r="P616" s="2" t="s">
        <v>702</v>
      </c>
      <c r="Q616" s="2" t="s">
        <v>956</v>
      </c>
      <c r="U616" s="4" t="s">
        <v>1778</v>
      </c>
      <c r="V616" s="4" t="s">
        <v>1809</v>
      </c>
      <c r="W616" s="2" t="s">
        <v>1700</v>
      </c>
      <c r="X616" s="2" t="s">
        <v>956</v>
      </c>
    </row>
    <row r="617" spans="1:26" x14ac:dyDescent="0.2">
      <c r="A617" s="4">
        <v>612</v>
      </c>
      <c r="B617" s="6" t="s">
        <v>6</v>
      </c>
      <c r="E617" s="6" t="s">
        <v>1215</v>
      </c>
      <c r="G617" s="4" t="s">
        <v>1783</v>
      </c>
      <c r="H617" s="4" t="s">
        <v>207</v>
      </c>
      <c r="I617" s="2" t="s">
        <v>1400</v>
      </c>
      <c r="J617" s="2" t="s">
        <v>1807</v>
      </c>
      <c r="N617" s="4" t="s">
        <v>1781</v>
      </c>
      <c r="O617" s="4" t="s">
        <v>773</v>
      </c>
      <c r="P617" s="2" t="s">
        <v>1810</v>
      </c>
      <c r="Q617" s="2" t="s">
        <v>1807</v>
      </c>
      <c r="U617" s="4" t="s">
        <v>1778</v>
      </c>
      <c r="V617" s="4" t="s">
        <v>1809</v>
      </c>
      <c r="W617" s="2" t="s">
        <v>1808</v>
      </c>
      <c r="X617" s="2" t="s">
        <v>1807</v>
      </c>
    </row>
    <row r="618" spans="1:26" ht="38.25" x14ac:dyDescent="0.2">
      <c r="A618" s="4">
        <v>613</v>
      </c>
      <c r="C618" s="6" t="s">
        <v>950</v>
      </c>
      <c r="E618" s="6" t="s">
        <v>1215</v>
      </c>
      <c r="G618" s="4" t="s">
        <v>1783</v>
      </c>
      <c r="H618" s="4" t="s">
        <v>1800</v>
      </c>
      <c r="I618" s="2" t="s">
        <v>969</v>
      </c>
      <c r="J618" s="2" t="s">
        <v>1795</v>
      </c>
      <c r="L618" s="2" t="s">
        <v>1806</v>
      </c>
      <c r="N618" s="4" t="s">
        <v>1781</v>
      </c>
      <c r="O618" s="4" t="s">
        <v>1798</v>
      </c>
      <c r="P618" s="2" t="s">
        <v>1319</v>
      </c>
      <c r="Q618" s="2" t="s">
        <v>1793</v>
      </c>
      <c r="S618" s="2" t="s">
        <v>1805</v>
      </c>
      <c r="U618" s="4" t="s">
        <v>1778</v>
      </c>
      <c r="V618" s="4" t="s">
        <v>1797</v>
      </c>
      <c r="W618" s="2" t="s">
        <v>1319</v>
      </c>
      <c r="X618" s="2" t="s">
        <v>1791</v>
      </c>
      <c r="Z618" s="2" t="s">
        <v>1804</v>
      </c>
    </row>
    <row r="619" spans="1:26" ht="25.5" x14ac:dyDescent="0.2">
      <c r="A619" s="4">
        <v>614</v>
      </c>
      <c r="C619" s="6" t="s">
        <v>950</v>
      </c>
      <c r="E619" s="6" t="s">
        <v>1215</v>
      </c>
      <c r="G619" s="4" t="s">
        <v>1783</v>
      </c>
      <c r="H619" s="4" t="s">
        <v>1800</v>
      </c>
      <c r="I619" s="2" t="s">
        <v>1803</v>
      </c>
      <c r="J619" s="2" t="s">
        <v>1788</v>
      </c>
      <c r="L619" s="2" t="s">
        <v>1228</v>
      </c>
      <c r="N619" s="4" t="s">
        <v>1781</v>
      </c>
      <c r="O619" s="4" t="s">
        <v>1798</v>
      </c>
      <c r="P619" s="2" t="s">
        <v>1802</v>
      </c>
      <c r="Q619" s="2" t="s">
        <v>1786</v>
      </c>
      <c r="S619" s="2" t="s">
        <v>1225</v>
      </c>
      <c r="U619" s="4" t="s">
        <v>1778</v>
      </c>
      <c r="V619" s="4" t="s">
        <v>1797</v>
      </c>
      <c r="W619" s="2" t="s">
        <v>1801</v>
      </c>
      <c r="X619" s="2" t="s">
        <v>1784</v>
      </c>
      <c r="Z619" s="2" t="s">
        <v>1222</v>
      </c>
    </row>
    <row r="620" spans="1:26" ht="63.75" x14ac:dyDescent="0.2">
      <c r="A620" s="4">
        <v>615</v>
      </c>
      <c r="E620" s="6" t="s">
        <v>1215</v>
      </c>
      <c r="G620" s="4" t="s">
        <v>1783</v>
      </c>
      <c r="H620" s="4" t="s">
        <v>1800</v>
      </c>
      <c r="I620" s="2" t="s">
        <v>123</v>
      </c>
      <c r="J620" s="2" t="s">
        <v>1799</v>
      </c>
      <c r="L620" s="2" t="s">
        <v>1764</v>
      </c>
      <c r="N620" s="4" t="s">
        <v>1781</v>
      </c>
      <c r="O620" s="4" t="s">
        <v>1798</v>
      </c>
      <c r="P620" s="2" t="s">
        <v>123</v>
      </c>
      <c r="Q620" s="2" t="s">
        <v>1796</v>
      </c>
      <c r="S620" s="2" t="s">
        <v>1763</v>
      </c>
      <c r="U620" s="4" t="s">
        <v>1778</v>
      </c>
      <c r="V620" s="4" t="s">
        <v>1797</v>
      </c>
      <c r="W620" s="2" t="s">
        <v>1247</v>
      </c>
      <c r="X620" s="2" t="s">
        <v>1796</v>
      </c>
      <c r="Z620" s="2" t="s">
        <v>1761</v>
      </c>
    </row>
    <row r="621" spans="1:26" ht="38.25" x14ac:dyDescent="0.2">
      <c r="A621" s="4">
        <v>616</v>
      </c>
      <c r="C621" s="6" t="s">
        <v>950</v>
      </c>
      <c r="E621" s="6" t="s">
        <v>1215</v>
      </c>
      <c r="G621" s="4" t="s">
        <v>1783</v>
      </c>
      <c r="H621" s="4" t="s">
        <v>216</v>
      </c>
      <c r="I621" s="2" t="s">
        <v>969</v>
      </c>
      <c r="J621" s="2" t="s">
        <v>1795</v>
      </c>
      <c r="L621" s="2" t="s">
        <v>1794</v>
      </c>
      <c r="N621" s="4" t="s">
        <v>1781</v>
      </c>
      <c r="O621" s="4" t="s">
        <v>1780</v>
      </c>
      <c r="P621" s="2" t="s">
        <v>1319</v>
      </c>
      <c r="Q621" s="2" t="s">
        <v>1793</v>
      </c>
      <c r="S621" s="2" t="s">
        <v>1792</v>
      </c>
      <c r="U621" s="4" t="s">
        <v>1778</v>
      </c>
      <c r="V621" s="4" t="s">
        <v>1777</v>
      </c>
      <c r="W621" s="2" t="s">
        <v>1319</v>
      </c>
      <c r="X621" s="2" t="s">
        <v>1791</v>
      </c>
      <c r="Z621" s="2" t="s">
        <v>1790</v>
      </c>
    </row>
    <row r="622" spans="1:26" x14ac:dyDescent="0.2">
      <c r="A622" s="4">
        <v>617</v>
      </c>
      <c r="C622" s="6" t="s">
        <v>950</v>
      </c>
      <c r="E622" s="6" t="s">
        <v>1215</v>
      </c>
      <c r="G622" s="4" t="s">
        <v>1783</v>
      </c>
      <c r="H622" s="4" t="s">
        <v>216</v>
      </c>
      <c r="I622" s="2" t="s">
        <v>1789</v>
      </c>
      <c r="J622" s="2" t="s">
        <v>1788</v>
      </c>
      <c r="L622" s="2" t="s">
        <v>1454</v>
      </c>
      <c r="N622" s="4" t="s">
        <v>1781</v>
      </c>
      <c r="O622" s="4" t="s">
        <v>1780</v>
      </c>
      <c r="P622" s="2" t="s">
        <v>1787</v>
      </c>
      <c r="Q622" s="2" t="s">
        <v>1786</v>
      </c>
      <c r="S622" s="2" t="s">
        <v>1451</v>
      </c>
      <c r="U622" s="4" t="s">
        <v>1778</v>
      </c>
      <c r="V622" s="4" t="s">
        <v>1777</v>
      </c>
      <c r="W622" s="2" t="s">
        <v>1785</v>
      </c>
      <c r="X622" s="2" t="s">
        <v>1784</v>
      </c>
      <c r="Z622" s="2" t="s">
        <v>1287</v>
      </c>
    </row>
    <row r="623" spans="1:26" ht="127.5" x14ac:dyDescent="0.2">
      <c r="A623" s="4">
        <v>618</v>
      </c>
      <c r="E623" s="6" t="s">
        <v>1215</v>
      </c>
      <c r="G623" s="4" t="s">
        <v>1783</v>
      </c>
      <c r="H623" s="4" t="s">
        <v>216</v>
      </c>
      <c r="I623" s="2" t="s">
        <v>123</v>
      </c>
      <c r="J623" s="2" t="s">
        <v>2953</v>
      </c>
      <c r="L623" s="2" t="s">
        <v>1782</v>
      </c>
      <c r="N623" s="4" t="s">
        <v>1781</v>
      </c>
      <c r="O623" s="4" t="s">
        <v>1780</v>
      </c>
      <c r="P623" s="2" t="s">
        <v>123</v>
      </c>
      <c r="Q623" s="2" t="s">
        <v>2954</v>
      </c>
      <c r="S623" s="2" t="s">
        <v>1779</v>
      </c>
      <c r="U623" s="4" t="s">
        <v>1778</v>
      </c>
      <c r="V623" s="4" t="s">
        <v>1777</v>
      </c>
      <c r="W623" s="2" t="s">
        <v>1247</v>
      </c>
      <c r="X623" s="2" t="s">
        <v>2955</v>
      </c>
      <c r="Z623" s="2" t="s">
        <v>1776</v>
      </c>
    </row>
    <row r="624" spans="1:26" ht="51" x14ac:dyDescent="0.2">
      <c r="A624" s="4">
        <v>619</v>
      </c>
      <c r="E624" s="6" t="s">
        <v>1215</v>
      </c>
      <c r="G624" s="4" t="s">
        <v>1775</v>
      </c>
      <c r="H624" s="4" t="s">
        <v>226</v>
      </c>
      <c r="I624" s="2" t="s">
        <v>123</v>
      </c>
      <c r="J624" s="2" t="s">
        <v>1765</v>
      </c>
      <c r="L624" s="2" t="s">
        <v>1764</v>
      </c>
      <c r="N624" s="4" t="s">
        <v>1774</v>
      </c>
      <c r="O624" s="4" t="s">
        <v>1773</v>
      </c>
      <c r="P624" s="2" t="s">
        <v>123</v>
      </c>
      <c r="Q624" s="2" t="s">
        <v>1762</v>
      </c>
      <c r="S624" s="2" t="s">
        <v>1763</v>
      </c>
      <c r="U624" s="4" t="s">
        <v>1772</v>
      </c>
      <c r="V624" s="4" t="s">
        <v>1771</v>
      </c>
      <c r="W624" s="2" t="s">
        <v>1247</v>
      </c>
      <c r="X624" s="2" t="s">
        <v>1762</v>
      </c>
      <c r="Z624" s="2" t="s">
        <v>1761</v>
      </c>
    </row>
    <row r="625" spans="1:26" ht="38.25" x14ac:dyDescent="0.2">
      <c r="A625" s="4">
        <v>620</v>
      </c>
      <c r="E625" s="6" t="s">
        <v>1215</v>
      </c>
      <c r="G625" s="4" t="s">
        <v>1775</v>
      </c>
      <c r="H625" s="4" t="s">
        <v>226</v>
      </c>
      <c r="I625" s="2" t="s">
        <v>193</v>
      </c>
      <c r="J625" s="2" t="s">
        <v>2784</v>
      </c>
      <c r="L625" s="2" t="s">
        <v>1758</v>
      </c>
      <c r="N625" s="4" t="s">
        <v>1774</v>
      </c>
      <c r="O625" s="4" t="s">
        <v>1773</v>
      </c>
      <c r="P625" s="2" t="s">
        <v>769</v>
      </c>
      <c r="Q625" s="2" t="s">
        <v>2956</v>
      </c>
      <c r="S625" s="2" t="s">
        <v>1755</v>
      </c>
      <c r="U625" s="4" t="s">
        <v>1772</v>
      </c>
      <c r="V625" s="4" t="s">
        <v>1771</v>
      </c>
      <c r="W625" s="2" t="s">
        <v>1515</v>
      </c>
      <c r="X625" s="2" t="s">
        <v>2957</v>
      </c>
      <c r="Z625" s="2" t="s">
        <v>1752</v>
      </c>
    </row>
    <row r="626" spans="1:26" ht="51" x14ac:dyDescent="0.2">
      <c r="A626" s="4">
        <v>621</v>
      </c>
      <c r="E626" s="6" t="s">
        <v>1215</v>
      </c>
      <c r="G626" s="4" t="s">
        <v>1770</v>
      </c>
      <c r="H626" s="4" t="s">
        <v>228</v>
      </c>
      <c r="I626" s="2" t="s">
        <v>123</v>
      </c>
      <c r="J626" s="2" t="s">
        <v>1765</v>
      </c>
      <c r="L626" s="2" t="s">
        <v>1764</v>
      </c>
      <c r="N626" s="4" t="s">
        <v>1769</v>
      </c>
      <c r="O626" s="4" t="s">
        <v>1768</v>
      </c>
      <c r="P626" s="2" t="s">
        <v>123</v>
      </c>
      <c r="Q626" s="2" t="s">
        <v>1762</v>
      </c>
      <c r="S626" s="2" t="s">
        <v>1763</v>
      </c>
      <c r="U626" s="4" t="s">
        <v>1767</v>
      </c>
      <c r="V626" s="4" t="s">
        <v>1766</v>
      </c>
      <c r="W626" s="2" t="s">
        <v>1247</v>
      </c>
      <c r="X626" s="2" t="s">
        <v>1762</v>
      </c>
      <c r="Z626" s="2" t="s">
        <v>1761</v>
      </c>
    </row>
    <row r="627" spans="1:26" ht="38.25" x14ac:dyDescent="0.2">
      <c r="A627" s="4">
        <v>622</v>
      </c>
      <c r="E627" s="6" t="s">
        <v>1215</v>
      </c>
      <c r="G627" s="4" t="s">
        <v>1770</v>
      </c>
      <c r="H627" s="4" t="s">
        <v>228</v>
      </c>
      <c r="I627" s="2" t="s">
        <v>193</v>
      </c>
      <c r="J627" s="2" t="s">
        <v>2784</v>
      </c>
      <c r="L627" s="2" t="s">
        <v>1758</v>
      </c>
      <c r="N627" s="4" t="s">
        <v>1769</v>
      </c>
      <c r="O627" s="4" t="s">
        <v>1768</v>
      </c>
      <c r="P627" s="2" t="s">
        <v>769</v>
      </c>
      <c r="Q627" s="2" t="s">
        <v>2956</v>
      </c>
      <c r="S627" s="2" t="s">
        <v>1755</v>
      </c>
      <c r="U627" s="4" t="s">
        <v>1767</v>
      </c>
      <c r="V627" s="4" t="s">
        <v>1766</v>
      </c>
      <c r="W627" s="2" t="s">
        <v>1515</v>
      </c>
      <c r="X627" s="2" t="s">
        <v>2957</v>
      </c>
      <c r="Z627" s="2" t="s">
        <v>1752</v>
      </c>
    </row>
    <row r="628" spans="1:26" ht="51" x14ac:dyDescent="0.2">
      <c r="A628" s="4">
        <v>623</v>
      </c>
      <c r="E628" s="6" t="s">
        <v>1215</v>
      </c>
      <c r="G628" s="4" t="s">
        <v>1760</v>
      </c>
      <c r="H628" s="4" t="s">
        <v>1759</v>
      </c>
      <c r="I628" s="2" t="s">
        <v>123</v>
      </c>
      <c r="J628" s="2" t="s">
        <v>1765</v>
      </c>
      <c r="L628" s="2" t="s">
        <v>1764</v>
      </c>
      <c r="N628" s="4" t="s">
        <v>1757</v>
      </c>
      <c r="O628" s="4" t="s">
        <v>1756</v>
      </c>
      <c r="P628" s="2" t="s">
        <v>123</v>
      </c>
      <c r="Q628" s="2" t="s">
        <v>1762</v>
      </c>
      <c r="S628" s="2" t="s">
        <v>1763</v>
      </c>
      <c r="U628" s="4" t="s">
        <v>1754</v>
      </c>
      <c r="V628" s="4" t="s">
        <v>1753</v>
      </c>
      <c r="W628" s="2" t="s">
        <v>1247</v>
      </c>
      <c r="X628" s="2" t="s">
        <v>1762</v>
      </c>
      <c r="Z628" s="2" t="s">
        <v>1761</v>
      </c>
    </row>
    <row r="629" spans="1:26" ht="38.25" x14ac:dyDescent="0.2">
      <c r="A629" s="4">
        <v>624</v>
      </c>
      <c r="E629" s="6" t="s">
        <v>1215</v>
      </c>
      <c r="G629" s="4" t="s">
        <v>1760</v>
      </c>
      <c r="H629" s="4" t="s">
        <v>1759</v>
      </c>
      <c r="I629" s="2" t="s">
        <v>193</v>
      </c>
      <c r="J629" s="2" t="s">
        <v>2784</v>
      </c>
      <c r="L629" s="2" t="s">
        <v>1758</v>
      </c>
      <c r="N629" s="4" t="s">
        <v>1757</v>
      </c>
      <c r="O629" s="4" t="s">
        <v>1756</v>
      </c>
      <c r="P629" s="2" t="s">
        <v>769</v>
      </c>
      <c r="Q629" s="2" t="s">
        <v>2956</v>
      </c>
      <c r="S629" s="2" t="s">
        <v>1755</v>
      </c>
      <c r="U629" s="4" t="s">
        <v>1754</v>
      </c>
      <c r="V629" s="4" t="s">
        <v>1753</v>
      </c>
      <c r="W629" s="2" t="s">
        <v>1515</v>
      </c>
      <c r="X629" s="2" t="s">
        <v>2957</v>
      </c>
      <c r="Z629" s="2" t="s">
        <v>1752</v>
      </c>
    </row>
    <row r="630" spans="1:26" x14ac:dyDescent="0.2">
      <c r="A630" s="4">
        <v>625</v>
      </c>
      <c r="B630" s="6" t="s">
        <v>1221</v>
      </c>
      <c r="E630" s="6" t="s">
        <v>1215</v>
      </c>
      <c r="G630" s="4" t="s">
        <v>1727</v>
      </c>
      <c r="H630" s="4" t="s">
        <v>1748</v>
      </c>
      <c r="I630" s="2" t="s">
        <v>96</v>
      </c>
      <c r="J630" s="2" t="s">
        <v>951</v>
      </c>
      <c r="L630" s="2" t="s">
        <v>1380</v>
      </c>
      <c r="N630" s="4" t="s">
        <v>1725</v>
      </c>
      <c r="O630" s="4" t="s">
        <v>1748</v>
      </c>
      <c r="P630" s="2" t="s">
        <v>733</v>
      </c>
      <c r="Q630" s="2" t="s">
        <v>951</v>
      </c>
      <c r="S630" s="2" t="s">
        <v>1379</v>
      </c>
      <c r="U630" s="4" t="s">
        <v>1723</v>
      </c>
      <c r="V630" s="4" t="s">
        <v>1747</v>
      </c>
      <c r="W630" s="2" t="s">
        <v>1378</v>
      </c>
      <c r="X630" s="2" t="s">
        <v>951</v>
      </c>
      <c r="Z630" s="2" t="s">
        <v>1377</v>
      </c>
    </row>
    <row r="631" spans="1:26" x14ac:dyDescent="0.2">
      <c r="A631" s="4">
        <v>626</v>
      </c>
      <c r="B631" s="6" t="s">
        <v>1221</v>
      </c>
      <c r="E631" s="6" t="s">
        <v>1215</v>
      </c>
      <c r="G631" s="4" t="s">
        <v>1727</v>
      </c>
      <c r="H631" s="4" t="s">
        <v>1748</v>
      </c>
      <c r="I631" s="2" t="s">
        <v>121</v>
      </c>
      <c r="J631" s="2" t="s">
        <v>951</v>
      </c>
      <c r="N631" s="4" t="s">
        <v>1725</v>
      </c>
      <c r="O631" s="4" t="s">
        <v>1748</v>
      </c>
      <c r="P631" s="2" t="s">
        <v>742</v>
      </c>
      <c r="Q631" s="2" t="s">
        <v>951</v>
      </c>
      <c r="U631" s="4" t="s">
        <v>1723</v>
      </c>
      <c r="V631" s="4" t="s">
        <v>1747</v>
      </c>
      <c r="W631" s="2" t="s">
        <v>742</v>
      </c>
      <c r="X631" s="2" t="s">
        <v>951</v>
      </c>
    </row>
    <row r="632" spans="1:26" x14ac:dyDescent="0.2">
      <c r="A632" s="4">
        <v>627</v>
      </c>
      <c r="E632" s="6" t="s">
        <v>1215</v>
      </c>
      <c r="G632" s="4" t="s">
        <v>1727</v>
      </c>
      <c r="H632" s="4" t="s">
        <v>1748</v>
      </c>
      <c r="I632" s="2" t="s">
        <v>1751</v>
      </c>
      <c r="J632" s="2" t="s">
        <v>951</v>
      </c>
      <c r="N632" s="4" t="s">
        <v>1725</v>
      </c>
      <c r="O632" s="4" t="s">
        <v>1748</v>
      </c>
      <c r="P632" s="2" t="s">
        <v>1750</v>
      </c>
      <c r="Q632" s="2" t="s">
        <v>951</v>
      </c>
      <c r="U632" s="4" t="s">
        <v>1723</v>
      </c>
      <c r="V632" s="4" t="s">
        <v>1747</v>
      </c>
      <c r="W632" s="2" t="s">
        <v>1749</v>
      </c>
      <c r="X632" s="2" t="s">
        <v>951</v>
      </c>
    </row>
    <row r="633" spans="1:26" x14ac:dyDescent="0.2">
      <c r="A633" s="4">
        <v>628</v>
      </c>
      <c r="D633" s="6" t="s">
        <v>950</v>
      </c>
      <c r="E633" s="6" t="s">
        <v>1215</v>
      </c>
      <c r="G633" s="4" t="s">
        <v>1727</v>
      </c>
      <c r="H633" s="4" t="s">
        <v>1748</v>
      </c>
      <c r="I633" s="2" t="s">
        <v>107</v>
      </c>
      <c r="J633" s="2" t="s">
        <v>1349</v>
      </c>
      <c r="N633" s="4" t="s">
        <v>1725</v>
      </c>
      <c r="O633" s="4" t="s">
        <v>1748</v>
      </c>
      <c r="P633" s="2" t="s">
        <v>1589</v>
      </c>
      <c r="Q633" s="2" t="s">
        <v>1349</v>
      </c>
      <c r="U633" s="4" t="s">
        <v>1723</v>
      </c>
      <c r="V633" s="4" t="s">
        <v>1747</v>
      </c>
      <c r="W633" s="2" t="s">
        <v>1587</v>
      </c>
      <c r="X633" s="2" t="s">
        <v>1349</v>
      </c>
    </row>
    <row r="634" spans="1:26" x14ac:dyDescent="0.2">
      <c r="A634" s="4">
        <v>629</v>
      </c>
      <c r="C634" s="6" t="s">
        <v>950</v>
      </c>
      <c r="E634" s="6" t="s">
        <v>1215</v>
      </c>
      <c r="G634" s="4" t="s">
        <v>1727</v>
      </c>
      <c r="H634" s="4" t="s">
        <v>1743</v>
      </c>
      <c r="I634" s="2" t="s">
        <v>1746</v>
      </c>
      <c r="J634" s="2" t="s">
        <v>1735</v>
      </c>
      <c r="L634" s="2" t="s">
        <v>1454</v>
      </c>
      <c r="N634" s="4" t="s">
        <v>1725</v>
      </c>
      <c r="O634" s="4" t="s">
        <v>1741</v>
      </c>
      <c r="P634" s="2" t="s">
        <v>1745</v>
      </c>
      <c r="Q634" s="2" t="s">
        <v>1735</v>
      </c>
      <c r="S634" s="2" t="s">
        <v>1451</v>
      </c>
      <c r="U634" s="4" t="s">
        <v>1723</v>
      </c>
      <c r="V634" s="4" t="s">
        <v>1740</v>
      </c>
      <c r="W634" s="2" t="s">
        <v>1744</v>
      </c>
      <c r="X634" s="2" t="s">
        <v>1732</v>
      </c>
      <c r="Z634" s="2" t="s">
        <v>1287</v>
      </c>
    </row>
    <row r="635" spans="1:26" ht="63.75" x14ac:dyDescent="0.2">
      <c r="A635" s="4">
        <v>630</v>
      </c>
      <c r="E635" s="6" t="s">
        <v>1215</v>
      </c>
      <c r="G635" s="4" t="s">
        <v>1727</v>
      </c>
      <c r="H635" s="4" t="s">
        <v>1743</v>
      </c>
      <c r="I635" s="2" t="s">
        <v>123</v>
      </c>
      <c r="J635" s="2" t="s">
        <v>1742</v>
      </c>
      <c r="N635" s="4" t="s">
        <v>1725</v>
      </c>
      <c r="O635" s="4" t="s">
        <v>1741</v>
      </c>
      <c r="P635" s="2" t="s">
        <v>123</v>
      </c>
      <c r="Q635" s="2" t="s">
        <v>1739</v>
      </c>
      <c r="U635" s="4" t="s">
        <v>1723</v>
      </c>
      <c r="V635" s="4" t="s">
        <v>1740</v>
      </c>
      <c r="W635" s="2" t="s">
        <v>1247</v>
      </c>
      <c r="X635" s="2" t="s">
        <v>1739</v>
      </c>
    </row>
    <row r="636" spans="1:26" x14ac:dyDescent="0.2">
      <c r="A636" s="4">
        <v>631</v>
      </c>
      <c r="C636" s="6" t="s">
        <v>950</v>
      </c>
      <c r="E636" s="6" t="s">
        <v>1215</v>
      </c>
      <c r="G636" s="4" t="s">
        <v>1727</v>
      </c>
      <c r="H636" s="4" t="s">
        <v>1726</v>
      </c>
      <c r="I636" s="2" t="s">
        <v>1738</v>
      </c>
      <c r="J636" s="2" t="s">
        <v>1735</v>
      </c>
      <c r="L636" s="2" t="s">
        <v>1737</v>
      </c>
      <c r="N636" s="4" t="s">
        <v>1725</v>
      </c>
      <c r="O636" s="4" t="s">
        <v>1724</v>
      </c>
      <c r="P636" s="2" t="s">
        <v>1736</v>
      </c>
      <c r="Q636" s="2" t="s">
        <v>1735</v>
      </c>
      <c r="S636" s="2" t="s">
        <v>1734</v>
      </c>
      <c r="U636" s="4" t="s">
        <v>1723</v>
      </c>
      <c r="V636" s="4" t="s">
        <v>1722</v>
      </c>
      <c r="W636" s="2" t="s">
        <v>1733</v>
      </c>
      <c r="X636" s="2" t="s">
        <v>1732</v>
      </c>
      <c r="Z636" s="2" t="s">
        <v>1731</v>
      </c>
    </row>
    <row r="637" spans="1:26" x14ac:dyDescent="0.2">
      <c r="A637" s="4">
        <v>632</v>
      </c>
      <c r="E637" s="6" t="s">
        <v>1215</v>
      </c>
      <c r="G637" s="4" t="s">
        <v>1727</v>
      </c>
      <c r="H637" s="4" t="s">
        <v>1726</v>
      </c>
      <c r="I637" s="2" t="s">
        <v>1219</v>
      </c>
      <c r="J637" s="2" t="s">
        <v>1220</v>
      </c>
      <c r="L637" s="2" t="s">
        <v>1730</v>
      </c>
      <c r="N637" s="4" t="s">
        <v>1725</v>
      </c>
      <c r="O637" s="4" t="s">
        <v>1724</v>
      </c>
      <c r="P637" s="2" t="s">
        <v>1219</v>
      </c>
      <c r="Q637" s="2" t="s">
        <v>1218</v>
      </c>
      <c r="S637" s="2" t="s">
        <v>1729</v>
      </c>
      <c r="U637" s="4" t="s">
        <v>1723</v>
      </c>
      <c r="V637" s="4" t="s">
        <v>1722</v>
      </c>
      <c r="W637" s="2" t="s">
        <v>1219</v>
      </c>
      <c r="X637" s="2" t="s">
        <v>1218</v>
      </c>
      <c r="Z637" s="2" t="s">
        <v>1728</v>
      </c>
    </row>
    <row r="638" spans="1:26" x14ac:dyDescent="0.2">
      <c r="A638" s="4">
        <v>633</v>
      </c>
      <c r="D638" s="6" t="s">
        <v>950</v>
      </c>
      <c r="E638" s="6" t="s">
        <v>1215</v>
      </c>
      <c r="G638" s="4" t="s">
        <v>1727</v>
      </c>
      <c r="H638" s="4" t="s">
        <v>1726</v>
      </c>
      <c r="I638" s="2" t="s">
        <v>1217</v>
      </c>
      <c r="J638" s="2" t="s">
        <v>933</v>
      </c>
      <c r="K638" s="3">
        <v>100</v>
      </c>
      <c r="N638" s="4" t="s">
        <v>1725</v>
      </c>
      <c r="O638" s="4" t="s">
        <v>1724</v>
      </c>
      <c r="P638" s="2" t="s">
        <v>1217</v>
      </c>
      <c r="Q638" s="2" t="s">
        <v>933</v>
      </c>
      <c r="R638" s="3">
        <v>100</v>
      </c>
      <c r="U638" s="4" t="s">
        <v>1723</v>
      </c>
      <c r="V638" s="4" t="s">
        <v>1722</v>
      </c>
      <c r="W638" s="2" t="s">
        <v>1217</v>
      </c>
      <c r="X638" s="2" t="s">
        <v>1216</v>
      </c>
      <c r="Y638" s="3">
        <v>100</v>
      </c>
    </row>
    <row r="639" spans="1:26" x14ac:dyDescent="0.2">
      <c r="A639" s="4">
        <v>634</v>
      </c>
      <c r="D639" s="6" t="s">
        <v>950</v>
      </c>
      <c r="E639" s="6" t="s">
        <v>1215</v>
      </c>
      <c r="G639" s="4" t="s">
        <v>1727</v>
      </c>
      <c r="H639" s="4" t="s">
        <v>1726</v>
      </c>
      <c r="I639" s="2" t="s">
        <v>1285</v>
      </c>
      <c r="J639" s="2" t="s">
        <v>1199</v>
      </c>
      <c r="K639" s="3" t="s">
        <v>1284</v>
      </c>
      <c r="N639" s="4" t="s">
        <v>1725</v>
      </c>
      <c r="O639" s="4" t="s">
        <v>1724</v>
      </c>
      <c r="P639" s="2" t="s">
        <v>1285</v>
      </c>
      <c r="Q639" s="2" t="s">
        <v>1199</v>
      </c>
      <c r="R639" s="3" t="s">
        <v>1284</v>
      </c>
      <c r="U639" s="4" t="s">
        <v>1723</v>
      </c>
      <c r="V639" s="4" t="s">
        <v>1722</v>
      </c>
      <c r="W639" s="2" t="s">
        <v>1285</v>
      </c>
      <c r="X639" s="2" t="s">
        <v>1199</v>
      </c>
      <c r="Y639" s="3" t="s">
        <v>1284</v>
      </c>
    </row>
    <row r="640" spans="1:26" x14ac:dyDescent="0.2">
      <c r="A640" s="4">
        <v>635</v>
      </c>
      <c r="D640" s="6" t="s">
        <v>950</v>
      </c>
      <c r="E640" s="6" t="s">
        <v>1215</v>
      </c>
      <c r="G640" s="4" t="s">
        <v>1727</v>
      </c>
      <c r="H640" s="4" t="s">
        <v>1726</v>
      </c>
      <c r="I640" s="2" t="s">
        <v>1283</v>
      </c>
      <c r="J640" s="2" t="s">
        <v>1200</v>
      </c>
      <c r="K640" s="3" t="s">
        <v>1282</v>
      </c>
      <c r="N640" s="4" t="s">
        <v>1725</v>
      </c>
      <c r="O640" s="4" t="s">
        <v>1724</v>
      </c>
      <c r="P640" s="2" t="s">
        <v>1283</v>
      </c>
      <c r="Q640" s="2" t="s">
        <v>1200</v>
      </c>
      <c r="R640" s="3" t="s">
        <v>1282</v>
      </c>
      <c r="U640" s="4" t="s">
        <v>1723</v>
      </c>
      <c r="V640" s="4" t="s">
        <v>1722</v>
      </c>
      <c r="W640" s="2" t="s">
        <v>1283</v>
      </c>
      <c r="X640" s="2" t="s">
        <v>1200</v>
      </c>
      <c r="Y640" s="3" t="s">
        <v>1282</v>
      </c>
    </row>
    <row r="641" spans="1:26" x14ac:dyDescent="0.2">
      <c r="A641" s="4">
        <v>636</v>
      </c>
      <c r="D641" s="6" t="s">
        <v>950</v>
      </c>
      <c r="E641" s="6" t="s">
        <v>1215</v>
      </c>
      <c r="G641" s="4" t="s">
        <v>1727</v>
      </c>
      <c r="H641" s="4" t="s">
        <v>1726</v>
      </c>
      <c r="I641" s="2" t="s">
        <v>1280</v>
      </c>
      <c r="J641" s="2" t="s">
        <v>59</v>
      </c>
      <c r="K641" s="3" t="s">
        <v>1279</v>
      </c>
      <c r="N641" s="4" t="s">
        <v>1725</v>
      </c>
      <c r="O641" s="4" t="s">
        <v>1724</v>
      </c>
      <c r="P641" s="2" t="s">
        <v>1277</v>
      </c>
      <c r="Q641" s="2" t="s">
        <v>1276</v>
      </c>
      <c r="R641" s="3" t="s">
        <v>1275</v>
      </c>
      <c r="U641" s="4" t="s">
        <v>1723</v>
      </c>
      <c r="V641" s="4" t="s">
        <v>1722</v>
      </c>
      <c r="W641" s="2" t="s">
        <v>1273</v>
      </c>
      <c r="X641" s="2" t="s">
        <v>1272</v>
      </c>
      <c r="Y641" s="3" t="s">
        <v>1271</v>
      </c>
    </row>
    <row r="642" spans="1:26" x14ac:dyDescent="0.2">
      <c r="A642" s="4">
        <v>637</v>
      </c>
      <c r="B642" s="6" t="s">
        <v>1221</v>
      </c>
      <c r="E642" s="6" t="s">
        <v>1215</v>
      </c>
      <c r="G642" s="4" t="s">
        <v>1708</v>
      </c>
      <c r="H642" s="4" t="s">
        <v>567</v>
      </c>
      <c r="I642" s="2" t="s">
        <v>96</v>
      </c>
      <c r="J642" s="2" t="s">
        <v>951</v>
      </c>
      <c r="L642" s="2" t="s">
        <v>1380</v>
      </c>
      <c r="N642" s="4" t="s">
        <v>1706</v>
      </c>
      <c r="O642" s="4" t="s">
        <v>1719</v>
      </c>
      <c r="P642" s="2" t="s">
        <v>733</v>
      </c>
      <c r="Q642" s="2" t="s">
        <v>951</v>
      </c>
      <c r="S642" s="2" t="s">
        <v>1379</v>
      </c>
      <c r="U642" s="4" t="s">
        <v>1704</v>
      </c>
      <c r="V642" s="4" t="s">
        <v>1718</v>
      </c>
      <c r="W642" s="2" t="s">
        <v>1378</v>
      </c>
      <c r="X642" s="2" t="s">
        <v>951</v>
      </c>
      <c r="Z642" s="2" t="s">
        <v>1377</v>
      </c>
    </row>
    <row r="643" spans="1:26" x14ac:dyDescent="0.2">
      <c r="A643" s="4">
        <v>638</v>
      </c>
      <c r="B643" s="6" t="s">
        <v>1221</v>
      </c>
      <c r="E643" s="6" t="s">
        <v>1215</v>
      </c>
      <c r="G643" s="4" t="s">
        <v>1708</v>
      </c>
      <c r="H643" s="4" t="s">
        <v>567</v>
      </c>
      <c r="I643" s="2" t="s">
        <v>99</v>
      </c>
      <c r="J643" s="2" t="s">
        <v>951</v>
      </c>
      <c r="L643" s="2" t="s">
        <v>1599</v>
      </c>
      <c r="N643" s="4" t="s">
        <v>1706</v>
      </c>
      <c r="O643" s="4" t="s">
        <v>1719</v>
      </c>
      <c r="P643" s="2" t="s">
        <v>734</v>
      </c>
      <c r="Q643" s="2" t="s">
        <v>951</v>
      </c>
      <c r="S643" s="2" t="s">
        <v>2811</v>
      </c>
      <c r="U643" s="4" t="s">
        <v>1704</v>
      </c>
      <c r="V643" s="4" t="s">
        <v>1718</v>
      </c>
      <c r="W643" s="2" t="s">
        <v>1376</v>
      </c>
      <c r="X643" s="2" t="s">
        <v>951</v>
      </c>
      <c r="Z643" s="2" t="s">
        <v>1598</v>
      </c>
    </row>
    <row r="644" spans="1:26" ht="63.75" x14ac:dyDescent="0.2">
      <c r="A644" s="4">
        <v>639</v>
      </c>
      <c r="E644" s="6" t="s">
        <v>1215</v>
      </c>
      <c r="G644" s="4" t="s">
        <v>1708</v>
      </c>
      <c r="H644" s="4" t="s">
        <v>567</v>
      </c>
      <c r="I644" s="2" t="s">
        <v>123</v>
      </c>
      <c r="J644" s="2" t="s">
        <v>1721</v>
      </c>
      <c r="N644" s="4" t="s">
        <v>1706</v>
      </c>
      <c r="O644" s="4" t="s">
        <v>1719</v>
      </c>
      <c r="P644" s="2" t="s">
        <v>123</v>
      </c>
      <c r="Q644" s="2" t="s">
        <v>1720</v>
      </c>
      <c r="U644" s="4" t="s">
        <v>1704</v>
      </c>
      <c r="V644" s="4" t="s">
        <v>1718</v>
      </c>
      <c r="W644" s="2" t="s">
        <v>1247</v>
      </c>
      <c r="X644" s="2" t="s">
        <v>1720</v>
      </c>
    </row>
    <row r="645" spans="1:26" x14ac:dyDescent="0.2">
      <c r="A645" s="4">
        <v>640</v>
      </c>
      <c r="D645" s="6" t="s">
        <v>950</v>
      </c>
      <c r="E645" s="6" t="s">
        <v>1215</v>
      </c>
      <c r="G645" s="4" t="s">
        <v>1708</v>
      </c>
      <c r="H645" s="4" t="s">
        <v>567</v>
      </c>
      <c r="I645" s="2" t="s">
        <v>107</v>
      </c>
      <c r="J645" s="2" t="s">
        <v>1349</v>
      </c>
      <c r="N645" s="4" t="s">
        <v>1706</v>
      </c>
      <c r="O645" s="4" t="s">
        <v>1719</v>
      </c>
      <c r="P645" s="2" t="s">
        <v>1589</v>
      </c>
      <c r="Q645" s="2" t="s">
        <v>1349</v>
      </c>
      <c r="U645" s="4" t="s">
        <v>1704</v>
      </c>
      <c r="V645" s="4" t="s">
        <v>1718</v>
      </c>
      <c r="W645" s="2" t="s">
        <v>1587</v>
      </c>
      <c r="X645" s="2" t="s">
        <v>1349</v>
      </c>
    </row>
    <row r="646" spans="1:26" ht="25.5" x14ac:dyDescent="0.2">
      <c r="A646" s="4">
        <v>641</v>
      </c>
      <c r="E646" s="6" t="s">
        <v>1215</v>
      </c>
      <c r="G646" s="4" t="s">
        <v>1708</v>
      </c>
      <c r="H646" s="4" t="s">
        <v>567</v>
      </c>
      <c r="I646" s="2" t="s">
        <v>1212</v>
      </c>
      <c r="J646" s="2" t="s">
        <v>2786</v>
      </c>
      <c r="N646" s="4" t="s">
        <v>1706</v>
      </c>
      <c r="O646" s="4" t="s">
        <v>1719</v>
      </c>
      <c r="P646" s="2" t="s">
        <v>1208</v>
      </c>
      <c r="Q646" s="2" t="s">
        <v>2958</v>
      </c>
      <c r="U646" s="4" t="s">
        <v>1704</v>
      </c>
      <c r="V646" s="4" t="s">
        <v>1718</v>
      </c>
      <c r="W646" s="2" t="s">
        <v>1204</v>
      </c>
      <c r="X646" s="2" t="s">
        <v>2959</v>
      </c>
    </row>
    <row r="647" spans="1:26" ht="25.5" x14ac:dyDescent="0.2">
      <c r="A647" s="4">
        <v>642</v>
      </c>
      <c r="C647" s="6" t="s">
        <v>950</v>
      </c>
      <c r="E647" s="6" t="s">
        <v>1215</v>
      </c>
      <c r="G647" s="4" t="s">
        <v>1708</v>
      </c>
      <c r="H647" s="4" t="s">
        <v>1707</v>
      </c>
      <c r="I647" s="2" t="s">
        <v>1717</v>
      </c>
      <c r="J647" s="2" t="s">
        <v>1716</v>
      </c>
      <c r="L647" s="19" t="s">
        <v>2872</v>
      </c>
      <c r="N647" s="4" t="s">
        <v>1706</v>
      </c>
      <c r="O647" s="4" t="s">
        <v>1705</v>
      </c>
      <c r="P647" s="2" t="s">
        <v>1715</v>
      </c>
      <c r="Q647" s="2" t="s">
        <v>1714</v>
      </c>
      <c r="S647" s="19" t="s">
        <v>2873</v>
      </c>
      <c r="U647" s="4" t="s">
        <v>1704</v>
      </c>
      <c r="V647" s="4" t="s">
        <v>1703</v>
      </c>
      <c r="W647" s="2" t="s">
        <v>1713</v>
      </c>
      <c r="X647" s="2" t="s">
        <v>1712</v>
      </c>
      <c r="Z647" s="19" t="s">
        <v>2874</v>
      </c>
    </row>
    <row r="648" spans="1:26" x14ac:dyDescent="0.2">
      <c r="A648" s="4">
        <v>643</v>
      </c>
      <c r="E648" s="6" t="s">
        <v>1215</v>
      </c>
      <c r="G648" s="4" t="s">
        <v>1708</v>
      </c>
      <c r="H648" s="4" t="s">
        <v>1707</v>
      </c>
      <c r="I648" s="2" t="s">
        <v>1219</v>
      </c>
      <c r="J648" s="2" t="s">
        <v>1220</v>
      </c>
      <c r="L648" s="2" t="s">
        <v>1711</v>
      </c>
      <c r="N648" s="4" t="s">
        <v>1706</v>
      </c>
      <c r="O648" s="4" t="s">
        <v>1705</v>
      </c>
      <c r="P648" s="2" t="s">
        <v>1219</v>
      </c>
      <c r="Q648" s="2" t="s">
        <v>1218</v>
      </c>
      <c r="S648" s="2" t="s">
        <v>1710</v>
      </c>
      <c r="U648" s="4" t="s">
        <v>1704</v>
      </c>
      <c r="V648" s="4" t="s">
        <v>1703</v>
      </c>
      <c r="W648" s="2" t="s">
        <v>1219</v>
      </c>
      <c r="X648" s="2" t="s">
        <v>1218</v>
      </c>
      <c r="Z648" s="2" t="s">
        <v>1709</v>
      </c>
    </row>
    <row r="649" spans="1:26" x14ac:dyDescent="0.2">
      <c r="A649" s="4">
        <v>644</v>
      </c>
      <c r="D649" s="6" t="s">
        <v>950</v>
      </c>
      <c r="E649" s="6" t="s">
        <v>1215</v>
      </c>
      <c r="G649" s="4" t="s">
        <v>1708</v>
      </c>
      <c r="H649" s="4" t="s">
        <v>1707</v>
      </c>
      <c r="I649" s="2" t="s">
        <v>1217</v>
      </c>
      <c r="J649" s="2" t="s">
        <v>933</v>
      </c>
      <c r="K649" s="3">
        <v>100</v>
      </c>
      <c r="N649" s="4" t="s">
        <v>1706</v>
      </c>
      <c r="O649" s="4" t="s">
        <v>1705</v>
      </c>
      <c r="P649" s="2" t="s">
        <v>1217</v>
      </c>
      <c r="Q649" s="2" t="s">
        <v>933</v>
      </c>
      <c r="R649" s="3">
        <v>100</v>
      </c>
      <c r="U649" s="4" t="s">
        <v>1704</v>
      </c>
      <c r="V649" s="4" t="s">
        <v>1703</v>
      </c>
      <c r="W649" s="2" t="s">
        <v>1217</v>
      </c>
      <c r="X649" s="2" t="s">
        <v>1216</v>
      </c>
      <c r="Y649" s="3">
        <v>100</v>
      </c>
    </row>
    <row r="650" spans="1:26" x14ac:dyDescent="0.2">
      <c r="A650" s="4">
        <v>645</v>
      </c>
      <c r="D650" s="6" t="s">
        <v>950</v>
      </c>
      <c r="E650" s="6" t="s">
        <v>1215</v>
      </c>
      <c r="G650" s="4" t="s">
        <v>1708</v>
      </c>
      <c r="H650" s="4" t="s">
        <v>1707</v>
      </c>
      <c r="I650" s="2" t="s">
        <v>1285</v>
      </c>
      <c r="J650" s="2" t="s">
        <v>1199</v>
      </c>
      <c r="K650" s="3" t="s">
        <v>1284</v>
      </c>
      <c r="N650" s="4" t="s">
        <v>1706</v>
      </c>
      <c r="O650" s="4" t="s">
        <v>1705</v>
      </c>
      <c r="P650" s="2" t="s">
        <v>1285</v>
      </c>
      <c r="Q650" s="2" t="s">
        <v>1199</v>
      </c>
      <c r="R650" s="3" t="s">
        <v>1284</v>
      </c>
      <c r="U650" s="4" t="s">
        <v>1704</v>
      </c>
      <c r="V650" s="4" t="s">
        <v>1703</v>
      </c>
      <c r="W650" s="2" t="s">
        <v>1285</v>
      </c>
      <c r="X650" s="2" t="s">
        <v>1199</v>
      </c>
      <c r="Y650" s="3" t="s">
        <v>1284</v>
      </c>
    </row>
    <row r="651" spans="1:26" x14ac:dyDescent="0.2">
      <c r="A651" s="4">
        <v>646</v>
      </c>
      <c r="D651" s="6" t="s">
        <v>950</v>
      </c>
      <c r="E651" s="6" t="s">
        <v>1215</v>
      </c>
      <c r="G651" s="4" t="s">
        <v>1708</v>
      </c>
      <c r="H651" s="4" t="s">
        <v>1707</v>
      </c>
      <c r="I651" s="2" t="s">
        <v>1283</v>
      </c>
      <c r="J651" s="2" t="s">
        <v>1200</v>
      </c>
      <c r="K651" s="3" t="s">
        <v>1282</v>
      </c>
      <c r="N651" s="4" t="s">
        <v>1706</v>
      </c>
      <c r="O651" s="4" t="s">
        <v>1705</v>
      </c>
      <c r="P651" s="2" t="s">
        <v>1283</v>
      </c>
      <c r="Q651" s="2" t="s">
        <v>1200</v>
      </c>
      <c r="R651" s="3" t="s">
        <v>1282</v>
      </c>
      <c r="U651" s="4" t="s">
        <v>1704</v>
      </c>
      <c r="V651" s="4" t="s">
        <v>1703</v>
      </c>
      <c r="W651" s="2" t="s">
        <v>1283</v>
      </c>
      <c r="X651" s="2" t="s">
        <v>1200</v>
      </c>
      <c r="Y651" s="3" t="s">
        <v>1282</v>
      </c>
    </row>
    <row r="652" spans="1:26" x14ac:dyDescent="0.2">
      <c r="A652" s="4">
        <v>647</v>
      </c>
      <c r="D652" s="6" t="s">
        <v>950</v>
      </c>
      <c r="E652" s="6" t="s">
        <v>1215</v>
      </c>
      <c r="G652" s="4" t="s">
        <v>1708</v>
      </c>
      <c r="H652" s="4" t="s">
        <v>1707</v>
      </c>
      <c r="I652" s="2" t="s">
        <v>1280</v>
      </c>
      <c r="J652" s="2" t="s">
        <v>59</v>
      </c>
      <c r="K652" s="3" t="s">
        <v>1279</v>
      </c>
      <c r="N652" s="4" t="s">
        <v>1706</v>
      </c>
      <c r="O652" s="4" t="s">
        <v>1705</v>
      </c>
      <c r="P652" s="2" t="s">
        <v>1277</v>
      </c>
      <c r="Q652" s="2" t="s">
        <v>1276</v>
      </c>
      <c r="R652" s="3" t="s">
        <v>1275</v>
      </c>
      <c r="U652" s="4" t="s">
        <v>1704</v>
      </c>
      <c r="V652" s="4" t="s">
        <v>1703</v>
      </c>
      <c r="W652" s="2" t="s">
        <v>1273</v>
      </c>
      <c r="X652" s="2" t="s">
        <v>1272</v>
      </c>
      <c r="Y652" s="3" t="s">
        <v>1271</v>
      </c>
    </row>
    <row r="653" spans="1:26" x14ac:dyDescent="0.2">
      <c r="A653" s="4">
        <v>648</v>
      </c>
      <c r="B653" s="6" t="s">
        <v>1221</v>
      </c>
      <c r="E653" s="6" t="s">
        <v>1215</v>
      </c>
      <c r="G653" s="4" t="s">
        <v>1681</v>
      </c>
      <c r="H653" s="4" t="s">
        <v>1696</v>
      </c>
      <c r="I653" s="2" t="s">
        <v>96</v>
      </c>
      <c r="J653" s="2" t="s">
        <v>951</v>
      </c>
      <c r="L653" s="2" t="s">
        <v>1380</v>
      </c>
      <c r="N653" s="4" t="s">
        <v>1679</v>
      </c>
      <c r="O653" s="4" t="s">
        <v>1695</v>
      </c>
      <c r="P653" s="2" t="s">
        <v>733</v>
      </c>
      <c r="Q653" s="2" t="s">
        <v>951</v>
      </c>
      <c r="S653" s="2" t="s">
        <v>1379</v>
      </c>
      <c r="U653" s="4" t="s">
        <v>1677</v>
      </c>
      <c r="V653" s="4" t="s">
        <v>1694</v>
      </c>
      <c r="W653" s="2" t="s">
        <v>1378</v>
      </c>
      <c r="X653" s="2" t="s">
        <v>951</v>
      </c>
      <c r="Z653" s="2" t="s">
        <v>1377</v>
      </c>
    </row>
    <row r="654" spans="1:26" x14ac:dyDescent="0.2">
      <c r="A654" s="4">
        <v>649</v>
      </c>
      <c r="B654" s="6" t="s">
        <v>1221</v>
      </c>
      <c r="E654" s="6" t="s">
        <v>1215</v>
      </c>
      <c r="G654" s="4" t="s">
        <v>1681</v>
      </c>
      <c r="H654" s="4" t="s">
        <v>1696</v>
      </c>
      <c r="I654" s="2" t="s">
        <v>99</v>
      </c>
      <c r="J654" s="2" t="s">
        <v>951</v>
      </c>
      <c r="L654" s="2" t="s">
        <v>1599</v>
      </c>
      <c r="N654" s="4" t="s">
        <v>1679</v>
      </c>
      <c r="O654" s="4" t="s">
        <v>1695</v>
      </c>
      <c r="P654" s="2" t="s">
        <v>734</v>
      </c>
      <c r="Q654" s="2" t="s">
        <v>951</v>
      </c>
      <c r="S654" s="2" t="s">
        <v>2811</v>
      </c>
      <c r="U654" s="4" t="s">
        <v>1677</v>
      </c>
      <c r="V654" s="4" t="s">
        <v>1694</v>
      </c>
      <c r="W654" s="2" t="s">
        <v>1376</v>
      </c>
      <c r="X654" s="2" t="s">
        <v>951</v>
      </c>
      <c r="Z654" s="2" t="s">
        <v>1598</v>
      </c>
    </row>
    <row r="655" spans="1:26" x14ac:dyDescent="0.2">
      <c r="A655" s="4">
        <v>650</v>
      </c>
      <c r="D655" s="6" t="s">
        <v>950</v>
      </c>
      <c r="E655" s="6" t="s">
        <v>1215</v>
      </c>
      <c r="G655" s="4" t="s">
        <v>1681</v>
      </c>
      <c r="H655" s="4" t="s">
        <v>1696</v>
      </c>
      <c r="I655" s="2" t="s">
        <v>5</v>
      </c>
      <c r="J655" s="2" t="s">
        <v>956</v>
      </c>
      <c r="L655" s="2" t="s">
        <v>1702</v>
      </c>
      <c r="N655" s="4" t="s">
        <v>1679</v>
      </c>
      <c r="O655" s="4" t="s">
        <v>1695</v>
      </c>
      <c r="P655" s="2" t="s">
        <v>702</v>
      </c>
      <c r="Q655" s="2" t="s">
        <v>956</v>
      </c>
      <c r="S655" s="2" t="s">
        <v>1701</v>
      </c>
      <c r="U655" s="4" t="s">
        <v>1677</v>
      </c>
      <c r="V655" s="4" t="s">
        <v>1694</v>
      </c>
      <c r="W655" s="2" t="s">
        <v>1700</v>
      </c>
      <c r="X655" s="2" t="s">
        <v>956</v>
      </c>
      <c r="Z655" s="2" t="s">
        <v>1699</v>
      </c>
    </row>
    <row r="656" spans="1:26" ht="63.75" x14ac:dyDescent="0.2">
      <c r="A656" s="4">
        <v>651</v>
      </c>
      <c r="E656" s="6" t="s">
        <v>1215</v>
      </c>
      <c r="G656" s="4" t="s">
        <v>1681</v>
      </c>
      <c r="H656" s="4" t="s">
        <v>1696</v>
      </c>
      <c r="I656" s="2" t="s">
        <v>123</v>
      </c>
      <c r="J656" s="2" t="s">
        <v>1698</v>
      </c>
      <c r="N656" s="4" t="s">
        <v>1679</v>
      </c>
      <c r="O656" s="4" t="s">
        <v>1695</v>
      </c>
      <c r="P656" s="2" t="s">
        <v>123</v>
      </c>
      <c r="Q656" s="2" t="s">
        <v>1697</v>
      </c>
      <c r="U656" s="4" t="s">
        <v>1677</v>
      </c>
      <c r="V656" s="4" t="s">
        <v>1694</v>
      </c>
      <c r="W656" s="2" t="s">
        <v>1247</v>
      </c>
      <c r="X656" s="2" t="s">
        <v>1697</v>
      </c>
    </row>
    <row r="657" spans="1:26" x14ac:dyDescent="0.2">
      <c r="A657" s="4">
        <v>652</v>
      </c>
      <c r="D657" s="6" t="s">
        <v>950</v>
      </c>
      <c r="E657" s="6" t="s">
        <v>1215</v>
      </c>
      <c r="G657" s="4" t="s">
        <v>1681</v>
      </c>
      <c r="H657" s="4" t="s">
        <v>1696</v>
      </c>
      <c r="I657" s="2" t="s">
        <v>107</v>
      </c>
      <c r="J657" s="2" t="s">
        <v>1349</v>
      </c>
      <c r="N657" s="4" t="s">
        <v>1679</v>
      </c>
      <c r="O657" s="4" t="s">
        <v>1695</v>
      </c>
      <c r="P657" s="2" t="s">
        <v>1589</v>
      </c>
      <c r="Q657" s="2" t="s">
        <v>1349</v>
      </c>
      <c r="U657" s="4" t="s">
        <v>1677</v>
      </c>
      <c r="V657" s="4" t="s">
        <v>1694</v>
      </c>
      <c r="W657" s="2" t="s">
        <v>1587</v>
      </c>
      <c r="X657" s="2" t="s">
        <v>1349</v>
      </c>
    </row>
    <row r="658" spans="1:26" x14ac:dyDescent="0.2">
      <c r="A658" s="4">
        <v>653</v>
      </c>
      <c r="C658" s="6" t="s">
        <v>950</v>
      </c>
      <c r="E658" s="6" t="s">
        <v>1215</v>
      </c>
      <c r="G658" s="4" t="s">
        <v>1681</v>
      </c>
      <c r="H658" s="4" t="s">
        <v>1680</v>
      </c>
      <c r="I658" s="2" t="s">
        <v>1693</v>
      </c>
      <c r="J658" s="2" t="s">
        <v>1692</v>
      </c>
      <c r="L658" s="2" t="s">
        <v>1691</v>
      </c>
      <c r="N658" s="4" t="s">
        <v>1679</v>
      </c>
      <c r="O658" s="4" t="s">
        <v>1678</v>
      </c>
      <c r="P658" s="2" t="s">
        <v>1690</v>
      </c>
      <c r="Q658" s="2" t="s">
        <v>1689</v>
      </c>
      <c r="S658" s="2" t="s">
        <v>1688</v>
      </c>
      <c r="U658" s="4" t="s">
        <v>1677</v>
      </c>
      <c r="V658" s="4" t="s">
        <v>1676</v>
      </c>
      <c r="W658" s="2" t="s">
        <v>1687</v>
      </c>
      <c r="X658" s="2" t="s">
        <v>1686</v>
      </c>
      <c r="Z658" s="2" t="s">
        <v>1685</v>
      </c>
    </row>
    <row r="659" spans="1:26" x14ac:dyDescent="0.2">
      <c r="A659" s="4">
        <v>654</v>
      </c>
      <c r="E659" s="6" t="s">
        <v>1215</v>
      </c>
      <c r="G659" s="4" t="s">
        <v>1681</v>
      </c>
      <c r="H659" s="4" t="s">
        <v>1680</v>
      </c>
      <c r="I659" s="2" t="s">
        <v>1219</v>
      </c>
      <c r="J659" s="2" t="s">
        <v>1220</v>
      </c>
      <c r="L659" s="2" t="s">
        <v>1684</v>
      </c>
      <c r="N659" s="4" t="s">
        <v>1679</v>
      </c>
      <c r="O659" s="4" t="s">
        <v>1678</v>
      </c>
      <c r="P659" s="2" t="s">
        <v>1219</v>
      </c>
      <c r="Q659" s="2" t="s">
        <v>1218</v>
      </c>
      <c r="S659" s="2" t="s">
        <v>1683</v>
      </c>
      <c r="U659" s="4" t="s">
        <v>1677</v>
      </c>
      <c r="V659" s="4" t="s">
        <v>1676</v>
      </c>
      <c r="W659" s="2" t="s">
        <v>1219</v>
      </c>
      <c r="X659" s="2" t="s">
        <v>1218</v>
      </c>
      <c r="Z659" s="2" t="s">
        <v>1682</v>
      </c>
    </row>
    <row r="660" spans="1:26" x14ac:dyDescent="0.2">
      <c r="A660" s="4">
        <v>655</v>
      </c>
      <c r="D660" s="6" t="s">
        <v>950</v>
      </c>
      <c r="E660" s="6" t="s">
        <v>1215</v>
      </c>
      <c r="G660" s="4" t="s">
        <v>1681</v>
      </c>
      <c r="H660" s="4" t="s">
        <v>1680</v>
      </c>
      <c r="I660" s="2" t="s">
        <v>1217</v>
      </c>
      <c r="J660" s="2" t="s">
        <v>933</v>
      </c>
      <c r="K660" s="3">
        <v>100</v>
      </c>
      <c r="N660" s="4" t="s">
        <v>1679</v>
      </c>
      <c r="O660" s="4" t="s">
        <v>1678</v>
      </c>
      <c r="P660" s="2" t="s">
        <v>1217</v>
      </c>
      <c r="Q660" s="2" t="s">
        <v>933</v>
      </c>
      <c r="R660" s="3">
        <v>100</v>
      </c>
      <c r="U660" s="4" t="s">
        <v>1677</v>
      </c>
      <c r="V660" s="4" t="s">
        <v>1676</v>
      </c>
      <c r="W660" s="2" t="s">
        <v>1217</v>
      </c>
      <c r="X660" s="2" t="s">
        <v>1216</v>
      </c>
      <c r="Y660" s="3">
        <v>100</v>
      </c>
    </row>
    <row r="661" spans="1:26" x14ac:dyDescent="0.2">
      <c r="A661" s="4">
        <v>656</v>
      </c>
      <c r="D661" s="6" t="s">
        <v>950</v>
      </c>
      <c r="E661" s="6" t="s">
        <v>1215</v>
      </c>
      <c r="G661" s="4" t="s">
        <v>1681</v>
      </c>
      <c r="H661" s="4" t="s">
        <v>1680</v>
      </c>
      <c r="I661" s="2" t="s">
        <v>1285</v>
      </c>
      <c r="J661" s="2" t="s">
        <v>1199</v>
      </c>
      <c r="K661" s="3" t="s">
        <v>1284</v>
      </c>
      <c r="N661" s="4" t="s">
        <v>1679</v>
      </c>
      <c r="O661" s="4" t="s">
        <v>1678</v>
      </c>
      <c r="P661" s="2" t="s">
        <v>1285</v>
      </c>
      <c r="Q661" s="2" t="s">
        <v>1199</v>
      </c>
      <c r="R661" s="3" t="s">
        <v>1284</v>
      </c>
      <c r="U661" s="4" t="s">
        <v>1677</v>
      </c>
      <c r="V661" s="4" t="s">
        <v>1676</v>
      </c>
      <c r="W661" s="2" t="s">
        <v>1285</v>
      </c>
      <c r="X661" s="2" t="s">
        <v>1199</v>
      </c>
      <c r="Y661" s="3" t="s">
        <v>1284</v>
      </c>
    </row>
    <row r="662" spans="1:26" x14ac:dyDescent="0.2">
      <c r="A662" s="4">
        <v>657</v>
      </c>
      <c r="D662" s="6" t="s">
        <v>950</v>
      </c>
      <c r="E662" s="6" t="s">
        <v>1215</v>
      </c>
      <c r="G662" s="4" t="s">
        <v>1681</v>
      </c>
      <c r="H662" s="4" t="s">
        <v>1680</v>
      </c>
      <c r="I662" s="2" t="s">
        <v>1283</v>
      </c>
      <c r="J662" s="2" t="s">
        <v>1200</v>
      </c>
      <c r="K662" s="3" t="s">
        <v>1282</v>
      </c>
      <c r="N662" s="4" t="s">
        <v>1679</v>
      </c>
      <c r="O662" s="4" t="s">
        <v>1678</v>
      </c>
      <c r="P662" s="2" t="s">
        <v>1283</v>
      </c>
      <c r="Q662" s="2" t="s">
        <v>1200</v>
      </c>
      <c r="R662" s="3" t="s">
        <v>1282</v>
      </c>
      <c r="U662" s="4" t="s">
        <v>1677</v>
      </c>
      <c r="V662" s="4" t="s">
        <v>1676</v>
      </c>
      <c r="W662" s="2" t="s">
        <v>1283</v>
      </c>
      <c r="X662" s="2" t="s">
        <v>1200</v>
      </c>
      <c r="Y662" s="3" t="s">
        <v>1282</v>
      </c>
    </row>
    <row r="663" spans="1:26" x14ac:dyDescent="0.2">
      <c r="A663" s="4">
        <v>658</v>
      </c>
      <c r="D663" s="6" t="s">
        <v>950</v>
      </c>
      <c r="E663" s="6" t="s">
        <v>1215</v>
      </c>
      <c r="G663" s="4" t="s">
        <v>1681</v>
      </c>
      <c r="H663" s="4" t="s">
        <v>1680</v>
      </c>
      <c r="I663" s="2" t="s">
        <v>1280</v>
      </c>
      <c r="J663" s="2" t="s">
        <v>59</v>
      </c>
      <c r="K663" s="3" t="s">
        <v>1279</v>
      </c>
      <c r="N663" s="4" t="s">
        <v>1679</v>
      </c>
      <c r="O663" s="4" t="s">
        <v>1678</v>
      </c>
      <c r="P663" s="2" t="s">
        <v>1277</v>
      </c>
      <c r="Q663" s="2" t="s">
        <v>1276</v>
      </c>
      <c r="R663" s="3" t="s">
        <v>1275</v>
      </c>
      <c r="U663" s="4" t="s">
        <v>1677</v>
      </c>
      <c r="V663" s="4" t="s">
        <v>1676</v>
      </c>
      <c r="W663" s="2" t="s">
        <v>1273</v>
      </c>
      <c r="X663" s="2" t="s">
        <v>1272</v>
      </c>
      <c r="Y663" s="3" t="s">
        <v>1271</v>
      </c>
    </row>
    <row r="664" spans="1:26" ht="25.5" x14ac:dyDescent="0.2">
      <c r="A664" s="4">
        <v>659</v>
      </c>
      <c r="B664" s="6" t="s">
        <v>1221</v>
      </c>
      <c r="E664" s="6" t="s">
        <v>1215</v>
      </c>
      <c r="G664" s="4" t="s">
        <v>23</v>
      </c>
      <c r="H664" s="4" t="s">
        <v>1675</v>
      </c>
      <c r="I664" s="2" t="s">
        <v>96</v>
      </c>
      <c r="J664" s="2" t="s">
        <v>951</v>
      </c>
      <c r="L664" s="19" t="s">
        <v>2875</v>
      </c>
      <c r="N664" s="4" t="s">
        <v>1606</v>
      </c>
      <c r="O664" s="4" t="s">
        <v>1674</v>
      </c>
      <c r="P664" s="2" t="s">
        <v>733</v>
      </c>
      <c r="Q664" s="2" t="s">
        <v>951</v>
      </c>
      <c r="S664" s="19" t="s">
        <v>2877</v>
      </c>
      <c r="U664" s="4" t="s">
        <v>1602</v>
      </c>
      <c r="V664" s="4" t="s">
        <v>1673</v>
      </c>
      <c r="W664" s="2" t="s">
        <v>1378</v>
      </c>
      <c r="X664" s="2" t="s">
        <v>951</v>
      </c>
      <c r="Z664" s="19" t="s">
        <v>2879</v>
      </c>
    </row>
    <row r="665" spans="1:26" ht="25.5" x14ac:dyDescent="0.2">
      <c r="A665" s="4">
        <v>660</v>
      </c>
      <c r="B665" s="6" t="s">
        <v>1221</v>
      </c>
      <c r="E665" s="6" t="s">
        <v>1215</v>
      </c>
      <c r="G665" s="4" t="s">
        <v>23</v>
      </c>
      <c r="H665" s="4" t="s">
        <v>1675</v>
      </c>
      <c r="I665" s="2" t="s">
        <v>99</v>
      </c>
      <c r="J665" s="2" t="s">
        <v>951</v>
      </c>
      <c r="L665" s="19" t="s">
        <v>2876</v>
      </c>
      <c r="N665" s="4" t="s">
        <v>1606</v>
      </c>
      <c r="O665" s="4" t="s">
        <v>1674</v>
      </c>
      <c r="P665" s="2" t="s">
        <v>734</v>
      </c>
      <c r="Q665" s="2" t="s">
        <v>951</v>
      </c>
      <c r="S665" s="19" t="s">
        <v>2878</v>
      </c>
      <c r="U665" s="4" t="s">
        <v>1602</v>
      </c>
      <c r="V665" s="4" t="s">
        <v>1673</v>
      </c>
      <c r="W665" s="2" t="s">
        <v>1376</v>
      </c>
      <c r="X665" s="2" t="s">
        <v>951</v>
      </c>
      <c r="Z665" s="19" t="s">
        <v>2880</v>
      </c>
    </row>
    <row r="666" spans="1:26" x14ac:dyDescent="0.2">
      <c r="A666" s="4">
        <v>661</v>
      </c>
      <c r="E666" s="6" t="s">
        <v>1215</v>
      </c>
      <c r="G666" s="4" t="s">
        <v>23</v>
      </c>
      <c r="H666" s="4" t="s">
        <v>1675</v>
      </c>
      <c r="I666" s="2" t="s">
        <v>101</v>
      </c>
      <c r="J666" s="2" t="s">
        <v>956</v>
      </c>
      <c r="N666" s="4" t="s">
        <v>1606</v>
      </c>
      <c r="O666" s="4" t="s">
        <v>1674</v>
      </c>
      <c r="P666" s="2" t="s">
        <v>735</v>
      </c>
      <c r="Q666" s="2" t="s">
        <v>956</v>
      </c>
      <c r="U666" s="4" t="s">
        <v>1602</v>
      </c>
      <c r="V666" s="4" t="s">
        <v>1673</v>
      </c>
      <c r="W666" s="2" t="s">
        <v>1294</v>
      </c>
      <c r="X666" s="2" t="s">
        <v>956</v>
      </c>
    </row>
    <row r="667" spans="1:26" ht="63.75" x14ac:dyDescent="0.2">
      <c r="A667" s="4">
        <v>662</v>
      </c>
      <c r="D667" s="6" t="s">
        <v>950</v>
      </c>
      <c r="E667" s="6" t="s">
        <v>1215</v>
      </c>
      <c r="G667" s="4" t="s">
        <v>23</v>
      </c>
      <c r="H667" s="4" t="s">
        <v>1675</v>
      </c>
      <c r="I667" s="2" t="s">
        <v>104</v>
      </c>
      <c r="J667" s="2" t="s">
        <v>1549</v>
      </c>
      <c r="L667" s="2" t="s">
        <v>1597</v>
      </c>
      <c r="N667" s="4" t="s">
        <v>1606</v>
      </c>
      <c r="O667" s="4" t="s">
        <v>1674</v>
      </c>
      <c r="P667" s="2" t="s">
        <v>736</v>
      </c>
      <c r="Q667" s="2" t="s">
        <v>1548</v>
      </c>
      <c r="S667" s="2" t="s">
        <v>1596</v>
      </c>
      <c r="U667" s="4" t="s">
        <v>1602</v>
      </c>
      <c r="V667" s="4" t="s">
        <v>1673</v>
      </c>
      <c r="W667" s="2" t="s">
        <v>1595</v>
      </c>
      <c r="X667" s="2" t="s">
        <v>1548</v>
      </c>
      <c r="Z667" s="2" t="s">
        <v>1594</v>
      </c>
    </row>
    <row r="668" spans="1:26" x14ac:dyDescent="0.2">
      <c r="A668" s="4">
        <v>663</v>
      </c>
      <c r="E668" s="6" t="s">
        <v>1215</v>
      </c>
      <c r="G668" s="4" t="s">
        <v>23</v>
      </c>
      <c r="H668" s="4" t="s">
        <v>1675</v>
      </c>
      <c r="I668" s="2" t="s">
        <v>193</v>
      </c>
      <c r="J668" s="2" t="s">
        <v>1518</v>
      </c>
      <c r="N668" s="4" t="s">
        <v>1606</v>
      </c>
      <c r="O668" s="4" t="s">
        <v>1674</v>
      </c>
      <c r="P668" s="2" t="s">
        <v>769</v>
      </c>
      <c r="Q668" s="2" t="s">
        <v>1593</v>
      </c>
      <c r="U668" s="4" t="s">
        <v>1602</v>
      </c>
      <c r="V668" s="4" t="s">
        <v>1673</v>
      </c>
      <c r="W668" s="2" t="s">
        <v>1515</v>
      </c>
      <c r="X668" s="2" t="s">
        <v>1592</v>
      </c>
    </row>
    <row r="669" spans="1:26" x14ac:dyDescent="0.2">
      <c r="A669" s="4">
        <v>664</v>
      </c>
      <c r="E669" s="6" t="s">
        <v>1215</v>
      </c>
      <c r="G669" s="4" t="s">
        <v>23</v>
      </c>
      <c r="H669" s="4" t="s">
        <v>1675</v>
      </c>
      <c r="I669" s="2" t="s">
        <v>107</v>
      </c>
      <c r="J669" s="2" t="s">
        <v>1349</v>
      </c>
      <c r="N669" s="4" t="s">
        <v>1606</v>
      </c>
      <c r="O669" s="4" t="s">
        <v>1674</v>
      </c>
      <c r="P669" s="2" t="s">
        <v>1589</v>
      </c>
      <c r="Q669" s="2" t="s">
        <v>1349</v>
      </c>
      <c r="U669" s="4" t="s">
        <v>1602</v>
      </c>
      <c r="V669" s="4" t="s">
        <v>1673</v>
      </c>
      <c r="W669" s="2" t="s">
        <v>1587</v>
      </c>
      <c r="X669" s="2" t="s">
        <v>1349</v>
      </c>
    </row>
    <row r="670" spans="1:26" ht="25.5" x14ac:dyDescent="0.2">
      <c r="A670" s="4">
        <v>665</v>
      </c>
      <c r="D670" s="6" t="s">
        <v>950</v>
      </c>
      <c r="E670" s="6" t="s">
        <v>1215</v>
      </c>
      <c r="G670" s="4" t="s">
        <v>23</v>
      </c>
      <c r="H670" s="4" t="s">
        <v>1671</v>
      </c>
      <c r="I670" s="2" t="s">
        <v>1670</v>
      </c>
      <c r="J670" s="2" t="s">
        <v>1667</v>
      </c>
      <c r="L670" s="2" t="s">
        <v>1672</v>
      </c>
      <c r="N670" s="4" t="s">
        <v>1606</v>
      </c>
      <c r="O670" s="4" t="s">
        <v>1666</v>
      </c>
      <c r="P670" s="2" t="s">
        <v>1669</v>
      </c>
      <c r="Q670" s="2" t="s">
        <v>1667</v>
      </c>
      <c r="S670" s="19" t="s">
        <v>2881</v>
      </c>
      <c r="U670" s="4" t="s">
        <v>1602</v>
      </c>
      <c r="V670" s="4" t="s">
        <v>1665</v>
      </c>
      <c r="W670" s="2" t="s">
        <v>1668</v>
      </c>
      <c r="X670" s="2" t="s">
        <v>1667</v>
      </c>
      <c r="Z670" s="19" t="s">
        <v>2885</v>
      </c>
    </row>
    <row r="671" spans="1:26" ht="38.25" x14ac:dyDescent="0.2">
      <c r="A671" s="4">
        <v>666</v>
      </c>
      <c r="B671" s="6" t="s">
        <v>1221</v>
      </c>
      <c r="C671" s="6" t="s">
        <v>950</v>
      </c>
      <c r="E671" s="6" t="s">
        <v>1215</v>
      </c>
      <c r="G671" s="4" t="s">
        <v>23</v>
      </c>
      <c r="H671" s="4" t="s">
        <v>1660</v>
      </c>
      <c r="I671" s="2" t="s">
        <v>1664</v>
      </c>
      <c r="J671" s="2" t="s">
        <v>1653</v>
      </c>
      <c r="L671" s="2" t="s">
        <v>1454</v>
      </c>
      <c r="N671" s="4" t="s">
        <v>1606</v>
      </c>
      <c r="O671" s="4" t="s">
        <v>1659</v>
      </c>
      <c r="P671" s="2" t="s">
        <v>1663</v>
      </c>
      <c r="Q671" s="2" t="s">
        <v>1650</v>
      </c>
      <c r="S671" s="2" t="s">
        <v>1451</v>
      </c>
      <c r="U671" s="4" t="s">
        <v>1602</v>
      </c>
      <c r="V671" s="4" t="s">
        <v>1658</v>
      </c>
      <c r="W671" s="2" t="s">
        <v>1662</v>
      </c>
      <c r="X671" s="2" t="s">
        <v>1647</v>
      </c>
      <c r="Z671" s="2" t="s">
        <v>1287</v>
      </c>
    </row>
    <row r="672" spans="1:26" x14ac:dyDescent="0.2">
      <c r="A672" s="4">
        <v>667</v>
      </c>
      <c r="E672" s="6" t="s">
        <v>1215</v>
      </c>
      <c r="G672" s="4" t="s">
        <v>23</v>
      </c>
      <c r="H672" s="4" t="s">
        <v>1660</v>
      </c>
      <c r="I672" s="2" t="s">
        <v>1434</v>
      </c>
      <c r="J672" s="2" t="s">
        <v>1661</v>
      </c>
      <c r="N672" s="4" t="s">
        <v>1606</v>
      </c>
      <c r="O672" s="4" t="s">
        <v>1659</v>
      </c>
      <c r="P672" s="2" t="s">
        <v>1433</v>
      </c>
      <c r="Q672" s="2" t="s">
        <v>1661</v>
      </c>
      <c r="U672" s="4" t="s">
        <v>1602</v>
      </c>
      <c r="V672" s="4" t="s">
        <v>1658</v>
      </c>
      <c r="W672" s="2" t="s">
        <v>1317</v>
      </c>
      <c r="X672" s="2" t="s">
        <v>1661</v>
      </c>
    </row>
    <row r="673" spans="1:26" x14ac:dyDescent="0.2">
      <c r="A673" s="4">
        <v>668</v>
      </c>
      <c r="B673" s="6" t="s">
        <v>1221</v>
      </c>
      <c r="E673" s="6" t="s">
        <v>1215</v>
      </c>
      <c r="G673" s="4" t="s">
        <v>23</v>
      </c>
      <c r="H673" s="4" t="s">
        <v>1660</v>
      </c>
      <c r="I673" s="2" t="s">
        <v>611</v>
      </c>
      <c r="J673" s="2" t="s">
        <v>1432</v>
      </c>
      <c r="N673" s="4" t="s">
        <v>1606</v>
      </c>
      <c r="O673" s="4" t="s">
        <v>1659</v>
      </c>
      <c r="P673" s="2" t="s">
        <v>886</v>
      </c>
      <c r="Q673" s="2" t="s">
        <v>1429</v>
      </c>
      <c r="U673" s="4" t="s">
        <v>1602</v>
      </c>
      <c r="V673" s="4" t="s">
        <v>1658</v>
      </c>
      <c r="W673" s="2" t="s">
        <v>1426</v>
      </c>
      <c r="X673" s="2" t="s">
        <v>1425</v>
      </c>
    </row>
    <row r="674" spans="1:26" ht="38.25" x14ac:dyDescent="0.2">
      <c r="A674" s="4">
        <v>669</v>
      </c>
      <c r="C674" s="6" t="s">
        <v>950</v>
      </c>
      <c r="E674" s="6" t="s">
        <v>1215</v>
      </c>
      <c r="G674" s="4" t="s">
        <v>23</v>
      </c>
      <c r="H674" s="4" t="s">
        <v>583</v>
      </c>
      <c r="I674" s="2" t="s">
        <v>969</v>
      </c>
      <c r="J674" s="2" t="s">
        <v>1657</v>
      </c>
      <c r="L674" s="2" t="s">
        <v>1228</v>
      </c>
      <c r="N674" s="4" t="s">
        <v>1606</v>
      </c>
      <c r="O674" s="4" t="s">
        <v>881</v>
      </c>
      <c r="P674" s="2" t="s">
        <v>1319</v>
      </c>
      <c r="Q674" s="2" t="s">
        <v>1656</v>
      </c>
      <c r="S674" s="2" t="s">
        <v>1225</v>
      </c>
      <c r="U674" s="4" t="s">
        <v>1602</v>
      </c>
      <c r="V674" s="4" t="s">
        <v>1643</v>
      </c>
      <c r="W674" s="2" t="s">
        <v>1319</v>
      </c>
      <c r="X674" s="2" t="s">
        <v>1655</v>
      </c>
      <c r="Z674" s="2" t="s">
        <v>1222</v>
      </c>
    </row>
    <row r="675" spans="1:26" ht="38.25" x14ac:dyDescent="0.2">
      <c r="A675" s="4">
        <v>670</v>
      </c>
      <c r="C675" s="6" t="s">
        <v>950</v>
      </c>
      <c r="D675" s="6" t="s">
        <v>950</v>
      </c>
      <c r="E675" s="6" t="s">
        <v>1215</v>
      </c>
      <c r="G675" s="4" t="s">
        <v>23</v>
      </c>
      <c r="H675" s="4" t="s">
        <v>583</v>
      </c>
      <c r="I675" s="2" t="s">
        <v>1654</v>
      </c>
      <c r="J675" s="2" t="s">
        <v>1653</v>
      </c>
      <c r="L675" s="2" t="s">
        <v>1652</v>
      </c>
      <c r="N675" s="4" t="s">
        <v>1606</v>
      </c>
      <c r="O675" s="4" t="s">
        <v>881</v>
      </c>
      <c r="P675" s="2" t="s">
        <v>1651</v>
      </c>
      <c r="Q675" s="2" t="s">
        <v>1650</v>
      </c>
      <c r="S675" s="2" t="s">
        <v>1649</v>
      </c>
      <c r="U675" s="4" t="s">
        <v>1602</v>
      </c>
      <c r="V675" s="4" t="s">
        <v>1643</v>
      </c>
      <c r="W675" s="2" t="s">
        <v>1648</v>
      </c>
      <c r="X675" s="2" t="s">
        <v>1647</v>
      </c>
      <c r="Z675" s="2" t="s">
        <v>1646</v>
      </c>
    </row>
    <row r="676" spans="1:26" ht="25.5" x14ac:dyDescent="0.2">
      <c r="A676" s="4">
        <v>671</v>
      </c>
      <c r="E676" s="6" t="s">
        <v>1215</v>
      </c>
      <c r="G676" s="4" t="s">
        <v>23</v>
      </c>
      <c r="H676" s="4" t="s">
        <v>583</v>
      </c>
      <c r="I676" s="2" t="s">
        <v>1518</v>
      </c>
      <c r="J676" s="2" t="s">
        <v>1517</v>
      </c>
      <c r="N676" s="4" t="s">
        <v>1606</v>
      </c>
      <c r="O676" s="4" t="s">
        <v>881</v>
      </c>
      <c r="P676" s="2" t="s">
        <v>769</v>
      </c>
      <c r="Q676" s="2" t="s">
        <v>1516</v>
      </c>
      <c r="U676" s="4" t="s">
        <v>1602</v>
      </c>
      <c r="V676" s="4" t="s">
        <v>1643</v>
      </c>
      <c r="W676" s="2" t="s">
        <v>1515</v>
      </c>
      <c r="X676" s="2" t="s">
        <v>1514</v>
      </c>
    </row>
    <row r="677" spans="1:26" x14ac:dyDescent="0.2">
      <c r="A677" s="4">
        <v>672</v>
      </c>
      <c r="E677" s="6" t="s">
        <v>1215</v>
      </c>
      <c r="G677" s="4" t="s">
        <v>23</v>
      </c>
      <c r="H677" s="4" t="s">
        <v>583</v>
      </c>
      <c r="I677" s="2" t="s">
        <v>666</v>
      </c>
      <c r="J677" s="2" t="s">
        <v>1509</v>
      </c>
      <c r="N677" s="4" t="s">
        <v>1606</v>
      </c>
      <c r="O677" s="4" t="s">
        <v>881</v>
      </c>
      <c r="P677" s="2" t="s">
        <v>1513</v>
      </c>
      <c r="Q677" s="2" t="s">
        <v>1507</v>
      </c>
      <c r="U677" s="4" t="s">
        <v>1602</v>
      </c>
      <c r="V677" s="4" t="s">
        <v>1643</v>
      </c>
      <c r="W677" s="2" t="s">
        <v>1512</v>
      </c>
      <c r="X677" s="2" t="s">
        <v>1505</v>
      </c>
    </row>
    <row r="678" spans="1:26" ht="63.75" x14ac:dyDescent="0.2">
      <c r="A678" s="4">
        <v>673</v>
      </c>
      <c r="E678" s="6" t="s">
        <v>1215</v>
      </c>
      <c r="G678" s="4" t="s">
        <v>23</v>
      </c>
      <c r="H678" s="4" t="s">
        <v>583</v>
      </c>
      <c r="I678" s="2" t="s">
        <v>1550</v>
      </c>
      <c r="J678" s="2" t="s">
        <v>1549</v>
      </c>
      <c r="N678" s="4" t="s">
        <v>1606</v>
      </c>
      <c r="O678" s="4" t="s">
        <v>881</v>
      </c>
      <c r="P678" s="2" t="s">
        <v>123</v>
      </c>
      <c r="Q678" s="2" t="s">
        <v>1548</v>
      </c>
      <c r="U678" s="4" t="s">
        <v>1602</v>
      </c>
      <c r="V678" s="4" t="s">
        <v>1643</v>
      </c>
      <c r="W678" s="2" t="s">
        <v>1247</v>
      </c>
      <c r="X678" s="2" t="s">
        <v>1548</v>
      </c>
    </row>
    <row r="679" spans="1:26" x14ac:dyDescent="0.2">
      <c r="A679" s="4">
        <v>674</v>
      </c>
      <c r="B679" s="6" t="s">
        <v>1221</v>
      </c>
      <c r="C679" s="6" t="s">
        <v>950</v>
      </c>
      <c r="E679" s="6" t="s">
        <v>1215</v>
      </c>
      <c r="G679" s="4" t="s">
        <v>23</v>
      </c>
      <c r="H679" s="4" t="s">
        <v>1637</v>
      </c>
      <c r="I679" s="2" t="s">
        <v>1641</v>
      </c>
      <c r="J679" s="2" t="s">
        <v>1618</v>
      </c>
      <c r="L679" s="2" t="s">
        <v>1454</v>
      </c>
      <c r="N679" s="4" t="s">
        <v>1606</v>
      </c>
      <c r="O679" s="4" t="s">
        <v>1636</v>
      </c>
      <c r="P679" s="2" t="s">
        <v>1640</v>
      </c>
      <c r="Q679" s="2" t="s">
        <v>1616</v>
      </c>
      <c r="S679" s="2" t="s">
        <v>1451</v>
      </c>
      <c r="U679" s="4" t="s">
        <v>1602</v>
      </c>
      <c r="V679" s="4" t="s">
        <v>1635</v>
      </c>
      <c r="W679" s="2" t="s">
        <v>1639</v>
      </c>
      <c r="X679" s="2" t="s">
        <v>1614</v>
      </c>
      <c r="Z679" s="2" t="s">
        <v>1287</v>
      </c>
    </row>
    <row r="680" spans="1:26" ht="51" x14ac:dyDescent="0.2">
      <c r="A680" s="4">
        <v>675</v>
      </c>
      <c r="E680" s="6" t="s">
        <v>1215</v>
      </c>
      <c r="G680" s="4" t="s">
        <v>23</v>
      </c>
      <c r="H680" s="4" t="s">
        <v>1637</v>
      </c>
      <c r="I680" s="2" t="s">
        <v>1434</v>
      </c>
      <c r="J680" s="2" t="s">
        <v>1168</v>
      </c>
      <c r="L680" s="2" t="s">
        <v>1645</v>
      </c>
      <c r="N680" s="4" t="s">
        <v>1606</v>
      </c>
      <c r="O680" s="4" t="s">
        <v>1636</v>
      </c>
      <c r="P680" s="2" t="s">
        <v>1433</v>
      </c>
      <c r="Q680" s="2" t="s">
        <v>1168</v>
      </c>
      <c r="S680" s="2" t="s">
        <v>1644</v>
      </c>
      <c r="U680" s="4" t="s">
        <v>1602</v>
      </c>
      <c r="V680" s="4" t="s">
        <v>1635</v>
      </c>
      <c r="W680" s="2" t="s">
        <v>1317</v>
      </c>
      <c r="X680" s="2" t="s">
        <v>1168</v>
      </c>
      <c r="Z680" s="2" t="s">
        <v>1642</v>
      </c>
    </row>
    <row r="681" spans="1:26" ht="51" x14ac:dyDescent="0.2">
      <c r="A681" s="4">
        <v>676</v>
      </c>
      <c r="D681" s="6" t="s">
        <v>950</v>
      </c>
      <c r="E681" s="6" t="s">
        <v>1215</v>
      </c>
      <c r="G681" s="4" t="s">
        <v>23</v>
      </c>
      <c r="H681" s="4" t="s">
        <v>1637</v>
      </c>
      <c r="I681" s="2" t="s">
        <v>1464</v>
      </c>
      <c r="J681" s="2" t="s">
        <v>1638</v>
      </c>
      <c r="L681" s="2" t="s">
        <v>1645</v>
      </c>
      <c r="N681" s="4" t="s">
        <v>1606</v>
      </c>
      <c r="O681" s="4" t="s">
        <v>1636</v>
      </c>
      <c r="P681" s="2" t="s">
        <v>1463</v>
      </c>
      <c r="Q681" s="2" t="s">
        <v>1638</v>
      </c>
      <c r="S681" s="2" t="s">
        <v>1644</v>
      </c>
      <c r="U681" s="4" t="s">
        <v>1602</v>
      </c>
      <c r="V681" s="4" t="s">
        <v>1635</v>
      </c>
      <c r="W681" s="2" t="s">
        <v>1462</v>
      </c>
      <c r="X681" s="2" t="s">
        <v>1638</v>
      </c>
      <c r="Z681" s="2" t="s">
        <v>1642</v>
      </c>
    </row>
    <row r="682" spans="1:26" ht="51" x14ac:dyDescent="0.2">
      <c r="A682" s="4">
        <v>677</v>
      </c>
      <c r="D682" s="6" t="s">
        <v>950</v>
      </c>
      <c r="E682" s="6" t="s">
        <v>1215</v>
      </c>
      <c r="G682" s="4" t="s">
        <v>23</v>
      </c>
      <c r="H682" s="4" t="s">
        <v>1637</v>
      </c>
      <c r="I682" s="2" t="s">
        <v>1461</v>
      </c>
      <c r="J682" s="2" t="s">
        <v>1173</v>
      </c>
      <c r="L682" s="2" t="s">
        <v>1645</v>
      </c>
      <c r="N682" s="4" t="s">
        <v>1606</v>
      </c>
      <c r="O682" s="4" t="s">
        <v>1636</v>
      </c>
      <c r="P682" s="2" t="s">
        <v>1460</v>
      </c>
      <c r="Q682" s="2" t="s">
        <v>1173</v>
      </c>
      <c r="S682" s="2" t="s">
        <v>1644</v>
      </c>
      <c r="U682" s="4" t="s">
        <v>1602</v>
      </c>
      <c r="V682" s="4" t="s">
        <v>1635</v>
      </c>
      <c r="W682" s="2" t="s">
        <v>1459</v>
      </c>
      <c r="X682" s="2" t="s">
        <v>1173</v>
      </c>
      <c r="Z682" s="2" t="s">
        <v>1642</v>
      </c>
    </row>
    <row r="683" spans="1:26" x14ac:dyDescent="0.2">
      <c r="A683" s="4">
        <v>678</v>
      </c>
      <c r="B683" s="6" t="s">
        <v>1221</v>
      </c>
      <c r="E683" s="6" t="s">
        <v>1215</v>
      </c>
      <c r="G683" s="4" t="s">
        <v>23</v>
      </c>
      <c r="H683" s="4" t="s">
        <v>1637</v>
      </c>
      <c r="I683" s="2" t="s">
        <v>611</v>
      </c>
      <c r="J683" s="2" t="s">
        <v>1432</v>
      </c>
      <c r="N683" s="4" t="s">
        <v>1606</v>
      </c>
      <c r="O683" s="4" t="s">
        <v>1636</v>
      </c>
      <c r="P683" s="2" t="s">
        <v>886</v>
      </c>
      <c r="Q683" s="2" t="s">
        <v>1429</v>
      </c>
      <c r="U683" s="4" t="s">
        <v>1602</v>
      </c>
      <c r="V683" s="4" t="s">
        <v>1635</v>
      </c>
      <c r="W683" s="2" t="s">
        <v>1426</v>
      </c>
      <c r="X683" s="2" t="s">
        <v>1425</v>
      </c>
    </row>
    <row r="684" spans="1:26" ht="25.5" x14ac:dyDescent="0.2">
      <c r="A684" s="4">
        <v>679</v>
      </c>
      <c r="C684" s="6" t="s">
        <v>950</v>
      </c>
      <c r="E684" s="6" t="s">
        <v>1215</v>
      </c>
      <c r="G684" s="4" t="s">
        <v>23</v>
      </c>
      <c r="H684" s="4" t="s">
        <v>1628</v>
      </c>
      <c r="I684" s="2" t="s">
        <v>1634</v>
      </c>
      <c r="J684" s="2" t="s">
        <v>1633</v>
      </c>
      <c r="L684" s="19" t="s">
        <v>2887</v>
      </c>
      <c r="N684" s="4" t="s">
        <v>1606</v>
      </c>
      <c r="O684" s="4" t="s">
        <v>1627</v>
      </c>
      <c r="P684" s="2" t="s">
        <v>1632</v>
      </c>
      <c r="Q684" s="2" t="s">
        <v>1631</v>
      </c>
      <c r="S684" s="19" t="s">
        <v>2888</v>
      </c>
      <c r="U684" s="4" t="s">
        <v>1602</v>
      </c>
      <c r="V684" s="4" t="s">
        <v>1626</v>
      </c>
      <c r="W684" s="2" t="s">
        <v>1630</v>
      </c>
      <c r="X684" s="2" t="s">
        <v>1629</v>
      </c>
      <c r="Z684" s="19" t="s">
        <v>2889</v>
      </c>
    </row>
    <row r="685" spans="1:26" x14ac:dyDescent="0.2">
      <c r="A685" s="4">
        <v>680</v>
      </c>
      <c r="E685" s="6" t="s">
        <v>1215</v>
      </c>
      <c r="G685" s="4" t="s">
        <v>23</v>
      </c>
      <c r="H685" s="4" t="s">
        <v>1628</v>
      </c>
      <c r="I685" s="2" t="s">
        <v>1219</v>
      </c>
      <c r="J685" s="2" t="s">
        <v>1220</v>
      </c>
      <c r="N685" s="4" t="s">
        <v>1606</v>
      </c>
      <c r="O685" s="4" t="s">
        <v>1627</v>
      </c>
      <c r="P685" s="2" t="s">
        <v>1219</v>
      </c>
      <c r="Q685" s="2" t="s">
        <v>1218</v>
      </c>
      <c r="U685" s="4" t="s">
        <v>1602</v>
      </c>
      <c r="V685" s="4" t="s">
        <v>1626</v>
      </c>
      <c r="W685" s="2" t="s">
        <v>1219</v>
      </c>
      <c r="X685" s="2" t="s">
        <v>1218</v>
      </c>
    </row>
    <row r="686" spans="1:26" x14ac:dyDescent="0.2">
      <c r="A686" s="4">
        <v>681</v>
      </c>
      <c r="D686" s="6" t="s">
        <v>950</v>
      </c>
      <c r="E686" s="6" t="s">
        <v>1215</v>
      </c>
      <c r="G686" s="4" t="s">
        <v>23</v>
      </c>
      <c r="H686" s="4" t="s">
        <v>1628</v>
      </c>
      <c r="I686" s="2" t="s">
        <v>1217</v>
      </c>
      <c r="J686" s="2" t="s">
        <v>933</v>
      </c>
      <c r="K686" s="3">
        <v>100</v>
      </c>
      <c r="N686" s="4" t="s">
        <v>1606</v>
      </c>
      <c r="O686" s="4" t="s">
        <v>1627</v>
      </c>
      <c r="P686" s="2" t="s">
        <v>1217</v>
      </c>
      <c r="Q686" s="2" t="s">
        <v>933</v>
      </c>
      <c r="R686" s="3">
        <v>100</v>
      </c>
      <c r="U686" s="4" t="s">
        <v>1602</v>
      </c>
      <c r="V686" s="4" t="s">
        <v>1626</v>
      </c>
      <c r="W686" s="2" t="s">
        <v>1217</v>
      </c>
      <c r="X686" s="2" t="s">
        <v>1216</v>
      </c>
      <c r="Y686" s="3">
        <v>100</v>
      </c>
    </row>
    <row r="687" spans="1:26" x14ac:dyDescent="0.2">
      <c r="A687" s="4">
        <v>682</v>
      </c>
      <c r="D687" s="6" t="s">
        <v>950</v>
      </c>
      <c r="E687" s="6" t="s">
        <v>1215</v>
      </c>
      <c r="G687" s="4" t="s">
        <v>23</v>
      </c>
      <c r="H687" s="4" t="s">
        <v>1628</v>
      </c>
      <c r="I687" s="2" t="s">
        <v>1285</v>
      </c>
      <c r="J687" s="2" t="s">
        <v>1199</v>
      </c>
      <c r="K687" s="3" t="s">
        <v>1284</v>
      </c>
      <c r="N687" s="4" t="s">
        <v>1606</v>
      </c>
      <c r="O687" s="4" t="s">
        <v>1627</v>
      </c>
      <c r="P687" s="2" t="s">
        <v>1285</v>
      </c>
      <c r="Q687" s="2" t="s">
        <v>1199</v>
      </c>
      <c r="R687" s="3" t="s">
        <v>1284</v>
      </c>
      <c r="U687" s="4" t="s">
        <v>1602</v>
      </c>
      <c r="V687" s="4" t="s">
        <v>1626</v>
      </c>
      <c r="W687" s="2" t="s">
        <v>1285</v>
      </c>
      <c r="X687" s="2" t="s">
        <v>1199</v>
      </c>
      <c r="Y687" s="3" t="s">
        <v>1284</v>
      </c>
    </row>
    <row r="688" spans="1:26" x14ac:dyDescent="0.2">
      <c r="A688" s="4">
        <v>683</v>
      </c>
      <c r="D688" s="6" t="s">
        <v>950</v>
      </c>
      <c r="E688" s="6" t="s">
        <v>1215</v>
      </c>
      <c r="G688" s="4" t="s">
        <v>23</v>
      </c>
      <c r="H688" s="4" t="s">
        <v>1628</v>
      </c>
      <c r="I688" s="2" t="s">
        <v>1283</v>
      </c>
      <c r="J688" s="2" t="s">
        <v>1200</v>
      </c>
      <c r="K688" s="3" t="s">
        <v>1282</v>
      </c>
      <c r="N688" s="4" t="s">
        <v>1606</v>
      </c>
      <c r="O688" s="4" t="s">
        <v>1627</v>
      </c>
      <c r="P688" s="2" t="s">
        <v>1283</v>
      </c>
      <c r="Q688" s="2" t="s">
        <v>1200</v>
      </c>
      <c r="R688" s="3" t="s">
        <v>1282</v>
      </c>
      <c r="U688" s="4" t="s">
        <v>1602</v>
      </c>
      <c r="V688" s="4" t="s">
        <v>1626</v>
      </c>
      <c r="W688" s="2" t="s">
        <v>1283</v>
      </c>
      <c r="X688" s="2" t="s">
        <v>1200</v>
      </c>
      <c r="Y688" s="3" t="s">
        <v>1282</v>
      </c>
    </row>
    <row r="689" spans="1:26" x14ac:dyDescent="0.2">
      <c r="A689" s="4">
        <v>684</v>
      </c>
      <c r="D689" s="6" t="s">
        <v>950</v>
      </c>
      <c r="E689" s="6" t="s">
        <v>1215</v>
      </c>
      <c r="G689" s="4" t="s">
        <v>23</v>
      </c>
      <c r="H689" s="4" t="s">
        <v>1628</v>
      </c>
      <c r="I689" s="2" t="s">
        <v>1280</v>
      </c>
      <c r="J689" s="2" t="s">
        <v>59</v>
      </c>
      <c r="K689" s="3" t="s">
        <v>1279</v>
      </c>
      <c r="N689" s="4" t="s">
        <v>1606</v>
      </c>
      <c r="O689" s="4" t="s">
        <v>1627</v>
      </c>
      <c r="P689" s="2" t="s">
        <v>1277</v>
      </c>
      <c r="Q689" s="2" t="s">
        <v>1276</v>
      </c>
      <c r="R689" s="3" t="s">
        <v>1275</v>
      </c>
      <c r="U689" s="4" t="s">
        <v>1602</v>
      </c>
      <c r="V689" s="4" t="s">
        <v>1626</v>
      </c>
      <c r="W689" s="2" t="s">
        <v>1273</v>
      </c>
      <c r="X689" s="2" t="s">
        <v>1272</v>
      </c>
      <c r="Y689" s="3" t="s">
        <v>1271</v>
      </c>
    </row>
    <row r="690" spans="1:26" ht="25.5" x14ac:dyDescent="0.2">
      <c r="A690" s="4">
        <v>685</v>
      </c>
      <c r="B690" s="6" t="s">
        <v>1221</v>
      </c>
      <c r="E690" s="6" t="s">
        <v>1215</v>
      </c>
      <c r="G690" s="4" t="s">
        <v>23</v>
      </c>
      <c r="H690" s="4" t="s">
        <v>1623</v>
      </c>
      <c r="I690" s="2" t="s">
        <v>96</v>
      </c>
      <c r="J690" s="2" t="s">
        <v>951</v>
      </c>
      <c r="L690" s="19" t="s">
        <v>2875</v>
      </c>
      <c r="N690" s="4" t="s">
        <v>1606</v>
      </c>
      <c r="O690" s="4" t="s">
        <v>1625</v>
      </c>
      <c r="P690" s="2" t="s">
        <v>733</v>
      </c>
      <c r="Q690" s="2" t="s">
        <v>951</v>
      </c>
      <c r="S690" s="19" t="s">
        <v>2877</v>
      </c>
      <c r="U690" s="4" t="s">
        <v>1602</v>
      </c>
      <c r="V690" s="4" t="s">
        <v>1624</v>
      </c>
      <c r="W690" s="2" t="s">
        <v>1378</v>
      </c>
      <c r="X690" s="2" t="s">
        <v>951</v>
      </c>
      <c r="Z690" s="19" t="s">
        <v>2879</v>
      </c>
    </row>
    <row r="691" spans="1:26" ht="25.5" x14ac:dyDescent="0.2">
      <c r="A691" s="4">
        <v>686</v>
      </c>
      <c r="B691" s="6" t="s">
        <v>1221</v>
      </c>
      <c r="E691" s="6" t="s">
        <v>1215</v>
      </c>
      <c r="G691" s="4" t="s">
        <v>23</v>
      </c>
      <c r="H691" s="4" t="s">
        <v>1623</v>
      </c>
      <c r="I691" s="2" t="s">
        <v>99</v>
      </c>
      <c r="J691" s="2" t="s">
        <v>951</v>
      </c>
      <c r="L691" s="19" t="s">
        <v>2876</v>
      </c>
      <c r="N691" s="4" t="s">
        <v>1606</v>
      </c>
      <c r="O691" s="4" t="s">
        <v>1625</v>
      </c>
      <c r="P691" s="2" t="s">
        <v>734</v>
      </c>
      <c r="Q691" s="2" t="s">
        <v>951</v>
      </c>
      <c r="S691" s="19" t="s">
        <v>2878</v>
      </c>
      <c r="U691" s="4" t="s">
        <v>1602</v>
      </c>
      <c r="V691" s="4" t="s">
        <v>1624</v>
      </c>
      <c r="W691" s="2" t="s">
        <v>1376</v>
      </c>
      <c r="X691" s="2" t="s">
        <v>951</v>
      </c>
      <c r="Z691" s="19" t="s">
        <v>2880</v>
      </c>
    </row>
    <row r="692" spans="1:26" x14ac:dyDescent="0.2">
      <c r="A692" s="4">
        <v>687</v>
      </c>
      <c r="E692" s="6" t="s">
        <v>1215</v>
      </c>
      <c r="G692" s="4" t="s">
        <v>23</v>
      </c>
      <c r="H692" s="4" t="s">
        <v>1623</v>
      </c>
      <c r="I692" s="2" t="s">
        <v>101</v>
      </c>
      <c r="J692" s="2" t="s">
        <v>956</v>
      </c>
      <c r="N692" s="4" t="s">
        <v>1606</v>
      </c>
      <c r="O692" s="4" t="s">
        <v>1625</v>
      </c>
      <c r="P692" s="2" t="s">
        <v>735</v>
      </c>
      <c r="Q692" s="2" t="s">
        <v>956</v>
      </c>
      <c r="U692" s="4" t="s">
        <v>1602</v>
      </c>
      <c r="V692" s="4" t="s">
        <v>1624</v>
      </c>
      <c r="W692" s="2" t="s">
        <v>1294</v>
      </c>
      <c r="X692" s="2" t="s">
        <v>956</v>
      </c>
    </row>
    <row r="693" spans="1:26" ht="63.75" x14ac:dyDescent="0.2">
      <c r="A693" s="4">
        <v>688</v>
      </c>
      <c r="D693" s="6" t="s">
        <v>950</v>
      </c>
      <c r="E693" s="6" t="s">
        <v>1215</v>
      </c>
      <c r="G693" s="4" t="s">
        <v>23</v>
      </c>
      <c r="H693" s="4" t="s">
        <v>1623</v>
      </c>
      <c r="I693" s="2" t="s">
        <v>104</v>
      </c>
      <c r="J693" s="2" t="s">
        <v>1549</v>
      </c>
      <c r="L693" s="2" t="s">
        <v>1597</v>
      </c>
      <c r="N693" s="4" t="s">
        <v>1606</v>
      </c>
      <c r="O693" s="4" t="s">
        <v>1625</v>
      </c>
      <c r="P693" s="2" t="s">
        <v>736</v>
      </c>
      <c r="Q693" s="2" t="s">
        <v>1548</v>
      </c>
      <c r="S693" s="2" t="s">
        <v>1596</v>
      </c>
      <c r="U693" s="4" t="s">
        <v>1602</v>
      </c>
      <c r="V693" s="4" t="s">
        <v>1624</v>
      </c>
      <c r="W693" s="2" t="s">
        <v>1595</v>
      </c>
      <c r="X693" s="2" t="s">
        <v>1548</v>
      </c>
      <c r="Z693" s="2" t="s">
        <v>1594</v>
      </c>
    </row>
    <row r="694" spans="1:26" x14ac:dyDescent="0.2">
      <c r="A694" s="4">
        <v>689</v>
      </c>
      <c r="E694" s="6" t="s">
        <v>1215</v>
      </c>
      <c r="G694" s="4" t="s">
        <v>23</v>
      </c>
      <c r="H694" s="4" t="s">
        <v>1623</v>
      </c>
      <c r="I694" s="2" t="s">
        <v>193</v>
      </c>
      <c r="J694" s="2" t="s">
        <v>1518</v>
      </c>
      <c r="N694" s="4" t="s">
        <v>1606</v>
      </c>
      <c r="O694" s="4" t="s">
        <v>1625</v>
      </c>
      <c r="P694" s="2" t="s">
        <v>769</v>
      </c>
      <c r="Q694" s="2" t="s">
        <v>1593</v>
      </c>
      <c r="U694" s="4" t="s">
        <v>1602</v>
      </c>
      <c r="V694" s="4" t="s">
        <v>1624</v>
      </c>
      <c r="W694" s="2" t="s">
        <v>1515</v>
      </c>
      <c r="X694" s="2" t="s">
        <v>1592</v>
      </c>
    </row>
    <row r="695" spans="1:26" x14ac:dyDescent="0.2">
      <c r="A695" s="4">
        <v>690</v>
      </c>
      <c r="E695" s="6" t="s">
        <v>1215</v>
      </c>
      <c r="G695" s="4" t="s">
        <v>23</v>
      </c>
      <c r="H695" s="4" t="s">
        <v>1623</v>
      </c>
      <c r="I695" s="2" t="s">
        <v>107</v>
      </c>
      <c r="J695" s="2" t="s">
        <v>1349</v>
      </c>
      <c r="N695" s="4" t="s">
        <v>1606</v>
      </c>
      <c r="O695" s="4" t="s">
        <v>1625</v>
      </c>
      <c r="P695" s="2" t="s">
        <v>1589</v>
      </c>
      <c r="Q695" s="2" t="s">
        <v>1349</v>
      </c>
      <c r="U695" s="4" t="s">
        <v>1602</v>
      </c>
      <c r="V695" s="4" t="s">
        <v>1624</v>
      </c>
      <c r="W695" s="2" t="s">
        <v>1587</v>
      </c>
      <c r="X695" s="2" t="s">
        <v>1349</v>
      </c>
    </row>
    <row r="696" spans="1:26" ht="25.5" x14ac:dyDescent="0.2">
      <c r="A696" s="4">
        <v>691</v>
      </c>
      <c r="C696" s="6" t="s">
        <v>950</v>
      </c>
      <c r="E696" s="6" t="s">
        <v>1215</v>
      </c>
      <c r="G696" s="4" t="s">
        <v>23</v>
      </c>
      <c r="H696" s="4" t="s">
        <v>1608</v>
      </c>
      <c r="I696" s="2" t="s">
        <v>969</v>
      </c>
      <c r="J696" s="2" t="s">
        <v>1622</v>
      </c>
      <c r="L696" s="2" t="s">
        <v>1228</v>
      </c>
      <c r="N696" s="4" t="s">
        <v>1606</v>
      </c>
      <c r="O696" s="4" t="s">
        <v>1605</v>
      </c>
      <c r="P696" s="2" t="s">
        <v>1319</v>
      </c>
      <c r="Q696" s="2" t="s">
        <v>1621</v>
      </c>
      <c r="S696" s="2" t="s">
        <v>1225</v>
      </c>
      <c r="U696" s="4" t="s">
        <v>1602</v>
      </c>
      <c r="V696" s="4" t="s">
        <v>1601</v>
      </c>
      <c r="W696" s="2" t="s">
        <v>1319</v>
      </c>
      <c r="X696" s="2" t="s">
        <v>1620</v>
      </c>
      <c r="Z696" s="2" t="s">
        <v>1222</v>
      </c>
    </row>
    <row r="697" spans="1:26" x14ac:dyDescent="0.2">
      <c r="A697" s="4">
        <v>692</v>
      </c>
      <c r="C697" s="6" t="s">
        <v>950</v>
      </c>
      <c r="E697" s="6" t="s">
        <v>1215</v>
      </c>
      <c r="G697" s="4" t="s">
        <v>23</v>
      </c>
      <c r="H697" s="4" t="s">
        <v>1608</v>
      </c>
      <c r="I697" s="2" t="s">
        <v>1619</v>
      </c>
      <c r="J697" s="2" t="s">
        <v>1618</v>
      </c>
      <c r="L697" s="2" t="s">
        <v>1454</v>
      </c>
      <c r="N697" s="4" t="s">
        <v>1606</v>
      </c>
      <c r="O697" s="4" t="s">
        <v>1605</v>
      </c>
      <c r="P697" s="2" t="s">
        <v>1617</v>
      </c>
      <c r="Q697" s="2" t="s">
        <v>1616</v>
      </c>
      <c r="S697" s="2" t="s">
        <v>1451</v>
      </c>
      <c r="U697" s="4" t="s">
        <v>1602</v>
      </c>
      <c r="V697" s="4" t="s">
        <v>1601</v>
      </c>
      <c r="W697" s="2" t="s">
        <v>1615</v>
      </c>
      <c r="X697" s="2" t="s">
        <v>1614</v>
      </c>
      <c r="Z697" s="2" t="s">
        <v>1287</v>
      </c>
    </row>
    <row r="698" spans="1:26" ht="63.75" x14ac:dyDescent="0.2">
      <c r="A698" s="4">
        <v>693</v>
      </c>
      <c r="D698" s="6" t="s">
        <v>950</v>
      </c>
      <c r="E698" s="6" t="s">
        <v>1215</v>
      </c>
      <c r="G698" s="4" t="s">
        <v>23</v>
      </c>
      <c r="H698" s="4" t="s">
        <v>1608</v>
      </c>
      <c r="I698" s="2" t="s">
        <v>1550</v>
      </c>
      <c r="J698" s="2" t="s">
        <v>1549</v>
      </c>
      <c r="L698" s="2" t="s">
        <v>1613</v>
      </c>
      <c r="N698" s="4" t="s">
        <v>1606</v>
      </c>
      <c r="O698" s="4" t="s">
        <v>1605</v>
      </c>
      <c r="P698" s="2" t="s">
        <v>123</v>
      </c>
      <c r="Q698" s="2" t="s">
        <v>1548</v>
      </c>
      <c r="S698" s="2" t="s">
        <v>1612</v>
      </c>
      <c r="U698" s="4" t="s">
        <v>1602</v>
      </c>
      <c r="V698" s="4" t="s">
        <v>1601</v>
      </c>
      <c r="W698" s="2" t="s">
        <v>1247</v>
      </c>
      <c r="X698" s="2" t="s">
        <v>1548</v>
      </c>
      <c r="Z698" s="2" t="s">
        <v>2886</v>
      </c>
    </row>
    <row r="699" spans="1:26" ht="25.5" x14ac:dyDescent="0.2">
      <c r="A699" s="4">
        <v>694</v>
      </c>
      <c r="E699" s="6" t="s">
        <v>1215</v>
      </c>
      <c r="G699" s="4" t="s">
        <v>23</v>
      </c>
      <c r="H699" s="4" t="s">
        <v>1608</v>
      </c>
      <c r="I699" s="2" t="s">
        <v>1518</v>
      </c>
      <c r="J699" s="2" t="s">
        <v>1517</v>
      </c>
      <c r="N699" s="4" t="s">
        <v>1606</v>
      </c>
      <c r="O699" s="4" t="s">
        <v>1605</v>
      </c>
      <c r="P699" s="2" t="s">
        <v>769</v>
      </c>
      <c r="Q699" s="2" t="s">
        <v>1516</v>
      </c>
      <c r="U699" s="4" t="s">
        <v>1602</v>
      </c>
      <c r="V699" s="4" t="s">
        <v>1601</v>
      </c>
      <c r="W699" s="2" t="s">
        <v>1515</v>
      </c>
      <c r="X699" s="2" t="s">
        <v>1514</v>
      </c>
    </row>
    <row r="700" spans="1:26" x14ac:dyDescent="0.2">
      <c r="A700" s="4">
        <v>695</v>
      </c>
      <c r="E700" s="6" t="s">
        <v>1215</v>
      </c>
      <c r="G700" s="4" t="s">
        <v>23</v>
      </c>
      <c r="H700" s="4" t="s">
        <v>1608</v>
      </c>
      <c r="I700" s="2" t="s">
        <v>666</v>
      </c>
      <c r="J700" s="2" t="s">
        <v>1509</v>
      </c>
      <c r="N700" s="4" t="s">
        <v>1606</v>
      </c>
      <c r="O700" s="4" t="s">
        <v>1605</v>
      </c>
      <c r="P700" s="2" t="s">
        <v>1513</v>
      </c>
      <c r="Q700" s="2" t="s">
        <v>1507</v>
      </c>
      <c r="U700" s="4" t="s">
        <v>1602</v>
      </c>
      <c r="V700" s="4" t="s">
        <v>1601</v>
      </c>
      <c r="W700" s="2" t="s">
        <v>1512</v>
      </c>
      <c r="X700" s="2" t="s">
        <v>1505</v>
      </c>
    </row>
    <row r="701" spans="1:26" x14ac:dyDescent="0.2">
      <c r="A701" s="4">
        <v>696</v>
      </c>
      <c r="B701" s="6" t="s">
        <v>1221</v>
      </c>
      <c r="E701" s="6" t="s">
        <v>1215</v>
      </c>
      <c r="G701" s="4" t="s">
        <v>23</v>
      </c>
      <c r="H701" s="4" t="s">
        <v>1608</v>
      </c>
      <c r="I701" s="2" t="s">
        <v>585</v>
      </c>
      <c r="J701" s="2" t="s">
        <v>1611</v>
      </c>
      <c r="N701" s="4" t="s">
        <v>1606</v>
      </c>
      <c r="O701" s="4" t="s">
        <v>1605</v>
      </c>
      <c r="P701" s="2" t="s">
        <v>882</v>
      </c>
      <c r="Q701" s="2" t="s">
        <v>1611</v>
      </c>
      <c r="U701" s="4" t="s">
        <v>1602</v>
      </c>
      <c r="V701" s="4" t="s">
        <v>1601</v>
      </c>
      <c r="W701" s="2" t="s">
        <v>1610</v>
      </c>
      <c r="X701" s="2" t="s">
        <v>1609</v>
      </c>
    </row>
    <row r="702" spans="1:26" ht="25.5" x14ac:dyDescent="0.2">
      <c r="A702" s="4">
        <v>697</v>
      </c>
      <c r="B702" s="6" t="s">
        <v>1221</v>
      </c>
      <c r="E702" s="6" t="s">
        <v>1215</v>
      </c>
      <c r="G702" s="4" t="s">
        <v>23</v>
      </c>
      <c r="H702" s="4" t="s">
        <v>1608</v>
      </c>
      <c r="I702" s="2" t="s">
        <v>1607</v>
      </c>
      <c r="J702" s="2" t="s">
        <v>1603</v>
      </c>
      <c r="N702" s="4" t="s">
        <v>1606</v>
      </c>
      <c r="O702" s="4" t="s">
        <v>1605</v>
      </c>
      <c r="P702" s="2" t="s">
        <v>1604</v>
      </c>
      <c r="Q702" s="2" t="s">
        <v>1603</v>
      </c>
      <c r="U702" s="4" t="s">
        <v>1602</v>
      </c>
      <c r="V702" s="4" t="s">
        <v>1601</v>
      </c>
      <c r="W702" s="2" t="s">
        <v>1600</v>
      </c>
      <c r="X702" s="2" t="s">
        <v>1476</v>
      </c>
    </row>
    <row r="703" spans="1:26" ht="25.5" x14ac:dyDescent="0.2">
      <c r="A703" s="4">
        <v>698</v>
      </c>
      <c r="B703" s="6" t="s">
        <v>1221</v>
      </c>
      <c r="E703" s="6" t="s">
        <v>1215</v>
      </c>
      <c r="G703" s="4" t="s">
        <v>24</v>
      </c>
      <c r="H703" s="4" t="s">
        <v>1591</v>
      </c>
      <c r="I703" s="2" t="s">
        <v>96</v>
      </c>
      <c r="J703" s="2" t="s">
        <v>951</v>
      </c>
      <c r="L703" s="19" t="s">
        <v>2875</v>
      </c>
      <c r="N703" s="4" t="s">
        <v>1431</v>
      </c>
      <c r="O703" s="4" t="s">
        <v>1590</v>
      </c>
      <c r="P703" s="2" t="s">
        <v>733</v>
      </c>
      <c r="Q703" s="2" t="s">
        <v>951</v>
      </c>
      <c r="S703" s="19" t="s">
        <v>2877</v>
      </c>
      <c r="U703" s="4" t="s">
        <v>1428</v>
      </c>
      <c r="V703" s="4" t="s">
        <v>1588</v>
      </c>
      <c r="W703" s="2" t="s">
        <v>1378</v>
      </c>
      <c r="X703" s="2" t="s">
        <v>951</v>
      </c>
      <c r="Z703" s="19" t="s">
        <v>2879</v>
      </c>
    </row>
    <row r="704" spans="1:26" ht="25.5" x14ac:dyDescent="0.2">
      <c r="A704" s="4">
        <v>699</v>
      </c>
      <c r="B704" s="6" t="s">
        <v>1221</v>
      </c>
      <c r="E704" s="6" t="s">
        <v>1215</v>
      </c>
      <c r="G704" s="4" t="s">
        <v>24</v>
      </c>
      <c r="H704" s="4" t="s">
        <v>1591</v>
      </c>
      <c r="I704" s="2" t="s">
        <v>99</v>
      </c>
      <c r="J704" s="2" t="s">
        <v>951</v>
      </c>
      <c r="L704" s="19" t="s">
        <v>2876</v>
      </c>
      <c r="N704" s="4" t="s">
        <v>1431</v>
      </c>
      <c r="O704" s="4" t="s">
        <v>1590</v>
      </c>
      <c r="P704" s="2" t="s">
        <v>734</v>
      </c>
      <c r="Q704" s="2" t="s">
        <v>951</v>
      </c>
      <c r="S704" s="19" t="s">
        <v>2878</v>
      </c>
      <c r="U704" s="4" t="s">
        <v>1428</v>
      </c>
      <c r="V704" s="4" t="s">
        <v>1588</v>
      </c>
      <c r="W704" s="2" t="s">
        <v>1376</v>
      </c>
      <c r="X704" s="2" t="s">
        <v>951</v>
      </c>
      <c r="Z704" s="19" t="s">
        <v>2880</v>
      </c>
    </row>
    <row r="705" spans="1:26" x14ac:dyDescent="0.2">
      <c r="A705" s="4">
        <v>700</v>
      </c>
      <c r="E705" s="6" t="s">
        <v>1215</v>
      </c>
      <c r="G705" s="4" t="s">
        <v>24</v>
      </c>
      <c r="H705" s="4" t="s">
        <v>1591</v>
      </c>
      <c r="I705" s="2" t="s">
        <v>101</v>
      </c>
      <c r="J705" s="2" t="s">
        <v>956</v>
      </c>
      <c r="N705" s="4" t="s">
        <v>1431</v>
      </c>
      <c r="O705" s="4" t="s">
        <v>1590</v>
      </c>
      <c r="P705" s="2" t="s">
        <v>735</v>
      </c>
      <c r="Q705" s="2" t="s">
        <v>956</v>
      </c>
      <c r="U705" s="4" t="s">
        <v>1428</v>
      </c>
      <c r="V705" s="4" t="s">
        <v>1588</v>
      </c>
      <c r="W705" s="2" t="s">
        <v>1294</v>
      </c>
      <c r="X705" s="2" t="s">
        <v>956</v>
      </c>
    </row>
    <row r="706" spans="1:26" ht="63.75" x14ac:dyDescent="0.2">
      <c r="A706" s="4">
        <v>701</v>
      </c>
      <c r="D706" s="6" t="s">
        <v>950</v>
      </c>
      <c r="E706" s="6" t="s">
        <v>1215</v>
      </c>
      <c r="G706" s="4" t="s">
        <v>24</v>
      </c>
      <c r="H706" s="4" t="s">
        <v>1591</v>
      </c>
      <c r="I706" s="2" t="s">
        <v>104</v>
      </c>
      <c r="J706" s="2" t="s">
        <v>1549</v>
      </c>
      <c r="L706" s="2" t="s">
        <v>1597</v>
      </c>
      <c r="N706" s="4" t="s">
        <v>1431</v>
      </c>
      <c r="O706" s="4" t="s">
        <v>1590</v>
      </c>
      <c r="P706" s="2" t="s">
        <v>736</v>
      </c>
      <c r="Q706" s="2" t="s">
        <v>1548</v>
      </c>
      <c r="S706" s="2" t="s">
        <v>1596</v>
      </c>
      <c r="U706" s="4" t="s">
        <v>1428</v>
      </c>
      <c r="V706" s="4" t="s">
        <v>1588</v>
      </c>
      <c r="W706" s="2" t="s">
        <v>1595</v>
      </c>
      <c r="X706" s="2" t="s">
        <v>1548</v>
      </c>
      <c r="Z706" s="2" t="s">
        <v>1594</v>
      </c>
    </row>
    <row r="707" spans="1:26" x14ac:dyDescent="0.2">
      <c r="A707" s="4">
        <v>702</v>
      </c>
      <c r="E707" s="6" t="s">
        <v>1215</v>
      </c>
      <c r="G707" s="4" t="s">
        <v>24</v>
      </c>
      <c r="H707" s="4" t="s">
        <v>1591</v>
      </c>
      <c r="I707" s="2" t="s">
        <v>193</v>
      </c>
      <c r="J707" s="2" t="s">
        <v>1518</v>
      </c>
      <c r="N707" s="4" t="s">
        <v>1431</v>
      </c>
      <c r="O707" s="4" t="s">
        <v>1590</v>
      </c>
      <c r="P707" s="2" t="s">
        <v>769</v>
      </c>
      <c r="Q707" s="2" t="s">
        <v>1593</v>
      </c>
      <c r="U707" s="4" t="s">
        <v>1428</v>
      </c>
      <c r="V707" s="4" t="s">
        <v>1588</v>
      </c>
      <c r="W707" s="2" t="s">
        <v>1515</v>
      </c>
      <c r="X707" s="2" t="s">
        <v>1592</v>
      </c>
    </row>
    <row r="708" spans="1:26" x14ac:dyDescent="0.2">
      <c r="A708" s="4">
        <v>703</v>
      </c>
      <c r="E708" s="6" t="s">
        <v>1215</v>
      </c>
      <c r="G708" s="4" t="s">
        <v>24</v>
      </c>
      <c r="H708" s="4" t="s">
        <v>1591</v>
      </c>
      <c r="I708" s="2" t="s">
        <v>107</v>
      </c>
      <c r="J708" s="2" t="s">
        <v>1349</v>
      </c>
      <c r="N708" s="4" t="s">
        <v>1431</v>
      </c>
      <c r="O708" s="4" t="s">
        <v>1590</v>
      </c>
      <c r="P708" s="2" t="s">
        <v>1589</v>
      </c>
      <c r="Q708" s="2" t="s">
        <v>1349</v>
      </c>
      <c r="U708" s="4" t="s">
        <v>1428</v>
      </c>
      <c r="V708" s="4" t="s">
        <v>1588</v>
      </c>
      <c r="W708" s="2" t="s">
        <v>1587</v>
      </c>
      <c r="X708" s="2" t="s">
        <v>1349</v>
      </c>
    </row>
    <row r="709" spans="1:26" ht="25.5" x14ac:dyDescent="0.2">
      <c r="A709" s="4">
        <v>704</v>
      </c>
      <c r="C709" s="6" t="s">
        <v>950</v>
      </c>
      <c r="E709" s="6" t="s">
        <v>1215</v>
      </c>
      <c r="G709" s="4" t="s">
        <v>24</v>
      </c>
      <c r="H709" s="4" t="s">
        <v>649</v>
      </c>
      <c r="I709" s="2" t="s">
        <v>969</v>
      </c>
      <c r="J709" s="2" t="s">
        <v>1530</v>
      </c>
      <c r="L709" s="2" t="s">
        <v>1228</v>
      </c>
      <c r="N709" s="4" t="s">
        <v>1431</v>
      </c>
      <c r="O709" s="4" t="s">
        <v>896</v>
      </c>
      <c r="P709" s="2" t="s">
        <v>1319</v>
      </c>
      <c r="Q709" s="2" t="s">
        <v>1529</v>
      </c>
      <c r="S709" s="2" t="s">
        <v>1225</v>
      </c>
      <c r="U709" s="4" t="s">
        <v>1428</v>
      </c>
      <c r="V709" s="4" t="s">
        <v>1580</v>
      </c>
      <c r="W709" s="2" t="s">
        <v>1319</v>
      </c>
      <c r="X709" s="2" t="s">
        <v>1528</v>
      </c>
      <c r="Z709" s="2" t="s">
        <v>1222</v>
      </c>
    </row>
    <row r="710" spans="1:26" ht="51" x14ac:dyDescent="0.2">
      <c r="A710" s="4">
        <v>705</v>
      </c>
      <c r="E710" s="6" t="s">
        <v>1215</v>
      </c>
      <c r="G710" s="4" t="s">
        <v>24</v>
      </c>
      <c r="H710" s="4" t="s">
        <v>649</v>
      </c>
      <c r="I710" s="2" t="s">
        <v>600</v>
      </c>
      <c r="J710" s="2" t="s">
        <v>2788</v>
      </c>
      <c r="N710" s="4" t="s">
        <v>1431</v>
      </c>
      <c r="O710" s="4" t="s">
        <v>896</v>
      </c>
      <c r="P710" s="2" t="s">
        <v>1586</v>
      </c>
      <c r="Q710" s="2" t="s">
        <v>2960</v>
      </c>
      <c r="U710" s="4" t="s">
        <v>1428</v>
      </c>
      <c r="V710" s="4" t="s">
        <v>1580</v>
      </c>
      <c r="W710" s="2" t="s">
        <v>1585</v>
      </c>
      <c r="X710" s="2" t="s">
        <v>2961</v>
      </c>
    </row>
    <row r="711" spans="1:26" x14ac:dyDescent="0.2">
      <c r="A711" s="4">
        <v>706</v>
      </c>
      <c r="D711" s="6" t="s">
        <v>950</v>
      </c>
      <c r="E711" s="6" t="s">
        <v>1215</v>
      </c>
      <c r="G711" s="4" t="s">
        <v>24</v>
      </c>
      <c r="H711" s="4" t="s">
        <v>649</v>
      </c>
      <c r="I711" s="2" t="s">
        <v>650</v>
      </c>
      <c r="J711" s="2" t="s">
        <v>951</v>
      </c>
      <c r="N711" s="4" t="s">
        <v>1431</v>
      </c>
      <c r="O711" s="4" t="s">
        <v>896</v>
      </c>
      <c r="P711" s="2" t="s">
        <v>1584</v>
      </c>
      <c r="Q711" s="2" t="s">
        <v>951</v>
      </c>
      <c r="U711" s="4" t="s">
        <v>1428</v>
      </c>
      <c r="V711" s="4" t="s">
        <v>1580</v>
      </c>
      <c r="W711" s="2" t="s">
        <v>1583</v>
      </c>
      <c r="X711" s="2" t="s">
        <v>951</v>
      </c>
    </row>
    <row r="712" spans="1:26" x14ac:dyDescent="0.2">
      <c r="A712" s="4">
        <v>707</v>
      </c>
      <c r="E712" s="6" t="s">
        <v>1215</v>
      </c>
      <c r="G712" s="4" t="s">
        <v>24</v>
      </c>
      <c r="H712" s="4" t="s">
        <v>649</v>
      </c>
      <c r="I712" s="2" t="s">
        <v>669</v>
      </c>
      <c r="J712" s="2" t="s">
        <v>1509</v>
      </c>
      <c r="N712" s="4" t="s">
        <v>1431</v>
      </c>
      <c r="O712" s="4" t="s">
        <v>896</v>
      </c>
      <c r="P712" s="2" t="s">
        <v>1511</v>
      </c>
      <c r="Q712" s="2" t="s">
        <v>1507</v>
      </c>
      <c r="U712" s="4" t="s">
        <v>1428</v>
      </c>
      <c r="V712" s="4" t="s">
        <v>1580</v>
      </c>
      <c r="W712" s="2" t="s">
        <v>1510</v>
      </c>
      <c r="X712" s="2" t="s">
        <v>1505</v>
      </c>
    </row>
    <row r="713" spans="1:26" ht="25.5" x14ac:dyDescent="0.2">
      <c r="A713" s="4">
        <v>708</v>
      </c>
      <c r="E713" s="6" t="s">
        <v>1215</v>
      </c>
      <c r="G713" s="4" t="s">
        <v>24</v>
      </c>
      <c r="H713" s="4" t="s">
        <v>649</v>
      </c>
      <c r="I713" s="2" t="s">
        <v>663</v>
      </c>
      <c r="J713" s="2" t="s">
        <v>1509</v>
      </c>
      <c r="N713" s="4" t="s">
        <v>1431</v>
      </c>
      <c r="O713" s="4" t="s">
        <v>896</v>
      </c>
      <c r="P713" s="2" t="s">
        <v>1508</v>
      </c>
      <c r="Q713" s="2" t="s">
        <v>1507</v>
      </c>
      <c r="U713" s="4" t="s">
        <v>1428</v>
      </c>
      <c r="V713" s="4" t="s">
        <v>1580</v>
      </c>
      <c r="W713" s="2" t="s">
        <v>1506</v>
      </c>
      <c r="X713" s="2" t="s">
        <v>1505</v>
      </c>
    </row>
    <row r="714" spans="1:26" ht="25.5" x14ac:dyDescent="0.2">
      <c r="A714" s="4">
        <v>709</v>
      </c>
      <c r="E714" s="6" t="s">
        <v>1215</v>
      </c>
      <c r="G714" s="4" t="s">
        <v>24</v>
      </c>
      <c r="H714" s="4" t="s">
        <v>649</v>
      </c>
      <c r="I714" s="2" t="s">
        <v>1518</v>
      </c>
      <c r="J714" s="2" t="s">
        <v>1517</v>
      </c>
      <c r="N714" s="4" t="s">
        <v>1431</v>
      </c>
      <c r="O714" s="4" t="s">
        <v>896</v>
      </c>
      <c r="P714" s="2" t="s">
        <v>769</v>
      </c>
      <c r="Q714" s="2" t="s">
        <v>1516</v>
      </c>
      <c r="U714" s="4" t="s">
        <v>1428</v>
      </c>
      <c r="V714" s="4" t="s">
        <v>1580</v>
      </c>
      <c r="W714" s="2" t="s">
        <v>1515</v>
      </c>
      <c r="X714" s="2" t="s">
        <v>1514</v>
      </c>
    </row>
    <row r="715" spans="1:26" x14ac:dyDescent="0.2">
      <c r="A715" s="4">
        <v>710</v>
      </c>
      <c r="E715" s="6" t="s">
        <v>1215</v>
      </c>
      <c r="G715" s="4" t="s">
        <v>24</v>
      </c>
      <c r="H715" s="4" t="s">
        <v>649</v>
      </c>
      <c r="I715" s="2" t="s">
        <v>666</v>
      </c>
      <c r="J715" s="2" t="s">
        <v>1509</v>
      </c>
      <c r="N715" s="4" t="s">
        <v>1431</v>
      </c>
      <c r="O715" s="4" t="s">
        <v>896</v>
      </c>
      <c r="P715" s="2" t="s">
        <v>1513</v>
      </c>
      <c r="Q715" s="2" t="s">
        <v>1507</v>
      </c>
      <c r="U715" s="4" t="s">
        <v>1428</v>
      </c>
      <c r="V715" s="4" t="s">
        <v>1580</v>
      </c>
      <c r="W715" s="2" t="s">
        <v>1512</v>
      </c>
      <c r="X715" s="2" t="s">
        <v>1505</v>
      </c>
    </row>
    <row r="716" spans="1:26" ht="25.5" x14ac:dyDescent="0.2">
      <c r="A716" s="4">
        <v>711</v>
      </c>
      <c r="E716" s="6" t="s">
        <v>1215</v>
      </c>
      <c r="G716" s="4" t="s">
        <v>24</v>
      </c>
      <c r="H716" s="4" t="s">
        <v>649</v>
      </c>
      <c r="I716" s="2" t="s">
        <v>1212</v>
      </c>
      <c r="J716" s="2" t="s">
        <v>2787</v>
      </c>
      <c r="N716" s="4" t="s">
        <v>1431</v>
      </c>
      <c r="O716" s="4" t="s">
        <v>896</v>
      </c>
      <c r="P716" s="2" t="s">
        <v>1208</v>
      </c>
      <c r="Q716" s="2" t="s">
        <v>2962</v>
      </c>
      <c r="U716" s="4" t="s">
        <v>1428</v>
      </c>
      <c r="V716" s="4" t="s">
        <v>1580</v>
      </c>
      <c r="W716" s="2" t="s">
        <v>1204</v>
      </c>
      <c r="X716" s="2" t="s">
        <v>2963</v>
      </c>
    </row>
    <row r="717" spans="1:26" ht="25.5" x14ac:dyDescent="0.2">
      <c r="A717" s="4">
        <v>712</v>
      </c>
      <c r="B717" s="6" t="s">
        <v>1221</v>
      </c>
      <c r="C717" s="6" t="s">
        <v>950</v>
      </c>
      <c r="E717" s="6" t="s">
        <v>1215</v>
      </c>
      <c r="G717" s="4" t="s">
        <v>24</v>
      </c>
      <c r="H717" s="4" t="s">
        <v>1575</v>
      </c>
      <c r="I717" s="2" t="s">
        <v>1578</v>
      </c>
      <c r="J717" s="2" t="s">
        <v>1526</v>
      </c>
      <c r="L717" s="2" t="s">
        <v>1454</v>
      </c>
      <c r="N717" s="4" t="s">
        <v>1431</v>
      </c>
      <c r="O717" s="4" t="s">
        <v>1574</v>
      </c>
      <c r="P717" s="2" t="s">
        <v>1577</v>
      </c>
      <c r="Q717" s="2" t="s">
        <v>1524</v>
      </c>
      <c r="S717" s="2" t="s">
        <v>1451</v>
      </c>
      <c r="U717" s="4" t="s">
        <v>1428</v>
      </c>
      <c r="V717" s="4" t="s">
        <v>1573</v>
      </c>
      <c r="W717" s="2" t="s">
        <v>1576</v>
      </c>
      <c r="X717" s="2" t="s">
        <v>1522</v>
      </c>
      <c r="Z717" s="2" t="s">
        <v>1287</v>
      </c>
    </row>
    <row r="718" spans="1:26" ht="63.75" x14ac:dyDescent="0.2">
      <c r="A718" s="4">
        <v>713</v>
      </c>
      <c r="E718" s="6" t="s">
        <v>1215</v>
      </c>
      <c r="G718" s="4" t="s">
        <v>24</v>
      </c>
      <c r="H718" s="4" t="s">
        <v>1575</v>
      </c>
      <c r="I718" s="2" t="s">
        <v>1434</v>
      </c>
      <c r="J718" s="2" t="s">
        <v>964</v>
      </c>
      <c r="L718" s="2" t="s">
        <v>1582</v>
      </c>
      <c r="N718" s="4" t="s">
        <v>1431</v>
      </c>
      <c r="O718" s="4" t="s">
        <v>1574</v>
      </c>
      <c r="P718" s="2" t="s">
        <v>1433</v>
      </c>
      <c r="Q718" s="2" t="s">
        <v>964</v>
      </c>
      <c r="S718" s="2" t="s">
        <v>1581</v>
      </c>
      <c r="U718" s="4" t="s">
        <v>1428</v>
      </c>
      <c r="V718" s="4" t="s">
        <v>1573</v>
      </c>
      <c r="W718" s="2" t="s">
        <v>1317</v>
      </c>
      <c r="X718" s="2" t="s">
        <v>964</v>
      </c>
      <c r="Z718" s="2" t="s">
        <v>1579</v>
      </c>
    </row>
    <row r="719" spans="1:26" ht="63.75" x14ac:dyDescent="0.2">
      <c r="A719" s="4">
        <v>714</v>
      </c>
      <c r="D719" s="6" t="s">
        <v>950</v>
      </c>
      <c r="E719" s="6" t="s">
        <v>1215</v>
      </c>
      <c r="G719" s="4" t="s">
        <v>24</v>
      </c>
      <c r="H719" s="4" t="s">
        <v>1575</v>
      </c>
      <c r="I719" s="2" t="s">
        <v>1464</v>
      </c>
      <c r="J719" s="2" t="s">
        <v>1172</v>
      </c>
      <c r="L719" s="2" t="s">
        <v>1582</v>
      </c>
      <c r="N719" s="4" t="s">
        <v>1431</v>
      </c>
      <c r="O719" s="4" t="s">
        <v>1574</v>
      </c>
      <c r="P719" s="2" t="s">
        <v>1463</v>
      </c>
      <c r="Q719" s="2" t="s">
        <v>1172</v>
      </c>
      <c r="S719" s="2" t="s">
        <v>1581</v>
      </c>
      <c r="U719" s="4" t="s">
        <v>1428</v>
      </c>
      <c r="V719" s="4" t="s">
        <v>1573</v>
      </c>
      <c r="W719" s="2" t="s">
        <v>1462</v>
      </c>
      <c r="X719" s="2" t="s">
        <v>1172</v>
      </c>
      <c r="Z719" s="2" t="s">
        <v>1579</v>
      </c>
    </row>
    <row r="720" spans="1:26" ht="63.75" x14ac:dyDescent="0.2">
      <c r="A720" s="4">
        <v>715</v>
      </c>
      <c r="D720" s="6" t="s">
        <v>950</v>
      </c>
      <c r="E720" s="6" t="s">
        <v>1215</v>
      </c>
      <c r="G720" s="4" t="s">
        <v>24</v>
      </c>
      <c r="H720" s="4" t="s">
        <v>1575</v>
      </c>
      <c r="I720" s="2" t="s">
        <v>1461</v>
      </c>
      <c r="J720" s="2" t="s">
        <v>1173</v>
      </c>
      <c r="L720" s="2" t="s">
        <v>1582</v>
      </c>
      <c r="N720" s="4" t="s">
        <v>1431</v>
      </c>
      <c r="O720" s="4" t="s">
        <v>1574</v>
      </c>
      <c r="P720" s="2" t="s">
        <v>1460</v>
      </c>
      <c r="Q720" s="2" t="s">
        <v>1173</v>
      </c>
      <c r="S720" s="2" t="s">
        <v>1581</v>
      </c>
      <c r="U720" s="4" t="s">
        <v>1428</v>
      </c>
      <c r="V720" s="4" t="s">
        <v>1573</v>
      </c>
      <c r="W720" s="2" t="s">
        <v>1459</v>
      </c>
      <c r="X720" s="2" t="s">
        <v>1173</v>
      </c>
      <c r="Z720" s="2" t="s">
        <v>1579</v>
      </c>
    </row>
    <row r="721" spans="1:26" x14ac:dyDescent="0.2">
      <c r="A721" s="4">
        <v>716</v>
      </c>
      <c r="B721" s="6" t="s">
        <v>1221</v>
      </c>
      <c r="E721" s="6" t="s">
        <v>1215</v>
      </c>
      <c r="G721" s="4" t="s">
        <v>24</v>
      </c>
      <c r="H721" s="4" t="s">
        <v>1575</v>
      </c>
      <c r="I721" s="2" t="s">
        <v>611</v>
      </c>
      <c r="J721" s="2" t="s">
        <v>1432</v>
      </c>
      <c r="N721" s="4" t="s">
        <v>1431</v>
      </c>
      <c r="O721" s="4" t="s">
        <v>1574</v>
      </c>
      <c r="P721" s="2" t="s">
        <v>886</v>
      </c>
      <c r="Q721" s="2" t="s">
        <v>1429</v>
      </c>
      <c r="U721" s="4" t="s">
        <v>1428</v>
      </c>
      <c r="V721" s="4" t="s">
        <v>1573</v>
      </c>
      <c r="W721" s="2" t="s">
        <v>1426</v>
      </c>
      <c r="X721" s="2" t="s">
        <v>1425</v>
      </c>
    </row>
    <row r="722" spans="1:26" ht="25.5" x14ac:dyDescent="0.2">
      <c r="A722" s="4">
        <v>717</v>
      </c>
      <c r="C722" s="6" t="s">
        <v>950</v>
      </c>
      <c r="E722" s="6" t="s">
        <v>1215</v>
      </c>
      <c r="G722" s="4" t="s">
        <v>24</v>
      </c>
      <c r="H722" s="4" t="s">
        <v>1556</v>
      </c>
      <c r="I722" s="2" t="s">
        <v>1572</v>
      </c>
      <c r="J722" s="2" t="s">
        <v>1571</v>
      </c>
      <c r="L722" s="19" t="s">
        <v>2890</v>
      </c>
      <c r="N722" s="4" t="s">
        <v>1431</v>
      </c>
      <c r="O722" s="4" t="s">
        <v>1555</v>
      </c>
      <c r="P722" s="2" t="s">
        <v>1570</v>
      </c>
      <c r="Q722" s="2" t="s">
        <v>1569</v>
      </c>
      <c r="S722" s="19" t="s">
        <v>2888</v>
      </c>
      <c r="U722" s="4" t="s">
        <v>1428</v>
      </c>
      <c r="V722" s="4" t="s">
        <v>1554</v>
      </c>
      <c r="W722" s="2" t="s">
        <v>1568</v>
      </c>
      <c r="X722" s="2" t="s">
        <v>1567</v>
      </c>
      <c r="Z722" s="19" t="s">
        <v>2891</v>
      </c>
    </row>
    <row r="723" spans="1:26" x14ac:dyDescent="0.2">
      <c r="A723" s="4">
        <v>718</v>
      </c>
      <c r="D723" s="6" t="s">
        <v>950</v>
      </c>
      <c r="E723" s="6" t="s">
        <v>1215</v>
      </c>
      <c r="G723" s="4" t="s">
        <v>24</v>
      </c>
      <c r="H723" s="4" t="s">
        <v>1556</v>
      </c>
      <c r="I723" s="2" t="s">
        <v>1566</v>
      </c>
      <c r="J723" s="2" t="s">
        <v>1558</v>
      </c>
      <c r="K723" s="3">
        <v>1</v>
      </c>
      <c r="N723" s="4" t="s">
        <v>1431</v>
      </c>
      <c r="O723" s="4" t="s">
        <v>1555</v>
      </c>
      <c r="P723" s="2" t="s">
        <v>1565</v>
      </c>
      <c r="Q723" s="2" t="s">
        <v>1558</v>
      </c>
      <c r="R723" s="3">
        <v>1</v>
      </c>
      <c r="U723" s="4" t="s">
        <v>1428</v>
      </c>
      <c r="V723" s="4" t="s">
        <v>1554</v>
      </c>
      <c r="W723" s="2" t="s">
        <v>1564</v>
      </c>
      <c r="X723" s="2" t="s">
        <v>1558</v>
      </c>
      <c r="Y723" s="3">
        <v>1</v>
      </c>
    </row>
    <row r="724" spans="1:26" x14ac:dyDescent="0.2">
      <c r="A724" s="4">
        <v>719</v>
      </c>
      <c r="D724" s="6" t="s">
        <v>950</v>
      </c>
      <c r="E724" s="6" t="s">
        <v>1215</v>
      </c>
      <c r="G724" s="4" t="s">
        <v>24</v>
      </c>
      <c r="H724" s="4" t="s">
        <v>1556</v>
      </c>
      <c r="I724" s="2" t="s">
        <v>1563</v>
      </c>
      <c r="J724" s="2" t="s">
        <v>1558</v>
      </c>
      <c r="L724" s="2" t="s">
        <v>1562</v>
      </c>
      <c r="N724" s="4" t="s">
        <v>1431</v>
      </c>
      <c r="O724" s="4" t="s">
        <v>1555</v>
      </c>
      <c r="P724" s="2" t="s">
        <v>1561</v>
      </c>
      <c r="Q724" s="2" t="s">
        <v>1558</v>
      </c>
      <c r="S724" s="2" t="s">
        <v>1560</v>
      </c>
      <c r="U724" s="4" t="s">
        <v>1428</v>
      </c>
      <c r="V724" s="4" t="s">
        <v>1554</v>
      </c>
      <c r="W724" s="2" t="s">
        <v>1559</v>
      </c>
      <c r="X724" s="2" t="s">
        <v>1558</v>
      </c>
      <c r="Z724" s="2" t="s">
        <v>1557</v>
      </c>
    </row>
    <row r="725" spans="1:26" x14ac:dyDescent="0.2">
      <c r="A725" s="4">
        <v>720</v>
      </c>
      <c r="E725" s="6" t="s">
        <v>1215</v>
      </c>
      <c r="G725" s="4" t="s">
        <v>24</v>
      </c>
      <c r="H725" s="4" t="s">
        <v>1556</v>
      </c>
      <c r="I725" s="2" t="s">
        <v>1219</v>
      </c>
      <c r="J725" s="2" t="s">
        <v>1220</v>
      </c>
      <c r="N725" s="4" t="s">
        <v>1431</v>
      </c>
      <c r="O725" s="4" t="s">
        <v>1555</v>
      </c>
      <c r="P725" s="2" t="s">
        <v>1219</v>
      </c>
      <c r="Q725" s="2" t="s">
        <v>1218</v>
      </c>
      <c r="U725" s="4" t="s">
        <v>1428</v>
      </c>
      <c r="V725" s="4" t="s">
        <v>1554</v>
      </c>
      <c r="W725" s="2" t="s">
        <v>1219</v>
      </c>
      <c r="X725" s="2" t="s">
        <v>1218</v>
      </c>
    </row>
    <row r="726" spans="1:26" x14ac:dyDescent="0.2">
      <c r="A726" s="4">
        <v>721</v>
      </c>
      <c r="D726" s="6" t="s">
        <v>950</v>
      </c>
      <c r="E726" s="6" t="s">
        <v>1215</v>
      </c>
      <c r="G726" s="4" t="s">
        <v>24</v>
      </c>
      <c r="H726" s="4" t="s">
        <v>1556</v>
      </c>
      <c r="I726" s="2" t="s">
        <v>1217</v>
      </c>
      <c r="J726" s="2" t="s">
        <v>933</v>
      </c>
      <c r="K726" s="3">
        <v>100</v>
      </c>
      <c r="N726" s="4" t="s">
        <v>1431</v>
      </c>
      <c r="O726" s="4" t="s">
        <v>1555</v>
      </c>
      <c r="P726" s="2" t="s">
        <v>1217</v>
      </c>
      <c r="Q726" s="2" t="s">
        <v>933</v>
      </c>
      <c r="R726" s="3">
        <v>100</v>
      </c>
      <c r="U726" s="4" t="s">
        <v>1428</v>
      </c>
      <c r="V726" s="4" t="s">
        <v>1554</v>
      </c>
      <c r="W726" s="2" t="s">
        <v>1217</v>
      </c>
      <c r="X726" s="2" t="s">
        <v>1216</v>
      </c>
      <c r="Y726" s="3">
        <v>100</v>
      </c>
    </row>
    <row r="727" spans="1:26" x14ac:dyDescent="0.2">
      <c r="A727" s="4">
        <v>722</v>
      </c>
      <c r="D727" s="6" t="s">
        <v>950</v>
      </c>
      <c r="E727" s="6" t="s">
        <v>1215</v>
      </c>
      <c r="G727" s="4" t="s">
        <v>24</v>
      </c>
      <c r="H727" s="4" t="s">
        <v>1556</v>
      </c>
      <c r="I727" s="2" t="s">
        <v>1285</v>
      </c>
      <c r="J727" s="2" t="s">
        <v>1199</v>
      </c>
      <c r="K727" s="3" t="s">
        <v>1284</v>
      </c>
      <c r="N727" s="4" t="s">
        <v>1431</v>
      </c>
      <c r="O727" s="4" t="s">
        <v>1555</v>
      </c>
      <c r="P727" s="2" t="s">
        <v>1285</v>
      </c>
      <c r="Q727" s="2" t="s">
        <v>1199</v>
      </c>
      <c r="R727" s="3" t="s">
        <v>1284</v>
      </c>
      <c r="U727" s="4" t="s">
        <v>1428</v>
      </c>
      <c r="V727" s="4" t="s">
        <v>1554</v>
      </c>
      <c r="W727" s="2" t="s">
        <v>1285</v>
      </c>
      <c r="X727" s="2" t="s">
        <v>1199</v>
      </c>
      <c r="Y727" s="3" t="s">
        <v>1284</v>
      </c>
    </row>
    <row r="728" spans="1:26" x14ac:dyDescent="0.2">
      <c r="A728" s="4">
        <v>723</v>
      </c>
      <c r="D728" s="6" t="s">
        <v>950</v>
      </c>
      <c r="E728" s="6" t="s">
        <v>1215</v>
      </c>
      <c r="G728" s="4" t="s">
        <v>24</v>
      </c>
      <c r="H728" s="4" t="s">
        <v>1556</v>
      </c>
      <c r="I728" s="2" t="s">
        <v>1283</v>
      </c>
      <c r="J728" s="2" t="s">
        <v>1200</v>
      </c>
      <c r="K728" s="3" t="s">
        <v>1282</v>
      </c>
      <c r="N728" s="4" t="s">
        <v>1431</v>
      </c>
      <c r="O728" s="4" t="s">
        <v>1555</v>
      </c>
      <c r="P728" s="2" t="s">
        <v>1283</v>
      </c>
      <c r="Q728" s="2" t="s">
        <v>1200</v>
      </c>
      <c r="R728" s="3" t="s">
        <v>1282</v>
      </c>
      <c r="U728" s="4" t="s">
        <v>1428</v>
      </c>
      <c r="V728" s="4" t="s">
        <v>1554</v>
      </c>
      <c r="W728" s="2" t="s">
        <v>1283</v>
      </c>
      <c r="X728" s="2" t="s">
        <v>1200</v>
      </c>
      <c r="Y728" s="3" t="s">
        <v>1282</v>
      </c>
    </row>
    <row r="729" spans="1:26" x14ac:dyDescent="0.2">
      <c r="A729" s="4">
        <v>724</v>
      </c>
      <c r="D729" s="6" t="s">
        <v>950</v>
      </c>
      <c r="E729" s="6" t="s">
        <v>1215</v>
      </c>
      <c r="G729" s="4" t="s">
        <v>24</v>
      </c>
      <c r="H729" s="4" t="s">
        <v>1556</v>
      </c>
      <c r="I729" s="2" t="s">
        <v>1280</v>
      </c>
      <c r="J729" s="2" t="s">
        <v>59</v>
      </c>
      <c r="K729" s="3" t="s">
        <v>1279</v>
      </c>
      <c r="N729" s="4" t="s">
        <v>1431</v>
      </c>
      <c r="O729" s="4" t="s">
        <v>1555</v>
      </c>
      <c r="P729" s="2" t="s">
        <v>1277</v>
      </c>
      <c r="Q729" s="2" t="s">
        <v>1276</v>
      </c>
      <c r="R729" s="3" t="s">
        <v>1275</v>
      </c>
      <c r="U729" s="4" t="s">
        <v>1428</v>
      </c>
      <c r="V729" s="4" t="s">
        <v>1554</v>
      </c>
      <c r="W729" s="2" t="s">
        <v>1273</v>
      </c>
      <c r="X729" s="2" t="s">
        <v>1272</v>
      </c>
      <c r="Y729" s="3" t="s">
        <v>1271</v>
      </c>
    </row>
    <row r="730" spans="1:26" ht="38.25" x14ac:dyDescent="0.2">
      <c r="A730" s="4">
        <v>725</v>
      </c>
      <c r="D730" s="6" t="s">
        <v>950</v>
      </c>
      <c r="E730" s="6" t="s">
        <v>1215</v>
      </c>
      <c r="G730" s="4" t="s">
        <v>24</v>
      </c>
      <c r="H730" s="4" t="s">
        <v>1556</v>
      </c>
      <c r="I730" s="2" t="s">
        <v>1445</v>
      </c>
      <c r="J730" s="2" t="s">
        <v>1255</v>
      </c>
      <c r="N730" s="4" t="s">
        <v>1431</v>
      </c>
      <c r="O730" s="4" t="s">
        <v>1555</v>
      </c>
      <c r="P730" s="2" t="s">
        <v>1443</v>
      </c>
      <c r="Q730" s="2" t="s">
        <v>1252</v>
      </c>
      <c r="S730" s="2" t="s">
        <v>1448</v>
      </c>
      <c r="U730" s="4" t="s">
        <v>1428</v>
      </c>
      <c r="V730" s="4" t="s">
        <v>1554</v>
      </c>
      <c r="W730" s="2" t="s">
        <v>1441</v>
      </c>
      <c r="X730" s="2" t="s">
        <v>1252</v>
      </c>
      <c r="Z730" s="2" t="s">
        <v>1447</v>
      </c>
    </row>
    <row r="731" spans="1:26" x14ac:dyDescent="0.2">
      <c r="A731" s="4">
        <v>726</v>
      </c>
      <c r="C731" s="6" t="s">
        <v>950</v>
      </c>
      <c r="E731" s="6" t="s">
        <v>1215</v>
      </c>
      <c r="G731" s="4" t="s">
        <v>24</v>
      </c>
      <c r="H731" s="4" t="s">
        <v>598</v>
      </c>
      <c r="I731" s="2" t="s">
        <v>1553</v>
      </c>
      <c r="J731" s="2" t="s">
        <v>1526</v>
      </c>
      <c r="L731" s="19" t="s">
        <v>2892</v>
      </c>
      <c r="N731" s="4" t="s">
        <v>1431</v>
      </c>
      <c r="O731" s="4" t="s">
        <v>1547</v>
      </c>
      <c r="P731" s="2" t="s">
        <v>1552</v>
      </c>
      <c r="Q731" s="2" t="s">
        <v>1524</v>
      </c>
      <c r="S731" s="19" t="s">
        <v>2893</v>
      </c>
      <c r="U731" s="4" t="s">
        <v>1428</v>
      </c>
      <c r="V731" s="4" t="s">
        <v>1546</v>
      </c>
      <c r="W731" s="2" t="s">
        <v>1551</v>
      </c>
      <c r="X731" s="2" t="s">
        <v>1522</v>
      </c>
      <c r="Z731" s="19" t="s">
        <v>2894</v>
      </c>
    </row>
    <row r="732" spans="1:26" ht="63.75" x14ac:dyDescent="0.2">
      <c r="A732" s="4">
        <v>727</v>
      </c>
      <c r="E732" s="6" t="s">
        <v>1215</v>
      </c>
      <c r="G732" s="4" t="s">
        <v>24</v>
      </c>
      <c r="H732" s="4" t="s">
        <v>598</v>
      </c>
      <c r="I732" s="2" t="s">
        <v>1550</v>
      </c>
      <c r="J732" s="2" t="s">
        <v>1549</v>
      </c>
      <c r="N732" s="4" t="s">
        <v>1431</v>
      </c>
      <c r="O732" s="4" t="s">
        <v>1547</v>
      </c>
      <c r="P732" s="2" t="s">
        <v>123</v>
      </c>
      <c r="Q732" s="2" t="s">
        <v>1548</v>
      </c>
      <c r="U732" s="4" t="s">
        <v>1428</v>
      </c>
      <c r="V732" s="4" t="s">
        <v>1546</v>
      </c>
      <c r="W732" s="2" t="s">
        <v>1247</v>
      </c>
      <c r="X732" s="2" t="s">
        <v>1548</v>
      </c>
    </row>
    <row r="733" spans="1:26" x14ac:dyDescent="0.2">
      <c r="A733" s="4">
        <v>728</v>
      </c>
      <c r="B733" s="6" t="s">
        <v>1221</v>
      </c>
      <c r="C733" s="6" t="s">
        <v>950</v>
      </c>
      <c r="E733" s="6" t="s">
        <v>1215</v>
      </c>
      <c r="G733" s="4" t="s">
        <v>24</v>
      </c>
      <c r="H733" s="4" t="s">
        <v>642</v>
      </c>
      <c r="I733" s="2" t="s">
        <v>1545</v>
      </c>
      <c r="J733" s="2" t="s">
        <v>1526</v>
      </c>
      <c r="L733" s="19" t="s">
        <v>2895</v>
      </c>
      <c r="N733" s="4" t="s">
        <v>1431</v>
      </c>
      <c r="O733" s="4" t="s">
        <v>1534</v>
      </c>
      <c r="P733" s="2" t="s">
        <v>1544</v>
      </c>
      <c r="Q733" s="2" t="s">
        <v>1524</v>
      </c>
      <c r="S733" s="19" t="s">
        <v>2896</v>
      </c>
      <c r="U733" s="4" t="s">
        <v>1428</v>
      </c>
      <c r="V733" s="4" t="s">
        <v>1532</v>
      </c>
      <c r="W733" s="2" t="s">
        <v>1543</v>
      </c>
      <c r="X733" s="2" t="s">
        <v>1522</v>
      </c>
      <c r="Z733" s="19" t="s">
        <v>2897</v>
      </c>
    </row>
    <row r="734" spans="1:26" ht="38.25" x14ac:dyDescent="0.2">
      <c r="A734" s="4">
        <v>729</v>
      </c>
      <c r="E734" s="6" t="s">
        <v>1215</v>
      </c>
      <c r="G734" s="4" t="s">
        <v>24</v>
      </c>
      <c r="H734" s="4" t="s">
        <v>642</v>
      </c>
      <c r="I734" s="2" t="s">
        <v>123</v>
      </c>
      <c r="J734" s="2" t="s">
        <v>1267</v>
      </c>
      <c r="N734" s="4" t="s">
        <v>1431</v>
      </c>
      <c r="O734" s="4" t="s">
        <v>1534</v>
      </c>
      <c r="P734" s="2" t="s">
        <v>123</v>
      </c>
      <c r="Q734" s="2" t="s">
        <v>1266</v>
      </c>
      <c r="U734" s="4" t="s">
        <v>1428</v>
      </c>
      <c r="V734" s="4" t="s">
        <v>1532</v>
      </c>
      <c r="W734" s="2" t="s">
        <v>1247</v>
      </c>
      <c r="X734" s="2" t="s">
        <v>1266</v>
      </c>
    </row>
    <row r="735" spans="1:26" ht="38.25" x14ac:dyDescent="0.2">
      <c r="A735" s="4">
        <v>730</v>
      </c>
      <c r="D735" s="6" t="s">
        <v>950</v>
      </c>
      <c r="E735" s="6" t="s">
        <v>1215</v>
      </c>
      <c r="G735" s="4" t="s">
        <v>24</v>
      </c>
      <c r="H735" s="4" t="s">
        <v>642</v>
      </c>
      <c r="I735" s="2" t="s">
        <v>1542</v>
      </c>
      <c r="J735" s="2" t="s">
        <v>1220</v>
      </c>
      <c r="L735" s="19" t="s">
        <v>2898</v>
      </c>
      <c r="N735" s="4" t="s">
        <v>1431</v>
      </c>
      <c r="O735" s="4" t="s">
        <v>1534</v>
      </c>
      <c r="P735" s="2" t="s">
        <v>1541</v>
      </c>
      <c r="Q735" s="2" t="s">
        <v>1218</v>
      </c>
      <c r="S735" s="19" t="s">
        <v>2899</v>
      </c>
      <c r="U735" s="4" t="s">
        <v>1428</v>
      </c>
      <c r="V735" s="4" t="s">
        <v>1532</v>
      </c>
      <c r="W735" s="2" t="s">
        <v>1540</v>
      </c>
      <c r="X735" s="2" t="s">
        <v>1218</v>
      </c>
      <c r="Z735" s="19" t="s">
        <v>2900</v>
      </c>
    </row>
    <row r="736" spans="1:26" ht="25.5" x14ac:dyDescent="0.2">
      <c r="A736" s="4">
        <v>731</v>
      </c>
      <c r="B736" s="6" t="s">
        <v>1221</v>
      </c>
      <c r="E736" s="6" t="s">
        <v>1215</v>
      </c>
      <c r="G736" s="4" t="s">
        <v>24</v>
      </c>
      <c r="H736" s="4" t="s">
        <v>642</v>
      </c>
      <c r="I736" s="2" t="s">
        <v>1539</v>
      </c>
      <c r="J736" s="2" t="s">
        <v>1537</v>
      </c>
      <c r="L736" s="19" t="s">
        <v>2901</v>
      </c>
      <c r="N736" s="4" t="s">
        <v>1431</v>
      </c>
      <c r="O736" s="4" t="s">
        <v>1534</v>
      </c>
      <c r="P736" s="2" t="s">
        <v>1538</v>
      </c>
      <c r="Q736" s="2" t="s">
        <v>1537</v>
      </c>
      <c r="S736" s="19" t="s">
        <v>2902</v>
      </c>
      <c r="U736" s="4" t="s">
        <v>1428</v>
      </c>
      <c r="V736" s="4" t="s">
        <v>1532</v>
      </c>
      <c r="W736" s="2" t="s">
        <v>1536</v>
      </c>
      <c r="X736" s="2" t="s">
        <v>1535</v>
      </c>
      <c r="Z736" s="19" t="s">
        <v>2903</v>
      </c>
    </row>
    <row r="737" spans="1:26" x14ac:dyDescent="0.2">
      <c r="A737" s="4">
        <v>732</v>
      </c>
      <c r="E737" s="6" t="s">
        <v>1215</v>
      </c>
      <c r="G737" s="4" t="s">
        <v>24</v>
      </c>
      <c r="H737" s="4" t="s">
        <v>642</v>
      </c>
      <c r="I737" s="2" t="s">
        <v>643</v>
      </c>
      <c r="J737" s="2" t="s">
        <v>1509</v>
      </c>
      <c r="N737" s="4" t="s">
        <v>1431</v>
      </c>
      <c r="O737" s="4" t="s">
        <v>1534</v>
      </c>
      <c r="P737" s="2" t="s">
        <v>1533</v>
      </c>
      <c r="Q737" s="2" t="s">
        <v>1507</v>
      </c>
      <c r="U737" s="4" t="s">
        <v>1428</v>
      </c>
      <c r="V737" s="4" t="s">
        <v>1532</v>
      </c>
      <c r="W737" s="2" t="s">
        <v>1531</v>
      </c>
      <c r="X737" s="2" t="s">
        <v>1505</v>
      </c>
    </row>
    <row r="738" spans="1:26" ht="25.5" x14ac:dyDescent="0.2">
      <c r="A738" s="4">
        <v>733</v>
      </c>
      <c r="C738" s="6" t="s">
        <v>950</v>
      </c>
      <c r="E738" s="6" t="s">
        <v>1215</v>
      </c>
      <c r="G738" s="4" t="s">
        <v>24</v>
      </c>
      <c r="H738" s="4" t="s">
        <v>677</v>
      </c>
      <c r="I738" s="2" t="s">
        <v>969</v>
      </c>
      <c r="J738" s="2" t="s">
        <v>1530</v>
      </c>
      <c r="L738" s="2" t="s">
        <v>1228</v>
      </c>
      <c r="N738" s="4" t="s">
        <v>1431</v>
      </c>
      <c r="O738" s="4" t="s">
        <v>1480</v>
      </c>
      <c r="P738" s="2" t="s">
        <v>1319</v>
      </c>
      <c r="Q738" s="2" t="s">
        <v>1529</v>
      </c>
      <c r="S738" s="2" t="s">
        <v>1225</v>
      </c>
      <c r="U738" s="4" t="s">
        <v>1428</v>
      </c>
      <c r="V738" s="4" t="s">
        <v>1478</v>
      </c>
      <c r="W738" s="2" t="s">
        <v>1319</v>
      </c>
      <c r="X738" s="2" t="s">
        <v>1528</v>
      </c>
      <c r="Z738" s="2" t="s">
        <v>1222</v>
      </c>
    </row>
    <row r="739" spans="1:26" x14ac:dyDescent="0.2">
      <c r="A739" s="4">
        <v>734</v>
      </c>
      <c r="C739" s="6" t="s">
        <v>950</v>
      </c>
      <c r="D739" s="6" t="s">
        <v>950</v>
      </c>
      <c r="E739" s="6" t="s">
        <v>1215</v>
      </c>
      <c r="G739" s="4" t="s">
        <v>24</v>
      </c>
      <c r="H739" s="4" t="s">
        <v>677</v>
      </c>
      <c r="I739" s="2" t="s">
        <v>1527</v>
      </c>
      <c r="J739" s="2" t="s">
        <v>1526</v>
      </c>
      <c r="L739" s="2" t="s">
        <v>1521</v>
      </c>
      <c r="N739" s="4" t="s">
        <v>1431</v>
      </c>
      <c r="O739" s="4" t="s">
        <v>1480</v>
      </c>
      <c r="P739" s="2" t="s">
        <v>1525</v>
      </c>
      <c r="Q739" s="2" t="s">
        <v>1524</v>
      </c>
      <c r="S739" s="2" t="s">
        <v>1520</v>
      </c>
      <c r="U739" s="4" t="s">
        <v>1428</v>
      </c>
      <c r="V739" s="4" t="s">
        <v>1478</v>
      </c>
      <c r="W739" s="2" t="s">
        <v>1523</v>
      </c>
      <c r="X739" s="2" t="s">
        <v>1522</v>
      </c>
      <c r="Z739" s="2" t="s">
        <v>1519</v>
      </c>
    </row>
    <row r="740" spans="1:26" ht="25.5" x14ac:dyDescent="0.2">
      <c r="A740" s="4">
        <v>735</v>
      </c>
      <c r="E740" s="6" t="s">
        <v>1215</v>
      </c>
      <c r="G740" s="4" t="s">
        <v>24</v>
      </c>
      <c r="H740" s="4" t="s">
        <v>677</v>
      </c>
      <c r="I740" s="2" t="s">
        <v>1518</v>
      </c>
      <c r="J740" s="2" t="s">
        <v>1517</v>
      </c>
      <c r="N740" s="4" t="s">
        <v>1431</v>
      </c>
      <c r="O740" s="4" t="s">
        <v>1480</v>
      </c>
      <c r="P740" s="2" t="s">
        <v>769</v>
      </c>
      <c r="Q740" s="2" t="s">
        <v>1516</v>
      </c>
      <c r="U740" s="4" t="s">
        <v>1428</v>
      </c>
      <c r="V740" s="4" t="s">
        <v>1478</v>
      </c>
      <c r="W740" s="2" t="s">
        <v>1515</v>
      </c>
      <c r="X740" s="2" t="s">
        <v>1514</v>
      </c>
    </row>
    <row r="741" spans="1:26" x14ac:dyDescent="0.2">
      <c r="A741" s="4">
        <v>736</v>
      </c>
      <c r="E741" s="6" t="s">
        <v>1215</v>
      </c>
      <c r="G741" s="4" t="s">
        <v>24</v>
      </c>
      <c r="H741" s="4" t="s">
        <v>677</v>
      </c>
      <c r="I741" s="2" t="s">
        <v>666</v>
      </c>
      <c r="J741" s="2" t="s">
        <v>1509</v>
      </c>
      <c r="N741" s="4" t="s">
        <v>1431</v>
      </c>
      <c r="O741" s="4" t="s">
        <v>1480</v>
      </c>
      <c r="P741" s="2" t="s">
        <v>1513</v>
      </c>
      <c r="Q741" s="2" t="s">
        <v>1507</v>
      </c>
      <c r="U741" s="4" t="s">
        <v>1428</v>
      </c>
      <c r="V741" s="4" t="s">
        <v>1478</v>
      </c>
      <c r="W741" s="2" t="s">
        <v>1512</v>
      </c>
      <c r="X741" s="2" t="s">
        <v>1505</v>
      </c>
    </row>
    <row r="742" spans="1:26" x14ac:dyDescent="0.2">
      <c r="A742" s="4">
        <v>737</v>
      </c>
      <c r="E742" s="6" t="s">
        <v>1215</v>
      </c>
      <c r="G742" s="4" t="s">
        <v>24</v>
      </c>
      <c r="H742" s="4" t="s">
        <v>677</v>
      </c>
      <c r="I742" s="2" t="s">
        <v>669</v>
      </c>
      <c r="J742" s="2" t="s">
        <v>1509</v>
      </c>
      <c r="N742" s="4" t="s">
        <v>1431</v>
      </c>
      <c r="O742" s="4" t="s">
        <v>1480</v>
      </c>
      <c r="P742" s="2" t="s">
        <v>1511</v>
      </c>
      <c r="Q742" s="2" t="s">
        <v>1507</v>
      </c>
      <c r="U742" s="4" t="s">
        <v>1428</v>
      </c>
      <c r="V742" s="4" t="s">
        <v>1478</v>
      </c>
      <c r="W742" s="2" t="s">
        <v>1510</v>
      </c>
      <c r="X742" s="2" t="s">
        <v>1505</v>
      </c>
    </row>
    <row r="743" spans="1:26" ht="25.5" x14ac:dyDescent="0.2">
      <c r="A743" s="4">
        <v>738</v>
      </c>
      <c r="E743" s="6" t="s">
        <v>1215</v>
      </c>
      <c r="G743" s="4" t="s">
        <v>24</v>
      </c>
      <c r="H743" s="4" t="s">
        <v>677</v>
      </c>
      <c r="I743" s="2" t="s">
        <v>663</v>
      </c>
      <c r="J743" s="2" t="s">
        <v>1509</v>
      </c>
      <c r="N743" s="4" t="s">
        <v>1431</v>
      </c>
      <c r="O743" s="4" t="s">
        <v>1480</v>
      </c>
      <c r="P743" s="2" t="s">
        <v>1508</v>
      </c>
      <c r="Q743" s="2" t="s">
        <v>1507</v>
      </c>
      <c r="U743" s="4" t="s">
        <v>1428</v>
      </c>
      <c r="V743" s="4" t="s">
        <v>1478</v>
      </c>
      <c r="W743" s="2" t="s">
        <v>1506</v>
      </c>
      <c r="X743" s="2" t="s">
        <v>1505</v>
      </c>
    </row>
    <row r="744" spans="1:26" ht="25.5" x14ac:dyDescent="0.2">
      <c r="A744" s="4">
        <v>739</v>
      </c>
      <c r="E744" s="6" t="s">
        <v>1215</v>
      </c>
      <c r="G744" s="4" t="s">
        <v>24</v>
      </c>
      <c r="H744" s="4" t="s">
        <v>677</v>
      </c>
      <c r="I744" s="2" t="s">
        <v>1504</v>
      </c>
      <c r="J744" s="2" t="s">
        <v>1220</v>
      </c>
      <c r="L744" s="2" t="s">
        <v>1503</v>
      </c>
      <c r="N744" s="4" t="s">
        <v>1431</v>
      </c>
      <c r="O744" s="4" t="s">
        <v>1480</v>
      </c>
      <c r="P744" s="2" t="s">
        <v>1219</v>
      </c>
      <c r="Q744" s="2" t="s">
        <v>1218</v>
      </c>
      <c r="S744" s="2" t="s">
        <v>1502</v>
      </c>
      <c r="U744" s="4" t="s">
        <v>1428</v>
      </c>
      <c r="V744" s="4" t="s">
        <v>1478</v>
      </c>
      <c r="W744" s="2" t="s">
        <v>1219</v>
      </c>
      <c r="X744" s="2" t="s">
        <v>1218</v>
      </c>
      <c r="Z744" s="2" t="s">
        <v>1501</v>
      </c>
    </row>
    <row r="745" spans="1:26" ht="51" x14ac:dyDescent="0.2">
      <c r="A745" s="4">
        <v>740</v>
      </c>
      <c r="D745" s="6" t="s">
        <v>950</v>
      </c>
      <c r="E745" s="6" t="s">
        <v>1215</v>
      </c>
      <c r="G745" s="4" t="s">
        <v>24</v>
      </c>
      <c r="H745" s="4" t="s">
        <v>677</v>
      </c>
      <c r="I745" s="2" t="s">
        <v>1500</v>
      </c>
      <c r="J745" s="2" t="s">
        <v>1498</v>
      </c>
      <c r="L745" s="19" t="s">
        <v>2904</v>
      </c>
      <c r="N745" s="4" t="s">
        <v>1431</v>
      </c>
      <c r="O745" s="4" t="s">
        <v>1480</v>
      </c>
      <c r="P745" s="2" t="s">
        <v>1499</v>
      </c>
      <c r="Q745" s="2" t="s">
        <v>1498</v>
      </c>
      <c r="S745" s="19" t="s">
        <v>2905</v>
      </c>
      <c r="U745" s="4" t="s">
        <v>1428</v>
      </c>
      <c r="V745" s="4" t="s">
        <v>1478</v>
      </c>
      <c r="W745" s="2" t="s">
        <v>1497</v>
      </c>
      <c r="X745" s="2" t="s">
        <v>1496</v>
      </c>
      <c r="Z745" s="19" t="s">
        <v>2906</v>
      </c>
    </row>
    <row r="746" spans="1:26" ht="114.75" x14ac:dyDescent="0.2">
      <c r="A746" s="4">
        <v>741</v>
      </c>
      <c r="D746" s="6" t="s">
        <v>950</v>
      </c>
      <c r="E746" s="6" t="s">
        <v>1215</v>
      </c>
      <c r="G746" s="4" t="s">
        <v>24</v>
      </c>
      <c r="H746" s="4" t="s">
        <v>677</v>
      </c>
      <c r="I746" s="2" t="s">
        <v>678</v>
      </c>
      <c r="J746" s="2" t="s">
        <v>951</v>
      </c>
      <c r="L746" s="19" t="s">
        <v>2907</v>
      </c>
      <c r="N746" s="4" t="s">
        <v>1431</v>
      </c>
      <c r="O746" s="4" t="s">
        <v>1480</v>
      </c>
      <c r="P746" s="2" t="s">
        <v>1495</v>
      </c>
      <c r="Q746" s="2" t="s">
        <v>951</v>
      </c>
      <c r="S746" s="19" t="s">
        <v>2908</v>
      </c>
      <c r="U746" s="4" t="s">
        <v>1428</v>
      </c>
      <c r="V746" s="4" t="s">
        <v>1478</v>
      </c>
      <c r="W746" s="2" t="s">
        <v>1494</v>
      </c>
      <c r="X746" s="2" t="s">
        <v>951</v>
      </c>
      <c r="Z746" s="19" t="s">
        <v>2909</v>
      </c>
    </row>
    <row r="747" spans="1:26" ht="51" x14ac:dyDescent="0.2">
      <c r="A747" s="4">
        <v>742</v>
      </c>
      <c r="E747" s="6" t="s">
        <v>1215</v>
      </c>
      <c r="G747" s="4" t="s">
        <v>24</v>
      </c>
      <c r="H747" s="4" t="s">
        <v>677</v>
      </c>
      <c r="I747" s="2" t="s">
        <v>1493</v>
      </c>
      <c r="J747" s="2" t="s">
        <v>1492</v>
      </c>
      <c r="L747" s="19" t="s">
        <v>2910</v>
      </c>
      <c r="N747" s="4" t="s">
        <v>1431</v>
      </c>
      <c r="O747" s="4" t="s">
        <v>1480</v>
      </c>
      <c r="P747" s="2" t="s">
        <v>1491</v>
      </c>
      <c r="Q747" s="2" t="s">
        <v>1490</v>
      </c>
      <c r="S747" s="19" t="s">
        <v>2911</v>
      </c>
      <c r="U747" s="4" t="s">
        <v>1428</v>
      </c>
      <c r="V747" s="4" t="s">
        <v>1478</v>
      </c>
      <c r="W747" s="2" t="s">
        <v>1489</v>
      </c>
      <c r="X747" s="2" t="s">
        <v>1488</v>
      </c>
      <c r="Z747" s="19" t="s">
        <v>2912</v>
      </c>
    </row>
    <row r="748" spans="1:26" ht="25.5" x14ac:dyDescent="0.2">
      <c r="A748" s="4">
        <v>743</v>
      </c>
      <c r="D748" s="6" t="s">
        <v>950</v>
      </c>
      <c r="E748" s="6" t="s">
        <v>1215</v>
      </c>
      <c r="G748" s="4" t="s">
        <v>24</v>
      </c>
      <c r="H748" s="4" t="s">
        <v>677</v>
      </c>
      <c r="I748" s="2" t="s">
        <v>1485</v>
      </c>
      <c r="J748" s="2" t="s">
        <v>1482</v>
      </c>
      <c r="L748" s="2" t="s">
        <v>1487</v>
      </c>
      <c r="N748" s="4" t="s">
        <v>1431</v>
      </c>
      <c r="O748" s="4" t="s">
        <v>1480</v>
      </c>
      <c r="P748" s="2" t="s">
        <v>1484</v>
      </c>
      <c r="Q748" s="2" t="s">
        <v>1482</v>
      </c>
      <c r="S748" s="2" t="s">
        <v>2818</v>
      </c>
      <c r="U748" s="4" t="s">
        <v>1428</v>
      </c>
      <c r="V748" s="4" t="s">
        <v>1478</v>
      </c>
      <c r="W748" s="2" t="s">
        <v>1483</v>
      </c>
      <c r="X748" s="2" t="s">
        <v>1482</v>
      </c>
      <c r="Z748" s="2" t="s">
        <v>1486</v>
      </c>
    </row>
    <row r="749" spans="1:26" ht="38.25" x14ac:dyDescent="0.2">
      <c r="A749" s="4">
        <v>744</v>
      </c>
      <c r="D749" s="6" t="s">
        <v>950</v>
      </c>
      <c r="E749" s="6" t="s">
        <v>1215</v>
      </c>
      <c r="G749" s="4" t="s">
        <v>24</v>
      </c>
      <c r="H749" s="4" t="s">
        <v>677</v>
      </c>
      <c r="I749" s="2" t="s">
        <v>1481</v>
      </c>
      <c r="J749" s="2" t="s">
        <v>1476</v>
      </c>
      <c r="L749" s="19" t="s">
        <v>2913</v>
      </c>
      <c r="N749" s="4" t="s">
        <v>1431</v>
      </c>
      <c r="O749" s="4" t="s">
        <v>1480</v>
      </c>
      <c r="P749" s="2" t="s">
        <v>1479</v>
      </c>
      <c r="Q749" s="2" t="s">
        <v>1476</v>
      </c>
      <c r="S749" s="19" t="s">
        <v>2914</v>
      </c>
      <c r="U749" s="4" t="s">
        <v>1428</v>
      </c>
      <c r="V749" s="4" t="s">
        <v>1478</v>
      </c>
      <c r="W749" s="2" t="s">
        <v>1477</v>
      </c>
      <c r="X749" s="2" t="s">
        <v>1476</v>
      </c>
      <c r="Z749" s="19" t="s">
        <v>2915</v>
      </c>
    </row>
    <row r="750" spans="1:26" ht="25.5" x14ac:dyDescent="0.2">
      <c r="A750" s="4">
        <v>745</v>
      </c>
      <c r="C750" s="6" t="s">
        <v>950</v>
      </c>
      <c r="E750" s="6" t="s">
        <v>1215</v>
      </c>
      <c r="G750" s="4" t="s">
        <v>24</v>
      </c>
      <c r="H750" s="4" t="s">
        <v>1470</v>
      </c>
      <c r="I750" s="2" t="s">
        <v>1475</v>
      </c>
      <c r="J750" s="2" t="s">
        <v>1439</v>
      </c>
      <c r="L750" s="2" t="s">
        <v>1474</v>
      </c>
      <c r="N750" s="4" t="s">
        <v>1431</v>
      </c>
      <c r="O750" s="4" t="s">
        <v>1469</v>
      </c>
      <c r="P750" s="2" t="s">
        <v>1473</v>
      </c>
      <c r="Q750" s="2" t="s">
        <v>1437</v>
      </c>
      <c r="S750" s="2" t="s">
        <v>1225</v>
      </c>
      <c r="U750" s="4" t="s">
        <v>1428</v>
      </c>
      <c r="V750" s="4" t="s">
        <v>1468</v>
      </c>
      <c r="W750" s="2" t="s">
        <v>1472</v>
      </c>
      <c r="X750" s="2" t="s">
        <v>1435</v>
      </c>
      <c r="Z750" s="2" t="s">
        <v>1471</v>
      </c>
    </row>
    <row r="751" spans="1:26" x14ac:dyDescent="0.2">
      <c r="A751" s="4">
        <v>746</v>
      </c>
      <c r="E751" s="6" t="s">
        <v>1215</v>
      </c>
      <c r="G751" s="4" t="s">
        <v>24</v>
      </c>
      <c r="H751" s="4" t="s">
        <v>1470</v>
      </c>
      <c r="I751" s="2" t="s">
        <v>1219</v>
      </c>
      <c r="J751" s="2" t="s">
        <v>1220</v>
      </c>
      <c r="N751" s="4" t="s">
        <v>1431</v>
      </c>
      <c r="O751" s="4" t="s">
        <v>1469</v>
      </c>
      <c r="P751" s="2" t="s">
        <v>1219</v>
      </c>
      <c r="Q751" s="2" t="s">
        <v>1218</v>
      </c>
      <c r="U751" s="4" t="s">
        <v>1428</v>
      </c>
      <c r="V751" s="4" t="s">
        <v>1468</v>
      </c>
      <c r="W751" s="2" t="s">
        <v>1219</v>
      </c>
      <c r="X751" s="2" t="s">
        <v>1218</v>
      </c>
    </row>
    <row r="752" spans="1:26" x14ac:dyDescent="0.2">
      <c r="A752" s="4">
        <v>747</v>
      </c>
      <c r="D752" s="6" t="s">
        <v>950</v>
      </c>
      <c r="E752" s="6" t="s">
        <v>1215</v>
      </c>
      <c r="G752" s="4" t="s">
        <v>24</v>
      </c>
      <c r="H752" s="4" t="s">
        <v>1470</v>
      </c>
      <c r="I752" s="2" t="s">
        <v>1217</v>
      </c>
      <c r="J752" s="2" t="s">
        <v>933</v>
      </c>
      <c r="K752" s="3">
        <v>100</v>
      </c>
      <c r="N752" s="4" t="s">
        <v>1431</v>
      </c>
      <c r="O752" s="4" t="s">
        <v>1469</v>
      </c>
      <c r="P752" s="2" t="s">
        <v>1217</v>
      </c>
      <c r="Q752" s="2" t="s">
        <v>933</v>
      </c>
      <c r="R752" s="3">
        <v>100</v>
      </c>
      <c r="U752" s="4" t="s">
        <v>1428</v>
      </c>
      <c r="V752" s="4" t="s">
        <v>1468</v>
      </c>
      <c r="W752" s="2" t="s">
        <v>1217</v>
      </c>
      <c r="X752" s="2" t="s">
        <v>1216</v>
      </c>
      <c r="Y752" s="3">
        <v>100</v>
      </c>
    </row>
    <row r="753" spans="1:26" x14ac:dyDescent="0.2">
      <c r="A753" s="4">
        <v>748</v>
      </c>
      <c r="D753" s="6" t="s">
        <v>950</v>
      </c>
      <c r="E753" s="6" t="s">
        <v>1215</v>
      </c>
      <c r="G753" s="4" t="s">
        <v>24</v>
      </c>
      <c r="H753" s="4" t="s">
        <v>1470</v>
      </c>
      <c r="I753" s="2" t="s">
        <v>1285</v>
      </c>
      <c r="J753" s="2" t="s">
        <v>1199</v>
      </c>
      <c r="K753" s="3" t="s">
        <v>1284</v>
      </c>
      <c r="N753" s="4" t="s">
        <v>1431</v>
      </c>
      <c r="O753" s="4" t="s">
        <v>1469</v>
      </c>
      <c r="P753" s="2" t="s">
        <v>1285</v>
      </c>
      <c r="Q753" s="2" t="s">
        <v>1199</v>
      </c>
      <c r="R753" s="3" t="s">
        <v>1284</v>
      </c>
      <c r="U753" s="4" t="s">
        <v>1428</v>
      </c>
      <c r="V753" s="4" t="s">
        <v>1468</v>
      </c>
      <c r="W753" s="2" t="s">
        <v>1285</v>
      </c>
      <c r="X753" s="2" t="s">
        <v>1199</v>
      </c>
      <c r="Y753" s="3" t="s">
        <v>1284</v>
      </c>
    </row>
    <row r="754" spans="1:26" x14ac:dyDescent="0.2">
      <c r="A754" s="4">
        <v>749</v>
      </c>
      <c r="D754" s="6" t="s">
        <v>950</v>
      </c>
      <c r="E754" s="6" t="s">
        <v>1215</v>
      </c>
      <c r="G754" s="4" t="s">
        <v>24</v>
      </c>
      <c r="H754" s="4" t="s">
        <v>1470</v>
      </c>
      <c r="I754" s="2" t="s">
        <v>1283</v>
      </c>
      <c r="J754" s="2" t="s">
        <v>1200</v>
      </c>
      <c r="K754" s="3" t="s">
        <v>1282</v>
      </c>
      <c r="N754" s="4" t="s">
        <v>1431</v>
      </c>
      <c r="O754" s="4" t="s">
        <v>1469</v>
      </c>
      <c r="P754" s="2" t="s">
        <v>1283</v>
      </c>
      <c r="Q754" s="2" t="s">
        <v>1200</v>
      </c>
      <c r="R754" s="3" t="s">
        <v>1282</v>
      </c>
      <c r="U754" s="4" t="s">
        <v>1428</v>
      </c>
      <c r="V754" s="4" t="s">
        <v>1468</v>
      </c>
      <c r="W754" s="2" t="s">
        <v>1283</v>
      </c>
      <c r="X754" s="2" t="s">
        <v>1200</v>
      </c>
      <c r="Y754" s="3" t="s">
        <v>1282</v>
      </c>
    </row>
    <row r="755" spans="1:26" x14ac:dyDescent="0.2">
      <c r="A755" s="4">
        <v>750</v>
      </c>
      <c r="D755" s="6" t="s">
        <v>950</v>
      </c>
      <c r="E755" s="6" t="s">
        <v>1215</v>
      </c>
      <c r="G755" s="4" t="s">
        <v>24</v>
      </c>
      <c r="H755" s="4" t="s">
        <v>1470</v>
      </c>
      <c r="I755" s="2" t="s">
        <v>1280</v>
      </c>
      <c r="J755" s="2" t="s">
        <v>59</v>
      </c>
      <c r="K755" s="3" t="s">
        <v>1279</v>
      </c>
      <c r="N755" s="4" t="s">
        <v>1431</v>
      </c>
      <c r="O755" s="4" t="s">
        <v>1469</v>
      </c>
      <c r="P755" s="2" t="s">
        <v>1277</v>
      </c>
      <c r="Q755" s="2" t="s">
        <v>1276</v>
      </c>
      <c r="R755" s="3" t="s">
        <v>1275</v>
      </c>
      <c r="U755" s="4" t="s">
        <v>1428</v>
      </c>
      <c r="V755" s="4" t="s">
        <v>1468</v>
      </c>
      <c r="W755" s="2" t="s">
        <v>1273</v>
      </c>
      <c r="X755" s="2" t="s">
        <v>1272</v>
      </c>
      <c r="Y755" s="3" t="s">
        <v>1271</v>
      </c>
    </row>
    <row r="756" spans="1:26" x14ac:dyDescent="0.2">
      <c r="A756" s="4">
        <v>751</v>
      </c>
      <c r="B756" s="6" t="s">
        <v>1221</v>
      </c>
      <c r="C756" s="6" t="s">
        <v>950</v>
      </c>
      <c r="E756" s="6" t="s">
        <v>1215</v>
      </c>
      <c r="G756" s="4" t="s">
        <v>24</v>
      </c>
      <c r="H756" s="4" t="s">
        <v>679</v>
      </c>
      <c r="I756" s="2" t="s">
        <v>1467</v>
      </c>
      <c r="J756" s="2" t="s">
        <v>1439</v>
      </c>
      <c r="L756" s="2" t="s">
        <v>1228</v>
      </c>
      <c r="N756" s="4" t="s">
        <v>1431</v>
      </c>
      <c r="O756" s="4" t="s">
        <v>1458</v>
      </c>
      <c r="P756" s="2" t="s">
        <v>1466</v>
      </c>
      <c r="Q756" s="2" t="s">
        <v>1437</v>
      </c>
      <c r="S756" s="2" t="s">
        <v>1225</v>
      </c>
      <c r="U756" s="4" t="s">
        <v>1428</v>
      </c>
      <c r="V756" s="4" t="s">
        <v>1457</v>
      </c>
      <c r="W756" s="2" t="s">
        <v>1465</v>
      </c>
      <c r="X756" s="2" t="s">
        <v>1435</v>
      </c>
      <c r="Z756" s="2" t="s">
        <v>1222</v>
      </c>
    </row>
    <row r="757" spans="1:26" x14ac:dyDescent="0.2">
      <c r="A757" s="4">
        <v>752</v>
      </c>
      <c r="E757" s="6" t="s">
        <v>1215</v>
      </c>
      <c r="G757" s="4" t="s">
        <v>24</v>
      </c>
      <c r="H757" s="4" t="s">
        <v>679</v>
      </c>
      <c r="I757" s="2" t="s">
        <v>1434</v>
      </c>
      <c r="J757" s="2" t="s">
        <v>1168</v>
      </c>
      <c r="N757" s="4" t="s">
        <v>1431</v>
      </c>
      <c r="O757" s="4" t="s">
        <v>1458</v>
      </c>
      <c r="P757" s="2" t="s">
        <v>1433</v>
      </c>
      <c r="Q757" s="2" t="s">
        <v>1168</v>
      </c>
      <c r="U757" s="4" t="s">
        <v>1428</v>
      </c>
      <c r="V757" s="4" t="s">
        <v>1457</v>
      </c>
      <c r="W757" s="2" t="s">
        <v>1317</v>
      </c>
      <c r="X757" s="2" t="s">
        <v>1168</v>
      </c>
    </row>
    <row r="758" spans="1:26" x14ac:dyDescent="0.2">
      <c r="A758" s="4">
        <v>753</v>
      </c>
      <c r="D758" s="6" t="s">
        <v>950</v>
      </c>
      <c r="E758" s="6" t="s">
        <v>1215</v>
      </c>
      <c r="G758" s="4" t="s">
        <v>24</v>
      </c>
      <c r="H758" s="4" t="s">
        <v>679</v>
      </c>
      <c r="I758" s="2" t="s">
        <v>1464</v>
      </c>
      <c r="J758" s="2" t="s">
        <v>1172</v>
      </c>
      <c r="N758" s="4" t="s">
        <v>1431</v>
      </c>
      <c r="O758" s="4" t="s">
        <v>1458</v>
      </c>
      <c r="P758" s="2" t="s">
        <v>1463</v>
      </c>
      <c r="Q758" s="2" t="s">
        <v>1172</v>
      </c>
      <c r="U758" s="4" t="s">
        <v>1428</v>
      </c>
      <c r="V758" s="4" t="s">
        <v>1457</v>
      </c>
      <c r="W758" s="2" t="s">
        <v>1462</v>
      </c>
      <c r="X758" s="2" t="s">
        <v>1172</v>
      </c>
    </row>
    <row r="759" spans="1:26" x14ac:dyDescent="0.2">
      <c r="A759" s="4">
        <v>754</v>
      </c>
      <c r="D759" s="6" t="s">
        <v>950</v>
      </c>
      <c r="E759" s="6" t="s">
        <v>1215</v>
      </c>
      <c r="G759" s="4" t="s">
        <v>24</v>
      </c>
      <c r="H759" s="4" t="s">
        <v>679</v>
      </c>
      <c r="I759" s="2" t="s">
        <v>1461</v>
      </c>
      <c r="J759" s="2" t="s">
        <v>1173</v>
      </c>
      <c r="N759" s="4" t="s">
        <v>1431</v>
      </c>
      <c r="O759" s="4" t="s">
        <v>1458</v>
      </c>
      <c r="P759" s="2" t="s">
        <v>1460</v>
      </c>
      <c r="Q759" s="2" t="s">
        <v>1173</v>
      </c>
      <c r="U759" s="4" t="s">
        <v>1428</v>
      </c>
      <c r="V759" s="4" t="s">
        <v>1457</v>
      </c>
      <c r="W759" s="2" t="s">
        <v>1459</v>
      </c>
      <c r="X759" s="2" t="s">
        <v>1173</v>
      </c>
    </row>
    <row r="760" spans="1:26" x14ac:dyDescent="0.2">
      <c r="A760" s="4">
        <v>755</v>
      </c>
      <c r="B760" s="6" t="s">
        <v>1221</v>
      </c>
      <c r="E760" s="6" t="s">
        <v>1215</v>
      </c>
      <c r="G760" s="4" t="s">
        <v>24</v>
      </c>
      <c r="H760" s="4" t="s">
        <v>679</v>
      </c>
      <c r="I760" s="2" t="s">
        <v>611</v>
      </c>
      <c r="J760" s="2" t="s">
        <v>1432</v>
      </c>
      <c r="N760" s="4" t="s">
        <v>1431</v>
      </c>
      <c r="O760" s="4" t="s">
        <v>1458</v>
      </c>
      <c r="P760" s="2" t="s">
        <v>886</v>
      </c>
      <c r="Q760" s="2" t="s">
        <v>1429</v>
      </c>
      <c r="U760" s="4" t="s">
        <v>1428</v>
      </c>
      <c r="V760" s="4" t="s">
        <v>1457</v>
      </c>
      <c r="W760" s="2" t="s">
        <v>1426</v>
      </c>
      <c r="X760" s="2" t="s">
        <v>1425</v>
      </c>
    </row>
    <row r="761" spans="1:26" ht="25.5" x14ac:dyDescent="0.2">
      <c r="A761" s="4">
        <v>756</v>
      </c>
      <c r="C761" s="6" t="s">
        <v>950</v>
      </c>
      <c r="E761" s="6" t="s">
        <v>1215</v>
      </c>
      <c r="G761" s="4" t="s">
        <v>24</v>
      </c>
      <c r="H761" s="4" t="s">
        <v>1446</v>
      </c>
      <c r="I761" s="2" t="s">
        <v>1456</v>
      </c>
      <c r="J761" s="2" t="s">
        <v>1455</v>
      </c>
      <c r="L761" s="19" t="s">
        <v>2916</v>
      </c>
      <c r="N761" s="4" t="s">
        <v>1431</v>
      </c>
      <c r="O761" s="4" t="s">
        <v>1444</v>
      </c>
      <c r="P761" s="2" t="s">
        <v>1453</v>
      </c>
      <c r="Q761" s="2" t="s">
        <v>1452</v>
      </c>
      <c r="S761" s="2" t="s">
        <v>1451</v>
      </c>
      <c r="U761" s="4" t="s">
        <v>1428</v>
      </c>
      <c r="V761" s="4" t="s">
        <v>1442</v>
      </c>
      <c r="W761" s="2" t="s">
        <v>1450</v>
      </c>
      <c r="X761" s="2" t="s">
        <v>1449</v>
      </c>
      <c r="Z761" s="19" t="s">
        <v>2917</v>
      </c>
    </row>
    <row r="762" spans="1:26" x14ac:dyDescent="0.2">
      <c r="A762" s="4">
        <v>757</v>
      </c>
      <c r="E762" s="6" t="s">
        <v>1215</v>
      </c>
      <c r="G762" s="4" t="s">
        <v>24</v>
      </c>
      <c r="H762" s="4" t="s">
        <v>1446</v>
      </c>
      <c r="I762" s="2" t="s">
        <v>1219</v>
      </c>
      <c r="J762" s="2" t="s">
        <v>1220</v>
      </c>
      <c r="N762" s="4" t="s">
        <v>1431</v>
      </c>
      <c r="O762" s="4" t="s">
        <v>1444</v>
      </c>
      <c r="P762" s="2" t="s">
        <v>1219</v>
      </c>
      <c r="Q762" s="2" t="s">
        <v>1218</v>
      </c>
      <c r="U762" s="4" t="s">
        <v>1428</v>
      </c>
      <c r="V762" s="4" t="s">
        <v>1442</v>
      </c>
      <c r="W762" s="2" t="s">
        <v>1219</v>
      </c>
      <c r="X762" s="2" t="s">
        <v>1218</v>
      </c>
    </row>
    <row r="763" spans="1:26" x14ac:dyDescent="0.2">
      <c r="A763" s="4">
        <v>758</v>
      </c>
      <c r="D763" s="6" t="s">
        <v>950</v>
      </c>
      <c r="E763" s="6" t="s">
        <v>1215</v>
      </c>
      <c r="G763" s="4" t="s">
        <v>24</v>
      </c>
      <c r="H763" s="4" t="s">
        <v>1446</v>
      </c>
      <c r="I763" s="2" t="s">
        <v>1217</v>
      </c>
      <c r="J763" s="2" t="s">
        <v>933</v>
      </c>
      <c r="K763" s="3">
        <v>100</v>
      </c>
      <c r="N763" s="4" t="s">
        <v>1431</v>
      </c>
      <c r="O763" s="4" t="s">
        <v>1444</v>
      </c>
      <c r="P763" s="2" t="s">
        <v>1217</v>
      </c>
      <c r="Q763" s="2" t="s">
        <v>933</v>
      </c>
      <c r="R763" s="3">
        <v>100</v>
      </c>
      <c r="U763" s="4" t="s">
        <v>1428</v>
      </c>
      <c r="V763" s="4" t="s">
        <v>1442</v>
      </c>
      <c r="W763" s="2" t="s">
        <v>1217</v>
      </c>
      <c r="X763" s="2" t="s">
        <v>1216</v>
      </c>
      <c r="Y763" s="3">
        <v>100</v>
      </c>
    </row>
    <row r="764" spans="1:26" x14ac:dyDescent="0.2">
      <c r="A764" s="4">
        <v>759</v>
      </c>
      <c r="D764" s="6" t="s">
        <v>950</v>
      </c>
      <c r="E764" s="6" t="s">
        <v>1215</v>
      </c>
      <c r="G764" s="4" t="s">
        <v>24</v>
      </c>
      <c r="H764" s="4" t="s">
        <v>1446</v>
      </c>
      <c r="I764" s="2" t="s">
        <v>1285</v>
      </c>
      <c r="J764" s="2" t="s">
        <v>1199</v>
      </c>
      <c r="K764" s="3" t="s">
        <v>1284</v>
      </c>
      <c r="N764" s="4" t="s">
        <v>1431</v>
      </c>
      <c r="O764" s="4" t="s">
        <v>1444</v>
      </c>
      <c r="P764" s="2" t="s">
        <v>1285</v>
      </c>
      <c r="Q764" s="2" t="s">
        <v>1199</v>
      </c>
      <c r="R764" s="3" t="s">
        <v>1284</v>
      </c>
      <c r="U764" s="4" t="s">
        <v>1428</v>
      </c>
      <c r="V764" s="4" t="s">
        <v>1442</v>
      </c>
      <c r="W764" s="2" t="s">
        <v>1285</v>
      </c>
      <c r="X764" s="2" t="s">
        <v>1199</v>
      </c>
      <c r="Y764" s="3" t="s">
        <v>1284</v>
      </c>
    </row>
    <row r="765" spans="1:26" x14ac:dyDescent="0.2">
      <c r="A765" s="4">
        <v>760</v>
      </c>
      <c r="D765" s="6" t="s">
        <v>950</v>
      </c>
      <c r="E765" s="6" t="s">
        <v>1215</v>
      </c>
      <c r="G765" s="4" t="s">
        <v>24</v>
      </c>
      <c r="H765" s="4" t="s">
        <v>1446</v>
      </c>
      <c r="I765" s="2" t="s">
        <v>1283</v>
      </c>
      <c r="J765" s="2" t="s">
        <v>1200</v>
      </c>
      <c r="K765" s="3" t="s">
        <v>1282</v>
      </c>
      <c r="N765" s="4" t="s">
        <v>1431</v>
      </c>
      <c r="O765" s="4" t="s">
        <v>1444</v>
      </c>
      <c r="P765" s="2" t="s">
        <v>1283</v>
      </c>
      <c r="Q765" s="2" t="s">
        <v>1200</v>
      </c>
      <c r="R765" s="3" t="s">
        <v>1282</v>
      </c>
      <c r="U765" s="4" t="s">
        <v>1428</v>
      </c>
      <c r="V765" s="4" t="s">
        <v>1442</v>
      </c>
      <c r="W765" s="2" t="s">
        <v>1283</v>
      </c>
      <c r="X765" s="2" t="s">
        <v>1200</v>
      </c>
      <c r="Y765" s="3" t="s">
        <v>1282</v>
      </c>
    </row>
    <row r="766" spans="1:26" x14ac:dyDescent="0.2">
      <c r="A766" s="4">
        <v>761</v>
      </c>
      <c r="D766" s="6" t="s">
        <v>950</v>
      </c>
      <c r="E766" s="6" t="s">
        <v>1215</v>
      </c>
      <c r="G766" s="4" t="s">
        <v>24</v>
      </c>
      <c r="H766" s="4" t="s">
        <v>1446</v>
      </c>
      <c r="I766" s="2" t="s">
        <v>1280</v>
      </c>
      <c r="J766" s="2" t="s">
        <v>59</v>
      </c>
      <c r="K766" s="3" t="s">
        <v>1279</v>
      </c>
      <c r="N766" s="4" t="s">
        <v>1431</v>
      </c>
      <c r="O766" s="4" t="s">
        <v>1444</v>
      </c>
      <c r="P766" s="2" t="s">
        <v>1277</v>
      </c>
      <c r="Q766" s="2" t="s">
        <v>1276</v>
      </c>
      <c r="R766" s="3" t="s">
        <v>1275</v>
      </c>
      <c r="U766" s="4" t="s">
        <v>1428</v>
      </c>
      <c r="V766" s="4" t="s">
        <v>1442</v>
      </c>
      <c r="W766" s="2" t="s">
        <v>1273</v>
      </c>
      <c r="X766" s="2" t="s">
        <v>1272</v>
      </c>
      <c r="Y766" s="3" t="s">
        <v>1271</v>
      </c>
    </row>
    <row r="767" spans="1:26" ht="38.25" x14ac:dyDescent="0.2">
      <c r="A767" s="4">
        <v>762</v>
      </c>
      <c r="D767" s="6" t="s">
        <v>950</v>
      </c>
      <c r="E767" s="6" t="s">
        <v>1215</v>
      </c>
      <c r="G767" s="4" t="s">
        <v>24</v>
      </c>
      <c r="H767" s="4" t="s">
        <v>1446</v>
      </c>
      <c r="I767" s="2" t="s">
        <v>1445</v>
      </c>
      <c r="J767" s="2" t="s">
        <v>1255</v>
      </c>
      <c r="N767" s="4" t="s">
        <v>1431</v>
      </c>
      <c r="O767" s="4" t="s">
        <v>1444</v>
      </c>
      <c r="P767" s="2" t="s">
        <v>1443</v>
      </c>
      <c r="Q767" s="2" t="s">
        <v>1252</v>
      </c>
      <c r="S767" s="2" t="s">
        <v>1448</v>
      </c>
      <c r="U767" s="4" t="s">
        <v>1428</v>
      </c>
      <c r="V767" s="4" t="s">
        <v>1442</v>
      </c>
      <c r="W767" s="2" t="s">
        <v>1441</v>
      </c>
      <c r="X767" s="2" t="s">
        <v>1252</v>
      </c>
      <c r="Z767" s="2" t="s">
        <v>1447</v>
      </c>
    </row>
    <row r="768" spans="1:26" ht="25.5" x14ac:dyDescent="0.2">
      <c r="A768" s="4">
        <v>763</v>
      </c>
      <c r="B768" s="6" t="s">
        <v>1221</v>
      </c>
      <c r="C768" s="6" t="s">
        <v>950</v>
      </c>
      <c r="E768" s="6" t="s">
        <v>1215</v>
      </c>
      <c r="G768" s="4" t="s">
        <v>24</v>
      </c>
      <c r="H768" s="4" t="s">
        <v>681</v>
      </c>
      <c r="I768" s="2" t="s">
        <v>1440</v>
      </c>
      <c r="J768" s="2" t="s">
        <v>1439</v>
      </c>
      <c r="L768" s="2" t="s">
        <v>1228</v>
      </c>
      <c r="N768" s="4" t="s">
        <v>1431</v>
      </c>
      <c r="O768" s="4" t="s">
        <v>1430</v>
      </c>
      <c r="P768" s="2" t="s">
        <v>1438</v>
      </c>
      <c r="Q768" s="2" t="s">
        <v>1437</v>
      </c>
      <c r="S768" s="2" t="s">
        <v>1225</v>
      </c>
      <c r="U768" s="4" t="s">
        <v>1428</v>
      </c>
      <c r="V768" s="4" t="s">
        <v>1427</v>
      </c>
      <c r="W768" s="2" t="s">
        <v>1436</v>
      </c>
      <c r="X768" s="2" t="s">
        <v>1435</v>
      </c>
      <c r="Z768" s="2" t="s">
        <v>1222</v>
      </c>
    </row>
    <row r="769" spans="1:26" x14ac:dyDescent="0.2">
      <c r="A769" s="4">
        <v>764</v>
      </c>
      <c r="E769" s="6" t="s">
        <v>1215</v>
      </c>
      <c r="G769" s="4" t="s">
        <v>24</v>
      </c>
      <c r="H769" s="4" t="s">
        <v>681</v>
      </c>
      <c r="I769" s="2" t="s">
        <v>1434</v>
      </c>
      <c r="J769" s="2" t="s">
        <v>1184</v>
      </c>
      <c r="N769" s="4" t="s">
        <v>1431</v>
      </c>
      <c r="O769" s="4" t="s">
        <v>1430</v>
      </c>
      <c r="P769" s="2" t="s">
        <v>1433</v>
      </c>
      <c r="Q769" s="2" t="s">
        <v>1184</v>
      </c>
      <c r="U769" s="4" t="s">
        <v>1428</v>
      </c>
      <c r="V769" s="4" t="s">
        <v>1427</v>
      </c>
      <c r="W769" s="2" t="s">
        <v>1317</v>
      </c>
      <c r="X769" s="2" t="s">
        <v>1184</v>
      </c>
    </row>
    <row r="770" spans="1:26" x14ac:dyDescent="0.2">
      <c r="A770" s="4">
        <v>765</v>
      </c>
      <c r="B770" s="6" t="s">
        <v>1221</v>
      </c>
      <c r="E770" s="6" t="s">
        <v>1215</v>
      </c>
      <c r="G770" s="4" t="s">
        <v>24</v>
      </c>
      <c r="H770" s="4" t="s">
        <v>681</v>
      </c>
      <c r="I770" s="2" t="s">
        <v>611</v>
      </c>
      <c r="J770" s="2" t="s">
        <v>1432</v>
      </c>
      <c r="N770" s="4" t="s">
        <v>1431</v>
      </c>
      <c r="O770" s="4" t="s">
        <v>1430</v>
      </c>
      <c r="P770" s="2" t="s">
        <v>886</v>
      </c>
      <c r="Q770" s="2" t="s">
        <v>1429</v>
      </c>
      <c r="U770" s="4" t="s">
        <v>1428</v>
      </c>
      <c r="V770" s="4" t="s">
        <v>1427</v>
      </c>
      <c r="W770" s="2" t="s">
        <v>1426</v>
      </c>
      <c r="X770" s="2" t="s">
        <v>1425</v>
      </c>
    </row>
    <row r="771" spans="1:26" x14ac:dyDescent="0.2">
      <c r="A771" s="4">
        <v>766</v>
      </c>
      <c r="E771" s="6" t="s">
        <v>1385</v>
      </c>
      <c r="G771" s="4" t="s">
        <v>1214</v>
      </c>
      <c r="I771" s="2" t="s">
        <v>1337</v>
      </c>
      <c r="J771" s="2" t="s">
        <v>1424</v>
      </c>
      <c r="N771" s="4" t="s">
        <v>1210</v>
      </c>
      <c r="P771" s="2" t="s">
        <v>1335</v>
      </c>
      <c r="Q771" s="2" t="s">
        <v>1424</v>
      </c>
      <c r="U771" s="4" t="s">
        <v>1206</v>
      </c>
      <c r="W771" s="2" t="s">
        <v>1333</v>
      </c>
      <c r="X771" s="2" t="s">
        <v>1424</v>
      </c>
    </row>
    <row r="772" spans="1:26" x14ac:dyDescent="0.2">
      <c r="A772" s="4">
        <v>767</v>
      </c>
      <c r="E772" s="6" t="s">
        <v>1385</v>
      </c>
      <c r="G772" s="4" t="s">
        <v>1214</v>
      </c>
      <c r="I772" s="2" t="s">
        <v>1315</v>
      </c>
      <c r="J772" s="2" t="s">
        <v>1423</v>
      </c>
      <c r="L772" s="2" t="s">
        <v>1422</v>
      </c>
      <c r="N772" s="4" t="s">
        <v>1210</v>
      </c>
      <c r="P772" s="2" t="s">
        <v>1313</v>
      </c>
      <c r="Q772" s="2" t="s">
        <v>1421</v>
      </c>
      <c r="S772" s="2" t="s">
        <v>1420</v>
      </c>
      <c r="U772" s="4" t="s">
        <v>1206</v>
      </c>
      <c r="W772" s="2" t="s">
        <v>1311</v>
      </c>
      <c r="X772" s="2" t="s">
        <v>1419</v>
      </c>
      <c r="Z772" s="2" t="s">
        <v>1418</v>
      </c>
    </row>
    <row r="773" spans="1:26" x14ac:dyDescent="0.2">
      <c r="A773" s="4">
        <v>768</v>
      </c>
      <c r="E773" s="6" t="s">
        <v>1385</v>
      </c>
      <c r="G773" s="4" t="s">
        <v>1214</v>
      </c>
      <c r="I773" s="2" t="s">
        <v>1315</v>
      </c>
      <c r="J773" s="2" t="s">
        <v>1417</v>
      </c>
      <c r="L773" s="2" t="s">
        <v>1416</v>
      </c>
      <c r="N773" s="4" t="s">
        <v>1210</v>
      </c>
      <c r="P773" s="2" t="s">
        <v>1313</v>
      </c>
      <c r="Q773" s="2" t="s">
        <v>1415</v>
      </c>
      <c r="S773" s="2" t="s">
        <v>1414</v>
      </c>
      <c r="U773" s="4" t="s">
        <v>1206</v>
      </c>
      <c r="W773" s="2" t="s">
        <v>1311</v>
      </c>
      <c r="X773" s="2" t="s">
        <v>1413</v>
      </c>
      <c r="Z773" s="2" t="s">
        <v>1412</v>
      </c>
    </row>
    <row r="774" spans="1:26" ht="25.5" x14ac:dyDescent="0.2">
      <c r="A774" s="4">
        <v>769</v>
      </c>
      <c r="E774" s="6" t="s">
        <v>1385</v>
      </c>
      <c r="G774" s="4" t="s">
        <v>1214</v>
      </c>
      <c r="I774" s="2" t="s">
        <v>1315</v>
      </c>
      <c r="J774" s="2" t="s">
        <v>1411</v>
      </c>
      <c r="L774" s="2" t="s">
        <v>1410</v>
      </c>
      <c r="N774" s="4" t="s">
        <v>1210</v>
      </c>
      <c r="P774" s="2" t="s">
        <v>1313</v>
      </c>
      <c r="Q774" s="2" t="s">
        <v>1409</v>
      </c>
      <c r="S774" s="2" t="s">
        <v>1408</v>
      </c>
      <c r="U774" s="4" t="s">
        <v>1206</v>
      </c>
      <c r="W774" s="2" t="s">
        <v>1311</v>
      </c>
      <c r="X774" s="2" t="s">
        <v>1407</v>
      </c>
      <c r="Z774" s="2" t="s">
        <v>1406</v>
      </c>
    </row>
    <row r="775" spans="1:26" x14ac:dyDescent="0.2">
      <c r="A775" s="4">
        <v>770</v>
      </c>
      <c r="E775" s="6" t="s">
        <v>1385</v>
      </c>
      <c r="G775" s="4" t="s">
        <v>1214</v>
      </c>
      <c r="I775" s="2" t="s">
        <v>1315</v>
      </c>
      <c r="J775" s="2" t="s">
        <v>1405</v>
      </c>
      <c r="N775" s="4" t="s">
        <v>1210</v>
      </c>
      <c r="P775" s="2" t="s">
        <v>1313</v>
      </c>
      <c r="Q775" s="2" t="s">
        <v>1404</v>
      </c>
      <c r="U775" s="4" t="s">
        <v>1206</v>
      </c>
      <c r="W775" s="2" t="s">
        <v>1311</v>
      </c>
      <c r="X775" s="2" t="s">
        <v>1403</v>
      </c>
    </row>
    <row r="776" spans="1:26" x14ac:dyDescent="0.2">
      <c r="A776" s="4">
        <v>771</v>
      </c>
      <c r="E776" s="6" t="s">
        <v>1385</v>
      </c>
      <c r="G776" s="4" t="s">
        <v>1214</v>
      </c>
      <c r="I776" s="2" t="s">
        <v>1315</v>
      </c>
      <c r="J776" s="2" t="s">
        <v>1402</v>
      </c>
      <c r="N776" s="4" t="s">
        <v>1210</v>
      </c>
      <c r="P776" s="2" t="s">
        <v>1313</v>
      </c>
      <c r="Q776" s="2" t="s">
        <v>1401</v>
      </c>
      <c r="U776" s="4" t="s">
        <v>1206</v>
      </c>
      <c r="W776" s="2" t="s">
        <v>1311</v>
      </c>
      <c r="X776" s="2" t="s">
        <v>1401</v>
      </c>
    </row>
    <row r="777" spans="1:26" x14ac:dyDescent="0.2">
      <c r="A777" s="4">
        <v>772</v>
      </c>
      <c r="E777" s="6" t="s">
        <v>1385</v>
      </c>
      <c r="G777" s="4" t="s">
        <v>1214</v>
      </c>
      <c r="I777" s="2" t="s">
        <v>1315</v>
      </c>
      <c r="J777" s="2" t="s">
        <v>1400</v>
      </c>
      <c r="N777" s="4" t="s">
        <v>1210</v>
      </c>
      <c r="P777" s="2" t="s">
        <v>1313</v>
      </c>
      <c r="Q777" s="2" t="s">
        <v>1399</v>
      </c>
      <c r="U777" s="4" t="s">
        <v>1206</v>
      </c>
      <c r="W777" s="2" t="s">
        <v>1311</v>
      </c>
      <c r="X777" s="2" t="s">
        <v>1398</v>
      </c>
    </row>
    <row r="778" spans="1:26" ht="25.5" x14ac:dyDescent="0.2">
      <c r="A778" s="4">
        <v>773</v>
      </c>
      <c r="E778" s="6" t="s">
        <v>1385</v>
      </c>
      <c r="G778" s="4" t="s">
        <v>1214</v>
      </c>
      <c r="I778" s="2" t="s">
        <v>1315</v>
      </c>
      <c r="J778" s="2" t="s">
        <v>54</v>
      </c>
      <c r="L778" s="2" t="s">
        <v>1384</v>
      </c>
      <c r="N778" s="4" t="s">
        <v>1210</v>
      </c>
      <c r="P778" s="2" t="s">
        <v>1313</v>
      </c>
      <c r="Q778" s="2" t="s">
        <v>871</v>
      </c>
      <c r="S778" s="2" t="s">
        <v>1383</v>
      </c>
      <c r="U778" s="4" t="s">
        <v>1206</v>
      </c>
      <c r="W778" s="2" t="s">
        <v>1311</v>
      </c>
      <c r="X778" s="2" t="s">
        <v>1382</v>
      </c>
      <c r="Z778" s="2" t="s">
        <v>1381</v>
      </c>
    </row>
    <row r="779" spans="1:26" x14ac:dyDescent="0.2">
      <c r="A779" s="4">
        <v>774</v>
      </c>
      <c r="E779" s="6" t="s">
        <v>1385</v>
      </c>
      <c r="G779" s="4" t="s">
        <v>1214</v>
      </c>
      <c r="I779" s="2" t="s">
        <v>1264</v>
      </c>
      <c r="J779" s="2" t="s">
        <v>1397</v>
      </c>
      <c r="N779" s="4" t="s">
        <v>1210</v>
      </c>
      <c r="P779" s="2" t="s">
        <v>1262</v>
      </c>
      <c r="Q779" s="2" t="s">
        <v>1397</v>
      </c>
      <c r="U779" s="4" t="s">
        <v>1206</v>
      </c>
      <c r="W779" s="2" t="s">
        <v>1260</v>
      </c>
      <c r="X779" s="2" t="s">
        <v>1397</v>
      </c>
    </row>
    <row r="780" spans="1:26" ht="25.5" x14ac:dyDescent="0.2">
      <c r="A780" s="4">
        <v>775</v>
      </c>
      <c r="E780" s="6" t="s">
        <v>1385</v>
      </c>
      <c r="G780" s="4" t="s">
        <v>1214</v>
      </c>
      <c r="I780" s="2" t="s">
        <v>1264</v>
      </c>
      <c r="J780" s="2" t="s">
        <v>54</v>
      </c>
      <c r="L780" s="2" t="s">
        <v>1384</v>
      </c>
      <c r="N780" s="4" t="s">
        <v>1210</v>
      </c>
      <c r="P780" s="2" t="s">
        <v>1262</v>
      </c>
      <c r="Q780" s="2" t="s">
        <v>871</v>
      </c>
      <c r="S780" s="2" t="s">
        <v>1383</v>
      </c>
      <c r="U780" s="4" t="s">
        <v>1206</v>
      </c>
      <c r="W780" s="2" t="s">
        <v>1260</v>
      </c>
      <c r="X780" s="2" t="s">
        <v>1382</v>
      </c>
      <c r="Z780" s="2" t="s">
        <v>1381</v>
      </c>
    </row>
    <row r="781" spans="1:26" x14ac:dyDescent="0.2">
      <c r="A781" s="4">
        <v>776</v>
      </c>
      <c r="E781" s="6" t="s">
        <v>1385</v>
      </c>
      <c r="G781" s="4" t="s">
        <v>1214</v>
      </c>
      <c r="I781" s="2" t="s">
        <v>1235</v>
      </c>
      <c r="J781" s="2" t="s">
        <v>1396</v>
      </c>
      <c r="N781" s="4" t="s">
        <v>1210</v>
      </c>
      <c r="P781" s="2" t="s">
        <v>1233</v>
      </c>
      <c r="Q781" s="2" t="s">
        <v>1395</v>
      </c>
      <c r="U781" s="4" t="s">
        <v>1206</v>
      </c>
      <c r="W781" s="2" t="s">
        <v>1231</v>
      </c>
      <c r="X781" s="2" t="s">
        <v>1394</v>
      </c>
    </row>
    <row r="782" spans="1:26" ht="25.5" x14ac:dyDescent="0.2">
      <c r="A782" s="4">
        <v>777</v>
      </c>
      <c r="E782" s="6" t="s">
        <v>1385</v>
      </c>
      <c r="G782" s="4" t="s">
        <v>1214</v>
      </c>
      <c r="I782" s="2" t="s">
        <v>1235</v>
      </c>
      <c r="J782" s="2" t="s">
        <v>54</v>
      </c>
      <c r="L782" s="2" t="s">
        <v>1384</v>
      </c>
      <c r="N782" s="4" t="s">
        <v>1210</v>
      </c>
      <c r="P782" s="2" t="s">
        <v>1233</v>
      </c>
      <c r="Q782" s="2" t="s">
        <v>871</v>
      </c>
      <c r="S782" s="2" t="s">
        <v>1383</v>
      </c>
      <c r="U782" s="4" t="s">
        <v>1206</v>
      </c>
      <c r="W782" s="2" t="s">
        <v>1231</v>
      </c>
      <c r="X782" s="2" t="s">
        <v>1382</v>
      </c>
      <c r="Z782" s="2" t="s">
        <v>1381</v>
      </c>
    </row>
    <row r="783" spans="1:26" x14ac:dyDescent="0.2">
      <c r="A783" s="4">
        <v>778</v>
      </c>
      <c r="E783" s="6" t="s">
        <v>1385</v>
      </c>
      <c r="G783" s="4" t="s">
        <v>1214</v>
      </c>
      <c r="I783" s="2" t="s">
        <v>1211</v>
      </c>
      <c r="J783" s="2" t="s">
        <v>1393</v>
      </c>
      <c r="N783" s="4" t="s">
        <v>1210</v>
      </c>
      <c r="P783" s="2" t="s">
        <v>1207</v>
      </c>
      <c r="Q783" s="2" t="s">
        <v>1392</v>
      </c>
      <c r="U783" s="4" t="s">
        <v>1206</v>
      </c>
      <c r="W783" s="2" t="s">
        <v>1203</v>
      </c>
      <c r="X783" s="2" t="s">
        <v>1391</v>
      </c>
    </row>
    <row r="784" spans="1:26" x14ac:dyDescent="0.2">
      <c r="A784" s="4">
        <v>779</v>
      </c>
      <c r="E784" s="6" t="s">
        <v>1385</v>
      </c>
      <c r="G784" s="4" t="s">
        <v>1214</v>
      </c>
      <c r="I784" s="2" t="s">
        <v>1211</v>
      </c>
      <c r="J784" s="2" t="s">
        <v>1213</v>
      </c>
      <c r="N784" s="4" t="s">
        <v>1210</v>
      </c>
      <c r="P784" s="2" t="s">
        <v>1207</v>
      </c>
      <c r="Q784" s="2" t="s">
        <v>1390</v>
      </c>
      <c r="U784" s="4" t="s">
        <v>1206</v>
      </c>
      <c r="W784" s="2" t="s">
        <v>1203</v>
      </c>
      <c r="X784" s="2" t="s">
        <v>1389</v>
      </c>
    </row>
    <row r="785" spans="1:26" x14ac:dyDescent="0.2">
      <c r="A785" s="4">
        <v>780</v>
      </c>
      <c r="E785" s="6" t="s">
        <v>1385</v>
      </c>
      <c r="G785" s="4" t="s">
        <v>1214</v>
      </c>
      <c r="I785" s="2" t="s">
        <v>1211</v>
      </c>
      <c r="J785" s="2" t="s">
        <v>1388</v>
      </c>
      <c r="N785" s="4" t="s">
        <v>1210</v>
      </c>
      <c r="P785" s="2" t="s">
        <v>1207</v>
      </c>
      <c r="Q785" s="2" t="s">
        <v>1387</v>
      </c>
      <c r="U785" s="4" t="s">
        <v>1206</v>
      </c>
      <c r="W785" s="2" t="s">
        <v>1203</v>
      </c>
      <c r="X785" s="2" t="s">
        <v>1386</v>
      </c>
    </row>
    <row r="786" spans="1:26" ht="25.5" x14ac:dyDescent="0.2">
      <c r="A786" s="4">
        <v>781</v>
      </c>
      <c r="E786" s="6" t="s">
        <v>1385</v>
      </c>
      <c r="G786" s="4" t="s">
        <v>1214</v>
      </c>
      <c r="I786" s="2" t="s">
        <v>1211</v>
      </c>
      <c r="J786" s="2" t="s">
        <v>54</v>
      </c>
      <c r="L786" s="2" t="s">
        <v>1384</v>
      </c>
      <c r="N786" s="4" t="s">
        <v>1210</v>
      </c>
      <c r="P786" s="2" t="s">
        <v>1207</v>
      </c>
      <c r="Q786" s="2" t="s">
        <v>871</v>
      </c>
      <c r="S786" s="2" t="s">
        <v>1383</v>
      </c>
      <c r="U786" s="4" t="s">
        <v>1206</v>
      </c>
      <c r="W786" s="2" t="s">
        <v>1203</v>
      </c>
      <c r="X786" s="2" t="s">
        <v>1382</v>
      </c>
      <c r="Z786" s="2" t="s">
        <v>1381</v>
      </c>
    </row>
    <row r="787" spans="1:26" x14ac:dyDescent="0.2">
      <c r="A787" s="4">
        <v>782</v>
      </c>
      <c r="B787" s="6" t="s">
        <v>1221</v>
      </c>
      <c r="E787" s="6" t="s">
        <v>1215</v>
      </c>
      <c r="G787" s="4" t="s">
        <v>1214</v>
      </c>
      <c r="H787" s="4" t="s">
        <v>1329</v>
      </c>
      <c r="I787" s="2" t="s">
        <v>96</v>
      </c>
      <c r="J787" s="2" t="s">
        <v>951</v>
      </c>
      <c r="L787" s="2" t="s">
        <v>1380</v>
      </c>
      <c r="N787" s="4" t="s">
        <v>1210</v>
      </c>
      <c r="O787" s="4" t="s">
        <v>1326</v>
      </c>
      <c r="P787" s="2" t="s">
        <v>733</v>
      </c>
      <c r="Q787" s="2" t="s">
        <v>951</v>
      </c>
      <c r="S787" s="2" t="s">
        <v>1379</v>
      </c>
      <c r="U787" s="4" t="s">
        <v>1206</v>
      </c>
      <c r="V787" s="4" t="s">
        <v>1323</v>
      </c>
      <c r="W787" s="2" t="s">
        <v>1378</v>
      </c>
      <c r="X787" s="2" t="s">
        <v>951</v>
      </c>
      <c r="Z787" s="2" t="s">
        <v>1377</v>
      </c>
    </row>
    <row r="788" spans="1:26" x14ac:dyDescent="0.2">
      <c r="A788" s="4">
        <v>783</v>
      </c>
      <c r="B788" s="6" t="s">
        <v>1221</v>
      </c>
      <c r="E788" s="6" t="s">
        <v>1215</v>
      </c>
      <c r="G788" s="4" t="s">
        <v>1214</v>
      </c>
      <c r="H788" s="4" t="s">
        <v>1329</v>
      </c>
      <c r="I788" s="2" t="s">
        <v>99</v>
      </c>
      <c r="J788" s="2" t="s">
        <v>1375</v>
      </c>
      <c r="N788" s="4" t="s">
        <v>1210</v>
      </c>
      <c r="O788" s="4" t="s">
        <v>1326</v>
      </c>
      <c r="P788" s="2" t="s">
        <v>734</v>
      </c>
      <c r="Q788" s="2" t="s">
        <v>1375</v>
      </c>
      <c r="U788" s="4" t="s">
        <v>1206</v>
      </c>
      <c r="V788" s="4" t="s">
        <v>1323</v>
      </c>
      <c r="W788" s="2" t="s">
        <v>1376</v>
      </c>
      <c r="X788" s="2" t="s">
        <v>1375</v>
      </c>
    </row>
    <row r="789" spans="1:26" x14ac:dyDescent="0.2">
      <c r="A789" s="4">
        <v>784</v>
      </c>
      <c r="E789" s="6" t="s">
        <v>1215</v>
      </c>
      <c r="G789" s="4" t="s">
        <v>1214</v>
      </c>
      <c r="H789" s="4" t="s">
        <v>1329</v>
      </c>
      <c r="I789" s="2" t="s">
        <v>1374</v>
      </c>
      <c r="J789" s="2" t="s">
        <v>1369</v>
      </c>
      <c r="L789" s="2" t="s">
        <v>1373</v>
      </c>
      <c r="N789" s="4" t="s">
        <v>1210</v>
      </c>
      <c r="O789" s="4" t="s">
        <v>1326</v>
      </c>
      <c r="P789" s="2" t="s">
        <v>1372</v>
      </c>
      <c r="Q789" s="2" t="s">
        <v>1369</v>
      </c>
      <c r="S789" s="2" t="s">
        <v>1371</v>
      </c>
      <c r="U789" s="4" t="s">
        <v>1206</v>
      </c>
      <c r="V789" s="4" t="s">
        <v>1323</v>
      </c>
      <c r="W789" s="2" t="s">
        <v>1370</v>
      </c>
      <c r="X789" s="2" t="s">
        <v>1369</v>
      </c>
      <c r="Z789" s="2" t="s">
        <v>1368</v>
      </c>
    </row>
    <row r="790" spans="1:26" x14ac:dyDescent="0.2">
      <c r="A790" s="4">
        <v>785</v>
      </c>
      <c r="E790" s="6" t="s">
        <v>1215</v>
      </c>
      <c r="G790" s="4" t="s">
        <v>1214</v>
      </c>
      <c r="H790" s="4" t="s">
        <v>1329</v>
      </c>
      <c r="I790" s="2" t="s">
        <v>1367</v>
      </c>
      <c r="J790" s="2" t="s">
        <v>951</v>
      </c>
      <c r="N790" s="4" t="s">
        <v>1210</v>
      </c>
      <c r="O790" s="4" t="s">
        <v>1326</v>
      </c>
      <c r="P790" s="2" t="s">
        <v>1366</v>
      </c>
      <c r="Q790" s="2" t="s">
        <v>951</v>
      </c>
      <c r="U790" s="4" t="s">
        <v>1206</v>
      </c>
      <c r="V790" s="4" t="s">
        <v>1323</v>
      </c>
      <c r="W790" s="2" t="s">
        <v>1365</v>
      </c>
      <c r="X790" s="2" t="s">
        <v>951</v>
      </c>
    </row>
    <row r="791" spans="1:26" x14ac:dyDescent="0.2">
      <c r="A791" s="4">
        <v>786</v>
      </c>
      <c r="E791" s="6" t="s">
        <v>1215</v>
      </c>
      <c r="G791" s="4" t="s">
        <v>1214</v>
      </c>
      <c r="H791" s="4" t="s">
        <v>1329</v>
      </c>
      <c r="I791" s="2" t="s">
        <v>1364</v>
      </c>
      <c r="J791" s="2" t="s">
        <v>956</v>
      </c>
      <c r="N791" s="4" t="s">
        <v>1210</v>
      </c>
      <c r="O791" s="4" t="s">
        <v>1326</v>
      </c>
      <c r="P791" s="2" t="s">
        <v>1363</v>
      </c>
      <c r="Q791" s="2" t="s">
        <v>956</v>
      </c>
      <c r="U791" s="4" t="s">
        <v>1206</v>
      </c>
      <c r="V791" s="4" t="s">
        <v>1323</v>
      </c>
      <c r="W791" s="2" t="s">
        <v>1362</v>
      </c>
      <c r="X791" s="2" t="s">
        <v>956</v>
      </c>
    </row>
    <row r="792" spans="1:26" x14ac:dyDescent="0.2">
      <c r="A792" s="4">
        <v>787</v>
      </c>
      <c r="D792" s="6" t="s">
        <v>950</v>
      </c>
      <c r="E792" s="6" t="s">
        <v>1215</v>
      </c>
      <c r="G792" s="4" t="s">
        <v>1214</v>
      </c>
      <c r="H792" s="4" t="s">
        <v>1329</v>
      </c>
      <c r="I792" s="2" t="s">
        <v>1361</v>
      </c>
      <c r="J792" s="2" t="s">
        <v>956</v>
      </c>
      <c r="N792" s="4" t="s">
        <v>1210</v>
      </c>
      <c r="O792" s="4" t="s">
        <v>1326</v>
      </c>
      <c r="P792" s="2" t="s">
        <v>1360</v>
      </c>
      <c r="Q792" s="2" t="s">
        <v>956</v>
      </c>
      <c r="U792" s="4" t="s">
        <v>1206</v>
      </c>
      <c r="V792" s="4" t="s">
        <v>1323</v>
      </c>
      <c r="W792" s="2" t="s">
        <v>1359</v>
      </c>
      <c r="X792" s="2" t="s">
        <v>956</v>
      </c>
    </row>
    <row r="793" spans="1:26" x14ac:dyDescent="0.2">
      <c r="A793" s="4">
        <v>788</v>
      </c>
      <c r="E793" s="6" t="s">
        <v>1215</v>
      </c>
      <c r="G793" s="4" t="s">
        <v>1214</v>
      </c>
      <c r="H793" s="4" t="s">
        <v>1329</v>
      </c>
      <c r="I793" s="2" t="s">
        <v>1358</v>
      </c>
      <c r="J793" s="2" t="s">
        <v>1349</v>
      </c>
      <c r="N793" s="4" t="s">
        <v>1210</v>
      </c>
      <c r="O793" s="4" t="s">
        <v>1326</v>
      </c>
      <c r="P793" s="2" t="s">
        <v>1357</v>
      </c>
      <c r="Q793" s="2" t="s">
        <v>1349</v>
      </c>
      <c r="U793" s="4" t="s">
        <v>1206</v>
      </c>
      <c r="V793" s="4" t="s">
        <v>1323</v>
      </c>
      <c r="W793" s="2" t="s">
        <v>1356</v>
      </c>
      <c r="X793" s="2" t="s">
        <v>1349</v>
      </c>
    </row>
    <row r="794" spans="1:26" ht="25.5" x14ac:dyDescent="0.2">
      <c r="A794" s="4">
        <v>789</v>
      </c>
      <c r="D794" s="6" t="s">
        <v>950</v>
      </c>
      <c r="E794" s="6" t="s">
        <v>1215</v>
      </c>
      <c r="G794" s="4" t="s">
        <v>1214</v>
      </c>
      <c r="H794" s="4" t="s">
        <v>1329</v>
      </c>
      <c r="I794" s="2" t="s">
        <v>1355</v>
      </c>
      <c r="J794" s="2" t="s">
        <v>956</v>
      </c>
      <c r="N794" s="4" t="s">
        <v>1210</v>
      </c>
      <c r="O794" s="4" t="s">
        <v>1326</v>
      </c>
      <c r="P794" s="2" t="s">
        <v>1354</v>
      </c>
      <c r="Q794" s="2" t="s">
        <v>956</v>
      </c>
      <c r="U794" s="4" t="s">
        <v>1206</v>
      </c>
      <c r="V794" s="4" t="s">
        <v>1323</v>
      </c>
      <c r="W794" s="2" t="s">
        <v>1353</v>
      </c>
      <c r="X794" s="2" t="s">
        <v>956</v>
      </c>
    </row>
    <row r="795" spans="1:26" x14ac:dyDescent="0.2">
      <c r="A795" s="4">
        <v>790</v>
      </c>
      <c r="D795" s="6" t="s">
        <v>950</v>
      </c>
      <c r="E795" s="6" t="s">
        <v>1215</v>
      </c>
      <c r="G795" s="4" t="s">
        <v>1214</v>
      </c>
      <c r="H795" s="4" t="s">
        <v>1329</v>
      </c>
      <c r="I795" s="2" t="s">
        <v>1352</v>
      </c>
      <c r="J795" s="2" t="s">
        <v>1349</v>
      </c>
      <c r="N795" s="4" t="s">
        <v>1210</v>
      </c>
      <c r="O795" s="4" t="s">
        <v>1326</v>
      </c>
      <c r="P795" s="2" t="s">
        <v>1351</v>
      </c>
      <c r="Q795" s="2" t="s">
        <v>1349</v>
      </c>
      <c r="U795" s="4" t="s">
        <v>1206</v>
      </c>
      <c r="V795" s="4" t="s">
        <v>1323</v>
      </c>
      <c r="W795" s="2" t="s">
        <v>1350</v>
      </c>
      <c r="X795" s="2" t="s">
        <v>1349</v>
      </c>
    </row>
    <row r="796" spans="1:26" x14ac:dyDescent="0.2">
      <c r="A796" s="4">
        <v>791</v>
      </c>
      <c r="E796" s="6" t="s">
        <v>1215</v>
      </c>
      <c r="G796" s="4" t="s">
        <v>1214</v>
      </c>
      <c r="H796" s="4" t="s">
        <v>1329</v>
      </c>
      <c r="I796" s="2" t="s">
        <v>1348</v>
      </c>
      <c r="J796" s="2" t="s">
        <v>1337</v>
      </c>
      <c r="N796" s="4" t="s">
        <v>1210</v>
      </c>
      <c r="O796" s="4" t="s">
        <v>1326</v>
      </c>
      <c r="P796" s="2" t="s">
        <v>1347</v>
      </c>
      <c r="Q796" s="2" t="s">
        <v>1335</v>
      </c>
      <c r="U796" s="4" t="s">
        <v>1206</v>
      </c>
      <c r="V796" s="4" t="s">
        <v>1323</v>
      </c>
      <c r="W796" s="2" t="s">
        <v>1346</v>
      </c>
      <c r="X796" s="2" t="s">
        <v>1333</v>
      </c>
    </row>
    <row r="797" spans="1:26" x14ac:dyDescent="0.2">
      <c r="A797" s="4">
        <v>792</v>
      </c>
      <c r="E797" s="6" t="s">
        <v>1215</v>
      </c>
      <c r="G797" s="4" t="s">
        <v>1214</v>
      </c>
      <c r="H797" s="4" t="s">
        <v>1329</v>
      </c>
      <c r="I797" s="2" t="s">
        <v>1345</v>
      </c>
      <c r="J797" s="2" t="s">
        <v>1220</v>
      </c>
      <c r="N797" s="4" t="s">
        <v>1210</v>
      </c>
      <c r="O797" s="4" t="s">
        <v>1326</v>
      </c>
      <c r="P797" s="2" t="s">
        <v>1344</v>
      </c>
      <c r="Q797" s="2" t="s">
        <v>1218</v>
      </c>
      <c r="U797" s="4" t="s">
        <v>1206</v>
      </c>
      <c r="V797" s="4" t="s">
        <v>1323</v>
      </c>
      <c r="W797" s="2" t="s">
        <v>1343</v>
      </c>
      <c r="X797" s="2" t="s">
        <v>1218</v>
      </c>
    </row>
    <row r="798" spans="1:26" x14ac:dyDescent="0.2">
      <c r="A798" s="4">
        <v>793</v>
      </c>
      <c r="E798" s="6" t="s">
        <v>1215</v>
      </c>
      <c r="G798" s="4" t="s">
        <v>1214</v>
      </c>
      <c r="H798" s="4" t="s">
        <v>1329</v>
      </c>
      <c r="I798" s="2" t="s">
        <v>1340</v>
      </c>
      <c r="J798" s="2" t="s">
        <v>933</v>
      </c>
      <c r="L798" s="2" t="s">
        <v>1342</v>
      </c>
      <c r="N798" s="4" t="s">
        <v>1210</v>
      </c>
      <c r="O798" s="4" t="s">
        <v>1326</v>
      </c>
      <c r="P798" s="2" t="s">
        <v>1340</v>
      </c>
      <c r="Q798" s="2" t="s">
        <v>933</v>
      </c>
      <c r="S798" s="2" t="s">
        <v>1341</v>
      </c>
      <c r="U798" s="4" t="s">
        <v>1206</v>
      </c>
      <c r="V798" s="4" t="s">
        <v>1323</v>
      </c>
      <c r="W798" s="2" t="s">
        <v>1340</v>
      </c>
      <c r="X798" s="2" t="s">
        <v>1216</v>
      </c>
      <c r="Z798" s="2" t="s">
        <v>1339</v>
      </c>
    </row>
    <row r="799" spans="1:26" ht="25.5" x14ac:dyDescent="0.2">
      <c r="A799" s="4">
        <v>794</v>
      </c>
      <c r="D799" s="6" t="s">
        <v>950</v>
      </c>
      <c r="E799" s="6" t="s">
        <v>1215</v>
      </c>
      <c r="G799" s="4" t="s">
        <v>1214</v>
      </c>
      <c r="H799" s="4" t="s">
        <v>1329</v>
      </c>
      <c r="I799" s="2" t="s">
        <v>1338</v>
      </c>
      <c r="J799" s="2" t="s">
        <v>1337</v>
      </c>
      <c r="N799" s="4" t="s">
        <v>1210</v>
      </c>
      <c r="O799" s="4" t="s">
        <v>1326</v>
      </c>
      <c r="P799" s="2" t="s">
        <v>1336</v>
      </c>
      <c r="Q799" s="2" t="s">
        <v>1335</v>
      </c>
      <c r="U799" s="4" t="s">
        <v>1206</v>
      </c>
      <c r="V799" s="4" t="s">
        <v>1323</v>
      </c>
      <c r="W799" s="2" t="s">
        <v>1334</v>
      </c>
      <c r="X799" s="2" t="s">
        <v>1333</v>
      </c>
    </row>
    <row r="800" spans="1:26" ht="25.5" x14ac:dyDescent="0.2">
      <c r="A800" s="4">
        <v>795</v>
      </c>
      <c r="D800" s="6" t="s">
        <v>950</v>
      </c>
      <c r="E800" s="6" t="s">
        <v>1215</v>
      </c>
      <c r="G800" s="4" t="s">
        <v>1214</v>
      </c>
      <c r="H800" s="4" t="s">
        <v>1329</v>
      </c>
      <c r="I800" s="2" t="s">
        <v>1332</v>
      </c>
      <c r="J800" s="2" t="s">
        <v>1220</v>
      </c>
      <c r="N800" s="4" t="s">
        <v>1210</v>
      </c>
      <c r="O800" s="4" t="s">
        <v>1326</v>
      </c>
      <c r="P800" s="2" t="s">
        <v>1331</v>
      </c>
      <c r="Q800" s="2" t="s">
        <v>1218</v>
      </c>
      <c r="U800" s="4" t="s">
        <v>1206</v>
      </c>
      <c r="V800" s="4" t="s">
        <v>1323</v>
      </c>
      <c r="W800" s="2" t="s">
        <v>1330</v>
      </c>
      <c r="X800" s="2" t="s">
        <v>1218</v>
      </c>
    </row>
    <row r="801" spans="1:26" x14ac:dyDescent="0.2">
      <c r="A801" s="4">
        <v>796</v>
      </c>
      <c r="E801" s="6" t="s">
        <v>1215</v>
      </c>
      <c r="G801" s="4" t="s">
        <v>1214</v>
      </c>
      <c r="H801" s="4" t="s">
        <v>1329</v>
      </c>
      <c r="I801" s="2" t="s">
        <v>1328</v>
      </c>
      <c r="J801" s="2" t="s">
        <v>1509</v>
      </c>
      <c r="L801" s="2" t="s">
        <v>1327</v>
      </c>
      <c r="N801" s="4" t="s">
        <v>1210</v>
      </c>
      <c r="O801" s="4" t="s">
        <v>1326</v>
      </c>
      <c r="P801" s="2" t="s">
        <v>1325</v>
      </c>
      <c r="Q801" s="2" t="s">
        <v>1507</v>
      </c>
      <c r="S801" s="2" t="s">
        <v>1324</v>
      </c>
      <c r="U801" s="4" t="s">
        <v>1206</v>
      </c>
      <c r="V801" s="4" t="s">
        <v>1323</v>
      </c>
      <c r="W801" s="2" t="s">
        <v>1322</v>
      </c>
      <c r="X801" s="2" t="s">
        <v>2925</v>
      </c>
      <c r="Z801" s="2" t="s">
        <v>1321</v>
      </c>
    </row>
    <row r="802" spans="1:26" x14ac:dyDescent="0.2">
      <c r="A802" s="4">
        <v>797</v>
      </c>
      <c r="C802" s="6" t="s">
        <v>950</v>
      </c>
      <c r="E802" s="6" t="s">
        <v>1215</v>
      </c>
      <c r="G802" s="4" t="s">
        <v>1214</v>
      </c>
      <c r="H802" s="4" t="s">
        <v>1316</v>
      </c>
      <c r="I802" s="2" t="s">
        <v>1320</v>
      </c>
      <c r="J802" s="2" t="s">
        <v>1229</v>
      </c>
      <c r="L802" s="2" t="s">
        <v>1228</v>
      </c>
      <c r="N802" s="4" t="s">
        <v>1210</v>
      </c>
      <c r="O802" s="4" t="s">
        <v>1314</v>
      </c>
      <c r="P802" s="2" t="s">
        <v>1319</v>
      </c>
      <c r="Q802" s="2" t="s">
        <v>1226</v>
      </c>
      <c r="S802" s="2" t="s">
        <v>1225</v>
      </c>
      <c r="U802" s="4" t="s">
        <v>1206</v>
      </c>
      <c r="V802" s="4" t="s">
        <v>1312</v>
      </c>
      <c r="W802" s="2" t="s">
        <v>1318</v>
      </c>
      <c r="X802" s="2" t="s">
        <v>1223</v>
      </c>
      <c r="Z802" s="2" t="s">
        <v>1222</v>
      </c>
    </row>
    <row r="803" spans="1:26" x14ac:dyDescent="0.2">
      <c r="A803" s="4">
        <v>798</v>
      </c>
      <c r="E803" s="6" t="s">
        <v>1215</v>
      </c>
      <c r="G803" s="4" t="s">
        <v>1214</v>
      </c>
      <c r="H803" s="4" t="s">
        <v>1316</v>
      </c>
      <c r="I803" s="2" t="s">
        <v>1297</v>
      </c>
      <c r="J803" s="2" t="s">
        <v>956</v>
      </c>
      <c r="N803" s="4" t="s">
        <v>1210</v>
      </c>
      <c r="O803" s="4" t="s">
        <v>1314</v>
      </c>
      <c r="P803" s="2" t="s">
        <v>735</v>
      </c>
      <c r="Q803" s="2" t="s">
        <v>956</v>
      </c>
      <c r="U803" s="4" t="s">
        <v>1206</v>
      </c>
      <c r="V803" s="4" t="s">
        <v>1312</v>
      </c>
      <c r="W803" s="2" t="s">
        <v>1317</v>
      </c>
      <c r="X803" s="2" t="s">
        <v>956</v>
      </c>
    </row>
    <row r="804" spans="1:26" x14ac:dyDescent="0.2">
      <c r="A804" s="4">
        <v>799</v>
      </c>
      <c r="E804" s="6" t="s">
        <v>1215</v>
      </c>
      <c r="G804" s="4" t="s">
        <v>1214</v>
      </c>
      <c r="H804" s="4" t="s">
        <v>1316</v>
      </c>
      <c r="I804" s="2" t="s">
        <v>1212</v>
      </c>
      <c r="J804" s="2" t="s">
        <v>1315</v>
      </c>
      <c r="N804" s="4" t="s">
        <v>1210</v>
      </c>
      <c r="O804" s="4" t="s">
        <v>1314</v>
      </c>
      <c r="P804" s="2" t="s">
        <v>1208</v>
      </c>
      <c r="Q804" s="2" t="s">
        <v>1313</v>
      </c>
      <c r="U804" s="4" t="s">
        <v>1206</v>
      </c>
      <c r="V804" s="4" t="s">
        <v>1312</v>
      </c>
      <c r="W804" s="2" t="s">
        <v>1204</v>
      </c>
      <c r="X804" s="2" t="s">
        <v>1311</v>
      </c>
    </row>
    <row r="805" spans="1:26" ht="25.5" x14ac:dyDescent="0.2">
      <c r="A805" s="4">
        <v>800</v>
      </c>
      <c r="C805" s="6" t="s">
        <v>950</v>
      </c>
      <c r="E805" s="6" t="s">
        <v>1215</v>
      </c>
      <c r="G805" s="4" t="s">
        <v>1214</v>
      </c>
      <c r="H805" s="4" t="s">
        <v>1304</v>
      </c>
      <c r="I805" s="2" t="s">
        <v>1310</v>
      </c>
      <c r="J805" s="2" t="s">
        <v>1309</v>
      </c>
      <c r="L805" s="19" t="s">
        <v>2918</v>
      </c>
      <c r="N805" s="4" t="s">
        <v>1210</v>
      </c>
      <c r="O805" s="4" t="s">
        <v>1303</v>
      </c>
      <c r="P805" s="2" t="s">
        <v>1308</v>
      </c>
      <c r="Q805" s="2" t="s">
        <v>1307</v>
      </c>
      <c r="S805" s="19" t="s">
        <v>2919</v>
      </c>
      <c r="U805" s="4" t="s">
        <v>1206</v>
      </c>
      <c r="V805" s="4" t="s">
        <v>1302</v>
      </c>
      <c r="W805" s="2" t="s">
        <v>1306</v>
      </c>
      <c r="X805" s="2" t="s">
        <v>1305</v>
      </c>
      <c r="Z805" s="19" t="s">
        <v>2920</v>
      </c>
    </row>
    <row r="806" spans="1:26" x14ac:dyDescent="0.2">
      <c r="A806" s="4">
        <v>801</v>
      </c>
      <c r="E806" s="6" t="s">
        <v>1215</v>
      </c>
      <c r="G806" s="4" t="s">
        <v>1214</v>
      </c>
      <c r="H806" s="4" t="s">
        <v>1304</v>
      </c>
      <c r="I806" s="2" t="s">
        <v>1219</v>
      </c>
      <c r="J806" s="2" t="s">
        <v>1220</v>
      </c>
      <c r="N806" s="4" t="s">
        <v>1210</v>
      </c>
      <c r="O806" s="4" t="s">
        <v>1303</v>
      </c>
      <c r="P806" s="2" t="s">
        <v>1219</v>
      </c>
      <c r="Q806" s="2" t="s">
        <v>1218</v>
      </c>
      <c r="U806" s="4" t="s">
        <v>1206</v>
      </c>
      <c r="V806" s="4" t="s">
        <v>1302</v>
      </c>
      <c r="W806" s="2" t="s">
        <v>1219</v>
      </c>
      <c r="X806" s="2" t="s">
        <v>1218</v>
      </c>
    </row>
    <row r="807" spans="1:26" x14ac:dyDescent="0.2">
      <c r="A807" s="4">
        <v>802</v>
      </c>
      <c r="D807" s="6" t="s">
        <v>950</v>
      </c>
      <c r="E807" s="6" t="s">
        <v>1215</v>
      </c>
      <c r="G807" s="4" t="s">
        <v>1214</v>
      </c>
      <c r="H807" s="4" t="s">
        <v>1304</v>
      </c>
      <c r="I807" s="2" t="s">
        <v>1217</v>
      </c>
      <c r="J807" s="2" t="s">
        <v>933</v>
      </c>
      <c r="K807" s="3">
        <v>100</v>
      </c>
      <c r="N807" s="4" t="s">
        <v>1210</v>
      </c>
      <c r="O807" s="4" t="s">
        <v>1303</v>
      </c>
      <c r="P807" s="2" t="s">
        <v>1217</v>
      </c>
      <c r="Q807" s="2" t="s">
        <v>933</v>
      </c>
      <c r="R807" s="3">
        <v>100</v>
      </c>
      <c r="U807" s="4" t="s">
        <v>1206</v>
      </c>
      <c r="V807" s="4" t="s">
        <v>1302</v>
      </c>
      <c r="W807" s="2" t="s">
        <v>1217</v>
      </c>
      <c r="X807" s="2" t="s">
        <v>1216</v>
      </c>
      <c r="Y807" s="3">
        <v>100</v>
      </c>
    </row>
    <row r="808" spans="1:26" x14ac:dyDescent="0.2">
      <c r="A808" s="4">
        <v>803</v>
      </c>
      <c r="D808" s="6" t="s">
        <v>950</v>
      </c>
      <c r="E808" s="6" t="s">
        <v>1215</v>
      </c>
      <c r="G808" s="4" t="s">
        <v>1214</v>
      </c>
      <c r="H808" s="4" t="s">
        <v>1304</v>
      </c>
      <c r="I808" s="2" t="s">
        <v>1285</v>
      </c>
      <c r="J808" s="2" t="s">
        <v>1199</v>
      </c>
      <c r="K808" s="3" t="s">
        <v>1284</v>
      </c>
      <c r="N808" s="4" t="s">
        <v>1210</v>
      </c>
      <c r="O808" s="4" t="s">
        <v>1303</v>
      </c>
      <c r="P808" s="2" t="s">
        <v>1285</v>
      </c>
      <c r="Q808" s="2" t="s">
        <v>1199</v>
      </c>
      <c r="R808" s="3" t="s">
        <v>1284</v>
      </c>
      <c r="U808" s="4" t="s">
        <v>1206</v>
      </c>
      <c r="V808" s="4" t="s">
        <v>1302</v>
      </c>
      <c r="W808" s="2" t="s">
        <v>1285</v>
      </c>
      <c r="X808" s="2" t="s">
        <v>1199</v>
      </c>
      <c r="Y808" s="3" t="s">
        <v>1284</v>
      </c>
    </row>
    <row r="809" spans="1:26" x14ac:dyDescent="0.2">
      <c r="A809" s="4">
        <v>804</v>
      </c>
      <c r="D809" s="6" t="s">
        <v>950</v>
      </c>
      <c r="E809" s="6" t="s">
        <v>1215</v>
      </c>
      <c r="G809" s="4" t="s">
        <v>1214</v>
      </c>
      <c r="H809" s="4" t="s">
        <v>1304</v>
      </c>
      <c r="I809" s="2" t="s">
        <v>1283</v>
      </c>
      <c r="J809" s="2" t="s">
        <v>1200</v>
      </c>
      <c r="K809" s="3" t="s">
        <v>1282</v>
      </c>
      <c r="N809" s="4" t="s">
        <v>1210</v>
      </c>
      <c r="O809" s="4" t="s">
        <v>1303</v>
      </c>
      <c r="P809" s="2" t="s">
        <v>1283</v>
      </c>
      <c r="Q809" s="2" t="s">
        <v>1200</v>
      </c>
      <c r="R809" s="3" t="s">
        <v>1282</v>
      </c>
      <c r="U809" s="4" t="s">
        <v>1206</v>
      </c>
      <c r="V809" s="4" t="s">
        <v>1302</v>
      </c>
      <c r="W809" s="2" t="s">
        <v>1283</v>
      </c>
      <c r="X809" s="2" t="s">
        <v>1200</v>
      </c>
      <c r="Y809" s="3" t="s">
        <v>1282</v>
      </c>
    </row>
    <row r="810" spans="1:26" x14ac:dyDescent="0.2">
      <c r="A810" s="4">
        <v>805</v>
      </c>
      <c r="D810" s="6" t="s">
        <v>950</v>
      </c>
      <c r="E810" s="6" t="s">
        <v>1215</v>
      </c>
      <c r="G810" s="4" t="s">
        <v>1214</v>
      </c>
      <c r="H810" s="4" t="s">
        <v>1304</v>
      </c>
      <c r="I810" s="2" t="s">
        <v>1280</v>
      </c>
      <c r="J810" s="2" t="s">
        <v>59</v>
      </c>
      <c r="K810" s="3" t="s">
        <v>1279</v>
      </c>
      <c r="N810" s="4" t="s">
        <v>1210</v>
      </c>
      <c r="O810" s="4" t="s">
        <v>1303</v>
      </c>
      <c r="P810" s="2" t="s">
        <v>1277</v>
      </c>
      <c r="Q810" s="2" t="s">
        <v>1276</v>
      </c>
      <c r="R810" s="3" t="s">
        <v>1275</v>
      </c>
      <c r="U810" s="4" t="s">
        <v>1206</v>
      </c>
      <c r="V810" s="4" t="s">
        <v>1302</v>
      </c>
      <c r="W810" s="2" t="s">
        <v>1273</v>
      </c>
      <c r="X810" s="2" t="s">
        <v>1272</v>
      </c>
      <c r="Y810" s="3" t="s">
        <v>1271</v>
      </c>
    </row>
    <row r="811" spans="1:26" ht="25.5" x14ac:dyDescent="0.2">
      <c r="A811" s="4">
        <v>806</v>
      </c>
      <c r="C811" s="6" t="s">
        <v>950</v>
      </c>
      <c r="E811" s="6" t="s">
        <v>1215</v>
      </c>
      <c r="G811" s="4" t="s">
        <v>1214</v>
      </c>
      <c r="H811" s="4" t="s">
        <v>1298</v>
      </c>
      <c r="I811" s="2" t="s">
        <v>1301</v>
      </c>
      <c r="J811" s="2" t="s">
        <v>1229</v>
      </c>
      <c r="L811" s="2" t="s">
        <v>1228</v>
      </c>
      <c r="N811" s="4" t="s">
        <v>1210</v>
      </c>
      <c r="O811" s="4" t="s">
        <v>1296</v>
      </c>
      <c r="P811" s="2" t="s">
        <v>1300</v>
      </c>
      <c r="Q811" s="2" t="s">
        <v>1226</v>
      </c>
      <c r="S811" s="2" t="s">
        <v>1225</v>
      </c>
      <c r="U811" s="4" t="s">
        <v>1206</v>
      </c>
      <c r="V811" s="4" t="s">
        <v>1295</v>
      </c>
      <c r="W811" s="2" t="s">
        <v>1299</v>
      </c>
      <c r="X811" s="2" t="s">
        <v>1223</v>
      </c>
      <c r="Z811" s="2" t="s">
        <v>1222</v>
      </c>
    </row>
    <row r="812" spans="1:26" x14ac:dyDescent="0.2">
      <c r="A812" s="4">
        <v>807</v>
      </c>
      <c r="E812" s="6" t="s">
        <v>1215</v>
      </c>
      <c r="G812" s="4" t="s">
        <v>1214</v>
      </c>
      <c r="H812" s="4" t="s">
        <v>1298</v>
      </c>
      <c r="I812" s="2" t="s">
        <v>1297</v>
      </c>
      <c r="J812" s="2" t="s">
        <v>951</v>
      </c>
      <c r="N812" s="4" t="s">
        <v>1210</v>
      </c>
      <c r="O812" s="4" t="s">
        <v>1296</v>
      </c>
      <c r="P812" s="2" t="s">
        <v>735</v>
      </c>
      <c r="Q812" s="2" t="s">
        <v>951</v>
      </c>
      <c r="U812" s="4" t="s">
        <v>1206</v>
      </c>
      <c r="V812" s="4" t="s">
        <v>1295</v>
      </c>
      <c r="W812" s="2" t="s">
        <v>1294</v>
      </c>
      <c r="X812" s="2" t="s">
        <v>951</v>
      </c>
    </row>
    <row r="813" spans="1:26" ht="25.5" x14ac:dyDescent="0.2">
      <c r="A813" s="4">
        <v>808</v>
      </c>
      <c r="B813" s="6" t="s">
        <v>1221</v>
      </c>
      <c r="C813" s="6" t="s">
        <v>950</v>
      </c>
      <c r="E813" s="6" t="s">
        <v>1215</v>
      </c>
      <c r="G813" s="4" t="s">
        <v>1214</v>
      </c>
      <c r="H813" s="4" t="s">
        <v>1281</v>
      </c>
      <c r="I813" s="2" t="s">
        <v>1293</v>
      </c>
      <c r="J813" s="2" t="s">
        <v>1292</v>
      </c>
      <c r="L813" s="19" t="s">
        <v>2918</v>
      </c>
      <c r="N813" s="4" t="s">
        <v>1210</v>
      </c>
      <c r="O813" s="4" t="s">
        <v>1278</v>
      </c>
      <c r="P813" s="2" t="s">
        <v>1291</v>
      </c>
      <c r="Q813" s="2" t="s">
        <v>1290</v>
      </c>
      <c r="S813" s="19" t="s">
        <v>2919</v>
      </c>
      <c r="U813" s="4" t="s">
        <v>1206</v>
      </c>
      <c r="V813" s="4" t="s">
        <v>1274</v>
      </c>
      <c r="W813" s="2" t="s">
        <v>1289</v>
      </c>
      <c r="X813" s="2" t="s">
        <v>1288</v>
      </c>
      <c r="Z813" s="19" t="s">
        <v>2921</v>
      </c>
    </row>
    <row r="814" spans="1:26" x14ac:dyDescent="0.2">
      <c r="A814" s="4">
        <v>809</v>
      </c>
      <c r="B814" s="6" t="s">
        <v>1221</v>
      </c>
      <c r="E814" s="6" t="s">
        <v>1215</v>
      </c>
      <c r="G814" s="4" t="s">
        <v>1214</v>
      </c>
      <c r="H814" s="4" t="s">
        <v>1281</v>
      </c>
      <c r="I814" s="2" t="s">
        <v>1219</v>
      </c>
      <c r="J814" s="2" t="s">
        <v>1220</v>
      </c>
      <c r="N814" s="4" t="s">
        <v>1210</v>
      </c>
      <c r="O814" s="4" t="s">
        <v>1278</v>
      </c>
      <c r="P814" s="2" t="s">
        <v>1219</v>
      </c>
      <c r="Q814" s="2" t="s">
        <v>1218</v>
      </c>
      <c r="U814" s="4" t="s">
        <v>1206</v>
      </c>
      <c r="V814" s="4" t="s">
        <v>1274</v>
      </c>
      <c r="W814" s="2" t="s">
        <v>1219</v>
      </c>
      <c r="X814" s="2" t="s">
        <v>1218</v>
      </c>
    </row>
    <row r="815" spans="1:26" x14ac:dyDescent="0.2">
      <c r="A815" s="4">
        <v>810</v>
      </c>
      <c r="D815" s="6" t="s">
        <v>950</v>
      </c>
      <c r="E815" s="6" t="s">
        <v>1215</v>
      </c>
      <c r="G815" s="4" t="s">
        <v>1214</v>
      </c>
      <c r="H815" s="4" t="s">
        <v>1281</v>
      </c>
      <c r="I815" s="2" t="s">
        <v>1217</v>
      </c>
      <c r="J815" s="2" t="s">
        <v>933</v>
      </c>
      <c r="K815" s="3">
        <v>100</v>
      </c>
      <c r="N815" s="4" t="s">
        <v>1210</v>
      </c>
      <c r="O815" s="4" t="s">
        <v>1278</v>
      </c>
      <c r="P815" s="2" t="s">
        <v>1217</v>
      </c>
      <c r="Q815" s="2" t="s">
        <v>933</v>
      </c>
      <c r="R815" s="3">
        <v>100</v>
      </c>
      <c r="U815" s="4" t="s">
        <v>1206</v>
      </c>
      <c r="V815" s="4" t="s">
        <v>1274</v>
      </c>
      <c r="W815" s="2" t="s">
        <v>1217</v>
      </c>
      <c r="X815" s="2" t="s">
        <v>1216</v>
      </c>
      <c r="Y815" s="3">
        <v>100</v>
      </c>
    </row>
    <row r="816" spans="1:26" x14ac:dyDescent="0.2">
      <c r="A816" s="4">
        <v>811</v>
      </c>
      <c r="D816" s="6" t="s">
        <v>950</v>
      </c>
      <c r="E816" s="6" t="s">
        <v>1215</v>
      </c>
      <c r="G816" s="4" t="s">
        <v>1214</v>
      </c>
      <c r="H816" s="4" t="s">
        <v>1281</v>
      </c>
      <c r="I816" s="2" t="s">
        <v>1285</v>
      </c>
      <c r="J816" s="2" t="s">
        <v>1199</v>
      </c>
      <c r="K816" s="3" t="s">
        <v>1284</v>
      </c>
      <c r="N816" s="4" t="s">
        <v>1210</v>
      </c>
      <c r="O816" s="4" t="s">
        <v>1278</v>
      </c>
      <c r="P816" s="2" t="s">
        <v>1285</v>
      </c>
      <c r="Q816" s="2" t="s">
        <v>1199</v>
      </c>
      <c r="R816" s="3" t="s">
        <v>1284</v>
      </c>
      <c r="U816" s="4" t="s">
        <v>1206</v>
      </c>
      <c r="V816" s="4" t="s">
        <v>1274</v>
      </c>
      <c r="W816" s="2" t="s">
        <v>1285</v>
      </c>
      <c r="X816" s="2" t="s">
        <v>1199</v>
      </c>
      <c r="Y816" s="3" t="s">
        <v>1284</v>
      </c>
    </row>
    <row r="817" spans="1:26" x14ac:dyDescent="0.2">
      <c r="A817" s="4">
        <v>812</v>
      </c>
      <c r="D817" s="6" t="s">
        <v>950</v>
      </c>
      <c r="E817" s="6" t="s">
        <v>1215</v>
      </c>
      <c r="G817" s="4" t="s">
        <v>1214</v>
      </c>
      <c r="H817" s="4" t="s">
        <v>1281</v>
      </c>
      <c r="I817" s="2" t="s">
        <v>1283</v>
      </c>
      <c r="J817" s="2" t="s">
        <v>1200</v>
      </c>
      <c r="K817" s="3" t="s">
        <v>1282</v>
      </c>
      <c r="N817" s="4" t="s">
        <v>1210</v>
      </c>
      <c r="O817" s="4" t="s">
        <v>1278</v>
      </c>
      <c r="P817" s="2" t="s">
        <v>1283</v>
      </c>
      <c r="Q817" s="2" t="s">
        <v>1200</v>
      </c>
      <c r="R817" s="3" t="s">
        <v>1282</v>
      </c>
      <c r="U817" s="4" t="s">
        <v>1206</v>
      </c>
      <c r="V817" s="4" t="s">
        <v>1274</v>
      </c>
      <c r="W817" s="2" t="s">
        <v>1283</v>
      </c>
      <c r="X817" s="2" t="s">
        <v>1200</v>
      </c>
      <c r="Y817" s="3" t="s">
        <v>1282</v>
      </c>
    </row>
    <row r="818" spans="1:26" x14ac:dyDescent="0.2">
      <c r="A818" s="4">
        <v>813</v>
      </c>
      <c r="D818" s="6" t="s">
        <v>950</v>
      </c>
      <c r="E818" s="6" t="s">
        <v>1215</v>
      </c>
      <c r="G818" s="4" t="s">
        <v>1214</v>
      </c>
      <c r="H818" s="4" t="s">
        <v>1281</v>
      </c>
      <c r="I818" s="2" t="s">
        <v>1280</v>
      </c>
      <c r="J818" s="2" t="s">
        <v>59</v>
      </c>
      <c r="K818" s="3" t="s">
        <v>1279</v>
      </c>
      <c r="N818" s="4" t="s">
        <v>1210</v>
      </c>
      <c r="O818" s="4" t="s">
        <v>1278</v>
      </c>
      <c r="P818" s="2" t="s">
        <v>1277</v>
      </c>
      <c r="Q818" s="2" t="s">
        <v>1276</v>
      </c>
      <c r="R818" s="3" t="s">
        <v>1275</v>
      </c>
      <c r="U818" s="4" t="s">
        <v>1206</v>
      </c>
      <c r="V818" s="4" t="s">
        <v>1274</v>
      </c>
      <c r="W818" s="2" t="s">
        <v>1273</v>
      </c>
      <c r="X818" s="2" t="s">
        <v>1272</v>
      </c>
      <c r="Y818" s="3" t="s">
        <v>1271</v>
      </c>
    </row>
    <row r="819" spans="1:26" x14ac:dyDescent="0.2">
      <c r="A819" s="4">
        <v>814</v>
      </c>
      <c r="C819" s="6" t="s">
        <v>950</v>
      </c>
      <c r="E819" s="6" t="s">
        <v>1215</v>
      </c>
      <c r="G819" s="4" t="s">
        <v>1214</v>
      </c>
      <c r="H819" s="4" t="s">
        <v>1265</v>
      </c>
      <c r="I819" s="2" t="s">
        <v>1270</v>
      </c>
      <c r="J819" s="2" t="s">
        <v>1229</v>
      </c>
      <c r="L819" s="2" t="s">
        <v>1228</v>
      </c>
      <c r="N819" s="4" t="s">
        <v>1210</v>
      </c>
      <c r="O819" s="4" t="s">
        <v>1263</v>
      </c>
      <c r="P819" s="2" t="s">
        <v>1269</v>
      </c>
      <c r="Q819" s="2" t="s">
        <v>1226</v>
      </c>
      <c r="S819" s="2" t="s">
        <v>1225</v>
      </c>
      <c r="U819" s="4" t="s">
        <v>1206</v>
      </c>
      <c r="V819" s="4" t="s">
        <v>1261</v>
      </c>
      <c r="W819" s="2" t="s">
        <v>1268</v>
      </c>
      <c r="X819" s="2" t="s">
        <v>1223</v>
      </c>
      <c r="Z819" s="2" t="s">
        <v>1222</v>
      </c>
    </row>
    <row r="820" spans="1:26" ht="38.25" x14ac:dyDescent="0.2">
      <c r="A820" s="4">
        <v>815</v>
      </c>
      <c r="E820" s="6" t="s">
        <v>1215</v>
      </c>
      <c r="G820" s="4" t="s">
        <v>1214</v>
      </c>
      <c r="H820" s="4" t="s">
        <v>1265</v>
      </c>
      <c r="I820" s="2" t="s">
        <v>123</v>
      </c>
      <c r="J820" s="2" t="s">
        <v>1267</v>
      </c>
      <c r="N820" s="4" t="s">
        <v>1210</v>
      </c>
      <c r="O820" s="4" t="s">
        <v>1263</v>
      </c>
      <c r="P820" s="2" t="s">
        <v>123</v>
      </c>
      <c r="Q820" s="2" t="s">
        <v>1266</v>
      </c>
      <c r="U820" s="4" t="s">
        <v>1206</v>
      </c>
      <c r="V820" s="4" t="s">
        <v>1261</v>
      </c>
      <c r="W820" s="2" t="s">
        <v>1247</v>
      </c>
      <c r="X820" s="2" t="s">
        <v>1266</v>
      </c>
    </row>
    <row r="821" spans="1:26" x14ac:dyDescent="0.2">
      <c r="A821" s="4">
        <v>816</v>
      </c>
      <c r="E821" s="6" t="s">
        <v>1215</v>
      </c>
      <c r="G821" s="4" t="s">
        <v>1214</v>
      </c>
      <c r="H821" s="4" t="s">
        <v>1265</v>
      </c>
      <c r="I821" s="2" t="s">
        <v>1212</v>
      </c>
      <c r="J821" s="2" t="s">
        <v>1264</v>
      </c>
      <c r="N821" s="4" t="s">
        <v>1210</v>
      </c>
      <c r="O821" s="4" t="s">
        <v>1263</v>
      </c>
      <c r="P821" s="2" t="s">
        <v>1208</v>
      </c>
      <c r="Q821" s="2" t="s">
        <v>1262</v>
      </c>
      <c r="U821" s="4" t="s">
        <v>1206</v>
      </c>
      <c r="V821" s="4" t="s">
        <v>1261</v>
      </c>
      <c r="W821" s="2" t="s">
        <v>1204</v>
      </c>
      <c r="X821" s="2" t="s">
        <v>1260</v>
      </c>
    </row>
    <row r="822" spans="1:26" x14ac:dyDescent="0.2">
      <c r="A822" s="4">
        <v>817</v>
      </c>
      <c r="C822" s="6" t="s">
        <v>950</v>
      </c>
      <c r="E822" s="6" t="s">
        <v>1215</v>
      </c>
      <c r="G822" s="4" t="s">
        <v>1214</v>
      </c>
      <c r="H822" s="4" t="s">
        <v>1256</v>
      </c>
      <c r="I822" s="2" t="s">
        <v>1259</v>
      </c>
      <c r="J822" s="2" t="s">
        <v>1229</v>
      </c>
      <c r="L822" s="2" t="s">
        <v>1228</v>
      </c>
      <c r="N822" s="4" t="s">
        <v>1210</v>
      </c>
      <c r="O822" s="4" t="s">
        <v>1254</v>
      </c>
      <c r="P822" s="2" t="s">
        <v>1258</v>
      </c>
      <c r="Q822" s="2" t="s">
        <v>1226</v>
      </c>
      <c r="S822" s="2" t="s">
        <v>1225</v>
      </c>
      <c r="U822" s="4" t="s">
        <v>1206</v>
      </c>
      <c r="V822" s="4" t="s">
        <v>1253</v>
      </c>
      <c r="W822" s="2" t="s">
        <v>1257</v>
      </c>
      <c r="X822" s="2" t="s">
        <v>1223</v>
      </c>
      <c r="Z822" s="2" t="s">
        <v>1222</v>
      </c>
    </row>
    <row r="823" spans="1:26" ht="38.25" x14ac:dyDescent="0.2">
      <c r="A823" s="4">
        <v>818</v>
      </c>
      <c r="E823" s="6" t="s">
        <v>1215</v>
      </c>
      <c r="G823" s="4" t="s">
        <v>1214</v>
      </c>
      <c r="H823" s="4" t="s">
        <v>1256</v>
      </c>
      <c r="I823" s="2" t="s">
        <v>123</v>
      </c>
      <c r="J823" s="2" t="s">
        <v>1255</v>
      </c>
      <c r="N823" s="4" t="s">
        <v>1210</v>
      </c>
      <c r="O823" s="4" t="s">
        <v>1254</v>
      </c>
      <c r="P823" s="2" t="s">
        <v>123</v>
      </c>
      <c r="Q823" s="2" t="s">
        <v>1252</v>
      </c>
      <c r="U823" s="4" t="s">
        <v>1206</v>
      </c>
      <c r="V823" s="4" t="s">
        <v>1253</v>
      </c>
      <c r="W823" s="2" t="s">
        <v>1247</v>
      </c>
      <c r="X823" s="2" t="s">
        <v>1252</v>
      </c>
    </row>
    <row r="824" spans="1:26" ht="25.5" x14ac:dyDescent="0.2">
      <c r="A824" s="4">
        <v>819</v>
      </c>
      <c r="C824" s="6" t="s">
        <v>950</v>
      </c>
      <c r="E824" s="6" t="s">
        <v>1215</v>
      </c>
      <c r="G824" s="4" t="s">
        <v>1214</v>
      </c>
      <c r="H824" s="4" t="s">
        <v>1245</v>
      </c>
      <c r="I824" s="2" t="s">
        <v>1251</v>
      </c>
      <c r="J824" s="2" t="s">
        <v>1229</v>
      </c>
      <c r="L824" s="2" t="s">
        <v>1228</v>
      </c>
      <c r="N824" s="4" t="s">
        <v>1210</v>
      </c>
      <c r="O824" s="4" t="s">
        <v>1243</v>
      </c>
      <c r="P824" s="2" t="s">
        <v>1250</v>
      </c>
      <c r="Q824" s="2" t="s">
        <v>1226</v>
      </c>
      <c r="S824" s="2" t="s">
        <v>1225</v>
      </c>
      <c r="U824" s="4" t="s">
        <v>1206</v>
      </c>
      <c r="V824" s="4" t="s">
        <v>1241</v>
      </c>
      <c r="W824" s="2" t="s">
        <v>1249</v>
      </c>
      <c r="X824" s="2" t="s">
        <v>1223</v>
      </c>
      <c r="Z824" s="2" t="s">
        <v>1222</v>
      </c>
    </row>
    <row r="825" spans="1:26" ht="63.75" x14ac:dyDescent="0.2">
      <c r="A825" s="4">
        <v>820</v>
      </c>
      <c r="E825" s="6" t="s">
        <v>1215</v>
      </c>
      <c r="G825" s="4" t="s">
        <v>1214</v>
      </c>
      <c r="H825" s="4" t="s">
        <v>1245</v>
      </c>
      <c r="I825" s="2" t="s">
        <v>123</v>
      </c>
      <c r="J825" s="2" t="s">
        <v>1248</v>
      </c>
      <c r="N825" s="4" t="s">
        <v>1210</v>
      </c>
      <c r="O825" s="4" t="s">
        <v>1243</v>
      </c>
      <c r="P825" s="2" t="s">
        <v>123</v>
      </c>
      <c r="Q825" s="2" t="s">
        <v>1246</v>
      </c>
      <c r="U825" s="4" t="s">
        <v>1206</v>
      </c>
      <c r="V825" s="4" t="s">
        <v>1241</v>
      </c>
      <c r="W825" s="2" t="s">
        <v>1247</v>
      </c>
      <c r="X825" s="2" t="s">
        <v>1246</v>
      </c>
    </row>
    <row r="826" spans="1:26" ht="51" x14ac:dyDescent="0.2">
      <c r="A826" s="4">
        <v>821</v>
      </c>
      <c r="E826" s="6" t="s">
        <v>1215</v>
      </c>
      <c r="G826" s="4" t="s">
        <v>1214</v>
      </c>
      <c r="H826" s="4" t="s">
        <v>1245</v>
      </c>
      <c r="I826" s="2" t="s">
        <v>1244</v>
      </c>
      <c r="J826" s="2" t="s">
        <v>2964</v>
      </c>
      <c r="N826" s="4" t="s">
        <v>1210</v>
      </c>
      <c r="O826" s="4" t="s">
        <v>1243</v>
      </c>
      <c r="P826" s="2" t="s">
        <v>1242</v>
      </c>
      <c r="Q826" s="2" t="s">
        <v>2965</v>
      </c>
      <c r="U826" s="4" t="s">
        <v>1206</v>
      </c>
      <c r="V826" s="4" t="s">
        <v>1241</v>
      </c>
      <c r="W826" s="2" t="s">
        <v>1240</v>
      </c>
      <c r="X826" s="2" t="s">
        <v>2966</v>
      </c>
    </row>
    <row r="827" spans="1:26" ht="25.5" x14ac:dyDescent="0.2">
      <c r="A827" s="4">
        <v>822</v>
      </c>
      <c r="C827" s="6" t="s">
        <v>950</v>
      </c>
      <c r="E827" s="6" t="s">
        <v>1215</v>
      </c>
      <c r="G827" s="4" t="s">
        <v>1214</v>
      </c>
      <c r="H827" s="4" t="s">
        <v>1236</v>
      </c>
      <c r="I827" s="2" t="s">
        <v>1239</v>
      </c>
      <c r="J827" s="2" t="s">
        <v>1229</v>
      </c>
      <c r="L827" s="2" t="s">
        <v>1228</v>
      </c>
      <c r="N827" s="4" t="s">
        <v>1210</v>
      </c>
      <c r="O827" s="4" t="s">
        <v>1234</v>
      </c>
      <c r="P827" s="2" t="s">
        <v>1238</v>
      </c>
      <c r="Q827" s="2" t="s">
        <v>1226</v>
      </c>
      <c r="S827" s="2" t="s">
        <v>1225</v>
      </c>
      <c r="U827" s="4" t="s">
        <v>1206</v>
      </c>
      <c r="V827" s="4" t="s">
        <v>1232</v>
      </c>
      <c r="W827" s="2" t="s">
        <v>1237</v>
      </c>
      <c r="X827" s="2" t="s">
        <v>1223</v>
      </c>
      <c r="Z827" s="2" t="s">
        <v>1222</v>
      </c>
    </row>
    <row r="828" spans="1:26" x14ac:dyDescent="0.2">
      <c r="A828" s="4">
        <v>823</v>
      </c>
      <c r="E828" s="6" t="s">
        <v>1215</v>
      </c>
      <c r="G828" s="4" t="s">
        <v>1214</v>
      </c>
      <c r="H828" s="4" t="s">
        <v>1236</v>
      </c>
      <c r="I828" s="2" t="s">
        <v>1219</v>
      </c>
      <c r="J828" s="2" t="s">
        <v>1220</v>
      </c>
      <c r="N828" s="4" t="s">
        <v>1210</v>
      </c>
      <c r="O828" s="4" t="s">
        <v>1234</v>
      </c>
      <c r="P828" s="2" t="s">
        <v>1219</v>
      </c>
      <c r="Q828" s="2" t="s">
        <v>1218</v>
      </c>
      <c r="U828" s="4" t="s">
        <v>1206</v>
      </c>
      <c r="V828" s="4" t="s">
        <v>1232</v>
      </c>
      <c r="W828" s="2" t="s">
        <v>1219</v>
      </c>
      <c r="X828" s="2" t="s">
        <v>1218</v>
      </c>
    </row>
    <row r="829" spans="1:26" x14ac:dyDescent="0.2">
      <c r="A829" s="4">
        <v>824</v>
      </c>
      <c r="D829" s="6" t="s">
        <v>950</v>
      </c>
      <c r="E829" s="6" t="s">
        <v>1215</v>
      </c>
      <c r="G829" s="4" t="s">
        <v>1214</v>
      </c>
      <c r="H829" s="4" t="s">
        <v>1236</v>
      </c>
      <c r="I829" s="2" t="s">
        <v>1217</v>
      </c>
      <c r="J829" s="2" t="s">
        <v>933</v>
      </c>
      <c r="K829" s="3">
        <v>0</v>
      </c>
      <c r="N829" s="4" t="s">
        <v>1210</v>
      </c>
      <c r="O829" s="4" t="s">
        <v>1234</v>
      </c>
      <c r="P829" s="2" t="s">
        <v>1217</v>
      </c>
      <c r="Q829" s="2" t="s">
        <v>933</v>
      </c>
      <c r="R829" s="3">
        <v>0</v>
      </c>
      <c r="U829" s="4" t="s">
        <v>1206</v>
      </c>
      <c r="V829" s="4" t="s">
        <v>1232</v>
      </c>
      <c r="W829" s="2" t="s">
        <v>1217</v>
      </c>
      <c r="X829" s="2" t="s">
        <v>1216</v>
      </c>
      <c r="Y829" s="3">
        <v>0</v>
      </c>
    </row>
    <row r="830" spans="1:26" x14ac:dyDescent="0.2">
      <c r="A830" s="4">
        <v>825</v>
      </c>
      <c r="E830" s="6" t="s">
        <v>1215</v>
      </c>
      <c r="G830" s="4" t="s">
        <v>1214</v>
      </c>
      <c r="H830" s="4" t="s">
        <v>1236</v>
      </c>
      <c r="I830" s="2" t="s">
        <v>1212</v>
      </c>
      <c r="J830" s="2" t="s">
        <v>1235</v>
      </c>
      <c r="N830" s="4" t="s">
        <v>1210</v>
      </c>
      <c r="O830" s="4" t="s">
        <v>1234</v>
      </c>
      <c r="P830" s="2" t="s">
        <v>1208</v>
      </c>
      <c r="Q830" s="2" t="s">
        <v>1233</v>
      </c>
      <c r="U830" s="4" t="s">
        <v>1206</v>
      </c>
      <c r="V830" s="4" t="s">
        <v>1232</v>
      </c>
      <c r="W830" s="2" t="s">
        <v>1204</v>
      </c>
      <c r="X830" s="2" t="s">
        <v>1231</v>
      </c>
    </row>
    <row r="831" spans="1:26" x14ac:dyDescent="0.2">
      <c r="A831" s="4">
        <v>826</v>
      </c>
      <c r="B831" s="6" t="s">
        <v>1221</v>
      </c>
      <c r="C831" s="6" t="s">
        <v>950</v>
      </c>
      <c r="E831" s="6" t="s">
        <v>1215</v>
      </c>
      <c r="G831" s="4" t="s">
        <v>1214</v>
      </c>
      <c r="H831" s="4" t="s">
        <v>1213</v>
      </c>
      <c r="I831" s="2" t="s">
        <v>1230</v>
      </c>
      <c r="J831" s="2" t="s">
        <v>1229</v>
      </c>
      <c r="L831" s="2" t="s">
        <v>1228</v>
      </c>
      <c r="N831" s="4" t="s">
        <v>1210</v>
      </c>
      <c r="O831" s="4" t="s">
        <v>1209</v>
      </c>
      <c r="P831" s="2" t="s">
        <v>1227</v>
      </c>
      <c r="Q831" s="2" t="s">
        <v>1226</v>
      </c>
      <c r="S831" s="2" t="s">
        <v>1225</v>
      </c>
      <c r="U831" s="4" t="s">
        <v>1206</v>
      </c>
      <c r="V831" s="4" t="s">
        <v>1205</v>
      </c>
      <c r="W831" s="2" t="s">
        <v>1224</v>
      </c>
      <c r="X831" s="2" t="s">
        <v>1223</v>
      </c>
      <c r="Z831" s="2" t="s">
        <v>1222</v>
      </c>
    </row>
    <row r="832" spans="1:26" x14ac:dyDescent="0.2">
      <c r="A832" s="4">
        <v>827</v>
      </c>
      <c r="B832" s="6" t="s">
        <v>1221</v>
      </c>
      <c r="E832" s="6" t="s">
        <v>1215</v>
      </c>
      <c r="G832" s="4" t="s">
        <v>1214</v>
      </c>
      <c r="H832" s="4" t="s">
        <v>1213</v>
      </c>
      <c r="I832" s="2" t="s">
        <v>1219</v>
      </c>
      <c r="J832" s="2" t="s">
        <v>1220</v>
      </c>
      <c r="N832" s="4" t="s">
        <v>1210</v>
      </c>
      <c r="O832" s="4" t="s">
        <v>1209</v>
      </c>
      <c r="P832" s="2" t="s">
        <v>1219</v>
      </c>
      <c r="Q832" s="2" t="s">
        <v>1218</v>
      </c>
      <c r="U832" s="4" t="s">
        <v>1206</v>
      </c>
      <c r="V832" s="4" t="s">
        <v>1205</v>
      </c>
      <c r="W832" s="2" t="s">
        <v>1219</v>
      </c>
      <c r="X832" s="2" t="s">
        <v>1218</v>
      </c>
    </row>
    <row r="833" spans="1:25" x14ac:dyDescent="0.2">
      <c r="A833" s="4">
        <v>828</v>
      </c>
      <c r="D833" s="6" t="s">
        <v>950</v>
      </c>
      <c r="E833" s="6" t="s">
        <v>1215</v>
      </c>
      <c r="G833" s="4" t="s">
        <v>1214</v>
      </c>
      <c r="H833" s="4" t="s">
        <v>1213</v>
      </c>
      <c r="I833" s="2" t="s">
        <v>1217</v>
      </c>
      <c r="J833" s="2" t="s">
        <v>933</v>
      </c>
      <c r="K833" s="3">
        <v>0</v>
      </c>
      <c r="N833" s="4" t="s">
        <v>1210</v>
      </c>
      <c r="O833" s="4" t="s">
        <v>1209</v>
      </c>
      <c r="P833" s="2" t="s">
        <v>1217</v>
      </c>
      <c r="Q833" s="2" t="s">
        <v>933</v>
      </c>
      <c r="R833" s="3">
        <v>0</v>
      </c>
      <c r="U833" s="4" t="s">
        <v>1206</v>
      </c>
      <c r="V833" s="4" t="s">
        <v>1205</v>
      </c>
      <c r="W833" s="2" t="s">
        <v>1217</v>
      </c>
      <c r="X833" s="2" t="s">
        <v>1216</v>
      </c>
      <c r="Y833" s="3">
        <v>0</v>
      </c>
    </row>
    <row r="834" spans="1:25" x14ac:dyDescent="0.2">
      <c r="A834" s="4">
        <v>829</v>
      </c>
      <c r="E834" s="6" t="s">
        <v>1215</v>
      </c>
      <c r="G834" s="4" t="s">
        <v>1214</v>
      </c>
      <c r="H834" s="4" t="s">
        <v>1213</v>
      </c>
      <c r="I834" s="2" t="s">
        <v>1212</v>
      </c>
      <c r="J834" s="2" t="s">
        <v>1211</v>
      </c>
      <c r="N834" s="4" t="s">
        <v>1210</v>
      </c>
      <c r="O834" s="4" t="s">
        <v>1209</v>
      </c>
      <c r="P834" s="2" t="s">
        <v>1208</v>
      </c>
      <c r="Q834" s="2" t="s">
        <v>1207</v>
      </c>
      <c r="U834" s="4" t="s">
        <v>1206</v>
      </c>
      <c r="V834" s="4" t="s">
        <v>1205</v>
      </c>
      <c r="W834" s="2" t="s">
        <v>1204</v>
      </c>
      <c r="X834" s="2" t="s">
        <v>1203</v>
      </c>
    </row>
  </sheetData>
  <autoFilter ref="A5:Z834" xr:uid="{00000000-0009-0000-0000-000001000000}"/>
  <mergeCells count="4">
    <mergeCell ref="N4:S4"/>
    <mergeCell ref="U4:Z4"/>
    <mergeCell ref="G4:L4"/>
    <mergeCell ref="A4:E4"/>
  </mergeCells>
  <dataValidations count="4">
    <dataValidation allowBlank="1" showInputMessage="1" showErrorMessage="1" promptTitle="Zeileninhalt" prompt="A: Attribut_x000a_D: Domaindefinition_x000a_K: Kommentar" sqref="E6:E834" xr:uid="{00000000-0002-0000-0100-000003000000}"/>
    <dataValidation allowBlank="1" showInputMessage="1" showErrorMessage="1" promptTitle="Optional" prompt="x: Optional" sqref="D6:D834" xr:uid="{00000000-0002-0000-0100-000002000000}"/>
    <dataValidation allowBlank="1" showInputMessage="1" showErrorMessage="1" promptTitle="Fremdschlüssel" prompt="x: Fremdschlüssel" sqref="C6:C834" xr:uid="{00000000-0002-0000-0100-000001000000}"/>
    <dataValidation allowBlank="1" showInputMessage="1" showErrorMessage="1" promptTitle="Identifikator" prompt="ID:    Identifikator_x000a_ID+: Identifikator-Kombination" sqref="B6:B834" xr:uid="{00000000-0002-0000-0100-000000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1BD15-38A9-48D0-840C-7DE87BFA8AA8}">
  <sheetPr codeName="Tabelle6"/>
  <dimension ref="A1:K1197"/>
  <sheetViews>
    <sheetView zoomScale="70" zoomScaleNormal="70" workbookViewId="0">
      <pane ySplit="3" topLeftCell="A4" activePane="bottomLeft" state="frozen"/>
      <selection pane="bottomLeft" activeCell="A4" sqref="A4"/>
    </sheetView>
  </sheetViews>
  <sheetFormatPr baseColWidth="10" defaultColWidth="11.42578125" defaultRowHeight="12.75" x14ac:dyDescent="0.25"/>
  <cols>
    <col min="1" max="2" width="10.7109375" style="47" customWidth="1"/>
    <col min="3" max="3" width="5.7109375" style="47" customWidth="1"/>
    <col min="4" max="4" width="10.7109375" style="47" customWidth="1"/>
    <col min="5" max="11" width="10.7109375" style="188" customWidth="1"/>
    <col min="12" max="12" width="5.7109375" style="47" customWidth="1"/>
    <col min="13" max="16384" width="11.42578125" style="47"/>
  </cols>
  <sheetData>
    <row r="1" spans="1:11" s="113" customFormat="1" ht="24.95" customHeight="1" x14ac:dyDescent="0.25">
      <c r="A1" s="257" t="s">
        <v>3388</v>
      </c>
      <c r="B1" s="257"/>
      <c r="D1" s="258" t="s">
        <v>3389</v>
      </c>
      <c r="E1" s="258"/>
      <c r="F1" s="258"/>
      <c r="G1" s="258"/>
      <c r="H1" s="258"/>
      <c r="I1" s="258"/>
      <c r="J1" s="258"/>
      <c r="K1" s="258"/>
    </row>
    <row r="2" spans="1:11" s="113" customFormat="1" x14ac:dyDescent="0.25">
      <c r="E2" s="186"/>
      <c r="F2" s="186"/>
      <c r="G2" s="186"/>
      <c r="H2" s="186"/>
      <c r="I2" s="186"/>
      <c r="J2" s="186"/>
      <c r="K2" s="186"/>
    </row>
    <row r="3" spans="1:11" s="48" customFormat="1" x14ac:dyDescent="0.25">
      <c r="A3" s="48" t="s">
        <v>2968</v>
      </c>
      <c r="B3" s="48" t="s">
        <v>3326</v>
      </c>
      <c r="D3" s="48" t="s">
        <v>3390</v>
      </c>
      <c r="E3" s="187" t="s">
        <v>2968</v>
      </c>
      <c r="F3" s="187" t="s">
        <v>66</v>
      </c>
      <c r="G3" s="187" t="s">
        <v>5703</v>
      </c>
      <c r="H3" s="187" t="s">
        <v>3562</v>
      </c>
      <c r="I3" s="187" t="s">
        <v>66</v>
      </c>
      <c r="J3" s="187" t="s">
        <v>5703</v>
      </c>
      <c r="K3" s="187" t="s">
        <v>2969</v>
      </c>
    </row>
    <row r="4" spans="1:11" x14ac:dyDescent="0.25">
      <c r="A4" s="47" t="s">
        <v>4937</v>
      </c>
      <c r="B4" s="47" t="s">
        <v>4503</v>
      </c>
      <c r="D4" s="47">
        <v>1</v>
      </c>
      <c r="E4" s="188" t="s">
        <v>4944</v>
      </c>
      <c r="F4" s="188" t="s">
        <v>2970</v>
      </c>
      <c r="G4" s="188" t="s">
        <v>2970</v>
      </c>
      <c r="H4" s="188" t="s">
        <v>2970</v>
      </c>
      <c r="I4" s="188" t="s">
        <v>2970</v>
      </c>
      <c r="J4" s="188" t="s">
        <v>2970</v>
      </c>
      <c r="K4" s="188" t="s">
        <v>2970</v>
      </c>
    </row>
    <row r="5" spans="1:11" x14ac:dyDescent="0.25">
      <c r="A5" s="47" t="s">
        <v>4938</v>
      </c>
      <c r="B5" s="47" t="s">
        <v>4504</v>
      </c>
      <c r="D5" s="47">
        <v>2</v>
      </c>
      <c r="E5" s="188" t="s">
        <v>4942</v>
      </c>
      <c r="F5" s="188" t="s">
        <v>2970</v>
      </c>
      <c r="G5" s="188" t="s">
        <v>2970</v>
      </c>
      <c r="H5" s="188" t="s">
        <v>2970</v>
      </c>
      <c r="I5" s="188" t="s">
        <v>2970</v>
      </c>
      <c r="J5" s="188" t="s">
        <v>2970</v>
      </c>
      <c r="K5" s="188" t="s">
        <v>2970</v>
      </c>
    </row>
    <row r="6" spans="1:11" x14ac:dyDescent="0.25">
      <c r="A6" s="47" t="s">
        <v>4939</v>
      </c>
      <c r="B6" s="47" t="s">
        <v>4505</v>
      </c>
      <c r="D6" s="47">
        <v>3</v>
      </c>
      <c r="E6" s="188" t="s">
        <v>4941</v>
      </c>
      <c r="F6" s="188" t="s">
        <v>2970</v>
      </c>
      <c r="G6" s="188" t="s">
        <v>2970</v>
      </c>
      <c r="H6" s="188" t="s">
        <v>2970</v>
      </c>
      <c r="I6" s="188" t="s">
        <v>2970</v>
      </c>
      <c r="J6" s="188" t="s">
        <v>2970</v>
      </c>
      <c r="K6" s="188" t="s">
        <v>2970</v>
      </c>
    </row>
    <row r="7" spans="1:11" x14ac:dyDescent="0.25">
      <c r="A7" s="47" t="s">
        <v>4940</v>
      </c>
      <c r="B7" s="47" t="s">
        <v>4506</v>
      </c>
      <c r="D7" s="47">
        <v>4</v>
      </c>
      <c r="E7" s="188" t="s">
        <v>4945</v>
      </c>
      <c r="F7" s="188" t="s">
        <v>2970</v>
      </c>
      <c r="G7" s="188" t="s">
        <v>2970</v>
      </c>
      <c r="H7" s="188" t="s">
        <v>2970</v>
      </c>
      <c r="I7" s="188" t="s">
        <v>2970</v>
      </c>
      <c r="J7" s="188" t="s">
        <v>2970</v>
      </c>
      <c r="K7" s="188" t="s">
        <v>2970</v>
      </c>
    </row>
    <row r="8" spans="1:11" x14ac:dyDescent="0.25">
      <c r="A8" s="47" t="s">
        <v>4941</v>
      </c>
      <c r="B8" s="47" t="s">
        <v>4507</v>
      </c>
      <c r="D8" s="47">
        <v>5</v>
      </c>
      <c r="E8" s="188" t="s">
        <v>4938</v>
      </c>
      <c r="F8" s="188" t="s">
        <v>2970</v>
      </c>
      <c r="G8" s="188" t="s">
        <v>2970</v>
      </c>
      <c r="H8" s="188" t="s">
        <v>2970</v>
      </c>
      <c r="I8" s="188" t="s">
        <v>2970</v>
      </c>
      <c r="J8" s="188" t="s">
        <v>2970</v>
      </c>
      <c r="K8" s="188" t="s">
        <v>2970</v>
      </c>
    </row>
    <row r="9" spans="1:11" x14ac:dyDescent="0.25">
      <c r="A9" s="47" t="s">
        <v>4942</v>
      </c>
      <c r="B9" s="47" t="s">
        <v>4508</v>
      </c>
      <c r="D9" s="47">
        <v>6</v>
      </c>
      <c r="E9" s="188" t="s">
        <v>4948</v>
      </c>
      <c r="F9" s="188" t="s">
        <v>2970</v>
      </c>
      <c r="G9" s="188" t="s">
        <v>2970</v>
      </c>
      <c r="H9" s="188" t="s">
        <v>2970</v>
      </c>
      <c r="I9" s="188" t="s">
        <v>2970</v>
      </c>
      <c r="J9" s="188" t="s">
        <v>2970</v>
      </c>
      <c r="K9" s="188" t="s">
        <v>2970</v>
      </c>
    </row>
    <row r="10" spans="1:11" x14ac:dyDescent="0.25">
      <c r="A10" s="47" t="s">
        <v>4943</v>
      </c>
      <c r="B10" s="47" t="s">
        <v>4509</v>
      </c>
      <c r="D10" s="47">
        <v>7</v>
      </c>
      <c r="E10" s="188" t="s">
        <v>4940</v>
      </c>
      <c r="F10" s="188" t="s">
        <v>2970</v>
      </c>
      <c r="G10" s="188" t="s">
        <v>2970</v>
      </c>
      <c r="H10" s="188" t="s">
        <v>2970</v>
      </c>
      <c r="I10" s="188" t="s">
        <v>2970</v>
      </c>
      <c r="J10" s="188" t="s">
        <v>2970</v>
      </c>
      <c r="K10" s="188" t="s">
        <v>2970</v>
      </c>
    </row>
    <row r="11" spans="1:11" x14ac:dyDescent="0.25">
      <c r="A11" s="47" t="s">
        <v>4944</v>
      </c>
      <c r="B11" s="47" t="s">
        <v>4510</v>
      </c>
      <c r="D11" s="47">
        <v>8</v>
      </c>
      <c r="E11" s="188" t="s">
        <v>4939</v>
      </c>
      <c r="F11" s="188" t="s">
        <v>2970</v>
      </c>
      <c r="G11" s="188" t="s">
        <v>2970</v>
      </c>
      <c r="H11" s="188" t="s">
        <v>2970</v>
      </c>
      <c r="I11" s="188" t="s">
        <v>2970</v>
      </c>
      <c r="J11" s="188" t="s">
        <v>2970</v>
      </c>
      <c r="K11" s="188" t="s">
        <v>2970</v>
      </c>
    </row>
    <row r="12" spans="1:11" x14ac:dyDescent="0.25">
      <c r="A12" s="47" t="s">
        <v>4945</v>
      </c>
      <c r="B12" s="47" t="s">
        <v>4511</v>
      </c>
      <c r="D12" s="47">
        <v>9</v>
      </c>
      <c r="E12" s="188" t="s">
        <v>4943</v>
      </c>
      <c r="F12" s="188" t="s">
        <v>2970</v>
      </c>
      <c r="G12" s="188" t="s">
        <v>2970</v>
      </c>
      <c r="H12" s="188" t="s">
        <v>2970</v>
      </c>
      <c r="I12" s="188" t="s">
        <v>2970</v>
      </c>
      <c r="J12" s="188" t="s">
        <v>2970</v>
      </c>
      <c r="K12" s="188" t="s">
        <v>2970</v>
      </c>
    </row>
    <row r="13" spans="1:11" x14ac:dyDescent="0.25">
      <c r="A13" s="47" t="s">
        <v>4946</v>
      </c>
      <c r="B13" s="47" t="s">
        <v>4512</v>
      </c>
      <c r="D13" s="47">
        <v>10</v>
      </c>
      <c r="E13" s="188" t="s">
        <v>4946</v>
      </c>
      <c r="F13" s="188" t="s">
        <v>2970</v>
      </c>
      <c r="G13" s="188" t="s">
        <v>2970</v>
      </c>
      <c r="H13" s="188" t="s">
        <v>2970</v>
      </c>
      <c r="I13" s="188" t="s">
        <v>2970</v>
      </c>
      <c r="J13" s="188" t="s">
        <v>2970</v>
      </c>
      <c r="K13" s="188" t="s">
        <v>2970</v>
      </c>
    </row>
    <row r="14" spans="1:11" x14ac:dyDescent="0.25">
      <c r="A14" s="47" t="s">
        <v>4947</v>
      </c>
      <c r="B14" s="47" t="s">
        <v>4513</v>
      </c>
      <c r="D14" s="47">
        <v>11</v>
      </c>
      <c r="E14" s="188" t="s">
        <v>4947</v>
      </c>
      <c r="F14" s="188" t="s">
        <v>2970</v>
      </c>
      <c r="G14" s="188" t="s">
        <v>2970</v>
      </c>
      <c r="H14" s="188" t="s">
        <v>2970</v>
      </c>
      <c r="I14" s="188" t="s">
        <v>2970</v>
      </c>
      <c r="J14" s="188" t="s">
        <v>2970</v>
      </c>
      <c r="K14" s="188" t="s">
        <v>2970</v>
      </c>
    </row>
    <row r="15" spans="1:11" x14ac:dyDescent="0.25">
      <c r="A15" s="47" t="s">
        <v>4948</v>
      </c>
      <c r="B15" s="47" t="s">
        <v>4514</v>
      </c>
      <c r="D15" s="47">
        <v>12</v>
      </c>
      <c r="E15" s="188" t="s">
        <v>4949</v>
      </c>
      <c r="F15" s="188" t="s">
        <v>2970</v>
      </c>
      <c r="G15" s="188" t="s">
        <v>2970</v>
      </c>
      <c r="H15" s="188" t="s">
        <v>2970</v>
      </c>
      <c r="I15" s="188" t="s">
        <v>2970</v>
      </c>
      <c r="J15" s="188" t="s">
        <v>2970</v>
      </c>
      <c r="K15" s="188" t="s">
        <v>2970</v>
      </c>
    </row>
    <row r="16" spans="1:11" x14ac:dyDescent="0.25">
      <c r="A16" s="47" t="s">
        <v>4949</v>
      </c>
      <c r="D16" s="47">
        <v>13</v>
      </c>
      <c r="E16" s="188" t="s">
        <v>4950</v>
      </c>
      <c r="F16" s="188" t="s">
        <v>2970</v>
      </c>
      <c r="G16" s="188" t="s">
        <v>2970</v>
      </c>
      <c r="H16" s="188" t="s">
        <v>2970</v>
      </c>
      <c r="I16" s="188" t="s">
        <v>2970</v>
      </c>
      <c r="J16" s="188" t="s">
        <v>2970</v>
      </c>
      <c r="K16" s="188" t="s">
        <v>2970</v>
      </c>
    </row>
    <row r="17" spans="1:11" x14ac:dyDescent="0.25">
      <c r="A17" s="47" t="s">
        <v>4950</v>
      </c>
      <c r="D17" s="47">
        <v>14</v>
      </c>
      <c r="E17" s="188" t="s">
        <v>4937</v>
      </c>
      <c r="F17" s="188" t="s">
        <v>2970</v>
      </c>
      <c r="G17" s="188" t="s">
        <v>2970</v>
      </c>
      <c r="H17" s="188" t="s">
        <v>2970</v>
      </c>
      <c r="I17" s="188" t="s">
        <v>2970</v>
      </c>
      <c r="J17" s="188" t="s">
        <v>2970</v>
      </c>
      <c r="K17" s="188" t="s">
        <v>2970</v>
      </c>
    </row>
    <row r="18" spans="1:11" x14ac:dyDescent="0.25">
      <c r="A18" s="47" t="s">
        <v>4951</v>
      </c>
      <c r="D18" s="47">
        <v>15</v>
      </c>
      <c r="E18" s="188" t="s">
        <v>4951</v>
      </c>
      <c r="F18" s="188" t="s">
        <v>2970</v>
      </c>
      <c r="G18" s="188" t="s">
        <v>2970</v>
      </c>
      <c r="H18" s="188" t="s">
        <v>2970</v>
      </c>
      <c r="I18" s="188" t="s">
        <v>2970</v>
      </c>
      <c r="J18" s="188" t="s">
        <v>2970</v>
      </c>
      <c r="K18" s="188" t="s">
        <v>2970</v>
      </c>
    </row>
    <row r="19" spans="1:11" x14ac:dyDescent="0.25">
      <c r="A19" s="47" t="s">
        <v>4952</v>
      </c>
      <c r="D19" s="47">
        <v>16</v>
      </c>
      <c r="E19" s="188" t="s">
        <v>4952</v>
      </c>
      <c r="F19" s="188" t="s">
        <v>2970</v>
      </c>
      <c r="G19" s="188" t="s">
        <v>2970</v>
      </c>
      <c r="H19" s="188" t="s">
        <v>2970</v>
      </c>
      <c r="I19" s="188" t="s">
        <v>2970</v>
      </c>
      <c r="J19" s="188" t="s">
        <v>2970</v>
      </c>
      <c r="K19" s="188" t="s">
        <v>2970</v>
      </c>
    </row>
    <row r="20" spans="1:11" x14ac:dyDescent="0.25">
      <c r="A20" s="47" t="s">
        <v>3831</v>
      </c>
      <c r="D20" s="47">
        <v>17</v>
      </c>
      <c r="E20" s="188" t="s">
        <v>2970</v>
      </c>
      <c r="F20" s="188" t="s">
        <v>2970</v>
      </c>
      <c r="G20" s="188" t="s">
        <v>2970</v>
      </c>
      <c r="H20" s="188" t="s">
        <v>2970</v>
      </c>
      <c r="I20" s="188" t="s">
        <v>2970</v>
      </c>
      <c r="J20" s="188" t="s">
        <v>2970</v>
      </c>
      <c r="K20" s="188">
        <v>1</v>
      </c>
    </row>
    <row r="21" spans="1:11" x14ac:dyDescent="0.25">
      <c r="A21" s="47" t="s">
        <v>3834</v>
      </c>
      <c r="D21" s="47">
        <v>18</v>
      </c>
      <c r="E21" s="188" t="s">
        <v>2970</v>
      </c>
      <c r="F21" s="188" t="s">
        <v>2970</v>
      </c>
      <c r="G21" s="188" t="s">
        <v>2970</v>
      </c>
      <c r="H21" s="188" t="s">
        <v>2970</v>
      </c>
      <c r="I21" s="188" t="s">
        <v>2970</v>
      </c>
      <c r="J21" s="188" t="s">
        <v>2970</v>
      </c>
      <c r="K21" s="188">
        <v>2</v>
      </c>
    </row>
    <row r="22" spans="1:11" x14ac:dyDescent="0.25">
      <c r="A22" s="47" t="s">
        <v>3835</v>
      </c>
      <c r="D22" s="47">
        <v>19</v>
      </c>
      <c r="E22" s="188" t="s">
        <v>3829</v>
      </c>
      <c r="F22" s="188" t="s">
        <v>2970</v>
      </c>
      <c r="G22" s="188" t="s">
        <v>2970</v>
      </c>
      <c r="H22" s="188" t="s">
        <v>2970</v>
      </c>
      <c r="I22" s="188" t="s">
        <v>2970</v>
      </c>
      <c r="J22" s="188" t="s">
        <v>2970</v>
      </c>
      <c r="K22" s="188">
        <v>3</v>
      </c>
    </row>
    <row r="23" spans="1:11" x14ac:dyDescent="0.25">
      <c r="A23" s="47" t="s">
        <v>3842</v>
      </c>
      <c r="B23" s="47" t="s">
        <v>3686</v>
      </c>
      <c r="D23" s="47">
        <v>20</v>
      </c>
      <c r="E23" s="188" t="s">
        <v>3832</v>
      </c>
      <c r="F23" s="188" t="s">
        <v>2970</v>
      </c>
      <c r="G23" s="188" t="s">
        <v>2970</v>
      </c>
      <c r="H23" s="188" t="s">
        <v>2970</v>
      </c>
      <c r="I23" s="188" t="s">
        <v>2970</v>
      </c>
      <c r="J23" s="188" t="s">
        <v>2970</v>
      </c>
      <c r="K23" s="188" t="s">
        <v>2970</v>
      </c>
    </row>
    <row r="24" spans="1:11" x14ac:dyDescent="0.25">
      <c r="A24" s="47" t="s">
        <v>4953</v>
      </c>
      <c r="B24" s="47" t="s">
        <v>4515</v>
      </c>
      <c r="D24" s="47">
        <v>21</v>
      </c>
      <c r="E24" s="188" t="s">
        <v>4961</v>
      </c>
      <c r="F24" s="188" t="s">
        <v>2970</v>
      </c>
      <c r="G24" s="188" t="s">
        <v>2970</v>
      </c>
      <c r="H24" s="188" t="s">
        <v>2970</v>
      </c>
      <c r="I24" s="188" t="s">
        <v>2970</v>
      </c>
      <c r="J24" s="188" t="s">
        <v>2970</v>
      </c>
      <c r="K24" s="188" t="s">
        <v>2970</v>
      </c>
    </row>
    <row r="25" spans="1:11" x14ac:dyDescent="0.25">
      <c r="A25" s="47" t="s">
        <v>3830</v>
      </c>
      <c r="B25" s="47" t="s">
        <v>3680</v>
      </c>
      <c r="D25" s="47">
        <v>22</v>
      </c>
      <c r="E25" s="188" t="s">
        <v>3826</v>
      </c>
      <c r="F25" s="188" t="s">
        <v>2970</v>
      </c>
      <c r="G25" s="188" t="s">
        <v>2970</v>
      </c>
      <c r="H25" s="188" t="s">
        <v>2970</v>
      </c>
      <c r="I25" s="188" t="s">
        <v>2970</v>
      </c>
      <c r="J25" s="188" t="s">
        <v>2970</v>
      </c>
      <c r="K25" s="188">
        <v>14</v>
      </c>
    </row>
    <row r="26" spans="1:11" x14ac:dyDescent="0.25">
      <c r="A26" s="47" t="s">
        <v>4954</v>
      </c>
      <c r="B26" s="47" t="s">
        <v>4516</v>
      </c>
      <c r="D26" s="47">
        <v>23</v>
      </c>
      <c r="E26" s="188" t="s">
        <v>3827</v>
      </c>
      <c r="F26" s="188" t="s">
        <v>2970</v>
      </c>
      <c r="G26" s="188" t="s">
        <v>2970</v>
      </c>
      <c r="H26" s="188" t="s">
        <v>2970</v>
      </c>
      <c r="I26" s="188" t="s">
        <v>2970</v>
      </c>
      <c r="J26" s="188" t="s">
        <v>2970</v>
      </c>
      <c r="K26" s="188" t="s">
        <v>2970</v>
      </c>
    </row>
    <row r="27" spans="1:11" x14ac:dyDescent="0.25">
      <c r="A27" s="47" t="s">
        <v>4955</v>
      </c>
      <c r="B27" s="47" t="s">
        <v>4517</v>
      </c>
      <c r="D27" s="47">
        <v>24</v>
      </c>
      <c r="E27" s="188" t="s">
        <v>4962</v>
      </c>
      <c r="F27" s="188" t="s">
        <v>2970</v>
      </c>
      <c r="G27" s="188" t="s">
        <v>2970</v>
      </c>
      <c r="H27" s="188" t="s">
        <v>2970</v>
      </c>
      <c r="I27" s="188" t="s">
        <v>2970</v>
      </c>
      <c r="J27" s="188" t="s">
        <v>2970</v>
      </c>
      <c r="K27" s="188" t="s">
        <v>2970</v>
      </c>
    </row>
    <row r="28" spans="1:11" x14ac:dyDescent="0.25">
      <c r="A28" s="47" t="s">
        <v>4956</v>
      </c>
      <c r="B28" s="47" t="s">
        <v>4518</v>
      </c>
      <c r="D28" s="47">
        <v>25</v>
      </c>
      <c r="E28" s="188" t="s">
        <v>3828</v>
      </c>
      <c r="F28" s="188" t="s">
        <v>2970</v>
      </c>
      <c r="G28" s="188" t="s">
        <v>2970</v>
      </c>
      <c r="H28" s="188" t="s">
        <v>2970</v>
      </c>
      <c r="I28" s="188" t="s">
        <v>2970</v>
      </c>
      <c r="J28" s="188" t="s">
        <v>2970</v>
      </c>
      <c r="K28" s="188">
        <v>15</v>
      </c>
    </row>
    <row r="29" spans="1:11" x14ac:dyDescent="0.25">
      <c r="A29" s="47" t="s">
        <v>4957</v>
      </c>
      <c r="B29" s="47" t="s">
        <v>4519</v>
      </c>
      <c r="D29" s="47">
        <v>26</v>
      </c>
      <c r="E29" s="188" t="s">
        <v>4963</v>
      </c>
      <c r="F29" s="188" t="s">
        <v>2970</v>
      </c>
      <c r="G29" s="188" t="s">
        <v>2970</v>
      </c>
      <c r="H29" s="188" t="s">
        <v>2970</v>
      </c>
      <c r="I29" s="188" t="s">
        <v>2970</v>
      </c>
      <c r="J29" s="188" t="s">
        <v>2970</v>
      </c>
      <c r="K29" s="188">
        <v>16</v>
      </c>
    </row>
    <row r="30" spans="1:11" x14ac:dyDescent="0.25">
      <c r="A30" s="47" t="s">
        <v>4958</v>
      </c>
      <c r="B30" s="47" t="s">
        <v>4520</v>
      </c>
      <c r="D30" s="47">
        <v>27</v>
      </c>
      <c r="E30" s="188" t="s">
        <v>4964</v>
      </c>
      <c r="F30" s="188" t="s">
        <v>2970</v>
      </c>
      <c r="G30" s="188" t="s">
        <v>2970</v>
      </c>
      <c r="H30" s="188" t="s">
        <v>2970</v>
      </c>
      <c r="I30" s="188" t="s">
        <v>2970</v>
      </c>
      <c r="J30" s="188" t="s">
        <v>2970</v>
      </c>
      <c r="K30" s="188">
        <v>17</v>
      </c>
    </row>
    <row r="31" spans="1:11" x14ac:dyDescent="0.25">
      <c r="A31" s="47" t="s">
        <v>4959</v>
      </c>
      <c r="B31" s="47" t="s">
        <v>4521</v>
      </c>
      <c r="D31" s="47">
        <v>28</v>
      </c>
      <c r="E31" s="188" t="s">
        <v>2970</v>
      </c>
      <c r="F31" s="188" t="s">
        <v>2970</v>
      </c>
      <c r="G31" s="188" t="s">
        <v>2970</v>
      </c>
      <c r="H31" s="188" t="s">
        <v>2970</v>
      </c>
      <c r="I31" s="188" t="s">
        <v>2970</v>
      </c>
      <c r="J31" s="188" t="s">
        <v>2970</v>
      </c>
      <c r="K31" s="188">
        <v>18</v>
      </c>
    </row>
    <row r="32" spans="1:11" x14ac:dyDescent="0.25">
      <c r="A32" s="47" t="s">
        <v>4960</v>
      </c>
      <c r="B32" s="47" t="s">
        <v>4522</v>
      </c>
      <c r="D32" s="47">
        <v>29</v>
      </c>
      <c r="E32" s="188" t="s">
        <v>2970</v>
      </c>
      <c r="F32" s="188" t="s">
        <v>2970</v>
      </c>
      <c r="G32" s="188" t="s">
        <v>2970</v>
      </c>
      <c r="H32" s="188" t="s">
        <v>2970</v>
      </c>
      <c r="I32" s="188" t="s">
        <v>2970</v>
      </c>
      <c r="J32" s="188" t="s">
        <v>2970</v>
      </c>
      <c r="K32" s="188">
        <v>19</v>
      </c>
    </row>
    <row r="33" spans="1:11" x14ac:dyDescent="0.25">
      <c r="A33" s="47" t="s">
        <v>3839</v>
      </c>
      <c r="B33" s="47" t="s">
        <v>4523</v>
      </c>
      <c r="D33" s="47">
        <v>30</v>
      </c>
      <c r="E33" s="188" t="s">
        <v>2970</v>
      </c>
      <c r="F33" s="188" t="s">
        <v>2970</v>
      </c>
      <c r="G33" s="188" t="s">
        <v>2970</v>
      </c>
      <c r="H33" s="188" t="s">
        <v>2970</v>
      </c>
      <c r="I33" s="188" t="s">
        <v>2970</v>
      </c>
      <c r="J33" s="188" t="s">
        <v>2970</v>
      </c>
      <c r="K33" s="188">
        <v>20</v>
      </c>
    </row>
    <row r="34" spans="1:11" x14ac:dyDescent="0.25">
      <c r="A34" s="47" t="s">
        <v>3829</v>
      </c>
      <c r="D34" s="47">
        <v>31</v>
      </c>
      <c r="E34" s="188" t="s">
        <v>3838</v>
      </c>
      <c r="F34" s="188" t="s">
        <v>2970</v>
      </c>
      <c r="G34" s="188" t="s">
        <v>2970</v>
      </c>
      <c r="H34" s="188" t="s">
        <v>2970</v>
      </c>
      <c r="I34" s="188" t="s">
        <v>2970</v>
      </c>
      <c r="J34" s="188" t="s">
        <v>2970</v>
      </c>
      <c r="K34" s="188" t="s">
        <v>2970</v>
      </c>
    </row>
    <row r="35" spans="1:11" x14ac:dyDescent="0.25">
      <c r="A35" s="47" t="s">
        <v>3832</v>
      </c>
      <c r="D35" s="47">
        <v>32</v>
      </c>
      <c r="E35" s="188" t="s">
        <v>4967</v>
      </c>
      <c r="F35" s="188" t="s">
        <v>2970</v>
      </c>
      <c r="G35" s="188" t="s">
        <v>2970</v>
      </c>
      <c r="H35" s="188" t="s">
        <v>2970</v>
      </c>
      <c r="I35" s="188" t="s">
        <v>2970</v>
      </c>
      <c r="J35" s="188" t="s">
        <v>2970</v>
      </c>
      <c r="K35" s="188" t="s">
        <v>2970</v>
      </c>
    </row>
    <row r="36" spans="1:11" x14ac:dyDescent="0.25">
      <c r="A36" s="47" t="s">
        <v>4961</v>
      </c>
      <c r="D36" s="47">
        <v>33</v>
      </c>
      <c r="E36" s="188" t="s">
        <v>4968</v>
      </c>
      <c r="F36" s="188" t="s">
        <v>2970</v>
      </c>
      <c r="G36" s="188" t="s">
        <v>2970</v>
      </c>
      <c r="H36" s="188" t="s">
        <v>2970</v>
      </c>
      <c r="I36" s="188" t="s">
        <v>2970</v>
      </c>
      <c r="J36" s="188" t="s">
        <v>2970</v>
      </c>
      <c r="K36" s="188" t="s">
        <v>2970</v>
      </c>
    </row>
    <row r="37" spans="1:11" x14ac:dyDescent="0.25">
      <c r="A37" s="47" t="s">
        <v>3826</v>
      </c>
      <c r="D37" s="47">
        <v>34</v>
      </c>
      <c r="E37" s="188" t="s">
        <v>4969</v>
      </c>
      <c r="F37" s="188" t="s">
        <v>2970</v>
      </c>
      <c r="G37" s="188" t="s">
        <v>2970</v>
      </c>
      <c r="H37" s="188" t="s">
        <v>2970</v>
      </c>
      <c r="I37" s="188" t="s">
        <v>2970</v>
      </c>
      <c r="J37" s="188" t="s">
        <v>2970</v>
      </c>
      <c r="K37" s="188" t="s">
        <v>2970</v>
      </c>
    </row>
    <row r="38" spans="1:11" x14ac:dyDescent="0.25">
      <c r="A38" s="47" t="s">
        <v>3827</v>
      </c>
      <c r="B38" s="47" t="s">
        <v>3676</v>
      </c>
      <c r="D38" s="47">
        <v>35</v>
      </c>
      <c r="E38" s="188" t="s">
        <v>4970</v>
      </c>
      <c r="F38" s="188" t="s">
        <v>2970</v>
      </c>
      <c r="G38" s="188" t="s">
        <v>2970</v>
      </c>
      <c r="H38" s="188" t="s">
        <v>2970</v>
      </c>
      <c r="I38" s="188" t="s">
        <v>2970</v>
      </c>
      <c r="J38" s="188" t="s">
        <v>2970</v>
      </c>
      <c r="K38" s="188" t="s">
        <v>2970</v>
      </c>
    </row>
    <row r="39" spans="1:11" x14ac:dyDescent="0.25">
      <c r="A39" s="47" t="s">
        <v>4962</v>
      </c>
      <c r="B39" s="47" t="s">
        <v>4524</v>
      </c>
      <c r="D39" s="47">
        <v>36</v>
      </c>
      <c r="E39" s="188" t="s">
        <v>4971</v>
      </c>
      <c r="F39" s="188" t="s">
        <v>2970</v>
      </c>
      <c r="G39" s="188" t="s">
        <v>2970</v>
      </c>
      <c r="H39" s="188" t="s">
        <v>2970</v>
      </c>
      <c r="I39" s="188" t="s">
        <v>2970</v>
      </c>
      <c r="J39" s="188" t="s">
        <v>2970</v>
      </c>
      <c r="K39" s="188" t="s">
        <v>2970</v>
      </c>
    </row>
    <row r="40" spans="1:11" x14ac:dyDescent="0.25">
      <c r="A40" s="47" t="s">
        <v>3828</v>
      </c>
      <c r="B40" s="47" t="s">
        <v>3677</v>
      </c>
      <c r="D40" s="47">
        <v>37</v>
      </c>
      <c r="E40" s="188" t="s">
        <v>4972</v>
      </c>
      <c r="F40" s="188" t="s">
        <v>2970</v>
      </c>
      <c r="G40" s="188" t="s">
        <v>2970</v>
      </c>
      <c r="H40" s="188" t="s">
        <v>2970</v>
      </c>
      <c r="I40" s="188" t="s">
        <v>2970</v>
      </c>
      <c r="J40" s="188" t="s">
        <v>2970</v>
      </c>
      <c r="K40" s="188" t="s">
        <v>2970</v>
      </c>
    </row>
    <row r="41" spans="1:11" x14ac:dyDescent="0.25">
      <c r="A41" s="47" t="s">
        <v>4963</v>
      </c>
      <c r="B41" s="47" t="s">
        <v>4525</v>
      </c>
      <c r="D41" s="47">
        <v>38</v>
      </c>
      <c r="E41" s="188" t="s">
        <v>3851</v>
      </c>
      <c r="F41" s="188" t="s">
        <v>2970</v>
      </c>
      <c r="G41" s="188" t="s">
        <v>2970</v>
      </c>
      <c r="H41" s="188" t="s">
        <v>2970</v>
      </c>
      <c r="I41" s="188" t="s">
        <v>2970</v>
      </c>
      <c r="J41" s="188" t="s">
        <v>2970</v>
      </c>
      <c r="K41" s="188" t="s">
        <v>2970</v>
      </c>
    </row>
    <row r="42" spans="1:11" x14ac:dyDescent="0.25">
      <c r="A42" s="47" t="s">
        <v>4964</v>
      </c>
      <c r="B42" s="47" t="s">
        <v>4526</v>
      </c>
      <c r="D42" s="47">
        <v>39</v>
      </c>
      <c r="E42" s="188" t="s">
        <v>4965</v>
      </c>
      <c r="F42" s="188" t="s">
        <v>2970</v>
      </c>
      <c r="G42" s="188" t="s">
        <v>2970</v>
      </c>
      <c r="H42" s="188" t="s">
        <v>2970</v>
      </c>
      <c r="I42" s="188" t="s">
        <v>2970</v>
      </c>
      <c r="J42" s="188" t="s">
        <v>2970</v>
      </c>
      <c r="K42" s="188" t="s">
        <v>2970</v>
      </c>
    </row>
    <row r="43" spans="1:11" x14ac:dyDescent="0.25">
      <c r="A43" s="47" t="s">
        <v>3851</v>
      </c>
      <c r="B43" s="47" t="s">
        <v>3695</v>
      </c>
      <c r="D43" s="47">
        <v>40</v>
      </c>
      <c r="E43" s="188" t="s">
        <v>4966</v>
      </c>
      <c r="F43" s="188" t="s">
        <v>2970</v>
      </c>
      <c r="G43" s="188" t="s">
        <v>2970</v>
      </c>
      <c r="H43" s="188" t="s">
        <v>2970</v>
      </c>
      <c r="I43" s="188" t="s">
        <v>2970</v>
      </c>
      <c r="J43" s="188" t="s">
        <v>2970</v>
      </c>
      <c r="K43" s="188" t="s">
        <v>2970</v>
      </c>
    </row>
    <row r="44" spans="1:11" x14ac:dyDescent="0.25">
      <c r="A44" s="47" t="s">
        <v>4965</v>
      </c>
      <c r="B44" s="47" t="s">
        <v>4527</v>
      </c>
      <c r="D44" s="47">
        <v>41</v>
      </c>
      <c r="E44" s="188" t="s">
        <v>3847</v>
      </c>
      <c r="F44" s="188" t="s">
        <v>2970</v>
      </c>
      <c r="G44" s="188" t="s">
        <v>2970</v>
      </c>
      <c r="H44" s="188" t="s">
        <v>2970</v>
      </c>
      <c r="I44" s="188" t="s">
        <v>2970</v>
      </c>
      <c r="J44" s="188" t="s">
        <v>2970</v>
      </c>
      <c r="K44" s="188" t="s">
        <v>2970</v>
      </c>
    </row>
    <row r="45" spans="1:11" x14ac:dyDescent="0.25">
      <c r="A45" s="47" t="s">
        <v>4966</v>
      </c>
      <c r="B45" s="47" t="s">
        <v>4528</v>
      </c>
      <c r="D45" s="47">
        <v>42</v>
      </c>
      <c r="E45" s="188" t="s">
        <v>4973</v>
      </c>
      <c r="F45" s="188" t="s">
        <v>2970</v>
      </c>
      <c r="G45" s="188" t="s">
        <v>2970</v>
      </c>
      <c r="H45" s="188" t="s">
        <v>2970</v>
      </c>
      <c r="I45" s="188" t="s">
        <v>2970</v>
      </c>
      <c r="J45" s="188" t="s">
        <v>2970</v>
      </c>
      <c r="K45" s="188" t="s">
        <v>2970</v>
      </c>
    </row>
    <row r="46" spans="1:11" x14ac:dyDescent="0.25">
      <c r="A46" s="47" t="s">
        <v>3838</v>
      </c>
      <c r="B46" s="47" t="s">
        <v>3683</v>
      </c>
      <c r="D46" s="47">
        <v>43</v>
      </c>
      <c r="E46" s="188" t="s">
        <v>4974</v>
      </c>
      <c r="F46" s="188" t="s">
        <v>2970</v>
      </c>
      <c r="G46" s="188" t="s">
        <v>2970</v>
      </c>
      <c r="H46" s="188" t="s">
        <v>2970</v>
      </c>
      <c r="I46" s="188" t="s">
        <v>2970</v>
      </c>
      <c r="J46" s="188" t="s">
        <v>2970</v>
      </c>
      <c r="K46" s="188" t="s">
        <v>2970</v>
      </c>
    </row>
    <row r="47" spans="1:11" x14ac:dyDescent="0.25">
      <c r="A47" s="47" t="s">
        <v>4967</v>
      </c>
      <c r="B47" s="47" t="s">
        <v>4529</v>
      </c>
      <c r="D47" s="47">
        <v>44</v>
      </c>
      <c r="E47" s="188" t="s">
        <v>3831</v>
      </c>
      <c r="F47" s="188" t="s">
        <v>2970</v>
      </c>
      <c r="G47" s="188" t="s">
        <v>2970</v>
      </c>
      <c r="H47" s="188" t="s">
        <v>2970</v>
      </c>
      <c r="I47" s="188" t="s">
        <v>2970</v>
      </c>
      <c r="J47" s="188" t="s">
        <v>2970</v>
      </c>
      <c r="K47" s="188" t="s">
        <v>2970</v>
      </c>
    </row>
    <row r="48" spans="1:11" x14ac:dyDescent="0.25">
      <c r="A48" s="47" t="s">
        <v>4968</v>
      </c>
      <c r="B48" s="47" t="s">
        <v>4530</v>
      </c>
      <c r="D48" s="47">
        <v>45</v>
      </c>
      <c r="E48" s="188" t="s">
        <v>3834</v>
      </c>
      <c r="F48" s="188" t="s">
        <v>2970</v>
      </c>
      <c r="G48" s="188" t="s">
        <v>2970</v>
      </c>
      <c r="H48" s="188" t="s">
        <v>2970</v>
      </c>
      <c r="I48" s="188" t="s">
        <v>2970</v>
      </c>
      <c r="J48" s="188" t="s">
        <v>2970</v>
      </c>
      <c r="K48" s="188">
        <v>4</v>
      </c>
    </row>
    <row r="49" spans="1:11" x14ac:dyDescent="0.25">
      <c r="A49" s="47" t="s">
        <v>4969</v>
      </c>
      <c r="B49" s="47" t="s">
        <v>4531</v>
      </c>
      <c r="D49" s="47">
        <v>46</v>
      </c>
      <c r="E49" s="188" t="s">
        <v>3835</v>
      </c>
      <c r="F49" s="188" t="s">
        <v>2970</v>
      </c>
      <c r="G49" s="188" t="s">
        <v>2970</v>
      </c>
      <c r="H49" s="188" t="s">
        <v>2970</v>
      </c>
      <c r="I49" s="188" t="s">
        <v>2970</v>
      </c>
      <c r="J49" s="188" t="s">
        <v>2970</v>
      </c>
      <c r="K49" s="188">
        <v>5</v>
      </c>
    </row>
    <row r="50" spans="1:11" x14ac:dyDescent="0.25">
      <c r="A50" s="47" t="s">
        <v>4970</v>
      </c>
      <c r="B50" s="47" t="s">
        <v>4532</v>
      </c>
      <c r="D50" s="47">
        <v>47</v>
      </c>
      <c r="E50" s="188" t="s">
        <v>3835</v>
      </c>
      <c r="F50" s="188" t="s">
        <v>2970</v>
      </c>
      <c r="G50" s="188" t="s">
        <v>2970</v>
      </c>
      <c r="H50" s="188" t="s">
        <v>2970</v>
      </c>
      <c r="I50" s="188" t="s">
        <v>2970</v>
      </c>
      <c r="J50" s="188" t="s">
        <v>2970</v>
      </c>
      <c r="K50" s="188">
        <v>6</v>
      </c>
    </row>
    <row r="51" spans="1:11" x14ac:dyDescent="0.25">
      <c r="A51" s="47" t="s">
        <v>4971</v>
      </c>
      <c r="B51" s="47" t="s">
        <v>4533</v>
      </c>
      <c r="D51" s="47">
        <v>48</v>
      </c>
      <c r="E51" s="188" t="s">
        <v>2970</v>
      </c>
      <c r="F51" s="188" t="s">
        <v>2970</v>
      </c>
      <c r="G51" s="188" t="s">
        <v>2970</v>
      </c>
      <c r="H51" s="188" t="s">
        <v>2970</v>
      </c>
      <c r="I51" s="188" t="s">
        <v>2970</v>
      </c>
      <c r="J51" s="188" t="s">
        <v>2970</v>
      </c>
      <c r="K51" s="188">
        <v>7</v>
      </c>
    </row>
    <row r="52" spans="1:11" x14ac:dyDescent="0.25">
      <c r="A52" s="47" t="s">
        <v>4972</v>
      </c>
      <c r="B52" s="47" t="s">
        <v>4534</v>
      </c>
      <c r="D52" s="47">
        <v>49</v>
      </c>
      <c r="E52" s="188" t="s">
        <v>2970</v>
      </c>
      <c r="F52" s="188" t="s">
        <v>2970</v>
      </c>
      <c r="G52" s="188" t="s">
        <v>2970</v>
      </c>
      <c r="H52" s="188" t="s">
        <v>2970</v>
      </c>
      <c r="I52" s="188" t="s">
        <v>2970</v>
      </c>
      <c r="J52" s="188" t="s">
        <v>2970</v>
      </c>
      <c r="K52" s="188">
        <v>8</v>
      </c>
    </row>
    <row r="53" spans="1:11" x14ac:dyDescent="0.25">
      <c r="A53" s="47" t="s">
        <v>3847</v>
      </c>
      <c r="D53" s="47">
        <v>50</v>
      </c>
      <c r="E53" s="188" t="s">
        <v>3842</v>
      </c>
      <c r="F53" s="188" t="s">
        <v>2970</v>
      </c>
      <c r="G53" s="188" t="s">
        <v>2970</v>
      </c>
      <c r="H53" s="188" t="s">
        <v>2970</v>
      </c>
      <c r="I53" s="188" t="s">
        <v>2970</v>
      </c>
      <c r="J53" s="188" t="s">
        <v>2970</v>
      </c>
      <c r="K53" s="188">
        <v>9</v>
      </c>
    </row>
    <row r="54" spans="1:11" x14ac:dyDescent="0.25">
      <c r="A54" s="47" t="s">
        <v>4973</v>
      </c>
      <c r="D54" s="47">
        <v>51</v>
      </c>
      <c r="E54" s="188" t="s">
        <v>2970</v>
      </c>
      <c r="F54" s="188" t="s">
        <v>2970</v>
      </c>
      <c r="G54" s="188" t="s">
        <v>2970</v>
      </c>
      <c r="H54" s="188" t="s">
        <v>2970</v>
      </c>
      <c r="I54" s="188" t="s">
        <v>2970</v>
      </c>
      <c r="J54" s="188" t="s">
        <v>2970</v>
      </c>
      <c r="K54" s="188">
        <v>10</v>
      </c>
    </row>
    <row r="55" spans="1:11" x14ac:dyDescent="0.25">
      <c r="A55" s="47" t="s">
        <v>4974</v>
      </c>
      <c r="D55" s="47">
        <v>52</v>
      </c>
      <c r="E55" s="188" t="s">
        <v>4953</v>
      </c>
      <c r="F55" s="188" t="s">
        <v>2970</v>
      </c>
      <c r="G55" s="188" t="s">
        <v>2970</v>
      </c>
      <c r="H55" s="188" t="s">
        <v>2970</v>
      </c>
      <c r="I55" s="188" t="s">
        <v>2970</v>
      </c>
      <c r="J55" s="188" t="s">
        <v>2970</v>
      </c>
      <c r="K55" s="188">
        <v>11</v>
      </c>
    </row>
    <row r="56" spans="1:11" x14ac:dyDescent="0.25">
      <c r="A56" s="47" t="s">
        <v>3825</v>
      </c>
      <c r="D56" s="47">
        <v>53</v>
      </c>
      <c r="E56" s="188" t="s">
        <v>2970</v>
      </c>
      <c r="F56" s="188" t="s">
        <v>2970</v>
      </c>
      <c r="G56" s="188" t="s">
        <v>2970</v>
      </c>
      <c r="H56" s="188" t="s">
        <v>2970</v>
      </c>
      <c r="I56" s="188" t="s">
        <v>2970</v>
      </c>
      <c r="J56" s="188" t="s">
        <v>2970</v>
      </c>
      <c r="K56" s="188">
        <v>12</v>
      </c>
    </row>
    <row r="57" spans="1:11" x14ac:dyDescent="0.25">
      <c r="A57" s="47" t="s">
        <v>4975</v>
      </c>
      <c r="D57" s="47">
        <v>54</v>
      </c>
      <c r="E57" s="188" t="s">
        <v>2970</v>
      </c>
      <c r="F57" s="188" t="s">
        <v>2970</v>
      </c>
      <c r="G57" s="188" t="s">
        <v>2970</v>
      </c>
      <c r="H57" s="188" t="s">
        <v>2970</v>
      </c>
      <c r="I57" s="188" t="s">
        <v>2970</v>
      </c>
      <c r="J57" s="188" t="s">
        <v>2970</v>
      </c>
      <c r="K57" s="188">
        <v>13</v>
      </c>
    </row>
    <row r="58" spans="1:11" x14ac:dyDescent="0.25">
      <c r="A58" s="47" t="s">
        <v>4976</v>
      </c>
      <c r="B58" s="47" t="s">
        <v>4535</v>
      </c>
      <c r="D58" s="47">
        <v>55</v>
      </c>
      <c r="E58" s="188" t="s">
        <v>3839</v>
      </c>
      <c r="F58" s="188" t="s">
        <v>2970</v>
      </c>
      <c r="G58" s="188" t="s">
        <v>2970</v>
      </c>
      <c r="H58" s="188" t="s">
        <v>2970</v>
      </c>
      <c r="I58" s="188" t="s">
        <v>2970</v>
      </c>
      <c r="J58" s="188" t="s">
        <v>2970</v>
      </c>
      <c r="K58" s="188" t="s">
        <v>2970</v>
      </c>
    </row>
    <row r="59" spans="1:11" x14ac:dyDescent="0.25">
      <c r="A59" s="47" t="s">
        <v>4977</v>
      </c>
      <c r="B59" s="47" t="s">
        <v>4536</v>
      </c>
      <c r="D59" s="47">
        <v>56</v>
      </c>
      <c r="E59" s="188" t="s">
        <v>3830</v>
      </c>
      <c r="F59" s="188" t="s">
        <v>2970</v>
      </c>
      <c r="G59" s="188" t="s">
        <v>2970</v>
      </c>
      <c r="H59" s="188" t="s">
        <v>2970</v>
      </c>
      <c r="I59" s="188" t="s">
        <v>2970</v>
      </c>
      <c r="J59" s="188" t="s">
        <v>2970</v>
      </c>
      <c r="K59" s="188">
        <v>21</v>
      </c>
    </row>
    <row r="60" spans="1:11" x14ac:dyDescent="0.25">
      <c r="A60" s="47" t="s">
        <v>4978</v>
      </c>
      <c r="B60" s="47" t="s">
        <v>4537</v>
      </c>
      <c r="D60" s="47">
        <v>57</v>
      </c>
      <c r="E60" s="188" t="s">
        <v>4954</v>
      </c>
      <c r="F60" s="188" t="s">
        <v>2970</v>
      </c>
      <c r="G60" s="188" t="s">
        <v>2970</v>
      </c>
      <c r="H60" s="188" t="s">
        <v>2970</v>
      </c>
      <c r="I60" s="188" t="s">
        <v>2970</v>
      </c>
      <c r="J60" s="188" t="s">
        <v>2970</v>
      </c>
      <c r="K60" s="188">
        <v>22</v>
      </c>
    </row>
    <row r="61" spans="1:11" x14ac:dyDescent="0.25">
      <c r="A61" s="47" t="s">
        <v>4979</v>
      </c>
      <c r="B61" s="47" t="s">
        <v>4538</v>
      </c>
      <c r="D61" s="47">
        <v>58</v>
      </c>
      <c r="E61" s="188" t="s">
        <v>4955</v>
      </c>
      <c r="F61" s="188" t="s">
        <v>2970</v>
      </c>
      <c r="G61" s="188" t="s">
        <v>2970</v>
      </c>
      <c r="H61" s="188" t="s">
        <v>2970</v>
      </c>
      <c r="I61" s="188" t="s">
        <v>2970</v>
      </c>
      <c r="J61" s="188" t="s">
        <v>2970</v>
      </c>
      <c r="K61" s="188">
        <v>23</v>
      </c>
    </row>
    <row r="62" spans="1:11" x14ac:dyDescent="0.25">
      <c r="A62" s="47" t="s">
        <v>4980</v>
      </c>
      <c r="B62" s="47" t="s">
        <v>4539</v>
      </c>
      <c r="D62" s="47">
        <v>59</v>
      </c>
      <c r="E62" s="188" t="s">
        <v>4956</v>
      </c>
      <c r="F62" s="188" t="s">
        <v>2970</v>
      </c>
      <c r="G62" s="188" t="s">
        <v>2970</v>
      </c>
      <c r="H62" s="188" t="s">
        <v>2970</v>
      </c>
      <c r="I62" s="188" t="s">
        <v>2970</v>
      </c>
      <c r="J62" s="188" t="s">
        <v>2970</v>
      </c>
      <c r="K62" s="188">
        <v>24</v>
      </c>
    </row>
    <row r="63" spans="1:11" x14ac:dyDescent="0.25">
      <c r="A63" s="47" t="s">
        <v>4981</v>
      </c>
      <c r="B63" s="47" t="s">
        <v>4540</v>
      </c>
      <c r="D63" s="47">
        <v>60</v>
      </c>
      <c r="E63" s="188" t="s">
        <v>4957</v>
      </c>
      <c r="F63" s="188" t="s">
        <v>2970</v>
      </c>
      <c r="G63" s="188" t="s">
        <v>2970</v>
      </c>
      <c r="H63" s="188" t="s">
        <v>2970</v>
      </c>
      <c r="I63" s="188" t="s">
        <v>2970</v>
      </c>
      <c r="J63" s="188" t="s">
        <v>2970</v>
      </c>
      <c r="K63" s="188">
        <v>25</v>
      </c>
    </row>
    <row r="64" spans="1:11" x14ac:dyDescent="0.25">
      <c r="A64" s="47" t="s">
        <v>4982</v>
      </c>
      <c r="B64" s="47" t="s">
        <v>4541</v>
      </c>
      <c r="D64" s="47">
        <v>61</v>
      </c>
      <c r="E64" s="188" t="s">
        <v>4958</v>
      </c>
      <c r="F64" s="188" t="s">
        <v>2970</v>
      </c>
      <c r="G64" s="188" t="s">
        <v>2970</v>
      </c>
      <c r="H64" s="188" t="s">
        <v>2970</v>
      </c>
      <c r="I64" s="188" t="s">
        <v>2970</v>
      </c>
      <c r="J64" s="188" t="s">
        <v>2970</v>
      </c>
      <c r="K64" s="188">
        <v>26</v>
      </c>
    </row>
    <row r="65" spans="1:11" x14ac:dyDescent="0.25">
      <c r="B65" s="47" t="s">
        <v>4542</v>
      </c>
      <c r="D65" s="47">
        <v>62</v>
      </c>
      <c r="E65" s="188" t="s">
        <v>4959</v>
      </c>
      <c r="F65" s="188" t="s">
        <v>2970</v>
      </c>
      <c r="G65" s="188" t="s">
        <v>2970</v>
      </c>
      <c r="H65" s="188" t="s">
        <v>2970</v>
      </c>
      <c r="I65" s="188" t="s">
        <v>2970</v>
      </c>
      <c r="J65" s="188" t="s">
        <v>2970</v>
      </c>
      <c r="K65" s="188">
        <v>27</v>
      </c>
    </row>
    <row r="66" spans="1:11" x14ac:dyDescent="0.25">
      <c r="B66" s="47" t="s">
        <v>4543</v>
      </c>
      <c r="D66" s="47">
        <v>63</v>
      </c>
      <c r="E66" s="188" t="s">
        <v>4960</v>
      </c>
      <c r="F66" s="188" t="s">
        <v>2970</v>
      </c>
      <c r="G66" s="188" t="s">
        <v>2970</v>
      </c>
      <c r="H66" s="188" t="s">
        <v>2970</v>
      </c>
      <c r="I66" s="188" t="s">
        <v>2970</v>
      </c>
      <c r="J66" s="188" t="s">
        <v>2970</v>
      </c>
      <c r="K66" s="188">
        <v>28</v>
      </c>
    </row>
    <row r="67" spans="1:11" x14ac:dyDescent="0.25">
      <c r="B67" s="47" t="s">
        <v>4544</v>
      </c>
      <c r="D67" s="47">
        <v>64</v>
      </c>
      <c r="E67" s="188" t="s">
        <v>3825</v>
      </c>
      <c r="F67" s="188" t="s">
        <v>2970</v>
      </c>
      <c r="G67" s="188" t="s">
        <v>2970</v>
      </c>
      <c r="H67" s="188" t="s">
        <v>2970</v>
      </c>
      <c r="I67" s="188" t="s">
        <v>2970</v>
      </c>
      <c r="J67" s="188" t="s">
        <v>2970</v>
      </c>
      <c r="K67" s="188" t="s">
        <v>2970</v>
      </c>
    </row>
    <row r="68" spans="1:11" x14ac:dyDescent="0.25">
      <c r="B68" s="47" t="s">
        <v>4545</v>
      </c>
      <c r="D68" s="47">
        <v>65</v>
      </c>
      <c r="E68" s="188" t="s">
        <v>4975</v>
      </c>
      <c r="F68" s="188" t="s">
        <v>2970</v>
      </c>
      <c r="G68" s="188" t="s">
        <v>2970</v>
      </c>
      <c r="H68" s="188" t="s">
        <v>2970</v>
      </c>
      <c r="I68" s="188" t="s">
        <v>2970</v>
      </c>
      <c r="J68" s="188" t="s">
        <v>2970</v>
      </c>
      <c r="K68" s="188" t="s">
        <v>2970</v>
      </c>
    </row>
    <row r="69" spans="1:11" x14ac:dyDescent="0.25">
      <c r="B69" s="47" t="s">
        <v>4546</v>
      </c>
      <c r="D69" s="47">
        <v>66</v>
      </c>
      <c r="E69" s="188" t="s">
        <v>4976</v>
      </c>
      <c r="F69" s="188" t="s">
        <v>2970</v>
      </c>
      <c r="G69" s="188" t="s">
        <v>2970</v>
      </c>
      <c r="H69" s="188" t="s">
        <v>2970</v>
      </c>
      <c r="I69" s="188" t="s">
        <v>2970</v>
      </c>
      <c r="J69" s="188" t="s">
        <v>2970</v>
      </c>
      <c r="K69" s="188" t="s">
        <v>2970</v>
      </c>
    </row>
    <row r="70" spans="1:11" x14ac:dyDescent="0.25">
      <c r="B70" s="47" t="s">
        <v>3678</v>
      </c>
      <c r="D70" s="47">
        <v>67</v>
      </c>
      <c r="E70" s="188" t="s">
        <v>4977</v>
      </c>
      <c r="F70" s="188" t="s">
        <v>2970</v>
      </c>
      <c r="G70" s="188" t="s">
        <v>2970</v>
      </c>
      <c r="H70" s="188" t="s">
        <v>2970</v>
      </c>
      <c r="I70" s="188" t="s">
        <v>2970</v>
      </c>
      <c r="J70" s="188" t="s">
        <v>2970</v>
      </c>
      <c r="K70" s="188" t="s">
        <v>2970</v>
      </c>
    </row>
    <row r="71" spans="1:11" x14ac:dyDescent="0.25">
      <c r="B71" s="47" t="s">
        <v>4547</v>
      </c>
      <c r="D71" s="47">
        <v>68</v>
      </c>
      <c r="E71" s="188" t="s">
        <v>4978</v>
      </c>
      <c r="F71" s="188" t="s">
        <v>2970</v>
      </c>
      <c r="G71" s="188" t="s">
        <v>2970</v>
      </c>
      <c r="H71" s="188" t="s">
        <v>2970</v>
      </c>
      <c r="I71" s="188" t="s">
        <v>2970</v>
      </c>
      <c r="J71" s="188" t="s">
        <v>2970</v>
      </c>
      <c r="K71" s="188" t="s">
        <v>2970</v>
      </c>
    </row>
    <row r="72" spans="1:11" x14ac:dyDescent="0.25">
      <c r="B72" s="47" t="s">
        <v>4548</v>
      </c>
      <c r="D72" s="47">
        <v>69</v>
      </c>
      <c r="E72" s="188" t="s">
        <v>4979</v>
      </c>
      <c r="F72" s="188" t="s">
        <v>2970</v>
      </c>
      <c r="G72" s="188" t="s">
        <v>2970</v>
      </c>
      <c r="H72" s="188" t="s">
        <v>2970</v>
      </c>
      <c r="I72" s="188" t="s">
        <v>2970</v>
      </c>
      <c r="J72" s="188" t="s">
        <v>2970</v>
      </c>
      <c r="K72" s="188" t="s">
        <v>2970</v>
      </c>
    </row>
    <row r="73" spans="1:11" x14ac:dyDescent="0.25">
      <c r="B73" s="47" t="s">
        <v>4549</v>
      </c>
      <c r="D73" s="47">
        <v>70</v>
      </c>
      <c r="E73" s="188" t="s">
        <v>4980</v>
      </c>
      <c r="F73" s="188" t="s">
        <v>2970</v>
      </c>
      <c r="G73" s="188" t="s">
        <v>2970</v>
      </c>
      <c r="H73" s="188" t="s">
        <v>2970</v>
      </c>
      <c r="I73" s="188" t="s">
        <v>2970</v>
      </c>
      <c r="J73" s="188" t="s">
        <v>2970</v>
      </c>
      <c r="K73" s="188" t="s">
        <v>2970</v>
      </c>
    </row>
    <row r="74" spans="1:11" x14ac:dyDescent="0.25">
      <c r="B74" s="47" t="s">
        <v>4550</v>
      </c>
      <c r="D74" s="47">
        <v>71</v>
      </c>
      <c r="E74" s="188" t="s">
        <v>4981</v>
      </c>
      <c r="F74" s="188" t="s">
        <v>2970</v>
      </c>
      <c r="G74" s="188" t="s">
        <v>2970</v>
      </c>
      <c r="H74" s="188" t="s">
        <v>2970</v>
      </c>
      <c r="I74" s="188" t="s">
        <v>2970</v>
      </c>
      <c r="J74" s="188" t="s">
        <v>2970</v>
      </c>
      <c r="K74" s="188" t="s">
        <v>2970</v>
      </c>
    </row>
    <row r="75" spans="1:11" x14ac:dyDescent="0.25">
      <c r="B75" s="47" t="s">
        <v>4551</v>
      </c>
      <c r="D75" s="47">
        <v>72</v>
      </c>
      <c r="E75" s="188" t="s">
        <v>4982</v>
      </c>
      <c r="F75" s="188" t="s">
        <v>2970</v>
      </c>
      <c r="G75" s="188" t="s">
        <v>2970</v>
      </c>
      <c r="H75" s="188" t="s">
        <v>2970</v>
      </c>
      <c r="I75" s="188" t="s">
        <v>2970</v>
      </c>
      <c r="J75" s="188" t="s">
        <v>2970</v>
      </c>
      <c r="K75" s="188" t="s">
        <v>2970</v>
      </c>
    </row>
    <row r="76" spans="1:11" x14ac:dyDescent="0.25">
      <c r="B76" s="47" t="s">
        <v>4552</v>
      </c>
      <c r="D76" s="47">
        <v>73</v>
      </c>
      <c r="E76" s="188" t="s">
        <v>2970</v>
      </c>
      <c r="F76" s="188" t="s">
        <v>2970</v>
      </c>
      <c r="G76" s="188" t="s">
        <v>2970</v>
      </c>
      <c r="H76" s="188" t="s">
        <v>5658</v>
      </c>
      <c r="I76" s="188" t="s">
        <v>2970</v>
      </c>
      <c r="J76" s="188" t="s">
        <v>2970</v>
      </c>
      <c r="K76" s="188" t="s">
        <v>2970</v>
      </c>
    </row>
    <row r="77" spans="1:11" x14ac:dyDescent="0.25">
      <c r="B77" s="47" t="s">
        <v>4553</v>
      </c>
      <c r="D77" s="47">
        <v>74</v>
      </c>
      <c r="E77" s="188" t="s">
        <v>2970</v>
      </c>
      <c r="F77" s="188" t="s">
        <v>2970</v>
      </c>
      <c r="G77" s="188" t="s">
        <v>2970</v>
      </c>
      <c r="H77" s="188" t="s">
        <v>5659</v>
      </c>
      <c r="I77" s="188" t="s">
        <v>2970</v>
      </c>
      <c r="J77" s="188" t="s">
        <v>2970</v>
      </c>
      <c r="K77" s="188" t="s">
        <v>2970</v>
      </c>
    </row>
    <row r="78" spans="1:11" x14ac:dyDescent="0.25">
      <c r="B78" s="47" t="s">
        <v>4554</v>
      </c>
      <c r="D78" s="47">
        <v>75</v>
      </c>
      <c r="E78" s="188" t="s">
        <v>2970</v>
      </c>
      <c r="F78" s="188" t="s">
        <v>2970</v>
      </c>
      <c r="G78" s="188" t="s">
        <v>2970</v>
      </c>
      <c r="H78" s="188" t="s">
        <v>5660</v>
      </c>
      <c r="I78" s="188" t="s">
        <v>2970</v>
      </c>
      <c r="J78" s="188" t="s">
        <v>2970</v>
      </c>
      <c r="K78" s="188" t="s">
        <v>2970</v>
      </c>
    </row>
    <row r="79" spans="1:11" x14ac:dyDescent="0.25">
      <c r="B79" s="47" t="s">
        <v>4555</v>
      </c>
      <c r="D79" s="47">
        <v>76</v>
      </c>
      <c r="E79" s="188" t="s">
        <v>2970</v>
      </c>
      <c r="F79" s="188" t="s">
        <v>2970</v>
      </c>
      <c r="G79" s="188" t="s">
        <v>2970</v>
      </c>
      <c r="H79" s="188" t="s">
        <v>2970</v>
      </c>
      <c r="I79" s="188" t="s">
        <v>2970</v>
      </c>
      <c r="J79" s="188" t="s">
        <v>2970</v>
      </c>
      <c r="K79" s="188">
        <v>37</v>
      </c>
    </row>
    <row r="80" spans="1:11" x14ac:dyDescent="0.25">
      <c r="A80" s="47" t="s">
        <v>4983</v>
      </c>
      <c r="D80" s="47">
        <v>77</v>
      </c>
      <c r="E80" s="188" t="s">
        <v>2970</v>
      </c>
      <c r="F80" s="188" t="s">
        <v>2970</v>
      </c>
      <c r="G80" s="188" t="s">
        <v>2970</v>
      </c>
      <c r="H80" s="188" t="s">
        <v>2970</v>
      </c>
      <c r="I80" s="188" t="s">
        <v>2970</v>
      </c>
      <c r="J80" s="188" t="s">
        <v>2970</v>
      </c>
      <c r="K80" s="188">
        <v>38</v>
      </c>
    </row>
    <row r="81" spans="1:11" x14ac:dyDescent="0.25">
      <c r="A81" s="47" t="s">
        <v>4984</v>
      </c>
      <c r="D81" s="47">
        <v>78</v>
      </c>
      <c r="E81" s="188" t="s">
        <v>2970</v>
      </c>
      <c r="F81" s="188" t="s">
        <v>2970</v>
      </c>
      <c r="G81" s="188" t="s">
        <v>2970</v>
      </c>
      <c r="H81" s="188" t="s">
        <v>2970</v>
      </c>
      <c r="I81" s="188" t="s">
        <v>2970</v>
      </c>
      <c r="J81" s="188" t="s">
        <v>2970</v>
      </c>
      <c r="K81" s="188">
        <v>39</v>
      </c>
    </row>
    <row r="82" spans="1:11" x14ac:dyDescent="0.25">
      <c r="A82" s="47" t="s">
        <v>4985</v>
      </c>
      <c r="D82" s="47">
        <v>79</v>
      </c>
      <c r="E82" s="188" t="s">
        <v>2970</v>
      </c>
      <c r="F82" s="188" t="s">
        <v>2970</v>
      </c>
      <c r="G82" s="188" t="s">
        <v>2970</v>
      </c>
      <c r="H82" s="188" t="s">
        <v>2970</v>
      </c>
      <c r="I82" s="188" t="s">
        <v>2970</v>
      </c>
      <c r="J82" s="188" t="s">
        <v>2970</v>
      </c>
      <c r="K82" s="188">
        <v>40</v>
      </c>
    </row>
    <row r="83" spans="1:11" x14ac:dyDescent="0.25">
      <c r="A83" s="47" t="s">
        <v>4986</v>
      </c>
      <c r="D83" s="47">
        <v>80</v>
      </c>
      <c r="E83" s="188" t="s">
        <v>2970</v>
      </c>
      <c r="F83" s="188" t="s">
        <v>2970</v>
      </c>
      <c r="G83" s="188" t="s">
        <v>2970</v>
      </c>
      <c r="H83" s="188" t="s">
        <v>2970</v>
      </c>
      <c r="I83" s="188" t="s">
        <v>2970</v>
      </c>
      <c r="J83" s="188" t="s">
        <v>2970</v>
      </c>
      <c r="K83" s="188">
        <v>41</v>
      </c>
    </row>
    <row r="84" spans="1:11" x14ac:dyDescent="0.25">
      <c r="A84" s="47" t="s">
        <v>3833</v>
      </c>
      <c r="B84" s="47" t="s">
        <v>3679</v>
      </c>
      <c r="D84" s="47">
        <v>81</v>
      </c>
      <c r="E84" s="188" t="s">
        <v>2970</v>
      </c>
      <c r="F84" s="188" t="s">
        <v>2970</v>
      </c>
      <c r="G84" s="188" t="s">
        <v>2970</v>
      </c>
      <c r="H84" s="188" t="s">
        <v>2970</v>
      </c>
      <c r="I84" s="188" t="s">
        <v>2970</v>
      </c>
      <c r="J84" s="188" t="s">
        <v>2970</v>
      </c>
      <c r="K84" s="188">
        <v>42</v>
      </c>
    </row>
    <row r="85" spans="1:11" x14ac:dyDescent="0.25">
      <c r="A85" s="47" t="s">
        <v>4987</v>
      </c>
      <c r="B85" s="47" t="s">
        <v>4556</v>
      </c>
      <c r="D85" s="47">
        <v>82</v>
      </c>
      <c r="E85" s="188" t="s">
        <v>2970</v>
      </c>
      <c r="F85" s="188" t="s">
        <v>2970</v>
      </c>
      <c r="G85" s="188" t="s">
        <v>2970</v>
      </c>
      <c r="H85" s="188" t="s">
        <v>2970</v>
      </c>
      <c r="I85" s="188" t="s">
        <v>2970</v>
      </c>
      <c r="J85" s="188" t="s">
        <v>2970</v>
      </c>
      <c r="K85" s="188">
        <v>43</v>
      </c>
    </row>
    <row r="86" spans="1:11" x14ac:dyDescent="0.25">
      <c r="A86" s="47" t="s">
        <v>3836</v>
      </c>
      <c r="B86" s="47" t="s">
        <v>3681</v>
      </c>
      <c r="D86" s="47">
        <v>83</v>
      </c>
      <c r="E86" s="188" t="s">
        <v>2970</v>
      </c>
      <c r="F86" s="188" t="s">
        <v>2970</v>
      </c>
      <c r="G86" s="188" t="s">
        <v>2970</v>
      </c>
      <c r="H86" s="188" t="s">
        <v>5661</v>
      </c>
      <c r="I86" s="188" t="s">
        <v>2970</v>
      </c>
      <c r="J86" s="188" t="s">
        <v>2970</v>
      </c>
      <c r="K86" s="188">
        <v>44</v>
      </c>
    </row>
    <row r="87" spans="1:11" x14ac:dyDescent="0.25">
      <c r="A87" s="47" t="s">
        <v>4988</v>
      </c>
      <c r="B87" s="47" t="s">
        <v>4557</v>
      </c>
      <c r="D87" s="47">
        <v>84</v>
      </c>
      <c r="E87" s="188" t="s">
        <v>2970</v>
      </c>
      <c r="F87" s="188" t="s">
        <v>2970</v>
      </c>
      <c r="G87" s="188" t="s">
        <v>2970</v>
      </c>
      <c r="H87" s="188" t="s">
        <v>5662</v>
      </c>
      <c r="I87" s="188" t="s">
        <v>2970</v>
      </c>
      <c r="J87" s="188" t="s">
        <v>2970</v>
      </c>
      <c r="K87" s="188">
        <v>45</v>
      </c>
    </row>
    <row r="88" spans="1:11" x14ac:dyDescent="0.25">
      <c r="A88" s="47" t="s">
        <v>4989</v>
      </c>
      <c r="B88" s="47" t="s">
        <v>4558</v>
      </c>
      <c r="D88" s="47">
        <v>85</v>
      </c>
      <c r="E88" s="188" t="s">
        <v>2970</v>
      </c>
      <c r="F88" s="188" t="s">
        <v>2970</v>
      </c>
      <c r="G88" s="188" t="s">
        <v>2970</v>
      </c>
      <c r="H88" s="188" t="s">
        <v>5663</v>
      </c>
      <c r="I88" s="188" t="s">
        <v>2970</v>
      </c>
      <c r="J88" s="188" t="s">
        <v>2970</v>
      </c>
      <c r="K88" s="188">
        <v>46</v>
      </c>
    </row>
    <row r="89" spans="1:11" x14ac:dyDescent="0.25">
      <c r="A89" s="47" t="s">
        <v>3837</v>
      </c>
      <c r="B89" s="47" t="s">
        <v>3682</v>
      </c>
      <c r="D89" s="47">
        <v>86</v>
      </c>
      <c r="E89" s="188" t="s">
        <v>2970</v>
      </c>
      <c r="F89" s="188" t="s">
        <v>2970</v>
      </c>
      <c r="G89" s="188" t="s">
        <v>2970</v>
      </c>
      <c r="H89" s="188" t="s">
        <v>5664</v>
      </c>
      <c r="I89" s="188" t="s">
        <v>2970</v>
      </c>
      <c r="J89" s="188" t="s">
        <v>2970</v>
      </c>
      <c r="K89" s="188">
        <v>47</v>
      </c>
    </row>
    <row r="90" spans="1:11" x14ac:dyDescent="0.25">
      <c r="A90" s="47" t="s">
        <v>4990</v>
      </c>
      <c r="B90" s="47" t="s">
        <v>4559</v>
      </c>
      <c r="D90" s="47">
        <v>87</v>
      </c>
      <c r="E90" s="188" t="s">
        <v>2970</v>
      </c>
      <c r="F90" s="188" t="s">
        <v>2970</v>
      </c>
      <c r="G90" s="188" t="s">
        <v>2970</v>
      </c>
      <c r="H90" s="188" t="s">
        <v>5665</v>
      </c>
      <c r="I90" s="188" t="s">
        <v>2970</v>
      </c>
      <c r="J90" s="188" t="s">
        <v>2970</v>
      </c>
      <c r="K90" s="188">
        <v>48</v>
      </c>
    </row>
    <row r="91" spans="1:11" x14ac:dyDescent="0.25">
      <c r="A91" s="47" t="s">
        <v>4991</v>
      </c>
      <c r="B91" s="47" t="s">
        <v>4560</v>
      </c>
      <c r="D91" s="47">
        <v>88</v>
      </c>
      <c r="E91" s="188" t="s">
        <v>2970</v>
      </c>
      <c r="F91" s="188" t="s">
        <v>2970</v>
      </c>
      <c r="G91" s="188" t="s">
        <v>2970</v>
      </c>
      <c r="H91" s="188" t="s">
        <v>5666</v>
      </c>
      <c r="I91" s="188" t="s">
        <v>2970</v>
      </c>
      <c r="J91" s="188" t="s">
        <v>2970</v>
      </c>
      <c r="K91" s="188">
        <v>49</v>
      </c>
    </row>
    <row r="92" spans="1:11" x14ac:dyDescent="0.25">
      <c r="A92" s="47" t="s">
        <v>4992</v>
      </c>
      <c r="B92" s="47" t="s">
        <v>4561</v>
      </c>
      <c r="D92" s="47">
        <v>89</v>
      </c>
      <c r="E92" s="188" t="s">
        <v>2970</v>
      </c>
      <c r="F92" s="188" t="s">
        <v>2970</v>
      </c>
      <c r="G92" s="188" t="s">
        <v>2970</v>
      </c>
      <c r="H92" s="188" t="s">
        <v>5667</v>
      </c>
      <c r="I92" s="188" t="s">
        <v>2970</v>
      </c>
      <c r="J92" s="188" t="s">
        <v>2970</v>
      </c>
      <c r="K92" s="188">
        <v>50</v>
      </c>
    </row>
    <row r="93" spans="1:11" x14ac:dyDescent="0.25">
      <c r="A93" s="47" t="s">
        <v>4993</v>
      </c>
      <c r="B93" s="47" t="s">
        <v>4562</v>
      </c>
      <c r="D93" s="47">
        <v>90</v>
      </c>
      <c r="E93" s="188" t="s">
        <v>2970</v>
      </c>
      <c r="F93" s="188" t="s">
        <v>2970</v>
      </c>
      <c r="G93" s="188" t="s">
        <v>2970</v>
      </c>
      <c r="H93" s="188" t="s">
        <v>5668</v>
      </c>
      <c r="I93" s="188" t="s">
        <v>2970</v>
      </c>
      <c r="J93" s="188" t="s">
        <v>2970</v>
      </c>
      <c r="K93" s="188">
        <v>51</v>
      </c>
    </row>
    <row r="94" spans="1:11" x14ac:dyDescent="0.25">
      <c r="A94" s="47" t="s">
        <v>4994</v>
      </c>
      <c r="B94" s="47" t="s">
        <v>4563</v>
      </c>
      <c r="D94" s="47">
        <v>91</v>
      </c>
      <c r="E94" s="188" t="s">
        <v>2970</v>
      </c>
      <c r="F94" s="188" t="s">
        <v>2970</v>
      </c>
      <c r="G94" s="188" t="s">
        <v>2970</v>
      </c>
      <c r="H94" s="188" t="s">
        <v>5669</v>
      </c>
      <c r="I94" s="188" t="s">
        <v>2970</v>
      </c>
      <c r="J94" s="188" t="s">
        <v>2970</v>
      </c>
      <c r="K94" s="188">
        <v>52</v>
      </c>
    </row>
    <row r="95" spans="1:11" x14ac:dyDescent="0.25">
      <c r="A95" s="47" t="s">
        <v>4995</v>
      </c>
      <c r="B95" s="47" t="s">
        <v>4564</v>
      </c>
      <c r="D95" s="47">
        <v>92</v>
      </c>
      <c r="E95" s="188" t="s">
        <v>2970</v>
      </c>
      <c r="F95" s="188" t="s">
        <v>2970</v>
      </c>
      <c r="G95" s="188" t="s">
        <v>2970</v>
      </c>
      <c r="H95" s="188" t="s">
        <v>5670</v>
      </c>
      <c r="I95" s="188" t="s">
        <v>2970</v>
      </c>
      <c r="J95" s="188" t="s">
        <v>2970</v>
      </c>
      <c r="K95" s="188">
        <v>53</v>
      </c>
    </row>
    <row r="96" spans="1:11" x14ac:dyDescent="0.25">
      <c r="A96" s="47" t="s">
        <v>4996</v>
      </c>
      <c r="B96" s="47" t="s">
        <v>4565</v>
      </c>
      <c r="D96" s="47">
        <v>93</v>
      </c>
      <c r="E96" s="188" t="s">
        <v>2970</v>
      </c>
      <c r="F96" s="188" t="s">
        <v>2970</v>
      </c>
      <c r="G96" s="188" t="s">
        <v>2970</v>
      </c>
      <c r="H96" s="188" t="s">
        <v>5671</v>
      </c>
      <c r="I96" s="188" t="s">
        <v>2970</v>
      </c>
      <c r="J96" s="188" t="s">
        <v>2970</v>
      </c>
      <c r="K96" s="188" t="s">
        <v>2970</v>
      </c>
    </row>
    <row r="97" spans="1:11" x14ac:dyDescent="0.25">
      <c r="A97" s="47" t="s">
        <v>4997</v>
      </c>
      <c r="B97" s="47" t="s">
        <v>4566</v>
      </c>
      <c r="D97" s="47">
        <v>94</v>
      </c>
      <c r="E97" s="188" t="s">
        <v>2970</v>
      </c>
      <c r="F97" s="188" t="s">
        <v>2970</v>
      </c>
      <c r="G97" s="188" t="s">
        <v>2970</v>
      </c>
      <c r="H97" s="188" t="s">
        <v>5672</v>
      </c>
      <c r="I97" s="188" t="s">
        <v>2970</v>
      </c>
      <c r="J97" s="188" t="s">
        <v>2970</v>
      </c>
      <c r="K97" s="188" t="s">
        <v>2970</v>
      </c>
    </row>
    <row r="98" spans="1:11" x14ac:dyDescent="0.25">
      <c r="A98" s="47" t="s">
        <v>4998</v>
      </c>
      <c r="B98" s="47" t="s">
        <v>4567</v>
      </c>
      <c r="D98" s="47">
        <v>95</v>
      </c>
      <c r="E98" s="188" t="s">
        <v>2970</v>
      </c>
      <c r="F98" s="188" t="s">
        <v>2970</v>
      </c>
      <c r="G98" s="188" t="s">
        <v>2970</v>
      </c>
      <c r="H98" s="188" t="s">
        <v>5673</v>
      </c>
      <c r="I98" s="188" t="s">
        <v>2970</v>
      </c>
      <c r="J98" s="188" t="s">
        <v>2970</v>
      </c>
      <c r="K98" s="188" t="s">
        <v>2970</v>
      </c>
    </row>
    <row r="99" spans="1:11" x14ac:dyDescent="0.25">
      <c r="A99" s="47" t="s">
        <v>4999</v>
      </c>
      <c r="B99" s="47" t="s">
        <v>4568</v>
      </c>
      <c r="D99" s="47">
        <v>96</v>
      </c>
      <c r="E99" s="188" t="s">
        <v>2970</v>
      </c>
      <c r="F99" s="188" t="s">
        <v>2970</v>
      </c>
      <c r="G99" s="188" t="s">
        <v>2970</v>
      </c>
      <c r="H99" s="188" t="s">
        <v>5674</v>
      </c>
      <c r="I99" s="188" t="s">
        <v>2970</v>
      </c>
      <c r="J99" s="188" t="s">
        <v>2970</v>
      </c>
      <c r="K99" s="188" t="s">
        <v>2970</v>
      </c>
    </row>
    <row r="100" spans="1:11" x14ac:dyDescent="0.25">
      <c r="A100" s="47" t="s">
        <v>5000</v>
      </c>
      <c r="B100" s="47" t="s">
        <v>4569</v>
      </c>
      <c r="D100" s="47">
        <v>97</v>
      </c>
      <c r="E100" s="188" t="s">
        <v>2970</v>
      </c>
      <c r="F100" s="188" t="s">
        <v>2970</v>
      </c>
      <c r="G100" s="188" t="s">
        <v>2970</v>
      </c>
      <c r="H100" s="188" t="s">
        <v>5675</v>
      </c>
      <c r="I100" s="188" t="s">
        <v>2970</v>
      </c>
      <c r="J100" s="188" t="s">
        <v>2970</v>
      </c>
      <c r="K100" s="188" t="s">
        <v>2970</v>
      </c>
    </row>
    <row r="101" spans="1:11" x14ac:dyDescent="0.25">
      <c r="A101" s="47" t="s">
        <v>5001</v>
      </c>
      <c r="B101" s="47" t="s">
        <v>4570</v>
      </c>
      <c r="D101" s="47">
        <v>98</v>
      </c>
      <c r="E101" s="188" t="s">
        <v>2970</v>
      </c>
      <c r="F101" s="188" t="s">
        <v>2970</v>
      </c>
      <c r="G101" s="188" t="s">
        <v>2970</v>
      </c>
      <c r="H101" s="188" t="s">
        <v>5676</v>
      </c>
      <c r="I101" s="188" t="s">
        <v>2970</v>
      </c>
      <c r="J101" s="188" t="s">
        <v>2970</v>
      </c>
      <c r="K101" s="188" t="s">
        <v>2970</v>
      </c>
    </row>
    <row r="102" spans="1:11" x14ac:dyDescent="0.25">
      <c r="A102" s="47" t="s">
        <v>5002</v>
      </c>
      <c r="B102" s="47" t="s">
        <v>4571</v>
      </c>
      <c r="D102" s="47">
        <v>99</v>
      </c>
      <c r="E102" s="188" t="s">
        <v>2970</v>
      </c>
      <c r="F102" s="188" t="s">
        <v>2970</v>
      </c>
      <c r="G102" s="188" t="s">
        <v>2970</v>
      </c>
      <c r="H102" s="188" t="s">
        <v>2970</v>
      </c>
      <c r="I102" s="188" t="s">
        <v>2970</v>
      </c>
      <c r="J102" s="188" t="s">
        <v>2970</v>
      </c>
      <c r="K102" s="188">
        <v>54</v>
      </c>
    </row>
    <row r="103" spans="1:11" x14ac:dyDescent="0.25">
      <c r="A103" s="47" t="s">
        <v>5003</v>
      </c>
      <c r="B103" s="47" t="s">
        <v>4572</v>
      </c>
      <c r="D103" s="47">
        <v>100</v>
      </c>
      <c r="E103" s="188" t="s">
        <v>2970</v>
      </c>
      <c r="F103" s="188" t="s">
        <v>2970</v>
      </c>
      <c r="G103" s="188" t="s">
        <v>2970</v>
      </c>
      <c r="H103" s="188" t="s">
        <v>2970</v>
      </c>
      <c r="I103" s="188" t="s">
        <v>2970</v>
      </c>
      <c r="J103" s="188" t="s">
        <v>2970</v>
      </c>
      <c r="K103" s="188">
        <v>55</v>
      </c>
    </row>
    <row r="104" spans="1:11" x14ac:dyDescent="0.25">
      <c r="A104" s="47" t="s">
        <v>5004</v>
      </c>
      <c r="B104" s="47" t="s">
        <v>4573</v>
      </c>
      <c r="D104" s="47">
        <v>101</v>
      </c>
      <c r="E104" s="188" t="s">
        <v>2970</v>
      </c>
      <c r="F104" s="188" t="s">
        <v>2970</v>
      </c>
      <c r="G104" s="188" t="s">
        <v>2970</v>
      </c>
      <c r="H104" s="188" t="s">
        <v>2970</v>
      </c>
      <c r="I104" s="188" t="s">
        <v>2970</v>
      </c>
      <c r="J104" s="188" t="s">
        <v>2970</v>
      </c>
      <c r="K104" s="188">
        <v>56</v>
      </c>
    </row>
    <row r="105" spans="1:11" x14ac:dyDescent="0.25">
      <c r="A105" s="47" t="s">
        <v>5005</v>
      </c>
      <c r="B105" s="47" t="s">
        <v>4574</v>
      </c>
      <c r="D105" s="47">
        <v>102</v>
      </c>
      <c r="E105" s="188" t="s">
        <v>2970</v>
      </c>
      <c r="F105" s="188" t="s">
        <v>2970</v>
      </c>
      <c r="G105" s="188" t="s">
        <v>2970</v>
      </c>
      <c r="H105" s="188" t="s">
        <v>2970</v>
      </c>
      <c r="I105" s="188" t="s">
        <v>2970</v>
      </c>
      <c r="J105" s="188" t="s">
        <v>2970</v>
      </c>
      <c r="K105" s="188">
        <v>57</v>
      </c>
    </row>
    <row r="106" spans="1:11" x14ac:dyDescent="0.25">
      <c r="A106" s="47" t="s">
        <v>5006</v>
      </c>
      <c r="B106" s="47" t="s">
        <v>4575</v>
      </c>
      <c r="D106" s="47">
        <v>103</v>
      </c>
      <c r="E106" s="188" t="s">
        <v>2970</v>
      </c>
      <c r="F106" s="188" t="s">
        <v>2970</v>
      </c>
      <c r="G106" s="188" t="s">
        <v>2970</v>
      </c>
      <c r="H106" s="188" t="s">
        <v>2970</v>
      </c>
      <c r="I106" s="188" t="s">
        <v>2970</v>
      </c>
      <c r="J106" s="188" t="s">
        <v>2970</v>
      </c>
      <c r="K106" s="188">
        <v>58</v>
      </c>
    </row>
    <row r="107" spans="1:11" x14ac:dyDescent="0.25">
      <c r="A107" s="47" t="s">
        <v>5007</v>
      </c>
      <c r="B107" s="47" t="s">
        <v>4576</v>
      </c>
      <c r="D107" s="47">
        <v>104</v>
      </c>
      <c r="E107" s="188" t="s">
        <v>2970</v>
      </c>
      <c r="F107" s="188" t="s">
        <v>2970</v>
      </c>
      <c r="G107" s="188" t="s">
        <v>2970</v>
      </c>
      <c r="H107" s="188" t="s">
        <v>2970</v>
      </c>
      <c r="I107" s="188" t="s">
        <v>2970</v>
      </c>
      <c r="J107" s="188" t="s">
        <v>2970</v>
      </c>
      <c r="K107" s="188">
        <v>59</v>
      </c>
    </row>
    <row r="108" spans="1:11" x14ac:dyDescent="0.25">
      <c r="A108" s="47" t="s">
        <v>5008</v>
      </c>
      <c r="B108" s="47" t="s">
        <v>4577</v>
      </c>
      <c r="D108" s="47">
        <v>105</v>
      </c>
      <c r="E108" s="188" t="s">
        <v>2970</v>
      </c>
      <c r="F108" s="188" t="s">
        <v>2970</v>
      </c>
      <c r="G108" s="188" t="s">
        <v>2970</v>
      </c>
      <c r="H108" s="188" t="s">
        <v>2970</v>
      </c>
      <c r="I108" s="188" t="s">
        <v>2970</v>
      </c>
      <c r="J108" s="188" t="s">
        <v>2970</v>
      </c>
      <c r="K108" s="188">
        <v>60</v>
      </c>
    </row>
    <row r="109" spans="1:11" x14ac:dyDescent="0.25">
      <c r="A109" s="47" t="s">
        <v>5009</v>
      </c>
      <c r="B109" s="47" t="s">
        <v>4578</v>
      </c>
      <c r="D109" s="47">
        <v>106</v>
      </c>
      <c r="E109" s="188" t="s">
        <v>2970</v>
      </c>
      <c r="F109" s="188" t="s">
        <v>2970</v>
      </c>
      <c r="G109" s="188" t="s">
        <v>2970</v>
      </c>
      <c r="H109" s="188" t="s">
        <v>2970</v>
      </c>
      <c r="I109" s="188" t="s">
        <v>2970</v>
      </c>
      <c r="J109" s="188" t="s">
        <v>2970</v>
      </c>
      <c r="K109" s="188">
        <v>61</v>
      </c>
    </row>
    <row r="110" spans="1:11" x14ac:dyDescent="0.25">
      <c r="A110" s="47" t="s">
        <v>5010</v>
      </c>
      <c r="B110" s="47" t="s">
        <v>4579</v>
      </c>
      <c r="D110" s="47">
        <v>107</v>
      </c>
      <c r="E110" s="188" t="s">
        <v>2970</v>
      </c>
      <c r="F110" s="188" t="s">
        <v>2970</v>
      </c>
      <c r="G110" s="188" t="s">
        <v>2970</v>
      </c>
      <c r="H110" s="188" t="s">
        <v>2970</v>
      </c>
      <c r="I110" s="188" t="s">
        <v>2970</v>
      </c>
      <c r="J110" s="188" t="s">
        <v>2970</v>
      </c>
      <c r="K110" s="188">
        <v>62</v>
      </c>
    </row>
    <row r="111" spans="1:11" x14ac:dyDescent="0.25">
      <c r="A111" s="47" t="s">
        <v>5011</v>
      </c>
      <c r="B111" s="47" t="s">
        <v>4580</v>
      </c>
      <c r="D111" s="47">
        <v>108</v>
      </c>
      <c r="E111" s="188" t="s">
        <v>2970</v>
      </c>
      <c r="F111" s="188" t="s">
        <v>2970</v>
      </c>
      <c r="G111" s="188" t="s">
        <v>2970</v>
      </c>
      <c r="H111" s="188" t="s">
        <v>2970</v>
      </c>
      <c r="I111" s="188" t="s">
        <v>2970</v>
      </c>
      <c r="J111" s="188" t="s">
        <v>2970</v>
      </c>
      <c r="K111" s="188">
        <v>63</v>
      </c>
    </row>
    <row r="112" spans="1:11" x14ac:dyDescent="0.25">
      <c r="A112" s="47" t="s">
        <v>5012</v>
      </c>
      <c r="B112" s="47" t="s">
        <v>4581</v>
      </c>
      <c r="D112" s="47">
        <v>109</v>
      </c>
      <c r="E112" s="188" t="s">
        <v>2970</v>
      </c>
      <c r="F112" s="188" t="s">
        <v>2970</v>
      </c>
      <c r="G112" s="188" t="s">
        <v>2970</v>
      </c>
      <c r="H112" s="188" t="s">
        <v>2970</v>
      </c>
      <c r="I112" s="188" t="s">
        <v>2970</v>
      </c>
      <c r="J112" s="188" t="s">
        <v>2970</v>
      </c>
      <c r="K112" s="188">
        <v>64</v>
      </c>
    </row>
    <row r="113" spans="1:11" x14ac:dyDescent="0.25">
      <c r="A113" s="47" t="s">
        <v>5013</v>
      </c>
      <c r="D113" s="47">
        <v>110</v>
      </c>
      <c r="E113" s="188" t="s">
        <v>2970</v>
      </c>
      <c r="F113" s="188" t="s">
        <v>2970</v>
      </c>
      <c r="G113" s="188" t="s">
        <v>2970</v>
      </c>
      <c r="H113" s="188" t="s">
        <v>2970</v>
      </c>
      <c r="I113" s="188" t="s">
        <v>2970</v>
      </c>
      <c r="J113" s="188" t="s">
        <v>2970</v>
      </c>
      <c r="K113" s="188">
        <v>65</v>
      </c>
    </row>
    <row r="114" spans="1:11" x14ac:dyDescent="0.25">
      <c r="A114" s="47" t="s">
        <v>5014</v>
      </c>
      <c r="D114" s="47">
        <v>111</v>
      </c>
      <c r="E114" s="188" t="s">
        <v>2970</v>
      </c>
      <c r="F114" s="188" t="s">
        <v>2970</v>
      </c>
      <c r="G114" s="188" t="s">
        <v>2970</v>
      </c>
      <c r="H114" s="188" t="s">
        <v>2970</v>
      </c>
      <c r="I114" s="188" t="s">
        <v>2970</v>
      </c>
      <c r="J114" s="188" t="s">
        <v>2970</v>
      </c>
      <c r="K114" s="188">
        <v>66</v>
      </c>
    </row>
    <row r="115" spans="1:11" x14ac:dyDescent="0.25">
      <c r="A115" s="47" t="s">
        <v>5015</v>
      </c>
      <c r="D115" s="47">
        <v>112</v>
      </c>
      <c r="E115" s="188" t="s">
        <v>2970</v>
      </c>
      <c r="F115" s="188" t="s">
        <v>2970</v>
      </c>
      <c r="G115" s="188" t="s">
        <v>2970</v>
      </c>
      <c r="H115" s="188" t="s">
        <v>2970</v>
      </c>
      <c r="I115" s="188" t="s">
        <v>2970</v>
      </c>
      <c r="J115" s="188" t="s">
        <v>2970</v>
      </c>
      <c r="K115" s="188">
        <v>67</v>
      </c>
    </row>
    <row r="116" spans="1:11" x14ac:dyDescent="0.25">
      <c r="A116" s="47" t="s">
        <v>5016</v>
      </c>
      <c r="D116" s="47">
        <v>113</v>
      </c>
      <c r="E116" s="188" t="s">
        <v>2970</v>
      </c>
      <c r="F116" s="188" t="s">
        <v>2970</v>
      </c>
      <c r="G116" s="188" t="s">
        <v>2970</v>
      </c>
      <c r="H116" s="188" t="s">
        <v>5677</v>
      </c>
      <c r="I116" s="188" t="s">
        <v>2970</v>
      </c>
      <c r="J116" s="188" t="s">
        <v>2970</v>
      </c>
      <c r="K116" s="188">
        <v>68</v>
      </c>
    </row>
    <row r="117" spans="1:11" x14ac:dyDescent="0.25">
      <c r="A117" s="47" t="s">
        <v>5017</v>
      </c>
      <c r="D117" s="47">
        <v>114</v>
      </c>
      <c r="E117" s="188" t="s">
        <v>2970</v>
      </c>
      <c r="F117" s="188" t="s">
        <v>2970</v>
      </c>
      <c r="G117" s="188" t="s">
        <v>2970</v>
      </c>
      <c r="H117" s="188" t="s">
        <v>5678</v>
      </c>
      <c r="I117" s="188" t="s">
        <v>2970</v>
      </c>
      <c r="J117" s="188" t="s">
        <v>2970</v>
      </c>
      <c r="K117" s="188">
        <v>69</v>
      </c>
    </row>
    <row r="118" spans="1:11" x14ac:dyDescent="0.25">
      <c r="A118" s="47" t="s">
        <v>5018</v>
      </c>
      <c r="D118" s="47">
        <v>115</v>
      </c>
      <c r="E118" s="188" t="s">
        <v>2970</v>
      </c>
      <c r="F118" s="188" t="s">
        <v>2970</v>
      </c>
      <c r="G118" s="188" t="s">
        <v>2970</v>
      </c>
      <c r="H118" s="188" t="s">
        <v>5679</v>
      </c>
      <c r="I118" s="188" t="s">
        <v>2970</v>
      </c>
      <c r="J118" s="188" t="s">
        <v>2970</v>
      </c>
      <c r="K118" s="188">
        <v>70</v>
      </c>
    </row>
    <row r="119" spans="1:11" x14ac:dyDescent="0.25">
      <c r="A119" s="47" t="s">
        <v>5019</v>
      </c>
      <c r="B119" s="47" t="s">
        <v>4582</v>
      </c>
      <c r="D119" s="47">
        <v>116</v>
      </c>
      <c r="E119" s="188" t="s">
        <v>2970</v>
      </c>
      <c r="F119" s="188" t="s">
        <v>2970</v>
      </c>
      <c r="G119" s="188" t="s">
        <v>2970</v>
      </c>
      <c r="H119" s="188" t="s">
        <v>5680</v>
      </c>
      <c r="I119" s="188" t="s">
        <v>2970</v>
      </c>
      <c r="J119" s="188" t="s">
        <v>2970</v>
      </c>
      <c r="K119" s="188">
        <v>71</v>
      </c>
    </row>
    <row r="120" spans="1:11" x14ac:dyDescent="0.25">
      <c r="A120" s="47" t="s">
        <v>5020</v>
      </c>
      <c r="B120" s="47" t="s">
        <v>4583</v>
      </c>
      <c r="D120" s="47">
        <v>117</v>
      </c>
      <c r="E120" s="188" t="s">
        <v>2970</v>
      </c>
      <c r="F120" s="188" t="s">
        <v>2970</v>
      </c>
      <c r="G120" s="188" t="s">
        <v>2970</v>
      </c>
      <c r="H120" s="188" t="s">
        <v>5681</v>
      </c>
      <c r="I120" s="188" t="s">
        <v>2970</v>
      </c>
      <c r="J120" s="188" t="s">
        <v>2970</v>
      </c>
      <c r="K120" s="188">
        <v>72</v>
      </c>
    </row>
    <row r="121" spans="1:11" x14ac:dyDescent="0.25">
      <c r="A121" s="47" t="s">
        <v>5021</v>
      </c>
      <c r="B121" s="47" t="s">
        <v>4584</v>
      </c>
      <c r="D121" s="47">
        <v>118</v>
      </c>
      <c r="E121" s="188" t="s">
        <v>2970</v>
      </c>
      <c r="F121" s="188" t="s">
        <v>2970</v>
      </c>
      <c r="G121" s="188" t="s">
        <v>2970</v>
      </c>
      <c r="H121" s="188" t="s">
        <v>5682</v>
      </c>
      <c r="I121" s="188" t="s">
        <v>2970</v>
      </c>
      <c r="J121" s="188" t="s">
        <v>2970</v>
      </c>
      <c r="K121" s="188">
        <v>73</v>
      </c>
    </row>
    <row r="122" spans="1:11" x14ac:dyDescent="0.25">
      <c r="A122" s="47" t="s">
        <v>5022</v>
      </c>
      <c r="B122" s="47" t="s">
        <v>4585</v>
      </c>
      <c r="D122" s="47">
        <v>119</v>
      </c>
      <c r="E122" s="188" t="s">
        <v>2970</v>
      </c>
      <c r="F122" s="188" t="s">
        <v>2970</v>
      </c>
      <c r="G122" s="188" t="s">
        <v>2970</v>
      </c>
      <c r="H122" s="188" t="s">
        <v>5683</v>
      </c>
      <c r="I122" s="188" t="s">
        <v>2970</v>
      </c>
      <c r="J122" s="188" t="s">
        <v>2970</v>
      </c>
      <c r="K122" s="188">
        <v>74</v>
      </c>
    </row>
    <row r="123" spans="1:11" x14ac:dyDescent="0.25">
      <c r="A123" s="47" t="s">
        <v>5023</v>
      </c>
      <c r="B123" s="47" t="s">
        <v>4586</v>
      </c>
      <c r="D123" s="47">
        <v>120</v>
      </c>
      <c r="E123" s="188" t="s">
        <v>2970</v>
      </c>
      <c r="F123" s="188" t="s">
        <v>2970</v>
      </c>
      <c r="G123" s="188" t="s">
        <v>2970</v>
      </c>
      <c r="H123" s="188" t="s">
        <v>5684</v>
      </c>
      <c r="I123" s="188" t="s">
        <v>2970</v>
      </c>
      <c r="J123" s="188" t="s">
        <v>2970</v>
      </c>
      <c r="K123" s="188">
        <v>75</v>
      </c>
    </row>
    <row r="124" spans="1:11" x14ac:dyDescent="0.25">
      <c r="A124" s="47" t="s">
        <v>5024</v>
      </c>
      <c r="B124" s="47" t="s">
        <v>4587</v>
      </c>
      <c r="D124" s="47">
        <v>121</v>
      </c>
      <c r="E124" s="188" t="s">
        <v>2970</v>
      </c>
      <c r="F124" s="188" t="s">
        <v>2970</v>
      </c>
      <c r="G124" s="188" t="s">
        <v>2970</v>
      </c>
      <c r="H124" s="188" t="s">
        <v>5685</v>
      </c>
      <c r="I124" s="188" t="s">
        <v>2970</v>
      </c>
      <c r="J124" s="188" t="s">
        <v>2970</v>
      </c>
      <c r="K124" s="188" t="s">
        <v>2970</v>
      </c>
    </row>
    <row r="125" spans="1:11" x14ac:dyDescent="0.25">
      <c r="A125" s="47" t="s">
        <v>5025</v>
      </c>
      <c r="B125" s="47" t="s">
        <v>4588</v>
      </c>
      <c r="D125" s="47">
        <v>122</v>
      </c>
      <c r="E125" s="188" t="s">
        <v>2970</v>
      </c>
      <c r="F125" s="188" t="s">
        <v>2970</v>
      </c>
      <c r="G125" s="188" t="s">
        <v>2970</v>
      </c>
      <c r="H125" s="188" t="s">
        <v>5686</v>
      </c>
      <c r="I125" s="188" t="s">
        <v>2970</v>
      </c>
      <c r="J125" s="188" t="s">
        <v>2970</v>
      </c>
      <c r="K125" s="188" t="s">
        <v>2970</v>
      </c>
    </row>
    <row r="126" spans="1:11" x14ac:dyDescent="0.25">
      <c r="A126" s="47" t="s">
        <v>5026</v>
      </c>
      <c r="B126" s="47" t="s">
        <v>4589</v>
      </c>
      <c r="D126" s="47">
        <v>123</v>
      </c>
      <c r="E126" s="188" t="s">
        <v>2970</v>
      </c>
      <c r="F126" s="188" t="s">
        <v>2970</v>
      </c>
      <c r="G126" s="188" t="s">
        <v>2970</v>
      </c>
      <c r="H126" s="188" t="s">
        <v>5687</v>
      </c>
      <c r="I126" s="188" t="s">
        <v>2970</v>
      </c>
      <c r="J126" s="188" t="s">
        <v>2970</v>
      </c>
      <c r="K126" s="188" t="s">
        <v>2970</v>
      </c>
    </row>
    <row r="127" spans="1:11" x14ac:dyDescent="0.25">
      <c r="A127" s="47" t="s">
        <v>5027</v>
      </c>
      <c r="B127" s="47" t="s">
        <v>4590</v>
      </c>
      <c r="D127" s="47">
        <v>124</v>
      </c>
      <c r="E127" s="188" t="s">
        <v>2970</v>
      </c>
      <c r="F127" s="188" t="s">
        <v>2970</v>
      </c>
      <c r="G127" s="188" t="s">
        <v>2970</v>
      </c>
      <c r="H127" s="188" t="s">
        <v>5688</v>
      </c>
      <c r="I127" s="188" t="s">
        <v>2970</v>
      </c>
      <c r="J127" s="188" t="s">
        <v>2970</v>
      </c>
      <c r="K127" s="188" t="s">
        <v>2970</v>
      </c>
    </row>
    <row r="128" spans="1:11" x14ac:dyDescent="0.25">
      <c r="A128" s="47" t="s">
        <v>5028</v>
      </c>
      <c r="B128" s="47" t="s">
        <v>4591</v>
      </c>
      <c r="D128" s="47">
        <v>125</v>
      </c>
      <c r="E128" s="188" t="s">
        <v>2970</v>
      </c>
      <c r="F128" s="188" t="s">
        <v>2970</v>
      </c>
      <c r="G128" s="188" t="s">
        <v>2970</v>
      </c>
      <c r="H128" s="188" t="s">
        <v>5689</v>
      </c>
      <c r="I128" s="188" t="s">
        <v>2970</v>
      </c>
      <c r="J128" s="188" t="s">
        <v>2970</v>
      </c>
      <c r="K128" s="188" t="s">
        <v>2970</v>
      </c>
    </row>
    <row r="129" spans="1:11" x14ac:dyDescent="0.25">
      <c r="A129" s="47" t="s">
        <v>5029</v>
      </c>
      <c r="B129" s="47" t="s">
        <v>4592</v>
      </c>
      <c r="D129" s="47">
        <v>126</v>
      </c>
      <c r="E129" s="188" t="s">
        <v>2970</v>
      </c>
      <c r="F129" s="188" t="s">
        <v>2970</v>
      </c>
      <c r="G129" s="188" t="s">
        <v>2970</v>
      </c>
      <c r="H129" s="188" t="s">
        <v>5690</v>
      </c>
      <c r="I129" s="188" t="s">
        <v>2970</v>
      </c>
      <c r="J129" s="188" t="s">
        <v>2970</v>
      </c>
      <c r="K129" s="188" t="s">
        <v>2970</v>
      </c>
    </row>
    <row r="130" spans="1:11" x14ac:dyDescent="0.25">
      <c r="A130" s="47" t="s">
        <v>5030</v>
      </c>
      <c r="B130" s="47" t="s">
        <v>4593</v>
      </c>
      <c r="D130" s="47">
        <v>127</v>
      </c>
      <c r="E130" s="188" t="s">
        <v>2970</v>
      </c>
      <c r="F130" s="188" t="s">
        <v>2970</v>
      </c>
      <c r="G130" s="188" t="s">
        <v>2970</v>
      </c>
      <c r="H130" s="188" t="s">
        <v>5691</v>
      </c>
      <c r="I130" s="188" t="s">
        <v>2970</v>
      </c>
      <c r="J130" s="188" t="s">
        <v>2970</v>
      </c>
      <c r="K130" s="188" t="s">
        <v>2970</v>
      </c>
    </row>
    <row r="131" spans="1:11" x14ac:dyDescent="0.25">
      <c r="A131" s="47" t="s">
        <v>5031</v>
      </c>
      <c r="B131" s="47" t="s">
        <v>4594</v>
      </c>
      <c r="D131" s="47">
        <v>128</v>
      </c>
      <c r="E131" s="188" t="s">
        <v>2970</v>
      </c>
      <c r="F131" s="188" t="s">
        <v>2970</v>
      </c>
      <c r="G131" s="188" t="s">
        <v>2970</v>
      </c>
      <c r="H131" s="188" t="s">
        <v>5692</v>
      </c>
      <c r="I131" s="188" t="s">
        <v>2970</v>
      </c>
      <c r="J131" s="188" t="s">
        <v>2970</v>
      </c>
      <c r="K131" s="188" t="s">
        <v>2970</v>
      </c>
    </row>
    <row r="132" spans="1:11" x14ac:dyDescent="0.25">
      <c r="A132" s="47" t="s">
        <v>5032</v>
      </c>
      <c r="B132" s="47" t="s">
        <v>4595</v>
      </c>
      <c r="D132" s="47">
        <v>129</v>
      </c>
      <c r="E132" s="188" t="s">
        <v>2970</v>
      </c>
      <c r="F132" s="188" t="s">
        <v>2970</v>
      </c>
      <c r="G132" s="188" t="s">
        <v>2970</v>
      </c>
      <c r="H132" s="188" t="s">
        <v>2970</v>
      </c>
      <c r="I132" s="188" t="s">
        <v>2970</v>
      </c>
      <c r="J132" s="188" t="s">
        <v>2970</v>
      </c>
      <c r="K132" s="188">
        <v>76</v>
      </c>
    </row>
    <row r="133" spans="1:11" x14ac:dyDescent="0.25">
      <c r="B133" s="47" t="s">
        <v>3684</v>
      </c>
      <c r="D133" s="47">
        <v>130</v>
      </c>
      <c r="E133" s="188" t="s">
        <v>2970</v>
      </c>
      <c r="F133" s="188" t="s">
        <v>2970</v>
      </c>
      <c r="G133" s="188" t="s">
        <v>2970</v>
      </c>
      <c r="H133" s="188" t="s">
        <v>2970</v>
      </c>
      <c r="I133" s="188" t="s">
        <v>2970</v>
      </c>
      <c r="J133" s="188" t="s">
        <v>2970</v>
      </c>
      <c r="K133" s="188">
        <v>77</v>
      </c>
    </row>
    <row r="134" spans="1:11" x14ac:dyDescent="0.25">
      <c r="B134" s="47" t="s">
        <v>4596</v>
      </c>
      <c r="D134" s="47">
        <v>131</v>
      </c>
      <c r="E134" s="188" t="s">
        <v>2970</v>
      </c>
      <c r="F134" s="188" t="s">
        <v>2970</v>
      </c>
      <c r="G134" s="188" t="s">
        <v>2970</v>
      </c>
      <c r="H134" s="188" t="s">
        <v>2970</v>
      </c>
      <c r="I134" s="188" t="s">
        <v>2970</v>
      </c>
      <c r="J134" s="188" t="s">
        <v>2970</v>
      </c>
      <c r="K134" s="188">
        <v>78</v>
      </c>
    </row>
    <row r="135" spans="1:11" x14ac:dyDescent="0.25">
      <c r="B135" s="47" t="s">
        <v>4597</v>
      </c>
      <c r="D135" s="47">
        <v>132</v>
      </c>
      <c r="E135" s="188" t="s">
        <v>2970</v>
      </c>
      <c r="F135" s="188" t="s">
        <v>2970</v>
      </c>
      <c r="G135" s="188" t="s">
        <v>2970</v>
      </c>
      <c r="H135" s="188" t="s">
        <v>2970</v>
      </c>
      <c r="I135" s="188" t="s">
        <v>2970</v>
      </c>
      <c r="J135" s="188" t="s">
        <v>2970</v>
      </c>
      <c r="K135" s="188">
        <v>79</v>
      </c>
    </row>
    <row r="136" spans="1:11" x14ac:dyDescent="0.25">
      <c r="B136" s="47" t="s">
        <v>4598</v>
      </c>
      <c r="D136" s="47">
        <v>133</v>
      </c>
      <c r="E136" s="188" t="s">
        <v>2970</v>
      </c>
      <c r="F136" s="188" t="s">
        <v>2970</v>
      </c>
      <c r="G136" s="188" t="s">
        <v>2970</v>
      </c>
      <c r="H136" s="188" t="s">
        <v>2970</v>
      </c>
      <c r="I136" s="188" t="s">
        <v>2970</v>
      </c>
      <c r="J136" s="188" t="s">
        <v>2970</v>
      </c>
      <c r="K136" s="188">
        <v>80</v>
      </c>
    </row>
    <row r="137" spans="1:11" x14ac:dyDescent="0.25">
      <c r="A137" s="47" t="s">
        <v>5033</v>
      </c>
      <c r="D137" s="47">
        <v>134</v>
      </c>
      <c r="E137" s="188" t="s">
        <v>2970</v>
      </c>
      <c r="F137" s="188" t="s">
        <v>2970</v>
      </c>
      <c r="G137" s="188" t="s">
        <v>2970</v>
      </c>
      <c r="H137" s="188" t="s">
        <v>5693</v>
      </c>
      <c r="I137" s="188" t="s">
        <v>2970</v>
      </c>
      <c r="J137" s="188" t="s">
        <v>2970</v>
      </c>
      <c r="K137" s="188" t="s">
        <v>2970</v>
      </c>
    </row>
    <row r="138" spans="1:11" x14ac:dyDescent="0.25">
      <c r="A138" s="47" t="s">
        <v>5034</v>
      </c>
      <c r="D138" s="47">
        <v>135</v>
      </c>
      <c r="E138" s="188" t="s">
        <v>2970</v>
      </c>
      <c r="F138" s="188" t="s">
        <v>2970</v>
      </c>
      <c r="G138" s="188" t="s">
        <v>2970</v>
      </c>
      <c r="H138" s="188" t="s">
        <v>5694</v>
      </c>
      <c r="I138" s="188" t="s">
        <v>2970</v>
      </c>
      <c r="J138" s="188" t="s">
        <v>2970</v>
      </c>
      <c r="K138" s="188" t="s">
        <v>2970</v>
      </c>
    </row>
    <row r="139" spans="1:11" x14ac:dyDescent="0.25">
      <c r="A139" s="47" t="s">
        <v>3821</v>
      </c>
      <c r="D139" s="47">
        <v>136</v>
      </c>
      <c r="E139" s="188" t="s">
        <v>2970</v>
      </c>
      <c r="F139" s="188" t="s">
        <v>2970</v>
      </c>
      <c r="G139" s="188" t="s">
        <v>2970</v>
      </c>
      <c r="H139" s="188" t="s">
        <v>5695</v>
      </c>
      <c r="I139" s="188" t="s">
        <v>2970</v>
      </c>
      <c r="J139" s="188" t="s">
        <v>2970</v>
      </c>
      <c r="K139" s="188" t="s">
        <v>2970</v>
      </c>
    </row>
    <row r="140" spans="1:11" x14ac:dyDescent="0.25">
      <c r="A140" s="47" t="s">
        <v>5035</v>
      </c>
      <c r="D140" s="47">
        <v>137</v>
      </c>
      <c r="E140" s="188" t="s">
        <v>2970</v>
      </c>
      <c r="F140" s="188" t="s">
        <v>2970</v>
      </c>
      <c r="G140" s="188" t="s">
        <v>2970</v>
      </c>
      <c r="H140" s="188" t="s">
        <v>5696</v>
      </c>
      <c r="I140" s="188" t="s">
        <v>2970</v>
      </c>
      <c r="J140" s="188" t="s">
        <v>2970</v>
      </c>
      <c r="K140" s="188" t="s">
        <v>2970</v>
      </c>
    </row>
    <row r="141" spans="1:11" x14ac:dyDescent="0.25">
      <c r="A141" s="47" t="s">
        <v>5036</v>
      </c>
      <c r="D141" s="47">
        <v>138</v>
      </c>
      <c r="E141" s="188" t="s">
        <v>2970</v>
      </c>
      <c r="F141" s="188" t="s">
        <v>2970</v>
      </c>
      <c r="G141" s="188" t="s">
        <v>2970</v>
      </c>
      <c r="H141" s="188" t="s">
        <v>5697</v>
      </c>
      <c r="I141" s="188" t="s">
        <v>2970</v>
      </c>
      <c r="J141" s="188" t="s">
        <v>2970</v>
      </c>
      <c r="K141" s="188" t="s">
        <v>2970</v>
      </c>
    </row>
    <row r="142" spans="1:11" x14ac:dyDescent="0.25">
      <c r="A142" s="47" t="s">
        <v>5037</v>
      </c>
      <c r="B142" s="47" t="s">
        <v>4599</v>
      </c>
      <c r="D142" s="47">
        <v>139</v>
      </c>
      <c r="E142" s="188" t="s">
        <v>2970</v>
      </c>
      <c r="F142" s="188" t="s">
        <v>2970</v>
      </c>
      <c r="G142" s="188" t="s">
        <v>2970</v>
      </c>
      <c r="H142" s="188" t="s">
        <v>5698</v>
      </c>
      <c r="I142" s="188" t="s">
        <v>2970</v>
      </c>
      <c r="J142" s="188" t="s">
        <v>2970</v>
      </c>
      <c r="K142" s="188" t="s">
        <v>2970</v>
      </c>
    </row>
    <row r="143" spans="1:11" x14ac:dyDescent="0.25">
      <c r="A143" s="47" t="s">
        <v>5038</v>
      </c>
      <c r="B143" s="47" t="s">
        <v>4600</v>
      </c>
      <c r="D143" s="47">
        <v>140</v>
      </c>
      <c r="E143" s="188" t="s">
        <v>2970</v>
      </c>
      <c r="F143" s="188" t="s">
        <v>2970</v>
      </c>
      <c r="G143" s="188" t="s">
        <v>2970</v>
      </c>
      <c r="H143" s="188" t="s">
        <v>5699</v>
      </c>
      <c r="I143" s="188" t="s">
        <v>2970</v>
      </c>
      <c r="J143" s="188" t="s">
        <v>2970</v>
      </c>
      <c r="K143" s="188" t="s">
        <v>2970</v>
      </c>
    </row>
    <row r="144" spans="1:11" x14ac:dyDescent="0.25">
      <c r="A144" s="47" t="s">
        <v>5039</v>
      </c>
      <c r="B144" s="47" t="s">
        <v>4601</v>
      </c>
      <c r="D144" s="47">
        <v>141</v>
      </c>
      <c r="E144" s="188" t="s">
        <v>2970</v>
      </c>
      <c r="F144" s="188" t="s">
        <v>2970</v>
      </c>
      <c r="G144" s="188" t="s">
        <v>2970</v>
      </c>
      <c r="H144" s="188" t="s">
        <v>5700</v>
      </c>
      <c r="I144" s="188" t="s">
        <v>2970</v>
      </c>
      <c r="J144" s="188" t="s">
        <v>2970</v>
      </c>
      <c r="K144" s="188" t="s">
        <v>2970</v>
      </c>
    </row>
    <row r="145" spans="1:11" x14ac:dyDescent="0.25">
      <c r="A145" s="47" t="s">
        <v>5040</v>
      </c>
      <c r="B145" s="47" t="s">
        <v>4602</v>
      </c>
      <c r="D145" s="47">
        <v>142</v>
      </c>
      <c r="E145" s="188" t="s">
        <v>2970</v>
      </c>
      <c r="F145" s="188" t="s">
        <v>2970</v>
      </c>
      <c r="G145" s="188" t="s">
        <v>2970</v>
      </c>
      <c r="H145" s="188" t="s">
        <v>5701</v>
      </c>
      <c r="I145" s="188" t="s">
        <v>2970</v>
      </c>
      <c r="J145" s="188" t="s">
        <v>2970</v>
      </c>
      <c r="K145" s="188" t="s">
        <v>2970</v>
      </c>
    </row>
    <row r="146" spans="1:11" x14ac:dyDescent="0.25">
      <c r="A146" s="47" t="s">
        <v>5041</v>
      </c>
      <c r="B146" s="47" t="s">
        <v>4603</v>
      </c>
      <c r="D146" s="47">
        <v>143</v>
      </c>
      <c r="E146" s="188" t="s">
        <v>2970</v>
      </c>
      <c r="F146" s="188" t="s">
        <v>2970</v>
      </c>
      <c r="G146" s="188" t="s">
        <v>2970</v>
      </c>
      <c r="H146" s="188" t="s">
        <v>5702</v>
      </c>
      <c r="I146" s="188" t="s">
        <v>2970</v>
      </c>
      <c r="J146" s="188" t="s">
        <v>2970</v>
      </c>
      <c r="K146" s="188" t="s">
        <v>2970</v>
      </c>
    </row>
    <row r="147" spans="1:11" x14ac:dyDescent="0.25">
      <c r="A147" s="47" t="s">
        <v>5042</v>
      </c>
      <c r="B147" s="47" t="s">
        <v>4604</v>
      </c>
      <c r="D147" s="47">
        <v>144</v>
      </c>
      <c r="E147" s="188" t="s">
        <v>2970</v>
      </c>
      <c r="F147" s="188" t="s">
        <v>2970</v>
      </c>
      <c r="G147" s="188" t="s">
        <v>2970</v>
      </c>
      <c r="H147" s="188" t="s">
        <v>5811</v>
      </c>
      <c r="I147" s="188" t="s">
        <v>2970</v>
      </c>
      <c r="J147" s="188" t="s">
        <v>2970</v>
      </c>
      <c r="K147" s="188" t="s">
        <v>2970</v>
      </c>
    </row>
    <row r="148" spans="1:11" x14ac:dyDescent="0.25">
      <c r="A148" s="47" t="s">
        <v>5043</v>
      </c>
      <c r="B148" s="47" t="s">
        <v>4605</v>
      </c>
      <c r="D148" s="47">
        <v>145</v>
      </c>
      <c r="E148" s="188" t="s">
        <v>2970</v>
      </c>
      <c r="F148" s="188" t="s">
        <v>2970</v>
      </c>
      <c r="G148" s="188" t="s">
        <v>2970</v>
      </c>
      <c r="H148" s="188" t="s">
        <v>5812</v>
      </c>
      <c r="I148" s="188" t="s">
        <v>2970</v>
      </c>
      <c r="J148" s="188" t="s">
        <v>2970</v>
      </c>
      <c r="K148" s="188" t="s">
        <v>2970</v>
      </c>
    </row>
    <row r="149" spans="1:11" x14ac:dyDescent="0.25">
      <c r="A149" s="47" t="s">
        <v>5044</v>
      </c>
      <c r="B149" s="47" t="s">
        <v>4606</v>
      </c>
      <c r="D149" s="47">
        <v>146</v>
      </c>
      <c r="E149" s="188" t="s">
        <v>2970</v>
      </c>
      <c r="F149" s="188" t="s">
        <v>2970</v>
      </c>
      <c r="G149" s="188" t="s">
        <v>2970</v>
      </c>
      <c r="H149" s="188" t="s">
        <v>5808</v>
      </c>
      <c r="I149" s="188" t="s">
        <v>2970</v>
      </c>
      <c r="J149" s="188" t="s">
        <v>2970</v>
      </c>
      <c r="K149" s="188" t="s">
        <v>2970</v>
      </c>
    </row>
    <row r="150" spans="1:11" x14ac:dyDescent="0.25">
      <c r="A150" s="47" t="s">
        <v>5045</v>
      </c>
      <c r="B150" s="47" t="s">
        <v>4607</v>
      </c>
      <c r="D150" s="47">
        <v>147</v>
      </c>
      <c r="E150" s="188" t="s">
        <v>2970</v>
      </c>
      <c r="F150" s="188" t="s">
        <v>2970</v>
      </c>
      <c r="G150" s="188" t="s">
        <v>2970</v>
      </c>
      <c r="H150" s="188" t="s">
        <v>5807</v>
      </c>
      <c r="I150" s="188" t="s">
        <v>2970</v>
      </c>
      <c r="J150" s="188" t="s">
        <v>2970</v>
      </c>
      <c r="K150" s="188" t="s">
        <v>2970</v>
      </c>
    </row>
    <row r="151" spans="1:11" x14ac:dyDescent="0.25">
      <c r="A151" s="47" t="s">
        <v>5046</v>
      </c>
      <c r="D151" s="47">
        <v>148</v>
      </c>
      <c r="E151" s="188" t="s">
        <v>2970</v>
      </c>
      <c r="F151" s="188" t="s">
        <v>2970</v>
      </c>
      <c r="G151" s="188" t="s">
        <v>2970</v>
      </c>
      <c r="H151" s="188" t="s">
        <v>5809</v>
      </c>
      <c r="I151" s="188" t="s">
        <v>2970</v>
      </c>
      <c r="J151" s="188" t="s">
        <v>2970</v>
      </c>
      <c r="K151" s="188" t="s">
        <v>2970</v>
      </c>
    </row>
    <row r="152" spans="1:11" x14ac:dyDescent="0.25">
      <c r="A152" s="47" t="s">
        <v>5047</v>
      </c>
      <c r="D152" s="47">
        <v>149</v>
      </c>
      <c r="E152" s="188" t="s">
        <v>2970</v>
      </c>
      <c r="F152" s="188" t="s">
        <v>2970</v>
      </c>
      <c r="G152" s="188" t="s">
        <v>2970</v>
      </c>
      <c r="H152" s="188" t="s">
        <v>5810</v>
      </c>
      <c r="I152" s="188" t="s">
        <v>2970</v>
      </c>
      <c r="J152" s="188" t="s">
        <v>2970</v>
      </c>
      <c r="K152" s="188" t="s">
        <v>2970</v>
      </c>
    </row>
    <row r="153" spans="1:11" x14ac:dyDescent="0.25">
      <c r="A153" s="47" t="s">
        <v>5048</v>
      </c>
      <c r="D153" s="47">
        <v>150</v>
      </c>
      <c r="E153" s="188" t="s">
        <v>2970</v>
      </c>
      <c r="F153" s="188" t="s">
        <v>2970</v>
      </c>
      <c r="G153" s="188" t="s">
        <v>2970</v>
      </c>
      <c r="H153" s="188" t="s">
        <v>5813</v>
      </c>
      <c r="I153" s="188" t="s">
        <v>2970</v>
      </c>
      <c r="J153" s="188" t="s">
        <v>2970</v>
      </c>
      <c r="K153" s="188" t="s">
        <v>2970</v>
      </c>
    </row>
    <row r="154" spans="1:11" x14ac:dyDescent="0.25">
      <c r="A154" s="47" t="s">
        <v>5049</v>
      </c>
      <c r="D154" s="47">
        <v>151</v>
      </c>
      <c r="E154" s="188" t="s">
        <v>2970</v>
      </c>
      <c r="F154" s="188" t="s">
        <v>2970</v>
      </c>
      <c r="G154" s="188" t="s">
        <v>2970</v>
      </c>
      <c r="H154" s="188" t="s">
        <v>5814</v>
      </c>
      <c r="I154" s="188" t="s">
        <v>2970</v>
      </c>
      <c r="J154" s="188" t="s">
        <v>2970</v>
      </c>
      <c r="K154" s="188" t="s">
        <v>2970</v>
      </c>
    </row>
    <row r="155" spans="1:11" x14ac:dyDescent="0.25">
      <c r="A155" s="47" t="s">
        <v>5050</v>
      </c>
      <c r="D155" s="47">
        <v>152</v>
      </c>
      <c r="E155" s="188" t="s">
        <v>2970</v>
      </c>
      <c r="F155" s="188" t="s">
        <v>2970</v>
      </c>
      <c r="G155" s="188" t="s">
        <v>2970</v>
      </c>
      <c r="H155" s="188" t="s">
        <v>5815</v>
      </c>
      <c r="I155" s="188" t="s">
        <v>2970</v>
      </c>
      <c r="J155" s="188" t="s">
        <v>2970</v>
      </c>
      <c r="K155" s="188" t="s">
        <v>2970</v>
      </c>
    </row>
    <row r="156" spans="1:11" x14ac:dyDescent="0.25">
      <c r="A156" s="47" t="s">
        <v>5051</v>
      </c>
      <c r="D156" s="47">
        <v>153</v>
      </c>
      <c r="E156" s="188" t="s">
        <v>2970</v>
      </c>
      <c r="F156" s="188" t="s">
        <v>2970</v>
      </c>
      <c r="G156" s="188" t="s">
        <v>2970</v>
      </c>
      <c r="H156" s="188" t="s">
        <v>5816</v>
      </c>
      <c r="I156" s="188" t="s">
        <v>2970</v>
      </c>
      <c r="J156" s="188" t="s">
        <v>2970</v>
      </c>
      <c r="K156" s="188" t="s">
        <v>2970</v>
      </c>
    </row>
    <row r="157" spans="1:11" x14ac:dyDescent="0.25">
      <c r="A157" s="47" t="s">
        <v>5052</v>
      </c>
      <c r="D157" s="47">
        <v>154</v>
      </c>
      <c r="E157" s="188" t="s">
        <v>2970</v>
      </c>
      <c r="F157" s="188" t="s">
        <v>2970</v>
      </c>
      <c r="G157" s="188" t="s">
        <v>2970</v>
      </c>
      <c r="H157" s="188" t="s">
        <v>5817</v>
      </c>
      <c r="I157" s="188" t="s">
        <v>2970</v>
      </c>
      <c r="J157" s="188" t="s">
        <v>2970</v>
      </c>
      <c r="K157" s="188" t="s">
        <v>2970</v>
      </c>
    </row>
    <row r="158" spans="1:11" x14ac:dyDescent="0.25">
      <c r="A158" s="47" t="s">
        <v>5053</v>
      </c>
      <c r="D158" s="47">
        <v>155</v>
      </c>
      <c r="E158" s="188" t="s">
        <v>2970</v>
      </c>
      <c r="F158" s="188" t="s">
        <v>2970</v>
      </c>
      <c r="G158" s="188" t="s">
        <v>2970</v>
      </c>
      <c r="H158" s="188" t="s">
        <v>5818</v>
      </c>
      <c r="I158" s="188" t="s">
        <v>2970</v>
      </c>
      <c r="J158" s="188" t="s">
        <v>2970</v>
      </c>
      <c r="K158" s="188" t="s">
        <v>2970</v>
      </c>
    </row>
    <row r="159" spans="1:11" x14ac:dyDescent="0.25">
      <c r="A159" s="47" t="s">
        <v>5054</v>
      </c>
      <c r="D159" s="47">
        <v>156</v>
      </c>
      <c r="E159" s="188" t="s">
        <v>2970</v>
      </c>
      <c r="F159" s="188" t="s">
        <v>2970</v>
      </c>
      <c r="G159" s="188" t="s">
        <v>2970</v>
      </c>
      <c r="H159" s="188" t="s">
        <v>2970</v>
      </c>
      <c r="I159" s="188" t="s">
        <v>2970</v>
      </c>
      <c r="J159" s="188" t="s">
        <v>2970</v>
      </c>
      <c r="K159" s="188">
        <v>87</v>
      </c>
    </row>
    <row r="160" spans="1:11" x14ac:dyDescent="0.25">
      <c r="A160" s="47" t="s">
        <v>5055</v>
      </c>
      <c r="D160" s="47">
        <v>157</v>
      </c>
      <c r="E160" s="188" t="s">
        <v>2970</v>
      </c>
      <c r="F160" s="188" t="s">
        <v>2970</v>
      </c>
      <c r="G160" s="188" t="s">
        <v>2970</v>
      </c>
      <c r="H160" s="188" t="s">
        <v>5819</v>
      </c>
      <c r="I160" s="188" t="s">
        <v>2970</v>
      </c>
      <c r="J160" s="188" t="s">
        <v>2970</v>
      </c>
      <c r="K160" s="188" t="s">
        <v>2970</v>
      </c>
    </row>
    <row r="161" spans="1:11" x14ac:dyDescent="0.25">
      <c r="A161" s="47" t="s">
        <v>5056</v>
      </c>
      <c r="B161" s="47" t="s">
        <v>4608</v>
      </c>
      <c r="D161" s="47">
        <v>158</v>
      </c>
      <c r="E161" s="188" t="s">
        <v>2970</v>
      </c>
      <c r="F161" s="188" t="s">
        <v>2970</v>
      </c>
      <c r="G161" s="188" t="s">
        <v>2970</v>
      </c>
      <c r="H161" s="188" t="s">
        <v>5820</v>
      </c>
      <c r="I161" s="188" t="s">
        <v>2970</v>
      </c>
      <c r="J161" s="188" t="s">
        <v>2970</v>
      </c>
      <c r="K161" s="188">
        <v>96</v>
      </c>
    </row>
    <row r="162" spans="1:11" x14ac:dyDescent="0.25">
      <c r="A162" s="47" t="s">
        <v>5057</v>
      </c>
      <c r="B162" s="47" t="s">
        <v>4609</v>
      </c>
      <c r="D162" s="47">
        <v>159</v>
      </c>
      <c r="E162" s="188" t="s">
        <v>2970</v>
      </c>
      <c r="F162" s="188" t="s">
        <v>2970</v>
      </c>
      <c r="G162" s="188" t="s">
        <v>2970</v>
      </c>
      <c r="H162" s="188" t="s">
        <v>5821</v>
      </c>
      <c r="I162" s="188" t="s">
        <v>2970</v>
      </c>
      <c r="J162" s="188" t="s">
        <v>2970</v>
      </c>
      <c r="K162" s="188" t="s">
        <v>2970</v>
      </c>
    </row>
    <row r="163" spans="1:11" x14ac:dyDescent="0.25">
      <c r="A163" s="47" t="s">
        <v>5058</v>
      </c>
      <c r="B163" s="47" t="s">
        <v>4610</v>
      </c>
      <c r="D163" s="47">
        <v>160</v>
      </c>
      <c r="E163" s="188" t="s">
        <v>2970</v>
      </c>
      <c r="F163" s="188" t="s">
        <v>2970</v>
      </c>
      <c r="G163" s="188" t="s">
        <v>2970</v>
      </c>
      <c r="H163" s="188" t="s">
        <v>5822</v>
      </c>
      <c r="I163" s="188" t="s">
        <v>2970</v>
      </c>
      <c r="J163" s="188" t="s">
        <v>2970</v>
      </c>
      <c r="K163" s="188" t="s">
        <v>2970</v>
      </c>
    </row>
    <row r="164" spans="1:11" x14ac:dyDescent="0.25">
      <c r="A164" s="47" t="s">
        <v>5059</v>
      </c>
      <c r="B164" s="47" t="s">
        <v>4611</v>
      </c>
      <c r="D164" s="47">
        <v>161</v>
      </c>
      <c r="E164" s="188" t="s">
        <v>2970</v>
      </c>
      <c r="F164" s="188" t="s">
        <v>2970</v>
      </c>
      <c r="G164" s="188" t="s">
        <v>2970</v>
      </c>
      <c r="H164" s="188" t="s">
        <v>5823</v>
      </c>
      <c r="I164" s="188" t="s">
        <v>2970</v>
      </c>
      <c r="J164" s="188" t="s">
        <v>2970</v>
      </c>
      <c r="K164" s="188" t="s">
        <v>2970</v>
      </c>
    </row>
    <row r="165" spans="1:11" x14ac:dyDescent="0.25">
      <c r="A165" s="47" t="s">
        <v>5060</v>
      </c>
      <c r="B165" s="47" t="s">
        <v>4612</v>
      </c>
      <c r="D165" s="47">
        <v>162</v>
      </c>
      <c r="E165" s="188" t="s">
        <v>2970</v>
      </c>
      <c r="F165" s="188" t="s">
        <v>2970</v>
      </c>
      <c r="G165" s="188" t="s">
        <v>2970</v>
      </c>
      <c r="H165" s="188" t="s">
        <v>5824</v>
      </c>
      <c r="I165" s="188" t="s">
        <v>2970</v>
      </c>
      <c r="J165" s="188" t="s">
        <v>2970</v>
      </c>
      <c r="K165" s="188" t="s">
        <v>2970</v>
      </c>
    </row>
    <row r="166" spans="1:11" x14ac:dyDescent="0.25">
      <c r="A166" s="47" t="s">
        <v>5061</v>
      </c>
      <c r="D166" s="47">
        <v>163</v>
      </c>
      <c r="E166" s="188" t="s">
        <v>2970</v>
      </c>
      <c r="F166" s="188" t="s">
        <v>2970</v>
      </c>
      <c r="G166" s="188" t="s">
        <v>2970</v>
      </c>
      <c r="H166" s="188" t="s">
        <v>5825</v>
      </c>
      <c r="I166" s="188" t="s">
        <v>2970</v>
      </c>
      <c r="J166" s="188" t="s">
        <v>2970</v>
      </c>
      <c r="K166" s="188" t="s">
        <v>2970</v>
      </c>
    </row>
    <row r="167" spans="1:11" x14ac:dyDescent="0.25">
      <c r="A167" s="47" t="s">
        <v>5062</v>
      </c>
      <c r="D167" s="47">
        <v>164</v>
      </c>
      <c r="E167" s="188" t="s">
        <v>2970</v>
      </c>
      <c r="F167" s="188" t="s">
        <v>2970</v>
      </c>
      <c r="G167" s="188" t="s">
        <v>2970</v>
      </c>
      <c r="H167" s="188" t="s">
        <v>5826</v>
      </c>
      <c r="I167" s="188" t="s">
        <v>2970</v>
      </c>
      <c r="J167" s="188" t="s">
        <v>2970</v>
      </c>
      <c r="K167" s="188">
        <v>88</v>
      </c>
    </row>
    <row r="168" spans="1:11" x14ac:dyDescent="0.25">
      <c r="A168" s="47" t="s">
        <v>5063</v>
      </c>
      <c r="D168" s="47">
        <v>165</v>
      </c>
      <c r="E168" s="188" t="s">
        <v>2970</v>
      </c>
      <c r="F168" s="188" t="s">
        <v>2970</v>
      </c>
      <c r="G168" s="188" t="s">
        <v>2970</v>
      </c>
      <c r="H168" s="188" t="s">
        <v>5827</v>
      </c>
      <c r="I168" s="188" t="s">
        <v>2970</v>
      </c>
      <c r="J168" s="188" t="s">
        <v>2970</v>
      </c>
      <c r="K168" s="188">
        <v>89</v>
      </c>
    </row>
    <row r="169" spans="1:11" x14ac:dyDescent="0.25">
      <c r="A169" s="47" t="s">
        <v>5064</v>
      </c>
      <c r="D169" s="47">
        <v>166</v>
      </c>
      <c r="E169" s="188" t="s">
        <v>2970</v>
      </c>
      <c r="F169" s="188" t="s">
        <v>2970</v>
      </c>
      <c r="G169" s="188" t="s">
        <v>2970</v>
      </c>
      <c r="H169" s="188" t="s">
        <v>5828</v>
      </c>
      <c r="I169" s="188" t="s">
        <v>2970</v>
      </c>
      <c r="J169" s="188" t="s">
        <v>2970</v>
      </c>
      <c r="K169" s="188" t="s">
        <v>2970</v>
      </c>
    </row>
    <row r="170" spans="1:11" x14ac:dyDescent="0.25">
      <c r="A170" s="47" t="s">
        <v>5065</v>
      </c>
      <c r="D170" s="47">
        <v>167</v>
      </c>
      <c r="E170" s="188" t="s">
        <v>2970</v>
      </c>
      <c r="F170" s="188" t="s">
        <v>2970</v>
      </c>
      <c r="G170" s="188" t="s">
        <v>2970</v>
      </c>
      <c r="H170" s="188" t="s">
        <v>5829</v>
      </c>
      <c r="I170" s="188" t="s">
        <v>2970</v>
      </c>
      <c r="J170" s="188" t="s">
        <v>2970</v>
      </c>
      <c r="K170" s="188" t="s">
        <v>2970</v>
      </c>
    </row>
    <row r="171" spans="1:11" x14ac:dyDescent="0.25">
      <c r="A171" s="47" t="s">
        <v>5066</v>
      </c>
      <c r="D171" s="47">
        <v>168</v>
      </c>
      <c r="E171" s="188" t="s">
        <v>2970</v>
      </c>
      <c r="F171" s="188" t="s">
        <v>2970</v>
      </c>
      <c r="G171" s="188" t="s">
        <v>2970</v>
      </c>
      <c r="H171" s="188" t="s">
        <v>5830</v>
      </c>
      <c r="I171" s="188" t="s">
        <v>2970</v>
      </c>
      <c r="J171" s="188" t="s">
        <v>2970</v>
      </c>
      <c r="K171" s="188" t="s">
        <v>2970</v>
      </c>
    </row>
    <row r="172" spans="1:11" x14ac:dyDescent="0.25">
      <c r="A172" s="47" t="s">
        <v>5067</v>
      </c>
      <c r="D172" s="47">
        <v>169</v>
      </c>
      <c r="E172" s="188" t="s">
        <v>2970</v>
      </c>
      <c r="F172" s="188" t="s">
        <v>2970</v>
      </c>
      <c r="G172" s="188" t="s">
        <v>2970</v>
      </c>
      <c r="H172" s="188" t="s">
        <v>5831</v>
      </c>
      <c r="I172" s="188" t="s">
        <v>2970</v>
      </c>
      <c r="J172" s="188" t="s">
        <v>2970</v>
      </c>
      <c r="K172" s="188" t="s">
        <v>2970</v>
      </c>
    </row>
    <row r="173" spans="1:11" x14ac:dyDescent="0.25">
      <c r="A173" s="47" t="s">
        <v>5068</v>
      </c>
      <c r="D173" s="47">
        <v>170</v>
      </c>
      <c r="E173" s="188" t="s">
        <v>2970</v>
      </c>
      <c r="F173" s="188" t="s">
        <v>2970</v>
      </c>
      <c r="G173" s="188" t="s">
        <v>2970</v>
      </c>
      <c r="H173" s="188" t="s">
        <v>5832</v>
      </c>
      <c r="I173" s="188" t="s">
        <v>2970</v>
      </c>
      <c r="J173" s="188" t="s">
        <v>2970</v>
      </c>
      <c r="K173" s="188" t="s">
        <v>2970</v>
      </c>
    </row>
    <row r="174" spans="1:11" x14ac:dyDescent="0.25">
      <c r="A174" s="47" t="s">
        <v>5069</v>
      </c>
      <c r="D174" s="47">
        <v>171</v>
      </c>
      <c r="E174" s="188" t="s">
        <v>2970</v>
      </c>
      <c r="F174" s="188" t="s">
        <v>2970</v>
      </c>
      <c r="G174" s="188" t="s">
        <v>2970</v>
      </c>
      <c r="H174" s="188" t="s">
        <v>5833</v>
      </c>
      <c r="I174" s="188" t="s">
        <v>2970</v>
      </c>
      <c r="J174" s="188" t="s">
        <v>2970</v>
      </c>
      <c r="K174" s="188">
        <v>90</v>
      </c>
    </row>
    <row r="175" spans="1:11" x14ac:dyDescent="0.25">
      <c r="A175" s="47" t="s">
        <v>5070</v>
      </c>
      <c r="D175" s="47">
        <v>172</v>
      </c>
      <c r="E175" s="188" t="s">
        <v>2970</v>
      </c>
      <c r="F175" s="188" t="s">
        <v>2970</v>
      </c>
      <c r="G175" s="188" t="s">
        <v>2970</v>
      </c>
      <c r="H175" s="188" t="s">
        <v>5834</v>
      </c>
      <c r="I175" s="188" t="s">
        <v>2970</v>
      </c>
      <c r="J175" s="188" t="s">
        <v>2970</v>
      </c>
      <c r="K175" s="188" t="s">
        <v>2970</v>
      </c>
    </row>
    <row r="176" spans="1:11" x14ac:dyDescent="0.25">
      <c r="A176" s="47" t="s">
        <v>5071</v>
      </c>
      <c r="D176" s="47">
        <v>173</v>
      </c>
      <c r="E176" s="188" t="s">
        <v>2970</v>
      </c>
      <c r="F176" s="188" t="s">
        <v>2970</v>
      </c>
      <c r="G176" s="188" t="s">
        <v>2970</v>
      </c>
      <c r="H176" s="188" t="s">
        <v>5835</v>
      </c>
      <c r="I176" s="188" t="s">
        <v>2970</v>
      </c>
      <c r="J176" s="188" t="s">
        <v>2970</v>
      </c>
      <c r="K176" s="188">
        <v>94</v>
      </c>
    </row>
    <row r="177" spans="1:11" x14ac:dyDescent="0.25">
      <c r="A177" s="47" t="s">
        <v>5072</v>
      </c>
      <c r="D177" s="47">
        <v>174</v>
      </c>
      <c r="E177" s="188" t="s">
        <v>2970</v>
      </c>
      <c r="F177" s="188" t="s">
        <v>2970</v>
      </c>
      <c r="G177" s="188" t="s">
        <v>2970</v>
      </c>
      <c r="H177" s="188" t="s">
        <v>5836</v>
      </c>
      <c r="I177" s="188" t="s">
        <v>2970</v>
      </c>
      <c r="J177" s="188" t="s">
        <v>2970</v>
      </c>
      <c r="K177" s="188">
        <v>91</v>
      </c>
    </row>
    <row r="178" spans="1:11" x14ac:dyDescent="0.25">
      <c r="A178" s="47" t="s">
        <v>5073</v>
      </c>
      <c r="D178" s="47">
        <v>175</v>
      </c>
      <c r="E178" s="188" t="s">
        <v>2970</v>
      </c>
      <c r="F178" s="188" t="s">
        <v>2970</v>
      </c>
      <c r="G178" s="188" t="s">
        <v>2970</v>
      </c>
      <c r="H178" s="188" t="s">
        <v>5837</v>
      </c>
      <c r="I178" s="188" t="s">
        <v>2970</v>
      </c>
      <c r="J178" s="188" t="s">
        <v>2970</v>
      </c>
      <c r="K178" s="188">
        <v>95</v>
      </c>
    </row>
    <row r="179" spans="1:11" x14ac:dyDescent="0.25">
      <c r="A179" s="47" t="s">
        <v>5074</v>
      </c>
      <c r="D179" s="47">
        <v>176</v>
      </c>
      <c r="E179" s="188" t="s">
        <v>2970</v>
      </c>
      <c r="F179" s="188" t="s">
        <v>2970</v>
      </c>
      <c r="G179" s="188" t="s">
        <v>2970</v>
      </c>
      <c r="H179" s="188" t="s">
        <v>5838</v>
      </c>
      <c r="I179" s="188" t="s">
        <v>2970</v>
      </c>
      <c r="J179" s="188" t="s">
        <v>2970</v>
      </c>
      <c r="K179" s="188" t="s">
        <v>2970</v>
      </c>
    </row>
    <row r="180" spans="1:11" x14ac:dyDescent="0.25">
      <c r="A180" s="47" t="s">
        <v>5075</v>
      </c>
      <c r="D180" s="47">
        <v>177</v>
      </c>
      <c r="E180" s="188" t="s">
        <v>2970</v>
      </c>
      <c r="F180" s="188" t="s">
        <v>2970</v>
      </c>
      <c r="G180" s="188" t="s">
        <v>2970</v>
      </c>
      <c r="H180" s="188" t="s">
        <v>5839</v>
      </c>
      <c r="I180" s="188" t="s">
        <v>2970</v>
      </c>
      <c r="J180" s="188" t="s">
        <v>2970</v>
      </c>
      <c r="K180" s="188">
        <v>92</v>
      </c>
    </row>
    <row r="181" spans="1:11" x14ac:dyDescent="0.25">
      <c r="A181" s="47" t="s">
        <v>5076</v>
      </c>
      <c r="D181" s="47">
        <v>178</v>
      </c>
      <c r="E181" s="188" t="s">
        <v>2970</v>
      </c>
      <c r="F181" s="188" t="s">
        <v>2970</v>
      </c>
      <c r="G181" s="188" t="s">
        <v>2970</v>
      </c>
      <c r="H181" s="188" t="s">
        <v>5840</v>
      </c>
      <c r="I181" s="188" t="s">
        <v>2970</v>
      </c>
      <c r="J181" s="188" t="s">
        <v>2970</v>
      </c>
      <c r="K181" s="188">
        <v>93</v>
      </c>
    </row>
    <row r="182" spans="1:11" x14ac:dyDescent="0.25">
      <c r="A182" s="47" t="s">
        <v>5077</v>
      </c>
      <c r="B182" s="47" t="s">
        <v>4613</v>
      </c>
      <c r="D182" s="47">
        <v>179</v>
      </c>
      <c r="E182" s="188" t="s">
        <v>2970</v>
      </c>
      <c r="F182" s="188" t="s">
        <v>2970</v>
      </c>
      <c r="G182" s="188" t="s">
        <v>2970</v>
      </c>
      <c r="H182" s="188" t="s">
        <v>5841</v>
      </c>
      <c r="I182" s="188" t="s">
        <v>2970</v>
      </c>
      <c r="J182" s="188" t="s">
        <v>2970</v>
      </c>
      <c r="K182" s="188">
        <v>97</v>
      </c>
    </row>
    <row r="183" spans="1:11" x14ac:dyDescent="0.25">
      <c r="A183" s="47" t="s">
        <v>5078</v>
      </c>
      <c r="D183" s="47">
        <v>180</v>
      </c>
      <c r="E183" s="188" t="s">
        <v>2970</v>
      </c>
      <c r="F183" s="188" t="s">
        <v>2970</v>
      </c>
      <c r="G183" s="188" t="s">
        <v>2970</v>
      </c>
      <c r="H183" s="188" t="s">
        <v>5842</v>
      </c>
      <c r="I183" s="188" t="s">
        <v>2970</v>
      </c>
      <c r="J183" s="188" t="s">
        <v>2970</v>
      </c>
      <c r="K183" s="188" t="s">
        <v>2970</v>
      </c>
    </row>
    <row r="184" spans="1:11" x14ac:dyDescent="0.25">
      <c r="A184" s="47" t="s">
        <v>5079</v>
      </c>
      <c r="D184" s="47">
        <v>181</v>
      </c>
      <c r="E184" s="188" t="s">
        <v>2970</v>
      </c>
      <c r="F184" s="188" t="s">
        <v>2970</v>
      </c>
      <c r="G184" s="188" t="s">
        <v>2970</v>
      </c>
      <c r="H184" s="188" t="s">
        <v>5843</v>
      </c>
      <c r="I184" s="188" t="s">
        <v>2970</v>
      </c>
      <c r="J184" s="188" t="s">
        <v>2970</v>
      </c>
      <c r="K184" s="188" t="s">
        <v>2970</v>
      </c>
    </row>
    <row r="185" spans="1:11" x14ac:dyDescent="0.25">
      <c r="A185" s="47" t="s">
        <v>5080</v>
      </c>
      <c r="D185" s="47">
        <v>182</v>
      </c>
      <c r="E185" s="188" t="s">
        <v>2970</v>
      </c>
      <c r="F185" s="188" t="s">
        <v>2970</v>
      </c>
      <c r="G185" s="188" t="s">
        <v>2970</v>
      </c>
      <c r="H185" s="188" t="s">
        <v>5844</v>
      </c>
      <c r="I185" s="188" t="s">
        <v>2970</v>
      </c>
      <c r="J185" s="188" t="s">
        <v>2970</v>
      </c>
      <c r="K185" s="188" t="s">
        <v>2970</v>
      </c>
    </row>
    <row r="186" spans="1:11" x14ac:dyDescent="0.25">
      <c r="A186" s="47" t="s">
        <v>5081</v>
      </c>
      <c r="D186" s="47">
        <v>183</v>
      </c>
      <c r="E186" s="188" t="s">
        <v>2970</v>
      </c>
      <c r="F186" s="188" t="s">
        <v>2970</v>
      </c>
      <c r="G186" s="188" t="s">
        <v>2970</v>
      </c>
      <c r="H186" s="188" t="s">
        <v>5845</v>
      </c>
      <c r="I186" s="188" t="s">
        <v>2970</v>
      </c>
      <c r="J186" s="188" t="s">
        <v>2970</v>
      </c>
      <c r="K186" s="188" t="s">
        <v>2970</v>
      </c>
    </row>
    <row r="187" spans="1:11" x14ac:dyDescent="0.25">
      <c r="A187" s="47" t="s">
        <v>5082</v>
      </c>
      <c r="D187" s="47">
        <v>184</v>
      </c>
      <c r="E187" s="188" t="s">
        <v>2970</v>
      </c>
      <c r="F187" s="188" t="s">
        <v>2970</v>
      </c>
      <c r="G187" s="188" t="s">
        <v>2970</v>
      </c>
      <c r="H187" s="188" t="s">
        <v>5846</v>
      </c>
      <c r="I187" s="188" t="s">
        <v>2970</v>
      </c>
      <c r="J187" s="188" t="s">
        <v>2970</v>
      </c>
      <c r="K187" s="188" t="s">
        <v>2970</v>
      </c>
    </row>
    <row r="188" spans="1:11" x14ac:dyDescent="0.25">
      <c r="A188" s="47" t="s">
        <v>5083</v>
      </c>
      <c r="D188" s="47">
        <v>185</v>
      </c>
      <c r="E188" s="188" t="s">
        <v>2970</v>
      </c>
      <c r="F188" s="188" t="s">
        <v>2970</v>
      </c>
      <c r="G188" s="188" t="s">
        <v>2970</v>
      </c>
      <c r="H188" s="188" t="s">
        <v>5847</v>
      </c>
      <c r="I188" s="188" t="s">
        <v>2970</v>
      </c>
      <c r="J188" s="188" t="s">
        <v>2970</v>
      </c>
      <c r="K188" s="188" t="s">
        <v>2970</v>
      </c>
    </row>
    <row r="189" spans="1:11" x14ac:dyDescent="0.25">
      <c r="A189" s="47" t="s">
        <v>5084</v>
      </c>
      <c r="D189" s="47">
        <v>186</v>
      </c>
      <c r="E189" s="188" t="s">
        <v>2970</v>
      </c>
      <c r="F189" s="188" t="s">
        <v>2970</v>
      </c>
      <c r="G189" s="188" t="s">
        <v>2970</v>
      </c>
      <c r="H189" s="188" t="s">
        <v>5848</v>
      </c>
      <c r="I189" s="188" t="s">
        <v>2970</v>
      </c>
      <c r="J189" s="188" t="s">
        <v>2970</v>
      </c>
      <c r="K189" s="188" t="s">
        <v>2970</v>
      </c>
    </row>
    <row r="190" spans="1:11" x14ac:dyDescent="0.25">
      <c r="A190" s="47" t="s">
        <v>5085</v>
      </c>
      <c r="D190" s="47">
        <v>187</v>
      </c>
      <c r="E190" s="188" t="s">
        <v>2970</v>
      </c>
      <c r="F190" s="188" t="s">
        <v>2970</v>
      </c>
      <c r="G190" s="188" t="s">
        <v>2970</v>
      </c>
      <c r="H190" s="188" t="s">
        <v>5849</v>
      </c>
      <c r="I190" s="188" t="s">
        <v>2970</v>
      </c>
      <c r="J190" s="188" t="s">
        <v>2970</v>
      </c>
      <c r="K190" s="188">
        <v>83</v>
      </c>
    </row>
    <row r="191" spans="1:11" x14ac:dyDescent="0.25">
      <c r="A191" s="47" t="s">
        <v>5086</v>
      </c>
      <c r="D191" s="47">
        <v>188</v>
      </c>
      <c r="E191" s="188" t="s">
        <v>2970</v>
      </c>
      <c r="F191" s="188" t="s">
        <v>2970</v>
      </c>
      <c r="G191" s="188" t="s">
        <v>2970</v>
      </c>
      <c r="H191" s="188" t="s">
        <v>5850</v>
      </c>
      <c r="I191" s="188" t="s">
        <v>2970</v>
      </c>
      <c r="J191" s="188" t="s">
        <v>2970</v>
      </c>
      <c r="K191" s="188">
        <v>85</v>
      </c>
    </row>
    <row r="192" spans="1:11" x14ac:dyDescent="0.25">
      <c r="A192" s="47" t="s">
        <v>5087</v>
      </c>
      <c r="D192" s="47">
        <v>189</v>
      </c>
      <c r="E192" s="188" t="s">
        <v>2970</v>
      </c>
      <c r="F192" s="188" t="s">
        <v>2970</v>
      </c>
      <c r="G192" s="188" t="s">
        <v>2970</v>
      </c>
      <c r="H192" s="188" t="s">
        <v>5851</v>
      </c>
      <c r="I192" s="188" t="s">
        <v>2970</v>
      </c>
      <c r="J192" s="188" t="s">
        <v>2970</v>
      </c>
      <c r="K192" s="188">
        <v>86</v>
      </c>
    </row>
    <row r="193" spans="1:11" x14ac:dyDescent="0.25">
      <c r="A193" s="47" t="s">
        <v>5088</v>
      </c>
      <c r="D193" s="47">
        <v>190</v>
      </c>
      <c r="E193" s="188" t="s">
        <v>2970</v>
      </c>
      <c r="F193" s="188" t="s">
        <v>2970</v>
      </c>
      <c r="G193" s="188" t="s">
        <v>2970</v>
      </c>
      <c r="H193" s="188" t="s">
        <v>5852</v>
      </c>
      <c r="I193" s="188" t="s">
        <v>2970</v>
      </c>
      <c r="J193" s="188" t="s">
        <v>2970</v>
      </c>
      <c r="K193" s="188">
        <v>82</v>
      </c>
    </row>
    <row r="194" spans="1:11" x14ac:dyDescent="0.25">
      <c r="A194" s="47" t="s">
        <v>5089</v>
      </c>
      <c r="B194" s="47" t="s">
        <v>4614</v>
      </c>
      <c r="D194" s="47">
        <v>191</v>
      </c>
      <c r="E194" s="188" t="s">
        <v>2970</v>
      </c>
      <c r="F194" s="188" t="s">
        <v>2970</v>
      </c>
      <c r="G194" s="188" t="s">
        <v>2970</v>
      </c>
      <c r="H194" s="188" t="s">
        <v>5853</v>
      </c>
      <c r="I194" s="188" t="s">
        <v>2970</v>
      </c>
      <c r="J194" s="188" t="s">
        <v>2970</v>
      </c>
      <c r="K194" s="188">
        <v>81</v>
      </c>
    </row>
    <row r="195" spans="1:11" x14ac:dyDescent="0.25">
      <c r="A195" s="47" t="s">
        <v>5090</v>
      </c>
      <c r="B195" s="47" t="s">
        <v>4615</v>
      </c>
      <c r="D195" s="47">
        <v>192</v>
      </c>
      <c r="E195" s="188" t="s">
        <v>2970</v>
      </c>
      <c r="F195" s="188" t="s">
        <v>2970</v>
      </c>
      <c r="G195" s="188" t="s">
        <v>2970</v>
      </c>
      <c r="H195" s="188" t="s">
        <v>5854</v>
      </c>
      <c r="I195" s="188" t="s">
        <v>2970</v>
      </c>
      <c r="J195" s="188" t="s">
        <v>2970</v>
      </c>
      <c r="K195" s="188" t="s">
        <v>2970</v>
      </c>
    </row>
    <row r="196" spans="1:11" x14ac:dyDescent="0.25">
      <c r="A196" s="47" t="s">
        <v>5091</v>
      </c>
      <c r="D196" s="47">
        <v>193</v>
      </c>
      <c r="E196" s="188" t="s">
        <v>2970</v>
      </c>
      <c r="F196" s="188" t="s">
        <v>2970</v>
      </c>
      <c r="G196" s="188" t="s">
        <v>2970</v>
      </c>
      <c r="H196" s="188" t="s">
        <v>2970</v>
      </c>
      <c r="I196" s="188" t="s">
        <v>2970</v>
      </c>
      <c r="J196" s="188" t="s">
        <v>2970</v>
      </c>
      <c r="K196" s="188">
        <v>84</v>
      </c>
    </row>
    <row r="197" spans="1:11" x14ac:dyDescent="0.25">
      <c r="A197" s="47" t="s">
        <v>5092</v>
      </c>
      <c r="D197" s="47">
        <v>194</v>
      </c>
      <c r="E197" s="188" t="s">
        <v>2970</v>
      </c>
      <c r="F197" s="188" t="s">
        <v>2970</v>
      </c>
      <c r="G197" s="188" t="s">
        <v>2970</v>
      </c>
      <c r="H197" s="188" t="s">
        <v>2970</v>
      </c>
      <c r="I197" s="188" t="s">
        <v>2970</v>
      </c>
      <c r="J197" s="188" t="s">
        <v>2970</v>
      </c>
      <c r="K197" s="188">
        <v>98</v>
      </c>
    </row>
    <row r="198" spans="1:11" x14ac:dyDescent="0.25">
      <c r="A198" s="47" t="s">
        <v>5093</v>
      </c>
      <c r="D198" s="47">
        <v>195</v>
      </c>
      <c r="E198" s="188" t="s">
        <v>2970</v>
      </c>
      <c r="F198" s="188" t="s">
        <v>2970</v>
      </c>
      <c r="G198" s="188" t="s">
        <v>2970</v>
      </c>
      <c r="H198" s="188" t="s">
        <v>2970</v>
      </c>
      <c r="I198" s="188" t="s">
        <v>2970</v>
      </c>
      <c r="J198" s="188" t="s">
        <v>2970</v>
      </c>
      <c r="K198" s="188">
        <v>99</v>
      </c>
    </row>
    <row r="199" spans="1:11" x14ac:dyDescent="0.25">
      <c r="A199" s="47" t="s">
        <v>5094</v>
      </c>
      <c r="D199" s="47">
        <v>196</v>
      </c>
      <c r="E199" s="188" t="s">
        <v>2970</v>
      </c>
      <c r="F199" s="188" t="s">
        <v>2970</v>
      </c>
      <c r="G199" s="188" t="s">
        <v>2970</v>
      </c>
      <c r="H199" s="188" t="s">
        <v>2970</v>
      </c>
      <c r="I199" s="188" t="s">
        <v>2970</v>
      </c>
      <c r="J199" s="188" t="s">
        <v>2970</v>
      </c>
      <c r="K199" s="188">
        <v>100</v>
      </c>
    </row>
    <row r="200" spans="1:11" x14ac:dyDescent="0.25">
      <c r="A200" s="47" t="s">
        <v>5095</v>
      </c>
      <c r="D200" s="47">
        <v>197</v>
      </c>
      <c r="E200" s="188" t="s">
        <v>2970</v>
      </c>
      <c r="F200" s="188" t="s">
        <v>2970</v>
      </c>
      <c r="G200" s="188" t="s">
        <v>2970</v>
      </c>
      <c r="H200" s="188" t="s">
        <v>2970</v>
      </c>
      <c r="I200" s="188" t="s">
        <v>2970</v>
      </c>
      <c r="J200" s="188" t="s">
        <v>2970</v>
      </c>
      <c r="K200" s="188">
        <v>101</v>
      </c>
    </row>
    <row r="201" spans="1:11" x14ac:dyDescent="0.25">
      <c r="A201" s="47" t="s">
        <v>5096</v>
      </c>
      <c r="D201" s="47">
        <v>198</v>
      </c>
      <c r="E201" s="188" t="s">
        <v>2970</v>
      </c>
      <c r="F201" s="188" t="s">
        <v>2970</v>
      </c>
      <c r="G201" s="188" t="s">
        <v>2970</v>
      </c>
      <c r="H201" s="188" t="s">
        <v>2970</v>
      </c>
      <c r="I201" s="188" t="s">
        <v>2970</v>
      </c>
      <c r="J201" s="188" t="s">
        <v>2970</v>
      </c>
      <c r="K201" s="188">
        <v>102</v>
      </c>
    </row>
    <row r="202" spans="1:11" x14ac:dyDescent="0.25">
      <c r="A202" s="47" t="s">
        <v>5097</v>
      </c>
      <c r="D202" s="47">
        <v>199</v>
      </c>
      <c r="E202" s="188" t="s">
        <v>2970</v>
      </c>
      <c r="F202" s="188" t="s">
        <v>2970</v>
      </c>
      <c r="G202" s="188" t="s">
        <v>2970</v>
      </c>
      <c r="H202" s="188" t="s">
        <v>2970</v>
      </c>
      <c r="I202" s="188" t="s">
        <v>2970</v>
      </c>
      <c r="J202" s="188" t="s">
        <v>2970</v>
      </c>
      <c r="K202" s="188">
        <v>103</v>
      </c>
    </row>
    <row r="203" spans="1:11" x14ac:dyDescent="0.25">
      <c r="A203" s="47" t="s">
        <v>5098</v>
      </c>
      <c r="D203" s="47">
        <v>200</v>
      </c>
      <c r="E203" s="188" t="s">
        <v>2970</v>
      </c>
      <c r="F203" s="188" t="s">
        <v>2970</v>
      </c>
      <c r="G203" s="188" t="s">
        <v>2970</v>
      </c>
      <c r="H203" s="188" t="s">
        <v>2970</v>
      </c>
      <c r="I203" s="188" t="s">
        <v>2970</v>
      </c>
      <c r="J203" s="188" t="s">
        <v>2970</v>
      </c>
      <c r="K203" s="188">
        <v>104</v>
      </c>
    </row>
    <row r="204" spans="1:11" x14ac:dyDescent="0.25">
      <c r="A204" s="47" t="s">
        <v>5099</v>
      </c>
      <c r="D204" s="47">
        <v>201</v>
      </c>
      <c r="E204" s="188" t="s">
        <v>2970</v>
      </c>
      <c r="F204" s="188" t="s">
        <v>2970</v>
      </c>
      <c r="G204" s="188" t="s">
        <v>2970</v>
      </c>
      <c r="H204" s="188" t="s">
        <v>2970</v>
      </c>
      <c r="I204" s="188" t="s">
        <v>2970</v>
      </c>
      <c r="J204" s="188" t="s">
        <v>2970</v>
      </c>
      <c r="K204" s="188">
        <v>111</v>
      </c>
    </row>
    <row r="205" spans="1:11" x14ac:dyDescent="0.25">
      <c r="A205" s="47" t="s">
        <v>5100</v>
      </c>
      <c r="B205" s="47" t="s">
        <v>4616</v>
      </c>
      <c r="D205" s="47">
        <v>202</v>
      </c>
      <c r="E205" s="188" t="s">
        <v>2970</v>
      </c>
      <c r="F205" s="188" t="s">
        <v>2970</v>
      </c>
      <c r="G205" s="188" t="s">
        <v>2970</v>
      </c>
      <c r="H205" s="188" t="s">
        <v>5819</v>
      </c>
      <c r="I205" s="188" t="s">
        <v>2970</v>
      </c>
      <c r="J205" s="188" t="s">
        <v>2970</v>
      </c>
      <c r="K205" s="188" t="s">
        <v>2970</v>
      </c>
    </row>
    <row r="206" spans="1:11" x14ac:dyDescent="0.25">
      <c r="A206" s="47" t="s">
        <v>5101</v>
      </c>
      <c r="B206" s="47" t="s">
        <v>4617</v>
      </c>
      <c r="D206" s="47">
        <v>203</v>
      </c>
      <c r="E206" s="188" t="s">
        <v>2970</v>
      </c>
      <c r="F206" s="188" t="s">
        <v>2970</v>
      </c>
      <c r="G206" s="188" t="s">
        <v>2970</v>
      </c>
      <c r="H206" s="188" t="s">
        <v>5820</v>
      </c>
      <c r="I206" s="188" t="s">
        <v>2970</v>
      </c>
      <c r="J206" s="188" t="s">
        <v>2970</v>
      </c>
      <c r="K206" s="188" t="s">
        <v>2970</v>
      </c>
    </row>
    <row r="207" spans="1:11" x14ac:dyDescent="0.25">
      <c r="A207" s="47" t="s">
        <v>5102</v>
      </c>
      <c r="D207" s="47">
        <v>204</v>
      </c>
      <c r="E207" s="188" t="s">
        <v>2970</v>
      </c>
      <c r="F207" s="188" t="s">
        <v>2970</v>
      </c>
      <c r="G207" s="188" t="s">
        <v>2970</v>
      </c>
      <c r="H207" s="188" t="s">
        <v>5821</v>
      </c>
      <c r="I207" s="188" t="s">
        <v>2970</v>
      </c>
      <c r="J207" s="188" t="s">
        <v>2970</v>
      </c>
      <c r="K207" s="188" t="s">
        <v>2970</v>
      </c>
    </row>
    <row r="208" spans="1:11" x14ac:dyDescent="0.25">
      <c r="A208" s="47" t="s">
        <v>5103</v>
      </c>
      <c r="D208" s="47">
        <v>205</v>
      </c>
      <c r="E208" s="188" t="s">
        <v>2970</v>
      </c>
      <c r="F208" s="188" t="s">
        <v>2970</v>
      </c>
      <c r="G208" s="188" t="s">
        <v>2970</v>
      </c>
      <c r="H208" s="188" t="s">
        <v>5822</v>
      </c>
      <c r="I208" s="188" t="s">
        <v>2970</v>
      </c>
      <c r="J208" s="188" t="s">
        <v>2970</v>
      </c>
      <c r="K208" s="188" t="s">
        <v>2970</v>
      </c>
    </row>
    <row r="209" spans="1:11" x14ac:dyDescent="0.25">
      <c r="A209" s="47" t="s">
        <v>5104</v>
      </c>
      <c r="D209" s="47">
        <v>206</v>
      </c>
      <c r="E209" s="188" t="s">
        <v>2970</v>
      </c>
      <c r="F209" s="188" t="s">
        <v>2970</v>
      </c>
      <c r="G209" s="188" t="s">
        <v>2970</v>
      </c>
      <c r="H209" s="188" t="s">
        <v>5823</v>
      </c>
      <c r="I209" s="188" t="s">
        <v>2970</v>
      </c>
      <c r="J209" s="188" t="s">
        <v>2970</v>
      </c>
      <c r="K209" s="188" t="s">
        <v>2970</v>
      </c>
    </row>
    <row r="210" spans="1:11" x14ac:dyDescent="0.25">
      <c r="A210" s="47" t="s">
        <v>5105</v>
      </c>
      <c r="D210" s="47">
        <v>207</v>
      </c>
      <c r="E210" s="188" t="s">
        <v>2970</v>
      </c>
      <c r="F210" s="188" t="s">
        <v>2970</v>
      </c>
      <c r="G210" s="188" t="s">
        <v>2970</v>
      </c>
      <c r="H210" s="188" t="s">
        <v>5824</v>
      </c>
      <c r="I210" s="188" t="s">
        <v>2970</v>
      </c>
      <c r="J210" s="188" t="s">
        <v>2970</v>
      </c>
      <c r="K210" s="188" t="s">
        <v>2970</v>
      </c>
    </row>
    <row r="211" spans="1:11" x14ac:dyDescent="0.25">
      <c r="A211" s="47" t="s">
        <v>5106</v>
      </c>
      <c r="D211" s="47">
        <v>208</v>
      </c>
      <c r="E211" s="188" t="s">
        <v>2970</v>
      </c>
      <c r="F211" s="188" t="s">
        <v>2970</v>
      </c>
      <c r="G211" s="188" t="s">
        <v>2970</v>
      </c>
      <c r="H211" s="188" t="s">
        <v>5825</v>
      </c>
      <c r="I211" s="188" t="s">
        <v>2970</v>
      </c>
      <c r="J211" s="188" t="s">
        <v>2970</v>
      </c>
      <c r="K211" s="188" t="s">
        <v>2970</v>
      </c>
    </row>
    <row r="212" spans="1:11" x14ac:dyDescent="0.25">
      <c r="A212" s="47" t="s">
        <v>5107</v>
      </c>
      <c r="D212" s="47">
        <v>209</v>
      </c>
      <c r="E212" s="188" t="s">
        <v>2970</v>
      </c>
      <c r="F212" s="188" t="s">
        <v>2970</v>
      </c>
      <c r="G212" s="188" t="s">
        <v>2970</v>
      </c>
      <c r="H212" s="188" t="s">
        <v>5826</v>
      </c>
      <c r="I212" s="188" t="s">
        <v>2970</v>
      </c>
      <c r="J212" s="188" t="s">
        <v>2970</v>
      </c>
      <c r="K212" s="188">
        <v>112</v>
      </c>
    </row>
    <row r="213" spans="1:11" x14ac:dyDescent="0.25">
      <c r="A213" s="47" t="s">
        <v>5108</v>
      </c>
      <c r="D213" s="47">
        <v>210</v>
      </c>
      <c r="E213" s="188" t="s">
        <v>2970</v>
      </c>
      <c r="F213" s="188" t="s">
        <v>2970</v>
      </c>
      <c r="G213" s="188" t="s">
        <v>2970</v>
      </c>
      <c r="H213" s="188" t="s">
        <v>5827</v>
      </c>
      <c r="I213" s="188" t="s">
        <v>2970</v>
      </c>
      <c r="J213" s="188" t="s">
        <v>2970</v>
      </c>
      <c r="K213" s="188">
        <v>113</v>
      </c>
    </row>
    <row r="214" spans="1:11" x14ac:dyDescent="0.25">
      <c r="A214" s="47" t="s">
        <v>5109</v>
      </c>
      <c r="D214" s="47">
        <v>211</v>
      </c>
      <c r="E214" s="188" t="s">
        <v>2970</v>
      </c>
      <c r="F214" s="188" t="s">
        <v>2970</v>
      </c>
      <c r="G214" s="188" t="s">
        <v>2970</v>
      </c>
      <c r="H214" s="188" t="s">
        <v>5828</v>
      </c>
      <c r="I214" s="188" t="s">
        <v>2970</v>
      </c>
      <c r="J214" s="188" t="s">
        <v>2970</v>
      </c>
      <c r="K214" s="188" t="s">
        <v>2970</v>
      </c>
    </row>
    <row r="215" spans="1:11" x14ac:dyDescent="0.25">
      <c r="A215" s="47" t="s">
        <v>5110</v>
      </c>
      <c r="D215" s="47">
        <v>212</v>
      </c>
      <c r="E215" s="188" t="s">
        <v>2970</v>
      </c>
      <c r="F215" s="188" t="s">
        <v>2970</v>
      </c>
      <c r="G215" s="188" t="s">
        <v>2970</v>
      </c>
      <c r="H215" s="188" t="s">
        <v>5829</v>
      </c>
      <c r="I215" s="188" t="s">
        <v>2970</v>
      </c>
      <c r="J215" s="188" t="s">
        <v>2970</v>
      </c>
      <c r="K215" s="188" t="s">
        <v>2970</v>
      </c>
    </row>
    <row r="216" spans="1:11" x14ac:dyDescent="0.25">
      <c r="A216" s="47" t="s">
        <v>3820</v>
      </c>
      <c r="D216" s="47">
        <v>213</v>
      </c>
      <c r="E216" s="188" t="s">
        <v>2970</v>
      </c>
      <c r="F216" s="188" t="s">
        <v>2970</v>
      </c>
      <c r="G216" s="188" t="s">
        <v>2970</v>
      </c>
      <c r="H216" s="188" t="s">
        <v>5830</v>
      </c>
      <c r="I216" s="188" t="s">
        <v>2970</v>
      </c>
      <c r="J216" s="188" t="s">
        <v>2970</v>
      </c>
      <c r="K216" s="188" t="s">
        <v>2970</v>
      </c>
    </row>
    <row r="217" spans="1:11" x14ac:dyDescent="0.25">
      <c r="A217" s="47" t="s">
        <v>5111</v>
      </c>
      <c r="D217" s="47">
        <v>214</v>
      </c>
      <c r="E217" s="188" t="s">
        <v>2970</v>
      </c>
      <c r="F217" s="188" t="s">
        <v>2970</v>
      </c>
      <c r="G217" s="188" t="s">
        <v>2970</v>
      </c>
      <c r="H217" s="188" t="s">
        <v>5831</v>
      </c>
      <c r="I217" s="188" t="s">
        <v>2970</v>
      </c>
      <c r="J217" s="188" t="s">
        <v>2970</v>
      </c>
      <c r="K217" s="188" t="s">
        <v>2970</v>
      </c>
    </row>
    <row r="218" spans="1:11" x14ac:dyDescent="0.25">
      <c r="A218" s="47" t="s">
        <v>5112</v>
      </c>
      <c r="D218" s="47">
        <v>215</v>
      </c>
      <c r="E218" s="188" t="s">
        <v>2970</v>
      </c>
      <c r="F218" s="188" t="s">
        <v>2970</v>
      </c>
      <c r="G218" s="188" t="s">
        <v>2970</v>
      </c>
      <c r="H218" s="188" t="s">
        <v>5832</v>
      </c>
      <c r="I218" s="188" t="s">
        <v>2970</v>
      </c>
      <c r="J218" s="188" t="s">
        <v>2970</v>
      </c>
      <c r="K218" s="188" t="s">
        <v>2970</v>
      </c>
    </row>
    <row r="219" spans="1:11" x14ac:dyDescent="0.25">
      <c r="A219" s="47" t="s">
        <v>5113</v>
      </c>
      <c r="D219" s="47">
        <v>216</v>
      </c>
      <c r="E219" s="188" t="s">
        <v>2970</v>
      </c>
      <c r="F219" s="188" t="s">
        <v>2970</v>
      </c>
      <c r="G219" s="188" t="s">
        <v>2970</v>
      </c>
      <c r="H219" s="188" t="s">
        <v>5833</v>
      </c>
      <c r="I219" s="188" t="s">
        <v>2970</v>
      </c>
      <c r="J219" s="188" t="s">
        <v>2970</v>
      </c>
      <c r="K219" s="188">
        <v>114</v>
      </c>
    </row>
    <row r="220" spans="1:11" x14ac:dyDescent="0.25">
      <c r="A220" s="47" t="s">
        <v>5114</v>
      </c>
      <c r="D220" s="47">
        <v>217</v>
      </c>
      <c r="E220" s="188" t="s">
        <v>2970</v>
      </c>
      <c r="F220" s="188" t="s">
        <v>2970</v>
      </c>
      <c r="G220" s="188" t="s">
        <v>2970</v>
      </c>
      <c r="H220" s="188" t="s">
        <v>5834</v>
      </c>
      <c r="I220" s="188" t="s">
        <v>2970</v>
      </c>
      <c r="J220" s="188" t="s">
        <v>2970</v>
      </c>
      <c r="K220" s="188" t="s">
        <v>2970</v>
      </c>
    </row>
    <row r="221" spans="1:11" x14ac:dyDescent="0.25">
      <c r="A221" s="47" t="s">
        <v>5115</v>
      </c>
      <c r="D221" s="47">
        <v>218</v>
      </c>
      <c r="E221" s="188" t="s">
        <v>2970</v>
      </c>
      <c r="F221" s="188" t="s">
        <v>2970</v>
      </c>
      <c r="G221" s="188" t="s">
        <v>2970</v>
      </c>
      <c r="H221" s="188" t="s">
        <v>5835</v>
      </c>
      <c r="I221" s="188" t="s">
        <v>2970</v>
      </c>
      <c r="J221" s="188" t="s">
        <v>2970</v>
      </c>
      <c r="K221" s="188">
        <v>118</v>
      </c>
    </row>
    <row r="222" spans="1:11" x14ac:dyDescent="0.25">
      <c r="A222" s="47" t="s">
        <v>5116</v>
      </c>
      <c r="D222" s="47">
        <v>219</v>
      </c>
      <c r="E222" s="188" t="s">
        <v>2970</v>
      </c>
      <c r="F222" s="188" t="s">
        <v>2970</v>
      </c>
      <c r="G222" s="188" t="s">
        <v>2970</v>
      </c>
      <c r="H222" s="188" t="s">
        <v>5836</v>
      </c>
      <c r="I222" s="188" t="s">
        <v>2970</v>
      </c>
      <c r="J222" s="188" t="s">
        <v>2970</v>
      </c>
      <c r="K222" s="188">
        <v>115</v>
      </c>
    </row>
    <row r="223" spans="1:11" x14ac:dyDescent="0.25">
      <c r="A223" s="47" t="s">
        <v>3841</v>
      </c>
      <c r="B223" s="47" t="s">
        <v>3685</v>
      </c>
      <c r="D223" s="47">
        <v>220</v>
      </c>
      <c r="E223" s="188" t="s">
        <v>2970</v>
      </c>
      <c r="F223" s="188" t="s">
        <v>2970</v>
      </c>
      <c r="G223" s="188" t="s">
        <v>2970</v>
      </c>
      <c r="H223" s="188" t="s">
        <v>5837</v>
      </c>
      <c r="I223" s="188" t="s">
        <v>2970</v>
      </c>
      <c r="J223" s="188" t="s">
        <v>2970</v>
      </c>
      <c r="K223" s="188">
        <v>119</v>
      </c>
    </row>
    <row r="224" spans="1:11" x14ac:dyDescent="0.25">
      <c r="A224" s="47" t="s">
        <v>5117</v>
      </c>
      <c r="B224" s="47" t="s">
        <v>4618</v>
      </c>
      <c r="D224" s="47">
        <v>221</v>
      </c>
      <c r="E224" s="188" t="s">
        <v>2970</v>
      </c>
      <c r="F224" s="188" t="s">
        <v>2970</v>
      </c>
      <c r="G224" s="188" t="s">
        <v>2970</v>
      </c>
      <c r="H224" s="188" t="s">
        <v>5838</v>
      </c>
      <c r="I224" s="188" t="s">
        <v>2970</v>
      </c>
      <c r="J224" s="188" t="s">
        <v>2970</v>
      </c>
      <c r="K224" s="188" t="s">
        <v>2970</v>
      </c>
    </row>
    <row r="225" spans="1:11" x14ac:dyDescent="0.25">
      <c r="A225" s="47" t="s">
        <v>5118</v>
      </c>
      <c r="B225" s="47" t="s">
        <v>4619</v>
      </c>
      <c r="D225" s="47">
        <v>222</v>
      </c>
      <c r="E225" s="188" t="s">
        <v>2970</v>
      </c>
      <c r="F225" s="188" t="s">
        <v>2970</v>
      </c>
      <c r="G225" s="188" t="s">
        <v>2970</v>
      </c>
      <c r="H225" s="188" t="s">
        <v>5839</v>
      </c>
      <c r="I225" s="188" t="s">
        <v>2970</v>
      </c>
      <c r="J225" s="188" t="s">
        <v>2970</v>
      </c>
      <c r="K225" s="188">
        <v>116</v>
      </c>
    </row>
    <row r="226" spans="1:11" x14ac:dyDescent="0.25">
      <c r="A226" s="47" t="s">
        <v>3840</v>
      </c>
      <c r="D226" s="47">
        <v>223</v>
      </c>
      <c r="E226" s="188" t="s">
        <v>2970</v>
      </c>
      <c r="F226" s="188" t="s">
        <v>2970</v>
      </c>
      <c r="G226" s="188" t="s">
        <v>2970</v>
      </c>
      <c r="H226" s="188" t="s">
        <v>5840</v>
      </c>
      <c r="I226" s="188" t="s">
        <v>2970</v>
      </c>
      <c r="J226" s="188" t="s">
        <v>2970</v>
      </c>
      <c r="K226" s="188">
        <v>117</v>
      </c>
    </row>
    <row r="227" spans="1:11" x14ac:dyDescent="0.25">
      <c r="A227" s="47" t="s">
        <v>5119</v>
      </c>
      <c r="D227" s="47">
        <v>224</v>
      </c>
      <c r="E227" s="188" t="s">
        <v>2970</v>
      </c>
      <c r="F227" s="188" t="s">
        <v>2970</v>
      </c>
      <c r="G227" s="188" t="s">
        <v>2970</v>
      </c>
      <c r="H227" s="188" t="s">
        <v>5841</v>
      </c>
      <c r="I227" s="188" t="s">
        <v>2970</v>
      </c>
      <c r="J227" s="188" t="s">
        <v>2970</v>
      </c>
      <c r="K227" s="188" t="s">
        <v>2970</v>
      </c>
    </row>
    <row r="228" spans="1:11" x14ac:dyDescent="0.25">
      <c r="A228" s="47" t="s">
        <v>5120</v>
      </c>
      <c r="D228" s="47">
        <v>225</v>
      </c>
      <c r="E228" s="188" t="s">
        <v>2970</v>
      </c>
      <c r="F228" s="188" t="s">
        <v>2970</v>
      </c>
      <c r="G228" s="188" t="s">
        <v>2970</v>
      </c>
      <c r="H228" s="188" t="s">
        <v>5842</v>
      </c>
      <c r="I228" s="188" t="s">
        <v>2970</v>
      </c>
      <c r="J228" s="188" t="s">
        <v>2970</v>
      </c>
      <c r="K228" s="188" t="s">
        <v>2970</v>
      </c>
    </row>
    <row r="229" spans="1:11" x14ac:dyDescent="0.25">
      <c r="A229" s="47" t="s">
        <v>5121</v>
      </c>
      <c r="B229" s="47" t="s">
        <v>4620</v>
      </c>
      <c r="D229" s="47">
        <v>226</v>
      </c>
      <c r="E229" s="188" t="s">
        <v>2970</v>
      </c>
      <c r="F229" s="188" t="s">
        <v>2970</v>
      </c>
      <c r="G229" s="188" t="s">
        <v>2970</v>
      </c>
      <c r="H229" s="188" t="s">
        <v>5843</v>
      </c>
      <c r="I229" s="188" t="s">
        <v>2970</v>
      </c>
      <c r="J229" s="188" t="s">
        <v>2970</v>
      </c>
      <c r="K229" s="188" t="s">
        <v>2970</v>
      </c>
    </row>
    <row r="230" spans="1:11" x14ac:dyDescent="0.25">
      <c r="A230" s="47" t="s">
        <v>5122</v>
      </c>
      <c r="B230" s="47" t="s">
        <v>4621</v>
      </c>
      <c r="D230" s="47">
        <v>227</v>
      </c>
      <c r="E230" s="188" t="s">
        <v>2970</v>
      </c>
      <c r="F230" s="188" t="s">
        <v>2970</v>
      </c>
      <c r="G230" s="188" t="s">
        <v>2970</v>
      </c>
      <c r="H230" s="188" t="s">
        <v>5844</v>
      </c>
      <c r="I230" s="188" t="s">
        <v>2970</v>
      </c>
      <c r="J230" s="188" t="s">
        <v>2970</v>
      </c>
      <c r="K230" s="188" t="s">
        <v>2970</v>
      </c>
    </row>
    <row r="231" spans="1:11" x14ac:dyDescent="0.25">
      <c r="A231" s="47" t="s">
        <v>5123</v>
      </c>
      <c r="B231" s="47" t="s">
        <v>4622</v>
      </c>
      <c r="D231" s="47">
        <v>228</v>
      </c>
      <c r="E231" s="188" t="s">
        <v>2970</v>
      </c>
      <c r="F231" s="188" t="s">
        <v>2970</v>
      </c>
      <c r="G231" s="188" t="s">
        <v>2970</v>
      </c>
      <c r="H231" s="188" t="s">
        <v>5845</v>
      </c>
      <c r="I231" s="188" t="s">
        <v>2970</v>
      </c>
      <c r="J231" s="188" t="s">
        <v>2970</v>
      </c>
      <c r="K231" s="188" t="s">
        <v>2970</v>
      </c>
    </row>
    <row r="232" spans="1:11" x14ac:dyDescent="0.25">
      <c r="A232" s="47" t="s">
        <v>5124</v>
      </c>
      <c r="B232" s="47" t="s">
        <v>4623</v>
      </c>
      <c r="D232" s="47">
        <v>229</v>
      </c>
      <c r="E232" s="188" t="s">
        <v>2970</v>
      </c>
      <c r="F232" s="188" t="s">
        <v>2970</v>
      </c>
      <c r="G232" s="188" t="s">
        <v>2970</v>
      </c>
      <c r="H232" s="188" t="s">
        <v>5848</v>
      </c>
      <c r="I232" s="188" t="s">
        <v>2970</v>
      </c>
      <c r="J232" s="188" t="s">
        <v>2970</v>
      </c>
      <c r="K232" s="188" t="s">
        <v>2970</v>
      </c>
    </row>
    <row r="233" spans="1:11" x14ac:dyDescent="0.25">
      <c r="A233" s="47" t="s">
        <v>5125</v>
      </c>
      <c r="B233" s="47" t="s">
        <v>4624</v>
      </c>
      <c r="D233" s="47">
        <v>230</v>
      </c>
      <c r="E233" s="188" t="s">
        <v>2970</v>
      </c>
      <c r="F233" s="188" t="s">
        <v>2970</v>
      </c>
      <c r="G233" s="188" t="s">
        <v>2970</v>
      </c>
      <c r="H233" s="188" t="s">
        <v>5849</v>
      </c>
      <c r="I233" s="188" t="s">
        <v>2970</v>
      </c>
      <c r="J233" s="188" t="s">
        <v>2970</v>
      </c>
      <c r="K233" s="188">
        <v>107</v>
      </c>
    </row>
    <row r="234" spans="1:11" x14ac:dyDescent="0.25">
      <c r="A234" s="47" t="s">
        <v>5126</v>
      </c>
      <c r="B234" s="47" t="s">
        <v>4625</v>
      </c>
      <c r="D234" s="47">
        <v>231</v>
      </c>
      <c r="E234" s="188" t="s">
        <v>2970</v>
      </c>
      <c r="F234" s="188" t="s">
        <v>2970</v>
      </c>
      <c r="G234" s="188" t="s">
        <v>2970</v>
      </c>
      <c r="H234" s="188" t="s">
        <v>5850</v>
      </c>
      <c r="I234" s="188" t="s">
        <v>2970</v>
      </c>
      <c r="J234" s="188" t="s">
        <v>2970</v>
      </c>
      <c r="K234" s="188">
        <v>109</v>
      </c>
    </row>
    <row r="235" spans="1:11" x14ac:dyDescent="0.25">
      <c r="A235" s="47" t="s">
        <v>5127</v>
      </c>
      <c r="B235" s="47" t="s">
        <v>4626</v>
      </c>
      <c r="D235" s="47">
        <v>232</v>
      </c>
      <c r="E235" s="188" t="s">
        <v>2970</v>
      </c>
      <c r="F235" s="188" t="s">
        <v>2970</v>
      </c>
      <c r="G235" s="188" t="s">
        <v>2970</v>
      </c>
      <c r="H235" s="188" t="s">
        <v>5851</v>
      </c>
      <c r="I235" s="188" t="s">
        <v>2970</v>
      </c>
      <c r="J235" s="188" t="s">
        <v>2970</v>
      </c>
      <c r="K235" s="188">
        <v>110</v>
      </c>
    </row>
    <row r="236" spans="1:11" x14ac:dyDescent="0.25">
      <c r="A236" s="47" t="s">
        <v>5128</v>
      </c>
      <c r="B236" s="47" t="s">
        <v>4627</v>
      </c>
      <c r="D236" s="47">
        <v>233</v>
      </c>
      <c r="E236" s="188" t="s">
        <v>2970</v>
      </c>
      <c r="F236" s="188" t="s">
        <v>2970</v>
      </c>
      <c r="G236" s="188" t="s">
        <v>2970</v>
      </c>
      <c r="H236" s="188" t="s">
        <v>5852</v>
      </c>
      <c r="I236" s="188" t="s">
        <v>2970</v>
      </c>
      <c r="J236" s="188" t="s">
        <v>2970</v>
      </c>
      <c r="K236" s="188">
        <v>106</v>
      </c>
    </row>
    <row r="237" spans="1:11" x14ac:dyDescent="0.25">
      <c r="A237" s="47" t="s">
        <v>5129</v>
      </c>
      <c r="B237" s="47" t="s">
        <v>4628</v>
      </c>
      <c r="D237" s="47">
        <v>234</v>
      </c>
      <c r="E237" s="188" t="s">
        <v>2970</v>
      </c>
      <c r="F237" s="188" t="s">
        <v>2970</v>
      </c>
      <c r="G237" s="188" t="s">
        <v>2970</v>
      </c>
      <c r="H237" s="188" t="s">
        <v>5853</v>
      </c>
      <c r="I237" s="188" t="s">
        <v>2970</v>
      </c>
      <c r="J237" s="188" t="s">
        <v>2970</v>
      </c>
      <c r="K237" s="188">
        <v>105</v>
      </c>
    </row>
    <row r="238" spans="1:11" x14ac:dyDescent="0.25">
      <c r="A238" s="47" t="s">
        <v>5130</v>
      </c>
      <c r="B238" s="47" t="s">
        <v>4629</v>
      </c>
      <c r="D238" s="47">
        <v>235</v>
      </c>
      <c r="E238" s="188" t="s">
        <v>2970</v>
      </c>
      <c r="F238" s="188" t="s">
        <v>2970</v>
      </c>
      <c r="G238" s="188" t="s">
        <v>2970</v>
      </c>
      <c r="H238" s="188" t="s">
        <v>5854</v>
      </c>
      <c r="I238" s="188" t="s">
        <v>2970</v>
      </c>
      <c r="J238" s="188" t="s">
        <v>2970</v>
      </c>
      <c r="K238" s="188" t="s">
        <v>2970</v>
      </c>
    </row>
    <row r="239" spans="1:11" x14ac:dyDescent="0.25">
      <c r="A239" s="47" t="s">
        <v>5131</v>
      </c>
      <c r="B239" s="47" t="s">
        <v>4630</v>
      </c>
      <c r="D239" s="47">
        <v>236</v>
      </c>
      <c r="E239" s="188" t="s">
        <v>2970</v>
      </c>
      <c r="F239" s="188" t="s">
        <v>2970</v>
      </c>
      <c r="G239" s="188" t="s">
        <v>2970</v>
      </c>
      <c r="H239" s="188" t="s">
        <v>2970</v>
      </c>
      <c r="I239" s="188" t="s">
        <v>2970</v>
      </c>
      <c r="J239" s="188" t="s">
        <v>2970</v>
      </c>
      <c r="K239" s="188">
        <v>108</v>
      </c>
    </row>
    <row r="240" spans="1:11" x14ac:dyDescent="0.25">
      <c r="A240" s="47" t="s">
        <v>5132</v>
      </c>
      <c r="B240" s="47" t="s">
        <v>4631</v>
      </c>
      <c r="D240" s="47">
        <v>237</v>
      </c>
      <c r="E240" s="188" t="s">
        <v>2970</v>
      </c>
      <c r="F240" s="188" t="s">
        <v>2970</v>
      </c>
      <c r="G240" s="188" t="s">
        <v>2970</v>
      </c>
      <c r="H240" s="188" t="s">
        <v>2970</v>
      </c>
      <c r="I240" s="188" t="s">
        <v>2970</v>
      </c>
      <c r="J240" s="188" t="s">
        <v>2970</v>
      </c>
      <c r="K240" s="188">
        <v>120</v>
      </c>
    </row>
    <row r="241" spans="1:11" x14ac:dyDescent="0.25">
      <c r="A241" s="47" t="s">
        <v>5133</v>
      </c>
      <c r="B241" s="47" t="s">
        <v>4632</v>
      </c>
      <c r="D241" s="47">
        <v>238</v>
      </c>
      <c r="E241" s="188" t="s">
        <v>2970</v>
      </c>
      <c r="F241" s="188" t="s">
        <v>2970</v>
      </c>
      <c r="G241" s="188" t="s">
        <v>2970</v>
      </c>
      <c r="H241" s="188" t="s">
        <v>2970</v>
      </c>
      <c r="I241" s="188" t="s">
        <v>2970</v>
      </c>
      <c r="J241" s="188" t="s">
        <v>2970</v>
      </c>
      <c r="K241" s="188">
        <v>121</v>
      </c>
    </row>
    <row r="242" spans="1:11" x14ac:dyDescent="0.25">
      <c r="A242" s="47" t="s">
        <v>5134</v>
      </c>
      <c r="B242" s="47" t="s">
        <v>4633</v>
      </c>
      <c r="D242" s="47">
        <v>239</v>
      </c>
      <c r="E242" s="188" t="s">
        <v>2970</v>
      </c>
      <c r="F242" s="188" t="s">
        <v>2970</v>
      </c>
      <c r="G242" s="188" t="s">
        <v>2970</v>
      </c>
      <c r="H242" s="188" t="s">
        <v>2970</v>
      </c>
      <c r="I242" s="188" t="s">
        <v>2970</v>
      </c>
      <c r="J242" s="188" t="s">
        <v>2970</v>
      </c>
      <c r="K242" s="188">
        <v>122</v>
      </c>
    </row>
    <row r="243" spans="1:11" x14ac:dyDescent="0.25">
      <c r="A243" s="47" t="s">
        <v>5135</v>
      </c>
      <c r="B243" s="47" t="s">
        <v>4634</v>
      </c>
      <c r="D243" s="47">
        <v>240</v>
      </c>
      <c r="E243" s="188" t="s">
        <v>2970</v>
      </c>
      <c r="F243" s="188" t="s">
        <v>2970</v>
      </c>
      <c r="G243" s="188" t="s">
        <v>2970</v>
      </c>
      <c r="H243" s="188" t="s">
        <v>2970</v>
      </c>
      <c r="I243" s="188" t="s">
        <v>2970</v>
      </c>
      <c r="J243" s="188" t="s">
        <v>2970</v>
      </c>
      <c r="K243" s="188">
        <v>123</v>
      </c>
    </row>
    <row r="244" spans="1:11" x14ac:dyDescent="0.25">
      <c r="A244" s="47" t="s">
        <v>5136</v>
      </c>
      <c r="B244" s="47" t="s">
        <v>4635</v>
      </c>
      <c r="D244" s="47">
        <v>241</v>
      </c>
      <c r="E244" s="188" t="s">
        <v>2970</v>
      </c>
      <c r="F244" s="188" t="s">
        <v>2970</v>
      </c>
      <c r="G244" s="188" t="s">
        <v>2970</v>
      </c>
      <c r="H244" s="188" t="s">
        <v>2970</v>
      </c>
      <c r="I244" s="188" t="s">
        <v>2970</v>
      </c>
      <c r="J244" s="188" t="s">
        <v>2970</v>
      </c>
      <c r="K244" s="188">
        <v>124</v>
      </c>
    </row>
    <row r="245" spans="1:11" x14ac:dyDescent="0.25">
      <c r="A245" s="47" t="s">
        <v>5137</v>
      </c>
      <c r="D245" s="47">
        <v>242</v>
      </c>
      <c r="E245" s="188" t="s">
        <v>2970</v>
      </c>
      <c r="F245" s="188" t="s">
        <v>2970</v>
      </c>
      <c r="G245" s="188" t="s">
        <v>2970</v>
      </c>
      <c r="H245" s="188" t="s">
        <v>5855</v>
      </c>
      <c r="I245" s="188" t="s">
        <v>2970</v>
      </c>
      <c r="J245" s="188" t="s">
        <v>2970</v>
      </c>
      <c r="K245" s="188" t="s">
        <v>2970</v>
      </c>
    </row>
    <row r="246" spans="1:11" x14ac:dyDescent="0.25">
      <c r="A246" s="47" t="s">
        <v>5138</v>
      </c>
      <c r="D246" s="47">
        <v>243</v>
      </c>
      <c r="E246" s="188" t="s">
        <v>2970</v>
      </c>
      <c r="F246" s="188" t="s">
        <v>2970</v>
      </c>
      <c r="G246" s="188" t="s">
        <v>2970</v>
      </c>
      <c r="H246" s="188" t="s">
        <v>5856</v>
      </c>
      <c r="I246" s="188" t="s">
        <v>2970</v>
      </c>
      <c r="J246" s="188" t="s">
        <v>2970</v>
      </c>
      <c r="K246" s="188" t="s">
        <v>2970</v>
      </c>
    </row>
    <row r="247" spans="1:11" x14ac:dyDescent="0.25">
      <c r="A247" s="47" t="s">
        <v>5139</v>
      </c>
      <c r="D247" s="47">
        <v>244</v>
      </c>
      <c r="E247" s="188" t="s">
        <v>2970</v>
      </c>
      <c r="F247" s="188" t="s">
        <v>2970</v>
      </c>
      <c r="G247" s="188" t="s">
        <v>2970</v>
      </c>
      <c r="H247" s="188" t="s">
        <v>5857</v>
      </c>
      <c r="I247" s="188" t="s">
        <v>2970</v>
      </c>
      <c r="J247" s="188" t="s">
        <v>2970</v>
      </c>
      <c r="K247" s="188" t="s">
        <v>2970</v>
      </c>
    </row>
    <row r="248" spans="1:11" x14ac:dyDescent="0.25">
      <c r="A248" s="47" t="s">
        <v>5140</v>
      </c>
      <c r="D248" s="47">
        <v>245</v>
      </c>
      <c r="E248" s="188" t="s">
        <v>2970</v>
      </c>
      <c r="F248" s="188" t="s">
        <v>2970</v>
      </c>
      <c r="G248" s="188" t="s">
        <v>2970</v>
      </c>
      <c r="H248" s="188" t="s">
        <v>5858</v>
      </c>
      <c r="I248" s="188" t="s">
        <v>2970</v>
      </c>
      <c r="J248" s="188" t="s">
        <v>2970</v>
      </c>
      <c r="K248" s="188" t="s">
        <v>2970</v>
      </c>
    </row>
    <row r="249" spans="1:11" x14ac:dyDescent="0.25">
      <c r="A249" s="47" t="s">
        <v>5141</v>
      </c>
      <c r="D249" s="47">
        <v>246</v>
      </c>
      <c r="E249" s="188" t="s">
        <v>2970</v>
      </c>
      <c r="F249" s="188" t="s">
        <v>2970</v>
      </c>
      <c r="G249" s="188" t="s">
        <v>2970</v>
      </c>
      <c r="H249" s="188" t="s">
        <v>5859</v>
      </c>
      <c r="I249" s="188" t="s">
        <v>2970</v>
      </c>
      <c r="J249" s="188" t="s">
        <v>2970</v>
      </c>
      <c r="K249" s="188" t="s">
        <v>2970</v>
      </c>
    </row>
    <row r="250" spans="1:11" x14ac:dyDescent="0.25">
      <c r="A250" s="47" t="s">
        <v>5142</v>
      </c>
      <c r="D250" s="47">
        <v>247</v>
      </c>
      <c r="E250" s="188" t="s">
        <v>2970</v>
      </c>
      <c r="F250" s="188" t="s">
        <v>2970</v>
      </c>
      <c r="G250" s="188" t="s">
        <v>2970</v>
      </c>
      <c r="H250" s="188" t="s">
        <v>5860</v>
      </c>
      <c r="I250" s="188" t="s">
        <v>2970</v>
      </c>
      <c r="J250" s="188" t="s">
        <v>2970</v>
      </c>
      <c r="K250" s="188" t="s">
        <v>2970</v>
      </c>
    </row>
    <row r="251" spans="1:11" x14ac:dyDescent="0.25">
      <c r="A251" s="47" t="s">
        <v>5143</v>
      </c>
      <c r="D251" s="47">
        <v>248</v>
      </c>
      <c r="E251" s="188" t="s">
        <v>2970</v>
      </c>
      <c r="F251" s="188" t="s">
        <v>2970</v>
      </c>
      <c r="G251" s="188" t="s">
        <v>2970</v>
      </c>
      <c r="H251" s="188" t="s">
        <v>5861</v>
      </c>
      <c r="I251" s="188" t="s">
        <v>2970</v>
      </c>
      <c r="J251" s="188" t="s">
        <v>2970</v>
      </c>
      <c r="K251" s="188" t="s">
        <v>2970</v>
      </c>
    </row>
    <row r="252" spans="1:11" x14ac:dyDescent="0.25">
      <c r="A252" s="47" t="s">
        <v>5144</v>
      </c>
      <c r="D252" s="47">
        <v>249</v>
      </c>
      <c r="E252" s="188" t="s">
        <v>2970</v>
      </c>
      <c r="F252" s="188" t="s">
        <v>2970</v>
      </c>
      <c r="G252" s="188" t="s">
        <v>2970</v>
      </c>
      <c r="H252" s="188" t="s">
        <v>5862</v>
      </c>
      <c r="I252" s="188" t="s">
        <v>2970</v>
      </c>
      <c r="J252" s="188" t="s">
        <v>2970</v>
      </c>
      <c r="K252" s="188" t="s">
        <v>2970</v>
      </c>
    </row>
    <row r="253" spans="1:11" x14ac:dyDescent="0.25">
      <c r="A253" s="47" t="s">
        <v>5145</v>
      </c>
      <c r="D253" s="47">
        <v>250</v>
      </c>
      <c r="E253" s="188" t="s">
        <v>2970</v>
      </c>
      <c r="F253" s="188" t="s">
        <v>2970</v>
      </c>
      <c r="G253" s="188" t="s">
        <v>2970</v>
      </c>
      <c r="H253" s="188" t="s">
        <v>5863</v>
      </c>
      <c r="I253" s="188" t="s">
        <v>2970</v>
      </c>
      <c r="J253" s="188" t="s">
        <v>2970</v>
      </c>
      <c r="K253" s="188" t="s">
        <v>2970</v>
      </c>
    </row>
    <row r="254" spans="1:11" x14ac:dyDescent="0.25">
      <c r="A254" s="47" t="s">
        <v>5146</v>
      </c>
      <c r="D254" s="47">
        <v>251</v>
      </c>
      <c r="E254" s="188" t="s">
        <v>2970</v>
      </c>
      <c r="F254" s="188" t="s">
        <v>2970</v>
      </c>
      <c r="G254" s="188" t="s">
        <v>2970</v>
      </c>
      <c r="H254" s="188" t="s">
        <v>5864</v>
      </c>
      <c r="I254" s="188" t="s">
        <v>2970</v>
      </c>
      <c r="J254" s="188" t="s">
        <v>2970</v>
      </c>
      <c r="K254" s="188" t="s">
        <v>2970</v>
      </c>
    </row>
    <row r="255" spans="1:11" x14ac:dyDescent="0.25">
      <c r="A255" s="47" t="s">
        <v>5147</v>
      </c>
      <c r="D255" s="47">
        <v>252</v>
      </c>
      <c r="E255" s="188" t="s">
        <v>2970</v>
      </c>
      <c r="F255" s="188" t="s">
        <v>2970</v>
      </c>
      <c r="G255" s="188" t="s">
        <v>2970</v>
      </c>
      <c r="H255" s="188" t="s">
        <v>5865</v>
      </c>
      <c r="I255" s="188" t="s">
        <v>2970</v>
      </c>
      <c r="J255" s="188" t="s">
        <v>2970</v>
      </c>
      <c r="K255" s="188" t="s">
        <v>2970</v>
      </c>
    </row>
    <row r="256" spans="1:11" x14ac:dyDescent="0.25">
      <c r="A256" s="47" t="s">
        <v>5148</v>
      </c>
      <c r="B256" s="47" t="s">
        <v>4636</v>
      </c>
      <c r="D256" s="47">
        <v>253</v>
      </c>
      <c r="E256" s="188" t="s">
        <v>2970</v>
      </c>
      <c r="F256" s="188" t="s">
        <v>2970</v>
      </c>
      <c r="G256" s="188" t="s">
        <v>2970</v>
      </c>
      <c r="H256" s="188" t="s">
        <v>5866</v>
      </c>
      <c r="I256" s="188" t="s">
        <v>2970</v>
      </c>
      <c r="J256" s="188" t="s">
        <v>2970</v>
      </c>
      <c r="K256" s="188" t="s">
        <v>2970</v>
      </c>
    </row>
    <row r="257" spans="1:11" x14ac:dyDescent="0.25">
      <c r="A257" s="47" t="s">
        <v>5149</v>
      </c>
      <c r="B257" s="47" t="s">
        <v>4637</v>
      </c>
      <c r="D257" s="47">
        <v>254</v>
      </c>
      <c r="E257" s="188" t="s">
        <v>2970</v>
      </c>
      <c r="F257" s="188" t="s">
        <v>2970</v>
      </c>
      <c r="G257" s="188" t="s">
        <v>2970</v>
      </c>
      <c r="H257" s="188" t="s">
        <v>5867</v>
      </c>
      <c r="I257" s="188" t="s">
        <v>2970</v>
      </c>
      <c r="J257" s="188" t="s">
        <v>2970</v>
      </c>
      <c r="K257" s="188" t="s">
        <v>2970</v>
      </c>
    </row>
    <row r="258" spans="1:11" x14ac:dyDescent="0.25">
      <c r="A258" s="47" t="s">
        <v>5150</v>
      </c>
      <c r="B258" s="47" t="s">
        <v>4638</v>
      </c>
      <c r="D258" s="47">
        <v>255</v>
      </c>
      <c r="E258" s="188" t="s">
        <v>2970</v>
      </c>
      <c r="F258" s="188" t="s">
        <v>2970</v>
      </c>
      <c r="G258" s="188" t="s">
        <v>2970</v>
      </c>
      <c r="H258" s="188" t="s">
        <v>5868</v>
      </c>
      <c r="I258" s="188" t="s">
        <v>2970</v>
      </c>
      <c r="J258" s="188" t="s">
        <v>2970</v>
      </c>
      <c r="K258" s="188" t="s">
        <v>2970</v>
      </c>
    </row>
    <row r="259" spans="1:11" x14ac:dyDescent="0.25">
      <c r="A259" s="47" t="s">
        <v>5151</v>
      </c>
      <c r="B259" s="47" t="s">
        <v>4639</v>
      </c>
      <c r="D259" s="47">
        <v>256</v>
      </c>
      <c r="E259" s="188" t="s">
        <v>2970</v>
      </c>
      <c r="F259" s="188" t="s">
        <v>2970</v>
      </c>
      <c r="G259" s="188" t="s">
        <v>2970</v>
      </c>
      <c r="H259" s="188" t="s">
        <v>5869</v>
      </c>
      <c r="I259" s="188" t="s">
        <v>2970</v>
      </c>
      <c r="J259" s="188" t="s">
        <v>2970</v>
      </c>
      <c r="K259" s="188" t="s">
        <v>2970</v>
      </c>
    </row>
    <row r="260" spans="1:11" x14ac:dyDescent="0.25">
      <c r="A260" s="47" t="s">
        <v>5152</v>
      </c>
      <c r="B260" s="47" t="s">
        <v>4640</v>
      </c>
      <c r="D260" s="47">
        <v>257</v>
      </c>
      <c r="E260" s="188" t="s">
        <v>2970</v>
      </c>
      <c r="F260" s="188" t="s">
        <v>2970</v>
      </c>
      <c r="G260" s="188" t="s">
        <v>2970</v>
      </c>
      <c r="H260" s="188" t="s">
        <v>5870</v>
      </c>
      <c r="I260" s="188" t="s">
        <v>2970</v>
      </c>
      <c r="J260" s="188" t="s">
        <v>2970</v>
      </c>
      <c r="K260" s="188" t="s">
        <v>2970</v>
      </c>
    </row>
    <row r="261" spans="1:11" x14ac:dyDescent="0.25">
      <c r="A261" s="47" t="s">
        <v>5153</v>
      </c>
      <c r="B261" s="47" t="s">
        <v>4641</v>
      </c>
      <c r="D261" s="47">
        <v>258</v>
      </c>
      <c r="E261" s="188" t="s">
        <v>2970</v>
      </c>
      <c r="F261" s="188" t="s">
        <v>2970</v>
      </c>
      <c r="G261" s="188" t="s">
        <v>2970</v>
      </c>
      <c r="H261" s="188" t="s">
        <v>5871</v>
      </c>
      <c r="I261" s="188" t="s">
        <v>2970</v>
      </c>
      <c r="J261" s="188" t="s">
        <v>2970</v>
      </c>
      <c r="K261" s="188" t="s">
        <v>2970</v>
      </c>
    </row>
    <row r="262" spans="1:11" x14ac:dyDescent="0.25">
      <c r="A262" s="47" t="s">
        <v>5154</v>
      </c>
      <c r="D262" s="47">
        <v>259</v>
      </c>
      <c r="E262" s="188" t="s">
        <v>3818</v>
      </c>
      <c r="F262" s="188" t="s">
        <v>2970</v>
      </c>
      <c r="G262" s="188" t="s">
        <v>2970</v>
      </c>
      <c r="H262" s="188" t="s">
        <v>2970</v>
      </c>
      <c r="I262" s="188" t="s">
        <v>2970</v>
      </c>
      <c r="J262" s="188" t="s">
        <v>2970</v>
      </c>
      <c r="K262" s="188" t="s">
        <v>2970</v>
      </c>
    </row>
    <row r="263" spans="1:11" x14ac:dyDescent="0.25">
      <c r="A263" s="47" t="s">
        <v>5155</v>
      </c>
      <c r="D263" s="47">
        <v>260</v>
      </c>
      <c r="E263" s="188" t="s">
        <v>4983</v>
      </c>
      <c r="F263" s="188" t="s">
        <v>2970</v>
      </c>
      <c r="G263" s="188" t="s">
        <v>2970</v>
      </c>
      <c r="H263" s="188" t="s">
        <v>2970</v>
      </c>
      <c r="I263" s="188" t="s">
        <v>2970</v>
      </c>
      <c r="J263" s="188" t="s">
        <v>2970</v>
      </c>
      <c r="K263" s="188" t="s">
        <v>2970</v>
      </c>
    </row>
    <row r="264" spans="1:11" x14ac:dyDescent="0.25">
      <c r="A264" s="47" t="s">
        <v>5156</v>
      </c>
      <c r="D264" s="47">
        <v>261</v>
      </c>
      <c r="E264" s="188" t="s">
        <v>4984</v>
      </c>
      <c r="F264" s="188" t="s">
        <v>2970</v>
      </c>
      <c r="G264" s="188" t="s">
        <v>2970</v>
      </c>
      <c r="H264" s="188" t="s">
        <v>2970</v>
      </c>
      <c r="I264" s="188" t="s">
        <v>2970</v>
      </c>
      <c r="J264" s="188" t="s">
        <v>2970</v>
      </c>
      <c r="K264" s="188" t="s">
        <v>2970</v>
      </c>
    </row>
    <row r="265" spans="1:11" x14ac:dyDescent="0.25">
      <c r="A265" s="47" t="s">
        <v>5157</v>
      </c>
      <c r="D265" s="47">
        <v>262</v>
      </c>
      <c r="E265" s="188" t="s">
        <v>4985</v>
      </c>
      <c r="F265" s="188" t="s">
        <v>2970</v>
      </c>
      <c r="G265" s="188" t="s">
        <v>2970</v>
      </c>
      <c r="H265" s="188" t="s">
        <v>2970</v>
      </c>
      <c r="I265" s="188" t="s">
        <v>2970</v>
      </c>
      <c r="J265" s="188" t="s">
        <v>2970</v>
      </c>
      <c r="K265" s="188" t="s">
        <v>2970</v>
      </c>
    </row>
    <row r="266" spans="1:11" x14ac:dyDescent="0.25">
      <c r="A266" s="47" t="s">
        <v>5158</v>
      </c>
      <c r="D266" s="47">
        <v>263</v>
      </c>
      <c r="E266" s="188" t="s">
        <v>4986</v>
      </c>
      <c r="F266" s="188" t="s">
        <v>2970</v>
      </c>
      <c r="G266" s="188" t="s">
        <v>2970</v>
      </c>
      <c r="H266" s="188" t="s">
        <v>2970</v>
      </c>
      <c r="I266" s="188" t="s">
        <v>2970</v>
      </c>
      <c r="J266" s="188" t="s">
        <v>2970</v>
      </c>
      <c r="K266" s="188" t="s">
        <v>2970</v>
      </c>
    </row>
    <row r="267" spans="1:11" x14ac:dyDescent="0.25">
      <c r="A267" s="47" t="s">
        <v>5159</v>
      </c>
      <c r="D267" s="47">
        <v>264</v>
      </c>
      <c r="E267" s="188" t="s">
        <v>3833</v>
      </c>
      <c r="F267" s="188" t="s">
        <v>2970</v>
      </c>
      <c r="G267" s="188" t="s">
        <v>2970</v>
      </c>
      <c r="H267" s="188" t="s">
        <v>2970</v>
      </c>
      <c r="I267" s="188" t="s">
        <v>2970</v>
      </c>
      <c r="J267" s="188" t="s">
        <v>2970</v>
      </c>
      <c r="K267" s="188" t="s">
        <v>2970</v>
      </c>
    </row>
    <row r="268" spans="1:11" x14ac:dyDescent="0.25">
      <c r="A268" s="47" t="s">
        <v>5160</v>
      </c>
      <c r="D268" s="47">
        <v>265</v>
      </c>
      <c r="E268" s="188" t="s">
        <v>4987</v>
      </c>
      <c r="F268" s="188" t="s">
        <v>2970</v>
      </c>
      <c r="G268" s="188" t="s">
        <v>2970</v>
      </c>
      <c r="H268" s="188" t="s">
        <v>2970</v>
      </c>
      <c r="I268" s="188" t="s">
        <v>2970</v>
      </c>
      <c r="J268" s="188" t="s">
        <v>2970</v>
      </c>
      <c r="K268" s="188" t="s">
        <v>2970</v>
      </c>
    </row>
    <row r="269" spans="1:11" x14ac:dyDescent="0.25">
      <c r="A269" s="47" t="s">
        <v>5161</v>
      </c>
      <c r="D269" s="47">
        <v>266</v>
      </c>
      <c r="E269" s="188" t="s">
        <v>3836</v>
      </c>
      <c r="F269" s="188" t="s">
        <v>2970</v>
      </c>
      <c r="G269" s="188" t="s">
        <v>2970</v>
      </c>
      <c r="H269" s="188" t="s">
        <v>2970</v>
      </c>
      <c r="I269" s="188" t="s">
        <v>2970</v>
      </c>
      <c r="J269" s="188" t="s">
        <v>2970</v>
      </c>
      <c r="K269" s="188" t="s">
        <v>2970</v>
      </c>
    </row>
    <row r="270" spans="1:11" x14ac:dyDescent="0.25">
      <c r="A270" s="47" t="s">
        <v>5162</v>
      </c>
      <c r="D270" s="47">
        <v>267</v>
      </c>
      <c r="E270" s="188" t="s">
        <v>4988</v>
      </c>
      <c r="F270" s="188" t="s">
        <v>2970</v>
      </c>
      <c r="G270" s="188" t="s">
        <v>2970</v>
      </c>
      <c r="H270" s="188" t="s">
        <v>2970</v>
      </c>
      <c r="I270" s="188" t="s">
        <v>2970</v>
      </c>
      <c r="J270" s="188" t="s">
        <v>2970</v>
      </c>
      <c r="K270" s="188" t="s">
        <v>2970</v>
      </c>
    </row>
    <row r="271" spans="1:11" x14ac:dyDescent="0.25">
      <c r="A271" s="47" t="s">
        <v>5163</v>
      </c>
      <c r="D271" s="47">
        <v>268</v>
      </c>
      <c r="E271" s="188" t="s">
        <v>4989</v>
      </c>
      <c r="F271" s="188" t="s">
        <v>2970</v>
      </c>
      <c r="G271" s="188" t="s">
        <v>2970</v>
      </c>
      <c r="H271" s="188" t="s">
        <v>2970</v>
      </c>
      <c r="I271" s="188" t="s">
        <v>2970</v>
      </c>
      <c r="J271" s="188" t="s">
        <v>2970</v>
      </c>
      <c r="K271" s="188" t="s">
        <v>2970</v>
      </c>
    </row>
    <row r="272" spans="1:11" x14ac:dyDescent="0.25">
      <c r="A272" s="47" t="s">
        <v>5164</v>
      </c>
      <c r="D272" s="47">
        <v>269</v>
      </c>
      <c r="E272" s="188" t="s">
        <v>3837</v>
      </c>
      <c r="F272" s="188" t="s">
        <v>2970</v>
      </c>
      <c r="G272" s="188" t="s">
        <v>2970</v>
      </c>
      <c r="H272" s="188" t="s">
        <v>2970</v>
      </c>
      <c r="I272" s="188" t="s">
        <v>2970</v>
      </c>
      <c r="J272" s="188" t="s">
        <v>2970</v>
      </c>
      <c r="K272" s="188" t="s">
        <v>2970</v>
      </c>
    </row>
    <row r="273" spans="1:11" x14ac:dyDescent="0.25">
      <c r="A273" s="47" t="s">
        <v>5165</v>
      </c>
      <c r="B273" s="47" t="s">
        <v>4642</v>
      </c>
      <c r="D273" s="47">
        <v>270</v>
      </c>
      <c r="E273" s="188" t="s">
        <v>4990</v>
      </c>
      <c r="F273" s="188" t="s">
        <v>2970</v>
      </c>
      <c r="G273" s="188" t="s">
        <v>2970</v>
      </c>
      <c r="H273" s="188" t="s">
        <v>2970</v>
      </c>
      <c r="I273" s="188" t="s">
        <v>2970</v>
      </c>
      <c r="J273" s="188" t="s">
        <v>2970</v>
      </c>
      <c r="K273" s="188" t="s">
        <v>2970</v>
      </c>
    </row>
    <row r="274" spans="1:11" x14ac:dyDescent="0.25">
      <c r="A274" s="47" t="s">
        <v>5166</v>
      </c>
      <c r="B274" s="47" t="s">
        <v>4643</v>
      </c>
      <c r="D274" s="47">
        <v>271</v>
      </c>
      <c r="E274" s="188" t="s">
        <v>4991</v>
      </c>
      <c r="F274" s="188" t="s">
        <v>2970</v>
      </c>
      <c r="G274" s="188" t="s">
        <v>2970</v>
      </c>
      <c r="H274" s="188" t="s">
        <v>2970</v>
      </c>
      <c r="I274" s="188" t="s">
        <v>2970</v>
      </c>
      <c r="J274" s="188" t="s">
        <v>2970</v>
      </c>
      <c r="K274" s="188" t="s">
        <v>2970</v>
      </c>
    </row>
    <row r="275" spans="1:11" x14ac:dyDescent="0.25">
      <c r="A275" s="47" t="s">
        <v>5167</v>
      </c>
      <c r="B275" s="47" t="s">
        <v>4644</v>
      </c>
      <c r="D275" s="47">
        <v>272</v>
      </c>
      <c r="E275" s="188" t="s">
        <v>4992</v>
      </c>
      <c r="F275" s="188" t="s">
        <v>2970</v>
      </c>
      <c r="G275" s="188" t="s">
        <v>2970</v>
      </c>
      <c r="H275" s="188" t="s">
        <v>2970</v>
      </c>
      <c r="I275" s="188" t="s">
        <v>2970</v>
      </c>
      <c r="J275" s="188" t="s">
        <v>2970</v>
      </c>
      <c r="K275" s="188">
        <v>125</v>
      </c>
    </row>
    <row r="276" spans="1:11" x14ac:dyDescent="0.25">
      <c r="A276" s="47" t="s">
        <v>5168</v>
      </c>
      <c r="B276" s="47" t="s">
        <v>4645</v>
      </c>
      <c r="D276" s="47">
        <v>273</v>
      </c>
      <c r="E276" s="188" t="s">
        <v>4993</v>
      </c>
      <c r="F276" s="188" t="s">
        <v>2970</v>
      </c>
      <c r="G276" s="188" t="s">
        <v>2970</v>
      </c>
      <c r="H276" s="188" t="s">
        <v>2970</v>
      </c>
      <c r="I276" s="188" t="s">
        <v>2970</v>
      </c>
      <c r="J276" s="188" t="s">
        <v>2970</v>
      </c>
      <c r="K276" s="188">
        <v>126</v>
      </c>
    </row>
    <row r="277" spans="1:11" x14ac:dyDescent="0.25">
      <c r="A277" s="47" t="s">
        <v>5169</v>
      </c>
      <c r="B277" s="47" t="s">
        <v>4646</v>
      </c>
      <c r="D277" s="47">
        <v>274</v>
      </c>
      <c r="E277" s="188" t="s">
        <v>4994</v>
      </c>
      <c r="F277" s="188" t="s">
        <v>2970</v>
      </c>
      <c r="G277" s="188" t="s">
        <v>2970</v>
      </c>
      <c r="H277" s="188" t="s">
        <v>2970</v>
      </c>
      <c r="I277" s="188" t="s">
        <v>2970</v>
      </c>
      <c r="J277" s="188" t="s">
        <v>2970</v>
      </c>
      <c r="K277" s="188">
        <v>127</v>
      </c>
    </row>
    <row r="278" spans="1:11" x14ac:dyDescent="0.25">
      <c r="A278" s="47" t="s">
        <v>5170</v>
      </c>
      <c r="D278" s="47">
        <v>275</v>
      </c>
      <c r="E278" s="188" t="s">
        <v>4995</v>
      </c>
      <c r="F278" s="188" t="s">
        <v>2970</v>
      </c>
      <c r="G278" s="188" t="s">
        <v>2970</v>
      </c>
      <c r="H278" s="188" t="s">
        <v>2970</v>
      </c>
      <c r="I278" s="188" t="s">
        <v>2970</v>
      </c>
      <c r="J278" s="188" t="s">
        <v>2970</v>
      </c>
      <c r="K278" s="188">
        <v>128</v>
      </c>
    </row>
    <row r="279" spans="1:11" x14ac:dyDescent="0.25">
      <c r="A279" s="47" t="s">
        <v>5171</v>
      </c>
      <c r="D279" s="47">
        <v>276</v>
      </c>
      <c r="E279" s="188" t="s">
        <v>4996</v>
      </c>
      <c r="F279" s="188" t="s">
        <v>2970</v>
      </c>
      <c r="G279" s="188" t="s">
        <v>2970</v>
      </c>
      <c r="H279" s="188" t="s">
        <v>2970</v>
      </c>
      <c r="I279" s="188" t="s">
        <v>2970</v>
      </c>
      <c r="J279" s="188" t="s">
        <v>2970</v>
      </c>
      <c r="K279" s="188">
        <v>129</v>
      </c>
    </row>
    <row r="280" spans="1:11" x14ac:dyDescent="0.25">
      <c r="A280" s="47" t="s">
        <v>5172</v>
      </c>
      <c r="D280" s="47">
        <v>277</v>
      </c>
      <c r="E280" s="188" t="s">
        <v>4996</v>
      </c>
      <c r="F280" s="188" t="s">
        <v>2970</v>
      </c>
      <c r="G280" s="188" t="s">
        <v>2970</v>
      </c>
      <c r="H280" s="188" t="s">
        <v>2970</v>
      </c>
      <c r="I280" s="188" t="s">
        <v>2970</v>
      </c>
      <c r="J280" s="188" t="s">
        <v>2970</v>
      </c>
      <c r="K280" s="188">
        <v>130</v>
      </c>
    </row>
    <row r="281" spans="1:11" x14ac:dyDescent="0.25">
      <c r="A281" s="47" t="s">
        <v>5173</v>
      </c>
      <c r="D281" s="47">
        <v>278</v>
      </c>
      <c r="E281" s="188" t="s">
        <v>2970</v>
      </c>
      <c r="F281" s="188" t="s">
        <v>2970</v>
      </c>
      <c r="G281" s="188" t="s">
        <v>2970</v>
      </c>
      <c r="H281" s="188" t="s">
        <v>2970</v>
      </c>
      <c r="I281" s="188" t="s">
        <v>2970</v>
      </c>
      <c r="J281" s="188" t="s">
        <v>2970</v>
      </c>
      <c r="K281" s="188">
        <v>131</v>
      </c>
    </row>
    <row r="282" spans="1:11" x14ac:dyDescent="0.25">
      <c r="A282" s="47" t="s">
        <v>5174</v>
      </c>
      <c r="D282" s="47">
        <v>279</v>
      </c>
      <c r="E282" s="188" t="s">
        <v>4997</v>
      </c>
      <c r="F282" s="188" t="s">
        <v>2970</v>
      </c>
      <c r="G282" s="188" t="s">
        <v>2970</v>
      </c>
      <c r="H282" s="188" t="s">
        <v>2970</v>
      </c>
      <c r="I282" s="188" t="s">
        <v>2970</v>
      </c>
      <c r="J282" s="188" t="s">
        <v>2970</v>
      </c>
      <c r="K282" s="188">
        <v>132</v>
      </c>
    </row>
    <row r="283" spans="1:11" x14ac:dyDescent="0.25">
      <c r="A283" s="47" t="s">
        <v>5175</v>
      </c>
      <c r="D283" s="47">
        <v>280</v>
      </c>
      <c r="E283" s="188" t="s">
        <v>4998</v>
      </c>
      <c r="F283" s="188" t="s">
        <v>2970</v>
      </c>
      <c r="G283" s="188" t="s">
        <v>2970</v>
      </c>
      <c r="H283" s="188" t="s">
        <v>2970</v>
      </c>
      <c r="I283" s="188" t="s">
        <v>2970</v>
      </c>
      <c r="J283" s="188" t="s">
        <v>2970</v>
      </c>
      <c r="K283" s="188">
        <v>133</v>
      </c>
    </row>
    <row r="284" spans="1:11" x14ac:dyDescent="0.25">
      <c r="A284" s="47" t="s">
        <v>5176</v>
      </c>
      <c r="D284" s="47">
        <v>281</v>
      </c>
      <c r="E284" s="188" t="s">
        <v>4999</v>
      </c>
      <c r="F284" s="188" t="s">
        <v>2970</v>
      </c>
      <c r="G284" s="188" t="s">
        <v>2970</v>
      </c>
      <c r="H284" s="188" t="s">
        <v>2970</v>
      </c>
      <c r="I284" s="188" t="s">
        <v>2970</v>
      </c>
      <c r="J284" s="188" t="s">
        <v>2970</v>
      </c>
      <c r="K284" s="188" t="s">
        <v>2970</v>
      </c>
    </row>
    <row r="285" spans="1:11" x14ac:dyDescent="0.25">
      <c r="A285" s="47" t="s">
        <v>5177</v>
      </c>
      <c r="D285" s="47">
        <v>282</v>
      </c>
      <c r="E285" s="188" t="s">
        <v>5000</v>
      </c>
      <c r="F285" s="188" t="s">
        <v>2970</v>
      </c>
      <c r="G285" s="188" t="s">
        <v>2970</v>
      </c>
      <c r="H285" s="188" t="s">
        <v>2970</v>
      </c>
      <c r="I285" s="188" t="s">
        <v>2970</v>
      </c>
      <c r="J285" s="188" t="s">
        <v>2970</v>
      </c>
      <c r="K285" s="188">
        <v>134</v>
      </c>
    </row>
    <row r="286" spans="1:11" x14ac:dyDescent="0.25">
      <c r="A286" s="47" t="s">
        <v>5178</v>
      </c>
      <c r="D286" s="47">
        <v>283</v>
      </c>
      <c r="E286" s="188" t="s">
        <v>5001</v>
      </c>
      <c r="F286" s="188" t="s">
        <v>2970</v>
      </c>
      <c r="G286" s="188" t="s">
        <v>2970</v>
      </c>
      <c r="H286" s="188" t="s">
        <v>2970</v>
      </c>
      <c r="I286" s="188" t="s">
        <v>2970</v>
      </c>
      <c r="J286" s="188" t="s">
        <v>2970</v>
      </c>
      <c r="K286" s="188">
        <v>135</v>
      </c>
    </row>
    <row r="287" spans="1:11" x14ac:dyDescent="0.25">
      <c r="A287" s="47" t="s">
        <v>5179</v>
      </c>
      <c r="D287" s="47">
        <v>284</v>
      </c>
      <c r="E287" s="188" t="s">
        <v>5002</v>
      </c>
      <c r="F287" s="188" t="s">
        <v>2970</v>
      </c>
      <c r="G287" s="188" t="s">
        <v>2970</v>
      </c>
      <c r="H287" s="188" t="s">
        <v>2970</v>
      </c>
      <c r="I287" s="188" t="s">
        <v>2970</v>
      </c>
      <c r="J287" s="188" t="s">
        <v>2970</v>
      </c>
      <c r="K287" s="188">
        <v>136</v>
      </c>
    </row>
    <row r="288" spans="1:11" x14ac:dyDescent="0.25">
      <c r="A288" s="47" t="s">
        <v>5180</v>
      </c>
      <c r="B288" s="47" t="s">
        <v>4647</v>
      </c>
      <c r="D288" s="47">
        <v>285</v>
      </c>
      <c r="E288" s="188" t="s">
        <v>5003</v>
      </c>
      <c r="F288" s="188" t="s">
        <v>2970</v>
      </c>
      <c r="G288" s="188" t="s">
        <v>2970</v>
      </c>
      <c r="H288" s="188" t="s">
        <v>2970</v>
      </c>
      <c r="I288" s="188" t="s">
        <v>2970</v>
      </c>
      <c r="J288" s="188" t="s">
        <v>2970</v>
      </c>
      <c r="K288" s="188">
        <v>137</v>
      </c>
    </row>
    <row r="289" spans="1:11" x14ac:dyDescent="0.25">
      <c r="A289" s="47" t="s">
        <v>5181</v>
      </c>
      <c r="B289" s="47" t="s">
        <v>4648</v>
      </c>
      <c r="D289" s="47">
        <v>286</v>
      </c>
      <c r="E289" s="188" t="s">
        <v>5004</v>
      </c>
      <c r="F289" s="188" t="s">
        <v>2970</v>
      </c>
      <c r="G289" s="188" t="s">
        <v>2970</v>
      </c>
      <c r="H289" s="188" t="s">
        <v>2970</v>
      </c>
      <c r="I289" s="188" t="s">
        <v>2970</v>
      </c>
      <c r="J289" s="188" t="s">
        <v>2970</v>
      </c>
      <c r="K289" s="188">
        <v>138</v>
      </c>
    </row>
    <row r="290" spans="1:11" x14ac:dyDescent="0.25">
      <c r="A290" s="47" t="s">
        <v>5182</v>
      </c>
      <c r="B290" s="47" t="s">
        <v>4649</v>
      </c>
      <c r="D290" s="47">
        <v>287</v>
      </c>
      <c r="E290" s="188" t="s">
        <v>5005</v>
      </c>
      <c r="F290" s="188" t="s">
        <v>2970</v>
      </c>
      <c r="G290" s="188" t="s">
        <v>2970</v>
      </c>
      <c r="H290" s="188" t="s">
        <v>2970</v>
      </c>
      <c r="I290" s="188" t="s">
        <v>2970</v>
      </c>
      <c r="J290" s="188" t="s">
        <v>2970</v>
      </c>
      <c r="K290" s="188">
        <v>139</v>
      </c>
    </row>
    <row r="291" spans="1:11" x14ac:dyDescent="0.25">
      <c r="A291" s="47" t="s">
        <v>5183</v>
      </c>
      <c r="B291" s="47" t="s">
        <v>4650</v>
      </c>
      <c r="D291" s="47">
        <v>288</v>
      </c>
      <c r="E291" s="188" t="s">
        <v>5006</v>
      </c>
      <c r="F291" s="188" t="s">
        <v>2970</v>
      </c>
      <c r="G291" s="188" t="s">
        <v>2970</v>
      </c>
      <c r="H291" s="188" t="s">
        <v>2970</v>
      </c>
      <c r="I291" s="188" t="s">
        <v>2970</v>
      </c>
      <c r="J291" s="188" t="s">
        <v>2970</v>
      </c>
      <c r="K291" s="188">
        <v>140</v>
      </c>
    </row>
    <row r="292" spans="1:11" x14ac:dyDescent="0.25">
      <c r="A292" s="47" t="s">
        <v>5184</v>
      </c>
      <c r="D292" s="47">
        <v>289</v>
      </c>
      <c r="E292" s="188" t="s">
        <v>5007</v>
      </c>
      <c r="F292" s="188" t="s">
        <v>2970</v>
      </c>
      <c r="G292" s="188" t="s">
        <v>2970</v>
      </c>
      <c r="H292" s="188" t="s">
        <v>2970</v>
      </c>
      <c r="I292" s="188" t="s">
        <v>2970</v>
      </c>
      <c r="J292" s="188" t="s">
        <v>2970</v>
      </c>
      <c r="K292" s="188" t="s">
        <v>2970</v>
      </c>
    </row>
    <row r="293" spans="1:11" x14ac:dyDescent="0.25">
      <c r="A293" s="47" t="s">
        <v>5185</v>
      </c>
      <c r="D293" s="47">
        <v>290</v>
      </c>
      <c r="E293" s="188" t="s">
        <v>5008</v>
      </c>
      <c r="F293" s="188" t="s">
        <v>2970</v>
      </c>
      <c r="G293" s="188" t="s">
        <v>2970</v>
      </c>
      <c r="H293" s="188" t="s">
        <v>2970</v>
      </c>
      <c r="I293" s="188" t="s">
        <v>2970</v>
      </c>
      <c r="J293" s="188" t="s">
        <v>2970</v>
      </c>
      <c r="K293" s="188" t="s">
        <v>2970</v>
      </c>
    </row>
    <row r="294" spans="1:11" x14ac:dyDescent="0.25">
      <c r="A294" s="47" t="s">
        <v>5186</v>
      </c>
      <c r="D294" s="47">
        <v>291</v>
      </c>
      <c r="E294" s="188" t="s">
        <v>5009</v>
      </c>
      <c r="F294" s="188" t="s">
        <v>2970</v>
      </c>
      <c r="G294" s="188" t="s">
        <v>2970</v>
      </c>
      <c r="H294" s="188" t="s">
        <v>2970</v>
      </c>
      <c r="I294" s="188" t="s">
        <v>2970</v>
      </c>
      <c r="J294" s="188" t="s">
        <v>2970</v>
      </c>
      <c r="K294" s="188" t="s">
        <v>2970</v>
      </c>
    </row>
    <row r="295" spans="1:11" x14ac:dyDescent="0.25">
      <c r="A295" s="47" t="s">
        <v>5187</v>
      </c>
      <c r="D295" s="47">
        <v>292</v>
      </c>
      <c r="E295" s="188" t="s">
        <v>5010</v>
      </c>
      <c r="F295" s="188" t="s">
        <v>2970</v>
      </c>
      <c r="G295" s="188" t="s">
        <v>2970</v>
      </c>
      <c r="H295" s="188" t="s">
        <v>2970</v>
      </c>
      <c r="I295" s="188" t="s">
        <v>2970</v>
      </c>
      <c r="J295" s="188" t="s">
        <v>2970</v>
      </c>
      <c r="K295" s="188" t="s">
        <v>2970</v>
      </c>
    </row>
    <row r="296" spans="1:11" x14ac:dyDescent="0.25">
      <c r="A296" s="47" t="s">
        <v>5188</v>
      </c>
      <c r="D296" s="47">
        <v>293</v>
      </c>
      <c r="E296" s="188" t="s">
        <v>2970</v>
      </c>
      <c r="F296" s="188" t="s">
        <v>2970</v>
      </c>
      <c r="G296" s="188" t="s">
        <v>2970</v>
      </c>
      <c r="H296" s="188" t="s">
        <v>2970</v>
      </c>
      <c r="I296" s="188" t="s">
        <v>2970</v>
      </c>
      <c r="J296" s="188" t="s">
        <v>2970</v>
      </c>
      <c r="K296" s="188">
        <v>141</v>
      </c>
    </row>
    <row r="297" spans="1:11" x14ac:dyDescent="0.25">
      <c r="A297" s="47" t="s">
        <v>5189</v>
      </c>
      <c r="D297" s="47">
        <v>294</v>
      </c>
      <c r="E297" s="188" t="s">
        <v>2970</v>
      </c>
      <c r="F297" s="188" t="s">
        <v>2970</v>
      </c>
      <c r="G297" s="188" t="s">
        <v>2970</v>
      </c>
      <c r="H297" s="188" t="s">
        <v>2970</v>
      </c>
      <c r="I297" s="188" t="s">
        <v>2970</v>
      </c>
      <c r="J297" s="188" t="s">
        <v>2970</v>
      </c>
      <c r="K297" s="188">
        <v>147</v>
      </c>
    </row>
    <row r="298" spans="1:11" x14ac:dyDescent="0.25">
      <c r="A298" s="47" t="s">
        <v>5190</v>
      </c>
      <c r="D298" s="47">
        <v>295</v>
      </c>
      <c r="E298" s="188" t="s">
        <v>5011</v>
      </c>
      <c r="F298" s="188" t="s">
        <v>2970</v>
      </c>
      <c r="G298" s="188" t="s">
        <v>2970</v>
      </c>
      <c r="H298" s="188" t="s">
        <v>2970</v>
      </c>
      <c r="I298" s="188" t="s">
        <v>2970</v>
      </c>
      <c r="J298" s="188" t="s">
        <v>2970</v>
      </c>
      <c r="K298" s="188">
        <v>148</v>
      </c>
    </row>
    <row r="299" spans="1:11" x14ac:dyDescent="0.25">
      <c r="A299" s="47" t="s">
        <v>5191</v>
      </c>
      <c r="D299" s="47">
        <v>296</v>
      </c>
      <c r="E299" s="188" t="s">
        <v>5012</v>
      </c>
      <c r="F299" s="188" t="s">
        <v>3838</v>
      </c>
      <c r="G299" s="188" t="s">
        <v>2970</v>
      </c>
      <c r="H299" s="188" t="s">
        <v>2970</v>
      </c>
      <c r="I299" s="188" t="s">
        <v>2970</v>
      </c>
      <c r="J299" s="188" t="s">
        <v>2970</v>
      </c>
      <c r="K299" s="188" t="s">
        <v>2970</v>
      </c>
    </row>
    <row r="300" spans="1:11" x14ac:dyDescent="0.25">
      <c r="A300" s="47" t="s">
        <v>5192</v>
      </c>
      <c r="D300" s="47">
        <v>297</v>
      </c>
      <c r="E300" s="188" t="s">
        <v>2970</v>
      </c>
      <c r="F300" s="188" t="s">
        <v>2970</v>
      </c>
      <c r="G300" s="188" t="s">
        <v>2970</v>
      </c>
      <c r="H300" s="188" t="s">
        <v>2970</v>
      </c>
      <c r="I300" s="188" t="s">
        <v>2970</v>
      </c>
      <c r="J300" s="188" t="s">
        <v>2970</v>
      </c>
      <c r="K300" s="188">
        <v>142</v>
      </c>
    </row>
    <row r="301" spans="1:11" x14ac:dyDescent="0.25">
      <c r="A301" s="47" t="s">
        <v>5193</v>
      </c>
      <c r="D301" s="47">
        <v>298</v>
      </c>
      <c r="E301" s="188" t="s">
        <v>5012</v>
      </c>
      <c r="F301" s="188" t="s">
        <v>3838</v>
      </c>
      <c r="G301" s="188" t="s">
        <v>3838</v>
      </c>
      <c r="H301" s="188" t="s">
        <v>2970</v>
      </c>
      <c r="I301" s="188" t="s">
        <v>2970</v>
      </c>
      <c r="J301" s="188" t="s">
        <v>2970</v>
      </c>
      <c r="K301" s="188">
        <v>143</v>
      </c>
    </row>
    <row r="302" spans="1:11" x14ac:dyDescent="0.25">
      <c r="A302" s="47" t="s">
        <v>5194</v>
      </c>
      <c r="D302" s="47">
        <v>299</v>
      </c>
      <c r="E302" s="188" t="s">
        <v>5012</v>
      </c>
      <c r="F302" s="188" t="s">
        <v>3838</v>
      </c>
      <c r="G302" s="188" t="s">
        <v>4967</v>
      </c>
      <c r="H302" s="188" t="s">
        <v>2970</v>
      </c>
      <c r="I302" s="188" t="s">
        <v>2970</v>
      </c>
      <c r="J302" s="188" t="s">
        <v>2970</v>
      </c>
      <c r="K302" s="188">
        <v>144</v>
      </c>
    </row>
    <row r="303" spans="1:11" x14ac:dyDescent="0.25">
      <c r="A303" s="47" t="s">
        <v>5195</v>
      </c>
      <c r="D303" s="47">
        <v>300</v>
      </c>
      <c r="E303" s="188" t="s">
        <v>5012</v>
      </c>
      <c r="F303" s="188" t="s">
        <v>3838</v>
      </c>
      <c r="G303" s="188" t="s">
        <v>4970</v>
      </c>
      <c r="H303" s="188" t="s">
        <v>2970</v>
      </c>
      <c r="I303" s="188" t="s">
        <v>2970</v>
      </c>
      <c r="J303" s="188" t="s">
        <v>2970</v>
      </c>
      <c r="K303" s="188">
        <v>145</v>
      </c>
    </row>
    <row r="304" spans="1:11" x14ac:dyDescent="0.25">
      <c r="A304" s="47" t="s">
        <v>5196</v>
      </c>
      <c r="B304" s="47" t="s">
        <v>4651</v>
      </c>
      <c r="D304" s="47">
        <v>301</v>
      </c>
      <c r="E304" s="188" t="s">
        <v>5012</v>
      </c>
      <c r="F304" s="188" t="s">
        <v>3838</v>
      </c>
      <c r="G304" s="188" t="s">
        <v>4971</v>
      </c>
      <c r="H304" s="188" t="s">
        <v>2970</v>
      </c>
      <c r="I304" s="188" t="s">
        <v>2970</v>
      </c>
      <c r="J304" s="188" t="s">
        <v>2970</v>
      </c>
      <c r="K304" s="188">
        <v>146</v>
      </c>
    </row>
    <row r="305" spans="1:11" x14ac:dyDescent="0.25">
      <c r="A305" s="47" t="s">
        <v>5197</v>
      </c>
      <c r="B305" s="47" t="s">
        <v>4652</v>
      </c>
      <c r="D305" s="47">
        <v>302</v>
      </c>
      <c r="E305" s="188" t="s">
        <v>5013</v>
      </c>
      <c r="F305" s="188" t="s">
        <v>2970</v>
      </c>
      <c r="G305" s="188" t="s">
        <v>2970</v>
      </c>
      <c r="H305" s="188" t="s">
        <v>2970</v>
      </c>
      <c r="I305" s="188" t="s">
        <v>2970</v>
      </c>
      <c r="J305" s="188" t="s">
        <v>2970</v>
      </c>
      <c r="K305" s="188" t="s">
        <v>2970</v>
      </c>
    </row>
    <row r="306" spans="1:11" x14ac:dyDescent="0.25">
      <c r="A306" s="47" t="s">
        <v>5198</v>
      </c>
      <c r="B306" s="47" t="s">
        <v>4653</v>
      </c>
      <c r="D306" s="47">
        <v>303</v>
      </c>
      <c r="E306" s="188" t="s">
        <v>5014</v>
      </c>
      <c r="F306" s="188" t="s">
        <v>2970</v>
      </c>
      <c r="G306" s="188" t="s">
        <v>2970</v>
      </c>
      <c r="H306" s="188" t="s">
        <v>2970</v>
      </c>
      <c r="I306" s="188" t="s">
        <v>2970</v>
      </c>
      <c r="J306" s="188" t="s">
        <v>2970</v>
      </c>
      <c r="K306" s="188" t="s">
        <v>2970</v>
      </c>
    </row>
    <row r="307" spans="1:11" x14ac:dyDescent="0.25">
      <c r="A307" s="47" t="s">
        <v>5199</v>
      </c>
      <c r="B307" s="47" t="s">
        <v>4654</v>
      </c>
      <c r="D307" s="47">
        <v>304</v>
      </c>
      <c r="E307" s="188" t="s">
        <v>5015</v>
      </c>
      <c r="F307" s="188" t="s">
        <v>2970</v>
      </c>
      <c r="G307" s="188" t="s">
        <v>2970</v>
      </c>
      <c r="H307" s="188" t="s">
        <v>2970</v>
      </c>
      <c r="I307" s="188" t="s">
        <v>2970</v>
      </c>
      <c r="J307" s="188" t="s">
        <v>2970</v>
      </c>
      <c r="K307" s="188" t="s">
        <v>2970</v>
      </c>
    </row>
    <row r="308" spans="1:11" x14ac:dyDescent="0.25">
      <c r="A308" s="47" t="s">
        <v>5200</v>
      </c>
      <c r="B308" s="47" t="s">
        <v>4655</v>
      </c>
      <c r="D308" s="47">
        <v>305</v>
      </c>
      <c r="E308" s="188" t="s">
        <v>5016</v>
      </c>
      <c r="F308" s="188" t="s">
        <v>2970</v>
      </c>
      <c r="G308" s="188" t="s">
        <v>2970</v>
      </c>
      <c r="H308" s="188" t="s">
        <v>2970</v>
      </c>
      <c r="I308" s="188" t="s">
        <v>2970</v>
      </c>
      <c r="J308" s="188" t="s">
        <v>2970</v>
      </c>
      <c r="K308" s="188" t="s">
        <v>2970</v>
      </c>
    </row>
    <row r="309" spans="1:11" x14ac:dyDescent="0.25">
      <c r="A309" s="47" t="s">
        <v>5201</v>
      </c>
      <c r="B309" s="47" t="s">
        <v>4656</v>
      </c>
      <c r="D309" s="47">
        <v>306</v>
      </c>
      <c r="E309" s="188" t="s">
        <v>5017</v>
      </c>
      <c r="F309" s="188" t="s">
        <v>2970</v>
      </c>
      <c r="G309" s="188" t="s">
        <v>2970</v>
      </c>
      <c r="H309" s="188" t="s">
        <v>2970</v>
      </c>
      <c r="I309" s="188" t="s">
        <v>2970</v>
      </c>
      <c r="J309" s="188" t="s">
        <v>2970</v>
      </c>
      <c r="K309" s="188" t="s">
        <v>2970</v>
      </c>
    </row>
    <row r="310" spans="1:11" x14ac:dyDescent="0.25">
      <c r="A310" s="47" t="s">
        <v>5202</v>
      </c>
      <c r="B310" s="47" t="s">
        <v>4657</v>
      </c>
      <c r="D310" s="47">
        <v>307</v>
      </c>
      <c r="E310" s="188" t="s">
        <v>5018</v>
      </c>
      <c r="F310" s="188" t="s">
        <v>2970</v>
      </c>
      <c r="G310" s="188" t="s">
        <v>2970</v>
      </c>
      <c r="H310" s="188" t="s">
        <v>2970</v>
      </c>
      <c r="I310" s="188" t="s">
        <v>2970</v>
      </c>
      <c r="J310" s="188" t="s">
        <v>2970</v>
      </c>
      <c r="K310" s="188" t="s">
        <v>2970</v>
      </c>
    </row>
    <row r="311" spans="1:11" x14ac:dyDescent="0.25">
      <c r="A311" s="47" t="s">
        <v>5203</v>
      </c>
      <c r="B311" s="47" t="s">
        <v>4658</v>
      </c>
      <c r="D311" s="47">
        <v>308</v>
      </c>
      <c r="E311" s="188" t="s">
        <v>5019</v>
      </c>
      <c r="F311" s="188" t="s">
        <v>2970</v>
      </c>
      <c r="G311" s="188" t="s">
        <v>2970</v>
      </c>
      <c r="H311" s="188" t="s">
        <v>2970</v>
      </c>
      <c r="I311" s="188" t="s">
        <v>2970</v>
      </c>
      <c r="J311" s="188" t="s">
        <v>2970</v>
      </c>
      <c r="K311" s="188">
        <v>149</v>
      </c>
    </row>
    <row r="312" spans="1:11" x14ac:dyDescent="0.25">
      <c r="A312" s="47" t="s">
        <v>5204</v>
      </c>
      <c r="B312" s="47" t="s">
        <v>4659</v>
      </c>
      <c r="D312" s="47">
        <v>309</v>
      </c>
      <c r="E312" s="188" t="s">
        <v>5020</v>
      </c>
      <c r="F312" s="188" t="s">
        <v>2970</v>
      </c>
      <c r="G312" s="188" t="s">
        <v>2970</v>
      </c>
      <c r="H312" s="188" t="s">
        <v>2970</v>
      </c>
      <c r="I312" s="188" t="s">
        <v>2970</v>
      </c>
      <c r="J312" s="188" t="s">
        <v>2970</v>
      </c>
      <c r="K312" s="188">
        <v>150</v>
      </c>
    </row>
    <row r="313" spans="1:11" x14ac:dyDescent="0.25">
      <c r="A313" s="47" t="s">
        <v>5205</v>
      </c>
      <c r="B313" s="47" t="s">
        <v>4660</v>
      </c>
      <c r="D313" s="47">
        <v>310</v>
      </c>
      <c r="E313" s="188" t="s">
        <v>5021</v>
      </c>
      <c r="F313" s="188" t="s">
        <v>2970</v>
      </c>
      <c r="G313" s="188" t="s">
        <v>2970</v>
      </c>
      <c r="H313" s="188" t="s">
        <v>2970</v>
      </c>
      <c r="I313" s="188" t="s">
        <v>2970</v>
      </c>
      <c r="J313" s="188" t="s">
        <v>2970</v>
      </c>
      <c r="K313" s="188">
        <v>151</v>
      </c>
    </row>
    <row r="314" spans="1:11" x14ac:dyDescent="0.25">
      <c r="A314" s="47" t="s">
        <v>5206</v>
      </c>
      <c r="B314" s="47" t="s">
        <v>4661</v>
      </c>
      <c r="D314" s="47">
        <v>311</v>
      </c>
      <c r="E314" s="188" t="s">
        <v>5022</v>
      </c>
      <c r="F314" s="188" t="s">
        <v>2970</v>
      </c>
      <c r="G314" s="188" t="s">
        <v>2970</v>
      </c>
      <c r="H314" s="188" t="s">
        <v>2970</v>
      </c>
      <c r="I314" s="188" t="s">
        <v>2970</v>
      </c>
      <c r="J314" s="188" t="s">
        <v>2970</v>
      </c>
      <c r="K314" s="188">
        <v>152</v>
      </c>
    </row>
    <row r="315" spans="1:11" x14ac:dyDescent="0.25">
      <c r="A315" s="47" t="s">
        <v>5207</v>
      </c>
      <c r="B315" s="47" t="s">
        <v>4662</v>
      </c>
      <c r="D315" s="47">
        <v>312</v>
      </c>
      <c r="E315" s="188" t="s">
        <v>5023</v>
      </c>
      <c r="F315" s="188" t="s">
        <v>2970</v>
      </c>
      <c r="G315" s="188" t="s">
        <v>2970</v>
      </c>
      <c r="H315" s="188" t="s">
        <v>2970</v>
      </c>
      <c r="I315" s="188" t="s">
        <v>2970</v>
      </c>
      <c r="J315" s="188" t="s">
        <v>2970</v>
      </c>
      <c r="K315" s="188">
        <v>153</v>
      </c>
    </row>
    <row r="316" spans="1:11" x14ac:dyDescent="0.25">
      <c r="A316" s="47" t="s">
        <v>5208</v>
      </c>
      <c r="B316" s="47" t="s">
        <v>4663</v>
      </c>
      <c r="D316" s="47">
        <v>313</v>
      </c>
      <c r="E316" s="188" t="s">
        <v>5023</v>
      </c>
      <c r="F316" s="188" t="s">
        <v>2970</v>
      </c>
      <c r="G316" s="188" t="s">
        <v>2970</v>
      </c>
      <c r="H316" s="188" t="s">
        <v>2970</v>
      </c>
      <c r="I316" s="188" t="s">
        <v>2970</v>
      </c>
      <c r="J316" s="188" t="s">
        <v>2970</v>
      </c>
      <c r="K316" s="188">
        <v>154</v>
      </c>
    </row>
    <row r="317" spans="1:11" x14ac:dyDescent="0.25">
      <c r="A317" s="47" t="s">
        <v>5209</v>
      </c>
      <c r="D317" s="47">
        <v>314</v>
      </c>
      <c r="E317" s="188" t="s">
        <v>2970</v>
      </c>
      <c r="F317" s="188" t="s">
        <v>2970</v>
      </c>
      <c r="G317" s="188" t="s">
        <v>2970</v>
      </c>
      <c r="H317" s="188" t="s">
        <v>2970</v>
      </c>
      <c r="I317" s="188" t="s">
        <v>2970</v>
      </c>
      <c r="J317" s="188" t="s">
        <v>2970</v>
      </c>
      <c r="K317" s="188">
        <v>155</v>
      </c>
    </row>
    <row r="318" spans="1:11" x14ac:dyDescent="0.25">
      <c r="A318" s="47" t="s">
        <v>5210</v>
      </c>
      <c r="D318" s="47">
        <v>315</v>
      </c>
      <c r="E318" s="188" t="s">
        <v>5024</v>
      </c>
      <c r="F318" s="188" t="s">
        <v>2970</v>
      </c>
      <c r="G318" s="188" t="s">
        <v>2970</v>
      </c>
      <c r="H318" s="188" t="s">
        <v>2970</v>
      </c>
      <c r="I318" s="188" t="s">
        <v>2970</v>
      </c>
      <c r="J318" s="188" t="s">
        <v>2970</v>
      </c>
      <c r="K318" s="188">
        <v>156</v>
      </c>
    </row>
    <row r="319" spans="1:11" x14ac:dyDescent="0.25">
      <c r="A319" s="47" t="s">
        <v>5211</v>
      </c>
      <c r="D319" s="47">
        <v>316</v>
      </c>
      <c r="E319" s="188" t="s">
        <v>5025</v>
      </c>
      <c r="F319" s="188" t="s">
        <v>2970</v>
      </c>
      <c r="G319" s="188" t="s">
        <v>2970</v>
      </c>
      <c r="H319" s="188" t="s">
        <v>2970</v>
      </c>
      <c r="I319" s="188" t="s">
        <v>2970</v>
      </c>
      <c r="J319" s="188" t="s">
        <v>2970</v>
      </c>
      <c r="K319" s="188">
        <v>157</v>
      </c>
    </row>
    <row r="320" spans="1:11" x14ac:dyDescent="0.25">
      <c r="A320" s="47" t="s">
        <v>5212</v>
      </c>
      <c r="D320" s="47">
        <v>317</v>
      </c>
      <c r="E320" s="188" t="s">
        <v>5026</v>
      </c>
      <c r="F320" s="188" t="s">
        <v>2970</v>
      </c>
      <c r="G320" s="188" t="s">
        <v>2970</v>
      </c>
      <c r="H320" s="188" t="s">
        <v>2970</v>
      </c>
      <c r="I320" s="188" t="s">
        <v>2970</v>
      </c>
      <c r="J320" s="188" t="s">
        <v>2970</v>
      </c>
      <c r="K320" s="188">
        <v>158</v>
      </c>
    </row>
    <row r="321" spans="1:11" x14ac:dyDescent="0.25">
      <c r="A321" s="47" t="s">
        <v>5213</v>
      </c>
      <c r="D321" s="47">
        <v>318</v>
      </c>
      <c r="E321" s="188" t="s">
        <v>5027</v>
      </c>
      <c r="F321" s="188" t="s">
        <v>2970</v>
      </c>
      <c r="G321" s="188" t="s">
        <v>2970</v>
      </c>
      <c r="H321" s="188" t="s">
        <v>2970</v>
      </c>
      <c r="I321" s="188" t="s">
        <v>2970</v>
      </c>
      <c r="J321" s="188" t="s">
        <v>2970</v>
      </c>
      <c r="K321" s="188">
        <v>159</v>
      </c>
    </row>
    <row r="322" spans="1:11" x14ac:dyDescent="0.25">
      <c r="A322" s="47" t="s">
        <v>5214</v>
      </c>
      <c r="D322" s="47">
        <v>319</v>
      </c>
      <c r="E322" s="188" t="s">
        <v>5028</v>
      </c>
      <c r="F322" s="188" t="s">
        <v>2970</v>
      </c>
      <c r="G322" s="188" t="s">
        <v>2970</v>
      </c>
      <c r="H322" s="188" t="s">
        <v>2970</v>
      </c>
      <c r="I322" s="188" t="s">
        <v>2970</v>
      </c>
      <c r="J322" s="188" t="s">
        <v>2970</v>
      </c>
      <c r="K322" s="188">
        <v>160</v>
      </c>
    </row>
    <row r="323" spans="1:11" x14ac:dyDescent="0.25">
      <c r="A323" s="47" t="s">
        <v>5215</v>
      </c>
      <c r="D323" s="47">
        <v>320</v>
      </c>
      <c r="E323" s="188" t="s">
        <v>5029</v>
      </c>
      <c r="F323" s="188" t="s">
        <v>2970</v>
      </c>
      <c r="G323" s="188" t="s">
        <v>2970</v>
      </c>
      <c r="H323" s="188" t="s">
        <v>2970</v>
      </c>
      <c r="I323" s="188" t="s">
        <v>2970</v>
      </c>
      <c r="J323" s="188" t="s">
        <v>2970</v>
      </c>
      <c r="K323" s="188">
        <v>161</v>
      </c>
    </row>
    <row r="324" spans="1:11" x14ac:dyDescent="0.25">
      <c r="A324" s="47" t="s">
        <v>5216</v>
      </c>
      <c r="D324" s="47">
        <v>321</v>
      </c>
      <c r="E324" s="188" t="s">
        <v>5030</v>
      </c>
      <c r="F324" s="188" t="s">
        <v>2970</v>
      </c>
      <c r="G324" s="188" t="s">
        <v>2970</v>
      </c>
      <c r="H324" s="188" t="s">
        <v>2970</v>
      </c>
      <c r="I324" s="188" t="s">
        <v>2970</v>
      </c>
      <c r="J324" s="188" t="s">
        <v>2970</v>
      </c>
      <c r="K324" s="188">
        <v>162</v>
      </c>
    </row>
    <row r="325" spans="1:11" x14ac:dyDescent="0.25">
      <c r="A325" s="47" t="s">
        <v>5217</v>
      </c>
      <c r="D325" s="47">
        <v>322</v>
      </c>
      <c r="E325" s="188" t="s">
        <v>5031</v>
      </c>
      <c r="F325" s="188" t="s">
        <v>2970</v>
      </c>
      <c r="G325" s="188" t="s">
        <v>2970</v>
      </c>
      <c r="H325" s="188" t="s">
        <v>2970</v>
      </c>
      <c r="I325" s="188" t="s">
        <v>2970</v>
      </c>
      <c r="J325" s="188" t="s">
        <v>2970</v>
      </c>
      <c r="K325" s="188">
        <v>163</v>
      </c>
    </row>
    <row r="326" spans="1:11" x14ac:dyDescent="0.25">
      <c r="A326" s="47" t="s">
        <v>5218</v>
      </c>
      <c r="D326" s="47">
        <v>323</v>
      </c>
      <c r="E326" s="188" t="s">
        <v>5032</v>
      </c>
      <c r="F326" s="188" t="s">
        <v>3838</v>
      </c>
      <c r="G326" s="188" t="s">
        <v>2970</v>
      </c>
      <c r="H326" s="188" t="s">
        <v>2970</v>
      </c>
      <c r="I326" s="188" t="s">
        <v>2970</v>
      </c>
      <c r="J326" s="188" t="s">
        <v>2970</v>
      </c>
      <c r="K326" s="188" t="s">
        <v>2970</v>
      </c>
    </row>
    <row r="327" spans="1:11" x14ac:dyDescent="0.25">
      <c r="A327" s="47" t="s">
        <v>5219</v>
      </c>
      <c r="D327" s="47">
        <v>324</v>
      </c>
      <c r="E327" s="188" t="s">
        <v>2970</v>
      </c>
      <c r="F327" s="188" t="s">
        <v>2970</v>
      </c>
      <c r="G327" s="188" t="s">
        <v>2970</v>
      </c>
      <c r="H327" s="188" t="s">
        <v>2970</v>
      </c>
      <c r="I327" s="188" t="s">
        <v>2970</v>
      </c>
      <c r="J327" s="188" t="s">
        <v>2970</v>
      </c>
      <c r="K327" s="188">
        <v>164</v>
      </c>
    </row>
    <row r="328" spans="1:11" x14ac:dyDescent="0.25">
      <c r="A328" s="47" t="s">
        <v>3816</v>
      </c>
      <c r="D328" s="47">
        <v>325</v>
      </c>
      <c r="E328" s="188" t="s">
        <v>5032</v>
      </c>
      <c r="F328" s="188" t="s">
        <v>3838</v>
      </c>
      <c r="G328" s="188" t="s">
        <v>3838</v>
      </c>
      <c r="H328" s="188" t="s">
        <v>2970</v>
      </c>
      <c r="I328" s="188" t="s">
        <v>2970</v>
      </c>
      <c r="J328" s="188" t="s">
        <v>2970</v>
      </c>
      <c r="K328" s="188">
        <v>165</v>
      </c>
    </row>
    <row r="329" spans="1:11" x14ac:dyDescent="0.25">
      <c r="A329" s="47" t="s">
        <v>5220</v>
      </c>
      <c r="D329" s="47">
        <v>326</v>
      </c>
      <c r="E329" s="188" t="s">
        <v>5032</v>
      </c>
      <c r="F329" s="188" t="s">
        <v>3838</v>
      </c>
      <c r="G329" s="188" t="s">
        <v>4967</v>
      </c>
      <c r="H329" s="188" t="s">
        <v>2970</v>
      </c>
      <c r="I329" s="188" t="s">
        <v>2970</v>
      </c>
      <c r="J329" s="188" t="s">
        <v>2970</v>
      </c>
      <c r="K329" s="188">
        <v>166</v>
      </c>
    </row>
    <row r="330" spans="1:11" x14ac:dyDescent="0.25">
      <c r="A330" s="47" t="s">
        <v>5221</v>
      </c>
      <c r="D330" s="47">
        <v>327</v>
      </c>
      <c r="E330" s="188" t="s">
        <v>5032</v>
      </c>
      <c r="F330" s="188" t="s">
        <v>3838</v>
      </c>
      <c r="G330" s="188" t="s">
        <v>4970</v>
      </c>
      <c r="H330" s="188" t="s">
        <v>2970</v>
      </c>
      <c r="I330" s="188" t="s">
        <v>2970</v>
      </c>
      <c r="J330" s="188" t="s">
        <v>2970</v>
      </c>
      <c r="K330" s="188">
        <v>167</v>
      </c>
    </row>
    <row r="331" spans="1:11" x14ac:dyDescent="0.25">
      <c r="A331" s="47" t="s">
        <v>3843</v>
      </c>
      <c r="B331" s="47" t="s">
        <v>3687</v>
      </c>
      <c r="D331" s="47">
        <v>328</v>
      </c>
      <c r="E331" s="188" t="s">
        <v>5032</v>
      </c>
      <c r="F331" s="188" t="s">
        <v>3838</v>
      </c>
      <c r="G331" s="188" t="s">
        <v>4971</v>
      </c>
      <c r="H331" s="188" t="s">
        <v>2970</v>
      </c>
      <c r="I331" s="188" t="s">
        <v>2970</v>
      </c>
      <c r="J331" s="188" t="s">
        <v>2970</v>
      </c>
      <c r="K331" s="188">
        <v>168</v>
      </c>
    </row>
    <row r="332" spans="1:11" x14ac:dyDescent="0.25">
      <c r="A332" s="47" t="s">
        <v>5222</v>
      </c>
      <c r="B332" s="47" t="s">
        <v>4664</v>
      </c>
      <c r="D332" s="47">
        <v>329</v>
      </c>
      <c r="E332" s="188" t="s">
        <v>5033</v>
      </c>
      <c r="F332" s="188" t="s">
        <v>2970</v>
      </c>
      <c r="G332" s="188" t="s">
        <v>2970</v>
      </c>
      <c r="H332" s="188" t="s">
        <v>2970</v>
      </c>
      <c r="I332" s="188" t="s">
        <v>2970</v>
      </c>
      <c r="J332" s="188" t="s">
        <v>2970</v>
      </c>
      <c r="K332" s="188" t="s">
        <v>2970</v>
      </c>
    </row>
    <row r="333" spans="1:11" x14ac:dyDescent="0.25">
      <c r="A333" s="47" t="s">
        <v>5223</v>
      </c>
      <c r="B333" s="47" t="s">
        <v>4665</v>
      </c>
      <c r="D333" s="47">
        <v>330</v>
      </c>
      <c r="E333" s="188" t="s">
        <v>5034</v>
      </c>
      <c r="F333" s="188" t="s">
        <v>2970</v>
      </c>
      <c r="G333" s="188" t="s">
        <v>2970</v>
      </c>
      <c r="H333" s="188" t="s">
        <v>2970</v>
      </c>
      <c r="I333" s="188" t="s">
        <v>2970</v>
      </c>
      <c r="J333" s="188" t="s">
        <v>2970</v>
      </c>
      <c r="K333" s="188" t="s">
        <v>2970</v>
      </c>
    </row>
    <row r="334" spans="1:11" x14ac:dyDescent="0.25">
      <c r="A334" s="47" t="s">
        <v>3844</v>
      </c>
      <c r="B334" s="47" t="s">
        <v>3688</v>
      </c>
      <c r="D334" s="47">
        <v>331</v>
      </c>
      <c r="E334" s="188" t="s">
        <v>2970</v>
      </c>
      <c r="F334" s="188" t="s">
        <v>2970</v>
      </c>
      <c r="G334" s="188" t="s">
        <v>2970</v>
      </c>
      <c r="H334" s="188" t="s">
        <v>5705</v>
      </c>
      <c r="I334" s="188" t="s">
        <v>2970</v>
      </c>
      <c r="J334" s="188" t="s">
        <v>2970</v>
      </c>
      <c r="K334" s="188" t="s">
        <v>2970</v>
      </c>
    </row>
    <row r="335" spans="1:11" x14ac:dyDescent="0.25">
      <c r="A335" s="47" t="s">
        <v>3845</v>
      </c>
      <c r="B335" s="47" t="s">
        <v>3689</v>
      </c>
      <c r="D335" s="47">
        <v>332</v>
      </c>
      <c r="E335" s="188" t="s">
        <v>2970</v>
      </c>
      <c r="F335" s="188" t="s">
        <v>2970</v>
      </c>
      <c r="G335" s="188" t="s">
        <v>2970</v>
      </c>
      <c r="H335" s="188" t="s">
        <v>5706</v>
      </c>
      <c r="I335" s="188" t="s">
        <v>2970</v>
      </c>
      <c r="J335" s="188" t="s">
        <v>2970</v>
      </c>
      <c r="K335" s="188">
        <v>623</v>
      </c>
    </row>
    <row r="336" spans="1:11" x14ac:dyDescent="0.25">
      <c r="A336" s="47" t="s">
        <v>3846</v>
      </c>
      <c r="B336" s="47" t="s">
        <v>3690</v>
      </c>
      <c r="D336" s="47">
        <v>333</v>
      </c>
      <c r="E336" s="188" t="s">
        <v>2970</v>
      </c>
      <c r="F336" s="188" t="s">
        <v>2970</v>
      </c>
      <c r="G336" s="188" t="s">
        <v>2970</v>
      </c>
      <c r="H336" s="188" t="s">
        <v>5707</v>
      </c>
      <c r="I336" s="188" t="s">
        <v>2970</v>
      </c>
      <c r="J336" s="188" t="s">
        <v>2970</v>
      </c>
      <c r="K336" s="188">
        <v>624</v>
      </c>
    </row>
    <row r="337" spans="1:11" x14ac:dyDescent="0.25">
      <c r="A337" s="47" t="s">
        <v>5224</v>
      </c>
      <c r="B337" s="47" t="s">
        <v>4666</v>
      </c>
      <c r="D337" s="47">
        <v>334</v>
      </c>
      <c r="E337" s="188" t="s">
        <v>3821</v>
      </c>
      <c r="F337" s="188" t="s">
        <v>2970</v>
      </c>
      <c r="G337" s="188" t="s">
        <v>2970</v>
      </c>
      <c r="H337" s="188" t="s">
        <v>2970</v>
      </c>
      <c r="I337" s="188" t="s">
        <v>2970</v>
      </c>
      <c r="J337" s="188" t="s">
        <v>2970</v>
      </c>
      <c r="K337" s="188" t="s">
        <v>2970</v>
      </c>
    </row>
    <row r="338" spans="1:11" x14ac:dyDescent="0.25">
      <c r="A338" s="47" t="s">
        <v>5225</v>
      </c>
      <c r="B338" s="47" t="s">
        <v>4667</v>
      </c>
      <c r="D338" s="47">
        <v>335</v>
      </c>
      <c r="E338" s="188" t="s">
        <v>5035</v>
      </c>
      <c r="F338" s="188" t="s">
        <v>2970</v>
      </c>
      <c r="G338" s="188" t="s">
        <v>2970</v>
      </c>
      <c r="H338" s="188" t="s">
        <v>2970</v>
      </c>
      <c r="I338" s="188" t="s">
        <v>2970</v>
      </c>
      <c r="J338" s="188" t="s">
        <v>2970</v>
      </c>
      <c r="K338" s="188" t="s">
        <v>2970</v>
      </c>
    </row>
    <row r="339" spans="1:11" x14ac:dyDescent="0.25">
      <c r="A339" s="47" t="s">
        <v>5226</v>
      </c>
      <c r="B339" s="47" t="s">
        <v>4668</v>
      </c>
      <c r="D339" s="47">
        <v>336</v>
      </c>
      <c r="E339" s="188" t="s">
        <v>5036</v>
      </c>
      <c r="F339" s="188" t="s">
        <v>2970</v>
      </c>
      <c r="G339" s="188" t="s">
        <v>2970</v>
      </c>
      <c r="H339" s="188" t="s">
        <v>2970</v>
      </c>
      <c r="I339" s="188" t="s">
        <v>2970</v>
      </c>
      <c r="J339" s="188" t="s">
        <v>2970</v>
      </c>
      <c r="K339" s="188" t="s">
        <v>2970</v>
      </c>
    </row>
    <row r="340" spans="1:11" x14ac:dyDescent="0.25">
      <c r="A340" s="47" t="s">
        <v>5227</v>
      </c>
      <c r="B340" s="47" t="s">
        <v>4669</v>
      </c>
      <c r="D340" s="47">
        <v>337</v>
      </c>
      <c r="E340" s="188" t="s">
        <v>5037</v>
      </c>
      <c r="F340" s="188" t="s">
        <v>2970</v>
      </c>
      <c r="G340" s="188" t="s">
        <v>2970</v>
      </c>
      <c r="H340" s="188" t="s">
        <v>2970</v>
      </c>
      <c r="I340" s="188" t="s">
        <v>2970</v>
      </c>
      <c r="J340" s="188" t="s">
        <v>2970</v>
      </c>
      <c r="K340" s="188">
        <v>589</v>
      </c>
    </row>
    <row r="341" spans="1:11" x14ac:dyDescent="0.25">
      <c r="A341" s="47" t="s">
        <v>5228</v>
      </c>
      <c r="B341" s="47" t="s">
        <v>4670</v>
      </c>
      <c r="D341" s="47">
        <v>338</v>
      </c>
      <c r="E341" s="188" t="s">
        <v>5038</v>
      </c>
      <c r="F341" s="188" t="s">
        <v>2970</v>
      </c>
      <c r="G341" s="188" t="s">
        <v>2970</v>
      </c>
      <c r="H341" s="188" t="s">
        <v>2970</v>
      </c>
      <c r="I341" s="188" t="s">
        <v>2970</v>
      </c>
      <c r="J341" s="188" t="s">
        <v>2970</v>
      </c>
      <c r="K341" s="188">
        <v>590</v>
      </c>
    </row>
    <row r="342" spans="1:11" x14ac:dyDescent="0.25">
      <c r="A342" s="47" t="s">
        <v>5229</v>
      </c>
      <c r="B342" s="47" t="s">
        <v>4671</v>
      </c>
      <c r="D342" s="47">
        <v>339</v>
      </c>
      <c r="E342" s="188" t="s">
        <v>5039</v>
      </c>
      <c r="F342" s="188" t="s">
        <v>2970</v>
      </c>
      <c r="G342" s="188" t="s">
        <v>2970</v>
      </c>
      <c r="H342" s="188" t="s">
        <v>2970</v>
      </c>
      <c r="I342" s="188" t="s">
        <v>2970</v>
      </c>
      <c r="J342" s="188" t="s">
        <v>2970</v>
      </c>
      <c r="K342" s="188">
        <v>591</v>
      </c>
    </row>
    <row r="343" spans="1:11" x14ac:dyDescent="0.25">
      <c r="A343" s="47" t="s">
        <v>5230</v>
      </c>
      <c r="B343" s="47" t="s">
        <v>4672</v>
      </c>
      <c r="D343" s="47">
        <v>340</v>
      </c>
      <c r="E343" s="188" t="s">
        <v>5040</v>
      </c>
      <c r="F343" s="188" t="s">
        <v>2970</v>
      </c>
      <c r="G343" s="188" t="s">
        <v>2970</v>
      </c>
      <c r="H343" s="188" t="s">
        <v>2970</v>
      </c>
      <c r="I343" s="188" t="s">
        <v>2970</v>
      </c>
      <c r="J343" s="188" t="s">
        <v>2970</v>
      </c>
      <c r="K343" s="188">
        <v>592</v>
      </c>
    </row>
    <row r="344" spans="1:11" x14ac:dyDescent="0.25">
      <c r="A344" s="47" t="s">
        <v>5231</v>
      </c>
      <c r="B344" s="47" t="s">
        <v>4673</v>
      </c>
      <c r="D344" s="47">
        <v>341</v>
      </c>
      <c r="E344" s="188" t="s">
        <v>5041</v>
      </c>
      <c r="F344" s="188" t="s">
        <v>2970</v>
      </c>
      <c r="G344" s="188" t="s">
        <v>2970</v>
      </c>
      <c r="H344" s="188" t="s">
        <v>2970</v>
      </c>
      <c r="I344" s="188" t="s">
        <v>2970</v>
      </c>
      <c r="J344" s="188" t="s">
        <v>2970</v>
      </c>
      <c r="K344" s="188">
        <v>593</v>
      </c>
    </row>
    <row r="345" spans="1:11" x14ac:dyDescent="0.25">
      <c r="A345" s="47" t="s">
        <v>5232</v>
      </c>
      <c r="B345" s="47" t="s">
        <v>4674</v>
      </c>
      <c r="D345" s="47">
        <v>342</v>
      </c>
      <c r="E345" s="188" t="s">
        <v>5042</v>
      </c>
      <c r="F345" s="188" t="s">
        <v>2970</v>
      </c>
      <c r="G345" s="188" t="s">
        <v>2970</v>
      </c>
      <c r="H345" s="188" t="s">
        <v>2970</v>
      </c>
      <c r="I345" s="188" t="s">
        <v>2970</v>
      </c>
      <c r="J345" s="188" t="s">
        <v>2970</v>
      </c>
      <c r="K345" s="188">
        <v>594</v>
      </c>
    </row>
    <row r="346" spans="1:11" x14ac:dyDescent="0.25">
      <c r="A346" s="47" t="s">
        <v>5233</v>
      </c>
      <c r="B346" s="47" t="s">
        <v>4675</v>
      </c>
      <c r="D346" s="47">
        <v>343</v>
      </c>
      <c r="E346" s="188" t="s">
        <v>5042</v>
      </c>
      <c r="F346" s="188" t="s">
        <v>2970</v>
      </c>
      <c r="G346" s="188" t="s">
        <v>2970</v>
      </c>
      <c r="H346" s="188" t="s">
        <v>2970</v>
      </c>
      <c r="I346" s="188" t="s">
        <v>2970</v>
      </c>
      <c r="J346" s="188" t="s">
        <v>2970</v>
      </c>
      <c r="K346" s="188">
        <v>595</v>
      </c>
    </row>
    <row r="347" spans="1:11" x14ac:dyDescent="0.25">
      <c r="A347" s="47" t="s">
        <v>5234</v>
      </c>
      <c r="B347" s="47" t="s">
        <v>4676</v>
      </c>
      <c r="D347" s="47">
        <v>344</v>
      </c>
      <c r="E347" s="188" t="s">
        <v>2970</v>
      </c>
      <c r="F347" s="188" t="s">
        <v>2970</v>
      </c>
      <c r="G347" s="188" t="s">
        <v>2970</v>
      </c>
      <c r="H347" s="188" t="s">
        <v>2970</v>
      </c>
      <c r="I347" s="188" t="s">
        <v>2970</v>
      </c>
      <c r="J347" s="188" t="s">
        <v>2970</v>
      </c>
      <c r="K347" s="188">
        <v>596</v>
      </c>
    </row>
    <row r="348" spans="1:11" x14ac:dyDescent="0.25">
      <c r="A348" s="47" t="s">
        <v>5235</v>
      </c>
      <c r="B348" s="47" t="s">
        <v>4677</v>
      </c>
      <c r="D348" s="47">
        <v>345</v>
      </c>
      <c r="E348" s="188" t="s">
        <v>2970</v>
      </c>
      <c r="F348" s="188" t="s">
        <v>2970</v>
      </c>
      <c r="G348" s="188" t="s">
        <v>2970</v>
      </c>
      <c r="H348" s="188" t="s">
        <v>2970</v>
      </c>
      <c r="I348" s="188" t="s">
        <v>2970</v>
      </c>
      <c r="J348" s="188" t="s">
        <v>2970</v>
      </c>
      <c r="K348" s="188">
        <v>597</v>
      </c>
    </row>
    <row r="349" spans="1:11" x14ac:dyDescent="0.25">
      <c r="A349" s="47" t="s">
        <v>5236</v>
      </c>
      <c r="B349" s="47" t="s">
        <v>4678</v>
      </c>
      <c r="D349" s="47">
        <v>346</v>
      </c>
      <c r="E349" s="188" t="s">
        <v>2970</v>
      </c>
      <c r="F349" s="188" t="s">
        <v>2970</v>
      </c>
      <c r="G349" s="188" t="s">
        <v>2970</v>
      </c>
      <c r="H349" s="188" t="s">
        <v>2970</v>
      </c>
      <c r="I349" s="188" t="s">
        <v>2970</v>
      </c>
      <c r="J349" s="188" t="s">
        <v>2970</v>
      </c>
      <c r="K349" s="188">
        <v>598</v>
      </c>
    </row>
    <row r="350" spans="1:11" x14ac:dyDescent="0.25">
      <c r="A350" s="47" t="s">
        <v>5237</v>
      </c>
      <c r="B350" s="47" t="s">
        <v>4679</v>
      </c>
      <c r="D350" s="47">
        <v>347</v>
      </c>
      <c r="E350" s="188" t="s">
        <v>2970</v>
      </c>
      <c r="F350" s="188" t="s">
        <v>2970</v>
      </c>
      <c r="G350" s="188" t="s">
        <v>2970</v>
      </c>
      <c r="H350" s="188" t="s">
        <v>2970</v>
      </c>
      <c r="I350" s="188" t="s">
        <v>2970</v>
      </c>
      <c r="J350" s="188" t="s">
        <v>2970</v>
      </c>
      <c r="K350" s="188">
        <v>599</v>
      </c>
    </row>
    <row r="351" spans="1:11" x14ac:dyDescent="0.25">
      <c r="A351" s="47" t="s">
        <v>5238</v>
      </c>
      <c r="B351" s="47" t="s">
        <v>4680</v>
      </c>
      <c r="D351" s="47">
        <v>348</v>
      </c>
      <c r="E351" s="188" t="s">
        <v>2970</v>
      </c>
      <c r="F351" s="188" t="s">
        <v>2970</v>
      </c>
      <c r="G351" s="188" t="s">
        <v>2970</v>
      </c>
      <c r="H351" s="188" t="s">
        <v>2970</v>
      </c>
      <c r="I351" s="188" t="s">
        <v>2970</v>
      </c>
      <c r="J351" s="188" t="s">
        <v>2970</v>
      </c>
      <c r="K351" s="188">
        <v>600</v>
      </c>
    </row>
    <row r="352" spans="1:11" x14ac:dyDescent="0.25">
      <c r="A352" s="47" t="s">
        <v>5239</v>
      </c>
      <c r="B352" s="47" t="s">
        <v>4681</v>
      </c>
      <c r="D352" s="47">
        <v>349</v>
      </c>
      <c r="E352" s="188" t="s">
        <v>2970</v>
      </c>
      <c r="F352" s="188" t="s">
        <v>2970</v>
      </c>
      <c r="G352" s="188" t="s">
        <v>2970</v>
      </c>
      <c r="H352" s="188" t="s">
        <v>2970</v>
      </c>
      <c r="I352" s="188" t="s">
        <v>2970</v>
      </c>
      <c r="J352" s="188" t="s">
        <v>2970</v>
      </c>
      <c r="K352" s="188">
        <v>601</v>
      </c>
    </row>
    <row r="353" spans="1:11" x14ac:dyDescent="0.25">
      <c r="A353" s="47" t="s">
        <v>5240</v>
      </c>
      <c r="B353" s="47" t="s">
        <v>4682</v>
      </c>
      <c r="D353" s="47">
        <v>350</v>
      </c>
      <c r="E353" s="188" t="s">
        <v>2970</v>
      </c>
      <c r="F353" s="188" t="s">
        <v>2970</v>
      </c>
      <c r="G353" s="188" t="s">
        <v>2970</v>
      </c>
      <c r="H353" s="188" t="s">
        <v>2970</v>
      </c>
      <c r="I353" s="188" t="s">
        <v>2970</v>
      </c>
      <c r="J353" s="188" t="s">
        <v>2970</v>
      </c>
      <c r="K353" s="188">
        <v>602</v>
      </c>
    </row>
    <row r="354" spans="1:11" x14ac:dyDescent="0.25">
      <c r="A354" s="47" t="s">
        <v>5241</v>
      </c>
      <c r="B354" s="47" t="s">
        <v>4683</v>
      </c>
      <c r="D354" s="47">
        <v>351</v>
      </c>
      <c r="E354" s="188" t="s">
        <v>2970</v>
      </c>
      <c r="F354" s="188" t="s">
        <v>2970</v>
      </c>
      <c r="G354" s="188" t="s">
        <v>2970</v>
      </c>
      <c r="H354" s="188" t="s">
        <v>2970</v>
      </c>
      <c r="I354" s="188" t="s">
        <v>2970</v>
      </c>
      <c r="J354" s="188" t="s">
        <v>2970</v>
      </c>
      <c r="K354" s="188">
        <v>603</v>
      </c>
    </row>
    <row r="355" spans="1:11" x14ac:dyDescent="0.25">
      <c r="A355" s="47" t="s">
        <v>5242</v>
      </c>
      <c r="D355" s="47">
        <v>352</v>
      </c>
      <c r="E355" s="188" t="s">
        <v>2970</v>
      </c>
      <c r="F355" s="188" t="s">
        <v>2970</v>
      </c>
      <c r="G355" s="188" t="s">
        <v>2970</v>
      </c>
      <c r="H355" s="188" t="s">
        <v>2970</v>
      </c>
      <c r="I355" s="188" t="s">
        <v>2970</v>
      </c>
      <c r="J355" s="188" t="s">
        <v>2970</v>
      </c>
      <c r="K355" s="188">
        <v>604</v>
      </c>
    </row>
    <row r="356" spans="1:11" x14ac:dyDescent="0.25">
      <c r="A356" s="47" t="s">
        <v>5243</v>
      </c>
      <c r="D356" s="47">
        <v>353</v>
      </c>
      <c r="E356" s="188" t="s">
        <v>2970</v>
      </c>
      <c r="F356" s="188" t="s">
        <v>2970</v>
      </c>
      <c r="G356" s="188" t="s">
        <v>2970</v>
      </c>
      <c r="H356" s="188" t="s">
        <v>2970</v>
      </c>
      <c r="I356" s="188" t="s">
        <v>2970</v>
      </c>
      <c r="J356" s="188" t="s">
        <v>2970</v>
      </c>
      <c r="K356" s="188">
        <v>605</v>
      </c>
    </row>
    <row r="357" spans="1:11" x14ac:dyDescent="0.25">
      <c r="A357" s="47" t="s">
        <v>5244</v>
      </c>
      <c r="D357" s="47">
        <v>354</v>
      </c>
      <c r="E357" s="188" t="s">
        <v>2970</v>
      </c>
      <c r="F357" s="188" t="s">
        <v>2970</v>
      </c>
      <c r="G357" s="188" t="s">
        <v>2970</v>
      </c>
      <c r="H357" s="188" t="s">
        <v>2970</v>
      </c>
      <c r="I357" s="188" t="s">
        <v>2970</v>
      </c>
      <c r="J357" s="188" t="s">
        <v>2970</v>
      </c>
      <c r="K357" s="188">
        <v>606</v>
      </c>
    </row>
    <row r="358" spans="1:11" x14ac:dyDescent="0.25">
      <c r="A358" s="47" t="s">
        <v>5245</v>
      </c>
      <c r="D358" s="47">
        <v>355</v>
      </c>
      <c r="E358" s="188" t="s">
        <v>2970</v>
      </c>
      <c r="F358" s="188" t="s">
        <v>2970</v>
      </c>
      <c r="G358" s="188" t="s">
        <v>2970</v>
      </c>
      <c r="H358" s="188" t="s">
        <v>2970</v>
      </c>
      <c r="I358" s="188" t="s">
        <v>2970</v>
      </c>
      <c r="J358" s="188" t="s">
        <v>2970</v>
      </c>
      <c r="K358" s="188">
        <v>607</v>
      </c>
    </row>
    <row r="359" spans="1:11" x14ac:dyDescent="0.25">
      <c r="A359" s="47" t="s">
        <v>5246</v>
      </c>
      <c r="D359" s="47">
        <v>356</v>
      </c>
      <c r="E359" s="188" t="s">
        <v>2970</v>
      </c>
      <c r="F359" s="188" t="s">
        <v>2970</v>
      </c>
      <c r="G359" s="188" t="s">
        <v>2970</v>
      </c>
      <c r="H359" s="188" t="s">
        <v>2970</v>
      </c>
      <c r="I359" s="188" t="s">
        <v>2970</v>
      </c>
      <c r="J359" s="188" t="s">
        <v>2970</v>
      </c>
      <c r="K359" s="188">
        <v>608</v>
      </c>
    </row>
    <row r="360" spans="1:11" x14ac:dyDescent="0.25">
      <c r="A360" s="47" t="s">
        <v>5247</v>
      </c>
      <c r="D360" s="47">
        <v>357</v>
      </c>
      <c r="E360" s="188" t="s">
        <v>2970</v>
      </c>
      <c r="F360" s="188" t="s">
        <v>2970</v>
      </c>
      <c r="G360" s="188" t="s">
        <v>2970</v>
      </c>
      <c r="H360" s="188" t="s">
        <v>2970</v>
      </c>
      <c r="I360" s="188" t="s">
        <v>2970</v>
      </c>
      <c r="J360" s="188" t="s">
        <v>2970</v>
      </c>
      <c r="K360" s="188">
        <v>609</v>
      </c>
    </row>
    <row r="361" spans="1:11" x14ac:dyDescent="0.25">
      <c r="A361" s="47" t="s">
        <v>5248</v>
      </c>
      <c r="D361" s="47">
        <v>358</v>
      </c>
      <c r="E361" s="188" t="s">
        <v>2970</v>
      </c>
      <c r="F361" s="188" t="s">
        <v>2970</v>
      </c>
      <c r="G361" s="188" t="s">
        <v>2970</v>
      </c>
      <c r="H361" s="188" t="s">
        <v>2970</v>
      </c>
      <c r="I361" s="188" t="s">
        <v>2970</v>
      </c>
      <c r="J361" s="188" t="s">
        <v>2970</v>
      </c>
      <c r="K361" s="188">
        <v>610</v>
      </c>
    </row>
    <row r="362" spans="1:11" x14ac:dyDescent="0.25">
      <c r="A362" s="47" t="s">
        <v>5249</v>
      </c>
      <c r="D362" s="47">
        <v>359</v>
      </c>
      <c r="E362" s="188" t="s">
        <v>5043</v>
      </c>
      <c r="F362" s="188" t="s">
        <v>2970</v>
      </c>
      <c r="G362" s="188" t="s">
        <v>2970</v>
      </c>
      <c r="H362" s="188" t="s">
        <v>2970</v>
      </c>
      <c r="I362" s="188" t="s">
        <v>2970</v>
      </c>
      <c r="J362" s="188" t="s">
        <v>2970</v>
      </c>
      <c r="K362" s="188">
        <v>611</v>
      </c>
    </row>
    <row r="363" spans="1:11" x14ac:dyDescent="0.25">
      <c r="A363" s="47" t="s">
        <v>5250</v>
      </c>
      <c r="D363" s="47">
        <v>360</v>
      </c>
      <c r="E363" s="188" t="s">
        <v>5044</v>
      </c>
      <c r="F363" s="188" t="s">
        <v>2970</v>
      </c>
      <c r="G363" s="188" t="s">
        <v>2970</v>
      </c>
      <c r="H363" s="188" t="s">
        <v>2970</v>
      </c>
      <c r="I363" s="188" t="s">
        <v>2970</v>
      </c>
      <c r="J363" s="188" t="s">
        <v>2970</v>
      </c>
      <c r="K363" s="188">
        <v>612</v>
      </c>
    </row>
    <row r="364" spans="1:11" x14ac:dyDescent="0.25">
      <c r="A364" s="47" t="s">
        <v>3815</v>
      </c>
      <c r="D364" s="47">
        <v>361</v>
      </c>
      <c r="E364" s="188" t="s">
        <v>5045</v>
      </c>
      <c r="F364" s="188" t="s">
        <v>2970</v>
      </c>
      <c r="G364" s="188" t="s">
        <v>2970</v>
      </c>
      <c r="H364" s="188" t="s">
        <v>2970</v>
      </c>
      <c r="I364" s="188" t="s">
        <v>2970</v>
      </c>
      <c r="J364" s="188" t="s">
        <v>2970</v>
      </c>
      <c r="K364" s="188" t="s">
        <v>2970</v>
      </c>
    </row>
    <row r="365" spans="1:11" x14ac:dyDescent="0.25">
      <c r="A365" s="47" t="s">
        <v>5251</v>
      </c>
      <c r="D365" s="47">
        <v>362</v>
      </c>
      <c r="E365" s="188" t="s">
        <v>5046</v>
      </c>
      <c r="F365" s="188" t="s">
        <v>2970</v>
      </c>
      <c r="G365" s="188" t="s">
        <v>2970</v>
      </c>
      <c r="H365" s="188" t="s">
        <v>2970</v>
      </c>
      <c r="I365" s="188" t="s">
        <v>2970</v>
      </c>
      <c r="J365" s="188" t="s">
        <v>2970</v>
      </c>
      <c r="K365" s="188" t="s">
        <v>2970</v>
      </c>
    </row>
    <row r="366" spans="1:11" x14ac:dyDescent="0.25">
      <c r="A366" s="47" t="s">
        <v>5252</v>
      </c>
      <c r="B366" s="47" t="s">
        <v>4684</v>
      </c>
      <c r="D366" s="47">
        <v>363</v>
      </c>
      <c r="E366" s="188" t="s">
        <v>5047</v>
      </c>
      <c r="F366" s="188" t="s">
        <v>2970</v>
      </c>
      <c r="G366" s="188" t="s">
        <v>2970</v>
      </c>
      <c r="H366" s="188" t="s">
        <v>2970</v>
      </c>
      <c r="I366" s="188" t="s">
        <v>2970</v>
      </c>
      <c r="J366" s="188" t="s">
        <v>2970</v>
      </c>
      <c r="K366" s="188" t="s">
        <v>2970</v>
      </c>
    </row>
    <row r="367" spans="1:11" x14ac:dyDescent="0.25">
      <c r="A367" s="47" t="s">
        <v>5253</v>
      </c>
      <c r="B367" s="47" t="s">
        <v>4685</v>
      </c>
      <c r="D367" s="47">
        <v>364</v>
      </c>
      <c r="E367" s="188" t="s">
        <v>5048</v>
      </c>
      <c r="F367" s="188" t="s">
        <v>2970</v>
      </c>
      <c r="G367" s="188" t="s">
        <v>2970</v>
      </c>
      <c r="H367" s="188" t="s">
        <v>2970</v>
      </c>
      <c r="I367" s="188" t="s">
        <v>2970</v>
      </c>
      <c r="J367" s="188" t="s">
        <v>2970</v>
      </c>
      <c r="K367" s="188" t="s">
        <v>2970</v>
      </c>
    </row>
    <row r="368" spans="1:11" x14ac:dyDescent="0.25">
      <c r="A368" s="47" t="s">
        <v>5254</v>
      </c>
      <c r="B368" s="47" t="s">
        <v>4686</v>
      </c>
      <c r="D368" s="47">
        <v>365</v>
      </c>
      <c r="E368" s="188" t="s">
        <v>5049</v>
      </c>
      <c r="F368" s="188" t="s">
        <v>2970</v>
      </c>
      <c r="G368" s="188" t="s">
        <v>2970</v>
      </c>
      <c r="H368" s="188" t="s">
        <v>2970</v>
      </c>
      <c r="I368" s="188" t="s">
        <v>2970</v>
      </c>
      <c r="J368" s="188" t="s">
        <v>2970</v>
      </c>
      <c r="K368" s="188" t="s">
        <v>2970</v>
      </c>
    </row>
    <row r="369" spans="1:11" x14ac:dyDescent="0.25">
      <c r="A369" s="47" t="s">
        <v>5255</v>
      </c>
      <c r="B369" s="47" t="s">
        <v>4687</v>
      </c>
      <c r="D369" s="47">
        <v>366</v>
      </c>
      <c r="E369" s="188" t="s">
        <v>5050</v>
      </c>
      <c r="F369" s="188" t="s">
        <v>2970</v>
      </c>
      <c r="G369" s="188" t="s">
        <v>2970</v>
      </c>
      <c r="H369" s="188" t="s">
        <v>2970</v>
      </c>
      <c r="I369" s="188" t="s">
        <v>2970</v>
      </c>
      <c r="J369" s="188" t="s">
        <v>2970</v>
      </c>
      <c r="K369" s="188" t="s">
        <v>2970</v>
      </c>
    </row>
    <row r="370" spans="1:11" x14ac:dyDescent="0.25">
      <c r="A370" s="47" t="s">
        <v>5256</v>
      </c>
      <c r="B370" s="47" t="s">
        <v>4688</v>
      </c>
      <c r="D370" s="47">
        <v>367</v>
      </c>
      <c r="E370" s="188" t="s">
        <v>5051</v>
      </c>
      <c r="F370" s="188" t="s">
        <v>2970</v>
      </c>
      <c r="G370" s="188" t="s">
        <v>2970</v>
      </c>
      <c r="H370" s="188" t="s">
        <v>2970</v>
      </c>
      <c r="I370" s="188" t="s">
        <v>2970</v>
      </c>
      <c r="J370" s="188" t="s">
        <v>2970</v>
      </c>
      <c r="K370" s="188" t="s">
        <v>2970</v>
      </c>
    </row>
    <row r="371" spans="1:11" x14ac:dyDescent="0.25">
      <c r="A371" s="47" t="s">
        <v>5257</v>
      </c>
      <c r="B371" s="47" t="s">
        <v>4689</v>
      </c>
      <c r="D371" s="47">
        <v>368</v>
      </c>
      <c r="E371" s="188" t="s">
        <v>5052</v>
      </c>
      <c r="F371" s="188" t="s">
        <v>2970</v>
      </c>
      <c r="G371" s="188" t="s">
        <v>2970</v>
      </c>
      <c r="H371" s="188" t="s">
        <v>2970</v>
      </c>
      <c r="I371" s="188" t="s">
        <v>2970</v>
      </c>
      <c r="J371" s="188" t="s">
        <v>2970</v>
      </c>
      <c r="K371" s="188" t="s">
        <v>2970</v>
      </c>
    </row>
    <row r="372" spans="1:11" x14ac:dyDescent="0.25">
      <c r="A372" s="47" t="s">
        <v>5258</v>
      </c>
      <c r="B372" s="47" t="s">
        <v>4690</v>
      </c>
      <c r="D372" s="47">
        <v>369</v>
      </c>
      <c r="E372" s="188" t="s">
        <v>5053</v>
      </c>
      <c r="F372" s="188" t="s">
        <v>2970</v>
      </c>
      <c r="G372" s="188" t="s">
        <v>2970</v>
      </c>
      <c r="H372" s="188" t="s">
        <v>2970</v>
      </c>
      <c r="I372" s="188" t="s">
        <v>2970</v>
      </c>
      <c r="J372" s="188" t="s">
        <v>2970</v>
      </c>
      <c r="K372" s="188" t="s">
        <v>2970</v>
      </c>
    </row>
    <row r="373" spans="1:11" x14ac:dyDescent="0.25">
      <c r="A373" s="47" t="s">
        <v>5259</v>
      </c>
      <c r="B373" s="47" t="s">
        <v>4691</v>
      </c>
      <c r="D373" s="47">
        <v>370</v>
      </c>
      <c r="E373" s="188" t="s">
        <v>5054</v>
      </c>
      <c r="F373" s="188" t="s">
        <v>2970</v>
      </c>
      <c r="G373" s="188" t="s">
        <v>2970</v>
      </c>
      <c r="H373" s="188" t="s">
        <v>2970</v>
      </c>
      <c r="I373" s="188" t="s">
        <v>2970</v>
      </c>
      <c r="J373" s="188" t="s">
        <v>2970</v>
      </c>
      <c r="K373" s="188" t="s">
        <v>2970</v>
      </c>
    </row>
    <row r="374" spans="1:11" x14ac:dyDescent="0.25">
      <c r="A374" s="47" t="s">
        <v>5260</v>
      </c>
      <c r="B374" s="47" t="s">
        <v>4692</v>
      </c>
      <c r="D374" s="47">
        <v>371</v>
      </c>
      <c r="E374" s="188" t="s">
        <v>5055</v>
      </c>
      <c r="F374" s="188" t="s">
        <v>2970</v>
      </c>
      <c r="G374" s="188" t="s">
        <v>2970</v>
      </c>
      <c r="H374" s="188" t="s">
        <v>2970</v>
      </c>
      <c r="I374" s="188" t="s">
        <v>2970</v>
      </c>
      <c r="J374" s="188" t="s">
        <v>2970</v>
      </c>
      <c r="K374" s="188" t="s">
        <v>2970</v>
      </c>
    </row>
    <row r="375" spans="1:11" x14ac:dyDescent="0.25">
      <c r="A375" s="47" t="s">
        <v>5261</v>
      </c>
      <c r="B375" s="47" t="s">
        <v>4693</v>
      </c>
      <c r="D375" s="47">
        <v>372</v>
      </c>
      <c r="E375" s="188" t="s">
        <v>2970</v>
      </c>
      <c r="F375" s="188" t="s">
        <v>2970</v>
      </c>
      <c r="G375" s="188" t="s">
        <v>2970</v>
      </c>
      <c r="H375" s="188" t="s">
        <v>2970</v>
      </c>
      <c r="I375" s="188" t="s">
        <v>2970</v>
      </c>
      <c r="J375" s="188" t="s">
        <v>2970</v>
      </c>
      <c r="K375" s="188">
        <v>616</v>
      </c>
    </row>
    <row r="376" spans="1:11" x14ac:dyDescent="0.25">
      <c r="A376" s="47" t="s">
        <v>5262</v>
      </c>
      <c r="B376" s="47" t="s">
        <v>4694</v>
      </c>
      <c r="D376" s="47">
        <v>373</v>
      </c>
      <c r="E376" s="188" t="s">
        <v>2970</v>
      </c>
      <c r="F376" s="188" t="s">
        <v>2970</v>
      </c>
      <c r="G376" s="188" t="s">
        <v>2970</v>
      </c>
      <c r="H376" s="188" t="s">
        <v>2970</v>
      </c>
      <c r="I376" s="188" t="s">
        <v>2970</v>
      </c>
      <c r="J376" s="188" t="s">
        <v>2970</v>
      </c>
      <c r="K376" s="188">
        <v>617</v>
      </c>
    </row>
    <row r="377" spans="1:11" x14ac:dyDescent="0.25">
      <c r="A377" s="47" t="s">
        <v>5263</v>
      </c>
      <c r="D377" s="47">
        <v>374</v>
      </c>
      <c r="E377" s="188" t="s">
        <v>5056</v>
      </c>
      <c r="F377" s="188" t="s">
        <v>2970</v>
      </c>
      <c r="G377" s="188" t="s">
        <v>2970</v>
      </c>
      <c r="H377" s="188" t="s">
        <v>2970</v>
      </c>
      <c r="I377" s="188" t="s">
        <v>2970</v>
      </c>
      <c r="J377" s="188" t="s">
        <v>2970</v>
      </c>
      <c r="K377" s="188">
        <v>618</v>
      </c>
    </row>
    <row r="378" spans="1:11" x14ac:dyDescent="0.25">
      <c r="A378" s="47" t="s">
        <v>5264</v>
      </c>
      <c r="D378" s="47">
        <v>375</v>
      </c>
      <c r="E378" s="188" t="s">
        <v>5060</v>
      </c>
      <c r="F378" s="188" t="s">
        <v>2970</v>
      </c>
      <c r="G378" s="188" t="s">
        <v>2970</v>
      </c>
      <c r="H378" s="188" t="s">
        <v>2970</v>
      </c>
      <c r="I378" s="188" t="s">
        <v>2970</v>
      </c>
      <c r="J378" s="188" t="s">
        <v>2970</v>
      </c>
      <c r="K378" s="188" t="s">
        <v>2970</v>
      </c>
    </row>
    <row r="379" spans="1:11" x14ac:dyDescent="0.25">
      <c r="A379" s="47" t="s">
        <v>5265</v>
      </c>
      <c r="D379" s="47">
        <v>376</v>
      </c>
      <c r="E379" s="188" t="s">
        <v>5057</v>
      </c>
      <c r="F379" s="188" t="s">
        <v>2970</v>
      </c>
      <c r="G379" s="188" t="s">
        <v>2970</v>
      </c>
      <c r="H379" s="188" t="s">
        <v>2970</v>
      </c>
      <c r="I379" s="188" t="s">
        <v>2970</v>
      </c>
      <c r="J379" s="188" t="s">
        <v>2970</v>
      </c>
      <c r="K379" s="188" t="s">
        <v>2970</v>
      </c>
    </row>
    <row r="380" spans="1:11" x14ac:dyDescent="0.25">
      <c r="A380" s="47" t="s">
        <v>5266</v>
      </c>
      <c r="D380" s="47">
        <v>377</v>
      </c>
      <c r="E380" s="188" t="s">
        <v>5058</v>
      </c>
      <c r="F380" s="188" t="s">
        <v>2970</v>
      </c>
      <c r="G380" s="188" t="s">
        <v>2970</v>
      </c>
      <c r="H380" s="188" t="s">
        <v>2970</v>
      </c>
      <c r="I380" s="188" t="s">
        <v>2970</v>
      </c>
      <c r="J380" s="188" t="s">
        <v>2970</v>
      </c>
      <c r="K380" s="188" t="s">
        <v>2970</v>
      </c>
    </row>
    <row r="381" spans="1:11" x14ac:dyDescent="0.25">
      <c r="A381" s="47" t="s">
        <v>5267</v>
      </c>
      <c r="D381" s="47">
        <v>378</v>
      </c>
      <c r="E381" s="188" t="s">
        <v>5059</v>
      </c>
      <c r="F381" s="188" t="s">
        <v>2970</v>
      </c>
      <c r="G381" s="188" t="s">
        <v>2970</v>
      </c>
      <c r="H381" s="188" t="s">
        <v>2970</v>
      </c>
      <c r="I381" s="188" t="s">
        <v>2970</v>
      </c>
      <c r="J381" s="188" t="s">
        <v>2970</v>
      </c>
      <c r="K381" s="188" t="s">
        <v>2970</v>
      </c>
    </row>
    <row r="382" spans="1:11" x14ac:dyDescent="0.25">
      <c r="A382" s="47" t="s">
        <v>5268</v>
      </c>
      <c r="D382" s="47">
        <v>379</v>
      </c>
      <c r="E382" s="188" t="s">
        <v>5061</v>
      </c>
      <c r="F382" s="188" t="s">
        <v>2970</v>
      </c>
      <c r="G382" s="188" t="s">
        <v>2970</v>
      </c>
      <c r="H382" s="188" t="s">
        <v>2970</v>
      </c>
      <c r="I382" s="188" t="s">
        <v>2970</v>
      </c>
      <c r="J382" s="188" t="s">
        <v>2970</v>
      </c>
      <c r="K382" s="188" t="s">
        <v>2970</v>
      </c>
    </row>
    <row r="383" spans="1:11" x14ac:dyDescent="0.25">
      <c r="A383" s="47" t="s">
        <v>5269</v>
      </c>
      <c r="D383" s="47">
        <v>380</v>
      </c>
      <c r="E383" s="188" t="s">
        <v>5062</v>
      </c>
      <c r="F383" s="188" t="s">
        <v>2970</v>
      </c>
      <c r="G383" s="188" t="s">
        <v>2970</v>
      </c>
      <c r="H383" s="188" t="s">
        <v>2970</v>
      </c>
      <c r="I383" s="188" t="s">
        <v>2970</v>
      </c>
      <c r="J383" s="188" t="s">
        <v>2970</v>
      </c>
      <c r="K383" s="188" t="s">
        <v>2970</v>
      </c>
    </row>
    <row r="384" spans="1:11" x14ac:dyDescent="0.25">
      <c r="A384" s="47" t="s">
        <v>5270</v>
      </c>
      <c r="D384" s="47">
        <v>381</v>
      </c>
      <c r="E384" s="188" t="s">
        <v>5063</v>
      </c>
      <c r="F384" s="188" t="s">
        <v>2970</v>
      </c>
      <c r="G384" s="188" t="s">
        <v>2970</v>
      </c>
      <c r="H384" s="188" t="s">
        <v>2970</v>
      </c>
      <c r="I384" s="188" t="s">
        <v>2970</v>
      </c>
      <c r="J384" s="188" t="s">
        <v>2970</v>
      </c>
      <c r="K384" s="188" t="s">
        <v>2970</v>
      </c>
    </row>
    <row r="385" spans="1:11" x14ac:dyDescent="0.25">
      <c r="A385" s="47" t="s">
        <v>5271</v>
      </c>
      <c r="D385" s="47">
        <v>382</v>
      </c>
      <c r="E385" s="188" t="s">
        <v>5064</v>
      </c>
      <c r="F385" s="188" t="s">
        <v>2970</v>
      </c>
      <c r="G385" s="188" t="s">
        <v>2970</v>
      </c>
      <c r="H385" s="188" t="s">
        <v>2970</v>
      </c>
      <c r="I385" s="188" t="s">
        <v>2970</v>
      </c>
      <c r="J385" s="188" t="s">
        <v>2970</v>
      </c>
      <c r="K385" s="188" t="s">
        <v>2970</v>
      </c>
    </row>
    <row r="386" spans="1:11" x14ac:dyDescent="0.25">
      <c r="A386" s="47" t="s">
        <v>3822</v>
      </c>
      <c r="D386" s="47">
        <v>383</v>
      </c>
      <c r="E386" s="188" t="s">
        <v>5065</v>
      </c>
      <c r="F386" s="188" t="s">
        <v>2970</v>
      </c>
      <c r="G386" s="188" t="s">
        <v>2970</v>
      </c>
      <c r="H386" s="188" t="s">
        <v>2970</v>
      </c>
      <c r="I386" s="188" t="s">
        <v>2970</v>
      </c>
      <c r="J386" s="188" t="s">
        <v>2970</v>
      </c>
      <c r="K386" s="188" t="s">
        <v>2970</v>
      </c>
    </row>
    <row r="387" spans="1:11" x14ac:dyDescent="0.25">
      <c r="A387" s="47" t="s">
        <v>5272</v>
      </c>
      <c r="D387" s="47">
        <v>384</v>
      </c>
      <c r="E387" s="188" t="s">
        <v>5066</v>
      </c>
      <c r="F387" s="188" t="s">
        <v>2970</v>
      </c>
      <c r="G387" s="188" t="s">
        <v>2970</v>
      </c>
      <c r="H387" s="188" t="s">
        <v>2970</v>
      </c>
      <c r="I387" s="188" t="s">
        <v>2970</v>
      </c>
      <c r="J387" s="188" t="s">
        <v>2970</v>
      </c>
      <c r="K387" s="188" t="s">
        <v>2970</v>
      </c>
    </row>
    <row r="388" spans="1:11" x14ac:dyDescent="0.25">
      <c r="A388" s="47" t="s">
        <v>5273</v>
      </c>
      <c r="B388" s="47" t="s">
        <v>4695</v>
      </c>
      <c r="D388" s="47">
        <v>385</v>
      </c>
      <c r="E388" s="188" t="s">
        <v>5067</v>
      </c>
      <c r="F388" s="188" t="s">
        <v>2970</v>
      </c>
      <c r="G388" s="188" t="s">
        <v>2970</v>
      </c>
      <c r="H388" s="188" t="s">
        <v>2970</v>
      </c>
      <c r="I388" s="188" t="s">
        <v>2970</v>
      </c>
      <c r="J388" s="188" t="s">
        <v>2970</v>
      </c>
      <c r="K388" s="188" t="s">
        <v>2970</v>
      </c>
    </row>
    <row r="389" spans="1:11" x14ac:dyDescent="0.25">
      <c r="A389" s="47" t="s">
        <v>5274</v>
      </c>
      <c r="B389" s="47" t="s">
        <v>4696</v>
      </c>
      <c r="D389" s="47">
        <v>386</v>
      </c>
      <c r="E389" s="188" t="s">
        <v>5068</v>
      </c>
      <c r="F389" s="188" t="s">
        <v>2970</v>
      </c>
      <c r="G389" s="188" t="s">
        <v>2970</v>
      </c>
      <c r="H389" s="188" t="s">
        <v>2970</v>
      </c>
      <c r="I389" s="188" t="s">
        <v>2970</v>
      </c>
      <c r="J389" s="188" t="s">
        <v>2970</v>
      </c>
      <c r="K389" s="188" t="s">
        <v>2970</v>
      </c>
    </row>
    <row r="390" spans="1:11" x14ac:dyDescent="0.25">
      <c r="A390" s="47" t="s">
        <v>5275</v>
      </c>
      <c r="B390" s="47" t="s">
        <v>4697</v>
      </c>
      <c r="D390" s="47">
        <v>387</v>
      </c>
      <c r="E390" s="188" t="s">
        <v>5069</v>
      </c>
      <c r="F390" s="188" t="s">
        <v>2970</v>
      </c>
      <c r="G390" s="188" t="s">
        <v>2970</v>
      </c>
      <c r="H390" s="188" t="s">
        <v>2970</v>
      </c>
      <c r="I390" s="188" t="s">
        <v>2970</v>
      </c>
      <c r="J390" s="188" t="s">
        <v>2970</v>
      </c>
      <c r="K390" s="188" t="s">
        <v>2970</v>
      </c>
    </row>
    <row r="391" spans="1:11" x14ac:dyDescent="0.25">
      <c r="A391" s="47" t="s">
        <v>5276</v>
      </c>
      <c r="B391" s="47" t="s">
        <v>4698</v>
      </c>
      <c r="D391" s="47">
        <v>388</v>
      </c>
      <c r="E391" s="188" t="s">
        <v>5070</v>
      </c>
      <c r="F391" s="188" t="s">
        <v>2970</v>
      </c>
      <c r="G391" s="188" t="s">
        <v>2970</v>
      </c>
      <c r="H391" s="188" t="s">
        <v>2970</v>
      </c>
      <c r="I391" s="188" t="s">
        <v>2970</v>
      </c>
      <c r="J391" s="188" t="s">
        <v>2970</v>
      </c>
      <c r="K391" s="188" t="s">
        <v>2970</v>
      </c>
    </row>
    <row r="392" spans="1:11" x14ac:dyDescent="0.25">
      <c r="A392" s="47" t="s">
        <v>5277</v>
      </c>
      <c r="B392" s="47" t="s">
        <v>4699</v>
      </c>
      <c r="D392" s="47">
        <v>389</v>
      </c>
      <c r="E392" s="188" t="s">
        <v>5071</v>
      </c>
      <c r="F392" s="188" t="s">
        <v>2970</v>
      </c>
      <c r="G392" s="188" t="s">
        <v>2970</v>
      </c>
      <c r="H392" s="188" t="s">
        <v>2970</v>
      </c>
      <c r="I392" s="188" t="s">
        <v>2970</v>
      </c>
      <c r="J392" s="188" t="s">
        <v>2970</v>
      </c>
      <c r="K392" s="188" t="s">
        <v>2970</v>
      </c>
    </row>
    <row r="393" spans="1:11" x14ac:dyDescent="0.25">
      <c r="A393" s="47" t="s">
        <v>5278</v>
      </c>
      <c r="B393" s="47" t="s">
        <v>4700</v>
      </c>
      <c r="D393" s="47">
        <v>390</v>
      </c>
      <c r="E393" s="188" t="s">
        <v>5072</v>
      </c>
      <c r="F393" s="188" t="s">
        <v>2970</v>
      </c>
      <c r="G393" s="188" t="s">
        <v>2970</v>
      </c>
      <c r="H393" s="188" t="s">
        <v>2970</v>
      </c>
      <c r="I393" s="188" t="s">
        <v>2970</v>
      </c>
      <c r="J393" s="188" t="s">
        <v>2970</v>
      </c>
      <c r="K393" s="188" t="s">
        <v>2970</v>
      </c>
    </row>
    <row r="394" spans="1:11" x14ac:dyDescent="0.25">
      <c r="A394" s="47" t="s">
        <v>5279</v>
      </c>
      <c r="B394" s="47" t="s">
        <v>4701</v>
      </c>
      <c r="D394" s="47">
        <v>391</v>
      </c>
      <c r="E394" s="188" t="s">
        <v>5073</v>
      </c>
      <c r="F394" s="188" t="s">
        <v>2970</v>
      </c>
      <c r="G394" s="188" t="s">
        <v>2970</v>
      </c>
      <c r="H394" s="188" t="s">
        <v>2970</v>
      </c>
      <c r="I394" s="188" t="s">
        <v>2970</v>
      </c>
      <c r="J394" s="188" t="s">
        <v>2970</v>
      </c>
      <c r="K394" s="188" t="s">
        <v>2970</v>
      </c>
    </row>
    <row r="395" spans="1:11" x14ac:dyDescent="0.25">
      <c r="A395" s="47" t="s">
        <v>5280</v>
      </c>
      <c r="B395" s="47" t="s">
        <v>4702</v>
      </c>
      <c r="D395" s="47">
        <v>392</v>
      </c>
      <c r="E395" s="188" t="s">
        <v>5074</v>
      </c>
      <c r="F395" s="188" t="s">
        <v>2970</v>
      </c>
      <c r="G395" s="188" t="s">
        <v>2970</v>
      </c>
      <c r="H395" s="188" t="s">
        <v>2970</v>
      </c>
      <c r="I395" s="188" t="s">
        <v>2970</v>
      </c>
      <c r="J395" s="188" t="s">
        <v>2970</v>
      </c>
      <c r="K395" s="188" t="s">
        <v>2970</v>
      </c>
    </row>
    <row r="396" spans="1:11" x14ac:dyDescent="0.25">
      <c r="A396" s="47" t="s">
        <v>5281</v>
      </c>
      <c r="B396" s="47" t="s">
        <v>4703</v>
      </c>
      <c r="D396" s="47">
        <v>393</v>
      </c>
      <c r="E396" s="188" t="s">
        <v>5075</v>
      </c>
      <c r="F396" s="188" t="s">
        <v>2970</v>
      </c>
      <c r="G396" s="188" t="s">
        <v>2970</v>
      </c>
      <c r="H396" s="188" t="s">
        <v>2970</v>
      </c>
      <c r="I396" s="188" t="s">
        <v>2970</v>
      </c>
      <c r="J396" s="188" t="s">
        <v>2970</v>
      </c>
      <c r="K396" s="188" t="s">
        <v>2970</v>
      </c>
    </row>
    <row r="397" spans="1:11" x14ac:dyDescent="0.25">
      <c r="A397" s="47" t="s">
        <v>5282</v>
      </c>
      <c r="D397" s="47">
        <v>394</v>
      </c>
      <c r="E397" s="188" t="s">
        <v>5076</v>
      </c>
      <c r="F397" s="188" t="s">
        <v>2970</v>
      </c>
      <c r="G397" s="188" t="s">
        <v>2970</v>
      </c>
      <c r="H397" s="188" t="s">
        <v>2970</v>
      </c>
      <c r="I397" s="188" t="s">
        <v>2970</v>
      </c>
      <c r="J397" s="188" t="s">
        <v>2970</v>
      </c>
      <c r="K397" s="188" t="s">
        <v>2970</v>
      </c>
    </row>
    <row r="398" spans="1:11" x14ac:dyDescent="0.25">
      <c r="A398" s="47" t="s">
        <v>5283</v>
      </c>
      <c r="D398" s="47">
        <v>395</v>
      </c>
      <c r="E398" s="188" t="s">
        <v>2970</v>
      </c>
      <c r="F398" s="188" t="s">
        <v>2970</v>
      </c>
      <c r="G398" s="188" t="s">
        <v>2970</v>
      </c>
      <c r="H398" s="188" t="s">
        <v>2970</v>
      </c>
      <c r="I398" s="188" t="s">
        <v>2970</v>
      </c>
      <c r="J398" s="188" t="s">
        <v>2970</v>
      </c>
      <c r="K398" s="188">
        <v>613</v>
      </c>
    </row>
    <row r="399" spans="1:11" x14ac:dyDescent="0.25">
      <c r="A399" s="47" t="s">
        <v>5284</v>
      </c>
      <c r="B399" s="47" t="s">
        <v>4704</v>
      </c>
      <c r="D399" s="47">
        <v>396</v>
      </c>
      <c r="E399" s="188" t="s">
        <v>2970</v>
      </c>
      <c r="F399" s="188" t="s">
        <v>2970</v>
      </c>
      <c r="G399" s="188" t="s">
        <v>2970</v>
      </c>
      <c r="H399" s="188" t="s">
        <v>2970</v>
      </c>
      <c r="I399" s="188" t="s">
        <v>2970</v>
      </c>
      <c r="J399" s="188" t="s">
        <v>2970</v>
      </c>
      <c r="K399" s="188">
        <v>614</v>
      </c>
    </row>
    <row r="400" spans="1:11" x14ac:dyDescent="0.25">
      <c r="A400" s="47" t="s">
        <v>5285</v>
      </c>
      <c r="B400" s="47" t="s">
        <v>4705</v>
      </c>
      <c r="D400" s="47">
        <v>397</v>
      </c>
      <c r="E400" s="188" t="s">
        <v>5077</v>
      </c>
      <c r="F400" s="188" t="s">
        <v>2970</v>
      </c>
      <c r="G400" s="188" t="s">
        <v>2970</v>
      </c>
      <c r="H400" s="188" t="s">
        <v>2970</v>
      </c>
      <c r="I400" s="188" t="s">
        <v>2970</v>
      </c>
      <c r="J400" s="188" t="s">
        <v>2970</v>
      </c>
      <c r="K400" s="188">
        <v>615</v>
      </c>
    </row>
    <row r="401" spans="1:11" x14ac:dyDescent="0.25">
      <c r="A401" s="47" t="s">
        <v>5286</v>
      </c>
      <c r="B401" s="47" t="s">
        <v>4706</v>
      </c>
      <c r="D401" s="47">
        <v>398</v>
      </c>
      <c r="E401" s="188" t="s">
        <v>5078</v>
      </c>
      <c r="F401" s="188" t="s">
        <v>2970</v>
      </c>
      <c r="G401" s="188" t="s">
        <v>2970</v>
      </c>
      <c r="H401" s="188" t="s">
        <v>2970</v>
      </c>
      <c r="I401" s="188" t="s">
        <v>2970</v>
      </c>
      <c r="J401" s="188" t="s">
        <v>2970</v>
      </c>
      <c r="K401" s="188" t="s">
        <v>2970</v>
      </c>
    </row>
    <row r="402" spans="1:11" x14ac:dyDescent="0.25">
      <c r="A402" s="47" t="s">
        <v>5287</v>
      </c>
      <c r="B402" s="47" t="s">
        <v>4707</v>
      </c>
      <c r="D402" s="47">
        <v>399</v>
      </c>
      <c r="E402" s="188" t="s">
        <v>5079</v>
      </c>
      <c r="F402" s="188" t="s">
        <v>2970</v>
      </c>
      <c r="G402" s="188" t="s">
        <v>2970</v>
      </c>
      <c r="H402" s="188" t="s">
        <v>2970</v>
      </c>
      <c r="I402" s="188" t="s">
        <v>2970</v>
      </c>
      <c r="J402" s="188" t="s">
        <v>2970</v>
      </c>
      <c r="K402" s="188" t="s">
        <v>2970</v>
      </c>
    </row>
    <row r="403" spans="1:11" x14ac:dyDescent="0.25">
      <c r="A403" s="47" t="s">
        <v>5288</v>
      </c>
      <c r="D403" s="47">
        <v>400</v>
      </c>
      <c r="E403" s="188" t="s">
        <v>5080</v>
      </c>
      <c r="F403" s="188" t="s">
        <v>2970</v>
      </c>
      <c r="G403" s="188" t="s">
        <v>2970</v>
      </c>
      <c r="H403" s="188" t="s">
        <v>2970</v>
      </c>
      <c r="I403" s="188" t="s">
        <v>2970</v>
      </c>
      <c r="J403" s="188" t="s">
        <v>2970</v>
      </c>
      <c r="K403" s="188" t="s">
        <v>2970</v>
      </c>
    </row>
    <row r="404" spans="1:11" x14ac:dyDescent="0.25">
      <c r="A404" s="47" t="s">
        <v>5289</v>
      </c>
      <c r="D404" s="47">
        <v>401</v>
      </c>
      <c r="E404" s="188" t="s">
        <v>5081</v>
      </c>
      <c r="F404" s="188" t="s">
        <v>2970</v>
      </c>
      <c r="G404" s="188" t="s">
        <v>2970</v>
      </c>
      <c r="H404" s="188" t="s">
        <v>2970</v>
      </c>
      <c r="I404" s="188" t="s">
        <v>2970</v>
      </c>
      <c r="J404" s="188" t="s">
        <v>2970</v>
      </c>
      <c r="K404" s="188" t="s">
        <v>2970</v>
      </c>
    </row>
    <row r="405" spans="1:11" x14ac:dyDescent="0.25">
      <c r="A405" s="47" t="s">
        <v>5290</v>
      </c>
      <c r="B405" s="47" t="s">
        <v>4708</v>
      </c>
      <c r="D405" s="47">
        <v>402</v>
      </c>
      <c r="E405" s="188" t="s">
        <v>5082</v>
      </c>
      <c r="F405" s="188" t="s">
        <v>2970</v>
      </c>
      <c r="G405" s="188" t="s">
        <v>2970</v>
      </c>
      <c r="H405" s="188" t="s">
        <v>2970</v>
      </c>
      <c r="I405" s="188" t="s">
        <v>2970</v>
      </c>
      <c r="J405" s="188" t="s">
        <v>2970</v>
      </c>
      <c r="K405" s="188" t="s">
        <v>2970</v>
      </c>
    </row>
    <row r="406" spans="1:11" x14ac:dyDescent="0.25">
      <c r="A406" s="47" t="s">
        <v>5291</v>
      </c>
      <c r="B406" s="47" t="s">
        <v>4709</v>
      </c>
      <c r="D406" s="47">
        <v>403</v>
      </c>
      <c r="E406" s="188" t="s">
        <v>5083</v>
      </c>
      <c r="F406" s="188" t="s">
        <v>2970</v>
      </c>
      <c r="G406" s="188" t="s">
        <v>2970</v>
      </c>
      <c r="H406" s="188" t="s">
        <v>2970</v>
      </c>
      <c r="I406" s="188" t="s">
        <v>2970</v>
      </c>
      <c r="J406" s="188" t="s">
        <v>2970</v>
      </c>
      <c r="K406" s="188" t="s">
        <v>2970</v>
      </c>
    </row>
    <row r="407" spans="1:11" x14ac:dyDescent="0.25">
      <c r="A407" s="47" t="s">
        <v>5292</v>
      </c>
      <c r="B407" s="47" t="s">
        <v>4710</v>
      </c>
      <c r="D407" s="47">
        <v>404</v>
      </c>
      <c r="E407" s="188" t="s">
        <v>5084</v>
      </c>
      <c r="F407" s="188" t="s">
        <v>2970</v>
      </c>
      <c r="G407" s="188" t="s">
        <v>2970</v>
      </c>
      <c r="H407" s="188" t="s">
        <v>2970</v>
      </c>
      <c r="I407" s="188" t="s">
        <v>2970</v>
      </c>
      <c r="J407" s="188" t="s">
        <v>2970</v>
      </c>
      <c r="K407" s="188" t="s">
        <v>2970</v>
      </c>
    </row>
    <row r="408" spans="1:11" x14ac:dyDescent="0.25">
      <c r="A408" s="47" t="s">
        <v>5293</v>
      </c>
      <c r="D408" s="47">
        <v>405</v>
      </c>
      <c r="E408" s="188" t="s">
        <v>5085</v>
      </c>
      <c r="F408" s="188" t="s">
        <v>2970</v>
      </c>
      <c r="G408" s="188" t="s">
        <v>2970</v>
      </c>
      <c r="H408" s="188" t="s">
        <v>2970</v>
      </c>
      <c r="I408" s="188" t="s">
        <v>2970</v>
      </c>
      <c r="J408" s="188" t="s">
        <v>2970</v>
      </c>
      <c r="K408" s="188" t="s">
        <v>2970</v>
      </c>
    </row>
    <row r="409" spans="1:11" x14ac:dyDescent="0.25">
      <c r="A409" s="47" t="s">
        <v>5294</v>
      </c>
      <c r="D409" s="47">
        <v>406</v>
      </c>
      <c r="E409" s="188" t="s">
        <v>5086</v>
      </c>
      <c r="F409" s="188" t="s">
        <v>2970</v>
      </c>
      <c r="G409" s="188" t="s">
        <v>2970</v>
      </c>
      <c r="H409" s="188" t="s">
        <v>2970</v>
      </c>
      <c r="I409" s="188" t="s">
        <v>2970</v>
      </c>
      <c r="J409" s="188" t="s">
        <v>2970</v>
      </c>
      <c r="K409" s="188" t="s">
        <v>2970</v>
      </c>
    </row>
    <row r="410" spans="1:11" x14ac:dyDescent="0.25">
      <c r="A410" s="47" t="s">
        <v>3814</v>
      </c>
      <c r="D410" s="47">
        <v>407</v>
      </c>
      <c r="E410" s="188" t="s">
        <v>5087</v>
      </c>
      <c r="F410" s="188" t="s">
        <v>2970</v>
      </c>
      <c r="G410" s="188" t="s">
        <v>2970</v>
      </c>
      <c r="H410" s="188" t="s">
        <v>2970</v>
      </c>
      <c r="I410" s="188" t="s">
        <v>2970</v>
      </c>
      <c r="J410" s="188" t="s">
        <v>2970</v>
      </c>
      <c r="K410" s="188" t="s">
        <v>2970</v>
      </c>
    </row>
    <row r="411" spans="1:11" x14ac:dyDescent="0.25">
      <c r="A411" s="47" t="s">
        <v>5295</v>
      </c>
      <c r="D411" s="47">
        <v>408</v>
      </c>
      <c r="E411" s="188" t="s">
        <v>5088</v>
      </c>
      <c r="F411" s="188" t="s">
        <v>2970</v>
      </c>
      <c r="G411" s="188" t="s">
        <v>2970</v>
      </c>
      <c r="H411" s="188" t="s">
        <v>2970</v>
      </c>
      <c r="I411" s="188" t="s">
        <v>2970</v>
      </c>
      <c r="J411" s="188" t="s">
        <v>2970</v>
      </c>
      <c r="K411" s="188" t="s">
        <v>2970</v>
      </c>
    </row>
    <row r="412" spans="1:11" x14ac:dyDescent="0.25">
      <c r="A412" s="47" t="s">
        <v>5296</v>
      </c>
      <c r="D412" s="47">
        <v>409</v>
      </c>
      <c r="E412" s="188" t="s">
        <v>5089</v>
      </c>
      <c r="F412" s="188" t="s">
        <v>2970</v>
      </c>
      <c r="G412" s="188" t="s">
        <v>2970</v>
      </c>
      <c r="H412" s="188" t="s">
        <v>2970</v>
      </c>
      <c r="I412" s="188" t="s">
        <v>2970</v>
      </c>
      <c r="J412" s="188" t="s">
        <v>2970</v>
      </c>
      <c r="K412" s="188">
        <v>619</v>
      </c>
    </row>
    <row r="413" spans="1:11" x14ac:dyDescent="0.25">
      <c r="A413" s="47" t="s">
        <v>5297</v>
      </c>
      <c r="D413" s="47">
        <v>410</v>
      </c>
      <c r="E413" s="188" t="s">
        <v>5090</v>
      </c>
      <c r="F413" s="188" t="s">
        <v>2970</v>
      </c>
      <c r="G413" s="188" t="s">
        <v>2970</v>
      </c>
      <c r="H413" s="188" t="s">
        <v>2970</v>
      </c>
      <c r="I413" s="188" t="s">
        <v>2970</v>
      </c>
      <c r="J413" s="188" t="s">
        <v>2970</v>
      </c>
      <c r="K413" s="188">
        <v>620</v>
      </c>
    </row>
    <row r="414" spans="1:11" x14ac:dyDescent="0.25">
      <c r="A414" s="47" t="s">
        <v>5298</v>
      </c>
      <c r="D414" s="47">
        <v>411</v>
      </c>
      <c r="E414" s="188" t="s">
        <v>5091</v>
      </c>
      <c r="F414" s="188" t="s">
        <v>2970</v>
      </c>
      <c r="G414" s="188" t="s">
        <v>2970</v>
      </c>
      <c r="H414" s="188" t="s">
        <v>2970</v>
      </c>
      <c r="I414" s="188" t="s">
        <v>2970</v>
      </c>
      <c r="J414" s="188" t="s">
        <v>2970</v>
      </c>
      <c r="K414" s="188" t="s">
        <v>2970</v>
      </c>
    </row>
    <row r="415" spans="1:11" x14ac:dyDescent="0.25">
      <c r="A415" s="47" t="s">
        <v>3848</v>
      </c>
      <c r="B415" s="47" t="s">
        <v>3691</v>
      </c>
      <c r="D415" s="47">
        <v>412</v>
      </c>
      <c r="E415" s="188" t="s">
        <v>5092</v>
      </c>
      <c r="F415" s="188" t="s">
        <v>2970</v>
      </c>
      <c r="G415" s="188" t="s">
        <v>2970</v>
      </c>
      <c r="H415" s="188" t="s">
        <v>2970</v>
      </c>
      <c r="I415" s="188" t="s">
        <v>2970</v>
      </c>
      <c r="J415" s="188" t="s">
        <v>2970</v>
      </c>
      <c r="K415" s="188" t="s">
        <v>2970</v>
      </c>
    </row>
    <row r="416" spans="1:11" x14ac:dyDescent="0.25">
      <c r="A416" s="47" t="s">
        <v>5299</v>
      </c>
      <c r="B416" s="47" t="s">
        <v>4711</v>
      </c>
      <c r="D416" s="47">
        <v>413</v>
      </c>
      <c r="E416" s="188" t="s">
        <v>5093</v>
      </c>
      <c r="F416" s="188" t="s">
        <v>2970</v>
      </c>
      <c r="G416" s="188" t="s">
        <v>2970</v>
      </c>
      <c r="H416" s="188" t="s">
        <v>2970</v>
      </c>
      <c r="I416" s="188" t="s">
        <v>2970</v>
      </c>
      <c r="J416" s="188" t="s">
        <v>2970</v>
      </c>
      <c r="K416" s="188" t="s">
        <v>2970</v>
      </c>
    </row>
    <row r="417" spans="1:11" x14ac:dyDescent="0.25">
      <c r="A417" s="47" t="s">
        <v>5300</v>
      </c>
      <c r="B417" s="47" t="s">
        <v>4712</v>
      </c>
      <c r="D417" s="47">
        <v>414</v>
      </c>
      <c r="E417" s="188" t="s">
        <v>5094</v>
      </c>
      <c r="F417" s="188" t="s">
        <v>2970</v>
      </c>
      <c r="G417" s="188" t="s">
        <v>2970</v>
      </c>
      <c r="H417" s="188" t="s">
        <v>2970</v>
      </c>
      <c r="I417" s="188" t="s">
        <v>2970</v>
      </c>
      <c r="J417" s="188" t="s">
        <v>2970</v>
      </c>
      <c r="K417" s="188" t="s">
        <v>2970</v>
      </c>
    </row>
    <row r="418" spans="1:11" x14ac:dyDescent="0.25">
      <c r="A418" s="47" t="s">
        <v>5301</v>
      </c>
      <c r="B418" s="47" t="s">
        <v>4713</v>
      </c>
      <c r="D418" s="47">
        <v>415</v>
      </c>
      <c r="E418" s="188" t="s">
        <v>5095</v>
      </c>
      <c r="F418" s="188" t="s">
        <v>2970</v>
      </c>
      <c r="G418" s="188" t="s">
        <v>2970</v>
      </c>
      <c r="H418" s="188" t="s">
        <v>2970</v>
      </c>
      <c r="I418" s="188" t="s">
        <v>2970</v>
      </c>
      <c r="J418" s="188" t="s">
        <v>2970</v>
      </c>
      <c r="K418" s="188" t="s">
        <v>2970</v>
      </c>
    </row>
    <row r="419" spans="1:11" x14ac:dyDescent="0.25">
      <c r="A419" s="47" t="s">
        <v>5302</v>
      </c>
      <c r="B419" s="47" t="s">
        <v>4714</v>
      </c>
      <c r="D419" s="47">
        <v>416</v>
      </c>
      <c r="E419" s="188" t="s">
        <v>5096</v>
      </c>
      <c r="F419" s="188" t="s">
        <v>2970</v>
      </c>
      <c r="G419" s="188" t="s">
        <v>2970</v>
      </c>
      <c r="H419" s="188" t="s">
        <v>2970</v>
      </c>
      <c r="I419" s="188" t="s">
        <v>2970</v>
      </c>
      <c r="J419" s="188" t="s">
        <v>2970</v>
      </c>
      <c r="K419" s="188" t="s">
        <v>2970</v>
      </c>
    </row>
    <row r="420" spans="1:11" x14ac:dyDescent="0.25">
      <c r="A420" s="47" t="s">
        <v>5303</v>
      </c>
      <c r="B420" s="47" t="s">
        <v>4715</v>
      </c>
      <c r="D420" s="47">
        <v>417</v>
      </c>
      <c r="E420" s="188" t="s">
        <v>5097</v>
      </c>
      <c r="F420" s="188" t="s">
        <v>2970</v>
      </c>
      <c r="G420" s="188" t="s">
        <v>2970</v>
      </c>
      <c r="H420" s="188" t="s">
        <v>2970</v>
      </c>
      <c r="I420" s="188" t="s">
        <v>2970</v>
      </c>
      <c r="J420" s="188" t="s">
        <v>2970</v>
      </c>
      <c r="K420" s="188" t="s">
        <v>2970</v>
      </c>
    </row>
    <row r="421" spans="1:11" x14ac:dyDescent="0.25">
      <c r="A421" s="47" t="s">
        <v>5304</v>
      </c>
      <c r="B421" s="47" t="s">
        <v>4716</v>
      </c>
      <c r="D421" s="47">
        <v>418</v>
      </c>
      <c r="E421" s="188" t="s">
        <v>5098</v>
      </c>
      <c r="F421" s="188" t="s">
        <v>2970</v>
      </c>
      <c r="G421" s="188" t="s">
        <v>2970</v>
      </c>
      <c r="H421" s="188" t="s">
        <v>2970</v>
      </c>
      <c r="I421" s="188" t="s">
        <v>2970</v>
      </c>
      <c r="J421" s="188" t="s">
        <v>2970</v>
      </c>
      <c r="K421" s="188" t="s">
        <v>2970</v>
      </c>
    </row>
    <row r="422" spans="1:11" x14ac:dyDescent="0.25">
      <c r="A422" s="47" t="s">
        <v>5305</v>
      </c>
      <c r="B422" s="47" t="s">
        <v>4717</v>
      </c>
      <c r="D422" s="47">
        <v>419</v>
      </c>
      <c r="E422" s="188" t="s">
        <v>5099</v>
      </c>
      <c r="F422" s="188" t="s">
        <v>2970</v>
      </c>
      <c r="G422" s="188" t="s">
        <v>2970</v>
      </c>
      <c r="H422" s="188" t="s">
        <v>2970</v>
      </c>
      <c r="I422" s="188" t="s">
        <v>2970</v>
      </c>
      <c r="J422" s="188" t="s">
        <v>2970</v>
      </c>
      <c r="K422" s="188" t="s">
        <v>2970</v>
      </c>
    </row>
    <row r="423" spans="1:11" x14ac:dyDescent="0.25">
      <c r="A423" s="47" t="s">
        <v>5306</v>
      </c>
      <c r="B423" s="47" t="s">
        <v>4718</v>
      </c>
      <c r="D423" s="47">
        <v>420</v>
      </c>
      <c r="E423" s="188" t="s">
        <v>5100</v>
      </c>
      <c r="F423" s="188" t="s">
        <v>2970</v>
      </c>
      <c r="G423" s="188" t="s">
        <v>2970</v>
      </c>
      <c r="H423" s="188" t="s">
        <v>2970</v>
      </c>
      <c r="I423" s="188" t="s">
        <v>2970</v>
      </c>
      <c r="J423" s="188" t="s">
        <v>2970</v>
      </c>
      <c r="K423" s="188">
        <v>621</v>
      </c>
    </row>
    <row r="424" spans="1:11" x14ac:dyDescent="0.25">
      <c r="A424" s="47" t="s">
        <v>5307</v>
      </c>
      <c r="B424" s="47" t="s">
        <v>4719</v>
      </c>
      <c r="D424" s="47">
        <v>421</v>
      </c>
      <c r="E424" s="188" t="s">
        <v>5101</v>
      </c>
      <c r="F424" s="188" t="s">
        <v>2970</v>
      </c>
      <c r="G424" s="188" t="s">
        <v>2970</v>
      </c>
      <c r="H424" s="188" t="s">
        <v>2970</v>
      </c>
      <c r="I424" s="188" t="s">
        <v>2970</v>
      </c>
      <c r="J424" s="188" t="s">
        <v>2970</v>
      </c>
      <c r="K424" s="188">
        <v>622</v>
      </c>
    </row>
    <row r="425" spans="1:11" x14ac:dyDescent="0.25">
      <c r="A425" s="47" t="s">
        <v>5308</v>
      </c>
      <c r="B425" s="47" t="s">
        <v>4720</v>
      </c>
      <c r="D425" s="47">
        <v>422</v>
      </c>
      <c r="E425" s="188" t="s">
        <v>5102</v>
      </c>
      <c r="F425" s="188" t="s">
        <v>2970</v>
      </c>
      <c r="G425" s="188" t="s">
        <v>2970</v>
      </c>
      <c r="H425" s="188" t="s">
        <v>2970</v>
      </c>
      <c r="I425" s="188" t="s">
        <v>2970</v>
      </c>
      <c r="J425" s="188" t="s">
        <v>2970</v>
      </c>
      <c r="K425" s="188" t="s">
        <v>2970</v>
      </c>
    </row>
    <row r="426" spans="1:11" x14ac:dyDescent="0.25">
      <c r="A426" s="47" t="s">
        <v>5309</v>
      </c>
      <c r="B426" s="47" t="s">
        <v>4721</v>
      </c>
      <c r="D426" s="47">
        <v>423</v>
      </c>
      <c r="E426" s="188" t="s">
        <v>5103</v>
      </c>
      <c r="F426" s="188" t="s">
        <v>2970</v>
      </c>
      <c r="G426" s="188" t="s">
        <v>2970</v>
      </c>
      <c r="H426" s="188" t="s">
        <v>2970</v>
      </c>
      <c r="I426" s="188" t="s">
        <v>2970</v>
      </c>
      <c r="J426" s="188" t="s">
        <v>2970</v>
      </c>
      <c r="K426" s="188" t="s">
        <v>2970</v>
      </c>
    </row>
    <row r="427" spans="1:11" x14ac:dyDescent="0.25">
      <c r="A427" s="47" t="s">
        <v>5310</v>
      </c>
      <c r="B427" s="47" t="s">
        <v>4722</v>
      </c>
      <c r="D427" s="47">
        <v>424</v>
      </c>
      <c r="E427" s="188" t="s">
        <v>5104</v>
      </c>
      <c r="F427" s="188" t="s">
        <v>2970</v>
      </c>
      <c r="G427" s="188" t="s">
        <v>2970</v>
      </c>
      <c r="H427" s="188" t="s">
        <v>2970</v>
      </c>
      <c r="I427" s="188" t="s">
        <v>2970</v>
      </c>
      <c r="J427" s="188" t="s">
        <v>2970</v>
      </c>
      <c r="K427" s="188" t="s">
        <v>2970</v>
      </c>
    </row>
    <row r="428" spans="1:11" x14ac:dyDescent="0.25">
      <c r="A428" s="47" t="s">
        <v>5311</v>
      </c>
      <c r="B428" s="47" t="s">
        <v>4723</v>
      </c>
      <c r="D428" s="47">
        <v>425</v>
      </c>
      <c r="E428" s="188" t="s">
        <v>5105</v>
      </c>
      <c r="F428" s="188" t="s">
        <v>2970</v>
      </c>
      <c r="G428" s="188" t="s">
        <v>2970</v>
      </c>
      <c r="H428" s="188" t="s">
        <v>2970</v>
      </c>
      <c r="I428" s="188" t="s">
        <v>2970</v>
      </c>
      <c r="J428" s="188" t="s">
        <v>2970</v>
      </c>
      <c r="K428" s="188" t="s">
        <v>2970</v>
      </c>
    </row>
    <row r="429" spans="1:11" x14ac:dyDescent="0.25">
      <c r="A429" s="47" t="s">
        <v>5312</v>
      </c>
      <c r="B429" s="47" t="s">
        <v>4724</v>
      </c>
      <c r="D429" s="47">
        <v>426</v>
      </c>
      <c r="E429" s="188" t="s">
        <v>5106</v>
      </c>
      <c r="F429" s="188" t="s">
        <v>2970</v>
      </c>
      <c r="G429" s="188" t="s">
        <v>2970</v>
      </c>
      <c r="H429" s="188" t="s">
        <v>2970</v>
      </c>
      <c r="I429" s="188" t="s">
        <v>2970</v>
      </c>
      <c r="J429" s="188" t="s">
        <v>2970</v>
      </c>
      <c r="K429" s="188" t="s">
        <v>2970</v>
      </c>
    </row>
    <row r="430" spans="1:11" x14ac:dyDescent="0.25">
      <c r="A430" s="47" t="s">
        <v>5313</v>
      </c>
      <c r="B430" s="47" t="s">
        <v>4725</v>
      </c>
      <c r="D430" s="47">
        <v>427</v>
      </c>
      <c r="E430" s="188" t="s">
        <v>5107</v>
      </c>
      <c r="F430" s="188" t="s">
        <v>2970</v>
      </c>
      <c r="G430" s="188" t="s">
        <v>2970</v>
      </c>
      <c r="H430" s="188" t="s">
        <v>2970</v>
      </c>
      <c r="I430" s="188" t="s">
        <v>2970</v>
      </c>
      <c r="J430" s="188" t="s">
        <v>2970</v>
      </c>
      <c r="K430" s="188" t="s">
        <v>2970</v>
      </c>
    </row>
    <row r="431" spans="1:11" x14ac:dyDescent="0.25">
      <c r="A431" s="47" t="s">
        <v>5314</v>
      </c>
      <c r="B431" s="47" t="s">
        <v>4726</v>
      </c>
      <c r="D431" s="47">
        <v>428</v>
      </c>
      <c r="E431" s="188" t="s">
        <v>5108</v>
      </c>
      <c r="F431" s="188" t="s">
        <v>2970</v>
      </c>
      <c r="G431" s="188" t="s">
        <v>2970</v>
      </c>
      <c r="H431" s="188" t="s">
        <v>2970</v>
      </c>
      <c r="I431" s="188" t="s">
        <v>2970</v>
      </c>
      <c r="J431" s="188" t="s">
        <v>2970</v>
      </c>
      <c r="K431" s="188" t="s">
        <v>2970</v>
      </c>
    </row>
    <row r="432" spans="1:11" x14ac:dyDescent="0.25">
      <c r="A432" s="47" t="s">
        <v>5315</v>
      </c>
      <c r="B432" s="47" t="s">
        <v>4727</v>
      </c>
      <c r="D432" s="47">
        <v>429</v>
      </c>
      <c r="E432" s="188" t="s">
        <v>5109</v>
      </c>
      <c r="F432" s="188" t="s">
        <v>2970</v>
      </c>
      <c r="G432" s="188" t="s">
        <v>2970</v>
      </c>
      <c r="H432" s="188" t="s">
        <v>2970</v>
      </c>
      <c r="I432" s="188" t="s">
        <v>2970</v>
      </c>
      <c r="J432" s="188" t="s">
        <v>2970</v>
      </c>
      <c r="K432" s="188" t="s">
        <v>2970</v>
      </c>
    </row>
    <row r="433" spans="1:11" x14ac:dyDescent="0.25">
      <c r="A433" s="47" t="s">
        <v>5316</v>
      </c>
      <c r="B433" s="47" t="s">
        <v>4728</v>
      </c>
      <c r="D433" s="47">
        <v>430</v>
      </c>
      <c r="E433" s="188" t="s">
        <v>5110</v>
      </c>
      <c r="F433" s="188" t="s">
        <v>2970</v>
      </c>
      <c r="G433" s="188" t="s">
        <v>2970</v>
      </c>
      <c r="H433" s="188" t="s">
        <v>2970</v>
      </c>
      <c r="I433" s="188" t="s">
        <v>2970</v>
      </c>
      <c r="J433" s="188" t="s">
        <v>2970</v>
      </c>
      <c r="K433" s="188" t="s">
        <v>2970</v>
      </c>
    </row>
    <row r="434" spans="1:11" x14ac:dyDescent="0.25">
      <c r="A434" s="47" t="s">
        <v>5317</v>
      </c>
      <c r="B434" s="47" t="s">
        <v>4729</v>
      </c>
      <c r="D434" s="47">
        <v>431</v>
      </c>
      <c r="E434" s="188" t="s">
        <v>3820</v>
      </c>
      <c r="F434" s="188" t="s">
        <v>2970</v>
      </c>
      <c r="G434" s="188" t="s">
        <v>2970</v>
      </c>
      <c r="H434" s="188" t="s">
        <v>2970</v>
      </c>
      <c r="I434" s="188" t="s">
        <v>2970</v>
      </c>
      <c r="J434" s="188" t="s">
        <v>2970</v>
      </c>
      <c r="K434" s="188" t="s">
        <v>2970</v>
      </c>
    </row>
    <row r="435" spans="1:11" x14ac:dyDescent="0.25">
      <c r="A435" s="47" t="s">
        <v>5318</v>
      </c>
      <c r="B435" s="47" t="s">
        <v>4730</v>
      </c>
      <c r="D435" s="47">
        <v>432</v>
      </c>
      <c r="E435" s="188" t="s">
        <v>5111</v>
      </c>
      <c r="F435" s="188" t="s">
        <v>2970</v>
      </c>
      <c r="G435" s="188" t="s">
        <v>2970</v>
      </c>
      <c r="H435" s="188" t="s">
        <v>2970</v>
      </c>
      <c r="I435" s="188" t="s">
        <v>2970</v>
      </c>
      <c r="J435" s="188" t="s">
        <v>2970</v>
      </c>
      <c r="K435" s="188" t="s">
        <v>2970</v>
      </c>
    </row>
    <row r="436" spans="1:11" x14ac:dyDescent="0.25">
      <c r="A436" s="47" t="s">
        <v>5319</v>
      </c>
      <c r="B436" s="47" t="s">
        <v>4731</v>
      </c>
      <c r="D436" s="47">
        <v>433</v>
      </c>
      <c r="E436" s="188" t="s">
        <v>5112</v>
      </c>
      <c r="F436" s="188" t="s">
        <v>2970</v>
      </c>
      <c r="G436" s="188" t="s">
        <v>2970</v>
      </c>
      <c r="H436" s="188" t="s">
        <v>2970</v>
      </c>
      <c r="I436" s="188" t="s">
        <v>2970</v>
      </c>
      <c r="J436" s="188" t="s">
        <v>2970</v>
      </c>
      <c r="K436" s="188" t="s">
        <v>2970</v>
      </c>
    </row>
    <row r="437" spans="1:11" x14ac:dyDescent="0.25">
      <c r="A437" s="47" t="s">
        <v>5320</v>
      </c>
      <c r="B437" s="47" t="s">
        <v>4732</v>
      </c>
      <c r="D437" s="47">
        <v>434</v>
      </c>
      <c r="E437" s="188" t="s">
        <v>5113</v>
      </c>
      <c r="F437" s="188" t="s">
        <v>2970</v>
      </c>
      <c r="G437" s="188" t="s">
        <v>2970</v>
      </c>
      <c r="H437" s="188" t="s">
        <v>2970</v>
      </c>
      <c r="I437" s="188" t="s">
        <v>2970</v>
      </c>
      <c r="J437" s="188" t="s">
        <v>2970</v>
      </c>
      <c r="K437" s="188" t="s">
        <v>2970</v>
      </c>
    </row>
    <row r="438" spans="1:11" x14ac:dyDescent="0.25">
      <c r="A438" s="47" t="s">
        <v>5321</v>
      </c>
      <c r="B438" s="47" t="s">
        <v>4733</v>
      </c>
      <c r="D438" s="47">
        <v>435</v>
      </c>
      <c r="E438" s="188" t="s">
        <v>5114</v>
      </c>
      <c r="F438" s="188" t="s">
        <v>2970</v>
      </c>
      <c r="G438" s="188" t="s">
        <v>2970</v>
      </c>
      <c r="H438" s="188" t="s">
        <v>2970</v>
      </c>
      <c r="I438" s="188" t="s">
        <v>2970</v>
      </c>
      <c r="J438" s="188" t="s">
        <v>2970</v>
      </c>
      <c r="K438" s="188" t="s">
        <v>2970</v>
      </c>
    </row>
    <row r="439" spans="1:11" x14ac:dyDescent="0.25">
      <c r="A439" s="47" t="s">
        <v>5322</v>
      </c>
      <c r="B439" s="47" t="s">
        <v>4734</v>
      </c>
      <c r="D439" s="47">
        <v>436</v>
      </c>
      <c r="E439" s="188" t="s">
        <v>5115</v>
      </c>
      <c r="F439" s="188" t="s">
        <v>2970</v>
      </c>
      <c r="G439" s="188" t="s">
        <v>2970</v>
      </c>
      <c r="H439" s="188" t="s">
        <v>2970</v>
      </c>
      <c r="I439" s="188" t="s">
        <v>2970</v>
      </c>
      <c r="J439" s="188" t="s">
        <v>2970</v>
      </c>
      <c r="K439" s="188" t="s">
        <v>2970</v>
      </c>
    </row>
    <row r="440" spans="1:11" x14ac:dyDescent="0.25">
      <c r="A440" s="47" t="s">
        <v>5323</v>
      </c>
      <c r="B440" s="47" t="s">
        <v>4735</v>
      </c>
      <c r="D440" s="47">
        <v>437</v>
      </c>
      <c r="E440" s="188" t="s">
        <v>5116</v>
      </c>
      <c r="F440" s="188" t="s">
        <v>2970</v>
      </c>
      <c r="G440" s="188" t="s">
        <v>2970</v>
      </c>
      <c r="H440" s="188" t="s">
        <v>2970</v>
      </c>
      <c r="I440" s="188" t="s">
        <v>2970</v>
      </c>
      <c r="J440" s="188" t="s">
        <v>2970</v>
      </c>
      <c r="K440" s="188" t="s">
        <v>2970</v>
      </c>
    </row>
    <row r="441" spans="1:11" x14ac:dyDescent="0.25">
      <c r="B441" s="47" t="s">
        <v>3692</v>
      </c>
      <c r="D441" s="47">
        <v>438</v>
      </c>
      <c r="E441" s="188" t="s">
        <v>3841</v>
      </c>
      <c r="F441" s="188" t="s">
        <v>2970</v>
      </c>
      <c r="G441" s="188" t="s">
        <v>2970</v>
      </c>
      <c r="H441" s="188" t="s">
        <v>2970</v>
      </c>
      <c r="I441" s="188" t="s">
        <v>2970</v>
      </c>
      <c r="J441" s="188" t="s">
        <v>2970</v>
      </c>
      <c r="K441" s="188">
        <v>413</v>
      </c>
    </row>
    <row r="442" spans="1:11" x14ac:dyDescent="0.25">
      <c r="B442" s="47" t="s">
        <v>4736</v>
      </c>
      <c r="D442" s="47">
        <v>439</v>
      </c>
      <c r="E442" s="188" t="s">
        <v>5117</v>
      </c>
      <c r="F442" s="188" t="s">
        <v>2970</v>
      </c>
      <c r="G442" s="188" t="s">
        <v>2970</v>
      </c>
      <c r="H442" s="188" t="s">
        <v>2970</v>
      </c>
      <c r="I442" s="188" t="s">
        <v>2970</v>
      </c>
      <c r="J442" s="188" t="s">
        <v>2970</v>
      </c>
      <c r="K442" s="188">
        <v>414</v>
      </c>
    </row>
    <row r="443" spans="1:11" x14ac:dyDescent="0.25">
      <c r="B443" s="47" t="s">
        <v>4737</v>
      </c>
      <c r="D443" s="47">
        <v>440</v>
      </c>
      <c r="E443" s="188" t="s">
        <v>2970</v>
      </c>
      <c r="F443" s="188" t="s">
        <v>2970</v>
      </c>
      <c r="G443" s="188" t="s">
        <v>2970</v>
      </c>
      <c r="H443" s="188" t="s">
        <v>2970</v>
      </c>
      <c r="I443" s="188" t="s">
        <v>2970</v>
      </c>
      <c r="J443" s="188" t="s">
        <v>2970</v>
      </c>
      <c r="K443" s="188">
        <v>415</v>
      </c>
    </row>
    <row r="444" spans="1:11" x14ac:dyDescent="0.25">
      <c r="A444" s="47" t="s">
        <v>3849</v>
      </c>
      <c r="B444" s="47" t="s">
        <v>3693</v>
      </c>
      <c r="D444" s="47">
        <v>441</v>
      </c>
      <c r="E444" s="188" t="s">
        <v>2970</v>
      </c>
      <c r="F444" s="188" t="s">
        <v>2970</v>
      </c>
      <c r="G444" s="188" t="s">
        <v>2970</v>
      </c>
      <c r="H444" s="188" t="s">
        <v>2970</v>
      </c>
      <c r="I444" s="188" t="s">
        <v>2970</v>
      </c>
      <c r="J444" s="188" t="s">
        <v>2970</v>
      </c>
      <c r="K444" s="188">
        <v>416</v>
      </c>
    </row>
    <row r="445" spans="1:11" x14ac:dyDescent="0.25">
      <c r="A445" s="47" t="s">
        <v>5324</v>
      </c>
      <c r="B445" s="47" t="s">
        <v>4738</v>
      </c>
      <c r="D445" s="47">
        <v>442</v>
      </c>
      <c r="E445" s="188" t="s">
        <v>2970</v>
      </c>
      <c r="F445" s="188" t="s">
        <v>2970</v>
      </c>
      <c r="G445" s="188" t="s">
        <v>2970</v>
      </c>
      <c r="H445" s="188" t="s">
        <v>2970</v>
      </c>
      <c r="I445" s="188" t="s">
        <v>2970</v>
      </c>
      <c r="J445" s="188" t="s">
        <v>2970</v>
      </c>
      <c r="K445" s="188">
        <v>417</v>
      </c>
    </row>
    <row r="446" spans="1:11" x14ac:dyDescent="0.25">
      <c r="A446" s="47" t="s">
        <v>3850</v>
      </c>
      <c r="B446" s="47" t="s">
        <v>3694</v>
      </c>
      <c r="D446" s="47">
        <v>443</v>
      </c>
      <c r="E446" s="188" t="s">
        <v>5118</v>
      </c>
      <c r="F446" s="188" t="s">
        <v>2970</v>
      </c>
      <c r="G446" s="188" t="s">
        <v>2970</v>
      </c>
      <c r="H446" s="188" t="s">
        <v>2970</v>
      </c>
      <c r="I446" s="188" t="s">
        <v>2970</v>
      </c>
      <c r="J446" s="188" t="s">
        <v>2970</v>
      </c>
      <c r="K446" s="188">
        <v>418</v>
      </c>
    </row>
    <row r="447" spans="1:11" x14ac:dyDescent="0.25">
      <c r="A447" s="47" t="s">
        <v>5325</v>
      </c>
      <c r="B447" s="47" t="s">
        <v>4739</v>
      </c>
      <c r="D447" s="47">
        <v>444</v>
      </c>
      <c r="E447" s="188" t="s">
        <v>3840</v>
      </c>
      <c r="F447" s="188" t="s">
        <v>2970</v>
      </c>
      <c r="G447" s="188" t="s">
        <v>2970</v>
      </c>
      <c r="H447" s="188" t="s">
        <v>2970</v>
      </c>
      <c r="I447" s="188" t="s">
        <v>2970</v>
      </c>
      <c r="J447" s="188" t="s">
        <v>2970</v>
      </c>
      <c r="K447" s="188" t="s">
        <v>2970</v>
      </c>
    </row>
    <row r="448" spans="1:11" x14ac:dyDescent="0.25">
      <c r="A448" s="47" t="s">
        <v>5326</v>
      </c>
      <c r="B448" s="47" t="s">
        <v>4740</v>
      </c>
      <c r="D448" s="47">
        <v>445</v>
      </c>
      <c r="E448" s="188" t="s">
        <v>5119</v>
      </c>
      <c r="F448" s="188" t="s">
        <v>2970</v>
      </c>
      <c r="G448" s="188" t="s">
        <v>2970</v>
      </c>
      <c r="H448" s="188" t="s">
        <v>2970</v>
      </c>
      <c r="I448" s="188" t="s">
        <v>2970</v>
      </c>
      <c r="J448" s="188" t="s">
        <v>2970</v>
      </c>
      <c r="K448" s="188" t="s">
        <v>2970</v>
      </c>
    </row>
    <row r="449" spans="1:11" x14ac:dyDescent="0.25">
      <c r="A449" s="47" t="s">
        <v>5327</v>
      </c>
      <c r="B449" s="47" t="s">
        <v>4741</v>
      </c>
      <c r="D449" s="47">
        <v>446</v>
      </c>
      <c r="E449" s="188" t="s">
        <v>5120</v>
      </c>
      <c r="F449" s="188" t="s">
        <v>2970</v>
      </c>
      <c r="G449" s="188" t="s">
        <v>2970</v>
      </c>
      <c r="H449" s="188" t="s">
        <v>2970</v>
      </c>
      <c r="I449" s="188" t="s">
        <v>2970</v>
      </c>
      <c r="J449" s="188" t="s">
        <v>2970</v>
      </c>
      <c r="K449" s="188" t="s">
        <v>2970</v>
      </c>
    </row>
    <row r="450" spans="1:11" x14ac:dyDescent="0.25">
      <c r="A450" s="47" t="s">
        <v>5328</v>
      </c>
      <c r="B450" s="47" t="s">
        <v>4742</v>
      </c>
      <c r="D450" s="47">
        <v>447</v>
      </c>
      <c r="E450" s="188" t="s">
        <v>5121</v>
      </c>
      <c r="F450" s="188" t="s">
        <v>2970</v>
      </c>
      <c r="G450" s="188" t="s">
        <v>2970</v>
      </c>
      <c r="H450" s="188" t="s">
        <v>2970</v>
      </c>
      <c r="I450" s="188" t="s">
        <v>2970</v>
      </c>
      <c r="J450" s="188" t="s">
        <v>2970</v>
      </c>
      <c r="K450" s="188">
        <v>419</v>
      </c>
    </row>
    <row r="451" spans="1:11" x14ac:dyDescent="0.25">
      <c r="A451" s="47" t="s">
        <v>5329</v>
      </c>
      <c r="B451" s="47" t="s">
        <v>4743</v>
      </c>
      <c r="D451" s="47">
        <v>448</v>
      </c>
      <c r="E451" s="188" t="s">
        <v>5122</v>
      </c>
      <c r="F451" s="188" t="s">
        <v>2970</v>
      </c>
      <c r="G451" s="188" t="s">
        <v>2970</v>
      </c>
      <c r="H451" s="188" t="s">
        <v>2970</v>
      </c>
      <c r="I451" s="188" t="s">
        <v>2970</v>
      </c>
      <c r="J451" s="188" t="s">
        <v>2970</v>
      </c>
      <c r="K451" s="188">
        <v>420</v>
      </c>
    </row>
    <row r="452" spans="1:11" x14ac:dyDescent="0.25">
      <c r="A452" s="47" t="s">
        <v>5330</v>
      </c>
      <c r="B452" s="47" t="s">
        <v>4744</v>
      </c>
      <c r="D452" s="47">
        <v>449</v>
      </c>
      <c r="E452" s="188" t="s">
        <v>5123</v>
      </c>
      <c r="F452" s="188" t="s">
        <v>2970</v>
      </c>
      <c r="G452" s="188" t="s">
        <v>2970</v>
      </c>
      <c r="H452" s="188" t="s">
        <v>2970</v>
      </c>
      <c r="I452" s="188" t="s">
        <v>2970</v>
      </c>
      <c r="J452" s="188" t="s">
        <v>2970</v>
      </c>
      <c r="K452" s="188">
        <v>421</v>
      </c>
    </row>
    <row r="453" spans="1:11" x14ac:dyDescent="0.25">
      <c r="A453" s="47" t="s">
        <v>5331</v>
      </c>
      <c r="B453" s="47" t="s">
        <v>4745</v>
      </c>
      <c r="D453" s="47">
        <v>450</v>
      </c>
      <c r="E453" s="188" t="s">
        <v>5125</v>
      </c>
      <c r="F453" s="188" t="s">
        <v>2970</v>
      </c>
      <c r="G453" s="188" t="s">
        <v>2970</v>
      </c>
      <c r="H453" s="188" t="s">
        <v>2970</v>
      </c>
      <c r="I453" s="188" t="s">
        <v>2970</v>
      </c>
      <c r="J453" s="188" t="s">
        <v>2970</v>
      </c>
      <c r="K453" s="188">
        <v>422</v>
      </c>
    </row>
    <row r="454" spans="1:11" x14ac:dyDescent="0.25">
      <c r="A454" s="47" t="s">
        <v>5332</v>
      </c>
      <c r="B454" s="47" t="s">
        <v>4746</v>
      </c>
      <c r="D454" s="47">
        <v>451</v>
      </c>
      <c r="E454" s="188" t="s">
        <v>5124</v>
      </c>
      <c r="F454" s="188" t="s">
        <v>2970</v>
      </c>
      <c r="G454" s="188" t="s">
        <v>2970</v>
      </c>
      <c r="H454" s="188" t="s">
        <v>2970</v>
      </c>
      <c r="I454" s="188" t="s">
        <v>2970</v>
      </c>
      <c r="J454" s="188" t="s">
        <v>2970</v>
      </c>
      <c r="K454" s="188" t="s">
        <v>2970</v>
      </c>
    </row>
    <row r="455" spans="1:11" x14ac:dyDescent="0.25">
      <c r="A455" s="47" t="s">
        <v>5333</v>
      </c>
      <c r="B455" s="47" t="s">
        <v>4747</v>
      </c>
      <c r="D455" s="47">
        <v>452</v>
      </c>
      <c r="E455" s="188" t="s">
        <v>2970</v>
      </c>
      <c r="F455" s="188" t="s">
        <v>2970</v>
      </c>
      <c r="G455" s="188" t="s">
        <v>2970</v>
      </c>
      <c r="H455" s="188" t="s">
        <v>2970</v>
      </c>
      <c r="I455" s="188" t="s">
        <v>2970</v>
      </c>
      <c r="J455" s="188" t="s">
        <v>2970</v>
      </c>
      <c r="K455" s="188">
        <v>423</v>
      </c>
    </row>
    <row r="456" spans="1:11" x14ac:dyDescent="0.25">
      <c r="A456" s="47" t="s">
        <v>5334</v>
      </c>
      <c r="B456" s="47" t="s">
        <v>4748</v>
      </c>
      <c r="D456" s="47">
        <v>453</v>
      </c>
      <c r="E456" s="188" t="s">
        <v>5126</v>
      </c>
      <c r="F456" s="188" t="s">
        <v>2970</v>
      </c>
      <c r="G456" s="188" t="s">
        <v>2970</v>
      </c>
      <c r="H456" s="188" t="s">
        <v>2970</v>
      </c>
      <c r="I456" s="188" t="s">
        <v>2970</v>
      </c>
      <c r="J456" s="188" t="s">
        <v>2970</v>
      </c>
      <c r="K456" s="188">
        <v>424</v>
      </c>
    </row>
    <row r="457" spans="1:11" x14ac:dyDescent="0.25">
      <c r="A457" s="47" t="s">
        <v>5335</v>
      </c>
      <c r="B457" s="47" t="s">
        <v>4749</v>
      </c>
      <c r="D457" s="47">
        <v>454</v>
      </c>
      <c r="E457" s="188" t="s">
        <v>5127</v>
      </c>
      <c r="F457" s="188" t="s">
        <v>2970</v>
      </c>
      <c r="G457" s="188" t="s">
        <v>2970</v>
      </c>
      <c r="H457" s="188" t="s">
        <v>2970</v>
      </c>
      <c r="I457" s="188" t="s">
        <v>2970</v>
      </c>
      <c r="J457" s="188" t="s">
        <v>2970</v>
      </c>
      <c r="K457" s="188">
        <v>425</v>
      </c>
    </row>
    <row r="458" spans="1:11" x14ac:dyDescent="0.25">
      <c r="A458" s="47" t="s">
        <v>5336</v>
      </c>
      <c r="B458" s="47" t="s">
        <v>4750</v>
      </c>
      <c r="D458" s="47">
        <v>455</v>
      </c>
      <c r="E458" s="188" t="s">
        <v>5126</v>
      </c>
      <c r="F458" s="188" t="s">
        <v>2970</v>
      </c>
      <c r="G458" s="188" t="s">
        <v>2970</v>
      </c>
      <c r="H458" s="188" t="s">
        <v>2970</v>
      </c>
      <c r="I458" s="188" t="s">
        <v>2970</v>
      </c>
      <c r="J458" s="188" t="s">
        <v>2970</v>
      </c>
      <c r="K458" s="188">
        <v>426</v>
      </c>
    </row>
    <row r="459" spans="1:11" x14ac:dyDescent="0.25">
      <c r="A459" s="47" t="s">
        <v>5337</v>
      </c>
      <c r="B459" s="47" t="s">
        <v>4751</v>
      </c>
      <c r="D459" s="47">
        <v>456</v>
      </c>
      <c r="E459" s="188" t="s">
        <v>5127</v>
      </c>
      <c r="F459" s="188" t="s">
        <v>2970</v>
      </c>
      <c r="G459" s="188" t="s">
        <v>2970</v>
      </c>
      <c r="H459" s="188" t="s">
        <v>2970</v>
      </c>
      <c r="I459" s="188" t="s">
        <v>2970</v>
      </c>
      <c r="J459" s="188" t="s">
        <v>2970</v>
      </c>
      <c r="K459" s="188">
        <v>427</v>
      </c>
    </row>
    <row r="460" spans="1:11" x14ac:dyDescent="0.25">
      <c r="A460" s="47" t="s">
        <v>5338</v>
      </c>
      <c r="B460" s="47" t="s">
        <v>4752</v>
      </c>
      <c r="D460" s="47">
        <v>457</v>
      </c>
      <c r="E460" s="188" t="s">
        <v>2970</v>
      </c>
      <c r="F460" s="188" t="s">
        <v>2970</v>
      </c>
      <c r="G460" s="188" t="s">
        <v>2970</v>
      </c>
      <c r="H460" s="188" t="s">
        <v>2970</v>
      </c>
      <c r="I460" s="188" t="s">
        <v>2970</v>
      </c>
      <c r="J460" s="188" t="s">
        <v>2970</v>
      </c>
      <c r="K460" s="188">
        <v>428</v>
      </c>
    </row>
    <row r="461" spans="1:11" x14ac:dyDescent="0.25">
      <c r="A461" s="47" t="s">
        <v>5339</v>
      </c>
      <c r="B461" s="47" t="s">
        <v>4753</v>
      </c>
      <c r="D461" s="47">
        <v>458</v>
      </c>
      <c r="E461" s="188" t="s">
        <v>5196</v>
      </c>
      <c r="F461" s="188" t="s">
        <v>2970</v>
      </c>
      <c r="G461" s="188" t="s">
        <v>2970</v>
      </c>
      <c r="H461" s="188" t="s">
        <v>2970</v>
      </c>
      <c r="I461" s="188" t="s">
        <v>2970</v>
      </c>
      <c r="J461" s="188" t="s">
        <v>2970</v>
      </c>
      <c r="K461" s="188" t="s">
        <v>2970</v>
      </c>
    </row>
    <row r="462" spans="1:11" x14ac:dyDescent="0.25">
      <c r="A462" s="47" t="s">
        <v>5340</v>
      </c>
      <c r="D462" s="47">
        <v>459</v>
      </c>
      <c r="E462" s="188" t="s">
        <v>5197</v>
      </c>
      <c r="F462" s="188" t="s">
        <v>2970</v>
      </c>
      <c r="G462" s="188" t="s">
        <v>2970</v>
      </c>
      <c r="H462" s="188" t="s">
        <v>2970</v>
      </c>
      <c r="I462" s="188" t="s">
        <v>2970</v>
      </c>
      <c r="J462" s="188" t="s">
        <v>2970</v>
      </c>
      <c r="K462" s="188">
        <v>429</v>
      </c>
    </row>
    <row r="463" spans="1:11" x14ac:dyDescent="0.25">
      <c r="A463" s="47" t="s">
        <v>5341</v>
      </c>
      <c r="D463" s="47">
        <v>460</v>
      </c>
      <c r="E463" s="188" t="s">
        <v>5198</v>
      </c>
      <c r="F463" s="188" t="s">
        <v>2970</v>
      </c>
      <c r="G463" s="188" t="s">
        <v>2970</v>
      </c>
      <c r="H463" s="188" t="s">
        <v>2970</v>
      </c>
      <c r="I463" s="188" t="s">
        <v>2970</v>
      </c>
      <c r="J463" s="188" t="s">
        <v>2970</v>
      </c>
      <c r="K463" s="188">
        <v>430</v>
      </c>
    </row>
    <row r="464" spans="1:11" x14ac:dyDescent="0.25">
      <c r="A464" s="47" t="s">
        <v>5342</v>
      </c>
      <c r="D464" s="47">
        <v>461</v>
      </c>
      <c r="E464" s="188" t="s">
        <v>5199</v>
      </c>
      <c r="F464" s="188" t="s">
        <v>2970</v>
      </c>
      <c r="G464" s="188" t="s">
        <v>2970</v>
      </c>
      <c r="H464" s="188" t="s">
        <v>2970</v>
      </c>
      <c r="I464" s="188" t="s">
        <v>2970</v>
      </c>
      <c r="J464" s="188" t="s">
        <v>2970</v>
      </c>
      <c r="K464" s="188" t="s">
        <v>2970</v>
      </c>
    </row>
    <row r="465" spans="1:11" x14ac:dyDescent="0.25">
      <c r="A465" s="47" t="s">
        <v>5343</v>
      </c>
      <c r="D465" s="47">
        <v>462</v>
      </c>
      <c r="E465" s="188" t="s">
        <v>5200</v>
      </c>
      <c r="F465" s="188" t="s">
        <v>2970</v>
      </c>
      <c r="G465" s="188" t="s">
        <v>2970</v>
      </c>
      <c r="H465" s="188" t="s">
        <v>2970</v>
      </c>
      <c r="I465" s="188" t="s">
        <v>2970</v>
      </c>
      <c r="J465" s="188" t="s">
        <v>2970</v>
      </c>
      <c r="K465" s="188">
        <v>431</v>
      </c>
    </row>
    <row r="466" spans="1:11" x14ac:dyDescent="0.25">
      <c r="A466" s="47" t="s">
        <v>5344</v>
      </c>
      <c r="D466" s="47">
        <v>463</v>
      </c>
      <c r="E466" s="188" t="s">
        <v>5201</v>
      </c>
      <c r="F466" s="188" t="s">
        <v>2970</v>
      </c>
      <c r="G466" s="188" t="s">
        <v>2970</v>
      </c>
      <c r="H466" s="188" t="s">
        <v>2970</v>
      </c>
      <c r="I466" s="188" t="s">
        <v>2970</v>
      </c>
      <c r="J466" s="188" t="s">
        <v>2970</v>
      </c>
      <c r="K466" s="188">
        <v>432</v>
      </c>
    </row>
    <row r="467" spans="1:11" x14ac:dyDescent="0.25">
      <c r="A467" s="47" t="s">
        <v>5345</v>
      </c>
      <c r="D467" s="47">
        <v>464</v>
      </c>
      <c r="E467" s="188" t="s">
        <v>5202</v>
      </c>
      <c r="F467" s="188" t="s">
        <v>2970</v>
      </c>
      <c r="G467" s="188" t="s">
        <v>2970</v>
      </c>
      <c r="H467" s="188" t="s">
        <v>2970</v>
      </c>
      <c r="I467" s="188" t="s">
        <v>2970</v>
      </c>
      <c r="J467" s="188" t="s">
        <v>2970</v>
      </c>
      <c r="K467" s="188" t="s">
        <v>2970</v>
      </c>
    </row>
    <row r="468" spans="1:11" x14ac:dyDescent="0.25">
      <c r="A468" s="47" t="s">
        <v>5346</v>
      </c>
      <c r="D468" s="47">
        <v>465</v>
      </c>
      <c r="E468" s="188" t="s">
        <v>5203</v>
      </c>
      <c r="F468" s="188" t="s">
        <v>2970</v>
      </c>
      <c r="G468" s="188" t="s">
        <v>2970</v>
      </c>
      <c r="H468" s="188" t="s">
        <v>2970</v>
      </c>
      <c r="I468" s="188" t="s">
        <v>2970</v>
      </c>
      <c r="J468" s="188" t="s">
        <v>2970</v>
      </c>
      <c r="K468" s="188" t="s">
        <v>2970</v>
      </c>
    </row>
    <row r="469" spans="1:11" x14ac:dyDescent="0.25">
      <c r="A469" s="47" t="s">
        <v>5347</v>
      </c>
      <c r="D469" s="47">
        <v>466</v>
      </c>
      <c r="E469" s="188" t="s">
        <v>5204</v>
      </c>
      <c r="F469" s="188" t="s">
        <v>2970</v>
      </c>
      <c r="G469" s="188" t="s">
        <v>2970</v>
      </c>
      <c r="H469" s="188" t="s">
        <v>2970</v>
      </c>
      <c r="I469" s="188" t="s">
        <v>2970</v>
      </c>
      <c r="J469" s="188" t="s">
        <v>2970</v>
      </c>
      <c r="K469" s="188">
        <v>433</v>
      </c>
    </row>
    <row r="470" spans="1:11" x14ac:dyDescent="0.25">
      <c r="A470" s="47" t="s">
        <v>5348</v>
      </c>
      <c r="B470" s="47" t="s">
        <v>4754</v>
      </c>
      <c r="D470" s="47">
        <v>467</v>
      </c>
      <c r="E470" s="188" t="s">
        <v>5205</v>
      </c>
      <c r="F470" s="188" t="s">
        <v>2970</v>
      </c>
      <c r="G470" s="188" t="s">
        <v>2970</v>
      </c>
      <c r="H470" s="188" t="s">
        <v>2970</v>
      </c>
      <c r="I470" s="188" t="s">
        <v>2970</v>
      </c>
      <c r="J470" s="188" t="s">
        <v>2970</v>
      </c>
      <c r="K470" s="188" t="s">
        <v>2970</v>
      </c>
    </row>
    <row r="471" spans="1:11" x14ac:dyDescent="0.25">
      <c r="A471" s="47" t="s">
        <v>5349</v>
      </c>
      <c r="B471" s="47" t="s">
        <v>4755</v>
      </c>
      <c r="D471" s="47">
        <v>468</v>
      </c>
      <c r="E471" s="188" t="s">
        <v>5206</v>
      </c>
      <c r="F471" s="188" t="s">
        <v>2970</v>
      </c>
      <c r="G471" s="188" t="s">
        <v>2970</v>
      </c>
      <c r="H471" s="188" t="s">
        <v>2970</v>
      </c>
      <c r="I471" s="188" t="s">
        <v>2970</v>
      </c>
      <c r="J471" s="188" t="s">
        <v>2970</v>
      </c>
      <c r="K471" s="188">
        <v>435</v>
      </c>
    </row>
    <row r="472" spans="1:11" x14ac:dyDescent="0.25">
      <c r="A472" s="47" t="s">
        <v>5350</v>
      </c>
      <c r="B472" s="47" t="s">
        <v>4756</v>
      </c>
      <c r="D472" s="47">
        <v>469</v>
      </c>
      <c r="E472" s="188" t="s">
        <v>5207</v>
      </c>
      <c r="F472" s="188" t="s">
        <v>2970</v>
      </c>
      <c r="G472" s="188" t="s">
        <v>2970</v>
      </c>
      <c r="H472" s="188" t="s">
        <v>2970</v>
      </c>
      <c r="I472" s="188" t="s">
        <v>2970</v>
      </c>
      <c r="J472" s="188" t="s">
        <v>2970</v>
      </c>
      <c r="K472" s="188">
        <v>434</v>
      </c>
    </row>
    <row r="473" spans="1:11" x14ac:dyDescent="0.25">
      <c r="A473" s="47" t="s">
        <v>5351</v>
      </c>
      <c r="B473" s="47" t="s">
        <v>4757</v>
      </c>
      <c r="D473" s="47">
        <v>470</v>
      </c>
      <c r="E473" s="188" t="s">
        <v>2970</v>
      </c>
      <c r="F473" s="188" t="s">
        <v>2970</v>
      </c>
      <c r="G473" s="188" t="s">
        <v>2970</v>
      </c>
      <c r="H473" s="188" t="s">
        <v>2970</v>
      </c>
      <c r="I473" s="188" t="s">
        <v>2970</v>
      </c>
      <c r="J473" s="188" t="s">
        <v>2970</v>
      </c>
      <c r="K473" s="188">
        <v>436</v>
      </c>
    </row>
    <row r="474" spans="1:11" x14ac:dyDescent="0.25">
      <c r="A474" s="47" t="s">
        <v>5352</v>
      </c>
      <c r="B474" s="47" t="s">
        <v>4758</v>
      </c>
      <c r="D474" s="47">
        <v>471</v>
      </c>
      <c r="E474" s="188" t="s">
        <v>2970</v>
      </c>
      <c r="F474" s="188" t="s">
        <v>2970</v>
      </c>
      <c r="G474" s="188" t="s">
        <v>2970</v>
      </c>
      <c r="H474" s="188" t="s">
        <v>2970</v>
      </c>
      <c r="I474" s="188" t="s">
        <v>2970</v>
      </c>
      <c r="J474" s="188" t="s">
        <v>2970</v>
      </c>
      <c r="K474" s="188">
        <v>437</v>
      </c>
    </row>
    <row r="475" spans="1:11" x14ac:dyDescent="0.25">
      <c r="A475" s="47" t="s">
        <v>5353</v>
      </c>
      <c r="B475" s="47" t="s">
        <v>4759</v>
      </c>
      <c r="D475" s="47">
        <v>472</v>
      </c>
      <c r="E475" s="188" t="s">
        <v>2970</v>
      </c>
      <c r="F475" s="188" t="s">
        <v>2970</v>
      </c>
      <c r="G475" s="188" t="s">
        <v>2970</v>
      </c>
      <c r="H475" s="188" t="s">
        <v>2970</v>
      </c>
      <c r="I475" s="188" t="s">
        <v>2970</v>
      </c>
      <c r="J475" s="188" t="s">
        <v>2970</v>
      </c>
      <c r="K475" s="188">
        <v>438</v>
      </c>
    </row>
    <row r="476" spans="1:11" x14ac:dyDescent="0.25">
      <c r="A476" s="47" t="s">
        <v>5354</v>
      </c>
      <c r="B476" s="47" t="s">
        <v>4760</v>
      </c>
      <c r="D476" s="47">
        <v>473</v>
      </c>
      <c r="E476" s="188" t="s">
        <v>2970</v>
      </c>
      <c r="F476" s="188" t="s">
        <v>2970</v>
      </c>
      <c r="G476" s="188" t="s">
        <v>2970</v>
      </c>
      <c r="H476" s="188" t="s">
        <v>2970</v>
      </c>
      <c r="I476" s="188" t="s">
        <v>2970</v>
      </c>
      <c r="J476" s="188" t="s">
        <v>2970</v>
      </c>
      <c r="K476" s="188">
        <v>439</v>
      </c>
    </row>
    <row r="477" spans="1:11" x14ac:dyDescent="0.25">
      <c r="A477" s="47" t="s">
        <v>5355</v>
      </c>
      <c r="B477" s="47" t="s">
        <v>4761</v>
      </c>
      <c r="D477" s="47">
        <v>474</v>
      </c>
      <c r="E477" s="188" t="s">
        <v>2970</v>
      </c>
      <c r="F477" s="188" t="s">
        <v>2970</v>
      </c>
      <c r="G477" s="188" t="s">
        <v>2970</v>
      </c>
      <c r="H477" s="188" t="s">
        <v>2970</v>
      </c>
      <c r="I477" s="188" t="s">
        <v>2970</v>
      </c>
      <c r="J477" s="188" t="s">
        <v>2970</v>
      </c>
      <c r="K477" s="188">
        <v>440</v>
      </c>
    </row>
    <row r="478" spans="1:11" x14ac:dyDescent="0.25">
      <c r="A478" s="47" t="s">
        <v>5356</v>
      </c>
      <c r="D478" s="47">
        <v>475</v>
      </c>
      <c r="E478" s="188" t="s">
        <v>2970</v>
      </c>
      <c r="F478" s="188" t="s">
        <v>2970</v>
      </c>
      <c r="G478" s="188" t="s">
        <v>2970</v>
      </c>
      <c r="H478" s="188" t="s">
        <v>2970</v>
      </c>
      <c r="I478" s="188" t="s">
        <v>2970</v>
      </c>
      <c r="J478" s="188" t="s">
        <v>2970</v>
      </c>
      <c r="K478" s="188">
        <v>441</v>
      </c>
    </row>
    <row r="479" spans="1:11" x14ac:dyDescent="0.25">
      <c r="A479" s="47" t="s">
        <v>5357</v>
      </c>
      <c r="D479" s="47">
        <v>476</v>
      </c>
      <c r="E479" s="188" t="s">
        <v>5208</v>
      </c>
      <c r="F479" s="188" t="s">
        <v>2970</v>
      </c>
      <c r="G479" s="188" t="s">
        <v>2970</v>
      </c>
      <c r="H479" s="188" t="s">
        <v>2970</v>
      </c>
      <c r="I479" s="188" t="s">
        <v>2970</v>
      </c>
      <c r="J479" s="188" t="s">
        <v>2970</v>
      </c>
      <c r="K479" s="188">
        <v>442</v>
      </c>
    </row>
    <row r="480" spans="1:11" x14ac:dyDescent="0.25">
      <c r="A480" s="47" t="s">
        <v>5358</v>
      </c>
      <c r="D480" s="47">
        <v>477</v>
      </c>
      <c r="E480" s="188" t="s">
        <v>5209</v>
      </c>
      <c r="F480" s="188" t="s">
        <v>2970</v>
      </c>
      <c r="G480" s="188" t="s">
        <v>2970</v>
      </c>
      <c r="H480" s="188" t="s">
        <v>2970</v>
      </c>
      <c r="I480" s="188" t="s">
        <v>2970</v>
      </c>
      <c r="J480" s="188" t="s">
        <v>2970</v>
      </c>
      <c r="K480" s="188" t="s">
        <v>2970</v>
      </c>
    </row>
    <row r="481" spans="1:11" x14ac:dyDescent="0.25">
      <c r="A481" s="47" t="s">
        <v>5359</v>
      </c>
      <c r="D481" s="47">
        <v>478</v>
      </c>
      <c r="E481" s="188" t="s">
        <v>5210</v>
      </c>
      <c r="F481" s="188" t="s">
        <v>2970</v>
      </c>
      <c r="G481" s="188" t="s">
        <v>2970</v>
      </c>
      <c r="H481" s="188" t="s">
        <v>2970</v>
      </c>
      <c r="I481" s="188" t="s">
        <v>2970</v>
      </c>
      <c r="J481" s="188" t="s">
        <v>2970</v>
      </c>
      <c r="K481" s="188" t="s">
        <v>2970</v>
      </c>
    </row>
    <row r="482" spans="1:11" x14ac:dyDescent="0.25">
      <c r="A482" s="47" t="s">
        <v>3817</v>
      </c>
      <c r="D482" s="47">
        <v>479</v>
      </c>
      <c r="E482" s="188" t="s">
        <v>5211</v>
      </c>
      <c r="F482" s="188" t="s">
        <v>2970</v>
      </c>
      <c r="G482" s="188" t="s">
        <v>2970</v>
      </c>
      <c r="H482" s="188" t="s">
        <v>2970</v>
      </c>
      <c r="I482" s="188" t="s">
        <v>2970</v>
      </c>
      <c r="J482" s="188" t="s">
        <v>2970</v>
      </c>
      <c r="K482" s="188" t="s">
        <v>2970</v>
      </c>
    </row>
    <row r="483" spans="1:11" x14ac:dyDescent="0.25">
      <c r="A483" s="47" t="s">
        <v>5360</v>
      </c>
      <c r="D483" s="47">
        <v>480</v>
      </c>
      <c r="E483" s="188" t="s">
        <v>5212</v>
      </c>
      <c r="F483" s="188" t="s">
        <v>2970</v>
      </c>
      <c r="G483" s="188" t="s">
        <v>2970</v>
      </c>
      <c r="H483" s="188" t="s">
        <v>2970</v>
      </c>
      <c r="I483" s="188" t="s">
        <v>2970</v>
      </c>
      <c r="J483" s="188" t="s">
        <v>2970</v>
      </c>
      <c r="K483" s="188" t="s">
        <v>2970</v>
      </c>
    </row>
    <row r="484" spans="1:11" x14ac:dyDescent="0.25">
      <c r="A484" s="47" t="s">
        <v>5361</v>
      </c>
      <c r="D484" s="47">
        <v>481</v>
      </c>
      <c r="E484" s="188" t="s">
        <v>5213</v>
      </c>
      <c r="F484" s="188" t="s">
        <v>2970</v>
      </c>
      <c r="G484" s="188" t="s">
        <v>2970</v>
      </c>
      <c r="H484" s="188" t="s">
        <v>2970</v>
      </c>
      <c r="I484" s="188" t="s">
        <v>2970</v>
      </c>
      <c r="J484" s="188" t="s">
        <v>2970</v>
      </c>
      <c r="K484" s="188" t="s">
        <v>2970</v>
      </c>
    </row>
    <row r="485" spans="1:11" x14ac:dyDescent="0.25">
      <c r="A485" s="47" t="s">
        <v>5362</v>
      </c>
      <c r="D485" s="47">
        <v>482</v>
      </c>
      <c r="E485" s="188" t="s">
        <v>5214</v>
      </c>
      <c r="F485" s="188" t="s">
        <v>2970</v>
      </c>
      <c r="G485" s="188" t="s">
        <v>2970</v>
      </c>
      <c r="H485" s="188" t="s">
        <v>2970</v>
      </c>
      <c r="I485" s="188" t="s">
        <v>2970</v>
      </c>
      <c r="J485" s="188" t="s">
        <v>2970</v>
      </c>
      <c r="K485" s="188" t="s">
        <v>2970</v>
      </c>
    </row>
    <row r="486" spans="1:11" x14ac:dyDescent="0.25">
      <c r="A486" s="47" t="s">
        <v>5363</v>
      </c>
      <c r="D486" s="47">
        <v>483</v>
      </c>
      <c r="E486" s="188" t="s">
        <v>5215</v>
      </c>
      <c r="F486" s="188" t="s">
        <v>2970</v>
      </c>
      <c r="G486" s="188" t="s">
        <v>2970</v>
      </c>
      <c r="H486" s="188" t="s">
        <v>2970</v>
      </c>
      <c r="I486" s="188" t="s">
        <v>2970</v>
      </c>
      <c r="J486" s="188" t="s">
        <v>2970</v>
      </c>
      <c r="K486" s="188" t="s">
        <v>2970</v>
      </c>
    </row>
    <row r="487" spans="1:11" x14ac:dyDescent="0.25">
      <c r="A487" s="47" t="s">
        <v>3852</v>
      </c>
      <c r="B487" s="47" t="s">
        <v>3696</v>
      </c>
      <c r="D487" s="47">
        <v>484</v>
      </c>
      <c r="E487" s="188" t="s">
        <v>5216</v>
      </c>
      <c r="F487" s="188" t="s">
        <v>2970</v>
      </c>
      <c r="G487" s="188" t="s">
        <v>2970</v>
      </c>
      <c r="H487" s="188" t="s">
        <v>2970</v>
      </c>
      <c r="I487" s="188" t="s">
        <v>2970</v>
      </c>
      <c r="J487" s="188" t="s">
        <v>2970</v>
      </c>
      <c r="K487" s="188" t="s">
        <v>2970</v>
      </c>
    </row>
    <row r="488" spans="1:11" x14ac:dyDescent="0.25">
      <c r="A488" s="47" t="s">
        <v>5364</v>
      </c>
      <c r="B488" s="47" t="s">
        <v>4762</v>
      </c>
      <c r="D488" s="47">
        <v>485</v>
      </c>
      <c r="E488" s="188" t="s">
        <v>5217</v>
      </c>
      <c r="F488" s="188" t="s">
        <v>2970</v>
      </c>
      <c r="G488" s="188" t="s">
        <v>2970</v>
      </c>
      <c r="H488" s="188" t="s">
        <v>2970</v>
      </c>
      <c r="I488" s="188" t="s">
        <v>2970</v>
      </c>
      <c r="J488" s="188" t="s">
        <v>2970</v>
      </c>
      <c r="K488" s="188" t="s">
        <v>2970</v>
      </c>
    </row>
    <row r="489" spans="1:11" x14ac:dyDescent="0.25">
      <c r="A489" s="47" t="s">
        <v>5365</v>
      </c>
      <c r="B489" s="47" t="s">
        <v>4763</v>
      </c>
      <c r="D489" s="47">
        <v>486</v>
      </c>
      <c r="E489" s="188" t="s">
        <v>5218</v>
      </c>
      <c r="F489" s="188" t="s">
        <v>2970</v>
      </c>
      <c r="G489" s="188" t="s">
        <v>2970</v>
      </c>
      <c r="H489" s="188" t="s">
        <v>2970</v>
      </c>
      <c r="I489" s="188" t="s">
        <v>2970</v>
      </c>
      <c r="J489" s="188" t="s">
        <v>2970</v>
      </c>
      <c r="K489" s="188" t="s">
        <v>2970</v>
      </c>
    </row>
    <row r="490" spans="1:11" x14ac:dyDescent="0.25">
      <c r="A490" s="47" t="s">
        <v>5366</v>
      </c>
      <c r="B490" s="47" t="s">
        <v>4764</v>
      </c>
      <c r="D490" s="47">
        <v>487</v>
      </c>
      <c r="E490" s="188" t="s">
        <v>5219</v>
      </c>
      <c r="F490" s="188" t="s">
        <v>2970</v>
      </c>
      <c r="G490" s="188" t="s">
        <v>2970</v>
      </c>
      <c r="H490" s="188" t="s">
        <v>2970</v>
      </c>
      <c r="I490" s="188" t="s">
        <v>2970</v>
      </c>
      <c r="J490" s="188" t="s">
        <v>2970</v>
      </c>
      <c r="K490" s="188" t="s">
        <v>2970</v>
      </c>
    </row>
    <row r="491" spans="1:11" x14ac:dyDescent="0.25">
      <c r="A491" s="47" t="s">
        <v>5367</v>
      </c>
      <c r="B491" s="47" t="s">
        <v>4765</v>
      </c>
      <c r="D491" s="47">
        <v>488</v>
      </c>
      <c r="E491" s="188" t="s">
        <v>2970</v>
      </c>
      <c r="F491" s="188" t="s">
        <v>2970</v>
      </c>
      <c r="G491" s="188" t="s">
        <v>2970</v>
      </c>
      <c r="H491" s="188" t="s">
        <v>2970</v>
      </c>
      <c r="I491" s="188" t="s">
        <v>2970</v>
      </c>
      <c r="J491" s="188" t="s">
        <v>2970</v>
      </c>
      <c r="K491" s="188">
        <v>443</v>
      </c>
    </row>
    <row r="492" spans="1:11" x14ac:dyDescent="0.25">
      <c r="A492" s="47" t="s">
        <v>5368</v>
      </c>
      <c r="B492" s="47" t="s">
        <v>4766</v>
      </c>
      <c r="D492" s="47">
        <v>489</v>
      </c>
      <c r="E492" s="188" t="s">
        <v>2970</v>
      </c>
      <c r="F492" s="188" t="s">
        <v>2970</v>
      </c>
      <c r="G492" s="188" t="s">
        <v>2970</v>
      </c>
      <c r="H492" s="188" t="s">
        <v>2970</v>
      </c>
      <c r="I492" s="188" t="s">
        <v>2970</v>
      </c>
      <c r="J492" s="188" t="s">
        <v>2970</v>
      </c>
      <c r="K492" s="188">
        <v>444</v>
      </c>
    </row>
    <row r="493" spans="1:11" x14ac:dyDescent="0.25">
      <c r="A493" s="47" t="s">
        <v>5369</v>
      </c>
      <c r="B493" s="47" t="s">
        <v>4767</v>
      </c>
      <c r="D493" s="47">
        <v>490</v>
      </c>
      <c r="E493" s="188" t="s">
        <v>2970</v>
      </c>
      <c r="F493" s="188" t="s">
        <v>2970</v>
      </c>
      <c r="G493" s="188" t="s">
        <v>2970</v>
      </c>
      <c r="H493" s="188" t="s">
        <v>2970</v>
      </c>
      <c r="I493" s="188" t="s">
        <v>2970</v>
      </c>
      <c r="J493" s="188" t="s">
        <v>2970</v>
      </c>
      <c r="K493" s="188">
        <v>445</v>
      </c>
    </row>
    <row r="494" spans="1:11" x14ac:dyDescent="0.25">
      <c r="A494" s="47" t="s">
        <v>5370</v>
      </c>
      <c r="B494" s="47" t="s">
        <v>4768</v>
      </c>
      <c r="D494" s="47">
        <v>491</v>
      </c>
      <c r="E494" s="188" t="s">
        <v>2970</v>
      </c>
      <c r="F494" s="188" t="s">
        <v>2970</v>
      </c>
      <c r="G494" s="188" t="s">
        <v>2970</v>
      </c>
      <c r="H494" s="188" t="s">
        <v>2970</v>
      </c>
      <c r="I494" s="188" t="s">
        <v>2970</v>
      </c>
      <c r="J494" s="188" t="s">
        <v>2970</v>
      </c>
      <c r="K494" s="188">
        <v>446</v>
      </c>
    </row>
    <row r="495" spans="1:11" x14ac:dyDescent="0.25">
      <c r="A495" s="47" t="s">
        <v>5371</v>
      </c>
      <c r="B495" s="47" t="s">
        <v>4769</v>
      </c>
      <c r="D495" s="47">
        <v>492</v>
      </c>
      <c r="E495" s="188" t="s">
        <v>2970</v>
      </c>
      <c r="F495" s="188" t="s">
        <v>2970</v>
      </c>
      <c r="G495" s="188" t="s">
        <v>2970</v>
      </c>
      <c r="H495" s="188" t="s">
        <v>2970</v>
      </c>
      <c r="I495" s="188" t="s">
        <v>2970</v>
      </c>
      <c r="J495" s="188" t="s">
        <v>2970</v>
      </c>
      <c r="K495" s="188">
        <v>447</v>
      </c>
    </row>
    <row r="496" spans="1:11" x14ac:dyDescent="0.25">
      <c r="A496" s="47" t="s">
        <v>5372</v>
      </c>
      <c r="B496" s="47" t="s">
        <v>4770</v>
      </c>
      <c r="D496" s="47">
        <v>493</v>
      </c>
      <c r="E496" s="188" t="s">
        <v>2970</v>
      </c>
      <c r="F496" s="188" t="s">
        <v>2970</v>
      </c>
      <c r="G496" s="188" t="s">
        <v>2970</v>
      </c>
      <c r="H496" s="188" t="s">
        <v>2970</v>
      </c>
      <c r="I496" s="188" t="s">
        <v>2970</v>
      </c>
      <c r="J496" s="188" t="s">
        <v>2970</v>
      </c>
      <c r="K496" s="188">
        <v>448</v>
      </c>
    </row>
    <row r="497" spans="1:11" x14ac:dyDescent="0.25">
      <c r="A497" s="47" t="s">
        <v>5373</v>
      </c>
      <c r="B497" s="47" t="s">
        <v>4771</v>
      </c>
      <c r="D497" s="47">
        <v>494</v>
      </c>
      <c r="E497" s="188" t="s">
        <v>2970</v>
      </c>
      <c r="F497" s="188" t="s">
        <v>2970</v>
      </c>
      <c r="G497" s="188" t="s">
        <v>2970</v>
      </c>
      <c r="H497" s="188" t="s">
        <v>2970</v>
      </c>
      <c r="I497" s="188" t="s">
        <v>2970</v>
      </c>
      <c r="J497" s="188" t="s">
        <v>2970</v>
      </c>
      <c r="K497" s="188">
        <v>449</v>
      </c>
    </row>
    <row r="498" spans="1:11" x14ac:dyDescent="0.25">
      <c r="A498" s="47" t="s">
        <v>5374</v>
      </c>
      <c r="B498" s="47" t="s">
        <v>4772</v>
      </c>
      <c r="D498" s="47">
        <v>495</v>
      </c>
      <c r="E498" s="188" t="s">
        <v>2970</v>
      </c>
      <c r="F498" s="188" t="s">
        <v>2970</v>
      </c>
      <c r="G498" s="188" t="s">
        <v>2970</v>
      </c>
      <c r="H498" s="188" t="s">
        <v>2970</v>
      </c>
      <c r="I498" s="188" t="s">
        <v>2970</v>
      </c>
      <c r="J498" s="188" t="s">
        <v>2970</v>
      </c>
      <c r="K498" s="188">
        <v>450</v>
      </c>
    </row>
    <row r="499" spans="1:11" x14ac:dyDescent="0.25">
      <c r="A499" s="47" t="s">
        <v>5375</v>
      </c>
      <c r="B499" s="47" t="s">
        <v>4773</v>
      </c>
      <c r="D499" s="47">
        <v>496</v>
      </c>
      <c r="E499" s="188" t="s">
        <v>2970</v>
      </c>
      <c r="F499" s="188" t="s">
        <v>2970</v>
      </c>
      <c r="G499" s="188" t="s">
        <v>2970</v>
      </c>
      <c r="H499" s="188" t="s">
        <v>2970</v>
      </c>
      <c r="I499" s="188" t="s">
        <v>2970</v>
      </c>
      <c r="J499" s="188" t="s">
        <v>2970</v>
      </c>
      <c r="K499" s="188">
        <v>451</v>
      </c>
    </row>
    <row r="500" spans="1:11" x14ac:dyDescent="0.25">
      <c r="A500" s="47" t="s">
        <v>5376</v>
      </c>
      <c r="B500" s="47" t="s">
        <v>4774</v>
      </c>
      <c r="D500" s="47">
        <v>497</v>
      </c>
      <c r="E500" s="188" t="s">
        <v>2970</v>
      </c>
      <c r="F500" s="188" t="s">
        <v>2970</v>
      </c>
      <c r="G500" s="188" t="s">
        <v>2970</v>
      </c>
      <c r="H500" s="188" t="s">
        <v>2970</v>
      </c>
      <c r="I500" s="188" t="s">
        <v>2970</v>
      </c>
      <c r="J500" s="188" t="s">
        <v>2970</v>
      </c>
      <c r="K500" s="188">
        <v>452</v>
      </c>
    </row>
    <row r="501" spans="1:11" x14ac:dyDescent="0.25">
      <c r="A501" s="47" t="s">
        <v>5377</v>
      </c>
      <c r="B501" s="47" t="s">
        <v>4775</v>
      </c>
      <c r="D501" s="47">
        <v>498</v>
      </c>
      <c r="E501" s="188" t="s">
        <v>2970</v>
      </c>
      <c r="F501" s="188" t="s">
        <v>2970</v>
      </c>
      <c r="G501" s="188" t="s">
        <v>2970</v>
      </c>
      <c r="H501" s="188" t="s">
        <v>2970</v>
      </c>
      <c r="I501" s="188" t="s">
        <v>2970</v>
      </c>
      <c r="J501" s="188" t="s">
        <v>2970</v>
      </c>
      <c r="K501" s="188">
        <v>453</v>
      </c>
    </row>
    <row r="502" spans="1:11" x14ac:dyDescent="0.25">
      <c r="A502" s="47" t="s">
        <v>5378</v>
      </c>
      <c r="B502" s="47" t="s">
        <v>4776</v>
      </c>
      <c r="D502" s="47">
        <v>499</v>
      </c>
      <c r="E502" s="188" t="s">
        <v>2970</v>
      </c>
      <c r="F502" s="188" t="s">
        <v>2970</v>
      </c>
      <c r="G502" s="188" t="s">
        <v>2970</v>
      </c>
      <c r="H502" s="188" t="s">
        <v>2970</v>
      </c>
      <c r="I502" s="188" t="s">
        <v>2970</v>
      </c>
      <c r="J502" s="188" t="s">
        <v>2970</v>
      </c>
      <c r="K502" s="188">
        <v>454</v>
      </c>
    </row>
    <row r="503" spans="1:11" x14ac:dyDescent="0.25">
      <c r="A503" s="47" t="s">
        <v>5379</v>
      </c>
      <c r="B503" s="47" t="s">
        <v>4777</v>
      </c>
      <c r="D503" s="47">
        <v>500</v>
      </c>
      <c r="E503" s="188" t="s">
        <v>2970</v>
      </c>
      <c r="F503" s="188" t="s">
        <v>2970</v>
      </c>
      <c r="G503" s="188" t="s">
        <v>2970</v>
      </c>
      <c r="H503" s="188" t="s">
        <v>2970</v>
      </c>
      <c r="I503" s="188" t="s">
        <v>2970</v>
      </c>
      <c r="J503" s="188" t="s">
        <v>2970</v>
      </c>
      <c r="K503" s="188">
        <v>455</v>
      </c>
    </row>
    <row r="504" spans="1:11" x14ac:dyDescent="0.25">
      <c r="A504" s="47" t="s">
        <v>5380</v>
      </c>
      <c r="B504" s="47" t="s">
        <v>4778</v>
      </c>
      <c r="D504" s="47">
        <v>501</v>
      </c>
      <c r="E504" s="188" t="s">
        <v>2970</v>
      </c>
      <c r="F504" s="188" t="s">
        <v>2970</v>
      </c>
      <c r="G504" s="188" t="s">
        <v>2970</v>
      </c>
      <c r="H504" s="188" t="s">
        <v>2970</v>
      </c>
      <c r="I504" s="188" t="s">
        <v>2970</v>
      </c>
      <c r="J504" s="188" t="s">
        <v>2970</v>
      </c>
      <c r="K504" s="188">
        <v>456</v>
      </c>
    </row>
    <row r="505" spans="1:11" x14ac:dyDescent="0.25">
      <c r="A505" s="47" t="s">
        <v>5381</v>
      </c>
      <c r="B505" s="47" t="s">
        <v>4779</v>
      </c>
      <c r="D505" s="47">
        <v>502</v>
      </c>
      <c r="E505" s="188" t="s">
        <v>2970</v>
      </c>
      <c r="F505" s="188" t="s">
        <v>2970</v>
      </c>
      <c r="G505" s="188" t="s">
        <v>2970</v>
      </c>
      <c r="H505" s="188" t="s">
        <v>2970</v>
      </c>
      <c r="I505" s="188" t="s">
        <v>2970</v>
      </c>
      <c r="J505" s="188" t="s">
        <v>2970</v>
      </c>
      <c r="K505" s="188">
        <v>457</v>
      </c>
    </row>
    <row r="506" spans="1:11" x14ac:dyDescent="0.25">
      <c r="A506" s="47" t="s">
        <v>5382</v>
      </c>
      <c r="B506" s="47" t="s">
        <v>4780</v>
      </c>
      <c r="D506" s="47">
        <v>503</v>
      </c>
      <c r="E506" s="188" t="s">
        <v>2970</v>
      </c>
      <c r="F506" s="188" t="s">
        <v>2970</v>
      </c>
      <c r="G506" s="188" t="s">
        <v>2970</v>
      </c>
      <c r="H506" s="188" t="s">
        <v>2970</v>
      </c>
      <c r="I506" s="188" t="s">
        <v>2970</v>
      </c>
      <c r="J506" s="188" t="s">
        <v>2970</v>
      </c>
      <c r="K506" s="188">
        <v>458</v>
      </c>
    </row>
    <row r="507" spans="1:11" x14ac:dyDescent="0.25">
      <c r="A507" s="47" t="s">
        <v>5383</v>
      </c>
      <c r="B507" s="47" t="s">
        <v>4781</v>
      </c>
      <c r="D507" s="47">
        <v>504</v>
      </c>
      <c r="E507" s="188" t="s">
        <v>2970</v>
      </c>
      <c r="F507" s="188" t="s">
        <v>2970</v>
      </c>
      <c r="G507" s="188" t="s">
        <v>2970</v>
      </c>
      <c r="H507" s="188" t="s">
        <v>2970</v>
      </c>
      <c r="I507" s="188" t="s">
        <v>2970</v>
      </c>
      <c r="J507" s="188" t="s">
        <v>2970</v>
      </c>
      <c r="K507" s="188">
        <v>459</v>
      </c>
    </row>
    <row r="508" spans="1:11" x14ac:dyDescent="0.25">
      <c r="A508" s="47" t="s">
        <v>5384</v>
      </c>
      <c r="B508" s="47" t="s">
        <v>4782</v>
      </c>
      <c r="D508" s="47">
        <v>505</v>
      </c>
      <c r="E508" s="188" t="s">
        <v>2970</v>
      </c>
      <c r="F508" s="188" t="s">
        <v>2970</v>
      </c>
      <c r="G508" s="188" t="s">
        <v>2970</v>
      </c>
      <c r="H508" s="188" t="s">
        <v>2970</v>
      </c>
      <c r="I508" s="188" t="s">
        <v>2970</v>
      </c>
      <c r="J508" s="188" t="s">
        <v>2970</v>
      </c>
      <c r="K508" s="188">
        <v>460</v>
      </c>
    </row>
    <row r="509" spans="1:11" x14ac:dyDescent="0.25">
      <c r="A509" s="47" t="s">
        <v>5385</v>
      </c>
      <c r="B509" s="47" t="s">
        <v>4783</v>
      </c>
      <c r="D509" s="47">
        <v>506</v>
      </c>
      <c r="E509" s="188" t="s">
        <v>2970</v>
      </c>
      <c r="F509" s="188" t="s">
        <v>2970</v>
      </c>
      <c r="G509" s="188" t="s">
        <v>2970</v>
      </c>
      <c r="H509" s="188" t="s">
        <v>2970</v>
      </c>
      <c r="I509" s="188" t="s">
        <v>2970</v>
      </c>
      <c r="J509" s="188" t="s">
        <v>2970</v>
      </c>
      <c r="K509" s="188">
        <v>460</v>
      </c>
    </row>
    <row r="510" spans="1:11" x14ac:dyDescent="0.25">
      <c r="A510" s="47" t="s">
        <v>5386</v>
      </c>
      <c r="B510" s="47" t="s">
        <v>4784</v>
      </c>
      <c r="D510" s="47">
        <v>507</v>
      </c>
      <c r="E510" s="188" t="s">
        <v>2970</v>
      </c>
      <c r="F510" s="188" t="s">
        <v>2970</v>
      </c>
      <c r="G510" s="188" t="s">
        <v>2970</v>
      </c>
      <c r="H510" s="188" t="s">
        <v>2970</v>
      </c>
      <c r="I510" s="188" t="s">
        <v>2970</v>
      </c>
      <c r="J510" s="188" t="s">
        <v>2970</v>
      </c>
      <c r="K510" s="188">
        <v>461</v>
      </c>
    </row>
    <row r="511" spans="1:11" x14ac:dyDescent="0.25">
      <c r="A511" s="47" t="s">
        <v>5387</v>
      </c>
      <c r="B511" s="47" t="s">
        <v>4785</v>
      </c>
      <c r="D511" s="47">
        <v>508</v>
      </c>
      <c r="E511" s="188" t="s">
        <v>2970</v>
      </c>
      <c r="F511" s="188" t="s">
        <v>2970</v>
      </c>
      <c r="G511" s="188" t="s">
        <v>2970</v>
      </c>
      <c r="H511" s="188" t="s">
        <v>2970</v>
      </c>
      <c r="I511" s="188" t="s">
        <v>2970</v>
      </c>
      <c r="J511" s="188" t="s">
        <v>2970</v>
      </c>
      <c r="K511" s="188">
        <v>462</v>
      </c>
    </row>
    <row r="512" spans="1:11" x14ac:dyDescent="0.25">
      <c r="A512" s="47" t="s">
        <v>5388</v>
      </c>
      <c r="B512" s="47" t="s">
        <v>4786</v>
      </c>
      <c r="D512" s="47">
        <v>509</v>
      </c>
      <c r="E512" s="188" t="s">
        <v>2970</v>
      </c>
      <c r="F512" s="188" t="s">
        <v>2970</v>
      </c>
      <c r="G512" s="188" t="s">
        <v>2970</v>
      </c>
      <c r="H512" s="188" t="s">
        <v>2970</v>
      </c>
      <c r="I512" s="188" t="s">
        <v>2970</v>
      </c>
      <c r="J512" s="188" t="s">
        <v>2970</v>
      </c>
      <c r="K512" s="188">
        <v>463</v>
      </c>
    </row>
    <row r="513" spans="1:11" x14ac:dyDescent="0.25">
      <c r="A513" s="47" t="s">
        <v>5389</v>
      </c>
      <c r="B513" s="47" t="s">
        <v>4787</v>
      </c>
      <c r="D513" s="47">
        <v>510</v>
      </c>
      <c r="E513" s="188" t="s">
        <v>2970</v>
      </c>
      <c r="F513" s="188" t="s">
        <v>2970</v>
      </c>
      <c r="G513" s="188" t="s">
        <v>2970</v>
      </c>
      <c r="H513" s="188" t="s">
        <v>2970</v>
      </c>
      <c r="I513" s="188" t="s">
        <v>2970</v>
      </c>
      <c r="J513" s="188" t="s">
        <v>2970</v>
      </c>
      <c r="K513" s="188">
        <v>464</v>
      </c>
    </row>
    <row r="514" spans="1:11" x14ac:dyDescent="0.25">
      <c r="A514" s="47" t="s">
        <v>5390</v>
      </c>
      <c r="B514" s="47" t="s">
        <v>4788</v>
      </c>
      <c r="D514" s="47">
        <v>511</v>
      </c>
      <c r="E514" s="188" t="s">
        <v>2970</v>
      </c>
      <c r="F514" s="188" t="s">
        <v>2970</v>
      </c>
      <c r="G514" s="188" t="s">
        <v>2970</v>
      </c>
      <c r="H514" s="188" t="s">
        <v>2970</v>
      </c>
      <c r="I514" s="188" t="s">
        <v>2970</v>
      </c>
      <c r="J514" s="188" t="s">
        <v>2970</v>
      </c>
      <c r="K514" s="188">
        <v>464</v>
      </c>
    </row>
    <row r="515" spans="1:11" x14ac:dyDescent="0.25">
      <c r="A515" s="47" t="s">
        <v>5391</v>
      </c>
      <c r="B515" s="47" t="s">
        <v>4789</v>
      </c>
      <c r="D515" s="47">
        <v>512</v>
      </c>
      <c r="E515" s="188" t="s">
        <v>2970</v>
      </c>
      <c r="F515" s="188" t="s">
        <v>2970</v>
      </c>
      <c r="G515" s="188" t="s">
        <v>2970</v>
      </c>
      <c r="H515" s="188" t="s">
        <v>2970</v>
      </c>
      <c r="I515" s="188" t="s">
        <v>2970</v>
      </c>
      <c r="J515" s="188" t="s">
        <v>2970</v>
      </c>
      <c r="K515" s="188">
        <v>465</v>
      </c>
    </row>
    <row r="516" spans="1:11" x14ac:dyDescent="0.25">
      <c r="A516" s="47" t="s">
        <v>5392</v>
      </c>
      <c r="B516" s="47" t="s">
        <v>4790</v>
      </c>
      <c r="D516" s="47">
        <v>513</v>
      </c>
      <c r="E516" s="188" t="s">
        <v>2970</v>
      </c>
      <c r="F516" s="188" t="s">
        <v>2970</v>
      </c>
      <c r="G516" s="188" t="s">
        <v>2970</v>
      </c>
      <c r="H516" s="188" t="s">
        <v>2970</v>
      </c>
      <c r="I516" s="188" t="s">
        <v>2970</v>
      </c>
      <c r="J516" s="188" t="s">
        <v>2970</v>
      </c>
      <c r="K516" s="188">
        <v>466</v>
      </c>
    </row>
    <row r="517" spans="1:11" x14ac:dyDescent="0.25">
      <c r="A517" s="47" t="s">
        <v>5393</v>
      </c>
      <c r="B517" s="47" t="s">
        <v>4791</v>
      </c>
      <c r="D517" s="47">
        <v>514</v>
      </c>
      <c r="E517" s="188" t="s">
        <v>2970</v>
      </c>
      <c r="F517" s="188" t="s">
        <v>2970</v>
      </c>
      <c r="G517" s="188" t="s">
        <v>2970</v>
      </c>
      <c r="H517" s="188" t="s">
        <v>2970</v>
      </c>
      <c r="I517" s="188" t="s">
        <v>2970</v>
      </c>
      <c r="J517" s="188" t="s">
        <v>2970</v>
      </c>
      <c r="K517" s="188">
        <v>467</v>
      </c>
    </row>
    <row r="518" spans="1:11" x14ac:dyDescent="0.25">
      <c r="A518" s="47" t="s">
        <v>5394</v>
      </c>
      <c r="B518" s="47" t="s">
        <v>4792</v>
      </c>
      <c r="D518" s="47">
        <v>515</v>
      </c>
      <c r="E518" s="188" t="s">
        <v>2970</v>
      </c>
      <c r="F518" s="188" t="s">
        <v>2970</v>
      </c>
      <c r="G518" s="188" t="s">
        <v>2970</v>
      </c>
      <c r="H518" s="188" t="s">
        <v>2970</v>
      </c>
      <c r="I518" s="188" t="s">
        <v>2970</v>
      </c>
      <c r="J518" s="188" t="s">
        <v>2970</v>
      </c>
      <c r="K518" s="188">
        <v>468</v>
      </c>
    </row>
    <row r="519" spans="1:11" x14ac:dyDescent="0.25">
      <c r="A519" s="47" t="s">
        <v>5395</v>
      </c>
      <c r="B519" s="47" t="s">
        <v>4793</v>
      </c>
      <c r="D519" s="47">
        <v>516</v>
      </c>
      <c r="E519" s="188" t="s">
        <v>2970</v>
      </c>
      <c r="F519" s="188" t="s">
        <v>2970</v>
      </c>
      <c r="G519" s="188" t="s">
        <v>2970</v>
      </c>
      <c r="H519" s="188" t="s">
        <v>2970</v>
      </c>
      <c r="I519" s="188" t="s">
        <v>2970</v>
      </c>
      <c r="J519" s="188" t="s">
        <v>2970</v>
      </c>
      <c r="K519" s="188">
        <v>468</v>
      </c>
    </row>
    <row r="520" spans="1:11" x14ac:dyDescent="0.25">
      <c r="A520" s="47" t="s">
        <v>5396</v>
      </c>
      <c r="B520" s="47" t="s">
        <v>4794</v>
      </c>
      <c r="D520" s="47">
        <v>517</v>
      </c>
      <c r="E520" s="188" t="s">
        <v>2970</v>
      </c>
      <c r="F520" s="188" t="s">
        <v>2970</v>
      </c>
      <c r="G520" s="188" t="s">
        <v>2970</v>
      </c>
      <c r="H520" s="188" t="s">
        <v>2970</v>
      </c>
      <c r="I520" s="188" t="s">
        <v>2970</v>
      </c>
      <c r="J520" s="188" t="s">
        <v>2970</v>
      </c>
      <c r="K520" s="188">
        <v>469</v>
      </c>
    </row>
    <row r="521" spans="1:11" x14ac:dyDescent="0.25">
      <c r="A521" s="47" t="s">
        <v>5397</v>
      </c>
      <c r="B521" s="47" t="s">
        <v>4795</v>
      </c>
      <c r="D521" s="47">
        <v>518</v>
      </c>
      <c r="E521" s="188" t="s">
        <v>2970</v>
      </c>
      <c r="F521" s="188" t="s">
        <v>2970</v>
      </c>
      <c r="G521" s="188" t="s">
        <v>2970</v>
      </c>
      <c r="H521" s="188" t="s">
        <v>2970</v>
      </c>
      <c r="I521" s="188" t="s">
        <v>2970</v>
      </c>
      <c r="J521" s="188" t="s">
        <v>2970</v>
      </c>
      <c r="K521" s="188">
        <v>470</v>
      </c>
    </row>
    <row r="522" spans="1:11" x14ac:dyDescent="0.25">
      <c r="A522" s="47" t="s">
        <v>5398</v>
      </c>
      <c r="B522" s="47" t="s">
        <v>4796</v>
      </c>
      <c r="D522" s="47">
        <v>519</v>
      </c>
      <c r="E522" s="188" t="s">
        <v>5129</v>
      </c>
      <c r="F522" s="188" t="s">
        <v>2970</v>
      </c>
      <c r="G522" s="188" t="s">
        <v>2970</v>
      </c>
      <c r="H522" s="188" t="s">
        <v>2970</v>
      </c>
      <c r="I522" s="188" t="s">
        <v>2970</v>
      </c>
      <c r="J522" s="188" t="s">
        <v>2970</v>
      </c>
      <c r="K522" s="188">
        <v>471</v>
      </c>
    </row>
    <row r="523" spans="1:11" x14ac:dyDescent="0.25">
      <c r="A523" s="47" t="s">
        <v>5399</v>
      </c>
      <c r="B523" s="47" t="s">
        <v>4797</v>
      </c>
      <c r="D523" s="47">
        <v>520</v>
      </c>
      <c r="E523" s="188" t="s">
        <v>5130</v>
      </c>
      <c r="F523" s="188" t="s">
        <v>2970</v>
      </c>
      <c r="G523" s="188" t="s">
        <v>2970</v>
      </c>
      <c r="H523" s="188" t="s">
        <v>2970</v>
      </c>
      <c r="I523" s="188" t="s">
        <v>2970</v>
      </c>
      <c r="J523" s="188" t="s">
        <v>2970</v>
      </c>
      <c r="K523" s="188">
        <v>472</v>
      </c>
    </row>
    <row r="524" spans="1:11" x14ac:dyDescent="0.25">
      <c r="A524" s="47" t="s">
        <v>5400</v>
      </c>
      <c r="B524" s="47" t="s">
        <v>4798</v>
      </c>
      <c r="D524" s="47">
        <v>521</v>
      </c>
      <c r="E524" s="188" t="s">
        <v>5128</v>
      </c>
      <c r="F524" s="188" t="s">
        <v>2970</v>
      </c>
      <c r="G524" s="188" t="s">
        <v>2970</v>
      </c>
      <c r="H524" s="188" t="s">
        <v>2970</v>
      </c>
      <c r="I524" s="188" t="s">
        <v>2970</v>
      </c>
      <c r="J524" s="188" t="s">
        <v>2970</v>
      </c>
      <c r="K524" s="188">
        <v>473</v>
      </c>
    </row>
    <row r="525" spans="1:11" x14ac:dyDescent="0.25">
      <c r="A525" s="47" t="s">
        <v>5401</v>
      </c>
      <c r="B525" s="47" t="s">
        <v>4799</v>
      </c>
      <c r="D525" s="47">
        <v>522</v>
      </c>
      <c r="E525" s="188" t="s">
        <v>5132</v>
      </c>
      <c r="F525" s="188" t="s">
        <v>2970</v>
      </c>
      <c r="G525" s="188" t="s">
        <v>2970</v>
      </c>
      <c r="H525" s="188" t="s">
        <v>2970</v>
      </c>
      <c r="I525" s="188" t="s">
        <v>2970</v>
      </c>
      <c r="J525" s="188" t="s">
        <v>2970</v>
      </c>
      <c r="K525" s="188">
        <v>474</v>
      </c>
    </row>
    <row r="526" spans="1:11" x14ac:dyDescent="0.25">
      <c r="A526" s="47" t="s">
        <v>5402</v>
      </c>
      <c r="B526" s="47" t="s">
        <v>4800</v>
      </c>
      <c r="D526" s="47">
        <v>523</v>
      </c>
      <c r="E526" s="188" t="s">
        <v>5133</v>
      </c>
      <c r="F526" s="188" t="s">
        <v>2970</v>
      </c>
      <c r="G526" s="188" t="s">
        <v>2970</v>
      </c>
      <c r="H526" s="188" t="s">
        <v>2970</v>
      </c>
      <c r="I526" s="188" t="s">
        <v>2970</v>
      </c>
      <c r="J526" s="188" t="s">
        <v>2970</v>
      </c>
      <c r="K526" s="188">
        <v>475</v>
      </c>
    </row>
    <row r="527" spans="1:11" x14ac:dyDescent="0.25">
      <c r="A527" s="47" t="s">
        <v>5403</v>
      </c>
      <c r="B527" s="47" t="s">
        <v>4801</v>
      </c>
      <c r="D527" s="47">
        <v>524</v>
      </c>
      <c r="E527" s="188" t="s">
        <v>5131</v>
      </c>
      <c r="F527" s="188" t="s">
        <v>2970</v>
      </c>
      <c r="G527" s="188" t="s">
        <v>2970</v>
      </c>
      <c r="H527" s="188" t="s">
        <v>2970</v>
      </c>
      <c r="I527" s="188" t="s">
        <v>2970</v>
      </c>
      <c r="J527" s="188" t="s">
        <v>2970</v>
      </c>
      <c r="K527" s="188">
        <v>476</v>
      </c>
    </row>
    <row r="528" spans="1:11" x14ac:dyDescent="0.25">
      <c r="A528" s="47" t="s">
        <v>5404</v>
      </c>
      <c r="B528" s="47" t="s">
        <v>4802</v>
      </c>
      <c r="D528" s="47">
        <v>525</v>
      </c>
      <c r="E528" s="188" t="s">
        <v>5134</v>
      </c>
      <c r="F528" s="188" t="s">
        <v>3838</v>
      </c>
      <c r="G528" s="188" t="s">
        <v>2970</v>
      </c>
      <c r="H528" s="188" t="s">
        <v>2970</v>
      </c>
      <c r="I528" s="188" t="s">
        <v>2970</v>
      </c>
      <c r="J528" s="188" t="s">
        <v>2970</v>
      </c>
      <c r="K528" s="188" t="s">
        <v>2970</v>
      </c>
    </row>
    <row r="529" spans="1:11" x14ac:dyDescent="0.25">
      <c r="B529" s="47" t="s">
        <v>3702</v>
      </c>
      <c r="D529" s="47">
        <v>526</v>
      </c>
      <c r="E529" s="188" t="s">
        <v>2970</v>
      </c>
      <c r="F529" s="188" t="s">
        <v>2970</v>
      </c>
      <c r="G529" s="188" t="s">
        <v>2970</v>
      </c>
      <c r="H529" s="188" t="s">
        <v>2970</v>
      </c>
      <c r="I529" s="188" t="s">
        <v>2970</v>
      </c>
      <c r="J529" s="188" t="s">
        <v>2970</v>
      </c>
      <c r="K529" s="188">
        <v>478</v>
      </c>
    </row>
    <row r="530" spans="1:11" x14ac:dyDescent="0.25">
      <c r="B530" s="47" t="s">
        <v>4803</v>
      </c>
      <c r="D530" s="47">
        <v>527</v>
      </c>
      <c r="E530" s="188" t="s">
        <v>5134</v>
      </c>
      <c r="F530" s="188" t="s">
        <v>3838</v>
      </c>
      <c r="G530" s="188" t="s">
        <v>3838</v>
      </c>
      <c r="H530" s="188" t="s">
        <v>2970</v>
      </c>
      <c r="I530" s="188" t="s">
        <v>2970</v>
      </c>
      <c r="J530" s="188" t="s">
        <v>2970</v>
      </c>
      <c r="K530" s="188">
        <v>479</v>
      </c>
    </row>
    <row r="531" spans="1:11" x14ac:dyDescent="0.25">
      <c r="B531" s="47" t="s">
        <v>4804</v>
      </c>
      <c r="D531" s="47">
        <v>528</v>
      </c>
      <c r="E531" s="188" t="s">
        <v>5134</v>
      </c>
      <c r="F531" s="188" t="s">
        <v>3838</v>
      </c>
      <c r="G531" s="188" t="s">
        <v>4967</v>
      </c>
      <c r="H531" s="188" t="s">
        <v>2970</v>
      </c>
      <c r="I531" s="188" t="s">
        <v>2970</v>
      </c>
      <c r="J531" s="188" t="s">
        <v>2970</v>
      </c>
      <c r="K531" s="188">
        <v>480</v>
      </c>
    </row>
    <row r="532" spans="1:11" x14ac:dyDescent="0.25">
      <c r="A532" s="47" t="s">
        <v>3853</v>
      </c>
      <c r="B532" s="47" t="s">
        <v>3697</v>
      </c>
      <c r="D532" s="47">
        <v>529</v>
      </c>
      <c r="E532" s="188" t="s">
        <v>5134</v>
      </c>
      <c r="F532" s="188" t="s">
        <v>3838</v>
      </c>
      <c r="G532" s="188" t="s">
        <v>4970</v>
      </c>
      <c r="H532" s="188" t="s">
        <v>2970</v>
      </c>
      <c r="I532" s="188" t="s">
        <v>2970</v>
      </c>
      <c r="J532" s="188" t="s">
        <v>2970</v>
      </c>
      <c r="K532" s="188">
        <v>481</v>
      </c>
    </row>
    <row r="533" spans="1:11" x14ac:dyDescent="0.25">
      <c r="A533" s="47" t="s">
        <v>5405</v>
      </c>
      <c r="B533" s="47" t="s">
        <v>4805</v>
      </c>
      <c r="D533" s="47">
        <v>530</v>
      </c>
      <c r="E533" s="188" t="s">
        <v>5134</v>
      </c>
      <c r="F533" s="188" t="s">
        <v>3838</v>
      </c>
      <c r="G533" s="188" t="s">
        <v>4971</v>
      </c>
      <c r="H533" s="188" t="s">
        <v>2970</v>
      </c>
      <c r="I533" s="188" t="s">
        <v>2970</v>
      </c>
      <c r="J533" s="188" t="s">
        <v>2970</v>
      </c>
      <c r="K533" s="188">
        <v>482</v>
      </c>
    </row>
    <row r="534" spans="1:11" x14ac:dyDescent="0.25">
      <c r="A534" s="47" t="s">
        <v>3854</v>
      </c>
      <c r="B534" s="47" t="s">
        <v>3698</v>
      </c>
      <c r="D534" s="47">
        <v>531</v>
      </c>
      <c r="E534" s="188" t="s">
        <v>5134</v>
      </c>
      <c r="F534" s="188" t="s">
        <v>3838</v>
      </c>
      <c r="G534" s="188" t="s">
        <v>4969</v>
      </c>
      <c r="H534" s="188" t="s">
        <v>2970</v>
      </c>
      <c r="I534" s="188" t="s">
        <v>2970</v>
      </c>
      <c r="J534" s="188" t="s">
        <v>2970</v>
      </c>
      <c r="K534" s="188">
        <v>483</v>
      </c>
    </row>
    <row r="535" spans="1:11" x14ac:dyDescent="0.25">
      <c r="A535" s="47" t="s">
        <v>5406</v>
      </c>
      <c r="B535" s="47" t="s">
        <v>4806</v>
      </c>
      <c r="D535" s="47">
        <v>532</v>
      </c>
      <c r="E535" s="188" t="s">
        <v>5134</v>
      </c>
      <c r="F535" s="188" t="s">
        <v>3838</v>
      </c>
      <c r="G535" s="188" t="s">
        <v>4972</v>
      </c>
      <c r="H535" s="188" t="s">
        <v>2970</v>
      </c>
      <c r="I535" s="188" t="s">
        <v>2970</v>
      </c>
      <c r="J535" s="188" t="s">
        <v>2970</v>
      </c>
      <c r="K535" s="188">
        <v>484</v>
      </c>
    </row>
    <row r="536" spans="1:11" x14ac:dyDescent="0.25">
      <c r="A536" s="47" t="s">
        <v>3855</v>
      </c>
      <c r="B536" s="47" t="s">
        <v>3699</v>
      </c>
      <c r="D536" s="47">
        <v>533</v>
      </c>
      <c r="E536" s="188" t="s">
        <v>5135</v>
      </c>
      <c r="F536" s="188" t="s">
        <v>2970</v>
      </c>
      <c r="G536" s="188" t="s">
        <v>2970</v>
      </c>
      <c r="H536" s="188" t="s">
        <v>2970</v>
      </c>
      <c r="I536" s="188" t="s">
        <v>2970</v>
      </c>
      <c r="J536" s="188" t="s">
        <v>2970</v>
      </c>
      <c r="K536" s="188" t="s">
        <v>2970</v>
      </c>
    </row>
    <row r="537" spans="1:11" x14ac:dyDescent="0.25">
      <c r="A537" s="47" t="s">
        <v>5407</v>
      </c>
      <c r="B537" s="47" t="s">
        <v>4807</v>
      </c>
      <c r="D537" s="47">
        <v>534</v>
      </c>
      <c r="E537" s="188" t="s">
        <v>5136</v>
      </c>
      <c r="F537" s="188" t="s">
        <v>2970</v>
      </c>
      <c r="G537" s="188" t="s">
        <v>2970</v>
      </c>
      <c r="H537" s="188" t="s">
        <v>2970</v>
      </c>
      <c r="I537" s="188" t="s">
        <v>2970</v>
      </c>
      <c r="J537" s="188" t="s">
        <v>2970</v>
      </c>
      <c r="K537" s="188">
        <v>477</v>
      </c>
    </row>
    <row r="538" spans="1:11" x14ac:dyDescent="0.25">
      <c r="A538" s="47" t="s">
        <v>3856</v>
      </c>
      <c r="B538" s="47" t="s">
        <v>3701</v>
      </c>
      <c r="D538" s="47">
        <v>535</v>
      </c>
      <c r="E538" s="188" t="s">
        <v>5137</v>
      </c>
      <c r="F538" s="188" t="s">
        <v>2970</v>
      </c>
      <c r="G538" s="188" t="s">
        <v>2970</v>
      </c>
      <c r="H538" s="188" t="s">
        <v>2970</v>
      </c>
      <c r="I538" s="188" t="s">
        <v>2970</v>
      </c>
      <c r="J538" s="188" t="s">
        <v>2970</v>
      </c>
      <c r="K538" s="188" t="s">
        <v>2970</v>
      </c>
    </row>
    <row r="539" spans="1:11" x14ac:dyDescent="0.25">
      <c r="A539" s="47" t="s">
        <v>5408</v>
      </c>
      <c r="B539" s="47" t="s">
        <v>4808</v>
      </c>
      <c r="D539" s="47">
        <v>536</v>
      </c>
      <c r="E539" s="188" t="s">
        <v>5138</v>
      </c>
      <c r="F539" s="188" t="s">
        <v>2970</v>
      </c>
      <c r="G539" s="188" t="s">
        <v>2970</v>
      </c>
      <c r="H539" s="188" t="s">
        <v>2970</v>
      </c>
      <c r="I539" s="188" t="s">
        <v>2970</v>
      </c>
      <c r="J539" s="188" t="s">
        <v>2970</v>
      </c>
      <c r="K539" s="188" t="s">
        <v>2970</v>
      </c>
    </row>
    <row r="540" spans="1:11" x14ac:dyDescent="0.25">
      <c r="A540" s="47" t="s">
        <v>3857</v>
      </c>
      <c r="B540" s="47" t="s">
        <v>3700</v>
      </c>
      <c r="D540" s="47">
        <v>537</v>
      </c>
      <c r="E540" s="188" t="s">
        <v>5139</v>
      </c>
      <c r="F540" s="188" t="s">
        <v>2970</v>
      </c>
      <c r="G540" s="188" t="s">
        <v>2970</v>
      </c>
      <c r="H540" s="188" t="s">
        <v>2970</v>
      </c>
      <c r="I540" s="188" t="s">
        <v>2970</v>
      </c>
      <c r="J540" s="188" t="s">
        <v>2970</v>
      </c>
      <c r="K540" s="188" t="s">
        <v>2970</v>
      </c>
    </row>
    <row r="541" spans="1:11" x14ac:dyDescent="0.25">
      <c r="A541" s="47" t="s">
        <v>5409</v>
      </c>
      <c r="B541" s="47" t="s">
        <v>4809</v>
      </c>
      <c r="D541" s="47">
        <v>538</v>
      </c>
      <c r="E541" s="188" t="s">
        <v>5140</v>
      </c>
      <c r="F541" s="188" t="s">
        <v>2970</v>
      </c>
      <c r="G541" s="188" t="s">
        <v>2970</v>
      </c>
      <c r="H541" s="188" t="s">
        <v>2970</v>
      </c>
      <c r="I541" s="188" t="s">
        <v>2970</v>
      </c>
      <c r="J541" s="188" t="s">
        <v>2970</v>
      </c>
      <c r="K541" s="188" t="s">
        <v>2970</v>
      </c>
    </row>
    <row r="542" spans="1:11" x14ac:dyDescent="0.25">
      <c r="A542" s="47" t="s">
        <v>5410</v>
      </c>
      <c r="B542" s="47" t="s">
        <v>4810</v>
      </c>
      <c r="D542" s="47">
        <v>539</v>
      </c>
      <c r="E542" s="188" t="s">
        <v>5141</v>
      </c>
      <c r="F542" s="188" t="s">
        <v>2970</v>
      </c>
      <c r="G542" s="188" t="s">
        <v>2970</v>
      </c>
      <c r="H542" s="188" t="s">
        <v>2970</v>
      </c>
      <c r="I542" s="188" t="s">
        <v>2970</v>
      </c>
      <c r="J542" s="188" t="s">
        <v>2970</v>
      </c>
      <c r="K542" s="188" t="s">
        <v>2970</v>
      </c>
    </row>
    <row r="543" spans="1:11" x14ac:dyDescent="0.25">
      <c r="A543" s="47" t="s">
        <v>5411</v>
      </c>
      <c r="B543" s="47" t="s">
        <v>4811</v>
      </c>
      <c r="D543" s="47">
        <v>540</v>
      </c>
      <c r="E543" s="188" t="s">
        <v>5142</v>
      </c>
      <c r="F543" s="188" t="s">
        <v>2970</v>
      </c>
      <c r="G543" s="188" t="s">
        <v>2970</v>
      </c>
      <c r="H543" s="188" t="s">
        <v>2970</v>
      </c>
      <c r="I543" s="188" t="s">
        <v>2970</v>
      </c>
      <c r="J543" s="188" t="s">
        <v>2970</v>
      </c>
      <c r="K543" s="188" t="s">
        <v>2970</v>
      </c>
    </row>
    <row r="544" spans="1:11" x14ac:dyDescent="0.25">
      <c r="A544" s="47" t="s">
        <v>5412</v>
      </c>
      <c r="B544" s="47" t="s">
        <v>4812</v>
      </c>
      <c r="D544" s="47">
        <v>541</v>
      </c>
      <c r="E544" s="188" t="s">
        <v>5143</v>
      </c>
      <c r="F544" s="188" t="s">
        <v>2970</v>
      </c>
      <c r="G544" s="188" t="s">
        <v>2970</v>
      </c>
      <c r="H544" s="188" t="s">
        <v>2970</v>
      </c>
      <c r="I544" s="188" t="s">
        <v>2970</v>
      </c>
      <c r="J544" s="188" t="s">
        <v>2970</v>
      </c>
      <c r="K544" s="188" t="s">
        <v>2970</v>
      </c>
    </row>
    <row r="545" spans="1:11" x14ac:dyDescent="0.25">
      <c r="A545" s="47" t="s">
        <v>5413</v>
      </c>
      <c r="B545" s="47" t="s">
        <v>4813</v>
      </c>
      <c r="D545" s="47">
        <v>542</v>
      </c>
      <c r="E545" s="188" t="s">
        <v>5144</v>
      </c>
      <c r="F545" s="188" t="s">
        <v>2970</v>
      </c>
      <c r="G545" s="188" t="s">
        <v>2970</v>
      </c>
      <c r="H545" s="188" t="s">
        <v>2970</v>
      </c>
      <c r="I545" s="188" t="s">
        <v>2970</v>
      </c>
      <c r="J545" s="188" t="s">
        <v>2970</v>
      </c>
      <c r="K545" s="188" t="s">
        <v>2970</v>
      </c>
    </row>
    <row r="546" spans="1:11" x14ac:dyDescent="0.25">
      <c r="A546" s="47" t="s">
        <v>5414</v>
      </c>
      <c r="B546" s="47" t="s">
        <v>4814</v>
      </c>
      <c r="D546" s="47">
        <v>543</v>
      </c>
      <c r="E546" s="188" t="s">
        <v>5145</v>
      </c>
      <c r="F546" s="188" t="s">
        <v>2970</v>
      </c>
      <c r="G546" s="188" t="s">
        <v>2970</v>
      </c>
      <c r="H546" s="188" t="s">
        <v>2970</v>
      </c>
      <c r="I546" s="188" t="s">
        <v>2970</v>
      </c>
      <c r="J546" s="188" t="s">
        <v>2970</v>
      </c>
      <c r="K546" s="188" t="s">
        <v>2970</v>
      </c>
    </row>
    <row r="547" spans="1:11" x14ac:dyDescent="0.25">
      <c r="A547" s="47" t="s">
        <v>5415</v>
      </c>
      <c r="B547" s="47" t="s">
        <v>4815</v>
      </c>
      <c r="D547" s="47">
        <v>544</v>
      </c>
      <c r="E547" s="188" t="s">
        <v>5146</v>
      </c>
      <c r="F547" s="188" t="s">
        <v>2970</v>
      </c>
      <c r="G547" s="188" t="s">
        <v>2970</v>
      </c>
      <c r="H547" s="188" t="s">
        <v>2970</v>
      </c>
      <c r="I547" s="188" t="s">
        <v>2970</v>
      </c>
      <c r="J547" s="188" t="s">
        <v>2970</v>
      </c>
      <c r="K547" s="188" t="s">
        <v>2970</v>
      </c>
    </row>
    <row r="548" spans="1:11" x14ac:dyDescent="0.25">
      <c r="A548" s="47" t="s">
        <v>5416</v>
      </c>
      <c r="B548" s="47" t="s">
        <v>4816</v>
      </c>
      <c r="D548" s="47">
        <v>545</v>
      </c>
      <c r="E548" s="188" t="s">
        <v>5147</v>
      </c>
      <c r="F548" s="188" t="s">
        <v>2970</v>
      </c>
      <c r="G548" s="188" t="s">
        <v>2970</v>
      </c>
      <c r="H548" s="188" t="s">
        <v>2970</v>
      </c>
      <c r="I548" s="188" t="s">
        <v>2970</v>
      </c>
      <c r="J548" s="188" t="s">
        <v>2970</v>
      </c>
      <c r="K548" s="188" t="s">
        <v>2970</v>
      </c>
    </row>
    <row r="549" spans="1:11" x14ac:dyDescent="0.25">
      <c r="A549" s="47" t="s">
        <v>5417</v>
      </c>
      <c r="B549" s="47" t="s">
        <v>4817</v>
      </c>
      <c r="D549" s="47">
        <v>546</v>
      </c>
      <c r="E549" s="188" t="s">
        <v>2970</v>
      </c>
      <c r="F549" s="188" t="s">
        <v>2970</v>
      </c>
      <c r="G549" s="188" t="s">
        <v>2970</v>
      </c>
      <c r="H549" s="188" t="s">
        <v>2970</v>
      </c>
      <c r="I549" s="188" t="s">
        <v>2970</v>
      </c>
      <c r="J549" s="188" t="s">
        <v>2970</v>
      </c>
      <c r="K549" s="188">
        <v>485</v>
      </c>
    </row>
    <row r="550" spans="1:11" x14ac:dyDescent="0.25">
      <c r="A550" s="47" t="s">
        <v>5418</v>
      </c>
      <c r="B550" s="47" t="s">
        <v>4818</v>
      </c>
      <c r="D550" s="47">
        <v>547</v>
      </c>
      <c r="E550" s="188" t="s">
        <v>5148</v>
      </c>
      <c r="F550" s="188" t="s">
        <v>2970</v>
      </c>
      <c r="G550" s="188" t="s">
        <v>2970</v>
      </c>
      <c r="H550" s="188" t="s">
        <v>2970</v>
      </c>
      <c r="I550" s="188" t="s">
        <v>2970</v>
      </c>
      <c r="J550" s="188" t="s">
        <v>2970</v>
      </c>
      <c r="K550" s="188">
        <v>486</v>
      </c>
    </row>
    <row r="551" spans="1:11" x14ac:dyDescent="0.25">
      <c r="A551" s="47" t="s">
        <v>5419</v>
      </c>
      <c r="B551" s="47" t="s">
        <v>4819</v>
      </c>
      <c r="D551" s="47">
        <v>548</v>
      </c>
      <c r="E551" s="188" t="s">
        <v>5149</v>
      </c>
      <c r="F551" s="188" t="s">
        <v>2970</v>
      </c>
      <c r="G551" s="188" t="s">
        <v>2970</v>
      </c>
      <c r="H551" s="188" t="s">
        <v>2970</v>
      </c>
      <c r="I551" s="188" t="s">
        <v>2970</v>
      </c>
      <c r="J551" s="188" t="s">
        <v>2970</v>
      </c>
      <c r="K551" s="188">
        <v>487</v>
      </c>
    </row>
    <row r="552" spans="1:11" x14ac:dyDescent="0.25">
      <c r="A552" s="47" t="s">
        <v>5420</v>
      </c>
      <c r="B552" s="47" t="s">
        <v>4820</v>
      </c>
      <c r="D552" s="47">
        <v>549</v>
      </c>
      <c r="E552" s="188" t="s">
        <v>5152</v>
      </c>
      <c r="F552" s="188" t="s">
        <v>2970</v>
      </c>
      <c r="G552" s="188" t="s">
        <v>2970</v>
      </c>
      <c r="H552" s="188" t="s">
        <v>2970</v>
      </c>
      <c r="I552" s="188" t="s">
        <v>2970</v>
      </c>
      <c r="J552" s="188" t="s">
        <v>2970</v>
      </c>
      <c r="K552" s="188" t="s">
        <v>2970</v>
      </c>
    </row>
    <row r="553" spans="1:11" x14ac:dyDescent="0.25">
      <c r="A553" s="47" t="s">
        <v>5421</v>
      </c>
      <c r="B553" s="47" t="s">
        <v>4821</v>
      </c>
      <c r="D553" s="47">
        <v>550</v>
      </c>
      <c r="E553" s="188" t="s">
        <v>5153</v>
      </c>
      <c r="F553" s="188" t="s">
        <v>2970</v>
      </c>
      <c r="G553" s="188" t="s">
        <v>2970</v>
      </c>
      <c r="H553" s="188" t="s">
        <v>2970</v>
      </c>
      <c r="I553" s="188" t="s">
        <v>2970</v>
      </c>
      <c r="J553" s="188" t="s">
        <v>2970</v>
      </c>
      <c r="K553" s="188">
        <v>488</v>
      </c>
    </row>
    <row r="554" spans="1:11" x14ac:dyDescent="0.25">
      <c r="A554" s="47" t="s">
        <v>5422</v>
      </c>
      <c r="B554" s="47" t="s">
        <v>4822</v>
      </c>
      <c r="D554" s="47">
        <v>551</v>
      </c>
      <c r="E554" s="188" t="s">
        <v>5150</v>
      </c>
      <c r="F554" s="188" t="s">
        <v>2970</v>
      </c>
      <c r="G554" s="188" t="s">
        <v>2970</v>
      </c>
      <c r="H554" s="188" t="s">
        <v>2970</v>
      </c>
      <c r="I554" s="188" t="s">
        <v>2970</v>
      </c>
      <c r="J554" s="188" t="s">
        <v>2970</v>
      </c>
      <c r="K554" s="47">
        <v>487</v>
      </c>
    </row>
    <row r="555" spans="1:11" x14ac:dyDescent="0.25">
      <c r="A555" s="47" t="s">
        <v>5423</v>
      </c>
      <c r="B555" s="47" t="s">
        <v>4823</v>
      </c>
      <c r="D555" s="47">
        <v>552</v>
      </c>
      <c r="E555" s="188" t="s">
        <v>5151</v>
      </c>
      <c r="F555" s="188" t="s">
        <v>2970</v>
      </c>
      <c r="G555" s="188" t="s">
        <v>2970</v>
      </c>
      <c r="H555" s="188" t="s">
        <v>2970</v>
      </c>
      <c r="I555" s="188" t="s">
        <v>2970</v>
      </c>
      <c r="J555" s="188" t="s">
        <v>2970</v>
      </c>
      <c r="K555" s="188" t="s">
        <v>2970</v>
      </c>
    </row>
    <row r="556" spans="1:11" x14ac:dyDescent="0.25">
      <c r="A556" s="47" t="s">
        <v>5424</v>
      </c>
      <c r="D556" s="47">
        <v>553</v>
      </c>
      <c r="E556" s="188" t="s">
        <v>5154</v>
      </c>
      <c r="F556" s="188" t="s">
        <v>2970</v>
      </c>
      <c r="G556" s="188" t="s">
        <v>2970</v>
      </c>
      <c r="H556" s="188" t="s">
        <v>2970</v>
      </c>
      <c r="I556" s="188" t="s">
        <v>2970</v>
      </c>
      <c r="J556" s="188" t="s">
        <v>2970</v>
      </c>
      <c r="K556" s="188" t="s">
        <v>2970</v>
      </c>
    </row>
    <row r="557" spans="1:11" x14ac:dyDescent="0.25">
      <c r="A557" s="47" t="s">
        <v>5425</v>
      </c>
      <c r="D557" s="47">
        <v>554</v>
      </c>
      <c r="E557" s="188" t="s">
        <v>5155</v>
      </c>
      <c r="F557" s="188" t="s">
        <v>2970</v>
      </c>
      <c r="G557" s="188" t="s">
        <v>2970</v>
      </c>
      <c r="H557" s="188" t="s">
        <v>2970</v>
      </c>
      <c r="I557" s="188" t="s">
        <v>2970</v>
      </c>
      <c r="J557" s="188" t="s">
        <v>2970</v>
      </c>
      <c r="K557" s="188" t="s">
        <v>2970</v>
      </c>
    </row>
    <row r="558" spans="1:11" x14ac:dyDescent="0.25">
      <c r="A558" s="47" t="s">
        <v>5426</v>
      </c>
      <c r="D558" s="47">
        <v>555</v>
      </c>
      <c r="E558" s="188" t="s">
        <v>5156</v>
      </c>
      <c r="F558" s="188" t="s">
        <v>2970</v>
      </c>
      <c r="G558" s="188" t="s">
        <v>2970</v>
      </c>
      <c r="H558" s="188" t="s">
        <v>2970</v>
      </c>
      <c r="I558" s="188" t="s">
        <v>2970</v>
      </c>
      <c r="J558" s="188" t="s">
        <v>2970</v>
      </c>
      <c r="K558" s="188" t="s">
        <v>2970</v>
      </c>
    </row>
    <row r="559" spans="1:11" x14ac:dyDescent="0.25">
      <c r="A559" s="47" t="s">
        <v>5427</v>
      </c>
      <c r="B559" s="47" t="s">
        <v>4824</v>
      </c>
      <c r="D559" s="47">
        <v>556</v>
      </c>
      <c r="E559" s="188" t="s">
        <v>5157</v>
      </c>
      <c r="F559" s="188" t="s">
        <v>2970</v>
      </c>
      <c r="G559" s="188" t="s">
        <v>2970</v>
      </c>
      <c r="H559" s="188" t="s">
        <v>2970</v>
      </c>
      <c r="I559" s="188" t="s">
        <v>2970</v>
      </c>
      <c r="J559" s="188" t="s">
        <v>2970</v>
      </c>
      <c r="K559" s="188" t="s">
        <v>2970</v>
      </c>
    </row>
    <row r="560" spans="1:11" x14ac:dyDescent="0.25">
      <c r="A560" s="47" t="s">
        <v>5428</v>
      </c>
      <c r="B560" s="47" t="s">
        <v>4825</v>
      </c>
      <c r="D560" s="47">
        <v>557</v>
      </c>
      <c r="E560" s="188" t="s">
        <v>5158</v>
      </c>
      <c r="F560" s="188" t="s">
        <v>2970</v>
      </c>
      <c r="G560" s="188" t="s">
        <v>2970</v>
      </c>
      <c r="H560" s="188" t="s">
        <v>2970</v>
      </c>
      <c r="I560" s="188" t="s">
        <v>2970</v>
      </c>
      <c r="J560" s="188" t="s">
        <v>2970</v>
      </c>
      <c r="K560" s="188" t="s">
        <v>2970</v>
      </c>
    </row>
    <row r="561" spans="1:11" x14ac:dyDescent="0.25">
      <c r="A561" s="47" t="s">
        <v>5429</v>
      </c>
      <c r="B561" s="47" t="s">
        <v>4826</v>
      </c>
      <c r="D561" s="47">
        <v>558</v>
      </c>
      <c r="E561" s="188" t="s">
        <v>5159</v>
      </c>
      <c r="F561" s="188" t="s">
        <v>2970</v>
      </c>
      <c r="G561" s="188" t="s">
        <v>2970</v>
      </c>
      <c r="H561" s="188" t="s">
        <v>2970</v>
      </c>
      <c r="I561" s="188" t="s">
        <v>2970</v>
      </c>
      <c r="J561" s="188" t="s">
        <v>2970</v>
      </c>
      <c r="K561" s="188" t="s">
        <v>2970</v>
      </c>
    </row>
    <row r="562" spans="1:11" x14ac:dyDescent="0.25">
      <c r="A562" s="47" t="s">
        <v>5430</v>
      </c>
      <c r="B562" s="47" t="s">
        <v>4827</v>
      </c>
      <c r="D562" s="47">
        <v>559</v>
      </c>
      <c r="E562" s="188" t="s">
        <v>5160</v>
      </c>
      <c r="F562" s="188" t="s">
        <v>2970</v>
      </c>
      <c r="G562" s="188" t="s">
        <v>2970</v>
      </c>
      <c r="H562" s="188" t="s">
        <v>2970</v>
      </c>
      <c r="I562" s="188" t="s">
        <v>2970</v>
      </c>
      <c r="J562" s="188" t="s">
        <v>2970</v>
      </c>
      <c r="K562" s="188" t="s">
        <v>2970</v>
      </c>
    </row>
    <row r="563" spans="1:11" x14ac:dyDescent="0.25">
      <c r="A563" s="47" t="s">
        <v>5431</v>
      </c>
      <c r="B563" s="47" t="s">
        <v>4828</v>
      </c>
      <c r="D563" s="47">
        <v>560</v>
      </c>
      <c r="E563" s="188" t="s">
        <v>5161</v>
      </c>
      <c r="F563" s="188" t="s">
        <v>2970</v>
      </c>
      <c r="G563" s="188" t="s">
        <v>2970</v>
      </c>
      <c r="H563" s="188" t="s">
        <v>2970</v>
      </c>
      <c r="I563" s="188" t="s">
        <v>2970</v>
      </c>
      <c r="J563" s="188" t="s">
        <v>2970</v>
      </c>
      <c r="K563" s="188" t="s">
        <v>2970</v>
      </c>
    </row>
    <row r="564" spans="1:11" x14ac:dyDescent="0.25">
      <c r="A564" s="47" t="s">
        <v>5432</v>
      </c>
      <c r="B564" s="47" t="s">
        <v>4829</v>
      </c>
      <c r="D564" s="47">
        <v>561</v>
      </c>
      <c r="E564" s="188" t="s">
        <v>5162</v>
      </c>
      <c r="F564" s="188" t="s">
        <v>2970</v>
      </c>
      <c r="G564" s="188" t="s">
        <v>2970</v>
      </c>
      <c r="H564" s="188" t="s">
        <v>2970</v>
      </c>
      <c r="I564" s="188" t="s">
        <v>2970</v>
      </c>
      <c r="J564" s="188" t="s">
        <v>2970</v>
      </c>
      <c r="K564" s="188" t="s">
        <v>2970</v>
      </c>
    </row>
    <row r="565" spans="1:11" x14ac:dyDescent="0.25">
      <c r="A565" s="47" t="s">
        <v>5433</v>
      </c>
      <c r="B565" s="47" t="s">
        <v>4830</v>
      </c>
      <c r="D565" s="47">
        <v>562</v>
      </c>
      <c r="E565" s="188" t="s">
        <v>5163</v>
      </c>
      <c r="F565" s="188" t="s">
        <v>2970</v>
      </c>
      <c r="G565" s="188" t="s">
        <v>2970</v>
      </c>
      <c r="H565" s="188" t="s">
        <v>2970</v>
      </c>
      <c r="I565" s="188" t="s">
        <v>2970</v>
      </c>
      <c r="J565" s="188" t="s">
        <v>2970</v>
      </c>
      <c r="K565" s="188" t="s">
        <v>2970</v>
      </c>
    </row>
    <row r="566" spans="1:11" x14ac:dyDescent="0.25">
      <c r="A566" s="47" t="s">
        <v>5434</v>
      </c>
      <c r="B566" s="47" t="s">
        <v>4831</v>
      </c>
      <c r="D566" s="47">
        <v>563</v>
      </c>
      <c r="E566" s="188" t="s">
        <v>5164</v>
      </c>
      <c r="F566" s="188" t="s">
        <v>2970</v>
      </c>
      <c r="G566" s="188" t="s">
        <v>2970</v>
      </c>
      <c r="H566" s="188" t="s">
        <v>2970</v>
      </c>
      <c r="I566" s="188" t="s">
        <v>2970</v>
      </c>
      <c r="J566" s="188" t="s">
        <v>2970</v>
      </c>
      <c r="K566" s="188" t="s">
        <v>2970</v>
      </c>
    </row>
    <row r="567" spans="1:11" x14ac:dyDescent="0.25">
      <c r="A567" s="47" t="s">
        <v>5435</v>
      </c>
      <c r="D567" s="47">
        <v>564</v>
      </c>
      <c r="E567" s="188" t="s">
        <v>2970</v>
      </c>
      <c r="F567" s="188" t="s">
        <v>2970</v>
      </c>
      <c r="G567" s="188" t="s">
        <v>2970</v>
      </c>
      <c r="H567" s="188" t="s">
        <v>2970</v>
      </c>
      <c r="I567" s="188" t="s">
        <v>2970</v>
      </c>
      <c r="J567" s="188" t="s">
        <v>2970</v>
      </c>
      <c r="K567" s="188">
        <v>489</v>
      </c>
    </row>
    <row r="568" spans="1:11" x14ac:dyDescent="0.25">
      <c r="A568" s="47" t="s">
        <v>5436</v>
      </c>
      <c r="D568" s="47">
        <v>565</v>
      </c>
      <c r="E568" s="188" t="s">
        <v>5165</v>
      </c>
      <c r="F568" s="188" t="s">
        <v>2970</v>
      </c>
      <c r="G568" s="188" t="s">
        <v>2970</v>
      </c>
      <c r="H568" s="188" t="s">
        <v>2970</v>
      </c>
      <c r="I568" s="188" t="s">
        <v>2970</v>
      </c>
      <c r="J568" s="188" t="s">
        <v>2970</v>
      </c>
      <c r="K568" s="188">
        <v>490</v>
      </c>
    </row>
    <row r="569" spans="1:11" x14ac:dyDescent="0.25">
      <c r="A569" s="47" t="s">
        <v>5437</v>
      </c>
      <c r="D569" s="47">
        <v>566</v>
      </c>
      <c r="E569" s="188" t="s">
        <v>5166</v>
      </c>
      <c r="F569" s="188" t="s">
        <v>2970</v>
      </c>
      <c r="G569" s="188" t="s">
        <v>2970</v>
      </c>
      <c r="H569" s="188" t="s">
        <v>2970</v>
      </c>
      <c r="I569" s="188" t="s">
        <v>2970</v>
      </c>
      <c r="J569" s="188" t="s">
        <v>2970</v>
      </c>
      <c r="K569" s="188">
        <v>491</v>
      </c>
    </row>
    <row r="570" spans="1:11" x14ac:dyDescent="0.25">
      <c r="A570" s="47" t="s">
        <v>5438</v>
      </c>
      <c r="D570" s="47">
        <v>567</v>
      </c>
      <c r="E570" s="188" t="s">
        <v>5168</v>
      </c>
      <c r="F570" s="188" t="s">
        <v>2970</v>
      </c>
      <c r="G570" s="188" t="s">
        <v>2970</v>
      </c>
      <c r="H570" s="188" t="s">
        <v>2970</v>
      </c>
      <c r="I570" s="188" t="s">
        <v>2970</v>
      </c>
      <c r="J570" s="188" t="s">
        <v>2970</v>
      </c>
      <c r="K570" s="188">
        <v>492</v>
      </c>
    </row>
    <row r="571" spans="1:11" x14ac:dyDescent="0.25">
      <c r="A571" s="47" t="s">
        <v>3823</v>
      </c>
      <c r="D571" s="47">
        <v>568</v>
      </c>
      <c r="E571" s="188" t="s">
        <v>5167</v>
      </c>
      <c r="F571" s="188" t="s">
        <v>2970</v>
      </c>
      <c r="G571" s="188" t="s">
        <v>2970</v>
      </c>
      <c r="H571" s="188" t="s">
        <v>2970</v>
      </c>
      <c r="I571" s="188" t="s">
        <v>2970</v>
      </c>
      <c r="J571" s="188" t="s">
        <v>2970</v>
      </c>
      <c r="K571" s="47">
        <v>491</v>
      </c>
    </row>
    <row r="572" spans="1:11" x14ac:dyDescent="0.25">
      <c r="A572" s="47" t="s">
        <v>5439</v>
      </c>
      <c r="D572" s="47">
        <v>569</v>
      </c>
      <c r="E572" s="188" t="s">
        <v>5169</v>
      </c>
      <c r="F572" s="188" t="s">
        <v>2970</v>
      </c>
      <c r="G572" s="188" t="s">
        <v>2970</v>
      </c>
      <c r="H572" s="188" t="s">
        <v>2970</v>
      </c>
      <c r="I572" s="188" t="s">
        <v>2970</v>
      </c>
      <c r="J572" s="188" t="s">
        <v>2970</v>
      </c>
      <c r="K572" s="188" t="s">
        <v>2970</v>
      </c>
    </row>
    <row r="573" spans="1:11" x14ac:dyDescent="0.25">
      <c r="A573" s="47" t="s">
        <v>5440</v>
      </c>
      <c r="D573" s="47">
        <v>570</v>
      </c>
      <c r="E573" s="188" t="s">
        <v>5170</v>
      </c>
      <c r="F573" s="188" t="s">
        <v>2970</v>
      </c>
      <c r="G573" s="188" t="s">
        <v>2970</v>
      </c>
      <c r="H573" s="188" t="s">
        <v>2970</v>
      </c>
      <c r="I573" s="188" t="s">
        <v>2970</v>
      </c>
      <c r="J573" s="188" t="s">
        <v>2970</v>
      </c>
      <c r="K573" s="188" t="s">
        <v>2970</v>
      </c>
    </row>
    <row r="574" spans="1:11" x14ac:dyDescent="0.25">
      <c r="A574" s="47" t="s">
        <v>5441</v>
      </c>
      <c r="D574" s="47">
        <v>571</v>
      </c>
      <c r="E574" s="188" t="s">
        <v>5171</v>
      </c>
      <c r="F574" s="188" t="s">
        <v>2970</v>
      </c>
      <c r="G574" s="188" t="s">
        <v>2970</v>
      </c>
      <c r="H574" s="188" t="s">
        <v>2970</v>
      </c>
      <c r="I574" s="188" t="s">
        <v>2970</v>
      </c>
      <c r="J574" s="188" t="s">
        <v>2970</v>
      </c>
      <c r="K574" s="188" t="s">
        <v>2970</v>
      </c>
    </row>
    <row r="575" spans="1:11" x14ac:dyDescent="0.25">
      <c r="A575" s="47" t="s">
        <v>5442</v>
      </c>
      <c r="D575" s="47">
        <v>572</v>
      </c>
      <c r="E575" s="188" t="s">
        <v>5172</v>
      </c>
      <c r="F575" s="188" t="s">
        <v>2970</v>
      </c>
      <c r="G575" s="188" t="s">
        <v>2970</v>
      </c>
      <c r="H575" s="188" t="s">
        <v>2970</v>
      </c>
      <c r="I575" s="188" t="s">
        <v>2970</v>
      </c>
      <c r="J575" s="188" t="s">
        <v>2970</v>
      </c>
      <c r="K575" s="188" t="s">
        <v>2970</v>
      </c>
    </row>
    <row r="576" spans="1:11" x14ac:dyDescent="0.25">
      <c r="A576" s="47" t="s">
        <v>5443</v>
      </c>
      <c r="D576" s="47">
        <v>573</v>
      </c>
      <c r="E576" s="188" t="s">
        <v>5173</v>
      </c>
      <c r="F576" s="188" t="s">
        <v>2970</v>
      </c>
      <c r="G576" s="188" t="s">
        <v>2970</v>
      </c>
      <c r="H576" s="188" t="s">
        <v>2970</v>
      </c>
      <c r="I576" s="188" t="s">
        <v>2970</v>
      </c>
      <c r="J576" s="188" t="s">
        <v>2970</v>
      </c>
      <c r="K576" s="188" t="s">
        <v>2970</v>
      </c>
    </row>
    <row r="577" spans="1:11" x14ac:dyDescent="0.25">
      <c r="A577" s="47" t="s">
        <v>5444</v>
      </c>
      <c r="B577" s="47" t="s">
        <v>3703</v>
      </c>
      <c r="D577" s="47">
        <v>574</v>
      </c>
      <c r="E577" s="188" t="s">
        <v>5174</v>
      </c>
      <c r="F577" s="188" t="s">
        <v>2970</v>
      </c>
      <c r="G577" s="188" t="s">
        <v>2970</v>
      </c>
      <c r="H577" s="188" t="s">
        <v>2970</v>
      </c>
      <c r="I577" s="188" t="s">
        <v>2970</v>
      </c>
      <c r="J577" s="188" t="s">
        <v>2970</v>
      </c>
      <c r="K577" s="188" t="s">
        <v>2970</v>
      </c>
    </row>
    <row r="578" spans="1:11" x14ac:dyDescent="0.25">
      <c r="A578" s="47" t="s">
        <v>3858</v>
      </c>
      <c r="B578" s="47" t="s">
        <v>4832</v>
      </c>
      <c r="D578" s="47">
        <v>575</v>
      </c>
      <c r="E578" s="188" t="s">
        <v>5175</v>
      </c>
      <c r="F578" s="188" t="s">
        <v>2970</v>
      </c>
      <c r="G578" s="188" t="s">
        <v>2970</v>
      </c>
      <c r="H578" s="188" t="s">
        <v>2970</v>
      </c>
      <c r="I578" s="188" t="s">
        <v>2970</v>
      </c>
      <c r="J578" s="188" t="s">
        <v>2970</v>
      </c>
      <c r="K578" s="188" t="s">
        <v>2970</v>
      </c>
    </row>
    <row r="579" spans="1:11" x14ac:dyDescent="0.25">
      <c r="A579" s="47" t="s">
        <v>5445</v>
      </c>
      <c r="B579" s="47" t="s">
        <v>4833</v>
      </c>
      <c r="D579" s="47">
        <v>576</v>
      </c>
      <c r="E579" s="188" t="s">
        <v>5176</v>
      </c>
      <c r="F579" s="188" t="s">
        <v>2970</v>
      </c>
      <c r="G579" s="188" t="s">
        <v>2970</v>
      </c>
      <c r="H579" s="188" t="s">
        <v>2970</v>
      </c>
      <c r="I579" s="188" t="s">
        <v>2970</v>
      </c>
      <c r="J579" s="188" t="s">
        <v>2970</v>
      </c>
      <c r="K579" s="188" t="s">
        <v>2970</v>
      </c>
    </row>
    <row r="580" spans="1:11" x14ac:dyDescent="0.25">
      <c r="B580" s="47" t="s">
        <v>3708</v>
      </c>
      <c r="D580" s="47">
        <v>577</v>
      </c>
      <c r="E580" s="188" t="s">
        <v>5177</v>
      </c>
      <c r="F580" s="188" t="s">
        <v>2970</v>
      </c>
      <c r="G580" s="188" t="s">
        <v>2970</v>
      </c>
      <c r="H580" s="188" t="s">
        <v>2970</v>
      </c>
      <c r="I580" s="188" t="s">
        <v>2970</v>
      </c>
      <c r="J580" s="188" t="s">
        <v>2970</v>
      </c>
      <c r="K580" s="188" t="s">
        <v>2970</v>
      </c>
    </row>
    <row r="581" spans="1:11" x14ac:dyDescent="0.25">
      <c r="B581" s="47" t="s">
        <v>4834</v>
      </c>
      <c r="D581" s="47">
        <v>578</v>
      </c>
      <c r="E581" s="188" t="s">
        <v>5178</v>
      </c>
      <c r="F581" s="188" t="s">
        <v>2970</v>
      </c>
      <c r="G581" s="188" t="s">
        <v>2970</v>
      </c>
      <c r="H581" s="188" t="s">
        <v>2970</v>
      </c>
      <c r="I581" s="188" t="s">
        <v>2970</v>
      </c>
      <c r="J581" s="188" t="s">
        <v>2970</v>
      </c>
      <c r="K581" s="188" t="s">
        <v>2970</v>
      </c>
    </row>
    <row r="582" spans="1:11" x14ac:dyDescent="0.25">
      <c r="B582" s="47" t="s">
        <v>4835</v>
      </c>
      <c r="D582" s="47">
        <v>579</v>
      </c>
      <c r="E582" s="188" t="s">
        <v>5179</v>
      </c>
      <c r="F582" s="188" t="s">
        <v>2970</v>
      </c>
      <c r="G582" s="188" t="s">
        <v>2970</v>
      </c>
      <c r="H582" s="188" t="s">
        <v>2970</v>
      </c>
      <c r="I582" s="188" t="s">
        <v>2970</v>
      </c>
      <c r="J582" s="188" t="s">
        <v>2970</v>
      </c>
      <c r="K582" s="188" t="s">
        <v>2970</v>
      </c>
    </row>
    <row r="583" spans="1:11" x14ac:dyDescent="0.25">
      <c r="B583" s="47" t="s">
        <v>3707</v>
      </c>
      <c r="D583" s="47">
        <v>580</v>
      </c>
      <c r="E583" s="188" t="s">
        <v>2970</v>
      </c>
      <c r="F583" s="188" t="s">
        <v>2970</v>
      </c>
      <c r="G583" s="188" t="s">
        <v>2970</v>
      </c>
      <c r="H583" s="188" t="s">
        <v>2970</v>
      </c>
      <c r="I583" s="188" t="s">
        <v>2970</v>
      </c>
      <c r="J583" s="188" t="s">
        <v>2970</v>
      </c>
      <c r="K583" s="188">
        <v>493</v>
      </c>
    </row>
    <row r="584" spans="1:11" x14ac:dyDescent="0.25">
      <c r="B584" s="47" t="s">
        <v>4836</v>
      </c>
      <c r="D584" s="47">
        <v>581</v>
      </c>
      <c r="E584" s="188" t="s">
        <v>5180</v>
      </c>
      <c r="F584" s="188" t="s">
        <v>2970</v>
      </c>
      <c r="G584" s="188" t="s">
        <v>2970</v>
      </c>
      <c r="H584" s="188" t="s">
        <v>2970</v>
      </c>
      <c r="I584" s="188" t="s">
        <v>2970</v>
      </c>
      <c r="J584" s="188" t="s">
        <v>2970</v>
      </c>
      <c r="K584" s="188">
        <v>494</v>
      </c>
    </row>
    <row r="585" spans="1:11" x14ac:dyDescent="0.25">
      <c r="B585" s="47" t="s">
        <v>4837</v>
      </c>
      <c r="D585" s="47">
        <v>582</v>
      </c>
      <c r="E585" s="188" t="s">
        <v>5181</v>
      </c>
      <c r="F585" s="188" t="s">
        <v>2970</v>
      </c>
      <c r="G585" s="188" t="s">
        <v>2970</v>
      </c>
      <c r="H585" s="188" t="s">
        <v>2970</v>
      </c>
      <c r="I585" s="188" t="s">
        <v>2970</v>
      </c>
      <c r="J585" s="188" t="s">
        <v>2970</v>
      </c>
      <c r="K585" s="188">
        <v>495</v>
      </c>
    </row>
    <row r="586" spans="1:11" x14ac:dyDescent="0.25">
      <c r="A586" s="47" t="s">
        <v>3859</v>
      </c>
      <c r="B586" s="47" t="s">
        <v>3704</v>
      </c>
      <c r="D586" s="47">
        <v>583</v>
      </c>
      <c r="E586" s="188" t="s">
        <v>5183</v>
      </c>
      <c r="F586" s="188" t="s">
        <v>2970</v>
      </c>
      <c r="G586" s="188" t="s">
        <v>2970</v>
      </c>
      <c r="H586" s="188" t="s">
        <v>2970</v>
      </c>
      <c r="I586" s="188" t="s">
        <v>2970</v>
      </c>
      <c r="J586" s="188" t="s">
        <v>2970</v>
      </c>
      <c r="K586" s="188">
        <v>496</v>
      </c>
    </row>
    <row r="587" spans="1:11" x14ac:dyDescent="0.25">
      <c r="A587" s="47" t="s">
        <v>5446</v>
      </c>
      <c r="B587" s="47" t="s">
        <v>4838</v>
      </c>
      <c r="D587" s="47">
        <v>584</v>
      </c>
      <c r="E587" s="188" t="s">
        <v>5182</v>
      </c>
      <c r="F587" s="188" t="s">
        <v>2970</v>
      </c>
      <c r="G587" s="188" t="s">
        <v>2970</v>
      </c>
      <c r="H587" s="188" t="s">
        <v>2970</v>
      </c>
      <c r="I587" s="188" t="s">
        <v>2970</v>
      </c>
      <c r="J587" s="188" t="s">
        <v>2970</v>
      </c>
      <c r="K587" s="47">
        <v>495</v>
      </c>
    </row>
    <row r="588" spans="1:11" x14ac:dyDescent="0.25">
      <c r="A588" s="47" t="s">
        <v>5447</v>
      </c>
      <c r="D588" s="47">
        <v>585</v>
      </c>
      <c r="E588" s="188" t="s">
        <v>5184</v>
      </c>
      <c r="F588" s="188" t="s">
        <v>2970</v>
      </c>
      <c r="G588" s="188" t="s">
        <v>2970</v>
      </c>
      <c r="H588" s="188" t="s">
        <v>2970</v>
      </c>
      <c r="I588" s="188" t="s">
        <v>2970</v>
      </c>
      <c r="J588" s="188" t="s">
        <v>2970</v>
      </c>
      <c r="K588" s="188" t="s">
        <v>2970</v>
      </c>
    </row>
    <row r="589" spans="1:11" x14ac:dyDescent="0.25">
      <c r="A589" s="47" t="s">
        <v>3860</v>
      </c>
      <c r="B589" s="47" t="s">
        <v>3705</v>
      </c>
      <c r="D589" s="47">
        <v>586</v>
      </c>
      <c r="E589" s="188" t="s">
        <v>5185</v>
      </c>
      <c r="F589" s="188" t="s">
        <v>2970</v>
      </c>
      <c r="G589" s="188" t="s">
        <v>2970</v>
      </c>
      <c r="H589" s="188" t="s">
        <v>2970</v>
      </c>
      <c r="I589" s="188" t="s">
        <v>2970</v>
      </c>
      <c r="J589" s="188" t="s">
        <v>2970</v>
      </c>
      <c r="K589" s="188" t="s">
        <v>2970</v>
      </c>
    </row>
    <row r="590" spans="1:11" x14ac:dyDescent="0.25">
      <c r="A590" s="47" t="s">
        <v>5448</v>
      </c>
      <c r="B590" s="47" t="s">
        <v>4839</v>
      </c>
      <c r="D590" s="47">
        <v>587</v>
      </c>
      <c r="E590" s="188" t="s">
        <v>5186</v>
      </c>
      <c r="F590" s="188" t="s">
        <v>2970</v>
      </c>
      <c r="G590" s="188" t="s">
        <v>2970</v>
      </c>
      <c r="H590" s="188" t="s">
        <v>2970</v>
      </c>
      <c r="I590" s="188" t="s">
        <v>2970</v>
      </c>
      <c r="J590" s="188" t="s">
        <v>2970</v>
      </c>
      <c r="K590" s="188" t="s">
        <v>2970</v>
      </c>
    </row>
    <row r="591" spans="1:11" x14ac:dyDescent="0.25">
      <c r="A591" s="47" t="s">
        <v>3861</v>
      </c>
      <c r="B591" s="47" t="s">
        <v>3706</v>
      </c>
      <c r="D591" s="47">
        <v>588</v>
      </c>
      <c r="E591" s="188" t="s">
        <v>5187</v>
      </c>
      <c r="F591" s="188" t="s">
        <v>2970</v>
      </c>
      <c r="G591" s="188" t="s">
        <v>2970</v>
      </c>
      <c r="H591" s="188" t="s">
        <v>2970</v>
      </c>
      <c r="I591" s="188" t="s">
        <v>2970</v>
      </c>
      <c r="J591" s="188" t="s">
        <v>2970</v>
      </c>
      <c r="K591" s="188" t="s">
        <v>2970</v>
      </c>
    </row>
    <row r="592" spans="1:11" x14ac:dyDescent="0.25">
      <c r="A592" s="47" t="s">
        <v>5449</v>
      </c>
      <c r="B592" s="47" t="s">
        <v>4840</v>
      </c>
      <c r="D592" s="47">
        <v>589</v>
      </c>
      <c r="E592" s="188" t="s">
        <v>5188</v>
      </c>
      <c r="F592" s="188" t="s">
        <v>2970</v>
      </c>
      <c r="G592" s="188" t="s">
        <v>2970</v>
      </c>
      <c r="H592" s="188" t="s">
        <v>2970</v>
      </c>
      <c r="I592" s="188" t="s">
        <v>2970</v>
      </c>
      <c r="J592" s="188" t="s">
        <v>2970</v>
      </c>
      <c r="K592" s="188" t="s">
        <v>2970</v>
      </c>
    </row>
    <row r="593" spans="1:11" x14ac:dyDescent="0.25">
      <c r="A593" s="47" t="s">
        <v>5450</v>
      </c>
      <c r="B593" s="47" t="s">
        <v>4841</v>
      </c>
      <c r="D593" s="47">
        <v>590</v>
      </c>
      <c r="E593" s="188" t="s">
        <v>5189</v>
      </c>
      <c r="F593" s="188" t="s">
        <v>2970</v>
      </c>
      <c r="G593" s="188" t="s">
        <v>2970</v>
      </c>
      <c r="H593" s="188" t="s">
        <v>2970</v>
      </c>
      <c r="I593" s="188" t="s">
        <v>2970</v>
      </c>
      <c r="J593" s="188" t="s">
        <v>2970</v>
      </c>
      <c r="K593" s="188" t="s">
        <v>2970</v>
      </c>
    </row>
    <row r="594" spans="1:11" x14ac:dyDescent="0.25">
      <c r="A594" s="47" t="s">
        <v>5451</v>
      </c>
      <c r="B594" s="47" t="s">
        <v>4842</v>
      </c>
      <c r="D594" s="47">
        <v>591</v>
      </c>
      <c r="E594" s="188" t="s">
        <v>5190</v>
      </c>
      <c r="F594" s="188" t="s">
        <v>2970</v>
      </c>
      <c r="G594" s="188" t="s">
        <v>2970</v>
      </c>
      <c r="H594" s="188" t="s">
        <v>2970</v>
      </c>
      <c r="I594" s="188" t="s">
        <v>2970</v>
      </c>
      <c r="J594" s="188" t="s">
        <v>2970</v>
      </c>
      <c r="K594" s="188" t="s">
        <v>2970</v>
      </c>
    </row>
    <row r="595" spans="1:11" x14ac:dyDescent="0.25">
      <c r="A595" s="47" t="s">
        <v>5452</v>
      </c>
      <c r="B595" s="47" t="s">
        <v>4843</v>
      </c>
      <c r="D595" s="47">
        <v>592</v>
      </c>
      <c r="E595" s="188" t="s">
        <v>5191</v>
      </c>
      <c r="F595" s="188" t="s">
        <v>2970</v>
      </c>
      <c r="G595" s="188" t="s">
        <v>2970</v>
      </c>
      <c r="H595" s="188" t="s">
        <v>2970</v>
      </c>
      <c r="I595" s="188" t="s">
        <v>2970</v>
      </c>
      <c r="J595" s="188" t="s">
        <v>2970</v>
      </c>
      <c r="K595" s="188" t="s">
        <v>2970</v>
      </c>
    </row>
    <row r="596" spans="1:11" x14ac:dyDescent="0.25">
      <c r="A596" s="47" t="s">
        <v>5453</v>
      </c>
      <c r="B596" s="47" t="s">
        <v>4844</v>
      </c>
      <c r="D596" s="47">
        <v>593</v>
      </c>
      <c r="E596" s="188" t="s">
        <v>5192</v>
      </c>
      <c r="F596" s="188" t="s">
        <v>2970</v>
      </c>
      <c r="G596" s="188" t="s">
        <v>2970</v>
      </c>
      <c r="H596" s="188" t="s">
        <v>2970</v>
      </c>
      <c r="I596" s="188" t="s">
        <v>2970</v>
      </c>
      <c r="J596" s="188" t="s">
        <v>2970</v>
      </c>
      <c r="K596" s="188" t="s">
        <v>2970</v>
      </c>
    </row>
    <row r="597" spans="1:11" x14ac:dyDescent="0.25">
      <c r="A597" s="47" t="s">
        <v>5454</v>
      </c>
      <c r="B597" s="47" t="s">
        <v>4845</v>
      </c>
      <c r="D597" s="47">
        <v>594</v>
      </c>
      <c r="E597" s="188" t="s">
        <v>5193</v>
      </c>
      <c r="F597" s="188" t="s">
        <v>2970</v>
      </c>
      <c r="G597" s="188" t="s">
        <v>2970</v>
      </c>
      <c r="H597" s="188" t="s">
        <v>2970</v>
      </c>
      <c r="I597" s="188" t="s">
        <v>2970</v>
      </c>
      <c r="J597" s="188" t="s">
        <v>2970</v>
      </c>
      <c r="K597" s="188" t="s">
        <v>2970</v>
      </c>
    </row>
    <row r="598" spans="1:11" x14ac:dyDescent="0.25">
      <c r="A598" s="47" t="s">
        <v>5455</v>
      </c>
      <c r="B598" s="47" t="s">
        <v>4846</v>
      </c>
      <c r="D598" s="47">
        <v>595</v>
      </c>
      <c r="E598" s="188" t="s">
        <v>5194</v>
      </c>
      <c r="F598" s="188" t="s">
        <v>2970</v>
      </c>
      <c r="G598" s="188" t="s">
        <v>2970</v>
      </c>
      <c r="H598" s="188" t="s">
        <v>2970</v>
      </c>
      <c r="I598" s="188" t="s">
        <v>2970</v>
      </c>
      <c r="J598" s="188" t="s">
        <v>2970</v>
      </c>
      <c r="K598" s="188" t="s">
        <v>2970</v>
      </c>
    </row>
    <row r="599" spans="1:11" x14ac:dyDescent="0.25">
      <c r="A599" s="47" t="s">
        <v>5456</v>
      </c>
      <c r="B599" s="47" t="s">
        <v>4847</v>
      </c>
      <c r="D599" s="47">
        <v>596</v>
      </c>
      <c r="E599" s="188" t="s">
        <v>5195</v>
      </c>
      <c r="F599" s="188" t="s">
        <v>2970</v>
      </c>
      <c r="G599" s="188" t="s">
        <v>2970</v>
      </c>
      <c r="H599" s="188" t="s">
        <v>2970</v>
      </c>
      <c r="I599" s="188" t="s">
        <v>2970</v>
      </c>
      <c r="J599" s="188" t="s">
        <v>2970</v>
      </c>
      <c r="K599" s="188" t="s">
        <v>2970</v>
      </c>
    </row>
    <row r="600" spans="1:11" x14ac:dyDescent="0.25">
      <c r="A600" s="47" t="s">
        <v>5457</v>
      </c>
      <c r="B600" s="47" t="s">
        <v>4848</v>
      </c>
      <c r="D600" s="47">
        <v>597</v>
      </c>
      <c r="E600" s="188" t="s">
        <v>3816</v>
      </c>
      <c r="F600" s="188" t="s">
        <v>2970</v>
      </c>
      <c r="G600" s="188" t="s">
        <v>2970</v>
      </c>
      <c r="H600" s="188" t="s">
        <v>2970</v>
      </c>
      <c r="I600" s="188" t="s">
        <v>2970</v>
      </c>
      <c r="J600" s="188" t="s">
        <v>2970</v>
      </c>
      <c r="K600" s="188" t="s">
        <v>2970</v>
      </c>
    </row>
    <row r="601" spans="1:11" x14ac:dyDescent="0.25">
      <c r="A601" s="47" t="s">
        <v>5458</v>
      </c>
      <c r="B601" s="47" t="s">
        <v>4849</v>
      </c>
      <c r="D601" s="47">
        <v>598</v>
      </c>
      <c r="E601" s="188" t="s">
        <v>5220</v>
      </c>
      <c r="F601" s="188" t="s">
        <v>2970</v>
      </c>
      <c r="G601" s="188" t="s">
        <v>2970</v>
      </c>
      <c r="H601" s="188" t="s">
        <v>2970</v>
      </c>
      <c r="I601" s="188" t="s">
        <v>2970</v>
      </c>
      <c r="J601" s="188" t="s">
        <v>2970</v>
      </c>
      <c r="K601" s="188" t="s">
        <v>2970</v>
      </c>
    </row>
    <row r="602" spans="1:11" x14ac:dyDescent="0.25">
      <c r="A602" s="47" t="s">
        <v>5459</v>
      </c>
      <c r="B602" s="47" t="s">
        <v>4850</v>
      </c>
      <c r="D602" s="47">
        <v>599</v>
      </c>
      <c r="E602" s="188" t="s">
        <v>5221</v>
      </c>
      <c r="F602" s="188" t="s">
        <v>2970</v>
      </c>
      <c r="G602" s="188" t="s">
        <v>2970</v>
      </c>
      <c r="H602" s="188" t="s">
        <v>2970</v>
      </c>
      <c r="I602" s="188" t="s">
        <v>2970</v>
      </c>
      <c r="J602" s="188" t="s">
        <v>2970</v>
      </c>
      <c r="K602" s="188" t="s">
        <v>2970</v>
      </c>
    </row>
    <row r="603" spans="1:11" x14ac:dyDescent="0.25">
      <c r="A603" s="47" t="s">
        <v>5460</v>
      </c>
      <c r="B603" s="47" t="s">
        <v>4851</v>
      </c>
      <c r="D603" s="47">
        <v>600</v>
      </c>
      <c r="E603" s="188" t="s">
        <v>3843</v>
      </c>
      <c r="F603" s="188" t="s">
        <v>2970</v>
      </c>
      <c r="G603" s="188" t="s">
        <v>2970</v>
      </c>
      <c r="H603" s="188" t="s">
        <v>2970</v>
      </c>
      <c r="I603" s="188" t="s">
        <v>2970</v>
      </c>
      <c r="J603" s="188" t="s">
        <v>2970</v>
      </c>
      <c r="K603" s="188" t="s">
        <v>2970</v>
      </c>
    </row>
    <row r="604" spans="1:11" x14ac:dyDescent="0.25">
      <c r="A604" s="47" t="s">
        <v>5461</v>
      </c>
      <c r="B604" s="47" t="s">
        <v>4852</v>
      </c>
      <c r="D604" s="47">
        <v>601</v>
      </c>
      <c r="E604" s="188" t="s">
        <v>5222</v>
      </c>
      <c r="F604" s="188" t="s">
        <v>2970</v>
      </c>
      <c r="G604" s="188" t="s">
        <v>2970</v>
      </c>
      <c r="H604" s="188" t="s">
        <v>2970</v>
      </c>
      <c r="I604" s="188" t="s">
        <v>2970</v>
      </c>
      <c r="J604" s="188" t="s">
        <v>2970</v>
      </c>
      <c r="K604" s="188" t="s">
        <v>2970</v>
      </c>
    </row>
    <row r="605" spans="1:11" x14ac:dyDescent="0.25">
      <c r="A605" s="47" t="s">
        <v>5462</v>
      </c>
      <c r="B605" s="47" t="s">
        <v>4853</v>
      </c>
      <c r="D605" s="47">
        <v>602</v>
      </c>
      <c r="E605" s="188" t="s">
        <v>5223</v>
      </c>
      <c r="F605" s="188" t="s">
        <v>2970</v>
      </c>
      <c r="G605" s="188" t="s">
        <v>2970</v>
      </c>
      <c r="H605" s="188" t="s">
        <v>2970</v>
      </c>
      <c r="I605" s="188" t="s">
        <v>2970</v>
      </c>
      <c r="J605" s="188" t="s">
        <v>2970</v>
      </c>
      <c r="K605" s="188" t="s">
        <v>2970</v>
      </c>
    </row>
    <row r="606" spans="1:11" x14ac:dyDescent="0.25">
      <c r="A606" s="47" t="s">
        <v>5463</v>
      </c>
      <c r="B606" s="47" t="s">
        <v>4854</v>
      </c>
      <c r="D606" s="47">
        <v>603</v>
      </c>
      <c r="E606" s="188" t="s">
        <v>5225</v>
      </c>
      <c r="F606" s="188" t="s">
        <v>2970</v>
      </c>
      <c r="G606" s="188" t="s">
        <v>2970</v>
      </c>
      <c r="H606" s="188" t="s">
        <v>2970</v>
      </c>
      <c r="I606" s="188" t="s">
        <v>2970</v>
      </c>
      <c r="J606" s="188" t="s">
        <v>2970</v>
      </c>
      <c r="K606" s="188" t="s">
        <v>2970</v>
      </c>
    </row>
    <row r="607" spans="1:11" x14ac:dyDescent="0.25">
      <c r="A607" s="47" t="s">
        <v>5464</v>
      </c>
      <c r="D607" s="47">
        <v>604</v>
      </c>
      <c r="E607" s="188" t="s">
        <v>5226</v>
      </c>
      <c r="F607" s="188" t="s">
        <v>2970</v>
      </c>
      <c r="G607" s="188" t="s">
        <v>2970</v>
      </c>
      <c r="H607" s="188" t="s">
        <v>2970</v>
      </c>
      <c r="I607" s="188" t="s">
        <v>2970</v>
      </c>
      <c r="J607" s="188" t="s">
        <v>2970</v>
      </c>
      <c r="K607" s="188" t="s">
        <v>2970</v>
      </c>
    </row>
    <row r="608" spans="1:11" x14ac:dyDescent="0.25">
      <c r="A608" s="47" t="s">
        <v>5465</v>
      </c>
      <c r="D608" s="47">
        <v>605</v>
      </c>
      <c r="E608" s="188" t="s">
        <v>5227</v>
      </c>
      <c r="F608" s="188" t="s">
        <v>2970</v>
      </c>
      <c r="G608" s="188" t="s">
        <v>2970</v>
      </c>
      <c r="H608" s="188" t="s">
        <v>2970</v>
      </c>
      <c r="I608" s="188" t="s">
        <v>2970</v>
      </c>
      <c r="J608" s="188" t="s">
        <v>2970</v>
      </c>
      <c r="K608" s="188" t="s">
        <v>2970</v>
      </c>
    </row>
    <row r="609" spans="1:11" x14ac:dyDescent="0.25">
      <c r="A609" s="47" t="s">
        <v>5466</v>
      </c>
      <c r="D609" s="47">
        <v>606</v>
      </c>
      <c r="E609" s="188" t="s">
        <v>5228</v>
      </c>
      <c r="F609" s="188" t="s">
        <v>2970</v>
      </c>
      <c r="G609" s="188" t="s">
        <v>2970</v>
      </c>
      <c r="H609" s="188" t="s">
        <v>2970</v>
      </c>
      <c r="I609" s="188" t="s">
        <v>2970</v>
      </c>
      <c r="J609" s="188" t="s">
        <v>2970</v>
      </c>
      <c r="K609" s="188" t="s">
        <v>2970</v>
      </c>
    </row>
    <row r="610" spans="1:11" x14ac:dyDescent="0.25">
      <c r="A610" s="47" t="s">
        <v>5467</v>
      </c>
      <c r="B610" s="47" t="s">
        <v>4855</v>
      </c>
      <c r="D610" s="47">
        <v>607</v>
      </c>
      <c r="E610" s="188" t="s">
        <v>5229</v>
      </c>
      <c r="F610" s="188" t="s">
        <v>2970</v>
      </c>
      <c r="G610" s="188" t="s">
        <v>2970</v>
      </c>
      <c r="H610" s="188" t="s">
        <v>2970</v>
      </c>
      <c r="I610" s="188" t="s">
        <v>2970</v>
      </c>
      <c r="J610" s="188" t="s">
        <v>2970</v>
      </c>
      <c r="K610" s="188" t="s">
        <v>2970</v>
      </c>
    </row>
    <row r="611" spans="1:11" x14ac:dyDescent="0.25">
      <c r="A611" s="47" t="s">
        <v>5468</v>
      </c>
      <c r="B611" s="47" t="s">
        <v>4856</v>
      </c>
      <c r="D611" s="47">
        <v>608</v>
      </c>
      <c r="E611" s="188" t="s">
        <v>5230</v>
      </c>
      <c r="F611" s="188" t="s">
        <v>2970</v>
      </c>
      <c r="G611" s="188" t="s">
        <v>2970</v>
      </c>
      <c r="H611" s="188" t="s">
        <v>2970</v>
      </c>
      <c r="I611" s="188" t="s">
        <v>2970</v>
      </c>
      <c r="J611" s="188" t="s">
        <v>2970</v>
      </c>
      <c r="K611" s="188" t="s">
        <v>2970</v>
      </c>
    </row>
    <row r="612" spans="1:11" x14ac:dyDescent="0.25">
      <c r="A612" s="47" t="s">
        <v>5469</v>
      </c>
      <c r="B612" s="47" t="s">
        <v>4857</v>
      </c>
      <c r="D612" s="47">
        <v>609</v>
      </c>
      <c r="E612" s="188" t="s">
        <v>3844</v>
      </c>
      <c r="F612" s="188" t="s">
        <v>2970</v>
      </c>
      <c r="G612" s="188" t="s">
        <v>2970</v>
      </c>
      <c r="H612" s="188" t="s">
        <v>2970</v>
      </c>
      <c r="I612" s="188" t="s">
        <v>2970</v>
      </c>
      <c r="J612" s="188" t="s">
        <v>2970</v>
      </c>
      <c r="K612" s="188" t="s">
        <v>2970</v>
      </c>
    </row>
    <row r="613" spans="1:11" x14ac:dyDescent="0.25">
      <c r="A613" s="47" t="s">
        <v>5470</v>
      </c>
      <c r="B613" s="47" t="s">
        <v>4858</v>
      </c>
      <c r="D613" s="47">
        <v>610</v>
      </c>
      <c r="E613" s="188" t="s">
        <v>3845</v>
      </c>
      <c r="F613" s="188" t="s">
        <v>2970</v>
      </c>
      <c r="G613" s="188" t="s">
        <v>2970</v>
      </c>
      <c r="H613" s="188" t="s">
        <v>2970</v>
      </c>
      <c r="I613" s="188" t="s">
        <v>2970</v>
      </c>
      <c r="J613" s="188" t="s">
        <v>2970</v>
      </c>
      <c r="K613" s="188" t="s">
        <v>2970</v>
      </c>
    </row>
    <row r="614" spans="1:11" x14ac:dyDescent="0.25">
      <c r="A614" s="47" t="s">
        <v>5471</v>
      </c>
      <c r="B614" s="47" t="s">
        <v>4859</v>
      </c>
      <c r="D614" s="47">
        <v>611</v>
      </c>
      <c r="E614" s="188" t="s">
        <v>3846</v>
      </c>
      <c r="F614" s="188" t="s">
        <v>2970</v>
      </c>
      <c r="G614" s="188" t="s">
        <v>2970</v>
      </c>
      <c r="H614" s="188" t="s">
        <v>2970</v>
      </c>
      <c r="I614" s="188" t="s">
        <v>2970</v>
      </c>
      <c r="J614" s="188" t="s">
        <v>2970</v>
      </c>
      <c r="K614" s="188" t="s">
        <v>2970</v>
      </c>
    </row>
    <row r="615" spans="1:11" x14ac:dyDescent="0.25">
      <c r="A615" s="47" t="s">
        <v>5472</v>
      </c>
      <c r="B615" s="47" t="s">
        <v>4860</v>
      </c>
      <c r="D615" s="47">
        <v>612</v>
      </c>
      <c r="E615" s="188" t="s">
        <v>5224</v>
      </c>
      <c r="F615" s="188" t="s">
        <v>2970</v>
      </c>
      <c r="G615" s="188" t="s">
        <v>2970</v>
      </c>
      <c r="H615" s="188" t="s">
        <v>2970</v>
      </c>
      <c r="I615" s="188" t="s">
        <v>2970</v>
      </c>
      <c r="J615" s="188" t="s">
        <v>2970</v>
      </c>
      <c r="K615" s="188" t="s">
        <v>2970</v>
      </c>
    </row>
    <row r="616" spans="1:11" x14ac:dyDescent="0.25">
      <c r="A616" s="47" t="s">
        <v>5473</v>
      </c>
      <c r="B616" s="47" t="s">
        <v>4861</v>
      </c>
      <c r="D616" s="47">
        <v>613</v>
      </c>
      <c r="E616" s="188" t="s">
        <v>5231</v>
      </c>
      <c r="F616" s="188" t="s">
        <v>2970</v>
      </c>
      <c r="G616" s="188" t="s">
        <v>2970</v>
      </c>
      <c r="H616" s="188" t="s">
        <v>2970</v>
      </c>
      <c r="I616" s="188" t="s">
        <v>2970</v>
      </c>
      <c r="J616" s="188" t="s">
        <v>2970</v>
      </c>
      <c r="K616" s="188" t="s">
        <v>2970</v>
      </c>
    </row>
    <row r="617" spans="1:11" x14ac:dyDescent="0.25">
      <c r="A617" s="47" t="s">
        <v>5474</v>
      </c>
      <c r="B617" s="47" t="s">
        <v>4862</v>
      </c>
      <c r="D617" s="47">
        <v>614</v>
      </c>
      <c r="E617" s="188" t="s">
        <v>5232</v>
      </c>
      <c r="F617" s="188" t="s">
        <v>2970</v>
      </c>
      <c r="G617" s="188" t="s">
        <v>2970</v>
      </c>
      <c r="H617" s="188" t="s">
        <v>2970</v>
      </c>
      <c r="I617" s="188" t="s">
        <v>2970</v>
      </c>
      <c r="J617" s="188" t="s">
        <v>2970</v>
      </c>
      <c r="K617" s="188" t="s">
        <v>2970</v>
      </c>
    </row>
    <row r="618" spans="1:11" x14ac:dyDescent="0.25">
      <c r="A618" s="47" t="s">
        <v>5475</v>
      </c>
      <c r="B618" s="47" t="s">
        <v>4863</v>
      </c>
      <c r="D618" s="47">
        <v>615</v>
      </c>
      <c r="E618" s="188" t="s">
        <v>5233</v>
      </c>
      <c r="F618" s="188" t="s">
        <v>2970</v>
      </c>
      <c r="G618" s="188" t="s">
        <v>2970</v>
      </c>
      <c r="H618" s="188" t="s">
        <v>2970</v>
      </c>
      <c r="I618" s="188" t="s">
        <v>2970</v>
      </c>
      <c r="J618" s="188" t="s">
        <v>2970</v>
      </c>
      <c r="K618" s="188" t="s">
        <v>2970</v>
      </c>
    </row>
    <row r="619" spans="1:11" x14ac:dyDescent="0.25">
      <c r="A619" s="47" t="s">
        <v>5476</v>
      </c>
      <c r="D619" s="47">
        <v>616</v>
      </c>
      <c r="E619" s="188" t="s">
        <v>5234</v>
      </c>
      <c r="F619" s="188" t="s">
        <v>2970</v>
      </c>
      <c r="G619" s="188" t="s">
        <v>2970</v>
      </c>
      <c r="H619" s="188" t="s">
        <v>2970</v>
      </c>
      <c r="I619" s="188" t="s">
        <v>2970</v>
      </c>
      <c r="J619" s="188" t="s">
        <v>2970</v>
      </c>
      <c r="K619" s="188" t="s">
        <v>2970</v>
      </c>
    </row>
    <row r="620" spans="1:11" x14ac:dyDescent="0.25">
      <c r="A620" s="47" t="s">
        <v>5477</v>
      </c>
      <c r="D620" s="47">
        <v>617</v>
      </c>
      <c r="E620" s="188" t="s">
        <v>5235</v>
      </c>
      <c r="F620" s="188" t="s">
        <v>2970</v>
      </c>
      <c r="G620" s="188" t="s">
        <v>2970</v>
      </c>
      <c r="H620" s="188" t="s">
        <v>2970</v>
      </c>
      <c r="I620" s="188" t="s">
        <v>2970</v>
      </c>
      <c r="J620" s="188" t="s">
        <v>2970</v>
      </c>
      <c r="K620" s="188" t="s">
        <v>2970</v>
      </c>
    </row>
    <row r="621" spans="1:11" x14ac:dyDescent="0.25">
      <c r="A621" s="47" t="s">
        <v>5478</v>
      </c>
      <c r="B621" s="47" t="s">
        <v>4864</v>
      </c>
      <c r="D621" s="47">
        <v>618</v>
      </c>
      <c r="E621" s="188" t="s">
        <v>5236</v>
      </c>
      <c r="F621" s="188" t="s">
        <v>2970</v>
      </c>
      <c r="G621" s="188" t="s">
        <v>2970</v>
      </c>
      <c r="H621" s="188" t="s">
        <v>2970</v>
      </c>
      <c r="I621" s="188" t="s">
        <v>2970</v>
      </c>
      <c r="J621" s="188" t="s">
        <v>2970</v>
      </c>
      <c r="K621" s="188" t="s">
        <v>2970</v>
      </c>
    </row>
    <row r="622" spans="1:11" x14ac:dyDescent="0.25">
      <c r="A622" s="47" t="s">
        <v>5479</v>
      </c>
      <c r="B622" s="47" t="s">
        <v>4865</v>
      </c>
      <c r="D622" s="47">
        <v>619</v>
      </c>
      <c r="E622" s="188" t="s">
        <v>5237</v>
      </c>
      <c r="F622" s="188" t="s">
        <v>2970</v>
      </c>
      <c r="G622" s="188" t="s">
        <v>2970</v>
      </c>
      <c r="H622" s="188" t="s">
        <v>2970</v>
      </c>
      <c r="I622" s="188" t="s">
        <v>2970</v>
      </c>
      <c r="J622" s="188" t="s">
        <v>2970</v>
      </c>
      <c r="K622" s="188" t="s">
        <v>2970</v>
      </c>
    </row>
    <row r="623" spans="1:11" x14ac:dyDescent="0.25">
      <c r="A623" s="47" t="s">
        <v>5480</v>
      </c>
      <c r="B623" s="47" t="s">
        <v>4866</v>
      </c>
      <c r="D623" s="47">
        <v>620</v>
      </c>
      <c r="E623" s="188" t="s">
        <v>5238</v>
      </c>
      <c r="F623" s="188" t="s">
        <v>3844</v>
      </c>
      <c r="G623" s="188" t="s">
        <v>2970</v>
      </c>
      <c r="H623" s="188" t="s">
        <v>2970</v>
      </c>
      <c r="I623" s="188" t="s">
        <v>2970</v>
      </c>
      <c r="J623" s="188" t="s">
        <v>2970</v>
      </c>
      <c r="K623" s="188" t="s">
        <v>2970</v>
      </c>
    </row>
    <row r="624" spans="1:11" x14ac:dyDescent="0.25">
      <c r="A624" s="47" t="s">
        <v>5481</v>
      </c>
      <c r="B624" s="47" t="s">
        <v>4867</v>
      </c>
      <c r="D624" s="47">
        <v>621</v>
      </c>
      <c r="E624" s="188" t="s">
        <v>5239</v>
      </c>
      <c r="F624" s="188" t="s">
        <v>3845</v>
      </c>
      <c r="G624" s="188" t="s">
        <v>2970</v>
      </c>
      <c r="H624" s="188" t="s">
        <v>2970</v>
      </c>
      <c r="I624" s="188" t="s">
        <v>2970</v>
      </c>
      <c r="J624" s="188" t="s">
        <v>2970</v>
      </c>
      <c r="K624" s="188" t="s">
        <v>2970</v>
      </c>
    </row>
    <row r="625" spans="1:11" x14ac:dyDescent="0.25">
      <c r="A625" s="47" t="s">
        <v>5482</v>
      </c>
      <c r="B625" s="47" t="s">
        <v>4868</v>
      </c>
      <c r="D625" s="47">
        <v>622</v>
      </c>
      <c r="E625" s="188" t="s">
        <v>5240</v>
      </c>
      <c r="F625" s="188" t="s">
        <v>3846</v>
      </c>
      <c r="G625" s="188" t="s">
        <v>2970</v>
      </c>
      <c r="H625" s="188" t="s">
        <v>2970</v>
      </c>
      <c r="I625" s="188" t="s">
        <v>2970</v>
      </c>
      <c r="J625" s="188" t="s">
        <v>2970</v>
      </c>
      <c r="K625" s="188" t="s">
        <v>2970</v>
      </c>
    </row>
    <row r="626" spans="1:11" x14ac:dyDescent="0.25">
      <c r="A626" s="47" t="s">
        <v>5483</v>
      </c>
      <c r="B626" s="47" t="s">
        <v>4869</v>
      </c>
      <c r="D626" s="47">
        <v>623</v>
      </c>
      <c r="E626" s="188" t="s">
        <v>5241</v>
      </c>
      <c r="F626" s="188" t="s">
        <v>3838</v>
      </c>
      <c r="G626" s="188" t="s">
        <v>2970</v>
      </c>
      <c r="H626" s="188" t="s">
        <v>2970</v>
      </c>
      <c r="I626" s="188" t="s">
        <v>2970</v>
      </c>
      <c r="J626" s="188" t="s">
        <v>2970</v>
      </c>
      <c r="K626" s="188" t="s">
        <v>2970</v>
      </c>
    </row>
    <row r="627" spans="1:11" x14ac:dyDescent="0.25">
      <c r="A627" s="47" t="s">
        <v>5484</v>
      </c>
      <c r="B627" s="47" t="s">
        <v>4870</v>
      </c>
      <c r="D627" s="47">
        <v>624</v>
      </c>
      <c r="E627" s="188" t="s">
        <v>5242</v>
      </c>
      <c r="F627" s="188" t="s">
        <v>2970</v>
      </c>
      <c r="G627" s="188" t="s">
        <v>2970</v>
      </c>
      <c r="H627" s="188" t="s">
        <v>2970</v>
      </c>
      <c r="I627" s="188" t="s">
        <v>2970</v>
      </c>
      <c r="J627" s="188" t="s">
        <v>2970</v>
      </c>
      <c r="K627" s="188" t="s">
        <v>2970</v>
      </c>
    </row>
    <row r="628" spans="1:11" x14ac:dyDescent="0.25">
      <c r="A628" s="47" t="s">
        <v>5485</v>
      </c>
      <c r="B628" s="47" t="s">
        <v>4871</v>
      </c>
      <c r="D628" s="47">
        <v>625</v>
      </c>
      <c r="E628" s="188" t="s">
        <v>5243</v>
      </c>
      <c r="F628" s="188" t="s">
        <v>2970</v>
      </c>
      <c r="G628" s="188" t="s">
        <v>2970</v>
      </c>
      <c r="H628" s="188" t="s">
        <v>2970</v>
      </c>
      <c r="I628" s="188" t="s">
        <v>2970</v>
      </c>
      <c r="J628" s="188" t="s">
        <v>2970</v>
      </c>
      <c r="K628" s="188" t="s">
        <v>2970</v>
      </c>
    </row>
    <row r="629" spans="1:11" x14ac:dyDescent="0.25">
      <c r="A629" s="47" t="s">
        <v>5486</v>
      </c>
      <c r="D629" s="47">
        <v>626</v>
      </c>
      <c r="E629" s="188" t="s">
        <v>5244</v>
      </c>
      <c r="F629" s="188" t="s">
        <v>2970</v>
      </c>
      <c r="G629" s="188" t="s">
        <v>2970</v>
      </c>
      <c r="H629" s="188" t="s">
        <v>2970</v>
      </c>
      <c r="I629" s="188" t="s">
        <v>2970</v>
      </c>
      <c r="J629" s="188" t="s">
        <v>2970</v>
      </c>
      <c r="K629" s="188" t="s">
        <v>2970</v>
      </c>
    </row>
    <row r="630" spans="1:11" x14ac:dyDescent="0.25">
      <c r="A630" s="47" t="s">
        <v>5487</v>
      </c>
      <c r="D630" s="47">
        <v>627</v>
      </c>
      <c r="E630" s="188" t="s">
        <v>5245</v>
      </c>
      <c r="F630" s="188" t="s">
        <v>2970</v>
      </c>
      <c r="G630" s="188" t="s">
        <v>2970</v>
      </c>
      <c r="H630" s="188" t="s">
        <v>2970</v>
      </c>
      <c r="I630" s="188" t="s">
        <v>2970</v>
      </c>
      <c r="J630" s="188" t="s">
        <v>2970</v>
      </c>
      <c r="K630" s="188" t="s">
        <v>2970</v>
      </c>
    </row>
    <row r="631" spans="1:11" x14ac:dyDescent="0.25">
      <c r="A631" s="47" t="s">
        <v>5488</v>
      </c>
      <c r="D631" s="47">
        <v>628</v>
      </c>
      <c r="E631" s="188" t="s">
        <v>5246</v>
      </c>
      <c r="F631" s="188" t="s">
        <v>2970</v>
      </c>
      <c r="G631" s="188" t="s">
        <v>2970</v>
      </c>
      <c r="H631" s="188" t="s">
        <v>2970</v>
      </c>
      <c r="I631" s="188" t="s">
        <v>2970</v>
      </c>
      <c r="J631" s="188" t="s">
        <v>2970</v>
      </c>
      <c r="K631" s="188" t="s">
        <v>2970</v>
      </c>
    </row>
    <row r="632" spans="1:11" x14ac:dyDescent="0.25">
      <c r="A632" s="47" t="s">
        <v>5489</v>
      </c>
      <c r="D632" s="47">
        <v>629</v>
      </c>
      <c r="E632" s="188" t="s">
        <v>5247</v>
      </c>
      <c r="F632" s="188" t="s">
        <v>2970</v>
      </c>
      <c r="G632" s="188" t="s">
        <v>2970</v>
      </c>
      <c r="H632" s="188" t="s">
        <v>2970</v>
      </c>
      <c r="I632" s="188" t="s">
        <v>2970</v>
      </c>
      <c r="J632" s="188" t="s">
        <v>2970</v>
      </c>
      <c r="K632" s="188" t="s">
        <v>2970</v>
      </c>
    </row>
    <row r="633" spans="1:11" x14ac:dyDescent="0.25">
      <c r="A633" s="47" t="s">
        <v>3824</v>
      </c>
      <c r="D633" s="47">
        <v>630</v>
      </c>
      <c r="E633" s="188" t="s">
        <v>5248</v>
      </c>
      <c r="F633" s="188" t="s">
        <v>2970</v>
      </c>
      <c r="G633" s="188" t="s">
        <v>2970</v>
      </c>
      <c r="H633" s="188" t="s">
        <v>2970</v>
      </c>
      <c r="I633" s="188" t="s">
        <v>2970</v>
      </c>
      <c r="J633" s="188" t="s">
        <v>2970</v>
      </c>
      <c r="K633" s="188" t="s">
        <v>2970</v>
      </c>
    </row>
    <row r="634" spans="1:11" x14ac:dyDescent="0.25">
      <c r="B634" s="47" t="s">
        <v>3709</v>
      </c>
      <c r="D634" s="47">
        <v>631</v>
      </c>
      <c r="E634" s="188" t="s">
        <v>5249</v>
      </c>
      <c r="F634" s="188" t="s">
        <v>2970</v>
      </c>
      <c r="G634" s="188" t="s">
        <v>2970</v>
      </c>
      <c r="H634" s="188" t="s">
        <v>2970</v>
      </c>
      <c r="I634" s="188" t="s">
        <v>2970</v>
      </c>
      <c r="J634" s="188" t="s">
        <v>2970</v>
      </c>
      <c r="K634" s="188" t="s">
        <v>2970</v>
      </c>
    </row>
    <row r="635" spans="1:11" x14ac:dyDescent="0.25">
      <c r="B635" s="47" t="s">
        <v>4872</v>
      </c>
      <c r="D635" s="47">
        <v>632</v>
      </c>
      <c r="E635" s="188" t="s">
        <v>5250</v>
      </c>
      <c r="F635" s="188" t="s">
        <v>2970</v>
      </c>
      <c r="G635" s="188" t="s">
        <v>2970</v>
      </c>
      <c r="H635" s="188" t="s">
        <v>2970</v>
      </c>
      <c r="I635" s="188" t="s">
        <v>2970</v>
      </c>
      <c r="J635" s="188" t="s">
        <v>2970</v>
      </c>
      <c r="K635" s="188" t="s">
        <v>2970</v>
      </c>
    </row>
    <row r="636" spans="1:11" x14ac:dyDescent="0.25">
      <c r="B636" s="47" t="s">
        <v>4873</v>
      </c>
      <c r="D636" s="47">
        <v>633</v>
      </c>
      <c r="E636" s="188" t="s">
        <v>3815</v>
      </c>
      <c r="F636" s="188" t="s">
        <v>2970</v>
      </c>
      <c r="G636" s="188" t="s">
        <v>2970</v>
      </c>
      <c r="H636" s="188" t="s">
        <v>2970</v>
      </c>
      <c r="I636" s="188" t="s">
        <v>2970</v>
      </c>
      <c r="J636" s="188" t="s">
        <v>2970</v>
      </c>
      <c r="K636" s="188" t="s">
        <v>2970</v>
      </c>
    </row>
    <row r="637" spans="1:11" x14ac:dyDescent="0.25">
      <c r="B637" s="47" t="s">
        <v>4874</v>
      </c>
      <c r="D637" s="47">
        <v>634</v>
      </c>
      <c r="E637" s="188" t="s">
        <v>5251</v>
      </c>
      <c r="F637" s="188" t="s">
        <v>2970</v>
      </c>
      <c r="G637" s="188" t="s">
        <v>2970</v>
      </c>
      <c r="H637" s="188" t="s">
        <v>2970</v>
      </c>
      <c r="I637" s="188" t="s">
        <v>2970</v>
      </c>
      <c r="J637" s="188" t="s">
        <v>2970</v>
      </c>
      <c r="K637" s="188" t="s">
        <v>2970</v>
      </c>
    </row>
    <row r="638" spans="1:11" x14ac:dyDescent="0.25">
      <c r="B638" s="47" t="s">
        <v>4875</v>
      </c>
      <c r="D638" s="47">
        <v>635</v>
      </c>
      <c r="E638" s="188" t="s">
        <v>5252</v>
      </c>
      <c r="F638" s="188" t="s">
        <v>2970</v>
      </c>
      <c r="G638" s="188" t="s">
        <v>2970</v>
      </c>
      <c r="H638" s="188" t="s">
        <v>2970</v>
      </c>
      <c r="I638" s="188" t="s">
        <v>2970</v>
      </c>
      <c r="J638" s="188" t="s">
        <v>2970</v>
      </c>
      <c r="K638" s="188" t="s">
        <v>2970</v>
      </c>
    </row>
    <row r="639" spans="1:11" x14ac:dyDescent="0.25">
      <c r="A639" s="47" t="s">
        <v>5490</v>
      </c>
      <c r="B639" s="47" t="s">
        <v>4876</v>
      </c>
      <c r="D639" s="47">
        <v>636</v>
      </c>
      <c r="E639" s="188" t="s">
        <v>5253</v>
      </c>
      <c r="F639" s="188" t="s">
        <v>2970</v>
      </c>
      <c r="G639" s="188" t="s">
        <v>2970</v>
      </c>
      <c r="H639" s="188" t="s">
        <v>2970</v>
      </c>
      <c r="I639" s="188" t="s">
        <v>2970</v>
      </c>
      <c r="J639" s="188" t="s">
        <v>2970</v>
      </c>
      <c r="K639" s="188" t="s">
        <v>2970</v>
      </c>
    </row>
    <row r="640" spans="1:11" x14ac:dyDescent="0.25">
      <c r="A640" s="47" t="s">
        <v>5491</v>
      </c>
      <c r="B640" s="47" t="s">
        <v>4877</v>
      </c>
      <c r="D640" s="47">
        <v>637</v>
      </c>
      <c r="E640" s="188" t="s">
        <v>5254</v>
      </c>
      <c r="F640" s="188" t="s">
        <v>2970</v>
      </c>
      <c r="G640" s="188" t="s">
        <v>2970</v>
      </c>
      <c r="H640" s="188" t="s">
        <v>2970</v>
      </c>
      <c r="I640" s="188" t="s">
        <v>2970</v>
      </c>
      <c r="J640" s="188" t="s">
        <v>2970</v>
      </c>
      <c r="K640" s="188" t="s">
        <v>2970</v>
      </c>
    </row>
    <row r="641" spans="1:11" x14ac:dyDescent="0.25">
      <c r="A641" s="47" t="s">
        <v>5492</v>
      </c>
      <c r="B641" s="47" t="s">
        <v>4878</v>
      </c>
      <c r="D641" s="47">
        <v>638</v>
      </c>
      <c r="E641" s="188" t="s">
        <v>5255</v>
      </c>
      <c r="F641" s="188" t="s">
        <v>2970</v>
      </c>
      <c r="G641" s="188" t="s">
        <v>2970</v>
      </c>
      <c r="H641" s="188" t="s">
        <v>2970</v>
      </c>
      <c r="I641" s="188" t="s">
        <v>2970</v>
      </c>
      <c r="J641" s="188" t="s">
        <v>2970</v>
      </c>
      <c r="K641" s="188" t="s">
        <v>2970</v>
      </c>
    </row>
    <row r="642" spans="1:11" x14ac:dyDescent="0.25">
      <c r="A642" s="47" t="s">
        <v>5493</v>
      </c>
      <c r="B642" s="47" t="s">
        <v>4879</v>
      </c>
      <c r="D642" s="47">
        <v>639</v>
      </c>
      <c r="E642" s="188" t="s">
        <v>5256</v>
      </c>
      <c r="F642" s="188" t="s">
        <v>2970</v>
      </c>
      <c r="G642" s="188" t="s">
        <v>2970</v>
      </c>
      <c r="H642" s="188" t="s">
        <v>2970</v>
      </c>
      <c r="I642" s="188" t="s">
        <v>2970</v>
      </c>
      <c r="J642" s="188" t="s">
        <v>2970</v>
      </c>
      <c r="K642" s="188" t="s">
        <v>2970</v>
      </c>
    </row>
    <row r="643" spans="1:11" x14ac:dyDescent="0.25">
      <c r="A643" s="47" t="s">
        <v>5494</v>
      </c>
      <c r="B643" s="47" t="s">
        <v>4880</v>
      </c>
      <c r="D643" s="47">
        <v>640</v>
      </c>
      <c r="E643" s="188" t="s">
        <v>5257</v>
      </c>
      <c r="F643" s="188" t="s">
        <v>2970</v>
      </c>
      <c r="G643" s="188" t="s">
        <v>2970</v>
      </c>
      <c r="H643" s="188" t="s">
        <v>2970</v>
      </c>
      <c r="I643" s="188" t="s">
        <v>2970</v>
      </c>
      <c r="J643" s="188" t="s">
        <v>2970</v>
      </c>
      <c r="K643" s="188" t="s">
        <v>2970</v>
      </c>
    </row>
    <row r="644" spans="1:11" x14ac:dyDescent="0.25">
      <c r="A644" s="47" t="s">
        <v>5495</v>
      </c>
      <c r="B644" s="47" t="s">
        <v>4881</v>
      </c>
      <c r="D644" s="47">
        <v>641</v>
      </c>
      <c r="E644" s="188" t="s">
        <v>5258</v>
      </c>
      <c r="F644" s="188" t="s">
        <v>2970</v>
      </c>
      <c r="G644" s="188" t="s">
        <v>2970</v>
      </c>
      <c r="H644" s="188" t="s">
        <v>2970</v>
      </c>
      <c r="I644" s="188" t="s">
        <v>2970</v>
      </c>
      <c r="J644" s="188" t="s">
        <v>2970</v>
      </c>
      <c r="K644" s="188">
        <v>648</v>
      </c>
    </row>
    <row r="645" spans="1:11" x14ac:dyDescent="0.25">
      <c r="A645" s="47" t="s">
        <v>5496</v>
      </c>
      <c r="B645" s="47" t="s">
        <v>4882</v>
      </c>
      <c r="D645" s="47">
        <v>642</v>
      </c>
      <c r="E645" s="188" t="s">
        <v>5259</v>
      </c>
      <c r="F645" s="188" t="s">
        <v>2970</v>
      </c>
      <c r="G645" s="188" t="s">
        <v>2970</v>
      </c>
      <c r="H645" s="188" t="s">
        <v>2970</v>
      </c>
      <c r="I645" s="188" t="s">
        <v>2970</v>
      </c>
      <c r="J645" s="188" t="s">
        <v>2970</v>
      </c>
      <c r="K645" s="188">
        <v>649</v>
      </c>
    </row>
    <row r="646" spans="1:11" x14ac:dyDescent="0.25">
      <c r="A646" s="47" t="s">
        <v>5497</v>
      </c>
      <c r="B646" s="47" t="s">
        <v>4883</v>
      </c>
      <c r="D646" s="47">
        <v>643</v>
      </c>
      <c r="E646" s="188" t="s">
        <v>5260</v>
      </c>
      <c r="F646" s="188" t="s">
        <v>2970</v>
      </c>
      <c r="G646" s="188" t="s">
        <v>2970</v>
      </c>
      <c r="H646" s="188" t="s">
        <v>2970</v>
      </c>
      <c r="I646" s="188" t="s">
        <v>2970</v>
      </c>
      <c r="J646" s="188" t="s">
        <v>2970</v>
      </c>
      <c r="K646" s="188">
        <v>650</v>
      </c>
    </row>
    <row r="647" spans="1:11" x14ac:dyDescent="0.25">
      <c r="A647" s="47" t="s">
        <v>5498</v>
      </c>
      <c r="B647" s="47" t="s">
        <v>4884</v>
      </c>
      <c r="D647" s="47">
        <v>644</v>
      </c>
      <c r="E647" s="188" t="s">
        <v>5261</v>
      </c>
      <c r="F647" s="188" t="s">
        <v>2970</v>
      </c>
      <c r="G647" s="188" t="s">
        <v>2970</v>
      </c>
      <c r="H647" s="188" t="s">
        <v>2970</v>
      </c>
      <c r="I647" s="188" t="s">
        <v>2970</v>
      </c>
      <c r="J647" s="188" t="s">
        <v>2970</v>
      </c>
      <c r="K647" s="188">
        <v>651</v>
      </c>
    </row>
    <row r="648" spans="1:11" x14ac:dyDescent="0.25">
      <c r="A648" s="47" t="s">
        <v>5499</v>
      </c>
      <c r="B648" s="47" t="s">
        <v>4885</v>
      </c>
      <c r="D648" s="47">
        <v>645</v>
      </c>
      <c r="E648" s="188" t="s">
        <v>2970</v>
      </c>
      <c r="F648" s="188" t="s">
        <v>2970</v>
      </c>
      <c r="G648" s="188" t="s">
        <v>2970</v>
      </c>
      <c r="H648" s="188" t="s">
        <v>2970</v>
      </c>
      <c r="I648" s="188" t="s">
        <v>2970</v>
      </c>
      <c r="J648" s="188" t="s">
        <v>2970</v>
      </c>
      <c r="K648" s="188">
        <v>652</v>
      </c>
    </row>
    <row r="649" spans="1:11" x14ac:dyDescent="0.25">
      <c r="A649" s="47" t="s">
        <v>5500</v>
      </c>
      <c r="D649" s="47">
        <v>646</v>
      </c>
      <c r="E649" s="188" t="s">
        <v>5262</v>
      </c>
      <c r="F649" s="188" t="s">
        <v>3838</v>
      </c>
      <c r="G649" s="188" t="s">
        <v>2970</v>
      </c>
      <c r="H649" s="188" t="s">
        <v>2970</v>
      </c>
      <c r="I649" s="188" t="s">
        <v>2970</v>
      </c>
      <c r="J649" s="188" t="s">
        <v>2970</v>
      </c>
      <c r="K649" s="188" t="s">
        <v>2970</v>
      </c>
    </row>
    <row r="650" spans="1:11" x14ac:dyDescent="0.25">
      <c r="A650" s="47" t="s">
        <v>5501</v>
      </c>
      <c r="D650" s="47">
        <v>647</v>
      </c>
      <c r="E650" s="188" t="s">
        <v>2970</v>
      </c>
      <c r="F650" s="188" t="s">
        <v>2970</v>
      </c>
      <c r="G650" s="188" t="s">
        <v>2970</v>
      </c>
      <c r="H650" s="188" t="s">
        <v>2970</v>
      </c>
      <c r="I650" s="188" t="s">
        <v>2970</v>
      </c>
      <c r="J650" s="188" t="s">
        <v>2970</v>
      </c>
      <c r="K650" s="188">
        <v>653</v>
      </c>
    </row>
    <row r="651" spans="1:11" x14ac:dyDescent="0.25">
      <c r="A651" s="47" t="s">
        <v>3819</v>
      </c>
      <c r="D651" s="47">
        <v>648</v>
      </c>
      <c r="E651" s="188" t="s">
        <v>5262</v>
      </c>
      <c r="F651" s="188" t="s">
        <v>3838</v>
      </c>
      <c r="G651" s="188" t="s">
        <v>3838</v>
      </c>
      <c r="H651" s="188" t="s">
        <v>2970</v>
      </c>
      <c r="I651" s="188" t="s">
        <v>2970</v>
      </c>
      <c r="J651" s="188" t="s">
        <v>2970</v>
      </c>
      <c r="K651" s="188">
        <v>654</v>
      </c>
    </row>
    <row r="652" spans="1:11" x14ac:dyDescent="0.25">
      <c r="A652" s="47" t="s">
        <v>5502</v>
      </c>
      <c r="D652" s="47">
        <v>649</v>
      </c>
      <c r="E652" s="188" t="s">
        <v>5262</v>
      </c>
      <c r="F652" s="188" t="s">
        <v>3838</v>
      </c>
      <c r="G652" s="188" t="s">
        <v>4967</v>
      </c>
      <c r="H652" s="188" t="s">
        <v>2970</v>
      </c>
      <c r="I652" s="188" t="s">
        <v>2970</v>
      </c>
      <c r="J652" s="188" t="s">
        <v>2970</v>
      </c>
      <c r="K652" s="188">
        <v>655</v>
      </c>
    </row>
    <row r="653" spans="1:11" x14ac:dyDescent="0.25">
      <c r="A653" s="47" t="s">
        <v>5503</v>
      </c>
      <c r="D653" s="47">
        <v>650</v>
      </c>
      <c r="E653" s="188" t="s">
        <v>5262</v>
      </c>
      <c r="F653" s="188" t="s">
        <v>3838</v>
      </c>
      <c r="G653" s="188" t="s">
        <v>4970</v>
      </c>
      <c r="H653" s="188" t="s">
        <v>2970</v>
      </c>
      <c r="I653" s="188" t="s">
        <v>2970</v>
      </c>
      <c r="J653" s="188" t="s">
        <v>2970</v>
      </c>
      <c r="K653" s="188">
        <v>656</v>
      </c>
    </row>
    <row r="654" spans="1:11" x14ac:dyDescent="0.25">
      <c r="B654" s="47" t="s">
        <v>3719</v>
      </c>
      <c r="D654" s="47">
        <v>651</v>
      </c>
      <c r="E654" s="188" t="s">
        <v>5262</v>
      </c>
      <c r="F654" s="188" t="s">
        <v>3838</v>
      </c>
      <c r="G654" s="188" t="s">
        <v>4971</v>
      </c>
      <c r="H654" s="188" t="s">
        <v>2970</v>
      </c>
      <c r="I654" s="188" t="s">
        <v>2970</v>
      </c>
      <c r="J654" s="188" t="s">
        <v>2970</v>
      </c>
      <c r="K654" s="188">
        <v>657</v>
      </c>
    </row>
    <row r="655" spans="1:11" x14ac:dyDescent="0.25">
      <c r="B655" s="47" t="s">
        <v>4886</v>
      </c>
      <c r="D655" s="47">
        <v>652</v>
      </c>
      <c r="E655" s="188" t="s">
        <v>5262</v>
      </c>
      <c r="F655" s="188" t="s">
        <v>3838</v>
      </c>
      <c r="G655" s="188" t="s">
        <v>4969</v>
      </c>
      <c r="H655" s="188" t="s">
        <v>2970</v>
      </c>
      <c r="I655" s="188" t="s">
        <v>2970</v>
      </c>
      <c r="J655" s="188" t="s">
        <v>2970</v>
      </c>
      <c r="K655" s="188">
        <v>658</v>
      </c>
    </row>
    <row r="656" spans="1:11" x14ac:dyDescent="0.25">
      <c r="B656" s="47" t="s">
        <v>3712</v>
      </c>
      <c r="D656" s="47">
        <v>653</v>
      </c>
      <c r="E656" s="188" t="s">
        <v>5263</v>
      </c>
      <c r="F656" s="188" t="s">
        <v>2970</v>
      </c>
      <c r="G656" s="188" t="s">
        <v>2970</v>
      </c>
      <c r="H656" s="188" t="s">
        <v>2970</v>
      </c>
      <c r="I656" s="188" t="s">
        <v>2970</v>
      </c>
      <c r="J656" s="188" t="s">
        <v>2970</v>
      </c>
      <c r="K656" s="188" t="s">
        <v>2970</v>
      </c>
    </row>
    <row r="657" spans="1:11" x14ac:dyDescent="0.25">
      <c r="B657" s="47" t="s">
        <v>4887</v>
      </c>
      <c r="D657" s="47">
        <v>654</v>
      </c>
      <c r="E657" s="188" t="s">
        <v>5264</v>
      </c>
      <c r="F657" s="188" t="s">
        <v>2970</v>
      </c>
      <c r="G657" s="188" t="s">
        <v>2970</v>
      </c>
      <c r="H657" s="188" t="s">
        <v>2970</v>
      </c>
      <c r="I657" s="188" t="s">
        <v>2970</v>
      </c>
      <c r="J657" s="188" t="s">
        <v>2970</v>
      </c>
      <c r="K657" s="188" t="s">
        <v>2970</v>
      </c>
    </row>
    <row r="658" spans="1:11" x14ac:dyDescent="0.25">
      <c r="B658" s="47" t="s">
        <v>4888</v>
      </c>
      <c r="D658" s="47">
        <v>655</v>
      </c>
      <c r="E658" s="188" t="s">
        <v>5265</v>
      </c>
      <c r="F658" s="188" t="s">
        <v>2970</v>
      </c>
      <c r="G658" s="188" t="s">
        <v>2970</v>
      </c>
      <c r="H658" s="188" t="s">
        <v>2970</v>
      </c>
      <c r="I658" s="188" t="s">
        <v>2970</v>
      </c>
      <c r="J658" s="188" t="s">
        <v>2970</v>
      </c>
      <c r="K658" s="188" t="s">
        <v>2970</v>
      </c>
    </row>
    <row r="659" spans="1:11" x14ac:dyDescent="0.25">
      <c r="B659" s="47" t="s">
        <v>3713</v>
      </c>
      <c r="D659" s="47">
        <v>656</v>
      </c>
      <c r="E659" s="188" t="s">
        <v>5266</v>
      </c>
      <c r="F659" s="188" t="s">
        <v>2970</v>
      </c>
      <c r="G659" s="188" t="s">
        <v>2970</v>
      </c>
      <c r="H659" s="188" t="s">
        <v>2970</v>
      </c>
      <c r="I659" s="188" t="s">
        <v>2970</v>
      </c>
      <c r="J659" s="188" t="s">
        <v>2970</v>
      </c>
      <c r="K659" s="188" t="s">
        <v>2970</v>
      </c>
    </row>
    <row r="660" spans="1:11" x14ac:dyDescent="0.25">
      <c r="B660" s="47" t="s">
        <v>4889</v>
      </c>
      <c r="D660" s="47">
        <v>657</v>
      </c>
      <c r="E660" s="188" t="s">
        <v>5267</v>
      </c>
      <c r="F660" s="188" t="s">
        <v>2970</v>
      </c>
      <c r="G660" s="188" t="s">
        <v>2970</v>
      </c>
      <c r="H660" s="188" t="s">
        <v>2970</v>
      </c>
      <c r="I660" s="188" t="s">
        <v>2970</v>
      </c>
      <c r="J660" s="188" t="s">
        <v>2970</v>
      </c>
      <c r="K660" s="188" t="s">
        <v>2970</v>
      </c>
    </row>
    <row r="661" spans="1:11" x14ac:dyDescent="0.25">
      <c r="B661" s="47" t="s">
        <v>4890</v>
      </c>
      <c r="D661" s="47">
        <v>658</v>
      </c>
      <c r="E661" s="188" t="s">
        <v>5268</v>
      </c>
      <c r="F661" s="188" t="s">
        <v>2970</v>
      </c>
      <c r="G661" s="188" t="s">
        <v>2970</v>
      </c>
      <c r="H661" s="188" t="s">
        <v>2970</v>
      </c>
      <c r="I661" s="188" t="s">
        <v>2970</v>
      </c>
      <c r="J661" s="188" t="s">
        <v>2970</v>
      </c>
      <c r="K661" s="188" t="s">
        <v>2970</v>
      </c>
    </row>
    <row r="662" spans="1:11" x14ac:dyDescent="0.25">
      <c r="B662" s="47" t="s">
        <v>4891</v>
      </c>
      <c r="D662" s="47">
        <v>659</v>
      </c>
      <c r="E662" s="188" t="s">
        <v>5269</v>
      </c>
      <c r="F662" s="188" t="s">
        <v>2970</v>
      </c>
      <c r="G662" s="188" t="s">
        <v>2970</v>
      </c>
      <c r="H662" s="188" t="s">
        <v>2970</v>
      </c>
      <c r="I662" s="188" t="s">
        <v>2970</v>
      </c>
      <c r="J662" s="188" t="s">
        <v>2970</v>
      </c>
      <c r="K662" s="188" t="s">
        <v>2970</v>
      </c>
    </row>
    <row r="663" spans="1:11" x14ac:dyDescent="0.25">
      <c r="B663" s="47" t="s">
        <v>4892</v>
      </c>
      <c r="D663" s="47">
        <v>660</v>
      </c>
      <c r="E663" s="188" t="s">
        <v>5270</v>
      </c>
      <c r="F663" s="188" t="s">
        <v>2970</v>
      </c>
      <c r="G663" s="188" t="s">
        <v>2970</v>
      </c>
      <c r="H663" s="188" t="s">
        <v>2970</v>
      </c>
      <c r="I663" s="188" t="s">
        <v>2970</v>
      </c>
      <c r="J663" s="188" t="s">
        <v>2970</v>
      </c>
      <c r="K663" s="188" t="s">
        <v>2970</v>
      </c>
    </row>
    <row r="664" spans="1:11" x14ac:dyDescent="0.25">
      <c r="A664" s="47" t="s">
        <v>3862</v>
      </c>
      <c r="B664" s="47" t="s">
        <v>3710</v>
      </c>
      <c r="D664" s="47">
        <v>661</v>
      </c>
      <c r="E664" s="188" t="s">
        <v>5271</v>
      </c>
      <c r="F664" s="188" t="s">
        <v>2970</v>
      </c>
      <c r="G664" s="188" t="s">
        <v>2970</v>
      </c>
      <c r="H664" s="188" t="s">
        <v>2970</v>
      </c>
      <c r="I664" s="188" t="s">
        <v>2970</v>
      </c>
      <c r="J664" s="188" t="s">
        <v>2970</v>
      </c>
      <c r="K664" s="188" t="s">
        <v>2970</v>
      </c>
    </row>
    <row r="665" spans="1:11" x14ac:dyDescent="0.25">
      <c r="A665" s="47" t="s">
        <v>5504</v>
      </c>
      <c r="B665" s="47" t="s">
        <v>4893</v>
      </c>
      <c r="D665" s="47">
        <v>662</v>
      </c>
      <c r="E665" s="188" t="s">
        <v>3822</v>
      </c>
      <c r="F665" s="188" t="s">
        <v>2970</v>
      </c>
      <c r="G665" s="188" t="s">
        <v>2970</v>
      </c>
      <c r="H665" s="188" t="s">
        <v>2970</v>
      </c>
      <c r="I665" s="188" t="s">
        <v>2970</v>
      </c>
      <c r="J665" s="188" t="s">
        <v>2970</v>
      </c>
      <c r="K665" s="188" t="s">
        <v>2970</v>
      </c>
    </row>
    <row r="666" spans="1:11" x14ac:dyDescent="0.25">
      <c r="A666" s="47" t="s">
        <v>5505</v>
      </c>
      <c r="B666" s="47" t="s">
        <v>4894</v>
      </c>
      <c r="D666" s="47">
        <v>663</v>
      </c>
      <c r="E666" s="188" t="s">
        <v>5272</v>
      </c>
      <c r="F666" s="188" t="s">
        <v>2970</v>
      </c>
      <c r="G666" s="188" t="s">
        <v>2970</v>
      </c>
      <c r="H666" s="188" t="s">
        <v>2970</v>
      </c>
      <c r="I666" s="188" t="s">
        <v>2970</v>
      </c>
      <c r="J666" s="188" t="s">
        <v>2970</v>
      </c>
      <c r="K666" s="188" t="s">
        <v>2970</v>
      </c>
    </row>
    <row r="667" spans="1:11" x14ac:dyDescent="0.25">
      <c r="A667" s="47" t="s">
        <v>5506</v>
      </c>
      <c r="B667" s="47" t="s">
        <v>4895</v>
      </c>
      <c r="D667" s="47">
        <v>664</v>
      </c>
      <c r="E667" s="188" t="s">
        <v>5273</v>
      </c>
      <c r="F667" s="188" t="s">
        <v>2970</v>
      </c>
      <c r="G667" s="188" t="s">
        <v>2970</v>
      </c>
      <c r="H667" s="188" t="s">
        <v>2970</v>
      </c>
      <c r="I667" s="188" t="s">
        <v>2970</v>
      </c>
      <c r="J667" s="188" t="s">
        <v>2970</v>
      </c>
      <c r="K667" s="188">
        <v>377</v>
      </c>
    </row>
    <row r="668" spans="1:11" x14ac:dyDescent="0.25">
      <c r="B668" s="47" t="s">
        <v>3716</v>
      </c>
      <c r="D668" s="47">
        <v>665</v>
      </c>
      <c r="E668" s="188" t="s">
        <v>5274</v>
      </c>
      <c r="F668" s="188" t="s">
        <v>2970</v>
      </c>
      <c r="G668" s="188" t="s">
        <v>2970</v>
      </c>
      <c r="H668" s="188" t="s">
        <v>2970</v>
      </c>
      <c r="I668" s="188" t="s">
        <v>2970</v>
      </c>
      <c r="J668" s="188" t="s">
        <v>2970</v>
      </c>
      <c r="K668" s="188">
        <v>378</v>
      </c>
    </row>
    <row r="669" spans="1:11" x14ac:dyDescent="0.25">
      <c r="B669" s="47" t="s">
        <v>4896</v>
      </c>
      <c r="D669" s="47">
        <v>666</v>
      </c>
      <c r="E669" s="188" t="s">
        <v>5275</v>
      </c>
      <c r="F669" s="188" t="s">
        <v>2970</v>
      </c>
      <c r="G669" s="188" t="s">
        <v>2970</v>
      </c>
      <c r="H669" s="188" t="s">
        <v>2970</v>
      </c>
      <c r="I669" s="188" t="s">
        <v>2970</v>
      </c>
      <c r="J669" s="188" t="s">
        <v>2970</v>
      </c>
      <c r="K669" s="188">
        <v>379</v>
      </c>
    </row>
    <row r="670" spans="1:11" x14ac:dyDescent="0.25">
      <c r="B670" s="47" t="s">
        <v>4897</v>
      </c>
      <c r="D670" s="47">
        <v>667</v>
      </c>
      <c r="E670" s="188" t="s">
        <v>5276</v>
      </c>
      <c r="F670" s="188" t="s">
        <v>2970</v>
      </c>
      <c r="G670" s="188" t="s">
        <v>2970</v>
      </c>
      <c r="H670" s="188" t="s">
        <v>2970</v>
      </c>
      <c r="I670" s="188" t="s">
        <v>2970</v>
      </c>
      <c r="J670" s="188" t="s">
        <v>2970</v>
      </c>
      <c r="K670" s="188">
        <v>380</v>
      </c>
    </row>
    <row r="671" spans="1:11" x14ac:dyDescent="0.25">
      <c r="A671" s="47" t="s">
        <v>3864</v>
      </c>
      <c r="B671" s="47" t="s">
        <v>3715</v>
      </c>
      <c r="D671" s="47">
        <v>668</v>
      </c>
      <c r="E671" s="188" t="s">
        <v>5277</v>
      </c>
      <c r="F671" s="188" t="s">
        <v>2970</v>
      </c>
      <c r="G671" s="188" t="s">
        <v>2970</v>
      </c>
      <c r="H671" s="188" t="s">
        <v>2970</v>
      </c>
      <c r="I671" s="188" t="s">
        <v>2970</v>
      </c>
      <c r="J671" s="188" t="s">
        <v>2970</v>
      </c>
      <c r="K671" s="188">
        <v>381</v>
      </c>
    </row>
    <row r="672" spans="1:11" x14ac:dyDescent="0.25">
      <c r="A672" s="47" t="s">
        <v>3867</v>
      </c>
      <c r="B672" s="47" t="s">
        <v>3718</v>
      </c>
      <c r="D672" s="47">
        <v>669</v>
      </c>
      <c r="E672" s="188" t="s">
        <v>5277</v>
      </c>
      <c r="F672" s="188" t="s">
        <v>2970</v>
      </c>
      <c r="G672" s="188" t="s">
        <v>2970</v>
      </c>
      <c r="H672" s="188" t="s">
        <v>2970</v>
      </c>
      <c r="I672" s="188" t="s">
        <v>2970</v>
      </c>
      <c r="J672" s="188" t="s">
        <v>2970</v>
      </c>
      <c r="K672" s="188">
        <v>382</v>
      </c>
    </row>
    <row r="673" spans="1:11" x14ac:dyDescent="0.25">
      <c r="A673" s="47" t="s">
        <v>5507</v>
      </c>
      <c r="B673" s="47" t="s">
        <v>4898</v>
      </c>
      <c r="D673" s="47">
        <v>670</v>
      </c>
      <c r="E673" s="188" t="s">
        <v>2970</v>
      </c>
      <c r="F673" s="188" t="s">
        <v>2970</v>
      </c>
      <c r="G673" s="188" t="s">
        <v>2970</v>
      </c>
      <c r="H673" s="188" t="s">
        <v>2970</v>
      </c>
      <c r="I673" s="188" t="s">
        <v>2970</v>
      </c>
      <c r="J673" s="188" t="s">
        <v>2970</v>
      </c>
      <c r="K673" s="188">
        <v>383</v>
      </c>
    </row>
    <row r="674" spans="1:11" x14ac:dyDescent="0.25">
      <c r="A674" s="47" t="s">
        <v>3866</v>
      </c>
      <c r="B674" s="47" t="s">
        <v>3717</v>
      </c>
      <c r="D674" s="47">
        <v>671</v>
      </c>
      <c r="E674" s="188" t="s">
        <v>5284</v>
      </c>
      <c r="F674" s="188" t="s">
        <v>2970</v>
      </c>
      <c r="G674" s="188" t="s">
        <v>2970</v>
      </c>
      <c r="H674" s="188" t="s">
        <v>2970</v>
      </c>
      <c r="I674" s="188" t="s">
        <v>2970</v>
      </c>
      <c r="J674" s="188" t="s">
        <v>2970</v>
      </c>
      <c r="K674" s="188">
        <v>384</v>
      </c>
    </row>
    <row r="675" spans="1:11" x14ac:dyDescent="0.25">
      <c r="A675" s="47" t="s">
        <v>5508</v>
      </c>
      <c r="B675" s="47" t="s">
        <v>4899</v>
      </c>
      <c r="D675" s="47">
        <v>672</v>
      </c>
      <c r="E675" s="188" t="s">
        <v>5286</v>
      </c>
      <c r="F675" s="188" t="s">
        <v>2970</v>
      </c>
      <c r="G675" s="188" t="s">
        <v>2970</v>
      </c>
      <c r="H675" s="188" t="s">
        <v>2970</v>
      </c>
      <c r="I675" s="188" t="s">
        <v>2970</v>
      </c>
      <c r="J675" s="188" t="s">
        <v>2970</v>
      </c>
      <c r="K675" s="188">
        <v>385</v>
      </c>
    </row>
    <row r="676" spans="1:11" x14ac:dyDescent="0.25">
      <c r="A676" s="47" t="s">
        <v>5509</v>
      </c>
      <c r="B676" s="47" t="s">
        <v>4900</v>
      </c>
      <c r="D676" s="47">
        <v>673</v>
      </c>
      <c r="E676" s="188" t="s">
        <v>5285</v>
      </c>
      <c r="F676" s="188" t="s">
        <v>2970</v>
      </c>
      <c r="G676" s="188" t="s">
        <v>2970</v>
      </c>
      <c r="H676" s="188" t="s">
        <v>2970</v>
      </c>
      <c r="I676" s="188" t="s">
        <v>2970</v>
      </c>
      <c r="J676" s="188" t="s">
        <v>2970</v>
      </c>
      <c r="K676" s="188" t="s">
        <v>2970</v>
      </c>
    </row>
    <row r="677" spans="1:11" x14ac:dyDescent="0.25">
      <c r="A677" s="47" t="s">
        <v>5510</v>
      </c>
      <c r="B677" s="47" t="s">
        <v>4901</v>
      </c>
      <c r="D677" s="47">
        <v>674</v>
      </c>
      <c r="E677" s="188" t="s">
        <v>5287</v>
      </c>
      <c r="F677" s="188" t="s">
        <v>3838</v>
      </c>
      <c r="G677" s="188" t="s">
        <v>2970</v>
      </c>
      <c r="H677" s="188" t="s">
        <v>2970</v>
      </c>
      <c r="I677" s="188" t="s">
        <v>2970</v>
      </c>
      <c r="J677" s="188" t="s">
        <v>2970</v>
      </c>
      <c r="K677" s="188" t="s">
        <v>2970</v>
      </c>
    </row>
    <row r="678" spans="1:11" x14ac:dyDescent="0.25">
      <c r="A678" s="47" t="s">
        <v>5511</v>
      </c>
      <c r="B678" s="47" t="s">
        <v>4902</v>
      </c>
      <c r="D678" s="47">
        <v>675</v>
      </c>
      <c r="E678" s="188" t="s">
        <v>2970</v>
      </c>
      <c r="F678" s="188" t="s">
        <v>2970</v>
      </c>
      <c r="G678" s="188" t="s">
        <v>2970</v>
      </c>
      <c r="H678" s="188" t="s">
        <v>2970</v>
      </c>
      <c r="I678" s="188" t="s">
        <v>2970</v>
      </c>
      <c r="J678" s="188" t="s">
        <v>2970</v>
      </c>
      <c r="K678" s="188">
        <v>386</v>
      </c>
    </row>
    <row r="679" spans="1:11" x14ac:dyDescent="0.25">
      <c r="A679" s="47" t="s">
        <v>3863</v>
      </c>
      <c r="B679" s="47" t="s">
        <v>3711</v>
      </c>
      <c r="D679" s="47">
        <v>676</v>
      </c>
      <c r="E679" s="188" t="s">
        <v>5287</v>
      </c>
      <c r="F679" s="188" t="s">
        <v>3838</v>
      </c>
      <c r="G679" s="188" t="s">
        <v>3838</v>
      </c>
      <c r="H679" s="188" t="s">
        <v>2970</v>
      </c>
      <c r="I679" s="188" t="s">
        <v>2970</v>
      </c>
      <c r="J679" s="188" t="s">
        <v>2970</v>
      </c>
      <c r="K679" s="188">
        <v>387</v>
      </c>
    </row>
    <row r="680" spans="1:11" x14ac:dyDescent="0.25">
      <c r="A680" s="47" t="s">
        <v>5512</v>
      </c>
      <c r="B680" s="47" t="s">
        <v>4903</v>
      </c>
      <c r="D680" s="47">
        <v>677</v>
      </c>
      <c r="E680" s="188" t="s">
        <v>5287</v>
      </c>
      <c r="F680" s="188" t="s">
        <v>3838</v>
      </c>
      <c r="G680" s="188" t="s">
        <v>4967</v>
      </c>
      <c r="H680" s="188" t="s">
        <v>2970</v>
      </c>
      <c r="I680" s="188" t="s">
        <v>2970</v>
      </c>
      <c r="J680" s="188" t="s">
        <v>2970</v>
      </c>
      <c r="K680" s="188">
        <v>388</v>
      </c>
    </row>
    <row r="681" spans="1:11" x14ac:dyDescent="0.25">
      <c r="A681" s="47" t="s">
        <v>5513</v>
      </c>
      <c r="B681" s="47" t="s">
        <v>4904</v>
      </c>
      <c r="D681" s="47">
        <v>678</v>
      </c>
      <c r="E681" s="188" t="s">
        <v>5287</v>
      </c>
      <c r="F681" s="188" t="s">
        <v>3838</v>
      </c>
      <c r="G681" s="188" t="s">
        <v>4970</v>
      </c>
      <c r="H681" s="188" t="s">
        <v>2970</v>
      </c>
      <c r="I681" s="188" t="s">
        <v>2970</v>
      </c>
      <c r="J681" s="188" t="s">
        <v>2970</v>
      </c>
      <c r="K681" s="188">
        <v>389</v>
      </c>
    </row>
    <row r="682" spans="1:11" x14ac:dyDescent="0.25">
      <c r="A682" s="47" t="s">
        <v>5514</v>
      </c>
      <c r="B682" s="47" t="s">
        <v>4905</v>
      </c>
      <c r="D682" s="47">
        <v>679</v>
      </c>
      <c r="E682" s="188" t="s">
        <v>5287</v>
      </c>
      <c r="F682" s="188" t="s">
        <v>3838</v>
      </c>
      <c r="G682" s="188" t="s">
        <v>4971</v>
      </c>
      <c r="H682" s="188" t="s">
        <v>2970</v>
      </c>
      <c r="I682" s="188" t="s">
        <v>2970</v>
      </c>
      <c r="J682" s="188" t="s">
        <v>2970</v>
      </c>
      <c r="K682" s="188">
        <v>390</v>
      </c>
    </row>
    <row r="683" spans="1:11" x14ac:dyDescent="0.25">
      <c r="A683" s="47" t="s">
        <v>5515</v>
      </c>
      <c r="B683" s="47" t="s">
        <v>4906</v>
      </c>
      <c r="D683" s="47">
        <v>680</v>
      </c>
      <c r="E683" s="188" t="s">
        <v>5287</v>
      </c>
      <c r="F683" s="188" t="s">
        <v>3838</v>
      </c>
      <c r="G683" s="188" t="s">
        <v>4969</v>
      </c>
      <c r="H683" s="188" t="s">
        <v>2970</v>
      </c>
      <c r="I683" s="188" t="s">
        <v>2970</v>
      </c>
      <c r="J683" s="188" t="s">
        <v>2970</v>
      </c>
      <c r="K683" s="188">
        <v>391</v>
      </c>
    </row>
    <row r="684" spans="1:11" x14ac:dyDescent="0.25">
      <c r="A684" s="47" t="s">
        <v>5516</v>
      </c>
      <c r="B684" s="47" t="s">
        <v>3714</v>
      </c>
      <c r="D684" s="47">
        <v>681</v>
      </c>
      <c r="E684" s="188" t="s">
        <v>2970</v>
      </c>
      <c r="F684" s="188" t="s">
        <v>2970</v>
      </c>
      <c r="G684" s="188" t="s">
        <v>2970</v>
      </c>
      <c r="H684" s="188" t="s">
        <v>2970</v>
      </c>
      <c r="I684" s="188" t="s">
        <v>2970</v>
      </c>
      <c r="J684" s="188" t="s">
        <v>2970</v>
      </c>
      <c r="K684" s="188">
        <v>392</v>
      </c>
    </row>
    <row r="685" spans="1:11" x14ac:dyDescent="0.25">
      <c r="A685" s="47" t="s">
        <v>3865</v>
      </c>
      <c r="B685" s="47" t="s">
        <v>4907</v>
      </c>
      <c r="D685" s="47">
        <v>682</v>
      </c>
      <c r="E685" s="188" t="s">
        <v>5288</v>
      </c>
      <c r="F685" s="188" t="s">
        <v>2970</v>
      </c>
      <c r="G685" s="188" t="s">
        <v>2970</v>
      </c>
      <c r="H685" s="188" t="s">
        <v>2970</v>
      </c>
      <c r="I685" s="188" t="s">
        <v>2970</v>
      </c>
      <c r="J685" s="188" t="s">
        <v>2970</v>
      </c>
      <c r="K685" s="188" t="s">
        <v>2970</v>
      </c>
    </row>
    <row r="686" spans="1:11" x14ac:dyDescent="0.25">
      <c r="A686" s="47" t="s">
        <v>5517</v>
      </c>
      <c r="B686" s="47" t="s">
        <v>4908</v>
      </c>
      <c r="D686" s="47">
        <v>683</v>
      </c>
      <c r="E686" s="188" t="s">
        <v>5289</v>
      </c>
      <c r="F686" s="188" t="s">
        <v>2970</v>
      </c>
      <c r="G686" s="188" t="s">
        <v>2970</v>
      </c>
      <c r="H686" s="188" t="s">
        <v>2970</v>
      </c>
      <c r="I686" s="188" t="s">
        <v>2970</v>
      </c>
      <c r="J686" s="188" t="s">
        <v>2970</v>
      </c>
      <c r="K686" s="188" t="s">
        <v>2970</v>
      </c>
    </row>
    <row r="687" spans="1:11" x14ac:dyDescent="0.25">
      <c r="A687" s="47" t="s">
        <v>5518</v>
      </c>
      <c r="B687" s="47" t="s">
        <v>4909</v>
      </c>
      <c r="D687" s="47">
        <v>684</v>
      </c>
      <c r="E687" s="188" t="s">
        <v>2970</v>
      </c>
      <c r="F687" s="188" t="s">
        <v>2970</v>
      </c>
      <c r="G687" s="188" t="s">
        <v>2970</v>
      </c>
      <c r="H687" s="188" t="s">
        <v>2970</v>
      </c>
      <c r="I687" s="188" t="s">
        <v>2970</v>
      </c>
      <c r="J687" s="188" t="s">
        <v>2970</v>
      </c>
      <c r="K687" s="188">
        <v>393</v>
      </c>
    </row>
    <row r="688" spans="1:11" x14ac:dyDescent="0.25">
      <c r="A688" s="47" t="s">
        <v>5519</v>
      </c>
      <c r="B688" s="47" t="s">
        <v>4910</v>
      </c>
      <c r="D688" s="47">
        <v>685</v>
      </c>
      <c r="E688" s="188" t="s">
        <v>5278</v>
      </c>
      <c r="F688" s="188" t="s">
        <v>2970</v>
      </c>
      <c r="G688" s="188" t="s">
        <v>2970</v>
      </c>
      <c r="H688" s="188" t="s">
        <v>2970</v>
      </c>
      <c r="I688" s="188" t="s">
        <v>2970</v>
      </c>
      <c r="J688" s="188" t="s">
        <v>2970</v>
      </c>
      <c r="K688" s="188">
        <v>394</v>
      </c>
    </row>
    <row r="689" spans="1:11" x14ac:dyDescent="0.25">
      <c r="A689" s="47" t="s">
        <v>5520</v>
      </c>
      <c r="B689" s="47" t="s">
        <v>4911</v>
      </c>
      <c r="D689" s="47">
        <v>686</v>
      </c>
      <c r="E689" s="188" t="s">
        <v>5280</v>
      </c>
      <c r="F689" s="188" t="s">
        <v>2970</v>
      </c>
      <c r="G689" s="188" t="s">
        <v>2970</v>
      </c>
      <c r="H689" s="188" t="s">
        <v>2970</v>
      </c>
      <c r="I689" s="188" t="s">
        <v>2970</v>
      </c>
      <c r="J689" s="188" t="s">
        <v>2970</v>
      </c>
      <c r="K689" s="188">
        <v>395</v>
      </c>
    </row>
    <row r="690" spans="1:11" x14ac:dyDescent="0.25">
      <c r="A690" s="47" t="s">
        <v>5521</v>
      </c>
      <c r="B690" s="47" t="s">
        <v>4912</v>
      </c>
      <c r="D690" s="47">
        <v>687</v>
      </c>
      <c r="E690" s="188" t="s">
        <v>5279</v>
      </c>
      <c r="F690" s="188" t="s">
        <v>2970</v>
      </c>
      <c r="G690" s="188" t="s">
        <v>2970</v>
      </c>
      <c r="H690" s="188" t="s">
        <v>2970</v>
      </c>
      <c r="I690" s="188" t="s">
        <v>2970</v>
      </c>
      <c r="J690" s="188" t="s">
        <v>2970</v>
      </c>
      <c r="K690" s="188">
        <v>396</v>
      </c>
    </row>
    <row r="691" spans="1:11" x14ac:dyDescent="0.25">
      <c r="A691" s="47" t="s">
        <v>5522</v>
      </c>
      <c r="B691" s="47" t="s">
        <v>4913</v>
      </c>
      <c r="D691" s="47">
        <v>688</v>
      </c>
      <c r="E691" s="188" t="s">
        <v>5281</v>
      </c>
      <c r="F691" s="188" t="s">
        <v>3838</v>
      </c>
      <c r="G691" s="188" t="s">
        <v>2970</v>
      </c>
      <c r="H691" s="188" t="s">
        <v>2970</v>
      </c>
      <c r="I691" s="188" t="s">
        <v>2970</v>
      </c>
      <c r="J691" s="188" t="s">
        <v>2970</v>
      </c>
      <c r="K691" s="188" t="s">
        <v>2970</v>
      </c>
    </row>
    <row r="692" spans="1:11" x14ac:dyDescent="0.25">
      <c r="A692" s="47" t="s">
        <v>5523</v>
      </c>
      <c r="B692" s="47" t="s">
        <v>4914</v>
      </c>
      <c r="D692" s="47">
        <v>689</v>
      </c>
      <c r="E692" s="188" t="s">
        <v>2970</v>
      </c>
      <c r="F692" s="188" t="s">
        <v>2970</v>
      </c>
      <c r="G692" s="188" t="s">
        <v>2970</v>
      </c>
      <c r="H692" s="188" t="s">
        <v>2970</v>
      </c>
      <c r="I692" s="188" t="s">
        <v>2970</v>
      </c>
      <c r="J692" s="188" t="s">
        <v>2970</v>
      </c>
      <c r="K692" s="188">
        <v>397</v>
      </c>
    </row>
    <row r="693" spans="1:11" x14ac:dyDescent="0.25">
      <c r="A693" s="47" t="s">
        <v>5524</v>
      </c>
      <c r="B693" s="47" t="s">
        <v>4915</v>
      </c>
      <c r="D693" s="47">
        <v>690</v>
      </c>
      <c r="E693" s="188" t="s">
        <v>5281</v>
      </c>
      <c r="F693" s="188" t="s">
        <v>3838</v>
      </c>
      <c r="G693" s="188" t="s">
        <v>3838</v>
      </c>
      <c r="H693" s="188" t="s">
        <v>2970</v>
      </c>
      <c r="I693" s="188" t="s">
        <v>2970</v>
      </c>
      <c r="J693" s="188" t="s">
        <v>2970</v>
      </c>
      <c r="K693" s="188">
        <v>398</v>
      </c>
    </row>
    <row r="694" spans="1:11" x14ac:dyDescent="0.25">
      <c r="A694" s="47" t="s">
        <v>5525</v>
      </c>
      <c r="B694" s="47" t="s">
        <v>4916</v>
      </c>
      <c r="D694" s="47">
        <v>691</v>
      </c>
      <c r="E694" s="188" t="s">
        <v>5281</v>
      </c>
      <c r="F694" s="188" t="s">
        <v>3838</v>
      </c>
      <c r="G694" s="188" t="s">
        <v>4967</v>
      </c>
      <c r="H694" s="188" t="s">
        <v>2970</v>
      </c>
      <c r="I694" s="188" t="s">
        <v>2970</v>
      </c>
      <c r="J694" s="188" t="s">
        <v>2970</v>
      </c>
      <c r="K694" s="188">
        <v>399</v>
      </c>
    </row>
    <row r="695" spans="1:11" x14ac:dyDescent="0.25">
      <c r="A695" s="47" t="s">
        <v>5526</v>
      </c>
      <c r="B695" s="47" t="s">
        <v>4917</v>
      </c>
      <c r="D695" s="47">
        <v>692</v>
      </c>
      <c r="E695" s="188" t="s">
        <v>5281</v>
      </c>
      <c r="F695" s="188" t="s">
        <v>3838</v>
      </c>
      <c r="G695" s="188" t="s">
        <v>4970</v>
      </c>
      <c r="H695" s="188" t="s">
        <v>2970</v>
      </c>
      <c r="I695" s="188" t="s">
        <v>2970</v>
      </c>
      <c r="J695" s="188" t="s">
        <v>2970</v>
      </c>
      <c r="K695" s="188">
        <v>400</v>
      </c>
    </row>
    <row r="696" spans="1:11" x14ac:dyDescent="0.25">
      <c r="A696" s="47" t="s">
        <v>5527</v>
      </c>
      <c r="B696" s="47" t="s">
        <v>4918</v>
      </c>
      <c r="D696" s="47">
        <v>693</v>
      </c>
      <c r="E696" s="188" t="s">
        <v>5281</v>
      </c>
      <c r="F696" s="188" t="s">
        <v>3838</v>
      </c>
      <c r="G696" s="188" t="s">
        <v>4971</v>
      </c>
      <c r="H696" s="188" t="s">
        <v>2970</v>
      </c>
      <c r="I696" s="188" t="s">
        <v>2970</v>
      </c>
      <c r="J696" s="188" t="s">
        <v>2970</v>
      </c>
      <c r="K696" s="188">
        <v>401</v>
      </c>
    </row>
    <row r="697" spans="1:11" x14ac:dyDescent="0.25">
      <c r="A697" s="47" t="s">
        <v>5528</v>
      </c>
      <c r="B697" s="47" t="s">
        <v>4919</v>
      </c>
      <c r="D697" s="47">
        <v>694</v>
      </c>
      <c r="E697" s="188" t="s">
        <v>5281</v>
      </c>
      <c r="F697" s="188" t="s">
        <v>3838</v>
      </c>
      <c r="G697" s="188" t="s">
        <v>4969</v>
      </c>
      <c r="H697" s="188" t="s">
        <v>2970</v>
      </c>
      <c r="I697" s="188" t="s">
        <v>2970</v>
      </c>
      <c r="J697" s="188" t="s">
        <v>2970</v>
      </c>
      <c r="K697" s="188">
        <v>402</v>
      </c>
    </row>
    <row r="698" spans="1:11" x14ac:dyDescent="0.25">
      <c r="A698" s="47" t="s">
        <v>5529</v>
      </c>
      <c r="B698" s="47" t="s">
        <v>4920</v>
      </c>
      <c r="D698" s="47">
        <v>695</v>
      </c>
      <c r="E698" s="188" t="s">
        <v>2970</v>
      </c>
      <c r="F698" s="188" t="s">
        <v>2970</v>
      </c>
      <c r="G698" s="188" t="s">
        <v>2970</v>
      </c>
      <c r="H698" s="188" t="s">
        <v>2970</v>
      </c>
      <c r="I698" s="188" t="s">
        <v>2970</v>
      </c>
      <c r="J698" s="188" t="s">
        <v>2970</v>
      </c>
      <c r="K698" s="188">
        <v>403</v>
      </c>
    </row>
    <row r="699" spans="1:11" x14ac:dyDescent="0.25">
      <c r="A699" s="47" t="s">
        <v>5530</v>
      </c>
      <c r="B699" s="47" t="s">
        <v>4921</v>
      </c>
      <c r="D699" s="47">
        <v>696</v>
      </c>
      <c r="E699" s="188" t="s">
        <v>5282</v>
      </c>
      <c r="F699" s="188" t="s">
        <v>2970</v>
      </c>
      <c r="G699" s="188" t="s">
        <v>2970</v>
      </c>
      <c r="H699" s="188" t="s">
        <v>2970</v>
      </c>
      <c r="I699" s="188" t="s">
        <v>2970</v>
      </c>
      <c r="J699" s="188" t="s">
        <v>2970</v>
      </c>
      <c r="K699" s="188" t="s">
        <v>2970</v>
      </c>
    </row>
    <row r="700" spans="1:11" x14ac:dyDescent="0.25">
      <c r="A700" s="47" t="s">
        <v>5531</v>
      </c>
      <c r="B700" s="47" t="s">
        <v>4922</v>
      </c>
      <c r="D700" s="47">
        <v>697</v>
      </c>
      <c r="E700" s="188" t="s">
        <v>5283</v>
      </c>
      <c r="F700" s="188" t="s">
        <v>2970</v>
      </c>
      <c r="G700" s="188" t="s">
        <v>2970</v>
      </c>
      <c r="H700" s="188" t="s">
        <v>2970</v>
      </c>
      <c r="I700" s="188" t="s">
        <v>2970</v>
      </c>
      <c r="J700" s="188" t="s">
        <v>2970</v>
      </c>
      <c r="K700" s="188" t="s">
        <v>2970</v>
      </c>
    </row>
    <row r="701" spans="1:11" x14ac:dyDescent="0.25">
      <c r="A701" s="47" t="s">
        <v>5532</v>
      </c>
      <c r="B701" s="47" t="s">
        <v>4923</v>
      </c>
      <c r="D701" s="47">
        <v>698</v>
      </c>
      <c r="E701" s="188" t="s">
        <v>2970</v>
      </c>
      <c r="F701" s="188" t="s">
        <v>2970</v>
      </c>
      <c r="G701" s="188" t="s">
        <v>2970</v>
      </c>
      <c r="H701" s="188" t="s">
        <v>2970</v>
      </c>
      <c r="I701" s="188" t="s">
        <v>2970</v>
      </c>
      <c r="J701" s="188" t="s">
        <v>2970</v>
      </c>
      <c r="K701" s="188">
        <v>404</v>
      </c>
    </row>
    <row r="702" spans="1:11" x14ac:dyDescent="0.25">
      <c r="A702" s="47" t="s">
        <v>5533</v>
      </c>
      <c r="D702" s="47">
        <v>699</v>
      </c>
      <c r="E702" s="188" t="s">
        <v>5290</v>
      </c>
      <c r="F702" s="188" t="s">
        <v>2970</v>
      </c>
      <c r="G702" s="188" t="s">
        <v>2970</v>
      </c>
      <c r="H702" s="188" t="s">
        <v>2970</v>
      </c>
      <c r="I702" s="188" t="s">
        <v>2970</v>
      </c>
      <c r="J702" s="188" t="s">
        <v>2970</v>
      </c>
      <c r="K702" s="188">
        <v>405</v>
      </c>
    </row>
    <row r="703" spans="1:11" x14ac:dyDescent="0.25">
      <c r="A703" s="47" t="s">
        <v>5534</v>
      </c>
      <c r="D703" s="47">
        <v>700</v>
      </c>
      <c r="E703" s="188" t="s">
        <v>5291</v>
      </c>
      <c r="F703" s="188" t="s">
        <v>2970</v>
      </c>
      <c r="G703" s="188" t="s">
        <v>2970</v>
      </c>
      <c r="H703" s="188" t="s">
        <v>2970</v>
      </c>
      <c r="I703" s="188" t="s">
        <v>2970</v>
      </c>
      <c r="J703" s="188" t="s">
        <v>2970</v>
      </c>
      <c r="K703" s="188" t="s">
        <v>2970</v>
      </c>
    </row>
    <row r="704" spans="1:11" x14ac:dyDescent="0.25">
      <c r="A704" s="47" t="s">
        <v>5535</v>
      </c>
      <c r="D704" s="47">
        <v>701</v>
      </c>
      <c r="E704" s="188" t="s">
        <v>5292</v>
      </c>
      <c r="F704" s="188" t="s">
        <v>3838</v>
      </c>
      <c r="G704" s="188" t="s">
        <v>2970</v>
      </c>
      <c r="H704" s="188" t="s">
        <v>2970</v>
      </c>
      <c r="I704" s="188" t="s">
        <v>2970</v>
      </c>
      <c r="J704" s="188" t="s">
        <v>2970</v>
      </c>
      <c r="K704" s="188" t="s">
        <v>2970</v>
      </c>
    </row>
    <row r="705" spans="1:11" x14ac:dyDescent="0.25">
      <c r="A705" s="47" t="s">
        <v>5536</v>
      </c>
      <c r="D705" s="47">
        <v>702</v>
      </c>
      <c r="E705" s="188" t="s">
        <v>2970</v>
      </c>
      <c r="F705" s="188" t="s">
        <v>2970</v>
      </c>
      <c r="G705" s="188" t="s">
        <v>2970</v>
      </c>
      <c r="H705" s="188" t="s">
        <v>2970</v>
      </c>
      <c r="I705" s="188" t="s">
        <v>2970</v>
      </c>
      <c r="J705" s="188" t="s">
        <v>2970</v>
      </c>
      <c r="K705" s="188">
        <v>406</v>
      </c>
    </row>
    <row r="706" spans="1:11" x14ac:dyDescent="0.25">
      <c r="A706" s="47" t="s">
        <v>5537</v>
      </c>
      <c r="B706" s="47" t="s">
        <v>4924</v>
      </c>
      <c r="D706" s="47">
        <v>703</v>
      </c>
      <c r="E706" s="188" t="s">
        <v>5292</v>
      </c>
      <c r="F706" s="188" t="s">
        <v>3838</v>
      </c>
      <c r="G706" s="188" t="s">
        <v>3838</v>
      </c>
      <c r="H706" s="188" t="s">
        <v>2970</v>
      </c>
      <c r="I706" s="188" t="s">
        <v>2970</v>
      </c>
      <c r="J706" s="188" t="s">
        <v>2970</v>
      </c>
      <c r="K706" s="188">
        <v>407</v>
      </c>
    </row>
    <row r="707" spans="1:11" x14ac:dyDescent="0.25">
      <c r="A707" s="47" t="s">
        <v>5538</v>
      </c>
      <c r="B707" s="47" t="s">
        <v>4925</v>
      </c>
      <c r="D707" s="47">
        <v>704</v>
      </c>
      <c r="E707" s="188" t="s">
        <v>5292</v>
      </c>
      <c r="F707" s="188" t="s">
        <v>3838</v>
      </c>
      <c r="G707" s="188" t="s">
        <v>4967</v>
      </c>
      <c r="H707" s="188" t="s">
        <v>2970</v>
      </c>
      <c r="I707" s="188" t="s">
        <v>2970</v>
      </c>
      <c r="J707" s="188" t="s">
        <v>2970</v>
      </c>
      <c r="K707" s="188">
        <v>408</v>
      </c>
    </row>
    <row r="708" spans="1:11" x14ac:dyDescent="0.25">
      <c r="A708" s="47" t="s">
        <v>5539</v>
      </c>
      <c r="B708" s="47" t="s">
        <v>4926</v>
      </c>
      <c r="D708" s="47">
        <v>705</v>
      </c>
      <c r="E708" s="188" t="s">
        <v>5292</v>
      </c>
      <c r="F708" s="188" t="s">
        <v>3838</v>
      </c>
      <c r="G708" s="188" t="s">
        <v>4970</v>
      </c>
      <c r="H708" s="188" t="s">
        <v>2970</v>
      </c>
      <c r="I708" s="188" t="s">
        <v>2970</v>
      </c>
      <c r="J708" s="188" t="s">
        <v>2970</v>
      </c>
      <c r="K708" s="188">
        <v>409</v>
      </c>
    </row>
    <row r="709" spans="1:11" x14ac:dyDescent="0.25">
      <c r="A709" s="47" t="s">
        <v>5540</v>
      </c>
      <c r="B709" s="47" t="s">
        <v>4927</v>
      </c>
      <c r="D709" s="47">
        <v>706</v>
      </c>
      <c r="E709" s="188" t="s">
        <v>5292</v>
      </c>
      <c r="F709" s="188" t="s">
        <v>3838</v>
      </c>
      <c r="G709" s="188" t="s">
        <v>4971</v>
      </c>
      <c r="H709" s="188" t="s">
        <v>2970</v>
      </c>
      <c r="I709" s="188" t="s">
        <v>2970</v>
      </c>
      <c r="J709" s="188" t="s">
        <v>2970</v>
      </c>
      <c r="K709" s="188">
        <v>410</v>
      </c>
    </row>
    <row r="710" spans="1:11" x14ac:dyDescent="0.25">
      <c r="A710" s="47" t="s">
        <v>5541</v>
      </c>
      <c r="B710" s="47" t="s">
        <v>4928</v>
      </c>
      <c r="D710" s="47">
        <v>707</v>
      </c>
      <c r="E710" s="188" t="s">
        <v>5292</v>
      </c>
      <c r="F710" s="188" t="s">
        <v>3838</v>
      </c>
      <c r="G710" s="188" t="s">
        <v>4969</v>
      </c>
      <c r="H710" s="188" t="s">
        <v>2970</v>
      </c>
      <c r="I710" s="188" t="s">
        <v>2970</v>
      </c>
      <c r="J710" s="188" t="s">
        <v>2970</v>
      </c>
      <c r="K710" s="188">
        <v>411</v>
      </c>
    </row>
    <row r="711" spans="1:11" x14ac:dyDescent="0.25">
      <c r="A711" s="47" t="s">
        <v>5542</v>
      </c>
      <c r="B711" s="47" t="s">
        <v>4929</v>
      </c>
      <c r="D711" s="47">
        <v>708</v>
      </c>
      <c r="E711" s="188" t="s">
        <v>2970</v>
      </c>
      <c r="F711" s="188" t="s">
        <v>2970</v>
      </c>
      <c r="G711" s="188" t="s">
        <v>2970</v>
      </c>
      <c r="H711" s="188" t="s">
        <v>2970</v>
      </c>
      <c r="I711" s="188" t="s">
        <v>2970</v>
      </c>
      <c r="J711" s="188" t="s">
        <v>2970</v>
      </c>
      <c r="K711" s="188">
        <v>412</v>
      </c>
    </row>
    <row r="712" spans="1:11" x14ac:dyDescent="0.25">
      <c r="A712" s="47" t="s">
        <v>5543</v>
      </c>
      <c r="B712" s="47" t="s">
        <v>4930</v>
      </c>
      <c r="D712" s="47">
        <v>709</v>
      </c>
      <c r="E712" s="188" t="s">
        <v>5293</v>
      </c>
      <c r="F712" s="188" t="s">
        <v>2970</v>
      </c>
      <c r="G712" s="188" t="s">
        <v>2970</v>
      </c>
      <c r="H712" s="188" t="s">
        <v>2970</v>
      </c>
      <c r="I712" s="188" t="s">
        <v>2970</v>
      </c>
      <c r="J712" s="188" t="s">
        <v>2970</v>
      </c>
      <c r="K712" s="188" t="s">
        <v>2970</v>
      </c>
    </row>
    <row r="713" spans="1:11" x14ac:dyDescent="0.25">
      <c r="A713" s="47" t="s">
        <v>5544</v>
      </c>
      <c r="B713" s="47" t="s">
        <v>4931</v>
      </c>
      <c r="D713" s="47">
        <v>710</v>
      </c>
      <c r="E713" s="188" t="s">
        <v>5294</v>
      </c>
      <c r="F713" s="188" t="s">
        <v>2970</v>
      </c>
      <c r="G713" s="188" t="s">
        <v>2970</v>
      </c>
      <c r="H713" s="188" t="s">
        <v>2970</v>
      </c>
      <c r="I713" s="188" t="s">
        <v>2970</v>
      </c>
      <c r="J713" s="188" t="s">
        <v>2970</v>
      </c>
      <c r="K713" s="188" t="s">
        <v>2970</v>
      </c>
    </row>
    <row r="714" spans="1:11" x14ac:dyDescent="0.25">
      <c r="A714" s="47" t="s">
        <v>5545</v>
      </c>
      <c r="B714" s="47" t="s">
        <v>4932</v>
      </c>
      <c r="D714" s="47">
        <v>711</v>
      </c>
      <c r="E714" s="188" t="s">
        <v>3814</v>
      </c>
      <c r="F714" s="188" t="s">
        <v>2970</v>
      </c>
      <c r="G714" s="188" t="s">
        <v>2970</v>
      </c>
      <c r="H714" s="188" t="s">
        <v>2970</v>
      </c>
      <c r="I714" s="188" t="s">
        <v>2970</v>
      </c>
      <c r="J714" s="188" t="s">
        <v>2970</v>
      </c>
      <c r="K714" s="188" t="s">
        <v>2970</v>
      </c>
    </row>
    <row r="715" spans="1:11" x14ac:dyDescent="0.25">
      <c r="A715" s="47" t="s">
        <v>5546</v>
      </c>
      <c r="B715" s="47" t="s">
        <v>4933</v>
      </c>
      <c r="D715" s="47">
        <v>712</v>
      </c>
      <c r="E715" s="188" t="s">
        <v>5295</v>
      </c>
      <c r="F715" s="188" t="s">
        <v>2970</v>
      </c>
      <c r="G715" s="188" t="s">
        <v>2970</v>
      </c>
      <c r="H715" s="188" t="s">
        <v>2970</v>
      </c>
      <c r="I715" s="188" t="s">
        <v>2970</v>
      </c>
      <c r="J715" s="188" t="s">
        <v>2970</v>
      </c>
      <c r="K715" s="188" t="s">
        <v>2970</v>
      </c>
    </row>
    <row r="716" spans="1:11" x14ac:dyDescent="0.25">
      <c r="A716" s="47" t="s">
        <v>5547</v>
      </c>
      <c r="B716" s="47" t="s">
        <v>4934</v>
      </c>
      <c r="D716" s="47">
        <v>713</v>
      </c>
      <c r="E716" s="188" t="s">
        <v>5296</v>
      </c>
      <c r="F716" s="188" t="s">
        <v>2970</v>
      </c>
      <c r="G716" s="188" t="s">
        <v>2970</v>
      </c>
      <c r="H716" s="188" t="s">
        <v>2970</v>
      </c>
      <c r="I716" s="188" t="s">
        <v>2970</v>
      </c>
      <c r="J716" s="188" t="s">
        <v>2970</v>
      </c>
      <c r="K716" s="188" t="s">
        <v>2970</v>
      </c>
    </row>
    <row r="717" spans="1:11" x14ac:dyDescent="0.25">
      <c r="A717" s="47" t="s">
        <v>5548</v>
      </c>
      <c r="B717" s="47" t="s">
        <v>4935</v>
      </c>
      <c r="D717" s="47">
        <v>714</v>
      </c>
      <c r="E717" s="188" t="s">
        <v>5297</v>
      </c>
      <c r="F717" s="188" t="s">
        <v>2970</v>
      </c>
      <c r="G717" s="188" t="s">
        <v>2970</v>
      </c>
      <c r="H717" s="188" t="s">
        <v>2970</v>
      </c>
      <c r="I717" s="188" t="s">
        <v>2970</v>
      </c>
      <c r="J717" s="188" t="s">
        <v>2970</v>
      </c>
      <c r="K717" s="188" t="s">
        <v>2970</v>
      </c>
    </row>
    <row r="718" spans="1:11" x14ac:dyDescent="0.25">
      <c r="A718" s="47" t="s">
        <v>5549</v>
      </c>
      <c r="B718" s="47" t="s">
        <v>4936</v>
      </c>
      <c r="D718" s="47">
        <v>715</v>
      </c>
      <c r="E718" s="188" t="s">
        <v>5298</v>
      </c>
      <c r="F718" s="188" t="s">
        <v>2970</v>
      </c>
      <c r="G718" s="188" t="s">
        <v>2970</v>
      </c>
      <c r="H718" s="188" t="s">
        <v>2970</v>
      </c>
      <c r="I718" s="188" t="s">
        <v>2970</v>
      </c>
      <c r="J718" s="188" t="s">
        <v>2970</v>
      </c>
      <c r="K718" s="188" t="s">
        <v>2970</v>
      </c>
    </row>
    <row r="719" spans="1:11" x14ac:dyDescent="0.25">
      <c r="A719" s="47" t="s">
        <v>5550</v>
      </c>
      <c r="D719" s="47">
        <v>716</v>
      </c>
      <c r="E719" s="188" t="s">
        <v>3848</v>
      </c>
      <c r="F719" s="188" t="s">
        <v>2970</v>
      </c>
      <c r="G719" s="188" t="s">
        <v>2970</v>
      </c>
      <c r="H719" s="188" t="s">
        <v>2970</v>
      </c>
      <c r="I719" s="188" t="s">
        <v>2970</v>
      </c>
      <c r="J719" s="188" t="s">
        <v>2970</v>
      </c>
      <c r="K719" s="188">
        <v>169</v>
      </c>
    </row>
    <row r="720" spans="1:11" x14ac:dyDescent="0.25">
      <c r="A720" s="47" t="s">
        <v>5551</v>
      </c>
      <c r="D720" s="47">
        <v>717</v>
      </c>
      <c r="E720" s="188" t="s">
        <v>5299</v>
      </c>
      <c r="F720" s="188" t="s">
        <v>2970</v>
      </c>
      <c r="G720" s="188" t="s">
        <v>2970</v>
      </c>
      <c r="H720" s="188" t="s">
        <v>2970</v>
      </c>
      <c r="I720" s="188" t="s">
        <v>2970</v>
      </c>
      <c r="J720" s="188" t="s">
        <v>2970</v>
      </c>
      <c r="K720" s="188">
        <v>170</v>
      </c>
    </row>
    <row r="721" spans="1:11" x14ac:dyDescent="0.25">
      <c r="A721" s="47" t="s">
        <v>5552</v>
      </c>
      <c r="D721" s="47">
        <v>718</v>
      </c>
      <c r="E721" s="188" t="s">
        <v>5300</v>
      </c>
      <c r="F721" s="188" t="s">
        <v>2970</v>
      </c>
      <c r="G721" s="188" t="s">
        <v>2970</v>
      </c>
      <c r="H721" s="188" t="s">
        <v>2970</v>
      </c>
      <c r="I721" s="188" t="s">
        <v>2970</v>
      </c>
      <c r="J721" s="188" t="s">
        <v>2970</v>
      </c>
      <c r="K721" s="188">
        <v>171</v>
      </c>
    </row>
    <row r="722" spans="1:11" x14ac:dyDescent="0.25">
      <c r="A722" s="47" t="s">
        <v>5553</v>
      </c>
      <c r="D722" s="47">
        <v>719</v>
      </c>
      <c r="E722" s="188" t="s">
        <v>5301</v>
      </c>
      <c r="F722" s="188" t="s">
        <v>2970</v>
      </c>
      <c r="G722" s="188" t="s">
        <v>2970</v>
      </c>
      <c r="H722" s="188" t="s">
        <v>2970</v>
      </c>
      <c r="I722" s="188" t="s">
        <v>2970</v>
      </c>
      <c r="J722" s="188" t="s">
        <v>2970</v>
      </c>
      <c r="K722" s="188">
        <v>172</v>
      </c>
    </row>
    <row r="723" spans="1:11" x14ac:dyDescent="0.25">
      <c r="A723" s="47" t="s">
        <v>5554</v>
      </c>
      <c r="D723" s="47">
        <v>720</v>
      </c>
      <c r="E723" s="188" t="s">
        <v>5302</v>
      </c>
      <c r="F723" s="188" t="s">
        <v>2970</v>
      </c>
      <c r="G723" s="188" t="s">
        <v>2970</v>
      </c>
      <c r="H723" s="188" t="s">
        <v>2970</v>
      </c>
      <c r="I723" s="188" t="s">
        <v>2970</v>
      </c>
      <c r="J723" s="188" t="s">
        <v>2970</v>
      </c>
      <c r="K723" s="188">
        <v>173</v>
      </c>
    </row>
    <row r="724" spans="1:11" x14ac:dyDescent="0.25">
      <c r="D724" s="47">
        <v>721</v>
      </c>
      <c r="E724" s="188" t="s">
        <v>5303</v>
      </c>
      <c r="F724" s="188" t="s">
        <v>2970</v>
      </c>
      <c r="G724" s="188" t="s">
        <v>2970</v>
      </c>
      <c r="H724" s="188" t="s">
        <v>2970</v>
      </c>
      <c r="I724" s="188" t="s">
        <v>2970</v>
      </c>
      <c r="J724" s="188" t="s">
        <v>2970</v>
      </c>
      <c r="K724" s="188">
        <v>174</v>
      </c>
    </row>
    <row r="725" spans="1:11" x14ac:dyDescent="0.25">
      <c r="D725" s="47">
        <v>722</v>
      </c>
      <c r="E725" s="188" t="s">
        <v>5304</v>
      </c>
      <c r="F725" s="188" t="s">
        <v>2970</v>
      </c>
      <c r="G725" s="188" t="s">
        <v>2970</v>
      </c>
      <c r="H725" s="188" t="s">
        <v>2970</v>
      </c>
      <c r="I725" s="188" t="s">
        <v>2970</v>
      </c>
      <c r="J725" s="188" t="s">
        <v>2970</v>
      </c>
      <c r="K725" s="188">
        <v>175</v>
      </c>
    </row>
    <row r="726" spans="1:11" x14ac:dyDescent="0.25">
      <c r="D726" s="47">
        <v>723</v>
      </c>
      <c r="E726" s="188" t="s">
        <v>5305</v>
      </c>
      <c r="F726" s="188" t="s">
        <v>2970</v>
      </c>
      <c r="G726" s="188" t="s">
        <v>2970</v>
      </c>
      <c r="H726" s="188" t="s">
        <v>2970</v>
      </c>
      <c r="I726" s="188" t="s">
        <v>2970</v>
      </c>
      <c r="J726" s="188" t="s">
        <v>2970</v>
      </c>
      <c r="K726" s="188">
        <v>176</v>
      </c>
    </row>
    <row r="727" spans="1:11" x14ac:dyDescent="0.25">
      <c r="D727" s="47">
        <v>724</v>
      </c>
      <c r="E727" s="188" t="s">
        <v>5306</v>
      </c>
      <c r="F727" s="188" t="s">
        <v>2970</v>
      </c>
      <c r="G727" s="188" t="s">
        <v>2970</v>
      </c>
      <c r="H727" s="188" t="s">
        <v>2970</v>
      </c>
      <c r="I727" s="188" t="s">
        <v>2970</v>
      </c>
      <c r="J727" s="188" t="s">
        <v>2970</v>
      </c>
      <c r="K727" s="188">
        <v>177</v>
      </c>
    </row>
    <row r="728" spans="1:11" x14ac:dyDescent="0.25">
      <c r="D728" s="47">
        <v>725</v>
      </c>
      <c r="E728" s="188" t="s">
        <v>5307</v>
      </c>
      <c r="F728" s="188" t="s">
        <v>2970</v>
      </c>
      <c r="G728" s="188" t="s">
        <v>2970</v>
      </c>
      <c r="H728" s="188" t="s">
        <v>2970</v>
      </c>
      <c r="I728" s="188" t="s">
        <v>2970</v>
      </c>
      <c r="J728" s="188" t="s">
        <v>2970</v>
      </c>
      <c r="K728" s="188">
        <v>178</v>
      </c>
    </row>
    <row r="729" spans="1:11" x14ac:dyDescent="0.25">
      <c r="D729" s="47">
        <v>726</v>
      </c>
      <c r="E729" s="188" t="s">
        <v>5308</v>
      </c>
      <c r="F729" s="188" t="s">
        <v>2970</v>
      </c>
      <c r="G729" s="188" t="s">
        <v>2970</v>
      </c>
      <c r="H729" s="188" t="s">
        <v>2970</v>
      </c>
      <c r="I729" s="188" t="s">
        <v>2970</v>
      </c>
      <c r="J729" s="188" t="s">
        <v>2970</v>
      </c>
      <c r="K729" s="188">
        <v>179</v>
      </c>
    </row>
    <row r="730" spans="1:11" x14ac:dyDescent="0.25">
      <c r="D730" s="47">
        <v>727</v>
      </c>
      <c r="E730" s="188" t="s">
        <v>5309</v>
      </c>
      <c r="F730" s="188" t="s">
        <v>2970</v>
      </c>
      <c r="G730" s="188" t="s">
        <v>2970</v>
      </c>
      <c r="H730" s="188" t="s">
        <v>2970</v>
      </c>
      <c r="I730" s="188" t="s">
        <v>2970</v>
      </c>
      <c r="J730" s="188" t="s">
        <v>2970</v>
      </c>
      <c r="K730" s="188">
        <v>180</v>
      </c>
    </row>
    <row r="731" spans="1:11" x14ac:dyDescent="0.25">
      <c r="D731" s="47">
        <v>728</v>
      </c>
      <c r="E731" s="188" t="s">
        <v>5310</v>
      </c>
      <c r="F731" s="188" t="s">
        <v>2970</v>
      </c>
      <c r="G731" s="188" t="s">
        <v>2970</v>
      </c>
      <c r="H731" s="188" t="s">
        <v>2970</v>
      </c>
      <c r="I731" s="188" t="s">
        <v>2970</v>
      </c>
      <c r="J731" s="188" t="s">
        <v>2970</v>
      </c>
      <c r="K731" s="188">
        <v>181</v>
      </c>
    </row>
    <row r="732" spans="1:11" x14ac:dyDescent="0.25">
      <c r="D732" s="47">
        <v>729</v>
      </c>
      <c r="E732" s="188" t="s">
        <v>5311</v>
      </c>
      <c r="F732" s="188" t="s">
        <v>2970</v>
      </c>
      <c r="G732" s="188" t="s">
        <v>2970</v>
      </c>
      <c r="H732" s="188" t="s">
        <v>2970</v>
      </c>
      <c r="I732" s="188" t="s">
        <v>2970</v>
      </c>
      <c r="J732" s="188" t="s">
        <v>2970</v>
      </c>
      <c r="K732" s="188">
        <v>182</v>
      </c>
    </row>
    <row r="733" spans="1:11" x14ac:dyDescent="0.25">
      <c r="D733" s="47">
        <v>730</v>
      </c>
      <c r="E733" s="188" t="s">
        <v>5312</v>
      </c>
      <c r="F733" s="188" t="s">
        <v>2970</v>
      </c>
      <c r="G733" s="188" t="s">
        <v>2970</v>
      </c>
      <c r="H733" s="188" t="s">
        <v>2970</v>
      </c>
      <c r="I733" s="188" t="s">
        <v>2970</v>
      </c>
      <c r="J733" s="188" t="s">
        <v>2970</v>
      </c>
      <c r="K733" s="188">
        <v>183</v>
      </c>
    </row>
    <row r="734" spans="1:11" x14ac:dyDescent="0.25">
      <c r="D734" s="47">
        <v>731</v>
      </c>
      <c r="E734" s="188" t="s">
        <v>5313</v>
      </c>
      <c r="F734" s="188" t="s">
        <v>2970</v>
      </c>
      <c r="G734" s="188" t="s">
        <v>2970</v>
      </c>
      <c r="H734" s="188" t="s">
        <v>2970</v>
      </c>
      <c r="I734" s="188" t="s">
        <v>2970</v>
      </c>
      <c r="J734" s="188" t="s">
        <v>2970</v>
      </c>
      <c r="K734" s="188">
        <v>184</v>
      </c>
    </row>
    <row r="735" spans="1:11" x14ac:dyDescent="0.25">
      <c r="D735" s="47">
        <v>732</v>
      </c>
      <c r="E735" s="188" t="s">
        <v>5314</v>
      </c>
      <c r="F735" s="188" t="s">
        <v>2970</v>
      </c>
      <c r="G735" s="188" t="s">
        <v>2970</v>
      </c>
      <c r="H735" s="188" t="s">
        <v>2970</v>
      </c>
      <c r="I735" s="188" t="s">
        <v>2970</v>
      </c>
      <c r="J735" s="188" t="s">
        <v>2970</v>
      </c>
      <c r="K735" s="188">
        <v>185</v>
      </c>
    </row>
    <row r="736" spans="1:11" x14ac:dyDescent="0.25">
      <c r="D736" s="47">
        <v>733</v>
      </c>
      <c r="E736" s="188" t="s">
        <v>5315</v>
      </c>
      <c r="F736" s="188" t="s">
        <v>2970</v>
      </c>
      <c r="G736" s="188" t="s">
        <v>2970</v>
      </c>
      <c r="H736" s="188" t="s">
        <v>2970</v>
      </c>
      <c r="I736" s="188" t="s">
        <v>2970</v>
      </c>
      <c r="J736" s="188" t="s">
        <v>2970</v>
      </c>
      <c r="K736" s="188">
        <v>186</v>
      </c>
    </row>
    <row r="737" spans="4:11" x14ac:dyDescent="0.25">
      <c r="D737" s="47">
        <v>734</v>
      </c>
      <c r="E737" s="188" t="s">
        <v>5316</v>
      </c>
      <c r="F737" s="188" t="s">
        <v>2970</v>
      </c>
      <c r="G737" s="188" t="s">
        <v>2970</v>
      </c>
      <c r="H737" s="188" t="s">
        <v>2970</v>
      </c>
      <c r="I737" s="188" t="s">
        <v>2970</v>
      </c>
      <c r="J737" s="188" t="s">
        <v>2970</v>
      </c>
      <c r="K737" s="188">
        <v>187</v>
      </c>
    </row>
    <row r="738" spans="4:11" x14ac:dyDescent="0.25">
      <c r="D738" s="47">
        <v>735</v>
      </c>
      <c r="E738" s="188" t="s">
        <v>5317</v>
      </c>
      <c r="F738" s="188" t="s">
        <v>2970</v>
      </c>
      <c r="G738" s="188" t="s">
        <v>2970</v>
      </c>
      <c r="H738" s="188" t="s">
        <v>2970</v>
      </c>
      <c r="I738" s="188" t="s">
        <v>2970</v>
      </c>
      <c r="J738" s="188" t="s">
        <v>2970</v>
      </c>
      <c r="K738" s="188">
        <v>188</v>
      </c>
    </row>
    <row r="739" spans="4:11" x14ac:dyDescent="0.25">
      <c r="D739" s="47">
        <v>736</v>
      </c>
      <c r="E739" s="188" t="s">
        <v>5318</v>
      </c>
      <c r="F739" s="188" t="s">
        <v>2970</v>
      </c>
      <c r="G739" s="188" t="s">
        <v>2970</v>
      </c>
      <c r="H739" s="188" t="s">
        <v>2970</v>
      </c>
      <c r="I739" s="188" t="s">
        <v>2970</v>
      </c>
      <c r="J739" s="188" t="s">
        <v>2970</v>
      </c>
      <c r="K739" s="188">
        <v>189</v>
      </c>
    </row>
    <row r="740" spans="4:11" x14ac:dyDescent="0.25">
      <c r="D740" s="47">
        <v>737</v>
      </c>
      <c r="E740" s="188" t="s">
        <v>5319</v>
      </c>
      <c r="F740" s="188" t="s">
        <v>2970</v>
      </c>
      <c r="G740" s="188" t="s">
        <v>2970</v>
      </c>
      <c r="H740" s="188" t="s">
        <v>2970</v>
      </c>
      <c r="I740" s="188" t="s">
        <v>2970</v>
      </c>
      <c r="J740" s="188" t="s">
        <v>2970</v>
      </c>
      <c r="K740" s="188">
        <v>190</v>
      </c>
    </row>
    <row r="741" spans="4:11" x14ac:dyDescent="0.25">
      <c r="D741" s="47">
        <v>738</v>
      </c>
      <c r="E741" s="188" t="s">
        <v>5320</v>
      </c>
      <c r="F741" s="188" t="s">
        <v>2970</v>
      </c>
      <c r="G741" s="188" t="s">
        <v>2970</v>
      </c>
      <c r="H741" s="188" t="s">
        <v>2970</v>
      </c>
      <c r="I741" s="188" t="s">
        <v>2970</v>
      </c>
      <c r="J741" s="188" t="s">
        <v>2970</v>
      </c>
      <c r="K741" s="188">
        <v>191</v>
      </c>
    </row>
    <row r="742" spans="4:11" x14ac:dyDescent="0.25">
      <c r="D742" s="47">
        <v>739</v>
      </c>
      <c r="E742" s="188" t="s">
        <v>5321</v>
      </c>
      <c r="F742" s="188" t="s">
        <v>2970</v>
      </c>
      <c r="G742" s="188" t="s">
        <v>2970</v>
      </c>
      <c r="H742" s="188" t="s">
        <v>2970</v>
      </c>
      <c r="I742" s="188" t="s">
        <v>2970</v>
      </c>
      <c r="J742" s="188" t="s">
        <v>2970</v>
      </c>
      <c r="K742" s="188">
        <v>192</v>
      </c>
    </row>
    <row r="743" spans="4:11" x14ac:dyDescent="0.25">
      <c r="D743" s="47">
        <v>740</v>
      </c>
      <c r="E743" s="188" t="s">
        <v>5322</v>
      </c>
      <c r="F743" s="188" t="s">
        <v>2970</v>
      </c>
      <c r="G743" s="188" t="s">
        <v>2970</v>
      </c>
      <c r="H743" s="188" t="s">
        <v>2970</v>
      </c>
      <c r="I743" s="188" t="s">
        <v>2970</v>
      </c>
      <c r="J743" s="188" t="s">
        <v>2970</v>
      </c>
      <c r="K743" s="188">
        <v>193</v>
      </c>
    </row>
    <row r="744" spans="4:11" x14ac:dyDescent="0.25">
      <c r="D744" s="47">
        <v>741</v>
      </c>
      <c r="E744" s="188" t="s">
        <v>5323</v>
      </c>
      <c r="F744" s="188" t="s">
        <v>2970</v>
      </c>
      <c r="G744" s="188" t="s">
        <v>2970</v>
      </c>
      <c r="H744" s="188" t="s">
        <v>2970</v>
      </c>
      <c r="I744" s="188" t="s">
        <v>2970</v>
      </c>
      <c r="J744" s="188" t="s">
        <v>2970</v>
      </c>
      <c r="K744" s="188">
        <v>194</v>
      </c>
    </row>
    <row r="745" spans="4:11" x14ac:dyDescent="0.25">
      <c r="D745" s="47">
        <v>742</v>
      </c>
      <c r="E745" s="188" t="s">
        <v>5326</v>
      </c>
      <c r="F745" s="188" t="s">
        <v>2970</v>
      </c>
      <c r="G745" s="188" t="s">
        <v>2970</v>
      </c>
      <c r="H745" s="188" t="s">
        <v>2970</v>
      </c>
      <c r="I745" s="188" t="s">
        <v>2970</v>
      </c>
      <c r="J745" s="188" t="s">
        <v>2970</v>
      </c>
      <c r="K745" s="188">
        <v>195</v>
      </c>
    </row>
    <row r="746" spans="4:11" x14ac:dyDescent="0.25">
      <c r="D746" s="47">
        <v>743</v>
      </c>
      <c r="E746" s="188" t="s">
        <v>5327</v>
      </c>
      <c r="F746" s="188" t="s">
        <v>2970</v>
      </c>
      <c r="G746" s="188" t="s">
        <v>2970</v>
      </c>
      <c r="H746" s="188" t="s">
        <v>2970</v>
      </c>
      <c r="I746" s="188" t="s">
        <v>2970</v>
      </c>
      <c r="J746" s="188" t="s">
        <v>2970</v>
      </c>
      <c r="K746" s="188">
        <v>196</v>
      </c>
    </row>
    <row r="747" spans="4:11" x14ac:dyDescent="0.25">
      <c r="D747" s="47">
        <v>744</v>
      </c>
      <c r="E747" s="188" t="s">
        <v>5328</v>
      </c>
      <c r="F747" s="188" t="s">
        <v>2970</v>
      </c>
      <c r="G747" s="188" t="s">
        <v>2970</v>
      </c>
      <c r="H747" s="188" t="s">
        <v>2970</v>
      </c>
      <c r="I747" s="188" t="s">
        <v>2970</v>
      </c>
      <c r="J747" s="188" t="s">
        <v>2970</v>
      </c>
      <c r="K747" s="188">
        <v>197</v>
      </c>
    </row>
    <row r="748" spans="4:11" x14ac:dyDescent="0.25">
      <c r="D748" s="47">
        <v>745</v>
      </c>
      <c r="E748" s="188" t="s">
        <v>5329</v>
      </c>
      <c r="F748" s="188" t="s">
        <v>2970</v>
      </c>
      <c r="G748" s="188" t="s">
        <v>2970</v>
      </c>
      <c r="H748" s="188" t="s">
        <v>2970</v>
      </c>
      <c r="I748" s="188" t="s">
        <v>2970</v>
      </c>
      <c r="J748" s="188" t="s">
        <v>2970</v>
      </c>
      <c r="K748" s="188">
        <v>198</v>
      </c>
    </row>
    <row r="749" spans="4:11" x14ac:dyDescent="0.25">
      <c r="D749" s="47">
        <v>746</v>
      </c>
      <c r="E749" s="188" t="s">
        <v>2970</v>
      </c>
      <c r="F749" s="188" t="s">
        <v>2970</v>
      </c>
      <c r="G749" s="188" t="s">
        <v>2970</v>
      </c>
      <c r="H749" s="188" t="s">
        <v>2970</v>
      </c>
      <c r="I749" s="188" t="s">
        <v>2970</v>
      </c>
      <c r="J749" s="188" t="s">
        <v>2970</v>
      </c>
      <c r="K749" s="188">
        <v>199</v>
      </c>
    </row>
    <row r="750" spans="4:11" x14ac:dyDescent="0.25">
      <c r="D750" s="47">
        <v>747</v>
      </c>
      <c r="E750" s="188" t="s">
        <v>5330</v>
      </c>
      <c r="F750" s="188" t="s">
        <v>2970</v>
      </c>
      <c r="G750" s="188" t="s">
        <v>2970</v>
      </c>
      <c r="H750" s="188" t="s">
        <v>2970</v>
      </c>
      <c r="I750" s="188" t="s">
        <v>2970</v>
      </c>
      <c r="J750" s="188" t="s">
        <v>2970</v>
      </c>
      <c r="K750" s="188">
        <v>200</v>
      </c>
    </row>
    <row r="751" spans="4:11" x14ac:dyDescent="0.25">
      <c r="D751" s="47">
        <v>748</v>
      </c>
      <c r="E751" s="188" t="s">
        <v>5330</v>
      </c>
      <c r="F751" s="188" t="s">
        <v>2970</v>
      </c>
      <c r="G751" s="188" t="s">
        <v>2970</v>
      </c>
      <c r="H751" s="188" t="s">
        <v>2970</v>
      </c>
      <c r="I751" s="188" t="s">
        <v>2970</v>
      </c>
      <c r="J751" s="188" t="s">
        <v>2970</v>
      </c>
      <c r="K751" s="188">
        <v>201</v>
      </c>
    </row>
    <row r="752" spans="4:11" x14ac:dyDescent="0.25">
      <c r="D752" s="47">
        <v>749</v>
      </c>
      <c r="E752" s="188" t="s">
        <v>3849</v>
      </c>
      <c r="F752" s="188" t="s">
        <v>2970</v>
      </c>
      <c r="G752" s="188" t="s">
        <v>2970</v>
      </c>
      <c r="H752" s="188" t="s">
        <v>2970</v>
      </c>
      <c r="I752" s="188" t="s">
        <v>2970</v>
      </c>
      <c r="J752" s="188" t="s">
        <v>2970</v>
      </c>
      <c r="K752" s="188" t="s">
        <v>2970</v>
      </c>
    </row>
    <row r="753" spans="4:11" x14ac:dyDescent="0.25">
      <c r="D753" s="47">
        <v>750</v>
      </c>
      <c r="E753" s="188" t="s">
        <v>5324</v>
      </c>
      <c r="F753" s="188" t="s">
        <v>3838</v>
      </c>
      <c r="G753" s="188" t="s">
        <v>2970</v>
      </c>
      <c r="H753" s="188" t="s">
        <v>2970</v>
      </c>
      <c r="I753" s="188" t="s">
        <v>2970</v>
      </c>
      <c r="J753" s="188" t="s">
        <v>2970</v>
      </c>
      <c r="K753" s="188" t="s">
        <v>2970</v>
      </c>
    </row>
    <row r="754" spans="4:11" x14ac:dyDescent="0.25">
      <c r="D754" s="47">
        <v>751</v>
      </c>
      <c r="E754" s="188" t="s">
        <v>3850</v>
      </c>
      <c r="F754" s="188" t="s">
        <v>2970</v>
      </c>
      <c r="G754" s="188" t="s">
        <v>2970</v>
      </c>
      <c r="H754" s="188" t="s">
        <v>2970</v>
      </c>
      <c r="I754" s="188" t="s">
        <v>2970</v>
      </c>
      <c r="J754" s="188" t="s">
        <v>2970</v>
      </c>
      <c r="K754" s="188" t="s">
        <v>2970</v>
      </c>
    </row>
    <row r="755" spans="4:11" x14ac:dyDescent="0.25">
      <c r="D755" s="47">
        <v>752</v>
      </c>
      <c r="E755" s="188" t="s">
        <v>5325</v>
      </c>
      <c r="F755" s="188" t="s">
        <v>3838</v>
      </c>
      <c r="G755" s="188" t="s">
        <v>2970</v>
      </c>
      <c r="H755" s="188" t="s">
        <v>2970</v>
      </c>
      <c r="I755" s="188" t="s">
        <v>2970</v>
      </c>
      <c r="J755" s="188" t="s">
        <v>2970</v>
      </c>
      <c r="K755" s="188" t="s">
        <v>2970</v>
      </c>
    </row>
    <row r="756" spans="4:11" x14ac:dyDescent="0.25">
      <c r="D756" s="47">
        <v>753</v>
      </c>
      <c r="E756" s="188" t="s">
        <v>2970</v>
      </c>
      <c r="F756" s="188" t="s">
        <v>2970</v>
      </c>
      <c r="G756" s="188" t="s">
        <v>2970</v>
      </c>
      <c r="H756" s="188" t="s">
        <v>2970</v>
      </c>
      <c r="I756" s="188" t="s">
        <v>2970</v>
      </c>
      <c r="J756" s="188" t="s">
        <v>2970</v>
      </c>
      <c r="K756" s="188">
        <v>202</v>
      </c>
    </row>
    <row r="757" spans="4:11" x14ac:dyDescent="0.25">
      <c r="D757" s="47">
        <v>754</v>
      </c>
      <c r="E757" s="188" t="s">
        <v>2970</v>
      </c>
      <c r="F757" s="188" t="s">
        <v>2970</v>
      </c>
      <c r="G757" s="188" t="s">
        <v>2970</v>
      </c>
      <c r="H757" s="188" t="s">
        <v>2970</v>
      </c>
      <c r="I757" s="188" t="s">
        <v>2970</v>
      </c>
      <c r="J757" s="188" t="s">
        <v>2970</v>
      </c>
      <c r="K757" s="188">
        <v>203</v>
      </c>
    </row>
    <row r="758" spans="4:11" x14ac:dyDescent="0.25">
      <c r="D758" s="47">
        <v>755</v>
      </c>
      <c r="E758" s="188" t="s">
        <v>2970</v>
      </c>
      <c r="F758" s="188" t="s">
        <v>2970</v>
      </c>
      <c r="G758" s="188" t="s">
        <v>2970</v>
      </c>
      <c r="H758" s="188" t="s">
        <v>2970</v>
      </c>
      <c r="I758" s="188" t="s">
        <v>2970</v>
      </c>
      <c r="J758" s="188" t="s">
        <v>2970</v>
      </c>
      <c r="K758" s="188">
        <v>204</v>
      </c>
    </row>
    <row r="759" spans="4:11" x14ac:dyDescent="0.25">
      <c r="D759" s="47">
        <v>756</v>
      </c>
      <c r="E759" s="188" t="s">
        <v>2970</v>
      </c>
      <c r="F759" s="188" t="s">
        <v>2970</v>
      </c>
      <c r="G759" s="188" t="s">
        <v>2970</v>
      </c>
      <c r="H759" s="188" t="s">
        <v>2970</v>
      </c>
      <c r="I759" s="188" t="s">
        <v>2970</v>
      </c>
      <c r="J759" s="188" t="s">
        <v>2970</v>
      </c>
      <c r="K759" s="188">
        <v>205</v>
      </c>
    </row>
    <row r="760" spans="4:11" x14ac:dyDescent="0.25">
      <c r="D760" s="47">
        <v>757</v>
      </c>
      <c r="E760" s="188" t="s">
        <v>2970</v>
      </c>
      <c r="F760" s="188" t="s">
        <v>2970</v>
      </c>
      <c r="G760" s="188" t="s">
        <v>2970</v>
      </c>
      <c r="H760" s="188" t="s">
        <v>2970</v>
      </c>
      <c r="I760" s="188" t="s">
        <v>2970</v>
      </c>
      <c r="J760" s="188" t="s">
        <v>2970</v>
      </c>
      <c r="K760" s="188">
        <v>206</v>
      </c>
    </row>
    <row r="761" spans="4:11" x14ac:dyDescent="0.25">
      <c r="D761" s="47">
        <v>758</v>
      </c>
      <c r="E761" s="188" t="s">
        <v>2970</v>
      </c>
      <c r="F761" s="188" t="s">
        <v>2970</v>
      </c>
      <c r="G761" s="188" t="s">
        <v>2970</v>
      </c>
      <c r="H761" s="188" t="s">
        <v>2970</v>
      </c>
      <c r="I761" s="188" t="s">
        <v>2970</v>
      </c>
      <c r="J761" s="188" t="s">
        <v>2970</v>
      </c>
      <c r="K761" s="188">
        <v>207</v>
      </c>
    </row>
    <row r="762" spans="4:11" x14ac:dyDescent="0.25">
      <c r="D762" s="47">
        <v>759</v>
      </c>
      <c r="E762" s="188" t="s">
        <v>2970</v>
      </c>
      <c r="F762" s="188" t="s">
        <v>2970</v>
      </c>
      <c r="G762" s="188" t="s">
        <v>2970</v>
      </c>
      <c r="H762" s="188" t="s">
        <v>2970</v>
      </c>
      <c r="I762" s="188" t="s">
        <v>2970</v>
      </c>
      <c r="J762" s="188" t="s">
        <v>2970</v>
      </c>
      <c r="K762" s="188">
        <v>208</v>
      </c>
    </row>
    <row r="763" spans="4:11" x14ac:dyDescent="0.25">
      <c r="D763" s="47">
        <v>760</v>
      </c>
      <c r="E763" s="188" t="s">
        <v>2970</v>
      </c>
      <c r="F763" s="188" t="s">
        <v>2970</v>
      </c>
      <c r="G763" s="188" t="s">
        <v>2970</v>
      </c>
      <c r="H763" s="188" t="s">
        <v>2970</v>
      </c>
      <c r="I763" s="188" t="s">
        <v>2970</v>
      </c>
      <c r="J763" s="188" t="s">
        <v>2970</v>
      </c>
      <c r="K763" s="188">
        <v>209</v>
      </c>
    </row>
    <row r="764" spans="4:11" x14ac:dyDescent="0.25">
      <c r="D764" s="47">
        <v>761</v>
      </c>
      <c r="E764" s="188" t="s">
        <v>2970</v>
      </c>
      <c r="F764" s="188" t="s">
        <v>2970</v>
      </c>
      <c r="G764" s="188" t="s">
        <v>2970</v>
      </c>
      <c r="H764" s="188" t="s">
        <v>2970</v>
      </c>
      <c r="I764" s="188" t="s">
        <v>2970</v>
      </c>
      <c r="J764" s="188" t="s">
        <v>2970</v>
      </c>
      <c r="K764" s="188">
        <v>210</v>
      </c>
    </row>
    <row r="765" spans="4:11" x14ac:dyDescent="0.25">
      <c r="D765" s="47">
        <v>762</v>
      </c>
      <c r="E765" s="188" t="s">
        <v>2970</v>
      </c>
      <c r="F765" s="188" t="s">
        <v>2970</v>
      </c>
      <c r="G765" s="188" t="s">
        <v>2970</v>
      </c>
      <c r="H765" s="188" t="s">
        <v>2970</v>
      </c>
      <c r="I765" s="188" t="s">
        <v>2970</v>
      </c>
      <c r="J765" s="188" t="s">
        <v>2970</v>
      </c>
      <c r="K765" s="188">
        <v>211</v>
      </c>
    </row>
    <row r="766" spans="4:11" x14ac:dyDescent="0.25">
      <c r="D766" s="47">
        <v>763</v>
      </c>
      <c r="E766" s="188" t="s">
        <v>2970</v>
      </c>
      <c r="F766" s="188" t="s">
        <v>2970</v>
      </c>
      <c r="G766" s="188" t="s">
        <v>2970</v>
      </c>
      <c r="H766" s="188" t="s">
        <v>2970</v>
      </c>
      <c r="I766" s="188" t="s">
        <v>2970</v>
      </c>
      <c r="J766" s="188" t="s">
        <v>2970</v>
      </c>
      <c r="K766" s="188">
        <v>212</v>
      </c>
    </row>
    <row r="767" spans="4:11" x14ac:dyDescent="0.25">
      <c r="D767" s="47">
        <v>764</v>
      </c>
      <c r="E767" s="188" t="s">
        <v>2970</v>
      </c>
      <c r="F767" s="188" t="s">
        <v>2970</v>
      </c>
      <c r="G767" s="188" t="s">
        <v>2970</v>
      </c>
      <c r="H767" s="188" t="s">
        <v>2970</v>
      </c>
      <c r="I767" s="188" t="s">
        <v>2970</v>
      </c>
      <c r="J767" s="188" t="s">
        <v>2970</v>
      </c>
      <c r="K767" s="188">
        <v>213</v>
      </c>
    </row>
    <row r="768" spans="4:11" x14ac:dyDescent="0.25">
      <c r="D768" s="47">
        <v>765</v>
      </c>
      <c r="E768" s="188" t="s">
        <v>2970</v>
      </c>
      <c r="F768" s="188" t="s">
        <v>2970</v>
      </c>
      <c r="G768" s="188" t="s">
        <v>2970</v>
      </c>
      <c r="H768" s="188" t="s">
        <v>2970</v>
      </c>
      <c r="I768" s="188" t="s">
        <v>2970</v>
      </c>
      <c r="J768" s="188" t="s">
        <v>2970</v>
      </c>
      <c r="K768" s="188">
        <v>214</v>
      </c>
    </row>
    <row r="769" spans="4:11" x14ac:dyDescent="0.25">
      <c r="D769" s="47">
        <v>766</v>
      </c>
      <c r="E769" s="188" t="s">
        <v>2970</v>
      </c>
      <c r="F769" s="188" t="s">
        <v>2970</v>
      </c>
      <c r="G769" s="188" t="s">
        <v>2970</v>
      </c>
      <c r="H769" s="188" t="s">
        <v>2970</v>
      </c>
      <c r="I769" s="188" t="s">
        <v>2970</v>
      </c>
      <c r="J769" s="188" t="s">
        <v>2970</v>
      </c>
      <c r="K769" s="188">
        <v>215</v>
      </c>
    </row>
    <row r="770" spans="4:11" x14ac:dyDescent="0.25">
      <c r="D770" s="47">
        <v>767</v>
      </c>
      <c r="E770" s="188" t="s">
        <v>2970</v>
      </c>
      <c r="F770" s="188" t="s">
        <v>2970</v>
      </c>
      <c r="G770" s="188" t="s">
        <v>2970</v>
      </c>
      <c r="H770" s="188" t="s">
        <v>2970</v>
      </c>
      <c r="I770" s="188" t="s">
        <v>2970</v>
      </c>
      <c r="J770" s="188" t="s">
        <v>2970</v>
      </c>
      <c r="K770" s="188">
        <v>216</v>
      </c>
    </row>
    <row r="771" spans="4:11" x14ac:dyDescent="0.25">
      <c r="D771" s="47">
        <v>768</v>
      </c>
      <c r="E771" s="188" t="s">
        <v>2970</v>
      </c>
      <c r="F771" s="188" t="s">
        <v>2970</v>
      </c>
      <c r="G771" s="188" t="s">
        <v>2970</v>
      </c>
      <c r="H771" s="188" t="s">
        <v>2970</v>
      </c>
      <c r="I771" s="188" t="s">
        <v>2970</v>
      </c>
      <c r="J771" s="188" t="s">
        <v>2970</v>
      </c>
      <c r="K771" s="188">
        <v>217</v>
      </c>
    </row>
    <row r="772" spans="4:11" x14ac:dyDescent="0.25">
      <c r="D772" s="47">
        <v>769</v>
      </c>
      <c r="E772" s="188" t="s">
        <v>2970</v>
      </c>
      <c r="F772" s="188" t="s">
        <v>2970</v>
      </c>
      <c r="G772" s="188" t="s">
        <v>2970</v>
      </c>
      <c r="H772" s="188" t="s">
        <v>2970</v>
      </c>
      <c r="I772" s="188" t="s">
        <v>2970</v>
      </c>
      <c r="J772" s="188" t="s">
        <v>2970</v>
      </c>
      <c r="K772" s="188">
        <v>218</v>
      </c>
    </row>
    <row r="773" spans="4:11" x14ac:dyDescent="0.25">
      <c r="D773" s="47">
        <v>770</v>
      </c>
      <c r="E773" s="188" t="s">
        <v>2970</v>
      </c>
      <c r="F773" s="188" t="s">
        <v>2970</v>
      </c>
      <c r="G773" s="188" t="s">
        <v>2970</v>
      </c>
      <c r="H773" s="188" t="s">
        <v>2970</v>
      </c>
      <c r="I773" s="188" t="s">
        <v>2970</v>
      </c>
      <c r="J773" s="188" t="s">
        <v>2970</v>
      </c>
      <c r="K773" s="188">
        <v>219</v>
      </c>
    </row>
    <row r="774" spans="4:11" x14ac:dyDescent="0.25">
      <c r="D774" s="47">
        <v>771</v>
      </c>
      <c r="E774" s="188" t="s">
        <v>2970</v>
      </c>
      <c r="F774" s="188" t="s">
        <v>2970</v>
      </c>
      <c r="G774" s="188" t="s">
        <v>2970</v>
      </c>
      <c r="H774" s="188" t="s">
        <v>2970</v>
      </c>
      <c r="I774" s="188" t="s">
        <v>2970</v>
      </c>
      <c r="J774" s="188" t="s">
        <v>2970</v>
      </c>
      <c r="K774" s="188">
        <v>220</v>
      </c>
    </row>
    <row r="775" spans="4:11" x14ac:dyDescent="0.25">
      <c r="D775" s="47">
        <v>772</v>
      </c>
      <c r="E775" s="188" t="s">
        <v>2970</v>
      </c>
      <c r="F775" s="188" t="s">
        <v>2970</v>
      </c>
      <c r="G775" s="188" t="s">
        <v>2970</v>
      </c>
      <c r="H775" s="188" t="s">
        <v>2970</v>
      </c>
      <c r="I775" s="188" t="s">
        <v>2970</v>
      </c>
      <c r="J775" s="188" t="s">
        <v>2970</v>
      </c>
      <c r="K775" s="188">
        <v>221</v>
      </c>
    </row>
    <row r="776" spans="4:11" x14ac:dyDescent="0.25">
      <c r="D776" s="47">
        <v>773</v>
      </c>
      <c r="E776" s="188" t="s">
        <v>2970</v>
      </c>
      <c r="F776" s="188" t="s">
        <v>2970</v>
      </c>
      <c r="G776" s="188" t="s">
        <v>2970</v>
      </c>
      <c r="H776" s="188" t="s">
        <v>2970</v>
      </c>
      <c r="I776" s="188" t="s">
        <v>2970</v>
      </c>
      <c r="J776" s="188" t="s">
        <v>2970</v>
      </c>
      <c r="K776" s="188">
        <v>222</v>
      </c>
    </row>
    <row r="777" spans="4:11" x14ac:dyDescent="0.25">
      <c r="D777" s="47">
        <v>774</v>
      </c>
      <c r="E777" s="188" t="s">
        <v>2970</v>
      </c>
      <c r="F777" s="188" t="s">
        <v>2970</v>
      </c>
      <c r="G777" s="188" t="s">
        <v>2970</v>
      </c>
      <c r="H777" s="188" t="s">
        <v>2970</v>
      </c>
      <c r="I777" s="188" t="s">
        <v>2970</v>
      </c>
      <c r="J777" s="188" t="s">
        <v>2970</v>
      </c>
      <c r="K777" s="188">
        <v>223</v>
      </c>
    </row>
    <row r="778" spans="4:11" x14ac:dyDescent="0.25">
      <c r="D778" s="47">
        <v>775</v>
      </c>
      <c r="E778" s="188" t="s">
        <v>2970</v>
      </c>
      <c r="F778" s="188" t="s">
        <v>2970</v>
      </c>
      <c r="G778" s="188" t="s">
        <v>2970</v>
      </c>
      <c r="H778" s="188" t="s">
        <v>2970</v>
      </c>
      <c r="I778" s="188" t="s">
        <v>2970</v>
      </c>
      <c r="J778" s="188" t="s">
        <v>2970</v>
      </c>
      <c r="K778" s="188">
        <v>224</v>
      </c>
    </row>
    <row r="779" spans="4:11" x14ac:dyDescent="0.25">
      <c r="D779" s="47">
        <v>776</v>
      </c>
      <c r="E779" s="188" t="s">
        <v>2970</v>
      </c>
      <c r="F779" s="188" t="s">
        <v>2970</v>
      </c>
      <c r="G779" s="188" t="s">
        <v>2970</v>
      </c>
      <c r="H779" s="188" t="s">
        <v>2970</v>
      </c>
      <c r="I779" s="188" t="s">
        <v>2970</v>
      </c>
      <c r="J779" s="188" t="s">
        <v>2970</v>
      </c>
      <c r="K779" s="188">
        <v>225</v>
      </c>
    </row>
    <row r="780" spans="4:11" x14ac:dyDescent="0.25">
      <c r="D780" s="47">
        <v>777</v>
      </c>
      <c r="E780" s="188" t="s">
        <v>2970</v>
      </c>
      <c r="F780" s="188" t="s">
        <v>2970</v>
      </c>
      <c r="G780" s="188" t="s">
        <v>2970</v>
      </c>
      <c r="H780" s="188" t="s">
        <v>2970</v>
      </c>
      <c r="I780" s="188" t="s">
        <v>2970</v>
      </c>
      <c r="J780" s="188" t="s">
        <v>2970</v>
      </c>
      <c r="K780" s="188">
        <v>226</v>
      </c>
    </row>
    <row r="781" spans="4:11" x14ac:dyDescent="0.25">
      <c r="D781" s="47">
        <v>778</v>
      </c>
      <c r="E781" s="188" t="s">
        <v>5334</v>
      </c>
      <c r="F781" s="188" t="s">
        <v>2970</v>
      </c>
      <c r="G781" s="188" t="s">
        <v>2970</v>
      </c>
      <c r="H781" s="188" t="s">
        <v>2970</v>
      </c>
      <c r="I781" s="188" t="s">
        <v>2970</v>
      </c>
      <c r="J781" s="188" t="s">
        <v>2970</v>
      </c>
      <c r="K781" s="188">
        <v>227</v>
      </c>
    </row>
    <row r="782" spans="4:11" x14ac:dyDescent="0.25">
      <c r="D782" s="47">
        <v>779</v>
      </c>
      <c r="E782" s="188" t="s">
        <v>5333</v>
      </c>
      <c r="F782" s="188" t="s">
        <v>2970</v>
      </c>
      <c r="G782" s="188" t="s">
        <v>2970</v>
      </c>
      <c r="H782" s="188" t="s">
        <v>2970</v>
      </c>
      <c r="I782" s="188" t="s">
        <v>2970</v>
      </c>
      <c r="J782" s="188" t="s">
        <v>2970</v>
      </c>
      <c r="K782" s="188">
        <v>228</v>
      </c>
    </row>
    <row r="783" spans="4:11" x14ac:dyDescent="0.25">
      <c r="D783" s="47">
        <v>780</v>
      </c>
      <c r="E783" s="188" t="s">
        <v>5331</v>
      </c>
      <c r="F783" s="188" t="s">
        <v>2970</v>
      </c>
      <c r="G783" s="188" t="s">
        <v>2970</v>
      </c>
      <c r="H783" s="188" t="s">
        <v>2970</v>
      </c>
      <c r="I783" s="188" t="s">
        <v>2970</v>
      </c>
      <c r="J783" s="188" t="s">
        <v>2970</v>
      </c>
      <c r="K783" s="188">
        <v>229</v>
      </c>
    </row>
    <row r="784" spans="4:11" x14ac:dyDescent="0.25">
      <c r="D784" s="47">
        <v>781</v>
      </c>
      <c r="E784" s="188" t="s">
        <v>5332</v>
      </c>
      <c r="F784" s="188" t="s">
        <v>2970</v>
      </c>
      <c r="G784" s="188" t="s">
        <v>2970</v>
      </c>
      <c r="H784" s="188" t="s">
        <v>2970</v>
      </c>
      <c r="I784" s="188" t="s">
        <v>2970</v>
      </c>
      <c r="J784" s="188" t="s">
        <v>2970</v>
      </c>
      <c r="K784" s="188" t="s">
        <v>2970</v>
      </c>
    </row>
    <row r="785" spans="4:11" x14ac:dyDescent="0.25">
      <c r="D785" s="47">
        <v>782</v>
      </c>
      <c r="E785" s="188" t="s">
        <v>5335</v>
      </c>
      <c r="F785" s="188" t="s">
        <v>2970</v>
      </c>
      <c r="G785" s="188" t="s">
        <v>2970</v>
      </c>
      <c r="H785" s="188" t="s">
        <v>2970</v>
      </c>
      <c r="I785" s="188" t="s">
        <v>2970</v>
      </c>
      <c r="J785" s="188" t="s">
        <v>2970</v>
      </c>
      <c r="K785" s="188" t="s">
        <v>2970</v>
      </c>
    </row>
    <row r="786" spans="4:11" x14ac:dyDescent="0.25">
      <c r="D786" s="47">
        <v>783</v>
      </c>
      <c r="E786" s="188" t="s">
        <v>2970</v>
      </c>
      <c r="F786" s="188" t="s">
        <v>2970</v>
      </c>
      <c r="G786" s="188" t="s">
        <v>2970</v>
      </c>
      <c r="H786" s="188" t="s">
        <v>2970</v>
      </c>
      <c r="I786" s="188" t="s">
        <v>2970</v>
      </c>
      <c r="J786" s="188" t="s">
        <v>2970</v>
      </c>
      <c r="K786" s="188">
        <v>230</v>
      </c>
    </row>
    <row r="787" spans="4:11" x14ac:dyDescent="0.25">
      <c r="D787" s="47">
        <v>784</v>
      </c>
      <c r="E787" s="188" t="s">
        <v>5336</v>
      </c>
      <c r="F787" s="188" t="s">
        <v>3849</v>
      </c>
      <c r="G787" s="188" t="s">
        <v>2970</v>
      </c>
      <c r="H787" s="188" t="s">
        <v>2970</v>
      </c>
      <c r="I787" s="188" t="s">
        <v>2970</v>
      </c>
      <c r="J787" s="188" t="s">
        <v>2970</v>
      </c>
      <c r="K787" s="188">
        <v>231</v>
      </c>
    </row>
    <row r="788" spans="4:11" x14ac:dyDescent="0.25">
      <c r="D788" s="47">
        <v>785</v>
      </c>
      <c r="E788" s="188" t="s">
        <v>2970</v>
      </c>
      <c r="F788" s="188" t="s">
        <v>2970</v>
      </c>
      <c r="G788" s="188" t="s">
        <v>2970</v>
      </c>
      <c r="H788" s="188" t="s">
        <v>2970</v>
      </c>
      <c r="I788" s="188" t="s">
        <v>2970</v>
      </c>
      <c r="J788" s="188" t="s">
        <v>2970</v>
      </c>
      <c r="K788" s="188">
        <v>233</v>
      </c>
    </row>
    <row r="789" spans="4:11" x14ac:dyDescent="0.25">
      <c r="D789" s="47">
        <v>786</v>
      </c>
      <c r="E789" s="188" t="s">
        <v>5336</v>
      </c>
      <c r="F789" s="188" t="s">
        <v>3849</v>
      </c>
      <c r="G789" s="188" t="s">
        <v>3838</v>
      </c>
      <c r="H789" s="188" t="s">
        <v>2970</v>
      </c>
      <c r="I789" s="188" t="s">
        <v>2970</v>
      </c>
      <c r="J789" s="188" t="s">
        <v>2970</v>
      </c>
      <c r="K789" s="188">
        <v>234</v>
      </c>
    </row>
    <row r="790" spans="4:11" x14ac:dyDescent="0.25">
      <c r="D790" s="47">
        <v>787</v>
      </c>
      <c r="E790" s="188" t="s">
        <v>5336</v>
      </c>
      <c r="F790" s="188" t="s">
        <v>3849</v>
      </c>
      <c r="G790" s="188" t="s">
        <v>4967</v>
      </c>
      <c r="H790" s="188" t="s">
        <v>2970</v>
      </c>
      <c r="I790" s="188" t="s">
        <v>2970</v>
      </c>
      <c r="J790" s="188" t="s">
        <v>2970</v>
      </c>
      <c r="K790" s="188">
        <v>235</v>
      </c>
    </row>
    <row r="791" spans="4:11" x14ac:dyDescent="0.25">
      <c r="D791" s="47">
        <v>788</v>
      </c>
      <c r="E791" s="188" t="s">
        <v>5336</v>
      </c>
      <c r="F791" s="188" t="s">
        <v>3849</v>
      </c>
      <c r="G791" s="188" t="s">
        <v>4970</v>
      </c>
      <c r="H791" s="188" t="s">
        <v>2970</v>
      </c>
      <c r="I791" s="188" t="s">
        <v>2970</v>
      </c>
      <c r="J791" s="188" t="s">
        <v>2970</v>
      </c>
      <c r="K791" s="188">
        <v>236</v>
      </c>
    </row>
    <row r="792" spans="4:11" x14ac:dyDescent="0.25">
      <c r="D792" s="47">
        <v>789</v>
      </c>
      <c r="E792" s="188" t="s">
        <v>5336</v>
      </c>
      <c r="F792" s="188" t="s">
        <v>3849</v>
      </c>
      <c r="G792" s="188" t="s">
        <v>4971</v>
      </c>
      <c r="H792" s="188" t="s">
        <v>2970</v>
      </c>
      <c r="I792" s="188" t="s">
        <v>2970</v>
      </c>
      <c r="J792" s="188" t="s">
        <v>2970</v>
      </c>
      <c r="K792" s="188">
        <v>237</v>
      </c>
    </row>
    <row r="793" spans="4:11" x14ac:dyDescent="0.25">
      <c r="D793" s="47">
        <v>790</v>
      </c>
      <c r="E793" s="188" t="s">
        <v>5336</v>
      </c>
      <c r="F793" s="188" t="s">
        <v>3849</v>
      </c>
      <c r="G793" s="188" t="s">
        <v>4969</v>
      </c>
      <c r="H793" s="188" t="s">
        <v>2970</v>
      </c>
      <c r="I793" s="188" t="s">
        <v>2970</v>
      </c>
      <c r="J793" s="188" t="s">
        <v>2970</v>
      </c>
      <c r="K793" s="188">
        <v>238</v>
      </c>
    </row>
    <row r="794" spans="4:11" x14ac:dyDescent="0.25">
      <c r="D794" s="47">
        <v>791</v>
      </c>
      <c r="E794" s="188" t="s">
        <v>2970</v>
      </c>
      <c r="F794" s="188" t="s">
        <v>2970</v>
      </c>
      <c r="G794" s="188" t="s">
        <v>2970</v>
      </c>
      <c r="H794" s="188" t="s">
        <v>2970</v>
      </c>
      <c r="I794" s="188" t="s">
        <v>2970</v>
      </c>
      <c r="J794" s="188" t="s">
        <v>2970</v>
      </c>
      <c r="K794" s="188">
        <v>239</v>
      </c>
    </row>
    <row r="795" spans="4:11" x14ac:dyDescent="0.25">
      <c r="D795" s="47">
        <v>792</v>
      </c>
      <c r="E795" s="188" t="s">
        <v>5338</v>
      </c>
      <c r="F795" s="188" t="s">
        <v>3850</v>
      </c>
      <c r="G795" s="188" t="s">
        <v>2970</v>
      </c>
      <c r="H795" s="188" t="s">
        <v>2970</v>
      </c>
      <c r="I795" s="188" t="s">
        <v>2970</v>
      </c>
      <c r="J795" s="188" t="s">
        <v>2970</v>
      </c>
      <c r="K795" s="188">
        <v>240</v>
      </c>
    </row>
    <row r="796" spans="4:11" x14ac:dyDescent="0.25">
      <c r="D796" s="47">
        <v>793</v>
      </c>
      <c r="E796" s="188" t="s">
        <v>2970</v>
      </c>
      <c r="F796" s="188" t="s">
        <v>2970</v>
      </c>
      <c r="G796" s="188" t="s">
        <v>2970</v>
      </c>
      <c r="H796" s="188" t="s">
        <v>2970</v>
      </c>
      <c r="I796" s="188" t="s">
        <v>2970</v>
      </c>
      <c r="J796" s="188" t="s">
        <v>2970</v>
      </c>
      <c r="K796" s="188">
        <v>241</v>
      </c>
    </row>
    <row r="797" spans="4:11" x14ac:dyDescent="0.25">
      <c r="D797" s="47">
        <v>794</v>
      </c>
      <c r="E797" s="188" t="s">
        <v>5338</v>
      </c>
      <c r="F797" s="188" t="s">
        <v>3850</v>
      </c>
      <c r="G797" s="188" t="s">
        <v>3838</v>
      </c>
      <c r="H797" s="188" t="s">
        <v>2970</v>
      </c>
      <c r="I797" s="188" t="s">
        <v>2970</v>
      </c>
      <c r="J797" s="188" t="s">
        <v>2970</v>
      </c>
      <c r="K797" s="188">
        <v>242</v>
      </c>
    </row>
    <row r="798" spans="4:11" x14ac:dyDescent="0.25">
      <c r="D798" s="47">
        <v>795</v>
      </c>
      <c r="E798" s="188" t="s">
        <v>5338</v>
      </c>
      <c r="F798" s="188" t="s">
        <v>3850</v>
      </c>
      <c r="G798" s="188" t="s">
        <v>4967</v>
      </c>
      <c r="H798" s="188" t="s">
        <v>2970</v>
      </c>
      <c r="I798" s="188" t="s">
        <v>2970</v>
      </c>
      <c r="J798" s="188" t="s">
        <v>2970</v>
      </c>
      <c r="K798" s="188">
        <v>243</v>
      </c>
    </row>
    <row r="799" spans="4:11" x14ac:dyDescent="0.25">
      <c r="D799" s="47">
        <v>796</v>
      </c>
      <c r="E799" s="188" t="s">
        <v>5338</v>
      </c>
      <c r="F799" s="188" t="s">
        <v>3850</v>
      </c>
      <c r="G799" s="188" t="s">
        <v>4970</v>
      </c>
      <c r="H799" s="188" t="s">
        <v>2970</v>
      </c>
      <c r="I799" s="188" t="s">
        <v>2970</v>
      </c>
      <c r="J799" s="188" t="s">
        <v>2970</v>
      </c>
      <c r="K799" s="188">
        <v>244</v>
      </c>
    </row>
    <row r="800" spans="4:11" x14ac:dyDescent="0.25">
      <c r="D800" s="47">
        <v>797</v>
      </c>
      <c r="E800" s="188" t="s">
        <v>5338</v>
      </c>
      <c r="F800" s="188" t="s">
        <v>3850</v>
      </c>
      <c r="G800" s="188" t="s">
        <v>4971</v>
      </c>
      <c r="H800" s="188" t="s">
        <v>2970</v>
      </c>
      <c r="I800" s="188" t="s">
        <v>2970</v>
      </c>
      <c r="J800" s="188" t="s">
        <v>2970</v>
      </c>
      <c r="K800" s="188">
        <v>245</v>
      </c>
    </row>
    <row r="801" spans="4:11" x14ac:dyDescent="0.25">
      <c r="D801" s="47">
        <v>798</v>
      </c>
      <c r="E801" s="188" t="s">
        <v>5338</v>
      </c>
      <c r="F801" s="188" t="s">
        <v>3850</v>
      </c>
      <c r="G801" s="188" t="s">
        <v>4969</v>
      </c>
      <c r="H801" s="188" t="s">
        <v>2970</v>
      </c>
      <c r="I801" s="188" t="s">
        <v>2970</v>
      </c>
      <c r="J801" s="188" t="s">
        <v>2970</v>
      </c>
      <c r="K801" s="188">
        <v>246</v>
      </c>
    </row>
    <row r="802" spans="4:11" x14ac:dyDescent="0.25">
      <c r="D802" s="47">
        <v>799</v>
      </c>
      <c r="E802" s="188" t="s">
        <v>5337</v>
      </c>
      <c r="F802" s="188" t="s">
        <v>2970</v>
      </c>
      <c r="G802" s="188" t="s">
        <v>2970</v>
      </c>
      <c r="H802" s="188" t="s">
        <v>2970</v>
      </c>
      <c r="I802" s="188" t="s">
        <v>2970</v>
      </c>
      <c r="J802" s="188" t="s">
        <v>2970</v>
      </c>
      <c r="K802" s="188">
        <v>232</v>
      </c>
    </row>
    <row r="803" spans="4:11" x14ac:dyDescent="0.25">
      <c r="D803" s="47">
        <v>800</v>
      </c>
      <c r="E803" s="188" t="s">
        <v>2970</v>
      </c>
      <c r="F803" s="188" t="s">
        <v>2970</v>
      </c>
      <c r="G803" s="188" t="s">
        <v>2970</v>
      </c>
      <c r="H803" s="188" t="s">
        <v>2970</v>
      </c>
      <c r="I803" s="188" t="s">
        <v>2970</v>
      </c>
      <c r="J803" s="188" t="s">
        <v>2970</v>
      </c>
      <c r="K803" s="188">
        <v>247</v>
      </c>
    </row>
    <row r="804" spans="4:11" x14ac:dyDescent="0.25">
      <c r="D804" s="47">
        <v>801</v>
      </c>
      <c r="E804" s="188" t="s">
        <v>5339</v>
      </c>
      <c r="F804" s="188" t="s">
        <v>3851</v>
      </c>
      <c r="G804" s="188" t="s">
        <v>2970</v>
      </c>
      <c r="H804" s="188" t="s">
        <v>2970</v>
      </c>
      <c r="I804" s="188" t="s">
        <v>2970</v>
      </c>
      <c r="J804" s="188" t="s">
        <v>2970</v>
      </c>
      <c r="K804" s="188" t="s">
        <v>2970</v>
      </c>
    </row>
    <row r="805" spans="4:11" x14ac:dyDescent="0.25">
      <c r="D805" s="47">
        <v>802</v>
      </c>
      <c r="E805" s="188" t="s">
        <v>5339</v>
      </c>
      <c r="F805" s="188" t="s">
        <v>3851</v>
      </c>
      <c r="G805" s="188" t="s">
        <v>3851</v>
      </c>
      <c r="H805" s="188" t="s">
        <v>2970</v>
      </c>
      <c r="I805" s="188" t="s">
        <v>2970</v>
      </c>
      <c r="J805" s="188" t="s">
        <v>2970</v>
      </c>
      <c r="K805" s="188">
        <v>248</v>
      </c>
    </row>
    <row r="806" spans="4:11" x14ac:dyDescent="0.25">
      <c r="D806" s="47">
        <v>803</v>
      </c>
      <c r="E806" s="188" t="s">
        <v>5339</v>
      </c>
      <c r="F806" s="188" t="s">
        <v>3851</v>
      </c>
      <c r="G806" s="188" t="s">
        <v>4965</v>
      </c>
      <c r="H806" s="188" t="s">
        <v>2970</v>
      </c>
      <c r="I806" s="188" t="s">
        <v>2970</v>
      </c>
      <c r="J806" s="188" t="s">
        <v>2970</v>
      </c>
      <c r="K806" s="188">
        <v>249</v>
      </c>
    </row>
    <row r="807" spans="4:11" x14ac:dyDescent="0.25">
      <c r="D807" s="47">
        <v>804</v>
      </c>
      <c r="E807" s="188" t="s">
        <v>5340</v>
      </c>
      <c r="F807" s="188" t="s">
        <v>2970</v>
      </c>
      <c r="G807" s="188" t="s">
        <v>2970</v>
      </c>
      <c r="H807" s="188" t="s">
        <v>2970</v>
      </c>
      <c r="I807" s="188" t="s">
        <v>2970</v>
      </c>
      <c r="J807" s="188" t="s">
        <v>2970</v>
      </c>
      <c r="K807" s="188" t="s">
        <v>2970</v>
      </c>
    </row>
    <row r="808" spans="4:11" x14ac:dyDescent="0.25">
      <c r="D808" s="47">
        <v>805</v>
      </c>
      <c r="E808" s="188" t="s">
        <v>5341</v>
      </c>
      <c r="F808" s="188" t="s">
        <v>2970</v>
      </c>
      <c r="G808" s="188" t="s">
        <v>2970</v>
      </c>
      <c r="H808" s="188" t="s">
        <v>2970</v>
      </c>
      <c r="I808" s="188" t="s">
        <v>2970</v>
      </c>
      <c r="J808" s="188" t="s">
        <v>2970</v>
      </c>
      <c r="K808" s="188" t="s">
        <v>2970</v>
      </c>
    </row>
    <row r="809" spans="4:11" x14ac:dyDescent="0.25">
      <c r="D809" s="47">
        <v>806</v>
      </c>
      <c r="E809" s="188" t="s">
        <v>5342</v>
      </c>
      <c r="F809" s="188" t="s">
        <v>2970</v>
      </c>
      <c r="G809" s="188" t="s">
        <v>2970</v>
      </c>
      <c r="H809" s="188" t="s">
        <v>2970</v>
      </c>
      <c r="I809" s="188" t="s">
        <v>2970</v>
      </c>
      <c r="J809" s="188" t="s">
        <v>2970</v>
      </c>
      <c r="K809" s="188" t="s">
        <v>2970</v>
      </c>
    </row>
    <row r="810" spans="4:11" x14ac:dyDescent="0.25">
      <c r="D810" s="47">
        <v>807</v>
      </c>
      <c r="E810" s="188" t="s">
        <v>5343</v>
      </c>
      <c r="F810" s="188" t="s">
        <v>2970</v>
      </c>
      <c r="G810" s="188" t="s">
        <v>2970</v>
      </c>
      <c r="H810" s="188" t="s">
        <v>2970</v>
      </c>
      <c r="I810" s="188" t="s">
        <v>2970</v>
      </c>
      <c r="J810" s="188" t="s">
        <v>2970</v>
      </c>
      <c r="K810" s="188" t="s">
        <v>2970</v>
      </c>
    </row>
    <row r="811" spans="4:11" x14ac:dyDescent="0.25">
      <c r="D811" s="47">
        <v>808</v>
      </c>
      <c r="E811" s="188" t="s">
        <v>5344</v>
      </c>
      <c r="F811" s="188" t="s">
        <v>2970</v>
      </c>
      <c r="G811" s="188" t="s">
        <v>2970</v>
      </c>
      <c r="H811" s="188" t="s">
        <v>2970</v>
      </c>
      <c r="I811" s="188" t="s">
        <v>2970</v>
      </c>
      <c r="J811" s="188" t="s">
        <v>2970</v>
      </c>
      <c r="K811" s="188" t="s">
        <v>2970</v>
      </c>
    </row>
    <row r="812" spans="4:11" x14ac:dyDescent="0.25">
      <c r="D812" s="47">
        <v>809</v>
      </c>
      <c r="E812" s="188" t="s">
        <v>5345</v>
      </c>
      <c r="F812" s="188" t="s">
        <v>2970</v>
      </c>
      <c r="G812" s="188" t="s">
        <v>2970</v>
      </c>
      <c r="H812" s="188" t="s">
        <v>2970</v>
      </c>
      <c r="I812" s="188" t="s">
        <v>2970</v>
      </c>
      <c r="J812" s="188" t="s">
        <v>2970</v>
      </c>
      <c r="K812" s="188" t="s">
        <v>2970</v>
      </c>
    </row>
    <row r="813" spans="4:11" x14ac:dyDescent="0.25">
      <c r="D813" s="47">
        <v>810</v>
      </c>
      <c r="E813" s="188" t="s">
        <v>5346</v>
      </c>
      <c r="F813" s="188" t="s">
        <v>2970</v>
      </c>
      <c r="G813" s="188" t="s">
        <v>2970</v>
      </c>
      <c r="H813" s="188" t="s">
        <v>2970</v>
      </c>
      <c r="I813" s="188" t="s">
        <v>2970</v>
      </c>
      <c r="J813" s="188" t="s">
        <v>2970</v>
      </c>
      <c r="K813" s="188" t="s">
        <v>2970</v>
      </c>
    </row>
    <row r="814" spans="4:11" x14ac:dyDescent="0.25">
      <c r="D814" s="47">
        <v>811</v>
      </c>
      <c r="E814" s="188" t="s">
        <v>5347</v>
      </c>
      <c r="F814" s="188" t="s">
        <v>2970</v>
      </c>
      <c r="G814" s="188" t="s">
        <v>2970</v>
      </c>
      <c r="H814" s="188" t="s">
        <v>2970</v>
      </c>
      <c r="I814" s="188" t="s">
        <v>2970</v>
      </c>
      <c r="J814" s="188" t="s">
        <v>2970</v>
      </c>
      <c r="K814" s="188" t="s">
        <v>2970</v>
      </c>
    </row>
    <row r="815" spans="4:11" x14ac:dyDescent="0.25">
      <c r="D815" s="47">
        <v>812</v>
      </c>
      <c r="E815" s="188" t="s">
        <v>2970</v>
      </c>
      <c r="F815" s="188" t="s">
        <v>2970</v>
      </c>
      <c r="G815" s="188" t="s">
        <v>2970</v>
      </c>
      <c r="H815" s="188" t="s">
        <v>2970</v>
      </c>
      <c r="I815" s="188" t="s">
        <v>2970</v>
      </c>
      <c r="J815" s="188" t="s">
        <v>2970</v>
      </c>
      <c r="K815" s="188">
        <v>250</v>
      </c>
    </row>
    <row r="816" spans="4:11" x14ac:dyDescent="0.25">
      <c r="D816" s="47">
        <v>813</v>
      </c>
      <c r="E816" s="188" t="s">
        <v>5348</v>
      </c>
      <c r="F816" s="188" t="s">
        <v>2970</v>
      </c>
      <c r="G816" s="188" t="s">
        <v>2970</v>
      </c>
      <c r="H816" s="188" t="s">
        <v>2970</v>
      </c>
      <c r="I816" s="188" t="s">
        <v>2970</v>
      </c>
      <c r="J816" s="188" t="s">
        <v>2970</v>
      </c>
      <c r="K816" s="188">
        <v>251</v>
      </c>
    </row>
    <row r="817" spans="4:11" x14ac:dyDescent="0.25">
      <c r="D817" s="47">
        <v>814</v>
      </c>
      <c r="E817" s="188" t="s">
        <v>5349</v>
      </c>
      <c r="F817" s="188" t="s">
        <v>2970</v>
      </c>
      <c r="G817" s="188" t="s">
        <v>2970</v>
      </c>
      <c r="H817" s="188" t="s">
        <v>2970</v>
      </c>
      <c r="I817" s="188" t="s">
        <v>2970</v>
      </c>
      <c r="J817" s="188" t="s">
        <v>2970</v>
      </c>
      <c r="K817" s="188">
        <v>252</v>
      </c>
    </row>
    <row r="818" spans="4:11" x14ac:dyDescent="0.25">
      <c r="D818" s="47">
        <v>815</v>
      </c>
      <c r="E818" s="188" t="s">
        <v>5350</v>
      </c>
      <c r="F818" s="188" t="s">
        <v>2970</v>
      </c>
      <c r="G818" s="188" t="s">
        <v>2970</v>
      </c>
      <c r="H818" s="188" t="s">
        <v>2970</v>
      </c>
      <c r="I818" s="188" t="s">
        <v>2970</v>
      </c>
      <c r="J818" s="188" t="s">
        <v>2970</v>
      </c>
      <c r="K818" s="188" t="s">
        <v>2970</v>
      </c>
    </row>
    <row r="819" spans="4:11" x14ac:dyDescent="0.25">
      <c r="D819" s="47">
        <v>816</v>
      </c>
      <c r="E819" s="188" t="s">
        <v>5351</v>
      </c>
      <c r="F819" s="188" t="s">
        <v>2970</v>
      </c>
      <c r="G819" s="188" t="s">
        <v>2970</v>
      </c>
      <c r="H819" s="188" t="s">
        <v>2970</v>
      </c>
      <c r="I819" s="188" t="s">
        <v>2970</v>
      </c>
      <c r="J819" s="188" t="s">
        <v>2970</v>
      </c>
      <c r="K819" s="188">
        <v>253</v>
      </c>
    </row>
    <row r="820" spans="4:11" x14ac:dyDescent="0.25">
      <c r="D820" s="47">
        <v>817</v>
      </c>
      <c r="E820" s="188" t="s">
        <v>5352</v>
      </c>
      <c r="F820" s="188" t="s">
        <v>2970</v>
      </c>
      <c r="G820" s="188" t="s">
        <v>2970</v>
      </c>
      <c r="H820" s="188" t="s">
        <v>2970</v>
      </c>
      <c r="I820" s="188" t="s">
        <v>2970</v>
      </c>
      <c r="J820" s="188" t="s">
        <v>2970</v>
      </c>
      <c r="K820" s="188">
        <v>254</v>
      </c>
    </row>
    <row r="821" spans="4:11" x14ac:dyDescent="0.25">
      <c r="D821" s="47">
        <v>818</v>
      </c>
      <c r="E821" s="188" t="s">
        <v>5353</v>
      </c>
      <c r="F821" s="188" t="s">
        <v>2970</v>
      </c>
      <c r="G821" s="188" t="s">
        <v>2970</v>
      </c>
      <c r="H821" s="188" t="s">
        <v>2970</v>
      </c>
      <c r="I821" s="188" t="s">
        <v>2970</v>
      </c>
      <c r="J821" s="188" t="s">
        <v>2970</v>
      </c>
      <c r="K821" s="188" t="s">
        <v>2970</v>
      </c>
    </row>
    <row r="822" spans="4:11" x14ac:dyDescent="0.25">
      <c r="D822" s="47">
        <v>819</v>
      </c>
      <c r="E822" s="188" t="s">
        <v>5354</v>
      </c>
      <c r="F822" s="188" t="s">
        <v>2970</v>
      </c>
      <c r="G822" s="188" t="s">
        <v>2970</v>
      </c>
      <c r="H822" s="188" t="s">
        <v>2970</v>
      </c>
      <c r="I822" s="188" t="s">
        <v>2970</v>
      </c>
      <c r="J822" s="188" t="s">
        <v>2970</v>
      </c>
      <c r="K822" s="188" t="s">
        <v>2970</v>
      </c>
    </row>
    <row r="823" spans="4:11" x14ac:dyDescent="0.25">
      <c r="D823" s="47">
        <v>820</v>
      </c>
      <c r="E823" s="188" t="s">
        <v>5355</v>
      </c>
      <c r="F823" s="188" t="s">
        <v>2970</v>
      </c>
      <c r="G823" s="188" t="s">
        <v>2970</v>
      </c>
      <c r="H823" s="188" t="s">
        <v>2970</v>
      </c>
      <c r="I823" s="188" t="s">
        <v>2970</v>
      </c>
      <c r="J823" s="188" t="s">
        <v>2970</v>
      </c>
      <c r="K823" s="188">
        <v>255</v>
      </c>
    </row>
    <row r="824" spans="4:11" x14ac:dyDescent="0.25">
      <c r="D824" s="47">
        <v>821</v>
      </c>
      <c r="E824" s="188" t="s">
        <v>5356</v>
      </c>
      <c r="F824" s="188" t="s">
        <v>2970</v>
      </c>
      <c r="G824" s="188" t="s">
        <v>2970</v>
      </c>
      <c r="H824" s="188" t="s">
        <v>2970</v>
      </c>
      <c r="I824" s="188" t="s">
        <v>2970</v>
      </c>
      <c r="J824" s="188" t="s">
        <v>2970</v>
      </c>
      <c r="K824" s="188">
        <v>256</v>
      </c>
    </row>
    <row r="825" spans="4:11" x14ac:dyDescent="0.25">
      <c r="D825" s="47">
        <v>822</v>
      </c>
      <c r="E825" s="188" t="s">
        <v>5357</v>
      </c>
      <c r="F825" s="188" t="s">
        <v>2970</v>
      </c>
      <c r="G825" s="188" t="s">
        <v>2970</v>
      </c>
      <c r="H825" s="188" t="s">
        <v>2970</v>
      </c>
      <c r="I825" s="188" t="s">
        <v>2970</v>
      </c>
      <c r="J825" s="188" t="s">
        <v>2970</v>
      </c>
      <c r="K825" s="188">
        <v>257</v>
      </c>
    </row>
    <row r="826" spans="4:11" x14ac:dyDescent="0.25">
      <c r="D826" s="47">
        <v>823</v>
      </c>
      <c r="E826" s="188" t="s">
        <v>5358</v>
      </c>
      <c r="F826" s="188" t="s">
        <v>2970</v>
      </c>
      <c r="G826" s="188" t="s">
        <v>2970</v>
      </c>
      <c r="H826" s="188" t="s">
        <v>2970</v>
      </c>
      <c r="I826" s="188" t="s">
        <v>2970</v>
      </c>
      <c r="J826" s="188" t="s">
        <v>2970</v>
      </c>
      <c r="K826" s="188">
        <v>258</v>
      </c>
    </row>
    <row r="827" spans="4:11" x14ac:dyDescent="0.25">
      <c r="D827" s="47">
        <v>824</v>
      </c>
      <c r="E827" s="188" t="s">
        <v>5359</v>
      </c>
      <c r="F827" s="188" t="s">
        <v>2970</v>
      </c>
      <c r="G827" s="188" t="s">
        <v>2970</v>
      </c>
      <c r="H827" s="188" t="s">
        <v>2970</v>
      </c>
      <c r="I827" s="188" t="s">
        <v>2970</v>
      </c>
      <c r="J827" s="188" t="s">
        <v>2970</v>
      </c>
      <c r="K827" s="188">
        <v>259</v>
      </c>
    </row>
    <row r="828" spans="4:11" x14ac:dyDescent="0.25">
      <c r="D828" s="47">
        <v>825</v>
      </c>
      <c r="E828" s="188" t="s">
        <v>3817</v>
      </c>
      <c r="F828" s="188" t="s">
        <v>2970</v>
      </c>
      <c r="G828" s="188" t="s">
        <v>2970</v>
      </c>
      <c r="H828" s="188" t="s">
        <v>2970</v>
      </c>
      <c r="I828" s="188" t="s">
        <v>2970</v>
      </c>
      <c r="J828" s="188" t="s">
        <v>2970</v>
      </c>
      <c r="K828" s="188">
        <v>260</v>
      </c>
    </row>
    <row r="829" spans="4:11" x14ac:dyDescent="0.25">
      <c r="D829" s="47">
        <v>826</v>
      </c>
      <c r="E829" s="188" t="s">
        <v>5360</v>
      </c>
      <c r="F829" s="188" t="s">
        <v>2970</v>
      </c>
      <c r="G829" s="188" t="s">
        <v>2970</v>
      </c>
      <c r="H829" s="188" t="s">
        <v>2970</v>
      </c>
      <c r="I829" s="188" t="s">
        <v>2970</v>
      </c>
      <c r="J829" s="188" t="s">
        <v>2970</v>
      </c>
      <c r="K829" s="188" t="s">
        <v>2970</v>
      </c>
    </row>
    <row r="830" spans="4:11" x14ac:dyDescent="0.25">
      <c r="D830" s="47">
        <v>827</v>
      </c>
      <c r="E830" s="188" t="s">
        <v>5361</v>
      </c>
      <c r="F830" s="188" t="s">
        <v>2970</v>
      </c>
      <c r="G830" s="188" t="s">
        <v>2970</v>
      </c>
      <c r="H830" s="188" t="s">
        <v>2970</v>
      </c>
      <c r="I830" s="188" t="s">
        <v>2970</v>
      </c>
      <c r="J830" s="188" t="s">
        <v>2970</v>
      </c>
      <c r="K830" s="188" t="s">
        <v>2970</v>
      </c>
    </row>
    <row r="831" spans="4:11" x14ac:dyDescent="0.25">
      <c r="D831" s="47">
        <v>828</v>
      </c>
      <c r="E831" s="188" t="s">
        <v>5362</v>
      </c>
      <c r="F831" s="188" t="s">
        <v>2970</v>
      </c>
      <c r="G831" s="188" t="s">
        <v>2970</v>
      </c>
      <c r="H831" s="188" t="s">
        <v>2970</v>
      </c>
      <c r="I831" s="188" t="s">
        <v>2970</v>
      </c>
      <c r="J831" s="188" t="s">
        <v>2970</v>
      </c>
      <c r="K831" s="188" t="s">
        <v>2970</v>
      </c>
    </row>
    <row r="832" spans="4:11" x14ac:dyDescent="0.25">
      <c r="D832" s="47">
        <v>829</v>
      </c>
      <c r="E832" s="188" t="s">
        <v>5363</v>
      </c>
      <c r="F832" s="188" t="s">
        <v>2970</v>
      </c>
      <c r="G832" s="188" t="s">
        <v>2970</v>
      </c>
      <c r="H832" s="188" t="s">
        <v>2970</v>
      </c>
      <c r="I832" s="188" t="s">
        <v>2970</v>
      </c>
      <c r="J832" s="188" t="s">
        <v>2970</v>
      </c>
      <c r="K832" s="188" t="s">
        <v>2970</v>
      </c>
    </row>
    <row r="833" spans="4:11" x14ac:dyDescent="0.25">
      <c r="D833" s="47">
        <v>830</v>
      </c>
      <c r="E833" s="188" t="s">
        <v>3852</v>
      </c>
      <c r="F833" s="188" t="s">
        <v>2970</v>
      </c>
      <c r="G833" s="188" t="s">
        <v>2970</v>
      </c>
      <c r="H833" s="188" t="s">
        <v>2970</v>
      </c>
      <c r="I833" s="188" t="s">
        <v>2970</v>
      </c>
      <c r="J833" s="188" t="s">
        <v>2970</v>
      </c>
      <c r="K833" s="188">
        <v>261</v>
      </c>
    </row>
    <row r="834" spans="4:11" x14ac:dyDescent="0.25">
      <c r="D834" s="47">
        <v>831</v>
      </c>
      <c r="E834" s="188" t="s">
        <v>5364</v>
      </c>
      <c r="F834" s="188" t="s">
        <v>2970</v>
      </c>
      <c r="G834" s="188" t="s">
        <v>2970</v>
      </c>
      <c r="H834" s="188" t="s">
        <v>2970</v>
      </c>
      <c r="I834" s="188" t="s">
        <v>2970</v>
      </c>
      <c r="J834" s="188" t="s">
        <v>2970</v>
      </c>
      <c r="K834" s="188">
        <v>262</v>
      </c>
    </row>
    <row r="835" spans="4:11" x14ac:dyDescent="0.25">
      <c r="D835" s="47">
        <v>832</v>
      </c>
      <c r="E835" s="188" t="s">
        <v>5365</v>
      </c>
      <c r="F835" s="188" t="s">
        <v>2970</v>
      </c>
      <c r="G835" s="188" t="s">
        <v>2970</v>
      </c>
      <c r="H835" s="188" t="s">
        <v>2970</v>
      </c>
      <c r="I835" s="188" t="s">
        <v>2970</v>
      </c>
      <c r="J835" s="188" t="s">
        <v>2970</v>
      </c>
      <c r="K835" s="188">
        <v>263</v>
      </c>
    </row>
    <row r="836" spans="4:11" x14ac:dyDescent="0.25">
      <c r="D836" s="47">
        <v>833</v>
      </c>
      <c r="E836" s="188" t="s">
        <v>5366</v>
      </c>
      <c r="F836" s="188" t="s">
        <v>2970</v>
      </c>
      <c r="G836" s="188" t="s">
        <v>2970</v>
      </c>
      <c r="H836" s="188" t="s">
        <v>2970</v>
      </c>
      <c r="I836" s="188" t="s">
        <v>2970</v>
      </c>
      <c r="J836" s="188" t="s">
        <v>2970</v>
      </c>
      <c r="K836" s="188">
        <v>264</v>
      </c>
    </row>
    <row r="837" spans="4:11" x14ac:dyDescent="0.25">
      <c r="D837" s="47">
        <v>834</v>
      </c>
      <c r="E837" s="188" t="s">
        <v>5367</v>
      </c>
      <c r="F837" s="188" t="s">
        <v>2970</v>
      </c>
      <c r="G837" s="188" t="s">
        <v>2970</v>
      </c>
      <c r="H837" s="188" t="s">
        <v>2970</v>
      </c>
      <c r="I837" s="188" t="s">
        <v>2970</v>
      </c>
      <c r="J837" s="188" t="s">
        <v>2970</v>
      </c>
      <c r="K837" s="188">
        <v>265</v>
      </c>
    </row>
    <row r="838" spans="4:11" x14ac:dyDescent="0.25">
      <c r="D838" s="47">
        <v>835</v>
      </c>
      <c r="E838" s="188" t="s">
        <v>5368</v>
      </c>
      <c r="F838" s="188" t="s">
        <v>2970</v>
      </c>
      <c r="G838" s="188" t="s">
        <v>2970</v>
      </c>
      <c r="H838" s="188" t="s">
        <v>2970</v>
      </c>
      <c r="I838" s="188" t="s">
        <v>2970</v>
      </c>
      <c r="J838" s="188" t="s">
        <v>2970</v>
      </c>
      <c r="K838" s="188">
        <v>266</v>
      </c>
    </row>
    <row r="839" spans="4:11" x14ac:dyDescent="0.25">
      <c r="D839" s="47">
        <v>836</v>
      </c>
      <c r="E839" s="188" t="s">
        <v>5369</v>
      </c>
      <c r="F839" s="188" t="s">
        <v>2970</v>
      </c>
      <c r="G839" s="188" t="s">
        <v>2970</v>
      </c>
      <c r="H839" s="188" t="s">
        <v>2970</v>
      </c>
      <c r="I839" s="188" t="s">
        <v>2970</v>
      </c>
      <c r="J839" s="188" t="s">
        <v>2970</v>
      </c>
      <c r="K839" s="188">
        <v>267</v>
      </c>
    </row>
    <row r="840" spans="4:11" x14ac:dyDescent="0.25">
      <c r="D840" s="47">
        <v>837</v>
      </c>
      <c r="E840" s="188" t="s">
        <v>5370</v>
      </c>
      <c r="F840" s="188" t="s">
        <v>2970</v>
      </c>
      <c r="G840" s="188" t="s">
        <v>2970</v>
      </c>
      <c r="H840" s="188" t="s">
        <v>2970</v>
      </c>
      <c r="I840" s="188" t="s">
        <v>2970</v>
      </c>
      <c r="J840" s="188" t="s">
        <v>2970</v>
      </c>
      <c r="K840" s="188">
        <v>268</v>
      </c>
    </row>
    <row r="841" spans="4:11" x14ac:dyDescent="0.25">
      <c r="D841" s="47">
        <v>838</v>
      </c>
      <c r="E841" s="188" t="s">
        <v>5371</v>
      </c>
      <c r="F841" s="188" t="s">
        <v>2970</v>
      </c>
      <c r="G841" s="188" t="s">
        <v>2970</v>
      </c>
      <c r="H841" s="188" t="s">
        <v>2970</v>
      </c>
      <c r="I841" s="188" t="s">
        <v>2970</v>
      </c>
      <c r="J841" s="188" t="s">
        <v>2970</v>
      </c>
      <c r="K841" s="188">
        <v>269</v>
      </c>
    </row>
    <row r="842" spans="4:11" x14ac:dyDescent="0.25">
      <c r="D842" s="47">
        <v>839</v>
      </c>
      <c r="E842" s="188" t="s">
        <v>5372</v>
      </c>
      <c r="F842" s="188" t="s">
        <v>2970</v>
      </c>
      <c r="G842" s="188" t="s">
        <v>2970</v>
      </c>
      <c r="H842" s="188" t="s">
        <v>2970</v>
      </c>
      <c r="I842" s="188" t="s">
        <v>2970</v>
      </c>
      <c r="J842" s="188" t="s">
        <v>2970</v>
      </c>
      <c r="K842" s="188">
        <v>270</v>
      </c>
    </row>
    <row r="843" spans="4:11" x14ac:dyDescent="0.25">
      <c r="D843" s="47">
        <v>840</v>
      </c>
      <c r="E843" s="188" t="s">
        <v>5373</v>
      </c>
      <c r="F843" s="188" t="s">
        <v>2970</v>
      </c>
      <c r="G843" s="188" t="s">
        <v>2970</v>
      </c>
      <c r="H843" s="188" t="s">
        <v>2970</v>
      </c>
      <c r="I843" s="188" t="s">
        <v>2970</v>
      </c>
      <c r="J843" s="188" t="s">
        <v>2970</v>
      </c>
      <c r="K843" s="188">
        <v>271</v>
      </c>
    </row>
    <row r="844" spans="4:11" x14ac:dyDescent="0.25">
      <c r="D844" s="47">
        <v>841</v>
      </c>
      <c r="E844" s="188" t="s">
        <v>5374</v>
      </c>
      <c r="F844" s="188" t="s">
        <v>2970</v>
      </c>
      <c r="G844" s="188" t="s">
        <v>2970</v>
      </c>
      <c r="H844" s="188" t="s">
        <v>2970</v>
      </c>
      <c r="I844" s="188" t="s">
        <v>2970</v>
      </c>
      <c r="J844" s="188" t="s">
        <v>2970</v>
      </c>
      <c r="K844" s="188">
        <v>272</v>
      </c>
    </row>
    <row r="845" spans="4:11" x14ac:dyDescent="0.25">
      <c r="D845" s="47">
        <v>842</v>
      </c>
      <c r="E845" s="188" t="s">
        <v>5375</v>
      </c>
      <c r="F845" s="188" t="s">
        <v>2970</v>
      </c>
      <c r="G845" s="188" t="s">
        <v>2970</v>
      </c>
      <c r="H845" s="188" t="s">
        <v>2970</v>
      </c>
      <c r="I845" s="188" t="s">
        <v>2970</v>
      </c>
      <c r="J845" s="188" t="s">
        <v>2970</v>
      </c>
      <c r="K845" s="188">
        <v>273</v>
      </c>
    </row>
    <row r="846" spans="4:11" x14ac:dyDescent="0.25">
      <c r="D846" s="47">
        <v>843</v>
      </c>
      <c r="E846" s="188" t="s">
        <v>5376</v>
      </c>
      <c r="F846" s="188" t="s">
        <v>2970</v>
      </c>
      <c r="G846" s="188" t="s">
        <v>2970</v>
      </c>
      <c r="H846" s="188" t="s">
        <v>2970</v>
      </c>
      <c r="I846" s="188" t="s">
        <v>2970</v>
      </c>
      <c r="J846" s="188" t="s">
        <v>2970</v>
      </c>
      <c r="K846" s="188">
        <v>274</v>
      </c>
    </row>
    <row r="847" spans="4:11" x14ac:dyDescent="0.25">
      <c r="D847" s="47">
        <v>844</v>
      </c>
      <c r="E847" s="188" t="s">
        <v>5377</v>
      </c>
      <c r="F847" s="188" t="s">
        <v>2970</v>
      </c>
      <c r="G847" s="188" t="s">
        <v>2970</v>
      </c>
      <c r="H847" s="188" t="s">
        <v>2970</v>
      </c>
      <c r="I847" s="188" t="s">
        <v>2970</v>
      </c>
      <c r="J847" s="188" t="s">
        <v>2970</v>
      </c>
      <c r="K847" s="188">
        <v>275</v>
      </c>
    </row>
    <row r="848" spans="4:11" x14ac:dyDescent="0.25">
      <c r="D848" s="47">
        <v>845</v>
      </c>
      <c r="E848" s="188" t="s">
        <v>5378</v>
      </c>
      <c r="F848" s="188" t="s">
        <v>2970</v>
      </c>
      <c r="G848" s="188" t="s">
        <v>2970</v>
      </c>
      <c r="H848" s="188" t="s">
        <v>2970</v>
      </c>
      <c r="I848" s="188" t="s">
        <v>2970</v>
      </c>
      <c r="J848" s="188" t="s">
        <v>2970</v>
      </c>
      <c r="K848" s="188">
        <v>276</v>
      </c>
    </row>
    <row r="849" spans="4:11" x14ac:dyDescent="0.25">
      <c r="D849" s="47">
        <v>846</v>
      </c>
      <c r="E849" s="188" t="s">
        <v>5379</v>
      </c>
      <c r="F849" s="188" t="s">
        <v>2970</v>
      </c>
      <c r="G849" s="188" t="s">
        <v>2970</v>
      </c>
      <c r="H849" s="188" t="s">
        <v>2970</v>
      </c>
      <c r="I849" s="188" t="s">
        <v>2970</v>
      </c>
      <c r="J849" s="188" t="s">
        <v>2970</v>
      </c>
      <c r="K849" s="188">
        <v>277</v>
      </c>
    </row>
    <row r="850" spans="4:11" x14ac:dyDescent="0.25">
      <c r="D850" s="47">
        <v>847</v>
      </c>
      <c r="E850" s="188" t="s">
        <v>5380</v>
      </c>
      <c r="F850" s="188" t="s">
        <v>2970</v>
      </c>
      <c r="G850" s="188" t="s">
        <v>2970</v>
      </c>
      <c r="H850" s="188" t="s">
        <v>2970</v>
      </c>
      <c r="I850" s="188" t="s">
        <v>2970</v>
      </c>
      <c r="J850" s="188" t="s">
        <v>2970</v>
      </c>
      <c r="K850" s="188">
        <v>278</v>
      </c>
    </row>
    <row r="851" spans="4:11" x14ac:dyDescent="0.25">
      <c r="D851" s="47">
        <v>848</v>
      </c>
      <c r="E851" s="188" t="s">
        <v>5381</v>
      </c>
      <c r="F851" s="188" t="s">
        <v>2970</v>
      </c>
      <c r="G851" s="188" t="s">
        <v>2970</v>
      </c>
      <c r="H851" s="188" t="s">
        <v>2970</v>
      </c>
      <c r="I851" s="188" t="s">
        <v>2970</v>
      </c>
      <c r="J851" s="188" t="s">
        <v>2970</v>
      </c>
      <c r="K851" s="188">
        <v>279</v>
      </c>
    </row>
    <row r="852" spans="4:11" x14ac:dyDescent="0.25">
      <c r="D852" s="47">
        <v>849</v>
      </c>
      <c r="E852" s="188" t="s">
        <v>5382</v>
      </c>
      <c r="F852" s="188" t="s">
        <v>2970</v>
      </c>
      <c r="G852" s="188" t="s">
        <v>2970</v>
      </c>
      <c r="H852" s="188" t="s">
        <v>2970</v>
      </c>
      <c r="I852" s="188" t="s">
        <v>2970</v>
      </c>
      <c r="J852" s="188" t="s">
        <v>2970</v>
      </c>
      <c r="K852" s="188">
        <v>280</v>
      </c>
    </row>
    <row r="853" spans="4:11" x14ac:dyDescent="0.25">
      <c r="D853" s="47">
        <v>850</v>
      </c>
      <c r="E853" s="188" t="s">
        <v>5383</v>
      </c>
      <c r="F853" s="188" t="s">
        <v>2970</v>
      </c>
      <c r="G853" s="188" t="s">
        <v>2970</v>
      </c>
      <c r="H853" s="188" t="s">
        <v>2970</v>
      </c>
      <c r="I853" s="188" t="s">
        <v>2970</v>
      </c>
      <c r="J853" s="188" t="s">
        <v>2970</v>
      </c>
      <c r="K853" s="188">
        <v>281</v>
      </c>
    </row>
    <row r="854" spans="4:11" x14ac:dyDescent="0.25">
      <c r="D854" s="47">
        <v>851</v>
      </c>
      <c r="E854" s="188" t="s">
        <v>5384</v>
      </c>
      <c r="F854" s="188" t="s">
        <v>2970</v>
      </c>
      <c r="G854" s="188" t="s">
        <v>2970</v>
      </c>
      <c r="H854" s="188" t="s">
        <v>2970</v>
      </c>
      <c r="I854" s="188" t="s">
        <v>2970</v>
      </c>
      <c r="J854" s="188" t="s">
        <v>2970</v>
      </c>
      <c r="K854" s="188">
        <v>282</v>
      </c>
    </row>
    <row r="855" spans="4:11" x14ac:dyDescent="0.25">
      <c r="D855" s="47">
        <v>852</v>
      </c>
      <c r="E855" s="188" t="s">
        <v>5385</v>
      </c>
      <c r="F855" s="188" t="s">
        <v>2970</v>
      </c>
      <c r="G855" s="188" t="s">
        <v>2970</v>
      </c>
      <c r="H855" s="188" t="s">
        <v>2970</v>
      </c>
      <c r="I855" s="188" t="s">
        <v>2970</v>
      </c>
      <c r="J855" s="188" t="s">
        <v>2970</v>
      </c>
      <c r="K855" s="188">
        <v>283</v>
      </c>
    </row>
    <row r="856" spans="4:11" x14ac:dyDescent="0.25">
      <c r="D856" s="47">
        <v>853</v>
      </c>
      <c r="E856" s="188" t="s">
        <v>5386</v>
      </c>
      <c r="F856" s="188" t="s">
        <v>2970</v>
      </c>
      <c r="G856" s="188" t="s">
        <v>2970</v>
      </c>
      <c r="H856" s="188" t="s">
        <v>2970</v>
      </c>
      <c r="I856" s="188" t="s">
        <v>2970</v>
      </c>
      <c r="J856" s="188" t="s">
        <v>2970</v>
      </c>
      <c r="K856" s="188">
        <v>284</v>
      </c>
    </row>
    <row r="857" spans="4:11" x14ac:dyDescent="0.25">
      <c r="D857" s="47">
        <v>854</v>
      </c>
      <c r="E857" s="188" t="s">
        <v>5387</v>
      </c>
      <c r="F857" s="188" t="s">
        <v>2970</v>
      </c>
      <c r="G857" s="188" t="s">
        <v>2970</v>
      </c>
      <c r="H857" s="188" t="s">
        <v>2970</v>
      </c>
      <c r="I857" s="188" t="s">
        <v>2970</v>
      </c>
      <c r="J857" s="188" t="s">
        <v>2970</v>
      </c>
      <c r="K857" s="188">
        <v>285</v>
      </c>
    </row>
    <row r="858" spans="4:11" x14ac:dyDescent="0.25">
      <c r="D858" s="47">
        <v>855</v>
      </c>
      <c r="E858" s="188" t="s">
        <v>5388</v>
      </c>
      <c r="F858" s="188" t="s">
        <v>2970</v>
      </c>
      <c r="G858" s="188" t="s">
        <v>2970</v>
      </c>
      <c r="H858" s="188" t="s">
        <v>2970</v>
      </c>
      <c r="I858" s="188" t="s">
        <v>2970</v>
      </c>
      <c r="J858" s="188" t="s">
        <v>2970</v>
      </c>
      <c r="K858" s="188">
        <v>286</v>
      </c>
    </row>
    <row r="859" spans="4:11" x14ac:dyDescent="0.25">
      <c r="D859" s="47">
        <v>856</v>
      </c>
      <c r="E859" s="188" t="s">
        <v>5389</v>
      </c>
      <c r="F859" s="188" t="s">
        <v>2970</v>
      </c>
      <c r="G859" s="188" t="s">
        <v>2970</v>
      </c>
      <c r="H859" s="188" t="s">
        <v>2970</v>
      </c>
      <c r="I859" s="188" t="s">
        <v>2970</v>
      </c>
      <c r="J859" s="188" t="s">
        <v>2970</v>
      </c>
      <c r="K859" s="188">
        <v>287</v>
      </c>
    </row>
    <row r="860" spans="4:11" x14ac:dyDescent="0.25">
      <c r="D860" s="47">
        <v>857</v>
      </c>
      <c r="E860" s="188" t="s">
        <v>5390</v>
      </c>
      <c r="F860" s="188" t="s">
        <v>2970</v>
      </c>
      <c r="G860" s="188" t="s">
        <v>2970</v>
      </c>
      <c r="H860" s="188" t="s">
        <v>2970</v>
      </c>
      <c r="I860" s="188" t="s">
        <v>2970</v>
      </c>
      <c r="J860" s="188" t="s">
        <v>2970</v>
      </c>
      <c r="K860" s="188">
        <v>288</v>
      </c>
    </row>
    <row r="861" spans="4:11" x14ac:dyDescent="0.25">
      <c r="D861" s="47">
        <v>858</v>
      </c>
      <c r="E861" s="188" t="s">
        <v>5391</v>
      </c>
      <c r="F861" s="188" t="s">
        <v>2970</v>
      </c>
      <c r="G861" s="188" t="s">
        <v>2970</v>
      </c>
      <c r="H861" s="188" t="s">
        <v>2970</v>
      </c>
      <c r="I861" s="188" t="s">
        <v>2970</v>
      </c>
      <c r="J861" s="188" t="s">
        <v>2970</v>
      </c>
      <c r="K861" s="188">
        <v>289</v>
      </c>
    </row>
    <row r="862" spans="4:11" x14ac:dyDescent="0.25">
      <c r="D862" s="47">
        <v>859</v>
      </c>
      <c r="E862" s="188" t="s">
        <v>5392</v>
      </c>
      <c r="F862" s="188" t="s">
        <v>2970</v>
      </c>
      <c r="G862" s="188" t="s">
        <v>2970</v>
      </c>
      <c r="H862" s="188" t="s">
        <v>2970</v>
      </c>
      <c r="I862" s="188" t="s">
        <v>2970</v>
      </c>
      <c r="J862" s="188" t="s">
        <v>2970</v>
      </c>
      <c r="K862" s="188">
        <v>290</v>
      </c>
    </row>
    <row r="863" spans="4:11" x14ac:dyDescent="0.25">
      <c r="D863" s="47">
        <v>860</v>
      </c>
      <c r="E863" s="188" t="s">
        <v>5393</v>
      </c>
      <c r="F863" s="188" t="s">
        <v>2970</v>
      </c>
      <c r="G863" s="188" t="s">
        <v>2970</v>
      </c>
      <c r="H863" s="188" t="s">
        <v>2970</v>
      </c>
      <c r="I863" s="188" t="s">
        <v>2970</v>
      </c>
      <c r="J863" s="188" t="s">
        <v>2970</v>
      </c>
      <c r="K863" s="188">
        <v>291</v>
      </c>
    </row>
    <row r="864" spans="4:11" x14ac:dyDescent="0.25">
      <c r="D864" s="47">
        <v>861</v>
      </c>
      <c r="E864" s="188" t="s">
        <v>5394</v>
      </c>
      <c r="F864" s="188" t="s">
        <v>2970</v>
      </c>
      <c r="G864" s="188" t="s">
        <v>2970</v>
      </c>
      <c r="H864" s="188" t="s">
        <v>2970</v>
      </c>
      <c r="I864" s="188" t="s">
        <v>2970</v>
      </c>
      <c r="J864" s="188" t="s">
        <v>2970</v>
      </c>
      <c r="K864" s="188">
        <v>292</v>
      </c>
    </row>
    <row r="865" spans="4:11" x14ac:dyDescent="0.25">
      <c r="D865" s="47">
        <v>862</v>
      </c>
      <c r="E865" s="188" t="s">
        <v>5395</v>
      </c>
      <c r="F865" s="188" t="s">
        <v>2970</v>
      </c>
      <c r="G865" s="188" t="s">
        <v>2970</v>
      </c>
      <c r="H865" s="188" t="s">
        <v>2970</v>
      </c>
      <c r="I865" s="188" t="s">
        <v>2970</v>
      </c>
      <c r="J865" s="188" t="s">
        <v>2970</v>
      </c>
      <c r="K865" s="188">
        <v>293</v>
      </c>
    </row>
    <row r="866" spans="4:11" x14ac:dyDescent="0.25">
      <c r="D866" s="47">
        <v>863</v>
      </c>
      <c r="E866" s="188" t="s">
        <v>5396</v>
      </c>
      <c r="F866" s="188" t="s">
        <v>2970</v>
      </c>
      <c r="G866" s="188" t="s">
        <v>2970</v>
      </c>
      <c r="H866" s="188" t="s">
        <v>2970</v>
      </c>
      <c r="I866" s="188" t="s">
        <v>2970</v>
      </c>
      <c r="J866" s="188" t="s">
        <v>2970</v>
      </c>
      <c r="K866" s="188">
        <v>294</v>
      </c>
    </row>
    <row r="867" spans="4:11" x14ac:dyDescent="0.25">
      <c r="D867" s="47">
        <v>864</v>
      </c>
      <c r="E867" s="188" t="s">
        <v>5397</v>
      </c>
      <c r="F867" s="188" t="s">
        <v>2970</v>
      </c>
      <c r="G867" s="188" t="s">
        <v>2970</v>
      </c>
      <c r="H867" s="188" t="s">
        <v>2970</v>
      </c>
      <c r="I867" s="188" t="s">
        <v>2970</v>
      </c>
      <c r="J867" s="188" t="s">
        <v>2970</v>
      </c>
      <c r="K867" s="188">
        <v>295</v>
      </c>
    </row>
    <row r="868" spans="4:11" x14ac:dyDescent="0.25">
      <c r="D868" s="47">
        <v>865</v>
      </c>
      <c r="E868" s="188" t="s">
        <v>5398</v>
      </c>
      <c r="F868" s="188" t="s">
        <v>2970</v>
      </c>
      <c r="G868" s="188" t="s">
        <v>2970</v>
      </c>
      <c r="H868" s="188" t="s">
        <v>2970</v>
      </c>
      <c r="I868" s="188" t="s">
        <v>2970</v>
      </c>
      <c r="J868" s="188" t="s">
        <v>2970</v>
      </c>
      <c r="K868" s="188">
        <v>296</v>
      </c>
    </row>
    <row r="869" spans="4:11" x14ac:dyDescent="0.25">
      <c r="D869" s="47">
        <v>866</v>
      </c>
      <c r="E869" s="188" t="s">
        <v>5399</v>
      </c>
      <c r="F869" s="188" t="s">
        <v>2970</v>
      </c>
      <c r="G869" s="188" t="s">
        <v>2970</v>
      </c>
      <c r="H869" s="188" t="s">
        <v>2970</v>
      </c>
      <c r="I869" s="188" t="s">
        <v>2970</v>
      </c>
      <c r="J869" s="188" t="s">
        <v>2970</v>
      </c>
      <c r="K869" s="188">
        <v>297</v>
      </c>
    </row>
    <row r="870" spans="4:11" x14ac:dyDescent="0.25">
      <c r="D870" s="47">
        <v>867</v>
      </c>
      <c r="E870" s="188" t="s">
        <v>5400</v>
      </c>
      <c r="F870" s="188" t="s">
        <v>2970</v>
      </c>
      <c r="G870" s="188" t="s">
        <v>2970</v>
      </c>
      <c r="H870" s="188" t="s">
        <v>2970</v>
      </c>
      <c r="I870" s="188" t="s">
        <v>2970</v>
      </c>
      <c r="J870" s="188" t="s">
        <v>2970</v>
      </c>
      <c r="K870" s="188">
        <v>298</v>
      </c>
    </row>
    <row r="871" spans="4:11" x14ac:dyDescent="0.25">
      <c r="D871" s="47">
        <v>868</v>
      </c>
      <c r="E871" s="188" t="s">
        <v>5401</v>
      </c>
      <c r="F871" s="188" t="s">
        <v>2970</v>
      </c>
      <c r="G871" s="188" t="s">
        <v>2970</v>
      </c>
      <c r="H871" s="188" t="s">
        <v>2970</v>
      </c>
      <c r="I871" s="188" t="s">
        <v>2970</v>
      </c>
      <c r="J871" s="188" t="s">
        <v>2970</v>
      </c>
      <c r="K871" s="188">
        <v>299</v>
      </c>
    </row>
    <row r="872" spans="4:11" x14ac:dyDescent="0.25">
      <c r="D872" s="47">
        <v>869</v>
      </c>
      <c r="E872" s="188" t="s">
        <v>5402</v>
      </c>
      <c r="F872" s="188" t="s">
        <v>2970</v>
      </c>
      <c r="G872" s="188" t="s">
        <v>2970</v>
      </c>
      <c r="H872" s="188" t="s">
        <v>2970</v>
      </c>
      <c r="I872" s="188" t="s">
        <v>2970</v>
      </c>
      <c r="J872" s="188" t="s">
        <v>2970</v>
      </c>
      <c r="K872" s="188">
        <v>300</v>
      </c>
    </row>
    <row r="873" spans="4:11" x14ac:dyDescent="0.25">
      <c r="D873" s="47">
        <v>870</v>
      </c>
      <c r="E873" s="188" t="s">
        <v>5403</v>
      </c>
      <c r="F873" s="188" t="s">
        <v>2970</v>
      </c>
      <c r="G873" s="188" t="s">
        <v>2970</v>
      </c>
      <c r="H873" s="188" t="s">
        <v>2970</v>
      </c>
      <c r="I873" s="188" t="s">
        <v>2970</v>
      </c>
      <c r="J873" s="188" t="s">
        <v>2970</v>
      </c>
      <c r="K873" s="188">
        <v>301</v>
      </c>
    </row>
    <row r="874" spans="4:11" x14ac:dyDescent="0.25">
      <c r="D874" s="47">
        <v>871</v>
      </c>
      <c r="E874" s="188" t="s">
        <v>5404</v>
      </c>
      <c r="F874" s="188" t="s">
        <v>2970</v>
      </c>
      <c r="G874" s="188" t="s">
        <v>2970</v>
      </c>
      <c r="H874" s="188" t="s">
        <v>2970</v>
      </c>
      <c r="I874" s="188" t="s">
        <v>2970</v>
      </c>
      <c r="J874" s="188" t="s">
        <v>2970</v>
      </c>
      <c r="K874" s="188">
        <v>302</v>
      </c>
    </row>
    <row r="875" spans="4:11" x14ac:dyDescent="0.25">
      <c r="D875" s="47">
        <v>872</v>
      </c>
      <c r="E875" s="188" t="s">
        <v>5410</v>
      </c>
      <c r="F875" s="188" t="s">
        <v>2970</v>
      </c>
      <c r="G875" s="188" t="s">
        <v>2970</v>
      </c>
      <c r="H875" s="188" t="s">
        <v>2970</v>
      </c>
      <c r="I875" s="188" t="s">
        <v>2970</v>
      </c>
      <c r="J875" s="188" t="s">
        <v>2970</v>
      </c>
      <c r="K875" s="188">
        <v>303</v>
      </c>
    </row>
    <row r="876" spans="4:11" x14ac:dyDescent="0.25">
      <c r="D876" s="47">
        <v>873</v>
      </c>
      <c r="E876" s="188" t="s">
        <v>5411</v>
      </c>
      <c r="F876" s="188" t="s">
        <v>2970</v>
      </c>
      <c r="G876" s="188" t="s">
        <v>2970</v>
      </c>
      <c r="H876" s="188" t="s">
        <v>2970</v>
      </c>
      <c r="I876" s="188" t="s">
        <v>2970</v>
      </c>
      <c r="J876" s="188" t="s">
        <v>2970</v>
      </c>
      <c r="K876" s="188">
        <v>304</v>
      </c>
    </row>
    <row r="877" spans="4:11" x14ac:dyDescent="0.25">
      <c r="D877" s="47">
        <v>874</v>
      </c>
      <c r="E877" s="188" t="s">
        <v>5412</v>
      </c>
      <c r="F877" s="188" t="s">
        <v>2970</v>
      </c>
      <c r="G877" s="188" t="s">
        <v>2970</v>
      </c>
      <c r="H877" s="188" t="s">
        <v>2970</v>
      </c>
      <c r="I877" s="188" t="s">
        <v>2970</v>
      </c>
      <c r="J877" s="188" t="s">
        <v>2970</v>
      </c>
      <c r="K877" s="188">
        <v>305</v>
      </c>
    </row>
    <row r="878" spans="4:11" x14ac:dyDescent="0.25">
      <c r="D878" s="47">
        <v>875</v>
      </c>
      <c r="E878" s="188" t="s">
        <v>5413</v>
      </c>
      <c r="F878" s="188" t="s">
        <v>2970</v>
      </c>
      <c r="G878" s="188" t="s">
        <v>2970</v>
      </c>
      <c r="H878" s="188" t="s">
        <v>2970</v>
      </c>
      <c r="I878" s="188" t="s">
        <v>2970</v>
      </c>
      <c r="J878" s="188" t="s">
        <v>2970</v>
      </c>
      <c r="K878" s="188">
        <v>306</v>
      </c>
    </row>
    <row r="879" spans="4:11" x14ac:dyDescent="0.25">
      <c r="D879" s="47">
        <v>876</v>
      </c>
      <c r="E879" s="188" t="s">
        <v>2970</v>
      </c>
      <c r="F879" s="188" t="s">
        <v>2970</v>
      </c>
      <c r="G879" s="188" t="s">
        <v>2970</v>
      </c>
      <c r="H879" s="188" t="s">
        <v>2970</v>
      </c>
      <c r="I879" s="188" t="s">
        <v>2970</v>
      </c>
      <c r="J879" s="188" t="s">
        <v>2970</v>
      </c>
      <c r="K879" s="188">
        <v>307</v>
      </c>
    </row>
    <row r="880" spans="4:11" x14ac:dyDescent="0.25">
      <c r="D880" s="47">
        <v>877</v>
      </c>
      <c r="E880" s="188" t="s">
        <v>5414</v>
      </c>
      <c r="F880" s="188" t="s">
        <v>2970</v>
      </c>
      <c r="G880" s="188" t="s">
        <v>2970</v>
      </c>
      <c r="H880" s="188" t="s">
        <v>2970</v>
      </c>
      <c r="I880" s="188" t="s">
        <v>2970</v>
      </c>
      <c r="J880" s="188" t="s">
        <v>2970</v>
      </c>
      <c r="K880" s="188">
        <v>308</v>
      </c>
    </row>
    <row r="881" spans="4:11" x14ac:dyDescent="0.25">
      <c r="D881" s="47">
        <v>878</v>
      </c>
      <c r="E881" s="188" t="s">
        <v>5414</v>
      </c>
      <c r="F881" s="188" t="s">
        <v>2970</v>
      </c>
      <c r="G881" s="188" t="s">
        <v>2970</v>
      </c>
      <c r="H881" s="188" t="s">
        <v>2970</v>
      </c>
      <c r="I881" s="188" t="s">
        <v>2970</v>
      </c>
      <c r="J881" s="188" t="s">
        <v>2970</v>
      </c>
      <c r="K881" s="188">
        <v>309</v>
      </c>
    </row>
    <row r="882" spans="4:11" x14ac:dyDescent="0.25">
      <c r="D882" s="47">
        <v>879</v>
      </c>
      <c r="E882" s="188" t="s">
        <v>3853</v>
      </c>
      <c r="F882" s="188" t="s">
        <v>2970</v>
      </c>
      <c r="G882" s="188" t="s">
        <v>2970</v>
      </c>
      <c r="H882" s="188" t="s">
        <v>2970</v>
      </c>
      <c r="I882" s="188" t="s">
        <v>2970</v>
      </c>
      <c r="J882" s="188" t="s">
        <v>2970</v>
      </c>
      <c r="K882" s="188" t="s">
        <v>2970</v>
      </c>
    </row>
    <row r="883" spans="4:11" x14ac:dyDescent="0.25">
      <c r="D883" s="47">
        <v>880</v>
      </c>
      <c r="E883" s="188" t="s">
        <v>5405</v>
      </c>
      <c r="F883" s="188" t="s">
        <v>3851</v>
      </c>
      <c r="G883" s="188" t="s">
        <v>2970</v>
      </c>
      <c r="H883" s="188" t="s">
        <v>2970</v>
      </c>
      <c r="I883" s="188" t="s">
        <v>2970</v>
      </c>
      <c r="J883" s="188" t="s">
        <v>2970</v>
      </c>
      <c r="K883" s="188" t="s">
        <v>2970</v>
      </c>
    </row>
    <row r="884" spans="4:11" x14ac:dyDescent="0.25">
      <c r="D884" s="47">
        <v>881</v>
      </c>
      <c r="E884" s="188" t="s">
        <v>3854</v>
      </c>
      <c r="F884" s="188" t="s">
        <v>2970</v>
      </c>
      <c r="G884" s="188" t="s">
        <v>2970</v>
      </c>
      <c r="H884" s="188" t="s">
        <v>2970</v>
      </c>
      <c r="I884" s="188" t="s">
        <v>2970</v>
      </c>
      <c r="J884" s="188" t="s">
        <v>2970</v>
      </c>
      <c r="K884" s="188" t="s">
        <v>2970</v>
      </c>
    </row>
    <row r="885" spans="4:11" x14ac:dyDescent="0.25">
      <c r="D885" s="47">
        <v>882</v>
      </c>
      <c r="E885" s="188" t="s">
        <v>5406</v>
      </c>
      <c r="F885" s="188" t="s">
        <v>3851</v>
      </c>
      <c r="G885" s="188" t="s">
        <v>2970</v>
      </c>
      <c r="H885" s="188" t="s">
        <v>2970</v>
      </c>
      <c r="I885" s="188" t="s">
        <v>2970</v>
      </c>
      <c r="J885" s="188" t="s">
        <v>2970</v>
      </c>
      <c r="K885" s="188" t="s">
        <v>2970</v>
      </c>
    </row>
    <row r="886" spans="4:11" x14ac:dyDescent="0.25">
      <c r="D886" s="47">
        <v>883</v>
      </c>
      <c r="E886" s="188" t="s">
        <v>3855</v>
      </c>
      <c r="F886" s="188" t="s">
        <v>2970</v>
      </c>
      <c r="G886" s="188" t="s">
        <v>2970</v>
      </c>
      <c r="H886" s="188" t="s">
        <v>2970</v>
      </c>
      <c r="I886" s="188" t="s">
        <v>2970</v>
      </c>
      <c r="J886" s="188" t="s">
        <v>2970</v>
      </c>
      <c r="K886" s="188" t="s">
        <v>2970</v>
      </c>
    </row>
    <row r="887" spans="4:11" x14ac:dyDescent="0.25">
      <c r="D887" s="47">
        <v>884</v>
      </c>
      <c r="E887" s="188" t="s">
        <v>5407</v>
      </c>
      <c r="F887" s="188" t="s">
        <v>2970</v>
      </c>
      <c r="G887" s="188" t="s">
        <v>2970</v>
      </c>
      <c r="H887" s="188" t="s">
        <v>2970</v>
      </c>
      <c r="I887" s="188" t="s">
        <v>2970</v>
      </c>
      <c r="J887" s="188" t="s">
        <v>2970</v>
      </c>
      <c r="K887" s="188" t="s">
        <v>2970</v>
      </c>
    </row>
    <row r="888" spans="4:11" x14ac:dyDescent="0.25">
      <c r="D888" s="47">
        <v>885</v>
      </c>
      <c r="E888" s="188" t="s">
        <v>3857</v>
      </c>
      <c r="F888" s="188" t="s">
        <v>2970</v>
      </c>
      <c r="G888" s="188" t="s">
        <v>2970</v>
      </c>
      <c r="H888" s="188" t="s">
        <v>2970</v>
      </c>
      <c r="I888" s="188" t="s">
        <v>2970</v>
      </c>
      <c r="J888" s="188" t="s">
        <v>2970</v>
      </c>
      <c r="K888" s="188" t="s">
        <v>2970</v>
      </c>
    </row>
    <row r="889" spans="4:11" x14ac:dyDescent="0.25">
      <c r="D889" s="47">
        <v>886</v>
      </c>
      <c r="E889" s="188" t="s">
        <v>5409</v>
      </c>
      <c r="F889" s="188" t="s">
        <v>3838</v>
      </c>
      <c r="G889" s="188" t="s">
        <v>2970</v>
      </c>
      <c r="H889" s="188" t="s">
        <v>2970</v>
      </c>
      <c r="I889" s="188" t="s">
        <v>2970</v>
      </c>
      <c r="J889" s="188" t="s">
        <v>2970</v>
      </c>
      <c r="K889" s="188" t="s">
        <v>2970</v>
      </c>
    </row>
    <row r="890" spans="4:11" x14ac:dyDescent="0.25">
      <c r="D890" s="47">
        <v>887</v>
      </c>
      <c r="E890" s="188" t="s">
        <v>3856</v>
      </c>
      <c r="F890" s="188" t="s">
        <v>2970</v>
      </c>
      <c r="G890" s="188" t="s">
        <v>2970</v>
      </c>
      <c r="H890" s="188" t="s">
        <v>2970</v>
      </c>
      <c r="I890" s="188" t="s">
        <v>2970</v>
      </c>
      <c r="J890" s="188" t="s">
        <v>2970</v>
      </c>
      <c r="K890" s="188" t="s">
        <v>2970</v>
      </c>
    </row>
    <row r="891" spans="4:11" x14ac:dyDescent="0.25">
      <c r="D891" s="47">
        <v>888</v>
      </c>
      <c r="E891" s="188" t="s">
        <v>5408</v>
      </c>
      <c r="F891" s="188" t="s">
        <v>3838</v>
      </c>
      <c r="G891" s="188" t="s">
        <v>2970</v>
      </c>
      <c r="H891" s="188" t="s">
        <v>2970</v>
      </c>
      <c r="I891" s="188" t="s">
        <v>2970</v>
      </c>
      <c r="J891" s="188" t="s">
        <v>2970</v>
      </c>
      <c r="K891" s="188" t="s">
        <v>2970</v>
      </c>
    </row>
    <row r="892" spans="4:11" x14ac:dyDescent="0.25">
      <c r="D892" s="47">
        <v>889</v>
      </c>
      <c r="E892" s="188" t="s">
        <v>2970</v>
      </c>
      <c r="F892" s="188" t="s">
        <v>2970</v>
      </c>
      <c r="G892" s="188" t="s">
        <v>2970</v>
      </c>
      <c r="H892" s="188" t="s">
        <v>2970</v>
      </c>
      <c r="I892" s="188" t="s">
        <v>2970</v>
      </c>
      <c r="J892" s="188" t="s">
        <v>2970</v>
      </c>
      <c r="K892" s="188">
        <v>310</v>
      </c>
    </row>
    <row r="893" spans="4:11" x14ac:dyDescent="0.25">
      <c r="D893" s="47">
        <v>890</v>
      </c>
      <c r="E893" s="188" t="s">
        <v>5416</v>
      </c>
      <c r="F893" s="188" t="s">
        <v>2970</v>
      </c>
      <c r="G893" s="188" t="s">
        <v>2970</v>
      </c>
      <c r="H893" s="188" t="s">
        <v>2970</v>
      </c>
      <c r="I893" s="188" t="s">
        <v>2970</v>
      </c>
      <c r="J893" s="188" t="s">
        <v>2970</v>
      </c>
      <c r="K893" s="188">
        <v>311</v>
      </c>
    </row>
    <row r="894" spans="4:11" x14ac:dyDescent="0.25">
      <c r="D894" s="47">
        <v>891</v>
      </c>
      <c r="E894" s="188" t="s">
        <v>5415</v>
      </c>
      <c r="F894" s="188" t="s">
        <v>2970</v>
      </c>
      <c r="G894" s="188" t="s">
        <v>2970</v>
      </c>
      <c r="H894" s="188" t="s">
        <v>2970</v>
      </c>
      <c r="I894" s="188" t="s">
        <v>2970</v>
      </c>
      <c r="J894" s="188" t="s">
        <v>2970</v>
      </c>
      <c r="K894" s="188">
        <v>312</v>
      </c>
    </row>
    <row r="895" spans="4:11" x14ac:dyDescent="0.25">
      <c r="D895" s="47">
        <v>892</v>
      </c>
      <c r="E895" s="188" t="s">
        <v>2970</v>
      </c>
      <c r="F895" s="188" t="s">
        <v>2970</v>
      </c>
      <c r="G895" s="188" t="s">
        <v>2970</v>
      </c>
      <c r="H895" s="188" t="s">
        <v>2970</v>
      </c>
      <c r="I895" s="188" t="s">
        <v>2970</v>
      </c>
      <c r="J895" s="188" t="s">
        <v>2970</v>
      </c>
      <c r="K895" s="188">
        <v>313</v>
      </c>
    </row>
    <row r="896" spans="4:11" x14ac:dyDescent="0.25">
      <c r="D896" s="47">
        <v>893</v>
      </c>
      <c r="E896" s="188" t="s">
        <v>5417</v>
      </c>
      <c r="F896" s="188" t="s">
        <v>3853</v>
      </c>
      <c r="G896" s="188" t="s">
        <v>2970</v>
      </c>
      <c r="H896" s="188" t="s">
        <v>2970</v>
      </c>
      <c r="I896" s="188" t="s">
        <v>2970</v>
      </c>
      <c r="J896" s="188" t="s">
        <v>2970</v>
      </c>
      <c r="K896" s="188">
        <v>314</v>
      </c>
    </row>
    <row r="897" spans="4:11" x14ac:dyDescent="0.25">
      <c r="D897" s="47">
        <v>894</v>
      </c>
      <c r="E897" s="188" t="s">
        <v>2970</v>
      </c>
      <c r="F897" s="188" t="s">
        <v>2970</v>
      </c>
      <c r="G897" s="188" t="s">
        <v>2970</v>
      </c>
      <c r="H897" s="188" t="s">
        <v>2970</v>
      </c>
      <c r="I897" s="188" t="s">
        <v>2970</v>
      </c>
      <c r="J897" s="188" t="s">
        <v>2970</v>
      </c>
      <c r="K897" s="188">
        <v>315</v>
      </c>
    </row>
    <row r="898" spans="4:11" x14ac:dyDescent="0.25">
      <c r="D898" s="47">
        <v>895</v>
      </c>
      <c r="E898" s="188" t="s">
        <v>5417</v>
      </c>
      <c r="F898" s="188" t="s">
        <v>3853</v>
      </c>
      <c r="G898" s="188" t="s">
        <v>3851</v>
      </c>
      <c r="H898" s="188" t="s">
        <v>2970</v>
      </c>
      <c r="I898" s="188" t="s">
        <v>2970</v>
      </c>
      <c r="J898" s="188" t="s">
        <v>2970</v>
      </c>
      <c r="K898" s="188">
        <v>316</v>
      </c>
    </row>
    <row r="899" spans="4:11" x14ac:dyDescent="0.25">
      <c r="D899" s="47">
        <v>896</v>
      </c>
      <c r="E899" s="188" t="s">
        <v>5417</v>
      </c>
      <c r="F899" s="188" t="s">
        <v>3853</v>
      </c>
      <c r="G899" s="188" t="s">
        <v>4965</v>
      </c>
      <c r="H899" s="188" t="s">
        <v>2970</v>
      </c>
      <c r="I899" s="188" t="s">
        <v>2970</v>
      </c>
      <c r="J899" s="188" t="s">
        <v>2970</v>
      </c>
      <c r="K899" s="188">
        <v>317</v>
      </c>
    </row>
    <row r="900" spans="4:11" x14ac:dyDescent="0.25">
      <c r="D900" s="47">
        <v>897</v>
      </c>
      <c r="E900" s="188" t="s">
        <v>2970</v>
      </c>
      <c r="F900" s="188" t="s">
        <v>2970</v>
      </c>
      <c r="G900" s="188" t="s">
        <v>2970</v>
      </c>
      <c r="H900" s="188" t="s">
        <v>2970</v>
      </c>
      <c r="I900" s="188" t="s">
        <v>2970</v>
      </c>
      <c r="J900" s="188" t="s">
        <v>2970</v>
      </c>
      <c r="K900" s="188">
        <v>318</v>
      </c>
    </row>
    <row r="901" spans="4:11" x14ac:dyDescent="0.25">
      <c r="D901" s="47">
        <v>898</v>
      </c>
      <c r="E901" s="188" t="s">
        <v>5418</v>
      </c>
      <c r="F901" s="188" t="s">
        <v>3854</v>
      </c>
      <c r="G901" s="188" t="s">
        <v>2970</v>
      </c>
      <c r="H901" s="188" t="s">
        <v>2970</v>
      </c>
      <c r="I901" s="188" t="s">
        <v>2970</v>
      </c>
      <c r="J901" s="188" t="s">
        <v>2970</v>
      </c>
      <c r="K901" s="188">
        <v>319</v>
      </c>
    </row>
    <row r="902" spans="4:11" x14ac:dyDescent="0.25">
      <c r="D902" s="47">
        <v>899</v>
      </c>
      <c r="E902" s="188" t="s">
        <v>2970</v>
      </c>
      <c r="F902" s="188" t="s">
        <v>2970</v>
      </c>
      <c r="G902" s="188" t="s">
        <v>2970</v>
      </c>
      <c r="H902" s="188" t="s">
        <v>2970</v>
      </c>
      <c r="I902" s="188" t="s">
        <v>2970</v>
      </c>
      <c r="J902" s="188" t="s">
        <v>2970</v>
      </c>
      <c r="K902" s="188">
        <v>320</v>
      </c>
    </row>
    <row r="903" spans="4:11" x14ac:dyDescent="0.25">
      <c r="D903" s="47">
        <v>900</v>
      </c>
      <c r="E903" s="188" t="s">
        <v>5418</v>
      </c>
      <c r="F903" s="188" t="s">
        <v>3854</v>
      </c>
      <c r="G903" s="188" t="s">
        <v>3851</v>
      </c>
      <c r="H903" s="188" t="s">
        <v>2970</v>
      </c>
      <c r="I903" s="188" t="s">
        <v>2970</v>
      </c>
      <c r="J903" s="188" t="s">
        <v>2970</v>
      </c>
      <c r="K903" s="188">
        <v>321</v>
      </c>
    </row>
    <row r="904" spans="4:11" x14ac:dyDescent="0.25">
      <c r="D904" s="47">
        <v>901</v>
      </c>
      <c r="E904" s="188" t="s">
        <v>5418</v>
      </c>
      <c r="F904" s="188" t="s">
        <v>3854</v>
      </c>
      <c r="G904" s="188" t="s">
        <v>4965</v>
      </c>
      <c r="H904" s="188" t="s">
        <v>2970</v>
      </c>
      <c r="I904" s="188" t="s">
        <v>2970</v>
      </c>
      <c r="J904" s="188" t="s">
        <v>2970</v>
      </c>
      <c r="K904" s="188">
        <v>322</v>
      </c>
    </row>
    <row r="905" spans="4:11" x14ac:dyDescent="0.25">
      <c r="D905" s="47">
        <v>902</v>
      </c>
      <c r="E905" s="188" t="s">
        <v>2970</v>
      </c>
      <c r="F905" s="188" t="s">
        <v>2970</v>
      </c>
      <c r="G905" s="188" t="s">
        <v>2970</v>
      </c>
      <c r="H905" s="188" t="s">
        <v>2970</v>
      </c>
      <c r="I905" s="188" t="s">
        <v>2970</v>
      </c>
      <c r="J905" s="188" t="s">
        <v>2970</v>
      </c>
      <c r="K905" s="188">
        <v>323</v>
      </c>
    </row>
    <row r="906" spans="4:11" x14ac:dyDescent="0.25">
      <c r="D906" s="47">
        <v>903</v>
      </c>
      <c r="E906" s="188" t="s">
        <v>5419</v>
      </c>
      <c r="F906" s="188" t="s">
        <v>3855</v>
      </c>
      <c r="G906" s="188" t="s">
        <v>2970</v>
      </c>
      <c r="H906" s="188" t="s">
        <v>2970</v>
      </c>
      <c r="I906" s="188" t="s">
        <v>2970</v>
      </c>
      <c r="J906" s="188" t="s">
        <v>2970</v>
      </c>
      <c r="K906" s="188">
        <v>324</v>
      </c>
    </row>
    <row r="907" spans="4:11" x14ac:dyDescent="0.25">
      <c r="D907" s="47">
        <v>904</v>
      </c>
      <c r="E907" s="188" t="s">
        <v>2970</v>
      </c>
      <c r="F907" s="188" t="s">
        <v>2970</v>
      </c>
      <c r="G907" s="188" t="s">
        <v>2970</v>
      </c>
      <c r="H907" s="188" t="s">
        <v>2970</v>
      </c>
      <c r="I907" s="188" t="s">
        <v>2970</v>
      </c>
      <c r="J907" s="188" t="s">
        <v>2970</v>
      </c>
      <c r="K907" s="188">
        <v>325</v>
      </c>
    </row>
    <row r="908" spans="4:11" x14ac:dyDescent="0.25">
      <c r="D908" s="47">
        <v>905</v>
      </c>
      <c r="E908" s="188" t="s">
        <v>2970</v>
      </c>
      <c r="F908" s="188" t="s">
        <v>2970</v>
      </c>
      <c r="G908" s="188" t="s">
        <v>2970</v>
      </c>
      <c r="H908" s="188" t="s">
        <v>2970</v>
      </c>
      <c r="I908" s="188" t="s">
        <v>2970</v>
      </c>
      <c r="J908" s="188" t="s">
        <v>2970</v>
      </c>
      <c r="K908" s="188">
        <v>334</v>
      </c>
    </row>
    <row r="909" spans="4:11" x14ac:dyDescent="0.25">
      <c r="D909" s="47">
        <v>906</v>
      </c>
      <c r="E909" s="188" t="s">
        <v>5421</v>
      </c>
      <c r="F909" s="188" t="s">
        <v>3856</v>
      </c>
      <c r="G909" s="188" t="s">
        <v>2970</v>
      </c>
      <c r="H909" s="188" t="s">
        <v>2970</v>
      </c>
      <c r="I909" s="188" t="s">
        <v>2970</v>
      </c>
      <c r="J909" s="188" t="s">
        <v>2970</v>
      </c>
      <c r="K909" s="188">
        <v>335</v>
      </c>
    </row>
    <row r="910" spans="4:11" x14ac:dyDescent="0.25">
      <c r="D910" s="47">
        <v>907</v>
      </c>
      <c r="E910" s="188" t="s">
        <v>2970</v>
      </c>
      <c r="F910" s="188" t="s">
        <v>2970</v>
      </c>
      <c r="G910" s="188" t="s">
        <v>2970</v>
      </c>
      <c r="H910" s="188" t="s">
        <v>2970</v>
      </c>
      <c r="I910" s="188" t="s">
        <v>2970</v>
      </c>
      <c r="J910" s="188" t="s">
        <v>2970</v>
      </c>
      <c r="K910" s="188">
        <v>337</v>
      </c>
    </row>
    <row r="911" spans="4:11" x14ac:dyDescent="0.25">
      <c r="D911" s="47">
        <v>908</v>
      </c>
      <c r="E911" s="188" t="s">
        <v>5421</v>
      </c>
      <c r="F911" s="188" t="s">
        <v>3856</v>
      </c>
      <c r="G911" s="188" t="s">
        <v>3838</v>
      </c>
      <c r="H911" s="188" t="s">
        <v>2970</v>
      </c>
      <c r="I911" s="188" t="s">
        <v>2970</v>
      </c>
      <c r="J911" s="188" t="s">
        <v>2970</v>
      </c>
      <c r="K911" s="188">
        <v>338</v>
      </c>
    </row>
    <row r="912" spans="4:11" x14ac:dyDescent="0.25">
      <c r="D912" s="47">
        <v>909</v>
      </c>
      <c r="E912" s="188" t="s">
        <v>5421</v>
      </c>
      <c r="F912" s="188" t="s">
        <v>3856</v>
      </c>
      <c r="G912" s="188" t="s">
        <v>4967</v>
      </c>
      <c r="H912" s="188" t="s">
        <v>2970</v>
      </c>
      <c r="I912" s="188" t="s">
        <v>2970</v>
      </c>
      <c r="J912" s="188" t="s">
        <v>2970</v>
      </c>
      <c r="K912" s="188">
        <v>339</v>
      </c>
    </row>
    <row r="913" spans="4:11" x14ac:dyDescent="0.25">
      <c r="D913" s="47">
        <v>910</v>
      </c>
      <c r="E913" s="188" t="s">
        <v>5421</v>
      </c>
      <c r="F913" s="188" t="s">
        <v>3856</v>
      </c>
      <c r="G913" s="188" t="s">
        <v>4970</v>
      </c>
      <c r="H913" s="188" t="s">
        <v>2970</v>
      </c>
      <c r="I913" s="188" t="s">
        <v>2970</v>
      </c>
      <c r="J913" s="188" t="s">
        <v>2970</v>
      </c>
      <c r="K913" s="188">
        <v>340</v>
      </c>
    </row>
    <row r="914" spans="4:11" x14ac:dyDescent="0.25">
      <c r="D914" s="47">
        <v>911</v>
      </c>
      <c r="E914" s="188" t="s">
        <v>5421</v>
      </c>
      <c r="F914" s="188" t="s">
        <v>3856</v>
      </c>
      <c r="G914" s="188" t="s">
        <v>4971</v>
      </c>
      <c r="H914" s="188" t="s">
        <v>2970</v>
      </c>
      <c r="I914" s="188" t="s">
        <v>2970</v>
      </c>
      <c r="J914" s="188" t="s">
        <v>2970</v>
      </c>
      <c r="K914" s="188">
        <v>341</v>
      </c>
    </row>
    <row r="915" spans="4:11" x14ac:dyDescent="0.25">
      <c r="D915" s="47">
        <v>912</v>
      </c>
      <c r="E915" s="188" t="s">
        <v>5421</v>
      </c>
      <c r="F915" s="188" t="s">
        <v>3856</v>
      </c>
      <c r="G915" s="188" t="s">
        <v>4969</v>
      </c>
      <c r="H915" s="188" t="s">
        <v>2970</v>
      </c>
      <c r="I915" s="188" t="s">
        <v>2970</v>
      </c>
      <c r="J915" s="188" t="s">
        <v>2970</v>
      </c>
      <c r="K915" s="188">
        <v>342</v>
      </c>
    </row>
    <row r="916" spans="4:11" x14ac:dyDescent="0.25">
      <c r="D916" s="47">
        <v>913</v>
      </c>
      <c r="E916" s="188" t="s">
        <v>2970</v>
      </c>
      <c r="F916" s="188" t="s">
        <v>2970</v>
      </c>
      <c r="G916" s="188" t="s">
        <v>2970</v>
      </c>
      <c r="H916" s="188" t="s">
        <v>2970</v>
      </c>
      <c r="I916" s="188" t="s">
        <v>2970</v>
      </c>
      <c r="J916" s="188" t="s">
        <v>2970</v>
      </c>
      <c r="K916" s="188">
        <v>326</v>
      </c>
    </row>
    <row r="917" spans="4:11" x14ac:dyDescent="0.25">
      <c r="D917" s="47">
        <v>914</v>
      </c>
      <c r="E917" s="188" t="s">
        <v>5420</v>
      </c>
      <c r="F917" s="188" t="s">
        <v>3857</v>
      </c>
      <c r="G917" s="188" t="s">
        <v>2970</v>
      </c>
      <c r="H917" s="188" t="s">
        <v>2970</v>
      </c>
      <c r="I917" s="188" t="s">
        <v>2970</v>
      </c>
      <c r="J917" s="188" t="s">
        <v>2970</v>
      </c>
      <c r="K917" s="188">
        <v>327</v>
      </c>
    </row>
    <row r="918" spans="4:11" x14ac:dyDescent="0.25">
      <c r="D918" s="47">
        <v>915</v>
      </c>
      <c r="E918" s="188" t="s">
        <v>2970</v>
      </c>
      <c r="F918" s="188" t="s">
        <v>2970</v>
      </c>
      <c r="G918" s="188" t="s">
        <v>2970</v>
      </c>
      <c r="H918" s="188" t="s">
        <v>2970</v>
      </c>
      <c r="I918" s="188" t="s">
        <v>2970</v>
      </c>
      <c r="J918" s="188" t="s">
        <v>2970</v>
      </c>
      <c r="K918" s="188">
        <v>328</v>
      </c>
    </row>
    <row r="919" spans="4:11" x14ac:dyDescent="0.25">
      <c r="D919" s="47">
        <v>916</v>
      </c>
      <c r="E919" s="188" t="s">
        <v>5420</v>
      </c>
      <c r="F919" s="188" t="s">
        <v>3857</v>
      </c>
      <c r="G919" s="188" t="s">
        <v>3838</v>
      </c>
      <c r="H919" s="188" t="s">
        <v>2970</v>
      </c>
      <c r="I919" s="188" t="s">
        <v>2970</v>
      </c>
      <c r="J919" s="188" t="s">
        <v>2970</v>
      </c>
      <c r="K919" s="188">
        <v>329</v>
      </c>
    </row>
    <row r="920" spans="4:11" x14ac:dyDescent="0.25">
      <c r="D920" s="47">
        <v>917</v>
      </c>
      <c r="E920" s="188" t="s">
        <v>5420</v>
      </c>
      <c r="F920" s="188" t="s">
        <v>3857</v>
      </c>
      <c r="G920" s="188" t="s">
        <v>4967</v>
      </c>
      <c r="H920" s="188" t="s">
        <v>2970</v>
      </c>
      <c r="I920" s="188" t="s">
        <v>2970</v>
      </c>
      <c r="J920" s="188" t="s">
        <v>2970</v>
      </c>
      <c r="K920" s="188">
        <v>330</v>
      </c>
    </row>
    <row r="921" spans="4:11" x14ac:dyDescent="0.25">
      <c r="D921" s="47">
        <v>918</v>
      </c>
      <c r="E921" s="188" t="s">
        <v>5420</v>
      </c>
      <c r="F921" s="188" t="s">
        <v>3857</v>
      </c>
      <c r="G921" s="188" t="s">
        <v>4970</v>
      </c>
      <c r="H921" s="188" t="s">
        <v>2970</v>
      </c>
      <c r="I921" s="188" t="s">
        <v>2970</v>
      </c>
      <c r="J921" s="188" t="s">
        <v>2970</v>
      </c>
      <c r="K921" s="188">
        <v>331</v>
      </c>
    </row>
    <row r="922" spans="4:11" x14ac:dyDescent="0.25">
      <c r="D922" s="47">
        <v>919</v>
      </c>
      <c r="E922" s="188" t="s">
        <v>5420</v>
      </c>
      <c r="F922" s="188" t="s">
        <v>3857</v>
      </c>
      <c r="G922" s="188" t="s">
        <v>4971</v>
      </c>
      <c r="H922" s="188" t="s">
        <v>2970</v>
      </c>
      <c r="I922" s="188" t="s">
        <v>2970</v>
      </c>
      <c r="J922" s="188" t="s">
        <v>2970</v>
      </c>
      <c r="K922" s="188">
        <v>332</v>
      </c>
    </row>
    <row r="923" spans="4:11" x14ac:dyDescent="0.25">
      <c r="D923" s="47">
        <v>920</v>
      </c>
      <c r="E923" s="188" t="s">
        <v>5420</v>
      </c>
      <c r="F923" s="188" t="s">
        <v>3857</v>
      </c>
      <c r="G923" s="188" t="s">
        <v>4969</v>
      </c>
      <c r="H923" s="188" t="s">
        <v>2970</v>
      </c>
      <c r="I923" s="188" t="s">
        <v>2970</v>
      </c>
      <c r="J923" s="188" t="s">
        <v>2970</v>
      </c>
      <c r="K923" s="188">
        <v>333</v>
      </c>
    </row>
    <row r="924" spans="4:11" x14ac:dyDescent="0.25">
      <c r="D924" s="47">
        <v>921</v>
      </c>
      <c r="E924" s="188" t="s">
        <v>5422</v>
      </c>
      <c r="F924" s="188" t="s">
        <v>2970</v>
      </c>
      <c r="G924" s="188" t="s">
        <v>2970</v>
      </c>
      <c r="H924" s="188" t="s">
        <v>2970</v>
      </c>
      <c r="I924" s="188" t="s">
        <v>2970</v>
      </c>
      <c r="J924" s="188" t="s">
        <v>2970</v>
      </c>
      <c r="K924" s="188">
        <v>336</v>
      </c>
    </row>
    <row r="925" spans="4:11" x14ac:dyDescent="0.25">
      <c r="D925" s="47">
        <v>922</v>
      </c>
      <c r="E925" s="188" t="s">
        <v>5423</v>
      </c>
      <c r="F925" s="188" t="s">
        <v>2970</v>
      </c>
      <c r="G925" s="188" t="s">
        <v>2970</v>
      </c>
      <c r="H925" s="188" t="s">
        <v>2970</v>
      </c>
      <c r="I925" s="188" t="s">
        <v>2970</v>
      </c>
      <c r="J925" s="188" t="s">
        <v>2970</v>
      </c>
      <c r="K925" s="188" t="s">
        <v>2970</v>
      </c>
    </row>
    <row r="926" spans="4:11" x14ac:dyDescent="0.25">
      <c r="D926" s="47">
        <v>923</v>
      </c>
      <c r="E926" s="188" t="s">
        <v>5424</v>
      </c>
      <c r="F926" s="188" t="s">
        <v>2970</v>
      </c>
      <c r="G926" s="188" t="s">
        <v>2970</v>
      </c>
      <c r="H926" s="188" t="s">
        <v>2970</v>
      </c>
      <c r="I926" s="188" t="s">
        <v>2970</v>
      </c>
      <c r="J926" s="188" t="s">
        <v>2970</v>
      </c>
      <c r="K926" s="188" t="s">
        <v>2970</v>
      </c>
    </row>
    <row r="927" spans="4:11" x14ac:dyDescent="0.25">
      <c r="D927" s="47">
        <v>924</v>
      </c>
      <c r="E927" s="188" t="s">
        <v>5425</v>
      </c>
      <c r="F927" s="188" t="s">
        <v>2970</v>
      </c>
      <c r="G927" s="188" t="s">
        <v>2970</v>
      </c>
      <c r="H927" s="188" t="s">
        <v>2970</v>
      </c>
      <c r="I927" s="188" t="s">
        <v>2970</v>
      </c>
      <c r="J927" s="188" t="s">
        <v>2970</v>
      </c>
      <c r="K927" s="188" t="s">
        <v>2970</v>
      </c>
    </row>
    <row r="928" spans="4:11" x14ac:dyDescent="0.25">
      <c r="D928" s="47">
        <v>925</v>
      </c>
      <c r="E928" s="188" t="s">
        <v>5426</v>
      </c>
      <c r="F928" s="188" t="s">
        <v>2970</v>
      </c>
      <c r="G928" s="188" t="s">
        <v>2970</v>
      </c>
      <c r="H928" s="188" t="s">
        <v>2970</v>
      </c>
      <c r="I928" s="188" t="s">
        <v>2970</v>
      </c>
      <c r="J928" s="188" t="s">
        <v>2970</v>
      </c>
      <c r="K928" s="188" t="s">
        <v>2970</v>
      </c>
    </row>
    <row r="929" spans="4:11" x14ac:dyDescent="0.25">
      <c r="D929" s="47">
        <v>926</v>
      </c>
      <c r="E929" s="188" t="s">
        <v>2970</v>
      </c>
      <c r="F929" s="188" t="s">
        <v>2970</v>
      </c>
      <c r="G929" s="188" t="s">
        <v>2970</v>
      </c>
      <c r="H929" s="188" t="s">
        <v>2970</v>
      </c>
      <c r="I929" s="188" t="s">
        <v>2970</v>
      </c>
      <c r="J929" s="188" t="s">
        <v>2970</v>
      </c>
      <c r="K929" s="188">
        <v>343</v>
      </c>
    </row>
    <row r="930" spans="4:11" x14ac:dyDescent="0.25">
      <c r="D930" s="47">
        <v>927</v>
      </c>
      <c r="E930" s="188" t="s">
        <v>5427</v>
      </c>
      <c r="F930" s="188" t="s">
        <v>2970</v>
      </c>
      <c r="G930" s="188" t="s">
        <v>2970</v>
      </c>
      <c r="H930" s="188" t="s">
        <v>2970</v>
      </c>
      <c r="I930" s="188" t="s">
        <v>2970</v>
      </c>
      <c r="J930" s="188" t="s">
        <v>2970</v>
      </c>
      <c r="K930" s="188">
        <v>344</v>
      </c>
    </row>
    <row r="931" spans="4:11" x14ac:dyDescent="0.25">
      <c r="D931" s="47">
        <v>928</v>
      </c>
      <c r="E931" s="188" t="s">
        <v>5428</v>
      </c>
      <c r="F931" s="188" t="s">
        <v>2970</v>
      </c>
      <c r="G931" s="188" t="s">
        <v>2970</v>
      </c>
      <c r="H931" s="188" t="s">
        <v>2970</v>
      </c>
      <c r="I931" s="188" t="s">
        <v>2970</v>
      </c>
      <c r="J931" s="188" t="s">
        <v>2970</v>
      </c>
      <c r="K931" s="188">
        <v>345</v>
      </c>
    </row>
    <row r="932" spans="4:11" x14ac:dyDescent="0.25">
      <c r="D932" s="47">
        <v>929</v>
      </c>
      <c r="E932" s="188" t="s">
        <v>5429</v>
      </c>
      <c r="F932" s="188" t="s">
        <v>2970</v>
      </c>
      <c r="G932" s="188" t="s">
        <v>2970</v>
      </c>
      <c r="H932" s="188" t="s">
        <v>2970</v>
      </c>
      <c r="I932" s="188" t="s">
        <v>2970</v>
      </c>
      <c r="J932" s="188" t="s">
        <v>2970</v>
      </c>
      <c r="K932" s="188" t="s">
        <v>2970</v>
      </c>
    </row>
    <row r="933" spans="4:11" x14ac:dyDescent="0.25">
      <c r="D933" s="47">
        <v>930</v>
      </c>
      <c r="E933" s="188" t="s">
        <v>5430</v>
      </c>
      <c r="F933" s="188" t="s">
        <v>2970</v>
      </c>
      <c r="G933" s="188" t="s">
        <v>2970</v>
      </c>
      <c r="H933" s="188" t="s">
        <v>2970</v>
      </c>
      <c r="I933" s="188" t="s">
        <v>2970</v>
      </c>
      <c r="J933" s="188" t="s">
        <v>2970</v>
      </c>
      <c r="K933" s="188">
        <v>346</v>
      </c>
    </row>
    <row r="934" spans="4:11" x14ac:dyDescent="0.25">
      <c r="D934" s="47">
        <v>931</v>
      </c>
      <c r="E934" s="188" t="s">
        <v>5431</v>
      </c>
      <c r="F934" s="188" t="s">
        <v>2970</v>
      </c>
      <c r="G934" s="188" t="s">
        <v>2970</v>
      </c>
      <c r="H934" s="188" t="s">
        <v>2970</v>
      </c>
      <c r="I934" s="188" t="s">
        <v>2970</v>
      </c>
      <c r="J934" s="188" t="s">
        <v>2970</v>
      </c>
      <c r="K934" s="188">
        <v>347</v>
      </c>
    </row>
    <row r="935" spans="4:11" x14ac:dyDescent="0.25">
      <c r="D935" s="47">
        <v>932</v>
      </c>
      <c r="E935" s="188" t="s">
        <v>5432</v>
      </c>
      <c r="F935" s="188" t="s">
        <v>2970</v>
      </c>
      <c r="G935" s="188" t="s">
        <v>2970</v>
      </c>
      <c r="H935" s="188" t="s">
        <v>2970</v>
      </c>
      <c r="I935" s="188" t="s">
        <v>2970</v>
      </c>
      <c r="J935" s="188" t="s">
        <v>2970</v>
      </c>
      <c r="K935" s="188" t="s">
        <v>2970</v>
      </c>
    </row>
    <row r="936" spans="4:11" x14ac:dyDescent="0.25">
      <c r="D936" s="47">
        <v>933</v>
      </c>
      <c r="E936" s="188" t="s">
        <v>5433</v>
      </c>
      <c r="F936" s="188" t="s">
        <v>2970</v>
      </c>
      <c r="G936" s="188" t="s">
        <v>2970</v>
      </c>
      <c r="H936" s="188" t="s">
        <v>2970</v>
      </c>
      <c r="I936" s="188" t="s">
        <v>2970</v>
      </c>
      <c r="J936" s="188" t="s">
        <v>2970</v>
      </c>
      <c r="K936" s="188" t="s">
        <v>2970</v>
      </c>
    </row>
    <row r="937" spans="4:11" x14ac:dyDescent="0.25">
      <c r="D937" s="47">
        <v>934</v>
      </c>
      <c r="E937" s="188" t="s">
        <v>5434</v>
      </c>
      <c r="F937" s="188" t="s">
        <v>2970</v>
      </c>
      <c r="G937" s="188" t="s">
        <v>2970</v>
      </c>
      <c r="H937" s="188" t="s">
        <v>2970</v>
      </c>
      <c r="I937" s="188" t="s">
        <v>2970</v>
      </c>
      <c r="J937" s="188" t="s">
        <v>2970</v>
      </c>
      <c r="K937" s="188">
        <v>348</v>
      </c>
    </row>
    <row r="938" spans="4:11" x14ac:dyDescent="0.25">
      <c r="D938" s="47">
        <v>935</v>
      </c>
      <c r="E938" s="188" t="s">
        <v>2970</v>
      </c>
      <c r="F938" s="188" t="s">
        <v>2970</v>
      </c>
      <c r="G938" s="188" t="s">
        <v>2970</v>
      </c>
      <c r="H938" s="188" t="s">
        <v>2970</v>
      </c>
      <c r="I938" s="188" t="s">
        <v>2970</v>
      </c>
      <c r="J938" s="188" t="s">
        <v>2970</v>
      </c>
      <c r="K938" s="188">
        <v>349</v>
      </c>
    </row>
    <row r="939" spans="4:11" x14ac:dyDescent="0.25">
      <c r="D939" s="47">
        <v>936</v>
      </c>
      <c r="E939" s="188" t="s">
        <v>2970</v>
      </c>
      <c r="F939" s="188" t="s">
        <v>2970</v>
      </c>
      <c r="G939" s="188" t="s">
        <v>2970</v>
      </c>
      <c r="H939" s="188" t="s">
        <v>2970</v>
      </c>
      <c r="I939" s="188" t="s">
        <v>2970</v>
      </c>
      <c r="J939" s="188" t="s">
        <v>2970</v>
      </c>
      <c r="K939" s="188">
        <v>350</v>
      </c>
    </row>
    <row r="940" spans="4:11" x14ac:dyDescent="0.25">
      <c r="D940" s="47">
        <v>937</v>
      </c>
      <c r="E940" s="188" t="s">
        <v>2970</v>
      </c>
      <c r="F940" s="188" t="s">
        <v>2970</v>
      </c>
      <c r="G940" s="188" t="s">
        <v>2970</v>
      </c>
      <c r="H940" s="188" t="s">
        <v>2970</v>
      </c>
      <c r="I940" s="188" t="s">
        <v>2970</v>
      </c>
      <c r="J940" s="188" t="s">
        <v>2970</v>
      </c>
      <c r="K940" s="188">
        <v>351</v>
      </c>
    </row>
    <row r="941" spans="4:11" x14ac:dyDescent="0.25">
      <c r="D941" s="47">
        <v>938</v>
      </c>
      <c r="E941" s="188" t="s">
        <v>2970</v>
      </c>
      <c r="F941" s="188" t="s">
        <v>2970</v>
      </c>
      <c r="G941" s="188" t="s">
        <v>2970</v>
      </c>
      <c r="H941" s="188" t="s">
        <v>2970</v>
      </c>
      <c r="I941" s="188" t="s">
        <v>2970</v>
      </c>
      <c r="J941" s="188" t="s">
        <v>2970</v>
      </c>
      <c r="K941" s="188">
        <v>352</v>
      </c>
    </row>
    <row r="942" spans="4:11" x14ac:dyDescent="0.25">
      <c r="D942" s="47">
        <v>939</v>
      </c>
      <c r="E942" s="188" t="s">
        <v>2970</v>
      </c>
      <c r="F942" s="188" t="s">
        <v>2970</v>
      </c>
      <c r="G942" s="188" t="s">
        <v>2970</v>
      </c>
      <c r="H942" s="188" t="s">
        <v>2970</v>
      </c>
      <c r="I942" s="188" t="s">
        <v>2970</v>
      </c>
      <c r="J942" s="188" t="s">
        <v>2970</v>
      </c>
      <c r="K942" s="188">
        <v>353</v>
      </c>
    </row>
    <row r="943" spans="4:11" x14ac:dyDescent="0.25">
      <c r="D943" s="47">
        <v>940</v>
      </c>
      <c r="E943" s="188" t="s">
        <v>5435</v>
      </c>
      <c r="F943" s="188" t="s">
        <v>2970</v>
      </c>
      <c r="G943" s="188" t="s">
        <v>2970</v>
      </c>
      <c r="H943" s="188" t="s">
        <v>2970</v>
      </c>
      <c r="I943" s="188" t="s">
        <v>2970</v>
      </c>
      <c r="J943" s="188" t="s">
        <v>2970</v>
      </c>
      <c r="K943" s="188" t="s">
        <v>2970</v>
      </c>
    </row>
    <row r="944" spans="4:11" x14ac:dyDescent="0.25">
      <c r="D944" s="47">
        <v>941</v>
      </c>
      <c r="E944" s="188" t="s">
        <v>5436</v>
      </c>
      <c r="F944" s="188" t="s">
        <v>2970</v>
      </c>
      <c r="G944" s="188" t="s">
        <v>2970</v>
      </c>
      <c r="H944" s="188" t="s">
        <v>2970</v>
      </c>
      <c r="I944" s="188" t="s">
        <v>2970</v>
      </c>
      <c r="J944" s="188" t="s">
        <v>2970</v>
      </c>
      <c r="K944" s="188" t="s">
        <v>2970</v>
      </c>
    </row>
    <row r="945" spans="4:11" x14ac:dyDescent="0.25">
      <c r="D945" s="47">
        <v>942</v>
      </c>
      <c r="E945" s="188" t="s">
        <v>5437</v>
      </c>
      <c r="F945" s="188" t="s">
        <v>2970</v>
      </c>
      <c r="G945" s="188" t="s">
        <v>2970</v>
      </c>
      <c r="H945" s="188" t="s">
        <v>2970</v>
      </c>
      <c r="I945" s="188" t="s">
        <v>2970</v>
      </c>
      <c r="J945" s="188" t="s">
        <v>2970</v>
      </c>
      <c r="K945" s="188" t="s">
        <v>2970</v>
      </c>
    </row>
    <row r="946" spans="4:11" x14ac:dyDescent="0.25">
      <c r="D946" s="47">
        <v>943</v>
      </c>
      <c r="E946" s="188" t="s">
        <v>5438</v>
      </c>
      <c r="F946" s="188" t="s">
        <v>2970</v>
      </c>
      <c r="G946" s="188" t="s">
        <v>2970</v>
      </c>
      <c r="H946" s="188" t="s">
        <v>2970</v>
      </c>
      <c r="I946" s="188" t="s">
        <v>2970</v>
      </c>
      <c r="J946" s="188" t="s">
        <v>2970</v>
      </c>
      <c r="K946" s="188" t="s">
        <v>2970</v>
      </c>
    </row>
    <row r="947" spans="4:11" x14ac:dyDescent="0.25">
      <c r="D947" s="47">
        <v>944</v>
      </c>
      <c r="E947" s="188" t="s">
        <v>3823</v>
      </c>
      <c r="F947" s="188" t="s">
        <v>2970</v>
      </c>
      <c r="G947" s="188" t="s">
        <v>2970</v>
      </c>
      <c r="H947" s="188" t="s">
        <v>2970</v>
      </c>
      <c r="I947" s="188" t="s">
        <v>2970</v>
      </c>
      <c r="J947" s="188" t="s">
        <v>2970</v>
      </c>
      <c r="K947" s="188" t="s">
        <v>2970</v>
      </c>
    </row>
    <row r="948" spans="4:11" x14ac:dyDescent="0.25">
      <c r="D948" s="47">
        <v>945</v>
      </c>
      <c r="E948" s="188" t="s">
        <v>5439</v>
      </c>
      <c r="F948" s="188" t="s">
        <v>2970</v>
      </c>
      <c r="G948" s="188" t="s">
        <v>2970</v>
      </c>
      <c r="H948" s="188" t="s">
        <v>2970</v>
      </c>
      <c r="I948" s="188" t="s">
        <v>2970</v>
      </c>
      <c r="J948" s="188" t="s">
        <v>2970</v>
      </c>
      <c r="K948" s="188" t="s">
        <v>2970</v>
      </c>
    </row>
    <row r="949" spans="4:11" x14ac:dyDescent="0.25">
      <c r="D949" s="47">
        <v>946</v>
      </c>
      <c r="E949" s="188" t="s">
        <v>5440</v>
      </c>
      <c r="F949" s="188" t="s">
        <v>2970</v>
      </c>
      <c r="G949" s="188" t="s">
        <v>2970</v>
      </c>
      <c r="H949" s="188" t="s">
        <v>2970</v>
      </c>
      <c r="I949" s="188" t="s">
        <v>2970</v>
      </c>
      <c r="J949" s="188" t="s">
        <v>2970</v>
      </c>
      <c r="K949" s="188" t="s">
        <v>2970</v>
      </c>
    </row>
    <row r="950" spans="4:11" x14ac:dyDescent="0.25">
      <c r="D950" s="47">
        <v>947</v>
      </c>
      <c r="E950" s="188" t="s">
        <v>5441</v>
      </c>
      <c r="F950" s="188" t="s">
        <v>2970</v>
      </c>
      <c r="G950" s="188" t="s">
        <v>2970</v>
      </c>
      <c r="H950" s="188" t="s">
        <v>2970</v>
      </c>
      <c r="I950" s="188" t="s">
        <v>2970</v>
      </c>
      <c r="J950" s="188" t="s">
        <v>2970</v>
      </c>
      <c r="K950" s="188" t="s">
        <v>2970</v>
      </c>
    </row>
    <row r="951" spans="4:11" x14ac:dyDescent="0.25">
      <c r="D951" s="47">
        <v>948</v>
      </c>
      <c r="E951" s="188" t="s">
        <v>5442</v>
      </c>
      <c r="F951" s="188" t="s">
        <v>2970</v>
      </c>
      <c r="G951" s="188" t="s">
        <v>2970</v>
      </c>
      <c r="H951" s="188" t="s">
        <v>2970</v>
      </c>
      <c r="I951" s="188" t="s">
        <v>2970</v>
      </c>
      <c r="J951" s="188" t="s">
        <v>2970</v>
      </c>
      <c r="K951" s="188" t="s">
        <v>2970</v>
      </c>
    </row>
    <row r="952" spans="4:11" x14ac:dyDescent="0.25">
      <c r="D952" s="47">
        <v>949</v>
      </c>
      <c r="E952" s="188" t="s">
        <v>5443</v>
      </c>
      <c r="F952" s="188" t="s">
        <v>2970</v>
      </c>
      <c r="G952" s="188" t="s">
        <v>2970</v>
      </c>
      <c r="H952" s="188" t="s">
        <v>2970</v>
      </c>
      <c r="I952" s="188" t="s">
        <v>2970</v>
      </c>
      <c r="J952" s="188" t="s">
        <v>2970</v>
      </c>
      <c r="K952" s="188" t="s">
        <v>2970</v>
      </c>
    </row>
    <row r="953" spans="4:11" x14ac:dyDescent="0.25">
      <c r="D953" s="47">
        <v>950</v>
      </c>
      <c r="E953" s="188" t="s">
        <v>3858</v>
      </c>
      <c r="F953" s="188" t="s">
        <v>2970</v>
      </c>
      <c r="G953" s="188" t="s">
        <v>2970</v>
      </c>
      <c r="H953" s="188" t="s">
        <v>2970</v>
      </c>
      <c r="I953" s="188" t="s">
        <v>2970</v>
      </c>
      <c r="J953" s="188" t="s">
        <v>2970</v>
      </c>
      <c r="K953" s="188">
        <v>497</v>
      </c>
    </row>
    <row r="954" spans="4:11" x14ac:dyDescent="0.25">
      <c r="D954" s="47">
        <v>951</v>
      </c>
      <c r="E954" s="188" t="s">
        <v>5444</v>
      </c>
      <c r="F954" s="188" t="s">
        <v>2970</v>
      </c>
      <c r="G954" s="188" t="s">
        <v>2970</v>
      </c>
      <c r="H954" s="188" t="s">
        <v>2970</v>
      </c>
      <c r="I954" s="188" t="s">
        <v>2970</v>
      </c>
      <c r="J954" s="188" t="s">
        <v>2970</v>
      </c>
      <c r="K954" s="188">
        <v>498</v>
      </c>
    </row>
    <row r="955" spans="4:11" x14ac:dyDescent="0.25">
      <c r="D955" s="47">
        <v>952</v>
      </c>
      <c r="E955" s="188" t="s">
        <v>5445</v>
      </c>
      <c r="F955" s="188" t="s">
        <v>2970</v>
      </c>
      <c r="G955" s="188" t="s">
        <v>2970</v>
      </c>
      <c r="H955" s="188" t="s">
        <v>2970</v>
      </c>
      <c r="I955" s="188" t="s">
        <v>2970</v>
      </c>
      <c r="J955" s="188" t="s">
        <v>2970</v>
      </c>
      <c r="K955" s="188">
        <v>499</v>
      </c>
    </row>
    <row r="956" spans="4:11" x14ac:dyDescent="0.25">
      <c r="D956" s="47">
        <v>953</v>
      </c>
      <c r="E956" s="188" t="s">
        <v>5451</v>
      </c>
      <c r="F956" s="188" t="s">
        <v>2970</v>
      </c>
      <c r="G956" s="188" t="s">
        <v>2970</v>
      </c>
      <c r="H956" s="188" t="s">
        <v>2970</v>
      </c>
      <c r="I956" s="188" t="s">
        <v>2970</v>
      </c>
      <c r="J956" s="188" t="s">
        <v>2970</v>
      </c>
      <c r="K956" s="188">
        <v>500</v>
      </c>
    </row>
    <row r="957" spans="4:11" x14ac:dyDescent="0.25">
      <c r="D957" s="47">
        <v>954</v>
      </c>
      <c r="E957" s="188" t="s">
        <v>5452</v>
      </c>
      <c r="F957" s="188" t="s">
        <v>2970</v>
      </c>
      <c r="G957" s="188" t="s">
        <v>2970</v>
      </c>
      <c r="H957" s="188" t="s">
        <v>2970</v>
      </c>
      <c r="I957" s="188" t="s">
        <v>2970</v>
      </c>
      <c r="J957" s="188" t="s">
        <v>2970</v>
      </c>
      <c r="K957" s="188">
        <v>501</v>
      </c>
    </row>
    <row r="958" spans="4:11" x14ac:dyDescent="0.25">
      <c r="D958" s="47">
        <v>955</v>
      </c>
      <c r="E958" s="188" t="s">
        <v>5453</v>
      </c>
      <c r="F958" s="188" t="s">
        <v>2970</v>
      </c>
      <c r="G958" s="188" t="s">
        <v>2970</v>
      </c>
      <c r="H958" s="188" t="s">
        <v>2970</v>
      </c>
      <c r="I958" s="188" t="s">
        <v>2970</v>
      </c>
      <c r="J958" s="188" t="s">
        <v>2970</v>
      </c>
      <c r="K958" s="188">
        <v>502</v>
      </c>
    </row>
    <row r="959" spans="4:11" x14ac:dyDescent="0.25">
      <c r="D959" s="47">
        <v>956</v>
      </c>
      <c r="E959" s="188" t="s">
        <v>5454</v>
      </c>
      <c r="F959" s="188" t="s">
        <v>2970</v>
      </c>
      <c r="G959" s="188" t="s">
        <v>2970</v>
      </c>
      <c r="H959" s="188" t="s">
        <v>2970</v>
      </c>
      <c r="I959" s="188" t="s">
        <v>2970</v>
      </c>
      <c r="J959" s="188" t="s">
        <v>2970</v>
      </c>
      <c r="K959" s="188">
        <v>503</v>
      </c>
    </row>
    <row r="960" spans="4:11" x14ac:dyDescent="0.25">
      <c r="D960" s="47">
        <v>957</v>
      </c>
      <c r="E960" s="188" t="s">
        <v>2970</v>
      </c>
      <c r="F960" s="188" t="s">
        <v>2970</v>
      </c>
      <c r="G960" s="188" t="s">
        <v>2970</v>
      </c>
      <c r="H960" s="188" t="s">
        <v>2970</v>
      </c>
      <c r="I960" s="188" t="s">
        <v>2970</v>
      </c>
      <c r="J960" s="188" t="s">
        <v>2970</v>
      </c>
      <c r="K960" s="188">
        <v>504</v>
      </c>
    </row>
    <row r="961" spans="4:11" x14ac:dyDescent="0.25">
      <c r="D961" s="47">
        <v>958</v>
      </c>
      <c r="E961" s="188" t="s">
        <v>5455</v>
      </c>
      <c r="F961" s="188" t="s">
        <v>2970</v>
      </c>
      <c r="G961" s="188" t="s">
        <v>2970</v>
      </c>
      <c r="H961" s="188" t="s">
        <v>2970</v>
      </c>
      <c r="I961" s="188" t="s">
        <v>2970</v>
      </c>
      <c r="J961" s="188" t="s">
        <v>2970</v>
      </c>
      <c r="K961" s="188">
        <v>505</v>
      </c>
    </row>
    <row r="962" spans="4:11" x14ac:dyDescent="0.25">
      <c r="D962" s="47">
        <v>959</v>
      </c>
      <c r="E962" s="188" t="s">
        <v>5455</v>
      </c>
      <c r="F962" s="188" t="s">
        <v>2970</v>
      </c>
      <c r="G962" s="188" t="s">
        <v>2970</v>
      </c>
      <c r="H962" s="188" t="s">
        <v>2970</v>
      </c>
      <c r="I962" s="188" t="s">
        <v>2970</v>
      </c>
      <c r="J962" s="188" t="s">
        <v>2970</v>
      </c>
      <c r="K962" s="188">
        <v>506</v>
      </c>
    </row>
    <row r="963" spans="4:11" x14ac:dyDescent="0.25">
      <c r="D963" s="47">
        <v>960</v>
      </c>
      <c r="E963" s="188" t="s">
        <v>3859</v>
      </c>
      <c r="F963" s="188" t="s">
        <v>2970</v>
      </c>
      <c r="G963" s="188" t="s">
        <v>2970</v>
      </c>
      <c r="H963" s="188" t="s">
        <v>2970</v>
      </c>
      <c r="I963" s="188" t="s">
        <v>2970</v>
      </c>
      <c r="J963" s="188" t="s">
        <v>2970</v>
      </c>
      <c r="K963" s="188" t="s">
        <v>2970</v>
      </c>
    </row>
    <row r="964" spans="4:11" x14ac:dyDescent="0.25">
      <c r="D964" s="47">
        <v>961</v>
      </c>
      <c r="E964" s="188" t="s">
        <v>5446</v>
      </c>
      <c r="F964" s="188" t="s">
        <v>2970</v>
      </c>
      <c r="G964" s="188" t="s">
        <v>2970</v>
      </c>
      <c r="H964" s="188" t="s">
        <v>2970</v>
      </c>
      <c r="I964" s="188" t="s">
        <v>2970</v>
      </c>
      <c r="J964" s="188" t="s">
        <v>2970</v>
      </c>
      <c r="K964" s="188" t="s">
        <v>2970</v>
      </c>
    </row>
    <row r="965" spans="4:11" x14ac:dyDescent="0.25">
      <c r="D965" s="47">
        <v>962</v>
      </c>
      <c r="E965" s="188" t="s">
        <v>5447</v>
      </c>
      <c r="F965" s="188" t="s">
        <v>2970</v>
      </c>
      <c r="G965" s="188" t="s">
        <v>2970</v>
      </c>
      <c r="H965" s="188" t="s">
        <v>2970</v>
      </c>
      <c r="I965" s="188" t="s">
        <v>2970</v>
      </c>
      <c r="J965" s="188" t="s">
        <v>2970</v>
      </c>
      <c r="K965" s="188" t="s">
        <v>2970</v>
      </c>
    </row>
    <row r="966" spans="4:11" x14ac:dyDescent="0.25">
      <c r="D966" s="47">
        <v>963</v>
      </c>
      <c r="E966" s="188" t="s">
        <v>3860</v>
      </c>
      <c r="F966" s="188" t="s">
        <v>2970</v>
      </c>
      <c r="G966" s="188" t="s">
        <v>2970</v>
      </c>
      <c r="H966" s="188" t="s">
        <v>2970</v>
      </c>
      <c r="I966" s="188" t="s">
        <v>2970</v>
      </c>
      <c r="J966" s="188" t="s">
        <v>2970</v>
      </c>
      <c r="K966" s="188" t="s">
        <v>2970</v>
      </c>
    </row>
    <row r="967" spans="4:11" x14ac:dyDescent="0.25">
      <c r="D967" s="47">
        <v>964</v>
      </c>
      <c r="E967" s="188" t="s">
        <v>5448</v>
      </c>
      <c r="F967" s="188" t="s">
        <v>2970</v>
      </c>
      <c r="G967" s="188" t="s">
        <v>2970</v>
      </c>
      <c r="H967" s="188" t="s">
        <v>2970</v>
      </c>
      <c r="I967" s="188" t="s">
        <v>2970</v>
      </c>
      <c r="J967" s="188" t="s">
        <v>2970</v>
      </c>
      <c r="K967" s="188" t="s">
        <v>2970</v>
      </c>
    </row>
    <row r="968" spans="4:11" x14ac:dyDescent="0.25">
      <c r="D968" s="47">
        <v>965</v>
      </c>
      <c r="E968" s="188" t="s">
        <v>3861</v>
      </c>
      <c r="F968" s="188" t="s">
        <v>2970</v>
      </c>
      <c r="G968" s="188" t="s">
        <v>2970</v>
      </c>
      <c r="H968" s="188" t="s">
        <v>2970</v>
      </c>
      <c r="I968" s="188" t="s">
        <v>2970</v>
      </c>
      <c r="J968" s="188" t="s">
        <v>2970</v>
      </c>
      <c r="K968" s="188" t="s">
        <v>2970</v>
      </c>
    </row>
    <row r="969" spans="4:11" x14ac:dyDescent="0.25">
      <c r="D969" s="47">
        <v>966</v>
      </c>
      <c r="E969" s="188" t="s">
        <v>5449</v>
      </c>
      <c r="F969" s="188" t="s">
        <v>2970</v>
      </c>
      <c r="G969" s="188" t="s">
        <v>2970</v>
      </c>
      <c r="H969" s="188" t="s">
        <v>2970</v>
      </c>
      <c r="I969" s="188" t="s">
        <v>2970</v>
      </c>
      <c r="J969" s="188" t="s">
        <v>2970</v>
      </c>
      <c r="K969" s="188" t="s">
        <v>2970</v>
      </c>
    </row>
    <row r="970" spans="4:11" x14ac:dyDescent="0.25">
      <c r="D970" s="47">
        <v>967</v>
      </c>
      <c r="E970" s="188" t="s">
        <v>5450</v>
      </c>
      <c r="F970" s="188" t="s">
        <v>2970</v>
      </c>
      <c r="G970" s="188" t="s">
        <v>2970</v>
      </c>
      <c r="H970" s="188" t="s">
        <v>2970</v>
      </c>
      <c r="I970" s="188" t="s">
        <v>2970</v>
      </c>
      <c r="J970" s="188" t="s">
        <v>2970</v>
      </c>
      <c r="K970" s="188" t="s">
        <v>2970</v>
      </c>
    </row>
    <row r="971" spans="4:11" x14ac:dyDescent="0.25">
      <c r="D971" s="47">
        <v>968</v>
      </c>
      <c r="E971" s="188" t="s">
        <v>2970</v>
      </c>
      <c r="F971" s="188" t="s">
        <v>2970</v>
      </c>
      <c r="G971" s="188" t="s">
        <v>2970</v>
      </c>
      <c r="H971" s="188" t="s">
        <v>2970</v>
      </c>
      <c r="I971" s="188" t="s">
        <v>2970</v>
      </c>
      <c r="J971" s="188" t="s">
        <v>2970</v>
      </c>
      <c r="K971" s="188">
        <v>507</v>
      </c>
    </row>
    <row r="972" spans="4:11" x14ac:dyDescent="0.25">
      <c r="D972" s="47">
        <v>969</v>
      </c>
      <c r="E972" s="188" t="s">
        <v>5457</v>
      </c>
      <c r="F972" s="188" t="s">
        <v>2970</v>
      </c>
      <c r="G972" s="188" t="s">
        <v>2970</v>
      </c>
      <c r="H972" s="188" t="s">
        <v>2970</v>
      </c>
      <c r="I972" s="188" t="s">
        <v>2970</v>
      </c>
      <c r="J972" s="188" t="s">
        <v>2970</v>
      </c>
      <c r="K972" s="188">
        <v>508</v>
      </c>
    </row>
    <row r="973" spans="4:11" x14ac:dyDescent="0.25">
      <c r="D973" s="47">
        <v>970</v>
      </c>
      <c r="E973" s="188" t="s">
        <v>5458</v>
      </c>
      <c r="F973" s="188" t="s">
        <v>2970</v>
      </c>
      <c r="G973" s="188" t="s">
        <v>2970</v>
      </c>
      <c r="H973" s="188" t="s">
        <v>2970</v>
      </c>
      <c r="I973" s="188" t="s">
        <v>2970</v>
      </c>
      <c r="J973" s="188" t="s">
        <v>2970</v>
      </c>
      <c r="K973" s="188">
        <v>509</v>
      </c>
    </row>
    <row r="974" spans="4:11" x14ac:dyDescent="0.25">
      <c r="D974" s="47">
        <v>971</v>
      </c>
      <c r="E974" s="188" t="s">
        <v>5456</v>
      </c>
      <c r="F974" s="188" t="s">
        <v>2970</v>
      </c>
      <c r="G974" s="188" t="s">
        <v>2970</v>
      </c>
      <c r="H974" s="188" t="s">
        <v>2970</v>
      </c>
      <c r="I974" s="188" t="s">
        <v>2970</v>
      </c>
      <c r="J974" s="188" t="s">
        <v>2970</v>
      </c>
      <c r="K974" s="188">
        <v>510</v>
      </c>
    </row>
    <row r="975" spans="4:11" x14ac:dyDescent="0.25">
      <c r="D975" s="47">
        <v>972</v>
      </c>
      <c r="E975" s="188" t="s">
        <v>5462</v>
      </c>
      <c r="F975" s="188" t="s">
        <v>2970</v>
      </c>
      <c r="G975" s="188" t="s">
        <v>2970</v>
      </c>
      <c r="H975" s="188" t="s">
        <v>2970</v>
      </c>
      <c r="I975" s="188" t="s">
        <v>2970</v>
      </c>
      <c r="J975" s="188" t="s">
        <v>2970</v>
      </c>
      <c r="K975" s="188" t="s">
        <v>2970</v>
      </c>
    </row>
    <row r="976" spans="4:11" x14ac:dyDescent="0.25">
      <c r="D976" s="47">
        <v>973</v>
      </c>
      <c r="E976" s="188" t="s">
        <v>2970</v>
      </c>
      <c r="F976" s="188" t="s">
        <v>2970</v>
      </c>
      <c r="G976" s="188" t="s">
        <v>2970</v>
      </c>
      <c r="H976" s="188" t="s">
        <v>2970</v>
      </c>
      <c r="I976" s="188" t="s">
        <v>2970</v>
      </c>
      <c r="J976" s="188" t="s">
        <v>2970</v>
      </c>
      <c r="K976" s="188">
        <v>517</v>
      </c>
    </row>
    <row r="977" spans="4:11" x14ac:dyDescent="0.25">
      <c r="D977" s="47">
        <v>974</v>
      </c>
      <c r="E977" s="188" t="s">
        <v>5459</v>
      </c>
      <c r="F977" s="188" t="s">
        <v>3859</v>
      </c>
      <c r="G977" s="188" t="s">
        <v>2970</v>
      </c>
      <c r="H977" s="188" t="s">
        <v>2970</v>
      </c>
      <c r="I977" s="188" t="s">
        <v>2970</v>
      </c>
      <c r="J977" s="188" t="s">
        <v>2970</v>
      </c>
      <c r="K977" s="188">
        <v>518</v>
      </c>
    </row>
    <row r="978" spans="4:11" x14ac:dyDescent="0.25">
      <c r="D978" s="47">
        <v>975</v>
      </c>
      <c r="E978" s="188" t="s">
        <v>5459</v>
      </c>
      <c r="F978" s="188" t="s">
        <v>5446</v>
      </c>
      <c r="G978" s="188" t="s">
        <v>2970</v>
      </c>
      <c r="H978" s="188" t="s">
        <v>2970</v>
      </c>
      <c r="I978" s="188" t="s">
        <v>2970</v>
      </c>
      <c r="J978" s="188" t="s">
        <v>2970</v>
      </c>
      <c r="K978" s="188">
        <v>518</v>
      </c>
    </row>
    <row r="979" spans="4:11" x14ac:dyDescent="0.25">
      <c r="D979" s="47">
        <v>976</v>
      </c>
      <c r="E979" s="188" t="s">
        <v>2970</v>
      </c>
      <c r="F979" s="188" t="s">
        <v>2970</v>
      </c>
      <c r="G979" s="188" t="s">
        <v>2970</v>
      </c>
      <c r="H979" s="188" t="s">
        <v>2970</v>
      </c>
      <c r="I979" s="188" t="s">
        <v>2970</v>
      </c>
      <c r="J979" s="188" t="s">
        <v>2970</v>
      </c>
      <c r="K979" s="188">
        <v>519</v>
      </c>
    </row>
    <row r="980" spans="4:11" x14ac:dyDescent="0.25">
      <c r="D980" s="47">
        <v>977</v>
      </c>
      <c r="E980" s="188" t="s">
        <v>5460</v>
      </c>
      <c r="F980" s="188" t="s">
        <v>3860</v>
      </c>
      <c r="G980" s="188" t="s">
        <v>2970</v>
      </c>
      <c r="H980" s="188" t="s">
        <v>2970</v>
      </c>
      <c r="I980" s="188" t="s">
        <v>2970</v>
      </c>
      <c r="J980" s="188" t="s">
        <v>2970</v>
      </c>
      <c r="K980" s="188">
        <v>520</v>
      </c>
    </row>
    <row r="981" spans="4:11" x14ac:dyDescent="0.25">
      <c r="D981" s="47">
        <v>978</v>
      </c>
      <c r="E981" s="188" t="s">
        <v>5460</v>
      </c>
      <c r="F981" s="188" t="s">
        <v>5448</v>
      </c>
      <c r="G981" s="188" t="s">
        <v>2970</v>
      </c>
      <c r="H981" s="188" t="s">
        <v>2970</v>
      </c>
      <c r="I981" s="188" t="s">
        <v>2970</v>
      </c>
      <c r="J981" s="188" t="s">
        <v>2970</v>
      </c>
      <c r="K981" s="188">
        <v>521</v>
      </c>
    </row>
    <row r="982" spans="4:11" x14ac:dyDescent="0.25">
      <c r="D982" s="47">
        <v>979</v>
      </c>
      <c r="E982" s="188" t="s">
        <v>2970</v>
      </c>
      <c r="F982" s="188" t="s">
        <v>2970</v>
      </c>
      <c r="G982" s="188" t="s">
        <v>2970</v>
      </c>
      <c r="H982" s="188" t="s">
        <v>2970</v>
      </c>
      <c r="I982" s="188" t="s">
        <v>2970</v>
      </c>
      <c r="J982" s="188" t="s">
        <v>2970</v>
      </c>
      <c r="K982" s="188">
        <v>522</v>
      </c>
    </row>
    <row r="983" spans="4:11" x14ac:dyDescent="0.25">
      <c r="D983" s="47">
        <v>980</v>
      </c>
      <c r="E983" s="188" t="s">
        <v>5461</v>
      </c>
      <c r="F983" s="188" t="s">
        <v>3861</v>
      </c>
      <c r="G983" s="188" t="s">
        <v>2970</v>
      </c>
      <c r="H983" s="188" t="s">
        <v>2970</v>
      </c>
      <c r="I983" s="188" t="s">
        <v>2970</v>
      </c>
      <c r="J983" s="188" t="s">
        <v>2970</v>
      </c>
      <c r="K983" s="188">
        <v>523</v>
      </c>
    </row>
    <row r="984" spans="4:11" x14ac:dyDescent="0.25">
      <c r="D984" s="47">
        <v>981</v>
      </c>
      <c r="E984" s="188" t="s">
        <v>5461</v>
      </c>
      <c r="F984" s="188" t="s">
        <v>5449</v>
      </c>
      <c r="G984" s="188" t="s">
        <v>2970</v>
      </c>
      <c r="H984" s="188" t="s">
        <v>2970</v>
      </c>
      <c r="I984" s="188" t="s">
        <v>2970</v>
      </c>
      <c r="J984" s="188" t="s">
        <v>2970</v>
      </c>
      <c r="K984" s="188">
        <v>524</v>
      </c>
    </row>
    <row r="985" spans="4:11" x14ac:dyDescent="0.25">
      <c r="D985" s="47">
        <v>982</v>
      </c>
      <c r="E985" s="188" t="s">
        <v>5461</v>
      </c>
      <c r="F985" s="188" t="s">
        <v>5450</v>
      </c>
      <c r="G985" s="188" t="s">
        <v>2970</v>
      </c>
      <c r="H985" s="188" t="s">
        <v>2970</v>
      </c>
      <c r="I985" s="188" t="s">
        <v>2970</v>
      </c>
      <c r="J985" s="188" t="s">
        <v>2970</v>
      </c>
      <c r="K985" s="188">
        <v>525</v>
      </c>
    </row>
    <row r="986" spans="4:11" x14ac:dyDescent="0.25">
      <c r="D986" s="47">
        <v>983</v>
      </c>
      <c r="E986" s="188" t="s">
        <v>2970</v>
      </c>
      <c r="F986" s="188" t="s">
        <v>2970</v>
      </c>
      <c r="G986" s="188" t="s">
        <v>2970</v>
      </c>
      <c r="H986" s="188" t="s">
        <v>2970</v>
      </c>
      <c r="I986" s="188" t="s">
        <v>2970</v>
      </c>
      <c r="J986" s="188" t="s">
        <v>2970</v>
      </c>
      <c r="K986" s="188">
        <v>511</v>
      </c>
    </row>
    <row r="987" spans="4:11" x14ac:dyDescent="0.25">
      <c r="D987" s="47">
        <v>984</v>
      </c>
      <c r="E987" s="188" t="s">
        <v>5463</v>
      </c>
      <c r="F987" s="188" t="s">
        <v>3838</v>
      </c>
      <c r="G987" s="188" t="s">
        <v>2970</v>
      </c>
      <c r="H987" s="188" t="s">
        <v>2970</v>
      </c>
      <c r="I987" s="188" t="s">
        <v>2970</v>
      </c>
      <c r="J987" s="188" t="s">
        <v>2970</v>
      </c>
      <c r="K987" s="188">
        <v>512</v>
      </c>
    </row>
    <row r="988" spans="4:11" x14ac:dyDescent="0.25">
      <c r="D988" s="47">
        <v>985</v>
      </c>
      <c r="E988" s="188" t="s">
        <v>5463</v>
      </c>
      <c r="F988" s="188" t="s">
        <v>4967</v>
      </c>
      <c r="G988" s="188" t="s">
        <v>2970</v>
      </c>
      <c r="H988" s="188" t="s">
        <v>2970</v>
      </c>
      <c r="I988" s="188" t="s">
        <v>2970</v>
      </c>
      <c r="J988" s="188" t="s">
        <v>2970</v>
      </c>
      <c r="K988" s="188">
        <v>513</v>
      </c>
    </row>
    <row r="989" spans="4:11" x14ac:dyDescent="0.25">
      <c r="D989" s="47">
        <v>986</v>
      </c>
      <c r="E989" s="188" t="s">
        <v>5463</v>
      </c>
      <c r="F989" s="188" t="s">
        <v>4970</v>
      </c>
      <c r="G989" s="188" t="s">
        <v>2970</v>
      </c>
      <c r="H989" s="188" t="s">
        <v>2970</v>
      </c>
      <c r="I989" s="188" t="s">
        <v>2970</v>
      </c>
      <c r="J989" s="188" t="s">
        <v>2970</v>
      </c>
      <c r="K989" s="188">
        <v>514</v>
      </c>
    </row>
    <row r="990" spans="4:11" x14ac:dyDescent="0.25">
      <c r="D990" s="47">
        <v>987</v>
      </c>
      <c r="E990" s="188" t="s">
        <v>5463</v>
      </c>
      <c r="F990" s="188" t="s">
        <v>4971</v>
      </c>
      <c r="G990" s="188" t="s">
        <v>2970</v>
      </c>
      <c r="H990" s="188" t="s">
        <v>2970</v>
      </c>
      <c r="I990" s="188" t="s">
        <v>2970</v>
      </c>
      <c r="J990" s="188" t="s">
        <v>2970</v>
      </c>
      <c r="K990" s="188">
        <v>515</v>
      </c>
    </row>
    <row r="991" spans="4:11" x14ac:dyDescent="0.25">
      <c r="D991" s="47">
        <v>988</v>
      </c>
      <c r="E991" s="188" t="s">
        <v>5463</v>
      </c>
      <c r="F991" s="188" t="s">
        <v>4969</v>
      </c>
      <c r="G991" s="188" t="s">
        <v>2970</v>
      </c>
      <c r="H991" s="188" t="s">
        <v>2970</v>
      </c>
      <c r="I991" s="188" t="s">
        <v>2970</v>
      </c>
      <c r="J991" s="188" t="s">
        <v>2970</v>
      </c>
      <c r="K991" s="188">
        <v>516</v>
      </c>
    </row>
    <row r="992" spans="4:11" x14ac:dyDescent="0.25">
      <c r="D992" s="47">
        <v>989</v>
      </c>
      <c r="E992" s="188" t="s">
        <v>5464</v>
      </c>
      <c r="F992" s="188" t="s">
        <v>2970</v>
      </c>
      <c r="G992" s="188" t="s">
        <v>2970</v>
      </c>
      <c r="H992" s="188" t="s">
        <v>2970</v>
      </c>
      <c r="I992" s="188" t="s">
        <v>2970</v>
      </c>
      <c r="J992" s="188" t="s">
        <v>2970</v>
      </c>
      <c r="K992" s="188" t="s">
        <v>2970</v>
      </c>
    </row>
    <row r="993" spans="4:11" x14ac:dyDescent="0.25">
      <c r="D993" s="47">
        <v>990</v>
      </c>
      <c r="E993" s="188" t="s">
        <v>5465</v>
      </c>
      <c r="F993" s="188" t="s">
        <v>2970</v>
      </c>
      <c r="G993" s="188" t="s">
        <v>2970</v>
      </c>
      <c r="H993" s="188" t="s">
        <v>2970</v>
      </c>
      <c r="I993" s="188" t="s">
        <v>2970</v>
      </c>
      <c r="J993" s="188" t="s">
        <v>2970</v>
      </c>
      <c r="K993" s="188" t="s">
        <v>2970</v>
      </c>
    </row>
    <row r="994" spans="4:11" x14ac:dyDescent="0.25">
      <c r="D994" s="47">
        <v>991</v>
      </c>
      <c r="E994" s="188" t="s">
        <v>5466</v>
      </c>
      <c r="F994" s="188" t="s">
        <v>2970</v>
      </c>
      <c r="G994" s="188" t="s">
        <v>2970</v>
      </c>
      <c r="H994" s="188" t="s">
        <v>2970</v>
      </c>
      <c r="I994" s="188" t="s">
        <v>2970</v>
      </c>
      <c r="J994" s="188" t="s">
        <v>2970</v>
      </c>
      <c r="K994" s="188" t="s">
        <v>2970</v>
      </c>
    </row>
    <row r="995" spans="4:11" x14ac:dyDescent="0.25">
      <c r="D995" s="47">
        <v>992</v>
      </c>
      <c r="E995" s="188" t="s">
        <v>2970</v>
      </c>
      <c r="F995" s="188" t="s">
        <v>2970</v>
      </c>
      <c r="G995" s="188" t="s">
        <v>2970</v>
      </c>
      <c r="H995" s="188" t="s">
        <v>2970</v>
      </c>
      <c r="I995" s="188" t="s">
        <v>2970</v>
      </c>
      <c r="J995" s="188" t="s">
        <v>2970</v>
      </c>
      <c r="K995" s="188">
        <v>526</v>
      </c>
    </row>
    <row r="996" spans="4:11" x14ac:dyDescent="0.25">
      <c r="D996" s="47">
        <v>993</v>
      </c>
      <c r="E996" s="188" t="s">
        <v>5467</v>
      </c>
      <c r="F996" s="188" t="s">
        <v>2970</v>
      </c>
      <c r="G996" s="188" t="s">
        <v>2970</v>
      </c>
      <c r="H996" s="188" t="s">
        <v>2970</v>
      </c>
      <c r="I996" s="188" t="s">
        <v>2970</v>
      </c>
      <c r="J996" s="188" t="s">
        <v>2970</v>
      </c>
      <c r="K996" s="188">
        <v>527</v>
      </c>
    </row>
    <row r="997" spans="4:11" x14ac:dyDescent="0.25">
      <c r="D997" s="47">
        <v>994</v>
      </c>
      <c r="E997" s="188" t="s">
        <v>5470</v>
      </c>
      <c r="F997" s="188" t="s">
        <v>2970</v>
      </c>
      <c r="G997" s="188" t="s">
        <v>2970</v>
      </c>
      <c r="H997" s="188" t="s">
        <v>2970</v>
      </c>
      <c r="I997" s="188" t="s">
        <v>2970</v>
      </c>
      <c r="J997" s="188" t="s">
        <v>2970</v>
      </c>
      <c r="K997" s="188">
        <v>528</v>
      </c>
    </row>
    <row r="998" spans="4:11" x14ac:dyDescent="0.25">
      <c r="D998" s="47">
        <v>995</v>
      </c>
      <c r="E998" s="188" t="s">
        <v>5472</v>
      </c>
      <c r="F998" s="188" t="s">
        <v>2970</v>
      </c>
      <c r="G998" s="188" t="s">
        <v>2970</v>
      </c>
      <c r="H998" s="188" t="s">
        <v>2970</v>
      </c>
      <c r="I998" s="188" t="s">
        <v>2970</v>
      </c>
      <c r="J998" s="188" t="s">
        <v>2970</v>
      </c>
      <c r="K998" s="188">
        <v>529</v>
      </c>
    </row>
    <row r="999" spans="4:11" x14ac:dyDescent="0.25">
      <c r="D999" s="47">
        <v>996</v>
      </c>
      <c r="E999" s="188" t="s">
        <v>5471</v>
      </c>
      <c r="F999" s="188" t="s">
        <v>2970</v>
      </c>
      <c r="G999" s="188" t="s">
        <v>2970</v>
      </c>
      <c r="H999" s="188" t="s">
        <v>2970</v>
      </c>
      <c r="I999" s="188" t="s">
        <v>2970</v>
      </c>
      <c r="J999" s="188" t="s">
        <v>2970</v>
      </c>
      <c r="K999" s="188">
        <v>530</v>
      </c>
    </row>
    <row r="1000" spans="4:11" x14ac:dyDescent="0.25">
      <c r="D1000" s="47">
        <v>997</v>
      </c>
      <c r="E1000" s="188" t="s">
        <v>5469</v>
      </c>
      <c r="F1000" s="188" t="s">
        <v>2970</v>
      </c>
      <c r="G1000" s="188" t="s">
        <v>2970</v>
      </c>
      <c r="H1000" s="188" t="s">
        <v>2970</v>
      </c>
      <c r="I1000" s="188" t="s">
        <v>2970</v>
      </c>
      <c r="J1000" s="188" t="s">
        <v>2970</v>
      </c>
      <c r="K1000" s="188">
        <v>531</v>
      </c>
    </row>
    <row r="1001" spans="4:11" x14ac:dyDescent="0.25">
      <c r="D1001" s="47">
        <v>998</v>
      </c>
      <c r="E1001" s="188" t="s">
        <v>5473</v>
      </c>
      <c r="F1001" s="188" t="s">
        <v>2970</v>
      </c>
      <c r="G1001" s="188" t="s">
        <v>2970</v>
      </c>
      <c r="H1001" s="188" t="s">
        <v>2970</v>
      </c>
      <c r="I1001" s="188" t="s">
        <v>2970</v>
      </c>
      <c r="J1001" s="188" t="s">
        <v>2970</v>
      </c>
      <c r="K1001" s="188" t="s">
        <v>2970</v>
      </c>
    </row>
    <row r="1002" spans="4:11" x14ac:dyDescent="0.25">
      <c r="D1002" s="47">
        <v>999</v>
      </c>
      <c r="E1002" s="188" t="s">
        <v>5468</v>
      </c>
      <c r="F1002" s="188" t="s">
        <v>2970</v>
      </c>
      <c r="G1002" s="188" t="s">
        <v>2970</v>
      </c>
      <c r="H1002" s="188" t="s">
        <v>2970</v>
      </c>
      <c r="I1002" s="188" t="s">
        <v>2970</v>
      </c>
      <c r="J1002" s="188" t="s">
        <v>2970</v>
      </c>
      <c r="K1002" s="188">
        <v>532</v>
      </c>
    </row>
    <row r="1003" spans="4:11" x14ac:dyDescent="0.25">
      <c r="D1003" s="47">
        <v>1000</v>
      </c>
      <c r="E1003" s="188" t="s">
        <v>5474</v>
      </c>
      <c r="F1003" s="188" t="s">
        <v>2970</v>
      </c>
      <c r="G1003" s="188" t="s">
        <v>2970</v>
      </c>
      <c r="H1003" s="188" t="s">
        <v>2970</v>
      </c>
      <c r="I1003" s="188" t="s">
        <v>2970</v>
      </c>
      <c r="J1003" s="188" t="s">
        <v>2970</v>
      </c>
      <c r="K1003" s="188" t="s">
        <v>2970</v>
      </c>
    </row>
    <row r="1004" spans="4:11" x14ac:dyDescent="0.25">
      <c r="D1004" s="47">
        <v>1001</v>
      </c>
      <c r="E1004" s="188" t="s">
        <v>2970</v>
      </c>
      <c r="F1004" s="188" t="s">
        <v>2970</v>
      </c>
      <c r="G1004" s="188" t="s">
        <v>2970</v>
      </c>
      <c r="H1004" s="188" t="s">
        <v>2970</v>
      </c>
      <c r="I1004" s="188" t="s">
        <v>2970</v>
      </c>
      <c r="J1004" s="188" t="s">
        <v>2970</v>
      </c>
      <c r="K1004" s="188">
        <v>533</v>
      </c>
    </row>
    <row r="1005" spans="4:11" x14ac:dyDescent="0.25">
      <c r="D1005" s="47">
        <v>1002</v>
      </c>
      <c r="E1005" s="188" t="s">
        <v>5475</v>
      </c>
      <c r="F1005" s="188" t="s">
        <v>3838</v>
      </c>
      <c r="G1005" s="188" t="s">
        <v>2970</v>
      </c>
      <c r="H1005" s="188" t="s">
        <v>2970</v>
      </c>
      <c r="I1005" s="188" t="s">
        <v>2970</v>
      </c>
      <c r="J1005" s="188" t="s">
        <v>2970</v>
      </c>
      <c r="K1005" s="188">
        <v>534</v>
      </c>
    </row>
    <row r="1006" spans="4:11" x14ac:dyDescent="0.25">
      <c r="D1006" s="47">
        <v>1003</v>
      </c>
      <c r="E1006" s="188" t="s">
        <v>5475</v>
      </c>
      <c r="F1006" s="188" t="s">
        <v>4967</v>
      </c>
      <c r="G1006" s="188" t="s">
        <v>2970</v>
      </c>
      <c r="H1006" s="188" t="s">
        <v>2970</v>
      </c>
      <c r="I1006" s="188" t="s">
        <v>2970</v>
      </c>
      <c r="J1006" s="188" t="s">
        <v>2970</v>
      </c>
      <c r="K1006" s="188">
        <v>535</v>
      </c>
    </row>
    <row r="1007" spans="4:11" x14ac:dyDescent="0.25">
      <c r="D1007" s="47">
        <v>1004</v>
      </c>
      <c r="E1007" s="188" t="s">
        <v>5475</v>
      </c>
      <c r="F1007" s="188" t="s">
        <v>4970</v>
      </c>
      <c r="G1007" s="188" t="s">
        <v>2970</v>
      </c>
      <c r="H1007" s="188" t="s">
        <v>2970</v>
      </c>
      <c r="I1007" s="188" t="s">
        <v>2970</v>
      </c>
      <c r="J1007" s="188" t="s">
        <v>2970</v>
      </c>
      <c r="K1007" s="188">
        <v>536</v>
      </c>
    </row>
    <row r="1008" spans="4:11" x14ac:dyDescent="0.25">
      <c r="D1008" s="47">
        <v>1005</v>
      </c>
      <c r="E1008" s="188" t="s">
        <v>5475</v>
      </c>
      <c r="F1008" s="188" t="s">
        <v>4971</v>
      </c>
      <c r="G1008" s="188" t="s">
        <v>2970</v>
      </c>
      <c r="H1008" s="188" t="s">
        <v>2970</v>
      </c>
      <c r="I1008" s="188" t="s">
        <v>2970</v>
      </c>
      <c r="J1008" s="188" t="s">
        <v>2970</v>
      </c>
      <c r="K1008" s="188">
        <v>537</v>
      </c>
    </row>
    <row r="1009" spans="4:11" x14ac:dyDescent="0.25">
      <c r="D1009" s="47">
        <v>1006</v>
      </c>
      <c r="E1009" s="188" t="s">
        <v>5476</v>
      </c>
      <c r="F1009" s="188" t="s">
        <v>2970</v>
      </c>
      <c r="G1009" s="188" t="s">
        <v>2970</v>
      </c>
      <c r="H1009" s="188" t="s">
        <v>2970</v>
      </c>
      <c r="I1009" s="188" t="s">
        <v>2970</v>
      </c>
      <c r="J1009" s="188" t="s">
        <v>2970</v>
      </c>
      <c r="K1009" s="188" t="s">
        <v>2970</v>
      </c>
    </row>
    <row r="1010" spans="4:11" x14ac:dyDescent="0.25">
      <c r="D1010" s="47">
        <v>1007</v>
      </c>
      <c r="E1010" s="188" t="s">
        <v>5477</v>
      </c>
      <c r="F1010" s="188" t="s">
        <v>2970</v>
      </c>
      <c r="G1010" s="188" t="s">
        <v>2970</v>
      </c>
      <c r="H1010" s="188" t="s">
        <v>2970</v>
      </c>
      <c r="I1010" s="188" t="s">
        <v>2970</v>
      </c>
      <c r="J1010" s="188" t="s">
        <v>2970</v>
      </c>
      <c r="K1010" s="188" t="s">
        <v>2970</v>
      </c>
    </row>
    <row r="1011" spans="4:11" x14ac:dyDescent="0.25">
      <c r="D1011" s="47">
        <v>1008</v>
      </c>
      <c r="E1011" s="188" t="s">
        <v>2970</v>
      </c>
      <c r="F1011" s="188" t="s">
        <v>2970</v>
      </c>
      <c r="G1011" s="188" t="s">
        <v>2970</v>
      </c>
      <c r="H1011" s="188" t="s">
        <v>2970</v>
      </c>
      <c r="I1011" s="188" t="s">
        <v>2970</v>
      </c>
      <c r="J1011" s="188" t="s">
        <v>2970</v>
      </c>
      <c r="K1011" s="188">
        <v>538</v>
      </c>
    </row>
    <row r="1012" spans="4:11" x14ac:dyDescent="0.25">
      <c r="D1012" s="47">
        <v>1009</v>
      </c>
      <c r="E1012" s="188" t="s">
        <v>5478</v>
      </c>
      <c r="F1012" s="188" t="s">
        <v>2970</v>
      </c>
      <c r="G1012" s="188" t="s">
        <v>2970</v>
      </c>
      <c r="H1012" s="188" t="s">
        <v>2970</v>
      </c>
      <c r="I1012" s="188" t="s">
        <v>2970</v>
      </c>
      <c r="J1012" s="188" t="s">
        <v>2970</v>
      </c>
      <c r="K1012" s="188">
        <v>539</v>
      </c>
    </row>
    <row r="1013" spans="4:11" x14ac:dyDescent="0.25">
      <c r="D1013" s="47">
        <v>1010</v>
      </c>
      <c r="E1013" s="188" t="s">
        <v>5479</v>
      </c>
      <c r="F1013" s="188" t="s">
        <v>2970</v>
      </c>
      <c r="G1013" s="188" t="s">
        <v>2970</v>
      </c>
      <c r="H1013" s="188" t="s">
        <v>2970</v>
      </c>
      <c r="I1013" s="188" t="s">
        <v>2970</v>
      </c>
      <c r="J1013" s="188" t="s">
        <v>2970</v>
      </c>
      <c r="K1013" s="188">
        <v>540</v>
      </c>
    </row>
    <row r="1014" spans="4:11" x14ac:dyDescent="0.25">
      <c r="D1014" s="47">
        <v>1011</v>
      </c>
      <c r="E1014" s="188" t="s">
        <v>5480</v>
      </c>
      <c r="F1014" s="188" t="s">
        <v>2970</v>
      </c>
      <c r="G1014" s="188" t="s">
        <v>2970</v>
      </c>
      <c r="H1014" s="188" t="s">
        <v>2970</v>
      </c>
      <c r="I1014" s="188" t="s">
        <v>2970</v>
      </c>
      <c r="J1014" s="188" t="s">
        <v>2970</v>
      </c>
      <c r="K1014" s="188" t="s">
        <v>2970</v>
      </c>
    </row>
    <row r="1015" spans="4:11" x14ac:dyDescent="0.25">
      <c r="D1015" s="47">
        <v>1012</v>
      </c>
      <c r="E1015" s="188" t="s">
        <v>5481</v>
      </c>
      <c r="F1015" s="188" t="s">
        <v>2970</v>
      </c>
      <c r="G1015" s="188" t="s">
        <v>2970</v>
      </c>
      <c r="H1015" s="188" t="s">
        <v>2970</v>
      </c>
      <c r="I1015" s="188" t="s">
        <v>2970</v>
      </c>
      <c r="J1015" s="188" t="s">
        <v>2970</v>
      </c>
      <c r="K1015" s="188">
        <v>541</v>
      </c>
    </row>
    <row r="1016" spans="4:11" x14ac:dyDescent="0.25">
      <c r="D1016" s="47">
        <v>1013</v>
      </c>
      <c r="E1016" s="188" t="s">
        <v>5482</v>
      </c>
      <c r="F1016" s="188" t="s">
        <v>2970</v>
      </c>
      <c r="G1016" s="188" t="s">
        <v>2970</v>
      </c>
      <c r="H1016" s="188" t="s">
        <v>2970</v>
      </c>
      <c r="I1016" s="188" t="s">
        <v>2970</v>
      </c>
      <c r="J1016" s="188" t="s">
        <v>2970</v>
      </c>
      <c r="K1016" s="188">
        <v>542</v>
      </c>
    </row>
    <row r="1017" spans="4:11" x14ac:dyDescent="0.25">
      <c r="D1017" s="47">
        <v>1014</v>
      </c>
      <c r="E1017" s="188" t="s">
        <v>5483</v>
      </c>
      <c r="F1017" s="188" t="s">
        <v>2970</v>
      </c>
      <c r="G1017" s="188" t="s">
        <v>2970</v>
      </c>
      <c r="H1017" s="188" t="s">
        <v>2970</v>
      </c>
      <c r="I1017" s="188" t="s">
        <v>2970</v>
      </c>
      <c r="J1017" s="188" t="s">
        <v>2970</v>
      </c>
      <c r="K1017" s="188" t="s">
        <v>2970</v>
      </c>
    </row>
    <row r="1018" spans="4:11" x14ac:dyDescent="0.25">
      <c r="D1018" s="47">
        <v>1015</v>
      </c>
      <c r="E1018" s="188" t="s">
        <v>5484</v>
      </c>
      <c r="F1018" s="188" t="s">
        <v>2970</v>
      </c>
      <c r="G1018" s="188" t="s">
        <v>2970</v>
      </c>
      <c r="H1018" s="188" t="s">
        <v>2970</v>
      </c>
      <c r="I1018" s="188" t="s">
        <v>2970</v>
      </c>
      <c r="J1018" s="188" t="s">
        <v>2970</v>
      </c>
      <c r="K1018" s="188" t="s">
        <v>2970</v>
      </c>
    </row>
    <row r="1019" spans="4:11" x14ac:dyDescent="0.25">
      <c r="D1019" s="47">
        <v>1016</v>
      </c>
      <c r="E1019" s="188" t="s">
        <v>5485</v>
      </c>
      <c r="F1019" s="188" t="s">
        <v>2970</v>
      </c>
      <c r="G1019" s="188" t="s">
        <v>2970</v>
      </c>
      <c r="H1019" s="188" t="s">
        <v>2970</v>
      </c>
      <c r="I1019" s="188" t="s">
        <v>2970</v>
      </c>
      <c r="J1019" s="188" t="s">
        <v>2970</v>
      </c>
      <c r="K1019" s="188">
        <v>543</v>
      </c>
    </row>
    <row r="1020" spans="4:11" x14ac:dyDescent="0.25">
      <c r="D1020" s="47">
        <v>1017</v>
      </c>
      <c r="E1020" s="188" t="s">
        <v>2970</v>
      </c>
      <c r="F1020" s="188" t="s">
        <v>2970</v>
      </c>
      <c r="G1020" s="188" t="s">
        <v>2970</v>
      </c>
      <c r="H1020" s="188" t="s">
        <v>2970</v>
      </c>
      <c r="I1020" s="188" t="s">
        <v>2970</v>
      </c>
      <c r="J1020" s="188" t="s">
        <v>2970</v>
      </c>
      <c r="K1020" s="188">
        <v>544</v>
      </c>
    </row>
    <row r="1021" spans="4:11" x14ac:dyDescent="0.25">
      <c r="D1021" s="47">
        <v>1018</v>
      </c>
      <c r="E1021" s="188" t="s">
        <v>2970</v>
      </c>
      <c r="F1021" s="188" t="s">
        <v>2970</v>
      </c>
      <c r="G1021" s="188" t="s">
        <v>2970</v>
      </c>
      <c r="H1021" s="188" t="s">
        <v>2970</v>
      </c>
      <c r="I1021" s="188" t="s">
        <v>2970</v>
      </c>
      <c r="J1021" s="188" t="s">
        <v>2970</v>
      </c>
      <c r="K1021" s="188">
        <v>545</v>
      </c>
    </row>
    <row r="1022" spans="4:11" x14ac:dyDescent="0.25">
      <c r="D1022" s="47">
        <v>1019</v>
      </c>
      <c r="E1022" s="188" t="s">
        <v>2970</v>
      </c>
      <c r="F1022" s="188" t="s">
        <v>2970</v>
      </c>
      <c r="G1022" s="188" t="s">
        <v>2970</v>
      </c>
      <c r="H1022" s="188" t="s">
        <v>2970</v>
      </c>
      <c r="I1022" s="188" t="s">
        <v>2970</v>
      </c>
      <c r="J1022" s="188" t="s">
        <v>2970</v>
      </c>
      <c r="K1022" s="188">
        <v>546</v>
      </c>
    </row>
    <row r="1023" spans="4:11" x14ac:dyDescent="0.25">
      <c r="D1023" s="47">
        <v>1020</v>
      </c>
      <c r="E1023" s="188" t="s">
        <v>2970</v>
      </c>
      <c r="F1023" s="188" t="s">
        <v>2970</v>
      </c>
      <c r="G1023" s="188" t="s">
        <v>2970</v>
      </c>
      <c r="H1023" s="188" t="s">
        <v>2970</v>
      </c>
      <c r="I1023" s="188" t="s">
        <v>2970</v>
      </c>
      <c r="J1023" s="188" t="s">
        <v>2970</v>
      </c>
      <c r="K1023" s="188">
        <v>547</v>
      </c>
    </row>
    <row r="1024" spans="4:11" x14ac:dyDescent="0.25">
      <c r="D1024" s="47">
        <v>1021</v>
      </c>
      <c r="E1024" s="188" t="s">
        <v>2970</v>
      </c>
      <c r="F1024" s="188" t="s">
        <v>2970</v>
      </c>
      <c r="G1024" s="188" t="s">
        <v>2970</v>
      </c>
      <c r="H1024" s="188" t="s">
        <v>2970</v>
      </c>
      <c r="I1024" s="188" t="s">
        <v>2970</v>
      </c>
      <c r="J1024" s="188" t="s">
        <v>2970</v>
      </c>
      <c r="K1024" s="188">
        <v>548</v>
      </c>
    </row>
    <row r="1025" spans="4:11" x14ac:dyDescent="0.25">
      <c r="D1025" s="47">
        <v>1022</v>
      </c>
      <c r="E1025" s="188" t="s">
        <v>5486</v>
      </c>
      <c r="F1025" s="188" t="s">
        <v>2970</v>
      </c>
      <c r="G1025" s="188" t="s">
        <v>2970</v>
      </c>
      <c r="H1025" s="188" t="s">
        <v>2970</v>
      </c>
      <c r="I1025" s="188" t="s">
        <v>2970</v>
      </c>
      <c r="J1025" s="188" t="s">
        <v>2970</v>
      </c>
      <c r="K1025" s="188" t="s">
        <v>2970</v>
      </c>
    </row>
    <row r="1026" spans="4:11" x14ac:dyDescent="0.25">
      <c r="D1026" s="47">
        <v>1023</v>
      </c>
      <c r="E1026" s="188" t="s">
        <v>5487</v>
      </c>
      <c r="F1026" s="188" t="s">
        <v>2970</v>
      </c>
      <c r="G1026" s="188" t="s">
        <v>2970</v>
      </c>
      <c r="H1026" s="188" t="s">
        <v>2970</v>
      </c>
      <c r="I1026" s="188" t="s">
        <v>2970</v>
      </c>
      <c r="J1026" s="188" t="s">
        <v>2970</v>
      </c>
      <c r="K1026" s="188" t="s">
        <v>2970</v>
      </c>
    </row>
    <row r="1027" spans="4:11" x14ac:dyDescent="0.25">
      <c r="D1027" s="47">
        <v>1024</v>
      </c>
      <c r="E1027" s="188" t="s">
        <v>5488</v>
      </c>
      <c r="F1027" s="188" t="s">
        <v>2970</v>
      </c>
      <c r="G1027" s="188" t="s">
        <v>2970</v>
      </c>
      <c r="H1027" s="188" t="s">
        <v>2970</v>
      </c>
      <c r="I1027" s="188" t="s">
        <v>2970</v>
      </c>
      <c r="J1027" s="188" t="s">
        <v>2970</v>
      </c>
      <c r="K1027" s="188" t="s">
        <v>2970</v>
      </c>
    </row>
    <row r="1028" spans="4:11" x14ac:dyDescent="0.25">
      <c r="D1028" s="47">
        <v>1025</v>
      </c>
      <c r="E1028" s="188" t="s">
        <v>5489</v>
      </c>
      <c r="F1028" s="188" t="s">
        <v>2970</v>
      </c>
      <c r="G1028" s="188" t="s">
        <v>2970</v>
      </c>
      <c r="H1028" s="188" t="s">
        <v>2970</v>
      </c>
      <c r="I1028" s="188" t="s">
        <v>2970</v>
      </c>
      <c r="J1028" s="188" t="s">
        <v>2970</v>
      </c>
      <c r="K1028" s="188" t="s">
        <v>2970</v>
      </c>
    </row>
    <row r="1029" spans="4:11" x14ac:dyDescent="0.25">
      <c r="D1029" s="47">
        <v>1026</v>
      </c>
      <c r="E1029" s="188" t="s">
        <v>3824</v>
      </c>
      <c r="F1029" s="188" t="s">
        <v>2970</v>
      </c>
      <c r="G1029" s="188" t="s">
        <v>2970</v>
      </c>
      <c r="H1029" s="188" t="s">
        <v>2970</v>
      </c>
      <c r="I1029" s="188" t="s">
        <v>2970</v>
      </c>
      <c r="J1029" s="188" t="s">
        <v>2970</v>
      </c>
      <c r="K1029" s="188" t="s">
        <v>2970</v>
      </c>
    </row>
    <row r="1030" spans="4:11" x14ac:dyDescent="0.25">
      <c r="D1030" s="47">
        <v>1027</v>
      </c>
      <c r="E1030" s="188" t="s">
        <v>5490</v>
      </c>
      <c r="F1030" s="188" t="s">
        <v>2970</v>
      </c>
      <c r="G1030" s="188" t="s">
        <v>2970</v>
      </c>
      <c r="H1030" s="188" t="s">
        <v>2970</v>
      </c>
      <c r="I1030" s="188" t="s">
        <v>2970</v>
      </c>
      <c r="J1030" s="188" t="s">
        <v>2970</v>
      </c>
      <c r="K1030" s="188" t="s">
        <v>2970</v>
      </c>
    </row>
    <row r="1031" spans="4:11" x14ac:dyDescent="0.25">
      <c r="D1031" s="47">
        <v>1028</v>
      </c>
      <c r="E1031" s="188" t="s">
        <v>5491</v>
      </c>
      <c r="F1031" s="188" t="s">
        <v>2970</v>
      </c>
      <c r="G1031" s="188" t="s">
        <v>2970</v>
      </c>
      <c r="H1031" s="188" t="s">
        <v>2970</v>
      </c>
      <c r="I1031" s="188" t="s">
        <v>2970</v>
      </c>
      <c r="J1031" s="188" t="s">
        <v>2970</v>
      </c>
      <c r="K1031" s="188" t="s">
        <v>2970</v>
      </c>
    </row>
    <row r="1032" spans="4:11" x14ac:dyDescent="0.25">
      <c r="D1032" s="47">
        <v>1029</v>
      </c>
      <c r="E1032" s="188" t="s">
        <v>5492</v>
      </c>
      <c r="F1032" s="188" t="s">
        <v>2970</v>
      </c>
      <c r="G1032" s="188" t="s">
        <v>2970</v>
      </c>
      <c r="H1032" s="188" t="s">
        <v>2970</v>
      </c>
      <c r="I1032" s="188" t="s">
        <v>2970</v>
      </c>
      <c r="J1032" s="188" t="s">
        <v>2970</v>
      </c>
      <c r="K1032" s="188" t="s">
        <v>2970</v>
      </c>
    </row>
    <row r="1033" spans="4:11" x14ac:dyDescent="0.25">
      <c r="D1033" s="47">
        <v>1030</v>
      </c>
      <c r="E1033" s="188" t="s">
        <v>5493</v>
      </c>
      <c r="F1033" s="188" t="s">
        <v>2970</v>
      </c>
      <c r="G1033" s="188" t="s">
        <v>2970</v>
      </c>
      <c r="H1033" s="188" t="s">
        <v>2970</v>
      </c>
      <c r="I1033" s="188" t="s">
        <v>2970</v>
      </c>
      <c r="J1033" s="188" t="s">
        <v>2970</v>
      </c>
      <c r="K1033" s="188" t="s">
        <v>2970</v>
      </c>
    </row>
    <row r="1034" spans="4:11" x14ac:dyDescent="0.25">
      <c r="D1034" s="47">
        <v>1031</v>
      </c>
      <c r="E1034" s="188" t="s">
        <v>5494</v>
      </c>
      <c r="F1034" s="188" t="s">
        <v>2970</v>
      </c>
      <c r="G1034" s="188" t="s">
        <v>2970</v>
      </c>
      <c r="H1034" s="188" t="s">
        <v>2970</v>
      </c>
      <c r="I1034" s="188" t="s">
        <v>2970</v>
      </c>
      <c r="J1034" s="188" t="s">
        <v>2970</v>
      </c>
      <c r="K1034" s="188" t="s">
        <v>2970</v>
      </c>
    </row>
    <row r="1035" spans="4:11" x14ac:dyDescent="0.25">
      <c r="D1035" s="47">
        <v>1032</v>
      </c>
      <c r="E1035" s="188" t="s">
        <v>5495</v>
      </c>
      <c r="F1035" s="188" t="s">
        <v>2970</v>
      </c>
      <c r="G1035" s="188" t="s">
        <v>2970</v>
      </c>
      <c r="H1035" s="188" t="s">
        <v>2970</v>
      </c>
      <c r="I1035" s="188" t="s">
        <v>2970</v>
      </c>
      <c r="J1035" s="188" t="s">
        <v>2970</v>
      </c>
      <c r="K1035" s="188">
        <v>637</v>
      </c>
    </row>
    <row r="1036" spans="4:11" x14ac:dyDescent="0.25">
      <c r="D1036" s="47">
        <v>1033</v>
      </c>
      <c r="E1036" s="188" t="s">
        <v>5496</v>
      </c>
      <c r="F1036" s="188" t="s">
        <v>2970</v>
      </c>
      <c r="G1036" s="188" t="s">
        <v>2970</v>
      </c>
      <c r="H1036" s="188" t="s">
        <v>2970</v>
      </c>
      <c r="I1036" s="188" t="s">
        <v>2970</v>
      </c>
      <c r="J1036" s="188" t="s">
        <v>2970</v>
      </c>
      <c r="K1036" s="188">
        <v>638</v>
      </c>
    </row>
    <row r="1037" spans="4:11" x14ac:dyDescent="0.25">
      <c r="D1037" s="47">
        <v>1034</v>
      </c>
      <c r="E1037" s="188" t="s">
        <v>5497</v>
      </c>
      <c r="F1037" s="188" t="s">
        <v>2970</v>
      </c>
      <c r="G1037" s="188" t="s">
        <v>2970</v>
      </c>
      <c r="H1037" s="188" t="s">
        <v>2970</v>
      </c>
      <c r="I1037" s="188" t="s">
        <v>2970</v>
      </c>
      <c r="J1037" s="188" t="s">
        <v>2970</v>
      </c>
      <c r="K1037" s="188">
        <v>639</v>
      </c>
    </row>
    <row r="1038" spans="4:11" x14ac:dyDescent="0.25">
      <c r="D1038" s="47">
        <v>1035</v>
      </c>
      <c r="E1038" s="188" t="s">
        <v>2970</v>
      </c>
      <c r="F1038" s="188" t="s">
        <v>2970</v>
      </c>
      <c r="G1038" s="188" t="s">
        <v>2970</v>
      </c>
      <c r="H1038" s="188" t="s">
        <v>2970</v>
      </c>
      <c r="I1038" s="188" t="s">
        <v>2970</v>
      </c>
      <c r="J1038" s="188" t="s">
        <v>2970</v>
      </c>
      <c r="K1038" s="188">
        <v>640</v>
      </c>
    </row>
    <row r="1039" spans="4:11" x14ac:dyDescent="0.25">
      <c r="D1039" s="47">
        <v>1036</v>
      </c>
      <c r="E1039" s="188" t="s">
        <v>5498</v>
      </c>
      <c r="F1039" s="188" t="s">
        <v>2970</v>
      </c>
      <c r="G1039" s="188" t="s">
        <v>2970</v>
      </c>
      <c r="H1039" s="188" t="s">
        <v>2970</v>
      </c>
      <c r="I1039" s="188" t="s">
        <v>2970</v>
      </c>
      <c r="J1039" s="188" t="s">
        <v>2970</v>
      </c>
      <c r="K1039" s="188">
        <v>641</v>
      </c>
    </row>
    <row r="1040" spans="4:11" x14ac:dyDescent="0.25">
      <c r="D1040" s="47">
        <v>1037</v>
      </c>
      <c r="E1040" s="188" t="s">
        <v>5499</v>
      </c>
      <c r="F1040" s="188" t="s">
        <v>2970</v>
      </c>
      <c r="G1040" s="188" t="s">
        <v>2970</v>
      </c>
      <c r="H1040" s="188" t="s">
        <v>2970</v>
      </c>
      <c r="I1040" s="188" t="s">
        <v>2970</v>
      </c>
      <c r="J1040" s="188" t="s">
        <v>2970</v>
      </c>
      <c r="K1040" s="188" t="s">
        <v>2970</v>
      </c>
    </row>
    <row r="1041" spans="4:11" x14ac:dyDescent="0.25">
      <c r="D1041" s="47">
        <v>1038</v>
      </c>
      <c r="E1041" s="188" t="s">
        <v>2970</v>
      </c>
      <c r="F1041" s="188" t="s">
        <v>2970</v>
      </c>
      <c r="G1041" s="188" t="s">
        <v>2970</v>
      </c>
      <c r="H1041" s="188" t="s">
        <v>2970</v>
      </c>
      <c r="I1041" s="188" t="s">
        <v>2970</v>
      </c>
      <c r="J1041" s="188" t="s">
        <v>2970</v>
      </c>
      <c r="K1041" s="188">
        <v>642</v>
      </c>
    </row>
    <row r="1042" spans="4:11" x14ac:dyDescent="0.25">
      <c r="D1042" s="47">
        <v>1039</v>
      </c>
      <c r="E1042" s="188" t="s">
        <v>2970</v>
      </c>
      <c r="F1042" s="188" t="s">
        <v>2970</v>
      </c>
      <c r="G1042" s="188" t="s">
        <v>2970</v>
      </c>
      <c r="H1042" s="188" t="s">
        <v>2970</v>
      </c>
      <c r="I1042" s="188" t="s">
        <v>2970</v>
      </c>
      <c r="J1042" s="188" t="s">
        <v>2970</v>
      </c>
      <c r="K1042" s="188">
        <v>643</v>
      </c>
    </row>
    <row r="1043" spans="4:11" x14ac:dyDescent="0.25">
      <c r="D1043" s="47">
        <v>1040</v>
      </c>
      <c r="E1043" s="188" t="s">
        <v>2970</v>
      </c>
      <c r="F1043" s="188" t="s">
        <v>2970</v>
      </c>
      <c r="G1043" s="188" t="s">
        <v>2970</v>
      </c>
      <c r="H1043" s="188" t="s">
        <v>2970</v>
      </c>
      <c r="I1043" s="188" t="s">
        <v>2970</v>
      </c>
      <c r="J1043" s="188" t="s">
        <v>2970</v>
      </c>
      <c r="K1043" s="188">
        <v>644</v>
      </c>
    </row>
    <row r="1044" spans="4:11" x14ac:dyDescent="0.25">
      <c r="D1044" s="47">
        <v>1041</v>
      </c>
      <c r="E1044" s="188" t="s">
        <v>2970</v>
      </c>
      <c r="F1044" s="188" t="s">
        <v>2970</v>
      </c>
      <c r="G1044" s="188" t="s">
        <v>2970</v>
      </c>
      <c r="H1044" s="188" t="s">
        <v>2970</v>
      </c>
      <c r="I1044" s="188" t="s">
        <v>2970</v>
      </c>
      <c r="J1044" s="188" t="s">
        <v>2970</v>
      </c>
      <c r="K1044" s="188">
        <v>645</v>
      </c>
    </row>
    <row r="1045" spans="4:11" x14ac:dyDescent="0.25">
      <c r="D1045" s="47">
        <v>1042</v>
      </c>
      <c r="E1045" s="188" t="s">
        <v>2970</v>
      </c>
      <c r="F1045" s="188" t="s">
        <v>2970</v>
      </c>
      <c r="G1045" s="188" t="s">
        <v>2970</v>
      </c>
      <c r="H1045" s="188" t="s">
        <v>2970</v>
      </c>
      <c r="I1045" s="188" t="s">
        <v>2970</v>
      </c>
      <c r="J1045" s="188" t="s">
        <v>2970</v>
      </c>
      <c r="K1045" s="188">
        <v>646</v>
      </c>
    </row>
    <row r="1046" spans="4:11" x14ac:dyDescent="0.25">
      <c r="D1046" s="47">
        <v>1043</v>
      </c>
      <c r="E1046" s="188" t="s">
        <v>2970</v>
      </c>
      <c r="F1046" s="188" t="s">
        <v>2970</v>
      </c>
      <c r="G1046" s="188" t="s">
        <v>2970</v>
      </c>
      <c r="H1046" s="188" t="s">
        <v>2970</v>
      </c>
      <c r="I1046" s="188" t="s">
        <v>2970</v>
      </c>
      <c r="J1046" s="188" t="s">
        <v>2970</v>
      </c>
      <c r="K1046" s="188">
        <v>647</v>
      </c>
    </row>
    <row r="1047" spans="4:11" x14ac:dyDescent="0.25">
      <c r="D1047" s="47">
        <v>1044</v>
      </c>
      <c r="E1047" s="188" t="s">
        <v>5500</v>
      </c>
      <c r="F1047" s="188" t="s">
        <v>2970</v>
      </c>
      <c r="G1047" s="188" t="s">
        <v>2970</v>
      </c>
      <c r="H1047" s="188" t="s">
        <v>2970</v>
      </c>
      <c r="I1047" s="188" t="s">
        <v>2970</v>
      </c>
      <c r="J1047" s="188" t="s">
        <v>2970</v>
      </c>
      <c r="K1047" s="188" t="s">
        <v>2970</v>
      </c>
    </row>
    <row r="1048" spans="4:11" x14ac:dyDescent="0.25">
      <c r="D1048" s="47">
        <v>1045</v>
      </c>
      <c r="E1048" s="188" t="s">
        <v>5501</v>
      </c>
      <c r="F1048" s="188" t="s">
        <v>2970</v>
      </c>
      <c r="G1048" s="188" t="s">
        <v>2970</v>
      </c>
      <c r="H1048" s="188" t="s">
        <v>2970</v>
      </c>
      <c r="I1048" s="188" t="s">
        <v>2970</v>
      </c>
      <c r="J1048" s="188" t="s">
        <v>2970</v>
      </c>
      <c r="K1048" s="188" t="s">
        <v>2970</v>
      </c>
    </row>
    <row r="1049" spans="4:11" x14ac:dyDescent="0.25">
      <c r="D1049" s="47">
        <v>1046</v>
      </c>
      <c r="E1049" s="188" t="s">
        <v>2970</v>
      </c>
      <c r="F1049" s="188" t="s">
        <v>2970</v>
      </c>
      <c r="G1049" s="188" t="s">
        <v>2970</v>
      </c>
      <c r="H1049" s="188" t="s">
        <v>5708</v>
      </c>
      <c r="I1049" s="188" t="s">
        <v>2970</v>
      </c>
      <c r="J1049" s="188" t="s">
        <v>2970</v>
      </c>
      <c r="K1049" s="188" t="s">
        <v>2970</v>
      </c>
    </row>
    <row r="1050" spans="4:11" x14ac:dyDescent="0.25">
      <c r="D1050" s="47">
        <v>1047</v>
      </c>
      <c r="E1050" s="188" t="s">
        <v>2970</v>
      </c>
      <c r="F1050" s="188" t="s">
        <v>2970</v>
      </c>
      <c r="G1050" s="188" t="s">
        <v>2970</v>
      </c>
      <c r="H1050" s="188" t="s">
        <v>5709</v>
      </c>
      <c r="I1050" s="188" t="s">
        <v>2970</v>
      </c>
      <c r="J1050" s="188" t="s">
        <v>2970</v>
      </c>
      <c r="K1050" s="188" t="s">
        <v>2970</v>
      </c>
    </row>
    <row r="1051" spans="4:11" x14ac:dyDescent="0.25">
      <c r="D1051" s="47">
        <v>1048</v>
      </c>
      <c r="E1051" s="188" t="s">
        <v>2970</v>
      </c>
      <c r="F1051" s="188" t="s">
        <v>2970</v>
      </c>
      <c r="G1051" s="188" t="s">
        <v>2970</v>
      </c>
      <c r="H1051" s="188" t="s">
        <v>2970</v>
      </c>
      <c r="I1051" s="188" t="s">
        <v>2970</v>
      </c>
      <c r="J1051" s="188" t="s">
        <v>2970</v>
      </c>
      <c r="K1051" s="188">
        <v>659</v>
      </c>
    </row>
    <row r="1052" spans="4:11" x14ac:dyDescent="0.25">
      <c r="D1052" s="47">
        <v>1049</v>
      </c>
      <c r="E1052" s="188" t="s">
        <v>2970</v>
      </c>
      <c r="F1052" s="188" t="s">
        <v>2970</v>
      </c>
      <c r="G1052" s="188" t="s">
        <v>2970</v>
      </c>
      <c r="H1052" s="188" t="s">
        <v>2970</v>
      </c>
      <c r="I1052" s="188" t="s">
        <v>2970</v>
      </c>
      <c r="J1052" s="188" t="s">
        <v>2970</v>
      </c>
      <c r="K1052" s="188">
        <v>660</v>
      </c>
    </row>
    <row r="1053" spans="4:11" x14ac:dyDescent="0.25">
      <c r="D1053" s="47">
        <v>1050</v>
      </c>
      <c r="E1053" s="188" t="s">
        <v>2970</v>
      </c>
      <c r="F1053" s="188" t="s">
        <v>2970</v>
      </c>
      <c r="G1053" s="188" t="s">
        <v>2970</v>
      </c>
      <c r="H1053" s="188" t="s">
        <v>2970</v>
      </c>
      <c r="I1053" s="188" t="s">
        <v>2970</v>
      </c>
      <c r="J1053" s="188" t="s">
        <v>2970</v>
      </c>
      <c r="K1053" s="188">
        <v>661</v>
      </c>
    </row>
    <row r="1054" spans="4:11" x14ac:dyDescent="0.25">
      <c r="D1054" s="47">
        <v>1051</v>
      </c>
      <c r="E1054" s="188" t="s">
        <v>2970</v>
      </c>
      <c r="F1054" s="188" t="s">
        <v>2970</v>
      </c>
      <c r="G1054" s="188" t="s">
        <v>2970</v>
      </c>
      <c r="H1054" s="188" t="s">
        <v>2970</v>
      </c>
      <c r="I1054" s="188" t="s">
        <v>2970</v>
      </c>
      <c r="J1054" s="188" t="s">
        <v>2970</v>
      </c>
      <c r="K1054" s="188">
        <v>662</v>
      </c>
    </row>
    <row r="1055" spans="4:11" x14ac:dyDescent="0.25">
      <c r="D1055" s="47">
        <v>1052</v>
      </c>
      <c r="E1055" s="188" t="s">
        <v>2970</v>
      </c>
      <c r="F1055" s="188" t="s">
        <v>2970</v>
      </c>
      <c r="G1055" s="188" t="s">
        <v>2970</v>
      </c>
      <c r="H1055" s="188" t="s">
        <v>2970</v>
      </c>
      <c r="I1055" s="188" t="s">
        <v>2970</v>
      </c>
      <c r="J1055" s="188" t="s">
        <v>2970</v>
      </c>
      <c r="K1055" s="188">
        <v>663</v>
      </c>
    </row>
    <row r="1056" spans="4:11" x14ac:dyDescent="0.25">
      <c r="D1056" s="47">
        <v>1053</v>
      </c>
      <c r="E1056" s="188" t="s">
        <v>2970</v>
      </c>
      <c r="F1056" s="188" t="s">
        <v>2970</v>
      </c>
      <c r="G1056" s="188" t="s">
        <v>2970</v>
      </c>
      <c r="H1056" s="188" t="s">
        <v>2970</v>
      </c>
      <c r="I1056" s="188" t="s">
        <v>2970</v>
      </c>
      <c r="J1056" s="188" t="s">
        <v>2970</v>
      </c>
      <c r="K1056" s="188">
        <v>664</v>
      </c>
    </row>
    <row r="1057" spans="4:11" x14ac:dyDescent="0.25">
      <c r="D1057" s="47">
        <v>1054</v>
      </c>
      <c r="E1057" s="188" t="s">
        <v>2970</v>
      </c>
      <c r="F1057" s="188" t="s">
        <v>2970</v>
      </c>
      <c r="G1057" s="188" t="s">
        <v>2970</v>
      </c>
      <c r="H1057" s="188" t="s">
        <v>2970</v>
      </c>
      <c r="I1057" s="188" t="s">
        <v>2970</v>
      </c>
      <c r="J1057" s="188" t="s">
        <v>2970</v>
      </c>
      <c r="K1057" s="188">
        <v>665</v>
      </c>
    </row>
    <row r="1058" spans="4:11" x14ac:dyDescent="0.25">
      <c r="D1058" s="47">
        <v>1055</v>
      </c>
      <c r="E1058" s="188" t="s">
        <v>2970</v>
      </c>
      <c r="F1058" s="188" t="s">
        <v>2970</v>
      </c>
      <c r="G1058" s="188" t="s">
        <v>2970</v>
      </c>
      <c r="H1058" s="188" t="s">
        <v>2970</v>
      </c>
      <c r="I1058" s="188" t="s">
        <v>2970</v>
      </c>
      <c r="J1058" s="188" t="s">
        <v>2970</v>
      </c>
      <c r="K1058" s="188">
        <v>666</v>
      </c>
    </row>
    <row r="1059" spans="4:11" x14ac:dyDescent="0.25">
      <c r="D1059" s="47">
        <v>1056</v>
      </c>
      <c r="E1059" s="188" t="s">
        <v>2970</v>
      </c>
      <c r="F1059" s="188" t="s">
        <v>2970</v>
      </c>
      <c r="G1059" s="188" t="s">
        <v>2970</v>
      </c>
      <c r="H1059" s="188" t="s">
        <v>2970</v>
      </c>
      <c r="I1059" s="188" t="s">
        <v>2970</v>
      </c>
      <c r="J1059" s="188" t="s">
        <v>2970</v>
      </c>
      <c r="K1059" s="188">
        <v>667</v>
      </c>
    </row>
    <row r="1060" spans="4:11" x14ac:dyDescent="0.25">
      <c r="D1060" s="47">
        <v>1057</v>
      </c>
      <c r="E1060" s="188" t="s">
        <v>2970</v>
      </c>
      <c r="F1060" s="188" t="s">
        <v>2970</v>
      </c>
      <c r="G1060" s="188" t="s">
        <v>2970</v>
      </c>
      <c r="H1060" s="188" t="s">
        <v>2970</v>
      </c>
      <c r="I1060" s="188" t="s">
        <v>2970</v>
      </c>
      <c r="J1060" s="188" t="s">
        <v>2970</v>
      </c>
      <c r="K1060" s="188">
        <v>668</v>
      </c>
    </row>
    <row r="1061" spans="4:11" x14ac:dyDescent="0.25">
      <c r="D1061" s="47">
        <v>1058</v>
      </c>
      <c r="E1061" s="188" t="s">
        <v>2970</v>
      </c>
      <c r="F1061" s="188" t="s">
        <v>2970</v>
      </c>
      <c r="G1061" s="188" t="s">
        <v>2970</v>
      </c>
      <c r="H1061" s="188" t="s">
        <v>2970</v>
      </c>
      <c r="I1061" s="188" t="s">
        <v>2970</v>
      </c>
      <c r="J1061" s="188" t="s">
        <v>2970</v>
      </c>
      <c r="K1061" s="188">
        <v>674</v>
      </c>
    </row>
    <row r="1062" spans="4:11" x14ac:dyDescent="0.25">
      <c r="D1062" s="47">
        <v>1059</v>
      </c>
      <c r="E1062" s="188" t="s">
        <v>2970</v>
      </c>
      <c r="F1062" s="188" t="s">
        <v>2970</v>
      </c>
      <c r="G1062" s="188" t="s">
        <v>2970</v>
      </c>
      <c r="H1062" s="188" t="s">
        <v>5710</v>
      </c>
      <c r="I1062" s="188" t="s">
        <v>2970</v>
      </c>
      <c r="J1062" s="188" t="s">
        <v>2970</v>
      </c>
      <c r="K1062" s="188" t="s">
        <v>2970</v>
      </c>
    </row>
    <row r="1063" spans="4:11" x14ac:dyDescent="0.25">
      <c r="D1063" s="47">
        <v>1060</v>
      </c>
      <c r="E1063" s="188" t="s">
        <v>2970</v>
      </c>
      <c r="F1063" s="188" t="s">
        <v>2970</v>
      </c>
      <c r="G1063" s="188" t="s">
        <v>2970</v>
      </c>
      <c r="H1063" s="188" t="s">
        <v>5711</v>
      </c>
      <c r="I1063" s="188" t="s">
        <v>2970</v>
      </c>
      <c r="J1063" s="188" t="s">
        <v>2970</v>
      </c>
      <c r="K1063" s="188">
        <v>675</v>
      </c>
    </row>
    <row r="1064" spans="4:11" x14ac:dyDescent="0.25">
      <c r="D1064" s="47">
        <v>1061</v>
      </c>
      <c r="E1064" s="188" t="s">
        <v>2970</v>
      </c>
      <c r="F1064" s="188" t="s">
        <v>2970</v>
      </c>
      <c r="G1064" s="188" t="s">
        <v>2970</v>
      </c>
      <c r="H1064" s="188" t="s">
        <v>5712</v>
      </c>
      <c r="I1064" s="188" t="s">
        <v>2970</v>
      </c>
      <c r="J1064" s="188" t="s">
        <v>2970</v>
      </c>
      <c r="K1064" s="188">
        <v>676</v>
      </c>
    </row>
    <row r="1065" spans="4:11" x14ac:dyDescent="0.25">
      <c r="D1065" s="47">
        <v>1062</v>
      </c>
      <c r="E1065" s="188" t="s">
        <v>2970</v>
      </c>
      <c r="F1065" s="188" t="s">
        <v>2970</v>
      </c>
      <c r="G1065" s="188" t="s">
        <v>2970</v>
      </c>
      <c r="H1065" s="188" t="s">
        <v>5713</v>
      </c>
      <c r="I1065" s="188" t="s">
        <v>2970</v>
      </c>
      <c r="J1065" s="188" t="s">
        <v>2970</v>
      </c>
      <c r="K1065" s="188">
        <v>677</v>
      </c>
    </row>
    <row r="1066" spans="4:11" x14ac:dyDescent="0.25">
      <c r="D1066" s="47">
        <v>1063</v>
      </c>
      <c r="E1066" s="188" t="s">
        <v>2970</v>
      </c>
      <c r="F1066" s="188" t="s">
        <v>2970</v>
      </c>
      <c r="G1066" s="188" t="s">
        <v>2970</v>
      </c>
      <c r="H1066" s="188" t="s">
        <v>5714</v>
      </c>
      <c r="I1066" s="188" t="s">
        <v>2970</v>
      </c>
      <c r="J1066" s="188" t="s">
        <v>2970</v>
      </c>
      <c r="K1066" s="188">
        <v>678</v>
      </c>
    </row>
    <row r="1067" spans="4:11" x14ac:dyDescent="0.25">
      <c r="D1067" s="47">
        <v>1064</v>
      </c>
      <c r="E1067" s="188" t="s">
        <v>2970</v>
      </c>
      <c r="F1067" s="188" t="s">
        <v>2970</v>
      </c>
      <c r="G1067" s="188" t="s">
        <v>2970</v>
      </c>
      <c r="H1067" s="188" t="s">
        <v>2970</v>
      </c>
      <c r="I1067" s="188" t="s">
        <v>2970</v>
      </c>
      <c r="J1067" s="188" t="s">
        <v>2970</v>
      </c>
      <c r="K1067" s="188">
        <v>669</v>
      </c>
    </row>
    <row r="1068" spans="4:11" x14ac:dyDescent="0.25">
      <c r="D1068" s="47">
        <v>1065</v>
      </c>
      <c r="E1068" s="188" t="s">
        <v>2970</v>
      </c>
      <c r="F1068" s="188" t="s">
        <v>2970</v>
      </c>
      <c r="G1068" s="188" t="s">
        <v>2970</v>
      </c>
      <c r="H1068" s="188" t="s">
        <v>2970</v>
      </c>
      <c r="I1068" s="188" t="s">
        <v>2970</v>
      </c>
      <c r="J1068" s="188" t="s">
        <v>2970</v>
      </c>
      <c r="K1068" s="188">
        <v>670</v>
      </c>
    </row>
    <row r="1069" spans="4:11" x14ac:dyDescent="0.25">
      <c r="D1069" s="47">
        <v>1066</v>
      </c>
      <c r="E1069" s="188" t="s">
        <v>2970</v>
      </c>
      <c r="F1069" s="188" t="s">
        <v>2970</v>
      </c>
      <c r="G1069" s="188" t="s">
        <v>2970</v>
      </c>
      <c r="H1069" s="188" t="s">
        <v>5715</v>
      </c>
      <c r="I1069" s="188" t="s">
        <v>2970</v>
      </c>
      <c r="J1069" s="188" t="s">
        <v>2970</v>
      </c>
      <c r="K1069" s="188">
        <v>671</v>
      </c>
    </row>
    <row r="1070" spans="4:11" x14ac:dyDescent="0.25">
      <c r="D1070" s="47">
        <v>1067</v>
      </c>
      <c r="E1070" s="188" t="s">
        <v>2970</v>
      </c>
      <c r="F1070" s="188" t="s">
        <v>2970</v>
      </c>
      <c r="G1070" s="188" t="s">
        <v>2970</v>
      </c>
      <c r="H1070" s="188" t="s">
        <v>5716</v>
      </c>
      <c r="I1070" s="188" t="s">
        <v>2970</v>
      </c>
      <c r="J1070" s="188" t="s">
        <v>2970</v>
      </c>
      <c r="K1070" s="188">
        <v>672</v>
      </c>
    </row>
    <row r="1071" spans="4:11" x14ac:dyDescent="0.25">
      <c r="D1071" s="47">
        <v>1068</v>
      </c>
      <c r="E1071" s="188" t="s">
        <v>2970</v>
      </c>
      <c r="F1071" s="188" t="s">
        <v>2970</v>
      </c>
      <c r="G1071" s="188" t="s">
        <v>2970</v>
      </c>
      <c r="H1071" s="188" t="s">
        <v>5717</v>
      </c>
      <c r="I1071" s="188" t="s">
        <v>2970</v>
      </c>
      <c r="J1071" s="188" t="s">
        <v>2970</v>
      </c>
      <c r="K1071" s="188" t="s">
        <v>2970</v>
      </c>
    </row>
    <row r="1072" spans="4:11" x14ac:dyDescent="0.25">
      <c r="D1072" s="47">
        <v>1069</v>
      </c>
      <c r="E1072" s="188" t="s">
        <v>2970</v>
      </c>
      <c r="F1072" s="188" t="s">
        <v>2970</v>
      </c>
      <c r="G1072" s="188" t="s">
        <v>2970</v>
      </c>
      <c r="H1072" s="188" t="s">
        <v>5718</v>
      </c>
      <c r="I1072" s="188" t="s">
        <v>2970</v>
      </c>
      <c r="J1072" s="188" t="s">
        <v>2970</v>
      </c>
      <c r="K1072" s="188" t="s">
        <v>2970</v>
      </c>
    </row>
    <row r="1073" spans="4:11" x14ac:dyDescent="0.25">
      <c r="D1073" s="47">
        <v>1070</v>
      </c>
      <c r="E1073" s="188" t="s">
        <v>2970</v>
      </c>
      <c r="F1073" s="188" t="s">
        <v>2970</v>
      </c>
      <c r="G1073" s="188" t="s">
        <v>2970</v>
      </c>
      <c r="H1073" s="188" t="s">
        <v>5719</v>
      </c>
      <c r="I1073" s="188" t="s">
        <v>2970</v>
      </c>
      <c r="J1073" s="188" t="s">
        <v>2970</v>
      </c>
      <c r="K1073" s="188">
        <v>673</v>
      </c>
    </row>
    <row r="1074" spans="4:11" x14ac:dyDescent="0.25">
      <c r="D1074" s="47">
        <v>1071</v>
      </c>
      <c r="E1074" s="188" t="s">
        <v>2970</v>
      </c>
      <c r="F1074" s="188" t="s">
        <v>2970</v>
      </c>
      <c r="G1074" s="188" t="s">
        <v>2970</v>
      </c>
      <c r="H1074" s="188" t="s">
        <v>5720</v>
      </c>
      <c r="I1074" s="188" t="s">
        <v>2970</v>
      </c>
      <c r="J1074" s="188" t="s">
        <v>2970</v>
      </c>
      <c r="K1074" s="188" t="s">
        <v>2970</v>
      </c>
    </row>
    <row r="1075" spans="4:11" x14ac:dyDescent="0.25">
      <c r="D1075" s="47">
        <v>1072</v>
      </c>
      <c r="E1075" s="188" t="s">
        <v>2970</v>
      </c>
      <c r="F1075" s="188" t="s">
        <v>2970</v>
      </c>
      <c r="G1075" s="188" t="s">
        <v>2970</v>
      </c>
      <c r="H1075" s="188" t="s">
        <v>2970</v>
      </c>
      <c r="I1075" s="188" t="s">
        <v>2970</v>
      </c>
      <c r="J1075" s="188" t="s">
        <v>2970</v>
      </c>
      <c r="K1075" s="188">
        <v>679</v>
      </c>
    </row>
    <row r="1076" spans="4:11" x14ac:dyDescent="0.25">
      <c r="D1076" s="47">
        <v>1073</v>
      </c>
      <c r="E1076" s="188" t="s">
        <v>2970</v>
      </c>
      <c r="F1076" s="188" t="s">
        <v>2970</v>
      </c>
      <c r="G1076" s="188" t="s">
        <v>2970</v>
      </c>
      <c r="H1076" s="188" t="s">
        <v>2970</v>
      </c>
      <c r="I1076" s="188" t="s">
        <v>2970</v>
      </c>
      <c r="J1076" s="188" t="s">
        <v>2970</v>
      </c>
      <c r="K1076" s="188">
        <v>680</v>
      </c>
    </row>
    <row r="1077" spans="4:11" x14ac:dyDescent="0.25">
      <c r="D1077" s="47">
        <v>1074</v>
      </c>
      <c r="E1077" s="188" t="s">
        <v>2970</v>
      </c>
      <c r="F1077" s="188" t="s">
        <v>2970</v>
      </c>
      <c r="G1077" s="188" t="s">
        <v>2970</v>
      </c>
      <c r="H1077" s="188" t="s">
        <v>2970</v>
      </c>
      <c r="I1077" s="188" t="s">
        <v>2970</v>
      </c>
      <c r="J1077" s="188" t="s">
        <v>2970</v>
      </c>
      <c r="K1077" s="188">
        <v>681</v>
      </c>
    </row>
    <row r="1078" spans="4:11" x14ac:dyDescent="0.25">
      <c r="D1078" s="47">
        <v>1075</v>
      </c>
      <c r="E1078" s="188" t="s">
        <v>2970</v>
      </c>
      <c r="F1078" s="188" t="s">
        <v>2970</v>
      </c>
      <c r="G1078" s="188" t="s">
        <v>2970</v>
      </c>
      <c r="H1078" s="188" t="s">
        <v>2970</v>
      </c>
      <c r="I1078" s="188" t="s">
        <v>2970</v>
      </c>
      <c r="J1078" s="188" t="s">
        <v>2970</v>
      </c>
      <c r="K1078" s="188">
        <v>682</v>
      </c>
    </row>
    <row r="1079" spans="4:11" x14ac:dyDescent="0.25">
      <c r="D1079" s="47">
        <v>1076</v>
      </c>
      <c r="E1079" s="188" t="s">
        <v>2970</v>
      </c>
      <c r="F1079" s="188" t="s">
        <v>2970</v>
      </c>
      <c r="G1079" s="188" t="s">
        <v>2970</v>
      </c>
      <c r="H1079" s="188" t="s">
        <v>2970</v>
      </c>
      <c r="I1079" s="188" t="s">
        <v>2970</v>
      </c>
      <c r="J1079" s="188" t="s">
        <v>2970</v>
      </c>
      <c r="K1079" s="188">
        <v>683</v>
      </c>
    </row>
    <row r="1080" spans="4:11" x14ac:dyDescent="0.25">
      <c r="D1080" s="47">
        <v>1077</v>
      </c>
      <c r="E1080" s="188" t="s">
        <v>2970</v>
      </c>
      <c r="F1080" s="188" t="s">
        <v>2970</v>
      </c>
      <c r="G1080" s="188" t="s">
        <v>2970</v>
      </c>
      <c r="H1080" s="188" t="s">
        <v>2970</v>
      </c>
      <c r="I1080" s="188" t="s">
        <v>2970</v>
      </c>
      <c r="J1080" s="188" t="s">
        <v>2970</v>
      </c>
      <c r="K1080" s="188">
        <v>684</v>
      </c>
    </row>
    <row r="1081" spans="4:11" x14ac:dyDescent="0.25">
      <c r="D1081" s="47">
        <v>1078</v>
      </c>
      <c r="E1081" s="188" t="s">
        <v>2970</v>
      </c>
      <c r="F1081" s="188" t="s">
        <v>2970</v>
      </c>
      <c r="G1081" s="188" t="s">
        <v>2970</v>
      </c>
      <c r="H1081" s="188" t="s">
        <v>2970</v>
      </c>
      <c r="I1081" s="188" t="s">
        <v>2970</v>
      </c>
      <c r="J1081" s="188" t="s">
        <v>2970</v>
      </c>
      <c r="K1081" s="188">
        <v>685</v>
      </c>
    </row>
    <row r="1082" spans="4:11" x14ac:dyDescent="0.25">
      <c r="D1082" s="47">
        <v>1079</v>
      </c>
      <c r="E1082" s="188" t="s">
        <v>2970</v>
      </c>
      <c r="F1082" s="188" t="s">
        <v>2970</v>
      </c>
      <c r="G1082" s="188" t="s">
        <v>2970</v>
      </c>
      <c r="H1082" s="188" t="s">
        <v>2970</v>
      </c>
      <c r="I1082" s="188" t="s">
        <v>2970</v>
      </c>
      <c r="J1082" s="188" t="s">
        <v>2970</v>
      </c>
      <c r="K1082" s="188">
        <v>686</v>
      </c>
    </row>
    <row r="1083" spans="4:11" x14ac:dyDescent="0.25">
      <c r="D1083" s="47">
        <v>1080</v>
      </c>
      <c r="E1083" s="188" t="s">
        <v>2970</v>
      </c>
      <c r="F1083" s="188" t="s">
        <v>2970</v>
      </c>
      <c r="G1083" s="188" t="s">
        <v>2970</v>
      </c>
      <c r="H1083" s="188" t="s">
        <v>2970</v>
      </c>
      <c r="I1083" s="188" t="s">
        <v>2970</v>
      </c>
      <c r="J1083" s="188" t="s">
        <v>2970</v>
      </c>
      <c r="K1083" s="188">
        <v>687</v>
      </c>
    </row>
    <row r="1084" spans="4:11" x14ac:dyDescent="0.25">
      <c r="D1084" s="47">
        <v>1081</v>
      </c>
      <c r="E1084" s="188" t="s">
        <v>2970</v>
      </c>
      <c r="F1084" s="188" t="s">
        <v>2970</v>
      </c>
      <c r="G1084" s="188" t="s">
        <v>2970</v>
      </c>
      <c r="H1084" s="188" t="s">
        <v>2970</v>
      </c>
      <c r="I1084" s="188" t="s">
        <v>2970</v>
      </c>
      <c r="J1084" s="188" t="s">
        <v>2970</v>
      </c>
      <c r="K1084" s="188">
        <v>688</v>
      </c>
    </row>
    <row r="1085" spans="4:11" x14ac:dyDescent="0.25">
      <c r="D1085" s="47">
        <v>1082</v>
      </c>
      <c r="E1085" s="188" t="s">
        <v>2970</v>
      </c>
      <c r="F1085" s="188" t="s">
        <v>2970</v>
      </c>
      <c r="G1085" s="188" t="s">
        <v>2970</v>
      </c>
      <c r="H1085" s="188" t="s">
        <v>2970</v>
      </c>
      <c r="I1085" s="188" t="s">
        <v>2970</v>
      </c>
      <c r="J1085" s="188" t="s">
        <v>2970</v>
      </c>
      <c r="K1085" s="188">
        <v>689</v>
      </c>
    </row>
    <row r="1086" spans="4:11" x14ac:dyDescent="0.25">
      <c r="D1086" s="47">
        <v>1083</v>
      </c>
      <c r="E1086" s="188" t="s">
        <v>2970</v>
      </c>
      <c r="F1086" s="188" t="s">
        <v>2970</v>
      </c>
      <c r="G1086" s="188" t="s">
        <v>2970</v>
      </c>
      <c r="H1086" s="188" t="s">
        <v>2970</v>
      </c>
      <c r="I1086" s="188" t="s">
        <v>2970</v>
      </c>
      <c r="J1086" s="188" t="s">
        <v>2970</v>
      </c>
      <c r="K1086" s="188">
        <v>690</v>
      </c>
    </row>
    <row r="1087" spans="4:11" x14ac:dyDescent="0.25">
      <c r="D1087" s="47">
        <v>1084</v>
      </c>
      <c r="E1087" s="188" t="s">
        <v>2970</v>
      </c>
      <c r="F1087" s="188" t="s">
        <v>2970</v>
      </c>
      <c r="G1087" s="188" t="s">
        <v>2970</v>
      </c>
      <c r="H1087" s="188" t="s">
        <v>2970</v>
      </c>
      <c r="I1087" s="188" t="s">
        <v>2970</v>
      </c>
      <c r="J1087" s="188" t="s">
        <v>2970</v>
      </c>
      <c r="K1087" s="188">
        <v>691</v>
      </c>
    </row>
    <row r="1088" spans="4:11" x14ac:dyDescent="0.25">
      <c r="D1088" s="47">
        <v>1085</v>
      </c>
      <c r="E1088" s="188" t="s">
        <v>2970</v>
      </c>
      <c r="F1088" s="188" t="s">
        <v>2970</v>
      </c>
      <c r="G1088" s="188" t="s">
        <v>2970</v>
      </c>
      <c r="H1088" s="188" t="s">
        <v>2970</v>
      </c>
      <c r="I1088" s="188" t="s">
        <v>2970</v>
      </c>
      <c r="J1088" s="188" t="s">
        <v>2970</v>
      </c>
      <c r="K1088" s="188">
        <v>692</v>
      </c>
    </row>
    <row r="1089" spans="4:11" x14ac:dyDescent="0.25">
      <c r="D1089" s="47">
        <v>1086</v>
      </c>
      <c r="E1089" s="188" t="s">
        <v>2970</v>
      </c>
      <c r="F1089" s="188" t="s">
        <v>2970</v>
      </c>
      <c r="G1089" s="188" t="s">
        <v>2970</v>
      </c>
      <c r="H1089" s="188" t="s">
        <v>5721</v>
      </c>
      <c r="I1089" s="188" t="s">
        <v>2970</v>
      </c>
      <c r="J1089" s="188" t="s">
        <v>2970</v>
      </c>
      <c r="K1089" s="188">
        <v>696</v>
      </c>
    </row>
    <row r="1090" spans="4:11" x14ac:dyDescent="0.25">
      <c r="D1090" s="47">
        <v>1087</v>
      </c>
      <c r="E1090" s="188" t="s">
        <v>2970</v>
      </c>
      <c r="F1090" s="188" t="s">
        <v>2970</v>
      </c>
      <c r="G1090" s="188" t="s">
        <v>2970</v>
      </c>
      <c r="H1090" s="188" t="s">
        <v>5722</v>
      </c>
      <c r="I1090" s="188" t="s">
        <v>2970</v>
      </c>
      <c r="J1090" s="188" t="s">
        <v>2970</v>
      </c>
      <c r="K1090" s="188">
        <v>697</v>
      </c>
    </row>
    <row r="1091" spans="4:11" x14ac:dyDescent="0.25">
      <c r="D1091" s="47">
        <v>1088</v>
      </c>
      <c r="E1091" s="188" t="s">
        <v>2970</v>
      </c>
      <c r="F1091" s="188" t="s">
        <v>2970</v>
      </c>
      <c r="G1091" s="188" t="s">
        <v>2970</v>
      </c>
      <c r="H1091" s="188" t="s">
        <v>5723</v>
      </c>
      <c r="I1091" s="188" t="s">
        <v>2970</v>
      </c>
      <c r="J1091" s="188" t="s">
        <v>2970</v>
      </c>
      <c r="K1091" s="188">
        <v>694</v>
      </c>
    </row>
    <row r="1092" spans="4:11" x14ac:dyDescent="0.25">
      <c r="D1092" s="47">
        <v>1089</v>
      </c>
      <c r="E1092" s="188" t="s">
        <v>2970</v>
      </c>
      <c r="F1092" s="188" t="s">
        <v>2970</v>
      </c>
      <c r="G1092" s="188" t="s">
        <v>2970</v>
      </c>
      <c r="H1092" s="188" t="s">
        <v>5724</v>
      </c>
      <c r="I1092" s="188" t="s">
        <v>2970</v>
      </c>
      <c r="J1092" s="188" t="s">
        <v>2970</v>
      </c>
      <c r="K1092" s="188">
        <v>695</v>
      </c>
    </row>
    <row r="1093" spans="4:11" x14ac:dyDescent="0.25">
      <c r="D1093" s="47">
        <v>1090</v>
      </c>
      <c r="E1093" s="188" t="s">
        <v>2970</v>
      </c>
      <c r="F1093" s="188" t="s">
        <v>2970</v>
      </c>
      <c r="G1093" s="188" t="s">
        <v>2970</v>
      </c>
      <c r="H1093" s="188" t="s">
        <v>5725</v>
      </c>
      <c r="I1093" s="188" t="s">
        <v>2970</v>
      </c>
      <c r="J1093" s="188" t="s">
        <v>2970</v>
      </c>
      <c r="K1093" s="188">
        <v>693</v>
      </c>
    </row>
    <row r="1094" spans="4:11" x14ac:dyDescent="0.25">
      <c r="D1094" s="47">
        <v>1091</v>
      </c>
      <c r="E1094" s="188" t="s">
        <v>2970</v>
      </c>
      <c r="F1094" s="188" t="s">
        <v>2970</v>
      </c>
      <c r="G1094" s="188" t="s">
        <v>2970</v>
      </c>
      <c r="H1094" s="188" t="s">
        <v>5726</v>
      </c>
      <c r="I1094" s="188" t="s">
        <v>2970</v>
      </c>
      <c r="J1094" s="188" t="s">
        <v>2970</v>
      </c>
      <c r="K1094" s="188" t="s">
        <v>2970</v>
      </c>
    </row>
    <row r="1095" spans="4:11" x14ac:dyDescent="0.25">
      <c r="D1095" s="47">
        <v>1092</v>
      </c>
      <c r="E1095" s="188" t="s">
        <v>2970</v>
      </c>
      <c r="F1095" s="188" t="s">
        <v>2970</v>
      </c>
      <c r="G1095" s="188" t="s">
        <v>2970</v>
      </c>
      <c r="H1095" s="188" t="s">
        <v>5727</v>
      </c>
      <c r="I1095" s="188" t="s">
        <v>2970</v>
      </c>
      <c r="J1095" s="188" t="s">
        <v>2970</v>
      </c>
      <c r="K1095" s="188" t="s">
        <v>2970</v>
      </c>
    </row>
    <row r="1096" spans="4:11" x14ac:dyDescent="0.25">
      <c r="D1096" s="47">
        <v>1093</v>
      </c>
      <c r="E1096" s="188" t="s">
        <v>2970</v>
      </c>
      <c r="F1096" s="188" t="s">
        <v>2970</v>
      </c>
      <c r="G1096" s="188" t="s">
        <v>2970</v>
      </c>
      <c r="H1096" s="188" t="s">
        <v>5728</v>
      </c>
      <c r="I1096" s="188" t="s">
        <v>2970</v>
      </c>
      <c r="J1096" s="188" t="s">
        <v>2970</v>
      </c>
      <c r="K1096" s="188" t="s">
        <v>2970</v>
      </c>
    </row>
    <row r="1097" spans="4:11" x14ac:dyDescent="0.25">
      <c r="D1097" s="47">
        <v>1094</v>
      </c>
      <c r="E1097" s="188" t="s">
        <v>2970</v>
      </c>
      <c r="F1097" s="188" t="s">
        <v>2970</v>
      </c>
      <c r="G1097" s="188" t="s">
        <v>2970</v>
      </c>
      <c r="H1097" s="188" t="s">
        <v>5729</v>
      </c>
      <c r="I1097" s="188" t="s">
        <v>2970</v>
      </c>
      <c r="J1097" s="188" t="s">
        <v>2970</v>
      </c>
      <c r="K1097" s="188" t="s">
        <v>2970</v>
      </c>
    </row>
    <row r="1098" spans="4:11" x14ac:dyDescent="0.25">
      <c r="D1098" s="47">
        <v>1095</v>
      </c>
      <c r="E1098" s="188" t="s">
        <v>3819</v>
      </c>
      <c r="F1098" s="188" t="s">
        <v>2970</v>
      </c>
      <c r="G1098" s="188" t="s">
        <v>2970</v>
      </c>
      <c r="H1098" s="188" t="s">
        <v>2970</v>
      </c>
      <c r="I1098" s="188" t="s">
        <v>2970</v>
      </c>
      <c r="J1098" s="188" t="s">
        <v>2970</v>
      </c>
      <c r="K1098" s="188" t="s">
        <v>2970</v>
      </c>
    </row>
    <row r="1099" spans="4:11" x14ac:dyDescent="0.25">
      <c r="D1099" s="47">
        <v>1096</v>
      </c>
      <c r="E1099" s="188" t="s">
        <v>5502</v>
      </c>
      <c r="F1099" s="188" t="s">
        <v>2970</v>
      </c>
      <c r="G1099" s="188" t="s">
        <v>2970</v>
      </c>
      <c r="H1099" s="188" t="s">
        <v>2970</v>
      </c>
      <c r="I1099" s="188" t="s">
        <v>2970</v>
      </c>
      <c r="J1099" s="188" t="s">
        <v>2970</v>
      </c>
      <c r="K1099" s="188" t="s">
        <v>2970</v>
      </c>
    </row>
    <row r="1100" spans="4:11" x14ac:dyDescent="0.25">
      <c r="D1100" s="47">
        <v>1097</v>
      </c>
      <c r="E1100" s="188" t="s">
        <v>5503</v>
      </c>
      <c r="F1100" s="188" t="s">
        <v>2970</v>
      </c>
      <c r="G1100" s="188" t="s">
        <v>2970</v>
      </c>
      <c r="H1100" s="188" t="s">
        <v>2970</v>
      </c>
      <c r="I1100" s="188" t="s">
        <v>2970</v>
      </c>
      <c r="J1100" s="188" t="s">
        <v>2970</v>
      </c>
      <c r="K1100" s="188" t="s">
        <v>2970</v>
      </c>
    </row>
    <row r="1101" spans="4:11" x14ac:dyDescent="0.25">
      <c r="D1101" s="47">
        <v>1098</v>
      </c>
      <c r="E1101" s="188" t="s">
        <v>3862</v>
      </c>
      <c r="F1101" s="188" t="s">
        <v>2970</v>
      </c>
      <c r="G1101" s="188" t="s">
        <v>2970</v>
      </c>
      <c r="H1101" s="188" t="s">
        <v>2970</v>
      </c>
      <c r="I1101" s="188" t="s">
        <v>2970</v>
      </c>
      <c r="J1101" s="188" t="s">
        <v>2970</v>
      </c>
      <c r="K1101" s="188" t="s">
        <v>2970</v>
      </c>
    </row>
    <row r="1102" spans="4:11" x14ac:dyDescent="0.25">
      <c r="D1102" s="47">
        <v>1099</v>
      </c>
      <c r="E1102" s="188" t="s">
        <v>5504</v>
      </c>
      <c r="F1102" s="188" t="s">
        <v>2970</v>
      </c>
      <c r="G1102" s="188" t="s">
        <v>2970</v>
      </c>
      <c r="H1102" s="188" t="s">
        <v>2970</v>
      </c>
      <c r="I1102" s="188" t="s">
        <v>2970</v>
      </c>
      <c r="J1102" s="188" t="s">
        <v>2970</v>
      </c>
      <c r="K1102" s="188" t="s">
        <v>2970</v>
      </c>
    </row>
    <row r="1103" spans="4:11" x14ac:dyDescent="0.25">
      <c r="D1103" s="47">
        <v>1100</v>
      </c>
      <c r="E1103" s="188" t="s">
        <v>5505</v>
      </c>
      <c r="F1103" s="188" t="s">
        <v>2970</v>
      </c>
      <c r="G1103" s="188" t="s">
        <v>2970</v>
      </c>
      <c r="H1103" s="188" t="s">
        <v>2970</v>
      </c>
      <c r="I1103" s="188" t="s">
        <v>2970</v>
      </c>
      <c r="J1103" s="188" t="s">
        <v>2970</v>
      </c>
      <c r="K1103" s="188" t="s">
        <v>2970</v>
      </c>
    </row>
    <row r="1104" spans="4:11" x14ac:dyDescent="0.25">
      <c r="D1104" s="47">
        <v>1101</v>
      </c>
      <c r="E1104" s="188" t="s">
        <v>5506</v>
      </c>
      <c r="F1104" s="188" t="s">
        <v>2970</v>
      </c>
      <c r="G1104" s="188" t="s">
        <v>2970</v>
      </c>
      <c r="H1104" s="188" t="s">
        <v>2970</v>
      </c>
      <c r="I1104" s="188" t="s">
        <v>2970</v>
      </c>
      <c r="J1104" s="188" t="s">
        <v>2970</v>
      </c>
      <c r="K1104" s="188" t="s">
        <v>2970</v>
      </c>
    </row>
    <row r="1105" spans="4:11" x14ac:dyDescent="0.25">
      <c r="D1105" s="47">
        <v>1102</v>
      </c>
      <c r="E1105" s="188" t="s">
        <v>5517</v>
      </c>
      <c r="F1105" s="188" t="s">
        <v>2970</v>
      </c>
      <c r="G1105" s="188" t="s">
        <v>2970</v>
      </c>
      <c r="H1105" s="188" t="s">
        <v>2970</v>
      </c>
      <c r="I1105" s="188" t="s">
        <v>2970</v>
      </c>
      <c r="J1105" s="188" t="s">
        <v>2970</v>
      </c>
      <c r="K1105" s="188">
        <v>698</v>
      </c>
    </row>
    <row r="1106" spans="4:11" x14ac:dyDescent="0.25">
      <c r="D1106" s="47">
        <v>1103</v>
      </c>
      <c r="E1106" s="188" t="s">
        <v>5518</v>
      </c>
      <c r="F1106" s="188" t="s">
        <v>2970</v>
      </c>
      <c r="G1106" s="188" t="s">
        <v>2970</v>
      </c>
      <c r="H1106" s="188" t="s">
        <v>2970</v>
      </c>
      <c r="I1106" s="188" t="s">
        <v>2970</v>
      </c>
      <c r="J1106" s="188" t="s">
        <v>2970</v>
      </c>
      <c r="K1106" s="188">
        <v>699</v>
      </c>
    </row>
    <row r="1107" spans="4:11" x14ac:dyDescent="0.25">
      <c r="D1107" s="47">
        <v>1104</v>
      </c>
      <c r="E1107" s="188" t="s">
        <v>5519</v>
      </c>
      <c r="F1107" s="188" t="s">
        <v>2970</v>
      </c>
      <c r="G1107" s="188" t="s">
        <v>2970</v>
      </c>
      <c r="H1107" s="188" t="s">
        <v>2970</v>
      </c>
      <c r="I1107" s="188" t="s">
        <v>2970</v>
      </c>
      <c r="J1107" s="188" t="s">
        <v>2970</v>
      </c>
      <c r="K1107" s="188">
        <v>700</v>
      </c>
    </row>
    <row r="1108" spans="4:11" x14ac:dyDescent="0.25">
      <c r="D1108" s="47">
        <v>1105</v>
      </c>
      <c r="E1108" s="188" t="s">
        <v>5520</v>
      </c>
      <c r="F1108" s="188" t="s">
        <v>2970</v>
      </c>
      <c r="G1108" s="188" t="s">
        <v>2970</v>
      </c>
      <c r="H1108" s="188" t="s">
        <v>2970</v>
      </c>
      <c r="I1108" s="188" t="s">
        <v>2970</v>
      </c>
      <c r="J1108" s="188" t="s">
        <v>2970</v>
      </c>
      <c r="K1108" s="188">
        <v>701</v>
      </c>
    </row>
    <row r="1109" spans="4:11" x14ac:dyDescent="0.25">
      <c r="D1109" s="47">
        <v>1106</v>
      </c>
      <c r="E1109" s="188" t="s">
        <v>2970</v>
      </c>
      <c r="F1109" s="188" t="s">
        <v>2970</v>
      </c>
      <c r="G1109" s="188" t="s">
        <v>2970</v>
      </c>
      <c r="H1109" s="188" t="s">
        <v>2970</v>
      </c>
      <c r="I1109" s="188" t="s">
        <v>2970</v>
      </c>
      <c r="J1109" s="188" t="s">
        <v>2970</v>
      </c>
      <c r="K1109" s="188">
        <v>702</v>
      </c>
    </row>
    <row r="1110" spans="4:11" x14ac:dyDescent="0.25">
      <c r="D1110" s="47">
        <v>1107</v>
      </c>
      <c r="E1110" s="188" t="s">
        <v>5521</v>
      </c>
      <c r="F1110" s="188" t="s">
        <v>2970</v>
      </c>
      <c r="G1110" s="188" t="s">
        <v>2970</v>
      </c>
      <c r="H1110" s="188" t="s">
        <v>2970</v>
      </c>
      <c r="I1110" s="188" t="s">
        <v>2970</v>
      </c>
      <c r="J1110" s="188" t="s">
        <v>2970</v>
      </c>
      <c r="K1110" s="188">
        <v>703</v>
      </c>
    </row>
    <row r="1111" spans="4:11" x14ac:dyDescent="0.25">
      <c r="D1111" s="47">
        <v>1108</v>
      </c>
      <c r="E1111" s="188" t="s">
        <v>3863</v>
      </c>
      <c r="F1111" s="188" t="s">
        <v>2970</v>
      </c>
      <c r="G1111" s="188" t="s">
        <v>2970</v>
      </c>
      <c r="H1111" s="188" t="s">
        <v>2970</v>
      </c>
      <c r="I1111" s="188" t="s">
        <v>2970</v>
      </c>
      <c r="J1111" s="188" t="s">
        <v>2970</v>
      </c>
      <c r="K1111" s="188" t="s">
        <v>2970</v>
      </c>
    </row>
    <row r="1112" spans="4:11" x14ac:dyDescent="0.25">
      <c r="D1112" s="47">
        <v>1109</v>
      </c>
      <c r="E1112" s="188" t="s">
        <v>5512</v>
      </c>
      <c r="F1112" s="188" t="s">
        <v>2970</v>
      </c>
      <c r="G1112" s="188" t="s">
        <v>2970</v>
      </c>
      <c r="H1112" s="188" t="s">
        <v>2970</v>
      </c>
      <c r="I1112" s="188" t="s">
        <v>2970</v>
      </c>
      <c r="J1112" s="188" t="s">
        <v>2970</v>
      </c>
      <c r="K1112" s="188" t="s">
        <v>2970</v>
      </c>
    </row>
    <row r="1113" spans="4:11" x14ac:dyDescent="0.25">
      <c r="D1113" s="47">
        <v>1110</v>
      </c>
      <c r="E1113" s="188" t="s">
        <v>5513</v>
      </c>
      <c r="F1113" s="188" t="s">
        <v>2970</v>
      </c>
      <c r="G1113" s="188" t="s">
        <v>2970</v>
      </c>
      <c r="H1113" s="188" t="s">
        <v>2970</v>
      </c>
      <c r="I1113" s="188" t="s">
        <v>2970</v>
      </c>
      <c r="J1113" s="188" t="s">
        <v>2970</v>
      </c>
      <c r="K1113" s="188" t="s">
        <v>2970</v>
      </c>
    </row>
    <row r="1114" spans="4:11" x14ac:dyDescent="0.25">
      <c r="D1114" s="47">
        <v>1111</v>
      </c>
      <c r="E1114" s="188" t="s">
        <v>5514</v>
      </c>
      <c r="F1114" s="188" t="s">
        <v>2970</v>
      </c>
      <c r="G1114" s="188" t="s">
        <v>2970</v>
      </c>
      <c r="H1114" s="188" t="s">
        <v>2970</v>
      </c>
      <c r="I1114" s="188" t="s">
        <v>2970</v>
      </c>
      <c r="J1114" s="188" t="s">
        <v>2970</v>
      </c>
      <c r="K1114" s="188" t="s">
        <v>2970</v>
      </c>
    </row>
    <row r="1115" spans="4:11" x14ac:dyDescent="0.25">
      <c r="D1115" s="47">
        <v>1112</v>
      </c>
      <c r="E1115" s="188" t="s">
        <v>5515</v>
      </c>
      <c r="F1115" s="188" t="s">
        <v>3838</v>
      </c>
      <c r="G1115" s="188" t="s">
        <v>2970</v>
      </c>
      <c r="H1115" s="188" t="s">
        <v>2970</v>
      </c>
      <c r="I1115" s="188" t="s">
        <v>2970</v>
      </c>
      <c r="J1115" s="188" t="s">
        <v>2970</v>
      </c>
      <c r="K1115" s="188" t="s">
        <v>2970</v>
      </c>
    </row>
    <row r="1116" spans="4:11" x14ac:dyDescent="0.25">
      <c r="D1116" s="47">
        <v>1113</v>
      </c>
      <c r="E1116" s="188" t="s">
        <v>3864</v>
      </c>
      <c r="F1116" s="188" t="s">
        <v>2970</v>
      </c>
      <c r="G1116" s="188" t="s">
        <v>2970</v>
      </c>
      <c r="H1116" s="188" t="s">
        <v>2970</v>
      </c>
      <c r="I1116" s="188" t="s">
        <v>2970</v>
      </c>
      <c r="J1116" s="188" t="s">
        <v>2970</v>
      </c>
      <c r="K1116" s="188" t="s">
        <v>2970</v>
      </c>
    </row>
    <row r="1117" spans="4:11" x14ac:dyDescent="0.25">
      <c r="D1117" s="47">
        <v>1114</v>
      </c>
      <c r="E1117" s="188" t="s">
        <v>3865</v>
      </c>
      <c r="F1117" s="188" t="s">
        <v>2970</v>
      </c>
      <c r="G1117" s="188" t="s">
        <v>2970</v>
      </c>
      <c r="H1117" s="188" t="s">
        <v>2970</v>
      </c>
      <c r="I1117" s="188" t="s">
        <v>2970</v>
      </c>
      <c r="J1117" s="188" t="s">
        <v>2970</v>
      </c>
      <c r="K1117" s="188" t="s">
        <v>2970</v>
      </c>
    </row>
    <row r="1118" spans="4:11" x14ac:dyDescent="0.25">
      <c r="D1118" s="47">
        <v>1115</v>
      </c>
      <c r="E1118" s="188" t="s">
        <v>5516</v>
      </c>
      <c r="F1118" s="188" t="s">
        <v>2970</v>
      </c>
      <c r="G1118" s="188" t="s">
        <v>2970</v>
      </c>
      <c r="H1118" s="188" t="s">
        <v>2970</v>
      </c>
      <c r="I1118" s="188" t="s">
        <v>2970</v>
      </c>
      <c r="J1118" s="188" t="s">
        <v>2970</v>
      </c>
      <c r="K1118" s="188" t="s">
        <v>2970</v>
      </c>
    </row>
    <row r="1119" spans="4:11" x14ac:dyDescent="0.25">
      <c r="D1119" s="47">
        <v>1116</v>
      </c>
      <c r="E1119" s="188" t="s">
        <v>2970</v>
      </c>
      <c r="F1119" s="188" t="s">
        <v>2970</v>
      </c>
      <c r="G1119" s="188" t="s">
        <v>2970</v>
      </c>
      <c r="H1119" s="188" t="s">
        <v>2970</v>
      </c>
      <c r="I1119" s="188" t="s">
        <v>2970</v>
      </c>
      <c r="J1119" s="188" t="s">
        <v>2970</v>
      </c>
      <c r="K1119" s="188">
        <v>704</v>
      </c>
    </row>
    <row r="1120" spans="4:11" x14ac:dyDescent="0.25">
      <c r="D1120" s="47">
        <v>1117</v>
      </c>
      <c r="E1120" s="188" t="s">
        <v>5522</v>
      </c>
      <c r="F1120" s="188" t="s">
        <v>2970</v>
      </c>
      <c r="G1120" s="188" t="s">
        <v>2970</v>
      </c>
      <c r="H1120" s="188" t="s">
        <v>2970</v>
      </c>
      <c r="I1120" s="188" t="s">
        <v>2970</v>
      </c>
      <c r="J1120" s="188" t="s">
        <v>2970</v>
      </c>
      <c r="K1120" s="188">
        <v>706</v>
      </c>
    </row>
    <row r="1121" spans="4:11" x14ac:dyDescent="0.25">
      <c r="D1121" s="47">
        <v>1118</v>
      </c>
      <c r="E1121" s="188" t="s">
        <v>5530</v>
      </c>
      <c r="F1121" s="188" t="s">
        <v>2970</v>
      </c>
      <c r="G1121" s="188" t="s">
        <v>2970</v>
      </c>
      <c r="H1121" s="188" t="s">
        <v>2970</v>
      </c>
      <c r="I1121" s="188" t="s">
        <v>2970</v>
      </c>
      <c r="J1121" s="188" t="s">
        <v>2970</v>
      </c>
      <c r="K1121" s="188">
        <v>707</v>
      </c>
    </row>
    <row r="1122" spans="4:11" x14ac:dyDescent="0.25">
      <c r="D1122" s="47">
        <v>1119</v>
      </c>
      <c r="E1122" s="188" t="s">
        <v>5528</v>
      </c>
      <c r="F1122" s="188" t="s">
        <v>2970</v>
      </c>
      <c r="G1122" s="188" t="s">
        <v>2970</v>
      </c>
      <c r="H1122" s="188" t="s">
        <v>2970</v>
      </c>
      <c r="I1122" s="188" t="s">
        <v>2970</v>
      </c>
      <c r="J1122" s="188" t="s">
        <v>2970</v>
      </c>
      <c r="K1122" s="188">
        <v>708</v>
      </c>
    </row>
    <row r="1123" spans="4:11" x14ac:dyDescent="0.25">
      <c r="D1123" s="47">
        <v>1120</v>
      </c>
      <c r="E1123" s="188" t="s">
        <v>5531</v>
      </c>
      <c r="F1123" s="188" t="s">
        <v>2970</v>
      </c>
      <c r="G1123" s="188" t="s">
        <v>2970</v>
      </c>
      <c r="H1123" s="188" t="s">
        <v>2970</v>
      </c>
      <c r="I1123" s="188" t="s">
        <v>2970</v>
      </c>
      <c r="J1123" s="188" t="s">
        <v>2970</v>
      </c>
      <c r="K1123" s="188">
        <v>709</v>
      </c>
    </row>
    <row r="1124" spans="4:11" x14ac:dyDescent="0.25">
      <c r="D1124" s="47">
        <v>1121</v>
      </c>
      <c r="E1124" s="188" t="s">
        <v>5529</v>
      </c>
      <c r="F1124" s="188" t="s">
        <v>2970</v>
      </c>
      <c r="G1124" s="188" t="s">
        <v>2970</v>
      </c>
      <c r="H1124" s="188" t="s">
        <v>2970</v>
      </c>
      <c r="I1124" s="188" t="s">
        <v>2970</v>
      </c>
      <c r="J1124" s="188" t="s">
        <v>2970</v>
      </c>
      <c r="K1124" s="188">
        <v>710</v>
      </c>
    </row>
    <row r="1125" spans="4:11" x14ac:dyDescent="0.25">
      <c r="D1125" s="47">
        <v>1122</v>
      </c>
      <c r="E1125" s="188" t="s">
        <v>5524</v>
      </c>
      <c r="F1125" s="188" t="s">
        <v>2970</v>
      </c>
      <c r="G1125" s="188" t="s">
        <v>2970</v>
      </c>
      <c r="H1125" s="188" t="s">
        <v>2970</v>
      </c>
      <c r="I1125" s="188" t="s">
        <v>2970</v>
      </c>
      <c r="J1125" s="188" t="s">
        <v>2970</v>
      </c>
      <c r="K1125" s="188">
        <v>711</v>
      </c>
    </row>
    <row r="1126" spans="4:11" x14ac:dyDescent="0.25">
      <c r="D1126" s="47">
        <v>1123</v>
      </c>
      <c r="E1126" s="188" t="s">
        <v>5525</v>
      </c>
      <c r="F1126" s="188" t="s">
        <v>2970</v>
      </c>
      <c r="G1126" s="188" t="s">
        <v>2970</v>
      </c>
      <c r="H1126" s="188" t="s">
        <v>2970</v>
      </c>
      <c r="I1126" s="188" t="s">
        <v>2970</v>
      </c>
      <c r="J1126" s="188" t="s">
        <v>2970</v>
      </c>
      <c r="K1126" s="188">
        <v>705</v>
      </c>
    </row>
    <row r="1127" spans="4:11" x14ac:dyDescent="0.25">
      <c r="D1127" s="47">
        <v>1124</v>
      </c>
      <c r="E1127" s="188" t="s">
        <v>5532</v>
      </c>
      <c r="F1127" s="188" t="s">
        <v>2970</v>
      </c>
      <c r="G1127" s="188" t="s">
        <v>2970</v>
      </c>
      <c r="H1127" s="188" t="s">
        <v>2970</v>
      </c>
      <c r="I1127" s="188" t="s">
        <v>2970</v>
      </c>
      <c r="J1127" s="188" t="s">
        <v>2970</v>
      </c>
      <c r="K1127" s="188" t="s">
        <v>2970</v>
      </c>
    </row>
    <row r="1128" spans="4:11" x14ac:dyDescent="0.25">
      <c r="D1128" s="47">
        <v>1125</v>
      </c>
      <c r="E1128" s="188" t="s">
        <v>2970</v>
      </c>
      <c r="F1128" s="188" t="s">
        <v>2970</v>
      </c>
      <c r="G1128" s="188" t="s">
        <v>2970</v>
      </c>
      <c r="H1128" s="188" t="s">
        <v>2970</v>
      </c>
      <c r="I1128" s="188" t="s">
        <v>2970</v>
      </c>
      <c r="J1128" s="188" t="s">
        <v>2970</v>
      </c>
      <c r="K1128" s="188">
        <v>712</v>
      </c>
    </row>
    <row r="1129" spans="4:11" x14ac:dyDescent="0.25">
      <c r="D1129" s="47">
        <v>1126</v>
      </c>
      <c r="E1129" s="188" t="s">
        <v>5523</v>
      </c>
      <c r="F1129" s="188" t="s">
        <v>3863</v>
      </c>
      <c r="G1129" s="188" t="s">
        <v>2970</v>
      </c>
      <c r="H1129" s="188" t="s">
        <v>2970</v>
      </c>
      <c r="I1129" s="188" t="s">
        <v>2970</v>
      </c>
      <c r="J1129" s="188" t="s">
        <v>2970</v>
      </c>
      <c r="K1129" s="188">
        <v>713</v>
      </c>
    </row>
    <row r="1130" spans="4:11" x14ac:dyDescent="0.25">
      <c r="D1130" s="47">
        <v>1127</v>
      </c>
      <c r="E1130" s="188" t="s">
        <v>5523</v>
      </c>
      <c r="F1130" s="188" t="s">
        <v>5512</v>
      </c>
      <c r="G1130" s="188" t="s">
        <v>2970</v>
      </c>
      <c r="H1130" s="188" t="s">
        <v>2970</v>
      </c>
      <c r="I1130" s="188" t="s">
        <v>2970</v>
      </c>
      <c r="J1130" s="188" t="s">
        <v>2970</v>
      </c>
      <c r="K1130" s="188">
        <v>714</v>
      </c>
    </row>
    <row r="1131" spans="4:11" x14ac:dyDescent="0.25">
      <c r="D1131" s="47">
        <v>1128</v>
      </c>
      <c r="E1131" s="188" t="s">
        <v>5523</v>
      </c>
      <c r="F1131" s="188" t="s">
        <v>5513</v>
      </c>
      <c r="G1131" s="188" t="s">
        <v>2970</v>
      </c>
      <c r="H1131" s="188" t="s">
        <v>2970</v>
      </c>
      <c r="I1131" s="188" t="s">
        <v>2970</v>
      </c>
      <c r="J1131" s="188" t="s">
        <v>2970</v>
      </c>
      <c r="K1131" s="188">
        <v>715</v>
      </c>
    </row>
    <row r="1132" spans="4:11" x14ac:dyDescent="0.25">
      <c r="D1132" s="47">
        <v>1129</v>
      </c>
      <c r="E1132" s="188" t="s">
        <v>5523</v>
      </c>
      <c r="F1132" s="188" t="s">
        <v>5514</v>
      </c>
      <c r="G1132" s="188" t="s">
        <v>2970</v>
      </c>
      <c r="H1132" s="188" t="s">
        <v>2970</v>
      </c>
      <c r="I1132" s="188" t="s">
        <v>2970</v>
      </c>
      <c r="J1132" s="188" t="s">
        <v>2970</v>
      </c>
      <c r="K1132" s="188">
        <v>716</v>
      </c>
    </row>
    <row r="1133" spans="4:11" x14ac:dyDescent="0.25">
      <c r="D1133" s="47">
        <v>1130</v>
      </c>
      <c r="E1133" s="188" t="s">
        <v>2970</v>
      </c>
      <c r="F1133" s="188" t="s">
        <v>2970</v>
      </c>
      <c r="G1133" s="188" t="s">
        <v>2970</v>
      </c>
      <c r="H1133" s="188" t="s">
        <v>2970</v>
      </c>
      <c r="I1133" s="188" t="s">
        <v>2970</v>
      </c>
      <c r="J1133" s="188" t="s">
        <v>2970</v>
      </c>
      <c r="K1133" s="188">
        <v>717</v>
      </c>
    </row>
    <row r="1134" spans="4:11" x14ac:dyDescent="0.25">
      <c r="D1134" s="47">
        <v>1131</v>
      </c>
      <c r="E1134" s="188" t="s">
        <v>2970</v>
      </c>
      <c r="F1134" s="188" t="s">
        <v>2970</v>
      </c>
      <c r="G1134" s="188" t="s">
        <v>2970</v>
      </c>
      <c r="H1134" s="188" t="s">
        <v>2970</v>
      </c>
      <c r="I1134" s="188" t="s">
        <v>2970</v>
      </c>
      <c r="J1134" s="188" t="s">
        <v>2970</v>
      </c>
      <c r="K1134" s="188">
        <v>718</v>
      </c>
    </row>
    <row r="1135" spans="4:11" x14ac:dyDescent="0.25">
      <c r="D1135" s="47">
        <v>1132</v>
      </c>
      <c r="E1135" s="188" t="s">
        <v>2970</v>
      </c>
      <c r="F1135" s="188" t="s">
        <v>2970</v>
      </c>
      <c r="G1135" s="188" t="s">
        <v>2970</v>
      </c>
      <c r="H1135" s="188" t="s">
        <v>2970</v>
      </c>
      <c r="I1135" s="188" t="s">
        <v>2970</v>
      </c>
      <c r="J1135" s="188" t="s">
        <v>2970</v>
      </c>
      <c r="K1135" s="188">
        <v>719</v>
      </c>
    </row>
    <row r="1136" spans="4:11" x14ac:dyDescent="0.25">
      <c r="D1136" s="47">
        <v>1133</v>
      </c>
      <c r="E1136" s="188" t="s">
        <v>5523</v>
      </c>
      <c r="F1136" s="188" t="s">
        <v>5515</v>
      </c>
      <c r="G1136" s="188" t="s">
        <v>3838</v>
      </c>
      <c r="H1136" s="188" t="s">
        <v>2970</v>
      </c>
      <c r="I1136" s="188" t="s">
        <v>2970</v>
      </c>
      <c r="J1136" s="188" t="s">
        <v>2970</v>
      </c>
      <c r="K1136" s="188">
        <v>720</v>
      </c>
    </row>
    <row r="1137" spans="4:11" x14ac:dyDescent="0.25">
      <c r="D1137" s="47">
        <v>1134</v>
      </c>
      <c r="E1137" s="188" t="s">
        <v>5523</v>
      </c>
      <c r="F1137" s="188" t="s">
        <v>5515</v>
      </c>
      <c r="G1137" s="188" t="s">
        <v>4967</v>
      </c>
      <c r="H1137" s="188" t="s">
        <v>2970</v>
      </c>
      <c r="I1137" s="188" t="s">
        <v>2970</v>
      </c>
      <c r="J1137" s="188" t="s">
        <v>2970</v>
      </c>
      <c r="K1137" s="188">
        <v>721</v>
      </c>
    </row>
    <row r="1138" spans="4:11" x14ac:dyDescent="0.25">
      <c r="D1138" s="47">
        <v>1135</v>
      </c>
      <c r="E1138" s="188" t="s">
        <v>5523</v>
      </c>
      <c r="F1138" s="188" t="s">
        <v>5515</v>
      </c>
      <c r="G1138" s="188" t="s">
        <v>4970</v>
      </c>
      <c r="H1138" s="188" t="s">
        <v>2970</v>
      </c>
      <c r="I1138" s="188" t="s">
        <v>2970</v>
      </c>
      <c r="J1138" s="188" t="s">
        <v>2970</v>
      </c>
      <c r="K1138" s="188">
        <v>722</v>
      </c>
    </row>
    <row r="1139" spans="4:11" x14ac:dyDescent="0.25">
      <c r="D1139" s="47">
        <v>1136</v>
      </c>
      <c r="E1139" s="188" t="s">
        <v>5523</v>
      </c>
      <c r="F1139" s="188" t="s">
        <v>5515</v>
      </c>
      <c r="G1139" s="188" t="s">
        <v>4971</v>
      </c>
      <c r="H1139" s="188" t="s">
        <v>2970</v>
      </c>
      <c r="I1139" s="188" t="s">
        <v>2970</v>
      </c>
      <c r="J1139" s="188" t="s">
        <v>2970</v>
      </c>
      <c r="K1139" s="188">
        <v>723</v>
      </c>
    </row>
    <row r="1140" spans="4:11" x14ac:dyDescent="0.25">
      <c r="D1140" s="47">
        <v>1137</v>
      </c>
      <c r="E1140" s="188" t="s">
        <v>5523</v>
      </c>
      <c r="F1140" s="188" t="s">
        <v>5515</v>
      </c>
      <c r="G1140" s="188" t="s">
        <v>4969</v>
      </c>
      <c r="H1140" s="188" t="s">
        <v>2970</v>
      </c>
      <c r="I1140" s="188" t="s">
        <v>2970</v>
      </c>
      <c r="J1140" s="188" t="s">
        <v>2970</v>
      </c>
      <c r="K1140" s="188">
        <v>724</v>
      </c>
    </row>
    <row r="1141" spans="4:11" x14ac:dyDescent="0.25">
      <c r="D1141" s="47">
        <v>1138</v>
      </c>
      <c r="E1141" s="188" t="s">
        <v>5523</v>
      </c>
      <c r="F1141" s="188" t="s">
        <v>5515</v>
      </c>
      <c r="G1141" s="188" t="s">
        <v>4972</v>
      </c>
      <c r="H1141" s="188" t="s">
        <v>2970</v>
      </c>
      <c r="I1141" s="188" t="s">
        <v>2970</v>
      </c>
      <c r="J1141" s="188" t="s">
        <v>2970</v>
      </c>
      <c r="K1141" s="188">
        <v>725</v>
      </c>
    </row>
    <row r="1142" spans="4:11" x14ac:dyDescent="0.25">
      <c r="D1142" s="47">
        <v>1139</v>
      </c>
      <c r="E1142" s="188" t="s">
        <v>2970</v>
      </c>
      <c r="F1142" s="188" t="s">
        <v>2970</v>
      </c>
      <c r="G1142" s="188" t="s">
        <v>2970</v>
      </c>
      <c r="H1142" s="188" t="s">
        <v>2970</v>
      </c>
      <c r="I1142" s="188" t="s">
        <v>2970</v>
      </c>
      <c r="J1142" s="188" t="s">
        <v>2970</v>
      </c>
      <c r="K1142" s="188">
        <v>726</v>
      </c>
    </row>
    <row r="1143" spans="4:11" x14ac:dyDescent="0.25">
      <c r="D1143" s="47">
        <v>1140</v>
      </c>
      <c r="E1143" s="188" t="s">
        <v>5527</v>
      </c>
      <c r="F1143" s="188" t="s">
        <v>3864</v>
      </c>
      <c r="G1143" s="188" t="s">
        <v>2970</v>
      </c>
      <c r="H1143" s="188" t="s">
        <v>2970</v>
      </c>
      <c r="I1143" s="188" t="s">
        <v>2970</v>
      </c>
      <c r="J1143" s="188" t="s">
        <v>2970</v>
      </c>
      <c r="K1143" s="188">
        <v>727</v>
      </c>
    </row>
    <row r="1144" spans="4:11" x14ac:dyDescent="0.25">
      <c r="D1144" s="47">
        <v>1141</v>
      </c>
      <c r="E1144" s="188" t="s">
        <v>2970</v>
      </c>
      <c r="F1144" s="188" t="s">
        <v>2970</v>
      </c>
      <c r="G1144" s="188" t="s">
        <v>2970</v>
      </c>
      <c r="H1144" s="188" t="s">
        <v>2970</v>
      </c>
      <c r="I1144" s="188" t="s">
        <v>2970</v>
      </c>
      <c r="J1144" s="188" t="s">
        <v>2970</v>
      </c>
      <c r="K1144" s="188">
        <v>728</v>
      </c>
    </row>
    <row r="1145" spans="4:11" x14ac:dyDescent="0.25">
      <c r="D1145" s="47">
        <v>1142</v>
      </c>
      <c r="E1145" s="188" t="s">
        <v>5526</v>
      </c>
      <c r="F1145" s="188" t="s">
        <v>3865</v>
      </c>
      <c r="G1145" s="188" t="s">
        <v>2970</v>
      </c>
      <c r="H1145" s="188" t="s">
        <v>2970</v>
      </c>
      <c r="I1145" s="188" t="s">
        <v>2970</v>
      </c>
      <c r="J1145" s="188" t="s">
        <v>2970</v>
      </c>
      <c r="K1145" s="188">
        <v>729</v>
      </c>
    </row>
    <row r="1146" spans="4:11" x14ac:dyDescent="0.25">
      <c r="D1146" s="47">
        <v>1143</v>
      </c>
      <c r="E1146" s="188" t="s">
        <v>2970</v>
      </c>
      <c r="F1146" s="188" t="s">
        <v>2970</v>
      </c>
      <c r="G1146" s="188" t="s">
        <v>2970</v>
      </c>
      <c r="H1146" s="188" t="s">
        <v>2970</v>
      </c>
      <c r="I1146" s="188" t="s">
        <v>2970</v>
      </c>
      <c r="J1146" s="188" t="s">
        <v>2970</v>
      </c>
      <c r="K1146" s="188">
        <v>730</v>
      </c>
    </row>
    <row r="1147" spans="4:11" x14ac:dyDescent="0.25">
      <c r="D1147" s="47">
        <v>1144</v>
      </c>
      <c r="E1147" s="188" t="s">
        <v>2970</v>
      </c>
      <c r="F1147" s="188" t="s">
        <v>2970</v>
      </c>
      <c r="G1147" s="188" t="s">
        <v>2970</v>
      </c>
      <c r="H1147" s="188" t="s">
        <v>2970</v>
      </c>
      <c r="I1147" s="188" t="s">
        <v>2970</v>
      </c>
      <c r="J1147" s="188" t="s">
        <v>2970</v>
      </c>
      <c r="K1147" s="188">
        <v>731</v>
      </c>
    </row>
    <row r="1148" spans="4:11" x14ac:dyDescent="0.25">
      <c r="D1148" s="47">
        <v>1145</v>
      </c>
      <c r="E1148" s="188" t="s">
        <v>5526</v>
      </c>
      <c r="F1148" s="188" t="s">
        <v>5516</v>
      </c>
      <c r="G1148" s="188" t="s">
        <v>2970</v>
      </c>
      <c r="H1148" s="188" t="s">
        <v>2970</v>
      </c>
      <c r="I1148" s="188" t="s">
        <v>2970</v>
      </c>
      <c r="J1148" s="188" t="s">
        <v>2970</v>
      </c>
      <c r="K1148" s="188">
        <v>732</v>
      </c>
    </row>
    <row r="1149" spans="4:11" x14ac:dyDescent="0.25">
      <c r="D1149" s="47">
        <v>1146</v>
      </c>
      <c r="E1149" s="188" t="s">
        <v>5533</v>
      </c>
      <c r="F1149" s="188" t="s">
        <v>2970</v>
      </c>
      <c r="G1149" s="188" t="s">
        <v>2970</v>
      </c>
      <c r="H1149" s="188" t="s">
        <v>2970</v>
      </c>
      <c r="I1149" s="188" t="s">
        <v>2970</v>
      </c>
      <c r="J1149" s="188" t="s">
        <v>2970</v>
      </c>
      <c r="K1149" s="188" t="s">
        <v>2970</v>
      </c>
    </row>
    <row r="1150" spans="4:11" x14ac:dyDescent="0.25">
      <c r="D1150" s="47">
        <v>1147</v>
      </c>
      <c r="E1150" s="188" t="s">
        <v>5534</v>
      </c>
      <c r="F1150" s="188" t="s">
        <v>2970</v>
      </c>
      <c r="G1150" s="188" t="s">
        <v>2970</v>
      </c>
      <c r="H1150" s="188" t="s">
        <v>2970</v>
      </c>
      <c r="I1150" s="188" t="s">
        <v>2970</v>
      </c>
      <c r="J1150" s="188" t="s">
        <v>2970</v>
      </c>
      <c r="K1150" s="188" t="s">
        <v>2970</v>
      </c>
    </row>
    <row r="1151" spans="4:11" x14ac:dyDescent="0.25">
      <c r="D1151" s="47">
        <v>1148</v>
      </c>
      <c r="E1151" s="188" t="s">
        <v>5535</v>
      </c>
      <c r="F1151" s="188" t="s">
        <v>2970</v>
      </c>
      <c r="G1151" s="188" t="s">
        <v>2970</v>
      </c>
      <c r="H1151" s="188" t="s">
        <v>2970</v>
      </c>
      <c r="I1151" s="188" t="s">
        <v>2970</v>
      </c>
      <c r="J1151" s="188" t="s">
        <v>2970</v>
      </c>
      <c r="K1151" s="188" t="s">
        <v>2970</v>
      </c>
    </row>
    <row r="1152" spans="4:11" x14ac:dyDescent="0.25">
      <c r="D1152" s="47">
        <v>1149</v>
      </c>
      <c r="E1152" s="188" t="s">
        <v>5536</v>
      </c>
      <c r="F1152" s="188" t="s">
        <v>2970</v>
      </c>
      <c r="G1152" s="188" t="s">
        <v>2970</v>
      </c>
      <c r="H1152" s="188" t="s">
        <v>2970</v>
      </c>
      <c r="I1152" s="188" t="s">
        <v>2970</v>
      </c>
      <c r="J1152" s="188" t="s">
        <v>2970</v>
      </c>
      <c r="K1152" s="188" t="s">
        <v>2970</v>
      </c>
    </row>
    <row r="1153" spans="4:11" x14ac:dyDescent="0.25">
      <c r="D1153" s="47">
        <v>1150</v>
      </c>
      <c r="E1153" s="188" t="s">
        <v>3866</v>
      </c>
      <c r="F1153" s="188" t="s">
        <v>2970</v>
      </c>
      <c r="G1153" s="188" t="s">
        <v>2970</v>
      </c>
      <c r="H1153" s="188" t="s">
        <v>2970</v>
      </c>
      <c r="I1153" s="188" t="s">
        <v>2970</v>
      </c>
      <c r="J1153" s="188" t="s">
        <v>2970</v>
      </c>
      <c r="K1153" s="188" t="s">
        <v>2970</v>
      </c>
    </row>
    <row r="1154" spans="4:11" x14ac:dyDescent="0.25">
      <c r="D1154" s="47">
        <v>1151</v>
      </c>
      <c r="E1154" s="188" t="s">
        <v>5508</v>
      </c>
      <c r="F1154" s="188" t="s">
        <v>2970</v>
      </c>
      <c r="G1154" s="188" t="s">
        <v>2970</v>
      </c>
      <c r="H1154" s="188" t="s">
        <v>2970</v>
      </c>
      <c r="I1154" s="188" t="s">
        <v>2970</v>
      </c>
      <c r="J1154" s="188" t="s">
        <v>2970</v>
      </c>
      <c r="K1154" s="188" t="s">
        <v>2970</v>
      </c>
    </row>
    <row r="1155" spans="4:11" x14ac:dyDescent="0.25">
      <c r="D1155" s="47">
        <v>1152</v>
      </c>
      <c r="E1155" s="188" t="s">
        <v>5509</v>
      </c>
      <c r="F1155" s="188" t="s">
        <v>2970</v>
      </c>
      <c r="G1155" s="188" t="s">
        <v>2970</v>
      </c>
      <c r="H1155" s="188" t="s">
        <v>2970</v>
      </c>
      <c r="I1155" s="188" t="s">
        <v>2970</v>
      </c>
      <c r="J1155" s="188" t="s">
        <v>2970</v>
      </c>
      <c r="K1155" s="188" t="s">
        <v>2970</v>
      </c>
    </row>
    <row r="1156" spans="4:11" x14ac:dyDescent="0.25">
      <c r="D1156" s="47">
        <v>1153</v>
      </c>
      <c r="E1156" s="188" t="s">
        <v>5510</v>
      </c>
      <c r="F1156" s="188" t="s">
        <v>2970</v>
      </c>
      <c r="G1156" s="188" t="s">
        <v>2970</v>
      </c>
      <c r="H1156" s="188" t="s">
        <v>2970</v>
      </c>
      <c r="I1156" s="188" t="s">
        <v>2970</v>
      </c>
      <c r="J1156" s="188" t="s">
        <v>2970</v>
      </c>
      <c r="K1156" s="188" t="s">
        <v>2970</v>
      </c>
    </row>
    <row r="1157" spans="4:11" x14ac:dyDescent="0.25">
      <c r="D1157" s="47">
        <v>1154</v>
      </c>
      <c r="E1157" s="188" t="s">
        <v>5511</v>
      </c>
      <c r="F1157" s="188" t="s">
        <v>3838</v>
      </c>
      <c r="G1157" s="188" t="s">
        <v>2970</v>
      </c>
      <c r="H1157" s="188" t="s">
        <v>2970</v>
      </c>
      <c r="I1157" s="188" t="s">
        <v>2970</v>
      </c>
      <c r="J1157" s="188" t="s">
        <v>2970</v>
      </c>
      <c r="K1157" s="188" t="s">
        <v>2970</v>
      </c>
    </row>
    <row r="1158" spans="4:11" x14ac:dyDescent="0.25">
      <c r="D1158" s="47">
        <v>1155</v>
      </c>
      <c r="E1158" s="188" t="s">
        <v>3867</v>
      </c>
      <c r="F1158" s="188" t="s">
        <v>2970</v>
      </c>
      <c r="G1158" s="188" t="s">
        <v>2970</v>
      </c>
      <c r="H1158" s="188" t="s">
        <v>2970</v>
      </c>
      <c r="I1158" s="188" t="s">
        <v>2970</v>
      </c>
      <c r="J1158" s="188" t="s">
        <v>2970</v>
      </c>
      <c r="K1158" s="188" t="s">
        <v>2970</v>
      </c>
    </row>
    <row r="1159" spans="4:11" x14ac:dyDescent="0.25">
      <c r="D1159" s="47">
        <v>1156</v>
      </c>
      <c r="E1159" s="188" t="s">
        <v>5507</v>
      </c>
      <c r="F1159" s="188" t="s">
        <v>2970</v>
      </c>
      <c r="G1159" s="188" t="s">
        <v>2970</v>
      </c>
      <c r="H1159" s="188" t="s">
        <v>2970</v>
      </c>
      <c r="I1159" s="188" t="s">
        <v>2970</v>
      </c>
      <c r="J1159" s="188" t="s">
        <v>2970</v>
      </c>
      <c r="K1159" s="188" t="s">
        <v>2970</v>
      </c>
    </row>
    <row r="1160" spans="4:11" x14ac:dyDescent="0.25">
      <c r="D1160" s="47">
        <v>1157</v>
      </c>
      <c r="E1160" s="188" t="s">
        <v>2970</v>
      </c>
      <c r="F1160" s="188" t="s">
        <v>2970</v>
      </c>
      <c r="G1160" s="188" t="s">
        <v>2970</v>
      </c>
      <c r="H1160" s="188" t="s">
        <v>2970</v>
      </c>
      <c r="I1160" s="188" t="s">
        <v>2970</v>
      </c>
      <c r="J1160" s="188" t="s">
        <v>2970</v>
      </c>
      <c r="K1160" s="188">
        <v>733</v>
      </c>
    </row>
    <row r="1161" spans="4:11" x14ac:dyDescent="0.25">
      <c r="D1161" s="47">
        <v>1158</v>
      </c>
      <c r="E1161" s="188" t="s">
        <v>2970</v>
      </c>
      <c r="F1161" s="188" t="s">
        <v>2970</v>
      </c>
      <c r="G1161" s="188" t="s">
        <v>2970</v>
      </c>
      <c r="H1161" s="188" t="s">
        <v>2970</v>
      </c>
      <c r="I1161" s="188" t="s">
        <v>2970</v>
      </c>
      <c r="J1161" s="188" t="s">
        <v>2970</v>
      </c>
      <c r="K1161" s="188">
        <v>734</v>
      </c>
    </row>
    <row r="1162" spans="4:11" x14ac:dyDescent="0.25">
      <c r="D1162" s="47">
        <v>1159</v>
      </c>
      <c r="E1162" s="188" t="s">
        <v>5540</v>
      </c>
      <c r="F1162" s="188" t="s">
        <v>2970</v>
      </c>
      <c r="G1162" s="188" t="s">
        <v>2970</v>
      </c>
      <c r="H1162" s="188" t="s">
        <v>2970</v>
      </c>
      <c r="I1162" s="188" t="s">
        <v>2970</v>
      </c>
      <c r="J1162" s="188" t="s">
        <v>2970</v>
      </c>
      <c r="K1162" s="188">
        <v>735</v>
      </c>
    </row>
    <row r="1163" spans="4:11" x14ac:dyDescent="0.25">
      <c r="D1163" s="47">
        <v>1160</v>
      </c>
      <c r="E1163" s="188" t="s">
        <v>5545</v>
      </c>
      <c r="F1163" s="188" t="s">
        <v>2970</v>
      </c>
      <c r="G1163" s="188" t="s">
        <v>2970</v>
      </c>
      <c r="H1163" s="188" t="s">
        <v>2970</v>
      </c>
      <c r="I1163" s="188" t="s">
        <v>2970</v>
      </c>
      <c r="J1163" s="188" t="s">
        <v>2970</v>
      </c>
      <c r="K1163" s="188">
        <v>736</v>
      </c>
    </row>
    <row r="1164" spans="4:11" x14ac:dyDescent="0.25">
      <c r="D1164" s="47">
        <v>1161</v>
      </c>
      <c r="E1164" s="188" t="s">
        <v>5546</v>
      </c>
      <c r="F1164" s="188" t="s">
        <v>2970</v>
      </c>
      <c r="G1164" s="188" t="s">
        <v>2970</v>
      </c>
      <c r="H1164" s="188" t="s">
        <v>2970</v>
      </c>
      <c r="I1164" s="188" t="s">
        <v>2970</v>
      </c>
      <c r="J1164" s="188" t="s">
        <v>2970</v>
      </c>
      <c r="K1164" s="188">
        <v>737</v>
      </c>
    </row>
    <row r="1165" spans="4:11" x14ac:dyDescent="0.25">
      <c r="D1165" s="47">
        <v>1162</v>
      </c>
      <c r="E1165" s="188" t="s">
        <v>5544</v>
      </c>
      <c r="F1165" s="188" t="s">
        <v>2970</v>
      </c>
      <c r="G1165" s="188" t="s">
        <v>2970</v>
      </c>
      <c r="H1165" s="188" t="s">
        <v>2970</v>
      </c>
      <c r="I1165" s="188" t="s">
        <v>2970</v>
      </c>
      <c r="J1165" s="188" t="s">
        <v>2970</v>
      </c>
      <c r="K1165" s="188">
        <v>738</v>
      </c>
    </row>
    <row r="1166" spans="4:11" x14ac:dyDescent="0.25">
      <c r="D1166" s="47">
        <v>1163</v>
      </c>
      <c r="E1166" s="188" t="s">
        <v>5542</v>
      </c>
      <c r="F1166" s="188" t="s">
        <v>2970</v>
      </c>
      <c r="G1166" s="188" t="s">
        <v>2970</v>
      </c>
      <c r="H1166" s="188" t="s">
        <v>2970</v>
      </c>
      <c r="I1166" s="188" t="s">
        <v>2970</v>
      </c>
      <c r="J1166" s="188" t="s">
        <v>2970</v>
      </c>
      <c r="K1166" s="188">
        <v>739</v>
      </c>
    </row>
    <row r="1167" spans="4:11" x14ac:dyDescent="0.25">
      <c r="D1167" s="47">
        <v>1164</v>
      </c>
      <c r="E1167" s="188" t="s">
        <v>5543</v>
      </c>
      <c r="F1167" s="188" t="s">
        <v>2970</v>
      </c>
      <c r="G1167" s="188" t="s">
        <v>2970</v>
      </c>
      <c r="H1167" s="188" t="s">
        <v>2970</v>
      </c>
      <c r="I1167" s="188" t="s">
        <v>2970</v>
      </c>
      <c r="J1167" s="188" t="s">
        <v>2970</v>
      </c>
      <c r="K1167" s="188">
        <v>740</v>
      </c>
    </row>
    <row r="1168" spans="4:11" x14ac:dyDescent="0.25">
      <c r="D1168" s="47">
        <v>1165</v>
      </c>
      <c r="E1168" s="188" t="s">
        <v>5537</v>
      </c>
      <c r="F1168" s="188" t="s">
        <v>2970</v>
      </c>
      <c r="G1168" s="188" t="s">
        <v>2970</v>
      </c>
      <c r="H1168" s="188" t="s">
        <v>2970</v>
      </c>
      <c r="I1168" s="188" t="s">
        <v>2970</v>
      </c>
      <c r="J1168" s="188" t="s">
        <v>2970</v>
      </c>
      <c r="K1168" s="188">
        <v>741</v>
      </c>
    </row>
    <row r="1169" spans="4:11" x14ac:dyDescent="0.25">
      <c r="D1169" s="47">
        <v>1166</v>
      </c>
      <c r="E1169" s="188" t="s">
        <v>5541</v>
      </c>
      <c r="F1169" s="188" t="s">
        <v>2970</v>
      </c>
      <c r="G1169" s="188" t="s">
        <v>2970</v>
      </c>
      <c r="H1169" s="188" t="s">
        <v>2970</v>
      </c>
      <c r="I1169" s="188" t="s">
        <v>2970</v>
      </c>
      <c r="J1169" s="188" t="s">
        <v>2970</v>
      </c>
      <c r="K1169" s="188">
        <v>742</v>
      </c>
    </row>
    <row r="1170" spans="4:11" x14ac:dyDescent="0.25">
      <c r="D1170" s="47">
        <v>1167</v>
      </c>
      <c r="E1170" s="188" t="s">
        <v>5547</v>
      </c>
      <c r="F1170" s="188" t="s">
        <v>2970</v>
      </c>
      <c r="G1170" s="188" t="s">
        <v>2970</v>
      </c>
      <c r="H1170" s="188" t="s">
        <v>2970</v>
      </c>
      <c r="I1170" s="188" t="s">
        <v>2970</v>
      </c>
      <c r="J1170" s="188" t="s">
        <v>2970</v>
      </c>
      <c r="K1170" s="188">
        <v>743</v>
      </c>
    </row>
    <row r="1171" spans="4:11" x14ac:dyDescent="0.25">
      <c r="D1171" s="47">
        <v>1168</v>
      </c>
      <c r="E1171" s="188" t="s">
        <v>5548</v>
      </c>
      <c r="F1171" s="188" t="s">
        <v>2970</v>
      </c>
      <c r="G1171" s="188" t="s">
        <v>2970</v>
      </c>
      <c r="H1171" s="188" t="s">
        <v>2970</v>
      </c>
      <c r="I1171" s="188" t="s">
        <v>2970</v>
      </c>
      <c r="J1171" s="188" t="s">
        <v>2970</v>
      </c>
      <c r="K1171" s="188">
        <v>744</v>
      </c>
    </row>
    <row r="1172" spans="4:11" x14ac:dyDescent="0.25">
      <c r="D1172" s="47">
        <v>1169</v>
      </c>
      <c r="E1172" s="188" t="s">
        <v>2970</v>
      </c>
      <c r="F1172" s="188" t="s">
        <v>2970</v>
      </c>
      <c r="G1172" s="188" t="s">
        <v>2970</v>
      </c>
      <c r="H1172" s="188" t="s">
        <v>2970</v>
      </c>
      <c r="I1172" s="188" t="s">
        <v>2970</v>
      </c>
      <c r="J1172" s="188" t="s">
        <v>2970</v>
      </c>
      <c r="K1172" s="188">
        <v>751</v>
      </c>
    </row>
    <row r="1173" spans="4:11" x14ac:dyDescent="0.25">
      <c r="D1173" s="47">
        <v>1170</v>
      </c>
      <c r="E1173" s="188" t="s">
        <v>5538</v>
      </c>
      <c r="F1173" s="188" t="s">
        <v>3866</v>
      </c>
      <c r="G1173" s="188" t="s">
        <v>2970</v>
      </c>
      <c r="H1173" s="188" t="s">
        <v>2970</v>
      </c>
      <c r="I1173" s="188" t="s">
        <v>2970</v>
      </c>
      <c r="J1173" s="188" t="s">
        <v>2970</v>
      </c>
      <c r="K1173" s="188">
        <v>752</v>
      </c>
    </row>
    <row r="1174" spans="4:11" x14ac:dyDescent="0.25">
      <c r="D1174" s="47">
        <v>1171</v>
      </c>
      <c r="E1174" s="188" t="s">
        <v>5538</v>
      </c>
      <c r="F1174" s="188" t="s">
        <v>5508</v>
      </c>
      <c r="G1174" s="188" t="s">
        <v>2970</v>
      </c>
      <c r="H1174" s="188" t="s">
        <v>2970</v>
      </c>
      <c r="I1174" s="188" t="s">
        <v>2970</v>
      </c>
      <c r="J1174" s="188" t="s">
        <v>2970</v>
      </c>
      <c r="K1174" s="188">
        <v>753</v>
      </c>
    </row>
    <row r="1175" spans="4:11" x14ac:dyDescent="0.25">
      <c r="D1175" s="47">
        <v>1172</v>
      </c>
      <c r="E1175" s="188" t="s">
        <v>5538</v>
      </c>
      <c r="F1175" s="188" t="s">
        <v>5509</v>
      </c>
      <c r="G1175" s="188" t="s">
        <v>2970</v>
      </c>
      <c r="H1175" s="188" t="s">
        <v>2970</v>
      </c>
      <c r="I1175" s="188" t="s">
        <v>2970</v>
      </c>
      <c r="J1175" s="188" t="s">
        <v>2970</v>
      </c>
      <c r="K1175" s="188">
        <v>754</v>
      </c>
    </row>
    <row r="1176" spans="4:11" x14ac:dyDescent="0.25">
      <c r="D1176" s="47">
        <v>1173</v>
      </c>
      <c r="E1176" s="188" t="s">
        <v>5538</v>
      </c>
      <c r="F1176" s="188" t="s">
        <v>5510</v>
      </c>
      <c r="G1176" s="188" t="s">
        <v>2970</v>
      </c>
      <c r="H1176" s="188" t="s">
        <v>2970</v>
      </c>
      <c r="I1176" s="188" t="s">
        <v>2970</v>
      </c>
      <c r="J1176" s="188" t="s">
        <v>2970</v>
      </c>
      <c r="K1176" s="188">
        <v>755</v>
      </c>
    </row>
    <row r="1177" spans="4:11" x14ac:dyDescent="0.25">
      <c r="D1177" s="47">
        <v>1174</v>
      </c>
      <c r="E1177" s="188" t="s">
        <v>2970</v>
      </c>
      <c r="F1177" s="188" t="s">
        <v>2970</v>
      </c>
      <c r="G1177" s="188" t="s">
        <v>2970</v>
      </c>
      <c r="H1177" s="188" t="s">
        <v>2970</v>
      </c>
      <c r="I1177" s="188" t="s">
        <v>2970</v>
      </c>
      <c r="J1177" s="188" t="s">
        <v>2970</v>
      </c>
      <c r="K1177" s="188">
        <v>756</v>
      </c>
    </row>
    <row r="1178" spans="4:11" x14ac:dyDescent="0.25">
      <c r="D1178" s="47">
        <v>1175</v>
      </c>
      <c r="E1178" s="188" t="s">
        <v>5538</v>
      </c>
      <c r="F1178" s="188" t="s">
        <v>5510</v>
      </c>
      <c r="G1178" s="188" t="s">
        <v>3838</v>
      </c>
      <c r="H1178" s="188" t="s">
        <v>2970</v>
      </c>
      <c r="I1178" s="188" t="s">
        <v>2970</v>
      </c>
      <c r="J1178" s="188" t="s">
        <v>2970</v>
      </c>
      <c r="K1178" s="188">
        <v>757</v>
      </c>
    </row>
    <row r="1179" spans="4:11" x14ac:dyDescent="0.25">
      <c r="D1179" s="47">
        <v>1176</v>
      </c>
      <c r="E1179" s="188" t="s">
        <v>5538</v>
      </c>
      <c r="F1179" s="188" t="s">
        <v>5510</v>
      </c>
      <c r="G1179" s="188" t="s">
        <v>4967</v>
      </c>
      <c r="H1179" s="188" t="s">
        <v>2970</v>
      </c>
      <c r="I1179" s="188" t="s">
        <v>2970</v>
      </c>
      <c r="J1179" s="188" t="s">
        <v>2970</v>
      </c>
      <c r="K1179" s="188">
        <v>758</v>
      </c>
    </row>
    <row r="1180" spans="4:11" x14ac:dyDescent="0.25">
      <c r="D1180" s="47">
        <v>1177</v>
      </c>
      <c r="E1180" s="188" t="s">
        <v>5538</v>
      </c>
      <c r="F1180" s="188" t="s">
        <v>5510</v>
      </c>
      <c r="G1180" s="188" t="s">
        <v>4970</v>
      </c>
      <c r="H1180" s="188" t="s">
        <v>2970</v>
      </c>
      <c r="I1180" s="188" t="s">
        <v>2970</v>
      </c>
      <c r="J1180" s="188" t="s">
        <v>2970</v>
      </c>
      <c r="K1180" s="188">
        <v>759</v>
      </c>
    </row>
    <row r="1181" spans="4:11" x14ac:dyDescent="0.25">
      <c r="D1181" s="47">
        <v>1178</v>
      </c>
      <c r="E1181" s="188" t="s">
        <v>5538</v>
      </c>
      <c r="F1181" s="188" t="s">
        <v>5510</v>
      </c>
      <c r="G1181" s="188" t="s">
        <v>4971</v>
      </c>
      <c r="H1181" s="188" t="s">
        <v>2970</v>
      </c>
      <c r="I1181" s="188" t="s">
        <v>2970</v>
      </c>
      <c r="J1181" s="188" t="s">
        <v>2970</v>
      </c>
      <c r="K1181" s="188">
        <v>760</v>
      </c>
    </row>
    <row r="1182" spans="4:11" x14ac:dyDescent="0.25">
      <c r="D1182" s="47">
        <v>1179</v>
      </c>
      <c r="E1182" s="188" t="s">
        <v>5538</v>
      </c>
      <c r="F1182" s="188" t="s">
        <v>5510</v>
      </c>
      <c r="G1182" s="188" t="s">
        <v>4969</v>
      </c>
      <c r="H1182" s="188" t="s">
        <v>2970</v>
      </c>
      <c r="I1182" s="188" t="s">
        <v>2970</v>
      </c>
      <c r="J1182" s="188" t="s">
        <v>2970</v>
      </c>
      <c r="K1182" s="188">
        <v>761</v>
      </c>
    </row>
    <row r="1183" spans="4:11" x14ac:dyDescent="0.25">
      <c r="D1183" s="47">
        <v>1180</v>
      </c>
      <c r="E1183" s="188" t="s">
        <v>5538</v>
      </c>
      <c r="F1183" s="188" t="s">
        <v>5510</v>
      </c>
      <c r="G1183" s="188" t="s">
        <v>4972</v>
      </c>
      <c r="H1183" s="188" t="s">
        <v>2970</v>
      </c>
      <c r="I1183" s="188" t="s">
        <v>2970</v>
      </c>
      <c r="J1183" s="188" t="s">
        <v>2970</v>
      </c>
      <c r="K1183" s="188">
        <v>762</v>
      </c>
    </row>
    <row r="1184" spans="4:11" x14ac:dyDescent="0.25">
      <c r="D1184" s="47">
        <v>1181</v>
      </c>
      <c r="E1184" s="188" t="s">
        <v>2970</v>
      </c>
      <c r="F1184" s="188" t="s">
        <v>2970</v>
      </c>
      <c r="G1184" s="188" t="s">
        <v>2970</v>
      </c>
      <c r="H1184" s="188" t="s">
        <v>2970</v>
      </c>
      <c r="I1184" s="188" t="s">
        <v>2970</v>
      </c>
      <c r="J1184" s="188" t="s">
        <v>2970</v>
      </c>
      <c r="K1184" s="188">
        <v>763</v>
      </c>
    </row>
    <row r="1185" spans="4:11" x14ac:dyDescent="0.25">
      <c r="D1185" s="47">
        <v>1182</v>
      </c>
      <c r="E1185" s="188" t="s">
        <v>5539</v>
      </c>
      <c r="F1185" s="188" t="s">
        <v>3867</v>
      </c>
      <c r="G1185" s="188" t="s">
        <v>2970</v>
      </c>
      <c r="H1185" s="188" t="s">
        <v>2970</v>
      </c>
      <c r="I1185" s="188" t="s">
        <v>2970</v>
      </c>
      <c r="J1185" s="188" t="s">
        <v>2970</v>
      </c>
      <c r="K1185" s="188">
        <v>764</v>
      </c>
    </row>
    <row r="1186" spans="4:11" x14ac:dyDescent="0.25">
      <c r="D1186" s="47">
        <v>1183</v>
      </c>
      <c r="E1186" s="188" t="s">
        <v>5539</v>
      </c>
      <c r="F1186" s="188" t="s">
        <v>5507</v>
      </c>
      <c r="G1186" s="188" t="s">
        <v>2970</v>
      </c>
      <c r="H1186" s="188" t="s">
        <v>2970</v>
      </c>
      <c r="I1186" s="188" t="s">
        <v>2970</v>
      </c>
      <c r="J1186" s="188" t="s">
        <v>2970</v>
      </c>
      <c r="K1186" s="188">
        <v>765</v>
      </c>
    </row>
    <row r="1187" spans="4:11" x14ac:dyDescent="0.25">
      <c r="D1187" s="47">
        <v>1184</v>
      </c>
      <c r="E1187" s="188" t="s">
        <v>2970</v>
      </c>
      <c r="F1187" s="188" t="s">
        <v>2970</v>
      </c>
      <c r="G1187" s="188" t="s">
        <v>2970</v>
      </c>
      <c r="H1187" s="188" t="s">
        <v>2970</v>
      </c>
      <c r="I1187" s="188" t="s">
        <v>2970</v>
      </c>
      <c r="J1187" s="188" t="s">
        <v>2970</v>
      </c>
      <c r="K1187" s="188">
        <v>745</v>
      </c>
    </row>
    <row r="1188" spans="4:11" x14ac:dyDescent="0.25">
      <c r="D1188" s="47">
        <v>1185</v>
      </c>
      <c r="E1188" s="188" t="s">
        <v>5549</v>
      </c>
      <c r="F1188" s="188" t="s">
        <v>3838</v>
      </c>
      <c r="G1188" s="188" t="s">
        <v>2970</v>
      </c>
      <c r="H1188" s="188" t="s">
        <v>2970</v>
      </c>
      <c r="I1188" s="188" t="s">
        <v>2970</v>
      </c>
      <c r="J1188" s="188" t="s">
        <v>2970</v>
      </c>
      <c r="K1188" s="188">
        <v>746</v>
      </c>
    </row>
    <row r="1189" spans="4:11" x14ac:dyDescent="0.25">
      <c r="D1189" s="47">
        <v>1186</v>
      </c>
      <c r="E1189" s="188" t="s">
        <v>5549</v>
      </c>
      <c r="F1189" s="188" t="s">
        <v>4967</v>
      </c>
      <c r="G1189" s="188" t="s">
        <v>2970</v>
      </c>
      <c r="H1189" s="188" t="s">
        <v>2970</v>
      </c>
      <c r="I1189" s="188" t="s">
        <v>2970</v>
      </c>
      <c r="J1189" s="188" t="s">
        <v>2970</v>
      </c>
      <c r="K1189" s="188">
        <v>747</v>
      </c>
    </row>
    <row r="1190" spans="4:11" x14ac:dyDescent="0.25">
      <c r="D1190" s="47">
        <v>1187</v>
      </c>
      <c r="E1190" s="188" t="s">
        <v>5549</v>
      </c>
      <c r="F1190" s="188" t="s">
        <v>4970</v>
      </c>
      <c r="G1190" s="188" t="s">
        <v>2970</v>
      </c>
      <c r="H1190" s="188" t="s">
        <v>2970</v>
      </c>
      <c r="I1190" s="188" t="s">
        <v>2970</v>
      </c>
      <c r="J1190" s="188" t="s">
        <v>2970</v>
      </c>
      <c r="K1190" s="188">
        <v>748</v>
      </c>
    </row>
    <row r="1191" spans="4:11" x14ac:dyDescent="0.25">
      <c r="D1191" s="47">
        <v>1188</v>
      </c>
      <c r="E1191" s="188" t="s">
        <v>5549</v>
      </c>
      <c r="F1191" s="188" t="s">
        <v>4971</v>
      </c>
      <c r="G1191" s="188" t="s">
        <v>2970</v>
      </c>
      <c r="H1191" s="188" t="s">
        <v>2970</v>
      </c>
      <c r="I1191" s="188" t="s">
        <v>2970</v>
      </c>
      <c r="J1191" s="188" t="s">
        <v>2970</v>
      </c>
      <c r="K1191" s="188">
        <v>749</v>
      </c>
    </row>
    <row r="1192" spans="4:11" x14ac:dyDescent="0.25">
      <c r="D1192" s="47">
        <v>1189</v>
      </c>
      <c r="E1192" s="188" t="s">
        <v>5549</v>
      </c>
      <c r="F1192" s="188" t="s">
        <v>4969</v>
      </c>
      <c r="G1192" s="188" t="s">
        <v>2970</v>
      </c>
      <c r="H1192" s="188" t="s">
        <v>2970</v>
      </c>
      <c r="I1192" s="188" t="s">
        <v>2970</v>
      </c>
      <c r="J1192" s="188" t="s">
        <v>2970</v>
      </c>
      <c r="K1192" s="188">
        <v>750</v>
      </c>
    </row>
    <row r="1193" spans="4:11" x14ac:dyDescent="0.25">
      <c r="D1193" s="47">
        <v>1190</v>
      </c>
      <c r="E1193" s="188" t="s">
        <v>5550</v>
      </c>
      <c r="F1193" s="188" t="s">
        <v>2970</v>
      </c>
      <c r="G1193" s="188" t="s">
        <v>2970</v>
      </c>
      <c r="H1193" s="188" t="s">
        <v>2970</v>
      </c>
      <c r="I1193" s="188" t="s">
        <v>2970</v>
      </c>
      <c r="J1193" s="188" t="s">
        <v>2970</v>
      </c>
      <c r="K1193" s="188" t="s">
        <v>2970</v>
      </c>
    </row>
    <row r="1194" spans="4:11" x14ac:dyDescent="0.25">
      <c r="D1194" s="47">
        <v>1191</v>
      </c>
      <c r="E1194" s="188" t="s">
        <v>5551</v>
      </c>
      <c r="F1194" s="188" t="s">
        <v>2970</v>
      </c>
      <c r="G1194" s="188" t="s">
        <v>2970</v>
      </c>
      <c r="H1194" s="188" t="s">
        <v>2970</v>
      </c>
      <c r="I1194" s="188" t="s">
        <v>2970</v>
      </c>
      <c r="J1194" s="188" t="s">
        <v>2970</v>
      </c>
      <c r="K1194" s="188" t="s">
        <v>2970</v>
      </c>
    </row>
    <row r="1195" spans="4:11" x14ac:dyDescent="0.25">
      <c r="D1195" s="47">
        <v>1192</v>
      </c>
      <c r="E1195" s="188" t="s">
        <v>5552</v>
      </c>
      <c r="F1195" s="188" t="s">
        <v>2970</v>
      </c>
      <c r="G1195" s="188" t="s">
        <v>2970</v>
      </c>
      <c r="H1195" s="188" t="s">
        <v>2970</v>
      </c>
      <c r="I1195" s="188" t="s">
        <v>2970</v>
      </c>
      <c r="J1195" s="188" t="s">
        <v>2970</v>
      </c>
      <c r="K1195" s="188" t="s">
        <v>2970</v>
      </c>
    </row>
    <row r="1196" spans="4:11" x14ac:dyDescent="0.25">
      <c r="D1196" s="47">
        <v>1193</v>
      </c>
      <c r="E1196" s="188" t="s">
        <v>5553</v>
      </c>
      <c r="F1196" s="188" t="s">
        <v>2970</v>
      </c>
      <c r="G1196" s="188" t="s">
        <v>2970</v>
      </c>
      <c r="H1196" s="188" t="s">
        <v>2970</v>
      </c>
      <c r="I1196" s="188" t="s">
        <v>2970</v>
      </c>
      <c r="J1196" s="188" t="s">
        <v>2970</v>
      </c>
      <c r="K1196" s="188" t="s">
        <v>2970</v>
      </c>
    </row>
    <row r="1197" spans="4:11" x14ac:dyDescent="0.25">
      <c r="D1197" s="47">
        <v>1194</v>
      </c>
      <c r="E1197" s="188" t="s">
        <v>5554</v>
      </c>
      <c r="F1197" s="188" t="s">
        <v>2970</v>
      </c>
      <c r="G1197" s="188" t="s">
        <v>2970</v>
      </c>
      <c r="H1197" s="188" t="s">
        <v>2970</v>
      </c>
      <c r="I1197" s="188" t="s">
        <v>2970</v>
      </c>
      <c r="J1197" s="188" t="s">
        <v>2970</v>
      </c>
      <c r="K1197" s="188" t="s">
        <v>2970</v>
      </c>
    </row>
  </sheetData>
  <autoFilter ref="A3:B1123" xr:uid="{3621BD15-38A9-48D0-840C-7DE87BFA8AA8}"/>
  <mergeCells count="2">
    <mergeCell ref="A1:B1"/>
    <mergeCell ref="D1:K1"/>
  </mergeCells>
  <phoneticPr fontId="59" type="noConversion"/>
  <pageMargins left="0.7" right="0.7" top="0.78740157499999996" bottom="0.78740157499999996" header="0.3" footer="0.3"/>
  <pageSetup paperSize="9" orientation="portrait"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848ADD1D-3D7D-461A-99F4-B4EC0DFE33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Erklärungen</vt:lpstr>
      <vt:lpstr>Transformation</vt:lpstr>
      <vt:lpstr>DMAV_Doku</vt:lpstr>
      <vt:lpstr>DMAV_Modell</vt:lpstr>
      <vt:lpstr>DMAV_Dienste</vt:lpstr>
      <vt:lpstr>DM01-AV-CH</vt:lpstr>
      <vt:lpstr>Korrelation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2015-06-05T18:19:34Z</dcterms:created>
  <dc:creator>Grütter Christian swisstopo</dc:creator>
  <cp:lastModifiedBy>Grütter Christian swisstopo</cp:lastModifiedBy>
  <dcterms:modified xsi:type="dcterms:W3CDTF">2026-05-05T09:40:56Z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2026-02-25T05:08:27Z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a868f69e-cab1-4304-924e-15c2cc29cb0f</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